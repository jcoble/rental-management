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f975df847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0ac5f1c76d34be7"/>
    <x:sheet xmlns:r="http://schemas.openxmlformats.org/officeDocument/2006/relationships" name="Monthly Controls" sheetId="2" r:id="Rf088ca75042f4d03"/>
    <x:sheet xmlns:r="http://schemas.openxmlformats.org/officeDocument/2006/relationships" name="Checks" sheetId="3" r:id="Ra36adba8f1cf4733"/>
    <x:sheet xmlns:r="http://schemas.openxmlformats.org/officeDocument/2006/relationships" name="Portfolio" sheetId="4" r:id="Rf1d04b98e73d4abc"/>
    <x:sheet xmlns:r="http://schemas.openxmlformats.org/officeDocument/2006/relationships" name="Units" sheetId="5" r:id="R206d121f26bc4bb2"/>
    <x:sheet xmlns:r="http://schemas.openxmlformats.org/officeDocument/2006/relationships" name="Leases" sheetId="6" r:id="R0ed4ecb536214187"/>
    <x:sheet xmlns:r="http://schemas.openxmlformats.org/officeDocument/2006/relationships" name="Schedule" sheetId="7" r:id="R5ebf3e9d425043c0"/>
    <x:sheet xmlns:r="http://schemas.openxmlformats.org/officeDocument/2006/relationships" name="Scan Assets" sheetId="8" r:id="R93c5ad0ee50f49fa"/>
    <x:sheet xmlns:r="http://schemas.openxmlformats.org/officeDocument/2006/relationships" name="Coverage" sheetId="9" r:id="R21587ff0b79344f4"/>
    <x:sheet xmlns:r="http://schemas.openxmlformats.org/officeDocument/2006/relationships" name="Screens" sheetId="10" r:id="R0ad92781013c4fa0"/>
    <x:sheet xmlns:r="http://schemas.openxmlformats.org/officeDocument/2006/relationships" name="Fields" sheetId="11" r:id="R1624d52c520c41e5"/>
    <x:sheet xmlns:r="http://schemas.openxmlformats.org/officeDocument/2006/relationships" name="Role Journeys" sheetId="12" r:id="R1c2fc5f44bb5494c"/>
    <x:sheet xmlns:r="http://schemas.openxmlformats.org/officeDocument/2006/relationships" name="CRUD Lifecycles" sheetId="13" r:id="R645c636271f04ab3"/>
    <x:sheet xmlns:r="http://schemas.openxmlformats.org/officeDocument/2006/relationships" name="Notifications" sheetId="14" r:id="R3528b925a57f40f8"/>
    <x:sheet xmlns:r="http://schemas.openxmlformats.org/officeDocument/2006/relationships" name="Financial Events" sheetId="15" r:id="Re6339b7322e8413d"/>
    <x:sheet xmlns:r="http://schemas.openxmlformats.org/officeDocument/2006/relationships" name="Journal" sheetId="16" r:id="Rdca5b623c7684ab5"/>
  </x:sheets>
</x:workbook>
</file>

<file path=xl/comments1.xml><?xml version="1.0" encoding="utf-8"?>
<x:comments xmlns:x="http://schemas.openxmlformats.org/spreadsheetml/2006/main">
  <x:authors>
    <x:author>tc={C182CD65-1E68-D415-3169-E19C00BEF4F0}</x:author>
    <x:author>tc={711AB029-C159-6D3A-DE1E-4D92C7238A05}</x:author>
    <x:author>tc={E0EB290E-B985-FAAF-1B7E-DD881E7EFA34}</x:author>
  </x:authors>
  <x:commentList>
    <x:comment ref="F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financial-oracle.csv, recalculated on the Monthly Controls sheet.</x:t>
        </x:r>
      </x:text>
    </x:comment>
    <x:comment ref="F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journal.csv. Debits and credits must tie exactly.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Model status is formula-driven from the Checks sheet.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&quot;$&quot;#,##0;[Red](&quot;$&quot;#,##0);-"/>
    <x:numFmt numFmtId="202" formatCode="0.0%"/>
    <x:numFmt numFmtId="203" formatCode="#,##0;[Red](#,##0);-"/>
    <x:numFmt numFmtId="204" formatCode="mmm yyyy"/>
    <x:numFmt numFmtId="205" formatCode="mmm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9"/>
      <x:color rgb="FF000000"/>
      <x:name val="Carlito"/>
    </x:font>
    <x:font>
      <x:i/>
      <x:sz val="11"/>
      <x:color rgb="FF000000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i/>
      <x:sz val="11"/>
      <x:name val="Carlito"/>
    </x:font>
    <x:font>
      <x:sz val="11"/>
      <x:color rgb="FF000000"/>
      <x:name val="Carlito"/>
    </x:font>
    <x:font>
      <x:sz val="12"/>
      <x:name val="Carlito"/>
    </x:font>
    <x:font>
      <x:b/>
      <x:sz val="14"/>
      <x:color rgb="FFFFFFFF"/>
      <x:name val="Carlito"/>
    </x:font>
    <x:font>
      <x:b/>
      <x:sz val="11"/>
      <x:color rgb="FF173F5F"/>
      <x:name val="Carlito"/>
    </x:font>
    <x:font>
      <x:sz val="11"/>
      <x:color rgb="FF5B68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A7F78"/>
      </x:patternFill>
    </x:fill>
    <x:fill>
      <x:patternFill patternType="solid">
        <x:fgColor rgb="FFF5F1E8"/>
      </x:patternFill>
    </x:fill>
    <x:fill>
      <x:patternFill patternType="solid">
        <x:fgColor rgb="FFFFFFFF"/>
      </x:patternFill>
    </x:fill>
    <x:fill>
      <x:patternFill patternType="solid">
        <x:fgColor rgb="FFD49B2A"/>
      </x:patternFill>
    </x:fill>
    <x:fill>
      <x:patternFill patternType="solid">
        <x:fgColor rgb="FFFFF4CC"/>
      </x:patternFill>
    </x:fill>
  </x:fills>
  <x:borders count="16">
    <x:border/>
    <x:border>
      <x:right style="thin">
        <x:color rgb="FFD6E5E2"/>
      </x:right>
    </x:border>
    <x:border>
      <x:left style="thin">
        <x:color rgb="FFD6E5E2"/>
      </x:left>
      <x:right style="thin">
        <x:color rgb="FFD6E5E2"/>
      </x:right>
    </x:border>
    <x:border>
      <x:left style="thin">
        <x:color rgb="FFD6E5E2"/>
      </x:left>
    </x:border>
    <x:border>
      <x:bottom style="thin">
        <x:color rgb="FFEEE8DE"/>
      </x:bottom>
    </x:border>
    <x:border>
      <x:top style="thin">
        <x:color rgb="FFEEE8DE"/>
      </x:top>
      <x:bottom style="thin">
        <x:color rgb="FFEEE8DE"/>
      </x:bottom>
    </x:border>
    <x:border>
      <x:top style="thin">
        <x:color rgb="FFEEE8DE"/>
      </x:top>
    </x:border>
    <x:border>
      <x:top style="double">
        <x:color rgb="FF173F5F"/>
      </x:top>
    </x:border>
    <x:border>
      <x:left style="thin">
        <x:color rgb="FFD9D1C4"/>
      </x:left>
      <x:top style="thin">
        <x:color rgb="FFD9D1C4"/>
      </x:top>
    </x:border>
    <x:border>
      <x:top style="thin">
        <x:color rgb="FFD9D1C4"/>
      </x:top>
    </x:border>
    <x:border>
      <x:right style="thin">
        <x:color rgb="FFD9D1C4"/>
      </x:right>
      <x:top style="thin">
        <x:color rgb="FFD9D1C4"/>
      </x:top>
    </x:border>
    <x:border>
      <x:left style="thin">
        <x:color rgb="FFD9D1C4"/>
      </x:left>
    </x:border>
    <x:border>
      <x:right style="thin">
        <x:color rgb="FFD9D1C4"/>
      </x:right>
    </x:border>
    <x:border>
      <x:left style="thin">
        <x:color rgb="FFD9D1C4"/>
      </x:left>
      <x:bottom style="thin">
        <x:color rgb="FFD9D1C4"/>
      </x:bottom>
    </x:border>
    <x:border>
      <x:bottom style="thin">
        <x:color rgb="FFD9D1C4"/>
      </x:bottom>
    </x:border>
    <x:border>
      <x:right style="thin">
        <x:color rgb="FFD9D1C4"/>
      </x:right>
      <x:bottom style="thin">
        <x:color rgb="FFD9D1C4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200" fontId="3" fillId="0" borderId="4" xfId="0" applyNumberFormat="1" applyFont="1" applyFill="1" applyBorder="1" applyAlignment="1">
      <x:alignment vertical="top"/>
    </x:xf>
    <x:xf numFmtId="200" fontId="3" fillId="0" borderId="5" xfId="0" applyNumberFormat="1" applyFont="1" applyFill="1" applyBorder="1" applyAlignment="1">
      <x:alignment vertical="top"/>
    </x:xf>
    <x:xf numFmtId="200" fontId="3" fillId="0" borderId="6" xfId="0" applyNumberFormat="1" applyFont="1" applyFill="1" applyBorder="1" applyAlignment="1">
      <x:alignment vertical="top"/>
    </x:xf>
    <x:xf numFmtId="201" fontId="3" fillId="0" borderId="4" xfId="0" applyNumberFormat="1" applyFont="1" applyFill="1" applyBorder="1" applyAlignment="1">
      <x:alignment vertical="top"/>
    </x:xf>
    <x:xf numFmtId="201" fontId="3" fillId="0" borderId="5" xfId="0" applyNumberFormat="1" applyFont="1" applyFill="1" applyBorder="1" applyAlignment="1">
      <x:alignment vertical="top"/>
    </x:xf>
    <x:xf numFmtId="201" fontId="3" fillId="0" borderId="6" xfId="0" applyNumberFormat="1" applyFont="1" applyFill="1" applyBorder="1" applyAlignment="1">
      <x:alignment vertical="top"/>
    </x:xf>
    <x:xf numFmtId="202" fontId="3" fillId="0" borderId="4" xfId="0" applyNumberFormat="1" applyFont="1" applyFill="1" applyBorder="1" applyAlignment="1">
      <x:alignment vertical="top"/>
    </x:xf>
    <x:xf numFmtId="202" fontId="3" fillId="0" borderId="5" xfId="0" applyNumberFormat="1" applyFont="1" applyFill="1" applyBorder="1" applyAlignment="1">
      <x:alignment vertical="top"/>
    </x:xf>
    <x:xf numFmtId="202" fontId="3" fillId="0" borderId="6" xfId="0" applyNumberFormat="1" applyFont="1" applyFill="1" applyBorder="1" applyAlignment="1">
      <x:alignment vertical="top"/>
    </x:xf>
    <x:xf numFmtId="203" fontId="3" fillId="0" borderId="4" xfId="0" applyNumberFormat="1" applyFont="1" applyFill="1" applyBorder="1" applyAlignment="1">
      <x:alignment vertical="top"/>
    </x:xf>
    <x:xf numFmtId="203" fontId="3" fillId="0" borderId="5" xfId="0" applyNumberFormat="1" applyFont="1" applyFill="1" applyBorder="1" applyAlignment="1">
      <x:alignment vertical="top"/>
    </x:xf>
    <x:xf numFmtId="203" fontId="3" fillId="0" borderId="6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7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7" fillId="0" borderId="7" xfId="0" applyNumberFormat="1" applyFont="1" applyFill="1" applyBorder="1"/>
    <x:xf numFmtId="0" fontId="7" fillId="0" borderId="7" xfId="0" applyNumberFormat="1" applyFont="1" applyFill="1" applyBorder="1"/>
    <x:xf numFmtId="204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6" fillId="0" borderId="4" xfId="0" applyNumberFormat="1" applyFont="1" applyFill="1" applyBorder="1"/>
    <x:xf numFmtId="0" fontId="6" fillId="0" borderId="4" xfId="0" applyNumberFormat="1" applyFont="1" applyFill="1" applyBorder="1"/>
    <x:xf numFmtId="204" fontId="0" fillId="0" borderId="5" xfId="0" applyNumberFormat="1" applyFont="1" applyFill="1" applyBorder="1"/>
    <x:xf numFmtId="201" fontId="0" fillId="0" borderId="5" xfId="0" applyNumberFormat="1" applyFont="1" applyFill="1" applyBorder="1"/>
    <x:xf numFmtId="201" fontId="6" fillId="0" borderId="5" xfId="0" applyNumberFormat="1" applyFont="1" applyFill="1" applyBorder="1"/>
    <x:xf numFmtId="0" fontId="6" fillId="0" borderId="5" xfId="0" applyNumberFormat="1" applyFont="1" applyFill="1" applyBorder="1"/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1" fontId="7" fillId="0" borderId="6" xfId="0" applyNumberFormat="1" applyFont="1" applyFill="1" applyBorder="1"/>
    <x:xf numFmtId="0" fontId="7" fillId="0" borderId="6" xfId="0" applyNumberFormat="1" applyFont="1" applyFill="1" applyBorder="1"/>
    <x:xf numFmtId="0" fontId="2" fillId="2" borderId="0" xfId="0" applyNumberFormat="1" applyFont="1" applyFill="1" applyBorder="1"/>
    <x:xf numFmtId="205" fontId="0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1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0" fillId="0" borderId="4" xfId="0" applyNumberFormat="1" applyFont="1" applyFill="1" applyBorder="1"/>
    <x:xf numFmtId="201" fontId="9" fillId="0" borderId="4" xfId="0" applyNumberFormat="1" applyFont="1" applyFill="1" applyBorder="1"/>
    <x:xf numFmtId="0" fontId="0" fillId="0" borderId="5" xfId="0" applyNumberFormat="1" applyFont="1" applyFill="1" applyBorder="1"/>
    <x:xf numFmtId="201" fontId="9" fillId="0" borderId="5" xfId="0" applyNumberFormat="1" applyFont="1" applyFill="1" applyBorder="1"/>
    <x:xf numFmtId="203" fontId="6" fillId="0" borderId="5" xfId="0" applyNumberFormat="1" applyFont="1" applyFill="1" applyBorder="1"/>
    <x:xf numFmtId="203" fontId="0" fillId="0" borderId="5" xfId="0" applyNumberFormat="1" applyFont="1" applyFill="1" applyBorder="1"/>
    <x:xf numFmtId="203" fontId="9" fillId="0" borderId="5" xfId="0" applyNumberFormat="1" applyFont="1" applyFill="1" applyBorder="1"/>
    <x:xf numFmtId="0" fontId="0" fillId="0" borderId="6" xfId="0" applyNumberFormat="1" applyFont="1" applyFill="1" applyBorder="1"/>
    <x:xf numFmtId="203" fontId="6" fillId="0" borderId="6" xfId="0" applyNumberFormat="1" applyFont="1" applyFill="1" applyBorder="1"/>
    <x:xf numFmtId="203" fontId="0" fillId="0" borderId="6" xfId="0" applyNumberFormat="1" applyFont="1" applyFill="1" applyBorder="1"/>
    <x:xf numFmtId="203" fontId="9" fillId="0" borderId="6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12" fillId="5" borderId="8" xfId="0" applyNumberFormat="1" applyFont="1" applyFill="1" applyBorder="1"/>
    <x:xf numFmtId="0" fontId="12" fillId="5" borderId="11" xfId="0" applyNumberFormat="1" applyFont="1" applyFill="1" applyBorder="1"/>
    <x:xf numFmtId="0" fontId="12" fillId="5" borderId="13" xfId="0" applyNumberFormat="1" applyFont="1" applyFill="1" applyBorder="1"/>
    <x:xf numFmtId="0" fontId="12" fillId="5" borderId="9" xfId="0" applyNumberFormat="1" applyFont="1" applyFill="1" applyBorder="1"/>
    <x:xf numFmtId="0" fontId="12" fillId="5" borderId="0" xfId="0" applyNumberFormat="1" applyFont="1" applyFill="1" applyBorder="1"/>
    <x:xf numFmtId="0" fontId="12" fillId="5" borderId="14" xfId="0" applyNumberFormat="1" applyFont="1" applyFill="1" applyBorder="1"/>
    <x:xf numFmtId="203" fontId="0" fillId="5" borderId="9" xfId="0" applyNumberFormat="1" applyFont="1" applyFill="1" applyBorder="1"/>
    <x:xf numFmtId="203" fontId="0" fillId="5" borderId="0" xfId="0" applyNumberFormat="1" applyFont="1" applyFill="1" applyBorder="1"/>
    <x:xf numFmtId="203" fontId="0" fillId="5" borderId="14" xfId="0" applyNumberFormat="1" applyFont="1" applyFill="1" applyBorder="1"/>
    <x:xf numFmtId="203" fontId="0" fillId="5" borderId="10" xfId="0" applyNumberFormat="1" applyFont="1" applyFill="1" applyBorder="1"/>
    <x:xf numFmtId="203" fontId="0" fillId="5" borderId="12" xfId="0" applyNumberFormat="1" applyFont="1" applyFill="1" applyBorder="1"/>
    <x:xf numFmtId="203" fontId="0" fillId="5" borderId="15" xfId="0" applyNumberFormat="1" applyFont="1" applyFill="1" applyBorder="1"/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201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E6E3D"/>
      </x:font>
      <x:fill>
        <x:patternFill patternType="solid">
          <x:bgColor rgb="FFDFF2E5"/>
        </x:patternFill>
      </x:fill>
    </x:dxf>
    <x:dxf>
      <x:font>
        <x:b/>
        <x:color rgb="FFA84435"/>
      </x:font>
      <x:fill>
        <x:patternFill patternType="solid">
          <x:bgColor rgb="FFFBE1DD"/>
        </x:patternFill>
      </x:fill>
    </x:dxf>
    <x:dxf>
      <x:font>
        <x:b/>
        <x:color rgb="FF1E6E3D"/>
      </x:font>
      <x:fill>
        <x:patternFill patternType="solid">
          <x:bgColor rgb="FFDFF2E5"/>
        </x:patternFill>
      </x:fill>
    </x:dxf>
    <x:dxf>
      <x:font>
        <x:b/>
        <x:color rgb="FFA84435"/>
      </x:font>
      <x:fill>
        <x:patternFill patternType="solid">
          <x:bgColor rgb="FFFBE1DD"/>
        </x:patternFill>
      </x:fill>
    </x:dxf>
    <x:dxf>
      <x:font>
        <x:b/>
        <x:color rgb="FFFFFFFF"/>
      </x:font>
      <x:fill>
        <x:patternFill patternType="solid">
          <x:bgColor rgb="FF1E6E3D"/>
        </x:patternFill>
      </x:fill>
    </x:dxf>
    <x:dxf>
      <x:font>
        <x:b/>
        <x:color rgb="FFFFFFFF"/>
      </x:font>
      <x:fill>
        <x:patternFill patternType="solid">
          <x:bgColor rgb="FFA8443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87a6fe86749db" /><Relationship Type="http://schemas.openxmlformats.org/officeDocument/2006/relationships/theme" Target="/xl/theme/theme1.xml" Id="R650ec5463cb948b8" /><Relationship Type="http://schemas.openxmlformats.org/officeDocument/2006/relationships/sharedStrings" Target="/xl/sharedStrings.xml" Id="R5f339370a56c49ff" /><Relationship Type="http://schemas.openxmlformats.org/officeDocument/2006/relationships/worksheet" Target="/xl/worksheets/sheet1.xml" Id="R60ac5f1c76d34be7" /><Relationship Type="http://schemas.openxmlformats.org/officeDocument/2006/relationships/worksheet" Target="/xl/worksheets/sheet2.xml" Id="Rf088ca75042f4d03" /><Relationship Type="http://schemas.openxmlformats.org/officeDocument/2006/relationships/worksheet" Target="/xl/worksheets/sheet3.xml" Id="Ra36adba8f1cf4733" /><Relationship Type="http://schemas.openxmlformats.org/officeDocument/2006/relationships/worksheet" Target="/xl/worksheets/sheet4.xml" Id="Rf1d04b98e73d4abc" /><Relationship Type="http://schemas.openxmlformats.org/officeDocument/2006/relationships/worksheet" Target="/xl/worksheets/sheet5.xml" Id="R206d121f26bc4bb2" /><Relationship Type="http://schemas.openxmlformats.org/officeDocument/2006/relationships/worksheet" Target="/xl/worksheets/sheet6.xml" Id="R0ed4ecb536214187" /><Relationship Type="http://schemas.openxmlformats.org/officeDocument/2006/relationships/worksheet" Target="/xl/worksheets/sheet7.xml" Id="R5ebf3e9d425043c0" /><Relationship Type="http://schemas.openxmlformats.org/officeDocument/2006/relationships/worksheet" Target="/xl/worksheets/sheet8.xml" Id="R93c5ad0ee50f49fa" /><Relationship Type="http://schemas.openxmlformats.org/officeDocument/2006/relationships/worksheet" Target="/xl/worksheets/sheet9.xml" Id="R21587ff0b79344f4" /><Relationship Type="http://schemas.openxmlformats.org/officeDocument/2006/relationships/worksheet" Target="/xl/worksheets/sheet10.xml" Id="R0ad92781013c4fa0" /><Relationship Type="http://schemas.openxmlformats.org/officeDocument/2006/relationships/worksheet" Target="/xl/worksheets/sheet11.xml" Id="R1624d52c520c41e5" /><Relationship Type="http://schemas.openxmlformats.org/officeDocument/2006/relationships/worksheet" Target="/xl/worksheets/sheet12.xml" Id="R1c2fc5f44bb5494c" /><Relationship Type="http://schemas.openxmlformats.org/officeDocument/2006/relationships/worksheet" Target="/xl/worksheets/sheet13.xml" Id="R645c636271f04ab3" /><Relationship Type="http://schemas.openxmlformats.org/officeDocument/2006/relationships/worksheet" Target="/xl/worksheets/sheet14.xml" Id="R3528b925a57f40f8" /><Relationship Type="http://schemas.openxmlformats.org/officeDocument/2006/relationships/worksheet" Target="/xl/worksheets/sheet15.xml" Id="Re6339b7322e8413d" /><Relationship Type="http://schemas.openxmlformats.org/officeDocument/2006/relationships/worksheet" Target="/xl/worksheets/sheet16.xml" Id="Rdca5b623c7684ab5" /><Relationship Type="http://schemas.microsoft.com/office/2017/10/relationships/person" Target="/xl/persons/person.xml" Id="Rb850131bd0e042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4ca91072e643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2027 Income, Expense, and Net Operating Result</a:t>
            </a:r>
          </a:p>
        </c:rich>
      </c:tx>
    </c:title>
    <c:plotArea>
      <c:lineChart>
        <c:grouping val="standard"/>
        <c:ser>
          <c:idx val="0"/>
          <c:order val="0"/>
          <c:tx>
            <c:v>Income</c:v>
          </c:tx>
          <c:marker>
            <c:symbol val="none"/>
          </c:marker>
          <c:cat>
            <c:strRef>
              <c:f>'Monthly Controls'!$S$6:$S$17</c:f>
              <c:strCache>
                <c:ptCount val="0"/>
              </c:strCache>
            </c:strRef>
          </c:cat>
          <c:val>
            <c:numRef>
              <c:f>'Monthly Controls'!$T$6:$T$17</c:f>
              <c:numCache>
                <c:formatCode>"$"#,##0;[Red]("$"#,##0);-</c:formatCode>
                <c:ptCount val="0"/>
              </c:numCache>
            </c:numRef>
          </c:val>
        </c:ser>
        <c:ser>
          <c:idx val="1"/>
          <c:order val="1"/>
          <c:tx>
            <c:v>Expense</c:v>
          </c:tx>
          <c:marker>
            <c:symbol val="none"/>
          </c:marker>
          <c:cat>
            <c:strRef>
              <c:f>'Monthly Controls'!$S$6:$S$17</c:f>
              <c:strCache>
                <c:ptCount val="0"/>
              </c:strCache>
            </c:strRef>
          </c:cat>
          <c:val>
            <c:numRef>
              <c:f>'Monthly Controls'!$U$6:$U$17</c:f>
              <c:numCache>
                <c:formatCode>"$"#,##0;[Red]("$"#,##0);-</c:formatCode>
                <c:ptCount val="0"/>
              </c:numCache>
            </c:numRef>
          </c:val>
        </c:ser>
        <c:ser>
          <c:idx val="2"/>
          <c:order val="2"/>
          <c:tx>
            <c:v>NOI</c:v>
          </c:tx>
          <c:marker>
            <c:symbol val="none"/>
          </c:marker>
          <c:cat>
            <c:strRef>
              <c:f>'Monthly Controls'!$S$6:$S$17</c:f>
              <c:strCache>
                <c:ptCount val="0"/>
              </c:strCache>
            </c:strRef>
          </c:cat>
          <c:val>
            <c:numRef>
              <c:f>'Monthly Controls'!$V$6:$V$17</c:f>
              <c:numCache>
                <c:formatCode>"$"#,##0;[Red]("$"#,##0);-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18</xdr:row>
      <xdr:rowOff>0</xdr:rowOff>
    </xdr:from>
    <xdr:to>
      <xdr:col>30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4ca91072e6438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D64AE7F9-7207-4169-840C-A0FC18D96BC7}"/>
</xltc:personList>
</file>

<file path=xl/tables/table1.xml><?xml version="1.0" encoding="utf-8"?>
<x:table xmlns:x="http://schemas.openxmlformats.org/spreadsheetml/2006/main" id="1" name="PortfolioTable" displayName="PortfolioTable" ref="A3:R33" headerRowCount="1" totalsRowCount="0" totalsRowShown="0">
  <x:tableColumns count="18">
    <x:tableColumn id="1" name="Property ID"/>
    <x:tableColumn id="2" name="Property Name"/>
    <x:tableColumn id="3" name="Structure"/>
    <x:tableColumn id="4" name="Address"/>
    <x:tableColumn id="5" name="City"/>
    <x:tableColumn id="6" name="State"/>
    <x:tableColumn id="7" name="ZIP"/>
    <x:tableColumn id="8" name="Owner ID"/>
    <x:tableColumn id="9" name="Owner"/>
    <x:tableColumn id="10" name="Ownership %"/>
    <x:tableColumn id="11" name="Acquired"/>
    <x:tableColumn id="12" name="Original Cost"/>
    <x:tableColumn id="13" name="Land"/>
    <x:tableColumn id="14" name="Building Basis"/>
    <x:tableColumn id="15" name="Loan ID"/>
    <x:tableColumn id="16" name="Opening Loan"/>
    <x:tableColumn id="17" name="Monthly Principal"/>
    <x:tableColumn id="18" name="Monthly Intere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sTable" displayName="UnitsTable" ref="A3:H43" headerRowCount="1" totalsRowCount="0" totalsRowShown="0">
  <x:tableColumns count="8">
    <x:tableColumn id="1" name="Unit ID"/>
    <x:tableColumn id="2" name="Property ID"/>
    <x:tableColumn id="3" name="Label"/>
    <x:tableColumn id="4" name="Bedrooms"/>
    <x:tableColumn id="5" name="Bathrooms"/>
    <x:tableColumn id="6" name="Square Feet"/>
    <x:tableColumn id="7" name="Market Rent"/>
    <x:tableColumn id="8" name="Opening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sesTable" displayName="LeasesTable" ref="A3:K48" headerRowCount="1" totalsRowCount="0" totalsRowShown="0">
  <x:tableColumns count="11">
    <x:tableColumn id="1" name="Lease ID"/>
    <x:tableColumn id="2" name="Unit ID"/>
    <x:tableColumn id="3" name="Tenant ID"/>
    <x:tableColumn id="4" name="Tenant"/>
    <x:tableColumn id="5" name="Email"/>
    <x:tableColumn id="6" name="Start"/>
    <x:tableColumn id="7" name="End"/>
    <x:tableColumn id="8" name="Monthly Rent"/>
    <x:tableColumn id="9" name="Deposit"/>
    <x:tableColumn id="10" name="Origin"/>
    <x:tableColumn id="11" name="Lifecycle Scenari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Table" displayName="ScheduleTable" ref="A3:P1999" headerRowCount="1" totalsRowCount="0" totalsRowShown="0">
  <x:tableColumns count="16">
    <x:tableColumn id="1" name="Run ID"/>
    <x:tableColumn id="2" name="Simulated Clock"/>
    <x:tableColumn id="3" name="Sequence"/>
    <x:tableColumn id="4" name="Phase"/>
    <x:tableColumn id="5" name="Role"/>
    <x:tableColumn id="6" name="Client"/>
    <x:tableColumn id="7" name="Entry Mode"/>
    <x:tableColumn id="8" name="Workflow"/>
    <x:tableColumn id="9" name="Entity Refs"/>
    <x:tableColumn id="10" name="Asset Refs"/>
    <x:tableColumn id="11" name="Financial Refs"/>
    <x:tableColumn id="12" name="Exact Actions"/>
    <x:tableColumn id="13" name="Expected Result"/>
    <x:tableColumn id="14" name="Evidence Required"/>
    <x:tableColumn id="15" name="Negative / Retry"/>
    <x:tableColumn id="16" name="Completion G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anAssetsTable" displayName="ScanAssetsTable" ref="A3:Q956" headerRowCount="1" totalsRowCount="0" totalsRowShown="0">
  <x:tableColumns count="17">
    <x:tableColumn id="1" name="Asset ID"/>
    <x:tableColumn id="2" name="Planned Date"/>
    <x:tableColumn id="3" name="Filename"/>
    <x:tableColumn id="4" name="Document Family"/>
    <x:tableColumn id="5" name="Intended Target"/>
    <x:tableColumn id="6" name="Intake Expectation"/>
    <x:tableColumn id="7" name="Format"/>
    <x:tableColumn id="8" name="Pages / Images"/>
    <x:tableColumn id="9" name="Capture Profile"/>
    <x:tableColumn id="10" name="Property ID"/>
    <x:tableColumn id="11" name="Unit ID"/>
    <x:tableColumn id="12" name="Lease ID"/>
    <x:tableColumn id="13" name="Financial Event"/>
    <x:tableColumn id="14" name="Expected Fields"/>
    <x:tableColumn id="15" name="Edge Case"/>
    <x:tableColumn id="16" name="Paired Manual Action"/>
    <x:tableColumn id="17" name="Confidentia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verageTable" displayName="CoverageTable" ref="A3:M49" headerRowCount="1" totalsRowCount="0" totalsRowShown="0">
  <x:tableColumns count="13">
    <x:tableColumn id="1" name="Coverage ID"/>
    <x:tableColumn id="2" name="Domain"/>
    <x:tableColumn id="3" name="Surface"/>
    <x:tableColumn id="4" name="Web Route"/>
    <x:tableColumn id="5" name="Mobile Surface"/>
    <x:tableColumn id="6" name="Scan / Attachment Path"/>
    <x:tableColumn id="7" name="Manual Web"/>
    <x:tableColumn id="8" name="Manual Mobile"/>
    <x:tableColumn id="9" name="Scan Web"/>
    <x:tableColumn id="10" name="Scan Mobile"/>
    <x:tableColumn id="11" name="Mobile Gap Policy"/>
    <x:tableColumn id="12" name="Acceptance Action"/>
    <x:tableColumn id="13" name="Required Proof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reensTable" displayName="ScreensTable" ref="A3:J202" headerRowCount="1" totalsRowCount="0" totalsRowShown="0">
  <x:tableColumns count="10">
    <x:tableColumn id="1" name="Screen ID"/>
    <x:tableColumn id="2" name="Client"/>
    <x:tableColumn id="3" name="Route / Surface"/>
    <x:tableColumn id="4" name="Source File"/>
    <x:tableColumn id="5" name="Primary Role"/>
    <x:tableColumn id="6" name="Allowed Roles"/>
    <x:tableColumn id="7" name="Planned Date"/>
    <x:tableColumn id="8" name="Allowed Proof"/>
    <x:tableColumn id="9" name="Denied Proof"/>
    <x:tableColumn id="10" name="Device / Responsive Proof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sTable" displayName="FieldsTable" ref="A3:L1096" headerRowCount="1" totalsRowCount="0" totalsRowShown="0">
  <x:tableColumns count="12">
    <x:tableColumn id="1" name="Field ID"/>
    <x:tableColumn id="2" name="Client"/>
    <x:tableColumn id="3" name="Screen / Component"/>
    <x:tableColumn id="4" name="Source File"/>
    <x:tableColumn id="5" name="Line"/>
    <x:tableColumn id="6" name="Control"/>
    <x:tableColumn id="7" name="Field Key"/>
    <x:tableColumn id="8" name="Label / Hint"/>
    <x:tableColumn id="9" name="Role"/>
    <x:tableColumn id="10" name="Planned Date"/>
    <x:tableColumn id="11" name="Value Set"/>
    <x:tableColumn id="12" name="Required Proof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leJourneysTable" displayName="RoleJourneysTable" ref="A3:I337" headerRowCount="1" totalsRowCount="0" totalsRowShown="0">
  <x:tableColumns count="9">
    <x:tableColumn id="1" name="Journey ID"/>
    <x:tableColumn id="2" name="Planned Date"/>
    <x:tableColumn id="3" name="Persona"/>
    <x:tableColumn id="4" name="Client"/>
    <x:tableColumn id="5" name="Screen ID"/>
    <x:tableColumn id="6" name="Surface"/>
    <x:tableColumn id="7" name="Expected Access"/>
    <x:tableColumn id="8" name="Actions"/>
    <x:tableColumn id="9" name="Proo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udLifecyclesTable" displayName="CrudLifecyclesTable" ref="A3:J38" headerRowCount="1" totalsRowCount="0" totalsRowShown="0">
  <x:tableColumns count="10">
    <x:tableColumn id="1" name="Lifecycle ID"/>
    <x:tableColumn id="2" name="Planned Date"/>
    <x:tableColumn id="3" name="Entity"/>
    <x:tableColumn id="4" name="Role"/>
    <x:tableColumn id="5" name="Lifecycle"/>
    <x:tableColumn id="6" name="Web Proof"/>
    <x:tableColumn id="7" name="Mobile Proof"/>
    <x:tableColumn id="8" name="Scan / Attachment"/>
    <x:tableColumn id="9" name="Delete Policy"/>
    <x:tableColumn id="10" name="Accepta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otificationsTable" displayName="NotificationsTable" ref="A3:I53" headerRowCount="1" totalsRowCount="0" totalsRowShown="0">
  <x:tableColumns count="9">
    <x:tableColumn id="1" name="Notification ID"/>
    <x:tableColumn id="2" name="Planned Date"/>
    <x:tableColumn id="3" name="Trigger"/>
    <x:tableColumn id="4" name="Recipients"/>
    <x:tableColumn id="5" name="Channels / Route"/>
    <x:tableColumn id="6" name="Deep Link"/>
    <x:tableColumn id="7" name="Preference Test"/>
    <x:tableColumn id="8" name="Delivery Test"/>
    <x:tableColumn id="9" name="Privacy Tes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nancialEventsTable" displayName="FinancialEventsTable" ref="A3:Z1709" headerRowCount="1" totalsRowCount="0" totalsRowShown="0">
  <x:tableColumns count="26">
    <x:tableColumn id="1" name="Event ID"/>
    <x:tableColumn id="2" name="Entry Date"/>
    <x:tableColumn id="3" name="Effective Date"/>
    <x:tableColumn id="4" name="Event Type"/>
    <x:tableColumn id="5" name="Category"/>
    <x:tableColumn id="6" name="Property ID"/>
    <x:tableColumn id="7" name="Unit ID"/>
    <x:tableColumn id="8" name="Lease ID"/>
    <x:tableColumn id="9" name="Counterparty"/>
    <x:tableColumn id="10" name="Source Mode"/>
    <x:tableColumn id="11" name="Source Asset"/>
    <x:tableColumn id="12" name="Reference"/>
    <x:tableColumn id="13" name="Amount"/>
    <x:tableColumn id="14" name="AR Delta"/>
    <x:tableColumn id="15" name="Operating Cash Delta"/>
    <x:tableColumn id="16" name="Deposit Cash Delta"/>
    <x:tableColumn id="17" name="Reserve Cash Delta"/>
    <x:tableColumn id="18" name="Deposit Liability Delta"/>
    <x:tableColumn id="19" name="Loan Liability Delta"/>
    <x:tableColumn id="20" name="Income"/>
    <x:tableColumn id="21" name="Expense"/>
    <x:tableColumn id="22" name="Owner Equity Delta"/>
    <x:tableColumn id="23" name="Owner Distribution"/>
    <x:tableColumn id="24" name="Capital Asset Delta"/>
    <x:tableColumn id="25" name="Accumulated Depreciation Delta"/>
    <x:tableColumn id="26" name="Mem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ournalTable" displayName="JournalTable" ref="A3:K3673" headerRowCount="1" totalsRowCount="0" totalsRowShown="0">
  <x:tableColumns count="11">
    <x:tableColumn id="1" name="Event ID"/>
    <x:tableColumn id="2" name="Line"/>
    <x:tableColumn id="3" name="Entry Date"/>
    <x:tableColumn id="4" name="Effective Date"/>
    <x:tableColumn id="5" name="Property ID"/>
    <x:tableColumn id="6" name="Unit ID"/>
    <x:tableColumn id="7" name="Lease ID"/>
    <x:tableColumn id="8" name="Account"/>
    <x:tableColumn id="9" name="Debit"/>
    <x:tableColumn id="10" name="Credit"/>
    <x:tableColumn id="11" name="Me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8" dT="2026-07-25T07:27:36.218" personId="{D64AE7F9-7207-4169-840C-A0FC18D96BC7}" id="{C182CD65-1E68-D415-3169-E19C00BEF4F0}">
    <xltc:text>Source: financial-oracle.csv, recalculated on the Monthly Controls sheet.</xltc:text>
  </xltc:threadedComment>
  <xltc:threadedComment ref="F10" dT="2026-07-25T07:27:36.221" personId="{D64AE7F9-7207-4169-840C-A0FC18D96BC7}" id="{711AB029-C159-6D3A-DE1E-4D92C7238A05}">
    <xltc:text>Source: journal.csv. Debits and credits must tie exactly.</xltc:text>
  </xltc:threadedComment>
  <xltc:threadedComment ref="B5" dT="2026-07-25T07:27:36.221" personId="{D64AE7F9-7207-4169-840C-A0FC18D96BC7}" id="{E0EB290E-B985-FAAF-1B7E-DD881E7EFA34}">
    <xltc:text>Model status is formula-driven from the Checks sheet.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fef4311541c42bf" /><Relationship Type="http://schemas.openxmlformats.org/officeDocument/2006/relationships/vmlDrawing" Target="/xl/drawings/vmldrawing.vml" Id="R257b96bb0b294193" /><Relationship Type="http://schemas.microsoft.com/office/2017/10/relationships/threadedComment" Target="/xl/threadedcomments/threadedcomment.xml" Id="R8f25261d1dda4a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ad2d1966103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c7edef2a69b42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07307b60f3343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71276d87d9649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928386a05664b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0998098d91543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dcb618ffcd246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53e289f40b04b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b99e944cc3e46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bfc1736262344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91c4b457274f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4c88ad41e0247f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a61c818df5248c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93f9508087b4b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6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3" t="str">
        <x:v>Rental Command — 2027 Scan-First Simulation Oracle</x:v>
      </x:c>
      <x:c r="B1" s="3" t="str">
        <x:v>Rental Command — 2027 Scan-First Simulation Oracle</x:v>
      </x:c>
      <x:c r="C1" s="3" t="str">
        <x:v>Rental Command — 2027 Scan-First Simulation Oracle</x:v>
      </x:c>
      <x:c r="D1" s="3" t="str">
        <x:v>Rental Command — 2027 Scan-First Simulation Oracle</x:v>
      </x:c>
      <x:c r="E1" s="3" t="str">
        <x:v>Rental Command — 2027 Scan-First Simulation Oracle</x:v>
      </x:c>
      <x:c r="F1" s="3" t="str">
        <x:v>Rental Command — 2027 Scan-First Simulation Oracle</x:v>
      </x:c>
      <x:c r="G1" s="3" t="str">
        <x:v>Rental Command — 2027 Scan-First Simulation Oracle</x:v>
      </x:c>
      <x:c r="H1" s="3" t="str">
        <x:v>Rental Command — 2027 Scan-First Simulation Oracle</x:v>
      </x:c>
      <x:c r="I1" s="3" t="str">
        <x:v>Rental Command — 2027 Scan-First Simulation Oracle</x:v>
      </x:c>
      <x:c r="J1" s="3" t="str">
        <x:v>Rental Command — 2027 Scan-First Simulation Oracle</x:v>
      </x:c>
    </x:row>
    <x:row r="3" ht="42" customHeight="1">
      <x:c r="A3" s="81" t="str">
        <x:v>Purpose: execute one synthetic rental-company year day by day, prove scan-first intake and manual parity on web/mobile, and reconcile every financial event against an independent double-entry oracle.</x:v>
      </x:c>
      <x:c r="B3" s="81" t="str">
        <x:v>Purpose: execute one synthetic rental-company year day by day, prove scan-first intake and manual parity on web/mobile, and reconcile every financial event against an independent double-entry oracle.</x:v>
      </x:c>
      <x:c r="C3" s="81" t="str">
        <x:v>Purpose: execute one synthetic rental-company year day by day, prove scan-first intake and manual parity on web/mobile, and reconcile every financial event against an independent double-entry oracle.</x:v>
      </x:c>
      <x:c r="D3" s="81" t="str">
        <x:v>Purpose: execute one synthetic rental-company year day by day, prove scan-first intake and manual parity on web/mobile, and reconcile every financial event against an independent double-entry oracle.</x:v>
      </x:c>
      <x:c r="E3" s="81" t="str">
        <x:v>Purpose: execute one synthetic rental-company year day by day, prove scan-first intake and manual parity on web/mobile, and reconcile every financial event against an independent double-entry oracle.</x:v>
      </x:c>
      <x:c r="F3" s="81" t="str">
        <x:v>Purpose: execute one synthetic rental-company year day by day, prove scan-first intake and manual parity on web/mobile, and reconcile every financial event against an independent double-entry oracle.</x:v>
      </x:c>
      <x:c r="G3" s="81" t="str">
        <x:v>Purpose: execute one synthetic rental-company year day by day, prove scan-first intake and manual parity on web/mobile, and reconcile every financial event against an independent double-entry oracle.</x:v>
      </x:c>
      <x:c r="H3" s="81" t="str">
        <x:v>Purpose: execute one synthetic rental-company year day by day, prove scan-first intake and manual parity on web/mobile, and reconcile every financial event against an independent double-entry oracle.</x:v>
      </x:c>
      <x:c r="I3" s="81" t="str">
        <x:v>Purpose: execute one synthetic rental-company year day by day, prove scan-first intake and manual parity on web/mobile, and reconcile every financial event against an independent double-entry oracle.</x:v>
      </x:c>
      <x:c r="J3" s="81" t="str">
        <x:v>Purpose: execute one synthetic rental-company year day by day, prove scan-first intake and manual parity on web/mobile, and reconcile every financial event against an independent double-entry oracle.</x:v>
      </x:c>
    </x:row>
    <x:row r="5">
      <x:c r="A5" s="61" t="str">
        <x:v>Model status</x:v>
      </x:c>
      <x:c r="B5" s="82" t="str">
        <x:f>IF(COUNTIF('Checks'!$F$6:$F$25,"&lt;&gt;OK")=0,"OK","REVIEW")</x:f>
        <x:v>OK</x:v>
      </x:c>
      <x:c r="F5" s="5" t="str">
        <x:v>Year financial controls</x:v>
      </x:c>
      <x:c r="G5" s="5" t="str">
        <x:v>Year financial controls</x:v>
      </x:c>
      <x:c r="H5" s="5" t="str">
        <x:v>Year financial controls</x:v>
      </x:c>
      <x:c r="I5" s="5" t="str">
        <x:v>Year financial controls</x:v>
      </x:c>
      <x:c r="J5" s="5" t="str">
        <x:v>Year financial controls</x:v>
      </x:c>
    </x:row>
    <x:row r="7">
      <x:c r="A7" s="92" t="str">
        <x:v>Properties</x:v>
      </x:c>
      <x:c r="B7" s="98" t="n">
        <x:v>30</x:v>
      </x:c>
      <x:c r="C7" s="95" t="str">
        <x:v>Units</x:v>
      </x:c>
      <x:c r="D7" s="101" t="n">
        <x:v>40</x:v>
      </x:c>
      <x:c r="F7" s="104" t="str">
        <x:v>Income</x:v>
      </x:c>
      <x:c r="G7" s="104"/>
      <x:c r="H7" s="104" t="str">
        <x:v>Expense</x:v>
      </x:c>
      <x:c r="I7" s="104"/>
      <x:c r="J7" s="104" t="str">
        <x:v>NOI</x:v>
      </x:c>
    </x:row>
    <x:row r="8">
      <x:c r="A8" s="93" t="str">
        <x:v>Opening occupied</x:v>
      </x:c>
      <x:c r="B8" s="99" t="n">
        <x:v>36</x:v>
      </x:c>
      <x:c r="C8" s="96" t="str">
        <x:v>Opening vacant</x:v>
      </x:c>
      <x:c r="D8" s="102" t="n">
        <x:v>4</x:v>
      </x:c>
      <x:c r="F8" s="106" t="n">
        <x:f>'Checks'!B7</x:f>
        <x:v>758649.8400000001</x:v>
      </x:c>
      <x:c r="G8" s="106"/>
      <x:c r="H8" s="106" t="n">
        <x:f>'Checks'!B8</x:f>
        <x:v>625578.78</x:v>
      </x:c>
      <x:c r="I8" s="106"/>
      <x:c r="J8" s="106" t="n">
        <x:f>'Checks'!B9</x:f>
        <x:v>133071.0600000001</x:v>
      </x:c>
    </x:row>
    <x:row r="9">
      <x:c r="A9" s="93" t="str">
        <x:v>Planned scans</x:v>
      </x:c>
      <x:c r="B9" s="99" t="n">
        <x:v>953</x:v>
      </x:c>
      <x:c r="C9" s="96" t="str">
        <x:v>Dated run rows</x:v>
      </x:c>
      <x:c r="D9" s="102" t="n">
        <x:v>1996</x:v>
      </x:c>
      <x:c r="F9" s="106" t="str">
        <x:v>Journal debits</x:v>
      </x:c>
      <x:c r="G9" s="106"/>
      <x:c r="H9" s="106" t="str">
        <x:v>Journal credits</x:v>
      </x:c>
      <x:c r="I9" s="106"/>
      <x:c r="J9" s="106" t="str">
        <x:v>Difference</x:v>
      </x:c>
    </x:row>
    <x:row r="10">
      <x:c r="A10" s="93" t="str">
        <x:v>Current screens</x:v>
      </x:c>
      <x:c r="B10" s="99" t="n">
        <x:v>199</x:v>
      </x:c>
      <x:c r="C10" s="96" t="str">
        <x:v>Inventoried fields</x:v>
      </x:c>
      <x:c r="D10" s="102" t="n">
        <x:v>1093</x:v>
      </x:c>
      <x:c r="F10" s="106" t="n">
        <x:f>'Checks'!B6</x:f>
        <x:v>11901703.460000005</x:v>
      </x:c>
      <x:c r="G10" s="106"/>
      <x:c r="H10" s="106" t="n">
        <x:f>'Checks'!C6</x:f>
        <x:v>11901703.460000005</x:v>
      </x:c>
      <x:c r="I10" s="106"/>
      <x:c r="J10" s="106" t="n">
        <x:f>'Checks'!D6</x:f>
        <x:v>0</x:v>
      </x:c>
    </x:row>
    <x:row r="11">
      <x:c r="A11" s="93" t="str">
        <x:v>Role journeys</x:v>
      </x:c>
      <x:c r="B11" s="99" t="n">
        <x:v>334</x:v>
      </x:c>
      <x:c r="C11" s="96" t="str">
        <x:v>Notification scenarios</x:v>
      </x:c>
      <x:c r="D11" s="102" t="n">
        <x:v>50</x:v>
      </x:c>
    </x:row>
    <x:row r="12">
      <x:c r="A12" s="94" t="str">
        <x:v>Financial events</x:v>
      </x:c>
      <x:c r="B12" s="100" t="n">
        <x:v>1706</x:v>
      </x:c>
      <x:c r="C12" s="97" t="str">
        <x:v>Coverage surfaces</x:v>
      </x:c>
      <x:c r="D12" s="103" t="n">
        <x:v>46</x:v>
      </x:c>
    </x:row>
    <x:row r="14">
      <x:c r="A14" s="61" t="str">
        <x:v>Operating instructions</x:v>
      </x:c>
      <x:c r="B14" s="61" t="str">
        <x:v>Operating instructions</x:v>
      </x:c>
      <x:c r="C14" s="61" t="str">
        <x:v>Operating instructions</x:v>
      </x:c>
      <x:c r="D14" s="61" t="str">
        <x:v>Operating instructions</x:v>
      </x:c>
      <x:c r="E14" s="61" t="str">
        <x:v>Operating instructions</x:v>
      </x:c>
      <x:c r="F14" s="61" t="str">
        <x:v>Operating instructions</x:v>
      </x:c>
      <x:c r="G14" s="61" t="str">
        <x:v>Operating instructions</x:v>
      </x:c>
      <x:c r="H14" s="61" t="str">
        <x:v>Operating instructions</x:v>
      </x:c>
      <x:c r="I14" s="61" t="str">
        <x:v>Operating instructions</x:v>
      </x:c>
      <x:c r="J14" s="61" t="str">
        <x:v>Operating instructions</x:v>
      </x:c>
    </x:row>
    <x:row r="15" ht="32" customHeight="1">
      <x:c r="A15" s="109" t="str">
        <x:v>1</x:v>
      </x:c>
      <x:c r="B15" s="111" t="str">
        <x:v>Open index.html and select the next RUN row for the simulated date.</x:v>
      </x:c>
      <x:c r="C15" s="111"/>
      <x:c r="D15" s="111"/>
      <x:c r="E15" s="111"/>
      <x:c r="F15" s="111"/>
      <x:c r="G15" s="111"/>
      <x:c r="H15" s="111"/>
      <x:c r="I15" s="111"/>
      <x:c r="J15" s="111"/>
    </x:row>
    <x:row r="16" ht="32" customHeight="1">
      <x:c r="A16" s="109" t="str">
        <x:v>2</x:v>
      </x:c>
      <x:c r="B16" s="111" t="str">
        <x:v>Set the app clock and America/New_York timezone; capture baseline counts, balances, role, and build/SHA.</x:v>
      </x:c>
      <x:c r="C16" s="111"/>
      <x:c r="D16" s="111"/>
      <x:c r="E16" s="111"/>
      <x:c r="F16" s="111"/>
      <x:c r="G16" s="111"/>
      <x:c r="H16" s="111"/>
      <x:c r="I16" s="111"/>
      <x:c r="J16" s="111"/>
    </x:row>
    <x:row r="17" ht="32" customHeight="1">
      <x:c r="A17" s="109" t="str">
        <x:v>3</x:v>
      </x:c>
      <x:c r="B17" s="111" t="str">
        <x:v>Create only the listed synthetic scan asset. Review the draft; never allow extraction to save before confirmation.</x:v>
      </x:c>
      <x:c r="C17" s="111"/>
      <x:c r="D17" s="111"/>
      <x:c r="E17" s="111"/>
      <x:c r="F17" s="111"/>
      <x:c r="G17" s="111"/>
      <x:c r="H17" s="111"/>
      <x:c r="I17" s="111"/>
      <x:c r="J17" s="111"/>
    </x:row>
    <x:row r="18" ht="32" customHeight="1">
      <x:c r="A18" s="109" t="str">
        <x:v>4</x:v>
      </x:c>
      <x:c r="B18" s="111" t="str">
        <x:v>Execute the manual web/mobile pass on the listed distinct record; do not duplicate the financial event for parity.</x:v>
      </x:c>
      <x:c r="C18" s="111"/>
      <x:c r="D18" s="111"/>
      <x:c r="E18" s="111"/>
      <x:c r="F18" s="111"/>
      <x:c r="G18" s="111"/>
      <x:c r="H18" s="111"/>
      <x:c r="I18" s="111"/>
      <x:c r="J18" s="111"/>
    </x:row>
    <x:row r="19" ht="32" customHeight="1">
      <x:c r="A19" s="109" t="str">
        <x:v>5</x:v>
      </x:c>
      <x:c r="B19" s="111" t="str">
        <x:v>Compare every FIN reference across tenant, Unit, Lease, Accounting, banking, deposits, owner, portal, and reports.</x:v>
      </x:c>
      <x:c r="C19" s="111"/>
      <x:c r="D19" s="111"/>
      <x:c r="E19" s="111"/>
      <x:c r="F19" s="111"/>
      <x:c r="G19" s="111"/>
      <x:c r="H19" s="111"/>
      <x:c r="I19" s="111"/>
      <x:c r="J19" s="111"/>
    </x:row>
    <x:row r="20" ht="32" customHeight="1">
      <x:c r="A20" s="109" t="str">
        <x:v>6</x:v>
      </x:c>
      <x:c r="B20" s="111" t="str">
        <x:v>Close the day only when evidence exists and all applicable Monthly Controls/Checks remain OK.</x:v>
      </x:c>
      <x:c r="C20" s="111"/>
      <x:c r="D20" s="111"/>
      <x:c r="E20" s="111"/>
      <x:c r="F20" s="111"/>
      <x:c r="G20" s="111"/>
      <x:c r="H20" s="111"/>
      <x:c r="I20" s="111"/>
      <x:c r="J20" s="111"/>
    </x:row>
    <x:row r="22" ht="36" customHeight="1">
      <x:c r="A22" s="114" t="str">
        <x:v>Legend — Blue text: editable operator inputs (none in frozen oracle). Green text: cross-sheet linked formulas. Black text: calculations and frozen source data. Yellow: attention. Red: failed check.</x:v>
      </x:c>
      <x:c r="B22" s="114" t="str">
        <x:v>Legend — Blue text: editable operator inputs (none in frozen oracle). Green text: cross-sheet linked formulas. Black text: calculations and frozen source data. Yellow: attention. Red: failed check.</x:v>
      </x:c>
      <x:c r="C22" s="114" t="str">
        <x:v>Legend — Blue text: editable operator inputs (none in frozen oracle). Green text: cross-sheet linked formulas. Black text: calculations and frozen source data. Yellow: attention. Red: failed check.</x:v>
      </x:c>
      <x:c r="D22" s="114" t="str">
        <x:v>Legend — Blue text: editable operator inputs (none in frozen oracle). Green text: cross-sheet linked formulas. Black text: calculations and frozen source data. Yellow: attention. Red: failed check.</x:v>
      </x:c>
      <x:c r="E22" s="114" t="str">
        <x:v>Legend — Blue text: editable operator inputs (none in frozen oracle). Green text: cross-sheet linked formulas. Black text: calculations and frozen source data. Yellow: attention. Red: failed check.</x:v>
      </x:c>
      <x:c r="F22" s="114" t="str">
        <x:v>Legend — Blue text: editable operator inputs (none in frozen oracle). Green text: cross-sheet linked formulas. Black text: calculations and frozen source data. Yellow: attention. Red: failed check.</x:v>
      </x:c>
      <x:c r="G22" s="114" t="str">
        <x:v>Legend — Blue text: editable operator inputs (none in frozen oracle). Green text: cross-sheet linked formulas. Black text: calculations and frozen source data. Yellow: attention. Red: failed check.</x:v>
      </x:c>
      <x:c r="H22" s="114" t="str">
        <x:v>Legend — Blue text: editable operator inputs (none in frozen oracle). Green text: cross-sheet linked formulas. Black text: calculations and frozen source data. Yellow: attention. Red: failed check.</x:v>
      </x:c>
      <x:c r="I22" s="114" t="str">
        <x:v>Legend — Blue text: editable operator inputs (none in frozen oracle). Green text: cross-sheet linked formulas. Black text: calculations and frozen source data. Yellow: attention. Red: failed check.</x:v>
      </x:c>
      <x:c r="J22" s="114" t="str">
        <x:v>Legend — Blue text: editable operator inputs (none in frozen oracle). Green text: cross-sheet linked formulas. Black text: calculations and frozen source data. Yellow: attention. Red: failed check.</x:v>
      </x:c>
    </x:row>
    <x:row r="24">
      <x:c r="A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B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C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D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E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F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G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H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I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J24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</x:row>
    <x:row r="25">
      <x:c r="A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B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C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D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E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F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G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H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I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J25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</x:row>
    <x:row r="26">
      <x:c r="A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B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C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D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E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F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G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H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I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J26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</x:row>
    <x:row r="27">
      <x:c r="A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B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C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D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E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F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G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H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I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  <x:c r="J27" s="117" t="str">
        <x:v>Source and limitations
This workbook is generated from the TSK-749 portfolio, calendar, scan manifest, financial-event oracle, and double-entry journal in Docs/Testing/YearSimulation2027. All names, properties, account references, documents, and signatures are synthetic QA data. This is a product-acceptance control, not legal, tax, accounting, banking, or property-management advice.</x:v>
      </x:c>
    </x:row>
  </x:sheetData>
  <x:mergeCells>
    <x:mergeCell ref="A1:J1"/>
    <x:mergeCell ref="A3:J3"/>
    <x:mergeCell ref="F5:J5"/>
    <x:mergeCell ref="A14:J14"/>
    <x:mergeCell ref="B15:J15"/>
    <x:mergeCell ref="B16:J16"/>
    <x:mergeCell ref="B17:J17"/>
    <x:mergeCell ref="B18:J18"/>
    <x:mergeCell ref="B19:J19"/>
    <x:mergeCell ref="B20:J20"/>
    <x:mergeCell ref="A22:J22"/>
    <x:mergeCell ref="A24:J27"/>
  </x:mergeCells>
  <x:conditionalFormatting sqref="B5:B5">
    <x:cfRule type="containsText" dxfId="4" priority="1" operator="containsText" text="OK"/>
    <x:cfRule type="containsText" dxfId="5" priority="2" operator="containsText" text="REVIEW"/>
  </x:conditionalFormatting>
  <x:pageMargins left="0.7" right="0.7" top="0.75" bottom="0.75" header="0.3" footer="0.3"/>
  <x:legacyDrawing xmlns:r="http://schemas.openxmlformats.org/officeDocument/2006/relationships" r:id="R257b96bb0b2941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4" hidden="0" customWidth="1"/>
  </x:cols>
  <x:sheetData>
    <x:row r="1" ht="34" customHeight="1">
      <x:c r="A1" s="3" t="str">
        <x:v>Monthly Financial Controls — Expected vs Recalculated</x:v>
      </x:c>
      <x:c r="B1" s="3" t="str">
        <x:v>Monthly Financial Controls — Expected vs Recalculated</x:v>
      </x:c>
      <x:c r="C1" s="3" t="str">
        <x:v>Monthly Financial Controls — Expected vs Recalculated</x:v>
      </x:c>
      <x:c r="D1" s="3" t="str">
        <x:v>Monthly Financial Controls — Expected vs Recalculated</x:v>
      </x:c>
      <x:c r="E1" s="3" t="str">
        <x:v>Monthly Financial Controls — Expected vs Recalculated</x:v>
      </x:c>
      <x:c r="F1" s="3" t="str">
        <x:v>Monthly Financial Controls — Expected vs Recalculated</x:v>
      </x:c>
      <x:c r="G1" s="3" t="str">
        <x:v>Monthly Financial Controls — Expected vs Recalculated</x:v>
      </x:c>
      <x:c r="H1" s="3" t="str">
        <x:v>Monthly Financial Controls — Expected vs Recalculated</x:v>
      </x:c>
      <x:c r="I1" s="3" t="str">
        <x:v>Monthly Financial Controls — Expected vs Recalculated</x:v>
      </x:c>
      <x:c r="J1" s="3" t="str">
        <x:v>Monthly Financial Controls — Expected vs Recalculated</x:v>
      </x:c>
      <x:c r="K1" s="3" t="str">
        <x:v>Monthly Financial Controls — Expected vs Recalculated</x:v>
      </x:c>
      <x:c r="L1" s="3" t="str">
        <x:v>Monthly Financial Controls — Expected vs Recalculated</x:v>
      </x:c>
      <x:c r="M1" s="3" t="str">
        <x:v>Monthly Financial Controls — Expected vs Recalculated</x:v>
      </x:c>
      <x:c r="N1" s="3" t="str">
        <x:v>Monthly Financial Controls — Expected vs Recalculated</x:v>
      </x:c>
      <x:c r="O1" s="3" t="str">
        <x:v>Monthly Financial Controls — Expected vs Recalculated</x:v>
      </x:c>
      <x:c r="P1" s="3" t="str">
        <x:v>Monthly Financial Controls — Expected vs Recalculated</x:v>
      </x:c>
      <x:c r="Q1" s="3" t="str">
        <x:v>Monthly Financial Controls — Expected vs Recalculated</x:v>
      </x:c>
    </x:row>
    <x:row r="2" ht="34" customHeight="1">
      <x:c r="A2" s="39" t="str">
        <x:v>Expected columns come from the frozen CSV oracle. Recalculated columns use SUMIFS against the Financial Events sheet by effective date. Every variance must be zero before the simulation clock advances.</x:v>
      </x:c>
      <x:c r="B2" s="39" t="str">
        <x:v>Expected columns come from the frozen CSV oracle. Recalculated columns use SUMIFS against the Financial Events sheet by effective date. Every variance must be zero before the simulation clock advances.</x:v>
      </x:c>
      <x:c r="C2" s="39" t="str">
        <x:v>Expected columns come from the frozen CSV oracle. Recalculated columns use SUMIFS against the Financial Events sheet by effective date. Every variance must be zero before the simulation clock advances.</x:v>
      </x:c>
      <x:c r="D2" s="39" t="str">
        <x:v>Expected columns come from the frozen CSV oracle. Recalculated columns use SUMIFS against the Financial Events sheet by effective date. Every variance must be zero before the simulation clock advances.</x:v>
      </x:c>
      <x:c r="E2" s="39" t="str">
        <x:v>Expected columns come from the frozen CSV oracle. Recalculated columns use SUMIFS against the Financial Events sheet by effective date. Every variance must be zero before the simulation clock advances.</x:v>
      </x:c>
      <x:c r="F2" s="39" t="str">
        <x:v>Expected columns come from the frozen CSV oracle. Recalculated columns use SUMIFS against the Financial Events sheet by effective date. Every variance must be zero before the simulation clock advances.</x:v>
      </x:c>
      <x:c r="G2" s="39" t="str">
        <x:v>Expected columns come from the frozen CSV oracle. Recalculated columns use SUMIFS against the Financial Events sheet by effective date. Every variance must be zero before the simulation clock advances.</x:v>
      </x:c>
      <x:c r="H2" s="39" t="str">
        <x:v>Expected columns come from the frozen CSV oracle. Recalculated columns use SUMIFS against the Financial Events sheet by effective date. Every variance must be zero before the simulation clock advances.</x:v>
      </x:c>
      <x:c r="I2" s="39" t="str">
        <x:v>Expected columns come from the frozen CSV oracle. Recalculated columns use SUMIFS against the Financial Events sheet by effective date. Every variance must be zero before the simulation clock advances.</x:v>
      </x:c>
      <x:c r="J2" s="39" t="str">
        <x:v>Expected columns come from the frozen CSV oracle. Recalculated columns use SUMIFS against the Financial Events sheet by effective date. Every variance must be zero before the simulation clock advances.</x:v>
      </x:c>
      <x:c r="K2" s="39" t="str">
        <x:v>Expected columns come from the frozen CSV oracle. Recalculated columns use SUMIFS against the Financial Events sheet by effective date. Every variance must be zero before the simulation clock advances.</x:v>
      </x:c>
      <x:c r="L2" s="39" t="str">
        <x:v>Expected columns come from the frozen CSV oracle. Recalculated columns use SUMIFS against the Financial Events sheet by effective date. Every variance must be zero before the simulation clock advances.</x:v>
      </x:c>
      <x:c r="M2" s="39" t="str">
        <x:v>Expected columns come from the frozen CSV oracle. Recalculated columns use SUMIFS against the Financial Events sheet by effective date. Every variance must be zero before the simulation clock advances.</x:v>
      </x:c>
      <x:c r="N2" s="39" t="str">
        <x:v>Expected columns come from the frozen CSV oracle. Recalculated columns use SUMIFS against the Financial Events sheet by effective date. Every variance must be zero before the simulation clock advances.</x:v>
      </x:c>
      <x:c r="O2" s="39" t="str">
        <x:v>Expected columns come from the frozen CSV oracle. Recalculated columns use SUMIFS against the Financial Events sheet by effective date. Every variance must be zero before the simulation clock advances.</x:v>
      </x:c>
      <x:c r="P2" s="39" t="str">
        <x:v>Expected columns come from the frozen CSV oracle. Recalculated columns use SUMIFS against the Financial Events sheet by effective date. Every variance must be zero before the simulation clock advances.</x:v>
      </x:c>
      <x:c r="Q2" s="39" t="str">
        <x:v>Expected columns come from the frozen CSV oracle. Recalculated columns use SUMIFS against the Financial Events sheet by effective date. Every variance must be zero before the simulation clock advances.</x:v>
      </x:c>
    </x:row>
    <x:row r="5" ht="30" customHeight="1">
      <x:c r="A5" s="12" t="str">
        <x:v>Month</x:v>
      </x:c>
      <x:c r="B5" s="13" t="str">
        <x:v>Expected Income</x:v>
      </x:c>
      <x:c r="C5" s="13" t="str">
        <x:v>Recalc Income</x:v>
      </x:c>
      <x:c r="D5" s="13" t="str">
        <x:v>Income Variance</x:v>
      </x:c>
      <x:c r="E5" s="13" t="str">
        <x:v>Expected Expense</x:v>
      </x:c>
      <x:c r="F5" s="13" t="str">
        <x:v>Recalc Expense</x:v>
      </x:c>
      <x:c r="G5" s="13" t="str">
        <x:v>Expense Variance</x:v>
      </x:c>
      <x:c r="H5" s="13" t="str">
        <x:v>Expected NOI</x:v>
      </x:c>
      <x:c r="I5" s="13" t="str">
        <x:v>Recalc NOI</x:v>
      </x:c>
      <x:c r="J5" s="13" t="str">
        <x:v>NOI Variance</x:v>
      </x:c>
      <x:c r="K5" s="13" t="str">
        <x:v>Expected Cash Δ</x:v>
      </x:c>
      <x:c r="L5" s="13" t="str">
        <x:v>Recalc Cash Δ</x:v>
      </x:c>
      <x:c r="M5" s="13" t="str">
        <x:v>Cash Variance</x:v>
      </x:c>
      <x:c r="N5" s="13" t="str">
        <x:v>Expected AR Δ</x:v>
      </x:c>
      <x:c r="O5" s="13" t="str">
        <x:v>Recalc AR Δ</x:v>
      </x:c>
      <x:c r="P5" s="13" t="str">
        <x:v>AR Variance</x:v>
      </x:c>
      <x:c r="Q5" s="14" t="str">
        <x:v>Status</x:v>
      </x:c>
      <x:c r="S5" s="61" t="str">
        <x:v>Month</x:v>
      </x:c>
      <x:c r="T5" s="61" t="str">
        <x:v>Income</x:v>
      </x:c>
      <x:c r="U5" s="61" t="str">
        <x:v>Expense</x:v>
      </x:c>
      <x:c r="V5" s="61" t="str">
        <x:v>NOI</x:v>
      </x:c>
    </x:row>
    <x:row r="6">
      <x:c r="A6" s="49" t="n">
        <x:v>46388</x:v>
      </x:c>
      <x:c r="B6" s="50" t="n">
        <x:v>54500</x:v>
      </x:c>
      <x:c r="C6" s="51" t="n">
        <x:f>SUMIFS('Financial Events'!$T$4:$T$1709,'Financial Events'!$C$4:$C$1709,"&gt;="&amp;A6,'Financial Events'!$C$4:$C$1709,"&lt;"&amp;DATE(2027,2,1))</x:f>
        <x:v>54500</x:v>
      </x:c>
      <x:c r="D6" s="51" t="n">
        <x:f>C6-B6</x:f>
        <x:v>0</x:v>
      </x:c>
      <x:c r="E6" s="51" t="n">
        <x:v>22544.45</x:v>
      </x:c>
      <x:c r="F6" s="51" t="n">
        <x:f>SUMIFS('Financial Events'!$U$4:$U$1709,'Financial Events'!$C$4:$C$1709,"&gt;="&amp;A6,'Financial Events'!$C$4:$C$1709,"&lt;"&amp;DATE(2027,2,1))</x:f>
        <x:v>22544.45</x:v>
      </x:c>
      <x:c r="G6" s="51" t="n">
        <x:f>F6-E6</x:f>
        <x:v>0</x:v>
      </x:c>
      <x:c r="H6" s="51" t="n">
        <x:v>31955.55</x:v>
      </x:c>
      <x:c r="I6" s="51" t="n">
        <x:f>C6-F6</x:f>
        <x:v>31955.55</x:v>
      </x:c>
      <x:c r="J6" s="51" t="n">
        <x:f>I6-H6</x:f>
        <x:v>0</x:v>
      </x:c>
      <x:c r="K6" s="51" t="n">
        <x:v>1505.55</x:v>
      </x:c>
      <x:c r="L6" s="51" t="n">
        <x:f>SUMIFS('Financial Events'!$O$4:$O$1709,'Financial Events'!$C$4:$C$1709,"&gt;="&amp;A6,'Financial Events'!$C$4:$C$1709,"&lt;"&amp;DATE(2027,2,1),'Financial Events'!$D$4:$D$1709,"&lt;&gt;OpeningBalance")</x:f>
        <x:v>1505.5499999999956</x:v>
      </x:c>
      <x:c r="M6" s="51" t="n">
        <x:f>L6-K6</x:f>
        <x:v>-4.320099833421409e-12</x:v>
      </x:c>
      <x:c r="N6" s="51" t="n">
        <x:v>0</x:v>
      </x:c>
      <x:c r="O6" s="51" t="n">
        <x:f>SUMIFS('Financial Events'!$N$4:$N$1709,'Financial Events'!$C$4:$C$1709,"&gt;="&amp;A6,'Financial Events'!$C$4:$C$1709,"&lt;"&amp;DATE(2027,2,1))</x:f>
        <x:v>0</x:v>
      </x:c>
      <x:c r="P6" s="51" t="n">
        <x:f>O6-N6</x:f>
        <x:v>0</x:v>
      </x:c>
      <x:c r="Q6" s="52" t="str">
        <x:f>IF(AND(ABS(D6)&lt;0.01,ABS(G6)&lt;0.01,ABS(J6)&lt;0.01,ABS(M6)&lt;0.01,ABS(P6)&lt;0.01),"OK","REVIEW")</x:f>
        <x:v>OK</x:v>
      </x:c>
      <x:c r="S6" s="62" t="n">
        <x:f>A6</x:f>
        <x:v>46388</x:v>
      </x:c>
      <x:c r="T6" s="43" t="n">
        <x:f>C6</x:f>
        <x:v>54500</x:v>
      </x:c>
      <x:c r="U6" s="43" t="n">
        <x:f>F6</x:f>
        <x:v>22544.45</x:v>
      </x:c>
      <x:c r="V6" s="43" t="n">
        <x:f>I6</x:f>
        <x:v>31955.55</x:v>
      </x:c>
    </x:row>
    <x:row r="7">
      <x:c r="A7" s="53" t="n">
        <x:v>46419</x:v>
      </x:c>
      <x:c r="B7" s="54" t="n">
        <x:v>56175</x:v>
      </x:c>
      <x:c r="C7" s="55" t="n">
        <x:f>SUMIFS('Financial Events'!$T$4:$T$1709,'Financial Events'!$C$4:$C$1709,"&gt;="&amp;A7,'Financial Events'!$C$4:$C$1709,"&lt;"&amp;DATE(2027,3,1))</x:f>
        <x:v>56175</x:v>
      </x:c>
      <x:c r="D7" s="55" t="n">
        <x:f>C7-B7</x:f>
        <x:v>0</x:v>
      </x:c>
      <x:c r="E7" s="55" t="n">
        <x:v>23156.5</x:v>
      </x:c>
      <x:c r="F7" s="55" t="n">
        <x:f>SUMIFS('Financial Events'!$U$4:$U$1709,'Financial Events'!$C$4:$C$1709,"&gt;="&amp;A7,'Financial Events'!$C$4:$C$1709,"&lt;"&amp;DATE(2027,3,1))</x:f>
        <x:v>23156.5</x:v>
      </x:c>
      <x:c r="G7" s="55" t="n">
        <x:f>F7-E7</x:f>
        <x:v>0</x:v>
      </x:c>
      <x:c r="H7" s="55" t="n">
        <x:v>33018.5</x:v>
      </x:c>
      <x:c r="I7" s="55" t="n">
        <x:f>C7-F7</x:f>
        <x:v>33018.5</x:v>
      </x:c>
      <x:c r="J7" s="55" t="n">
        <x:f>I7-H7</x:f>
        <x:v>0</x:v>
      </x:c>
      <x:c r="K7" s="55" t="n">
        <x:v>1568.5</x:v>
      </x:c>
      <x:c r="L7" s="55" t="n">
        <x:f>SUMIFS('Financial Events'!$O$4:$O$1709,'Financial Events'!$C$4:$C$1709,"&gt;="&amp;A7,'Financial Events'!$C$4:$C$1709,"&lt;"&amp;DATE(2027,3,1),'Financial Events'!$D$4:$D$1709,"&lt;&gt;OpeningBalance")</x:f>
        <x:v>1568.5</x:v>
      </x:c>
      <x:c r="M7" s="55" t="n">
        <x:f>L7-K7</x:f>
        <x:v>0</x:v>
      </x:c>
      <x:c r="N7" s="55" t="n">
        <x:v>0</x:v>
      </x:c>
      <x:c r="O7" s="55" t="n">
        <x:f>SUMIFS('Financial Events'!$N$4:$N$1709,'Financial Events'!$C$4:$C$1709,"&gt;="&amp;A7,'Financial Events'!$C$4:$C$1709,"&lt;"&amp;DATE(2027,3,1))</x:f>
        <x:v>0</x:v>
      </x:c>
      <x:c r="P7" s="55" t="n">
        <x:f>O7-N7</x:f>
        <x:v>0</x:v>
      </x:c>
      <x:c r="Q7" s="56" t="str">
        <x:f>IF(AND(ABS(D7)&lt;0.01,ABS(G7)&lt;0.01,ABS(J7)&lt;0.01,ABS(M7)&lt;0.01,ABS(P7)&lt;0.01),"OK","REVIEW")</x:f>
        <x:v>OK</x:v>
      </x:c>
      <x:c r="S7" s="62" t="n">
        <x:f>A7</x:f>
        <x:v>46419</x:v>
      </x:c>
      <x:c r="T7" s="43" t="n">
        <x:f>C7</x:f>
        <x:v>56175</x:v>
      </x:c>
      <x:c r="U7" s="43" t="n">
        <x:f>F7</x:f>
        <x:v>23156.5</x:v>
      </x:c>
      <x:c r="V7" s="43" t="n">
        <x:f>I7</x:f>
        <x:v>33018.5</x:v>
      </x:c>
    </x:row>
    <x:row r="8">
      <x:c r="A8" s="53" t="n">
        <x:v>46447</x:v>
      </x:c>
      <x:c r="B8" s="54" t="n">
        <x:v>55047.9</x:v>
      </x:c>
      <x:c r="C8" s="55" t="n">
        <x:f>SUMIFS('Financial Events'!$T$4:$T$1709,'Financial Events'!$C$4:$C$1709,"&gt;="&amp;A8,'Financial Events'!$C$4:$C$1709,"&lt;"&amp;DATE(2027,4,1))</x:f>
        <x:v>55047.9</x:v>
      </x:c>
      <x:c r="D8" s="55" t="n">
        <x:f>C8-B8</x:f>
        <x:v>0</x:v>
      </x:c>
      <x:c r="E8" s="55" t="n">
        <x:v>45421.9</x:v>
      </x:c>
      <x:c r="F8" s="55" t="n">
        <x:f>SUMIFS('Financial Events'!$U$4:$U$1709,'Financial Events'!$C$4:$C$1709,"&gt;="&amp;A8,'Financial Events'!$C$4:$C$1709,"&lt;"&amp;DATE(2027,4,1))</x:f>
        <x:v>45421.9</x:v>
      </x:c>
      <x:c r="G8" s="55" t="n">
        <x:f>F8-E8</x:f>
        <x:v>0</x:v>
      </x:c>
      <x:c r="H8" s="55" t="n">
        <x:v>9626</x:v>
      </x:c>
      <x:c r="I8" s="55" t="n">
        <x:f>C8-F8</x:f>
        <x:v>9626</x:v>
      </x:c>
      <x:c r="J8" s="55" t="n">
        <x:f>I8-H8</x:f>
        <x:v>0</x:v>
      </x:c>
      <x:c r="K8" s="55" t="n">
        <x:v>-19824</x:v>
      </x:c>
      <x:c r="L8" s="55" t="n">
        <x:f>SUMIFS('Financial Events'!$O$4:$O$1709,'Financial Events'!$C$4:$C$1709,"&gt;="&amp;A8,'Financial Events'!$C$4:$C$1709,"&lt;"&amp;DATE(2027,4,1),'Financial Events'!$D$4:$D$1709,"&lt;&gt;OpeningBalance")</x:f>
        <x:v>-19824</x:v>
      </x:c>
      <x:c r="M8" s="55" t="n">
        <x:f>L8-K8</x:f>
        <x:v>0</x:v>
      </x:c>
      <x:c r="N8" s="55" t="n">
        <x:v>0</x:v>
      </x:c>
      <x:c r="O8" s="55" t="n">
        <x:f>SUMIFS('Financial Events'!$N$4:$N$1709,'Financial Events'!$C$4:$C$1709,"&gt;="&amp;A8,'Financial Events'!$C$4:$C$1709,"&lt;"&amp;DATE(2027,4,1))</x:f>
        <x:v>-5.684341886080802e-14</x:v>
      </x:c>
      <x:c r="P8" s="55" t="n">
        <x:f>O8-N8</x:f>
        <x:v>-5.684341886080802e-14</x:v>
      </x:c>
      <x:c r="Q8" s="56" t="str">
        <x:f>IF(AND(ABS(D8)&lt;0.01,ABS(G8)&lt;0.01,ABS(J8)&lt;0.01,ABS(M8)&lt;0.01,ABS(P8)&lt;0.01),"OK","REVIEW")</x:f>
        <x:v>OK</x:v>
      </x:c>
      <x:c r="S8" s="62" t="n">
        <x:f>A8</x:f>
        <x:v>46447</x:v>
      </x:c>
      <x:c r="T8" s="43" t="n">
        <x:f>C8</x:f>
        <x:v>55047.9</x:v>
      </x:c>
      <x:c r="U8" s="43" t="n">
        <x:f>F8</x:f>
        <x:v>45421.9</x:v>
      </x:c>
      <x:c r="V8" s="43" t="n">
        <x:f>I8</x:f>
        <x:v>9626</x:v>
      </x:c>
    </x:row>
    <x:row r="9">
      <x:c r="A9" s="53" t="n">
        <x:v>46478</x:v>
      </x:c>
      <x:c r="B9" s="54" t="n">
        <x:v>57525</x:v>
      </x:c>
      <x:c r="C9" s="55" t="n">
        <x:f>SUMIFS('Financial Events'!$T$4:$T$1709,'Financial Events'!$C$4:$C$1709,"&gt;="&amp;A9,'Financial Events'!$C$4:$C$1709,"&lt;"&amp;DATE(2027,5,1))</x:f>
        <x:v>57525</x:v>
      </x:c>
      <x:c r="D9" s="55" t="n">
        <x:f>C9-B9</x:f>
        <x:v>0</x:v>
      </x:c>
      <x:c r="E9" s="55" t="n">
        <x:v>21801.9</x:v>
      </x:c>
      <x:c r="F9" s="55" t="n">
        <x:f>SUMIFS('Financial Events'!$U$4:$U$1709,'Financial Events'!$C$4:$C$1709,"&gt;="&amp;A9,'Financial Events'!$C$4:$C$1709,"&lt;"&amp;DATE(2027,5,1))</x:f>
        <x:v>21801.9</x:v>
      </x:c>
      <x:c r="G9" s="55" t="n">
        <x:f>F9-E9</x:f>
        <x:v>0</x:v>
      </x:c>
      <x:c r="H9" s="55" t="n">
        <x:v>35723.1</x:v>
      </x:c>
      <x:c r="I9" s="55" t="n">
        <x:f>C9-F9</x:f>
        <x:v>35723.1</x:v>
      </x:c>
      <x:c r="J9" s="55" t="n">
        <x:f>I9-H9</x:f>
        <x:v>0</x:v>
      </x:c>
      <x:c r="K9" s="55" t="n">
        <x:v>5273.1</x:v>
      </x:c>
      <x:c r="L9" s="55" t="n">
        <x:f>SUMIFS('Financial Events'!$O$4:$O$1709,'Financial Events'!$C$4:$C$1709,"&gt;="&amp;A9,'Financial Events'!$C$4:$C$1709,"&lt;"&amp;DATE(2027,5,1),'Financial Events'!$D$4:$D$1709,"&lt;&gt;OpeningBalance")</x:f>
        <x:v>5273.0999999999985</x:v>
      </x:c>
      <x:c r="M9" s="55" t="n">
        <x:f>L9-K9</x:f>
        <x:v>-1.8189894035458565e-12</x:v>
      </x:c>
      <x:c r="N9" s="55" t="n">
        <x:v>0</x:v>
      </x:c>
      <x:c r="O9" s="55" t="n">
        <x:f>SUMIFS('Financial Events'!$N$4:$N$1709,'Financial Events'!$C$4:$C$1709,"&gt;="&amp;A9,'Financial Events'!$C$4:$C$1709,"&lt;"&amp;DATE(2027,5,1))</x:f>
        <x:v>0</x:v>
      </x:c>
      <x:c r="P9" s="55" t="n">
        <x:f>O9-N9</x:f>
        <x:v>0</x:v>
      </x:c>
      <x:c r="Q9" s="56" t="str">
        <x:f>IF(AND(ABS(D9)&lt;0.01,ABS(G9)&lt;0.01,ABS(J9)&lt;0.01,ABS(M9)&lt;0.01,ABS(P9)&lt;0.01),"OK","REVIEW")</x:f>
        <x:v>OK</x:v>
      </x:c>
      <x:c r="S9" s="62" t="n">
        <x:f>A9</x:f>
        <x:v>46478</x:v>
      </x:c>
      <x:c r="T9" s="43" t="n">
        <x:f>C9</x:f>
        <x:v>57525</x:v>
      </x:c>
      <x:c r="U9" s="43" t="n">
        <x:f>F9</x:f>
        <x:v>21801.9</x:v>
      </x:c>
      <x:c r="V9" s="43" t="n">
        <x:f>I9</x:f>
        <x:v>35723.1</x:v>
      </x:c>
    </x:row>
    <x:row r="10">
      <x:c r="A10" s="53" t="n">
        <x:v>46508</x:v>
      </x:c>
      <x:c r="B10" s="54" t="n">
        <x:v>57950</x:v>
      </x:c>
      <x:c r="C10" s="55" t="n">
        <x:f>SUMIFS('Financial Events'!$T$4:$T$1709,'Financial Events'!$C$4:$C$1709,"&gt;="&amp;A10,'Financial Events'!$C$4:$C$1709,"&lt;"&amp;DATE(2027,6,1))</x:f>
        <x:v>57950</x:v>
      </x:c>
      <x:c r="D10" s="55" t="n">
        <x:f>C10-B10</x:f>
        <x:v>0</x:v>
      </x:c>
      <x:c r="E10" s="55" t="n">
        <x:v>23036.7</x:v>
      </x:c>
      <x:c r="F10" s="55" t="n">
        <x:f>SUMIFS('Financial Events'!$U$4:$U$1709,'Financial Events'!$C$4:$C$1709,"&gt;="&amp;A10,'Financial Events'!$C$4:$C$1709,"&lt;"&amp;DATE(2027,6,1))</x:f>
        <x:v>23036.7</x:v>
      </x:c>
      <x:c r="G10" s="55" t="n">
        <x:f>F10-E10</x:f>
        <x:v>0</x:v>
      </x:c>
      <x:c r="H10" s="55" t="n">
        <x:v>34913.3</x:v>
      </x:c>
      <x:c r="I10" s="55" t="n">
        <x:f>C10-F10</x:f>
        <x:v>34913.3</x:v>
      </x:c>
      <x:c r="J10" s="55" t="n">
        <x:f>I10-H10</x:f>
        <x:v>0</x:v>
      </x:c>
      <x:c r="K10" s="55" t="n">
        <x:v>-3161.7</x:v>
      </x:c>
      <x:c r="L10" s="55" t="n">
        <x:f>SUMIFS('Financial Events'!$O$4:$O$1709,'Financial Events'!$C$4:$C$1709,"&gt;="&amp;A10,'Financial Events'!$C$4:$C$1709,"&lt;"&amp;DATE(2027,6,1),'Financial Events'!$D$4:$D$1709,"&lt;&gt;OpeningBalance")</x:f>
        <x:v>-3161.699999999997</x:v>
      </x:c>
      <x:c r="M10" s="55" t="n">
        <x:f>L10-K10</x:f>
        <x:v>2.7284841053187847e-12</x:v>
      </x:c>
      <x:c r="N10" s="55" t="n">
        <x:v>425</x:v>
      </x:c>
      <x:c r="O10" s="55" t="n">
        <x:f>SUMIFS('Financial Events'!$N$4:$N$1709,'Financial Events'!$C$4:$C$1709,"&gt;="&amp;A10,'Financial Events'!$C$4:$C$1709,"&lt;"&amp;DATE(2027,6,1))</x:f>
        <x:v>425</x:v>
      </x:c>
      <x:c r="P10" s="55" t="n">
        <x:f>O10-N10</x:f>
        <x:v>0</x:v>
      </x:c>
      <x:c r="Q10" s="56" t="str">
        <x:f>IF(AND(ABS(D10)&lt;0.01,ABS(G10)&lt;0.01,ABS(J10)&lt;0.01,ABS(M10)&lt;0.01,ABS(P10)&lt;0.01),"OK","REVIEW")</x:f>
        <x:v>OK</x:v>
      </x:c>
      <x:c r="S10" s="62" t="n">
        <x:f>A10</x:f>
        <x:v>46508</x:v>
      </x:c>
      <x:c r="T10" s="43" t="n">
        <x:f>C10</x:f>
        <x:v>57950</x:v>
      </x:c>
      <x:c r="U10" s="43" t="n">
        <x:f>F10</x:f>
        <x:v>23036.7</x:v>
      </x:c>
      <x:c r="V10" s="43" t="n">
        <x:f>I10</x:f>
        <x:v>34913.3</x:v>
      </x:c>
    </x:row>
    <x:row r="11">
      <x:c r="A11" s="53" t="n">
        <x:v>46539</x:v>
      </x:c>
      <x:c r="B11" s="54" t="n">
        <x:v>58800</x:v>
      </x:c>
      <x:c r="C11" s="55" t="n">
        <x:f>SUMIFS('Financial Events'!$T$4:$T$1709,'Financial Events'!$C$4:$C$1709,"&gt;="&amp;A11,'Financial Events'!$C$4:$C$1709,"&lt;"&amp;DATE(2027,7,1))</x:f>
        <x:v>58800</x:v>
      </x:c>
      <x:c r="D11" s="55" t="n">
        <x:f>C11-B11</x:f>
        <x:v>0</x:v>
      </x:c>
      <x:c r="E11" s="55" t="n">
        <x:v>45292.7</x:v>
      </x:c>
      <x:c r="F11" s="55" t="n">
        <x:f>SUMIFS('Financial Events'!$U$4:$U$1709,'Financial Events'!$C$4:$C$1709,"&gt;="&amp;A11,'Financial Events'!$C$4:$C$1709,"&lt;"&amp;DATE(2027,7,1))</x:f>
        <x:v>45292.7</x:v>
      </x:c>
      <x:c r="G11" s="55" t="n">
        <x:f>F11-E11</x:f>
        <x:v>0</x:v>
      </x:c>
      <x:c r="H11" s="55" t="n">
        <x:v>13507.3</x:v>
      </x:c>
      <x:c r="I11" s="55" t="n">
        <x:f>C11-F11</x:f>
        <x:v>13507.300000000003</x:v>
      </x:c>
      <x:c r="J11" s="55" t="n">
        <x:f>I11-H11</x:f>
        <x:v>3.637978807091713e-12</x:v>
      </x:c>
      <x:c r="K11" s="55" t="n">
        <x:v>-15867.7</x:v>
      </x:c>
      <x:c r="L11" s="55" t="n">
        <x:f>SUMIFS('Financial Events'!$O$4:$O$1709,'Financial Events'!$C$4:$C$1709,"&gt;="&amp;A11,'Financial Events'!$C$4:$C$1709,"&lt;"&amp;DATE(2027,7,1),'Financial Events'!$D$4:$D$1709,"&lt;&gt;OpeningBalance")</x:f>
        <x:v>-15867.700000000004</x:v>
      </x:c>
      <x:c r="M11" s="55" t="n">
        <x:f>L11-K11</x:f>
        <x:v>-3.637978807091713e-12</x:v>
      </x:c>
      <x:c r="N11" s="55" t="n">
        <x:v>-75</x:v>
      </x:c>
      <x:c r="O11" s="55" t="n">
        <x:f>SUMIFS('Financial Events'!$N$4:$N$1709,'Financial Events'!$C$4:$C$1709,"&gt;="&amp;A11,'Financial Events'!$C$4:$C$1709,"&lt;"&amp;DATE(2027,7,1))</x:f>
        <x:v>-75</x:v>
      </x:c>
      <x:c r="P11" s="55" t="n">
        <x:f>O11-N11</x:f>
        <x:v>0</x:v>
      </x:c>
      <x:c r="Q11" s="56" t="str">
        <x:f>IF(AND(ABS(D11)&lt;0.01,ABS(G11)&lt;0.01,ABS(J11)&lt;0.01,ABS(M11)&lt;0.01,ABS(P11)&lt;0.01),"OK","REVIEW")</x:f>
        <x:v>OK</x:v>
      </x:c>
      <x:c r="S11" s="62" t="n">
        <x:f>A11</x:f>
        <x:v>46539</x:v>
      </x:c>
      <x:c r="T11" s="43" t="n">
        <x:f>C11</x:f>
        <x:v>58800</x:v>
      </x:c>
      <x:c r="U11" s="43" t="n">
        <x:f>F11</x:f>
        <x:v>45292.7</x:v>
      </x:c>
      <x:c r="V11" s="43" t="n">
        <x:f>I11</x:f>
        <x:v>13507.300000000003</x:v>
      </x:c>
    </x:row>
    <x:row r="12">
      <x:c r="A12" s="53" t="n">
        <x:v>46569</x:v>
      </x:c>
      <x:c r="B12" s="54" t="n">
        <x:v>57475</x:v>
      </x:c>
      <x:c r="C12" s="55" t="n">
        <x:f>SUMIFS('Financial Events'!$T$4:$T$1709,'Financial Events'!$C$4:$C$1709,"&gt;="&amp;A12,'Financial Events'!$C$4:$C$1709,"&lt;"&amp;DATE(2027,8,1))</x:f>
        <x:v>57475</x:v>
      </x:c>
      <x:c r="D12" s="55" t="n">
        <x:f>C12-B12</x:f>
        <x:v>0</x:v>
      </x:c>
      <x:c r="E12" s="55" t="n">
        <x:v>20469.25</x:v>
      </x:c>
      <x:c r="F12" s="55" t="n">
        <x:f>SUMIFS('Financial Events'!$U$4:$U$1709,'Financial Events'!$C$4:$C$1709,"&gt;="&amp;A12,'Financial Events'!$C$4:$C$1709,"&lt;"&amp;DATE(2027,8,1))</x:f>
        <x:v>20469.25</x:v>
      </x:c>
      <x:c r="G12" s="55" t="n">
        <x:f>F12-E12</x:f>
        <x:v>0</x:v>
      </x:c>
      <x:c r="H12" s="55" t="n">
        <x:v>37005.75</x:v>
      </x:c>
      <x:c r="I12" s="55" t="n">
        <x:f>C12-F12</x:f>
        <x:v>37005.75</x:v>
      </x:c>
      <x:c r="J12" s="55" t="n">
        <x:f>I12-H12</x:f>
        <x:v>0</x:v>
      </x:c>
      <x:c r="K12" s="55" t="n">
        <x:v>6555.75</x:v>
      </x:c>
      <x:c r="L12" s="55" t="n">
        <x:f>SUMIFS('Financial Events'!$O$4:$O$1709,'Financial Events'!$C$4:$C$1709,"&gt;="&amp;A12,'Financial Events'!$C$4:$C$1709,"&lt;"&amp;DATE(2027,8,1),'Financial Events'!$D$4:$D$1709,"&lt;&gt;OpeningBalance")</x:f>
        <x:v>6555.75</x:v>
      </x:c>
      <x:c r="M12" s="55" t="n">
        <x:f>L12-K12</x:f>
        <x:v>0</x:v>
      </x:c>
      <x:c r="N12" s="55" t="n">
        <x:v>0</x:v>
      </x:c>
      <x:c r="O12" s="55" t="n">
        <x:f>SUMIFS('Financial Events'!$N$4:$N$1709,'Financial Events'!$C$4:$C$1709,"&gt;="&amp;A12,'Financial Events'!$C$4:$C$1709,"&lt;"&amp;DATE(2027,8,1))</x:f>
        <x:v>0</x:v>
      </x:c>
      <x:c r="P12" s="55" t="n">
        <x:f>O12-N12</x:f>
        <x:v>0</x:v>
      </x:c>
      <x:c r="Q12" s="56" t="str">
        <x:f>IF(AND(ABS(D12)&lt;0.01,ABS(G12)&lt;0.01,ABS(J12)&lt;0.01,ABS(M12)&lt;0.01,ABS(P12)&lt;0.01),"OK","REVIEW")</x:f>
        <x:v>OK</x:v>
      </x:c>
      <x:c r="S12" s="62" t="n">
        <x:f>A12</x:f>
        <x:v>46569</x:v>
      </x:c>
      <x:c r="T12" s="43" t="n">
        <x:f>C12</x:f>
        <x:v>57475</x:v>
      </x:c>
      <x:c r="U12" s="43" t="n">
        <x:f>F12</x:f>
        <x:v>20469.25</x:v>
      </x:c>
      <x:c r="V12" s="43" t="n">
        <x:f>I12</x:f>
        <x:v>37005.75</x:v>
      </x:c>
    </x:row>
    <x:row r="13">
      <x:c r="A13" s="53" t="n">
        <x:v>46600</x:v>
      </x:c>
      <x:c r="B13" s="54" t="n">
        <x:v>59725</x:v>
      </x:c>
      <x:c r="C13" s="55" t="n">
        <x:f>SUMIFS('Financial Events'!$T$4:$T$1709,'Financial Events'!$C$4:$C$1709,"&gt;="&amp;A13,'Financial Events'!$C$4:$C$1709,"&lt;"&amp;DATE(2027,9,1))</x:f>
        <x:v>59725</x:v>
      </x:c>
      <x:c r="D13" s="55" t="n">
        <x:f>C13-B13</x:f>
        <x:v>0</x:v>
      </x:c>
      <x:c r="E13" s="55" t="n">
        <x:v>21474.35</x:v>
      </x:c>
      <x:c r="F13" s="55" t="n">
        <x:f>SUMIFS('Financial Events'!$U$4:$U$1709,'Financial Events'!$C$4:$C$1709,"&gt;="&amp;A13,'Financial Events'!$C$4:$C$1709,"&lt;"&amp;DATE(2027,9,1))</x:f>
        <x:v>21474.35</x:v>
      </x:c>
      <x:c r="G13" s="55" t="n">
        <x:f>F13-E13</x:f>
        <x:v>0</x:v>
      </x:c>
      <x:c r="H13" s="55" t="n">
        <x:v>38250.65</x:v>
      </x:c>
      <x:c r="I13" s="55" t="n">
        <x:f>C13-F13</x:f>
        <x:v>38250.65</x:v>
      </x:c>
      <x:c r="J13" s="55" t="n">
        <x:f>I13-H13</x:f>
        <x:v>0</x:v>
      </x:c>
      <x:c r="K13" s="55" t="n">
        <x:v>6475.65</x:v>
      </x:c>
      <x:c r="L13" s="55" t="n">
        <x:f>SUMIFS('Financial Events'!$O$4:$O$1709,'Financial Events'!$C$4:$C$1709,"&gt;="&amp;A13,'Financial Events'!$C$4:$C$1709,"&lt;"&amp;DATE(2027,9,1),'Financial Events'!$D$4:$D$1709,"&lt;&gt;OpeningBalance")</x:f>
        <x:v>6475.6500000000015</x:v>
      </x:c>
      <x:c r="M13" s="55" t="n">
        <x:f>L13-K13</x:f>
        <x:v>1.8189894035458565e-12</x:v>
      </x:c>
      <x:c r="N13" s="55" t="n">
        <x:v>325</x:v>
      </x:c>
      <x:c r="O13" s="55" t="n">
        <x:f>SUMIFS('Financial Events'!$N$4:$N$1709,'Financial Events'!$C$4:$C$1709,"&gt;="&amp;A13,'Financial Events'!$C$4:$C$1709,"&lt;"&amp;DATE(2027,9,1))</x:f>
        <x:v>325</x:v>
      </x:c>
      <x:c r="P13" s="55" t="n">
        <x:f>O13-N13</x:f>
        <x:v>0</x:v>
      </x:c>
      <x:c r="Q13" s="56" t="str">
        <x:f>IF(AND(ABS(D13)&lt;0.01,ABS(G13)&lt;0.01,ABS(J13)&lt;0.01,ABS(M13)&lt;0.01,ABS(P13)&lt;0.01),"OK","REVIEW")</x:f>
        <x:v>OK</x:v>
      </x:c>
      <x:c r="S13" s="62" t="n">
        <x:f>A13</x:f>
        <x:v>46600</x:v>
      </x:c>
      <x:c r="T13" s="43" t="n">
        <x:f>C13</x:f>
        <x:v>59725</x:v>
      </x:c>
      <x:c r="U13" s="43" t="n">
        <x:f>F13</x:f>
        <x:v>21474.35</x:v>
      </x:c>
      <x:c r="V13" s="43" t="n">
        <x:f>I13</x:f>
        <x:v>38250.65</x:v>
      </x:c>
    </x:row>
    <x:row r="14">
      <x:c r="A14" s="53" t="n">
        <x:v>46631</x:v>
      </x:c>
      <x:c r="B14" s="54" t="n">
        <x:v>57250</x:v>
      </x:c>
      <x:c r="C14" s="55" t="n">
        <x:f>SUMIFS('Financial Events'!$T$4:$T$1709,'Financial Events'!$C$4:$C$1709,"&gt;="&amp;A14,'Financial Events'!$C$4:$C$1709,"&lt;"&amp;DATE(2027,10,1))</x:f>
        <x:v>57250</x:v>
      </x:c>
      <x:c r="D14" s="55" t="n">
        <x:f>C14-B14</x:f>
        <x:v>0</x:v>
      </x:c>
      <x:c r="E14" s="55" t="n">
        <x:v>42104.45</x:v>
      </x:c>
      <x:c r="F14" s="55" t="n">
        <x:f>SUMIFS('Financial Events'!$U$4:$U$1709,'Financial Events'!$C$4:$C$1709,"&gt;="&amp;A14,'Financial Events'!$C$4:$C$1709,"&lt;"&amp;DATE(2027,10,1))</x:f>
        <x:v>42104.45</x:v>
      </x:c>
      <x:c r="G14" s="55" t="n">
        <x:f>F14-E14</x:f>
        <x:v>0</x:v>
      </x:c>
      <x:c r="H14" s="55" t="n">
        <x:v>15145.55</x:v>
      </x:c>
      <x:c r="I14" s="55" t="n">
        <x:f>C14-F14</x:f>
        <x:v>15145.550000000003</x:v>
      </x:c>
      <x:c r="J14" s="55" t="n">
        <x:f>I14-H14</x:f>
        <x:v>3.637978807091713e-12</x:v>
      </x:c>
      <x:c r="K14" s="55" t="n">
        <x:v>-13979.45</x:v>
      </x:c>
      <x:c r="L14" s="55" t="n">
        <x:f>SUMIFS('Financial Events'!$O$4:$O$1709,'Financial Events'!$C$4:$C$1709,"&gt;="&amp;A14,'Financial Events'!$C$4:$C$1709,"&lt;"&amp;DATE(2027,10,1),'Financial Events'!$D$4:$D$1709,"&lt;&gt;OpeningBalance")</x:f>
        <x:v>-13979.450000000004</x:v>
      </x:c>
      <x:c r="M14" s="55" t="n">
        <x:f>L14-K14</x:f>
        <x:v>-3.637978807091713e-12</x:v>
      </x:c>
      <x:c r="N14" s="55" t="n">
        <x:v>-325</x:v>
      </x:c>
      <x:c r="O14" s="55" t="n">
        <x:f>SUMIFS('Financial Events'!$N$4:$N$1709,'Financial Events'!$C$4:$C$1709,"&gt;="&amp;A14,'Financial Events'!$C$4:$C$1709,"&lt;"&amp;DATE(2027,10,1))</x:f>
        <x:v>-325</x:v>
      </x:c>
      <x:c r="P14" s="55" t="n">
        <x:f>O14-N14</x:f>
        <x:v>0</x:v>
      </x:c>
      <x:c r="Q14" s="56" t="str">
        <x:f>IF(AND(ABS(D14)&lt;0.01,ABS(G14)&lt;0.01,ABS(J14)&lt;0.01,ABS(M14)&lt;0.01,ABS(P14)&lt;0.01),"OK","REVIEW")</x:f>
        <x:v>OK</x:v>
      </x:c>
      <x:c r="S14" s="62" t="n">
        <x:f>A14</x:f>
        <x:v>46631</x:v>
      </x:c>
      <x:c r="T14" s="43" t="n">
        <x:f>C14</x:f>
        <x:v>57250</x:v>
      </x:c>
      <x:c r="U14" s="43" t="n">
        <x:f>F14</x:f>
        <x:v>42104.45</x:v>
      </x:c>
      <x:c r="V14" s="43" t="n">
        <x:f>I14</x:f>
        <x:v>15145.550000000003</x:v>
      </x:c>
    </x:row>
    <x:row r="15">
      <x:c r="A15" s="53" t="n">
        <x:v>46661</x:v>
      </x:c>
      <x:c r="B15" s="54" t="n">
        <x:v>59150</x:v>
      </x:c>
      <x:c r="C15" s="55" t="n">
        <x:f>SUMIFS('Financial Events'!$T$4:$T$1709,'Financial Events'!$C$4:$C$1709,"&gt;="&amp;A15,'Financial Events'!$C$4:$C$1709,"&lt;"&amp;DATE(2027,11,1))</x:f>
        <x:v>59150</x:v>
      </x:c>
      <x:c r="D15" s="55" t="n">
        <x:f>C15-B15</x:f>
        <x:v>0</x:v>
      </x:c>
      <x:c r="E15" s="55" t="n">
        <x:v>20706.5</x:v>
      </x:c>
      <x:c r="F15" s="55" t="n">
        <x:f>SUMIFS('Financial Events'!$U$4:$U$1709,'Financial Events'!$C$4:$C$1709,"&gt;="&amp;A15,'Financial Events'!$C$4:$C$1709,"&lt;"&amp;DATE(2027,11,1))</x:f>
        <x:v>20706.5</x:v>
      </x:c>
      <x:c r="G15" s="55" t="n">
        <x:f>F15-E15</x:f>
        <x:v>0</x:v>
      </x:c>
      <x:c r="H15" s="55" t="n">
        <x:v>38443.5</x:v>
      </x:c>
      <x:c r="I15" s="55" t="n">
        <x:f>C15-F15</x:f>
        <x:v>38443.5</x:v>
      </x:c>
      <x:c r="J15" s="55" t="n">
        <x:f>I15-H15</x:f>
        <x:v>0</x:v>
      </x:c>
      <x:c r="K15" s="55" t="n">
        <x:v>7993.5</x:v>
      </x:c>
      <x:c r="L15" s="55" t="n">
        <x:f>SUMIFS('Financial Events'!$O$4:$O$1709,'Financial Events'!$C$4:$C$1709,"&gt;="&amp;A15,'Financial Events'!$C$4:$C$1709,"&lt;"&amp;DATE(2027,11,1),'Financial Events'!$D$4:$D$1709,"&lt;&gt;OpeningBalance")</x:f>
        <x:v>7993.5</x:v>
      </x:c>
      <x:c r="M15" s="55" t="n">
        <x:f>L15-K15</x:f>
        <x:v>0</x:v>
      </x:c>
      <x:c r="N15" s="55" t="n">
        <x:v>0</x:v>
      </x:c>
      <x:c r="O15" s="55" t="n">
        <x:f>SUMIFS('Financial Events'!$N$4:$N$1709,'Financial Events'!$C$4:$C$1709,"&gt;="&amp;A15,'Financial Events'!$C$4:$C$1709,"&lt;"&amp;DATE(2027,11,1))</x:f>
        <x:v>0</x:v>
      </x:c>
      <x:c r="P15" s="55" t="n">
        <x:f>O15-N15</x:f>
        <x:v>0</x:v>
      </x:c>
      <x:c r="Q15" s="56" t="str">
        <x:f>IF(AND(ABS(D15)&lt;0.01,ABS(G15)&lt;0.01,ABS(J15)&lt;0.01,ABS(M15)&lt;0.01,ABS(P15)&lt;0.01),"OK","REVIEW")</x:f>
        <x:v>OK</x:v>
      </x:c>
      <x:c r="S15" s="62" t="n">
        <x:f>A15</x:f>
        <x:v>46661</x:v>
      </x:c>
      <x:c r="T15" s="43" t="n">
        <x:f>C15</x:f>
        <x:v>59150</x:v>
      </x:c>
      <x:c r="U15" s="43" t="n">
        <x:f>F15</x:f>
        <x:v>20706.5</x:v>
      </x:c>
      <x:c r="V15" s="43" t="n">
        <x:f>I15</x:f>
        <x:v>38443.5</x:v>
      </x:c>
    </x:row>
    <x:row r="16">
      <x:c r="A16" s="53" t="n">
        <x:v>46692</x:v>
      </x:c>
      <x:c r="B16" s="54" t="n">
        <x:v>128485</x:v>
      </x:c>
      <x:c r="C16" s="55" t="n">
        <x:f>SUMIFS('Financial Events'!$T$4:$T$1709,'Financial Events'!$C$4:$C$1709,"&gt;="&amp;A16,'Financial Events'!$C$4:$C$1709,"&lt;"&amp;DATE(2027,12,1))</x:f>
        <x:v>128485</x:v>
      </x:c>
      <x:c r="D16" s="55" t="n">
        <x:f>C16-B16</x:f>
        <x:v>0</x:v>
      </x:c>
      <x:c r="E16" s="55" t="n">
        <x:v>37281.9</x:v>
      </x:c>
      <x:c r="F16" s="55" t="n">
        <x:f>SUMIFS('Financial Events'!$U$4:$U$1709,'Financial Events'!$C$4:$C$1709,"&gt;="&amp;A16,'Financial Events'!$C$4:$C$1709,"&lt;"&amp;DATE(2027,12,1))</x:f>
        <x:v>37281.9</x:v>
      </x:c>
      <x:c r="G16" s="55" t="n">
        <x:f>F16-E16</x:f>
        <x:v>0</x:v>
      </x:c>
      <x:c r="H16" s="55" t="n">
        <x:v>91203.1</x:v>
      </x:c>
      <x:c r="I16" s="55" t="n">
        <x:f>C16-F16</x:f>
        <x:v>91203.1</x:v>
      </x:c>
      <x:c r="J16" s="55" t="n">
        <x:f>I16-H16</x:f>
        <x:v>0</x:v>
      </x:c>
      <x:c r="K16" s="55" t="n">
        <x:v>253693.1</x:v>
      </x:c>
      <x:c r="L16" s="55" t="n">
        <x:f>SUMIFS('Financial Events'!$O$4:$O$1709,'Financial Events'!$C$4:$C$1709,"&gt;="&amp;A16,'Financial Events'!$C$4:$C$1709,"&lt;"&amp;DATE(2027,12,1),'Financial Events'!$D$4:$D$1709,"&lt;&gt;OpeningBalance")</x:f>
        <x:v>253693.1</x:v>
      </x:c>
      <x:c r="M16" s="55" t="n">
        <x:f>L16-K16</x:f>
        <x:v>0</x:v>
      </x:c>
      <x:c r="N16" s="55" t="n">
        <x:v>310</x:v>
      </x:c>
      <x:c r="O16" s="55" t="n">
        <x:f>SUMIFS('Financial Events'!$N$4:$N$1709,'Financial Events'!$C$4:$C$1709,"&gt;="&amp;A16,'Financial Events'!$C$4:$C$1709,"&lt;"&amp;DATE(2027,12,1))</x:f>
        <x:v>310</x:v>
      </x:c>
      <x:c r="P16" s="55" t="n">
        <x:f>O16-N16</x:f>
        <x:v>0</x:v>
      </x:c>
      <x:c r="Q16" s="56" t="str">
        <x:f>IF(AND(ABS(D16)&lt;0.01,ABS(G16)&lt;0.01,ABS(J16)&lt;0.01,ABS(M16)&lt;0.01,ABS(P16)&lt;0.01),"OK","REVIEW")</x:f>
        <x:v>OK</x:v>
      </x:c>
      <x:c r="S16" s="62" t="n">
        <x:f>A16</x:f>
        <x:v>46692</x:v>
      </x:c>
      <x:c r="T16" s="43" t="n">
        <x:f>C16</x:f>
        <x:v>128485</x:v>
      </x:c>
      <x:c r="U16" s="43" t="n">
        <x:f>F16</x:f>
        <x:v>37281.9</x:v>
      </x:c>
      <x:c r="V16" s="43" t="n">
        <x:f>I16</x:f>
        <x:v>91203.1</x:v>
      </x:c>
    </x:row>
    <x:row r="17">
      <x:c r="A17" s="53" t="n">
        <x:v>46722</x:v>
      </x:c>
      <x:c r="B17" s="54" t="n">
        <x:v>56566.94</x:v>
      </x:c>
      <x:c r="C17" s="55" t="n">
        <x:f>SUMIFS('Financial Events'!$T$4:$T$1709,'Financial Events'!$C$4:$C$1709,"&gt;="&amp;A17,'Financial Events'!$C$4:$C$1709,"&lt;"&amp;DATE(2028,1,1))</x:f>
        <x:v>56566.94</x:v>
      </x:c>
      <x:c r="D17" s="55" t="n">
        <x:f>C17-B17</x:f>
        <x:v>0</x:v>
      </x:c>
      <x:c r="E17" s="55" t="n">
        <x:v>302288.18</x:v>
      </x:c>
      <x:c r="F17" s="55" t="n">
        <x:f>SUMIFS('Financial Events'!$U$4:$U$1709,'Financial Events'!$C$4:$C$1709,"&gt;="&amp;A17,'Financial Events'!$C$4:$C$1709,"&lt;"&amp;DATE(2028,1,1))</x:f>
        <x:v>302288.17999999993</x:v>
      </x:c>
      <x:c r="G17" s="55" t="n">
        <x:f>F17-E17</x:f>
        <x:v>-5.820766091346741e-11</x:v>
      </x:c>
      <x:c r="H17" s="55" t="n">
        <x:v>-245721.24</x:v>
      </x:c>
      <x:c r="I17" s="55" t="n">
        <x:f>C17-F17</x:f>
        <x:v>-245721.23999999993</x:v>
      </x:c>
      <x:c r="J17" s="55" t="n">
        <x:f>I17-H17</x:f>
        <x:v>5.820766091346741e-11</x:v>
      </x:c>
      <x:c r="K17" s="55" t="n">
        <x:v>-14093.96</x:v>
      </x:c>
      <x:c r="L17" s="55" t="n">
        <x:f>SUMIFS('Financial Events'!$O$4:$O$1709,'Financial Events'!$C$4:$C$1709,"&gt;="&amp;A17,'Financial Events'!$C$4:$C$1709,"&lt;"&amp;DATE(2028,1,1),'Financial Events'!$D$4:$D$1709,"&lt;&gt;OpeningBalance")</x:f>
        <x:v>-14093.96</x:v>
      </x:c>
      <x:c r="M17" s="55" t="n">
        <x:f>L17-K17</x:f>
        <x:v>0</x:v>
      </x:c>
      <x:c r="N17" s="55" t="n">
        <x:v>-310</x:v>
      </x:c>
      <x:c r="O17" s="55" t="n">
        <x:f>SUMIFS('Financial Events'!$N$4:$N$1709,'Financial Events'!$C$4:$C$1709,"&gt;="&amp;A17,'Financial Events'!$C$4:$C$1709,"&lt;"&amp;DATE(2028,1,1))</x:f>
        <x:v>-310</x:v>
      </x:c>
      <x:c r="P17" s="55" t="n">
        <x:f>O17-N17</x:f>
        <x:v>0</x:v>
      </x:c>
      <x:c r="Q17" s="56" t="str">
        <x:f>IF(AND(ABS(D17)&lt;0.01,ABS(G17)&lt;0.01,ABS(J17)&lt;0.01,ABS(M17)&lt;0.01,ABS(P17)&lt;0.01),"OK","REVIEW")</x:f>
        <x:v>OK</x:v>
      </x:c>
      <x:c r="S17" s="62" t="n">
        <x:f>A17</x:f>
        <x:v>46722</x:v>
      </x:c>
      <x:c r="T17" s="43" t="n">
        <x:f>C17</x:f>
        <x:v>56566.94</x:v>
      </x:c>
      <x:c r="U17" s="43" t="n">
        <x:f>F17</x:f>
        <x:v>302288.17999999993</x:v>
      </x:c>
      <x:c r="V17" s="43" t="n">
        <x:f>I17</x:f>
        <x:v>-245721.23999999993</x:v>
      </x:c>
    </x:row>
    <x:row r="18">
      <x:c r="A18" s="57" t="str">
        <x:v>Year total</x:v>
      </x:c>
      <x:c r="B18" s="58" t="n">
        <x:f>SUM(B6:B17)</x:f>
        <x:v>758649.8400000001</x:v>
      </x:c>
      <x:c r="C18" s="59" t="n">
        <x:f>SUM(C6:C17)</x:f>
        <x:v>758649.8400000001</x:v>
      </x:c>
      <x:c r="D18" s="59" t="n">
        <x:f>SUM(D6:D17)</x:f>
        <x:v>0</x:v>
      </x:c>
      <x:c r="E18" s="59" t="n">
        <x:f>SUM(E6:E17)</x:f>
        <x:v>625578.78</x:v>
      </x:c>
      <x:c r="F18" s="59" t="n">
        <x:f>SUM(F6:F17)</x:f>
        <x:v>625578.78</x:v>
      </x:c>
      <x:c r="G18" s="59" t="n">
        <x:f>SUM(G6:G17)</x:f>
        <x:v>-5.820766091346741e-11</x:v>
      </x:c>
      <x:c r="H18" s="59" t="n">
        <x:f>SUM(H6:H17)</x:f>
        <x:v>133071.05999999994</x:v>
      </x:c>
      <x:c r="I18" s="59" t="n">
        <x:f>SUM(I6:I17)</x:f>
        <x:v>133071.0600000001</x:v>
      </x:c>
      <x:c r="J18" s="59" t="n">
        <x:f>SUM(J6:J17)</x:f>
        <x:v>6.548361852765083e-11</x:v>
      </x:c>
      <x:c r="K18" s="59" t="n">
        <x:f>SUM(K6:K17)</x:f>
        <x:v>216138.34000000003</x:v>
      </x:c>
      <x:c r="L18" s="59" t="n">
        <x:f>SUM(L6:L17)</x:f>
        <x:v>216138.34</x:v>
      </x:c>
      <x:c r="M18" s="59" t="n">
        <x:f>SUM(M6:M17)</x:f>
        <x:v>-8.86757334228605e-12</x:v>
      </x:c>
      <x:c r="N18" s="59" t="n">
        <x:f>SUM(N6:N17)</x:f>
        <x:v>350</x:v>
      </x:c>
      <x:c r="O18" s="59" t="n">
        <x:f>SUM(O6:O17)</x:f>
        <x:v>350</x:v>
      </x:c>
      <x:c r="P18" s="59" t="n">
        <x:f>SUM(P6:P17)</x:f>
        <x:v>-5.684341886080802e-14</x:v>
      </x:c>
      <x:c r="Q18" s="60" t="str">
        <x:f>IF(COUNTIF(Q6:Q17,"&lt;&gt;OK")=0,"OK","REVIEW")</x:f>
        <x:v>OK</x:v>
      </x:c>
    </x:row>
  </x:sheetData>
  <x:mergeCells>
    <x:mergeCell ref="A1:Q1"/>
    <x:mergeCell ref="A2:Q2"/>
  </x:mergeCells>
  <x:conditionalFormatting sqref="Q6:Q18">
    <x:cfRule type="containsText" dxfId="0" priority="1" operator="containsText" text="OK"/>
    <x:cfRule type="containsText" dxfId="1" priority="2" operator="containsText" text="REVIEW"/>
  </x:conditionalFormatting>
  <x:pageMargins left="0.7" right="0.7" top="0.75" bottom="0.75" header="0.3" footer="0.3"/>
  <x:drawing xmlns:r="http://schemas.openxmlformats.org/officeDocument/2006/relationships" r:id="R4ad2d19661034dd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34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</x:row>
    <x:row r="2">
      <x:c r="A2" s="64" t="str">
        <x:v>Each row is a separate assertion. Actual values are formulas linked to source sheets; expected values are the frozen control totals generated before workbook creation.</x:v>
      </x:c>
      <x:c r="B2" s="64" t="str">
        <x:v>Each row is a separate assertion. Actual values are formulas linked to source sheets; expected values are the frozen control totals generated before workbook creation.</x:v>
      </x:c>
      <x:c r="C2" s="64" t="str">
        <x:v>Each row is a separate assertion. Actual values are formulas linked to source sheets; expected values are the frozen control totals generated before workbook creation.</x:v>
      </x:c>
      <x:c r="D2" s="64" t="str">
        <x:v>Each row is a separate assertion. Actual values are formulas linked to source sheets; expected values are the frozen control totals generated before workbook creation.</x:v>
      </x:c>
      <x:c r="E2" s="64" t="str">
        <x:v>Each row is a separate assertion. Actual values are formulas linked to source sheets; expected values are the frozen control totals generated before workbook creation.</x:v>
      </x:c>
      <x:c r="F2" s="64" t="str">
        <x:v>Each row is a separate assertion. Actual values are formulas linked to source sheets; expected values are the frozen control totals generated before workbook creation.</x:v>
      </x:c>
      <x:c r="G2" s="64" t="str">
        <x:v>Each row is a separate assertion. Actual values are formulas linked to source sheets; expected values are the frozen control totals generated before workbook creation.</x:v>
      </x:c>
    </x:row>
    <x:row r="5" ht="30" customHeight="1">
      <x:c r="A5" s="12" t="str">
        <x:v>Check</x:v>
      </x:c>
      <x:c r="B5" s="13" t="str">
        <x:v>Actual</x:v>
      </x:c>
      <x:c r="C5" s="13" t="str">
        <x:v>Expected</x:v>
      </x:c>
      <x:c r="D5" s="13" t="str">
        <x:v>Difference</x:v>
      </x:c>
      <x:c r="E5" s="13" t="str">
        <x:v>Tolerance</x:v>
      </x:c>
      <x:c r="F5" s="13" t="str">
        <x:v>Status</x:v>
      </x:c>
      <x:c r="G5" s="14" t="str">
        <x:v>Fix Hint</x:v>
      </x:c>
    </x:row>
    <x:row r="6">
      <x:c r="A6" s="69" t="str">
        <x:v>Journal debits equal credits</x:v>
      </x:c>
      <x:c r="B6" s="51" t="n">
        <x:f>SUM('Journal'!$I$4:$I$3673)</x:f>
        <x:v>11901703.460000005</x:v>
      </x:c>
      <x:c r="C6" s="50" t="n">
        <x:f>SUM('Journal'!$J$4:$J$3673)</x:f>
        <x:v>11901703.460000005</x:v>
      </x:c>
      <x:c r="D6" s="70" t="n">
        <x:f>B6-C6</x:f>
        <x:v>0</x:v>
      </x:c>
      <x:c r="E6" s="70" t="n">
        <x:v>0.01</x:v>
      </x:c>
      <x:c r="F6" s="70" t="str">
        <x:f>IF(ABS(D6)&lt;=E6,"OK","REVIEW")</x:f>
        <x:v>OK</x:v>
      </x:c>
      <x:c r="G6" s="69" t="str">
        <x:v>Journal</x:v>
      </x:c>
    </x:row>
    <x:row r="7">
      <x:c r="A7" s="71" t="str">
        <x:v>Monthly income totals match</x:v>
      </x:c>
      <x:c r="B7" s="55" t="n">
        <x:f>SUM('Monthly Controls'!$C$6:$C$17)</x:f>
        <x:v>758649.8400000001</x:v>
      </x:c>
      <x:c r="C7" s="54" t="n">
        <x:v>758649.84</x:v>
      </x:c>
      <x:c r="D7" s="72" t="n">
        <x:f>B7-C7</x:f>
        <x:v>1.1641532182693481e-10</x:v>
      </x:c>
      <x:c r="E7" s="72" t="n">
        <x:v>0.01</x:v>
      </x:c>
      <x:c r="F7" s="72" t="str">
        <x:f>IF(ABS(D7)&lt;=E7,"OK","REVIEW")</x:f>
        <x:v>OK</x:v>
      </x:c>
      <x:c r="G7" s="71" t="str">
        <x:v>Monthly Controls / Financial Events</x:v>
      </x:c>
    </x:row>
    <x:row r="8">
      <x:c r="A8" s="71" t="str">
        <x:v>Monthly expense totals match</x:v>
      </x:c>
      <x:c r="B8" s="55" t="n">
        <x:f>SUM('Monthly Controls'!$F$6:$F$17)</x:f>
        <x:v>625578.78</x:v>
      </x:c>
      <x:c r="C8" s="54" t="n">
        <x:v>625578.78</x:v>
      </x:c>
      <x:c r="D8" s="72" t="n">
        <x:f>B8-C8</x:f>
        <x:v>0</x:v>
      </x:c>
      <x:c r="E8" s="72" t="n">
        <x:v>0.01</x:v>
      </x:c>
      <x:c r="F8" s="72" t="str">
        <x:f>IF(ABS(D8)&lt;=E8,"OK","REVIEW")</x:f>
        <x:v>OK</x:v>
      </x:c>
      <x:c r="G8" s="71" t="str">
        <x:v>Monthly Controls / Financial Events</x:v>
      </x:c>
    </x:row>
    <x:row r="9">
      <x:c r="A9" s="71" t="str">
        <x:v>Year NOI matches</x:v>
      </x:c>
      <x:c r="B9" s="55" t="n">
        <x:f>SUM('Monthly Controls'!$I$6:$I$17)</x:f>
        <x:v>133071.0600000001</x:v>
      </x:c>
      <x:c r="C9" s="54" t="n">
        <x:v>133071.06</x:v>
      </x:c>
      <x:c r="D9" s="72" t="n">
        <x:f>B9-C9</x:f>
        <x:v>1.1641532182693481e-10</x:v>
      </x:c>
      <x:c r="E9" s="72" t="n">
        <x:v>0.01</x:v>
      </x:c>
      <x:c r="F9" s="72" t="str">
        <x:f>IF(ABS(D9)&lt;=E9,"OK","REVIEW")</x:f>
        <x:v>OK</x:v>
      </x:c>
      <x:c r="G9" s="71" t="str">
        <x:v>Monthly Controls</x:v>
      </x:c>
    </x:row>
    <x:row r="10">
      <x:c r="A10" s="71" t="str">
        <x:v>Property count</x:v>
      </x:c>
      <x:c r="B10" s="73" t="n">
        <x:f>COUNTA('Portfolio'!$A$4:$A$33)</x:f>
        <x:v>30</x:v>
      </x:c>
      <x:c r="C10" s="74" t="n">
        <x:v>30</x:v>
      </x:c>
      <x:c r="D10" s="75" t="n">
        <x:f>B10-C10</x:f>
        <x:v>0</x:v>
      </x:c>
      <x:c r="E10" s="75" t="n">
        <x:v>0.01</x:v>
      </x:c>
      <x:c r="F10" s="75" t="str">
        <x:f>IF(ABS(D10)&lt;=E10,"OK","REVIEW")</x:f>
        <x:v>OK</x:v>
      </x:c>
      <x:c r="G10" s="71" t="str">
        <x:v>Portfolio</x:v>
      </x:c>
    </x:row>
    <x:row r="11">
      <x:c r="A11" s="71" t="str">
        <x:v>Unit count</x:v>
      </x:c>
      <x:c r="B11" s="73" t="n">
        <x:f>COUNTA('Units'!$A$4:$A$43)</x:f>
        <x:v>40</x:v>
      </x:c>
      <x:c r="C11" s="74" t="n">
        <x:v>40</x:v>
      </x:c>
      <x:c r="D11" s="75" t="n">
        <x:f>B11-C11</x:f>
        <x:v>0</x:v>
      </x:c>
      <x:c r="E11" s="75" t="n">
        <x:v>0.01</x:v>
      </x:c>
      <x:c r="F11" s="75" t="str">
        <x:f>IF(ABS(D11)&lt;=E11,"OK","REVIEW")</x:f>
        <x:v>OK</x:v>
      </x:c>
      <x:c r="G11" s="71" t="str">
        <x:v>Units</x:v>
      </x:c>
    </x:row>
    <x:row r="12">
      <x:c r="A12" s="71" t="str">
        <x:v>Opening occupied count</x:v>
      </x:c>
      <x:c r="B12" s="73" t="n">
        <x:f>COUNTIF('Units'!$H$4:$H$43,"Occupied")</x:f>
        <x:v>36</x:v>
      </x:c>
      <x:c r="C12" s="74" t="n">
        <x:v>36</x:v>
      </x:c>
      <x:c r="D12" s="75" t="n">
        <x:f>B12-C12</x:f>
        <x:v>0</x:v>
      </x:c>
      <x:c r="E12" s="75" t="n">
        <x:v>0.01</x:v>
      </x:c>
      <x:c r="F12" s="75" t="str">
        <x:f>IF(ABS(D12)&lt;=E12,"OK","REVIEW")</x:f>
        <x:v>OK</x:v>
      </x:c>
      <x:c r="G12" s="71" t="str">
        <x:v>Units</x:v>
      </x:c>
    </x:row>
    <x:row r="13">
      <x:c r="A13" s="71" t="str">
        <x:v>Opening vacant count</x:v>
      </x:c>
      <x:c r="B13" s="73" t="n">
        <x:f>COUNTIF('Units'!$H$4:$H$43,"Vacant")</x:f>
        <x:v>4</x:v>
      </x:c>
      <x:c r="C13" s="74" t="n">
        <x:v>4</x:v>
      </x:c>
      <x:c r="D13" s="75" t="n">
        <x:f>B13-C13</x:f>
        <x:v>0</x:v>
      </x:c>
      <x:c r="E13" s="75" t="n">
        <x:v>0.01</x:v>
      </x:c>
      <x:c r="F13" s="75" t="str">
        <x:f>IF(ABS(D13)&lt;=E13,"OK","REVIEW")</x:f>
        <x:v>OK</x:v>
      </x:c>
      <x:c r="G13" s="71" t="str">
        <x:v>Units</x:v>
      </x:c>
    </x:row>
    <x:row r="14">
      <x:c r="A14" s="71" t="str">
        <x:v>Lease relationship count</x:v>
      </x:c>
      <x:c r="B14" s="73" t="n">
        <x:f>COUNTA('Leases'!$A$4:$A$48)</x:f>
        <x:v>45</x:v>
      </x:c>
      <x:c r="C14" s="74" t="n">
        <x:v>45</x:v>
      </x:c>
      <x:c r="D14" s="75" t="n">
        <x:f>B14-C14</x:f>
        <x:v>0</x:v>
      </x:c>
      <x:c r="E14" s="75" t="n">
        <x:v>0.01</x:v>
      </x:c>
      <x:c r="F14" s="75" t="str">
        <x:f>IF(ABS(D14)&lt;=E14,"OK","REVIEW")</x:f>
        <x:v>OK</x:v>
      </x:c>
      <x:c r="G14" s="71" t="str">
        <x:v>Leases</x:v>
      </x:c>
    </x:row>
    <x:row r="15">
      <x:c r="A15" s="71" t="str">
        <x:v>Dated run row count</x:v>
      </x:c>
      <x:c r="B15" s="73" t="n">
        <x:f>COUNTA('Schedule'!$A$4:$A$1999)</x:f>
        <x:v>1996</x:v>
      </x:c>
      <x:c r="C15" s="74" t="n">
        <x:v>1996</x:v>
      </x:c>
      <x:c r="D15" s="75" t="n">
        <x:f>B15-C15</x:f>
        <x:v>0</x:v>
      </x:c>
      <x:c r="E15" s="75" t="n">
        <x:v>0.01</x:v>
      </x:c>
      <x:c r="F15" s="75" t="str">
        <x:f>IF(ABS(D15)&lt;=E15,"OK","REVIEW")</x:f>
        <x:v>OK</x:v>
      </x:c>
      <x:c r="G15" s="71" t="str">
        <x:v>Schedule</x:v>
      </x:c>
    </x:row>
    <x:row r="16">
      <x:c r="A16" s="71" t="str">
        <x:v>Scan asset count</x:v>
      </x:c>
      <x:c r="B16" s="73" t="n">
        <x:f>COUNTA('Scan Assets'!$A$4:$A$956)</x:f>
        <x:v>953</x:v>
      </x:c>
      <x:c r="C16" s="74" t="n">
        <x:v>953</x:v>
      </x:c>
      <x:c r="D16" s="75" t="n">
        <x:f>B16-C16</x:f>
        <x:v>0</x:v>
      </x:c>
      <x:c r="E16" s="75" t="n">
        <x:v>0.01</x:v>
      </x:c>
      <x:c r="F16" s="75" t="str">
        <x:f>IF(ABS(D16)&lt;=E16,"OK","REVIEW")</x:f>
        <x:v>OK</x:v>
      </x:c>
      <x:c r="G16" s="71" t="str">
        <x:v>Scan Assets</x:v>
      </x:c>
    </x:row>
    <x:row r="17">
      <x:c r="A17" s="71" t="str">
        <x:v>Coverage surface count</x:v>
      </x:c>
      <x:c r="B17" s="73" t="n">
        <x:f>COUNTA('Coverage'!$A$4:$A$49)</x:f>
        <x:v>46</x:v>
      </x:c>
      <x:c r="C17" s="74" t="n">
        <x:v>46</x:v>
      </x:c>
      <x:c r="D17" s="75" t="n">
        <x:f>B17-C17</x:f>
        <x:v>0</x:v>
      </x:c>
      <x:c r="E17" s="75" t="n">
        <x:v>0.01</x:v>
      </x:c>
      <x:c r="F17" s="75" t="str">
        <x:f>IF(ABS(D17)&lt;=E17,"OK","REVIEW")</x:f>
        <x:v>OK</x:v>
      </x:c>
      <x:c r="G17" s="71" t="str">
        <x:v>Coverage</x:v>
      </x:c>
    </x:row>
    <x:row r="18">
      <x:c r="A18" s="71" t="str">
        <x:v>Screen inventory count</x:v>
      </x:c>
      <x:c r="B18" s="73" t="n">
        <x:f>COUNTA('Screens'!$A$4:$A$202)</x:f>
        <x:v>199</x:v>
      </x:c>
      <x:c r="C18" s="74" t="n">
        <x:v>199</x:v>
      </x:c>
      <x:c r="D18" s="75" t="n">
        <x:f>B18-C18</x:f>
        <x:v>0</x:v>
      </x:c>
      <x:c r="E18" s="75" t="n">
        <x:v>0.01</x:v>
      </x:c>
      <x:c r="F18" s="75" t="str">
        <x:f>IF(ABS(D18)&lt;=E18,"OK","REVIEW")</x:f>
        <x:v>OK</x:v>
      </x:c>
      <x:c r="G18" s="71" t="str">
        <x:v>Screens</x:v>
      </x:c>
    </x:row>
    <x:row r="19">
      <x:c r="A19" s="71" t="str">
        <x:v>Field inventory count</x:v>
      </x:c>
      <x:c r="B19" s="73" t="n">
        <x:f>COUNTA('Fields'!$A$4:$A$1096)</x:f>
        <x:v>1093</x:v>
      </x:c>
      <x:c r="C19" s="74" t="n">
        <x:v>1093</x:v>
      </x:c>
      <x:c r="D19" s="75" t="n">
        <x:f>B19-C19</x:f>
        <x:v>0</x:v>
      </x:c>
      <x:c r="E19" s="75" t="n">
        <x:v>0.01</x:v>
      </x:c>
      <x:c r="F19" s="75" t="str">
        <x:f>IF(ABS(D19)&lt;=E19,"OK","REVIEW")</x:f>
        <x:v>OK</x:v>
      </x:c>
      <x:c r="G19" s="71" t="str">
        <x:v>Fields</x:v>
      </x:c>
    </x:row>
    <x:row r="20">
      <x:c r="A20" s="71" t="str">
        <x:v>Role journey count</x:v>
      </x:c>
      <x:c r="B20" s="73" t="n">
        <x:f>COUNTA('Role Journeys'!$A$4:$A$337)</x:f>
        <x:v>334</x:v>
      </x:c>
      <x:c r="C20" s="74" t="n">
        <x:v>334</x:v>
      </x:c>
      <x:c r="D20" s="75" t="n">
        <x:f>B20-C20</x:f>
        <x:v>0</x:v>
      </x:c>
      <x:c r="E20" s="75" t="n">
        <x:v>0.01</x:v>
      </x:c>
      <x:c r="F20" s="75" t="str">
        <x:f>IF(ABS(D20)&lt;=E20,"OK","REVIEW")</x:f>
        <x:v>OK</x:v>
      </x:c>
      <x:c r="G20" s="71" t="str">
        <x:v>Role Journeys</x:v>
      </x:c>
    </x:row>
    <x:row r="21">
      <x:c r="A21" s="71" t="str">
        <x:v>CRUD lifecycle count</x:v>
      </x:c>
      <x:c r="B21" s="73" t="n">
        <x:f>COUNTA('CRUD Lifecycles'!$A$4:$A$38)</x:f>
        <x:v>35</x:v>
      </x:c>
      <x:c r="C21" s="74" t="n">
        <x:v>35</x:v>
      </x:c>
      <x:c r="D21" s="75" t="n">
        <x:f>B21-C21</x:f>
        <x:v>0</x:v>
      </x:c>
      <x:c r="E21" s="75" t="n">
        <x:v>0.01</x:v>
      </x:c>
      <x:c r="F21" s="75" t="str">
        <x:f>IF(ABS(D21)&lt;=E21,"OK","REVIEW")</x:f>
        <x:v>OK</x:v>
      </x:c>
      <x:c r="G21" s="71" t="str">
        <x:v>CRUD Lifecycles</x:v>
      </x:c>
    </x:row>
    <x:row r="22">
      <x:c r="A22" s="71" t="str">
        <x:v>Notification scenario count</x:v>
      </x:c>
      <x:c r="B22" s="73" t="n">
        <x:f>COUNTA('Notifications'!$A$4:$A$53)</x:f>
        <x:v>50</x:v>
      </x:c>
      <x:c r="C22" s="74" t="n">
        <x:v>50</x:v>
      </x:c>
      <x:c r="D22" s="75" t="n">
        <x:f>B22-C22</x:f>
        <x:v>0</x:v>
      </x:c>
      <x:c r="E22" s="75" t="n">
        <x:v>0.01</x:v>
      </x:c>
      <x:c r="F22" s="75" t="str">
        <x:f>IF(ABS(D22)&lt;=E22,"OK","REVIEW")</x:f>
        <x:v>OK</x:v>
      </x:c>
      <x:c r="G22" s="71" t="str">
        <x:v>Notifications</x:v>
      </x:c>
    </x:row>
    <x:row r="23">
      <x:c r="A23" s="71" t="str">
        <x:v>Financial event count</x:v>
      </x:c>
      <x:c r="B23" s="73" t="n">
        <x:f>COUNTA('Financial Events'!$A$4:$A$1709)</x:f>
        <x:v>1706</x:v>
      </x:c>
      <x:c r="C23" s="74" t="n">
        <x:v>1706</x:v>
      </x:c>
      <x:c r="D23" s="75" t="n">
        <x:f>B23-C23</x:f>
        <x:v>0</x:v>
      </x:c>
      <x:c r="E23" s="75" t="n">
        <x:v>0.01</x:v>
      </x:c>
      <x:c r="F23" s="75" t="str">
        <x:f>IF(ABS(D23)&lt;=E23,"OK","REVIEW")</x:f>
        <x:v>OK</x:v>
      </x:c>
      <x:c r="G23" s="71" t="str">
        <x:v>Financial Events</x:v>
      </x:c>
    </x:row>
    <x:row r="24">
      <x:c r="A24" s="71" t="str">
        <x:v>Journal line count</x:v>
      </x:c>
      <x:c r="B24" s="73" t="n">
        <x:f>COUNTA('Journal'!$A$4:$A$3673)</x:f>
        <x:v>3670</x:v>
      </x:c>
      <x:c r="C24" s="74" t="n">
        <x:v>3670</x:v>
      </x:c>
      <x:c r="D24" s="75" t="n">
        <x:f>B24-C24</x:f>
        <x:v>0</x:v>
      </x:c>
      <x:c r="E24" s="75" t="n">
        <x:v>0.01</x:v>
      </x:c>
      <x:c r="F24" s="75" t="str">
        <x:f>IF(ABS(D24)&lt;=E24,"OK","REVIEW")</x:f>
        <x:v>OK</x:v>
      </x:c>
      <x:c r="G24" s="71" t="str">
        <x:v>Journal</x:v>
      </x:c>
    </x:row>
    <x:row r="25">
      <x:c r="A25" s="76" t="str">
        <x:v>All monthly statuses OK</x:v>
      </x:c>
      <x:c r="B25" s="77" t="n">
        <x:f>COUNTIF('Monthly Controls'!$Q$6:$Q$18,"&lt;&gt;OK")</x:f>
        <x:v>0</x:v>
      </x:c>
      <x:c r="C25" s="78" t="n">
        <x:v>0</x:v>
      </x:c>
      <x:c r="D25" s="79" t="n">
        <x:f>B25-C25</x:f>
        <x:v>0</x:v>
      </x:c>
      <x:c r="E25" s="79" t="n">
        <x:v>0.01</x:v>
      </x:c>
      <x:c r="F25" s="79" t="str">
        <x:f>IF(ABS(D25)&lt;=E25,"OK","REVIEW")</x:f>
        <x:v>OK</x:v>
      </x:c>
      <x:c r="G25" s="76" t="str">
        <x:v>Monthly Controls</x:v>
      </x:c>
    </x:row>
  </x:sheetData>
  <x:mergeCells>
    <x:mergeCell ref="A1:G1"/>
    <x:mergeCell ref="A2:G2"/>
  </x:mergeCells>
  <x:conditionalFormatting sqref="F6:F25">
    <x:cfRule type="containsText" dxfId="2" priority="1" operator="containsText" text="OK"/>
    <x:cfRule type="containsText" dxfId="3" priority="2" operator="containsText" text="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26" hidden="0" customWidth="1"/>
    <x:col min="5" max="5" width="14" hidden="0" customWidth="1"/>
    <x:col min="7" max="7" width="10" hidden="0" customWidth="1"/>
    <x:col min="9" max="9" width="30" hidden="0" customWidth="1"/>
    <x:col min="11" max="11" width="13" hidden="0" customWidth="1"/>
    <x:col min="12" max="12" width="16" hidden="0" customWidth="1"/>
    <x:col min="16" max="16" width="16" hidden="0" customWidth="1"/>
  </x:cols>
  <x:sheetData>
    <x:row r="1" ht="34" customHeight="1">
      <x:c r="A1" s="3" t="str">
        <x:v>Opening Portfolio — 30 Properties</x:v>
      </x:c>
      <x:c r="B1" s="3" t="str">
        <x:v>Opening Portfolio — 30 Properties</x:v>
      </x:c>
      <x:c r="C1" s="3" t="str">
        <x:v>Opening Portfolio — 30 Properties</x:v>
      </x:c>
      <x:c r="D1" s="3" t="str">
        <x:v>Opening Portfolio — 30 Properties</x:v>
      </x:c>
      <x:c r="E1" s="3" t="str">
        <x:v>Opening Portfolio — 30 Properties</x:v>
      </x:c>
      <x:c r="F1" s="3" t="str">
        <x:v>Opening Portfolio — 30 Properties</x:v>
      </x:c>
      <x:c r="G1" s="3" t="str">
        <x:v>Opening Portfolio — 30 Properties</x:v>
      </x:c>
      <x:c r="H1" s="3" t="str">
        <x:v>Opening Portfolio — 30 Properties</x:v>
      </x:c>
      <x:c r="I1" s="3" t="str">
        <x:v>Opening Portfolio — 30 Properties</x:v>
      </x:c>
      <x:c r="J1" s="3" t="str">
        <x:v>Opening Portfolio — 30 Properties</x:v>
      </x:c>
      <x:c r="K1" s="3" t="str">
        <x:v>Opening Portfolio — 30 Properties</x:v>
      </x:c>
      <x:c r="L1" s="3" t="str">
        <x:v>Opening Portfolio — 30 Properties</x:v>
      </x:c>
      <x:c r="M1" s="3" t="str">
        <x:v>Opening Portfolio — 30 Properties</x:v>
      </x:c>
      <x:c r="N1" s="3" t="str">
        <x:v>Opening Portfolio — 30 Properties</x:v>
      </x:c>
      <x:c r="O1" s="3" t="str">
        <x:v>Opening Portfolio — 30 Properties</x:v>
      </x:c>
      <x:c r="P1" s="3" t="str">
        <x:v>Opening Portfolio — 30 Properties</x:v>
      </x:c>
      <x:c r="Q1" s="3" t="str">
        <x:v>Opening Portfolio — 30 Properties</x:v>
      </x:c>
      <x:c r="R1" s="3" t="str">
        <x:v>Opening Portfolio — 30 Properties</x:v>
      </x:c>
    </x:row>
    <x:row r="3" ht="30" customHeight="1">
      <x:c r="A3" s="12" t="str">
        <x:v>Property ID</x:v>
      </x:c>
      <x:c r="B3" s="13" t="str">
        <x:v>Property Name</x:v>
      </x:c>
      <x:c r="C3" s="13" t="str">
        <x:v>Structure</x:v>
      </x:c>
      <x:c r="D3" s="13" t="str">
        <x:v>Address</x:v>
      </x:c>
      <x:c r="E3" s="13" t="str">
        <x:v>City</x:v>
      </x:c>
      <x:c r="F3" s="13" t="str">
        <x:v>State</x:v>
      </x:c>
      <x:c r="G3" s="13" t="str">
        <x:v>ZIP</x:v>
      </x:c>
      <x:c r="H3" s="13" t="str">
        <x:v>Owner ID</x:v>
      </x:c>
      <x:c r="I3" s="13" t="str">
        <x:v>Owner</x:v>
      </x:c>
      <x:c r="J3" s="13" t="str">
        <x:v>Ownership %</x:v>
      </x:c>
      <x:c r="K3" s="13" t="str">
        <x:v>Acquired</x:v>
      </x:c>
      <x:c r="L3" s="13" t="str">
        <x:v>Original Cost</x:v>
      </x:c>
      <x:c r="M3" s="13" t="str">
        <x:v>Land</x:v>
      </x:c>
      <x:c r="N3" s="13" t="str">
        <x:v>Building Basis</x:v>
      </x:c>
      <x:c r="O3" s="13" t="str">
        <x:v>Loan ID</x:v>
      </x:c>
      <x:c r="P3" s="13" t="str">
        <x:v>Opening Loan</x:v>
      </x:c>
      <x:c r="Q3" s="13" t="str">
        <x:v>Monthly Principal</x:v>
      </x:c>
      <x:c r="R3" s="14" t="str">
        <x:v>Monthly Interest</x:v>
      </x:c>
    </x:row>
    <x:row r="4">
      <x:c r="A4" s="19" t="str">
        <x:v>P001</x:v>
      </x:c>
      <x:c r="B4" s="19" t="str">
        <x:v>Arbor House</x:v>
      </x:c>
      <x:c r="C4" s="19" t="str">
        <x:v>SingleRental</x:v>
      </x:c>
      <x:c r="D4" s="19" t="str">
        <x:v>117 Arbor Street</x:v>
      </x:c>
      <x:c r="E4" s="19" t="str">
        <x:v>Columbus</x:v>
      </x:c>
      <x:c r="F4" s="19" t="str">
        <x:v>OH</x:v>
      </x:c>
      <x:c r="G4" s="19" t="str">
        <x:v>43201</x:v>
      </x:c>
      <x:c r="H4" s="19" t="str">
        <x:v>O01</x:v>
      </x:c>
      <x:c r="I4" s="19" t="str">
        <x:v>Blue Door Residential LLC</x:v>
      </x:c>
      <x:c r="J4" s="28" t="n">
        <x:v>1</x:v>
      </x:c>
      <x:c r="K4" s="22" t="n">
        <x:v>42781</x:v>
      </x:c>
      <x:c r="L4" s="25" t="n">
        <x:v>179750</x:v>
      </x:c>
      <x:c r="M4" s="25" t="n">
        <x:v>35950</x:v>
      </x:c>
      <x:c r="N4" s="25" t="n">
        <x:v>143800</x:v>
      </x:c>
      <x:c r="O4" s="19" t="str">
        <x:v>LN001</x:v>
      </x:c>
      <x:c r="P4" s="25" t="n">
        <x:v>125825</x:v>
      </x:c>
      <x:c r="Q4" s="25" t="n">
        <x:v>431</x:v>
      </x:c>
      <x:c r="R4" s="25" t="n">
        <x:v>623</x:v>
      </x:c>
    </x:row>
    <x:row r="5">
      <x:c r="A5" s="20" t="str">
        <x:v>P002</x:v>
      </x:c>
      <x:c r="B5" s="20" t="str">
        <x:v>Briar Cottage</x:v>
      </x:c>
      <x:c r="C5" s="20" t="str">
        <x:v>SingleRental</x:v>
      </x:c>
      <x:c r="D5" s="20" t="str">
        <x:v>134 Briar Street</x:v>
      </x:c>
      <x:c r="E5" s="20" t="str">
        <x:v>Columbus</x:v>
      </x:c>
      <x:c r="F5" s="20" t="str">
        <x:v>OH</x:v>
      </x:c>
      <x:c r="G5" s="20" t="str">
        <x:v>43202</x:v>
      </x:c>
      <x:c r="H5" s="20" t="str">
        <x:v>O02</x:v>
      </x:c>
      <x:c r="I5" s="20" t="str">
        <x:v>Coble Family Rentals LLC</x:v>
      </x:c>
      <x:c r="J5" s="29" t="n">
        <x:v>1</x:v>
      </x:c>
      <x:c r="K5" s="23" t="n">
        <x:v>43174</x:v>
      </x:c>
      <x:c r="L5" s="26" t="n">
        <x:v>187000</x:v>
      </x:c>
      <x:c r="M5" s="26" t="n">
        <x:v>37400</x:v>
      </x:c>
      <x:c r="N5" s="26" t="n">
        <x:v>149600</x:v>
      </x:c>
      <x:c r="O5" s="20" t="str">
        <x:v>LN002</x:v>
      </x:c>
      <x:c r="P5" s="26" t="n">
        <x:v>130900</x:v>
      </x:c>
      <x:c r="Q5" s="26" t="n">
        <x:v>442</x:v>
      </x:c>
      <x:c r="R5" s="26" t="n">
        <x:v>636</x:v>
      </x:c>
    </x:row>
    <x:row r="6">
      <x:c r="A6" s="20" t="str">
        <x:v>P003</x:v>
      </x:c>
      <x:c r="B6" s="20" t="str">
        <x:v>Cedar Bend</x:v>
      </x:c>
      <x:c r="C6" s="20" t="str">
        <x:v>SingleRental</x:v>
      </x:c>
      <x:c r="D6" s="20" t="str">
        <x:v>151 Cedar Street</x:v>
      </x:c>
      <x:c r="E6" s="20" t="str">
        <x:v>Columbus</x:v>
      </x:c>
      <x:c r="F6" s="20" t="str">
        <x:v>OH</x:v>
      </x:c>
      <x:c r="G6" s="20" t="str">
        <x:v>43203</x:v>
      </x:c>
      <x:c r="H6" s="20" t="str">
        <x:v>O03</x:v>
      </x:c>
      <x:c r="I6" s="20" t="str">
        <x:v>Northstar Property Partners LLC</x:v>
      </x:c>
      <x:c r="J6" s="29" t="n">
        <x:v>1</x:v>
      </x:c>
      <x:c r="K6" s="23" t="n">
        <x:v>43570</x:v>
      </x:c>
      <x:c r="L6" s="26" t="n">
        <x:v>194250</x:v>
      </x:c>
      <x:c r="M6" s="26" t="n">
        <x:v>38850</x:v>
      </x:c>
      <x:c r="N6" s="26" t="n">
        <x:v>155400</x:v>
      </x:c>
      <x:c r="O6" s="20" t="str"/>
      <x:c r="P6" s="26" t="n">
        <x:v>0</x:v>
      </x:c>
      <x:c r="Q6" s="26" t="n">
        <x:v>0</x:v>
      </x:c>
      <x:c r="R6" s="26" t="n">
        <x:v>0</x:v>
      </x:c>
    </x:row>
    <x:row r="7">
      <x:c r="A7" s="20" t="str">
        <x:v>P004</x:v>
      </x:c>
      <x:c r="B7" s="20" t="str">
        <x:v>Dover House</x:v>
      </x:c>
      <x:c r="C7" s="20" t="str">
        <x:v>SingleRental</x:v>
      </x:c>
      <x:c r="D7" s="20" t="str">
        <x:v>168 Dover Street</x:v>
      </x:c>
      <x:c r="E7" s="20" t="str">
        <x:v>Columbus</x:v>
      </x:c>
      <x:c r="F7" s="20" t="str">
        <x:v>OH</x:v>
      </x:c>
      <x:c r="G7" s="20" t="str">
        <x:v>43204</x:v>
      </x:c>
      <x:c r="H7" s="20" t="str">
        <x:v>O04</x:v>
      </x:c>
      <x:c r="I7" s="20" t="str">
        <x:v>Riverbend Homes LLC</x:v>
      </x:c>
      <x:c r="J7" s="29" t="n">
        <x:v>1</x:v>
      </x:c>
      <x:c r="K7" s="23" t="n">
        <x:v>43966</x:v>
      </x:c>
      <x:c r="L7" s="26" t="n">
        <x:v>201500</x:v>
      </x:c>
      <x:c r="M7" s="26" t="n">
        <x:v>40300</x:v>
      </x:c>
      <x:c r="N7" s="26" t="n">
        <x:v>161200</x:v>
      </x:c>
      <x:c r="O7" s="20" t="str">
        <x:v>LN004</x:v>
      </x:c>
      <x:c r="P7" s="26" t="n">
        <x:v>141050</x:v>
      </x:c>
      <x:c r="Q7" s="26" t="n">
        <x:v>464</x:v>
      </x:c>
      <x:c r="R7" s="26" t="n">
        <x:v>662</x:v>
      </x:c>
    </x:row>
    <x:row r="8">
      <x:c r="A8" s="20" t="str">
        <x:v>P005</x:v>
      </x:c>
      <x:c r="B8" s="20" t="str">
        <x:v>Elm Haven</x:v>
      </x:c>
      <x:c r="C8" s="20" t="str">
        <x:v>SingleRental</x:v>
      </x:c>
      <x:c r="D8" s="20" t="str">
        <x:v>185 Elm Street</x:v>
      </x:c>
      <x:c r="E8" s="20" t="str">
        <x:v>Columbus</x:v>
      </x:c>
      <x:c r="F8" s="20" t="str">
        <x:v>OH</x:v>
      </x:c>
      <x:c r="G8" s="20" t="str">
        <x:v>43205</x:v>
      </x:c>
      <x:c r="H8" s="20" t="str">
        <x:v>O05</x:v>
      </x:c>
      <x:c r="I8" s="20" t="str">
        <x:v>Juniper Street Holdings LLC</x:v>
      </x:c>
      <x:c r="J8" s="29" t="n">
        <x:v>1</x:v>
      </x:c>
      <x:c r="K8" s="23" t="n">
        <x:v>44362</x:v>
      </x:c>
      <x:c r="L8" s="26" t="n">
        <x:v>208750</x:v>
      </x:c>
      <x:c r="M8" s="26" t="n">
        <x:v>41750</x:v>
      </x:c>
      <x:c r="N8" s="26" t="n">
        <x:v>167000</x:v>
      </x:c>
      <x:c r="O8" s="20" t="str">
        <x:v>LN005</x:v>
      </x:c>
      <x:c r="P8" s="26" t="n">
        <x:v>146125</x:v>
      </x:c>
      <x:c r="Q8" s="26" t="n">
        <x:v>475</x:v>
      </x:c>
      <x:c r="R8" s="26" t="n">
        <x:v>675</x:v>
      </x:c>
    </x:row>
    <x:row r="9">
      <x:c r="A9" s="20" t="str">
        <x:v>P006</x:v>
      </x:c>
      <x:c r="B9" s="20" t="str">
        <x:v>Franklin Place</x:v>
      </x:c>
      <x:c r="C9" s="20" t="str">
        <x:v>SingleRental</x:v>
      </x:c>
      <x:c r="D9" s="20" t="str">
        <x:v>202 Franklin Street</x:v>
      </x:c>
      <x:c r="E9" s="20" t="str">
        <x:v>Columbus</x:v>
      </x:c>
      <x:c r="F9" s="20" t="str">
        <x:v>OH</x:v>
      </x:c>
      <x:c r="G9" s="20" t="str">
        <x:v>43206</x:v>
      </x:c>
      <x:c r="H9" s="20" t="str">
        <x:v>O01</x:v>
      </x:c>
      <x:c r="I9" s="20" t="str">
        <x:v>Blue Door Residential LLC</x:v>
      </x:c>
      <x:c r="J9" s="29" t="n">
        <x:v>1</x:v>
      </x:c>
      <x:c r="K9" s="23" t="n">
        <x:v>44757</x:v>
      </x:c>
      <x:c r="L9" s="26" t="n">
        <x:v>216000</x:v>
      </x:c>
      <x:c r="M9" s="26" t="n">
        <x:v>43200</x:v>
      </x:c>
      <x:c r="N9" s="26" t="n">
        <x:v>172800</x:v>
      </x:c>
      <x:c r="O9" s="20" t="str"/>
      <x:c r="P9" s="26" t="n">
        <x:v>0</x:v>
      </x:c>
      <x:c r="Q9" s="26" t="n">
        <x:v>0</x:v>
      </x:c>
      <x:c r="R9" s="26" t="n">
        <x:v>0</x:v>
      </x:c>
    </x:row>
    <x:row r="10">
      <x:c r="A10" s="20" t="str">
        <x:v>P007</x:v>
      </x:c>
      <x:c r="B10" s="20" t="str">
        <x:v>Grove House</x:v>
      </x:c>
      <x:c r="C10" s="20" t="str">
        <x:v>SingleRental</x:v>
      </x:c>
      <x:c r="D10" s="20" t="str">
        <x:v>219 Grove Street</x:v>
      </x:c>
      <x:c r="E10" s="20" t="str">
        <x:v>Columbus</x:v>
      </x:c>
      <x:c r="F10" s="20" t="str">
        <x:v>OH</x:v>
      </x:c>
      <x:c r="G10" s="20" t="str">
        <x:v>43207</x:v>
      </x:c>
      <x:c r="H10" s="20" t="str">
        <x:v>O02</x:v>
      </x:c>
      <x:c r="I10" s="20" t="str">
        <x:v>Coble Family Rentals LLC</x:v>
      </x:c>
      <x:c r="J10" s="29" t="n">
        <x:v>1</x:v>
      </x:c>
      <x:c r="K10" s="23" t="n">
        <x:v>45153</x:v>
      </x:c>
      <x:c r="L10" s="26" t="n">
        <x:v>223250</x:v>
      </x:c>
      <x:c r="M10" s="26" t="n">
        <x:v>44650</x:v>
      </x:c>
      <x:c r="N10" s="26" t="n">
        <x:v>178600</x:v>
      </x:c>
      <x:c r="O10" s="20" t="str">
        <x:v>LN007</x:v>
      </x:c>
      <x:c r="P10" s="26" t="n">
        <x:v>156275</x:v>
      </x:c>
      <x:c r="Q10" s="26" t="n">
        <x:v>497</x:v>
      </x:c>
      <x:c r="R10" s="26" t="n">
        <x:v>701</x:v>
      </x:c>
    </x:row>
    <x:row r="11">
      <x:c r="A11" s="20" t="str">
        <x:v>P008</x:v>
      </x:c>
      <x:c r="B11" s="20" t="str">
        <x:v>Hawthorne Home</x:v>
      </x:c>
      <x:c r="C11" s="20" t="str">
        <x:v>SingleRental</x:v>
      </x:c>
      <x:c r="D11" s="20" t="str">
        <x:v>236 Hawthorne Street</x:v>
      </x:c>
      <x:c r="E11" s="20" t="str">
        <x:v>Columbus</x:v>
      </x:c>
      <x:c r="F11" s="20" t="str">
        <x:v>OH</x:v>
      </x:c>
      <x:c r="G11" s="20" t="str">
        <x:v>43208</x:v>
      </x:c>
      <x:c r="H11" s="20" t="str">
        <x:v>O03</x:v>
      </x:c>
      <x:c r="I11" s="20" t="str">
        <x:v>Northstar Property Partners LLC</x:v>
      </x:c>
      <x:c r="J11" s="29" t="n">
        <x:v>1</x:v>
      </x:c>
      <x:c r="K11" s="23" t="n">
        <x:v>45550</x:v>
      </x:c>
      <x:c r="L11" s="26" t="n">
        <x:v>230500</x:v>
      </x:c>
      <x:c r="M11" s="26" t="n">
        <x:v>46100</x:v>
      </x:c>
      <x:c r="N11" s="26" t="n">
        <x:v>184400</x:v>
      </x:c>
      <x:c r="O11" s="20" t="str">
        <x:v>LN008</x:v>
      </x:c>
      <x:c r="P11" s="26" t="n">
        <x:v>161350</x:v>
      </x:c>
      <x:c r="Q11" s="26" t="n">
        <x:v>508</x:v>
      </x:c>
      <x:c r="R11" s="26" t="n">
        <x:v>714</x:v>
      </x:c>
    </x:row>
    <x:row r="12">
      <x:c r="A12" s="20" t="str">
        <x:v>P009</x:v>
      </x:c>
      <x:c r="B12" s="20" t="str">
        <x:v>Ivy House</x:v>
      </x:c>
      <x:c r="C12" s="20" t="str">
        <x:v>SingleRental</x:v>
      </x:c>
      <x:c r="D12" s="20" t="str">
        <x:v>253 Ivy Street</x:v>
      </x:c>
      <x:c r="E12" s="20" t="str">
        <x:v>Columbus</x:v>
      </x:c>
      <x:c r="F12" s="20" t="str">
        <x:v>OH</x:v>
      </x:c>
      <x:c r="G12" s="20" t="str">
        <x:v>43209</x:v>
      </x:c>
      <x:c r="H12" s="20" t="str">
        <x:v>O04</x:v>
      </x:c>
      <x:c r="I12" s="20" t="str">
        <x:v>Riverbend Homes LLC</x:v>
      </x:c>
      <x:c r="J12" s="29" t="n">
        <x:v>1</x:v>
      </x:c>
      <x:c r="K12" s="23" t="n">
        <x:v>45945</x:v>
      </x:c>
      <x:c r="L12" s="26" t="n">
        <x:v>237750</x:v>
      </x:c>
      <x:c r="M12" s="26" t="n">
        <x:v>47550</x:v>
      </x:c>
      <x:c r="N12" s="26" t="n">
        <x:v>190200</x:v>
      </x:c>
      <x:c r="O12" s="20" t="str"/>
      <x:c r="P12" s="26" t="n">
        <x:v>0</x:v>
      </x:c>
      <x:c r="Q12" s="26" t="n">
        <x:v>0</x:v>
      </x:c>
      <x:c r="R12" s="26" t="n">
        <x:v>0</x:v>
      </x:c>
    </x:row>
    <x:row r="13">
      <x:c r="A13" s="20" t="str">
        <x:v>P010</x:v>
      </x:c>
      <x:c r="B13" s="20" t="str">
        <x:v>Juniper Place</x:v>
      </x:c>
      <x:c r="C13" s="20" t="str">
        <x:v>SingleRental</x:v>
      </x:c>
      <x:c r="D13" s="20" t="str">
        <x:v>270 Juniper Street</x:v>
      </x:c>
      <x:c r="E13" s="20" t="str">
        <x:v>Columbus</x:v>
      </x:c>
      <x:c r="F13" s="20" t="str">
        <x:v>OH</x:v>
      </x:c>
      <x:c r="G13" s="20" t="str">
        <x:v>43210</x:v>
      </x:c>
      <x:c r="H13" s="20" t="str">
        <x:v>O05</x:v>
      </x:c>
      <x:c r="I13" s="20" t="str">
        <x:v>Juniper Street Holdings LLC</x:v>
      </x:c>
      <x:c r="J13" s="29" t="n">
        <x:v>1</x:v>
      </x:c>
      <x:c r="K13" s="23" t="n">
        <x:v>42689</x:v>
      </x:c>
      <x:c r="L13" s="26" t="n">
        <x:v>245000</x:v>
      </x:c>
      <x:c r="M13" s="26" t="n">
        <x:v>49000</x:v>
      </x:c>
      <x:c r="N13" s="26" t="n">
        <x:v>196000</x:v>
      </x:c>
      <x:c r="O13" s="20" t="str">
        <x:v>LN010</x:v>
      </x:c>
      <x:c r="P13" s="26" t="n">
        <x:v>171500</x:v>
      </x:c>
      <x:c r="Q13" s="26" t="n">
        <x:v>530</x:v>
      </x:c>
      <x:c r="R13" s="26" t="n">
        <x:v>740</x:v>
      </x:c>
    </x:row>
    <x:row r="14">
      <x:c r="A14" s="20" t="str">
        <x:v>P011</x:v>
      </x:c>
      <x:c r="B14" s="20" t="str">
        <x:v>Kingston House</x:v>
      </x:c>
      <x:c r="C14" s="20" t="str">
        <x:v>SingleRental</x:v>
      </x:c>
      <x:c r="D14" s="20" t="str">
        <x:v>287 Kingston Street</x:v>
      </x:c>
      <x:c r="E14" s="20" t="str">
        <x:v>Columbus</x:v>
      </x:c>
      <x:c r="F14" s="20" t="str">
        <x:v>OH</x:v>
      </x:c>
      <x:c r="G14" s="20" t="str">
        <x:v>43211</x:v>
      </x:c>
      <x:c r="H14" s="20" t="str">
        <x:v>O01</x:v>
      </x:c>
      <x:c r="I14" s="20" t="str">
        <x:v>Blue Door Residential LLC</x:v>
      </x:c>
      <x:c r="J14" s="29" t="n">
        <x:v>1</x:v>
      </x:c>
      <x:c r="K14" s="23" t="n">
        <x:v>43084</x:v>
      </x:c>
      <x:c r="L14" s="26" t="n">
        <x:v>252250</x:v>
      </x:c>
      <x:c r="M14" s="26" t="n">
        <x:v>50450</x:v>
      </x:c>
      <x:c r="N14" s="26" t="n">
        <x:v>201800</x:v>
      </x:c>
      <x:c r="O14" s="20" t="str">
        <x:v>LN011</x:v>
      </x:c>
      <x:c r="P14" s="26" t="n">
        <x:v>176575</x:v>
      </x:c>
      <x:c r="Q14" s="26" t="n">
        <x:v>541</x:v>
      </x:c>
      <x:c r="R14" s="26" t="n">
        <x:v>753</x:v>
      </x:c>
    </x:row>
    <x:row r="15">
      <x:c r="A15" s="20" t="str">
        <x:v>P012</x:v>
      </x:c>
      <x:c r="B15" s="20" t="str">
        <x:v>Lakeview Home</x:v>
      </x:c>
      <x:c r="C15" s="20" t="str">
        <x:v>SingleRental</x:v>
      </x:c>
      <x:c r="D15" s="20" t="str">
        <x:v>304 Lakeview Street</x:v>
      </x:c>
      <x:c r="E15" s="20" t="str">
        <x:v>Columbus</x:v>
      </x:c>
      <x:c r="F15" s="20" t="str">
        <x:v>OH</x:v>
      </x:c>
      <x:c r="G15" s="20" t="str">
        <x:v>43212</x:v>
      </x:c>
      <x:c r="H15" s="20" t="str">
        <x:v>O02</x:v>
      </x:c>
      <x:c r="I15" s="20" t="str">
        <x:v>Coble Family Rentals LLC</x:v>
      </x:c>
      <x:c r="J15" s="29" t="n">
        <x:v>1</x:v>
      </x:c>
      <x:c r="K15" s="23" t="n">
        <x:v>43115</x:v>
      </x:c>
      <x:c r="L15" s="26" t="n">
        <x:v>259500</x:v>
      </x:c>
      <x:c r="M15" s="26" t="n">
        <x:v>51900</x:v>
      </x:c>
      <x:c r="N15" s="26" t="n">
        <x:v>207600</x:v>
      </x:c>
      <x:c r="O15" s="20" t="str"/>
      <x:c r="P15" s="26" t="n">
        <x:v>0</x:v>
      </x:c>
      <x:c r="Q15" s="26" t="n">
        <x:v>0</x:v>
      </x:c>
      <x:c r="R15" s="26" t="n">
        <x:v>0</x:v>
      </x:c>
    </x:row>
    <x:row r="16">
      <x:c r="A16" s="20" t="str">
        <x:v>P013</x:v>
      </x:c>
      <x:c r="B16" s="20" t="str">
        <x:v>Maple House</x:v>
      </x:c>
      <x:c r="C16" s="20" t="str">
        <x:v>SingleRental</x:v>
      </x:c>
      <x:c r="D16" s="20" t="str">
        <x:v>321 Maple Street</x:v>
      </x:c>
      <x:c r="E16" s="20" t="str">
        <x:v>Columbus</x:v>
      </x:c>
      <x:c r="F16" s="20" t="str">
        <x:v>OH</x:v>
      </x:c>
      <x:c r="G16" s="20" t="str">
        <x:v>43213</x:v>
      </x:c>
      <x:c r="H16" s="20" t="str">
        <x:v>O03</x:v>
      </x:c>
      <x:c r="I16" s="20" t="str">
        <x:v>Northstar Property Partners LLC</x:v>
      </x:c>
      <x:c r="J16" s="29" t="n">
        <x:v>1</x:v>
      </x:c>
      <x:c r="K16" s="23" t="n">
        <x:v>43511</x:v>
      </x:c>
      <x:c r="L16" s="26" t="n">
        <x:v>266750</x:v>
      </x:c>
      <x:c r="M16" s="26" t="n">
        <x:v>53350</x:v>
      </x:c>
      <x:c r="N16" s="26" t="n">
        <x:v>213400</x:v>
      </x:c>
      <x:c r="O16" s="20" t="str">
        <x:v>LN013</x:v>
      </x:c>
      <x:c r="P16" s="26" t="n">
        <x:v>186725</x:v>
      </x:c>
      <x:c r="Q16" s="26" t="n">
        <x:v>563</x:v>
      </x:c>
      <x:c r="R16" s="26" t="n">
        <x:v>779</x:v>
      </x:c>
    </x:row>
    <x:row r="17">
      <x:c r="A17" s="20" t="str">
        <x:v>P014</x:v>
      </x:c>
      <x:c r="B17" s="20" t="str">
        <x:v>North Street Home</x:v>
      </x:c>
      <x:c r="C17" s="20" t="str">
        <x:v>SingleRental</x:v>
      </x:c>
      <x:c r="D17" s="20" t="str">
        <x:v>338 North Street</x:v>
      </x:c>
      <x:c r="E17" s="20" t="str">
        <x:v>Columbus</x:v>
      </x:c>
      <x:c r="F17" s="20" t="str">
        <x:v>OH</x:v>
      </x:c>
      <x:c r="G17" s="20" t="str">
        <x:v>43214</x:v>
      </x:c>
      <x:c r="H17" s="20" t="str">
        <x:v>O04</x:v>
      </x:c>
      <x:c r="I17" s="20" t="str">
        <x:v>Riverbend Homes LLC</x:v>
      </x:c>
      <x:c r="J17" s="29" t="n">
        <x:v>1</x:v>
      </x:c>
      <x:c r="K17" s="23" t="n">
        <x:v>43905</x:v>
      </x:c>
      <x:c r="L17" s="26" t="n">
        <x:v>274000</x:v>
      </x:c>
      <x:c r="M17" s="26" t="n">
        <x:v>54800</x:v>
      </x:c>
      <x:c r="N17" s="26" t="n">
        <x:v>219200</x:v>
      </x:c>
      <x:c r="O17" s="20" t="str">
        <x:v>LN014</x:v>
      </x:c>
      <x:c r="P17" s="26" t="n">
        <x:v>191800</x:v>
      </x:c>
      <x:c r="Q17" s="26" t="n">
        <x:v>574</x:v>
      </x:c>
      <x:c r="R17" s="26" t="n">
        <x:v>792</x:v>
      </x:c>
    </x:row>
    <x:row r="18">
      <x:c r="A18" s="20" t="str">
        <x:v>P015</x:v>
      </x:c>
      <x:c r="B18" s="20" t="str">
        <x:v>Oak House</x:v>
      </x:c>
      <x:c r="C18" s="20" t="str">
        <x:v>SingleRental</x:v>
      </x:c>
      <x:c r="D18" s="20" t="str">
        <x:v>355 Oak Street</x:v>
      </x:c>
      <x:c r="E18" s="20" t="str">
        <x:v>Columbus</x:v>
      </x:c>
      <x:c r="F18" s="20" t="str">
        <x:v>OH</x:v>
      </x:c>
      <x:c r="G18" s="20" t="str">
        <x:v>43215</x:v>
      </x:c>
      <x:c r="H18" s="20" t="str">
        <x:v>O05</x:v>
      </x:c>
      <x:c r="I18" s="20" t="str">
        <x:v>Juniper Street Holdings LLC</x:v>
      </x:c>
      <x:c r="J18" s="29" t="n">
        <x:v>1</x:v>
      </x:c>
      <x:c r="K18" s="23" t="n">
        <x:v>44301</x:v>
      </x:c>
      <x:c r="L18" s="26" t="n">
        <x:v>281250</x:v>
      </x:c>
      <x:c r="M18" s="26" t="n">
        <x:v>56250</x:v>
      </x:c>
      <x:c r="N18" s="26" t="n">
        <x:v>225000</x:v>
      </x:c>
      <x:c r="O18" s="20" t="str"/>
      <x:c r="P18" s="26" t="n">
        <x:v>0</x:v>
      </x:c>
      <x:c r="Q18" s="26" t="n">
        <x:v>0</x:v>
      </x:c>
      <x:c r="R18" s="26" t="n">
        <x:v>0</x:v>
      </x:c>
    </x:row>
    <x:row r="19">
      <x:c r="A19" s="20" t="str">
        <x:v>P016</x:v>
      </x:c>
      <x:c r="B19" s="20" t="str">
        <x:v>Parkside Home</x:v>
      </x:c>
      <x:c r="C19" s="20" t="str">
        <x:v>SingleRental</x:v>
      </x:c>
      <x:c r="D19" s="20" t="str">
        <x:v>372 Park Street</x:v>
      </x:c>
      <x:c r="E19" s="20" t="str">
        <x:v>Columbus</x:v>
      </x:c>
      <x:c r="F19" s="20" t="str">
        <x:v>OH</x:v>
      </x:c>
      <x:c r="G19" s="20" t="str">
        <x:v>43216</x:v>
      </x:c>
      <x:c r="H19" s="20" t="str">
        <x:v>O01</x:v>
      </x:c>
      <x:c r="I19" s="20" t="str">
        <x:v>Blue Door Residential LLC</x:v>
      </x:c>
      <x:c r="J19" s="29" t="n">
        <x:v>1</x:v>
      </x:c>
      <x:c r="K19" s="23" t="n">
        <x:v>44696</x:v>
      </x:c>
      <x:c r="L19" s="26" t="n">
        <x:v>288500</x:v>
      </x:c>
      <x:c r="M19" s="26" t="n">
        <x:v>57700</x:v>
      </x:c>
      <x:c r="N19" s="26" t="n">
        <x:v>230800</x:v>
      </x:c>
      <x:c r="O19" s="20" t="str">
        <x:v>LN016</x:v>
      </x:c>
      <x:c r="P19" s="26" t="n">
        <x:v>201950</x:v>
      </x:c>
      <x:c r="Q19" s="26" t="n">
        <x:v>596</x:v>
      </x:c>
      <x:c r="R19" s="26" t="n">
        <x:v>818</x:v>
      </x:c>
    </x:row>
    <x:row r="20">
      <x:c r="A20" s="20" t="str">
        <x:v>P017</x:v>
      </x:c>
      <x:c r="B20" s="20" t="str">
        <x:v>Quarry House</x:v>
      </x:c>
      <x:c r="C20" s="20" t="str">
        <x:v>SingleRental</x:v>
      </x:c>
      <x:c r="D20" s="20" t="str">
        <x:v>389 Quarry Street</x:v>
      </x:c>
      <x:c r="E20" s="20" t="str">
        <x:v>Columbus</x:v>
      </x:c>
      <x:c r="F20" s="20" t="str">
        <x:v>OH</x:v>
      </x:c>
      <x:c r="G20" s="20" t="str">
        <x:v>43217</x:v>
      </x:c>
      <x:c r="H20" s="20" t="str">
        <x:v>O02</x:v>
      </x:c>
      <x:c r="I20" s="20" t="str">
        <x:v>Coble Family Rentals LLC</x:v>
      </x:c>
      <x:c r="J20" s="29" t="n">
        <x:v>1</x:v>
      </x:c>
      <x:c r="K20" s="23" t="n">
        <x:v>45092</x:v>
      </x:c>
      <x:c r="L20" s="26" t="n">
        <x:v>295750</x:v>
      </x:c>
      <x:c r="M20" s="26" t="n">
        <x:v>59150</x:v>
      </x:c>
      <x:c r="N20" s="26" t="n">
        <x:v>236600</x:v>
      </x:c>
      <x:c r="O20" s="20" t="str">
        <x:v>LN017</x:v>
      </x:c>
      <x:c r="P20" s="26" t="n">
        <x:v>207025</x:v>
      </x:c>
      <x:c r="Q20" s="26" t="n">
        <x:v>607</x:v>
      </x:c>
      <x:c r="R20" s="26" t="n">
        <x:v>831</x:v>
      </x:c>
    </x:row>
    <x:row r="21">
      <x:c r="A21" s="20" t="str">
        <x:v>P018</x:v>
      </x:c>
      <x:c r="B21" s="20" t="str">
        <x:v>River House</x:v>
      </x:c>
      <x:c r="C21" s="20" t="str">
        <x:v>SingleRental</x:v>
      </x:c>
      <x:c r="D21" s="20" t="str">
        <x:v>406 River Street</x:v>
      </x:c>
      <x:c r="E21" s="20" t="str">
        <x:v>Columbus</x:v>
      </x:c>
      <x:c r="F21" s="20" t="str">
        <x:v>OH</x:v>
      </x:c>
      <x:c r="G21" s="20" t="str">
        <x:v>43218</x:v>
      </x:c>
      <x:c r="H21" s="20" t="str">
        <x:v>O03</x:v>
      </x:c>
      <x:c r="I21" s="20" t="str">
        <x:v>Northstar Property Partners LLC</x:v>
      </x:c>
      <x:c r="J21" s="29" t="n">
        <x:v>1</x:v>
      </x:c>
      <x:c r="K21" s="23" t="n">
        <x:v>45488</x:v>
      </x:c>
      <x:c r="L21" s="26" t="n">
        <x:v>303000</x:v>
      </x:c>
      <x:c r="M21" s="26" t="n">
        <x:v>60600</x:v>
      </x:c>
      <x:c r="N21" s="26" t="n">
        <x:v>242400</x:v>
      </x:c>
      <x:c r="O21" s="20" t="str"/>
      <x:c r="P21" s="26" t="n">
        <x:v>0</x:v>
      </x:c>
      <x:c r="Q21" s="26" t="n">
        <x:v>0</x:v>
      </x:c>
      <x:c r="R21" s="26" t="n">
        <x:v>0</x:v>
      </x:c>
    </x:row>
    <x:row r="22">
      <x:c r="A22" s="20" t="str">
        <x:v>P019</x:v>
      </x:c>
      <x:c r="B22" s="20" t="str">
        <x:v>Summit Home</x:v>
      </x:c>
      <x:c r="C22" s="20" t="str">
        <x:v>SingleRental</x:v>
      </x:c>
      <x:c r="D22" s="20" t="str">
        <x:v>423 Summit Street</x:v>
      </x:c>
      <x:c r="E22" s="20" t="str">
        <x:v>Columbus</x:v>
      </x:c>
      <x:c r="F22" s="20" t="str">
        <x:v>OH</x:v>
      </x:c>
      <x:c r="G22" s="20" t="str">
        <x:v>43219</x:v>
      </x:c>
      <x:c r="H22" s="20" t="str">
        <x:v>O04</x:v>
      </x:c>
      <x:c r="I22" s="20" t="str">
        <x:v>Riverbend Homes LLC</x:v>
      </x:c>
      <x:c r="J22" s="29" t="n">
        <x:v>1</x:v>
      </x:c>
      <x:c r="K22" s="23" t="n">
        <x:v>45884</x:v>
      </x:c>
      <x:c r="L22" s="26" t="n">
        <x:v>310250</x:v>
      </x:c>
      <x:c r="M22" s="26" t="n">
        <x:v>62050</x:v>
      </x:c>
      <x:c r="N22" s="26" t="n">
        <x:v>248200</x:v>
      </x:c>
      <x:c r="O22" s="20" t="str">
        <x:v>LN019</x:v>
      </x:c>
      <x:c r="P22" s="26" t="n">
        <x:v>217175</x:v>
      </x:c>
      <x:c r="Q22" s="26" t="n">
        <x:v>629</x:v>
      </x:c>
      <x:c r="R22" s="26" t="n">
        <x:v>857</x:v>
      </x:c>
    </x:row>
    <x:row r="23">
      <x:c r="A23" s="20" t="str">
        <x:v>P020</x:v>
      </x:c>
      <x:c r="B23" s="20" t="str">
        <x:v>Terrace House</x:v>
      </x:c>
      <x:c r="C23" s="20" t="str">
        <x:v>SingleRental</x:v>
      </x:c>
      <x:c r="D23" s="20" t="str">
        <x:v>440 Terrace Street</x:v>
      </x:c>
      <x:c r="E23" s="20" t="str">
        <x:v>Columbus</x:v>
      </x:c>
      <x:c r="F23" s="20" t="str">
        <x:v>OH</x:v>
      </x:c>
      <x:c r="G23" s="20" t="str">
        <x:v>43220</x:v>
      </x:c>
      <x:c r="H23" s="20" t="str">
        <x:v>O05</x:v>
      </x:c>
      <x:c r="I23" s="20" t="str">
        <x:v>Juniper Street Holdings LLC</x:v>
      </x:c>
      <x:c r="J23" s="29" t="n">
        <x:v>1</x:v>
      </x:c>
      <x:c r="K23" s="23" t="n">
        <x:v>42628</x:v>
      </x:c>
      <x:c r="L23" s="26" t="n">
        <x:v>317500</x:v>
      </x:c>
      <x:c r="M23" s="26" t="n">
        <x:v>63500</x:v>
      </x:c>
      <x:c r="N23" s="26" t="n">
        <x:v>254000</x:v>
      </x:c>
      <x:c r="O23" s="20" t="str">
        <x:v>LN020</x:v>
      </x:c>
      <x:c r="P23" s="26" t="n">
        <x:v>222250</x:v>
      </x:c>
      <x:c r="Q23" s="26" t="n">
        <x:v>640</x:v>
      </x:c>
      <x:c r="R23" s="26" t="n">
        <x:v>870</x:v>
      </x:c>
    </x:row>
    <x:row r="24">
      <x:c r="A24" s="20" t="str">
        <x:v>P021</x:v>
      </x:c>
      <x:c r="B24" s="20" t="str">
        <x:v>Union Duplex</x:v>
      </x:c>
      <x:c r="C24" s="20" t="str">
        <x:v>MultiRental</x:v>
      </x:c>
      <x:c r="D24" s="20" t="str">
        <x:v>457 Union Street</x:v>
      </x:c>
      <x:c r="E24" s="20" t="str">
        <x:v>Columbus</x:v>
      </x:c>
      <x:c r="F24" s="20" t="str">
        <x:v>OH</x:v>
      </x:c>
      <x:c r="G24" s="20" t="str">
        <x:v>43221</x:v>
      </x:c>
      <x:c r="H24" s="20" t="str">
        <x:v>O01</x:v>
      </x:c>
      <x:c r="I24" s="20" t="str">
        <x:v>Blue Door Residential LLC</x:v>
      </x:c>
      <x:c r="J24" s="29" t="n">
        <x:v>1</x:v>
      </x:c>
      <x:c r="K24" s="23" t="n">
        <x:v>43023</x:v>
      </x:c>
      <x:c r="L24" s="26" t="n">
        <x:v>369750</x:v>
      </x:c>
      <x:c r="M24" s="26" t="n">
        <x:v>73950</x:v>
      </x:c>
      <x:c r="N24" s="26" t="n">
        <x:v>295800</x:v>
      </x:c>
      <x:c r="O24" s="20" t="str"/>
      <x:c r="P24" s="26" t="n">
        <x:v>0</x:v>
      </x:c>
      <x:c r="Q24" s="26" t="n">
        <x:v>0</x:v>
      </x:c>
      <x:c r="R24" s="26" t="n">
        <x:v>0</x:v>
      </x:c>
    </x:row>
    <x:row r="25">
      <x:c r="A25" s="20" t="str">
        <x:v>P022</x:v>
      </x:c>
      <x:c r="B25" s="20" t="str">
        <x:v>Valley Duplex</x:v>
      </x:c>
      <x:c r="C25" s="20" t="str">
        <x:v>MultiRental</x:v>
      </x:c>
      <x:c r="D25" s="20" t="str">
        <x:v>474 Valley Street</x:v>
      </x:c>
      <x:c r="E25" s="20" t="str">
        <x:v>Columbus</x:v>
      </x:c>
      <x:c r="F25" s="20" t="str">
        <x:v>OH</x:v>
      </x:c>
      <x:c r="G25" s="20" t="str">
        <x:v>43222</x:v>
      </x:c>
      <x:c r="H25" s="20" t="str">
        <x:v>O02</x:v>
      </x:c>
      <x:c r="I25" s="20" t="str">
        <x:v>Coble Family Rentals LLC</x:v>
      </x:c>
      <x:c r="J25" s="29" t="n">
        <x:v>1</x:v>
      </x:c>
      <x:c r="K25" s="23" t="n">
        <x:v>43419</x:v>
      </x:c>
      <x:c r="L25" s="26" t="n">
        <x:v>377000</x:v>
      </x:c>
      <x:c r="M25" s="26" t="n">
        <x:v>75400</x:v>
      </x:c>
      <x:c r="N25" s="26" t="n">
        <x:v>301600</x:v>
      </x:c>
      <x:c r="O25" s="20" t="str">
        <x:v>LN022</x:v>
      </x:c>
      <x:c r="P25" s="26" t="n">
        <x:v>263900</x:v>
      </x:c>
      <x:c r="Q25" s="26" t="n">
        <x:v>662</x:v>
      </x:c>
      <x:c r="R25" s="26" t="n">
        <x:v>896</x:v>
      </x:c>
    </x:row>
    <x:row r="26">
      <x:c r="A26" s="20" t="str">
        <x:v>P023</x:v>
      </x:c>
      <x:c r="B26" s="20" t="str">
        <x:v>Walnut Duplex</x:v>
      </x:c>
      <x:c r="C26" s="20" t="str">
        <x:v>MultiRental</x:v>
      </x:c>
      <x:c r="D26" s="20" t="str">
        <x:v>491 Walnut Street</x:v>
      </x:c>
      <x:c r="E26" s="20" t="str">
        <x:v>Columbus</x:v>
      </x:c>
      <x:c r="F26" s="20" t="str">
        <x:v>OH</x:v>
      </x:c>
      <x:c r="G26" s="20" t="str">
        <x:v>43223</x:v>
      </x:c>
      <x:c r="H26" s="20" t="str">
        <x:v>O03</x:v>
      </x:c>
      <x:c r="I26" s="20" t="str">
        <x:v>Northstar Property Partners LLC</x:v>
      </x:c>
      <x:c r="J26" s="29" t="n">
        <x:v>1</x:v>
      </x:c>
      <x:c r="K26" s="23" t="n">
        <x:v>43814</x:v>
      </x:c>
      <x:c r="L26" s="26" t="n">
        <x:v>384250</x:v>
      </x:c>
      <x:c r="M26" s="26" t="n">
        <x:v>76850</x:v>
      </x:c>
      <x:c r="N26" s="26" t="n">
        <x:v>307400</x:v>
      </x:c>
      <x:c r="O26" s="20" t="str">
        <x:v>LN023</x:v>
      </x:c>
      <x:c r="P26" s="26" t="n">
        <x:v>268975</x:v>
      </x:c>
      <x:c r="Q26" s="26" t="n">
        <x:v>673</x:v>
      </x:c>
      <x:c r="R26" s="26" t="n">
        <x:v>909</x:v>
      </x:c>
    </x:row>
    <x:row r="27">
      <x:c r="A27" s="20" t="str">
        <x:v>P024</x:v>
      </x:c>
      <x:c r="B27" s="20" t="str">
        <x:v>York Duplex</x:v>
      </x:c>
      <x:c r="C27" s="20" t="str">
        <x:v>MultiRental</x:v>
      </x:c>
      <x:c r="D27" s="20" t="str">
        <x:v>508 York Street</x:v>
      </x:c>
      <x:c r="E27" s="20" t="str">
        <x:v>Columbus</x:v>
      </x:c>
      <x:c r="F27" s="20" t="str">
        <x:v>OH</x:v>
      </x:c>
      <x:c r="G27" s="20" t="str">
        <x:v>43224</x:v>
      </x:c>
      <x:c r="H27" s="20" t="str">
        <x:v>O04</x:v>
      </x:c>
      <x:c r="I27" s="20" t="str">
        <x:v>Riverbend Homes LLC</x:v>
      </x:c>
      <x:c r="J27" s="29" t="n">
        <x:v>1</x:v>
      </x:c>
      <x:c r="K27" s="23" t="n">
        <x:v>43845</x:v>
      </x:c>
      <x:c r="L27" s="26" t="n">
        <x:v>391500</x:v>
      </x:c>
      <x:c r="M27" s="26" t="n">
        <x:v>78300</x:v>
      </x:c>
      <x:c r="N27" s="26" t="n">
        <x:v>313200</x:v>
      </x:c>
      <x:c r="O27" s="20" t="str"/>
      <x:c r="P27" s="26" t="n">
        <x:v>0</x:v>
      </x:c>
      <x:c r="Q27" s="26" t="n">
        <x:v>0</x:v>
      </x:c>
      <x:c r="R27" s="26" t="n">
        <x:v>0</x:v>
      </x:c>
    </x:row>
    <x:row r="28">
      <x:c r="A28" s="20" t="str">
        <x:v>P025</x:v>
      </x:c>
      <x:c r="B28" s="20" t="str">
        <x:v>Zenith Duplex</x:v>
      </x:c>
      <x:c r="C28" s="20" t="str">
        <x:v>MultiRental</x:v>
      </x:c>
      <x:c r="D28" s="20" t="str">
        <x:v>525 Zenith Street</x:v>
      </x:c>
      <x:c r="E28" s="20" t="str">
        <x:v>Columbus</x:v>
      </x:c>
      <x:c r="F28" s="20" t="str">
        <x:v>OH</x:v>
      </x:c>
      <x:c r="G28" s="20" t="str">
        <x:v>43225</x:v>
      </x:c>
      <x:c r="H28" s="20" t="str">
        <x:v>O05</x:v>
      </x:c>
      <x:c r="I28" s="20" t="str">
        <x:v>Juniper Street Holdings LLC</x:v>
      </x:c>
      <x:c r="J28" s="29" t="n">
        <x:v>1</x:v>
      </x:c>
      <x:c r="K28" s="23" t="n">
        <x:v>44242</x:v>
      </x:c>
      <x:c r="L28" s="26" t="n">
        <x:v>398750</x:v>
      </x:c>
      <x:c r="M28" s="26" t="n">
        <x:v>79750</x:v>
      </x:c>
      <x:c r="N28" s="26" t="n">
        <x:v>319000</x:v>
      </x:c>
      <x:c r="O28" s="20" t="str">
        <x:v>LN025</x:v>
      </x:c>
      <x:c r="P28" s="26" t="n">
        <x:v>279125</x:v>
      </x:c>
      <x:c r="Q28" s="26" t="n">
        <x:v>695</x:v>
      </x:c>
      <x:c r="R28" s="26" t="n">
        <x:v>935</x:v>
      </x:c>
    </x:row>
    <x:row r="29">
      <x:c r="A29" s="20" t="str">
        <x:v>P026</x:v>
      </x:c>
      <x:c r="B29" s="20" t="str">
        <x:v>Ash Duplex</x:v>
      </x:c>
      <x:c r="C29" s="20" t="str">
        <x:v>MultiRental</x:v>
      </x:c>
      <x:c r="D29" s="20" t="str">
        <x:v>542 Ash Street</x:v>
      </x:c>
      <x:c r="E29" s="20" t="str">
        <x:v>Columbus</x:v>
      </x:c>
      <x:c r="F29" s="20" t="str">
        <x:v>OH</x:v>
      </x:c>
      <x:c r="G29" s="20" t="str">
        <x:v>43226</x:v>
      </x:c>
      <x:c r="H29" s="20" t="str">
        <x:v>O01</x:v>
      </x:c>
      <x:c r="I29" s="20" t="str">
        <x:v>Blue Door Residential LLC</x:v>
      </x:c>
      <x:c r="J29" s="29" t="n">
        <x:v>1</x:v>
      </x:c>
      <x:c r="K29" s="23" t="n">
        <x:v>44635</x:v>
      </x:c>
      <x:c r="L29" s="26" t="n">
        <x:v>406000</x:v>
      </x:c>
      <x:c r="M29" s="26" t="n">
        <x:v>81200</x:v>
      </x:c>
      <x:c r="N29" s="26" t="n">
        <x:v>324800</x:v>
      </x:c>
      <x:c r="O29" s="20" t="str">
        <x:v>LN026</x:v>
      </x:c>
      <x:c r="P29" s="26" t="n">
        <x:v>284200</x:v>
      </x:c>
      <x:c r="Q29" s="26" t="n">
        <x:v>706</x:v>
      </x:c>
      <x:c r="R29" s="26" t="n">
        <x:v>948</x:v>
      </x:c>
    </x:row>
    <x:row r="30">
      <x:c r="A30" s="20" t="str">
        <x:v>P027</x:v>
      </x:c>
      <x:c r="B30" s="20" t="str">
        <x:v>Birch Duplex</x:v>
      </x:c>
      <x:c r="C30" s="20" t="str">
        <x:v>MultiRental</x:v>
      </x:c>
      <x:c r="D30" s="20" t="str">
        <x:v>559 Birch Street</x:v>
      </x:c>
      <x:c r="E30" s="20" t="str">
        <x:v>Columbus</x:v>
      </x:c>
      <x:c r="F30" s="20" t="str">
        <x:v>OH</x:v>
      </x:c>
      <x:c r="G30" s="20" t="str">
        <x:v>43227</x:v>
      </x:c>
      <x:c r="H30" s="20" t="str">
        <x:v>O02</x:v>
      </x:c>
      <x:c r="I30" s="20" t="str">
        <x:v>Coble Family Rentals LLC</x:v>
      </x:c>
      <x:c r="J30" s="29" t="n">
        <x:v>1</x:v>
      </x:c>
      <x:c r="K30" s="23" t="n">
        <x:v>45031</x:v>
      </x:c>
      <x:c r="L30" s="26" t="n">
        <x:v>413250</x:v>
      </x:c>
      <x:c r="M30" s="26" t="n">
        <x:v>82650</x:v>
      </x:c>
      <x:c r="N30" s="26" t="n">
        <x:v>330600</x:v>
      </x:c>
      <x:c r="O30" s="20" t="str"/>
      <x:c r="P30" s="26" t="n">
        <x:v>0</x:v>
      </x:c>
      <x:c r="Q30" s="26" t="n">
        <x:v>0</x:v>
      </x:c>
      <x:c r="R30" s="26" t="n">
        <x:v>0</x:v>
      </x:c>
    </x:row>
    <x:row r="31">
      <x:c r="A31" s="20" t="str">
        <x:v>P028</x:v>
      </x:c>
      <x:c r="B31" s="20" t="str">
        <x:v>Chestnut Duplex</x:v>
      </x:c>
      <x:c r="C31" s="20" t="str">
        <x:v>MultiRental</x:v>
      </x:c>
      <x:c r="D31" s="20" t="str">
        <x:v>576 Chestnut Street</x:v>
      </x:c>
      <x:c r="E31" s="20" t="str">
        <x:v>Columbus</x:v>
      </x:c>
      <x:c r="F31" s="20" t="str">
        <x:v>OH</x:v>
      </x:c>
      <x:c r="G31" s="20" t="str">
        <x:v>43228</x:v>
      </x:c>
      <x:c r="H31" s="20" t="str">
        <x:v>O03</x:v>
      </x:c>
      <x:c r="I31" s="20" t="str">
        <x:v>Northstar Property Partners LLC</x:v>
      </x:c>
      <x:c r="J31" s="29" t="n">
        <x:v>1</x:v>
      </x:c>
      <x:c r="K31" s="23" t="n">
        <x:v>45427</x:v>
      </x:c>
      <x:c r="L31" s="26" t="n">
        <x:v>420500</x:v>
      </x:c>
      <x:c r="M31" s="26" t="n">
        <x:v>84100</x:v>
      </x:c>
      <x:c r="N31" s="26" t="n">
        <x:v>336400</x:v>
      </x:c>
      <x:c r="O31" s="20" t="str">
        <x:v>LN028</x:v>
      </x:c>
      <x:c r="P31" s="26" t="n">
        <x:v>294350</x:v>
      </x:c>
      <x:c r="Q31" s="26" t="n">
        <x:v>728</x:v>
      </x:c>
      <x:c r="R31" s="26" t="n">
        <x:v>974</x:v>
      </x:c>
    </x:row>
    <x:row r="32">
      <x:c r="A32" s="20" t="str">
        <x:v>P029</x:v>
      </x:c>
      <x:c r="B32" s="20" t="str">
        <x:v>Dogwood Duplex</x:v>
      </x:c>
      <x:c r="C32" s="20" t="str">
        <x:v>MultiRental</x:v>
      </x:c>
      <x:c r="D32" s="20" t="str">
        <x:v>593 Dogwood Street</x:v>
      </x:c>
      <x:c r="E32" s="20" t="str">
        <x:v>Columbus</x:v>
      </x:c>
      <x:c r="F32" s="20" t="str">
        <x:v>OH</x:v>
      </x:c>
      <x:c r="G32" s="20" t="str">
        <x:v>43229</x:v>
      </x:c>
      <x:c r="H32" s="20" t="str">
        <x:v>O04</x:v>
      </x:c>
      <x:c r="I32" s="20" t="str">
        <x:v>Riverbend Homes LLC</x:v>
      </x:c>
      <x:c r="J32" s="29" t="n">
        <x:v>1</x:v>
      </x:c>
      <x:c r="K32" s="23" t="n">
        <x:v>45823</x:v>
      </x:c>
      <x:c r="L32" s="26" t="n">
        <x:v>427750</x:v>
      </x:c>
      <x:c r="M32" s="26" t="n">
        <x:v>85550</x:v>
      </x:c>
      <x:c r="N32" s="26" t="n">
        <x:v>342200</x:v>
      </x:c>
      <x:c r="O32" s="20" t="str">
        <x:v>LN029</x:v>
      </x:c>
      <x:c r="P32" s="26" t="n">
        <x:v>299425</x:v>
      </x:c>
      <x:c r="Q32" s="26" t="n">
        <x:v>739</x:v>
      </x:c>
      <x:c r="R32" s="26" t="n">
        <x:v>987</x:v>
      </x:c>
    </x:row>
    <x:row r="33">
      <x:c r="A33" s="21" t="str">
        <x:v>P030</x:v>
      </x:c>
      <x:c r="B33" s="21" t="str">
        <x:v>Evergreen Duplex</x:v>
      </x:c>
      <x:c r="C33" s="21" t="str">
        <x:v>MultiRental</x:v>
      </x:c>
      <x:c r="D33" s="21" t="str">
        <x:v>610 Evergreen Street</x:v>
      </x:c>
      <x:c r="E33" s="21" t="str">
        <x:v>Columbus</x:v>
      </x:c>
      <x:c r="F33" s="21" t="str">
        <x:v>OH</x:v>
      </x:c>
      <x:c r="G33" s="21" t="str">
        <x:v>43230</x:v>
      </x:c>
      <x:c r="H33" s="21" t="str">
        <x:v>O05</x:v>
      </x:c>
      <x:c r="I33" s="21" t="str">
        <x:v>Juniper Street Holdings LLC</x:v>
      </x:c>
      <x:c r="J33" s="30" t="n">
        <x:v>1</x:v>
      </x:c>
      <x:c r="K33" s="24" t="n">
        <x:v>42566</x:v>
      </x:c>
      <x:c r="L33" s="27" t="n">
        <x:v>435000</x:v>
      </x:c>
      <x:c r="M33" s="27" t="n">
        <x:v>87000</x:v>
      </x:c>
      <x:c r="N33" s="27" t="n">
        <x:v>348000</x:v>
      </x:c>
      <x:c r="O33" s="21" t="str"/>
      <x:c r="P33" s="27" t="n">
        <x:v>0</x:v>
      </x:c>
      <x:c r="Q33" s="27" t="n">
        <x:v>0</x:v>
      </x:c>
      <x:c r="R33" s="27" t="n">
        <x:v>0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fc7edef2a69b42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Opening Units — 40 Rentable Spaces</x:v>
      </x:c>
      <x:c r="B1" s="3" t="str">
        <x:v>Opening Units — 40 Rentable Spaces</x:v>
      </x:c>
      <x:c r="C1" s="3" t="str">
        <x:v>Opening Units — 40 Rentable Spaces</x:v>
      </x:c>
      <x:c r="D1" s="3" t="str">
        <x:v>Opening Units — 40 Rentable Spaces</x:v>
      </x:c>
      <x:c r="E1" s="3" t="str">
        <x:v>Opening Units — 40 Rentable Spaces</x:v>
      </x:c>
      <x:c r="F1" s="3" t="str">
        <x:v>Opening Units — 40 Rentable Spaces</x:v>
      </x:c>
      <x:c r="G1" s="3" t="str">
        <x:v>Opening Units — 40 Rentable Spaces</x:v>
      </x:c>
      <x:c r="H1" s="3" t="str">
        <x:v>Opening Units — 40 Rentable Spaces</x:v>
      </x:c>
    </x:row>
    <x:row r="3" ht="30" customHeight="1">
      <x:c r="A3" s="12" t="str">
        <x:v>Unit ID</x:v>
      </x:c>
      <x:c r="B3" s="13" t="str">
        <x:v>Property ID</x:v>
      </x:c>
      <x:c r="C3" s="13" t="str">
        <x:v>Label</x:v>
      </x:c>
      <x:c r="D3" s="13" t="str">
        <x:v>Bedrooms</x:v>
      </x:c>
      <x:c r="E3" s="13" t="str">
        <x:v>Bathrooms</x:v>
      </x:c>
      <x:c r="F3" s="13" t="str">
        <x:v>Square Feet</x:v>
      </x:c>
      <x:c r="G3" s="13" t="str">
        <x:v>Market Rent</x:v>
      </x:c>
      <x:c r="H3" s="14" t="str">
        <x:v>Opening State</x:v>
      </x:c>
    </x:row>
    <x:row r="4">
      <x:c r="A4" s="19" t="str">
        <x:v>U001</x:v>
      </x:c>
      <x:c r="B4" s="19" t="str">
        <x:v>P001</x:v>
      </x:c>
      <x:c r="C4" s="19" t="str">
        <x:v>Main</x:v>
      </x:c>
      <x:c r="D4" s="31" t="n">
        <x:v>3</x:v>
      </x:c>
      <x:c r="E4" s="19" t="n">
        <x:v>1</x:v>
      </x:c>
      <x:c r="F4" s="31" t="n">
        <x:v>965</x:v>
      </x:c>
      <x:c r="G4" s="25" t="n">
        <x:v>1575</x:v>
      </x:c>
      <x:c r="H4" s="19" t="str">
        <x:v>Occupied</x:v>
      </x:c>
    </x:row>
    <x:row r="5">
      <x:c r="A5" s="20" t="str">
        <x:v>U002</x:v>
      </x:c>
      <x:c r="B5" s="20" t="str">
        <x:v>P002</x:v>
      </x:c>
      <x:c r="C5" s="20" t="str">
        <x:v>Main</x:v>
      </x:c>
      <x:c r="D5" s="32" t="n">
        <x:v>4</x:v>
      </x:c>
      <x:c r="E5" s="20" t="n">
        <x:v>1</x:v>
      </x:c>
      <x:c r="F5" s="32" t="n">
        <x:v>1080</x:v>
      </x:c>
      <x:c r="G5" s="26" t="n">
        <x:v>1200</x:v>
      </x:c>
      <x:c r="H5" s="20" t="str">
        <x:v>Occupied</x:v>
      </x:c>
    </x:row>
    <x:row r="6">
      <x:c r="A6" s="20" t="str">
        <x:v>U003</x:v>
      </x:c>
      <x:c r="B6" s="20" t="str">
        <x:v>P003</x:v>
      </x:c>
      <x:c r="C6" s="20" t="str">
        <x:v>Main</x:v>
      </x:c>
      <x:c r="D6" s="32" t="n">
        <x:v>2</x:v>
      </x:c>
      <x:c r="E6" s="20" t="n">
        <x:v>1</x:v>
      </x:c>
      <x:c r="F6" s="32" t="n">
        <x:v>1195</x:v>
      </x:c>
      <x:c r="G6" s="26" t="n">
        <x:v>1725</x:v>
      </x:c>
      <x:c r="H6" s="20" t="str">
        <x:v>Occupied</x:v>
      </x:c>
    </x:row>
    <x:row r="7">
      <x:c r="A7" s="20" t="str">
        <x:v>U004</x:v>
      </x:c>
      <x:c r="B7" s="20" t="str">
        <x:v>P004</x:v>
      </x:c>
      <x:c r="C7" s="20" t="str">
        <x:v>Main</x:v>
      </x:c>
      <x:c r="D7" s="32" t="n">
        <x:v>3</x:v>
      </x:c>
      <x:c r="E7" s="20" t="n">
        <x:v>2</x:v>
      </x:c>
      <x:c r="F7" s="32" t="n">
        <x:v>1310</x:v>
      </x:c>
      <x:c r="G7" s="26" t="n">
        <x:v>1350</x:v>
      </x:c>
      <x:c r="H7" s="20" t="str">
        <x:v>Occupied</x:v>
      </x:c>
    </x:row>
    <x:row r="8">
      <x:c r="A8" s="20" t="str">
        <x:v>U005</x:v>
      </x:c>
      <x:c r="B8" s="20" t="str">
        <x:v>P005</x:v>
      </x:c>
      <x:c r="C8" s="20" t="str">
        <x:v>Main</x:v>
      </x:c>
      <x:c r="D8" s="32" t="n">
        <x:v>4</x:v>
      </x:c>
      <x:c r="E8" s="20" t="n">
        <x:v>1</x:v>
      </x:c>
      <x:c r="F8" s="32" t="n">
        <x:v>1425</x:v>
      </x:c>
      <x:c r="G8" s="26" t="n">
        <x:v>1875</x:v>
      </x:c>
      <x:c r="H8" s="20" t="str">
        <x:v>Occupied</x:v>
      </x:c>
    </x:row>
    <x:row r="9">
      <x:c r="A9" s="20" t="str">
        <x:v>U006</x:v>
      </x:c>
      <x:c r="B9" s="20" t="str">
        <x:v>P006</x:v>
      </x:c>
      <x:c r="C9" s="20" t="str">
        <x:v>Main</x:v>
      </x:c>
      <x:c r="D9" s="32" t="n">
        <x:v>2</x:v>
      </x:c>
      <x:c r="E9" s="20" t="n">
        <x:v>1</x:v>
      </x:c>
      <x:c r="F9" s="32" t="n">
        <x:v>1540</x:v>
      </x:c>
      <x:c r="G9" s="26" t="n">
        <x:v>1500</x:v>
      </x:c>
      <x:c r="H9" s="20" t="str">
        <x:v>Occupied</x:v>
      </x:c>
    </x:row>
    <x:row r="10">
      <x:c r="A10" s="20" t="str">
        <x:v>U007</x:v>
      </x:c>
      <x:c r="B10" s="20" t="str">
        <x:v>P007</x:v>
      </x:c>
      <x:c r="C10" s="20" t="str">
        <x:v>Main</x:v>
      </x:c>
      <x:c r="D10" s="32" t="n">
        <x:v>3</x:v>
      </x:c>
      <x:c r="E10" s="20" t="n">
        <x:v>1</x:v>
      </x:c>
      <x:c r="F10" s="32" t="n">
        <x:v>1655</x:v>
      </x:c>
      <x:c r="G10" s="26" t="n">
        <x:v>1125</x:v>
      </x:c>
      <x:c r="H10" s="20" t="str">
        <x:v>Occupied</x:v>
      </x:c>
    </x:row>
    <x:row r="11">
      <x:c r="A11" s="20" t="str">
        <x:v>U008</x:v>
      </x:c>
      <x:c r="B11" s="20" t="str">
        <x:v>P008</x:v>
      </x:c>
      <x:c r="C11" s="20" t="str">
        <x:v>Main</x:v>
      </x:c>
      <x:c r="D11" s="32" t="n">
        <x:v>4</x:v>
      </x:c>
      <x:c r="E11" s="20" t="n">
        <x:v>2</x:v>
      </x:c>
      <x:c r="F11" s="32" t="n">
        <x:v>850</x:v>
      </x:c>
      <x:c r="G11" s="26" t="n">
        <x:v>1650</x:v>
      </x:c>
      <x:c r="H11" s="20" t="str">
        <x:v>Occupied</x:v>
      </x:c>
    </x:row>
    <x:row r="12">
      <x:c r="A12" s="20" t="str">
        <x:v>U009</x:v>
      </x:c>
      <x:c r="B12" s="20" t="str">
        <x:v>P009</x:v>
      </x:c>
      <x:c r="C12" s="20" t="str">
        <x:v>Main</x:v>
      </x:c>
      <x:c r="D12" s="32" t="n">
        <x:v>2</x:v>
      </x:c>
      <x:c r="E12" s="20" t="n">
        <x:v>1</x:v>
      </x:c>
      <x:c r="F12" s="32" t="n">
        <x:v>965</x:v>
      </x:c>
      <x:c r="G12" s="26" t="n">
        <x:v>1275</x:v>
      </x:c>
      <x:c r="H12" s="20" t="str">
        <x:v>Occupied</x:v>
      </x:c>
    </x:row>
    <x:row r="13">
      <x:c r="A13" s="20" t="str">
        <x:v>U010</x:v>
      </x:c>
      <x:c r="B13" s="20" t="str">
        <x:v>P010</x:v>
      </x:c>
      <x:c r="C13" s="20" t="str">
        <x:v>Main</x:v>
      </x:c>
      <x:c r="D13" s="32" t="n">
        <x:v>3</x:v>
      </x:c>
      <x:c r="E13" s="20" t="n">
        <x:v>1</x:v>
      </x:c>
      <x:c r="F13" s="32" t="n">
        <x:v>1080</x:v>
      </x:c>
      <x:c r="G13" s="26" t="n">
        <x:v>1800</x:v>
      </x:c>
      <x:c r="H13" s="20" t="str">
        <x:v>Occupied</x:v>
      </x:c>
    </x:row>
    <x:row r="14">
      <x:c r="A14" s="20" t="str">
        <x:v>U011</x:v>
      </x:c>
      <x:c r="B14" s="20" t="str">
        <x:v>P011</x:v>
      </x:c>
      <x:c r="C14" s="20" t="str">
        <x:v>Main</x:v>
      </x:c>
      <x:c r="D14" s="32" t="n">
        <x:v>4</x:v>
      </x:c>
      <x:c r="E14" s="20" t="n">
        <x:v>1</x:v>
      </x:c>
      <x:c r="F14" s="32" t="n">
        <x:v>1195</x:v>
      </x:c>
      <x:c r="G14" s="26" t="n">
        <x:v>1425</x:v>
      </x:c>
      <x:c r="H14" s="20" t="str">
        <x:v>Occupied</x:v>
      </x:c>
    </x:row>
    <x:row r="15">
      <x:c r="A15" s="20" t="str">
        <x:v>U012</x:v>
      </x:c>
      <x:c r="B15" s="20" t="str">
        <x:v>P012</x:v>
      </x:c>
      <x:c r="C15" s="20" t="str">
        <x:v>Main</x:v>
      </x:c>
      <x:c r="D15" s="32" t="n">
        <x:v>2</x:v>
      </x:c>
      <x:c r="E15" s="20" t="n">
        <x:v>2</x:v>
      </x:c>
      <x:c r="F15" s="32" t="n">
        <x:v>1310</x:v>
      </x:c>
      <x:c r="G15" s="26" t="n">
        <x:v>1050</x:v>
      </x:c>
      <x:c r="H15" s="20" t="str">
        <x:v>Occupied</x:v>
      </x:c>
    </x:row>
    <x:row r="16">
      <x:c r="A16" s="20" t="str">
        <x:v>U013</x:v>
      </x:c>
      <x:c r="B16" s="20" t="str">
        <x:v>P013</x:v>
      </x:c>
      <x:c r="C16" s="20" t="str">
        <x:v>Main</x:v>
      </x:c>
      <x:c r="D16" s="32" t="n">
        <x:v>3</x:v>
      </x:c>
      <x:c r="E16" s="20" t="n">
        <x:v>1</x:v>
      </x:c>
      <x:c r="F16" s="32" t="n">
        <x:v>1425</x:v>
      </x:c>
      <x:c r="G16" s="26" t="n">
        <x:v>1575</x:v>
      </x:c>
      <x:c r="H16" s="20" t="str">
        <x:v>Occupied</x:v>
      </x:c>
    </x:row>
    <x:row r="17">
      <x:c r="A17" s="20" t="str">
        <x:v>U014</x:v>
      </x:c>
      <x:c r="B17" s="20" t="str">
        <x:v>P014</x:v>
      </x:c>
      <x:c r="C17" s="20" t="str">
        <x:v>Main</x:v>
      </x:c>
      <x:c r="D17" s="32" t="n">
        <x:v>4</x:v>
      </x:c>
      <x:c r="E17" s="20" t="n">
        <x:v>1</x:v>
      </x:c>
      <x:c r="F17" s="32" t="n">
        <x:v>1540</x:v>
      </x:c>
      <x:c r="G17" s="26" t="n">
        <x:v>1200</x:v>
      </x:c>
      <x:c r="H17" s="20" t="str">
        <x:v>Occupied</x:v>
      </x:c>
    </x:row>
    <x:row r="18">
      <x:c r="A18" s="20" t="str">
        <x:v>U015</x:v>
      </x:c>
      <x:c r="B18" s="20" t="str">
        <x:v>P015</x:v>
      </x:c>
      <x:c r="C18" s="20" t="str">
        <x:v>Main</x:v>
      </x:c>
      <x:c r="D18" s="32" t="n">
        <x:v>2</x:v>
      </x:c>
      <x:c r="E18" s="20" t="n">
        <x:v>1</x:v>
      </x:c>
      <x:c r="F18" s="32" t="n">
        <x:v>1655</x:v>
      </x:c>
      <x:c r="G18" s="26" t="n">
        <x:v>1725</x:v>
      </x:c>
      <x:c r="H18" s="20" t="str">
        <x:v>Occupied</x:v>
      </x:c>
    </x:row>
    <x:row r="19">
      <x:c r="A19" s="20" t="str">
        <x:v>U016</x:v>
      </x:c>
      <x:c r="B19" s="20" t="str">
        <x:v>P016</x:v>
      </x:c>
      <x:c r="C19" s="20" t="str">
        <x:v>Main</x:v>
      </x:c>
      <x:c r="D19" s="32" t="n">
        <x:v>3</x:v>
      </x:c>
      <x:c r="E19" s="20" t="n">
        <x:v>2</x:v>
      </x:c>
      <x:c r="F19" s="32" t="n">
        <x:v>850</x:v>
      </x:c>
      <x:c r="G19" s="26" t="n">
        <x:v>1350</x:v>
      </x:c>
      <x:c r="H19" s="20" t="str">
        <x:v>Occupied</x:v>
      </x:c>
    </x:row>
    <x:row r="20">
      <x:c r="A20" s="20" t="str">
        <x:v>U017</x:v>
      </x:c>
      <x:c r="B20" s="20" t="str">
        <x:v>P017</x:v>
      </x:c>
      <x:c r="C20" s="20" t="str">
        <x:v>Main</x:v>
      </x:c>
      <x:c r="D20" s="32" t="n">
        <x:v>4</x:v>
      </x:c>
      <x:c r="E20" s="20" t="n">
        <x:v>1</x:v>
      </x:c>
      <x:c r="F20" s="32" t="n">
        <x:v>965</x:v>
      </x:c>
      <x:c r="G20" s="26" t="n">
        <x:v>1875</x:v>
      </x:c>
      <x:c r="H20" s="20" t="str">
        <x:v>Occupied</x:v>
      </x:c>
    </x:row>
    <x:row r="21">
      <x:c r="A21" s="20" t="str">
        <x:v>U018</x:v>
      </x:c>
      <x:c r="B21" s="20" t="str">
        <x:v>P018</x:v>
      </x:c>
      <x:c r="C21" s="20" t="str">
        <x:v>Main</x:v>
      </x:c>
      <x:c r="D21" s="32" t="n">
        <x:v>2</x:v>
      </x:c>
      <x:c r="E21" s="20" t="n">
        <x:v>1</x:v>
      </x:c>
      <x:c r="F21" s="32" t="n">
        <x:v>1080</x:v>
      </x:c>
      <x:c r="G21" s="26" t="n">
        <x:v>1500</x:v>
      </x:c>
      <x:c r="H21" s="20" t="str">
        <x:v>Occupied</x:v>
      </x:c>
    </x:row>
    <x:row r="22">
      <x:c r="A22" s="20" t="str">
        <x:v>U019</x:v>
      </x:c>
      <x:c r="B22" s="20" t="str">
        <x:v>P019</x:v>
      </x:c>
      <x:c r="C22" s="20" t="str">
        <x:v>Main</x:v>
      </x:c>
      <x:c r="D22" s="32" t="n">
        <x:v>3</x:v>
      </x:c>
      <x:c r="E22" s="20" t="n">
        <x:v>1</x:v>
      </x:c>
      <x:c r="F22" s="32" t="n">
        <x:v>1195</x:v>
      </x:c>
      <x:c r="G22" s="26" t="n">
        <x:v>1125</x:v>
      </x:c>
      <x:c r="H22" s="20" t="str">
        <x:v>Occupied</x:v>
      </x:c>
    </x:row>
    <x:row r="23">
      <x:c r="A23" s="20" t="str">
        <x:v>U020</x:v>
      </x:c>
      <x:c r="B23" s="20" t="str">
        <x:v>P020</x:v>
      </x:c>
      <x:c r="C23" s="20" t="str">
        <x:v>Main</x:v>
      </x:c>
      <x:c r="D23" s="32" t="n">
        <x:v>4</x:v>
      </x:c>
      <x:c r="E23" s="20" t="n">
        <x:v>2</x:v>
      </x:c>
      <x:c r="F23" s="32" t="n">
        <x:v>1310</x:v>
      </x:c>
      <x:c r="G23" s="26" t="n">
        <x:v>1650</x:v>
      </x:c>
      <x:c r="H23" s="20" t="str">
        <x:v>Occupied</x:v>
      </x:c>
    </x:row>
    <x:row r="24">
      <x:c r="A24" s="20" t="str">
        <x:v>U021</x:v>
      </x:c>
      <x:c r="B24" s="20" t="str">
        <x:v>P021</x:v>
      </x:c>
      <x:c r="C24" s="20" t="str">
        <x:v>A</x:v>
      </x:c>
      <x:c r="D24" s="32" t="n">
        <x:v>2</x:v>
      </x:c>
      <x:c r="E24" s="20" t="n">
        <x:v>1</x:v>
      </x:c>
      <x:c r="F24" s="32" t="n">
        <x:v>1425</x:v>
      </x:c>
      <x:c r="G24" s="26" t="n">
        <x:v>1375</x:v>
      </x:c>
      <x:c r="H24" s="20" t="str">
        <x:v>Occupied</x:v>
      </x:c>
    </x:row>
    <x:row r="25">
      <x:c r="A25" s="20" t="str">
        <x:v>U022</x:v>
      </x:c>
      <x:c r="B25" s="20" t="str">
        <x:v>P021</x:v>
      </x:c>
      <x:c r="C25" s="20" t="str">
        <x:v>B</x:v>
      </x:c>
      <x:c r="D25" s="32" t="n">
        <x:v>3</x:v>
      </x:c>
      <x:c r="E25" s="20" t="n">
        <x:v>1</x:v>
      </x:c>
      <x:c r="F25" s="32" t="n">
        <x:v>1540</x:v>
      </x:c>
      <x:c r="G25" s="26" t="n">
        <x:v>1900</x:v>
      </x:c>
      <x:c r="H25" s="20" t="str">
        <x:v>Occupied</x:v>
      </x:c>
    </x:row>
    <x:row r="26">
      <x:c r="A26" s="20" t="str">
        <x:v>U023</x:v>
      </x:c>
      <x:c r="B26" s="20" t="str">
        <x:v>P022</x:v>
      </x:c>
      <x:c r="C26" s="20" t="str">
        <x:v>A</x:v>
      </x:c>
      <x:c r="D26" s="32" t="n">
        <x:v>4</x:v>
      </x:c>
      <x:c r="E26" s="20" t="n">
        <x:v>1</x:v>
      </x:c>
      <x:c r="F26" s="32" t="n">
        <x:v>1655</x:v>
      </x:c>
      <x:c r="G26" s="26" t="n">
        <x:v>1525</x:v>
      </x:c>
      <x:c r="H26" s="20" t="str">
        <x:v>Occupied</x:v>
      </x:c>
    </x:row>
    <x:row r="27">
      <x:c r="A27" s="20" t="str">
        <x:v>U024</x:v>
      </x:c>
      <x:c r="B27" s="20" t="str">
        <x:v>P022</x:v>
      </x:c>
      <x:c r="C27" s="20" t="str">
        <x:v>B</x:v>
      </x:c>
      <x:c r="D27" s="32" t="n">
        <x:v>2</x:v>
      </x:c>
      <x:c r="E27" s="20" t="n">
        <x:v>2</x:v>
      </x:c>
      <x:c r="F27" s="32" t="n">
        <x:v>850</x:v>
      </x:c>
      <x:c r="G27" s="26" t="n">
        <x:v>1150</x:v>
      </x:c>
      <x:c r="H27" s="20" t="str">
        <x:v>Occupied</x:v>
      </x:c>
    </x:row>
    <x:row r="28">
      <x:c r="A28" s="20" t="str">
        <x:v>U025</x:v>
      </x:c>
      <x:c r="B28" s="20" t="str">
        <x:v>P023</x:v>
      </x:c>
      <x:c r="C28" s="20" t="str">
        <x:v>A</x:v>
      </x:c>
      <x:c r="D28" s="32" t="n">
        <x:v>3</x:v>
      </x:c>
      <x:c r="E28" s="20" t="n">
        <x:v>1</x:v>
      </x:c>
      <x:c r="F28" s="32" t="n">
        <x:v>965</x:v>
      </x:c>
      <x:c r="G28" s="26" t="n">
        <x:v>1675</x:v>
      </x:c>
      <x:c r="H28" s="20" t="str">
        <x:v>Occupied</x:v>
      </x:c>
    </x:row>
    <x:row r="29">
      <x:c r="A29" s="20" t="str">
        <x:v>U026</x:v>
      </x:c>
      <x:c r="B29" s="20" t="str">
        <x:v>P023</x:v>
      </x:c>
      <x:c r="C29" s="20" t="str">
        <x:v>B</x:v>
      </x:c>
      <x:c r="D29" s="32" t="n">
        <x:v>4</x:v>
      </x:c>
      <x:c r="E29" s="20" t="n">
        <x:v>1</x:v>
      </x:c>
      <x:c r="F29" s="32" t="n">
        <x:v>1080</x:v>
      </x:c>
      <x:c r="G29" s="26" t="n">
        <x:v>1300</x:v>
      </x:c>
      <x:c r="H29" s="20" t="str">
        <x:v>Occupied</x:v>
      </x:c>
    </x:row>
    <x:row r="30">
      <x:c r="A30" s="20" t="str">
        <x:v>U027</x:v>
      </x:c>
      <x:c r="B30" s="20" t="str">
        <x:v>P024</x:v>
      </x:c>
      <x:c r="C30" s="20" t="str">
        <x:v>A</x:v>
      </x:c>
      <x:c r="D30" s="32" t="n">
        <x:v>2</x:v>
      </x:c>
      <x:c r="E30" s="20" t="n">
        <x:v>1</x:v>
      </x:c>
      <x:c r="F30" s="32" t="n">
        <x:v>1195</x:v>
      </x:c>
      <x:c r="G30" s="26" t="n">
        <x:v>1825</x:v>
      </x:c>
      <x:c r="H30" s="20" t="str">
        <x:v>Occupied</x:v>
      </x:c>
    </x:row>
    <x:row r="31">
      <x:c r="A31" s="20" t="str">
        <x:v>U028</x:v>
      </x:c>
      <x:c r="B31" s="20" t="str">
        <x:v>P024</x:v>
      </x:c>
      <x:c r="C31" s="20" t="str">
        <x:v>B</x:v>
      </x:c>
      <x:c r="D31" s="32" t="n">
        <x:v>3</x:v>
      </x:c>
      <x:c r="E31" s="20" t="n">
        <x:v>2</x:v>
      </x:c>
      <x:c r="F31" s="32" t="n">
        <x:v>1310</x:v>
      </x:c>
      <x:c r="G31" s="26" t="n">
        <x:v>1450</x:v>
      </x:c>
      <x:c r="H31" s="20" t="str">
        <x:v>Occupied</x:v>
      </x:c>
    </x:row>
    <x:row r="32">
      <x:c r="A32" s="20" t="str">
        <x:v>U029</x:v>
      </x:c>
      <x:c r="B32" s="20" t="str">
        <x:v>P025</x:v>
      </x:c>
      <x:c r="C32" s="20" t="str">
        <x:v>A</x:v>
      </x:c>
      <x:c r="D32" s="32" t="n">
        <x:v>4</x:v>
      </x:c>
      <x:c r="E32" s="20" t="n">
        <x:v>1</x:v>
      </x:c>
      <x:c r="F32" s="32" t="n">
        <x:v>1425</x:v>
      </x:c>
      <x:c r="G32" s="26" t="n">
        <x:v>1975</x:v>
      </x:c>
      <x:c r="H32" s="20" t="str">
        <x:v>Occupied</x:v>
      </x:c>
    </x:row>
    <x:row r="33">
      <x:c r="A33" s="20" t="str">
        <x:v>U030</x:v>
      </x:c>
      <x:c r="B33" s="20" t="str">
        <x:v>P025</x:v>
      </x:c>
      <x:c r="C33" s="20" t="str">
        <x:v>B</x:v>
      </x:c>
      <x:c r="D33" s="32" t="n">
        <x:v>2</x:v>
      </x:c>
      <x:c r="E33" s="20" t="n">
        <x:v>1</x:v>
      </x:c>
      <x:c r="F33" s="32" t="n">
        <x:v>1540</x:v>
      </x:c>
      <x:c r="G33" s="26" t="n">
        <x:v>1600</x:v>
      </x:c>
      <x:c r="H33" s="20" t="str">
        <x:v>Occupied</x:v>
      </x:c>
    </x:row>
    <x:row r="34">
      <x:c r="A34" s="20" t="str">
        <x:v>U031</x:v>
      </x:c>
      <x:c r="B34" s="20" t="str">
        <x:v>P026</x:v>
      </x:c>
      <x:c r="C34" s="20" t="str">
        <x:v>A</x:v>
      </x:c>
      <x:c r="D34" s="32" t="n">
        <x:v>3</x:v>
      </x:c>
      <x:c r="E34" s="20" t="n">
        <x:v>1</x:v>
      </x:c>
      <x:c r="F34" s="32" t="n">
        <x:v>1655</x:v>
      </x:c>
      <x:c r="G34" s="26" t="n">
        <x:v>1225</x:v>
      </x:c>
      <x:c r="H34" s="20" t="str">
        <x:v>Occupied</x:v>
      </x:c>
    </x:row>
    <x:row r="35">
      <x:c r="A35" s="20" t="str">
        <x:v>U032</x:v>
      </x:c>
      <x:c r="B35" s="20" t="str">
        <x:v>P026</x:v>
      </x:c>
      <x:c r="C35" s="20" t="str">
        <x:v>B</x:v>
      </x:c>
      <x:c r="D35" s="32" t="n">
        <x:v>4</x:v>
      </x:c>
      <x:c r="E35" s="20" t="n">
        <x:v>2</x:v>
      </x:c>
      <x:c r="F35" s="32" t="n">
        <x:v>850</x:v>
      </x:c>
      <x:c r="G35" s="26" t="n">
        <x:v>1750</x:v>
      </x:c>
      <x:c r="H35" s="20" t="str">
        <x:v>Occupied</x:v>
      </x:c>
    </x:row>
    <x:row r="36">
      <x:c r="A36" s="20" t="str">
        <x:v>U033</x:v>
      </x:c>
      <x:c r="B36" s="20" t="str">
        <x:v>P027</x:v>
      </x:c>
      <x:c r="C36" s="20" t="str">
        <x:v>A</x:v>
      </x:c>
      <x:c r="D36" s="32" t="n">
        <x:v>2</x:v>
      </x:c>
      <x:c r="E36" s="20" t="n">
        <x:v>1</x:v>
      </x:c>
      <x:c r="F36" s="32" t="n">
        <x:v>965</x:v>
      </x:c>
      <x:c r="G36" s="26" t="n">
        <x:v>1375</x:v>
      </x:c>
      <x:c r="H36" s="20" t="str">
        <x:v>Occupied</x:v>
      </x:c>
    </x:row>
    <x:row r="37">
      <x:c r="A37" s="20" t="str">
        <x:v>U034</x:v>
      </x:c>
      <x:c r="B37" s="20" t="str">
        <x:v>P027</x:v>
      </x:c>
      <x:c r="C37" s="20" t="str">
        <x:v>B</x:v>
      </x:c>
      <x:c r="D37" s="32" t="n">
        <x:v>3</x:v>
      </x:c>
      <x:c r="E37" s="20" t="n">
        <x:v>1</x:v>
      </x:c>
      <x:c r="F37" s="32" t="n">
        <x:v>1080</x:v>
      </x:c>
      <x:c r="G37" s="26" t="n">
        <x:v>1900</x:v>
      </x:c>
      <x:c r="H37" s="20" t="str">
        <x:v>Occupied</x:v>
      </x:c>
    </x:row>
    <x:row r="38">
      <x:c r="A38" s="20" t="str">
        <x:v>U035</x:v>
      </x:c>
      <x:c r="B38" s="20" t="str">
        <x:v>P028</x:v>
      </x:c>
      <x:c r="C38" s="20" t="str">
        <x:v>A</x:v>
      </x:c>
      <x:c r="D38" s="32" t="n">
        <x:v>4</x:v>
      </x:c>
      <x:c r="E38" s="20" t="n">
        <x:v>1</x:v>
      </x:c>
      <x:c r="F38" s="32" t="n">
        <x:v>1195</x:v>
      </x:c>
      <x:c r="G38" s="26" t="n">
        <x:v>1525</x:v>
      </x:c>
      <x:c r="H38" s="20" t="str">
        <x:v>Occupied</x:v>
      </x:c>
    </x:row>
    <x:row r="39">
      <x:c r="A39" s="20" t="str">
        <x:v>U036</x:v>
      </x:c>
      <x:c r="B39" s="20" t="str">
        <x:v>P028</x:v>
      </x:c>
      <x:c r="C39" s="20" t="str">
        <x:v>B</x:v>
      </x:c>
      <x:c r="D39" s="32" t="n">
        <x:v>2</x:v>
      </x:c>
      <x:c r="E39" s="20" t="n">
        <x:v>2</x:v>
      </x:c>
      <x:c r="F39" s="32" t="n">
        <x:v>1310</x:v>
      </x:c>
      <x:c r="G39" s="26" t="n">
        <x:v>1150</x:v>
      </x:c>
      <x:c r="H39" s="20" t="str">
        <x:v>Occupied</x:v>
      </x:c>
    </x:row>
    <x:row r="40">
      <x:c r="A40" s="20" t="str">
        <x:v>U037</x:v>
      </x:c>
      <x:c r="B40" s="20" t="str">
        <x:v>P029</x:v>
      </x:c>
      <x:c r="C40" s="20" t="str">
        <x:v>A</x:v>
      </x:c>
      <x:c r="D40" s="32" t="n">
        <x:v>3</x:v>
      </x:c>
      <x:c r="E40" s="20" t="n">
        <x:v>1</x:v>
      </x:c>
      <x:c r="F40" s="32" t="n">
        <x:v>1425</x:v>
      </x:c>
      <x:c r="G40" s="26" t="n">
        <x:v>1675</x:v>
      </x:c>
      <x:c r="H40" s="20" t="str">
        <x:v>Vacant</x:v>
      </x:c>
    </x:row>
    <x:row r="41">
      <x:c r="A41" s="20" t="str">
        <x:v>U038</x:v>
      </x:c>
      <x:c r="B41" s="20" t="str">
        <x:v>P029</x:v>
      </x:c>
      <x:c r="C41" s="20" t="str">
        <x:v>B</x:v>
      </x:c>
      <x:c r="D41" s="32" t="n">
        <x:v>4</x:v>
      </x:c>
      <x:c r="E41" s="20" t="n">
        <x:v>1</x:v>
      </x:c>
      <x:c r="F41" s="32" t="n">
        <x:v>1540</x:v>
      </x:c>
      <x:c r="G41" s="26" t="n">
        <x:v>1300</x:v>
      </x:c>
      <x:c r="H41" s="20" t="str">
        <x:v>Vacant</x:v>
      </x:c>
    </x:row>
    <x:row r="42">
      <x:c r="A42" s="20" t="str">
        <x:v>U039</x:v>
      </x:c>
      <x:c r="B42" s="20" t="str">
        <x:v>P030</x:v>
      </x:c>
      <x:c r="C42" s="20" t="str">
        <x:v>A</x:v>
      </x:c>
      <x:c r="D42" s="32" t="n">
        <x:v>2</x:v>
      </x:c>
      <x:c r="E42" s="20" t="n">
        <x:v>1</x:v>
      </x:c>
      <x:c r="F42" s="32" t="n">
        <x:v>1655</x:v>
      </x:c>
      <x:c r="G42" s="26" t="n">
        <x:v>1825</x:v>
      </x:c>
      <x:c r="H42" s="20" t="str">
        <x:v>Vacant</x:v>
      </x:c>
    </x:row>
    <x:row r="43">
      <x:c r="A43" s="21" t="str">
        <x:v>U040</x:v>
      </x:c>
      <x:c r="B43" s="21" t="str">
        <x:v>P030</x:v>
      </x:c>
      <x:c r="C43" s="21" t="str">
        <x:v>B</x:v>
      </x:c>
      <x:c r="D43" s="33" t="n">
        <x:v>3</x:v>
      </x:c>
      <x:c r="E43" s="21" t="n">
        <x:v>2</x:v>
      </x:c>
      <x:c r="F43" s="33" t="n">
        <x:v>850</x:v>
      </x:c>
      <x:c r="G43" s="27" t="n">
        <x:v>1450</x:v>
      </x:c>
      <x:c r="H43" s="21" t="str">
        <x:v>Vacant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07307b60f3343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4" max="4" width="22" hidden="0" customWidth="1"/>
    <x:col min="5" max="5" width="28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24" hidden="0" customWidth="1"/>
    <x:col min="11" max="11" width="38" hidden="0" customWidth="1"/>
  </x:cols>
  <x:sheetData>
    <x:row r="1" ht="34" customHeight="1">
      <x:c r="A1" s="3" t="str">
        <x:v>Lease Relationships — Opening and 2027 Changes</x:v>
      </x:c>
      <x:c r="B1" s="3" t="str">
        <x:v>Lease Relationships — Opening and 2027 Changes</x:v>
      </x:c>
      <x:c r="C1" s="3" t="str">
        <x:v>Lease Relationships — Opening and 2027 Changes</x:v>
      </x:c>
      <x:c r="D1" s="3" t="str">
        <x:v>Lease Relationships — Opening and 2027 Changes</x:v>
      </x:c>
      <x:c r="E1" s="3" t="str">
        <x:v>Lease Relationships — Opening and 2027 Changes</x:v>
      </x:c>
      <x:c r="F1" s="3" t="str">
        <x:v>Lease Relationships — Opening and 2027 Changes</x:v>
      </x:c>
      <x:c r="G1" s="3" t="str">
        <x:v>Lease Relationships — Opening and 2027 Changes</x:v>
      </x:c>
      <x:c r="H1" s="3" t="str">
        <x:v>Lease Relationships — Opening and 2027 Changes</x:v>
      </x:c>
      <x:c r="I1" s="3" t="str">
        <x:v>Lease Relationships — Opening and 2027 Changes</x:v>
      </x:c>
      <x:c r="J1" s="3" t="str">
        <x:v>Lease Relationships — Opening and 2027 Changes</x:v>
      </x:c>
      <x:c r="K1" s="3" t="str">
        <x:v>Lease Relationships — Opening and 2027 Changes</x:v>
      </x:c>
    </x:row>
    <x:row r="3" ht="30" customHeight="1">
      <x:c r="A3" s="12" t="str">
        <x:v>Lease ID</x:v>
      </x:c>
      <x:c r="B3" s="13" t="str">
        <x:v>Unit ID</x:v>
      </x:c>
      <x:c r="C3" s="13" t="str">
        <x:v>Tenant ID</x:v>
      </x:c>
      <x:c r="D3" s="13" t="str">
        <x:v>Tenant</x:v>
      </x:c>
      <x:c r="E3" s="13" t="str">
        <x:v>Email</x:v>
      </x:c>
      <x:c r="F3" s="13" t="str">
        <x:v>Start</x:v>
      </x:c>
      <x:c r="G3" s="13" t="str">
        <x:v>End</x:v>
      </x:c>
      <x:c r="H3" s="13" t="str">
        <x:v>Monthly Rent</x:v>
      </x:c>
      <x:c r="I3" s="13" t="str">
        <x:v>Deposit</x:v>
      </x:c>
      <x:c r="J3" s="13" t="str">
        <x:v>Origin</x:v>
      </x:c>
      <x:c r="K3" s="14" t="str">
        <x:v>Lifecycle Scenario</x:v>
      </x:c>
    </x:row>
    <x:row r="4">
      <x:c r="A4" s="19" t="str">
        <x:v>L001</x:v>
      </x:c>
      <x:c r="B4" s="19" t="str">
        <x:v>U001</x:v>
      </x:c>
      <x:c r="C4" s="19" t="str">
        <x:v>T001</x:v>
      </x:c>
      <x:c r="D4" s="19" t="str">
        <x:v>Dana Garcia</x:v>
      </x:c>
      <x:c r="E4" s="19" t="str">
        <x:v>tenant.001@example.local</x:v>
      </x:c>
      <x:c r="F4" s="22" t="n">
        <x:v>46054</x:v>
      </x:c>
      <x:c r="G4" s="22" t="n">
        <x:v>46752</x:v>
      </x:c>
      <x:c r="H4" s="25" t="n">
        <x:v>1575</x:v>
      </x:c>
      <x:c r="I4" s="25" t="n">
        <x:v>1575</x:v>
      </x:c>
      <x:c r="J4" s="19" t="str">
        <x:v>Opening lease scan</x:v>
      </x:c>
      <x:c r="K4" s="34" t="str">
        <x:v>continuing resident through year-end</x:v>
      </x:c>
    </x:row>
    <x:row r="5">
      <x:c r="A5" s="20" t="str">
        <x:v>L002</x:v>
      </x:c>
      <x:c r="B5" s="20" t="str">
        <x:v>U002</x:v>
      </x:c>
      <x:c r="C5" s="20" t="str">
        <x:v>T002</x:v>
      </x:c>
      <x:c r="D5" s="20" t="str">
        <x:v>Gray Lewis</x:v>
      </x:c>
      <x:c r="E5" s="20" t="str">
        <x:v>tenant.002@example.local</x:v>
      </x:c>
      <x:c r="F5" s="23" t="n">
        <x:v>46082</x:v>
      </x:c>
      <x:c r="G5" s="23" t="n">
        <x:v>46752</x:v>
      </x:c>
      <x:c r="H5" s="26" t="n">
        <x:v>1200</x:v>
      </x:c>
      <x:c r="I5" s="26" t="n">
        <x:v>1200</x:v>
      </x:c>
      <x:c r="J5" s="20" t="str">
        <x:v>Opening lease scan</x:v>
      </x:c>
      <x:c r="K5" s="35" t="str">
        <x:v>continuing resident through year-end</x:v>
      </x:c>
    </x:row>
    <x:row r="6">
      <x:c r="A6" s="20" t="str">
        <x:v>L003</x:v>
      </x:c>
      <x:c r="B6" s="20" t="str">
        <x:v>U003</x:v>
      </x:c>
      <x:c r="C6" s="20" t="str">
        <x:v>T003</x:v>
      </x:c>
      <x:c r="D6" s="20" t="str">
        <x:v>Jordan Reed</x:v>
      </x:c>
      <x:c r="E6" s="20" t="str">
        <x:v>tenant.003@example.local</x:v>
      </x:c>
      <x:c r="F6" s="23" t="n">
        <x:v>46113</x:v>
      </x:c>
      <x:c r="G6" s="23" t="n">
        <x:v>46691</x:v>
      </x:c>
      <x:c r="H6" s="26" t="n">
        <x:v>1725</x:v>
      </x:c>
      <x:c r="I6" s="26" t="n">
        <x:v>1725</x:v>
      </x:c>
      <x:c r="J6" s="20" t="str">
        <x:v>Opening lease scan</x:v>
      </x:c>
      <x:c r="K6" s="35" t="str">
        <x:v>owner sale; clean move-out; no replacement</x:v>
      </x:c>
    </x:row>
    <x:row r="7">
      <x:c r="A7" s="20" t="str">
        <x:v>L004</x:v>
      </x:c>
      <x:c r="B7" s="20" t="str">
        <x:v>U004</x:v>
      </x:c>
      <x:c r="C7" s="20" t="str">
        <x:v>T004</x:v>
      </x:c>
      <x:c r="D7" s="20" t="str">
        <x:v>Morgan Adams</x:v>
      </x:c>
      <x:c r="E7" s="20" t="str">
        <x:v>tenant.004@example.local</x:v>
      </x:c>
      <x:c r="F7" s="23" t="n">
        <x:v>46143</x:v>
      </x:c>
      <x:c r="G7" s="23" t="n">
        <x:v>46752</x:v>
      </x:c>
      <x:c r="H7" s="26" t="n">
        <x:v>1350</x:v>
      </x:c>
      <x:c r="I7" s="26" t="n">
        <x:v>1350</x:v>
      </x:c>
      <x:c r="J7" s="20" t="str">
        <x:v>Opening lease scan</x:v>
      </x:c>
      <x:c r="K7" s="35" t="str">
        <x:v>continuing resident through year-end</x:v>
      </x:c>
    </x:row>
    <x:row r="8">
      <x:c r="A8" s="20" t="str">
        <x:v>L005</x:v>
      </x:c>
      <x:c r="B8" s="20" t="str">
        <x:v>U005</x:v>
      </x:c>
      <x:c r="C8" s="20" t="str">
        <x:v>T005</x:v>
      </x:c>
      <x:c r="D8" s="20" t="str">
        <x:v>Parker Flores</x:v>
      </x:c>
      <x:c r="E8" s="20" t="str">
        <x:v>tenant.005@example.local</x:v>
      </x:c>
      <x:c r="F8" s="23" t="n">
        <x:v>46174</x:v>
      </x:c>
      <x:c r="G8" s="23" t="n">
        <x:v>46446</x:v>
      </x:c>
      <x:c r="H8" s="26" t="n">
        <x:v>1875</x:v>
      </x:c>
      <x:c r="I8" s="26" t="n">
        <x:v>1875</x:v>
      </x:c>
      <x:c r="J8" s="20" t="str">
        <x:v>Opening lease scan</x:v>
      </x:c>
      <x:c r="K8" s="35" t="str">
        <x:v>ordinary non-renewal; clean move-out</x:v>
      </x:c>
    </x:row>
    <x:row r="9">
      <x:c r="A9" s="20" t="str">
        <x:v>L006</x:v>
      </x:c>
      <x:c r="B9" s="20" t="str">
        <x:v>U006</x:v>
      </x:c>
      <x:c r="C9" s="20" t="str">
        <x:v>T006</x:v>
      </x:c>
      <x:c r="D9" s="20" t="str">
        <x:v>Sage King</x:v>
      </x:c>
      <x:c r="E9" s="20" t="str">
        <x:v>tenant.006@example.local</x:v>
      </x:c>
      <x:c r="F9" s="23" t="n">
        <x:v>46023</x:v>
      </x:c>
      <x:c r="G9" s="23" t="n">
        <x:v>46752</x:v>
      </x:c>
      <x:c r="H9" s="26" t="n">
        <x:v>1500</x:v>
      </x:c>
      <x:c r="I9" s="26" t="n">
        <x:v>1500</x:v>
      </x:c>
      <x:c r="J9" s="20" t="str">
        <x:v>Opening lease scan</x:v>
      </x:c>
      <x:c r="K9" s="35" t="str">
        <x:v>continuing resident through year-end</x:v>
      </x:c>
    </x:row>
    <x:row r="10">
      <x:c r="A10" s="20" t="str">
        <x:v>L007</x:v>
      </x:c>
      <x:c r="B10" s="20" t="str">
        <x:v>U007</x:v>
      </x:c>
      <x:c r="C10" s="20" t="str">
        <x:v>T007</x:v>
      </x:c>
      <x:c r="D10" s="20" t="str">
        <x:v>Val Price</x:v>
      </x:c>
      <x:c r="E10" s="20" t="str">
        <x:v>tenant.007@example.local</x:v>
      </x:c>
      <x:c r="F10" s="23" t="n">
        <x:v>46054</x:v>
      </x:c>
      <x:c r="G10" s="23" t="n">
        <x:v>46752</x:v>
      </x:c>
      <x:c r="H10" s="26" t="n">
        <x:v>1125</x:v>
      </x:c>
      <x:c r="I10" s="26" t="n">
        <x:v>1125</x:v>
      </x:c>
      <x:c r="J10" s="20" t="str">
        <x:v>Opening lease scan</x:v>
      </x:c>
      <x:c r="K10" s="35" t="str">
        <x:v>continuing resident through year-end</x:v>
      </x:c>
    </x:row>
    <x:row r="11">
      <x:c r="A11" s="20" t="str">
        <x:v>L008</x:v>
      </x:c>
      <x:c r="B11" s="20" t="str">
        <x:v>U008</x:v>
      </x:c>
      <x:c r="C11" s="20" t="str">
        <x:v>T008</x:v>
      </x:c>
      <x:c r="D11" s="20" t="str">
        <x:v>Yara Brooks</x:v>
      </x:c>
      <x:c r="E11" s="20" t="str">
        <x:v>tenant.008@example.local</x:v>
      </x:c>
      <x:c r="F11" s="23" t="n">
        <x:v>46082</x:v>
      </x:c>
      <x:c r="G11" s="23" t="n">
        <x:v>46630</x:v>
      </x:c>
      <x:c r="H11" s="26" t="n">
        <x:v>1650</x:v>
      </x:c>
      <x:c r="I11" s="26" t="n">
        <x:v>1650</x:v>
      </x:c>
      <x:c r="J11" s="20" t="str">
        <x:v>Opening lease scan</x:v>
      </x:c>
      <x:c r="K11" s="35" t="str">
        <x:v>tenant-requested unit transfer to U040</x:v>
      </x:c>
    </x:row>
    <x:row r="12">
      <x:c r="A12" s="20" t="str">
        <x:v>L009</x:v>
      </x:c>
      <x:c r="B12" s="20" t="str">
        <x:v>U009</x:v>
      </x:c>
      <x:c r="C12" s="20" t="str">
        <x:v>T009</x:v>
      </x:c>
      <x:c r="D12" s="20" t="str">
        <x:v>Bennett Garcia</x:v>
      </x:c>
      <x:c r="E12" s="20" t="str">
        <x:v>tenant.009@example.local</x:v>
      </x:c>
      <x:c r="F12" s="23" t="n">
        <x:v>46113</x:v>
      </x:c>
      <x:c r="G12" s="23" t="n">
        <x:v>46752</x:v>
      </x:c>
      <x:c r="H12" s="26" t="n">
        <x:v>1275</x:v>
      </x:c>
      <x:c r="I12" s="26" t="n">
        <x:v>1275</x:v>
      </x:c>
      <x:c r="J12" s="20" t="str">
        <x:v>Opening lease scan</x:v>
      </x:c>
      <x:c r="K12" s="35" t="str">
        <x:v>continuing resident through year-end</x:v>
      </x:c>
    </x:row>
    <x:row r="13">
      <x:c r="A13" s="20" t="str">
        <x:v>L010</x:v>
      </x:c>
      <x:c r="B13" s="20" t="str">
        <x:v>U010</x:v>
      </x:c>
      <x:c r="C13" s="20" t="str">
        <x:v>T010</x:v>
      </x:c>
      <x:c r="D13" s="20" t="str">
        <x:v>Elena Lewis</x:v>
      </x:c>
      <x:c r="E13" s="20" t="str">
        <x:v>tenant.010@example.local</x:v>
      </x:c>
      <x:c r="F13" s="23" t="n">
        <x:v>46143</x:v>
      </x:c>
      <x:c r="G13" s="23" t="n">
        <x:v>46752</x:v>
      </x:c>
      <x:c r="H13" s="26" t="n">
        <x:v>1800</x:v>
      </x:c>
      <x:c r="I13" s="26" t="n">
        <x:v>1800</x:v>
      </x:c>
      <x:c r="J13" s="20" t="str">
        <x:v>Opening lease scan</x:v>
      </x:c>
      <x:c r="K13" s="35" t="str">
        <x:v>continuing resident through year-end</x:v>
      </x:c>
    </x:row>
    <x:row r="14">
      <x:c r="A14" s="20" t="str">
        <x:v>L011</x:v>
      </x:c>
      <x:c r="B14" s="20" t="str">
        <x:v>U011</x:v>
      </x:c>
      <x:c r="C14" s="20" t="str">
        <x:v>T011</x:v>
      </x:c>
      <x:c r="D14" s="20" t="str">
        <x:v>Hector Reed</x:v>
      </x:c>
      <x:c r="E14" s="20" t="str">
        <x:v>tenant.011@example.local</x:v>
      </x:c>
      <x:c r="F14" s="23" t="n">
        <x:v>46174</x:v>
      </x:c>
      <x:c r="G14" s="23" t="n">
        <x:v>46752</x:v>
      </x:c>
      <x:c r="H14" s="26" t="n">
        <x:v>1425</x:v>
      </x:c>
      <x:c r="I14" s="26" t="n">
        <x:v>1425</x:v>
      </x:c>
      <x:c r="J14" s="20" t="str">
        <x:v>Opening lease scan</x:v>
      </x:c>
      <x:c r="K14" s="35" t="str">
        <x:v>continuing resident through year-end</x:v>
      </x:c>
    </x:row>
    <x:row r="15">
      <x:c r="A15" s="20" t="str">
        <x:v>L012</x:v>
      </x:c>
      <x:c r="B15" s="20" t="str">
        <x:v>U012</x:v>
      </x:c>
      <x:c r="C15" s="20" t="str">
        <x:v>T012</x:v>
      </x:c>
      <x:c r="D15" s="20" t="str">
        <x:v>Keira Adams</x:v>
      </x:c>
      <x:c r="E15" s="20" t="str">
        <x:v>tenant.012@example.local</x:v>
      </x:c>
      <x:c r="F15" s="23" t="n">
        <x:v>46023</x:v>
      </x:c>
      <x:c r="G15" s="23" t="n">
        <x:v>46752</x:v>
      </x:c>
      <x:c r="H15" s="26" t="n">
        <x:v>1050</x:v>
      </x:c>
      <x:c r="I15" s="26" t="n">
        <x:v>1050</x:v>
      </x:c>
      <x:c r="J15" s="20" t="str">
        <x:v>Opening lease scan</x:v>
      </x:c>
      <x:c r="K15" s="35" t="str">
        <x:v>continuing resident through year-end</x:v>
      </x:c>
    </x:row>
    <x:row r="16">
      <x:c r="A16" s="20" t="str">
        <x:v>L013</x:v>
      </x:c>
      <x:c r="B16" s="20" t="str">
        <x:v>U013</x:v>
      </x:c>
      <x:c r="C16" s="20" t="str">
        <x:v>T013</x:v>
      </x:c>
      <x:c r="D16" s="20" t="str">
        <x:v>Nolan Flores</x:v>
      </x:c>
      <x:c r="E16" s="20" t="str">
        <x:v>tenant.013@example.local</x:v>
      </x:c>
      <x:c r="F16" s="23" t="n">
        <x:v>46054</x:v>
      </x:c>
      <x:c r="G16" s="23" t="n">
        <x:v>46752</x:v>
      </x:c>
      <x:c r="H16" s="26" t="n">
        <x:v>1575</x:v>
      </x:c>
      <x:c r="I16" s="26" t="n">
        <x:v>1575</x:v>
      </x:c>
      <x:c r="J16" s="20" t="str">
        <x:v>Opening lease scan</x:v>
      </x:c>
      <x:c r="K16" s="35" t="str">
        <x:v>continuing resident through year-end</x:v>
      </x:c>
    </x:row>
    <x:row r="17">
      <x:c r="A17" s="20" t="str">
        <x:v>L014</x:v>
      </x:c>
      <x:c r="B17" s="20" t="str">
        <x:v>U014</x:v>
      </x:c>
      <x:c r="C17" s="20" t="str">
        <x:v>T014</x:v>
      </x:c>
      <x:c r="D17" s="20" t="str">
        <x:v>Rina King</x:v>
      </x:c>
      <x:c r="E17" s="20" t="str">
        <x:v>tenant.014@example.local</x:v>
      </x:c>
      <x:c r="F17" s="23" t="n">
        <x:v>46082</x:v>
      </x:c>
      <x:c r="G17" s="23" t="n">
        <x:v>46538</x:v>
      </x:c>
      <x:c r="H17" s="26" t="n">
        <x:v>1200</x:v>
      </x:c>
      <x:c r="I17" s="26" t="n">
        <x:v>1200</x:v>
      </x:c>
      <x:c r="J17" s="20" t="str">
        <x:v>Opening lease scan</x:v>
      </x:c>
      <x:c r="K17" s="35" t="str">
        <x:v>non-renewal; turnover damage withholding</x:v>
      </x:c>
    </x:row>
    <x:row r="18">
      <x:c r="A18" s="20" t="str">
        <x:v>L015</x:v>
      </x:c>
      <x:c r="B18" s="20" t="str">
        <x:v>U015</x:v>
      </x:c>
      <x:c r="C18" s="20" t="str">
        <x:v>T015</x:v>
      </x:c>
      <x:c r="D18" s="20" t="str">
        <x:v>Uri Price</x:v>
      </x:c>
      <x:c r="E18" s="20" t="str">
        <x:v>tenant.015@example.local</x:v>
      </x:c>
      <x:c r="F18" s="23" t="n">
        <x:v>46113</x:v>
      </x:c>
      <x:c r="G18" s="23" t="n">
        <x:v>46752</x:v>
      </x:c>
      <x:c r="H18" s="26" t="n">
        <x:v>1725</x:v>
      </x:c>
      <x:c r="I18" s="26" t="n">
        <x:v>1725</x:v>
      </x:c>
      <x:c r="J18" s="20" t="str">
        <x:v>Opening lease scan</x:v>
      </x:c>
      <x:c r="K18" s="35" t="str">
        <x:v>continuing resident through year-end</x:v>
      </x:c>
    </x:row>
    <x:row r="19">
      <x:c r="A19" s="20" t="str">
        <x:v>L016</x:v>
      </x:c>
      <x:c r="B19" s="20" t="str">
        <x:v>U016</x:v>
      </x:c>
      <x:c r="C19" s="20" t="str">
        <x:v>T016</x:v>
      </x:c>
      <x:c r="D19" s="20" t="str">
        <x:v>Avery Brooks</x:v>
      </x:c>
      <x:c r="E19" s="20" t="str">
        <x:v>tenant.016@example.local</x:v>
      </x:c>
      <x:c r="F19" s="23" t="n">
        <x:v>46143</x:v>
      </x:c>
      <x:c r="G19" s="23" t="n">
        <x:v>46752</x:v>
      </x:c>
      <x:c r="H19" s="26" t="n">
        <x:v>1350</x:v>
      </x:c>
      <x:c r="I19" s="26" t="n">
        <x:v>1350</x:v>
      </x:c>
      <x:c r="J19" s="20" t="str">
        <x:v>Opening lease scan</x:v>
      </x:c>
      <x:c r="K19" s="35" t="str">
        <x:v>continuing resident through year-end</x:v>
      </x:c>
    </x:row>
    <x:row r="20">
      <x:c r="A20" s="20" t="str">
        <x:v>L017</x:v>
      </x:c>
      <x:c r="B20" s="20" t="str">
        <x:v>U017</x:v>
      </x:c>
      <x:c r="C20" s="20" t="str">
        <x:v>T017</x:v>
      </x:c>
      <x:c r="D20" s="20" t="str">
        <x:v>Dana Garcia</x:v>
      </x:c>
      <x:c r="E20" s="20" t="str">
        <x:v>tenant.017@example.local</x:v>
      </x:c>
      <x:c r="F20" s="23" t="n">
        <x:v>46174</x:v>
      </x:c>
      <x:c r="G20" s="23" t="n">
        <x:v>46558</x:v>
      </x:c>
      <x:c r="H20" s="26" t="n">
        <x:v>1875</x:v>
      </x:c>
      <x:c r="I20" s="26" t="n">
        <x:v>1875</x:v>
      </x:c>
      <x:c r="J20" s="20" t="str">
        <x:v>Opening lease scan</x:v>
      </x:c>
      <x:c r="K20" s="35" t="str">
        <x:v>delinquency, notice, eviction, collections</x:v>
      </x:c>
    </x:row>
    <x:row r="21">
      <x:c r="A21" s="20" t="str">
        <x:v>L018</x:v>
      </x:c>
      <x:c r="B21" s="20" t="str">
        <x:v>U018</x:v>
      </x:c>
      <x:c r="C21" s="20" t="str">
        <x:v>T018</x:v>
      </x:c>
      <x:c r="D21" s="20" t="str">
        <x:v>Gray Lewis</x:v>
      </x:c>
      <x:c r="E21" s="20" t="str">
        <x:v>tenant.018@example.local</x:v>
      </x:c>
      <x:c r="F21" s="23" t="n">
        <x:v>46023</x:v>
      </x:c>
      <x:c r="G21" s="23" t="n">
        <x:v>46752</x:v>
      </x:c>
      <x:c r="H21" s="26" t="n">
        <x:v>1500</x:v>
      </x:c>
      <x:c r="I21" s="26" t="n">
        <x:v>1500</x:v>
      </x:c>
      <x:c r="J21" s="20" t="str">
        <x:v>Opening lease scan</x:v>
      </x:c>
      <x:c r="K21" s="35" t="str">
        <x:v>continuing resident through year-end</x:v>
      </x:c>
    </x:row>
    <x:row r="22">
      <x:c r="A22" s="20" t="str">
        <x:v>L019</x:v>
      </x:c>
      <x:c r="B22" s="20" t="str">
        <x:v>U019</x:v>
      </x:c>
      <x:c r="C22" s="20" t="str">
        <x:v>T019</x:v>
      </x:c>
      <x:c r="D22" s="20" t="str">
        <x:v>Jordan Reed</x:v>
      </x:c>
      <x:c r="E22" s="20" t="str">
        <x:v>tenant.019@example.local</x:v>
      </x:c>
      <x:c r="F22" s="23" t="n">
        <x:v>46054</x:v>
      </x:c>
      <x:c r="G22" s="23" t="n">
        <x:v>46752</x:v>
      </x:c>
      <x:c r="H22" s="26" t="n">
        <x:v>1125</x:v>
      </x:c>
      <x:c r="I22" s="26" t="n">
        <x:v>1125</x:v>
      </x:c>
      <x:c r="J22" s="20" t="str">
        <x:v>Opening lease scan</x:v>
      </x:c>
      <x:c r="K22" s="35" t="str">
        <x:v>continuing resident through year-end</x:v>
      </x:c>
    </x:row>
    <x:row r="23">
      <x:c r="A23" s="20" t="str">
        <x:v>L020</x:v>
      </x:c>
      <x:c r="B23" s="20" t="str">
        <x:v>U020</x:v>
      </x:c>
      <x:c r="C23" s="20" t="str">
        <x:v>T020</x:v>
      </x:c>
      <x:c r="D23" s="20" t="str">
        <x:v>Morgan Adams</x:v>
      </x:c>
      <x:c r="E23" s="20" t="str">
        <x:v>tenant.020@example.local</x:v>
      </x:c>
      <x:c r="F23" s="23" t="n">
        <x:v>46082</x:v>
      </x:c>
      <x:c r="G23" s="23" t="n">
        <x:v>46752</x:v>
      </x:c>
      <x:c r="H23" s="26" t="n">
        <x:v>1650</x:v>
      </x:c>
      <x:c r="I23" s="26" t="n">
        <x:v>1650</x:v>
      </x:c>
      <x:c r="J23" s="20" t="str">
        <x:v>Opening lease scan</x:v>
      </x:c>
      <x:c r="K23" s="35" t="str">
        <x:v>continuing resident through year-end</x:v>
      </x:c>
    </x:row>
    <x:row r="24">
      <x:c r="A24" s="20" t="str">
        <x:v>L021</x:v>
      </x:c>
      <x:c r="B24" s="20" t="str">
        <x:v>U021</x:v>
      </x:c>
      <x:c r="C24" s="20" t="str">
        <x:v>T021</x:v>
      </x:c>
      <x:c r="D24" s="20" t="str">
        <x:v>Parker Flores</x:v>
      </x:c>
      <x:c r="E24" s="20" t="str">
        <x:v>tenant.021@example.local</x:v>
      </x:c>
      <x:c r="F24" s="23" t="n">
        <x:v>46113</x:v>
      </x:c>
      <x:c r="G24" s="23" t="n">
        <x:v>46752</x:v>
      </x:c>
      <x:c r="H24" s="26" t="n">
        <x:v>1375</x:v>
      </x:c>
      <x:c r="I24" s="26" t="n">
        <x:v>1375</x:v>
      </x:c>
      <x:c r="J24" s="20" t="str">
        <x:v>Opening lease scan</x:v>
      </x:c>
      <x:c r="K24" s="35" t="str">
        <x:v>continuing resident through year-end</x:v>
      </x:c>
    </x:row>
    <x:row r="25">
      <x:c r="A25" s="20" t="str">
        <x:v>L022</x:v>
      </x:c>
      <x:c r="B25" s="20" t="str">
        <x:v>U022</x:v>
      </x:c>
      <x:c r="C25" s="20" t="str">
        <x:v>T022</x:v>
      </x:c>
      <x:c r="D25" s="20" t="str">
        <x:v>Sage King</x:v>
      </x:c>
      <x:c r="E25" s="20" t="str">
        <x:v>tenant.022@example.local</x:v>
      </x:c>
      <x:c r="F25" s="23" t="n">
        <x:v>46143</x:v>
      </x:c>
      <x:c r="G25" s="23" t="n">
        <x:v>46630</x:v>
      </x:c>
      <x:c r="H25" s="26" t="n">
        <x:v>1900</x:v>
      </x:c>
      <x:c r="I25" s="26" t="n">
        <x:v>1900</x:v>
      </x:c>
      <x:c r="J25" s="20" t="str">
        <x:v>Opening lease scan</x:v>
      </x:c>
      <x:c r="K25" s="35" t="str">
        <x:v>renewal declined; month-long vacancy</x:v>
      </x:c>
    </x:row>
    <x:row r="26">
      <x:c r="A26" s="20" t="str">
        <x:v>L023</x:v>
      </x:c>
      <x:c r="B26" s="20" t="str">
        <x:v>U023</x:v>
      </x:c>
      <x:c r="C26" s="20" t="str">
        <x:v>T023</x:v>
      </x:c>
      <x:c r="D26" s="20" t="str">
        <x:v>Val Price</x:v>
      </x:c>
      <x:c r="E26" s="20" t="str">
        <x:v>tenant.023@example.local</x:v>
      </x:c>
      <x:c r="F26" s="23" t="n">
        <x:v>46174</x:v>
      </x:c>
      <x:c r="G26" s="23" t="n">
        <x:v>46752</x:v>
      </x:c>
      <x:c r="H26" s="26" t="n">
        <x:v>1525</x:v>
      </x:c>
      <x:c r="I26" s="26" t="n">
        <x:v>1525</x:v>
      </x:c>
      <x:c r="J26" s="20" t="str">
        <x:v>Opening lease scan</x:v>
      </x:c>
      <x:c r="K26" s="35" t="str">
        <x:v>continuing resident through year-end</x:v>
      </x:c>
    </x:row>
    <x:row r="27">
      <x:c r="A27" s="20" t="str">
        <x:v>L024</x:v>
      </x:c>
      <x:c r="B27" s="20" t="str">
        <x:v>U024</x:v>
      </x:c>
      <x:c r="C27" s="20" t="str">
        <x:v>T024</x:v>
      </x:c>
      <x:c r="D27" s="20" t="str">
        <x:v>Yara Brooks</x:v>
      </x:c>
      <x:c r="E27" s="20" t="str">
        <x:v>tenant.024@example.local</x:v>
      </x:c>
      <x:c r="F27" s="23" t="n">
        <x:v>46023</x:v>
      </x:c>
      <x:c r="G27" s="23" t="n">
        <x:v>46752</x:v>
      </x:c>
      <x:c r="H27" s="26" t="n">
        <x:v>1150</x:v>
      </x:c>
      <x:c r="I27" s="26" t="n">
        <x:v>1150</x:v>
      </x:c>
      <x:c r="J27" s="20" t="str">
        <x:v>Opening lease scan</x:v>
      </x:c>
      <x:c r="K27" s="35" t="str">
        <x:v>continuing resident through year-end</x:v>
      </x:c>
    </x:row>
    <x:row r="28">
      <x:c r="A28" s="20" t="str">
        <x:v>L025</x:v>
      </x:c>
      <x:c r="B28" s="20" t="str">
        <x:v>U025</x:v>
      </x:c>
      <x:c r="C28" s="20" t="str">
        <x:v>T025</x:v>
      </x:c>
      <x:c r="D28" s="20" t="str">
        <x:v>Bennett Garcia</x:v>
      </x:c>
      <x:c r="E28" s="20" t="str">
        <x:v>tenant.025@example.local</x:v>
      </x:c>
      <x:c r="F28" s="23" t="n">
        <x:v>46054</x:v>
      </x:c>
      <x:c r="G28" s="23" t="n">
        <x:v>46752</x:v>
      </x:c>
      <x:c r="H28" s="26" t="n">
        <x:v>1675</x:v>
      </x:c>
      <x:c r="I28" s="26" t="n">
        <x:v>1675</x:v>
      </x:c>
      <x:c r="J28" s="20" t="str">
        <x:v>Opening lease scan</x:v>
      </x:c>
      <x:c r="K28" s="35" t="str">
        <x:v>continuing resident through year-end</x:v>
      </x:c>
    </x:row>
    <x:row r="29">
      <x:c r="A29" s="20" t="str">
        <x:v>L026</x:v>
      </x:c>
      <x:c r="B29" s="20" t="str">
        <x:v>U026</x:v>
      </x:c>
      <x:c r="C29" s="20" t="str">
        <x:v>T026</x:v>
      </x:c>
      <x:c r="D29" s="20" t="str">
        <x:v>Elena Lewis</x:v>
      </x:c>
      <x:c r="E29" s="20" t="str">
        <x:v>tenant.026@example.local</x:v>
      </x:c>
      <x:c r="F29" s="23" t="n">
        <x:v>46082</x:v>
      </x:c>
      <x:c r="G29" s="23" t="n">
        <x:v>46752</x:v>
      </x:c>
      <x:c r="H29" s="26" t="n">
        <x:v>1300</x:v>
      </x:c>
      <x:c r="I29" s="26" t="n">
        <x:v>1300</x:v>
      </x:c>
      <x:c r="J29" s="20" t="str">
        <x:v>Opening lease scan</x:v>
      </x:c>
      <x:c r="K29" s="35" t="str">
        <x:v>continuing resident through year-end</x:v>
      </x:c>
    </x:row>
    <x:row r="30">
      <x:c r="A30" s="20" t="str">
        <x:v>L027</x:v>
      </x:c>
      <x:c r="B30" s="20" t="str">
        <x:v>U027</x:v>
      </x:c>
      <x:c r="C30" s="20" t="str">
        <x:v>T027</x:v>
      </x:c>
      <x:c r="D30" s="20" t="str">
        <x:v>Hector Reed</x:v>
      </x:c>
      <x:c r="E30" s="20" t="str">
        <x:v>tenant.027@example.local</x:v>
      </x:c>
      <x:c r="F30" s="23" t="n">
        <x:v>46113</x:v>
      </x:c>
      <x:c r="G30" s="23" t="n">
        <x:v>46752</x:v>
      </x:c>
      <x:c r="H30" s="26" t="n">
        <x:v>1825</x:v>
      </x:c>
      <x:c r="I30" s="26" t="n">
        <x:v>1825</x:v>
      </x:c>
      <x:c r="J30" s="20" t="str">
        <x:v>Opening lease scan</x:v>
      </x:c>
      <x:c r="K30" s="35" t="str">
        <x:v>continuing resident through year-end</x:v>
      </x:c>
    </x:row>
    <x:row r="31">
      <x:c r="A31" s="20" t="str">
        <x:v>L028</x:v>
      </x:c>
      <x:c r="B31" s="20" t="str">
        <x:v>U028</x:v>
      </x:c>
      <x:c r="C31" s="20" t="str">
        <x:v>T028</x:v>
      </x:c>
      <x:c r="D31" s="20" t="str">
        <x:v>Keira Adams</x:v>
      </x:c>
      <x:c r="E31" s="20" t="str">
        <x:v>tenant.028@example.local</x:v>
      </x:c>
      <x:c r="F31" s="23" t="n">
        <x:v>46143</x:v>
      </x:c>
      <x:c r="G31" s="23" t="n">
        <x:v>46752</x:v>
      </x:c>
      <x:c r="H31" s="26" t="n">
        <x:v>1450</x:v>
      </x:c>
      <x:c r="I31" s="26" t="n">
        <x:v>1450</x:v>
      </x:c>
      <x:c r="J31" s="20" t="str">
        <x:v>Opening lease scan</x:v>
      </x:c>
      <x:c r="K31" s="35" t="str">
        <x:v>continuing resident through year-end</x:v>
      </x:c>
    </x:row>
    <x:row r="32">
      <x:c r="A32" s="20" t="str">
        <x:v>L029</x:v>
      </x:c>
      <x:c r="B32" s="20" t="str">
        <x:v>U029</x:v>
      </x:c>
      <x:c r="C32" s="20" t="str">
        <x:v>T029</x:v>
      </x:c>
      <x:c r="D32" s="20" t="str">
        <x:v>Nolan Flores</x:v>
      </x:c>
      <x:c r="E32" s="20" t="str">
        <x:v>tenant.029@example.local</x:v>
      </x:c>
      <x:c r="F32" s="23" t="n">
        <x:v>46174</x:v>
      </x:c>
      <x:c r="G32" s="23" t="n">
        <x:v>46752</x:v>
      </x:c>
      <x:c r="H32" s="26" t="n">
        <x:v>1975</x:v>
      </x:c>
      <x:c r="I32" s="26" t="n">
        <x:v>1975</x:v>
      </x:c>
      <x:c r="J32" s="20" t="str">
        <x:v>Opening lease scan</x:v>
      </x:c>
      <x:c r="K32" s="35" t="str">
        <x:v>continuing resident through year-end</x:v>
      </x:c>
    </x:row>
    <x:row r="33">
      <x:c r="A33" s="20" t="str">
        <x:v>L030</x:v>
      </x:c>
      <x:c r="B33" s="20" t="str">
        <x:v>U030</x:v>
      </x:c>
      <x:c r="C33" s="20" t="str">
        <x:v>T030</x:v>
      </x:c>
      <x:c r="D33" s="20" t="str">
        <x:v>Rina King</x:v>
      </x:c>
      <x:c r="E33" s="20" t="str">
        <x:v>tenant.030@example.local</x:v>
      </x:c>
      <x:c r="F33" s="23" t="n">
        <x:v>46023</x:v>
      </x:c>
      <x:c r="G33" s="23" t="n">
        <x:v>46752</x:v>
      </x:c>
      <x:c r="H33" s="26" t="n">
        <x:v>1600</x:v>
      </x:c>
      <x:c r="I33" s="26" t="n">
        <x:v>1600</x:v>
      </x:c>
      <x:c r="J33" s="20" t="str">
        <x:v>Opening lease scan</x:v>
      </x:c>
      <x:c r="K33" s="35" t="str">
        <x:v>continuing resident through year-end</x:v>
      </x:c>
    </x:row>
    <x:row r="34">
      <x:c r="A34" s="20" t="str">
        <x:v>L031</x:v>
      </x:c>
      <x:c r="B34" s="20" t="str">
        <x:v>U031</x:v>
      </x:c>
      <x:c r="C34" s="20" t="str">
        <x:v>T031</x:v>
      </x:c>
      <x:c r="D34" s="20" t="str">
        <x:v>Uri Price</x:v>
      </x:c>
      <x:c r="E34" s="20" t="str">
        <x:v>tenant.031@example.local</x:v>
      </x:c>
      <x:c r="F34" s="23" t="n">
        <x:v>46054</x:v>
      </x:c>
      <x:c r="G34" s="23" t="n">
        <x:v>46752</x:v>
      </x:c>
      <x:c r="H34" s="26" t="n">
        <x:v>1225</x:v>
      </x:c>
      <x:c r="I34" s="26" t="n">
        <x:v>1225</x:v>
      </x:c>
      <x:c r="J34" s="20" t="str">
        <x:v>Opening lease scan</x:v>
      </x:c>
      <x:c r="K34" s="35" t="str">
        <x:v>continuing resident through year-end</x:v>
      </x:c>
    </x:row>
    <x:row r="35">
      <x:c r="A35" s="20" t="str">
        <x:v>L032</x:v>
      </x:c>
      <x:c r="B35" s="20" t="str">
        <x:v>U032</x:v>
      </x:c>
      <x:c r="C35" s="20" t="str">
        <x:v>T032</x:v>
      </x:c>
      <x:c r="D35" s="20" t="str">
        <x:v>Avery Brooks</x:v>
      </x:c>
      <x:c r="E35" s="20" t="str">
        <x:v>tenant.032@example.local</x:v>
      </x:c>
      <x:c r="F35" s="23" t="n">
        <x:v>46082</x:v>
      </x:c>
      <x:c r="G35" s="23" t="n">
        <x:v>46752</x:v>
      </x:c>
      <x:c r="H35" s="26" t="n">
        <x:v>1750</x:v>
      </x:c>
      <x:c r="I35" s="26" t="n">
        <x:v>1750</x:v>
      </x:c>
      <x:c r="J35" s="20" t="str">
        <x:v>Opening lease scan</x:v>
      </x:c>
      <x:c r="K35" s="35" t="str">
        <x:v>continuing resident through year-end</x:v>
      </x:c>
    </x:row>
    <x:row r="36">
      <x:c r="A36" s="20" t="str">
        <x:v>L033</x:v>
      </x:c>
      <x:c r="B36" s="20" t="str">
        <x:v>U033</x:v>
      </x:c>
      <x:c r="C36" s="20" t="str">
        <x:v>T033</x:v>
      </x:c>
      <x:c r="D36" s="20" t="str">
        <x:v>Dana Garcia</x:v>
      </x:c>
      <x:c r="E36" s="20" t="str">
        <x:v>tenant.033@example.local</x:v>
      </x:c>
      <x:c r="F36" s="23" t="n">
        <x:v>46113</x:v>
      </x:c>
      <x:c r="G36" s="23" t="n">
        <x:v>46752</x:v>
      </x:c>
      <x:c r="H36" s="26" t="n">
        <x:v>1375</x:v>
      </x:c>
      <x:c r="I36" s="26" t="n">
        <x:v>1375</x:v>
      </x:c>
      <x:c r="J36" s="20" t="str">
        <x:v>Opening lease scan</x:v>
      </x:c>
      <x:c r="K36" s="35" t="str">
        <x:v>continuing resident through year-end</x:v>
      </x:c>
    </x:row>
    <x:row r="37">
      <x:c r="A37" s="20" t="str">
        <x:v>L034</x:v>
      </x:c>
      <x:c r="B37" s="20" t="str">
        <x:v>U034</x:v>
      </x:c>
      <x:c r="C37" s="20" t="str">
        <x:v>T034</x:v>
      </x:c>
      <x:c r="D37" s="20" t="str">
        <x:v>Gray Lewis</x:v>
      </x:c>
      <x:c r="E37" s="20" t="str">
        <x:v>tenant.034@example.local</x:v>
      </x:c>
      <x:c r="F37" s="23" t="n">
        <x:v>46143</x:v>
      </x:c>
      <x:c r="G37" s="23" t="n">
        <x:v>46721</x:v>
      </x:c>
      <x:c r="H37" s="26" t="n">
        <x:v>1900</x:v>
      </x:c>
      <x:c r="I37" s="26" t="n">
        <x:v>1900</x:v>
      </x:c>
      <x:c r="J37" s="20" t="str">
        <x:v>Opening lease scan</x:v>
      </x:c>
      <x:c r="K37" s="35" t="str">
        <x:v>winter move-out; mid-month replacement</x:v>
      </x:c>
    </x:row>
    <x:row r="38">
      <x:c r="A38" s="20" t="str">
        <x:v>L035</x:v>
      </x:c>
      <x:c r="B38" s="20" t="str">
        <x:v>U035</x:v>
      </x:c>
      <x:c r="C38" s="20" t="str">
        <x:v>T035</x:v>
      </x:c>
      <x:c r="D38" s="20" t="str">
        <x:v>Jordan Reed</x:v>
      </x:c>
      <x:c r="E38" s="20" t="str">
        <x:v>tenant.035@example.local</x:v>
      </x:c>
      <x:c r="F38" s="23" t="n">
        <x:v>46174</x:v>
      </x:c>
      <x:c r="G38" s="23" t="n">
        <x:v>46752</x:v>
      </x:c>
      <x:c r="H38" s="26" t="n">
        <x:v>1525</x:v>
      </x:c>
      <x:c r="I38" s="26" t="n">
        <x:v>1525</x:v>
      </x:c>
      <x:c r="J38" s="20" t="str">
        <x:v>Opening lease scan</x:v>
      </x:c>
      <x:c r="K38" s="35" t="str">
        <x:v>continuing resident through year-end</x:v>
      </x:c>
    </x:row>
    <x:row r="39">
      <x:c r="A39" s="20" t="str">
        <x:v>L036</x:v>
      </x:c>
      <x:c r="B39" s="20" t="str">
        <x:v>U036</x:v>
      </x:c>
      <x:c r="C39" s="20" t="str">
        <x:v>T036</x:v>
      </x:c>
      <x:c r="D39" s="20" t="str">
        <x:v>Morgan Adams</x:v>
      </x:c>
      <x:c r="E39" s="20" t="str">
        <x:v>tenant.036@example.local</x:v>
      </x:c>
      <x:c r="F39" s="23" t="n">
        <x:v>46023</x:v>
      </x:c>
      <x:c r="G39" s="23" t="n">
        <x:v>46752</x:v>
      </x:c>
      <x:c r="H39" s="26" t="n">
        <x:v>1150</x:v>
      </x:c>
      <x:c r="I39" s="26" t="n">
        <x:v>1150</x:v>
      </x:c>
      <x:c r="J39" s="20" t="str">
        <x:v>Opening lease scan</x:v>
      </x:c>
      <x:c r="K39" s="35" t="str">
        <x:v>continuing resident through year-end</x:v>
      </x:c>
    </x:row>
    <x:row r="40">
      <x:c r="A40" s="20" t="str">
        <x:v>L037</x:v>
      </x:c>
      <x:c r="B40" s="20" t="str">
        <x:v>U005</x:v>
      </x:c>
      <x:c r="C40" s="20" t="str">
        <x:v>T037</x:v>
      </x:c>
      <x:c r="D40" s="20" t="str">
        <x:v>Parker Flores</x:v>
      </x:c>
      <x:c r="E40" s="20" t="str">
        <x:v>tenant.037@example.local</x:v>
      </x:c>
      <x:c r="F40" s="23" t="n">
        <x:v>46478</x:v>
      </x:c>
      <x:c r="G40" s="23" t="n">
        <x:v>46843</x:v>
      </x:c>
      <x:c r="H40" s="26" t="n">
        <x:v>1875</x:v>
      </x:c>
      <x:c r="I40" s="26" t="n">
        <x:v>1875</x:v>
      </x:c>
      <x:c r="J40" s="20" t="str">
        <x:v>Application + lease scan</x:v>
      </x:c>
      <x:c r="K40" s="35" t="str">
        <x:v>post-turnover replacement</x:v>
      </x:c>
    </x:row>
    <x:row r="41">
      <x:c r="A41" s="20" t="str">
        <x:v>L038</x:v>
      </x:c>
      <x:c r="B41" s="20" t="str">
        <x:v>U014</x:v>
      </x:c>
      <x:c r="C41" s="20" t="str">
        <x:v>T038</x:v>
      </x:c>
      <x:c r="D41" s="20" t="str">
        <x:v>Sage King</x:v>
      </x:c>
      <x:c r="E41" s="20" t="str">
        <x:v>tenant.038@example.local</x:v>
      </x:c>
      <x:c r="F41" s="23" t="n">
        <x:v>46569</x:v>
      </x:c>
      <x:c r="G41" s="23" t="n">
        <x:v>46934</x:v>
      </x:c>
      <x:c r="H41" s="26" t="n">
        <x:v>1200</x:v>
      </x:c>
      <x:c r="I41" s="26" t="n">
        <x:v>1200</x:v>
      </x:c>
      <x:c r="J41" s="20" t="str">
        <x:v>Application + lease scan</x:v>
      </x:c>
      <x:c r="K41" s="35" t="str">
        <x:v>post-turnover replacement</x:v>
      </x:c>
    </x:row>
    <x:row r="42">
      <x:c r="A42" s="20" t="str">
        <x:v>L039</x:v>
      </x:c>
      <x:c r="B42" s="20" t="str">
        <x:v>U017</x:v>
      </x:c>
      <x:c r="C42" s="20" t="str">
        <x:v>T039</x:v>
      </x:c>
      <x:c r="D42" s="20" t="str">
        <x:v>Val Price</x:v>
      </x:c>
      <x:c r="E42" s="20" t="str">
        <x:v>tenant.039@example.local</x:v>
      </x:c>
      <x:c r="F42" s="23" t="n">
        <x:v>46600</x:v>
      </x:c>
      <x:c r="G42" s="23" t="n">
        <x:v>46965</x:v>
      </x:c>
      <x:c r="H42" s="26" t="n">
        <x:v>1875</x:v>
      </x:c>
      <x:c r="I42" s="26" t="n">
        <x:v>1875</x:v>
      </x:c>
      <x:c r="J42" s="20" t="str">
        <x:v>Application + lease scan</x:v>
      </x:c>
      <x:c r="K42" s="35" t="str">
        <x:v>post-eviction replacement</x:v>
      </x:c>
    </x:row>
    <x:row r="43">
      <x:c r="A43" s="20" t="str">
        <x:v>L040</x:v>
      </x:c>
      <x:c r="B43" s="20" t="str">
        <x:v>U022</x:v>
      </x:c>
      <x:c r="C43" s="20" t="str">
        <x:v>T040</x:v>
      </x:c>
      <x:c r="D43" s="20" t="str">
        <x:v>Yara Brooks</x:v>
      </x:c>
      <x:c r="E43" s="20" t="str">
        <x:v>tenant.040@example.local</x:v>
      </x:c>
      <x:c r="F43" s="23" t="n">
        <x:v>46661</x:v>
      </x:c>
      <x:c r="G43" s="23" t="n">
        <x:v>47026</x:v>
      </x:c>
      <x:c r="H43" s="26" t="n">
        <x:v>1900</x:v>
      </x:c>
      <x:c r="I43" s="26" t="n">
        <x:v>1900</x:v>
      </x:c>
      <x:c r="J43" s="20" t="str">
        <x:v>Application + lease scan</x:v>
      </x:c>
      <x:c r="K43" s="35" t="str">
        <x:v>post-vacancy replacement</x:v>
      </x:c>
    </x:row>
    <x:row r="44">
      <x:c r="A44" s="20" t="str">
        <x:v>L041</x:v>
      </x:c>
      <x:c r="B44" s="20" t="str">
        <x:v>U040</x:v>
      </x:c>
      <x:c r="C44" s="20" t="str">
        <x:v>T008</x:v>
      </x:c>
      <x:c r="D44" s="20" t="str">
        <x:v>Yara Brooks</x:v>
      </x:c>
      <x:c r="E44" s="20" t="str">
        <x:v>tenant.008@example.local</x:v>
      </x:c>
      <x:c r="F44" s="23" t="n">
        <x:v>46631</x:v>
      </x:c>
      <x:c r="G44" s="23" t="n">
        <x:v>46996</x:v>
      </x:c>
      <x:c r="H44" s="26" t="n">
        <x:v>1450</x:v>
      </x:c>
      <x:c r="I44" s="26" t="n">
        <x:v>1450</x:v>
      </x:c>
      <x:c r="J44" s="20" t="str">
        <x:v>Application + lease scan</x:v>
      </x:c>
      <x:c r="K44" s="35" t="str">
        <x:v>unit transfer destination</x:v>
      </x:c>
    </x:row>
    <x:row r="45">
      <x:c r="A45" s="20" t="str">
        <x:v>L042</x:v>
      </x:c>
      <x:c r="B45" s="20" t="str">
        <x:v>U034</x:v>
      </x:c>
      <x:c r="C45" s="20" t="str">
        <x:v>T042</x:v>
      </x:c>
      <x:c r="D45" s="20" t="str">
        <x:v>Elena Lewis</x:v>
      </x:c>
      <x:c r="E45" s="20" t="str">
        <x:v>tenant.042@example.local</x:v>
      </x:c>
      <x:c r="F45" s="23" t="n">
        <x:v>46736</x:v>
      </x:c>
      <x:c r="G45" s="23" t="n">
        <x:v>47101</x:v>
      </x:c>
      <x:c r="H45" s="26" t="n">
        <x:v>1900</x:v>
      </x:c>
      <x:c r="I45" s="26" t="n">
        <x:v>1900</x:v>
      </x:c>
      <x:c r="J45" s="20" t="str">
        <x:v>Application + lease scan</x:v>
      </x:c>
      <x:c r="K45" s="35" t="str">
        <x:v>mid-month winter replacement</x:v>
      </x:c>
    </x:row>
    <x:row r="46">
      <x:c r="A46" s="20" t="str">
        <x:v>L043</x:v>
      </x:c>
      <x:c r="B46" s="20" t="str">
        <x:v>U037</x:v>
      </x:c>
      <x:c r="C46" s="20" t="str">
        <x:v>T043</x:v>
      </x:c>
      <x:c r="D46" s="20" t="str">
        <x:v>Hector Reed</x:v>
      </x:c>
      <x:c r="E46" s="20" t="str">
        <x:v>tenant.043@example.local</x:v>
      </x:c>
      <x:c r="F46" s="23" t="n">
        <x:v>46419</x:v>
      </x:c>
      <x:c r="G46" s="23" t="n">
        <x:v>46783</x:v>
      </x:c>
      <x:c r="H46" s="26" t="n">
        <x:v>1675</x:v>
      </x:c>
      <x:c r="I46" s="26" t="n">
        <x:v>1675</x:v>
      </x:c>
      <x:c r="J46" s="20" t="str">
        <x:v>Application + lease scan</x:v>
      </x:c>
      <x:c r="K46" s="35" t="str">
        <x:v>opening vacancy leased</x:v>
      </x:c>
    </x:row>
    <x:row r="47">
      <x:c r="A47" s="20" t="str">
        <x:v>L044</x:v>
      </x:c>
      <x:c r="B47" s="20" t="str">
        <x:v>U038</x:v>
      </x:c>
      <x:c r="C47" s="20" t="str">
        <x:v>T044</x:v>
      </x:c>
      <x:c r="D47" s="20" t="str">
        <x:v>Keira Adams</x:v>
      </x:c>
      <x:c r="E47" s="20" t="str">
        <x:v>tenant.044@example.local</x:v>
      </x:c>
      <x:c r="F47" s="23" t="n">
        <x:v>46461</x:v>
      </x:c>
      <x:c r="G47" s="23" t="n">
        <x:v>46826</x:v>
      </x:c>
      <x:c r="H47" s="26" t="n">
        <x:v>1300</x:v>
      </x:c>
      <x:c r="I47" s="26" t="n">
        <x:v>1300</x:v>
      </x:c>
      <x:c r="J47" s="20" t="str">
        <x:v>Application + lease scan</x:v>
      </x:c>
      <x:c r="K47" s="35" t="str">
        <x:v>opening vacancy leased mid-month</x:v>
      </x:c>
    </x:row>
    <x:row r="48">
      <x:c r="A48" s="21" t="str">
        <x:v>L045</x:v>
      </x:c>
      <x:c r="B48" s="21" t="str">
        <x:v>U039</x:v>
      </x:c>
      <x:c r="C48" s="21" t="str">
        <x:v>T045</x:v>
      </x:c>
      <x:c r="D48" s="21" t="str">
        <x:v>Nolan Flores</x:v>
      </x:c>
      <x:c r="E48" s="21" t="str">
        <x:v>tenant.045@example.local</x:v>
      </x:c>
      <x:c r="F48" s="24" t="n">
        <x:v>46539</x:v>
      </x:c>
      <x:c r="G48" s="24" t="n">
        <x:v>46904</x:v>
      </x:c>
      <x:c r="H48" s="27" t="n">
        <x:v>1825</x:v>
      </x:c>
      <x:c r="I48" s="27" t="n">
        <x:v>1825</x:v>
      </x:c>
      <x:c r="J48" s="21" t="str">
        <x:v>Application + lease scan</x:v>
      </x:c>
      <x:c r="K48" s="36" t="str">
        <x:v>opening vacancy leased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1276d87d9649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4" max="4" width="22" hidden="0" customWidth="1"/>
    <x:col min="5" max="5" width="24" hidden="0" customWidth="1"/>
    <x:col min="6" max="6" width="16" hidden="0" customWidth="1"/>
    <x:col min="7" max="7" width="22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58" hidden="0" customWidth="1"/>
    <x:col min="13" max="13" width="52" hidden="0" customWidth="1"/>
    <x:col min="14" max="14" width="48" hidden="0" customWidth="1"/>
    <x:col min="15" max="15" width="48" hidden="0" customWidth="1"/>
    <x:col min="16" max="16" width="45" hidden="0" customWidth="1"/>
  </x:cols>
  <x:sheetData>
    <x:row r="1" ht="34" customHeight="1">
      <x:c r="A1" s="3" t="str">
        <x:v>Dated Execution Calendar — 2027</x:v>
      </x:c>
      <x:c r="B1" s="3" t="str">
        <x:v>Dated Execution Calendar — 2027</x:v>
      </x:c>
      <x:c r="C1" s="3" t="str">
        <x:v>Dated Execution Calendar — 2027</x:v>
      </x:c>
      <x:c r="D1" s="3" t="str">
        <x:v>Dated Execution Calendar — 2027</x:v>
      </x:c>
      <x:c r="E1" s="3" t="str">
        <x:v>Dated Execution Calendar — 2027</x:v>
      </x:c>
      <x:c r="F1" s="3" t="str">
        <x:v>Dated Execution Calendar — 2027</x:v>
      </x:c>
      <x:c r="G1" s="3" t="str">
        <x:v>Dated Execution Calendar — 2027</x:v>
      </x:c>
      <x:c r="H1" s="3" t="str">
        <x:v>Dated Execution Calendar — 2027</x:v>
      </x:c>
      <x:c r="I1" s="3" t="str">
        <x:v>Dated Execution Calendar — 2027</x:v>
      </x:c>
      <x:c r="J1" s="3" t="str">
        <x:v>Dated Execution Calendar — 2027</x:v>
      </x:c>
      <x:c r="K1" s="3" t="str">
        <x:v>Dated Execution Calendar — 2027</x:v>
      </x:c>
      <x:c r="L1" s="3" t="str">
        <x:v>Dated Execution Calendar — 2027</x:v>
      </x:c>
      <x:c r="M1" s="3" t="str">
        <x:v>Dated Execution Calendar — 2027</x:v>
      </x:c>
      <x:c r="N1" s="3" t="str">
        <x:v>Dated Execution Calendar — 2027</x:v>
      </x:c>
      <x:c r="O1" s="3" t="str">
        <x:v>Dated Execution Calendar — 2027</x:v>
      </x:c>
      <x:c r="P1" s="3" t="str">
        <x:v>Dated Execution Calendar — 2027</x:v>
      </x:c>
    </x:row>
    <x:row r="3" ht="30" customHeight="1">
      <x:c r="A3" s="12" t="str">
        <x:v>Run ID</x:v>
      </x:c>
      <x:c r="B3" s="13" t="str">
        <x:v>Simulated Clock</x:v>
      </x:c>
      <x:c r="C3" s="13" t="str">
        <x:v>Sequence</x:v>
      </x:c>
      <x:c r="D3" s="13" t="str">
        <x:v>Phase</x:v>
      </x:c>
      <x:c r="E3" s="13" t="str">
        <x:v>Role</x:v>
      </x:c>
      <x:c r="F3" s="13" t="str">
        <x:v>Client</x:v>
      </x:c>
      <x:c r="G3" s="13" t="str">
        <x:v>Entry Mode</x:v>
      </x:c>
      <x:c r="H3" s="13" t="str">
        <x:v>Workflow</x:v>
      </x:c>
      <x:c r="I3" s="13" t="str">
        <x:v>Entity Refs</x:v>
      </x:c>
      <x:c r="J3" s="13" t="str">
        <x:v>Asset Refs</x:v>
      </x:c>
      <x:c r="K3" s="13" t="str">
        <x:v>Financial Refs</x:v>
      </x:c>
      <x:c r="L3" s="13" t="str">
        <x:v>Exact Actions</x:v>
      </x:c>
      <x:c r="M3" s="13" t="str">
        <x:v>Expected Result</x:v>
      </x:c>
      <x:c r="N3" s="13" t="str">
        <x:v>Evidence Required</x:v>
      </x:c>
      <x:c r="O3" s="13" t="str">
        <x:v>Negative / Retry</x:v>
      </x:c>
      <x:c r="P3" s="14" t="str">
        <x:v>Completion Gate</x:v>
      </x:c>
    </x:row>
    <x:row r="4">
      <x:c r="A4" s="19" t="str">
        <x:v>RUN-20270101-01</x:v>
      </x:c>
      <x:c r="B4" s="22" t="n">
        <x:v>46388</x:v>
      </x:c>
      <x:c r="C4" s="31" t="n">
        <x:v>1</x:v>
      </x:c>
      <x:c r="D4" s="19" t="str">
        <x:v>Monthly operations</x:v>
      </x:c>
      <x:c r="E4" s="19" t="str">
        <x:v>Workspace Administrator</x:v>
      </x:c>
      <x:c r="F4" s="19" t="str">
        <x:v>Web + Mobile</x:v>
      </x:c>
      <x:c r="G4" s="19" t="str">
        <x:v>System automation + reconciliation</x:v>
      </x:c>
      <x:c r="H4" s="34" t="str">
        <x:v>January recurring rent generation</x:v>
      </x:c>
      <x:c r="I4" s="34" t="str">
        <x:v>36 active tenant accounts</x:v>
      </x:c>
      <x:c r="J4" s="34" t="str"/>
      <x:c r="K4" s="34" t="str">
        <x:v>FIN-00002; FIN-00004; FIN-00006; FIN-00008; FIN-00010; FIN-00012; FIN-00014; FIN-00016; FIN-00018; FIN-00020; FIN-00022; FIN-00026; FIN-00028; FIN-00031; FIN-00033; FIN-00035; FIN-00037; FIN-00039; FIN-00041; FIN-00043; FIN-00045; FIN-00047; FIN-00051; FIN-00053; FIN-00055; FIN-00057; FIN-00060; FIN-00062; FIN-00064; FIN-00066; FIN-00068; FIN-00070; FIN-00072; FIN-00076; FIN-00078; FIN-00080</x:v>
      </x:c>
      <x:c r="L4" s="34" t="str">
        <x:v>Advance the simulation clock to 08:00 local; run or wait for scheduled finance worker; compare generated charges to active governing agreements, start dates, proration, and unique billing-period keys.</x:v>
      </x:c>
      <x:c r="M4" s="34" t="str">
        <x:v>Exactly 36 rent charges are posted once; mid-month starts prorate; ended leases do not receive future charges.</x:v>
      </x:c>
      <x:c r="N4" s="34" t="str">
        <x:v>Worker status; charge list; month rent-roll export; sampled Unit/Lease/portal balances; SQL query evidence.</x:v>
      </x:c>
      <x:c r="O4" s="34" t="str">
        <x:v>Run the finance worker a second time and prove no duplicate charge; inject one failure and prove charge/audit/outbox atomic rollback.</x:v>
      </x:c>
      <x:c r="P4" s="34" t="str">
        <x:v>All expected records and amounts match; no unexplained error or stale state.</x:v>
      </x:c>
    </x:row>
    <x:row r="5">
      <x:c r="A5" s="20" t="str">
        <x:v>RUN-20270102-01</x:v>
      </x:c>
      <x:c r="B5" s="23" t="n">
        <x:v>46389</x:v>
      </x:c>
      <x:c r="C5" s="32" t="n">
        <x:v>1</x:v>
      </x:c>
      <x:c r="D5" s="20" t="str">
        <x:v>Opening setup</x:v>
      </x:c>
      <x:c r="E5" s="20" t="str">
        <x:v>Workspace Administrator</x:v>
      </x:c>
      <x:c r="F5" s="20" t="str">
        <x:v>Web</x:v>
      </x:c>
      <x:c r="G5" s="20" t="str">
        <x:v>Scan-first</x:v>
      </x:c>
      <x:c r="H5" s="35" t="str">
        <x:v>Opening lease intake batch 1</x:v>
      </x:c>
      <x:c r="I5" s="35" t="str">
        <x:v>L001-L012</x:v>
      </x:c>
      <x:c r="J5" s="35" t="str">
        <x:v>SCN-0001; SCN-0002; SCN-0003; SCN-0004; SCN-0005; SCN-0006; SCN-0007; SCN-0008; SCN-0009; SCN-0010; SCN-0011; SCN-0012</x:v>
      </x:c>
      <x:c r="K5" s="35" t="str"/>
      <x:c r="L5" s="35" t="str">
        <x:v>Set the simulation clock; upload each lease; wait for extraction; review every required field; correct only deliberately degraded fields; confirm sequentially; follow created Property, Unit, Tenant, Lease, Agreement, and Tenant Account links.</x:v>
      </x:c>
      <x:c r="M5" s="35" t="str">
        <x:v>Exactly 12 distinct LeaseManagement relationships are created. Shared property/unit identities dedupe correctly. No record is created before confirmation.</x:v>
      </x:c>
      <x:c r="N5" s="35" t="str">
        <x:v>Batch counts; each draft status; field-confidence evidence; created links; DB-side list counts; audit/outbox evidence.</x:v>
      </x:c>
      <x:c r="O5" s="35" t="str">
        <x:v>Re-upload one file, reject one intentionally, then retry it; prove no duplicate lease or half-created aggregate.</x:v>
      </x:c>
      <x:c r="P5" s="35" t="str">
        <x:v>All expected records and amounts match; no unexplained error or stale state.</x:v>
      </x:c>
    </x:row>
    <x:row r="6">
      <x:c r="A6" s="20" t="str">
        <x:v>RUN-20270102-02</x:v>
      </x:c>
      <x:c r="B6" s="23" t="n">
        <x:v>46389</x:v>
      </x:c>
      <x:c r="C6" s="32" t="n">
        <x:v>2</x:v>
      </x:c>
      <x:c r="D6" s="20" t="str">
        <x:v>Leasing</x:v>
      </x:c>
      <x:c r="E6" s="20" t="str">
        <x:v>Leasing Agent</x:v>
      </x:c>
      <x:c r="F6" s="20" t="str">
        <x:v>Web</x:v>
      </x:c>
      <x:c r="G6" s="20" t="str">
        <x:v>Scan-first</x:v>
      </x:c>
      <x:c r="H6" s="35" t="str">
        <x:v>Application intake and pipeline</x:v>
      </x:c>
      <x:c r="I6" s="35" t="str">
        <x:v>P029; U037; L043; T043</x:v>
      </x:c>
      <x:c r="J6" s="35" t="str">
        <x:v>SCN-0924</x:v>
      </x:c>
      <x:c r="K6" s="35" t="str"/>
      <x:c r="L6" s="35" t="str">
        <x:v>Upload/capture the application; review extracted applicant and unit context; confirm; inspect pipeline; request screening in synthetic/test-only mode; record a fair, documented decision.</x:v>
      </x:c>
      <x:c r="M6" s="35" t="str">
        <x:v>Application, applicant tenant prospect, unit link, status history, screening placeholder, and communication are created once without exposing sensitive values.</x:v>
      </x:c>
      <x:c r="N6" s="35" t="str">
        <x:v>Scan draft; Application detail; pipeline; status audit; applicant communication; role/access proof.</x:v>
      </x:c>
      <x:c r="O6" s="35" t="str">
        <x:v>Upload a duplicate application and a wrong-unit application; no duplicate person or cross-property link.</x:v>
      </x:c>
      <x:c r="P6" s="35" t="str">
        <x:v>All expected records and amounts match; no unexplained error or stale state.</x:v>
      </x:c>
    </x:row>
    <x:row r="7">
      <x:c r="A7" s="20" t="str">
        <x:v>RUN-20270103-01</x:v>
      </x:c>
      <x:c r="B7" s="23" t="n">
        <x:v>46390</x:v>
      </x:c>
      <x:c r="C7" s="32" t="n">
        <x:v>1</x:v>
      </x:c>
      <x:c r="D7" s="20" t="str">
        <x:v>Opening setup</x:v>
      </x:c>
      <x:c r="E7" s="20" t="str">
        <x:v>Workspace Administrator</x:v>
      </x:c>
      <x:c r="F7" s="20" t="str">
        <x:v>Mobile</x:v>
      </x:c>
      <x:c r="G7" s="20" t="str">
        <x:v>Scan-first</x:v>
      </x:c>
      <x:c r="H7" s="35" t="str">
        <x:v>Opening lease intake batch 2</x:v>
      </x:c>
      <x:c r="I7" s="35" t="str">
        <x:v>L013-L024</x:v>
      </x:c>
      <x:c r="J7" s="35" t="str">
        <x:v>SCN-0013; SCN-0014; SCN-0015; SCN-0016; SCN-0017; SCN-0018; SCN-0019; SCN-0020; SCN-0021; SCN-0022; SCN-0023; SCN-0024</x:v>
      </x:c>
      <x:c r="K7" s="35" t="str"/>
      <x:c r="L7" s="35" t="str">
        <x:v>Set the simulation clock; upload each lease; wait for extraction; review every required field; correct only deliberately degraded fields; confirm sequentially; follow created Property, Unit, Tenant, Lease, Agreement, and Tenant Account links.</x:v>
      </x:c>
      <x:c r="M7" s="35" t="str">
        <x:v>Exactly 12 distinct LeaseManagement relationships are created. Shared property/unit identities dedupe correctly. No record is created before confirmation.</x:v>
      </x:c>
      <x:c r="N7" s="35" t="str">
        <x:v>Batch counts; each draft status; field-confidence evidence; created links; DB-side list counts; audit/outbox evidence.</x:v>
      </x:c>
      <x:c r="O7" s="35" t="str">
        <x:v>Re-upload one file, reject one intentionally, then retry it; prove no duplicate lease or half-created aggregate.</x:v>
      </x:c>
      <x:c r="P7" s="35" t="str">
        <x:v>All expected records and amounts match; no unexplained error or stale state.</x:v>
      </x:c>
    </x:row>
    <x:row r="8">
      <x:c r="A8" s="20" t="str">
        <x:v>RUN-20270103-02</x:v>
      </x:c>
      <x:c r="B8" s="23" t="n">
        <x:v>46390</x:v>
      </x:c>
      <x:c r="C8" s="32" t="n">
        <x:v>2</x:v>
      </x:c>
      <x:c r="D8" s="20" t="str">
        <x:v>Monthly operations</x:v>
      </x:c>
      <x:c r="E8" s="20" t="str">
        <x:v>Property Manager</x:v>
      </x:c>
      <x:c r="F8" s="20" t="str">
        <x:v>Mobile</x:v>
      </x:c>
      <x:c r="G8" s="20" t="str">
        <x:v>Portal card</x:v>
      </x:c>
      <x:c r="H8" s="35" t="str">
        <x:v>Post and allocate tenant receipt</x:v>
      </x:c>
      <x:c r="I8" s="35" t="str">
        <x:v>P003; U003; L003</x:v>
      </x:c>
      <x:c r="J8" s="35" t="str"/>
      <x:c r="K8" s="35" t="str">
        <x:v>FIN-00006; FIN-00007</x:v>
      </x:c>
      <x:c r="L8" s="35" t="str">
        <x:v>Open Scan for paper payment or the tenant-account receipt form for electronic payment; verify tenant/lease match, amount, date, method, and reference; confirm once; open ledger detail and allocation.</x:v>
      </x:c>
      <x:c r="M8" s="35" t="str">
        <x:v>Receipt is append-only, allocated once to the correct rent charge, and visible consistently in Unit, Lease, Tenant Account, Accounting, and portal views.</x:v>
      </x:c>
      <x:c r="N8" s="35" t="str">
        <x:v>Scan review or form; success result; exact ledger rows; payment detail; accounting delta; portal receipt.</x:v>
      </x:c>
      <x:c r="O8" s="35" t="str">
        <x:v>Retry the idempotency key once during the quarter assigned in the coverage matrix; no duplicate cash or allocation.</x:v>
      </x:c>
      <x:c r="P8" s="35" t="str">
        <x:v>All expected records and amounts match; no unexplained error or stale state.</x:v>
      </x:c>
    </x:row>
    <x:row r="9">
      <x:c r="A9" s="20" t="str">
        <x:v>RUN-20270103-03</x:v>
      </x:c>
      <x:c r="B9" s="23" t="n">
        <x:v>46390</x:v>
      </x:c>
      <x:c r="C9" s="32" t="n">
        <x:v>3</x:v>
      </x:c>
      <x:c r="D9" s="20" t="str">
        <x:v>Monthly operations</x:v>
      </x:c>
      <x:c r="E9" s="20" t="str">
        <x:v>Property Manager</x:v>
      </x:c>
      <x:c r="F9" s="20" t="str">
        <x:v>Web</x:v>
      </x:c>
      <x:c r="G9" s="20" t="str">
        <x:v>Manual ACH</x:v>
      </x:c>
      <x:c r="H9" s="35" t="str">
        <x:v>Post and allocate tenant receipt</x:v>
      </x:c>
      <x:c r="I9" s="35" t="str">
        <x:v>P006; U006; L006</x:v>
      </x:c>
      <x:c r="J9" s="35" t="str"/>
      <x:c r="K9" s="35" t="str">
        <x:v>FIN-00012; FIN-00013</x:v>
      </x:c>
      <x:c r="L9" s="35" t="str">
        <x:v>Open Scan for paper payment or the tenant-account receipt form for electronic payment; verify tenant/lease match, amount, date, method, and reference; confirm once; open ledger detail and allocation.</x:v>
      </x:c>
      <x:c r="M9" s="35" t="str">
        <x:v>Receipt is append-only, allocated once to the correct rent charge, and visible consistently in Unit, Lease, Tenant Account, Accounting, and portal views.</x:v>
      </x:c>
      <x:c r="N9" s="35" t="str">
        <x:v>Scan review or form; success result; exact ledger rows; payment detail; accounting delta; portal receipt.</x:v>
      </x:c>
      <x:c r="O9" s="35" t="str">
        <x:v>Retry the idempotency key once during the quarter assigned in the coverage matrix; no duplicate cash or allocation.</x:v>
      </x:c>
      <x:c r="P9" s="35" t="str">
        <x:v>All expected records and amounts match; no unexplained error or stale state.</x:v>
      </x:c>
    </x:row>
    <x:row r="10">
      <x:c r="A10" s="20" t="str">
        <x:v>RUN-20270103-04</x:v>
      </x:c>
      <x:c r="B10" s="23" t="n">
        <x:v>46390</x:v>
      </x:c>
      <x:c r="C10" s="32" t="n">
        <x:v>4</x:v>
      </x:c>
      <x:c r="D10" s="20" t="str">
        <x:v>Monthly operations</x:v>
      </x:c>
      <x:c r="E10" s="20" t="str">
        <x:v>Property Manager</x:v>
      </x:c>
      <x:c r="F10" s="20" t="str">
        <x:v>Mobile</x:v>
      </x:c>
      <x:c r="G10" s="20" t="str">
        <x:v>Scanned money order</x:v>
      </x:c>
      <x:c r="H10" s="35" t="str">
        <x:v>Post and allocate tenant receipt</x:v>
      </x:c>
      <x:c r="I10" s="35" t="str">
        <x:v>P009; U009; L009</x:v>
      </x:c>
      <x:c r="J10" s="35" t="str">
        <x:v>SCN-0091</x:v>
      </x:c>
      <x:c r="K10" s="35" t="str">
        <x:v>FIN-00018; FIN-00019</x:v>
      </x:c>
      <x:c r="L10" s="35" t="str">
        <x:v>Open Scan for paper payment or the tenant-account receipt form for electronic payment; verify tenant/lease match, amount, date, method, and reference; confirm once; open ledger detail and allocation.</x:v>
      </x:c>
      <x:c r="M10" s="35" t="str">
        <x:v>Receipt is append-only, allocated once to the correct rent charge, and visible consistently in Unit, Lease, Tenant Account, Accounting, and portal views.</x:v>
      </x:c>
      <x:c r="N10" s="35" t="str">
        <x:v>Scan review or form; success result; exact ledger rows; payment detail; accounting delta; portal receipt.</x:v>
      </x:c>
      <x:c r="O10" s="35" t="str">
        <x:v>Retry the idempotency key once during the quarter assigned in the coverage matrix; no duplicate cash or allocation.</x:v>
      </x:c>
      <x:c r="P10" s="35" t="str">
        <x:v>All expected records and amounts match; no unexplained error or stale state.</x:v>
      </x:c>
    </x:row>
    <x:row r="11">
      <x:c r="A11" s="20" t="str">
        <x:v>RUN-20270103-05</x:v>
      </x:c>
      <x:c r="B11" s="23" t="n">
        <x:v>46390</x:v>
      </x:c>
      <x:c r="C11" s="32" t="n">
        <x:v>5</x:v>
      </x:c>
      <x:c r="D11" s="20" t="str">
        <x:v>Monthly operations</x:v>
      </x:c>
      <x:c r="E11" s="20" t="str">
        <x:v>Property Manager</x:v>
      </x:c>
      <x:c r="F11" s="20" t="str">
        <x:v>Mobile</x:v>
      </x:c>
      <x:c r="G11" s="20" t="str">
        <x:v>Portal card</x:v>
      </x:c>
      <x:c r="H11" s="35" t="str">
        <x:v>Post and allocate tenant receipt</x:v>
      </x:c>
      <x:c r="I11" s="35" t="str">
        <x:v>P011; U011; L011</x:v>
      </x:c>
      <x:c r="J11" s="35" t="str"/>
      <x:c r="K11" s="35" t="str">
        <x:v>FIN-00022; FIN-00023</x:v>
      </x:c>
      <x:c r="L11" s="35" t="str">
        <x:v>Open Scan for paper payment or the tenant-account receipt form for electronic payment; verify tenant/lease match, amount, date, method, and reference; confirm once; open ledger detail and allocation.</x:v>
      </x:c>
      <x:c r="M11" s="35" t="str">
        <x:v>Receipt is append-only, allocated once to the correct rent charge, and visible consistently in Unit, Lease, Tenant Account, Accounting, and portal views.</x:v>
      </x:c>
      <x:c r="N11" s="35" t="str">
        <x:v>Scan review or form; success result; exact ledger rows; payment detail; accounting delta; portal receipt.</x:v>
      </x:c>
      <x:c r="O11" s="35" t="str">
        <x:v>Retry the idempotency key once during the quarter assigned in the coverage matrix; no duplicate cash or allocation.</x:v>
      </x:c>
      <x:c r="P11" s="35" t="str">
        <x:v>All expected records and amounts match; no unexplained error or stale state.</x:v>
      </x:c>
    </x:row>
    <x:row r="12">
      <x:c r="A12" s="20" t="str">
        <x:v>RUN-20270103-06</x:v>
      </x:c>
      <x:c r="B12" s="23" t="n">
        <x:v>46390</x:v>
      </x:c>
      <x:c r="C12" s="32" t="n">
        <x:v>6</x:v>
      </x:c>
      <x:c r="D12" s="20" t="str">
        <x:v>Monthly operations</x:v>
      </x:c>
      <x:c r="E12" s="20" t="str">
        <x:v>Property Manager</x:v>
      </x:c>
      <x:c r="F12" s="20" t="str">
        <x:v>Web</x:v>
      </x:c>
      <x:c r="G12" s="20" t="str">
        <x:v>Scanned check</x:v>
      </x:c>
      <x:c r="H12" s="35" t="str">
        <x:v>Post and allocate tenant receipt</x:v>
      </x:c>
      <x:c r="I12" s="35" t="str">
        <x:v>P012; U012; L012</x:v>
      </x:c>
      <x:c r="J12" s="35" t="str">
        <x:v>SCN-0093</x:v>
      </x:c>
      <x:c r="K12" s="35" t="str">
        <x:v>FIN-00026; FIN-00027</x:v>
      </x:c>
      <x:c r="L12" s="35" t="str">
        <x:v>Open Scan for paper payment or the tenant-account receipt form for electronic payment; verify tenant/lease match, amount, date, method, and reference; confirm once; open ledger detail and allocation.</x:v>
      </x:c>
      <x:c r="M12" s="35" t="str">
        <x:v>Receipt is append-only, allocated once to the correct rent charge, and visible consistently in Unit, Lease, Tenant Account, Accounting, and portal views.</x:v>
      </x:c>
      <x:c r="N12" s="35" t="str">
        <x:v>Scan review or form; success result; exact ledger rows; payment detail; accounting delta; portal receipt.</x:v>
      </x:c>
      <x:c r="O12" s="35" t="str">
        <x:v>Retry the idempotency key once during the quarter assigned in the coverage matrix; no duplicate cash or allocation.</x:v>
      </x:c>
      <x:c r="P12" s="35" t="str">
        <x:v>All expected records and amounts match; no unexplained error or stale state.</x:v>
      </x:c>
    </x:row>
    <x:row r="13">
      <x:c r="A13" s="20" t="str">
        <x:v>RUN-20270103-07</x:v>
      </x:c>
      <x:c r="B13" s="23" t="n">
        <x:v>46390</x:v>
      </x:c>
      <x:c r="C13" s="32" t="n">
        <x:v>7</x:v>
      </x:c>
      <x:c r="D13" s="20" t="str">
        <x:v>Monthly operations</x:v>
      </x:c>
      <x:c r="E13" s="20" t="str">
        <x:v>Property Manager</x:v>
      </x:c>
      <x:c r="F13" s="20" t="str">
        <x:v>Mobile</x:v>
      </x:c>
      <x:c r="G13" s="20" t="str">
        <x:v>Portal card</x:v>
      </x:c>
      <x:c r="H13" s="35" t="str">
        <x:v>Post and allocate tenant receipt</x:v>
      </x:c>
      <x:c r="I13" s="35" t="str">
        <x:v>P015; U015; L015</x:v>
      </x:c>
      <x:c r="J13" s="35" t="str"/>
      <x:c r="K13" s="35" t="str">
        <x:v>FIN-00033; FIN-00034</x:v>
      </x:c>
      <x:c r="L13" s="35" t="str">
        <x:v>Open Scan for paper payment or the tenant-account receipt form for electronic payment; verify tenant/lease match, amount, date, method, and reference; confirm once; open ledger detail and allocation.</x:v>
      </x:c>
      <x:c r="M13" s="35" t="str">
        <x:v>Receipt is append-only, allocated once to the correct rent charge, and visible consistently in Unit, Lease, Tenant Account, Accounting, and portal views.</x:v>
      </x:c>
      <x:c r="N13" s="35" t="str">
        <x:v>Scan review or form; success result; exact ledger rows; payment detail; accounting delta; portal receipt.</x:v>
      </x:c>
      <x:c r="O13" s="35" t="str">
        <x:v>Retry the idempotency key once during the quarter assigned in the coverage matrix; no duplicate cash or allocation.</x:v>
      </x:c>
      <x:c r="P13" s="35" t="str">
        <x:v>All expected records and amounts match; no unexplained error or stale state.</x:v>
      </x:c>
    </x:row>
    <x:row r="14">
      <x:c r="A14" s="20" t="str">
        <x:v>RUN-20270103-08</x:v>
      </x:c>
      <x:c r="B14" s="23" t="n">
        <x:v>46390</x:v>
      </x:c>
      <x:c r="C14" s="32" t="n">
        <x:v>8</x:v>
      </x:c>
      <x:c r="D14" s="20" t="str">
        <x:v>Monthly operations</x:v>
      </x:c>
      <x:c r="E14" s="20" t="str">
        <x:v>Property Manager</x:v>
      </x:c>
      <x:c r="F14" s="20" t="str">
        <x:v>Web</x:v>
      </x:c>
      <x:c r="G14" s="20" t="str">
        <x:v>Manual ACH</x:v>
      </x:c>
      <x:c r="H14" s="35" t="str">
        <x:v>Post and allocate tenant receipt</x:v>
      </x:c>
      <x:c r="I14" s="35" t="str">
        <x:v>P018; U018; L018</x:v>
      </x:c>
      <x:c r="J14" s="35" t="str"/>
      <x:c r="K14" s="35" t="str">
        <x:v>FIN-00039; FIN-00040</x:v>
      </x:c>
      <x:c r="L14" s="35" t="str">
        <x:v>Open Scan for paper payment or the tenant-account receipt form for electronic payment; verify tenant/lease match, amount, date, method, and reference; confirm once; open ledger detail and allocation.</x:v>
      </x:c>
      <x:c r="M14" s="35" t="str">
        <x:v>Receipt is append-only, allocated once to the correct rent charge, and visible consistently in Unit, Lease, Tenant Account, Accounting, and portal views.</x:v>
      </x:c>
      <x:c r="N14" s="35" t="str">
        <x:v>Scan review or form; success result; exact ledger rows; payment detail; accounting delta; portal receipt.</x:v>
      </x:c>
      <x:c r="O14" s="35" t="str">
        <x:v>Retry the idempotency key once during the quarter assigned in the coverage matrix; no duplicate cash or allocation.</x:v>
      </x:c>
      <x:c r="P14" s="35" t="str">
        <x:v>All expected records and amounts match; no unexplained error or stale state.</x:v>
      </x:c>
    </x:row>
    <x:row r="15">
      <x:c r="A15" s="20" t="str">
        <x:v>RUN-20270103-09</x:v>
      </x:c>
      <x:c r="B15" s="23" t="n">
        <x:v>46390</x:v>
      </x:c>
      <x:c r="C15" s="32" t="n">
        <x:v>9</x:v>
      </x:c>
      <x:c r="D15" s="20" t="str">
        <x:v>Monthly operations</x:v>
      </x:c>
      <x:c r="E15" s="20" t="str">
        <x:v>Property Manager</x:v>
      </x:c>
      <x:c r="F15" s="20" t="str">
        <x:v>Mobile</x:v>
      </x:c>
      <x:c r="G15" s="20" t="str">
        <x:v>Scanned money order</x:v>
      </x:c>
      <x:c r="H15" s="35" t="str">
        <x:v>Post and allocate tenant receipt</x:v>
      </x:c>
      <x:c r="I15" s="35" t="str">
        <x:v>P021; U021; L021</x:v>
      </x:c>
      <x:c r="J15" s="35" t="str">
        <x:v>SCN-0098</x:v>
      </x:c>
      <x:c r="K15" s="35" t="str">
        <x:v>FIN-00045; FIN-00046</x:v>
      </x:c>
      <x:c r="L15" s="35" t="str">
        <x:v>Open Scan for paper payment or the tenant-account receipt form for electronic payment; verify tenant/lease match, amount, date, method, and reference; confirm once; open ledger detail and allocation.</x:v>
      </x:c>
      <x:c r="M15" s="35" t="str">
        <x:v>Receipt is append-only, allocated once to the correct rent charge, and visible consistently in Unit, Lease, Tenant Account, Accounting, and portal views.</x:v>
      </x:c>
      <x:c r="N15" s="35" t="str">
        <x:v>Scan review or form; success result; exact ledger rows; payment detail; accounting delta; portal receipt.</x:v>
      </x:c>
      <x:c r="O15" s="35" t="str">
        <x:v>Retry the idempotency key once during the quarter assigned in the coverage matrix; no duplicate cash or allocation.</x:v>
      </x:c>
      <x:c r="P15" s="35" t="str">
        <x:v>All expected records and amounts match; no unexplained error or stale state.</x:v>
      </x:c>
    </x:row>
    <x:row r="16">
      <x:c r="A16" s="20" t="str">
        <x:v>RUN-20270103-10</x:v>
      </x:c>
      <x:c r="B16" s="23" t="n">
        <x:v>46390</x:v>
      </x:c>
      <x:c r="C16" s="32" t="n">
        <x:v>10</x:v>
      </x:c>
      <x:c r="D16" s="20" t="str">
        <x:v>Monthly operations</x:v>
      </x:c>
      <x:c r="E16" s="20" t="str">
        <x:v>Property Manager</x:v>
      </x:c>
      <x:c r="F16" s="20" t="str">
        <x:v>Web</x:v>
      </x:c>
      <x:c r="G16" s="20" t="str">
        <x:v>Manual ACH</x:v>
      </x:c>
      <x:c r="H16" s="35" t="str">
        <x:v>Post and allocate tenant receipt</x:v>
      </x:c>
      <x:c r="I16" s="35" t="str">
        <x:v>P021; U022; L022</x:v>
      </x:c>
      <x:c r="J16" s="35" t="str"/>
      <x:c r="K16" s="35" t="str">
        <x:v>FIN-00047; FIN-00048</x:v>
      </x:c>
      <x:c r="L16" s="35" t="str">
        <x:v>Open Scan for paper payment or the tenant-account receipt form for electronic payment; verify tenant/lease match, amount, date, method, and reference; confirm once; open ledger detail and allocation.</x:v>
      </x:c>
      <x:c r="M16" s="35" t="str">
        <x:v>Receipt is append-only, allocated once to the correct rent charge, and visible consistently in Unit, Lease, Tenant Account, Accounting, and portal views.</x:v>
      </x:c>
      <x:c r="N16" s="35" t="str">
        <x:v>Scan review or form; success result; exact ledger rows; payment detail; accounting delta; portal receipt.</x:v>
      </x:c>
      <x:c r="O16" s="35" t="str">
        <x:v>Retry the idempotency key once during the quarter assigned in the coverage matrix; no duplicate cash or allocation.</x:v>
      </x:c>
      <x:c r="P16" s="35" t="str">
        <x:v>All expected records and amounts match; no unexplained error or stale state.</x:v>
      </x:c>
    </x:row>
    <x:row r="17">
      <x:c r="A17" s="20" t="str">
        <x:v>RUN-20270103-11</x:v>
      </x:c>
      <x:c r="B17" s="23" t="n">
        <x:v>46390</x:v>
      </x:c>
      <x:c r="C17" s="32" t="n">
        <x:v>11</x:v>
      </x:c>
      <x:c r="D17" s="20" t="str">
        <x:v>Monthly operations</x:v>
      </x:c>
      <x:c r="E17" s="20" t="str">
        <x:v>Property Manager</x:v>
      </x:c>
      <x:c r="F17" s="20" t="str">
        <x:v>Web</x:v>
      </x:c>
      <x:c r="G17" s="20" t="str">
        <x:v>Scanned check</x:v>
      </x:c>
      <x:c r="H17" s="35" t="str">
        <x:v>Post and allocate tenant receipt</x:v>
      </x:c>
      <x:c r="I17" s="35" t="str">
        <x:v>P022; U024; L024</x:v>
      </x:c>
      <x:c r="J17" s="35" t="str">
        <x:v>SCN-0100</x:v>
      </x:c>
      <x:c r="K17" s="35" t="str">
        <x:v>FIN-00053; FIN-00054</x:v>
      </x:c>
      <x:c r="L17" s="35" t="str">
        <x:v>Open Scan for paper payment or the tenant-account receipt form for electronic payment; verify tenant/lease match, amount, date, method, and reference; confirm once; open ledger detail and allocation.</x:v>
      </x:c>
      <x:c r="M17" s="35" t="str">
        <x:v>Receipt is append-only, allocated once to the correct rent charge, and visible consistently in Unit, Lease, Tenant Account, Accounting, and portal views.</x:v>
      </x:c>
      <x:c r="N17" s="35" t="str">
        <x:v>Scan review or form; success result; exact ledger rows; payment detail; accounting delta; portal receipt.</x:v>
      </x:c>
      <x:c r="O17" s="35" t="str">
        <x:v>Retry the idempotency key once during the quarter assigned in the coverage matrix; no duplicate cash or allocation.</x:v>
      </x:c>
      <x:c r="P17" s="35" t="str">
        <x:v>All expected records and amounts match; no unexplained error or stale state.</x:v>
      </x:c>
    </x:row>
    <x:row r="18">
      <x:c r="A18" s="20" t="str">
        <x:v>RUN-20270103-12</x:v>
      </x:c>
      <x:c r="B18" s="23" t="n">
        <x:v>46390</x:v>
      </x:c>
      <x:c r="C18" s="32" t="n">
        <x:v>12</x:v>
      </x:c>
      <x:c r="D18" s="20" t="str">
        <x:v>Monthly operations</x:v>
      </x:c>
      <x:c r="E18" s="20" t="str">
        <x:v>Property Manager</x:v>
      </x:c>
      <x:c r="F18" s="20" t="str">
        <x:v>Mobile</x:v>
      </x:c>
      <x:c r="G18" s="20" t="str">
        <x:v>Portal card</x:v>
      </x:c>
      <x:c r="H18" s="35" t="str">
        <x:v>Post and allocate tenant receipt</x:v>
      </x:c>
      <x:c r="I18" s="35" t="str">
        <x:v>P024; U027; L027</x:v>
      </x:c>
      <x:c r="J18" s="35" t="str"/>
      <x:c r="K18" s="35" t="str">
        <x:v>FIN-00060; FIN-00061</x:v>
      </x:c>
      <x:c r="L18" s="35" t="str">
        <x:v>Open Scan for paper payment or the tenant-account receipt form for electronic payment; verify tenant/lease match, amount, date, method, and reference; confirm once; open ledger detail and allocation.</x:v>
      </x:c>
      <x:c r="M18" s="35" t="str">
        <x:v>Receipt is append-only, allocated once to the correct rent charge, and visible consistently in Unit, Lease, Tenant Account, Accounting, and portal views.</x:v>
      </x:c>
      <x:c r="N18" s="35" t="str">
        <x:v>Scan review or form; success result; exact ledger rows; payment detail; accounting delta; portal receipt.</x:v>
      </x:c>
      <x:c r="O18" s="35" t="str">
        <x:v>Retry the idempotency key once during the quarter assigned in the coverage matrix; no duplicate cash or allocation.</x:v>
      </x:c>
      <x:c r="P18" s="35" t="str">
        <x:v>All expected records and amounts match; no unexplained error or stale state.</x:v>
      </x:c>
    </x:row>
    <x:row r="19">
      <x:c r="A19" s="20" t="str">
        <x:v>RUN-20270103-13</x:v>
      </x:c>
      <x:c r="B19" s="23" t="n">
        <x:v>46390</x:v>
      </x:c>
      <x:c r="C19" s="32" t="n">
        <x:v>13</x:v>
      </x:c>
      <x:c r="D19" s="20" t="str">
        <x:v>Monthly operations</x:v>
      </x:c>
      <x:c r="E19" s="20" t="str">
        <x:v>Property Manager</x:v>
      </x:c>
      <x:c r="F19" s="20" t="str">
        <x:v>Web</x:v>
      </x:c>
      <x:c r="G19" s="20" t="str">
        <x:v>Manual ACH</x:v>
      </x:c>
      <x:c r="H19" s="35" t="str">
        <x:v>Post and allocate tenant receipt</x:v>
      </x:c>
      <x:c r="I19" s="35" t="str">
        <x:v>P025; U030; L030</x:v>
      </x:c>
      <x:c r="J19" s="35" t="str"/>
      <x:c r="K19" s="35" t="str">
        <x:v>FIN-00066; FIN-00067</x:v>
      </x:c>
      <x:c r="L19" s="35" t="str">
        <x:v>Open Scan for paper payment or the tenant-account receipt form for electronic payment; verify tenant/lease match, amount, date, method, and reference; confirm once; open ledger detail and allocation.</x:v>
      </x:c>
      <x:c r="M19" s="35" t="str">
        <x:v>Receipt is append-only, allocated once to the correct rent charge, and visible consistently in Unit, Lease, Tenant Account, Accounting, and portal views.</x:v>
      </x:c>
      <x:c r="N19" s="35" t="str">
        <x:v>Scan review or form; success result; exact ledger rows; payment detail; accounting delta; portal receipt.</x:v>
      </x:c>
      <x:c r="O19" s="35" t="str">
        <x:v>Retry the idempotency key once during the quarter assigned in the coverage matrix; no duplicate cash or allocation.</x:v>
      </x:c>
      <x:c r="P19" s="35" t="str">
        <x:v>All expected records and amounts match; no unexplained error or stale state.</x:v>
      </x:c>
    </x:row>
    <x:row r="20">
      <x:c r="A20" s="20" t="str">
        <x:v>RUN-20270103-14</x:v>
      </x:c>
      <x:c r="B20" s="23" t="n">
        <x:v>46390</x:v>
      </x:c>
      <x:c r="C20" s="32" t="n">
        <x:v>14</x:v>
      </x:c>
      <x:c r="D20" s="20" t="str">
        <x:v>Monthly operations</x:v>
      </x:c>
      <x:c r="E20" s="20" t="str">
        <x:v>Property Manager</x:v>
      </x:c>
      <x:c r="F20" s="20" t="str">
        <x:v>Mobile</x:v>
      </x:c>
      <x:c r="G20" s="20" t="str">
        <x:v>Scanned money order</x:v>
      </x:c>
      <x:c r="H20" s="35" t="str">
        <x:v>Post and allocate tenant receipt</x:v>
      </x:c>
      <x:c r="I20" s="35" t="str">
        <x:v>P027; U033; L033</x:v>
      </x:c>
      <x:c r="J20" s="35" t="str">
        <x:v>SCN-0106</x:v>
      </x:c>
      <x:c r="K20" s="35" t="str">
        <x:v>FIN-00072; FIN-00073</x:v>
      </x:c>
      <x:c r="L20" s="35" t="str">
        <x:v>Open Scan for paper payment or the tenant-account receipt form for electronic payment; verify tenant/lease match, amount, date, method, and reference; confirm once; open ledger detail and allocation.</x:v>
      </x:c>
      <x:c r="M20" s="35" t="str">
        <x:v>Receipt is append-only, allocated once to the correct rent charge, and visible consistently in Unit, Lease, Tenant Account, Accounting, and portal views.</x:v>
      </x:c>
      <x:c r="N20" s="35" t="str">
        <x:v>Scan review or form; success result; exact ledger rows; payment detail; accounting delta; portal receipt.</x:v>
      </x:c>
      <x:c r="O20" s="35" t="str">
        <x:v>Retry the idempotency key once during the quarter assigned in the coverage matrix; no duplicate cash or allocation.</x:v>
      </x:c>
      <x:c r="P20" s="35" t="str">
        <x:v>All expected records and amounts match; no unexplained error or stale state.</x:v>
      </x:c>
    </x:row>
    <x:row r="21">
      <x:c r="A21" s="20" t="str">
        <x:v>RUN-20270103-15</x:v>
      </x:c>
      <x:c r="B21" s="23" t="n">
        <x:v>46390</x:v>
      </x:c>
      <x:c r="C21" s="32" t="n">
        <x:v>15</x:v>
      </x:c>
      <x:c r="D21" s="20" t="str">
        <x:v>Monthly operations</x:v>
      </x:c>
      <x:c r="E21" s="20" t="str">
        <x:v>Property Manager</x:v>
      </x:c>
      <x:c r="F21" s="20" t="str">
        <x:v>Web</x:v>
      </x:c>
      <x:c r="G21" s="20" t="str">
        <x:v>Scanned check</x:v>
      </x:c>
      <x:c r="H21" s="35" t="str">
        <x:v>Post and allocate tenant receipt</x:v>
      </x:c>
      <x:c r="I21" s="35" t="str">
        <x:v>P028; U036; L036</x:v>
      </x:c>
      <x:c r="J21" s="35" t="str">
        <x:v>SCN-0107</x:v>
      </x:c>
      <x:c r="K21" s="35" t="str">
        <x:v>FIN-00080; FIN-00081</x:v>
      </x:c>
      <x:c r="L21" s="35" t="str">
        <x:v>Open Scan for paper payment or the tenant-account receipt form for electronic payment; verify tenant/lease match, amount, date, method, and reference; confirm once; open ledger detail and allocation.</x:v>
      </x:c>
      <x:c r="M21" s="35" t="str">
        <x:v>Receipt is append-only, allocated once to the correct rent charge, and visible consistently in Unit, Lease, Tenant Account, Accounting, and portal views.</x:v>
      </x:c>
      <x:c r="N21" s="35" t="str">
        <x:v>Scan review or form; success result; exact ledger rows; payment detail; accounting delta; portal receipt.</x:v>
      </x:c>
      <x:c r="O21" s="35" t="str">
        <x:v>Retry the idempotency key once during the quarter assigned in the coverage matrix; no duplicate cash or allocation.</x:v>
      </x:c>
      <x:c r="P21" s="35" t="str">
        <x:v>All expected records and amounts match; no unexplained error or stale state.</x:v>
      </x:c>
    </x:row>
    <x:row r="22">
      <x:c r="A22" s="20" t="str">
        <x:v>RUN-20270104-01</x:v>
      </x:c>
      <x:c r="B22" s="23" t="n">
        <x:v>46391</x:v>
      </x:c>
      <x:c r="C22" s="32" t="n">
        <x:v>1</x:v>
      </x:c>
      <x:c r="D22" s="20" t="str">
        <x:v>Opening setup</x:v>
      </x:c>
      <x:c r="E22" s="20" t="str">
        <x:v>Workspace Administrator</x:v>
      </x:c>
      <x:c r="F22" s="20" t="str">
        <x:v>Web</x:v>
      </x:c>
      <x:c r="G22" s="20" t="str">
        <x:v>Scan-first</x:v>
      </x:c>
      <x:c r="H22" s="35" t="str">
        <x:v>Opening lease intake batch 3</x:v>
      </x:c>
      <x:c r="I22" s="35" t="str">
        <x:v>L025-L036</x:v>
      </x:c>
      <x:c r="J22" s="35" t="str">
        <x:v>SCN-0025; SCN-0026; SCN-0027; SCN-0028; SCN-0029; SCN-0030; SCN-0031; SCN-0032; SCN-0033; SCN-0034; SCN-0035; SCN-0036</x:v>
      </x:c>
      <x:c r="K22" s="35" t="str"/>
      <x:c r="L22" s="35" t="str">
        <x:v>Set the simulation clock; upload each lease; wait for extraction; review every required field; correct only deliberately degraded fields; confirm sequentially; follow created Property, Unit, Tenant, Lease, Agreement, and Tenant Account links.</x:v>
      </x:c>
      <x:c r="M22" s="35" t="str">
        <x:v>Exactly 12 distinct LeaseManagement relationships are created. Shared property/unit identities dedupe correctly. No record is created before confirmation.</x:v>
      </x:c>
      <x:c r="N22" s="35" t="str">
        <x:v>Batch counts; each draft status; field-confidence evidence; created links; DB-side list counts; audit/outbox evidence.</x:v>
      </x:c>
      <x:c r="O22" s="35" t="str">
        <x:v>Re-upload one file, reject one intentionally, then retry it; prove no duplicate lease or half-created aggregate.</x:v>
      </x:c>
      <x:c r="P22" s="35" t="str">
        <x:v>All expected records and amounts match; no unexplained error or stale state.</x:v>
      </x:c>
    </x:row>
    <x:row r="23">
      <x:c r="A23" s="20" t="str">
        <x:v>RUN-20270104-02</x:v>
      </x:c>
      <x:c r="B23" s="23" t="n">
        <x:v>46391</x:v>
      </x:c>
      <x:c r="C23" s="32" t="n">
        <x:v>2</x:v>
      </x:c>
      <x:c r="D23" s="20" t="str">
        <x:v>Monthly operations</x:v>
      </x:c>
      <x:c r="E23" s="20" t="str">
        <x:v>Property Manager</x:v>
      </x:c>
      <x:c r="F23" s="20" t="str">
        <x:v>Mobile</x:v>
      </x:c>
      <x:c r="G23" s="20" t="str">
        <x:v>Scanned money order</x:v>
      </x:c>
      <x:c r="H23" s="35" t="str">
        <x:v>Post and allocate tenant receipt</x:v>
      </x:c>
      <x:c r="I23" s="35" t="str">
        <x:v>P001; U001; L001</x:v>
      </x:c>
      <x:c r="J23" s="35" t="str">
        <x:v>SCN-0087</x:v>
      </x:c>
      <x:c r="K23" s="35" t="str">
        <x:v>FIN-00002; FIN-00003</x:v>
      </x:c>
      <x:c r="L23" s="35" t="str">
        <x:v>Open Scan for paper payment or the tenant-account receipt form for electronic payment; verify tenant/lease match, amount, date, method, and reference; confirm once; open ledger detail and allocation.</x:v>
      </x:c>
      <x:c r="M23" s="35" t="str">
        <x:v>Receipt is append-only, allocated once to the correct rent charge, and visible consistently in Unit, Lease, Tenant Account, Accounting, and portal views.</x:v>
      </x:c>
      <x:c r="N23" s="35" t="str">
        <x:v>Scan review or form; success result; exact ledger rows; payment detail; accounting delta; portal receipt.</x:v>
      </x:c>
      <x:c r="O23" s="35" t="str">
        <x:v>Retry the idempotency key once during the quarter assigned in the coverage matrix; no duplicate cash or allocation.</x:v>
      </x:c>
      <x:c r="P23" s="35" t="str">
        <x:v>All expected records and amounts match; no unexplained error or stale state.</x:v>
      </x:c>
    </x:row>
    <x:row r="24">
      <x:c r="A24" s="20" t="str">
        <x:v>RUN-20270104-03</x:v>
      </x:c>
      <x:c r="B24" s="23" t="n">
        <x:v>46391</x:v>
      </x:c>
      <x:c r="C24" s="32" t="n">
        <x:v>3</x:v>
      </x:c>
      <x:c r="D24" s="20" t="str">
        <x:v>Monthly operations</x:v>
      </x:c>
      <x:c r="E24" s="20" t="str">
        <x:v>Property Manager</x:v>
      </x:c>
      <x:c r="F24" s="20" t="str">
        <x:v>Web</x:v>
      </x:c>
      <x:c r="G24" s="20" t="str">
        <x:v>Scanned check</x:v>
      </x:c>
      <x:c r="H24" s="35" t="str">
        <x:v>Post and allocate tenant receipt</x:v>
      </x:c>
      <x:c r="I24" s="35" t="str">
        <x:v>P004; U004; L004</x:v>
      </x:c>
      <x:c r="J24" s="35" t="str">
        <x:v>SCN-0088</x:v>
      </x:c>
      <x:c r="K24" s="35" t="str">
        <x:v>FIN-00008; FIN-00009</x:v>
      </x:c>
      <x:c r="L24" s="35" t="str">
        <x:v>Open Scan for paper payment or the tenant-account receipt form for electronic payment; verify tenant/lease match, amount, date, method, and reference; confirm once; open ledger detail and allocation.</x:v>
      </x:c>
      <x:c r="M24" s="35" t="str">
        <x:v>Receipt is append-only, allocated once to the correct rent charge, and visible consistently in Unit, Lease, Tenant Account, Accounting, and portal views.</x:v>
      </x:c>
      <x:c r="N24" s="35" t="str">
        <x:v>Scan review or form; success result; exact ledger rows; payment detail; accounting delta; portal receipt.</x:v>
      </x:c>
      <x:c r="O24" s="35" t="str">
        <x:v>Retry the idempotency key once during the quarter assigned in the coverage matrix; no duplicate cash or allocation.</x:v>
      </x:c>
      <x:c r="P24" s="35" t="str">
        <x:v>All expected records and amounts match; no unexplained error or stale state.</x:v>
      </x:c>
    </x:row>
    <x:row r="25">
      <x:c r="A25" s="20" t="str">
        <x:v>RUN-20270104-04</x:v>
      </x:c>
      <x:c r="B25" s="23" t="n">
        <x:v>46391</x:v>
      </x:c>
      <x:c r="C25" s="32" t="n">
        <x:v>4</x:v>
      </x:c>
      <x:c r="D25" s="20" t="str">
        <x:v>Monthly operations</x:v>
      </x:c>
      <x:c r="E25" s="20" t="str">
        <x:v>Property Manager</x:v>
      </x:c>
      <x:c r="F25" s="20" t="str">
        <x:v>Mobile</x:v>
      </x:c>
      <x:c r="G25" s="20" t="str">
        <x:v>Portal card</x:v>
      </x:c>
      <x:c r="H25" s="35" t="str">
        <x:v>Post and allocate tenant receipt</x:v>
      </x:c>
      <x:c r="I25" s="35" t="str">
        <x:v>P007; U007; L007</x:v>
      </x:c>
      <x:c r="J25" s="35" t="str"/>
      <x:c r="K25" s="35" t="str">
        <x:v>FIN-00014; FIN-00015</x:v>
      </x:c>
      <x:c r="L25" s="35" t="str">
        <x:v>Open Scan for paper payment or the tenant-account receipt form for electronic payment; verify tenant/lease match, amount, date, method, and reference; confirm once; open ledger detail and allocation.</x:v>
      </x:c>
      <x:c r="M25" s="35" t="str">
        <x:v>Receipt is append-only, allocated once to the correct rent charge, and visible consistently in Unit, Lease, Tenant Account, Accounting, and portal views.</x:v>
      </x:c>
      <x:c r="N25" s="35" t="str">
        <x:v>Scan review or form; success result; exact ledger rows; payment detail; accounting delta; portal receipt.</x:v>
      </x:c>
      <x:c r="O25" s="35" t="str">
        <x:v>Retry the idempotency key once during the quarter assigned in the coverage matrix; no duplicate cash or allocation.</x:v>
      </x:c>
      <x:c r="P25" s="35" t="str">
        <x:v>All expected records and amounts match; no unexplained error or stale state.</x:v>
      </x:c>
    </x:row>
    <x:row r="26">
      <x:c r="A26" s="20" t="str">
        <x:v>RUN-20270104-05</x:v>
      </x:c>
      <x:c r="B26" s="23" t="n">
        <x:v>46391</x:v>
      </x:c>
      <x:c r="C26" s="32" t="n">
        <x:v>5</x:v>
      </x:c>
      <x:c r="D26" s="20" t="str">
        <x:v>Monthly operations</x:v>
      </x:c>
      <x:c r="E26" s="20" t="str">
        <x:v>Property Manager</x:v>
      </x:c>
      <x:c r="F26" s="20" t="str">
        <x:v>Web</x:v>
      </x:c>
      <x:c r="G26" s="20" t="str">
        <x:v>Manual ACH</x:v>
      </x:c>
      <x:c r="H26" s="35" t="str">
        <x:v>Post and allocate tenant receipt</x:v>
      </x:c>
      <x:c r="I26" s="35" t="str">
        <x:v>P010; U010; L010</x:v>
      </x:c>
      <x:c r="J26" s="35" t="str"/>
      <x:c r="K26" s="35" t="str">
        <x:v>FIN-00020; FIN-00021</x:v>
      </x:c>
      <x:c r="L26" s="35" t="str">
        <x:v>Open Scan for paper payment or the tenant-account receipt form for electronic payment; verify tenant/lease match, amount, date, method, and reference; confirm once; open ledger detail and allocation.</x:v>
      </x:c>
      <x:c r="M26" s="35" t="str">
        <x:v>Receipt is append-only, allocated once to the correct rent charge, and visible consistently in Unit, Lease, Tenant Account, Accounting, and portal views.</x:v>
      </x:c>
      <x:c r="N26" s="35" t="str">
        <x:v>Scan review or form; success result; exact ledger rows; payment detail; accounting delta; portal receipt.</x:v>
      </x:c>
      <x:c r="O26" s="35" t="str">
        <x:v>Retry the idempotency key once during the quarter assigned in the coverage matrix; no duplicate cash or allocation.</x:v>
      </x:c>
      <x:c r="P26" s="35" t="str">
        <x:v>All expected records and amounts match; no unexplained error or stale state.</x:v>
      </x:c>
    </x:row>
    <x:row r="27">
      <x:c r="A27" s="20" t="str">
        <x:v>RUN-20270104-06</x:v>
      </x:c>
      <x:c r="B27" s="23" t="n">
        <x:v>46391</x:v>
      </x:c>
      <x:c r="C27" s="32" t="n">
        <x:v>6</x:v>
      </x:c>
      <x:c r="D27" s="20" t="str">
        <x:v>Monthly operations</x:v>
      </x:c>
      <x:c r="E27" s="20" t="str">
        <x:v>Property Manager</x:v>
      </x:c>
      <x:c r="F27" s="20" t="str">
        <x:v>Web</x:v>
      </x:c>
      <x:c r="G27" s="20" t="str">
        <x:v>Scanned check</x:v>
      </x:c>
      <x:c r="H27" s="35" t="str">
        <x:v>Post and allocate tenant receipt</x:v>
      </x:c>
      <x:c r="I27" s="35" t="str">
        <x:v>P016; U016; L016</x:v>
      </x:c>
      <x:c r="J27" s="35" t="str">
        <x:v>SCN-0095</x:v>
      </x:c>
      <x:c r="K27" s="35" t="str">
        <x:v>FIN-00035; FIN-00036</x:v>
      </x:c>
      <x:c r="L27" s="35" t="str">
        <x:v>Open Scan for paper payment or the tenant-account receipt form for electronic payment; verify tenant/lease match, amount, date, method, and reference; confirm once; open ledger detail and allocation.</x:v>
      </x:c>
      <x:c r="M27" s="35" t="str">
        <x:v>Receipt is append-only, allocated once to the correct rent charge, and visible consistently in Unit, Lease, Tenant Account, Accounting, and portal views.</x:v>
      </x:c>
      <x:c r="N27" s="35" t="str">
        <x:v>Scan review or form; success result; exact ledger rows; payment detail; accounting delta; portal receipt.</x:v>
      </x:c>
      <x:c r="O27" s="35" t="str">
        <x:v>Retry the idempotency key once during the quarter assigned in the coverage matrix; no duplicate cash or allocation.</x:v>
      </x:c>
      <x:c r="P27" s="35" t="str">
        <x:v>All expected records and amounts match; no unexplained error or stale state.</x:v>
      </x:c>
    </x:row>
    <x:row r="28">
      <x:c r="A28" s="20" t="str">
        <x:v>RUN-20270104-07</x:v>
      </x:c>
      <x:c r="B28" s="23" t="n">
        <x:v>46391</x:v>
      </x:c>
      <x:c r="C28" s="32" t="n">
        <x:v>7</x:v>
      </x:c>
      <x:c r="D28" s="20" t="str">
        <x:v>Monthly operations</x:v>
      </x:c>
      <x:c r="E28" s="20" t="str">
        <x:v>Property Manager</x:v>
      </x:c>
      <x:c r="F28" s="20" t="str">
        <x:v>Mobile</x:v>
      </x:c>
      <x:c r="G28" s="20" t="str">
        <x:v>Portal card</x:v>
      </x:c>
      <x:c r="H28" s="35" t="str">
        <x:v>Post and allocate tenant receipt</x:v>
      </x:c>
      <x:c r="I28" s="35" t="str">
        <x:v>P019; U019; L019</x:v>
      </x:c>
      <x:c r="J28" s="35" t="str"/>
      <x:c r="K28" s="35" t="str">
        <x:v>FIN-00041; FIN-00042</x:v>
      </x:c>
      <x:c r="L28" s="35" t="str">
        <x:v>Open Scan for paper payment or the tenant-account receipt form for electronic payment; verify tenant/lease match, amount, date, method, and reference; confirm once; open ledger detail and allocation.</x:v>
      </x:c>
      <x:c r="M28" s="35" t="str">
        <x:v>Receipt is append-only, allocated once to the correct rent charge, and visible consistently in Unit, Lease, Tenant Account, Accounting, and portal views.</x:v>
      </x:c>
      <x:c r="N28" s="35" t="str">
        <x:v>Scan review or form; success result; exact ledger rows; payment detail; accounting delta; portal receipt.</x:v>
      </x:c>
      <x:c r="O28" s="35" t="str">
        <x:v>Retry the idempotency key once during the quarter assigned in the coverage matrix; no duplicate cash or allocation.</x:v>
      </x:c>
      <x:c r="P28" s="35" t="str">
        <x:v>All expected records and amounts match; no unexplained error or stale state.</x:v>
      </x:c>
    </x:row>
    <x:row r="29">
      <x:c r="A29" s="20" t="str">
        <x:v>RUN-20270104-08</x:v>
      </x:c>
      <x:c r="B29" s="23" t="n">
        <x:v>46391</x:v>
      </x:c>
      <x:c r="C29" s="32" t="n">
        <x:v>8</x:v>
      </x:c>
      <x:c r="D29" s="20" t="str">
        <x:v>Monthly operations</x:v>
      </x:c>
      <x:c r="E29" s="20" t="str">
        <x:v>Property Manager</x:v>
      </x:c>
      <x:c r="F29" s="20" t="str">
        <x:v>Mobile</x:v>
      </x:c>
      <x:c r="G29" s="20" t="str">
        <x:v>Scanned money order</x:v>
      </x:c>
      <x:c r="H29" s="35" t="str">
        <x:v>Post and allocate tenant receipt</x:v>
      </x:c>
      <x:c r="I29" s="35" t="str">
        <x:v>P023; U025; L025</x:v>
      </x:c>
      <x:c r="J29" s="35" t="str">
        <x:v>SCN-0101</x:v>
      </x:c>
      <x:c r="K29" s="35" t="str">
        <x:v>FIN-00055; FIN-00056</x:v>
      </x:c>
      <x:c r="L29" s="35" t="str">
        <x:v>Open Scan for paper payment or the tenant-account receipt form for electronic payment; verify tenant/lease match, amount, date, method, and reference; confirm once; open ledger detail and allocation.</x:v>
      </x:c>
      <x:c r="M29" s="35" t="str">
        <x:v>Receipt is append-only, allocated once to the correct rent charge, and visible consistently in Unit, Lease, Tenant Account, Accounting, and portal views.</x:v>
      </x:c>
      <x:c r="N29" s="35" t="str">
        <x:v>Scan review or form; success result; exact ledger rows; payment detail; accounting delta; portal receipt.</x:v>
      </x:c>
      <x:c r="O29" s="35" t="str">
        <x:v>Retry the idempotency key once during the quarter assigned in the coverage matrix; no duplicate cash or allocation.</x:v>
      </x:c>
      <x:c r="P29" s="35" t="str">
        <x:v>All expected records and amounts match; no unexplained error or stale state.</x:v>
      </x:c>
    </x:row>
    <x:row r="30">
      <x:c r="A30" s="20" t="str">
        <x:v>RUN-20270104-09</x:v>
      </x:c>
      <x:c r="B30" s="23" t="n">
        <x:v>46391</x:v>
      </x:c>
      <x:c r="C30" s="32" t="n">
        <x:v>9</x:v>
      </x:c>
      <x:c r="D30" s="20" t="str">
        <x:v>Monthly operations</x:v>
      </x:c>
      <x:c r="E30" s="20" t="str">
        <x:v>Property Manager</x:v>
      </x:c>
      <x:c r="F30" s="20" t="str">
        <x:v>Web</x:v>
      </x:c>
      <x:c r="G30" s="20" t="str">
        <x:v>Scanned check</x:v>
      </x:c>
      <x:c r="H30" s="35" t="str">
        <x:v>Post and allocate tenant receipt</x:v>
      </x:c>
      <x:c r="I30" s="35" t="str">
        <x:v>P024; U028; L028</x:v>
      </x:c>
      <x:c r="J30" s="35" t="str">
        <x:v>SCN-0103</x:v>
      </x:c>
      <x:c r="K30" s="35" t="str">
        <x:v>FIN-00062; FIN-00063</x:v>
      </x:c>
      <x:c r="L30" s="35" t="str">
        <x:v>Open Scan for paper payment or the tenant-account receipt form for electronic payment; verify tenant/lease match, amount, date, method, and reference; confirm once; open ledger detail and allocation.</x:v>
      </x:c>
      <x:c r="M30" s="35" t="str">
        <x:v>Receipt is append-only, allocated once to the correct rent charge, and visible consistently in Unit, Lease, Tenant Account, Accounting, and portal views.</x:v>
      </x:c>
      <x:c r="N30" s="35" t="str">
        <x:v>Scan review or form; success result; exact ledger rows; payment detail; accounting delta; portal receipt.</x:v>
      </x:c>
      <x:c r="O30" s="35" t="str">
        <x:v>Retry the idempotency key once during the quarter assigned in the coverage matrix; no duplicate cash or allocation.</x:v>
      </x:c>
      <x:c r="P30" s="35" t="str">
        <x:v>All expected records and amounts match; no unexplained error or stale state.</x:v>
      </x:c>
    </x:row>
    <x:row r="31">
      <x:c r="A31" s="20" t="str">
        <x:v>RUN-20270104-10</x:v>
      </x:c>
      <x:c r="B31" s="23" t="n">
        <x:v>46391</x:v>
      </x:c>
      <x:c r="C31" s="32" t="n">
        <x:v>10</x:v>
      </x:c>
      <x:c r="D31" s="20" t="str">
        <x:v>Monthly operations</x:v>
      </x:c>
      <x:c r="E31" s="20" t="str">
        <x:v>Property Manager</x:v>
      </x:c>
      <x:c r="F31" s="20" t="str">
        <x:v>Mobile</x:v>
      </x:c>
      <x:c r="G31" s="20" t="str">
        <x:v>Portal card</x:v>
      </x:c>
      <x:c r="H31" s="35" t="str">
        <x:v>Post and allocate tenant receipt</x:v>
      </x:c>
      <x:c r="I31" s="35" t="str">
        <x:v>P026; U031; L031</x:v>
      </x:c>
      <x:c r="J31" s="35" t="str"/>
      <x:c r="K31" s="35" t="str">
        <x:v>FIN-00068; FIN-00069</x:v>
      </x:c>
      <x:c r="L31" s="35" t="str">
        <x:v>Open Scan for paper payment or the tenant-account receipt form for electronic payment; verify tenant/lease match, amount, date, method, and reference; confirm once; open ledger detail and allocation.</x:v>
      </x:c>
      <x:c r="M31" s="35" t="str">
        <x:v>Receipt is append-only, allocated once to the correct rent charge, and visible consistently in Unit, Lease, Tenant Account, Accounting, and portal views.</x:v>
      </x:c>
      <x:c r="N31" s="35" t="str">
        <x:v>Scan review or form; success result; exact ledger rows; payment detail; accounting delta; portal receipt.</x:v>
      </x:c>
      <x:c r="O31" s="35" t="str">
        <x:v>Retry the idempotency key once during the quarter assigned in the coverage matrix; no duplicate cash or allocation.</x:v>
      </x:c>
      <x:c r="P31" s="35" t="str">
        <x:v>All expected records and amounts match; no unexplained error or stale state.</x:v>
      </x:c>
    </x:row>
    <x:row r="32">
      <x:c r="A32" s="20" t="str">
        <x:v>RUN-20270104-11</x:v>
      </x:c>
      <x:c r="B32" s="23" t="n">
        <x:v>46391</x:v>
      </x:c>
      <x:c r="C32" s="32" t="n">
        <x:v>11</x:v>
      </x:c>
      <x:c r="D32" s="20" t="str">
        <x:v>Monthly operations</x:v>
      </x:c>
      <x:c r="E32" s="20" t="str">
        <x:v>Property Manager</x:v>
      </x:c>
      <x:c r="F32" s="20" t="str">
        <x:v>Web</x:v>
      </x:c>
      <x:c r="G32" s="20" t="str">
        <x:v>Manual ACH</x:v>
      </x:c>
      <x:c r="H32" s="35" t="str">
        <x:v>Post and allocate tenant receipt</x:v>
      </x:c>
      <x:c r="I32" s="35" t="str">
        <x:v>P027; U034; L034</x:v>
      </x:c>
      <x:c r="J32" s="35" t="str"/>
      <x:c r="K32" s="35" t="str">
        <x:v>FIN-00076; FIN-00077</x:v>
      </x:c>
      <x:c r="L32" s="35" t="str">
        <x:v>Open Scan for paper payment or the tenant-account receipt form for electronic payment; verify tenant/lease match, amount, date, method, and reference; confirm once; open ledger detail and allocation.</x:v>
      </x:c>
      <x:c r="M32" s="35" t="str">
        <x:v>Receipt is append-only, allocated once to the correct rent charge, and visible consistently in Unit, Lease, Tenant Account, Accounting, and portal views.</x:v>
      </x:c>
      <x:c r="N32" s="35" t="str">
        <x:v>Scan review or form; success result; exact ledger rows; payment detail; accounting delta; portal receipt.</x:v>
      </x:c>
      <x:c r="O32" s="35" t="str">
        <x:v>Retry the idempotency key once during the quarter assigned in the coverage matrix; no duplicate cash or allocation.</x:v>
      </x:c>
      <x:c r="P32" s="35" t="str">
        <x:v>All expected records and amounts match; no unexplained error or stale state.</x:v>
      </x:c>
    </x:row>
    <x:row r="33">
      <x:c r="A33" s="20" t="str">
        <x:v>RUN-20270104-12</x:v>
      </x:c>
      <x:c r="B33" s="23" t="n">
        <x:v>46391</x:v>
      </x:c>
      <x:c r="C33" s="32" t="n">
        <x:v>12</x:v>
      </x:c>
      <x:c r="D33" s="20" t="str">
        <x:v>Weekly operations</x:v>
      </x:c>
      <x:c r="E33" s="20" t="str">
        <x:v>Property Manager</x:v>
      </x:c>
      <x:c r="F33" s="20" t="str">
        <x:v>Mobile</x:v>
      </x:c>
      <x:c r="G33" s="20" t="str">
        <x:v>Scan-first</x:v>
      </x:c>
      <x:c r="H33" s="35" t="str">
        <x:v>Create and triage maintenance request</x:v>
      </x:c>
      <x:c r="I33" s="35" t="str">
        <x:v>P008; U008; WO-2027-001</x:v>
      </x:c>
      <x:c r="J33" s="35" t="str">
        <x:v>SCN-0347</x:v>
      </x:c>
      <x:c r="K33" s="35" t="str"/>
      <x:c r="L33" s="35" t="str">
        <x:v>Capture the tenant note/photo; review HVAC filter and no-cool call; confirm; set responsibility; dispatch ComfortZone HVAC; create an appointment and verify the tenant notification.</x:v>
      </x:c>
      <x:c r="M33" s="35" t="str">
        <x:v>Work order, status timeline, responsibility, vendor dispatch, appointment, notification, and Unit context are linked once.</x:v>
      </x:c>
      <x:c r="N33" s="35" t="str">
        <x:v>Scan review; work order detail/timeline; dispatch; appointment; notification; tenant portal view.</x:v>
      </x:c>
      <x:c r="O33" s="35" t="str">
        <x:v>Cancel one dispatch each quarter, reassign once, and prove status/history remains append-only.</x:v>
      </x:c>
      <x:c r="P33" s="35" t="str">
        <x:v>All expected records and amounts match; no unexplained error or stale state.</x:v>
      </x:c>
    </x:row>
    <x:row r="34">
      <x:c r="A34" s="20" t="str">
        <x:v>RUN-20270105-01</x:v>
      </x:c>
      <x:c r="B34" s="23" t="n">
        <x:v>46392</x:v>
      </x:c>
      <x:c r="C34" s="32" t="n">
        <x:v>1</x:v>
      </x:c>
      <x:c r="D34" s="20" t="str">
        <x:v>Opening setup</x:v>
      </x:c>
      <x:c r="E34" s="20" t="str">
        <x:v>Property Manager</x:v>
      </x:c>
      <x:c r="F34" s="20" t="str">
        <x:v>Web</x:v>
      </x:c>
      <x:c r="G34" s="20" t="str">
        <x:v>Manual</x:v>
      </x:c>
      <x:c r="H34" s="35" t="str">
        <x:v>Create the initially vacant unit and verify property structure</x:v>
      </x:c>
      <x:c r="I34" s="35" t="str">
        <x:v>P029; U037</x:v>
      </x:c>
      <x:c r="J34" s="35" t="str"/>
      <x:c r="K34" s="35" t="str"/>
      <x:c r="L34" s="35" t="str">
        <x:v>Create the missing duplex Property/Unit records with address, structure, unit label, beds, baths, square feet, market rent, and Vacant state. Immediately edit one field from the other client.</x:v>
      </x:c>
      <x:c r="M34" s="35" t="str">
        <x:v>P029/P030 exist as MultiRental properties with two separately rentable vacant units and no fake current lease.</x:v>
      </x:c>
      <x:c r="N34" s="35" t="str">
        <x:v>List + detail screenshots on both clients; server-paged list result; audit row.</x:v>
      </x:c>
      <x:c r="O34" s="35" t="str">
        <x:v>Attempt a duplicate unit label and verify the whole command rolls back.</x:v>
      </x:c>
      <x:c r="P34" s="35" t="str">
        <x:v>All expected records and amounts match; no unexplained error or stale state.</x:v>
      </x:c>
    </x:row>
    <x:row r="35">
      <x:c r="A35" s="20" t="str">
        <x:v>RUN-20270105-02</x:v>
      </x:c>
      <x:c r="B35" s="23" t="n">
        <x:v>46392</x:v>
      </x:c>
      <x:c r="C35" s="32" t="n">
        <x:v>2</x:v>
      </x:c>
      <x:c r="D35" s="20" t="str">
        <x:v>Monthly operations</x:v>
      </x:c>
      <x:c r="E35" s="20" t="str">
        <x:v>Property Manager</x:v>
      </x:c>
      <x:c r="F35" s="20" t="str">
        <x:v>Web</x:v>
      </x:c>
      <x:c r="G35" s="20" t="str">
        <x:v>Manual ACH</x:v>
      </x:c>
      <x:c r="H35" s="35" t="str">
        <x:v>Post and allocate tenant receipt</x:v>
      </x:c>
      <x:c r="I35" s="35" t="str">
        <x:v>P002; U002; L002</x:v>
      </x:c>
      <x:c r="J35" s="35" t="str"/>
      <x:c r="K35" s="35" t="str">
        <x:v>FIN-00004; FIN-00005</x:v>
      </x:c>
      <x:c r="L35" s="35" t="str">
        <x:v>Open Scan for paper payment or the tenant-account receipt form for electronic payment; verify tenant/lease match, amount, date, method, and reference; confirm once; open ledger detail and allocation.</x:v>
      </x:c>
      <x:c r="M35" s="35" t="str">
        <x:v>Receipt is append-only, allocated once to the correct rent charge, and visible consistently in Unit, Lease, Tenant Account, Accounting, and portal views.</x:v>
      </x:c>
      <x:c r="N35" s="35" t="str">
        <x:v>Scan review or form; success result; exact ledger rows; payment detail; accounting delta; portal receipt.</x:v>
      </x:c>
      <x:c r="O35" s="35" t="str">
        <x:v>Retry the idempotency key once during the quarter assigned in the coverage matrix; no duplicate cash or allocation.</x:v>
      </x:c>
      <x:c r="P35" s="35" t="str">
        <x:v>All expected records and amounts match; no unexplained error or stale state.</x:v>
      </x:c>
    </x:row>
    <x:row r="36">
      <x:c r="A36" s="20" t="str">
        <x:v>RUN-20270105-03</x:v>
      </x:c>
      <x:c r="B36" s="23" t="n">
        <x:v>46392</x:v>
      </x:c>
      <x:c r="C36" s="32" t="n">
        <x:v>3</x:v>
      </x:c>
      <x:c r="D36" s="20" t="str">
        <x:v>Monthly operations</x:v>
      </x:c>
      <x:c r="E36" s="20" t="str">
        <x:v>Property Manager</x:v>
      </x:c>
      <x:c r="F36" s="20" t="str">
        <x:v>Mobile</x:v>
      </x:c>
      <x:c r="G36" s="20" t="str">
        <x:v>Scanned money order</x:v>
      </x:c>
      <x:c r="H36" s="35" t="str">
        <x:v>Post and allocate tenant receipt</x:v>
      </x:c>
      <x:c r="I36" s="35" t="str">
        <x:v>P005; U005; L005</x:v>
      </x:c>
      <x:c r="J36" s="35" t="str">
        <x:v>SCN-0089</x:v>
      </x:c>
      <x:c r="K36" s="35" t="str">
        <x:v>FIN-00010; FIN-00011</x:v>
      </x:c>
      <x:c r="L36" s="35" t="str">
        <x:v>Open Scan for paper payment or the tenant-account receipt form for electronic payment; verify tenant/lease match, amount, date, method, and reference; confirm once; open ledger detail and allocation.</x:v>
      </x:c>
      <x:c r="M36" s="35" t="str">
        <x:v>Receipt is append-only, allocated once to the correct rent charge, and visible consistently in Unit, Lease, Tenant Account, Accounting, and portal views.</x:v>
      </x:c>
      <x:c r="N36" s="35" t="str">
        <x:v>Scan review or form; success result; exact ledger rows; payment detail; accounting delta; portal receipt.</x:v>
      </x:c>
      <x:c r="O36" s="35" t="str">
        <x:v>Retry the idempotency key once during the quarter assigned in the coverage matrix; no duplicate cash or allocation.</x:v>
      </x:c>
      <x:c r="P36" s="35" t="str">
        <x:v>All expected records and amounts match; no unexplained error or stale state.</x:v>
      </x:c>
    </x:row>
    <x:row r="37">
      <x:c r="A37" s="20" t="str">
        <x:v>RUN-20270105-04</x:v>
      </x:c>
      <x:c r="B37" s="23" t="n">
        <x:v>46392</x:v>
      </x:c>
      <x:c r="C37" s="32" t="n">
        <x:v>4</x:v>
      </x:c>
      <x:c r="D37" s="20" t="str">
        <x:v>Monthly operations</x:v>
      </x:c>
      <x:c r="E37" s="20" t="str">
        <x:v>Property Manager</x:v>
      </x:c>
      <x:c r="F37" s="20" t="str">
        <x:v>Web</x:v>
      </x:c>
      <x:c r="G37" s="20" t="str">
        <x:v>Scanned check</x:v>
      </x:c>
      <x:c r="H37" s="35" t="str">
        <x:v>Post and allocate tenant receipt</x:v>
      </x:c>
      <x:c r="I37" s="35" t="str">
        <x:v>P008; U008; L008</x:v>
      </x:c>
      <x:c r="J37" s="35" t="str">
        <x:v>SCN-0090</x:v>
      </x:c>
      <x:c r="K37" s="35" t="str">
        <x:v>FIN-00016; FIN-00017</x:v>
      </x:c>
      <x:c r="L37" s="35" t="str">
        <x:v>Open Scan for paper payment or the tenant-account receipt form for electronic payment; verify tenant/lease match, amount, date, method, and reference; confirm once; open ledger detail and allocation.</x:v>
      </x:c>
      <x:c r="M37" s="35" t="str">
        <x:v>Receipt is append-only, allocated once to the correct rent charge, and visible consistently in Unit, Lease, Tenant Account, Accounting, and portal views.</x:v>
      </x:c>
      <x:c r="N37" s="35" t="str">
        <x:v>Scan review or form; success result; exact ledger rows; payment detail; accounting delta; portal receipt.</x:v>
      </x:c>
      <x:c r="O37" s="35" t="str">
        <x:v>Retry the idempotency key once during the quarter assigned in the coverage matrix; no duplicate cash or allocation.</x:v>
      </x:c>
      <x:c r="P37" s="35" t="str">
        <x:v>All expected records and amounts match; no unexplained error or stale state.</x:v>
      </x:c>
    </x:row>
    <x:row r="38">
      <x:c r="A38" s="20" t="str">
        <x:v>RUN-20270105-05</x:v>
      </x:c>
      <x:c r="B38" s="23" t="n">
        <x:v>46392</x:v>
      </x:c>
      <x:c r="C38" s="32" t="n">
        <x:v>5</x:v>
      </x:c>
      <x:c r="D38" s="20" t="str">
        <x:v>Monthly operations</x:v>
      </x:c>
      <x:c r="E38" s="20" t="str">
        <x:v>Property Manager</x:v>
      </x:c>
      <x:c r="F38" s="20" t="str">
        <x:v>Web</x:v>
      </x:c>
      <x:c r="G38" s="20" t="str">
        <x:v>Manual ACH</x:v>
      </x:c>
      <x:c r="H38" s="35" t="str">
        <x:v>Post and allocate tenant receipt</x:v>
      </x:c>
      <x:c r="I38" s="35" t="str">
        <x:v>P014; U014; L014</x:v>
      </x:c>
      <x:c r="J38" s="35" t="str"/>
      <x:c r="K38" s="35" t="str">
        <x:v>FIN-00031; FIN-00032</x:v>
      </x:c>
      <x:c r="L38" s="35" t="str">
        <x:v>Open Scan for paper payment or the tenant-account receipt form for electronic payment; verify tenant/lease match, amount, date, method, and reference; confirm once; open ledger detail and allocation.</x:v>
      </x:c>
      <x:c r="M38" s="35" t="str">
        <x:v>Receipt is append-only, allocated once to the correct rent charge, and visible consistently in Unit, Lease, Tenant Account, Accounting, and portal views.</x:v>
      </x:c>
      <x:c r="N38" s="35" t="str">
        <x:v>Scan review or form; success result; exact ledger rows; payment detail; accounting delta; portal receipt.</x:v>
      </x:c>
      <x:c r="O38" s="35" t="str">
        <x:v>Retry the idempotency key once during the quarter assigned in the coverage matrix; no duplicate cash or allocation.</x:v>
      </x:c>
      <x:c r="P38" s="35" t="str">
        <x:v>All expected records and amounts match; no unexplained error or stale state.</x:v>
      </x:c>
    </x:row>
    <x:row r="39">
      <x:c r="A39" s="20" t="str">
        <x:v>RUN-20270105-06</x:v>
      </x:c>
      <x:c r="B39" s="23" t="n">
        <x:v>46392</x:v>
      </x:c>
      <x:c r="C39" s="32" t="n">
        <x:v>6</x:v>
      </x:c>
      <x:c r="D39" s="20" t="str">
        <x:v>Monthly operations</x:v>
      </x:c>
      <x:c r="E39" s="20" t="str">
        <x:v>Property Manager</x:v>
      </x:c>
      <x:c r="F39" s="20" t="str">
        <x:v>Mobile</x:v>
      </x:c>
      <x:c r="G39" s="20" t="str">
        <x:v>Scanned money order</x:v>
      </x:c>
      <x:c r="H39" s="35" t="str">
        <x:v>Post and allocate tenant receipt</x:v>
      </x:c>
      <x:c r="I39" s="35" t="str">
        <x:v>P017; U017; L017</x:v>
      </x:c>
      <x:c r="J39" s="35" t="str">
        <x:v>SCN-0096</x:v>
      </x:c>
      <x:c r="K39" s="35" t="str">
        <x:v>FIN-00037; FIN-00038</x:v>
      </x:c>
      <x:c r="L39" s="35" t="str">
        <x:v>Open Scan for paper payment or the tenant-account receipt form for electronic payment; verify tenant/lease match, amount, date, method, and reference; confirm once; open ledger detail and allocation.</x:v>
      </x:c>
      <x:c r="M39" s="35" t="str">
        <x:v>Receipt is append-only, allocated once to the correct rent charge, and visible consistently in Unit, Lease, Tenant Account, Accounting, and portal views.</x:v>
      </x:c>
      <x:c r="N39" s="35" t="str">
        <x:v>Scan review or form; success result; exact ledger rows; payment detail; accounting delta; portal receipt.</x:v>
      </x:c>
      <x:c r="O39" s="35" t="str">
        <x:v>Retry the idempotency key once during the quarter assigned in the coverage matrix; no duplicate cash or allocation.</x:v>
      </x:c>
      <x:c r="P39" s="35" t="str">
        <x:v>All expected records and amounts match; no unexplained error or stale state.</x:v>
      </x:c>
    </x:row>
    <x:row r="40">
      <x:c r="A40" s="20" t="str">
        <x:v>RUN-20270105-07</x:v>
      </x:c>
      <x:c r="B40" s="23" t="n">
        <x:v>46392</x:v>
      </x:c>
      <x:c r="C40" s="32" t="n">
        <x:v>7</x:v>
      </x:c>
      <x:c r="D40" s="20" t="str">
        <x:v>Monthly operations</x:v>
      </x:c>
      <x:c r="E40" s="20" t="str">
        <x:v>Property Manager</x:v>
      </x:c>
      <x:c r="F40" s="20" t="str">
        <x:v>Web</x:v>
      </x:c>
      <x:c r="G40" s="20" t="str">
        <x:v>Scanned check</x:v>
      </x:c>
      <x:c r="H40" s="35" t="str">
        <x:v>Post and allocate tenant receipt</x:v>
      </x:c>
      <x:c r="I40" s="35" t="str">
        <x:v>P020; U020; L020</x:v>
      </x:c>
      <x:c r="J40" s="35" t="str">
        <x:v>SCN-0097</x:v>
      </x:c>
      <x:c r="K40" s="35" t="str">
        <x:v>FIN-00043; FIN-00044</x:v>
      </x:c>
      <x:c r="L40" s="35" t="str">
        <x:v>Open Scan for paper payment or the tenant-account receipt form for electronic payment; verify tenant/lease match, amount, date, method, and reference; confirm once; open ledger detail and allocation.</x:v>
      </x:c>
      <x:c r="M40" s="35" t="str">
        <x:v>Receipt is append-only, allocated once to the correct rent charge, and visible consistently in Unit, Lease, Tenant Account, Accounting, and portal views.</x:v>
      </x:c>
      <x:c r="N40" s="35" t="str">
        <x:v>Scan review or form; success result; exact ledger rows; payment detail; accounting delta; portal receipt.</x:v>
      </x:c>
      <x:c r="O40" s="35" t="str">
        <x:v>Retry the idempotency key once during the quarter assigned in the coverage matrix; no duplicate cash or allocation.</x:v>
      </x:c>
      <x:c r="P40" s="35" t="str">
        <x:v>All expected records and amounts match; no unexplained error or stale state.</x:v>
      </x:c>
    </x:row>
    <x:row r="41">
      <x:c r="A41" s="20" t="str">
        <x:v>RUN-20270105-08</x:v>
      </x:c>
      <x:c r="B41" s="23" t="n">
        <x:v>46392</x:v>
      </x:c>
      <x:c r="C41" s="32" t="n">
        <x:v>8</x:v>
      </x:c>
      <x:c r="D41" s="20" t="str">
        <x:v>Monthly operations</x:v>
      </x:c>
      <x:c r="E41" s="20" t="str">
        <x:v>Property Manager</x:v>
      </x:c>
      <x:c r="F41" s="20" t="str">
        <x:v>Mobile</x:v>
      </x:c>
      <x:c r="G41" s="20" t="str">
        <x:v>Portal card</x:v>
      </x:c>
      <x:c r="H41" s="35" t="str">
        <x:v>Post and allocate tenant receipt</x:v>
      </x:c>
      <x:c r="I41" s="35" t="str">
        <x:v>P022; U023; L023</x:v>
      </x:c>
      <x:c r="J41" s="35" t="str"/>
      <x:c r="K41" s="35" t="str">
        <x:v>FIN-00051; FIN-00052</x:v>
      </x:c>
      <x:c r="L41" s="35" t="str">
        <x:v>Open Scan for paper payment or the tenant-account receipt form for electronic payment; verify tenant/lease match, amount, date, method, and reference; confirm once; open ledger detail and allocation.</x:v>
      </x:c>
      <x:c r="M41" s="35" t="str">
        <x:v>Receipt is append-only, allocated once to the correct rent charge, and visible consistently in Unit, Lease, Tenant Account, Accounting, and portal views.</x:v>
      </x:c>
      <x:c r="N41" s="35" t="str">
        <x:v>Scan review or form; success result; exact ledger rows; payment detail; accounting delta; portal receipt.</x:v>
      </x:c>
      <x:c r="O41" s="35" t="str">
        <x:v>Retry the idempotency key once during the quarter assigned in the coverage matrix; no duplicate cash or allocation.</x:v>
      </x:c>
      <x:c r="P41" s="35" t="str">
        <x:v>All expected records and amounts match; no unexplained error or stale state.</x:v>
      </x:c>
    </x:row>
    <x:row r="42">
      <x:c r="A42" s="20" t="str">
        <x:v>RUN-20270105-09</x:v>
      </x:c>
      <x:c r="B42" s="23" t="n">
        <x:v>46392</x:v>
      </x:c>
      <x:c r="C42" s="32" t="n">
        <x:v>9</x:v>
      </x:c>
      <x:c r="D42" s="20" t="str">
        <x:v>Monthly operations</x:v>
      </x:c>
      <x:c r="E42" s="20" t="str">
        <x:v>Property Manager</x:v>
      </x:c>
      <x:c r="F42" s="20" t="str">
        <x:v>Mobile</x:v>
      </x:c>
      <x:c r="G42" s="20" t="str">
        <x:v>Scanned money order</x:v>
      </x:c>
      <x:c r="H42" s="35" t="str">
        <x:v>Post and allocate tenant receipt</x:v>
      </x:c>
      <x:c r="I42" s="35" t="str">
        <x:v>P025; U029; L029</x:v>
      </x:c>
      <x:c r="J42" s="35" t="str">
        <x:v>SCN-0104</x:v>
      </x:c>
      <x:c r="K42" s="35" t="str">
        <x:v>FIN-00064; FIN-00065</x:v>
      </x:c>
      <x:c r="L42" s="35" t="str">
        <x:v>Open Scan for paper payment or the tenant-account receipt form for electronic payment; verify tenant/lease match, amount, date, method, and reference; confirm once; open ledger detail and allocation.</x:v>
      </x:c>
      <x:c r="M42" s="35" t="str">
        <x:v>Receipt is append-only, allocated once to the correct rent charge, and visible consistently in Unit, Lease, Tenant Account, Accounting, and portal views.</x:v>
      </x:c>
      <x:c r="N42" s="35" t="str">
        <x:v>Scan review or form; success result; exact ledger rows; payment detail; accounting delta; portal receipt.</x:v>
      </x:c>
      <x:c r="O42" s="35" t="str">
        <x:v>Retry the idempotency key once during the quarter assigned in the coverage matrix; no duplicate cash or allocation.</x:v>
      </x:c>
      <x:c r="P42" s="35" t="str">
        <x:v>All expected records and amounts match; no unexplained error or stale state.</x:v>
      </x:c>
    </x:row>
    <x:row r="43">
      <x:c r="A43" s="20" t="str">
        <x:v>RUN-20270105-10</x:v>
      </x:c>
      <x:c r="B43" s="23" t="n">
        <x:v>46392</x:v>
      </x:c>
      <x:c r="C43" s="32" t="n">
        <x:v>10</x:v>
      </x:c>
      <x:c r="D43" s="20" t="str">
        <x:v>Monthly operations</x:v>
      </x:c>
      <x:c r="E43" s="20" t="str">
        <x:v>Property Manager</x:v>
      </x:c>
      <x:c r="F43" s="20" t="str">
        <x:v>Web</x:v>
      </x:c>
      <x:c r="G43" s="20" t="str">
        <x:v>Scanned check</x:v>
      </x:c>
      <x:c r="H43" s="35" t="str">
        <x:v>Post and allocate tenant receipt</x:v>
      </x:c>
      <x:c r="I43" s="35" t="str">
        <x:v>P026; U032; L032</x:v>
      </x:c>
      <x:c r="J43" s="35" t="str">
        <x:v>SCN-0105</x:v>
      </x:c>
      <x:c r="K43" s="35" t="str">
        <x:v>FIN-00070; FIN-00071</x:v>
      </x:c>
      <x:c r="L43" s="35" t="str">
        <x:v>Open Scan for paper payment or the tenant-account receipt form for electronic payment; verify tenant/lease match, amount, date, method, and reference; confirm once; open ledger detail and allocation.</x:v>
      </x:c>
      <x:c r="M43" s="35" t="str">
        <x:v>Receipt is append-only, allocated once to the correct rent charge, and visible consistently in Unit, Lease, Tenant Account, Accounting, and portal views.</x:v>
      </x:c>
      <x:c r="N43" s="35" t="str">
        <x:v>Scan review or form; success result; exact ledger rows; payment detail; accounting delta; portal receipt.</x:v>
      </x:c>
      <x:c r="O43" s="35" t="str">
        <x:v>Retry the idempotency key once during the quarter assigned in the coverage matrix; no duplicate cash or allocation.</x:v>
      </x:c>
      <x:c r="P43" s="35" t="str">
        <x:v>All expected records and amounts match; no unexplained error or stale state.</x:v>
      </x:c>
    </x:row>
    <x:row r="44">
      <x:c r="A44" s="20" t="str">
        <x:v>RUN-20270105-11</x:v>
      </x:c>
      <x:c r="B44" s="23" t="n">
        <x:v>46392</x:v>
      </x:c>
      <x:c r="C44" s="32" t="n">
        <x:v>11</x:v>
      </x:c>
      <x:c r="D44" s="20" t="str">
        <x:v>Monthly operations</x:v>
      </x:c>
      <x:c r="E44" s="20" t="str">
        <x:v>Property Manager</x:v>
      </x:c>
      <x:c r="F44" s="20" t="str">
        <x:v>Mobile</x:v>
      </x:c>
      <x:c r="G44" s="20" t="str">
        <x:v>Portal card</x:v>
      </x:c>
      <x:c r="H44" s="35" t="str">
        <x:v>Post and allocate tenant receipt</x:v>
      </x:c>
      <x:c r="I44" s="35" t="str">
        <x:v>P028; U035; L035</x:v>
      </x:c>
      <x:c r="J44" s="35" t="str"/>
      <x:c r="K44" s="35" t="str">
        <x:v>FIN-00078; FIN-00079</x:v>
      </x:c>
      <x:c r="L44" s="35" t="str">
        <x:v>Open Scan for paper payment or the tenant-account receipt form for electronic payment; verify tenant/lease match, amount, date, method, and reference; confirm once; open ledger detail and allocation.</x:v>
      </x:c>
      <x:c r="M44" s="35" t="str">
        <x:v>Receipt is append-only, allocated once to the correct rent charge, and visible consistently in Unit, Lease, Tenant Account, Accounting, and portal views.</x:v>
      </x:c>
      <x:c r="N44" s="35" t="str">
        <x:v>Scan review or form; success result; exact ledger rows; payment detail; accounting delta; portal receipt.</x:v>
      </x:c>
      <x:c r="O44" s="35" t="str">
        <x:v>Retry the idempotency key once during the quarter assigned in the coverage matrix; no duplicate cash or allocation.</x:v>
      </x:c>
      <x:c r="P44" s="35" t="str">
        <x:v>All expected records and amounts match; no unexplained error or stale state.</x:v>
      </x:c>
    </x:row>
    <x:row r="45">
      <x:c r="A45" s="20" t="str">
        <x:v>RUN-20270105-12</x:v>
      </x:c>
      <x:c r="B45" s="23" t="n">
        <x:v>46392</x:v>
      </x:c>
      <x:c r="C45" s="32" t="n">
        <x:v>12</x:v>
      </x:c>
      <x:c r="D45" s="20" t="str">
        <x:v>Weekly operations</x:v>
      </x:c>
      <x:c r="E45" s="20" t="str">
        <x:v>Property Manager</x:v>
      </x:c>
      <x:c r="F45" s="20" t="str">
        <x:v>Mobile</x:v>
      </x:c>
      <x:c r="G45" s="20" t="str">
        <x:v>Scanned receipt/invoice</x:v>
      </x:c>
      <x:c r="H45" s="35" t="str">
        <x:v>Record, review, allocate, and pay operating expense</x:v>
      </x:c>
      <x:c r="I45" s="35" t="str">
        <x:v>P008; U008; WO-2027-001</x:v>
      </x:c>
      <x:c r="J45" s="35" t="str">
        <x:v>SCN-0348</x:v>
      </x:c>
      <x:c r="K45" s="35" t="str">
        <x:v>FIN-01024</x:v>
      </x:c>
      <x:c r="L45" s="35" t="str">
        <x:v>Capture or upload the source; verify vendor, date, scope, category, line items, tax, amount, and work-order link; confirm; open detail; verify attachment; compare Money and Property/Unit views.</x:v>
      </x:c>
      <x:c r="M45" s="35" t="str">
        <x:v>One expense exists at its real operational scope, cash falls once, Schedule E category and allocations agree, and no per-unit copies are created.</x:v>
      </x:c>
      <x:c r="N45" s="35" t="str">
        <x:v>Source preview; review/form; expense detail; line items; Property/Unit ledger; audit; accounting/report delta.</x:v>
      </x:c>
      <x:c r="O45" s="35" t="str">
        <x:v>On marked duplicate-invoice cases, re-upload before confirm and prove the product prevents or clearly warns about duplication.</x:v>
      </x:c>
      <x:c r="P45" s="35" t="str">
        <x:v>All expected records and amounts match; no unexplained error or stale state.</x:v>
      </x:c>
    </x:row>
    <x:row r="46">
      <x:c r="A46" s="20" t="str">
        <x:v>RUN-20270106-01</x:v>
      </x:c>
      <x:c r="B46" s="23" t="n">
        <x:v>46393</x:v>
      </x:c>
      <x:c r="C46" s="32" t="n">
        <x:v>1</x:v>
      </x:c>
      <x:c r="D46" s="20" t="str">
        <x:v>Opening setup</x:v>
      </x:c>
      <x:c r="E46" s="20" t="str">
        <x:v>Property Manager</x:v>
      </x:c>
      <x:c r="F46" s="20" t="str">
        <x:v>Mobile</x:v>
      </x:c>
      <x:c r="G46" s="20" t="str">
        <x:v>Manual</x:v>
      </x:c>
      <x:c r="H46" s="35" t="str">
        <x:v>Create the initially vacant unit and verify property structure</x:v>
      </x:c>
      <x:c r="I46" s="35" t="str">
        <x:v>P029; U038</x:v>
      </x:c>
      <x:c r="J46" s="35" t="str"/>
      <x:c r="K46" s="35" t="str"/>
      <x:c r="L46" s="35" t="str">
        <x:v>Create the missing duplex Property/Unit records with address, structure, unit label, beds, baths, square feet, market rent, and Vacant state. Immediately edit one field from the other client.</x:v>
      </x:c>
      <x:c r="M46" s="35" t="str">
        <x:v>P029/P030 exist as MultiRental properties with two separately rentable vacant units and no fake current lease.</x:v>
      </x:c>
      <x:c r="N46" s="35" t="str">
        <x:v>List + detail screenshots on both clients; server-paged list result; audit row.</x:v>
      </x:c>
      <x:c r="O46" s="35" t="str">
        <x:v>Attempt a duplicate unit label and verify the whole command rolls back.</x:v>
      </x:c>
      <x:c r="P46" s="35" t="str">
        <x:v>All expected records and amounts match; no unexplained error or stale state.</x:v>
      </x:c>
    </x:row>
    <x:row r="47">
      <x:c r="A47" s="20" t="str">
        <x:v>RUN-20270107-01</x:v>
      </x:c>
      <x:c r="B47" s="23" t="n">
        <x:v>46394</x:v>
      </x:c>
      <x:c r="C47" s="32" t="n">
        <x:v>1</x:v>
      </x:c>
      <x:c r="D47" s="20" t="str">
        <x:v>Opening setup</x:v>
      </x:c>
      <x:c r="E47" s="20" t="str">
        <x:v>Property Manager</x:v>
      </x:c>
      <x:c r="F47" s="20" t="str">
        <x:v>Web</x:v>
      </x:c>
      <x:c r="G47" s="20" t="str">
        <x:v>Manual</x:v>
      </x:c>
      <x:c r="H47" s="35" t="str">
        <x:v>Create the initially vacant unit and verify property structure</x:v>
      </x:c>
      <x:c r="I47" s="35" t="str">
        <x:v>P030; U039</x:v>
      </x:c>
      <x:c r="J47" s="35" t="str"/>
      <x:c r="K47" s="35" t="str"/>
      <x:c r="L47" s="35" t="str">
        <x:v>Create the missing duplex Property/Unit records with address, structure, unit label, beds, baths, square feet, market rent, and Vacant state. Immediately edit one field from the other client.</x:v>
      </x:c>
      <x:c r="M47" s="35" t="str">
        <x:v>P029/P030 exist as MultiRental properties with two separately rentable vacant units and no fake current lease.</x:v>
      </x:c>
      <x:c r="N47" s="35" t="str">
        <x:v>List + detail screenshots on both clients; server-paged list result; audit row.</x:v>
      </x:c>
      <x:c r="O47" s="35" t="str">
        <x:v>Attempt a duplicate unit label and verify the whole command rolls back.</x:v>
      </x:c>
      <x:c r="P47" s="35" t="str">
        <x:v>All expected records and amounts match; no unexplained error or stale state.</x:v>
      </x:c>
    </x:row>
    <x:row r="48">
      <x:c r="A48" s="20" t="str">
        <x:v>RUN-20270107-02</x:v>
      </x:c>
      <x:c r="B48" s="23" t="n">
        <x:v>46394</x:v>
      </x:c>
      <x:c r="C48" s="32" t="n">
        <x:v>2</x:v>
      </x:c>
      <x:c r="D48" s="20" t="str">
        <x:v>Leasing</x:v>
      </x:c>
      <x:c r="E48" s="20" t="str">
        <x:v>Leasing Agent</x:v>
      </x:c>
      <x:c r="F48" s="20" t="str">
        <x:v>Web + Mobile</x:v>
      </x:c>
      <x:c r="G48" s="20" t="str">
        <x:v>Manual lifecycle command</x:v>
      </x:c>
      <x:c r="H48" s="35" t="str">
        <x:v>Approve application and prepare move-in</x:v>
      </x:c>
      <x:c r="I48" s="35" t="str">
        <x:v>L043; U037; T043</x:v>
      </x:c>
      <x:c r="J48" s="35" t="str"/>
      <x:c r="K48" s="35" t="str"/>
      <x:c r="L48" s="35" t="str">
        <x:v>Approve the selected application; run Prepare move-in; confirm parties, planned possession, rent, deposit, Tenant Account, and initial Agreement draft; invite portal access under policy.</x:v>
      </x:c>
      <x:c r="M48" s="35" t="str">
        <x:v>One planned LeaseManagement, party set, account, and agreement draft commit atomically; Unit is move-in scheduled, not occupied.</x:v>
      </x:c>
      <x:c r="N48" s="35" t="str">
        <x:v>Application decision; Unit state; parties; account; draft; portal invitation; atomic audit.</x:v>
      </x:c>
      <x:c r="O48" s="35" t="str">
        <x:v>Inject failure at the former save boundary and prove no partial relationship/account/agreement remains.</x:v>
      </x:c>
      <x:c r="P48" s="35" t="str">
        <x:v>All expected records and amounts match; no unexplained error or stale state.</x:v>
      </x:c>
    </x:row>
    <x:row r="49">
      <x:c r="A49" s="20" t="str">
        <x:v>RUN-20270108-01</x:v>
      </x:c>
      <x:c r="B49" s="23" t="n">
        <x:v>46395</x:v>
      </x:c>
      <x:c r="C49" s="32" t="n">
        <x:v>1</x:v>
      </x:c>
      <x:c r="D49" s="20" t="str">
        <x:v>Opening setup</x:v>
      </x:c>
      <x:c r="E49" s="20" t="str">
        <x:v>Workspace Administrator</x:v>
      </x:c>
      <x:c r="F49" s="20" t="str">
        <x:v>Web</x:v>
      </x:c>
      <x:c r="G49" s="20" t="str">
        <x:v>Scan attachment + manual confirmation</x:v>
      </x:c>
      <x:c r="H49" s="35" t="str">
        <x:v>Property ownership, basis, and loan setup</x:v>
      </x:c>
      <x:c r="I49" s="35" t="str">
        <x:v>P001; LN001</x:v>
      </x:c>
      <x:c r="J49" s="35" t="str">
        <x:v>SCN-0037; SCN-0038</x:v>
      </x:c>
      <x:c r="K49" s="35" t="str">
        <x:v>FIN-00001</x:v>
      </x:c>
      <x:c r="L49" s="35" t="str">
        <x:v>Open the property created by lease intake; attach the deed, verify owner/basis fields, then create or verify the loan and its current balance. Use the other client for the paired property/loan edit.</x:v>
      </x:c>
      <x:c r="M49" s="35" t="str">
        <x:v>One property and its canonical unit remain linked; owner, cost basis, land/building split, and loan terms match the oracle without duplicate records.</x:v>
      </x:c>
      <x:c r="N49" s="35" t="str">
        <x:v>Before/after screenshots; document links; property and loan detail; audit row; generated amortization sample.</x:v>
      </x:c>
      <x:c r="O49" s="35" t="str">
        <x:v>Try the same masked mortgage statement twice and prove idempotent attachment/draft behavior.</x:v>
      </x:c>
      <x:c r="P49" s="35" t="str">
        <x:v>All expected records and amounts match; no unexplained error or stale state.</x:v>
      </x:c>
    </x:row>
    <x:row r="50">
      <x:c r="A50" s="20" t="str">
        <x:v>RUN-20270108-02</x:v>
      </x:c>
      <x:c r="B50" s="23" t="n">
        <x:v>46395</x:v>
      </x:c>
      <x:c r="C50" s="32" t="n">
        <x:v>2</x:v>
      </x:c>
      <x:c r="D50" s="20" t="str">
        <x:v>Opening setup</x:v>
      </x:c>
      <x:c r="E50" s="20" t="str">
        <x:v>Workspace Administrator</x:v>
      </x:c>
      <x:c r="F50" s="20" t="str">
        <x:v>Mobile</x:v>
      </x:c>
      <x:c r="G50" s="20" t="str">
        <x:v>Scan attachment + manual confirmation</x:v>
      </x:c>
      <x:c r="H50" s="35" t="str">
        <x:v>Property ownership, basis, and loan setup</x:v>
      </x:c>
      <x:c r="I50" s="35" t="str">
        <x:v>P002; LN002</x:v>
      </x:c>
      <x:c r="J50" s="35" t="str">
        <x:v>SCN-0039; SCN-0040</x:v>
      </x:c>
      <x:c r="K50" s="35" t="str">
        <x:v>FIN-00001</x:v>
      </x:c>
      <x:c r="L50" s="35" t="str">
        <x:v>Open the property created by lease intake; attach the deed, verify owner/basis fields, then create or verify the loan and its current balance. Use the other client for the paired property/loan edit.</x:v>
      </x:c>
      <x:c r="M50" s="35" t="str">
        <x:v>One property and its canonical unit remain linked; owner, cost basis, land/building split, and loan terms match the oracle without duplicate records.</x:v>
      </x:c>
      <x:c r="N50" s="35" t="str">
        <x:v>Before/after screenshots; document links; property and loan detail; audit row; generated amortization sample.</x:v>
      </x:c>
      <x:c r="O50" s="35" t="str">
        <x:v>Try the same masked mortgage statement twice and prove idempotent attachment/draft behavior.</x:v>
      </x:c>
      <x:c r="P50" s="35" t="str">
        <x:v>All expected records and amounts match; no unexplained error or stale state.</x:v>
      </x:c>
    </x:row>
    <x:row r="51">
      <x:c r="A51" s="20" t="str">
        <x:v>RUN-20270108-03</x:v>
      </x:c>
      <x:c r="B51" s="23" t="n">
        <x:v>46395</x:v>
      </x:c>
      <x:c r="C51" s="32" t="n">
        <x:v>3</x:v>
      </x:c>
      <x:c r="D51" s="20" t="str">
        <x:v>Opening setup</x:v>
      </x:c>
      <x:c r="E51" s="20" t="str">
        <x:v>Workspace Administrator</x:v>
      </x:c>
      <x:c r="F51" s="20" t="str">
        <x:v>Web</x:v>
      </x:c>
      <x:c r="G51" s="20" t="str">
        <x:v>Scan attachment + manual confirmation</x:v>
      </x:c>
      <x:c r="H51" s="35" t="str">
        <x:v>Property ownership, basis, and loan setup</x:v>
      </x:c>
      <x:c r="I51" s="35" t="str">
        <x:v>P003; </x:v>
      </x:c>
      <x:c r="J51" s="35" t="str">
        <x:v>SCN-0041</x:v>
      </x:c>
      <x:c r="K51" s="35" t="str">
        <x:v>FIN-00001</x:v>
      </x:c>
      <x:c r="L51" s="35" t="str">
        <x:v>Open the property created by lease intake; attach the deed, verify owner/basis fields, then create or verify the loan and its current balance. Use the other client for the paired property/loan edit.</x:v>
      </x:c>
      <x:c r="M51" s="35" t="str">
        <x:v>One property and its canonical unit remain linked; owner, cost basis, land/building split, and loan terms match the oracle without duplicate records.</x:v>
      </x:c>
      <x:c r="N51" s="35" t="str">
        <x:v>Before/after screenshots; document links; property and loan detail; audit row; generated amortization sample.</x:v>
      </x:c>
      <x:c r="O51" s="35" t="str">
        <x:v>Try the same masked mortgage statement twice and prove idempotent attachment/draft behavior.</x:v>
      </x:c>
      <x:c r="P51" s="35" t="str">
        <x:v>All expected records and amounts match; no unexplained error or stale state.</x:v>
      </x:c>
    </x:row>
    <x:row r="52">
      <x:c r="A52" s="20" t="str">
        <x:v>RUN-20270108-04</x:v>
      </x:c>
      <x:c r="B52" s="23" t="n">
        <x:v>46395</x:v>
      </x:c>
      <x:c r="C52" s="32" t="n">
        <x:v>4</x:v>
      </x:c>
      <x:c r="D52" s="20" t="str">
        <x:v>Opening setup</x:v>
      </x:c>
      <x:c r="E52" s="20" t="str">
        <x:v>Workspace Administrator</x:v>
      </x:c>
      <x:c r="F52" s="20" t="str">
        <x:v>Mobile</x:v>
      </x:c>
      <x:c r="G52" s="20" t="str">
        <x:v>Scan attachment + manual confirmation</x:v>
      </x:c>
      <x:c r="H52" s="35" t="str">
        <x:v>Property ownership, basis, and loan setup</x:v>
      </x:c>
      <x:c r="I52" s="35" t="str">
        <x:v>P004; LN004</x:v>
      </x:c>
      <x:c r="J52" s="35" t="str">
        <x:v>SCN-0042; SCN-0043</x:v>
      </x:c>
      <x:c r="K52" s="35" t="str">
        <x:v>FIN-00001</x:v>
      </x:c>
      <x:c r="L52" s="35" t="str">
        <x:v>Open the property created by lease intake; attach the deed, verify owner/basis fields, then create or verify the loan and its current balance. Use the other client for the paired property/loan edit.</x:v>
      </x:c>
      <x:c r="M52" s="35" t="str">
        <x:v>One property and its canonical unit remain linked; owner, cost basis, land/building split, and loan terms match the oracle without duplicate records.</x:v>
      </x:c>
      <x:c r="N52" s="35" t="str">
        <x:v>Before/after screenshots; document links; property and loan detail; audit row; generated amortization sample.</x:v>
      </x:c>
      <x:c r="O52" s="35" t="str">
        <x:v>Try the same masked mortgage statement twice and prove idempotent attachment/draft behavior.</x:v>
      </x:c>
      <x:c r="P52" s="35" t="str">
        <x:v>All expected records and amounts match; no unexplained error or stale state.</x:v>
      </x:c>
    </x:row>
    <x:row r="53">
      <x:c r="A53" s="20" t="str">
        <x:v>RUN-20270108-05</x:v>
      </x:c>
      <x:c r="B53" s="23" t="n">
        <x:v>46395</x:v>
      </x:c>
      <x:c r="C53" s="32" t="n">
        <x:v>5</x:v>
      </x:c>
      <x:c r="D53" s="20" t="str">
        <x:v>Opening setup</x:v>
      </x:c>
      <x:c r="E53" s="20" t="str">
        <x:v>Workspace Administrator</x:v>
      </x:c>
      <x:c r="F53" s="20" t="str">
        <x:v>Web</x:v>
      </x:c>
      <x:c r="G53" s="20" t="str">
        <x:v>Scan attachment + manual confirmation</x:v>
      </x:c>
      <x:c r="H53" s="35" t="str">
        <x:v>Property ownership, basis, and loan setup</x:v>
      </x:c>
      <x:c r="I53" s="35" t="str">
        <x:v>P005; LN005</x:v>
      </x:c>
      <x:c r="J53" s="35" t="str">
        <x:v>SCN-0044; SCN-0045</x:v>
      </x:c>
      <x:c r="K53" s="35" t="str">
        <x:v>FIN-00001</x:v>
      </x:c>
      <x:c r="L53" s="35" t="str">
        <x:v>Open the property created by lease intake; attach the deed, verify owner/basis fields, then create or verify the loan and its current balance. Use the other client for the paired property/loan edit.</x:v>
      </x:c>
      <x:c r="M53" s="35" t="str">
        <x:v>One property and its canonical unit remain linked; owner, cost basis, land/building split, and loan terms match the oracle without duplicate records.</x:v>
      </x:c>
      <x:c r="N53" s="35" t="str">
        <x:v>Before/after screenshots; document links; property and loan detail; audit row; generated amortization sample.</x:v>
      </x:c>
      <x:c r="O53" s="35" t="str">
        <x:v>Try the same masked mortgage statement twice and prove idempotent attachment/draft behavior.</x:v>
      </x:c>
      <x:c r="P53" s="35" t="str">
        <x:v>All expected records and amounts match; no unexplained error or stale state.</x:v>
      </x:c>
    </x:row>
    <x:row r="54">
      <x:c r="A54" s="20" t="str">
        <x:v>RUN-20270108-06</x:v>
      </x:c>
      <x:c r="B54" s="23" t="n">
        <x:v>46395</x:v>
      </x:c>
      <x:c r="C54" s="32" t="n">
        <x:v>6</x:v>
      </x:c>
      <x:c r="D54" s="20" t="str">
        <x:v>Opening setup</x:v>
      </x:c>
      <x:c r="E54" s="20" t="str">
        <x:v>Workspace Administrator</x:v>
      </x:c>
      <x:c r="F54" s="20" t="str">
        <x:v>Mobile</x:v>
      </x:c>
      <x:c r="G54" s="20" t="str">
        <x:v>Scan attachment + manual confirmation</x:v>
      </x:c>
      <x:c r="H54" s="35" t="str">
        <x:v>Property ownership, basis, and loan setup</x:v>
      </x:c>
      <x:c r="I54" s="35" t="str">
        <x:v>P006; </x:v>
      </x:c>
      <x:c r="J54" s="35" t="str">
        <x:v>SCN-0046</x:v>
      </x:c>
      <x:c r="K54" s="35" t="str">
        <x:v>FIN-00001</x:v>
      </x:c>
      <x:c r="L54" s="35" t="str">
        <x:v>Open the property created by lease intake; attach the deed, verify owner/basis fields, then create or verify the loan and its current balance. Use the other client for the paired property/loan edit.</x:v>
      </x:c>
      <x:c r="M54" s="35" t="str">
        <x:v>One property and its canonical unit remain linked; owner, cost basis, land/building split, and loan terms match the oracle without duplicate records.</x:v>
      </x:c>
      <x:c r="N54" s="35" t="str">
        <x:v>Before/after screenshots; document links; property and loan detail; audit row; generated amortization sample.</x:v>
      </x:c>
      <x:c r="O54" s="35" t="str">
        <x:v>Try the same masked mortgage statement twice and prove idempotent attachment/draft behavior.</x:v>
      </x:c>
      <x:c r="P54" s="35" t="str">
        <x:v>All expected records and amounts match; no unexplained error or stale state.</x:v>
      </x:c>
    </x:row>
    <x:row r="55">
      <x:c r="A55" s="20" t="str">
        <x:v>RUN-20270108-07</x:v>
      </x:c>
      <x:c r="B55" s="23" t="n">
        <x:v>46395</x:v>
      </x:c>
      <x:c r="C55" s="32" t="n">
        <x:v>7</x:v>
      </x:c>
      <x:c r="D55" s="20" t="str">
        <x:v>Opening setup</x:v>
      </x:c>
      <x:c r="E55" s="20" t="str">
        <x:v>Workspace Administrator</x:v>
      </x:c>
      <x:c r="F55" s="20" t="str">
        <x:v>Web</x:v>
      </x:c>
      <x:c r="G55" s="20" t="str">
        <x:v>Scan attachment + manual confirmation</x:v>
      </x:c>
      <x:c r="H55" s="35" t="str">
        <x:v>Property ownership, basis, and loan setup</x:v>
      </x:c>
      <x:c r="I55" s="35" t="str">
        <x:v>P007; LN007</x:v>
      </x:c>
      <x:c r="J55" s="35" t="str">
        <x:v>SCN-0047; SCN-0048</x:v>
      </x:c>
      <x:c r="K55" s="35" t="str">
        <x:v>FIN-00001</x:v>
      </x:c>
      <x:c r="L55" s="35" t="str">
        <x:v>Open the property created by lease intake; attach the deed, verify owner/basis fields, then create or verify the loan and its current balance. Use the other client for the paired property/loan edit.</x:v>
      </x:c>
      <x:c r="M55" s="35" t="str">
        <x:v>One property and its canonical unit remain linked; owner, cost basis, land/building split, and loan terms match the oracle without duplicate records.</x:v>
      </x:c>
      <x:c r="N55" s="35" t="str">
        <x:v>Before/after screenshots; document links; property and loan detail; audit row; generated amortization sample.</x:v>
      </x:c>
      <x:c r="O55" s="35" t="str">
        <x:v>Try the same masked mortgage statement twice and prove idempotent attachment/draft behavior.</x:v>
      </x:c>
      <x:c r="P55" s="35" t="str">
        <x:v>All expected records and amounts match; no unexplained error or stale state.</x:v>
      </x:c>
    </x:row>
    <x:row r="56">
      <x:c r="A56" s="20" t="str">
        <x:v>RUN-20270108-08</x:v>
      </x:c>
      <x:c r="B56" s="23" t="n">
        <x:v>46395</x:v>
      </x:c>
      <x:c r="C56" s="32" t="n">
        <x:v>8</x:v>
      </x:c>
      <x:c r="D56" s="20" t="str">
        <x:v>Opening setup</x:v>
      </x:c>
      <x:c r="E56" s="20" t="str">
        <x:v>Workspace Administrator</x:v>
      </x:c>
      <x:c r="F56" s="20" t="str">
        <x:v>Mobile</x:v>
      </x:c>
      <x:c r="G56" s="20" t="str">
        <x:v>Scan attachment + manual confirmation</x:v>
      </x:c>
      <x:c r="H56" s="35" t="str">
        <x:v>Property ownership, basis, and loan setup</x:v>
      </x:c>
      <x:c r="I56" s="35" t="str">
        <x:v>P008; LN008</x:v>
      </x:c>
      <x:c r="J56" s="35" t="str">
        <x:v>SCN-0049; SCN-0050</x:v>
      </x:c>
      <x:c r="K56" s="35" t="str">
        <x:v>FIN-00001</x:v>
      </x:c>
      <x:c r="L56" s="35" t="str">
        <x:v>Open the property created by lease intake; attach the deed, verify owner/basis fields, then create or verify the loan and its current balance. Use the other client for the paired property/loan edit.</x:v>
      </x:c>
      <x:c r="M56" s="35" t="str">
        <x:v>One property and its canonical unit remain linked; owner, cost basis, land/building split, and loan terms match the oracle without duplicate records.</x:v>
      </x:c>
      <x:c r="N56" s="35" t="str">
        <x:v>Before/after screenshots; document links; property and loan detail; audit row; generated amortization sample.</x:v>
      </x:c>
      <x:c r="O56" s="35" t="str">
        <x:v>Try the same masked mortgage statement twice and prove idempotent attachment/draft behavior.</x:v>
      </x:c>
      <x:c r="P56" s="35" t="str">
        <x:v>All expected records and amounts match; no unexplained error or stale state.</x:v>
      </x:c>
    </x:row>
    <x:row r="57">
      <x:c r="A57" s="20" t="str">
        <x:v>RUN-20270108-09</x:v>
      </x:c>
      <x:c r="B57" s="23" t="n">
        <x:v>46395</x:v>
      </x:c>
      <x:c r="C57" s="32" t="n">
        <x:v>9</x:v>
      </x:c>
      <x:c r="D57" s="20" t="str">
        <x:v>Opening setup</x:v>
      </x:c>
      <x:c r="E57" s="20" t="str">
        <x:v>Workspace Administrator</x:v>
      </x:c>
      <x:c r="F57" s="20" t="str">
        <x:v>Web</x:v>
      </x:c>
      <x:c r="G57" s="20" t="str">
        <x:v>Scan attachment + manual confirmation</x:v>
      </x:c>
      <x:c r="H57" s="35" t="str">
        <x:v>Property ownership, basis, and loan setup</x:v>
      </x:c>
      <x:c r="I57" s="35" t="str">
        <x:v>P009; </x:v>
      </x:c>
      <x:c r="J57" s="35" t="str">
        <x:v>SCN-0051</x:v>
      </x:c>
      <x:c r="K57" s="35" t="str">
        <x:v>FIN-00001</x:v>
      </x:c>
      <x:c r="L57" s="35" t="str">
        <x:v>Open the property created by lease intake; attach the deed, verify owner/basis fields, then create or verify the loan and its current balance. Use the other client for the paired property/loan edit.</x:v>
      </x:c>
      <x:c r="M57" s="35" t="str">
        <x:v>One property and its canonical unit remain linked; owner, cost basis, land/building split, and loan terms match the oracle without duplicate records.</x:v>
      </x:c>
      <x:c r="N57" s="35" t="str">
        <x:v>Before/after screenshots; document links; property and loan detail; audit row; generated amortization sample.</x:v>
      </x:c>
      <x:c r="O57" s="35" t="str">
        <x:v>Try the same masked mortgage statement twice and prove idempotent attachment/draft behavior.</x:v>
      </x:c>
      <x:c r="P57" s="35" t="str">
        <x:v>All expected records and amounts match; no unexplained error or stale state.</x:v>
      </x:c>
    </x:row>
    <x:row r="58">
      <x:c r="A58" s="20" t="str">
        <x:v>RUN-20270108-10</x:v>
      </x:c>
      <x:c r="B58" s="23" t="n">
        <x:v>46395</x:v>
      </x:c>
      <x:c r="C58" s="32" t="n">
        <x:v>10</x:v>
      </x:c>
      <x:c r="D58" s="20" t="str">
        <x:v>Opening setup</x:v>
      </x:c>
      <x:c r="E58" s="20" t="str">
        <x:v>Workspace Administrator</x:v>
      </x:c>
      <x:c r="F58" s="20" t="str">
        <x:v>Mobile</x:v>
      </x:c>
      <x:c r="G58" s="20" t="str">
        <x:v>Scan attachment + manual confirmation</x:v>
      </x:c>
      <x:c r="H58" s="35" t="str">
        <x:v>Property ownership, basis, and loan setup</x:v>
      </x:c>
      <x:c r="I58" s="35" t="str">
        <x:v>P010; LN010</x:v>
      </x:c>
      <x:c r="J58" s="35" t="str">
        <x:v>SCN-0052; SCN-0053</x:v>
      </x:c>
      <x:c r="K58" s="35" t="str">
        <x:v>FIN-00001</x:v>
      </x:c>
      <x:c r="L58" s="35" t="str">
        <x:v>Open the property created by lease intake; attach the deed, verify owner/basis fields, then create or verify the loan and its current balance. Use the other client for the paired property/loan edit.</x:v>
      </x:c>
      <x:c r="M58" s="35" t="str">
        <x:v>One property and its canonical unit remain linked; owner, cost basis, land/building split, and loan terms match the oracle without duplicate records.</x:v>
      </x:c>
      <x:c r="N58" s="35" t="str">
        <x:v>Before/after screenshots; document links; property and loan detail; audit row; generated amortization sample.</x:v>
      </x:c>
      <x:c r="O58" s="35" t="str">
        <x:v>Try the same masked mortgage statement twice and prove idempotent attachment/draft behavior.</x:v>
      </x:c>
      <x:c r="P58" s="35" t="str">
        <x:v>All expected records and amounts match; no unexplained error or stale state.</x:v>
      </x:c>
    </x:row>
    <x:row r="59">
      <x:c r="A59" s="20" t="str">
        <x:v>RUN-20270108-11</x:v>
      </x:c>
      <x:c r="B59" s="23" t="n">
        <x:v>46395</x:v>
      </x:c>
      <x:c r="C59" s="32" t="n">
        <x:v>11</x:v>
      </x:c>
      <x:c r="D59" s="20" t="str">
        <x:v>Opening setup</x:v>
      </x:c>
      <x:c r="E59" s="20" t="str">
        <x:v>Property Manager</x:v>
      </x:c>
      <x:c r="F59" s="20" t="str">
        <x:v>Mobile</x:v>
      </x:c>
      <x:c r="G59" s="20" t="str">
        <x:v>Manual</x:v>
      </x:c>
      <x:c r="H59" s="35" t="str">
        <x:v>Create the initially vacant unit and verify property structure</x:v>
      </x:c>
      <x:c r="I59" s="35" t="str">
        <x:v>P030; U040</x:v>
      </x:c>
      <x:c r="J59" s="35" t="str"/>
      <x:c r="K59" s="35" t="str"/>
      <x:c r="L59" s="35" t="str">
        <x:v>Create the missing duplex Property/Unit records with address, structure, unit label, beds, baths, square feet, market rent, and Vacant state. Immediately edit one field from the other client.</x:v>
      </x:c>
      <x:c r="M59" s="35" t="str">
        <x:v>P029/P030 exist as MultiRental properties with two separately rentable vacant units and no fake current lease.</x:v>
      </x:c>
      <x:c r="N59" s="35" t="str">
        <x:v>List + detail screenshots on both clients; server-paged list result; audit row.</x:v>
      </x:c>
      <x:c r="O59" s="35" t="str">
        <x:v>Attempt a duplicate unit label and verify the whole command rolls back.</x:v>
      </x:c>
      <x:c r="P59" s="35" t="str">
        <x:v>All expected records and amounts match; no unexplained error or stale state.</x:v>
      </x:c>
    </x:row>
    <x:row r="60">
      <x:c r="A60" s="20" t="str">
        <x:v>RUN-20270108-12</x:v>
      </x:c>
      <x:c r="B60" s="23" t="n">
        <x:v>46395</x:v>
      </x:c>
      <x:c r="C60" s="32" t="n">
        <x:v>12</x:v>
      </x:c>
      <x:c r="D60" s="20" t="str">
        <x:v>Monthly operations</x:v>
      </x:c>
      <x:c r="E60" s="20" t="str">
        <x:v>Property Manager</x:v>
      </x:c>
      <x:c r="F60" s="20" t="str">
        <x:v>Web</x:v>
      </x:c>
      <x:c r="G60" s="20" t="str">
        <x:v>Scanned check</x:v>
      </x:c>
      <x:c r="H60" s="35" t="str">
        <x:v>Post and allocate tenant receipt</x:v>
      </x:c>
      <x:c r="I60" s="35" t="str">
        <x:v>P013; U013; L013</x:v>
      </x:c>
      <x:c r="J60" s="35" t="str">
        <x:v>SCN-0094</x:v>
      </x:c>
      <x:c r="K60" s="35" t="str">
        <x:v>FIN-00029; FIN-00030</x:v>
      </x:c>
      <x:c r="L60" s="35" t="str">
        <x:v>Open Scan for paper payment or the tenant-account receipt form for electronic payment; verify tenant/lease match, amount, date, method, and reference; confirm once; open ledger detail and allocation.</x:v>
      </x:c>
      <x:c r="M60" s="35" t="str">
        <x:v>Receipt is append-only, allocated once to the correct rent charge, and visible consistently in Unit, Lease, Tenant Account, Accounting, and portal views.</x:v>
      </x:c>
      <x:c r="N60" s="35" t="str">
        <x:v>Scan review or form; success result; exact ledger rows; payment detail; accounting delta; portal receipt.</x:v>
      </x:c>
      <x:c r="O60" s="35" t="str">
        <x:v>Retry the idempotency key once during the quarter assigned in the coverage matrix; no duplicate cash or allocation.</x:v>
      </x:c>
      <x:c r="P60" s="35" t="str">
        <x:v>All expected records and amounts match; no unexplained error or stale state.</x:v>
      </x:c>
    </x:row>
    <x:row r="61">
      <x:c r="A61" s="20" t="str">
        <x:v>RUN-20270108-13</x:v>
      </x:c>
      <x:c r="B61" s="23" t="n">
        <x:v>46395</x:v>
      </x:c>
      <x:c r="C61" s="32" t="n">
        <x:v>13</x:v>
      </x:c>
      <x:c r="D61" s="20" t="str">
        <x:v>Monthly operations</x:v>
      </x:c>
      <x:c r="E61" s="20" t="str">
        <x:v>Property Manager</x:v>
      </x:c>
      <x:c r="F61" s="20" t="str">
        <x:v>Mobile</x:v>
      </x:c>
      <x:c r="G61" s="20" t="str">
        <x:v>Scanned money order</x:v>
      </x:c>
      <x:c r="H61" s="35" t="str">
        <x:v>Post and allocate tenant receipt</x:v>
      </x:c>
      <x:c r="I61" s="35" t="str">
        <x:v>P023; U026; L026</x:v>
      </x:c>
      <x:c r="J61" s="35" t="str">
        <x:v>SCN-0102</x:v>
      </x:c>
      <x:c r="K61" s="35" t="str">
        <x:v>FIN-00058; FIN-00059</x:v>
      </x:c>
      <x:c r="L61" s="35" t="str">
        <x:v>Open Scan for paper payment or the tenant-account receipt form for electronic payment; verify tenant/lease match, amount, date, method, and reference; confirm once; open ledger detail and allocation.</x:v>
      </x:c>
      <x:c r="M61" s="35" t="str">
        <x:v>Receipt is append-only, allocated once to the correct rent charge, and visible consistently in Unit, Lease, Tenant Account, Accounting, and portal views.</x:v>
      </x:c>
      <x:c r="N61" s="35" t="str">
        <x:v>Scan review or form; success result; exact ledger rows; payment detail; accounting delta; portal receipt.</x:v>
      </x:c>
      <x:c r="O61" s="35" t="str">
        <x:v>Retry the idempotency key once during the quarter assigned in the coverage matrix; no duplicate cash or allocation.</x:v>
      </x:c>
      <x:c r="P61" s="35" t="str">
        <x:v>All expected records and amounts match; no unexplained error or stale state.</x:v>
      </x:c>
    </x:row>
    <x:row r="62">
      <x:c r="A62" s="20" t="str">
        <x:v>RUN-20270109-01</x:v>
      </x:c>
      <x:c r="B62" s="23" t="n">
        <x:v>46396</x:v>
      </x:c>
      <x:c r="C62" s="32" t="n">
        <x:v>1</x:v>
      </x:c>
      <x:c r="D62" s="20" t="str">
        <x:v>Opening setup</x:v>
      </x:c>
      <x:c r="E62" s="20" t="str">
        <x:v>Workspace Administrator</x:v>
      </x:c>
      <x:c r="F62" s="20" t="str">
        <x:v>Web</x:v>
      </x:c>
      <x:c r="G62" s="20" t="str">
        <x:v>Scan attachment + manual confirmation</x:v>
      </x:c>
      <x:c r="H62" s="35" t="str">
        <x:v>Property ownership, basis, and loan setup</x:v>
      </x:c>
      <x:c r="I62" s="35" t="str">
        <x:v>P011; LN011</x:v>
      </x:c>
      <x:c r="J62" s="35" t="str">
        <x:v>SCN-0054; SCN-0055</x:v>
      </x:c>
      <x:c r="K62" s="35" t="str">
        <x:v>FIN-00001</x:v>
      </x:c>
      <x:c r="L62" s="35" t="str">
        <x:v>Open the property created by lease intake; attach the deed, verify owner/basis fields, then create or verify the loan and its current balance. Use the other client for the paired property/loan edit.</x:v>
      </x:c>
      <x:c r="M62" s="35" t="str">
        <x:v>One property and its canonical unit remain linked; owner, cost basis, land/building split, and loan terms match the oracle without duplicate records.</x:v>
      </x:c>
      <x:c r="N62" s="35" t="str">
        <x:v>Before/after screenshots; document links; property and loan detail; audit row; generated amortization sample.</x:v>
      </x:c>
      <x:c r="O62" s="35" t="str">
        <x:v>Try the same masked mortgage statement twice and prove idempotent attachment/draft behavior.</x:v>
      </x:c>
      <x:c r="P62" s="35" t="str">
        <x:v>All expected records and amounts match; no unexplained error or stale state.</x:v>
      </x:c>
    </x:row>
    <x:row r="63">
      <x:c r="A63" s="20" t="str">
        <x:v>RUN-20270109-02</x:v>
      </x:c>
      <x:c r="B63" s="23" t="n">
        <x:v>46396</x:v>
      </x:c>
      <x:c r="C63" s="32" t="n">
        <x:v>2</x:v>
      </x:c>
      <x:c r="D63" s="20" t="str">
        <x:v>Opening setup</x:v>
      </x:c>
      <x:c r="E63" s="20" t="str">
        <x:v>Workspace Administrator</x:v>
      </x:c>
      <x:c r="F63" s="20" t="str">
        <x:v>Mobile</x:v>
      </x:c>
      <x:c r="G63" s="20" t="str">
        <x:v>Scan attachment + manual confirmation</x:v>
      </x:c>
      <x:c r="H63" s="35" t="str">
        <x:v>Property ownership, basis, and loan setup</x:v>
      </x:c>
      <x:c r="I63" s="35" t="str">
        <x:v>P012; </x:v>
      </x:c>
      <x:c r="J63" s="35" t="str">
        <x:v>SCN-0056</x:v>
      </x:c>
      <x:c r="K63" s="35" t="str">
        <x:v>FIN-00001</x:v>
      </x:c>
      <x:c r="L63" s="35" t="str">
        <x:v>Open the property created by lease intake; attach the deed, verify owner/basis fields, then create or verify the loan and its current balance. Use the other client for the paired property/loan edit.</x:v>
      </x:c>
      <x:c r="M63" s="35" t="str">
        <x:v>One property and its canonical unit remain linked; owner, cost basis, land/building split, and loan terms match the oracle without duplicate records.</x:v>
      </x:c>
      <x:c r="N63" s="35" t="str">
        <x:v>Before/after screenshots; document links; property and loan detail; audit row; generated amortization sample.</x:v>
      </x:c>
      <x:c r="O63" s="35" t="str">
        <x:v>Try the same masked mortgage statement twice and prove idempotent attachment/draft behavior.</x:v>
      </x:c>
      <x:c r="P63" s="35" t="str">
        <x:v>All expected records and amounts match; no unexplained error or stale state.</x:v>
      </x:c>
    </x:row>
    <x:row r="64">
      <x:c r="A64" s="20" t="str">
        <x:v>RUN-20270109-03</x:v>
      </x:c>
      <x:c r="B64" s="23" t="n">
        <x:v>46396</x:v>
      </x:c>
      <x:c r="C64" s="32" t="n">
        <x:v>3</x:v>
      </x:c>
      <x:c r="D64" s="20" t="str">
        <x:v>Opening setup</x:v>
      </x:c>
      <x:c r="E64" s="20" t="str">
        <x:v>Workspace Administrator</x:v>
      </x:c>
      <x:c r="F64" s="20" t="str">
        <x:v>Web</x:v>
      </x:c>
      <x:c r="G64" s="20" t="str">
        <x:v>Scan attachment + manual confirmation</x:v>
      </x:c>
      <x:c r="H64" s="35" t="str">
        <x:v>Property ownership, basis, and loan setup</x:v>
      </x:c>
      <x:c r="I64" s="35" t="str">
        <x:v>P013; LN013</x:v>
      </x:c>
      <x:c r="J64" s="35" t="str">
        <x:v>SCN-0057; SCN-0058</x:v>
      </x:c>
      <x:c r="K64" s="35" t="str">
        <x:v>FIN-00001</x:v>
      </x:c>
      <x:c r="L64" s="35" t="str">
        <x:v>Open the property created by lease intake; attach the deed, verify owner/basis fields, then create or verify the loan and its current balance. Use the other client for the paired property/loan edit.</x:v>
      </x:c>
      <x:c r="M64" s="35" t="str">
        <x:v>One property and its canonical unit remain linked; owner, cost basis, land/building split, and loan terms match the oracle without duplicate records.</x:v>
      </x:c>
      <x:c r="N64" s="35" t="str">
        <x:v>Before/after screenshots; document links; property and loan detail; audit row; generated amortization sample.</x:v>
      </x:c>
      <x:c r="O64" s="35" t="str">
        <x:v>Try the same masked mortgage statement twice and prove idempotent attachment/draft behavior.</x:v>
      </x:c>
      <x:c r="P64" s="35" t="str">
        <x:v>All expected records and amounts match; no unexplained error or stale state.</x:v>
      </x:c>
    </x:row>
    <x:row r="65">
      <x:c r="A65" s="20" t="str">
        <x:v>RUN-20270109-04</x:v>
      </x:c>
      <x:c r="B65" s="23" t="n">
        <x:v>46396</x:v>
      </x:c>
      <x:c r="C65" s="32" t="n">
        <x:v>4</x:v>
      </x:c>
      <x:c r="D65" s="20" t="str">
        <x:v>Opening setup</x:v>
      </x:c>
      <x:c r="E65" s="20" t="str">
        <x:v>Workspace Administrator</x:v>
      </x:c>
      <x:c r="F65" s="20" t="str">
        <x:v>Mobile</x:v>
      </x:c>
      <x:c r="G65" s="20" t="str">
        <x:v>Scan attachment + manual confirmation</x:v>
      </x:c>
      <x:c r="H65" s="35" t="str">
        <x:v>Property ownership, basis, and loan setup</x:v>
      </x:c>
      <x:c r="I65" s="35" t="str">
        <x:v>P014; LN014</x:v>
      </x:c>
      <x:c r="J65" s="35" t="str">
        <x:v>SCN-0059; SCN-0060</x:v>
      </x:c>
      <x:c r="K65" s="35" t="str">
        <x:v>FIN-00001</x:v>
      </x:c>
      <x:c r="L65" s="35" t="str">
        <x:v>Open the property created by lease intake; attach the deed, verify owner/basis fields, then create or verify the loan and its current balance. Use the other client for the paired property/loan edit.</x:v>
      </x:c>
      <x:c r="M65" s="35" t="str">
        <x:v>One property and its canonical unit remain linked; owner, cost basis, land/building split, and loan terms match the oracle without duplicate records.</x:v>
      </x:c>
      <x:c r="N65" s="35" t="str">
        <x:v>Before/after screenshots; document links; property and loan detail; audit row; generated amortization sample.</x:v>
      </x:c>
      <x:c r="O65" s="35" t="str">
        <x:v>Try the same masked mortgage statement twice and prove idempotent attachment/draft behavior.</x:v>
      </x:c>
      <x:c r="P65" s="35" t="str">
        <x:v>All expected records and amounts match; no unexplained error or stale state.</x:v>
      </x:c>
    </x:row>
    <x:row r="66">
      <x:c r="A66" s="20" t="str">
        <x:v>RUN-20270109-05</x:v>
      </x:c>
      <x:c r="B66" s="23" t="n">
        <x:v>46396</x:v>
      </x:c>
      <x:c r="C66" s="32" t="n">
        <x:v>5</x:v>
      </x:c>
      <x:c r="D66" s="20" t="str">
        <x:v>Opening setup</x:v>
      </x:c>
      <x:c r="E66" s="20" t="str">
        <x:v>Workspace Administrator</x:v>
      </x:c>
      <x:c r="F66" s="20" t="str">
        <x:v>Web</x:v>
      </x:c>
      <x:c r="G66" s="20" t="str">
        <x:v>Scan attachment + manual confirmation</x:v>
      </x:c>
      <x:c r="H66" s="35" t="str">
        <x:v>Property ownership, basis, and loan setup</x:v>
      </x:c>
      <x:c r="I66" s="35" t="str">
        <x:v>P015; </x:v>
      </x:c>
      <x:c r="J66" s="35" t="str">
        <x:v>SCN-0061</x:v>
      </x:c>
      <x:c r="K66" s="35" t="str">
        <x:v>FIN-00001</x:v>
      </x:c>
      <x:c r="L66" s="35" t="str">
        <x:v>Open the property created by lease intake; attach the deed, verify owner/basis fields, then create or verify the loan and its current balance. Use the other client for the paired property/loan edit.</x:v>
      </x:c>
      <x:c r="M66" s="35" t="str">
        <x:v>One property and its canonical unit remain linked; owner, cost basis, land/building split, and loan terms match the oracle without duplicate records.</x:v>
      </x:c>
      <x:c r="N66" s="35" t="str">
        <x:v>Before/after screenshots; document links; property and loan detail; audit row; generated amortization sample.</x:v>
      </x:c>
      <x:c r="O66" s="35" t="str">
        <x:v>Try the same masked mortgage statement twice and prove idempotent attachment/draft behavior.</x:v>
      </x:c>
      <x:c r="P66" s="35" t="str">
        <x:v>All expected records and amounts match; no unexplained error or stale state.</x:v>
      </x:c>
    </x:row>
    <x:row r="67">
      <x:c r="A67" s="20" t="str">
        <x:v>RUN-20270109-06</x:v>
      </x:c>
      <x:c r="B67" s="23" t="n">
        <x:v>46396</x:v>
      </x:c>
      <x:c r="C67" s="32" t="n">
        <x:v>6</x:v>
      </x:c>
      <x:c r="D67" s="20" t="str">
        <x:v>Opening setup</x:v>
      </x:c>
      <x:c r="E67" s="20" t="str">
        <x:v>Workspace Administrator</x:v>
      </x:c>
      <x:c r="F67" s="20" t="str">
        <x:v>Mobile</x:v>
      </x:c>
      <x:c r="G67" s="20" t="str">
        <x:v>Scan attachment + manual confirmation</x:v>
      </x:c>
      <x:c r="H67" s="35" t="str">
        <x:v>Property ownership, basis, and loan setup</x:v>
      </x:c>
      <x:c r="I67" s="35" t="str">
        <x:v>P016; LN016</x:v>
      </x:c>
      <x:c r="J67" s="35" t="str">
        <x:v>SCN-0062; SCN-0063</x:v>
      </x:c>
      <x:c r="K67" s="35" t="str">
        <x:v>FIN-00001</x:v>
      </x:c>
      <x:c r="L67" s="35" t="str">
        <x:v>Open the property created by lease intake; attach the deed, verify owner/basis fields, then create or verify the loan and its current balance. Use the other client for the paired property/loan edit.</x:v>
      </x:c>
      <x:c r="M67" s="35" t="str">
        <x:v>One property and its canonical unit remain linked; owner, cost basis, land/building split, and loan terms match the oracle without duplicate records.</x:v>
      </x:c>
      <x:c r="N67" s="35" t="str">
        <x:v>Before/after screenshots; document links; property and loan detail; audit row; generated amortization sample.</x:v>
      </x:c>
      <x:c r="O67" s="35" t="str">
        <x:v>Try the same masked mortgage statement twice and prove idempotent attachment/draft behavior.</x:v>
      </x:c>
      <x:c r="P67" s="35" t="str">
        <x:v>All expected records and amounts match; no unexplained error or stale state.</x:v>
      </x:c>
    </x:row>
    <x:row r="68">
      <x:c r="A68" s="20" t="str">
        <x:v>RUN-20270109-07</x:v>
      </x:c>
      <x:c r="B68" s="23" t="n">
        <x:v>46396</x:v>
      </x:c>
      <x:c r="C68" s="32" t="n">
        <x:v>7</x:v>
      </x:c>
      <x:c r="D68" s="20" t="str">
        <x:v>Opening setup</x:v>
      </x:c>
      <x:c r="E68" s="20" t="str">
        <x:v>Workspace Administrator</x:v>
      </x:c>
      <x:c r="F68" s="20" t="str">
        <x:v>Web</x:v>
      </x:c>
      <x:c r="G68" s="20" t="str">
        <x:v>Scan attachment + manual confirmation</x:v>
      </x:c>
      <x:c r="H68" s="35" t="str">
        <x:v>Property ownership, basis, and loan setup</x:v>
      </x:c>
      <x:c r="I68" s="35" t="str">
        <x:v>P017; LN017</x:v>
      </x:c>
      <x:c r="J68" s="35" t="str">
        <x:v>SCN-0064; SCN-0065</x:v>
      </x:c>
      <x:c r="K68" s="35" t="str">
        <x:v>FIN-00001</x:v>
      </x:c>
      <x:c r="L68" s="35" t="str">
        <x:v>Open the property created by lease intake; attach the deed, verify owner/basis fields, then create or verify the loan and its current balance. Use the other client for the paired property/loan edit.</x:v>
      </x:c>
      <x:c r="M68" s="35" t="str">
        <x:v>One property and its canonical unit remain linked; owner, cost basis, land/building split, and loan terms match the oracle without duplicate records.</x:v>
      </x:c>
      <x:c r="N68" s="35" t="str">
        <x:v>Before/after screenshots; document links; property and loan detail; audit row; generated amortization sample.</x:v>
      </x:c>
      <x:c r="O68" s="35" t="str">
        <x:v>Try the same masked mortgage statement twice and prove idempotent attachment/draft behavior.</x:v>
      </x:c>
      <x:c r="P68" s="35" t="str">
        <x:v>All expected records and amounts match; no unexplained error or stale state.</x:v>
      </x:c>
    </x:row>
    <x:row r="69">
      <x:c r="A69" s="20" t="str">
        <x:v>RUN-20270109-08</x:v>
      </x:c>
      <x:c r="B69" s="23" t="n">
        <x:v>46396</x:v>
      </x:c>
      <x:c r="C69" s="32" t="n">
        <x:v>8</x:v>
      </x:c>
      <x:c r="D69" s="20" t="str">
        <x:v>Opening setup</x:v>
      </x:c>
      <x:c r="E69" s="20" t="str">
        <x:v>Workspace Administrator</x:v>
      </x:c>
      <x:c r="F69" s="20" t="str">
        <x:v>Mobile</x:v>
      </x:c>
      <x:c r="G69" s="20" t="str">
        <x:v>Scan attachment + manual confirmation</x:v>
      </x:c>
      <x:c r="H69" s="35" t="str">
        <x:v>Property ownership, basis, and loan setup</x:v>
      </x:c>
      <x:c r="I69" s="35" t="str">
        <x:v>P018; </x:v>
      </x:c>
      <x:c r="J69" s="35" t="str">
        <x:v>SCN-0066</x:v>
      </x:c>
      <x:c r="K69" s="35" t="str">
        <x:v>FIN-00001</x:v>
      </x:c>
      <x:c r="L69" s="35" t="str">
        <x:v>Open the property created by lease intake; attach the deed, verify owner/basis fields, then create or verify the loan and its current balance. Use the other client for the paired property/loan edit.</x:v>
      </x:c>
      <x:c r="M69" s="35" t="str">
        <x:v>One property and its canonical unit remain linked; owner, cost basis, land/building split, and loan terms match the oracle without duplicate records.</x:v>
      </x:c>
      <x:c r="N69" s="35" t="str">
        <x:v>Before/after screenshots; document links; property and loan detail; audit row; generated amortization sample.</x:v>
      </x:c>
      <x:c r="O69" s="35" t="str">
        <x:v>Try the same masked mortgage statement twice and prove idempotent attachment/draft behavior.</x:v>
      </x:c>
      <x:c r="P69" s="35" t="str">
        <x:v>All expected records and amounts match; no unexplained error or stale state.</x:v>
      </x:c>
    </x:row>
    <x:row r="70">
      <x:c r="A70" s="20" t="str">
        <x:v>RUN-20270109-09</x:v>
      </x:c>
      <x:c r="B70" s="23" t="n">
        <x:v>46396</x:v>
      </x:c>
      <x:c r="C70" s="32" t="n">
        <x:v>9</x:v>
      </x:c>
      <x:c r="D70" s="20" t="str">
        <x:v>Opening setup</x:v>
      </x:c>
      <x:c r="E70" s="20" t="str">
        <x:v>Workspace Administrator</x:v>
      </x:c>
      <x:c r="F70" s="20" t="str">
        <x:v>Web</x:v>
      </x:c>
      <x:c r="G70" s="20" t="str">
        <x:v>Scan attachment + manual confirmation</x:v>
      </x:c>
      <x:c r="H70" s="35" t="str">
        <x:v>Property ownership, basis, and loan setup</x:v>
      </x:c>
      <x:c r="I70" s="35" t="str">
        <x:v>P019; LN019</x:v>
      </x:c>
      <x:c r="J70" s="35" t="str">
        <x:v>SCN-0067; SCN-0068</x:v>
      </x:c>
      <x:c r="K70" s="35" t="str">
        <x:v>FIN-00001</x:v>
      </x:c>
      <x:c r="L70" s="35" t="str">
        <x:v>Open the property created by lease intake; attach the deed, verify owner/basis fields, then create or verify the loan and its current balance. Use the other client for the paired property/loan edit.</x:v>
      </x:c>
      <x:c r="M70" s="35" t="str">
        <x:v>One property and its canonical unit remain linked; owner, cost basis, land/building split, and loan terms match the oracle without duplicate records.</x:v>
      </x:c>
      <x:c r="N70" s="35" t="str">
        <x:v>Before/after screenshots; document links; property and loan detail; audit row; generated amortization sample.</x:v>
      </x:c>
      <x:c r="O70" s="35" t="str">
        <x:v>Try the same masked mortgage statement twice and prove idempotent attachment/draft behavior.</x:v>
      </x:c>
      <x:c r="P70" s="35" t="str">
        <x:v>All expected records and amounts match; no unexplained error or stale state.</x:v>
      </x:c>
    </x:row>
    <x:row r="71">
      <x:c r="A71" s="20" t="str">
        <x:v>RUN-20270109-10</x:v>
      </x:c>
      <x:c r="B71" s="23" t="n">
        <x:v>46396</x:v>
      </x:c>
      <x:c r="C71" s="32" t="n">
        <x:v>10</x:v>
      </x:c>
      <x:c r="D71" s="20" t="str">
        <x:v>Opening setup</x:v>
      </x:c>
      <x:c r="E71" s="20" t="str">
        <x:v>Workspace Administrator</x:v>
      </x:c>
      <x:c r="F71" s="20" t="str">
        <x:v>Mobile</x:v>
      </x:c>
      <x:c r="G71" s="20" t="str">
        <x:v>Scan attachment + manual confirmation</x:v>
      </x:c>
      <x:c r="H71" s="35" t="str">
        <x:v>Property ownership, basis, and loan setup</x:v>
      </x:c>
      <x:c r="I71" s="35" t="str">
        <x:v>P020; LN020</x:v>
      </x:c>
      <x:c r="J71" s="35" t="str">
        <x:v>SCN-0069; SCN-0070</x:v>
      </x:c>
      <x:c r="K71" s="35" t="str">
        <x:v>FIN-00001</x:v>
      </x:c>
      <x:c r="L71" s="35" t="str">
        <x:v>Open the property created by lease intake; attach the deed, verify owner/basis fields, then create or verify the loan and its current balance. Use the other client for the paired property/loan edit.</x:v>
      </x:c>
      <x:c r="M71" s="35" t="str">
        <x:v>One property and its canonical unit remain linked; owner, cost basis, land/building split, and loan terms match the oracle without duplicate records.</x:v>
      </x:c>
      <x:c r="N71" s="35" t="str">
        <x:v>Before/after screenshots; document links; property and loan detail; audit row; generated amortization sample.</x:v>
      </x:c>
      <x:c r="O71" s="35" t="str">
        <x:v>Try the same masked mortgage statement twice and prove idempotent attachment/draft behavior.</x:v>
      </x:c>
      <x:c r="P71" s="35" t="str">
        <x:v>All expected records and amounts match; no unexplained error or stale state.</x:v>
      </x:c>
    </x:row>
    <x:row r="72">
      <x:c r="A72" s="20" t="str">
        <x:v>RUN-20270110-01</x:v>
      </x:c>
      <x:c r="B72" s="23" t="n">
        <x:v>46397</x:v>
      </x:c>
      <x:c r="C72" s="32" t="n">
        <x:v>1</x:v>
      </x:c>
      <x:c r="D72" s="20" t="str">
        <x:v>Opening setup</x:v>
      </x:c>
      <x:c r="E72" s="20" t="str">
        <x:v>Workspace Administrator</x:v>
      </x:c>
      <x:c r="F72" s="20" t="str">
        <x:v>Web</x:v>
      </x:c>
      <x:c r="G72" s="20" t="str">
        <x:v>Scan attachment + manual confirmation</x:v>
      </x:c>
      <x:c r="H72" s="35" t="str">
        <x:v>Property ownership, basis, and loan setup</x:v>
      </x:c>
      <x:c r="I72" s="35" t="str">
        <x:v>P021; </x:v>
      </x:c>
      <x:c r="J72" s="35" t="str">
        <x:v>SCN-0071</x:v>
      </x:c>
      <x:c r="K72" s="35" t="str">
        <x:v>FIN-00001</x:v>
      </x:c>
      <x:c r="L72" s="35" t="str">
        <x:v>Open the property created by lease intake; attach the deed, verify owner/basis fields, then create or verify the loan and its current balance. Use the other client for the paired property/loan edit.</x:v>
      </x:c>
      <x:c r="M72" s="35" t="str">
        <x:v>One property and its canonical unit remain linked; owner, cost basis, land/building split, and loan terms match the oracle without duplicate records.</x:v>
      </x:c>
      <x:c r="N72" s="35" t="str">
        <x:v>Before/after screenshots; document links; property and loan detail; audit row; generated amortization sample.</x:v>
      </x:c>
      <x:c r="O72" s="35" t="str">
        <x:v>Try the same masked mortgage statement twice and prove idempotent attachment/draft behavior.</x:v>
      </x:c>
      <x:c r="P72" s="35" t="str">
        <x:v>All expected records and amounts match; no unexplained error or stale state.</x:v>
      </x:c>
    </x:row>
    <x:row r="73">
      <x:c r="A73" s="20" t="str">
        <x:v>RUN-20270110-02</x:v>
      </x:c>
      <x:c r="B73" s="23" t="n">
        <x:v>46397</x:v>
      </x:c>
      <x:c r="C73" s="32" t="n">
        <x:v>2</x:v>
      </x:c>
      <x:c r="D73" s="20" t="str">
        <x:v>Opening setup</x:v>
      </x:c>
      <x:c r="E73" s="20" t="str">
        <x:v>Workspace Administrator</x:v>
      </x:c>
      <x:c r="F73" s="20" t="str">
        <x:v>Mobile</x:v>
      </x:c>
      <x:c r="G73" s="20" t="str">
        <x:v>Scan attachment + manual confirmation</x:v>
      </x:c>
      <x:c r="H73" s="35" t="str">
        <x:v>Property ownership, basis, and loan setup</x:v>
      </x:c>
      <x:c r="I73" s="35" t="str">
        <x:v>P022; LN022</x:v>
      </x:c>
      <x:c r="J73" s="35" t="str">
        <x:v>SCN-0072; SCN-0073</x:v>
      </x:c>
      <x:c r="K73" s="35" t="str">
        <x:v>FIN-00001</x:v>
      </x:c>
      <x:c r="L73" s="35" t="str">
        <x:v>Open the property created by lease intake; attach the deed, verify owner/basis fields, then create or verify the loan and its current balance. Use the other client for the paired property/loan edit.</x:v>
      </x:c>
      <x:c r="M73" s="35" t="str">
        <x:v>One property and its canonical unit remain linked; owner, cost basis, land/building split, and loan terms match the oracle without duplicate records.</x:v>
      </x:c>
      <x:c r="N73" s="35" t="str">
        <x:v>Before/after screenshots; document links; property and loan detail; audit row; generated amortization sample.</x:v>
      </x:c>
      <x:c r="O73" s="35" t="str">
        <x:v>Try the same masked mortgage statement twice and prove idempotent attachment/draft behavior.</x:v>
      </x:c>
      <x:c r="P73" s="35" t="str">
        <x:v>All expected records and amounts match; no unexplained error or stale state.</x:v>
      </x:c>
    </x:row>
    <x:row r="74">
      <x:c r="A74" s="20" t="str">
        <x:v>RUN-20270110-03</x:v>
      </x:c>
      <x:c r="B74" s="23" t="n">
        <x:v>46397</x:v>
      </x:c>
      <x:c r="C74" s="32" t="n">
        <x:v>3</x:v>
      </x:c>
      <x:c r="D74" s="20" t="str">
        <x:v>Opening setup</x:v>
      </x:c>
      <x:c r="E74" s="20" t="str">
        <x:v>Workspace Administrator</x:v>
      </x:c>
      <x:c r="F74" s="20" t="str">
        <x:v>Web</x:v>
      </x:c>
      <x:c r="G74" s="20" t="str">
        <x:v>Scan attachment + manual confirmation</x:v>
      </x:c>
      <x:c r="H74" s="35" t="str">
        <x:v>Property ownership, basis, and loan setup</x:v>
      </x:c>
      <x:c r="I74" s="35" t="str">
        <x:v>P023; LN023</x:v>
      </x:c>
      <x:c r="J74" s="35" t="str">
        <x:v>SCN-0074; SCN-0075</x:v>
      </x:c>
      <x:c r="K74" s="35" t="str">
        <x:v>FIN-00001</x:v>
      </x:c>
      <x:c r="L74" s="35" t="str">
        <x:v>Open the property created by lease intake; attach the deed, verify owner/basis fields, then create or verify the loan and its current balance. Use the other client for the paired property/loan edit.</x:v>
      </x:c>
      <x:c r="M74" s="35" t="str">
        <x:v>One property and its canonical unit remain linked; owner, cost basis, land/building split, and loan terms match the oracle without duplicate records.</x:v>
      </x:c>
      <x:c r="N74" s="35" t="str">
        <x:v>Before/after screenshots; document links; property and loan detail; audit row; generated amortization sample.</x:v>
      </x:c>
      <x:c r="O74" s="35" t="str">
        <x:v>Try the same masked mortgage statement twice and prove idempotent attachment/draft behavior.</x:v>
      </x:c>
      <x:c r="P74" s="35" t="str">
        <x:v>All expected records and amounts match; no unexplained error or stale state.</x:v>
      </x:c>
    </x:row>
    <x:row r="75">
      <x:c r="A75" s="20" t="str">
        <x:v>RUN-20270110-04</x:v>
      </x:c>
      <x:c r="B75" s="23" t="n">
        <x:v>46397</x:v>
      </x:c>
      <x:c r="C75" s="32" t="n">
        <x:v>4</x:v>
      </x:c>
      <x:c r="D75" s="20" t="str">
        <x:v>Opening setup</x:v>
      </x:c>
      <x:c r="E75" s="20" t="str">
        <x:v>Workspace Administrator</x:v>
      </x:c>
      <x:c r="F75" s="20" t="str">
        <x:v>Mobile</x:v>
      </x:c>
      <x:c r="G75" s="20" t="str">
        <x:v>Scan attachment + manual confirmation</x:v>
      </x:c>
      <x:c r="H75" s="35" t="str">
        <x:v>Property ownership, basis, and loan setup</x:v>
      </x:c>
      <x:c r="I75" s="35" t="str">
        <x:v>P024; </x:v>
      </x:c>
      <x:c r="J75" s="35" t="str">
        <x:v>SCN-0076</x:v>
      </x:c>
      <x:c r="K75" s="35" t="str">
        <x:v>FIN-00001</x:v>
      </x:c>
      <x:c r="L75" s="35" t="str">
        <x:v>Open the property created by lease intake; attach the deed, verify owner/basis fields, then create or verify the loan and its current balance. Use the other client for the paired property/loan edit.</x:v>
      </x:c>
      <x:c r="M75" s="35" t="str">
        <x:v>One property and its canonical unit remain linked; owner, cost basis, land/building split, and loan terms match the oracle without duplicate records.</x:v>
      </x:c>
      <x:c r="N75" s="35" t="str">
        <x:v>Before/after screenshots; document links; property and loan detail; audit row; generated amortization sample.</x:v>
      </x:c>
      <x:c r="O75" s="35" t="str">
        <x:v>Try the same masked mortgage statement twice and prove idempotent attachment/draft behavior.</x:v>
      </x:c>
      <x:c r="P75" s="35" t="str">
        <x:v>All expected records and amounts match; no unexplained error or stale state.</x:v>
      </x:c>
    </x:row>
    <x:row r="76">
      <x:c r="A76" s="20" t="str">
        <x:v>RUN-20270110-05</x:v>
      </x:c>
      <x:c r="B76" s="23" t="n">
        <x:v>46397</x:v>
      </x:c>
      <x:c r="C76" s="32" t="n">
        <x:v>5</x:v>
      </x:c>
      <x:c r="D76" s="20" t="str">
        <x:v>Opening setup</x:v>
      </x:c>
      <x:c r="E76" s="20" t="str">
        <x:v>Workspace Administrator</x:v>
      </x:c>
      <x:c r="F76" s="20" t="str">
        <x:v>Web</x:v>
      </x:c>
      <x:c r="G76" s="20" t="str">
        <x:v>Scan attachment + manual confirmation</x:v>
      </x:c>
      <x:c r="H76" s="35" t="str">
        <x:v>Property ownership, basis, and loan setup</x:v>
      </x:c>
      <x:c r="I76" s="35" t="str">
        <x:v>P025; LN025</x:v>
      </x:c>
      <x:c r="J76" s="35" t="str">
        <x:v>SCN-0077; SCN-0078</x:v>
      </x:c>
      <x:c r="K76" s="35" t="str">
        <x:v>FIN-00001</x:v>
      </x:c>
      <x:c r="L76" s="35" t="str">
        <x:v>Open the property created by lease intake; attach the deed, verify owner/basis fields, then create or verify the loan and its current balance. Use the other client for the paired property/loan edit.</x:v>
      </x:c>
      <x:c r="M76" s="35" t="str">
        <x:v>One property and its canonical unit remain linked; owner, cost basis, land/building split, and loan terms match the oracle without duplicate records.</x:v>
      </x:c>
      <x:c r="N76" s="35" t="str">
        <x:v>Before/after screenshots; document links; property and loan detail; audit row; generated amortization sample.</x:v>
      </x:c>
      <x:c r="O76" s="35" t="str">
        <x:v>Try the same masked mortgage statement twice and prove idempotent attachment/draft behavior.</x:v>
      </x:c>
      <x:c r="P76" s="35" t="str">
        <x:v>All expected records and amounts match; no unexplained error or stale state.</x:v>
      </x:c>
    </x:row>
    <x:row r="77">
      <x:c r="A77" s="20" t="str">
        <x:v>RUN-20270110-06</x:v>
      </x:c>
      <x:c r="B77" s="23" t="n">
        <x:v>46397</x:v>
      </x:c>
      <x:c r="C77" s="32" t="n">
        <x:v>6</x:v>
      </x:c>
      <x:c r="D77" s="20" t="str">
        <x:v>Opening setup</x:v>
      </x:c>
      <x:c r="E77" s="20" t="str">
        <x:v>Workspace Administrator</x:v>
      </x:c>
      <x:c r="F77" s="20" t="str">
        <x:v>Mobile</x:v>
      </x:c>
      <x:c r="G77" s="20" t="str">
        <x:v>Scan attachment + manual confirmation</x:v>
      </x:c>
      <x:c r="H77" s="35" t="str">
        <x:v>Property ownership, basis, and loan setup</x:v>
      </x:c>
      <x:c r="I77" s="35" t="str">
        <x:v>P026; LN026</x:v>
      </x:c>
      <x:c r="J77" s="35" t="str">
        <x:v>SCN-0079; SCN-0080</x:v>
      </x:c>
      <x:c r="K77" s="35" t="str">
        <x:v>FIN-00001</x:v>
      </x:c>
      <x:c r="L77" s="35" t="str">
        <x:v>Open the property created by lease intake; attach the deed, verify owner/basis fields, then create or verify the loan and its current balance. Use the other client for the paired property/loan edit.</x:v>
      </x:c>
      <x:c r="M77" s="35" t="str">
        <x:v>One property and its canonical unit remain linked; owner, cost basis, land/building split, and loan terms match the oracle without duplicate records.</x:v>
      </x:c>
      <x:c r="N77" s="35" t="str">
        <x:v>Before/after screenshots; document links; property and loan detail; audit row; generated amortization sample.</x:v>
      </x:c>
      <x:c r="O77" s="35" t="str">
        <x:v>Try the same masked mortgage statement twice and prove idempotent attachment/draft behavior.</x:v>
      </x:c>
      <x:c r="P77" s="35" t="str">
        <x:v>All expected records and amounts match; no unexplained error or stale state.</x:v>
      </x:c>
    </x:row>
    <x:row r="78">
      <x:c r="A78" s="20" t="str">
        <x:v>RUN-20270110-07</x:v>
      </x:c>
      <x:c r="B78" s="23" t="n">
        <x:v>46397</x:v>
      </x:c>
      <x:c r="C78" s="32" t="n">
        <x:v>7</x:v>
      </x:c>
      <x:c r="D78" s="20" t="str">
        <x:v>Opening setup</x:v>
      </x:c>
      <x:c r="E78" s="20" t="str">
        <x:v>Workspace Administrator</x:v>
      </x:c>
      <x:c r="F78" s="20" t="str">
        <x:v>Web</x:v>
      </x:c>
      <x:c r="G78" s="20" t="str">
        <x:v>Scan attachment + manual confirmation</x:v>
      </x:c>
      <x:c r="H78" s="35" t="str">
        <x:v>Property ownership, basis, and loan setup</x:v>
      </x:c>
      <x:c r="I78" s="35" t="str">
        <x:v>P027; </x:v>
      </x:c>
      <x:c r="J78" s="35" t="str">
        <x:v>SCN-0081</x:v>
      </x:c>
      <x:c r="K78" s="35" t="str">
        <x:v>FIN-00001</x:v>
      </x:c>
      <x:c r="L78" s="35" t="str">
        <x:v>Open the property created by lease intake; attach the deed, verify owner/basis fields, then create or verify the loan and its current balance. Use the other client for the paired property/loan edit.</x:v>
      </x:c>
      <x:c r="M78" s="35" t="str">
        <x:v>One property and its canonical unit remain linked; owner, cost basis, land/building split, and loan terms match the oracle without duplicate records.</x:v>
      </x:c>
      <x:c r="N78" s="35" t="str">
        <x:v>Before/after screenshots; document links; property and loan detail; audit row; generated amortization sample.</x:v>
      </x:c>
      <x:c r="O78" s="35" t="str">
        <x:v>Try the same masked mortgage statement twice and prove idempotent attachment/draft behavior.</x:v>
      </x:c>
      <x:c r="P78" s="35" t="str">
        <x:v>All expected records and amounts match; no unexplained error or stale state.</x:v>
      </x:c>
    </x:row>
    <x:row r="79">
      <x:c r="A79" s="20" t="str">
        <x:v>RUN-20270110-08</x:v>
      </x:c>
      <x:c r="B79" s="23" t="n">
        <x:v>46397</x:v>
      </x:c>
      <x:c r="C79" s="32" t="n">
        <x:v>8</x:v>
      </x:c>
      <x:c r="D79" s="20" t="str">
        <x:v>Opening setup</x:v>
      </x:c>
      <x:c r="E79" s="20" t="str">
        <x:v>Workspace Administrator</x:v>
      </x:c>
      <x:c r="F79" s="20" t="str">
        <x:v>Mobile</x:v>
      </x:c>
      <x:c r="G79" s="20" t="str">
        <x:v>Scan attachment + manual confirmation</x:v>
      </x:c>
      <x:c r="H79" s="35" t="str">
        <x:v>Property ownership, basis, and loan setup</x:v>
      </x:c>
      <x:c r="I79" s="35" t="str">
        <x:v>P028; LN028</x:v>
      </x:c>
      <x:c r="J79" s="35" t="str">
        <x:v>SCN-0082; SCN-0083</x:v>
      </x:c>
      <x:c r="K79" s="35" t="str">
        <x:v>FIN-00001</x:v>
      </x:c>
      <x:c r="L79" s="35" t="str">
        <x:v>Open the property created by lease intake; attach the deed, verify owner/basis fields, then create or verify the loan and its current balance. Use the other client for the paired property/loan edit.</x:v>
      </x:c>
      <x:c r="M79" s="35" t="str">
        <x:v>One property and its canonical unit remain linked; owner, cost basis, land/building split, and loan terms match the oracle without duplicate records.</x:v>
      </x:c>
      <x:c r="N79" s="35" t="str">
        <x:v>Before/after screenshots; document links; property and loan detail; audit row; generated amortization sample.</x:v>
      </x:c>
      <x:c r="O79" s="35" t="str">
        <x:v>Try the same masked mortgage statement twice and prove idempotent attachment/draft behavior.</x:v>
      </x:c>
      <x:c r="P79" s="35" t="str">
        <x:v>All expected records and amounts match; no unexplained error or stale state.</x:v>
      </x:c>
    </x:row>
    <x:row r="80">
      <x:c r="A80" s="20" t="str">
        <x:v>RUN-20270110-09</x:v>
      </x:c>
      <x:c r="B80" s="23" t="n">
        <x:v>46397</x:v>
      </x:c>
      <x:c r="C80" s="32" t="n">
        <x:v>9</x:v>
      </x:c>
      <x:c r="D80" s="20" t="str">
        <x:v>Opening setup</x:v>
      </x:c>
      <x:c r="E80" s="20" t="str">
        <x:v>Workspace Administrator</x:v>
      </x:c>
      <x:c r="F80" s="20" t="str">
        <x:v>Web</x:v>
      </x:c>
      <x:c r="G80" s="20" t="str">
        <x:v>Scan attachment + manual confirmation</x:v>
      </x:c>
      <x:c r="H80" s="35" t="str">
        <x:v>Property ownership, basis, and loan setup</x:v>
      </x:c>
      <x:c r="I80" s="35" t="str">
        <x:v>P029; LN029</x:v>
      </x:c>
      <x:c r="J80" s="35" t="str">
        <x:v>SCN-0084; SCN-0085</x:v>
      </x:c>
      <x:c r="K80" s="35" t="str">
        <x:v>FIN-00001</x:v>
      </x:c>
      <x:c r="L80" s="35" t="str">
        <x:v>Open the property created by lease intake; attach the deed, verify owner/basis fields, then create or verify the loan and its current balance. Use the other client for the paired property/loan edit.</x:v>
      </x:c>
      <x:c r="M80" s="35" t="str">
        <x:v>One property and its canonical unit remain linked; owner, cost basis, land/building split, and loan terms match the oracle without duplicate records.</x:v>
      </x:c>
      <x:c r="N80" s="35" t="str">
        <x:v>Before/after screenshots; document links; property and loan detail; audit row; generated amortization sample.</x:v>
      </x:c>
      <x:c r="O80" s="35" t="str">
        <x:v>Try the same masked mortgage statement twice and prove idempotent attachment/draft behavior.</x:v>
      </x:c>
      <x:c r="P80" s="35" t="str">
        <x:v>All expected records and amounts match; no unexplained error or stale state.</x:v>
      </x:c>
    </x:row>
    <x:row r="81">
      <x:c r="A81" s="20" t="str">
        <x:v>RUN-20270110-10</x:v>
      </x:c>
      <x:c r="B81" s="23" t="n">
        <x:v>46397</x:v>
      </x:c>
      <x:c r="C81" s="32" t="n">
        <x:v>10</x:v>
      </x:c>
      <x:c r="D81" s="20" t="str">
        <x:v>Opening setup</x:v>
      </x:c>
      <x:c r="E81" s="20" t="str">
        <x:v>Workspace Administrator</x:v>
      </x:c>
      <x:c r="F81" s="20" t="str">
        <x:v>Mobile</x:v>
      </x:c>
      <x:c r="G81" s="20" t="str">
        <x:v>Scan attachment + manual confirmation</x:v>
      </x:c>
      <x:c r="H81" s="35" t="str">
        <x:v>Property ownership, basis, and loan setup</x:v>
      </x:c>
      <x:c r="I81" s="35" t="str">
        <x:v>P030; </x:v>
      </x:c>
      <x:c r="J81" s="35" t="str">
        <x:v>SCN-0086</x:v>
      </x:c>
      <x:c r="K81" s="35" t="str">
        <x:v>FIN-00001</x:v>
      </x:c>
      <x:c r="L81" s="35" t="str">
        <x:v>Open the property created by lease intake; attach the deed, verify owner/basis fields, then create or verify the loan and its current balance. Use the other client for the paired property/loan edit.</x:v>
      </x:c>
      <x:c r="M81" s="35" t="str">
        <x:v>One property and its canonical unit remain linked; owner, cost basis, land/building split, and loan terms match the oracle without duplicate records.</x:v>
      </x:c>
      <x:c r="N81" s="35" t="str">
        <x:v>Before/after screenshots; document links; property and loan detail; audit row; generated amortization sample.</x:v>
      </x:c>
      <x:c r="O81" s="35" t="str">
        <x:v>Try the same masked mortgage statement twice and prove idempotent attachment/draft behavior.</x:v>
      </x:c>
      <x:c r="P81" s="35" t="str">
        <x:v>All expected records and amounts match; no unexplained error or stale state.</x:v>
      </x:c>
    </x:row>
    <x:row r="82">
      <x:c r="A82" s="20" t="str">
        <x:v>RUN-20270111-01</x:v>
      </x:c>
      <x:c r="B82" s="23" t="n">
        <x:v>46398</x:v>
      </x:c>
      <x:c r="C82" s="32" t="n">
        <x:v>1</x:v>
      </x:c>
      <x:c r="D82" s="20" t="str">
        <x:v>Weekly operations</x:v>
      </x:c>
      <x:c r="E82" s="20" t="str">
        <x:v>Property Manager</x:v>
      </x:c>
      <x:c r="F82" s="20" t="str">
        <x:v>Web</x:v>
      </x:c>
      <x:c r="G82" s="20" t="str">
        <x:v>Scan-first</x:v>
      </x:c>
      <x:c r="H82" s="35" t="str">
        <x:v>Create and triage maintenance request</x:v>
      </x:c>
      <x:c r="I82" s="35" t="str">
        <x:v>P015; U015; WO-2027-002</x:v>
      </x:c>
      <x:c r="J82" s="35" t="str">
        <x:v>SCN-0349</x:v>
      </x:c>
      <x:c r="K82" s="35" t="str"/>
      <x:c r="L82" s="35" t="str">
        <x:v>Capture the tenant note/photo; review loose outlet; confirm; set responsibility; dispatch Metro Electric; create an appointment and verify the tenant notification.</x:v>
      </x:c>
      <x:c r="M82" s="35" t="str">
        <x:v>Work order, status timeline, responsibility, vendor dispatch, appointment, notification, and Unit context are linked once.</x:v>
      </x:c>
      <x:c r="N82" s="35" t="str">
        <x:v>Scan review; work order detail/timeline; dispatch; appointment; notification; tenant portal view.</x:v>
      </x:c>
      <x:c r="O82" s="35" t="str">
        <x:v>Cancel one dispatch each quarter, reassign once, and prove status/history remains append-only.</x:v>
      </x:c>
      <x:c r="P82" s="35" t="str">
        <x:v>All expected records and amounts match; no unexplained error or stale state.</x:v>
      </x:c>
    </x:row>
    <x:row r="83">
      <x:c r="A83" s="20" t="str">
        <x:v>RUN-20270111-02</x:v>
      </x:c>
      <x:c r="B83" s="23" t="n">
        <x:v>46398</x:v>
      </x:c>
      <x:c r="C83" s="32" t="n">
        <x:v>2</x:v>
      </x:c>
      <x:c r="D83" s="20" t="str">
        <x:v>Leasing</x:v>
      </x:c>
      <x:c r="E83" s="20" t="str">
        <x:v>Leasing Agent</x:v>
      </x:c>
      <x:c r="F83" s="20" t="str">
        <x:v>Mobile</x:v>
      </x:c>
      <x:c r="G83" s="20" t="str">
        <x:v>Scan/document + e-sign</x:v>
      </x:c>
      <x:c r="H83" s="35" t="str">
        <x:v>Issue and execute lease agreement</x:v>
      </x:c>
      <x:c r="I83" s="35" t="str">
        <x:v>L043; U037</x:v>
      </x:c>
      <x:c r="J83" s="35" t="str">
        <x:v>SCN-0925</x:v>
      </x:c>
      <x:c r="K83" s="35" t="str"/>
      <x:c r="L83" s="35" t="str">
        <x:v>Confirm the scanned/native agreement against the prepared draft; issue a signature packet; view as landlord and tenant; sign; finalize immutable PDF/hash; verify Agreement is Upcoming until effective date.</x:v>
      </x:c>
      <x:c r="M83" s="35" t="str">
        <x:v>Issued version is immutable, one signature packet is active, audit events are complete, and the effective-status projection follows the simulated date.</x:v>
      </x:c>
      <x:c r="N83" s="35" t="str">
        <x:v>Draft/issued/final PDFs; hashes; signer states; signature audit; portal view; status before/after effective date.</x:v>
      </x:c>
      <x:c r="O83" s="35" t="str">
        <x:v>Void one deliberately incorrect issued packet, issue a replacement, and prove the voided artifact remains while no competing active packet exists.</x:v>
      </x:c>
      <x:c r="P83" s="35" t="str">
        <x:v>All expected records and amounts match; no unexplained error or stale state.</x:v>
      </x:c>
    </x:row>
    <x:row r="84">
      <x:c r="A84" s="20" t="str">
        <x:v>RUN-20270111-03</x:v>
      </x:c>
      <x:c r="B84" s="23" t="n">
        <x:v>46398</x:v>
      </x:c>
      <x:c r="C84" s="32" t="n">
        <x:v>3</x:v>
      </x:c>
      <x:c r="D84" s="20" t="str">
        <x:v>Surface coverage</x:v>
      </x:c>
      <x:c r="E84" s="20" t="str">
        <x:v>Role appropriate to surface</x:v>
      </x:c>
      <x:c r="F84" s="20" t="str">
        <x:v>Web</x:v>
      </x:c>
      <x:c r="G84" s="20" t="str">
        <x:v>Manual</x:v>
      </x:c>
      <x:c r="H84" s="35" t="str">
        <x:v>Manual web pass: Register, verify email, login, logout</x:v>
      </x:c>
      <x:c r="I84" s="35" t="str">
        <x:v>COV-001</x:v>
      </x:c>
      <x:c r="J84" s="35" t="str"/>
      <x:c r="K84" s="35" t="str"/>
      <x:c r="L84" s="35" t="str">
        <x:v>Create a second staff identity; verify validation, refresh, logout, back navigation, and app-scoped cookies/tokens.</x:v>
      </x:c>
      <x:c r="M84" s="35" t="str">
        <x:v>The supported workflow completes and persists correctly; if the capability is absent, the exact gap is proven and queued rather than silently skipped.</x:v>
      </x:c>
      <x:c r="N84" s="35" t="str">
        <x:v>Real UI screenshot/state; submitted values; persisted read-back; cross-client read-back; audit/role/access evidence.</x:v>
      </x:c>
      <x:c r="O84" s="35" t="str">
        <x:v>Use one invalid value, stale-state retry, or duplicate submission relevant to the form; no partial or duplicate mutation.</x:v>
      </x:c>
      <x:c r="P84" s="35" t="str">
        <x:v>All expected records and amounts match; no unexplained error or stale state.</x:v>
      </x:c>
    </x:row>
    <x:row r="85">
      <x:c r="A85" s="20" t="str">
        <x:v>RUN-20270112-01</x:v>
      </x:c>
      <x:c r="B85" s="23" t="n">
        <x:v>46399</x:v>
      </x:c>
      <x:c r="C85" s="32" t="n">
        <x:v>1</x:v>
      </x:c>
      <x:c r="D85" s="20" t="str">
        <x:v>Monthly operations</x:v>
      </x:c>
      <x:c r="E85" s="20" t="str">
        <x:v>Property Manager</x:v>
      </x:c>
      <x:c r="F85" s="20" t="str">
        <x:v>Mobile</x:v>
      </x:c>
      <x:c r="G85" s="20" t="str">
        <x:v>Scanned money order</x:v>
      </x:c>
      <x:c r="H85" s="35" t="str">
        <x:v>Post and allocate tenant receipt</x:v>
      </x:c>
      <x:c r="I85" s="35" t="str">
        <x:v>P011; U011; L011</x:v>
      </x:c>
      <x:c r="J85" s="35" t="str">
        <x:v>SCN-0092</x:v>
      </x:c>
      <x:c r="K85" s="35" t="str">
        <x:v>FIN-00024; FIN-00025</x:v>
      </x:c>
      <x:c r="L85" s="35" t="str">
        <x:v>Open Scan for paper payment or the tenant-account receipt form for electronic payment; verify tenant/lease match, amount, date, method, and reference; confirm once; open ledger detail and allocation.</x:v>
      </x:c>
      <x:c r="M85" s="35" t="str">
        <x:v>Receipt is append-only, allocated once to the correct rent charge, and visible consistently in Unit, Lease, Tenant Account, Accounting, and portal views.</x:v>
      </x:c>
      <x:c r="N85" s="35" t="str">
        <x:v>Scan review or form; success result; exact ledger rows; payment detail; accounting delta; portal receipt.</x:v>
      </x:c>
      <x:c r="O85" s="35" t="str">
        <x:v>Retry the idempotency key once during the quarter assigned in the coverage matrix; no duplicate cash or allocation.</x:v>
      </x:c>
      <x:c r="P85" s="35" t="str">
        <x:v>All expected records and amounts match; no unexplained error or stale state.</x:v>
      </x:c>
    </x:row>
    <x:row r="86">
      <x:c r="A86" s="20" t="str">
        <x:v>RUN-20270112-02</x:v>
      </x:c>
      <x:c r="B86" s="23" t="n">
        <x:v>46399</x:v>
      </x:c>
      <x:c r="C86" s="32" t="n">
        <x:v>2</x:v>
      </x:c>
      <x:c r="D86" s="20" t="str">
        <x:v>Monthly operations</x:v>
      </x:c>
      <x:c r="E86" s="20" t="str">
        <x:v>Property Manager</x:v>
      </x:c>
      <x:c r="F86" s="20" t="str">
        <x:v>Web</x:v>
      </x:c>
      <x:c r="G86" s="20" t="str">
        <x:v>Scanned check</x:v>
      </x:c>
      <x:c r="H86" s="35" t="str">
        <x:v>Post and allocate tenant receipt</x:v>
      </x:c>
      <x:c r="I86" s="35" t="str">
        <x:v>P021; U022; L022</x:v>
      </x:c>
      <x:c r="J86" s="35" t="str">
        <x:v>SCN-0099</x:v>
      </x:c>
      <x:c r="K86" s="35" t="str">
        <x:v>FIN-00049; FIN-00050</x:v>
      </x:c>
      <x:c r="L86" s="35" t="str">
        <x:v>Open Scan for paper payment or the tenant-account receipt form for electronic payment; verify tenant/lease match, amount, date, method, and reference; confirm once; open ledger detail and allocation.</x:v>
      </x:c>
      <x:c r="M86" s="35" t="str">
        <x:v>Receipt is append-only, allocated once to the correct rent charge, and visible consistently in Unit, Lease, Tenant Account, Accounting, and portal views.</x:v>
      </x:c>
      <x:c r="N86" s="35" t="str">
        <x:v>Scan review or form; success result; exact ledger rows; payment detail; accounting delta; portal receipt.</x:v>
      </x:c>
      <x:c r="O86" s="35" t="str">
        <x:v>Retry the idempotency key once during the quarter assigned in the coverage matrix; no duplicate cash or allocation.</x:v>
      </x:c>
      <x:c r="P86" s="35" t="str">
        <x:v>All expected records and amounts match; no unexplained error or stale state.</x:v>
      </x:c>
    </x:row>
    <x:row r="87">
      <x:c r="A87" s="20" t="str">
        <x:v>RUN-20270112-03</x:v>
      </x:c>
      <x:c r="B87" s="23" t="n">
        <x:v>46399</x:v>
      </x:c>
      <x:c r="C87" s="32" t="n">
        <x:v>3</x:v>
      </x:c>
      <x:c r="D87" s="20" t="str">
        <x:v>Monthly operations</x:v>
      </x:c>
      <x:c r="E87" s="20" t="str">
        <x:v>Property Manager</x:v>
      </x:c>
      <x:c r="F87" s="20" t="str">
        <x:v>Mobile</x:v>
      </x:c>
      <x:c r="G87" s="20" t="str">
        <x:v>Portal card</x:v>
      </x:c>
      <x:c r="H87" s="35" t="str">
        <x:v>Post and allocate tenant receipt</x:v>
      </x:c>
      <x:c r="I87" s="35" t="str">
        <x:v>P027; U033; L033</x:v>
      </x:c>
      <x:c r="J87" s="35" t="str"/>
      <x:c r="K87" s="35" t="str">
        <x:v>FIN-00074; FIN-00075</x:v>
      </x:c>
      <x:c r="L87" s="35" t="str">
        <x:v>Open Scan for paper payment or the tenant-account receipt form for electronic payment; verify tenant/lease match, amount, date, method, and reference; confirm once; open ledger detail and allocation.</x:v>
      </x:c>
      <x:c r="M87" s="35" t="str">
        <x:v>Receipt is append-only, allocated once to the correct rent charge, and visible consistently in Unit, Lease, Tenant Account, Accounting, and portal views.</x:v>
      </x:c>
      <x:c r="N87" s="35" t="str">
        <x:v>Scan review or form; success result; exact ledger rows; payment detail; accounting delta; portal receipt.</x:v>
      </x:c>
      <x:c r="O87" s="35" t="str">
        <x:v>Retry the idempotency key once during the quarter assigned in the coverage matrix; no duplicate cash or allocation.</x:v>
      </x:c>
      <x:c r="P87" s="35" t="str">
        <x:v>All expected records and amounts match; no unexplained error or stale state.</x:v>
      </x:c>
    </x:row>
    <x:row r="88">
      <x:c r="A88" s="20" t="str">
        <x:v>RUN-20270112-04</x:v>
      </x:c>
      <x:c r="B88" s="23" t="n">
        <x:v>46399</x:v>
      </x:c>
      <x:c r="C88" s="32" t="n">
        <x:v>4</x:v>
      </x:c>
      <x:c r="D88" s="20" t="str">
        <x:v>Weekly operations</x:v>
      </x:c>
      <x:c r="E88" s="20" t="str">
        <x:v>Property Manager</x:v>
      </x:c>
      <x:c r="F88" s="20" t="str">
        <x:v>Web</x:v>
      </x:c>
      <x:c r="G88" s="20" t="str">
        <x:v>Scanned receipt/invoice</x:v>
      </x:c>
      <x:c r="H88" s="35" t="str">
        <x:v>Record, review, allocate, and pay operating expense</x:v>
      </x:c>
      <x:c r="I88" s="35" t="str">
        <x:v>P015; U015; WO-2027-002</x:v>
      </x:c>
      <x:c r="J88" s="35" t="str">
        <x:v>SCN-0350</x:v>
      </x:c>
      <x:c r="K88" s="35" t="str">
        <x:v>FIN-01025</x:v>
      </x:c>
      <x:c r="L88" s="35" t="str">
        <x:v>Capture or upload the source; verify vendor, date, scope, category, line items, tax, amount, and work-order link; confirm; open detail; verify attachment; compare Money and Property/Unit views.</x:v>
      </x:c>
      <x:c r="M88" s="35" t="str">
        <x:v>One expense exists at its real operational scope, cash falls once, Schedule E category and allocations agree, and no per-unit copies are created.</x:v>
      </x:c>
      <x:c r="N88" s="35" t="str">
        <x:v>Source preview; review/form; expense detail; line items; Property/Unit ledger; audit; accounting/report delta.</x:v>
      </x:c>
      <x:c r="O88" s="35" t="str">
        <x:v>On marked duplicate-invoice cases, re-upload before confirm and prove the product prevents or clearly warns about duplication.</x:v>
      </x:c>
      <x:c r="P88" s="35" t="str">
        <x:v>All expected records and amounts match; no unexplained error or stale state.</x:v>
      </x:c>
    </x:row>
    <x:row r="89">
      <x:c r="A89" s="20" t="str">
        <x:v>RUN-20270112-05</x:v>
      </x:c>
      <x:c r="B89" s="23" t="n">
        <x:v>46399</x:v>
      </x:c>
      <x:c r="C89" s="32" t="n">
        <x:v>5</x:v>
      </x:c>
      <x:c r="D89" s="20" t="str">
        <x:v>Surface coverage</x:v>
      </x:c>
      <x:c r="E89" s="20" t="str">
        <x:v>Role appropriate to surface</x:v>
      </x:c>
      <x:c r="F89" s="20" t="str">
        <x:v>Mobile</x:v>
      </x:c>
      <x:c r="G89" s="20" t="str">
        <x:v>Manual</x:v>
      </x:c>
      <x:c r="H89" s="35" t="str">
        <x:v>Manual mobile pass: Register, verify email, login, logout</x:v>
      </x:c>
      <x:c r="I89" s="35" t="str">
        <x:v>COV-001</x:v>
      </x:c>
      <x:c r="J89" s="35" t="str"/>
      <x:c r="K89" s="35" t="str"/>
      <x:c r="L89" s="35" t="str">
        <x:v>Create a second staff identity; verify validation, refresh, logout, back navigation, and app-scoped cookies/tokens.</x:v>
      </x:c>
      <x:c r="M89" s="35" t="str">
        <x:v>The supported workflow completes and persists correctly; if the capability is absent, the exact gap is proven and queued rather than silently skipped.</x:v>
      </x:c>
      <x:c r="N89" s="35" t="str">
        <x:v>Real UI screenshot/state; submitted values; persisted read-back; cross-client read-back; audit/role/access evidence.</x:v>
      </x:c>
      <x:c r="O89" s="35" t="str">
        <x:v>Use one invalid value, stale-state retry, or duplicate submission relevant to the form; no partial or duplicate mutation.</x:v>
      </x:c>
      <x:c r="P89" s="35" t="str">
        <x:v>All expected records and amounts match; no unexplained error or stale state.</x:v>
      </x:c>
    </x:row>
    <x:row r="90">
      <x:c r="A90" s="20" t="str">
        <x:v>RUN-20270114-01</x:v>
      </x:c>
      <x:c r="B90" s="23" t="n">
        <x:v>46401</x:v>
      </x:c>
      <x:c r="C90" s="32" t="n">
        <x:v>1</x:v>
      </x:c>
      <x:c r="D90" s="20" t="str">
        <x:v>Lease ending</x:v>
      </x:c>
      <x:c r="E90" s="20" t="str">
        <x:v>Property Manager</x:v>
      </x:c>
      <x:c r="F90" s="20" t="str">
        <x:v>Mobile</x:v>
      </x:c>
      <x:c r="G90" s="20" t="str">
        <x:v>Scan attachment + manual lifecycle</x:v>
      </x:c>
      <x:c r="H90" s="35" t="str">
        <x:v>Record notice and plan lease ending</x:v>
      </x:c>
      <x:c r="I90" s="35" t="str">
        <x:v>L005; U005</x:v>
      </x:c>
      <x:c r="J90" s="35" t="str">
        <x:v>SCN-0935</x:v>
      </x:c>
      <x:c r="K90" s="35" t="str"/>
      <x:c r="L90" s="35" t="str">
        <x:v>Attach/capture the source notice; create the matching notice draft/history; record planned move-out and ending disposition; schedule inspection and turnover work.</x:v>
      </x:c>
      <x:c r="M90" s="35" t="str">
        <x:v>Notice source, effective dates, appointment, ending facts, and Unit next action agree without ending occupancy early.</x:v>
      </x:c>
      <x:c r="N90" s="35" t="str">
        <x:v>Notice source/preview; lease timeline; appointment; Unit summary; notification/audit.</x:v>
      </x:c>
      <x:c r="O90" s="35" t="str">
        <x:v>Use an upload date after the document date and prove both dates remain distinct.</x:v>
      </x:c>
      <x:c r="P90" s="35" t="str">
        <x:v>All expected records and amounts match; no unexplained error or stale state.</x:v>
      </x:c>
    </x:row>
    <x:row r="91">
      <x:c r="A91" s="20" t="str">
        <x:v>RUN-20270115-01</x:v>
      </x:c>
      <x:c r="B91" s="23" t="n">
        <x:v>46402</x:v>
      </x:c>
      <x:c r="C91" s="32" t="n">
        <x:v>1</x:v>
      </x:c>
      <x:c r="D91" s="20" t="str">
        <x:v>Opening setup</x:v>
      </x:c>
      <x:c r="E91" s="20" t="str">
        <x:v>Workspace Administrator</x:v>
      </x:c>
      <x:c r="F91" s="20" t="str">
        <x:v>Web + Mobile</x:v>
      </x:c>
      <x:c r="G91" s="20" t="str">
        <x:v>Reconciliation</x:v>
      </x:c>
      <x:c r="H91" s="35" t="str">
        <x:v>Opening portfolio control checkpoint</x:v>
      </x:c>
      <x:c r="I91" s="35" t="str">
        <x:v>30 properties; 40 units; 36 active opening leases; 36 tenant accounts</x:v>
      </x:c>
      <x:c r="J91" s="35" t="str">
        <x:v>SCN-0001; SCN-0002; SCN-0003; SCN-0004; SCN-0005; SCN-0006; SCN-0007; SCN-0008; SCN-0009; SCN-0010; SCN-0011; SCN-0012; SCN-0013; SCN-0014; SCN-0015; SCN-0016; SCN-0017; SCN-0018; SCN-0019; SCN-0020; SCN-0021; SCN-0022; SCN-0023; SCN-0024; SCN-0025; SCN-0026; SCN-0027; SCN-0028; SCN-0029; SCN-0030; SCN-0031; SCN-0032; SCN-0033; SCN-0034; SCN-0035; SCN-0036</x:v>
      </x:c>
      <x:c r="K91" s="35" t="str">
        <x:v>FIN-00001</x:v>
      </x:c>
      <x:c r="L91" s="35" t="str">
        <x:v>Reconcile dashboard, Rentals lists, Owner views, deposit register, property basis, loans, occupied/vacant units, lease expirations, and opening bank balances against the Portfolio and Oracle sheets.</x:v>
      </x:c>
      <x:c r="M91" s="35" t="str">
        <x:v>Counts, ownership, opening cash, loan liability, deposit cash/liability, and occupied/vacant states equal the independent controls.</x:v>
      </x:c>
      <x:c r="N91" s="35" t="str">
        <x:v>One evidence pack containing both clients, filtered reports, and exported opening reports.</x:v>
      </x:c>
      <x:c r="O91" s="35" t="str">
        <x:v>Use role-restricted staff and tenant accounts to prove cross-role/cross-portfolio isolation.</x:v>
      </x:c>
      <x:c r="P91" s="35" t="str">
        <x:v>No unexplained variance; all rejected/duplicate scans have durable status and created nothing.</x:v>
      </x:c>
    </x:row>
    <x:row r="92">
      <x:c r="A92" s="20" t="str">
        <x:v>RUN-20270115-02</x:v>
      </x:c>
      <x:c r="B92" s="23" t="n">
        <x:v>46402</x:v>
      </x:c>
      <x:c r="C92" s="32" t="n">
        <x:v>2</x:v>
      </x:c>
      <x:c r="D92" s="20" t="str">
        <x:v>Weekly operations</x:v>
      </x:c>
      <x:c r="E92" s="20" t="str">
        <x:v>Property Manager</x:v>
      </x:c>
      <x:c r="F92" s="20" t="str">
        <x:v>Mobile</x:v>
      </x:c>
      <x:c r="G92" s="20" t="str">
        <x:v>Scanned receipt/invoice</x:v>
      </x:c>
      <x:c r="H92" s="35" t="str">
        <x:v>Record, review, allocate, and pay operating expense</x:v>
      </x:c>
      <x:c r="I92" s="35" t="str">
        <x:v>P021; Property scope; </x:v>
      </x:c>
      <x:c r="J92" s="35" t="str">
        <x:v>SCN-0441</x:v>
      </x:c>
      <x:c r="K92" s="35" t="str">
        <x:v>FIN-01076</x:v>
      </x:c>
      <x:c r="L92" s="35" t="str">
        <x:v>Capture or upload the source; verify vendor, date, scope, category, line items, tax, amount, and work-order link; confirm; open detail; verify attachment; compare Money and Property/Unit views.</x:v>
      </x:c>
      <x:c r="M92" s="35" t="str">
        <x:v>One expense exists at its real operational scope, cash falls once, Schedule E category and allocations agree, and no per-unit copies are created.</x:v>
      </x:c>
      <x:c r="N92" s="35" t="str">
        <x:v>Source preview; review/form; expense detail; line items; Property/Unit ledger; audit; accounting/report delta.</x:v>
      </x:c>
      <x:c r="O92" s="35" t="str">
        <x:v>On marked duplicate-invoice cases, re-upload before confirm and prove the product prevents or clearly warns about duplication.</x:v>
      </x:c>
      <x:c r="P92" s="35" t="str">
        <x:v>All expected records and amounts match; no unexplained error or stale state.</x:v>
      </x:c>
    </x:row>
    <x:row r="93">
      <x:c r="A93" s="20" t="str">
        <x:v>RUN-20270115-03</x:v>
      </x:c>
      <x:c r="B93" s="23" t="n">
        <x:v>46402</x:v>
      </x:c>
      <x:c r="C93" s="32" t="n">
        <x:v>3</x:v>
      </x:c>
      <x:c r="D93" s="20" t="str">
        <x:v>Weekly operations</x:v>
      </x:c>
      <x:c r="E93" s="20" t="str">
        <x:v>Property Manager</x:v>
      </x:c>
      <x:c r="F93" s="20" t="str">
        <x:v>Web</x:v>
      </x:c>
      <x:c r="G93" s="20" t="str">
        <x:v>Scanned receipt/invoice</x:v>
      </x:c>
      <x:c r="H93" s="35" t="str">
        <x:v>Record, review, allocate, and pay operating expense</x:v>
      </x:c>
      <x:c r="I93" s="35" t="str">
        <x:v>P022; Property scope; </x:v>
      </x:c>
      <x:c r="J93" s="35" t="str">
        <x:v>SCN-0442</x:v>
      </x:c>
      <x:c r="K93" s="35" t="str">
        <x:v>FIN-01077</x:v>
      </x:c>
      <x:c r="L93" s="35" t="str">
        <x:v>Capture or upload the source; verify vendor, date, scope, category, line items, tax, amount, and work-order link; confirm; open detail; verify attachment; compare Money and Property/Unit views.</x:v>
      </x:c>
      <x:c r="M93" s="35" t="str">
        <x:v>One expense exists at its real operational scope, cash falls once, Schedule E category and allocations agree, and no per-unit copies are created.</x:v>
      </x:c>
      <x:c r="N93" s="35" t="str">
        <x:v>Source preview; review/form; expense detail; line items; Property/Unit ledger; audit; accounting/report delta.</x:v>
      </x:c>
      <x:c r="O93" s="35" t="str">
        <x:v>On marked duplicate-invoice cases, re-upload before confirm and prove the product prevents or clearly warns about duplication.</x:v>
      </x:c>
      <x:c r="P93" s="35" t="str">
        <x:v>All expected records and amounts match; no unexplained error or stale state.</x:v>
      </x:c>
    </x:row>
    <x:row r="94">
      <x:c r="A94" s="20" t="str">
        <x:v>RUN-20270115-04</x:v>
      </x:c>
      <x:c r="B94" s="23" t="n">
        <x:v>46402</x:v>
      </x:c>
      <x:c r="C94" s="32" t="n">
        <x:v>4</x:v>
      </x:c>
      <x:c r="D94" s="20" t="str">
        <x:v>Weekly operations</x:v>
      </x:c>
      <x:c r="E94" s="20" t="str">
        <x:v>Property Manager</x:v>
      </x:c>
      <x:c r="F94" s="20" t="str">
        <x:v>Mobile</x:v>
      </x:c>
      <x:c r="G94" s="20" t="str">
        <x:v>Scanned receipt/invoice</x:v>
      </x:c>
      <x:c r="H94" s="35" t="str">
        <x:v>Record, review, allocate, and pay operating expense</x:v>
      </x:c>
      <x:c r="I94" s="35" t="str">
        <x:v>P023; Property scope; </x:v>
      </x:c>
      <x:c r="J94" s="35" t="str">
        <x:v>SCN-0443</x:v>
      </x:c>
      <x:c r="K94" s="35" t="str">
        <x:v>FIN-01078</x:v>
      </x:c>
      <x:c r="L94" s="35" t="str">
        <x:v>Capture or upload the source; verify vendor, date, scope, category, line items, tax, amount, and work-order link; confirm; open detail; verify attachment; compare Money and Property/Unit views.</x:v>
      </x:c>
      <x:c r="M94" s="35" t="str">
        <x:v>One expense exists at its real operational scope, cash falls once, Schedule E category and allocations agree, and no per-unit copies are created.</x:v>
      </x:c>
      <x:c r="N94" s="35" t="str">
        <x:v>Source preview; review/form; expense detail; line items; Property/Unit ledger; audit; accounting/report delta.</x:v>
      </x:c>
      <x:c r="O94" s="35" t="str">
        <x:v>On marked duplicate-invoice cases, re-upload before confirm and prove the product prevents or clearly warns about duplication.</x:v>
      </x:c>
      <x:c r="P94" s="35" t="str">
        <x:v>All expected records and amounts match; no unexplained error or stale state.</x:v>
      </x:c>
    </x:row>
    <x:row r="95">
      <x:c r="A95" s="20" t="str">
        <x:v>RUN-20270115-05</x:v>
      </x:c>
      <x:c r="B95" s="23" t="n">
        <x:v>46402</x:v>
      </x:c>
      <x:c r="C95" s="32" t="n">
        <x:v>5</x:v>
      </x:c>
      <x:c r="D95" s="20" t="str">
        <x:v>Weekly operations</x:v>
      </x:c>
      <x:c r="E95" s="20" t="str">
        <x:v>Property Manager</x:v>
      </x:c>
      <x:c r="F95" s="20" t="str">
        <x:v>Web</x:v>
      </x:c>
      <x:c r="G95" s="20" t="str">
        <x:v>Scanned receipt/invoice</x:v>
      </x:c>
      <x:c r="H95" s="35" t="str">
        <x:v>Record, review, allocate, and pay operating expense</x:v>
      </x:c>
      <x:c r="I95" s="35" t="str">
        <x:v>P024; Property scope; </x:v>
      </x:c>
      <x:c r="J95" s="35" t="str">
        <x:v>SCN-0444</x:v>
      </x:c>
      <x:c r="K95" s="35" t="str">
        <x:v>FIN-01079</x:v>
      </x:c>
      <x:c r="L95" s="35" t="str">
        <x:v>Capture or upload the source; verify vendor, date, scope, category, line items, tax, amount, and work-order link; confirm; open detail; verify attachment; compare Money and Property/Unit views.</x:v>
      </x:c>
      <x:c r="M95" s="35" t="str">
        <x:v>One expense exists at its real operational scope, cash falls once, Schedule E category and allocations agree, and no per-unit copies are created.</x:v>
      </x:c>
      <x:c r="N95" s="35" t="str">
        <x:v>Source preview; review/form; expense detail; line items; Property/Unit ledger; audit; accounting/report delta.</x:v>
      </x:c>
      <x:c r="O95" s="35" t="str">
        <x:v>On marked duplicate-invoice cases, re-upload before confirm and prove the product prevents or clearly warns about duplication.</x:v>
      </x:c>
      <x:c r="P95" s="35" t="str">
        <x:v>All expected records and amounts match; no unexplained error or stale state.</x:v>
      </x:c>
    </x:row>
    <x:row r="96">
      <x:c r="A96" s="20" t="str">
        <x:v>RUN-20270115-06</x:v>
      </x:c>
      <x:c r="B96" s="23" t="n">
        <x:v>46402</x:v>
      </x:c>
      <x:c r="C96" s="32" t="n">
        <x:v>6</x:v>
      </x:c>
      <x:c r="D96" s="20" t="str">
        <x:v>Weekly operations</x:v>
      </x:c>
      <x:c r="E96" s="20" t="str">
        <x:v>Property Manager</x:v>
      </x:c>
      <x:c r="F96" s="20" t="str">
        <x:v>Mobile</x:v>
      </x:c>
      <x:c r="G96" s="20" t="str">
        <x:v>Manual web form</x:v>
      </x:c>
      <x:c r="H96" s="35" t="str">
        <x:v>Record, review, allocate, and pay operating expense</x:v>
      </x:c>
      <x:c r="I96" s="35" t="str">
        <x:v>P025; Property scope; </x:v>
      </x:c>
      <x:c r="J96" s="35" t="str"/>
      <x:c r="K96" s="35" t="str">
        <x:v>FIN-01080</x:v>
      </x:c>
      <x:c r="L96" s="35" t="str">
        <x:v>Capture or upload the source; verify vendor, date, scope, category, line items, tax, amount, and work-order link; confirm; open detail; verify attachment; compare Money and Property/Unit views.</x:v>
      </x:c>
      <x:c r="M96" s="35" t="str">
        <x:v>One expense exists at its real operational scope, cash falls once, Schedule E category and allocations agree, and no per-unit copies are created.</x:v>
      </x:c>
      <x:c r="N96" s="35" t="str">
        <x:v>Source preview; review/form; expense detail; line items; Property/Unit ledger; audit; accounting/report delta.</x:v>
      </x:c>
      <x:c r="O96" s="35" t="str">
        <x:v>On marked duplicate-invoice cases, re-upload before confirm and prove the product prevents or clearly warns about duplication.</x:v>
      </x:c>
      <x:c r="P96" s="35" t="str">
        <x:v>All expected records and amounts match; no unexplained error or stale state.</x:v>
      </x:c>
    </x:row>
    <x:row r="97">
      <x:c r="A97" s="20" t="str">
        <x:v>RUN-20270115-07</x:v>
      </x:c>
      <x:c r="B97" s="23" t="n">
        <x:v>46402</x:v>
      </x:c>
      <x:c r="C97" s="32" t="n">
        <x:v>7</x:v>
      </x:c>
      <x:c r="D97" s="20" t="str">
        <x:v>Weekly operations</x:v>
      </x:c>
      <x:c r="E97" s="20" t="str">
        <x:v>Property Manager</x:v>
      </x:c>
      <x:c r="F97" s="20" t="str">
        <x:v>Web</x:v>
      </x:c>
      <x:c r="G97" s="20" t="str">
        <x:v>Scanned receipt/invoice</x:v>
      </x:c>
      <x:c r="H97" s="35" t="str">
        <x:v>Record, review, allocate, and pay operating expense</x:v>
      </x:c>
      <x:c r="I97" s="35" t="str">
        <x:v>P026; Property scope; </x:v>
      </x:c>
      <x:c r="J97" s="35" t="str">
        <x:v>SCN-0445</x:v>
      </x:c>
      <x:c r="K97" s="35" t="str">
        <x:v>FIN-01081</x:v>
      </x:c>
      <x:c r="L97" s="35" t="str">
        <x:v>Capture or upload the source; verify vendor, date, scope, category, line items, tax, amount, and work-order link; confirm; open detail; verify attachment; compare Money and Property/Unit views.</x:v>
      </x:c>
      <x:c r="M97" s="35" t="str">
        <x:v>One expense exists at its real operational scope, cash falls once, Schedule E category and allocations agree, and no per-unit copies are created.</x:v>
      </x:c>
      <x:c r="N97" s="35" t="str">
        <x:v>Source preview; review/form; expense detail; line items; Property/Unit ledger; audit; accounting/report delta.</x:v>
      </x:c>
      <x:c r="O97" s="35" t="str">
        <x:v>On marked duplicate-invoice cases, re-upload before confirm and prove the product prevents or clearly warns about duplication.</x:v>
      </x:c>
      <x:c r="P97" s="35" t="str">
        <x:v>All expected records and amounts match; no unexplained error or stale state.</x:v>
      </x:c>
    </x:row>
    <x:row r="98">
      <x:c r="A98" s="20" t="str">
        <x:v>RUN-20270115-08</x:v>
      </x:c>
      <x:c r="B98" s="23" t="n">
        <x:v>46402</x:v>
      </x:c>
      <x:c r="C98" s="32" t="n">
        <x:v>8</x:v>
      </x:c>
      <x:c r="D98" s="20" t="str">
        <x:v>Weekly operations</x:v>
      </x:c>
      <x:c r="E98" s="20" t="str">
        <x:v>Property Manager</x:v>
      </x:c>
      <x:c r="F98" s="20" t="str">
        <x:v>Mobile</x:v>
      </x:c>
      <x:c r="G98" s="20" t="str">
        <x:v>Scanned receipt/invoice</x:v>
      </x:c>
      <x:c r="H98" s="35" t="str">
        <x:v>Record, review, allocate, and pay operating expense</x:v>
      </x:c>
      <x:c r="I98" s="35" t="str">
        <x:v>P027; Property scope; </x:v>
      </x:c>
      <x:c r="J98" s="35" t="str">
        <x:v>SCN-0446</x:v>
      </x:c>
      <x:c r="K98" s="35" t="str">
        <x:v>FIN-01082</x:v>
      </x:c>
      <x:c r="L98" s="35" t="str">
        <x:v>Capture or upload the source; verify vendor, date, scope, category, line items, tax, amount, and work-order link; confirm; open detail; verify attachment; compare Money and Property/Unit views.</x:v>
      </x:c>
      <x:c r="M98" s="35" t="str">
        <x:v>One expense exists at its real operational scope, cash falls once, Schedule E category and allocations agree, and no per-unit copies are created.</x:v>
      </x:c>
      <x:c r="N98" s="35" t="str">
        <x:v>Source preview; review/form; expense detail; line items; Property/Unit ledger; audit; accounting/report delta.</x:v>
      </x:c>
      <x:c r="O98" s="35" t="str">
        <x:v>On marked duplicate-invoice cases, re-upload before confirm and prove the product prevents or clearly warns about duplication.</x:v>
      </x:c>
      <x:c r="P98" s="35" t="str">
        <x:v>All expected records and amounts match; no unexplained error or stale state.</x:v>
      </x:c>
    </x:row>
    <x:row r="99">
      <x:c r="A99" s="20" t="str">
        <x:v>RUN-20270115-09</x:v>
      </x:c>
      <x:c r="B99" s="23" t="n">
        <x:v>46402</x:v>
      </x:c>
      <x:c r="C99" s="32" t="n">
        <x:v>9</x:v>
      </x:c>
      <x:c r="D99" s="20" t="str">
        <x:v>Weekly operations</x:v>
      </x:c>
      <x:c r="E99" s="20" t="str">
        <x:v>Property Manager</x:v>
      </x:c>
      <x:c r="F99" s="20" t="str">
        <x:v>Web</x:v>
      </x:c>
      <x:c r="G99" s="20" t="str">
        <x:v>Scanned receipt/invoice</x:v>
      </x:c>
      <x:c r="H99" s="35" t="str">
        <x:v>Record, review, allocate, and pay operating expense</x:v>
      </x:c>
      <x:c r="I99" s="35" t="str">
        <x:v>P028; Property scope; </x:v>
      </x:c>
      <x:c r="J99" s="35" t="str">
        <x:v>SCN-0447</x:v>
      </x:c>
      <x:c r="K99" s="35" t="str">
        <x:v>FIN-01083</x:v>
      </x:c>
      <x:c r="L99" s="35" t="str">
        <x:v>Capture or upload the source; verify vendor, date, scope, category, line items, tax, amount, and work-order link; confirm; open detail; verify attachment; compare Money and Property/Unit views.</x:v>
      </x:c>
      <x:c r="M99" s="35" t="str">
        <x:v>One expense exists at its real operational scope, cash falls once, Schedule E category and allocations agree, and no per-unit copies are created.</x:v>
      </x:c>
      <x:c r="N99" s="35" t="str">
        <x:v>Source preview; review/form; expense detail; line items; Property/Unit ledger; audit; accounting/report delta.</x:v>
      </x:c>
      <x:c r="O99" s="35" t="str">
        <x:v>On marked duplicate-invoice cases, re-upload before confirm and prove the product prevents or clearly warns about duplication.</x:v>
      </x:c>
      <x:c r="P99" s="35" t="str">
        <x:v>All expected records and amounts match; no unexplained error or stale state.</x:v>
      </x:c>
    </x:row>
    <x:row r="100">
      <x:c r="A100" s="20" t="str">
        <x:v>RUN-20270115-10</x:v>
      </x:c>
      <x:c r="B100" s="23" t="n">
        <x:v>46402</x:v>
      </x:c>
      <x:c r="C100" s="32" t="n">
        <x:v>10</x:v>
      </x:c>
      <x:c r="D100" s="20" t="str">
        <x:v>Weekly operations</x:v>
      </x:c>
      <x:c r="E100" s="20" t="str">
        <x:v>Property Manager</x:v>
      </x:c>
      <x:c r="F100" s="20" t="str">
        <x:v>Mobile</x:v>
      </x:c>
      <x:c r="G100" s="20" t="str">
        <x:v>Scanned receipt/invoice</x:v>
      </x:c>
      <x:c r="H100" s="35" t="str">
        <x:v>Record, review, allocate, and pay operating expense</x:v>
      </x:c>
      <x:c r="I100" s="35" t="str">
        <x:v>P029; Property scope; </x:v>
      </x:c>
      <x:c r="J100" s="35" t="str">
        <x:v>SCN-0448</x:v>
      </x:c>
      <x:c r="K100" s="35" t="str">
        <x:v>FIN-01084</x:v>
      </x:c>
      <x:c r="L100" s="35" t="str">
        <x:v>Capture or upload the source; verify vendor, date, scope, category, line items, tax, amount, and work-order link; confirm; open detail; verify attachment; compare Money and Property/Unit views.</x:v>
      </x:c>
      <x:c r="M100" s="35" t="str">
        <x:v>One expense exists at its real operational scope, cash falls once, Schedule E category and allocations agree, and no per-unit copies are created.</x:v>
      </x:c>
      <x:c r="N100" s="35" t="str">
        <x:v>Source preview; review/form; expense detail; line items; Property/Unit ledger; audit; accounting/report delta.</x:v>
      </x:c>
      <x:c r="O100" s="35" t="str">
        <x:v>On marked duplicate-invoice cases, re-upload before confirm and prove the product prevents or clearly warns about duplication.</x:v>
      </x:c>
      <x:c r="P100" s="35" t="str">
        <x:v>All expected records and amounts match; no unexplained error or stale state.</x:v>
      </x:c>
    </x:row>
    <x:row r="101">
      <x:c r="A101" s="20" t="str">
        <x:v>RUN-20270115-11</x:v>
      </x:c>
      <x:c r="B101" s="23" t="n">
        <x:v>46402</x:v>
      </x:c>
      <x:c r="C101" s="32" t="n">
        <x:v>11</x:v>
      </x:c>
      <x:c r="D101" s="20" t="str">
        <x:v>Weekly operations</x:v>
      </x:c>
      <x:c r="E101" s="20" t="str">
        <x:v>Property Manager</x:v>
      </x:c>
      <x:c r="F101" s="20" t="str">
        <x:v>Web</x:v>
      </x:c>
      <x:c r="G101" s="20" t="str">
        <x:v>Manual mobile form</x:v>
      </x:c>
      <x:c r="H101" s="35" t="str">
        <x:v>Record, review, allocate, and pay operating expense</x:v>
      </x:c>
      <x:c r="I101" s="35" t="str">
        <x:v>P030; Property scope; </x:v>
      </x:c>
      <x:c r="J101" s="35" t="str"/>
      <x:c r="K101" s="35" t="str">
        <x:v>FIN-01085</x:v>
      </x:c>
      <x:c r="L101" s="35" t="str">
        <x:v>Capture or upload the source; verify vendor, date, scope, category, line items, tax, amount, and work-order link; confirm; open detail; verify attachment; compare Money and Property/Unit views.</x:v>
      </x:c>
      <x:c r="M101" s="35" t="str">
        <x:v>One expense exists at its real operational scope, cash falls once, Schedule E category and allocations agree, and no per-unit copies are created.</x:v>
      </x:c>
      <x:c r="N101" s="35" t="str">
        <x:v>Source preview; review/form; expense detail; line items; Property/Unit ledger; audit; accounting/report delta.</x:v>
      </x:c>
      <x:c r="O101" s="35" t="str">
        <x:v>On marked duplicate-invoice cases, re-upload before confirm and prove the product prevents or clearly warns about duplication.</x:v>
      </x:c>
      <x:c r="P101" s="35" t="str">
        <x:v>All expected records and amounts match; no unexplained error or stale state.</x:v>
      </x:c>
    </x:row>
    <x:row r="102">
      <x:c r="A102" s="20" t="str">
        <x:v>RUN-20270118-01</x:v>
      </x:c>
      <x:c r="B102" s="23" t="n">
        <x:v>46405</x:v>
      </x:c>
      <x:c r="C102" s="32" t="n">
        <x:v>1</x:v>
      </x:c>
      <x:c r="D102" s="20" t="str">
        <x:v>Weekly operations</x:v>
      </x:c>
      <x:c r="E102" s="20" t="str">
        <x:v>Property Manager</x:v>
      </x:c>
      <x:c r="F102" s="20" t="str">
        <x:v>Mobile</x:v>
      </x:c>
      <x:c r="G102" s="20" t="str">
        <x:v>Scan-first</x:v>
      </x:c>
      <x:c r="H102" s="35" t="str">
        <x:v>Create and triage maintenance request</x:v>
      </x:c>
      <x:c r="I102" s="35" t="str">
        <x:v>P021; U022; WO-2027-003</x:v>
      </x:c>
      <x:c r="J102" s="35" t="str">
        <x:v>SCN-0351</x:v>
      </x:c>
      <x:c r="K102" s="35" t="str"/>
      <x:c r="L102" s="35" t="str">
        <x:v>Capture the tenant note/photo; review yard cleanup; confirm; set responsibility; dispatch Green Thumb Landscaping; create an appointment and verify the tenant notification.</x:v>
      </x:c>
      <x:c r="M102" s="35" t="str">
        <x:v>Work order, status timeline, responsibility, vendor dispatch, appointment, notification, and Unit context are linked once.</x:v>
      </x:c>
      <x:c r="N102" s="35" t="str">
        <x:v>Scan review; work order detail/timeline; dispatch; appointment; notification; tenant portal view.</x:v>
      </x:c>
      <x:c r="O102" s="35" t="str">
        <x:v>Cancel one dispatch each quarter, reassign once, and prove status/history remains append-only.</x:v>
      </x:c>
      <x:c r="P102" s="35" t="str">
        <x:v>All expected records and amounts match; no unexplained error or stale state.</x:v>
      </x:c>
    </x:row>
    <x:row r="103">
      <x:c r="A103" s="20" t="str">
        <x:v>RUN-20270118-02</x:v>
      </x:c>
      <x:c r="B103" s="23" t="n">
        <x:v>46405</x:v>
      </x:c>
      <x:c r="C103" s="32" t="n">
        <x:v>2</x:v>
      </x:c>
      <x:c r="D103" s="20" t="str">
        <x:v>Weekly operations</x:v>
      </x:c>
      <x:c r="E103" s="20" t="str">
        <x:v>Property Manager</x:v>
      </x:c>
      <x:c r="F103" s="20" t="str">
        <x:v>Mobile</x:v>
      </x:c>
      <x:c r="G103" s="20" t="str">
        <x:v>Scanned receipt/invoice</x:v>
      </x:c>
      <x:c r="H103" s="35" t="str">
        <x:v>Record, review, allocate, and pay operating expense</x:v>
      </x:c>
      <x:c r="I103" s="35" t="str">
        <x:v>P001; Property scope; </x:v>
      </x:c>
      <x:c r="J103" s="35" t="str">
        <x:v>SCN-0789</x:v>
      </x:c>
      <x:c r="K103" s="35" t="str">
        <x:v>FIN-01500</x:v>
      </x:c>
      <x:c r="L103" s="35" t="str">
        <x:v>Capture or upload the source; verify vendor, date, scope, category, line items, tax, amount, and work-order link; confirm; open detail; verify attachment; compare Money and Property/Unit views.</x:v>
      </x:c>
      <x:c r="M103" s="35" t="str">
        <x:v>One expense exists at its real operational scope, cash falls once, Schedule E category and allocations agree, and no per-unit copies are created.</x:v>
      </x:c>
      <x:c r="N103" s="35" t="str">
        <x:v>Source preview; review/form; expense detail; line items; Property/Unit ledger; audit; accounting/report delta.</x:v>
      </x:c>
      <x:c r="O103" s="35" t="str">
        <x:v>On marked duplicate-invoice cases, re-upload before confirm and prove the product prevents or clearly warns about duplication.</x:v>
      </x:c>
      <x:c r="P103" s="35" t="str">
        <x:v>All expected records and amounts match; no unexplained error or stale state.</x:v>
      </x:c>
    </x:row>
    <x:row r="104">
      <x:c r="A104" s="20" t="str">
        <x:v>RUN-20270118-03</x:v>
      </x:c>
      <x:c r="B104" s="23" t="n">
        <x:v>46405</x:v>
      </x:c>
      <x:c r="C104" s="32" t="n">
        <x:v>3</x:v>
      </x:c>
      <x:c r="D104" s="20" t="str">
        <x:v>Weekly operations</x:v>
      </x:c>
      <x:c r="E104" s="20" t="str">
        <x:v>Property Manager</x:v>
      </x:c>
      <x:c r="F104" s="20" t="str">
        <x:v>Mobile</x:v>
      </x:c>
      <x:c r="G104" s="20" t="str">
        <x:v>Scanned receipt/invoice</x:v>
      </x:c>
      <x:c r="H104" s="35" t="str">
        <x:v>Record, review, allocate, and pay operating expense</x:v>
      </x:c>
      <x:c r="I104" s="35" t="str">
        <x:v>P013; Property scope; </x:v>
      </x:c>
      <x:c r="J104" s="35" t="str">
        <x:v>SCN-0839</x:v>
      </x:c>
      <x:c r="K104" s="35" t="str">
        <x:v>FIN-01560</x:v>
      </x:c>
      <x:c r="L104" s="35" t="str">
        <x:v>Capture or upload the source; verify vendor, date, scope, category, line items, tax, amount, and work-order link; confirm; open detail; verify attachment; compare Money and Property/Unit views.</x:v>
      </x:c>
      <x:c r="M104" s="35" t="str">
        <x:v>One expense exists at its real operational scope, cash falls once, Schedule E category and allocations agree, and no per-unit copies are created.</x:v>
      </x:c>
      <x:c r="N104" s="35" t="str">
        <x:v>Source preview; review/form; expense detail; line items; Property/Unit ledger; audit; accounting/report delta.</x:v>
      </x:c>
      <x:c r="O104" s="35" t="str">
        <x:v>On marked duplicate-invoice cases, re-upload before confirm and prove the product prevents or clearly warns about duplication.</x:v>
      </x:c>
      <x:c r="P104" s="35" t="str">
        <x:v>All expected records and amounts match; no unexplained error or stale state.</x:v>
      </x:c>
    </x:row>
    <x:row r="105">
      <x:c r="A105" s="20" t="str">
        <x:v>RUN-20270118-04</x:v>
      </x:c>
      <x:c r="B105" s="23" t="n">
        <x:v>46405</x:v>
      </x:c>
      <x:c r="C105" s="32" t="n">
        <x:v>4</x:v>
      </x:c>
      <x:c r="D105" s="20" t="str">
        <x:v>Weekly operations</x:v>
      </x:c>
      <x:c r="E105" s="20" t="str">
        <x:v>Property Manager</x:v>
      </x:c>
      <x:c r="F105" s="20" t="str">
        <x:v>Mobile</x:v>
      </x:c>
      <x:c r="G105" s="20" t="str">
        <x:v>Manual web form</x:v>
      </x:c>
      <x:c r="H105" s="35" t="str">
        <x:v>Record, review, allocate, and pay operating expense</x:v>
      </x:c>
      <x:c r="I105" s="35" t="str">
        <x:v>P025; Property scope; </x:v>
      </x:c>
      <x:c r="J105" s="35" t="str"/>
      <x:c r="K105" s="35" t="str">
        <x:v>FIN-01620</x:v>
      </x:c>
      <x:c r="L105" s="35" t="str">
        <x:v>Capture or upload the source; verify vendor, date, scope, category, line items, tax, amount, and work-order link; confirm; open detail; verify attachment; compare Money and Property/Unit views.</x:v>
      </x:c>
      <x:c r="M105" s="35" t="str">
        <x:v>One expense exists at its real operational scope, cash falls once, Schedule E category and allocations agree, and no per-unit copies are created.</x:v>
      </x:c>
      <x:c r="N105" s="35" t="str">
        <x:v>Source preview; review/form; expense detail; line items; Property/Unit ledger; audit; accounting/report delta.</x:v>
      </x:c>
      <x:c r="O105" s="35" t="str">
        <x:v>On marked duplicate-invoice cases, re-upload before confirm and prove the product prevents or clearly warns about duplication.</x:v>
      </x:c>
      <x:c r="P105" s="35" t="str">
        <x:v>All expected records and amounts match; no unexplained error or stale state.</x:v>
      </x:c>
    </x:row>
    <x:row r="106">
      <x:c r="A106" s="20" t="str">
        <x:v>RUN-20270118-05</x:v>
      </x:c>
      <x:c r="B106" s="23" t="n">
        <x:v>46405</x:v>
      </x:c>
      <x:c r="C106" s="32" t="n">
        <x:v>5</x:v>
      </x:c>
      <x:c r="D106" s="20" t="str">
        <x:v>Role and screen certification</x:v>
      </x:c>
      <x:c r="E106" s="20" t="str">
        <x:v>Workspace Administrator</x:v>
      </x:c>
      <x:c r="F106" s="20" t="str">
        <x:v>Web</x:v>
      </x:c>
      <x:c r="G106" s="20" t="str">
        <x:v>Normal persona navigation</x:v>
      </x:c>
      <x:c r="H106" s="35" t="str">
        <x:v>Use every permitted action and state on /admin/audit</x:v>
      </x:c>
      <x:c r="I106" s="35" t="str">
        <x:v>SCR-001; ROLE-001</x:v>
      </x:c>
      <x:c r="J106" s="35" t="str"/>
      <x:c r="K106" s="35" t="str"/>
      <x:c r="L1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6" s="35" t="str">
        <x:v>The persona can use every allowed action with only its assigned properties/relationships. Hidden or disabled actions explain why; an adjacent unauthorized persona is denied without metadata leakage.</x:v>
      </x:c>
      <x:c r="N106" s="35" t="str">
        <x:v>Persona/experience; navigation entry; desktop or device screenshots; result state; persisted read-back; audit/history; authorized and denied network result.</x:v>
      </x:c>
      <x:c r="O106" s="35" t="str">
        <x:v>Open the direct URL or deep link with an adjacent unauthorized persona and with stale scope; both fail closed and land safely without mutation.</x:v>
      </x:c>
      <x:c r="P106" s="35" t="str">
        <x:v>All expected records and amounts match; no unexplained error or stale state.</x:v>
      </x:c>
    </x:row>
    <x:row r="107">
      <x:c r="A107" s="20" t="str">
        <x:v>RUN-20270118-06</x:v>
      </x:c>
      <x:c r="B107" s="23" t="n">
        <x:v>46405</x:v>
      </x:c>
      <x:c r="C107" s="32" t="n">
        <x:v>6</x:v>
      </x:c>
      <x:c r="D107" s="20" t="str">
        <x:v>Role and screen certification</x:v>
      </x:c>
      <x:c r="E107" s="20" t="str">
        <x:v>Property Manager</x:v>
      </x:c>
      <x:c r="F107" s="20" t="str">
        <x:v>Web</x:v>
      </x:c>
      <x:c r="G107" s="20" t="str">
        <x:v>Normal persona navigation</x:v>
      </x:c>
      <x:c r="H107" s="35" t="str">
        <x:v>Use every permitted action and state on /admin/audit</x:v>
      </x:c>
      <x:c r="I107" s="35" t="str">
        <x:v>SCR-001; ROLE-002</x:v>
      </x:c>
      <x:c r="J107" s="35" t="str"/>
      <x:c r="K107" s="35" t="str"/>
      <x:c r="L10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7" s="35" t="str">
        <x:v>The persona can use every allowed action with only its assigned properties/relationships. Hidden or disabled actions explain why; an adjacent unauthorized persona is denied without metadata leakage.</x:v>
      </x:c>
      <x:c r="N107" s="35" t="str">
        <x:v>Persona/experience; navigation entry; desktop or device screenshots; result state; persisted read-back; audit/history; authorized and denied network result.</x:v>
      </x:c>
      <x:c r="O107" s="35" t="str">
        <x:v>Open the direct URL or deep link with an adjacent unauthorized persona and with stale scope; both fail closed and land safely without mutation.</x:v>
      </x:c>
      <x:c r="P107" s="35" t="str">
        <x:v>All expected records and amounts match; no unexplained error or stale state.</x:v>
      </x:c>
    </x:row>
    <x:row r="108">
      <x:c r="A108" s="20" t="str">
        <x:v>RUN-20270119-01</x:v>
      </x:c>
      <x:c r="B108" s="23" t="n">
        <x:v>46406</x:v>
      </x:c>
      <x:c r="C108" s="32" t="n">
        <x:v>1</x:v>
      </x:c>
      <x:c r="D108" s="20" t="str">
        <x:v>Weekly operations</x:v>
      </x:c>
      <x:c r="E108" s="20" t="str">
        <x:v>Property Manager</x:v>
      </x:c>
      <x:c r="F108" s="20" t="str">
        <x:v>Mobile</x:v>
      </x:c>
      <x:c r="G108" s="20" t="str">
        <x:v>Scanned receipt/invoice</x:v>
      </x:c>
      <x:c r="H108" s="35" t="str">
        <x:v>Record, review, allocate, and pay operating expense</x:v>
      </x:c>
      <x:c r="I108" s="35" t="str">
        <x:v>P021; U022; WO-2027-003</x:v>
      </x:c>
      <x:c r="J108" s="35" t="str">
        <x:v>SCN-0352</x:v>
      </x:c>
      <x:c r="K108" s="35" t="str">
        <x:v>FIN-01026</x:v>
      </x:c>
      <x:c r="L108" s="35" t="str">
        <x:v>Capture or upload the source; verify vendor, date, scope, category, line items, tax, amount, and work-order link; confirm; open detail; verify attachment; compare Money and Property/Unit views.</x:v>
      </x:c>
      <x:c r="M108" s="35" t="str">
        <x:v>One expense exists at its real operational scope, cash falls once, Schedule E category and allocations agree, and no per-unit copies are created.</x:v>
      </x:c>
      <x:c r="N108" s="35" t="str">
        <x:v>Source preview; review/form; expense detail; line items; Property/Unit ledger; audit; accounting/report delta.</x:v>
      </x:c>
      <x:c r="O108" s="35" t="str">
        <x:v>On marked duplicate-invoice cases, re-upload before confirm and prove the product prevents or clearly warns about duplication.</x:v>
      </x:c>
      <x:c r="P108" s="35" t="str">
        <x:v>All expected records and amounts match; no unexplained error or stale state.</x:v>
      </x:c>
    </x:row>
    <x:row r="109">
      <x:c r="A109" s="20" t="str">
        <x:v>RUN-20270119-02</x:v>
      </x:c>
      <x:c r="B109" s="23" t="n">
        <x:v>46406</x:v>
      </x:c>
      <x:c r="C109" s="32" t="n">
        <x:v>2</x:v>
      </x:c>
      <x:c r="D109" s="20" t="str">
        <x:v>Role and screen certification</x:v>
      </x:c>
      <x:c r="E109" s="20" t="str">
        <x:v>Workspace Administrator</x:v>
      </x:c>
      <x:c r="F109" s="20" t="str">
        <x:v>Web</x:v>
      </x:c>
      <x:c r="G109" s="20" t="str">
        <x:v>Normal persona navigation</x:v>
      </x:c>
      <x:c r="H109" s="35" t="str">
        <x:v>Use every permitted action and state on /admin/users</x:v>
      </x:c>
      <x:c r="I109" s="35" t="str">
        <x:v>SCR-002; ROLE-003</x:v>
      </x:c>
      <x:c r="J109" s="35" t="str"/>
      <x:c r="K109" s="35" t="str"/>
      <x:c r="L10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9" s="35" t="str">
        <x:v>The persona can use every allowed action with only its assigned properties/relationships. Hidden or disabled actions explain why; an adjacent unauthorized persona is denied without metadata leakage.</x:v>
      </x:c>
      <x:c r="N109" s="35" t="str">
        <x:v>Persona/experience; navigation entry; desktop or device screenshots; result state; persisted read-back; audit/history; authorized and denied network result.</x:v>
      </x:c>
      <x:c r="O109" s="35" t="str">
        <x:v>Open the direct URL or deep link with an adjacent unauthorized persona and with stale scope; both fail closed and land safely without mutation.</x:v>
      </x:c>
      <x:c r="P109" s="35" t="str">
        <x:v>All expected records and amounts match; no unexplained error or stale state.</x:v>
      </x:c>
    </x:row>
    <x:row r="110">
      <x:c r="A110" s="20" t="str">
        <x:v>RUN-20270119-03</x:v>
      </x:c>
      <x:c r="B110" s="23" t="n">
        <x:v>46406</x:v>
      </x:c>
      <x:c r="C110" s="32" t="n">
        <x:v>3</x:v>
      </x:c>
      <x:c r="D110" s="20" t="str">
        <x:v>Surface coverage</x:v>
      </x:c>
      <x:c r="E110" s="20" t="str">
        <x:v>Role appropriate to surface</x:v>
      </x:c>
      <x:c r="F110" s="20" t="str">
        <x:v>Web</x:v>
      </x:c>
      <x:c r="G110" s="20" t="str">
        <x:v>Manual</x:v>
      </x:c>
      <x:c r="H110" s="35" t="str">
        <x:v>Manual web pass: Forgot/reset password and change password</x:v>
      </x:c>
      <x:c r="I110" s="35" t="str">
        <x:v>COV-002</x:v>
      </x:c>
      <x:c r="J110" s="35" t="str"/>
      <x:c r="K110" s="35" t="str"/>
      <x:c r="L110" s="35" t="str">
        <x:v>Request reset for known/unknown user; use valid/invalid token; change password; revoke other sessions.</x:v>
      </x:c>
      <x:c r="M110" s="35" t="str">
        <x:v>The supported workflow completes and persists correctly; if the capability is absent, the exact gap is proven and queued rather than silently skipped.</x:v>
      </x:c>
      <x:c r="N110" s="35" t="str">
        <x:v>Real UI screenshot/state; submitted values; persisted read-back; cross-client read-back; audit/role/access evidence.</x:v>
      </x:c>
      <x:c r="O110" s="35" t="str">
        <x:v>Use one invalid value, stale-state retry, or duplicate submission relevant to the form; no partial or duplicate mutation.</x:v>
      </x:c>
      <x:c r="P110" s="35" t="str">
        <x:v>All expected records and amounts match; no unexplained error or stale state.</x:v>
      </x:c>
    </x:row>
    <x:row r="111">
      <x:c r="A111" s="20" t="str">
        <x:v>RUN-20270120-01</x:v>
      </x:c>
      <x:c r="B111" s="23" t="n">
        <x:v>46407</x:v>
      </x:c>
      <x:c r="C111" s="32" t="n">
        <x:v>1</x:v>
      </x:c>
      <x:c r="D111" s="20" t="str">
        <x:v>Monthly close</x:v>
      </x:c>
      <x:c r="E111" s="20" t="str">
        <x:v>Workspace Administrator</x:v>
      </x:c>
      <x:c r="F111" s="20" t="str">
        <x:v>Web + Mobile</x:v>
      </x:c>
      <x:c r="G111" s="20" t="str">
        <x:v>Recurring automation + statement match</x:v>
      </x:c>
      <x:c r="H111" s="35" t="str">
        <x:v>January loan payments</x:v>
      </x:c>
      <x:c r="I111" s="35" t="str">
        <x:v>LN001; LN002; LN004; LN005; LN007; LN008; LN010; LN011; LN013; LN014; LN016; LN017; LN019; LN020; LN022; LN023; LN025; LN026; LN028; LN029</x:v>
      </x:c>
      <x:c r="J111" s="35" t="str">
        <x:v>SCN-0449; SCN-0450; SCN-0451; SCN-0452; SCN-0453; SCN-0454; SCN-0455; SCN-0456; SCN-0457; SCN-0458; SCN-0459; SCN-0460; SCN-0461; SCN-0462; SCN-0463; SCN-0464; SCN-0465; SCN-0466; SCN-0467; SCN-0468</x:v>
      </x:c>
      <x:c r="K111" s="35" t="str">
        <x:v>FIN-01086; FIN-01087; FIN-01088; FIN-01089; FIN-01090; FIN-01091; FIN-01092; FIN-01093; FIN-01094; FIN-01095; FIN-01096; FIN-01097; FIN-01098; FIN-01099; FIN-01100; FIN-01101; FIN-01102; FIN-01103; FIN-01104; FIN-01105</x:v>
      </x:c>
      <x:c r="L111" s="35" t="str">
        <x:v>Verify the recurring loan payments; attach/match each statement; compare principal, interest, cash, loan balance, amortization, Property Money view, and Schedule E interest.</x:v>
      </x:c>
      <x:c r="M111" s="35" t="str">
        <x:v>Every payment splits principal and interest once; principal reduces liability, interest is expense, and statement balance matches.</x:v>
      </x:c>
      <x:c r="N111" s="35" t="str">
        <x:v>Loan detail samples on both clients; statement attachment; amortization; Property and year-end reports.</x:v>
      </x:c>
      <x:c r="O111" s="35" t="str">
        <x:v>Attempt a duplicate recurrence run; no second payment or balance movement.</x:v>
      </x:c>
      <x:c r="P111" s="35" t="str">
        <x:v>All expected records and amounts match; no unexplained error or stale state.</x:v>
      </x:c>
    </x:row>
    <x:row r="112">
      <x:c r="A112" s="20" t="str">
        <x:v>RUN-20270120-02</x:v>
      </x:c>
      <x:c r="B112" s="23" t="n">
        <x:v>46407</x:v>
      </x:c>
      <x:c r="C112" s="32" t="n">
        <x:v>2</x:v>
      </x:c>
      <x:c r="D112" s="20" t="str">
        <x:v>Field certification</x:v>
      </x:c>
      <x:c r="E112" s="20" t="str">
        <x:v>Property Manager</x:v>
      </x:c>
      <x:c r="F112" s="20" t="str">
        <x:v>Web</x:v>
      </x:c>
      <x:c r="G112" s="20" t="str">
        <x:v>Manual field-by-field</x:v>
      </x:c>
      <x:c r="H112" s="35" t="str">
        <x:v>Fill, save, reload, edit, and validate every declared field on web/src/lib/components/FileDrop.svelte</x:v>
      </x:c>
      <x:c r="I112" s="35" t="str">
        <x:v>FLD-0001</x:v>
      </x:c>
      <x:c r="J112" s="35" t="str"/>
      <x:c r="K112" s="35" t="str"/>
      <x:c r="L112" s="35" t="str">
        <x:v>Use the source-derived Field Inventory. Enter non-default realistic values in every control (file-drop-input); submit; reload or relaunch; compare every value; edit each mutable field; verify the paired client; then run required, format, length, range, boundary, optional-null, and stale-submit checks.</x:v>
      </x:c>
      <x:c r="M112" s="35" t="str">
        <x:v>All 1 inventoried controls persist exact normalized values, invalid values stay unsaved with clear errors, and hidden/unauthorized fields cannot be altered.</x:v>
      </x:c>
      <x:c r="N112" s="35" t="str">
        <x:v>Before/after form screenshots; FLD IDs; API response; reloaded UI; paired-client read-back; database/audit evidence; negative validation result.</x:v>
      </x:c>
      <x:c r="O112" s="35" t="str">
        <x:v>Use a duplicate submit and one simulated network interruption; one atomic mutation or none, never partial state.</x:v>
      </x:c>
      <x:c r="P112" s="35" t="str">
        <x:v>All expected records and amounts match; no unexplained error or stale state.</x:v>
      </x:c>
    </x:row>
    <x:row r="113">
      <x:c r="A113" s="20" t="str">
        <x:v>RUN-20270120-03</x:v>
      </x:c>
      <x:c r="B113" s="23" t="n">
        <x:v>46407</x:v>
      </x:c>
      <x:c r="C113" s="32" t="n">
        <x:v>3</x:v>
      </x:c>
      <x:c r="D113" s="20" t="str">
        <x:v>Field certification</x:v>
      </x:c>
      <x:c r="E113" s="20" t="str">
        <x:v>Property Manager</x:v>
      </x:c>
      <x:c r="F113" s="20" t="str">
        <x:v>Web</x:v>
      </x:c>
      <x:c r="G113" s="20" t="str">
        <x:v>Manual field-by-field</x:v>
      </x:c>
      <x:c r="H113" s="35" t="str">
        <x:v>Fill, save, reload, edit, and validate every declared field on web/src/lib/components/SandboxBanner.svelte</x:v>
      </x:c>
      <x:c r="I113" s="35" t="str">
        <x:v>FLD-0002</x:v>
      </x:c>
      <x:c r="J113" s="35" t="str"/>
      <x:c r="K113" s="35" t="str"/>
      <x:c r="L113" s="35" t="str">
        <x:v>Use the source-derived Field Inventory. Enter non-default realistic values in every control (go-live-confirm-input); submit; reload or relaunch; compare every value; edit each mutable field; verify the paired client; then run required, format, length, range, boundary, optional-null, and stale-submit checks.</x:v>
      </x:c>
      <x:c r="M113" s="35" t="str">
        <x:v>All 1 inventoried controls persist exact normalized values, invalid values stay unsaved with clear errors, and hidden/unauthorized fields cannot be altered.</x:v>
      </x:c>
      <x:c r="N113" s="35" t="str">
        <x:v>Before/after form screenshots; FLD IDs; API response; reloaded UI; paired-client read-back; database/audit evidence; negative validation result.</x:v>
      </x:c>
      <x:c r="O113" s="35" t="str">
        <x:v>Use a duplicate submit and one simulated network interruption; one atomic mutation or none, never partial state.</x:v>
      </x:c>
      <x:c r="P113" s="35" t="str">
        <x:v>All expected records and amounts match; no unexplained error or stale state.</x:v>
      </x:c>
    </x:row>
    <x:row r="114">
      <x:c r="A114" s="20" t="str">
        <x:v>RUN-20270120-04</x:v>
      </x:c>
      <x:c r="B114" s="23" t="n">
        <x:v>46407</x:v>
      </x:c>
      <x:c r="C114" s="32" t="n">
        <x:v>4</x:v>
      </x:c>
      <x:c r="D114" s="20" t="str">
        <x:v>Field certification</x:v>
      </x:c>
      <x:c r="E114" s="20" t="str">
        <x:v>Property Manager</x:v>
      </x:c>
      <x:c r="F114" s="20" t="str">
        <x:v>Web</x:v>
      </x:c>
      <x:c r="G114" s="20" t="str">
        <x:v>Manual field-by-field</x:v>
      </x:c>
      <x:c r="H114" s="35" t="str">
        <x:v>Fill, save, reload, edit, and validate every declared field on web/src/lib/components/account/AccountSecurityPage.svelte</x:v>
      </x:c>
      <x:c r="I114" s="35" t="str">
        <x:v>FLD-0003</x:v>
      </x:c>
      <x:c r="J114" s="35" t="str"/>
      <x:c r="K114" s="35" t="str"/>
      <x:c r="L114" s="35" t="str">
        <x:v>Use the source-derived Field Inventory. Enter non-default realistic values in every control (username); submit; reload or relaunch; compare every value; edit each mutable field; verify the paired client; then run required, format, length, range, boundary, optional-null, and stale-submit checks.</x:v>
      </x:c>
      <x:c r="M114" s="35" t="str">
        <x:v>All 1 inventoried controls persist exact normalized values, invalid values stay unsaved with clear errors, and hidden/unauthorized fields cannot be altered.</x:v>
      </x:c>
      <x:c r="N114" s="35" t="str">
        <x:v>Before/after form screenshots; FLD IDs; API response; reloaded UI; paired-client read-back; database/audit evidence; negative validation result.</x:v>
      </x:c>
      <x:c r="O114" s="35" t="str">
        <x:v>Use a duplicate submit and one simulated network interruption; one atomic mutation or none, never partial state.</x:v>
      </x:c>
      <x:c r="P114" s="35" t="str">
        <x:v>All expected records and amounts match; no unexplained error or stale state.</x:v>
      </x:c>
    </x:row>
    <x:row r="115">
      <x:c r="A115" s="20" t="str">
        <x:v>RUN-20270120-05</x:v>
      </x:c>
      <x:c r="B115" s="23" t="n">
        <x:v>46407</x:v>
      </x:c>
      <x:c r="C115" s="32" t="n">
        <x:v>5</x:v>
      </x:c>
      <x:c r="D115" s="20" t="str">
        <x:v>Surface coverage</x:v>
      </x:c>
      <x:c r="E115" s="20" t="str">
        <x:v>Role appropriate to surface</x:v>
      </x:c>
      <x:c r="F115" s="20" t="str">
        <x:v>Mobile</x:v>
      </x:c>
      <x:c r="G115" s="20" t="str">
        <x:v>Manual</x:v>
      </x:c>
      <x:c r="H115" s="35" t="str">
        <x:v>Manual mobile pass: Forgot/reset password and change password</x:v>
      </x:c>
      <x:c r="I115" s="35" t="str">
        <x:v>COV-002</x:v>
      </x:c>
      <x:c r="J115" s="35" t="str"/>
      <x:c r="K115" s="35" t="str"/>
      <x:c r="L115" s="35" t="str">
        <x:v>Request reset for known/unknown user; use valid/invalid token; change password; revoke other sessions.</x:v>
      </x:c>
      <x:c r="M115" s="35" t="str">
        <x:v>The supported workflow completes and persists correctly; if the capability is absent, the exact gap is proven and queued rather than silently skipped.</x:v>
      </x:c>
      <x:c r="N115" s="35" t="str">
        <x:v>Real UI screenshot/state; submitted values; persisted read-back; cross-client read-back; audit/role/access evidence.</x:v>
      </x:c>
      <x:c r="O115" s="35" t="str">
        <x:v>Use one invalid value, stale-state retry, or duplicate submission relevant to the form; no partial or duplicate mutation.</x:v>
      </x:c>
      <x:c r="P115" s="35" t="str">
        <x:v>All expected records and amounts match; no unexplained error or stale state.</x:v>
      </x:c>
    </x:row>
    <x:row r="116">
      <x:c r="A116" s="20" t="str">
        <x:v>RUN-20270121-01</x:v>
      </x:c>
      <x:c r="B116" s="23" t="n">
        <x:v>46408</x:v>
      </x:c>
      <x:c r="C116" s="32" t="n">
        <x:v>1</x:v>
      </x:c>
      <x:c r="D116" s="20" t="str">
        <x:v>Role and screen certification</x:v>
      </x:c>
      <x:c r="E116" s="20" t="str">
        <x:v>Tenant</x:v>
      </x:c>
      <x:c r="F116" s="20" t="str">
        <x:v>Web</x:v>
      </x:c>
      <x:c r="G116" s="20" t="str">
        <x:v>Normal persona navigation</x:v>
      </x:c>
      <x:c r="H116" s="35" t="str">
        <x:v>Use every permitted action and state on /portal</x:v>
      </x:c>
      <x:c r="I116" s="35" t="str">
        <x:v>SCR-003; ROLE-004</x:v>
      </x:c>
      <x:c r="J116" s="35" t="str"/>
      <x:c r="K116" s="35" t="str"/>
      <x:c r="L11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6" s="35" t="str">
        <x:v>The persona can use every allowed action with only its assigned properties/relationships. Hidden or disabled actions explain why; an adjacent unauthorized persona is denied without metadata leakage.</x:v>
      </x:c>
      <x:c r="N116" s="35" t="str">
        <x:v>Persona/experience; navigation entry; desktop or device screenshots; result state; persisted read-back; audit/history; authorized and denied network result.</x:v>
      </x:c>
      <x:c r="O116" s="35" t="str">
        <x:v>Open the direct URL or deep link with an adjacent unauthorized persona and with stale scope; both fail closed and land safely without mutation.</x:v>
      </x:c>
      <x:c r="P116" s="35" t="str">
        <x:v>All expected records and amounts match; no unexplained error or stale state.</x:v>
      </x:c>
    </x:row>
    <x:row r="117">
      <x:c r="A117" s="20" t="str">
        <x:v>RUN-20270121-02</x:v>
      </x:c>
      <x:c r="B117" s="23" t="n">
        <x:v>46408</x:v>
      </x:c>
      <x:c r="C117" s="32" t="n">
        <x:v>2</x:v>
      </x:c>
      <x:c r="D117" s="20" t="str">
        <x:v>Field certification</x:v>
      </x:c>
      <x:c r="E117" s="20" t="str">
        <x:v>Property Manager</x:v>
      </x:c>
      <x:c r="F117" s="20" t="str">
        <x:v>Web</x:v>
      </x:c>
      <x:c r="G117" s="20" t="str">
        <x:v>Manual field-by-field</x:v>
      </x:c>
      <x:c r="H117" s="35" t="str">
        <x:v>Fill, save, reload, edit, and validate every declared field on web/src/lib/components/account/AccountSecurityPage.svelte</x:v>
      </x:c>
      <x:c r="I117" s="35" t="str">
        <x:v>FLD-0004; FLD-0005; FLD-0006</x:v>
      </x:c>
      <x:c r="J117" s="35" t="str"/>
      <x:c r="K117" s="35" t="str"/>
      <x:c r="L117" s="35" t="str">
        <x:v>Use the source-derived Field Inventory. Enter non-default realistic values in every control (currentPassword; newPassword; confirmPassword); submit; reload or relaunch; compare every value; edit each mutable field; verify the paired client; then run required, format, length, range, boundary, optional-null, and stale-submit checks.</x:v>
      </x:c>
      <x:c r="M117" s="35" t="str">
        <x:v>All 3 inventoried controls persist exact normalized values, invalid values stay unsaved with clear errors, and hidden/unauthorized fields cannot be altered.</x:v>
      </x:c>
      <x:c r="N117" s="35" t="str">
        <x:v>Before/after form screenshots; FLD IDs; API response; reloaded UI; paired-client read-back; database/audit evidence; negative validation result.</x:v>
      </x:c>
      <x:c r="O117" s="35" t="str">
        <x:v>Use a duplicate submit and one simulated network interruption; one atomic mutation or none, never partial state.</x:v>
      </x:c>
      <x:c r="P117" s="35" t="str">
        <x:v>All expected records and amounts match; no unexplained error or stale state.</x:v>
      </x:c>
    </x:row>
    <x:row r="118">
      <x:c r="A118" s="20" t="str">
        <x:v>RUN-20270121-03</x:v>
      </x:c>
      <x:c r="B118" s="23" t="n">
        <x:v>46408</x:v>
      </x:c>
      <x:c r="C118" s="32" t="n">
        <x:v>3</x:v>
      </x:c>
      <x:c r="D118" s="20" t="str">
        <x:v>Field certification</x:v>
      </x:c>
      <x:c r="E118" s="20" t="str">
        <x:v>Leasing Agent</x:v>
      </x:c>
      <x:c r="F118" s="20" t="str">
        <x:v>Web</x:v>
      </x:c>
      <x:c r="G118" s="20" t="str">
        <x:v>Manual field-by-field</x:v>
      </x:c>
      <x:c r="H118" s="35" t="str">
        <x:v>Fill, save, reload, edit, and validate every declared field on web/src/lib/components/applications/PrepareMoveInDialog.svelte</x:v>
      </x:c>
      <x:c r="I118" s="35" t="str">
        <x:v>FLD-0007</x:v>
      </x:c>
      <x:c r="J118" s="35" t="str"/>
      <x:c r="K118" s="35" t="str"/>
      <x:c r="L118" s="35" t="str">
        <x:v>Use the source-derived Field Inventory. Enter non-default realistic values in every control (prepare-application-search); submit; reload or relaunch; compare every value; edit each mutable field; verify the paired client; then run required, format, length, range, boundary, optional-null, and stale-submit checks.</x:v>
      </x:c>
      <x:c r="M118" s="35" t="str">
        <x:v>All 1 inventoried controls persist exact normalized values, invalid values stay unsaved with clear errors, and hidden/unauthorized fields cannot be altered.</x:v>
      </x:c>
      <x:c r="N118" s="35" t="str">
        <x:v>Before/after form screenshots; FLD IDs; API response; reloaded UI; paired-client read-back; database/audit evidence; negative validation result.</x:v>
      </x:c>
      <x:c r="O118" s="35" t="str">
        <x:v>Use a duplicate submit and one simulated network interruption; one atomic mutation or none, never partial state.</x:v>
      </x:c>
      <x:c r="P118" s="35" t="str">
        <x:v>All expected records and amounts match; no unexplained error or stale state.</x:v>
      </x:c>
    </x:row>
    <x:row r="119">
      <x:c r="A119" s="20" t="str">
        <x:v>RUN-20270122-01</x:v>
      </x:c>
      <x:c r="B119" s="23" t="n">
        <x:v>46409</x:v>
      </x:c>
      <x:c r="C119" s="32" t="n">
        <x:v>1</x:v>
      </x:c>
      <x:c r="D119" s="20" t="str">
        <x:v>Role and screen certification</x:v>
      </x:c>
      <x:c r="E119" s="20" t="str">
        <x:v>Tenant</x:v>
      </x:c>
      <x:c r="F119" s="20" t="str">
        <x:v>Web</x:v>
      </x:c>
      <x:c r="G119" s="20" t="str">
        <x:v>Normal persona navigation</x:v>
      </x:c>
      <x:c r="H119" s="35" t="str">
        <x:v>Use every permitted action and state on /portal/account</x:v>
      </x:c>
      <x:c r="I119" s="35" t="str">
        <x:v>SCR-004; ROLE-005</x:v>
      </x:c>
      <x:c r="J119" s="35" t="str"/>
      <x:c r="K119" s="35" t="str"/>
      <x:c r="L1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9" s="35" t="str">
        <x:v>The persona can use every allowed action with only its assigned properties/relationships. Hidden or disabled actions explain why; an adjacent unauthorized persona is denied without metadata leakage.</x:v>
      </x:c>
      <x:c r="N119" s="35" t="str">
        <x:v>Persona/experience; navigation entry; desktop or device screenshots; result state; persisted read-back; audit/history; authorized and denied network result.</x:v>
      </x:c>
      <x:c r="O119" s="35" t="str">
        <x:v>Open the direct URL or deep link with an adjacent unauthorized persona and with stale scope; both fail closed and land safely without mutation.</x:v>
      </x:c>
      <x:c r="P119" s="35" t="str">
        <x:v>All expected records and amounts match; no unexplained error or stale state.</x:v>
      </x:c>
    </x:row>
    <x:row r="120">
      <x:c r="A120" s="20" t="str">
        <x:v>RUN-20270122-02</x:v>
      </x:c>
      <x:c r="B120" s="23" t="n">
        <x:v>46409</x:v>
      </x:c>
      <x:c r="C120" s="32" t="n">
        <x:v>2</x:v>
      </x:c>
      <x:c r="D120" s="20" t="str">
        <x:v>Field certification</x:v>
      </x:c>
      <x:c r="E120" s="20" t="str">
        <x:v>Leasing Agent</x:v>
      </x:c>
      <x:c r="F120" s="20" t="str">
        <x:v>Web</x:v>
      </x:c>
      <x:c r="G120" s="20" t="str">
        <x:v>Manual field-by-field</x:v>
      </x:c>
      <x:c r="H120" s="35" t="str">
        <x:v>Fill, save, reload, edit, and validate every declared field on web/src/lib/components/applications/PrepareMoveInDialog.svelte</x:v>
      </x:c>
      <x:c r="I120" s="35" t="str">
        <x:v>FLD-0008; FLD-0009; FLD-0010; FLD-0011; FLD-0012</x:v>
      </x:c>
      <x:c r="J120" s="35" t="str"/>
      <x:c r="K120" s="35" t="str"/>
      <x:c r="L120" s="35" t="str">
        <x:v>Use the source-derived Field Inventory. Enter non-default realistic values in every control (prepare-application; prepare-move-in-unit-search; prepare-unit; prepare-template-search; prepare-template); submit; reload or relaunch; compare every value; edit each mutable field; verify the paired client; then run required, format, length, range, boundary, optional-null, and stale-submit checks.</x:v>
      </x:c>
      <x:c r="M120" s="35" t="str">
        <x:v>All 5 inventoried controls persist exact normalized values, invalid values stay unsaved with clear errors, and hidden/unauthorized fields cannot be altered.</x:v>
      </x:c>
      <x:c r="N120" s="35" t="str">
        <x:v>Before/after form screenshots; FLD IDs; API response; reloaded UI; paired-client read-back; database/audit evidence; negative validation result.</x:v>
      </x:c>
      <x:c r="O120" s="35" t="str">
        <x:v>Use a duplicate submit and one simulated network interruption; one atomic mutation or none, never partial state.</x:v>
      </x:c>
      <x:c r="P120" s="35" t="str">
        <x:v>All expected records and amounts match; no unexplained error or stale state.</x:v>
      </x:c>
    </x:row>
    <x:row r="121">
      <x:c r="A121" s="20" t="str">
        <x:v>RUN-20270122-03</x:v>
      </x:c>
      <x:c r="B121" s="23" t="n">
        <x:v>46409</x:v>
      </x:c>
      <x:c r="C121" s="32" t="n">
        <x:v>3</x:v>
      </x:c>
      <x:c r="D121" s="20" t="str">
        <x:v>Notification certification</x:v>
      </x:c>
      <x:c r="E121" s="20" t="str">
        <x:v>Tenant</x:v>
      </x:c>
      <x:c r="F121" s="20" t="str">
        <x:v>Web + Mobile</x:v>
      </x:c>
      <x:c r="G121" s="20" t="str">
        <x:v>System event + preference/manual verification</x:v>
      </x:c>
      <x:c r="H121" s="35" t="str">
        <x:v>Trigger and prove notification: Rent charge posted</x:v>
      </x:c>
      <x:c r="I121" s="35" t="str">
        <x:v>NTF-001</x:v>
      </x:c>
      <x:c r="J121" s="35" t="str"/>
      <x:c r="K121" s="35" t="str"/>
      <x:c r="L121" s="35" t="str">
        <x:v>Set each recipient's preferences; trigger the real business event; inspect routing and recipient scope; verify unread badge, list item, safe preview, tenant balance deep link deep link, mark-read sync, configured channel outcome, provider failure/retry, and duplicate suppression.</x:v>
      </x:c>
      <x:c r="M121" s="35" t="str">
        <x:v>Exactly the intended recipients receive one correctly routed notification; disabled optional channels stay silent; deep link opens authorized context; read state synchronizes.</x:v>
      </x:c>
      <x:c r="N121" s="35" t="str">
        <x:v>Trigger record; routing decision; outbox/delivery status; web/mobile inbox; lock-screen-safe copy; deep-link target; audit/provider retry evidence.</x:v>
      </x:c>
      <x:c r="O121" s="35" t="str">
        <x:v>Re-run the worker and deliver a duplicate provider callback; no duplicate user-visible event. Attempt the deep link as an unauthorized adjacent role.</x:v>
      </x:c>
      <x:c r="P121" s="35" t="str">
        <x:v>All expected records and amounts match; no unexplained error or stale state.</x:v>
      </x:c>
    </x:row>
    <x:row r="122">
      <x:c r="A122" s="20" t="str">
        <x:v>RUN-20270125-01</x:v>
      </x:c>
      <x:c r="B122" s="23" t="n">
        <x:v>46412</x:v>
      </x:c>
      <x:c r="C122" s="32" t="n">
        <x:v>1</x:v>
      </x:c>
      <x:c r="D122" s="20" t="str">
        <x:v>Weekly operations</x:v>
      </x:c>
      <x:c r="E122" s="20" t="str">
        <x:v>Property Manager</x:v>
      </x:c>
      <x:c r="F122" s="20" t="str">
        <x:v>Web</x:v>
      </x:c>
      <x:c r="G122" s="20" t="str">
        <x:v>Scan-first</x:v>
      </x:c>
      <x:c r="H122" s="35" t="str">
        <x:v>Create and triage maintenance request</x:v>
      </x:c>
      <x:c r="I122" s="35" t="str">
        <x:v>P025; U029; WO-2027-004</x:v>
      </x:c>
      <x:c r="J122" s="35" t="str">
        <x:v>SCN-0353</x:v>
      </x:c>
      <x:c r="K122" s="35" t="str"/>
      <x:c r="L122" s="35" t="str">
        <x:v>Capture the tenant note/photo; review roof flashing leak; confirm; set responsibility; dispatch Summit Roofing; create an appointment and verify the tenant notification.</x:v>
      </x:c>
      <x:c r="M122" s="35" t="str">
        <x:v>Work order, status timeline, responsibility, vendor dispatch, appointment, notification, and Unit context are linked once.</x:v>
      </x:c>
      <x:c r="N122" s="35" t="str">
        <x:v>Scan review; work order detail/timeline; dispatch; appointment; notification; tenant portal view.</x:v>
      </x:c>
      <x:c r="O122" s="35" t="str">
        <x:v>Cancel one dispatch each quarter, reassign once, and prove status/history remains append-only.</x:v>
      </x:c>
      <x:c r="P122" s="35" t="str">
        <x:v>All expected records and amounts match; no unexplained error or stale state.</x:v>
      </x:c>
    </x:row>
    <x:row r="123">
      <x:c r="A123" s="20" t="str">
        <x:v>RUN-20270125-02</x:v>
      </x:c>
      <x:c r="B123" s="23" t="n">
        <x:v>46412</x:v>
      </x:c>
      <x:c r="C123" s="32" t="n">
        <x:v>2</x:v>
      </x:c>
      <x:c r="D123" s="20" t="str">
        <x:v>Monthly close</x:v>
      </x:c>
      <x:c r="E123" s="20" t="str">
        <x:v>Owner + Workspace Administrator</x:v>
      </x:c>
      <x:c r="F123" s="20" t="str">
        <x:v>Web + Mobile owner portal</x:v>
      </x:c>
      <x:c r="G123" s="20" t="str">
        <x:v>Manual approval</x:v>
      </x:c>
      <x:c r="H123" s="35" t="str">
        <x:v>January owner statements and distributions</x:v>
      </x:c>
      <x:c r="I123" s="35" t="str">
        <x:v>O01-O05</x:v>
      </x:c>
      <x:c r="J123" s="35" t="str"/>
      <x:c r="K123" s="35" t="str">
        <x:v>FIN-01106; FIN-01107; FIN-01108; FIN-01109; FIN-01110</x:v>
      </x:c>
      <x:c r="L123" s="35" t="str">
        <x:v>Generate owner statements; review income/expense allocations; approve distributions; record the bank export; open statements from owner portal on web and mobile.</x:v>
      </x:c>
      <x:c r="M123" s="35" t="str">
        <x:v>Five owner statements agree with Property/accounting totals and five distributions reduce cash/equity distributions without becoming expenses.</x:v>
      </x:c>
      <x:c r="N123" s="35" t="str">
        <x:v>Statements; approvals; owner portal PDFs; distribution rows; bank references; audit.</x:v>
      </x:c>
      <x:c r="O123" s="35" t="str">
        <x:v>Reject one draft distribution before approval each quarter and prove no cash event is posted.</x:v>
      </x:c>
      <x:c r="P123" s="35" t="str">
        <x:v>All expected records and amounts match; no unexplained error or stale state.</x:v>
      </x:c>
    </x:row>
    <x:row r="124">
      <x:c r="A124" s="20" t="str">
        <x:v>RUN-20270125-03</x:v>
      </x:c>
      <x:c r="B124" s="23" t="n">
        <x:v>46412</x:v>
      </x:c>
      <x:c r="C124" s="32" t="n">
        <x:v>3</x:v>
      </x:c>
      <x:c r="D124" s="20" t="str">
        <x:v>Leasing</x:v>
      </x:c>
      <x:c r="E124" s="20" t="str">
        <x:v>Property Manager</x:v>
      </x:c>
      <x:c r="F124" s="20" t="str">
        <x:v>Web</x:v>
      </x:c>
      <x:c r="G124" s="20" t="str">
        <x:v>Scan + manual classification</x:v>
      </x:c>
      <x:c r="H124" s="35" t="str">
        <x:v>Collect and classify security deposit</x:v>
      </x:c>
      <x:c r="I124" s="35" t="str">
        <x:v>L043; U037</x:v>
      </x:c>
      <x:c r="J124" s="35" t="str">
        <x:v>SCN-0926</x:v>
      </x:c>
      <x:c r="K124" s="35" t="str">
        <x:v>FIN-01655</x:v>
      </x:c>
      <x:c r="L124" s="35" t="str">
        <x:v>Capture the receipt; verify payer/amount; classify to the security-deposit account rather than rent; confirm trust account, liability, lease provenance, and receipt.</x:v>
      </x:c>
      <x:c r="M124" s="35" t="str">
        <x:v>Deposit trust cash and liability rise equally; tenant rent AR and rental income do not change.</x:v>
      </x:c>
      <x:c r="N124" s="35" t="str">
        <x:v>Scan review; deposit register; tenant account provenance; trust cash; accounting checks; receipt.</x:v>
      </x:c>
      <x:c r="O124" s="35" t="str">
        <x:v>Try to classify the deposit as rent, cancel, then classify correctly; no abandoned financial row remains.</x:v>
      </x:c>
      <x:c r="P124" s="35" t="str">
        <x:v>All expected records and amounts match; no unexplained error or stale state.</x:v>
      </x:c>
    </x:row>
    <x:row r="125">
      <x:c r="A125" s="20" t="str">
        <x:v>RUN-20270125-04</x:v>
      </x:c>
      <x:c r="B125" s="23" t="n">
        <x:v>46412</x:v>
      </x:c>
      <x:c r="C125" s="32" t="n">
        <x:v>4</x:v>
      </x:c>
      <x:c r="D125" s="20" t="str">
        <x:v>Role and screen certification</x:v>
      </x:c>
      <x:c r="E125" s="20" t="str">
        <x:v>Tenant</x:v>
      </x:c>
      <x:c r="F125" s="20" t="str">
        <x:v>Web</x:v>
      </x:c>
      <x:c r="G125" s="20" t="str">
        <x:v>Normal persona navigation</x:v>
      </x:c>
      <x:c r="H125" s="35" t="str">
        <x:v>Use every permitted action and state on /portal/appointments</x:v>
      </x:c>
      <x:c r="I125" s="35" t="str">
        <x:v>SCR-005; ROLE-006</x:v>
      </x:c>
      <x:c r="J125" s="35" t="str"/>
      <x:c r="K125" s="35" t="str"/>
      <x:c r="L12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5" s="35" t="str">
        <x:v>The persona can use every allowed action with only its assigned properties/relationships. Hidden or disabled actions explain why; an adjacent unauthorized persona is denied without metadata leakage.</x:v>
      </x:c>
      <x:c r="N125" s="35" t="str">
        <x:v>Persona/experience; navigation entry; desktop or device screenshots; result state; persisted read-back; audit/history; authorized and denied network result.</x:v>
      </x:c>
      <x:c r="O125" s="35" t="str">
        <x:v>Open the direct URL or deep link with an adjacent unauthorized persona and with stale scope; both fail closed and land safely without mutation.</x:v>
      </x:c>
      <x:c r="P125" s="35" t="str">
        <x:v>All expected records and amounts match; no unexplained error or stale state.</x:v>
      </x:c>
    </x:row>
    <x:row r="126">
      <x:c r="A126" s="20" t="str">
        <x:v>RUN-20270125-05</x:v>
      </x:c>
      <x:c r="B126" s="23" t="n">
        <x:v>46412</x:v>
      </x:c>
      <x:c r="C126" s="32" t="n">
        <x:v>5</x:v>
      </x:c>
      <x:c r="D126" s="20" t="str">
        <x:v>Field certification</x:v>
      </x:c>
      <x:c r="E126" s="20" t="str">
        <x:v>Leasing Agent</x:v>
      </x:c>
      <x:c r="F126" s="20" t="str">
        <x:v>Web</x:v>
      </x:c>
      <x:c r="G126" s="20" t="str">
        <x:v>Manual field-by-field</x:v>
      </x:c>
      <x:c r="H126" s="35" t="str">
        <x:v>Fill, save, reload, edit, and validate every declared field on web/src/lib/components/applications/PrepareMoveInDialog.svelte</x:v>
      </x:c>
      <x:c r="I126" s="35" t="str">
        <x:v>FLD-0013; FLD-0014; FLD-0015; FLD-0016</x:v>
      </x:c>
      <x:c r="J126" s="35" t="str"/>
      <x:c r="K126" s="35" t="str"/>
      <x:c r="L126" s="35" t="str">
        <x:v>Use the source-derived Field Inventory. Enter non-default realistic values in every control (prepare-term-type; prepare-rent; prepare-due-day; prepare-deposit); submit; reload or relaunch; compare every value; edit each mutable field; verify the paired client; then run required, format, length, range, boundary, optional-null, and stale-submit checks.</x:v>
      </x:c>
      <x:c r="M126" s="35" t="str">
        <x:v>All 4 inventoried controls persist exact normalized values, invalid values stay unsaved with clear errors, and hidden/unauthorized fields cannot be altered.</x:v>
      </x:c>
      <x:c r="N126" s="35" t="str">
        <x:v>Before/after form screenshots; FLD IDs; API response; reloaded UI; paired-client read-back; database/audit evidence; negative validation result.</x:v>
      </x:c>
      <x:c r="O126" s="35" t="str">
        <x:v>Use a duplicate submit and one simulated network interruption; one atomic mutation or none, never partial state.</x:v>
      </x:c>
      <x:c r="P126" s="35" t="str">
        <x:v>All expected records and amounts match; no unexplained error or stale state.</x:v>
      </x:c>
    </x:row>
    <x:row r="127">
      <x:c r="A127" s="20" t="str">
        <x:v>RUN-20270125-06</x:v>
      </x:c>
      <x:c r="B127" s="23" t="n">
        <x:v>46412</x:v>
      </x:c>
      <x:c r="C127" s="32" t="n">
        <x:v>6</x:v>
      </x:c>
      <x:c r="D127" s="20" t="str">
        <x:v>Lifecycle certification</x:v>
      </x:c>
      <x:c r="E127" s="20" t="str">
        <x:v>Workspace Administrator</x:v>
      </x:c>
      <x:c r="F127" s="20" t="str">
        <x:v>Web + Mobile</x:v>
      </x:c>
      <x:c r="G127" s="20" t="str">
        <x:v>Manual + scan/attachment where supported</x:v>
      </x:c>
      <x:c r="H127" s="35" t="str">
        <x:v>Complete the full create/read/edit/lifecycle/delete-safe pass for Property</x:v>
      </x:c>
      <x:c r="I127" s="35" t="str">
        <x:v>CRUD-001</x:v>
      </x:c>
      <x:c r="J127" s="35" t="str"/>
      <x:c r="K127" s="35" t="str"/>
      <x:c r="L127" s="35" t="str">
        <x:v>Use a dedicated disposable QA record and execute: create; read; edit every field; attach; deactivate/delete-safe; restore or prove irreversible guard. Fill every field referenced by field-inventory.csv. Verify confirmation copy, cancel path, final path, reload, other-client state, history, and role denial.</x:v>
      </x:c>
      <x:c r="M127" s="35" t="str">
        <x:v>Every supported transition succeeds exactly once; forbidden destructive actions are guarded; reversible deletion/deactivation works; financial and historical truth is preserved.</x:v>
      </x:c>
      <x:c r="N127" s="35" t="str">
        <x:v>Entity before/after; both clients; all FLD IDs; audit/history; notifications; authorized and unauthorized personas; API/DB state.</x:v>
      </x:c>
      <x:c r="O127" s="35" t="str">
        <x:v>Cancel the first destructive confirmation, then repeat and confirm; retry the mutation once; no double transition or orphan.</x:v>
      </x:c>
      <x:c r="P127" s="35" t="str">
        <x:v>All expected records and amounts match; no unexplained error or stale state.</x:v>
      </x:c>
    </x:row>
    <x:row r="128">
      <x:c r="A128" s="20" t="str">
        <x:v>RUN-20270126-01</x:v>
      </x:c>
      <x:c r="B128" s="23" t="n">
        <x:v>46413</x:v>
      </x:c>
      <x:c r="C128" s="32" t="n">
        <x:v>1</x:v>
      </x:c>
      <x:c r="D128" s="20" t="str">
        <x:v>Weekly operations</x:v>
      </x:c>
      <x:c r="E128" s="20" t="str">
        <x:v>Property Manager</x:v>
      </x:c>
      <x:c r="F128" s="20" t="str">
        <x:v>Web</x:v>
      </x:c>
      <x:c r="G128" s="20" t="str">
        <x:v>Scanned receipt/invoice</x:v>
      </x:c>
      <x:c r="H128" s="35" t="str">
        <x:v>Record, review, allocate, and pay operating expense</x:v>
      </x:c>
      <x:c r="I128" s="35" t="str">
        <x:v>P025; U029; WO-2027-004</x:v>
      </x:c>
      <x:c r="J128" s="35" t="str">
        <x:v>SCN-0354</x:v>
      </x:c>
      <x:c r="K128" s="35" t="str">
        <x:v>FIN-01027</x:v>
      </x:c>
      <x:c r="L128" s="35" t="str">
        <x:v>Capture or upload the source; verify vendor, date, scope, category, line items, tax, amount, and work-order link; confirm; open detail; verify attachment; compare Money and Property/Unit views.</x:v>
      </x:c>
      <x:c r="M128" s="35" t="str">
        <x:v>One expense exists at its real operational scope, cash falls once, Schedule E category and allocations agree, and no per-unit copies are created.</x:v>
      </x:c>
      <x:c r="N128" s="35" t="str">
        <x:v>Source preview; review/form; expense detail; line items; Property/Unit ledger; audit; accounting/report delta.</x:v>
      </x:c>
      <x:c r="O128" s="35" t="str">
        <x:v>On marked duplicate-invoice cases, re-upload before confirm and prove the product prevents or clearly warns about duplication.</x:v>
      </x:c>
      <x:c r="P128" s="35" t="str">
        <x:v>All expected records and amounts match; no unexplained error or stale state.</x:v>
      </x:c>
    </x:row>
    <x:row r="129">
      <x:c r="A129" s="20" t="str">
        <x:v>RUN-20270126-02</x:v>
      </x:c>
      <x:c r="B129" s="23" t="n">
        <x:v>46413</x:v>
      </x:c>
      <x:c r="C129" s="32" t="n">
        <x:v>2</x:v>
      </x:c>
      <x:c r="D129" s="20" t="str">
        <x:v>Role and screen certification</x:v>
      </x:c>
      <x:c r="E129" s="20" t="str">
        <x:v>Tenant</x:v>
      </x:c>
      <x:c r="F129" s="20" t="str">
        <x:v>Web</x:v>
      </x:c>
      <x:c r="G129" s="20" t="str">
        <x:v>Normal persona navigation</x:v>
      </x:c>
      <x:c r="H129" s="35" t="str">
        <x:v>Use every permitted action and state on /portal/lease</x:v>
      </x:c>
      <x:c r="I129" s="35" t="str">
        <x:v>SCR-006; ROLE-007</x:v>
      </x:c>
      <x:c r="J129" s="35" t="str"/>
      <x:c r="K129" s="35" t="str"/>
      <x:c r="L12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9" s="35" t="str">
        <x:v>The persona can use every allowed action with only its assigned properties/relationships. Hidden or disabled actions explain why; an adjacent unauthorized persona is denied without metadata leakage.</x:v>
      </x:c>
      <x:c r="N129" s="35" t="str">
        <x:v>Persona/experience; navigation entry; desktop or device screenshots; result state; persisted read-back; audit/history; authorized and denied network result.</x:v>
      </x:c>
      <x:c r="O129" s="35" t="str">
        <x:v>Open the direct URL or deep link with an adjacent unauthorized persona and with stale scope; both fail closed and land safely without mutation.</x:v>
      </x:c>
      <x:c r="P129" s="35" t="str">
        <x:v>All expected records and amounts match; no unexplained error or stale state.</x:v>
      </x:c>
    </x:row>
    <x:row r="130">
      <x:c r="A130" s="20" t="str">
        <x:v>RUN-20270126-03</x:v>
      </x:c>
      <x:c r="B130" s="23" t="n">
        <x:v>46413</x:v>
      </x:c>
      <x:c r="C130" s="32" t="n">
        <x:v>3</x:v>
      </x:c>
      <x:c r="D130" s="20" t="str">
        <x:v>Field certification</x:v>
      </x:c>
      <x:c r="E130" s="20" t="str">
        <x:v>Leasing Agent</x:v>
      </x:c>
      <x:c r="F130" s="20" t="str">
        <x:v>Web</x:v>
      </x:c>
      <x:c r="G130" s="20" t="str">
        <x:v>Manual field-by-field</x:v>
      </x:c>
      <x:c r="H130" s="35" t="str">
        <x:v>Fill, save, reload, edit, and validate every declared field on web/src/lib/components/applications/PrepareMoveInDialog.svelte</x:v>
      </x:c>
      <x:c r="I130" s="35" t="str">
        <x:v>FLD-0017; FLD-0018; FLD-0019; FLD-0020</x:v>
      </x:c>
      <x:c r="J130" s="35" t="str"/>
      <x:c r="K130" s="35" t="str"/>
      <x:c r="L130" s="35" t="str">
        <x:v>Use the source-derived Field Inventory. Enter non-default realistic values in every control (prepare-late-fee; prepare-grace; prepare-opening-amount; prepare-opening-note); submit; reload or relaunch; compare every value; edit each mutable field; verify the paired client; then run required, format, length, range, boundary, optional-null, and stale-submit checks.</x:v>
      </x:c>
      <x:c r="M130" s="35" t="str">
        <x:v>All 4 inventoried controls persist exact normalized values, invalid values stay unsaved with clear errors, and hidden/unauthorized fields cannot be altered.</x:v>
      </x:c>
      <x:c r="N130" s="35" t="str">
        <x:v>Before/after form screenshots; FLD IDs; API response; reloaded UI; paired-client read-back; database/audit evidence; negative validation result.</x:v>
      </x:c>
      <x:c r="O130" s="35" t="str">
        <x:v>Use a duplicate submit and one simulated network interruption; one atomic mutation or none, never partial state.</x:v>
      </x:c>
      <x:c r="P130" s="35" t="str">
        <x:v>All expected records and amounts match; no unexplained error or stale state.</x:v>
      </x:c>
    </x:row>
    <x:row r="131">
      <x:c r="A131" s="20" t="str">
        <x:v>RUN-20270126-04</x:v>
      </x:c>
      <x:c r="B131" s="23" t="n">
        <x:v>46413</x:v>
      </x:c>
      <x:c r="C131" s="32" t="n">
        <x:v>4</x:v>
      </x:c>
      <x:c r="D131" s="20" t="str">
        <x:v>Surface coverage</x:v>
      </x:c>
      <x:c r="E131" s="20" t="str">
        <x:v>Role appropriate to surface</x:v>
      </x:c>
      <x:c r="F131" s="20" t="str">
        <x:v>Web</x:v>
      </x:c>
      <x:c r="G131" s="20" t="str">
        <x:v>Manual</x:v>
      </x:c>
      <x:c r="H131" s="35" t="str">
        <x:v>Manual web pass: Choose live setup and Getting Started</x:v>
      </x:c>
      <x:c r="I131" s="35" t="str">
        <x:v>COV-003</x:v>
      </x:c>
      <x:c r="J131" s="35" t="str"/>
      <x:c r="K131" s="35" t="str"/>
      <x:c r="L131" s="35" t="str">
        <x:v>Resume saved setup, scan one lease, complete one manual setup task, and verify go-live state.</x:v>
      </x:c>
      <x:c r="M131" s="35" t="str">
        <x:v>The supported workflow completes and persists correctly; if the capability is absent, the exact gap is proven and queued rather than silently skipped.</x:v>
      </x:c>
      <x:c r="N131" s="35" t="str">
        <x:v>Real UI screenshot/state; submitted values; persisted read-back; cross-client read-back; audit/role/access evidence.</x:v>
      </x:c>
      <x:c r="O131" s="35" t="str">
        <x:v>Use one invalid value, stale-state retry, or duplicate submission relevant to the form; no partial or duplicate mutation.</x:v>
      </x:c>
      <x:c r="P131" s="35" t="str">
        <x:v>All expected records and amounts match; no unexplained error or stale state.</x:v>
      </x:c>
    </x:row>
    <x:row r="132">
      <x:c r="A132" s="20" t="str">
        <x:v>RUN-20270127-01</x:v>
      </x:c>
      <x:c r="B132" s="23" t="n">
        <x:v>46414</x:v>
      </x:c>
      <x:c r="C132" s="32" t="n">
        <x:v>1</x:v>
      </x:c>
      <x:c r="D132" s="20" t="str">
        <x:v>Field certification</x:v>
      </x:c>
      <x:c r="E132" s="20" t="str">
        <x:v>Property Manager</x:v>
      </x:c>
      <x:c r="F132" s="20" t="str">
        <x:v>Web</x:v>
      </x:c>
      <x:c r="G132" s="20" t="str">
        <x:v>Manual field-by-field</x:v>
      </x:c>
      <x:c r="H132" s="35" t="str">
        <x:v>Fill, save, reload, edit, and validate every declared field on web/src/lib/components/assistant/AssistantPanel.svelte</x:v>
      </x:c>
      <x:c r="I132" s="35" t="str">
        <x:v>FLD-0021; FLD-0022</x:v>
      </x:c>
      <x:c r="J132" s="35" t="str"/>
      <x:c r="K132" s="35" t="str"/>
      <x:c r="L132" s="35" t="str">
        <x:v>Use the source-derived Field Inventory. Enter non-default realistic values in every control (assistant-action-mode-toggle; assistant-input); submit; reload or relaunch; compare every value; edit each mutable field; verify the paired client; then run required, format, length, range, boundary, optional-null, and stale-submit checks.</x:v>
      </x:c>
      <x:c r="M132" s="35" t="str">
        <x:v>All 2 inventoried controls persist exact normalized values, invalid values stay unsaved with clear errors, and hidden/unauthorized fields cannot be altered.</x:v>
      </x:c>
      <x:c r="N132" s="35" t="str">
        <x:v>Before/after form screenshots; FLD IDs; API response; reloaded UI; paired-client read-back; database/audit evidence; negative validation result.</x:v>
      </x:c>
      <x:c r="O132" s="35" t="str">
        <x:v>Use a duplicate submit and one simulated network interruption; one atomic mutation or none, never partial state.</x:v>
      </x:c>
      <x:c r="P132" s="35" t="str">
        <x:v>All expected records and amounts match; no unexplained error or stale state.</x:v>
      </x:c>
    </x:row>
    <x:row r="133">
      <x:c r="A133" s="20" t="str">
        <x:v>RUN-20270127-02</x:v>
      </x:c>
      <x:c r="B133" s="23" t="n">
        <x:v>46414</x:v>
      </x:c>
      <x:c r="C133" s="32" t="n">
        <x:v>2</x:v>
      </x:c>
      <x:c r="D133" s="20" t="str">
        <x:v>Field certification</x:v>
      </x:c>
      <x:c r="E133" s="20" t="str">
        <x:v>Property Manager</x:v>
      </x:c>
      <x:c r="F133" s="20" t="str">
        <x:v>Web</x:v>
      </x:c>
      <x:c r="G133" s="20" t="str">
        <x:v>Manual field-by-field</x:v>
      </x:c>
      <x:c r="H133" s="35" t="str">
        <x:v>Fill, save, reload, edit, and validate every declared field on web/src/lib/components/document-templates/LeaseTemplateDesigner.svelte</x:v>
      </x:c>
      <x:c r="I133" s="35" t="str">
        <x:v>FLD-0023; FLD-0024; FLD-0025</x:v>
      </x:c>
      <x:c r="J133" s="35" t="str"/>
      <x:c r="K133" s="35" t="str"/>
      <x:c r="L133" s="35" t="str">
        <x:v>Use the source-derived Field Inventory. Enter non-default realistic values in every control (lease-template-preview-lease-select; lease-template-page-select; input-3); submit; reload or relaunch; compare every value; edit each mutable field; verify the paired client; then run required, format, length, range, boundary, optional-null, and stale-submit checks.</x:v>
      </x:c>
      <x:c r="M133" s="35" t="str">
        <x:v>All 3 inventoried controls persist exact normalized values, invalid values stay unsaved with clear errors, and hidden/unauthorized fields cannot be altered.</x:v>
      </x:c>
      <x:c r="N133" s="35" t="str">
        <x:v>Before/after form screenshots; FLD IDs; API response; reloaded UI; paired-client read-back; database/audit evidence; negative validation result.</x:v>
      </x:c>
      <x:c r="O133" s="35" t="str">
        <x:v>Use a duplicate submit and one simulated network interruption; one atomic mutation or none, never partial state.</x:v>
      </x:c>
      <x:c r="P133" s="35" t="str">
        <x:v>All expected records and amounts match; no unexplained error or stale state.</x:v>
      </x:c>
    </x:row>
    <x:row r="134">
      <x:c r="A134" s="20" t="str">
        <x:v>RUN-20270127-03</x:v>
      </x:c>
      <x:c r="B134" s="23" t="n">
        <x:v>46414</x:v>
      </x:c>
      <x:c r="C134" s="32" t="n">
        <x:v>3</x:v>
      </x:c>
      <x:c r="D134" s="20" t="str">
        <x:v>Surface coverage</x:v>
      </x:c>
      <x:c r="E134" s="20" t="str">
        <x:v>Role appropriate to surface</x:v>
      </x:c>
      <x:c r="F134" s="20" t="str">
        <x:v>Mobile</x:v>
      </x:c>
      <x:c r="G134" s="20" t="str">
        <x:v>Manual</x:v>
      </x:c>
      <x:c r="H134" s="35" t="str">
        <x:v>Manual mobile pass: Choose live setup and Getting Started</x:v>
      </x:c>
      <x:c r="I134" s="35" t="str">
        <x:v>COV-003</x:v>
      </x:c>
      <x:c r="J134" s="35" t="str"/>
      <x:c r="K134" s="35" t="str"/>
      <x:c r="L134" s="35" t="str">
        <x:v>Resume saved setup, scan one lease, complete one manual setup task, and verify go-live state.</x:v>
      </x:c>
      <x:c r="M134" s="35" t="str">
        <x:v>The supported workflow completes and persists correctly; if the capability is absent, the exact gap is proven and queued rather than silently skipped.</x:v>
      </x:c>
      <x:c r="N134" s="35" t="str">
        <x:v>Real UI screenshot/state; submitted values; persisted read-back; cross-client read-back; audit/role/access evidence.</x:v>
      </x:c>
      <x:c r="O134" s="35" t="str">
        <x:v>Use one invalid value, stale-state retry, or duplicate submission relevant to the form; no partial or duplicate mutation.</x:v>
      </x:c>
      <x:c r="P134" s="35" t="str">
        <x:v>All expected records and amounts match; no unexplained error or stale state.</x:v>
      </x:c>
    </x:row>
    <x:row r="135">
      <x:c r="A135" s="20" t="str">
        <x:v>RUN-20270128-01</x:v>
      </x:c>
      <x:c r="B135" s="23" t="n">
        <x:v>46415</x:v>
      </x:c>
      <x:c r="C135" s="32" t="n">
        <x:v>1</x:v>
      </x:c>
      <x:c r="D135" s="20" t="str">
        <x:v>Role and screen certification</x:v>
      </x:c>
      <x:c r="E135" s="20" t="str">
        <x:v>Tenant</x:v>
      </x:c>
      <x:c r="F135" s="20" t="str">
        <x:v>Web</x:v>
      </x:c>
      <x:c r="G135" s="20" t="str">
        <x:v>Normal persona navigation</x:v>
      </x:c>
      <x:c r="H135" s="35" t="str">
        <x:v>Use every permitted action and state on /portal/maintenance</x:v>
      </x:c>
      <x:c r="I135" s="35" t="str">
        <x:v>SCR-007; ROLE-008</x:v>
      </x:c>
      <x:c r="J135" s="35" t="str"/>
      <x:c r="K135" s="35" t="str"/>
      <x:c r="L13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5" s="35" t="str">
        <x:v>The persona can use every allowed action with only its assigned properties/relationships. Hidden or disabled actions explain why; an adjacent unauthorized persona is denied without metadata leakage.</x:v>
      </x:c>
      <x:c r="N135" s="35" t="str">
        <x:v>Persona/experience; navigation entry; desktop or device screenshots; result state; persisted read-back; audit/history; authorized and denied network result.</x:v>
      </x:c>
      <x:c r="O135" s="35" t="str">
        <x:v>Open the direct URL or deep link with an adjacent unauthorized persona and with stale scope; both fail closed and land safely without mutation.</x:v>
      </x:c>
      <x:c r="P135" s="35" t="str">
        <x:v>All expected records and amounts match; no unexplained error or stale state.</x:v>
      </x:c>
    </x:row>
    <x:row r="136">
      <x:c r="A136" s="20" t="str">
        <x:v>RUN-20270128-02</x:v>
      </x:c>
      <x:c r="B136" s="23" t="n">
        <x:v>46415</x:v>
      </x:c>
      <x:c r="C136" s="32" t="n">
        <x:v>2</x:v>
      </x:c>
      <x:c r="D136" s="20" t="str">
        <x:v>Field certification</x:v>
      </x:c>
      <x:c r="E136" s="20" t="str">
        <x:v>Property Manager</x:v>
      </x:c>
      <x:c r="F136" s="20" t="str">
        <x:v>Web</x:v>
      </x:c>
      <x:c r="G136" s="20" t="str">
        <x:v>Manual field-by-field</x:v>
      </x:c>
      <x:c r="H136" s="35" t="str">
        <x:v>Fill, save, reload, edit, and validate every declared field on web/src/lib/components/document-templates/LeaseTemplateDesigner.svelte</x:v>
      </x:c>
      <x:c r="I136" s="35" t="str">
        <x:v>FLD-0026</x:v>
      </x:c>
      <x:c r="J136" s="35" t="str"/>
      <x:c r="K136" s="35" t="str"/>
      <x:c r="L136" s="35" t="str">
        <x:v>Use the source-derived Field Inventory. Enter non-default realistic values in every control (input-4); submit; reload or relaunch; compare every value; edit each mutable field; verify the paired client; then run required, format, length, range, boundary, optional-null, and stale-submit checks.</x:v>
      </x:c>
      <x:c r="M136" s="35" t="str">
        <x:v>All 1 inventoried controls persist exact normalized values, invalid values stay unsaved with clear errors, and hidden/unauthorized fields cannot be altered.</x:v>
      </x:c>
      <x:c r="N136" s="35" t="str">
        <x:v>Before/after form screenshots; FLD IDs; API response; reloaded UI; paired-client read-back; database/audit evidence; negative validation result.</x:v>
      </x:c>
      <x:c r="O136" s="35" t="str">
        <x:v>Use a duplicate submit and one simulated network interruption; one atomic mutation or none, never partial state.</x:v>
      </x:c>
      <x:c r="P136" s="35" t="str">
        <x:v>All expected records and amounts match; no unexplained error or stale state.</x:v>
      </x:c>
    </x:row>
    <x:row r="137">
      <x:c r="A137" s="20" t="str">
        <x:v>RUN-20270128-03</x:v>
      </x:c>
      <x:c r="B137" s="23" t="n">
        <x:v>46415</x:v>
      </x:c>
      <x:c r="C137" s="32" t="n">
        <x:v>3</x:v>
      </x:c>
      <x:c r="D137" s="20" t="str">
        <x:v>Field certification</x:v>
      </x:c>
      <x:c r="E137" s="20" t="str">
        <x:v>Property Manager</x:v>
      </x:c>
      <x:c r="F137" s="20" t="str">
        <x:v>Web</x:v>
      </x:c>
      <x:c r="G137" s="20" t="str">
        <x:v>Manual field-by-field</x:v>
      </x:c>
      <x:c r="H137" s="35" t="str">
        <x:v>Fill, save, reload, edit, and validate every declared field on web/src/lib/components/forms/LeaseTermFields.svelte</x:v>
      </x:c>
      <x:c r="I137" s="35" t="str">
        <x:v>FLD-0027; FLD-0028; FLD-0029</x:v>
      </x:c>
      <x:c r="J137" s="35" t="str"/>
      <x:c r="K137" s="35" t="str"/>
      <x:c r="L137" s="35" t="str">
        <x:v>Use the source-derived Field Inventory. Enter non-default realistic values in every control (`${testidPrefix; form.status; Select-8); submit; reload or relaunch; compare every value; edit each mutable field; verify the paired client; then run required, format, length, range, boundary, optional-null, and stale-submit checks.</x:v>
      </x:c>
      <x:c r="M137" s="35" t="str">
        <x:v>All 3 inventoried controls persist exact normalized values, invalid values stay unsaved with clear errors, and hidden/unauthorized fields cannot be altered.</x:v>
      </x:c>
      <x:c r="N137" s="35" t="str">
        <x:v>Before/after form screenshots; FLD IDs; API response; reloaded UI; paired-client read-back; database/audit evidence; negative validation result.</x:v>
      </x:c>
      <x:c r="O137" s="35" t="str">
        <x:v>Use a duplicate submit and one simulated network interruption; one atomic mutation or none, never partial state.</x:v>
      </x:c>
      <x:c r="P137" s="35" t="str">
        <x:v>All expected records and amounts match; no unexplained error or stale state.</x:v>
      </x:c>
    </x:row>
    <x:row r="138">
      <x:c r="A138" s="20" t="str">
        <x:v>RUN-20270129-01</x:v>
      </x:c>
      <x:c r="B138" s="23" t="n">
        <x:v>46416</x:v>
      </x:c>
      <x:c r="C138" s="32" t="n">
        <x:v>1</x:v>
      </x:c>
      <x:c r="D138" s="20" t="str">
        <x:v>Role and screen certification</x:v>
      </x:c>
      <x:c r="E138" s="20" t="str">
        <x:v>Tenant</x:v>
      </x:c>
      <x:c r="F138" s="20" t="str">
        <x:v>Web</x:v>
      </x:c>
      <x:c r="G138" s="20" t="str">
        <x:v>Normal persona navigation</x:v>
      </x:c>
      <x:c r="H138" s="35" t="str">
        <x:v>Use every permitted action and state on /portal/messages</x:v>
      </x:c>
      <x:c r="I138" s="35" t="str">
        <x:v>SCR-008; ROLE-009</x:v>
      </x:c>
      <x:c r="J138" s="35" t="str"/>
      <x:c r="K138" s="35" t="str"/>
      <x:c r="L13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8" s="35" t="str">
        <x:v>The persona can use every allowed action with only its assigned properties/relationships. Hidden or disabled actions explain why; an adjacent unauthorized persona is denied without metadata leakage.</x:v>
      </x:c>
      <x:c r="N138" s="35" t="str">
        <x:v>Persona/experience; navigation entry; desktop or device screenshots; result state; persisted read-back; audit/history; authorized and denied network result.</x:v>
      </x:c>
      <x:c r="O138" s="35" t="str">
        <x:v>Open the direct URL or deep link with an adjacent unauthorized persona and with stale scope; both fail closed and land safely without mutation.</x:v>
      </x:c>
      <x:c r="P138" s="35" t="str">
        <x:v>All expected records and amounts match; no unexplained error or stale state.</x:v>
      </x:c>
    </x:row>
    <x:row r="139">
      <x:c r="A139" s="20" t="str">
        <x:v>RUN-20270129-02</x:v>
      </x:c>
      <x:c r="B139" s="23" t="n">
        <x:v>46416</x:v>
      </x:c>
      <x:c r="C139" s="32" t="n">
        <x:v>2</x:v>
      </x:c>
      <x:c r="D139" s="20" t="str">
        <x:v>Field certification</x:v>
      </x:c>
      <x:c r="E139" s="20" t="str">
        <x:v>Property Manager</x:v>
      </x:c>
      <x:c r="F139" s="20" t="str">
        <x:v>Web</x:v>
      </x:c>
      <x:c r="G139" s="20" t="str">
        <x:v>Manual field-by-field</x:v>
      </x:c>
      <x:c r="H139" s="35" t="str">
        <x:v>Fill, save, reload, edit, and validate every declared field on web/src/lib/components/forms/LeaseTermFields.svelte</x:v>
      </x:c>
      <x:c r="I139" s="35" t="str">
        <x:v>FLD-0030</x:v>
      </x:c>
      <x:c r="J139" s="35" t="str"/>
      <x:c r="K139" s="35" t="str"/>
      <x:c r="L139" s="35" t="str">
        <x:v>Use the source-derived Field Inventory. Enter non-default realistic values in every control (Select-9); submit; reload or relaunch; compare every value; edit each mutable field; verify the paired client; then run required, format, length, range, boundary, optional-null, and stale-submit checks.</x:v>
      </x:c>
      <x:c r="M139" s="35" t="str">
        <x:v>All 1 inventoried controls persist exact normalized values, invalid values stay unsaved with clear errors, and hidden/unauthorized fields cannot be altered.</x:v>
      </x:c>
      <x:c r="N139" s="35" t="str">
        <x:v>Before/after form screenshots; FLD IDs; API response; reloaded UI; paired-client read-back; database/audit evidence; negative validation result.</x:v>
      </x:c>
      <x:c r="O139" s="35" t="str">
        <x:v>Use a duplicate submit and one simulated network interruption; one atomic mutation or none, never partial state.</x:v>
      </x:c>
      <x:c r="P139" s="35" t="str">
        <x:v>All expected records and amounts match; no unexplained error or stale state.</x:v>
      </x:c>
    </x:row>
    <x:row r="140">
      <x:c r="A140" s="20" t="str">
        <x:v>RUN-20270129-03</x:v>
      </x:c>
      <x:c r="B140" s="23" t="n">
        <x:v>46416</x:v>
      </x:c>
      <x:c r="C140" s="32" t="n">
        <x:v>3</x:v>
      </x:c>
      <x:c r="D140" s="20" t="str">
        <x:v>Field certification</x:v>
      </x:c>
      <x:c r="E140" s="20" t="str">
        <x:v>Property Manager</x:v>
      </x:c>
      <x:c r="F140" s="20" t="str">
        <x:v>Web</x:v>
      </x:c>
      <x:c r="G140" s="20" t="str">
        <x:v>Manual field-by-field</x:v>
      </x:c>
      <x:c r="H140" s="35" t="str">
        <x:v>Fill, save, reload, edit, and validate every declared field on web/src/lib/components/forms/PropertyFields.svelte</x:v>
      </x:c>
      <x:c r="I140" s="35" t="str">
        <x:v>FLD-0031; FLD-0032; FLD-0033; FLD-0034</x:v>
      </x:c>
      <x:c r="J140" s="35" t="str"/>
      <x:c r="K140" s="35" t="str"/>
      <x:c r="L140" s="35" t="str">
        <x:v>Use the source-derived Field Inventory. Enter non-default realistic values in every control (`${testidPrefix; form.type; Select-8; Select-9); submit; reload or relaunch; compare every value; edit each mutable field; verify the paired client; then run required, format, length, range, boundary, optional-null, and stale-submit checks.</x:v>
      </x:c>
      <x:c r="M140" s="35" t="str">
        <x:v>All 4 inventoried controls persist exact normalized values, invalid values stay unsaved with clear errors, and hidden/unauthorized fields cannot be altered.</x:v>
      </x:c>
      <x:c r="N140" s="35" t="str">
        <x:v>Before/after form screenshots; FLD IDs; API response; reloaded UI; paired-client read-back; database/audit evidence; negative validation result.</x:v>
      </x:c>
      <x:c r="O140" s="35" t="str">
        <x:v>Use a duplicate submit and one simulated network interruption; one atomic mutation or none, never partial state.</x:v>
      </x:c>
      <x:c r="P140" s="35" t="str">
        <x:v>All expected records and amounts match; no unexplained error or stale state.</x:v>
      </x:c>
    </x:row>
    <x:row r="141">
      <x:c r="A141" s="20" t="str">
        <x:v>RUN-20270129-04</x:v>
      </x:c>
      <x:c r="B141" s="23" t="n">
        <x:v>46416</x:v>
      </x:c>
      <x:c r="C141" s="32" t="n">
        <x:v>4</x:v>
      </x:c>
      <x:c r="D141" s="20" t="str">
        <x:v>Notification certification</x:v>
      </x:c>
      <x:c r="E141" s="20" t="str">
        <x:v>Tenant</x:v>
      </x:c>
      <x:c r="F141" s="20" t="str">
        <x:v>Web + Mobile</x:v>
      </x:c>
      <x:c r="G141" s="20" t="str">
        <x:v>System event + preference/manual verification</x:v>
      </x:c>
      <x:c r="H141" s="35" t="str">
        <x:v>Trigger and prove notification: Rent due in 5 days</x:v>
      </x:c>
      <x:c r="I141" s="35" t="str">
        <x:v>NTF-002</x:v>
      </x:c>
      <x:c r="J141" s="35" t="str"/>
      <x:c r="K141" s="35" t="str"/>
      <x:c r="L141" s="35" t="str">
        <x:v>Set each recipient's preferences; trigger the real business event; inspect routing and recipient scope; verify unread badge, list item, safe preview, portal payment screen deep link, mark-read sync, configured channel outcome, provider failure/retry, and duplicate suppression.</x:v>
      </x:c>
      <x:c r="M141" s="35" t="str">
        <x:v>Exactly the intended recipients receive one correctly routed notification; disabled optional channels stay silent; deep link opens authorized context; read state synchronizes.</x:v>
      </x:c>
      <x:c r="N141" s="35" t="str">
        <x:v>Trigger record; routing decision; outbox/delivery status; web/mobile inbox; lock-screen-safe copy; deep-link target; audit/provider retry evidence.</x:v>
      </x:c>
      <x:c r="O141" s="35" t="str">
        <x:v>Re-run the worker and deliver a duplicate provider callback; no duplicate user-visible event. Attempt the deep link as an unauthorized adjacent role.</x:v>
      </x:c>
      <x:c r="P141" s="35" t="str">
        <x:v>All expected records and amounts match; no unexplained error or stale state.</x:v>
      </x:c>
    </x:row>
    <x:row r="142">
      <x:c r="A142" s="20" t="str">
        <x:v>RUN-20270129-05</x:v>
      </x:c>
      <x:c r="B142" s="23" t="n">
        <x:v>46416</x:v>
      </x:c>
      <x:c r="C142" s="32" t="n">
        <x:v>5</x:v>
      </x:c>
      <x:c r="D142" s="20" t="str">
        <x:v>Surface coverage</x:v>
      </x:c>
      <x:c r="E142" s="20" t="str">
        <x:v>Role appropriate to surface</x:v>
      </x:c>
      <x:c r="F142" s="20" t="str">
        <x:v>Web</x:v>
      </x:c>
      <x:c r="G142" s="20" t="str">
        <x:v>Scan/attachment</x:v>
      </x:c>
      <x:c r="H142" s="35" t="str">
        <x:v>Scan web pass: Choose live setup and Getting Started</x:v>
      </x:c>
      <x:c r="I142" s="35" t="str">
        <x:v>COV-003</x:v>
      </x:c>
      <x:c r="J142" s="35" t="str"/>
      <x:c r="K142" s="35" t="str"/>
      <x:c r="L142" s="35" t="str">
        <x:v>Resume saved setup, scan one lease, complete one manual setup task, and verify go-live state.</x:v>
      </x:c>
      <x:c r="M142" s="35" t="str">
        <x:v>The supported workflow completes and persists correctly; if the capability is absent, the exact gap is proven and queued rather than silently skipped.</x:v>
      </x:c>
      <x:c r="N142" s="35" t="str">
        <x:v>Real UI screenshot/state; submitted values; persisted read-back; cross-client read-back; audit/role/access evidence.</x:v>
      </x:c>
      <x:c r="O142" s="35" t="str">
        <x:v>Use one invalid value, stale-state retry, or duplicate submission relevant to the form; no partial or duplicate mutation.</x:v>
      </x:c>
      <x:c r="P142" s="35" t="str">
        <x:v>All expected records and amounts match; no unexplained error or stale state.</x:v>
      </x:c>
    </x:row>
    <x:row r="143">
      <x:c r="A143" s="20" t="str">
        <x:v>RUN-20270131-01</x:v>
      </x:c>
      <x:c r="B143" s="23" t="n">
        <x:v>46418</x:v>
      </x:c>
      <x:c r="C143" s="32" t="n">
        <x:v>1</x:v>
      </x:c>
      <x:c r="D143" s="20" t="str">
        <x:v>Monthly close</x:v>
      </x:c>
      <x:c r="E143" s="20" t="str">
        <x:v>Workspace Administrator</x:v>
      </x:c>
      <x:c r="F143" s="20" t="str">
        <x:v>Web + Mobile</x:v>
      </x:c>
      <x:c r="G143" s="20" t="str">
        <x:v>Scan/import + reconciliation</x:v>
      </x:c>
      <x:c r="H143" s="35" t="str">
        <x:v>January bank reconciliation and close</x:v>
      </x:c>
      <x:c r="I143" s="35" t="str">
        <x:v>Operating account 4242; deposit trust account 1818; reserve account 7070</x:v>
      </x:c>
      <x:c r="J143" s="35" t="str">
        <x:v>SCN-0469</x:v>
      </x:c>
      <x:c r="K143" s="35" t="str"/>
      <x:c r="L143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43" s="35" t="str">
        <x:v>Bank ending cash, AR, deposit trust/liability, loan balance, income, expense, and net operating result match the oracle with zero unexplained variance.</x:v>
      </x:c>
      <x:c r="N143" s="35" t="str">
        <x:v>Bank reconciliation; accounting summary; P&amp;L; cash flow; rent roll/ledger; deposits; delinquency; owner statements; audit export.</x:v>
      </x:c>
      <x:c r="O143" s="35" t="str">
        <x:v>Try one duplicate bank transaction and one date-filter boundary; prove DB-side totals and idempotent matching.</x:v>
      </x:c>
      <x:c r="P143" s="35" t="str">
        <x:v>All monthly checks are OK or a reproducible bug is captured before advancing the clock.</x:v>
      </x:c>
    </x:row>
    <x:row r="144">
      <x:c r="A144" s="20" t="str">
        <x:v>RUN-20270201-01</x:v>
      </x:c>
      <x:c r="B144" s="23" t="n">
        <x:v>46419</x:v>
      </x:c>
      <x:c r="C144" s="32" t="n">
        <x:v>1</x:v>
      </x:c>
      <x:c r="D144" s="20" t="str">
        <x:v>Monthly operations</x:v>
      </x:c>
      <x:c r="E144" s="20" t="str">
        <x:v>Workspace Administrator</x:v>
      </x:c>
      <x:c r="F144" s="20" t="str">
        <x:v>Web + Mobile</x:v>
      </x:c>
      <x:c r="G144" s="20" t="str">
        <x:v>System automation + reconciliation</x:v>
      </x:c>
      <x:c r="H144" s="35" t="str">
        <x:v>February recurring rent generation</x:v>
      </x:c>
      <x:c r="I144" s="35" t="str">
        <x:v>37 active tenant accounts</x:v>
      </x:c>
      <x:c r="J144" s="35" t="str"/>
      <x:c r="K144" s="35" t="str">
        <x:v>FIN-00082; FIN-00084; FIN-00086; FIN-00088; FIN-00090; FIN-00092; FIN-00094; FIN-00096; FIN-00098; FIN-00100; FIN-00102; FIN-00106; FIN-00108; FIN-00111; FIN-00113; FIN-00115; FIN-00117; FIN-00119; FIN-00121; FIN-00123; FIN-00125; FIN-00127; FIN-00131; FIN-00133; FIN-00135; FIN-00137; FIN-00140; FIN-00142; FIN-00144; FIN-00146; FIN-00148; FIN-00150; FIN-00152; FIN-00156; FIN-00158; FIN-00160; FIN-00162</x:v>
      </x:c>
      <x:c r="L144" s="35" t="str">
        <x:v>Advance the simulation clock to 08:00 local; run or wait for scheduled finance worker; compare generated charges to active governing agreements, start dates, proration, and unique billing-period keys.</x:v>
      </x:c>
      <x:c r="M144" s="35" t="str">
        <x:v>Exactly 37 rent charges are posted once; mid-month starts prorate; ended leases do not receive future charges.</x:v>
      </x:c>
      <x:c r="N144" s="35" t="str">
        <x:v>Worker status; charge list; month rent-roll export; sampled Unit/Lease/portal balances; SQL query evidence.</x:v>
      </x:c>
      <x:c r="O144" s="35" t="str">
        <x:v>Run the finance worker a second time and prove no duplicate charge; inject one failure and prove charge/audit/outbox atomic rollback.</x:v>
      </x:c>
      <x:c r="P144" s="35" t="str">
        <x:v>All expected records and amounts match; no unexplained error or stale state.</x:v>
      </x:c>
    </x:row>
    <x:row r="145">
      <x:c r="A145" s="20" t="str">
        <x:v>RUN-20270201-02</x:v>
      </x:c>
      <x:c r="B145" s="23" t="n">
        <x:v>46419</x:v>
      </x:c>
      <x:c r="C145" s="32" t="n">
        <x:v>2</x:v>
      </x:c>
      <x:c r="D145" s="20" t="str">
        <x:v>Weekly operations</x:v>
      </x:c>
      <x:c r="E145" s="20" t="str">
        <x:v>Property Manager</x:v>
      </x:c>
      <x:c r="F145" s="20" t="str">
        <x:v>Mobile</x:v>
      </x:c>
      <x:c r="G145" s="20" t="str">
        <x:v>Scan-first</x:v>
      </x:c>
      <x:c r="H145" s="35" t="str">
        <x:v>Create and triage maintenance request</x:v>
      </x:c>
      <x:c r="I145" s="35" t="str">
        <x:v>P028; U036; WO-2027-005</x:v>
      </x:c>
      <x:c r="J145" s="35" t="str">
        <x:v>SCN-0355</x:v>
      </x:c>
      <x:c r="K145" s="35" t="str"/>
      <x:c r="L145" s="35" t="str">
        <x:v>Capture the tenant note/photo; review pest treatment; confirm; set responsibility; dispatch Prime Pest Control; create an appointment and verify the tenant notification.</x:v>
      </x:c>
      <x:c r="M145" s="35" t="str">
        <x:v>Work order, status timeline, responsibility, vendor dispatch, appointment, notification, and Unit context are linked once.</x:v>
      </x:c>
      <x:c r="N145" s="35" t="str">
        <x:v>Scan review; work order detail/timeline; dispatch; appointment; notification; tenant portal view.</x:v>
      </x:c>
      <x:c r="O145" s="35" t="str">
        <x:v>Cancel one dispatch each quarter, reassign once, and prove status/history remains append-only.</x:v>
      </x:c>
      <x:c r="P145" s="35" t="str">
        <x:v>All expected records and amounts match; no unexplained error or stale state.</x:v>
      </x:c>
    </x:row>
    <x:row r="146">
      <x:c r="A146" s="20" t="str">
        <x:v>RUN-20270201-03</x:v>
      </x:c>
      <x:c r="B146" s="23" t="n">
        <x:v>46419</x:v>
      </x:c>
      <x:c r="C146" s="32" t="n">
        <x:v>3</x:v>
      </x:c>
      <x:c r="D146" s="20" t="str">
        <x:v>Leasing</x:v>
      </x:c>
      <x:c r="E146" s="20" t="str">
        <x:v>Property Manager + Tenant</x:v>
      </x:c>
      <x:c r="F146" s="20" t="str">
        <x:v>Web + Mobile</x:v>
      </x:c>
      <x:c r="G146" s="20" t="str">
        <x:v>Manual + photo evidence</x:v>
      </x:c>
      <x:c r="H146" s="35" t="str">
        <x:v>Move-in inspection and possession</x:v>
      </x:c>
      <x:c r="I146" s="35" t="str">
        <x:v>L043; U037</x:v>
      </x:c>
      <x:c r="J146" s="35" t="str"/>
      <x:c r="K146" s="35" t="str"/>
      <x:c r="L146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146" s="35" t="str">
        <x:v>Inspection completes, possession opens once, Unit becomes occupied, portal access is scoped, and no lease-status shortcut substitutes for possession truth.</x:v>
      </x:c>
      <x:c r="N146" s="35" t="str">
        <x:v>Inspection report/photos; possession event; occupancy reports; both clients; tenant portal walkthrough.</x:v>
      </x:c>
      <x:c r="O146" s="35" t="str">
        <x:v>Attempt possession a second time and use an invalid date; database invariant prevents overlap/duplication.</x:v>
      </x:c>
      <x:c r="P146" s="35" t="str">
        <x:v>All expected records and amounts match; no unexplained error or stale state.</x:v>
      </x:c>
    </x:row>
    <x:row r="147">
      <x:c r="A147" s="20" t="str">
        <x:v>RUN-20270201-04</x:v>
      </x:c>
      <x:c r="B147" s="23" t="n">
        <x:v>46419</x:v>
      </x:c>
      <x:c r="C147" s="32" t="n">
        <x:v>4</x:v>
      </x:c>
      <x:c r="D147" s="20" t="str">
        <x:v>Role and screen certification</x:v>
      </x:c>
      <x:c r="E147" s="20" t="str">
        <x:v>Tenant</x:v>
      </x:c>
      <x:c r="F147" s="20" t="str">
        <x:v>Web</x:v>
      </x:c>
      <x:c r="G147" s="20" t="str">
        <x:v>Normal persona navigation</x:v>
      </x:c>
      <x:c r="H147" s="35" t="str">
        <x:v>Use every permitted action and state on /portal/notifications</x:v>
      </x:c>
      <x:c r="I147" s="35" t="str">
        <x:v>SCR-009; ROLE-010</x:v>
      </x:c>
      <x:c r="J147" s="35" t="str"/>
      <x:c r="K147" s="35" t="str"/>
      <x:c r="L14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7" s="35" t="str">
        <x:v>The persona can use every allowed action with only its assigned properties/relationships. Hidden or disabled actions explain why; an adjacent unauthorized persona is denied without metadata leakage.</x:v>
      </x:c>
      <x:c r="N147" s="35" t="str">
        <x:v>Persona/experience; navigation entry; desktop or device screenshots; result state; persisted read-back; audit/history; authorized and denied network result.</x:v>
      </x:c>
      <x:c r="O147" s="35" t="str">
        <x:v>Open the direct URL or deep link with an adjacent unauthorized persona and with stale scope; both fail closed and land safely without mutation.</x:v>
      </x:c>
      <x:c r="P147" s="35" t="str">
        <x:v>All expected records and amounts match; no unexplained error or stale state.</x:v>
      </x:c>
    </x:row>
    <x:row r="148">
      <x:c r="A148" s="20" t="str">
        <x:v>RUN-20270201-05</x:v>
      </x:c>
      <x:c r="B148" s="23" t="n">
        <x:v>46419</x:v>
      </x:c>
      <x:c r="C148" s="32" t="n">
        <x:v>5</x:v>
      </x:c>
      <x:c r="D148" s="20" t="str">
        <x:v>Field certification</x:v>
      </x:c>
      <x:c r="E148" s="20" t="str">
        <x:v>Property Manager</x:v>
      </x:c>
      <x:c r="F148" s="20" t="str">
        <x:v>Web</x:v>
      </x:c>
      <x:c r="G148" s="20" t="str">
        <x:v>Manual field-by-field</x:v>
      </x:c>
      <x:c r="H148" s="35" t="str">
        <x:v>Fill, save, reload, edit, and validate every declared field on web/src/lib/components/forms/TenantFields.svelte</x:v>
      </x:c>
      <x:c r="I148" s="35" t="str">
        <x:v>FLD-0035</x:v>
      </x:c>
      <x:c r="J148" s="35" t="str"/>
      <x:c r="K148" s="35" t="str"/>
      <x:c r="L148" s="35" t="str">
        <x:v>Use the source-derived Field Inventory. Enter non-default realistic values in every control (`${testidPrefix); submit; reload or relaunch; compare every value; edit each mutable field; verify the paired client; then run required, format, length, range, boundary, optional-null, and stale-submit checks.</x:v>
      </x:c>
      <x:c r="M148" s="35" t="str">
        <x:v>All 1 inventoried controls persist exact normalized values, invalid values stay unsaved with clear errors, and hidden/unauthorized fields cannot be altered.</x:v>
      </x:c>
      <x:c r="N148" s="35" t="str">
        <x:v>Before/after form screenshots; FLD IDs; API response; reloaded UI; paired-client read-back; database/audit evidence; negative validation result.</x:v>
      </x:c>
      <x:c r="O148" s="35" t="str">
        <x:v>Use a duplicate submit and one simulated network interruption; one atomic mutation or none, never partial state.</x:v>
      </x:c>
      <x:c r="P148" s="35" t="str">
        <x:v>All expected records and amounts match; no unexplained error or stale state.</x:v>
      </x:c>
    </x:row>
    <x:row r="149">
      <x:c r="A149" s="20" t="str">
        <x:v>RUN-20270201-06</x:v>
      </x:c>
      <x:c r="B149" s="23" t="n">
        <x:v>46419</x:v>
      </x:c>
      <x:c r="C149" s="32" t="n">
        <x:v>6</x:v>
      </x:c>
      <x:c r="D149" s="20" t="str">
        <x:v>Field certification</x:v>
      </x:c>
      <x:c r="E149" s="20" t="str">
        <x:v>Property Manager</x:v>
      </x:c>
      <x:c r="F149" s="20" t="str">
        <x:v>Web</x:v>
      </x:c>
      <x:c r="G149" s="20" t="str">
        <x:v>Manual field-by-field</x:v>
      </x:c>
      <x:c r="H149" s="35" t="str">
        <x:v>Fill, save, reload, edit, and validate every declared field on web/src/lib/components/forms/UnitFields.svelte</x:v>
      </x:c>
      <x:c r="I149" s="35" t="str">
        <x:v>FLD-0036</x:v>
      </x:c>
      <x:c r="J149" s="35" t="str"/>
      <x:c r="K149" s="35" t="str"/>
      <x:c r="L149" s="35" t="str">
        <x:v>Use the source-derived Field Inventory. Enter non-default realistic values in every control (`${testidPrefix); submit; reload or relaunch; compare every value; edit each mutable field; verify the paired client; then run required, format, length, range, boundary, optional-null, and stale-submit checks.</x:v>
      </x:c>
      <x:c r="M149" s="35" t="str">
        <x:v>All 1 inventoried controls persist exact normalized values, invalid values stay unsaved with clear errors, and hidden/unauthorized fields cannot be altered.</x:v>
      </x:c>
      <x:c r="N149" s="35" t="str">
        <x:v>Before/after form screenshots; FLD IDs; API response; reloaded UI; paired-client read-back; database/audit evidence; negative validation result.</x:v>
      </x:c>
      <x:c r="O149" s="35" t="str">
        <x:v>Use a duplicate submit and one simulated network interruption; one atomic mutation or none, never partial state.</x:v>
      </x:c>
      <x:c r="P149" s="35" t="str">
        <x:v>All expected records and amounts match; no unexplained error or stale state.</x:v>
      </x:c>
    </x:row>
    <x:row r="150">
      <x:c r="A150" s="20" t="str">
        <x:v>RUN-20270201-07</x:v>
      </x:c>
      <x:c r="B150" s="23" t="n">
        <x:v>46419</x:v>
      </x:c>
      <x:c r="C150" s="32" t="n">
        <x:v>7</x:v>
      </x:c>
      <x:c r="D150" s="20" t="str">
        <x:v>Field certification</x:v>
      </x:c>
      <x:c r="E150" s="20" t="str">
        <x:v>Leasing Agent</x:v>
      </x:c>
      <x:c r="F150" s="20" t="str">
        <x:v>Web</x:v>
      </x:c>
      <x:c r="G150" s="20" t="str">
        <x:v>Manual field-by-field</x:v>
      </x:c>
      <x:c r="H150" s="35" t="str">
        <x:v>Fill, save, reload, edit, and validate every declared field on web/src/lib/components/leases/AddendumCorrectionDialog.svelte</x:v>
      </x:c>
      <x:c r="I150" s="35" t="str">
        <x:v>FLD-0037</x:v>
      </x:c>
      <x:c r="J150" s="35" t="str"/>
      <x:c r="K150" s="35" t="str"/>
      <x:c r="L150" s="35" t="str">
        <x:v>Use the source-derived Field Inventory. Enter non-default realistic values in every control (addendum-correction-effective-on); submit; reload or relaunch; compare every value; edit each mutable field; verify the paired client; then run required, format, length, range, boundary, optional-null, and stale-submit checks.</x:v>
      </x:c>
      <x:c r="M150" s="35" t="str">
        <x:v>All 1 inventoried controls persist exact normalized values, invalid values stay unsaved with clear errors, and hidden/unauthorized fields cannot be altered.</x:v>
      </x:c>
      <x:c r="N150" s="35" t="str">
        <x:v>Before/after form screenshots; FLD IDs; API response; reloaded UI; paired-client read-back; database/audit evidence; negative validation result.</x:v>
      </x:c>
      <x:c r="O150" s="35" t="str">
        <x:v>Use a duplicate submit and one simulated network interruption; one atomic mutation or none, never partial state.</x:v>
      </x:c>
      <x:c r="P150" s="35" t="str">
        <x:v>All expected records and amounts match; no unexplained error or stale state.</x:v>
      </x:c>
    </x:row>
    <x:row r="151">
      <x:c r="A151" s="20" t="str">
        <x:v>RUN-20270201-08</x:v>
      </x:c>
      <x:c r="B151" s="23" t="n">
        <x:v>46419</x:v>
      </x:c>
      <x:c r="C151" s="32" t="n">
        <x:v>8</x:v>
      </x:c>
      <x:c r="D151" s="20" t="str">
        <x:v>Field certification</x:v>
      </x:c>
      <x:c r="E151" s="20" t="str">
        <x:v>Leasing Agent</x:v>
      </x:c>
      <x:c r="F151" s="20" t="str">
        <x:v>Web</x:v>
      </x:c>
      <x:c r="G151" s="20" t="str">
        <x:v>Manual field-by-field</x:v>
      </x:c>
      <x:c r="H151" s="35" t="str">
        <x:v>Fill, save, reload, edit, and validate every declared field on web/src/lib/components/leases/AddendumCreateDialog.svelte</x:v>
      </x:c>
      <x:c r="I151" s="35" t="str">
        <x:v>FLD-0038</x:v>
      </x:c>
      <x:c r="J151" s="35" t="str"/>
      <x:c r="K151" s="35" t="str"/>
      <x:c r="L151" s="35" t="str">
        <x:v>Use the source-derived Field Inventory. Enter non-default realistic values in every control (addendum-create-number); submit; reload or relaunch; compare every value; edit each mutable field; verify the paired client; then run required, format, length, range, boundary, optional-null, and stale-submit checks.</x:v>
      </x:c>
      <x:c r="M151" s="35" t="str">
        <x:v>All 1 inventoried controls persist exact normalized values, invalid values stay unsaved with clear errors, and hidden/unauthorized fields cannot be altered.</x:v>
      </x:c>
      <x:c r="N151" s="35" t="str">
        <x:v>Before/after form screenshots; FLD IDs; API response; reloaded UI; paired-client read-back; database/audit evidence; negative validation result.</x:v>
      </x:c>
      <x:c r="O151" s="35" t="str">
        <x:v>Use a duplicate submit and one simulated network interruption; one atomic mutation or none, never partial state.</x:v>
      </x:c>
      <x:c r="P151" s="35" t="str">
        <x:v>All expected records and amounts match; no unexplained error or stale state.</x:v>
      </x:c>
    </x:row>
    <x:row r="152">
      <x:c r="A152" s="20" t="str">
        <x:v>RUN-20270201-09</x:v>
      </x:c>
      <x:c r="B152" s="23" t="n">
        <x:v>46419</x:v>
      </x:c>
      <x:c r="C152" s="32" t="n">
        <x:v>9</x:v>
      </x:c>
      <x:c r="D152" s="20" t="str">
        <x:v>Surface coverage</x:v>
      </x:c>
      <x:c r="E152" s="20" t="str">
        <x:v>Role appropriate to surface</x:v>
      </x:c>
      <x:c r="F152" s="20" t="str">
        <x:v>Mobile</x:v>
      </x:c>
      <x:c r="G152" s="20" t="str">
        <x:v>Scan/attachment</x:v>
      </x:c>
      <x:c r="H152" s="35" t="str">
        <x:v>Scan mobile pass: Choose live setup and Getting Started</x:v>
      </x:c>
      <x:c r="I152" s="35" t="str">
        <x:v>COV-003</x:v>
      </x:c>
      <x:c r="J152" s="35" t="str"/>
      <x:c r="K152" s="35" t="str"/>
      <x:c r="L152" s="35" t="str">
        <x:v>Resume saved setup, scan one lease, complete one manual setup task, and verify go-live state.</x:v>
      </x:c>
      <x:c r="M152" s="35" t="str">
        <x:v>The supported workflow completes and persists correctly; if the capability is absent, the exact gap is proven and queued rather than silently skipped.</x:v>
      </x:c>
      <x:c r="N152" s="35" t="str">
        <x:v>Real UI screenshot/state; submitted values; persisted read-back; cross-client read-back; audit/role/access evidence.</x:v>
      </x:c>
      <x:c r="O152" s="35" t="str">
        <x:v>Use one invalid value, stale-state retry, or duplicate submission relevant to the form; no partial or duplicate mutation.</x:v>
      </x:c>
      <x:c r="P152" s="35" t="str">
        <x:v>All expected records and amounts match; no unexplained error or stale state.</x:v>
      </x:c>
    </x:row>
    <x:row r="153">
      <x:c r="A153" s="20" t="str">
        <x:v>RUN-20270202-01</x:v>
      </x:c>
      <x:c r="B153" s="23" t="n">
        <x:v>46420</x:v>
      </x:c>
      <x:c r="C153" s="32" t="n">
        <x:v>1</x:v>
      </x:c>
      <x:c r="D153" s="20" t="str">
        <x:v>Weekly operations</x:v>
      </x:c>
      <x:c r="E153" s="20" t="str">
        <x:v>Property Manager</x:v>
      </x:c>
      <x:c r="F153" s="20" t="str">
        <x:v>Mobile</x:v>
      </x:c>
      <x:c r="G153" s="20" t="str">
        <x:v>Manual web form</x:v>
      </x:c>
      <x:c r="H153" s="35" t="str">
        <x:v>Record, review, allocate, and pay operating expense</x:v>
      </x:c>
      <x:c r="I153" s="35" t="str">
        <x:v>P028; U036; WO-2027-005</x:v>
      </x:c>
      <x:c r="J153" s="35" t="str"/>
      <x:c r="K153" s="35" t="str">
        <x:v>FIN-01028</x:v>
      </x:c>
      <x:c r="L153" s="35" t="str">
        <x:v>Capture or upload the source; verify vendor, date, scope, category, line items, tax, amount, and work-order link; confirm; open detail; verify attachment; compare Money and Property/Unit views.</x:v>
      </x:c>
      <x:c r="M153" s="35" t="str">
        <x:v>One expense exists at its real operational scope, cash falls once, Schedule E category and allocations agree, and no per-unit copies are created.</x:v>
      </x:c>
      <x:c r="N153" s="35" t="str">
        <x:v>Source preview; review/form; expense detail; line items; Property/Unit ledger; audit; accounting/report delta.</x:v>
      </x:c>
      <x:c r="O153" s="35" t="str">
        <x:v>On marked duplicate-invoice cases, re-upload before confirm and prove the product prevents or clearly warns about duplication.</x:v>
      </x:c>
      <x:c r="P153" s="35" t="str">
        <x:v>All expected records and amounts match; no unexplained error or stale state.</x:v>
      </x:c>
    </x:row>
    <x:row r="154">
      <x:c r="A154" s="20" t="str">
        <x:v>RUN-20270202-02</x:v>
      </x:c>
      <x:c r="B154" s="23" t="n">
        <x:v>46420</x:v>
      </x:c>
      <x:c r="C154" s="32" t="n">
        <x:v>2</x:v>
      </x:c>
      <x:c r="D154" s="20" t="str">
        <x:v>Role and screen certification</x:v>
      </x:c>
      <x:c r="E154" s="20" t="str">
        <x:v>Tenant</x:v>
      </x:c>
      <x:c r="F154" s="20" t="str">
        <x:v>Web</x:v>
      </x:c>
      <x:c r="G154" s="20" t="str">
        <x:v>Normal persona navigation</x:v>
      </x:c>
      <x:c r="H154" s="35" t="str">
        <x:v>Use every permitted action and state on /portal/payments</x:v>
      </x:c>
      <x:c r="I154" s="35" t="str">
        <x:v>SCR-010; ROLE-011</x:v>
      </x:c>
      <x:c r="J154" s="35" t="str"/>
      <x:c r="K154" s="35" t="str"/>
      <x:c r="L15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4" s="35" t="str">
        <x:v>The persona can use every allowed action with only its assigned properties/relationships. Hidden or disabled actions explain why; an adjacent unauthorized persona is denied without metadata leakage.</x:v>
      </x:c>
      <x:c r="N154" s="35" t="str">
        <x:v>Persona/experience; navigation entry; desktop or device screenshots; result state; persisted read-back; audit/history; authorized and denied network result.</x:v>
      </x:c>
      <x:c r="O154" s="35" t="str">
        <x:v>Open the direct URL or deep link with an adjacent unauthorized persona and with stale scope; both fail closed and land safely without mutation.</x:v>
      </x:c>
      <x:c r="P154" s="35" t="str">
        <x:v>All expected records and amounts match; no unexplained error or stale state.</x:v>
      </x:c>
    </x:row>
    <x:row r="155">
      <x:c r="A155" s="20" t="str">
        <x:v>RUN-20270202-03</x:v>
      </x:c>
      <x:c r="B155" s="23" t="n">
        <x:v>46420</x:v>
      </x:c>
      <x:c r="C155" s="32" t="n">
        <x:v>3</x:v>
      </x:c>
      <x:c r="D155" s="20" t="str">
        <x:v>Field certification</x:v>
      </x:c>
      <x:c r="E155" s="20" t="str">
        <x:v>Leasing Agent</x:v>
      </x:c>
      <x:c r="F155" s="20" t="str">
        <x:v>Web</x:v>
      </x:c>
      <x:c r="G155" s="20" t="str">
        <x:v>Manual field-by-field</x:v>
      </x:c>
      <x:c r="H155" s="35" t="str">
        <x:v>Fill, save, reload, edit, and validate every declared field on web/src/lib/components/leases/AddendumCreateDialog.svelte</x:v>
      </x:c>
      <x:c r="I155" s="35" t="str">
        <x:v>FLD-0039; FLD-0040; FLD-0041; FLD-0042; FLD-0043</x:v>
      </x:c>
      <x:c r="J155" s="35" t="str"/>
      <x:c r="K155" s="35" t="str"/>
      <x:c r="L155" s="35" t="str">
        <x:v>Use the source-derived Field Inventory. Enter non-default realistic values in every control (purpose; documentTemplateId; effectiveFromOn; effectiveThroughOn; signer.signingOrder); submit; reload or relaunch; compare every value; edit each mutable field; verify the paired client; then run required, format, length, range, boundary, optional-null, and stale-submit checks.</x:v>
      </x:c>
      <x:c r="M155" s="35" t="str">
        <x:v>All 5 inventoried controls persist exact normalized values, invalid values stay unsaved with clear errors, and hidden/unauthorized fields cannot be altered.</x:v>
      </x:c>
      <x:c r="N155" s="35" t="str">
        <x:v>Before/after form screenshots; FLD IDs; API response; reloaded UI; paired-client read-back; database/audit evidence; negative validation result.</x:v>
      </x:c>
      <x:c r="O155" s="35" t="str">
        <x:v>Use a duplicate submit and one simulated network interruption; one atomic mutation or none, never partial state.</x:v>
      </x:c>
      <x:c r="P155" s="35" t="str">
        <x:v>All expected records and amounts match; no unexplained error or stale state.</x:v>
      </x:c>
    </x:row>
    <x:row r="156">
      <x:c r="A156" s="20" t="str">
        <x:v>RUN-20270203-01</x:v>
      </x:c>
      <x:c r="B156" s="23" t="n">
        <x:v>46421</x:v>
      </x:c>
      <x:c r="C156" s="32" t="n">
        <x:v>1</x:v>
      </x:c>
      <x:c r="D156" s="20" t="str">
        <x:v>Monthly operations</x:v>
      </x:c>
      <x:c r="E156" s="20" t="str">
        <x:v>Property Manager</x:v>
      </x:c>
      <x:c r="F156" s="20" t="str">
        <x:v>Mobile</x:v>
      </x:c>
      <x:c r="G156" s="20" t="str">
        <x:v>Portal card</x:v>
      </x:c>
      <x:c r="H156" s="35" t="str">
        <x:v>Post and allocate tenant receipt</x:v>
      </x:c>
      <x:c r="I156" s="35" t="str">
        <x:v>P003; U003; L003</x:v>
      </x:c>
      <x:c r="J156" s="35" t="str"/>
      <x:c r="K156" s="35" t="str">
        <x:v>FIN-00086; FIN-00087</x:v>
      </x:c>
      <x:c r="L156" s="35" t="str">
        <x:v>Open Scan for paper payment or the tenant-account receipt form for electronic payment; verify tenant/lease match, amount, date, method, and reference; confirm once; open ledger detail and allocation.</x:v>
      </x:c>
      <x:c r="M156" s="35" t="str">
        <x:v>Receipt is append-only, allocated once to the correct rent charge, and visible consistently in Unit, Lease, Tenant Account, Accounting, and portal views.</x:v>
      </x:c>
      <x:c r="N156" s="35" t="str">
        <x:v>Scan review or form; success result; exact ledger rows; payment detail; accounting delta; portal receipt.</x:v>
      </x:c>
      <x:c r="O156" s="35" t="str">
        <x:v>Retry the idempotency key once during the quarter assigned in the coverage matrix; no duplicate cash or allocation.</x:v>
      </x:c>
      <x:c r="P156" s="35" t="str">
        <x:v>All expected records and amounts match; no unexplained error or stale state.</x:v>
      </x:c>
    </x:row>
    <x:row r="157">
      <x:c r="A157" s="20" t="str">
        <x:v>RUN-20270203-02</x:v>
      </x:c>
      <x:c r="B157" s="23" t="n">
        <x:v>46421</x:v>
      </x:c>
      <x:c r="C157" s="32" t="n">
        <x:v>2</x:v>
      </x:c>
      <x:c r="D157" s="20" t="str">
        <x:v>Monthly operations</x:v>
      </x:c>
      <x:c r="E157" s="20" t="str">
        <x:v>Property Manager</x:v>
      </x:c>
      <x:c r="F157" s="20" t="str">
        <x:v>Web</x:v>
      </x:c>
      <x:c r="G157" s="20" t="str">
        <x:v>Manual ACH</x:v>
      </x:c>
      <x:c r="H157" s="35" t="str">
        <x:v>Post and allocate tenant receipt</x:v>
      </x:c>
      <x:c r="I157" s="35" t="str">
        <x:v>P006; U006; L006</x:v>
      </x:c>
      <x:c r="J157" s="35" t="str"/>
      <x:c r="K157" s="35" t="str">
        <x:v>FIN-00092; FIN-00093</x:v>
      </x:c>
      <x:c r="L157" s="35" t="str">
        <x:v>Open Scan for paper payment or the tenant-account receipt form for electronic payment; verify tenant/lease match, amount, date, method, and reference; confirm once; open ledger detail and allocation.</x:v>
      </x:c>
      <x:c r="M157" s="35" t="str">
        <x:v>Receipt is append-only, allocated once to the correct rent charge, and visible consistently in Unit, Lease, Tenant Account, Accounting, and portal views.</x:v>
      </x:c>
      <x:c r="N157" s="35" t="str">
        <x:v>Scan review or form; success result; exact ledger rows; payment detail; accounting delta; portal receipt.</x:v>
      </x:c>
      <x:c r="O157" s="35" t="str">
        <x:v>Retry the idempotency key once during the quarter assigned in the coverage matrix; no duplicate cash or allocation.</x:v>
      </x:c>
      <x:c r="P157" s="35" t="str">
        <x:v>All expected records and amounts match; no unexplained error or stale state.</x:v>
      </x:c>
    </x:row>
    <x:row r="158">
      <x:c r="A158" s="20" t="str">
        <x:v>RUN-20270203-03</x:v>
      </x:c>
      <x:c r="B158" s="23" t="n">
        <x:v>46421</x:v>
      </x:c>
      <x:c r="C158" s="32" t="n">
        <x:v>3</x:v>
      </x:c>
      <x:c r="D158" s="20" t="str">
        <x:v>Monthly operations</x:v>
      </x:c>
      <x:c r="E158" s="20" t="str">
        <x:v>Property Manager</x:v>
      </x:c>
      <x:c r="F158" s="20" t="str">
        <x:v>Mobile</x:v>
      </x:c>
      <x:c r="G158" s="20" t="str">
        <x:v>Scanned money order</x:v>
      </x:c>
      <x:c r="H158" s="35" t="str">
        <x:v>Post and allocate tenant receipt</x:v>
      </x:c>
      <x:c r="I158" s="35" t="str">
        <x:v>P009; U009; L009</x:v>
      </x:c>
      <x:c r="J158" s="35" t="str">
        <x:v>SCN-0112</x:v>
      </x:c>
      <x:c r="K158" s="35" t="str">
        <x:v>FIN-00098; FIN-00099</x:v>
      </x:c>
      <x:c r="L158" s="35" t="str">
        <x:v>Open Scan for paper payment or the tenant-account receipt form for electronic payment; verify tenant/lease match, amount, date, method, and reference; confirm once; open ledger detail and allocation.</x:v>
      </x:c>
      <x:c r="M158" s="35" t="str">
        <x:v>Receipt is append-only, allocated once to the correct rent charge, and visible consistently in Unit, Lease, Tenant Account, Accounting, and portal views.</x:v>
      </x:c>
      <x:c r="N158" s="35" t="str">
        <x:v>Scan review or form; success result; exact ledger rows; payment detail; accounting delta; portal receipt.</x:v>
      </x:c>
      <x:c r="O158" s="35" t="str">
        <x:v>Retry the idempotency key once during the quarter assigned in the coverage matrix; no duplicate cash or allocation.</x:v>
      </x:c>
      <x:c r="P158" s="35" t="str">
        <x:v>All expected records and amounts match; no unexplained error or stale state.</x:v>
      </x:c>
    </x:row>
    <x:row r="159">
      <x:c r="A159" s="20" t="str">
        <x:v>RUN-20270203-04</x:v>
      </x:c>
      <x:c r="B159" s="23" t="n">
        <x:v>46421</x:v>
      </x:c>
      <x:c r="C159" s="32" t="n">
        <x:v>4</x:v>
      </x:c>
      <x:c r="D159" s="20" t="str">
        <x:v>Monthly operations</x:v>
      </x:c>
      <x:c r="E159" s="20" t="str">
        <x:v>Property Manager</x:v>
      </x:c>
      <x:c r="F159" s="20" t="str">
        <x:v>Mobile</x:v>
      </x:c>
      <x:c r="G159" s="20" t="str">
        <x:v>Portal card</x:v>
      </x:c>
      <x:c r="H159" s="35" t="str">
        <x:v>Post and allocate tenant receipt</x:v>
      </x:c>
      <x:c r="I159" s="35" t="str">
        <x:v>P011; U011; L011</x:v>
      </x:c>
      <x:c r="J159" s="35" t="str"/>
      <x:c r="K159" s="35" t="str">
        <x:v>FIN-00102; FIN-00103</x:v>
      </x:c>
      <x:c r="L159" s="35" t="str">
        <x:v>Open Scan for paper payment or the tenant-account receipt form for electronic payment; verify tenant/lease match, amount, date, method, and reference; confirm once; open ledger detail and allocation.</x:v>
      </x:c>
      <x:c r="M159" s="35" t="str">
        <x:v>Receipt is append-only, allocated once to the correct rent charge, and visible consistently in Unit, Lease, Tenant Account, Accounting, and portal views.</x:v>
      </x:c>
      <x:c r="N159" s="35" t="str">
        <x:v>Scan review or form; success result; exact ledger rows; payment detail; accounting delta; portal receipt.</x:v>
      </x:c>
      <x:c r="O159" s="35" t="str">
        <x:v>Retry the idempotency key once during the quarter assigned in the coverage matrix; no duplicate cash or allocation.</x:v>
      </x:c>
      <x:c r="P159" s="35" t="str">
        <x:v>All expected records and amounts match; no unexplained error or stale state.</x:v>
      </x:c>
    </x:row>
    <x:row r="160">
      <x:c r="A160" s="20" t="str">
        <x:v>RUN-20270203-05</x:v>
      </x:c>
      <x:c r="B160" s="23" t="n">
        <x:v>46421</x:v>
      </x:c>
      <x:c r="C160" s="32" t="n">
        <x:v>5</x:v>
      </x:c>
      <x:c r="D160" s="20" t="str">
        <x:v>Monthly operations</x:v>
      </x:c>
      <x:c r="E160" s="20" t="str">
        <x:v>Property Manager</x:v>
      </x:c>
      <x:c r="F160" s="20" t="str">
        <x:v>Web</x:v>
      </x:c>
      <x:c r="G160" s="20" t="str">
        <x:v>Scanned check</x:v>
      </x:c>
      <x:c r="H160" s="35" t="str">
        <x:v>Post and allocate tenant receipt</x:v>
      </x:c>
      <x:c r="I160" s="35" t="str">
        <x:v>P012; U012; L012</x:v>
      </x:c>
      <x:c r="J160" s="35" t="str">
        <x:v>SCN-0114</x:v>
      </x:c>
      <x:c r="K160" s="35" t="str">
        <x:v>FIN-00106; FIN-00107</x:v>
      </x:c>
      <x:c r="L160" s="35" t="str">
        <x:v>Open Scan for paper payment or the tenant-account receipt form for electronic payment; verify tenant/lease match, amount, date, method, and reference; confirm once; open ledger detail and allocation.</x:v>
      </x:c>
      <x:c r="M160" s="35" t="str">
        <x:v>Receipt is append-only, allocated once to the correct rent charge, and visible consistently in Unit, Lease, Tenant Account, Accounting, and portal views.</x:v>
      </x:c>
      <x:c r="N160" s="35" t="str">
        <x:v>Scan review or form; success result; exact ledger rows; payment detail; accounting delta; portal receipt.</x:v>
      </x:c>
      <x:c r="O160" s="35" t="str">
        <x:v>Retry the idempotency key once during the quarter assigned in the coverage matrix; no duplicate cash or allocation.</x:v>
      </x:c>
      <x:c r="P160" s="35" t="str">
        <x:v>All expected records and amounts match; no unexplained error or stale state.</x:v>
      </x:c>
    </x:row>
    <x:row r="161">
      <x:c r="A161" s="20" t="str">
        <x:v>RUN-20270203-06</x:v>
      </x:c>
      <x:c r="B161" s="23" t="n">
        <x:v>46421</x:v>
      </x:c>
      <x:c r="C161" s="32" t="n">
        <x:v>6</x:v>
      </x:c>
      <x:c r="D161" s="20" t="str">
        <x:v>Monthly operations</x:v>
      </x:c>
      <x:c r="E161" s="20" t="str">
        <x:v>Property Manager</x:v>
      </x:c>
      <x:c r="F161" s="20" t="str">
        <x:v>Mobile</x:v>
      </x:c>
      <x:c r="G161" s="20" t="str">
        <x:v>Portal card</x:v>
      </x:c>
      <x:c r="H161" s="35" t="str">
        <x:v>Post and allocate tenant receipt</x:v>
      </x:c>
      <x:c r="I161" s="35" t="str">
        <x:v>P015; U015; L015</x:v>
      </x:c>
      <x:c r="J161" s="35" t="str"/>
      <x:c r="K161" s="35" t="str">
        <x:v>FIN-00113; FIN-00114</x:v>
      </x:c>
      <x:c r="L161" s="35" t="str">
        <x:v>Open Scan for paper payment or the tenant-account receipt form for electronic payment; verify tenant/lease match, amount, date, method, and reference; confirm once; open ledger detail and allocation.</x:v>
      </x:c>
      <x:c r="M161" s="35" t="str">
        <x:v>Receipt is append-only, allocated once to the correct rent charge, and visible consistently in Unit, Lease, Tenant Account, Accounting, and portal views.</x:v>
      </x:c>
      <x:c r="N161" s="35" t="str">
        <x:v>Scan review or form; success result; exact ledger rows; payment detail; accounting delta; portal receipt.</x:v>
      </x:c>
      <x:c r="O161" s="35" t="str">
        <x:v>Retry the idempotency key once during the quarter assigned in the coverage matrix; no duplicate cash or allocation.</x:v>
      </x:c>
      <x:c r="P161" s="35" t="str">
        <x:v>All expected records and amounts match; no unexplained error or stale state.</x:v>
      </x:c>
    </x:row>
    <x:row r="162">
      <x:c r="A162" s="20" t="str">
        <x:v>RUN-20270203-07</x:v>
      </x:c>
      <x:c r="B162" s="23" t="n">
        <x:v>46421</x:v>
      </x:c>
      <x:c r="C162" s="32" t="n">
        <x:v>7</x:v>
      </x:c>
      <x:c r="D162" s="20" t="str">
        <x:v>Monthly operations</x:v>
      </x:c>
      <x:c r="E162" s="20" t="str">
        <x:v>Property Manager</x:v>
      </x:c>
      <x:c r="F162" s="20" t="str">
        <x:v>Web</x:v>
      </x:c>
      <x:c r="G162" s="20" t="str">
        <x:v>Manual ACH</x:v>
      </x:c>
      <x:c r="H162" s="35" t="str">
        <x:v>Post and allocate tenant receipt</x:v>
      </x:c>
      <x:c r="I162" s="35" t="str">
        <x:v>P018; U018; L018</x:v>
      </x:c>
      <x:c r="J162" s="35" t="str"/>
      <x:c r="K162" s="35" t="str">
        <x:v>FIN-00119; FIN-00120</x:v>
      </x:c>
      <x:c r="L162" s="35" t="str">
        <x:v>Open Scan for paper payment or the tenant-account receipt form for electronic payment; verify tenant/lease match, amount, date, method, and reference; confirm once; open ledger detail and allocation.</x:v>
      </x:c>
      <x:c r="M162" s="35" t="str">
        <x:v>Receipt is append-only, allocated once to the correct rent charge, and visible consistently in Unit, Lease, Tenant Account, Accounting, and portal views.</x:v>
      </x:c>
      <x:c r="N162" s="35" t="str">
        <x:v>Scan review or form; success result; exact ledger rows; payment detail; accounting delta; portal receipt.</x:v>
      </x:c>
      <x:c r="O162" s="35" t="str">
        <x:v>Retry the idempotency key once during the quarter assigned in the coverage matrix; no duplicate cash or allocation.</x:v>
      </x:c>
      <x:c r="P162" s="35" t="str">
        <x:v>All expected records and amounts match; no unexplained error or stale state.</x:v>
      </x:c>
    </x:row>
    <x:row r="163">
      <x:c r="A163" s="20" t="str">
        <x:v>RUN-20270203-08</x:v>
      </x:c>
      <x:c r="B163" s="23" t="n">
        <x:v>46421</x:v>
      </x:c>
      <x:c r="C163" s="32" t="n">
        <x:v>8</x:v>
      </x:c>
      <x:c r="D163" s="20" t="str">
        <x:v>Monthly operations</x:v>
      </x:c>
      <x:c r="E163" s="20" t="str">
        <x:v>Property Manager</x:v>
      </x:c>
      <x:c r="F163" s="20" t="str">
        <x:v>Mobile</x:v>
      </x:c>
      <x:c r="G163" s="20" t="str">
        <x:v>Scanned money order</x:v>
      </x:c>
      <x:c r="H163" s="35" t="str">
        <x:v>Post and allocate tenant receipt</x:v>
      </x:c>
      <x:c r="I163" s="35" t="str">
        <x:v>P021; U021; L021</x:v>
      </x:c>
      <x:c r="J163" s="35" t="str">
        <x:v>SCN-0119</x:v>
      </x:c>
      <x:c r="K163" s="35" t="str">
        <x:v>FIN-00125; FIN-00126</x:v>
      </x:c>
      <x:c r="L163" s="35" t="str">
        <x:v>Open Scan for paper payment or the tenant-account receipt form for electronic payment; verify tenant/lease match, amount, date, method, and reference; confirm once; open ledger detail and allocation.</x:v>
      </x:c>
      <x:c r="M163" s="35" t="str">
        <x:v>Receipt is append-only, allocated once to the correct rent charge, and visible consistently in Unit, Lease, Tenant Account, Accounting, and portal views.</x:v>
      </x:c>
      <x:c r="N163" s="35" t="str">
        <x:v>Scan review or form; success result; exact ledger rows; payment detail; accounting delta; portal receipt.</x:v>
      </x:c>
      <x:c r="O163" s="35" t="str">
        <x:v>Retry the idempotency key once during the quarter assigned in the coverage matrix; no duplicate cash or allocation.</x:v>
      </x:c>
      <x:c r="P163" s="35" t="str">
        <x:v>All expected records and amounts match; no unexplained error or stale state.</x:v>
      </x:c>
    </x:row>
    <x:row r="164">
      <x:c r="A164" s="20" t="str">
        <x:v>RUN-20270203-09</x:v>
      </x:c>
      <x:c r="B164" s="23" t="n">
        <x:v>46421</x:v>
      </x:c>
      <x:c r="C164" s="32" t="n">
        <x:v>9</x:v>
      </x:c>
      <x:c r="D164" s="20" t="str">
        <x:v>Monthly operations</x:v>
      </x:c>
      <x:c r="E164" s="20" t="str">
        <x:v>Property Manager</x:v>
      </x:c>
      <x:c r="F164" s="20" t="str">
        <x:v>Web</x:v>
      </x:c>
      <x:c r="G164" s="20" t="str">
        <x:v>Manual ACH</x:v>
      </x:c>
      <x:c r="H164" s="35" t="str">
        <x:v>Post and allocate tenant receipt</x:v>
      </x:c>
      <x:c r="I164" s="35" t="str">
        <x:v>P021; U022; L022</x:v>
      </x:c>
      <x:c r="J164" s="35" t="str"/>
      <x:c r="K164" s="35" t="str">
        <x:v>FIN-00127; FIN-00128</x:v>
      </x:c>
      <x:c r="L164" s="35" t="str">
        <x:v>Open Scan for paper payment or the tenant-account receipt form for electronic payment; verify tenant/lease match, amount, date, method, and reference; confirm once; open ledger detail and allocation.</x:v>
      </x:c>
      <x:c r="M164" s="35" t="str">
        <x:v>Receipt is append-only, allocated once to the correct rent charge, and visible consistently in Unit, Lease, Tenant Account, Accounting, and portal views.</x:v>
      </x:c>
      <x:c r="N164" s="35" t="str">
        <x:v>Scan review or form; success result; exact ledger rows; payment detail; accounting delta; portal receipt.</x:v>
      </x:c>
      <x:c r="O164" s="35" t="str">
        <x:v>Retry the idempotency key once during the quarter assigned in the coverage matrix; no duplicate cash or allocation.</x:v>
      </x:c>
      <x:c r="P164" s="35" t="str">
        <x:v>All expected records and amounts match; no unexplained error or stale state.</x:v>
      </x:c>
    </x:row>
    <x:row r="165">
      <x:c r="A165" s="20" t="str">
        <x:v>RUN-20270203-10</x:v>
      </x:c>
      <x:c r="B165" s="23" t="n">
        <x:v>46421</x:v>
      </x:c>
      <x:c r="C165" s="32" t="n">
        <x:v>10</x:v>
      </x:c>
      <x:c r="D165" s="20" t="str">
        <x:v>Monthly operations</x:v>
      </x:c>
      <x:c r="E165" s="20" t="str">
        <x:v>Property Manager</x:v>
      </x:c>
      <x:c r="F165" s="20" t="str">
        <x:v>Web</x:v>
      </x:c>
      <x:c r="G165" s="20" t="str">
        <x:v>Scanned check</x:v>
      </x:c>
      <x:c r="H165" s="35" t="str">
        <x:v>Post and allocate tenant receipt</x:v>
      </x:c>
      <x:c r="I165" s="35" t="str">
        <x:v>P022; U024; L024</x:v>
      </x:c>
      <x:c r="J165" s="35" t="str">
        <x:v>SCN-0121</x:v>
      </x:c>
      <x:c r="K165" s="35" t="str">
        <x:v>FIN-00133; FIN-00134</x:v>
      </x:c>
      <x:c r="L165" s="35" t="str">
        <x:v>Open Scan for paper payment or the tenant-account receipt form for electronic payment; verify tenant/lease match, amount, date, method, and reference; confirm once; open ledger detail and allocation.</x:v>
      </x:c>
      <x:c r="M165" s="35" t="str">
        <x:v>Receipt is append-only, allocated once to the correct rent charge, and visible consistently in Unit, Lease, Tenant Account, Accounting, and portal views.</x:v>
      </x:c>
      <x:c r="N165" s="35" t="str">
        <x:v>Scan review or form; success result; exact ledger rows; payment detail; accounting delta; portal receipt.</x:v>
      </x:c>
      <x:c r="O165" s="35" t="str">
        <x:v>Retry the idempotency key once during the quarter assigned in the coverage matrix; no duplicate cash or allocation.</x:v>
      </x:c>
      <x:c r="P165" s="35" t="str">
        <x:v>All expected records and amounts match; no unexplained error or stale state.</x:v>
      </x:c>
    </x:row>
    <x:row r="166">
      <x:c r="A166" s="20" t="str">
        <x:v>RUN-20270203-11</x:v>
      </x:c>
      <x:c r="B166" s="23" t="n">
        <x:v>46421</x:v>
      </x:c>
      <x:c r="C166" s="32" t="n">
        <x:v>11</x:v>
      </x:c>
      <x:c r="D166" s="20" t="str">
        <x:v>Monthly operations</x:v>
      </x:c>
      <x:c r="E166" s="20" t="str">
        <x:v>Property Manager</x:v>
      </x:c>
      <x:c r="F166" s="20" t="str">
        <x:v>Mobile</x:v>
      </x:c>
      <x:c r="G166" s="20" t="str">
        <x:v>Portal card</x:v>
      </x:c>
      <x:c r="H166" s="35" t="str">
        <x:v>Post and allocate tenant receipt</x:v>
      </x:c>
      <x:c r="I166" s="35" t="str">
        <x:v>P024; U027; L027</x:v>
      </x:c>
      <x:c r="J166" s="35" t="str"/>
      <x:c r="K166" s="35" t="str">
        <x:v>FIN-00140; FIN-00141</x:v>
      </x:c>
      <x:c r="L166" s="35" t="str">
        <x:v>Open Scan for paper payment or the tenant-account receipt form for electronic payment; verify tenant/lease match, amount, date, method, and reference; confirm once; open ledger detail and allocation.</x:v>
      </x:c>
      <x:c r="M166" s="35" t="str">
        <x:v>Receipt is append-only, allocated once to the correct rent charge, and visible consistently in Unit, Lease, Tenant Account, Accounting, and portal views.</x:v>
      </x:c>
      <x:c r="N166" s="35" t="str">
        <x:v>Scan review or form; success result; exact ledger rows; payment detail; accounting delta; portal receipt.</x:v>
      </x:c>
      <x:c r="O166" s="35" t="str">
        <x:v>Retry the idempotency key once during the quarter assigned in the coverage matrix; no duplicate cash or allocation.</x:v>
      </x:c>
      <x:c r="P166" s="35" t="str">
        <x:v>All expected records and amounts match; no unexplained error or stale state.</x:v>
      </x:c>
    </x:row>
    <x:row r="167">
      <x:c r="A167" s="20" t="str">
        <x:v>RUN-20270203-12</x:v>
      </x:c>
      <x:c r="B167" s="23" t="n">
        <x:v>46421</x:v>
      </x:c>
      <x:c r="C167" s="32" t="n">
        <x:v>12</x:v>
      </x:c>
      <x:c r="D167" s="20" t="str">
        <x:v>Monthly operations</x:v>
      </x:c>
      <x:c r="E167" s="20" t="str">
        <x:v>Property Manager</x:v>
      </x:c>
      <x:c r="F167" s="20" t="str">
        <x:v>Web</x:v>
      </x:c>
      <x:c r="G167" s="20" t="str">
        <x:v>Manual ACH</x:v>
      </x:c>
      <x:c r="H167" s="35" t="str">
        <x:v>Post and allocate tenant receipt</x:v>
      </x:c>
      <x:c r="I167" s="35" t="str">
        <x:v>P025; U030; L030</x:v>
      </x:c>
      <x:c r="J167" s="35" t="str"/>
      <x:c r="K167" s="35" t="str">
        <x:v>FIN-00146; FIN-00147</x:v>
      </x:c>
      <x:c r="L167" s="35" t="str">
        <x:v>Open Scan for paper payment or the tenant-account receipt form for electronic payment; verify tenant/lease match, amount, date, method, and reference; confirm once; open ledger detail and allocation.</x:v>
      </x:c>
      <x:c r="M167" s="35" t="str">
        <x:v>Receipt is append-only, allocated once to the correct rent charge, and visible consistently in Unit, Lease, Tenant Account, Accounting, and portal views.</x:v>
      </x:c>
      <x:c r="N167" s="35" t="str">
        <x:v>Scan review or form; success result; exact ledger rows; payment detail; accounting delta; portal receipt.</x:v>
      </x:c>
      <x:c r="O167" s="35" t="str">
        <x:v>Retry the idempotency key once during the quarter assigned in the coverage matrix; no duplicate cash or allocation.</x:v>
      </x:c>
      <x:c r="P167" s="35" t="str">
        <x:v>All expected records and amounts match; no unexplained error or stale state.</x:v>
      </x:c>
    </x:row>
    <x:row r="168">
      <x:c r="A168" s="20" t="str">
        <x:v>RUN-20270203-13</x:v>
      </x:c>
      <x:c r="B168" s="23" t="n">
        <x:v>46421</x:v>
      </x:c>
      <x:c r="C168" s="32" t="n">
        <x:v>13</x:v>
      </x:c>
      <x:c r="D168" s="20" t="str">
        <x:v>Monthly operations</x:v>
      </x:c>
      <x:c r="E168" s="20" t="str">
        <x:v>Property Manager</x:v>
      </x:c>
      <x:c r="F168" s="20" t="str">
        <x:v>Mobile</x:v>
      </x:c>
      <x:c r="G168" s="20" t="str">
        <x:v>Scanned money order</x:v>
      </x:c>
      <x:c r="H168" s="35" t="str">
        <x:v>Post and allocate tenant receipt</x:v>
      </x:c>
      <x:c r="I168" s="35" t="str">
        <x:v>P027; U033; L033</x:v>
      </x:c>
      <x:c r="J168" s="35" t="str">
        <x:v>SCN-0127</x:v>
      </x:c>
      <x:c r="K168" s="35" t="str">
        <x:v>FIN-00152; FIN-00153</x:v>
      </x:c>
      <x:c r="L168" s="35" t="str">
        <x:v>Open Scan for paper payment or the tenant-account receipt form for electronic payment; verify tenant/lease match, amount, date, method, and reference; confirm once; open ledger detail and allocation.</x:v>
      </x:c>
      <x:c r="M168" s="35" t="str">
        <x:v>Receipt is append-only, allocated once to the correct rent charge, and visible consistently in Unit, Lease, Tenant Account, Accounting, and portal views.</x:v>
      </x:c>
      <x:c r="N168" s="35" t="str">
        <x:v>Scan review or form; success result; exact ledger rows; payment detail; accounting delta; portal receipt.</x:v>
      </x:c>
      <x:c r="O168" s="35" t="str">
        <x:v>Retry the idempotency key once during the quarter assigned in the coverage matrix; no duplicate cash or allocation.</x:v>
      </x:c>
      <x:c r="P168" s="35" t="str">
        <x:v>All expected records and amounts match; no unexplained error or stale state.</x:v>
      </x:c>
    </x:row>
    <x:row r="169">
      <x:c r="A169" s="20" t="str">
        <x:v>RUN-20270203-14</x:v>
      </x:c>
      <x:c r="B169" s="23" t="n">
        <x:v>46421</x:v>
      </x:c>
      <x:c r="C169" s="32" t="n">
        <x:v>14</x:v>
      </x:c>
      <x:c r="D169" s="20" t="str">
        <x:v>Monthly operations</x:v>
      </x:c>
      <x:c r="E169" s="20" t="str">
        <x:v>Property Manager</x:v>
      </x:c>
      <x:c r="F169" s="20" t="str">
        <x:v>Web</x:v>
      </x:c>
      <x:c r="G169" s="20" t="str">
        <x:v>Scanned check</x:v>
      </x:c>
      <x:c r="H169" s="35" t="str">
        <x:v>Post and allocate tenant receipt</x:v>
      </x:c>
      <x:c r="I169" s="35" t="str">
        <x:v>P028; U036; L036</x:v>
      </x:c>
      <x:c r="J169" s="35" t="str">
        <x:v>SCN-0128</x:v>
      </x:c>
      <x:c r="K169" s="35" t="str">
        <x:v>FIN-00160; FIN-00161</x:v>
      </x:c>
      <x:c r="L169" s="35" t="str">
        <x:v>Open Scan for paper payment or the tenant-account receipt form for electronic payment; verify tenant/lease match, amount, date, method, and reference; confirm once; open ledger detail and allocation.</x:v>
      </x:c>
      <x:c r="M169" s="35" t="str">
        <x:v>Receipt is append-only, allocated once to the correct rent charge, and visible consistently in Unit, Lease, Tenant Account, Accounting, and portal views.</x:v>
      </x:c>
      <x:c r="N169" s="35" t="str">
        <x:v>Scan review or form; success result; exact ledger rows; payment detail; accounting delta; portal receipt.</x:v>
      </x:c>
      <x:c r="O169" s="35" t="str">
        <x:v>Retry the idempotency key once during the quarter assigned in the coverage matrix; no duplicate cash or allocation.</x:v>
      </x:c>
      <x:c r="P169" s="35" t="str">
        <x:v>All expected records and amounts match; no unexplained error or stale state.</x:v>
      </x:c>
    </x:row>
    <x:row r="170">
      <x:c r="A170" s="20" t="str">
        <x:v>RUN-20270203-15</x:v>
      </x:c>
      <x:c r="B170" s="23" t="n">
        <x:v>46421</x:v>
      </x:c>
      <x:c r="C170" s="32" t="n">
        <x:v>15</x:v>
      </x:c>
      <x:c r="D170" s="20" t="str">
        <x:v>Field certification</x:v>
      </x:c>
      <x:c r="E170" s="20" t="str">
        <x:v>Leasing Agent</x:v>
      </x:c>
      <x:c r="F170" s="20" t="str">
        <x:v>Web</x:v>
      </x:c>
      <x:c r="G170" s="20" t="str">
        <x:v>Manual field-by-field</x:v>
      </x:c>
      <x:c r="H170" s="35" t="str">
        <x:v>Fill, save, reload, edit, and validate every declared field on web/src/lib/components/leases/AddendumCreateDialog.svelte</x:v>
      </x:c>
      <x:c r="I170" s="35" t="str">
        <x:v>FLD-0044; FLD-0045; FLD-0046; FLD-0047</x:v>
      </x:c>
      <x:c r="J170" s="35" t="str"/>
      <x:c r="K170" s="35" t="str"/>
      <x:c r="L170" s="35" t="str">
        <x:v>Use the source-derived Field Inventory. Enter non-default realistic values in every control (signer.nameSnapshot; signer.emailSnapshot; signer.signerRole; effect.effectType); submit; reload or relaunch; compare every value; edit each mutable field; verify the paired client; then run required, format, length, range, boundary, optional-null, and stale-submit checks.</x:v>
      </x:c>
      <x:c r="M170" s="35" t="str">
        <x:v>All 4 inventoried controls persist exact normalized values, invalid values stay unsaved with clear errors, and hidden/unauthorized fields cannot be altered.</x:v>
      </x:c>
      <x:c r="N170" s="35" t="str">
        <x:v>Before/after form screenshots; FLD IDs; API response; reloaded UI; paired-client read-back; database/audit evidence; negative validation result.</x:v>
      </x:c>
      <x:c r="O170" s="35" t="str">
        <x:v>Use a duplicate submit and one simulated network interruption; one atomic mutation or none, never partial state.</x:v>
      </x:c>
      <x:c r="P170" s="35" t="str">
        <x:v>All expected records and amounts match; no unexplained error or stale state.</x:v>
      </x:c>
    </x:row>
    <x:row r="171">
      <x:c r="A171" s="20" t="str">
        <x:v>RUN-20270203-16</x:v>
      </x:c>
      <x:c r="B171" s="23" t="n">
        <x:v>46421</x:v>
      </x:c>
      <x:c r="C171" s="32" t="n">
        <x:v>16</x:v>
      </x:c>
      <x:c r="D171" s="20" t="str">
        <x:v>Lifecycle certification</x:v>
      </x:c>
      <x:c r="E171" s="20" t="str">
        <x:v>Property Manager</x:v>
      </x:c>
      <x:c r="F171" s="20" t="str">
        <x:v>Web + Mobile</x:v>
      </x:c>
      <x:c r="G171" s="20" t="str">
        <x:v>Manual + scan/attachment where supported</x:v>
      </x:c>
      <x:c r="H171" s="35" t="str">
        <x:v>Complete the full create/read/edit/lifecycle/delete-safe pass for Unit</x:v>
      </x:c>
      <x:c r="I171" s="35" t="str">
        <x:v>CRUD-002</x:v>
      </x:c>
      <x:c r="J171" s="35" t="str"/>
      <x:c r="K171" s="35" t="str"/>
      <x:c r="L171" s="35" t="str">
        <x:v>Use a dedicated disposable QA record and execute: create; read; edit every field; duplicate-label rejection; archive/delete-safe. Fill every field referenced by field-inventory.csv. Verify confirmation copy, cancel path, final path, reload, other-client state, history, and role denial.</x:v>
      </x:c>
      <x:c r="M171" s="35" t="str">
        <x:v>Every supported transition succeeds exactly once; forbidden destructive actions are guarded; reversible deletion/deactivation works; financial and historical truth is preserved.</x:v>
      </x:c>
      <x:c r="N171" s="35" t="str">
        <x:v>Entity before/after; both clients; all FLD IDs; audit/history; notifications; authorized and unauthorized personas; API/DB state.</x:v>
      </x:c>
      <x:c r="O171" s="35" t="str">
        <x:v>Cancel the first destructive confirmation, then repeat and confirm; retry the mutation once; no double transition or orphan.</x:v>
      </x:c>
      <x:c r="P171" s="35" t="str">
        <x:v>All expected records and amounts match; no unexplained error or stale state.</x:v>
      </x:c>
    </x:row>
    <x:row r="172">
      <x:c r="A172" s="20" t="str">
        <x:v>RUN-20270203-17</x:v>
      </x:c>
      <x:c r="B172" s="23" t="n">
        <x:v>46421</x:v>
      </x:c>
      <x:c r="C172" s="32" t="n">
        <x:v>17</x:v>
      </x:c>
      <x:c r="D172" s="20" t="str">
        <x:v>Surface coverage</x:v>
      </x:c>
      <x:c r="E172" s="20" t="str">
        <x:v>Role appropriate to surface</x:v>
      </x:c>
      <x:c r="F172" s="20" t="str">
        <x:v>Web</x:v>
      </x:c>
      <x:c r="G172" s="20" t="str">
        <x:v>Manual</x:v>
      </x:c>
      <x:c r="H172" s="35" t="str">
        <x:v>Manual web pass: Property create/edit/detail/documents/history</x:v>
      </x:c>
      <x:c r="I172" s="35" t="str">
        <x:v>COV-004</x:v>
      </x:c>
      <x:c r="J172" s="35" t="str"/>
      <x:c r="K172" s="35" t="str"/>
      <x:c r="L172" s="35" t="str">
        <x:v>Create, edit, deactivate-safe, filter, sort, page, attach documents, and inspect history.</x:v>
      </x:c>
      <x:c r="M172" s="35" t="str">
        <x:v>The supported workflow completes and persists correctly; if the capability is absent, the exact gap is proven and queued rather than silently skipped.</x:v>
      </x:c>
      <x:c r="N172" s="35" t="str">
        <x:v>Real UI screenshot/state; submitted values; persisted read-back; cross-client read-back; audit/role/access evidence.</x:v>
      </x:c>
      <x:c r="O172" s="35" t="str">
        <x:v>Use one invalid value, stale-state retry, or duplicate submission relevant to the form; no partial or duplicate mutation.</x:v>
      </x:c>
      <x:c r="P172" s="35" t="str">
        <x:v>All expected records and amounts match; no unexplained error or stale state.</x:v>
      </x:c>
    </x:row>
    <x:row r="173">
      <x:c r="A173" s="20" t="str">
        <x:v>RUN-20270204-01</x:v>
      </x:c>
      <x:c r="B173" s="23" t="n">
        <x:v>46422</x:v>
      </x:c>
      <x:c r="C173" s="32" t="n">
        <x:v>1</x:v>
      </x:c>
      <x:c r="D173" s="20" t="str">
        <x:v>Monthly operations</x:v>
      </x:c>
      <x:c r="E173" s="20" t="str">
        <x:v>Property Manager</x:v>
      </x:c>
      <x:c r="F173" s="20" t="str">
        <x:v>Mobile</x:v>
      </x:c>
      <x:c r="G173" s="20" t="str">
        <x:v>Scanned money order</x:v>
      </x:c>
      <x:c r="H173" s="35" t="str">
        <x:v>Post and allocate tenant receipt</x:v>
      </x:c>
      <x:c r="I173" s="35" t="str">
        <x:v>P001; U001; L001</x:v>
      </x:c>
      <x:c r="J173" s="35" t="str">
        <x:v>SCN-0108</x:v>
      </x:c>
      <x:c r="K173" s="35" t="str">
        <x:v>FIN-00082; FIN-00083</x:v>
      </x:c>
      <x:c r="L173" s="35" t="str">
        <x:v>Open Scan for paper payment or the tenant-account receipt form for electronic payment; verify tenant/lease match, amount, date, method, and reference; confirm once; open ledger detail and allocation.</x:v>
      </x:c>
      <x:c r="M173" s="35" t="str">
        <x:v>Receipt is append-only, allocated once to the correct rent charge, and visible consistently in Unit, Lease, Tenant Account, Accounting, and portal views.</x:v>
      </x:c>
      <x:c r="N173" s="35" t="str">
        <x:v>Scan review or form; success result; exact ledger rows; payment detail; accounting delta; portal receipt.</x:v>
      </x:c>
      <x:c r="O173" s="35" t="str">
        <x:v>Retry the idempotency key once during the quarter assigned in the coverage matrix; no duplicate cash or allocation.</x:v>
      </x:c>
      <x:c r="P173" s="35" t="str">
        <x:v>All expected records and amounts match; no unexplained error or stale state.</x:v>
      </x:c>
    </x:row>
    <x:row r="174">
      <x:c r="A174" s="20" t="str">
        <x:v>RUN-20270204-02</x:v>
      </x:c>
      <x:c r="B174" s="23" t="n">
        <x:v>46422</x:v>
      </x:c>
      <x:c r="C174" s="32" t="n">
        <x:v>2</x:v>
      </x:c>
      <x:c r="D174" s="20" t="str">
        <x:v>Monthly operations</x:v>
      </x:c>
      <x:c r="E174" s="20" t="str">
        <x:v>Property Manager</x:v>
      </x:c>
      <x:c r="F174" s="20" t="str">
        <x:v>Web</x:v>
      </x:c>
      <x:c r="G174" s="20" t="str">
        <x:v>Scanned check</x:v>
      </x:c>
      <x:c r="H174" s="35" t="str">
        <x:v>Post and allocate tenant receipt</x:v>
      </x:c>
      <x:c r="I174" s="35" t="str">
        <x:v>P004; U004; L004</x:v>
      </x:c>
      <x:c r="J174" s="35" t="str">
        <x:v>SCN-0109</x:v>
      </x:c>
      <x:c r="K174" s="35" t="str">
        <x:v>FIN-00088; FIN-00089</x:v>
      </x:c>
      <x:c r="L174" s="35" t="str">
        <x:v>Open Scan for paper payment or the tenant-account receipt form for electronic payment; verify tenant/lease match, amount, date, method, and reference; confirm once; open ledger detail and allocation.</x:v>
      </x:c>
      <x:c r="M174" s="35" t="str">
        <x:v>Receipt is append-only, allocated once to the correct rent charge, and visible consistently in Unit, Lease, Tenant Account, Accounting, and portal views.</x:v>
      </x:c>
      <x:c r="N174" s="35" t="str">
        <x:v>Scan review or form; success result; exact ledger rows; payment detail; accounting delta; portal receipt.</x:v>
      </x:c>
      <x:c r="O174" s="35" t="str">
        <x:v>Retry the idempotency key once during the quarter assigned in the coverage matrix; no duplicate cash or allocation.</x:v>
      </x:c>
      <x:c r="P174" s="35" t="str">
        <x:v>All expected records and amounts match; no unexplained error or stale state.</x:v>
      </x:c>
    </x:row>
    <x:row r="175">
      <x:c r="A175" s="20" t="str">
        <x:v>RUN-20270204-03</x:v>
      </x:c>
      <x:c r="B175" s="23" t="n">
        <x:v>46422</x:v>
      </x:c>
      <x:c r="C175" s="32" t="n">
        <x:v>3</x:v>
      </x:c>
      <x:c r="D175" s="20" t="str">
        <x:v>Monthly operations</x:v>
      </x:c>
      <x:c r="E175" s="20" t="str">
        <x:v>Property Manager</x:v>
      </x:c>
      <x:c r="F175" s="20" t="str">
        <x:v>Mobile</x:v>
      </x:c>
      <x:c r="G175" s="20" t="str">
        <x:v>Portal card</x:v>
      </x:c>
      <x:c r="H175" s="35" t="str">
        <x:v>Post and allocate tenant receipt</x:v>
      </x:c>
      <x:c r="I175" s="35" t="str">
        <x:v>P007; U007; L007</x:v>
      </x:c>
      <x:c r="J175" s="35" t="str"/>
      <x:c r="K175" s="35" t="str">
        <x:v>FIN-00094; FIN-00095</x:v>
      </x:c>
      <x:c r="L175" s="35" t="str">
        <x:v>Open Scan for paper payment or the tenant-account receipt form for electronic payment; verify tenant/lease match, amount, date, method, and reference; confirm once; open ledger detail and allocation.</x:v>
      </x:c>
      <x:c r="M175" s="35" t="str">
        <x:v>Receipt is append-only, allocated once to the correct rent charge, and visible consistently in Unit, Lease, Tenant Account, Accounting, and portal views.</x:v>
      </x:c>
      <x:c r="N175" s="35" t="str">
        <x:v>Scan review or form; success result; exact ledger rows; payment detail; accounting delta; portal receipt.</x:v>
      </x:c>
      <x:c r="O175" s="35" t="str">
        <x:v>Retry the idempotency key once during the quarter assigned in the coverage matrix; no duplicate cash or allocation.</x:v>
      </x:c>
      <x:c r="P175" s="35" t="str">
        <x:v>All expected records and amounts match; no unexplained error or stale state.</x:v>
      </x:c>
    </x:row>
    <x:row r="176">
      <x:c r="A176" s="20" t="str">
        <x:v>RUN-20270204-04</x:v>
      </x:c>
      <x:c r="B176" s="23" t="n">
        <x:v>46422</x:v>
      </x:c>
      <x:c r="C176" s="32" t="n">
        <x:v>4</x:v>
      </x:c>
      <x:c r="D176" s="20" t="str">
        <x:v>Monthly operations</x:v>
      </x:c>
      <x:c r="E176" s="20" t="str">
        <x:v>Property Manager</x:v>
      </x:c>
      <x:c r="F176" s="20" t="str">
        <x:v>Web</x:v>
      </x:c>
      <x:c r="G176" s="20" t="str">
        <x:v>Manual ACH</x:v>
      </x:c>
      <x:c r="H176" s="35" t="str">
        <x:v>Post and allocate tenant receipt</x:v>
      </x:c>
      <x:c r="I176" s="35" t="str">
        <x:v>P010; U010; L010</x:v>
      </x:c>
      <x:c r="J176" s="35" t="str"/>
      <x:c r="K176" s="35" t="str">
        <x:v>FIN-00100; FIN-00101</x:v>
      </x:c>
      <x:c r="L176" s="35" t="str">
        <x:v>Open Scan for paper payment or the tenant-account receipt form for electronic payment; verify tenant/lease match, amount, date, method, and reference; confirm once; open ledger detail and allocation.</x:v>
      </x:c>
      <x:c r="M176" s="35" t="str">
        <x:v>Receipt is append-only, allocated once to the correct rent charge, and visible consistently in Unit, Lease, Tenant Account, Accounting, and portal views.</x:v>
      </x:c>
      <x:c r="N176" s="35" t="str">
        <x:v>Scan review or form; success result; exact ledger rows; payment detail; accounting delta; portal receipt.</x:v>
      </x:c>
      <x:c r="O176" s="35" t="str">
        <x:v>Retry the idempotency key once during the quarter assigned in the coverage matrix; no duplicate cash or allocation.</x:v>
      </x:c>
      <x:c r="P176" s="35" t="str">
        <x:v>All expected records and amounts match; no unexplained error or stale state.</x:v>
      </x:c>
    </x:row>
    <x:row r="177">
      <x:c r="A177" s="20" t="str">
        <x:v>RUN-20270204-05</x:v>
      </x:c>
      <x:c r="B177" s="23" t="n">
        <x:v>46422</x:v>
      </x:c>
      <x:c r="C177" s="32" t="n">
        <x:v>5</x:v>
      </x:c>
      <x:c r="D177" s="20" t="str">
        <x:v>Monthly operations</x:v>
      </x:c>
      <x:c r="E177" s="20" t="str">
        <x:v>Property Manager</x:v>
      </x:c>
      <x:c r="F177" s="20" t="str">
        <x:v>Web</x:v>
      </x:c>
      <x:c r="G177" s="20" t="str">
        <x:v>Scanned check</x:v>
      </x:c>
      <x:c r="H177" s="35" t="str">
        <x:v>Post and allocate tenant receipt</x:v>
      </x:c>
      <x:c r="I177" s="35" t="str">
        <x:v>P016; U016; L016</x:v>
      </x:c>
      <x:c r="J177" s="35" t="str">
        <x:v>SCN-0116</x:v>
      </x:c>
      <x:c r="K177" s="35" t="str">
        <x:v>FIN-00115; FIN-00116</x:v>
      </x:c>
      <x:c r="L177" s="35" t="str">
        <x:v>Open Scan for paper payment or the tenant-account receipt form for electronic payment; verify tenant/lease match, amount, date, method, and reference; confirm once; open ledger detail and allocation.</x:v>
      </x:c>
      <x:c r="M177" s="35" t="str">
        <x:v>Receipt is append-only, allocated once to the correct rent charge, and visible consistently in Unit, Lease, Tenant Account, Accounting, and portal views.</x:v>
      </x:c>
      <x:c r="N177" s="35" t="str">
        <x:v>Scan review or form; success result; exact ledger rows; payment detail; accounting delta; portal receipt.</x:v>
      </x:c>
      <x:c r="O177" s="35" t="str">
        <x:v>Retry the idempotency key once during the quarter assigned in the coverage matrix; no duplicate cash or allocation.</x:v>
      </x:c>
      <x:c r="P177" s="35" t="str">
        <x:v>All expected records and amounts match; no unexplained error or stale state.</x:v>
      </x:c>
    </x:row>
    <x:row r="178">
      <x:c r="A178" s="20" t="str">
        <x:v>RUN-20270204-06</x:v>
      </x:c>
      <x:c r="B178" s="23" t="n">
        <x:v>46422</x:v>
      </x:c>
      <x:c r="C178" s="32" t="n">
        <x:v>6</x:v>
      </x:c>
      <x:c r="D178" s="20" t="str">
        <x:v>Monthly operations</x:v>
      </x:c>
      <x:c r="E178" s="20" t="str">
        <x:v>Property Manager</x:v>
      </x:c>
      <x:c r="F178" s="20" t="str">
        <x:v>Mobile</x:v>
      </x:c>
      <x:c r="G178" s="20" t="str">
        <x:v>Portal card</x:v>
      </x:c>
      <x:c r="H178" s="35" t="str">
        <x:v>Post and allocate tenant receipt</x:v>
      </x:c>
      <x:c r="I178" s="35" t="str">
        <x:v>P019; U019; L019</x:v>
      </x:c>
      <x:c r="J178" s="35" t="str"/>
      <x:c r="K178" s="35" t="str">
        <x:v>FIN-00121; FIN-00122</x:v>
      </x:c>
      <x:c r="L178" s="35" t="str">
        <x:v>Open Scan for paper payment or the tenant-account receipt form for electronic payment; verify tenant/lease match, amount, date, method, and reference; confirm once; open ledger detail and allocation.</x:v>
      </x:c>
      <x:c r="M178" s="35" t="str">
        <x:v>Receipt is append-only, allocated once to the correct rent charge, and visible consistently in Unit, Lease, Tenant Account, Accounting, and portal views.</x:v>
      </x:c>
      <x:c r="N178" s="35" t="str">
        <x:v>Scan review or form; success result; exact ledger rows; payment detail; accounting delta; portal receipt.</x:v>
      </x:c>
      <x:c r="O178" s="35" t="str">
        <x:v>Retry the idempotency key once during the quarter assigned in the coverage matrix; no duplicate cash or allocation.</x:v>
      </x:c>
      <x:c r="P178" s="35" t="str">
        <x:v>All expected records and amounts match; no unexplained error or stale state.</x:v>
      </x:c>
    </x:row>
    <x:row r="179">
      <x:c r="A179" s="20" t="str">
        <x:v>RUN-20270204-07</x:v>
      </x:c>
      <x:c r="B179" s="23" t="n">
        <x:v>46422</x:v>
      </x:c>
      <x:c r="C179" s="32" t="n">
        <x:v>7</x:v>
      </x:c>
      <x:c r="D179" s="20" t="str">
        <x:v>Monthly operations</x:v>
      </x:c>
      <x:c r="E179" s="20" t="str">
        <x:v>Property Manager</x:v>
      </x:c>
      <x:c r="F179" s="20" t="str">
        <x:v>Mobile</x:v>
      </x:c>
      <x:c r="G179" s="20" t="str">
        <x:v>Scanned money order</x:v>
      </x:c>
      <x:c r="H179" s="35" t="str">
        <x:v>Post and allocate tenant receipt</x:v>
      </x:c>
      <x:c r="I179" s="35" t="str">
        <x:v>P023; U025; L025</x:v>
      </x:c>
      <x:c r="J179" s="35" t="str">
        <x:v>SCN-0122</x:v>
      </x:c>
      <x:c r="K179" s="35" t="str">
        <x:v>FIN-00135; FIN-00136</x:v>
      </x:c>
      <x:c r="L179" s="35" t="str">
        <x:v>Open Scan for paper payment or the tenant-account receipt form for electronic payment; verify tenant/lease match, amount, date, method, and reference; confirm once; open ledger detail and allocation.</x:v>
      </x:c>
      <x:c r="M179" s="35" t="str">
        <x:v>Receipt is append-only, allocated once to the correct rent charge, and visible consistently in Unit, Lease, Tenant Account, Accounting, and portal views.</x:v>
      </x:c>
      <x:c r="N179" s="35" t="str">
        <x:v>Scan review or form; success result; exact ledger rows; payment detail; accounting delta; portal receipt.</x:v>
      </x:c>
      <x:c r="O179" s="35" t="str">
        <x:v>Retry the idempotency key once during the quarter assigned in the coverage matrix; no duplicate cash or allocation.</x:v>
      </x:c>
      <x:c r="P179" s="35" t="str">
        <x:v>All expected records and amounts match; no unexplained error or stale state.</x:v>
      </x:c>
    </x:row>
    <x:row r="180">
      <x:c r="A180" s="20" t="str">
        <x:v>RUN-20270204-08</x:v>
      </x:c>
      <x:c r="B180" s="23" t="n">
        <x:v>46422</x:v>
      </x:c>
      <x:c r="C180" s="32" t="n">
        <x:v>8</x:v>
      </x:c>
      <x:c r="D180" s="20" t="str">
        <x:v>Monthly operations</x:v>
      </x:c>
      <x:c r="E180" s="20" t="str">
        <x:v>Property Manager</x:v>
      </x:c>
      <x:c r="F180" s="20" t="str">
        <x:v>Web</x:v>
      </x:c>
      <x:c r="G180" s="20" t="str">
        <x:v>Scanned check</x:v>
      </x:c>
      <x:c r="H180" s="35" t="str">
        <x:v>Post and allocate tenant receipt</x:v>
      </x:c>
      <x:c r="I180" s="35" t="str">
        <x:v>P024; U028; L028</x:v>
      </x:c>
      <x:c r="J180" s="35" t="str">
        <x:v>SCN-0124</x:v>
      </x:c>
      <x:c r="K180" s="35" t="str">
        <x:v>FIN-00142; FIN-00143</x:v>
      </x:c>
      <x:c r="L180" s="35" t="str">
        <x:v>Open Scan for paper payment or the tenant-account receipt form for electronic payment; verify tenant/lease match, amount, date, method, and reference; confirm once; open ledger detail and allocation.</x:v>
      </x:c>
      <x:c r="M180" s="35" t="str">
        <x:v>Receipt is append-only, allocated once to the correct rent charge, and visible consistently in Unit, Lease, Tenant Account, Accounting, and portal views.</x:v>
      </x:c>
      <x:c r="N180" s="35" t="str">
        <x:v>Scan review or form; success result; exact ledger rows; payment detail; accounting delta; portal receipt.</x:v>
      </x:c>
      <x:c r="O180" s="35" t="str">
        <x:v>Retry the idempotency key once during the quarter assigned in the coverage matrix; no duplicate cash or allocation.</x:v>
      </x:c>
      <x:c r="P180" s="35" t="str">
        <x:v>All expected records and amounts match; no unexplained error or stale state.</x:v>
      </x:c>
    </x:row>
    <x:row r="181">
      <x:c r="A181" s="20" t="str">
        <x:v>RUN-20270204-09</x:v>
      </x:c>
      <x:c r="B181" s="23" t="n">
        <x:v>46422</x:v>
      </x:c>
      <x:c r="C181" s="32" t="n">
        <x:v>9</x:v>
      </x:c>
      <x:c r="D181" s="20" t="str">
        <x:v>Monthly operations</x:v>
      </x:c>
      <x:c r="E181" s="20" t="str">
        <x:v>Property Manager</x:v>
      </x:c>
      <x:c r="F181" s="20" t="str">
        <x:v>Mobile</x:v>
      </x:c>
      <x:c r="G181" s="20" t="str">
        <x:v>Portal card</x:v>
      </x:c>
      <x:c r="H181" s="35" t="str">
        <x:v>Post and allocate tenant receipt</x:v>
      </x:c>
      <x:c r="I181" s="35" t="str">
        <x:v>P026; U031; L031</x:v>
      </x:c>
      <x:c r="J181" s="35" t="str"/>
      <x:c r="K181" s="35" t="str">
        <x:v>FIN-00148; FIN-00149</x:v>
      </x:c>
      <x:c r="L181" s="35" t="str">
        <x:v>Open Scan for paper payment or the tenant-account receipt form for electronic payment; verify tenant/lease match, amount, date, method, and reference; confirm once; open ledger detail and allocation.</x:v>
      </x:c>
      <x:c r="M181" s="35" t="str">
        <x:v>Receipt is append-only, allocated once to the correct rent charge, and visible consistently in Unit, Lease, Tenant Account, Accounting, and portal views.</x:v>
      </x:c>
      <x:c r="N181" s="35" t="str">
        <x:v>Scan review or form; success result; exact ledger rows; payment detail; accounting delta; portal receipt.</x:v>
      </x:c>
      <x:c r="O181" s="35" t="str">
        <x:v>Retry the idempotency key once during the quarter assigned in the coverage matrix; no duplicate cash or allocation.</x:v>
      </x:c>
      <x:c r="P181" s="35" t="str">
        <x:v>All expected records and amounts match; no unexplained error or stale state.</x:v>
      </x:c>
    </x:row>
    <x:row r="182">
      <x:c r="A182" s="20" t="str">
        <x:v>RUN-20270204-10</x:v>
      </x:c>
      <x:c r="B182" s="23" t="n">
        <x:v>46422</x:v>
      </x:c>
      <x:c r="C182" s="32" t="n">
        <x:v>10</x:v>
      </x:c>
      <x:c r="D182" s="20" t="str">
        <x:v>Monthly operations</x:v>
      </x:c>
      <x:c r="E182" s="20" t="str">
        <x:v>Property Manager</x:v>
      </x:c>
      <x:c r="F182" s="20" t="str">
        <x:v>Web</x:v>
      </x:c>
      <x:c r="G182" s="20" t="str">
        <x:v>Manual ACH</x:v>
      </x:c>
      <x:c r="H182" s="35" t="str">
        <x:v>Post and allocate tenant receipt</x:v>
      </x:c>
      <x:c r="I182" s="35" t="str">
        <x:v>P027; U034; L034</x:v>
      </x:c>
      <x:c r="J182" s="35" t="str"/>
      <x:c r="K182" s="35" t="str">
        <x:v>FIN-00156; FIN-00157</x:v>
      </x:c>
      <x:c r="L182" s="35" t="str">
        <x:v>Open Scan for paper payment or the tenant-account receipt form for electronic payment; verify tenant/lease match, amount, date, method, and reference; confirm once; open ledger detail and allocation.</x:v>
      </x:c>
      <x:c r="M182" s="35" t="str">
        <x:v>Receipt is append-only, allocated once to the correct rent charge, and visible consistently in Unit, Lease, Tenant Account, Accounting, and portal views.</x:v>
      </x:c>
      <x:c r="N182" s="35" t="str">
        <x:v>Scan review or form; success result; exact ledger rows; payment detail; accounting delta; portal receipt.</x:v>
      </x:c>
      <x:c r="O182" s="35" t="str">
        <x:v>Retry the idempotency key once during the quarter assigned in the coverage matrix; no duplicate cash or allocation.</x:v>
      </x:c>
      <x:c r="P182" s="35" t="str">
        <x:v>All expected records and amounts match; no unexplained error or stale state.</x:v>
      </x:c>
    </x:row>
    <x:row r="183">
      <x:c r="A183" s="20" t="str">
        <x:v>RUN-20270204-11</x:v>
      </x:c>
      <x:c r="B183" s="23" t="n">
        <x:v>46422</x:v>
      </x:c>
      <x:c r="C183" s="32" t="n">
        <x:v>11</x:v>
      </x:c>
      <x:c r="D183" s="20" t="str">
        <x:v>Monthly operations</x:v>
      </x:c>
      <x:c r="E183" s="20" t="str">
        <x:v>Property Manager</x:v>
      </x:c>
      <x:c r="F183" s="20" t="str">
        <x:v>Mobile</x:v>
      </x:c>
      <x:c r="G183" s="20" t="str">
        <x:v>Portal card</x:v>
      </x:c>
      <x:c r="H183" s="35" t="str">
        <x:v>Post and allocate tenant receipt</x:v>
      </x:c>
      <x:c r="I183" s="35" t="str">
        <x:v>P029; U037; L043</x:v>
      </x:c>
      <x:c r="J183" s="35" t="str"/>
      <x:c r="K183" s="35" t="str">
        <x:v>FIN-00162; FIN-00163</x:v>
      </x:c>
      <x:c r="L183" s="35" t="str">
        <x:v>Open Scan for paper payment or the tenant-account receipt form for electronic payment; verify tenant/lease match, amount, date, method, and reference; confirm once; open ledger detail and allocation.</x:v>
      </x:c>
      <x:c r="M183" s="35" t="str">
        <x:v>Receipt is append-only, allocated once to the correct rent charge, and visible consistently in Unit, Lease, Tenant Account, Accounting, and portal views.</x:v>
      </x:c>
      <x:c r="N183" s="35" t="str">
        <x:v>Scan review or form; success result; exact ledger rows; payment detail; accounting delta; portal receipt.</x:v>
      </x:c>
      <x:c r="O183" s="35" t="str">
        <x:v>Retry the idempotency key once during the quarter assigned in the coverage matrix; no duplicate cash or allocation.</x:v>
      </x:c>
      <x:c r="P183" s="35" t="str">
        <x:v>All expected records and amounts match; no unexplained error or stale state.</x:v>
      </x:c>
    </x:row>
    <x:row r="184">
      <x:c r="A184" s="20" t="str">
        <x:v>RUN-20270204-12</x:v>
      </x:c>
      <x:c r="B184" s="23" t="n">
        <x:v>46422</x:v>
      </x:c>
      <x:c r="C184" s="32" t="n">
        <x:v>12</x:v>
      </x:c>
      <x:c r="D184" s="20" t="str">
        <x:v>Role and screen certification</x:v>
      </x:c>
      <x:c r="E184" s="20" t="str">
        <x:v>Tenant</x:v>
      </x:c>
      <x:c r="F184" s="20" t="str">
        <x:v>Web</x:v>
      </x:c>
      <x:c r="G184" s="20" t="str">
        <x:v>Normal persona navigation</x:v>
      </x:c>
      <x:c r="H184" s="35" t="str">
        <x:v>Use every permitted action and state on /portal/profile</x:v>
      </x:c>
      <x:c r="I184" s="35" t="str">
        <x:v>SCR-011; ROLE-012</x:v>
      </x:c>
      <x:c r="J184" s="35" t="str"/>
      <x:c r="K184" s="35" t="str"/>
      <x:c r="L18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4" s="35" t="str">
        <x:v>The persona can use every allowed action with only its assigned properties/relationships. Hidden or disabled actions explain why; an adjacent unauthorized persona is denied without metadata leakage.</x:v>
      </x:c>
      <x:c r="N184" s="35" t="str">
        <x:v>Persona/experience; navigation entry; desktop or device screenshots; result state; persisted read-back; audit/history; authorized and denied network result.</x:v>
      </x:c>
      <x:c r="O184" s="35" t="str">
        <x:v>Open the direct URL or deep link with an adjacent unauthorized persona and with stale scope; both fail closed and land safely without mutation.</x:v>
      </x:c>
      <x:c r="P184" s="35" t="str">
        <x:v>All expected records and amounts match; no unexplained error or stale state.</x:v>
      </x:c>
    </x:row>
    <x:row r="185">
      <x:c r="A185" s="20" t="str">
        <x:v>RUN-20270204-13</x:v>
      </x:c>
      <x:c r="B185" s="23" t="n">
        <x:v>46422</x:v>
      </x:c>
      <x:c r="C185" s="32" t="n">
        <x:v>13</x:v>
      </x:c>
      <x:c r="D185" s="20" t="str">
        <x:v>Field certification</x:v>
      </x:c>
      <x:c r="E185" s="20" t="str">
        <x:v>Leasing Agent</x:v>
      </x:c>
      <x:c r="F185" s="20" t="str">
        <x:v>Web</x:v>
      </x:c>
      <x:c r="G185" s="20" t="str">
        <x:v>Manual field-by-field</x:v>
      </x:c>
      <x:c r="H185" s="35" t="str">
        <x:v>Fill, save, reload, edit, and validate every declared field on web/src/lib/components/leases/AddendumCreateDialog.svelte</x:v>
      </x:c>
      <x:c r="I185" s="35" t="str">
        <x:v>FLD-0048; FLD-0049; FLD-0050; FLD-0051; FLD-0052</x:v>
      </x:c>
      <x:c r="J185" s="35" t="str"/>
      <x:c r="K185" s="35" t="str"/>
      <x:c r="L185" s="35" t="str">
        <x:v>Use the source-derived Field Inventory. Enter non-default realistic values in every control (effect.amount; effect.currency; effect.chargeCode; effect.dueOn; effect.effectiveFromOn); submit; reload or relaunch; compare every value; edit each mutable field; verify the paired client; then run required, format, length, range, boundary, optional-null, and stale-submit checks.</x:v>
      </x:c>
      <x:c r="M185" s="35" t="str">
        <x:v>All 5 inventoried controls persist exact normalized values, invalid values stay unsaved with clear errors, and hidden/unauthorized fields cannot be altered.</x:v>
      </x:c>
      <x:c r="N185" s="35" t="str">
        <x:v>Before/after form screenshots; FLD IDs; API response; reloaded UI; paired-client read-back; database/audit evidence; negative validation result.</x:v>
      </x:c>
      <x:c r="O185" s="35" t="str">
        <x:v>Use a duplicate submit and one simulated network interruption; one atomic mutation or none, never partial state.</x:v>
      </x:c>
      <x:c r="P185" s="35" t="str">
        <x:v>All expected records and amounts match; no unexplained error or stale state.</x:v>
      </x:c>
    </x:row>
    <x:row r="186">
      <x:c r="A186" s="20" t="str">
        <x:v>RUN-20270204-14</x:v>
      </x:c>
      <x:c r="B186" s="23" t="n">
        <x:v>46422</x:v>
      </x:c>
      <x:c r="C186" s="32" t="n">
        <x:v>14</x:v>
      </x:c>
      <x:c r="D186" s="20" t="str">
        <x:v>Surface coverage</x:v>
      </x:c>
      <x:c r="E186" s="20" t="str">
        <x:v>Role appropriate to surface</x:v>
      </x:c>
      <x:c r="F186" s="20" t="str">
        <x:v>Mobile</x:v>
      </x:c>
      <x:c r="G186" s="20" t="str">
        <x:v>Manual</x:v>
      </x:c>
      <x:c r="H186" s="35" t="str">
        <x:v>Manual mobile pass: Property create/edit/detail/documents/history</x:v>
      </x:c>
      <x:c r="I186" s="35" t="str">
        <x:v>COV-004</x:v>
      </x:c>
      <x:c r="J186" s="35" t="str"/>
      <x:c r="K186" s="35" t="str"/>
      <x:c r="L186" s="35" t="str">
        <x:v>Create, edit, deactivate-safe, filter, sort, page, attach documents, and inspect history.</x:v>
      </x:c>
      <x:c r="M186" s="35" t="str">
        <x:v>The supported workflow completes and persists correctly; if the capability is absent, the exact gap is proven and queued rather than silently skipped.</x:v>
      </x:c>
      <x:c r="N186" s="35" t="str">
        <x:v>Real UI screenshot/state; submitted values; persisted read-back; cross-client read-back; audit/role/access evidence.</x:v>
      </x:c>
      <x:c r="O186" s="35" t="str">
        <x:v>Use one invalid value, stale-state retry, or duplicate submission relevant to the form; no partial or duplicate mutation.</x:v>
      </x:c>
      <x:c r="P186" s="35" t="str">
        <x:v>All expected records and amounts match; no unexplained error or stale state.</x:v>
      </x:c>
    </x:row>
    <x:row r="187">
      <x:c r="A187" s="20" t="str">
        <x:v>RUN-20270205-01</x:v>
      </x:c>
      <x:c r="B187" s="23" t="n">
        <x:v>46423</x:v>
      </x:c>
      <x:c r="C187" s="32" t="n">
        <x:v>1</x:v>
      </x:c>
      <x:c r="D187" s="20" t="str">
        <x:v>Monthly operations</x:v>
      </x:c>
      <x:c r="E187" s="20" t="str">
        <x:v>Property Manager</x:v>
      </x:c>
      <x:c r="F187" s="20" t="str">
        <x:v>Web</x:v>
      </x:c>
      <x:c r="G187" s="20" t="str">
        <x:v>Manual ACH</x:v>
      </x:c>
      <x:c r="H187" s="35" t="str">
        <x:v>Post and allocate tenant receipt</x:v>
      </x:c>
      <x:c r="I187" s="35" t="str">
        <x:v>P002; U002; L002</x:v>
      </x:c>
      <x:c r="J187" s="35" t="str"/>
      <x:c r="K187" s="35" t="str">
        <x:v>FIN-00084; FIN-00085</x:v>
      </x:c>
      <x:c r="L187" s="35" t="str">
        <x:v>Open Scan for paper payment or the tenant-account receipt form for electronic payment; verify tenant/lease match, amount, date, method, and reference; confirm once; open ledger detail and allocation.</x:v>
      </x:c>
      <x:c r="M187" s="35" t="str">
        <x:v>Receipt is append-only, allocated once to the correct rent charge, and visible consistently in Unit, Lease, Tenant Account, Accounting, and portal views.</x:v>
      </x:c>
      <x:c r="N187" s="35" t="str">
        <x:v>Scan review or form; success result; exact ledger rows; payment detail; accounting delta; portal receipt.</x:v>
      </x:c>
      <x:c r="O187" s="35" t="str">
        <x:v>Retry the idempotency key once during the quarter assigned in the coverage matrix; no duplicate cash or allocation.</x:v>
      </x:c>
      <x:c r="P187" s="35" t="str">
        <x:v>All expected records and amounts match; no unexplained error or stale state.</x:v>
      </x:c>
    </x:row>
    <x:row r="188">
      <x:c r="A188" s="20" t="str">
        <x:v>RUN-20270205-02</x:v>
      </x:c>
      <x:c r="B188" s="23" t="n">
        <x:v>46423</x:v>
      </x:c>
      <x:c r="C188" s="32" t="n">
        <x:v>2</x:v>
      </x:c>
      <x:c r="D188" s="20" t="str">
        <x:v>Monthly operations</x:v>
      </x:c>
      <x:c r="E188" s="20" t="str">
        <x:v>Property Manager</x:v>
      </x:c>
      <x:c r="F188" s="20" t="str">
        <x:v>Mobile</x:v>
      </x:c>
      <x:c r="G188" s="20" t="str">
        <x:v>Scanned money order</x:v>
      </x:c>
      <x:c r="H188" s="35" t="str">
        <x:v>Post and allocate tenant receipt</x:v>
      </x:c>
      <x:c r="I188" s="35" t="str">
        <x:v>P005; U005; L005</x:v>
      </x:c>
      <x:c r="J188" s="35" t="str">
        <x:v>SCN-0110</x:v>
      </x:c>
      <x:c r="K188" s="35" t="str">
        <x:v>FIN-00090; FIN-00091</x:v>
      </x:c>
      <x:c r="L188" s="35" t="str">
        <x:v>Open Scan for paper payment or the tenant-account receipt form for electronic payment; verify tenant/lease match, amount, date, method, and reference; confirm once; open ledger detail and allocation.</x:v>
      </x:c>
      <x:c r="M188" s="35" t="str">
        <x:v>Receipt is append-only, allocated once to the correct rent charge, and visible consistently in Unit, Lease, Tenant Account, Accounting, and portal views.</x:v>
      </x:c>
      <x:c r="N188" s="35" t="str">
        <x:v>Scan review or form; success result; exact ledger rows; payment detail; accounting delta; portal receipt.</x:v>
      </x:c>
      <x:c r="O188" s="35" t="str">
        <x:v>Retry the idempotency key once during the quarter assigned in the coverage matrix; no duplicate cash or allocation.</x:v>
      </x:c>
      <x:c r="P188" s="35" t="str">
        <x:v>All expected records and amounts match; no unexplained error or stale state.</x:v>
      </x:c>
    </x:row>
    <x:row r="189">
      <x:c r="A189" s="20" t="str">
        <x:v>RUN-20270205-03</x:v>
      </x:c>
      <x:c r="B189" s="23" t="n">
        <x:v>46423</x:v>
      </x:c>
      <x:c r="C189" s="32" t="n">
        <x:v>3</x:v>
      </x:c>
      <x:c r="D189" s="20" t="str">
        <x:v>Monthly operations</x:v>
      </x:c>
      <x:c r="E189" s="20" t="str">
        <x:v>Property Manager</x:v>
      </x:c>
      <x:c r="F189" s="20" t="str">
        <x:v>Web</x:v>
      </x:c>
      <x:c r="G189" s="20" t="str">
        <x:v>Scanned check</x:v>
      </x:c>
      <x:c r="H189" s="35" t="str">
        <x:v>Post and allocate tenant receipt</x:v>
      </x:c>
      <x:c r="I189" s="35" t="str">
        <x:v>P008; U008; L008</x:v>
      </x:c>
      <x:c r="J189" s="35" t="str">
        <x:v>SCN-0111</x:v>
      </x:c>
      <x:c r="K189" s="35" t="str">
        <x:v>FIN-00096; FIN-00097</x:v>
      </x:c>
      <x:c r="L189" s="35" t="str">
        <x:v>Open Scan for paper payment or the tenant-account receipt form for electronic payment; verify tenant/lease match, amount, date, method, and reference; confirm once; open ledger detail and allocation.</x:v>
      </x:c>
      <x:c r="M189" s="35" t="str">
        <x:v>Receipt is append-only, allocated once to the correct rent charge, and visible consistently in Unit, Lease, Tenant Account, Accounting, and portal views.</x:v>
      </x:c>
      <x:c r="N189" s="35" t="str">
        <x:v>Scan review or form; success result; exact ledger rows; payment detail; accounting delta; portal receipt.</x:v>
      </x:c>
      <x:c r="O189" s="35" t="str">
        <x:v>Retry the idempotency key once during the quarter assigned in the coverage matrix; no duplicate cash or allocation.</x:v>
      </x:c>
      <x:c r="P189" s="35" t="str">
        <x:v>All expected records and amounts match; no unexplained error or stale state.</x:v>
      </x:c>
    </x:row>
    <x:row r="190">
      <x:c r="A190" s="20" t="str">
        <x:v>RUN-20270205-04</x:v>
      </x:c>
      <x:c r="B190" s="23" t="n">
        <x:v>46423</x:v>
      </x:c>
      <x:c r="C190" s="32" t="n">
        <x:v>4</x:v>
      </x:c>
      <x:c r="D190" s="20" t="str">
        <x:v>Monthly operations</x:v>
      </x:c>
      <x:c r="E190" s="20" t="str">
        <x:v>Property Manager</x:v>
      </x:c>
      <x:c r="F190" s="20" t="str">
        <x:v>Web</x:v>
      </x:c>
      <x:c r="G190" s="20" t="str">
        <x:v>Manual ACH</x:v>
      </x:c>
      <x:c r="H190" s="35" t="str">
        <x:v>Post and allocate tenant receipt</x:v>
      </x:c>
      <x:c r="I190" s="35" t="str">
        <x:v>P014; U014; L014</x:v>
      </x:c>
      <x:c r="J190" s="35" t="str"/>
      <x:c r="K190" s="35" t="str">
        <x:v>FIN-00111; FIN-00112</x:v>
      </x:c>
      <x:c r="L190" s="35" t="str">
        <x:v>Open Scan for paper payment or the tenant-account receipt form for electronic payment; verify tenant/lease match, amount, date, method, and reference; confirm once; open ledger detail and allocation.</x:v>
      </x:c>
      <x:c r="M190" s="35" t="str">
        <x:v>Receipt is append-only, allocated once to the correct rent charge, and visible consistently in Unit, Lease, Tenant Account, Accounting, and portal views.</x:v>
      </x:c>
      <x:c r="N190" s="35" t="str">
        <x:v>Scan review or form; success result; exact ledger rows; payment detail; accounting delta; portal receipt.</x:v>
      </x:c>
      <x:c r="O190" s="35" t="str">
        <x:v>Retry the idempotency key once during the quarter assigned in the coverage matrix; no duplicate cash or allocation.</x:v>
      </x:c>
      <x:c r="P190" s="35" t="str">
        <x:v>All expected records and amounts match; no unexplained error or stale state.</x:v>
      </x:c>
    </x:row>
    <x:row r="191">
      <x:c r="A191" s="20" t="str">
        <x:v>RUN-20270205-05</x:v>
      </x:c>
      <x:c r="B191" s="23" t="n">
        <x:v>46423</x:v>
      </x:c>
      <x:c r="C191" s="32" t="n">
        <x:v>5</x:v>
      </x:c>
      <x:c r="D191" s="20" t="str">
        <x:v>Monthly operations</x:v>
      </x:c>
      <x:c r="E191" s="20" t="str">
        <x:v>Property Manager</x:v>
      </x:c>
      <x:c r="F191" s="20" t="str">
        <x:v>Mobile</x:v>
      </x:c>
      <x:c r="G191" s="20" t="str">
        <x:v>Scanned money order</x:v>
      </x:c>
      <x:c r="H191" s="35" t="str">
        <x:v>Post and allocate tenant receipt</x:v>
      </x:c>
      <x:c r="I191" s="35" t="str">
        <x:v>P017; U017; L017</x:v>
      </x:c>
      <x:c r="J191" s="35" t="str">
        <x:v>SCN-0117</x:v>
      </x:c>
      <x:c r="K191" s="35" t="str">
        <x:v>FIN-00117; FIN-00118</x:v>
      </x:c>
      <x:c r="L191" s="35" t="str">
        <x:v>Open Scan for paper payment or the tenant-account receipt form for electronic payment; verify tenant/lease match, amount, date, method, and reference; confirm once; open ledger detail and allocation.</x:v>
      </x:c>
      <x:c r="M191" s="35" t="str">
        <x:v>Receipt is append-only, allocated once to the correct rent charge, and visible consistently in Unit, Lease, Tenant Account, Accounting, and portal views.</x:v>
      </x:c>
      <x:c r="N191" s="35" t="str">
        <x:v>Scan review or form; success result; exact ledger rows; payment detail; accounting delta; portal receipt.</x:v>
      </x:c>
      <x:c r="O191" s="35" t="str">
        <x:v>Retry the idempotency key once during the quarter assigned in the coverage matrix; no duplicate cash or allocation.</x:v>
      </x:c>
      <x:c r="P191" s="35" t="str">
        <x:v>All expected records and amounts match; no unexplained error or stale state.</x:v>
      </x:c>
    </x:row>
    <x:row r="192">
      <x:c r="A192" s="20" t="str">
        <x:v>RUN-20270205-06</x:v>
      </x:c>
      <x:c r="B192" s="23" t="n">
        <x:v>46423</x:v>
      </x:c>
      <x:c r="C192" s="32" t="n">
        <x:v>6</x:v>
      </x:c>
      <x:c r="D192" s="20" t="str">
        <x:v>Monthly operations</x:v>
      </x:c>
      <x:c r="E192" s="20" t="str">
        <x:v>Property Manager</x:v>
      </x:c>
      <x:c r="F192" s="20" t="str">
        <x:v>Web</x:v>
      </x:c>
      <x:c r="G192" s="20" t="str">
        <x:v>Scanned check</x:v>
      </x:c>
      <x:c r="H192" s="35" t="str">
        <x:v>Post and allocate tenant receipt</x:v>
      </x:c>
      <x:c r="I192" s="35" t="str">
        <x:v>P020; U020; L020</x:v>
      </x:c>
      <x:c r="J192" s="35" t="str">
        <x:v>SCN-0118</x:v>
      </x:c>
      <x:c r="K192" s="35" t="str">
        <x:v>FIN-00123; FIN-00124</x:v>
      </x:c>
      <x:c r="L192" s="35" t="str">
        <x:v>Open Scan for paper payment or the tenant-account receipt form for electronic payment; verify tenant/lease match, amount, date, method, and reference; confirm once; open ledger detail and allocation.</x:v>
      </x:c>
      <x:c r="M192" s="35" t="str">
        <x:v>Receipt is append-only, allocated once to the correct rent charge, and visible consistently in Unit, Lease, Tenant Account, Accounting, and portal views.</x:v>
      </x:c>
      <x:c r="N192" s="35" t="str">
        <x:v>Scan review or form; success result; exact ledger rows; payment detail; accounting delta; portal receipt.</x:v>
      </x:c>
      <x:c r="O192" s="35" t="str">
        <x:v>Retry the idempotency key once during the quarter assigned in the coverage matrix; no duplicate cash or allocation.</x:v>
      </x:c>
      <x:c r="P192" s="35" t="str">
        <x:v>All expected records and amounts match; no unexplained error or stale state.</x:v>
      </x:c>
    </x:row>
    <x:row r="193">
      <x:c r="A193" s="20" t="str">
        <x:v>RUN-20270205-07</x:v>
      </x:c>
      <x:c r="B193" s="23" t="n">
        <x:v>46423</x:v>
      </x:c>
      <x:c r="C193" s="32" t="n">
        <x:v>7</x:v>
      </x:c>
      <x:c r="D193" s="20" t="str">
        <x:v>Monthly operations</x:v>
      </x:c>
      <x:c r="E193" s="20" t="str">
        <x:v>Property Manager</x:v>
      </x:c>
      <x:c r="F193" s="20" t="str">
        <x:v>Mobile</x:v>
      </x:c>
      <x:c r="G193" s="20" t="str">
        <x:v>Portal card</x:v>
      </x:c>
      <x:c r="H193" s="35" t="str">
        <x:v>Post and allocate tenant receipt</x:v>
      </x:c>
      <x:c r="I193" s="35" t="str">
        <x:v>P022; U023; L023</x:v>
      </x:c>
      <x:c r="J193" s="35" t="str"/>
      <x:c r="K193" s="35" t="str">
        <x:v>FIN-00131; FIN-00132</x:v>
      </x:c>
      <x:c r="L193" s="35" t="str">
        <x:v>Open Scan for paper payment or the tenant-account receipt form for electronic payment; verify tenant/lease match, amount, date, method, and reference; confirm once; open ledger detail and allocation.</x:v>
      </x:c>
      <x:c r="M193" s="35" t="str">
        <x:v>Receipt is append-only, allocated once to the correct rent charge, and visible consistently in Unit, Lease, Tenant Account, Accounting, and portal views.</x:v>
      </x:c>
      <x:c r="N193" s="35" t="str">
        <x:v>Scan review or form; success result; exact ledger rows; payment detail; accounting delta; portal receipt.</x:v>
      </x:c>
      <x:c r="O193" s="35" t="str">
        <x:v>Retry the idempotency key once during the quarter assigned in the coverage matrix; no duplicate cash or allocation.</x:v>
      </x:c>
      <x:c r="P193" s="35" t="str">
        <x:v>All expected records and amounts match; no unexplained error or stale state.</x:v>
      </x:c>
    </x:row>
    <x:row r="194">
      <x:c r="A194" s="20" t="str">
        <x:v>RUN-20270205-08</x:v>
      </x:c>
      <x:c r="B194" s="23" t="n">
        <x:v>46423</x:v>
      </x:c>
      <x:c r="C194" s="32" t="n">
        <x:v>8</x:v>
      </x:c>
      <x:c r="D194" s="20" t="str">
        <x:v>Monthly operations</x:v>
      </x:c>
      <x:c r="E194" s="20" t="str">
        <x:v>Property Manager</x:v>
      </x:c>
      <x:c r="F194" s="20" t="str">
        <x:v>Mobile</x:v>
      </x:c>
      <x:c r="G194" s="20" t="str">
        <x:v>Scanned money order</x:v>
      </x:c>
      <x:c r="H194" s="35" t="str">
        <x:v>Post and allocate tenant receipt</x:v>
      </x:c>
      <x:c r="I194" s="35" t="str">
        <x:v>P025; U029; L029</x:v>
      </x:c>
      <x:c r="J194" s="35" t="str">
        <x:v>SCN-0125</x:v>
      </x:c>
      <x:c r="K194" s="35" t="str">
        <x:v>FIN-00144; FIN-00145</x:v>
      </x:c>
      <x:c r="L194" s="35" t="str">
        <x:v>Open Scan for paper payment or the tenant-account receipt form for electronic payment; verify tenant/lease match, amount, date, method, and reference; confirm once; open ledger detail and allocation.</x:v>
      </x:c>
      <x:c r="M194" s="35" t="str">
        <x:v>Receipt is append-only, allocated once to the correct rent charge, and visible consistently in Unit, Lease, Tenant Account, Accounting, and portal views.</x:v>
      </x:c>
      <x:c r="N194" s="35" t="str">
        <x:v>Scan review or form; success result; exact ledger rows; payment detail; accounting delta; portal receipt.</x:v>
      </x:c>
      <x:c r="O194" s="35" t="str">
        <x:v>Retry the idempotency key once during the quarter assigned in the coverage matrix; no duplicate cash or allocation.</x:v>
      </x:c>
      <x:c r="P194" s="35" t="str">
        <x:v>All expected records and amounts match; no unexplained error or stale state.</x:v>
      </x:c>
    </x:row>
    <x:row r="195">
      <x:c r="A195" s="20" t="str">
        <x:v>RUN-20270205-09</x:v>
      </x:c>
      <x:c r="B195" s="23" t="n">
        <x:v>46423</x:v>
      </x:c>
      <x:c r="C195" s="32" t="n">
        <x:v>9</x:v>
      </x:c>
      <x:c r="D195" s="20" t="str">
        <x:v>Monthly operations</x:v>
      </x:c>
      <x:c r="E195" s="20" t="str">
        <x:v>Property Manager</x:v>
      </x:c>
      <x:c r="F195" s="20" t="str">
        <x:v>Web</x:v>
      </x:c>
      <x:c r="G195" s="20" t="str">
        <x:v>Scanned check</x:v>
      </x:c>
      <x:c r="H195" s="35" t="str">
        <x:v>Post and allocate tenant receipt</x:v>
      </x:c>
      <x:c r="I195" s="35" t="str">
        <x:v>P026; U032; L032</x:v>
      </x:c>
      <x:c r="J195" s="35" t="str">
        <x:v>SCN-0126</x:v>
      </x:c>
      <x:c r="K195" s="35" t="str">
        <x:v>FIN-00150; FIN-00151</x:v>
      </x:c>
      <x:c r="L195" s="35" t="str">
        <x:v>Open Scan for paper payment or the tenant-account receipt form for electronic payment; verify tenant/lease match, amount, date, method, and reference; confirm once; open ledger detail and allocation.</x:v>
      </x:c>
      <x:c r="M195" s="35" t="str">
        <x:v>Receipt is append-only, allocated once to the correct rent charge, and visible consistently in Unit, Lease, Tenant Account, Accounting, and portal views.</x:v>
      </x:c>
      <x:c r="N195" s="35" t="str">
        <x:v>Scan review or form; success result; exact ledger rows; payment detail; accounting delta; portal receipt.</x:v>
      </x:c>
      <x:c r="O195" s="35" t="str">
        <x:v>Retry the idempotency key once during the quarter assigned in the coverage matrix; no duplicate cash or allocation.</x:v>
      </x:c>
      <x:c r="P195" s="35" t="str">
        <x:v>All expected records and amounts match; no unexplained error or stale state.</x:v>
      </x:c>
    </x:row>
    <x:row r="196">
      <x:c r="A196" s="20" t="str">
        <x:v>RUN-20270205-10</x:v>
      </x:c>
      <x:c r="B196" s="23" t="n">
        <x:v>46423</x:v>
      </x:c>
      <x:c r="C196" s="32" t="n">
        <x:v>10</x:v>
      </x:c>
      <x:c r="D196" s="20" t="str">
        <x:v>Monthly operations</x:v>
      </x:c>
      <x:c r="E196" s="20" t="str">
        <x:v>Property Manager</x:v>
      </x:c>
      <x:c r="F196" s="20" t="str">
        <x:v>Mobile</x:v>
      </x:c>
      <x:c r="G196" s="20" t="str">
        <x:v>Portal card</x:v>
      </x:c>
      <x:c r="H196" s="35" t="str">
        <x:v>Post and allocate tenant receipt</x:v>
      </x:c>
      <x:c r="I196" s="35" t="str">
        <x:v>P028; U035; L035</x:v>
      </x:c>
      <x:c r="J196" s="35" t="str"/>
      <x:c r="K196" s="35" t="str">
        <x:v>FIN-00158; FIN-00159</x:v>
      </x:c>
      <x:c r="L196" s="35" t="str">
        <x:v>Open Scan for paper payment or the tenant-account receipt form for electronic payment; verify tenant/lease match, amount, date, method, and reference; confirm once; open ledger detail and allocation.</x:v>
      </x:c>
      <x:c r="M196" s="35" t="str">
        <x:v>Receipt is append-only, allocated once to the correct rent charge, and visible consistently in Unit, Lease, Tenant Account, Accounting, and portal views.</x:v>
      </x:c>
      <x:c r="N196" s="35" t="str">
        <x:v>Scan review or form; success result; exact ledger rows; payment detail; accounting delta; portal receipt.</x:v>
      </x:c>
      <x:c r="O196" s="35" t="str">
        <x:v>Retry the idempotency key once during the quarter assigned in the coverage matrix; no duplicate cash or allocation.</x:v>
      </x:c>
      <x:c r="P196" s="35" t="str">
        <x:v>All expected records and amounts match; no unexplained error or stale state.</x:v>
      </x:c>
    </x:row>
    <x:row r="197">
      <x:c r="A197" s="20" t="str">
        <x:v>RUN-20270205-11</x:v>
      </x:c>
      <x:c r="B197" s="23" t="n">
        <x:v>46423</x:v>
      </x:c>
      <x:c r="C197" s="32" t="n">
        <x:v>11</x:v>
      </x:c>
      <x:c r="D197" s="20" t="str">
        <x:v>Role and screen certification</x:v>
      </x:c>
      <x:c r="E197" s="20" t="str">
        <x:v>Tenant</x:v>
      </x:c>
      <x:c r="F197" s="20" t="str">
        <x:v>Web</x:v>
      </x:c>
      <x:c r="G197" s="20" t="str">
        <x:v>Normal persona navigation</x:v>
      </x:c>
      <x:c r="H197" s="35" t="str">
        <x:v>Use every permitted action and state on /portal/security</x:v>
      </x:c>
      <x:c r="I197" s="35" t="str">
        <x:v>SCR-012; ROLE-013</x:v>
      </x:c>
      <x:c r="J197" s="35" t="str"/>
      <x:c r="K197" s="35" t="str"/>
      <x:c r="L19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7" s="35" t="str">
        <x:v>The persona can use every allowed action with only its assigned properties/relationships. Hidden or disabled actions explain why; an adjacent unauthorized persona is denied without metadata leakage.</x:v>
      </x:c>
      <x:c r="N197" s="35" t="str">
        <x:v>Persona/experience; navigation entry; desktop or device screenshots; result state; persisted read-back; audit/history; authorized and denied network result.</x:v>
      </x:c>
      <x:c r="O197" s="35" t="str">
        <x:v>Open the direct URL or deep link with an adjacent unauthorized persona and with stale scope; both fail closed and land safely without mutation.</x:v>
      </x:c>
      <x:c r="P197" s="35" t="str">
        <x:v>All expected records and amounts match; no unexplained error or stale state.</x:v>
      </x:c>
    </x:row>
    <x:row r="198">
      <x:c r="A198" s="20" t="str">
        <x:v>RUN-20270205-12</x:v>
      </x:c>
      <x:c r="B198" s="23" t="n">
        <x:v>46423</x:v>
      </x:c>
      <x:c r="C198" s="32" t="n">
        <x:v>12</x:v>
      </x:c>
      <x:c r="D198" s="20" t="str">
        <x:v>Field certification</x:v>
      </x:c>
      <x:c r="E198" s="20" t="str">
        <x:v>Leasing Agent</x:v>
      </x:c>
      <x:c r="F198" s="20" t="str">
        <x:v>Web</x:v>
      </x:c>
      <x:c r="G198" s="20" t="str">
        <x:v>Manual field-by-field</x:v>
      </x:c>
      <x:c r="H198" s="35" t="str">
        <x:v>Fill, save, reload, edit, and validate every declared field on web/src/lib/components/leases/AddendumCreateDialog.svelte</x:v>
      </x:c>
      <x:c r="I198" s="35" t="str">
        <x:v>FLD-0053; FLD-0054</x:v>
      </x:c>
      <x:c r="J198" s="35" t="str"/>
      <x:c r="K198" s="35" t="str"/>
      <x:c r="L198" s="35" t="str">
        <x:v>Use the source-derived Field Inventory. Enter non-default realistic values in every control (effect.effectiveThroughOn; effect.description); submit; reload or relaunch; compare every value; edit each mutable field; verify the paired client; then run required, format, length, range, boundary, optional-null, and stale-submit checks.</x:v>
      </x:c>
      <x:c r="M198" s="35" t="str">
        <x:v>All 2 inventoried controls persist exact normalized values, invalid values stay unsaved with clear errors, and hidden/unauthorized fields cannot be altered.</x:v>
      </x:c>
      <x:c r="N198" s="35" t="str">
        <x:v>Before/after form screenshots; FLD IDs; API response; reloaded UI; paired-client read-back; database/audit evidence; negative validation result.</x:v>
      </x:c>
      <x:c r="O198" s="35" t="str">
        <x:v>Use a duplicate submit and one simulated network interruption; one atomic mutation or none, never partial state.</x:v>
      </x:c>
      <x:c r="P198" s="35" t="str">
        <x:v>All expected records and amounts match; no unexplained error or stale state.</x:v>
      </x:c>
    </x:row>
    <x:row r="199">
      <x:c r="A199" s="20" t="str">
        <x:v>RUN-20270205-13</x:v>
      </x:c>
      <x:c r="B199" s="23" t="n">
        <x:v>46423</x:v>
      </x:c>
      <x:c r="C199" s="32" t="n">
        <x:v>13</x:v>
      </x:c>
      <x:c r="D199" s="20" t="str">
        <x:v>Field certification</x:v>
      </x:c>
      <x:c r="E199" s="20" t="str">
        <x:v>Leasing Agent</x:v>
      </x:c>
      <x:c r="F199" s="20" t="str">
        <x:v>Web</x:v>
      </x:c>
      <x:c r="G199" s="20" t="str">
        <x:v>Manual field-by-field</x:v>
      </x:c>
      <x:c r="H199" s="35" t="str">
        <x:v>Fill, save, reload, edit, and validate every declared field on web/src/lib/components/leases/AddendumDraftDialog.svelte</x:v>
      </x:c>
      <x:c r="I199" s="35" t="str">
        <x:v>FLD-0055; FLD-0056</x:v>
      </x:c>
      <x:c r="J199" s="35" t="str"/>
      <x:c r="K199" s="35" t="str"/>
      <x:c r="L199" s="35" t="str">
        <x:v>Use the source-derived Field Inventory. Enter non-default realistic values in every control (addendum-draft-number; form.purpose); submit; reload or relaunch; compare every value; edit each mutable field; verify the paired client; then run required, format, length, range, boundary, optional-null, and stale-submit checks.</x:v>
      </x:c>
      <x:c r="M199" s="35" t="str">
        <x:v>All 2 inventoried controls persist exact normalized values, invalid values stay unsaved with clear errors, and hidden/unauthorized fields cannot be altered.</x:v>
      </x:c>
      <x:c r="N199" s="35" t="str">
        <x:v>Before/after form screenshots; FLD IDs; API response; reloaded UI; paired-client read-back; database/audit evidence; negative validation result.</x:v>
      </x:c>
      <x:c r="O199" s="35" t="str">
        <x:v>Use a duplicate submit and one simulated network interruption; one atomic mutation or none, never partial state.</x:v>
      </x:c>
      <x:c r="P199" s="35" t="str">
        <x:v>All expected records and amounts match; no unexplained error or stale state.</x:v>
      </x:c>
    </x:row>
    <x:row r="200">
      <x:c r="A200" s="20" t="str">
        <x:v>RUN-20270205-14</x:v>
      </x:c>
      <x:c r="B200" s="23" t="n">
        <x:v>46423</x:v>
      </x:c>
      <x:c r="C200" s="32" t="n">
        <x:v>14</x:v>
      </x:c>
      <x:c r="D200" s="20" t="str">
        <x:v>Notification certification</x:v>
      </x:c>
      <x:c r="E200" s="20" t="str">
        <x:v>Tenant</x:v>
      </x:c>
      <x:c r="F200" s="20" t="str">
        <x:v>Web + Mobile</x:v>
      </x:c>
      <x:c r="G200" s="20" t="str">
        <x:v>System event + preference/manual verification</x:v>
      </x:c>
      <x:c r="H200" s="35" t="str">
        <x:v>Trigger and prove notification: Rent due tomorrow</x:v>
      </x:c>
      <x:c r="I200" s="35" t="str">
        <x:v>NTF-003</x:v>
      </x:c>
      <x:c r="J200" s="35" t="str"/>
      <x:c r="K200" s="35" t="str"/>
      <x:c r="L200" s="35" t="str">
        <x:v>Set each recipient's preferences; trigger the real business event; inspect routing and recipient scope; verify unread badge, list item, safe preview, portal payment screen deep link, mark-read sync, configured channel outcome, provider failure/retry, and duplicate suppression.</x:v>
      </x:c>
      <x:c r="M200" s="35" t="str">
        <x:v>Exactly the intended recipients receive one correctly routed notification; disabled optional channels stay silent; deep link opens authorized context; read state synchronizes.</x:v>
      </x:c>
      <x:c r="N200" s="35" t="str">
        <x:v>Trigger record; routing decision; outbox/delivery status; web/mobile inbox; lock-screen-safe copy; deep-link target; audit/provider retry evidence.</x:v>
      </x:c>
      <x:c r="O200" s="35" t="str">
        <x:v>Re-run the worker and deliver a duplicate provider callback; no duplicate user-visible event. Attempt the deep link as an unauthorized adjacent role.</x:v>
      </x:c>
      <x:c r="P200" s="35" t="str">
        <x:v>All expected records and amounts match; no unexplained error or stale state.</x:v>
      </x:c>
    </x:row>
    <x:row r="201">
      <x:c r="A201" s="20" t="str">
        <x:v>RUN-20270205-15</x:v>
      </x:c>
      <x:c r="B201" s="23" t="n">
        <x:v>46423</x:v>
      </x:c>
      <x:c r="C201" s="32" t="n">
        <x:v>15</x:v>
      </x:c>
      <x:c r="D201" s="20" t="str">
        <x:v>Surface coverage</x:v>
      </x:c>
      <x:c r="E201" s="20" t="str">
        <x:v>Role appropriate to surface</x:v>
      </x:c>
      <x:c r="F201" s="20" t="str">
        <x:v>Web</x:v>
      </x:c>
      <x:c r="G201" s="20" t="str">
        <x:v>Scan/attachment</x:v>
      </x:c>
      <x:c r="H201" s="35" t="str">
        <x:v>Scan web pass: Property create/edit/detail/documents/history</x:v>
      </x:c>
      <x:c r="I201" s="35" t="str">
        <x:v>COV-004</x:v>
      </x:c>
      <x:c r="J201" s="35" t="str"/>
      <x:c r="K201" s="35" t="str"/>
      <x:c r="L201" s="35" t="str">
        <x:v>Create, edit, deactivate-safe, filter, sort, page, attach documents, and inspect history.</x:v>
      </x:c>
      <x:c r="M201" s="35" t="str">
        <x:v>The supported workflow completes and persists correctly; if the capability is absent, the exact gap is proven and queued rather than silently skipped.</x:v>
      </x:c>
      <x:c r="N201" s="35" t="str">
        <x:v>Real UI screenshot/state; submitted values; persisted read-back; cross-client read-back; audit/role/access evidence.</x:v>
      </x:c>
      <x:c r="O201" s="35" t="str">
        <x:v>Use one invalid value, stale-state retry, or duplicate submission relevant to the form; no partial or duplicate mutation.</x:v>
      </x:c>
      <x:c r="P201" s="35" t="str">
        <x:v>All expected records and amounts match; no unexplained error or stale state.</x:v>
      </x:c>
    </x:row>
    <x:row r="202">
      <x:c r="A202" s="20" t="str">
        <x:v>RUN-20270208-01</x:v>
      </x:c>
      <x:c r="B202" s="23" t="n">
        <x:v>46426</x:v>
      </x:c>
      <x:c r="C202" s="32" t="n">
        <x:v>1</x:v>
      </x:c>
      <x:c r="D202" s="20" t="str">
        <x:v>Monthly operations</x:v>
      </x:c>
      <x:c r="E202" s="20" t="str">
        <x:v>Property Manager</x:v>
      </x:c>
      <x:c r="F202" s="20" t="str">
        <x:v>Web</x:v>
      </x:c>
      <x:c r="G202" s="20" t="str">
        <x:v>Scanned check</x:v>
      </x:c>
      <x:c r="H202" s="35" t="str">
        <x:v>Post and allocate tenant receipt</x:v>
      </x:c>
      <x:c r="I202" s="35" t="str">
        <x:v>P013; U013; L013</x:v>
      </x:c>
      <x:c r="J202" s="35" t="str">
        <x:v>SCN-0115</x:v>
      </x:c>
      <x:c r="K202" s="35" t="str">
        <x:v>FIN-00109; FIN-00110</x:v>
      </x:c>
      <x:c r="L202" s="35" t="str">
        <x:v>Open Scan for paper payment or the tenant-account receipt form for electronic payment; verify tenant/lease match, amount, date, method, and reference; confirm once; open ledger detail and allocation.</x:v>
      </x:c>
      <x:c r="M202" s="35" t="str">
        <x:v>Receipt is append-only, allocated once to the correct rent charge, and visible consistently in Unit, Lease, Tenant Account, Accounting, and portal views.</x:v>
      </x:c>
      <x:c r="N202" s="35" t="str">
        <x:v>Scan review or form; success result; exact ledger rows; payment detail; accounting delta; portal receipt.</x:v>
      </x:c>
      <x:c r="O202" s="35" t="str">
        <x:v>Retry the idempotency key once during the quarter assigned in the coverage matrix; no duplicate cash or allocation.</x:v>
      </x:c>
      <x:c r="P202" s="35" t="str">
        <x:v>All expected records and amounts match; no unexplained error or stale state.</x:v>
      </x:c>
    </x:row>
    <x:row r="203">
      <x:c r="A203" s="20" t="str">
        <x:v>RUN-20270208-02</x:v>
      </x:c>
      <x:c r="B203" s="23" t="n">
        <x:v>46426</x:v>
      </x:c>
      <x:c r="C203" s="32" t="n">
        <x:v>2</x:v>
      </x:c>
      <x:c r="D203" s="20" t="str">
        <x:v>Monthly operations</x:v>
      </x:c>
      <x:c r="E203" s="20" t="str">
        <x:v>Property Manager</x:v>
      </x:c>
      <x:c r="F203" s="20" t="str">
        <x:v>Mobile</x:v>
      </x:c>
      <x:c r="G203" s="20" t="str">
        <x:v>Scanned money order</x:v>
      </x:c>
      <x:c r="H203" s="35" t="str">
        <x:v>Post and allocate tenant receipt</x:v>
      </x:c>
      <x:c r="I203" s="35" t="str">
        <x:v>P023; U026; L026</x:v>
      </x:c>
      <x:c r="J203" s="35" t="str">
        <x:v>SCN-0123</x:v>
      </x:c>
      <x:c r="K203" s="35" t="str">
        <x:v>FIN-00138; FIN-00139</x:v>
      </x:c>
      <x:c r="L203" s="35" t="str">
        <x:v>Open Scan for paper payment or the tenant-account receipt form for electronic payment; verify tenant/lease match, amount, date, method, and reference; confirm once; open ledger detail and allocation.</x:v>
      </x:c>
      <x:c r="M203" s="35" t="str">
        <x:v>Receipt is append-only, allocated once to the correct rent charge, and visible consistently in Unit, Lease, Tenant Account, Accounting, and portal views.</x:v>
      </x:c>
      <x:c r="N203" s="35" t="str">
        <x:v>Scan review or form; success result; exact ledger rows; payment detail; accounting delta; portal receipt.</x:v>
      </x:c>
      <x:c r="O203" s="35" t="str">
        <x:v>Retry the idempotency key once during the quarter assigned in the coverage matrix; no duplicate cash or allocation.</x:v>
      </x:c>
      <x:c r="P203" s="35" t="str">
        <x:v>All expected records and amounts match; no unexplained error or stale state.</x:v>
      </x:c>
    </x:row>
    <x:row r="204">
      <x:c r="A204" s="20" t="str">
        <x:v>RUN-20270208-03</x:v>
      </x:c>
      <x:c r="B204" s="23" t="n">
        <x:v>46426</x:v>
      </x:c>
      <x:c r="C204" s="32" t="n">
        <x:v>3</x:v>
      </x:c>
      <x:c r="D204" s="20" t="str">
        <x:v>Weekly operations</x:v>
      </x:c>
      <x:c r="E204" s="20" t="str">
        <x:v>Property Manager</x:v>
      </x:c>
      <x:c r="F204" s="20" t="str">
        <x:v>Web</x:v>
      </x:c>
      <x:c r="G204" s="20" t="str">
        <x:v>Scan-first</x:v>
      </x:c>
      <x:c r="H204" s="35" t="str">
        <x:v>Create and triage maintenance request</x:v>
      </x:c>
      <x:c r="I204" s="35" t="str">
        <x:v>P003; U003; WO-2027-006</x:v>
      </x:c>
      <x:c r="J204" s="35" t="str">
        <x:v>SCN-0356</x:v>
      </x:c>
      <x:c r="K204" s="35" t="str"/>
      <x:c r="L204" s="35" t="str">
        <x:v>Capture the tenant note/photo; review turnover touch-up; confirm; set responsibility; dispatch Fresh Start Turnovers; create an appointment and verify the tenant notification.</x:v>
      </x:c>
      <x:c r="M204" s="35" t="str">
        <x:v>Work order, status timeline, responsibility, vendor dispatch, appointment, notification, and Unit context are linked once.</x:v>
      </x:c>
      <x:c r="N204" s="35" t="str">
        <x:v>Scan review; work order detail/timeline; dispatch; appointment; notification; tenant portal view.</x:v>
      </x:c>
      <x:c r="O204" s="35" t="str">
        <x:v>Cancel one dispatch each quarter, reassign once, and prove status/history remains append-only.</x:v>
      </x:c>
      <x:c r="P204" s="35" t="str">
        <x:v>All expected records and amounts match; no unexplained error or stale state.</x:v>
      </x:c>
    </x:row>
    <x:row r="205">
      <x:c r="A205" s="20" t="str">
        <x:v>RUN-20270208-04</x:v>
      </x:c>
      <x:c r="B205" s="23" t="n">
        <x:v>46426</x:v>
      </x:c>
      <x:c r="C205" s="32" t="n">
        <x:v>4</x:v>
      </x:c>
      <x:c r="D205" s="20" t="str">
        <x:v>Role and screen certification</x:v>
      </x:c>
      <x:c r="E205" s="20" t="str">
        <x:v>Tenant</x:v>
      </x:c>
      <x:c r="F205" s="20" t="str">
        <x:v>Web</x:v>
      </x:c>
      <x:c r="G205" s="20" t="str">
        <x:v>Normal persona navigation</x:v>
      </x:c>
      <x:c r="H205" s="35" t="str">
        <x:v>Use every permitted action and state on /portal/unlinked</x:v>
      </x:c>
      <x:c r="I205" s="35" t="str">
        <x:v>SCR-013; ROLE-014</x:v>
      </x:c>
      <x:c r="J205" s="35" t="str"/>
      <x:c r="K205" s="35" t="str"/>
      <x:c r="L20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05" s="35" t="str">
        <x:v>The persona can use every allowed action with only its assigned properties/relationships. Hidden or disabled actions explain why; an adjacent unauthorized persona is denied without metadata leakage.</x:v>
      </x:c>
      <x:c r="N205" s="35" t="str">
        <x:v>Persona/experience; navigation entry; desktop or device screenshots; result state; persisted read-back; audit/history; authorized and denied network result.</x:v>
      </x:c>
      <x:c r="O205" s="35" t="str">
        <x:v>Open the direct URL or deep link with an adjacent unauthorized persona and with stale scope; both fail closed and land safely without mutation.</x:v>
      </x:c>
      <x:c r="P205" s="35" t="str">
        <x:v>All expected records and amounts match; no unexplained error or stale state.</x:v>
      </x:c>
    </x:row>
    <x:row r="206">
      <x:c r="A206" s="20" t="str">
        <x:v>RUN-20270208-05</x:v>
      </x:c>
      <x:c r="B206" s="23" t="n">
        <x:v>46426</x:v>
      </x:c>
      <x:c r="C206" s="32" t="n">
        <x:v>5</x:v>
      </x:c>
      <x:c r="D206" s="20" t="str">
        <x:v>Field certification</x:v>
      </x:c>
      <x:c r="E206" s="20" t="str">
        <x:v>Leasing Agent</x:v>
      </x:c>
      <x:c r="F206" s="20" t="str">
        <x:v>Web</x:v>
      </x:c>
      <x:c r="G206" s="20" t="str">
        <x:v>Manual field-by-field</x:v>
      </x:c>
      <x:c r="H206" s="35" t="str">
        <x:v>Fill, save, reload, edit, and validate every declared field on web/src/lib/components/leases/AddendumDraftDialog.svelte</x:v>
      </x:c>
      <x:c r="I206" s="35" t="str">
        <x:v>FLD-0057; FLD-0058; FLD-0059; FLD-0060</x:v>
      </x:c>
      <x:c r="J206" s="35" t="str"/>
      <x:c r="K206" s="35" t="str"/>
      <x:c r="L206" s="35" t="str">
        <x:v>Use the source-derived Field Inventory. Enter non-default realistic values in every control (addendum-draft-effective-from; form.effectiveThroughOn; signer.signingOrder; signer.nameSnapshot); submit; reload or relaunch; compare every value; edit each mutable field; verify the paired client; then run required, format, length, range, boundary, optional-null, and stale-submit checks.</x:v>
      </x:c>
      <x:c r="M206" s="35" t="str">
        <x:v>All 4 inventoried controls persist exact normalized values, invalid values stay unsaved with clear errors, and hidden/unauthorized fields cannot be altered.</x:v>
      </x:c>
      <x:c r="N206" s="35" t="str">
        <x:v>Before/after form screenshots; FLD IDs; API response; reloaded UI; paired-client read-back; database/audit evidence; negative validation result.</x:v>
      </x:c>
      <x:c r="O206" s="35" t="str">
        <x:v>Use a duplicate submit and one simulated network interruption; one atomic mutation or none, never partial state.</x:v>
      </x:c>
      <x:c r="P206" s="35" t="str">
        <x:v>All expected records and amounts match; no unexplained error or stale state.</x:v>
      </x:c>
    </x:row>
    <x:row r="207">
      <x:c r="A207" s="20" t="str">
        <x:v>RUN-20270209-01</x:v>
      </x:c>
      <x:c r="B207" s="23" t="n">
        <x:v>46427</x:v>
      </x:c>
      <x:c r="C207" s="32" t="n">
        <x:v>1</x:v>
      </x:c>
      <x:c r="D207" s="20" t="str">
        <x:v>Weekly operations</x:v>
      </x:c>
      <x:c r="E207" s="20" t="str">
        <x:v>Property Manager</x:v>
      </x:c>
      <x:c r="F207" s="20" t="str">
        <x:v>Web</x:v>
      </x:c>
      <x:c r="G207" s="20" t="str">
        <x:v>Scanned receipt/invoice</x:v>
      </x:c>
      <x:c r="H207" s="35" t="str">
        <x:v>Record, review, allocate, and pay operating expense</x:v>
      </x:c>
      <x:c r="I207" s="35" t="str">
        <x:v>P003; U003; WO-2027-006</x:v>
      </x:c>
      <x:c r="J207" s="35" t="str">
        <x:v>SCN-0357</x:v>
      </x:c>
      <x:c r="K207" s="35" t="str">
        <x:v>FIN-01029</x:v>
      </x:c>
      <x:c r="L207" s="35" t="str">
        <x:v>Capture or upload the source; verify vendor, date, scope, category, line items, tax, amount, and work-order link; confirm; open detail; verify attachment; compare Money and Property/Unit views.</x:v>
      </x:c>
      <x:c r="M207" s="35" t="str">
        <x:v>One expense exists at its real operational scope, cash falls once, Schedule E category and allocations agree, and no per-unit copies are created.</x:v>
      </x:c>
      <x:c r="N207" s="35" t="str">
        <x:v>Source preview; review/form; expense detail; line items; Property/Unit ledger; audit; accounting/report delta.</x:v>
      </x:c>
      <x:c r="O207" s="35" t="str">
        <x:v>On marked duplicate-invoice cases, re-upload before confirm and prove the product prevents or clearly warns about duplication.</x:v>
      </x:c>
      <x:c r="P207" s="35" t="str">
        <x:v>All expected records and amounts match; no unexplained error or stale state.</x:v>
      </x:c>
    </x:row>
    <x:row r="208">
      <x:c r="A208" s="20" t="str">
        <x:v>RUN-20270209-02</x:v>
      </x:c>
      <x:c r="B208" s="23" t="n">
        <x:v>46427</x:v>
      </x:c>
      <x:c r="C208" s="32" t="n">
        <x:v>2</x:v>
      </x:c>
      <x:c r="D208" s="20" t="str">
        <x:v>Role and screen certification</x:v>
      </x:c>
      <x:c r="E208" s="20" t="str">
        <x:v>Workspace Administrator</x:v>
      </x:c>
      <x:c r="F208" s="20" t="str">
        <x:v>Web</x:v>
      </x:c>
      <x:c r="G208" s="20" t="str">
        <x:v>Normal persona navigation</x:v>
      </x:c>
      <x:c r="H208" s="35" t="str">
        <x:v>Use every permitted action and state on /</x:v>
      </x:c>
      <x:c r="I208" s="35" t="str">
        <x:v>SCR-014; ROLE-015</x:v>
      </x:c>
      <x:c r="J208" s="35" t="str"/>
      <x:c r="K208" s="35" t="str"/>
      <x:c r="L2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08" s="35" t="str">
        <x:v>The persona can use every allowed action with only its assigned properties/relationships. Hidden or disabled actions explain why; an adjacent unauthorized persona is denied without metadata leakage.</x:v>
      </x:c>
      <x:c r="N208" s="35" t="str">
        <x:v>Persona/experience; navigation entry; desktop or device screenshots; result state; persisted read-back; audit/history; authorized and denied network result.</x:v>
      </x:c>
      <x:c r="O208" s="35" t="str">
        <x:v>Open the direct URL or deep link with an adjacent unauthorized persona and with stale scope; both fail closed and land safely without mutation.</x:v>
      </x:c>
      <x:c r="P208" s="35" t="str">
        <x:v>All expected records and amounts match; no unexplained error or stale state.</x:v>
      </x:c>
    </x:row>
    <x:row r="209">
      <x:c r="A209" s="20" t="str">
        <x:v>RUN-20270209-03</x:v>
      </x:c>
      <x:c r="B209" s="23" t="n">
        <x:v>46427</x:v>
      </x:c>
      <x:c r="C209" s="32" t="n">
        <x:v>3</x:v>
      </x:c>
      <x:c r="D209" s="20" t="str">
        <x:v>Role and screen certification</x:v>
      </x:c>
      <x:c r="E209" s="20" t="str">
        <x:v>Property Manager</x:v>
      </x:c>
      <x:c r="F209" s="20" t="str">
        <x:v>Web</x:v>
      </x:c>
      <x:c r="G209" s="20" t="str">
        <x:v>Normal persona navigation</x:v>
      </x:c>
      <x:c r="H209" s="35" t="str">
        <x:v>Use every permitted action and state on /</x:v>
      </x:c>
      <x:c r="I209" s="35" t="str">
        <x:v>SCR-014; ROLE-016</x:v>
      </x:c>
      <x:c r="J209" s="35" t="str"/>
      <x:c r="K209" s="35" t="str"/>
      <x:c r="L20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09" s="35" t="str">
        <x:v>The persona can use every allowed action with only its assigned properties/relationships. Hidden or disabled actions explain why; an adjacent unauthorized persona is denied without metadata leakage.</x:v>
      </x:c>
      <x:c r="N209" s="35" t="str">
        <x:v>Persona/experience; navigation entry; desktop or device screenshots; result state; persisted read-back; audit/history; authorized and denied network result.</x:v>
      </x:c>
      <x:c r="O209" s="35" t="str">
        <x:v>Open the direct URL or deep link with an adjacent unauthorized persona and with stale scope; both fail closed and land safely without mutation.</x:v>
      </x:c>
      <x:c r="P209" s="35" t="str">
        <x:v>All expected records and amounts match; no unexplained error or stale state.</x:v>
      </x:c>
    </x:row>
    <x:row r="210">
      <x:c r="A210" s="20" t="str">
        <x:v>RUN-20270209-04</x:v>
      </x:c>
      <x:c r="B210" s="23" t="n">
        <x:v>46427</x:v>
      </x:c>
      <x:c r="C210" s="32" t="n">
        <x:v>4</x:v>
      </x:c>
      <x:c r="D210" s="20" t="str">
        <x:v>Field certification</x:v>
      </x:c>
      <x:c r="E210" s="20" t="str">
        <x:v>Leasing Agent</x:v>
      </x:c>
      <x:c r="F210" s="20" t="str">
        <x:v>Web</x:v>
      </x:c>
      <x:c r="G210" s="20" t="str">
        <x:v>Manual field-by-field</x:v>
      </x:c>
      <x:c r="H210" s="35" t="str">
        <x:v>Fill, save, reload, edit, and validate every declared field on web/src/lib/components/leases/AddendumDraftDialog.svelte</x:v>
      </x:c>
      <x:c r="I210" s="35" t="str">
        <x:v>FLD-0061; FLD-0062; FLD-0063; FLD-0064; FLD-0065</x:v>
      </x:c>
      <x:c r="J210" s="35" t="str"/>
      <x:c r="K210" s="35" t="str"/>
      <x:c r="L210" s="35" t="str">
        <x:v>Use the source-derived Field Inventory. Enter non-default realistic values in every control (signer.emailSnapshot; signer.signerRole; effect.effectType; effect.amount; effect.currency); submit; reload or relaunch; compare every value; edit each mutable field; verify the paired client; then run required, format, length, range, boundary, optional-null, and stale-submit checks.</x:v>
      </x:c>
      <x:c r="M210" s="35" t="str">
        <x:v>All 5 inventoried controls persist exact normalized values, invalid values stay unsaved with clear errors, and hidden/unauthorized fields cannot be altered.</x:v>
      </x:c>
      <x:c r="N210" s="35" t="str">
        <x:v>Before/after form screenshots; FLD IDs; API response; reloaded UI; paired-client read-back; database/audit evidence; negative validation result.</x:v>
      </x:c>
      <x:c r="O210" s="35" t="str">
        <x:v>Use a duplicate submit and one simulated network interruption; one atomic mutation or none, never partial state.</x:v>
      </x:c>
      <x:c r="P210" s="35" t="str">
        <x:v>All expected records and amounts match; no unexplained error or stale state.</x:v>
      </x:c>
    </x:row>
    <x:row r="211">
      <x:c r="A211" s="20" t="str">
        <x:v>RUN-20270209-05</x:v>
      </x:c>
      <x:c r="B211" s="23" t="n">
        <x:v>46427</x:v>
      </x:c>
      <x:c r="C211" s="32" t="n">
        <x:v>5</x:v>
      </x:c>
      <x:c r="D211" s="20" t="str">
        <x:v>Surface coverage</x:v>
      </x:c>
      <x:c r="E211" s="20" t="str">
        <x:v>Role appropriate to surface</x:v>
      </x:c>
      <x:c r="F211" s="20" t="str">
        <x:v>Mobile</x:v>
      </x:c>
      <x:c r="G211" s="20" t="str">
        <x:v>Scan/attachment</x:v>
      </x:c>
      <x:c r="H211" s="35" t="str">
        <x:v>Scan mobile pass: Property create/edit/detail/documents/history</x:v>
      </x:c>
      <x:c r="I211" s="35" t="str">
        <x:v>COV-004</x:v>
      </x:c>
      <x:c r="J211" s="35" t="str"/>
      <x:c r="K211" s="35" t="str"/>
      <x:c r="L211" s="35" t="str">
        <x:v>Create, edit, deactivate-safe, filter, sort, page, attach documents, and inspect history.</x:v>
      </x:c>
      <x:c r="M211" s="35" t="str">
        <x:v>The supported workflow completes and persists correctly; if the capability is absent, the exact gap is proven and queued rather than silently skipped.</x:v>
      </x:c>
      <x:c r="N211" s="35" t="str">
        <x:v>Real UI screenshot/state; submitted values; persisted read-back; cross-client read-back; audit/role/access evidence.</x:v>
      </x:c>
      <x:c r="O211" s="35" t="str">
        <x:v>Use one invalid value, stale-state retry, or duplicate submission relevant to the form; no partial or duplicate mutation.</x:v>
      </x:c>
      <x:c r="P211" s="35" t="str">
        <x:v>All expected records and amounts match; no unexplained error or stale state.</x:v>
      </x:c>
    </x:row>
    <x:row r="212">
      <x:c r="A212" s="20" t="str">
        <x:v>RUN-20270210-01</x:v>
      </x:c>
      <x:c r="B212" s="23" t="n">
        <x:v>46428</x:v>
      </x:c>
      <x:c r="C212" s="32" t="n">
        <x:v>1</x:v>
      </x:c>
      <x:c r="D212" s="20" t="str">
        <x:v>Field certification</x:v>
      </x:c>
      <x:c r="E212" s="20" t="str">
        <x:v>Leasing Agent</x:v>
      </x:c>
      <x:c r="F212" s="20" t="str">
        <x:v>Web</x:v>
      </x:c>
      <x:c r="G212" s="20" t="str">
        <x:v>Manual field-by-field</x:v>
      </x:c>
      <x:c r="H212" s="35" t="str">
        <x:v>Fill, save, reload, edit, and validate every declared field on web/src/lib/components/leases/AddendumDraftDialog.svelte</x:v>
      </x:c>
      <x:c r="I212" s="35" t="str">
        <x:v>FLD-0066; FLD-0067; FLD-0068; FLD-0069</x:v>
      </x:c>
      <x:c r="J212" s="35" t="str"/>
      <x:c r="K212" s="35" t="str"/>
      <x:c r="L212" s="35" t="str">
        <x:v>Use the source-derived Field Inventory. Enter non-default realistic values in every control (effect.chargeCode; effect.dueOn; effect.effectiveFromOn; effect.effectiveThroughOn); submit; reload or relaunch; compare every value; edit each mutable field; verify the paired client; then run required, format, length, range, boundary, optional-null, and stale-submit checks.</x:v>
      </x:c>
      <x:c r="M212" s="35" t="str">
        <x:v>All 4 inventoried controls persist exact normalized values, invalid values stay unsaved with clear errors, and hidden/unauthorized fields cannot be altered.</x:v>
      </x:c>
      <x:c r="N212" s="35" t="str">
        <x:v>Before/after form screenshots; FLD IDs; API response; reloaded UI; paired-client read-back; database/audit evidence; negative validation result.</x:v>
      </x:c>
      <x:c r="O212" s="35" t="str">
        <x:v>Use a duplicate submit and one simulated network interruption; one atomic mutation or none, never partial state.</x:v>
      </x:c>
      <x:c r="P212" s="35" t="str">
        <x:v>All expected records and amounts match; no unexplained error or stale state.</x:v>
      </x:c>
    </x:row>
    <x:row r="213">
      <x:c r="A213" s="20" t="str">
        <x:v>RUN-20270210-02</x:v>
      </x:c>
      <x:c r="B213" s="23" t="n">
        <x:v>46428</x:v>
      </x:c>
      <x:c r="C213" s="32" t="n">
        <x:v>2</x:v>
      </x:c>
      <x:c r="D213" s="20" t="str">
        <x:v>Surface coverage</x:v>
      </x:c>
      <x:c r="E213" s="20" t="str">
        <x:v>Role appropriate to surface</x:v>
      </x:c>
      <x:c r="F213" s="20" t="str">
        <x:v>Web</x:v>
      </x:c>
      <x:c r="G213" s="20" t="str">
        <x:v>Manual</x:v>
      </x:c>
      <x:c r="H213" s="35" t="str">
        <x:v>Manual web pass: Unit create/edit/Command Center</x:v>
      </x:c>
      <x:c r="I213" s="35" t="str">
        <x:v>COV-005</x:v>
      </x:c>
      <x:c r="J213" s="35" t="str"/>
      <x:c r="K213" s="35" t="str"/>
      <x:c r="L213" s="35" t="str">
        <x:v>Create/edit unit, traverse Summary/Listing/Tenant &amp; lease/Money/Maintenance/Documents &amp; history, and restore navigation.</x:v>
      </x:c>
      <x:c r="M213" s="35" t="str">
        <x:v>The supported workflow completes and persists correctly; if the capability is absent, the exact gap is proven and queued rather than silently skipped.</x:v>
      </x:c>
      <x:c r="N213" s="35" t="str">
        <x:v>Real UI screenshot/state; submitted values; persisted read-back; cross-client read-back; audit/role/access evidence.</x:v>
      </x:c>
      <x:c r="O213" s="35" t="str">
        <x:v>Use one invalid value, stale-state retry, or duplicate submission relevant to the form; no partial or duplicate mutation.</x:v>
      </x:c>
      <x:c r="P213" s="35" t="str">
        <x:v>All expected records and amounts match; no unexplained error or stale state.</x:v>
      </x:c>
    </x:row>
    <x:row r="214">
      <x:c r="A214" s="20" t="str">
        <x:v>RUN-20270211-01</x:v>
      </x:c>
      <x:c r="B214" s="23" t="n">
        <x:v>46429</x:v>
      </x:c>
      <x:c r="C214" s="32" t="n">
        <x:v>1</x:v>
      </x:c>
      <x:c r="D214" s="20" t="str">
        <x:v>Role and screen certification</x:v>
      </x:c>
      <x:c r="E214" s="20" t="str">
        <x:v>Workspace Administrator</x:v>
      </x:c>
      <x:c r="F214" s="20" t="str">
        <x:v>Web</x:v>
      </x:c>
      <x:c r="G214" s="20" t="str">
        <x:v>Normal persona navigation</x:v>
      </x:c>
      <x:c r="H214" s="35" t="str">
        <x:v>Use every permitted action and state on /accounting</x:v>
      </x:c>
      <x:c r="I214" s="35" t="str">
        <x:v>SCR-015; ROLE-017</x:v>
      </x:c>
      <x:c r="J214" s="35" t="str"/>
      <x:c r="K214" s="35" t="str"/>
      <x:c r="L21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14" s="35" t="str">
        <x:v>The persona can use every allowed action with only its assigned properties/relationships. Hidden or disabled actions explain why; an adjacent unauthorized persona is denied without metadata leakage.</x:v>
      </x:c>
      <x:c r="N214" s="35" t="str">
        <x:v>Persona/experience; navigation entry; desktop or device screenshots; result state; persisted read-back; audit/history; authorized and denied network result.</x:v>
      </x:c>
      <x:c r="O214" s="35" t="str">
        <x:v>Open the direct URL or deep link with an adjacent unauthorized persona and with stale scope; both fail closed and land safely without mutation.</x:v>
      </x:c>
      <x:c r="P214" s="35" t="str">
        <x:v>All expected records and amounts match; no unexplained error or stale state.</x:v>
      </x:c>
    </x:row>
    <x:row r="215">
      <x:c r="A215" s="20" t="str">
        <x:v>RUN-20270211-02</x:v>
      </x:c>
      <x:c r="B215" s="23" t="n">
        <x:v>46429</x:v>
      </x:c>
      <x:c r="C215" s="32" t="n">
        <x:v>2</x:v>
      </x:c>
      <x:c r="D215" s="20" t="str">
        <x:v>Role and screen certification</x:v>
      </x:c>
      <x:c r="E215" s="20" t="str">
        <x:v>Property Manager</x:v>
      </x:c>
      <x:c r="F215" s="20" t="str">
        <x:v>Web</x:v>
      </x:c>
      <x:c r="G215" s="20" t="str">
        <x:v>Normal persona navigation</x:v>
      </x:c>
      <x:c r="H215" s="35" t="str">
        <x:v>Use every permitted action and state on /accounting</x:v>
      </x:c>
      <x:c r="I215" s="35" t="str">
        <x:v>SCR-015; ROLE-018</x:v>
      </x:c>
      <x:c r="J215" s="35" t="str"/>
      <x:c r="K215" s="35" t="str"/>
      <x:c r="L21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15" s="35" t="str">
        <x:v>The persona can use every allowed action with only its assigned properties/relationships. Hidden or disabled actions explain why; an adjacent unauthorized persona is denied without metadata leakage.</x:v>
      </x:c>
      <x:c r="N215" s="35" t="str">
        <x:v>Persona/experience; navigation entry; desktop or device screenshots; result state; persisted read-back; audit/history; authorized and denied network result.</x:v>
      </x:c>
      <x:c r="O215" s="35" t="str">
        <x:v>Open the direct URL or deep link with an adjacent unauthorized persona and with stale scope; both fail closed and land safely without mutation.</x:v>
      </x:c>
      <x:c r="P215" s="35" t="str">
        <x:v>All expected records and amounts match; no unexplained error or stale state.</x:v>
      </x:c>
    </x:row>
    <x:row r="216">
      <x:c r="A216" s="20" t="str">
        <x:v>RUN-20270211-03</x:v>
      </x:c>
      <x:c r="B216" s="23" t="n">
        <x:v>46429</x:v>
      </x:c>
      <x:c r="C216" s="32" t="n">
        <x:v>3</x:v>
      </x:c>
      <x:c r="D216" s="20" t="str">
        <x:v>Field certification</x:v>
      </x:c>
      <x:c r="E216" s="20" t="str">
        <x:v>Leasing Agent</x:v>
      </x:c>
      <x:c r="F216" s="20" t="str">
        <x:v>Web</x:v>
      </x:c>
      <x:c r="G216" s="20" t="str">
        <x:v>Manual field-by-field</x:v>
      </x:c>
      <x:c r="H216" s="35" t="str">
        <x:v>Fill, save, reload, edit, and validate every declared field on web/src/lib/components/leases/AddendumDraftDialog.svelte</x:v>
      </x:c>
      <x:c r="I216" s="35" t="str">
        <x:v>FLD-0070; FLD-0071</x:v>
      </x:c>
      <x:c r="J216" s="35" t="str"/>
      <x:c r="K216" s="35" t="str"/>
      <x:c r="L216" s="35" t="str">
        <x:v>Use the source-derived Field Inventory. Enter non-default realistic values in every control (effect.description; issueSubject); submit; reload or relaunch; compare every value; edit each mutable field; verify the paired client; then run required, format, length, range, boundary, optional-null, and stale-submit checks.</x:v>
      </x:c>
      <x:c r="M216" s="35" t="str">
        <x:v>All 2 inventoried controls persist exact normalized values, invalid values stay unsaved with clear errors, and hidden/unauthorized fields cannot be altered.</x:v>
      </x:c>
      <x:c r="N216" s="35" t="str">
        <x:v>Before/after form screenshots; FLD IDs; API response; reloaded UI; paired-client read-back; database/audit evidence; negative validation result.</x:v>
      </x:c>
      <x:c r="O216" s="35" t="str">
        <x:v>Use a duplicate submit and one simulated network interruption; one atomic mutation or none, never partial state.</x:v>
      </x:c>
      <x:c r="P216" s="35" t="str">
        <x:v>All expected records and amounts match; no unexplained error or stale state.</x:v>
      </x:c>
    </x:row>
    <x:row r="217">
      <x:c r="A217" s="20" t="str">
        <x:v>RUN-20270211-04</x:v>
      </x:c>
      <x:c r="B217" s="23" t="n">
        <x:v>46429</x:v>
      </x:c>
      <x:c r="C217" s="32" t="n">
        <x:v>4</x:v>
      </x:c>
      <x:c r="D217" s="20" t="str">
        <x:v>Field certification</x:v>
      </x:c>
      <x:c r="E217" s="20" t="str">
        <x:v>Leasing Agent</x:v>
      </x:c>
      <x:c r="F217" s="20" t="str">
        <x:v>Web</x:v>
      </x:c>
      <x:c r="G217" s="20" t="str">
        <x:v>Manual field-by-field</x:v>
      </x:c>
      <x:c r="H217" s="35" t="str">
        <x:v>Fill, save, reload, edit, and validate every declared field on web/src/lib/components/leases/AgreementDraftDialog.svelte</x:v>
      </x:c>
      <x:c r="I217" s="35" t="str">
        <x:v>FLD-0072; FLD-0073; FLD-0074</x:v>
      </x:c>
      <x:c r="J217" s="35" t="str"/>
      <x:c r="K217" s="35" t="str"/>
      <x:c r="L217" s="35" t="str">
        <x:v>Use the source-derived Field Inventory. Enter non-default realistic values in every control (agreement-draft-template; agreement-draft-number; agreement-draft-term-type); submit; reload or relaunch; compare every value; edit each mutable field; verify the paired client; then run required, format, length, range, boundary, optional-null, and stale-submit checks.</x:v>
      </x:c>
      <x:c r="M217" s="35" t="str">
        <x:v>All 3 inventoried controls persist exact normalized values, invalid values stay unsaved with clear errors, and hidden/unauthorized fields cannot be altered.</x:v>
      </x:c>
      <x:c r="N217" s="35" t="str">
        <x:v>Before/after form screenshots; FLD IDs; API response; reloaded UI; paired-client read-back; database/audit evidence; negative validation result.</x:v>
      </x:c>
      <x:c r="O217" s="35" t="str">
        <x:v>Use a duplicate submit and one simulated network interruption; one atomic mutation or none, never partial state.</x:v>
      </x:c>
      <x:c r="P217" s="35" t="str">
        <x:v>All expected records and amounts match; no unexplained error or stale state.</x:v>
      </x:c>
    </x:row>
    <x:row r="218">
      <x:c r="A218" s="20" t="str">
        <x:v>RUN-20270212-01</x:v>
      </x:c>
      <x:c r="B218" s="23" t="n">
        <x:v>46430</x:v>
      </x:c>
      <x:c r="C218" s="32" t="n">
        <x:v>1</x:v>
      </x:c>
      <x:c r="D218" s="20" t="str">
        <x:v>Monthly operations</x:v>
      </x:c>
      <x:c r="E218" s="20" t="str">
        <x:v>Property Manager</x:v>
      </x:c>
      <x:c r="F218" s="20" t="str">
        <x:v>Mobile</x:v>
      </x:c>
      <x:c r="G218" s="20" t="str">
        <x:v>Scanned money order</x:v>
      </x:c>
      <x:c r="H218" s="35" t="str">
        <x:v>Post and allocate tenant receipt</x:v>
      </x:c>
      <x:c r="I218" s="35" t="str">
        <x:v>P011; U011; L011</x:v>
      </x:c>
      <x:c r="J218" s="35" t="str">
        <x:v>SCN-0113</x:v>
      </x:c>
      <x:c r="K218" s="35" t="str">
        <x:v>FIN-00104; FIN-00105</x:v>
      </x:c>
      <x:c r="L218" s="35" t="str">
        <x:v>Open Scan for paper payment or the tenant-account receipt form for electronic payment; verify tenant/lease match, amount, date, method, and reference; confirm once; open ledger detail and allocation.</x:v>
      </x:c>
      <x:c r="M218" s="35" t="str">
        <x:v>Receipt is append-only, allocated once to the correct rent charge, and visible consistently in Unit, Lease, Tenant Account, Accounting, and portal views.</x:v>
      </x:c>
      <x:c r="N218" s="35" t="str">
        <x:v>Scan review or form; success result; exact ledger rows; payment detail; accounting delta; portal receipt.</x:v>
      </x:c>
      <x:c r="O218" s="35" t="str">
        <x:v>Retry the idempotency key once during the quarter assigned in the coverage matrix; no duplicate cash or allocation.</x:v>
      </x:c>
      <x:c r="P218" s="35" t="str">
        <x:v>All expected records and amounts match; no unexplained error or stale state.</x:v>
      </x:c>
    </x:row>
    <x:row r="219">
      <x:c r="A219" s="20" t="str">
        <x:v>RUN-20270212-02</x:v>
      </x:c>
      <x:c r="B219" s="23" t="n">
        <x:v>46430</x:v>
      </x:c>
      <x:c r="C219" s="32" t="n">
        <x:v>2</x:v>
      </x:c>
      <x:c r="D219" s="20" t="str">
        <x:v>Monthly operations</x:v>
      </x:c>
      <x:c r="E219" s="20" t="str">
        <x:v>Property Manager</x:v>
      </x:c>
      <x:c r="F219" s="20" t="str">
        <x:v>Web</x:v>
      </x:c>
      <x:c r="G219" s="20" t="str">
        <x:v>Scanned check</x:v>
      </x:c>
      <x:c r="H219" s="35" t="str">
        <x:v>Post and allocate tenant receipt</x:v>
      </x:c>
      <x:c r="I219" s="35" t="str">
        <x:v>P021; U022; L022</x:v>
      </x:c>
      <x:c r="J219" s="35" t="str">
        <x:v>SCN-0120</x:v>
      </x:c>
      <x:c r="K219" s="35" t="str">
        <x:v>FIN-00129; FIN-00130</x:v>
      </x:c>
      <x:c r="L219" s="35" t="str">
        <x:v>Open Scan for paper payment or the tenant-account receipt form for electronic payment; verify tenant/lease match, amount, date, method, and reference; confirm once; open ledger detail and allocation.</x:v>
      </x:c>
      <x:c r="M219" s="35" t="str">
        <x:v>Receipt is append-only, allocated once to the correct rent charge, and visible consistently in Unit, Lease, Tenant Account, Accounting, and portal views.</x:v>
      </x:c>
      <x:c r="N219" s="35" t="str">
        <x:v>Scan review or form; success result; exact ledger rows; payment detail; accounting delta; portal receipt.</x:v>
      </x:c>
      <x:c r="O219" s="35" t="str">
        <x:v>Retry the idempotency key once during the quarter assigned in the coverage matrix; no duplicate cash or allocation.</x:v>
      </x:c>
      <x:c r="P219" s="35" t="str">
        <x:v>All expected records and amounts match; no unexplained error or stale state.</x:v>
      </x:c>
    </x:row>
    <x:row r="220">
      <x:c r="A220" s="20" t="str">
        <x:v>RUN-20270212-03</x:v>
      </x:c>
      <x:c r="B220" s="23" t="n">
        <x:v>46430</x:v>
      </x:c>
      <x:c r="C220" s="32" t="n">
        <x:v>3</x:v>
      </x:c>
      <x:c r="D220" s="20" t="str">
        <x:v>Monthly operations</x:v>
      </x:c>
      <x:c r="E220" s="20" t="str">
        <x:v>Property Manager</x:v>
      </x:c>
      <x:c r="F220" s="20" t="str">
        <x:v>Mobile</x:v>
      </x:c>
      <x:c r="G220" s="20" t="str">
        <x:v>Portal card</x:v>
      </x:c>
      <x:c r="H220" s="35" t="str">
        <x:v>Post and allocate tenant receipt</x:v>
      </x:c>
      <x:c r="I220" s="35" t="str">
        <x:v>P027; U033; L033</x:v>
      </x:c>
      <x:c r="J220" s="35" t="str"/>
      <x:c r="K220" s="35" t="str">
        <x:v>FIN-00154; FIN-00155</x:v>
      </x:c>
      <x:c r="L220" s="35" t="str">
        <x:v>Open Scan for paper payment or the tenant-account receipt form for electronic payment; verify tenant/lease match, amount, date, method, and reference; confirm once; open ledger detail and allocation.</x:v>
      </x:c>
      <x:c r="M220" s="35" t="str">
        <x:v>Receipt is append-only, allocated once to the correct rent charge, and visible consistently in Unit, Lease, Tenant Account, Accounting, and portal views.</x:v>
      </x:c>
      <x:c r="N220" s="35" t="str">
        <x:v>Scan review or form; success result; exact ledger rows; payment detail; accounting delta; portal receipt.</x:v>
      </x:c>
      <x:c r="O220" s="35" t="str">
        <x:v>Retry the idempotency key once during the quarter assigned in the coverage matrix; no duplicate cash or allocation.</x:v>
      </x:c>
      <x:c r="P220" s="35" t="str">
        <x:v>All expected records and amounts match; no unexplained error or stale state.</x:v>
      </x:c>
    </x:row>
    <x:row r="221">
      <x:c r="A221" s="20" t="str">
        <x:v>RUN-20270212-04</x:v>
      </x:c>
      <x:c r="B221" s="23" t="n">
        <x:v>46430</x:v>
      </x:c>
      <x:c r="C221" s="32" t="n">
        <x:v>4</x:v>
      </x:c>
      <x:c r="D221" s="20" t="str">
        <x:v>Role and screen certification</x:v>
      </x:c>
      <x:c r="E221" s="20" t="str">
        <x:v>Workspace Administrator</x:v>
      </x:c>
      <x:c r="F221" s="20" t="str">
        <x:v>Web</x:v>
      </x:c>
      <x:c r="G221" s="20" t="str">
        <x:v>Normal persona navigation</x:v>
      </x:c>
      <x:c r="H221" s="35" t="str">
        <x:v>Use every permitted action and state on /accounting/expenses/[id]</x:v>
      </x:c>
      <x:c r="I221" s="35" t="str">
        <x:v>SCR-016; ROLE-019</x:v>
      </x:c>
      <x:c r="J221" s="35" t="str"/>
      <x:c r="K221" s="35" t="str"/>
      <x:c r="L22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21" s="35" t="str">
        <x:v>The persona can use every allowed action with only its assigned properties/relationships. Hidden or disabled actions explain why; an adjacent unauthorized persona is denied without metadata leakage.</x:v>
      </x:c>
      <x:c r="N221" s="35" t="str">
        <x:v>Persona/experience; navigation entry; desktop or device screenshots; result state; persisted read-back; audit/history; authorized and denied network result.</x:v>
      </x:c>
      <x:c r="O221" s="35" t="str">
        <x:v>Open the direct URL or deep link with an adjacent unauthorized persona and with stale scope; both fail closed and land safely without mutation.</x:v>
      </x:c>
      <x:c r="P221" s="35" t="str">
        <x:v>All expected records and amounts match; no unexplained error or stale state.</x:v>
      </x:c>
    </x:row>
    <x:row r="222">
      <x:c r="A222" s="20" t="str">
        <x:v>RUN-20270212-05</x:v>
      </x:c>
      <x:c r="B222" s="23" t="n">
        <x:v>46430</x:v>
      </x:c>
      <x:c r="C222" s="32" t="n">
        <x:v>5</x:v>
      </x:c>
      <x:c r="D222" s="20" t="str">
        <x:v>Role and screen certification</x:v>
      </x:c>
      <x:c r="E222" s="20" t="str">
        <x:v>Property Manager</x:v>
      </x:c>
      <x:c r="F222" s="20" t="str">
        <x:v>Web</x:v>
      </x:c>
      <x:c r="G222" s="20" t="str">
        <x:v>Normal persona navigation</x:v>
      </x:c>
      <x:c r="H222" s="35" t="str">
        <x:v>Use every permitted action and state on /accounting/expenses/[id]</x:v>
      </x:c>
      <x:c r="I222" s="35" t="str">
        <x:v>SCR-016; ROLE-020</x:v>
      </x:c>
      <x:c r="J222" s="35" t="str"/>
      <x:c r="K222" s="35" t="str"/>
      <x:c r="L22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22" s="35" t="str">
        <x:v>The persona can use every allowed action with only its assigned properties/relationships. Hidden or disabled actions explain why; an adjacent unauthorized persona is denied without metadata leakage.</x:v>
      </x:c>
      <x:c r="N222" s="35" t="str">
        <x:v>Persona/experience; navigation entry; desktop or device screenshots; result state; persisted read-back; audit/history; authorized and denied network result.</x:v>
      </x:c>
      <x:c r="O222" s="35" t="str">
        <x:v>Open the direct URL or deep link with an adjacent unauthorized persona and with stale scope; both fail closed and land safely without mutation.</x:v>
      </x:c>
      <x:c r="P222" s="35" t="str">
        <x:v>All expected records and amounts match; no unexplained error or stale state.</x:v>
      </x:c>
    </x:row>
    <x:row r="223">
      <x:c r="A223" s="20" t="str">
        <x:v>RUN-20270212-06</x:v>
      </x:c>
      <x:c r="B223" s="23" t="n">
        <x:v>46430</x:v>
      </x:c>
      <x:c r="C223" s="32" t="n">
        <x:v>6</x:v>
      </x:c>
      <x:c r="D223" s="20" t="str">
        <x:v>Field certification</x:v>
      </x:c>
      <x:c r="E223" s="20" t="str">
        <x:v>Leasing Agent</x:v>
      </x:c>
      <x:c r="F223" s="20" t="str">
        <x:v>Web</x:v>
      </x:c>
      <x:c r="G223" s="20" t="str">
        <x:v>Manual field-by-field</x:v>
      </x:c>
      <x:c r="H223" s="35" t="str">
        <x:v>Fill, save, reload, edit, and validate every declared field on web/src/lib/components/leases/AgreementDraftDialog.svelte</x:v>
      </x:c>
      <x:c r="I223" s="35" t="str">
        <x:v>FLD-0075; FLD-0076; FLD-0077; FLD-0078</x:v>
      </x:c>
      <x:c r="J223" s="35" t="str"/>
      <x:c r="K223" s="35" t="str"/>
      <x:c r="L223" s="35" t="str">
        <x:v>Use the source-derived Field Inventory. Enter non-default realistic values in every control (agreement-draft-term-start; agreement-draft-term-end; agreement-draft-governing-from; form.baseRentAmount); submit; reload or relaunch; compare every value; edit each mutable field; verify the paired client; then run required, format, length, range, boundary, optional-null, and stale-submit checks.</x:v>
      </x:c>
      <x:c r="M223" s="35" t="str">
        <x:v>All 4 inventoried controls persist exact normalized values, invalid values stay unsaved with clear errors, and hidden/unauthorized fields cannot be altered.</x:v>
      </x:c>
      <x:c r="N223" s="35" t="str">
        <x:v>Before/after form screenshots; FLD IDs; API response; reloaded UI; paired-client read-back; database/audit evidence; negative validation result.</x:v>
      </x:c>
      <x:c r="O223" s="35" t="str">
        <x:v>Use a duplicate submit and one simulated network interruption; one atomic mutation or none, never partial state.</x:v>
      </x:c>
      <x:c r="P223" s="35" t="str">
        <x:v>All expected records and amounts match; no unexplained error or stale state.</x:v>
      </x:c>
    </x:row>
    <x:row r="224">
      <x:c r="A224" s="20" t="str">
        <x:v>RUN-20270212-07</x:v>
      </x:c>
      <x:c r="B224" s="23" t="n">
        <x:v>46430</x:v>
      </x:c>
      <x:c r="C224" s="32" t="n">
        <x:v>7</x:v>
      </x:c>
      <x:c r="D224" s="20" t="str">
        <x:v>Lifecycle certification</x:v>
      </x:c>
      <x:c r="E224" s="20" t="str">
        <x:v>Workspace Administrator</x:v>
      </x:c>
      <x:c r="F224" s="20" t="str">
        <x:v>Web + Mobile</x:v>
      </x:c>
      <x:c r="G224" s="20" t="str">
        <x:v>Manual + scan/attachment where supported</x:v>
      </x:c>
      <x:c r="H224" s="35" t="str">
        <x:v>Complete the full create/read/edit/lifecycle/delete-safe pass for Owner</x:v>
      </x:c>
      <x:c r="I224" s="35" t="str">
        <x:v>CRUD-003</x:v>
      </x:c>
      <x:c r="J224" s="35" t="str"/>
      <x:c r="K224" s="35" t="str"/>
      <x:c r="L224" s="35" t="str">
        <x:v>Use a dedicated disposable QA record and execute: create; edit; assign properties; portal invite; revoke; deactivate-safe. Fill every field referenced by field-inventory.csv. Verify confirmation copy, cancel path, final path, reload, other-client state, history, and role denial.</x:v>
      </x:c>
      <x:c r="M224" s="35" t="str">
        <x:v>Every supported transition succeeds exactly once; forbidden destructive actions are guarded; reversible deletion/deactivation works; financial and historical truth is preserved.</x:v>
      </x:c>
      <x:c r="N224" s="35" t="str">
        <x:v>Entity before/after; both clients; all FLD IDs; audit/history; notifications; authorized and unauthorized personas; API/DB state.</x:v>
      </x:c>
      <x:c r="O224" s="35" t="str">
        <x:v>Cancel the first destructive confirmation, then repeat and confirm; retry the mutation once; no double transition or orphan.</x:v>
      </x:c>
      <x:c r="P224" s="35" t="str">
        <x:v>All expected records and amounts match; no unexplained error or stale state.</x:v>
      </x:c>
    </x:row>
    <x:row r="225">
      <x:c r="A225" s="20" t="str">
        <x:v>RUN-20270212-08</x:v>
      </x:c>
      <x:c r="B225" s="23" t="n">
        <x:v>46430</x:v>
      </x:c>
      <x:c r="C225" s="32" t="n">
        <x:v>8</x:v>
      </x:c>
      <x:c r="D225" s="20" t="str">
        <x:v>Notification certification</x:v>
      </x:c>
      <x:c r="E225" s="20" t="str">
        <x:v>Tenant</x:v>
      </x:c>
      <x:c r="F225" s="20" t="str">
        <x:v>Web + Mobile</x:v>
      </x:c>
      <x:c r="G225" s="20" t="str">
        <x:v>System event + preference/manual verification</x:v>
      </x:c>
      <x:c r="H225" s="35" t="str">
        <x:v>Trigger and prove notification: Rent received</x:v>
      </x:c>
      <x:c r="I225" s="35" t="str">
        <x:v>NTF-004</x:v>
      </x:c>
      <x:c r="J225" s="35" t="str"/>
      <x:c r="K225" s="35" t="str"/>
      <x:c r="L225" s="35" t="str">
        <x:v>Set each recipient's preferences; trigger the real business event; inspect routing and recipient scope; verify unread badge, list item, safe preview, payment receipt deep link, mark-read sync, configured channel outcome, provider failure/retry, and duplicate suppression.</x:v>
      </x:c>
      <x:c r="M225" s="35" t="str">
        <x:v>Exactly the intended recipients receive one correctly routed notification; disabled optional channels stay silent; deep link opens authorized context; read state synchronizes.</x:v>
      </x:c>
      <x:c r="N225" s="35" t="str">
        <x:v>Trigger record; routing decision; outbox/delivery status; web/mobile inbox; lock-screen-safe copy; deep-link target; audit/provider retry evidence.</x:v>
      </x:c>
      <x:c r="O225" s="35" t="str">
        <x:v>Re-run the worker and deliver a duplicate provider callback; no duplicate user-visible event. Attempt the deep link as an unauthorized adjacent role.</x:v>
      </x:c>
      <x:c r="P225" s="35" t="str">
        <x:v>All expected records and amounts match; no unexplained error or stale state.</x:v>
      </x:c>
    </x:row>
    <x:row r="226">
      <x:c r="A226" s="20" t="str">
        <x:v>RUN-20270212-09</x:v>
      </x:c>
      <x:c r="B226" s="23" t="n">
        <x:v>46430</x:v>
      </x:c>
      <x:c r="C226" s="32" t="n">
        <x:v>9</x:v>
      </x:c>
      <x:c r="D226" s="20" t="str">
        <x:v>Surface coverage</x:v>
      </x:c>
      <x:c r="E226" s="20" t="str">
        <x:v>Role appropriate to surface</x:v>
      </x:c>
      <x:c r="F226" s="20" t="str">
        <x:v>Mobile</x:v>
      </x:c>
      <x:c r="G226" s="20" t="str">
        <x:v>Manual</x:v>
      </x:c>
      <x:c r="H226" s="35" t="str">
        <x:v>Manual mobile pass: Unit create/edit/Command Center</x:v>
      </x:c>
      <x:c r="I226" s="35" t="str">
        <x:v>COV-005</x:v>
      </x:c>
      <x:c r="J226" s="35" t="str"/>
      <x:c r="K226" s="35" t="str"/>
      <x:c r="L226" s="35" t="str">
        <x:v>Create/edit unit, traverse Summary/Listing/Tenant &amp; lease/Money/Maintenance/Documents &amp; history, and restore navigation.</x:v>
      </x:c>
      <x:c r="M226" s="35" t="str">
        <x:v>The supported workflow completes and persists correctly; if the capability is absent, the exact gap is proven and queued rather than silently skipped.</x:v>
      </x:c>
      <x:c r="N226" s="35" t="str">
        <x:v>Real UI screenshot/state; submitted values; persisted read-back; cross-client read-back; audit/role/access evidence.</x:v>
      </x:c>
      <x:c r="O226" s="35" t="str">
        <x:v>Use one invalid value, stale-state retry, or duplicate submission relevant to the form; no partial or duplicate mutation.</x:v>
      </x:c>
      <x:c r="P226" s="35" t="str">
        <x:v>All expected records and amounts match; no unexplained error or stale state.</x:v>
      </x:c>
    </x:row>
    <x:row r="227">
      <x:c r="A227" s="20" t="str">
        <x:v>RUN-20270215-01</x:v>
      </x:c>
      <x:c r="B227" s="23" t="n">
        <x:v>46433</x:v>
      </x:c>
      <x:c r="C227" s="32" t="n">
        <x:v>1</x:v>
      </x:c>
      <x:c r="D227" s="20" t="str">
        <x:v>Weekly operations</x:v>
      </x:c>
      <x:c r="E227" s="20" t="str">
        <x:v>Property Manager</x:v>
      </x:c>
      <x:c r="F227" s="20" t="str">
        <x:v>Mobile</x:v>
      </x:c>
      <x:c r="G227" s="20" t="str">
        <x:v>Scan-first</x:v>
      </x:c>
      <x:c r="H227" s="35" t="str">
        <x:v>Create and triage maintenance request</x:v>
      </x:c>
      <x:c r="I227" s="35" t="str">
        <x:v>P010; U010; WO-2027-007</x:v>
      </x:c>
      <x:c r="J227" s="35" t="str">
        <x:v>SCN-0358</x:v>
      </x:c>
      <x:c r="K227" s="35" t="str"/>
      <x:c r="L227" s="35" t="str">
        <x:v>Capture the tenant note/photo; review lock rekey; confirm; set responsibility; dispatch Hardware House; create an appointment and verify the tenant notification.</x:v>
      </x:c>
      <x:c r="M227" s="35" t="str">
        <x:v>Work order, status timeline, responsibility, vendor dispatch, appointment, notification, and Unit context are linked once.</x:v>
      </x:c>
      <x:c r="N227" s="35" t="str">
        <x:v>Scan review; work order detail/timeline; dispatch; appointment; notification; tenant portal view.</x:v>
      </x:c>
      <x:c r="O227" s="35" t="str">
        <x:v>Cancel one dispatch each quarter, reassign once, and prove status/history remains append-only.</x:v>
      </x:c>
      <x:c r="P227" s="35" t="str">
        <x:v>All expected records and amounts match; no unexplained error or stale state.</x:v>
      </x:c>
    </x:row>
    <x:row r="228">
      <x:c r="A228" s="20" t="str">
        <x:v>RUN-20270215-02</x:v>
      </x:c>
      <x:c r="B228" s="23" t="n">
        <x:v>46433</x:v>
      </x:c>
      <x:c r="C228" s="32" t="n">
        <x:v>2</x:v>
      </x:c>
      <x:c r="D228" s="20" t="str">
        <x:v>Weekly operations</x:v>
      </x:c>
      <x:c r="E228" s="20" t="str">
        <x:v>Property Manager</x:v>
      </x:c>
      <x:c r="F228" s="20" t="str">
        <x:v>Mobile</x:v>
      </x:c>
      <x:c r="G228" s="20" t="str">
        <x:v>Scanned receipt/invoice</x:v>
      </x:c>
      <x:c r="H228" s="35" t="str">
        <x:v>Record, review, allocate, and pay operating expense</x:v>
      </x:c>
      <x:c r="I228" s="35" t="str">
        <x:v>P021; Property scope; </x:v>
      </x:c>
      <x:c r="J228" s="35" t="str">
        <x:v>SCN-0470</x:v>
      </x:c>
      <x:c r="K228" s="35" t="str">
        <x:v>FIN-01111</x:v>
      </x:c>
      <x:c r="L228" s="35" t="str">
        <x:v>Capture or upload the source; verify vendor, date, scope, category, line items, tax, amount, and work-order link; confirm; open detail; verify attachment; compare Money and Property/Unit views.</x:v>
      </x:c>
      <x:c r="M228" s="35" t="str">
        <x:v>One expense exists at its real operational scope, cash falls once, Schedule E category and allocations agree, and no per-unit copies are created.</x:v>
      </x:c>
      <x:c r="N228" s="35" t="str">
        <x:v>Source preview; review/form; expense detail; line items; Property/Unit ledger; audit; accounting/report delta.</x:v>
      </x:c>
      <x:c r="O228" s="35" t="str">
        <x:v>On marked duplicate-invoice cases, re-upload before confirm and prove the product prevents or clearly warns about duplication.</x:v>
      </x:c>
      <x:c r="P228" s="35" t="str">
        <x:v>All expected records and amounts match; no unexplained error or stale state.</x:v>
      </x:c>
    </x:row>
    <x:row r="229">
      <x:c r="A229" s="20" t="str">
        <x:v>RUN-20270215-03</x:v>
      </x:c>
      <x:c r="B229" s="23" t="n">
        <x:v>46433</x:v>
      </x:c>
      <x:c r="C229" s="32" t="n">
        <x:v>3</x:v>
      </x:c>
      <x:c r="D229" s="20" t="str">
        <x:v>Weekly operations</x:v>
      </x:c>
      <x:c r="E229" s="20" t="str">
        <x:v>Property Manager</x:v>
      </x:c>
      <x:c r="F229" s="20" t="str">
        <x:v>Web</x:v>
      </x:c>
      <x:c r="G229" s="20" t="str">
        <x:v>Scanned receipt/invoice</x:v>
      </x:c>
      <x:c r="H229" s="35" t="str">
        <x:v>Record, review, allocate, and pay operating expense</x:v>
      </x:c>
      <x:c r="I229" s="35" t="str">
        <x:v>P022; Property scope; </x:v>
      </x:c>
      <x:c r="J229" s="35" t="str">
        <x:v>SCN-0471</x:v>
      </x:c>
      <x:c r="K229" s="35" t="str">
        <x:v>FIN-01112</x:v>
      </x:c>
      <x:c r="L229" s="35" t="str">
        <x:v>Capture or upload the source; verify vendor, date, scope, category, line items, tax, amount, and work-order link; confirm; open detail; verify attachment; compare Money and Property/Unit views.</x:v>
      </x:c>
      <x:c r="M229" s="35" t="str">
        <x:v>One expense exists at its real operational scope, cash falls once, Schedule E category and allocations agree, and no per-unit copies are created.</x:v>
      </x:c>
      <x:c r="N229" s="35" t="str">
        <x:v>Source preview; review/form; expense detail; line items; Property/Unit ledger; audit; accounting/report delta.</x:v>
      </x:c>
      <x:c r="O229" s="35" t="str">
        <x:v>On marked duplicate-invoice cases, re-upload before confirm and prove the product prevents or clearly warns about duplication.</x:v>
      </x:c>
      <x:c r="P229" s="35" t="str">
        <x:v>All expected records and amounts match; no unexplained error or stale state.</x:v>
      </x:c>
    </x:row>
    <x:row r="230">
      <x:c r="A230" s="20" t="str">
        <x:v>RUN-20270215-04</x:v>
      </x:c>
      <x:c r="B230" s="23" t="n">
        <x:v>46433</x:v>
      </x:c>
      <x:c r="C230" s="32" t="n">
        <x:v>4</x:v>
      </x:c>
      <x:c r="D230" s="20" t="str">
        <x:v>Weekly operations</x:v>
      </x:c>
      <x:c r="E230" s="20" t="str">
        <x:v>Property Manager</x:v>
      </x:c>
      <x:c r="F230" s="20" t="str">
        <x:v>Mobile</x:v>
      </x:c>
      <x:c r="G230" s="20" t="str">
        <x:v>Scanned receipt/invoice</x:v>
      </x:c>
      <x:c r="H230" s="35" t="str">
        <x:v>Record, review, allocate, and pay operating expense</x:v>
      </x:c>
      <x:c r="I230" s="35" t="str">
        <x:v>P023; Property scope; </x:v>
      </x:c>
      <x:c r="J230" s="35" t="str">
        <x:v>SCN-0472</x:v>
      </x:c>
      <x:c r="K230" s="35" t="str">
        <x:v>FIN-01113</x:v>
      </x:c>
      <x:c r="L230" s="35" t="str">
        <x:v>Capture or upload the source; verify vendor, date, scope, category, line items, tax, amount, and work-order link; confirm; open detail; verify attachment; compare Money and Property/Unit views.</x:v>
      </x:c>
      <x:c r="M230" s="35" t="str">
        <x:v>One expense exists at its real operational scope, cash falls once, Schedule E category and allocations agree, and no per-unit copies are created.</x:v>
      </x:c>
      <x:c r="N230" s="35" t="str">
        <x:v>Source preview; review/form; expense detail; line items; Property/Unit ledger; audit; accounting/report delta.</x:v>
      </x:c>
      <x:c r="O230" s="35" t="str">
        <x:v>On marked duplicate-invoice cases, re-upload before confirm and prove the product prevents or clearly warns about duplication.</x:v>
      </x:c>
      <x:c r="P230" s="35" t="str">
        <x:v>All expected records and amounts match; no unexplained error or stale state.</x:v>
      </x:c>
    </x:row>
    <x:row r="231">
      <x:c r="A231" s="20" t="str">
        <x:v>RUN-20270215-05</x:v>
      </x:c>
      <x:c r="B231" s="23" t="n">
        <x:v>46433</x:v>
      </x:c>
      <x:c r="C231" s="32" t="n">
        <x:v>5</x:v>
      </x:c>
      <x:c r="D231" s="20" t="str">
        <x:v>Weekly operations</x:v>
      </x:c>
      <x:c r="E231" s="20" t="str">
        <x:v>Property Manager</x:v>
      </x:c>
      <x:c r="F231" s="20" t="str">
        <x:v>Web</x:v>
      </x:c>
      <x:c r="G231" s="20" t="str">
        <x:v>Scanned receipt/invoice</x:v>
      </x:c>
      <x:c r="H231" s="35" t="str">
        <x:v>Record, review, allocate, and pay operating expense</x:v>
      </x:c>
      <x:c r="I231" s="35" t="str">
        <x:v>P024; Property scope; </x:v>
      </x:c>
      <x:c r="J231" s="35" t="str">
        <x:v>SCN-0473</x:v>
      </x:c>
      <x:c r="K231" s="35" t="str">
        <x:v>FIN-01114</x:v>
      </x:c>
      <x:c r="L231" s="35" t="str">
        <x:v>Capture or upload the source; verify vendor, date, scope, category, line items, tax, amount, and work-order link; confirm; open detail; verify attachment; compare Money and Property/Unit views.</x:v>
      </x:c>
      <x:c r="M231" s="35" t="str">
        <x:v>One expense exists at its real operational scope, cash falls once, Schedule E category and allocations agree, and no per-unit copies are created.</x:v>
      </x:c>
      <x:c r="N231" s="35" t="str">
        <x:v>Source preview; review/form; expense detail; line items; Property/Unit ledger; audit; accounting/report delta.</x:v>
      </x:c>
      <x:c r="O231" s="35" t="str">
        <x:v>On marked duplicate-invoice cases, re-upload before confirm and prove the product prevents or clearly warns about duplication.</x:v>
      </x:c>
      <x:c r="P231" s="35" t="str">
        <x:v>All expected records and amounts match; no unexplained error or stale state.</x:v>
      </x:c>
    </x:row>
    <x:row r="232">
      <x:c r="A232" s="20" t="str">
        <x:v>RUN-20270215-06</x:v>
      </x:c>
      <x:c r="B232" s="23" t="n">
        <x:v>46433</x:v>
      </x:c>
      <x:c r="C232" s="32" t="n">
        <x:v>6</x:v>
      </x:c>
      <x:c r="D232" s="20" t="str">
        <x:v>Weekly operations</x:v>
      </x:c>
      <x:c r="E232" s="20" t="str">
        <x:v>Property Manager</x:v>
      </x:c>
      <x:c r="F232" s="20" t="str">
        <x:v>Mobile</x:v>
      </x:c>
      <x:c r="G232" s="20" t="str">
        <x:v>Manual web form</x:v>
      </x:c>
      <x:c r="H232" s="35" t="str">
        <x:v>Record, review, allocate, and pay operating expense</x:v>
      </x:c>
      <x:c r="I232" s="35" t="str">
        <x:v>P025; Property scope; </x:v>
      </x:c>
      <x:c r="J232" s="35" t="str"/>
      <x:c r="K232" s="35" t="str">
        <x:v>FIN-01115</x:v>
      </x:c>
      <x:c r="L232" s="35" t="str">
        <x:v>Capture or upload the source; verify vendor, date, scope, category, line items, tax, amount, and work-order link; confirm; open detail; verify attachment; compare Money and Property/Unit views.</x:v>
      </x:c>
      <x:c r="M232" s="35" t="str">
        <x:v>One expense exists at its real operational scope, cash falls once, Schedule E category and allocations agree, and no per-unit copies are created.</x:v>
      </x:c>
      <x:c r="N232" s="35" t="str">
        <x:v>Source preview; review/form; expense detail; line items; Property/Unit ledger; audit; accounting/report delta.</x:v>
      </x:c>
      <x:c r="O232" s="35" t="str">
        <x:v>On marked duplicate-invoice cases, re-upload before confirm and prove the product prevents or clearly warns about duplication.</x:v>
      </x:c>
      <x:c r="P232" s="35" t="str">
        <x:v>All expected records and amounts match; no unexplained error or stale state.</x:v>
      </x:c>
    </x:row>
    <x:row r="233">
      <x:c r="A233" s="20" t="str">
        <x:v>RUN-20270215-07</x:v>
      </x:c>
      <x:c r="B233" s="23" t="n">
        <x:v>46433</x:v>
      </x:c>
      <x:c r="C233" s="32" t="n">
        <x:v>7</x:v>
      </x:c>
      <x:c r="D233" s="20" t="str">
        <x:v>Weekly operations</x:v>
      </x:c>
      <x:c r="E233" s="20" t="str">
        <x:v>Property Manager</x:v>
      </x:c>
      <x:c r="F233" s="20" t="str">
        <x:v>Web</x:v>
      </x:c>
      <x:c r="G233" s="20" t="str">
        <x:v>Scanned receipt/invoice</x:v>
      </x:c>
      <x:c r="H233" s="35" t="str">
        <x:v>Record, review, allocate, and pay operating expense</x:v>
      </x:c>
      <x:c r="I233" s="35" t="str">
        <x:v>P026; Property scope; </x:v>
      </x:c>
      <x:c r="J233" s="35" t="str">
        <x:v>SCN-0474</x:v>
      </x:c>
      <x:c r="K233" s="35" t="str">
        <x:v>FIN-01116</x:v>
      </x:c>
      <x:c r="L233" s="35" t="str">
        <x:v>Capture or upload the source; verify vendor, date, scope, category, line items, tax, amount, and work-order link; confirm; open detail; verify attachment; compare Money and Property/Unit views.</x:v>
      </x:c>
      <x:c r="M233" s="35" t="str">
        <x:v>One expense exists at its real operational scope, cash falls once, Schedule E category and allocations agree, and no per-unit copies are created.</x:v>
      </x:c>
      <x:c r="N233" s="35" t="str">
        <x:v>Source preview; review/form; expense detail; line items; Property/Unit ledger; audit; accounting/report delta.</x:v>
      </x:c>
      <x:c r="O233" s="35" t="str">
        <x:v>On marked duplicate-invoice cases, re-upload before confirm and prove the product prevents or clearly warns about duplication.</x:v>
      </x:c>
      <x:c r="P233" s="35" t="str">
        <x:v>All expected records and amounts match; no unexplained error or stale state.</x:v>
      </x:c>
    </x:row>
    <x:row r="234">
      <x:c r="A234" s="20" t="str">
        <x:v>RUN-20270215-08</x:v>
      </x:c>
      <x:c r="B234" s="23" t="n">
        <x:v>46433</x:v>
      </x:c>
      <x:c r="C234" s="32" t="n">
        <x:v>8</x:v>
      </x:c>
      <x:c r="D234" s="20" t="str">
        <x:v>Weekly operations</x:v>
      </x:c>
      <x:c r="E234" s="20" t="str">
        <x:v>Property Manager</x:v>
      </x:c>
      <x:c r="F234" s="20" t="str">
        <x:v>Mobile</x:v>
      </x:c>
      <x:c r="G234" s="20" t="str">
        <x:v>Scanned receipt/invoice</x:v>
      </x:c>
      <x:c r="H234" s="35" t="str">
        <x:v>Record, review, allocate, and pay operating expense</x:v>
      </x:c>
      <x:c r="I234" s="35" t="str">
        <x:v>P027; Property scope; </x:v>
      </x:c>
      <x:c r="J234" s="35" t="str">
        <x:v>SCN-0475</x:v>
      </x:c>
      <x:c r="K234" s="35" t="str">
        <x:v>FIN-01117</x:v>
      </x:c>
      <x:c r="L234" s="35" t="str">
        <x:v>Capture or upload the source; verify vendor, date, scope, category, line items, tax, amount, and work-order link; confirm; open detail; verify attachment; compare Money and Property/Unit views.</x:v>
      </x:c>
      <x:c r="M234" s="35" t="str">
        <x:v>One expense exists at its real operational scope, cash falls once, Schedule E category and allocations agree, and no per-unit copies are created.</x:v>
      </x:c>
      <x:c r="N234" s="35" t="str">
        <x:v>Source preview; review/form; expense detail; line items; Property/Unit ledger; audit; accounting/report delta.</x:v>
      </x:c>
      <x:c r="O234" s="35" t="str">
        <x:v>On marked duplicate-invoice cases, re-upload before confirm and prove the product prevents or clearly warns about duplication.</x:v>
      </x:c>
      <x:c r="P234" s="35" t="str">
        <x:v>All expected records and amounts match; no unexplained error or stale state.</x:v>
      </x:c>
    </x:row>
    <x:row r="235">
      <x:c r="A235" s="20" t="str">
        <x:v>RUN-20270215-09</x:v>
      </x:c>
      <x:c r="B235" s="23" t="n">
        <x:v>46433</x:v>
      </x:c>
      <x:c r="C235" s="32" t="n">
        <x:v>9</x:v>
      </x:c>
      <x:c r="D235" s="20" t="str">
        <x:v>Weekly operations</x:v>
      </x:c>
      <x:c r="E235" s="20" t="str">
        <x:v>Property Manager</x:v>
      </x:c>
      <x:c r="F235" s="20" t="str">
        <x:v>Web</x:v>
      </x:c>
      <x:c r="G235" s="20" t="str">
        <x:v>Scanned receipt/invoice</x:v>
      </x:c>
      <x:c r="H235" s="35" t="str">
        <x:v>Record, review, allocate, and pay operating expense</x:v>
      </x:c>
      <x:c r="I235" s="35" t="str">
        <x:v>P028; Property scope; </x:v>
      </x:c>
      <x:c r="J235" s="35" t="str">
        <x:v>SCN-0476</x:v>
      </x:c>
      <x:c r="K235" s="35" t="str">
        <x:v>FIN-01118</x:v>
      </x:c>
      <x:c r="L235" s="35" t="str">
        <x:v>Capture or upload the source; verify vendor, date, scope, category, line items, tax, amount, and work-order link; confirm; open detail; verify attachment; compare Money and Property/Unit views.</x:v>
      </x:c>
      <x:c r="M235" s="35" t="str">
        <x:v>One expense exists at its real operational scope, cash falls once, Schedule E category and allocations agree, and no per-unit copies are created.</x:v>
      </x:c>
      <x:c r="N235" s="35" t="str">
        <x:v>Source preview; review/form; expense detail; line items; Property/Unit ledger; audit; accounting/report delta.</x:v>
      </x:c>
      <x:c r="O235" s="35" t="str">
        <x:v>On marked duplicate-invoice cases, re-upload before confirm and prove the product prevents or clearly warns about duplication.</x:v>
      </x:c>
      <x:c r="P235" s="35" t="str">
        <x:v>All expected records and amounts match; no unexplained error or stale state.</x:v>
      </x:c>
    </x:row>
    <x:row r="236">
      <x:c r="A236" s="20" t="str">
        <x:v>RUN-20270215-10</x:v>
      </x:c>
      <x:c r="B236" s="23" t="n">
        <x:v>46433</x:v>
      </x:c>
      <x:c r="C236" s="32" t="n">
        <x:v>10</x:v>
      </x:c>
      <x:c r="D236" s="20" t="str">
        <x:v>Weekly operations</x:v>
      </x:c>
      <x:c r="E236" s="20" t="str">
        <x:v>Property Manager</x:v>
      </x:c>
      <x:c r="F236" s="20" t="str">
        <x:v>Mobile</x:v>
      </x:c>
      <x:c r="G236" s="20" t="str">
        <x:v>Scanned receipt/invoice</x:v>
      </x:c>
      <x:c r="H236" s="35" t="str">
        <x:v>Record, review, allocate, and pay operating expense</x:v>
      </x:c>
      <x:c r="I236" s="35" t="str">
        <x:v>P029; Property scope; </x:v>
      </x:c>
      <x:c r="J236" s="35" t="str">
        <x:v>SCN-0477</x:v>
      </x:c>
      <x:c r="K236" s="35" t="str">
        <x:v>FIN-01119</x:v>
      </x:c>
      <x:c r="L236" s="35" t="str">
        <x:v>Capture or upload the source; verify vendor, date, scope, category, line items, tax, amount, and work-order link; confirm; open detail; verify attachment; compare Money and Property/Unit views.</x:v>
      </x:c>
      <x:c r="M236" s="35" t="str">
        <x:v>One expense exists at its real operational scope, cash falls once, Schedule E category and allocations agree, and no per-unit copies are created.</x:v>
      </x:c>
      <x:c r="N236" s="35" t="str">
        <x:v>Source preview; review/form; expense detail; line items; Property/Unit ledger; audit; accounting/report delta.</x:v>
      </x:c>
      <x:c r="O236" s="35" t="str">
        <x:v>On marked duplicate-invoice cases, re-upload before confirm and prove the product prevents or clearly warns about duplication.</x:v>
      </x:c>
      <x:c r="P236" s="35" t="str">
        <x:v>All expected records and amounts match; no unexplained error or stale state.</x:v>
      </x:c>
    </x:row>
    <x:row r="237">
      <x:c r="A237" s="20" t="str">
        <x:v>RUN-20270215-11</x:v>
      </x:c>
      <x:c r="B237" s="23" t="n">
        <x:v>46433</x:v>
      </x:c>
      <x:c r="C237" s="32" t="n">
        <x:v>11</x:v>
      </x:c>
      <x:c r="D237" s="20" t="str">
        <x:v>Weekly operations</x:v>
      </x:c>
      <x:c r="E237" s="20" t="str">
        <x:v>Property Manager</x:v>
      </x:c>
      <x:c r="F237" s="20" t="str">
        <x:v>Web</x:v>
      </x:c>
      <x:c r="G237" s="20" t="str">
        <x:v>Manual mobile form</x:v>
      </x:c>
      <x:c r="H237" s="35" t="str">
        <x:v>Record, review, allocate, and pay operating expense</x:v>
      </x:c>
      <x:c r="I237" s="35" t="str">
        <x:v>P030; Property scope; </x:v>
      </x:c>
      <x:c r="J237" s="35" t="str"/>
      <x:c r="K237" s="35" t="str">
        <x:v>FIN-01120</x:v>
      </x:c>
      <x:c r="L237" s="35" t="str">
        <x:v>Capture or upload the source; verify vendor, date, scope, category, line items, tax, amount, and work-order link; confirm; open detail; verify attachment; compare Money and Property/Unit views.</x:v>
      </x:c>
      <x:c r="M237" s="35" t="str">
        <x:v>One expense exists at its real operational scope, cash falls once, Schedule E category and allocations agree, and no per-unit copies are created.</x:v>
      </x:c>
      <x:c r="N237" s="35" t="str">
        <x:v>Source preview; review/form; expense detail; line items; Property/Unit ledger; audit; accounting/report delta.</x:v>
      </x:c>
      <x:c r="O237" s="35" t="str">
        <x:v>On marked duplicate-invoice cases, re-upload before confirm and prove the product prevents or clearly warns about duplication.</x:v>
      </x:c>
      <x:c r="P237" s="35" t="str">
        <x:v>All expected records and amounts match; no unexplained error or stale state.</x:v>
      </x:c>
    </x:row>
    <x:row r="238">
      <x:c r="A238" s="20" t="str">
        <x:v>RUN-20270215-12</x:v>
      </x:c>
      <x:c r="B238" s="23" t="n">
        <x:v>46433</x:v>
      </x:c>
      <x:c r="C238" s="32" t="n">
        <x:v>12</x:v>
      </x:c>
      <x:c r="D238" s="20" t="str">
        <x:v>Leasing</x:v>
      </x:c>
      <x:c r="E238" s="20" t="str">
        <x:v>Leasing Agent</x:v>
      </x:c>
      <x:c r="F238" s="20" t="str">
        <x:v>Mobile</x:v>
      </x:c>
      <x:c r="G238" s="20" t="str">
        <x:v>Scan-first</x:v>
      </x:c>
      <x:c r="H238" s="35" t="str">
        <x:v>Application intake and pipeline</x:v>
      </x:c>
      <x:c r="I238" s="35" t="str">
        <x:v>P029; U038; L044; T044</x:v>
      </x:c>
      <x:c r="J238" s="35" t="str">
        <x:v>SCN-0927</x:v>
      </x:c>
      <x:c r="K238" s="35" t="str"/>
      <x:c r="L238" s="35" t="str">
        <x:v>Upload/capture the application; review extracted applicant and unit context; confirm; inspect pipeline; request screening in synthetic/test-only mode; record a fair, documented decision.</x:v>
      </x:c>
      <x:c r="M238" s="35" t="str">
        <x:v>Application, applicant tenant prospect, unit link, status history, screening placeholder, and communication are created once without exposing sensitive values.</x:v>
      </x:c>
      <x:c r="N238" s="35" t="str">
        <x:v>Scan draft; Application detail; pipeline; status audit; applicant communication; role/access proof.</x:v>
      </x:c>
      <x:c r="O238" s="35" t="str">
        <x:v>Upload a duplicate application and a wrong-unit application; no duplicate person or cross-property link.</x:v>
      </x:c>
      <x:c r="P238" s="35" t="str">
        <x:v>All expected records and amounts match; no unexplained error or stale state.</x:v>
      </x:c>
    </x:row>
    <x:row r="239">
      <x:c r="A239" s="20" t="str">
        <x:v>RUN-20270215-13</x:v>
      </x:c>
      <x:c r="B239" s="23" t="n">
        <x:v>46433</x:v>
      </x:c>
      <x:c r="C239" s="32" t="n">
        <x:v>13</x:v>
      </x:c>
      <x:c r="D239" s="20" t="str">
        <x:v>Role and screen certification</x:v>
      </x:c>
      <x:c r="E239" s="20" t="str">
        <x:v>Workspace Administrator</x:v>
      </x:c>
      <x:c r="F239" s="20" t="str">
        <x:v>Web</x:v>
      </x:c>
      <x:c r="G239" s="20" t="str">
        <x:v>Normal persona navigation</x:v>
      </x:c>
      <x:c r="H239" s="35" t="str">
        <x:v>Use every permitted action and state on /accounting/past-due</x:v>
      </x:c>
      <x:c r="I239" s="35" t="str">
        <x:v>SCR-017; ROLE-021</x:v>
      </x:c>
      <x:c r="J239" s="35" t="str"/>
      <x:c r="K239" s="35" t="str"/>
      <x:c r="L23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39" s="35" t="str">
        <x:v>The persona can use every allowed action with only its assigned properties/relationships. Hidden or disabled actions explain why; an adjacent unauthorized persona is denied without metadata leakage.</x:v>
      </x:c>
      <x:c r="N239" s="35" t="str">
        <x:v>Persona/experience; navigation entry; desktop or device screenshots; result state; persisted read-back; audit/history; authorized and denied network result.</x:v>
      </x:c>
      <x:c r="O239" s="35" t="str">
        <x:v>Open the direct URL or deep link with an adjacent unauthorized persona and with stale scope; both fail closed and land safely without mutation.</x:v>
      </x:c>
      <x:c r="P239" s="35" t="str">
        <x:v>All expected records and amounts match; no unexplained error or stale state.</x:v>
      </x:c>
    </x:row>
    <x:row r="240">
      <x:c r="A240" s="20" t="str">
        <x:v>RUN-20270215-14</x:v>
      </x:c>
      <x:c r="B240" s="23" t="n">
        <x:v>46433</x:v>
      </x:c>
      <x:c r="C240" s="32" t="n">
        <x:v>14</x:v>
      </x:c>
      <x:c r="D240" s="20" t="str">
        <x:v>Role and screen certification</x:v>
      </x:c>
      <x:c r="E240" s="20" t="str">
        <x:v>Property Manager</x:v>
      </x:c>
      <x:c r="F240" s="20" t="str">
        <x:v>Web</x:v>
      </x:c>
      <x:c r="G240" s="20" t="str">
        <x:v>Normal persona navigation</x:v>
      </x:c>
      <x:c r="H240" s="35" t="str">
        <x:v>Use every permitted action and state on /accounting/past-due</x:v>
      </x:c>
      <x:c r="I240" s="35" t="str">
        <x:v>SCR-017; ROLE-022</x:v>
      </x:c>
      <x:c r="J240" s="35" t="str"/>
      <x:c r="K240" s="35" t="str"/>
      <x:c r="L24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40" s="35" t="str">
        <x:v>The persona can use every allowed action with only its assigned properties/relationships. Hidden or disabled actions explain why; an adjacent unauthorized persona is denied without metadata leakage.</x:v>
      </x:c>
      <x:c r="N240" s="35" t="str">
        <x:v>Persona/experience; navigation entry; desktop or device screenshots; result state; persisted read-back; audit/history; authorized and denied network result.</x:v>
      </x:c>
      <x:c r="O240" s="35" t="str">
        <x:v>Open the direct URL or deep link with an adjacent unauthorized persona and with stale scope; both fail closed and land safely without mutation.</x:v>
      </x:c>
      <x:c r="P240" s="35" t="str">
        <x:v>All expected records and amounts match; no unexplained error or stale state.</x:v>
      </x:c>
    </x:row>
    <x:row r="241">
      <x:c r="A241" s="20" t="str">
        <x:v>RUN-20270215-15</x:v>
      </x:c>
      <x:c r="B241" s="23" t="n">
        <x:v>46433</x:v>
      </x:c>
      <x:c r="C241" s="32" t="n">
        <x:v>15</x:v>
      </x:c>
      <x:c r="D241" s="20" t="str">
        <x:v>Field certification</x:v>
      </x:c>
      <x:c r="E241" s="20" t="str">
        <x:v>Leasing Agent</x:v>
      </x:c>
      <x:c r="F241" s="20" t="str">
        <x:v>Web</x:v>
      </x:c>
      <x:c r="G241" s="20" t="str">
        <x:v>Manual field-by-field</x:v>
      </x:c>
      <x:c r="H241" s="35" t="str">
        <x:v>Fill, save, reload, edit, and validate every declared field on web/src/lib/components/leases/AgreementDraftDialog.svelte</x:v>
      </x:c>
      <x:c r="I241" s="35" t="str">
        <x:v>FLD-0079; FLD-0080; FLD-0081; FLD-0082; FLD-0083</x:v>
      </x:c>
      <x:c r="J241" s="35" t="str"/>
      <x:c r="K241" s="35" t="str"/>
      <x:c r="L241" s="35" t="str">
        <x:v>Use the source-derived Field Inventory. Enter non-default realistic values in every control (form.rentDueDay; form.securityDepositObligation; form.lateFeeAmount; form.gracePeriodDays; signer.signingOrder); submit; reload or relaunch; compare every value; edit each mutable field; verify the paired client; then run required, format, length, range, boundary, optional-null, and stale-submit checks.</x:v>
      </x:c>
      <x:c r="M241" s="35" t="str">
        <x:v>All 5 inventoried controls persist exact normalized values, invalid values stay unsaved with clear errors, and hidden/unauthorized fields cannot be altered.</x:v>
      </x:c>
      <x:c r="N241" s="35" t="str">
        <x:v>Before/after form screenshots; FLD IDs; API response; reloaded UI; paired-client read-back; database/audit evidence; negative validation result.</x:v>
      </x:c>
      <x:c r="O241" s="35" t="str">
        <x:v>Use a duplicate submit and one simulated network interruption; one atomic mutation or none, never partial state.</x:v>
      </x:c>
      <x:c r="P241" s="35" t="str">
        <x:v>All expected records and amounts match; no unexplained error or stale state.</x:v>
      </x:c>
    </x:row>
    <x:row r="242">
      <x:c r="A242" s="20" t="str">
        <x:v>RUN-20270215-16</x:v>
      </x:c>
      <x:c r="B242" s="23" t="n">
        <x:v>46433</x:v>
      </x:c>
      <x:c r="C242" s="32" t="n">
        <x:v>16</x:v>
      </x:c>
      <x:c r="D242" s="20" t="str">
        <x:v>Surface coverage</x:v>
      </x:c>
      <x:c r="E242" s="20" t="str">
        <x:v>Role appropriate to surface</x:v>
      </x:c>
      <x:c r="F242" s="20" t="str">
        <x:v>Web</x:v>
      </x:c>
      <x:c r="G242" s="20" t="str">
        <x:v>Scan/attachment</x:v>
      </x:c>
      <x:c r="H242" s="35" t="str">
        <x:v>Scan web pass: Unit create/edit/Command Center</x:v>
      </x:c>
      <x:c r="I242" s="35" t="str">
        <x:v>COV-005</x:v>
      </x:c>
      <x:c r="J242" s="35" t="str"/>
      <x:c r="K242" s="35" t="str"/>
      <x:c r="L242" s="35" t="str">
        <x:v>Create/edit unit, traverse Summary/Listing/Tenant &amp; lease/Money/Maintenance/Documents &amp; history, and restore navigation.</x:v>
      </x:c>
      <x:c r="M242" s="35" t="str">
        <x:v>The supported workflow completes and persists correctly; if the capability is absent, the exact gap is proven and queued rather than silently skipped.</x:v>
      </x:c>
      <x:c r="N242" s="35" t="str">
        <x:v>Real UI screenshot/state; submitted values; persisted read-back; cross-client read-back; audit/role/access evidence.</x:v>
      </x:c>
      <x:c r="O242" s="35" t="str">
        <x:v>Use one invalid value, stale-state retry, or duplicate submission relevant to the form; no partial or duplicate mutation.</x:v>
      </x:c>
      <x:c r="P242" s="35" t="str">
        <x:v>All expected records and amounts match; no unexplained error or stale state.</x:v>
      </x:c>
    </x:row>
    <x:row r="243">
      <x:c r="A243" s="20" t="str">
        <x:v>RUN-20270216-01</x:v>
      </x:c>
      <x:c r="B243" s="23" t="n">
        <x:v>46434</x:v>
      </x:c>
      <x:c r="C243" s="32" t="n">
        <x:v>1</x:v>
      </x:c>
      <x:c r="D243" s="20" t="str">
        <x:v>Weekly operations</x:v>
      </x:c>
      <x:c r="E243" s="20" t="str">
        <x:v>Property Manager</x:v>
      </x:c>
      <x:c r="F243" s="20" t="str">
        <x:v>Mobile</x:v>
      </x:c>
      <x:c r="G243" s="20" t="str">
        <x:v>Scanned receipt/invoice</x:v>
      </x:c>
      <x:c r="H243" s="35" t="str">
        <x:v>Record, review, allocate, and pay operating expense</x:v>
      </x:c>
      <x:c r="I243" s="35" t="str">
        <x:v>P010; U010; WO-2027-007</x:v>
      </x:c>
      <x:c r="J243" s="35" t="str">
        <x:v>SCN-0359</x:v>
      </x:c>
      <x:c r="K243" s="35" t="str">
        <x:v>FIN-01030</x:v>
      </x:c>
      <x:c r="L243" s="35" t="str">
        <x:v>Capture or upload the source; verify vendor, date, scope, category, line items, tax, amount, and work-order link; confirm; open detail; verify attachment; compare Money and Property/Unit views.</x:v>
      </x:c>
      <x:c r="M243" s="35" t="str">
        <x:v>One expense exists at its real operational scope, cash falls once, Schedule E category and allocations agree, and no per-unit copies are created.</x:v>
      </x:c>
      <x:c r="N243" s="35" t="str">
        <x:v>Source preview; review/form; expense detail; line items; Property/Unit ledger; audit; accounting/report delta.</x:v>
      </x:c>
      <x:c r="O243" s="35" t="str">
        <x:v>On marked duplicate-invoice cases, re-upload before confirm and prove the product prevents or clearly warns about duplication.</x:v>
      </x:c>
      <x:c r="P243" s="35" t="str">
        <x:v>All expected records and amounts match; no unexplained error or stale state.</x:v>
      </x:c>
    </x:row>
    <x:row r="244">
      <x:c r="A244" s="20" t="str">
        <x:v>RUN-20270216-02</x:v>
      </x:c>
      <x:c r="B244" s="23" t="n">
        <x:v>46434</x:v>
      </x:c>
      <x:c r="C244" s="32" t="n">
        <x:v>2</x:v>
      </x:c>
      <x:c r="D244" s="20" t="str">
        <x:v>Role and screen certification</x:v>
      </x:c>
      <x:c r="E244" s="20" t="str">
        <x:v>Workspace Administrator</x:v>
      </x:c>
      <x:c r="F244" s="20" t="str">
        <x:v>Web</x:v>
      </x:c>
      <x:c r="G244" s="20" t="str">
        <x:v>Normal persona navigation</x:v>
      </x:c>
      <x:c r="H244" s="35" t="str">
        <x:v>Use every permitted action and state on /accounting/year-end</x:v>
      </x:c>
      <x:c r="I244" s="35" t="str">
        <x:v>SCR-018; ROLE-023</x:v>
      </x:c>
      <x:c r="J244" s="35" t="str"/>
      <x:c r="K244" s="35" t="str"/>
      <x:c r="L24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44" s="35" t="str">
        <x:v>The persona can use every allowed action with only its assigned properties/relationships. Hidden or disabled actions explain why; an adjacent unauthorized persona is denied without metadata leakage.</x:v>
      </x:c>
      <x:c r="N244" s="35" t="str">
        <x:v>Persona/experience; navigation entry; desktop or device screenshots; result state; persisted read-back; audit/history; authorized and denied network result.</x:v>
      </x:c>
      <x:c r="O244" s="35" t="str">
        <x:v>Open the direct URL or deep link with an adjacent unauthorized persona and with stale scope; both fail closed and land safely without mutation.</x:v>
      </x:c>
      <x:c r="P244" s="35" t="str">
        <x:v>All expected records and amounts match; no unexplained error or stale state.</x:v>
      </x:c>
    </x:row>
    <x:row r="245">
      <x:c r="A245" s="20" t="str">
        <x:v>RUN-20270216-03</x:v>
      </x:c>
      <x:c r="B245" s="23" t="n">
        <x:v>46434</x:v>
      </x:c>
      <x:c r="C245" s="32" t="n">
        <x:v>3</x:v>
      </x:c>
      <x:c r="D245" s="20" t="str">
        <x:v>Role and screen certification</x:v>
      </x:c>
      <x:c r="E245" s="20" t="str">
        <x:v>Property Manager</x:v>
      </x:c>
      <x:c r="F245" s="20" t="str">
        <x:v>Web</x:v>
      </x:c>
      <x:c r="G245" s="20" t="str">
        <x:v>Normal persona navigation</x:v>
      </x:c>
      <x:c r="H245" s="35" t="str">
        <x:v>Use every permitted action and state on /accounting/year-end</x:v>
      </x:c>
      <x:c r="I245" s="35" t="str">
        <x:v>SCR-018; ROLE-024</x:v>
      </x:c>
      <x:c r="J245" s="35" t="str"/>
      <x:c r="K245" s="35" t="str"/>
      <x:c r="L24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45" s="35" t="str">
        <x:v>The persona can use every allowed action with only its assigned properties/relationships. Hidden or disabled actions explain why; an adjacent unauthorized persona is denied without metadata leakage.</x:v>
      </x:c>
      <x:c r="N245" s="35" t="str">
        <x:v>Persona/experience; navigation entry; desktop or device screenshots; result state; persisted read-back; audit/history; authorized and denied network result.</x:v>
      </x:c>
      <x:c r="O245" s="35" t="str">
        <x:v>Open the direct URL or deep link with an adjacent unauthorized persona and with stale scope; both fail closed and land safely without mutation.</x:v>
      </x:c>
      <x:c r="P245" s="35" t="str">
        <x:v>All expected records and amounts match; no unexplained error or stale state.</x:v>
      </x:c>
    </x:row>
    <x:row r="246">
      <x:c r="A246" s="20" t="str">
        <x:v>RUN-20270216-04</x:v>
      </x:c>
      <x:c r="B246" s="23" t="n">
        <x:v>46434</x:v>
      </x:c>
      <x:c r="C246" s="32" t="n">
        <x:v>4</x:v>
      </x:c>
      <x:c r="D246" s="20" t="str">
        <x:v>Field certification</x:v>
      </x:c>
      <x:c r="E246" s="20" t="str">
        <x:v>Leasing Agent</x:v>
      </x:c>
      <x:c r="F246" s="20" t="str">
        <x:v>Web</x:v>
      </x:c>
      <x:c r="G246" s="20" t="str">
        <x:v>Manual field-by-field</x:v>
      </x:c>
      <x:c r="H246" s="35" t="str">
        <x:v>Fill, save, reload, edit, and validate every declared field on web/src/lib/components/leases/AgreementDraftDialog.svelte</x:v>
      </x:c>
      <x:c r="I246" s="35" t="str">
        <x:v>FLD-0084; FLD-0085; FLD-0086; FLD-0087</x:v>
      </x:c>
      <x:c r="J246" s="35" t="str"/>
      <x:c r="K246" s="35" t="str"/>
      <x:c r="L246" s="35" t="str">
        <x:v>Use the source-derived Field Inventory. Enter non-default realistic values in every control (agreement-draft-signer-name-{index}; agreement-draft-signer-email-{index}; signer.signerRole; issueSubject); submit; reload or relaunch; compare every value; edit each mutable field; verify the paired client; then run required, format, length, range, boundary, optional-null, and stale-submit checks.</x:v>
      </x:c>
      <x:c r="M246" s="35" t="str">
        <x:v>All 4 inventoried controls persist exact normalized values, invalid values stay unsaved with clear errors, and hidden/unauthorized fields cannot be altered.</x:v>
      </x:c>
      <x:c r="N246" s="35" t="str">
        <x:v>Before/after form screenshots; FLD IDs; API response; reloaded UI; paired-client read-back; database/audit evidence; negative validation result.</x:v>
      </x:c>
      <x:c r="O246" s="35" t="str">
        <x:v>Use a duplicate submit and one simulated network interruption; one atomic mutation or none, never partial state.</x:v>
      </x:c>
      <x:c r="P246" s="35" t="str">
        <x:v>All expected records and amounts match; no unexplained error or stale state.</x:v>
      </x:c>
    </x:row>
    <x:row r="247">
      <x:c r="A247" s="20" t="str">
        <x:v>RUN-20270216-05</x:v>
      </x:c>
      <x:c r="B247" s="23" t="n">
        <x:v>46434</x:v>
      </x:c>
      <x:c r="C247" s="32" t="n">
        <x:v>5</x:v>
      </x:c>
      <x:c r="D247" s="20" t="str">
        <x:v>Surface coverage</x:v>
      </x:c>
      <x:c r="E247" s="20" t="str">
        <x:v>Role appropriate to surface</x:v>
      </x:c>
      <x:c r="F247" s="20" t="str">
        <x:v>Mobile</x:v>
      </x:c>
      <x:c r="G247" s="20" t="str">
        <x:v>Scan/attachment</x:v>
      </x:c>
      <x:c r="H247" s="35" t="str">
        <x:v>Scan mobile pass: Unit create/edit/Command Center</x:v>
      </x:c>
      <x:c r="I247" s="35" t="str">
        <x:v>COV-005</x:v>
      </x:c>
      <x:c r="J247" s="35" t="str"/>
      <x:c r="K247" s="35" t="str"/>
      <x:c r="L247" s="35" t="str">
        <x:v>Create/edit unit, traverse Summary/Listing/Tenant &amp; lease/Money/Maintenance/Documents &amp; history, and restore navigation.</x:v>
      </x:c>
      <x:c r="M247" s="35" t="str">
        <x:v>The supported workflow completes and persists correctly; if the capability is absent, the exact gap is proven and queued rather than silently skipped.</x:v>
      </x:c>
      <x:c r="N247" s="35" t="str">
        <x:v>Real UI screenshot/state; submitted values; persisted read-back; cross-client read-back; audit/role/access evidence.</x:v>
      </x:c>
      <x:c r="O247" s="35" t="str">
        <x:v>Use one invalid value, stale-state retry, or duplicate submission relevant to the form; no partial or duplicate mutation.</x:v>
      </x:c>
      <x:c r="P247" s="35" t="str">
        <x:v>All expected records and amounts match; no unexplained error or stale state.</x:v>
      </x:c>
    </x:row>
    <x:row r="248">
      <x:c r="A248" s="20" t="str">
        <x:v>RUN-20270217-01</x:v>
      </x:c>
      <x:c r="B248" s="23" t="n">
        <x:v>46435</x:v>
      </x:c>
      <x:c r="C248" s="32" t="n">
        <x:v>1</x:v>
      </x:c>
      <x:c r="D248" s="20" t="str">
        <x:v>Field certification</x:v>
      </x:c>
      <x:c r="E248" s="20" t="str">
        <x:v>Leasing Agent</x:v>
      </x:c>
      <x:c r="F248" s="20" t="str">
        <x:v>Web</x:v>
      </x:c>
      <x:c r="G248" s="20" t="str">
        <x:v>Manual field-by-field</x:v>
      </x:c>
      <x:c r="H248" s="35" t="str">
        <x:v>Fill, save, reload, edit, and validate every declared field on web/src/lib/components/leases/AgreementDraftDialog.svelte</x:v>
      </x:c>
      <x:c r="I248" s="35" t="str">
        <x:v>FLD-0088</x:v>
      </x:c>
      <x:c r="J248" s="35" t="str"/>
      <x:c r="K248" s="35" t="str"/>
      <x:c r="L248" s="35" t="str">
        <x:v>Use the source-derived Field Inventory. Enter non-default realistic values in every control (agreement-cancel-draft-reason); submit; reload or relaunch; compare every value; edit each mutable field; verify the paired client; then run required, format, length, range, boundary, optional-null, and stale-submit checks.</x:v>
      </x:c>
      <x:c r="M248" s="35" t="str">
        <x:v>All 1 inventoried controls persist exact normalized values, invalid values stay unsaved with clear errors, and hidden/unauthorized fields cannot be altered.</x:v>
      </x:c>
      <x:c r="N248" s="35" t="str">
        <x:v>Before/after form screenshots; FLD IDs; API response; reloaded UI; paired-client read-back; database/audit evidence; negative validation result.</x:v>
      </x:c>
      <x:c r="O248" s="35" t="str">
        <x:v>Use a duplicate submit and one simulated network interruption; one atomic mutation or none, never partial state.</x:v>
      </x:c>
      <x:c r="P248" s="35" t="str">
        <x:v>All expected records and amounts match; no unexplained error or stale state.</x:v>
      </x:c>
    </x:row>
    <x:row r="249">
      <x:c r="A249" s="20" t="str">
        <x:v>RUN-20270217-02</x:v>
      </x:c>
      <x:c r="B249" s="23" t="n">
        <x:v>46435</x:v>
      </x:c>
      <x:c r="C249" s="32" t="n">
        <x:v>2</x:v>
      </x:c>
      <x:c r="D249" s="20" t="str">
        <x:v>Field certification</x:v>
      </x:c>
      <x:c r="E249" s="20" t="str">
        <x:v>Leasing Agent</x:v>
      </x:c>
      <x:c r="F249" s="20" t="str">
        <x:v>Web</x:v>
      </x:c>
      <x:c r="G249" s="20" t="str">
        <x:v>Manual field-by-field</x:v>
      </x:c>
      <x:c r="H249" s="35" t="str">
        <x:v>Fill, save, reload, edit, and validate every declared field on web/src/lib/components/leases/AgreementIssuedRecoveryDialog.svelte</x:v>
      </x:c>
      <x:c r="I249" s="35" t="str">
        <x:v>FLD-0089; FLD-0090</x:v>
      </x:c>
      <x:c r="J249" s="35" t="str"/>
      <x:c r="K249" s="35" t="str"/>
      <x:c r="L249" s="35" t="str">
        <x:v>Use the source-derived Field Inventory. Enter non-default realistic values in every control (agreement-void-note; agreement-reissue-reason); submit; reload or relaunch; compare every value; edit each mutable field; verify the paired client; then run required, format, length, range, boundary, optional-null, and stale-submit checks.</x:v>
      </x:c>
      <x:c r="M249" s="35" t="str">
        <x:v>All 2 inventoried controls persist exact normalized values, invalid values stay unsaved with clear errors, and hidden/unauthorized fields cannot be altered.</x:v>
      </x:c>
      <x:c r="N249" s="35" t="str">
        <x:v>Before/after form screenshots; FLD IDs; API response; reloaded UI; paired-client read-back; database/audit evidence; negative validation result.</x:v>
      </x:c>
      <x:c r="O249" s="35" t="str">
        <x:v>Use a duplicate submit and one simulated network interruption; one atomic mutation or none, never partial state.</x:v>
      </x:c>
      <x:c r="P249" s="35" t="str">
        <x:v>All expected records and amounts match; no unexplained error or stale state.</x:v>
      </x:c>
    </x:row>
    <x:row r="250">
      <x:c r="A250" s="20" t="str">
        <x:v>RUN-20270217-03</x:v>
      </x:c>
      <x:c r="B250" s="23" t="n">
        <x:v>46435</x:v>
      </x:c>
      <x:c r="C250" s="32" t="n">
        <x:v>3</x:v>
      </x:c>
      <x:c r="D250" s="20" t="str">
        <x:v>Field certification</x:v>
      </x:c>
      <x:c r="E250" s="20" t="str">
        <x:v>Leasing Agent</x:v>
      </x:c>
      <x:c r="F250" s="20" t="str">
        <x:v>Web</x:v>
      </x:c>
      <x:c r="G250" s="20" t="str">
        <x:v>Manual field-by-field</x:v>
      </x:c>
      <x:c r="H250" s="35" t="str">
        <x:v>Fill, save, reload, edit, and validate every declared field on web/src/lib/components/leases/AgreementSuccessorDialog.svelte</x:v>
      </x:c>
      <x:c r="I250" s="35" t="str">
        <x:v>FLD-0091; FLD-0092</x:v>
      </x:c>
      <x:c r="J250" s="35" t="str"/>
      <x:c r="K250" s="35" t="str"/>
      <x:c r="L250" s="35" t="str">
        <x:v>Use the source-derived Field Inventory. Enter non-default realistic values in every control (agreement-successor-term-start; agreement-successor-term-end); submit; reload or relaunch; compare every value; edit each mutable field; verify the paired client; then run required, format, length, range, boundary, optional-null, and stale-submit checks.</x:v>
      </x:c>
      <x:c r="M250" s="35" t="str">
        <x:v>All 2 inventoried controls persist exact normalized values, invalid values stay unsaved with clear errors, and hidden/unauthorized fields cannot be altered.</x:v>
      </x:c>
      <x:c r="N250" s="35" t="str">
        <x:v>Before/after form screenshots; FLD IDs; API response; reloaded UI; paired-client read-back; database/audit evidence; negative validation result.</x:v>
      </x:c>
      <x:c r="O250" s="35" t="str">
        <x:v>Use a duplicate submit and one simulated network interruption; one atomic mutation or none, never partial state.</x:v>
      </x:c>
      <x:c r="P250" s="35" t="str">
        <x:v>All expected records and amounts match; no unexplained error or stale state.</x:v>
      </x:c>
    </x:row>
    <x:row r="251">
      <x:c r="A251" s="20" t="str">
        <x:v>RUN-20270218-01</x:v>
      </x:c>
      <x:c r="B251" s="23" t="n">
        <x:v>46436</x:v>
      </x:c>
      <x:c r="C251" s="32" t="n">
        <x:v>1</x:v>
      </x:c>
      <x:c r="D251" s="20" t="str">
        <x:v>Weekly operations</x:v>
      </x:c>
      <x:c r="E251" s="20" t="str">
        <x:v>Property Manager</x:v>
      </x:c>
      <x:c r="F251" s="20" t="str">
        <x:v>Web</x:v>
      </x:c>
      <x:c r="G251" s="20" t="str">
        <x:v>Scanned receipt/invoice</x:v>
      </x:c>
      <x:c r="H251" s="35" t="str">
        <x:v>Record, review, allocate, and pay operating expense</x:v>
      </x:c>
      <x:c r="I251" s="35" t="str">
        <x:v>P002; Property scope; </x:v>
      </x:c>
      <x:c r="J251" s="35" t="str">
        <x:v>SCN-0794</x:v>
      </x:c>
      <x:c r="K251" s="35" t="str">
        <x:v>FIN-01505</x:v>
      </x:c>
      <x:c r="L251" s="35" t="str">
        <x:v>Capture or upload the source; verify vendor, date, scope, category, line items, tax, amount, and work-order link; confirm; open detail; verify attachment; compare Money and Property/Unit views.</x:v>
      </x:c>
      <x:c r="M251" s="35" t="str">
        <x:v>One expense exists at its real operational scope, cash falls once, Schedule E category and allocations agree, and no per-unit copies are created.</x:v>
      </x:c>
      <x:c r="N251" s="35" t="str">
        <x:v>Source preview; review/form; expense detail; line items; Property/Unit ledger; audit; accounting/report delta.</x:v>
      </x:c>
      <x:c r="O251" s="35" t="str">
        <x:v>On marked duplicate-invoice cases, re-upload before confirm and prove the product prevents or clearly warns about duplication.</x:v>
      </x:c>
      <x:c r="P251" s="35" t="str">
        <x:v>All expected records and amounts match; no unexplained error or stale state.</x:v>
      </x:c>
    </x:row>
    <x:row r="252">
      <x:c r="A252" s="20" t="str">
        <x:v>RUN-20270218-02</x:v>
      </x:c>
      <x:c r="B252" s="23" t="n">
        <x:v>46436</x:v>
      </x:c>
      <x:c r="C252" s="32" t="n">
        <x:v>2</x:v>
      </x:c>
      <x:c r="D252" s="20" t="str">
        <x:v>Weekly operations</x:v>
      </x:c>
      <x:c r="E252" s="20" t="str">
        <x:v>Property Manager</x:v>
      </x:c>
      <x:c r="F252" s="20" t="str">
        <x:v>Web</x:v>
      </x:c>
      <x:c r="G252" s="20" t="str">
        <x:v>Scanned receipt/invoice</x:v>
      </x:c>
      <x:c r="H252" s="35" t="str">
        <x:v>Record, review, allocate, and pay operating expense</x:v>
      </x:c>
      <x:c r="I252" s="35" t="str">
        <x:v>P014; Property scope; </x:v>
      </x:c>
      <x:c r="J252" s="35" t="str">
        <x:v>SCN-0844</x:v>
      </x:c>
      <x:c r="K252" s="35" t="str">
        <x:v>FIN-01565</x:v>
      </x:c>
      <x:c r="L252" s="35" t="str">
        <x:v>Capture or upload the source; verify vendor, date, scope, category, line items, tax, amount, and work-order link; confirm; open detail; verify attachment; compare Money and Property/Unit views.</x:v>
      </x:c>
      <x:c r="M252" s="35" t="str">
        <x:v>One expense exists at its real operational scope, cash falls once, Schedule E category and allocations agree, and no per-unit copies are created.</x:v>
      </x:c>
      <x:c r="N252" s="35" t="str">
        <x:v>Source preview; review/form; expense detail; line items; Property/Unit ledger; audit; accounting/report delta.</x:v>
      </x:c>
      <x:c r="O252" s="35" t="str">
        <x:v>On marked duplicate-invoice cases, re-upload before confirm and prove the product prevents or clearly warns about duplication.</x:v>
      </x:c>
      <x:c r="P252" s="35" t="str">
        <x:v>All expected records and amounts match; no unexplained error or stale state.</x:v>
      </x:c>
    </x:row>
    <x:row r="253">
      <x:c r="A253" s="20" t="str">
        <x:v>RUN-20270218-03</x:v>
      </x:c>
      <x:c r="B253" s="23" t="n">
        <x:v>46436</x:v>
      </x:c>
      <x:c r="C253" s="32" t="n">
        <x:v>3</x:v>
      </x:c>
      <x:c r="D253" s="20" t="str">
        <x:v>Weekly operations</x:v>
      </x:c>
      <x:c r="E253" s="20" t="str">
        <x:v>Property Manager</x:v>
      </x:c>
      <x:c r="F253" s="20" t="str">
        <x:v>Web</x:v>
      </x:c>
      <x:c r="G253" s="20" t="str">
        <x:v>Scanned receipt/invoice</x:v>
      </x:c>
      <x:c r="H253" s="35" t="str">
        <x:v>Record, review, allocate, and pay operating expense</x:v>
      </x:c>
      <x:c r="I253" s="35" t="str">
        <x:v>P026; Property scope; </x:v>
      </x:c>
      <x:c r="J253" s="35" t="str">
        <x:v>SCN-0889</x:v>
      </x:c>
      <x:c r="K253" s="35" t="str">
        <x:v>FIN-01625</x:v>
      </x:c>
      <x:c r="L253" s="35" t="str">
        <x:v>Capture or upload the source; verify vendor, date, scope, category, line items, tax, amount, and work-order link; confirm; open detail; verify attachment; compare Money and Property/Unit views.</x:v>
      </x:c>
      <x:c r="M253" s="35" t="str">
        <x:v>One expense exists at its real operational scope, cash falls once, Schedule E category and allocations agree, and no per-unit copies are created.</x:v>
      </x:c>
      <x:c r="N253" s="35" t="str">
        <x:v>Source preview; review/form; expense detail; line items; Property/Unit ledger; audit; accounting/report delta.</x:v>
      </x:c>
      <x:c r="O253" s="35" t="str">
        <x:v>On marked duplicate-invoice cases, re-upload before confirm and prove the product prevents or clearly warns about duplication.</x:v>
      </x:c>
      <x:c r="P253" s="35" t="str">
        <x:v>All expected records and amounts match; no unexplained error or stale state.</x:v>
      </x:c>
    </x:row>
    <x:row r="254">
      <x:c r="A254" s="20" t="str">
        <x:v>RUN-20270218-04</x:v>
      </x:c>
      <x:c r="B254" s="23" t="n">
        <x:v>46436</x:v>
      </x:c>
      <x:c r="C254" s="32" t="n">
        <x:v>4</x:v>
      </x:c>
      <x:c r="D254" s="20" t="str">
        <x:v>Role and screen certification</x:v>
      </x:c>
      <x:c r="E254" s="20" t="str">
        <x:v>Workspace Administrator</x:v>
      </x:c>
      <x:c r="F254" s="20" t="str">
        <x:v>Web</x:v>
      </x:c>
      <x:c r="G254" s="20" t="str">
        <x:v>Normal persona navigation</x:v>
      </x:c>
      <x:c r="H254" s="35" t="str">
        <x:v>Use every permitted action and state on /ai</x:v>
      </x:c>
      <x:c r="I254" s="35" t="str">
        <x:v>SCR-019; ROLE-025</x:v>
      </x:c>
      <x:c r="J254" s="35" t="str"/>
      <x:c r="K254" s="35" t="str"/>
      <x:c r="L25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54" s="35" t="str">
        <x:v>The persona can use every allowed action with only its assigned properties/relationships. Hidden or disabled actions explain why; an adjacent unauthorized persona is denied without metadata leakage.</x:v>
      </x:c>
      <x:c r="N254" s="35" t="str">
        <x:v>Persona/experience; navigation entry; desktop or device screenshots; result state; persisted read-back; audit/history; authorized and denied network result.</x:v>
      </x:c>
      <x:c r="O254" s="35" t="str">
        <x:v>Open the direct URL or deep link with an adjacent unauthorized persona and with stale scope; both fail closed and land safely without mutation.</x:v>
      </x:c>
      <x:c r="P254" s="35" t="str">
        <x:v>All expected records and amounts match; no unexplained error or stale state.</x:v>
      </x:c>
    </x:row>
    <x:row r="255">
      <x:c r="A255" s="20" t="str">
        <x:v>RUN-20270218-05</x:v>
      </x:c>
      <x:c r="B255" s="23" t="n">
        <x:v>46436</x:v>
      </x:c>
      <x:c r="C255" s="32" t="n">
        <x:v>5</x:v>
      </x:c>
      <x:c r="D255" s="20" t="str">
        <x:v>Role and screen certification</x:v>
      </x:c>
      <x:c r="E255" s="20" t="str">
        <x:v>Property Manager</x:v>
      </x:c>
      <x:c r="F255" s="20" t="str">
        <x:v>Web</x:v>
      </x:c>
      <x:c r="G255" s="20" t="str">
        <x:v>Normal persona navigation</x:v>
      </x:c>
      <x:c r="H255" s="35" t="str">
        <x:v>Use every permitted action and state on /ai</x:v>
      </x:c>
      <x:c r="I255" s="35" t="str">
        <x:v>SCR-019; ROLE-026</x:v>
      </x:c>
      <x:c r="J255" s="35" t="str"/>
      <x:c r="K255" s="35" t="str"/>
      <x:c r="L25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55" s="35" t="str">
        <x:v>The persona can use every allowed action with only its assigned properties/relationships. Hidden or disabled actions explain why; an adjacent unauthorized persona is denied without metadata leakage.</x:v>
      </x:c>
      <x:c r="N255" s="35" t="str">
        <x:v>Persona/experience; navigation entry; desktop or device screenshots; result state; persisted read-back; audit/history; authorized and denied network result.</x:v>
      </x:c>
      <x:c r="O255" s="35" t="str">
        <x:v>Open the direct URL or deep link with an adjacent unauthorized persona and with stale scope; both fail closed and land safely without mutation.</x:v>
      </x:c>
      <x:c r="P255" s="35" t="str">
        <x:v>All expected records and amounts match; no unexplained error or stale state.</x:v>
      </x:c>
    </x:row>
    <x:row r="256">
      <x:c r="A256" s="20" t="str">
        <x:v>RUN-20270218-06</x:v>
      </x:c>
      <x:c r="B256" s="23" t="n">
        <x:v>46436</x:v>
      </x:c>
      <x:c r="C256" s="32" t="n">
        <x:v>6</x:v>
      </x:c>
      <x:c r="D256" s="20" t="str">
        <x:v>Field certification</x:v>
      </x:c>
      <x:c r="E256" s="20" t="str">
        <x:v>Leasing Agent</x:v>
      </x:c>
      <x:c r="F256" s="20" t="str">
        <x:v>Web</x:v>
      </x:c>
      <x:c r="G256" s="20" t="str">
        <x:v>Manual field-by-field</x:v>
      </x:c>
      <x:c r="H256" s="35" t="str">
        <x:v>Fill, save, reload, edit, and validate every declared field on web/src/lib/components/leases/AgreementSuccessorDialog.svelte</x:v>
      </x:c>
      <x:c r="I256" s="35" t="str">
        <x:v>FLD-0093; FLD-0094; FLD-0095</x:v>
      </x:c>
      <x:c r="J256" s="35" t="str"/>
      <x:c r="K256" s="35" t="str"/>
      <x:c r="L256" s="35" t="str">
        <x:v>Use the source-derived Field Inventory. Enter non-default realistic values in every control (agreement-successor-correction-reason; agreement-successor-governing-from; select-5); submit; reload or relaunch; compare every value; edit each mutable field; verify the paired client; then run required, format, length, range, boundary, optional-null, and stale-submit checks.</x:v>
      </x:c>
      <x:c r="M256" s="35" t="str">
        <x:v>All 3 inventoried controls persist exact normalized values, invalid values stay unsaved with clear errors, and hidden/unauthorized fields cannot be altered.</x:v>
      </x:c>
      <x:c r="N256" s="35" t="str">
        <x:v>Before/after form screenshots; FLD IDs; API response; reloaded UI; paired-client read-back; database/audit evidence; negative validation result.</x:v>
      </x:c>
      <x:c r="O256" s="35" t="str">
        <x:v>Use a duplicate submit and one simulated network interruption; one atomic mutation or none, never partial state.</x:v>
      </x:c>
      <x:c r="P256" s="35" t="str">
        <x:v>All expected records and amounts match; no unexplained error or stale state.</x:v>
      </x:c>
    </x:row>
    <x:row r="257">
      <x:c r="A257" s="20" t="str">
        <x:v>RUN-20270218-07</x:v>
      </x:c>
      <x:c r="B257" s="23" t="n">
        <x:v>46436</x:v>
      </x:c>
      <x:c r="C257" s="32" t="n">
        <x:v>7</x:v>
      </x:c>
      <x:c r="D257" s="20" t="str">
        <x:v>Field certification</x:v>
      </x:c>
      <x:c r="E257" s="20" t="str">
        <x:v>Leasing Agent</x:v>
      </x:c>
      <x:c r="F257" s="20" t="str">
        <x:v>Web</x:v>
      </x:c>
      <x:c r="G257" s="20" t="str">
        <x:v>Manual field-by-field</x:v>
      </x:c>
      <x:c r="H257" s="35" t="str">
        <x:v>Fill, save, reload, edit, and validate every declared field on web/src/lib/components/leases/EndingDispositionDialog.svelte</x:v>
      </x:c>
      <x:c r="I257" s="35" t="str">
        <x:v>FLD-0096</x:v>
      </x:c>
      <x:c r="J257" s="35" t="str"/>
      <x:c r="K257" s="35" t="str"/>
      <x:c r="L257" s="35" t="str">
        <x:v>Use the source-derived Field Inventory. Enter non-default realistic values in every control (disposition); submit; reload or relaunch; compare every value; edit each mutable field; verify the paired client; then run required, format, length, range, boundary, optional-null, and stale-submit checks.</x:v>
      </x:c>
      <x:c r="M257" s="35" t="str">
        <x:v>All 1 inventoried controls persist exact normalized values, invalid values stay unsaved with clear errors, and hidden/unauthorized fields cannot be altered.</x:v>
      </x:c>
      <x:c r="N257" s="35" t="str">
        <x:v>Before/after form screenshots; FLD IDs; API response; reloaded UI; paired-client read-back; database/audit evidence; negative validation result.</x:v>
      </x:c>
      <x:c r="O257" s="35" t="str">
        <x:v>Use a duplicate submit and one simulated network interruption; one atomic mutation or none, never partial state.</x:v>
      </x:c>
      <x:c r="P257" s="35" t="str">
        <x:v>All expected records and amounts match; no unexplained error or stale state.</x:v>
      </x:c>
    </x:row>
    <x:row r="258">
      <x:c r="A258" s="20" t="str">
        <x:v>RUN-20270218-08</x:v>
      </x:c>
      <x:c r="B258" s="23" t="n">
        <x:v>46436</x:v>
      </x:c>
      <x:c r="C258" s="32" t="n">
        <x:v>8</x:v>
      </x:c>
      <x:c r="D258" s="20" t="str">
        <x:v>Surface coverage</x:v>
      </x:c>
      <x:c r="E258" s="20" t="str">
        <x:v>Role appropriate to surface</x:v>
      </x:c>
      <x:c r="F258" s="20" t="str">
        <x:v>Web</x:v>
      </x:c>
      <x:c r="G258" s="20" t="str">
        <x:v>Manual</x:v>
      </x:c>
      <x:c r="H258" s="35" t="str">
        <x:v>Manual web pass: Owner entity create/edit/detail/portal access</x:v>
      </x:c>
      <x:c r="I258" s="35" t="str">
        <x:v>COV-006</x:v>
      </x:c>
      <x:c r="J258" s="35" t="str"/>
      <x:c r="K258" s="35" t="str"/>
      <x:c r="L258" s="35" t="str">
        <x:v>Create/edit owner, assign properties, invite owner, inspect statements, approvals, messages, security, and scoped properties.</x:v>
      </x:c>
      <x:c r="M258" s="35" t="str">
        <x:v>The supported workflow completes and persists correctly; if the capability is absent, the exact gap is proven and queued rather than silently skipped.</x:v>
      </x:c>
      <x:c r="N258" s="35" t="str">
        <x:v>Real UI screenshot/state; submitted values; persisted read-back; cross-client read-back; audit/role/access evidence.</x:v>
      </x:c>
      <x:c r="O258" s="35" t="str">
        <x:v>Use one invalid value, stale-state retry, or duplicate submission relevant to the form; no partial or duplicate mutation.</x:v>
      </x:c>
      <x:c r="P258" s="35" t="str">
        <x:v>All expected records and amounts match; no unexplained error or stale state.</x:v>
      </x:c>
    </x:row>
    <x:row r="259">
      <x:c r="A259" s="20" t="str">
        <x:v>RUN-20270219-01</x:v>
      </x:c>
      <x:c r="B259" s="23" t="n">
        <x:v>46437</x:v>
      </x:c>
      <x:c r="C259" s="32" t="n">
        <x:v>1</x:v>
      </x:c>
      <x:c r="D259" s="20" t="str">
        <x:v>Role and screen certification</x:v>
      </x:c>
      <x:c r="E259" s="20" t="str">
        <x:v>Workspace Administrator</x:v>
      </x:c>
      <x:c r="F259" s="20" t="str">
        <x:v>Web</x:v>
      </x:c>
      <x:c r="G259" s="20" t="str">
        <x:v>Normal persona navigation</x:v>
      </x:c>
      <x:c r="H259" s="35" t="str">
        <x:v>Use every permitted action and state on /applications</x:v>
      </x:c>
      <x:c r="I259" s="35" t="str">
        <x:v>SCR-020; ROLE-027</x:v>
      </x:c>
      <x:c r="J259" s="35" t="str"/>
      <x:c r="K259" s="35" t="str"/>
      <x:c r="L25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59" s="35" t="str">
        <x:v>The persona can use every allowed action with only its assigned properties/relationships. Hidden or disabled actions explain why; an adjacent unauthorized persona is denied without metadata leakage.</x:v>
      </x:c>
      <x:c r="N259" s="35" t="str">
        <x:v>Persona/experience; navigation entry; desktop or device screenshots; result state; persisted read-back; audit/history; authorized and denied network result.</x:v>
      </x:c>
      <x:c r="O259" s="35" t="str">
        <x:v>Open the direct URL or deep link with an adjacent unauthorized persona and with stale scope; both fail closed and land safely without mutation.</x:v>
      </x:c>
      <x:c r="P259" s="35" t="str">
        <x:v>All expected records and amounts match; no unexplained error or stale state.</x:v>
      </x:c>
    </x:row>
    <x:row r="260">
      <x:c r="A260" s="20" t="str">
        <x:v>RUN-20270219-02</x:v>
      </x:c>
      <x:c r="B260" s="23" t="n">
        <x:v>46437</x:v>
      </x:c>
      <x:c r="C260" s="32" t="n">
        <x:v>2</x:v>
      </x:c>
      <x:c r="D260" s="20" t="str">
        <x:v>Field certification</x:v>
      </x:c>
      <x:c r="E260" s="20" t="str">
        <x:v>Leasing Agent</x:v>
      </x:c>
      <x:c r="F260" s="20" t="str">
        <x:v>Web</x:v>
      </x:c>
      <x:c r="G260" s="20" t="str">
        <x:v>Manual field-by-field</x:v>
      </x:c>
      <x:c r="H260" s="35" t="str">
        <x:v>Fill, save, reload, edit, and validate every declared field on web/src/lib/components/leases/EndingDispositionDialog.svelte</x:v>
      </x:c>
      <x:c r="I260" s="35" t="str">
        <x:v>FLD-0097; FLD-0098; FLD-0099</x:v>
      </x:c>
      <x:c r="J260" s="35" t="str"/>
      <x:c r="K260" s="35" t="str"/>
      <x:c r="L260" s="35" t="str">
        <x:v>Use the source-derived Field Inventory. Enter non-default realistic values in every control (noticeDate; moveOutDate; decisionReason); submit; reload or relaunch; compare every value; edit each mutable field; verify the paired client; then run required, format, length, range, boundary, optional-null, and stale-submit checks.</x:v>
      </x:c>
      <x:c r="M260" s="35" t="str">
        <x:v>All 3 inventoried controls persist exact normalized values, invalid values stay unsaved with clear errors, and hidden/unauthorized fields cannot be altered.</x:v>
      </x:c>
      <x:c r="N260" s="35" t="str">
        <x:v>Before/after form screenshots; FLD IDs; API response; reloaded UI; paired-client read-back; database/audit evidence; negative validation result.</x:v>
      </x:c>
      <x:c r="O260" s="35" t="str">
        <x:v>Use a duplicate submit and one simulated network interruption; one atomic mutation or none, never partial state.</x:v>
      </x:c>
      <x:c r="P260" s="35" t="str">
        <x:v>All expected records and amounts match; no unexplained error or stale state.</x:v>
      </x:c>
    </x:row>
    <x:row r="261">
      <x:c r="A261" s="20" t="str">
        <x:v>RUN-20270219-03</x:v>
      </x:c>
      <x:c r="B261" s="23" t="n">
        <x:v>46437</x:v>
      </x:c>
      <x:c r="C261" s="32" t="n">
        <x:v>3</x:v>
      </x:c>
      <x:c r="D261" s="20" t="str">
        <x:v>Field certification</x:v>
      </x:c>
      <x:c r="E261" s="20" t="str">
        <x:v>Leasing Agent</x:v>
      </x:c>
      <x:c r="F261" s="20" t="str">
        <x:v>Web</x:v>
      </x:c>
      <x:c r="G261" s="20" t="str">
        <x:v>Manual field-by-field</x:v>
      </x:c>
      <x:c r="H261" s="35" t="str">
        <x:v>Fill, save, reload, edit, and validate every declared field on web/src/lib/components/leases/HouseholdManagementDialog.svelte</x:v>
      </x:c>
      <x:c r="I261" s="35" t="str">
        <x:v>FLD-0100</x:v>
      </x:c>
      <x:c r="J261" s="35" t="str"/>
      <x:c r="K261" s="35" t="str"/>
      <x:c r="L261" s="35" t="str">
        <x:v>Use the source-derived Field Inventory. Enter non-default realistic values in every control (search); submit; reload or relaunch; compare every value; edit each mutable field; verify the paired client; then run required, format, length, range, boundary, optional-null, and stale-submit checks.</x:v>
      </x:c>
      <x:c r="M261" s="35" t="str">
        <x:v>All 1 inventoried controls persist exact normalized values, invalid values stay unsaved with clear errors, and hidden/unauthorized fields cannot be altered.</x:v>
      </x:c>
      <x:c r="N261" s="35" t="str">
        <x:v>Before/after form screenshots; FLD IDs; API response; reloaded UI; paired-client read-back; database/audit evidence; negative validation result.</x:v>
      </x:c>
      <x:c r="O261" s="35" t="str">
        <x:v>Use a duplicate submit and one simulated network interruption; one atomic mutation or none, never partial state.</x:v>
      </x:c>
      <x:c r="P261" s="35" t="str">
        <x:v>All expected records and amounts match; no unexplained error or stale state.</x:v>
      </x:c>
    </x:row>
    <x:row r="262">
      <x:c r="A262" s="20" t="str">
        <x:v>RUN-20270219-04</x:v>
      </x:c>
      <x:c r="B262" s="23" t="n">
        <x:v>46437</x:v>
      </x:c>
      <x:c r="C262" s="32" t="n">
        <x:v>4</x:v>
      </x:c>
      <x:c r="D262" s="20" t="str">
        <x:v>Notification certification</x:v>
      </x:c>
      <x:c r="E262" s="20" t="str">
        <x:v>Tenant + Property Manager</x:v>
      </x:c>
      <x:c r="F262" s="20" t="str">
        <x:v>Web + Mobile</x:v>
      </x:c>
      <x:c r="G262" s="20" t="str">
        <x:v>System event + preference/manual verification</x:v>
      </x:c>
      <x:c r="H262" s="35" t="str">
        <x:v>Trigger and prove notification: Partial payment remaining</x:v>
      </x:c>
      <x:c r="I262" s="35" t="str">
        <x:v>NTF-005</x:v>
      </x:c>
      <x:c r="J262" s="35" t="str"/>
      <x:c r="K262" s="35" t="str"/>
      <x:c r="L262" s="35" t="str">
        <x:v>Set each recipient's preferences; trigger the real business event; inspect routing and recipient scope; verify unread badge, list item, safe preview, tenant account deep link, mark-read sync, configured channel outcome, provider failure/retry, and duplicate suppression.</x:v>
      </x:c>
      <x:c r="M262" s="35" t="str">
        <x:v>Exactly the intended recipients receive one correctly routed notification; disabled optional channels stay silent; deep link opens authorized context; read state synchronizes.</x:v>
      </x:c>
      <x:c r="N262" s="35" t="str">
        <x:v>Trigger record; routing decision; outbox/delivery status; web/mobile inbox; lock-screen-safe copy; deep-link target; audit/provider retry evidence.</x:v>
      </x:c>
      <x:c r="O262" s="35" t="str">
        <x:v>Re-run the worker and deliver a duplicate provider callback; no duplicate user-visible event. Attempt the deep link as an unauthorized adjacent role.</x:v>
      </x:c>
      <x:c r="P262" s="35" t="str">
        <x:v>All expected records and amounts match; no unexplained error or stale state.</x:v>
      </x:c>
    </x:row>
    <x:row r="263">
      <x:c r="A263" s="20" t="str">
        <x:v>RUN-20270219-05</x:v>
      </x:c>
      <x:c r="B263" s="23" t="n">
        <x:v>46437</x:v>
      </x:c>
      <x:c r="C263" s="32" t="n">
        <x:v>5</x:v>
      </x:c>
      <x:c r="D263" s="20" t="str">
        <x:v>Surface coverage</x:v>
      </x:c>
      <x:c r="E263" s="20" t="str">
        <x:v>Role appropriate to surface</x:v>
      </x:c>
      <x:c r="F263" s="20" t="str">
        <x:v>Mobile</x:v>
      </x:c>
      <x:c r="G263" s="20" t="str">
        <x:v>Manual</x:v>
      </x:c>
      <x:c r="H263" s="35" t="str">
        <x:v>Manual mobile pass: Owner entity create/edit/detail/portal access</x:v>
      </x:c>
      <x:c r="I263" s="35" t="str">
        <x:v>COV-006</x:v>
      </x:c>
      <x:c r="J263" s="35" t="str"/>
      <x:c r="K263" s="35" t="str"/>
      <x:c r="L263" s="35" t="str">
        <x:v>Create/edit owner, assign properties, invite owner, inspect statements, approvals, messages, security, and scoped properties.</x:v>
      </x:c>
      <x:c r="M263" s="35" t="str">
        <x:v>The supported workflow completes and persists correctly; if the capability is absent, the exact gap is proven and queued rather than silently skipped.</x:v>
      </x:c>
      <x:c r="N263" s="35" t="str">
        <x:v>Real UI screenshot/state; submitted values; persisted read-back; cross-client read-back; audit/role/access evidence.</x:v>
      </x:c>
      <x:c r="O263" s="35" t="str">
        <x:v>Use one invalid value, stale-state retry, or duplicate submission relevant to the form; no partial or duplicate mutation.</x:v>
      </x:c>
      <x:c r="P263" s="35" t="str">
        <x:v>All expected records and amounts match; no unexplained error or stale state.</x:v>
      </x:c>
    </x:row>
    <x:row r="264">
      <x:c r="A264" s="20" t="str">
        <x:v>RUN-20270220-01</x:v>
      </x:c>
      <x:c r="B264" s="23" t="n">
        <x:v>46438</x:v>
      </x:c>
      <x:c r="C264" s="32" t="n">
        <x:v>1</x:v>
      </x:c>
      <x:c r="D264" s="20" t="str">
        <x:v>Monthly close</x:v>
      </x:c>
      <x:c r="E264" s="20" t="str">
        <x:v>Workspace Administrator</x:v>
      </x:c>
      <x:c r="F264" s="20" t="str">
        <x:v>Web + Mobile</x:v>
      </x:c>
      <x:c r="G264" s="20" t="str">
        <x:v>Recurring automation + statement match</x:v>
      </x:c>
      <x:c r="H264" s="35" t="str">
        <x:v>February loan payments</x:v>
      </x:c>
      <x:c r="I264" s="35" t="str">
        <x:v>LN001; LN002; LN004; LN005; LN007; LN008; LN010; LN011; LN013; LN014; LN016; LN017; LN019; LN020; LN022; LN023; LN025; LN026; LN028; LN029</x:v>
      </x:c>
      <x:c r="J264" s="35" t="str">
        <x:v>SCN-0478; SCN-0479; SCN-0480; SCN-0481; SCN-0482; SCN-0483; SCN-0484; SCN-0485; SCN-0486; SCN-0487; SCN-0488; SCN-0489; SCN-0490; SCN-0491; SCN-0492; SCN-0493; SCN-0494; SCN-0495; SCN-0496; SCN-0497</x:v>
      </x:c>
      <x:c r="K264" s="35" t="str">
        <x:v>FIN-01121; FIN-01122; FIN-01123; FIN-01124; FIN-01125; FIN-01126; FIN-01127; FIN-01128; FIN-01129; FIN-01130; FIN-01131; FIN-01132; FIN-01133; FIN-01134; FIN-01135; FIN-01136; FIN-01137; FIN-01138; FIN-01139; FIN-01140</x:v>
      </x:c>
      <x:c r="L264" s="35" t="str">
        <x:v>Verify the recurring loan payments; attach/match each statement; compare principal, interest, cash, loan balance, amortization, Property Money view, and Schedule E interest.</x:v>
      </x:c>
      <x:c r="M264" s="35" t="str">
        <x:v>Every payment splits principal and interest once; principal reduces liability, interest is expense, and statement balance matches.</x:v>
      </x:c>
      <x:c r="N264" s="35" t="str">
        <x:v>Loan detail samples on both clients; statement attachment; amortization; Property and year-end reports.</x:v>
      </x:c>
      <x:c r="O264" s="35" t="str">
        <x:v>Attempt a duplicate recurrence run; no second payment or balance movement.</x:v>
      </x:c>
      <x:c r="P264" s="35" t="str">
        <x:v>All expected records and amounts match; no unexplained error or stale state.</x:v>
      </x:c>
    </x:row>
    <x:row r="265">
      <x:c r="A265" s="20" t="str">
        <x:v>RUN-20270220-02</x:v>
      </x:c>
      <x:c r="B265" s="23" t="n">
        <x:v>46438</x:v>
      </x:c>
      <x:c r="C265" s="32" t="n">
        <x:v>2</x:v>
      </x:c>
      <x:c r="D265" s="20" t="str">
        <x:v>Leasing</x:v>
      </x:c>
      <x:c r="E265" s="20" t="str">
        <x:v>Leasing Agent</x:v>
      </x:c>
      <x:c r="F265" s="20" t="str">
        <x:v>Web + Mobile</x:v>
      </x:c>
      <x:c r="G265" s="20" t="str">
        <x:v>Manual lifecycle command</x:v>
      </x:c>
      <x:c r="H265" s="35" t="str">
        <x:v>Approve application and prepare move-in</x:v>
      </x:c>
      <x:c r="I265" s="35" t="str">
        <x:v>L044; U038; T044</x:v>
      </x:c>
      <x:c r="J265" s="35" t="str"/>
      <x:c r="K265" s="35" t="str"/>
      <x:c r="L265" s="35" t="str">
        <x:v>Approve the selected application; run Prepare move-in; confirm parties, planned possession, rent, deposit, Tenant Account, and initial Agreement draft; invite portal access under policy.</x:v>
      </x:c>
      <x:c r="M265" s="35" t="str">
        <x:v>One planned LeaseManagement, party set, account, and agreement draft commit atomically; Unit is move-in scheduled, not occupied.</x:v>
      </x:c>
      <x:c r="N265" s="35" t="str">
        <x:v>Application decision; Unit state; parties; account; draft; portal invitation; atomic audit.</x:v>
      </x:c>
      <x:c r="O265" s="35" t="str">
        <x:v>Inject failure at the former save boundary and prove no partial relationship/account/agreement remains.</x:v>
      </x:c>
      <x:c r="P265" s="35" t="str">
        <x:v>All expected records and amounts match; no unexplained error or stale state.</x:v>
      </x:c>
    </x:row>
    <x:row r="266">
      <x:c r="A266" s="20" t="str">
        <x:v>RUN-20270222-01</x:v>
      </x:c>
      <x:c r="B266" s="23" t="n">
        <x:v>46440</x:v>
      </x:c>
      <x:c r="C266" s="32" t="n">
        <x:v>1</x:v>
      </x:c>
      <x:c r="D266" s="20" t="str">
        <x:v>Weekly operations</x:v>
      </x:c>
      <x:c r="E266" s="20" t="str">
        <x:v>Property Manager</x:v>
      </x:c>
      <x:c r="F266" s="20" t="str">
        <x:v>Web</x:v>
      </x:c>
      <x:c r="G266" s="20" t="str">
        <x:v>Scan-first</x:v>
      </x:c>
      <x:c r="H266" s="35" t="str">
        <x:v>Create and triage maintenance request</x:v>
      </x:c>
      <x:c r="I266" s="35" t="str">
        <x:v>P017; U017; WO-2027-008</x:v>
      </x:c>
      <x:c r="J266" s="35" t="str">
        <x:v>SCN-0360</x:v>
      </x:c>
      <x:c r="K266" s="35" t="str"/>
      <x:c r="L266" s="35" t="str">
        <x:v>Capture the tenant note/photo; review slow kitchen drain; confirm; set responsibility; dispatch SafeHome Locksmith; create an appointment and verify the tenant notification.</x:v>
      </x:c>
      <x:c r="M266" s="35" t="str">
        <x:v>Work order, status timeline, responsibility, vendor dispatch, appointment, notification, and Unit context are linked once.</x:v>
      </x:c>
      <x:c r="N266" s="35" t="str">
        <x:v>Scan review; work order detail/timeline; dispatch; appointment; notification; tenant portal view.</x:v>
      </x:c>
      <x:c r="O266" s="35" t="str">
        <x:v>Cancel one dispatch each quarter, reassign once, and prove status/history remains append-only.</x:v>
      </x:c>
      <x:c r="P266" s="35" t="str">
        <x:v>All expected records and amounts match; no unexplained error or stale state.</x:v>
      </x:c>
    </x:row>
    <x:row r="267">
      <x:c r="A267" s="20" t="str">
        <x:v>RUN-20270222-02</x:v>
      </x:c>
      <x:c r="B267" s="23" t="n">
        <x:v>46440</x:v>
      </x:c>
      <x:c r="C267" s="32" t="n">
        <x:v>2</x:v>
      </x:c>
      <x:c r="D267" s="20" t="str">
        <x:v>Role and screen certification</x:v>
      </x:c>
      <x:c r="E267" s="20" t="str">
        <x:v>Workspace Administrator</x:v>
      </x:c>
      <x:c r="F267" s="20" t="str">
        <x:v>Web</x:v>
      </x:c>
      <x:c r="G267" s="20" t="str">
        <x:v>Normal persona navigation</x:v>
      </x:c>
      <x:c r="H267" s="35" t="str">
        <x:v>Use every permitted action and state on /applications/[id]</x:v>
      </x:c>
      <x:c r="I267" s="35" t="str">
        <x:v>SCR-021; ROLE-028</x:v>
      </x:c>
      <x:c r="J267" s="35" t="str"/>
      <x:c r="K267" s="35" t="str"/>
      <x:c r="L26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67" s="35" t="str">
        <x:v>The persona can use every allowed action with only its assigned properties/relationships. Hidden or disabled actions explain why; an adjacent unauthorized persona is denied without metadata leakage.</x:v>
      </x:c>
      <x:c r="N267" s="35" t="str">
        <x:v>Persona/experience; navigation entry; desktop or device screenshots; result state; persisted read-back; audit/history; authorized and denied network result.</x:v>
      </x:c>
      <x:c r="O267" s="35" t="str">
        <x:v>Open the direct URL or deep link with an adjacent unauthorized persona and with stale scope; both fail closed and land safely without mutation.</x:v>
      </x:c>
      <x:c r="P267" s="35" t="str">
        <x:v>All expected records and amounts match; no unexplained error or stale state.</x:v>
      </x:c>
    </x:row>
    <x:row r="268">
      <x:c r="A268" s="20" t="str">
        <x:v>RUN-20270222-03</x:v>
      </x:c>
      <x:c r="B268" s="23" t="n">
        <x:v>46440</x:v>
      </x:c>
      <x:c r="C268" s="32" t="n">
        <x:v>3</x:v>
      </x:c>
      <x:c r="D268" s="20" t="str">
        <x:v>Field certification</x:v>
      </x:c>
      <x:c r="E268" s="20" t="str">
        <x:v>Leasing Agent</x:v>
      </x:c>
      <x:c r="F268" s="20" t="str">
        <x:v>Web</x:v>
      </x:c>
      <x:c r="G268" s="20" t="str">
        <x:v>Manual field-by-field</x:v>
      </x:c>
      <x:c r="H268" s="35" t="str">
        <x:v>Fill, save, reload, edit, and validate every declared field on web/src/lib/components/leases/HouseholdManagementDialog.svelte</x:v>
      </x:c>
      <x:c r="I268" s="35" t="str">
        <x:v>FLD-0101; FLD-0102; FLD-0103; FLD-0104; FLD-0105</x:v>
      </x:c>
      <x:c r="J268" s="35" t="str"/>
      <x:c r="K268" s="35" t="str"/>
      <x:c r="L268" s="35" t="str">
        <x:v>Use the source-derived Field Inventory. Enter non-default realistic values in every control (tenantId; role; effectiveDate; successorPartyId; agreementId); submit; reload or relaunch; compare every value; edit each mutable field; verify the paired client; then run required, format, length, range, boundary, optional-null, and stale-submit checks.</x:v>
      </x:c>
      <x:c r="M268" s="35" t="str">
        <x:v>All 5 inventoried controls persist exact normalized values, invalid values stay unsaved with clear errors, and hidden/unauthorized fields cannot be altered.</x:v>
      </x:c>
      <x:c r="N268" s="35" t="str">
        <x:v>Before/after form screenshots; FLD IDs; API response; reloaded UI; paired-client read-back; database/audit evidence; negative validation result.</x:v>
      </x:c>
      <x:c r="O268" s="35" t="str">
        <x:v>Use a duplicate submit and one simulated network interruption; one atomic mutation or none, never partial state.</x:v>
      </x:c>
      <x:c r="P268" s="35" t="str">
        <x:v>All expected records and amounts match; no unexplained error or stale state.</x:v>
      </x:c>
    </x:row>
    <x:row r="269">
      <x:c r="A269" s="20" t="str">
        <x:v>RUN-20270223-01</x:v>
      </x:c>
      <x:c r="B269" s="23" t="n">
        <x:v>46441</x:v>
      </x:c>
      <x:c r="C269" s="32" t="n">
        <x:v>1</x:v>
      </x:c>
      <x:c r="D269" s="20" t="str">
        <x:v>Weekly operations</x:v>
      </x:c>
      <x:c r="E269" s="20" t="str">
        <x:v>Property Manager</x:v>
      </x:c>
      <x:c r="F269" s="20" t="str">
        <x:v>Web</x:v>
      </x:c>
      <x:c r="G269" s="20" t="str">
        <x:v>Scanned receipt/invoice</x:v>
      </x:c>
      <x:c r="H269" s="35" t="str">
        <x:v>Record, review, allocate, and pay operating expense</x:v>
      </x:c>
      <x:c r="I269" s="35" t="str">
        <x:v>P017; U017; WO-2027-008</x:v>
      </x:c>
      <x:c r="J269" s="35" t="str">
        <x:v>SCN-0361</x:v>
      </x:c>
      <x:c r="K269" s="35" t="str">
        <x:v>FIN-01031</x:v>
      </x:c>
      <x:c r="L269" s="35" t="str">
        <x:v>Capture or upload the source; verify vendor, date, scope, category, line items, tax, amount, and work-order link; confirm; open detail; verify attachment; compare Money and Property/Unit views.</x:v>
      </x:c>
      <x:c r="M269" s="35" t="str">
        <x:v>One expense exists at its real operational scope, cash falls once, Schedule E category and allocations agree, and no per-unit copies are created.</x:v>
      </x:c>
      <x:c r="N269" s="35" t="str">
        <x:v>Source preview; review/form; expense detail; line items; Property/Unit ledger; audit; accounting/report delta.</x:v>
      </x:c>
      <x:c r="O269" s="35" t="str">
        <x:v>On marked duplicate-invoice cases, re-upload before confirm and prove the product prevents or clearly warns about duplication.</x:v>
      </x:c>
      <x:c r="P269" s="35" t="str">
        <x:v>All expected records and amounts match; no unexplained error or stale state.</x:v>
      </x:c>
    </x:row>
    <x:row r="270">
      <x:c r="A270" s="20" t="str">
        <x:v>RUN-20270223-02</x:v>
      </x:c>
      <x:c r="B270" s="23" t="n">
        <x:v>46441</x:v>
      </x:c>
      <x:c r="C270" s="32" t="n">
        <x:v>2</x:v>
      </x:c>
      <x:c r="D270" s="20" t="str">
        <x:v>Role and screen certification</x:v>
      </x:c>
      <x:c r="E270" s="20" t="str">
        <x:v>Workspace Administrator</x:v>
      </x:c>
      <x:c r="F270" s="20" t="str">
        <x:v>Web</x:v>
      </x:c>
      <x:c r="G270" s="20" t="str">
        <x:v>Normal persona navigation</x:v>
      </x:c>
      <x:c r="H270" s="35" t="str">
        <x:v>Use every permitted action and state on /appointments</x:v>
      </x:c>
      <x:c r="I270" s="35" t="str">
        <x:v>SCR-022; ROLE-029</x:v>
      </x:c>
      <x:c r="J270" s="35" t="str"/>
      <x:c r="K270" s="35" t="str"/>
      <x:c r="L2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70" s="35" t="str">
        <x:v>The persona can use every allowed action with only its assigned properties/relationships. Hidden or disabled actions explain why; an adjacent unauthorized persona is denied without metadata leakage.</x:v>
      </x:c>
      <x:c r="N270" s="35" t="str">
        <x:v>Persona/experience; navigation entry; desktop or device screenshots; result state; persisted read-back; audit/history; authorized and denied network result.</x:v>
      </x:c>
      <x:c r="O270" s="35" t="str">
        <x:v>Open the direct URL or deep link with an adjacent unauthorized persona and with stale scope; both fail closed and land safely without mutation.</x:v>
      </x:c>
      <x:c r="P270" s="35" t="str">
        <x:v>All expected records and amounts match; no unexplained error or stale state.</x:v>
      </x:c>
    </x:row>
    <x:row r="271">
      <x:c r="A271" s="20" t="str">
        <x:v>RUN-20270223-03</x:v>
      </x:c>
      <x:c r="B271" s="23" t="n">
        <x:v>46441</x:v>
      </x:c>
      <x:c r="C271" s="32" t="n">
        <x:v>3</x:v>
      </x:c>
      <x:c r="D271" s="20" t="str">
        <x:v>Role and screen certification</x:v>
      </x:c>
      <x:c r="E271" s="20" t="str">
        <x:v>Property Manager</x:v>
      </x:c>
      <x:c r="F271" s="20" t="str">
        <x:v>Web</x:v>
      </x:c>
      <x:c r="G271" s="20" t="str">
        <x:v>Normal persona navigation</x:v>
      </x:c>
      <x:c r="H271" s="35" t="str">
        <x:v>Use every permitted action and state on /appointments</x:v>
      </x:c>
      <x:c r="I271" s="35" t="str">
        <x:v>SCR-022; ROLE-030</x:v>
      </x:c>
      <x:c r="J271" s="35" t="str"/>
      <x:c r="K271" s="35" t="str"/>
      <x:c r="L27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71" s="35" t="str">
        <x:v>The persona can use every allowed action with only its assigned properties/relationships. Hidden or disabled actions explain why; an adjacent unauthorized persona is denied without metadata leakage.</x:v>
      </x:c>
      <x:c r="N271" s="35" t="str">
        <x:v>Persona/experience; navigation entry; desktop or device screenshots; result state; persisted read-back; audit/history; authorized and denied network result.</x:v>
      </x:c>
      <x:c r="O271" s="35" t="str">
        <x:v>Open the direct URL or deep link with an adjacent unauthorized persona and with stale scope; both fail closed and land safely without mutation.</x:v>
      </x:c>
      <x:c r="P271" s="35" t="str">
        <x:v>All expected records and amounts match; no unexplained error or stale state.</x:v>
      </x:c>
    </x:row>
    <x:row r="272">
      <x:c r="A272" s="20" t="str">
        <x:v>RUN-20270223-04</x:v>
      </x:c>
      <x:c r="B272" s="23" t="n">
        <x:v>46441</x:v>
      </x:c>
      <x:c r="C272" s="32" t="n">
        <x:v>4</x:v>
      </x:c>
      <x:c r="D272" s="20" t="str">
        <x:v>Field certification</x:v>
      </x:c>
      <x:c r="E272" s="20" t="str">
        <x:v>Leasing Agent</x:v>
      </x:c>
      <x:c r="F272" s="20" t="str">
        <x:v>Web</x:v>
      </x:c>
      <x:c r="G272" s="20" t="str">
        <x:v>Manual field-by-field</x:v>
      </x:c>
      <x:c r="H272" s="35" t="str">
        <x:v>Fill, save, reload, edit, and validate every declared field on web/src/lib/components/leases/HouseholdManagementDialog.svelte</x:v>
      </x:c>
      <x:c r="I272" s="35" t="str">
        <x:v>FLD-0106</x:v>
      </x:c>
      <x:c r="J272" s="35" t="str"/>
      <x:c r="K272" s="35" t="str"/>
      <x:c r="L272" s="35" t="str">
        <x:v>Use the source-derived Field Inventory. Enter non-default realistic values in every control (reason); submit; reload or relaunch; compare every value; edit each mutable field; verify the paired client; then run required, format, length, range, boundary, optional-null, and stale-submit checks.</x:v>
      </x:c>
      <x:c r="M272" s="35" t="str">
        <x:v>All 1 inventoried controls persist exact normalized values, invalid values stay unsaved with clear errors, and hidden/unauthorized fields cannot be altered.</x:v>
      </x:c>
      <x:c r="N272" s="35" t="str">
        <x:v>Before/after form screenshots; FLD IDs; API response; reloaded UI; paired-client read-back; database/audit evidence; negative validation result.</x:v>
      </x:c>
      <x:c r="O272" s="35" t="str">
        <x:v>Use a duplicate submit and one simulated network interruption; one atomic mutation or none, never partial state.</x:v>
      </x:c>
      <x:c r="P272" s="35" t="str">
        <x:v>All expected records and amounts match; no unexplained error or stale state.</x:v>
      </x:c>
    </x:row>
    <x:row r="273">
      <x:c r="A273" s="20" t="str">
        <x:v>RUN-20270223-05</x:v>
      </x:c>
      <x:c r="B273" s="23" t="n">
        <x:v>46441</x:v>
      </x:c>
      <x:c r="C273" s="32" t="n">
        <x:v>5</x:v>
      </x:c>
      <x:c r="D273" s="20" t="str">
        <x:v>Field certification</x:v>
      </x:c>
      <x:c r="E273" s="20" t="str">
        <x:v>Leasing Agent</x:v>
      </x:c>
      <x:c r="F273" s="20" t="str">
        <x:v>Web</x:v>
      </x:c>
      <x:c r="G273" s="20" t="str">
        <x:v>Manual field-by-field</x:v>
      </x:c>
      <x:c r="H273" s="35" t="str">
        <x:v>Fill, save, reload, edit, and validate every declared field on web/src/lib/components/leases/PossessionActions.svelte</x:v>
      </x:c>
      <x:c r="I273" s="35" t="str">
        <x:v>FLD-0107; FLD-0108; FLD-0109</x:v>
      </x:c>
      <x:c r="J273" s="35" t="str"/>
      <x:c r="K273" s="35" t="str"/>
      <x:c r="L273" s="35" t="str">
        <x:v>Use the source-derived Field Inventory. Enter non-default realistic values in every control (select-1; select-2; turnover-reason); submit; reload or relaunch; compare every value; edit each mutable field; verify the paired client; then run required, format, length, range, boundary, optional-null, and stale-submit checks.</x:v>
      </x:c>
      <x:c r="M273" s="35" t="str">
        <x:v>All 3 inventoried controls persist exact normalized values, invalid values stay unsaved with clear errors, and hidden/unauthorized fields cannot be altered.</x:v>
      </x:c>
      <x:c r="N273" s="35" t="str">
        <x:v>Before/after form screenshots; FLD IDs; API response; reloaded UI; paired-client read-back; database/audit evidence; negative validation result.</x:v>
      </x:c>
      <x:c r="O273" s="35" t="str">
        <x:v>Use a duplicate submit and one simulated network interruption; one atomic mutation or none, never partial state.</x:v>
      </x:c>
      <x:c r="P273" s="35" t="str">
        <x:v>All expected records and amounts match; no unexplained error or stale state.</x:v>
      </x:c>
    </x:row>
    <x:row r="274">
      <x:c r="A274" s="20" t="str">
        <x:v>RUN-20270223-06</x:v>
      </x:c>
      <x:c r="B274" s="23" t="n">
        <x:v>46441</x:v>
      </x:c>
      <x:c r="C274" s="32" t="n">
        <x:v>6</x:v>
      </x:c>
      <x:c r="D274" s="20" t="str">
        <x:v>Lifecycle certification</x:v>
      </x:c>
      <x:c r="E274" s="20" t="str">
        <x:v>Property Manager</x:v>
      </x:c>
      <x:c r="F274" s="20" t="str">
        <x:v>Web + Mobile</x:v>
      </x:c>
      <x:c r="G274" s="20" t="str">
        <x:v>Manual + scan/attachment where supported</x:v>
      </x:c>
      <x:c r="H274" s="35" t="str">
        <x:v>Complete the full create/read/edit/lifecycle/delete-safe pass for Tenant</x:v>
      </x:c>
      <x:c r="I274" s="35" t="str">
        <x:v>CRUD-004</x:v>
      </x:c>
      <x:c r="J274" s="35" t="str"/>
      <x:c r="K274" s="35" t="str"/>
      <x:c r="L274" s="35" t="str">
        <x:v>Use a dedicated disposable QA record and execute: create; edit; household roles; invite; revoke; re-invite; historical retention. Fill every field referenced by field-inventory.csv. Verify confirmation copy, cancel path, final path, reload, other-client state, history, and role denial.</x:v>
      </x:c>
      <x:c r="M274" s="35" t="str">
        <x:v>Every supported transition succeeds exactly once; forbidden destructive actions are guarded; reversible deletion/deactivation works; financial and historical truth is preserved.</x:v>
      </x:c>
      <x:c r="N274" s="35" t="str">
        <x:v>Entity before/after; both clients; all FLD IDs; audit/history; notifications; authorized and unauthorized personas; API/DB state.</x:v>
      </x:c>
      <x:c r="O274" s="35" t="str">
        <x:v>Cancel the first destructive confirmation, then repeat and confirm; retry the mutation once; no double transition or orphan.</x:v>
      </x:c>
      <x:c r="P274" s="35" t="str">
        <x:v>All expected records and amounts match; no unexplained error or stale state.</x:v>
      </x:c>
    </x:row>
    <x:row r="275">
      <x:c r="A275" s="20" t="str">
        <x:v>RUN-20270223-07</x:v>
      </x:c>
      <x:c r="B275" s="23" t="n">
        <x:v>46441</x:v>
      </x:c>
      <x:c r="C275" s="32" t="n">
        <x:v>7</x:v>
      </x:c>
      <x:c r="D275" s="20" t="str">
        <x:v>Surface coverage</x:v>
      </x:c>
      <x:c r="E275" s="20" t="str">
        <x:v>Role appropriate to surface</x:v>
      </x:c>
      <x:c r="F275" s="20" t="str">
        <x:v>Web</x:v>
      </x:c>
      <x:c r="G275" s="20" t="str">
        <x:v>Scan/attachment</x:v>
      </x:c>
      <x:c r="H275" s="35" t="str">
        <x:v>Scan web pass: Owner entity create/edit/detail/portal access</x:v>
      </x:c>
      <x:c r="I275" s="35" t="str">
        <x:v>COV-006</x:v>
      </x:c>
      <x:c r="J275" s="35" t="str"/>
      <x:c r="K275" s="35" t="str"/>
      <x:c r="L275" s="35" t="str">
        <x:v>Create/edit owner, assign properties, invite owner, inspect statements, approvals, messages, security, and scoped properties.</x:v>
      </x:c>
      <x:c r="M275" s="35" t="str">
        <x:v>The supported workflow completes and persists correctly; if the capability is absent, the exact gap is proven and queued rather than silently skipped.</x:v>
      </x:c>
      <x:c r="N275" s="35" t="str">
        <x:v>Real UI screenshot/state; submitted values; persisted read-back; cross-client read-back; audit/role/access evidence.</x:v>
      </x:c>
      <x:c r="O275" s="35" t="str">
        <x:v>Use one invalid value, stale-state retry, or duplicate submission relevant to the form; no partial or duplicate mutation.</x:v>
      </x:c>
      <x:c r="P275" s="35" t="str">
        <x:v>All expected records and amounts match; no unexplained error or stale state.</x:v>
      </x:c>
    </x:row>
    <x:row r="276">
      <x:c r="A276" s="20" t="str">
        <x:v>RUN-20270224-01</x:v>
      </x:c>
      <x:c r="B276" s="23" t="n">
        <x:v>46442</x:v>
      </x:c>
      <x:c r="C276" s="32" t="n">
        <x:v>1</x:v>
      </x:c>
      <x:c r="D276" s="20" t="str">
        <x:v>Leasing</x:v>
      </x:c>
      <x:c r="E276" s="20" t="str">
        <x:v>Leasing Agent</x:v>
      </x:c>
      <x:c r="F276" s="20" t="str">
        <x:v>Web</x:v>
      </x:c>
      <x:c r="G276" s="20" t="str">
        <x:v>Scan/document + e-sign</x:v>
      </x:c>
      <x:c r="H276" s="35" t="str">
        <x:v>Issue and execute lease agreement</x:v>
      </x:c>
      <x:c r="I276" s="35" t="str">
        <x:v>L044; U038</x:v>
      </x:c>
      <x:c r="J276" s="35" t="str">
        <x:v>SCN-0928</x:v>
      </x:c>
      <x:c r="K276" s="35" t="str"/>
      <x:c r="L276" s="35" t="str">
        <x:v>Confirm the scanned/native agreement against the prepared draft; issue a signature packet; view as landlord and tenant; sign; finalize immutable PDF/hash; verify Agreement is Upcoming until effective date.</x:v>
      </x:c>
      <x:c r="M276" s="35" t="str">
        <x:v>Issued version is immutable, one signature packet is active, audit events are complete, and the effective-status projection follows the simulated date.</x:v>
      </x:c>
      <x:c r="N276" s="35" t="str">
        <x:v>Draft/issued/final PDFs; hashes; signer states; signature audit; portal view; status before/after effective date.</x:v>
      </x:c>
      <x:c r="O276" s="35" t="str">
        <x:v>Void one deliberately incorrect issued packet, issue a replacement, and prove the voided artifact remains while no competing active packet exists.</x:v>
      </x:c>
      <x:c r="P276" s="35" t="str">
        <x:v>All expected records and amounts match; no unexplained error or stale state.</x:v>
      </x:c>
    </x:row>
    <x:row r="277">
      <x:c r="A277" s="20" t="str">
        <x:v>RUN-20270224-02</x:v>
      </x:c>
      <x:c r="B277" s="23" t="n">
        <x:v>46442</x:v>
      </x:c>
      <x:c r="C277" s="32" t="n">
        <x:v>2</x:v>
      </x:c>
      <x:c r="D277" s="20" t="str">
        <x:v>Field certification</x:v>
      </x:c>
      <x:c r="E277" s="20" t="str">
        <x:v>Leasing Agent</x:v>
      </x:c>
      <x:c r="F277" s="20" t="str">
        <x:v>Web</x:v>
      </x:c>
      <x:c r="G277" s="20" t="str">
        <x:v>Manual field-by-field</x:v>
      </x:c>
      <x:c r="H277" s="35" t="str">
        <x:v>Fill, save, reload, edit, and validate every declared field on web/src/lib/components/leasing/LeasingListPage.svelte</x:v>
      </x:c>
      <x:c r="I277" s="35" t="str">
        <x:v>FLD-0110</x:v>
      </x:c>
      <x:c r="J277" s="35" t="str"/>
      <x:c r="K277" s="35" t="str"/>
      <x:c r="L277" s="35" t="str">
        <x:v>Use the source-derived Field Inventory. Enter non-default realistic values in every control (search); submit; reload or relaunch; compare every value; edit each mutable field; verify the paired client; then run required, format, length, range, boundary, optional-null, and stale-submit checks.</x:v>
      </x:c>
      <x:c r="M277" s="35" t="str">
        <x:v>All 1 inventoried controls persist exact normalized values, invalid values stay unsaved with clear errors, and hidden/unauthorized fields cannot be altered.</x:v>
      </x:c>
      <x:c r="N277" s="35" t="str">
        <x:v>Before/after form screenshots; FLD IDs; API response; reloaded UI; paired-client read-back; database/audit evidence; negative validation result.</x:v>
      </x:c>
      <x:c r="O277" s="35" t="str">
        <x:v>Use a duplicate submit and one simulated network interruption; one atomic mutation or none, never partial state.</x:v>
      </x:c>
      <x:c r="P277" s="35" t="str">
        <x:v>All expected records and amounts match; no unexplained error or stale state.</x:v>
      </x:c>
    </x:row>
    <x:row r="278">
      <x:c r="A278" s="20" t="str">
        <x:v>RUN-20270224-03</x:v>
      </x:c>
      <x:c r="B278" s="23" t="n">
        <x:v>46442</x:v>
      </x:c>
      <x:c r="C278" s="32" t="n">
        <x:v>3</x:v>
      </x:c>
      <x:c r="D278" s="20" t="str">
        <x:v>Field certification</x:v>
      </x:c>
      <x:c r="E278" s="20" t="str">
        <x:v>Property Manager</x:v>
      </x:c>
      <x:c r="F278" s="20" t="str">
        <x:v>Web</x:v>
      </x:c>
      <x:c r="G278" s="20" t="str">
        <x:v>Manual field-by-field</x:v>
      </x:c>
      <x:c r="H278" s="35" t="str">
        <x:v>Fill, save, reload, edit, and validate every declared field on web/src/lib/components/notices/TenantNoticeDialog.svelte</x:v>
      </x:c>
      <x:c r="I278" s="35" t="str">
        <x:v>FLD-0111; FLD-0112</x:v>
      </x:c>
      <x:c r="J278" s="35" t="str"/>
      <x:c r="K278" s="35" t="str"/>
      <x:c r="L278" s="35" t="str">
        <x:v>Use the source-derived Field Inventory. Enter non-default realistic values in every control (input-1; textarea-2); submit; reload or relaunch; compare every value; edit each mutable field; verify the paired client; then run required, format, length, range, boundary, optional-null, and stale-submit checks.</x:v>
      </x:c>
      <x:c r="M278" s="35" t="str">
        <x:v>All 2 inventoried controls persist exact normalized values, invalid values stay unsaved with clear errors, and hidden/unauthorized fields cannot be altered.</x:v>
      </x:c>
      <x:c r="N278" s="35" t="str">
        <x:v>Before/after form screenshots; FLD IDs; API response; reloaded UI; paired-client read-back; database/audit evidence; negative validation result.</x:v>
      </x:c>
      <x:c r="O278" s="35" t="str">
        <x:v>Use a duplicate submit and one simulated network interruption; one atomic mutation or none, never partial state.</x:v>
      </x:c>
      <x:c r="P278" s="35" t="str">
        <x:v>All expected records and amounts match; no unexplained error or stale state.</x:v>
      </x:c>
    </x:row>
    <x:row r="279">
      <x:c r="A279" s="20" t="str">
        <x:v>RUN-20270224-04</x:v>
      </x:c>
      <x:c r="B279" s="23" t="n">
        <x:v>46442</x:v>
      </x:c>
      <x:c r="C279" s="32" t="n">
        <x:v>4</x:v>
      </x:c>
      <x:c r="D279" s="20" t="str">
        <x:v>Field certification</x:v>
      </x:c>
      <x:c r="E279" s="20" t="str">
        <x:v>Property Manager</x:v>
      </x:c>
      <x:c r="F279" s="20" t="str">
        <x:v>Web</x:v>
      </x:c>
      <x:c r="G279" s="20" t="str">
        <x:v>Manual field-by-field</x:v>
      </x:c>
      <x:c r="H279" s="35" t="str">
        <x:v>Fill, save, reload, edit, and validate every declared field on web/src/lib/components/notifications/NoticePreview.svelte</x:v>
      </x:c>
      <x:c r="I279" s="35" t="str">
        <x:v>FLD-0113</x:v>
      </x:c>
      <x:c r="J279" s="35" t="str"/>
      <x:c r="K279" s="35" t="str"/>
      <x:c r="L279" s="35" t="str">
        <x:v>Use the source-derived Field Inventory. Enter non-default realistic values in every control (testDestination); submit; reload or relaunch; compare every value; edit each mutable field; verify the paired client; then run required, format, length, range, boundary, optional-null, and stale-submit checks.</x:v>
      </x:c>
      <x:c r="M279" s="35" t="str">
        <x:v>All 1 inventoried controls persist exact normalized values, invalid values stay unsaved with clear errors, and hidden/unauthorized fields cannot be altered.</x:v>
      </x:c>
      <x:c r="N279" s="35" t="str">
        <x:v>Before/after form screenshots; FLD IDs; API response; reloaded UI; paired-client read-back; database/audit evidence; negative validation result.</x:v>
      </x:c>
      <x:c r="O279" s="35" t="str">
        <x:v>Use a duplicate submit and one simulated network interruption; one atomic mutation or none, never partial state.</x:v>
      </x:c>
      <x:c r="P279" s="35" t="str">
        <x:v>All expected records and amounts match; no unexplained error or stale state.</x:v>
      </x:c>
    </x:row>
    <x:row r="280">
      <x:c r="A280" s="20" t="str">
        <x:v>RUN-20270224-05</x:v>
      </x:c>
      <x:c r="B280" s="23" t="n">
        <x:v>46442</x:v>
      </x:c>
      <x:c r="C280" s="32" t="n">
        <x:v>5</x:v>
      </x:c>
      <x:c r="D280" s="20" t="str">
        <x:v>Field certification</x:v>
      </x:c>
      <x:c r="E280" s="20" t="str">
        <x:v>Property Manager</x:v>
      </x:c>
      <x:c r="F280" s="20" t="str">
        <x:v>Web</x:v>
      </x:c>
      <x:c r="G280" s="20" t="str">
        <x:v>Manual field-by-field</x:v>
      </x:c>
      <x:c r="H280" s="35" t="str">
        <x:v>Fill, save, reload, edit, and validate every declared field on web/src/lib/components/onboarding/LeasePhotoPrefill.svelte</x:v>
      </x:c>
      <x:c r="I280" s="35" t="str">
        <x:v>FLD-0114</x:v>
      </x:c>
      <x:c r="J280" s="35" t="str"/>
      <x:c r="K280" s="35" t="str"/>
      <x:c r="L280" s="35" t="str">
        <x:v>Use the source-derived Field Inventory. Enter non-default realistic values in every control (`lease-prefill-include-${row.name); submit; reload or relaunch; compare every value; edit each mutable field; verify the paired client; then run required, format, length, range, boundary, optional-null, and stale-submit checks.</x:v>
      </x:c>
      <x:c r="M280" s="35" t="str">
        <x:v>All 1 inventoried controls persist exact normalized values, invalid values stay unsaved with clear errors, and hidden/unauthorized fields cannot be altered.</x:v>
      </x:c>
      <x:c r="N280" s="35" t="str">
        <x:v>Before/after form screenshots; FLD IDs; API response; reloaded UI; paired-client read-back; database/audit evidence; negative validation result.</x:v>
      </x:c>
      <x:c r="O280" s="35" t="str">
        <x:v>Use a duplicate submit and one simulated network interruption; one atomic mutation or none, never partial state.</x:v>
      </x:c>
      <x:c r="P280" s="35" t="str">
        <x:v>All expected records and amounts match; no unexplained error or stale state.</x:v>
      </x:c>
    </x:row>
    <x:row r="281">
      <x:c r="A281" s="20" t="str">
        <x:v>RUN-20270224-06</x:v>
      </x:c>
      <x:c r="B281" s="23" t="n">
        <x:v>46442</x:v>
      </x:c>
      <x:c r="C281" s="32" t="n">
        <x:v>6</x:v>
      </x:c>
      <x:c r="D281" s="20" t="str">
        <x:v>Surface coverage</x:v>
      </x:c>
      <x:c r="E281" s="20" t="str">
        <x:v>Role appropriate to surface</x:v>
      </x:c>
      <x:c r="F281" s="20" t="str">
        <x:v>Mobile</x:v>
      </x:c>
      <x:c r="G281" s="20" t="str">
        <x:v>Scan/attachment</x:v>
      </x:c>
      <x:c r="H281" s="35" t="str">
        <x:v>Scan mobile pass: Owner entity create/edit/detail/portal access</x:v>
      </x:c>
      <x:c r="I281" s="35" t="str">
        <x:v>COV-006</x:v>
      </x:c>
      <x:c r="J281" s="35" t="str"/>
      <x:c r="K281" s="35" t="str"/>
      <x:c r="L281" s="35" t="str">
        <x:v>Create/edit owner, assign properties, invite owner, inspect statements, approvals, messages, security, and scoped properties.</x:v>
      </x:c>
      <x:c r="M281" s="35" t="str">
        <x:v>The supported workflow completes and persists correctly; if the capability is absent, the exact gap is proven and queued rather than silently skipped.</x:v>
      </x:c>
      <x:c r="N281" s="35" t="str">
        <x:v>Real UI screenshot/state; submitted values; persisted read-back; cross-client read-back; audit/role/access evidence.</x:v>
      </x:c>
      <x:c r="O281" s="35" t="str">
        <x:v>Use one invalid value, stale-state retry, or duplicate submission relevant to the form; no partial or duplicate mutation.</x:v>
      </x:c>
      <x:c r="P281" s="35" t="str">
        <x:v>All expected records and amounts match; no unexplained error or stale state.</x:v>
      </x:c>
    </x:row>
    <x:row r="282">
      <x:c r="A282" s="20" t="str">
        <x:v>RUN-20270225-01</x:v>
      </x:c>
      <x:c r="B282" s="23" t="n">
        <x:v>46443</x:v>
      </x:c>
      <x:c r="C282" s="32" t="n">
        <x:v>1</x:v>
      </x:c>
      <x:c r="D282" s="20" t="str">
        <x:v>Monthly close</x:v>
      </x:c>
      <x:c r="E282" s="20" t="str">
        <x:v>Owner + Workspace Administrator</x:v>
      </x:c>
      <x:c r="F282" s="20" t="str">
        <x:v>Web + Mobile owner portal</x:v>
      </x:c>
      <x:c r="G282" s="20" t="str">
        <x:v>Manual approval</x:v>
      </x:c>
      <x:c r="H282" s="35" t="str">
        <x:v>February owner statements and distributions</x:v>
      </x:c>
      <x:c r="I282" s="35" t="str">
        <x:v>O01-O05</x:v>
      </x:c>
      <x:c r="J282" s="35" t="str"/>
      <x:c r="K282" s="35" t="str">
        <x:v>FIN-01141; FIN-01142; FIN-01143; FIN-01144; FIN-01145</x:v>
      </x:c>
      <x:c r="L282" s="35" t="str">
        <x:v>Generate owner statements; review income/expense allocations; approve distributions; record the bank export; open statements from owner portal on web and mobile.</x:v>
      </x:c>
      <x:c r="M282" s="35" t="str">
        <x:v>Five owner statements agree with Property/accounting totals and five distributions reduce cash/equity distributions without becoming expenses.</x:v>
      </x:c>
      <x:c r="N282" s="35" t="str">
        <x:v>Statements; approvals; owner portal PDFs; distribution rows; bank references; audit.</x:v>
      </x:c>
      <x:c r="O282" s="35" t="str">
        <x:v>Reject one draft distribution before approval each quarter and prove no cash event is posted.</x:v>
      </x:c>
      <x:c r="P282" s="35" t="str">
        <x:v>All expected records and amounts match; no unexplained error or stale state.</x:v>
      </x:c>
    </x:row>
    <x:row r="283">
      <x:c r="A283" s="20" t="str">
        <x:v>RUN-20270225-02</x:v>
      </x:c>
      <x:c r="B283" s="23" t="n">
        <x:v>46443</x:v>
      </x:c>
      <x:c r="C283" s="32" t="n">
        <x:v>2</x:v>
      </x:c>
      <x:c r="D283" s="20" t="str">
        <x:v>Leasing</x:v>
      </x:c>
      <x:c r="E283" s="20" t="str">
        <x:v>Leasing Agent</x:v>
      </x:c>
      <x:c r="F283" s="20" t="str">
        <x:v>Mobile</x:v>
      </x:c>
      <x:c r="G283" s="20" t="str">
        <x:v>Scan-first</x:v>
      </x:c>
      <x:c r="H283" s="35" t="str">
        <x:v>Application intake and pipeline</x:v>
      </x:c>
      <x:c r="I283" s="35" t="str">
        <x:v>P005; U005; L037; T037</x:v>
      </x:c>
      <x:c r="J283" s="35" t="str">
        <x:v>SCN-0909</x:v>
      </x:c>
      <x:c r="K283" s="35" t="str"/>
      <x:c r="L283" s="35" t="str">
        <x:v>Upload/capture the application; review extracted applicant and unit context; confirm; inspect pipeline; request screening in synthetic/test-only mode; record a fair, documented decision.</x:v>
      </x:c>
      <x:c r="M283" s="35" t="str">
        <x:v>Application, applicant tenant prospect, unit link, status history, screening placeholder, and communication are created once without exposing sensitive values.</x:v>
      </x:c>
      <x:c r="N283" s="35" t="str">
        <x:v>Scan draft; Application detail; pipeline; status audit; applicant communication; role/access proof.</x:v>
      </x:c>
      <x:c r="O283" s="35" t="str">
        <x:v>Upload a duplicate application and a wrong-unit application; no duplicate person or cross-property link.</x:v>
      </x:c>
      <x:c r="P283" s="35" t="str">
        <x:v>All expected records and amounts match; no unexplained error or stale state.</x:v>
      </x:c>
    </x:row>
    <x:row r="284">
      <x:c r="A284" s="20" t="str">
        <x:v>RUN-20270225-03</x:v>
      </x:c>
      <x:c r="B284" s="23" t="n">
        <x:v>46443</x:v>
      </x:c>
      <x:c r="C284" s="32" t="n">
        <x:v>3</x:v>
      </x:c>
      <x:c r="D284" s="20" t="str">
        <x:v>Role and screen certification</x:v>
      </x:c>
      <x:c r="E284" s="20" t="str">
        <x:v>Workspace Administrator</x:v>
      </x:c>
      <x:c r="F284" s="20" t="str">
        <x:v>Web</x:v>
      </x:c>
      <x:c r="G284" s="20" t="str">
        <x:v>Normal persona navigation</x:v>
      </x:c>
      <x:c r="H284" s="35" t="str">
        <x:v>Use every permitted action and state on /appointments/[id]</x:v>
      </x:c>
      <x:c r="I284" s="35" t="str">
        <x:v>SCR-023; ROLE-031</x:v>
      </x:c>
      <x:c r="J284" s="35" t="str"/>
      <x:c r="K284" s="35" t="str"/>
      <x:c r="L28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84" s="35" t="str">
        <x:v>The persona can use every allowed action with only its assigned properties/relationships. Hidden or disabled actions explain why; an adjacent unauthorized persona is denied without metadata leakage.</x:v>
      </x:c>
      <x:c r="N284" s="35" t="str">
        <x:v>Persona/experience; navigation entry; desktop or device screenshots; result state; persisted read-back; audit/history; authorized and denied network result.</x:v>
      </x:c>
      <x:c r="O284" s="35" t="str">
        <x:v>Open the direct URL or deep link with an adjacent unauthorized persona and with stale scope; both fail closed and land safely without mutation.</x:v>
      </x:c>
      <x:c r="P284" s="35" t="str">
        <x:v>All expected records and amounts match; no unexplained error or stale state.</x:v>
      </x:c>
    </x:row>
    <x:row r="285">
      <x:c r="A285" s="20" t="str">
        <x:v>RUN-20270225-04</x:v>
      </x:c>
      <x:c r="B285" s="23" t="n">
        <x:v>46443</x:v>
      </x:c>
      <x:c r="C285" s="32" t="n">
        <x:v>4</x:v>
      </x:c>
      <x:c r="D285" s="20" t="str">
        <x:v>Role and screen certification</x:v>
      </x:c>
      <x:c r="E285" s="20" t="str">
        <x:v>Property Manager</x:v>
      </x:c>
      <x:c r="F285" s="20" t="str">
        <x:v>Web</x:v>
      </x:c>
      <x:c r="G285" s="20" t="str">
        <x:v>Normal persona navigation</x:v>
      </x:c>
      <x:c r="H285" s="35" t="str">
        <x:v>Use every permitted action and state on /appointments/[id]</x:v>
      </x:c>
      <x:c r="I285" s="35" t="str">
        <x:v>SCR-023; ROLE-032</x:v>
      </x:c>
      <x:c r="J285" s="35" t="str"/>
      <x:c r="K285" s="35" t="str"/>
      <x:c r="L28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85" s="35" t="str">
        <x:v>The persona can use every allowed action with only its assigned properties/relationships. Hidden or disabled actions explain why; an adjacent unauthorized persona is denied without metadata leakage.</x:v>
      </x:c>
      <x:c r="N285" s="35" t="str">
        <x:v>Persona/experience; navigation entry; desktop or device screenshots; result state; persisted read-back; audit/history; authorized and denied network result.</x:v>
      </x:c>
      <x:c r="O285" s="35" t="str">
        <x:v>Open the direct URL or deep link with an adjacent unauthorized persona and with stale scope; both fail closed and land safely without mutation.</x:v>
      </x:c>
      <x:c r="P285" s="35" t="str">
        <x:v>All expected records and amounts match; no unexplained error or stale state.</x:v>
      </x:c>
    </x:row>
    <x:row r="286">
      <x:c r="A286" s="20" t="str">
        <x:v>RUN-20270225-05</x:v>
      </x:c>
      <x:c r="B286" s="23" t="n">
        <x:v>46443</x:v>
      </x:c>
      <x:c r="C286" s="32" t="n">
        <x:v>5</x:v>
      </x:c>
      <x:c r="D286" s="20" t="str">
        <x:v>Field certification</x:v>
      </x:c>
      <x:c r="E286" s="20" t="str">
        <x:v>Property Manager</x:v>
      </x:c>
      <x:c r="F286" s="20" t="str">
        <x:v>Web</x:v>
      </x:c>
      <x:c r="G286" s="20" t="str">
        <x:v>Manual field-by-field</x:v>
      </x:c>
      <x:c r="H286" s="35" t="str">
        <x:v>Fill, save, reload, edit, and validate every declared field on web/src/lib/components/property/PropertyLoansSection.svelte</x:v>
      </x:c>
      <x:c r="I286" s="35" t="str">
        <x:v>FLD-0115; FLD-0116</x:v>
      </x:c>
      <x:c r="J286" s="35" t="str"/>
      <x:c r="K286" s="35" t="str"/>
      <x:c r="L286" s="35" t="str">
        <x:v>Use the source-derived Field Inventory. Enter non-default realistic values in every control (loan-escrow-taxes; loan-escrow-insurance); submit; reload or relaunch; compare every value; edit each mutable field; verify the paired client; then run required, format, length, range, boundary, optional-null, and stale-submit checks.</x:v>
      </x:c>
      <x:c r="M286" s="35" t="str">
        <x:v>All 2 inventoried controls persist exact normalized values, invalid values stay unsaved with clear errors, and hidden/unauthorized fields cannot be altered.</x:v>
      </x:c>
      <x:c r="N286" s="35" t="str">
        <x:v>Before/after form screenshots; FLD IDs; API response; reloaded UI; paired-client read-back; database/audit evidence; negative validation result.</x:v>
      </x:c>
      <x:c r="O286" s="35" t="str">
        <x:v>Use a duplicate submit and one simulated network interruption; one atomic mutation or none, never partial state.</x:v>
      </x:c>
      <x:c r="P286" s="35" t="str">
        <x:v>All expected records and amounts match; no unexplained error or stale state.</x:v>
      </x:c>
    </x:row>
    <x:row r="287">
      <x:c r="A287" s="20" t="str">
        <x:v>RUN-20270225-06</x:v>
      </x:c>
      <x:c r="B287" s="23" t="n">
        <x:v>46443</x:v>
      </x:c>
      <x:c r="C287" s="32" t="n">
        <x:v>6</x:v>
      </x:c>
      <x:c r="D287" s="20" t="str">
        <x:v>Field certification</x:v>
      </x:c>
      <x:c r="E287" s="20" t="str">
        <x:v>Property Manager</x:v>
      </x:c>
      <x:c r="F287" s="20" t="str">
        <x:v>Web</x:v>
      </x:c>
      <x:c r="G287" s="20" t="str">
        <x:v>Manual field-by-field</x:v>
      </x:c>
      <x:c r="H287" s="35" t="str">
        <x:v>Fill, save, reload, edit, and validate every declared field on web/src/lib/components/records/ApplicationDetail.svelte</x:v>
      </x:c>
      <x:c r="I287" s="35" t="str">
        <x:v>FLD-0117; FLD-0118</x:v>
      </x:c>
      <x:c r="J287" s="35" t="str"/>
      <x:c r="K287" s="35" t="str"/>
      <x:c r="L287" s="35" t="str">
        <x:v>Use the source-derived Field Inventory. Enter non-default realistic values in every control (externalProvider; externalReference); submit; reload or relaunch; compare every value; edit each mutable field; verify the paired client; then run required, format, length, range, boundary, optional-null, and stale-submit checks.</x:v>
      </x:c>
      <x:c r="M287" s="35" t="str">
        <x:v>All 2 inventoried controls persist exact normalized values, invalid values stay unsaved with clear errors, and hidden/unauthorized fields cannot be altered.</x:v>
      </x:c>
      <x:c r="N287" s="35" t="str">
        <x:v>Before/after form screenshots; FLD IDs; API response; reloaded UI; paired-client read-back; database/audit evidence; negative validation result.</x:v>
      </x:c>
      <x:c r="O287" s="35" t="str">
        <x:v>Use a duplicate submit and one simulated network interruption; one atomic mutation or none, never partial state.</x:v>
      </x:c>
      <x:c r="P287" s="35" t="str">
        <x:v>All expected records and amounts match; no unexplained error or stale state.</x:v>
      </x:c>
    </x:row>
    <x:row r="288">
      <x:c r="A288" s="20" t="str">
        <x:v>RUN-20270225-07</x:v>
      </x:c>
      <x:c r="B288" s="23" t="n">
        <x:v>46443</x:v>
      </x:c>
      <x:c r="C288" s="32" t="n">
        <x:v>7</x:v>
      </x:c>
      <x:c r="D288" s="20" t="str">
        <x:v>Surface coverage</x:v>
      </x:c>
      <x:c r="E288" s="20" t="str">
        <x:v>Role appropriate to surface</x:v>
      </x:c>
      <x:c r="F288" s="20" t="str">
        <x:v>Web</x:v>
      </x:c>
      <x:c r="G288" s="20" t="str">
        <x:v>Manual</x:v>
      </x:c>
      <x:c r="H288" s="35" t="str">
        <x:v>Manual web pass: Tenant create/edit/detail/access lifecycle</x:v>
      </x:c>
      <x:c r="I288" s="35" t="str">
        <x:v>COV-007</x:v>
      </x:c>
      <x:c r="J288" s="35" t="str"/>
      <x:c r="K288" s="35" t="str"/>
      <x:c r="L288" s="35" t="str">
        <x:v>Create/edit tenant, household membership, portal invite/revoke/reinvite, security link, current/historical lease.</x:v>
      </x:c>
      <x:c r="M288" s="35" t="str">
        <x:v>The supported workflow completes and persists correctly; if the capability is absent, the exact gap is proven and queued rather than silently skipped.</x:v>
      </x:c>
      <x:c r="N288" s="35" t="str">
        <x:v>Real UI screenshot/state; submitted values; persisted read-back; cross-client read-back; audit/role/access evidence.</x:v>
      </x:c>
      <x:c r="O288" s="35" t="str">
        <x:v>Use one invalid value, stale-state retry, or duplicate submission relevant to the form; no partial or duplicate mutation.</x:v>
      </x:c>
      <x:c r="P288" s="35" t="str">
        <x:v>All expected records and amounts match; no unexplained error or stale state.</x:v>
      </x:c>
    </x:row>
    <x:row r="289">
      <x:c r="A289" s="20" t="str">
        <x:v>RUN-20270226-01</x:v>
      </x:c>
      <x:c r="B289" s="23" t="n">
        <x:v>46444</x:v>
      </x:c>
      <x:c r="C289" s="32" t="n">
        <x:v>1</x:v>
      </x:c>
      <x:c r="D289" s="20" t="str">
        <x:v>Role and screen certification</x:v>
      </x:c>
      <x:c r="E289" s="20" t="str">
        <x:v>Maintenance Technician</x:v>
      </x:c>
      <x:c r="F289" s="20" t="str">
        <x:v>Web</x:v>
      </x:c>
      <x:c r="G289" s="20" t="str">
        <x:v>Normal persona navigation</x:v>
      </x:c>
      <x:c r="H289" s="35" t="str">
        <x:v>Use every permitted action and state on /assignment-inbox</x:v>
      </x:c>
      <x:c r="I289" s="35" t="str">
        <x:v>SCR-024; ROLE-033</x:v>
      </x:c>
      <x:c r="J289" s="35" t="str"/>
      <x:c r="K289" s="35" t="str"/>
      <x:c r="L28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89" s="35" t="str">
        <x:v>The persona can use every allowed action with only its assigned properties/relationships. Hidden or disabled actions explain why; an adjacent unauthorized persona is denied without metadata leakage.</x:v>
      </x:c>
      <x:c r="N289" s="35" t="str">
        <x:v>Persona/experience; navigation entry; desktop or device screenshots; result state; persisted read-back; audit/history; authorized and denied network result.</x:v>
      </x:c>
      <x:c r="O289" s="35" t="str">
        <x:v>Open the direct URL or deep link with an adjacent unauthorized persona and with stale scope; both fail closed and land safely without mutation.</x:v>
      </x:c>
      <x:c r="P289" s="35" t="str">
        <x:v>All expected records and amounts match; no unexplained error or stale state.</x:v>
      </x:c>
    </x:row>
    <x:row r="290">
      <x:c r="A290" s="20" t="str">
        <x:v>RUN-20270226-02</x:v>
      </x:c>
      <x:c r="B290" s="23" t="n">
        <x:v>46444</x:v>
      </x:c>
      <x:c r="C290" s="32" t="n">
        <x:v>2</x:v>
      </x:c>
      <x:c r="D290" s="20" t="str">
        <x:v>Field certification</x:v>
      </x:c>
      <x:c r="E290" s="20" t="str">
        <x:v>Property Manager</x:v>
      </x:c>
      <x:c r="F290" s="20" t="str">
        <x:v>Web</x:v>
      </x:c>
      <x:c r="G290" s="20" t="str">
        <x:v>Manual field-by-field</x:v>
      </x:c>
      <x:c r="H290" s="35" t="str">
        <x:v>Fill, save, reload, edit, and validate every declared field on web/src/lib/components/records/ApplicationDetail.svelte</x:v>
      </x:c>
      <x:c r="I290" s="35" t="str">
        <x:v>FLD-0119; FLD-0120; FLD-0121; FLD-0122; FLD-0123</x:v>
      </x:c>
      <x:c r="J290" s="35" t="str"/>
      <x:c r="K290" s="35" t="str"/>
      <x:c r="L290" s="35" t="str">
        <x:v>Use the source-derived Field Inventory. Enter non-default realistic values in every control (externalUrl; externalCraName; externalCraPhone; externalCraAddress; application-edit-first); submit; reload or relaunch; compare every value; edit each mutable field; verify the paired client; then run required, format, length, range, boundary, optional-null, and stale-submit checks.</x:v>
      </x:c>
      <x:c r="M290" s="35" t="str">
        <x:v>All 5 inventoried controls persist exact normalized values, invalid values stay unsaved with clear errors, and hidden/unauthorized fields cannot be altered.</x:v>
      </x:c>
      <x:c r="N290" s="35" t="str">
        <x:v>Before/after form screenshots; FLD IDs; API response; reloaded UI; paired-client read-back; database/audit evidence; negative validation result.</x:v>
      </x:c>
      <x:c r="O290" s="35" t="str">
        <x:v>Use a duplicate submit and one simulated network interruption; one atomic mutation or none, never partial state.</x:v>
      </x:c>
      <x:c r="P290" s="35" t="str">
        <x:v>All expected records and amounts match; no unexplained error or stale state.</x:v>
      </x:c>
    </x:row>
    <x:row r="291">
      <x:c r="A291" s="20" t="str">
        <x:v>RUN-20270226-03</x:v>
      </x:c>
      <x:c r="B291" s="23" t="n">
        <x:v>46444</x:v>
      </x:c>
      <x:c r="C291" s="32" t="n">
        <x:v>3</x:v>
      </x:c>
      <x:c r="D291" s="20" t="str">
        <x:v>Notification certification</x:v>
      </x:c>
      <x:c r="E291" s="20" t="str">
        <x:v>Tenant + Property Manager</x:v>
      </x:c>
      <x:c r="F291" s="20" t="str">
        <x:v>Web + Mobile</x:v>
      </x:c>
      <x:c r="G291" s="20" t="str">
        <x:v>System event + preference/manual verification</x:v>
      </x:c>
      <x:c r="H291" s="35" t="str">
        <x:v>Trigger and prove notification: Payment failed/NSF</x:v>
      </x:c>
      <x:c r="I291" s="35" t="str">
        <x:v>NTF-006</x:v>
      </x:c>
      <x:c r="J291" s="35" t="str"/>
      <x:c r="K291" s="35" t="str"/>
      <x:c r="L291" s="35" t="str">
        <x:v>Set each recipient's preferences; trigger the real business event; inspect routing and recipient scope; verify unread badge, list item, safe preview, payment/reversal detail deep link, mark-read sync, configured channel outcome, provider failure/retry, and duplicate suppression.</x:v>
      </x:c>
      <x:c r="M291" s="35" t="str">
        <x:v>Exactly the intended recipients receive one correctly routed notification; disabled optional channels stay silent; deep link opens authorized context; read state synchronizes.</x:v>
      </x:c>
      <x:c r="N291" s="35" t="str">
        <x:v>Trigger record; routing decision; outbox/delivery status; web/mobile inbox; lock-screen-safe copy; deep-link target; audit/provider retry evidence.</x:v>
      </x:c>
      <x:c r="O291" s="35" t="str">
        <x:v>Re-run the worker and deliver a duplicate provider callback; no duplicate user-visible event. Attempt the deep link as an unauthorized adjacent role.</x:v>
      </x:c>
      <x:c r="P291" s="35" t="str">
        <x:v>All expected records and amounts match; no unexplained error or stale state.</x:v>
      </x:c>
    </x:row>
    <x:row r="292">
      <x:c r="A292" s="20" t="str">
        <x:v>RUN-20270228-01</x:v>
      </x:c>
      <x:c r="B292" s="23" t="n">
        <x:v>46446</x:v>
      </x:c>
      <x:c r="C292" s="32" t="n">
        <x:v>1</x:v>
      </x:c>
      <x:c r="D292" s="20" t="str">
        <x:v>Monthly close</x:v>
      </x:c>
      <x:c r="E292" s="20" t="str">
        <x:v>Workspace Administrator</x:v>
      </x:c>
      <x:c r="F292" s="20" t="str">
        <x:v>Web + Mobile</x:v>
      </x:c>
      <x:c r="G292" s="20" t="str">
        <x:v>Scan/import + reconciliation</x:v>
      </x:c>
      <x:c r="H292" s="35" t="str">
        <x:v>February bank reconciliation and close</x:v>
      </x:c>
      <x:c r="I292" s="35" t="str">
        <x:v>Operating account 4242; deposit trust account 1818; reserve account 7070</x:v>
      </x:c>
      <x:c r="J292" s="35" t="str">
        <x:v>SCN-0498</x:v>
      </x:c>
      <x:c r="K292" s="35" t="str"/>
      <x:c r="L292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292" s="35" t="str">
        <x:v>Bank ending cash, AR, deposit trust/liability, loan balance, income, expense, and net operating result match the oracle with zero unexplained variance.</x:v>
      </x:c>
      <x:c r="N292" s="35" t="str">
        <x:v>Bank reconciliation; accounting summary; P&amp;L; cash flow; rent roll/ledger; deposits; delinquency; owner statements; audit export.</x:v>
      </x:c>
      <x:c r="O292" s="35" t="str">
        <x:v>Try one duplicate bank transaction and one date-filter boundary; prove DB-side totals and idempotent matching.</x:v>
      </x:c>
      <x:c r="P292" s="35" t="str">
        <x:v>All monthly checks are OK or a reproducible bug is captured before advancing the clock.</x:v>
      </x:c>
    </x:row>
    <x:row r="293">
      <x:c r="A293" s="20" t="str">
        <x:v>RUN-20270228-02</x:v>
      </x:c>
      <x:c r="B293" s="23" t="n">
        <x:v>46446</x:v>
      </x:c>
      <x:c r="C293" s="32" t="n">
        <x:v>2</x:v>
      </x:c>
      <x:c r="D293" s="20" t="str">
        <x:v>Lease ending</x:v>
      </x:c>
      <x:c r="E293" s="20" t="str">
        <x:v>Property Manager + Maintenance Technician</x:v>
      </x:c>
      <x:c r="F293" s="20" t="str">
        <x:v>Mobile + Web</x:v>
      </x:c>
      <x:c r="G293" s="20" t="str">
        <x:v>Manual inspection + scanned report</x:v>
      </x:c>
      <x:c r="H293" s="35" t="str">
        <x:v>Return possession, inspect, and open turnover</x:v>
      </x:c>
      <x:c r="I293" s="35" t="str">
        <x:v>L005; U005</x:v>
      </x:c>
      <x:c r="J293" s="35" t="str">
        <x:v>SCN-0936</x:v>
      </x:c>
      <x:c r="K293" s="35" t="str"/>
      <x:c r="L293" s="35" t="str">
        <x:v>Complete the move-out inspection on mobile; attach/report on web; record keys and possession returned; open turnover tasks; separate normal wear from chargeable damage.</x:v>
      </x:c>
      <x:c r="M293" s="35" t="str">
        <x:v>Possession closes once, Unit becomes Turnover/Vacant as appropriate, inspection freezes after completion, and linked work orders appear.</x:v>
      </x:c>
      <x:c r="N293" s="35" t="str">
        <x:v>Inspection checklist/report/photos; possession event; turnover workspace; occupancy and lease-expiration reports.</x:v>
      </x:c>
      <x:c r="O293" s="35" t="str">
        <x:v>Try editing a completed inspection and returning possession twice; both are rejected without partial changes.</x:v>
      </x:c>
      <x:c r="P293" s="35" t="str">
        <x:v>All expected records and amounts match; no unexplained error or stale state.</x:v>
      </x:c>
    </x:row>
    <x:row r="294">
      <x:c r="A294" s="20" t="str">
        <x:v>RUN-20270301-01</x:v>
      </x:c>
      <x:c r="B294" s="23" t="n">
        <x:v>46447</x:v>
      </x:c>
      <x:c r="C294" s="32" t="n">
        <x:v>1</x:v>
      </x:c>
      <x:c r="D294" s="20" t="str">
        <x:v>Monthly operations</x:v>
      </x:c>
      <x:c r="E294" s="20" t="str">
        <x:v>Workspace Administrator</x:v>
      </x:c>
      <x:c r="F294" s="20" t="str">
        <x:v>Web + Mobile</x:v>
      </x:c>
      <x:c r="G294" s="20" t="str">
        <x:v>System automation + reconciliation</x:v>
      </x:c>
      <x:c r="H294" s="35" t="str">
        <x:v>March recurring rent generation</x:v>
      </x:c>
      <x:c r="I294" s="35" t="str">
        <x:v>37 active tenant accounts</x:v>
      </x:c>
      <x:c r="J294" s="35" t="str"/>
      <x:c r="K294" s="35" t="str">
        <x:v>FIN-00164; FIN-00166; FIN-00168; FIN-00170; FIN-00172; FIN-00174; FIN-00176; FIN-00178; FIN-00180; FIN-00182; FIN-00186; FIN-00188; FIN-00191; FIN-00193; FIN-00195; FIN-00197; FIN-00199; FIN-00201; FIN-00203; FIN-00205; FIN-00207; FIN-00212; FIN-00214; FIN-00216; FIN-00218; FIN-00221; FIN-00223; FIN-00225; FIN-00227; FIN-00229; FIN-00231; FIN-00233; FIN-00237; FIN-00239; FIN-00241; FIN-00243; FIN-00245</x:v>
      </x:c>
      <x:c r="L294" s="35" t="str">
        <x:v>Advance the simulation clock to 08:00 local; run or wait for scheduled finance worker; compare generated charges to active governing agreements, start dates, proration, and unique billing-period keys.</x:v>
      </x:c>
      <x:c r="M294" s="35" t="str">
        <x:v>Exactly 37 rent charges are posted once; mid-month starts prorate; ended leases do not receive future charges.</x:v>
      </x:c>
      <x:c r="N294" s="35" t="str">
        <x:v>Worker status; charge list; month rent-roll export; sampled Unit/Lease/portal balances; SQL query evidence.</x:v>
      </x:c>
      <x:c r="O294" s="35" t="str">
        <x:v>Run the finance worker a second time and prove no duplicate charge; inject one failure and prove charge/audit/outbox atomic rollback.</x:v>
      </x:c>
      <x:c r="P294" s="35" t="str">
        <x:v>All expected records and amounts match; no unexplained error or stale state.</x:v>
      </x:c>
    </x:row>
    <x:row r="295">
      <x:c r="A295" s="20" t="str">
        <x:v>RUN-20270301-02</x:v>
      </x:c>
      <x:c r="B295" s="23" t="n">
        <x:v>46447</x:v>
      </x:c>
      <x:c r="C295" s="32" t="n">
        <x:v>2</x:v>
      </x:c>
      <x:c r="D295" s="20" t="str">
        <x:v>Weekly operations</x:v>
      </x:c>
      <x:c r="E295" s="20" t="str">
        <x:v>Property Manager</x:v>
      </x:c>
      <x:c r="F295" s="20" t="str">
        <x:v>Mobile</x:v>
      </x:c>
      <x:c r="G295" s="20" t="str">
        <x:v>Scan-first</x:v>
      </x:c>
      <x:c r="H295" s="35" t="str">
        <x:v>Create and triage maintenance request</x:v>
      </x:c>
      <x:c r="I295" s="35" t="str">
        <x:v>P022; U024; WO-2027-009</x:v>
      </x:c>
      <x:c r="J295" s="35" t="str">
        <x:v>SCN-0362</x:v>
      </x:c>
      <x:c r="K295" s="35" t="str"/>
      <x:c r="L295" s="35" t="str">
        <x:v>Capture the tenant note/photo; review HVAC filter and no-cool call; confirm; set responsibility; dispatch ClearFlow Restoration; create an appointment and verify the tenant notification.</x:v>
      </x:c>
      <x:c r="M295" s="35" t="str">
        <x:v>Work order, status timeline, responsibility, vendor dispatch, appointment, notification, and Unit context are linked once.</x:v>
      </x:c>
      <x:c r="N295" s="35" t="str">
        <x:v>Scan review; work order detail/timeline; dispatch; appointment; notification; tenant portal view.</x:v>
      </x:c>
      <x:c r="O295" s="35" t="str">
        <x:v>Cancel one dispatch each quarter, reassign once, and prove status/history remains append-only.</x:v>
      </x:c>
      <x:c r="P295" s="35" t="str">
        <x:v>All expected records and amounts match; no unexplained error or stale state.</x:v>
      </x:c>
    </x:row>
    <x:row r="296">
      <x:c r="A296" s="20" t="str">
        <x:v>RUN-20270301-03</x:v>
      </x:c>
      <x:c r="B296" s="23" t="n">
        <x:v>46447</x:v>
      </x:c>
      <x:c r="C296" s="32" t="n">
        <x:v>3</x:v>
      </x:c>
      <x:c r="D296" s="20" t="str">
        <x:v>Role and screen certification</x:v>
      </x:c>
      <x:c r="E296" s="20" t="str">
        <x:v>Workspace Administrator</x:v>
      </x:c>
      <x:c r="F296" s="20" t="str">
        <x:v>Web</x:v>
      </x:c>
      <x:c r="G296" s="20" t="str">
        <x:v>Normal persona navigation</x:v>
      </x:c>
      <x:c r="H296" s="35" t="str">
        <x:v>Use every permitted action and state on /audit</x:v>
      </x:c>
      <x:c r="I296" s="35" t="str">
        <x:v>SCR-025; ROLE-034</x:v>
      </x:c>
      <x:c r="J296" s="35" t="str"/>
      <x:c r="K296" s="35" t="str"/>
      <x:c r="L29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296" s="35" t="str">
        <x:v>The persona can use every allowed action with only its assigned properties/relationships. Hidden or disabled actions explain why; an adjacent unauthorized persona is denied without metadata leakage.</x:v>
      </x:c>
      <x:c r="N296" s="35" t="str">
        <x:v>Persona/experience; navigation entry; desktop or device screenshots; result state; persisted read-back; audit/history; authorized and denied network result.</x:v>
      </x:c>
      <x:c r="O296" s="35" t="str">
        <x:v>Open the direct URL or deep link with an adjacent unauthorized persona and with stale scope; both fail closed and land safely without mutation.</x:v>
      </x:c>
      <x:c r="P296" s="35" t="str">
        <x:v>All expected records and amounts match; no unexplained error or stale state.</x:v>
      </x:c>
    </x:row>
    <x:row r="297">
      <x:c r="A297" s="20" t="str">
        <x:v>RUN-20270301-04</x:v>
      </x:c>
      <x:c r="B297" s="23" t="n">
        <x:v>46447</x:v>
      </x:c>
      <x:c r="C297" s="32" t="n">
        <x:v>4</x:v>
      </x:c>
      <x:c r="D297" s="20" t="str">
        <x:v>Field certification</x:v>
      </x:c>
      <x:c r="E297" s="20" t="str">
        <x:v>Property Manager</x:v>
      </x:c>
      <x:c r="F297" s="20" t="str">
        <x:v>Web</x:v>
      </x:c>
      <x:c r="G297" s="20" t="str">
        <x:v>Manual field-by-field</x:v>
      </x:c>
      <x:c r="H297" s="35" t="str">
        <x:v>Fill, save, reload, edit, and validate every declared field on web/src/lib/components/records/ApplicationDetail.svelte</x:v>
      </x:c>
      <x:c r="I297" s="35" t="str">
        <x:v>FLD-0124; FLD-0125; FLD-0126; FLD-0127</x:v>
      </x:c>
      <x:c r="J297" s="35" t="str"/>
      <x:c r="K297" s="35" t="str"/>
      <x:c r="L297" s="35" t="str">
        <x:v>Use the source-derived Field Inventory. Enter non-default realistic values in every control (application-edit-last; application-edit-email; application-edit-phone; application-edit-employer); submit; reload or relaunch; compare every value; edit each mutable field; verify the paired client; then run required, format, length, range, boundary, optional-null, and stale-submit checks.</x:v>
      </x:c>
      <x:c r="M297" s="35" t="str">
        <x:v>All 4 inventoried controls persist exact normalized values, invalid values stay unsaved with clear errors, and hidden/unauthorized fields cannot be altered.</x:v>
      </x:c>
      <x:c r="N297" s="35" t="str">
        <x:v>Before/after form screenshots; FLD IDs; API response; reloaded UI; paired-client read-back; database/audit evidence; negative validation result.</x:v>
      </x:c>
      <x:c r="O297" s="35" t="str">
        <x:v>Use a duplicate submit and one simulated network interruption; one atomic mutation or none, never partial state.</x:v>
      </x:c>
      <x:c r="P297" s="35" t="str">
        <x:v>All expected records and amounts match; no unexplained error or stale state.</x:v>
      </x:c>
    </x:row>
    <x:row r="298">
      <x:c r="A298" s="20" t="str">
        <x:v>RUN-20270301-05</x:v>
      </x:c>
      <x:c r="B298" s="23" t="n">
        <x:v>46447</x:v>
      </x:c>
      <x:c r="C298" s="32" t="n">
        <x:v>5</x:v>
      </x:c>
      <x:c r="D298" s="20" t="str">
        <x:v>Surface coverage</x:v>
      </x:c>
      <x:c r="E298" s="20" t="str">
        <x:v>Role appropriate to surface</x:v>
      </x:c>
      <x:c r="F298" s="20" t="str">
        <x:v>Mobile</x:v>
      </x:c>
      <x:c r="G298" s="20" t="str">
        <x:v>Manual</x:v>
      </x:c>
      <x:c r="H298" s="35" t="str">
        <x:v>Manual mobile pass: Tenant create/edit/detail/access lifecycle</x:v>
      </x:c>
      <x:c r="I298" s="35" t="str">
        <x:v>COV-007</x:v>
      </x:c>
      <x:c r="J298" s="35" t="str"/>
      <x:c r="K298" s="35" t="str"/>
      <x:c r="L298" s="35" t="str">
        <x:v>Create/edit tenant, household membership, portal invite/revoke/reinvite, security link, current/historical lease.</x:v>
      </x:c>
      <x:c r="M298" s="35" t="str">
        <x:v>The supported workflow completes and persists correctly; if the capability is absent, the exact gap is proven and queued rather than silently skipped.</x:v>
      </x:c>
      <x:c r="N298" s="35" t="str">
        <x:v>Real UI screenshot/state; submitted values; persisted read-back; cross-client read-back; audit/role/access evidence.</x:v>
      </x:c>
      <x:c r="O298" s="35" t="str">
        <x:v>Use one invalid value, stale-state retry, or duplicate submission relevant to the form; no partial or duplicate mutation.</x:v>
      </x:c>
      <x:c r="P298" s="35" t="str">
        <x:v>All expected records and amounts match; no unexplained error or stale state.</x:v>
      </x:c>
    </x:row>
    <x:row r="299">
      <x:c r="A299" s="20" t="str">
        <x:v>RUN-20270302-01</x:v>
      </x:c>
      <x:c r="B299" s="23" t="n">
        <x:v>46448</x:v>
      </x:c>
      <x:c r="C299" s="32" t="n">
        <x:v>1</x:v>
      </x:c>
      <x:c r="D299" s="20" t="str">
        <x:v>Weekly operations</x:v>
      </x:c>
      <x:c r="E299" s="20" t="str">
        <x:v>Property Manager</x:v>
      </x:c>
      <x:c r="F299" s="20" t="str">
        <x:v>Mobile</x:v>
      </x:c>
      <x:c r="G299" s="20" t="str">
        <x:v>Scanned receipt/invoice</x:v>
      </x:c>
      <x:c r="H299" s="35" t="str">
        <x:v>Record, review, allocate, and pay operating expense</x:v>
      </x:c>
      <x:c r="I299" s="35" t="str">
        <x:v>P022; U024; WO-2027-009</x:v>
      </x:c>
      <x:c r="J299" s="35" t="str">
        <x:v>SCN-0363</x:v>
      </x:c>
      <x:c r="K299" s="35" t="str">
        <x:v>FIN-01032</x:v>
      </x:c>
      <x:c r="L299" s="35" t="str">
        <x:v>Capture or upload the source; verify vendor, date, scope, category, line items, tax, amount, and work-order link; confirm; open detail; verify attachment; compare Money and Property/Unit views.</x:v>
      </x:c>
      <x:c r="M299" s="35" t="str">
        <x:v>One expense exists at its real operational scope, cash falls once, Schedule E category and allocations agree, and no per-unit copies are created.</x:v>
      </x:c>
      <x:c r="N299" s="35" t="str">
        <x:v>Source preview; review/form; expense detail; line items; Property/Unit ledger; audit; accounting/report delta.</x:v>
      </x:c>
      <x:c r="O299" s="35" t="str">
        <x:v>On marked duplicate-invoice cases, re-upload before confirm and prove the product prevents or clearly warns about duplication.</x:v>
      </x:c>
      <x:c r="P299" s="35" t="str">
        <x:v>All expected records and amounts match; no unexplained error or stale state.</x:v>
      </x:c>
    </x:row>
    <x:row r="300">
      <x:c r="A300" s="20" t="str">
        <x:v>RUN-20270302-02</x:v>
      </x:c>
      <x:c r="B300" s="23" t="n">
        <x:v>46448</x:v>
      </x:c>
      <x:c r="C300" s="32" t="n">
        <x:v>2</x:v>
      </x:c>
      <x:c r="D300" s="20" t="str">
        <x:v>Leasing</x:v>
      </x:c>
      <x:c r="E300" s="20" t="str">
        <x:v>Leasing Agent</x:v>
      </x:c>
      <x:c r="F300" s="20" t="str">
        <x:v>Web + Mobile</x:v>
      </x:c>
      <x:c r="G300" s="20" t="str">
        <x:v>Manual lifecycle command</x:v>
      </x:c>
      <x:c r="H300" s="35" t="str">
        <x:v>Approve application and prepare move-in</x:v>
      </x:c>
      <x:c r="I300" s="35" t="str">
        <x:v>L037; U005; T037</x:v>
      </x:c>
      <x:c r="J300" s="35" t="str"/>
      <x:c r="K300" s="35" t="str"/>
      <x:c r="L300" s="35" t="str">
        <x:v>Approve the selected application; run Prepare move-in; confirm parties, planned possession, rent, deposit, Tenant Account, and initial Agreement draft; invite portal access under policy.</x:v>
      </x:c>
      <x:c r="M300" s="35" t="str">
        <x:v>One planned LeaseManagement, party set, account, and agreement draft commit atomically; Unit is move-in scheduled, not occupied.</x:v>
      </x:c>
      <x:c r="N300" s="35" t="str">
        <x:v>Application decision; Unit state; parties; account; draft; portal invitation; atomic audit.</x:v>
      </x:c>
      <x:c r="O300" s="35" t="str">
        <x:v>Inject failure at the former save boundary and prove no partial relationship/account/agreement remains.</x:v>
      </x:c>
      <x:c r="P300" s="35" t="str">
        <x:v>All expected records and amounts match; no unexplained error or stale state.</x:v>
      </x:c>
    </x:row>
    <x:row r="301">
      <x:c r="A301" s="20" t="str">
        <x:v>RUN-20270302-03</x:v>
      </x:c>
      <x:c r="B301" s="23" t="n">
        <x:v>46448</x:v>
      </x:c>
      <x:c r="C301" s="32" t="n">
        <x:v>3</x:v>
      </x:c>
      <x:c r="D301" s="20" t="str">
        <x:v>Role and screen certification</x:v>
      </x:c>
      <x:c r="E301" s="20" t="str">
        <x:v>Workspace Administrator</x:v>
      </x:c>
      <x:c r="F301" s="20" t="str">
        <x:v>Web</x:v>
      </x:c>
      <x:c r="G301" s="20" t="str">
        <x:v>Normal persona navigation</x:v>
      </x:c>
      <x:c r="H301" s="35" t="str">
        <x:v>Use every permitted action and state on /banking</x:v>
      </x:c>
      <x:c r="I301" s="35" t="str">
        <x:v>SCR-026; ROLE-035</x:v>
      </x:c>
      <x:c r="J301" s="35" t="str"/>
      <x:c r="K301" s="35" t="str"/>
      <x:c r="L30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01" s="35" t="str">
        <x:v>The persona can use every allowed action with only its assigned properties/relationships. Hidden or disabled actions explain why; an adjacent unauthorized persona is denied without metadata leakage.</x:v>
      </x:c>
      <x:c r="N301" s="35" t="str">
        <x:v>Persona/experience; navigation entry; desktop or device screenshots; result state; persisted read-back; audit/history; authorized and denied network result.</x:v>
      </x:c>
      <x:c r="O301" s="35" t="str">
        <x:v>Open the direct URL or deep link with an adjacent unauthorized persona and with stale scope; both fail closed and land safely without mutation.</x:v>
      </x:c>
      <x:c r="P301" s="35" t="str">
        <x:v>All expected records and amounts match; no unexplained error or stale state.</x:v>
      </x:c>
    </x:row>
    <x:row r="302">
      <x:c r="A302" s="20" t="str">
        <x:v>RUN-20270302-04</x:v>
      </x:c>
      <x:c r="B302" s="23" t="n">
        <x:v>46448</x:v>
      </x:c>
      <x:c r="C302" s="32" t="n">
        <x:v>4</x:v>
      </x:c>
      <x:c r="D302" s="20" t="str">
        <x:v>Role and screen certification</x:v>
      </x:c>
      <x:c r="E302" s="20" t="str">
        <x:v>Property Manager</x:v>
      </x:c>
      <x:c r="F302" s="20" t="str">
        <x:v>Web</x:v>
      </x:c>
      <x:c r="G302" s="20" t="str">
        <x:v>Normal persona navigation</x:v>
      </x:c>
      <x:c r="H302" s="35" t="str">
        <x:v>Use every permitted action and state on /banking</x:v>
      </x:c>
      <x:c r="I302" s="35" t="str">
        <x:v>SCR-026; ROLE-036</x:v>
      </x:c>
      <x:c r="J302" s="35" t="str"/>
      <x:c r="K302" s="35" t="str"/>
      <x:c r="L30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02" s="35" t="str">
        <x:v>The persona can use every allowed action with only its assigned properties/relationships. Hidden or disabled actions explain why; an adjacent unauthorized persona is denied without metadata leakage.</x:v>
      </x:c>
      <x:c r="N302" s="35" t="str">
        <x:v>Persona/experience; navigation entry; desktop or device screenshots; result state; persisted read-back; audit/history; authorized and denied network result.</x:v>
      </x:c>
      <x:c r="O302" s="35" t="str">
        <x:v>Open the direct URL or deep link with an adjacent unauthorized persona and with stale scope; both fail closed and land safely without mutation.</x:v>
      </x:c>
      <x:c r="P302" s="35" t="str">
        <x:v>All expected records and amounts match; no unexplained error or stale state.</x:v>
      </x:c>
    </x:row>
    <x:row r="303">
      <x:c r="A303" s="20" t="str">
        <x:v>RUN-20270302-05</x:v>
      </x:c>
      <x:c r="B303" s="23" t="n">
        <x:v>46448</x:v>
      </x:c>
      <x:c r="C303" s="32" t="n">
        <x:v>5</x:v>
      </x:c>
      <x:c r="D303" s="20" t="str">
        <x:v>Field certification</x:v>
      </x:c>
      <x:c r="E303" s="20" t="str">
        <x:v>Property Manager</x:v>
      </x:c>
      <x:c r="F303" s="20" t="str">
        <x:v>Web</x:v>
      </x:c>
      <x:c r="G303" s="20" t="str">
        <x:v>Manual field-by-field</x:v>
      </x:c>
      <x:c r="H303" s="35" t="str">
        <x:v>Fill, save, reload, edit, and validate every declared field on web/src/lib/components/records/ApplicationDetail.svelte</x:v>
      </x:c>
      <x:c r="I303" s="35" t="str">
        <x:v>FLD-0128; FLD-0129; FLD-0130; FLD-0131</x:v>
      </x:c>
      <x:c r="J303" s="35" t="str"/>
      <x:c r="K303" s="35" t="str"/>
      <x:c r="L303" s="35" t="str">
        <x:v>Use the source-derived Field Inventory. Enter non-default realistic values in every control (application-edit-income; application-edit-address; application-edit-notes; application-decline-reason-input); submit; reload or relaunch; compare every value; edit each mutable field; verify the paired client; then run required, format, length, range, boundary, optional-null, and stale-submit checks.</x:v>
      </x:c>
      <x:c r="M303" s="35" t="str">
        <x:v>All 4 inventoried controls persist exact normalized values, invalid values stay unsaved with clear errors, and hidden/unauthorized fields cannot be altered.</x:v>
      </x:c>
      <x:c r="N303" s="35" t="str">
        <x:v>Before/after form screenshots; FLD IDs; API response; reloaded UI; paired-client read-back; database/audit evidence; negative validation result.</x:v>
      </x:c>
      <x:c r="O303" s="35" t="str">
        <x:v>Use a duplicate submit and one simulated network interruption; one atomic mutation or none, never partial state.</x:v>
      </x:c>
      <x:c r="P303" s="35" t="str">
        <x:v>All expected records and amounts match; no unexplained error or stale state.</x:v>
      </x:c>
    </x:row>
    <x:row r="304">
      <x:c r="A304" s="20" t="str">
        <x:v>RUN-20270302-06</x:v>
      </x:c>
      <x:c r="B304" s="23" t="n">
        <x:v>46448</x:v>
      </x:c>
      <x:c r="C304" s="32" t="n">
        <x:v>6</x:v>
      </x:c>
      <x:c r="D304" s="20" t="str">
        <x:v>Surface coverage</x:v>
      </x:c>
      <x:c r="E304" s="20" t="str">
        <x:v>Role appropriate to surface</x:v>
      </x:c>
      <x:c r="F304" s="20" t="str">
        <x:v>Web</x:v>
      </x:c>
      <x:c r="G304" s="20" t="str">
        <x:v>Scan/attachment</x:v>
      </x:c>
      <x:c r="H304" s="35" t="str">
        <x:v>Scan web pass: Tenant create/edit/detail/access lifecycle</x:v>
      </x:c>
      <x:c r="I304" s="35" t="str">
        <x:v>COV-007</x:v>
      </x:c>
      <x:c r="J304" s="35" t="str"/>
      <x:c r="K304" s="35" t="str"/>
      <x:c r="L304" s="35" t="str">
        <x:v>Create/edit tenant, household membership, portal invite/revoke/reinvite, security link, current/historical lease.</x:v>
      </x:c>
      <x:c r="M304" s="35" t="str">
        <x:v>The supported workflow completes and persists correctly; if the capability is absent, the exact gap is proven and queued rather than silently skipped.</x:v>
      </x:c>
      <x:c r="N304" s="35" t="str">
        <x:v>Real UI screenshot/state; submitted values; persisted read-back; cross-client read-back; audit/role/access evidence.</x:v>
      </x:c>
      <x:c r="O304" s="35" t="str">
        <x:v>Use one invalid value, stale-state retry, or duplicate submission relevant to the form; no partial or duplicate mutation.</x:v>
      </x:c>
      <x:c r="P304" s="35" t="str">
        <x:v>All expected records and amounts match; no unexplained error or stale state.</x:v>
      </x:c>
    </x:row>
    <x:row r="305">
      <x:c r="A305" s="20" t="str">
        <x:v>RUN-20270303-01</x:v>
      </x:c>
      <x:c r="B305" s="23" t="n">
        <x:v>46449</x:v>
      </x:c>
      <x:c r="C305" s="32" t="n">
        <x:v>1</x:v>
      </x:c>
      <x:c r="D305" s="20" t="str">
        <x:v>Monthly operations</x:v>
      </x:c>
      <x:c r="E305" s="20" t="str">
        <x:v>Property Manager</x:v>
      </x:c>
      <x:c r="F305" s="20" t="str">
        <x:v>Mobile</x:v>
      </x:c>
      <x:c r="G305" s="20" t="str">
        <x:v>Portal card</x:v>
      </x:c>
      <x:c r="H305" s="35" t="str">
        <x:v>Post and allocate tenant receipt</x:v>
      </x:c>
      <x:c r="I305" s="35" t="str">
        <x:v>P003; U003; L003</x:v>
      </x:c>
      <x:c r="J305" s="35" t="str"/>
      <x:c r="K305" s="35" t="str">
        <x:v>FIN-00168; FIN-00169</x:v>
      </x:c>
      <x:c r="L305" s="35" t="str">
        <x:v>Open Scan for paper payment or the tenant-account receipt form for electronic payment; verify tenant/lease match, amount, date, method, and reference; confirm once; open ledger detail and allocation.</x:v>
      </x:c>
      <x:c r="M305" s="35" t="str">
        <x:v>Receipt is append-only, allocated once to the correct rent charge, and visible consistently in Unit, Lease, Tenant Account, Accounting, and portal views.</x:v>
      </x:c>
      <x:c r="N305" s="35" t="str">
        <x:v>Scan review or form; success result; exact ledger rows; payment detail; accounting delta; portal receipt.</x:v>
      </x:c>
      <x:c r="O305" s="35" t="str">
        <x:v>Retry the idempotency key once during the quarter assigned in the coverage matrix; no duplicate cash or allocation.</x:v>
      </x:c>
      <x:c r="P305" s="35" t="str">
        <x:v>All expected records and amounts match; no unexplained error or stale state.</x:v>
      </x:c>
    </x:row>
    <x:row r="306">
      <x:c r="A306" s="20" t="str">
        <x:v>RUN-20270303-02</x:v>
      </x:c>
      <x:c r="B306" s="23" t="n">
        <x:v>46449</x:v>
      </x:c>
      <x:c r="C306" s="32" t="n">
        <x:v>2</x:v>
      </x:c>
      <x:c r="D306" s="20" t="str">
        <x:v>Monthly operations</x:v>
      </x:c>
      <x:c r="E306" s="20" t="str">
        <x:v>Property Manager</x:v>
      </x:c>
      <x:c r="F306" s="20" t="str">
        <x:v>Web</x:v>
      </x:c>
      <x:c r="G306" s="20" t="str">
        <x:v>Manual ACH</x:v>
      </x:c>
      <x:c r="H306" s="35" t="str">
        <x:v>Post and allocate tenant receipt</x:v>
      </x:c>
      <x:c r="I306" s="35" t="str">
        <x:v>P006; U006; L006</x:v>
      </x:c>
      <x:c r="J306" s="35" t="str"/>
      <x:c r="K306" s="35" t="str">
        <x:v>FIN-00172; FIN-00173</x:v>
      </x:c>
      <x:c r="L306" s="35" t="str">
        <x:v>Open Scan for paper payment or the tenant-account receipt form for electronic payment; verify tenant/lease match, amount, date, method, and reference; confirm once; open ledger detail and allocation.</x:v>
      </x:c>
      <x:c r="M306" s="35" t="str">
        <x:v>Receipt is append-only, allocated once to the correct rent charge, and visible consistently in Unit, Lease, Tenant Account, Accounting, and portal views.</x:v>
      </x:c>
      <x:c r="N306" s="35" t="str">
        <x:v>Scan review or form; success result; exact ledger rows; payment detail; accounting delta; portal receipt.</x:v>
      </x:c>
      <x:c r="O306" s="35" t="str">
        <x:v>Retry the idempotency key once during the quarter assigned in the coverage matrix; no duplicate cash or allocation.</x:v>
      </x:c>
      <x:c r="P306" s="35" t="str">
        <x:v>All expected records and amounts match; no unexplained error or stale state.</x:v>
      </x:c>
    </x:row>
    <x:row r="307">
      <x:c r="A307" s="20" t="str">
        <x:v>RUN-20270303-03</x:v>
      </x:c>
      <x:c r="B307" s="23" t="n">
        <x:v>46449</x:v>
      </x:c>
      <x:c r="C307" s="32" t="n">
        <x:v>3</x:v>
      </x:c>
      <x:c r="D307" s="20" t="str">
        <x:v>Monthly operations</x:v>
      </x:c>
      <x:c r="E307" s="20" t="str">
        <x:v>Property Manager</x:v>
      </x:c>
      <x:c r="F307" s="20" t="str">
        <x:v>Mobile</x:v>
      </x:c>
      <x:c r="G307" s="20" t="str">
        <x:v>Scanned money order</x:v>
      </x:c>
      <x:c r="H307" s="35" t="str">
        <x:v>Post and allocate tenant receipt</x:v>
      </x:c>
      <x:c r="I307" s="35" t="str">
        <x:v>P009; U009; L009</x:v>
      </x:c>
      <x:c r="J307" s="35" t="str">
        <x:v>SCN-0132</x:v>
      </x:c>
      <x:c r="K307" s="35" t="str">
        <x:v>FIN-00178; FIN-00179</x:v>
      </x:c>
      <x:c r="L307" s="35" t="str">
        <x:v>Open Scan for paper payment or the tenant-account receipt form for electronic payment; verify tenant/lease match, amount, date, method, and reference; confirm once; open ledger detail and allocation.</x:v>
      </x:c>
      <x:c r="M307" s="35" t="str">
        <x:v>Receipt is append-only, allocated once to the correct rent charge, and visible consistently in Unit, Lease, Tenant Account, Accounting, and portal views.</x:v>
      </x:c>
      <x:c r="N307" s="35" t="str">
        <x:v>Scan review or form; success result; exact ledger rows; payment detail; accounting delta; portal receipt.</x:v>
      </x:c>
      <x:c r="O307" s="35" t="str">
        <x:v>Retry the idempotency key once during the quarter assigned in the coverage matrix; no duplicate cash or allocation.</x:v>
      </x:c>
      <x:c r="P307" s="35" t="str">
        <x:v>All expected records and amounts match; no unexplained error or stale state.</x:v>
      </x:c>
    </x:row>
    <x:row r="308">
      <x:c r="A308" s="20" t="str">
        <x:v>RUN-20270303-04</x:v>
      </x:c>
      <x:c r="B308" s="23" t="n">
        <x:v>46449</x:v>
      </x:c>
      <x:c r="C308" s="32" t="n">
        <x:v>4</x:v>
      </x:c>
      <x:c r="D308" s="20" t="str">
        <x:v>Monthly operations</x:v>
      </x:c>
      <x:c r="E308" s="20" t="str">
        <x:v>Property Manager</x:v>
      </x:c>
      <x:c r="F308" s="20" t="str">
        <x:v>Mobile</x:v>
      </x:c>
      <x:c r="G308" s="20" t="str">
        <x:v>Portal card</x:v>
      </x:c>
      <x:c r="H308" s="35" t="str">
        <x:v>Post and allocate tenant receipt</x:v>
      </x:c>
      <x:c r="I308" s="35" t="str">
        <x:v>P011; U011; L011</x:v>
      </x:c>
      <x:c r="J308" s="35" t="str"/>
      <x:c r="K308" s="35" t="str">
        <x:v>FIN-00182; FIN-00183</x:v>
      </x:c>
      <x:c r="L308" s="35" t="str">
        <x:v>Open Scan for paper payment or the tenant-account receipt form for electronic payment; verify tenant/lease match, amount, date, method, and reference; confirm once; open ledger detail and allocation.</x:v>
      </x:c>
      <x:c r="M308" s="35" t="str">
        <x:v>Receipt is append-only, allocated once to the correct rent charge, and visible consistently in Unit, Lease, Tenant Account, Accounting, and portal views.</x:v>
      </x:c>
      <x:c r="N308" s="35" t="str">
        <x:v>Scan review or form; success result; exact ledger rows; payment detail; accounting delta; portal receipt.</x:v>
      </x:c>
      <x:c r="O308" s="35" t="str">
        <x:v>Retry the idempotency key once during the quarter assigned in the coverage matrix; no duplicate cash or allocation.</x:v>
      </x:c>
      <x:c r="P308" s="35" t="str">
        <x:v>All expected records and amounts match; no unexplained error or stale state.</x:v>
      </x:c>
    </x:row>
    <x:row r="309">
      <x:c r="A309" s="20" t="str">
        <x:v>RUN-20270303-05</x:v>
      </x:c>
      <x:c r="B309" s="23" t="n">
        <x:v>46449</x:v>
      </x:c>
      <x:c r="C309" s="32" t="n">
        <x:v>5</x:v>
      </x:c>
      <x:c r="D309" s="20" t="str">
        <x:v>Monthly operations</x:v>
      </x:c>
      <x:c r="E309" s="20" t="str">
        <x:v>Property Manager</x:v>
      </x:c>
      <x:c r="F309" s="20" t="str">
        <x:v>Web</x:v>
      </x:c>
      <x:c r="G309" s="20" t="str">
        <x:v>Scanned check</x:v>
      </x:c>
      <x:c r="H309" s="35" t="str">
        <x:v>Post and allocate tenant receipt</x:v>
      </x:c>
      <x:c r="I309" s="35" t="str">
        <x:v>P012; U012; L012</x:v>
      </x:c>
      <x:c r="J309" s="35" t="str">
        <x:v>SCN-0134</x:v>
      </x:c>
      <x:c r="K309" s="35" t="str">
        <x:v>FIN-00186; FIN-00187</x:v>
      </x:c>
      <x:c r="L309" s="35" t="str">
        <x:v>Open Scan for paper payment or the tenant-account receipt form for electronic payment; verify tenant/lease match, amount, date, method, and reference; confirm once; open ledger detail and allocation.</x:v>
      </x:c>
      <x:c r="M309" s="35" t="str">
        <x:v>Receipt is append-only, allocated once to the correct rent charge, and visible consistently in Unit, Lease, Tenant Account, Accounting, and portal views.</x:v>
      </x:c>
      <x:c r="N309" s="35" t="str">
        <x:v>Scan review or form; success result; exact ledger rows; payment detail; accounting delta; portal receipt.</x:v>
      </x:c>
      <x:c r="O309" s="35" t="str">
        <x:v>Retry the idempotency key once during the quarter assigned in the coverage matrix; no duplicate cash or allocation.</x:v>
      </x:c>
      <x:c r="P309" s="35" t="str">
        <x:v>All expected records and amounts match; no unexplained error or stale state.</x:v>
      </x:c>
    </x:row>
    <x:row r="310">
      <x:c r="A310" s="20" t="str">
        <x:v>RUN-20270303-06</x:v>
      </x:c>
      <x:c r="B310" s="23" t="n">
        <x:v>46449</x:v>
      </x:c>
      <x:c r="C310" s="32" t="n">
        <x:v>6</x:v>
      </x:c>
      <x:c r="D310" s="20" t="str">
        <x:v>Monthly operations</x:v>
      </x:c>
      <x:c r="E310" s="20" t="str">
        <x:v>Property Manager</x:v>
      </x:c>
      <x:c r="F310" s="20" t="str">
        <x:v>Mobile</x:v>
      </x:c>
      <x:c r="G310" s="20" t="str">
        <x:v>Portal card</x:v>
      </x:c>
      <x:c r="H310" s="35" t="str">
        <x:v>Post and allocate tenant receipt</x:v>
      </x:c>
      <x:c r="I310" s="35" t="str">
        <x:v>P015; U015; L015</x:v>
      </x:c>
      <x:c r="J310" s="35" t="str"/>
      <x:c r="K310" s="35" t="str">
        <x:v>FIN-00193; FIN-00194</x:v>
      </x:c>
      <x:c r="L310" s="35" t="str">
        <x:v>Open Scan for paper payment or the tenant-account receipt form for electronic payment; verify tenant/lease match, amount, date, method, and reference; confirm once; open ledger detail and allocation.</x:v>
      </x:c>
      <x:c r="M310" s="35" t="str">
        <x:v>Receipt is append-only, allocated once to the correct rent charge, and visible consistently in Unit, Lease, Tenant Account, Accounting, and portal views.</x:v>
      </x:c>
      <x:c r="N310" s="35" t="str">
        <x:v>Scan review or form; success result; exact ledger rows; payment detail; accounting delta; portal receipt.</x:v>
      </x:c>
      <x:c r="O310" s="35" t="str">
        <x:v>Retry the idempotency key once during the quarter assigned in the coverage matrix; no duplicate cash or allocation.</x:v>
      </x:c>
      <x:c r="P310" s="35" t="str">
        <x:v>All expected records and amounts match; no unexplained error or stale state.</x:v>
      </x:c>
    </x:row>
    <x:row r="311">
      <x:c r="A311" s="20" t="str">
        <x:v>RUN-20270303-07</x:v>
      </x:c>
      <x:c r="B311" s="23" t="n">
        <x:v>46449</x:v>
      </x:c>
      <x:c r="C311" s="32" t="n">
        <x:v>7</x:v>
      </x:c>
      <x:c r="D311" s="20" t="str">
        <x:v>Monthly operations</x:v>
      </x:c>
      <x:c r="E311" s="20" t="str">
        <x:v>Property Manager</x:v>
      </x:c>
      <x:c r="F311" s="20" t="str">
        <x:v>Web</x:v>
      </x:c>
      <x:c r="G311" s="20" t="str">
        <x:v>Manual ACH</x:v>
      </x:c>
      <x:c r="H311" s="35" t="str">
        <x:v>Post and allocate tenant receipt</x:v>
      </x:c>
      <x:c r="I311" s="35" t="str">
        <x:v>P018; U018; L018</x:v>
      </x:c>
      <x:c r="J311" s="35" t="str"/>
      <x:c r="K311" s="35" t="str">
        <x:v>FIN-00199; FIN-00200</x:v>
      </x:c>
      <x:c r="L311" s="35" t="str">
        <x:v>Open Scan for paper payment or the tenant-account receipt form for electronic payment; verify tenant/lease match, amount, date, method, and reference; confirm once; open ledger detail and allocation.</x:v>
      </x:c>
      <x:c r="M311" s="35" t="str">
        <x:v>Receipt is append-only, allocated once to the correct rent charge, and visible consistently in Unit, Lease, Tenant Account, Accounting, and portal views.</x:v>
      </x:c>
      <x:c r="N311" s="35" t="str">
        <x:v>Scan review or form; success result; exact ledger rows; payment detail; accounting delta; portal receipt.</x:v>
      </x:c>
      <x:c r="O311" s="35" t="str">
        <x:v>Retry the idempotency key once during the quarter assigned in the coverage matrix; no duplicate cash or allocation.</x:v>
      </x:c>
      <x:c r="P311" s="35" t="str">
        <x:v>All expected records and amounts match; no unexplained error or stale state.</x:v>
      </x:c>
    </x:row>
    <x:row r="312">
      <x:c r="A312" s="20" t="str">
        <x:v>RUN-20270303-08</x:v>
      </x:c>
      <x:c r="B312" s="23" t="n">
        <x:v>46449</x:v>
      </x:c>
      <x:c r="C312" s="32" t="n">
        <x:v>8</x:v>
      </x:c>
      <x:c r="D312" s="20" t="str">
        <x:v>Monthly operations</x:v>
      </x:c>
      <x:c r="E312" s="20" t="str">
        <x:v>Property Manager</x:v>
      </x:c>
      <x:c r="F312" s="20" t="str">
        <x:v>Mobile</x:v>
      </x:c>
      <x:c r="G312" s="20" t="str">
        <x:v>Scanned money order</x:v>
      </x:c>
      <x:c r="H312" s="35" t="str">
        <x:v>Post and allocate tenant receipt</x:v>
      </x:c>
      <x:c r="I312" s="35" t="str">
        <x:v>P021; U021; L021</x:v>
      </x:c>
      <x:c r="J312" s="35" t="str">
        <x:v>SCN-0139</x:v>
      </x:c>
      <x:c r="K312" s="35" t="str">
        <x:v>FIN-00205; FIN-00206</x:v>
      </x:c>
      <x:c r="L312" s="35" t="str">
        <x:v>Open Scan for paper payment or the tenant-account receipt form for electronic payment; verify tenant/lease match, amount, date, method, and reference; confirm once; open ledger detail and allocation.</x:v>
      </x:c>
      <x:c r="M312" s="35" t="str">
        <x:v>Receipt is append-only, allocated once to the correct rent charge, and visible consistently in Unit, Lease, Tenant Account, Accounting, and portal views.</x:v>
      </x:c>
      <x:c r="N312" s="35" t="str">
        <x:v>Scan review or form; success result; exact ledger rows; payment detail; accounting delta; portal receipt.</x:v>
      </x:c>
      <x:c r="O312" s="35" t="str">
        <x:v>Retry the idempotency key once during the quarter assigned in the coverage matrix; no duplicate cash or allocation.</x:v>
      </x:c>
      <x:c r="P312" s="35" t="str">
        <x:v>All expected records and amounts match; no unexplained error or stale state.</x:v>
      </x:c>
    </x:row>
    <x:row r="313">
      <x:c r="A313" s="20" t="str">
        <x:v>RUN-20270303-09</x:v>
      </x:c>
      <x:c r="B313" s="23" t="n">
        <x:v>46449</x:v>
      </x:c>
      <x:c r="C313" s="32" t="n">
        <x:v>9</x:v>
      </x:c>
      <x:c r="D313" s="20" t="str">
        <x:v>Monthly operations</x:v>
      </x:c>
      <x:c r="E313" s="20" t="str">
        <x:v>Property Manager</x:v>
      </x:c>
      <x:c r="F313" s="20" t="str">
        <x:v>Web</x:v>
      </x:c>
      <x:c r="G313" s="20" t="str">
        <x:v>Manual ACH</x:v>
      </x:c>
      <x:c r="H313" s="35" t="str">
        <x:v>Post and allocate tenant receipt</x:v>
      </x:c>
      <x:c r="I313" s="35" t="str">
        <x:v>P021; U022; L022</x:v>
      </x:c>
      <x:c r="J313" s="35" t="str"/>
      <x:c r="K313" s="35" t="str">
        <x:v>FIN-00207; FIN-00208</x:v>
      </x:c>
      <x:c r="L313" s="35" t="str">
        <x:v>Open Scan for paper payment or the tenant-account receipt form for electronic payment; verify tenant/lease match, amount, date, method, and reference; confirm once; open ledger detail and allocation.</x:v>
      </x:c>
      <x:c r="M313" s="35" t="str">
        <x:v>Receipt is append-only, allocated once to the correct rent charge, and visible consistently in Unit, Lease, Tenant Account, Accounting, and portal views.</x:v>
      </x:c>
      <x:c r="N313" s="35" t="str">
        <x:v>Scan review or form; success result; exact ledger rows; payment detail; accounting delta; portal receipt.</x:v>
      </x:c>
      <x:c r="O313" s="35" t="str">
        <x:v>Retry the idempotency key once during the quarter assigned in the coverage matrix; no duplicate cash or allocation.</x:v>
      </x:c>
      <x:c r="P313" s="35" t="str">
        <x:v>All expected records and amounts match; no unexplained error or stale state.</x:v>
      </x:c>
    </x:row>
    <x:row r="314">
      <x:c r="A314" s="20" t="str">
        <x:v>RUN-20270303-10</x:v>
      </x:c>
      <x:c r="B314" s="23" t="n">
        <x:v>46449</x:v>
      </x:c>
      <x:c r="C314" s="32" t="n">
        <x:v>10</x:v>
      </x:c>
      <x:c r="D314" s="20" t="str">
        <x:v>Monthly operations</x:v>
      </x:c>
      <x:c r="E314" s="20" t="str">
        <x:v>Property Manager</x:v>
      </x:c>
      <x:c r="F314" s="20" t="str">
        <x:v>Web</x:v>
      </x:c>
      <x:c r="G314" s="20" t="str">
        <x:v>Scanned check</x:v>
      </x:c>
      <x:c r="H314" s="35" t="str">
        <x:v>Post and allocate tenant receipt</x:v>
      </x:c>
      <x:c r="I314" s="35" t="str">
        <x:v>P022; U024; L024</x:v>
      </x:c>
      <x:c r="J314" s="35" t="str">
        <x:v>SCN-0140</x:v>
      </x:c>
      <x:c r="K314" s="35" t="str">
        <x:v>FIN-00214; FIN-00215</x:v>
      </x:c>
      <x:c r="L314" s="35" t="str">
        <x:v>Open Scan for paper payment or the tenant-account receipt form for electronic payment; verify tenant/lease match, amount, date, method, and reference; confirm once; open ledger detail and allocation.</x:v>
      </x:c>
      <x:c r="M314" s="35" t="str">
        <x:v>Receipt is append-only, allocated once to the correct rent charge, and visible consistently in Unit, Lease, Tenant Account, Accounting, and portal views.</x:v>
      </x:c>
      <x:c r="N314" s="35" t="str">
        <x:v>Scan review or form; success result; exact ledger rows; payment detail; accounting delta; portal receipt.</x:v>
      </x:c>
      <x:c r="O314" s="35" t="str">
        <x:v>Retry the idempotency key once during the quarter assigned in the coverage matrix; no duplicate cash or allocation.</x:v>
      </x:c>
      <x:c r="P314" s="35" t="str">
        <x:v>All expected records and amounts match; no unexplained error or stale state.</x:v>
      </x:c>
    </x:row>
    <x:row r="315">
      <x:c r="A315" s="20" t="str">
        <x:v>RUN-20270303-11</x:v>
      </x:c>
      <x:c r="B315" s="23" t="n">
        <x:v>46449</x:v>
      </x:c>
      <x:c r="C315" s="32" t="n">
        <x:v>11</x:v>
      </x:c>
      <x:c r="D315" s="20" t="str">
        <x:v>Monthly operations</x:v>
      </x:c>
      <x:c r="E315" s="20" t="str">
        <x:v>Property Manager</x:v>
      </x:c>
      <x:c r="F315" s="20" t="str">
        <x:v>Mobile</x:v>
      </x:c>
      <x:c r="G315" s="20" t="str">
        <x:v>Portal card</x:v>
      </x:c>
      <x:c r="H315" s="35" t="str">
        <x:v>Post and allocate tenant receipt</x:v>
      </x:c>
      <x:c r="I315" s="35" t="str">
        <x:v>P024; U027; L027</x:v>
      </x:c>
      <x:c r="J315" s="35" t="str"/>
      <x:c r="K315" s="35" t="str">
        <x:v>FIN-00221; FIN-00222</x:v>
      </x:c>
      <x:c r="L315" s="35" t="str">
        <x:v>Open Scan for paper payment or the tenant-account receipt form for electronic payment; verify tenant/lease match, amount, date, method, and reference; confirm once; open ledger detail and allocation.</x:v>
      </x:c>
      <x:c r="M315" s="35" t="str">
        <x:v>Receipt is append-only, allocated once to the correct rent charge, and visible consistently in Unit, Lease, Tenant Account, Accounting, and portal views.</x:v>
      </x:c>
      <x:c r="N315" s="35" t="str">
        <x:v>Scan review or form; success result; exact ledger rows; payment detail; accounting delta; portal receipt.</x:v>
      </x:c>
      <x:c r="O315" s="35" t="str">
        <x:v>Retry the idempotency key once during the quarter assigned in the coverage matrix; no duplicate cash or allocation.</x:v>
      </x:c>
      <x:c r="P315" s="35" t="str">
        <x:v>All expected records and amounts match; no unexplained error or stale state.</x:v>
      </x:c>
    </x:row>
    <x:row r="316">
      <x:c r="A316" s="20" t="str">
        <x:v>RUN-20270303-12</x:v>
      </x:c>
      <x:c r="B316" s="23" t="n">
        <x:v>46449</x:v>
      </x:c>
      <x:c r="C316" s="32" t="n">
        <x:v>12</x:v>
      </x:c>
      <x:c r="D316" s="20" t="str">
        <x:v>Monthly operations</x:v>
      </x:c>
      <x:c r="E316" s="20" t="str">
        <x:v>Property Manager</x:v>
      </x:c>
      <x:c r="F316" s="20" t="str">
        <x:v>Web</x:v>
      </x:c>
      <x:c r="G316" s="20" t="str">
        <x:v>Manual ACH</x:v>
      </x:c>
      <x:c r="H316" s="35" t="str">
        <x:v>Post and allocate tenant receipt</x:v>
      </x:c>
      <x:c r="I316" s="35" t="str">
        <x:v>P025; U030; L030</x:v>
      </x:c>
      <x:c r="J316" s="35" t="str"/>
      <x:c r="K316" s="35" t="str">
        <x:v>FIN-00227; FIN-00228</x:v>
      </x:c>
      <x:c r="L316" s="35" t="str">
        <x:v>Open Scan for paper payment or the tenant-account receipt form for electronic payment; verify tenant/lease match, amount, date, method, and reference; confirm once; open ledger detail and allocation.</x:v>
      </x:c>
      <x:c r="M316" s="35" t="str">
        <x:v>Receipt is append-only, allocated once to the correct rent charge, and visible consistently in Unit, Lease, Tenant Account, Accounting, and portal views.</x:v>
      </x:c>
      <x:c r="N316" s="35" t="str">
        <x:v>Scan review or form; success result; exact ledger rows; payment detail; accounting delta; portal receipt.</x:v>
      </x:c>
      <x:c r="O316" s="35" t="str">
        <x:v>Retry the idempotency key once during the quarter assigned in the coverage matrix; no duplicate cash or allocation.</x:v>
      </x:c>
      <x:c r="P316" s="35" t="str">
        <x:v>All expected records and amounts match; no unexplained error or stale state.</x:v>
      </x:c>
    </x:row>
    <x:row r="317">
      <x:c r="A317" s="20" t="str">
        <x:v>RUN-20270303-13</x:v>
      </x:c>
      <x:c r="B317" s="23" t="n">
        <x:v>46449</x:v>
      </x:c>
      <x:c r="C317" s="32" t="n">
        <x:v>13</x:v>
      </x:c>
      <x:c r="D317" s="20" t="str">
        <x:v>Monthly operations</x:v>
      </x:c>
      <x:c r="E317" s="20" t="str">
        <x:v>Property Manager</x:v>
      </x:c>
      <x:c r="F317" s="20" t="str">
        <x:v>Mobile</x:v>
      </x:c>
      <x:c r="G317" s="20" t="str">
        <x:v>Scanned money order</x:v>
      </x:c>
      <x:c r="H317" s="35" t="str">
        <x:v>Post and allocate tenant receipt</x:v>
      </x:c>
      <x:c r="I317" s="35" t="str">
        <x:v>P027; U033; L033</x:v>
      </x:c>
      <x:c r="J317" s="35" t="str">
        <x:v>SCN-0146</x:v>
      </x:c>
      <x:c r="K317" s="35" t="str">
        <x:v>FIN-00233; FIN-00234</x:v>
      </x:c>
      <x:c r="L317" s="35" t="str">
        <x:v>Open Scan for paper payment or the tenant-account receipt form for electronic payment; verify tenant/lease match, amount, date, method, and reference; confirm once; open ledger detail and allocation.</x:v>
      </x:c>
      <x:c r="M317" s="35" t="str">
        <x:v>Receipt is append-only, allocated once to the correct rent charge, and visible consistently in Unit, Lease, Tenant Account, Accounting, and portal views.</x:v>
      </x:c>
      <x:c r="N317" s="35" t="str">
        <x:v>Scan review or form; success result; exact ledger rows; payment detail; accounting delta; portal receipt.</x:v>
      </x:c>
      <x:c r="O317" s="35" t="str">
        <x:v>Retry the idempotency key once during the quarter assigned in the coverage matrix; no duplicate cash or allocation.</x:v>
      </x:c>
      <x:c r="P317" s="35" t="str">
        <x:v>All expected records and amounts match; no unexplained error or stale state.</x:v>
      </x:c>
    </x:row>
    <x:row r="318">
      <x:c r="A318" s="20" t="str">
        <x:v>RUN-20270303-14</x:v>
      </x:c>
      <x:c r="B318" s="23" t="n">
        <x:v>46449</x:v>
      </x:c>
      <x:c r="C318" s="32" t="n">
        <x:v>14</x:v>
      </x:c>
      <x:c r="D318" s="20" t="str">
        <x:v>Monthly operations</x:v>
      </x:c>
      <x:c r="E318" s="20" t="str">
        <x:v>Property Manager</x:v>
      </x:c>
      <x:c r="F318" s="20" t="str">
        <x:v>Web</x:v>
      </x:c>
      <x:c r="G318" s="20" t="str">
        <x:v>Scanned check</x:v>
      </x:c>
      <x:c r="H318" s="35" t="str">
        <x:v>Post and allocate tenant receipt</x:v>
      </x:c>
      <x:c r="I318" s="35" t="str">
        <x:v>P028; U036; L036</x:v>
      </x:c>
      <x:c r="J318" s="35" t="str">
        <x:v>SCN-0147</x:v>
      </x:c>
      <x:c r="K318" s="35" t="str">
        <x:v>FIN-00241; FIN-00242</x:v>
      </x:c>
      <x:c r="L318" s="35" t="str">
        <x:v>Open Scan for paper payment or the tenant-account receipt form for electronic payment; verify tenant/lease match, amount, date, method, and reference; confirm once; open ledger detail and allocation.</x:v>
      </x:c>
      <x:c r="M318" s="35" t="str">
        <x:v>Receipt is append-only, allocated once to the correct rent charge, and visible consistently in Unit, Lease, Tenant Account, Accounting, and portal views.</x:v>
      </x:c>
      <x:c r="N318" s="35" t="str">
        <x:v>Scan review or form; success result; exact ledger rows; payment detail; accounting delta; portal receipt.</x:v>
      </x:c>
      <x:c r="O318" s="35" t="str">
        <x:v>Retry the idempotency key once during the quarter assigned in the coverage matrix; no duplicate cash or allocation.</x:v>
      </x:c>
      <x:c r="P318" s="35" t="str">
        <x:v>All expected records and amounts match; no unexplained error or stale state.</x:v>
      </x:c>
    </x:row>
    <x:row r="319">
      <x:c r="A319" s="20" t="str">
        <x:v>RUN-20270303-15</x:v>
      </x:c>
      <x:c r="B319" s="23" t="n">
        <x:v>46449</x:v>
      </x:c>
      <x:c r="C319" s="32" t="n">
        <x:v>15</x:v>
      </x:c>
      <x:c r="D319" s="20" t="str">
        <x:v>Monthly operations</x:v>
      </x:c>
      <x:c r="E319" s="20" t="str">
        <x:v>Property Manager</x:v>
      </x:c>
      <x:c r="F319" s="20" t="str">
        <x:v>Web</x:v>
      </x:c>
      <x:c r="G319" s="20" t="str">
        <x:v>Scanned check</x:v>
      </x:c>
      <x:c r="H319" s="35" t="str">
        <x:v>Post and allocate tenant receipt</x:v>
      </x:c>
      <x:c r="I319" s="35" t="str">
        <x:v>P029; U038; L044</x:v>
      </x:c>
      <x:c r="J319" s="35" t="str">
        <x:v>SCN-0148</x:v>
      </x:c>
      <x:c r="K319" s="35" t="str">
        <x:v>FIN-00245; FIN-00246</x:v>
      </x:c>
      <x:c r="L319" s="35" t="str">
        <x:v>Open Scan for paper payment or the tenant-account receipt form for electronic payment; verify tenant/lease match, amount, date, method, and reference; confirm once; open ledger detail and allocation.</x:v>
      </x:c>
      <x:c r="M319" s="35" t="str">
        <x:v>Receipt is append-only, allocated once to the correct rent charge, and visible consistently in Unit, Lease, Tenant Account, Accounting, and portal views.</x:v>
      </x:c>
      <x:c r="N319" s="35" t="str">
        <x:v>Scan review or form; success result; exact ledger rows; payment detail; accounting delta; portal receipt.</x:v>
      </x:c>
      <x:c r="O319" s="35" t="str">
        <x:v>Retry the idempotency key once during the quarter assigned in the coverage matrix; no duplicate cash or allocation.</x:v>
      </x:c>
      <x:c r="P319" s="35" t="str">
        <x:v>All expected records and amounts match; no unexplained error or stale state.</x:v>
      </x:c>
    </x:row>
    <x:row r="320">
      <x:c r="A320" s="20" t="str">
        <x:v>RUN-20270303-16</x:v>
      </x:c>
      <x:c r="B320" s="23" t="n">
        <x:v>46449</x:v>
      </x:c>
      <x:c r="C320" s="32" t="n">
        <x:v>16</x:v>
      </x:c>
      <x:c r="D320" s="20" t="str">
        <x:v>Field certification</x:v>
      </x:c>
      <x:c r="E320" s="20" t="str">
        <x:v>Property Manager</x:v>
      </x:c>
      <x:c r="F320" s="20" t="str">
        <x:v>Web</x:v>
      </x:c>
      <x:c r="G320" s="20" t="str">
        <x:v>Manual field-by-field</x:v>
      </x:c>
      <x:c r="H320" s="35" t="str">
        <x:v>Fill, save, reload, edit, and validate every declared field on web/src/lib/components/records/ApplicationDetail.svelte</x:v>
      </x:c>
      <x:c r="I320" s="35" t="str">
        <x:v>FLD-0132; FLD-0133; FLD-0134; FLD-0135; FLD-0136</x:v>
      </x:c>
      <x:c r="J320" s="35" t="str"/>
      <x:c r="K320" s="35" t="str"/>
      <x:c r="L320" s="35" t="str">
        <x:v>Use the source-derived Field Inventory. Enter non-default realistic values in every control (craName; craAddress; craPhone; screeningDecision; screeningDecisionReason); submit; reload or relaunch; compare every value; edit each mutable field; verify the paired client; then run required, format, length, range, boundary, optional-null, and stale-submit checks.</x:v>
      </x:c>
      <x:c r="M320" s="35" t="str">
        <x:v>All 5 inventoried controls persist exact normalized values, invalid values stay unsaved with clear errors, and hidden/unauthorized fields cannot be altered.</x:v>
      </x:c>
      <x:c r="N320" s="35" t="str">
        <x:v>Before/after form screenshots; FLD IDs; API response; reloaded UI; paired-client read-back; database/audit evidence; negative validation result.</x:v>
      </x:c>
      <x:c r="O320" s="35" t="str">
        <x:v>Use a duplicate submit and one simulated network interruption; one atomic mutation or none, never partial state.</x:v>
      </x:c>
      <x:c r="P320" s="35" t="str">
        <x:v>All expected records and amounts match; no unexplained error or stale state.</x:v>
      </x:c>
    </x:row>
    <x:row r="321">
      <x:c r="A321" s="20" t="str">
        <x:v>RUN-20270303-17</x:v>
      </x:c>
      <x:c r="B321" s="23" t="n">
        <x:v>46449</x:v>
      </x:c>
      <x:c r="C321" s="32" t="n">
        <x:v>17</x:v>
      </x:c>
      <x:c r="D321" s="20" t="str">
        <x:v>Surface coverage</x:v>
      </x:c>
      <x:c r="E321" s="20" t="str">
        <x:v>Role appropriate to surface</x:v>
      </x:c>
      <x:c r="F321" s="20" t="str">
        <x:v>Mobile</x:v>
      </x:c>
      <x:c r="G321" s="20" t="str">
        <x:v>Scan/attachment</x:v>
      </x:c>
      <x:c r="H321" s="35" t="str">
        <x:v>Scan mobile pass: Tenant create/edit/detail/access lifecycle</x:v>
      </x:c>
      <x:c r="I321" s="35" t="str">
        <x:v>COV-007</x:v>
      </x:c>
      <x:c r="J321" s="35" t="str"/>
      <x:c r="K321" s="35" t="str"/>
      <x:c r="L321" s="35" t="str">
        <x:v>Create/edit tenant, household membership, portal invite/revoke/reinvite, security link, current/historical lease.</x:v>
      </x:c>
      <x:c r="M321" s="35" t="str">
        <x:v>The supported workflow completes and persists correctly; if the capability is absent, the exact gap is proven and queued rather than silently skipped.</x:v>
      </x:c>
      <x:c r="N321" s="35" t="str">
        <x:v>Real UI screenshot/state; submitted values; persisted read-back; cross-client read-back; audit/role/access evidence.</x:v>
      </x:c>
      <x:c r="O321" s="35" t="str">
        <x:v>Use one invalid value, stale-state retry, or duplicate submission relevant to the form; no partial or duplicate mutation.</x:v>
      </x:c>
      <x:c r="P321" s="35" t="str">
        <x:v>All expected records and amounts match; no unexplained error or stale state.</x:v>
      </x:c>
    </x:row>
    <x:row r="322">
      <x:c r="A322" s="20" t="str">
        <x:v>RUN-20270304-01</x:v>
      </x:c>
      <x:c r="B322" s="23" t="n">
        <x:v>46450</x:v>
      </x:c>
      <x:c r="C322" s="32" t="n">
        <x:v>1</x:v>
      </x:c>
      <x:c r="D322" s="20" t="str">
        <x:v>Monthly operations</x:v>
      </x:c>
      <x:c r="E322" s="20" t="str">
        <x:v>Property Manager</x:v>
      </x:c>
      <x:c r="F322" s="20" t="str">
        <x:v>Mobile</x:v>
      </x:c>
      <x:c r="G322" s="20" t="str">
        <x:v>Scanned money order</x:v>
      </x:c>
      <x:c r="H322" s="35" t="str">
        <x:v>Post and allocate tenant receipt</x:v>
      </x:c>
      <x:c r="I322" s="35" t="str">
        <x:v>P001; U001; L001</x:v>
      </x:c>
      <x:c r="J322" s="35" t="str">
        <x:v>SCN-0129</x:v>
      </x:c>
      <x:c r="K322" s="35" t="str">
        <x:v>FIN-00164; FIN-00165</x:v>
      </x:c>
      <x:c r="L322" s="35" t="str">
        <x:v>Open Scan for paper payment or the tenant-account receipt form for electronic payment; verify tenant/lease match, amount, date, method, and reference; confirm once; open ledger detail and allocation.</x:v>
      </x:c>
      <x:c r="M322" s="35" t="str">
        <x:v>Receipt is append-only, allocated once to the correct rent charge, and visible consistently in Unit, Lease, Tenant Account, Accounting, and portal views.</x:v>
      </x:c>
      <x:c r="N322" s="35" t="str">
        <x:v>Scan review or form; success result; exact ledger rows; payment detail; accounting delta; portal receipt.</x:v>
      </x:c>
      <x:c r="O322" s="35" t="str">
        <x:v>Retry the idempotency key once during the quarter assigned in the coverage matrix; no duplicate cash or allocation.</x:v>
      </x:c>
      <x:c r="P322" s="35" t="str">
        <x:v>All expected records and amounts match; no unexplained error or stale state.</x:v>
      </x:c>
    </x:row>
    <x:row r="323">
      <x:c r="A323" s="20" t="str">
        <x:v>RUN-20270304-02</x:v>
      </x:c>
      <x:c r="B323" s="23" t="n">
        <x:v>46450</x:v>
      </x:c>
      <x:c r="C323" s="32" t="n">
        <x:v>2</x:v>
      </x:c>
      <x:c r="D323" s="20" t="str">
        <x:v>Monthly operations</x:v>
      </x:c>
      <x:c r="E323" s="20" t="str">
        <x:v>Property Manager</x:v>
      </x:c>
      <x:c r="F323" s="20" t="str">
        <x:v>Web</x:v>
      </x:c>
      <x:c r="G323" s="20" t="str">
        <x:v>Scanned check</x:v>
      </x:c>
      <x:c r="H323" s="35" t="str">
        <x:v>Post and allocate tenant receipt</x:v>
      </x:c>
      <x:c r="I323" s="35" t="str">
        <x:v>P004; U004; L004</x:v>
      </x:c>
      <x:c r="J323" s="35" t="str">
        <x:v>SCN-0130</x:v>
      </x:c>
      <x:c r="K323" s="35" t="str">
        <x:v>FIN-00170; FIN-00171</x:v>
      </x:c>
      <x:c r="L323" s="35" t="str">
        <x:v>Open Scan for paper payment or the tenant-account receipt form for electronic payment; verify tenant/lease match, amount, date, method, and reference; confirm once; open ledger detail and allocation.</x:v>
      </x:c>
      <x:c r="M323" s="35" t="str">
        <x:v>Receipt is append-only, allocated once to the correct rent charge, and visible consistently in Unit, Lease, Tenant Account, Accounting, and portal views.</x:v>
      </x:c>
      <x:c r="N323" s="35" t="str">
        <x:v>Scan review or form; success result; exact ledger rows; payment detail; accounting delta; portal receipt.</x:v>
      </x:c>
      <x:c r="O323" s="35" t="str">
        <x:v>Retry the idempotency key once during the quarter assigned in the coverage matrix; no duplicate cash or allocation.</x:v>
      </x:c>
      <x:c r="P323" s="35" t="str">
        <x:v>All expected records and amounts match; no unexplained error or stale state.</x:v>
      </x:c>
    </x:row>
    <x:row r="324">
      <x:c r="A324" s="20" t="str">
        <x:v>RUN-20270304-03</x:v>
      </x:c>
      <x:c r="B324" s="23" t="n">
        <x:v>46450</x:v>
      </x:c>
      <x:c r="C324" s="32" t="n">
        <x:v>3</x:v>
      </x:c>
      <x:c r="D324" s="20" t="str">
        <x:v>Monthly operations</x:v>
      </x:c>
      <x:c r="E324" s="20" t="str">
        <x:v>Property Manager</x:v>
      </x:c>
      <x:c r="F324" s="20" t="str">
        <x:v>Mobile</x:v>
      </x:c>
      <x:c r="G324" s="20" t="str">
        <x:v>Portal card</x:v>
      </x:c>
      <x:c r="H324" s="35" t="str">
        <x:v>Post and allocate tenant receipt</x:v>
      </x:c>
      <x:c r="I324" s="35" t="str">
        <x:v>P007; U007; L007</x:v>
      </x:c>
      <x:c r="J324" s="35" t="str"/>
      <x:c r="K324" s="35" t="str">
        <x:v>FIN-00174; FIN-00175</x:v>
      </x:c>
      <x:c r="L324" s="35" t="str">
        <x:v>Open Scan for paper payment or the tenant-account receipt form for electronic payment; verify tenant/lease match, amount, date, method, and reference; confirm once; open ledger detail and allocation.</x:v>
      </x:c>
      <x:c r="M324" s="35" t="str">
        <x:v>Receipt is append-only, allocated once to the correct rent charge, and visible consistently in Unit, Lease, Tenant Account, Accounting, and portal views.</x:v>
      </x:c>
      <x:c r="N324" s="35" t="str">
        <x:v>Scan review or form; success result; exact ledger rows; payment detail; accounting delta; portal receipt.</x:v>
      </x:c>
      <x:c r="O324" s="35" t="str">
        <x:v>Retry the idempotency key once during the quarter assigned in the coverage matrix; no duplicate cash or allocation.</x:v>
      </x:c>
      <x:c r="P324" s="35" t="str">
        <x:v>All expected records and amounts match; no unexplained error or stale state.</x:v>
      </x:c>
    </x:row>
    <x:row r="325">
      <x:c r="A325" s="20" t="str">
        <x:v>RUN-20270304-04</x:v>
      </x:c>
      <x:c r="B325" s="23" t="n">
        <x:v>46450</x:v>
      </x:c>
      <x:c r="C325" s="32" t="n">
        <x:v>4</x:v>
      </x:c>
      <x:c r="D325" s="20" t="str">
        <x:v>Monthly operations</x:v>
      </x:c>
      <x:c r="E325" s="20" t="str">
        <x:v>Property Manager</x:v>
      </x:c>
      <x:c r="F325" s="20" t="str">
        <x:v>Web</x:v>
      </x:c>
      <x:c r="G325" s="20" t="str">
        <x:v>Manual ACH</x:v>
      </x:c>
      <x:c r="H325" s="35" t="str">
        <x:v>Post and allocate tenant receipt</x:v>
      </x:c>
      <x:c r="I325" s="35" t="str">
        <x:v>P010; U010; L010</x:v>
      </x:c>
      <x:c r="J325" s="35" t="str"/>
      <x:c r="K325" s="35" t="str">
        <x:v>FIN-00180; FIN-00181</x:v>
      </x:c>
      <x:c r="L325" s="35" t="str">
        <x:v>Open Scan for paper payment or the tenant-account receipt form for electronic payment; verify tenant/lease match, amount, date, method, and reference; confirm once; open ledger detail and allocation.</x:v>
      </x:c>
      <x:c r="M325" s="35" t="str">
        <x:v>Receipt is append-only, allocated once to the correct rent charge, and visible consistently in Unit, Lease, Tenant Account, Accounting, and portal views.</x:v>
      </x:c>
      <x:c r="N325" s="35" t="str">
        <x:v>Scan review or form; success result; exact ledger rows; payment detail; accounting delta; portal receipt.</x:v>
      </x:c>
      <x:c r="O325" s="35" t="str">
        <x:v>Retry the idempotency key once during the quarter assigned in the coverage matrix; no duplicate cash or allocation.</x:v>
      </x:c>
      <x:c r="P325" s="35" t="str">
        <x:v>All expected records and amounts match; no unexplained error or stale state.</x:v>
      </x:c>
    </x:row>
    <x:row r="326">
      <x:c r="A326" s="20" t="str">
        <x:v>RUN-20270304-05</x:v>
      </x:c>
      <x:c r="B326" s="23" t="n">
        <x:v>46450</x:v>
      </x:c>
      <x:c r="C326" s="32" t="n">
        <x:v>5</x:v>
      </x:c>
      <x:c r="D326" s="20" t="str">
        <x:v>Monthly operations</x:v>
      </x:c>
      <x:c r="E326" s="20" t="str">
        <x:v>Property Manager</x:v>
      </x:c>
      <x:c r="F326" s="20" t="str">
        <x:v>Web</x:v>
      </x:c>
      <x:c r="G326" s="20" t="str">
        <x:v>Scanned check</x:v>
      </x:c>
      <x:c r="H326" s="35" t="str">
        <x:v>Post and allocate tenant receipt</x:v>
      </x:c>
      <x:c r="I326" s="35" t="str">
        <x:v>P016; U016; L016</x:v>
      </x:c>
      <x:c r="J326" s="35" t="str">
        <x:v>SCN-0136</x:v>
      </x:c>
      <x:c r="K326" s="35" t="str">
        <x:v>FIN-00195; FIN-00196</x:v>
      </x:c>
      <x:c r="L326" s="35" t="str">
        <x:v>Open Scan for paper payment or the tenant-account receipt form for electronic payment; verify tenant/lease match, amount, date, method, and reference; confirm once; open ledger detail and allocation.</x:v>
      </x:c>
      <x:c r="M326" s="35" t="str">
        <x:v>Receipt is append-only, allocated once to the correct rent charge, and visible consistently in Unit, Lease, Tenant Account, Accounting, and portal views.</x:v>
      </x:c>
      <x:c r="N326" s="35" t="str">
        <x:v>Scan review or form; success result; exact ledger rows; payment detail; accounting delta; portal receipt.</x:v>
      </x:c>
      <x:c r="O326" s="35" t="str">
        <x:v>Retry the idempotency key once during the quarter assigned in the coverage matrix; no duplicate cash or allocation.</x:v>
      </x:c>
      <x:c r="P326" s="35" t="str">
        <x:v>All expected records and amounts match; no unexplained error or stale state.</x:v>
      </x:c>
    </x:row>
    <x:row r="327">
      <x:c r="A327" s="20" t="str">
        <x:v>RUN-20270304-06</x:v>
      </x:c>
      <x:c r="B327" s="23" t="n">
        <x:v>46450</x:v>
      </x:c>
      <x:c r="C327" s="32" t="n">
        <x:v>6</x:v>
      </x:c>
      <x:c r="D327" s="20" t="str">
        <x:v>Monthly operations</x:v>
      </x:c>
      <x:c r="E327" s="20" t="str">
        <x:v>Property Manager</x:v>
      </x:c>
      <x:c r="F327" s="20" t="str">
        <x:v>Mobile</x:v>
      </x:c>
      <x:c r="G327" s="20" t="str">
        <x:v>Portal card</x:v>
      </x:c>
      <x:c r="H327" s="35" t="str">
        <x:v>Post and allocate tenant receipt</x:v>
      </x:c>
      <x:c r="I327" s="35" t="str">
        <x:v>P019; U019; L019</x:v>
      </x:c>
      <x:c r="J327" s="35" t="str"/>
      <x:c r="K327" s="35" t="str">
        <x:v>FIN-00201; FIN-00202</x:v>
      </x:c>
      <x:c r="L327" s="35" t="str">
        <x:v>Open Scan for paper payment or the tenant-account receipt form for electronic payment; verify tenant/lease match, amount, date, method, and reference; confirm once; open ledger detail and allocation.</x:v>
      </x:c>
      <x:c r="M327" s="35" t="str">
        <x:v>Receipt is append-only, allocated once to the correct rent charge, and visible consistently in Unit, Lease, Tenant Account, Accounting, and portal views.</x:v>
      </x:c>
      <x:c r="N327" s="35" t="str">
        <x:v>Scan review or form; success result; exact ledger rows; payment detail; accounting delta; portal receipt.</x:v>
      </x:c>
      <x:c r="O327" s="35" t="str">
        <x:v>Retry the idempotency key once during the quarter assigned in the coverage matrix; no duplicate cash or allocation.</x:v>
      </x:c>
      <x:c r="P327" s="35" t="str">
        <x:v>All expected records and amounts match; no unexplained error or stale state.</x:v>
      </x:c>
    </x:row>
    <x:row r="328">
      <x:c r="A328" s="20" t="str">
        <x:v>RUN-20270304-07</x:v>
      </x:c>
      <x:c r="B328" s="23" t="n">
        <x:v>46450</x:v>
      </x:c>
      <x:c r="C328" s="32" t="n">
        <x:v>7</x:v>
      </x:c>
      <x:c r="D328" s="20" t="str">
        <x:v>Monthly operations</x:v>
      </x:c>
      <x:c r="E328" s="20" t="str">
        <x:v>Property Manager</x:v>
      </x:c>
      <x:c r="F328" s="20" t="str">
        <x:v>Mobile</x:v>
      </x:c>
      <x:c r="G328" s="20" t="str">
        <x:v>Scanned money order</x:v>
      </x:c>
      <x:c r="H328" s="35" t="str">
        <x:v>Post and allocate tenant receipt</x:v>
      </x:c>
      <x:c r="I328" s="35" t="str">
        <x:v>P023; U025; L025</x:v>
      </x:c>
      <x:c r="J328" s="35" t="str">
        <x:v>SCN-0141</x:v>
      </x:c>
      <x:c r="K328" s="35" t="str">
        <x:v>FIN-00216; FIN-00217</x:v>
      </x:c>
      <x:c r="L328" s="35" t="str">
        <x:v>Open Scan for paper payment or the tenant-account receipt form for electronic payment; verify tenant/lease match, amount, date, method, and reference; confirm once; open ledger detail and allocation.</x:v>
      </x:c>
      <x:c r="M328" s="35" t="str">
        <x:v>Receipt is append-only, allocated once to the correct rent charge, and visible consistently in Unit, Lease, Tenant Account, Accounting, and portal views.</x:v>
      </x:c>
      <x:c r="N328" s="35" t="str">
        <x:v>Scan review or form; success result; exact ledger rows; payment detail; accounting delta; portal receipt.</x:v>
      </x:c>
      <x:c r="O328" s="35" t="str">
        <x:v>Retry the idempotency key once during the quarter assigned in the coverage matrix; no duplicate cash or allocation.</x:v>
      </x:c>
      <x:c r="P328" s="35" t="str">
        <x:v>All expected records and amounts match; no unexplained error or stale state.</x:v>
      </x:c>
    </x:row>
    <x:row r="329">
      <x:c r="A329" s="20" t="str">
        <x:v>RUN-20270304-08</x:v>
      </x:c>
      <x:c r="B329" s="23" t="n">
        <x:v>46450</x:v>
      </x:c>
      <x:c r="C329" s="32" t="n">
        <x:v>8</x:v>
      </x:c>
      <x:c r="D329" s="20" t="str">
        <x:v>Monthly operations</x:v>
      </x:c>
      <x:c r="E329" s="20" t="str">
        <x:v>Property Manager</x:v>
      </x:c>
      <x:c r="F329" s="20" t="str">
        <x:v>Web</x:v>
      </x:c>
      <x:c r="G329" s="20" t="str">
        <x:v>Scanned check</x:v>
      </x:c>
      <x:c r="H329" s="35" t="str">
        <x:v>Post and allocate tenant receipt</x:v>
      </x:c>
      <x:c r="I329" s="35" t="str">
        <x:v>P024; U028; L028</x:v>
      </x:c>
      <x:c r="J329" s="35" t="str">
        <x:v>SCN-0143</x:v>
      </x:c>
      <x:c r="K329" s="35" t="str">
        <x:v>FIN-00223; FIN-00224</x:v>
      </x:c>
      <x:c r="L329" s="35" t="str">
        <x:v>Open Scan for paper payment or the tenant-account receipt form for electronic payment; verify tenant/lease match, amount, date, method, and reference; confirm once; open ledger detail and allocation.</x:v>
      </x:c>
      <x:c r="M329" s="35" t="str">
        <x:v>Receipt is append-only, allocated once to the correct rent charge, and visible consistently in Unit, Lease, Tenant Account, Accounting, and portal views.</x:v>
      </x:c>
      <x:c r="N329" s="35" t="str">
        <x:v>Scan review or form; success result; exact ledger rows; payment detail; accounting delta; portal receipt.</x:v>
      </x:c>
      <x:c r="O329" s="35" t="str">
        <x:v>Retry the idempotency key once during the quarter assigned in the coverage matrix; no duplicate cash or allocation.</x:v>
      </x:c>
      <x:c r="P329" s="35" t="str">
        <x:v>All expected records and amounts match; no unexplained error or stale state.</x:v>
      </x:c>
    </x:row>
    <x:row r="330">
      <x:c r="A330" s="20" t="str">
        <x:v>RUN-20270304-09</x:v>
      </x:c>
      <x:c r="B330" s="23" t="n">
        <x:v>46450</x:v>
      </x:c>
      <x:c r="C330" s="32" t="n">
        <x:v>9</x:v>
      </x:c>
      <x:c r="D330" s="20" t="str">
        <x:v>Monthly operations</x:v>
      </x:c>
      <x:c r="E330" s="20" t="str">
        <x:v>Property Manager</x:v>
      </x:c>
      <x:c r="F330" s="20" t="str">
        <x:v>Mobile</x:v>
      </x:c>
      <x:c r="G330" s="20" t="str">
        <x:v>Portal card</x:v>
      </x:c>
      <x:c r="H330" s="35" t="str">
        <x:v>Post and allocate tenant receipt</x:v>
      </x:c>
      <x:c r="I330" s="35" t="str">
        <x:v>P026; U031; L031</x:v>
      </x:c>
      <x:c r="J330" s="35" t="str"/>
      <x:c r="K330" s="35" t="str">
        <x:v>FIN-00229; FIN-00230</x:v>
      </x:c>
      <x:c r="L330" s="35" t="str">
        <x:v>Open Scan for paper payment or the tenant-account receipt form for electronic payment; verify tenant/lease match, amount, date, method, and reference; confirm once; open ledger detail and allocation.</x:v>
      </x:c>
      <x:c r="M330" s="35" t="str">
        <x:v>Receipt is append-only, allocated once to the correct rent charge, and visible consistently in Unit, Lease, Tenant Account, Accounting, and portal views.</x:v>
      </x:c>
      <x:c r="N330" s="35" t="str">
        <x:v>Scan review or form; success result; exact ledger rows; payment detail; accounting delta; portal receipt.</x:v>
      </x:c>
      <x:c r="O330" s="35" t="str">
        <x:v>Retry the idempotency key once during the quarter assigned in the coverage matrix; no duplicate cash or allocation.</x:v>
      </x:c>
      <x:c r="P330" s="35" t="str">
        <x:v>All expected records and amounts match; no unexplained error or stale state.</x:v>
      </x:c>
    </x:row>
    <x:row r="331">
      <x:c r="A331" s="20" t="str">
        <x:v>RUN-20270304-10</x:v>
      </x:c>
      <x:c r="B331" s="23" t="n">
        <x:v>46450</x:v>
      </x:c>
      <x:c r="C331" s="32" t="n">
        <x:v>10</x:v>
      </x:c>
      <x:c r="D331" s="20" t="str">
        <x:v>Monthly operations</x:v>
      </x:c>
      <x:c r="E331" s="20" t="str">
        <x:v>Property Manager</x:v>
      </x:c>
      <x:c r="F331" s="20" t="str">
        <x:v>Web</x:v>
      </x:c>
      <x:c r="G331" s="20" t="str">
        <x:v>Manual ACH</x:v>
      </x:c>
      <x:c r="H331" s="35" t="str">
        <x:v>Post and allocate tenant receipt</x:v>
      </x:c>
      <x:c r="I331" s="35" t="str">
        <x:v>P027; U034; L034</x:v>
      </x:c>
      <x:c r="J331" s="35" t="str"/>
      <x:c r="K331" s="35" t="str">
        <x:v>FIN-00237; FIN-00238</x:v>
      </x:c>
      <x:c r="L331" s="35" t="str">
        <x:v>Open Scan for paper payment or the tenant-account receipt form for electronic payment; verify tenant/lease match, amount, date, method, and reference; confirm once; open ledger detail and allocation.</x:v>
      </x:c>
      <x:c r="M331" s="35" t="str">
        <x:v>Receipt is append-only, allocated once to the correct rent charge, and visible consistently in Unit, Lease, Tenant Account, Accounting, and portal views.</x:v>
      </x:c>
      <x:c r="N331" s="35" t="str">
        <x:v>Scan review or form; success result; exact ledger rows; payment detail; accounting delta; portal receipt.</x:v>
      </x:c>
      <x:c r="O331" s="35" t="str">
        <x:v>Retry the idempotency key once during the quarter assigned in the coverage matrix; no duplicate cash or allocation.</x:v>
      </x:c>
      <x:c r="P331" s="35" t="str">
        <x:v>All expected records and amounts match; no unexplained error or stale state.</x:v>
      </x:c>
    </x:row>
    <x:row r="332">
      <x:c r="A332" s="20" t="str">
        <x:v>RUN-20270304-11</x:v>
      </x:c>
      <x:c r="B332" s="23" t="n">
        <x:v>46450</x:v>
      </x:c>
      <x:c r="C332" s="32" t="n">
        <x:v>11</x:v>
      </x:c>
      <x:c r="D332" s="20" t="str">
        <x:v>Monthly operations</x:v>
      </x:c>
      <x:c r="E332" s="20" t="str">
        <x:v>Property Manager</x:v>
      </x:c>
      <x:c r="F332" s="20" t="str">
        <x:v>Mobile</x:v>
      </x:c>
      <x:c r="G332" s="20" t="str">
        <x:v>Portal card</x:v>
      </x:c>
      <x:c r="H332" s="35" t="str">
        <x:v>Post and allocate tenant receipt</x:v>
      </x:c>
      <x:c r="I332" s="35" t="str">
        <x:v>P029; U037; L043</x:v>
      </x:c>
      <x:c r="J332" s="35" t="str"/>
      <x:c r="K332" s="35" t="str">
        <x:v>FIN-00243; FIN-00244</x:v>
      </x:c>
      <x:c r="L332" s="35" t="str">
        <x:v>Open Scan for paper payment or the tenant-account receipt form for electronic payment; verify tenant/lease match, amount, date, method, and reference; confirm once; open ledger detail and allocation.</x:v>
      </x:c>
      <x:c r="M332" s="35" t="str">
        <x:v>Receipt is append-only, allocated once to the correct rent charge, and visible consistently in Unit, Lease, Tenant Account, Accounting, and portal views.</x:v>
      </x:c>
      <x:c r="N332" s="35" t="str">
        <x:v>Scan review or form; success result; exact ledger rows; payment detail; accounting delta; portal receipt.</x:v>
      </x:c>
      <x:c r="O332" s="35" t="str">
        <x:v>Retry the idempotency key once during the quarter assigned in the coverage matrix; no duplicate cash or allocation.</x:v>
      </x:c>
      <x:c r="P332" s="35" t="str">
        <x:v>All expected records and amounts match; no unexplained error or stale state.</x:v>
      </x:c>
    </x:row>
    <x:row r="333">
      <x:c r="A333" s="20" t="str">
        <x:v>RUN-20270304-12</x:v>
      </x:c>
      <x:c r="B333" s="23" t="n">
        <x:v>46450</x:v>
      </x:c>
      <x:c r="C333" s="32" t="n">
        <x:v>12</x:v>
      </x:c>
      <x:c r="D333" s="20" t="str">
        <x:v>Role and screen certification</x:v>
      </x:c>
      <x:c r="E333" s="20" t="str">
        <x:v>Workspace Administrator</x:v>
      </x:c>
      <x:c r="F333" s="20" t="str">
        <x:v>Web</x:v>
      </x:c>
      <x:c r="G333" s="20" t="str">
        <x:v>Normal persona navigation</x:v>
      </x:c>
      <x:c r="H333" s="35" t="str">
        <x:v>Use every permitted action and state on /deposits</x:v>
      </x:c>
      <x:c r="I333" s="35" t="str">
        <x:v>SCR-027; ROLE-037</x:v>
      </x:c>
      <x:c r="J333" s="35" t="str"/>
      <x:c r="K333" s="35" t="str"/>
      <x:c r="L33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33" s="35" t="str">
        <x:v>The persona can use every allowed action with only its assigned properties/relationships. Hidden or disabled actions explain why; an adjacent unauthorized persona is denied without metadata leakage.</x:v>
      </x:c>
      <x:c r="N333" s="35" t="str">
        <x:v>Persona/experience; navigation entry; desktop or device screenshots; result state; persisted read-back; audit/history; authorized and denied network result.</x:v>
      </x:c>
      <x:c r="O333" s="35" t="str">
        <x:v>Open the direct URL or deep link with an adjacent unauthorized persona and with stale scope; both fail closed and land safely without mutation.</x:v>
      </x:c>
      <x:c r="P333" s="35" t="str">
        <x:v>All expected records and amounts match; no unexplained error or stale state.</x:v>
      </x:c>
    </x:row>
    <x:row r="334">
      <x:c r="A334" s="20" t="str">
        <x:v>RUN-20270304-13</x:v>
      </x:c>
      <x:c r="B334" s="23" t="n">
        <x:v>46450</x:v>
      </x:c>
      <x:c r="C334" s="32" t="n">
        <x:v>13</x:v>
      </x:c>
      <x:c r="D334" s="20" t="str">
        <x:v>Role and screen certification</x:v>
      </x:c>
      <x:c r="E334" s="20" t="str">
        <x:v>Property Manager</x:v>
      </x:c>
      <x:c r="F334" s="20" t="str">
        <x:v>Web</x:v>
      </x:c>
      <x:c r="G334" s="20" t="str">
        <x:v>Normal persona navigation</x:v>
      </x:c>
      <x:c r="H334" s="35" t="str">
        <x:v>Use every permitted action and state on /deposits</x:v>
      </x:c>
      <x:c r="I334" s="35" t="str">
        <x:v>SCR-027; ROLE-038</x:v>
      </x:c>
      <x:c r="J334" s="35" t="str"/>
      <x:c r="K334" s="35" t="str"/>
      <x:c r="L33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34" s="35" t="str">
        <x:v>The persona can use every allowed action with only its assigned properties/relationships. Hidden or disabled actions explain why; an adjacent unauthorized persona is denied without metadata leakage.</x:v>
      </x:c>
      <x:c r="N334" s="35" t="str">
        <x:v>Persona/experience; navigation entry; desktop or device screenshots; result state; persisted read-back; audit/history; authorized and denied network result.</x:v>
      </x:c>
      <x:c r="O334" s="35" t="str">
        <x:v>Open the direct URL or deep link with an adjacent unauthorized persona and with stale scope; both fail closed and land safely without mutation.</x:v>
      </x:c>
      <x:c r="P334" s="35" t="str">
        <x:v>All expected records and amounts match; no unexplained error or stale state.</x:v>
      </x:c>
    </x:row>
    <x:row r="335">
      <x:c r="A335" s="20" t="str">
        <x:v>RUN-20270304-14</x:v>
      </x:c>
      <x:c r="B335" s="23" t="n">
        <x:v>46450</x:v>
      </x:c>
      <x:c r="C335" s="32" t="n">
        <x:v>14</x:v>
      </x:c>
      <x:c r="D335" s="20" t="str">
        <x:v>Field certification</x:v>
      </x:c>
      <x:c r="E335" s="20" t="str">
        <x:v>Property Manager</x:v>
      </x:c>
      <x:c r="F335" s="20" t="str">
        <x:v>Web</x:v>
      </x:c>
      <x:c r="G335" s="20" t="str">
        <x:v>Manual field-by-field</x:v>
      </x:c>
      <x:c r="H335" s="35" t="str">
        <x:v>Fill, save, reload, edit, and validate every declared field on web/src/lib/components/records/ApplicationDetail.svelte</x:v>
      </x:c>
      <x:c r="I335" s="35" t="str">
        <x:v>FLD-0137; FLD-0138; FLD-0139</x:v>
      </x:c>
      <x:c r="J335" s="35" t="str"/>
      <x:c r="K335" s="35" t="str"/>
      <x:c r="L335" s="35" t="str">
        <x:v>Use the source-derived Field Inventory. Enter non-default realistic values in every control (adverse-reason; application-fee-amount-input; application-fee-method-input); submit; reload or relaunch; compare every value; edit each mutable field; verify the paired client; then run required, format, length, range, boundary, optional-null, and stale-submit checks.</x:v>
      </x:c>
      <x:c r="M335" s="35" t="str">
        <x:v>All 3 inventoried controls persist exact normalized values, invalid values stay unsaved with clear errors, and hidden/unauthorized fields cannot be altered.</x:v>
      </x:c>
      <x:c r="N335" s="35" t="str">
        <x:v>Before/after form screenshots; FLD IDs; API response; reloaded UI; paired-client read-back; database/audit evidence; negative validation result.</x:v>
      </x:c>
      <x:c r="O335" s="35" t="str">
        <x:v>Use a duplicate submit and one simulated network interruption; one atomic mutation or none, never partial state.</x:v>
      </x:c>
      <x:c r="P335" s="35" t="str">
        <x:v>All expected records and amounts match; no unexplained error or stale state.</x:v>
      </x:c>
    </x:row>
    <x:row r="336">
      <x:c r="A336" s="20" t="str">
        <x:v>RUN-20270304-15</x:v>
      </x:c>
      <x:c r="B336" s="23" t="n">
        <x:v>46450</x:v>
      </x:c>
      <x:c r="C336" s="32" t="n">
        <x:v>15</x:v>
      </x:c>
      <x:c r="D336" s="20" t="str">
        <x:v>Field certification</x:v>
      </x:c>
      <x:c r="E336" s="20" t="str">
        <x:v>Property Manager</x:v>
      </x:c>
      <x:c r="F336" s="20" t="str">
        <x:v>Web</x:v>
      </x:c>
      <x:c r="G336" s="20" t="str">
        <x:v>Manual field-by-field</x:v>
      </x:c>
      <x:c r="H336" s="35" t="str">
        <x:v>Fill, save, reload, edit, and validate every declared field on web/src/lib/components/records/ExpenseDetail.svelte</x:v>
      </x:c>
      <x:c r="I336" s="35" t="str">
        <x:v>FLD-0140</x:v>
      </x:c>
      <x:c r="J336" s="35" t="str"/>
      <x:c r="K336" s="35" t="str"/>
      <x:c r="L336" s="35" t="str">
        <x:v>Use the source-derived Field Inventory. Enter non-default realistic values in every control (expense-detail-billable-input); submit; reload or relaunch; compare every value; edit each mutable field; verify the paired client; then run required, format, length, range, boundary, optional-null, and stale-submit checks.</x:v>
      </x:c>
      <x:c r="M336" s="35" t="str">
        <x:v>All 1 inventoried controls persist exact normalized values, invalid values stay unsaved with clear errors, and hidden/unauthorized fields cannot be altered.</x:v>
      </x:c>
      <x:c r="N336" s="35" t="str">
        <x:v>Before/after form screenshots; FLD IDs; API response; reloaded UI; paired-client read-back; database/audit evidence; negative validation result.</x:v>
      </x:c>
      <x:c r="O336" s="35" t="str">
        <x:v>Use a duplicate submit and one simulated network interruption; one atomic mutation or none, never partial state.</x:v>
      </x:c>
      <x:c r="P336" s="35" t="str">
        <x:v>All expected records and amounts match; no unexplained error or stale state.</x:v>
      </x:c>
    </x:row>
    <x:row r="337">
      <x:c r="A337" s="20" t="str">
        <x:v>RUN-20270305-01</x:v>
      </x:c>
      <x:c r="B337" s="23" t="n">
        <x:v>46451</x:v>
      </x:c>
      <x:c r="C337" s="32" t="n">
        <x:v>1</x:v>
      </x:c>
      <x:c r="D337" s="20" t="str">
        <x:v>Monthly operations</x:v>
      </x:c>
      <x:c r="E337" s="20" t="str">
        <x:v>Property Manager</x:v>
      </x:c>
      <x:c r="F337" s="20" t="str">
        <x:v>Web</x:v>
      </x:c>
      <x:c r="G337" s="20" t="str">
        <x:v>Manual ACH</x:v>
      </x:c>
      <x:c r="H337" s="35" t="str">
        <x:v>Post and allocate tenant receipt</x:v>
      </x:c>
      <x:c r="I337" s="35" t="str">
        <x:v>P002; U002; L002</x:v>
      </x:c>
      <x:c r="J337" s="35" t="str"/>
      <x:c r="K337" s="35" t="str">
        <x:v>FIN-00166; FIN-00167</x:v>
      </x:c>
      <x:c r="L337" s="35" t="str">
        <x:v>Open Scan for paper payment or the tenant-account receipt form for electronic payment; verify tenant/lease match, amount, date, method, and reference; confirm once; open ledger detail and allocation.</x:v>
      </x:c>
      <x:c r="M337" s="35" t="str">
        <x:v>Receipt is append-only, allocated once to the correct rent charge, and visible consistently in Unit, Lease, Tenant Account, Accounting, and portal views.</x:v>
      </x:c>
      <x:c r="N337" s="35" t="str">
        <x:v>Scan review or form; success result; exact ledger rows; payment detail; accounting delta; portal receipt.</x:v>
      </x:c>
      <x:c r="O337" s="35" t="str">
        <x:v>Retry the idempotency key once during the quarter assigned in the coverage matrix; no duplicate cash or allocation.</x:v>
      </x:c>
      <x:c r="P337" s="35" t="str">
        <x:v>All expected records and amounts match; no unexplained error or stale state.</x:v>
      </x:c>
    </x:row>
    <x:row r="338">
      <x:c r="A338" s="20" t="str">
        <x:v>RUN-20270305-02</x:v>
      </x:c>
      <x:c r="B338" s="23" t="n">
        <x:v>46451</x:v>
      </x:c>
      <x:c r="C338" s="32" t="n">
        <x:v>2</x:v>
      </x:c>
      <x:c r="D338" s="20" t="str">
        <x:v>Monthly operations</x:v>
      </x:c>
      <x:c r="E338" s="20" t="str">
        <x:v>Property Manager</x:v>
      </x:c>
      <x:c r="F338" s="20" t="str">
        <x:v>Web</x:v>
      </x:c>
      <x:c r="G338" s="20" t="str">
        <x:v>Scanned check</x:v>
      </x:c>
      <x:c r="H338" s="35" t="str">
        <x:v>Post and allocate tenant receipt</x:v>
      </x:c>
      <x:c r="I338" s="35" t="str">
        <x:v>P008; U008; L008</x:v>
      </x:c>
      <x:c r="J338" s="35" t="str">
        <x:v>SCN-0131</x:v>
      </x:c>
      <x:c r="K338" s="35" t="str">
        <x:v>FIN-00176; FIN-00177</x:v>
      </x:c>
      <x:c r="L338" s="35" t="str">
        <x:v>Open Scan for paper payment or the tenant-account receipt form for electronic payment; verify tenant/lease match, amount, date, method, and reference; confirm once; open ledger detail and allocation.</x:v>
      </x:c>
      <x:c r="M338" s="35" t="str">
        <x:v>Receipt is append-only, allocated once to the correct rent charge, and visible consistently in Unit, Lease, Tenant Account, Accounting, and portal views.</x:v>
      </x:c>
      <x:c r="N338" s="35" t="str">
        <x:v>Scan review or form; success result; exact ledger rows; payment detail; accounting delta; portal receipt.</x:v>
      </x:c>
      <x:c r="O338" s="35" t="str">
        <x:v>Retry the idempotency key once during the quarter assigned in the coverage matrix; no duplicate cash or allocation.</x:v>
      </x:c>
      <x:c r="P338" s="35" t="str">
        <x:v>All expected records and amounts match; no unexplained error or stale state.</x:v>
      </x:c>
    </x:row>
    <x:row r="339">
      <x:c r="A339" s="20" t="str">
        <x:v>RUN-20270305-03</x:v>
      </x:c>
      <x:c r="B339" s="23" t="n">
        <x:v>46451</x:v>
      </x:c>
      <x:c r="C339" s="32" t="n">
        <x:v>3</x:v>
      </x:c>
      <x:c r="D339" s="20" t="str">
        <x:v>Monthly operations</x:v>
      </x:c>
      <x:c r="E339" s="20" t="str">
        <x:v>Property Manager</x:v>
      </x:c>
      <x:c r="F339" s="20" t="str">
        <x:v>Web</x:v>
      </x:c>
      <x:c r="G339" s="20" t="str">
        <x:v>Manual ACH</x:v>
      </x:c>
      <x:c r="H339" s="35" t="str">
        <x:v>Post and allocate tenant receipt</x:v>
      </x:c>
      <x:c r="I339" s="35" t="str">
        <x:v>P014; U014; L014</x:v>
      </x:c>
      <x:c r="J339" s="35" t="str"/>
      <x:c r="K339" s="35" t="str">
        <x:v>FIN-00191; FIN-00192</x:v>
      </x:c>
      <x:c r="L339" s="35" t="str">
        <x:v>Open Scan for paper payment or the tenant-account receipt form for electronic payment; verify tenant/lease match, amount, date, method, and reference; confirm once; open ledger detail and allocation.</x:v>
      </x:c>
      <x:c r="M339" s="35" t="str">
        <x:v>Receipt is append-only, allocated once to the correct rent charge, and visible consistently in Unit, Lease, Tenant Account, Accounting, and portal views.</x:v>
      </x:c>
      <x:c r="N339" s="35" t="str">
        <x:v>Scan review or form; success result; exact ledger rows; payment detail; accounting delta; portal receipt.</x:v>
      </x:c>
      <x:c r="O339" s="35" t="str">
        <x:v>Retry the idempotency key once during the quarter assigned in the coverage matrix; no duplicate cash or allocation.</x:v>
      </x:c>
      <x:c r="P339" s="35" t="str">
        <x:v>All expected records and amounts match; no unexplained error or stale state.</x:v>
      </x:c>
    </x:row>
    <x:row r="340">
      <x:c r="A340" s="20" t="str">
        <x:v>RUN-20270305-04</x:v>
      </x:c>
      <x:c r="B340" s="23" t="n">
        <x:v>46451</x:v>
      </x:c>
      <x:c r="C340" s="32" t="n">
        <x:v>4</x:v>
      </x:c>
      <x:c r="D340" s="20" t="str">
        <x:v>Monthly operations</x:v>
      </x:c>
      <x:c r="E340" s="20" t="str">
        <x:v>Property Manager</x:v>
      </x:c>
      <x:c r="F340" s="20" t="str">
        <x:v>Mobile</x:v>
      </x:c>
      <x:c r="G340" s="20" t="str">
        <x:v>Scanned money order</x:v>
      </x:c>
      <x:c r="H340" s="35" t="str">
        <x:v>Post and allocate tenant receipt</x:v>
      </x:c>
      <x:c r="I340" s="35" t="str">
        <x:v>P017; U017; L017</x:v>
      </x:c>
      <x:c r="J340" s="35" t="str">
        <x:v>SCN-0137</x:v>
      </x:c>
      <x:c r="K340" s="35" t="str">
        <x:v>FIN-00197; FIN-00198</x:v>
      </x:c>
      <x:c r="L340" s="35" t="str">
        <x:v>Open Scan for paper payment or the tenant-account receipt form for electronic payment; verify tenant/lease match, amount, date, method, and reference; confirm once; open ledger detail and allocation.</x:v>
      </x:c>
      <x:c r="M340" s="35" t="str">
        <x:v>Receipt is append-only, allocated once to the correct rent charge, and visible consistently in Unit, Lease, Tenant Account, Accounting, and portal views.</x:v>
      </x:c>
      <x:c r="N340" s="35" t="str">
        <x:v>Scan review or form; success result; exact ledger rows; payment detail; accounting delta; portal receipt.</x:v>
      </x:c>
      <x:c r="O340" s="35" t="str">
        <x:v>Retry the idempotency key once during the quarter assigned in the coverage matrix; no duplicate cash or allocation.</x:v>
      </x:c>
      <x:c r="P340" s="35" t="str">
        <x:v>All expected records and amounts match; no unexplained error or stale state.</x:v>
      </x:c>
    </x:row>
    <x:row r="341">
      <x:c r="A341" s="20" t="str">
        <x:v>RUN-20270305-05</x:v>
      </x:c>
      <x:c r="B341" s="23" t="n">
        <x:v>46451</x:v>
      </x:c>
      <x:c r="C341" s="32" t="n">
        <x:v>5</x:v>
      </x:c>
      <x:c r="D341" s="20" t="str">
        <x:v>Monthly operations</x:v>
      </x:c>
      <x:c r="E341" s="20" t="str">
        <x:v>Property Manager</x:v>
      </x:c>
      <x:c r="F341" s="20" t="str">
        <x:v>Web</x:v>
      </x:c>
      <x:c r="G341" s="20" t="str">
        <x:v>Scanned check</x:v>
      </x:c>
      <x:c r="H341" s="35" t="str">
        <x:v>Post and allocate tenant receipt</x:v>
      </x:c>
      <x:c r="I341" s="35" t="str">
        <x:v>P020; U020; L020</x:v>
      </x:c>
      <x:c r="J341" s="35" t="str">
        <x:v>SCN-0138</x:v>
      </x:c>
      <x:c r="K341" s="35" t="str">
        <x:v>FIN-00203; FIN-00204</x:v>
      </x:c>
      <x:c r="L341" s="35" t="str">
        <x:v>Open Scan for paper payment or the tenant-account receipt form for electronic payment; verify tenant/lease match, amount, date, method, and reference; confirm once; open ledger detail and allocation.</x:v>
      </x:c>
      <x:c r="M341" s="35" t="str">
        <x:v>Receipt is append-only, allocated once to the correct rent charge, and visible consistently in Unit, Lease, Tenant Account, Accounting, and portal views.</x:v>
      </x:c>
      <x:c r="N341" s="35" t="str">
        <x:v>Scan review or form; success result; exact ledger rows; payment detail; accounting delta; portal receipt.</x:v>
      </x:c>
      <x:c r="O341" s="35" t="str">
        <x:v>Retry the idempotency key once during the quarter assigned in the coverage matrix; no duplicate cash or allocation.</x:v>
      </x:c>
      <x:c r="P341" s="35" t="str">
        <x:v>All expected records and amounts match; no unexplained error or stale state.</x:v>
      </x:c>
    </x:row>
    <x:row r="342">
      <x:c r="A342" s="20" t="str">
        <x:v>RUN-20270305-06</x:v>
      </x:c>
      <x:c r="B342" s="23" t="n">
        <x:v>46451</x:v>
      </x:c>
      <x:c r="C342" s="32" t="n">
        <x:v>6</x:v>
      </x:c>
      <x:c r="D342" s="20" t="str">
        <x:v>Delinquency and corrections</x:v>
      </x:c>
      <x:c r="E342" s="20" t="str">
        <x:v>Workspace Administrator</x:v>
      </x:c>
      <x:c r="F342" s="20" t="str">
        <x:v>Web + Mobile</x:v>
      </x:c>
      <x:c r="G342" s="20" t="str">
        <x:v>Bank event + manual charge</x:v>
      </x:c>
      <x:c r="H342" s="35" t="str">
        <x:v>NSF reversal and fee</x:v>
      </x:c>
      <x:c r="I342" s="35" t="str">
        <x:v>L022; U022</x:v>
      </x:c>
      <x:c r="J342" s="35" t="str"/>
      <x:c r="K342" s="35" t="str">
        <x:v>FIN-00209; FIN-00210</x:v>
      </x:c>
      <x:c r="L342" s="35" t="str">
        <x:v>Reverse the failed receipt without editing/deleting it; add the authorized NSF fee; inspect balance before the replacement payment.</x:v>
      </x:c>
      <x:c r="M342" s="35" t="str">
        <x:v>Cash, AR, original payment, reversal, fee, and later replacement payment remain separately visible and net correctly.</x:v>
      </x:c>
      <x:c r="N342" s="35" t="str">
        <x:v>Ledger sequence on both clients; audit; bank match state; accounting summary before/after.</x:v>
      </x:c>
      <x:c r="O342" s="35" t="str">
        <x:v>Attempt to reverse the same payment twice and prove idempotent rejection.</x:v>
      </x:c>
      <x:c r="P342" s="35" t="str">
        <x:v>All expected records and amounts match; no unexplained error or stale state.</x:v>
      </x:c>
    </x:row>
    <x:row r="343">
      <x:c r="A343" s="20" t="str">
        <x:v>RUN-20270305-07</x:v>
      </x:c>
      <x:c r="B343" s="23" t="n">
        <x:v>46451</x:v>
      </x:c>
      <x:c r="C343" s="32" t="n">
        <x:v>7</x:v>
      </x:c>
      <x:c r="D343" s="20" t="str">
        <x:v>Monthly operations</x:v>
      </x:c>
      <x:c r="E343" s="20" t="str">
        <x:v>Property Manager</x:v>
      </x:c>
      <x:c r="F343" s="20" t="str">
        <x:v>Mobile</x:v>
      </x:c>
      <x:c r="G343" s="20" t="str">
        <x:v>Portal card</x:v>
      </x:c>
      <x:c r="H343" s="35" t="str">
        <x:v>Post and allocate tenant receipt</x:v>
      </x:c>
      <x:c r="I343" s="35" t="str">
        <x:v>P022; U023; L023</x:v>
      </x:c>
      <x:c r="J343" s="35" t="str"/>
      <x:c r="K343" s="35" t="str">
        <x:v>FIN-00212; FIN-00213</x:v>
      </x:c>
      <x:c r="L343" s="35" t="str">
        <x:v>Open Scan for paper payment or the tenant-account receipt form for electronic payment; verify tenant/lease match, amount, date, method, and reference; confirm once; open ledger detail and allocation.</x:v>
      </x:c>
      <x:c r="M343" s="35" t="str">
        <x:v>Receipt is append-only, allocated once to the correct rent charge, and visible consistently in Unit, Lease, Tenant Account, Accounting, and portal views.</x:v>
      </x:c>
      <x:c r="N343" s="35" t="str">
        <x:v>Scan review or form; success result; exact ledger rows; payment detail; accounting delta; portal receipt.</x:v>
      </x:c>
      <x:c r="O343" s="35" t="str">
        <x:v>Retry the idempotency key once during the quarter assigned in the coverage matrix; no duplicate cash or allocation.</x:v>
      </x:c>
      <x:c r="P343" s="35" t="str">
        <x:v>All expected records and amounts match; no unexplained error or stale state.</x:v>
      </x:c>
    </x:row>
    <x:row r="344">
      <x:c r="A344" s="20" t="str">
        <x:v>RUN-20270305-08</x:v>
      </x:c>
      <x:c r="B344" s="23" t="n">
        <x:v>46451</x:v>
      </x:c>
      <x:c r="C344" s="32" t="n">
        <x:v>8</x:v>
      </x:c>
      <x:c r="D344" s="20" t="str">
        <x:v>Monthly operations</x:v>
      </x:c>
      <x:c r="E344" s="20" t="str">
        <x:v>Property Manager</x:v>
      </x:c>
      <x:c r="F344" s="20" t="str">
        <x:v>Mobile</x:v>
      </x:c>
      <x:c r="G344" s="20" t="str">
        <x:v>Scanned money order</x:v>
      </x:c>
      <x:c r="H344" s="35" t="str">
        <x:v>Post and allocate tenant receipt</x:v>
      </x:c>
      <x:c r="I344" s="35" t="str">
        <x:v>P025; U029; L029</x:v>
      </x:c>
      <x:c r="J344" s="35" t="str">
        <x:v>SCN-0144</x:v>
      </x:c>
      <x:c r="K344" s="35" t="str">
        <x:v>FIN-00225; FIN-00226</x:v>
      </x:c>
      <x:c r="L344" s="35" t="str">
        <x:v>Open Scan for paper payment or the tenant-account receipt form for electronic payment; verify tenant/lease match, amount, date, method, and reference; confirm once; open ledger detail and allocation.</x:v>
      </x:c>
      <x:c r="M344" s="35" t="str">
        <x:v>Receipt is append-only, allocated once to the correct rent charge, and visible consistently in Unit, Lease, Tenant Account, Accounting, and portal views.</x:v>
      </x:c>
      <x:c r="N344" s="35" t="str">
        <x:v>Scan review or form; success result; exact ledger rows; payment detail; accounting delta; portal receipt.</x:v>
      </x:c>
      <x:c r="O344" s="35" t="str">
        <x:v>Retry the idempotency key once during the quarter assigned in the coverage matrix; no duplicate cash or allocation.</x:v>
      </x:c>
      <x:c r="P344" s="35" t="str">
        <x:v>All expected records and amounts match; no unexplained error or stale state.</x:v>
      </x:c>
    </x:row>
    <x:row r="345">
      <x:c r="A345" s="20" t="str">
        <x:v>RUN-20270305-09</x:v>
      </x:c>
      <x:c r="B345" s="23" t="n">
        <x:v>46451</x:v>
      </x:c>
      <x:c r="C345" s="32" t="n">
        <x:v>9</x:v>
      </x:c>
      <x:c r="D345" s="20" t="str">
        <x:v>Monthly operations</x:v>
      </x:c>
      <x:c r="E345" s="20" t="str">
        <x:v>Property Manager</x:v>
      </x:c>
      <x:c r="F345" s="20" t="str">
        <x:v>Web</x:v>
      </x:c>
      <x:c r="G345" s="20" t="str">
        <x:v>Scanned check</x:v>
      </x:c>
      <x:c r="H345" s="35" t="str">
        <x:v>Post and allocate tenant receipt</x:v>
      </x:c>
      <x:c r="I345" s="35" t="str">
        <x:v>P026; U032; L032</x:v>
      </x:c>
      <x:c r="J345" s="35" t="str">
        <x:v>SCN-0145</x:v>
      </x:c>
      <x:c r="K345" s="35" t="str">
        <x:v>FIN-00231; FIN-00232</x:v>
      </x:c>
      <x:c r="L345" s="35" t="str">
        <x:v>Open Scan for paper payment or the tenant-account receipt form for electronic payment; verify tenant/lease match, amount, date, method, and reference; confirm once; open ledger detail and allocation.</x:v>
      </x:c>
      <x:c r="M345" s="35" t="str">
        <x:v>Receipt is append-only, allocated once to the correct rent charge, and visible consistently in Unit, Lease, Tenant Account, Accounting, and portal views.</x:v>
      </x:c>
      <x:c r="N345" s="35" t="str">
        <x:v>Scan review or form; success result; exact ledger rows; payment detail; accounting delta; portal receipt.</x:v>
      </x:c>
      <x:c r="O345" s="35" t="str">
        <x:v>Retry the idempotency key once during the quarter assigned in the coverage matrix; no duplicate cash or allocation.</x:v>
      </x:c>
      <x:c r="P345" s="35" t="str">
        <x:v>All expected records and amounts match; no unexplained error or stale state.</x:v>
      </x:c>
    </x:row>
    <x:row r="346">
      <x:c r="A346" s="20" t="str">
        <x:v>RUN-20270305-10</x:v>
      </x:c>
      <x:c r="B346" s="23" t="n">
        <x:v>46451</x:v>
      </x:c>
      <x:c r="C346" s="32" t="n">
        <x:v>10</x:v>
      </x:c>
      <x:c r="D346" s="20" t="str">
        <x:v>Monthly operations</x:v>
      </x:c>
      <x:c r="E346" s="20" t="str">
        <x:v>Property Manager</x:v>
      </x:c>
      <x:c r="F346" s="20" t="str">
        <x:v>Mobile</x:v>
      </x:c>
      <x:c r="G346" s="20" t="str">
        <x:v>Portal card</x:v>
      </x:c>
      <x:c r="H346" s="35" t="str">
        <x:v>Post and allocate tenant receipt</x:v>
      </x:c>
      <x:c r="I346" s="35" t="str">
        <x:v>P028; U035; L035</x:v>
      </x:c>
      <x:c r="J346" s="35" t="str"/>
      <x:c r="K346" s="35" t="str">
        <x:v>FIN-00239; FIN-00240</x:v>
      </x:c>
      <x:c r="L346" s="35" t="str">
        <x:v>Open Scan for paper payment or the tenant-account receipt form for electronic payment; verify tenant/lease match, amount, date, method, and reference; confirm once; open ledger detail and allocation.</x:v>
      </x:c>
      <x:c r="M346" s="35" t="str">
        <x:v>Receipt is append-only, allocated once to the correct rent charge, and visible consistently in Unit, Lease, Tenant Account, Accounting, and portal views.</x:v>
      </x:c>
      <x:c r="N346" s="35" t="str">
        <x:v>Scan review or form; success result; exact ledger rows; payment detail; accounting delta; portal receipt.</x:v>
      </x:c>
      <x:c r="O346" s="35" t="str">
        <x:v>Retry the idempotency key once during the quarter assigned in the coverage matrix; no duplicate cash or allocation.</x:v>
      </x:c>
      <x:c r="P346" s="35" t="str">
        <x:v>All expected records and amounts match; no unexplained error or stale state.</x:v>
      </x:c>
    </x:row>
    <x:row r="347">
      <x:c r="A347" s="20" t="str">
        <x:v>RUN-20270305-11</x:v>
      </x:c>
      <x:c r="B347" s="23" t="n">
        <x:v>46451</x:v>
      </x:c>
      <x:c r="C347" s="32" t="n">
        <x:v>11</x:v>
      </x:c>
      <x:c r="D347" s="20" t="str">
        <x:v>Lease ending</x:v>
      </x:c>
      <x:c r="E347" s="20" t="str">
        <x:v>Workspace Administrator</x:v>
      </x:c>
      <x:c r="F347" s="20" t="str">
        <x:v>Web + Mobile</x:v>
      </x:c>
      <x:c r="G347" s="20" t="str">
        <x:v>Manual financial disposition</x:v>
      </x:c>
      <x:c r="H347" s="35" t="str">
        <x:v>Finalize security deposit disposition</x:v>
      </x:c>
      <x:c r="I347" s="35" t="str">
        <x:v>L005; U005</x:v>
      </x:c>
      <x:c r="J347" s="35" t="str">
        <x:v>SCN-0936</x:v>
      </x:c>
      <x:c r="K347" s="35" t="str">
        <x:v>FIN-01659</x:v>
      </x:c>
      <x:c r="L347" s="35" t="str">
        <x:v>Create supported damage charge if applicable; apply deposit to the tenant balance; transfer applied cash to operating; refund the remainder; deliver itemized statement; compare ledger and deposit register.</x:v>
      </x:c>
      <x:c r="M347" s="35" t="str">
        <x:v>Deposit liability falls by $1,875.00; tenant AR falls by $0.00; refund is $1,875.00; income changes only for supported charges.</x:v>
      </x:c>
      <x:c r="N347" s="35" t="str">
        <x:v>Inspection support; charge; application; cash transfer; refund; itemized statement; portal/account history; accounting checks.</x:v>
      </x:c>
      <x:c r="O347" s="35" t="str">
        <x:v>Inject a failure before final save and prove charge/application/refund/audit rows all roll back together.</x:v>
      </x:c>
      <x:c r="P347" s="35" t="str">
        <x:v>All expected records and amounts match; no unexplained error or stale state.</x:v>
      </x:c>
    </x:row>
    <x:row r="348">
      <x:c r="A348" s="20" t="str">
        <x:v>RUN-20270305-12</x:v>
      </x:c>
      <x:c r="B348" s="23" t="n">
        <x:v>46451</x:v>
      </x:c>
      <x:c r="C348" s="32" t="n">
        <x:v>12</x:v>
      </x:c>
      <x:c r="D348" s="20" t="str">
        <x:v>Role and screen certification</x:v>
      </x:c>
      <x:c r="E348" s="20" t="str">
        <x:v>Workspace Administrator</x:v>
      </x:c>
      <x:c r="F348" s="20" t="str">
        <x:v>Web</x:v>
      </x:c>
      <x:c r="G348" s="20" t="str">
        <x:v>Normal persona navigation</x:v>
      </x:c>
      <x:c r="H348" s="35" t="str">
        <x:v>Use every permitted action and state on /deposits/[id]</x:v>
      </x:c>
      <x:c r="I348" s="35" t="str">
        <x:v>SCR-028; ROLE-039</x:v>
      </x:c>
      <x:c r="J348" s="35" t="str"/>
      <x:c r="K348" s="35" t="str"/>
      <x:c r="L34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48" s="35" t="str">
        <x:v>The persona can use every allowed action with only its assigned properties/relationships. Hidden or disabled actions explain why; an adjacent unauthorized persona is denied without metadata leakage.</x:v>
      </x:c>
      <x:c r="N348" s="35" t="str">
        <x:v>Persona/experience; navigation entry; desktop or device screenshots; result state; persisted read-back; audit/history; authorized and denied network result.</x:v>
      </x:c>
      <x:c r="O348" s="35" t="str">
        <x:v>Open the direct URL or deep link with an adjacent unauthorized persona and with stale scope; both fail closed and land safely without mutation.</x:v>
      </x:c>
      <x:c r="P348" s="35" t="str">
        <x:v>All expected records and amounts match; no unexplained error or stale state.</x:v>
      </x:c>
    </x:row>
    <x:row r="349">
      <x:c r="A349" s="20" t="str">
        <x:v>RUN-20270305-13</x:v>
      </x:c>
      <x:c r="B349" s="23" t="n">
        <x:v>46451</x:v>
      </x:c>
      <x:c r="C349" s="32" t="n">
        <x:v>13</x:v>
      </x:c>
      <x:c r="D349" s="20" t="str">
        <x:v>Role and screen certification</x:v>
      </x:c>
      <x:c r="E349" s="20" t="str">
        <x:v>Property Manager</x:v>
      </x:c>
      <x:c r="F349" s="20" t="str">
        <x:v>Web</x:v>
      </x:c>
      <x:c r="G349" s="20" t="str">
        <x:v>Normal persona navigation</x:v>
      </x:c>
      <x:c r="H349" s="35" t="str">
        <x:v>Use every permitted action and state on /deposits/[id]</x:v>
      </x:c>
      <x:c r="I349" s="35" t="str">
        <x:v>SCR-028; ROLE-040</x:v>
      </x:c>
      <x:c r="J349" s="35" t="str"/>
      <x:c r="K349" s="35" t="str"/>
      <x:c r="L34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49" s="35" t="str">
        <x:v>The persona can use every allowed action with only its assigned properties/relationships. Hidden or disabled actions explain why; an adjacent unauthorized persona is denied without metadata leakage.</x:v>
      </x:c>
      <x:c r="N349" s="35" t="str">
        <x:v>Persona/experience; navigation entry; desktop or device screenshots; result state; persisted read-back; audit/history; authorized and denied network result.</x:v>
      </x:c>
      <x:c r="O349" s="35" t="str">
        <x:v>Open the direct URL or deep link with an adjacent unauthorized persona and with stale scope; both fail closed and land safely without mutation.</x:v>
      </x:c>
      <x:c r="P349" s="35" t="str">
        <x:v>All expected records and amounts match; no unexplained error or stale state.</x:v>
      </x:c>
    </x:row>
    <x:row r="350">
      <x:c r="A350" s="20" t="str">
        <x:v>RUN-20270305-14</x:v>
      </x:c>
      <x:c r="B350" s="23" t="n">
        <x:v>46451</x:v>
      </x:c>
      <x:c r="C350" s="32" t="n">
        <x:v>14</x:v>
      </x:c>
      <x:c r="D350" s="20" t="str">
        <x:v>Field certification</x:v>
      </x:c>
      <x:c r="E350" s="20" t="str">
        <x:v>Property Manager</x:v>
      </x:c>
      <x:c r="F350" s="20" t="str">
        <x:v>Web</x:v>
      </x:c>
      <x:c r="G350" s="20" t="str">
        <x:v>Manual field-by-field</x:v>
      </x:c>
      <x:c r="H350" s="35" t="str">
        <x:v>Fill, save, reload, edit, and validate every declared field on web/src/lib/components/records/ExpenseDetail.svelte</x:v>
      </x:c>
      <x:c r="I350" s="35" t="str">
        <x:v>FLD-0141; FLD-0142; FLD-0143; FLD-0144</x:v>
      </x:c>
      <x:c r="J350" s="35" t="str"/>
      <x:c r="K350" s="35" t="str"/>
      <x:c r="L350" s="35" t="str">
        <x:v>Use the source-derived Field Inventory. Enter non-default realistic values in every control (expense-detail-line-item-description-{i}; expense-detail-line-item-quantity-{i}; expense-detail-line-item-unit-price-{i}; expense-detail-line-item-amount-{i}); submit; reload or relaunch; compare every value; edit each mutable field; verify the paired client; then run required, format, length, range, boundary, optional-null, and stale-submit checks.</x:v>
      </x:c>
      <x:c r="M350" s="35" t="str">
        <x:v>All 4 inventoried controls persist exact normalized values, invalid values stay unsaved with clear errors, and hidden/unauthorized fields cannot be altered.</x:v>
      </x:c>
      <x:c r="N350" s="35" t="str">
        <x:v>Before/after form screenshots; FLD IDs; API response; reloaded UI; paired-client read-back; database/audit evidence; negative validation result.</x:v>
      </x:c>
      <x:c r="O350" s="35" t="str">
        <x:v>Use a duplicate submit and one simulated network interruption; one atomic mutation or none, never partial state.</x:v>
      </x:c>
      <x:c r="P350" s="35" t="str">
        <x:v>All expected records and amounts match; no unexplained error or stale state.</x:v>
      </x:c>
    </x:row>
    <x:row r="351">
      <x:c r="A351" s="20" t="str">
        <x:v>RUN-20270305-15</x:v>
      </x:c>
      <x:c r="B351" s="23" t="n">
        <x:v>46451</x:v>
      </x:c>
      <x:c r="C351" s="32" t="n">
        <x:v>15</x:v>
      </x:c>
      <x:c r="D351" s="20" t="str">
        <x:v>Field certification</x:v>
      </x:c>
      <x:c r="E351" s="20" t="str">
        <x:v>Property Manager</x:v>
      </x:c>
      <x:c r="F351" s="20" t="str">
        <x:v>Web</x:v>
      </x:c>
      <x:c r="G351" s="20" t="str">
        <x:v>Manual field-by-field</x:v>
      </x:c>
      <x:c r="H351" s="35" t="str">
        <x:v>Fill, save, reload, edit, and validate every declared field on web/src/lib/components/records/PaymentDetail.svelte</x:v>
      </x:c>
      <x:c r="I351" s="35" t="str">
        <x:v>FLD-0145</x:v>
      </x:c>
      <x:c r="J351" s="35" t="str"/>
      <x:c r="K351" s="35" t="str"/>
      <x:c r="L351" s="35" t="str">
        <x:v>Use the source-derived Field Inventory. Enter non-default realistic values in every control (correction.paymentMethodSummary); submit; reload or relaunch; compare every value; edit each mutable field; verify the paired client; then run required, format, length, range, boundary, optional-null, and stale-submit checks.</x:v>
      </x:c>
      <x:c r="M351" s="35" t="str">
        <x:v>All 1 inventoried controls persist exact normalized values, invalid values stay unsaved with clear errors, and hidden/unauthorized fields cannot be altered.</x:v>
      </x:c>
      <x:c r="N351" s="35" t="str">
        <x:v>Before/after form screenshots; FLD IDs; API response; reloaded UI; paired-client read-back; database/audit evidence; negative validation result.</x:v>
      </x:c>
      <x:c r="O351" s="35" t="str">
        <x:v>Use a duplicate submit and one simulated network interruption; one atomic mutation or none, never partial state.</x:v>
      </x:c>
      <x:c r="P351" s="35" t="str">
        <x:v>All expected records and amounts match; no unexplained error or stale state.</x:v>
      </x:c>
    </x:row>
    <x:row r="352">
      <x:c r="A352" s="20" t="str">
        <x:v>RUN-20270305-16</x:v>
      </x:c>
      <x:c r="B352" s="23" t="n">
        <x:v>46451</x:v>
      </x:c>
      <x:c r="C352" s="32" t="n">
        <x:v>16</x:v>
      </x:c>
      <x:c r="D352" s="20" t="str">
        <x:v>Lifecycle certification</x:v>
      </x:c>
      <x:c r="E352" s="20" t="str">
        <x:v>Property Manager</x:v>
      </x:c>
      <x:c r="F352" s="20" t="str">
        <x:v>Web + Mobile</x:v>
      </x:c>
      <x:c r="G352" s="20" t="str">
        <x:v>Manual + scan/attachment where supported</x:v>
      </x:c>
      <x:c r="H352" s="35" t="str">
        <x:v>Complete the full create/read/edit/lifecycle/delete-safe pass for Vendor</x:v>
      </x:c>
      <x:c r="I352" s="35" t="str">
        <x:v>CRUD-005</x:v>
      </x:c>
      <x:c r="J352" s="35" t="str"/>
      <x:c r="K352" s="35" t="str"/>
      <x:c r="L352" s="35" t="str">
        <x:v>Use a dedicated disposable QA record and execute: create; edit; W-9 request; dispatch; rate; deactivate-safe. Fill every field referenced by field-inventory.csv. Verify confirmation copy, cancel path, final path, reload, other-client state, history, and role denial.</x:v>
      </x:c>
      <x:c r="M352" s="35" t="str">
        <x:v>Every supported transition succeeds exactly once; forbidden destructive actions are guarded; reversible deletion/deactivation works; financial and historical truth is preserved.</x:v>
      </x:c>
      <x:c r="N352" s="35" t="str">
        <x:v>Entity before/after; both clients; all FLD IDs; audit/history; notifications; authorized and unauthorized personas; API/DB state.</x:v>
      </x:c>
      <x:c r="O352" s="35" t="str">
        <x:v>Cancel the first destructive confirmation, then repeat and confirm; retry the mutation once; no double transition or orphan.</x:v>
      </x:c>
      <x:c r="P352" s="35" t="str">
        <x:v>All expected records and amounts match; no unexplained error or stale state.</x:v>
      </x:c>
    </x:row>
    <x:row r="353">
      <x:c r="A353" s="20" t="str">
        <x:v>RUN-20270305-17</x:v>
      </x:c>
      <x:c r="B353" s="23" t="n">
        <x:v>46451</x:v>
      </x:c>
      <x:c r="C353" s="32" t="n">
        <x:v>17</x:v>
      </x:c>
      <x:c r="D353" s="20" t="str">
        <x:v>Notification certification</x:v>
      </x:c>
      <x:c r="E353" s="20" t="str">
        <x:v>Tenant</x:v>
      </x:c>
      <x:c r="F353" s="20" t="str">
        <x:v>Web + Mobile</x:v>
      </x:c>
      <x:c r="G353" s="20" t="str">
        <x:v>System event + preference/manual verification</x:v>
      </x:c>
      <x:c r="H353" s="35" t="str">
        <x:v>Trigger and prove notification: Late fee posted</x:v>
      </x:c>
      <x:c r="I353" s="35" t="str">
        <x:v>NTF-007</x:v>
      </x:c>
      <x:c r="J353" s="35" t="str"/>
      <x:c r="K353" s="35" t="str"/>
      <x:c r="L353" s="35" t="str">
        <x:v>Set each recipient's preferences; trigger the real business event; inspect routing and recipient scope; verify unread badge, list item, safe preview, tenant ledger deep link, mark-read sync, configured channel outcome, provider failure/retry, and duplicate suppression.</x:v>
      </x:c>
      <x:c r="M353" s="35" t="str">
        <x:v>Exactly the intended recipients receive one correctly routed notification; disabled optional channels stay silent; deep link opens authorized context; read state synchronizes.</x:v>
      </x:c>
      <x:c r="N353" s="35" t="str">
        <x:v>Trigger record; routing decision; outbox/delivery status; web/mobile inbox; lock-screen-safe copy; deep-link target; audit/provider retry evidence.</x:v>
      </x:c>
      <x:c r="O353" s="35" t="str">
        <x:v>Re-run the worker and deliver a duplicate provider callback; no duplicate user-visible event. Attempt the deep link as an unauthorized adjacent role.</x:v>
      </x:c>
      <x:c r="P353" s="35" t="str">
        <x:v>All expected records and amounts match; no unexplained error or stale state.</x:v>
      </x:c>
    </x:row>
    <x:row r="354">
      <x:c r="A354" s="20" t="str">
        <x:v>RUN-20270305-18</x:v>
      </x:c>
      <x:c r="B354" s="23" t="n">
        <x:v>46451</x:v>
      </x:c>
      <x:c r="C354" s="32" t="n">
        <x:v>18</x:v>
      </x:c>
      <x:c r="D354" s="20" t="str">
        <x:v>Surface coverage</x:v>
      </x:c>
      <x:c r="E354" s="20" t="str">
        <x:v>Role appropriate to surface</x:v>
      </x:c>
      <x:c r="F354" s="20" t="str">
        <x:v>Web</x:v>
      </x:c>
      <x:c r="G354" s="20" t="str">
        <x:v>Manual</x:v>
      </x:c>
      <x:c r="H354" s="35" t="str">
        <x:v>Manual web pass: Vendor create/edit/W-9/detail</x:v>
      </x:c>
      <x:c r="I354" s="35" t="str">
        <x:v>COV-008</x:v>
      </x:c>
      <x:c r="J354" s="35" t="str"/>
      <x:c r="K354" s="35" t="str"/>
      <x:c r="L354" s="35" t="str">
        <x:v>Create/edit vendor including address/tax/website, request W-9, filter, dispatch, rate, deactivate-safe.</x:v>
      </x:c>
      <x:c r="M354" s="35" t="str">
        <x:v>The supported workflow completes and persists correctly; if the capability is absent, the exact gap is proven and queued rather than silently skipped.</x:v>
      </x:c>
      <x:c r="N354" s="35" t="str">
        <x:v>Real UI screenshot/state; submitted values; persisted read-back; cross-client read-back; audit/role/access evidence.</x:v>
      </x:c>
      <x:c r="O354" s="35" t="str">
        <x:v>Use one invalid value, stale-state retry, or duplicate submission relevant to the form; no partial or duplicate mutation.</x:v>
      </x:c>
      <x:c r="P354" s="35" t="str">
        <x:v>All expected records and amounts match; no unexplained error or stale state.</x:v>
      </x:c>
    </x:row>
    <x:row r="355">
      <x:c r="A355" s="20" t="str">
        <x:v>RUN-20270306-01</x:v>
      </x:c>
      <x:c r="B355" s="23" t="n">
        <x:v>46452</x:v>
      </x:c>
      <x:c r="C355" s="32" t="n">
        <x:v>1</x:v>
      </x:c>
      <x:c r="D355" s="20" t="str">
        <x:v>Leasing</x:v>
      </x:c>
      <x:c r="E355" s="20" t="str">
        <x:v>Leasing Agent</x:v>
      </x:c>
      <x:c r="F355" s="20" t="str">
        <x:v>Web</x:v>
      </x:c>
      <x:c r="G355" s="20" t="str">
        <x:v>Scan/document + e-sign</x:v>
      </x:c>
      <x:c r="H355" s="35" t="str">
        <x:v>Issue and execute lease agreement</x:v>
      </x:c>
      <x:c r="I355" s="35" t="str">
        <x:v>L037; U005</x:v>
      </x:c>
      <x:c r="J355" s="35" t="str">
        <x:v>SCN-0910</x:v>
      </x:c>
      <x:c r="K355" s="35" t="str"/>
      <x:c r="L355" s="35" t="str">
        <x:v>Confirm the scanned/native agreement against the prepared draft; issue a signature packet; view as landlord and tenant; sign; finalize immutable PDF/hash; verify Agreement is Upcoming until effective date.</x:v>
      </x:c>
      <x:c r="M355" s="35" t="str">
        <x:v>Issued version is immutable, one signature packet is active, audit events are complete, and the effective-status projection follows the simulated date.</x:v>
      </x:c>
      <x:c r="N355" s="35" t="str">
        <x:v>Draft/issued/final PDFs; hashes; signer states; signature audit; portal view; status before/after effective date.</x:v>
      </x:c>
      <x:c r="O355" s="35" t="str">
        <x:v>Void one deliberately incorrect issued packet, issue a replacement, and prove the voided artifact remains while no competing active packet exists.</x:v>
      </x:c>
      <x:c r="P355" s="35" t="str">
        <x:v>All expected records and amounts match; no unexplained error or stale state.</x:v>
      </x:c>
    </x:row>
    <x:row r="356">
      <x:c r="A356" s="20" t="str">
        <x:v>RUN-20270308-01</x:v>
      </x:c>
      <x:c r="B356" s="23" t="n">
        <x:v>46454</x:v>
      </x:c>
      <x:c r="C356" s="32" t="n">
        <x:v>1</x:v>
      </x:c>
      <x:c r="D356" s="20" t="str">
        <x:v>Monthly operations</x:v>
      </x:c>
      <x:c r="E356" s="20" t="str">
        <x:v>Property Manager</x:v>
      </x:c>
      <x:c r="F356" s="20" t="str">
        <x:v>Web</x:v>
      </x:c>
      <x:c r="G356" s="20" t="str">
        <x:v>Scanned check</x:v>
      </x:c>
      <x:c r="H356" s="35" t="str">
        <x:v>Post and allocate tenant receipt</x:v>
      </x:c>
      <x:c r="I356" s="35" t="str">
        <x:v>P013; U013; L013</x:v>
      </x:c>
      <x:c r="J356" s="35" t="str">
        <x:v>SCN-0135</x:v>
      </x:c>
      <x:c r="K356" s="35" t="str">
        <x:v>FIN-00189; FIN-00190</x:v>
      </x:c>
      <x:c r="L356" s="35" t="str">
        <x:v>Open Scan for paper payment or the tenant-account receipt form for electronic payment; verify tenant/lease match, amount, date, method, and reference; confirm once; open ledger detail and allocation.</x:v>
      </x:c>
      <x:c r="M356" s="35" t="str">
        <x:v>Receipt is append-only, allocated once to the correct rent charge, and visible consistently in Unit, Lease, Tenant Account, Accounting, and portal views.</x:v>
      </x:c>
      <x:c r="N356" s="35" t="str">
        <x:v>Scan review or form; success result; exact ledger rows; payment detail; accounting delta; portal receipt.</x:v>
      </x:c>
      <x:c r="O356" s="35" t="str">
        <x:v>Retry the idempotency key once during the quarter assigned in the coverage matrix; no duplicate cash or allocation.</x:v>
      </x:c>
      <x:c r="P356" s="35" t="str">
        <x:v>All expected records and amounts match; no unexplained error or stale state.</x:v>
      </x:c>
    </x:row>
    <x:row r="357">
      <x:c r="A357" s="20" t="str">
        <x:v>RUN-20270308-02</x:v>
      </x:c>
      <x:c r="B357" s="23" t="n">
        <x:v>46454</x:v>
      </x:c>
      <x:c r="C357" s="32" t="n">
        <x:v>2</x:v>
      </x:c>
      <x:c r="D357" s="20" t="str">
        <x:v>Monthly operations</x:v>
      </x:c>
      <x:c r="E357" s="20" t="str">
        <x:v>Property Manager</x:v>
      </x:c>
      <x:c r="F357" s="20" t="str">
        <x:v>Mobile</x:v>
      </x:c>
      <x:c r="G357" s="20" t="str">
        <x:v>Scanned money order</x:v>
      </x:c>
      <x:c r="H357" s="35" t="str">
        <x:v>Post and allocate tenant receipt</x:v>
      </x:c>
      <x:c r="I357" s="35" t="str">
        <x:v>P023; U026; L026</x:v>
      </x:c>
      <x:c r="J357" s="35" t="str">
        <x:v>SCN-0142</x:v>
      </x:c>
      <x:c r="K357" s="35" t="str">
        <x:v>FIN-00219; FIN-00220</x:v>
      </x:c>
      <x:c r="L357" s="35" t="str">
        <x:v>Open Scan for paper payment or the tenant-account receipt form for electronic payment; verify tenant/lease match, amount, date, method, and reference; confirm once; open ledger detail and allocation.</x:v>
      </x:c>
      <x:c r="M357" s="35" t="str">
        <x:v>Receipt is append-only, allocated once to the correct rent charge, and visible consistently in Unit, Lease, Tenant Account, Accounting, and portal views.</x:v>
      </x:c>
      <x:c r="N357" s="35" t="str">
        <x:v>Scan review or form; success result; exact ledger rows; payment detail; accounting delta; portal receipt.</x:v>
      </x:c>
      <x:c r="O357" s="35" t="str">
        <x:v>Retry the idempotency key once during the quarter assigned in the coverage matrix; no duplicate cash or allocation.</x:v>
      </x:c>
      <x:c r="P357" s="35" t="str">
        <x:v>All expected records and amounts match; no unexplained error or stale state.</x:v>
      </x:c>
    </x:row>
    <x:row r="358">
      <x:c r="A358" s="20" t="str">
        <x:v>RUN-20270308-03</x:v>
      </x:c>
      <x:c r="B358" s="23" t="n">
        <x:v>46454</x:v>
      </x:c>
      <x:c r="C358" s="32" t="n">
        <x:v>3</x:v>
      </x:c>
      <x:c r="D358" s="20" t="str">
        <x:v>Weekly operations</x:v>
      </x:c>
      <x:c r="E358" s="20" t="str">
        <x:v>Property Manager</x:v>
      </x:c>
      <x:c r="F358" s="20" t="str">
        <x:v>Web</x:v>
      </x:c>
      <x:c r="G358" s="20" t="str">
        <x:v>Scan-first</x:v>
      </x:c>
      <x:c r="H358" s="35" t="str">
        <x:v>Create and triage maintenance request</x:v>
      </x:c>
      <x:c r="I358" s="35" t="str">
        <x:v>P026; U031; WO-2027-010</x:v>
      </x:c>
      <x:c r="J358" s="35" t="str">
        <x:v>SCN-0364</x:v>
      </x:c>
      <x:c r="K358" s="35" t="str"/>
      <x:c r="L358" s="35" t="str">
        <x:v>Capture the tenant note/photo; review loose outlet; confirm; set responsibility; dispatch Apex Plumbing; create an appointment and verify the tenant notification.</x:v>
      </x:c>
      <x:c r="M358" s="35" t="str">
        <x:v>Work order, status timeline, responsibility, vendor dispatch, appointment, notification, and Unit context are linked once.</x:v>
      </x:c>
      <x:c r="N358" s="35" t="str">
        <x:v>Scan review; work order detail/timeline; dispatch; appointment; notification; tenant portal view.</x:v>
      </x:c>
      <x:c r="O358" s="35" t="str">
        <x:v>Cancel one dispatch each quarter, reassign once, and prove status/history remains append-only.</x:v>
      </x:c>
      <x:c r="P358" s="35" t="str">
        <x:v>All expected records and amounts match; no unexplained error or stale state.</x:v>
      </x:c>
    </x:row>
    <x:row r="359">
      <x:c r="A359" s="20" t="str">
        <x:v>RUN-20270308-04</x:v>
      </x:c>
      <x:c r="B359" s="23" t="n">
        <x:v>46454</x:v>
      </x:c>
      <x:c r="C359" s="32" t="n">
        <x:v>4</x:v>
      </x:c>
      <x:c r="D359" s="20" t="str">
        <x:v>Leasing</x:v>
      </x:c>
      <x:c r="E359" s="20" t="str">
        <x:v>Property Manager</x:v>
      </x:c>
      <x:c r="F359" s="20" t="str">
        <x:v>Mobile</x:v>
      </x:c>
      <x:c r="G359" s="20" t="str">
        <x:v>Scan + manual classification</x:v>
      </x:c>
      <x:c r="H359" s="35" t="str">
        <x:v>Collect and classify security deposit</x:v>
      </x:c>
      <x:c r="I359" s="35" t="str">
        <x:v>L044; U038</x:v>
      </x:c>
      <x:c r="J359" s="35" t="str">
        <x:v>SCN-0929</x:v>
      </x:c>
      <x:c r="K359" s="35" t="str">
        <x:v>FIN-01656</x:v>
      </x:c>
      <x:c r="L359" s="35" t="str">
        <x:v>Capture the receipt; verify payer/amount; classify to the security-deposit account rather than rent; confirm trust account, liability, lease provenance, and receipt.</x:v>
      </x:c>
      <x:c r="M359" s="35" t="str">
        <x:v>Deposit trust cash and liability rise equally; tenant rent AR and rental income do not change.</x:v>
      </x:c>
      <x:c r="N359" s="35" t="str">
        <x:v>Scan review; deposit register; tenant account provenance; trust cash; accounting checks; receipt.</x:v>
      </x:c>
      <x:c r="O359" s="35" t="str">
        <x:v>Try to classify the deposit as rent, cancel, then classify correctly; no abandoned financial row remains.</x:v>
      </x:c>
      <x:c r="P359" s="35" t="str">
        <x:v>All expected records and amounts match; no unexplained error or stale state.</x:v>
      </x:c>
    </x:row>
    <x:row r="360">
      <x:c r="A360" s="20" t="str">
        <x:v>RUN-20270308-05</x:v>
      </x:c>
      <x:c r="B360" s="23" t="n">
        <x:v>46454</x:v>
      </x:c>
      <x:c r="C360" s="32" t="n">
        <x:v>5</x:v>
      </x:c>
      <x:c r="D360" s="20" t="str">
        <x:v>Role and screen certification</x:v>
      </x:c>
      <x:c r="E360" s="20" t="str">
        <x:v>Workspace Administrator</x:v>
      </x:c>
      <x:c r="F360" s="20" t="str">
        <x:v>Web</x:v>
      </x:c>
      <x:c r="G360" s="20" t="str">
        <x:v>Normal persona navigation</x:v>
      </x:c>
      <x:c r="H360" s="35" t="str">
        <x:v>Use every permitted action and state on /get-started</x:v>
      </x:c>
      <x:c r="I360" s="35" t="str">
        <x:v>SCR-029; ROLE-041</x:v>
      </x:c>
      <x:c r="J360" s="35" t="str"/>
      <x:c r="K360" s="35" t="str"/>
      <x:c r="L36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60" s="35" t="str">
        <x:v>The persona can use every allowed action with only its assigned properties/relationships. Hidden or disabled actions explain why; an adjacent unauthorized persona is denied without metadata leakage.</x:v>
      </x:c>
      <x:c r="N360" s="35" t="str">
        <x:v>Persona/experience; navigation entry; desktop or device screenshots; result state; persisted read-back; audit/history; authorized and denied network result.</x:v>
      </x:c>
      <x:c r="O360" s="35" t="str">
        <x:v>Open the direct URL or deep link with an adjacent unauthorized persona and with stale scope; both fail closed and land safely without mutation.</x:v>
      </x:c>
      <x:c r="P360" s="35" t="str">
        <x:v>All expected records and amounts match; no unexplained error or stale state.</x:v>
      </x:c>
    </x:row>
    <x:row r="361">
      <x:c r="A361" s="20" t="str">
        <x:v>RUN-20270308-06</x:v>
      </x:c>
      <x:c r="B361" s="23" t="n">
        <x:v>46454</x:v>
      </x:c>
      <x:c r="C361" s="32" t="n">
        <x:v>6</x:v>
      </x:c>
      <x:c r="D361" s="20" t="str">
        <x:v>Field certification</x:v>
      </x:c>
      <x:c r="E361" s="20" t="str">
        <x:v>Property Manager</x:v>
      </x:c>
      <x:c r="F361" s="20" t="str">
        <x:v>Web</x:v>
      </x:c>
      <x:c r="G361" s="20" t="str">
        <x:v>Manual field-by-field</x:v>
      </x:c>
      <x:c r="H361" s="35" t="str">
        <x:v>Fill, save, reload, edit, and validate every declared field on web/src/lib/components/records/PaymentDetail.svelte</x:v>
      </x:c>
      <x:c r="I361" s="35" t="str">
        <x:v>FLD-0146; FLD-0147</x:v>
      </x:c>
      <x:c r="J361" s="35" t="str"/>
      <x:c r="K361" s="35" t="str"/>
      <x:c r="L361" s="35" t="str">
        <x:v>Use the source-derived Field Inventory. Enter non-default realistic values in every control (correction.reason; correction.externalReference); submit; reload or relaunch; compare every value; edit each mutable field; verify the paired client; then run required, format, length, range, boundary, optional-null, and stale-submit checks.</x:v>
      </x:c>
      <x:c r="M361" s="35" t="str">
        <x:v>All 2 inventoried controls persist exact normalized values, invalid values stay unsaved with clear errors, and hidden/unauthorized fields cannot be altered.</x:v>
      </x:c>
      <x:c r="N361" s="35" t="str">
        <x:v>Before/after form screenshots; FLD IDs; API response; reloaded UI; paired-client read-back; database/audit evidence; negative validation result.</x:v>
      </x:c>
      <x:c r="O361" s="35" t="str">
        <x:v>Use a duplicate submit and one simulated network interruption; one atomic mutation or none, never partial state.</x:v>
      </x:c>
      <x:c r="P361" s="35" t="str">
        <x:v>All expected records and amounts match; no unexplained error or stale state.</x:v>
      </x:c>
    </x:row>
    <x:row r="362">
      <x:c r="A362" s="20" t="str">
        <x:v>RUN-20270308-07</x:v>
      </x:c>
      <x:c r="B362" s="23" t="n">
        <x:v>46454</x:v>
      </x:c>
      <x:c r="C362" s="32" t="n">
        <x:v>7</x:v>
      </x:c>
      <x:c r="D362" s="20" t="str">
        <x:v>Field certification</x:v>
      </x:c>
      <x:c r="E362" s="20" t="str">
        <x:v>Property Manager</x:v>
      </x:c>
      <x:c r="F362" s="20" t="str">
        <x:v>Web</x:v>
      </x:c>
      <x:c r="G362" s="20" t="str">
        <x:v>Manual field-by-field</x:v>
      </x:c>
      <x:c r="H362" s="35" t="str">
        <x:v>Fill, save, reload, edit, and validate every declared field on web/src/lib/components/records/WorkOrderDetail.svelte</x:v>
      </x:c>
      <x:c r="I362" s="35" t="str">
        <x:v>FLD-0148; FLD-0149</x:v>
      </x:c>
      <x:c r="J362" s="35" t="str"/>
      <x:c r="K362" s="35" t="str"/>
      <x:c r="L362" s="35" t="str">
        <x:v>Use the source-derived Field Inventory. Enter non-default realistic values in every control (selectedCandidateId; assignmentReason); submit; reload or relaunch; compare every value; edit each mutable field; verify the paired client; then run required, format, length, range, boundary, optional-null, and stale-submit checks.</x:v>
      </x:c>
      <x:c r="M362" s="35" t="str">
        <x:v>All 2 inventoried controls persist exact normalized values, invalid values stay unsaved with clear errors, and hidden/unauthorized fields cannot be altered.</x:v>
      </x:c>
      <x:c r="N362" s="35" t="str">
        <x:v>Before/after form screenshots; FLD IDs; API response; reloaded UI; paired-client read-back; database/audit evidence; negative validation result.</x:v>
      </x:c>
      <x:c r="O362" s="35" t="str">
        <x:v>Use a duplicate submit and one simulated network interruption; one atomic mutation or none, never partial state.</x:v>
      </x:c>
      <x:c r="P362" s="35" t="str">
        <x:v>All expected records and amounts match; no unexplained error or stale state.</x:v>
      </x:c>
    </x:row>
    <x:row r="363">
      <x:c r="A363" s="20" t="str">
        <x:v>RUN-20270308-08</x:v>
      </x:c>
      <x:c r="B363" s="23" t="n">
        <x:v>46454</x:v>
      </x:c>
      <x:c r="C363" s="32" t="n">
        <x:v>8</x:v>
      </x:c>
      <x:c r="D363" s="20" t="str">
        <x:v>Surface coverage</x:v>
      </x:c>
      <x:c r="E363" s="20" t="str">
        <x:v>Role appropriate to surface</x:v>
      </x:c>
      <x:c r="F363" s="20" t="str">
        <x:v>Mobile</x:v>
      </x:c>
      <x:c r="G363" s="20" t="str">
        <x:v>Manual</x:v>
      </x:c>
      <x:c r="H363" s="35" t="str">
        <x:v>Manual mobile pass: Vendor create/edit/W-9/detail</x:v>
      </x:c>
      <x:c r="I363" s="35" t="str">
        <x:v>COV-008</x:v>
      </x:c>
      <x:c r="J363" s="35" t="str"/>
      <x:c r="K363" s="35" t="str"/>
      <x:c r="L363" s="35" t="str">
        <x:v>Create/edit vendor including address/tax/website, request W-9, filter, dispatch, rate, deactivate-safe.</x:v>
      </x:c>
      <x:c r="M363" s="35" t="str">
        <x:v>The supported workflow completes and persists correctly; if the capability is absent, the exact gap is proven and queued rather than silently skipped.</x:v>
      </x:c>
      <x:c r="N363" s="35" t="str">
        <x:v>Real UI screenshot/state; submitted values; persisted read-back; cross-client read-back; audit/role/access evidence.</x:v>
      </x:c>
      <x:c r="O363" s="35" t="str">
        <x:v>Use one invalid value, stale-state retry, or duplicate submission relevant to the form; no partial or duplicate mutation.</x:v>
      </x:c>
      <x:c r="P363" s="35" t="str">
        <x:v>All expected records and amounts match; no unexplained error or stale state.</x:v>
      </x:c>
    </x:row>
    <x:row r="364">
      <x:c r="A364" s="20" t="str">
        <x:v>RUN-20270309-01</x:v>
      </x:c>
      <x:c r="B364" s="23" t="n">
        <x:v>46455</x:v>
      </x:c>
      <x:c r="C364" s="32" t="n">
        <x:v>1</x:v>
      </x:c>
      <x:c r="D364" s="20" t="str">
        <x:v>Weekly operations</x:v>
      </x:c>
      <x:c r="E364" s="20" t="str">
        <x:v>Property Manager</x:v>
      </x:c>
      <x:c r="F364" s="20" t="str">
        <x:v>Web</x:v>
      </x:c>
      <x:c r="G364" s="20" t="str">
        <x:v>Manual mobile form</x:v>
      </x:c>
      <x:c r="H364" s="35" t="str">
        <x:v>Record, review, allocate, and pay operating expense</x:v>
      </x:c>
      <x:c r="I364" s="35" t="str">
        <x:v>P026; U031; WO-2027-010</x:v>
      </x:c>
      <x:c r="J364" s="35" t="str"/>
      <x:c r="K364" s="35" t="str">
        <x:v>FIN-01033</x:v>
      </x:c>
      <x:c r="L364" s="35" t="str">
        <x:v>Capture or upload the source; verify vendor, date, scope, category, line items, tax, amount, and work-order link; confirm; open detail; verify attachment; compare Money and Property/Unit views.</x:v>
      </x:c>
      <x:c r="M364" s="35" t="str">
        <x:v>One expense exists at its real operational scope, cash falls once, Schedule E category and allocations agree, and no per-unit copies are created.</x:v>
      </x:c>
      <x:c r="N364" s="35" t="str">
        <x:v>Source preview; review/form; expense detail; line items; Property/Unit ledger; audit; accounting/report delta.</x:v>
      </x:c>
      <x:c r="O364" s="35" t="str">
        <x:v>On marked duplicate-invoice cases, re-upload before confirm and prove the product prevents or clearly warns about duplication.</x:v>
      </x:c>
      <x:c r="P364" s="35" t="str">
        <x:v>All expected records and amounts match; no unexplained error or stale state.</x:v>
      </x:c>
    </x:row>
    <x:row r="365">
      <x:c r="A365" s="20" t="str">
        <x:v>RUN-20270309-02</x:v>
      </x:c>
      <x:c r="B365" s="23" t="n">
        <x:v>46455</x:v>
      </x:c>
      <x:c r="C365" s="32" t="n">
        <x:v>2</x:v>
      </x:c>
      <x:c r="D365" s="20" t="str">
        <x:v>Role and screen certification</x:v>
      </x:c>
      <x:c r="E365" s="20" t="str">
        <x:v>Workspace Administrator</x:v>
      </x:c>
      <x:c r="F365" s="20" t="str">
        <x:v>Web</x:v>
      </x:c>
      <x:c r="G365" s="20" t="str">
        <x:v>Normal persona navigation</x:v>
      </x:c>
      <x:c r="H365" s="35" t="str">
        <x:v>Use every permitted action and state on /import</x:v>
      </x:c>
      <x:c r="I365" s="35" t="str">
        <x:v>SCR-030; ROLE-042</x:v>
      </x:c>
      <x:c r="J365" s="35" t="str"/>
      <x:c r="K365" s="35" t="str"/>
      <x:c r="L36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65" s="35" t="str">
        <x:v>The persona can use every allowed action with only its assigned properties/relationships. Hidden or disabled actions explain why; an adjacent unauthorized persona is denied without metadata leakage.</x:v>
      </x:c>
      <x:c r="N365" s="35" t="str">
        <x:v>Persona/experience; navigation entry; desktop or device screenshots; result state; persisted read-back; audit/history; authorized and denied network result.</x:v>
      </x:c>
      <x:c r="O365" s="35" t="str">
        <x:v>Open the direct URL or deep link with an adjacent unauthorized persona and with stale scope; both fail closed and land safely without mutation.</x:v>
      </x:c>
      <x:c r="P365" s="35" t="str">
        <x:v>All expected records and amounts match; no unexplained error or stale state.</x:v>
      </x:c>
    </x:row>
    <x:row r="366">
      <x:c r="A366" s="20" t="str">
        <x:v>RUN-20270309-03</x:v>
      </x:c>
      <x:c r="B366" s="23" t="n">
        <x:v>46455</x:v>
      </x:c>
      <x:c r="C366" s="32" t="n">
        <x:v>3</x:v>
      </x:c>
      <x:c r="D366" s="20" t="str">
        <x:v>Role and screen certification</x:v>
      </x:c>
      <x:c r="E366" s="20" t="str">
        <x:v>Property Manager</x:v>
      </x:c>
      <x:c r="F366" s="20" t="str">
        <x:v>Web</x:v>
      </x:c>
      <x:c r="G366" s="20" t="str">
        <x:v>Normal persona navigation</x:v>
      </x:c>
      <x:c r="H366" s="35" t="str">
        <x:v>Use every permitted action and state on /import</x:v>
      </x:c>
      <x:c r="I366" s="35" t="str">
        <x:v>SCR-030; ROLE-043</x:v>
      </x:c>
      <x:c r="J366" s="35" t="str"/>
      <x:c r="K366" s="35" t="str"/>
      <x:c r="L36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66" s="35" t="str">
        <x:v>The persona can use every allowed action with only its assigned properties/relationships. Hidden or disabled actions explain why; an adjacent unauthorized persona is denied without metadata leakage.</x:v>
      </x:c>
      <x:c r="N366" s="35" t="str">
        <x:v>Persona/experience; navigation entry; desktop or device screenshots; result state; persisted read-back; audit/history; authorized and denied network result.</x:v>
      </x:c>
      <x:c r="O366" s="35" t="str">
        <x:v>Open the direct URL or deep link with an adjacent unauthorized persona and with stale scope; both fail closed and land safely without mutation.</x:v>
      </x:c>
      <x:c r="P366" s="35" t="str">
        <x:v>All expected records and amounts match; no unexplained error or stale state.</x:v>
      </x:c>
    </x:row>
    <x:row r="367">
      <x:c r="A367" s="20" t="str">
        <x:v>RUN-20270309-04</x:v>
      </x:c>
      <x:c r="B367" s="23" t="n">
        <x:v>46455</x:v>
      </x:c>
      <x:c r="C367" s="32" t="n">
        <x:v>4</x:v>
      </x:c>
      <x:c r="D367" s="20" t="str">
        <x:v>Field certification</x:v>
      </x:c>
      <x:c r="E367" s="20" t="str">
        <x:v>Property Manager</x:v>
      </x:c>
      <x:c r="F367" s="20" t="str">
        <x:v>Web</x:v>
      </x:c>
      <x:c r="G367" s="20" t="str">
        <x:v>Manual field-by-field</x:v>
      </x:c>
      <x:c r="H367" s="35" t="str">
        <x:v>Fill, save, reload, edit, and validate every declared field on web/src/lib/components/records/WorkOrderDetail.svelte</x:v>
      </x:c>
      <x:c r="I367" s="35" t="str">
        <x:v>FLD-0150; FLD-0151; FLD-0152</x:v>
      </x:c>
      <x:c r="J367" s="35" t="str"/>
      <x:c r="K367" s="35" t="str"/>
      <x:c r="L367" s="35" t="str">
        <x:v>Use the source-derived Field Inventory. Enter non-default realistic values in every control (status-note; dispatch-note; rate-comment); submit; reload or relaunch; compare every value; edit each mutable field; verify the paired client; then run required, format, length, range, boundary, optional-null, and stale-submit checks.</x:v>
      </x:c>
      <x:c r="M367" s="35" t="str">
        <x:v>All 3 inventoried controls persist exact normalized values, invalid values stay unsaved with clear errors, and hidden/unauthorized fields cannot be altered.</x:v>
      </x:c>
      <x:c r="N367" s="35" t="str">
        <x:v>Before/after form screenshots; FLD IDs; API response; reloaded UI; paired-client read-back; database/audit evidence; negative validation result.</x:v>
      </x:c>
      <x:c r="O367" s="35" t="str">
        <x:v>Use a duplicate submit and one simulated network interruption; one atomic mutation or none, never partial state.</x:v>
      </x:c>
      <x:c r="P367" s="35" t="str">
        <x:v>All expected records and amounts match; no unexplained error or stale state.</x:v>
      </x:c>
    </x:row>
    <x:row r="368">
      <x:c r="A368" s="20" t="str">
        <x:v>RUN-20270309-05</x:v>
      </x:c>
      <x:c r="B368" s="23" t="n">
        <x:v>46455</x:v>
      </x:c>
      <x:c r="C368" s="32" t="n">
        <x:v>5</x:v>
      </x:c>
      <x:c r="D368" s="20" t="str">
        <x:v>Field certification</x:v>
      </x:c>
      <x:c r="E368" s="20" t="str">
        <x:v>Leasing Agent</x:v>
      </x:c>
      <x:c r="F368" s="20" t="str">
        <x:v>Web</x:v>
      </x:c>
      <x:c r="G368" s="20" t="str">
        <x:v>Manual field-by-field</x:v>
      </x:c>
      <x:c r="H368" s="35" t="str">
        <x:v>Fill, save, reload, edit, and validate every declared field on web/src/lib/components/scan/LeaseScanSignatureChoice.svelte</x:v>
      </x:c>
      <x:c r="I368" s="35" t="str">
        <x:v>FLD-0153; FLD-0154</x:v>
      </x:c>
      <x:c r="J368" s="35" t="str"/>
      <x:c r="K368" s="35" t="str"/>
      <x:c r="L368" s="35" t="str">
        <x:v>Use the source-derived Field Inventory. Enter non-default realistic values in every control (lease-scan-review-disposition; lease-scan-template-source); submit; reload or relaunch; compare every value; edit each mutable field; verify the paired client; then run required, format, length, range, boundary, optional-null, and stale-submit checks.</x:v>
      </x:c>
      <x:c r="M368" s="35" t="str">
        <x:v>All 2 inventoried controls persist exact normalized values, invalid values stay unsaved with clear errors, and hidden/unauthorized fields cannot be altered.</x:v>
      </x:c>
      <x:c r="N368" s="35" t="str">
        <x:v>Before/after form screenshots; FLD IDs; API response; reloaded UI; paired-client read-back; database/audit evidence; negative validation result.</x:v>
      </x:c>
      <x:c r="O368" s="35" t="str">
        <x:v>Use a duplicate submit and one simulated network interruption; one atomic mutation or none, never partial state.</x:v>
      </x:c>
      <x:c r="P368" s="35" t="str">
        <x:v>All expected records and amounts match; no unexplained error or stale state.</x:v>
      </x:c>
    </x:row>
    <x:row r="369">
      <x:c r="A369" s="20" t="str">
        <x:v>RUN-20270310-01</x:v>
      </x:c>
      <x:c r="B369" s="23" t="n">
        <x:v>46456</x:v>
      </x:c>
      <x:c r="C369" s="32" t="n">
        <x:v>1</x:v>
      </x:c>
      <x:c r="D369" s="20" t="str">
        <x:v>Monthly operations</x:v>
      </x:c>
      <x:c r="E369" s="20" t="str">
        <x:v>Property Manager</x:v>
      </x:c>
      <x:c r="F369" s="20" t="str">
        <x:v>Mobile</x:v>
      </x:c>
      <x:c r="G369" s="20" t="str">
        <x:v>Portal card</x:v>
      </x:c>
      <x:c r="H369" s="35" t="str">
        <x:v>Post and allocate tenant receipt</x:v>
      </x:c>
      <x:c r="I369" s="35" t="str">
        <x:v>P021; U022; L022</x:v>
      </x:c>
      <x:c r="J369" s="35" t="str"/>
      <x:c r="K369" s="35" t="str">
        <x:v>FIN-00210; FIN-00211</x:v>
      </x:c>
      <x:c r="L369" s="35" t="str">
        <x:v>Open Scan for paper payment or the tenant-account receipt form for electronic payment; verify tenant/lease match, amount, date, method, and reference; confirm once; open ledger detail and allocation.</x:v>
      </x:c>
      <x:c r="M369" s="35" t="str">
        <x:v>Receipt is append-only, allocated once to the correct rent charge, and visible consistently in Unit, Lease, Tenant Account, Accounting, and portal views.</x:v>
      </x:c>
      <x:c r="N369" s="35" t="str">
        <x:v>Scan review or form; success result; exact ledger rows; payment detail; accounting delta; portal receipt.</x:v>
      </x:c>
      <x:c r="O369" s="35" t="str">
        <x:v>Retry the idempotency key once during the quarter assigned in the coverage matrix; no duplicate cash or allocation.</x:v>
      </x:c>
      <x:c r="P369" s="35" t="str">
        <x:v>All expected records and amounts match; no unexplained error or stale state.</x:v>
      </x:c>
    </x:row>
    <x:row r="370">
      <x:c r="A370" s="20" t="str">
        <x:v>RUN-20270310-02</x:v>
      </x:c>
      <x:c r="B370" s="23" t="n">
        <x:v>46456</x:v>
      </x:c>
      <x:c r="C370" s="32" t="n">
        <x:v>2</x:v>
      </x:c>
      <x:c r="D370" s="20" t="str">
        <x:v>Field certification</x:v>
      </x:c>
      <x:c r="E370" s="20" t="str">
        <x:v>Leasing Agent</x:v>
      </x:c>
      <x:c r="F370" s="20" t="str">
        <x:v>Web</x:v>
      </x:c>
      <x:c r="G370" s="20" t="str">
        <x:v>Manual field-by-field</x:v>
      </x:c>
      <x:c r="H370" s="35" t="str">
        <x:v>Fill, save, reload, edit, and validate every declared field on web/src/lib/components/scan/LeaseScanSignatureChoice.svelte</x:v>
      </x:c>
      <x:c r="I370" s="35" t="str">
        <x:v>FLD-0155; FLD-0156; FLD-0157; FLD-0158</x:v>
      </x:c>
      <x:c r="J370" s="35" t="str"/>
      <x:c r="K370" s="35" t="str"/>
      <x:c r="L370" s="35" t="str">
        <x:v>Use the source-derived Field Inventory. Enter non-default realistic values in every control (lease-scan-template-search; documentTemplateId; lease-scan-template-select; Select-8); submit; reload or relaunch; compare every value; edit each mutable field; verify the paired client; then run required, format, length, range, boundary, optional-null, and stale-submit checks.</x:v>
      </x:c>
      <x:c r="M370" s="35" t="str">
        <x:v>All 4 inventoried controls persist exact normalized values, invalid values stay unsaved with clear errors, and hidden/unauthorized fields cannot be altered.</x:v>
      </x:c>
      <x:c r="N370" s="35" t="str">
        <x:v>Before/after form screenshots; FLD IDs; API response; reloaded UI; paired-client read-back; database/audit evidence; negative validation result.</x:v>
      </x:c>
      <x:c r="O370" s="35" t="str">
        <x:v>Use a duplicate submit and one simulated network interruption; one atomic mutation or none, never partial state.</x:v>
      </x:c>
      <x:c r="P370" s="35" t="str">
        <x:v>All expected records and amounts match; no unexplained error or stale state.</x:v>
      </x:c>
    </x:row>
    <x:row r="371">
      <x:c r="A371" s="20" t="str">
        <x:v>RUN-20270310-03</x:v>
      </x:c>
      <x:c r="B371" s="23" t="n">
        <x:v>46456</x:v>
      </x:c>
      <x:c r="C371" s="32" t="n">
        <x:v>3</x:v>
      </x:c>
      <x:c r="D371" s="20" t="str">
        <x:v>Surface coverage</x:v>
      </x:c>
      <x:c r="E371" s="20" t="str">
        <x:v>Role appropriate to surface</x:v>
      </x:c>
      <x:c r="F371" s="20" t="str">
        <x:v>Web</x:v>
      </x:c>
      <x:c r="G371" s="20" t="str">
        <x:v>Scan/attachment</x:v>
      </x:c>
      <x:c r="H371" s="35" t="str">
        <x:v>Scan web pass: Vendor create/edit/W-9/detail</x:v>
      </x:c>
      <x:c r="I371" s="35" t="str">
        <x:v>COV-008</x:v>
      </x:c>
      <x:c r="J371" s="35" t="str"/>
      <x:c r="K371" s="35" t="str"/>
      <x:c r="L371" s="35" t="str">
        <x:v>Create/edit vendor including address/tax/website, request W-9, filter, dispatch, rate, deactivate-safe.</x:v>
      </x:c>
      <x:c r="M371" s="35" t="str">
        <x:v>The supported workflow completes and persists correctly; if the capability is absent, the exact gap is proven and queued rather than silently skipped.</x:v>
      </x:c>
      <x:c r="N371" s="35" t="str">
        <x:v>Real UI screenshot/state; submitted values; persisted read-back; cross-client read-back; audit/role/access evidence.</x:v>
      </x:c>
      <x:c r="O371" s="35" t="str">
        <x:v>Use one invalid value, stale-state retry, or duplicate submission relevant to the form; no partial or duplicate mutation.</x:v>
      </x:c>
      <x:c r="P371" s="35" t="str">
        <x:v>All expected records and amounts match; no unexplained error or stale state.</x:v>
      </x:c>
    </x:row>
    <x:row r="372">
      <x:c r="A372" s="20" t="str">
        <x:v>RUN-20270311-01</x:v>
      </x:c>
      <x:c r="B372" s="23" t="n">
        <x:v>46457</x:v>
      </x:c>
      <x:c r="C372" s="32" t="n">
        <x:v>1</x:v>
      </x:c>
      <x:c r="D372" s="20" t="str">
        <x:v>Role and screen certification</x:v>
      </x:c>
      <x:c r="E372" s="20" t="str">
        <x:v>Workspace Administrator</x:v>
      </x:c>
      <x:c r="F372" s="20" t="str">
        <x:v>Web</x:v>
      </x:c>
      <x:c r="G372" s="20" t="str">
        <x:v>Normal persona navigation</x:v>
      </x:c>
      <x:c r="H372" s="35" t="str">
        <x:v>Use every permitted action and state on /lease-templates</x:v>
      </x:c>
      <x:c r="I372" s="35" t="str">
        <x:v>SCR-031; ROLE-044</x:v>
      </x:c>
      <x:c r="J372" s="35" t="str"/>
      <x:c r="K372" s="35" t="str"/>
      <x:c r="L37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72" s="35" t="str">
        <x:v>The persona can use every allowed action with only its assigned properties/relationships. Hidden or disabled actions explain why; an adjacent unauthorized persona is denied without metadata leakage.</x:v>
      </x:c>
      <x:c r="N372" s="35" t="str">
        <x:v>Persona/experience; navigation entry; desktop or device screenshots; result state; persisted read-back; audit/history; authorized and denied network result.</x:v>
      </x:c>
      <x:c r="O372" s="35" t="str">
        <x:v>Open the direct URL or deep link with an adjacent unauthorized persona and with stale scope; both fail closed and land safely without mutation.</x:v>
      </x:c>
      <x:c r="P372" s="35" t="str">
        <x:v>All expected records and amounts match; no unexplained error or stale state.</x:v>
      </x:c>
    </x:row>
    <x:row r="373">
      <x:c r="A373" s="20" t="str">
        <x:v>RUN-20270311-02</x:v>
      </x:c>
      <x:c r="B373" s="23" t="n">
        <x:v>46457</x:v>
      </x:c>
      <x:c r="C373" s="32" t="n">
        <x:v>2</x:v>
      </x:c>
      <x:c r="D373" s="20" t="str">
        <x:v>Role and screen certification</x:v>
      </x:c>
      <x:c r="E373" s="20" t="str">
        <x:v>Property Manager</x:v>
      </x:c>
      <x:c r="F373" s="20" t="str">
        <x:v>Web</x:v>
      </x:c>
      <x:c r="G373" s="20" t="str">
        <x:v>Normal persona navigation</x:v>
      </x:c>
      <x:c r="H373" s="35" t="str">
        <x:v>Use every permitted action and state on /lease-templates</x:v>
      </x:c>
      <x:c r="I373" s="35" t="str">
        <x:v>SCR-031; ROLE-045</x:v>
      </x:c>
      <x:c r="J373" s="35" t="str"/>
      <x:c r="K373" s="35" t="str"/>
      <x:c r="L37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73" s="35" t="str">
        <x:v>The persona can use every allowed action with only its assigned properties/relationships. Hidden or disabled actions explain why; an adjacent unauthorized persona is denied without metadata leakage.</x:v>
      </x:c>
      <x:c r="N373" s="35" t="str">
        <x:v>Persona/experience; navigation entry; desktop or device screenshots; result state; persisted read-back; audit/history; authorized and denied network result.</x:v>
      </x:c>
      <x:c r="O373" s="35" t="str">
        <x:v>Open the direct URL or deep link with an adjacent unauthorized persona and with stale scope; both fail closed and land safely without mutation.</x:v>
      </x:c>
      <x:c r="P373" s="35" t="str">
        <x:v>All expected records and amounts match; no unexplained error or stale state.</x:v>
      </x:c>
    </x:row>
    <x:row r="374">
      <x:c r="A374" s="20" t="str">
        <x:v>RUN-20270311-03</x:v>
      </x:c>
      <x:c r="B374" s="23" t="n">
        <x:v>46457</x:v>
      </x:c>
      <x:c r="C374" s="32" t="n">
        <x:v>3</x:v>
      </x:c>
      <x:c r="D374" s="20" t="str">
        <x:v>Role and screen certification</x:v>
      </x:c>
      <x:c r="E374" s="20" t="str">
        <x:v>Leasing Agent</x:v>
      </x:c>
      <x:c r="F374" s="20" t="str">
        <x:v>Web</x:v>
      </x:c>
      <x:c r="G374" s="20" t="str">
        <x:v>Normal persona navigation</x:v>
      </x:c>
      <x:c r="H374" s="35" t="str">
        <x:v>Use every permitted action and state on /lease-templates</x:v>
      </x:c>
      <x:c r="I374" s="35" t="str">
        <x:v>SCR-031; ROLE-046</x:v>
      </x:c>
      <x:c r="J374" s="35" t="str"/>
      <x:c r="K374" s="35" t="str"/>
      <x:c r="L37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74" s="35" t="str">
        <x:v>The persona can use every allowed action with only its assigned properties/relationships. Hidden or disabled actions explain why; an adjacent unauthorized persona is denied without metadata leakage.</x:v>
      </x:c>
      <x:c r="N374" s="35" t="str">
        <x:v>Persona/experience; navigation entry; desktop or device screenshots; result state; persisted read-back; audit/history; authorized and denied network result.</x:v>
      </x:c>
      <x:c r="O374" s="35" t="str">
        <x:v>Open the direct URL or deep link with an adjacent unauthorized persona and with stale scope; both fail closed and land safely without mutation.</x:v>
      </x:c>
      <x:c r="P374" s="35" t="str">
        <x:v>All expected records and amounts match; no unexplained error or stale state.</x:v>
      </x:c>
    </x:row>
    <x:row r="375">
      <x:c r="A375" s="20" t="str">
        <x:v>RUN-20270311-04</x:v>
      </x:c>
      <x:c r="B375" s="23" t="n">
        <x:v>46457</x:v>
      </x:c>
      <x:c r="C375" s="32" t="n">
        <x:v>4</x:v>
      </x:c>
      <x:c r="D375" s="20" t="str">
        <x:v>Field certification</x:v>
      </x:c>
      <x:c r="E375" s="20" t="str">
        <x:v>Leasing Agent</x:v>
      </x:c>
      <x:c r="F375" s="20" t="str">
        <x:v>Web</x:v>
      </x:c>
      <x:c r="G375" s="20" t="str">
        <x:v>Manual field-by-field</x:v>
      </x:c>
      <x:c r="H375" s="35" t="str">
        <x:v>Fill, save, reload, edit, and validate every declared field on web/src/lib/components/scan/LeaseScanSignatureChoice.svelte</x:v>
      </x:c>
      <x:c r="I375" s="35" t="str">
        <x:v>FLD-0159</x:v>
      </x:c>
      <x:c r="J375" s="35" t="str"/>
      <x:c r="K375" s="35" t="str"/>
      <x:c r="L375" s="35" t="str">
        <x:v>Use the source-derived Field Inventory. Enter non-default realistic values in every control (Select-9); submit; reload or relaunch; compare every value; edit each mutable field; verify the paired client; then run required, format, length, range, boundary, optional-null, and stale-submit checks.</x:v>
      </x:c>
      <x:c r="M375" s="35" t="str">
        <x:v>All 1 inventoried controls persist exact normalized values, invalid values stay unsaved with clear errors, and hidden/unauthorized fields cannot be altered.</x:v>
      </x:c>
      <x:c r="N375" s="35" t="str">
        <x:v>Before/after form screenshots; FLD IDs; API response; reloaded UI; paired-client read-back; database/audit evidence; negative validation result.</x:v>
      </x:c>
      <x:c r="O375" s="35" t="str">
        <x:v>Use a duplicate submit and one simulated network interruption; one atomic mutation or none, never partial state.</x:v>
      </x:c>
      <x:c r="P375" s="35" t="str">
        <x:v>All expected records and amounts match; no unexplained error or stale state.</x:v>
      </x:c>
    </x:row>
    <x:row r="376">
      <x:c r="A376" s="20" t="str">
        <x:v>RUN-20270311-05</x:v>
      </x:c>
      <x:c r="B376" s="23" t="n">
        <x:v>46457</x:v>
      </x:c>
      <x:c r="C376" s="32" t="n">
        <x:v>5</x:v>
      </x:c>
      <x:c r="D376" s="20" t="str">
        <x:v>Field certification</x:v>
      </x:c>
      <x:c r="E376" s="20" t="str">
        <x:v>Property Manager</x:v>
      </x:c>
      <x:c r="F376" s="20" t="str">
        <x:v>Web</x:v>
      </x:c>
      <x:c r="G376" s="20" t="str">
        <x:v>Manual field-by-field</x:v>
      </x:c>
      <x:c r="H376" s="35" t="str">
        <x:v>Fill, save, reload, edit, and validate every declared field on web/src/lib/components/shared/AddressAutocomplete.svelte</x:v>
      </x:c>
      <x:c r="I376" s="35" t="str">
        <x:v>FLD-0160</x:v>
      </x:c>
      <x:c r="J376" s="35" t="str"/>
      <x:c r="K376" s="35" t="str"/>
      <x:c r="L376" s="35" t="str">
        <x:v>Use the source-derived Field Inventory. Enter non-default realistic values in every control (testid); submit; reload or relaunch; compare every value; edit each mutable field; verify the paired client; then run required, format, length, range, boundary, optional-null, and stale-submit checks.</x:v>
      </x:c>
      <x:c r="M376" s="35" t="str">
        <x:v>All 1 inventoried controls persist exact normalized values, invalid values stay unsaved with clear errors, and hidden/unauthorized fields cannot be altered.</x:v>
      </x:c>
      <x:c r="N376" s="35" t="str">
        <x:v>Before/after form screenshots; FLD IDs; API response; reloaded UI; paired-client read-back; database/audit evidence; negative validation result.</x:v>
      </x:c>
      <x:c r="O376" s="35" t="str">
        <x:v>Use a duplicate submit and one simulated network interruption; one atomic mutation or none, never partial state.</x:v>
      </x:c>
      <x:c r="P376" s="35" t="str">
        <x:v>All expected records and amounts match; no unexplained error or stale state.</x:v>
      </x:c>
    </x:row>
    <x:row r="377">
      <x:c r="A377" s="20" t="str">
        <x:v>RUN-20270311-06</x:v>
      </x:c>
      <x:c r="B377" s="23" t="n">
        <x:v>46457</x:v>
      </x:c>
      <x:c r="C377" s="32" t="n">
        <x:v>6</x:v>
      </x:c>
      <x:c r="D377" s="20" t="str">
        <x:v>Field certification</x:v>
      </x:c>
      <x:c r="E377" s="20" t="str">
        <x:v>Property Manager</x:v>
      </x:c>
      <x:c r="F377" s="20" t="str">
        <x:v>Web</x:v>
      </x:c>
      <x:c r="G377" s="20" t="str">
        <x:v>Manual field-by-field</x:v>
      </x:c>
      <x:c r="H377" s="35" t="str">
        <x:v>Fill, save, reload, edit, and validate every declared field on web/src/lib/components/shared/DatePicker.svelte</x:v>
      </x:c>
      <x:c r="I377" s="35" t="str">
        <x:v>FLD-0161; FLD-0162</x:v>
      </x:c>
      <x:c r="J377" s="35" t="str"/>
      <x:c r="K377" s="35" t="str"/>
      <x:c r="L377" s="35" t="str">
        <x:v>Use the source-derived Field Inventory. Enter non-default realistic values in every control (input-1; testid); submit; reload or relaunch; compare every value; edit each mutable field; verify the paired client; then run required, format, length, range, boundary, optional-null, and stale-submit checks.</x:v>
      </x:c>
      <x:c r="M377" s="35" t="str">
        <x:v>All 2 inventoried controls persist exact normalized values, invalid values stay unsaved with clear errors, and hidden/unauthorized fields cannot be altered.</x:v>
      </x:c>
      <x:c r="N377" s="35" t="str">
        <x:v>Before/after form screenshots; FLD IDs; API response; reloaded UI; paired-client read-back; database/audit evidence; negative validation result.</x:v>
      </x:c>
      <x:c r="O377" s="35" t="str">
        <x:v>Use a duplicate submit and one simulated network interruption; one atomic mutation or none, never partial state.</x:v>
      </x:c>
      <x:c r="P377" s="35" t="str">
        <x:v>All expected records and amounts match; no unexplained error or stale state.</x:v>
      </x:c>
    </x:row>
    <x:row r="378">
      <x:c r="A378" s="20" t="str">
        <x:v>RUN-20270311-07</x:v>
      </x:c>
      <x:c r="B378" s="23" t="n">
        <x:v>46457</x:v>
      </x:c>
      <x:c r="C378" s="32" t="n">
        <x:v>7</x:v>
      </x:c>
      <x:c r="D378" s="20" t="str">
        <x:v>Field certification</x:v>
      </x:c>
      <x:c r="E378" s="20" t="str">
        <x:v>Property Manager</x:v>
      </x:c>
      <x:c r="F378" s="20" t="str">
        <x:v>Web</x:v>
      </x:c>
      <x:c r="G378" s="20" t="str">
        <x:v>Manual field-by-field</x:v>
      </x:c>
      <x:c r="H378" s="35" t="str">
        <x:v>Fill, save, reload, edit, and validate every declared field on web/src/lib/components/shared/DateTimePicker.svelte</x:v>
      </x:c>
      <x:c r="I378" s="35" t="str">
        <x:v>FLD-0163</x:v>
      </x:c>
      <x:c r="J378" s="35" t="str"/>
      <x:c r="K378" s="35" t="str"/>
      <x:c r="L378" s="35" t="str">
        <x:v>Use the source-derived Field Inventory. Enter non-default realistic values in every control (input-1); submit; reload or relaunch; compare every value; edit each mutable field; verify the paired client; then run required, format, length, range, boundary, optional-null, and stale-submit checks.</x:v>
      </x:c>
      <x:c r="M378" s="35" t="str">
        <x:v>All 1 inventoried controls persist exact normalized values, invalid values stay unsaved with clear errors, and hidden/unauthorized fields cannot be altered.</x:v>
      </x:c>
      <x:c r="N378" s="35" t="str">
        <x:v>Before/after form screenshots; FLD IDs; API response; reloaded UI; paired-client read-back; database/audit evidence; negative validation result.</x:v>
      </x:c>
      <x:c r="O378" s="35" t="str">
        <x:v>Use a duplicate submit and one simulated network interruption; one atomic mutation or none, never partial state.</x:v>
      </x:c>
      <x:c r="P378" s="35" t="str">
        <x:v>All expected records and amounts match; no unexplained error or stale state.</x:v>
      </x:c>
    </x:row>
    <x:row r="379">
      <x:c r="A379" s="20" t="str">
        <x:v>RUN-20270311-08</x:v>
      </x:c>
      <x:c r="B379" s="23" t="n">
        <x:v>46457</x:v>
      </x:c>
      <x:c r="C379" s="32" t="n">
        <x:v>8</x:v>
      </x:c>
      <x:c r="D379" s="20" t="str">
        <x:v>Surface coverage</x:v>
      </x:c>
      <x:c r="E379" s="20" t="str">
        <x:v>Role appropriate to surface</x:v>
      </x:c>
      <x:c r="F379" s="20" t="str">
        <x:v>Mobile</x:v>
      </x:c>
      <x:c r="G379" s="20" t="str">
        <x:v>Scan/attachment</x:v>
      </x:c>
      <x:c r="H379" s="35" t="str">
        <x:v>Scan mobile pass: Vendor create/edit/W-9/detail</x:v>
      </x:c>
      <x:c r="I379" s="35" t="str">
        <x:v>COV-008</x:v>
      </x:c>
      <x:c r="J379" s="35" t="str"/>
      <x:c r="K379" s="35" t="str"/>
      <x:c r="L379" s="35" t="str">
        <x:v>Create/edit vendor including address/tax/website, request W-9, filter, dispatch, rate, deactivate-safe.</x:v>
      </x:c>
      <x:c r="M379" s="35" t="str">
        <x:v>The supported workflow completes and persists correctly; if the capability is absent, the exact gap is proven and queued rather than silently skipped.</x:v>
      </x:c>
      <x:c r="N379" s="35" t="str">
        <x:v>Real UI screenshot/state; submitted values; persisted read-back; cross-client read-back; audit/role/access evidence.</x:v>
      </x:c>
      <x:c r="O379" s="35" t="str">
        <x:v>Use one invalid value, stale-state retry, or duplicate submission relevant to the form; no partial or duplicate mutation.</x:v>
      </x:c>
      <x:c r="P379" s="35" t="str">
        <x:v>All expected records and amounts match; no unexplained error or stale state.</x:v>
      </x:c>
    </x:row>
    <x:row r="380">
      <x:c r="A380" s="20" t="str">
        <x:v>RUN-20270312-01</x:v>
      </x:c>
      <x:c r="B380" s="23" t="n">
        <x:v>46458</x:v>
      </x:c>
      <x:c r="C380" s="32" t="n">
        <x:v>1</x:v>
      </x:c>
      <x:c r="D380" s="20" t="str">
        <x:v>Monthly operations</x:v>
      </x:c>
      <x:c r="E380" s="20" t="str">
        <x:v>Property Manager</x:v>
      </x:c>
      <x:c r="F380" s="20" t="str">
        <x:v>Mobile</x:v>
      </x:c>
      <x:c r="G380" s="20" t="str">
        <x:v>Scanned money order</x:v>
      </x:c>
      <x:c r="H380" s="35" t="str">
        <x:v>Post and allocate tenant receipt</x:v>
      </x:c>
      <x:c r="I380" s="35" t="str">
        <x:v>P011; U011; L011</x:v>
      </x:c>
      <x:c r="J380" s="35" t="str">
        <x:v>SCN-0133</x:v>
      </x:c>
      <x:c r="K380" s="35" t="str">
        <x:v>FIN-00184; FIN-00185</x:v>
      </x:c>
      <x:c r="L380" s="35" t="str">
        <x:v>Open Scan for paper payment or the tenant-account receipt form for electronic payment; verify tenant/lease match, amount, date, method, and reference; confirm once; open ledger detail and allocation.</x:v>
      </x:c>
      <x:c r="M380" s="35" t="str">
        <x:v>Receipt is append-only, allocated once to the correct rent charge, and visible consistently in Unit, Lease, Tenant Account, Accounting, and portal views.</x:v>
      </x:c>
      <x:c r="N380" s="35" t="str">
        <x:v>Scan review or form; success result; exact ledger rows; payment detail; accounting delta; portal receipt.</x:v>
      </x:c>
      <x:c r="O380" s="35" t="str">
        <x:v>Retry the idempotency key once during the quarter assigned in the coverage matrix; no duplicate cash or allocation.</x:v>
      </x:c>
      <x:c r="P380" s="35" t="str">
        <x:v>All expected records and amounts match; no unexplained error or stale state.</x:v>
      </x:c>
    </x:row>
    <x:row r="381">
      <x:c r="A381" s="20" t="str">
        <x:v>RUN-20270312-02</x:v>
      </x:c>
      <x:c r="B381" s="23" t="n">
        <x:v>46458</x:v>
      </x:c>
      <x:c r="C381" s="32" t="n">
        <x:v>2</x:v>
      </x:c>
      <x:c r="D381" s="20" t="str">
        <x:v>Monthly operations</x:v>
      </x:c>
      <x:c r="E381" s="20" t="str">
        <x:v>Property Manager</x:v>
      </x:c>
      <x:c r="F381" s="20" t="str">
        <x:v>Mobile</x:v>
      </x:c>
      <x:c r="G381" s="20" t="str">
        <x:v>Portal card</x:v>
      </x:c>
      <x:c r="H381" s="35" t="str">
        <x:v>Post and allocate tenant receipt</x:v>
      </x:c>
      <x:c r="I381" s="35" t="str">
        <x:v>P027; U033; L033</x:v>
      </x:c>
      <x:c r="J381" s="35" t="str"/>
      <x:c r="K381" s="35" t="str">
        <x:v>FIN-00235; FIN-00236</x:v>
      </x:c>
      <x:c r="L381" s="35" t="str">
        <x:v>Open Scan for paper payment or the tenant-account receipt form for electronic payment; verify tenant/lease match, amount, date, method, and reference; confirm once; open ledger detail and allocation.</x:v>
      </x:c>
      <x:c r="M381" s="35" t="str">
        <x:v>Receipt is append-only, allocated once to the correct rent charge, and visible consistently in Unit, Lease, Tenant Account, Accounting, and portal views.</x:v>
      </x:c>
      <x:c r="N381" s="35" t="str">
        <x:v>Scan review or form; success result; exact ledger rows; payment detail; accounting delta; portal receipt.</x:v>
      </x:c>
      <x:c r="O381" s="35" t="str">
        <x:v>Retry the idempotency key once during the quarter assigned in the coverage matrix; no duplicate cash or allocation.</x:v>
      </x:c>
      <x:c r="P381" s="35" t="str">
        <x:v>All expected records and amounts match; no unexplained error or stale state.</x:v>
      </x:c>
    </x:row>
    <x:row r="382">
      <x:c r="A382" s="20" t="str">
        <x:v>RUN-20270312-03</x:v>
      </x:c>
      <x:c r="B382" s="23" t="n">
        <x:v>46458</x:v>
      </x:c>
      <x:c r="C382" s="32" t="n">
        <x:v>3</x:v>
      </x:c>
      <x:c r="D382" s="20" t="str">
        <x:v>Monthly operations</x:v>
      </x:c>
      <x:c r="E382" s="20" t="str">
        <x:v>Property Manager</x:v>
      </x:c>
      <x:c r="F382" s="20" t="str">
        <x:v>Web</x:v>
      </x:c>
      <x:c r="G382" s="20" t="str">
        <x:v>Manual ACH</x:v>
      </x:c>
      <x:c r="H382" s="35" t="str">
        <x:v>Post and allocate tenant receipt</x:v>
      </x:c>
      <x:c r="I382" s="35" t="str">
        <x:v>P029; U038; L044</x:v>
      </x:c>
      <x:c r="J382" s="35" t="str"/>
      <x:c r="K382" s="35" t="str">
        <x:v>FIN-00247; FIN-00248</x:v>
      </x:c>
      <x:c r="L382" s="35" t="str">
        <x:v>Open Scan for paper payment or the tenant-account receipt form for electronic payment; verify tenant/lease match, amount, date, method, and reference; confirm once; open ledger detail and allocation.</x:v>
      </x:c>
      <x:c r="M382" s="35" t="str">
        <x:v>Receipt is append-only, allocated once to the correct rent charge, and visible consistently in Unit, Lease, Tenant Account, Accounting, and portal views.</x:v>
      </x:c>
      <x:c r="N382" s="35" t="str">
        <x:v>Scan review or form; success result; exact ledger rows; payment detail; accounting delta; portal receipt.</x:v>
      </x:c>
      <x:c r="O382" s="35" t="str">
        <x:v>Retry the idempotency key once during the quarter assigned in the coverage matrix; no duplicate cash or allocation.</x:v>
      </x:c>
      <x:c r="P382" s="35" t="str">
        <x:v>All expected records and amounts match; no unexplained error or stale state.</x:v>
      </x:c>
    </x:row>
    <x:row r="383">
      <x:c r="A383" s="20" t="str">
        <x:v>RUN-20270312-04</x:v>
      </x:c>
      <x:c r="B383" s="23" t="n">
        <x:v>46458</x:v>
      </x:c>
      <x:c r="C383" s="32" t="n">
        <x:v>4</x:v>
      </x:c>
      <x:c r="D383" s="20" t="str">
        <x:v>Role and screen certification</x:v>
      </x:c>
      <x:c r="E383" s="20" t="str">
        <x:v>Leasing Agent</x:v>
      </x:c>
      <x:c r="F383" s="20" t="str">
        <x:v>Web</x:v>
      </x:c>
      <x:c r="G383" s="20" t="str">
        <x:v>Normal persona navigation</x:v>
      </x:c>
      <x:c r="H383" s="35" t="str">
        <x:v>Use every permitted action and state on /leases</x:v>
      </x:c>
      <x:c r="I383" s="35" t="str">
        <x:v>SCR-032; ROLE-047</x:v>
      </x:c>
      <x:c r="J383" s="35" t="str"/>
      <x:c r="K383" s="35" t="str"/>
      <x:c r="L3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383" s="35" t="str">
        <x:v>The persona can use every allowed action with only its assigned properties/relationships. Hidden or disabled actions explain why; an adjacent unauthorized persona is denied without metadata leakage.</x:v>
      </x:c>
      <x:c r="N383" s="35" t="str">
        <x:v>Persona/experience; navigation entry; desktop or device screenshots; result state; persisted read-back; audit/history; authorized and denied network result.</x:v>
      </x:c>
      <x:c r="O383" s="35" t="str">
        <x:v>Open the direct URL or deep link with an adjacent unauthorized persona and with stale scope; both fail closed and land safely without mutation.</x:v>
      </x:c>
      <x:c r="P383" s="35" t="str">
        <x:v>All expected records and amounts match; no unexplained error or stale state.</x:v>
      </x:c>
    </x:row>
    <x:row r="384">
      <x:c r="A384" s="20" t="str">
        <x:v>RUN-20270312-05</x:v>
      </x:c>
      <x:c r="B384" s="23" t="n">
        <x:v>46458</x:v>
      </x:c>
      <x:c r="C384" s="32" t="n">
        <x:v>5</x:v>
      </x:c>
      <x:c r="D384" s="20" t="str">
        <x:v>Field certification</x:v>
      </x:c>
      <x:c r="E384" s="20" t="str">
        <x:v>Property Manager</x:v>
      </x:c>
      <x:c r="F384" s="20" t="str">
        <x:v>Web</x:v>
      </x:c>
      <x:c r="G384" s="20" t="str">
        <x:v>Manual field-by-field</x:v>
      </x:c>
      <x:c r="H384" s="35" t="str">
        <x:v>Fill, save, reload, edit, and validate every declared field on web/src/lib/components/shared/DateTimePicker.svelte</x:v>
      </x:c>
      <x:c r="I384" s="35" t="str">
        <x:v>FLD-0164</x:v>
      </x:c>
      <x:c r="J384" s="35" t="str"/>
      <x:c r="K384" s="35" t="str"/>
      <x:c r="L384" s="35" t="str">
        <x:v>Use the source-derived Field Inventory. Enter non-default realistic values in every control (testid ? `${testid); submit; reload or relaunch; compare every value; edit each mutable field; verify the paired client; then run required, format, length, range, boundary, optional-null, and stale-submit checks.</x:v>
      </x:c>
      <x:c r="M384" s="35" t="str">
        <x:v>All 1 inventoried controls persist exact normalized values, invalid values stay unsaved with clear errors, and hidden/unauthorized fields cannot be altered.</x:v>
      </x:c>
      <x:c r="N384" s="35" t="str">
        <x:v>Before/after form screenshots; FLD IDs; API response; reloaded UI; paired-client read-back; database/audit evidence; negative validation result.</x:v>
      </x:c>
      <x:c r="O384" s="35" t="str">
        <x:v>Use a duplicate submit and one simulated network interruption; one atomic mutation or none, never partial state.</x:v>
      </x:c>
      <x:c r="P384" s="35" t="str">
        <x:v>All expected records and amounts match; no unexplained error or stale state.</x:v>
      </x:c>
    </x:row>
    <x:row r="385">
      <x:c r="A385" s="20" t="str">
        <x:v>RUN-20270312-06</x:v>
      </x:c>
      <x:c r="B385" s="23" t="n">
        <x:v>46458</x:v>
      </x:c>
      <x:c r="C385" s="32" t="n">
        <x:v>6</x:v>
      </x:c>
      <x:c r="D385" s="20" t="str">
        <x:v>Field certification</x:v>
      </x:c>
      <x:c r="E385" s="20" t="str">
        <x:v>Property Manager</x:v>
      </x:c>
      <x:c r="F385" s="20" t="str">
        <x:v>Web</x:v>
      </x:c>
      <x:c r="G385" s="20" t="str">
        <x:v>Manual field-by-field</x:v>
      </x:c>
      <x:c r="H385" s="35" t="str">
        <x:v>Fill, save, reload, edit, and validate every declared field on web/src/lib/components/shared/DocumentsPanel.svelte</x:v>
      </x:c>
      <x:c r="I385" s="35" t="str">
        <x:v>FLD-0165</x:v>
      </x:c>
      <x:c r="J385" s="35" t="str"/>
      <x:c r="K385" s="35" t="str"/>
      <x:c r="L385" s="35" t="str">
        <x:v>Use the source-derived Field Inventory. Enter non-default realistic values in every control (documents-file-input); submit; reload or relaunch; compare every value; edit each mutable field; verify the paired client; then run required, format, length, range, boundary, optional-null, and stale-submit checks.</x:v>
      </x:c>
      <x:c r="M385" s="35" t="str">
        <x:v>All 1 inventoried controls persist exact normalized values, invalid values stay unsaved with clear errors, and hidden/unauthorized fields cannot be altered.</x:v>
      </x:c>
      <x:c r="N385" s="35" t="str">
        <x:v>Before/after form screenshots; FLD IDs; API response; reloaded UI; paired-client read-back; database/audit evidence; negative validation result.</x:v>
      </x:c>
      <x:c r="O385" s="35" t="str">
        <x:v>Use a duplicate submit and one simulated network interruption; one atomic mutation or none, never partial state.</x:v>
      </x:c>
      <x:c r="P385" s="35" t="str">
        <x:v>All expected records and amounts match; no unexplained error or stale state.</x:v>
      </x:c>
    </x:row>
    <x:row r="386">
      <x:c r="A386" s="20" t="str">
        <x:v>RUN-20270312-07</x:v>
      </x:c>
      <x:c r="B386" s="23" t="n">
        <x:v>46458</x:v>
      </x:c>
      <x:c r="C386" s="32" t="n">
        <x:v>7</x:v>
      </x:c>
      <x:c r="D386" s="20" t="str">
        <x:v>Field certification</x:v>
      </x:c>
      <x:c r="E386" s="20" t="str">
        <x:v>Property Manager</x:v>
      </x:c>
      <x:c r="F386" s="20" t="str">
        <x:v>Web</x:v>
      </x:c>
      <x:c r="G386" s="20" t="str">
        <x:v>Manual field-by-field</x:v>
      </x:c>
      <x:c r="H386" s="35" t="str">
        <x:v>Fill, save, reload, edit, and validate every declared field on web/src/lib/components/shared/InlineField.svelte</x:v>
      </x:c>
      <x:c r="I386" s="35" t="str">
        <x:v>FLD-0166; FLD-0167</x:v>
      </x:c>
      <x:c r="J386" s="35" t="str"/>
      <x:c r="K386" s="35" t="str"/>
      <x:c r="L386" s="35" t="str">
        <x:v>Use the source-derived Field Inventory. Enter non-default realistic values in every control (Select-1; fieldId); submit; reload or relaunch; compare every value; edit each mutable field; verify the paired client; then run required, format, length, range, boundary, optional-null, and stale-submit checks.</x:v>
      </x:c>
      <x:c r="M386" s="35" t="str">
        <x:v>All 2 inventoried controls persist exact normalized values, invalid values stay unsaved with clear errors, and hidden/unauthorized fields cannot be altered.</x:v>
      </x:c>
      <x:c r="N386" s="35" t="str">
        <x:v>Before/after form screenshots; FLD IDs; API response; reloaded UI; paired-client read-back; database/audit evidence; negative validation result.</x:v>
      </x:c>
      <x:c r="O386" s="35" t="str">
        <x:v>Use a duplicate submit and one simulated network interruption; one atomic mutation or none, never partial state.</x:v>
      </x:c>
      <x:c r="P386" s="35" t="str">
        <x:v>All expected records and amounts match; no unexplained error or stale state.</x:v>
      </x:c>
    </x:row>
    <x:row r="387">
      <x:c r="A387" s="20" t="str">
        <x:v>RUN-20270312-08</x:v>
      </x:c>
      <x:c r="B387" s="23" t="n">
        <x:v>46458</x:v>
      </x:c>
      <x:c r="C387" s="32" t="n">
        <x:v>8</x:v>
      </x:c>
      <x:c r="D387" s="20" t="str">
        <x:v>Notification certification</x:v>
      </x:c>
      <x:c r="E387" s="20" t="str">
        <x:v>Property Manager</x:v>
      </x:c>
      <x:c r="F387" s="20" t="str">
        <x:v>Web + Mobile</x:v>
      </x:c>
      <x:c r="G387" s="20" t="str">
        <x:v>System event + preference/manual verification</x:v>
      </x:c>
      <x:c r="H387" s="35" t="str">
        <x:v>Trigger and prove notification: Past due threshold</x:v>
      </x:c>
      <x:c r="I387" s="35" t="str">
        <x:v>NTF-008</x:v>
      </x:c>
      <x:c r="J387" s="35" t="str"/>
      <x:c r="K387" s="35" t="str"/>
      <x:c r="L387" s="35" t="str">
        <x:v>Set each recipient's preferences; trigger the real business event; inspect routing and recipient scope; verify unread badge, list item, safe preview, past-due report deep link, mark-read sync, configured channel outcome, provider failure/retry, and duplicate suppression.</x:v>
      </x:c>
      <x:c r="M387" s="35" t="str">
        <x:v>Exactly the intended recipients receive one correctly routed notification; disabled optional channels stay silent; deep link opens authorized context; read state synchronizes.</x:v>
      </x:c>
      <x:c r="N387" s="35" t="str">
        <x:v>Trigger record; routing decision; outbox/delivery status; web/mobile inbox; lock-screen-safe copy; deep-link target; audit/provider retry evidence.</x:v>
      </x:c>
      <x:c r="O387" s="35" t="str">
        <x:v>Re-run the worker and deliver a duplicate provider callback; no duplicate user-visible event. Attempt the deep link as an unauthorized adjacent role.</x:v>
      </x:c>
      <x:c r="P387" s="35" t="str">
        <x:v>All expected records and amounts match; no unexplained error or stale state.</x:v>
      </x:c>
    </x:row>
    <x:row r="388">
      <x:c r="A388" s="20" t="str">
        <x:v>RUN-20270312-09</x:v>
      </x:c>
      <x:c r="B388" s="23" t="n">
        <x:v>46458</x:v>
      </x:c>
      <x:c r="C388" s="32" t="n">
        <x:v>9</x:v>
      </x:c>
      <x:c r="D388" s="20" t="str">
        <x:v>Surface coverage</x:v>
      </x:c>
      <x:c r="E388" s="20" t="str">
        <x:v>Role appropriate to surface</x:v>
      </x:c>
      <x:c r="F388" s="20" t="str">
        <x:v>Web</x:v>
      </x:c>
      <x:c r="G388" s="20" t="str">
        <x:v>Manual</x:v>
      </x:c>
      <x:c r="H388" s="35" t="str">
        <x:v>Manual web pass: Application public form/intake/detail/pipeline</x:v>
      </x:c>
      <x:c r="I388" s="35" t="str">
        <x:v>COV-009</x:v>
      </x:c>
      <x:c r="J388" s="35" t="str"/>
      <x:c r="K388" s="35" t="str"/>
      <x:c r="L388" s="35" t="str">
        <x:v>Submit public and scanned applications; manually create/status one on each client; verify unit scope and fair-housing guard.</x:v>
      </x:c>
      <x:c r="M388" s="35" t="str">
        <x:v>The supported workflow completes and persists correctly; if the capability is absent, the exact gap is proven and queued rather than silently skipped.</x:v>
      </x:c>
      <x:c r="N388" s="35" t="str">
        <x:v>Real UI screenshot/state; submitted values; persisted read-back; cross-client read-back; audit/role/access evidence.</x:v>
      </x:c>
      <x:c r="O388" s="35" t="str">
        <x:v>Use one invalid value, stale-state retry, or duplicate submission relevant to the form; no partial or duplicate mutation.</x:v>
      </x:c>
      <x:c r="P388" s="35" t="str">
        <x:v>All expected records and amounts match; no unexplained error or stale state.</x:v>
      </x:c>
    </x:row>
    <x:row r="389">
      <x:c r="A389" s="20" t="str">
        <x:v>RUN-20270315-01</x:v>
      </x:c>
      <x:c r="B389" s="23" t="n">
        <x:v>46461</x:v>
      </x:c>
      <x:c r="C389" s="32" t="n">
        <x:v>1</x:v>
      </x:c>
      <x:c r="D389" s="20" t="str">
        <x:v>Weekly operations</x:v>
      </x:c>
      <x:c r="E389" s="20" t="str">
        <x:v>Property Manager</x:v>
      </x:c>
      <x:c r="F389" s="20" t="str">
        <x:v>Mobile</x:v>
      </x:c>
      <x:c r="G389" s="20" t="str">
        <x:v>Scan-first</x:v>
      </x:c>
      <x:c r="H389" s="35" t="str">
        <x:v>Create and triage maintenance request</x:v>
      </x:c>
      <x:c r="I389" s="35" t="str">
        <x:v>P029; U038; WO-2027-011</x:v>
      </x:c>
      <x:c r="J389" s="35" t="str">
        <x:v>SCN-0365</x:v>
      </x:c>
      <x:c r="K389" s="35" t="str"/>
      <x:c r="L389" s="35" t="str">
        <x:v>Capture the tenant note/photo; review yard cleanup; confirm; set responsibility; dispatch ComfortZone HVAC; create an appointment and verify the tenant notification.</x:v>
      </x:c>
      <x:c r="M389" s="35" t="str">
        <x:v>Work order, status timeline, responsibility, vendor dispatch, appointment, notification, and Unit context are linked once.</x:v>
      </x:c>
      <x:c r="N389" s="35" t="str">
        <x:v>Scan review; work order detail/timeline; dispatch; appointment; notification; tenant portal view.</x:v>
      </x:c>
      <x:c r="O389" s="35" t="str">
        <x:v>Cancel one dispatch each quarter, reassign once, and prove status/history remains append-only.</x:v>
      </x:c>
      <x:c r="P389" s="35" t="str">
        <x:v>All expected records and amounts match; no unexplained error or stale state.</x:v>
      </x:c>
    </x:row>
    <x:row r="390">
      <x:c r="A390" s="20" t="str">
        <x:v>RUN-20270315-02</x:v>
      </x:c>
      <x:c r="B390" s="23" t="n">
        <x:v>46461</x:v>
      </x:c>
      <x:c r="C390" s="32" t="n">
        <x:v>2</x:v>
      </x:c>
      <x:c r="D390" s="20" t="str">
        <x:v>Weekly operations</x:v>
      </x:c>
      <x:c r="E390" s="20" t="str">
        <x:v>Property Manager</x:v>
      </x:c>
      <x:c r="F390" s="20" t="str">
        <x:v>Mobile</x:v>
      </x:c>
      <x:c r="G390" s="20" t="str">
        <x:v>Scanned receipt/invoice</x:v>
      </x:c>
      <x:c r="H390" s="35" t="str">
        <x:v>Record, review, allocate, and pay operating expense</x:v>
      </x:c>
      <x:c r="I390" s="35" t="str">
        <x:v>P021; Property scope; </x:v>
      </x:c>
      <x:c r="J390" s="35" t="str">
        <x:v>SCN-0499</x:v>
      </x:c>
      <x:c r="K390" s="35" t="str">
        <x:v>FIN-01146</x:v>
      </x:c>
      <x:c r="L390" s="35" t="str">
        <x:v>Capture or upload the source; verify vendor, date, scope, category, line items, tax, amount, and work-order link; confirm; open detail; verify attachment; compare Money and Property/Unit views.</x:v>
      </x:c>
      <x:c r="M390" s="35" t="str">
        <x:v>One expense exists at its real operational scope, cash falls once, Schedule E category and allocations agree, and no per-unit copies are created.</x:v>
      </x:c>
      <x:c r="N390" s="35" t="str">
        <x:v>Source preview; review/form; expense detail; line items; Property/Unit ledger; audit; accounting/report delta.</x:v>
      </x:c>
      <x:c r="O390" s="35" t="str">
        <x:v>On marked duplicate-invoice cases, re-upload before confirm and prove the product prevents or clearly warns about duplication.</x:v>
      </x:c>
      <x:c r="P390" s="35" t="str">
        <x:v>All expected records and amounts match; no unexplained error or stale state.</x:v>
      </x:c>
    </x:row>
    <x:row r="391">
      <x:c r="A391" s="20" t="str">
        <x:v>RUN-20270315-03</x:v>
      </x:c>
      <x:c r="B391" s="23" t="n">
        <x:v>46461</x:v>
      </x:c>
      <x:c r="C391" s="32" t="n">
        <x:v>3</x:v>
      </x:c>
      <x:c r="D391" s="20" t="str">
        <x:v>Weekly operations</x:v>
      </x:c>
      <x:c r="E391" s="20" t="str">
        <x:v>Property Manager</x:v>
      </x:c>
      <x:c r="F391" s="20" t="str">
        <x:v>Web</x:v>
      </x:c>
      <x:c r="G391" s="20" t="str">
        <x:v>Scanned receipt/invoice</x:v>
      </x:c>
      <x:c r="H391" s="35" t="str">
        <x:v>Record, review, allocate, and pay operating expense</x:v>
      </x:c>
      <x:c r="I391" s="35" t="str">
        <x:v>P022; Property scope; </x:v>
      </x:c>
      <x:c r="J391" s="35" t="str">
        <x:v>SCN-0500</x:v>
      </x:c>
      <x:c r="K391" s="35" t="str">
        <x:v>FIN-01147</x:v>
      </x:c>
      <x:c r="L391" s="35" t="str">
        <x:v>Capture or upload the source; verify vendor, date, scope, category, line items, tax, amount, and work-order link; confirm; open detail; verify attachment; compare Money and Property/Unit views.</x:v>
      </x:c>
      <x:c r="M391" s="35" t="str">
        <x:v>One expense exists at its real operational scope, cash falls once, Schedule E category and allocations agree, and no per-unit copies are created.</x:v>
      </x:c>
      <x:c r="N391" s="35" t="str">
        <x:v>Source preview; review/form; expense detail; line items; Property/Unit ledger; audit; accounting/report delta.</x:v>
      </x:c>
      <x:c r="O391" s="35" t="str">
        <x:v>On marked duplicate-invoice cases, re-upload before confirm and prove the product prevents or clearly warns about duplication.</x:v>
      </x:c>
      <x:c r="P391" s="35" t="str">
        <x:v>All expected records and amounts match; no unexplained error or stale state.</x:v>
      </x:c>
    </x:row>
    <x:row r="392">
      <x:c r="A392" s="20" t="str">
        <x:v>RUN-20270315-04</x:v>
      </x:c>
      <x:c r="B392" s="23" t="n">
        <x:v>46461</x:v>
      </x:c>
      <x:c r="C392" s="32" t="n">
        <x:v>4</x:v>
      </x:c>
      <x:c r="D392" s="20" t="str">
        <x:v>Weekly operations</x:v>
      </x:c>
      <x:c r="E392" s="20" t="str">
        <x:v>Property Manager</x:v>
      </x:c>
      <x:c r="F392" s="20" t="str">
        <x:v>Mobile</x:v>
      </x:c>
      <x:c r="G392" s="20" t="str">
        <x:v>Scanned receipt/invoice</x:v>
      </x:c>
      <x:c r="H392" s="35" t="str">
        <x:v>Record, review, allocate, and pay operating expense</x:v>
      </x:c>
      <x:c r="I392" s="35" t="str">
        <x:v>P023; Property scope; </x:v>
      </x:c>
      <x:c r="J392" s="35" t="str">
        <x:v>SCN-0501</x:v>
      </x:c>
      <x:c r="K392" s="35" t="str">
        <x:v>FIN-01148</x:v>
      </x:c>
      <x:c r="L392" s="35" t="str">
        <x:v>Capture or upload the source; verify vendor, date, scope, category, line items, tax, amount, and work-order link; confirm; open detail; verify attachment; compare Money and Property/Unit views.</x:v>
      </x:c>
      <x:c r="M392" s="35" t="str">
        <x:v>One expense exists at its real operational scope, cash falls once, Schedule E category and allocations agree, and no per-unit copies are created.</x:v>
      </x:c>
      <x:c r="N392" s="35" t="str">
        <x:v>Source preview; review/form; expense detail; line items; Property/Unit ledger; audit; accounting/report delta.</x:v>
      </x:c>
      <x:c r="O392" s="35" t="str">
        <x:v>On marked duplicate-invoice cases, re-upload before confirm and prove the product prevents or clearly warns about duplication.</x:v>
      </x:c>
      <x:c r="P392" s="35" t="str">
        <x:v>All expected records and amounts match; no unexplained error or stale state.</x:v>
      </x:c>
    </x:row>
    <x:row r="393">
      <x:c r="A393" s="20" t="str">
        <x:v>RUN-20270315-05</x:v>
      </x:c>
      <x:c r="B393" s="23" t="n">
        <x:v>46461</x:v>
      </x:c>
      <x:c r="C393" s="32" t="n">
        <x:v>5</x:v>
      </x:c>
      <x:c r="D393" s="20" t="str">
        <x:v>Weekly operations</x:v>
      </x:c>
      <x:c r="E393" s="20" t="str">
        <x:v>Property Manager</x:v>
      </x:c>
      <x:c r="F393" s="20" t="str">
        <x:v>Web</x:v>
      </x:c>
      <x:c r="G393" s="20" t="str">
        <x:v>Scanned receipt/invoice</x:v>
      </x:c>
      <x:c r="H393" s="35" t="str">
        <x:v>Record, review, allocate, and pay operating expense</x:v>
      </x:c>
      <x:c r="I393" s="35" t="str">
        <x:v>P024; Property scope; </x:v>
      </x:c>
      <x:c r="J393" s="35" t="str">
        <x:v>SCN-0502</x:v>
      </x:c>
      <x:c r="K393" s="35" t="str">
        <x:v>FIN-01149</x:v>
      </x:c>
      <x:c r="L393" s="35" t="str">
        <x:v>Capture or upload the source; verify vendor, date, scope, category, line items, tax, amount, and work-order link; confirm; open detail; verify attachment; compare Money and Property/Unit views.</x:v>
      </x:c>
      <x:c r="M393" s="35" t="str">
        <x:v>One expense exists at its real operational scope, cash falls once, Schedule E category and allocations agree, and no per-unit copies are created.</x:v>
      </x:c>
      <x:c r="N393" s="35" t="str">
        <x:v>Source preview; review/form; expense detail; line items; Property/Unit ledger; audit; accounting/report delta.</x:v>
      </x:c>
      <x:c r="O393" s="35" t="str">
        <x:v>On marked duplicate-invoice cases, re-upload before confirm and prove the product prevents or clearly warns about duplication.</x:v>
      </x:c>
      <x:c r="P393" s="35" t="str">
        <x:v>All expected records and amounts match; no unexplained error or stale state.</x:v>
      </x:c>
    </x:row>
    <x:row r="394">
      <x:c r="A394" s="20" t="str">
        <x:v>RUN-20270315-06</x:v>
      </x:c>
      <x:c r="B394" s="23" t="n">
        <x:v>46461</x:v>
      </x:c>
      <x:c r="C394" s="32" t="n">
        <x:v>6</x:v>
      </x:c>
      <x:c r="D394" s="20" t="str">
        <x:v>Weekly operations</x:v>
      </x:c>
      <x:c r="E394" s="20" t="str">
        <x:v>Property Manager</x:v>
      </x:c>
      <x:c r="F394" s="20" t="str">
        <x:v>Mobile</x:v>
      </x:c>
      <x:c r="G394" s="20" t="str">
        <x:v>Manual web form</x:v>
      </x:c>
      <x:c r="H394" s="35" t="str">
        <x:v>Record, review, allocate, and pay operating expense</x:v>
      </x:c>
      <x:c r="I394" s="35" t="str">
        <x:v>P025; Property scope; </x:v>
      </x:c>
      <x:c r="J394" s="35" t="str"/>
      <x:c r="K394" s="35" t="str">
        <x:v>FIN-01150</x:v>
      </x:c>
      <x:c r="L394" s="35" t="str">
        <x:v>Capture or upload the source; verify vendor, date, scope, category, line items, tax, amount, and work-order link; confirm; open detail; verify attachment; compare Money and Property/Unit views.</x:v>
      </x:c>
      <x:c r="M394" s="35" t="str">
        <x:v>One expense exists at its real operational scope, cash falls once, Schedule E category and allocations agree, and no per-unit copies are created.</x:v>
      </x:c>
      <x:c r="N394" s="35" t="str">
        <x:v>Source preview; review/form; expense detail; line items; Property/Unit ledger; audit; accounting/report delta.</x:v>
      </x:c>
      <x:c r="O394" s="35" t="str">
        <x:v>On marked duplicate-invoice cases, re-upload before confirm and prove the product prevents or clearly warns about duplication.</x:v>
      </x:c>
      <x:c r="P394" s="35" t="str">
        <x:v>All expected records and amounts match; no unexplained error or stale state.</x:v>
      </x:c>
    </x:row>
    <x:row r="395">
      <x:c r="A395" s="20" t="str">
        <x:v>RUN-20270315-07</x:v>
      </x:c>
      <x:c r="B395" s="23" t="n">
        <x:v>46461</x:v>
      </x:c>
      <x:c r="C395" s="32" t="n">
        <x:v>7</x:v>
      </x:c>
      <x:c r="D395" s="20" t="str">
        <x:v>Weekly operations</x:v>
      </x:c>
      <x:c r="E395" s="20" t="str">
        <x:v>Property Manager</x:v>
      </x:c>
      <x:c r="F395" s="20" t="str">
        <x:v>Web</x:v>
      </x:c>
      <x:c r="G395" s="20" t="str">
        <x:v>Scanned receipt/invoice</x:v>
      </x:c>
      <x:c r="H395" s="35" t="str">
        <x:v>Record, review, allocate, and pay operating expense</x:v>
      </x:c>
      <x:c r="I395" s="35" t="str">
        <x:v>P026; Property scope; </x:v>
      </x:c>
      <x:c r="J395" s="35" t="str">
        <x:v>SCN-0503</x:v>
      </x:c>
      <x:c r="K395" s="35" t="str">
        <x:v>FIN-01151</x:v>
      </x:c>
      <x:c r="L395" s="35" t="str">
        <x:v>Capture or upload the source; verify vendor, date, scope, category, line items, tax, amount, and work-order link; confirm; open detail; verify attachment; compare Money and Property/Unit views.</x:v>
      </x:c>
      <x:c r="M395" s="35" t="str">
        <x:v>One expense exists at its real operational scope, cash falls once, Schedule E category and allocations agree, and no per-unit copies are created.</x:v>
      </x:c>
      <x:c r="N395" s="35" t="str">
        <x:v>Source preview; review/form; expense detail; line items; Property/Unit ledger; audit; accounting/report delta.</x:v>
      </x:c>
      <x:c r="O395" s="35" t="str">
        <x:v>On marked duplicate-invoice cases, re-upload before confirm and prove the product prevents or clearly warns about duplication.</x:v>
      </x:c>
      <x:c r="P395" s="35" t="str">
        <x:v>All expected records and amounts match; no unexplained error or stale state.</x:v>
      </x:c>
    </x:row>
    <x:row r="396">
      <x:c r="A396" s="20" t="str">
        <x:v>RUN-20270315-08</x:v>
      </x:c>
      <x:c r="B396" s="23" t="n">
        <x:v>46461</x:v>
      </x:c>
      <x:c r="C396" s="32" t="n">
        <x:v>8</x:v>
      </x:c>
      <x:c r="D396" s="20" t="str">
        <x:v>Weekly operations</x:v>
      </x:c>
      <x:c r="E396" s="20" t="str">
        <x:v>Property Manager</x:v>
      </x:c>
      <x:c r="F396" s="20" t="str">
        <x:v>Mobile</x:v>
      </x:c>
      <x:c r="G396" s="20" t="str">
        <x:v>Scanned receipt/invoice</x:v>
      </x:c>
      <x:c r="H396" s="35" t="str">
        <x:v>Record, review, allocate, and pay operating expense</x:v>
      </x:c>
      <x:c r="I396" s="35" t="str">
        <x:v>P027; Property scope; </x:v>
      </x:c>
      <x:c r="J396" s="35" t="str">
        <x:v>SCN-0504</x:v>
      </x:c>
      <x:c r="K396" s="35" t="str">
        <x:v>FIN-01152</x:v>
      </x:c>
      <x:c r="L396" s="35" t="str">
        <x:v>Capture or upload the source; verify vendor, date, scope, category, line items, tax, amount, and work-order link; confirm; open detail; verify attachment; compare Money and Property/Unit views.</x:v>
      </x:c>
      <x:c r="M396" s="35" t="str">
        <x:v>One expense exists at its real operational scope, cash falls once, Schedule E category and allocations agree, and no per-unit copies are created.</x:v>
      </x:c>
      <x:c r="N396" s="35" t="str">
        <x:v>Source preview; review/form; expense detail; line items; Property/Unit ledger; audit; accounting/report delta.</x:v>
      </x:c>
      <x:c r="O396" s="35" t="str">
        <x:v>On marked duplicate-invoice cases, re-upload before confirm and prove the product prevents or clearly warns about duplication.</x:v>
      </x:c>
      <x:c r="P396" s="35" t="str">
        <x:v>All expected records and amounts match; no unexplained error or stale state.</x:v>
      </x:c>
    </x:row>
    <x:row r="397">
      <x:c r="A397" s="20" t="str">
        <x:v>RUN-20270315-09</x:v>
      </x:c>
      <x:c r="B397" s="23" t="n">
        <x:v>46461</x:v>
      </x:c>
      <x:c r="C397" s="32" t="n">
        <x:v>9</x:v>
      </x:c>
      <x:c r="D397" s="20" t="str">
        <x:v>Weekly operations</x:v>
      </x:c>
      <x:c r="E397" s="20" t="str">
        <x:v>Property Manager</x:v>
      </x:c>
      <x:c r="F397" s="20" t="str">
        <x:v>Web</x:v>
      </x:c>
      <x:c r="G397" s="20" t="str">
        <x:v>Scanned receipt/invoice</x:v>
      </x:c>
      <x:c r="H397" s="35" t="str">
        <x:v>Record, review, allocate, and pay operating expense</x:v>
      </x:c>
      <x:c r="I397" s="35" t="str">
        <x:v>P028; Property scope; </x:v>
      </x:c>
      <x:c r="J397" s="35" t="str">
        <x:v>SCN-0505</x:v>
      </x:c>
      <x:c r="K397" s="35" t="str">
        <x:v>FIN-01153</x:v>
      </x:c>
      <x:c r="L397" s="35" t="str">
        <x:v>Capture or upload the source; verify vendor, date, scope, category, line items, tax, amount, and work-order link; confirm; open detail; verify attachment; compare Money and Property/Unit views.</x:v>
      </x:c>
      <x:c r="M397" s="35" t="str">
        <x:v>One expense exists at its real operational scope, cash falls once, Schedule E category and allocations agree, and no per-unit copies are created.</x:v>
      </x:c>
      <x:c r="N397" s="35" t="str">
        <x:v>Source preview; review/form; expense detail; line items; Property/Unit ledger; audit; accounting/report delta.</x:v>
      </x:c>
      <x:c r="O397" s="35" t="str">
        <x:v>On marked duplicate-invoice cases, re-upload before confirm and prove the product prevents or clearly warns about duplication.</x:v>
      </x:c>
      <x:c r="P397" s="35" t="str">
        <x:v>All expected records and amounts match; no unexplained error or stale state.</x:v>
      </x:c>
    </x:row>
    <x:row r="398">
      <x:c r="A398" s="20" t="str">
        <x:v>RUN-20270315-10</x:v>
      </x:c>
      <x:c r="B398" s="23" t="n">
        <x:v>46461</x:v>
      </x:c>
      <x:c r="C398" s="32" t="n">
        <x:v>10</x:v>
      </x:c>
      <x:c r="D398" s="20" t="str">
        <x:v>Weekly operations</x:v>
      </x:c>
      <x:c r="E398" s="20" t="str">
        <x:v>Property Manager</x:v>
      </x:c>
      <x:c r="F398" s="20" t="str">
        <x:v>Mobile</x:v>
      </x:c>
      <x:c r="G398" s="20" t="str">
        <x:v>Scanned receipt/invoice</x:v>
      </x:c>
      <x:c r="H398" s="35" t="str">
        <x:v>Record, review, allocate, and pay operating expense</x:v>
      </x:c>
      <x:c r="I398" s="35" t="str">
        <x:v>P029; Property scope; </x:v>
      </x:c>
      <x:c r="J398" s="35" t="str">
        <x:v>SCN-0506</x:v>
      </x:c>
      <x:c r="K398" s="35" t="str">
        <x:v>FIN-01154</x:v>
      </x:c>
      <x:c r="L398" s="35" t="str">
        <x:v>Capture or upload the source; verify vendor, date, scope, category, line items, tax, amount, and work-order link; confirm; open detail; verify attachment; compare Money and Property/Unit views.</x:v>
      </x:c>
      <x:c r="M398" s="35" t="str">
        <x:v>One expense exists at its real operational scope, cash falls once, Schedule E category and allocations agree, and no per-unit copies are created.</x:v>
      </x:c>
      <x:c r="N398" s="35" t="str">
        <x:v>Source preview; review/form; expense detail; line items; Property/Unit ledger; audit; accounting/report delta.</x:v>
      </x:c>
      <x:c r="O398" s="35" t="str">
        <x:v>On marked duplicate-invoice cases, re-upload before confirm and prove the product prevents or clearly warns about duplication.</x:v>
      </x:c>
      <x:c r="P398" s="35" t="str">
        <x:v>All expected records and amounts match; no unexplained error or stale state.</x:v>
      </x:c>
    </x:row>
    <x:row r="399">
      <x:c r="A399" s="20" t="str">
        <x:v>RUN-20270315-11</x:v>
      </x:c>
      <x:c r="B399" s="23" t="n">
        <x:v>46461</x:v>
      </x:c>
      <x:c r="C399" s="32" t="n">
        <x:v>11</x:v>
      </x:c>
      <x:c r="D399" s="20" t="str">
        <x:v>Weekly operations</x:v>
      </x:c>
      <x:c r="E399" s="20" t="str">
        <x:v>Property Manager</x:v>
      </x:c>
      <x:c r="F399" s="20" t="str">
        <x:v>Web</x:v>
      </x:c>
      <x:c r="G399" s="20" t="str">
        <x:v>Manual mobile form</x:v>
      </x:c>
      <x:c r="H399" s="35" t="str">
        <x:v>Record, review, allocate, and pay operating expense</x:v>
      </x:c>
      <x:c r="I399" s="35" t="str">
        <x:v>P030; Property scope; </x:v>
      </x:c>
      <x:c r="J399" s="35" t="str"/>
      <x:c r="K399" s="35" t="str">
        <x:v>FIN-01155</x:v>
      </x:c>
      <x:c r="L399" s="35" t="str">
        <x:v>Capture or upload the source; verify vendor, date, scope, category, line items, tax, amount, and work-order link; confirm; open detail; verify attachment; compare Money and Property/Unit views.</x:v>
      </x:c>
      <x:c r="M399" s="35" t="str">
        <x:v>One expense exists at its real operational scope, cash falls once, Schedule E category and allocations agree, and no per-unit copies are created.</x:v>
      </x:c>
      <x:c r="N399" s="35" t="str">
        <x:v>Source preview; review/form; expense detail; line items; Property/Unit ledger; audit; accounting/report delta.</x:v>
      </x:c>
      <x:c r="O399" s="35" t="str">
        <x:v>On marked duplicate-invoice cases, re-upload before confirm and prove the product prevents or clearly warns about duplication.</x:v>
      </x:c>
      <x:c r="P399" s="35" t="str">
        <x:v>All expected records and amounts match; no unexplained error or stale state.</x:v>
      </x:c>
    </x:row>
    <x:row r="400">
      <x:c r="A400" s="20" t="str">
        <x:v>RUN-20270315-12</x:v>
      </x:c>
      <x:c r="B400" s="23" t="n">
        <x:v>46461</x:v>
      </x:c>
      <x:c r="C400" s="32" t="n">
        <x:v>12</x:v>
      </x:c>
      <x:c r="D400" s="20" t="str">
        <x:v>Leasing</x:v>
      </x:c>
      <x:c r="E400" s="20" t="str">
        <x:v>Property Manager + Tenant</x:v>
      </x:c>
      <x:c r="F400" s="20" t="str">
        <x:v>Web + Mobile</x:v>
      </x:c>
      <x:c r="G400" s="20" t="str">
        <x:v>Manual + photo evidence</x:v>
      </x:c>
      <x:c r="H400" s="35" t="str">
        <x:v>Move-in inspection and possession</x:v>
      </x:c>
      <x:c r="I400" s="35" t="str">
        <x:v>L044; U038</x:v>
      </x:c>
      <x:c r="J400" s="35" t="str"/>
      <x:c r="K400" s="35" t="str"/>
      <x:c r="L400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400" s="35" t="str">
        <x:v>Inspection completes, possession opens once, Unit becomes occupied, portal access is scoped, and no lease-status shortcut substitutes for possession truth.</x:v>
      </x:c>
      <x:c r="N400" s="35" t="str">
        <x:v>Inspection report/photos; possession event; occupancy reports; both clients; tenant portal walkthrough.</x:v>
      </x:c>
      <x:c r="O400" s="35" t="str">
        <x:v>Attempt possession a second time and use an invalid date; database invariant prevents overlap/duplication.</x:v>
      </x:c>
      <x:c r="P400" s="35" t="str">
        <x:v>All expected records and amounts match; no unexplained error or stale state.</x:v>
      </x:c>
    </x:row>
    <x:row r="401">
      <x:c r="A401" s="20" t="str">
        <x:v>RUN-20270315-13</x:v>
      </x:c>
      <x:c r="B401" s="23" t="n">
        <x:v>46461</x:v>
      </x:c>
      <x:c r="C401" s="32" t="n">
        <x:v>13</x:v>
      </x:c>
      <x:c r="D401" s="20" t="str">
        <x:v>Role and screen certification</x:v>
      </x:c>
      <x:c r="E401" s="20" t="str">
        <x:v>Leasing Agent</x:v>
      </x:c>
      <x:c r="F401" s="20" t="str">
        <x:v>Web</x:v>
      </x:c>
      <x:c r="G401" s="20" t="str">
        <x:v>Normal persona navigation</x:v>
      </x:c>
      <x:c r="H401" s="35" t="str">
        <x:v>Use every permitted action and state on /leases/[id]</x:v>
      </x:c>
      <x:c r="I401" s="35" t="str">
        <x:v>SCR-033; ROLE-048</x:v>
      </x:c>
      <x:c r="J401" s="35" t="str"/>
      <x:c r="K401" s="35" t="str"/>
      <x:c r="L40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01" s="35" t="str">
        <x:v>The persona can use every allowed action with only its assigned properties/relationships. Hidden or disabled actions explain why; an adjacent unauthorized persona is denied without metadata leakage.</x:v>
      </x:c>
      <x:c r="N401" s="35" t="str">
        <x:v>Persona/experience; navigation entry; desktop or device screenshots; result state; persisted read-back; audit/history; authorized and denied network result.</x:v>
      </x:c>
      <x:c r="O401" s="35" t="str">
        <x:v>Open the direct URL or deep link with an adjacent unauthorized persona and with stale scope; both fail closed and land safely without mutation.</x:v>
      </x:c>
      <x:c r="P401" s="35" t="str">
        <x:v>All expected records and amounts match; no unexplained error or stale state.</x:v>
      </x:c>
    </x:row>
    <x:row r="402">
      <x:c r="A402" s="20" t="str">
        <x:v>RUN-20270315-14</x:v>
      </x:c>
      <x:c r="B402" s="23" t="n">
        <x:v>46461</x:v>
      </x:c>
      <x:c r="C402" s="32" t="n">
        <x:v>14</x:v>
      </x:c>
      <x:c r="D402" s="20" t="str">
        <x:v>Field certification</x:v>
      </x:c>
      <x:c r="E402" s="20" t="str">
        <x:v>Property Manager</x:v>
      </x:c>
      <x:c r="F402" s="20" t="str">
        <x:v>Web</x:v>
      </x:c>
      <x:c r="G402" s="20" t="str">
        <x:v>Manual field-by-field</x:v>
      </x:c>
      <x:c r="H402" s="35" t="str">
        <x:v>Fill, save, reload, edit, and validate every declared field on web/src/lib/components/shared/InlineField.svelte</x:v>
      </x:c>
      <x:c r="I402" s="35" t="str">
        <x:v>FLD-0168; FLD-0169</x:v>
      </x:c>
      <x:c r="J402" s="35" t="str"/>
      <x:c r="K402" s="35" t="str"/>
      <x:c r="L402" s="35" t="str">
        <x:v>Use the source-derived Field Inventory. Enter non-default realistic values in every control (Select-3; Select-4); submit; reload or relaunch; compare every value; edit each mutable field; verify the paired client; then run required, format, length, range, boundary, optional-null, and stale-submit checks.</x:v>
      </x:c>
      <x:c r="M402" s="35" t="str">
        <x:v>All 2 inventoried controls persist exact normalized values, invalid values stay unsaved with clear errors, and hidden/unauthorized fields cannot be altered.</x:v>
      </x:c>
      <x:c r="N402" s="35" t="str">
        <x:v>Before/after form screenshots; FLD IDs; API response; reloaded UI; paired-client read-back; database/audit evidence; negative validation result.</x:v>
      </x:c>
      <x:c r="O402" s="35" t="str">
        <x:v>Use a duplicate submit and one simulated network interruption; one atomic mutation or none, never partial state.</x:v>
      </x:c>
      <x:c r="P402" s="35" t="str">
        <x:v>All expected records and amounts match; no unexplained error or stale state.</x:v>
      </x:c>
    </x:row>
    <x:row r="403">
      <x:c r="A403" s="20" t="str">
        <x:v>RUN-20270315-15</x:v>
      </x:c>
      <x:c r="B403" s="23" t="n">
        <x:v>46461</x:v>
      </x:c>
      <x:c r="C403" s="32" t="n">
        <x:v>15</x:v>
      </x:c>
      <x:c r="D403" s="20" t="str">
        <x:v>Field certification</x:v>
      </x:c>
      <x:c r="E403" s="20" t="str">
        <x:v>Property Manager</x:v>
      </x:c>
      <x:c r="F403" s="20" t="str">
        <x:v>Web</x:v>
      </x:c>
      <x:c r="G403" s="20" t="str">
        <x:v>Manual field-by-field</x:v>
      </x:c>
      <x:c r="H403" s="35" t="str">
        <x:v>Fill, save, reload, edit, and validate every declared field on web/src/lib/components/shared/PortfolioSelector.svelte</x:v>
      </x:c>
      <x:c r="I403" s="35" t="str">
        <x:v>FLD-0170</x:v>
      </x:c>
      <x:c r="J403" s="35" t="str"/>
      <x:c r="K403" s="35" t="str"/>
      <x:c r="L403" s="35" t="str">
        <x:v>Use the source-derived Field Inventory. Enter non-default realistic values in every control (active-experience); submit; reload or relaunch; compare every value; edit each mutable field; verify the paired client; then run required, format, length, range, boundary, optional-null, and stale-submit checks.</x:v>
      </x:c>
      <x:c r="M403" s="35" t="str">
        <x:v>All 1 inventoried controls persist exact normalized values, invalid values stay unsaved with clear errors, and hidden/unauthorized fields cannot be altered.</x:v>
      </x:c>
      <x:c r="N403" s="35" t="str">
        <x:v>Before/after form screenshots; FLD IDs; API response; reloaded UI; paired-client read-back; database/audit evidence; negative validation result.</x:v>
      </x:c>
      <x:c r="O403" s="35" t="str">
        <x:v>Use a duplicate submit and one simulated network interruption; one atomic mutation or none, never partial state.</x:v>
      </x:c>
      <x:c r="P403" s="35" t="str">
        <x:v>All expected records and amounts match; no unexplained error or stale state.</x:v>
      </x:c>
    </x:row>
    <x:row r="404">
      <x:c r="A404" s="20" t="str">
        <x:v>RUN-20270315-16</x:v>
      </x:c>
      <x:c r="B404" s="23" t="n">
        <x:v>46461</x:v>
      </x:c>
      <x:c r="C404" s="32" t="n">
        <x:v>16</x:v>
      </x:c>
      <x:c r="D404" s="20" t="str">
        <x:v>Field certification</x:v>
      </x:c>
      <x:c r="E404" s="20" t="str">
        <x:v>Property Manager</x:v>
      </x:c>
      <x:c r="F404" s="20" t="str">
        <x:v>Web</x:v>
      </x:c>
      <x:c r="G404" s="20" t="str">
        <x:v>Manual field-by-field</x:v>
      </x:c>
      <x:c r="H404" s="35" t="str">
        <x:v>Fill, save, reload, edit, and validate every declared field on web/src/lib/components/shared/RemoteRecordSelect.svelte</x:v>
      </x:c>
      <x:c r="I404" s="35" t="str">
        <x:v>FLD-0171</x:v>
      </x:c>
      <x:c r="J404" s="35" t="str"/>
      <x:c r="K404" s="35" t="str"/>
      <x:c r="L404" s="35" t="str">
        <x:v>Use the source-derived Field Inventory. Enter non-default realistic values in every control ({testid}-search); submit; reload or relaunch; compare every value; edit each mutable field; verify the paired client; then run required, format, length, range, boundary, optional-null, and stale-submit checks.</x:v>
      </x:c>
      <x:c r="M404" s="35" t="str">
        <x:v>All 1 inventoried controls persist exact normalized values, invalid values stay unsaved with clear errors, and hidden/unauthorized fields cannot be altered.</x:v>
      </x:c>
      <x:c r="N404" s="35" t="str">
        <x:v>Before/after form screenshots; FLD IDs; API response; reloaded UI; paired-client read-back; database/audit evidence; negative validation result.</x:v>
      </x:c>
      <x:c r="O404" s="35" t="str">
        <x:v>Use a duplicate submit and one simulated network interruption; one atomic mutation or none, never partial state.</x:v>
      </x:c>
      <x:c r="P404" s="35" t="str">
        <x:v>All expected records and amounts match; no unexplained error or stale state.</x:v>
      </x:c>
    </x:row>
    <x:row r="405">
      <x:c r="A405" s="20" t="str">
        <x:v>RUN-20270316-01</x:v>
      </x:c>
      <x:c r="B405" s="23" t="n">
        <x:v>46462</x:v>
      </x:c>
      <x:c r="C405" s="32" t="n">
        <x:v>1</x:v>
      </x:c>
      <x:c r="D405" s="20" t="str">
        <x:v>Weekly operations</x:v>
      </x:c>
      <x:c r="E405" s="20" t="str">
        <x:v>Property Manager</x:v>
      </x:c>
      <x:c r="F405" s="20" t="str">
        <x:v>Mobile</x:v>
      </x:c>
      <x:c r="G405" s="20" t="str">
        <x:v>Scanned receipt/invoice</x:v>
      </x:c>
      <x:c r="H405" s="35" t="str">
        <x:v>Record, review, allocate, and pay operating expense</x:v>
      </x:c>
      <x:c r="I405" s="35" t="str">
        <x:v>P029; U038; WO-2027-011</x:v>
      </x:c>
      <x:c r="J405" s="35" t="str">
        <x:v>SCN-0366</x:v>
      </x:c>
      <x:c r="K405" s="35" t="str">
        <x:v>FIN-01034</x:v>
      </x:c>
      <x:c r="L405" s="35" t="str">
        <x:v>Capture or upload the source; verify vendor, date, scope, category, line items, tax, amount, and work-order link; confirm; open detail; verify attachment; compare Money and Property/Unit views.</x:v>
      </x:c>
      <x:c r="M405" s="35" t="str">
        <x:v>One expense exists at its real operational scope, cash falls once, Schedule E category and allocations agree, and no per-unit copies are created.</x:v>
      </x:c>
      <x:c r="N405" s="35" t="str">
        <x:v>Source preview; review/form; expense detail; line items; Property/Unit ledger; audit; accounting/report delta.</x:v>
      </x:c>
      <x:c r="O405" s="35" t="str">
        <x:v>On marked duplicate-invoice cases, re-upload before confirm and prove the product prevents or clearly warns about duplication.</x:v>
      </x:c>
      <x:c r="P405" s="35" t="str">
        <x:v>All expected records and amounts match; no unexplained error or stale state.</x:v>
      </x:c>
    </x:row>
    <x:row r="406">
      <x:c r="A406" s="20" t="str">
        <x:v>RUN-20270316-02</x:v>
      </x:c>
      <x:c r="B406" s="23" t="n">
        <x:v>46462</x:v>
      </x:c>
      <x:c r="C406" s="32" t="n">
        <x:v>2</x:v>
      </x:c>
      <x:c r="D406" s="20" t="str">
        <x:v>Role and screen certification</x:v>
      </x:c>
      <x:c r="E406" s="20" t="str">
        <x:v>Leasing Agent</x:v>
      </x:c>
      <x:c r="F406" s="20" t="str">
        <x:v>Web</x:v>
      </x:c>
      <x:c r="G406" s="20" t="str">
        <x:v>Normal persona navigation</x:v>
      </x:c>
      <x:c r="H406" s="35" t="str">
        <x:v>Use every permitted action and state on /leasing</x:v>
      </x:c>
      <x:c r="I406" s="35" t="str">
        <x:v>SCR-034; ROLE-049</x:v>
      </x:c>
      <x:c r="J406" s="35" t="str"/>
      <x:c r="K406" s="35" t="str"/>
      <x:c r="L4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06" s="35" t="str">
        <x:v>The persona can use every allowed action with only its assigned properties/relationships. Hidden or disabled actions explain why; an adjacent unauthorized persona is denied without metadata leakage.</x:v>
      </x:c>
      <x:c r="N406" s="35" t="str">
        <x:v>Persona/experience; navigation entry; desktop or device screenshots; result state; persisted read-back; audit/history; authorized and denied network result.</x:v>
      </x:c>
      <x:c r="O406" s="35" t="str">
        <x:v>Open the direct URL or deep link with an adjacent unauthorized persona and with stale scope; both fail closed and land safely without mutation.</x:v>
      </x:c>
      <x:c r="P406" s="35" t="str">
        <x:v>All expected records and amounts match; no unexplained error or stale state.</x:v>
      </x:c>
    </x:row>
    <x:row r="407">
      <x:c r="A407" s="20" t="str">
        <x:v>RUN-20270316-03</x:v>
      </x:c>
      <x:c r="B407" s="23" t="n">
        <x:v>46462</x:v>
      </x:c>
      <x:c r="C407" s="32" t="n">
        <x:v>3</x:v>
      </x:c>
      <x:c r="D407" s="20" t="str">
        <x:v>Field certification</x:v>
      </x:c>
      <x:c r="E407" s="20" t="str">
        <x:v>Property Manager</x:v>
      </x:c>
      <x:c r="F407" s="20" t="str">
        <x:v>Web</x:v>
      </x:c>
      <x:c r="G407" s="20" t="str">
        <x:v>Manual field-by-field</x:v>
      </x:c>
      <x:c r="H407" s="35" t="str">
        <x:v>Fill, save, reload, edit, and validate every declared field on web/src/lib/components/shared/SearchInput.svelte</x:v>
      </x:c>
      <x:c r="I407" s="35" t="str">
        <x:v>FLD-0172</x:v>
      </x:c>
      <x:c r="J407" s="35" t="str"/>
      <x:c r="K407" s="35" t="str"/>
      <x:c r="L407" s="35" t="str">
        <x:v>Use the source-derived Field Inventory. Enter non-default realistic values in every control ({testid}-input); submit; reload or relaunch; compare every value; edit each mutable field; verify the paired client; then run required, format, length, range, boundary, optional-null, and stale-submit checks.</x:v>
      </x:c>
      <x:c r="M407" s="35" t="str">
        <x:v>All 1 inventoried controls persist exact normalized values, invalid values stay unsaved with clear errors, and hidden/unauthorized fields cannot be altered.</x:v>
      </x:c>
      <x:c r="N407" s="35" t="str">
        <x:v>Before/after form screenshots; FLD IDs; API response; reloaded UI; paired-client read-back; database/audit evidence; negative validation result.</x:v>
      </x:c>
      <x:c r="O407" s="35" t="str">
        <x:v>Use a duplicate submit and one simulated network interruption; one atomic mutation or none, never partial state.</x:v>
      </x:c>
      <x:c r="P407" s="35" t="str">
        <x:v>All expected records and amounts match; no unexplained error or stale state.</x:v>
      </x:c>
    </x:row>
    <x:row r="408">
      <x:c r="A408" s="20" t="str">
        <x:v>RUN-20270316-04</x:v>
      </x:c>
      <x:c r="B408" s="23" t="n">
        <x:v>46462</x:v>
      </x:c>
      <x:c r="C408" s="32" t="n">
        <x:v>4</x:v>
      </x:c>
      <x:c r="D408" s="20" t="str">
        <x:v>Field certification</x:v>
      </x:c>
      <x:c r="E408" s="20" t="str">
        <x:v>Property Manager</x:v>
      </x:c>
      <x:c r="F408" s="20" t="str">
        <x:v>Web</x:v>
      </x:c>
      <x:c r="G408" s="20" t="str">
        <x:v>Manual field-by-field</x:v>
      </x:c>
      <x:c r="H408" s="35" t="str">
        <x:v>Fill, save, reload, edit, and validate every declared field on web/src/lib/components/shared/StateSelect.svelte</x:v>
      </x:c>
      <x:c r="I408" s="35" t="str">
        <x:v>FLD-0173; FLD-0174</x:v>
      </x:c>
      <x:c r="J408" s="35" t="str"/>
      <x:c r="K408" s="35" t="str"/>
      <x:c r="L408" s="35" t="str">
        <x:v>Use the source-derived Field Inventory. Enter non-default realistic values in every control (input-1; select-2); submit; reload or relaunch; compare every value; edit each mutable field; verify the paired client; then run required, format, length, range, boundary, optional-null, and stale-submit checks.</x:v>
      </x:c>
      <x:c r="M408" s="35" t="str">
        <x:v>All 2 inventoried controls persist exact normalized values, invalid values stay unsaved with clear errors, and hidden/unauthorized fields cannot be altered.</x:v>
      </x:c>
      <x:c r="N408" s="35" t="str">
        <x:v>Before/after form screenshots; FLD IDs; API response; reloaded UI; paired-client read-back; database/audit evidence; negative validation result.</x:v>
      </x:c>
      <x:c r="O408" s="35" t="str">
        <x:v>Use a duplicate submit and one simulated network interruption; one atomic mutation or none, never partial state.</x:v>
      </x:c>
      <x:c r="P408" s="35" t="str">
        <x:v>All expected records and amounts match; no unexplained error or stale state.</x:v>
      </x:c>
    </x:row>
    <x:row r="409">
      <x:c r="A409" s="20" t="str">
        <x:v>RUN-20270316-05</x:v>
      </x:c>
      <x:c r="B409" s="23" t="n">
        <x:v>46462</x:v>
      </x:c>
      <x:c r="C409" s="32" t="n">
        <x:v>5</x:v>
      </x:c>
      <x:c r="D409" s="20" t="str">
        <x:v>Field certification</x:v>
      </x:c>
      <x:c r="E409" s="20" t="str">
        <x:v>Property Manager</x:v>
      </x:c>
      <x:c r="F409" s="20" t="str">
        <x:v>Web</x:v>
      </x:c>
      <x:c r="G409" s="20" t="str">
        <x:v>Manual field-by-field</x:v>
      </x:c>
      <x:c r="H409" s="35" t="str">
        <x:v>Fill, save, reload, edit, and validate every declared field on web/src/lib/components/shared/TimeZoneSelect.svelte</x:v>
      </x:c>
      <x:c r="I409" s="35" t="str">
        <x:v>FLD-0175</x:v>
      </x:c>
      <x:c r="J409" s="35" t="str"/>
      <x:c r="K409" s="35" t="str"/>
      <x:c r="L409" s="35" t="str">
        <x:v>Use the source-derived Field Inventory. Enter non-default realistic values in every control (input-1); submit; reload or relaunch; compare every value; edit each mutable field; verify the paired client; then run required, format, length, range, boundary, optional-null, and stale-submit checks.</x:v>
      </x:c>
      <x:c r="M409" s="35" t="str">
        <x:v>All 1 inventoried controls persist exact normalized values, invalid values stay unsaved with clear errors, and hidden/unauthorized fields cannot be altered.</x:v>
      </x:c>
      <x:c r="N409" s="35" t="str">
        <x:v>Before/after form screenshots; FLD IDs; API response; reloaded UI; paired-client read-back; database/audit evidence; negative validation result.</x:v>
      </x:c>
      <x:c r="O409" s="35" t="str">
        <x:v>Use a duplicate submit and one simulated network interruption; one atomic mutation or none, never partial state.</x:v>
      </x:c>
      <x:c r="P409" s="35" t="str">
        <x:v>All expected records and amounts match; no unexplained error or stale state.</x:v>
      </x:c>
    </x:row>
    <x:row r="410">
      <x:c r="A410" s="20" t="str">
        <x:v>RUN-20270316-06</x:v>
      </x:c>
      <x:c r="B410" s="23" t="n">
        <x:v>46462</x:v>
      </x:c>
      <x:c r="C410" s="32" t="n">
        <x:v>6</x:v>
      </x:c>
      <x:c r="D410" s="20" t="str">
        <x:v>Field certification</x:v>
      </x:c>
      <x:c r="E410" s="20" t="str">
        <x:v>Property Manager</x:v>
      </x:c>
      <x:c r="F410" s="20" t="str">
        <x:v>Web</x:v>
      </x:c>
      <x:c r="G410" s="20" t="str">
        <x:v>Manual field-by-field</x:v>
      </x:c>
      <x:c r="H410" s="35" t="str">
        <x:v>Fill, save, reload, edit, and validate every declared field on web/src/lib/components/technician/TechnicianAssignmentList.svelte</x:v>
      </x:c>
      <x:c r="I410" s="35" t="str">
        <x:v>FLD-0176</x:v>
      </x:c>
      <x:c r="J410" s="35" t="str"/>
      <x:c r="K410" s="35" t="str"/>
      <x:c r="L410" s="35" t="str">
        <x:v>Use the source-derived Field Inventory. Enter non-default realistic values in every control (status); submit; reload or relaunch; compare every value; edit each mutable field; verify the paired client; then run required, format, length, range, boundary, optional-null, and stale-submit checks.</x:v>
      </x:c>
      <x:c r="M410" s="35" t="str">
        <x:v>All 1 inventoried controls persist exact normalized values, invalid values stay unsaved with clear errors, and hidden/unauthorized fields cannot be altered.</x:v>
      </x:c>
      <x:c r="N410" s="35" t="str">
        <x:v>Before/after form screenshots; FLD IDs; API response; reloaded UI; paired-client read-back; database/audit evidence; negative validation result.</x:v>
      </x:c>
      <x:c r="O410" s="35" t="str">
        <x:v>Use a duplicate submit and one simulated network interruption; one atomic mutation or none, never partial state.</x:v>
      </x:c>
      <x:c r="P410" s="35" t="str">
        <x:v>All expected records and amounts match; no unexplained error or stale state.</x:v>
      </x:c>
    </x:row>
    <x:row r="411">
      <x:c r="A411" s="20" t="str">
        <x:v>RUN-20270316-07</x:v>
      </x:c>
      <x:c r="B411" s="23" t="n">
        <x:v>46462</x:v>
      </x:c>
      <x:c r="C411" s="32" t="n">
        <x:v>7</x:v>
      </x:c>
      <x:c r="D411" s="20" t="str">
        <x:v>Lifecycle certification</x:v>
      </x:c>
      <x:c r="E411" s="20" t="str">
        <x:v>Workspace Administrator</x:v>
      </x:c>
      <x:c r="F411" s="20" t="str">
        <x:v>Web + Mobile</x:v>
      </x:c>
      <x:c r="G411" s="20" t="str">
        <x:v>Manual + scan/attachment where supported</x:v>
      </x:c>
      <x:c r="H411" s="35" t="str">
        <x:v>Complete the full create/read/edit/lifecycle/delete-safe pass for Portfolio</x:v>
      </x:c>
      <x:c r="I411" s="35" t="str">
        <x:v>CRUD-006</x:v>
      </x:c>
      <x:c r="J411" s="35" t="str"/>
      <x:c r="K411" s="35" t="str"/>
      <x:c r="L411" s="35" t="str">
        <x:v>Use a dedicated disposable QA record and execute: create; edit; assign; switch; scope-denial; archive-safe. Fill every field referenced by field-inventory.csv. Verify confirmation copy, cancel path, final path, reload, other-client state, history, and role denial.</x:v>
      </x:c>
      <x:c r="M411" s="35" t="str">
        <x:v>Every supported transition succeeds exactly once; forbidden destructive actions are guarded; reversible deletion/deactivation works; financial and historical truth is preserved.</x:v>
      </x:c>
      <x:c r="N411" s="35" t="str">
        <x:v>Entity before/after; both clients; all FLD IDs; audit/history; notifications; authorized and unauthorized personas; API/DB state.</x:v>
      </x:c>
      <x:c r="O411" s="35" t="str">
        <x:v>Cancel the first destructive confirmation, then repeat and confirm; retry the mutation once; no double transition or orphan.</x:v>
      </x:c>
      <x:c r="P411" s="35" t="str">
        <x:v>All expected records and amounts match; no unexplained error or stale state.</x:v>
      </x:c>
    </x:row>
    <x:row r="412">
      <x:c r="A412" s="20" t="str">
        <x:v>RUN-20270316-08</x:v>
      </x:c>
      <x:c r="B412" s="23" t="n">
        <x:v>46462</x:v>
      </x:c>
      <x:c r="C412" s="32" t="n">
        <x:v>8</x:v>
      </x:c>
      <x:c r="D412" s="20" t="str">
        <x:v>Surface coverage</x:v>
      </x:c>
      <x:c r="E412" s="20" t="str">
        <x:v>Role appropriate to surface</x:v>
      </x:c>
      <x:c r="F412" s="20" t="str">
        <x:v>Mobile</x:v>
      </x:c>
      <x:c r="G412" s="20" t="str">
        <x:v>Manual</x:v>
      </x:c>
      <x:c r="H412" s="35" t="str">
        <x:v>Manual mobile pass: Application public form/intake/detail/pipeline</x:v>
      </x:c>
      <x:c r="I412" s="35" t="str">
        <x:v>COV-009</x:v>
      </x:c>
      <x:c r="J412" s="35" t="str"/>
      <x:c r="K412" s="35" t="str"/>
      <x:c r="L412" s="35" t="str">
        <x:v>Submit public and scanned applications; manually create/status one on each client; verify unit scope and fair-housing guard.</x:v>
      </x:c>
      <x:c r="M412" s="35" t="str">
        <x:v>The supported workflow completes and persists correctly; if the capability is absent, the exact gap is proven and queued rather than silently skipped.</x:v>
      </x:c>
      <x:c r="N412" s="35" t="str">
        <x:v>Real UI screenshot/state; submitted values; persisted read-back; cross-client read-back; audit/role/access evidence.</x:v>
      </x:c>
      <x:c r="O412" s="35" t="str">
        <x:v>Use one invalid value, stale-state retry, or duplicate submission relevant to the form; no partial or duplicate mutation.</x:v>
      </x:c>
      <x:c r="P412" s="35" t="str">
        <x:v>All expected records and amounts match; no unexplained error or stale state.</x:v>
      </x:c>
    </x:row>
    <x:row r="413">
      <x:c r="A413" s="20" t="str">
        <x:v>RUN-20270317-01</x:v>
      </x:c>
      <x:c r="B413" s="23" t="n">
        <x:v>46463</x:v>
      </x:c>
      <x:c r="C413" s="32" t="n">
        <x:v>1</x:v>
      </x:c>
      <x:c r="D413" s="20" t="str">
        <x:v>Field certification</x:v>
      </x:c>
      <x:c r="E413" s="20" t="str">
        <x:v>Property Manager</x:v>
      </x:c>
      <x:c r="F413" s="20" t="str">
        <x:v>Web</x:v>
      </x:c>
      <x:c r="G413" s="20" t="str">
        <x:v>Manual field-by-field</x:v>
      </x:c>
      <x:c r="H413" s="35" t="str">
        <x:v>Fill, save, reload, edit, and validate every declared field on web/src/lib/components/technician/TechnicianAssignmentList.svelte</x:v>
      </x:c>
      <x:c r="I413" s="35" t="str">
        <x:v>FLD-0177; FLD-0178</x:v>
      </x:c>
      <x:c r="J413" s="35" t="str"/>
      <x:c r="K413" s="35" t="str"/>
      <x:c r="L413" s="35" t="str">
        <x:v>Use the source-derived Field Inventory. Enter non-default realistic values in every control (scheduledFrom; scheduledTo); submit; reload or relaunch; compare every value; edit each mutable field; verify the paired client; then run required, format, length, range, boundary, optional-null, and stale-submit checks.</x:v>
      </x:c>
      <x:c r="M413" s="35" t="str">
        <x:v>All 2 inventoried controls persist exact normalized values, invalid values stay unsaved with clear errors, and hidden/unauthorized fields cannot be altered.</x:v>
      </x:c>
      <x:c r="N413" s="35" t="str">
        <x:v>Before/after form screenshots; FLD IDs; API response; reloaded UI; paired-client read-back; database/audit evidence; negative validation result.</x:v>
      </x:c>
      <x:c r="O413" s="35" t="str">
        <x:v>Use a duplicate submit and one simulated network interruption; one atomic mutation or none, never partial state.</x:v>
      </x:c>
      <x:c r="P413" s="35" t="str">
        <x:v>All expected records and amounts match; no unexplained error or stale state.</x:v>
      </x:c>
    </x:row>
    <x:row r="414">
      <x:c r="A414" s="20" t="str">
        <x:v>RUN-20270317-02</x:v>
      </x:c>
      <x:c r="B414" s="23" t="n">
        <x:v>46463</x:v>
      </x:c>
      <x:c r="C414" s="32" t="n">
        <x:v>2</x:v>
      </x:c>
      <x:c r="D414" s="20" t="str">
        <x:v>Field certification</x:v>
      </x:c>
      <x:c r="E414" s="20" t="str">
        <x:v>Property Manager</x:v>
      </x:c>
      <x:c r="F414" s="20" t="str">
        <x:v>Web</x:v>
      </x:c>
      <x:c r="G414" s="20" t="str">
        <x:v>Manual field-by-field</x:v>
      </x:c>
      <x:c r="H414" s="35" t="str">
        <x:v>Fill, save, reload, edit, and validate every declared field on web/src/lib/components/ui/calendar/calendar-month-select.svelte</x:v>
      </x:c>
      <x:c r="I414" s="35" t="str">
        <x:v>FLD-0179</x:v>
      </x:c>
      <x:c r="J414" s="35" t="str"/>
      <x:c r="K414" s="35" t="str"/>
      <x:c r="L414" s="35" t="str">
        <x:v>Use the source-derived Field Inventory. Enter non-default realistic values in every control (select-1); submit; reload or relaunch; compare every value; edit each mutable field; verify the paired client; then run required, format, length, range, boundary, optional-null, and stale-submit checks.</x:v>
      </x:c>
      <x:c r="M414" s="35" t="str">
        <x:v>All 1 inventoried controls persist exact normalized values, invalid values stay unsaved with clear errors, and hidden/unauthorized fields cannot be altered.</x:v>
      </x:c>
      <x:c r="N414" s="35" t="str">
        <x:v>Before/after form screenshots; FLD IDs; API response; reloaded UI; paired-client read-back; database/audit evidence; negative validation result.</x:v>
      </x:c>
      <x:c r="O414" s="35" t="str">
        <x:v>Use a duplicate submit and one simulated network interruption; one atomic mutation or none, never partial state.</x:v>
      </x:c>
      <x:c r="P414" s="35" t="str">
        <x:v>All expected records and amounts match; no unexplained error or stale state.</x:v>
      </x:c>
    </x:row>
    <x:row r="415">
      <x:c r="A415" s="20" t="str">
        <x:v>RUN-20270317-03</x:v>
      </x:c>
      <x:c r="B415" s="23" t="n">
        <x:v>46463</x:v>
      </x:c>
      <x:c r="C415" s="32" t="n">
        <x:v>3</x:v>
      </x:c>
      <x:c r="D415" s="20" t="str">
        <x:v>Field certification</x:v>
      </x:c>
      <x:c r="E415" s="20" t="str">
        <x:v>Property Manager</x:v>
      </x:c>
      <x:c r="F415" s="20" t="str">
        <x:v>Web</x:v>
      </x:c>
      <x:c r="G415" s="20" t="str">
        <x:v>Manual field-by-field</x:v>
      </x:c>
      <x:c r="H415" s="35" t="str">
        <x:v>Fill, save, reload, edit, and validate every declared field on web/src/lib/components/ui/calendar/calendar-year-select.svelte</x:v>
      </x:c>
      <x:c r="I415" s="35" t="str">
        <x:v>FLD-0180</x:v>
      </x:c>
      <x:c r="J415" s="35" t="str"/>
      <x:c r="K415" s="35" t="str"/>
      <x:c r="L415" s="35" t="str">
        <x:v>Use the source-derived Field Inventory. Enter non-default realistic values in every control (select-1); submit; reload or relaunch; compare every value; edit each mutable field; verify the paired client; then run required, format, length, range, boundary, optional-null, and stale-submit checks.</x:v>
      </x:c>
      <x:c r="M415" s="35" t="str">
        <x:v>All 1 inventoried controls persist exact normalized values, invalid values stay unsaved with clear errors, and hidden/unauthorized fields cannot be altered.</x:v>
      </x:c>
      <x:c r="N415" s="35" t="str">
        <x:v>Before/after form screenshots; FLD IDs; API response; reloaded UI; paired-client read-back; database/audit evidence; negative validation result.</x:v>
      </x:c>
      <x:c r="O415" s="35" t="str">
        <x:v>Use a duplicate submit and one simulated network interruption; one atomic mutation or none, never partial state.</x:v>
      </x:c>
      <x:c r="P415" s="35" t="str">
        <x:v>All expected records and amounts match; no unexplained error or stale state.</x:v>
      </x:c>
    </x:row>
    <x:row r="416">
      <x:c r="A416" s="20" t="str">
        <x:v>RUN-20270317-04</x:v>
      </x:c>
      <x:c r="B416" s="23" t="n">
        <x:v>46463</x:v>
      </x:c>
      <x:c r="C416" s="32" t="n">
        <x:v>4</x:v>
      </x:c>
      <x:c r="D416" s="20" t="str">
        <x:v>Surface coverage</x:v>
      </x:c>
      <x:c r="E416" s="20" t="str">
        <x:v>Role appropriate to surface</x:v>
      </x:c>
      <x:c r="F416" s="20" t="str">
        <x:v>Web</x:v>
      </x:c>
      <x:c r="G416" s="20" t="str">
        <x:v>Scan/attachment</x:v>
      </x:c>
      <x:c r="H416" s="35" t="str">
        <x:v>Scan web pass: Application public form/intake/detail/pipeline</x:v>
      </x:c>
      <x:c r="I416" s="35" t="str">
        <x:v>COV-009</x:v>
      </x:c>
      <x:c r="J416" s="35" t="str"/>
      <x:c r="K416" s="35" t="str"/>
      <x:c r="L416" s="35" t="str">
        <x:v>Submit public and scanned applications; manually create/status one on each client; verify unit scope and fair-housing guard.</x:v>
      </x:c>
      <x:c r="M416" s="35" t="str">
        <x:v>The supported workflow completes and persists correctly; if the capability is absent, the exact gap is proven and queued rather than silently skipped.</x:v>
      </x:c>
      <x:c r="N416" s="35" t="str">
        <x:v>Real UI screenshot/state; submitted values; persisted read-back; cross-client read-back; audit/role/access evidence.</x:v>
      </x:c>
      <x:c r="O416" s="35" t="str">
        <x:v>Use one invalid value, stale-state retry, or duplicate submission relevant to the form; no partial or duplicate mutation.</x:v>
      </x:c>
      <x:c r="P416" s="35" t="str">
        <x:v>All expected records and amounts match; no unexplained error or stale state.</x:v>
      </x:c>
    </x:row>
    <x:row r="417">
      <x:c r="A417" s="20" t="str">
        <x:v>RUN-20270318-01</x:v>
      </x:c>
      <x:c r="B417" s="23" t="n">
        <x:v>46464</x:v>
      </x:c>
      <x:c r="C417" s="32" t="n">
        <x:v>1</x:v>
      </x:c>
      <x:c r="D417" s="20" t="str">
        <x:v>Weekly operations</x:v>
      </x:c>
      <x:c r="E417" s="20" t="str">
        <x:v>Property Manager</x:v>
      </x:c>
      <x:c r="F417" s="20" t="str">
        <x:v>Mobile</x:v>
      </x:c>
      <x:c r="G417" s="20" t="str">
        <x:v>Scanned receipt/invoice</x:v>
      </x:c>
      <x:c r="H417" s="35" t="str">
        <x:v>Record, review, allocate, and pay operating expense</x:v>
      </x:c>
      <x:c r="I417" s="35" t="str">
        <x:v>P003; Property scope; </x:v>
      </x:c>
      <x:c r="J417" s="35" t="str">
        <x:v>SCN-0799</x:v>
      </x:c>
      <x:c r="K417" s="35" t="str">
        <x:v>FIN-01510</x:v>
      </x:c>
      <x:c r="L417" s="35" t="str">
        <x:v>Capture or upload the source; verify vendor, date, scope, category, line items, tax, amount, and work-order link; confirm; open detail; verify attachment; compare Money and Property/Unit views.</x:v>
      </x:c>
      <x:c r="M417" s="35" t="str">
        <x:v>One expense exists at its real operational scope, cash falls once, Schedule E category and allocations agree, and no per-unit copies are created.</x:v>
      </x:c>
      <x:c r="N417" s="35" t="str">
        <x:v>Source preview; review/form; expense detail; line items; Property/Unit ledger; audit; accounting/report delta.</x:v>
      </x:c>
      <x:c r="O417" s="35" t="str">
        <x:v>On marked duplicate-invoice cases, re-upload before confirm and prove the product prevents or clearly warns about duplication.</x:v>
      </x:c>
      <x:c r="P417" s="35" t="str">
        <x:v>All expected records and amounts match; no unexplained error or stale state.</x:v>
      </x:c>
    </x:row>
    <x:row r="418">
      <x:c r="A418" s="20" t="str">
        <x:v>RUN-20270318-02</x:v>
      </x:c>
      <x:c r="B418" s="23" t="n">
        <x:v>46464</x:v>
      </x:c>
      <x:c r="C418" s="32" t="n">
        <x:v>2</x:v>
      </x:c>
      <x:c r="D418" s="20" t="str">
        <x:v>Weekly operations</x:v>
      </x:c>
      <x:c r="E418" s="20" t="str">
        <x:v>Property Manager</x:v>
      </x:c>
      <x:c r="F418" s="20" t="str">
        <x:v>Mobile</x:v>
      </x:c>
      <x:c r="G418" s="20" t="str">
        <x:v>Manual web form</x:v>
      </x:c>
      <x:c r="H418" s="35" t="str">
        <x:v>Record, review, allocate, and pay operating expense</x:v>
      </x:c>
      <x:c r="I418" s="35" t="str">
        <x:v>P015; Property scope; </x:v>
      </x:c>
      <x:c r="J418" s="35" t="str"/>
      <x:c r="K418" s="35" t="str">
        <x:v>FIN-01570</x:v>
      </x:c>
      <x:c r="L418" s="35" t="str">
        <x:v>Capture or upload the source; verify vendor, date, scope, category, line items, tax, amount, and work-order link; confirm; open detail; verify attachment; compare Money and Property/Unit views.</x:v>
      </x:c>
      <x:c r="M418" s="35" t="str">
        <x:v>One expense exists at its real operational scope, cash falls once, Schedule E category and allocations agree, and no per-unit copies are created.</x:v>
      </x:c>
      <x:c r="N418" s="35" t="str">
        <x:v>Source preview; review/form; expense detail; line items; Property/Unit ledger; audit; accounting/report delta.</x:v>
      </x:c>
      <x:c r="O418" s="35" t="str">
        <x:v>On marked duplicate-invoice cases, re-upload before confirm and prove the product prevents or clearly warns about duplication.</x:v>
      </x:c>
      <x:c r="P418" s="35" t="str">
        <x:v>All expected records and amounts match; no unexplained error or stale state.</x:v>
      </x:c>
    </x:row>
    <x:row r="419">
      <x:c r="A419" s="20" t="str">
        <x:v>RUN-20270318-03</x:v>
      </x:c>
      <x:c r="B419" s="23" t="n">
        <x:v>46464</x:v>
      </x:c>
      <x:c r="C419" s="32" t="n">
        <x:v>3</x:v>
      </x:c>
      <x:c r="D419" s="20" t="str">
        <x:v>Weekly operations</x:v>
      </x:c>
      <x:c r="E419" s="20" t="str">
        <x:v>Property Manager</x:v>
      </x:c>
      <x:c r="F419" s="20" t="str">
        <x:v>Mobile</x:v>
      </x:c>
      <x:c r="G419" s="20" t="str">
        <x:v>Scanned receipt/invoice</x:v>
      </x:c>
      <x:c r="H419" s="35" t="str">
        <x:v>Record, review, allocate, and pay operating expense</x:v>
      </x:c>
      <x:c r="I419" s="35" t="str">
        <x:v>P027; Property scope; </x:v>
      </x:c>
      <x:c r="J419" s="35" t="str">
        <x:v>SCN-0894</x:v>
      </x:c>
      <x:c r="K419" s="35" t="str">
        <x:v>FIN-01630</x:v>
      </x:c>
      <x:c r="L419" s="35" t="str">
        <x:v>Capture or upload the source; verify vendor, date, scope, category, line items, tax, amount, and work-order link; confirm; open detail; verify attachment; compare Money and Property/Unit views.</x:v>
      </x:c>
      <x:c r="M419" s="35" t="str">
        <x:v>One expense exists at its real operational scope, cash falls once, Schedule E category and allocations agree, and no per-unit copies are created.</x:v>
      </x:c>
      <x:c r="N419" s="35" t="str">
        <x:v>Source preview; review/form; expense detail; line items; Property/Unit ledger; audit; accounting/report delta.</x:v>
      </x:c>
      <x:c r="O419" s="35" t="str">
        <x:v>On marked duplicate-invoice cases, re-upload before confirm and prove the product prevents or clearly warns about duplication.</x:v>
      </x:c>
      <x:c r="P419" s="35" t="str">
        <x:v>All expected records and amounts match; no unexplained error or stale state.</x:v>
      </x:c>
    </x:row>
    <x:row r="420">
      <x:c r="A420" s="20" t="str">
        <x:v>RUN-20270318-04</x:v>
      </x:c>
      <x:c r="B420" s="23" t="n">
        <x:v>46464</x:v>
      </x:c>
      <x:c r="C420" s="32" t="n">
        <x:v>4</x:v>
      </x:c>
      <x:c r="D420" s="20" t="str">
        <x:v>Role and screen certification</x:v>
      </x:c>
      <x:c r="E420" s="20" t="str">
        <x:v>Leasing Agent</x:v>
      </x:c>
      <x:c r="F420" s="20" t="str">
        <x:v>Web</x:v>
      </x:c>
      <x:c r="G420" s="20" t="str">
        <x:v>Normal persona navigation</x:v>
      </x:c>
      <x:c r="H420" s="35" t="str">
        <x:v>Use every permitted action and state on /leasing/[record]/[id]</x:v>
      </x:c>
      <x:c r="I420" s="35" t="str">
        <x:v>SCR-035; ROLE-050</x:v>
      </x:c>
      <x:c r="J420" s="35" t="str"/>
      <x:c r="K420" s="35" t="str"/>
      <x:c r="L4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20" s="35" t="str">
        <x:v>The persona can use every allowed action with only its assigned properties/relationships. Hidden or disabled actions explain why; an adjacent unauthorized persona is denied without metadata leakage.</x:v>
      </x:c>
      <x:c r="N420" s="35" t="str">
        <x:v>Persona/experience; navigation entry; desktop or device screenshots; result state; persisted read-back; audit/history; authorized and denied network result.</x:v>
      </x:c>
      <x:c r="O420" s="35" t="str">
        <x:v>Open the direct URL or deep link with an adjacent unauthorized persona and with stale scope; both fail closed and land safely without mutation.</x:v>
      </x:c>
      <x:c r="P420" s="35" t="str">
        <x:v>All expected records and amounts match; no unexplained error or stale state.</x:v>
      </x:c>
    </x:row>
    <x:row r="421">
      <x:c r="A421" s="20" t="str">
        <x:v>RUN-20270318-05</x:v>
      </x:c>
      <x:c r="B421" s="23" t="n">
        <x:v>46464</x:v>
      </x:c>
      <x:c r="C421" s="32" t="n">
        <x:v>5</x:v>
      </x:c>
      <x:c r="D421" s="20" t="str">
        <x:v>Field certification</x:v>
      </x:c>
      <x:c r="E421" s="20" t="str">
        <x:v>Property Manager</x:v>
      </x:c>
      <x:c r="F421" s="20" t="str">
        <x:v>Web</x:v>
      </x:c>
      <x:c r="G421" s="20" t="str">
        <x:v>Manual field-by-field</x:v>
      </x:c>
      <x:c r="H421" s="35" t="str">
        <x:v>Fill, save, reload, edit, and validate every declared field on web/src/lib/components/ui/input/input.svelte</x:v>
      </x:c>
      <x:c r="I421" s="35" t="str">
        <x:v>FLD-0181; FLD-0182</x:v>
      </x:c>
      <x:c r="J421" s="35" t="str"/>
      <x:c r="K421" s="35" t="str"/>
      <x:c r="L421" s="35" t="str">
        <x:v>Use the source-derived Field Inventory. Enter non-default realistic values in every control (input-1; input-2); submit; reload or relaunch; compare every value; edit each mutable field; verify the paired client; then run required, format, length, range, boundary, optional-null, and stale-submit checks.</x:v>
      </x:c>
      <x:c r="M421" s="35" t="str">
        <x:v>All 2 inventoried controls persist exact normalized values, invalid values stay unsaved with clear errors, and hidden/unauthorized fields cannot be altered.</x:v>
      </x:c>
      <x:c r="N421" s="35" t="str">
        <x:v>Before/after form screenshots; FLD IDs; API response; reloaded UI; paired-client read-back; database/audit evidence; negative validation result.</x:v>
      </x:c>
      <x:c r="O421" s="35" t="str">
        <x:v>Use a duplicate submit and one simulated network interruption; one atomic mutation or none, never partial state.</x:v>
      </x:c>
      <x:c r="P421" s="35" t="str">
        <x:v>All expected records and amounts match; no unexplained error or stale state.</x:v>
      </x:c>
    </x:row>
    <x:row r="422">
      <x:c r="A422" s="20" t="str">
        <x:v>RUN-20270318-06</x:v>
      </x:c>
      <x:c r="B422" s="23" t="n">
        <x:v>46464</x:v>
      </x:c>
      <x:c r="C422" s="32" t="n">
        <x:v>6</x:v>
      </x:c>
      <x:c r="D422" s="20" t="str">
        <x:v>Field certification</x:v>
      </x:c>
      <x:c r="E422" s="20" t="str">
        <x:v>Property Manager</x:v>
      </x:c>
      <x:c r="F422" s="20" t="str">
        <x:v>Web</x:v>
      </x:c>
      <x:c r="G422" s="20" t="str">
        <x:v>Manual field-by-field</x:v>
      </x:c>
      <x:c r="H422" s="35" t="str">
        <x:v>Fill, save, reload, edit, and validate every declared field on web/src/lib/components/ui/range-calendar/range-calendar-month-select.svelte</x:v>
      </x:c>
      <x:c r="I422" s="35" t="str">
        <x:v>FLD-0183</x:v>
      </x:c>
      <x:c r="J422" s="35" t="str"/>
      <x:c r="K422" s="35" t="str"/>
      <x:c r="L422" s="35" t="str">
        <x:v>Use the source-derived Field Inventory. Enter non-default realistic values in every control (select-1); submit; reload or relaunch; compare every value; edit each mutable field; verify the paired client; then run required, format, length, range, boundary, optional-null, and stale-submit checks.</x:v>
      </x:c>
      <x:c r="M422" s="35" t="str">
        <x:v>All 1 inventoried controls persist exact normalized values, invalid values stay unsaved with clear errors, and hidden/unauthorized fields cannot be altered.</x:v>
      </x:c>
      <x:c r="N422" s="35" t="str">
        <x:v>Before/after form screenshots; FLD IDs; API response; reloaded UI; paired-client read-back; database/audit evidence; negative validation result.</x:v>
      </x:c>
      <x:c r="O422" s="35" t="str">
        <x:v>Use a duplicate submit and one simulated network interruption; one atomic mutation or none, never partial state.</x:v>
      </x:c>
      <x:c r="P422" s="35" t="str">
        <x:v>All expected records and amounts match; no unexplained error or stale state.</x:v>
      </x:c>
    </x:row>
    <x:row r="423">
      <x:c r="A423" s="20" t="str">
        <x:v>RUN-20270318-07</x:v>
      </x:c>
      <x:c r="B423" s="23" t="n">
        <x:v>46464</x:v>
      </x:c>
      <x:c r="C423" s="32" t="n">
        <x:v>7</x:v>
      </x:c>
      <x:c r="D423" s="20" t="str">
        <x:v>Field certification</x:v>
      </x:c>
      <x:c r="E423" s="20" t="str">
        <x:v>Property Manager</x:v>
      </x:c>
      <x:c r="F423" s="20" t="str">
        <x:v>Web</x:v>
      </x:c>
      <x:c r="G423" s="20" t="str">
        <x:v>Manual field-by-field</x:v>
      </x:c>
      <x:c r="H423" s="35" t="str">
        <x:v>Fill, save, reload, edit, and validate every declared field on web/src/lib/components/ui/range-calendar/range-calendar-year-select.svelte</x:v>
      </x:c>
      <x:c r="I423" s="35" t="str">
        <x:v>FLD-0184</x:v>
      </x:c>
      <x:c r="J423" s="35" t="str"/>
      <x:c r="K423" s="35" t="str"/>
      <x:c r="L423" s="35" t="str">
        <x:v>Use the source-derived Field Inventory. Enter non-default realistic values in every control (select-1); submit; reload or relaunch; compare every value; edit each mutable field; verify the paired client; then run required, format, length, range, boundary, optional-null, and stale-submit checks.</x:v>
      </x:c>
      <x:c r="M423" s="35" t="str">
        <x:v>All 1 inventoried controls persist exact normalized values, invalid values stay unsaved with clear errors, and hidden/unauthorized fields cannot be altered.</x:v>
      </x:c>
      <x:c r="N423" s="35" t="str">
        <x:v>Before/after form screenshots; FLD IDs; API response; reloaded UI; paired-client read-back; database/audit evidence; negative validation result.</x:v>
      </x:c>
      <x:c r="O423" s="35" t="str">
        <x:v>Use a duplicate submit and one simulated network interruption; one atomic mutation or none, never partial state.</x:v>
      </x:c>
      <x:c r="P423" s="35" t="str">
        <x:v>All expected records and amounts match; no unexplained error or stale state.</x:v>
      </x:c>
    </x:row>
    <x:row r="424">
      <x:c r="A424" s="20" t="str">
        <x:v>RUN-20270318-08</x:v>
      </x:c>
      <x:c r="B424" s="23" t="n">
        <x:v>46464</x:v>
      </x:c>
      <x:c r="C424" s="32" t="n">
        <x:v>8</x:v>
      </x:c>
      <x:c r="D424" s="20" t="str">
        <x:v>Field certification</x:v>
      </x:c>
      <x:c r="E424" s="20" t="str">
        <x:v>Leasing Agent</x:v>
      </x:c>
      <x:c r="F424" s="20" t="str">
        <x:v>Web</x:v>
      </x:c>
      <x:c r="G424" s="20" t="str">
        <x:v>Manual field-by-field</x:v>
      </x:c>
      <x:c r="H424" s="35" t="str">
        <x:v>Fill, save, reload, edit, and validate every declared field on web/src/lib/components/unit/tabs/ApplicationsTab.svelte</x:v>
      </x:c>
      <x:c r="I424" s="35" t="str">
        <x:v>FLD-0185</x:v>
      </x:c>
      <x:c r="J424" s="35" t="str"/>
      <x:c r="K424" s="35" t="str"/>
      <x:c r="L424" s="35" t="str">
        <x:v>Use the source-derived Field Inventory. Enter non-default realistic values in every control (unit-applications-search); submit; reload or relaunch; compare every value; edit each mutable field; verify the paired client; then run required, format, length, range, boundary, optional-null, and stale-submit checks.</x:v>
      </x:c>
      <x:c r="M424" s="35" t="str">
        <x:v>All 1 inventoried controls persist exact normalized values, invalid values stay unsaved with clear errors, and hidden/unauthorized fields cannot be altered.</x:v>
      </x:c>
      <x:c r="N424" s="35" t="str">
        <x:v>Before/after form screenshots; FLD IDs; API response; reloaded UI; paired-client read-back; database/audit evidence; negative validation result.</x:v>
      </x:c>
      <x:c r="O424" s="35" t="str">
        <x:v>Use a duplicate submit and one simulated network interruption; one atomic mutation or none, never partial state.</x:v>
      </x:c>
      <x:c r="P424" s="35" t="str">
        <x:v>All expected records and amounts match; no unexplained error or stale state.</x:v>
      </x:c>
    </x:row>
    <x:row r="425">
      <x:c r="A425" s="20" t="str">
        <x:v>RUN-20270319-01</x:v>
      </x:c>
      <x:c r="B425" s="23" t="n">
        <x:v>46465</x:v>
      </x:c>
      <x:c r="C425" s="32" t="n">
        <x:v>1</x:v>
      </x:c>
      <x:c r="D425" s="20" t="str">
        <x:v>Role and screen certification</x:v>
      </x:c>
      <x:c r="E425" s="20" t="str">
        <x:v>Leasing Agent</x:v>
      </x:c>
      <x:c r="F425" s="20" t="str">
        <x:v>Web</x:v>
      </x:c>
      <x:c r="G425" s="20" t="str">
        <x:v>Normal persona navigation</x:v>
      </x:c>
      <x:c r="H425" s="35" t="str">
        <x:v>Use every permitted action and state on /leasing/calendar</x:v>
      </x:c>
      <x:c r="I425" s="35" t="str">
        <x:v>SCR-036; ROLE-051</x:v>
      </x:c>
      <x:c r="J425" s="35" t="str"/>
      <x:c r="K425" s="35" t="str"/>
      <x:c r="L42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25" s="35" t="str">
        <x:v>The persona can use every allowed action with only its assigned properties/relationships. Hidden or disabled actions explain why; an adjacent unauthorized persona is denied without metadata leakage.</x:v>
      </x:c>
      <x:c r="N425" s="35" t="str">
        <x:v>Persona/experience; navigation entry; desktop or device screenshots; result state; persisted read-back; audit/history; authorized and denied network result.</x:v>
      </x:c>
      <x:c r="O425" s="35" t="str">
        <x:v>Open the direct URL or deep link with an adjacent unauthorized persona and with stale scope; both fail closed and land safely without mutation.</x:v>
      </x:c>
      <x:c r="P425" s="35" t="str">
        <x:v>All expected records and amounts match; no unexplained error or stale state.</x:v>
      </x:c>
    </x:row>
    <x:row r="426">
      <x:c r="A426" s="20" t="str">
        <x:v>RUN-20270319-02</x:v>
      </x:c>
      <x:c r="B426" s="23" t="n">
        <x:v>46465</x:v>
      </x:c>
      <x:c r="C426" s="32" t="n">
        <x:v>2</x:v>
      </x:c>
      <x:c r="D426" s="20" t="str">
        <x:v>Field certification</x:v>
      </x:c>
      <x:c r="E426" s="20" t="str">
        <x:v>Leasing Agent</x:v>
      </x:c>
      <x:c r="F426" s="20" t="str">
        <x:v>Web</x:v>
      </x:c>
      <x:c r="G426" s="20" t="str">
        <x:v>Manual field-by-field</x:v>
      </x:c>
      <x:c r="H426" s="35" t="str">
        <x:v>Fill, save, reload, edit, and validate every declared field on web/src/lib/components/unit/tabs/ApplicationsTab.svelte</x:v>
      </x:c>
      <x:c r="I426" s="35" t="str">
        <x:v>FLD-0186; FLD-0187</x:v>
      </x:c>
      <x:c r="J426" s="35" t="str"/>
      <x:c r="K426" s="35" t="str"/>
      <x:c r="L426" s="35" t="str">
        <x:v>Use the source-derived Field Inventory. Enter non-default realistic values in every control (unit-applications-sort; unit-application-link-url); submit; reload or relaunch; compare every value; edit each mutable field; verify the paired client; then run required, format, length, range, boundary, optional-null, and stale-submit checks.</x:v>
      </x:c>
      <x:c r="M426" s="35" t="str">
        <x:v>All 2 inventoried controls persist exact normalized values, invalid values stay unsaved with clear errors, and hidden/unauthorized fields cannot be altered.</x:v>
      </x:c>
      <x:c r="N426" s="35" t="str">
        <x:v>Before/after form screenshots; FLD IDs; API response; reloaded UI; paired-client read-back; database/audit evidence; negative validation result.</x:v>
      </x:c>
      <x:c r="O426" s="35" t="str">
        <x:v>Use a duplicate submit and one simulated network interruption; one atomic mutation or none, never partial state.</x:v>
      </x:c>
      <x:c r="P426" s="35" t="str">
        <x:v>All expected records and amounts match; no unexplained error or stale state.</x:v>
      </x:c>
    </x:row>
    <x:row r="427">
      <x:c r="A427" s="20" t="str">
        <x:v>RUN-20270319-03</x:v>
      </x:c>
      <x:c r="B427" s="23" t="n">
        <x:v>46465</x:v>
      </x:c>
      <x:c r="C427" s="32" t="n">
        <x:v>3</x:v>
      </x:c>
      <x:c r="D427" s="20" t="str">
        <x:v>Field certification</x:v>
      </x:c>
      <x:c r="E427" s="20" t="str">
        <x:v>Property Manager</x:v>
      </x:c>
      <x:c r="F427" s="20" t="str">
        <x:v>Web</x:v>
      </x:c>
      <x:c r="G427" s="20" t="str">
        <x:v>Manual field-by-field</x:v>
      </x:c>
      <x:c r="H427" s="35" t="str">
        <x:v>Fill, save, reload, edit, and validate every declared field on web/src/lib/components/unit/tabs/ExpensesTab.svelte</x:v>
      </x:c>
      <x:c r="I427" s="35" t="str">
        <x:v>FLD-0188; FLD-0189</x:v>
      </x:c>
      <x:c r="J427" s="35" t="str"/>
      <x:c r="K427" s="35" t="str"/>
      <x:c r="L427" s="35" t="str">
        <x:v>Use the source-derived Field Inventory. Enter non-default realistic values in every control (exp-desc; exp-amount); submit; reload or relaunch; compare every value; edit each mutable field; verify the paired client; then run required, format, length, range, boundary, optional-null, and stale-submit checks.</x:v>
      </x:c>
      <x:c r="M427" s="35" t="str">
        <x:v>All 2 inventoried controls persist exact normalized values, invalid values stay unsaved with clear errors, and hidden/unauthorized fields cannot be altered.</x:v>
      </x:c>
      <x:c r="N427" s="35" t="str">
        <x:v>Before/after form screenshots; FLD IDs; API response; reloaded UI; paired-client read-back; database/audit evidence; negative validation result.</x:v>
      </x:c>
      <x:c r="O427" s="35" t="str">
        <x:v>Use a duplicate submit and one simulated network interruption; one atomic mutation or none, never partial state.</x:v>
      </x:c>
      <x:c r="P427" s="35" t="str">
        <x:v>All expected records and amounts match; no unexplained error or stale state.</x:v>
      </x:c>
    </x:row>
    <x:row r="428">
      <x:c r="A428" s="20" t="str">
        <x:v>RUN-20270319-04</x:v>
      </x:c>
      <x:c r="B428" s="23" t="n">
        <x:v>46465</x:v>
      </x:c>
      <x:c r="C428" s="32" t="n">
        <x:v>4</x:v>
      </x:c>
      <x:c r="D428" s="20" t="str">
        <x:v>Notification certification</x:v>
      </x:c>
      <x:c r="E428" s="20" t="str">
        <x:v>Tenant + Property Manager</x:v>
      </x:c>
      <x:c r="F428" s="20" t="str">
        <x:v>Web + Mobile</x:v>
      </x:c>
      <x:c r="G428" s="20" t="str">
        <x:v>System event + preference/manual verification</x:v>
      </x:c>
      <x:c r="H428" s="35" t="str">
        <x:v>Trigger and prove notification: Security deposit collected</x:v>
      </x:c>
      <x:c r="I428" s="35" t="str">
        <x:v>NTF-009</x:v>
      </x:c>
      <x:c r="J428" s="35" t="str"/>
      <x:c r="K428" s="35" t="str"/>
      <x:c r="L428" s="35" t="str">
        <x:v>Set each recipient's preferences; trigger the real business event; inspect routing and recipient scope; verify unread badge, list item, safe preview, deposit detail deep link, mark-read sync, configured channel outcome, provider failure/retry, and duplicate suppression.</x:v>
      </x:c>
      <x:c r="M428" s="35" t="str">
        <x:v>Exactly the intended recipients receive one correctly routed notification; disabled optional channels stay silent; deep link opens authorized context; read state synchronizes.</x:v>
      </x:c>
      <x:c r="N428" s="35" t="str">
        <x:v>Trigger record; routing decision; outbox/delivery status; web/mobile inbox; lock-screen-safe copy; deep-link target; audit/provider retry evidence.</x:v>
      </x:c>
      <x:c r="O428" s="35" t="str">
        <x:v>Re-run the worker and deliver a duplicate provider callback; no duplicate user-visible event. Attempt the deep link as an unauthorized adjacent role.</x:v>
      </x:c>
      <x:c r="P428" s="35" t="str">
        <x:v>All expected records and amounts match; no unexplained error or stale state.</x:v>
      </x:c>
    </x:row>
    <x:row r="429">
      <x:c r="A429" s="20" t="str">
        <x:v>RUN-20270319-05</x:v>
      </x:c>
      <x:c r="B429" s="23" t="n">
        <x:v>46465</x:v>
      </x:c>
      <x:c r="C429" s="32" t="n">
        <x:v>5</x:v>
      </x:c>
      <x:c r="D429" s="20" t="str">
        <x:v>Surface coverage</x:v>
      </x:c>
      <x:c r="E429" s="20" t="str">
        <x:v>Role appropriate to surface</x:v>
      </x:c>
      <x:c r="F429" s="20" t="str">
        <x:v>Mobile</x:v>
      </x:c>
      <x:c r="G429" s="20" t="str">
        <x:v>Scan/attachment</x:v>
      </x:c>
      <x:c r="H429" s="35" t="str">
        <x:v>Scan mobile pass: Application public form/intake/detail/pipeline</x:v>
      </x:c>
      <x:c r="I429" s="35" t="str">
        <x:v>COV-009</x:v>
      </x:c>
      <x:c r="J429" s="35" t="str"/>
      <x:c r="K429" s="35" t="str"/>
      <x:c r="L429" s="35" t="str">
        <x:v>Submit public and scanned applications; manually create/status one on each client; verify unit scope and fair-housing guard.</x:v>
      </x:c>
      <x:c r="M429" s="35" t="str">
        <x:v>The supported workflow completes and persists correctly; if the capability is absent, the exact gap is proven and queued rather than silently skipped.</x:v>
      </x:c>
      <x:c r="N429" s="35" t="str">
        <x:v>Real UI screenshot/state; submitted values; persisted read-back; cross-client read-back; audit/role/access evidence.</x:v>
      </x:c>
      <x:c r="O429" s="35" t="str">
        <x:v>Use one invalid value, stale-state retry, or duplicate submission relevant to the form; no partial or duplicate mutation.</x:v>
      </x:c>
      <x:c r="P429" s="35" t="str">
        <x:v>All expected records and amounts match; no unexplained error or stale state.</x:v>
      </x:c>
    </x:row>
    <x:row r="430">
      <x:c r="A430" s="20" t="str">
        <x:v>RUN-20270320-01</x:v>
      </x:c>
      <x:c r="B430" s="23" t="n">
        <x:v>46466</x:v>
      </x:c>
      <x:c r="C430" s="32" t="n">
        <x:v>1</x:v>
      </x:c>
      <x:c r="D430" s="20" t="str">
        <x:v>Monthly close</x:v>
      </x:c>
      <x:c r="E430" s="20" t="str">
        <x:v>Workspace Administrator</x:v>
      </x:c>
      <x:c r="F430" s="20" t="str">
        <x:v>Web + Mobile</x:v>
      </x:c>
      <x:c r="G430" s="20" t="str">
        <x:v>Recurring automation + statement match</x:v>
      </x:c>
      <x:c r="H430" s="35" t="str">
        <x:v>March loan payments</x:v>
      </x:c>
      <x:c r="I430" s="35" t="str">
        <x:v>LN001; LN002; LN004; LN005; LN007; LN008; LN010; LN011; LN013; LN014; LN016; LN017; LN019; LN020; LN022; LN023; LN025; LN026; LN028; LN029</x:v>
      </x:c>
      <x:c r="J430" s="35" t="str">
        <x:v>SCN-0507; SCN-0508; SCN-0509; SCN-0510; SCN-0511; SCN-0512; SCN-0513; SCN-0514; SCN-0515; SCN-0516; SCN-0517; SCN-0518; SCN-0519; SCN-0520; SCN-0521; SCN-0522; SCN-0523; SCN-0524; SCN-0525; SCN-0526</x:v>
      </x:c>
      <x:c r="K430" s="35" t="str">
        <x:v>FIN-01156; FIN-01157; FIN-01158; FIN-01159; FIN-01160; FIN-01161; FIN-01162; FIN-01163; FIN-01164; FIN-01165; FIN-01166; FIN-01167; FIN-01168; FIN-01169; FIN-01170; FIN-01171; FIN-01172; FIN-01173; FIN-01174; FIN-01175</x:v>
      </x:c>
      <x:c r="L430" s="35" t="str">
        <x:v>Verify the recurring loan payments; attach/match each statement; compare principal, interest, cash, loan balance, amortization, Property Money view, and Schedule E interest.</x:v>
      </x:c>
      <x:c r="M430" s="35" t="str">
        <x:v>Every payment splits principal and interest once; principal reduces liability, interest is expense, and statement balance matches.</x:v>
      </x:c>
      <x:c r="N430" s="35" t="str">
        <x:v>Loan detail samples on both clients; statement attachment; amortization; Property and year-end reports.</x:v>
      </x:c>
      <x:c r="O430" s="35" t="str">
        <x:v>Attempt a duplicate recurrence run; no second payment or balance movement.</x:v>
      </x:c>
      <x:c r="P430" s="35" t="str">
        <x:v>All expected records and amounts match; no unexplained error or stale state.</x:v>
      </x:c>
    </x:row>
    <x:row r="431">
      <x:c r="A431" s="20" t="str">
        <x:v>RUN-20270322-01</x:v>
      </x:c>
      <x:c r="B431" s="23" t="n">
        <x:v>46468</x:v>
      </x:c>
      <x:c r="C431" s="32" t="n">
        <x:v>1</x:v>
      </x:c>
      <x:c r="D431" s="20" t="str">
        <x:v>Weekly operations</x:v>
      </x:c>
      <x:c r="E431" s="20" t="str">
        <x:v>Property Manager</x:v>
      </x:c>
      <x:c r="F431" s="20" t="str">
        <x:v>Web</x:v>
      </x:c>
      <x:c r="G431" s="20" t="str">
        <x:v>Scan-first</x:v>
      </x:c>
      <x:c r="H431" s="35" t="str">
        <x:v>Create and triage maintenance request</x:v>
      </x:c>
      <x:c r="I431" s="35" t="str">
        <x:v>P005; U005; WO-2027-012</x:v>
      </x:c>
      <x:c r="J431" s="35" t="str">
        <x:v>SCN-0367</x:v>
      </x:c>
      <x:c r="K431" s="35" t="str"/>
      <x:c r="L431" s="35" t="str">
        <x:v>Capture the tenant note/photo; review roof flashing leak; confirm; set responsibility; dispatch Metro Electric; create an appointment and verify the tenant notification.</x:v>
      </x:c>
      <x:c r="M431" s="35" t="str">
        <x:v>Work order, status timeline, responsibility, vendor dispatch, appointment, notification, and Unit context are linked once.</x:v>
      </x:c>
      <x:c r="N431" s="35" t="str">
        <x:v>Scan review; work order detail/timeline; dispatch; appointment; notification; tenant portal view.</x:v>
      </x:c>
      <x:c r="O431" s="35" t="str">
        <x:v>Cancel one dispatch each quarter, reassign once, and prove status/history remains append-only.</x:v>
      </x:c>
      <x:c r="P431" s="35" t="str">
        <x:v>All expected records and amounts match; no unexplained error or stale state.</x:v>
      </x:c>
    </x:row>
    <x:row r="432">
      <x:c r="A432" s="20" t="str">
        <x:v>RUN-20270322-02</x:v>
      </x:c>
      <x:c r="B432" s="23" t="n">
        <x:v>46468</x:v>
      </x:c>
      <x:c r="C432" s="32" t="n">
        <x:v>2</x:v>
      </x:c>
      <x:c r="D432" s="20" t="str">
        <x:v>Role and screen certification</x:v>
      </x:c>
      <x:c r="E432" s="20" t="str">
        <x:v>Leasing Agent</x:v>
      </x:c>
      <x:c r="F432" s="20" t="str">
        <x:v>Web</x:v>
      </x:c>
      <x:c r="G432" s="20" t="str">
        <x:v>Normal persona navigation</x:v>
      </x:c>
      <x:c r="H432" s="35" t="str">
        <x:v>Use every permitted action and state on /leasing/inbox</x:v>
      </x:c>
      <x:c r="I432" s="35" t="str">
        <x:v>SCR-037; ROLE-052</x:v>
      </x:c>
      <x:c r="J432" s="35" t="str"/>
      <x:c r="K432" s="35" t="str"/>
      <x:c r="L43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32" s="35" t="str">
        <x:v>The persona can use every allowed action with only its assigned properties/relationships. Hidden or disabled actions explain why; an adjacent unauthorized persona is denied without metadata leakage.</x:v>
      </x:c>
      <x:c r="N432" s="35" t="str">
        <x:v>Persona/experience; navigation entry; desktop or device screenshots; result state; persisted read-back; audit/history; authorized and denied network result.</x:v>
      </x:c>
      <x:c r="O432" s="35" t="str">
        <x:v>Open the direct URL or deep link with an adjacent unauthorized persona and with stale scope; both fail closed and land safely without mutation.</x:v>
      </x:c>
      <x:c r="P432" s="35" t="str">
        <x:v>All expected records and amounts match; no unexplained error or stale state.</x:v>
      </x:c>
    </x:row>
    <x:row r="433">
      <x:c r="A433" s="20" t="str">
        <x:v>RUN-20270322-03</x:v>
      </x:c>
      <x:c r="B433" s="23" t="n">
        <x:v>46468</x:v>
      </x:c>
      <x:c r="C433" s="32" t="n">
        <x:v>3</x:v>
      </x:c>
      <x:c r="D433" s="20" t="str">
        <x:v>Field certification</x:v>
      </x:c>
      <x:c r="E433" s="20" t="str">
        <x:v>Property Manager</x:v>
      </x:c>
      <x:c r="F433" s="20" t="str">
        <x:v>Web</x:v>
      </x:c>
      <x:c r="G433" s="20" t="str">
        <x:v>Manual field-by-field</x:v>
      </x:c>
      <x:c r="H433" s="35" t="str">
        <x:v>Fill, save, reload, edit, and validate every declared field on web/src/lib/components/unit/tabs/ExpensesTab.svelte</x:v>
      </x:c>
      <x:c r="I433" s="35" t="str">
        <x:v>FLD-0190; FLD-0191; FLD-0192; FLD-0193; FLD-0194</x:v>
      </x:c>
      <x:c r="J433" s="35" t="str"/>
      <x:c r="K433" s="35" t="str"/>
      <x:c r="L433" s="35" t="str">
        <x:v>Use the source-derived Field Inventory. Enter non-default realistic values in every control (createForm.category; exp-cat; Select-5; Select-6; createForm.status); submit; reload or relaunch; compare every value; edit each mutable field; verify the paired client; then run required, format, length, range, boundary, optional-null, and stale-submit checks.</x:v>
      </x:c>
      <x:c r="M433" s="35" t="str">
        <x:v>All 5 inventoried controls persist exact normalized values, invalid values stay unsaved with clear errors, and hidden/unauthorized fields cannot be altered.</x:v>
      </x:c>
      <x:c r="N433" s="35" t="str">
        <x:v>Before/after form screenshots; FLD IDs; API response; reloaded UI; paired-client read-back; database/audit evidence; negative validation result.</x:v>
      </x:c>
      <x:c r="O433" s="35" t="str">
        <x:v>Use a duplicate submit and one simulated network interruption; one atomic mutation or none, never partial state.</x:v>
      </x:c>
      <x:c r="P433" s="35" t="str">
        <x:v>All expected records and amounts match; no unexplained error or stale state.</x:v>
      </x:c>
    </x:row>
    <x:row r="434">
      <x:c r="A434" s="20" t="str">
        <x:v>RUN-20270322-04</x:v>
      </x:c>
      <x:c r="B434" s="23" t="n">
        <x:v>46468</x:v>
      </x:c>
      <x:c r="C434" s="32" t="n">
        <x:v>4</x:v>
      </x:c>
      <x:c r="D434" s="20" t="str">
        <x:v>Surface coverage</x:v>
      </x:c>
      <x:c r="E434" s="20" t="str">
        <x:v>Role appropriate to surface</x:v>
      </x:c>
      <x:c r="F434" s="20" t="str">
        <x:v>Web</x:v>
      </x:c>
      <x:c r="G434" s="20" t="str">
        <x:v>Manual</x:v>
      </x:c>
      <x:c r="H434" s="35" t="str">
        <x:v>Manual web pass: Rental listing and Zillow manual handoff</x:v>
      </x:c>
      <x:c r="I434" s="35" t="str">
        <x:v>COV-010</x:v>
      </x:c>
      <x:c r="J434" s="35" t="str"/>
      <x:c r="K434" s="35" t="str"/>
      <x:c r="L434" s="35" t="str">
        <x:v>Create/edit listing, generate packet, save external URLs, copy content, and verify occupied-unit guard.</x:v>
      </x:c>
      <x:c r="M434" s="35" t="str">
        <x:v>The supported workflow completes and persists correctly; if the capability is absent, the exact gap is proven and queued rather than silently skipped.</x:v>
      </x:c>
      <x:c r="N434" s="35" t="str">
        <x:v>Real UI screenshot/state; submitted values; persisted read-back; cross-client read-back; audit/role/access evidence.</x:v>
      </x:c>
      <x:c r="O434" s="35" t="str">
        <x:v>Use one invalid value, stale-state retry, or duplicate submission relevant to the form; no partial or duplicate mutation.</x:v>
      </x:c>
      <x:c r="P434" s="35" t="str">
        <x:v>All expected records and amounts match; no unexplained error or stale state.</x:v>
      </x:c>
    </x:row>
    <x:row r="435">
      <x:c r="A435" s="20" t="str">
        <x:v>RUN-20270323-01</x:v>
      </x:c>
      <x:c r="B435" s="23" t="n">
        <x:v>46469</x:v>
      </x:c>
      <x:c r="C435" s="32" t="n">
        <x:v>1</x:v>
      </x:c>
      <x:c r="D435" s="20" t="str">
        <x:v>Weekly operations</x:v>
      </x:c>
      <x:c r="E435" s="20" t="str">
        <x:v>Property Manager</x:v>
      </x:c>
      <x:c r="F435" s="20" t="str">
        <x:v>Web</x:v>
      </x:c>
      <x:c r="G435" s="20" t="str">
        <x:v>Scanned receipt/invoice</x:v>
      </x:c>
      <x:c r="H435" s="35" t="str">
        <x:v>Record, review, allocate, and pay operating expense</x:v>
      </x:c>
      <x:c r="I435" s="35" t="str">
        <x:v>P005; U005; WO-2027-012</x:v>
      </x:c>
      <x:c r="J435" s="35" t="str">
        <x:v>SCN-0368</x:v>
      </x:c>
      <x:c r="K435" s="35" t="str">
        <x:v>FIN-01035</x:v>
      </x:c>
      <x:c r="L435" s="35" t="str">
        <x:v>Capture or upload the source; verify vendor, date, scope, category, line items, tax, amount, and work-order link; confirm; open detail; verify attachment; compare Money and Property/Unit views.</x:v>
      </x:c>
      <x:c r="M435" s="35" t="str">
        <x:v>One expense exists at its real operational scope, cash falls once, Schedule E category and allocations agree, and no per-unit copies are created.</x:v>
      </x:c>
      <x:c r="N435" s="35" t="str">
        <x:v>Source preview; review/form; expense detail; line items; Property/Unit ledger; audit; accounting/report delta.</x:v>
      </x:c>
      <x:c r="O435" s="35" t="str">
        <x:v>On marked duplicate-invoice cases, re-upload before confirm and prove the product prevents or clearly warns about duplication.</x:v>
      </x:c>
      <x:c r="P435" s="35" t="str">
        <x:v>All expected records and amounts match; no unexplained error or stale state.</x:v>
      </x:c>
    </x:row>
    <x:row r="436">
      <x:c r="A436" s="20" t="str">
        <x:v>RUN-20270323-02</x:v>
      </x:c>
      <x:c r="B436" s="23" t="n">
        <x:v>46469</x:v>
      </x:c>
      <x:c r="C436" s="32" t="n">
        <x:v>2</x:v>
      </x:c>
      <x:c r="D436" s="20" t="str">
        <x:v>Role and screen certification</x:v>
      </x:c>
      <x:c r="E436" s="20" t="str">
        <x:v>Leasing Agent</x:v>
      </x:c>
      <x:c r="F436" s="20" t="str">
        <x:v>Web</x:v>
      </x:c>
      <x:c r="G436" s="20" t="str">
        <x:v>Normal persona navigation</x:v>
      </x:c>
      <x:c r="H436" s="35" t="str">
        <x:v>Use every permitted action and state on /leasing/pipeline</x:v>
      </x:c>
      <x:c r="I436" s="35" t="str">
        <x:v>SCR-038; ROLE-053</x:v>
      </x:c>
      <x:c r="J436" s="35" t="str"/>
      <x:c r="K436" s="35" t="str"/>
      <x:c r="L43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36" s="35" t="str">
        <x:v>The persona can use every allowed action with only its assigned properties/relationships. Hidden or disabled actions explain why; an adjacent unauthorized persona is denied without metadata leakage.</x:v>
      </x:c>
      <x:c r="N436" s="35" t="str">
        <x:v>Persona/experience; navigation entry; desktop or device screenshots; result state; persisted read-back; audit/history; authorized and denied network result.</x:v>
      </x:c>
      <x:c r="O436" s="35" t="str">
        <x:v>Open the direct URL or deep link with an adjacent unauthorized persona and with stale scope; both fail closed and land safely without mutation.</x:v>
      </x:c>
      <x:c r="P436" s="35" t="str">
        <x:v>All expected records and amounts match; no unexplained error or stale state.</x:v>
      </x:c>
    </x:row>
    <x:row r="437">
      <x:c r="A437" s="20" t="str">
        <x:v>RUN-20270323-03</x:v>
      </x:c>
      <x:c r="B437" s="23" t="n">
        <x:v>46469</x:v>
      </x:c>
      <x:c r="C437" s="32" t="n">
        <x:v>3</x:v>
      </x:c>
      <x:c r="D437" s="20" t="str">
        <x:v>Field certification</x:v>
      </x:c>
      <x:c r="E437" s="20" t="str">
        <x:v>Property Manager</x:v>
      </x:c>
      <x:c r="F437" s="20" t="str">
        <x:v>Web</x:v>
      </x:c>
      <x:c r="G437" s="20" t="str">
        <x:v>Manual field-by-field</x:v>
      </x:c>
      <x:c r="H437" s="35" t="str">
        <x:v>Fill, save, reload, edit, and validate every declared field on web/src/lib/components/unit/tabs/ExpensesTab.svelte</x:v>
      </x:c>
      <x:c r="I437" s="35" t="str">
        <x:v>FLD-0195; FLD-0196; FLD-0197</x:v>
      </x:c>
      <x:c r="J437" s="35" t="str"/>
      <x:c r="K437" s="35" t="str"/>
      <x:c r="L437" s="35" t="str">
        <x:v>Use the source-derived Field Inventory. Enter non-default realistic values in every control (exp-status; Select-9; Select-10); submit; reload or relaunch; compare every value; edit each mutable field; verify the paired client; then run required, format, length, range, boundary, optional-null, and stale-submit checks.</x:v>
      </x:c>
      <x:c r="M437" s="35" t="str">
        <x:v>All 3 inventoried controls persist exact normalized values, invalid values stay unsaved with clear errors, and hidden/unauthorized fields cannot be altered.</x:v>
      </x:c>
      <x:c r="N437" s="35" t="str">
        <x:v>Before/after form screenshots; FLD IDs; API response; reloaded UI; paired-client read-back; database/audit evidence; negative validation result.</x:v>
      </x:c>
      <x:c r="O437" s="35" t="str">
        <x:v>Use a duplicate submit and one simulated network interruption; one atomic mutation or none, never partial state.</x:v>
      </x:c>
      <x:c r="P437" s="35" t="str">
        <x:v>All expected records and amounts match; no unexplained error or stale state.</x:v>
      </x:c>
    </x:row>
    <x:row r="438">
      <x:c r="A438" s="20" t="str">
        <x:v>RUN-20270323-04</x:v>
      </x:c>
      <x:c r="B438" s="23" t="n">
        <x:v>46469</x:v>
      </x:c>
      <x:c r="C438" s="32" t="n">
        <x:v>4</x:v>
      </x:c>
      <x:c r="D438" s="20" t="str">
        <x:v>Field certification</x:v>
      </x:c>
      <x:c r="E438" s="20" t="str">
        <x:v>Property Manager</x:v>
      </x:c>
      <x:c r="F438" s="20" t="str">
        <x:v>Web</x:v>
      </x:c>
      <x:c r="G438" s="20" t="str">
        <x:v>Manual field-by-field</x:v>
      </x:c>
      <x:c r="H438" s="35" t="str">
        <x:v>Fill, save, reload, edit, and validate every declared field on web/src/lib/components/unit/tabs/LeaseTab.svelte</x:v>
      </x:c>
      <x:c r="I438" s="35" t="str">
        <x:v>FLD-0198</x:v>
      </x:c>
      <x:c r="J438" s="35" t="str"/>
      <x:c r="K438" s="35" t="str"/>
      <x:c r="L438" s="35" t="str">
        <x:v>Use the source-derived Field Inventory. Enter non-default realistic values in every control (cancellationReasonCode); submit; reload or relaunch; compare every value; edit each mutable field; verify the paired client; then run required, format, length, range, boundary, optional-null, and stale-submit checks.</x:v>
      </x:c>
      <x:c r="M438" s="35" t="str">
        <x:v>All 1 inventoried controls persist exact normalized values, invalid values stay unsaved with clear errors, and hidden/unauthorized fields cannot be altered.</x:v>
      </x:c>
      <x:c r="N438" s="35" t="str">
        <x:v>Before/after form screenshots; FLD IDs; API response; reloaded UI; paired-client read-back; database/audit evidence; negative validation result.</x:v>
      </x:c>
      <x:c r="O438" s="35" t="str">
        <x:v>Use a duplicate submit and one simulated network interruption; one atomic mutation or none, never partial state.</x:v>
      </x:c>
      <x:c r="P438" s="35" t="str">
        <x:v>All expected records and amounts match; no unexplained error or stale state.</x:v>
      </x:c>
    </x:row>
    <x:row r="439">
      <x:c r="A439" s="20" t="str">
        <x:v>RUN-20270323-05</x:v>
      </x:c>
      <x:c r="B439" s="23" t="n">
        <x:v>46469</x:v>
      </x:c>
      <x:c r="C439" s="32" t="n">
        <x:v>5</x:v>
      </x:c>
      <x:c r="D439" s="20" t="str">
        <x:v>Surface coverage</x:v>
      </x:c>
      <x:c r="E439" s="20" t="str">
        <x:v>Role appropriate to surface</x:v>
      </x:c>
      <x:c r="F439" s="20" t="str">
        <x:v>Mobile</x:v>
      </x:c>
      <x:c r="G439" s="20" t="str">
        <x:v>Manual</x:v>
      </x:c>
      <x:c r="H439" s="35" t="str">
        <x:v>Manual mobile pass: Rental listing and Zillow manual handoff</x:v>
      </x:c>
      <x:c r="I439" s="35" t="str">
        <x:v>COV-010</x:v>
      </x:c>
      <x:c r="J439" s="35" t="str"/>
      <x:c r="K439" s="35" t="str"/>
      <x:c r="L439" s="35" t="str">
        <x:v>Create/edit listing, generate packet, save external URLs, copy content, and verify occupied-unit guard.</x:v>
      </x:c>
      <x:c r="M439" s="35" t="str">
        <x:v>The supported workflow completes and persists correctly; if the capability is absent, the exact gap is proven and queued rather than silently skipped.</x:v>
      </x:c>
      <x:c r="N439" s="35" t="str">
        <x:v>Real UI screenshot/state; submitted values; persisted read-back; cross-client read-back; audit/role/access evidence.</x:v>
      </x:c>
      <x:c r="O439" s="35" t="str">
        <x:v>Use one invalid value, stale-state retry, or duplicate submission relevant to the form; no partial or duplicate mutation.</x:v>
      </x:c>
      <x:c r="P439" s="35" t="str">
        <x:v>All expected records and amounts match; no unexplained error or stale state.</x:v>
      </x:c>
    </x:row>
    <x:row r="440">
      <x:c r="A440" s="20" t="str">
        <x:v>RUN-20270324-01</x:v>
      </x:c>
      <x:c r="B440" s="23" t="n">
        <x:v>46470</x:v>
      </x:c>
      <x:c r="C440" s="32" t="n">
        <x:v>1</x:v>
      </x:c>
      <x:c r="D440" s="20" t="str">
        <x:v>Field certification</x:v>
      </x:c>
      <x:c r="E440" s="20" t="str">
        <x:v>Property Manager</x:v>
      </x:c>
      <x:c r="F440" s="20" t="str">
        <x:v>Web</x:v>
      </x:c>
      <x:c r="G440" s="20" t="str">
        <x:v>Manual field-by-field</x:v>
      </x:c>
      <x:c r="H440" s="35" t="str">
        <x:v>Fill, save, reload, edit, and validate every declared field on web/src/lib/components/unit/tabs/LeaseTab.svelte</x:v>
      </x:c>
      <x:c r="I440" s="35" t="str">
        <x:v>FLD-0199; FLD-0200; FLD-0201; FLD-0202</x:v>
      </x:c>
      <x:c r="J440" s="35" t="str"/>
      <x:c r="K440" s="35" t="str"/>
      <x:c r="L440" s="35" t="str">
        <x:v>Use the source-derived Field Inventory. Enter non-default realistic values in every control (draftCancellationReason; cancellationNote; accessDispositions[access.tenantUserAccessId]; destinationTemplateId); submit; reload or relaunch; compare every value; edit each mutable field; verify the paired client; then run required, format, length, range, boundary, optional-null, and stale-submit checks.</x:v>
      </x:c>
      <x:c r="M440" s="35" t="str">
        <x:v>All 4 inventoried controls persist exact normalized values, invalid values stay unsaved with clear errors, and hidden/unauthorized fields cannot be altered.</x:v>
      </x:c>
      <x:c r="N440" s="35" t="str">
        <x:v>Before/after form screenshots; FLD IDs; API response; reloaded UI; paired-client read-back; database/audit evidence; negative validation result.</x:v>
      </x:c>
      <x:c r="O440" s="35" t="str">
        <x:v>Use a duplicate submit and one simulated network interruption; one atomic mutation or none, never partial state.</x:v>
      </x:c>
      <x:c r="P440" s="35" t="str">
        <x:v>All expected records and amounts match; no unexplained error or stale state.</x:v>
      </x:c>
    </x:row>
    <x:row r="441">
      <x:c r="A441" s="20" t="str">
        <x:v>RUN-20270325-01</x:v>
      </x:c>
      <x:c r="B441" s="23" t="n">
        <x:v>46471</x:v>
      </x:c>
      <x:c r="C441" s="32" t="n">
        <x:v>1</x:v>
      </x:c>
      <x:c r="D441" s="20" t="str">
        <x:v>Monthly close</x:v>
      </x:c>
      <x:c r="E441" s="20" t="str">
        <x:v>Owner + Workspace Administrator</x:v>
      </x:c>
      <x:c r="F441" s="20" t="str">
        <x:v>Web + Mobile owner portal</x:v>
      </x:c>
      <x:c r="G441" s="20" t="str">
        <x:v>Manual approval</x:v>
      </x:c>
      <x:c r="H441" s="35" t="str">
        <x:v>March owner statements and distributions</x:v>
      </x:c>
      <x:c r="I441" s="35" t="str">
        <x:v>O01-O05</x:v>
      </x:c>
      <x:c r="J441" s="35" t="str"/>
      <x:c r="K441" s="35" t="str">
        <x:v>FIN-01176; FIN-01177; FIN-01178; FIN-01179; FIN-01180</x:v>
      </x:c>
      <x:c r="L441" s="35" t="str">
        <x:v>Generate owner statements; review income/expense allocations; approve distributions; record the bank export; open statements from owner portal on web and mobile.</x:v>
      </x:c>
      <x:c r="M441" s="35" t="str">
        <x:v>Five owner statements agree with Property/accounting totals and five distributions reduce cash/equity distributions without becoming expenses.</x:v>
      </x:c>
      <x:c r="N441" s="35" t="str">
        <x:v>Statements; approvals; owner portal PDFs; distribution rows; bank references; audit.</x:v>
      </x:c>
      <x:c r="O441" s="35" t="str">
        <x:v>Reject one draft distribution before approval each quarter and prove no cash event is posted.</x:v>
      </x:c>
      <x:c r="P441" s="35" t="str">
        <x:v>All expected records and amounts match; no unexplained error or stale state.</x:v>
      </x:c>
    </x:row>
    <x:row r="442">
      <x:c r="A442" s="20" t="str">
        <x:v>RUN-20270325-02</x:v>
      </x:c>
      <x:c r="B442" s="23" t="n">
        <x:v>46471</x:v>
      </x:c>
      <x:c r="C442" s="32" t="n">
        <x:v>2</x:v>
      </x:c>
      <x:c r="D442" s="20" t="str">
        <x:v>Leasing</x:v>
      </x:c>
      <x:c r="E442" s="20" t="str">
        <x:v>Property Manager</x:v>
      </x:c>
      <x:c r="F442" s="20" t="str">
        <x:v>Mobile</x:v>
      </x:c>
      <x:c r="G442" s="20" t="str">
        <x:v>Scan + manual classification</x:v>
      </x:c>
      <x:c r="H442" s="35" t="str">
        <x:v>Collect and classify security deposit</x:v>
      </x:c>
      <x:c r="I442" s="35" t="str">
        <x:v>L037; U005</x:v>
      </x:c>
      <x:c r="J442" s="35" t="str">
        <x:v>SCN-0911</x:v>
      </x:c>
      <x:c r="K442" s="35" t="str">
        <x:v>FIN-01650</x:v>
      </x:c>
      <x:c r="L442" s="35" t="str">
        <x:v>Capture the receipt; verify payer/amount; classify to the security-deposit account rather than rent; confirm trust account, liability, lease provenance, and receipt.</x:v>
      </x:c>
      <x:c r="M442" s="35" t="str">
        <x:v>Deposit trust cash and liability rise equally; tenant rent AR and rental income do not change.</x:v>
      </x:c>
      <x:c r="N442" s="35" t="str">
        <x:v>Scan review; deposit register; tenant account provenance; trust cash; accounting checks; receipt.</x:v>
      </x:c>
      <x:c r="O442" s="35" t="str">
        <x:v>Try to classify the deposit as rent, cancel, then classify correctly; no abandoned financial row remains.</x:v>
      </x:c>
      <x:c r="P442" s="35" t="str">
        <x:v>All expected records and amounts match; no unexplained error or stale state.</x:v>
      </x:c>
    </x:row>
    <x:row r="443">
      <x:c r="A443" s="20" t="str">
        <x:v>RUN-20270325-03</x:v>
      </x:c>
      <x:c r="B443" s="23" t="n">
        <x:v>46471</x:v>
      </x:c>
      <x:c r="C443" s="32" t="n">
        <x:v>3</x:v>
      </x:c>
      <x:c r="D443" s="20" t="str">
        <x:v>Role and screen certification</x:v>
      </x:c>
      <x:c r="E443" s="20" t="str">
        <x:v>Leasing Agent</x:v>
      </x:c>
      <x:c r="F443" s="20" t="str">
        <x:v>Web</x:v>
      </x:c>
      <x:c r="G443" s="20" t="str">
        <x:v>Normal persona navigation</x:v>
      </x:c>
      <x:c r="H443" s="35" t="str">
        <x:v>Use every permitted action and state on /leasing/rentals</x:v>
      </x:c>
      <x:c r="I443" s="35" t="str">
        <x:v>SCR-039; ROLE-054</x:v>
      </x:c>
      <x:c r="J443" s="35" t="str"/>
      <x:c r="K443" s="35" t="str"/>
      <x:c r="L44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43" s="35" t="str">
        <x:v>The persona can use every allowed action with only its assigned properties/relationships. Hidden or disabled actions explain why; an adjacent unauthorized persona is denied without metadata leakage.</x:v>
      </x:c>
      <x:c r="N443" s="35" t="str">
        <x:v>Persona/experience; navigation entry; desktop or device screenshots; result state; persisted read-back; audit/history; authorized and denied network result.</x:v>
      </x:c>
      <x:c r="O443" s="35" t="str">
        <x:v>Open the direct URL or deep link with an adjacent unauthorized persona and with stale scope; both fail closed and land safely without mutation.</x:v>
      </x:c>
      <x:c r="P443" s="35" t="str">
        <x:v>All expected records and amounts match; no unexplained error or stale state.</x:v>
      </x:c>
    </x:row>
    <x:row r="444">
      <x:c r="A444" s="20" t="str">
        <x:v>RUN-20270325-04</x:v>
      </x:c>
      <x:c r="B444" s="23" t="n">
        <x:v>46471</x:v>
      </x:c>
      <x:c r="C444" s="32" t="n">
        <x:v>4</x:v>
      </x:c>
      <x:c r="D444" s="20" t="str">
        <x:v>Field certification</x:v>
      </x:c>
      <x:c r="E444" s="20" t="str">
        <x:v>Property Manager</x:v>
      </x:c>
      <x:c r="F444" s="20" t="str">
        <x:v>Web</x:v>
      </x:c>
      <x:c r="G444" s="20" t="str">
        <x:v>Manual field-by-field</x:v>
      </x:c>
      <x:c r="H444" s="35" t="str">
        <x:v>Fill, save, reload, edit, and validate every declared field on web/src/lib/components/unit/tabs/LeaseTab.svelte</x:v>
      </x:c>
      <x:c r="I444" s="35" t="str">
        <x:v>FLD-0203; FLD-0204; FLD-0205; FLD-0206; FLD-0207</x:v>
      </x:c>
      <x:c r="J444" s="35" t="str"/>
      <x:c r="K444" s="35" t="str"/>
      <x:c r="L444" s="35" t="str">
        <x:v>Use the source-derived Field Inventory. Enter non-default realistic values in every control (effectiveOn; plannedDestinationPossessionAtUtc; giveDestinationPossessionNow; possessionAgreementExceptionReason; carryTenantBalance); submit; reload or relaunch; compare every value; edit each mutable field; verify the paired client; then run required, format, length, range, boundary, optional-null, and stale-submit checks.</x:v>
      </x:c>
      <x:c r="M444" s="35" t="str">
        <x:v>All 5 inventoried controls persist exact normalized values, invalid values stay unsaved with clear errors, and hidden/unauthorized fields cannot be altered.</x:v>
      </x:c>
      <x:c r="N444" s="35" t="str">
        <x:v>Before/after form screenshots; FLD IDs; API response; reloaded UI; paired-client read-back; database/audit evidence; negative validation result.</x:v>
      </x:c>
      <x:c r="O444" s="35" t="str">
        <x:v>Use a duplicate submit and one simulated network interruption; one atomic mutation or none, never partial state.</x:v>
      </x:c>
      <x:c r="P444" s="35" t="str">
        <x:v>All expected records and amounts match; no unexplained error or stale state.</x:v>
      </x:c>
    </x:row>
    <x:row r="445">
      <x:c r="A445" s="20" t="str">
        <x:v>RUN-20270325-05</x:v>
      </x:c>
      <x:c r="B445" s="23" t="n">
        <x:v>46471</x:v>
      </x:c>
      <x:c r="C445" s="32" t="n">
        <x:v>5</x:v>
      </x:c>
      <x:c r="D445" s="20" t="str">
        <x:v>Lifecycle certification</x:v>
      </x:c>
      <x:c r="E445" s="20" t="str">
        <x:v>Leasing Agent</x:v>
      </x:c>
      <x:c r="F445" s="20" t="str">
        <x:v>Web + Mobile</x:v>
      </x:c>
      <x:c r="G445" s="20" t="str">
        <x:v>Manual + scan/attachment where supported</x:v>
      </x:c>
      <x:c r="H445" s="35" t="str">
        <x:v>Complete the full create/read/edit/lifecycle/delete-safe pass for Application</x:v>
      </x:c>
      <x:c r="I445" s="35" t="str">
        <x:v>CRUD-007</x:v>
      </x:c>
      <x:c r="J445" s="35" t="str"/>
      <x:c r="K445" s="35" t="str"/>
      <x:c r="L445" s="35" t="str">
        <x:v>Use a dedicated disposable QA record and execute: public submit; scan; edit; status changes; withdraw/reject; duplicate protection. Fill every field referenced by field-inventory.csv. Verify confirmation copy, cancel path, final path, reload, other-client state, history, and role denial.</x:v>
      </x:c>
      <x:c r="M445" s="35" t="str">
        <x:v>Every supported transition succeeds exactly once; forbidden destructive actions are guarded; reversible deletion/deactivation works; financial and historical truth is preserved.</x:v>
      </x:c>
      <x:c r="N445" s="35" t="str">
        <x:v>Entity before/after; both clients; all FLD IDs; audit/history; notifications; authorized and unauthorized personas; API/DB state.</x:v>
      </x:c>
      <x:c r="O445" s="35" t="str">
        <x:v>Cancel the first destructive confirmation, then repeat and confirm; retry the mutation once; no double transition or orphan.</x:v>
      </x:c>
      <x:c r="P445" s="35" t="str">
        <x:v>All expected records and amounts match; no unexplained error or stale state.</x:v>
      </x:c>
    </x:row>
    <x:row r="446">
      <x:c r="A446" s="20" t="str">
        <x:v>RUN-20270325-06</x:v>
      </x:c>
      <x:c r="B446" s="23" t="n">
        <x:v>46471</x:v>
      </x:c>
      <x:c r="C446" s="32" t="n">
        <x:v>6</x:v>
      </x:c>
      <x:c r="D446" s="20" t="str">
        <x:v>Surface coverage</x:v>
      </x:c>
      <x:c r="E446" s="20" t="str">
        <x:v>Role appropriate to surface</x:v>
      </x:c>
      <x:c r="F446" s="20" t="str">
        <x:v>Web</x:v>
      </x:c>
      <x:c r="G446" s="20" t="str">
        <x:v>Scan/attachment</x:v>
      </x:c>
      <x:c r="H446" s="35" t="str">
        <x:v>Scan web pass: Rental listing and Zillow manual handoff</x:v>
      </x:c>
      <x:c r="I446" s="35" t="str">
        <x:v>COV-010</x:v>
      </x:c>
      <x:c r="J446" s="35" t="str"/>
      <x:c r="K446" s="35" t="str"/>
      <x:c r="L446" s="35" t="str">
        <x:v>Create/edit listing, generate packet, save external URLs, copy content, and verify occupied-unit guard.</x:v>
      </x:c>
      <x:c r="M446" s="35" t="str">
        <x:v>The supported workflow completes and persists correctly; if the capability is absent, the exact gap is proven and queued rather than silently skipped.</x:v>
      </x:c>
      <x:c r="N446" s="35" t="str">
        <x:v>Real UI screenshot/state; submitted values; persisted read-back; cross-client read-back; audit/role/access evidence.</x:v>
      </x:c>
      <x:c r="O446" s="35" t="str">
        <x:v>Use one invalid value, stale-state retry, or duplicate submission relevant to the form; no partial or duplicate mutation.</x:v>
      </x:c>
      <x:c r="P446" s="35" t="str">
        <x:v>All expected records and amounts match; no unexplained error or stale state.</x:v>
      </x:c>
    </x:row>
    <x:row r="447">
      <x:c r="A447" s="20" t="str">
        <x:v>RUN-20270326-01</x:v>
      </x:c>
      <x:c r="B447" s="23" t="n">
        <x:v>46472</x:v>
      </x:c>
      <x:c r="C447" s="32" t="n">
        <x:v>1</x:v>
      </x:c>
      <x:c r="D447" s="20" t="str">
        <x:v>Role and screen certification</x:v>
      </x:c>
      <x:c r="E447" s="20" t="str">
        <x:v>Workspace Administrator</x:v>
      </x:c>
      <x:c r="F447" s="20" t="str">
        <x:v>Web</x:v>
      </x:c>
      <x:c r="G447" s="20" t="str">
        <x:v>Normal persona navigation</x:v>
      </x:c>
      <x:c r="H447" s="35" t="str">
        <x:v>Use every permitted action and state on /maintenance</x:v>
      </x:c>
      <x:c r="I447" s="35" t="str">
        <x:v>SCR-040; ROLE-055</x:v>
      </x:c>
      <x:c r="J447" s="35" t="str"/>
      <x:c r="K447" s="35" t="str"/>
      <x:c r="L44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47" s="35" t="str">
        <x:v>The persona can use every allowed action with only its assigned properties/relationships. Hidden or disabled actions explain why; an adjacent unauthorized persona is denied without metadata leakage.</x:v>
      </x:c>
      <x:c r="N447" s="35" t="str">
        <x:v>Persona/experience; navigation entry; desktop or device screenshots; result state; persisted read-back; audit/history; authorized and denied network result.</x:v>
      </x:c>
      <x:c r="O447" s="35" t="str">
        <x:v>Open the direct URL or deep link with an adjacent unauthorized persona and with stale scope; both fail closed and land safely without mutation.</x:v>
      </x:c>
      <x:c r="P447" s="35" t="str">
        <x:v>All expected records and amounts match; no unexplained error or stale state.</x:v>
      </x:c>
    </x:row>
    <x:row r="448">
      <x:c r="A448" s="20" t="str">
        <x:v>RUN-20270326-02</x:v>
      </x:c>
      <x:c r="B448" s="23" t="n">
        <x:v>46472</x:v>
      </x:c>
      <x:c r="C448" s="32" t="n">
        <x:v>2</x:v>
      </x:c>
      <x:c r="D448" s="20" t="str">
        <x:v>Role and screen certification</x:v>
      </x:c>
      <x:c r="E448" s="20" t="str">
        <x:v>Property Manager</x:v>
      </x:c>
      <x:c r="F448" s="20" t="str">
        <x:v>Web</x:v>
      </x:c>
      <x:c r="G448" s="20" t="str">
        <x:v>Normal persona navigation</x:v>
      </x:c>
      <x:c r="H448" s="35" t="str">
        <x:v>Use every permitted action and state on /maintenance</x:v>
      </x:c>
      <x:c r="I448" s="35" t="str">
        <x:v>SCR-040; ROLE-056</x:v>
      </x:c>
      <x:c r="J448" s="35" t="str"/>
      <x:c r="K448" s="35" t="str"/>
      <x:c r="L44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48" s="35" t="str">
        <x:v>The persona can use every allowed action with only its assigned properties/relationships. Hidden or disabled actions explain why; an adjacent unauthorized persona is denied without metadata leakage.</x:v>
      </x:c>
      <x:c r="N448" s="35" t="str">
        <x:v>Persona/experience; navigation entry; desktop or device screenshots; result state; persisted read-back; audit/history; authorized and denied network result.</x:v>
      </x:c>
      <x:c r="O448" s="35" t="str">
        <x:v>Open the direct URL or deep link with an adjacent unauthorized persona and with stale scope; both fail closed and land safely without mutation.</x:v>
      </x:c>
      <x:c r="P448" s="35" t="str">
        <x:v>All expected records and amounts match; no unexplained error or stale state.</x:v>
      </x:c>
    </x:row>
    <x:row r="449">
      <x:c r="A449" s="20" t="str">
        <x:v>RUN-20270326-03</x:v>
      </x:c>
      <x:c r="B449" s="23" t="n">
        <x:v>46472</x:v>
      </x:c>
      <x:c r="C449" s="32" t="n">
        <x:v>3</x:v>
      </x:c>
      <x:c r="D449" s="20" t="str">
        <x:v>Field certification</x:v>
      </x:c>
      <x:c r="E449" s="20" t="str">
        <x:v>Property Manager</x:v>
      </x:c>
      <x:c r="F449" s="20" t="str">
        <x:v>Web</x:v>
      </x:c>
      <x:c r="G449" s="20" t="str">
        <x:v>Manual field-by-field</x:v>
      </x:c>
      <x:c r="H449" s="35" t="str">
        <x:v>Fill, save, reload, edit, and validate every declared field on web/src/lib/components/unit/tabs/LeaseTab.svelte</x:v>
      </x:c>
      <x:c r="I449" s="35" t="str">
        <x:v>FLD-0208; FLD-0209; FLD-0210; FLD-0211</x:v>
      </x:c>
      <x:c r="J449" s="35" t="str"/>
      <x:c r="K449" s="35" t="str"/>
      <x:c r="L449" s="35" t="str">
        <x:v>Use the source-derived Field Inventory. Enter non-default realistic values in every control (carrySecurityDeposit; transferReason; closeReasonCode; closeNote); submit; reload or relaunch; compare every value; edit each mutable field; verify the paired client; then run required, format, length, range, boundary, optional-null, and stale-submit checks.</x:v>
      </x:c>
      <x:c r="M449" s="35" t="str">
        <x:v>All 4 inventoried controls persist exact normalized values, invalid values stay unsaved with clear errors, and hidden/unauthorized fields cannot be altered.</x:v>
      </x:c>
      <x:c r="N449" s="35" t="str">
        <x:v>Before/after form screenshots; FLD IDs; API response; reloaded UI; paired-client read-back; database/audit evidence; negative validation result.</x:v>
      </x:c>
      <x:c r="O449" s="35" t="str">
        <x:v>Use a duplicate submit and one simulated network interruption; one atomic mutation or none, never partial state.</x:v>
      </x:c>
      <x:c r="P449" s="35" t="str">
        <x:v>All expected records and amounts match; no unexplained error or stale state.</x:v>
      </x:c>
    </x:row>
    <x:row r="450">
      <x:c r="A450" s="20" t="str">
        <x:v>RUN-20270326-04</x:v>
      </x:c>
      <x:c r="B450" s="23" t="n">
        <x:v>46472</x:v>
      </x:c>
      <x:c r="C450" s="32" t="n">
        <x:v>4</x:v>
      </x:c>
      <x:c r="D450" s="20" t="str">
        <x:v>Notification certification</x:v>
      </x:c>
      <x:c r="E450" s="20" t="str">
        <x:v>Tenant + Property Manager</x:v>
      </x:c>
      <x:c r="F450" s="20" t="str">
        <x:v>Web + Mobile</x:v>
      </x:c>
      <x:c r="G450" s="20" t="str">
        <x:v>System event + preference/manual verification</x:v>
      </x:c>
      <x:c r="H450" s="35" t="str">
        <x:v>Trigger and prove notification: Deposit disposition ready</x:v>
      </x:c>
      <x:c r="I450" s="35" t="str">
        <x:v>NTF-010</x:v>
      </x:c>
      <x:c r="J450" s="35" t="str"/>
      <x:c r="K450" s="35" t="str"/>
      <x:c r="L450" s="35" t="str">
        <x:v>Set each recipient's preferences; trigger the real business event; inspect routing and recipient scope; verify unread badge, list item, safe preview, deposit disposition deep link, mark-read sync, configured channel outcome, provider failure/retry, and duplicate suppression.</x:v>
      </x:c>
      <x:c r="M450" s="35" t="str">
        <x:v>Exactly the intended recipients receive one correctly routed notification; disabled optional channels stay silent; deep link opens authorized context; read state synchronizes.</x:v>
      </x:c>
      <x:c r="N450" s="35" t="str">
        <x:v>Trigger record; routing decision; outbox/delivery status; web/mobile inbox; lock-screen-safe copy; deep-link target; audit/provider retry evidence.</x:v>
      </x:c>
      <x:c r="O450" s="35" t="str">
        <x:v>Re-run the worker and deliver a duplicate provider callback; no duplicate user-visible event. Attempt the deep link as an unauthorized adjacent role.</x:v>
      </x:c>
      <x:c r="P450" s="35" t="str">
        <x:v>All expected records and amounts match; no unexplained error or stale state.</x:v>
      </x:c>
    </x:row>
    <x:row r="451">
      <x:c r="A451" s="20" t="str">
        <x:v>RUN-20270326-05</x:v>
      </x:c>
      <x:c r="B451" s="23" t="n">
        <x:v>46472</x:v>
      </x:c>
      <x:c r="C451" s="32" t="n">
        <x:v>5</x:v>
      </x:c>
      <x:c r="D451" s="20" t="str">
        <x:v>Surface coverage</x:v>
      </x:c>
      <x:c r="E451" s="20" t="str">
        <x:v>Role appropriate to surface</x:v>
      </x:c>
      <x:c r="F451" s="20" t="str">
        <x:v>Mobile</x:v>
      </x:c>
      <x:c r="G451" s="20" t="str">
        <x:v>Scan/attachment</x:v>
      </x:c>
      <x:c r="H451" s="35" t="str">
        <x:v>Scan mobile pass: Rental listing and Zillow manual handoff</x:v>
      </x:c>
      <x:c r="I451" s="35" t="str">
        <x:v>COV-010</x:v>
      </x:c>
      <x:c r="J451" s="35" t="str"/>
      <x:c r="K451" s="35" t="str"/>
      <x:c r="L451" s="35" t="str">
        <x:v>Create/edit listing, generate packet, save external URLs, copy content, and verify occupied-unit guard.</x:v>
      </x:c>
      <x:c r="M451" s="35" t="str">
        <x:v>The supported workflow completes and persists correctly; if the capability is absent, the exact gap is proven and queued rather than silently skipped.</x:v>
      </x:c>
      <x:c r="N451" s="35" t="str">
        <x:v>Real UI screenshot/state; submitted values; persisted read-back; cross-client read-back; audit/role/access evidence.</x:v>
      </x:c>
      <x:c r="O451" s="35" t="str">
        <x:v>Use one invalid value, stale-state retry, or duplicate submission relevant to the form; no partial or duplicate mutation.</x:v>
      </x:c>
      <x:c r="P451" s="35" t="str">
        <x:v>All expected records and amounts match; no unexplained error or stale state.</x:v>
      </x:c>
    </x:row>
    <x:row r="452">
      <x:c r="A452" s="20" t="str">
        <x:v>RUN-20270328-01</x:v>
      </x:c>
      <x:c r="B452" s="23" t="n">
        <x:v>46474</x:v>
      </x:c>
      <x:c r="C452" s="32" t="n">
        <x:v>1</x:v>
      </x:c>
      <x:c r="D452" s="20" t="str">
        <x:v>Weekly operations</x:v>
      </x:c>
      <x:c r="E452" s="20" t="str">
        <x:v>Property Manager</x:v>
      </x:c>
      <x:c r="F452" s="20" t="str">
        <x:v>Mobile</x:v>
      </x:c>
      <x:c r="G452" s="20" t="str">
        <x:v>Scanned receipt/invoice</x:v>
      </x:c>
      <x:c r="H452" s="35" t="str">
        <x:v>Record, review, allocate, and pay operating expense</x:v>
      </x:c>
      <x:c r="I452" s="35" t="str">
        <x:v>P001; Property scope; </x:v>
      </x:c>
      <x:c r="J452" s="35" t="str">
        <x:v>SCN-0790</x:v>
      </x:c>
      <x:c r="K452" s="35" t="str">
        <x:v>FIN-01501</x:v>
      </x:c>
      <x:c r="L452" s="35" t="str">
        <x:v>Capture or upload the source; verify vendor, date, scope, category, line items, tax, amount, and work-order link; confirm; open detail; verify attachment; compare Money and Property/Unit views.</x:v>
      </x:c>
      <x:c r="M452" s="35" t="str">
        <x:v>One expense exists at its real operational scope, cash falls once, Schedule E category and allocations agree, and no per-unit copies are created.</x:v>
      </x:c>
      <x:c r="N452" s="35" t="str">
        <x:v>Source preview; review/form; expense detail; line items; Property/Unit ledger; audit; accounting/report delta.</x:v>
      </x:c>
      <x:c r="O452" s="35" t="str">
        <x:v>On marked duplicate-invoice cases, re-upload before confirm and prove the product prevents or clearly warns about duplication.</x:v>
      </x:c>
      <x:c r="P452" s="35" t="str">
        <x:v>All expected records and amounts match; no unexplained error or stale state.</x:v>
      </x:c>
    </x:row>
    <x:row r="453">
      <x:c r="A453" s="20" t="str">
        <x:v>RUN-20270328-02</x:v>
      </x:c>
      <x:c r="B453" s="23" t="n">
        <x:v>46474</x:v>
      </x:c>
      <x:c r="C453" s="32" t="n">
        <x:v>2</x:v>
      </x:c>
      <x:c r="D453" s="20" t="str">
        <x:v>Weekly operations</x:v>
      </x:c>
      <x:c r="E453" s="20" t="str">
        <x:v>Property Manager</x:v>
      </x:c>
      <x:c r="F453" s="20" t="str">
        <x:v>Web</x:v>
      </x:c>
      <x:c r="G453" s="20" t="str">
        <x:v>Scanned receipt/invoice</x:v>
      </x:c>
      <x:c r="H453" s="35" t="str">
        <x:v>Record, review, allocate, and pay operating expense</x:v>
      </x:c>
      <x:c r="I453" s="35" t="str">
        <x:v>P002; Property scope; </x:v>
      </x:c>
      <x:c r="J453" s="35" t="str">
        <x:v>SCN-0795</x:v>
      </x:c>
      <x:c r="K453" s="35" t="str">
        <x:v>FIN-01506</x:v>
      </x:c>
      <x:c r="L453" s="35" t="str">
        <x:v>Capture or upload the source; verify vendor, date, scope, category, line items, tax, amount, and work-order link; confirm; open detail; verify attachment; compare Money and Property/Unit views.</x:v>
      </x:c>
      <x:c r="M453" s="35" t="str">
        <x:v>One expense exists at its real operational scope, cash falls once, Schedule E category and allocations agree, and no per-unit copies are created.</x:v>
      </x:c>
      <x:c r="N453" s="35" t="str">
        <x:v>Source preview; review/form; expense detail; line items; Property/Unit ledger; audit; accounting/report delta.</x:v>
      </x:c>
      <x:c r="O453" s="35" t="str">
        <x:v>On marked duplicate-invoice cases, re-upload before confirm and prove the product prevents or clearly warns about duplication.</x:v>
      </x:c>
      <x:c r="P453" s="35" t="str">
        <x:v>All expected records and amounts match; no unexplained error or stale state.</x:v>
      </x:c>
    </x:row>
    <x:row r="454">
      <x:c r="A454" s="20" t="str">
        <x:v>RUN-20270328-03</x:v>
      </x:c>
      <x:c r="B454" s="23" t="n">
        <x:v>46474</x:v>
      </x:c>
      <x:c r="C454" s="32" t="n">
        <x:v>3</x:v>
      </x:c>
      <x:c r="D454" s="20" t="str">
        <x:v>Weekly operations</x:v>
      </x:c>
      <x:c r="E454" s="20" t="str">
        <x:v>Property Manager</x:v>
      </x:c>
      <x:c r="F454" s="20" t="str">
        <x:v>Mobile</x:v>
      </x:c>
      <x:c r="G454" s="20" t="str">
        <x:v>Scanned receipt/invoice</x:v>
      </x:c>
      <x:c r="H454" s="35" t="str">
        <x:v>Record, review, allocate, and pay operating expense</x:v>
      </x:c>
      <x:c r="I454" s="35" t="str">
        <x:v>P003; Property scope; </x:v>
      </x:c>
      <x:c r="J454" s="35" t="str">
        <x:v>SCN-0800</x:v>
      </x:c>
      <x:c r="K454" s="35" t="str">
        <x:v>FIN-01511</x:v>
      </x:c>
      <x:c r="L454" s="35" t="str">
        <x:v>Capture or upload the source; verify vendor, date, scope, category, line items, tax, amount, and work-order link; confirm; open detail; verify attachment; compare Money and Property/Unit views.</x:v>
      </x:c>
      <x:c r="M454" s="35" t="str">
        <x:v>One expense exists at its real operational scope, cash falls once, Schedule E category and allocations agree, and no per-unit copies are created.</x:v>
      </x:c>
      <x:c r="N454" s="35" t="str">
        <x:v>Source preview; review/form; expense detail; line items; Property/Unit ledger; audit; accounting/report delta.</x:v>
      </x:c>
      <x:c r="O454" s="35" t="str">
        <x:v>On marked duplicate-invoice cases, re-upload before confirm and prove the product prevents or clearly warns about duplication.</x:v>
      </x:c>
      <x:c r="P454" s="35" t="str">
        <x:v>All expected records and amounts match; no unexplained error or stale state.</x:v>
      </x:c>
    </x:row>
    <x:row r="455">
      <x:c r="A455" s="20" t="str">
        <x:v>RUN-20270328-04</x:v>
      </x:c>
      <x:c r="B455" s="23" t="n">
        <x:v>46474</x:v>
      </x:c>
      <x:c r="C455" s="32" t="n">
        <x:v>4</x:v>
      </x:c>
      <x:c r="D455" s="20" t="str">
        <x:v>Weekly operations</x:v>
      </x:c>
      <x:c r="E455" s="20" t="str">
        <x:v>Property Manager</x:v>
      </x:c>
      <x:c r="F455" s="20" t="str">
        <x:v>Web</x:v>
      </x:c>
      <x:c r="G455" s="20" t="str">
        <x:v>Scanned receipt/invoice</x:v>
      </x:c>
      <x:c r="H455" s="35" t="str">
        <x:v>Record, review, allocate, and pay operating expense</x:v>
      </x:c>
      <x:c r="I455" s="35" t="str">
        <x:v>P004; Property scope; </x:v>
      </x:c>
      <x:c r="J455" s="35" t="str">
        <x:v>SCN-0805</x:v>
      </x:c>
      <x:c r="K455" s="35" t="str">
        <x:v>FIN-01516</x:v>
      </x:c>
      <x:c r="L455" s="35" t="str">
        <x:v>Capture or upload the source; verify vendor, date, scope, category, line items, tax, amount, and work-order link; confirm; open detail; verify attachment; compare Money and Property/Unit views.</x:v>
      </x:c>
      <x:c r="M455" s="35" t="str">
        <x:v>One expense exists at its real operational scope, cash falls once, Schedule E category and allocations agree, and no per-unit copies are created.</x:v>
      </x:c>
      <x:c r="N455" s="35" t="str">
        <x:v>Source preview; review/form; expense detail; line items; Property/Unit ledger; audit; accounting/report delta.</x:v>
      </x:c>
      <x:c r="O455" s="35" t="str">
        <x:v>On marked duplicate-invoice cases, re-upload before confirm and prove the product prevents or clearly warns about duplication.</x:v>
      </x:c>
      <x:c r="P455" s="35" t="str">
        <x:v>All expected records and amounts match; no unexplained error or stale state.</x:v>
      </x:c>
    </x:row>
    <x:row r="456">
      <x:c r="A456" s="20" t="str">
        <x:v>RUN-20270328-05</x:v>
      </x:c>
      <x:c r="B456" s="23" t="n">
        <x:v>46474</x:v>
      </x:c>
      <x:c r="C456" s="32" t="n">
        <x:v>5</x:v>
      </x:c>
      <x:c r="D456" s="20" t="str">
        <x:v>Weekly operations</x:v>
      </x:c>
      <x:c r="E456" s="20" t="str">
        <x:v>Property Manager</x:v>
      </x:c>
      <x:c r="F456" s="20" t="str">
        <x:v>Mobile</x:v>
      </x:c>
      <x:c r="G456" s="20" t="str">
        <x:v>Manual web form</x:v>
      </x:c>
      <x:c r="H456" s="35" t="str">
        <x:v>Record, review, allocate, and pay operating expense</x:v>
      </x:c>
      <x:c r="I456" s="35" t="str">
        <x:v>P005; Property scope; </x:v>
      </x:c>
      <x:c r="J456" s="35" t="str"/>
      <x:c r="K456" s="35" t="str">
        <x:v>FIN-01521</x:v>
      </x:c>
      <x:c r="L456" s="35" t="str">
        <x:v>Capture or upload the source; verify vendor, date, scope, category, line items, tax, amount, and work-order link; confirm; open detail; verify attachment; compare Money and Property/Unit views.</x:v>
      </x:c>
      <x:c r="M456" s="35" t="str">
        <x:v>One expense exists at its real operational scope, cash falls once, Schedule E category and allocations agree, and no per-unit copies are created.</x:v>
      </x:c>
      <x:c r="N456" s="35" t="str">
        <x:v>Source preview; review/form; expense detail; line items; Property/Unit ledger; audit; accounting/report delta.</x:v>
      </x:c>
      <x:c r="O456" s="35" t="str">
        <x:v>On marked duplicate-invoice cases, re-upload before confirm and prove the product prevents or clearly warns about duplication.</x:v>
      </x:c>
      <x:c r="P456" s="35" t="str">
        <x:v>All expected records and amounts match; no unexplained error or stale state.</x:v>
      </x:c>
    </x:row>
    <x:row r="457">
      <x:c r="A457" s="20" t="str">
        <x:v>RUN-20270328-06</x:v>
      </x:c>
      <x:c r="B457" s="23" t="n">
        <x:v>46474</x:v>
      </x:c>
      <x:c r="C457" s="32" t="n">
        <x:v>6</x:v>
      </x:c>
      <x:c r="D457" s="20" t="str">
        <x:v>Weekly operations</x:v>
      </x:c>
      <x:c r="E457" s="20" t="str">
        <x:v>Property Manager</x:v>
      </x:c>
      <x:c r="F457" s="20" t="str">
        <x:v>Web</x:v>
      </x:c>
      <x:c r="G457" s="20" t="str">
        <x:v>Scanned receipt/invoice</x:v>
      </x:c>
      <x:c r="H457" s="35" t="str">
        <x:v>Record, review, allocate, and pay operating expense</x:v>
      </x:c>
      <x:c r="I457" s="35" t="str">
        <x:v>P006; Property scope; </x:v>
      </x:c>
      <x:c r="J457" s="35" t="str">
        <x:v>SCN-0810</x:v>
      </x:c>
      <x:c r="K457" s="35" t="str">
        <x:v>FIN-01526</x:v>
      </x:c>
      <x:c r="L457" s="35" t="str">
        <x:v>Capture or upload the source; verify vendor, date, scope, category, line items, tax, amount, and work-order link; confirm; open detail; verify attachment; compare Money and Property/Unit views.</x:v>
      </x:c>
      <x:c r="M457" s="35" t="str">
        <x:v>One expense exists at its real operational scope, cash falls once, Schedule E category and allocations agree, and no per-unit copies are created.</x:v>
      </x:c>
      <x:c r="N457" s="35" t="str">
        <x:v>Source preview; review/form; expense detail; line items; Property/Unit ledger; audit; accounting/report delta.</x:v>
      </x:c>
      <x:c r="O457" s="35" t="str">
        <x:v>On marked duplicate-invoice cases, re-upload before confirm and prove the product prevents or clearly warns about duplication.</x:v>
      </x:c>
      <x:c r="P457" s="35" t="str">
        <x:v>All expected records and amounts match; no unexplained error or stale state.</x:v>
      </x:c>
    </x:row>
    <x:row r="458">
      <x:c r="A458" s="20" t="str">
        <x:v>RUN-20270328-07</x:v>
      </x:c>
      <x:c r="B458" s="23" t="n">
        <x:v>46474</x:v>
      </x:c>
      <x:c r="C458" s="32" t="n">
        <x:v>7</x:v>
      </x:c>
      <x:c r="D458" s="20" t="str">
        <x:v>Weekly operations</x:v>
      </x:c>
      <x:c r="E458" s="20" t="str">
        <x:v>Property Manager</x:v>
      </x:c>
      <x:c r="F458" s="20" t="str">
        <x:v>Mobile</x:v>
      </x:c>
      <x:c r="G458" s="20" t="str">
        <x:v>Scanned receipt/invoice</x:v>
      </x:c>
      <x:c r="H458" s="35" t="str">
        <x:v>Record, review, allocate, and pay operating expense</x:v>
      </x:c>
      <x:c r="I458" s="35" t="str">
        <x:v>P007; Property scope; </x:v>
      </x:c>
      <x:c r="J458" s="35" t="str">
        <x:v>SCN-0815</x:v>
      </x:c>
      <x:c r="K458" s="35" t="str">
        <x:v>FIN-01531</x:v>
      </x:c>
      <x:c r="L458" s="35" t="str">
        <x:v>Capture or upload the source; verify vendor, date, scope, category, line items, tax, amount, and work-order link; confirm; open detail; verify attachment; compare Money and Property/Unit views.</x:v>
      </x:c>
      <x:c r="M458" s="35" t="str">
        <x:v>One expense exists at its real operational scope, cash falls once, Schedule E category and allocations agree, and no per-unit copies are created.</x:v>
      </x:c>
      <x:c r="N458" s="35" t="str">
        <x:v>Source preview; review/form; expense detail; line items; Property/Unit ledger; audit; accounting/report delta.</x:v>
      </x:c>
      <x:c r="O458" s="35" t="str">
        <x:v>On marked duplicate-invoice cases, re-upload before confirm and prove the product prevents or clearly warns about duplication.</x:v>
      </x:c>
      <x:c r="P458" s="35" t="str">
        <x:v>All expected records and amounts match; no unexplained error or stale state.</x:v>
      </x:c>
    </x:row>
    <x:row r="459">
      <x:c r="A459" s="20" t="str">
        <x:v>RUN-20270328-08</x:v>
      </x:c>
      <x:c r="B459" s="23" t="n">
        <x:v>46474</x:v>
      </x:c>
      <x:c r="C459" s="32" t="n">
        <x:v>8</x:v>
      </x:c>
      <x:c r="D459" s="20" t="str">
        <x:v>Weekly operations</x:v>
      </x:c>
      <x:c r="E459" s="20" t="str">
        <x:v>Property Manager</x:v>
      </x:c>
      <x:c r="F459" s="20" t="str">
        <x:v>Web</x:v>
      </x:c>
      <x:c r="G459" s="20" t="str">
        <x:v>Scanned receipt/invoice</x:v>
      </x:c>
      <x:c r="H459" s="35" t="str">
        <x:v>Record, review, allocate, and pay operating expense</x:v>
      </x:c>
      <x:c r="I459" s="35" t="str">
        <x:v>P008; Property scope; </x:v>
      </x:c>
      <x:c r="J459" s="35" t="str">
        <x:v>SCN-0820</x:v>
      </x:c>
      <x:c r="K459" s="35" t="str">
        <x:v>FIN-01536</x:v>
      </x:c>
      <x:c r="L459" s="35" t="str">
        <x:v>Capture or upload the source; verify vendor, date, scope, category, line items, tax, amount, and work-order link; confirm; open detail; verify attachment; compare Money and Property/Unit views.</x:v>
      </x:c>
      <x:c r="M459" s="35" t="str">
        <x:v>One expense exists at its real operational scope, cash falls once, Schedule E category and allocations agree, and no per-unit copies are created.</x:v>
      </x:c>
      <x:c r="N459" s="35" t="str">
        <x:v>Source preview; review/form; expense detail; line items; Property/Unit ledger; audit; accounting/report delta.</x:v>
      </x:c>
      <x:c r="O459" s="35" t="str">
        <x:v>On marked duplicate-invoice cases, re-upload before confirm and prove the product prevents or clearly warns about duplication.</x:v>
      </x:c>
      <x:c r="P459" s="35" t="str">
        <x:v>All expected records and amounts match; no unexplained error or stale state.</x:v>
      </x:c>
    </x:row>
    <x:row r="460">
      <x:c r="A460" s="20" t="str">
        <x:v>RUN-20270328-09</x:v>
      </x:c>
      <x:c r="B460" s="23" t="n">
        <x:v>46474</x:v>
      </x:c>
      <x:c r="C460" s="32" t="n">
        <x:v>9</x:v>
      </x:c>
      <x:c r="D460" s="20" t="str">
        <x:v>Weekly operations</x:v>
      </x:c>
      <x:c r="E460" s="20" t="str">
        <x:v>Property Manager</x:v>
      </x:c>
      <x:c r="F460" s="20" t="str">
        <x:v>Mobile</x:v>
      </x:c>
      <x:c r="G460" s="20" t="str">
        <x:v>Scanned receipt/invoice</x:v>
      </x:c>
      <x:c r="H460" s="35" t="str">
        <x:v>Record, review, allocate, and pay operating expense</x:v>
      </x:c>
      <x:c r="I460" s="35" t="str">
        <x:v>P009; Property scope; </x:v>
      </x:c>
      <x:c r="J460" s="35" t="str">
        <x:v>SCN-0825</x:v>
      </x:c>
      <x:c r="K460" s="35" t="str">
        <x:v>FIN-01541</x:v>
      </x:c>
      <x:c r="L460" s="35" t="str">
        <x:v>Capture or upload the source; verify vendor, date, scope, category, line items, tax, amount, and work-order link; confirm; open detail; verify attachment; compare Money and Property/Unit views.</x:v>
      </x:c>
      <x:c r="M460" s="35" t="str">
        <x:v>One expense exists at its real operational scope, cash falls once, Schedule E category and allocations agree, and no per-unit copies are created.</x:v>
      </x:c>
      <x:c r="N460" s="35" t="str">
        <x:v>Source preview; review/form; expense detail; line items; Property/Unit ledger; audit; accounting/report delta.</x:v>
      </x:c>
      <x:c r="O460" s="35" t="str">
        <x:v>On marked duplicate-invoice cases, re-upload before confirm and prove the product prevents or clearly warns about duplication.</x:v>
      </x:c>
      <x:c r="P460" s="35" t="str">
        <x:v>All expected records and amounts match; no unexplained error or stale state.</x:v>
      </x:c>
    </x:row>
    <x:row r="461">
      <x:c r="A461" s="20" t="str">
        <x:v>RUN-20270328-10</x:v>
      </x:c>
      <x:c r="B461" s="23" t="n">
        <x:v>46474</x:v>
      </x:c>
      <x:c r="C461" s="32" t="n">
        <x:v>10</x:v>
      </x:c>
      <x:c r="D461" s="20" t="str">
        <x:v>Weekly operations</x:v>
      </x:c>
      <x:c r="E461" s="20" t="str">
        <x:v>Property Manager</x:v>
      </x:c>
      <x:c r="F461" s="20" t="str">
        <x:v>Web</x:v>
      </x:c>
      <x:c r="G461" s="20" t="str">
        <x:v>Manual mobile form</x:v>
      </x:c>
      <x:c r="H461" s="35" t="str">
        <x:v>Record, review, allocate, and pay operating expense</x:v>
      </x:c>
      <x:c r="I461" s="35" t="str">
        <x:v>P010; Property scope; </x:v>
      </x:c>
      <x:c r="J461" s="35" t="str"/>
      <x:c r="K461" s="35" t="str">
        <x:v>FIN-01546</x:v>
      </x:c>
      <x:c r="L461" s="35" t="str">
        <x:v>Capture or upload the source; verify vendor, date, scope, category, line items, tax, amount, and work-order link; confirm; open detail; verify attachment; compare Money and Property/Unit views.</x:v>
      </x:c>
      <x:c r="M461" s="35" t="str">
        <x:v>One expense exists at its real operational scope, cash falls once, Schedule E category and allocations agree, and no per-unit copies are created.</x:v>
      </x:c>
      <x:c r="N461" s="35" t="str">
        <x:v>Source preview; review/form; expense detail; line items; Property/Unit ledger; audit; accounting/report delta.</x:v>
      </x:c>
      <x:c r="O461" s="35" t="str">
        <x:v>On marked duplicate-invoice cases, re-upload before confirm and prove the product prevents or clearly warns about duplication.</x:v>
      </x:c>
      <x:c r="P461" s="35" t="str">
        <x:v>All expected records and amounts match; no unexplained error or stale state.</x:v>
      </x:c>
    </x:row>
    <x:row r="462">
      <x:c r="A462" s="20" t="str">
        <x:v>RUN-20270328-11</x:v>
      </x:c>
      <x:c r="B462" s="23" t="n">
        <x:v>46474</x:v>
      </x:c>
      <x:c r="C462" s="32" t="n">
        <x:v>11</x:v>
      </x:c>
      <x:c r="D462" s="20" t="str">
        <x:v>Weekly operations</x:v>
      </x:c>
      <x:c r="E462" s="20" t="str">
        <x:v>Property Manager</x:v>
      </x:c>
      <x:c r="F462" s="20" t="str">
        <x:v>Mobile</x:v>
      </x:c>
      <x:c r="G462" s="20" t="str">
        <x:v>Scanned receipt/invoice</x:v>
      </x:c>
      <x:c r="H462" s="35" t="str">
        <x:v>Record, review, allocate, and pay operating expense</x:v>
      </x:c>
      <x:c r="I462" s="35" t="str">
        <x:v>P011; Property scope; </x:v>
      </x:c>
      <x:c r="J462" s="35" t="str">
        <x:v>SCN-0830</x:v>
      </x:c>
      <x:c r="K462" s="35" t="str">
        <x:v>FIN-01551</x:v>
      </x:c>
      <x:c r="L462" s="35" t="str">
        <x:v>Capture or upload the source; verify vendor, date, scope, category, line items, tax, amount, and work-order link; confirm; open detail; verify attachment; compare Money and Property/Unit views.</x:v>
      </x:c>
      <x:c r="M462" s="35" t="str">
        <x:v>One expense exists at its real operational scope, cash falls once, Schedule E category and allocations agree, and no per-unit copies are created.</x:v>
      </x:c>
      <x:c r="N462" s="35" t="str">
        <x:v>Source preview; review/form; expense detail; line items; Property/Unit ledger; audit; accounting/report delta.</x:v>
      </x:c>
      <x:c r="O462" s="35" t="str">
        <x:v>On marked duplicate-invoice cases, re-upload before confirm and prove the product prevents or clearly warns about duplication.</x:v>
      </x:c>
      <x:c r="P462" s="35" t="str">
        <x:v>All expected records and amounts match; no unexplained error or stale state.</x:v>
      </x:c>
    </x:row>
    <x:row r="463">
      <x:c r="A463" s="20" t="str">
        <x:v>RUN-20270328-12</x:v>
      </x:c>
      <x:c r="B463" s="23" t="n">
        <x:v>46474</x:v>
      </x:c>
      <x:c r="C463" s="32" t="n">
        <x:v>12</x:v>
      </x:c>
      <x:c r="D463" s="20" t="str">
        <x:v>Weekly operations</x:v>
      </x:c>
      <x:c r="E463" s="20" t="str">
        <x:v>Property Manager</x:v>
      </x:c>
      <x:c r="F463" s="20" t="str">
        <x:v>Web</x:v>
      </x:c>
      <x:c r="G463" s="20" t="str">
        <x:v>Scanned receipt/invoice</x:v>
      </x:c>
      <x:c r="H463" s="35" t="str">
        <x:v>Record, review, allocate, and pay operating expense</x:v>
      </x:c>
      <x:c r="I463" s="35" t="str">
        <x:v>P012; Property scope; </x:v>
      </x:c>
      <x:c r="J463" s="35" t="str">
        <x:v>SCN-0835</x:v>
      </x:c>
      <x:c r="K463" s="35" t="str">
        <x:v>FIN-01556</x:v>
      </x:c>
      <x:c r="L463" s="35" t="str">
        <x:v>Capture or upload the source; verify vendor, date, scope, category, line items, tax, amount, and work-order link; confirm; open detail; verify attachment; compare Money and Property/Unit views.</x:v>
      </x:c>
      <x:c r="M463" s="35" t="str">
        <x:v>One expense exists at its real operational scope, cash falls once, Schedule E category and allocations agree, and no per-unit copies are created.</x:v>
      </x:c>
      <x:c r="N463" s="35" t="str">
        <x:v>Source preview; review/form; expense detail; line items; Property/Unit ledger; audit; accounting/report delta.</x:v>
      </x:c>
      <x:c r="O463" s="35" t="str">
        <x:v>On marked duplicate-invoice cases, re-upload before confirm and prove the product prevents or clearly warns about duplication.</x:v>
      </x:c>
      <x:c r="P463" s="35" t="str">
        <x:v>All expected records and amounts match; no unexplained error or stale state.</x:v>
      </x:c>
    </x:row>
    <x:row r="464">
      <x:c r="A464" s="20" t="str">
        <x:v>RUN-20270328-13</x:v>
      </x:c>
      <x:c r="B464" s="23" t="n">
        <x:v>46474</x:v>
      </x:c>
      <x:c r="C464" s="32" t="n">
        <x:v>13</x:v>
      </x:c>
      <x:c r="D464" s="20" t="str">
        <x:v>Weekly operations</x:v>
      </x:c>
      <x:c r="E464" s="20" t="str">
        <x:v>Property Manager</x:v>
      </x:c>
      <x:c r="F464" s="20" t="str">
        <x:v>Mobile</x:v>
      </x:c>
      <x:c r="G464" s="20" t="str">
        <x:v>Scanned receipt/invoice</x:v>
      </x:c>
      <x:c r="H464" s="35" t="str">
        <x:v>Record, review, allocate, and pay operating expense</x:v>
      </x:c>
      <x:c r="I464" s="35" t="str">
        <x:v>P013; Property scope; </x:v>
      </x:c>
      <x:c r="J464" s="35" t="str">
        <x:v>SCN-0840</x:v>
      </x:c>
      <x:c r="K464" s="35" t="str">
        <x:v>FIN-01561</x:v>
      </x:c>
      <x:c r="L464" s="35" t="str">
        <x:v>Capture or upload the source; verify vendor, date, scope, category, line items, tax, amount, and work-order link; confirm; open detail; verify attachment; compare Money and Property/Unit views.</x:v>
      </x:c>
      <x:c r="M464" s="35" t="str">
        <x:v>One expense exists at its real operational scope, cash falls once, Schedule E category and allocations agree, and no per-unit copies are created.</x:v>
      </x:c>
      <x:c r="N464" s="35" t="str">
        <x:v>Source preview; review/form; expense detail; line items; Property/Unit ledger; audit; accounting/report delta.</x:v>
      </x:c>
      <x:c r="O464" s="35" t="str">
        <x:v>On marked duplicate-invoice cases, re-upload before confirm and prove the product prevents or clearly warns about duplication.</x:v>
      </x:c>
      <x:c r="P464" s="35" t="str">
        <x:v>All expected records and amounts match; no unexplained error or stale state.</x:v>
      </x:c>
    </x:row>
    <x:row r="465">
      <x:c r="A465" s="20" t="str">
        <x:v>RUN-20270328-14</x:v>
      </x:c>
      <x:c r="B465" s="23" t="n">
        <x:v>46474</x:v>
      </x:c>
      <x:c r="C465" s="32" t="n">
        <x:v>14</x:v>
      </x:c>
      <x:c r="D465" s="20" t="str">
        <x:v>Weekly operations</x:v>
      </x:c>
      <x:c r="E465" s="20" t="str">
        <x:v>Property Manager</x:v>
      </x:c>
      <x:c r="F465" s="20" t="str">
        <x:v>Web</x:v>
      </x:c>
      <x:c r="G465" s="20" t="str">
        <x:v>Scanned receipt/invoice</x:v>
      </x:c>
      <x:c r="H465" s="35" t="str">
        <x:v>Record, review, allocate, and pay operating expense</x:v>
      </x:c>
      <x:c r="I465" s="35" t="str">
        <x:v>P014; Property scope; </x:v>
      </x:c>
      <x:c r="J465" s="35" t="str">
        <x:v>SCN-0845</x:v>
      </x:c>
      <x:c r="K465" s="35" t="str">
        <x:v>FIN-01566</x:v>
      </x:c>
      <x:c r="L465" s="35" t="str">
        <x:v>Capture or upload the source; verify vendor, date, scope, category, line items, tax, amount, and work-order link; confirm; open detail; verify attachment; compare Money and Property/Unit views.</x:v>
      </x:c>
      <x:c r="M465" s="35" t="str">
        <x:v>One expense exists at its real operational scope, cash falls once, Schedule E category and allocations agree, and no per-unit copies are created.</x:v>
      </x:c>
      <x:c r="N465" s="35" t="str">
        <x:v>Source preview; review/form; expense detail; line items; Property/Unit ledger; audit; accounting/report delta.</x:v>
      </x:c>
      <x:c r="O465" s="35" t="str">
        <x:v>On marked duplicate-invoice cases, re-upload before confirm and prove the product prevents or clearly warns about duplication.</x:v>
      </x:c>
      <x:c r="P465" s="35" t="str">
        <x:v>All expected records and amounts match; no unexplained error or stale state.</x:v>
      </x:c>
    </x:row>
    <x:row r="466">
      <x:c r="A466" s="20" t="str">
        <x:v>RUN-20270328-15</x:v>
      </x:c>
      <x:c r="B466" s="23" t="n">
        <x:v>46474</x:v>
      </x:c>
      <x:c r="C466" s="32" t="n">
        <x:v>15</x:v>
      </x:c>
      <x:c r="D466" s="20" t="str">
        <x:v>Weekly operations</x:v>
      </x:c>
      <x:c r="E466" s="20" t="str">
        <x:v>Property Manager</x:v>
      </x:c>
      <x:c r="F466" s="20" t="str">
        <x:v>Mobile</x:v>
      </x:c>
      <x:c r="G466" s="20" t="str">
        <x:v>Manual web form</x:v>
      </x:c>
      <x:c r="H466" s="35" t="str">
        <x:v>Record, review, allocate, and pay operating expense</x:v>
      </x:c>
      <x:c r="I466" s="35" t="str">
        <x:v>P015; Property scope; </x:v>
      </x:c>
      <x:c r="J466" s="35" t="str"/>
      <x:c r="K466" s="35" t="str">
        <x:v>FIN-01571</x:v>
      </x:c>
      <x:c r="L466" s="35" t="str">
        <x:v>Capture or upload the source; verify vendor, date, scope, category, line items, tax, amount, and work-order link; confirm; open detail; verify attachment; compare Money and Property/Unit views.</x:v>
      </x:c>
      <x:c r="M466" s="35" t="str">
        <x:v>One expense exists at its real operational scope, cash falls once, Schedule E category and allocations agree, and no per-unit copies are created.</x:v>
      </x:c>
      <x:c r="N466" s="35" t="str">
        <x:v>Source preview; review/form; expense detail; line items; Property/Unit ledger; audit; accounting/report delta.</x:v>
      </x:c>
      <x:c r="O466" s="35" t="str">
        <x:v>On marked duplicate-invoice cases, re-upload before confirm and prove the product prevents or clearly warns about duplication.</x:v>
      </x:c>
      <x:c r="P466" s="35" t="str">
        <x:v>All expected records and amounts match; no unexplained error or stale state.</x:v>
      </x:c>
    </x:row>
    <x:row r="467">
      <x:c r="A467" s="20" t="str">
        <x:v>RUN-20270328-16</x:v>
      </x:c>
      <x:c r="B467" s="23" t="n">
        <x:v>46474</x:v>
      </x:c>
      <x:c r="C467" s="32" t="n">
        <x:v>16</x:v>
      </x:c>
      <x:c r="D467" s="20" t="str">
        <x:v>Weekly operations</x:v>
      </x:c>
      <x:c r="E467" s="20" t="str">
        <x:v>Property Manager</x:v>
      </x:c>
      <x:c r="F467" s="20" t="str">
        <x:v>Web</x:v>
      </x:c>
      <x:c r="G467" s="20" t="str">
        <x:v>Scanned receipt/invoice</x:v>
      </x:c>
      <x:c r="H467" s="35" t="str">
        <x:v>Record, review, allocate, and pay operating expense</x:v>
      </x:c>
      <x:c r="I467" s="35" t="str">
        <x:v>P016; Property scope; </x:v>
      </x:c>
      <x:c r="J467" s="35" t="str">
        <x:v>SCN-0850</x:v>
      </x:c>
      <x:c r="K467" s="35" t="str">
        <x:v>FIN-01576</x:v>
      </x:c>
      <x:c r="L467" s="35" t="str">
        <x:v>Capture or upload the source; verify vendor, date, scope, category, line items, tax, amount, and work-order link; confirm; open detail; verify attachment; compare Money and Property/Unit views.</x:v>
      </x:c>
      <x:c r="M467" s="35" t="str">
        <x:v>One expense exists at its real operational scope, cash falls once, Schedule E category and allocations agree, and no per-unit copies are created.</x:v>
      </x:c>
      <x:c r="N467" s="35" t="str">
        <x:v>Source preview; review/form; expense detail; line items; Property/Unit ledger; audit; accounting/report delta.</x:v>
      </x:c>
      <x:c r="O467" s="35" t="str">
        <x:v>On marked duplicate-invoice cases, re-upload before confirm and prove the product prevents or clearly warns about duplication.</x:v>
      </x:c>
      <x:c r="P467" s="35" t="str">
        <x:v>All expected records and amounts match; no unexplained error or stale state.</x:v>
      </x:c>
    </x:row>
    <x:row r="468">
      <x:c r="A468" s="20" t="str">
        <x:v>RUN-20270328-17</x:v>
      </x:c>
      <x:c r="B468" s="23" t="n">
        <x:v>46474</x:v>
      </x:c>
      <x:c r="C468" s="32" t="n">
        <x:v>17</x:v>
      </x:c>
      <x:c r="D468" s="20" t="str">
        <x:v>Weekly operations</x:v>
      </x:c>
      <x:c r="E468" s="20" t="str">
        <x:v>Property Manager</x:v>
      </x:c>
      <x:c r="F468" s="20" t="str">
        <x:v>Mobile</x:v>
      </x:c>
      <x:c r="G468" s="20" t="str">
        <x:v>Scanned receipt/invoice</x:v>
      </x:c>
      <x:c r="H468" s="35" t="str">
        <x:v>Record, review, allocate, and pay operating expense</x:v>
      </x:c>
      <x:c r="I468" s="35" t="str">
        <x:v>P017; Property scope; </x:v>
      </x:c>
      <x:c r="J468" s="35" t="str">
        <x:v>SCN-0855</x:v>
      </x:c>
      <x:c r="K468" s="35" t="str">
        <x:v>FIN-01581</x:v>
      </x:c>
      <x:c r="L468" s="35" t="str">
        <x:v>Capture or upload the source; verify vendor, date, scope, category, line items, tax, amount, and work-order link; confirm; open detail; verify attachment; compare Money and Property/Unit views.</x:v>
      </x:c>
      <x:c r="M468" s="35" t="str">
        <x:v>One expense exists at its real operational scope, cash falls once, Schedule E category and allocations agree, and no per-unit copies are created.</x:v>
      </x:c>
      <x:c r="N468" s="35" t="str">
        <x:v>Source preview; review/form; expense detail; line items; Property/Unit ledger; audit; accounting/report delta.</x:v>
      </x:c>
      <x:c r="O468" s="35" t="str">
        <x:v>On marked duplicate-invoice cases, re-upload before confirm and prove the product prevents or clearly warns about duplication.</x:v>
      </x:c>
      <x:c r="P468" s="35" t="str">
        <x:v>All expected records and amounts match; no unexplained error or stale state.</x:v>
      </x:c>
    </x:row>
    <x:row r="469">
      <x:c r="A469" s="20" t="str">
        <x:v>RUN-20270328-18</x:v>
      </x:c>
      <x:c r="B469" s="23" t="n">
        <x:v>46474</x:v>
      </x:c>
      <x:c r="C469" s="32" t="n">
        <x:v>18</x:v>
      </x:c>
      <x:c r="D469" s="20" t="str">
        <x:v>Weekly operations</x:v>
      </x:c>
      <x:c r="E469" s="20" t="str">
        <x:v>Property Manager</x:v>
      </x:c>
      <x:c r="F469" s="20" t="str">
        <x:v>Web</x:v>
      </x:c>
      <x:c r="G469" s="20" t="str">
        <x:v>Scanned receipt/invoice</x:v>
      </x:c>
      <x:c r="H469" s="35" t="str">
        <x:v>Record, review, allocate, and pay operating expense</x:v>
      </x:c>
      <x:c r="I469" s="35" t="str">
        <x:v>P018; Property scope; </x:v>
      </x:c>
      <x:c r="J469" s="35" t="str">
        <x:v>SCN-0860</x:v>
      </x:c>
      <x:c r="K469" s="35" t="str">
        <x:v>FIN-01586</x:v>
      </x:c>
      <x:c r="L469" s="35" t="str">
        <x:v>Capture or upload the source; verify vendor, date, scope, category, line items, tax, amount, and work-order link; confirm; open detail; verify attachment; compare Money and Property/Unit views.</x:v>
      </x:c>
      <x:c r="M469" s="35" t="str">
        <x:v>One expense exists at its real operational scope, cash falls once, Schedule E category and allocations agree, and no per-unit copies are created.</x:v>
      </x:c>
      <x:c r="N469" s="35" t="str">
        <x:v>Source preview; review/form; expense detail; line items; Property/Unit ledger; audit; accounting/report delta.</x:v>
      </x:c>
      <x:c r="O469" s="35" t="str">
        <x:v>On marked duplicate-invoice cases, re-upload before confirm and prove the product prevents or clearly warns about duplication.</x:v>
      </x:c>
      <x:c r="P469" s="35" t="str">
        <x:v>All expected records and amounts match; no unexplained error or stale state.</x:v>
      </x:c>
    </x:row>
    <x:row r="470">
      <x:c r="A470" s="20" t="str">
        <x:v>RUN-20270328-19</x:v>
      </x:c>
      <x:c r="B470" s="23" t="n">
        <x:v>46474</x:v>
      </x:c>
      <x:c r="C470" s="32" t="n">
        <x:v>19</x:v>
      </x:c>
      <x:c r="D470" s="20" t="str">
        <x:v>Weekly operations</x:v>
      </x:c>
      <x:c r="E470" s="20" t="str">
        <x:v>Property Manager</x:v>
      </x:c>
      <x:c r="F470" s="20" t="str">
        <x:v>Mobile</x:v>
      </x:c>
      <x:c r="G470" s="20" t="str">
        <x:v>Scanned receipt/invoice</x:v>
      </x:c>
      <x:c r="H470" s="35" t="str">
        <x:v>Record, review, allocate, and pay operating expense</x:v>
      </x:c>
      <x:c r="I470" s="35" t="str">
        <x:v>P019; Property scope; </x:v>
      </x:c>
      <x:c r="J470" s="35" t="str">
        <x:v>SCN-0865</x:v>
      </x:c>
      <x:c r="K470" s="35" t="str">
        <x:v>FIN-01591</x:v>
      </x:c>
      <x:c r="L470" s="35" t="str">
        <x:v>Capture or upload the source; verify vendor, date, scope, category, line items, tax, amount, and work-order link; confirm; open detail; verify attachment; compare Money and Property/Unit views.</x:v>
      </x:c>
      <x:c r="M470" s="35" t="str">
        <x:v>One expense exists at its real operational scope, cash falls once, Schedule E category and allocations agree, and no per-unit copies are created.</x:v>
      </x:c>
      <x:c r="N470" s="35" t="str">
        <x:v>Source preview; review/form; expense detail; line items; Property/Unit ledger; audit; accounting/report delta.</x:v>
      </x:c>
      <x:c r="O470" s="35" t="str">
        <x:v>On marked duplicate-invoice cases, re-upload before confirm and prove the product prevents or clearly warns about duplication.</x:v>
      </x:c>
      <x:c r="P470" s="35" t="str">
        <x:v>All expected records and amounts match; no unexplained error or stale state.</x:v>
      </x:c>
    </x:row>
    <x:row r="471">
      <x:c r="A471" s="20" t="str">
        <x:v>RUN-20270328-20</x:v>
      </x:c>
      <x:c r="B471" s="23" t="n">
        <x:v>46474</x:v>
      </x:c>
      <x:c r="C471" s="32" t="n">
        <x:v>20</x:v>
      </x:c>
      <x:c r="D471" s="20" t="str">
        <x:v>Weekly operations</x:v>
      </x:c>
      <x:c r="E471" s="20" t="str">
        <x:v>Property Manager</x:v>
      </x:c>
      <x:c r="F471" s="20" t="str">
        <x:v>Web</x:v>
      </x:c>
      <x:c r="G471" s="20" t="str">
        <x:v>Manual mobile form</x:v>
      </x:c>
      <x:c r="H471" s="35" t="str">
        <x:v>Record, review, allocate, and pay operating expense</x:v>
      </x:c>
      <x:c r="I471" s="35" t="str">
        <x:v>P020; Property scope; </x:v>
      </x:c>
      <x:c r="J471" s="35" t="str"/>
      <x:c r="K471" s="35" t="str">
        <x:v>FIN-01596</x:v>
      </x:c>
      <x:c r="L471" s="35" t="str">
        <x:v>Capture or upload the source; verify vendor, date, scope, category, line items, tax, amount, and work-order link; confirm; open detail; verify attachment; compare Money and Property/Unit views.</x:v>
      </x:c>
      <x:c r="M471" s="35" t="str">
        <x:v>One expense exists at its real operational scope, cash falls once, Schedule E category and allocations agree, and no per-unit copies are created.</x:v>
      </x:c>
      <x:c r="N471" s="35" t="str">
        <x:v>Source preview; review/form; expense detail; line items; Property/Unit ledger; audit; accounting/report delta.</x:v>
      </x:c>
      <x:c r="O471" s="35" t="str">
        <x:v>On marked duplicate-invoice cases, re-upload before confirm and prove the product prevents or clearly warns about duplication.</x:v>
      </x:c>
      <x:c r="P471" s="35" t="str">
        <x:v>All expected records and amounts match; no unexplained error or stale state.</x:v>
      </x:c>
    </x:row>
    <x:row r="472">
      <x:c r="A472" s="20" t="str">
        <x:v>RUN-20270328-21</x:v>
      </x:c>
      <x:c r="B472" s="23" t="n">
        <x:v>46474</x:v>
      </x:c>
      <x:c r="C472" s="32" t="n">
        <x:v>21</x:v>
      </x:c>
      <x:c r="D472" s="20" t="str">
        <x:v>Weekly operations</x:v>
      </x:c>
      <x:c r="E472" s="20" t="str">
        <x:v>Property Manager</x:v>
      </x:c>
      <x:c r="F472" s="20" t="str">
        <x:v>Mobile</x:v>
      </x:c>
      <x:c r="G472" s="20" t="str">
        <x:v>Scanned receipt/invoice</x:v>
      </x:c>
      <x:c r="H472" s="35" t="str">
        <x:v>Record, review, allocate, and pay operating expense</x:v>
      </x:c>
      <x:c r="I472" s="35" t="str">
        <x:v>P021; Property scope; </x:v>
      </x:c>
      <x:c r="J472" s="35" t="str">
        <x:v>SCN-0870</x:v>
      </x:c>
      <x:c r="K472" s="35" t="str">
        <x:v>FIN-01601</x:v>
      </x:c>
      <x:c r="L472" s="35" t="str">
        <x:v>Capture or upload the source; verify vendor, date, scope, category, line items, tax, amount, and work-order link; confirm; open detail; verify attachment; compare Money and Property/Unit views.</x:v>
      </x:c>
      <x:c r="M472" s="35" t="str">
        <x:v>One expense exists at its real operational scope, cash falls once, Schedule E category and allocations agree, and no per-unit copies are created.</x:v>
      </x:c>
      <x:c r="N472" s="35" t="str">
        <x:v>Source preview; review/form; expense detail; line items; Property/Unit ledger; audit; accounting/report delta.</x:v>
      </x:c>
      <x:c r="O472" s="35" t="str">
        <x:v>On marked duplicate-invoice cases, re-upload before confirm and prove the product prevents or clearly warns about duplication.</x:v>
      </x:c>
      <x:c r="P472" s="35" t="str">
        <x:v>All expected records and amounts match; no unexplained error or stale state.</x:v>
      </x:c>
    </x:row>
    <x:row r="473">
      <x:c r="A473" s="20" t="str">
        <x:v>RUN-20270328-22</x:v>
      </x:c>
      <x:c r="B473" s="23" t="n">
        <x:v>46474</x:v>
      </x:c>
      <x:c r="C473" s="32" t="n">
        <x:v>22</x:v>
      </x:c>
      <x:c r="D473" s="20" t="str">
        <x:v>Weekly operations</x:v>
      </x:c>
      <x:c r="E473" s="20" t="str">
        <x:v>Property Manager</x:v>
      </x:c>
      <x:c r="F473" s="20" t="str">
        <x:v>Web</x:v>
      </x:c>
      <x:c r="G473" s="20" t="str">
        <x:v>Scanned receipt/invoice</x:v>
      </x:c>
      <x:c r="H473" s="35" t="str">
        <x:v>Record, review, allocate, and pay operating expense</x:v>
      </x:c>
      <x:c r="I473" s="35" t="str">
        <x:v>P022; Property scope; </x:v>
      </x:c>
      <x:c r="J473" s="35" t="str">
        <x:v>SCN-0875</x:v>
      </x:c>
      <x:c r="K473" s="35" t="str">
        <x:v>FIN-01606</x:v>
      </x:c>
      <x:c r="L473" s="35" t="str">
        <x:v>Capture or upload the source; verify vendor, date, scope, category, line items, tax, amount, and work-order link; confirm; open detail; verify attachment; compare Money and Property/Unit views.</x:v>
      </x:c>
      <x:c r="M473" s="35" t="str">
        <x:v>One expense exists at its real operational scope, cash falls once, Schedule E category and allocations agree, and no per-unit copies are created.</x:v>
      </x:c>
      <x:c r="N473" s="35" t="str">
        <x:v>Source preview; review/form; expense detail; line items; Property/Unit ledger; audit; accounting/report delta.</x:v>
      </x:c>
      <x:c r="O473" s="35" t="str">
        <x:v>On marked duplicate-invoice cases, re-upload before confirm and prove the product prevents or clearly warns about duplication.</x:v>
      </x:c>
      <x:c r="P473" s="35" t="str">
        <x:v>All expected records and amounts match; no unexplained error or stale state.</x:v>
      </x:c>
    </x:row>
    <x:row r="474">
      <x:c r="A474" s="20" t="str">
        <x:v>RUN-20270328-23</x:v>
      </x:c>
      <x:c r="B474" s="23" t="n">
        <x:v>46474</x:v>
      </x:c>
      <x:c r="C474" s="32" t="n">
        <x:v>23</x:v>
      </x:c>
      <x:c r="D474" s="20" t="str">
        <x:v>Weekly operations</x:v>
      </x:c>
      <x:c r="E474" s="20" t="str">
        <x:v>Property Manager</x:v>
      </x:c>
      <x:c r="F474" s="20" t="str">
        <x:v>Mobile</x:v>
      </x:c>
      <x:c r="G474" s="20" t="str">
        <x:v>Scanned receipt/invoice</x:v>
      </x:c>
      <x:c r="H474" s="35" t="str">
        <x:v>Record, review, allocate, and pay operating expense</x:v>
      </x:c>
      <x:c r="I474" s="35" t="str">
        <x:v>P023; Property scope; </x:v>
      </x:c>
      <x:c r="J474" s="35" t="str">
        <x:v>SCN-0880</x:v>
      </x:c>
      <x:c r="K474" s="35" t="str">
        <x:v>FIN-01611</x:v>
      </x:c>
      <x:c r="L474" s="35" t="str">
        <x:v>Capture or upload the source; verify vendor, date, scope, category, line items, tax, amount, and work-order link; confirm; open detail; verify attachment; compare Money and Property/Unit views.</x:v>
      </x:c>
      <x:c r="M474" s="35" t="str">
        <x:v>One expense exists at its real operational scope, cash falls once, Schedule E category and allocations agree, and no per-unit copies are created.</x:v>
      </x:c>
      <x:c r="N474" s="35" t="str">
        <x:v>Source preview; review/form; expense detail; line items; Property/Unit ledger; audit; accounting/report delta.</x:v>
      </x:c>
      <x:c r="O474" s="35" t="str">
        <x:v>On marked duplicate-invoice cases, re-upload before confirm and prove the product prevents or clearly warns about duplication.</x:v>
      </x:c>
      <x:c r="P474" s="35" t="str">
        <x:v>All expected records and amounts match; no unexplained error or stale state.</x:v>
      </x:c>
    </x:row>
    <x:row r="475">
      <x:c r="A475" s="20" t="str">
        <x:v>RUN-20270328-24</x:v>
      </x:c>
      <x:c r="B475" s="23" t="n">
        <x:v>46474</x:v>
      </x:c>
      <x:c r="C475" s="32" t="n">
        <x:v>24</x:v>
      </x:c>
      <x:c r="D475" s="20" t="str">
        <x:v>Weekly operations</x:v>
      </x:c>
      <x:c r="E475" s="20" t="str">
        <x:v>Property Manager</x:v>
      </x:c>
      <x:c r="F475" s="20" t="str">
        <x:v>Web</x:v>
      </x:c>
      <x:c r="G475" s="20" t="str">
        <x:v>Scanned receipt/invoice</x:v>
      </x:c>
      <x:c r="H475" s="35" t="str">
        <x:v>Record, review, allocate, and pay operating expense</x:v>
      </x:c>
      <x:c r="I475" s="35" t="str">
        <x:v>P024; Property scope; </x:v>
      </x:c>
      <x:c r="J475" s="35" t="str">
        <x:v>SCN-0885</x:v>
      </x:c>
      <x:c r="K475" s="35" t="str">
        <x:v>FIN-01616</x:v>
      </x:c>
      <x:c r="L475" s="35" t="str">
        <x:v>Capture or upload the source; verify vendor, date, scope, category, line items, tax, amount, and work-order link; confirm; open detail; verify attachment; compare Money and Property/Unit views.</x:v>
      </x:c>
      <x:c r="M475" s="35" t="str">
        <x:v>One expense exists at its real operational scope, cash falls once, Schedule E category and allocations agree, and no per-unit copies are created.</x:v>
      </x:c>
      <x:c r="N475" s="35" t="str">
        <x:v>Source preview; review/form; expense detail; line items; Property/Unit ledger; audit; accounting/report delta.</x:v>
      </x:c>
      <x:c r="O475" s="35" t="str">
        <x:v>On marked duplicate-invoice cases, re-upload before confirm and prove the product prevents or clearly warns about duplication.</x:v>
      </x:c>
      <x:c r="P475" s="35" t="str">
        <x:v>All expected records and amounts match; no unexplained error or stale state.</x:v>
      </x:c>
    </x:row>
    <x:row r="476">
      <x:c r="A476" s="20" t="str">
        <x:v>RUN-20270328-25</x:v>
      </x:c>
      <x:c r="B476" s="23" t="n">
        <x:v>46474</x:v>
      </x:c>
      <x:c r="C476" s="32" t="n">
        <x:v>25</x:v>
      </x:c>
      <x:c r="D476" s="20" t="str">
        <x:v>Weekly operations</x:v>
      </x:c>
      <x:c r="E476" s="20" t="str">
        <x:v>Property Manager</x:v>
      </x:c>
      <x:c r="F476" s="20" t="str">
        <x:v>Mobile</x:v>
      </x:c>
      <x:c r="G476" s="20" t="str">
        <x:v>Manual web form</x:v>
      </x:c>
      <x:c r="H476" s="35" t="str">
        <x:v>Record, review, allocate, and pay operating expense</x:v>
      </x:c>
      <x:c r="I476" s="35" t="str">
        <x:v>P025; Property scope; </x:v>
      </x:c>
      <x:c r="J476" s="35" t="str"/>
      <x:c r="K476" s="35" t="str">
        <x:v>FIN-01621</x:v>
      </x:c>
      <x:c r="L476" s="35" t="str">
        <x:v>Capture or upload the source; verify vendor, date, scope, category, line items, tax, amount, and work-order link; confirm; open detail; verify attachment; compare Money and Property/Unit views.</x:v>
      </x:c>
      <x:c r="M476" s="35" t="str">
        <x:v>One expense exists at its real operational scope, cash falls once, Schedule E category and allocations agree, and no per-unit copies are created.</x:v>
      </x:c>
      <x:c r="N476" s="35" t="str">
        <x:v>Source preview; review/form; expense detail; line items; Property/Unit ledger; audit; accounting/report delta.</x:v>
      </x:c>
      <x:c r="O476" s="35" t="str">
        <x:v>On marked duplicate-invoice cases, re-upload before confirm and prove the product prevents or clearly warns about duplication.</x:v>
      </x:c>
      <x:c r="P476" s="35" t="str">
        <x:v>All expected records and amounts match; no unexplained error or stale state.</x:v>
      </x:c>
    </x:row>
    <x:row r="477">
      <x:c r="A477" s="20" t="str">
        <x:v>RUN-20270328-26</x:v>
      </x:c>
      <x:c r="B477" s="23" t="n">
        <x:v>46474</x:v>
      </x:c>
      <x:c r="C477" s="32" t="n">
        <x:v>26</x:v>
      </x:c>
      <x:c r="D477" s="20" t="str">
        <x:v>Weekly operations</x:v>
      </x:c>
      <x:c r="E477" s="20" t="str">
        <x:v>Property Manager</x:v>
      </x:c>
      <x:c r="F477" s="20" t="str">
        <x:v>Web</x:v>
      </x:c>
      <x:c r="G477" s="20" t="str">
        <x:v>Scanned receipt/invoice</x:v>
      </x:c>
      <x:c r="H477" s="35" t="str">
        <x:v>Record, review, allocate, and pay operating expense</x:v>
      </x:c>
      <x:c r="I477" s="35" t="str">
        <x:v>P026; Property scope; </x:v>
      </x:c>
      <x:c r="J477" s="35" t="str">
        <x:v>SCN-0890</x:v>
      </x:c>
      <x:c r="K477" s="35" t="str">
        <x:v>FIN-01626</x:v>
      </x:c>
      <x:c r="L477" s="35" t="str">
        <x:v>Capture or upload the source; verify vendor, date, scope, category, line items, tax, amount, and work-order link; confirm; open detail; verify attachment; compare Money and Property/Unit views.</x:v>
      </x:c>
      <x:c r="M477" s="35" t="str">
        <x:v>One expense exists at its real operational scope, cash falls once, Schedule E category and allocations agree, and no per-unit copies are created.</x:v>
      </x:c>
      <x:c r="N477" s="35" t="str">
        <x:v>Source preview; review/form; expense detail; line items; Property/Unit ledger; audit; accounting/report delta.</x:v>
      </x:c>
      <x:c r="O477" s="35" t="str">
        <x:v>On marked duplicate-invoice cases, re-upload before confirm and prove the product prevents or clearly warns about duplication.</x:v>
      </x:c>
      <x:c r="P477" s="35" t="str">
        <x:v>All expected records and amounts match; no unexplained error or stale state.</x:v>
      </x:c>
    </x:row>
    <x:row r="478">
      <x:c r="A478" s="20" t="str">
        <x:v>RUN-20270328-27</x:v>
      </x:c>
      <x:c r="B478" s="23" t="n">
        <x:v>46474</x:v>
      </x:c>
      <x:c r="C478" s="32" t="n">
        <x:v>27</x:v>
      </x:c>
      <x:c r="D478" s="20" t="str">
        <x:v>Weekly operations</x:v>
      </x:c>
      <x:c r="E478" s="20" t="str">
        <x:v>Property Manager</x:v>
      </x:c>
      <x:c r="F478" s="20" t="str">
        <x:v>Mobile</x:v>
      </x:c>
      <x:c r="G478" s="20" t="str">
        <x:v>Scanned receipt/invoice</x:v>
      </x:c>
      <x:c r="H478" s="35" t="str">
        <x:v>Record, review, allocate, and pay operating expense</x:v>
      </x:c>
      <x:c r="I478" s="35" t="str">
        <x:v>P027; Property scope; </x:v>
      </x:c>
      <x:c r="J478" s="35" t="str">
        <x:v>SCN-0895</x:v>
      </x:c>
      <x:c r="K478" s="35" t="str">
        <x:v>FIN-01631</x:v>
      </x:c>
      <x:c r="L478" s="35" t="str">
        <x:v>Capture or upload the source; verify vendor, date, scope, category, line items, tax, amount, and work-order link; confirm; open detail; verify attachment; compare Money and Property/Unit views.</x:v>
      </x:c>
      <x:c r="M478" s="35" t="str">
        <x:v>One expense exists at its real operational scope, cash falls once, Schedule E category and allocations agree, and no per-unit copies are created.</x:v>
      </x:c>
      <x:c r="N478" s="35" t="str">
        <x:v>Source preview; review/form; expense detail; line items; Property/Unit ledger; audit; accounting/report delta.</x:v>
      </x:c>
      <x:c r="O478" s="35" t="str">
        <x:v>On marked duplicate-invoice cases, re-upload before confirm and prove the product prevents or clearly warns about duplication.</x:v>
      </x:c>
      <x:c r="P478" s="35" t="str">
        <x:v>All expected records and amounts match; no unexplained error or stale state.</x:v>
      </x:c>
    </x:row>
    <x:row r="479">
      <x:c r="A479" s="20" t="str">
        <x:v>RUN-20270328-28</x:v>
      </x:c>
      <x:c r="B479" s="23" t="n">
        <x:v>46474</x:v>
      </x:c>
      <x:c r="C479" s="32" t="n">
        <x:v>28</x:v>
      </x:c>
      <x:c r="D479" s="20" t="str">
        <x:v>Weekly operations</x:v>
      </x:c>
      <x:c r="E479" s="20" t="str">
        <x:v>Property Manager</x:v>
      </x:c>
      <x:c r="F479" s="20" t="str">
        <x:v>Web</x:v>
      </x:c>
      <x:c r="G479" s="20" t="str">
        <x:v>Scanned receipt/invoice</x:v>
      </x:c>
      <x:c r="H479" s="35" t="str">
        <x:v>Record, review, allocate, and pay operating expense</x:v>
      </x:c>
      <x:c r="I479" s="35" t="str">
        <x:v>P028; Property scope; </x:v>
      </x:c>
      <x:c r="J479" s="35" t="str">
        <x:v>SCN-0900</x:v>
      </x:c>
      <x:c r="K479" s="35" t="str">
        <x:v>FIN-01636</x:v>
      </x:c>
      <x:c r="L479" s="35" t="str">
        <x:v>Capture or upload the source; verify vendor, date, scope, category, line items, tax, amount, and work-order link; confirm; open detail; verify attachment; compare Money and Property/Unit views.</x:v>
      </x:c>
      <x:c r="M479" s="35" t="str">
        <x:v>One expense exists at its real operational scope, cash falls once, Schedule E category and allocations agree, and no per-unit copies are created.</x:v>
      </x:c>
      <x:c r="N479" s="35" t="str">
        <x:v>Source preview; review/form; expense detail; line items; Property/Unit ledger; audit; accounting/report delta.</x:v>
      </x:c>
      <x:c r="O479" s="35" t="str">
        <x:v>On marked duplicate-invoice cases, re-upload before confirm and prove the product prevents or clearly warns about duplication.</x:v>
      </x:c>
      <x:c r="P479" s="35" t="str">
        <x:v>All expected records and amounts match; no unexplained error or stale state.</x:v>
      </x:c>
    </x:row>
    <x:row r="480">
      <x:c r="A480" s="20" t="str">
        <x:v>RUN-20270328-29</x:v>
      </x:c>
      <x:c r="B480" s="23" t="n">
        <x:v>46474</x:v>
      </x:c>
      <x:c r="C480" s="32" t="n">
        <x:v>29</x:v>
      </x:c>
      <x:c r="D480" s="20" t="str">
        <x:v>Weekly operations</x:v>
      </x:c>
      <x:c r="E480" s="20" t="str">
        <x:v>Property Manager</x:v>
      </x:c>
      <x:c r="F480" s="20" t="str">
        <x:v>Mobile</x:v>
      </x:c>
      <x:c r="G480" s="20" t="str">
        <x:v>Scanned receipt/invoice</x:v>
      </x:c>
      <x:c r="H480" s="35" t="str">
        <x:v>Record, review, allocate, and pay operating expense</x:v>
      </x:c>
      <x:c r="I480" s="35" t="str">
        <x:v>P029; Property scope; </x:v>
      </x:c>
      <x:c r="J480" s="35" t="str">
        <x:v>SCN-0905</x:v>
      </x:c>
      <x:c r="K480" s="35" t="str">
        <x:v>FIN-01641</x:v>
      </x:c>
      <x:c r="L480" s="35" t="str">
        <x:v>Capture or upload the source; verify vendor, date, scope, category, line items, tax, amount, and work-order link; confirm; open detail; verify attachment; compare Money and Property/Unit views.</x:v>
      </x:c>
      <x:c r="M480" s="35" t="str">
        <x:v>One expense exists at its real operational scope, cash falls once, Schedule E category and allocations agree, and no per-unit copies are created.</x:v>
      </x:c>
      <x:c r="N480" s="35" t="str">
        <x:v>Source preview; review/form; expense detail; line items; Property/Unit ledger; audit; accounting/report delta.</x:v>
      </x:c>
      <x:c r="O480" s="35" t="str">
        <x:v>On marked duplicate-invoice cases, re-upload before confirm and prove the product prevents or clearly warns about duplication.</x:v>
      </x:c>
      <x:c r="P480" s="35" t="str">
        <x:v>All expected records and amounts match; no unexplained error or stale state.</x:v>
      </x:c>
    </x:row>
    <x:row r="481">
      <x:c r="A481" s="20" t="str">
        <x:v>RUN-20270328-30</x:v>
      </x:c>
      <x:c r="B481" s="23" t="n">
        <x:v>46474</x:v>
      </x:c>
      <x:c r="C481" s="32" t="n">
        <x:v>30</x:v>
      </x:c>
      <x:c r="D481" s="20" t="str">
        <x:v>Weekly operations</x:v>
      </x:c>
      <x:c r="E481" s="20" t="str">
        <x:v>Property Manager</x:v>
      </x:c>
      <x:c r="F481" s="20" t="str">
        <x:v>Web</x:v>
      </x:c>
      <x:c r="G481" s="20" t="str">
        <x:v>Manual mobile form</x:v>
      </x:c>
      <x:c r="H481" s="35" t="str">
        <x:v>Record, review, allocate, and pay operating expense</x:v>
      </x:c>
      <x:c r="I481" s="35" t="str">
        <x:v>P030; Property scope; </x:v>
      </x:c>
      <x:c r="J481" s="35" t="str"/>
      <x:c r="K481" s="35" t="str">
        <x:v>FIN-01646</x:v>
      </x:c>
      <x:c r="L481" s="35" t="str">
        <x:v>Capture or upload the source; verify vendor, date, scope, category, line items, tax, amount, and work-order link; confirm; open detail; verify attachment; compare Money and Property/Unit views.</x:v>
      </x:c>
      <x:c r="M481" s="35" t="str">
        <x:v>One expense exists at its real operational scope, cash falls once, Schedule E category and allocations agree, and no per-unit copies are created.</x:v>
      </x:c>
      <x:c r="N481" s="35" t="str">
        <x:v>Source preview; review/form; expense detail; line items; Property/Unit ledger; audit; accounting/report delta.</x:v>
      </x:c>
      <x:c r="O481" s="35" t="str">
        <x:v>On marked duplicate-invoice cases, re-upload before confirm and prove the product prevents or clearly warns about duplication.</x:v>
      </x:c>
      <x:c r="P481" s="35" t="str">
        <x:v>All expected records and amounts match; no unexplained error or stale state.</x:v>
      </x:c>
    </x:row>
    <x:row r="482">
      <x:c r="A482" s="20" t="str">
        <x:v>RUN-20270329-01</x:v>
      </x:c>
      <x:c r="B482" s="23" t="n">
        <x:v>46475</x:v>
      </x:c>
      <x:c r="C482" s="32" t="n">
        <x:v>1</x:v>
      </x:c>
      <x:c r="D482" s="20" t="str">
        <x:v>Weekly operations</x:v>
      </x:c>
      <x:c r="E482" s="20" t="str">
        <x:v>Property Manager</x:v>
      </x:c>
      <x:c r="F482" s="20" t="str">
        <x:v>Mobile</x:v>
      </x:c>
      <x:c r="G482" s="20" t="str">
        <x:v>Scan-first</x:v>
      </x:c>
      <x:c r="H482" s="35" t="str">
        <x:v>Create and triage maintenance request</x:v>
      </x:c>
      <x:c r="I482" s="35" t="str">
        <x:v>P012; U012; WO-2027-013</x:v>
      </x:c>
      <x:c r="J482" s="35" t="str">
        <x:v>SCN-0369</x:v>
      </x:c>
      <x:c r="K482" s="35" t="str"/>
      <x:c r="L482" s="35" t="str">
        <x:v>Capture the tenant note/photo; review pest treatment; confirm; set responsibility; dispatch Green Thumb Landscaping; create an appointment and verify the tenant notification.</x:v>
      </x:c>
      <x:c r="M482" s="35" t="str">
        <x:v>Work order, status timeline, responsibility, vendor dispatch, appointment, notification, and Unit context are linked once.</x:v>
      </x:c>
      <x:c r="N482" s="35" t="str">
        <x:v>Scan review; work order detail/timeline; dispatch; appointment; notification; tenant portal view.</x:v>
      </x:c>
      <x:c r="O482" s="35" t="str">
        <x:v>Cancel one dispatch each quarter, reassign once, and prove status/history remains append-only.</x:v>
      </x:c>
      <x:c r="P482" s="35" t="str">
        <x:v>All expected records and amounts match; no unexplained error or stale state.</x:v>
      </x:c>
    </x:row>
    <x:row r="483">
      <x:c r="A483" s="20" t="str">
        <x:v>RUN-20270329-02</x:v>
      </x:c>
      <x:c r="B483" s="23" t="n">
        <x:v>46475</x:v>
      </x:c>
      <x:c r="C483" s="32" t="n">
        <x:v>2</x:v>
      </x:c>
      <x:c r="D483" s="20" t="str">
        <x:v>Role and screen certification</x:v>
      </x:c>
      <x:c r="E483" s="20" t="str">
        <x:v>Workspace Administrator</x:v>
      </x:c>
      <x:c r="F483" s="20" t="str">
        <x:v>Web</x:v>
      </x:c>
      <x:c r="G483" s="20" t="str">
        <x:v>Normal persona navigation</x:v>
      </x:c>
      <x:c r="H483" s="35" t="str">
        <x:v>Use every permitted action and state on /maintenance/[id]</x:v>
      </x:c>
      <x:c r="I483" s="35" t="str">
        <x:v>SCR-041; ROLE-057</x:v>
      </x:c>
      <x:c r="J483" s="35" t="str"/>
      <x:c r="K483" s="35" t="str"/>
      <x:c r="L4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83" s="35" t="str">
        <x:v>The persona can use every allowed action with only its assigned properties/relationships. Hidden or disabled actions explain why; an adjacent unauthorized persona is denied without metadata leakage.</x:v>
      </x:c>
      <x:c r="N483" s="35" t="str">
        <x:v>Persona/experience; navigation entry; desktop or device screenshots; result state; persisted read-back; audit/history; authorized and denied network result.</x:v>
      </x:c>
      <x:c r="O483" s="35" t="str">
        <x:v>Open the direct URL or deep link with an adjacent unauthorized persona and with stale scope; both fail closed and land safely without mutation.</x:v>
      </x:c>
      <x:c r="P483" s="35" t="str">
        <x:v>All expected records and amounts match; no unexplained error or stale state.</x:v>
      </x:c>
    </x:row>
    <x:row r="484">
      <x:c r="A484" s="20" t="str">
        <x:v>RUN-20270329-03</x:v>
      </x:c>
      <x:c r="B484" s="23" t="n">
        <x:v>46475</x:v>
      </x:c>
      <x:c r="C484" s="32" t="n">
        <x:v>3</x:v>
      </x:c>
      <x:c r="D484" s="20" t="str">
        <x:v>Role and screen certification</x:v>
      </x:c>
      <x:c r="E484" s="20" t="str">
        <x:v>Property Manager</x:v>
      </x:c>
      <x:c r="F484" s="20" t="str">
        <x:v>Web</x:v>
      </x:c>
      <x:c r="G484" s="20" t="str">
        <x:v>Normal persona navigation</x:v>
      </x:c>
      <x:c r="H484" s="35" t="str">
        <x:v>Use every permitted action and state on /maintenance/[id]</x:v>
      </x:c>
      <x:c r="I484" s="35" t="str">
        <x:v>SCR-041; ROLE-058</x:v>
      </x:c>
      <x:c r="J484" s="35" t="str"/>
      <x:c r="K484" s="35" t="str"/>
      <x:c r="L48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84" s="35" t="str">
        <x:v>The persona can use every allowed action with only its assigned properties/relationships. Hidden or disabled actions explain why; an adjacent unauthorized persona is denied without metadata leakage.</x:v>
      </x:c>
      <x:c r="N484" s="35" t="str">
        <x:v>Persona/experience; navigation entry; desktop or device screenshots; result state; persisted read-back; audit/history; authorized and denied network result.</x:v>
      </x:c>
      <x:c r="O484" s="35" t="str">
        <x:v>Open the direct URL or deep link with an adjacent unauthorized persona and with stale scope; both fail closed and land safely without mutation.</x:v>
      </x:c>
      <x:c r="P484" s="35" t="str">
        <x:v>All expected records and amounts match; no unexplained error or stale state.</x:v>
      </x:c>
    </x:row>
    <x:row r="485">
      <x:c r="A485" s="20" t="str">
        <x:v>RUN-20270329-04</x:v>
      </x:c>
      <x:c r="B485" s="23" t="n">
        <x:v>46475</x:v>
      </x:c>
      <x:c r="C485" s="32" t="n">
        <x:v>4</x:v>
      </x:c>
      <x:c r="D485" s="20" t="str">
        <x:v>Field certification</x:v>
      </x:c>
      <x:c r="E485" s="20" t="str">
        <x:v>Property Manager</x:v>
      </x:c>
      <x:c r="F485" s="20" t="str">
        <x:v>Web</x:v>
      </x:c>
      <x:c r="G485" s="20" t="str">
        <x:v>Manual field-by-field</x:v>
      </x:c>
      <x:c r="H485" s="35" t="str">
        <x:v>Fill, save, reload, edit, and validate every declared field on web/src/lib/components/unit/tabs/ListingTab.svelte</x:v>
      </x:c>
      <x:c r="I485" s="35" t="str">
        <x:v>FLD-0212; FLD-0213; FLD-0214; FLD-0215; FLD-0216</x:v>
      </x:c>
      <x:c r="J485" s="35" t="str"/>
      <x:c r="K485" s="35" t="str"/>
      <x:c r="L485" s="35" t="str">
        <x:v>Use the source-derived Field Inventory. Enter non-default realistic values in every control (form.headline; form.description; form.rent; form.securityDeposit; form.leaseTerms); submit; reload or relaunch; compare every value; edit each mutable field; verify the paired client; then run required, format, length, range, boundary, optional-null, and stale-submit checks.</x:v>
      </x:c>
      <x:c r="M485" s="35" t="str">
        <x:v>All 5 inventoried controls persist exact normalized values, invalid values stay unsaved with clear errors, and hidden/unauthorized fields cannot be altered.</x:v>
      </x:c>
      <x:c r="N485" s="35" t="str">
        <x:v>Before/after form screenshots; FLD IDs; API response; reloaded UI; paired-client read-back; database/audit evidence; negative validation result.</x:v>
      </x:c>
      <x:c r="O485" s="35" t="str">
        <x:v>Use a duplicate submit and one simulated network interruption; one atomic mutation or none, never partial state.</x:v>
      </x:c>
      <x:c r="P485" s="35" t="str">
        <x:v>All expected records and amounts match; no unexplained error or stale state.</x:v>
      </x:c>
    </x:row>
    <x:row r="486">
      <x:c r="A486" s="20" t="str">
        <x:v>RUN-20270330-01</x:v>
      </x:c>
      <x:c r="B486" s="23" t="n">
        <x:v>46476</x:v>
      </x:c>
      <x:c r="C486" s="32" t="n">
        <x:v>1</x:v>
      </x:c>
      <x:c r="D486" s="20" t="str">
        <x:v>Weekly operations</x:v>
      </x:c>
      <x:c r="E486" s="20" t="str">
        <x:v>Property Manager</x:v>
      </x:c>
      <x:c r="F486" s="20" t="str">
        <x:v>Mobile</x:v>
      </x:c>
      <x:c r="G486" s="20" t="str">
        <x:v>Scanned receipt/invoice</x:v>
      </x:c>
      <x:c r="H486" s="35" t="str">
        <x:v>Record, review, allocate, and pay operating expense</x:v>
      </x:c>
      <x:c r="I486" s="35" t="str">
        <x:v>P012; U012; WO-2027-013</x:v>
      </x:c>
      <x:c r="J486" s="35" t="str">
        <x:v>SCN-0370</x:v>
      </x:c>
      <x:c r="K486" s="35" t="str">
        <x:v>FIN-01036</x:v>
      </x:c>
      <x:c r="L486" s="35" t="str">
        <x:v>Capture or upload the source; verify vendor, date, scope, category, line items, tax, amount, and work-order link; confirm; open detail; verify attachment; compare Money and Property/Unit views.</x:v>
      </x:c>
      <x:c r="M486" s="35" t="str">
        <x:v>One expense exists at its real operational scope, cash falls once, Schedule E category and allocations agree, and no per-unit copies are created.</x:v>
      </x:c>
      <x:c r="N486" s="35" t="str">
        <x:v>Source preview; review/form; expense detail; line items; Property/Unit ledger; audit; accounting/report delta.</x:v>
      </x:c>
      <x:c r="O486" s="35" t="str">
        <x:v>On marked duplicate-invoice cases, re-upload before confirm and prove the product prevents or clearly warns about duplication.</x:v>
      </x:c>
      <x:c r="P486" s="35" t="str">
        <x:v>All expected records and amounts match; no unexplained error or stale state.</x:v>
      </x:c>
    </x:row>
    <x:row r="487">
      <x:c r="A487" s="20" t="str">
        <x:v>RUN-20270330-02</x:v>
      </x:c>
      <x:c r="B487" s="23" t="n">
        <x:v>46476</x:v>
      </x:c>
      <x:c r="C487" s="32" t="n">
        <x:v>2</x:v>
      </x:c>
      <x:c r="D487" s="20" t="str">
        <x:v>Role and screen certification</x:v>
      </x:c>
      <x:c r="E487" s="20" t="str">
        <x:v>Workspace Administrator</x:v>
      </x:c>
      <x:c r="F487" s="20" t="str">
        <x:v>Web</x:v>
      </x:c>
      <x:c r="G487" s="20" t="str">
        <x:v>Normal persona navigation</x:v>
      </x:c>
      <x:c r="H487" s="35" t="str">
        <x:v>Use every permitted action and state on /maintenance/inspections/[id]</x:v>
      </x:c>
      <x:c r="I487" s="35" t="str">
        <x:v>SCR-042; ROLE-059</x:v>
      </x:c>
      <x:c r="J487" s="35" t="str"/>
      <x:c r="K487" s="35" t="str"/>
      <x:c r="L48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87" s="35" t="str">
        <x:v>The persona can use every allowed action with only its assigned properties/relationships. Hidden or disabled actions explain why; an adjacent unauthorized persona is denied without metadata leakage.</x:v>
      </x:c>
      <x:c r="N487" s="35" t="str">
        <x:v>Persona/experience; navigation entry; desktop or device screenshots; result state; persisted read-back; audit/history; authorized and denied network result.</x:v>
      </x:c>
      <x:c r="O487" s="35" t="str">
        <x:v>Open the direct URL or deep link with an adjacent unauthorized persona and with stale scope; both fail closed and land safely without mutation.</x:v>
      </x:c>
      <x:c r="P487" s="35" t="str">
        <x:v>All expected records and amounts match; no unexplained error or stale state.</x:v>
      </x:c>
    </x:row>
    <x:row r="488">
      <x:c r="A488" s="20" t="str">
        <x:v>RUN-20270330-03</x:v>
      </x:c>
      <x:c r="B488" s="23" t="n">
        <x:v>46476</x:v>
      </x:c>
      <x:c r="C488" s="32" t="n">
        <x:v>3</x:v>
      </x:c>
      <x:c r="D488" s="20" t="str">
        <x:v>Role and screen certification</x:v>
      </x:c>
      <x:c r="E488" s="20" t="str">
        <x:v>Property Manager</x:v>
      </x:c>
      <x:c r="F488" s="20" t="str">
        <x:v>Web</x:v>
      </x:c>
      <x:c r="G488" s="20" t="str">
        <x:v>Normal persona navigation</x:v>
      </x:c>
      <x:c r="H488" s="35" t="str">
        <x:v>Use every permitted action and state on /maintenance/inspections/[id]</x:v>
      </x:c>
      <x:c r="I488" s="35" t="str">
        <x:v>SCR-042; ROLE-060</x:v>
      </x:c>
      <x:c r="J488" s="35" t="str"/>
      <x:c r="K488" s="35" t="str"/>
      <x:c r="L48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88" s="35" t="str">
        <x:v>The persona can use every allowed action with only its assigned properties/relationships. Hidden or disabled actions explain why; an adjacent unauthorized persona is denied without metadata leakage.</x:v>
      </x:c>
      <x:c r="N488" s="35" t="str">
        <x:v>Persona/experience; navigation entry; desktop or device screenshots; result state; persisted read-back; audit/history; authorized and denied network result.</x:v>
      </x:c>
      <x:c r="O488" s="35" t="str">
        <x:v>Open the direct URL or deep link with an adjacent unauthorized persona and with stale scope; both fail closed and land safely without mutation.</x:v>
      </x:c>
      <x:c r="P488" s="35" t="str">
        <x:v>All expected records and amounts match; no unexplained error or stale state.</x:v>
      </x:c>
    </x:row>
    <x:row r="489">
      <x:c r="A489" s="20" t="str">
        <x:v>RUN-20270330-04</x:v>
      </x:c>
      <x:c r="B489" s="23" t="n">
        <x:v>46476</x:v>
      </x:c>
      <x:c r="C489" s="32" t="n">
        <x:v>4</x:v>
      </x:c>
      <x:c r="D489" s="20" t="str">
        <x:v>Field certification</x:v>
      </x:c>
      <x:c r="E489" s="20" t="str">
        <x:v>Property Manager</x:v>
      </x:c>
      <x:c r="F489" s="20" t="str">
        <x:v>Web</x:v>
      </x:c>
      <x:c r="G489" s="20" t="str">
        <x:v>Manual field-by-field</x:v>
      </x:c>
      <x:c r="H489" s="35" t="str">
        <x:v>Fill, save, reload, edit, and validate every declared field on web/src/lib/components/unit/tabs/ListingTab.svelte</x:v>
      </x:c>
      <x:c r="I489" s="35" t="str">
        <x:v>FLD-0217; FLD-0218; FLD-0219; FLD-0220</x:v>
      </x:c>
      <x:c r="J489" s="35" t="str"/>
      <x:c r="K489" s="35" t="str"/>
      <x:c r="L489" s="35" t="str">
        <x:v>Use the source-derived Field Inventory. Enter non-default realistic values in every control (form.petPolicy; form.utilities; form.parking; form.amenities); submit; reload or relaunch; compare every value; edit each mutable field; verify the paired client; then run required, format, length, range, boundary, optional-null, and stale-submit checks.</x:v>
      </x:c>
      <x:c r="M489" s="35" t="str">
        <x:v>All 4 inventoried controls persist exact normalized values, invalid values stay unsaved with clear errors, and hidden/unauthorized fields cannot be altered.</x:v>
      </x:c>
      <x:c r="N489" s="35" t="str">
        <x:v>Before/after form screenshots; FLD IDs; API response; reloaded UI; paired-client read-back; database/audit evidence; negative validation result.</x:v>
      </x:c>
      <x:c r="O489" s="35" t="str">
        <x:v>Use a duplicate submit and one simulated network interruption; one atomic mutation or none, never partial state.</x:v>
      </x:c>
      <x:c r="P489" s="35" t="str">
        <x:v>All expected records and amounts match; no unexplained error or stale state.</x:v>
      </x:c>
    </x:row>
    <x:row r="490">
      <x:c r="A490" s="20" t="str">
        <x:v>RUN-20270330-05</x:v>
      </x:c>
      <x:c r="B490" s="23" t="n">
        <x:v>46476</x:v>
      </x:c>
      <x:c r="C490" s="32" t="n">
        <x:v>5</x:v>
      </x:c>
      <x:c r="D490" s="20" t="str">
        <x:v>Surface coverage</x:v>
      </x:c>
      <x:c r="E490" s="20" t="str">
        <x:v>Role appropriate to surface</x:v>
      </x:c>
      <x:c r="F490" s="20" t="str">
        <x:v>Web</x:v>
      </x:c>
      <x:c r="G490" s="20" t="str">
        <x:v>Manual</x:v>
      </x:c>
      <x:c r="H490" s="35" t="str">
        <x:v>Manual web pass: Lease template upload/designer/default</x:v>
      </x:c>
      <x:c r="I490" s="35" t="str">
        <x:v>COV-011</x:v>
      </x:c>
      <x:c r="J490" s="35" t="str"/>
      <x:c r="K490" s="35" t="str"/>
      <x:c r="L490" s="35" t="str">
        <x:v>Upload template, map fields, preview, activate default, and prove issued packets freeze template version.</x:v>
      </x:c>
      <x:c r="M490" s="35" t="str">
        <x:v>The supported workflow completes and persists correctly; if the capability is absent, the exact gap is proven and queued rather than silently skipped.</x:v>
      </x:c>
      <x:c r="N490" s="35" t="str">
        <x:v>Real UI screenshot/state; submitted values; persisted read-back; cross-client read-back; audit/role/access evidence.</x:v>
      </x:c>
      <x:c r="O490" s="35" t="str">
        <x:v>Use one invalid value, stale-state retry, or duplicate submission relevant to the form; no partial or duplicate mutation.</x:v>
      </x:c>
      <x:c r="P490" s="35" t="str">
        <x:v>All expected records and amounts match; no unexplained error or stale state.</x:v>
      </x:c>
    </x:row>
    <x:row r="491">
      <x:c r="A491" s="20" t="str">
        <x:v>RUN-20270331-01</x:v>
      </x:c>
      <x:c r="B491" s="23" t="n">
        <x:v>46477</x:v>
      </x:c>
      <x:c r="C491" s="32" t="n">
        <x:v>1</x:v>
      </x:c>
      <x:c r="D491" s="20" t="str">
        <x:v>Monthly close</x:v>
      </x:c>
      <x:c r="E491" s="20" t="str">
        <x:v>Workspace Administrator</x:v>
      </x:c>
      <x:c r="F491" s="20" t="str">
        <x:v>Web + Mobile</x:v>
      </x:c>
      <x:c r="G491" s="20" t="str">
        <x:v>Scan/import + reconciliation</x:v>
      </x:c>
      <x:c r="H491" s="35" t="str">
        <x:v>March bank reconciliation and close</x:v>
      </x:c>
      <x:c r="I491" s="35" t="str">
        <x:v>Operating account 4242; deposit trust account 1818; reserve account 7070</x:v>
      </x:c>
      <x:c r="J491" s="35" t="str">
        <x:v>SCN-0527</x:v>
      </x:c>
      <x:c r="K491" s="35" t="str">
        <x:v>FIN-01181</x:v>
      </x:c>
      <x:c r="L491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491" s="35" t="str">
        <x:v>Bank ending cash, AR, deposit trust/liability, loan balance, income, expense, and net operating result match the oracle with zero unexplained variance.</x:v>
      </x:c>
      <x:c r="N491" s="35" t="str">
        <x:v>Bank reconciliation; accounting summary; P&amp;L; cash flow; rent roll/ledger; deposits; delinquency; owner statements; audit export.</x:v>
      </x:c>
      <x:c r="O491" s="35" t="str">
        <x:v>Try one duplicate bank transaction and one date-filter boundary; prove DB-side totals and idempotent matching.</x:v>
      </x:c>
      <x:c r="P491" s="35" t="str">
        <x:v>All monthly checks are OK or a reproducible bug is captured before advancing the clock.</x:v>
      </x:c>
    </x:row>
    <x:row r="492">
      <x:c r="A492" s="20" t="str">
        <x:v>RUN-20270331-02</x:v>
      </x:c>
      <x:c r="B492" s="23" t="n">
        <x:v>46477</x:v>
      </x:c>
      <x:c r="C492" s="32" t="n">
        <x:v>2</x:v>
      </x:c>
      <x:c r="D492" s="20" t="str">
        <x:v>Field certification</x:v>
      </x:c>
      <x:c r="E492" s="20" t="str">
        <x:v>Property Manager</x:v>
      </x:c>
      <x:c r="F492" s="20" t="str">
        <x:v>Web</x:v>
      </x:c>
      <x:c r="G492" s="20" t="str">
        <x:v>Manual field-by-field</x:v>
      </x:c>
      <x:c r="H492" s="35" t="str">
        <x:v>Fill, save, reload, edit, and validate every declared field on web/src/lib/components/unit/tabs/ListingTab.svelte</x:v>
      </x:c>
      <x:c r="I492" s="35" t="str">
        <x:v>FLD-0221; FLD-0222; FLD-0223; FLD-0224; FLD-0225</x:v>
      </x:c>
      <x:c r="J492" s="35" t="str"/>
      <x:c r="K492" s="35" t="str"/>
      <x:c r="L492" s="35" t="str">
        <x:v>Use the source-derived Field Inventory. Enter non-default realistic values in every control (input-10; form.publicationStatus; form.copyConfirmed; form.termsConfirmed; form.photosConfirmed); submit; reload or relaunch; compare every value; edit each mutable field; verify the paired client; then run required, format, length, range, boundary, optional-null, and stale-submit checks.</x:v>
      </x:c>
      <x:c r="M492" s="35" t="str">
        <x:v>All 5 inventoried controls persist exact normalized values, invalid values stay unsaved with clear errors, and hidden/unauthorized fields cannot be altered.</x:v>
      </x:c>
      <x:c r="N492" s="35" t="str">
        <x:v>Before/after form screenshots; FLD IDs; API response; reloaded UI; paired-client read-back; database/audit evidence; negative validation result.</x:v>
      </x:c>
      <x:c r="O492" s="35" t="str">
        <x:v>Use a duplicate submit and one simulated network interruption; one atomic mutation or none, never partial state.</x:v>
      </x:c>
      <x:c r="P492" s="35" t="str">
        <x:v>All expected records and amounts match; no unexplained error or stale state.</x:v>
      </x:c>
    </x:row>
    <x:row r="493">
      <x:c r="A493" s="20" t="str">
        <x:v>RUN-20270331-03</x:v>
      </x:c>
      <x:c r="B493" s="23" t="n">
        <x:v>46477</x:v>
      </x:c>
      <x:c r="C493" s="32" t="n">
        <x:v>3</x:v>
      </x:c>
      <x:c r="D493" s="20" t="str">
        <x:v>Surface coverage</x:v>
      </x:c>
      <x:c r="E493" s="20" t="str">
        <x:v>Role appropriate to surface</x:v>
      </x:c>
      <x:c r="F493" s="20" t="str">
        <x:v>Mobile</x:v>
      </x:c>
      <x:c r="G493" s="20" t="str">
        <x:v>Manual</x:v>
      </x:c>
      <x:c r="H493" s="35" t="str">
        <x:v>Manual mobile pass: Lease template upload/designer/default</x:v>
      </x:c>
      <x:c r="I493" s="35" t="str">
        <x:v>COV-011</x:v>
      </x:c>
      <x:c r="J493" s="35" t="str"/>
      <x:c r="K493" s="35" t="str"/>
      <x:c r="L493" s="35" t="str">
        <x:v>Upload template, map fields, preview, activate default, and prove issued packets freeze template version.</x:v>
      </x:c>
      <x:c r="M493" s="35" t="str">
        <x:v>The supported workflow completes and persists correctly; if the capability is absent, the exact gap is proven and queued rather than silently skipped.</x:v>
      </x:c>
      <x:c r="N493" s="35" t="str">
        <x:v>Real UI screenshot/state; submitted values; persisted read-back; cross-client read-back; audit/role/access evidence.</x:v>
      </x:c>
      <x:c r="O493" s="35" t="str">
        <x:v>Use one invalid value, stale-state retry, or duplicate submission relevant to the form; no partial or duplicate mutation.</x:v>
      </x:c>
      <x:c r="P493" s="35" t="str">
        <x:v>All expected records and amounts match; no unexplained error or stale state.</x:v>
      </x:c>
    </x:row>
    <x:row r="494">
      <x:c r="A494" s="20" t="str">
        <x:v>RUN-20270401-01</x:v>
      </x:c>
      <x:c r="B494" s="23" t="n">
        <x:v>46478</x:v>
      </x:c>
      <x:c r="C494" s="32" t="n">
        <x:v>1</x:v>
      </x:c>
      <x:c r="D494" s="20" t="str">
        <x:v>Monthly operations</x:v>
      </x:c>
      <x:c r="E494" s="20" t="str">
        <x:v>Workspace Administrator</x:v>
      </x:c>
      <x:c r="F494" s="20" t="str">
        <x:v>Web + Mobile</x:v>
      </x:c>
      <x:c r="G494" s="20" t="str">
        <x:v>System automation + reconciliation</x:v>
      </x:c>
      <x:c r="H494" s="35" t="str">
        <x:v>April recurring rent generation</x:v>
      </x:c>
      <x:c r="I494" s="35" t="str">
        <x:v>38 active tenant accounts</x:v>
      </x:c>
      <x:c r="J494" s="35" t="str"/>
      <x:c r="K494" s="35" t="str">
        <x:v>FIN-00249; FIN-00251; FIN-00253; FIN-00255; FIN-00257; FIN-00259; FIN-00261; FIN-00263; FIN-00265; FIN-00267; FIN-00271; FIN-00273; FIN-00276; FIN-00278; FIN-00280; FIN-00282; FIN-00284; FIN-00286; FIN-00288; FIN-00290; FIN-00292; FIN-00296; FIN-00298; FIN-00300; FIN-00302; FIN-00305; FIN-00307; FIN-00309; FIN-00311; FIN-00313; FIN-00315; FIN-00317; FIN-00321; FIN-00323; FIN-00325; FIN-00327; FIN-00329; FIN-00331</x:v>
      </x:c>
      <x:c r="L494" s="35" t="str">
        <x:v>Advance the simulation clock to 08:00 local; run or wait for scheduled finance worker; compare generated charges to active governing agreements, start dates, proration, and unique billing-period keys.</x:v>
      </x:c>
      <x:c r="M494" s="35" t="str">
        <x:v>Exactly 38 rent charges are posted once; mid-month starts prorate; ended leases do not receive future charges.</x:v>
      </x:c>
      <x:c r="N494" s="35" t="str">
        <x:v>Worker status; charge list; month rent-roll export; sampled Unit/Lease/portal balances; SQL query evidence.</x:v>
      </x:c>
      <x:c r="O494" s="35" t="str">
        <x:v>Run the finance worker a second time and prove no duplicate charge; inject one failure and prove charge/audit/outbox atomic rollback.</x:v>
      </x:c>
      <x:c r="P494" s="35" t="str">
        <x:v>All expected records and amounts match; no unexplained error or stale state.</x:v>
      </x:c>
    </x:row>
    <x:row r="495">
      <x:c r="A495" s="20" t="str">
        <x:v>RUN-20270401-02</x:v>
      </x:c>
      <x:c r="B495" s="23" t="n">
        <x:v>46478</x:v>
      </x:c>
      <x:c r="C495" s="32" t="n">
        <x:v>2</x:v>
      </x:c>
      <x:c r="D495" s="20" t="str">
        <x:v>Leasing</x:v>
      </x:c>
      <x:c r="E495" s="20" t="str">
        <x:v>Property Manager + Tenant</x:v>
      </x:c>
      <x:c r="F495" s="20" t="str">
        <x:v>Web + Mobile</x:v>
      </x:c>
      <x:c r="G495" s="20" t="str">
        <x:v>Manual + photo evidence</x:v>
      </x:c>
      <x:c r="H495" s="35" t="str">
        <x:v>Move-in inspection and possession</x:v>
      </x:c>
      <x:c r="I495" s="35" t="str">
        <x:v>L037; U005</x:v>
      </x:c>
      <x:c r="J495" s="35" t="str"/>
      <x:c r="K495" s="35" t="str"/>
      <x:c r="L495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495" s="35" t="str">
        <x:v>Inspection completes, possession opens once, Unit becomes occupied, portal access is scoped, and no lease-status shortcut substitutes for possession truth.</x:v>
      </x:c>
      <x:c r="N495" s="35" t="str">
        <x:v>Inspection report/photos; possession event; occupancy reports; both clients; tenant portal walkthrough.</x:v>
      </x:c>
      <x:c r="O495" s="35" t="str">
        <x:v>Attempt possession a second time and use an invalid date; database invariant prevents overlap/duplication.</x:v>
      </x:c>
      <x:c r="P495" s="35" t="str">
        <x:v>All expected records and amounts match; no unexplained error or stale state.</x:v>
      </x:c>
    </x:row>
    <x:row r="496">
      <x:c r="A496" s="20" t="str">
        <x:v>RUN-20270401-03</x:v>
      </x:c>
      <x:c r="B496" s="23" t="n">
        <x:v>46478</x:v>
      </x:c>
      <x:c r="C496" s="32" t="n">
        <x:v>3</x:v>
      </x:c>
      <x:c r="D496" s="20" t="str">
        <x:v>Role and screen certification</x:v>
      </x:c>
      <x:c r="E496" s="20" t="str">
        <x:v>Workspace Administrator</x:v>
      </x:c>
      <x:c r="F496" s="20" t="str">
        <x:v>Web</x:v>
      </x:c>
      <x:c r="G496" s="20" t="str">
        <x:v>Normal persona navigation</x:v>
      </x:c>
      <x:c r="H496" s="35" t="str">
        <x:v>Use every permitted action and state on /maintenance/recurring</x:v>
      </x:c>
      <x:c r="I496" s="35" t="str">
        <x:v>SCR-043; ROLE-061</x:v>
      </x:c>
      <x:c r="J496" s="35" t="str"/>
      <x:c r="K496" s="35" t="str"/>
      <x:c r="L49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96" s="35" t="str">
        <x:v>The persona can use every allowed action with only its assigned properties/relationships. Hidden or disabled actions explain why; an adjacent unauthorized persona is denied without metadata leakage.</x:v>
      </x:c>
      <x:c r="N496" s="35" t="str">
        <x:v>Persona/experience; navigation entry; desktop or device screenshots; result state; persisted read-back; audit/history; authorized and denied network result.</x:v>
      </x:c>
      <x:c r="O496" s="35" t="str">
        <x:v>Open the direct URL or deep link with an adjacent unauthorized persona and with stale scope; both fail closed and land safely without mutation.</x:v>
      </x:c>
      <x:c r="P496" s="35" t="str">
        <x:v>All expected records and amounts match; no unexplained error or stale state.</x:v>
      </x:c>
    </x:row>
    <x:row r="497">
      <x:c r="A497" s="20" t="str">
        <x:v>RUN-20270401-04</x:v>
      </x:c>
      <x:c r="B497" s="23" t="n">
        <x:v>46478</x:v>
      </x:c>
      <x:c r="C497" s="32" t="n">
        <x:v>4</x:v>
      </x:c>
      <x:c r="D497" s="20" t="str">
        <x:v>Role and screen certification</x:v>
      </x:c>
      <x:c r="E497" s="20" t="str">
        <x:v>Property Manager</x:v>
      </x:c>
      <x:c r="F497" s="20" t="str">
        <x:v>Web</x:v>
      </x:c>
      <x:c r="G497" s="20" t="str">
        <x:v>Normal persona navigation</x:v>
      </x:c>
      <x:c r="H497" s="35" t="str">
        <x:v>Use every permitted action and state on /maintenance/recurring</x:v>
      </x:c>
      <x:c r="I497" s="35" t="str">
        <x:v>SCR-043; ROLE-062</x:v>
      </x:c>
      <x:c r="J497" s="35" t="str"/>
      <x:c r="K497" s="35" t="str"/>
      <x:c r="L49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497" s="35" t="str">
        <x:v>The persona can use every allowed action with only its assigned properties/relationships. Hidden or disabled actions explain why; an adjacent unauthorized persona is denied without metadata leakage.</x:v>
      </x:c>
      <x:c r="N497" s="35" t="str">
        <x:v>Persona/experience; navigation entry; desktop or device screenshots; result state; persisted read-back; audit/history; authorized and denied network result.</x:v>
      </x:c>
      <x:c r="O497" s="35" t="str">
        <x:v>Open the direct URL or deep link with an adjacent unauthorized persona and with stale scope; both fail closed and land safely without mutation.</x:v>
      </x:c>
      <x:c r="P497" s="35" t="str">
        <x:v>All expected records and amounts match; no unexplained error or stale state.</x:v>
      </x:c>
    </x:row>
    <x:row r="498">
      <x:c r="A498" s="20" t="str">
        <x:v>RUN-20270401-05</x:v>
      </x:c>
      <x:c r="B498" s="23" t="n">
        <x:v>46478</x:v>
      </x:c>
      <x:c r="C498" s="32" t="n">
        <x:v>5</x:v>
      </x:c>
      <x:c r="D498" s="20" t="str">
        <x:v>Field certification</x:v>
      </x:c>
      <x:c r="E498" s="20" t="str">
        <x:v>Property Manager</x:v>
      </x:c>
      <x:c r="F498" s="20" t="str">
        <x:v>Web</x:v>
      </x:c>
      <x:c r="G498" s="20" t="str">
        <x:v>Manual field-by-field</x:v>
      </x:c>
      <x:c r="H498" s="35" t="str">
        <x:v>Fill, save, reload, edit, and validate every declared field on web/src/lib/components/unit/tabs/ListingTab.svelte</x:v>
      </x:c>
      <x:c r="I498" s="35" t="str">
        <x:v>FLD-0226; FLD-0227; FLD-0228</x:v>
      </x:c>
      <x:c r="J498" s="35" t="str"/>
      <x:c r="K498" s="35" t="str"/>
      <x:c r="L498" s="35" t="str">
        <x:v>Use the source-derived Field Inventory. Enter non-default realistic values in every control (form.listingUrl; form.applicationUrl; form.externalStatus); submit; reload or relaunch; compare every value; edit each mutable field; verify the paired client; then run required, format, length, range, boundary, optional-null, and stale-submit checks.</x:v>
      </x:c>
      <x:c r="M498" s="35" t="str">
        <x:v>All 3 inventoried controls persist exact normalized values, invalid values stay unsaved with clear errors, and hidden/unauthorized fields cannot be altered.</x:v>
      </x:c>
      <x:c r="N498" s="35" t="str">
        <x:v>Before/after form screenshots; FLD IDs; API response; reloaded UI; paired-client read-back; database/audit evidence; negative validation result.</x:v>
      </x:c>
      <x:c r="O498" s="35" t="str">
        <x:v>Use a duplicate submit and one simulated network interruption; one atomic mutation or none, never partial state.</x:v>
      </x:c>
      <x:c r="P498" s="35" t="str">
        <x:v>All expected records and amounts match; no unexplained error or stale state.</x:v>
      </x:c>
    </x:row>
    <x:row r="499">
      <x:c r="A499" s="20" t="str">
        <x:v>RUN-20270401-06</x:v>
      </x:c>
      <x:c r="B499" s="23" t="n">
        <x:v>46478</x:v>
      </x:c>
      <x:c r="C499" s="32" t="n">
        <x:v>6</x:v>
      </x:c>
      <x:c r="D499" s="20" t="str">
        <x:v>Field certification</x:v>
      </x:c>
      <x:c r="E499" s="20" t="str">
        <x:v>Property Manager</x:v>
      </x:c>
      <x:c r="F499" s="20" t="str">
        <x:v>Web</x:v>
      </x:c>
      <x:c r="G499" s="20" t="str">
        <x:v>Manual field-by-field</x:v>
      </x:c>
      <x:c r="H499" s="35" t="str">
        <x:v>Fill, save, reload, edit, and validate every declared field on web/src/lib/components/unit/tabs/MaintenanceTab.svelte</x:v>
      </x:c>
      <x:c r="I499" s="35" t="str">
        <x:v>FLD-0229</x:v>
      </x:c>
      <x:c r="J499" s="35" t="str"/>
      <x:c r="K499" s="35" t="str"/>
      <x:c r="L499" s="35" t="str">
        <x:v>Use the source-derived Field Inventory. Enter non-default realistic values in every control (wo-title); submit; reload or relaunch; compare every value; edit each mutable field; verify the paired client; then run required, format, length, range, boundary, optional-null, and stale-submit checks.</x:v>
      </x:c>
      <x:c r="M499" s="35" t="str">
        <x:v>All 1 inventoried controls persist exact normalized values, invalid values stay unsaved with clear errors, and hidden/unauthorized fields cannot be altered.</x:v>
      </x:c>
      <x:c r="N499" s="35" t="str">
        <x:v>Before/after form screenshots; FLD IDs; API response; reloaded UI; paired-client read-back; database/audit evidence; negative validation result.</x:v>
      </x:c>
      <x:c r="O499" s="35" t="str">
        <x:v>Use a duplicate submit and one simulated network interruption; one atomic mutation or none, never partial state.</x:v>
      </x:c>
      <x:c r="P499" s="35" t="str">
        <x:v>All expected records and amounts match; no unexplained error or stale state.</x:v>
      </x:c>
    </x:row>
    <x:row r="500">
      <x:c r="A500" s="20" t="str">
        <x:v>RUN-20270401-07</x:v>
      </x:c>
      <x:c r="B500" s="23" t="n">
        <x:v>46478</x:v>
      </x:c>
      <x:c r="C500" s="32" t="n">
        <x:v>7</x:v>
      </x:c>
      <x:c r="D500" s="20" t="str">
        <x:v>Surface coverage</x:v>
      </x:c>
      <x:c r="E500" s="20" t="str">
        <x:v>Role appropriate to surface</x:v>
      </x:c>
      <x:c r="F500" s="20" t="str">
        <x:v>Web</x:v>
      </x:c>
      <x:c r="G500" s="20" t="str">
        <x:v>Scan/attachment</x:v>
      </x:c>
      <x:c r="H500" s="35" t="str">
        <x:v>Scan web pass: Lease template upload/designer/default</x:v>
      </x:c>
      <x:c r="I500" s="35" t="str">
        <x:v>COV-011</x:v>
      </x:c>
      <x:c r="J500" s="35" t="str"/>
      <x:c r="K500" s="35" t="str"/>
      <x:c r="L500" s="35" t="str">
        <x:v>Upload template, map fields, preview, activate default, and prove issued packets freeze template version.</x:v>
      </x:c>
      <x:c r="M500" s="35" t="str">
        <x:v>The supported workflow completes and persists correctly; if the capability is absent, the exact gap is proven and queued rather than silently skipped.</x:v>
      </x:c>
      <x:c r="N500" s="35" t="str">
        <x:v>Real UI screenshot/state; submitted values; persisted read-back; cross-client read-back; audit/role/access evidence.</x:v>
      </x:c>
      <x:c r="O500" s="35" t="str">
        <x:v>Use one invalid value, stale-state retry, or duplicate submission relevant to the form; no partial or duplicate mutation.</x:v>
      </x:c>
      <x:c r="P500" s="35" t="str">
        <x:v>All expected records and amounts match; no unexplained error or stale state.</x:v>
      </x:c>
    </x:row>
    <x:row r="501">
      <x:c r="A501" s="20" t="str">
        <x:v>RUN-20270402-01</x:v>
      </x:c>
      <x:c r="B501" s="23" t="n">
        <x:v>46479</x:v>
      </x:c>
      <x:c r="C501" s="32" t="n">
        <x:v>1</x:v>
      </x:c>
      <x:c r="D501" s="20" t="str">
        <x:v>Role and screen certification</x:v>
      </x:c>
      <x:c r="E501" s="20" t="str">
        <x:v>Workspace Administrator</x:v>
      </x:c>
      <x:c r="F501" s="20" t="str">
        <x:v>Web</x:v>
      </x:c>
      <x:c r="G501" s="20" t="str">
        <x:v>Normal persona navigation</x:v>
      </x:c>
      <x:c r="H501" s="35" t="str">
        <x:v>Use every permitted action and state on /messages</x:v>
      </x:c>
      <x:c r="I501" s="35" t="str">
        <x:v>SCR-044; ROLE-063</x:v>
      </x:c>
      <x:c r="J501" s="35" t="str"/>
      <x:c r="K501" s="35" t="str"/>
      <x:c r="L50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01" s="35" t="str">
        <x:v>The persona can use every allowed action with only its assigned properties/relationships. Hidden or disabled actions explain why; an adjacent unauthorized persona is denied without metadata leakage.</x:v>
      </x:c>
      <x:c r="N501" s="35" t="str">
        <x:v>Persona/experience; navigation entry; desktop or device screenshots; result state; persisted read-back; audit/history; authorized and denied network result.</x:v>
      </x:c>
      <x:c r="O501" s="35" t="str">
        <x:v>Open the direct URL or deep link with an adjacent unauthorized persona and with stale scope; both fail closed and land safely without mutation.</x:v>
      </x:c>
      <x:c r="P501" s="35" t="str">
        <x:v>All expected records and amounts match; no unexplained error or stale state.</x:v>
      </x:c>
    </x:row>
    <x:row r="502">
      <x:c r="A502" s="20" t="str">
        <x:v>RUN-20270402-02</x:v>
      </x:c>
      <x:c r="B502" s="23" t="n">
        <x:v>46479</x:v>
      </x:c>
      <x:c r="C502" s="32" t="n">
        <x:v>2</x:v>
      </x:c>
      <x:c r="D502" s="20" t="str">
        <x:v>Role and screen certification</x:v>
      </x:c>
      <x:c r="E502" s="20" t="str">
        <x:v>Property Manager</x:v>
      </x:c>
      <x:c r="F502" s="20" t="str">
        <x:v>Web</x:v>
      </x:c>
      <x:c r="G502" s="20" t="str">
        <x:v>Normal persona navigation</x:v>
      </x:c>
      <x:c r="H502" s="35" t="str">
        <x:v>Use every permitted action and state on /messages</x:v>
      </x:c>
      <x:c r="I502" s="35" t="str">
        <x:v>SCR-044; ROLE-064</x:v>
      </x:c>
      <x:c r="J502" s="35" t="str"/>
      <x:c r="K502" s="35" t="str"/>
      <x:c r="L50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02" s="35" t="str">
        <x:v>The persona can use every allowed action with only its assigned properties/relationships. Hidden or disabled actions explain why; an adjacent unauthorized persona is denied without metadata leakage.</x:v>
      </x:c>
      <x:c r="N502" s="35" t="str">
        <x:v>Persona/experience; navigation entry; desktop or device screenshots; result state; persisted read-back; audit/history; authorized and denied network result.</x:v>
      </x:c>
      <x:c r="O502" s="35" t="str">
        <x:v>Open the direct URL or deep link with an adjacent unauthorized persona and with stale scope; both fail closed and land safely without mutation.</x:v>
      </x:c>
      <x:c r="P502" s="35" t="str">
        <x:v>All expected records and amounts match; no unexplained error or stale state.</x:v>
      </x:c>
    </x:row>
    <x:row r="503">
      <x:c r="A503" s="20" t="str">
        <x:v>RUN-20270402-03</x:v>
      </x:c>
      <x:c r="B503" s="23" t="n">
        <x:v>46479</x:v>
      </x:c>
      <x:c r="C503" s="32" t="n">
        <x:v>3</x:v>
      </x:c>
      <x:c r="D503" s="20" t="str">
        <x:v>Role and screen certification</x:v>
      </x:c>
      <x:c r="E503" s="20" t="str">
        <x:v>Leasing Agent</x:v>
      </x:c>
      <x:c r="F503" s="20" t="str">
        <x:v>Web</x:v>
      </x:c>
      <x:c r="G503" s="20" t="str">
        <x:v>Normal persona navigation</x:v>
      </x:c>
      <x:c r="H503" s="35" t="str">
        <x:v>Use every permitted action and state on /messages</x:v>
      </x:c>
      <x:c r="I503" s="35" t="str">
        <x:v>SCR-044; ROLE-065</x:v>
      </x:c>
      <x:c r="J503" s="35" t="str"/>
      <x:c r="K503" s="35" t="str"/>
      <x:c r="L50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03" s="35" t="str">
        <x:v>The persona can use every allowed action with only its assigned properties/relationships. Hidden or disabled actions explain why; an adjacent unauthorized persona is denied without metadata leakage.</x:v>
      </x:c>
      <x:c r="N503" s="35" t="str">
        <x:v>Persona/experience; navigation entry; desktop or device screenshots; result state; persisted read-back; audit/history; authorized and denied network result.</x:v>
      </x:c>
      <x:c r="O503" s="35" t="str">
        <x:v>Open the direct URL or deep link with an adjacent unauthorized persona and with stale scope; both fail closed and land safely without mutation.</x:v>
      </x:c>
      <x:c r="P503" s="35" t="str">
        <x:v>All expected records and amounts match; no unexplained error or stale state.</x:v>
      </x:c>
    </x:row>
    <x:row r="504">
      <x:c r="A504" s="20" t="str">
        <x:v>RUN-20270402-04</x:v>
      </x:c>
      <x:c r="B504" s="23" t="n">
        <x:v>46479</x:v>
      </x:c>
      <x:c r="C504" s="32" t="n">
        <x:v>4</x:v>
      </x:c>
      <x:c r="D504" s="20" t="str">
        <x:v>Role and screen certification</x:v>
      </x:c>
      <x:c r="E504" s="20" t="str">
        <x:v>Maintenance Technician</x:v>
      </x:c>
      <x:c r="F504" s="20" t="str">
        <x:v>Web</x:v>
      </x:c>
      <x:c r="G504" s="20" t="str">
        <x:v>Normal persona navigation</x:v>
      </x:c>
      <x:c r="H504" s="35" t="str">
        <x:v>Use every permitted action and state on /messages</x:v>
      </x:c>
      <x:c r="I504" s="35" t="str">
        <x:v>SCR-044; ROLE-066</x:v>
      </x:c>
      <x:c r="J504" s="35" t="str"/>
      <x:c r="K504" s="35" t="str"/>
      <x:c r="L50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04" s="35" t="str">
        <x:v>The persona can use every allowed action with only its assigned properties/relationships. Hidden or disabled actions explain why; an adjacent unauthorized persona is denied without metadata leakage.</x:v>
      </x:c>
      <x:c r="N504" s="35" t="str">
        <x:v>Persona/experience; navigation entry; desktop or device screenshots; result state; persisted read-back; audit/history; authorized and denied network result.</x:v>
      </x:c>
      <x:c r="O504" s="35" t="str">
        <x:v>Open the direct URL or deep link with an adjacent unauthorized persona and with stale scope; both fail closed and land safely without mutation.</x:v>
      </x:c>
      <x:c r="P504" s="35" t="str">
        <x:v>All expected records and amounts match; no unexplained error or stale state.</x:v>
      </x:c>
    </x:row>
    <x:row r="505">
      <x:c r="A505" s="20" t="str">
        <x:v>RUN-20270402-05</x:v>
      </x:c>
      <x:c r="B505" s="23" t="n">
        <x:v>46479</x:v>
      </x:c>
      <x:c r="C505" s="32" t="n">
        <x:v>5</x:v>
      </x:c>
      <x:c r="D505" s="20" t="str">
        <x:v>Field certification</x:v>
      </x:c>
      <x:c r="E505" s="20" t="str">
        <x:v>Property Manager</x:v>
      </x:c>
      <x:c r="F505" s="20" t="str">
        <x:v>Web</x:v>
      </x:c>
      <x:c r="G505" s="20" t="str">
        <x:v>Manual field-by-field</x:v>
      </x:c>
      <x:c r="H505" s="35" t="str">
        <x:v>Fill, save, reload, edit, and validate every declared field on web/src/lib/components/unit/tabs/MaintenanceTab.svelte</x:v>
      </x:c>
      <x:c r="I505" s="35" t="str">
        <x:v>FLD-0230; FLD-0231; FLD-0232; FLD-0233; FLD-0234</x:v>
      </x:c>
      <x:c r="J505" s="35" t="str"/>
      <x:c r="K505" s="35" t="str"/>
      <x:c r="L505" s="35" t="str">
        <x:v>Use the source-derived Field Inventory. Enter non-default realistic values in every control (wo-desc; createForm.priority; wo-priority; Select-5; Select-6); submit; reload or relaunch; compare every value; edit each mutable field; verify the paired client; then run required, format, length, range, boundary, optional-null, and stale-submit checks.</x:v>
      </x:c>
      <x:c r="M505" s="35" t="str">
        <x:v>All 5 inventoried controls persist exact normalized values, invalid values stay unsaved with clear errors, and hidden/unauthorized fields cannot be altered.</x:v>
      </x:c>
      <x:c r="N505" s="35" t="str">
        <x:v>Before/after form screenshots; FLD IDs; API response; reloaded UI; paired-client read-back; database/audit evidence; negative validation result.</x:v>
      </x:c>
      <x:c r="O505" s="35" t="str">
        <x:v>Use a duplicate submit and one simulated network interruption; one atomic mutation or none, never partial state.</x:v>
      </x:c>
      <x:c r="P505" s="35" t="str">
        <x:v>All expected records and amounts match; no unexplained error or stale state.</x:v>
      </x:c>
    </x:row>
    <x:row r="506">
      <x:c r="A506" s="20" t="str">
        <x:v>RUN-20270402-06</x:v>
      </x:c>
      <x:c r="B506" s="23" t="n">
        <x:v>46479</x:v>
      </x:c>
      <x:c r="C506" s="32" t="n">
        <x:v>6</x:v>
      </x:c>
      <x:c r="D506" s="20" t="str">
        <x:v>Notification certification</x:v>
      </x:c>
      <x:c r="E506" s="20" t="str">
        <x:v>Leasing Agent</x:v>
      </x:c>
      <x:c r="F506" s="20" t="str">
        <x:v>Web + Mobile</x:v>
      </x:c>
      <x:c r="G506" s="20" t="str">
        <x:v>System event + preference/manual verification</x:v>
      </x:c>
      <x:c r="H506" s="35" t="str">
        <x:v>Trigger and prove notification: Application received</x:v>
      </x:c>
      <x:c r="I506" s="35" t="str">
        <x:v>NTF-011</x:v>
      </x:c>
      <x:c r="J506" s="35" t="str"/>
      <x:c r="K506" s="35" t="str"/>
      <x:c r="L506" s="35" t="str">
        <x:v>Set each recipient's preferences; trigger the real business event; inspect routing and recipient scope; verify unread badge, list item, safe preview, application detail deep link, mark-read sync, configured channel outcome, provider failure/retry, and duplicate suppression.</x:v>
      </x:c>
      <x:c r="M506" s="35" t="str">
        <x:v>Exactly the intended recipients receive one correctly routed notification; disabled optional channels stay silent; deep link opens authorized context; read state synchronizes.</x:v>
      </x:c>
      <x:c r="N506" s="35" t="str">
        <x:v>Trigger record; routing decision; outbox/delivery status; web/mobile inbox; lock-screen-safe copy; deep-link target; audit/provider retry evidence.</x:v>
      </x:c>
      <x:c r="O506" s="35" t="str">
        <x:v>Re-run the worker and deliver a duplicate provider callback; no duplicate user-visible event. Attempt the deep link as an unauthorized adjacent role.</x:v>
      </x:c>
      <x:c r="P506" s="35" t="str">
        <x:v>All expected records and amounts match; no unexplained error or stale state.</x:v>
      </x:c>
    </x:row>
    <x:row r="507">
      <x:c r="A507" s="20" t="str">
        <x:v>RUN-20270403-01</x:v>
      </x:c>
      <x:c r="B507" s="23" t="n">
        <x:v>46480</x:v>
      </x:c>
      <x:c r="C507" s="32" t="n">
        <x:v>1</x:v>
      </x:c>
      <x:c r="D507" s="20" t="str">
        <x:v>Monthly operations</x:v>
      </x:c>
      <x:c r="E507" s="20" t="str">
        <x:v>Property Manager</x:v>
      </x:c>
      <x:c r="F507" s="20" t="str">
        <x:v>Mobile</x:v>
      </x:c>
      <x:c r="G507" s="20" t="str">
        <x:v>Portal card</x:v>
      </x:c>
      <x:c r="H507" s="35" t="str">
        <x:v>Post and allocate tenant receipt</x:v>
      </x:c>
      <x:c r="I507" s="35" t="str">
        <x:v>P003; U003; L003</x:v>
      </x:c>
      <x:c r="J507" s="35" t="str"/>
      <x:c r="K507" s="35" t="str">
        <x:v>FIN-00253; FIN-00254</x:v>
      </x:c>
      <x:c r="L507" s="35" t="str">
        <x:v>Open Scan for paper payment or the tenant-account receipt form for electronic payment; verify tenant/lease match, amount, date, method, and reference; confirm once; open ledger detail and allocation.</x:v>
      </x:c>
      <x:c r="M507" s="35" t="str">
        <x:v>Receipt is append-only, allocated once to the correct rent charge, and visible consistently in Unit, Lease, Tenant Account, Accounting, and portal views.</x:v>
      </x:c>
      <x:c r="N507" s="35" t="str">
        <x:v>Scan review or form; success result; exact ledger rows; payment detail; accounting delta; portal receipt.</x:v>
      </x:c>
      <x:c r="O507" s="35" t="str">
        <x:v>Retry the idempotency key once during the quarter assigned in the coverage matrix; no duplicate cash or allocation.</x:v>
      </x:c>
      <x:c r="P507" s="35" t="str">
        <x:v>All expected records and amounts match; no unexplained error or stale state.</x:v>
      </x:c>
    </x:row>
    <x:row r="508">
      <x:c r="A508" s="20" t="str">
        <x:v>RUN-20270403-02</x:v>
      </x:c>
      <x:c r="B508" s="23" t="n">
        <x:v>46480</x:v>
      </x:c>
      <x:c r="C508" s="32" t="n">
        <x:v>2</x:v>
      </x:c>
      <x:c r="D508" s="20" t="str">
        <x:v>Monthly operations</x:v>
      </x:c>
      <x:c r="E508" s="20" t="str">
        <x:v>Property Manager</x:v>
      </x:c>
      <x:c r="F508" s="20" t="str">
        <x:v>Web</x:v>
      </x:c>
      <x:c r="G508" s="20" t="str">
        <x:v>Manual ACH</x:v>
      </x:c>
      <x:c r="H508" s="35" t="str">
        <x:v>Post and allocate tenant receipt</x:v>
      </x:c>
      <x:c r="I508" s="35" t="str">
        <x:v>P006; U006; L006</x:v>
      </x:c>
      <x:c r="J508" s="35" t="str"/>
      <x:c r="K508" s="35" t="str">
        <x:v>FIN-00257; FIN-00258</x:v>
      </x:c>
      <x:c r="L508" s="35" t="str">
        <x:v>Open Scan for paper payment or the tenant-account receipt form for electronic payment; verify tenant/lease match, amount, date, method, and reference; confirm once; open ledger detail and allocation.</x:v>
      </x:c>
      <x:c r="M508" s="35" t="str">
        <x:v>Receipt is append-only, allocated once to the correct rent charge, and visible consistently in Unit, Lease, Tenant Account, Accounting, and portal views.</x:v>
      </x:c>
      <x:c r="N508" s="35" t="str">
        <x:v>Scan review or form; success result; exact ledger rows; payment detail; accounting delta; portal receipt.</x:v>
      </x:c>
      <x:c r="O508" s="35" t="str">
        <x:v>Retry the idempotency key once during the quarter assigned in the coverage matrix; no duplicate cash or allocation.</x:v>
      </x:c>
      <x:c r="P508" s="35" t="str">
        <x:v>All expected records and amounts match; no unexplained error or stale state.</x:v>
      </x:c>
    </x:row>
    <x:row r="509">
      <x:c r="A509" s="20" t="str">
        <x:v>RUN-20270403-03</x:v>
      </x:c>
      <x:c r="B509" s="23" t="n">
        <x:v>46480</x:v>
      </x:c>
      <x:c r="C509" s="32" t="n">
        <x:v>3</x:v>
      </x:c>
      <x:c r="D509" s="20" t="str">
        <x:v>Monthly operations</x:v>
      </x:c>
      <x:c r="E509" s="20" t="str">
        <x:v>Property Manager</x:v>
      </x:c>
      <x:c r="F509" s="20" t="str">
        <x:v>Mobile</x:v>
      </x:c>
      <x:c r="G509" s="20" t="str">
        <x:v>Scanned money order</x:v>
      </x:c>
      <x:c r="H509" s="35" t="str">
        <x:v>Post and allocate tenant receipt</x:v>
      </x:c>
      <x:c r="I509" s="35" t="str">
        <x:v>P009; U009; L009</x:v>
      </x:c>
      <x:c r="J509" s="35" t="str">
        <x:v>SCN-0152</x:v>
      </x:c>
      <x:c r="K509" s="35" t="str">
        <x:v>FIN-00263; FIN-00264</x:v>
      </x:c>
      <x:c r="L509" s="35" t="str">
        <x:v>Open Scan for paper payment or the tenant-account receipt form for electronic payment; verify tenant/lease match, amount, date, method, and reference; confirm once; open ledger detail and allocation.</x:v>
      </x:c>
      <x:c r="M509" s="35" t="str">
        <x:v>Receipt is append-only, allocated once to the correct rent charge, and visible consistently in Unit, Lease, Tenant Account, Accounting, and portal views.</x:v>
      </x:c>
      <x:c r="N509" s="35" t="str">
        <x:v>Scan review or form; success result; exact ledger rows; payment detail; accounting delta; portal receipt.</x:v>
      </x:c>
      <x:c r="O509" s="35" t="str">
        <x:v>Retry the idempotency key once during the quarter assigned in the coverage matrix; no duplicate cash or allocation.</x:v>
      </x:c>
      <x:c r="P509" s="35" t="str">
        <x:v>All expected records and amounts match; no unexplained error or stale state.</x:v>
      </x:c>
    </x:row>
    <x:row r="510">
      <x:c r="A510" s="20" t="str">
        <x:v>RUN-20270403-04</x:v>
      </x:c>
      <x:c r="B510" s="23" t="n">
        <x:v>46480</x:v>
      </x:c>
      <x:c r="C510" s="32" t="n">
        <x:v>4</x:v>
      </x:c>
      <x:c r="D510" s="20" t="str">
        <x:v>Monthly operations</x:v>
      </x:c>
      <x:c r="E510" s="20" t="str">
        <x:v>Property Manager</x:v>
      </x:c>
      <x:c r="F510" s="20" t="str">
        <x:v>Mobile</x:v>
      </x:c>
      <x:c r="G510" s="20" t="str">
        <x:v>Portal card</x:v>
      </x:c>
      <x:c r="H510" s="35" t="str">
        <x:v>Post and allocate tenant receipt</x:v>
      </x:c>
      <x:c r="I510" s="35" t="str">
        <x:v>P011; U011; L011</x:v>
      </x:c>
      <x:c r="J510" s="35" t="str"/>
      <x:c r="K510" s="35" t="str">
        <x:v>FIN-00267; FIN-00268</x:v>
      </x:c>
      <x:c r="L510" s="35" t="str">
        <x:v>Open Scan for paper payment or the tenant-account receipt form for electronic payment; verify tenant/lease match, amount, date, method, and reference; confirm once; open ledger detail and allocation.</x:v>
      </x:c>
      <x:c r="M510" s="35" t="str">
        <x:v>Receipt is append-only, allocated once to the correct rent charge, and visible consistently in Unit, Lease, Tenant Account, Accounting, and portal views.</x:v>
      </x:c>
      <x:c r="N510" s="35" t="str">
        <x:v>Scan review or form; success result; exact ledger rows; payment detail; accounting delta; portal receipt.</x:v>
      </x:c>
      <x:c r="O510" s="35" t="str">
        <x:v>Retry the idempotency key once during the quarter assigned in the coverage matrix; no duplicate cash or allocation.</x:v>
      </x:c>
      <x:c r="P510" s="35" t="str">
        <x:v>All expected records and amounts match; no unexplained error or stale state.</x:v>
      </x:c>
    </x:row>
    <x:row r="511">
      <x:c r="A511" s="20" t="str">
        <x:v>RUN-20270403-05</x:v>
      </x:c>
      <x:c r="B511" s="23" t="n">
        <x:v>46480</x:v>
      </x:c>
      <x:c r="C511" s="32" t="n">
        <x:v>5</x:v>
      </x:c>
      <x:c r="D511" s="20" t="str">
        <x:v>Monthly operations</x:v>
      </x:c>
      <x:c r="E511" s="20" t="str">
        <x:v>Property Manager</x:v>
      </x:c>
      <x:c r="F511" s="20" t="str">
        <x:v>Web</x:v>
      </x:c>
      <x:c r="G511" s="20" t="str">
        <x:v>Scanned check</x:v>
      </x:c>
      <x:c r="H511" s="35" t="str">
        <x:v>Post and allocate tenant receipt</x:v>
      </x:c>
      <x:c r="I511" s="35" t="str">
        <x:v>P012; U012; L012</x:v>
      </x:c>
      <x:c r="J511" s="35" t="str">
        <x:v>SCN-0154</x:v>
      </x:c>
      <x:c r="K511" s="35" t="str">
        <x:v>FIN-00271; FIN-00272</x:v>
      </x:c>
      <x:c r="L511" s="35" t="str">
        <x:v>Open Scan for paper payment or the tenant-account receipt form for electronic payment; verify tenant/lease match, amount, date, method, and reference; confirm once; open ledger detail and allocation.</x:v>
      </x:c>
      <x:c r="M511" s="35" t="str">
        <x:v>Receipt is append-only, allocated once to the correct rent charge, and visible consistently in Unit, Lease, Tenant Account, Accounting, and portal views.</x:v>
      </x:c>
      <x:c r="N511" s="35" t="str">
        <x:v>Scan review or form; success result; exact ledger rows; payment detail; accounting delta; portal receipt.</x:v>
      </x:c>
      <x:c r="O511" s="35" t="str">
        <x:v>Retry the idempotency key once during the quarter assigned in the coverage matrix; no duplicate cash or allocation.</x:v>
      </x:c>
      <x:c r="P511" s="35" t="str">
        <x:v>All expected records and amounts match; no unexplained error or stale state.</x:v>
      </x:c>
    </x:row>
    <x:row r="512">
      <x:c r="A512" s="20" t="str">
        <x:v>RUN-20270403-06</x:v>
      </x:c>
      <x:c r="B512" s="23" t="n">
        <x:v>46480</x:v>
      </x:c>
      <x:c r="C512" s="32" t="n">
        <x:v>6</x:v>
      </x:c>
      <x:c r="D512" s="20" t="str">
        <x:v>Monthly operations</x:v>
      </x:c>
      <x:c r="E512" s="20" t="str">
        <x:v>Property Manager</x:v>
      </x:c>
      <x:c r="F512" s="20" t="str">
        <x:v>Mobile</x:v>
      </x:c>
      <x:c r="G512" s="20" t="str">
        <x:v>Portal card</x:v>
      </x:c>
      <x:c r="H512" s="35" t="str">
        <x:v>Post and allocate tenant receipt</x:v>
      </x:c>
      <x:c r="I512" s="35" t="str">
        <x:v>P015; U015; L015</x:v>
      </x:c>
      <x:c r="J512" s="35" t="str"/>
      <x:c r="K512" s="35" t="str">
        <x:v>FIN-00278; FIN-00279</x:v>
      </x:c>
      <x:c r="L512" s="35" t="str">
        <x:v>Open Scan for paper payment or the tenant-account receipt form for electronic payment; verify tenant/lease match, amount, date, method, and reference; confirm once; open ledger detail and allocation.</x:v>
      </x:c>
      <x:c r="M512" s="35" t="str">
        <x:v>Receipt is append-only, allocated once to the correct rent charge, and visible consistently in Unit, Lease, Tenant Account, Accounting, and portal views.</x:v>
      </x:c>
      <x:c r="N512" s="35" t="str">
        <x:v>Scan review or form; success result; exact ledger rows; payment detail; accounting delta; portal receipt.</x:v>
      </x:c>
      <x:c r="O512" s="35" t="str">
        <x:v>Retry the idempotency key once during the quarter assigned in the coverage matrix; no duplicate cash or allocation.</x:v>
      </x:c>
      <x:c r="P512" s="35" t="str">
        <x:v>All expected records and amounts match; no unexplained error or stale state.</x:v>
      </x:c>
    </x:row>
    <x:row r="513">
      <x:c r="A513" s="20" t="str">
        <x:v>RUN-20270403-07</x:v>
      </x:c>
      <x:c r="B513" s="23" t="n">
        <x:v>46480</x:v>
      </x:c>
      <x:c r="C513" s="32" t="n">
        <x:v>7</x:v>
      </x:c>
      <x:c r="D513" s="20" t="str">
        <x:v>Monthly operations</x:v>
      </x:c>
      <x:c r="E513" s="20" t="str">
        <x:v>Property Manager</x:v>
      </x:c>
      <x:c r="F513" s="20" t="str">
        <x:v>Web</x:v>
      </x:c>
      <x:c r="G513" s="20" t="str">
        <x:v>Manual ACH</x:v>
      </x:c>
      <x:c r="H513" s="35" t="str">
        <x:v>Post and allocate tenant receipt</x:v>
      </x:c>
      <x:c r="I513" s="35" t="str">
        <x:v>P018; U018; L018</x:v>
      </x:c>
      <x:c r="J513" s="35" t="str"/>
      <x:c r="K513" s="35" t="str">
        <x:v>FIN-00284; FIN-00285</x:v>
      </x:c>
      <x:c r="L513" s="35" t="str">
        <x:v>Open Scan for paper payment or the tenant-account receipt form for electronic payment; verify tenant/lease match, amount, date, method, and reference; confirm once; open ledger detail and allocation.</x:v>
      </x:c>
      <x:c r="M513" s="35" t="str">
        <x:v>Receipt is append-only, allocated once to the correct rent charge, and visible consistently in Unit, Lease, Tenant Account, Accounting, and portal views.</x:v>
      </x:c>
      <x:c r="N513" s="35" t="str">
        <x:v>Scan review or form; success result; exact ledger rows; payment detail; accounting delta; portal receipt.</x:v>
      </x:c>
      <x:c r="O513" s="35" t="str">
        <x:v>Retry the idempotency key once during the quarter assigned in the coverage matrix; no duplicate cash or allocation.</x:v>
      </x:c>
      <x:c r="P513" s="35" t="str">
        <x:v>All expected records and amounts match; no unexplained error or stale state.</x:v>
      </x:c>
    </x:row>
    <x:row r="514">
      <x:c r="A514" s="20" t="str">
        <x:v>RUN-20270403-08</x:v>
      </x:c>
      <x:c r="B514" s="23" t="n">
        <x:v>46480</x:v>
      </x:c>
      <x:c r="C514" s="32" t="n">
        <x:v>8</x:v>
      </x:c>
      <x:c r="D514" s="20" t="str">
        <x:v>Monthly operations</x:v>
      </x:c>
      <x:c r="E514" s="20" t="str">
        <x:v>Property Manager</x:v>
      </x:c>
      <x:c r="F514" s="20" t="str">
        <x:v>Mobile</x:v>
      </x:c>
      <x:c r="G514" s="20" t="str">
        <x:v>Scanned money order</x:v>
      </x:c>
      <x:c r="H514" s="35" t="str">
        <x:v>Post and allocate tenant receipt</x:v>
      </x:c>
      <x:c r="I514" s="35" t="str">
        <x:v>P021; U021; L021</x:v>
      </x:c>
      <x:c r="J514" s="35" t="str">
        <x:v>SCN-0159</x:v>
      </x:c>
      <x:c r="K514" s="35" t="str">
        <x:v>FIN-00290; FIN-00291</x:v>
      </x:c>
      <x:c r="L514" s="35" t="str">
        <x:v>Open Scan for paper payment or the tenant-account receipt form for electronic payment; verify tenant/lease match, amount, date, method, and reference; confirm once; open ledger detail and allocation.</x:v>
      </x:c>
      <x:c r="M514" s="35" t="str">
        <x:v>Receipt is append-only, allocated once to the correct rent charge, and visible consistently in Unit, Lease, Tenant Account, Accounting, and portal views.</x:v>
      </x:c>
      <x:c r="N514" s="35" t="str">
        <x:v>Scan review or form; success result; exact ledger rows; payment detail; accounting delta; portal receipt.</x:v>
      </x:c>
      <x:c r="O514" s="35" t="str">
        <x:v>Retry the idempotency key once during the quarter assigned in the coverage matrix; no duplicate cash or allocation.</x:v>
      </x:c>
      <x:c r="P514" s="35" t="str">
        <x:v>All expected records and amounts match; no unexplained error or stale state.</x:v>
      </x:c>
    </x:row>
    <x:row r="515">
      <x:c r="A515" s="20" t="str">
        <x:v>RUN-20270403-09</x:v>
      </x:c>
      <x:c r="B515" s="23" t="n">
        <x:v>46480</x:v>
      </x:c>
      <x:c r="C515" s="32" t="n">
        <x:v>9</x:v>
      </x:c>
      <x:c r="D515" s="20" t="str">
        <x:v>Monthly operations</x:v>
      </x:c>
      <x:c r="E515" s="20" t="str">
        <x:v>Property Manager</x:v>
      </x:c>
      <x:c r="F515" s="20" t="str">
        <x:v>Web</x:v>
      </x:c>
      <x:c r="G515" s="20" t="str">
        <x:v>Manual ACH</x:v>
      </x:c>
      <x:c r="H515" s="35" t="str">
        <x:v>Post and allocate tenant receipt</x:v>
      </x:c>
      <x:c r="I515" s="35" t="str">
        <x:v>P021; U022; L022</x:v>
      </x:c>
      <x:c r="J515" s="35" t="str"/>
      <x:c r="K515" s="35" t="str">
        <x:v>FIN-00292; FIN-00293</x:v>
      </x:c>
      <x:c r="L515" s="35" t="str">
        <x:v>Open Scan for paper payment or the tenant-account receipt form for electronic payment; verify tenant/lease match, amount, date, method, and reference; confirm once; open ledger detail and allocation.</x:v>
      </x:c>
      <x:c r="M515" s="35" t="str">
        <x:v>Receipt is append-only, allocated once to the correct rent charge, and visible consistently in Unit, Lease, Tenant Account, Accounting, and portal views.</x:v>
      </x:c>
      <x:c r="N515" s="35" t="str">
        <x:v>Scan review or form; success result; exact ledger rows; payment detail; accounting delta; portal receipt.</x:v>
      </x:c>
      <x:c r="O515" s="35" t="str">
        <x:v>Retry the idempotency key once during the quarter assigned in the coverage matrix; no duplicate cash or allocation.</x:v>
      </x:c>
      <x:c r="P515" s="35" t="str">
        <x:v>All expected records and amounts match; no unexplained error or stale state.</x:v>
      </x:c>
    </x:row>
    <x:row r="516">
      <x:c r="A516" s="20" t="str">
        <x:v>RUN-20270403-10</x:v>
      </x:c>
      <x:c r="B516" s="23" t="n">
        <x:v>46480</x:v>
      </x:c>
      <x:c r="C516" s="32" t="n">
        <x:v>10</x:v>
      </x:c>
      <x:c r="D516" s="20" t="str">
        <x:v>Monthly operations</x:v>
      </x:c>
      <x:c r="E516" s="20" t="str">
        <x:v>Property Manager</x:v>
      </x:c>
      <x:c r="F516" s="20" t="str">
        <x:v>Web</x:v>
      </x:c>
      <x:c r="G516" s="20" t="str">
        <x:v>Scanned check</x:v>
      </x:c>
      <x:c r="H516" s="35" t="str">
        <x:v>Post and allocate tenant receipt</x:v>
      </x:c>
      <x:c r="I516" s="35" t="str">
        <x:v>P022; U024; L024</x:v>
      </x:c>
      <x:c r="J516" s="35" t="str">
        <x:v>SCN-0161</x:v>
      </x:c>
      <x:c r="K516" s="35" t="str">
        <x:v>FIN-00298; FIN-00299</x:v>
      </x:c>
      <x:c r="L516" s="35" t="str">
        <x:v>Open Scan for paper payment or the tenant-account receipt form for electronic payment; verify tenant/lease match, amount, date, method, and reference; confirm once; open ledger detail and allocation.</x:v>
      </x:c>
      <x:c r="M516" s="35" t="str">
        <x:v>Receipt is append-only, allocated once to the correct rent charge, and visible consistently in Unit, Lease, Tenant Account, Accounting, and portal views.</x:v>
      </x:c>
      <x:c r="N516" s="35" t="str">
        <x:v>Scan review or form; success result; exact ledger rows; payment detail; accounting delta; portal receipt.</x:v>
      </x:c>
      <x:c r="O516" s="35" t="str">
        <x:v>Retry the idempotency key once during the quarter assigned in the coverage matrix; no duplicate cash or allocation.</x:v>
      </x:c>
      <x:c r="P516" s="35" t="str">
        <x:v>All expected records and amounts match; no unexplained error or stale state.</x:v>
      </x:c>
    </x:row>
    <x:row r="517">
      <x:c r="A517" s="20" t="str">
        <x:v>RUN-20270403-11</x:v>
      </x:c>
      <x:c r="B517" s="23" t="n">
        <x:v>46480</x:v>
      </x:c>
      <x:c r="C517" s="32" t="n">
        <x:v>11</x:v>
      </x:c>
      <x:c r="D517" s="20" t="str">
        <x:v>Monthly operations</x:v>
      </x:c>
      <x:c r="E517" s="20" t="str">
        <x:v>Property Manager</x:v>
      </x:c>
      <x:c r="F517" s="20" t="str">
        <x:v>Mobile</x:v>
      </x:c>
      <x:c r="G517" s="20" t="str">
        <x:v>Portal card</x:v>
      </x:c>
      <x:c r="H517" s="35" t="str">
        <x:v>Post and allocate tenant receipt</x:v>
      </x:c>
      <x:c r="I517" s="35" t="str">
        <x:v>P024; U027; L027</x:v>
      </x:c>
      <x:c r="J517" s="35" t="str"/>
      <x:c r="K517" s="35" t="str">
        <x:v>FIN-00305; FIN-00306</x:v>
      </x:c>
      <x:c r="L517" s="35" t="str">
        <x:v>Open Scan for paper payment or the tenant-account receipt form for electronic payment; verify tenant/lease match, amount, date, method, and reference; confirm once; open ledger detail and allocation.</x:v>
      </x:c>
      <x:c r="M517" s="35" t="str">
        <x:v>Receipt is append-only, allocated once to the correct rent charge, and visible consistently in Unit, Lease, Tenant Account, Accounting, and portal views.</x:v>
      </x:c>
      <x:c r="N517" s="35" t="str">
        <x:v>Scan review or form; success result; exact ledger rows; payment detail; accounting delta; portal receipt.</x:v>
      </x:c>
      <x:c r="O517" s="35" t="str">
        <x:v>Retry the idempotency key once during the quarter assigned in the coverage matrix; no duplicate cash or allocation.</x:v>
      </x:c>
      <x:c r="P517" s="35" t="str">
        <x:v>All expected records and amounts match; no unexplained error or stale state.</x:v>
      </x:c>
    </x:row>
    <x:row r="518">
      <x:c r="A518" s="20" t="str">
        <x:v>RUN-20270403-12</x:v>
      </x:c>
      <x:c r="B518" s="23" t="n">
        <x:v>46480</x:v>
      </x:c>
      <x:c r="C518" s="32" t="n">
        <x:v>12</x:v>
      </x:c>
      <x:c r="D518" s="20" t="str">
        <x:v>Monthly operations</x:v>
      </x:c>
      <x:c r="E518" s="20" t="str">
        <x:v>Property Manager</x:v>
      </x:c>
      <x:c r="F518" s="20" t="str">
        <x:v>Web</x:v>
      </x:c>
      <x:c r="G518" s="20" t="str">
        <x:v>Manual ACH</x:v>
      </x:c>
      <x:c r="H518" s="35" t="str">
        <x:v>Post and allocate tenant receipt</x:v>
      </x:c>
      <x:c r="I518" s="35" t="str">
        <x:v>P025; U030; L030</x:v>
      </x:c>
      <x:c r="J518" s="35" t="str"/>
      <x:c r="K518" s="35" t="str">
        <x:v>FIN-00311; FIN-00312</x:v>
      </x:c>
      <x:c r="L518" s="35" t="str">
        <x:v>Open Scan for paper payment or the tenant-account receipt form for electronic payment; verify tenant/lease match, amount, date, method, and reference; confirm once; open ledger detail and allocation.</x:v>
      </x:c>
      <x:c r="M518" s="35" t="str">
        <x:v>Receipt is append-only, allocated once to the correct rent charge, and visible consistently in Unit, Lease, Tenant Account, Accounting, and portal views.</x:v>
      </x:c>
      <x:c r="N518" s="35" t="str">
        <x:v>Scan review or form; success result; exact ledger rows; payment detail; accounting delta; portal receipt.</x:v>
      </x:c>
      <x:c r="O518" s="35" t="str">
        <x:v>Retry the idempotency key once during the quarter assigned in the coverage matrix; no duplicate cash or allocation.</x:v>
      </x:c>
      <x:c r="P518" s="35" t="str">
        <x:v>All expected records and amounts match; no unexplained error or stale state.</x:v>
      </x:c>
    </x:row>
    <x:row r="519">
      <x:c r="A519" s="20" t="str">
        <x:v>RUN-20270403-13</x:v>
      </x:c>
      <x:c r="B519" s="23" t="n">
        <x:v>46480</x:v>
      </x:c>
      <x:c r="C519" s="32" t="n">
        <x:v>13</x:v>
      </x:c>
      <x:c r="D519" s="20" t="str">
        <x:v>Monthly operations</x:v>
      </x:c>
      <x:c r="E519" s="20" t="str">
        <x:v>Property Manager</x:v>
      </x:c>
      <x:c r="F519" s="20" t="str">
        <x:v>Mobile</x:v>
      </x:c>
      <x:c r="G519" s="20" t="str">
        <x:v>Scanned money order</x:v>
      </x:c>
      <x:c r="H519" s="35" t="str">
        <x:v>Post and allocate tenant receipt</x:v>
      </x:c>
      <x:c r="I519" s="35" t="str">
        <x:v>P027; U033; L033</x:v>
      </x:c>
      <x:c r="J519" s="35" t="str">
        <x:v>SCN-0167</x:v>
      </x:c>
      <x:c r="K519" s="35" t="str">
        <x:v>FIN-00317; FIN-00318</x:v>
      </x:c>
      <x:c r="L519" s="35" t="str">
        <x:v>Open Scan for paper payment or the tenant-account receipt form for electronic payment; verify tenant/lease match, amount, date, method, and reference; confirm once; open ledger detail and allocation.</x:v>
      </x:c>
      <x:c r="M519" s="35" t="str">
        <x:v>Receipt is append-only, allocated once to the correct rent charge, and visible consistently in Unit, Lease, Tenant Account, Accounting, and portal views.</x:v>
      </x:c>
      <x:c r="N519" s="35" t="str">
        <x:v>Scan review or form; success result; exact ledger rows; payment detail; accounting delta; portal receipt.</x:v>
      </x:c>
      <x:c r="O519" s="35" t="str">
        <x:v>Retry the idempotency key once during the quarter assigned in the coverage matrix; no duplicate cash or allocation.</x:v>
      </x:c>
      <x:c r="P519" s="35" t="str">
        <x:v>All expected records and amounts match; no unexplained error or stale state.</x:v>
      </x:c>
    </x:row>
    <x:row r="520">
      <x:c r="A520" s="20" t="str">
        <x:v>RUN-20270403-14</x:v>
      </x:c>
      <x:c r="B520" s="23" t="n">
        <x:v>46480</x:v>
      </x:c>
      <x:c r="C520" s="32" t="n">
        <x:v>14</x:v>
      </x:c>
      <x:c r="D520" s="20" t="str">
        <x:v>Monthly operations</x:v>
      </x:c>
      <x:c r="E520" s="20" t="str">
        <x:v>Property Manager</x:v>
      </x:c>
      <x:c r="F520" s="20" t="str">
        <x:v>Web</x:v>
      </x:c>
      <x:c r="G520" s="20" t="str">
        <x:v>Scanned check</x:v>
      </x:c>
      <x:c r="H520" s="35" t="str">
        <x:v>Post and allocate tenant receipt</x:v>
      </x:c>
      <x:c r="I520" s="35" t="str">
        <x:v>P028; U036; L036</x:v>
      </x:c>
      <x:c r="J520" s="35" t="str">
        <x:v>SCN-0168</x:v>
      </x:c>
      <x:c r="K520" s="35" t="str">
        <x:v>FIN-00325; FIN-00326</x:v>
      </x:c>
      <x:c r="L520" s="35" t="str">
        <x:v>Open Scan for paper payment or the tenant-account receipt form for electronic payment; verify tenant/lease match, amount, date, method, and reference; confirm once; open ledger detail and allocation.</x:v>
      </x:c>
      <x:c r="M520" s="35" t="str">
        <x:v>Receipt is append-only, allocated once to the correct rent charge, and visible consistently in Unit, Lease, Tenant Account, Accounting, and portal views.</x:v>
      </x:c>
      <x:c r="N520" s="35" t="str">
        <x:v>Scan review or form; success result; exact ledger rows; payment detail; accounting delta; portal receipt.</x:v>
      </x:c>
      <x:c r="O520" s="35" t="str">
        <x:v>Retry the idempotency key once during the quarter assigned in the coverage matrix; no duplicate cash or allocation.</x:v>
      </x:c>
      <x:c r="P520" s="35" t="str">
        <x:v>All expected records and amounts match; no unexplained error or stale state.</x:v>
      </x:c>
    </x:row>
    <x:row r="521">
      <x:c r="A521" s="20" t="str">
        <x:v>RUN-20270403-15</x:v>
      </x:c>
      <x:c r="B521" s="23" t="n">
        <x:v>46480</x:v>
      </x:c>
      <x:c r="C521" s="32" t="n">
        <x:v>15</x:v>
      </x:c>
      <x:c r="D521" s="20" t="str">
        <x:v>Monthly operations</x:v>
      </x:c>
      <x:c r="E521" s="20" t="str">
        <x:v>Property Manager</x:v>
      </x:c>
      <x:c r="F521" s="20" t="str">
        <x:v>Web</x:v>
      </x:c>
      <x:c r="G521" s="20" t="str">
        <x:v>Scanned check</x:v>
      </x:c>
      <x:c r="H521" s="35" t="str">
        <x:v>Post and allocate tenant receipt</x:v>
      </x:c>
      <x:c r="I521" s="35" t="str">
        <x:v>P029; U038; L044</x:v>
      </x:c>
      <x:c r="J521" s="35" t="str">
        <x:v>SCN-0170</x:v>
      </x:c>
      <x:c r="K521" s="35" t="str">
        <x:v>FIN-00331; FIN-00332</x:v>
      </x:c>
      <x:c r="L521" s="35" t="str">
        <x:v>Open Scan for paper payment or the tenant-account receipt form for electronic payment; verify tenant/lease match, amount, date, method, and reference; confirm once; open ledger detail and allocation.</x:v>
      </x:c>
      <x:c r="M521" s="35" t="str">
        <x:v>Receipt is append-only, allocated once to the correct rent charge, and visible consistently in Unit, Lease, Tenant Account, Accounting, and portal views.</x:v>
      </x:c>
      <x:c r="N521" s="35" t="str">
        <x:v>Scan review or form; success result; exact ledger rows; payment detail; accounting delta; portal receipt.</x:v>
      </x:c>
      <x:c r="O521" s="35" t="str">
        <x:v>Retry the idempotency key once during the quarter assigned in the coverage matrix; no duplicate cash or allocation.</x:v>
      </x:c>
      <x:c r="P521" s="35" t="str">
        <x:v>All expected records and amounts match; no unexplained error or stale state.</x:v>
      </x:c>
    </x:row>
    <x:row r="522">
      <x:c r="A522" s="20" t="str">
        <x:v>RUN-20270404-01</x:v>
      </x:c>
      <x:c r="B522" s="23" t="n">
        <x:v>46481</x:v>
      </x:c>
      <x:c r="C522" s="32" t="n">
        <x:v>1</x:v>
      </x:c>
      <x:c r="D522" s="20" t="str">
        <x:v>Monthly operations</x:v>
      </x:c>
      <x:c r="E522" s="20" t="str">
        <x:v>Property Manager</x:v>
      </x:c>
      <x:c r="F522" s="20" t="str">
        <x:v>Mobile</x:v>
      </x:c>
      <x:c r="G522" s="20" t="str">
        <x:v>Scanned money order</x:v>
      </x:c>
      <x:c r="H522" s="35" t="str">
        <x:v>Post and allocate tenant receipt</x:v>
      </x:c>
      <x:c r="I522" s="35" t="str">
        <x:v>P001; U001; L001</x:v>
      </x:c>
      <x:c r="J522" s="35" t="str">
        <x:v>SCN-0149</x:v>
      </x:c>
      <x:c r="K522" s="35" t="str">
        <x:v>FIN-00249; FIN-00250</x:v>
      </x:c>
      <x:c r="L522" s="35" t="str">
        <x:v>Open Scan for paper payment or the tenant-account receipt form for electronic payment; verify tenant/lease match, amount, date, method, and reference; confirm once; open ledger detail and allocation.</x:v>
      </x:c>
      <x:c r="M522" s="35" t="str">
        <x:v>Receipt is append-only, allocated once to the correct rent charge, and visible consistently in Unit, Lease, Tenant Account, Accounting, and portal views.</x:v>
      </x:c>
      <x:c r="N522" s="35" t="str">
        <x:v>Scan review or form; success result; exact ledger rows; payment detail; accounting delta; portal receipt.</x:v>
      </x:c>
      <x:c r="O522" s="35" t="str">
        <x:v>Retry the idempotency key once during the quarter assigned in the coverage matrix; no duplicate cash or allocation.</x:v>
      </x:c>
      <x:c r="P522" s="35" t="str">
        <x:v>All expected records and amounts match; no unexplained error or stale state.</x:v>
      </x:c>
    </x:row>
    <x:row r="523">
      <x:c r="A523" s="20" t="str">
        <x:v>RUN-20270404-02</x:v>
      </x:c>
      <x:c r="B523" s="23" t="n">
        <x:v>46481</x:v>
      </x:c>
      <x:c r="C523" s="32" t="n">
        <x:v>2</x:v>
      </x:c>
      <x:c r="D523" s="20" t="str">
        <x:v>Monthly operations</x:v>
      </x:c>
      <x:c r="E523" s="20" t="str">
        <x:v>Property Manager</x:v>
      </x:c>
      <x:c r="F523" s="20" t="str">
        <x:v>Web</x:v>
      </x:c>
      <x:c r="G523" s="20" t="str">
        <x:v>Scanned check</x:v>
      </x:c>
      <x:c r="H523" s="35" t="str">
        <x:v>Post and allocate tenant receipt</x:v>
      </x:c>
      <x:c r="I523" s="35" t="str">
        <x:v>P004; U004; L004</x:v>
      </x:c>
      <x:c r="J523" s="35" t="str">
        <x:v>SCN-0150</x:v>
      </x:c>
      <x:c r="K523" s="35" t="str">
        <x:v>FIN-00255; FIN-00256</x:v>
      </x:c>
      <x:c r="L523" s="35" t="str">
        <x:v>Open Scan for paper payment or the tenant-account receipt form for electronic payment; verify tenant/lease match, amount, date, method, and reference; confirm once; open ledger detail and allocation.</x:v>
      </x:c>
      <x:c r="M523" s="35" t="str">
        <x:v>Receipt is append-only, allocated once to the correct rent charge, and visible consistently in Unit, Lease, Tenant Account, Accounting, and portal views.</x:v>
      </x:c>
      <x:c r="N523" s="35" t="str">
        <x:v>Scan review or form; success result; exact ledger rows; payment detail; accounting delta; portal receipt.</x:v>
      </x:c>
      <x:c r="O523" s="35" t="str">
        <x:v>Retry the idempotency key once during the quarter assigned in the coverage matrix; no duplicate cash or allocation.</x:v>
      </x:c>
      <x:c r="P523" s="35" t="str">
        <x:v>All expected records and amounts match; no unexplained error or stale state.</x:v>
      </x:c>
    </x:row>
    <x:row r="524">
      <x:c r="A524" s="20" t="str">
        <x:v>RUN-20270404-03</x:v>
      </x:c>
      <x:c r="B524" s="23" t="n">
        <x:v>46481</x:v>
      </x:c>
      <x:c r="C524" s="32" t="n">
        <x:v>3</x:v>
      </x:c>
      <x:c r="D524" s="20" t="str">
        <x:v>Monthly operations</x:v>
      </x:c>
      <x:c r="E524" s="20" t="str">
        <x:v>Property Manager</x:v>
      </x:c>
      <x:c r="F524" s="20" t="str">
        <x:v>Mobile</x:v>
      </x:c>
      <x:c r="G524" s="20" t="str">
        <x:v>Portal card</x:v>
      </x:c>
      <x:c r="H524" s="35" t="str">
        <x:v>Post and allocate tenant receipt</x:v>
      </x:c>
      <x:c r="I524" s="35" t="str">
        <x:v>P007; U007; L007</x:v>
      </x:c>
      <x:c r="J524" s="35" t="str"/>
      <x:c r="K524" s="35" t="str">
        <x:v>FIN-00259; FIN-00260</x:v>
      </x:c>
      <x:c r="L524" s="35" t="str">
        <x:v>Open Scan for paper payment or the tenant-account receipt form for electronic payment; verify tenant/lease match, amount, date, method, and reference; confirm once; open ledger detail and allocation.</x:v>
      </x:c>
      <x:c r="M524" s="35" t="str">
        <x:v>Receipt is append-only, allocated once to the correct rent charge, and visible consistently in Unit, Lease, Tenant Account, Accounting, and portal views.</x:v>
      </x:c>
      <x:c r="N524" s="35" t="str">
        <x:v>Scan review or form; success result; exact ledger rows; payment detail; accounting delta; portal receipt.</x:v>
      </x:c>
      <x:c r="O524" s="35" t="str">
        <x:v>Retry the idempotency key once during the quarter assigned in the coverage matrix; no duplicate cash or allocation.</x:v>
      </x:c>
      <x:c r="P524" s="35" t="str">
        <x:v>All expected records and amounts match; no unexplained error or stale state.</x:v>
      </x:c>
    </x:row>
    <x:row r="525">
      <x:c r="A525" s="20" t="str">
        <x:v>RUN-20270404-04</x:v>
      </x:c>
      <x:c r="B525" s="23" t="n">
        <x:v>46481</x:v>
      </x:c>
      <x:c r="C525" s="32" t="n">
        <x:v>4</x:v>
      </x:c>
      <x:c r="D525" s="20" t="str">
        <x:v>Monthly operations</x:v>
      </x:c>
      <x:c r="E525" s="20" t="str">
        <x:v>Property Manager</x:v>
      </x:c>
      <x:c r="F525" s="20" t="str">
        <x:v>Web</x:v>
      </x:c>
      <x:c r="G525" s="20" t="str">
        <x:v>Manual ACH</x:v>
      </x:c>
      <x:c r="H525" s="35" t="str">
        <x:v>Post and allocate tenant receipt</x:v>
      </x:c>
      <x:c r="I525" s="35" t="str">
        <x:v>P010; U010; L010</x:v>
      </x:c>
      <x:c r="J525" s="35" t="str"/>
      <x:c r="K525" s="35" t="str">
        <x:v>FIN-00265; FIN-00266</x:v>
      </x:c>
      <x:c r="L525" s="35" t="str">
        <x:v>Open Scan for paper payment or the tenant-account receipt form for electronic payment; verify tenant/lease match, amount, date, method, and reference; confirm once; open ledger detail and allocation.</x:v>
      </x:c>
      <x:c r="M525" s="35" t="str">
        <x:v>Receipt is append-only, allocated once to the correct rent charge, and visible consistently in Unit, Lease, Tenant Account, Accounting, and portal views.</x:v>
      </x:c>
      <x:c r="N525" s="35" t="str">
        <x:v>Scan review or form; success result; exact ledger rows; payment detail; accounting delta; portal receipt.</x:v>
      </x:c>
      <x:c r="O525" s="35" t="str">
        <x:v>Retry the idempotency key once during the quarter assigned in the coverage matrix; no duplicate cash or allocation.</x:v>
      </x:c>
      <x:c r="P525" s="35" t="str">
        <x:v>All expected records and amounts match; no unexplained error or stale state.</x:v>
      </x:c>
    </x:row>
    <x:row r="526">
      <x:c r="A526" s="20" t="str">
        <x:v>RUN-20270404-05</x:v>
      </x:c>
      <x:c r="B526" s="23" t="n">
        <x:v>46481</x:v>
      </x:c>
      <x:c r="C526" s="32" t="n">
        <x:v>5</x:v>
      </x:c>
      <x:c r="D526" s="20" t="str">
        <x:v>Monthly operations</x:v>
      </x:c>
      <x:c r="E526" s="20" t="str">
        <x:v>Property Manager</x:v>
      </x:c>
      <x:c r="F526" s="20" t="str">
        <x:v>Web</x:v>
      </x:c>
      <x:c r="G526" s="20" t="str">
        <x:v>Scanned check</x:v>
      </x:c>
      <x:c r="H526" s="35" t="str">
        <x:v>Post and allocate tenant receipt</x:v>
      </x:c>
      <x:c r="I526" s="35" t="str">
        <x:v>P016; U016; L016</x:v>
      </x:c>
      <x:c r="J526" s="35" t="str">
        <x:v>SCN-0156</x:v>
      </x:c>
      <x:c r="K526" s="35" t="str">
        <x:v>FIN-00280; FIN-00281</x:v>
      </x:c>
      <x:c r="L526" s="35" t="str">
        <x:v>Open Scan for paper payment or the tenant-account receipt form for electronic payment; verify tenant/lease match, amount, date, method, and reference; confirm once; open ledger detail and allocation.</x:v>
      </x:c>
      <x:c r="M526" s="35" t="str">
        <x:v>Receipt is append-only, allocated once to the correct rent charge, and visible consistently in Unit, Lease, Tenant Account, Accounting, and portal views.</x:v>
      </x:c>
      <x:c r="N526" s="35" t="str">
        <x:v>Scan review or form; success result; exact ledger rows; payment detail; accounting delta; portal receipt.</x:v>
      </x:c>
      <x:c r="O526" s="35" t="str">
        <x:v>Retry the idempotency key once during the quarter assigned in the coverage matrix; no duplicate cash or allocation.</x:v>
      </x:c>
      <x:c r="P526" s="35" t="str">
        <x:v>All expected records and amounts match; no unexplained error or stale state.</x:v>
      </x:c>
    </x:row>
    <x:row r="527">
      <x:c r="A527" s="20" t="str">
        <x:v>RUN-20270404-06</x:v>
      </x:c>
      <x:c r="B527" s="23" t="n">
        <x:v>46481</x:v>
      </x:c>
      <x:c r="C527" s="32" t="n">
        <x:v>6</x:v>
      </x:c>
      <x:c r="D527" s="20" t="str">
        <x:v>Monthly operations</x:v>
      </x:c>
      <x:c r="E527" s="20" t="str">
        <x:v>Property Manager</x:v>
      </x:c>
      <x:c r="F527" s="20" t="str">
        <x:v>Mobile</x:v>
      </x:c>
      <x:c r="G527" s="20" t="str">
        <x:v>Portal card</x:v>
      </x:c>
      <x:c r="H527" s="35" t="str">
        <x:v>Post and allocate tenant receipt</x:v>
      </x:c>
      <x:c r="I527" s="35" t="str">
        <x:v>P019; U019; L019</x:v>
      </x:c>
      <x:c r="J527" s="35" t="str"/>
      <x:c r="K527" s="35" t="str">
        <x:v>FIN-00286; FIN-00287</x:v>
      </x:c>
      <x:c r="L527" s="35" t="str">
        <x:v>Open Scan for paper payment or the tenant-account receipt form for electronic payment; verify tenant/lease match, amount, date, method, and reference; confirm once; open ledger detail and allocation.</x:v>
      </x:c>
      <x:c r="M527" s="35" t="str">
        <x:v>Receipt is append-only, allocated once to the correct rent charge, and visible consistently in Unit, Lease, Tenant Account, Accounting, and portal views.</x:v>
      </x:c>
      <x:c r="N527" s="35" t="str">
        <x:v>Scan review or form; success result; exact ledger rows; payment detail; accounting delta; portal receipt.</x:v>
      </x:c>
      <x:c r="O527" s="35" t="str">
        <x:v>Retry the idempotency key once during the quarter assigned in the coverage matrix; no duplicate cash or allocation.</x:v>
      </x:c>
      <x:c r="P527" s="35" t="str">
        <x:v>All expected records and amounts match; no unexplained error or stale state.</x:v>
      </x:c>
    </x:row>
    <x:row r="528">
      <x:c r="A528" s="20" t="str">
        <x:v>RUN-20270404-07</x:v>
      </x:c>
      <x:c r="B528" s="23" t="n">
        <x:v>46481</x:v>
      </x:c>
      <x:c r="C528" s="32" t="n">
        <x:v>7</x:v>
      </x:c>
      <x:c r="D528" s="20" t="str">
        <x:v>Monthly operations</x:v>
      </x:c>
      <x:c r="E528" s="20" t="str">
        <x:v>Property Manager</x:v>
      </x:c>
      <x:c r="F528" s="20" t="str">
        <x:v>Mobile</x:v>
      </x:c>
      <x:c r="G528" s="20" t="str">
        <x:v>Scanned money order</x:v>
      </x:c>
      <x:c r="H528" s="35" t="str">
        <x:v>Post and allocate tenant receipt</x:v>
      </x:c>
      <x:c r="I528" s="35" t="str">
        <x:v>P023; U025; L025</x:v>
      </x:c>
      <x:c r="J528" s="35" t="str">
        <x:v>SCN-0162</x:v>
      </x:c>
      <x:c r="K528" s="35" t="str">
        <x:v>FIN-00300; FIN-00301</x:v>
      </x:c>
      <x:c r="L528" s="35" t="str">
        <x:v>Open Scan for paper payment or the tenant-account receipt form for electronic payment; verify tenant/lease match, amount, date, method, and reference; confirm once; open ledger detail and allocation.</x:v>
      </x:c>
      <x:c r="M528" s="35" t="str">
        <x:v>Receipt is append-only, allocated once to the correct rent charge, and visible consistently in Unit, Lease, Tenant Account, Accounting, and portal views.</x:v>
      </x:c>
      <x:c r="N528" s="35" t="str">
        <x:v>Scan review or form; success result; exact ledger rows; payment detail; accounting delta; portal receipt.</x:v>
      </x:c>
      <x:c r="O528" s="35" t="str">
        <x:v>Retry the idempotency key once during the quarter assigned in the coverage matrix; no duplicate cash or allocation.</x:v>
      </x:c>
      <x:c r="P528" s="35" t="str">
        <x:v>All expected records and amounts match; no unexplained error or stale state.</x:v>
      </x:c>
    </x:row>
    <x:row r="529">
      <x:c r="A529" s="20" t="str">
        <x:v>RUN-20270404-08</x:v>
      </x:c>
      <x:c r="B529" s="23" t="n">
        <x:v>46481</x:v>
      </x:c>
      <x:c r="C529" s="32" t="n">
        <x:v>8</x:v>
      </x:c>
      <x:c r="D529" s="20" t="str">
        <x:v>Monthly operations</x:v>
      </x:c>
      <x:c r="E529" s="20" t="str">
        <x:v>Property Manager</x:v>
      </x:c>
      <x:c r="F529" s="20" t="str">
        <x:v>Web</x:v>
      </x:c>
      <x:c r="G529" s="20" t="str">
        <x:v>Scanned check</x:v>
      </x:c>
      <x:c r="H529" s="35" t="str">
        <x:v>Post and allocate tenant receipt</x:v>
      </x:c>
      <x:c r="I529" s="35" t="str">
        <x:v>P024; U028; L028</x:v>
      </x:c>
      <x:c r="J529" s="35" t="str">
        <x:v>SCN-0164</x:v>
      </x:c>
      <x:c r="K529" s="35" t="str">
        <x:v>FIN-00307; FIN-00308</x:v>
      </x:c>
      <x:c r="L529" s="35" t="str">
        <x:v>Open Scan for paper payment or the tenant-account receipt form for electronic payment; verify tenant/lease match, amount, date, method, and reference; confirm once; open ledger detail and allocation.</x:v>
      </x:c>
      <x:c r="M529" s="35" t="str">
        <x:v>Receipt is append-only, allocated once to the correct rent charge, and visible consistently in Unit, Lease, Tenant Account, Accounting, and portal views.</x:v>
      </x:c>
      <x:c r="N529" s="35" t="str">
        <x:v>Scan review or form; success result; exact ledger rows; payment detail; accounting delta; portal receipt.</x:v>
      </x:c>
      <x:c r="O529" s="35" t="str">
        <x:v>Retry the idempotency key once during the quarter assigned in the coverage matrix; no duplicate cash or allocation.</x:v>
      </x:c>
      <x:c r="P529" s="35" t="str">
        <x:v>All expected records and amounts match; no unexplained error or stale state.</x:v>
      </x:c>
    </x:row>
    <x:row r="530">
      <x:c r="A530" s="20" t="str">
        <x:v>RUN-20270404-09</x:v>
      </x:c>
      <x:c r="B530" s="23" t="n">
        <x:v>46481</x:v>
      </x:c>
      <x:c r="C530" s="32" t="n">
        <x:v>9</x:v>
      </x:c>
      <x:c r="D530" s="20" t="str">
        <x:v>Monthly operations</x:v>
      </x:c>
      <x:c r="E530" s="20" t="str">
        <x:v>Property Manager</x:v>
      </x:c>
      <x:c r="F530" s="20" t="str">
        <x:v>Mobile</x:v>
      </x:c>
      <x:c r="G530" s="20" t="str">
        <x:v>Portal card</x:v>
      </x:c>
      <x:c r="H530" s="35" t="str">
        <x:v>Post and allocate tenant receipt</x:v>
      </x:c>
      <x:c r="I530" s="35" t="str">
        <x:v>P026; U031; L031</x:v>
      </x:c>
      <x:c r="J530" s="35" t="str"/>
      <x:c r="K530" s="35" t="str">
        <x:v>FIN-00313; FIN-00314</x:v>
      </x:c>
      <x:c r="L530" s="35" t="str">
        <x:v>Open Scan for paper payment or the tenant-account receipt form for electronic payment; verify tenant/lease match, amount, date, method, and reference; confirm once; open ledger detail and allocation.</x:v>
      </x:c>
      <x:c r="M530" s="35" t="str">
        <x:v>Receipt is append-only, allocated once to the correct rent charge, and visible consistently in Unit, Lease, Tenant Account, Accounting, and portal views.</x:v>
      </x:c>
      <x:c r="N530" s="35" t="str">
        <x:v>Scan review or form; success result; exact ledger rows; payment detail; accounting delta; portal receipt.</x:v>
      </x:c>
      <x:c r="O530" s="35" t="str">
        <x:v>Retry the idempotency key once during the quarter assigned in the coverage matrix; no duplicate cash or allocation.</x:v>
      </x:c>
      <x:c r="P530" s="35" t="str">
        <x:v>All expected records and amounts match; no unexplained error or stale state.</x:v>
      </x:c>
    </x:row>
    <x:row r="531">
      <x:c r="A531" s="20" t="str">
        <x:v>RUN-20270404-10</x:v>
      </x:c>
      <x:c r="B531" s="23" t="n">
        <x:v>46481</x:v>
      </x:c>
      <x:c r="C531" s="32" t="n">
        <x:v>10</x:v>
      </x:c>
      <x:c r="D531" s="20" t="str">
        <x:v>Monthly operations</x:v>
      </x:c>
      <x:c r="E531" s="20" t="str">
        <x:v>Property Manager</x:v>
      </x:c>
      <x:c r="F531" s="20" t="str">
        <x:v>Web</x:v>
      </x:c>
      <x:c r="G531" s="20" t="str">
        <x:v>Manual ACH</x:v>
      </x:c>
      <x:c r="H531" s="35" t="str">
        <x:v>Post and allocate tenant receipt</x:v>
      </x:c>
      <x:c r="I531" s="35" t="str">
        <x:v>P027; U034; L034</x:v>
      </x:c>
      <x:c r="J531" s="35" t="str"/>
      <x:c r="K531" s="35" t="str">
        <x:v>FIN-00321; FIN-00322</x:v>
      </x:c>
      <x:c r="L531" s="35" t="str">
        <x:v>Open Scan for paper payment or the tenant-account receipt form for electronic payment; verify tenant/lease match, amount, date, method, and reference; confirm once; open ledger detail and allocation.</x:v>
      </x:c>
      <x:c r="M531" s="35" t="str">
        <x:v>Receipt is append-only, allocated once to the correct rent charge, and visible consistently in Unit, Lease, Tenant Account, Accounting, and portal views.</x:v>
      </x:c>
      <x:c r="N531" s="35" t="str">
        <x:v>Scan review or form; success result; exact ledger rows; payment detail; accounting delta; portal receipt.</x:v>
      </x:c>
      <x:c r="O531" s="35" t="str">
        <x:v>Retry the idempotency key once during the quarter assigned in the coverage matrix; no duplicate cash or allocation.</x:v>
      </x:c>
      <x:c r="P531" s="35" t="str">
        <x:v>All expected records and amounts match; no unexplained error or stale state.</x:v>
      </x:c>
    </x:row>
    <x:row r="532">
      <x:c r="A532" s="20" t="str">
        <x:v>RUN-20270404-11</x:v>
      </x:c>
      <x:c r="B532" s="23" t="n">
        <x:v>46481</x:v>
      </x:c>
      <x:c r="C532" s="32" t="n">
        <x:v>11</x:v>
      </x:c>
      <x:c r="D532" s="20" t="str">
        <x:v>Monthly operations</x:v>
      </x:c>
      <x:c r="E532" s="20" t="str">
        <x:v>Property Manager</x:v>
      </x:c>
      <x:c r="F532" s="20" t="str">
        <x:v>Mobile</x:v>
      </x:c>
      <x:c r="G532" s="20" t="str">
        <x:v>Scanned money order</x:v>
      </x:c>
      <x:c r="H532" s="35" t="str">
        <x:v>Post and allocate tenant receipt</x:v>
      </x:c>
      <x:c r="I532" s="35" t="str">
        <x:v>P005; U005; L037</x:v>
      </x:c>
      <x:c r="J532" s="35" t="str">
        <x:v>SCN-0169</x:v>
      </x:c>
      <x:c r="K532" s="35" t="str">
        <x:v>FIN-00327; FIN-00328</x:v>
      </x:c>
      <x:c r="L532" s="35" t="str">
        <x:v>Open Scan for paper payment or the tenant-account receipt form for electronic payment; verify tenant/lease match, amount, date, method, and reference; confirm once; open ledger detail and allocation.</x:v>
      </x:c>
      <x:c r="M532" s="35" t="str">
        <x:v>Receipt is append-only, allocated once to the correct rent charge, and visible consistently in Unit, Lease, Tenant Account, Accounting, and portal views.</x:v>
      </x:c>
      <x:c r="N532" s="35" t="str">
        <x:v>Scan review or form; success result; exact ledger rows; payment detail; accounting delta; portal receipt.</x:v>
      </x:c>
      <x:c r="O532" s="35" t="str">
        <x:v>Retry the idempotency key once during the quarter assigned in the coverage matrix; no duplicate cash or allocation.</x:v>
      </x:c>
      <x:c r="P532" s="35" t="str">
        <x:v>All expected records and amounts match; no unexplained error or stale state.</x:v>
      </x:c>
    </x:row>
    <x:row r="533">
      <x:c r="A533" s="20" t="str">
        <x:v>RUN-20270404-12</x:v>
      </x:c>
      <x:c r="B533" s="23" t="n">
        <x:v>46481</x:v>
      </x:c>
      <x:c r="C533" s="32" t="n">
        <x:v>12</x:v>
      </x:c>
      <x:c r="D533" s="20" t="str">
        <x:v>Monthly operations</x:v>
      </x:c>
      <x:c r="E533" s="20" t="str">
        <x:v>Property Manager</x:v>
      </x:c>
      <x:c r="F533" s="20" t="str">
        <x:v>Mobile</x:v>
      </x:c>
      <x:c r="G533" s="20" t="str">
        <x:v>Portal card</x:v>
      </x:c>
      <x:c r="H533" s="35" t="str">
        <x:v>Post and allocate tenant receipt</x:v>
      </x:c>
      <x:c r="I533" s="35" t="str">
        <x:v>P029; U037; L043</x:v>
      </x:c>
      <x:c r="J533" s="35" t="str"/>
      <x:c r="K533" s="35" t="str">
        <x:v>FIN-00329; FIN-00330</x:v>
      </x:c>
      <x:c r="L533" s="35" t="str">
        <x:v>Open Scan for paper payment or the tenant-account receipt form for electronic payment; verify tenant/lease match, amount, date, method, and reference; confirm once; open ledger detail and allocation.</x:v>
      </x:c>
      <x:c r="M533" s="35" t="str">
        <x:v>Receipt is append-only, allocated once to the correct rent charge, and visible consistently in Unit, Lease, Tenant Account, Accounting, and portal views.</x:v>
      </x:c>
      <x:c r="N533" s="35" t="str">
        <x:v>Scan review or form; success result; exact ledger rows; payment detail; accounting delta; portal receipt.</x:v>
      </x:c>
      <x:c r="O533" s="35" t="str">
        <x:v>Retry the idempotency key once during the quarter assigned in the coverage matrix; no duplicate cash or allocation.</x:v>
      </x:c>
      <x:c r="P533" s="35" t="str">
        <x:v>All expected records and amounts match; no unexplained error or stale state.</x:v>
      </x:c>
    </x:row>
    <x:row r="534">
      <x:c r="A534" s="20" t="str">
        <x:v>RUN-20270405-01</x:v>
      </x:c>
      <x:c r="B534" s="23" t="n">
        <x:v>46482</x:v>
      </x:c>
      <x:c r="C534" s="32" t="n">
        <x:v>1</x:v>
      </x:c>
      <x:c r="D534" s="20" t="str">
        <x:v>Monthly operations</x:v>
      </x:c>
      <x:c r="E534" s="20" t="str">
        <x:v>Property Manager</x:v>
      </x:c>
      <x:c r="F534" s="20" t="str">
        <x:v>Web</x:v>
      </x:c>
      <x:c r="G534" s="20" t="str">
        <x:v>Manual ACH</x:v>
      </x:c>
      <x:c r="H534" s="35" t="str">
        <x:v>Post and allocate tenant receipt</x:v>
      </x:c>
      <x:c r="I534" s="35" t="str">
        <x:v>P002; U002; L002</x:v>
      </x:c>
      <x:c r="J534" s="35" t="str"/>
      <x:c r="K534" s="35" t="str">
        <x:v>FIN-00251; FIN-00252</x:v>
      </x:c>
      <x:c r="L534" s="35" t="str">
        <x:v>Open Scan for paper payment or the tenant-account receipt form for electronic payment; verify tenant/lease match, amount, date, method, and reference; confirm once; open ledger detail and allocation.</x:v>
      </x:c>
      <x:c r="M534" s="35" t="str">
        <x:v>Receipt is append-only, allocated once to the correct rent charge, and visible consistently in Unit, Lease, Tenant Account, Accounting, and portal views.</x:v>
      </x:c>
      <x:c r="N534" s="35" t="str">
        <x:v>Scan review or form; success result; exact ledger rows; payment detail; accounting delta; portal receipt.</x:v>
      </x:c>
      <x:c r="O534" s="35" t="str">
        <x:v>Retry the idempotency key once during the quarter assigned in the coverage matrix; no duplicate cash or allocation.</x:v>
      </x:c>
      <x:c r="P534" s="35" t="str">
        <x:v>All expected records and amounts match; no unexplained error or stale state.</x:v>
      </x:c>
    </x:row>
    <x:row r="535">
      <x:c r="A535" s="20" t="str">
        <x:v>RUN-20270405-02</x:v>
      </x:c>
      <x:c r="B535" s="23" t="n">
        <x:v>46482</x:v>
      </x:c>
      <x:c r="C535" s="32" t="n">
        <x:v>2</x:v>
      </x:c>
      <x:c r="D535" s="20" t="str">
        <x:v>Monthly operations</x:v>
      </x:c>
      <x:c r="E535" s="20" t="str">
        <x:v>Property Manager</x:v>
      </x:c>
      <x:c r="F535" s="20" t="str">
        <x:v>Web</x:v>
      </x:c>
      <x:c r="G535" s="20" t="str">
        <x:v>Scanned check</x:v>
      </x:c>
      <x:c r="H535" s="35" t="str">
        <x:v>Post and allocate tenant receipt</x:v>
      </x:c>
      <x:c r="I535" s="35" t="str">
        <x:v>P008; U008; L008</x:v>
      </x:c>
      <x:c r="J535" s="35" t="str">
        <x:v>SCN-0151</x:v>
      </x:c>
      <x:c r="K535" s="35" t="str">
        <x:v>FIN-00261; FIN-00262</x:v>
      </x:c>
      <x:c r="L535" s="35" t="str">
        <x:v>Open Scan for paper payment or the tenant-account receipt form for electronic payment; verify tenant/lease match, amount, date, method, and reference; confirm once; open ledger detail and allocation.</x:v>
      </x:c>
      <x:c r="M535" s="35" t="str">
        <x:v>Receipt is append-only, allocated once to the correct rent charge, and visible consistently in Unit, Lease, Tenant Account, Accounting, and portal views.</x:v>
      </x:c>
      <x:c r="N535" s="35" t="str">
        <x:v>Scan review or form; success result; exact ledger rows; payment detail; accounting delta; portal receipt.</x:v>
      </x:c>
      <x:c r="O535" s="35" t="str">
        <x:v>Retry the idempotency key once during the quarter assigned in the coverage matrix; no duplicate cash or allocation.</x:v>
      </x:c>
      <x:c r="P535" s="35" t="str">
        <x:v>All expected records and amounts match; no unexplained error or stale state.</x:v>
      </x:c>
    </x:row>
    <x:row r="536">
      <x:c r="A536" s="20" t="str">
        <x:v>RUN-20270405-03</x:v>
      </x:c>
      <x:c r="B536" s="23" t="n">
        <x:v>46482</x:v>
      </x:c>
      <x:c r="C536" s="32" t="n">
        <x:v>3</x:v>
      </x:c>
      <x:c r="D536" s="20" t="str">
        <x:v>Monthly operations</x:v>
      </x:c>
      <x:c r="E536" s="20" t="str">
        <x:v>Property Manager</x:v>
      </x:c>
      <x:c r="F536" s="20" t="str">
        <x:v>Web</x:v>
      </x:c>
      <x:c r="G536" s="20" t="str">
        <x:v>Manual ACH</x:v>
      </x:c>
      <x:c r="H536" s="35" t="str">
        <x:v>Post and allocate tenant receipt</x:v>
      </x:c>
      <x:c r="I536" s="35" t="str">
        <x:v>P014; U014; L014</x:v>
      </x:c>
      <x:c r="J536" s="35" t="str"/>
      <x:c r="K536" s="35" t="str">
        <x:v>FIN-00276; FIN-00277</x:v>
      </x:c>
      <x:c r="L536" s="35" t="str">
        <x:v>Open Scan for paper payment or the tenant-account receipt form for electronic payment; verify tenant/lease match, amount, date, method, and reference; confirm once; open ledger detail and allocation.</x:v>
      </x:c>
      <x:c r="M536" s="35" t="str">
        <x:v>Receipt is append-only, allocated once to the correct rent charge, and visible consistently in Unit, Lease, Tenant Account, Accounting, and portal views.</x:v>
      </x:c>
      <x:c r="N536" s="35" t="str">
        <x:v>Scan review or form; success result; exact ledger rows; payment detail; accounting delta; portal receipt.</x:v>
      </x:c>
      <x:c r="O536" s="35" t="str">
        <x:v>Retry the idempotency key once during the quarter assigned in the coverage matrix; no duplicate cash or allocation.</x:v>
      </x:c>
      <x:c r="P536" s="35" t="str">
        <x:v>All expected records and amounts match; no unexplained error or stale state.</x:v>
      </x:c>
    </x:row>
    <x:row r="537">
      <x:c r="A537" s="20" t="str">
        <x:v>RUN-20270405-04</x:v>
      </x:c>
      <x:c r="B537" s="23" t="n">
        <x:v>46482</x:v>
      </x:c>
      <x:c r="C537" s="32" t="n">
        <x:v>4</x:v>
      </x:c>
      <x:c r="D537" s="20" t="str">
        <x:v>Monthly operations</x:v>
      </x:c>
      <x:c r="E537" s="20" t="str">
        <x:v>Property Manager</x:v>
      </x:c>
      <x:c r="F537" s="20" t="str">
        <x:v>Mobile</x:v>
      </x:c>
      <x:c r="G537" s="20" t="str">
        <x:v>Scanned money order</x:v>
      </x:c>
      <x:c r="H537" s="35" t="str">
        <x:v>Post and allocate tenant receipt</x:v>
      </x:c>
      <x:c r="I537" s="35" t="str">
        <x:v>P017; U017; L017</x:v>
      </x:c>
      <x:c r="J537" s="35" t="str">
        <x:v>SCN-0157</x:v>
      </x:c>
      <x:c r="K537" s="35" t="str">
        <x:v>FIN-00282; FIN-00283</x:v>
      </x:c>
      <x:c r="L537" s="35" t="str">
        <x:v>Open Scan for paper payment or the tenant-account receipt form for electronic payment; verify tenant/lease match, amount, date, method, and reference; confirm once; open ledger detail and allocation.</x:v>
      </x:c>
      <x:c r="M537" s="35" t="str">
        <x:v>Receipt is append-only, allocated once to the correct rent charge, and visible consistently in Unit, Lease, Tenant Account, Accounting, and portal views.</x:v>
      </x:c>
      <x:c r="N537" s="35" t="str">
        <x:v>Scan review or form; success result; exact ledger rows; payment detail; accounting delta; portal receipt.</x:v>
      </x:c>
      <x:c r="O537" s="35" t="str">
        <x:v>Retry the idempotency key once during the quarter assigned in the coverage matrix; no duplicate cash or allocation.</x:v>
      </x:c>
      <x:c r="P537" s="35" t="str">
        <x:v>All expected records and amounts match; no unexplained error or stale state.</x:v>
      </x:c>
    </x:row>
    <x:row r="538">
      <x:c r="A538" s="20" t="str">
        <x:v>RUN-20270405-05</x:v>
      </x:c>
      <x:c r="B538" s="23" t="n">
        <x:v>46482</x:v>
      </x:c>
      <x:c r="C538" s="32" t="n">
        <x:v>5</x:v>
      </x:c>
      <x:c r="D538" s="20" t="str">
        <x:v>Monthly operations</x:v>
      </x:c>
      <x:c r="E538" s="20" t="str">
        <x:v>Property Manager</x:v>
      </x:c>
      <x:c r="F538" s="20" t="str">
        <x:v>Web</x:v>
      </x:c>
      <x:c r="G538" s="20" t="str">
        <x:v>Scanned check</x:v>
      </x:c>
      <x:c r="H538" s="35" t="str">
        <x:v>Post and allocate tenant receipt</x:v>
      </x:c>
      <x:c r="I538" s="35" t="str">
        <x:v>P020; U020; L020</x:v>
      </x:c>
      <x:c r="J538" s="35" t="str">
        <x:v>SCN-0158</x:v>
      </x:c>
      <x:c r="K538" s="35" t="str">
        <x:v>FIN-00288; FIN-00289</x:v>
      </x:c>
      <x:c r="L538" s="35" t="str">
        <x:v>Open Scan for paper payment or the tenant-account receipt form for electronic payment; verify tenant/lease match, amount, date, method, and reference; confirm once; open ledger detail and allocation.</x:v>
      </x:c>
      <x:c r="M538" s="35" t="str">
        <x:v>Receipt is append-only, allocated once to the correct rent charge, and visible consistently in Unit, Lease, Tenant Account, Accounting, and portal views.</x:v>
      </x:c>
      <x:c r="N538" s="35" t="str">
        <x:v>Scan review or form; success result; exact ledger rows; payment detail; accounting delta; portal receipt.</x:v>
      </x:c>
      <x:c r="O538" s="35" t="str">
        <x:v>Retry the idempotency key once during the quarter assigned in the coverage matrix; no duplicate cash or allocation.</x:v>
      </x:c>
      <x:c r="P538" s="35" t="str">
        <x:v>All expected records and amounts match; no unexplained error or stale state.</x:v>
      </x:c>
    </x:row>
    <x:row r="539">
      <x:c r="A539" s="20" t="str">
        <x:v>RUN-20270405-06</x:v>
      </x:c>
      <x:c r="B539" s="23" t="n">
        <x:v>46482</x:v>
      </x:c>
      <x:c r="C539" s="32" t="n">
        <x:v>6</x:v>
      </x:c>
      <x:c r="D539" s="20" t="str">
        <x:v>Monthly operations</x:v>
      </x:c>
      <x:c r="E539" s="20" t="str">
        <x:v>Property Manager</x:v>
      </x:c>
      <x:c r="F539" s="20" t="str">
        <x:v>Mobile</x:v>
      </x:c>
      <x:c r="G539" s="20" t="str">
        <x:v>Portal card</x:v>
      </x:c>
      <x:c r="H539" s="35" t="str">
        <x:v>Post and allocate tenant receipt</x:v>
      </x:c>
      <x:c r="I539" s="35" t="str">
        <x:v>P022; U023; L023</x:v>
      </x:c>
      <x:c r="J539" s="35" t="str"/>
      <x:c r="K539" s="35" t="str">
        <x:v>FIN-00296; FIN-00297</x:v>
      </x:c>
      <x:c r="L539" s="35" t="str">
        <x:v>Open Scan for paper payment or the tenant-account receipt form for electronic payment; verify tenant/lease match, amount, date, method, and reference; confirm once; open ledger detail and allocation.</x:v>
      </x:c>
      <x:c r="M539" s="35" t="str">
        <x:v>Receipt is append-only, allocated once to the correct rent charge, and visible consistently in Unit, Lease, Tenant Account, Accounting, and portal views.</x:v>
      </x:c>
      <x:c r="N539" s="35" t="str">
        <x:v>Scan review or form; success result; exact ledger rows; payment detail; accounting delta; portal receipt.</x:v>
      </x:c>
      <x:c r="O539" s="35" t="str">
        <x:v>Retry the idempotency key once during the quarter assigned in the coverage matrix; no duplicate cash or allocation.</x:v>
      </x:c>
      <x:c r="P539" s="35" t="str">
        <x:v>All expected records and amounts match; no unexplained error or stale state.</x:v>
      </x:c>
    </x:row>
    <x:row r="540">
      <x:c r="A540" s="20" t="str">
        <x:v>RUN-20270405-07</x:v>
      </x:c>
      <x:c r="B540" s="23" t="n">
        <x:v>46482</x:v>
      </x:c>
      <x:c r="C540" s="32" t="n">
        <x:v>7</x:v>
      </x:c>
      <x:c r="D540" s="20" t="str">
        <x:v>Monthly operations</x:v>
      </x:c>
      <x:c r="E540" s="20" t="str">
        <x:v>Property Manager</x:v>
      </x:c>
      <x:c r="F540" s="20" t="str">
        <x:v>Mobile</x:v>
      </x:c>
      <x:c r="G540" s="20" t="str">
        <x:v>Scanned money order</x:v>
      </x:c>
      <x:c r="H540" s="35" t="str">
        <x:v>Post and allocate tenant receipt</x:v>
      </x:c>
      <x:c r="I540" s="35" t="str">
        <x:v>P025; U029; L029</x:v>
      </x:c>
      <x:c r="J540" s="35" t="str">
        <x:v>SCN-0165</x:v>
      </x:c>
      <x:c r="K540" s="35" t="str">
        <x:v>FIN-00309; FIN-00310</x:v>
      </x:c>
      <x:c r="L540" s="35" t="str">
        <x:v>Open Scan for paper payment or the tenant-account receipt form for electronic payment; verify tenant/lease match, amount, date, method, and reference; confirm once; open ledger detail and allocation.</x:v>
      </x:c>
      <x:c r="M540" s="35" t="str">
        <x:v>Receipt is append-only, allocated once to the correct rent charge, and visible consistently in Unit, Lease, Tenant Account, Accounting, and portal views.</x:v>
      </x:c>
      <x:c r="N540" s="35" t="str">
        <x:v>Scan review or form; success result; exact ledger rows; payment detail; accounting delta; portal receipt.</x:v>
      </x:c>
      <x:c r="O540" s="35" t="str">
        <x:v>Retry the idempotency key once during the quarter assigned in the coverage matrix; no duplicate cash or allocation.</x:v>
      </x:c>
      <x:c r="P540" s="35" t="str">
        <x:v>All expected records and amounts match; no unexplained error or stale state.</x:v>
      </x:c>
    </x:row>
    <x:row r="541">
      <x:c r="A541" s="20" t="str">
        <x:v>RUN-20270405-08</x:v>
      </x:c>
      <x:c r="B541" s="23" t="n">
        <x:v>46482</x:v>
      </x:c>
      <x:c r="C541" s="32" t="n">
        <x:v>8</x:v>
      </x:c>
      <x:c r="D541" s="20" t="str">
        <x:v>Monthly operations</x:v>
      </x:c>
      <x:c r="E541" s="20" t="str">
        <x:v>Property Manager</x:v>
      </x:c>
      <x:c r="F541" s="20" t="str">
        <x:v>Web</x:v>
      </x:c>
      <x:c r="G541" s="20" t="str">
        <x:v>Scanned check</x:v>
      </x:c>
      <x:c r="H541" s="35" t="str">
        <x:v>Post and allocate tenant receipt</x:v>
      </x:c>
      <x:c r="I541" s="35" t="str">
        <x:v>P026; U032; L032</x:v>
      </x:c>
      <x:c r="J541" s="35" t="str">
        <x:v>SCN-0166</x:v>
      </x:c>
      <x:c r="K541" s="35" t="str">
        <x:v>FIN-00315; FIN-00316</x:v>
      </x:c>
      <x:c r="L541" s="35" t="str">
        <x:v>Open Scan for paper payment or the tenant-account receipt form for electronic payment; verify tenant/lease match, amount, date, method, and reference; confirm once; open ledger detail and allocation.</x:v>
      </x:c>
      <x:c r="M541" s="35" t="str">
        <x:v>Receipt is append-only, allocated once to the correct rent charge, and visible consistently in Unit, Lease, Tenant Account, Accounting, and portal views.</x:v>
      </x:c>
      <x:c r="N541" s="35" t="str">
        <x:v>Scan review or form; success result; exact ledger rows; payment detail; accounting delta; portal receipt.</x:v>
      </x:c>
      <x:c r="O541" s="35" t="str">
        <x:v>Retry the idempotency key once during the quarter assigned in the coverage matrix; no duplicate cash or allocation.</x:v>
      </x:c>
      <x:c r="P541" s="35" t="str">
        <x:v>All expected records and amounts match; no unexplained error or stale state.</x:v>
      </x:c>
    </x:row>
    <x:row r="542">
      <x:c r="A542" s="20" t="str">
        <x:v>RUN-20270405-09</x:v>
      </x:c>
      <x:c r="B542" s="23" t="n">
        <x:v>46482</x:v>
      </x:c>
      <x:c r="C542" s="32" t="n">
        <x:v>9</x:v>
      </x:c>
      <x:c r="D542" s="20" t="str">
        <x:v>Monthly operations</x:v>
      </x:c>
      <x:c r="E542" s="20" t="str">
        <x:v>Property Manager</x:v>
      </x:c>
      <x:c r="F542" s="20" t="str">
        <x:v>Mobile</x:v>
      </x:c>
      <x:c r="G542" s="20" t="str">
        <x:v>Portal card</x:v>
      </x:c>
      <x:c r="H542" s="35" t="str">
        <x:v>Post and allocate tenant receipt</x:v>
      </x:c>
      <x:c r="I542" s="35" t="str">
        <x:v>P028; U035; L035</x:v>
      </x:c>
      <x:c r="J542" s="35" t="str"/>
      <x:c r="K542" s="35" t="str">
        <x:v>FIN-00323; FIN-00324</x:v>
      </x:c>
      <x:c r="L542" s="35" t="str">
        <x:v>Open Scan for paper payment or the tenant-account receipt form for electronic payment; verify tenant/lease match, amount, date, method, and reference; confirm once; open ledger detail and allocation.</x:v>
      </x:c>
      <x:c r="M542" s="35" t="str">
        <x:v>Receipt is append-only, allocated once to the correct rent charge, and visible consistently in Unit, Lease, Tenant Account, Accounting, and portal views.</x:v>
      </x:c>
      <x:c r="N542" s="35" t="str">
        <x:v>Scan review or form; success result; exact ledger rows; payment detail; accounting delta; portal receipt.</x:v>
      </x:c>
      <x:c r="O542" s="35" t="str">
        <x:v>Retry the idempotency key once during the quarter assigned in the coverage matrix; no duplicate cash or allocation.</x:v>
      </x:c>
      <x:c r="P542" s="35" t="str">
        <x:v>All expected records and amounts match; no unexplained error or stale state.</x:v>
      </x:c>
    </x:row>
    <x:row r="543">
      <x:c r="A543" s="20" t="str">
        <x:v>RUN-20270405-10</x:v>
      </x:c>
      <x:c r="B543" s="23" t="n">
        <x:v>46482</x:v>
      </x:c>
      <x:c r="C543" s="32" t="n">
        <x:v>10</x:v>
      </x:c>
      <x:c r="D543" s="20" t="str">
        <x:v>Weekly operations</x:v>
      </x:c>
      <x:c r="E543" s="20" t="str">
        <x:v>Property Manager</x:v>
      </x:c>
      <x:c r="F543" s="20" t="str">
        <x:v>Web</x:v>
      </x:c>
      <x:c r="G543" s="20" t="str">
        <x:v>Scan-first</x:v>
      </x:c>
      <x:c r="H543" s="35" t="str">
        <x:v>Create and triage maintenance request</x:v>
      </x:c>
      <x:c r="I543" s="35" t="str">
        <x:v>P019; U019; WO-2027-014</x:v>
      </x:c>
      <x:c r="J543" s="35" t="str">
        <x:v>SCN-0371</x:v>
      </x:c>
      <x:c r="K543" s="35" t="str"/>
      <x:c r="L543" s="35" t="str">
        <x:v>Capture the tenant note/photo; review turnover touch-up; confirm; set responsibility; dispatch Summit Roofing; create an appointment and verify the tenant notification.</x:v>
      </x:c>
      <x:c r="M543" s="35" t="str">
        <x:v>Work order, status timeline, responsibility, vendor dispatch, appointment, notification, and Unit context are linked once.</x:v>
      </x:c>
      <x:c r="N543" s="35" t="str">
        <x:v>Scan review; work order detail/timeline; dispatch; appointment; notification; tenant portal view.</x:v>
      </x:c>
      <x:c r="O543" s="35" t="str">
        <x:v>Cancel one dispatch each quarter, reassign once, and prove status/history remains append-only.</x:v>
      </x:c>
      <x:c r="P543" s="35" t="str">
        <x:v>All expected records and amounts match; no unexplained error or stale state.</x:v>
      </x:c>
    </x:row>
    <x:row r="544">
      <x:c r="A544" s="20" t="str">
        <x:v>RUN-20270405-11</x:v>
      </x:c>
      <x:c r="B544" s="23" t="n">
        <x:v>46482</x:v>
      </x:c>
      <x:c r="C544" s="32" t="n">
        <x:v>11</x:v>
      </x:c>
      <x:c r="D544" s="20" t="str">
        <x:v>Role and screen certification</x:v>
      </x:c>
      <x:c r="E544" s="20" t="str">
        <x:v>Workspace Administrator</x:v>
      </x:c>
      <x:c r="F544" s="20" t="str">
        <x:v>Web</x:v>
      </x:c>
      <x:c r="G544" s="20" t="str">
        <x:v>Normal persona navigation</x:v>
      </x:c>
      <x:c r="H544" s="35" t="str">
        <x:v>Use every permitted action and state on /messages/[id]</x:v>
      </x:c>
      <x:c r="I544" s="35" t="str">
        <x:v>SCR-045; ROLE-067</x:v>
      </x:c>
      <x:c r="J544" s="35" t="str"/>
      <x:c r="K544" s="35" t="str"/>
      <x:c r="L54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44" s="35" t="str">
        <x:v>The persona can use every allowed action with only its assigned properties/relationships. Hidden or disabled actions explain why; an adjacent unauthorized persona is denied without metadata leakage.</x:v>
      </x:c>
      <x:c r="N544" s="35" t="str">
        <x:v>Persona/experience; navigation entry; desktop or device screenshots; result state; persisted read-back; audit/history; authorized and denied network result.</x:v>
      </x:c>
      <x:c r="O544" s="35" t="str">
        <x:v>Open the direct URL or deep link with an adjacent unauthorized persona and with stale scope; both fail closed and land safely without mutation.</x:v>
      </x:c>
      <x:c r="P544" s="35" t="str">
        <x:v>All expected records and amounts match; no unexplained error or stale state.</x:v>
      </x:c>
    </x:row>
    <x:row r="545">
      <x:c r="A545" s="20" t="str">
        <x:v>RUN-20270405-12</x:v>
      </x:c>
      <x:c r="B545" s="23" t="n">
        <x:v>46482</x:v>
      </x:c>
      <x:c r="C545" s="32" t="n">
        <x:v>12</x:v>
      </x:c>
      <x:c r="D545" s="20" t="str">
        <x:v>Role and screen certification</x:v>
      </x:c>
      <x:c r="E545" s="20" t="str">
        <x:v>Property Manager</x:v>
      </x:c>
      <x:c r="F545" s="20" t="str">
        <x:v>Web</x:v>
      </x:c>
      <x:c r="G545" s="20" t="str">
        <x:v>Normal persona navigation</x:v>
      </x:c>
      <x:c r="H545" s="35" t="str">
        <x:v>Use every permitted action and state on /messages/[id]</x:v>
      </x:c>
      <x:c r="I545" s="35" t="str">
        <x:v>SCR-045; ROLE-068</x:v>
      </x:c>
      <x:c r="J545" s="35" t="str"/>
      <x:c r="K545" s="35" t="str"/>
      <x:c r="L54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45" s="35" t="str">
        <x:v>The persona can use every allowed action with only its assigned properties/relationships. Hidden or disabled actions explain why; an adjacent unauthorized persona is denied without metadata leakage.</x:v>
      </x:c>
      <x:c r="N545" s="35" t="str">
        <x:v>Persona/experience; navigation entry; desktop or device screenshots; result state; persisted read-back; audit/history; authorized and denied network result.</x:v>
      </x:c>
      <x:c r="O545" s="35" t="str">
        <x:v>Open the direct URL or deep link with an adjacent unauthorized persona and with stale scope; both fail closed and land safely without mutation.</x:v>
      </x:c>
      <x:c r="P545" s="35" t="str">
        <x:v>All expected records and amounts match; no unexplained error or stale state.</x:v>
      </x:c>
    </x:row>
    <x:row r="546">
      <x:c r="A546" s="20" t="str">
        <x:v>RUN-20270405-13</x:v>
      </x:c>
      <x:c r="B546" s="23" t="n">
        <x:v>46482</x:v>
      </x:c>
      <x:c r="C546" s="32" t="n">
        <x:v>13</x:v>
      </x:c>
      <x:c r="D546" s="20" t="str">
        <x:v>Role and screen certification</x:v>
      </x:c>
      <x:c r="E546" s="20" t="str">
        <x:v>Leasing Agent</x:v>
      </x:c>
      <x:c r="F546" s="20" t="str">
        <x:v>Web</x:v>
      </x:c>
      <x:c r="G546" s="20" t="str">
        <x:v>Normal persona navigation</x:v>
      </x:c>
      <x:c r="H546" s="35" t="str">
        <x:v>Use every permitted action and state on /messages/[id]</x:v>
      </x:c>
      <x:c r="I546" s="35" t="str">
        <x:v>SCR-045; ROLE-069</x:v>
      </x:c>
      <x:c r="J546" s="35" t="str"/>
      <x:c r="K546" s="35" t="str"/>
      <x:c r="L54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46" s="35" t="str">
        <x:v>The persona can use every allowed action with only its assigned properties/relationships. Hidden or disabled actions explain why; an adjacent unauthorized persona is denied without metadata leakage.</x:v>
      </x:c>
      <x:c r="N546" s="35" t="str">
        <x:v>Persona/experience; navigation entry; desktop or device screenshots; result state; persisted read-back; audit/history; authorized and denied network result.</x:v>
      </x:c>
      <x:c r="O546" s="35" t="str">
        <x:v>Open the direct URL or deep link with an adjacent unauthorized persona and with stale scope; both fail closed and land safely without mutation.</x:v>
      </x:c>
      <x:c r="P546" s="35" t="str">
        <x:v>All expected records and amounts match; no unexplained error or stale state.</x:v>
      </x:c>
    </x:row>
    <x:row r="547">
      <x:c r="A547" s="20" t="str">
        <x:v>RUN-20270405-14</x:v>
      </x:c>
      <x:c r="B547" s="23" t="n">
        <x:v>46482</x:v>
      </x:c>
      <x:c r="C547" s="32" t="n">
        <x:v>14</x:v>
      </x:c>
      <x:c r="D547" s="20" t="str">
        <x:v>Role and screen certification</x:v>
      </x:c>
      <x:c r="E547" s="20" t="str">
        <x:v>Maintenance Technician</x:v>
      </x:c>
      <x:c r="F547" s="20" t="str">
        <x:v>Web</x:v>
      </x:c>
      <x:c r="G547" s="20" t="str">
        <x:v>Normal persona navigation</x:v>
      </x:c>
      <x:c r="H547" s="35" t="str">
        <x:v>Use every permitted action and state on /messages/[id]</x:v>
      </x:c>
      <x:c r="I547" s="35" t="str">
        <x:v>SCR-045; ROLE-070</x:v>
      </x:c>
      <x:c r="J547" s="35" t="str"/>
      <x:c r="K547" s="35" t="str"/>
      <x:c r="L54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47" s="35" t="str">
        <x:v>The persona can use every allowed action with only its assigned properties/relationships. Hidden or disabled actions explain why; an adjacent unauthorized persona is denied without metadata leakage.</x:v>
      </x:c>
      <x:c r="N547" s="35" t="str">
        <x:v>Persona/experience; navigation entry; desktop or device screenshots; result state; persisted read-back; audit/history; authorized and denied network result.</x:v>
      </x:c>
      <x:c r="O547" s="35" t="str">
        <x:v>Open the direct URL or deep link with an adjacent unauthorized persona and with stale scope; both fail closed and land safely without mutation.</x:v>
      </x:c>
      <x:c r="P547" s="35" t="str">
        <x:v>All expected records and amounts match; no unexplained error or stale state.</x:v>
      </x:c>
    </x:row>
    <x:row r="548">
      <x:c r="A548" s="20" t="str">
        <x:v>RUN-20270405-15</x:v>
      </x:c>
      <x:c r="B548" s="23" t="n">
        <x:v>46482</x:v>
      </x:c>
      <x:c r="C548" s="32" t="n">
        <x:v>15</x:v>
      </x:c>
      <x:c r="D548" s="20" t="str">
        <x:v>Field certification</x:v>
      </x:c>
      <x:c r="E548" s="20" t="str">
        <x:v>Property Manager</x:v>
      </x:c>
      <x:c r="F548" s="20" t="str">
        <x:v>Web</x:v>
      </x:c>
      <x:c r="G548" s="20" t="str">
        <x:v>Manual field-by-field</x:v>
      </x:c>
      <x:c r="H548" s="35" t="str">
        <x:v>Fill, save, reload, edit, and validate every declared field on web/src/lib/components/unit/tabs/MaintenanceTab.svelte</x:v>
      </x:c>
      <x:c r="I548" s="35" t="str">
        <x:v>FLD-0235</x:v>
      </x:c>
      <x:c r="J548" s="35" t="str"/>
      <x:c r="K548" s="35" t="str"/>
      <x:c r="L548" s="35" t="str">
        <x:v>Use the source-derived Field Inventory. Enter non-default realistic values in every control (wo-cat); submit; reload or relaunch; compare every value; edit each mutable field; verify the paired client; then run required, format, length, range, boundary, optional-null, and stale-submit checks.</x:v>
      </x:c>
      <x:c r="M548" s="35" t="str">
        <x:v>All 1 inventoried controls persist exact normalized values, invalid values stay unsaved with clear errors, and hidden/unauthorized fields cannot be altered.</x:v>
      </x:c>
      <x:c r="N548" s="35" t="str">
        <x:v>Before/after form screenshots; FLD IDs; API response; reloaded UI; paired-client read-back; database/audit evidence; negative validation result.</x:v>
      </x:c>
      <x:c r="O548" s="35" t="str">
        <x:v>Use a duplicate submit and one simulated network interruption; one atomic mutation or none, never partial state.</x:v>
      </x:c>
      <x:c r="P548" s="35" t="str">
        <x:v>All expected records and amounts match; no unexplained error or stale state.</x:v>
      </x:c>
    </x:row>
    <x:row r="549">
      <x:c r="A549" s="20" t="str">
        <x:v>RUN-20270405-16</x:v>
      </x:c>
      <x:c r="B549" s="23" t="n">
        <x:v>46482</x:v>
      </x:c>
      <x:c r="C549" s="32" t="n">
        <x:v>16</x:v>
      </x:c>
      <x:c r="D549" s="20" t="str">
        <x:v>Field certification</x:v>
      </x:c>
      <x:c r="E549" s="20" t="str">
        <x:v>Property Manager</x:v>
      </x:c>
      <x:c r="F549" s="20" t="str">
        <x:v>Web</x:v>
      </x:c>
      <x:c r="G549" s="20" t="str">
        <x:v>Manual field-by-field</x:v>
      </x:c>
      <x:c r="H549" s="35" t="str">
        <x:v>Fill, save, reload, edit, and validate every declared field on web/src/lib/components/unit/tabs/RentTab.svelte</x:v>
      </x:c>
      <x:c r="I549" s="35" t="str">
        <x:v>FLD-0236; FLD-0237; FLD-0238</x:v>
      </x:c>
      <x:c r="J549" s="35" t="str"/>
      <x:c r="K549" s="35" t="str"/>
      <x:c r="L549" s="35" t="str">
        <x:v>Use the source-derived Field Inventory. Enter non-default realistic values in every control (receiptForm.amount; receiptForm.method; Select-3); submit; reload or relaunch; compare every value; edit each mutable field; verify the paired client; then run required, format, length, range, boundary, optional-null, and stale-submit checks.</x:v>
      </x:c>
      <x:c r="M549" s="35" t="str">
        <x:v>All 3 inventoried controls persist exact normalized values, invalid values stay unsaved with clear errors, and hidden/unauthorized fields cannot be altered.</x:v>
      </x:c>
      <x:c r="N549" s="35" t="str">
        <x:v>Before/after form screenshots; FLD IDs; API response; reloaded UI; paired-client read-back; database/audit evidence; negative validation result.</x:v>
      </x:c>
      <x:c r="O549" s="35" t="str">
        <x:v>Use a duplicate submit and one simulated network interruption; one atomic mutation or none, never partial state.</x:v>
      </x:c>
      <x:c r="P549" s="35" t="str">
        <x:v>All expected records and amounts match; no unexplained error or stale state.</x:v>
      </x:c>
    </x:row>
    <x:row r="550">
      <x:c r="A550" s="20" t="str">
        <x:v>RUN-20270405-17</x:v>
      </x:c>
      <x:c r="B550" s="23" t="n">
        <x:v>46482</x:v>
      </x:c>
      <x:c r="C550" s="32" t="n">
        <x:v>17</x:v>
      </x:c>
      <x:c r="D550" s="20" t="str">
        <x:v>Lifecycle certification</x:v>
      </x:c>
      <x:c r="E550" s="20" t="str">
        <x:v>Leasing Agent</x:v>
      </x:c>
      <x:c r="F550" s="20" t="str">
        <x:v>Web + Mobile</x:v>
      </x:c>
      <x:c r="G550" s="20" t="str">
        <x:v>Manual + scan/attachment where supported</x:v>
      </x:c>
      <x:c r="H550" s="35" t="str">
        <x:v>Complete the full create/read/edit/lifecycle/delete-safe pass for Rental listing</x:v>
      </x:c>
      <x:c r="I550" s="35" t="str">
        <x:v>CRUD-008</x:v>
      </x:c>
      <x:c r="J550" s="35" t="str"/>
      <x:c r="K550" s="35" t="str"/>
      <x:c r="L550" s="35" t="str">
        <x:v>Use a dedicated disposable QA record and execute: create; edit; publish packet; unpublish; occupied-unit guard. Fill every field referenced by field-inventory.csv. Verify confirmation copy, cancel path, final path, reload, other-client state, history, and role denial.</x:v>
      </x:c>
      <x:c r="M550" s="35" t="str">
        <x:v>Every supported transition succeeds exactly once; forbidden destructive actions are guarded; reversible deletion/deactivation works; financial and historical truth is preserved.</x:v>
      </x:c>
      <x:c r="N550" s="35" t="str">
        <x:v>Entity before/after; both clients; all FLD IDs; audit/history; notifications; authorized and unauthorized personas; API/DB state.</x:v>
      </x:c>
      <x:c r="O550" s="35" t="str">
        <x:v>Cancel the first destructive confirmation, then repeat and confirm; retry the mutation once; no double transition or orphan.</x:v>
      </x:c>
      <x:c r="P550" s="35" t="str">
        <x:v>All expected records and amounts match; no unexplained error or stale state.</x:v>
      </x:c>
    </x:row>
    <x:row r="551">
      <x:c r="A551" s="20" t="str">
        <x:v>RUN-20270405-18</x:v>
      </x:c>
      <x:c r="B551" s="23" t="n">
        <x:v>46482</x:v>
      </x:c>
      <x:c r="C551" s="32" t="n">
        <x:v>18</x:v>
      </x:c>
      <x:c r="D551" s="20" t="str">
        <x:v>Surface coverage</x:v>
      </x:c>
      <x:c r="E551" s="20" t="str">
        <x:v>Role appropriate to surface</x:v>
      </x:c>
      <x:c r="F551" s="20" t="str">
        <x:v>Mobile</x:v>
      </x:c>
      <x:c r="G551" s="20" t="str">
        <x:v>Scan/attachment</x:v>
      </x:c>
      <x:c r="H551" s="35" t="str">
        <x:v>Scan mobile pass: Lease template upload/designer/default</x:v>
      </x:c>
      <x:c r="I551" s="35" t="str">
        <x:v>COV-011</x:v>
      </x:c>
      <x:c r="J551" s="35" t="str"/>
      <x:c r="K551" s="35" t="str"/>
      <x:c r="L551" s="35" t="str">
        <x:v>Upload template, map fields, preview, activate default, and prove issued packets freeze template version.</x:v>
      </x:c>
      <x:c r="M551" s="35" t="str">
        <x:v>The supported workflow completes and persists correctly; if the capability is absent, the exact gap is proven and queued rather than silently skipped.</x:v>
      </x:c>
      <x:c r="N551" s="35" t="str">
        <x:v>Real UI screenshot/state; submitted values; persisted read-back; cross-client read-back; audit/role/access evidence.</x:v>
      </x:c>
      <x:c r="O551" s="35" t="str">
        <x:v>Use one invalid value, stale-state retry, or duplicate submission relevant to the form; no partial or duplicate mutation.</x:v>
      </x:c>
      <x:c r="P551" s="35" t="str">
        <x:v>All expected records and amounts match; no unexplained error or stale state.</x:v>
      </x:c>
    </x:row>
    <x:row r="552">
      <x:c r="A552" s="20" t="str">
        <x:v>RUN-20270406-01</x:v>
      </x:c>
      <x:c r="B552" s="23" t="n">
        <x:v>46483</x:v>
      </x:c>
      <x:c r="C552" s="32" t="n">
        <x:v>1</x:v>
      </x:c>
      <x:c r="D552" s="20" t="str">
        <x:v>Weekly operations</x:v>
      </x:c>
      <x:c r="E552" s="20" t="str">
        <x:v>Property Manager</x:v>
      </x:c>
      <x:c r="F552" s="20" t="str">
        <x:v>Web</x:v>
      </x:c>
      <x:c r="G552" s="20" t="str">
        <x:v>Scanned receipt/invoice</x:v>
      </x:c>
      <x:c r="H552" s="35" t="str">
        <x:v>Record, review, allocate, and pay operating expense</x:v>
      </x:c>
      <x:c r="I552" s="35" t="str">
        <x:v>P019; U019; WO-2027-014</x:v>
      </x:c>
      <x:c r="J552" s="35" t="str">
        <x:v>SCN-0372</x:v>
      </x:c>
      <x:c r="K552" s="35" t="str">
        <x:v>FIN-01037</x:v>
      </x:c>
      <x:c r="L552" s="35" t="str">
        <x:v>Capture or upload the source; verify vendor, date, scope, category, line items, tax, amount, and work-order link; confirm; open detail; verify attachment; compare Money and Property/Unit views.</x:v>
      </x:c>
      <x:c r="M552" s="35" t="str">
        <x:v>One expense exists at its real operational scope, cash falls once, Schedule E category and allocations agree, and no per-unit copies are created.</x:v>
      </x:c>
      <x:c r="N552" s="35" t="str">
        <x:v>Source preview; review/form; expense detail; line items; Property/Unit ledger; audit; accounting/report delta.</x:v>
      </x:c>
      <x:c r="O552" s="35" t="str">
        <x:v>On marked duplicate-invoice cases, re-upload before confirm and prove the product prevents or clearly warns about duplication.</x:v>
      </x:c>
      <x:c r="P552" s="35" t="str">
        <x:v>All expected records and amounts match; no unexplained error or stale state.</x:v>
      </x:c>
    </x:row>
    <x:row r="553">
      <x:c r="A553" s="20" t="str">
        <x:v>RUN-20270406-02</x:v>
      </x:c>
      <x:c r="B553" s="23" t="n">
        <x:v>46483</x:v>
      </x:c>
      <x:c r="C553" s="32" t="n">
        <x:v>2</x:v>
      </x:c>
      <x:c r="D553" s="20" t="str">
        <x:v>Role and screen certification</x:v>
      </x:c>
      <x:c r="E553" s="20" t="str">
        <x:v>Maintenance Technician</x:v>
      </x:c>
      <x:c r="F553" s="20" t="str">
        <x:v>Web</x:v>
      </x:c>
      <x:c r="G553" s="20" t="str">
        <x:v>Normal persona navigation</x:v>
      </x:c>
      <x:c r="H553" s="35" t="str">
        <x:v>Use every permitted action and state on /my-schedule</x:v>
      </x:c>
      <x:c r="I553" s="35" t="str">
        <x:v>SCR-046; ROLE-071</x:v>
      </x:c>
      <x:c r="J553" s="35" t="str"/>
      <x:c r="K553" s="35" t="str"/>
      <x:c r="L55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53" s="35" t="str">
        <x:v>The persona can use every allowed action with only its assigned properties/relationships. Hidden or disabled actions explain why; an adjacent unauthorized persona is denied without metadata leakage.</x:v>
      </x:c>
      <x:c r="N553" s="35" t="str">
        <x:v>Persona/experience; navigation entry; desktop or device screenshots; result state; persisted read-back; audit/history; authorized and denied network result.</x:v>
      </x:c>
      <x:c r="O553" s="35" t="str">
        <x:v>Open the direct URL or deep link with an adjacent unauthorized persona and with stale scope; both fail closed and land safely without mutation.</x:v>
      </x:c>
      <x:c r="P553" s="35" t="str">
        <x:v>All expected records and amounts match; no unexplained error or stale state.</x:v>
      </x:c>
    </x:row>
    <x:row r="554">
      <x:c r="A554" s="20" t="str">
        <x:v>RUN-20270406-03</x:v>
      </x:c>
      <x:c r="B554" s="23" t="n">
        <x:v>46483</x:v>
      </x:c>
      <x:c r="C554" s="32" t="n">
        <x:v>3</x:v>
      </x:c>
      <x:c r="D554" s="20" t="str">
        <x:v>Field certification</x:v>
      </x:c>
      <x:c r="E554" s="20" t="str">
        <x:v>Property Manager</x:v>
      </x:c>
      <x:c r="F554" s="20" t="str">
        <x:v>Web</x:v>
      </x:c>
      <x:c r="G554" s="20" t="str">
        <x:v>Manual field-by-field</x:v>
      </x:c>
      <x:c r="H554" s="35" t="str">
        <x:v>Fill, save, reload, edit, and validate every declared field on web/src/lib/components/unit/tabs/RentTab.svelte</x:v>
      </x:c>
      <x:c r="I554" s="35" t="str">
        <x:v>FLD-0239; FLD-0240; FLD-0241; FLD-0242</x:v>
      </x:c>
      <x:c r="J554" s="35" t="str"/>
      <x:c r="K554" s="35" t="str"/>
      <x:c r="L554" s="35" t="str">
        <x:v>Use the source-derived Field Inventory. Enter non-default realistic values in every control (Select-4; Select-5; receiptForm.reference; receiptForm.payerName); submit; reload or relaunch; compare every value; edit each mutable field; verify the paired client; then run required, format, length, range, boundary, optional-null, and stale-submit checks.</x:v>
      </x:c>
      <x:c r="M554" s="35" t="str">
        <x:v>All 4 inventoried controls persist exact normalized values, invalid values stay unsaved with clear errors, and hidden/unauthorized fields cannot be altered.</x:v>
      </x:c>
      <x:c r="N554" s="35" t="str">
        <x:v>Before/after form screenshots; FLD IDs; API response; reloaded UI; paired-client read-back; database/audit evidence; negative validation result.</x:v>
      </x:c>
      <x:c r="O554" s="35" t="str">
        <x:v>Use a duplicate submit and one simulated network interruption; one atomic mutation or none, never partial state.</x:v>
      </x:c>
      <x:c r="P554" s="35" t="str">
        <x:v>All expected records and amounts match; no unexplained error or stale state.</x:v>
      </x:c>
    </x:row>
    <x:row r="555">
      <x:c r="A555" s="20" t="str">
        <x:v>RUN-20270406-04</x:v>
      </x:c>
      <x:c r="B555" s="23" t="n">
        <x:v>46483</x:v>
      </x:c>
      <x:c r="C555" s="32" t="n">
        <x:v>4</x:v>
      </x:c>
      <x:c r="D555" s="20" t="str">
        <x:v>Surface coverage</x:v>
      </x:c>
      <x:c r="E555" s="20" t="str">
        <x:v>Role appropriate to surface</x:v>
      </x:c>
      <x:c r="F555" s="20" t="str">
        <x:v>Web</x:v>
      </x:c>
      <x:c r="G555" s="20" t="str">
        <x:v>Manual</x:v>
      </x:c>
      <x:c r="H555" s="35" t="str">
        <x:v>Manual web pass: Prepare move-in and lease agreement draft</x:v>
      </x:c>
      <x:c r="I555" s="35" t="str">
        <x:v>COV-012</x:v>
      </x:c>
      <x:c r="J555" s="35" t="str"/>
      <x:c r="K555" s="35" t="str"/>
      <x:c r="L555" s="35" t="str">
        <x:v>Prepare planned relationship atomically; edit draft; add co-tenant/guarantor/occupant; cancel a planned relationship.</x:v>
      </x:c>
      <x:c r="M555" s="35" t="str">
        <x:v>The supported workflow completes and persists correctly; if the capability is absent, the exact gap is proven and queued rather than silently skipped.</x:v>
      </x:c>
      <x:c r="N555" s="35" t="str">
        <x:v>Real UI screenshot/state; submitted values; persisted read-back; cross-client read-back; audit/role/access evidence.</x:v>
      </x:c>
      <x:c r="O555" s="35" t="str">
        <x:v>Use one invalid value, stale-state retry, or duplicate submission relevant to the form; no partial or duplicate mutation.</x:v>
      </x:c>
      <x:c r="P555" s="35" t="str">
        <x:v>All expected records and amounts match; no unexplained error or stale state.</x:v>
      </x:c>
    </x:row>
    <x:row r="556">
      <x:c r="A556" s="20" t="str">
        <x:v>RUN-20270407-01</x:v>
      </x:c>
      <x:c r="B556" s="23" t="n">
        <x:v>46484</x:v>
      </x:c>
      <x:c r="C556" s="32" t="n">
        <x:v>1</x:v>
      </x:c>
      <x:c r="D556" s="20" t="str">
        <x:v>Field certification</x:v>
      </x:c>
      <x:c r="E556" s="20" t="str">
        <x:v>Property Manager</x:v>
      </x:c>
      <x:c r="F556" s="20" t="str">
        <x:v>Web</x:v>
      </x:c>
      <x:c r="G556" s="20" t="str">
        <x:v>Manual field-by-field</x:v>
      </x:c>
      <x:c r="H556" s="35" t="str">
        <x:v>Fill, save, reload, edit, and validate every declared field on web/src/lib/components/unit/tabs/RentTab.svelte</x:v>
      </x:c>
      <x:c r="I556" s="35" t="str">
        <x:v>FLD-0243; FLD-0244; FLD-0245</x:v>
      </x:c>
      <x:c r="J556" s="35" t="str"/>
      <x:c r="K556" s="35" t="str"/>
      <x:c r="L556" s="35" t="str">
        <x:v>Use the source-derived Field Inventory. Enter non-default realistic values in every control (receiptForm.description; chargeForm.amount; chargeForm.description); submit; reload or relaunch; compare every value; edit each mutable field; verify the paired client; then run required, format, length, range, boundary, optional-null, and stale-submit checks.</x:v>
      </x:c>
      <x:c r="M556" s="35" t="str">
        <x:v>All 3 inventoried controls persist exact normalized values, invalid values stay unsaved with clear errors, and hidden/unauthorized fields cannot be altered.</x:v>
      </x:c>
      <x:c r="N556" s="35" t="str">
        <x:v>Before/after form screenshots; FLD IDs; API response; reloaded UI; paired-client read-back; database/audit evidence; negative validation result.</x:v>
      </x:c>
      <x:c r="O556" s="35" t="str">
        <x:v>Use a duplicate submit and one simulated network interruption; one atomic mutation or none, never partial state.</x:v>
      </x:c>
      <x:c r="P556" s="35" t="str">
        <x:v>All expected records and amounts match; no unexplained error or stale state.</x:v>
      </x:c>
    </x:row>
    <x:row r="557">
      <x:c r="A557" s="20" t="str">
        <x:v>RUN-20270407-02</x:v>
      </x:c>
      <x:c r="B557" s="23" t="n">
        <x:v>46484</x:v>
      </x:c>
      <x:c r="C557" s="32" t="n">
        <x:v>2</x:v>
      </x:c>
      <x:c r="D557" s="20" t="str">
        <x:v>Field certification</x:v>
      </x:c>
      <x:c r="E557" s="20" t="str">
        <x:v>Property Manager</x:v>
      </x:c>
      <x:c r="F557" s="20" t="str">
        <x:v>Web</x:v>
      </x:c>
      <x:c r="G557" s="20" t="str">
        <x:v>Manual field-by-field</x:v>
      </x:c>
      <x:c r="H557" s="35" t="str">
        <x:v>Fill, save, reload, edit, and validate every declared field on web/src/lib/dev/SimClockPanel.svelte</x:v>
      </x:c>
      <x:c r="I557" s="35" t="str">
        <x:v>FLD-0246</x:v>
      </x:c>
      <x:c r="J557" s="35" t="str"/>
      <x:c r="K557" s="35" t="str"/>
      <x:c r="L557" s="35" t="str">
        <x:v>Use the source-derived Field Inventory. Enter non-default realistic values in every control (dateInput); submit; reload or relaunch; compare every value; edit each mutable field; verify the paired client; then run required, format, length, range, boundary, optional-null, and stale-submit checks.</x:v>
      </x:c>
      <x:c r="M557" s="35" t="str">
        <x:v>All 1 inventoried controls persist exact normalized values, invalid values stay unsaved with clear errors, and hidden/unauthorized fields cannot be altered.</x:v>
      </x:c>
      <x:c r="N557" s="35" t="str">
        <x:v>Before/after form screenshots; FLD IDs; API response; reloaded UI; paired-client read-back; database/audit evidence; negative validation result.</x:v>
      </x:c>
      <x:c r="O557" s="35" t="str">
        <x:v>Use a duplicate submit and one simulated network interruption; one atomic mutation or none, never partial state.</x:v>
      </x:c>
      <x:c r="P557" s="35" t="str">
        <x:v>All expected records and amounts match; no unexplained error or stale state.</x:v>
      </x:c>
    </x:row>
    <x:row r="558">
      <x:c r="A558" s="20" t="str">
        <x:v>RUN-20270407-03</x:v>
      </x:c>
      <x:c r="B558" s="23" t="n">
        <x:v>46484</x:v>
      </x:c>
      <x:c r="C558" s="32" t="n">
        <x:v>3</x:v>
      </x:c>
      <x:c r="D558" s="20" t="str">
        <x:v>Field certification</x:v>
      </x:c>
      <x:c r="E558" s="20" t="str">
        <x:v>Workspace Administrator</x:v>
      </x:c>
      <x:c r="F558" s="20" t="str">
        <x:v>Web</x:v>
      </x:c>
      <x:c r="G558" s="20" t="str">
        <x:v>Manual field-by-field</x:v>
      </x:c>
      <x:c r="H558" s="35" t="str">
        <x:v>Fill, save, reload, edit, and validate every declared field on /admin/audit</x:v>
      </x:c>
      <x:c r="I558" s="35" t="str">
        <x:v>FLD-0247</x:v>
      </x:c>
      <x:c r="J558" s="35" t="str"/>
      <x:c r="K558" s="35" t="str"/>
      <x:c r="L558" s="35" t="str">
        <x:v>Use the source-derived Field Inventory. Enter non-default realistic values in every control (operationFilter); submit; reload or relaunch; compare every value; edit each mutable field; verify the paired client; then run required, format, length, range, boundary, optional-null, and stale-submit checks.</x:v>
      </x:c>
      <x:c r="M558" s="35" t="str">
        <x:v>All 1 inventoried controls persist exact normalized values, invalid values stay unsaved with clear errors, and hidden/unauthorized fields cannot be altered.</x:v>
      </x:c>
      <x:c r="N558" s="35" t="str">
        <x:v>Before/after form screenshots; FLD IDs; API response; reloaded UI; paired-client read-back; database/audit evidence; negative validation result.</x:v>
      </x:c>
      <x:c r="O558" s="35" t="str">
        <x:v>Use a duplicate submit and one simulated network interruption; one atomic mutation or none, never partial state.</x:v>
      </x:c>
      <x:c r="P558" s="35" t="str">
        <x:v>All expected records and amounts match; no unexplained error or stale state.</x:v>
      </x:c>
    </x:row>
    <x:row r="559">
      <x:c r="A559" s="20" t="str">
        <x:v>RUN-20270407-04</x:v>
      </x:c>
      <x:c r="B559" s="23" t="n">
        <x:v>46484</x:v>
      </x:c>
      <x:c r="C559" s="32" t="n">
        <x:v>4</x:v>
      </x:c>
      <x:c r="D559" s="20" t="str">
        <x:v>Surface coverage</x:v>
      </x:c>
      <x:c r="E559" s="20" t="str">
        <x:v>Role appropriate to surface</x:v>
      </x:c>
      <x:c r="F559" s="20" t="str">
        <x:v>Mobile</x:v>
      </x:c>
      <x:c r="G559" s="20" t="str">
        <x:v>Manual</x:v>
      </x:c>
      <x:c r="H559" s="35" t="str">
        <x:v>Manual mobile pass: Prepare move-in and lease agreement draft</x:v>
      </x:c>
      <x:c r="I559" s="35" t="str">
        <x:v>COV-012</x:v>
      </x:c>
      <x:c r="J559" s="35" t="str"/>
      <x:c r="K559" s="35" t="str"/>
      <x:c r="L559" s="35" t="str">
        <x:v>Prepare planned relationship atomically; edit draft; add co-tenant/guarantor/occupant; cancel a planned relationship.</x:v>
      </x:c>
      <x:c r="M559" s="35" t="str">
        <x:v>The supported workflow completes and persists correctly; if the capability is absent, the exact gap is proven and queued rather than silently skipped.</x:v>
      </x:c>
      <x:c r="N559" s="35" t="str">
        <x:v>Real UI screenshot/state; submitted values; persisted read-back; cross-client read-back; audit/role/access evidence.</x:v>
      </x:c>
      <x:c r="O559" s="35" t="str">
        <x:v>Use one invalid value, stale-state retry, or duplicate submission relevant to the form; no partial or duplicate mutation.</x:v>
      </x:c>
      <x:c r="P559" s="35" t="str">
        <x:v>All expected records and amounts match; no unexplained error or stale state.</x:v>
      </x:c>
    </x:row>
    <x:row r="560">
      <x:c r="A560" s="20" t="str">
        <x:v>RUN-20270408-01</x:v>
      </x:c>
      <x:c r="B560" s="23" t="n">
        <x:v>46485</x:v>
      </x:c>
      <x:c r="C560" s="32" t="n">
        <x:v>1</x:v>
      </x:c>
      <x:c r="D560" s="20" t="str">
        <x:v>Monthly operations</x:v>
      </x:c>
      <x:c r="E560" s="20" t="str">
        <x:v>Property Manager</x:v>
      </x:c>
      <x:c r="F560" s="20" t="str">
        <x:v>Web</x:v>
      </x:c>
      <x:c r="G560" s="20" t="str">
        <x:v>Scanned check</x:v>
      </x:c>
      <x:c r="H560" s="35" t="str">
        <x:v>Post and allocate tenant receipt</x:v>
      </x:c>
      <x:c r="I560" s="35" t="str">
        <x:v>P013; U013; L013</x:v>
      </x:c>
      <x:c r="J560" s="35" t="str">
        <x:v>SCN-0155</x:v>
      </x:c>
      <x:c r="K560" s="35" t="str">
        <x:v>FIN-00274; FIN-00275</x:v>
      </x:c>
      <x:c r="L560" s="35" t="str">
        <x:v>Open Scan for paper payment or the tenant-account receipt form for electronic payment; verify tenant/lease match, amount, date, method, and reference; confirm once; open ledger detail and allocation.</x:v>
      </x:c>
      <x:c r="M560" s="35" t="str">
        <x:v>Receipt is append-only, allocated once to the correct rent charge, and visible consistently in Unit, Lease, Tenant Account, Accounting, and portal views.</x:v>
      </x:c>
      <x:c r="N560" s="35" t="str">
        <x:v>Scan review or form; success result; exact ledger rows; payment detail; accounting delta; portal receipt.</x:v>
      </x:c>
      <x:c r="O560" s="35" t="str">
        <x:v>Retry the idempotency key once during the quarter assigned in the coverage matrix; no duplicate cash or allocation.</x:v>
      </x:c>
      <x:c r="P560" s="35" t="str">
        <x:v>All expected records and amounts match; no unexplained error or stale state.</x:v>
      </x:c>
    </x:row>
    <x:row r="561">
      <x:c r="A561" s="20" t="str">
        <x:v>RUN-20270408-02</x:v>
      </x:c>
      <x:c r="B561" s="23" t="n">
        <x:v>46485</x:v>
      </x:c>
      <x:c r="C561" s="32" t="n">
        <x:v>2</x:v>
      </x:c>
      <x:c r="D561" s="20" t="str">
        <x:v>Monthly operations</x:v>
      </x:c>
      <x:c r="E561" s="20" t="str">
        <x:v>Property Manager</x:v>
      </x:c>
      <x:c r="F561" s="20" t="str">
        <x:v>Mobile</x:v>
      </x:c>
      <x:c r="G561" s="20" t="str">
        <x:v>Scanned money order</x:v>
      </x:c>
      <x:c r="H561" s="35" t="str">
        <x:v>Post and allocate tenant receipt</x:v>
      </x:c>
      <x:c r="I561" s="35" t="str">
        <x:v>P023; U026; L026</x:v>
      </x:c>
      <x:c r="J561" s="35" t="str">
        <x:v>SCN-0163</x:v>
      </x:c>
      <x:c r="K561" s="35" t="str">
        <x:v>FIN-00303; FIN-00304</x:v>
      </x:c>
      <x:c r="L561" s="35" t="str">
        <x:v>Open Scan for paper payment or the tenant-account receipt form for electronic payment; verify tenant/lease match, amount, date, method, and reference; confirm once; open ledger detail and allocation.</x:v>
      </x:c>
      <x:c r="M561" s="35" t="str">
        <x:v>Receipt is append-only, allocated once to the correct rent charge, and visible consistently in Unit, Lease, Tenant Account, Accounting, and portal views.</x:v>
      </x:c>
      <x:c r="N561" s="35" t="str">
        <x:v>Scan review or form; success result; exact ledger rows; payment detail; accounting delta; portal receipt.</x:v>
      </x:c>
      <x:c r="O561" s="35" t="str">
        <x:v>Retry the idempotency key once during the quarter assigned in the coverage matrix; no duplicate cash or allocation.</x:v>
      </x:c>
      <x:c r="P561" s="35" t="str">
        <x:v>All expected records and amounts match; no unexplained error or stale state.</x:v>
      </x:c>
    </x:row>
    <x:row r="562">
      <x:c r="A562" s="20" t="str">
        <x:v>RUN-20270408-03</x:v>
      </x:c>
      <x:c r="B562" s="23" t="n">
        <x:v>46485</x:v>
      </x:c>
      <x:c r="C562" s="32" t="n">
        <x:v>3</x:v>
      </x:c>
      <x:c r="D562" s="20" t="str">
        <x:v>Role and screen certification</x:v>
      </x:c>
      <x:c r="E562" s="20" t="str">
        <x:v>Maintenance Technician</x:v>
      </x:c>
      <x:c r="F562" s="20" t="str">
        <x:v>Web</x:v>
      </x:c>
      <x:c r="G562" s="20" t="str">
        <x:v>Normal persona navigation</x:v>
      </x:c>
      <x:c r="H562" s="35" t="str">
        <x:v>Use every permitted action and state on /my-work</x:v>
      </x:c>
      <x:c r="I562" s="35" t="str">
        <x:v>SCR-047; ROLE-072</x:v>
      </x:c>
      <x:c r="J562" s="35" t="str"/>
      <x:c r="K562" s="35" t="str"/>
      <x:c r="L56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62" s="35" t="str">
        <x:v>The persona can use every allowed action with only its assigned properties/relationships. Hidden or disabled actions explain why; an adjacent unauthorized persona is denied without metadata leakage.</x:v>
      </x:c>
      <x:c r="N562" s="35" t="str">
        <x:v>Persona/experience; navigation entry; desktop or device screenshots; result state; persisted read-back; audit/history; authorized and denied network result.</x:v>
      </x:c>
      <x:c r="O562" s="35" t="str">
        <x:v>Open the direct URL or deep link with an adjacent unauthorized persona and with stale scope; both fail closed and land safely without mutation.</x:v>
      </x:c>
      <x:c r="P562" s="35" t="str">
        <x:v>All expected records and amounts match; no unexplained error or stale state.</x:v>
      </x:c>
    </x:row>
    <x:row r="563">
      <x:c r="A563" s="20" t="str">
        <x:v>RUN-20270408-04</x:v>
      </x:c>
      <x:c r="B563" s="23" t="n">
        <x:v>46485</x:v>
      </x:c>
      <x:c r="C563" s="32" t="n">
        <x:v>4</x:v>
      </x:c>
      <x:c r="D563" s="20" t="str">
        <x:v>Field certification</x:v>
      </x:c>
      <x:c r="E563" s="20" t="str">
        <x:v>Workspace Administrator</x:v>
      </x:c>
      <x:c r="F563" s="20" t="str">
        <x:v>Web</x:v>
      </x:c>
      <x:c r="G563" s="20" t="str">
        <x:v>Manual field-by-field</x:v>
      </x:c>
      <x:c r="H563" s="35" t="str">
        <x:v>Fill, save, reload, edit, and validate every declared field on /admin/audit</x:v>
      </x:c>
      <x:c r="I563" s="35" t="str">
        <x:v>FLD-0248; FLD-0249; FLD-0250; FLD-0251</x:v>
      </x:c>
      <x:c r="J563" s="35" t="str"/>
      <x:c r="K563" s="35" t="str"/>
      <x:c r="L563" s="35" t="str">
        <x:v>Use the source-derived Field Inventory. Enter non-default realistic values in every control (admin-audit-operation-filter; Select-3; Select-4; Select-5); submit; reload or relaunch; compare every value; edit each mutable field; verify the paired client; then run required, format, length, range, boundary, optional-null, and stale-submit checks.</x:v>
      </x:c>
      <x:c r="M563" s="35" t="str">
        <x:v>All 4 inventoried controls persist exact normalized values, invalid values stay unsaved with clear errors, and hidden/unauthorized fields cannot be altered.</x:v>
      </x:c>
      <x:c r="N563" s="35" t="str">
        <x:v>Before/after form screenshots; FLD IDs; API response; reloaded UI; paired-client read-back; database/audit evidence; negative validation result.</x:v>
      </x:c>
      <x:c r="O563" s="35" t="str">
        <x:v>Use a duplicate submit and one simulated network interruption; one atomic mutation or none, never partial state.</x:v>
      </x:c>
      <x:c r="P563" s="35" t="str">
        <x:v>All expected records and amounts match; no unexplained error or stale state.</x:v>
      </x:c>
    </x:row>
    <x:row r="564">
      <x:c r="A564" s="20" t="str">
        <x:v>RUN-20270409-01</x:v>
      </x:c>
      <x:c r="B564" s="23" t="n">
        <x:v>46486</x:v>
      </x:c>
      <x:c r="C564" s="32" t="n">
        <x:v>1</x:v>
      </x:c>
      <x:c r="D564" s="20" t="str">
        <x:v>Role and screen certification</x:v>
      </x:c>
      <x:c r="E564" s="20" t="str">
        <x:v>Maintenance Technician</x:v>
      </x:c>
      <x:c r="F564" s="20" t="str">
        <x:v>Web</x:v>
      </x:c>
      <x:c r="G564" s="20" t="str">
        <x:v>Normal persona navigation</x:v>
      </x:c>
      <x:c r="H564" s="35" t="str">
        <x:v>Use every permitted action and state on /my-work/[id]</x:v>
      </x:c>
      <x:c r="I564" s="35" t="str">
        <x:v>SCR-048; ROLE-073</x:v>
      </x:c>
      <x:c r="J564" s="35" t="str"/>
      <x:c r="K564" s="35" t="str"/>
      <x:c r="L56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64" s="35" t="str">
        <x:v>The persona can use every allowed action with only its assigned properties/relationships. Hidden or disabled actions explain why; an adjacent unauthorized persona is denied without metadata leakage.</x:v>
      </x:c>
      <x:c r="N564" s="35" t="str">
        <x:v>Persona/experience; navigation entry; desktop or device screenshots; result state; persisted read-back; audit/history; authorized and denied network result.</x:v>
      </x:c>
      <x:c r="O564" s="35" t="str">
        <x:v>Open the direct URL or deep link with an adjacent unauthorized persona and with stale scope; both fail closed and land safely without mutation.</x:v>
      </x:c>
      <x:c r="P564" s="35" t="str">
        <x:v>All expected records and amounts match; no unexplained error or stale state.</x:v>
      </x:c>
    </x:row>
    <x:row r="565">
      <x:c r="A565" s="20" t="str">
        <x:v>RUN-20270409-02</x:v>
      </x:c>
      <x:c r="B565" s="23" t="n">
        <x:v>46486</x:v>
      </x:c>
      <x:c r="C565" s="32" t="n">
        <x:v>2</x:v>
      </x:c>
      <x:c r="D565" s="20" t="str">
        <x:v>Field certification</x:v>
      </x:c>
      <x:c r="E565" s="20" t="str">
        <x:v>Workspace Administrator</x:v>
      </x:c>
      <x:c r="F565" s="20" t="str">
        <x:v>Web</x:v>
      </x:c>
      <x:c r="G565" s="20" t="str">
        <x:v>Manual field-by-field</x:v>
      </x:c>
      <x:c r="H565" s="35" t="str">
        <x:v>Fill, save, reload, edit, and validate every declared field on /admin/audit</x:v>
      </x:c>
      <x:c r="I565" s="35" t="str">
        <x:v>FLD-0252; FLD-0253; FLD-0254; FLD-0255; FLD-0256</x:v>
      </x:c>
      <x:c r="J565" s="35" t="str"/>
      <x:c r="K565" s="35" t="str"/>
      <x:c r="L565" s="35" t="str">
        <x:v>Use the source-derived Field Inventory. Enter non-default realistic values in every control (entityTypeFilter; admin-audit-entity-type-filter; Select-8; Select-9; Select-10); submit; reload or relaunch; compare every value; edit each mutable field; verify the paired client; then run required, format, length, range, boundary, optional-null, and stale-submit checks.</x:v>
      </x:c>
      <x:c r="M565" s="35" t="str">
        <x:v>All 5 inventoried controls persist exact normalized values, invalid values stay unsaved with clear errors, and hidden/unauthorized fields cannot be altered.</x:v>
      </x:c>
      <x:c r="N565" s="35" t="str">
        <x:v>Before/after form screenshots; FLD IDs; API response; reloaded UI; paired-client read-back; database/audit evidence; negative validation result.</x:v>
      </x:c>
      <x:c r="O565" s="35" t="str">
        <x:v>Use a duplicate submit and one simulated network interruption; one atomic mutation or none, never partial state.</x:v>
      </x:c>
      <x:c r="P565" s="35" t="str">
        <x:v>All expected records and amounts match; no unexplained error or stale state.</x:v>
      </x:c>
    </x:row>
    <x:row r="566">
      <x:c r="A566" s="20" t="str">
        <x:v>RUN-20270409-03</x:v>
      </x:c>
      <x:c r="B566" s="23" t="n">
        <x:v>46486</x:v>
      </x:c>
      <x:c r="C566" s="32" t="n">
        <x:v>3</x:v>
      </x:c>
      <x:c r="D566" s="20" t="str">
        <x:v>Notification certification</x:v>
      </x:c>
      <x:c r="E566" s="20" t="str">
        <x:v>Applicant</x:v>
      </x:c>
      <x:c r="F566" s="20" t="str">
        <x:v>Web + Mobile</x:v>
      </x:c>
      <x:c r="G566" s="20" t="str">
        <x:v>System event + preference/manual verification</x:v>
      </x:c>
      <x:c r="H566" s="35" t="str">
        <x:v>Trigger and prove notification: Application status changed</x:v>
      </x:c>
      <x:c r="I566" s="35" t="str">
        <x:v>NTF-012</x:v>
      </x:c>
      <x:c r="J566" s="35" t="str"/>
      <x:c r="K566" s="35" t="str"/>
      <x:c r="L566" s="35" t="str">
        <x:v>Set each recipient's preferences; trigger the real business event; inspect routing and recipient scope; verify unread badge, list item, safe preview, public status/message deep link, mark-read sync, configured channel outcome, provider failure/retry, and duplicate suppression.</x:v>
      </x:c>
      <x:c r="M566" s="35" t="str">
        <x:v>Exactly the intended recipients receive one correctly routed notification; disabled optional channels stay silent; deep link opens authorized context; read state synchronizes.</x:v>
      </x:c>
      <x:c r="N566" s="35" t="str">
        <x:v>Trigger record; routing decision; outbox/delivery status; web/mobile inbox; lock-screen-safe copy; deep-link target; audit/provider retry evidence.</x:v>
      </x:c>
      <x:c r="O566" s="35" t="str">
        <x:v>Re-run the worker and deliver a duplicate provider callback; no duplicate user-visible event. Attempt the deep link as an unauthorized adjacent role.</x:v>
      </x:c>
      <x:c r="P566" s="35" t="str">
        <x:v>All expected records and amounts match; no unexplained error or stale state.</x:v>
      </x:c>
    </x:row>
    <x:row r="567">
      <x:c r="A567" s="20" t="str">
        <x:v>RUN-20270409-04</x:v>
      </x:c>
      <x:c r="B567" s="23" t="n">
        <x:v>46486</x:v>
      </x:c>
      <x:c r="C567" s="32" t="n">
        <x:v>4</x:v>
      </x:c>
      <x:c r="D567" s="20" t="str">
        <x:v>Surface coverage</x:v>
      </x:c>
      <x:c r="E567" s="20" t="str">
        <x:v>Role appropriate to surface</x:v>
      </x:c>
      <x:c r="F567" s="20" t="str">
        <x:v>Web</x:v>
      </x:c>
      <x:c r="G567" s="20" t="str">
        <x:v>Scan/attachment</x:v>
      </x:c>
      <x:c r="H567" s="35" t="str">
        <x:v>Scan web pass: Prepare move-in and lease agreement draft</x:v>
      </x:c>
      <x:c r="I567" s="35" t="str">
        <x:v>COV-012</x:v>
      </x:c>
      <x:c r="J567" s="35" t="str"/>
      <x:c r="K567" s="35" t="str"/>
      <x:c r="L567" s="35" t="str">
        <x:v>Prepare planned relationship atomically; edit draft; add co-tenant/guarantor/occupant; cancel a planned relationship.</x:v>
      </x:c>
      <x:c r="M567" s="35" t="str">
        <x:v>The supported workflow completes and persists correctly; if the capability is absent, the exact gap is proven and queued rather than silently skipped.</x:v>
      </x:c>
      <x:c r="N567" s="35" t="str">
        <x:v>Real UI screenshot/state; submitted values; persisted read-back; cross-client read-back; audit/role/access evidence.</x:v>
      </x:c>
      <x:c r="O567" s="35" t="str">
        <x:v>Use one invalid value, stale-state retry, or duplicate submission relevant to the form; no partial or duplicate mutation.</x:v>
      </x:c>
      <x:c r="P567" s="35" t="str">
        <x:v>All expected records and amounts match; no unexplained error or stale state.</x:v>
      </x:c>
    </x:row>
    <x:row r="568">
      <x:c r="A568" s="20" t="str">
        <x:v>RUN-20270412-01</x:v>
      </x:c>
      <x:c r="B568" s="23" t="n">
        <x:v>46489</x:v>
      </x:c>
      <x:c r="C568" s="32" t="n">
        <x:v>1</x:v>
      </x:c>
      <x:c r="D568" s="20" t="str">
        <x:v>Monthly operations</x:v>
      </x:c>
      <x:c r="E568" s="20" t="str">
        <x:v>Property Manager</x:v>
      </x:c>
      <x:c r="F568" s="20" t="str">
        <x:v>Mobile</x:v>
      </x:c>
      <x:c r="G568" s="20" t="str">
        <x:v>Scanned money order</x:v>
      </x:c>
      <x:c r="H568" s="35" t="str">
        <x:v>Post and allocate tenant receipt</x:v>
      </x:c>
      <x:c r="I568" s="35" t="str">
        <x:v>P011; U011; L011</x:v>
      </x:c>
      <x:c r="J568" s="35" t="str">
        <x:v>SCN-0153</x:v>
      </x:c>
      <x:c r="K568" s="35" t="str">
        <x:v>FIN-00269; FIN-00270</x:v>
      </x:c>
      <x:c r="L568" s="35" t="str">
        <x:v>Open Scan for paper payment or the tenant-account receipt form for electronic payment; verify tenant/lease match, amount, date, method, and reference; confirm once; open ledger detail and allocation.</x:v>
      </x:c>
      <x:c r="M568" s="35" t="str">
        <x:v>Receipt is append-only, allocated once to the correct rent charge, and visible consistently in Unit, Lease, Tenant Account, Accounting, and portal views.</x:v>
      </x:c>
      <x:c r="N568" s="35" t="str">
        <x:v>Scan review or form; success result; exact ledger rows; payment detail; accounting delta; portal receipt.</x:v>
      </x:c>
      <x:c r="O568" s="35" t="str">
        <x:v>Retry the idempotency key once during the quarter assigned in the coverage matrix; no duplicate cash or allocation.</x:v>
      </x:c>
      <x:c r="P568" s="35" t="str">
        <x:v>All expected records and amounts match; no unexplained error or stale state.</x:v>
      </x:c>
    </x:row>
    <x:row r="569">
      <x:c r="A569" s="20" t="str">
        <x:v>RUN-20270412-02</x:v>
      </x:c>
      <x:c r="B569" s="23" t="n">
        <x:v>46489</x:v>
      </x:c>
      <x:c r="C569" s="32" t="n">
        <x:v>2</x:v>
      </x:c>
      <x:c r="D569" s="20" t="str">
        <x:v>Monthly operations</x:v>
      </x:c>
      <x:c r="E569" s="20" t="str">
        <x:v>Property Manager</x:v>
      </x:c>
      <x:c r="F569" s="20" t="str">
        <x:v>Web</x:v>
      </x:c>
      <x:c r="G569" s="20" t="str">
        <x:v>Scanned check</x:v>
      </x:c>
      <x:c r="H569" s="35" t="str">
        <x:v>Post and allocate tenant receipt</x:v>
      </x:c>
      <x:c r="I569" s="35" t="str">
        <x:v>P021; U022; L022</x:v>
      </x:c>
      <x:c r="J569" s="35" t="str">
        <x:v>SCN-0160</x:v>
      </x:c>
      <x:c r="K569" s="35" t="str">
        <x:v>FIN-00294; FIN-00295</x:v>
      </x:c>
      <x:c r="L569" s="35" t="str">
        <x:v>Open Scan for paper payment or the tenant-account receipt form for electronic payment; verify tenant/lease match, amount, date, method, and reference; confirm once; open ledger detail and allocation.</x:v>
      </x:c>
      <x:c r="M569" s="35" t="str">
        <x:v>Receipt is append-only, allocated once to the correct rent charge, and visible consistently in Unit, Lease, Tenant Account, Accounting, and portal views.</x:v>
      </x:c>
      <x:c r="N569" s="35" t="str">
        <x:v>Scan review or form; success result; exact ledger rows; payment detail; accounting delta; portal receipt.</x:v>
      </x:c>
      <x:c r="O569" s="35" t="str">
        <x:v>Retry the idempotency key once during the quarter assigned in the coverage matrix; no duplicate cash or allocation.</x:v>
      </x:c>
      <x:c r="P569" s="35" t="str">
        <x:v>All expected records and amounts match; no unexplained error or stale state.</x:v>
      </x:c>
    </x:row>
    <x:row r="570">
      <x:c r="A570" s="20" t="str">
        <x:v>RUN-20270412-03</x:v>
      </x:c>
      <x:c r="B570" s="23" t="n">
        <x:v>46489</x:v>
      </x:c>
      <x:c r="C570" s="32" t="n">
        <x:v>3</x:v>
      </x:c>
      <x:c r="D570" s="20" t="str">
        <x:v>Monthly operations</x:v>
      </x:c>
      <x:c r="E570" s="20" t="str">
        <x:v>Property Manager</x:v>
      </x:c>
      <x:c r="F570" s="20" t="str">
        <x:v>Mobile</x:v>
      </x:c>
      <x:c r="G570" s="20" t="str">
        <x:v>Portal card</x:v>
      </x:c>
      <x:c r="H570" s="35" t="str">
        <x:v>Post and allocate tenant receipt</x:v>
      </x:c>
      <x:c r="I570" s="35" t="str">
        <x:v>P027; U033; L033</x:v>
      </x:c>
      <x:c r="J570" s="35" t="str"/>
      <x:c r="K570" s="35" t="str">
        <x:v>FIN-00319; FIN-00320</x:v>
      </x:c>
      <x:c r="L570" s="35" t="str">
        <x:v>Open Scan for paper payment or the tenant-account receipt form for electronic payment; verify tenant/lease match, amount, date, method, and reference; confirm once; open ledger detail and allocation.</x:v>
      </x:c>
      <x:c r="M570" s="35" t="str">
        <x:v>Receipt is append-only, allocated once to the correct rent charge, and visible consistently in Unit, Lease, Tenant Account, Accounting, and portal views.</x:v>
      </x:c>
      <x:c r="N570" s="35" t="str">
        <x:v>Scan review or form; success result; exact ledger rows; payment detail; accounting delta; portal receipt.</x:v>
      </x:c>
      <x:c r="O570" s="35" t="str">
        <x:v>Retry the idempotency key once during the quarter assigned in the coverage matrix; no duplicate cash or allocation.</x:v>
      </x:c>
      <x:c r="P570" s="35" t="str">
        <x:v>All expected records and amounts match; no unexplained error or stale state.</x:v>
      </x:c>
    </x:row>
    <x:row r="571">
      <x:c r="A571" s="20" t="str">
        <x:v>RUN-20270412-04</x:v>
      </x:c>
      <x:c r="B571" s="23" t="n">
        <x:v>46489</x:v>
      </x:c>
      <x:c r="C571" s="32" t="n">
        <x:v>4</x:v>
      </x:c>
      <x:c r="D571" s="20" t="str">
        <x:v>Monthly operations</x:v>
      </x:c>
      <x:c r="E571" s="20" t="str">
        <x:v>Property Manager</x:v>
      </x:c>
      <x:c r="F571" s="20" t="str">
        <x:v>Web</x:v>
      </x:c>
      <x:c r="G571" s="20" t="str">
        <x:v>Manual ACH</x:v>
      </x:c>
      <x:c r="H571" s="35" t="str">
        <x:v>Post and allocate tenant receipt</x:v>
      </x:c>
      <x:c r="I571" s="35" t="str">
        <x:v>P029; U038; L044</x:v>
      </x:c>
      <x:c r="J571" s="35" t="str"/>
      <x:c r="K571" s="35" t="str">
        <x:v>FIN-00333; FIN-00334</x:v>
      </x:c>
      <x:c r="L571" s="35" t="str">
        <x:v>Open Scan for paper payment or the tenant-account receipt form for electronic payment; verify tenant/lease match, amount, date, method, and reference; confirm once; open ledger detail and allocation.</x:v>
      </x:c>
      <x:c r="M571" s="35" t="str">
        <x:v>Receipt is append-only, allocated once to the correct rent charge, and visible consistently in Unit, Lease, Tenant Account, Accounting, and portal views.</x:v>
      </x:c>
      <x:c r="N571" s="35" t="str">
        <x:v>Scan review or form; success result; exact ledger rows; payment detail; accounting delta; portal receipt.</x:v>
      </x:c>
      <x:c r="O571" s="35" t="str">
        <x:v>Retry the idempotency key once during the quarter assigned in the coverage matrix; no duplicate cash or allocation.</x:v>
      </x:c>
      <x:c r="P571" s="35" t="str">
        <x:v>All expected records and amounts match; no unexplained error or stale state.</x:v>
      </x:c>
    </x:row>
    <x:row r="572">
      <x:c r="A572" s="20" t="str">
        <x:v>RUN-20270412-05</x:v>
      </x:c>
      <x:c r="B572" s="23" t="n">
        <x:v>46489</x:v>
      </x:c>
      <x:c r="C572" s="32" t="n">
        <x:v>5</x:v>
      </x:c>
      <x:c r="D572" s="20" t="str">
        <x:v>Weekly operations</x:v>
      </x:c>
      <x:c r="E572" s="20" t="str">
        <x:v>Property Manager</x:v>
      </x:c>
      <x:c r="F572" s="20" t="str">
        <x:v>Mobile</x:v>
      </x:c>
      <x:c r="G572" s="20" t="str">
        <x:v>Scan-first</x:v>
      </x:c>
      <x:c r="H572" s="35" t="str">
        <x:v>Create and triage maintenance request</x:v>
      </x:c>
      <x:c r="I572" s="35" t="str">
        <x:v>P023; U026; WO-2027-015</x:v>
      </x:c>
      <x:c r="J572" s="35" t="str">
        <x:v>SCN-0373</x:v>
      </x:c>
      <x:c r="K572" s="35" t="str"/>
      <x:c r="L572" s="35" t="str">
        <x:v>Capture the tenant note/photo; review lock rekey; confirm; set responsibility; dispatch Prime Pest Control; create an appointment and verify the tenant notification.</x:v>
      </x:c>
      <x:c r="M572" s="35" t="str">
        <x:v>Work order, status timeline, responsibility, vendor dispatch, appointment, notification, and Unit context are linked once.</x:v>
      </x:c>
      <x:c r="N572" s="35" t="str">
        <x:v>Scan review; work order detail/timeline; dispatch; appointment; notification; tenant portal view.</x:v>
      </x:c>
      <x:c r="O572" s="35" t="str">
        <x:v>Cancel one dispatch each quarter, reassign once, and prove status/history remains append-only.</x:v>
      </x:c>
      <x:c r="P572" s="35" t="str">
        <x:v>All expected records and amounts match; no unexplained error or stale state.</x:v>
      </x:c>
    </x:row>
    <x:row r="573">
      <x:c r="A573" s="20" t="str">
        <x:v>RUN-20270412-06</x:v>
      </x:c>
      <x:c r="B573" s="23" t="n">
        <x:v>46489</x:v>
      </x:c>
      <x:c r="C573" s="32" t="n">
        <x:v>6</x:v>
      </x:c>
      <x:c r="D573" s="20" t="str">
        <x:v>Role and screen certification</x:v>
      </x:c>
      <x:c r="E573" s="20" t="str">
        <x:v>Workspace Administrator</x:v>
      </x:c>
      <x:c r="F573" s="20" t="str">
        <x:v>Web</x:v>
      </x:c>
      <x:c r="G573" s="20" t="str">
        <x:v>Normal persona navigation</x:v>
      </x:c>
      <x:c r="H573" s="35" t="str">
        <x:v>Use every permitted action and state on /notices</x:v>
      </x:c>
      <x:c r="I573" s="35" t="str">
        <x:v>SCR-049; ROLE-074</x:v>
      </x:c>
      <x:c r="J573" s="35" t="str"/>
      <x:c r="K573" s="35" t="str"/>
      <x:c r="L57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73" s="35" t="str">
        <x:v>The persona can use every allowed action with only its assigned properties/relationships. Hidden or disabled actions explain why; an adjacent unauthorized persona is denied without metadata leakage.</x:v>
      </x:c>
      <x:c r="N573" s="35" t="str">
        <x:v>Persona/experience; navigation entry; desktop or device screenshots; result state; persisted read-back; audit/history; authorized and denied network result.</x:v>
      </x:c>
      <x:c r="O573" s="35" t="str">
        <x:v>Open the direct URL or deep link with an adjacent unauthorized persona and with stale scope; both fail closed and land safely without mutation.</x:v>
      </x:c>
      <x:c r="P573" s="35" t="str">
        <x:v>All expected records and amounts match; no unexplained error or stale state.</x:v>
      </x:c>
    </x:row>
    <x:row r="574">
      <x:c r="A574" s="20" t="str">
        <x:v>RUN-20270412-07</x:v>
      </x:c>
      <x:c r="B574" s="23" t="n">
        <x:v>46489</x:v>
      </x:c>
      <x:c r="C574" s="32" t="n">
        <x:v>7</x:v>
      </x:c>
      <x:c r="D574" s="20" t="str">
        <x:v>Role and screen certification</x:v>
      </x:c>
      <x:c r="E574" s="20" t="str">
        <x:v>Property Manager</x:v>
      </x:c>
      <x:c r="F574" s="20" t="str">
        <x:v>Web</x:v>
      </x:c>
      <x:c r="G574" s="20" t="str">
        <x:v>Normal persona navigation</x:v>
      </x:c>
      <x:c r="H574" s="35" t="str">
        <x:v>Use every permitted action and state on /notices</x:v>
      </x:c>
      <x:c r="I574" s="35" t="str">
        <x:v>SCR-049; ROLE-075</x:v>
      </x:c>
      <x:c r="J574" s="35" t="str"/>
      <x:c r="K574" s="35" t="str"/>
      <x:c r="L57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74" s="35" t="str">
        <x:v>The persona can use every allowed action with only its assigned properties/relationships. Hidden or disabled actions explain why; an adjacent unauthorized persona is denied without metadata leakage.</x:v>
      </x:c>
      <x:c r="N574" s="35" t="str">
        <x:v>Persona/experience; navigation entry; desktop or device screenshots; result state; persisted read-back; audit/history; authorized and denied network result.</x:v>
      </x:c>
      <x:c r="O574" s="35" t="str">
        <x:v>Open the direct URL or deep link with an adjacent unauthorized persona and with stale scope; both fail closed and land safely without mutation.</x:v>
      </x:c>
      <x:c r="P574" s="35" t="str">
        <x:v>All expected records and amounts match; no unexplained error or stale state.</x:v>
      </x:c>
    </x:row>
    <x:row r="575">
      <x:c r="A575" s="20" t="str">
        <x:v>RUN-20270412-08</x:v>
      </x:c>
      <x:c r="B575" s="23" t="n">
        <x:v>46489</x:v>
      </x:c>
      <x:c r="C575" s="32" t="n">
        <x:v>8</x:v>
      </x:c>
      <x:c r="D575" s="20" t="str">
        <x:v>Role and screen certification</x:v>
      </x:c>
      <x:c r="E575" s="20" t="str">
        <x:v>Leasing Agent</x:v>
      </x:c>
      <x:c r="F575" s="20" t="str">
        <x:v>Web</x:v>
      </x:c>
      <x:c r="G575" s="20" t="str">
        <x:v>Normal persona navigation</x:v>
      </x:c>
      <x:c r="H575" s="35" t="str">
        <x:v>Use every permitted action and state on /notices</x:v>
      </x:c>
      <x:c r="I575" s="35" t="str">
        <x:v>SCR-049; ROLE-076</x:v>
      </x:c>
      <x:c r="J575" s="35" t="str"/>
      <x:c r="K575" s="35" t="str"/>
      <x:c r="L57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75" s="35" t="str">
        <x:v>The persona can use every allowed action with only its assigned properties/relationships. Hidden or disabled actions explain why; an adjacent unauthorized persona is denied without metadata leakage.</x:v>
      </x:c>
      <x:c r="N575" s="35" t="str">
        <x:v>Persona/experience; navigation entry; desktop or device screenshots; result state; persisted read-back; audit/history; authorized and denied network result.</x:v>
      </x:c>
      <x:c r="O575" s="35" t="str">
        <x:v>Open the direct URL or deep link with an adjacent unauthorized persona and with stale scope; both fail closed and land safely without mutation.</x:v>
      </x:c>
      <x:c r="P575" s="35" t="str">
        <x:v>All expected records and amounts match; no unexplained error or stale state.</x:v>
      </x:c>
    </x:row>
    <x:row r="576">
      <x:c r="A576" s="20" t="str">
        <x:v>RUN-20270412-09</x:v>
      </x:c>
      <x:c r="B576" s="23" t="n">
        <x:v>46489</x:v>
      </x:c>
      <x:c r="C576" s="32" t="n">
        <x:v>9</x:v>
      </x:c>
      <x:c r="D576" s="20" t="str">
        <x:v>Field certification</x:v>
      </x:c>
      <x:c r="E576" s="20" t="str">
        <x:v>Workspace Administrator</x:v>
      </x:c>
      <x:c r="F576" s="20" t="str">
        <x:v>Web</x:v>
      </x:c>
      <x:c r="G576" s="20" t="str">
        <x:v>Manual field-by-field</x:v>
      </x:c>
      <x:c r="H576" s="35" t="str">
        <x:v>Fill, save, reload, edit, and validate every declared field on /admin/users</x:v>
      </x:c>
      <x:c r="I576" s="35" t="str">
        <x:v>FLD-0257; FLD-0258; FLD-0259; FLD-0260</x:v>
      </x:c>
      <x:c r="J576" s="35" t="str"/>
      <x:c r="K576" s="35" t="str"/>
      <x:c r="L576" s="35" t="str">
        <x:v>Use the source-derived Field Inventory. Enter non-default realistic values in every control (team-search; displayName; email; select-4); submit; reload or relaunch; compare every value; edit each mutable field; verify the paired client; then run required, format, length, range, boundary, optional-null, and stale-submit checks.</x:v>
      </x:c>
      <x:c r="M576" s="35" t="str">
        <x:v>All 4 inventoried controls persist exact normalized values, invalid values stay unsaved with clear errors, and hidden/unauthorized fields cannot be altered.</x:v>
      </x:c>
      <x:c r="N576" s="35" t="str">
        <x:v>Before/after form screenshots; FLD IDs; API response; reloaded UI; paired-client read-back; database/audit evidence; negative validation result.</x:v>
      </x:c>
      <x:c r="O576" s="35" t="str">
        <x:v>Use a duplicate submit and one simulated network interruption; one atomic mutation or none, never partial state.</x:v>
      </x:c>
      <x:c r="P576" s="35" t="str">
        <x:v>All expected records and amounts match; no unexplained error or stale state.</x:v>
      </x:c>
    </x:row>
    <x:row r="577">
      <x:c r="A577" s="20" t="str">
        <x:v>RUN-20270412-10</x:v>
      </x:c>
      <x:c r="B577" s="23" t="n">
        <x:v>46489</x:v>
      </x:c>
      <x:c r="C577" s="32" t="n">
        <x:v>10</x:v>
      </x:c>
      <x:c r="D577" s="20" t="str">
        <x:v>Surface coverage</x:v>
      </x:c>
      <x:c r="E577" s="20" t="str">
        <x:v>Role appropriate to surface</x:v>
      </x:c>
      <x:c r="F577" s="20" t="str">
        <x:v>Mobile</x:v>
      </x:c>
      <x:c r="G577" s="20" t="str">
        <x:v>Scan/attachment</x:v>
      </x:c>
      <x:c r="H577" s="35" t="str">
        <x:v>Scan mobile pass: Prepare move-in and lease agreement draft</x:v>
      </x:c>
      <x:c r="I577" s="35" t="str">
        <x:v>COV-012</x:v>
      </x:c>
      <x:c r="J577" s="35" t="str"/>
      <x:c r="K577" s="35" t="str"/>
      <x:c r="L577" s="35" t="str">
        <x:v>Prepare planned relationship atomically; edit draft; add co-tenant/guarantor/occupant; cancel a planned relationship.</x:v>
      </x:c>
      <x:c r="M577" s="35" t="str">
        <x:v>The supported workflow completes and persists correctly; if the capability is absent, the exact gap is proven and queued rather than silently skipped.</x:v>
      </x:c>
      <x:c r="N577" s="35" t="str">
        <x:v>Real UI screenshot/state; submitted values; persisted read-back; cross-client read-back; audit/role/access evidence.</x:v>
      </x:c>
      <x:c r="O577" s="35" t="str">
        <x:v>Use one invalid value, stale-state retry, or duplicate submission relevant to the form; no partial or duplicate mutation.</x:v>
      </x:c>
      <x:c r="P577" s="35" t="str">
        <x:v>All expected records and amounts match; no unexplained error or stale state.</x:v>
      </x:c>
    </x:row>
    <x:row r="578">
      <x:c r="A578" s="20" t="str">
        <x:v>RUN-20270413-01</x:v>
      </x:c>
      <x:c r="B578" s="23" t="n">
        <x:v>46490</x:v>
      </x:c>
      <x:c r="C578" s="32" t="n">
        <x:v>1</x:v>
      </x:c>
      <x:c r="D578" s="20" t="str">
        <x:v>Weekly operations</x:v>
      </x:c>
      <x:c r="E578" s="20" t="str">
        <x:v>Property Manager</x:v>
      </x:c>
      <x:c r="F578" s="20" t="str">
        <x:v>Mobile</x:v>
      </x:c>
      <x:c r="G578" s="20" t="str">
        <x:v>Manual web form</x:v>
      </x:c>
      <x:c r="H578" s="35" t="str">
        <x:v>Record, review, allocate, and pay operating expense</x:v>
      </x:c>
      <x:c r="I578" s="35" t="str">
        <x:v>P023; U026; WO-2027-015</x:v>
      </x:c>
      <x:c r="J578" s="35" t="str"/>
      <x:c r="K578" s="35" t="str">
        <x:v>FIN-01038</x:v>
      </x:c>
      <x:c r="L578" s="35" t="str">
        <x:v>Capture or upload the source; verify vendor, date, scope, category, line items, tax, amount, and work-order link; confirm; open detail; verify attachment; compare Money and Property/Unit views.</x:v>
      </x:c>
      <x:c r="M578" s="35" t="str">
        <x:v>One expense exists at its real operational scope, cash falls once, Schedule E category and allocations agree, and no per-unit copies are created.</x:v>
      </x:c>
      <x:c r="N578" s="35" t="str">
        <x:v>Source preview; review/form; expense detail; line items; Property/Unit ledger; audit; accounting/report delta.</x:v>
      </x:c>
      <x:c r="O578" s="35" t="str">
        <x:v>On marked duplicate-invoice cases, re-upload before confirm and prove the product prevents or clearly warns about duplication.</x:v>
      </x:c>
      <x:c r="P578" s="35" t="str">
        <x:v>All expected records and amounts match; no unexplained error or stale state.</x:v>
      </x:c>
    </x:row>
    <x:row r="579">
      <x:c r="A579" s="20" t="str">
        <x:v>RUN-20270413-02</x:v>
      </x:c>
      <x:c r="B579" s="23" t="n">
        <x:v>46490</x:v>
      </x:c>
      <x:c r="C579" s="32" t="n">
        <x:v>2</x:v>
      </x:c>
      <x:c r="D579" s="20" t="str">
        <x:v>Role and screen certification</x:v>
      </x:c>
      <x:c r="E579" s="20" t="str">
        <x:v>Workspace Administrator</x:v>
      </x:c>
      <x:c r="F579" s="20" t="str">
        <x:v>Web</x:v>
      </x:c>
      <x:c r="G579" s="20" t="str">
        <x:v>Normal persona navigation</x:v>
      </x:c>
      <x:c r="H579" s="35" t="str">
        <x:v>Use every permitted action and state on /onboarding</x:v>
      </x:c>
      <x:c r="I579" s="35" t="str">
        <x:v>SCR-050; ROLE-077</x:v>
      </x:c>
      <x:c r="J579" s="35" t="str"/>
      <x:c r="K579" s="35" t="str"/>
      <x:c r="L57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79" s="35" t="str">
        <x:v>The persona can use every allowed action with only its assigned properties/relationships. Hidden or disabled actions explain why; an adjacent unauthorized persona is denied without metadata leakage.</x:v>
      </x:c>
      <x:c r="N579" s="35" t="str">
        <x:v>Persona/experience; navigation entry; desktop or device screenshots; result state; persisted read-back; audit/history; authorized and denied network result.</x:v>
      </x:c>
      <x:c r="O579" s="35" t="str">
        <x:v>Open the direct URL or deep link with an adjacent unauthorized persona and with stale scope; both fail closed and land safely without mutation.</x:v>
      </x:c>
      <x:c r="P579" s="35" t="str">
        <x:v>All expected records and amounts match; no unexplained error or stale state.</x:v>
      </x:c>
    </x:row>
    <x:row r="580">
      <x:c r="A580" s="20" t="str">
        <x:v>RUN-20270413-03</x:v>
      </x:c>
      <x:c r="B580" s="23" t="n">
        <x:v>46490</x:v>
      </x:c>
      <x:c r="C580" s="32" t="n">
        <x:v>3</x:v>
      </x:c>
      <x:c r="D580" s="20" t="str">
        <x:v>Field certification</x:v>
      </x:c>
      <x:c r="E580" s="20" t="str">
        <x:v>Workspace Administrator</x:v>
      </x:c>
      <x:c r="F580" s="20" t="str">
        <x:v>Web</x:v>
      </x:c>
      <x:c r="G580" s="20" t="str">
        <x:v>Manual field-by-field</x:v>
      </x:c>
      <x:c r="H580" s="35" t="str">
        <x:v>Fill, save, reload, edit, and validate every declared field on /admin/users</x:v>
      </x:c>
      <x:c r="I580" s="35" t="str">
        <x:v>FLD-0261; FLD-0262; FLD-0263; FLD-0264; FLD-0265</x:v>
      </x:c>
      <x:c r="J580" s="35" t="str"/>
      <x:c r="K580" s="35" t="str"/>
      <x:c r="L580" s="35" t="str">
        <x:v>Use the source-derived Field Inventory. Enter non-default realistic values in every control (scopeKind; Search properties; input-7; select-8; assignmentScopeKind); submit; reload or relaunch; compare every value; edit each mutable field; verify the paired client; then run required, format, length, range, boundary, optional-null, and stale-submit checks.</x:v>
      </x:c>
      <x:c r="M580" s="35" t="str">
        <x:v>All 5 inventoried controls persist exact normalized values, invalid values stay unsaved with clear errors, and hidden/unauthorized fields cannot be altered.</x:v>
      </x:c>
      <x:c r="N580" s="35" t="str">
        <x:v>Before/after form screenshots; FLD IDs; API response; reloaded UI; paired-client read-back; database/audit evidence; negative validation result.</x:v>
      </x:c>
      <x:c r="O580" s="35" t="str">
        <x:v>Use a duplicate submit and one simulated network interruption; one atomic mutation or none, never partial state.</x:v>
      </x:c>
      <x:c r="P580" s="35" t="str">
        <x:v>All expected records and amounts match; no unexplained error or stale state.</x:v>
      </x:c>
    </x:row>
    <x:row r="581">
      <x:c r="A581" s="20" t="str">
        <x:v>RUN-20270414-01</x:v>
      </x:c>
      <x:c r="B581" s="23" t="n">
        <x:v>46491</x:v>
      </x:c>
      <x:c r="C581" s="32" t="n">
        <x:v>1</x:v>
      </x:c>
      <x:c r="D581" s="20" t="str">
        <x:v>Field certification</x:v>
      </x:c>
      <x:c r="E581" s="20" t="str">
        <x:v>Workspace Administrator</x:v>
      </x:c>
      <x:c r="F581" s="20" t="str">
        <x:v>Web</x:v>
      </x:c>
      <x:c r="G581" s="20" t="str">
        <x:v>Manual field-by-field</x:v>
      </x:c>
      <x:c r="H581" s="35" t="str">
        <x:v>Fill, save, reload, edit, and validate every declared field on /admin/users</x:v>
      </x:c>
      <x:c r="I581" s="35" t="str">
        <x:v>FLD-0266</x:v>
      </x:c>
      <x:c r="J581" s="35" t="str"/>
      <x:c r="K581" s="35" t="str"/>
      <x:c r="L581" s="35" t="str">
        <x:v>Use the source-derived Field Inventory. Enter non-default realistic values in every control (input-11); submit; reload or relaunch; compare every value; edit each mutable field; verify the paired client; then run required, format, length, range, boundary, optional-null, and stale-submit checks.</x:v>
      </x:c>
      <x:c r="M581" s="35" t="str">
        <x:v>All 1 inventoried controls persist exact normalized values, invalid values stay unsaved with clear errors, and hidden/unauthorized fields cannot be altered.</x:v>
      </x:c>
      <x:c r="N581" s="35" t="str">
        <x:v>Before/after form screenshots; FLD IDs; API response; reloaded UI; paired-client read-back; database/audit evidence; negative validation result.</x:v>
      </x:c>
      <x:c r="O581" s="35" t="str">
        <x:v>Use a duplicate submit and one simulated network interruption; one atomic mutation or none, never partial state.</x:v>
      </x:c>
      <x:c r="P581" s="35" t="str">
        <x:v>All expected records and amounts match; no unexplained error or stale state.</x:v>
      </x:c>
    </x:row>
    <x:row r="582">
      <x:c r="A582" s="20" t="str">
        <x:v>RUN-20270414-02</x:v>
      </x:c>
      <x:c r="B582" s="23" t="n">
        <x:v>46491</x:v>
      </x:c>
      <x:c r="C582" s="32" t="n">
        <x:v>2</x:v>
      </x:c>
      <x:c r="D582" s="20" t="str">
        <x:v>Field certification</x:v>
      </x:c>
      <x:c r="E582" s="20" t="str">
        <x:v>Tenant</x:v>
      </x:c>
      <x:c r="F582" s="20" t="str">
        <x:v>Web</x:v>
      </x:c>
      <x:c r="G582" s="20" t="str">
        <x:v>Manual field-by-field</x:v>
      </x:c>
      <x:c r="H582" s="35" t="str">
        <x:v>Fill, save, reload, edit, and validate every declared field on /portal</x:v>
      </x:c>
      <x:c r="I582" s="35" t="str">
        <x:v>FLD-0267; FLD-0268; FLD-0269</x:v>
      </x:c>
      <x:c r="J582" s="35" t="str"/>
      <x:c r="K582" s="35" t="str"/>
      <x:c r="L582" s="35" t="str">
        <x:v>Use the source-derived Field Inventory. Enter non-default realistic values in every control (select-1; Boolean(workOrderTitleError); Boolean(workOrderDescriptionError)); submit; reload or relaunch; compare every value; edit each mutable field; verify the paired client; then run required, format, length, range, boundary, optional-null, and stale-submit checks.</x:v>
      </x:c>
      <x:c r="M582" s="35" t="str">
        <x:v>All 3 inventoried controls persist exact normalized values, invalid values stay unsaved with clear errors, and hidden/unauthorized fields cannot be altered.</x:v>
      </x:c>
      <x:c r="N582" s="35" t="str">
        <x:v>Before/after form screenshots; FLD IDs; API response; reloaded UI; paired-client read-back; database/audit evidence; negative validation result.</x:v>
      </x:c>
      <x:c r="O582" s="35" t="str">
        <x:v>Use a duplicate submit and one simulated network interruption; one atomic mutation or none, never partial state.</x:v>
      </x:c>
      <x:c r="P582" s="35" t="str">
        <x:v>All expected records and amounts match; no unexplained error or stale state.</x:v>
      </x:c>
    </x:row>
    <x:row r="583">
      <x:c r="A583" s="20" t="str">
        <x:v>RUN-20270414-03</x:v>
      </x:c>
      <x:c r="B583" s="23" t="n">
        <x:v>46491</x:v>
      </x:c>
      <x:c r="C583" s="32" t="n">
        <x:v>3</x:v>
      </x:c>
      <x:c r="D583" s="20" t="str">
        <x:v>Lifecycle certification</x:v>
      </x:c>
      <x:c r="E583" s="20" t="str">
        <x:v>Workspace Administrator</x:v>
      </x:c>
      <x:c r="F583" s="20" t="str">
        <x:v>Web + Mobile</x:v>
      </x:c>
      <x:c r="G583" s="20" t="str">
        <x:v>Manual + scan/attachment where supported</x:v>
      </x:c>
      <x:c r="H583" s="35" t="str">
        <x:v>Complete the full create/read/edit/lifecycle/delete-safe pass for Lease template</x:v>
      </x:c>
      <x:c r="I583" s="35" t="str">
        <x:v>CRUD-009</x:v>
      </x:c>
      <x:c r="J583" s="35" t="str"/>
      <x:c r="K583" s="35" t="str"/>
      <x:c r="L583" s="35" t="str">
        <x:v>Use a dedicated disposable QA record and execute: upload; map every field; preview; default; supersede; version retention. Fill every field referenced by field-inventory.csv. Verify confirmation copy, cancel path, final path, reload, other-client state, history, and role denial.</x:v>
      </x:c>
      <x:c r="M583" s="35" t="str">
        <x:v>Every supported transition succeeds exactly once; forbidden destructive actions are guarded; reversible deletion/deactivation works; financial and historical truth is preserved.</x:v>
      </x:c>
      <x:c r="N583" s="35" t="str">
        <x:v>Entity before/after; both clients; all FLD IDs; audit/history; notifications; authorized and unauthorized personas; API/DB state.</x:v>
      </x:c>
      <x:c r="O583" s="35" t="str">
        <x:v>Cancel the first destructive confirmation, then repeat and confirm; retry the mutation once; no double transition or orphan.</x:v>
      </x:c>
      <x:c r="P583" s="35" t="str">
        <x:v>All expected records and amounts match; no unexplained error or stale state.</x:v>
      </x:c>
    </x:row>
    <x:row r="584">
      <x:c r="A584" s="20" t="str">
        <x:v>RUN-20270414-04</x:v>
      </x:c>
      <x:c r="B584" s="23" t="n">
        <x:v>46491</x:v>
      </x:c>
      <x:c r="C584" s="32" t="n">
        <x:v>4</x:v>
      </x:c>
      <x:c r="D584" s="20" t="str">
        <x:v>Surface coverage</x:v>
      </x:c>
      <x:c r="E584" s="20" t="str">
        <x:v>Role appropriate to surface</x:v>
      </x:c>
      <x:c r="F584" s="20" t="str">
        <x:v>Web</x:v>
      </x:c>
      <x:c r="G584" s="20" t="str">
        <x:v>Manual</x:v>
      </x:c>
      <x:c r="H584" s="35" t="str">
        <x:v>Manual web pass: Issue, sign, void, replace agreement</x:v>
      </x:c>
      <x:c r="I584" s="35" t="str">
        <x:v>COV-013</x:v>
      </x:c>
      <x:c r="J584" s="35" t="str"/>
      <x:c r="K584" s="35" t="str"/>
      <x:c r="L584" s="35" t="str">
        <x:v>Issue, view, sign, finalize, void mistaken packet, replace, and verify immutable artifacts/status.</x:v>
      </x:c>
      <x:c r="M584" s="35" t="str">
        <x:v>The supported workflow completes and persists correctly; if the capability is absent, the exact gap is proven and queued rather than silently skipped.</x:v>
      </x:c>
      <x:c r="N584" s="35" t="str">
        <x:v>Real UI screenshot/state; submitted values; persisted read-back; cross-client read-back; audit/role/access evidence.</x:v>
      </x:c>
      <x:c r="O584" s="35" t="str">
        <x:v>Use one invalid value, stale-state retry, or duplicate submission relevant to the form; no partial or duplicate mutation.</x:v>
      </x:c>
      <x:c r="P584" s="35" t="str">
        <x:v>All expected records and amounts match; no unexplained error or stale state.</x:v>
      </x:c>
    </x:row>
    <x:row r="585">
      <x:c r="A585" s="20" t="str">
        <x:v>RUN-20270415-01</x:v>
      </x:c>
      <x:c r="B585" s="23" t="n">
        <x:v>46492</x:v>
      </x:c>
      <x:c r="C585" s="32" t="n">
        <x:v>1</x:v>
      </x:c>
      <x:c r="D585" s="20" t="str">
        <x:v>Weekly operations</x:v>
      </x:c>
      <x:c r="E585" s="20" t="str">
        <x:v>Property Manager</x:v>
      </x:c>
      <x:c r="F585" s="20" t="str">
        <x:v>Mobile</x:v>
      </x:c>
      <x:c r="G585" s="20" t="str">
        <x:v>Scanned receipt/invoice</x:v>
      </x:c>
      <x:c r="H585" s="35" t="str">
        <x:v>Record, review, allocate, and pay operating expense</x:v>
      </x:c>
      <x:c r="I585" s="35" t="str">
        <x:v>P021; Property scope; </x:v>
      </x:c>
      <x:c r="J585" s="35" t="str">
        <x:v>SCN-0528</x:v>
      </x:c>
      <x:c r="K585" s="35" t="str">
        <x:v>FIN-01182</x:v>
      </x:c>
      <x:c r="L585" s="35" t="str">
        <x:v>Capture or upload the source; verify vendor, date, scope, category, line items, tax, amount, and work-order link; confirm; open detail; verify attachment; compare Money and Property/Unit views.</x:v>
      </x:c>
      <x:c r="M585" s="35" t="str">
        <x:v>One expense exists at its real operational scope, cash falls once, Schedule E category and allocations agree, and no per-unit copies are created.</x:v>
      </x:c>
      <x:c r="N585" s="35" t="str">
        <x:v>Source preview; review/form; expense detail; line items; Property/Unit ledger; audit; accounting/report delta.</x:v>
      </x:c>
      <x:c r="O585" s="35" t="str">
        <x:v>On marked duplicate-invoice cases, re-upload before confirm and prove the product prevents or clearly warns about duplication.</x:v>
      </x:c>
      <x:c r="P585" s="35" t="str">
        <x:v>All expected records and amounts match; no unexplained error or stale state.</x:v>
      </x:c>
    </x:row>
    <x:row r="586">
      <x:c r="A586" s="20" t="str">
        <x:v>RUN-20270415-02</x:v>
      </x:c>
      <x:c r="B586" s="23" t="n">
        <x:v>46492</x:v>
      </x:c>
      <x:c r="C586" s="32" t="n">
        <x:v>2</x:v>
      </x:c>
      <x:c r="D586" s="20" t="str">
        <x:v>Weekly operations</x:v>
      </x:c>
      <x:c r="E586" s="20" t="str">
        <x:v>Property Manager</x:v>
      </x:c>
      <x:c r="F586" s="20" t="str">
        <x:v>Web</x:v>
      </x:c>
      <x:c r="G586" s="20" t="str">
        <x:v>Scanned receipt/invoice</x:v>
      </x:c>
      <x:c r="H586" s="35" t="str">
        <x:v>Record, review, allocate, and pay operating expense</x:v>
      </x:c>
      <x:c r="I586" s="35" t="str">
        <x:v>P022; Property scope; </x:v>
      </x:c>
      <x:c r="J586" s="35" t="str">
        <x:v>SCN-0529</x:v>
      </x:c>
      <x:c r="K586" s="35" t="str">
        <x:v>FIN-01183</x:v>
      </x:c>
      <x:c r="L586" s="35" t="str">
        <x:v>Capture or upload the source; verify vendor, date, scope, category, line items, tax, amount, and work-order link; confirm; open detail; verify attachment; compare Money and Property/Unit views.</x:v>
      </x:c>
      <x:c r="M586" s="35" t="str">
        <x:v>One expense exists at its real operational scope, cash falls once, Schedule E category and allocations agree, and no per-unit copies are created.</x:v>
      </x:c>
      <x:c r="N586" s="35" t="str">
        <x:v>Source preview; review/form; expense detail; line items; Property/Unit ledger; audit; accounting/report delta.</x:v>
      </x:c>
      <x:c r="O586" s="35" t="str">
        <x:v>On marked duplicate-invoice cases, re-upload before confirm and prove the product prevents or clearly warns about duplication.</x:v>
      </x:c>
      <x:c r="P586" s="35" t="str">
        <x:v>All expected records and amounts match; no unexplained error or stale state.</x:v>
      </x:c>
    </x:row>
    <x:row r="587">
      <x:c r="A587" s="20" t="str">
        <x:v>RUN-20270415-03</x:v>
      </x:c>
      <x:c r="B587" s="23" t="n">
        <x:v>46492</x:v>
      </x:c>
      <x:c r="C587" s="32" t="n">
        <x:v>3</x:v>
      </x:c>
      <x:c r="D587" s="20" t="str">
        <x:v>Weekly operations</x:v>
      </x:c>
      <x:c r="E587" s="20" t="str">
        <x:v>Property Manager</x:v>
      </x:c>
      <x:c r="F587" s="20" t="str">
        <x:v>Mobile</x:v>
      </x:c>
      <x:c r="G587" s="20" t="str">
        <x:v>Scanned receipt/invoice</x:v>
      </x:c>
      <x:c r="H587" s="35" t="str">
        <x:v>Record, review, allocate, and pay operating expense</x:v>
      </x:c>
      <x:c r="I587" s="35" t="str">
        <x:v>P023; Property scope; </x:v>
      </x:c>
      <x:c r="J587" s="35" t="str">
        <x:v>SCN-0530</x:v>
      </x:c>
      <x:c r="K587" s="35" t="str">
        <x:v>FIN-01184</x:v>
      </x:c>
      <x:c r="L587" s="35" t="str">
        <x:v>Capture or upload the source; verify vendor, date, scope, category, line items, tax, amount, and work-order link; confirm; open detail; verify attachment; compare Money and Property/Unit views.</x:v>
      </x:c>
      <x:c r="M587" s="35" t="str">
        <x:v>One expense exists at its real operational scope, cash falls once, Schedule E category and allocations agree, and no per-unit copies are created.</x:v>
      </x:c>
      <x:c r="N587" s="35" t="str">
        <x:v>Source preview; review/form; expense detail; line items; Property/Unit ledger; audit; accounting/report delta.</x:v>
      </x:c>
      <x:c r="O587" s="35" t="str">
        <x:v>On marked duplicate-invoice cases, re-upload before confirm and prove the product prevents or clearly warns about duplication.</x:v>
      </x:c>
      <x:c r="P587" s="35" t="str">
        <x:v>All expected records and amounts match; no unexplained error or stale state.</x:v>
      </x:c>
    </x:row>
    <x:row r="588">
      <x:c r="A588" s="20" t="str">
        <x:v>RUN-20270415-04</x:v>
      </x:c>
      <x:c r="B588" s="23" t="n">
        <x:v>46492</x:v>
      </x:c>
      <x:c r="C588" s="32" t="n">
        <x:v>4</x:v>
      </x:c>
      <x:c r="D588" s="20" t="str">
        <x:v>Weekly operations</x:v>
      </x:c>
      <x:c r="E588" s="20" t="str">
        <x:v>Property Manager</x:v>
      </x:c>
      <x:c r="F588" s="20" t="str">
        <x:v>Web</x:v>
      </x:c>
      <x:c r="G588" s="20" t="str">
        <x:v>Scanned receipt/invoice</x:v>
      </x:c>
      <x:c r="H588" s="35" t="str">
        <x:v>Record, review, allocate, and pay operating expense</x:v>
      </x:c>
      <x:c r="I588" s="35" t="str">
        <x:v>P024; Property scope; </x:v>
      </x:c>
      <x:c r="J588" s="35" t="str">
        <x:v>SCN-0531</x:v>
      </x:c>
      <x:c r="K588" s="35" t="str">
        <x:v>FIN-01185</x:v>
      </x:c>
      <x:c r="L588" s="35" t="str">
        <x:v>Capture or upload the source; verify vendor, date, scope, category, line items, tax, amount, and work-order link; confirm; open detail; verify attachment; compare Money and Property/Unit views.</x:v>
      </x:c>
      <x:c r="M588" s="35" t="str">
        <x:v>One expense exists at its real operational scope, cash falls once, Schedule E category and allocations agree, and no per-unit copies are created.</x:v>
      </x:c>
      <x:c r="N588" s="35" t="str">
        <x:v>Source preview; review/form; expense detail; line items; Property/Unit ledger; audit; accounting/report delta.</x:v>
      </x:c>
      <x:c r="O588" s="35" t="str">
        <x:v>On marked duplicate-invoice cases, re-upload before confirm and prove the product prevents or clearly warns about duplication.</x:v>
      </x:c>
      <x:c r="P588" s="35" t="str">
        <x:v>All expected records and amounts match; no unexplained error or stale state.</x:v>
      </x:c>
    </x:row>
    <x:row r="589">
      <x:c r="A589" s="20" t="str">
        <x:v>RUN-20270415-05</x:v>
      </x:c>
      <x:c r="B589" s="23" t="n">
        <x:v>46492</x:v>
      </x:c>
      <x:c r="C589" s="32" t="n">
        <x:v>5</x:v>
      </x:c>
      <x:c r="D589" s="20" t="str">
        <x:v>Weekly operations</x:v>
      </x:c>
      <x:c r="E589" s="20" t="str">
        <x:v>Property Manager</x:v>
      </x:c>
      <x:c r="F589" s="20" t="str">
        <x:v>Mobile</x:v>
      </x:c>
      <x:c r="G589" s="20" t="str">
        <x:v>Manual web form</x:v>
      </x:c>
      <x:c r="H589" s="35" t="str">
        <x:v>Record, review, allocate, and pay operating expense</x:v>
      </x:c>
      <x:c r="I589" s="35" t="str">
        <x:v>P025; Property scope; </x:v>
      </x:c>
      <x:c r="J589" s="35" t="str"/>
      <x:c r="K589" s="35" t="str">
        <x:v>FIN-01186</x:v>
      </x:c>
      <x:c r="L589" s="35" t="str">
        <x:v>Capture or upload the source; verify vendor, date, scope, category, line items, tax, amount, and work-order link; confirm; open detail; verify attachment; compare Money and Property/Unit views.</x:v>
      </x:c>
      <x:c r="M589" s="35" t="str">
        <x:v>One expense exists at its real operational scope, cash falls once, Schedule E category and allocations agree, and no per-unit copies are created.</x:v>
      </x:c>
      <x:c r="N589" s="35" t="str">
        <x:v>Source preview; review/form; expense detail; line items; Property/Unit ledger; audit; accounting/report delta.</x:v>
      </x:c>
      <x:c r="O589" s="35" t="str">
        <x:v>On marked duplicate-invoice cases, re-upload before confirm and prove the product prevents or clearly warns about duplication.</x:v>
      </x:c>
      <x:c r="P589" s="35" t="str">
        <x:v>All expected records and amounts match; no unexplained error or stale state.</x:v>
      </x:c>
    </x:row>
    <x:row r="590">
      <x:c r="A590" s="20" t="str">
        <x:v>RUN-20270415-06</x:v>
      </x:c>
      <x:c r="B590" s="23" t="n">
        <x:v>46492</x:v>
      </x:c>
      <x:c r="C590" s="32" t="n">
        <x:v>6</x:v>
      </x:c>
      <x:c r="D590" s="20" t="str">
        <x:v>Weekly operations</x:v>
      </x:c>
      <x:c r="E590" s="20" t="str">
        <x:v>Property Manager</x:v>
      </x:c>
      <x:c r="F590" s="20" t="str">
        <x:v>Web</x:v>
      </x:c>
      <x:c r="G590" s="20" t="str">
        <x:v>Scanned receipt/invoice</x:v>
      </x:c>
      <x:c r="H590" s="35" t="str">
        <x:v>Record, review, allocate, and pay operating expense</x:v>
      </x:c>
      <x:c r="I590" s="35" t="str">
        <x:v>P026; Property scope; </x:v>
      </x:c>
      <x:c r="J590" s="35" t="str">
        <x:v>SCN-0532</x:v>
      </x:c>
      <x:c r="K590" s="35" t="str">
        <x:v>FIN-01187</x:v>
      </x:c>
      <x:c r="L590" s="35" t="str">
        <x:v>Capture or upload the source; verify vendor, date, scope, category, line items, tax, amount, and work-order link; confirm; open detail; verify attachment; compare Money and Property/Unit views.</x:v>
      </x:c>
      <x:c r="M590" s="35" t="str">
        <x:v>One expense exists at its real operational scope, cash falls once, Schedule E category and allocations agree, and no per-unit copies are created.</x:v>
      </x:c>
      <x:c r="N590" s="35" t="str">
        <x:v>Source preview; review/form; expense detail; line items; Property/Unit ledger; audit; accounting/report delta.</x:v>
      </x:c>
      <x:c r="O590" s="35" t="str">
        <x:v>On marked duplicate-invoice cases, re-upload before confirm and prove the product prevents or clearly warns about duplication.</x:v>
      </x:c>
      <x:c r="P590" s="35" t="str">
        <x:v>All expected records and amounts match; no unexplained error or stale state.</x:v>
      </x:c>
    </x:row>
    <x:row r="591">
      <x:c r="A591" s="20" t="str">
        <x:v>RUN-20270415-07</x:v>
      </x:c>
      <x:c r="B591" s="23" t="n">
        <x:v>46492</x:v>
      </x:c>
      <x:c r="C591" s="32" t="n">
        <x:v>7</x:v>
      </x:c>
      <x:c r="D591" s="20" t="str">
        <x:v>Weekly operations</x:v>
      </x:c>
      <x:c r="E591" s="20" t="str">
        <x:v>Property Manager</x:v>
      </x:c>
      <x:c r="F591" s="20" t="str">
        <x:v>Mobile</x:v>
      </x:c>
      <x:c r="G591" s="20" t="str">
        <x:v>Scanned receipt/invoice</x:v>
      </x:c>
      <x:c r="H591" s="35" t="str">
        <x:v>Record, review, allocate, and pay operating expense</x:v>
      </x:c>
      <x:c r="I591" s="35" t="str">
        <x:v>P027; Property scope; </x:v>
      </x:c>
      <x:c r="J591" s="35" t="str">
        <x:v>SCN-0533</x:v>
      </x:c>
      <x:c r="K591" s="35" t="str">
        <x:v>FIN-01188</x:v>
      </x:c>
      <x:c r="L591" s="35" t="str">
        <x:v>Capture or upload the source; verify vendor, date, scope, category, line items, tax, amount, and work-order link; confirm; open detail; verify attachment; compare Money and Property/Unit views.</x:v>
      </x:c>
      <x:c r="M591" s="35" t="str">
        <x:v>One expense exists at its real operational scope, cash falls once, Schedule E category and allocations agree, and no per-unit copies are created.</x:v>
      </x:c>
      <x:c r="N591" s="35" t="str">
        <x:v>Source preview; review/form; expense detail; line items; Property/Unit ledger; audit; accounting/report delta.</x:v>
      </x:c>
      <x:c r="O591" s="35" t="str">
        <x:v>On marked duplicate-invoice cases, re-upload before confirm and prove the product prevents or clearly warns about duplication.</x:v>
      </x:c>
      <x:c r="P591" s="35" t="str">
        <x:v>All expected records and amounts match; no unexplained error or stale state.</x:v>
      </x:c>
    </x:row>
    <x:row r="592">
      <x:c r="A592" s="20" t="str">
        <x:v>RUN-20270415-08</x:v>
      </x:c>
      <x:c r="B592" s="23" t="n">
        <x:v>46492</x:v>
      </x:c>
      <x:c r="C592" s="32" t="n">
        <x:v>8</x:v>
      </x:c>
      <x:c r="D592" s="20" t="str">
        <x:v>Weekly operations</x:v>
      </x:c>
      <x:c r="E592" s="20" t="str">
        <x:v>Property Manager</x:v>
      </x:c>
      <x:c r="F592" s="20" t="str">
        <x:v>Web</x:v>
      </x:c>
      <x:c r="G592" s="20" t="str">
        <x:v>Scanned receipt/invoice</x:v>
      </x:c>
      <x:c r="H592" s="35" t="str">
        <x:v>Record, review, allocate, and pay operating expense</x:v>
      </x:c>
      <x:c r="I592" s="35" t="str">
        <x:v>P028; Property scope; </x:v>
      </x:c>
      <x:c r="J592" s="35" t="str">
        <x:v>SCN-0534</x:v>
      </x:c>
      <x:c r="K592" s="35" t="str">
        <x:v>FIN-01189</x:v>
      </x:c>
      <x:c r="L592" s="35" t="str">
        <x:v>Capture or upload the source; verify vendor, date, scope, category, line items, tax, amount, and work-order link; confirm; open detail; verify attachment; compare Money and Property/Unit views.</x:v>
      </x:c>
      <x:c r="M592" s="35" t="str">
        <x:v>One expense exists at its real operational scope, cash falls once, Schedule E category and allocations agree, and no per-unit copies are created.</x:v>
      </x:c>
      <x:c r="N592" s="35" t="str">
        <x:v>Source preview; review/form; expense detail; line items; Property/Unit ledger; audit; accounting/report delta.</x:v>
      </x:c>
      <x:c r="O592" s="35" t="str">
        <x:v>On marked duplicate-invoice cases, re-upload before confirm and prove the product prevents or clearly warns about duplication.</x:v>
      </x:c>
      <x:c r="P592" s="35" t="str">
        <x:v>All expected records and amounts match; no unexplained error or stale state.</x:v>
      </x:c>
    </x:row>
    <x:row r="593">
      <x:c r="A593" s="20" t="str">
        <x:v>RUN-20270415-09</x:v>
      </x:c>
      <x:c r="B593" s="23" t="n">
        <x:v>46492</x:v>
      </x:c>
      <x:c r="C593" s="32" t="n">
        <x:v>9</x:v>
      </x:c>
      <x:c r="D593" s="20" t="str">
        <x:v>Weekly operations</x:v>
      </x:c>
      <x:c r="E593" s="20" t="str">
        <x:v>Property Manager</x:v>
      </x:c>
      <x:c r="F593" s="20" t="str">
        <x:v>Mobile</x:v>
      </x:c>
      <x:c r="G593" s="20" t="str">
        <x:v>Scanned receipt/invoice</x:v>
      </x:c>
      <x:c r="H593" s="35" t="str">
        <x:v>Record, review, allocate, and pay operating expense</x:v>
      </x:c>
      <x:c r="I593" s="35" t="str">
        <x:v>P029; Property scope; </x:v>
      </x:c>
      <x:c r="J593" s="35" t="str">
        <x:v>SCN-0535</x:v>
      </x:c>
      <x:c r="K593" s="35" t="str">
        <x:v>FIN-01190</x:v>
      </x:c>
      <x:c r="L593" s="35" t="str">
        <x:v>Capture or upload the source; verify vendor, date, scope, category, line items, tax, amount, and work-order link; confirm; open detail; verify attachment; compare Money and Property/Unit views.</x:v>
      </x:c>
      <x:c r="M593" s="35" t="str">
        <x:v>One expense exists at its real operational scope, cash falls once, Schedule E category and allocations agree, and no per-unit copies are created.</x:v>
      </x:c>
      <x:c r="N593" s="35" t="str">
        <x:v>Source preview; review/form; expense detail; line items; Property/Unit ledger; audit; accounting/report delta.</x:v>
      </x:c>
      <x:c r="O593" s="35" t="str">
        <x:v>On marked duplicate-invoice cases, re-upload before confirm and prove the product prevents or clearly warns about duplication.</x:v>
      </x:c>
      <x:c r="P593" s="35" t="str">
        <x:v>All expected records and amounts match; no unexplained error or stale state.</x:v>
      </x:c>
    </x:row>
    <x:row r="594">
      <x:c r="A594" s="20" t="str">
        <x:v>RUN-20270415-10</x:v>
      </x:c>
      <x:c r="B594" s="23" t="n">
        <x:v>46492</x:v>
      </x:c>
      <x:c r="C594" s="32" t="n">
        <x:v>10</x:v>
      </x:c>
      <x:c r="D594" s="20" t="str">
        <x:v>Weekly operations</x:v>
      </x:c>
      <x:c r="E594" s="20" t="str">
        <x:v>Property Manager</x:v>
      </x:c>
      <x:c r="F594" s="20" t="str">
        <x:v>Web</x:v>
      </x:c>
      <x:c r="G594" s="20" t="str">
        <x:v>Manual mobile form</x:v>
      </x:c>
      <x:c r="H594" s="35" t="str">
        <x:v>Record, review, allocate, and pay operating expense</x:v>
      </x:c>
      <x:c r="I594" s="35" t="str">
        <x:v>P030; Property scope; </x:v>
      </x:c>
      <x:c r="J594" s="35" t="str"/>
      <x:c r="K594" s="35" t="str">
        <x:v>FIN-01191</x:v>
      </x:c>
      <x:c r="L594" s="35" t="str">
        <x:v>Capture or upload the source; verify vendor, date, scope, category, line items, tax, amount, and work-order link; confirm; open detail; verify attachment; compare Money and Property/Unit views.</x:v>
      </x:c>
      <x:c r="M594" s="35" t="str">
        <x:v>One expense exists at its real operational scope, cash falls once, Schedule E category and allocations agree, and no per-unit copies are created.</x:v>
      </x:c>
      <x:c r="N594" s="35" t="str">
        <x:v>Source preview; review/form; expense detail; line items; Property/Unit ledger; audit; accounting/report delta.</x:v>
      </x:c>
      <x:c r="O594" s="35" t="str">
        <x:v>On marked duplicate-invoice cases, re-upload before confirm and prove the product prevents or clearly warns about duplication.</x:v>
      </x:c>
      <x:c r="P594" s="35" t="str">
        <x:v>All expected records and amounts match; no unexplained error or stale state.</x:v>
      </x:c>
    </x:row>
    <x:row r="595">
      <x:c r="A595" s="20" t="str">
        <x:v>RUN-20270415-11</x:v>
      </x:c>
      <x:c r="B595" s="23" t="n">
        <x:v>46492</x:v>
      </x:c>
      <x:c r="C595" s="32" t="n">
        <x:v>11</x:v>
      </x:c>
      <x:c r="D595" s="20" t="str">
        <x:v>Role and screen certification</x:v>
      </x:c>
      <x:c r="E595" s="20" t="str">
        <x:v>Owner</x:v>
      </x:c>
      <x:c r="F595" s="20" t="str">
        <x:v>Web</x:v>
      </x:c>
      <x:c r="G595" s="20" t="str">
        <x:v>Normal persona navigation</x:v>
      </x:c>
      <x:c r="H595" s="35" t="str">
        <x:v>Use every permitted action and state on /owner</x:v>
      </x:c>
      <x:c r="I595" s="35" t="str">
        <x:v>SCR-051; ROLE-078</x:v>
      </x:c>
      <x:c r="J595" s="35" t="str"/>
      <x:c r="K595" s="35" t="str"/>
      <x:c r="L59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95" s="35" t="str">
        <x:v>The persona can use every allowed action with only its assigned properties/relationships. Hidden or disabled actions explain why; an adjacent unauthorized persona is denied without metadata leakage.</x:v>
      </x:c>
      <x:c r="N595" s="35" t="str">
        <x:v>Persona/experience; navigation entry; desktop or device screenshots; result state; persisted read-back; audit/history; authorized and denied network result.</x:v>
      </x:c>
      <x:c r="O595" s="35" t="str">
        <x:v>Open the direct URL or deep link with an adjacent unauthorized persona and with stale scope; both fail closed and land safely without mutation.</x:v>
      </x:c>
      <x:c r="P595" s="35" t="str">
        <x:v>All expected records and amounts match; no unexplained error or stale state.</x:v>
      </x:c>
    </x:row>
    <x:row r="596">
      <x:c r="A596" s="20" t="str">
        <x:v>RUN-20270415-12</x:v>
      </x:c>
      <x:c r="B596" s="23" t="n">
        <x:v>46492</x:v>
      </x:c>
      <x:c r="C596" s="32" t="n">
        <x:v>12</x:v>
      </x:c>
      <x:c r="D596" s="20" t="str">
        <x:v>Field certification</x:v>
      </x:c>
      <x:c r="E596" s="20" t="str">
        <x:v>Tenant</x:v>
      </x:c>
      <x:c r="F596" s="20" t="str">
        <x:v>Web</x:v>
      </x:c>
      <x:c r="G596" s="20" t="str">
        <x:v>Manual field-by-field</x:v>
      </x:c>
      <x:c r="H596" s="35" t="str">
        <x:v>Fill, save, reload, edit, and validate every declared field on /portal</x:v>
      </x:c>
      <x:c r="I596" s="35" t="str">
        <x:v>FLD-0270; FLD-0271; FLD-0272; FLD-0273</x:v>
      </x:c>
      <x:c r="J596" s="35" t="str"/>
      <x:c r="K596" s="35" t="str"/>
      <x:c r="L596" s="35" t="str">
        <x:v>Use the source-derived Field Inventory. Enter non-default realistic values in every control (workOrderForm.category; workOrderForm.priority; Select-6; Select-7); submit; reload or relaunch; compare every value; edit each mutable field; verify the paired client; then run required, format, length, range, boundary, optional-null, and stale-submit checks.</x:v>
      </x:c>
      <x:c r="M596" s="35" t="str">
        <x:v>All 4 inventoried controls persist exact normalized values, invalid values stay unsaved with clear errors, and hidden/unauthorized fields cannot be altered.</x:v>
      </x:c>
      <x:c r="N596" s="35" t="str">
        <x:v>Before/after form screenshots; FLD IDs; API response; reloaded UI; paired-client read-back; database/audit evidence; negative validation result.</x:v>
      </x:c>
      <x:c r="O596" s="35" t="str">
        <x:v>Use a duplicate submit and one simulated network interruption; one atomic mutation or none, never partial state.</x:v>
      </x:c>
      <x:c r="P596" s="35" t="str">
        <x:v>All expected records and amounts match; no unexplained error or stale state.</x:v>
      </x:c>
    </x:row>
    <x:row r="597">
      <x:c r="A597" s="20" t="str">
        <x:v>RUN-20270415-13</x:v>
      </x:c>
      <x:c r="B597" s="23" t="n">
        <x:v>46492</x:v>
      </x:c>
      <x:c r="C597" s="32" t="n">
        <x:v>13</x:v>
      </x:c>
      <x:c r="D597" s="20" t="str">
        <x:v>Surface coverage</x:v>
      </x:c>
      <x:c r="E597" s="20" t="str">
        <x:v>Role appropriate to surface</x:v>
      </x:c>
      <x:c r="F597" s="20" t="str">
        <x:v>Mobile</x:v>
      </x:c>
      <x:c r="G597" s="20" t="str">
        <x:v>Manual</x:v>
      </x:c>
      <x:c r="H597" s="35" t="str">
        <x:v>Manual mobile pass: Issue, sign, void, replace agreement</x:v>
      </x:c>
      <x:c r="I597" s="35" t="str">
        <x:v>COV-013</x:v>
      </x:c>
      <x:c r="J597" s="35" t="str"/>
      <x:c r="K597" s="35" t="str"/>
      <x:c r="L597" s="35" t="str">
        <x:v>Issue, view, sign, finalize, void mistaken packet, replace, and verify immutable artifacts/status.</x:v>
      </x:c>
      <x:c r="M597" s="35" t="str">
        <x:v>The supported workflow completes and persists correctly; if the capability is absent, the exact gap is proven and queued rather than silently skipped.</x:v>
      </x:c>
      <x:c r="N597" s="35" t="str">
        <x:v>Real UI screenshot/state; submitted values; persisted read-back; cross-client read-back; audit/role/access evidence.</x:v>
      </x:c>
      <x:c r="O597" s="35" t="str">
        <x:v>Use one invalid value, stale-state retry, or duplicate submission relevant to the form; no partial or duplicate mutation.</x:v>
      </x:c>
      <x:c r="P597" s="35" t="str">
        <x:v>All expected records and amounts match; no unexplained error or stale state.</x:v>
      </x:c>
    </x:row>
    <x:row r="598">
      <x:c r="A598" s="20" t="str">
        <x:v>RUN-20270416-01</x:v>
      </x:c>
      <x:c r="B598" s="23" t="n">
        <x:v>46493</x:v>
      </x:c>
      <x:c r="C598" s="32" t="n">
        <x:v>1</x:v>
      </x:c>
      <x:c r="D598" s="20" t="str">
        <x:v>Lease ending</x:v>
      </x:c>
      <x:c r="E598" s="20" t="str">
        <x:v>Property Manager</x:v>
      </x:c>
      <x:c r="F598" s="20" t="str">
        <x:v>Mobile</x:v>
      </x:c>
      <x:c r="G598" s="20" t="str">
        <x:v>Scan attachment + manual lifecycle</x:v>
      </x:c>
      <x:c r="H598" s="35" t="str">
        <x:v>Record notice and plan lease ending</x:v>
      </x:c>
      <x:c r="I598" s="35" t="str">
        <x:v>L014; U014</x:v>
      </x:c>
      <x:c r="J598" s="35" t="str">
        <x:v>SCN-0939</x:v>
      </x:c>
      <x:c r="K598" s="35" t="str"/>
      <x:c r="L598" s="35" t="str">
        <x:v>Attach/capture the source notice; create the matching notice draft/history; record planned move-out and ending disposition; schedule inspection and turnover work.</x:v>
      </x:c>
      <x:c r="M598" s="35" t="str">
        <x:v>Notice source, effective dates, appointment, ending facts, and Unit next action agree without ending occupancy early.</x:v>
      </x:c>
      <x:c r="N598" s="35" t="str">
        <x:v>Notice source/preview; lease timeline; appointment; Unit summary; notification/audit.</x:v>
      </x:c>
      <x:c r="O598" s="35" t="str">
        <x:v>Use an upload date after the document date and prove both dates remain distinct.</x:v>
      </x:c>
      <x:c r="P598" s="35" t="str">
        <x:v>All expected records and amounts match; no unexplained error or stale state.</x:v>
      </x:c>
    </x:row>
    <x:row r="599">
      <x:c r="A599" s="20" t="str">
        <x:v>RUN-20270416-02</x:v>
      </x:c>
      <x:c r="B599" s="23" t="n">
        <x:v>46493</x:v>
      </x:c>
      <x:c r="C599" s="32" t="n">
        <x:v>2</x:v>
      </x:c>
      <x:c r="D599" s="20" t="str">
        <x:v>Role and screen certification</x:v>
      </x:c>
      <x:c r="E599" s="20" t="str">
        <x:v>Owner</x:v>
      </x:c>
      <x:c r="F599" s="20" t="str">
        <x:v>Web</x:v>
      </x:c>
      <x:c r="G599" s="20" t="str">
        <x:v>Normal persona navigation</x:v>
      </x:c>
      <x:c r="H599" s="35" t="str">
        <x:v>Use every permitted action and state on /owner/approvals</x:v>
      </x:c>
      <x:c r="I599" s="35" t="str">
        <x:v>SCR-052; ROLE-079</x:v>
      </x:c>
      <x:c r="J599" s="35" t="str"/>
      <x:c r="K599" s="35" t="str"/>
      <x:c r="L59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599" s="35" t="str">
        <x:v>The persona can use every allowed action with only its assigned properties/relationships. Hidden or disabled actions explain why; an adjacent unauthorized persona is denied without metadata leakage.</x:v>
      </x:c>
      <x:c r="N599" s="35" t="str">
        <x:v>Persona/experience; navigation entry; desktop or device screenshots; result state; persisted read-back; audit/history; authorized and denied network result.</x:v>
      </x:c>
      <x:c r="O599" s="35" t="str">
        <x:v>Open the direct URL or deep link with an adjacent unauthorized persona and with stale scope; both fail closed and land safely without mutation.</x:v>
      </x:c>
      <x:c r="P599" s="35" t="str">
        <x:v>All expected records and amounts match; no unexplained error or stale state.</x:v>
      </x:c>
    </x:row>
    <x:row r="600">
      <x:c r="A600" s="20" t="str">
        <x:v>RUN-20270416-03</x:v>
      </x:c>
      <x:c r="B600" s="23" t="n">
        <x:v>46493</x:v>
      </x:c>
      <x:c r="C600" s="32" t="n">
        <x:v>3</x:v>
      </x:c>
      <x:c r="D600" s="20" t="str">
        <x:v>Field certification</x:v>
      </x:c>
      <x:c r="E600" s="20" t="str">
        <x:v>Tenant</x:v>
      </x:c>
      <x:c r="F600" s="20" t="str">
        <x:v>Web</x:v>
      </x:c>
      <x:c r="G600" s="20" t="str">
        <x:v>Manual field-by-field</x:v>
      </x:c>
      <x:c r="H600" s="35" t="str">
        <x:v>Fill, save, reload, edit, and validate every declared field on /portal</x:v>
      </x:c>
      <x:c r="I600" s="35" t="str">
        <x:v>FLD-0274; FLD-0275; FLD-0276; FLD-0277</x:v>
      </x:c>
      <x:c r="J600" s="35" t="str"/>
      <x:c r="K600" s="35" t="str"/>
      <x:c r="L600" s="35" t="str">
        <x:v>Use the source-derived Field Inventory. Enter non-default realistic values in every control (Select-8; Select-9; Select-10; Select-11); submit; reload or relaunch; compare every value; edit each mutable field; verify the paired client; then run required, format, length, range, boundary, optional-null, and stale-submit checks.</x:v>
      </x:c>
      <x:c r="M600" s="35" t="str">
        <x:v>All 4 inventoried controls persist exact normalized values, invalid values stay unsaved with clear errors, and hidden/unauthorized fields cannot be altered.</x:v>
      </x:c>
      <x:c r="N600" s="35" t="str">
        <x:v>Before/after form screenshots; FLD IDs; API response; reloaded UI; paired-client read-back; database/audit evidence; negative validation result.</x:v>
      </x:c>
      <x:c r="O600" s="35" t="str">
        <x:v>Use a duplicate submit and one simulated network interruption; one atomic mutation or none, never partial state.</x:v>
      </x:c>
      <x:c r="P600" s="35" t="str">
        <x:v>All expected records and amounts match; no unexplained error or stale state.</x:v>
      </x:c>
    </x:row>
    <x:row r="601">
      <x:c r="A601" s="20" t="str">
        <x:v>RUN-20270416-04</x:v>
      </x:c>
      <x:c r="B601" s="23" t="n">
        <x:v>46493</x:v>
      </x:c>
      <x:c r="C601" s="32" t="n">
        <x:v>4</x:v>
      </x:c>
      <x:c r="D601" s="20" t="str">
        <x:v>Field certification</x:v>
      </x:c>
      <x:c r="E601" s="20" t="str">
        <x:v>Tenant</x:v>
      </x:c>
      <x:c r="F601" s="20" t="str">
        <x:v>Web</x:v>
      </x:c>
      <x:c r="G601" s="20" t="str">
        <x:v>Manual field-by-field</x:v>
      </x:c>
      <x:c r="H601" s="35" t="str">
        <x:v>Fill, save, reload, edit, and validate every declared field on /portal/lease</x:v>
      </x:c>
      <x:c r="I601" s="35" t="str">
        <x:v>FLD-0278</x:v>
      </x:c>
      <x:c r="J601" s="35" t="str"/>
      <x:c r="K601" s="35" t="str"/>
      <x:c r="L601" s="35" t="str">
        <x:v>Use the source-derived Field Inventory. Enter non-default realistic values in every control (portal-lease-question-input); submit; reload or relaunch; compare every value; edit each mutable field; verify the paired client; then run required, format, length, range, boundary, optional-null, and stale-submit checks.</x:v>
      </x:c>
      <x:c r="M601" s="35" t="str">
        <x:v>All 1 inventoried controls persist exact normalized values, invalid values stay unsaved with clear errors, and hidden/unauthorized fields cannot be altered.</x:v>
      </x:c>
      <x:c r="N601" s="35" t="str">
        <x:v>Before/after form screenshots; FLD IDs; API response; reloaded UI; paired-client read-back; database/audit evidence; negative validation result.</x:v>
      </x:c>
      <x:c r="O601" s="35" t="str">
        <x:v>Use a duplicate submit and one simulated network interruption; one atomic mutation or none, never partial state.</x:v>
      </x:c>
      <x:c r="P601" s="35" t="str">
        <x:v>All expected records and amounts match; no unexplained error or stale state.</x:v>
      </x:c>
    </x:row>
    <x:row r="602">
      <x:c r="A602" s="20" t="str">
        <x:v>RUN-20270416-05</x:v>
      </x:c>
      <x:c r="B602" s="23" t="n">
        <x:v>46493</x:v>
      </x:c>
      <x:c r="C602" s="32" t="n">
        <x:v>5</x:v>
      </x:c>
      <x:c r="D602" s="20" t="str">
        <x:v>Notification certification</x:v>
      </x:c>
      <x:c r="E602" s="20" t="str">
        <x:v>Applicant + Leasing Agent</x:v>
      </x:c>
      <x:c r="F602" s="20" t="str">
        <x:v>Web + Mobile</x:v>
      </x:c>
      <x:c r="G602" s="20" t="str">
        <x:v>System event + preference/manual verification</x:v>
      </x:c>
      <x:c r="H602" s="35" t="str">
        <x:v>Trigger and prove notification: Showing scheduled</x:v>
      </x:c>
      <x:c r="I602" s="35" t="str">
        <x:v>NTF-013</x:v>
      </x:c>
      <x:c r="J602" s="35" t="str"/>
      <x:c r="K602" s="35" t="str"/>
      <x:c r="L602" s="35" t="str">
        <x:v>Set each recipient's preferences; trigger the real business event; inspect routing and recipient scope; verify unread badge, list item, safe preview, appointment deep link, mark-read sync, configured channel outcome, provider failure/retry, and duplicate suppression.</x:v>
      </x:c>
      <x:c r="M602" s="35" t="str">
        <x:v>Exactly the intended recipients receive one correctly routed notification; disabled optional channels stay silent; deep link opens authorized context; read state synchronizes.</x:v>
      </x:c>
      <x:c r="N602" s="35" t="str">
        <x:v>Trigger record; routing decision; outbox/delivery status; web/mobile inbox; lock-screen-safe copy; deep-link target; audit/provider retry evidence.</x:v>
      </x:c>
      <x:c r="O602" s="35" t="str">
        <x:v>Re-run the worker and deliver a duplicate provider callback; no duplicate user-visible event. Attempt the deep link as an unauthorized adjacent role.</x:v>
      </x:c>
      <x:c r="P602" s="35" t="str">
        <x:v>All expected records and amounts match; no unexplained error or stale state.</x:v>
      </x:c>
    </x:row>
    <x:row r="603">
      <x:c r="A603" s="20" t="str">
        <x:v>RUN-20270416-06</x:v>
      </x:c>
      <x:c r="B603" s="23" t="n">
        <x:v>46493</x:v>
      </x:c>
      <x:c r="C603" s="32" t="n">
        <x:v>6</x:v>
      </x:c>
      <x:c r="D603" s="20" t="str">
        <x:v>Surface coverage</x:v>
      </x:c>
      <x:c r="E603" s="20" t="str">
        <x:v>Role appropriate to surface</x:v>
      </x:c>
      <x:c r="F603" s="20" t="str">
        <x:v>Web</x:v>
      </x:c>
      <x:c r="G603" s="20" t="str">
        <x:v>Scan/attachment</x:v>
      </x:c>
      <x:c r="H603" s="35" t="str">
        <x:v>Scan web pass: Issue, sign, void, replace agreement</x:v>
      </x:c>
      <x:c r="I603" s="35" t="str">
        <x:v>COV-013</x:v>
      </x:c>
      <x:c r="J603" s="35" t="str"/>
      <x:c r="K603" s="35" t="str"/>
      <x:c r="L603" s="35" t="str">
        <x:v>Issue, view, sign, finalize, void mistaken packet, replace, and verify immutable artifacts/status.</x:v>
      </x:c>
      <x:c r="M603" s="35" t="str">
        <x:v>The supported workflow completes and persists correctly; if the capability is absent, the exact gap is proven and queued rather than silently skipped.</x:v>
      </x:c>
      <x:c r="N603" s="35" t="str">
        <x:v>Real UI screenshot/state; submitted values; persisted read-back; cross-client read-back; audit/role/access evidence.</x:v>
      </x:c>
      <x:c r="O603" s="35" t="str">
        <x:v>Use one invalid value, stale-state retry, or duplicate submission relevant to the form; no partial or duplicate mutation.</x:v>
      </x:c>
      <x:c r="P603" s="35" t="str">
        <x:v>All expected records and amounts match; no unexplained error or stale state.</x:v>
      </x:c>
    </x:row>
    <x:row r="604">
      <x:c r="A604" s="20" t="str">
        <x:v>RUN-20270418-01</x:v>
      </x:c>
      <x:c r="B604" s="23" t="n">
        <x:v>46495</x:v>
      </x:c>
      <x:c r="C604" s="32" t="n">
        <x:v>1</x:v>
      </x:c>
      <x:c r="D604" s="20" t="str">
        <x:v>Weekly operations</x:v>
      </x:c>
      <x:c r="E604" s="20" t="str">
        <x:v>Property Manager</x:v>
      </x:c>
      <x:c r="F604" s="20" t="str">
        <x:v>Web</x:v>
      </x:c>
      <x:c r="G604" s="20" t="str">
        <x:v>Scanned receipt/invoice</x:v>
      </x:c>
      <x:c r="H604" s="35" t="str">
        <x:v>Record, review, allocate, and pay operating expense</x:v>
      </x:c>
      <x:c r="I604" s="35" t="str">
        <x:v>P004; Property scope; </x:v>
      </x:c>
      <x:c r="J604" s="35" t="str">
        <x:v>SCN-0804</x:v>
      </x:c>
      <x:c r="K604" s="35" t="str">
        <x:v>FIN-01515</x:v>
      </x:c>
      <x:c r="L604" s="35" t="str">
        <x:v>Capture or upload the source; verify vendor, date, scope, category, line items, tax, amount, and work-order link; confirm; open detail; verify attachment; compare Money and Property/Unit views.</x:v>
      </x:c>
      <x:c r="M604" s="35" t="str">
        <x:v>One expense exists at its real operational scope, cash falls once, Schedule E category and allocations agree, and no per-unit copies are created.</x:v>
      </x:c>
      <x:c r="N604" s="35" t="str">
        <x:v>Source preview; review/form; expense detail; line items; Property/Unit ledger; audit; accounting/report delta.</x:v>
      </x:c>
      <x:c r="O604" s="35" t="str">
        <x:v>On marked duplicate-invoice cases, re-upload before confirm and prove the product prevents or clearly warns about duplication.</x:v>
      </x:c>
      <x:c r="P604" s="35" t="str">
        <x:v>All expected records and amounts match; no unexplained error or stale state.</x:v>
      </x:c>
    </x:row>
    <x:row r="605">
      <x:c r="A605" s="20" t="str">
        <x:v>RUN-20270418-02</x:v>
      </x:c>
      <x:c r="B605" s="23" t="n">
        <x:v>46495</x:v>
      </x:c>
      <x:c r="C605" s="32" t="n">
        <x:v>2</x:v>
      </x:c>
      <x:c r="D605" s="20" t="str">
        <x:v>Weekly operations</x:v>
      </x:c>
      <x:c r="E605" s="20" t="str">
        <x:v>Property Manager</x:v>
      </x:c>
      <x:c r="F605" s="20" t="str">
        <x:v>Web</x:v>
      </x:c>
      <x:c r="G605" s="20" t="str">
        <x:v>Scanned receipt/invoice</x:v>
      </x:c>
      <x:c r="H605" s="35" t="str">
        <x:v>Record, review, allocate, and pay operating expense</x:v>
      </x:c>
      <x:c r="I605" s="35" t="str">
        <x:v>P016; Property scope; </x:v>
      </x:c>
      <x:c r="J605" s="35" t="str">
        <x:v>SCN-0849</x:v>
      </x:c>
      <x:c r="K605" s="35" t="str">
        <x:v>FIN-01575</x:v>
      </x:c>
      <x:c r="L605" s="35" t="str">
        <x:v>Capture or upload the source; verify vendor, date, scope, category, line items, tax, amount, and work-order link; confirm; open detail; verify attachment; compare Money and Property/Unit views.</x:v>
      </x:c>
      <x:c r="M605" s="35" t="str">
        <x:v>One expense exists at its real operational scope, cash falls once, Schedule E category and allocations agree, and no per-unit copies are created.</x:v>
      </x:c>
      <x:c r="N605" s="35" t="str">
        <x:v>Source preview; review/form; expense detail; line items; Property/Unit ledger; audit; accounting/report delta.</x:v>
      </x:c>
      <x:c r="O605" s="35" t="str">
        <x:v>On marked duplicate-invoice cases, re-upload before confirm and prove the product prevents or clearly warns about duplication.</x:v>
      </x:c>
      <x:c r="P605" s="35" t="str">
        <x:v>All expected records and amounts match; no unexplained error or stale state.</x:v>
      </x:c>
    </x:row>
    <x:row r="606">
      <x:c r="A606" s="20" t="str">
        <x:v>RUN-20270418-03</x:v>
      </x:c>
      <x:c r="B606" s="23" t="n">
        <x:v>46495</x:v>
      </x:c>
      <x:c r="C606" s="32" t="n">
        <x:v>3</x:v>
      </x:c>
      <x:c r="D606" s="20" t="str">
        <x:v>Weekly operations</x:v>
      </x:c>
      <x:c r="E606" s="20" t="str">
        <x:v>Property Manager</x:v>
      </x:c>
      <x:c r="F606" s="20" t="str">
        <x:v>Web</x:v>
      </x:c>
      <x:c r="G606" s="20" t="str">
        <x:v>Scanned receipt/invoice</x:v>
      </x:c>
      <x:c r="H606" s="35" t="str">
        <x:v>Record, review, allocate, and pay operating expense</x:v>
      </x:c>
      <x:c r="I606" s="35" t="str">
        <x:v>P028; Property scope; </x:v>
      </x:c>
      <x:c r="J606" s="35" t="str">
        <x:v>SCN-0899</x:v>
      </x:c>
      <x:c r="K606" s="35" t="str">
        <x:v>FIN-01635</x:v>
      </x:c>
      <x:c r="L606" s="35" t="str">
        <x:v>Capture or upload the source; verify vendor, date, scope, category, line items, tax, amount, and work-order link; confirm; open detail; verify attachment; compare Money and Property/Unit views.</x:v>
      </x:c>
      <x:c r="M606" s="35" t="str">
        <x:v>One expense exists at its real operational scope, cash falls once, Schedule E category and allocations agree, and no per-unit copies are created.</x:v>
      </x:c>
      <x:c r="N606" s="35" t="str">
        <x:v>Source preview; review/form; expense detail; line items; Property/Unit ledger; audit; accounting/report delta.</x:v>
      </x:c>
      <x:c r="O606" s="35" t="str">
        <x:v>On marked duplicate-invoice cases, re-upload before confirm and prove the product prevents or clearly warns about duplication.</x:v>
      </x:c>
      <x:c r="P606" s="35" t="str">
        <x:v>All expected records and amounts match; no unexplained error or stale state.</x:v>
      </x:c>
    </x:row>
    <x:row r="607">
      <x:c r="A607" s="20" t="str">
        <x:v>RUN-20270419-01</x:v>
      </x:c>
      <x:c r="B607" s="23" t="n">
        <x:v>46496</x:v>
      </x:c>
      <x:c r="C607" s="32" t="n">
        <x:v>1</x:v>
      </x:c>
      <x:c r="D607" s="20" t="str">
        <x:v>Weekly operations</x:v>
      </x:c>
      <x:c r="E607" s="20" t="str">
        <x:v>Property Manager</x:v>
      </x:c>
      <x:c r="F607" s="20" t="str">
        <x:v>Web</x:v>
      </x:c>
      <x:c r="G607" s="20" t="str">
        <x:v>Scan-first</x:v>
      </x:c>
      <x:c r="H607" s="35" t="str">
        <x:v>Create and triage maintenance request</x:v>
      </x:c>
      <x:c r="I607" s="35" t="str">
        <x:v>P027; U033; WO-2027-016</x:v>
      </x:c>
      <x:c r="J607" s="35" t="str">
        <x:v>SCN-0374</x:v>
      </x:c>
      <x:c r="K607" s="35" t="str"/>
      <x:c r="L607" s="35" t="str">
        <x:v>Capture the tenant note/photo; review slow kitchen drain; confirm; set responsibility; dispatch Fresh Start Turnovers; create an appointment and verify the tenant notification.</x:v>
      </x:c>
      <x:c r="M607" s="35" t="str">
        <x:v>Work order, status timeline, responsibility, vendor dispatch, appointment, notification, and Unit context are linked once.</x:v>
      </x:c>
      <x:c r="N607" s="35" t="str">
        <x:v>Scan review; work order detail/timeline; dispatch; appointment; notification; tenant portal view.</x:v>
      </x:c>
      <x:c r="O607" s="35" t="str">
        <x:v>Cancel one dispatch each quarter, reassign once, and prove status/history remains append-only.</x:v>
      </x:c>
      <x:c r="P607" s="35" t="str">
        <x:v>All expected records and amounts match; no unexplained error or stale state.</x:v>
      </x:c>
    </x:row>
    <x:row r="608">
      <x:c r="A608" s="20" t="str">
        <x:v>RUN-20270419-02</x:v>
      </x:c>
      <x:c r="B608" s="23" t="n">
        <x:v>46496</x:v>
      </x:c>
      <x:c r="C608" s="32" t="n">
        <x:v>2</x:v>
      </x:c>
      <x:c r="D608" s="20" t="str">
        <x:v>Role and screen certification</x:v>
      </x:c>
      <x:c r="E608" s="20" t="str">
        <x:v>Owner</x:v>
      </x:c>
      <x:c r="F608" s="20" t="str">
        <x:v>Web</x:v>
      </x:c>
      <x:c r="G608" s="20" t="str">
        <x:v>Normal persona navigation</x:v>
      </x:c>
      <x:c r="H608" s="35" t="str">
        <x:v>Use every permitted action and state on /owner/messages</x:v>
      </x:c>
      <x:c r="I608" s="35" t="str">
        <x:v>SCR-053; ROLE-080</x:v>
      </x:c>
      <x:c r="J608" s="35" t="str"/>
      <x:c r="K608" s="35" t="str"/>
      <x:c r="L6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08" s="35" t="str">
        <x:v>The persona can use every allowed action with only its assigned properties/relationships. Hidden or disabled actions explain why; an adjacent unauthorized persona is denied without metadata leakage.</x:v>
      </x:c>
      <x:c r="N608" s="35" t="str">
        <x:v>Persona/experience; navigation entry; desktop or device screenshots; result state; persisted read-back; audit/history; authorized and denied network result.</x:v>
      </x:c>
      <x:c r="O608" s="35" t="str">
        <x:v>Open the direct URL or deep link with an adjacent unauthorized persona and with stale scope; both fail closed and land safely without mutation.</x:v>
      </x:c>
      <x:c r="P608" s="35" t="str">
        <x:v>All expected records and amounts match; no unexplained error or stale state.</x:v>
      </x:c>
    </x:row>
    <x:row r="609">
      <x:c r="A609" s="20" t="str">
        <x:v>RUN-20270419-03</x:v>
      </x:c>
      <x:c r="B609" s="23" t="n">
        <x:v>46496</x:v>
      </x:c>
      <x:c r="C609" s="32" t="n">
        <x:v>3</x:v>
      </x:c>
      <x:c r="D609" s="20" t="str">
        <x:v>Field certification</x:v>
      </x:c>
      <x:c r="E609" s="20" t="str">
        <x:v>Tenant</x:v>
      </x:c>
      <x:c r="F609" s="20" t="str">
        <x:v>Web</x:v>
      </x:c>
      <x:c r="G609" s="20" t="str">
        <x:v>Manual field-by-field</x:v>
      </x:c>
      <x:c r="H609" s="35" t="str">
        <x:v>Fill, save, reload, edit, and validate every declared field on /portal/maintenance</x:v>
      </x:c>
      <x:c r="I609" s="35" t="str">
        <x:v>FLD-0279; FLD-0280; FLD-0281; FLD-0282</x:v>
      </x:c>
      <x:c r="J609" s="35" t="str"/>
      <x:c r="K609" s="35" t="str"/>
      <x:c r="L609" s="35" t="str">
        <x:v>Use the source-derived Field Inventory. Enter non-default realistic values in every control (searchInput; status; Select-3; Select-4); submit; reload or relaunch; compare every value; edit each mutable field; verify the paired client; then run required, format, length, range, boundary, optional-null, and stale-submit checks.</x:v>
      </x:c>
      <x:c r="M609" s="35" t="str">
        <x:v>All 4 inventoried controls persist exact normalized values, invalid values stay unsaved with clear errors, and hidden/unauthorized fields cannot be altered.</x:v>
      </x:c>
      <x:c r="N609" s="35" t="str">
        <x:v>Before/after form screenshots; FLD IDs; API response; reloaded UI; paired-client read-back; database/audit evidence; negative validation result.</x:v>
      </x:c>
      <x:c r="O609" s="35" t="str">
        <x:v>Use a duplicate submit and one simulated network interruption; one atomic mutation or none, never partial state.</x:v>
      </x:c>
      <x:c r="P609" s="35" t="str">
        <x:v>All expected records and amounts match; no unexplained error or stale state.</x:v>
      </x:c>
    </x:row>
    <x:row r="610">
      <x:c r="A610" s="20" t="str">
        <x:v>RUN-20270420-01</x:v>
      </x:c>
      <x:c r="B610" s="23" t="n">
        <x:v>46497</x:v>
      </x:c>
      <x:c r="C610" s="32" t="n">
        <x:v>1</x:v>
      </x:c>
      <x:c r="D610" s="20" t="str">
        <x:v>Weekly operations</x:v>
      </x:c>
      <x:c r="E610" s="20" t="str">
        <x:v>Property Manager</x:v>
      </x:c>
      <x:c r="F610" s="20" t="str">
        <x:v>Web</x:v>
      </x:c>
      <x:c r="G610" s="20" t="str">
        <x:v>Scanned receipt/invoice</x:v>
      </x:c>
      <x:c r="H610" s="35" t="str">
        <x:v>Record, review, allocate, and pay operating expense</x:v>
      </x:c>
      <x:c r="I610" s="35" t="str">
        <x:v>P027; U033; WO-2027-016</x:v>
      </x:c>
      <x:c r="J610" s="35" t="str">
        <x:v>SCN-0375</x:v>
      </x:c>
      <x:c r="K610" s="35" t="str">
        <x:v>FIN-01039</x:v>
      </x:c>
      <x:c r="L610" s="35" t="str">
        <x:v>Capture or upload the source; verify vendor, date, scope, category, line items, tax, amount, and work-order link; confirm; open detail; verify attachment; compare Money and Property/Unit views.</x:v>
      </x:c>
      <x:c r="M610" s="35" t="str">
        <x:v>One expense exists at its real operational scope, cash falls once, Schedule E category and allocations agree, and no per-unit copies are created.</x:v>
      </x:c>
      <x:c r="N610" s="35" t="str">
        <x:v>Source preview; review/form; expense detail; line items; Property/Unit ledger; audit; accounting/report delta.</x:v>
      </x:c>
      <x:c r="O610" s="35" t="str">
        <x:v>On marked duplicate-invoice cases, re-upload before confirm and prove the product prevents or clearly warns about duplication.</x:v>
      </x:c>
      <x:c r="P610" s="35" t="str">
        <x:v>All expected records and amounts match; no unexplained error or stale state.</x:v>
      </x:c>
    </x:row>
    <x:row r="611">
      <x:c r="A611" s="20" t="str">
        <x:v>RUN-20270420-02</x:v>
      </x:c>
      <x:c r="B611" s="23" t="n">
        <x:v>46497</x:v>
      </x:c>
      <x:c r="C611" s="32" t="n">
        <x:v>2</x:v>
      </x:c>
      <x:c r="D611" s="20" t="str">
        <x:v>Monthly close</x:v>
      </x:c>
      <x:c r="E611" s="20" t="str">
        <x:v>Workspace Administrator</x:v>
      </x:c>
      <x:c r="F611" s="20" t="str">
        <x:v>Web + Mobile</x:v>
      </x:c>
      <x:c r="G611" s="20" t="str">
        <x:v>Recurring automation + statement match</x:v>
      </x:c>
      <x:c r="H611" s="35" t="str">
        <x:v>April loan payments</x:v>
      </x:c>
      <x:c r="I611" s="35" t="str">
        <x:v>LN001; LN002; LN004; LN005; LN007; LN008; LN010; LN011; LN013; LN014; LN016; LN017; LN019; LN020; LN022; LN023; LN025; LN026; LN028; LN029</x:v>
      </x:c>
      <x:c r="J611" s="35" t="str">
        <x:v>SCN-0536; SCN-0537; SCN-0538; SCN-0539; SCN-0540; SCN-0541; SCN-0542; SCN-0543; SCN-0544; SCN-0545; SCN-0546; SCN-0547; SCN-0548; SCN-0549; SCN-0550; SCN-0551; SCN-0552; SCN-0553; SCN-0554; SCN-0555</x:v>
      </x:c>
      <x:c r="K611" s="35" t="str">
        <x:v>FIN-01192; FIN-01193; FIN-01194; FIN-01195; FIN-01196; FIN-01197; FIN-01198; FIN-01199; FIN-01200; FIN-01201; FIN-01202; FIN-01203; FIN-01204; FIN-01205; FIN-01206; FIN-01207; FIN-01208; FIN-01209; FIN-01210; FIN-01211</x:v>
      </x:c>
      <x:c r="L611" s="35" t="str">
        <x:v>Verify the recurring loan payments; attach/match each statement; compare principal, interest, cash, loan balance, amortization, Property Money view, and Schedule E interest.</x:v>
      </x:c>
      <x:c r="M611" s="35" t="str">
        <x:v>Every payment splits principal and interest once; principal reduces liability, interest is expense, and statement balance matches.</x:v>
      </x:c>
      <x:c r="N611" s="35" t="str">
        <x:v>Loan detail samples on both clients; statement attachment; amortization; Property and year-end reports.</x:v>
      </x:c>
      <x:c r="O611" s="35" t="str">
        <x:v>Attempt a duplicate recurrence run; no second payment or balance movement.</x:v>
      </x:c>
      <x:c r="P611" s="35" t="str">
        <x:v>All expected records and amounts match; no unexplained error or stale state.</x:v>
      </x:c>
    </x:row>
    <x:row r="612">
      <x:c r="A612" s="20" t="str">
        <x:v>RUN-20270420-03</x:v>
      </x:c>
      <x:c r="B612" s="23" t="n">
        <x:v>46497</x:v>
      </x:c>
      <x:c r="C612" s="32" t="n">
        <x:v>3</x:v>
      </x:c>
      <x:c r="D612" s="20" t="str">
        <x:v>Role and screen certification</x:v>
      </x:c>
      <x:c r="E612" s="20" t="str">
        <x:v>Owner</x:v>
      </x:c>
      <x:c r="F612" s="20" t="str">
        <x:v>Web</x:v>
      </x:c>
      <x:c r="G612" s="20" t="str">
        <x:v>Normal persona navigation</x:v>
      </x:c>
      <x:c r="H612" s="35" t="str">
        <x:v>Use every permitted action and state on /owner/properties</x:v>
      </x:c>
      <x:c r="I612" s="35" t="str">
        <x:v>SCR-054; ROLE-081</x:v>
      </x:c>
      <x:c r="J612" s="35" t="str"/>
      <x:c r="K612" s="35" t="str"/>
      <x:c r="L6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12" s="35" t="str">
        <x:v>The persona can use every allowed action with only its assigned properties/relationships. Hidden or disabled actions explain why; an adjacent unauthorized persona is denied without metadata leakage.</x:v>
      </x:c>
      <x:c r="N612" s="35" t="str">
        <x:v>Persona/experience; navigation entry; desktop or device screenshots; result state; persisted read-back; audit/history; authorized and denied network result.</x:v>
      </x:c>
      <x:c r="O612" s="35" t="str">
        <x:v>Open the direct URL or deep link with an adjacent unauthorized persona and with stale scope; both fail closed and land safely without mutation.</x:v>
      </x:c>
      <x:c r="P612" s="35" t="str">
        <x:v>All expected records and amounts match; no unexplained error or stale state.</x:v>
      </x:c>
    </x:row>
    <x:row r="613">
      <x:c r="A613" s="20" t="str">
        <x:v>RUN-20270420-04</x:v>
      </x:c>
      <x:c r="B613" s="23" t="n">
        <x:v>46497</x:v>
      </x:c>
      <x:c r="C613" s="32" t="n">
        <x:v>4</x:v>
      </x:c>
      <x:c r="D613" s="20" t="str">
        <x:v>Field certification</x:v>
      </x:c>
      <x:c r="E613" s="20" t="str">
        <x:v>Tenant</x:v>
      </x:c>
      <x:c r="F613" s="20" t="str">
        <x:v>Web</x:v>
      </x:c>
      <x:c r="G613" s="20" t="str">
        <x:v>Manual field-by-field</x:v>
      </x:c>
      <x:c r="H613" s="35" t="str">
        <x:v>Fill, save, reload, edit, and validate every declared field on /portal/maintenance</x:v>
      </x:c>
      <x:c r="I613" s="35" t="str">
        <x:v>FLD-0283; FLD-0284; FLD-0285; FLD-0286; FLD-0287</x:v>
      </x:c>
      <x:c r="J613" s="35" t="str"/>
      <x:c r="K613" s="35" t="str"/>
      <x:c r="L613" s="35" t="str">
        <x:v>Use the source-derived Field Inventory. Enter non-default realistic values in every control (Select-5; Select-6; Select-7; Select-8; Select-9); submit; reload or relaunch; compare every value; edit each mutable field; verify the paired client; then run required, format, length, range, boundary, optional-null, and stale-submit checks.</x:v>
      </x:c>
      <x:c r="M613" s="35" t="str">
        <x:v>All 5 inventoried controls persist exact normalized values, invalid values stay unsaved with clear errors, and hidden/unauthorized fields cannot be altered.</x:v>
      </x:c>
      <x:c r="N613" s="35" t="str">
        <x:v>Before/after form screenshots; FLD IDs; API response; reloaded UI; paired-client read-back; database/audit evidence; negative validation result.</x:v>
      </x:c>
      <x:c r="O613" s="35" t="str">
        <x:v>Use a duplicate submit and one simulated network interruption; one atomic mutation or none, never partial state.</x:v>
      </x:c>
      <x:c r="P613" s="35" t="str">
        <x:v>All expected records and amounts match; no unexplained error or stale state.</x:v>
      </x:c>
    </x:row>
    <x:row r="614">
      <x:c r="A614" s="20" t="str">
        <x:v>RUN-20270420-05</x:v>
      </x:c>
      <x:c r="B614" s="23" t="n">
        <x:v>46497</x:v>
      </x:c>
      <x:c r="C614" s="32" t="n">
        <x:v>5</x:v>
      </x:c>
      <x:c r="D614" s="20" t="str">
        <x:v>Surface coverage</x:v>
      </x:c>
      <x:c r="E614" s="20" t="str">
        <x:v>Role appropriate to surface</x:v>
      </x:c>
      <x:c r="F614" s="20" t="str">
        <x:v>Mobile</x:v>
      </x:c>
      <x:c r="G614" s="20" t="str">
        <x:v>Scan/attachment</x:v>
      </x:c>
      <x:c r="H614" s="35" t="str">
        <x:v>Scan mobile pass: Issue, sign, void, replace agreement</x:v>
      </x:c>
      <x:c r="I614" s="35" t="str">
        <x:v>COV-013</x:v>
      </x:c>
      <x:c r="J614" s="35" t="str"/>
      <x:c r="K614" s="35" t="str"/>
      <x:c r="L614" s="35" t="str">
        <x:v>Issue, view, sign, finalize, void mistaken packet, replace, and verify immutable artifacts/status.</x:v>
      </x:c>
      <x:c r="M614" s="35" t="str">
        <x:v>The supported workflow completes and persists correctly; if the capability is absent, the exact gap is proven and queued rather than silently skipped.</x:v>
      </x:c>
      <x:c r="N614" s="35" t="str">
        <x:v>Real UI screenshot/state; submitted values; persisted read-back; cross-client read-back; audit/role/access evidence.</x:v>
      </x:c>
      <x:c r="O614" s="35" t="str">
        <x:v>Use one invalid value, stale-state retry, or duplicate submission relevant to the form; no partial or duplicate mutation.</x:v>
      </x:c>
      <x:c r="P614" s="35" t="str">
        <x:v>All expected records and amounts match; no unexplained error or stale state.</x:v>
      </x:c>
    </x:row>
    <x:row r="615">
      <x:c r="A615" s="20" t="str">
        <x:v>RUN-20270421-01</x:v>
      </x:c>
      <x:c r="B615" s="23" t="n">
        <x:v>46498</x:v>
      </x:c>
      <x:c r="C615" s="32" t="n">
        <x:v>1</x:v>
      </x:c>
      <x:c r="D615" s="20" t="str">
        <x:v>Field certification</x:v>
      </x:c>
      <x:c r="E615" s="20" t="str">
        <x:v>Tenant</x:v>
      </x:c>
      <x:c r="F615" s="20" t="str">
        <x:v>Web</x:v>
      </x:c>
      <x:c r="G615" s="20" t="str">
        <x:v>Manual field-by-field</x:v>
      </x:c>
      <x:c r="H615" s="35" t="str">
        <x:v>Fill, save, reload, edit, and validate every declared field on /portal/maintenance</x:v>
      </x:c>
      <x:c r="I615" s="35" t="str">
        <x:v>FLD-0288; FLD-0289; FLD-0290; FLD-0291</x:v>
      </x:c>
      <x:c r="J615" s="35" t="str"/>
      <x:c r="K615" s="35" t="str"/>
      <x:c r="L615" s="35" t="str">
        <x:v>Use the source-derived Field Inventory. Enter non-default realistic values in every control (Select-10; Select-11; Select-12; Select-13); submit; reload or relaunch; compare every value; edit each mutable field; verify the paired client; then run required, format, length, range, boundary, optional-null, and stale-submit checks.</x:v>
      </x:c>
      <x:c r="M615" s="35" t="str">
        <x:v>All 4 inventoried controls persist exact normalized values, invalid values stay unsaved with clear errors, and hidden/unauthorized fields cannot be altered.</x:v>
      </x:c>
      <x:c r="N615" s="35" t="str">
        <x:v>Before/after form screenshots; FLD IDs; API response; reloaded UI; paired-client read-back; database/audit evidence; negative validation result.</x:v>
      </x:c>
      <x:c r="O615" s="35" t="str">
        <x:v>Use a duplicate submit and one simulated network interruption; one atomic mutation or none, never partial state.</x:v>
      </x:c>
      <x:c r="P615" s="35" t="str">
        <x:v>All expected records and amounts match; no unexplained error or stale state.</x:v>
      </x:c>
    </x:row>
    <x:row r="616">
      <x:c r="A616" s="20" t="str">
        <x:v>RUN-20270421-02</x:v>
      </x:c>
      <x:c r="B616" s="23" t="n">
        <x:v>46498</x:v>
      </x:c>
      <x:c r="C616" s="32" t="n">
        <x:v>2</x:v>
      </x:c>
      <x:c r="D616" s="20" t="str">
        <x:v>Surface coverage</x:v>
      </x:c>
      <x:c r="E616" s="20" t="str">
        <x:v>Role appropriate to surface</x:v>
      </x:c>
      <x:c r="F616" s="20" t="str">
        <x:v>Web</x:v>
      </x:c>
      <x:c r="G616" s="20" t="str">
        <x:v>Manual</x:v>
      </x:c>
      <x:c r="H616" s="35" t="str">
        <x:v>Manual web pass: Addendum and financial effect</x:v>
      </x:c>
      <x:c r="I616" s="35" t="str">
        <x:v>COV-014</x:v>
      </x:c>
      <x:c r="J616" s="35" t="str"/>
      <x:c r="K616" s="35" t="str"/>
      <x:c r="L616" s="35" t="str">
        <x:v>Create pet addendum with recurring charge, issue/sign, verify effective billing, then supersede on renewal.</x:v>
      </x:c>
      <x:c r="M616" s="35" t="str">
        <x:v>The supported workflow completes and persists correctly; if the capability is absent, the exact gap is proven and queued rather than silently skipped.</x:v>
      </x:c>
      <x:c r="N616" s="35" t="str">
        <x:v>Real UI screenshot/state; submitted values; persisted read-back; cross-client read-back; audit/role/access evidence.</x:v>
      </x:c>
      <x:c r="O616" s="35" t="str">
        <x:v>Use one invalid value, stale-state retry, or duplicate submission relevant to the form; no partial or duplicate mutation.</x:v>
      </x:c>
      <x:c r="P616" s="35" t="str">
        <x:v>All expected records and amounts match; no unexplained error or stale state.</x:v>
      </x:c>
    </x:row>
    <x:row r="617">
      <x:c r="A617" s="20" t="str">
        <x:v>RUN-20270422-01</x:v>
      </x:c>
      <x:c r="B617" s="23" t="n">
        <x:v>46499</x:v>
      </x:c>
      <x:c r="C617" s="32" t="n">
        <x:v>1</x:v>
      </x:c>
      <x:c r="D617" s="20" t="str">
        <x:v>Role and screen certification</x:v>
      </x:c>
      <x:c r="E617" s="20" t="str">
        <x:v>Owner</x:v>
      </x:c>
      <x:c r="F617" s="20" t="str">
        <x:v>Web</x:v>
      </x:c>
      <x:c r="G617" s="20" t="str">
        <x:v>Normal persona navigation</x:v>
      </x:c>
      <x:c r="H617" s="35" t="str">
        <x:v>Use every permitted action and state on /owner/security</x:v>
      </x:c>
      <x:c r="I617" s="35" t="str">
        <x:v>SCR-055; ROLE-082</x:v>
      </x:c>
      <x:c r="J617" s="35" t="str"/>
      <x:c r="K617" s="35" t="str"/>
      <x:c r="L6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17" s="35" t="str">
        <x:v>The persona can use every allowed action with only its assigned properties/relationships. Hidden or disabled actions explain why; an adjacent unauthorized persona is denied without metadata leakage.</x:v>
      </x:c>
      <x:c r="N617" s="35" t="str">
        <x:v>Persona/experience; navigation entry; desktop or device screenshots; result state; persisted read-back; audit/history; authorized and denied network result.</x:v>
      </x:c>
      <x:c r="O617" s="35" t="str">
        <x:v>Open the direct URL or deep link with an adjacent unauthorized persona and with stale scope; both fail closed and land safely without mutation.</x:v>
      </x:c>
      <x:c r="P617" s="35" t="str">
        <x:v>All expected records and amounts match; no unexplained error or stale state.</x:v>
      </x:c>
    </x:row>
    <x:row r="618">
      <x:c r="A618" s="20" t="str">
        <x:v>RUN-20270422-02</x:v>
      </x:c>
      <x:c r="B618" s="23" t="n">
        <x:v>46499</x:v>
      </x:c>
      <x:c r="C618" s="32" t="n">
        <x:v>2</x:v>
      </x:c>
      <x:c r="D618" s="20" t="str">
        <x:v>Field certification</x:v>
      </x:c>
      <x:c r="E618" s="20" t="str">
        <x:v>Tenant</x:v>
      </x:c>
      <x:c r="F618" s="20" t="str">
        <x:v>Web</x:v>
      </x:c>
      <x:c r="G618" s="20" t="str">
        <x:v>Manual field-by-field</x:v>
      </x:c>
      <x:c r="H618" s="35" t="str">
        <x:v>Fill, save, reload, edit, and validate every declared field on /portal/maintenance</x:v>
      </x:c>
      <x:c r="I618" s="35" t="str">
        <x:v>FLD-0292; FLD-0293; FLD-0294; FLD-0295; FLD-0296</x:v>
      </x:c>
      <x:c r="J618" s="35" t="str"/>
      <x:c r="K618" s="35" t="str"/>
      <x:c r="L618" s="35" t="str">
        <x:v>Use the source-derived Field Inventory. Enter non-default realistic values in every control (requestTitleError ? 'true' : undefined; requestDescriptionError ? 'true' : undefined; portal-request-category; form.priority; Select-18); submit; reload or relaunch; compare every value; edit each mutable field; verify the paired client; then run required, format, length, range, boundary, optional-null, and stale-submit checks.</x:v>
      </x:c>
      <x:c r="M618" s="35" t="str">
        <x:v>All 5 inventoried controls persist exact normalized values, invalid values stay unsaved with clear errors, and hidden/unauthorized fields cannot be altered.</x:v>
      </x:c>
      <x:c r="N618" s="35" t="str">
        <x:v>Before/after form screenshots; FLD IDs; API response; reloaded UI; paired-client read-back; database/audit evidence; negative validation result.</x:v>
      </x:c>
      <x:c r="O618" s="35" t="str">
        <x:v>Use a duplicate submit and one simulated network interruption; one atomic mutation or none, never partial state.</x:v>
      </x:c>
      <x:c r="P618" s="35" t="str">
        <x:v>All expected records and amounts match; no unexplained error or stale state.</x:v>
      </x:c>
    </x:row>
    <x:row r="619">
      <x:c r="A619" s="20" t="str">
        <x:v>RUN-20270423-01</x:v>
      </x:c>
      <x:c r="B619" s="23" t="n">
        <x:v>46500</x:v>
      </x:c>
      <x:c r="C619" s="32" t="n">
        <x:v>1</x:v>
      </x:c>
      <x:c r="D619" s="20" t="str">
        <x:v>Role and screen certification</x:v>
      </x:c>
      <x:c r="E619" s="20" t="str">
        <x:v>Owner</x:v>
      </x:c>
      <x:c r="F619" s="20" t="str">
        <x:v>Web</x:v>
      </x:c>
      <x:c r="G619" s="20" t="str">
        <x:v>Normal persona navigation</x:v>
      </x:c>
      <x:c r="H619" s="35" t="str">
        <x:v>Use every permitted action and state on /owner/statements</x:v>
      </x:c>
      <x:c r="I619" s="35" t="str">
        <x:v>SCR-056; ROLE-083</x:v>
      </x:c>
      <x:c r="J619" s="35" t="str"/>
      <x:c r="K619" s="35" t="str"/>
      <x:c r="L6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19" s="35" t="str">
        <x:v>The persona can use every allowed action with only its assigned properties/relationships. Hidden or disabled actions explain why; an adjacent unauthorized persona is denied without metadata leakage.</x:v>
      </x:c>
      <x:c r="N619" s="35" t="str">
        <x:v>Persona/experience; navigation entry; desktop or device screenshots; result state; persisted read-back; audit/history; authorized and denied network result.</x:v>
      </x:c>
      <x:c r="O619" s="35" t="str">
        <x:v>Open the direct URL or deep link with an adjacent unauthorized persona and with stale scope; both fail closed and land safely without mutation.</x:v>
      </x:c>
      <x:c r="P619" s="35" t="str">
        <x:v>All expected records and amounts match; no unexplained error or stale state.</x:v>
      </x:c>
    </x:row>
    <x:row r="620">
      <x:c r="A620" s="20" t="str">
        <x:v>RUN-20270423-02</x:v>
      </x:c>
      <x:c r="B620" s="23" t="n">
        <x:v>46500</x:v>
      </x:c>
      <x:c r="C620" s="32" t="n">
        <x:v>2</x:v>
      </x:c>
      <x:c r="D620" s="20" t="str">
        <x:v>Field certification</x:v>
      </x:c>
      <x:c r="E620" s="20" t="str">
        <x:v>Tenant</x:v>
      </x:c>
      <x:c r="F620" s="20" t="str">
        <x:v>Web</x:v>
      </x:c>
      <x:c r="G620" s="20" t="str">
        <x:v>Manual field-by-field</x:v>
      </x:c>
      <x:c r="H620" s="35" t="str">
        <x:v>Fill, save, reload, edit, and validate every declared field on /portal/maintenance</x:v>
      </x:c>
      <x:c r="I620" s="35" t="str">
        <x:v>FLD-0297; FLD-0298; FLD-0299; FLD-0300</x:v>
      </x:c>
      <x:c r="J620" s="35" t="str"/>
      <x:c r="K620" s="35" t="str"/>
      <x:c r="L620" s="35" t="str">
        <x:v>Use the source-derived Field Inventory. Enter non-default realistic values in every control (Select-19; Select-20; Select-21; Select-22); submit; reload or relaunch; compare every value; edit each mutable field; verify the paired client; then run required, format, length, range, boundary, optional-null, and stale-submit checks.</x:v>
      </x:c>
      <x:c r="M620" s="35" t="str">
        <x:v>All 4 inventoried controls persist exact normalized values, invalid values stay unsaved with clear errors, and hidden/unauthorized fields cannot be altered.</x:v>
      </x:c>
      <x:c r="N620" s="35" t="str">
        <x:v>Before/after form screenshots; FLD IDs; API response; reloaded UI; paired-client read-back; database/audit evidence; negative validation result.</x:v>
      </x:c>
      <x:c r="O620" s="35" t="str">
        <x:v>Use a duplicate submit and one simulated network interruption; one atomic mutation or none, never partial state.</x:v>
      </x:c>
      <x:c r="P620" s="35" t="str">
        <x:v>All expected records and amounts match; no unexplained error or stale state.</x:v>
      </x:c>
    </x:row>
    <x:row r="621">
      <x:c r="A621" s="20" t="str">
        <x:v>RUN-20270423-03</x:v>
      </x:c>
      <x:c r="B621" s="23" t="n">
        <x:v>46500</x:v>
      </x:c>
      <x:c r="C621" s="32" t="n">
        <x:v>3</x:v>
      </x:c>
      <x:c r="D621" s="20" t="str">
        <x:v>Lifecycle certification</x:v>
      </x:c>
      <x:c r="E621" s="20" t="str">
        <x:v>Leasing Agent</x:v>
      </x:c>
      <x:c r="F621" s="20" t="str">
        <x:v>Web + Mobile</x:v>
      </x:c>
      <x:c r="G621" s="20" t="str">
        <x:v>Manual + scan/attachment where supported</x:v>
      </x:c>
      <x:c r="H621" s="35" t="str">
        <x:v>Complete the full create/read/edit/lifecycle/delete-safe pass for Lease relationship</x:v>
      </x:c>
      <x:c r="I621" s="35" t="str">
        <x:v>CRUD-010</x:v>
      </x:c>
      <x:c r="J621" s="35" t="str"/>
      <x:c r="K621" s="35" t="str"/>
      <x:c r="L621" s="35" t="str">
        <x:v>Use a dedicated disposable QA record and execute: prepare; edit; party roles; issue; sign; renew; transfer; end; cancel planned. Fill every field referenced by field-inventory.csv. Verify confirmation copy, cancel path, final path, reload, other-client state, history, and role denial.</x:v>
      </x:c>
      <x:c r="M621" s="35" t="str">
        <x:v>Every supported transition succeeds exactly once; forbidden destructive actions are guarded; reversible deletion/deactivation works; financial and historical truth is preserved.</x:v>
      </x:c>
      <x:c r="N621" s="35" t="str">
        <x:v>Entity before/after; both clients; all FLD IDs; audit/history; notifications; authorized and unauthorized personas; API/DB state.</x:v>
      </x:c>
      <x:c r="O621" s="35" t="str">
        <x:v>Cancel the first destructive confirmation, then repeat and confirm; retry the mutation once; no double transition or orphan.</x:v>
      </x:c>
      <x:c r="P621" s="35" t="str">
        <x:v>All expected records and amounts match; no unexplained error or stale state.</x:v>
      </x:c>
    </x:row>
    <x:row r="622">
      <x:c r="A622" s="20" t="str">
        <x:v>RUN-20270423-04</x:v>
      </x:c>
      <x:c r="B622" s="23" t="n">
        <x:v>46500</x:v>
      </x:c>
      <x:c r="C622" s="32" t="n">
        <x:v>4</x:v>
      </x:c>
      <x:c r="D622" s="20" t="str">
        <x:v>Notification certification</x:v>
      </x:c>
      <x:c r="E622" s="20" t="str">
        <x:v>Tenant/applicant/staff</x:v>
      </x:c>
      <x:c r="F622" s="20" t="str">
        <x:v>Web + Mobile</x:v>
      </x:c>
      <x:c r="G622" s="20" t="str">
        <x:v>System event + preference/manual verification</x:v>
      </x:c>
      <x:c r="H622" s="35" t="str">
        <x:v>Trigger and prove notification: Appointment 24-hour reminder</x:v>
      </x:c>
      <x:c r="I622" s="35" t="str">
        <x:v>NTF-014</x:v>
      </x:c>
      <x:c r="J622" s="35" t="str"/>
      <x:c r="K622" s="35" t="str"/>
      <x:c r="L622" s="35" t="str">
        <x:v>Set each recipient's preferences; trigger the real business event; inspect routing and recipient scope; verify unread badge, list item, safe preview, appointment deep link, mark-read sync, configured channel outcome, provider failure/retry, and duplicate suppression.</x:v>
      </x:c>
      <x:c r="M622" s="35" t="str">
        <x:v>Exactly the intended recipients receive one correctly routed notification; disabled optional channels stay silent; deep link opens authorized context; read state synchronizes.</x:v>
      </x:c>
      <x:c r="N622" s="35" t="str">
        <x:v>Trigger record; routing decision; outbox/delivery status; web/mobile inbox; lock-screen-safe copy; deep-link target; audit/provider retry evidence.</x:v>
      </x:c>
      <x:c r="O622" s="35" t="str">
        <x:v>Re-run the worker and deliver a duplicate provider callback; no duplicate user-visible event. Attempt the deep link as an unauthorized adjacent role.</x:v>
      </x:c>
      <x:c r="P622" s="35" t="str">
        <x:v>All expected records and amounts match; no unexplained error or stale state.</x:v>
      </x:c>
    </x:row>
    <x:row r="623">
      <x:c r="A623" s="20" t="str">
        <x:v>RUN-20270423-05</x:v>
      </x:c>
      <x:c r="B623" s="23" t="n">
        <x:v>46500</x:v>
      </x:c>
      <x:c r="C623" s="32" t="n">
        <x:v>5</x:v>
      </x:c>
      <x:c r="D623" s="20" t="str">
        <x:v>Surface coverage</x:v>
      </x:c>
      <x:c r="E623" s="20" t="str">
        <x:v>Role appropriate to surface</x:v>
      </x:c>
      <x:c r="F623" s="20" t="str">
        <x:v>Mobile</x:v>
      </x:c>
      <x:c r="G623" s="20" t="str">
        <x:v>Manual</x:v>
      </x:c>
      <x:c r="H623" s="35" t="str">
        <x:v>Manual mobile pass: Addendum and financial effect</x:v>
      </x:c>
      <x:c r="I623" s="35" t="str">
        <x:v>COV-014</x:v>
      </x:c>
      <x:c r="J623" s="35" t="str"/>
      <x:c r="K623" s="35" t="str"/>
      <x:c r="L623" s="35" t="str">
        <x:v>Create pet addendum with recurring charge, issue/sign, verify effective billing, then supersede on renewal.</x:v>
      </x:c>
      <x:c r="M623" s="35" t="str">
        <x:v>The supported workflow completes and persists correctly; if the capability is absent, the exact gap is proven and queued rather than silently skipped.</x:v>
      </x:c>
      <x:c r="N623" s="35" t="str">
        <x:v>Real UI screenshot/state; submitted values; persisted read-back; cross-client read-back; audit/role/access evidence.</x:v>
      </x:c>
      <x:c r="O623" s="35" t="str">
        <x:v>Use one invalid value, stale-state retry, or duplicate submission relevant to the form; no partial or duplicate mutation.</x:v>
      </x:c>
      <x:c r="P623" s="35" t="str">
        <x:v>All expected records and amounts match; no unexplained error or stale state.</x:v>
      </x:c>
    </x:row>
    <x:row r="624">
      <x:c r="A624" s="20" t="str">
        <x:v>RUN-20270425-01</x:v>
      </x:c>
      <x:c r="B624" s="23" t="n">
        <x:v>46502</x:v>
      </x:c>
      <x:c r="C624" s="32" t="n">
        <x:v>1</x:v>
      </x:c>
      <x:c r="D624" s="20" t="str">
        <x:v>Monthly close</x:v>
      </x:c>
      <x:c r="E624" s="20" t="str">
        <x:v>Owner + Workspace Administrator</x:v>
      </x:c>
      <x:c r="F624" s="20" t="str">
        <x:v>Web + Mobile owner portal</x:v>
      </x:c>
      <x:c r="G624" s="20" t="str">
        <x:v>Manual approval</x:v>
      </x:c>
      <x:c r="H624" s="35" t="str">
        <x:v>April owner statements and distributions</x:v>
      </x:c>
      <x:c r="I624" s="35" t="str">
        <x:v>O01-O05</x:v>
      </x:c>
      <x:c r="J624" s="35" t="str"/>
      <x:c r="K624" s="35" t="str">
        <x:v>FIN-01212; FIN-01213; FIN-01214; FIN-01215; FIN-01216</x:v>
      </x:c>
      <x:c r="L624" s="35" t="str">
        <x:v>Generate owner statements; review income/expense allocations; approve distributions; record the bank export; open statements from owner portal on web and mobile.</x:v>
      </x:c>
      <x:c r="M624" s="35" t="str">
        <x:v>Five owner statements agree with Property/accounting totals and five distributions reduce cash/equity distributions without becoming expenses.</x:v>
      </x:c>
      <x:c r="N624" s="35" t="str">
        <x:v>Statements; approvals; owner portal PDFs; distribution rows; bank references; audit.</x:v>
      </x:c>
      <x:c r="O624" s="35" t="str">
        <x:v>Reject one draft distribution before approval each quarter and prove no cash event is posted.</x:v>
      </x:c>
      <x:c r="P624" s="35" t="str">
        <x:v>All expected records and amounts match; no unexplained error or stale state.</x:v>
      </x:c>
    </x:row>
    <x:row r="625">
      <x:c r="A625" s="20" t="str">
        <x:v>RUN-20270426-01</x:v>
      </x:c>
      <x:c r="B625" s="23" t="n">
        <x:v>46503</x:v>
      </x:c>
      <x:c r="C625" s="32" t="n">
        <x:v>1</x:v>
      </x:c>
      <x:c r="D625" s="20" t="str">
        <x:v>Weekly operations</x:v>
      </x:c>
      <x:c r="E625" s="20" t="str">
        <x:v>Property Manager</x:v>
      </x:c>
      <x:c r="F625" s="20" t="str">
        <x:v>Mobile</x:v>
      </x:c>
      <x:c r="G625" s="20" t="str">
        <x:v>Scan-first</x:v>
      </x:c>
      <x:c r="H625" s="35" t="str">
        <x:v>Create and triage maintenance request</x:v>
      </x:c>
      <x:c r="I625" s="35" t="str">
        <x:v>P030; U040; WO-2027-017</x:v>
      </x:c>
      <x:c r="J625" s="35" t="str">
        <x:v>SCN-0376</x:v>
      </x:c>
      <x:c r="K625" s="35" t="str"/>
      <x:c r="L625" s="35" t="str">
        <x:v>Capture the tenant note/photo; review HVAC filter and no-cool call; confirm; set responsibility; dispatch Hardware House; create an appointment and verify the tenant notification.</x:v>
      </x:c>
      <x:c r="M625" s="35" t="str">
        <x:v>Work order, status timeline, responsibility, vendor dispatch, appointment, notification, and Unit context are linked once.</x:v>
      </x:c>
      <x:c r="N625" s="35" t="str">
        <x:v>Scan review; work order detail/timeline; dispatch; appointment; notification; tenant portal view.</x:v>
      </x:c>
      <x:c r="O625" s="35" t="str">
        <x:v>Cancel one dispatch each quarter, reassign once, and prove status/history remains append-only.</x:v>
      </x:c>
      <x:c r="P625" s="35" t="str">
        <x:v>All expected records and amounts match; no unexplained error or stale state.</x:v>
      </x:c>
    </x:row>
    <x:row r="626">
      <x:c r="A626" s="20" t="str">
        <x:v>RUN-20270426-02</x:v>
      </x:c>
      <x:c r="B626" s="23" t="n">
        <x:v>46503</x:v>
      </x:c>
      <x:c r="C626" s="32" t="n">
        <x:v>2</x:v>
      </x:c>
      <x:c r="D626" s="20" t="str">
        <x:v>Role and screen certification</x:v>
      </x:c>
      <x:c r="E626" s="20" t="str">
        <x:v>Workspace Administrator</x:v>
      </x:c>
      <x:c r="F626" s="20" t="str">
        <x:v>Web</x:v>
      </x:c>
      <x:c r="G626" s="20" t="str">
        <x:v>Normal persona navigation</x:v>
      </x:c>
      <x:c r="H626" s="35" t="str">
        <x:v>Use every permitted action and state on /owners</x:v>
      </x:c>
      <x:c r="I626" s="35" t="str">
        <x:v>SCR-057; ROLE-084</x:v>
      </x:c>
      <x:c r="J626" s="35" t="str"/>
      <x:c r="K626" s="35" t="str"/>
      <x:c r="L62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26" s="35" t="str">
        <x:v>The persona can use every allowed action with only its assigned properties/relationships. Hidden or disabled actions explain why; an adjacent unauthorized persona is denied without metadata leakage.</x:v>
      </x:c>
      <x:c r="N626" s="35" t="str">
        <x:v>Persona/experience; navigation entry; desktop or device screenshots; result state; persisted read-back; audit/history; authorized and denied network result.</x:v>
      </x:c>
      <x:c r="O626" s="35" t="str">
        <x:v>Open the direct URL or deep link with an adjacent unauthorized persona and with stale scope; both fail closed and land safely without mutation.</x:v>
      </x:c>
      <x:c r="P626" s="35" t="str">
        <x:v>All expected records and amounts match; no unexplained error or stale state.</x:v>
      </x:c>
    </x:row>
    <x:row r="627">
      <x:c r="A627" s="20" t="str">
        <x:v>RUN-20270426-03</x:v>
      </x:c>
      <x:c r="B627" s="23" t="n">
        <x:v>46503</x:v>
      </x:c>
      <x:c r="C627" s="32" t="n">
        <x:v>3</x:v>
      </x:c>
      <x:c r="D627" s="20" t="str">
        <x:v>Role and screen certification</x:v>
      </x:c>
      <x:c r="E627" s="20" t="str">
        <x:v>Property Manager</x:v>
      </x:c>
      <x:c r="F627" s="20" t="str">
        <x:v>Web</x:v>
      </x:c>
      <x:c r="G627" s="20" t="str">
        <x:v>Normal persona navigation</x:v>
      </x:c>
      <x:c r="H627" s="35" t="str">
        <x:v>Use every permitted action and state on /owners</x:v>
      </x:c>
      <x:c r="I627" s="35" t="str">
        <x:v>SCR-057; ROLE-085</x:v>
      </x:c>
      <x:c r="J627" s="35" t="str"/>
      <x:c r="K627" s="35" t="str"/>
      <x:c r="L62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27" s="35" t="str">
        <x:v>The persona can use every allowed action with only its assigned properties/relationships. Hidden or disabled actions explain why; an adjacent unauthorized persona is denied without metadata leakage.</x:v>
      </x:c>
      <x:c r="N627" s="35" t="str">
        <x:v>Persona/experience; navigation entry; desktop or device screenshots; result state; persisted read-back; audit/history; authorized and denied network result.</x:v>
      </x:c>
      <x:c r="O627" s="35" t="str">
        <x:v>Open the direct URL or deep link with an adjacent unauthorized persona and with stale scope; both fail closed and land safely without mutation.</x:v>
      </x:c>
      <x:c r="P627" s="35" t="str">
        <x:v>All expected records and amounts match; no unexplained error or stale state.</x:v>
      </x:c>
    </x:row>
    <x:row r="628">
      <x:c r="A628" s="20" t="str">
        <x:v>RUN-20270426-04</x:v>
      </x:c>
      <x:c r="B628" s="23" t="n">
        <x:v>46503</x:v>
      </x:c>
      <x:c r="C628" s="32" t="n">
        <x:v>4</x:v>
      </x:c>
      <x:c r="D628" s="20" t="str">
        <x:v>Field certification</x:v>
      </x:c>
      <x:c r="E628" s="20" t="str">
        <x:v>Tenant</x:v>
      </x:c>
      <x:c r="F628" s="20" t="str">
        <x:v>Web</x:v>
      </x:c>
      <x:c r="G628" s="20" t="str">
        <x:v>Manual field-by-field</x:v>
      </x:c>
      <x:c r="H628" s="35" t="str">
        <x:v>Fill, save, reload, edit, and validate every declared field on /portal/maintenance</x:v>
      </x:c>
      <x:c r="I628" s="35" t="str">
        <x:v>FLD-0301; FLD-0302</x:v>
      </x:c>
      <x:c r="J628" s="35" t="str"/>
      <x:c r="K628" s="35" t="str"/>
      <x:c r="L628" s="35" t="str">
        <x:v>Use the source-derived Field Inventory. Enter non-default realistic values in every control (Select-23; portal-request-photo-input); submit; reload or relaunch; compare every value; edit each mutable field; verify the paired client; then run required, format, length, range, boundary, optional-null, and stale-submit checks.</x:v>
      </x:c>
      <x:c r="M628" s="35" t="str">
        <x:v>All 2 inventoried controls persist exact normalized values, invalid values stay unsaved with clear errors, and hidden/unauthorized fields cannot be altered.</x:v>
      </x:c>
      <x:c r="N628" s="35" t="str">
        <x:v>Before/after form screenshots; FLD IDs; API response; reloaded UI; paired-client read-back; database/audit evidence; negative validation result.</x:v>
      </x:c>
      <x:c r="O628" s="35" t="str">
        <x:v>Use a duplicate submit and one simulated network interruption; one atomic mutation or none, never partial state.</x:v>
      </x:c>
      <x:c r="P628" s="35" t="str">
        <x:v>All expected records and amounts match; no unexplained error or stale state.</x:v>
      </x:c>
    </x:row>
    <x:row r="629">
      <x:c r="A629" s="20" t="str">
        <x:v>RUN-20270426-05</x:v>
      </x:c>
      <x:c r="B629" s="23" t="n">
        <x:v>46503</x:v>
      </x:c>
      <x:c r="C629" s="32" t="n">
        <x:v>5</x:v>
      </x:c>
      <x:c r="D629" s="20" t="str">
        <x:v>Field certification</x:v>
      </x:c>
      <x:c r="E629" s="20" t="str">
        <x:v>Tenant</x:v>
      </x:c>
      <x:c r="F629" s="20" t="str">
        <x:v>Web</x:v>
      </x:c>
      <x:c r="G629" s="20" t="str">
        <x:v>Manual field-by-field</x:v>
      </x:c>
      <x:c r="H629" s="35" t="str">
        <x:v>Fill, save, reload, edit, and validate every declared field on /portal/messages</x:v>
      </x:c>
      <x:c r="I629" s="35" t="str">
        <x:v>FLD-0303; FLD-0304; FLD-0305</x:v>
      </x:c>
      <x:c r="J629" s="35" t="str"/>
      <x:c r="K629" s="35" t="str"/>
      <x:c r="L629" s="35" t="str">
        <x:v>Use the source-derived Field Inventory. Enter non-default realistic values in every control (portal-reply-input; portal-conversation-compose-subject; portal-conversation-compose-body); submit; reload or relaunch; compare every value; edit each mutable field; verify the paired client; then run required, format, length, range, boundary, optional-null, and stale-submit checks.</x:v>
      </x:c>
      <x:c r="M629" s="35" t="str">
        <x:v>All 3 inventoried controls persist exact normalized values, invalid values stay unsaved with clear errors, and hidden/unauthorized fields cannot be altered.</x:v>
      </x:c>
      <x:c r="N629" s="35" t="str">
        <x:v>Before/after form screenshots; FLD IDs; API response; reloaded UI; paired-client read-back; database/audit evidence; negative validation result.</x:v>
      </x:c>
      <x:c r="O629" s="35" t="str">
        <x:v>Use a duplicate submit and one simulated network interruption; one atomic mutation or none, never partial state.</x:v>
      </x:c>
      <x:c r="P629" s="35" t="str">
        <x:v>All expected records and amounts match; no unexplained error or stale state.</x:v>
      </x:c>
    </x:row>
    <x:row r="630">
      <x:c r="A630" s="20" t="str">
        <x:v>RUN-20270426-06</x:v>
      </x:c>
      <x:c r="B630" s="23" t="n">
        <x:v>46503</x:v>
      </x:c>
      <x:c r="C630" s="32" t="n">
        <x:v>6</x:v>
      </x:c>
      <x:c r="D630" s="20" t="str">
        <x:v>Surface coverage</x:v>
      </x:c>
      <x:c r="E630" s="20" t="str">
        <x:v>Role appropriate to surface</x:v>
      </x:c>
      <x:c r="F630" s="20" t="str">
        <x:v>Web</x:v>
      </x:c>
      <x:c r="G630" s="20" t="str">
        <x:v>Scan/attachment</x:v>
      </x:c>
      <x:c r="H630" s="35" t="str">
        <x:v>Scan web pass: Addendum and financial effect</x:v>
      </x:c>
      <x:c r="I630" s="35" t="str">
        <x:v>COV-014</x:v>
      </x:c>
      <x:c r="J630" s="35" t="str"/>
      <x:c r="K630" s="35" t="str"/>
      <x:c r="L630" s="35" t="str">
        <x:v>Create pet addendum with recurring charge, issue/sign, verify effective billing, then supersede on renewal.</x:v>
      </x:c>
      <x:c r="M630" s="35" t="str">
        <x:v>The supported workflow completes and persists correctly; if the capability is absent, the exact gap is proven and queued rather than silently skipped.</x:v>
      </x:c>
      <x:c r="N630" s="35" t="str">
        <x:v>Real UI screenshot/state; submitted values; persisted read-back; cross-client read-back; audit/role/access evidence.</x:v>
      </x:c>
      <x:c r="O630" s="35" t="str">
        <x:v>Use one invalid value, stale-state retry, or duplicate submission relevant to the form; no partial or duplicate mutation.</x:v>
      </x:c>
      <x:c r="P630" s="35" t="str">
        <x:v>All expected records and amounts match; no unexplained error or stale state.</x:v>
      </x:c>
    </x:row>
    <x:row r="631">
      <x:c r="A631" s="20" t="str">
        <x:v>RUN-20270427-01</x:v>
      </x:c>
      <x:c r="B631" s="23" t="n">
        <x:v>46504</x:v>
      </x:c>
      <x:c r="C631" s="32" t="n">
        <x:v>1</x:v>
      </x:c>
      <x:c r="D631" s="20" t="str">
        <x:v>Weekly operations</x:v>
      </x:c>
      <x:c r="E631" s="20" t="str">
        <x:v>Property Manager</x:v>
      </x:c>
      <x:c r="F631" s="20" t="str">
        <x:v>Mobile</x:v>
      </x:c>
      <x:c r="G631" s="20" t="str">
        <x:v>Scanned receipt/invoice</x:v>
      </x:c>
      <x:c r="H631" s="35" t="str">
        <x:v>Record, review, allocate, and pay operating expense</x:v>
      </x:c>
      <x:c r="I631" s="35" t="str">
        <x:v>P030; U040; WO-2027-017</x:v>
      </x:c>
      <x:c r="J631" s="35" t="str">
        <x:v>SCN-0377</x:v>
      </x:c>
      <x:c r="K631" s="35" t="str">
        <x:v>FIN-01040</x:v>
      </x:c>
      <x:c r="L631" s="35" t="str">
        <x:v>Capture or upload the source; verify vendor, date, scope, category, line items, tax, amount, and work-order link; confirm; open detail; verify attachment; compare Money and Property/Unit views.</x:v>
      </x:c>
      <x:c r="M631" s="35" t="str">
        <x:v>One expense exists at its real operational scope, cash falls once, Schedule E category and allocations agree, and no per-unit copies are created.</x:v>
      </x:c>
      <x:c r="N631" s="35" t="str">
        <x:v>Source preview; review/form; expense detail; line items; Property/Unit ledger; audit; accounting/report delta.</x:v>
      </x:c>
      <x:c r="O631" s="35" t="str">
        <x:v>On marked duplicate-invoice cases, re-upload before confirm and prove the product prevents or clearly warns about duplication.</x:v>
      </x:c>
      <x:c r="P631" s="35" t="str">
        <x:v>All expected records and amounts match; no unexplained error or stale state.</x:v>
      </x:c>
    </x:row>
    <x:row r="632">
      <x:c r="A632" s="20" t="str">
        <x:v>RUN-20270427-02</x:v>
      </x:c>
      <x:c r="B632" s="23" t="n">
        <x:v>46504</x:v>
      </x:c>
      <x:c r="C632" s="32" t="n">
        <x:v>2</x:v>
      </x:c>
      <x:c r="D632" s="20" t="str">
        <x:v>Leasing</x:v>
      </x:c>
      <x:c r="E632" s="20" t="str">
        <x:v>Leasing Agent</x:v>
      </x:c>
      <x:c r="F632" s="20" t="str">
        <x:v>Web</x:v>
      </x:c>
      <x:c r="G632" s="20" t="str">
        <x:v>Scan-first</x:v>
      </x:c>
      <x:c r="H632" s="35" t="str">
        <x:v>Application intake and pipeline</x:v>
      </x:c>
      <x:c r="I632" s="35" t="str">
        <x:v>P030; U039; L045; T045</x:v>
      </x:c>
      <x:c r="J632" s="35" t="str">
        <x:v>SCN-0930</x:v>
      </x:c>
      <x:c r="K632" s="35" t="str"/>
      <x:c r="L632" s="35" t="str">
        <x:v>Upload/capture the application; review extracted applicant and unit context; confirm; inspect pipeline; request screening in synthetic/test-only mode; record a fair, documented decision.</x:v>
      </x:c>
      <x:c r="M632" s="35" t="str">
        <x:v>Application, applicant tenant prospect, unit link, status history, screening placeholder, and communication are created once without exposing sensitive values.</x:v>
      </x:c>
      <x:c r="N632" s="35" t="str">
        <x:v>Scan draft; Application detail; pipeline; status audit; applicant communication; role/access proof.</x:v>
      </x:c>
      <x:c r="O632" s="35" t="str">
        <x:v>Upload a duplicate application and a wrong-unit application; no duplicate person or cross-property link.</x:v>
      </x:c>
      <x:c r="P632" s="35" t="str">
        <x:v>All expected records and amounts match; no unexplained error or stale state.</x:v>
      </x:c>
    </x:row>
    <x:row r="633">
      <x:c r="A633" s="20" t="str">
        <x:v>RUN-20270427-03</x:v>
      </x:c>
      <x:c r="B633" s="23" t="n">
        <x:v>46504</x:v>
      </x:c>
      <x:c r="C633" s="32" t="n">
        <x:v>3</x:v>
      </x:c>
      <x:c r="D633" s="20" t="str">
        <x:v>Role and screen certification</x:v>
      </x:c>
      <x:c r="E633" s="20" t="str">
        <x:v>Workspace Administrator</x:v>
      </x:c>
      <x:c r="F633" s="20" t="str">
        <x:v>Web</x:v>
      </x:c>
      <x:c r="G633" s="20" t="str">
        <x:v>Normal persona navigation</x:v>
      </x:c>
      <x:c r="H633" s="35" t="str">
        <x:v>Use every permitted action and state on /owners/[id]</x:v>
      </x:c>
      <x:c r="I633" s="35" t="str">
        <x:v>SCR-058; ROLE-086</x:v>
      </x:c>
      <x:c r="J633" s="35" t="str"/>
      <x:c r="K633" s="35" t="str"/>
      <x:c r="L63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33" s="35" t="str">
        <x:v>The persona can use every allowed action with only its assigned properties/relationships. Hidden or disabled actions explain why; an adjacent unauthorized persona is denied without metadata leakage.</x:v>
      </x:c>
      <x:c r="N633" s="35" t="str">
        <x:v>Persona/experience; navigation entry; desktop or device screenshots; result state; persisted read-back; audit/history; authorized and denied network result.</x:v>
      </x:c>
      <x:c r="O633" s="35" t="str">
        <x:v>Open the direct URL or deep link with an adjacent unauthorized persona and with stale scope; both fail closed and land safely without mutation.</x:v>
      </x:c>
      <x:c r="P633" s="35" t="str">
        <x:v>All expected records and amounts match; no unexplained error or stale state.</x:v>
      </x:c>
    </x:row>
    <x:row r="634">
      <x:c r="A634" s="20" t="str">
        <x:v>RUN-20270427-04</x:v>
      </x:c>
      <x:c r="B634" s="23" t="n">
        <x:v>46504</x:v>
      </x:c>
      <x:c r="C634" s="32" t="n">
        <x:v>4</x:v>
      </x:c>
      <x:c r="D634" s="20" t="str">
        <x:v>Role and screen certification</x:v>
      </x:c>
      <x:c r="E634" s="20" t="str">
        <x:v>Property Manager</x:v>
      </x:c>
      <x:c r="F634" s="20" t="str">
        <x:v>Web</x:v>
      </x:c>
      <x:c r="G634" s="20" t="str">
        <x:v>Normal persona navigation</x:v>
      </x:c>
      <x:c r="H634" s="35" t="str">
        <x:v>Use every permitted action and state on /owners/[id]</x:v>
      </x:c>
      <x:c r="I634" s="35" t="str">
        <x:v>SCR-058; ROLE-087</x:v>
      </x:c>
      <x:c r="J634" s="35" t="str"/>
      <x:c r="K634" s="35" t="str"/>
      <x:c r="L63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34" s="35" t="str">
        <x:v>The persona can use every allowed action with only its assigned properties/relationships. Hidden or disabled actions explain why; an adjacent unauthorized persona is denied without metadata leakage.</x:v>
      </x:c>
      <x:c r="N634" s="35" t="str">
        <x:v>Persona/experience; navigation entry; desktop or device screenshots; result state; persisted read-back; audit/history; authorized and denied network result.</x:v>
      </x:c>
      <x:c r="O634" s="35" t="str">
        <x:v>Open the direct URL or deep link with an adjacent unauthorized persona and with stale scope; both fail closed and land safely without mutation.</x:v>
      </x:c>
      <x:c r="P634" s="35" t="str">
        <x:v>All expected records and amounts match; no unexplained error or stale state.</x:v>
      </x:c>
    </x:row>
    <x:row r="635">
      <x:c r="A635" s="20" t="str">
        <x:v>RUN-20270427-05</x:v>
      </x:c>
      <x:c r="B635" s="23" t="n">
        <x:v>46504</x:v>
      </x:c>
      <x:c r="C635" s="32" t="n">
        <x:v>5</x:v>
      </x:c>
      <x:c r="D635" s="20" t="str">
        <x:v>Field certification</x:v>
      </x:c>
      <x:c r="E635" s="20" t="str">
        <x:v>Tenant</x:v>
      </x:c>
      <x:c r="F635" s="20" t="str">
        <x:v>Web</x:v>
      </x:c>
      <x:c r="G635" s="20" t="str">
        <x:v>Manual field-by-field</x:v>
      </x:c>
      <x:c r="H635" s="35" t="str">
        <x:v>Fill, save, reload, edit, and validate every declared field on /portal/payments</x:v>
      </x:c>
      <x:c r="I635" s="35" t="str">
        <x:v>FLD-0306</x:v>
      </x:c>
      <x:c r="J635" s="35" t="str"/>
      <x:c r="K635" s="35" t="str"/>
      <x:c r="L635" s="35" t="str">
        <x:v>Use the source-derived Field Inventory. Enter non-default realistic values in every control (select-1); submit; reload or relaunch; compare every value; edit each mutable field; verify the paired client; then run required, format, length, range, boundary, optional-null, and stale-submit checks.</x:v>
      </x:c>
      <x:c r="M635" s="35" t="str">
        <x:v>All 1 inventoried controls persist exact normalized values, invalid values stay unsaved with clear errors, and hidden/unauthorized fields cannot be altered.</x:v>
      </x:c>
      <x:c r="N635" s="35" t="str">
        <x:v>Before/after form screenshots; FLD IDs; API response; reloaded UI; paired-client read-back; database/audit evidence; negative validation result.</x:v>
      </x:c>
      <x:c r="O635" s="35" t="str">
        <x:v>Use a duplicate submit and one simulated network interruption; one atomic mutation or none, never partial state.</x:v>
      </x:c>
      <x:c r="P635" s="35" t="str">
        <x:v>All expected records and amounts match; no unexplained error or stale state.</x:v>
      </x:c>
    </x:row>
    <x:row r="636">
      <x:c r="A636" s="20" t="str">
        <x:v>RUN-20270427-06</x:v>
      </x:c>
      <x:c r="B636" s="23" t="n">
        <x:v>46504</x:v>
      </x:c>
      <x:c r="C636" s="32" t="n">
        <x:v>6</x:v>
      </x:c>
      <x:c r="D636" s="20" t="str">
        <x:v>Field certification</x:v>
      </x:c>
      <x:c r="E636" s="20" t="str">
        <x:v>Property Manager</x:v>
      </x:c>
      <x:c r="F636" s="20" t="str">
        <x:v>Web</x:v>
      </x:c>
      <x:c r="G636" s="20" t="str">
        <x:v>Manual field-by-field</x:v>
      </x:c>
      <x:c r="H636" s="35" t="str">
        <x:v>Fill, save, reload, edit, and validate every declared field on /accounting</x:v>
      </x:c>
      <x:c r="I636" s="35" t="str">
        <x:v>FLD-0307; FLD-0308; FLD-0309</x:v>
      </x:c>
      <x:c r="J636" s="35" t="str"/>
      <x:c r="K636" s="35" t="str"/>
      <x:c r="L636" s="35" t="str">
        <x:v>Use the source-derived Field Inventory. Enter non-default realistic values in every control (transactionKindFilter; transaction-kind-filter; Select-3); submit; reload or relaunch; compare every value; edit each mutable field; verify the paired client; then run required, format, length, range, boundary, optional-null, and stale-submit checks.</x:v>
      </x:c>
      <x:c r="M636" s="35" t="str">
        <x:v>All 3 inventoried controls persist exact normalized values, invalid values stay unsaved with clear errors, and hidden/unauthorized fields cannot be altered.</x:v>
      </x:c>
      <x:c r="N636" s="35" t="str">
        <x:v>Before/after form screenshots; FLD IDs; API response; reloaded UI; paired-client read-back; database/audit evidence; negative validation result.</x:v>
      </x:c>
      <x:c r="O636" s="35" t="str">
        <x:v>Use a duplicate submit and one simulated network interruption; one atomic mutation or none, never partial state.</x:v>
      </x:c>
      <x:c r="P636" s="35" t="str">
        <x:v>All expected records and amounts match; no unexplained error or stale state.</x:v>
      </x:c>
    </x:row>
    <x:row r="637">
      <x:c r="A637" s="20" t="str">
        <x:v>RUN-20270427-07</x:v>
      </x:c>
      <x:c r="B637" s="23" t="n">
        <x:v>46504</x:v>
      </x:c>
      <x:c r="C637" s="32" t="n">
        <x:v>7</x:v>
      </x:c>
      <x:c r="D637" s="20" t="str">
        <x:v>Surface coverage</x:v>
      </x:c>
      <x:c r="E637" s="20" t="str">
        <x:v>Role appropriate to surface</x:v>
      </x:c>
      <x:c r="F637" s="20" t="str">
        <x:v>Mobile</x:v>
      </x:c>
      <x:c r="G637" s="20" t="str">
        <x:v>Scan/attachment</x:v>
      </x:c>
      <x:c r="H637" s="35" t="str">
        <x:v>Scan mobile pass: Addendum and financial effect</x:v>
      </x:c>
      <x:c r="I637" s="35" t="str">
        <x:v>COV-014</x:v>
      </x:c>
      <x:c r="J637" s="35" t="str"/>
      <x:c r="K637" s="35" t="str"/>
      <x:c r="L637" s="35" t="str">
        <x:v>Create pet addendum with recurring charge, issue/sign, verify effective billing, then supersede on renewal.</x:v>
      </x:c>
      <x:c r="M637" s="35" t="str">
        <x:v>The supported workflow completes and persists correctly; if the capability is absent, the exact gap is proven and queued rather than silently skipped.</x:v>
      </x:c>
      <x:c r="N637" s="35" t="str">
        <x:v>Real UI screenshot/state; submitted values; persisted read-back; cross-client read-back; audit/role/access evidence.</x:v>
      </x:c>
      <x:c r="O637" s="35" t="str">
        <x:v>Use one invalid value, stale-state retry, or duplicate submission relevant to the form; no partial or duplicate mutation.</x:v>
      </x:c>
      <x:c r="P637" s="35" t="str">
        <x:v>All expected records and amounts match; no unexplained error or stale state.</x:v>
      </x:c>
    </x:row>
    <x:row r="638">
      <x:c r="A638" s="20" t="str">
        <x:v>RUN-20270428-01</x:v>
      </x:c>
      <x:c r="B638" s="23" t="n">
        <x:v>46505</x:v>
      </x:c>
      <x:c r="C638" s="32" t="n">
        <x:v>1</x:v>
      </x:c>
      <x:c r="D638" s="20" t="str">
        <x:v>Field certification</x:v>
      </x:c>
      <x:c r="E638" s="20" t="str">
        <x:v>Property Manager</x:v>
      </x:c>
      <x:c r="F638" s="20" t="str">
        <x:v>Web</x:v>
      </x:c>
      <x:c r="G638" s="20" t="str">
        <x:v>Manual field-by-field</x:v>
      </x:c>
      <x:c r="H638" s="35" t="str">
        <x:v>Fill, save, reload, edit, and validate every declared field on /accounting</x:v>
      </x:c>
      <x:c r="I638" s="35" t="str">
        <x:v>FLD-0310; FLD-0311; FLD-0312; FLD-0313</x:v>
      </x:c>
      <x:c r="J638" s="35" t="str"/>
      <x:c r="K638" s="35" t="str"/>
      <x:c r="L638" s="35" t="str">
        <x:v>Use the source-derived Field Inventory. Enter non-default realistic values in every control (Select-4; Select-5; Select-6; Select-7); submit; reload or relaunch; compare every value; edit each mutable field; verify the paired client; then run required, format, length, range, boundary, optional-null, and stale-submit checks.</x:v>
      </x:c>
      <x:c r="M638" s="35" t="str">
        <x:v>All 4 inventoried controls persist exact normalized values, invalid values stay unsaved with clear errors, and hidden/unauthorized fields cannot be altered.</x:v>
      </x:c>
      <x:c r="N638" s="35" t="str">
        <x:v>Before/after form screenshots; FLD IDs; API response; reloaded UI; paired-client read-back; database/audit evidence; negative validation result.</x:v>
      </x:c>
      <x:c r="O638" s="35" t="str">
        <x:v>Use a duplicate submit and one simulated network interruption; one atomic mutation or none, never partial state.</x:v>
      </x:c>
      <x:c r="P638" s="35" t="str">
        <x:v>All expected records and amounts match; no unexplained error or stale state.</x:v>
      </x:c>
    </x:row>
    <x:row r="639">
      <x:c r="A639" s="20" t="str">
        <x:v>RUN-20270429-01</x:v>
      </x:c>
      <x:c r="B639" s="23" t="n">
        <x:v>46506</x:v>
      </x:c>
      <x:c r="C639" s="32" t="n">
        <x:v>1</x:v>
      </x:c>
      <x:c r="D639" s="20" t="str">
        <x:v>Role and screen certification</x:v>
      </x:c>
      <x:c r="E639" s="20" t="str">
        <x:v>Workspace Administrator</x:v>
      </x:c>
      <x:c r="F639" s="20" t="str">
        <x:v>Web</x:v>
      </x:c>
      <x:c r="G639" s="20" t="str">
        <x:v>Normal persona navigation</x:v>
      </x:c>
      <x:c r="H639" s="35" t="str">
        <x:v>Use every permitted action and state on /owners-report</x:v>
      </x:c>
      <x:c r="I639" s="35" t="str">
        <x:v>SCR-059; ROLE-088</x:v>
      </x:c>
      <x:c r="J639" s="35" t="str"/>
      <x:c r="K639" s="35" t="str"/>
      <x:c r="L63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39" s="35" t="str">
        <x:v>The persona can use every allowed action with only its assigned properties/relationships. Hidden or disabled actions explain why; an adjacent unauthorized persona is denied without metadata leakage.</x:v>
      </x:c>
      <x:c r="N639" s="35" t="str">
        <x:v>Persona/experience; navigation entry; desktop or device screenshots; result state; persisted read-back; audit/history; authorized and denied network result.</x:v>
      </x:c>
      <x:c r="O639" s="35" t="str">
        <x:v>Open the direct URL or deep link with an adjacent unauthorized persona and with stale scope; both fail closed and land safely without mutation.</x:v>
      </x:c>
      <x:c r="P639" s="35" t="str">
        <x:v>All expected records and amounts match; no unexplained error or stale state.</x:v>
      </x:c>
    </x:row>
    <x:row r="640">
      <x:c r="A640" s="20" t="str">
        <x:v>RUN-20270429-02</x:v>
      </x:c>
      <x:c r="B640" s="23" t="n">
        <x:v>46506</x:v>
      </x:c>
      <x:c r="C640" s="32" t="n">
        <x:v>2</x:v>
      </x:c>
      <x:c r="D640" s="20" t="str">
        <x:v>Role and screen certification</x:v>
      </x:c>
      <x:c r="E640" s="20" t="str">
        <x:v>Property Manager</x:v>
      </x:c>
      <x:c r="F640" s="20" t="str">
        <x:v>Web</x:v>
      </x:c>
      <x:c r="G640" s="20" t="str">
        <x:v>Normal persona navigation</x:v>
      </x:c>
      <x:c r="H640" s="35" t="str">
        <x:v>Use every permitted action and state on /owners-report</x:v>
      </x:c>
      <x:c r="I640" s="35" t="str">
        <x:v>SCR-059; ROLE-089</x:v>
      </x:c>
      <x:c r="J640" s="35" t="str"/>
      <x:c r="K640" s="35" t="str"/>
      <x:c r="L64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40" s="35" t="str">
        <x:v>The persona can use every allowed action with only its assigned properties/relationships. Hidden or disabled actions explain why; an adjacent unauthorized persona is denied without metadata leakage.</x:v>
      </x:c>
      <x:c r="N640" s="35" t="str">
        <x:v>Persona/experience; navigation entry; desktop or device screenshots; result state; persisted read-back; audit/history; authorized and denied network result.</x:v>
      </x:c>
      <x:c r="O640" s="35" t="str">
        <x:v>Open the direct URL or deep link with an adjacent unauthorized persona and with stale scope; both fail closed and land safely without mutation.</x:v>
      </x:c>
      <x:c r="P640" s="35" t="str">
        <x:v>All expected records and amounts match; no unexplained error or stale state.</x:v>
      </x:c>
    </x:row>
    <x:row r="641">
      <x:c r="A641" s="20" t="str">
        <x:v>RUN-20270429-03</x:v>
      </x:c>
      <x:c r="B641" s="23" t="n">
        <x:v>46506</x:v>
      </x:c>
      <x:c r="C641" s="32" t="n">
        <x:v>3</x:v>
      </x:c>
      <x:c r="D641" s="20" t="str">
        <x:v>Field certification</x:v>
      </x:c>
      <x:c r="E641" s="20" t="str">
        <x:v>Property Manager</x:v>
      </x:c>
      <x:c r="F641" s="20" t="str">
        <x:v>Web</x:v>
      </x:c>
      <x:c r="G641" s="20" t="str">
        <x:v>Manual field-by-field</x:v>
      </x:c>
      <x:c r="H641" s="35" t="str">
        <x:v>Fill, save, reload, edit, and validate every declared field on /accounting</x:v>
      </x:c>
      <x:c r="I641" s="35" t="str">
        <x:v>FLD-0314; FLD-0315; FLD-0316; FLD-0317; FLD-0318</x:v>
      </x:c>
      <x:c r="J641" s="35" t="str"/>
      <x:c r="K641" s="35" t="str"/>
      <x:c r="L641" s="35" t="str">
        <x:v>Use the source-derived Field Inventory. Enter non-default realistic values in every control (transactionStatusFilter; transaction-status-filter; Select-10; Select-11; Select-12); submit; reload or relaunch; compare every value; edit each mutable field; verify the paired client; then run required, format, length, range, boundary, optional-null, and stale-submit checks.</x:v>
      </x:c>
      <x:c r="M641" s="35" t="str">
        <x:v>All 5 inventoried controls persist exact normalized values, invalid values stay unsaved with clear errors, and hidden/unauthorized fields cannot be altered.</x:v>
      </x:c>
      <x:c r="N641" s="35" t="str">
        <x:v>Before/after form screenshots; FLD IDs; API response; reloaded UI; paired-client read-back; database/audit evidence; negative validation result.</x:v>
      </x:c>
      <x:c r="O641" s="35" t="str">
        <x:v>Use a duplicate submit and one simulated network interruption; one atomic mutation or none, never partial state.</x:v>
      </x:c>
      <x:c r="P641" s="35" t="str">
        <x:v>All expected records and amounts match; no unexplained error or stale state.</x:v>
      </x:c>
    </x:row>
    <x:row r="642">
      <x:c r="A642" s="20" t="str">
        <x:v>RUN-20270429-04</x:v>
      </x:c>
      <x:c r="B642" s="23" t="n">
        <x:v>46506</x:v>
      </x:c>
      <x:c r="C642" s="32" t="n">
        <x:v>4</x:v>
      </x:c>
      <x:c r="D642" s="20" t="str">
        <x:v>Surface coverage</x:v>
      </x:c>
      <x:c r="E642" s="20" t="str">
        <x:v>Role appropriate to surface</x:v>
      </x:c>
      <x:c r="F642" s="20" t="str">
        <x:v>Web</x:v>
      </x:c>
      <x:c r="G642" s="20" t="str">
        <x:v>Manual</x:v>
      </x:c>
      <x:c r="H642" s="35" t="str">
        <x:v>Manual web pass: Renewal, month-to-month, successor agreement</x:v>
      </x:c>
      <x:c r="I642" s="35" t="str">
        <x:v>COV-015</x:v>
      </x:c>
      <x:c r="J642" s="35" t="str"/>
      <x:c r="K642" s="35" t="str"/>
      <x:c r="L642" s="35" t="str">
        <x:v>Create future renewal, preserve current governing agreement, test month-to-month and successor timing.</x:v>
      </x:c>
      <x:c r="M642" s="35" t="str">
        <x:v>The supported workflow completes and persists correctly; if the capability is absent, the exact gap is proven and queued rather than silently skipped.</x:v>
      </x:c>
      <x:c r="N642" s="35" t="str">
        <x:v>Real UI screenshot/state; submitted values; persisted read-back; cross-client read-back; audit/role/access evidence.</x:v>
      </x:c>
      <x:c r="O642" s="35" t="str">
        <x:v>Use one invalid value, stale-state retry, or duplicate submission relevant to the form; no partial or duplicate mutation.</x:v>
      </x:c>
      <x:c r="P642" s="35" t="str">
        <x:v>All expected records and amounts match; no unexplained error or stale state.</x:v>
      </x:c>
    </x:row>
    <x:row r="643">
      <x:c r="A643" s="20" t="str">
        <x:v>RUN-20270430-01</x:v>
      </x:c>
      <x:c r="B643" s="23" t="n">
        <x:v>46507</x:v>
      </x:c>
      <x:c r="C643" s="32" t="n">
        <x:v>1</x:v>
      </x:c>
      <x:c r="D643" s="20" t="str">
        <x:v>Monthly close</x:v>
      </x:c>
      <x:c r="E643" s="20" t="str">
        <x:v>Workspace Administrator</x:v>
      </x:c>
      <x:c r="F643" s="20" t="str">
        <x:v>Web + Mobile</x:v>
      </x:c>
      <x:c r="G643" s="20" t="str">
        <x:v>Scan/import + reconciliation</x:v>
      </x:c>
      <x:c r="H643" s="35" t="str">
        <x:v>April bank reconciliation and close</x:v>
      </x:c>
      <x:c r="I643" s="35" t="str">
        <x:v>Operating account 4242; deposit trust account 1818; reserve account 7070</x:v>
      </x:c>
      <x:c r="J643" s="35" t="str">
        <x:v>SCN-0556</x:v>
      </x:c>
      <x:c r="K643" s="35" t="str"/>
      <x:c r="L643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643" s="35" t="str">
        <x:v>Bank ending cash, AR, deposit trust/liability, loan balance, income, expense, and net operating result match the oracle with zero unexplained variance.</x:v>
      </x:c>
      <x:c r="N643" s="35" t="str">
        <x:v>Bank reconciliation; accounting summary; P&amp;L; cash flow; rent roll/ledger; deposits; delinquency; owner statements; audit export.</x:v>
      </x:c>
      <x:c r="O643" s="35" t="str">
        <x:v>Try one duplicate bank transaction and one date-filter boundary; prove DB-side totals and idempotent matching.</x:v>
      </x:c>
      <x:c r="P643" s="35" t="str">
        <x:v>All monthly checks are OK or a reproducible bug is captured before advancing the clock.</x:v>
      </x:c>
    </x:row>
    <x:row r="644">
      <x:c r="A644" s="20" t="str">
        <x:v>RUN-20270430-02</x:v>
      </x:c>
      <x:c r="B644" s="23" t="n">
        <x:v>46507</x:v>
      </x:c>
      <x:c r="C644" s="32" t="n">
        <x:v>2</x:v>
      </x:c>
      <x:c r="D644" s="20" t="str">
        <x:v>Role and screen certification</x:v>
      </x:c>
      <x:c r="E644" s="20" t="str">
        <x:v>Workspace Administrator</x:v>
      </x:c>
      <x:c r="F644" s="20" t="str">
        <x:v>Web</x:v>
      </x:c>
      <x:c r="G644" s="20" t="str">
        <x:v>Normal persona navigation</x:v>
      </x:c>
      <x:c r="H644" s="35" t="str">
        <x:v>Use every permitted action and state on /plaid/auth</x:v>
      </x:c>
      <x:c r="I644" s="35" t="str">
        <x:v>SCR-060; ROLE-090</x:v>
      </x:c>
      <x:c r="J644" s="35" t="str"/>
      <x:c r="K644" s="35" t="str"/>
      <x:c r="L64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44" s="35" t="str">
        <x:v>The persona can use every allowed action with only its assigned properties/relationships. Hidden or disabled actions explain why; an adjacent unauthorized persona is denied without metadata leakage.</x:v>
      </x:c>
      <x:c r="N644" s="35" t="str">
        <x:v>Persona/experience; navigation entry; desktop or device screenshots; result state; persisted read-back; audit/history; authorized and denied network result.</x:v>
      </x:c>
      <x:c r="O644" s="35" t="str">
        <x:v>Open the direct URL or deep link with an adjacent unauthorized persona and with stale scope; both fail closed and land safely without mutation.</x:v>
      </x:c>
      <x:c r="P644" s="35" t="str">
        <x:v>All expected records and amounts match; no unexplained error or stale state.</x:v>
      </x:c>
    </x:row>
    <x:row r="645">
      <x:c r="A645" s="20" t="str">
        <x:v>RUN-20270430-03</x:v>
      </x:c>
      <x:c r="B645" s="23" t="n">
        <x:v>46507</x:v>
      </x:c>
      <x:c r="C645" s="32" t="n">
        <x:v>3</x:v>
      </x:c>
      <x:c r="D645" s="20" t="str">
        <x:v>Field certification</x:v>
      </x:c>
      <x:c r="E645" s="20" t="str">
        <x:v>Property Manager</x:v>
      </x:c>
      <x:c r="F645" s="20" t="str">
        <x:v>Web</x:v>
      </x:c>
      <x:c r="G645" s="20" t="str">
        <x:v>Manual field-by-field</x:v>
      </x:c>
      <x:c r="H645" s="35" t="str">
        <x:v>Fill, save, reload, edit, and validate every declared field on /accounting</x:v>
      </x:c>
      <x:c r="I645" s="35" t="str">
        <x:v>FLD-0319; FLD-0320; FLD-0321; FLD-0322</x:v>
      </x:c>
      <x:c r="J645" s="35" t="str"/>
      <x:c r="K645" s="35" t="str"/>
      <x:c r="L645" s="35" t="str">
        <x:v>Use the source-derived Field Inventory. Enter non-default realistic values in every control (transactionCategoryFilter; transaction-category-filter; Select-15; Select-16); submit; reload or relaunch; compare every value; edit each mutable field; verify the paired client; then run required, format, length, range, boundary, optional-null, and stale-submit checks.</x:v>
      </x:c>
      <x:c r="M645" s="35" t="str">
        <x:v>All 4 inventoried controls persist exact normalized values, invalid values stay unsaved with clear errors, and hidden/unauthorized fields cannot be altered.</x:v>
      </x:c>
      <x:c r="N645" s="35" t="str">
        <x:v>Before/after form screenshots; FLD IDs; API response; reloaded UI; paired-client read-back; database/audit evidence; negative validation result.</x:v>
      </x:c>
      <x:c r="O645" s="35" t="str">
        <x:v>Use a duplicate submit and one simulated network interruption; one atomic mutation or none, never partial state.</x:v>
      </x:c>
      <x:c r="P645" s="35" t="str">
        <x:v>All expected records and amounts match; no unexplained error or stale state.</x:v>
      </x:c>
    </x:row>
    <x:row r="646">
      <x:c r="A646" s="20" t="str">
        <x:v>RUN-20270430-04</x:v>
      </x:c>
      <x:c r="B646" s="23" t="n">
        <x:v>46507</x:v>
      </x:c>
      <x:c r="C646" s="32" t="n">
        <x:v>4</x:v>
      </x:c>
      <x:c r="D646" s="20" t="str">
        <x:v>Notification certification</x:v>
      </x:c>
      <x:c r="E646" s="20" t="str">
        <x:v>All participants</x:v>
      </x:c>
      <x:c r="F646" s="20" t="str">
        <x:v>Web + Mobile</x:v>
      </x:c>
      <x:c r="G646" s="20" t="str">
        <x:v>System event + preference/manual verification</x:v>
      </x:c>
      <x:c r="H646" s="35" t="str">
        <x:v>Trigger and prove notification: Appointment rescheduled</x:v>
      </x:c>
      <x:c r="I646" s="35" t="str">
        <x:v>NTF-015</x:v>
      </x:c>
      <x:c r="J646" s="35" t="str"/>
      <x:c r="K646" s="35" t="str"/>
      <x:c r="L646" s="35" t="str">
        <x:v>Set each recipient's preferences; trigger the real business event; inspect routing and recipient scope; verify unread badge, list item, safe preview, appointment deep link, mark-read sync, configured channel outcome, provider failure/retry, and duplicate suppression.</x:v>
      </x:c>
      <x:c r="M646" s="35" t="str">
        <x:v>Exactly the intended recipients receive one correctly routed notification; disabled optional channels stay silent; deep link opens authorized context; read state synchronizes.</x:v>
      </x:c>
      <x:c r="N646" s="35" t="str">
        <x:v>Trigger record; routing decision; outbox/delivery status; web/mobile inbox; lock-screen-safe copy; deep-link target; audit/provider retry evidence.</x:v>
      </x:c>
      <x:c r="O646" s="35" t="str">
        <x:v>Re-run the worker and deliver a duplicate provider callback; no duplicate user-visible event. Attempt the deep link as an unauthorized adjacent role.</x:v>
      </x:c>
      <x:c r="P646" s="35" t="str">
        <x:v>All expected records and amounts match; no unexplained error or stale state.</x:v>
      </x:c>
    </x:row>
    <x:row r="647">
      <x:c r="A647" s="20" t="str">
        <x:v>RUN-20270430-05</x:v>
      </x:c>
      <x:c r="B647" s="23" t="n">
        <x:v>46507</x:v>
      </x:c>
      <x:c r="C647" s="32" t="n">
        <x:v>5</x:v>
      </x:c>
      <x:c r="D647" s="20" t="str">
        <x:v>Surface coverage</x:v>
      </x:c>
      <x:c r="E647" s="20" t="str">
        <x:v>Role appropriate to surface</x:v>
      </x:c>
      <x:c r="F647" s="20" t="str">
        <x:v>Mobile</x:v>
      </x:c>
      <x:c r="G647" s="20" t="str">
        <x:v>Manual</x:v>
      </x:c>
      <x:c r="H647" s="35" t="str">
        <x:v>Manual mobile pass: Renewal, month-to-month, successor agreement</x:v>
      </x:c>
      <x:c r="I647" s="35" t="str">
        <x:v>COV-015</x:v>
      </x:c>
      <x:c r="J647" s="35" t="str"/>
      <x:c r="K647" s="35" t="str"/>
      <x:c r="L647" s="35" t="str">
        <x:v>Create future renewal, preserve current governing agreement, test month-to-month and successor timing.</x:v>
      </x:c>
      <x:c r="M647" s="35" t="str">
        <x:v>The supported workflow completes and persists correctly; if the capability is absent, the exact gap is proven and queued rather than silently skipped.</x:v>
      </x:c>
      <x:c r="N647" s="35" t="str">
        <x:v>Real UI screenshot/state; submitted values; persisted read-back; cross-client read-back; audit/role/access evidence.</x:v>
      </x:c>
      <x:c r="O647" s="35" t="str">
        <x:v>Use one invalid value, stale-state retry, or duplicate submission relevant to the form; no partial or duplicate mutation.</x:v>
      </x:c>
      <x:c r="P647" s="35" t="str">
        <x:v>All expected records and amounts match; no unexplained error or stale state.</x:v>
      </x:c>
    </x:row>
    <x:row r="648">
      <x:c r="A648" s="20" t="str">
        <x:v>RUN-20270501-01</x:v>
      </x:c>
      <x:c r="B648" s="23" t="n">
        <x:v>46508</x:v>
      </x:c>
      <x:c r="C648" s="32" t="n">
        <x:v>1</x:v>
      </x:c>
      <x:c r="D648" s="20" t="str">
        <x:v>Monthly operations</x:v>
      </x:c>
      <x:c r="E648" s="20" t="str">
        <x:v>Workspace Administrator</x:v>
      </x:c>
      <x:c r="F648" s="20" t="str">
        <x:v>Web + Mobile</x:v>
      </x:c>
      <x:c r="G648" s="20" t="str">
        <x:v>System automation + reconciliation</x:v>
      </x:c>
      <x:c r="H648" s="35" t="str">
        <x:v>May recurring rent generation</x:v>
      </x:c>
      <x:c r="I648" s="35" t="str">
        <x:v>38 active tenant accounts</x:v>
      </x:c>
      <x:c r="J648" s="35" t="str"/>
      <x:c r="K648" s="35" t="str">
        <x:v>FIN-00335; FIN-00337; FIN-00339; FIN-00341; FIN-00343; FIN-00345; FIN-00347; FIN-00349; FIN-00351; FIN-00353; FIN-00357; FIN-00359; FIN-00362; FIN-00364; FIN-00366; FIN-00368; FIN-00370; FIN-00372; FIN-00374; FIN-00376; FIN-00378; FIN-00382; FIN-00384; FIN-00386; FIN-00388; FIN-00391; FIN-00393; FIN-00395; FIN-00397; FIN-00399; FIN-00401; FIN-00403; FIN-00407; FIN-00409; FIN-00411; FIN-00413; FIN-00415; FIN-00417</x:v>
      </x:c>
      <x:c r="L648" s="35" t="str">
        <x:v>Advance the simulation clock to 08:00 local; run or wait for scheduled finance worker; compare generated charges to active governing agreements, start dates, proration, and unique billing-period keys.</x:v>
      </x:c>
      <x:c r="M648" s="35" t="str">
        <x:v>Exactly 38 rent charges are posted once; mid-month starts prorate; ended leases do not receive future charges.</x:v>
      </x:c>
      <x:c r="N648" s="35" t="str">
        <x:v>Worker status; charge list; month rent-roll export; sampled Unit/Lease/portal balances; SQL query evidence.</x:v>
      </x:c>
      <x:c r="O648" s="35" t="str">
        <x:v>Run the finance worker a second time and prove no duplicate charge; inject one failure and prove charge/audit/outbox atomic rollback.</x:v>
      </x:c>
      <x:c r="P648" s="35" t="str">
        <x:v>All expected records and amounts match; no unexplained error or stale state.</x:v>
      </x:c>
    </x:row>
    <x:row r="649">
      <x:c r="A649" s="20" t="str">
        <x:v>RUN-20270502-01</x:v>
      </x:c>
      <x:c r="B649" s="23" t="n">
        <x:v>46509</x:v>
      </x:c>
      <x:c r="C649" s="32" t="n">
        <x:v>1</x:v>
      </x:c>
      <x:c r="D649" s="20" t="str">
        <x:v>Leasing</x:v>
      </x:c>
      <x:c r="E649" s="20" t="str">
        <x:v>Leasing Agent</x:v>
      </x:c>
      <x:c r="F649" s="20" t="str">
        <x:v>Web + Mobile</x:v>
      </x:c>
      <x:c r="G649" s="20" t="str">
        <x:v>Manual lifecycle command</x:v>
      </x:c>
      <x:c r="H649" s="35" t="str">
        <x:v>Approve application and prepare move-in</x:v>
      </x:c>
      <x:c r="I649" s="35" t="str">
        <x:v>L045; U039; T045</x:v>
      </x:c>
      <x:c r="J649" s="35" t="str"/>
      <x:c r="K649" s="35" t="str"/>
      <x:c r="L649" s="35" t="str">
        <x:v>Approve the selected application; run Prepare move-in; confirm parties, planned possession, rent, deposit, Tenant Account, and initial Agreement draft; invite portal access under policy.</x:v>
      </x:c>
      <x:c r="M649" s="35" t="str">
        <x:v>One planned LeaseManagement, party set, account, and agreement draft commit atomically; Unit is move-in scheduled, not occupied.</x:v>
      </x:c>
      <x:c r="N649" s="35" t="str">
        <x:v>Application decision; Unit state; parties; account; draft; portal invitation; atomic audit.</x:v>
      </x:c>
      <x:c r="O649" s="35" t="str">
        <x:v>Inject failure at the former save boundary and prove no partial relationship/account/agreement remains.</x:v>
      </x:c>
      <x:c r="P649" s="35" t="str">
        <x:v>All expected records and amounts match; no unexplained error or stale state.</x:v>
      </x:c>
    </x:row>
    <x:row r="650">
      <x:c r="A650" s="20" t="str">
        <x:v>RUN-20270503-01</x:v>
      </x:c>
      <x:c r="B650" s="23" t="n">
        <x:v>46510</x:v>
      </x:c>
      <x:c r="C650" s="32" t="n">
        <x:v>1</x:v>
      </x:c>
      <x:c r="D650" s="20" t="str">
        <x:v>Monthly operations</x:v>
      </x:c>
      <x:c r="E650" s="20" t="str">
        <x:v>Property Manager</x:v>
      </x:c>
      <x:c r="F650" s="20" t="str">
        <x:v>Mobile</x:v>
      </x:c>
      <x:c r="G650" s="20" t="str">
        <x:v>Portal card</x:v>
      </x:c>
      <x:c r="H650" s="35" t="str">
        <x:v>Post and allocate tenant receipt</x:v>
      </x:c>
      <x:c r="I650" s="35" t="str">
        <x:v>P003; U003; L003</x:v>
      </x:c>
      <x:c r="J650" s="35" t="str"/>
      <x:c r="K650" s="35" t="str">
        <x:v>FIN-00339; FIN-00340</x:v>
      </x:c>
      <x:c r="L650" s="35" t="str">
        <x:v>Open Scan for paper payment or the tenant-account receipt form for electronic payment; verify tenant/lease match, amount, date, method, and reference; confirm once; open ledger detail and allocation.</x:v>
      </x:c>
      <x:c r="M650" s="35" t="str">
        <x:v>Receipt is append-only, allocated once to the correct rent charge, and visible consistently in Unit, Lease, Tenant Account, Accounting, and portal views.</x:v>
      </x:c>
      <x:c r="N650" s="35" t="str">
        <x:v>Scan review or form; success result; exact ledger rows; payment detail; accounting delta; portal receipt.</x:v>
      </x:c>
      <x:c r="O650" s="35" t="str">
        <x:v>Retry the idempotency key once during the quarter assigned in the coverage matrix; no duplicate cash or allocation.</x:v>
      </x:c>
      <x:c r="P650" s="35" t="str">
        <x:v>All expected records and amounts match; no unexplained error or stale state.</x:v>
      </x:c>
    </x:row>
    <x:row r="651">
      <x:c r="A651" s="20" t="str">
        <x:v>RUN-20270503-02</x:v>
      </x:c>
      <x:c r="B651" s="23" t="n">
        <x:v>46510</x:v>
      </x:c>
      <x:c r="C651" s="32" t="n">
        <x:v>2</x:v>
      </x:c>
      <x:c r="D651" s="20" t="str">
        <x:v>Monthly operations</x:v>
      </x:c>
      <x:c r="E651" s="20" t="str">
        <x:v>Property Manager</x:v>
      </x:c>
      <x:c r="F651" s="20" t="str">
        <x:v>Web</x:v>
      </x:c>
      <x:c r="G651" s="20" t="str">
        <x:v>Manual ACH</x:v>
      </x:c>
      <x:c r="H651" s="35" t="str">
        <x:v>Post and allocate tenant receipt</x:v>
      </x:c>
      <x:c r="I651" s="35" t="str">
        <x:v>P006; U006; L006</x:v>
      </x:c>
      <x:c r="J651" s="35" t="str"/>
      <x:c r="K651" s="35" t="str">
        <x:v>FIN-00343; FIN-00344</x:v>
      </x:c>
      <x:c r="L651" s="35" t="str">
        <x:v>Open Scan for paper payment or the tenant-account receipt form for electronic payment; verify tenant/lease match, amount, date, method, and reference; confirm once; open ledger detail and allocation.</x:v>
      </x:c>
      <x:c r="M651" s="35" t="str">
        <x:v>Receipt is append-only, allocated once to the correct rent charge, and visible consistently in Unit, Lease, Tenant Account, Accounting, and portal views.</x:v>
      </x:c>
      <x:c r="N651" s="35" t="str">
        <x:v>Scan review or form; success result; exact ledger rows; payment detail; accounting delta; portal receipt.</x:v>
      </x:c>
      <x:c r="O651" s="35" t="str">
        <x:v>Retry the idempotency key once during the quarter assigned in the coverage matrix; no duplicate cash or allocation.</x:v>
      </x:c>
      <x:c r="P651" s="35" t="str">
        <x:v>All expected records and amounts match; no unexplained error or stale state.</x:v>
      </x:c>
    </x:row>
    <x:row r="652">
      <x:c r="A652" s="20" t="str">
        <x:v>RUN-20270503-03</x:v>
      </x:c>
      <x:c r="B652" s="23" t="n">
        <x:v>46510</x:v>
      </x:c>
      <x:c r="C652" s="32" t="n">
        <x:v>3</x:v>
      </x:c>
      <x:c r="D652" s="20" t="str">
        <x:v>Monthly operations</x:v>
      </x:c>
      <x:c r="E652" s="20" t="str">
        <x:v>Property Manager</x:v>
      </x:c>
      <x:c r="F652" s="20" t="str">
        <x:v>Mobile</x:v>
      </x:c>
      <x:c r="G652" s="20" t="str">
        <x:v>Scanned money order</x:v>
      </x:c>
      <x:c r="H652" s="35" t="str">
        <x:v>Post and allocate tenant receipt</x:v>
      </x:c>
      <x:c r="I652" s="35" t="str">
        <x:v>P009; U009; L009</x:v>
      </x:c>
      <x:c r="J652" s="35" t="str">
        <x:v>SCN-0174</x:v>
      </x:c>
      <x:c r="K652" s="35" t="str">
        <x:v>FIN-00349; FIN-00350</x:v>
      </x:c>
      <x:c r="L652" s="35" t="str">
        <x:v>Open Scan for paper payment or the tenant-account receipt form for electronic payment; verify tenant/lease match, amount, date, method, and reference; confirm once; open ledger detail and allocation.</x:v>
      </x:c>
      <x:c r="M652" s="35" t="str">
        <x:v>Receipt is append-only, allocated once to the correct rent charge, and visible consistently in Unit, Lease, Tenant Account, Accounting, and portal views.</x:v>
      </x:c>
      <x:c r="N652" s="35" t="str">
        <x:v>Scan review or form; success result; exact ledger rows; payment detail; accounting delta; portal receipt.</x:v>
      </x:c>
      <x:c r="O652" s="35" t="str">
        <x:v>Retry the idempotency key once during the quarter assigned in the coverage matrix; no duplicate cash or allocation.</x:v>
      </x:c>
      <x:c r="P652" s="35" t="str">
        <x:v>All expected records and amounts match; no unexplained error or stale state.</x:v>
      </x:c>
    </x:row>
    <x:row r="653">
      <x:c r="A653" s="20" t="str">
        <x:v>RUN-20270503-04</x:v>
      </x:c>
      <x:c r="B653" s="23" t="n">
        <x:v>46510</x:v>
      </x:c>
      <x:c r="C653" s="32" t="n">
        <x:v>4</x:v>
      </x:c>
      <x:c r="D653" s="20" t="str">
        <x:v>Monthly operations</x:v>
      </x:c>
      <x:c r="E653" s="20" t="str">
        <x:v>Property Manager</x:v>
      </x:c>
      <x:c r="F653" s="20" t="str">
        <x:v>Mobile</x:v>
      </x:c>
      <x:c r="G653" s="20" t="str">
        <x:v>Portal card</x:v>
      </x:c>
      <x:c r="H653" s="35" t="str">
        <x:v>Post and allocate tenant receipt</x:v>
      </x:c>
      <x:c r="I653" s="35" t="str">
        <x:v>P011; U011; L011</x:v>
      </x:c>
      <x:c r="J653" s="35" t="str"/>
      <x:c r="K653" s="35" t="str">
        <x:v>FIN-00353; FIN-00354</x:v>
      </x:c>
      <x:c r="L653" s="35" t="str">
        <x:v>Open Scan for paper payment or the tenant-account receipt form for electronic payment; verify tenant/lease match, amount, date, method, and reference; confirm once; open ledger detail and allocation.</x:v>
      </x:c>
      <x:c r="M653" s="35" t="str">
        <x:v>Receipt is append-only, allocated once to the correct rent charge, and visible consistently in Unit, Lease, Tenant Account, Accounting, and portal views.</x:v>
      </x:c>
      <x:c r="N653" s="35" t="str">
        <x:v>Scan review or form; success result; exact ledger rows; payment detail; accounting delta; portal receipt.</x:v>
      </x:c>
      <x:c r="O653" s="35" t="str">
        <x:v>Retry the idempotency key once during the quarter assigned in the coverage matrix; no duplicate cash or allocation.</x:v>
      </x:c>
      <x:c r="P653" s="35" t="str">
        <x:v>All expected records and amounts match; no unexplained error or stale state.</x:v>
      </x:c>
    </x:row>
    <x:row r="654">
      <x:c r="A654" s="20" t="str">
        <x:v>RUN-20270503-05</x:v>
      </x:c>
      <x:c r="B654" s="23" t="n">
        <x:v>46510</x:v>
      </x:c>
      <x:c r="C654" s="32" t="n">
        <x:v>5</x:v>
      </x:c>
      <x:c r="D654" s="20" t="str">
        <x:v>Monthly operations</x:v>
      </x:c>
      <x:c r="E654" s="20" t="str">
        <x:v>Property Manager</x:v>
      </x:c>
      <x:c r="F654" s="20" t="str">
        <x:v>Web</x:v>
      </x:c>
      <x:c r="G654" s="20" t="str">
        <x:v>Scanned check</x:v>
      </x:c>
      <x:c r="H654" s="35" t="str">
        <x:v>Post and allocate tenant receipt</x:v>
      </x:c>
      <x:c r="I654" s="35" t="str">
        <x:v>P012; U012; L012</x:v>
      </x:c>
      <x:c r="J654" s="35" t="str">
        <x:v>SCN-0176</x:v>
      </x:c>
      <x:c r="K654" s="35" t="str">
        <x:v>FIN-00357; FIN-00358</x:v>
      </x:c>
      <x:c r="L654" s="35" t="str">
        <x:v>Open Scan for paper payment or the tenant-account receipt form for electronic payment; verify tenant/lease match, amount, date, method, and reference; confirm once; open ledger detail and allocation.</x:v>
      </x:c>
      <x:c r="M654" s="35" t="str">
        <x:v>Receipt is append-only, allocated once to the correct rent charge, and visible consistently in Unit, Lease, Tenant Account, Accounting, and portal views.</x:v>
      </x:c>
      <x:c r="N654" s="35" t="str">
        <x:v>Scan review or form; success result; exact ledger rows; payment detail; accounting delta; portal receipt.</x:v>
      </x:c>
      <x:c r="O654" s="35" t="str">
        <x:v>Retry the idempotency key once during the quarter assigned in the coverage matrix; no duplicate cash or allocation.</x:v>
      </x:c>
      <x:c r="P654" s="35" t="str">
        <x:v>All expected records and amounts match; no unexplained error or stale state.</x:v>
      </x:c>
    </x:row>
    <x:row r="655">
      <x:c r="A655" s="20" t="str">
        <x:v>RUN-20270503-06</x:v>
      </x:c>
      <x:c r="B655" s="23" t="n">
        <x:v>46510</x:v>
      </x:c>
      <x:c r="C655" s="32" t="n">
        <x:v>6</x:v>
      </x:c>
      <x:c r="D655" s="20" t="str">
        <x:v>Monthly operations</x:v>
      </x:c>
      <x:c r="E655" s="20" t="str">
        <x:v>Property Manager</x:v>
      </x:c>
      <x:c r="F655" s="20" t="str">
        <x:v>Mobile</x:v>
      </x:c>
      <x:c r="G655" s="20" t="str">
        <x:v>Portal card</x:v>
      </x:c>
      <x:c r="H655" s="35" t="str">
        <x:v>Post and allocate tenant receipt</x:v>
      </x:c>
      <x:c r="I655" s="35" t="str">
        <x:v>P015; U015; L015</x:v>
      </x:c>
      <x:c r="J655" s="35" t="str"/>
      <x:c r="K655" s="35" t="str">
        <x:v>FIN-00364; FIN-00365</x:v>
      </x:c>
      <x:c r="L655" s="35" t="str">
        <x:v>Open Scan for paper payment or the tenant-account receipt form for electronic payment; verify tenant/lease match, amount, date, method, and reference; confirm once; open ledger detail and allocation.</x:v>
      </x:c>
      <x:c r="M655" s="35" t="str">
        <x:v>Receipt is append-only, allocated once to the correct rent charge, and visible consistently in Unit, Lease, Tenant Account, Accounting, and portal views.</x:v>
      </x:c>
      <x:c r="N655" s="35" t="str">
        <x:v>Scan review or form; success result; exact ledger rows; payment detail; accounting delta; portal receipt.</x:v>
      </x:c>
      <x:c r="O655" s="35" t="str">
        <x:v>Retry the idempotency key once during the quarter assigned in the coverage matrix; no duplicate cash or allocation.</x:v>
      </x:c>
      <x:c r="P655" s="35" t="str">
        <x:v>All expected records and amounts match; no unexplained error or stale state.</x:v>
      </x:c>
    </x:row>
    <x:row r="656">
      <x:c r="A656" s="20" t="str">
        <x:v>RUN-20270503-07</x:v>
      </x:c>
      <x:c r="B656" s="23" t="n">
        <x:v>46510</x:v>
      </x:c>
      <x:c r="C656" s="32" t="n">
        <x:v>7</x:v>
      </x:c>
      <x:c r="D656" s="20" t="str">
        <x:v>Monthly operations</x:v>
      </x:c>
      <x:c r="E656" s="20" t="str">
        <x:v>Property Manager</x:v>
      </x:c>
      <x:c r="F656" s="20" t="str">
        <x:v>Web</x:v>
      </x:c>
      <x:c r="G656" s="20" t="str">
        <x:v>Manual ACH</x:v>
      </x:c>
      <x:c r="H656" s="35" t="str">
        <x:v>Post and allocate tenant receipt</x:v>
      </x:c>
      <x:c r="I656" s="35" t="str">
        <x:v>P018; U018; L018</x:v>
      </x:c>
      <x:c r="J656" s="35" t="str"/>
      <x:c r="K656" s="35" t="str">
        <x:v>FIN-00370; FIN-00371</x:v>
      </x:c>
      <x:c r="L656" s="35" t="str">
        <x:v>Open Scan for paper payment or the tenant-account receipt form for electronic payment; verify tenant/lease match, amount, date, method, and reference; confirm once; open ledger detail and allocation.</x:v>
      </x:c>
      <x:c r="M656" s="35" t="str">
        <x:v>Receipt is append-only, allocated once to the correct rent charge, and visible consistently in Unit, Lease, Tenant Account, Accounting, and portal views.</x:v>
      </x:c>
      <x:c r="N656" s="35" t="str">
        <x:v>Scan review or form; success result; exact ledger rows; payment detail; accounting delta; portal receipt.</x:v>
      </x:c>
      <x:c r="O656" s="35" t="str">
        <x:v>Retry the idempotency key once during the quarter assigned in the coverage matrix; no duplicate cash or allocation.</x:v>
      </x:c>
      <x:c r="P656" s="35" t="str">
        <x:v>All expected records and amounts match; no unexplained error or stale state.</x:v>
      </x:c>
    </x:row>
    <x:row r="657">
      <x:c r="A657" s="20" t="str">
        <x:v>RUN-20270503-08</x:v>
      </x:c>
      <x:c r="B657" s="23" t="n">
        <x:v>46510</x:v>
      </x:c>
      <x:c r="C657" s="32" t="n">
        <x:v>8</x:v>
      </x:c>
      <x:c r="D657" s="20" t="str">
        <x:v>Monthly operations</x:v>
      </x:c>
      <x:c r="E657" s="20" t="str">
        <x:v>Property Manager</x:v>
      </x:c>
      <x:c r="F657" s="20" t="str">
        <x:v>Mobile</x:v>
      </x:c>
      <x:c r="G657" s="20" t="str">
        <x:v>Scanned money order</x:v>
      </x:c>
      <x:c r="H657" s="35" t="str">
        <x:v>Post and allocate tenant receipt</x:v>
      </x:c>
      <x:c r="I657" s="35" t="str">
        <x:v>P021; U021; L021</x:v>
      </x:c>
      <x:c r="J657" s="35" t="str">
        <x:v>SCN-0181</x:v>
      </x:c>
      <x:c r="K657" s="35" t="str">
        <x:v>FIN-00376; FIN-00377</x:v>
      </x:c>
      <x:c r="L657" s="35" t="str">
        <x:v>Open Scan for paper payment or the tenant-account receipt form for electronic payment; verify tenant/lease match, amount, date, method, and reference; confirm once; open ledger detail and allocation.</x:v>
      </x:c>
      <x:c r="M657" s="35" t="str">
        <x:v>Receipt is append-only, allocated once to the correct rent charge, and visible consistently in Unit, Lease, Tenant Account, Accounting, and portal views.</x:v>
      </x:c>
      <x:c r="N657" s="35" t="str">
        <x:v>Scan review or form; success result; exact ledger rows; payment detail; accounting delta; portal receipt.</x:v>
      </x:c>
      <x:c r="O657" s="35" t="str">
        <x:v>Retry the idempotency key once during the quarter assigned in the coverage matrix; no duplicate cash or allocation.</x:v>
      </x:c>
      <x:c r="P657" s="35" t="str">
        <x:v>All expected records and amounts match; no unexplained error or stale state.</x:v>
      </x:c>
    </x:row>
    <x:row r="658">
      <x:c r="A658" s="20" t="str">
        <x:v>RUN-20270503-09</x:v>
      </x:c>
      <x:c r="B658" s="23" t="n">
        <x:v>46510</x:v>
      </x:c>
      <x:c r="C658" s="32" t="n">
        <x:v>9</x:v>
      </x:c>
      <x:c r="D658" s="20" t="str">
        <x:v>Monthly operations</x:v>
      </x:c>
      <x:c r="E658" s="20" t="str">
        <x:v>Property Manager</x:v>
      </x:c>
      <x:c r="F658" s="20" t="str">
        <x:v>Web</x:v>
      </x:c>
      <x:c r="G658" s="20" t="str">
        <x:v>Manual ACH</x:v>
      </x:c>
      <x:c r="H658" s="35" t="str">
        <x:v>Post and allocate tenant receipt</x:v>
      </x:c>
      <x:c r="I658" s="35" t="str">
        <x:v>P021; U022; L022</x:v>
      </x:c>
      <x:c r="J658" s="35" t="str"/>
      <x:c r="K658" s="35" t="str">
        <x:v>FIN-00378; FIN-00379</x:v>
      </x:c>
      <x:c r="L658" s="35" t="str">
        <x:v>Open Scan for paper payment or the tenant-account receipt form for electronic payment; verify tenant/lease match, amount, date, method, and reference; confirm once; open ledger detail and allocation.</x:v>
      </x:c>
      <x:c r="M658" s="35" t="str">
        <x:v>Receipt is append-only, allocated once to the correct rent charge, and visible consistently in Unit, Lease, Tenant Account, Accounting, and portal views.</x:v>
      </x:c>
      <x:c r="N658" s="35" t="str">
        <x:v>Scan review or form; success result; exact ledger rows; payment detail; accounting delta; portal receipt.</x:v>
      </x:c>
      <x:c r="O658" s="35" t="str">
        <x:v>Retry the idempotency key once during the quarter assigned in the coverage matrix; no duplicate cash or allocation.</x:v>
      </x:c>
      <x:c r="P658" s="35" t="str">
        <x:v>All expected records and amounts match; no unexplained error or stale state.</x:v>
      </x:c>
    </x:row>
    <x:row r="659">
      <x:c r="A659" s="20" t="str">
        <x:v>RUN-20270503-10</x:v>
      </x:c>
      <x:c r="B659" s="23" t="n">
        <x:v>46510</x:v>
      </x:c>
      <x:c r="C659" s="32" t="n">
        <x:v>10</x:v>
      </x:c>
      <x:c r="D659" s="20" t="str">
        <x:v>Monthly operations</x:v>
      </x:c>
      <x:c r="E659" s="20" t="str">
        <x:v>Property Manager</x:v>
      </x:c>
      <x:c r="F659" s="20" t="str">
        <x:v>Web</x:v>
      </x:c>
      <x:c r="G659" s="20" t="str">
        <x:v>Scanned check</x:v>
      </x:c>
      <x:c r="H659" s="35" t="str">
        <x:v>Post and allocate tenant receipt</x:v>
      </x:c>
      <x:c r="I659" s="35" t="str">
        <x:v>P022; U024; L024</x:v>
      </x:c>
      <x:c r="J659" s="35" t="str">
        <x:v>SCN-0183</x:v>
      </x:c>
      <x:c r="K659" s="35" t="str">
        <x:v>FIN-00384; FIN-00385</x:v>
      </x:c>
      <x:c r="L659" s="35" t="str">
        <x:v>Open Scan for paper payment or the tenant-account receipt form for electronic payment; verify tenant/lease match, amount, date, method, and reference; confirm once; open ledger detail and allocation.</x:v>
      </x:c>
      <x:c r="M659" s="35" t="str">
        <x:v>Receipt is append-only, allocated once to the correct rent charge, and visible consistently in Unit, Lease, Tenant Account, Accounting, and portal views.</x:v>
      </x:c>
      <x:c r="N659" s="35" t="str">
        <x:v>Scan review or form; success result; exact ledger rows; payment detail; accounting delta; portal receipt.</x:v>
      </x:c>
      <x:c r="O659" s="35" t="str">
        <x:v>Retry the idempotency key once during the quarter assigned in the coverage matrix; no duplicate cash or allocation.</x:v>
      </x:c>
      <x:c r="P659" s="35" t="str">
        <x:v>All expected records and amounts match; no unexplained error or stale state.</x:v>
      </x:c>
    </x:row>
    <x:row r="660">
      <x:c r="A660" s="20" t="str">
        <x:v>RUN-20270503-11</x:v>
      </x:c>
      <x:c r="B660" s="23" t="n">
        <x:v>46510</x:v>
      </x:c>
      <x:c r="C660" s="32" t="n">
        <x:v>11</x:v>
      </x:c>
      <x:c r="D660" s="20" t="str">
        <x:v>Monthly operations</x:v>
      </x:c>
      <x:c r="E660" s="20" t="str">
        <x:v>Property Manager</x:v>
      </x:c>
      <x:c r="F660" s="20" t="str">
        <x:v>Mobile</x:v>
      </x:c>
      <x:c r="G660" s="20" t="str">
        <x:v>Portal card</x:v>
      </x:c>
      <x:c r="H660" s="35" t="str">
        <x:v>Post and allocate tenant receipt</x:v>
      </x:c>
      <x:c r="I660" s="35" t="str">
        <x:v>P024; U027; L027</x:v>
      </x:c>
      <x:c r="J660" s="35" t="str"/>
      <x:c r="K660" s="35" t="str">
        <x:v>FIN-00391; FIN-00392</x:v>
      </x:c>
      <x:c r="L660" s="35" t="str">
        <x:v>Open Scan for paper payment or the tenant-account receipt form for electronic payment; verify tenant/lease match, amount, date, method, and reference; confirm once; open ledger detail and allocation.</x:v>
      </x:c>
      <x:c r="M660" s="35" t="str">
        <x:v>Receipt is append-only, allocated once to the correct rent charge, and visible consistently in Unit, Lease, Tenant Account, Accounting, and portal views.</x:v>
      </x:c>
      <x:c r="N660" s="35" t="str">
        <x:v>Scan review or form; success result; exact ledger rows; payment detail; accounting delta; portal receipt.</x:v>
      </x:c>
      <x:c r="O660" s="35" t="str">
        <x:v>Retry the idempotency key once during the quarter assigned in the coverage matrix; no duplicate cash or allocation.</x:v>
      </x:c>
      <x:c r="P660" s="35" t="str">
        <x:v>All expected records and amounts match; no unexplained error or stale state.</x:v>
      </x:c>
    </x:row>
    <x:row r="661">
      <x:c r="A661" s="20" t="str">
        <x:v>RUN-20270503-12</x:v>
      </x:c>
      <x:c r="B661" s="23" t="n">
        <x:v>46510</x:v>
      </x:c>
      <x:c r="C661" s="32" t="n">
        <x:v>12</x:v>
      </x:c>
      <x:c r="D661" s="20" t="str">
        <x:v>Monthly operations</x:v>
      </x:c>
      <x:c r="E661" s="20" t="str">
        <x:v>Property Manager</x:v>
      </x:c>
      <x:c r="F661" s="20" t="str">
        <x:v>Web</x:v>
      </x:c>
      <x:c r="G661" s="20" t="str">
        <x:v>Manual ACH</x:v>
      </x:c>
      <x:c r="H661" s="35" t="str">
        <x:v>Post and allocate tenant receipt</x:v>
      </x:c>
      <x:c r="I661" s="35" t="str">
        <x:v>P025; U030; L030</x:v>
      </x:c>
      <x:c r="J661" s="35" t="str"/>
      <x:c r="K661" s="35" t="str">
        <x:v>FIN-00397; FIN-00398</x:v>
      </x:c>
      <x:c r="L661" s="35" t="str">
        <x:v>Open Scan for paper payment or the tenant-account receipt form for electronic payment; verify tenant/lease match, amount, date, method, and reference; confirm once; open ledger detail and allocation.</x:v>
      </x:c>
      <x:c r="M661" s="35" t="str">
        <x:v>Receipt is append-only, allocated once to the correct rent charge, and visible consistently in Unit, Lease, Tenant Account, Accounting, and portal views.</x:v>
      </x:c>
      <x:c r="N661" s="35" t="str">
        <x:v>Scan review or form; success result; exact ledger rows; payment detail; accounting delta; portal receipt.</x:v>
      </x:c>
      <x:c r="O661" s="35" t="str">
        <x:v>Retry the idempotency key once during the quarter assigned in the coverage matrix; no duplicate cash or allocation.</x:v>
      </x:c>
      <x:c r="P661" s="35" t="str">
        <x:v>All expected records and amounts match; no unexplained error or stale state.</x:v>
      </x:c>
    </x:row>
    <x:row r="662">
      <x:c r="A662" s="20" t="str">
        <x:v>RUN-20270503-13</x:v>
      </x:c>
      <x:c r="B662" s="23" t="n">
        <x:v>46510</x:v>
      </x:c>
      <x:c r="C662" s="32" t="n">
        <x:v>13</x:v>
      </x:c>
      <x:c r="D662" s="20" t="str">
        <x:v>Monthly operations</x:v>
      </x:c>
      <x:c r="E662" s="20" t="str">
        <x:v>Property Manager</x:v>
      </x:c>
      <x:c r="F662" s="20" t="str">
        <x:v>Mobile</x:v>
      </x:c>
      <x:c r="G662" s="20" t="str">
        <x:v>Scanned money order</x:v>
      </x:c>
      <x:c r="H662" s="35" t="str">
        <x:v>Post and allocate tenant receipt</x:v>
      </x:c>
      <x:c r="I662" s="35" t="str">
        <x:v>P027; U033; L033</x:v>
      </x:c>
      <x:c r="J662" s="35" t="str">
        <x:v>SCN-0189</x:v>
      </x:c>
      <x:c r="K662" s="35" t="str">
        <x:v>FIN-00403; FIN-00404</x:v>
      </x:c>
      <x:c r="L662" s="35" t="str">
        <x:v>Open Scan for paper payment or the tenant-account receipt form for electronic payment; verify tenant/lease match, amount, date, method, and reference; confirm once; open ledger detail and allocation.</x:v>
      </x:c>
      <x:c r="M662" s="35" t="str">
        <x:v>Receipt is append-only, allocated once to the correct rent charge, and visible consistently in Unit, Lease, Tenant Account, Accounting, and portal views.</x:v>
      </x:c>
      <x:c r="N662" s="35" t="str">
        <x:v>Scan review or form; success result; exact ledger rows; payment detail; accounting delta; portal receipt.</x:v>
      </x:c>
      <x:c r="O662" s="35" t="str">
        <x:v>Retry the idempotency key once during the quarter assigned in the coverage matrix; no duplicate cash or allocation.</x:v>
      </x:c>
      <x:c r="P662" s="35" t="str">
        <x:v>All expected records and amounts match; no unexplained error or stale state.</x:v>
      </x:c>
    </x:row>
    <x:row r="663">
      <x:c r="A663" s="20" t="str">
        <x:v>RUN-20270503-14</x:v>
      </x:c>
      <x:c r="B663" s="23" t="n">
        <x:v>46510</x:v>
      </x:c>
      <x:c r="C663" s="32" t="n">
        <x:v>14</x:v>
      </x:c>
      <x:c r="D663" s="20" t="str">
        <x:v>Monthly operations</x:v>
      </x:c>
      <x:c r="E663" s="20" t="str">
        <x:v>Property Manager</x:v>
      </x:c>
      <x:c r="F663" s="20" t="str">
        <x:v>Web</x:v>
      </x:c>
      <x:c r="G663" s="20" t="str">
        <x:v>Scanned check</x:v>
      </x:c>
      <x:c r="H663" s="35" t="str">
        <x:v>Post and allocate tenant receipt</x:v>
      </x:c>
      <x:c r="I663" s="35" t="str">
        <x:v>P028; U036; L036</x:v>
      </x:c>
      <x:c r="J663" s="35" t="str">
        <x:v>SCN-0190</x:v>
      </x:c>
      <x:c r="K663" s="35" t="str">
        <x:v>FIN-00411; FIN-00412</x:v>
      </x:c>
      <x:c r="L663" s="35" t="str">
        <x:v>Open Scan for paper payment or the tenant-account receipt form for electronic payment; verify tenant/lease match, amount, date, method, and reference; confirm once; open ledger detail and allocation.</x:v>
      </x:c>
      <x:c r="M663" s="35" t="str">
        <x:v>Receipt is append-only, allocated once to the correct rent charge, and visible consistently in Unit, Lease, Tenant Account, Accounting, and portal views.</x:v>
      </x:c>
      <x:c r="N663" s="35" t="str">
        <x:v>Scan review or form; success result; exact ledger rows; payment detail; accounting delta; portal receipt.</x:v>
      </x:c>
      <x:c r="O663" s="35" t="str">
        <x:v>Retry the idempotency key once during the quarter assigned in the coverage matrix; no duplicate cash or allocation.</x:v>
      </x:c>
      <x:c r="P663" s="35" t="str">
        <x:v>All expected records and amounts match; no unexplained error or stale state.</x:v>
      </x:c>
    </x:row>
    <x:row r="664">
      <x:c r="A664" s="20" t="str">
        <x:v>RUN-20270503-15</x:v>
      </x:c>
      <x:c r="B664" s="23" t="n">
        <x:v>46510</x:v>
      </x:c>
      <x:c r="C664" s="32" t="n">
        <x:v>15</x:v>
      </x:c>
      <x:c r="D664" s="20" t="str">
        <x:v>Monthly operations</x:v>
      </x:c>
      <x:c r="E664" s="20" t="str">
        <x:v>Property Manager</x:v>
      </x:c>
      <x:c r="F664" s="20" t="str">
        <x:v>Web</x:v>
      </x:c>
      <x:c r="G664" s="20" t="str">
        <x:v>Scanned check</x:v>
      </x:c>
      <x:c r="H664" s="35" t="str">
        <x:v>Post and allocate tenant receipt</x:v>
      </x:c>
      <x:c r="I664" s="35" t="str">
        <x:v>P029; U038; L044</x:v>
      </x:c>
      <x:c r="J664" s="35" t="str">
        <x:v>SCN-0192</x:v>
      </x:c>
      <x:c r="K664" s="35" t="str">
        <x:v>FIN-00417; FIN-00418</x:v>
      </x:c>
      <x:c r="L664" s="35" t="str">
        <x:v>Open Scan for paper payment or the tenant-account receipt form for electronic payment; verify tenant/lease match, amount, date, method, and reference; confirm once; open ledger detail and allocation.</x:v>
      </x:c>
      <x:c r="M664" s="35" t="str">
        <x:v>Receipt is append-only, allocated once to the correct rent charge, and visible consistently in Unit, Lease, Tenant Account, Accounting, and portal views.</x:v>
      </x:c>
      <x:c r="N664" s="35" t="str">
        <x:v>Scan review or form; success result; exact ledger rows; payment detail; accounting delta; portal receipt.</x:v>
      </x:c>
      <x:c r="O664" s="35" t="str">
        <x:v>Retry the idempotency key once during the quarter assigned in the coverage matrix; no duplicate cash or allocation.</x:v>
      </x:c>
      <x:c r="P664" s="35" t="str">
        <x:v>All expected records and amounts match; no unexplained error or stale state.</x:v>
      </x:c>
    </x:row>
    <x:row r="665">
      <x:c r="A665" s="20" t="str">
        <x:v>RUN-20270503-16</x:v>
      </x:c>
      <x:c r="B665" s="23" t="n">
        <x:v>46510</x:v>
      </x:c>
      <x:c r="C665" s="32" t="n">
        <x:v>16</x:v>
      </x:c>
      <x:c r="D665" s="20" t="str">
        <x:v>Weekly operations</x:v>
      </x:c>
      <x:c r="E665" s="20" t="str">
        <x:v>Property Manager</x:v>
      </x:c>
      <x:c r="F665" s="20" t="str">
        <x:v>Web</x:v>
      </x:c>
      <x:c r="G665" s="20" t="str">
        <x:v>Scan-first</x:v>
      </x:c>
      <x:c r="H665" s="35" t="str">
        <x:v>Create and triage maintenance request</x:v>
      </x:c>
      <x:c r="I665" s="35" t="str">
        <x:v>P007; U007; WO-2027-018</x:v>
      </x:c>
      <x:c r="J665" s="35" t="str">
        <x:v>SCN-0378</x:v>
      </x:c>
      <x:c r="K665" s="35" t="str"/>
      <x:c r="L665" s="35" t="str">
        <x:v>Capture the tenant note/photo; review loose outlet; confirm; set responsibility; dispatch SafeHome Locksmith; create an appointment and verify the tenant notification.</x:v>
      </x:c>
      <x:c r="M665" s="35" t="str">
        <x:v>Work order, status timeline, responsibility, vendor dispatch, appointment, notification, and Unit context are linked once.</x:v>
      </x:c>
      <x:c r="N665" s="35" t="str">
        <x:v>Scan review; work order detail/timeline; dispatch; appointment; notification; tenant portal view.</x:v>
      </x:c>
      <x:c r="O665" s="35" t="str">
        <x:v>Cancel one dispatch each quarter, reassign once, and prove status/history remains append-only.</x:v>
      </x:c>
      <x:c r="P665" s="35" t="str">
        <x:v>All expected records and amounts match; no unexplained error or stale state.</x:v>
      </x:c>
    </x:row>
    <x:row r="666">
      <x:c r="A666" s="20" t="str">
        <x:v>RUN-20270503-17</x:v>
      </x:c>
      <x:c r="B666" s="23" t="n">
        <x:v>46510</x:v>
      </x:c>
      <x:c r="C666" s="32" t="n">
        <x:v>17</x:v>
      </x:c>
      <x:c r="D666" s="20" t="str">
        <x:v>Role and screen certification</x:v>
      </x:c>
      <x:c r="E666" s="20" t="str">
        <x:v>Leasing Agent</x:v>
      </x:c>
      <x:c r="F666" s="20" t="str">
        <x:v>Web</x:v>
      </x:c>
      <x:c r="G666" s="20" t="str">
        <x:v>Normal persona navigation</x:v>
      </x:c>
      <x:c r="H666" s="35" t="str">
        <x:v>Use every permitted action and state on /profile</x:v>
      </x:c>
      <x:c r="I666" s="35" t="str">
        <x:v>SCR-061; ROLE-091</x:v>
      </x:c>
      <x:c r="J666" s="35" t="str"/>
      <x:c r="K666" s="35" t="str"/>
      <x:c r="L66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66" s="35" t="str">
        <x:v>The persona can use every allowed action with only its assigned properties/relationships. Hidden or disabled actions explain why; an adjacent unauthorized persona is denied without metadata leakage.</x:v>
      </x:c>
      <x:c r="N666" s="35" t="str">
        <x:v>Persona/experience; navigation entry; desktop or device screenshots; result state; persisted read-back; audit/history; authorized and denied network result.</x:v>
      </x:c>
      <x:c r="O666" s="35" t="str">
        <x:v>Open the direct URL or deep link with an adjacent unauthorized persona and with stale scope; both fail closed and land safely without mutation.</x:v>
      </x:c>
      <x:c r="P666" s="35" t="str">
        <x:v>All expected records and amounts match; no unexplained error or stale state.</x:v>
      </x:c>
    </x:row>
    <x:row r="667">
      <x:c r="A667" s="20" t="str">
        <x:v>RUN-20270503-18</x:v>
      </x:c>
      <x:c r="B667" s="23" t="n">
        <x:v>46510</x:v>
      </x:c>
      <x:c r="C667" s="32" t="n">
        <x:v>18</x:v>
      </x:c>
      <x:c r="D667" s="20" t="str">
        <x:v>Role and screen certification</x:v>
      </x:c>
      <x:c r="E667" s="20" t="str">
        <x:v>Maintenance Technician</x:v>
      </x:c>
      <x:c r="F667" s="20" t="str">
        <x:v>Web</x:v>
      </x:c>
      <x:c r="G667" s="20" t="str">
        <x:v>Normal persona navigation</x:v>
      </x:c>
      <x:c r="H667" s="35" t="str">
        <x:v>Use every permitted action and state on /profile</x:v>
      </x:c>
      <x:c r="I667" s="35" t="str">
        <x:v>SCR-061; ROLE-092</x:v>
      </x:c>
      <x:c r="J667" s="35" t="str"/>
      <x:c r="K667" s="35" t="str"/>
      <x:c r="L66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67" s="35" t="str">
        <x:v>The persona can use every allowed action with only its assigned properties/relationships. Hidden or disabled actions explain why; an adjacent unauthorized persona is denied without metadata leakage.</x:v>
      </x:c>
      <x:c r="N667" s="35" t="str">
        <x:v>Persona/experience; navigation entry; desktop or device screenshots; result state; persisted read-back; audit/history; authorized and denied network result.</x:v>
      </x:c>
      <x:c r="O667" s="35" t="str">
        <x:v>Open the direct URL or deep link with an adjacent unauthorized persona and with stale scope; both fail closed and land safely without mutation.</x:v>
      </x:c>
      <x:c r="P667" s="35" t="str">
        <x:v>All expected records and amounts match; no unexplained error or stale state.</x:v>
      </x:c>
    </x:row>
    <x:row r="668">
      <x:c r="A668" s="20" t="str">
        <x:v>RUN-20270503-19</x:v>
      </x:c>
      <x:c r="B668" s="23" t="n">
        <x:v>46510</x:v>
      </x:c>
      <x:c r="C668" s="32" t="n">
        <x:v>19</x:v>
      </x:c>
      <x:c r="D668" s="20" t="str">
        <x:v>Field certification</x:v>
      </x:c>
      <x:c r="E668" s="20" t="str">
        <x:v>Property Manager</x:v>
      </x:c>
      <x:c r="F668" s="20" t="str">
        <x:v>Web</x:v>
      </x:c>
      <x:c r="G668" s="20" t="str">
        <x:v>Manual field-by-field</x:v>
      </x:c>
      <x:c r="H668" s="35" t="str">
        <x:v>Fill, save, reload, edit, and validate every declared field on /accounting</x:v>
      </x:c>
      <x:c r="I668" s="35" t="str">
        <x:v>FLD-0323; FLD-0324; FLD-0325; FLD-0326; FLD-0327</x:v>
      </x:c>
      <x:c r="J668" s="35" t="str"/>
      <x:c r="K668" s="35" t="str"/>
      <x:c r="L668" s="35" t="str">
        <x:v>Use the source-derived Field Inventory. Enter non-default realistic values in every control (Select-17; expense-description-input; expense-amount-input; expense-subtotal-input; expense-tax-input); submit; reload or relaunch; compare every value; edit each mutable field; verify the paired client; then run required, format, length, range, boundary, optional-null, and stale-submit checks.</x:v>
      </x:c>
      <x:c r="M668" s="35" t="str">
        <x:v>All 5 inventoried controls persist exact normalized values, invalid values stay unsaved with clear errors, and hidden/unauthorized fields cannot be altered.</x:v>
      </x:c>
      <x:c r="N668" s="35" t="str">
        <x:v>Before/after form screenshots; FLD IDs; API response; reloaded UI; paired-client read-back; database/audit evidence; negative validation result.</x:v>
      </x:c>
      <x:c r="O668" s="35" t="str">
        <x:v>Use a duplicate submit and one simulated network interruption; one atomic mutation or none, never partial state.</x:v>
      </x:c>
      <x:c r="P668" s="35" t="str">
        <x:v>All expected records and amounts match; no unexplained error or stale state.</x:v>
      </x:c>
    </x:row>
    <x:row r="669">
      <x:c r="A669" s="20" t="str">
        <x:v>RUN-20270504-01</x:v>
      </x:c>
      <x:c r="B669" s="23" t="n">
        <x:v>46511</x:v>
      </x:c>
      <x:c r="C669" s="32" t="n">
        <x:v>1</x:v>
      </x:c>
      <x:c r="D669" s="20" t="str">
        <x:v>Monthly operations</x:v>
      </x:c>
      <x:c r="E669" s="20" t="str">
        <x:v>Property Manager</x:v>
      </x:c>
      <x:c r="F669" s="20" t="str">
        <x:v>Mobile</x:v>
      </x:c>
      <x:c r="G669" s="20" t="str">
        <x:v>Scanned money order</x:v>
      </x:c>
      <x:c r="H669" s="35" t="str">
        <x:v>Post and allocate tenant receipt</x:v>
      </x:c>
      <x:c r="I669" s="35" t="str">
        <x:v>P001; U001; L001</x:v>
      </x:c>
      <x:c r="J669" s="35" t="str">
        <x:v>SCN-0171</x:v>
      </x:c>
      <x:c r="K669" s="35" t="str">
        <x:v>FIN-00335; FIN-00336</x:v>
      </x:c>
      <x:c r="L669" s="35" t="str">
        <x:v>Open Scan for paper payment or the tenant-account receipt form for electronic payment; verify tenant/lease match, amount, date, method, and reference; confirm once; open ledger detail and allocation.</x:v>
      </x:c>
      <x:c r="M669" s="35" t="str">
        <x:v>Receipt is append-only, allocated once to the correct rent charge, and visible consistently in Unit, Lease, Tenant Account, Accounting, and portal views.</x:v>
      </x:c>
      <x:c r="N669" s="35" t="str">
        <x:v>Scan review or form; success result; exact ledger rows; payment detail; accounting delta; portal receipt.</x:v>
      </x:c>
      <x:c r="O669" s="35" t="str">
        <x:v>Retry the idempotency key once during the quarter assigned in the coverage matrix; no duplicate cash or allocation.</x:v>
      </x:c>
      <x:c r="P669" s="35" t="str">
        <x:v>All expected records and amounts match; no unexplained error or stale state.</x:v>
      </x:c>
    </x:row>
    <x:row r="670">
      <x:c r="A670" s="20" t="str">
        <x:v>RUN-20270504-02</x:v>
      </x:c>
      <x:c r="B670" s="23" t="n">
        <x:v>46511</x:v>
      </x:c>
      <x:c r="C670" s="32" t="n">
        <x:v>2</x:v>
      </x:c>
      <x:c r="D670" s="20" t="str">
        <x:v>Monthly operations</x:v>
      </x:c>
      <x:c r="E670" s="20" t="str">
        <x:v>Property Manager</x:v>
      </x:c>
      <x:c r="F670" s="20" t="str">
        <x:v>Web</x:v>
      </x:c>
      <x:c r="G670" s="20" t="str">
        <x:v>Scanned check</x:v>
      </x:c>
      <x:c r="H670" s="35" t="str">
        <x:v>Post and allocate tenant receipt</x:v>
      </x:c>
      <x:c r="I670" s="35" t="str">
        <x:v>P004; U004; L004</x:v>
      </x:c>
      <x:c r="J670" s="35" t="str">
        <x:v>SCN-0172</x:v>
      </x:c>
      <x:c r="K670" s="35" t="str">
        <x:v>FIN-00341; FIN-00342</x:v>
      </x:c>
      <x:c r="L670" s="35" t="str">
        <x:v>Open Scan for paper payment or the tenant-account receipt form for electronic payment; verify tenant/lease match, amount, date, method, and reference; confirm once; open ledger detail and allocation.</x:v>
      </x:c>
      <x:c r="M670" s="35" t="str">
        <x:v>Receipt is append-only, allocated once to the correct rent charge, and visible consistently in Unit, Lease, Tenant Account, Accounting, and portal views.</x:v>
      </x:c>
      <x:c r="N670" s="35" t="str">
        <x:v>Scan review or form; success result; exact ledger rows; payment detail; accounting delta; portal receipt.</x:v>
      </x:c>
      <x:c r="O670" s="35" t="str">
        <x:v>Retry the idempotency key once during the quarter assigned in the coverage matrix; no duplicate cash or allocation.</x:v>
      </x:c>
      <x:c r="P670" s="35" t="str">
        <x:v>All expected records and amounts match; no unexplained error or stale state.</x:v>
      </x:c>
    </x:row>
    <x:row r="671">
      <x:c r="A671" s="20" t="str">
        <x:v>RUN-20270504-03</x:v>
      </x:c>
      <x:c r="B671" s="23" t="n">
        <x:v>46511</x:v>
      </x:c>
      <x:c r="C671" s="32" t="n">
        <x:v>3</x:v>
      </x:c>
      <x:c r="D671" s="20" t="str">
        <x:v>Monthly operations</x:v>
      </x:c>
      <x:c r="E671" s="20" t="str">
        <x:v>Property Manager</x:v>
      </x:c>
      <x:c r="F671" s="20" t="str">
        <x:v>Mobile</x:v>
      </x:c>
      <x:c r="G671" s="20" t="str">
        <x:v>Portal card</x:v>
      </x:c>
      <x:c r="H671" s="35" t="str">
        <x:v>Post and allocate tenant receipt</x:v>
      </x:c>
      <x:c r="I671" s="35" t="str">
        <x:v>P007; U007; L007</x:v>
      </x:c>
      <x:c r="J671" s="35" t="str"/>
      <x:c r="K671" s="35" t="str">
        <x:v>FIN-00345; FIN-00346</x:v>
      </x:c>
      <x:c r="L671" s="35" t="str">
        <x:v>Open Scan for paper payment or the tenant-account receipt form for electronic payment; verify tenant/lease match, amount, date, method, and reference; confirm once; open ledger detail and allocation.</x:v>
      </x:c>
      <x:c r="M671" s="35" t="str">
        <x:v>Receipt is append-only, allocated once to the correct rent charge, and visible consistently in Unit, Lease, Tenant Account, Accounting, and portal views.</x:v>
      </x:c>
      <x:c r="N671" s="35" t="str">
        <x:v>Scan review or form; success result; exact ledger rows; payment detail; accounting delta; portal receipt.</x:v>
      </x:c>
      <x:c r="O671" s="35" t="str">
        <x:v>Retry the idempotency key once during the quarter assigned in the coverage matrix; no duplicate cash or allocation.</x:v>
      </x:c>
      <x:c r="P671" s="35" t="str">
        <x:v>All expected records and amounts match; no unexplained error or stale state.</x:v>
      </x:c>
    </x:row>
    <x:row r="672">
      <x:c r="A672" s="20" t="str">
        <x:v>RUN-20270504-04</x:v>
      </x:c>
      <x:c r="B672" s="23" t="n">
        <x:v>46511</x:v>
      </x:c>
      <x:c r="C672" s="32" t="n">
        <x:v>4</x:v>
      </x:c>
      <x:c r="D672" s="20" t="str">
        <x:v>Monthly operations</x:v>
      </x:c>
      <x:c r="E672" s="20" t="str">
        <x:v>Property Manager</x:v>
      </x:c>
      <x:c r="F672" s="20" t="str">
        <x:v>Web</x:v>
      </x:c>
      <x:c r="G672" s="20" t="str">
        <x:v>Manual ACH</x:v>
      </x:c>
      <x:c r="H672" s="35" t="str">
        <x:v>Post and allocate tenant receipt</x:v>
      </x:c>
      <x:c r="I672" s="35" t="str">
        <x:v>P010; U010; L010</x:v>
      </x:c>
      <x:c r="J672" s="35" t="str"/>
      <x:c r="K672" s="35" t="str">
        <x:v>FIN-00351; FIN-00352</x:v>
      </x:c>
      <x:c r="L672" s="35" t="str">
        <x:v>Open Scan for paper payment or the tenant-account receipt form for electronic payment; verify tenant/lease match, amount, date, method, and reference; confirm once; open ledger detail and allocation.</x:v>
      </x:c>
      <x:c r="M672" s="35" t="str">
        <x:v>Receipt is append-only, allocated once to the correct rent charge, and visible consistently in Unit, Lease, Tenant Account, Accounting, and portal views.</x:v>
      </x:c>
      <x:c r="N672" s="35" t="str">
        <x:v>Scan review or form; success result; exact ledger rows; payment detail; accounting delta; portal receipt.</x:v>
      </x:c>
      <x:c r="O672" s="35" t="str">
        <x:v>Retry the idempotency key once during the quarter assigned in the coverage matrix; no duplicate cash or allocation.</x:v>
      </x:c>
      <x:c r="P672" s="35" t="str">
        <x:v>All expected records and amounts match; no unexplained error or stale state.</x:v>
      </x:c>
    </x:row>
    <x:row r="673">
      <x:c r="A673" s="20" t="str">
        <x:v>RUN-20270504-05</x:v>
      </x:c>
      <x:c r="B673" s="23" t="n">
        <x:v>46511</x:v>
      </x:c>
      <x:c r="C673" s="32" t="n">
        <x:v>5</x:v>
      </x:c>
      <x:c r="D673" s="20" t="str">
        <x:v>Monthly operations</x:v>
      </x:c>
      <x:c r="E673" s="20" t="str">
        <x:v>Property Manager</x:v>
      </x:c>
      <x:c r="F673" s="20" t="str">
        <x:v>Web</x:v>
      </x:c>
      <x:c r="G673" s="20" t="str">
        <x:v>Scanned check</x:v>
      </x:c>
      <x:c r="H673" s="35" t="str">
        <x:v>Post and allocate tenant receipt</x:v>
      </x:c>
      <x:c r="I673" s="35" t="str">
        <x:v>P016; U016; L016</x:v>
      </x:c>
      <x:c r="J673" s="35" t="str">
        <x:v>SCN-0178</x:v>
      </x:c>
      <x:c r="K673" s="35" t="str">
        <x:v>FIN-00366; FIN-00367</x:v>
      </x:c>
      <x:c r="L673" s="35" t="str">
        <x:v>Open Scan for paper payment or the tenant-account receipt form for electronic payment; verify tenant/lease match, amount, date, method, and reference; confirm once; open ledger detail and allocation.</x:v>
      </x:c>
      <x:c r="M673" s="35" t="str">
        <x:v>Receipt is append-only, allocated once to the correct rent charge, and visible consistently in Unit, Lease, Tenant Account, Accounting, and portal views.</x:v>
      </x:c>
      <x:c r="N673" s="35" t="str">
        <x:v>Scan review or form; success result; exact ledger rows; payment detail; accounting delta; portal receipt.</x:v>
      </x:c>
      <x:c r="O673" s="35" t="str">
        <x:v>Retry the idempotency key once during the quarter assigned in the coverage matrix; no duplicate cash or allocation.</x:v>
      </x:c>
      <x:c r="P673" s="35" t="str">
        <x:v>All expected records and amounts match; no unexplained error or stale state.</x:v>
      </x:c>
    </x:row>
    <x:row r="674">
      <x:c r="A674" s="20" t="str">
        <x:v>RUN-20270504-06</x:v>
      </x:c>
      <x:c r="B674" s="23" t="n">
        <x:v>46511</x:v>
      </x:c>
      <x:c r="C674" s="32" t="n">
        <x:v>6</x:v>
      </x:c>
      <x:c r="D674" s="20" t="str">
        <x:v>Monthly operations</x:v>
      </x:c>
      <x:c r="E674" s="20" t="str">
        <x:v>Property Manager</x:v>
      </x:c>
      <x:c r="F674" s="20" t="str">
        <x:v>Mobile</x:v>
      </x:c>
      <x:c r="G674" s="20" t="str">
        <x:v>Portal card</x:v>
      </x:c>
      <x:c r="H674" s="35" t="str">
        <x:v>Post and allocate tenant receipt</x:v>
      </x:c>
      <x:c r="I674" s="35" t="str">
        <x:v>P019; U019; L019</x:v>
      </x:c>
      <x:c r="J674" s="35" t="str"/>
      <x:c r="K674" s="35" t="str">
        <x:v>FIN-00372; FIN-00373</x:v>
      </x:c>
      <x:c r="L674" s="35" t="str">
        <x:v>Open Scan for paper payment or the tenant-account receipt form for electronic payment; verify tenant/lease match, amount, date, method, and reference; confirm once; open ledger detail and allocation.</x:v>
      </x:c>
      <x:c r="M674" s="35" t="str">
        <x:v>Receipt is append-only, allocated once to the correct rent charge, and visible consistently in Unit, Lease, Tenant Account, Accounting, and portal views.</x:v>
      </x:c>
      <x:c r="N674" s="35" t="str">
        <x:v>Scan review or form; success result; exact ledger rows; payment detail; accounting delta; portal receipt.</x:v>
      </x:c>
      <x:c r="O674" s="35" t="str">
        <x:v>Retry the idempotency key once during the quarter assigned in the coverage matrix; no duplicate cash or allocation.</x:v>
      </x:c>
      <x:c r="P674" s="35" t="str">
        <x:v>All expected records and amounts match; no unexplained error or stale state.</x:v>
      </x:c>
    </x:row>
    <x:row r="675">
      <x:c r="A675" s="20" t="str">
        <x:v>RUN-20270504-07</x:v>
      </x:c>
      <x:c r="B675" s="23" t="n">
        <x:v>46511</x:v>
      </x:c>
      <x:c r="C675" s="32" t="n">
        <x:v>7</x:v>
      </x:c>
      <x:c r="D675" s="20" t="str">
        <x:v>Monthly operations</x:v>
      </x:c>
      <x:c r="E675" s="20" t="str">
        <x:v>Property Manager</x:v>
      </x:c>
      <x:c r="F675" s="20" t="str">
        <x:v>Mobile</x:v>
      </x:c>
      <x:c r="G675" s="20" t="str">
        <x:v>Scanned money order</x:v>
      </x:c>
      <x:c r="H675" s="35" t="str">
        <x:v>Post and allocate tenant receipt</x:v>
      </x:c>
      <x:c r="I675" s="35" t="str">
        <x:v>P023; U025; L025</x:v>
      </x:c>
      <x:c r="J675" s="35" t="str">
        <x:v>SCN-0184</x:v>
      </x:c>
      <x:c r="K675" s="35" t="str">
        <x:v>FIN-00386; FIN-00387</x:v>
      </x:c>
      <x:c r="L675" s="35" t="str">
        <x:v>Open Scan for paper payment or the tenant-account receipt form for electronic payment; verify tenant/lease match, amount, date, method, and reference; confirm once; open ledger detail and allocation.</x:v>
      </x:c>
      <x:c r="M675" s="35" t="str">
        <x:v>Receipt is append-only, allocated once to the correct rent charge, and visible consistently in Unit, Lease, Tenant Account, Accounting, and portal views.</x:v>
      </x:c>
      <x:c r="N675" s="35" t="str">
        <x:v>Scan review or form; success result; exact ledger rows; payment detail; accounting delta; portal receipt.</x:v>
      </x:c>
      <x:c r="O675" s="35" t="str">
        <x:v>Retry the idempotency key once during the quarter assigned in the coverage matrix; no duplicate cash or allocation.</x:v>
      </x:c>
      <x:c r="P675" s="35" t="str">
        <x:v>All expected records and amounts match; no unexplained error or stale state.</x:v>
      </x:c>
    </x:row>
    <x:row r="676">
      <x:c r="A676" s="20" t="str">
        <x:v>RUN-20270504-08</x:v>
      </x:c>
      <x:c r="B676" s="23" t="n">
        <x:v>46511</x:v>
      </x:c>
      <x:c r="C676" s="32" t="n">
        <x:v>8</x:v>
      </x:c>
      <x:c r="D676" s="20" t="str">
        <x:v>Monthly operations</x:v>
      </x:c>
      <x:c r="E676" s="20" t="str">
        <x:v>Property Manager</x:v>
      </x:c>
      <x:c r="F676" s="20" t="str">
        <x:v>Web</x:v>
      </x:c>
      <x:c r="G676" s="20" t="str">
        <x:v>Scanned check</x:v>
      </x:c>
      <x:c r="H676" s="35" t="str">
        <x:v>Post and allocate tenant receipt</x:v>
      </x:c>
      <x:c r="I676" s="35" t="str">
        <x:v>P024; U028; L028</x:v>
      </x:c>
      <x:c r="J676" s="35" t="str">
        <x:v>SCN-0186</x:v>
      </x:c>
      <x:c r="K676" s="35" t="str">
        <x:v>FIN-00393; FIN-00394</x:v>
      </x:c>
      <x:c r="L676" s="35" t="str">
        <x:v>Open Scan for paper payment or the tenant-account receipt form for electronic payment; verify tenant/lease match, amount, date, method, and reference; confirm once; open ledger detail and allocation.</x:v>
      </x:c>
      <x:c r="M676" s="35" t="str">
        <x:v>Receipt is append-only, allocated once to the correct rent charge, and visible consistently in Unit, Lease, Tenant Account, Accounting, and portal views.</x:v>
      </x:c>
      <x:c r="N676" s="35" t="str">
        <x:v>Scan review or form; success result; exact ledger rows; payment detail; accounting delta; portal receipt.</x:v>
      </x:c>
      <x:c r="O676" s="35" t="str">
        <x:v>Retry the idempotency key once during the quarter assigned in the coverage matrix; no duplicate cash or allocation.</x:v>
      </x:c>
      <x:c r="P676" s="35" t="str">
        <x:v>All expected records and amounts match; no unexplained error or stale state.</x:v>
      </x:c>
    </x:row>
    <x:row r="677">
      <x:c r="A677" s="20" t="str">
        <x:v>RUN-20270504-09</x:v>
      </x:c>
      <x:c r="B677" s="23" t="n">
        <x:v>46511</x:v>
      </x:c>
      <x:c r="C677" s="32" t="n">
        <x:v>9</x:v>
      </x:c>
      <x:c r="D677" s="20" t="str">
        <x:v>Monthly operations</x:v>
      </x:c>
      <x:c r="E677" s="20" t="str">
        <x:v>Property Manager</x:v>
      </x:c>
      <x:c r="F677" s="20" t="str">
        <x:v>Mobile</x:v>
      </x:c>
      <x:c r="G677" s="20" t="str">
        <x:v>Portal card</x:v>
      </x:c>
      <x:c r="H677" s="35" t="str">
        <x:v>Post and allocate tenant receipt</x:v>
      </x:c>
      <x:c r="I677" s="35" t="str">
        <x:v>P026; U031; L031</x:v>
      </x:c>
      <x:c r="J677" s="35" t="str"/>
      <x:c r="K677" s="35" t="str">
        <x:v>FIN-00399; FIN-00400</x:v>
      </x:c>
      <x:c r="L677" s="35" t="str">
        <x:v>Open Scan for paper payment or the tenant-account receipt form for electronic payment; verify tenant/lease match, amount, date, method, and reference; confirm once; open ledger detail and allocation.</x:v>
      </x:c>
      <x:c r="M677" s="35" t="str">
        <x:v>Receipt is append-only, allocated once to the correct rent charge, and visible consistently in Unit, Lease, Tenant Account, Accounting, and portal views.</x:v>
      </x:c>
      <x:c r="N677" s="35" t="str">
        <x:v>Scan review or form; success result; exact ledger rows; payment detail; accounting delta; portal receipt.</x:v>
      </x:c>
      <x:c r="O677" s="35" t="str">
        <x:v>Retry the idempotency key once during the quarter assigned in the coverage matrix; no duplicate cash or allocation.</x:v>
      </x:c>
      <x:c r="P677" s="35" t="str">
        <x:v>All expected records and amounts match; no unexplained error or stale state.</x:v>
      </x:c>
    </x:row>
    <x:row r="678">
      <x:c r="A678" s="20" t="str">
        <x:v>RUN-20270504-10</x:v>
      </x:c>
      <x:c r="B678" s="23" t="n">
        <x:v>46511</x:v>
      </x:c>
      <x:c r="C678" s="32" t="n">
        <x:v>10</x:v>
      </x:c>
      <x:c r="D678" s="20" t="str">
        <x:v>Monthly operations</x:v>
      </x:c>
      <x:c r="E678" s="20" t="str">
        <x:v>Property Manager</x:v>
      </x:c>
      <x:c r="F678" s="20" t="str">
        <x:v>Web</x:v>
      </x:c>
      <x:c r="G678" s="20" t="str">
        <x:v>Manual ACH</x:v>
      </x:c>
      <x:c r="H678" s="35" t="str">
        <x:v>Post and allocate tenant receipt</x:v>
      </x:c>
      <x:c r="I678" s="35" t="str">
        <x:v>P027; U034; L034</x:v>
      </x:c>
      <x:c r="J678" s="35" t="str"/>
      <x:c r="K678" s="35" t="str">
        <x:v>FIN-00407; FIN-00408</x:v>
      </x:c>
      <x:c r="L678" s="35" t="str">
        <x:v>Open Scan for paper payment or the tenant-account receipt form for electronic payment; verify tenant/lease match, amount, date, method, and reference; confirm once; open ledger detail and allocation.</x:v>
      </x:c>
      <x:c r="M678" s="35" t="str">
        <x:v>Receipt is append-only, allocated once to the correct rent charge, and visible consistently in Unit, Lease, Tenant Account, Accounting, and portal views.</x:v>
      </x:c>
      <x:c r="N678" s="35" t="str">
        <x:v>Scan review or form; success result; exact ledger rows; payment detail; accounting delta; portal receipt.</x:v>
      </x:c>
      <x:c r="O678" s="35" t="str">
        <x:v>Retry the idempotency key once during the quarter assigned in the coverage matrix; no duplicate cash or allocation.</x:v>
      </x:c>
      <x:c r="P678" s="35" t="str">
        <x:v>All expected records and amounts match; no unexplained error or stale state.</x:v>
      </x:c>
    </x:row>
    <x:row r="679">
      <x:c r="A679" s="20" t="str">
        <x:v>RUN-20270504-11</x:v>
      </x:c>
      <x:c r="B679" s="23" t="n">
        <x:v>46511</x:v>
      </x:c>
      <x:c r="C679" s="32" t="n">
        <x:v>11</x:v>
      </x:c>
      <x:c r="D679" s="20" t="str">
        <x:v>Monthly operations</x:v>
      </x:c>
      <x:c r="E679" s="20" t="str">
        <x:v>Property Manager</x:v>
      </x:c>
      <x:c r="F679" s="20" t="str">
        <x:v>Mobile</x:v>
      </x:c>
      <x:c r="G679" s="20" t="str">
        <x:v>Scanned money order</x:v>
      </x:c>
      <x:c r="H679" s="35" t="str">
        <x:v>Post and allocate tenant receipt</x:v>
      </x:c>
      <x:c r="I679" s="35" t="str">
        <x:v>P005; U005; L037</x:v>
      </x:c>
      <x:c r="J679" s="35" t="str">
        <x:v>SCN-0191</x:v>
      </x:c>
      <x:c r="K679" s="35" t="str">
        <x:v>FIN-00413; FIN-00414</x:v>
      </x:c>
      <x:c r="L679" s="35" t="str">
        <x:v>Open Scan for paper payment or the tenant-account receipt form for electronic payment; verify tenant/lease match, amount, date, method, and reference; confirm once; open ledger detail and allocation.</x:v>
      </x:c>
      <x:c r="M679" s="35" t="str">
        <x:v>Receipt is append-only, allocated once to the correct rent charge, and visible consistently in Unit, Lease, Tenant Account, Accounting, and portal views.</x:v>
      </x:c>
      <x:c r="N679" s="35" t="str">
        <x:v>Scan review or form; success result; exact ledger rows; payment detail; accounting delta; portal receipt.</x:v>
      </x:c>
      <x:c r="O679" s="35" t="str">
        <x:v>Retry the idempotency key once during the quarter assigned in the coverage matrix; no duplicate cash or allocation.</x:v>
      </x:c>
      <x:c r="P679" s="35" t="str">
        <x:v>All expected records and amounts match; no unexplained error or stale state.</x:v>
      </x:c>
    </x:row>
    <x:row r="680">
      <x:c r="A680" s="20" t="str">
        <x:v>RUN-20270504-12</x:v>
      </x:c>
      <x:c r="B680" s="23" t="n">
        <x:v>46511</x:v>
      </x:c>
      <x:c r="C680" s="32" t="n">
        <x:v>12</x:v>
      </x:c>
      <x:c r="D680" s="20" t="str">
        <x:v>Monthly operations</x:v>
      </x:c>
      <x:c r="E680" s="20" t="str">
        <x:v>Property Manager</x:v>
      </x:c>
      <x:c r="F680" s="20" t="str">
        <x:v>Mobile</x:v>
      </x:c>
      <x:c r="G680" s="20" t="str">
        <x:v>Portal card</x:v>
      </x:c>
      <x:c r="H680" s="35" t="str">
        <x:v>Post and allocate tenant receipt</x:v>
      </x:c>
      <x:c r="I680" s="35" t="str">
        <x:v>P029; U037; L043</x:v>
      </x:c>
      <x:c r="J680" s="35" t="str"/>
      <x:c r="K680" s="35" t="str">
        <x:v>FIN-00415; FIN-00416</x:v>
      </x:c>
      <x:c r="L680" s="35" t="str">
        <x:v>Open Scan for paper payment or the tenant-account receipt form for electronic payment; verify tenant/lease match, amount, date, method, and reference; confirm once; open ledger detail and allocation.</x:v>
      </x:c>
      <x:c r="M680" s="35" t="str">
        <x:v>Receipt is append-only, allocated once to the correct rent charge, and visible consistently in Unit, Lease, Tenant Account, Accounting, and portal views.</x:v>
      </x:c>
      <x:c r="N680" s="35" t="str">
        <x:v>Scan review or form; success result; exact ledger rows; payment detail; accounting delta; portal receipt.</x:v>
      </x:c>
      <x:c r="O680" s="35" t="str">
        <x:v>Retry the idempotency key once during the quarter assigned in the coverage matrix; no duplicate cash or allocation.</x:v>
      </x:c>
      <x:c r="P680" s="35" t="str">
        <x:v>All expected records and amounts match; no unexplained error or stale state.</x:v>
      </x:c>
    </x:row>
    <x:row r="681">
      <x:c r="A681" s="20" t="str">
        <x:v>RUN-20270504-13</x:v>
      </x:c>
      <x:c r="B681" s="23" t="n">
        <x:v>46511</x:v>
      </x:c>
      <x:c r="C681" s="32" t="n">
        <x:v>13</x:v>
      </x:c>
      <x:c r="D681" s="20" t="str">
        <x:v>Weekly operations</x:v>
      </x:c>
      <x:c r="E681" s="20" t="str">
        <x:v>Property Manager</x:v>
      </x:c>
      <x:c r="F681" s="20" t="str">
        <x:v>Web</x:v>
      </x:c>
      <x:c r="G681" s="20" t="str">
        <x:v>Scanned receipt/invoice</x:v>
      </x:c>
      <x:c r="H681" s="35" t="str">
        <x:v>Record, review, allocate, and pay operating expense</x:v>
      </x:c>
      <x:c r="I681" s="35" t="str">
        <x:v>P007; U007; WO-2027-018</x:v>
      </x:c>
      <x:c r="J681" s="35" t="str">
        <x:v>SCN-0379</x:v>
      </x:c>
      <x:c r="K681" s="35" t="str">
        <x:v>FIN-01041</x:v>
      </x:c>
      <x:c r="L681" s="35" t="str">
        <x:v>Capture or upload the source; verify vendor, date, scope, category, line items, tax, amount, and work-order link; confirm; open detail; verify attachment; compare Money and Property/Unit views.</x:v>
      </x:c>
      <x:c r="M681" s="35" t="str">
        <x:v>One expense exists at its real operational scope, cash falls once, Schedule E category and allocations agree, and no per-unit copies are created.</x:v>
      </x:c>
      <x:c r="N681" s="35" t="str">
        <x:v>Source preview; review/form; expense detail; line items; Property/Unit ledger; audit; accounting/report delta.</x:v>
      </x:c>
      <x:c r="O681" s="35" t="str">
        <x:v>On marked duplicate-invoice cases, re-upload before confirm and prove the product prevents or clearly warns about duplication.</x:v>
      </x:c>
      <x:c r="P681" s="35" t="str">
        <x:v>All expected records and amounts match; no unexplained error or stale state.</x:v>
      </x:c>
    </x:row>
    <x:row r="682">
      <x:c r="A682" s="20" t="str">
        <x:v>RUN-20270504-14</x:v>
      </x:c>
      <x:c r="B682" s="23" t="n">
        <x:v>46511</x:v>
      </x:c>
      <x:c r="C682" s="32" t="n">
        <x:v>14</x:v>
      </x:c>
      <x:c r="D682" s="20" t="str">
        <x:v>Role and screen certification</x:v>
      </x:c>
      <x:c r="E682" s="20" t="str">
        <x:v>Workspace Administrator</x:v>
      </x:c>
      <x:c r="F682" s="20" t="str">
        <x:v>Web</x:v>
      </x:c>
      <x:c r="G682" s="20" t="str">
        <x:v>Normal persona navigation</x:v>
      </x:c>
      <x:c r="H682" s="35" t="str">
        <x:v>Use every permitted action and state on /properties</x:v>
      </x:c>
      <x:c r="I682" s="35" t="str">
        <x:v>SCR-062; ROLE-093</x:v>
      </x:c>
      <x:c r="J682" s="35" t="str"/>
      <x:c r="K682" s="35" t="str"/>
      <x:c r="L68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82" s="35" t="str">
        <x:v>The persona can use every allowed action with only its assigned properties/relationships. Hidden or disabled actions explain why; an adjacent unauthorized persona is denied without metadata leakage.</x:v>
      </x:c>
      <x:c r="N682" s="35" t="str">
        <x:v>Persona/experience; navigation entry; desktop or device screenshots; result state; persisted read-back; audit/history; authorized and denied network result.</x:v>
      </x:c>
      <x:c r="O682" s="35" t="str">
        <x:v>Open the direct URL or deep link with an adjacent unauthorized persona and with stale scope; both fail closed and land safely without mutation.</x:v>
      </x:c>
      <x:c r="P682" s="35" t="str">
        <x:v>All expected records and amounts match; no unexplained error or stale state.</x:v>
      </x:c>
    </x:row>
    <x:row r="683">
      <x:c r="A683" s="20" t="str">
        <x:v>RUN-20270504-15</x:v>
      </x:c>
      <x:c r="B683" s="23" t="n">
        <x:v>46511</x:v>
      </x:c>
      <x:c r="C683" s="32" t="n">
        <x:v>15</x:v>
      </x:c>
      <x:c r="D683" s="20" t="str">
        <x:v>Role and screen certification</x:v>
      </x:c>
      <x:c r="E683" s="20" t="str">
        <x:v>Property Manager</x:v>
      </x:c>
      <x:c r="F683" s="20" t="str">
        <x:v>Web</x:v>
      </x:c>
      <x:c r="G683" s="20" t="str">
        <x:v>Normal persona navigation</x:v>
      </x:c>
      <x:c r="H683" s="35" t="str">
        <x:v>Use every permitted action and state on /properties</x:v>
      </x:c>
      <x:c r="I683" s="35" t="str">
        <x:v>SCR-062; ROLE-094</x:v>
      </x:c>
      <x:c r="J683" s="35" t="str"/>
      <x:c r="K683" s="35" t="str"/>
      <x:c r="L6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683" s="35" t="str">
        <x:v>The persona can use every allowed action with only its assigned properties/relationships. Hidden or disabled actions explain why; an adjacent unauthorized persona is denied without metadata leakage.</x:v>
      </x:c>
      <x:c r="N683" s="35" t="str">
        <x:v>Persona/experience; navigation entry; desktop or device screenshots; result state; persisted read-back; audit/history; authorized and denied network result.</x:v>
      </x:c>
      <x:c r="O683" s="35" t="str">
        <x:v>Open the direct URL or deep link with an adjacent unauthorized persona and with stale scope; both fail closed and land safely without mutation.</x:v>
      </x:c>
      <x:c r="P683" s="35" t="str">
        <x:v>All expected records and amounts match; no unexplained error or stale state.</x:v>
      </x:c>
    </x:row>
    <x:row r="684">
      <x:c r="A684" s="20" t="str">
        <x:v>RUN-20270504-16</x:v>
      </x:c>
      <x:c r="B684" s="23" t="n">
        <x:v>46511</x:v>
      </x:c>
      <x:c r="C684" s="32" t="n">
        <x:v>16</x:v>
      </x:c>
      <x:c r="D684" s="20" t="str">
        <x:v>Field certification</x:v>
      </x:c>
      <x:c r="E684" s="20" t="str">
        <x:v>Property Manager</x:v>
      </x:c>
      <x:c r="F684" s="20" t="str">
        <x:v>Web</x:v>
      </x:c>
      <x:c r="G684" s="20" t="str">
        <x:v>Manual field-by-field</x:v>
      </x:c>
      <x:c r="H684" s="35" t="str">
        <x:v>Fill, save, reload, edit, and validate every declared field on /accounting</x:v>
      </x:c>
      <x:c r="I684" s="35" t="str">
        <x:v>FLD-0328; FLD-0329; FLD-0330; FLD-0331</x:v>
      </x:c>
      <x:c r="J684" s="35" t="str"/>
      <x:c r="K684" s="35" t="str"/>
      <x:c r="L684" s="35" t="str">
        <x:v>Use the source-derived Field Inventory. Enter non-default realistic values in every control (expenseForm.category; expense-category-input; Select-24; Select-25); submit; reload or relaunch; compare every value; edit each mutable field; verify the paired client; then run required, format, length, range, boundary, optional-null, and stale-submit checks.</x:v>
      </x:c>
      <x:c r="M684" s="35" t="str">
        <x:v>All 4 inventoried controls persist exact normalized values, invalid values stay unsaved with clear errors, and hidden/unauthorized fields cannot be altered.</x:v>
      </x:c>
      <x:c r="N684" s="35" t="str">
        <x:v>Before/after form screenshots; FLD IDs; API response; reloaded UI; paired-client read-back; database/audit evidence; negative validation result.</x:v>
      </x:c>
      <x:c r="O684" s="35" t="str">
        <x:v>Use a duplicate submit and one simulated network interruption; one atomic mutation or none, never partial state.</x:v>
      </x:c>
      <x:c r="P684" s="35" t="str">
        <x:v>All expected records and amounts match; no unexplained error or stale state.</x:v>
      </x:c>
    </x:row>
    <x:row r="685">
      <x:c r="A685" s="20" t="str">
        <x:v>RUN-20270504-17</x:v>
      </x:c>
      <x:c r="B685" s="23" t="n">
        <x:v>46511</x:v>
      </x:c>
      <x:c r="C685" s="32" t="n">
        <x:v>17</x:v>
      </x:c>
      <x:c r="D685" s="20" t="str">
        <x:v>Lifecycle certification</x:v>
      </x:c>
      <x:c r="E685" s="20" t="str">
        <x:v>Leasing Agent</x:v>
      </x:c>
      <x:c r="F685" s="20" t="str">
        <x:v>Web + Mobile</x:v>
      </x:c>
      <x:c r="G685" s="20" t="str">
        <x:v>Manual + scan/attachment where supported</x:v>
      </x:c>
      <x:c r="H685" s="35" t="str">
        <x:v>Complete the full create/read/edit/lifecycle/delete-safe pass for Agreement</x:v>
      </x:c>
      <x:c r="I685" s="35" t="str">
        <x:v>CRUD-011</x:v>
      </x:c>
      <x:c r="J685" s="35" t="str"/>
      <x:c r="K685" s="35" t="str"/>
      <x:c r="L685" s="35" t="str">
        <x:v>Use a dedicated disposable QA record and execute: draft; edit; issue; view; sign; finalize; void; replace; immutable history. Fill every field referenced by field-inventory.csv. Verify confirmation copy, cancel path, final path, reload, other-client state, history, and role denial.</x:v>
      </x:c>
      <x:c r="M685" s="35" t="str">
        <x:v>Every supported transition succeeds exactly once; forbidden destructive actions are guarded; reversible deletion/deactivation works; financial and historical truth is preserved.</x:v>
      </x:c>
      <x:c r="N685" s="35" t="str">
        <x:v>Entity before/after; both clients; all FLD IDs; audit/history; notifications; authorized and unauthorized personas; API/DB state.</x:v>
      </x:c>
      <x:c r="O685" s="35" t="str">
        <x:v>Cancel the first destructive confirmation, then repeat and confirm; retry the mutation once; no double transition or orphan.</x:v>
      </x:c>
      <x:c r="P685" s="35" t="str">
        <x:v>All expected records and amounts match; no unexplained error or stale state.</x:v>
      </x:c>
    </x:row>
    <x:row r="686">
      <x:c r="A686" s="20" t="str">
        <x:v>RUN-20270504-18</x:v>
      </x:c>
      <x:c r="B686" s="23" t="n">
        <x:v>46511</x:v>
      </x:c>
      <x:c r="C686" s="32" t="n">
        <x:v>18</x:v>
      </x:c>
      <x:c r="D686" s="20" t="str">
        <x:v>Surface coverage</x:v>
      </x:c>
      <x:c r="E686" s="20" t="str">
        <x:v>Role appropriate to surface</x:v>
      </x:c>
      <x:c r="F686" s="20" t="str">
        <x:v>Web</x:v>
      </x:c>
      <x:c r="G686" s="20" t="str">
        <x:v>Scan/attachment</x:v>
      </x:c>
      <x:c r="H686" s="35" t="str">
        <x:v>Scan web pass: Renewal, month-to-month, successor agreement</x:v>
      </x:c>
      <x:c r="I686" s="35" t="str">
        <x:v>COV-015</x:v>
      </x:c>
      <x:c r="J686" s="35" t="str"/>
      <x:c r="K686" s="35" t="str"/>
      <x:c r="L686" s="35" t="str">
        <x:v>Create future renewal, preserve current governing agreement, test month-to-month and successor timing.</x:v>
      </x:c>
      <x:c r="M686" s="35" t="str">
        <x:v>The supported workflow completes and persists correctly; if the capability is absent, the exact gap is proven and queued rather than silently skipped.</x:v>
      </x:c>
      <x:c r="N686" s="35" t="str">
        <x:v>Real UI screenshot/state; submitted values; persisted read-back; cross-client read-back; audit/role/access evidence.</x:v>
      </x:c>
      <x:c r="O686" s="35" t="str">
        <x:v>Use one invalid value, stale-state retry, or duplicate submission relevant to the form; no partial or duplicate mutation.</x:v>
      </x:c>
      <x:c r="P686" s="35" t="str">
        <x:v>All expected records and amounts match; no unexplained error or stale state.</x:v>
      </x:c>
    </x:row>
    <x:row r="687">
      <x:c r="A687" s="20" t="str">
        <x:v>RUN-20270505-01</x:v>
      </x:c>
      <x:c r="B687" s="23" t="n">
        <x:v>46512</x:v>
      </x:c>
      <x:c r="C687" s="32" t="n">
        <x:v>1</x:v>
      </x:c>
      <x:c r="D687" s="20" t="str">
        <x:v>Monthly operations</x:v>
      </x:c>
      <x:c r="E687" s="20" t="str">
        <x:v>Property Manager</x:v>
      </x:c>
      <x:c r="F687" s="20" t="str">
        <x:v>Web</x:v>
      </x:c>
      <x:c r="G687" s="20" t="str">
        <x:v>Manual ACH</x:v>
      </x:c>
      <x:c r="H687" s="35" t="str">
        <x:v>Post and allocate tenant receipt</x:v>
      </x:c>
      <x:c r="I687" s="35" t="str">
        <x:v>P002; U002; L002</x:v>
      </x:c>
      <x:c r="J687" s="35" t="str"/>
      <x:c r="K687" s="35" t="str">
        <x:v>FIN-00337; FIN-00338</x:v>
      </x:c>
      <x:c r="L687" s="35" t="str">
        <x:v>Open Scan for paper payment or the tenant-account receipt form for electronic payment; verify tenant/lease match, amount, date, method, and reference; confirm once; open ledger detail and allocation.</x:v>
      </x:c>
      <x:c r="M687" s="35" t="str">
        <x:v>Receipt is append-only, allocated once to the correct rent charge, and visible consistently in Unit, Lease, Tenant Account, Accounting, and portal views.</x:v>
      </x:c>
      <x:c r="N687" s="35" t="str">
        <x:v>Scan review or form; success result; exact ledger rows; payment detail; accounting delta; portal receipt.</x:v>
      </x:c>
      <x:c r="O687" s="35" t="str">
        <x:v>Retry the idempotency key once during the quarter assigned in the coverage matrix; no duplicate cash or allocation.</x:v>
      </x:c>
      <x:c r="P687" s="35" t="str">
        <x:v>All expected records and amounts match; no unexplained error or stale state.</x:v>
      </x:c>
    </x:row>
    <x:row r="688">
      <x:c r="A688" s="20" t="str">
        <x:v>RUN-20270505-02</x:v>
      </x:c>
      <x:c r="B688" s="23" t="n">
        <x:v>46512</x:v>
      </x:c>
      <x:c r="C688" s="32" t="n">
        <x:v>2</x:v>
      </x:c>
      <x:c r="D688" s="20" t="str">
        <x:v>Monthly operations</x:v>
      </x:c>
      <x:c r="E688" s="20" t="str">
        <x:v>Property Manager</x:v>
      </x:c>
      <x:c r="F688" s="20" t="str">
        <x:v>Web</x:v>
      </x:c>
      <x:c r="G688" s="20" t="str">
        <x:v>Scanned check</x:v>
      </x:c>
      <x:c r="H688" s="35" t="str">
        <x:v>Post and allocate tenant receipt</x:v>
      </x:c>
      <x:c r="I688" s="35" t="str">
        <x:v>P008; U008; L008</x:v>
      </x:c>
      <x:c r="J688" s="35" t="str">
        <x:v>SCN-0173</x:v>
      </x:c>
      <x:c r="K688" s="35" t="str">
        <x:v>FIN-00347; FIN-00348</x:v>
      </x:c>
      <x:c r="L688" s="35" t="str">
        <x:v>Open Scan for paper payment or the tenant-account receipt form for electronic payment; verify tenant/lease match, amount, date, method, and reference; confirm once; open ledger detail and allocation.</x:v>
      </x:c>
      <x:c r="M688" s="35" t="str">
        <x:v>Receipt is append-only, allocated once to the correct rent charge, and visible consistently in Unit, Lease, Tenant Account, Accounting, and portal views.</x:v>
      </x:c>
      <x:c r="N688" s="35" t="str">
        <x:v>Scan review or form; success result; exact ledger rows; payment detail; accounting delta; portal receipt.</x:v>
      </x:c>
      <x:c r="O688" s="35" t="str">
        <x:v>Retry the idempotency key once during the quarter assigned in the coverage matrix; no duplicate cash or allocation.</x:v>
      </x:c>
      <x:c r="P688" s="35" t="str">
        <x:v>All expected records and amounts match; no unexplained error or stale state.</x:v>
      </x:c>
    </x:row>
    <x:row r="689">
      <x:c r="A689" s="20" t="str">
        <x:v>RUN-20270505-03</x:v>
      </x:c>
      <x:c r="B689" s="23" t="n">
        <x:v>46512</x:v>
      </x:c>
      <x:c r="C689" s="32" t="n">
        <x:v>3</x:v>
      </x:c>
      <x:c r="D689" s="20" t="str">
        <x:v>Monthly operations</x:v>
      </x:c>
      <x:c r="E689" s="20" t="str">
        <x:v>Property Manager</x:v>
      </x:c>
      <x:c r="F689" s="20" t="str">
        <x:v>Web</x:v>
      </x:c>
      <x:c r="G689" s="20" t="str">
        <x:v>Manual ACH</x:v>
      </x:c>
      <x:c r="H689" s="35" t="str">
        <x:v>Post and allocate tenant receipt</x:v>
      </x:c>
      <x:c r="I689" s="35" t="str">
        <x:v>P014; U014; L014</x:v>
      </x:c>
      <x:c r="J689" s="35" t="str"/>
      <x:c r="K689" s="35" t="str">
        <x:v>FIN-00362; FIN-00363</x:v>
      </x:c>
      <x:c r="L689" s="35" t="str">
        <x:v>Open Scan for paper payment or the tenant-account receipt form for electronic payment; verify tenant/lease match, amount, date, method, and reference; confirm once; open ledger detail and allocation.</x:v>
      </x:c>
      <x:c r="M689" s="35" t="str">
        <x:v>Receipt is append-only, allocated once to the correct rent charge, and visible consistently in Unit, Lease, Tenant Account, Accounting, and portal views.</x:v>
      </x:c>
      <x:c r="N689" s="35" t="str">
        <x:v>Scan review or form; success result; exact ledger rows; payment detail; accounting delta; portal receipt.</x:v>
      </x:c>
      <x:c r="O689" s="35" t="str">
        <x:v>Retry the idempotency key once during the quarter assigned in the coverage matrix; no duplicate cash or allocation.</x:v>
      </x:c>
      <x:c r="P689" s="35" t="str">
        <x:v>All expected records and amounts match; no unexplained error or stale state.</x:v>
      </x:c>
    </x:row>
    <x:row r="690">
      <x:c r="A690" s="20" t="str">
        <x:v>RUN-20270505-04</x:v>
      </x:c>
      <x:c r="B690" s="23" t="n">
        <x:v>46512</x:v>
      </x:c>
      <x:c r="C690" s="32" t="n">
        <x:v>4</x:v>
      </x:c>
      <x:c r="D690" s="20" t="str">
        <x:v>Monthly operations</x:v>
      </x:c>
      <x:c r="E690" s="20" t="str">
        <x:v>Property Manager</x:v>
      </x:c>
      <x:c r="F690" s="20" t="str">
        <x:v>Mobile</x:v>
      </x:c>
      <x:c r="G690" s="20" t="str">
        <x:v>Scanned money order</x:v>
      </x:c>
      <x:c r="H690" s="35" t="str">
        <x:v>Post and allocate tenant receipt</x:v>
      </x:c>
      <x:c r="I690" s="35" t="str">
        <x:v>P017; U017; L017</x:v>
      </x:c>
      <x:c r="J690" s="35" t="str">
        <x:v>SCN-0179</x:v>
      </x:c>
      <x:c r="K690" s="35" t="str">
        <x:v>FIN-00368; FIN-00369</x:v>
      </x:c>
      <x:c r="L690" s="35" t="str">
        <x:v>Open Scan for paper payment or the tenant-account receipt form for electronic payment; verify tenant/lease match, amount, date, method, and reference; confirm once; open ledger detail and allocation.</x:v>
      </x:c>
      <x:c r="M690" s="35" t="str">
        <x:v>Receipt is append-only, allocated once to the correct rent charge, and visible consistently in Unit, Lease, Tenant Account, Accounting, and portal views.</x:v>
      </x:c>
      <x:c r="N690" s="35" t="str">
        <x:v>Scan review or form; success result; exact ledger rows; payment detail; accounting delta; portal receipt.</x:v>
      </x:c>
      <x:c r="O690" s="35" t="str">
        <x:v>Retry the idempotency key once during the quarter assigned in the coverage matrix; no duplicate cash or allocation.</x:v>
      </x:c>
      <x:c r="P690" s="35" t="str">
        <x:v>All expected records and amounts match; no unexplained error or stale state.</x:v>
      </x:c>
    </x:row>
    <x:row r="691">
      <x:c r="A691" s="20" t="str">
        <x:v>RUN-20270505-05</x:v>
      </x:c>
      <x:c r="B691" s="23" t="n">
        <x:v>46512</x:v>
      </x:c>
      <x:c r="C691" s="32" t="n">
        <x:v>5</x:v>
      </x:c>
      <x:c r="D691" s="20" t="str">
        <x:v>Monthly operations</x:v>
      </x:c>
      <x:c r="E691" s="20" t="str">
        <x:v>Property Manager</x:v>
      </x:c>
      <x:c r="F691" s="20" t="str">
        <x:v>Web</x:v>
      </x:c>
      <x:c r="G691" s="20" t="str">
        <x:v>Scanned check</x:v>
      </x:c>
      <x:c r="H691" s="35" t="str">
        <x:v>Post and allocate tenant receipt</x:v>
      </x:c>
      <x:c r="I691" s="35" t="str">
        <x:v>P020; U020; L020</x:v>
      </x:c>
      <x:c r="J691" s="35" t="str">
        <x:v>SCN-0180</x:v>
      </x:c>
      <x:c r="K691" s="35" t="str">
        <x:v>FIN-00374; FIN-00375</x:v>
      </x:c>
      <x:c r="L691" s="35" t="str">
        <x:v>Open Scan for paper payment or the tenant-account receipt form for electronic payment; verify tenant/lease match, amount, date, method, and reference; confirm once; open ledger detail and allocation.</x:v>
      </x:c>
      <x:c r="M691" s="35" t="str">
        <x:v>Receipt is append-only, allocated once to the correct rent charge, and visible consistently in Unit, Lease, Tenant Account, Accounting, and portal views.</x:v>
      </x:c>
      <x:c r="N691" s="35" t="str">
        <x:v>Scan review or form; success result; exact ledger rows; payment detail; accounting delta; portal receipt.</x:v>
      </x:c>
      <x:c r="O691" s="35" t="str">
        <x:v>Retry the idempotency key once during the quarter assigned in the coverage matrix; no duplicate cash or allocation.</x:v>
      </x:c>
      <x:c r="P691" s="35" t="str">
        <x:v>All expected records and amounts match; no unexplained error or stale state.</x:v>
      </x:c>
    </x:row>
    <x:row r="692">
      <x:c r="A692" s="20" t="str">
        <x:v>RUN-20270505-06</x:v>
      </x:c>
      <x:c r="B692" s="23" t="n">
        <x:v>46512</x:v>
      </x:c>
      <x:c r="C692" s="32" t="n">
        <x:v>6</x:v>
      </x:c>
      <x:c r="D692" s="20" t="str">
        <x:v>Monthly operations</x:v>
      </x:c>
      <x:c r="E692" s="20" t="str">
        <x:v>Property Manager</x:v>
      </x:c>
      <x:c r="F692" s="20" t="str">
        <x:v>Mobile</x:v>
      </x:c>
      <x:c r="G692" s="20" t="str">
        <x:v>Portal card</x:v>
      </x:c>
      <x:c r="H692" s="35" t="str">
        <x:v>Post and allocate tenant receipt</x:v>
      </x:c>
      <x:c r="I692" s="35" t="str">
        <x:v>P022; U023; L023</x:v>
      </x:c>
      <x:c r="J692" s="35" t="str"/>
      <x:c r="K692" s="35" t="str">
        <x:v>FIN-00382; FIN-00383</x:v>
      </x:c>
      <x:c r="L692" s="35" t="str">
        <x:v>Open Scan for paper payment or the tenant-account receipt form for electronic payment; verify tenant/lease match, amount, date, method, and reference; confirm once; open ledger detail and allocation.</x:v>
      </x:c>
      <x:c r="M692" s="35" t="str">
        <x:v>Receipt is append-only, allocated once to the correct rent charge, and visible consistently in Unit, Lease, Tenant Account, Accounting, and portal views.</x:v>
      </x:c>
      <x:c r="N692" s="35" t="str">
        <x:v>Scan review or form; success result; exact ledger rows; payment detail; accounting delta; portal receipt.</x:v>
      </x:c>
      <x:c r="O692" s="35" t="str">
        <x:v>Retry the idempotency key once during the quarter assigned in the coverage matrix; no duplicate cash or allocation.</x:v>
      </x:c>
      <x:c r="P692" s="35" t="str">
        <x:v>All expected records and amounts match; no unexplained error or stale state.</x:v>
      </x:c>
    </x:row>
    <x:row r="693">
      <x:c r="A693" s="20" t="str">
        <x:v>RUN-20270505-07</x:v>
      </x:c>
      <x:c r="B693" s="23" t="n">
        <x:v>46512</x:v>
      </x:c>
      <x:c r="C693" s="32" t="n">
        <x:v>7</x:v>
      </x:c>
      <x:c r="D693" s="20" t="str">
        <x:v>Monthly operations</x:v>
      </x:c>
      <x:c r="E693" s="20" t="str">
        <x:v>Property Manager</x:v>
      </x:c>
      <x:c r="F693" s="20" t="str">
        <x:v>Mobile</x:v>
      </x:c>
      <x:c r="G693" s="20" t="str">
        <x:v>Scanned money order</x:v>
      </x:c>
      <x:c r="H693" s="35" t="str">
        <x:v>Post and allocate tenant receipt</x:v>
      </x:c>
      <x:c r="I693" s="35" t="str">
        <x:v>P025; U029; L029</x:v>
      </x:c>
      <x:c r="J693" s="35" t="str">
        <x:v>SCN-0187</x:v>
      </x:c>
      <x:c r="K693" s="35" t="str">
        <x:v>FIN-00395; FIN-00396</x:v>
      </x:c>
      <x:c r="L693" s="35" t="str">
        <x:v>Open Scan for paper payment or the tenant-account receipt form for electronic payment; verify tenant/lease match, amount, date, method, and reference; confirm once; open ledger detail and allocation.</x:v>
      </x:c>
      <x:c r="M693" s="35" t="str">
        <x:v>Receipt is append-only, allocated once to the correct rent charge, and visible consistently in Unit, Lease, Tenant Account, Accounting, and portal views.</x:v>
      </x:c>
      <x:c r="N693" s="35" t="str">
        <x:v>Scan review or form; success result; exact ledger rows; payment detail; accounting delta; portal receipt.</x:v>
      </x:c>
      <x:c r="O693" s="35" t="str">
        <x:v>Retry the idempotency key once during the quarter assigned in the coverage matrix; no duplicate cash or allocation.</x:v>
      </x:c>
      <x:c r="P693" s="35" t="str">
        <x:v>All expected records and amounts match; no unexplained error or stale state.</x:v>
      </x:c>
    </x:row>
    <x:row r="694">
      <x:c r="A694" s="20" t="str">
        <x:v>RUN-20270505-08</x:v>
      </x:c>
      <x:c r="B694" s="23" t="n">
        <x:v>46512</x:v>
      </x:c>
      <x:c r="C694" s="32" t="n">
        <x:v>8</x:v>
      </x:c>
      <x:c r="D694" s="20" t="str">
        <x:v>Monthly operations</x:v>
      </x:c>
      <x:c r="E694" s="20" t="str">
        <x:v>Property Manager</x:v>
      </x:c>
      <x:c r="F694" s="20" t="str">
        <x:v>Web</x:v>
      </x:c>
      <x:c r="G694" s="20" t="str">
        <x:v>Scanned check</x:v>
      </x:c>
      <x:c r="H694" s="35" t="str">
        <x:v>Post and allocate tenant receipt</x:v>
      </x:c>
      <x:c r="I694" s="35" t="str">
        <x:v>P026; U032; L032</x:v>
      </x:c>
      <x:c r="J694" s="35" t="str">
        <x:v>SCN-0188</x:v>
      </x:c>
      <x:c r="K694" s="35" t="str">
        <x:v>FIN-00401; FIN-00402</x:v>
      </x:c>
      <x:c r="L694" s="35" t="str">
        <x:v>Open Scan for paper payment or the tenant-account receipt form for electronic payment; verify tenant/lease match, amount, date, method, and reference; confirm once; open ledger detail and allocation.</x:v>
      </x:c>
      <x:c r="M694" s="35" t="str">
        <x:v>Receipt is append-only, allocated once to the correct rent charge, and visible consistently in Unit, Lease, Tenant Account, Accounting, and portal views.</x:v>
      </x:c>
      <x:c r="N694" s="35" t="str">
        <x:v>Scan review or form; success result; exact ledger rows; payment detail; accounting delta; portal receipt.</x:v>
      </x:c>
      <x:c r="O694" s="35" t="str">
        <x:v>Retry the idempotency key once during the quarter assigned in the coverage matrix; no duplicate cash or allocation.</x:v>
      </x:c>
      <x:c r="P694" s="35" t="str">
        <x:v>All expected records and amounts match; no unexplained error or stale state.</x:v>
      </x:c>
    </x:row>
    <x:row r="695">
      <x:c r="A695" s="20" t="str">
        <x:v>RUN-20270505-09</x:v>
      </x:c>
      <x:c r="B695" s="23" t="n">
        <x:v>46512</x:v>
      </x:c>
      <x:c r="C695" s="32" t="n">
        <x:v>9</x:v>
      </x:c>
      <x:c r="D695" s="20" t="str">
        <x:v>Monthly operations</x:v>
      </x:c>
      <x:c r="E695" s="20" t="str">
        <x:v>Property Manager</x:v>
      </x:c>
      <x:c r="F695" s="20" t="str">
        <x:v>Mobile</x:v>
      </x:c>
      <x:c r="G695" s="20" t="str">
        <x:v>Portal card</x:v>
      </x:c>
      <x:c r="H695" s="35" t="str">
        <x:v>Post and allocate tenant receipt</x:v>
      </x:c>
      <x:c r="I695" s="35" t="str">
        <x:v>P028; U035; L035</x:v>
      </x:c>
      <x:c r="J695" s="35" t="str"/>
      <x:c r="K695" s="35" t="str">
        <x:v>FIN-00409; FIN-00410</x:v>
      </x:c>
      <x:c r="L695" s="35" t="str">
        <x:v>Open Scan for paper payment or the tenant-account receipt form for electronic payment; verify tenant/lease match, amount, date, method, and reference; confirm once; open ledger detail and allocation.</x:v>
      </x:c>
      <x:c r="M695" s="35" t="str">
        <x:v>Receipt is append-only, allocated once to the correct rent charge, and visible consistently in Unit, Lease, Tenant Account, Accounting, and portal views.</x:v>
      </x:c>
      <x:c r="N695" s="35" t="str">
        <x:v>Scan review or form; success result; exact ledger rows; payment detail; accounting delta; portal receipt.</x:v>
      </x:c>
      <x:c r="O695" s="35" t="str">
        <x:v>Retry the idempotency key once during the quarter assigned in the coverage matrix; no duplicate cash or allocation.</x:v>
      </x:c>
      <x:c r="P695" s="35" t="str">
        <x:v>All expected records and amounts match; no unexplained error or stale state.</x:v>
      </x:c>
    </x:row>
    <x:row r="696">
      <x:c r="A696" s="20" t="str">
        <x:v>RUN-20270505-10</x:v>
      </x:c>
      <x:c r="B696" s="23" t="n">
        <x:v>46512</x:v>
      </x:c>
      <x:c r="C696" s="32" t="n">
        <x:v>10</x:v>
      </x:c>
      <x:c r="D696" s="20" t="str">
        <x:v>Field certification</x:v>
      </x:c>
      <x:c r="E696" s="20" t="str">
        <x:v>Property Manager</x:v>
      </x:c>
      <x:c r="F696" s="20" t="str">
        <x:v>Web</x:v>
      </x:c>
      <x:c r="G696" s="20" t="str">
        <x:v>Manual field-by-field</x:v>
      </x:c>
      <x:c r="H696" s="35" t="str">
        <x:v>Fill, save, reload, edit, and validate every declared field on /accounting</x:v>
      </x:c>
      <x:c r="I696" s="35" t="str">
        <x:v>FLD-0332; FLD-0333; FLD-0334; FLD-0335; FLD-0336</x:v>
      </x:c>
      <x:c r="J696" s="35" t="str"/>
      <x:c r="K696" s="35" t="str"/>
      <x:c r="L696" s="35" t="str">
        <x:v>Use the source-derived Field Inventory. Enter non-default realistic values in every control (expenseForm.status; expense-status-input; Select-28; Select-29; expense-notes-input); submit; reload or relaunch; compare every value; edit each mutable field; verify the paired client; then run required, format, length, range, boundary, optional-null, and stale-submit checks.</x:v>
      </x:c>
      <x:c r="M696" s="35" t="str">
        <x:v>All 5 inventoried controls persist exact normalized values, invalid values stay unsaved with clear errors, and hidden/unauthorized fields cannot be altered.</x:v>
      </x:c>
      <x:c r="N696" s="35" t="str">
        <x:v>Before/after form screenshots; FLD IDs; API response; reloaded UI; paired-client read-back; database/audit evidence; negative validation result.</x:v>
      </x:c>
      <x:c r="O696" s="35" t="str">
        <x:v>Use a duplicate submit and one simulated network interruption; one atomic mutation or none, never partial state.</x:v>
      </x:c>
      <x:c r="P696" s="35" t="str">
        <x:v>All expected records and amounts match; no unexplained error or stale state.</x:v>
      </x:c>
    </x:row>
    <x:row r="697">
      <x:c r="A697" s="20" t="str">
        <x:v>RUN-20270505-11</x:v>
      </x:c>
      <x:c r="B697" s="23" t="n">
        <x:v>46512</x:v>
      </x:c>
      <x:c r="C697" s="32" t="n">
        <x:v>11</x:v>
      </x:c>
      <x:c r="D697" s="20" t="str">
        <x:v>Surface coverage</x:v>
      </x:c>
      <x:c r="E697" s="20" t="str">
        <x:v>Role appropriate to surface</x:v>
      </x:c>
      <x:c r="F697" s="20" t="str">
        <x:v>Mobile</x:v>
      </x:c>
      <x:c r="G697" s="20" t="str">
        <x:v>Scan/attachment</x:v>
      </x:c>
      <x:c r="H697" s="35" t="str">
        <x:v>Scan mobile pass: Renewal, month-to-month, successor agreement</x:v>
      </x:c>
      <x:c r="I697" s="35" t="str">
        <x:v>COV-015</x:v>
      </x:c>
      <x:c r="J697" s="35" t="str"/>
      <x:c r="K697" s="35" t="str"/>
      <x:c r="L697" s="35" t="str">
        <x:v>Create future renewal, preserve current governing agreement, test month-to-month and successor timing.</x:v>
      </x:c>
      <x:c r="M697" s="35" t="str">
        <x:v>The supported workflow completes and persists correctly; if the capability is absent, the exact gap is proven and queued rather than silently skipped.</x:v>
      </x:c>
      <x:c r="N697" s="35" t="str">
        <x:v>Real UI screenshot/state; submitted values; persisted read-back; cross-client read-back; audit/role/access evidence.</x:v>
      </x:c>
      <x:c r="O697" s="35" t="str">
        <x:v>Use one invalid value, stale-state retry, or duplicate submission relevant to the form; no partial or duplicate mutation.</x:v>
      </x:c>
      <x:c r="P697" s="35" t="str">
        <x:v>All expected records and amounts match; no unexplained error or stale state.</x:v>
      </x:c>
    </x:row>
    <x:row r="698">
      <x:c r="A698" s="20" t="str">
        <x:v>RUN-20270506-01</x:v>
      </x:c>
      <x:c r="B698" s="23" t="n">
        <x:v>46513</x:v>
      </x:c>
      <x:c r="C698" s="32" t="n">
        <x:v>1</x:v>
      </x:c>
      <x:c r="D698" s="20" t="str">
        <x:v>Leasing</x:v>
      </x:c>
      <x:c r="E698" s="20" t="str">
        <x:v>Leasing Agent</x:v>
      </x:c>
      <x:c r="F698" s="20" t="str">
        <x:v>Mobile</x:v>
      </x:c>
      <x:c r="G698" s="20" t="str">
        <x:v>Scan/document + e-sign</x:v>
      </x:c>
      <x:c r="H698" s="35" t="str">
        <x:v>Issue and execute lease agreement</x:v>
      </x:c>
      <x:c r="I698" s="35" t="str">
        <x:v>L045; U039</x:v>
      </x:c>
      <x:c r="J698" s="35" t="str">
        <x:v>SCN-0931</x:v>
      </x:c>
      <x:c r="K698" s="35" t="str"/>
      <x:c r="L698" s="35" t="str">
        <x:v>Confirm the scanned/native agreement against the prepared draft; issue a signature packet; view as landlord and tenant; sign; finalize immutable PDF/hash; verify Agreement is Upcoming until effective date.</x:v>
      </x:c>
      <x:c r="M698" s="35" t="str">
        <x:v>Issued version is immutable, one signature packet is active, audit events are complete, and the effective-status projection follows the simulated date.</x:v>
      </x:c>
      <x:c r="N698" s="35" t="str">
        <x:v>Draft/issued/final PDFs; hashes; signer states; signature audit; portal view; status before/after effective date.</x:v>
      </x:c>
      <x:c r="O698" s="35" t="str">
        <x:v>Void one deliberately incorrect issued packet, issue a replacement, and prove the voided artifact remains while no competing active packet exists.</x:v>
      </x:c>
      <x:c r="P698" s="35" t="str">
        <x:v>All expected records and amounts match; no unexplained error or stale state.</x:v>
      </x:c>
    </x:row>
    <x:row r="699">
      <x:c r="A699" s="20" t="str">
        <x:v>RUN-20270506-02</x:v>
      </x:c>
      <x:c r="B699" s="23" t="n">
        <x:v>46513</x:v>
      </x:c>
      <x:c r="C699" s="32" t="n">
        <x:v>2</x:v>
      </x:c>
      <x:c r="D699" s="20" t="str">
        <x:v>Lease ending</x:v>
      </x:c>
      <x:c r="E699" s="20" t="str">
        <x:v>Property Manager</x:v>
      </x:c>
      <x:c r="F699" s="20" t="str">
        <x:v>Web</x:v>
      </x:c>
      <x:c r="G699" s="20" t="str">
        <x:v>Scan attachment + manual lifecycle</x:v>
      </x:c>
      <x:c r="H699" s="35" t="str">
        <x:v>Record notice and plan lease ending</x:v>
      </x:c>
      <x:c r="I699" s="35" t="str">
        <x:v>L017; U017</x:v>
      </x:c>
      <x:c r="J699" s="35" t="str">
        <x:v>SCN-0941</x:v>
      </x:c>
      <x:c r="K699" s="35" t="str"/>
      <x:c r="L699" s="35" t="str">
        <x:v>Attach/capture the source notice; create the matching notice draft/history; record planned move-out and ending disposition; schedule inspection and turnover work.</x:v>
      </x:c>
      <x:c r="M699" s="35" t="str">
        <x:v>Notice source, effective dates, appointment, ending facts, and Unit next action agree without ending occupancy early.</x:v>
      </x:c>
      <x:c r="N699" s="35" t="str">
        <x:v>Notice source/preview; lease timeline; appointment; Unit summary; notification/audit.</x:v>
      </x:c>
      <x:c r="O699" s="35" t="str">
        <x:v>Use an upload date after the document date and prove both dates remain distinct.</x:v>
      </x:c>
      <x:c r="P699" s="35" t="str">
        <x:v>All expected records and amounts match; no unexplained error or stale state.</x:v>
      </x:c>
    </x:row>
    <x:row r="700">
      <x:c r="A700" s="20" t="str">
        <x:v>RUN-20270506-03</x:v>
      </x:c>
      <x:c r="B700" s="23" t="n">
        <x:v>46513</x:v>
      </x:c>
      <x:c r="C700" s="32" t="n">
        <x:v>3</x:v>
      </x:c>
      <x:c r="D700" s="20" t="str">
        <x:v>Role and screen certification</x:v>
      </x:c>
      <x:c r="E700" s="20" t="str">
        <x:v>Workspace Administrator</x:v>
      </x:c>
      <x:c r="F700" s="20" t="str">
        <x:v>Web</x:v>
      </x:c>
      <x:c r="G700" s="20" t="str">
        <x:v>Normal persona navigation</x:v>
      </x:c>
      <x:c r="H700" s="35" t="str">
        <x:v>Use every permitted action and state on /properties/[id]</x:v>
      </x:c>
      <x:c r="I700" s="35" t="str">
        <x:v>SCR-063; ROLE-095</x:v>
      </x:c>
      <x:c r="J700" s="35" t="str"/>
      <x:c r="K700" s="35" t="str"/>
      <x:c r="L70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00" s="35" t="str">
        <x:v>The persona can use every allowed action with only its assigned properties/relationships. Hidden or disabled actions explain why; an adjacent unauthorized persona is denied without metadata leakage.</x:v>
      </x:c>
      <x:c r="N700" s="35" t="str">
        <x:v>Persona/experience; navigation entry; desktop or device screenshots; result state; persisted read-back; audit/history; authorized and denied network result.</x:v>
      </x:c>
      <x:c r="O700" s="35" t="str">
        <x:v>Open the direct URL or deep link with an adjacent unauthorized persona and with stale scope; both fail closed and land safely without mutation.</x:v>
      </x:c>
      <x:c r="P700" s="35" t="str">
        <x:v>All expected records and amounts match; no unexplained error or stale state.</x:v>
      </x:c>
    </x:row>
    <x:row r="701">
      <x:c r="A701" s="20" t="str">
        <x:v>RUN-20270506-04</x:v>
      </x:c>
      <x:c r="B701" s="23" t="n">
        <x:v>46513</x:v>
      </x:c>
      <x:c r="C701" s="32" t="n">
        <x:v>4</x:v>
      </x:c>
      <x:c r="D701" s="20" t="str">
        <x:v>Role and screen certification</x:v>
      </x:c>
      <x:c r="E701" s="20" t="str">
        <x:v>Property Manager</x:v>
      </x:c>
      <x:c r="F701" s="20" t="str">
        <x:v>Web</x:v>
      </x:c>
      <x:c r="G701" s="20" t="str">
        <x:v>Normal persona navigation</x:v>
      </x:c>
      <x:c r="H701" s="35" t="str">
        <x:v>Use every permitted action and state on /properties/[id]</x:v>
      </x:c>
      <x:c r="I701" s="35" t="str">
        <x:v>SCR-063; ROLE-096</x:v>
      </x:c>
      <x:c r="J701" s="35" t="str"/>
      <x:c r="K701" s="35" t="str"/>
      <x:c r="L70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01" s="35" t="str">
        <x:v>The persona can use every allowed action with only its assigned properties/relationships. Hidden or disabled actions explain why; an adjacent unauthorized persona is denied without metadata leakage.</x:v>
      </x:c>
      <x:c r="N701" s="35" t="str">
        <x:v>Persona/experience; navigation entry; desktop or device screenshots; result state; persisted read-back; audit/history; authorized and denied network result.</x:v>
      </x:c>
      <x:c r="O701" s="35" t="str">
        <x:v>Open the direct URL or deep link with an adjacent unauthorized persona and with stale scope; both fail closed and land safely without mutation.</x:v>
      </x:c>
      <x:c r="P701" s="35" t="str">
        <x:v>All expected records and amounts match; no unexplained error or stale state.</x:v>
      </x:c>
    </x:row>
    <x:row r="702">
      <x:c r="A702" s="20" t="str">
        <x:v>RUN-20270506-05</x:v>
      </x:c>
      <x:c r="B702" s="23" t="n">
        <x:v>46513</x:v>
      </x:c>
      <x:c r="C702" s="32" t="n">
        <x:v>5</x:v>
      </x:c>
      <x:c r="D702" s="20" t="str">
        <x:v>Field certification</x:v>
      </x:c>
      <x:c r="E702" s="20" t="str">
        <x:v>Property Manager</x:v>
      </x:c>
      <x:c r="F702" s="20" t="str">
        <x:v>Web</x:v>
      </x:c>
      <x:c r="G702" s="20" t="str">
        <x:v>Manual field-by-field</x:v>
      </x:c>
      <x:c r="H702" s="35" t="str">
        <x:v>Fill, save, reload, edit, and validate every declared field on /accounting</x:v>
      </x:c>
      <x:c r="I702" s="35" t="str">
        <x:v>FLD-0337; FLD-0338; FLD-0339; FLD-0340</x:v>
      </x:c>
      <x:c r="J702" s="35" t="str"/>
      <x:c r="K702" s="35" t="str"/>
      <x:c r="L702" s="35" t="str">
        <x:v>Use the source-derived Field Inventory. Enter non-default realistic values in every control (expense-vendor-address-input; expense-vendor-phone-input; expense-vendor-website-input; expense-vendor-taxid-input); submit; reload or relaunch; compare every value; edit each mutable field; verify the paired client; then run required, format, length, range, boundary, optional-null, and stale-submit checks.</x:v>
      </x:c>
      <x:c r="M702" s="35" t="str">
        <x:v>All 4 inventoried controls persist exact normalized values, invalid values stay unsaved with clear errors, and hidden/unauthorized fields cannot be altered.</x:v>
      </x:c>
      <x:c r="N702" s="35" t="str">
        <x:v>Before/after form screenshots; FLD IDs; API response; reloaded UI; paired-client read-back; database/audit evidence; negative validation result.</x:v>
      </x:c>
      <x:c r="O702" s="35" t="str">
        <x:v>Use a duplicate submit and one simulated network interruption; one atomic mutation or none, never partial state.</x:v>
      </x:c>
      <x:c r="P702" s="35" t="str">
        <x:v>All expected records and amounts match; no unexplained error or stale state.</x:v>
      </x:c>
    </x:row>
    <x:row r="703">
      <x:c r="A703" s="20" t="str">
        <x:v>RUN-20270506-06</x:v>
      </x:c>
      <x:c r="B703" s="23" t="n">
        <x:v>46513</x:v>
      </x:c>
      <x:c r="C703" s="32" t="n">
        <x:v>6</x:v>
      </x:c>
      <x:c r="D703" s="20" t="str">
        <x:v>Surface coverage</x:v>
      </x:c>
      <x:c r="E703" s="20" t="str">
        <x:v>Role appropriate to surface</x:v>
      </x:c>
      <x:c r="F703" s="20" t="str">
        <x:v>Web</x:v>
      </x:c>
      <x:c r="G703" s="20" t="str">
        <x:v>Manual</x:v>
      </x:c>
      <x:c r="H703" s="35" t="str">
        <x:v>Manual web pass: Ending disposition, possession return, transfer</x:v>
      </x:c>
      <x:c r="I703" s="35" t="str">
        <x:v>COV-016</x:v>
      </x:c>
      <x:c r="J703" s="35" t="str"/>
      <x:c r="K703" s="35" t="str"/>
      <x:c r="L703" s="35" t="str">
        <x:v>Record notice, plan move-out, return possession, transfer U008 to U040, and preserve historical accounts.</x:v>
      </x:c>
      <x:c r="M703" s="35" t="str">
        <x:v>The supported workflow completes and persists correctly; if the capability is absent, the exact gap is proven and queued rather than silently skipped.</x:v>
      </x:c>
      <x:c r="N703" s="35" t="str">
        <x:v>Real UI screenshot/state; submitted values; persisted read-back; cross-client read-back; audit/role/access evidence.</x:v>
      </x:c>
      <x:c r="O703" s="35" t="str">
        <x:v>Use one invalid value, stale-state retry, or duplicate submission relevant to the form; no partial or duplicate mutation.</x:v>
      </x:c>
      <x:c r="P703" s="35" t="str">
        <x:v>All expected records and amounts match; no unexplained error or stale state.</x:v>
      </x:c>
    </x:row>
    <x:row r="704">
      <x:c r="A704" s="20" t="str">
        <x:v>RUN-20270507-01</x:v>
      </x:c>
      <x:c r="B704" s="23" t="n">
        <x:v>46514</x:v>
      </x:c>
      <x:c r="C704" s="32" t="n">
        <x:v>1</x:v>
      </x:c>
      <x:c r="D704" s="20" t="str">
        <x:v>Role and screen certification</x:v>
      </x:c>
      <x:c r="E704" s="20" t="str">
        <x:v>Workspace Administrator</x:v>
      </x:c>
      <x:c r="F704" s="20" t="str">
        <x:v>Web</x:v>
      </x:c>
      <x:c r="G704" s="20" t="str">
        <x:v>Normal persona navigation</x:v>
      </x:c>
      <x:c r="H704" s="35" t="str">
        <x:v>Use every permitted action and state on /reports</x:v>
      </x:c>
      <x:c r="I704" s="35" t="str">
        <x:v>SCR-064; ROLE-097</x:v>
      </x:c>
      <x:c r="J704" s="35" t="str"/>
      <x:c r="K704" s="35" t="str"/>
      <x:c r="L70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04" s="35" t="str">
        <x:v>The persona can use every allowed action with only its assigned properties/relationships. Hidden or disabled actions explain why; an adjacent unauthorized persona is denied without metadata leakage.</x:v>
      </x:c>
      <x:c r="N704" s="35" t="str">
        <x:v>Persona/experience; navigation entry; desktop or device screenshots; result state; persisted read-back; audit/history; authorized and denied network result.</x:v>
      </x:c>
      <x:c r="O704" s="35" t="str">
        <x:v>Open the direct URL or deep link with an adjacent unauthorized persona and with stale scope; both fail closed and land safely without mutation.</x:v>
      </x:c>
      <x:c r="P704" s="35" t="str">
        <x:v>All expected records and amounts match; no unexplained error or stale state.</x:v>
      </x:c>
    </x:row>
    <x:row r="705">
      <x:c r="A705" s="20" t="str">
        <x:v>RUN-20270507-02</x:v>
      </x:c>
      <x:c r="B705" s="23" t="n">
        <x:v>46514</x:v>
      </x:c>
      <x:c r="C705" s="32" t="n">
        <x:v>2</x:v>
      </x:c>
      <x:c r="D705" s="20" t="str">
        <x:v>Role and screen certification</x:v>
      </x:c>
      <x:c r="E705" s="20" t="str">
        <x:v>Property Manager</x:v>
      </x:c>
      <x:c r="F705" s="20" t="str">
        <x:v>Web</x:v>
      </x:c>
      <x:c r="G705" s="20" t="str">
        <x:v>Normal persona navigation</x:v>
      </x:c>
      <x:c r="H705" s="35" t="str">
        <x:v>Use every permitted action and state on /reports</x:v>
      </x:c>
      <x:c r="I705" s="35" t="str">
        <x:v>SCR-064; ROLE-098</x:v>
      </x:c>
      <x:c r="J705" s="35" t="str"/>
      <x:c r="K705" s="35" t="str"/>
      <x:c r="L70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05" s="35" t="str">
        <x:v>The persona can use every allowed action with only its assigned properties/relationships. Hidden or disabled actions explain why; an adjacent unauthorized persona is denied without metadata leakage.</x:v>
      </x:c>
      <x:c r="N705" s="35" t="str">
        <x:v>Persona/experience; navigation entry; desktop or device screenshots; result state; persisted read-back; audit/history; authorized and denied network result.</x:v>
      </x:c>
      <x:c r="O705" s="35" t="str">
        <x:v>Open the direct URL or deep link with an adjacent unauthorized persona and with stale scope; both fail closed and land safely without mutation.</x:v>
      </x:c>
      <x:c r="P705" s="35" t="str">
        <x:v>All expected records and amounts match; no unexplained error or stale state.</x:v>
      </x:c>
    </x:row>
    <x:row r="706">
      <x:c r="A706" s="20" t="str">
        <x:v>RUN-20270507-03</x:v>
      </x:c>
      <x:c r="B706" s="23" t="n">
        <x:v>46514</x:v>
      </x:c>
      <x:c r="C706" s="32" t="n">
        <x:v>3</x:v>
      </x:c>
      <x:c r="D706" s="20" t="str">
        <x:v>Field certification</x:v>
      </x:c>
      <x:c r="E706" s="20" t="str">
        <x:v>Property Manager</x:v>
      </x:c>
      <x:c r="F706" s="20" t="str">
        <x:v>Web</x:v>
      </x:c>
      <x:c r="G706" s="20" t="str">
        <x:v>Manual field-by-field</x:v>
      </x:c>
      <x:c r="H706" s="35" t="str">
        <x:v>Fill, save, reload, edit, and validate every declared field on /accounting</x:v>
      </x:c>
      <x:c r="I706" s="35" t="str">
        <x:v>FLD-0341; FLD-0342; FLD-0343; FLD-0344; FLD-0345</x:v>
      </x:c>
      <x:c r="J706" s="35" t="str"/>
      <x:c r="K706" s="35" t="str"/>
      <x:c r="L706" s="35" t="str">
        <x:v>Use the source-derived Field Inventory. Enter non-default realistic values in every control (expense-receipt-number-input; expense-payment-method-input; expense-card-last4-input; expense-tax-rate-input; expense-tip-input); submit; reload or relaunch; compare every value; edit each mutable field; verify the paired client; then run required, format, length, range, boundary, optional-null, and stale-submit checks.</x:v>
      </x:c>
      <x:c r="M706" s="35" t="str">
        <x:v>All 5 inventoried controls persist exact normalized values, invalid values stay unsaved with clear errors, and hidden/unauthorized fields cannot be altered.</x:v>
      </x:c>
      <x:c r="N706" s="35" t="str">
        <x:v>Before/after form screenshots; FLD IDs; API response; reloaded UI; paired-client read-back; database/audit evidence; negative validation result.</x:v>
      </x:c>
      <x:c r="O706" s="35" t="str">
        <x:v>Use a duplicate submit and one simulated network interruption; one atomic mutation or none, never partial state.</x:v>
      </x:c>
      <x:c r="P706" s="35" t="str">
        <x:v>All expected records and amounts match; no unexplained error or stale state.</x:v>
      </x:c>
    </x:row>
    <x:row r="707">
      <x:c r="A707" s="20" t="str">
        <x:v>RUN-20270507-04</x:v>
      </x:c>
      <x:c r="B707" s="23" t="n">
        <x:v>46514</x:v>
      </x:c>
      <x:c r="C707" s="32" t="n">
        <x:v>4</x:v>
      </x:c>
      <x:c r="D707" s="20" t="str">
        <x:v>Notification certification</x:v>
      </x:c>
      <x:c r="E707" s="20" t="str">
        <x:v>All participants</x:v>
      </x:c>
      <x:c r="F707" s="20" t="str">
        <x:v>Web + Mobile</x:v>
      </x:c>
      <x:c r="G707" s="20" t="str">
        <x:v>System event + preference/manual verification</x:v>
      </x:c>
      <x:c r="H707" s="35" t="str">
        <x:v>Trigger and prove notification: Appointment cancelled</x:v>
      </x:c>
      <x:c r="I707" s="35" t="str">
        <x:v>NTF-016</x:v>
      </x:c>
      <x:c r="J707" s="35" t="str"/>
      <x:c r="K707" s="35" t="str"/>
      <x:c r="L707" s="35" t="str">
        <x:v>Set each recipient's preferences; trigger the real business event; inspect routing and recipient scope; verify unread badge, list item, safe preview, appointment history deep link, mark-read sync, configured channel outcome, provider failure/retry, and duplicate suppression.</x:v>
      </x:c>
      <x:c r="M707" s="35" t="str">
        <x:v>Exactly the intended recipients receive one correctly routed notification; disabled optional channels stay silent; deep link opens authorized context; read state synchronizes.</x:v>
      </x:c>
      <x:c r="N707" s="35" t="str">
        <x:v>Trigger record; routing decision; outbox/delivery status; web/mobile inbox; lock-screen-safe copy; deep-link target; audit/provider retry evidence.</x:v>
      </x:c>
      <x:c r="O707" s="35" t="str">
        <x:v>Re-run the worker and deliver a duplicate provider callback; no duplicate user-visible event. Attempt the deep link as an unauthorized adjacent role.</x:v>
      </x:c>
      <x:c r="P707" s="35" t="str">
        <x:v>All expected records and amounts match; no unexplained error or stale state.</x:v>
      </x:c>
    </x:row>
    <x:row r="708">
      <x:c r="A708" s="20" t="str">
        <x:v>RUN-20270508-01</x:v>
      </x:c>
      <x:c r="B708" s="23" t="n">
        <x:v>46515</x:v>
      </x:c>
      <x:c r="C708" s="32" t="n">
        <x:v>1</x:v>
      </x:c>
      <x:c r="D708" s="20" t="str">
        <x:v>Monthly operations</x:v>
      </x:c>
      <x:c r="E708" s="20" t="str">
        <x:v>Property Manager</x:v>
      </x:c>
      <x:c r="F708" s="20" t="str">
        <x:v>Web</x:v>
      </x:c>
      <x:c r="G708" s="20" t="str">
        <x:v>Scanned check</x:v>
      </x:c>
      <x:c r="H708" s="35" t="str">
        <x:v>Post and allocate tenant receipt</x:v>
      </x:c>
      <x:c r="I708" s="35" t="str">
        <x:v>P013; U013; L013</x:v>
      </x:c>
      <x:c r="J708" s="35" t="str">
        <x:v>SCN-0177</x:v>
      </x:c>
      <x:c r="K708" s="35" t="str">
        <x:v>FIN-00360; FIN-00361</x:v>
      </x:c>
      <x:c r="L708" s="35" t="str">
        <x:v>Open Scan for paper payment or the tenant-account receipt form for electronic payment; verify tenant/lease match, amount, date, method, and reference; confirm once; open ledger detail and allocation.</x:v>
      </x:c>
      <x:c r="M708" s="35" t="str">
        <x:v>Receipt is append-only, allocated once to the correct rent charge, and visible consistently in Unit, Lease, Tenant Account, Accounting, and portal views.</x:v>
      </x:c>
      <x:c r="N708" s="35" t="str">
        <x:v>Scan review or form; success result; exact ledger rows; payment detail; accounting delta; portal receipt.</x:v>
      </x:c>
      <x:c r="O708" s="35" t="str">
        <x:v>Retry the idempotency key once during the quarter assigned in the coverage matrix; no duplicate cash or allocation.</x:v>
      </x:c>
      <x:c r="P708" s="35" t="str">
        <x:v>All expected records and amounts match; no unexplained error or stale state.</x:v>
      </x:c>
    </x:row>
    <x:row r="709">
      <x:c r="A709" s="20" t="str">
        <x:v>RUN-20270508-02</x:v>
      </x:c>
      <x:c r="B709" s="23" t="n">
        <x:v>46515</x:v>
      </x:c>
      <x:c r="C709" s="32" t="n">
        <x:v>2</x:v>
      </x:c>
      <x:c r="D709" s="20" t="str">
        <x:v>Monthly operations</x:v>
      </x:c>
      <x:c r="E709" s="20" t="str">
        <x:v>Property Manager</x:v>
      </x:c>
      <x:c r="F709" s="20" t="str">
        <x:v>Mobile</x:v>
      </x:c>
      <x:c r="G709" s="20" t="str">
        <x:v>Scanned money order</x:v>
      </x:c>
      <x:c r="H709" s="35" t="str">
        <x:v>Post and allocate tenant receipt</x:v>
      </x:c>
      <x:c r="I709" s="35" t="str">
        <x:v>P023; U026; L026</x:v>
      </x:c>
      <x:c r="J709" s="35" t="str">
        <x:v>SCN-0185</x:v>
      </x:c>
      <x:c r="K709" s="35" t="str">
        <x:v>FIN-00389; FIN-00390</x:v>
      </x:c>
      <x:c r="L709" s="35" t="str">
        <x:v>Open Scan for paper payment or the tenant-account receipt form for electronic payment; verify tenant/lease match, amount, date, method, and reference; confirm once; open ledger detail and allocation.</x:v>
      </x:c>
      <x:c r="M709" s="35" t="str">
        <x:v>Receipt is append-only, allocated once to the correct rent charge, and visible consistently in Unit, Lease, Tenant Account, Accounting, and portal views.</x:v>
      </x:c>
      <x:c r="N709" s="35" t="str">
        <x:v>Scan review or form; success result; exact ledger rows; payment detail; accounting delta; portal receipt.</x:v>
      </x:c>
      <x:c r="O709" s="35" t="str">
        <x:v>Retry the idempotency key once during the quarter assigned in the coverage matrix; no duplicate cash or allocation.</x:v>
      </x:c>
      <x:c r="P709" s="35" t="str">
        <x:v>All expected records and amounts match; no unexplained error or stale state.</x:v>
      </x:c>
    </x:row>
    <x:row r="710">
      <x:c r="A710" s="20" t="str">
        <x:v>RUN-20270510-01</x:v>
      </x:c>
      <x:c r="B710" s="23" t="n">
        <x:v>46517</x:v>
      </x:c>
      <x:c r="C710" s="32" t="n">
        <x:v>1</x:v>
      </x:c>
      <x:c r="D710" s="20" t="str">
        <x:v>Weekly operations</x:v>
      </x:c>
      <x:c r="E710" s="20" t="str">
        <x:v>Property Manager</x:v>
      </x:c>
      <x:c r="F710" s="20" t="str">
        <x:v>Mobile</x:v>
      </x:c>
      <x:c r="G710" s="20" t="str">
        <x:v>Scan-first</x:v>
      </x:c>
      <x:c r="H710" s="35" t="str">
        <x:v>Create and triage maintenance request</x:v>
      </x:c>
      <x:c r="I710" s="35" t="str">
        <x:v>P014; U014; WO-2027-019</x:v>
      </x:c>
      <x:c r="J710" s="35" t="str">
        <x:v>SCN-0380</x:v>
      </x:c>
      <x:c r="K710" s="35" t="str"/>
      <x:c r="L710" s="35" t="str">
        <x:v>Capture the tenant note/photo; review yard cleanup; confirm; set responsibility; dispatch ClearFlow Restoration; create an appointment and verify the tenant notification.</x:v>
      </x:c>
      <x:c r="M710" s="35" t="str">
        <x:v>Work order, status timeline, responsibility, vendor dispatch, appointment, notification, and Unit context are linked once.</x:v>
      </x:c>
      <x:c r="N710" s="35" t="str">
        <x:v>Scan review; work order detail/timeline; dispatch; appointment; notification; tenant portal view.</x:v>
      </x:c>
      <x:c r="O710" s="35" t="str">
        <x:v>Cancel one dispatch each quarter, reassign once, and prove status/history remains append-only.</x:v>
      </x:c>
      <x:c r="P710" s="35" t="str">
        <x:v>All expected records and amounts match; no unexplained error or stale state.</x:v>
      </x:c>
    </x:row>
    <x:row r="711">
      <x:c r="A711" s="20" t="str">
        <x:v>RUN-20270510-02</x:v>
      </x:c>
      <x:c r="B711" s="23" t="n">
        <x:v>46517</x:v>
      </x:c>
      <x:c r="C711" s="32" t="n">
        <x:v>2</x:v>
      </x:c>
      <x:c r="D711" s="20" t="str">
        <x:v>Role and screen certification</x:v>
      </x:c>
      <x:c r="E711" s="20" t="str">
        <x:v>Workspace Administrator</x:v>
      </x:c>
      <x:c r="F711" s="20" t="str">
        <x:v>Web</x:v>
      </x:c>
      <x:c r="G711" s="20" t="str">
        <x:v>Normal persona navigation</x:v>
      </x:c>
      <x:c r="H711" s="35" t="str">
        <x:v>Use every permitted action and state on /reports/[report]</x:v>
      </x:c>
      <x:c r="I711" s="35" t="str">
        <x:v>SCR-065; ROLE-099</x:v>
      </x:c>
      <x:c r="J711" s="35" t="str"/>
      <x:c r="K711" s="35" t="str"/>
      <x:c r="L71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11" s="35" t="str">
        <x:v>The persona can use every allowed action with only its assigned properties/relationships. Hidden or disabled actions explain why; an adjacent unauthorized persona is denied without metadata leakage.</x:v>
      </x:c>
      <x:c r="N711" s="35" t="str">
        <x:v>Persona/experience; navigation entry; desktop or device screenshots; result state; persisted read-back; audit/history; authorized and denied network result.</x:v>
      </x:c>
      <x:c r="O711" s="35" t="str">
        <x:v>Open the direct URL or deep link with an adjacent unauthorized persona and with stale scope; both fail closed and land safely without mutation.</x:v>
      </x:c>
      <x:c r="P711" s="35" t="str">
        <x:v>All expected records and amounts match; no unexplained error or stale state.</x:v>
      </x:c>
    </x:row>
    <x:row r="712">
      <x:c r="A712" s="20" t="str">
        <x:v>RUN-20270510-03</x:v>
      </x:c>
      <x:c r="B712" s="23" t="n">
        <x:v>46517</x:v>
      </x:c>
      <x:c r="C712" s="32" t="n">
        <x:v>3</x:v>
      </x:c>
      <x:c r="D712" s="20" t="str">
        <x:v>Role and screen certification</x:v>
      </x:c>
      <x:c r="E712" s="20" t="str">
        <x:v>Property Manager</x:v>
      </x:c>
      <x:c r="F712" s="20" t="str">
        <x:v>Web</x:v>
      </x:c>
      <x:c r="G712" s="20" t="str">
        <x:v>Normal persona navigation</x:v>
      </x:c>
      <x:c r="H712" s="35" t="str">
        <x:v>Use every permitted action and state on /reports/[report]</x:v>
      </x:c>
      <x:c r="I712" s="35" t="str">
        <x:v>SCR-065; ROLE-100</x:v>
      </x:c>
      <x:c r="J712" s="35" t="str"/>
      <x:c r="K712" s="35" t="str"/>
      <x:c r="L7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12" s="35" t="str">
        <x:v>The persona can use every allowed action with only its assigned properties/relationships. Hidden or disabled actions explain why; an adjacent unauthorized persona is denied without metadata leakage.</x:v>
      </x:c>
      <x:c r="N712" s="35" t="str">
        <x:v>Persona/experience; navigation entry; desktop or device screenshots; result state; persisted read-back; audit/history; authorized and denied network result.</x:v>
      </x:c>
      <x:c r="O712" s="35" t="str">
        <x:v>Open the direct URL or deep link with an adjacent unauthorized persona and with stale scope; both fail closed and land safely without mutation.</x:v>
      </x:c>
      <x:c r="P712" s="35" t="str">
        <x:v>All expected records and amounts match; no unexplained error or stale state.</x:v>
      </x:c>
    </x:row>
    <x:row r="713">
      <x:c r="A713" s="20" t="str">
        <x:v>RUN-20270510-04</x:v>
      </x:c>
      <x:c r="B713" s="23" t="n">
        <x:v>46517</x:v>
      </x:c>
      <x:c r="C713" s="32" t="n">
        <x:v>4</x:v>
      </x:c>
      <x:c r="D713" s="20" t="str">
        <x:v>Field certification</x:v>
      </x:c>
      <x:c r="E713" s="20" t="str">
        <x:v>Property Manager</x:v>
      </x:c>
      <x:c r="F713" s="20" t="str">
        <x:v>Web</x:v>
      </x:c>
      <x:c r="G713" s="20" t="str">
        <x:v>Manual field-by-field</x:v>
      </x:c>
      <x:c r="H713" s="35" t="str">
        <x:v>Fill, save, reload, edit, and validate every declared field on /accounting</x:v>
      </x:c>
      <x:c r="I713" s="35" t="str">
        <x:v>FLD-0346; FLD-0347</x:v>
      </x:c>
      <x:c r="J713" s="35" t="str"/>
      <x:c r="K713" s="35" t="str"/>
      <x:c r="L713" s="35" t="str">
        <x:v>Use the source-derived Field Inventory. Enter non-default realistic values in every control (expense-discount-input; expense-shipping-input); submit; reload or relaunch; compare every value; edit each mutable field; verify the paired client; then run required, format, length, range, boundary, optional-null, and stale-submit checks.</x:v>
      </x:c>
      <x:c r="M713" s="35" t="str">
        <x:v>All 2 inventoried controls persist exact normalized values, invalid values stay unsaved with clear errors, and hidden/unauthorized fields cannot be altered.</x:v>
      </x:c>
      <x:c r="N713" s="35" t="str">
        <x:v>Before/after form screenshots; FLD IDs; API response; reloaded UI; paired-client read-back; database/audit evidence; negative validation result.</x:v>
      </x:c>
      <x:c r="O713" s="35" t="str">
        <x:v>Use a duplicate submit and one simulated network interruption; one atomic mutation or none, never partial state.</x:v>
      </x:c>
      <x:c r="P713" s="35" t="str">
        <x:v>All expected records and amounts match; no unexplained error or stale state.</x:v>
      </x:c>
    </x:row>
    <x:row r="714">
      <x:c r="A714" s="20" t="str">
        <x:v>RUN-20270510-05</x:v>
      </x:c>
      <x:c r="B714" s="23" t="n">
        <x:v>46517</x:v>
      </x:c>
      <x:c r="C714" s="32" t="n">
        <x:v>5</x:v>
      </x:c>
      <x:c r="D714" s="20" t="str">
        <x:v>Field certification</x:v>
      </x:c>
      <x:c r="E714" s="20" t="str">
        <x:v>Property Manager</x:v>
      </x:c>
      <x:c r="F714" s="20" t="str">
        <x:v>Web</x:v>
      </x:c>
      <x:c r="G714" s="20" t="str">
        <x:v>Manual field-by-field</x:v>
      </x:c>
      <x:c r="H714" s="35" t="str">
        <x:v>Fill, save, reload, edit, and validate every declared field on /accounting/past-due</x:v>
      </x:c>
      <x:c r="I714" s="35" t="str">
        <x:v>FLD-0348; FLD-0349</x:v>
      </x:c>
      <x:c r="J714" s="35" t="str"/>
      <x:c r="K714" s="35" t="str"/>
      <x:c r="L714" s="35" t="str">
        <x:v>Use the source-derived Field Inventory. Enter non-default realistic values in every control (markPaidForm.method; past-due-mark-paid-method-input); submit; reload or relaunch; compare every value; edit each mutable field; verify the paired client; then run required, format, length, range, boundary, optional-null, and stale-submit checks.</x:v>
      </x:c>
      <x:c r="M714" s="35" t="str">
        <x:v>All 2 inventoried controls persist exact normalized values, invalid values stay unsaved with clear errors, and hidden/unauthorized fields cannot be altered.</x:v>
      </x:c>
      <x:c r="N714" s="35" t="str">
        <x:v>Before/after form screenshots; FLD IDs; API response; reloaded UI; paired-client read-back; database/audit evidence; negative validation result.</x:v>
      </x:c>
      <x:c r="O714" s="35" t="str">
        <x:v>Use a duplicate submit and one simulated network interruption; one atomic mutation or none, never partial state.</x:v>
      </x:c>
      <x:c r="P714" s="35" t="str">
        <x:v>All expected records and amounts match; no unexplained error or stale state.</x:v>
      </x:c>
    </x:row>
    <x:row r="715">
      <x:c r="A715" s="20" t="str">
        <x:v>RUN-20270510-06</x:v>
      </x:c>
      <x:c r="B715" s="23" t="n">
        <x:v>46517</x:v>
      </x:c>
      <x:c r="C715" s="32" t="n">
        <x:v>6</x:v>
      </x:c>
      <x:c r="D715" s="20" t="str">
        <x:v>Surface coverage</x:v>
      </x:c>
      <x:c r="E715" s="20" t="str">
        <x:v>Role appropriate to surface</x:v>
      </x:c>
      <x:c r="F715" s="20" t="str">
        <x:v>Mobile</x:v>
      </x:c>
      <x:c r="G715" s="20" t="str">
        <x:v>Manual</x:v>
      </x:c>
      <x:c r="H715" s="35" t="str">
        <x:v>Manual mobile pass: Ending disposition, possession return, transfer</x:v>
      </x:c>
      <x:c r="I715" s="35" t="str">
        <x:v>COV-016</x:v>
      </x:c>
      <x:c r="J715" s="35" t="str"/>
      <x:c r="K715" s="35" t="str"/>
      <x:c r="L715" s="35" t="str">
        <x:v>Record notice, plan move-out, return possession, transfer U008 to U040, and preserve historical accounts.</x:v>
      </x:c>
      <x:c r="M715" s="35" t="str">
        <x:v>The supported workflow completes and persists correctly; if the capability is absent, the exact gap is proven and queued rather than silently skipped.</x:v>
      </x:c>
      <x:c r="N715" s="35" t="str">
        <x:v>Real UI screenshot/state; submitted values; persisted read-back; cross-client read-back; audit/role/access evidence.</x:v>
      </x:c>
      <x:c r="O715" s="35" t="str">
        <x:v>Use one invalid value, stale-state retry, or duplicate submission relevant to the form; no partial or duplicate mutation.</x:v>
      </x:c>
      <x:c r="P715" s="35" t="str">
        <x:v>All expected records and amounts match; no unexplained error or stale state.</x:v>
      </x:c>
    </x:row>
    <x:row r="716">
      <x:c r="A716" s="20" t="str">
        <x:v>RUN-20270511-01</x:v>
      </x:c>
      <x:c r="B716" s="23" t="n">
        <x:v>46518</x:v>
      </x:c>
      <x:c r="C716" s="32" t="n">
        <x:v>1</x:v>
      </x:c>
      <x:c r="D716" s="20" t="str">
        <x:v>Weekly operations</x:v>
      </x:c>
      <x:c r="E716" s="20" t="str">
        <x:v>Property Manager</x:v>
      </x:c>
      <x:c r="F716" s="20" t="str">
        <x:v>Mobile</x:v>
      </x:c>
      <x:c r="G716" s="20" t="str">
        <x:v>Scanned receipt/invoice</x:v>
      </x:c>
      <x:c r="H716" s="35" t="str">
        <x:v>Record, review, allocate, and pay operating expense</x:v>
      </x:c>
      <x:c r="I716" s="35" t="str">
        <x:v>P014; U014; WO-2027-019</x:v>
      </x:c>
      <x:c r="J716" s="35" t="str">
        <x:v>SCN-0381</x:v>
      </x:c>
      <x:c r="K716" s="35" t="str">
        <x:v>FIN-01042</x:v>
      </x:c>
      <x:c r="L716" s="35" t="str">
        <x:v>Capture or upload the source; verify vendor, date, scope, category, line items, tax, amount, and work-order link; confirm; open detail; verify attachment; compare Money and Property/Unit views.</x:v>
      </x:c>
      <x:c r="M716" s="35" t="str">
        <x:v>One expense exists at its real operational scope, cash falls once, Schedule E category and allocations agree, and no per-unit copies are created.</x:v>
      </x:c>
      <x:c r="N716" s="35" t="str">
        <x:v>Source preview; review/form; expense detail; line items; Property/Unit ledger; audit; accounting/report delta.</x:v>
      </x:c>
      <x:c r="O716" s="35" t="str">
        <x:v>On marked duplicate-invoice cases, re-upload before confirm and prove the product prevents or clearly warns about duplication.</x:v>
      </x:c>
      <x:c r="P716" s="35" t="str">
        <x:v>All expected records and amounts match; no unexplained error or stale state.</x:v>
      </x:c>
    </x:row>
    <x:row r="717">
      <x:c r="A717" s="20" t="str">
        <x:v>RUN-20270511-02</x:v>
      </x:c>
      <x:c r="B717" s="23" t="n">
        <x:v>46518</x:v>
      </x:c>
      <x:c r="C717" s="32" t="n">
        <x:v>2</x:v>
      </x:c>
      <x:c r="D717" s="20" t="str">
        <x:v>Role and screen certification</x:v>
      </x:c>
      <x:c r="E717" s="20" t="str">
        <x:v>Workspace Administrator</x:v>
      </x:c>
      <x:c r="F717" s="20" t="str">
        <x:v>Web</x:v>
      </x:c>
      <x:c r="G717" s="20" t="str">
        <x:v>Normal persona navigation</x:v>
      </x:c>
      <x:c r="H717" s="35" t="str">
        <x:v>Use every permitted action and state on /scan</x:v>
      </x:c>
      <x:c r="I717" s="35" t="str">
        <x:v>SCR-066; ROLE-101</x:v>
      </x:c>
      <x:c r="J717" s="35" t="str"/>
      <x:c r="K717" s="35" t="str"/>
      <x:c r="L7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17" s="35" t="str">
        <x:v>The persona can use every allowed action with only its assigned properties/relationships. Hidden or disabled actions explain why; an adjacent unauthorized persona is denied without metadata leakage.</x:v>
      </x:c>
      <x:c r="N717" s="35" t="str">
        <x:v>Persona/experience; navigation entry; desktop or device screenshots; result state; persisted read-back; audit/history; authorized and denied network result.</x:v>
      </x:c>
      <x:c r="O717" s="35" t="str">
        <x:v>Open the direct URL or deep link with an adjacent unauthorized persona and with stale scope; both fail closed and land safely without mutation.</x:v>
      </x:c>
      <x:c r="P717" s="35" t="str">
        <x:v>All expected records and amounts match; no unexplained error or stale state.</x:v>
      </x:c>
    </x:row>
    <x:row r="718">
      <x:c r="A718" s="20" t="str">
        <x:v>RUN-20270511-03</x:v>
      </x:c>
      <x:c r="B718" s="23" t="n">
        <x:v>46518</x:v>
      </x:c>
      <x:c r="C718" s="32" t="n">
        <x:v>3</x:v>
      </x:c>
      <x:c r="D718" s="20" t="str">
        <x:v>Role and screen certification</x:v>
      </x:c>
      <x:c r="E718" s="20" t="str">
        <x:v>Property Manager</x:v>
      </x:c>
      <x:c r="F718" s="20" t="str">
        <x:v>Web</x:v>
      </x:c>
      <x:c r="G718" s="20" t="str">
        <x:v>Normal persona navigation</x:v>
      </x:c>
      <x:c r="H718" s="35" t="str">
        <x:v>Use every permitted action and state on /scan</x:v>
      </x:c>
      <x:c r="I718" s="35" t="str">
        <x:v>SCR-066; ROLE-102</x:v>
      </x:c>
      <x:c r="J718" s="35" t="str"/>
      <x:c r="K718" s="35" t="str"/>
      <x:c r="L71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18" s="35" t="str">
        <x:v>The persona can use every allowed action with only its assigned properties/relationships. Hidden or disabled actions explain why; an adjacent unauthorized persona is denied without metadata leakage.</x:v>
      </x:c>
      <x:c r="N718" s="35" t="str">
        <x:v>Persona/experience; navigation entry; desktop or device screenshots; result state; persisted read-back; audit/history; authorized and denied network result.</x:v>
      </x:c>
      <x:c r="O718" s="35" t="str">
        <x:v>Open the direct URL or deep link with an adjacent unauthorized persona and with stale scope; both fail closed and land safely without mutation.</x:v>
      </x:c>
      <x:c r="P718" s="35" t="str">
        <x:v>All expected records and amounts match; no unexplained error or stale state.</x:v>
      </x:c>
    </x:row>
    <x:row r="719">
      <x:c r="A719" s="20" t="str">
        <x:v>RUN-20270511-04</x:v>
      </x:c>
      <x:c r="B719" s="23" t="n">
        <x:v>46518</x:v>
      </x:c>
      <x:c r="C719" s="32" t="n">
        <x:v>4</x:v>
      </x:c>
      <x:c r="D719" s="20" t="str">
        <x:v>Role and screen certification</x:v>
      </x:c>
      <x:c r="E719" s="20" t="str">
        <x:v>Leasing Agent</x:v>
      </x:c>
      <x:c r="F719" s="20" t="str">
        <x:v>Web</x:v>
      </x:c>
      <x:c r="G719" s="20" t="str">
        <x:v>Normal persona navigation</x:v>
      </x:c>
      <x:c r="H719" s="35" t="str">
        <x:v>Use every permitted action and state on /scan</x:v>
      </x:c>
      <x:c r="I719" s="35" t="str">
        <x:v>SCR-066; ROLE-103</x:v>
      </x:c>
      <x:c r="J719" s="35" t="str"/>
      <x:c r="K719" s="35" t="str"/>
      <x:c r="L7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19" s="35" t="str">
        <x:v>The persona can use every allowed action with only its assigned properties/relationships. Hidden or disabled actions explain why; an adjacent unauthorized persona is denied without metadata leakage.</x:v>
      </x:c>
      <x:c r="N719" s="35" t="str">
        <x:v>Persona/experience; navigation entry; desktop or device screenshots; result state; persisted read-back; audit/history; authorized and denied network result.</x:v>
      </x:c>
      <x:c r="O719" s="35" t="str">
        <x:v>Open the direct URL or deep link with an adjacent unauthorized persona and with stale scope; both fail closed and land safely without mutation.</x:v>
      </x:c>
      <x:c r="P719" s="35" t="str">
        <x:v>All expected records and amounts match; no unexplained error or stale state.</x:v>
      </x:c>
    </x:row>
    <x:row r="720">
      <x:c r="A720" s="20" t="str">
        <x:v>RUN-20270511-05</x:v>
      </x:c>
      <x:c r="B720" s="23" t="n">
        <x:v>46518</x:v>
      </x:c>
      <x:c r="C720" s="32" t="n">
        <x:v>5</x:v>
      </x:c>
      <x:c r="D720" s="20" t="str">
        <x:v>Role and screen certification</x:v>
      </x:c>
      <x:c r="E720" s="20" t="str">
        <x:v>Maintenance Technician</x:v>
      </x:c>
      <x:c r="F720" s="20" t="str">
        <x:v>Web</x:v>
      </x:c>
      <x:c r="G720" s="20" t="str">
        <x:v>Normal persona navigation</x:v>
      </x:c>
      <x:c r="H720" s="35" t="str">
        <x:v>Use every permitted action and state on /scan</x:v>
      </x:c>
      <x:c r="I720" s="35" t="str">
        <x:v>SCR-066; ROLE-104</x:v>
      </x:c>
      <x:c r="J720" s="35" t="str"/>
      <x:c r="K720" s="35" t="str"/>
      <x:c r="L7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20" s="35" t="str">
        <x:v>The persona can use every allowed action with only its assigned properties/relationships. Hidden or disabled actions explain why; an adjacent unauthorized persona is denied without metadata leakage.</x:v>
      </x:c>
      <x:c r="N720" s="35" t="str">
        <x:v>Persona/experience; navigation entry; desktop or device screenshots; result state; persisted read-back; audit/history; authorized and denied network result.</x:v>
      </x:c>
      <x:c r="O720" s="35" t="str">
        <x:v>Open the direct URL or deep link with an adjacent unauthorized persona and with stale scope; both fail closed and land safely without mutation.</x:v>
      </x:c>
      <x:c r="P720" s="35" t="str">
        <x:v>All expected records and amounts match; no unexplained error or stale state.</x:v>
      </x:c>
    </x:row>
    <x:row r="721">
      <x:c r="A721" s="20" t="str">
        <x:v>RUN-20270511-06</x:v>
      </x:c>
      <x:c r="B721" s="23" t="n">
        <x:v>46518</x:v>
      </x:c>
      <x:c r="C721" s="32" t="n">
        <x:v>6</x:v>
      </x:c>
      <x:c r="D721" s="20" t="str">
        <x:v>Field certification</x:v>
      </x:c>
      <x:c r="E721" s="20" t="str">
        <x:v>Property Manager</x:v>
      </x:c>
      <x:c r="F721" s="20" t="str">
        <x:v>Web</x:v>
      </x:c>
      <x:c r="G721" s="20" t="str">
        <x:v>Manual field-by-field</x:v>
      </x:c>
      <x:c r="H721" s="35" t="str">
        <x:v>Fill, save, reload, edit, and validate every declared field on /accounting/past-due</x:v>
      </x:c>
      <x:c r="I721" s="35" t="str">
        <x:v>FLD-0350; FLD-0351; FLD-0352; FLD-0353</x:v>
      </x:c>
      <x:c r="J721" s="35" t="str"/>
      <x:c r="K721" s="35" t="str"/>
      <x:c r="L721" s="35" t="str">
        <x:v>Use the source-derived Field Inventory. Enter non-default realistic values in every control (Select-3; Select-4; Select-5; past-due-mark-paid-reference-input); submit; reload or relaunch; compare every value; edit each mutable field; verify the paired client; then run required, format, length, range, boundary, optional-null, and stale-submit checks.</x:v>
      </x:c>
      <x:c r="M721" s="35" t="str">
        <x:v>All 4 inventoried controls persist exact normalized values, invalid values stay unsaved with clear errors, and hidden/unauthorized fields cannot be altered.</x:v>
      </x:c>
      <x:c r="N721" s="35" t="str">
        <x:v>Before/after form screenshots; FLD IDs; API response; reloaded UI; paired-client read-back; database/audit evidence; negative validation result.</x:v>
      </x:c>
      <x:c r="O721" s="35" t="str">
        <x:v>Use a duplicate submit and one simulated network interruption; one atomic mutation or none, never partial state.</x:v>
      </x:c>
      <x:c r="P721" s="35" t="str">
        <x:v>All expected records and amounts match; no unexplained error or stale state.</x:v>
      </x:c>
    </x:row>
    <x:row r="722">
      <x:c r="A722" s="20" t="str">
        <x:v>RUN-20270511-07</x:v>
      </x:c>
      <x:c r="B722" s="23" t="n">
        <x:v>46518</x:v>
      </x:c>
      <x:c r="C722" s="32" t="n">
        <x:v>7</x:v>
      </x:c>
      <x:c r="D722" s="20" t="str">
        <x:v>Surface coverage</x:v>
      </x:c>
      <x:c r="E722" s="20" t="str">
        <x:v>Role appropriate to surface</x:v>
      </x:c>
      <x:c r="F722" s="20" t="str">
        <x:v>Web</x:v>
      </x:c>
      <x:c r="G722" s="20" t="str">
        <x:v>Scan/attachment</x:v>
      </x:c>
      <x:c r="H722" s="35" t="str">
        <x:v>Scan web pass: Ending disposition, possession return, transfer</x:v>
      </x:c>
      <x:c r="I722" s="35" t="str">
        <x:v>COV-016</x:v>
      </x:c>
      <x:c r="J722" s="35" t="str"/>
      <x:c r="K722" s="35" t="str"/>
      <x:c r="L722" s="35" t="str">
        <x:v>Record notice, plan move-out, return possession, transfer U008 to U040, and preserve historical accounts.</x:v>
      </x:c>
      <x:c r="M722" s="35" t="str">
        <x:v>The supported workflow completes and persists correctly; if the capability is absent, the exact gap is proven and queued rather than silently skipped.</x:v>
      </x:c>
      <x:c r="N722" s="35" t="str">
        <x:v>Real UI screenshot/state; submitted values; persisted read-back; cross-client read-back; audit/role/access evidence.</x:v>
      </x:c>
      <x:c r="O722" s="35" t="str">
        <x:v>Use one invalid value, stale-state retry, or duplicate submission relevant to the form; no partial or duplicate mutation.</x:v>
      </x:c>
      <x:c r="P722" s="35" t="str">
        <x:v>All expected records and amounts match; no unexplained error or stale state.</x:v>
      </x:c>
    </x:row>
    <x:row r="723">
      <x:c r="A723" s="20" t="str">
        <x:v>RUN-20270512-01</x:v>
      </x:c>
      <x:c r="B723" s="23" t="n">
        <x:v>46519</x:v>
      </x:c>
      <x:c r="C723" s="32" t="n">
        <x:v>1</x:v>
      </x:c>
      <x:c r="D723" s="20" t="str">
        <x:v>Monthly operations</x:v>
      </x:c>
      <x:c r="E723" s="20" t="str">
        <x:v>Property Manager</x:v>
      </x:c>
      <x:c r="F723" s="20" t="str">
        <x:v>Mobile</x:v>
      </x:c>
      <x:c r="G723" s="20" t="str">
        <x:v>Scanned money order</x:v>
      </x:c>
      <x:c r="H723" s="35" t="str">
        <x:v>Post and allocate tenant receipt</x:v>
      </x:c>
      <x:c r="I723" s="35" t="str">
        <x:v>P011; U011; L011</x:v>
      </x:c>
      <x:c r="J723" s="35" t="str">
        <x:v>SCN-0175</x:v>
      </x:c>
      <x:c r="K723" s="35" t="str">
        <x:v>FIN-00355; FIN-00356</x:v>
      </x:c>
      <x:c r="L723" s="35" t="str">
        <x:v>Open Scan for paper payment or the tenant-account receipt form for electronic payment; verify tenant/lease match, amount, date, method, and reference; confirm once; open ledger detail and allocation.</x:v>
      </x:c>
      <x:c r="M723" s="35" t="str">
        <x:v>Receipt is append-only, allocated once to the correct rent charge, and visible consistently in Unit, Lease, Tenant Account, Accounting, and portal views.</x:v>
      </x:c>
      <x:c r="N723" s="35" t="str">
        <x:v>Scan review or form; success result; exact ledger rows; payment detail; accounting delta; portal receipt.</x:v>
      </x:c>
      <x:c r="O723" s="35" t="str">
        <x:v>Retry the idempotency key once during the quarter assigned in the coverage matrix; no duplicate cash or allocation.</x:v>
      </x:c>
      <x:c r="P723" s="35" t="str">
        <x:v>All expected records and amounts match; no unexplained error or stale state.</x:v>
      </x:c>
    </x:row>
    <x:row r="724">
      <x:c r="A724" s="20" t="str">
        <x:v>RUN-20270512-02</x:v>
      </x:c>
      <x:c r="B724" s="23" t="n">
        <x:v>46519</x:v>
      </x:c>
      <x:c r="C724" s="32" t="n">
        <x:v>2</x:v>
      </x:c>
      <x:c r="D724" s="20" t="str">
        <x:v>Monthly operations</x:v>
      </x:c>
      <x:c r="E724" s="20" t="str">
        <x:v>Property Manager</x:v>
      </x:c>
      <x:c r="F724" s="20" t="str">
        <x:v>Web</x:v>
      </x:c>
      <x:c r="G724" s="20" t="str">
        <x:v>Scanned check</x:v>
      </x:c>
      <x:c r="H724" s="35" t="str">
        <x:v>Post and allocate tenant receipt</x:v>
      </x:c>
      <x:c r="I724" s="35" t="str">
        <x:v>P021; U022; L022</x:v>
      </x:c>
      <x:c r="J724" s="35" t="str">
        <x:v>SCN-0182</x:v>
      </x:c>
      <x:c r="K724" s="35" t="str">
        <x:v>FIN-00380; FIN-00381</x:v>
      </x:c>
      <x:c r="L724" s="35" t="str">
        <x:v>Open Scan for paper payment or the tenant-account receipt form for electronic payment; verify tenant/lease match, amount, date, method, and reference; confirm once; open ledger detail and allocation.</x:v>
      </x:c>
      <x:c r="M724" s="35" t="str">
        <x:v>Receipt is append-only, allocated once to the correct rent charge, and visible consistently in Unit, Lease, Tenant Account, Accounting, and portal views.</x:v>
      </x:c>
      <x:c r="N724" s="35" t="str">
        <x:v>Scan review or form; success result; exact ledger rows; payment detail; accounting delta; portal receipt.</x:v>
      </x:c>
      <x:c r="O724" s="35" t="str">
        <x:v>Retry the idempotency key once during the quarter assigned in the coverage matrix; no duplicate cash or allocation.</x:v>
      </x:c>
      <x:c r="P724" s="35" t="str">
        <x:v>All expected records and amounts match; no unexplained error or stale state.</x:v>
      </x:c>
    </x:row>
    <x:row r="725">
      <x:c r="A725" s="20" t="str">
        <x:v>RUN-20270512-03</x:v>
      </x:c>
      <x:c r="B725" s="23" t="n">
        <x:v>46519</x:v>
      </x:c>
      <x:c r="C725" s="32" t="n">
        <x:v>3</x:v>
      </x:c>
      <x:c r="D725" s="20" t="str">
        <x:v>Monthly operations</x:v>
      </x:c>
      <x:c r="E725" s="20" t="str">
        <x:v>Property Manager</x:v>
      </x:c>
      <x:c r="F725" s="20" t="str">
        <x:v>Mobile</x:v>
      </x:c>
      <x:c r="G725" s="20" t="str">
        <x:v>Portal card</x:v>
      </x:c>
      <x:c r="H725" s="35" t="str">
        <x:v>Post and allocate tenant receipt</x:v>
      </x:c>
      <x:c r="I725" s="35" t="str">
        <x:v>P027; U033; L033</x:v>
      </x:c>
      <x:c r="J725" s="35" t="str"/>
      <x:c r="K725" s="35" t="str">
        <x:v>FIN-00405; FIN-00406</x:v>
      </x:c>
      <x:c r="L725" s="35" t="str">
        <x:v>Open Scan for paper payment or the tenant-account receipt form for electronic payment; verify tenant/lease match, amount, date, method, and reference; confirm once; open ledger detail and allocation.</x:v>
      </x:c>
      <x:c r="M725" s="35" t="str">
        <x:v>Receipt is append-only, allocated once to the correct rent charge, and visible consistently in Unit, Lease, Tenant Account, Accounting, and portal views.</x:v>
      </x:c>
      <x:c r="N725" s="35" t="str">
        <x:v>Scan review or form; success result; exact ledger rows; payment detail; accounting delta; portal receipt.</x:v>
      </x:c>
      <x:c r="O725" s="35" t="str">
        <x:v>Retry the idempotency key once during the quarter assigned in the coverage matrix; no duplicate cash or allocation.</x:v>
      </x:c>
      <x:c r="P725" s="35" t="str">
        <x:v>All expected records and amounts match; no unexplained error or stale state.</x:v>
      </x:c>
    </x:row>
    <x:row r="726">
      <x:c r="A726" s="20" t="str">
        <x:v>RUN-20270512-04</x:v>
      </x:c>
      <x:c r="B726" s="23" t="n">
        <x:v>46519</x:v>
      </x:c>
      <x:c r="C726" s="32" t="n">
        <x:v>4</x:v>
      </x:c>
      <x:c r="D726" s="20" t="str">
        <x:v>Monthly operations</x:v>
      </x:c>
      <x:c r="E726" s="20" t="str">
        <x:v>Property Manager</x:v>
      </x:c>
      <x:c r="F726" s="20" t="str">
        <x:v>Web</x:v>
      </x:c>
      <x:c r="G726" s="20" t="str">
        <x:v>Manual ACH</x:v>
      </x:c>
      <x:c r="H726" s="35" t="str">
        <x:v>Post and allocate tenant receipt</x:v>
      </x:c>
      <x:c r="I726" s="35" t="str">
        <x:v>P029; U038; L044</x:v>
      </x:c>
      <x:c r="J726" s="35" t="str"/>
      <x:c r="K726" s="35" t="str">
        <x:v>FIN-00419; FIN-00420</x:v>
      </x:c>
      <x:c r="L726" s="35" t="str">
        <x:v>Open Scan for paper payment or the tenant-account receipt form for electronic payment; verify tenant/lease match, amount, date, method, and reference; confirm once; open ledger detail and allocation.</x:v>
      </x:c>
      <x:c r="M726" s="35" t="str">
        <x:v>Receipt is append-only, allocated once to the correct rent charge, and visible consistently in Unit, Lease, Tenant Account, Accounting, and portal views.</x:v>
      </x:c>
      <x:c r="N726" s="35" t="str">
        <x:v>Scan review or form; success result; exact ledger rows; payment detail; accounting delta; portal receipt.</x:v>
      </x:c>
      <x:c r="O726" s="35" t="str">
        <x:v>Retry the idempotency key once during the quarter assigned in the coverage matrix; no duplicate cash or allocation.</x:v>
      </x:c>
      <x:c r="P726" s="35" t="str">
        <x:v>All expected records and amounts match; no unexplained error or stale state.</x:v>
      </x:c>
    </x:row>
    <x:row r="727">
      <x:c r="A727" s="20" t="str">
        <x:v>RUN-20270512-05</x:v>
      </x:c>
      <x:c r="B727" s="23" t="n">
        <x:v>46519</x:v>
      </x:c>
      <x:c r="C727" s="32" t="n">
        <x:v>5</x:v>
      </x:c>
      <x:c r="D727" s="20" t="str">
        <x:v>Field certification</x:v>
      </x:c>
      <x:c r="E727" s="20" t="str">
        <x:v>Property Manager</x:v>
      </x:c>
      <x:c r="F727" s="20" t="str">
        <x:v>Web</x:v>
      </x:c>
      <x:c r="G727" s="20" t="str">
        <x:v>Manual field-by-field</x:v>
      </x:c>
      <x:c r="H727" s="35" t="str">
        <x:v>Fill, save, reload, edit, and validate every declared field on /accounting/past-due</x:v>
      </x:c>
      <x:c r="I727" s="35" t="str">
        <x:v>FLD-0354</x:v>
      </x:c>
      <x:c r="J727" s="35" t="str"/>
      <x:c r="K727" s="35" t="str"/>
      <x:c r="L727" s="35" t="str">
        <x:v>Use the source-derived Field Inventory. Enter non-default realistic values in every control (past-due-mark-paid-notes-input); submit; reload or relaunch; compare every value; edit each mutable field; verify the paired client; then run required, format, length, range, boundary, optional-null, and stale-submit checks.</x:v>
      </x:c>
      <x:c r="M727" s="35" t="str">
        <x:v>All 1 inventoried controls persist exact normalized values, invalid values stay unsaved with clear errors, and hidden/unauthorized fields cannot be altered.</x:v>
      </x:c>
      <x:c r="N727" s="35" t="str">
        <x:v>Before/after form screenshots; FLD IDs; API response; reloaded UI; paired-client read-back; database/audit evidence; negative validation result.</x:v>
      </x:c>
      <x:c r="O727" s="35" t="str">
        <x:v>Use a duplicate submit and one simulated network interruption; one atomic mutation or none, never partial state.</x:v>
      </x:c>
      <x:c r="P727" s="35" t="str">
        <x:v>All expected records and amounts match; no unexplained error or stale state.</x:v>
      </x:c>
    </x:row>
    <x:row r="728">
      <x:c r="A728" s="20" t="str">
        <x:v>RUN-20270512-06</x:v>
      </x:c>
      <x:c r="B728" s="23" t="n">
        <x:v>46519</x:v>
      </x:c>
      <x:c r="C728" s="32" t="n">
        <x:v>6</x:v>
      </x:c>
      <x:c r="D728" s="20" t="str">
        <x:v>Field certification</x:v>
      </x:c>
      <x:c r="E728" s="20" t="str">
        <x:v>Property Manager</x:v>
      </x:c>
      <x:c r="F728" s="20" t="str">
        <x:v>Web</x:v>
      </x:c>
      <x:c r="G728" s="20" t="str">
        <x:v>Manual field-by-field</x:v>
      </x:c>
      <x:c r="H728" s="35" t="str">
        <x:v>Fill, save, reload, edit, and validate every declared field on /accounting/year-end</x:v>
      </x:c>
      <x:c r="I728" s="35" t="str">
        <x:v>FLD-0355; FLD-0356</x:v>
      </x:c>
      <x:c r="J728" s="35" t="str"/>
      <x:c r="K728" s="35" t="str"/>
      <x:c r="L728" s="35" t="str">
        <x:v>Use the source-derived Field Inventory. Enter non-default realistic values in every control (year-end-year-select; year-end-property-select); submit; reload or relaunch; compare every value; edit each mutable field; verify the paired client; then run required, format, length, range, boundary, optional-null, and stale-submit checks.</x:v>
      </x:c>
      <x:c r="M728" s="35" t="str">
        <x:v>All 2 inventoried controls persist exact normalized values, invalid values stay unsaved with clear errors, and hidden/unauthorized fields cannot be altered.</x:v>
      </x:c>
      <x:c r="N728" s="35" t="str">
        <x:v>Before/after form screenshots; FLD IDs; API response; reloaded UI; paired-client read-back; database/audit evidence; negative validation result.</x:v>
      </x:c>
      <x:c r="O728" s="35" t="str">
        <x:v>Use a duplicate submit and one simulated network interruption; one atomic mutation or none, never partial state.</x:v>
      </x:c>
      <x:c r="P728" s="35" t="str">
        <x:v>All expected records and amounts match; no unexplained error or stale state.</x:v>
      </x:c>
    </x:row>
    <x:row r="729">
      <x:c r="A729" s="20" t="str">
        <x:v>RUN-20270512-07</x:v>
      </x:c>
      <x:c r="B729" s="23" t="n">
        <x:v>46519</x:v>
      </x:c>
      <x:c r="C729" s="32" t="n">
        <x:v>7</x:v>
      </x:c>
      <x:c r="D729" s="20" t="str">
        <x:v>Field certification</x:v>
      </x:c>
      <x:c r="E729" s="20" t="str">
        <x:v>Property Manager</x:v>
      </x:c>
      <x:c r="F729" s="20" t="str">
        <x:v>Web</x:v>
      </x:c>
      <x:c r="G729" s="20" t="str">
        <x:v>Manual field-by-field</x:v>
      </x:c>
      <x:c r="H729" s="35" t="str">
        <x:v>Fill, save, reload, edit, and validate every declared field on /ai</x:v>
      </x:c>
      <x:c r="I729" s="35" t="str">
        <x:v>FLD-0357; FLD-0358</x:v>
      </x:c>
      <x:c r="J729" s="35" t="str"/>
      <x:c r="K729" s="35" t="str"/>
      <x:c r="L729" s="35" t="str">
        <x:v>Use the source-derived Field Inventory. Enter non-default realistic values in every control (ai-action-mode-toggle; question-input); submit; reload or relaunch; compare every value; edit each mutable field; verify the paired client; then run required, format, length, range, boundary, optional-null, and stale-submit checks.</x:v>
      </x:c>
      <x:c r="M729" s="35" t="str">
        <x:v>All 2 inventoried controls persist exact normalized values, invalid values stay unsaved with clear errors, and hidden/unauthorized fields cannot be altered.</x:v>
      </x:c>
      <x:c r="N729" s="35" t="str">
        <x:v>Before/after form screenshots; FLD IDs; API response; reloaded UI; paired-client read-back; database/audit evidence; negative validation result.</x:v>
      </x:c>
      <x:c r="O729" s="35" t="str">
        <x:v>Use a duplicate submit and one simulated network interruption; one atomic mutation or none, never partial state.</x:v>
      </x:c>
      <x:c r="P729" s="35" t="str">
        <x:v>All expected records and amounts match; no unexplained error or stale state.</x:v>
      </x:c>
    </x:row>
    <x:row r="730">
      <x:c r="A730" s="20" t="str">
        <x:v>RUN-20270512-08</x:v>
      </x:c>
      <x:c r="B730" s="23" t="n">
        <x:v>46519</x:v>
      </x:c>
      <x:c r="C730" s="32" t="n">
        <x:v>8</x:v>
      </x:c>
      <x:c r="D730" s="20" t="str">
        <x:v>Surface coverage</x:v>
      </x:c>
      <x:c r="E730" s="20" t="str">
        <x:v>Role appropriate to surface</x:v>
      </x:c>
      <x:c r="F730" s="20" t="str">
        <x:v>Mobile</x:v>
      </x:c>
      <x:c r="G730" s="20" t="str">
        <x:v>Scan/attachment</x:v>
      </x:c>
      <x:c r="H730" s="35" t="str">
        <x:v>Scan mobile pass: Ending disposition, possession return, transfer</x:v>
      </x:c>
      <x:c r="I730" s="35" t="str">
        <x:v>COV-016</x:v>
      </x:c>
      <x:c r="J730" s="35" t="str"/>
      <x:c r="K730" s="35" t="str"/>
      <x:c r="L730" s="35" t="str">
        <x:v>Record notice, plan move-out, return possession, transfer U008 to U040, and preserve historical accounts.</x:v>
      </x:c>
      <x:c r="M730" s="35" t="str">
        <x:v>The supported workflow completes and persists correctly; if the capability is absent, the exact gap is proven and queued rather than silently skipped.</x:v>
      </x:c>
      <x:c r="N730" s="35" t="str">
        <x:v>Real UI screenshot/state; submitted values; persisted read-back; cross-client read-back; audit/role/access evidence.</x:v>
      </x:c>
      <x:c r="O730" s="35" t="str">
        <x:v>Use one invalid value, stale-state retry, or duplicate submission relevant to the form; no partial or duplicate mutation.</x:v>
      </x:c>
      <x:c r="P730" s="35" t="str">
        <x:v>All expected records and amounts match; no unexplained error or stale state.</x:v>
      </x:c>
    </x:row>
    <x:row r="731">
      <x:c r="A731" s="20" t="str">
        <x:v>RUN-20270513-01</x:v>
      </x:c>
      <x:c r="B731" s="23" t="n">
        <x:v>46520</x:v>
      </x:c>
      <x:c r="C731" s="32" t="n">
        <x:v>1</x:v>
      </x:c>
      <x:c r="D731" s="20" t="str">
        <x:v>Role and screen certification</x:v>
      </x:c>
      <x:c r="E731" s="20" t="str">
        <x:v>Workspace Administrator</x:v>
      </x:c>
      <x:c r="F731" s="20" t="str">
        <x:v>Web</x:v>
      </x:c>
      <x:c r="G731" s="20" t="str">
        <x:v>Normal persona navigation</x:v>
      </x:c>
      <x:c r="H731" s="35" t="str">
        <x:v>Use every permitted action and state on /scan/[draftId]</x:v>
      </x:c>
      <x:c r="I731" s="35" t="str">
        <x:v>SCR-067; ROLE-105</x:v>
      </x:c>
      <x:c r="J731" s="35" t="str"/>
      <x:c r="K731" s="35" t="str"/>
      <x:c r="L73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1" s="35" t="str">
        <x:v>The persona can use every allowed action with only its assigned properties/relationships. Hidden or disabled actions explain why; an adjacent unauthorized persona is denied without metadata leakage.</x:v>
      </x:c>
      <x:c r="N731" s="35" t="str">
        <x:v>Persona/experience; navigation entry; desktop or device screenshots; result state; persisted read-back; audit/history; authorized and denied network result.</x:v>
      </x:c>
      <x:c r="O731" s="35" t="str">
        <x:v>Open the direct URL or deep link with an adjacent unauthorized persona and with stale scope; both fail closed and land safely without mutation.</x:v>
      </x:c>
      <x:c r="P731" s="35" t="str">
        <x:v>All expected records and amounts match; no unexplained error or stale state.</x:v>
      </x:c>
    </x:row>
    <x:row r="732">
      <x:c r="A732" s="20" t="str">
        <x:v>RUN-20270513-02</x:v>
      </x:c>
      <x:c r="B732" s="23" t="n">
        <x:v>46520</x:v>
      </x:c>
      <x:c r="C732" s="32" t="n">
        <x:v>2</x:v>
      </x:c>
      <x:c r="D732" s="20" t="str">
        <x:v>Role and screen certification</x:v>
      </x:c>
      <x:c r="E732" s="20" t="str">
        <x:v>Property Manager</x:v>
      </x:c>
      <x:c r="F732" s="20" t="str">
        <x:v>Web</x:v>
      </x:c>
      <x:c r="G732" s="20" t="str">
        <x:v>Normal persona navigation</x:v>
      </x:c>
      <x:c r="H732" s="35" t="str">
        <x:v>Use every permitted action and state on /scan/[draftId]</x:v>
      </x:c>
      <x:c r="I732" s="35" t="str">
        <x:v>SCR-067; ROLE-106</x:v>
      </x:c>
      <x:c r="J732" s="35" t="str"/>
      <x:c r="K732" s="35" t="str"/>
      <x:c r="L73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2" s="35" t="str">
        <x:v>The persona can use every allowed action with only its assigned properties/relationships. Hidden or disabled actions explain why; an adjacent unauthorized persona is denied without metadata leakage.</x:v>
      </x:c>
      <x:c r="N732" s="35" t="str">
        <x:v>Persona/experience; navigation entry; desktop or device screenshots; result state; persisted read-back; audit/history; authorized and denied network result.</x:v>
      </x:c>
      <x:c r="O732" s="35" t="str">
        <x:v>Open the direct URL or deep link with an adjacent unauthorized persona and with stale scope; both fail closed and land safely without mutation.</x:v>
      </x:c>
      <x:c r="P732" s="35" t="str">
        <x:v>All expected records and amounts match; no unexplained error or stale state.</x:v>
      </x:c>
    </x:row>
    <x:row r="733">
      <x:c r="A733" s="20" t="str">
        <x:v>RUN-20270513-03</x:v>
      </x:c>
      <x:c r="B733" s="23" t="n">
        <x:v>46520</x:v>
      </x:c>
      <x:c r="C733" s="32" t="n">
        <x:v>3</x:v>
      </x:c>
      <x:c r="D733" s="20" t="str">
        <x:v>Role and screen certification</x:v>
      </x:c>
      <x:c r="E733" s="20" t="str">
        <x:v>Leasing Agent</x:v>
      </x:c>
      <x:c r="F733" s="20" t="str">
        <x:v>Web</x:v>
      </x:c>
      <x:c r="G733" s="20" t="str">
        <x:v>Normal persona navigation</x:v>
      </x:c>
      <x:c r="H733" s="35" t="str">
        <x:v>Use every permitted action and state on /scan/[draftId]</x:v>
      </x:c>
      <x:c r="I733" s="35" t="str">
        <x:v>SCR-067; ROLE-107</x:v>
      </x:c>
      <x:c r="J733" s="35" t="str"/>
      <x:c r="K733" s="35" t="str"/>
      <x:c r="L73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3" s="35" t="str">
        <x:v>The persona can use every allowed action with only its assigned properties/relationships. Hidden or disabled actions explain why; an adjacent unauthorized persona is denied without metadata leakage.</x:v>
      </x:c>
      <x:c r="N733" s="35" t="str">
        <x:v>Persona/experience; navigation entry; desktop or device screenshots; result state; persisted read-back; audit/history; authorized and denied network result.</x:v>
      </x:c>
      <x:c r="O733" s="35" t="str">
        <x:v>Open the direct URL or deep link with an adjacent unauthorized persona and with stale scope; both fail closed and land safely without mutation.</x:v>
      </x:c>
      <x:c r="P733" s="35" t="str">
        <x:v>All expected records and amounts match; no unexplained error or stale state.</x:v>
      </x:c>
    </x:row>
    <x:row r="734">
      <x:c r="A734" s="20" t="str">
        <x:v>RUN-20270513-04</x:v>
      </x:c>
      <x:c r="B734" s="23" t="n">
        <x:v>46520</x:v>
      </x:c>
      <x:c r="C734" s="32" t="n">
        <x:v>4</x:v>
      </x:c>
      <x:c r="D734" s="20" t="str">
        <x:v>Role and screen certification</x:v>
      </x:c>
      <x:c r="E734" s="20" t="str">
        <x:v>Maintenance Technician</x:v>
      </x:c>
      <x:c r="F734" s="20" t="str">
        <x:v>Web</x:v>
      </x:c>
      <x:c r="G734" s="20" t="str">
        <x:v>Normal persona navigation</x:v>
      </x:c>
      <x:c r="H734" s="35" t="str">
        <x:v>Use every permitted action and state on /scan/[draftId]</x:v>
      </x:c>
      <x:c r="I734" s="35" t="str">
        <x:v>SCR-067; ROLE-108</x:v>
      </x:c>
      <x:c r="J734" s="35" t="str"/>
      <x:c r="K734" s="35" t="str"/>
      <x:c r="L73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4" s="35" t="str">
        <x:v>The persona can use every allowed action with only its assigned properties/relationships. Hidden or disabled actions explain why; an adjacent unauthorized persona is denied without metadata leakage.</x:v>
      </x:c>
      <x:c r="N734" s="35" t="str">
        <x:v>Persona/experience; navigation entry; desktop or device screenshots; result state; persisted read-back; audit/history; authorized and denied network result.</x:v>
      </x:c>
      <x:c r="O734" s="35" t="str">
        <x:v>Open the direct URL or deep link with an adjacent unauthorized persona and with stale scope; both fail closed and land safely without mutation.</x:v>
      </x:c>
      <x:c r="P734" s="35" t="str">
        <x:v>All expected records and amounts match; no unexplained error or stale state.</x:v>
      </x:c>
    </x:row>
    <x:row r="735">
      <x:c r="A735" s="20" t="str">
        <x:v>RUN-20270513-05</x:v>
      </x:c>
      <x:c r="B735" s="23" t="n">
        <x:v>46520</x:v>
      </x:c>
      <x:c r="C735" s="32" t="n">
        <x:v>5</x:v>
      </x:c>
      <x:c r="D735" s="20" t="str">
        <x:v>Field certification</x:v>
      </x:c>
      <x:c r="E735" s="20" t="str">
        <x:v>Leasing Agent</x:v>
      </x:c>
      <x:c r="F735" s="20" t="str">
        <x:v>Web</x:v>
      </x:c>
      <x:c r="G735" s="20" t="str">
        <x:v>Manual field-by-field</x:v>
      </x:c>
      <x:c r="H735" s="35" t="str">
        <x:v>Fill, save, reload, edit, and validate every declared field on /applications</x:v>
      </x:c>
      <x:c r="I735" s="35" t="str">
        <x:v>FLD-0359; FLD-0360; FLD-0361; FLD-0362</x:v>
      </x:c>
      <x:c r="J735" s="35" t="str"/>
      <x:c r="K735" s="35" t="str"/>
      <x:c r="L735" s="35" t="str">
        <x:v>Use the source-derived Field Inventory. Enter non-default realistic values in every control (statusValue; application-status-filter; Select-3; Select-4); submit; reload or relaunch; compare every value; edit each mutable field; verify the paired client; then run required, format, length, range, boundary, optional-null, and stale-submit checks.</x:v>
      </x:c>
      <x:c r="M735" s="35" t="str">
        <x:v>All 4 inventoried controls persist exact normalized values, invalid values stay unsaved with clear errors, and hidden/unauthorized fields cannot be altered.</x:v>
      </x:c>
      <x:c r="N735" s="35" t="str">
        <x:v>Before/after form screenshots; FLD IDs; API response; reloaded UI; paired-client read-back; database/audit evidence; negative validation result.</x:v>
      </x:c>
      <x:c r="O735" s="35" t="str">
        <x:v>Use a duplicate submit and one simulated network interruption; one atomic mutation or none, never partial state.</x:v>
      </x:c>
      <x:c r="P735" s="35" t="str">
        <x:v>All expected records and amounts match; no unexplained error or stale state.</x:v>
      </x:c>
    </x:row>
    <x:row r="736">
      <x:c r="A736" s="20" t="str">
        <x:v>RUN-20270514-01</x:v>
      </x:c>
      <x:c r="B736" s="23" t="n">
        <x:v>46521</x:v>
      </x:c>
      <x:c r="C736" s="32" t="n">
        <x:v>1</x:v>
      </x:c>
      <x:c r="D736" s="20" t="str">
        <x:v>Role and screen certification</x:v>
      </x:c>
      <x:c r="E736" s="20" t="str">
        <x:v>Workspace Administrator</x:v>
      </x:c>
      <x:c r="F736" s="20" t="str">
        <x:v>Web</x:v>
      </x:c>
      <x:c r="G736" s="20" t="str">
        <x:v>Normal persona navigation</x:v>
      </x:c>
      <x:c r="H736" s="35" t="str">
        <x:v>Use every permitted action and state on /scan/batch</x:v>
      </x:c>
      <x:c r="I736" s="35" t="str">
        <x:v>SCR-068; ROLE-109</x:v>
      </x:c>
      <x:c r="J736" s="35" t="str"/>
      <x:c r="K736" s="35" t="str"/>
      <x:c r="L73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6" s="35" t="str">
        <x:v>The persona can use every allowed action with only its assigned properties/relationships. Hidden or disabled actions explain why; an adjacent unauthorized persona is denied without metadata leakage.</x:v>
      </x:c>
      <x:c r="N736" s="35" t="str">
        <x:v>Persona/experience; navigation entry; desktop or device screenshots; result state; persisted read-back; audit/history; authorized and denied network result.</x:v>
      </x:c>
      <x:c r="O736" s="35" t="str">
        <x:v>Open the direct URL or deep link with an adjacent unauthorized persona and with stale scope; both fail closed and land safely without mutation.</x:v>
      </x:c>
      <x:c r="P736" s="35" t="str">
        <x:v>All expected records and amounts match; no unexplained error or stale state.</x:v>
      </x:c>
    </x:row>
    <x:row r="737">
      <x:c r="A737" s="20" t="str">
        <x:v>RUN-20270514-02</x:v>
      </x:c>
      <x:c r="B737" s="23" t="n">
        <x:v>46521</x:v>
      </x:c>
      <x:c r="C737" s="32" t="n">
        <x:v>2</x:v>
      </x:c>
      <x:c r="D737" s="20" t="str">
        <x:v>Role and screen certification</x:v>
      </x:c>
      <x:c r="E737" s="20" t="str">
        <x:v>Property Manager</x:v>
      </x:c>
      <x:c r="F737" s="20" t="str">
        <x:v>Web</x:v>
      </x:c>
      <x:c r="G737" s="20" t="str">
        <x:v>Normal persona navigation</x:v>
      </x:c>
      <x:c r="H737" s="35" t="str">
        <x:v>Use every permitted action and state on /scan/batch</x:v>
      </x:c>
      <x:c r="I737" s="35" t="str">
        <x:v>SCR-068; ROLE-110</x:v>
      </x:c>
      <x:c r="J737" s="35" t="str"/>
      <x:c r="K737" s="35" t="str"/>
      <x:c r="L73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7" s="35" t="str">
        <x:v>The persona can use every allowed action with only its assigned properties/relationships. Hidden or disabled actions explain why; an adjacent unauthorized persona is denied without metadata leakage.</x:v>
      </x:c>
      <x:c r="N737" s="35" t="str">
        <x:v>Persona/experience; navigation entry; desktop or device screenshots; result state; persisted read-back; audit/history; authorized and denied network result.</x:v>
      </x:c>
      <x:c r="O737" s="35" t="str">
        <x:v>Open the direct URL or deep link with an adjacent unauthorized persona and with stale scope; both fail closed and land safely without mutation.</x:v>
      </x:c>
      <x:c r="P737" s="35" t="str">
        <x:v>All expected records and amounts match; no unexplained error or stale state.</x:v>
      </x:c>
    </x:row>
    <x:row r="738">
      <x:c r="A738" s="20" t="str">
        <x:v>RUN-20270514-03</x:v>
      </x:c>
      <x:c r="B738" s="23" t="n">
        <x:v>46521</x:v>
      </x:c>
      <x:c r="C738" s="32" t="n">
        <x:v>3</x:v>
      </x:c>
      <x:c r="D738" s="20" t="str">
        <x:v>Role and screen certification</x:v>
      </x:c>
      <x:c r="E738" s="20" t="str">
        <x:v>Leasing Agent</x:v>
      </x:c>
      <x:c r="F738" s="20" t="str">
        <x:v>Web</x:v>
      </x:c>
      <x:c r="G738" s="20" t="str">
        <x:v>Normal persona navigation</x:v>
      </x:c>
      <x:c r="H738" s="35" t="str">
        <x:v>Use every permitted action and state on /scan/batch</x:v>
      </x:c>
      <x:c r="I738" s="35" t="str">
        <x:v>SCR-068; ROLE-111</x:v>
      </x:c>
      <x:c r="J738" s="35" t="str"/>
      <x:c r="K738" s="35" t="str"/>
      <x:c r="L73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8" s="35" t="str">
        <x:v>The persona can use every allowed action with only its assigned properties/relationships. Hidden or disabled actions explain why; an adjacent unauthorized persona is denied without metadata leakage.</x:v>
      </x:c>
      <x:c r="N738" s="35" t="str">
        <x:v>Persona/experience; navigation entry; desktop or device screenshots; result state; persisted read-back; audit/history; authorized and denied network result.</x:v>
      </x:c>
      <x:c r="O738" s="35" t="str">
        <x:v>Open the direct URL or deep link with an adjacent unauthorized persona and with stale scope; both fail closed and land safely without mutation.</x:v>
      </x:c>
      <x:c r="P738" s="35" t="str">
        <x:v>All expected records and amounts match; no unexplained error or stale state.</x:v>
      </x:c>
    </x:row>
    <x:row r="739">
      <x:c r="A739" s="20" t="str">
        <x:v>RUN-20270514-04</x:v>
      </x:c>
      <x:c r="B739" s="23" t="n">
        <x:v>46521</x:v>
      </x:c>
      <x:c r="C739" s="32" t="n">
        <x:v>4</x:v>
      </x:c>
      <x:c r="D739" s="20" t="str">
        <x:v>Role and screen certification</x:v>
      </x:c>
      <x:c r="E739" s="20" t="str">
        <x:v>Maintenance Technician</x:v>
      </x:c>
      <x:c r="F739" s="20" t="str">
        <x:v>Web</x:v>
      </x:c>
      <x:c r="G739" s="20" t="str">
        <x:v>Normal persona navigation</x:v>
      </x:c>
      <x:c r="H739" s="35" t="str">
        <x:v>Use every permitted action and state on /scan/batch</x:v>
      </x:c>
      <x:c r="I739" s="35" t="str">
        <x:v>SCR-068; ROLE-112</x:v>
      </x:c>
      <x:c r="J739" s="35" t="str"/>
      <x:c r="K739" s="35" t="str"/>
      <x:c r="L73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39" s="35" t="str">
        <x:v>The persona can use every allowed action with only its assigned properties/relationships. Hidden or disabled actions explain why; an adjacent unauthorized persona is denied without metadata leakage.</x:v>
      </x:c>
      <x:c r="N739" s="35" t="str">
        <x:v>Persona/experience; navigation entry; desktop or device screenshots; result state; persisted read-back; audit/history; authorized and denied network result.</x:v>
      </x:c>
      <x:c r="O739" s="35" t="str">
        <x:v>Open the direct URL or deep link with an adjacent unauthorized persona and with stale scope; both fail closed and land safely without mutation.</x:v>
      </x:c>
      <x:c r="P739" s="35" t="str">
        <x:v>All expected records and amounts match; no unexplained error or stale state.</x:v>
      </x:c>
    </x:row>
    <x:row r="740">
      <x:c r="A740" s="20" t="str">
        <x:v>RUN-20270514-05</x:v>
      </x:c>
      <x:c r="B740" s="23" t="n">
        <x:v>46521</x:v>
      </x:c>
      <x:c r="C740" s="32" t="n">
        <x:v>5</x:v>
      </x:c>
      <x:c r="D740" s="20" t="str">
        <x:v>Field certification</x:v>
      </x:c>
      <x:c r="E740" s="20" t="str">
        <x:v>Leasing Agent</x:v>
      </x:c>
      <x:c r="F740" s="20" t="str">
        <x:v>Web</x:v>
      </x:c>
      <x:c r="G740" s="20" t="str">
        <x:v>Manual field-by-field</x:v>
      </x:c>
      <x:c r="H740" s="35" t="str">
        <x:v>Fill, save, reload, edit, and validate every declared field on /applications</x:v>
      </x:c>
      <x:c r="I740" s="35" t="str">
        <x:v>FLD-0363</x:v>
      </x:c>
      <x:c r="J740" s="35" t="str"/>
      <x:c r="K740" s="35" t="str"/>
      <x:c r="L740" s="35" t="str">
        <x:v>Use the source-derived Field Inventory. Enter non-default realistic values in every control (application-link-url); submit; reload or relaunch; compare every value; edit each mutable field; verify the paired client; then run required, format, length, range, boundary, optional-null, and stale-submit checks.</x:v>
      </x:c>
      <x:c r="M740" s="35" t="str">
        <x:v>All 1 inventoried controls persist exact normalized values, invalid values stay unsaved with clear errors, and hidden/unauthorized fields cannot be altered.</x:v>
      </x:c>
      <x:c r="N740" s="35" t="str">
        <x:v>Before/after form screenshots; FLD IDs; API response; reloaded UI; paired-client read-back; database/audit evidence; negative validation result.</x:v>
      </x:c>
      <x:c r="O740" s="35" t="str">
        <x:v>Use a duplicate submit and one simulated network interruption; one atomic mutation or none, never partial state.</x:v>
      </x:c>
      <x:c r="P740" s="35" t="str">
        <x:v>All expected records and amounts match; no unexplained error or stale state.</x:v>
      </x:c>
    </x:row>
    <x:row r="741">
      <x:c r="A741" s="20" t="str">
        <x:v>RUN-20270514-06</x:v>
      </x:c>
      <x:c r="B741" s="23" t="n">
        <x:v>46521</x:v>
      </x:c>
      <x:c r="C741" s="32" t="n">
        <x:v>6</x:v>
      </x:c>
      <x:c r="D741" s="20" t="str">
        <x:v>Field certification</x:v>
      </x:c>
      <x:c r="E741" s="20" t="str">
        <x:v>Property Manager</x:v>
      </x:c>
      <x:c r="F741" s="20" t="str">
        <x:v>Web</x:v>
      </x:c>
      <x:c r="G741" s="20" t="str">
        <x:v>Manual field-by-field</x:v>
      </x:c>
      <x:c r="H741" s="35" t="str">
        <x:v>Fill, save, reload, edit, and validate every declared field on /appointments</x:v>
      </x:c>
      <x:c r="I741" s="35" t="str">
        <x:v>FLD-0364; FLD-0365; FLD-0366; FLD-0367</x:v>
      </x:c>
      <x:c r="J741" s="35" t="str"/>
      <x:c r="K741" s="35" t="str"/>
      <x:c r="L741" s="35" t="str">
        <x:v>Use the source-derived Field Inventory. Enter non-default realistic values in every control (typeFilter; appointment-calendar-type-filter; Select-3; Select-4); submit; reload or relaunch; compare every value; edit each mutable field; verify the paired client; then run required, format, length, range, boundary, optional-null, and stale-submit checks.</x:v>
      </x:c>
      <x:c r="M741" s="35" t="str">
        <x:v>All 4 inventoried controls persist exact normalized values, invalid values stay unsaved with clear errors, and hidden/unauthorized fields cannot be altered.</x:v>
      </x:c>
      <x:c r="N741" s="35" t="str">
        <x:v>Before/after form screenshots; FLD IDs; API response; reloaded UI; paired-client read-back; database/audit evidence; negative validation result.</x:v>
      </x:c>
      <x:c r="O741" s="35" t="str">
        <x:v>Use a duplicate submit and one simulated network interruption; one atomic mutation or none, never partial state.</x:v>
      </x:c>
      <x:c r="P741" s="35" t="str">
        <x:v>All expected records and amounts match; no unexplained error or stale state.</x:v>
      </x:c>
    </x:row>
    <x:row r="742">
      <x:c r="A742" s="20" t="str">
        <x:v>RUN-20270514-07</x:v>
      </x:c>
      <x:c r="B742" s="23" t="n">
        <x:v>46521</x:v>
      </x:c>
      <x:c r="C742" s="32" t="n">
        <x:v>7</x:v>
      </x:c>
      <x:c r="D742" s="20" t="str">
        <x:v>Lifecycle certification</x:v>
      </x:c>
      <x:c r="E742" s="20" t="str">
        <x:v>Leasing Agent</x:v>
      </x:c>
      <x:c r="F742" s="20" t="str">
        <x:v>Web + Mobile</x:v>
      </x:c>
      <x:c r="G742" s="20" t="str">
        <x:v>Manual + scan/attachment where supported</x:v>
      </x:c>
      <x:c r="H742" s="35" t="str">
        <x:v>Complete the full create/read/edit/lifecycle/delete-safe pass for Addendum</x:v>
      </x:c>
      <x:c r="I742" s="35" t="str">
        <x:v>CRUD-012</x:v>
      </x:c>
      <x:c r="J742" s="35" t="str"/>
      <x:c r="K742" s="35" t="str"/>
      <x:c r="L742" s="35" t="str">
        <x:v>Use a dedicated disposable QA record and execute: create; edit; issue; sign; financial effect; supersede. Fill every field referenced by field-inventory.csv. Verify confirmation copy, cancel path, final path, reload, other-client state, history, and role denial.</x:v>
      </x:c>
      <x:c r="M742" s="35" t="str">
        <x:v>Every supported transition succeeds exactly once; forbidden destructive actions are guarded; reversible deletion/deactivation works; financial and historical truth is preserved.</x:v>
      </x:c>
      <x:c r="N742" s="35" t="str">
        <x:v>Entity before/after; both clients; all FLD IDs; audit/history; notifications; authorized and unauthorized personas; API/DB state.</x:v>
      </x:c>
      <x:c r="O742" s="35" t="str">
        <x:v>Cancel the first destructive confirmation, then repeat and confirm; retry the mutation once; no double transition or orphan.</x:v>
      </x:c>
      <x:c r="P742" s="35" t="str">
        <x:v>All expected records and amounts match; no unexplained error or stale state.</x:v>
      </x:c>
    </x:row>
    <x:row r="743">
      <x:c r="A743" s="20" t="str">
        <x:v>RUN-20270514-08</x:v>
      </x:c>
      <x:c r="B743" s="23" t="n">
        <x:v>46521</x:v>
      </x:c>
      <x:c r="C743" s="32" t="n">
        <x:v>8</x:v>
      </x:c>
      <x:c r="D743" s="20" t="str">
        <x:v>Notification certification</x:v>
      </x:c>
      <x:c r="E743" s="20" t="str">
        <x:v>Leasing Agent</x:v>
      </x:c>
      <x:c r="F743" s="20" t="str">
        <x:v>Web + Mobile</x:v>
      </x:c>
      <x:c r="G743" s="20" t="str">
        <x:v>System event + preference/manual verification</x:v>
      </x:c>
      <x:c r="H743" s="35" t="str">
        <x:v>Trigger and prove notification: Lease draft ready</x:v>
      </x:c>
      <x:c r="I743" s="35" t="str">
        <x:v>NTF-017</x:v>
      </x:c>
      <x:c r="J743" s="35" t="str"/>
      <x:c r="K743" s="35" t="str"/>
      <x:c r="L743" s="35" t="str">
        <x:v>Set each recipient's preferences; trigger the real business event; inspect routing and recipient scope; verify unread badge, list item, safe preview, lease detail deep link, mark-read sync, configured channel outcome, provider failure/retry, and duplicate suppression.</x:v>
      </x:c>
      <x:c r="M743" s="35" t="str">
        <x:v>Exactly the intended recipients receive one correctly routed notification; disabled optional channels stay silent; deep link opens authorized context; read state synchronizes.</x:v>
      </x:c>
      <x:c r="N743" s="35" t="str">
        <x:v>Trigger record; routing decision; outbox/delivery status; web/mobile inbox; lock-screen-safe copy; deep-link target; audit/provider retry evidence.</x:v>
      </x:c>
      <x:c r="O743" s="35" t="str">
        <x:v>Re-run the worker and deliver a duplicate provider callback; no duplicate user-visible event. Attempt the deep link as an unauthorized adjacent role.</x:v>
      </x:c>
      <x:c r="P743" s="35" t="str">
        <x:v>All expected records and amounts match; no unexplained error or stale state.</x:v>
      </x:c>
    </x:row>
    <x:row r="744">
      <x:c r="A744" s="20" t="str">
        <x:v>RUN-20270514-09</x:v>
      </x:c>
      <x:c r="B744" s="23" t="n">
        <x:v>46521</x:v>
      </x:c>
      <x:c r="C744" s="32" t="n">
        <x:v>9</x:v>
      </x:c>
      <x:c r="D744" s="20" t="str">
        <x:v>Surface coverage</x:v>
      </x:c>
      <x:c r="E744" s="20" t="str">
        <x:v>Role appropriate to surface</x:v>
      </x:c>
      <x:c r="F744" s="20" t="str">
        <x:v>Web</x:v>
      </x:c>
      <x:c r="G744" s="20" t="str">
        <x:v>Manual</x:v>
      </x:c>
      <x:c r="H744" s="35" t="str">
        <x:v>Manual web pass: Tenant charge, receipt, allocation, correction</x:v>
      </x:c>
      <x:c r="I744" s="35" t="str">
        <x:v>COV-017</x:v>
      </x:c>
      <x:c r="J744" s="35" t="str"/>
      <x:c r="K744" s="35" t="str"/>
      <x:c r="L744" s="35" t="str">
        <x:v>Create charge/receipt on both clients, allocate, reverse/refund/adjust without editing posted rows, and reconcile.</x:v>
      </x:c>
      <x:c r="M744" s="35" t="str">
        <x:v>The supported workflow completes and persists correctly; if the capability is absent, the exact gap is proven and queued rather than silently skipped.</x:v>
      </x:c>
      <x:c r="N744" s="35" t="str">
        <x:v>Real UI screenshot/state; submitted values; persisted read-back; cross-client read-back; audit/role/access evidence.</x:v>
      </x:c>
      <x:c r="O744" s="35" t="str">
        <x:v>Use one invalid value, stale-state retry, or duplicate submission relevant to the form; no partial or duplicate mutation.</x:v>
      </x:c>
      <x:c r="P744" s="35" t="str">
        <x:v>All expected records and amounts match; no unexplained error or stale state.</x:v>
      </x:c>
    </x:row>
    <x:row r="745">
      <x:c r="A745" s="20" t="str">
        <x:v>RUN-20270515-01</x:v>
      </x:c>
      <x:c r="B745" s="23" t="n">
        <x:v>46522</x:v>
      </x:c>
      <x:c r="C745" s="32" t="n">
        <x:v>1</x:v>
      </x:c>
      <x:c r="D745" s="20" t="str">
        <x:v>Weekly operations</x:v>
      </x:c>
      <x:c r="E745" s="20" t="str">
        <x:v>Property Manager</x:v>
      </x:c>
      <x:c r="F745" s="20" t="str">
        <x:v>Mobile</x:v>
      </x:c>
      <x:c r="G745" s="20" t="str">
        <x:v>Scanned receipt/invoice</x:v>
      </x:c>
      <x:c r="H745" s="35" t="str">
        <x:v>Record, review, allocate, and pay operating expense</x:v>
      </x:c>
      <x:c r="I745" s="35" t="str">
        <x:v>P021; Property scope; </x:v>
      </x:c>
      <x:c r="J745" s="35" t="str">
        <x:v>SCN-0557</x:v>
      </x:c>
      <x:c r="K745" s="35" t="str">
        <x:v>FIN-01217</x:v>
      </x:c>
      <x:c r="L745" s="35" t="str">
        <x:v>Capture or upload the source; verify vendor, date, scope, category, line items, tax, amount, and work-order link; confirm; open detail; verify attachment; compare Money and Property/Unit views.</x:v>
      </x:c>
      <x:c r="M745" s="35" t="str">
        <x:v>One expense exists at its real operational scope, cash falls once, Schedule E category and allocations agree, and no per-unit copies are created.</x:v>
      </x:c>
      <x:c r="N745" s="35" t="str">
        <x:v>Source preview; review/form; expense detail; line items; Property/Unit ledger; audit; accounting/report delta.</x:v>
      </x:c>
      <x:c r="O745" s="35" t="str">
        <x:v>On marked duplicate-invoice cases, re-upload before confirm and prove the product prevents or clearly warns about duplication.</x:v>
      </x:c>
      <x:c r="P745" s="35" t="str">
        <x:v>All expected records and amounts match; no unexplained error or stale state.</x:v>
      </x:c>
    </x:row>
    <x:row r="746">
      <x:c r="A746" s="20" t="str">
        <x:v>RUN-20270515-02</x:v>
      </x:c>
      <x:c r="B746" s="23" t="n">
        <x:v>46522</x:v>
      </x:c>
      <x:c r="C746" s="32" t="n">
        <x:v>2</x:v>
      </x:c>
      <x:c r="D746" s="20" t="str">
        <x:v>Weekly operations</x:v>
      </x:c>
      <x:c r="E746" s="20" t="str">
        <x:v>Property Manager</x:v>
      </x:c>
      <x:c r="F746" s="20" t="str">
        <x:v>Web</x:v>
      </x:c>
      <x:c r="G746" s="20" t="str">
        <x:v>Scanned receipt/invoice</x:v>
      </x:c>
      <x:c r="H746" s="35" t="str">
        <x:v>Record, review, allocate, and pay operating expense</x:v>
      </x:c>
      <x:c r="I746" s="35" t="str">
        <x:v>P022; Property scope; </x:v>
      </x:c>
      <x:c r="J746" s="35" t="str">
        <x:v>SCN-0558</x:v>
      </x:c>
      <x:c r="K746" s="35" t="str">
        <x:v>FIN-01218</x:v>
      </x:c>
      <x:c r="L746" s="35" t="str">
        <x:v>Capture or upload the source; verify vendor, date, scope, category, line items, tax, amount, and work-order link; confirm; open detail; verify attachment; compare Money and Property/Unit views.</x:v>
      </x:c>
      <x:c r="M746" s="35" t="str">
        <x:v>One expense exists at its real operational scope, cash falls once, Schedule E category and allocations agree, and no per-unit copies are created.</x:v>
      </x:c>
      <x:c r="N746" s="35" t="str">
        <x:v>Source preview; review/form; expense detail; line items; Property/Unit ledger; audit; accounting/report delta.</x:v>
      </x:c>
      <x:c r="O746" s="35" t="str">
        <x:v>On marked duplicate-invoice cases, re-upload before confirm and prove the product prevents or clearly warns about duplication.</x:v>
      </x:c>
      <x:c r="P746" s="35" t="str">
        <x:v>All expected records and amounts match; no unexplained error or stale state.</x:v>
      </x:c>
    </x:row>
    <x:row r="747">
      <x:c r="A747" s="20" t="str">
        <x:v>RUN-20270515-03</x:v>
      </x:c>
      <x:c r="B747" s="23" t="n">
        <x:v>46522</x:v>
      </x:c>
      <x:c r="C747" s="32" t="n">
        <x:v>3</x:v>
      </x:c>
      <x:c r="D747" s="20" t="str">
        <x:v>Weekly operations</x:v>
      </x:c>
      <x:c r="E747" s="20" t="str">
        <x:v>Property Manager</x:v>
      </x:c>
      <x:c r="F747" s="20" t="str">
        <x:v>Mobile</x:v>
      </x:c>
      <x:c r="G747" s="20" t="str">
        <x:v>Scanned receipt/invoice</x:v>
      </x:c>
      <x:c r="H747" s="35" t="str">
        <x:v>Record, review, allocate, and pay operating expense</x:v>
      </x:c>
      <x:c r="I747" s="35" t="str">
        <x:v>P023; Property scope; </x:v>
      </x:c>
      <x:c r="J747" s="35" t="str">
        <x:v>SCN-0559</x:v>
      </x:c>
      <x:c r="K747" s="35" t="str">
        <x:v>FIN-01219</x:v>
      </x:c>
      <x:c r="L747" s="35" t="str">
        <x:v>Capture or upload the source; verify vendor, date, scope, category, line items, tax, amount, and work-order link; confirm; open detail; verify attachment; compare Money and Property/Unit views.</x:v>
      </x:c>
      <x:c r="M747" s="35" t="str">
        <x:v>One expense exists at its real operational scope, cash falls once, Schedule E category and allocations agree, and no per-unit copies are created.</x:v>
      </x:c>
      <x:c r="N747" s="35" t="str">
        <x:v>Source preview; review/form; expense detail; line items; Property/Unit ledger; audit; accounting/report delta.</x:v>
      </x:c>
      <x:c r="O747" s="35" t="str">
        <x:v>On marked duplicate-invoice cases, re-upload before confirm and prove the product prevents or clearly warns about duplication.</x:v>
      </x:c>
      <x:c r="P747" s="35" t="str">
        <x:v>All expected records and amounts match; no unexplained error or stale state.</x:v>
      </x:c>
    </x:row>
    <x:row r="748">
      <x:c r="A748" s="20" t="str">
        <x:v>RUN-20270515-04</x:v>
      </x:c>
      <x:c r="B748" s="23" t="n">
        <x:v>46522</x:v>
      </x:c>
      <x:c r="C748" s="32" t="n">
        <x:v>4</x:v>
      </x:c>
      <x:c r="D748" s="20" t="str">
        <x:v>Weekly operations</x:v>
      </x:c>
      <x:c r="E748" s="20" t="str">
        <x:v>Property Manager</x:v>
      </x:c>
      <x:c r="F748" s="20" t="str">
        <x:v>Web</x:v>
      </x:c>
      <x:c r="G748" s="20" t="str">
        <x:v>Scanned receipt/invoice</x:v>
      </x:c>
      <x:c r="H748" s="35" t="str">
        <x:v>Record, review, allocate, and pay operating expense</x:v>
      </x:c>
      <x:c r="I748" s="35" t="str">
        <x:v>P024; Property scope; </x:v>
      </x:c>
      <x:c r="J748" s="35" t="str">
        <x:v>SCN-0560</x:v>
      </x:c>
      <x:c r="K748" s="35" t="str">
        <x:v>FIN-01220</x:v>
      </x:c>
      <x:c r="L748" s="35" t="str">
        <x:v>Capture or upload the source; verify vendor, date, scope, category, line items, tax, amount, and work-order link; confirm; open detail; verify attachment; compare Money and Property/Unit views.</x:v>
      </x:c>
      <x:c r="M748" s="35" t="str">
        <x:v>One expense exists at its real operational scope, cash falls once, Schedule E category and allocations agree, and no per-unit copies are created.</x:v>
      </x:c>
      <x:c r="N748" s="35" t="str">
        <x:v>Source preview; review/form; expense detail; line items; Property/Unit ledger; audit; accounting/report delta.</x:v>
      </x:c>
      <x:c r="O748" s="35" t="str">
        <x:v>On marked duplicate-invoice cases, re-upload before confirm and prove the product prevents or clearly warns about duplication.</x:v>
      </x:c>
      <x:c r="P748" s="35" t="str">
        <x:v>All expected records and amounts match; no unexplained error or stale state.</x:v>
      </x:c>
    </x:row>
    <x:row r="749">
      <x:c r="A749" s="20" t="str">
        <x:v>RUN-20270515-05</x:v>
      </x:c>
      <x:c r="B749" s="23" t="n">
        <x:v>46522</x:v>
      </x:c>
      <x:c r="C749" s="32" t="n">
        <x:v>5</x:v>
      </x:c>
      <x:c r="D749" s="20" t="str">
        <x:v>Weekly operations</x:v>
      </x:c>
      <x:c r="E749" s="20" t="str">
        <x:v>Property Manager</x:v>
      </x:c>
      <x:c r="F749" s="20" t="str">
        <x:v>Mobile</x:v>
      </x:c>
      <x:c r="G749" s="20" t="str">
        <x:v>Manual web form</x:v>
      </x:c>
      <x:c r="H749" s="35" t="str">
        <x:v>Record, review, allocate, and pay operating expense</x:v>
      </x:c>
      <x:c r="I749" s="35" t="str">
        <x:v>P025; Property scope; </x:v>
      </x:c>
      <x:c r="J749" s="35" t="str"/>
      <x:c r="K749" s="35" t="str">
        <x:v>FIN-01221</x:v>
      </x:c>
      <x:c r="L749" s="35" t="str">
        <x:v>Capture or upload the source; verify vendor, date, scope, category, line items, tax, amount, and work-order link; confirm; open detail; verify attachment; compare Money and Property/Unit views.</x:v>
      </x:c>
      <x:c r="M749" s="35" t="str">
        <x:v>One expense exists at its real operational scope, cash falls once, Schedule E category and allocations agree, and no per-unit copies are created.</x:v>
      </x:c>
      <x:c r="N749" s="35" t="str">
        <x:v>Source preview; review/form; expense detail; line items; Property/Unit ledger; audit; accounting/report delta.</x:v>
      </x:c>
      <x:c r="O749" s="35" t="str">
        <x:v>On marked duplicate-invoice cases, re-upload before confirm and prove the product prevents or clearly warns about duplication.</x:v>
      </x:c>
      <x:c r="P749" s="35" t="str">
        <x:v>All expected records and amounts match; no unexplained error or stale state.</x:v>
      </x:c>
    </x:row>
    <x:row r="750">
      <x:c r="A750" s="20" t="str">
        <x:v>RUN-20270515-06</x:v>
      </x:c>
      <x:c r="B750" s="23" t="n">
        <x:v>46522</x:v>
      </x:c>
      <x:c r="C750" s="32" t="n">
        <x:v>6</x:v>
      </x:c>
      <x:c r="D750" s="20" t="str">
        <x:v>Weekly operations</x:v>
      </x:c>
      <x:c r="E750" s="20" t="str">
        <x:v>Property Manager</x:v>
      </x:c>
      <x:c r="F750" s="20" t="str">
        <x:v>Web</x:v>
      </x:c>
      <x:c r="G750" s="20" t="str">
        <x:v>Scanned receipt/invoice</x:v>
      </x:c>
      <x:c r="H750" s="35" t="str">
        <x:v>Record, review, allocate, and pay operating expense</x:v>
      </x:c>
      <x:c r="I750" s="35" t="str">
        <x:v>P026; Property scope; </x:v>
      </x:c>
      <x:c r="J750" s="35" t="str">
        <x:v>SCN-0561</x:v>
      </x:c>
      <x:c r="K750" s="35" t="str">
        <x:v>FIN-01222</x:v>
      </x:c>
      <x:c r="L750" s="35" t="str">
        <x:v>Capture or upload the source; verify vendor, date, scope, category, line items, tax, amount, and work-order link; confirm; open detail; verify attachment; compare Money and Property/Unit views.</x:v>
      </x:c>
      <x:c r="M750" s="35" t="str">
        <x:v>One expense exists at its real operational scope, cash falls once, Schedule E category and allocations agree, and no per-unit copies are created.</x:v>
      </x:c>
      <x:c r="N750" s="35" t="str">
        <x:v>Source preview; review/form; expense detail; line items; Property/Unit ledger; audit; accounting/report delta.</x:v>
      </x:c>
      <x:c r="O750" s="35" t="str">
        <x:v>On marked duplicate-invoice cases, re-upload before confirm and prove the product prevents or clearly warns about duplication.</x:v>
      </x:c>
      <x:c r="P750" s="35" t="str">
        <x:v>All expected records and amounts match; no unexplained error or stale state.</x:v>
      </x:c>
    </x:row>
    <x:row r="751">
      <x:c r="A751" s="20" t="str">
        <x:v>RUN-20270515-07</x:v>
      </x:c>
      <x:c r="B751" s="23" t="n">
        <x:v>46522</x:v>
      </x:c>
      <x:c r="C751" s="32" t="n">
        <x:v>7</x:v>
      </x:c>
      <x:c r="D751" s="20" t="str">
        <x:v>Weekly operations</x:v>
      </x:c>
      <x:c r="E751" s="20" t="str">
        <x:v>Property Manager</x:v>
      </x:c>
      <x:c r="F751" s="20" t="str">
        <x:v>Mobile</x:v>
      </x:c>
      <x:c r="G751" s="20" t="str">
        <x:v>Scanned receipt/invoice</x:v>
      </x:c>
      <x:c r="H751" s="35" t="str">
        <x:v>Record, review, allocate, and pay operating expense</x:v>
      </x:c>
      <x:c r="I751" s="35" t="str">
        <x:v>P027; Property scope; </x:v>
      </x:c>
      <x:c r="J751" s="35" t="str">
        <x:v>SCN-0562</x:v>
      </x:c>
      <x:c r="K751" s="35" t="str">
        <x:v>FIN-01223</x:v>
      </x:c>
      <x:c r="L751" s="35" t="str">
        <x:v>Capture or upload the source; verify vendor, date, scope, category, line items, tax, amount, and work-order link; confirm; open detail; verify attachment; compare Money and Property/Unit views.</x:v>
      </x:c>
      <x:c r="M751" s="35" t="str">
        <x:v>One expense exists at its real operational scope, cash falls once, Schedule E category and allocations agree, and no per-unit copies are created.</x:v>
      </x:c>
      <x:c r="N751" s="35" t="str">
        <x:v>Source preview; review/form; expense detail; line items; Property/Unit ledger; audit; accounting/report delta.</x:v>
      </x:c>
      <x:c r="O751" s="35" t="str">
        <x:v>On marked duplicate-invoice cases, re-upload before confirm and prove the product prevents or clearly warns about duplication.</x:v>
      </x:c>
      <x:c r="P751" s="35" t="str">
        <x:v>All expected records and amounts match; no unexplained error or stale state.</x:v>
      </x:c>
    </x:row>
    <x:row r="752">
      <x:c r="A752" s="20" t="str">
        <x:v>RUN-20270515-08</x:v>
      </x:c>
      <x:c r="B752" s="23" t="n">
        <x:v>46522</x:v>
      </x:c>
      <x:c r="C752" s="32" t="n">
        <x:v>8</x:v>
      </x:c>
      <x:c r="D752" s="20" t="str">
        <x:v>Weekly operations</x:v>
      </x:c>
      <x:c r="E752" s="20" t="str">
        <x:v>Property Manager</x:v>
      </x:c>
      <x:c r="F752" s="20" t="str">
        <x:v>Web</x:v>
      </x:c>
      <x:c r="G752" s="20" t="str">
        <x:v>Scanned receipt/invoice</x:v>
      </x:c>
      <x:c r="H752" s="35" t="str">
        <x:v>Record, review, allocate, and pay operating expense</x:v>
      </x:c>
      <x:c r="I752" s="35" t="str">
        <x:v>P028; Property scope; </x:v>
      </x:c>
      <x:c r="J752" s="35" t="str">
        <x:v>SCN-0563</x:v>
      </x:c>
      <x:c r="K752" s="35" t="str">
        <x:v>FIN-01224</x:v>
      </x:c>
      <x:c r="L752" s="35" t="str">
        <x:v>Capture or upload the source; verify vendor, date, scope, category, line items, tax, amount, and work-order link; confirm; open detail; verify attachment; compare Money and Property/Unit views.</x:v>
      </x:c>
      <x:c r="M752" s="35" t="str">
        <x:v>One expense exists at its real operational scope, cash falls once, Schedule E category and allocations agree, and no per-unit copies are created.</x:v>
      </x:c>
      <x:c r="N752" s="35" t="str">
        <x:v>Source preview; review/form; expense detail; line items; Property/Unit ledger; audit; accounting/report delta.</x:v>
      </x:c>
      <x:c r="O752" s="35" t="str">
        <x:v>On marked duplicate-invoice cases, re-upload before confirm and prove the product prevents or clearly warns about duplication.</x:v>
      </x:c>
      <x:c r="P752" s="35" t="str">
        <x:v>All expected records and amounts match; no unexplained error or stale state.</x:v>
      </x:c>
    </x:row>
    <x:row r="753">
      <x:c r="A753" s="20" t="str">
        <x:v>RUN-20270515-09</x:v>
      </x:c>
      <x:c r="B753" s="23" t="n">
        <x:v>46522</x:v>
      </x:c>
      <x:c r="C753" s="32" t="n">
        <x:v>9</x:v>
      </x:c>
      <x:c r="D753" s="20" t="str">
        <x:v>Weekly operations</x:v>
      </x:c>
      <x:c r="E753" s="20" t="str">
        <x:v>Property Manager</x:v>
      </x:c>
      <x:c r="F753" s="20" t="str">
        <x:v>Mobile</x:v>
      </x:c>
      <x:c r="G753" s="20" t="str">
        <x:v>Scanned receipt/invoice</x:v>
      </x:c>
      <x:c r="H753" s="35" t="str">
        <x:v>Record, review, allocate, and pay operating expense</x:v>
      </x:c>
      <x:c r="I753" s="35" t="str">
        <x:v>P029; Property scope; </x:v>
      </x:c>
      <x:c r="J753" s="35" t="str">
        <x:v>SCN-0564</x:v>
      </x:c>
      <x:c r="K753" s="35" t="str">
        <x:v>FIN-01225</x:v>
      </x:c>
      <x:c r="L753" s="35" t="str">
        <x:v>Capture or upload the source; verify vendor, date, scope, category, line items, tax, amount, and work-order link; confirm; open detail; verify attachment; compare Money and Property/Unit views.</x:v>
      </x:c>
      <x:c r="M753" s="35" t="str">
        <x:v>One expense exists at its real operational scope, cash falls once, Schedule E category and allocations agree, and no per-unit copies are created.</x:v>
      </x:c>
      <x:c r="N753" s="35" t="str">
        <x:v>Source preview; review/form; expense detail; line items; Property/Unit ledger; audit; accounting/report delta.</x:v>
      </x:c>
      <x:c r="O753" s="35" t="str">
        <x:v>On marked duplicate-invoice cases, re-upload before confirm and prove the product prevents or clearly warns about duplication.</x:v>
      </x:c>
      <x:c r="P753" s="35" t="str">
        <x:v>All expected records and amounts match; no unexplained error or stale state.</x:v>
      </x:c>
    </x:row>
    <x:row r="754">
      <x:c r="A754" s="20" t="str">
        <x:v>RUN-20270515-10</x:v>
      </x:c>
      <x:c r="B754" s="23" t="n">
        <x:v>46522</x:v>
      </x:c>
      <x:c r="C754" s="32" t="n">
        <x:v>10</x:v>
      </x:c>
      <x:c r="D754" s="20" t="str">
        <x:v>Weekly operations</x:v>
      </x:c>
      <x:c r="E754" s="20" t="str">
        <x:v>Property Manager</x:v>
      </x:c>
      <x:c r="F754" s="20" t="str">
        <x:v>Web</x:v>
      </x:c>
      <x:c r="G754" s="20" t="str">
        <x:v>Manual mobile form</x:v>
      </x:c>
      <x:c r="H754" s="35" t="str">
        <x:v>Record, review, allocate, and pay operating expense</x:v>
      </x:c>
      <x:c r="I754" s="35" t="str">
        <x:v>P030; Property scope; </x:v>
      </x:c>
      <x:c r="J754" s="35" t="str"/>
      <x:c r="K754" s="35" t="str">
        <x:v>FIN-01226</x:v>
      </x:c>
      <x:c r="L754" s="35" t="str">
        <x:v>Capture or upload the source; verify vendor, date, scope, category, line items, tax, amount, and work-order link; confirm; open detail; verify attachment; compare Money and Property/Unit views.</x:v>
      </x:c>
      <x:c r="M754" s="35" t="str">
        <x:v>One expense exists at its real operational scope, cash falls once, Schedule E category and allocations agree, and no per-unit copies are created.</x:v>
      </x:c>
      <x:c r="N754" s="35" t="str">
        <x:v>Source preview; review/form; expense detail; line items; Property/Unit ledger; audit; accounting/report delta.</x:v>
      </x:c>
      <x:c r="O754" s="35" t="str">
        <x:v>On marked duplicate-invoice cases, re-upload before confirm and prove the product prevents or clearly warns about duplication.</x:v>
      </x:c>
      <x:c r="P754" s="35" t="str">
        <x:v>All expected records and amounts match; no unexplained error or stale state.</x:v>
      </x:c>
    </x:row>
    <x:row r="755">
      <x:c r="A755" s="20" t="str">
        <x:v>RUN-20270517-01</x:v>
      </x:c>
      <x:c r="B755" s="23" t="n">
        <x:v>46524</x:v>
      </x:c>
      <x:c r="C755" s="32" t="n">
        <x:v>1</x:v>
      </x:c>
      <x:c r="D755" s="20" t="str">
        <x:v>Weekly operations</x:v>
      </x:c>
      <x:c r="E755" s="20" t="str">
        <x:v>Property Manager</x:v>
      </x:c>
      <x:c r="F755" s="20" t="str">
        <x:v>Web</x:v>
      </x:c>
      <x:c r="G755" s="20" t="str">
        <x:v>Scan-first</x:v>
      </x:c>
      <x:c r="H755" s="35" t="str">
        <x:v>Create and triage maintenance request</x:v>
      </x:c>
      <x:c r="I755" s="35" t="str">
        <x:v>P021; U021; WO-2027-020</x:v>
      </x:c>
      <x:c r="J755" s="35" t="str">
        <x:v>SCN-0382</x:v>
      </x:c>
      <x:c r="K755" s="35" t="str"/>
      <x:c r="L755" s="35" t="str">
        <x:v>Capture the tenant note/photo; review roof flashing leak; confirm; set responsibility; dispatch Apex Plumbing; create an appointment and verify the tenant notification.</x:v>
      </x:c>
      <x:c r="M755" s="35" t="str">
        <x:v>Work order, status timeline, responsibility, vendor dispatch, appointment, notification, and Unit context are linked once.</x:v>
      </x:c>
      <x:c r="N755" s="35" t="str">
        <x:v>Scan review; work order detail/timeline; dispatch; appointment; notification; tenant portal view.</x:v>
      </x:c>
      <x:c r="O755" s="35" t="str">
        <x:v>Cancel one dispatch each quarter, reassign once, and prove status/history remains append-only.</x:v>
      </x:c>
      <x:c r="P755" s="35" t="str">
        <x:v>All expected records and amounts match; no unexplained error or stale state.</x:v>
      </x:c>
    </x:row>
    <x:row r="756">
      <x:c r="A756" s="20" t="str">
        <x:v>RUN-20270517-02</x:v>
      </x:c>
      <x:c r="B756" s="23" t="n">
        <x:v>46524</x:v>
      </x:c>
      <x:c r="C756" s="32" t="n">
        <x:v>2</x:v>
      </x:c>
      <x:c r="D756" s="20" t="str">
        <x:v>Role and screen certification</x:v>
      </x:c>
      <x:c r="E756" s="20" t="str">
        <x:v>Workspace Administrator</x:v>
      </x:c>
      <x:c r="F756" s="20" t="str">
        <x:v>Web</x:v>
      </x:c>
      <x:c r="G756" s="20" t="str">
        <x:v>Normal persona navigation</x:v>
      </x:c>
      <x:c r="H756" s="35" t="str">
        <x:v>Use every permitted action and state on /scan/batch/[id]</x:v>
      </x:c>
      <x:c r="I756" s="35" t="str">
        <x:v>SCR-069; ROLE-113</x:v>
      </x:c>
      <x:c r="J756" s="35" t="str"/>
      <x:c r="K756" s="35" t="str"/>
      <x:c r="L75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56" s="35" t="str">
        <x:v>The persona can use every allowed action with only its assigned properties/relationships. Hidden or disabled actions explain why; an adjacent unauthorized persona is denied without metadata leakage.</x:v>
      </x:c>
      <x:c r="N756" s="35" t="str">
        <x:v>Persona/experience; navigation entry; desktop or device screenshots; result state; persisted read-back; audit/history; authorized and denied network result.</x:v>
      </x:c>
      <x:c r="O756" s="35" t="str">
        <x:v>Open the direct URL or deep link with an adjacent unauthorized persona and with stale scope; both fail closed and land safely without mutation.</x:v>
      </x:c>
      <x:c r="P756" s="35" t="str">
        <x:v>All expected records and amounts match; no unexplained error or stale state.</x:v>
      </x:c>
    </x:row>
    <x:row r="757">
      <x:c r="A757" s="20" t="str">
        <x:v>RUN-20270517-03</x:v>
      </x:c>
      <x:c r="B757" s="23" t="n">
        <x:v>46524</x:v>
      </x:c>
      <x:c r="C757" s="32" t="n">
        <x:v>3</x:v>
      </x:c>
      <x:c r="D757" s="20" t="str">
        <x:v>Role and screen certification</x:v>
      </x:c>
      <x:c r="E757" s="20" t="str">
        <x:v>Property Manager</x:v>
      </x:c>
      <x:c r="F757" s="20" t="str">
        <x:v>Web</x:v>
      </x:c>
      <x:c r="G757" s="20" t="str">
        <x:v>Normal persona navigation</x:v>
      </x:c>
      <x:c r="H757" s="35" t="str">
        <x:v>Use every permitted action and state on /scan/batch/[id]</x:v>
      </x:c>
      <x:c r="I757" s="35" t="str">
        <x:v>SCR-069; ROLE-114</x:v>
      </x:c>
      <x:c r="J757" s="35" t="str"/>
      <x:c r="K757" s="35" t="str"/>
      <x:c r="L75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57" s="35" t="str">
        <x:v>The persona can use every allowed action with only its assigned properties/relationships. Hidden or disabled actions explain why; an adjacent unauthorized persona is denied without metadata leakage.</x:v>
      </x:c>
      <x:c r="N757" s="35" t="str">
        <x:v>Persona/experience; navigation entry; desktop or device screenshots; result state; persisted read-back; audit/history; authorized and denied network result.</x:v>
      </x:c>
      <x:c r="O757" s="35" t="str">
        <x:v>Open the direct URL or deep link with an adjacent unauthorized persona and with stale scope; both fail closed and land safely without mutation.</x:v>
      </x:c>
      <x:c r="P757" s="35" t="str">
        <x:v>All expected records and amounts match; no unexplained error or stale state.</x:v>
      </x:c>
    </x:row>
    <x:row r="758">
      <x:c r="A758" s="20" t="str">
        <x:v>RUN-20270517-04</x:v>
      </x:c>
      <x:c r="B758" s="23" t="n">
        <x:v>46524</x:v>
      </x:c>
      <x:c r="C758" s="32" t="n">
        <x:v>4</x:v>
      </x:c>
      <x:c r="D758" s="20" t="str">
        <x:v>Role and screen certification</x:v>
      </x:c>
      <x:c r="E758" s="20" t="str">
        <x:v>Leasing Agent</x:v>
      </x:c>
      <x:c r="F758" s="20" t="str">
        <x:v>Web</x:v>
      </x:c>
      <x:c r="G758" s="20" t="str">
        <x:v>Normal persona navigation</x:v>
      </x:c>
      <x:c r="H758" s="35" t="str">
        <x:v>Use every permitted action and state on /scan/batch/[id]</x:v>
      </x:c>
      <x:c r="I758" s="35" t="str">
        <x:v>SCR-069; ROLE-115</x:v>
      </x:c>
      <x:c r="J758" s="35" t="str"/>
      <x:c r="K758" s="35" t="str"/>
      <x:c r="L75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58" s="35" t="str">
        <x:v>The persona can use every allowed action with only its assigned properties/relationships. Hidden or disabled actions explain why; an adjacent unauthorized persona is denied without metadata leakage.</x:v>
      </x:c>
      <x:c r="N758" s="35" t="str">
        <x:v>Persona/experience; navigation entry; desktop or device screenshots; result state; persisted read-back; audit/history; authorized and denied network result.</x:v>
      </x:c>
      <x:c r="O758" s="35" t="str">
        <x:v>Open the direct URL or deep link with an adjacent unauthorized persona and with stale scope; both fail closed and land safely without mutation.</x:v>
      </x:c>
      <x:c r="P758" s="35" t="str">
        <x:v>All expected records and amounts match; no unexplained error or stale state.</x:v>
      </x:c>
    </x:row>
    <x:row r="759">
      <x:c r="A759" s="20" t="str">
        <x:v>RUN-20270517-05</x:v>
      </x:c>
      <x:c r="B759" s="23" t="n">
        <x:v>46524</x:v>
      </x:c>
      <x:c r="C759" s="32" t="n">
        <x:v>5</x:v>
      </x:c>
      <x:c r="D759" s="20" t="str">
        <x:v>Role and screen certification</x:v>
      </x:c>
      <x:c r="E759" s="20" t="str">
        <x:v>Maintenance Technician</x:v>
      </x:c>
      <x:c r="F759" s="20" t="str">
        <x:v>Web</x:v>
      </x:c>
      <x:c r="G759" s="20" t="str">
        <x:v>Normal persona navigation</x:v>
      </x:c>
      <x:c r="H759" s="35" t="str">
        <x:v>Use every permitted action and state on /scan/batch/[id]</x:v>
      </x:c>
      <x:c r="I759" s="35" t="str">
        <x:v>SCR-069; ROLE-116</x:v>
      </x:c>
      <x:c r="J759" s="35" t="str"/>
      <x:c r="K759" s="35" t="str"/>
      <x:c r="L75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59" s="35" t="str">
        <x:v>The persona can use every allowed action with only its assigned properties/relationships. Hidden or disabled actions explain why; an adjacent unauthorized persona is denied without metadata leakage.</x:v>
      </x:c>
      <x:c r="N759" s="35" t="str">
        <x:v>Persona/experience; navigation entry; desktop or device screenshots; result state; persisted read-back; audit/history; authorized and denied network result.</x:v>
      </x:c>
      <x:c r="O759" s="35" t="str">
        <x:v>Open the direct URL or deep link with an adjacent unauthorized persona and with stale scope; both fail closed and land safely without mutation.</x:v>
      </x:c>
      <x:c r="P759" s="35" t="str">
        <x:v>All expected records and amounts match; no unexplained error or stale state.</x:v>
      </x:c>
    </x:row>
    <x:row r="760">
      <x:c r="A760" s="20" t="str">
        <x:v>RUN-20270517-06</x:v>
      </x:c>
      <x:c r="B760" s="23" t="n">
        <x:v>46524</x:v>
      </x:c>
      <x:c r="C760" s="32" t="n">
        <x:v>6</x:v>
      </x:c>
      <x:c r="D760" s="20" t="str">
        <x:v>Field certification</x:v>
      </x:c>
      <x:c r="E760" s="20" t="str">
        <x:v>Property Manager</x:v>
      </x:c>
      <x:c r="F760" s="20" t="str">
        <x:v>Web</x:v>
      </x:c>
      <x:c r="G760" s="20" t="str">
        <x:v>Manual field-by-field</x:v>
      </x:c>
      <x:c r="H760" s="35" t="str">
        <x:v>Fill, save, reload, edit, and validate every declared field on /appointments</x:v>
      </x:c>
      <x:c r="I760" s="35" t="str">
        <x:v>FLD-0368; FLD-0369; FLD-0370; FLD-0371</x:v>
      </x:c>
      <x:c r="J760" s="35" t="str"/>
      <x:c r="K760" s="35" t="str"/>
      <x:c r="L760" s="35" t="str">
        <x:v>Use the source-derived Field Inventory. Enter non-default realistic values in every control (Select-5; statusFilter; appointment-calendar-status-filter; Select-8); submit; reload or relaunch; compare every value; edit each mutable field; verify the paired client; then run required, format, length, range, boundary, optional-null, and stale-submit checks.</x:v>
      </x:c>
      <x:c r="M760" s="35" t="str">
        <x:v>All 4 inventoried controls persist exact normalized values, invalid values stay unsaved with clear errors, and hidden/unauthorized fields cannot be altered.</x:v>
      </x:c>
      <x:c r="N760" s="35" t="str">
        <x:v>Before/after form screenshots; FLD IDs; API response; reloaded UI; paired-client read-back; database/audit evidence; negative validation result.</x:v>
      </x:c>
      <x:c r="O760" s="35" t="str">
        <x:v>Use a duplicate submit and one simulated network interruption; one atomic mutation or none, never partial state.</x:v>
      </x:c>
      <x:c r="P760" s="35" t="str">
        <x:v>All expected records and amounts match; no unexplained error or stale state.</x:v>
      </x:c>
    </x:row>
    <x:row r="761">
      <x:c r="A761" s="20" t="str">
        <x:v>RUN-20270517-07</x:v>
      </x:c>
      <x:c r="B761" s="23" t="n">
        <x:v>46524</x:v>
      </x:c>
      <x:c r="C761" s="32" t="n">
        <x:v>7</x:v>
      </x:c>
      <x:c r="D761" s="20" t="str">
        <x:v>Surface coverage</x:v>
      </x:c>
      <x:c r="E761" s="20" t="str">
        <x:v>Role appropriate to surface</x:v>
      </x:c>
      <x:c r="F761" s="20" t="str">
        <x:v>Mobile</x:v>
      </x:c>
      <x:c r="G761" s="20" t="str">
        <x:v>Manual</x:v>
      </x:c>
      <x:c r="H761" s="35" t="str">
        <x:v>Manual mobile pass: Tenant charge, receipt, allocation, correction</x:v>
      </x:c>
      <x:c r="I761" s="35" t="str">
        <x:v>COV-017</x:v>
      </x:c>
      <x:c r="J761" s="35" t="str"/>
      <x:c r="K761" s="35" t="str"/>
      <x:c r="L761" s="35" t="str">
        <x:v>Create charge/receipt on both clients, allocate, reverse/refund/adjust without editing posted rows, and reconcile.</x:v>
      </x:c>
      <x:c r="M761" s="35" t="str">
        <x:v>The supported workflow completes and persists correctly; if the capability is absent, the exact gap is proven and queued rather than silently skipped.</x:v>
      </x:c>
      <x:c r="N761" s="35" t="str">
        <x:v>Real UI screenshot/state; submitted values; persisted read-back; cross-client read-back; audit/role/access evidence.</x:v>
      </x:c>
      <x:c r="O761" s="35" t="str">
        <x:v>Use one invalid value, stale-state retry, or duplicate submission relevant to the form; no partial or duplicate mutation.</x:v>
      </x:c>
      <x:c r="P761" s="35" t="str">
        <x:v>All expected records and amounts match; no unexplained error or stale state.</x:v>
      </x:c>
    </x:row>
    <x:row r="762">
      <x:c r="A762" s="20" t="str">
        <x:v>RUN-20270518-01</x:v>
      </x:c>
      <x:c r="B762" s="23" t="n">
        <x:v>46525</x:v>
      </x:c>
      <x:c r="C762" s="32" t="n">
        <x:v>1</x:v>
      </x:c>
      <x:c r="D762" s="20" t="str">
        <x:v>Weekly operations</x:v>
      </x:c>
      <x:c r="E762" s="20" t="str">
        <x:v>Property Manager</x:v>
      </x:c>
      <x:c r="F762" s="20" t="str">
        <x:v>Web</x:v>
      </x:c>
      <x:c r="G762" s="20" t="str">
        <x:v>Manual mobile form</x:v>
      </x:c>
      <x:c r="H762" s="35" t="str">
        <x:v>Record, review, allocate, and pay operating expense</x:v>
      </x:c>
      <x:c r="I762" s="35" t="str">
        <x:v>P021; U021; WO-2027-020</x:v>
      </x:c>
      <x:c r="J762" s="35" t="str"/>
      <x:c r="K762" s="35" t="str">
        <x:v>FIN-01043</x:v>
      </x:c>
      <x:c r="L762" s="35" t="str">
        <x:v>Capture or upload the source; verify vendor, date, scope, category, line items, tax, amount, and work-order link; confirm; open detail; verify attachment; compare Money and Property/Unit views.</x:v>
      </x:c>
      <x:c r="M762" s="35" t="str">
        <x:v>One expense exists at its real operational scope, cash falls once, Schedule E category and allocations agree, and no per-unit copies are created.</x:v>
      </x:c>
      <x:c r="N762" s="35" t="str">
        <x:v>Source preview; review/form; expense detail; line items; Property/Unit ledger; audit; accounting/report delta.</x:v>
      </x:c>
      <x:c r="O762" s="35" t="str">
        <x:v>On marked duplicate-invoice cases, re-upload before confirm and prove the product prevents or clearly warns about duplication.</x:v>
      </x:c>
      <x:c r="P762" s="35" t="str">
        <x:v>All expected records and amounts match; no unexplained error or stale state.</x:v>
      </x:c>
    </x:row>
    <x:row r="763">
      <x:c r="A763" s="20" t="str">
        <x:v>RUN-20270518-02</x:v>
      </x:c>
      <x:c r="B763" s="23" t="n">
        <x:v>46525</x:v>
      </x:c>
      <x:c r="C763" s="32" t="n">
        <x:v>2</x:v>
      </x:c>
      <x:c r="D763" s="20" t="str">
        <x:v>Weekly operations</x:v>
      </x:c>
      <x:c r="E763" s="20" t="str">
        <x:v>Property Manager</x:v>
      </x:c>
      <x:c r="F763" s="20" t="str">
        <x:v>Mobile</x:v>
      </x:c>
      <x:c r="G763" s="20" t="str">
        <x:v>Manual web form</x:v>
      </x:c>
      <x:c r="H763" s="35" t="str">
        <x:v>Record, review, allocate, and pay operating expense</x:v>
      </x:c>
      <x:c r="I763" s="35" t="str">
        <x:v>P005; Property scope; </x:v>
      </x:c>
      <x:c r="J763" s="35" t="str"/>
      <x:c r="K763" s="35" t="str">
        <x:v>FIN-01520</x:v>
      </x:c>
      <x:c r="L763" s="35" t="str">
        <x:v>Capture or upload the source; verify vendor, date, scope, category, line items, tax, amount, and work-order link; confirm; open detail; verify attachment; compare Money and Property/Unit views.</x:v>
      </x:c>
      <x:c r="M763" s="35" t="str">
        <x:v>One expense exists at its real operational scope, cash falls once, Schedule E category and allocations agree, and no per-unit copies are created.</x:v>
      </x:c>
      <x:c r="N763" s="35" t="str">
        <x:v>Source preview; review/form; expense detail; line items; Property/Unit ledger; audit; accounting/report delta.</x:v>
      </x:c>
      <x:c r="O763" s="35" t="str">
        <x:v>On marked duplicate-invoice cases, re-upload before confirm and prove the product prevents or clearly warns about duplication.</x:v>
      </x:c>
      <x:c r="P763" s="35" t="str">
        <x:v>All expected records and amounts match; no unexplained error or stale state.</x:v>
      </x:c>
    </x:row>
    <x:row r="764">
      <x:c r="A764" s="20" t="str">
        <x:v>RUN-20270518-03</x:v>
      </x:c>
      <x:c r="B764" s="23" t="n">
        <x:v>46525</x:v>
      </x:c>
      <x:c r="C764" s="32" t="n">
        <x:v>3</x:v>
      </x:c>
      <x:c r="D764" s="20" t="str">
        <x:v>Weekly operations</x:v>
      </x:c>
      <x:c r="E764" s="20" t="str">
        <x:v>Property Manager</x:v>
      </x:c>
      <x:c r="F764" s="20" t="str">
        <x:v>Mobile</x:v>
      </x:c>
      <x:c r="G764" s="20" t="str">
        <x:v>Scanned receipt/invoice</x:v>
      </x:c>
      <x:c r="H764" s="35" t="str">
        <x:v>Record, review, allocate, and pay operating expense</x:v>
      </x:c>
      <x:c r="I764" s="35" t="str">
        <x:v>P017; Property scope; </x:v>
      </x:c>
      <x:c r="J764" s="35" t="str">
        <x:v>SCN-0854</x:v>
      </x:c>
      <x:c r="K764" s="35" t="str">
        <x:v>FIN-01580</x:v>
      </x:c>
      <x:c r="L764" s="35" t="str">
        <x:v>Capture or upload the source; verify vendor, date, scope, category, line items, tax, amount, and work-order link; confirm; open detail; verify attachment; compare Money and Property/Unit views.</x:v>
      </x:c>
      <x:c r="M764" s="35" t="str">
        <x:v>One expense exists at its real operational scope, cash falls once, Schedule E category and allocations agree, and no per-unit copies are created.</x:v>
      </x:c>
      <x:c r="N764" s="35" t="str">
        <x:v>Source preview; review/form; expense detail; line items; Property/Unit ledger; audit; accounting/report delta.</x:v>
      </x:c>
      <x:c r="O764" s="35" t="str">
        <x:v>On marked duplicate-invoice cases, re-upload before confirm and prove the product prevents or clearly warns about duplication.</x:v>
      </x:c>
      <x:c r="P764" s="35" t="str">
        <x:v>All expected records and amounts match; no unexplained error or stale state.</x:v>
      </x:c>
    </x:row>
    <x:row r="765">
      <x:c r="A765" s="20" t="str">
        <x:v>RUN-20270518-04</x:v>
      </x:c>
      <x:c r="B765" s="23" t="n">
        <x:v>46525</x:v>
      </x:c>
      <x:c r="C765" s="32" t="n">
        <x:v>4</x:v>
      </x:c>
      <x:c r="D765" s="20" t="str">
        <x:v>Weekly operations</x:v>
      </x:c>
      <x:c r="E765" s="20" t="str">
        <x:v>Property Manager</x:v>
      </x:c>
      <x:c r="F765" s="20" t="str">
        <x:v>Mobile</x:v>
      </x:c>
      <x:c r="G765" s="20" t="str">
        <x:v>Scanned receipt/invoice</x:v>
      </x:c>
      <x:c r="H765" s="35" t="str">
        <x:v>Record, review, allocate, and pay operating expense</x:v>
      </x:c>
      <x:c r="I765" s="35" t="str">
        <x:v>P029; Property scope; </x:v>
      </x:c>
      <x:c r="J765" s="35" t="str">
        <x:v>SCN-0904</x:v>
      </x:c>
      <x:c r="K765" s="35" t="str">
        <x:v>FIN-01640</x:v>
      </x:c>
      <x:c r="L765" s="35" t="str">
        <x:v>Capture or upload the source; verify vendor, date, scope, category, line items, tax, amount, and work-order link; confirm; open detail; verify attachment; compare Money and Property/Unit views.</x:v>
      </x:c>
      <x:c r="M765" s="35" t="str">
        <x:v>One expense exists at its real operational scope, cash falls once, Schedule E category and allocations agree, and no per-unit copies are created.</x:v>
      </x:c>
      <x:c r="N765" s="35" t="str">
        <x:v>Source preview; review/form; expense detail; line items; Property/Unit ledger; audit; accounting/report delta.</x:v>
      </x:c>
      <x:c r="O765" s="35" t="str">
        <x:v>On marked duplicate-invoice cases, re-upload before confirm and prove the product prevents or clearly warns about duplication.</x:v>
      </x:c>
      <x:c r="P765" s="35" t="str">
        <x:v>All expected records and amounts match; no unexplained error or stale state.</x:v>
      </x:c>
    </x:row>
    <x:row r="766">
      <x:c r="A766" s="20" t="str">
        <x:v>RUN-20270518-05</x:v>
      </x:c>
      <x:c r="B766" s="23" t="n">
        <x:v>46525</x:v>
      </x:c>
      <x:c r="C766" s="32" t="n">
        <x:v>5</x:v>
      </x:c>
      <x:c r="D766" s="20" t="str">
        <x:v>Capital and tax</x:v>
      </x:c>
      <x:c r="E766" s="20" t="str">
        <x:v>Workspace Administrator</x:v>
      </x:c>
      <x:c r="F766" s="20" t="str">
        <x:v>Web + Mobile</x:v>
      </x:c>
      <x:c r="G766" s="20" t="str">
        <x:v>Scan + manual capitalization</x:v>
      </x:c>
      <x:c r="H766" s="35" t="str">
        <x:v>Capitalize major improvement</x:v>
      </x:c>
      <x:c r="I766" s="35" t="str">
        <x:v>P012; U012</x:v>
      </x:c>
      <x:c r="J766" s="35" t="str">
        <x:v>SCN-0952</x:v>
      </x:c>
      <x:c r="K766" s="35" t="str">
        <x:v>FIN-01675</x:v>
      </x:c>
      <x:c r="L766" s="35" t="str">
        <x:v>Scan the invoice; review line items; choose capital treatment; create Capital Asset with basis, placed-in-service date, recovery class, method, and property/unit link; verify it is not also operating expense.</x:v>
      </x:c>
      <x:c r="M766" s="35" t="str">
        <x:v>Cash falls once, capital basis rises, Schedule E repair expense does not rise, and depreciation schedule starts from placed-in-service date.</x:v>
      </x:c>
      <x:c r="N766" s="35" t="str">
        <x:v>Scan review; capital asset detail; property Money view; tax report; accounting journal; duplicate prevention.</x:v>
      </x:c>
      <x:c r="O766" s="35" t="str">
        <x:v>Try to confirm as both Expense and Capital Asset; cancel one path and prove no double counting.</x:v>
      </x:c>
      <x:c r="P766" s="35" t="str">
        <x:v>All expected records and amounts match; no unexplained error or stale state.</x:v>
      </x:c>
    </x:row>
    <x:row r="767">
      <x:c r="A767" s="20" t="str">
        <x:v>RUN-20270518-06</x:v>
      </x:c>
      <x:c r="B767" s="23" t="n">
        <x:v>46525</x:v>
      </x:c>
      <x:c r="C767" s="32" t="n">
        <x:v>6</x:v>
      </x:c>
      <x:c r="D767" s="20" t="str">
        <x:v>Role and screen certification</x:v>
      </x:c>
      <x:c r="E767" s="20" t="str">
        <x:v>Workspace Administrator</x:v>
      </x:c>
      <x:c r="F767" s="20" t="str">
        <x:v>Web</x:v>
      </x:c>
      <x:c r="G767" s="20" t="str">
        <x:v>Normal persona navigation</x:v>
      </x:c>
      <x:c r="H767" s="35" t="str">
        <x:v>Use every permitted action and state on /scan/new-rental</x:v>
      </x:c>
      <x:c r="I767" s="35" t="str">
        <x:v>SCR-070; ROLE-117</x:v>
      </x:c>
      <x:c r="J767" s="35" t="str"/>
      <x:c r="K767" s="35" t="str"/>
      <x:c r="L76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67" s="35" t="str">
        <x:v>The persona can use every allowed action with only its assigned properties/relationships. Hidden or disabled actions explain why; an adjacent unauthorized persona is denied without metadata leakage.</x:v>
      </x:c>
      <x:c r="N767" s="35" t="str">
        <x:v>Persona/experience; navigation entry; desktop or device screenshots; result state; persisted read-back; audit/history; authorized and denied network result.</x:v>
      </x:c>
      <x:c r="O767" s="35" t="str">
        <x:v>Open the direct URL or deep link with an adjacent unauthorized persona and with stale scope; both fail closed and land safely without mutation.</x:v>
      </x:c>
      <x:c r="P767" s="35" t="str">
        <x:v>All expected records and amounts match; no unexplained error or stale state.</x:v>
      </x:c>
    </x:row>
    <x:row r="768">
      <x:c r="A768" s="20" t="str">
        <x:v>RUN-20270518-07</x:v>
      </x:c>
      <x:c r="B768" s="23" t="n">
        <x:v>46525</x:v>
      </x:c>
      <x:c r="C768" s="32" t="n">
        <x:v>7</x:v>
      </x:c>
      <x:c r="D768" s="20" t="str">
        <x:v>Role and screen certification</x:v>
      </x:c>
      <x:c r="E768" s="20" t="str">
        <x:v>Property Manager</x:v>
      </x:c>
      <x:c r="F768" s="20" t="str">
        <x:v>Web</x:v>
      </x:c>
      <x:c r="G768" s="20" t="str">
        <x:v>Normal persona navigation</x:v>
      </x:c>
      <x:c r="H768" s="35" t="str">
        <x:v>Use every permitted action and state on /scan/new-rental</x:v>
      </x:c>
      <x:c r="I768" s="35" t="str">
        <x:v>SCR-070; ROLE-118</x:v>
      </x:c>
      <x:c r="J768" s="35" t="str"/>
      <x:c r="K768" s="35" t="str"/>
      <x:c r="L76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68" s="35" t="str">
        <x:v>The persona can use every allowed action with only its assigned properties/relationships. Hidden or disabled actions explain why; an adjacent unauthorized persona is denied without metadata leakage.</x:v>
      </x:c>
      <x:c r="N768" s="35" t="str">
        <x:v>Persona/experience; navigation entry; desktop or device screenshots; result state; persisted read-back; audit/history; authorized and denied network result.</x:v>
      </x:c>
      <x:c r="O768" s="35" t="str">
        <x:v>Open the direct URL or deep link with an adjacent unauthorized persona and with stale scope; both fail closed and land safely without mutation.</x:v>
      </x:c>
      <x:c r="P768" s="35" t="str">
        <x:v>All expected records and amounts match; no unexplained error or stale state.</x:v>
      </x:c>
    </x:row>
    <x:row r="769">
      <x:c r="A769" s="20" t="str">
        <x:v>RUN-20270518-08</x:v>
      </x:c>
      <x:c r="B769" s="23" t="n">
        <x:v>46525</x:v>
      </x:c>
      <x:c r="C769" s="32" t="n">
        <x:v>8</x:v>
      </x:c>
      <x:c r="D769" s="20" t="str">
        <x:v>Role and screen certification</x:v>
      </x:c>
      <x:c r="E769" s="20" t="str">
        <x:v>Leasing Agent</x:v>
      </x:c>
      <x:c r="F769" s="20" t="str">
        <x:v>Web</x:v>
      </x:c>
      <x:c r="G769" s="20" t="str">
        <x:v>Normal persona navigation</x:v>
      </x:c>
      <x:c r="H769" s="35" t="str">
        <x:v>Use every permitted action and state on /scan/new-rental</x:v>
      </x:c>
      <x:c r="I769" s="35" t="str">
        <x:v>SCR-070; ROLE-119</x:v>
      </x:c>
      <x:c r="J769" s="35" t="str"/>
      <x:c r="K769" s="35" t="str"/>
      <x:c r="L76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69" s="35" t="str">
        <x:v>The persona can use every allowed action with only its assigned properties/relationships. Hidden or disabled actions explain why; an adjacent unauthorized persona is denied without metadata leakage.</x:v>
      </x:c>
      <x:c r="N769" s="35" t="str">
        <x:v>Persona/experience; navigation entry; desktop or device screenshots; result state; persisted read-back; audit/history; authorized and denied network result.</x:v>
      </x:c>
      <x:c r="O769" s="35" t="str">
        <x:v>Open the direct URL or deep link with an adjacent unauthorized persona and with stale scope; both fail closed and land safely without mutation.</x:v>
      </x:c>
      <x:c r="P769" s="35" t="str">
        <x:v>All expected records and amounts match; no unexplained error or stale state.</x:v>
      </x:c>
    </x:row>
    <x:row r="770">
      <x:c r="A770" s="20" t="str">
        <x:v>RUN-20270518-09</x:v>
      </x:c>
      <x:c r="B770" s="23" t="n">
        <x:v>46525</x:v>
      </x:c>
      <x:c r="C770" s="32" t="n">
        <x:v>9</x:v>
      </x:c>
      <x:c r="D770" s="20" t="str">
        <x:v>Role and screen certification</x:v>
      </x:c>
      <x:c r="E770" s="20" t="str">
        <x:v>Maintenance Technician</x:v>
      </x:c>
      <x:c r="F770" s="20" t="str">
        <x:v>Web</x:v>
      </x:c>
      <x:c r="G770" s="20" t="str">
        <x:v>Normal persona navigation</x:v>
      </x:c>
      <x:c r="H770" s="35" t="str">
        <x:v>Use every permitted action and state on /scan/new-rental</x:v>
      </x:c>
      <x:c r="I770" s="35" t="str">
        <x:v>SCR-070; ROLE-120</x:v>
      </x:c>
      <x:c r="J770" s="35" t="str"/>
      <x:c r="K770" s="35" t="str"/>
      <x:c r="L7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70" s="35" t="str">
        <x:v>The persona can use every allowed action with only its assigned properties/relationships. Hidden or disabled actions explain why; an adjacent unauthorized persona is denied without metadata leakage.</x:v>
      </x:c>
      <x:c r="N770" s="35" t="str">
        <x:v>Persona/experience; navigation entry; desktop or device screenshots; result state; persisted read-back; audit/history; authorized and denied network result.</x:v>
      </x:c>
      <x:c r="O770" s="35" t="str">
        <x:v>Open the direct URL or deep link with an adjacent unauthorized persona and with stale scope; both fail closed and land safely without mutation.</x:v>
      </x:c>
      <x:c r="P770" s="35" t="str">
        <x:v>All expected records and amounts match; no unexplained error or stale state.</x:v>
      </x:c>
    </x:row>
    <x:row r="771">
      <x:c r="A771" s="20" t="str">
        <x:v>RUN-20270518-10</x:v>
      </x:c>
      <x:c r="B771" s="23" t="n">
        <x:v>46525</x:v>
      </x:c>
      <x:c r="C771" s="32" t="n">
        <x:v>10</x:v>
      </x:c>
      <x:c r="D771" s="20" t="str">
        <x:v>Field certification</x:v>
      </x:c>
      <x:c r="E771" s="20" t="str">
        <x:v>Property Manager</x:v>
      </x:c>
      <x:c r="F771" s="20" t="str">
        <x:v>Web</x:v>
      </x:c>
      <x:c r="G771" s="20" t="str">
        <x:v>Manual field-by-field</x:v>
      </x:c>
      <x:c r="H771" s="35" t="str">
        <x:v>Fill, save, reload, edit, and validate every declared field on /appointments</x:v>
      </x:c>
      <x:c r="I771" s="35" t="str">
        <x:v>FLD-0372; FLD-0373; FLD-0374; FLD-0375; FLD-0376</x:v>
      </x:c>
      <x:c r="J771" s="35" t="str"/>
      <x:c r="K771" s="35" t="str"/>
      <x:c r="L771" s="35" t="str">
        <x:v>Use the source-derived Field Inventory. Enter non-default realistic values in every control (Select-9; Select-10; appointment-type-filter; Select-13; Select-14); submit; reload or relaunch; compare every value; edit each mutable field; verify the paired client; then run required, format, length, range, boundary, optional-null, and stale-submit checks.</x:v>
      </x:c>
      <x:c r="M771" s="35" t="str">
        <x:v>All 5 inventoried controls persist exact normalized values, invalid values stay unsaved with clear errors, and hidden/unauthorized fields cannot be altered.</x:v>
      </x:c>
      <x:c r="N771" s="35" t="str">
        <x:v>Before/after form screenshots; FLD IDs; API response; reloaded UI; paired-client read-back; database/audit evidence; negative validation result.</x:v>
      </x:c>
      <x:c r="O771" s="35" t="str">
        <x:v>Use a duplicate submit and one simulated network interruption; one atomic mutation or none, never partial state.</x:v>
      </x:c>
      <x:c r="P771" s="35" t="str">
        <x:v>All expected records and amounts match; no unexplained error or stale state.</x:v>
      </x:c>
    </x:row>
    <x:row r="772">
      <x:c r="A772" s="20" t="str">
        <x:v>RUN-20270519-01</x:v>
      </x:c>
      <x:c r="B772" s="23" t="n">
        <x:v>46526</x:v>
      </x:c>
      <x:c r="C772" s="32" t="n">
        <x:v>1</x:v>
      </x:c>
      <x:c r="D772" s="20" t="str">
        <x:v>Field certification</x:v>
      </x:c>
      <x:c r="E772" s="20" t="str">
        <x:v>Property Manager</x:v>
      </x:c>
      <x:c r="F772" s="20" t="str">
        <x:v>Web</x:v>
      </x:c>
      <x:c r="G772" s="20" t="str">
        <x:v>Manual field-by-field</x:v>
      </x:c>
      <x:c r="H772" s="35" t="str">
        <x:v>Fill, save, reload, edit, and validate every declared field on /appointments</x:v>
      </x:c>
      <x:c r="I772" s="35" t="str">
        <x:v>FLD-0377; FLD-0378; FLD-0379; FLD-0380</x:v>
      </x:c>
      <x:c r="J772" s="35" t="str"/>
      <x:c r="K772" s="35" t="str"/>
      <x:c r="L772" s="35" t="str">
        <x:v>Use the source-derived Field Inventory. Enter non-default realistic values in every control (Select-15; appointment-status-filter; Select-18; Select-19); submit; reload or relaunch; compare every value; edit each mutable field; verify the paired client; then run required, format, length, range, boundary, optional-null, and stale-submit checks.</x:v>
      </x:c>
      <x:c r="M772" s="35" t="str">
        <x:v>All 4 inventoried controls persist exact normalized values, invalid values stay unsaved with clear errors, and hidden/unauthorized fields cannot be altered.</x:v>
      </x:c>
      <x:c r="N772" s="35" t="str">
        <x:v>Before/after form screenshots; FLD IDs; API response; reloaded UI; paired-client read-back; database/audit evidence; negative validation result.</x:v>
      </x:c>
      <x:c r="O772" s="35" t="str">
        <x:v>Use a duplicate submit and one simulated network interruption; one atomic mutation or none, never partial state.</x:v>
      </x:c>
      <x:c r="P772" s="35" t="str">
        <x:v>All expected records and amounts match; no unexplained error or stale state.</x:v>
      </x:c>
    </x:row>
    <x:row r="773">
      <x:c r="A773" s="20" t="str">
        <x:v>RUN-20270519-02</x:v>
      </x:c>
      <x:c r="B773" s="23" t="n">
        <x:v>46526</x:v>
      </x:c>
      <x:c r="C773" s="32" t="n">
        <x:v>2</x:v>
      </x:c>
      <x:c r="D773" s="20" t="str">
        <x:v>Surface coverage</x:v>
      </x:c>
      <x:c r="E773" s="20" t="str">
        <x:v>Role appropriate to surface</x:v>
      </x:c>
      <x:c r="F773" s="20" t="str">
        <x:v>Web</x:v>
      </x:c>
      <x:c r="G773" s="20" t="str">
        <x:v>Scan/attachment</x:v>
      </x:c>
      <x:c r="H773" s="35" t="str">
        <x:v>Scan web pass: Tenant charge, receipt, allocation, correction</x:v>
      </x:c>
      <x:c r="I773" s="35" t="str">
        <x:v>COV-017</x:v>
      </x:c>
      <x:c r="J773" s="35" t="str"/>
      <x:c r="K773" s="35" t="str"/>
      <x:c r="L773" s="35" t="str">
        <x:v>Create charge/receipt on both clients, allocate, reverse/refund/adjust without editing posted rows, and reconcile.</x:v>
      </x:c>
      <x:c r="M773" s="35" t="str">
        <x:v>The supported workflow completes and persists correctly; if the capability is absent, the exact gap is proven and queued rather than silently skipped.</x:v>
      </x:c>
      <x:c r="N773" s="35" t="str">
        <x:v>Real UI screenshot/state; submitted values; persisted read-back; cross-client read-back; audit/role/access evidence.</x:v>
      </x:c>
      <x:c r="O773" s="35" t="str">
        <x:v>Use one invalid value, stale-state retry, or duplicate submission relevant to the form; no partial or duplicate mutation.</x:v>
      </x:c>
      <x:c r="P773" s="35" t="str">
        <x:v>All expected records and amounts match; no unexplained error or stale state.</x:v>
      </x:c>
    </x:row>
    <x:row r="774">
      <x:c r="A774" s="20" t="str">
        <x:v>RUN-20270520-01</x:v>
      </x:c>
      <x:c r="B774" s="23" t="n">
        <x:v>46527</x:v>
      </x:c>
      <x:c r="C774" s="32" t="n">
        <x:v>1</x:v>
      </x:c>
      <x:c r="D774" s="20" t="str">
        <x:v>Monthly close</x:v>
      </x:c>
      <x:c r="E774" s="20" t="str">
        <x:v>Workspace Administrator</x:v>
      </x:c>
      <x:c r="F774" s="20" t="str">
        <x:v>Web + Mobile</x:v>
      </x:c>
      <x:c r="G774" s="20" t="str">
        <x:v>Recurring automation + statement match</x:v>
      </x:c>
      <x:c r="H774" s="35" t="str">
        <x:v>May loan payments</x:v>
      </x:c>
      <x:c r="I774" s="35" t="str">
        <x:v>LN001; LN002; LN004; LN005; LN007; LN008; LN010; LN011; LN013; LN014; LN016; LN017; LN019; LN020; LN022; LN023; LN025; LN026; LN028; LN029</x:v>
      </x:c>
      <x:c r="J774" s="35" t="str">
        <x:v>SCN-0565; SCN-0566; SCN-0567; SCN-0568; SCN-0569; SCN-0570; SCN-0571; SCN-0572; SCN-0573; SCN-0574; SCN-0575; SCN-0576; SCN-0577; SCN-0578; SCN-0579; SCN-0580; SCN-0581; SCN-0582; SCN-0583; SCN-0584</x:v>
      </x:c>
      <x:c r="K774" s="35" t="str">
        <x:v>FIN-01227; FIN-01228; FIN-01229; FIN-01230; FIN-01231; FIN-01232; FIN-01233; FIN-01234; FIN-01235; FIN-01236; FIN-01237; FIN-01238; FIN-01239; FIN-01240; FIN-01241; FIN-01242; FIN-01243; FIN-01244; FIN-01245; FIN-01246</x:v>
      </x:c>
      <x:c r="L774" s="35" t="str">
        <x:v>Verify the recurring loan payments; attach/match each statement; compare principal, interest, cash, loan balance, amortization, Property Money view, and Schedule E interest.</x:v>
      </x:c>
      <x:c r="M774" s="35" t="str">
        <x:v>Every payment splits principal and interest once; principal reduces liability, interest is expense, and statement balance matches.</x:v>
      </x:c>
      <x:c r="N774" s="35" t="str">
        <x:v>Loan detail samples on both clients; statement attachment; amortization; Property and year-end reports.</x:v>
      </x:c>
      <x:c r="O774" s="35" t="str">
        <x:v>Attempt a duplicate recurrence run; no second payment or balance movement.</x:v>
      </x:c>
      <x:c r="P774" s="35" t="str">
        <x:v>All expected records and amounts match; no unexplained error or stale state.</x:v>
      </x:c>
    </x:row>
    <x:row r="775">
      <x:c r="A775" s="20" t="str">
        <x:v>RUN-20270520-02</x:v>
      </x:c>
      <x:c r="B775" s="23" t="n">
        <x:v>46527</x:v>
      </x:c>
      <x:c r="C775" s="32" t="n">
        <x:v>2</x:v>
      </x:c>
      <x:c r="D775" s="20" t="str">
        <x:v>Role and screen certification</x:v>
      </x:c>
      <x:c r="E775" s="20" t="str">
        <x:v>Workspace Administrator</x:v>
      </x:c>
      <x:c r="F775" s="20" t="str">
        <x:v>Web</x:v>
      </x:c>
      <x:c r="G775" s="20" t="str">
        <x:v>Normal persona navigation</x:v>
      </x:c>
      <x:c r="H775" s="35" t="str">
        <x:v>Use every permitted action and state on /settings</x:v>
      </x:c>
      <x:c r="I775" s="35" t="str">
        <x:v>SCR-071; ROLE-121</x:v>
      </x:c>
      <x:c r="J775" s="35" t="str"/>
      <x:c r="K775" s="35" t="str"/>
      <x:c r="L77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75" s="35" t="str">
        <x:v>The persona can use every allowed action with only its assigned properties/relationships. Hidden or disabled actions explain why; an adjacent unauthorized persona is denied without metadata leakage.</x:v>
      </x:c>
      <x:c r="N775" s="35" t="str">
        <x:v>Persona/experience; navigation entry; desktop or device screenshots; result state; persisted read-back; audit/history; authorized and denied network result.</x:v>
      </x:c>
      <x:c r="O775" s="35" t="str">
        <x:v>Open the direct URL or deep link with an adjacent unauthorized persona and with stale scope; both fail closed and land safely without mutation.</x:v>
      </x:c>
      <x:c r="P775" s="35" t="str">
        <x:v>All expected records and amounts match; no unexplained error or stale state.</x:v>
      </x:c>
    </x:row>
    <x:row r="776">
      <x:c r="A776" s="20" t="str">
        <x:v>RUN-20270520-03</x:v>
      </x:c>
      <x:c r="B776" s="23" t="n">
        <x:v>46527</x:v>
      </x:c>
      <x:c r="C776" s="32" t="n">
        <x:v>3</x:v>
      </x:c>
      <x:c r="D776" s="20" t="str">
        <x:v>Field certification</x:v>
      </x:c>
      <x:c r="E776" s="20" t="str">
        <x:v>Property Manager</x:v>
      </x:c>
      <x:c r="F776" s="20" t="str">
        <x:v>Web</x:v>
      </x:c>
      <x:c r="G776" s="20" t="str">
        <x:v>Manual field-by-field</x:v>
      </x:c>
      <x:c r="H776" s="35" t="str">
        <x:v>Fill, save, reload, edit, and validate every declared field on /appointments</x:v>
      </x:c>
      <x:c r="I776" s="35" t="str">
        <x:v>FLD-0381; FLD-0382; FLD-0383; FLD-0384</x:v>
      </x:c>
      <x:c r="J776" s="35" t="str"/>
      <x:c r="K776" s="35" t="str"/>
      <x:c r="L776" s="35" t="str">
        <x:v>Use the source-derived Field Inventory. Enter non-default realistic values in every control (Select-20; appointment-title; form.type; appointment-type-input); submit; reload or relaunch; compare every value; edit each mutable field; verify the paired client; then run required, format, length, range, boundary, optional-null, and stale-submit checks.</x:v>
      </x:c>
      <x:c r="M776" s="35" t="str">
        <x:v>All 4 inventoried controls persist exact normalized values, invalid values stay unsaved with clear errors, and hidden/unauthorized fields cannot be altered.</x:v>
      </x:c>
      <x:c r="N776" s="35" t="str">
        <x:v>Before/after form screenshots; FLD IDs; API response; reloaded UI; paired-client read-back; database/audit evidence; negative validation result.</x:v>
      </x:c>
      <x:c r="O776" s="35" t="str">
        <x:v>Use a duplicate submit and one simulated network interruption; one atomic mutation or none, never partial state.</x:v>
      </x:c>
      <x:c r="P776" s="35" t="str">
        <x:v>All expected records and amounts match; no unexplained error or stale state.</x:v>
      </x:c>
    </x:row>
    <x:row r="777">
      <x:c r="A777" s="20" t="str">
        <x:v>RUN-20270520-04</x:v>
      </x:c>
      <x:c r="B777" s="23" t="n">
        <x:v>46527</x:v>
      </x:c>
      <x:c r="C777" s="32" t="n">
        <x:v>4</x:v>
      </x:c>
      <x:c r="D777" s="20" t="str">
        <x:v>Surface coverage</x:v>
      </x:c>
      <x:c r="E777" s="20" t="str">
        <x:v>Role appropriate to surface</x:v>
      </x:c>
      <x:c r="F777" s="20" t="str">
        <x:v>Mobile</x:v>
      </x:c>
      <x:c r="G777" s="20" t="str">
        <x:v>Scan/attachment</x:v>
      </x:c>
      <x:c r="H777" s="35" t="str">
        <x:v>Scan mobile pass: Tenant charge, receipt, allocation, correction</x:v>
      </x:c>
      <x:c r="I777" s="35" t="str">
        <x:v>COV-017</x:v>
      </x:c>
      <x:c r="J777" s="35" t="str"/>
      <x:c r="K777" s="35" t="str"/>
      <x:c r="L777" s="35" t="str">
        <x:v>Create charge/receipt on both clients, allocate, reverse/refund/adjust without editing posted rows, and reconcile.</x:v>
      </x:c>
      <x:c r="M777" s="35" t="str">
        <x:v>The supported workflow completes and persists correctly; if the capability is absent, the exact gap is proven and queued rather than silently skipped.</x:v>
      </x:c>
      <x:c r="N777" s="35" t="str">
        <x:v>Real UI screenshot/state; submitted values; persisted read-back; cross-client read-back; audit/role/access evidence.</x:v>
      </x:c>
      <x:c r="O777" s="35" t="str">
        <x:v>Use one invalid value, stale-state retry, or duplicate submission relevant to the form; no partial or duplicate mutation.</x:v>
      </x:c>
      <x:c r="P777" s="35" t="str">
        <x:v>All expected records and amounts match; no unexplained error or stale state.</x:v>
      </x:c>
    </x:row>
    <x:row r="778">
      <x:c r="A778" s="20" t="str">
        <x:v>RUN-20270521-01</x:v>
      </x:c>
      <x:c r="B778" s="23" t="n">
        <x:v>46528</x:v>
      </x:c>
      <x:c r="C778" s="32" t="n">
        <x:v>1</x:v>
      </x:c>
      <x:c r="D778" s="20" t="str">
        <x:v>Role and screen certification</x:v>
      </x:c>
      <x:c r="E778" s="20" t="str">
        <x:v>Workspace Administrator</x:v>
      </x:c>
      <x:c r="F778" s="20" t="str">
        <x:v>Web</x:v>
      </x:c>
      <x:c r="G778" s="20" t="str">
        <x:v>Normal persona navigation</x:v>
      </x:c>
      <x:c r="H778" s="35" t="str">
        <x:v>Use every permitted action and state on /settings/accounting</x:v>
      </x:c>
      <x:c r="I778" s="35" t="str">
        <x:v>SCR-072; ROLE-122</x:v>
      </x:c>
      <x:c r="J778" s="35" t="str"/>
      <x:c r="K778" s="35" t="str"/>
      <x:c r="L77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78" s="35" t="str">
        <x:v>The persona can use every allowed action with only its assigned properties/relationships. Hidden or disabled actions explain why; an adjacent unauthorized persona is denied without metadata leakage.</x:v>
      </x:c>
      <x:c r="N778" s="35" t="str">
        <x:v>Persona/experience; navigation entry; desktop or device screenshots; result state; persisted read-back; audit/history; authorized and denied network result.</x:v>
      </x:c>
      <x:c r="O778" s="35" t="str">
        <x:v>Open the direct URL or deep link with an adjacent unauthorized persona and with stale scope; both fail closed and land safely without mutation.</x:v>
      </x:c>
      <x:c r="P778" s="35" t="str">
        <x:v>All expected records and amounts match; no unexplained error or stale state.</x:v>
      </x:c>
    </x:row>
    <x:row r="779">
      <x:c r="A779" s="20" t="str">
        <x:v>RUN-20270521-02</x:v>
      </x:c>
      <x:c r="B779" s="23" t="n">
        <x:v>46528</x:v>
      </x:c>
      <x:c r="C779" s="32" t="n">
        <x:v>2</x:v>
      </x:c>
      <x:c r="D779" s="20" t="str">
        <x:v>Field certification</x:v>
      </x:c>
      <x:c r="E779" s="20" t="str">
        <x:v>Property Manager</x:v>
      </x:c>
      <x:c r="F779" s="20" t="str">
        <x:v>Web</x:v>
      </x:c>
      <x:c r="G779" s="20" t="str">
        <x:v>Manual field-by-field</x:v>
      </x:c>
      <x:c r="H779" s="35" t="str">
        <x:v>Fill, save, reload, edit, and validate every declared field on /appointments</x:v>
      </x:c>
      <x:c r="I779" s="35" t="str">
        <x:v>FLD-0385; FLD-0386; FLD-0387; FLD-0388; FLD-0389</x:v>
      </x:c>
      <x:c r="J779" s="35" t="str"/>
      <x:c r="K779" s="35" t="str"/>
      <x:c r="L779" s="35" t="str">
        <x:v>Use the source-derived Field Inventory. Enter non-default realistic values in every control (Select-24; Select-25; form.status; appointment-status-input; Select-28); submit; reload or relaunch; compare every value; edit each mutable field; verify the paired client; then run required, format, length, range, boundary, optional-null, and stale-submit checks.</x:v>
      </x:c>
      <x:c r="M779" s="35" t="str">
        <x:v>All 5 inventoried controls persist exact normalized values, invalid values stay unsaved with clear errors, and hidden/unauthorized fields cannot be altered.</x:v>
      </x:c>
      <x:c r="N779" s="35" t="str">
        <x:v>Before/after form screenshots; FLD IDs; API response; reloaded UI; paired-client read-back; database/audit evidence; negative validation result.</x:v>
      </x:c>
      <x:c r="O779" s="35" t="str">
        <x:v>Use a duplicate submit and one simulated network interruption; one atomic mutation or none, never partial state.</x:v>
      </x:c>
      <x:c r="P779" s="35" t="str">
        <x:v>All expected records and amounts match; no unexplained error or stale state.</x:v>
      </x:c>
    </x:row>
    <x:row r="780">
      <x:c r="A780" s="20" t="str">
        <x:v>RUN-20270521-03</x:v>
      </x:c>
      <x:c r="B780" s="23" t="n">
        <x:v>46528</x:v>
      </x:c>
      <x:c r="C780" s="32" t="n">
        <x:v>3</x:v>
      </x:c>
      <x:c r="D780" s="20" t="str">
        <x:v>Notification certification</x:v>
      </x:c>
      <x:c r="E780" s="20" t="str">
        <x:v>Tenant/signers</x:v>
      </x:c>
      <x:c r="F780" s="20" t="str">
        <x:v>Web + Mobile</x:v>
      </x:c>
      <x:c r="G780" s="20" t="str">
        <x:v>System event + preference/manual verification</x:v>
      </x:c>
      <x:c r="H780" s="35" t="str">
        <x:v>Trigger and prove notification: Lease issued for signature</x:v>
      </x:c>
      <x:c r="I780" s="35" t="str">
        <x:v>NTF-018</x:v>
      </x:c>
      <x:c r="J780" s="35" t="str"/>
      <x:c r="K780" s="35" t="str"/>
      <x:c r="L780" s="35" t="str">
        <x:v>Set each recipient's preferences; trigger the real business event; inspect routing and recipient scope; verify unread badge, list item, safe preview, signing link deep link, mark-read sync, configured channel outcome, provider failure/retry, and duplicate suppression.</x:v>
      </x:c>
      <x:c r="M780" s="35" t="str">
        <x:v>Exactly the intended recipients receive one correctly routed notification; disabled optional channels stay silent; deep link opens authorized context; read state synchronizes.</x:v>
      </x:c>
      <x:c r="N780" s="35" t="str">
        <x:v>Trigger record; routing decision; outbox/delivery status; web/mobile inbox; lock-screen-safe copy; deep-link target; audit/provider retry evidence.</x:v>
      </x:c>
      <x:c r="O780" s="35" t="str">
        <x:v>Re-run the worker and deliver a duplicate provider callback; no duplicate user-visible event. Attempt the deep link as an unauthorized adjacent role.</x:v>
      </x:c>
      <x:c r="P780" s="35" t="str">
        <x:v>All expected records and amounts match; no unexplained error or stale state.</x:v>
      </x:c>
    </x:row>
    <x:row r="781">
      <x:c r="A781" s="20" t="str">
        <x:v>RUN-20270521-04</x:v>
      </x:c>
      <x:c r="B781" s="23" t="n">
        <x:v>46528</x:v>
      </x:c>
      <x:c r="C781" s="32" t="n">
        <x:v>4</x:v>
      </x:c>
      <x:c r="D781" s="20" t="str">
        <x:v>Surface coverage</x:v>
      </x:c>
      <x:c r="E781" s="20" t="str">
        <x:v>Role appropriate to surface</x:v>
      </x:c>
      <x:c r="F781" s="20" t="str">
        <x:v>Web</x:v>
      </x:c>
      <x:c r="G781" s="20" t="str">
        <x:v>Manual</x:v>
      </x:c>
      <x:c r="H781" s="35" t="str">
        <x:v>Manual web pass: Expense create/edit/scan/receipt detail</x:v>
      </x:c>
      <x:c r="I781" s="35" t="str">
        <x:v>COV-018</x:v>
      </x:c>
      <x:c r="J781" s="35" t="str"/>
      <x:c r="K781" s="35" t="str"/>
      <x:c r="L781" s="35" t="str">
        <x:v>Scan and manually create expenses on both clients; edit draft facts; verify line items, attachment, allocation, and Schedule E.</x:v>
      </x:c>
      <x:c r="M781" s="35" t="str">
        <x:v>The supported workflow completes and persists correctly; if the capability is absent, the exact gap is proven and queued rather than silently skipped.</x:v>
      </x:c>
      <x:c r="N781" s="35" t="str">
        <x:v>Real UI screenshot/state; submitted values; persisted read-back; cross-client read-back; audit/role/access evidence.</x:v>
      </x:c>
      <x:c r="O781" s="35" t="str">
        <x:v>Use one invalid value, stale-state retry, or duplicate submission relevant to the form; no partial or duplicate mutation.</x:v>
      </x:c>
      <x:c r="P781" s="35" t="str">
        <x:v>All expected records and amounts match; no unexplained error or stale state.</x:v>
      </x:c>
    </x:row>
    <x:row r="782">
      <x:c r="A782" s="20" t="str">
        <x:v>RUN-20270524-01</x:v>
      </x:c>
      <x:c r="B782" s="23" t="n">
        <x:v>46531</x:v>
      </x:c>
      <x:c r="C782" s="32" t="n">
        <x:v>1</x:v>
      </x:c>
      <x:c r="D782" s="20" t="str">
        <x:v>Weekly operations</x:v>
      </x:c>
      <x:c r="E782" s="20" t="str">
        <x:v>Property Manager</x:v>
      </x:c>
      <x:c r="F782" s="20" t="str">
        <x:v>Mobile</x:v>
      </x:c>
      <x:c r="G782" s="20" t="str">
        <x:v>Scan-first</x:v>
      </x:c>
      <x:c r="H782" s="35" t="str">
        <x:v>Create and triage maintenance request</x:v>
      </x:c>
      <x:c r="I782" s="35" t="str">
        <x:v>P024; U028; WO-2027-021</x:v>
      </x:c>
      <x:c r="J782" s="35" t="str">
        <x:v>SCN-0383</x:v>
      </x:c>
      <x:c r="K782" s="35" t="str"/>
      <x:c r="L782" s="35" t="str">
        <x:v>Capture the tenant note/photo; review pest treatment; confirm; set responsibility; dispatch ComfortZone HVAC; create an appointment and verify the tenant notification.</x:v>
      </x:c>
      <x:c r="M782" s="35" t="str">
        <x:v>Work order, status timeline, responsibility, vendor dispatch, appointment, notification, and Unit context are linked once.</x:v>
      </x:c>
      <x:c r="N782" s="35" t="str">
        <x:v>Scan review; work order detail/timeline; dispatch; appointment; notification; tenant portal view.</x:v>
      </x:c>
      <x:c r="O782" s="35" t="str">
        <x:v>Cancel one dispatch each quarter, reassign once, and prove status/history remains append-only.</x:v>
      </x:c>
      <x:c r="P782" s="35" t="str">
        <x:v>All expected records and amounts match; no unexplained error or stale state.</x:v>
      </x:c>
    </x:row>
    <x:row r="783">
      <x:c r="A783" s="20" t="str">
        <x:v>RUN-20270524-02</x:v>
      </x:c>
      <x:c r="B783" s="23" t="n">
        <x:v>46531</x:v>
      </x:c>
      <x:c r="C783" s="32" t="n">
        <x:v>2</x:v>
      </x:c>
      <x:c r="D783" s="20" t="str">
        <x:v>Role and screen certification</x:v>
      </x:c>
      <x:c r="E783" s="20" t="str">
        <x:v>Workspace Administrator</x:v>
      </x:c>
      <x:c r="F783" s="20" t="str">
        <x:v>Web</x:v>
      </x:c>
      <x:c r="G783" s="20" t="str">
        <x:v>Normal persona navigation</x:v>
      </x:c>
      <x:c r="H783" s="35" t="str">
        <x:v>Use every permitted action and state on /settings/integrations/ai</x:v>
      </x:c>
      <x:c r="I783" s="35" t="str">
        <x:v>SCR-073; ROLE-123</x:v>
      </x:c>
      <x:c r="J783" s="35" t="str"/>
      <x:c r="K783" s="35" t="str"/>
      <x:c r="L7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83" s="35" t="str">
        <x:v>The persona can use every allowed action with only its assigned properties/relationships. Hidden or disabled actions explain why; an adjacent unauthorized persona is denied without metadata leakage.</x:v>
      </x:c>
      <x:c r="N783" s="35" t="str">
        <x:v>Persona/experience; navigation entry; desktop or device screenshots; result state; persisted read-back; audit/history; authorized and denied network result.</x:v>
      </x:c>
      <x:c r="O783" s="35" t="str">
        <x:v>Open the direct URL or deep link with an adjacent unauthorized persona and with stale scope; both fail closed and land safely without mutation.</x:v>
      </x:c>
      <x:c r="P783" s="35" t="str">
        <x:v>All expected records and amounts match; no unexplained error or stale state.</x:v>
      </x:c>
    </x:row>
    <x:row r="784">
      <x:c r="A784" s="20" t="str">
        <x:v>RUN-20270524-03</x:v>
      </x:c>
      <x:c r="B784" s="23" t="n">
        <x:v>46531</x:v>
      </x:c>
      <x:c r="C784" s="32" t="n">
        <x:v>3</x:v>
      </x:c>
      <x:c r="D784" s="20" t="str">
        <x:v>Field certification</x:v>
      </x:c>
      <x:c r="E784" s="20" t="str">
        <x:v>Property Manager</x:v>
      </x:c>
      <x:c r="F784" s="20" t="str">
        <x:v>Web</x:v>
      </x:c>
      <x:c r="G784" s="20" t="str">
        <x:v>Manual field-by-field</x:v>
      </x:c>
      <x:c r="H784" s="35" t="str">
        <x:v>Fill, save, reload, edit, and validate every declared field on /appointments</x:v>
      </x:c>
      <x:c r="I784" s="35" t="str">
        <x:v>FLD-0390; FLD-0391; FLD-0392; FLD-0393</x:v>
      </x:c>
      <x:c r="J784" s="35" t="str"/>
      <x:c r="K784" s="35" t="str"/>
      <x:c r="L784" s="35" t="str">
        <x:v>Use the source-derived Field Inventory. Enter non-default realistic values in every control (Select-29; appointment-assigned; appointment-prospect-name; appointment-prospect-email); submit; reload or relaunch; compare every value; edit each mutable field; verify the paired client; then run required, format, length, range, boundary, optional-null, and stale-submit checks.</x:v>
      </x:c>
      <x:c r="M784" s="35" t="str">
        <x:v>All 4 inventoried controls persist exact normalized values, invalid values stay unsaved with clear errors, and hidden/unauthorized fields cannot be altered.</x:v>
      </x:c>
      <x:c r="N784" s="35" t="str">
        <x:v>Before/after form screenshots; FLD IDs; API response; reloaded UI; paired-client read-back; database/audit evidence; negative validation result.</x:v>
      </x:c>
      <x:c r="O784" s="35" t="str">
        <x:v>Use a duplicate submit and one simulated network interruption; one atomic mutation or none, never partial state.</x:v>
      </x:c>
      <x:c r="P784" s="35" t="str">
        <x:v>All expected records and amounts match; no unexplained error or stale state.</x:v>
      </x:c>
    </x:row>
    <x:row r="785">
      <x:c r="A785" s="20" t="str">
        <x:v>RUN-20270525-01</x:v>
      </x:c>
      <x:c r="B785" s="23" t="n">
        <x:v>46532</x:v>
      </x:c>
      <x:c r="C785" s="32" t="n">
        <x:v>1</x:v>
      </x:c>
      <x:c r="D785" s="20" t="str">
        <x:v>Weekly operations</x:v>
      </x:c>
      <x:c r="E785" s="20" t="str">
        <x:v>Property Manager</x:v>
      </x:c>
      <x:c r="F785" s="20" t="str">
        <x:v>Mobile</x:v>
      </x:c>
      <x:c r="G785" s="20" t="str">
        <x:v>Scanned receipt/invoice</x:v>
      </x:c>
      <x:c r="H785" s="35" t="str">
        <x:v>Record, review, allocate, and pay operating expense</x:v>
      </x:c>
      <x:c r="I785" s="35" t="str">
        <x:v>P024; U028; WO-2027-021</x:v>
      </x:c>
      <x:c r="J785" s="35" t="str">
        <x:v>SCN-0384</x:v>
      </x:c>
      <x:c r="K785" s="35" t="str">
        <x:v>FIN-01044</x:v>
      </x:c>
      <x:c r="L785" s="35" t="str">
        <x:v>Capture or upload the source; verify vendor, date, scope, category, line items, tax, amount, and work-order link; confirm; open detail; verify attachment; compare Money and Property/Unit views.</x:v>
      </x:c>
      <x:c r="M785" s="35" t="str">
        <x:v>One expense exists at its real operational scope, cash falls once, Schedule E category and allocations agree, and no per-unit copies are created.</x:v>
      </x:c>
      <x:c r="N785" s="35" t="str">
        <x:v>Source preview; review/form; expense detail; line items; Property/Unit ledger; audit; accounting/report delta.</x:v>
      </x:c>
      <x:c r="O785" s="35" t="str">
        <x:v>On marked duplicate-invoice cases, re-upload before confirm and prove the product prevents or clearly warns about duplication.</x:v>
      </x:c>
      <x:c r="P785" s="35" t="str">
        <x:v>All expected records and amounts match; no unexplained error or stale state.</x:v>
      </x:c>
    </x:row>
    <x:row r="786">
      <x:c r="A786" s="20" t="str">
        <x:v>RUN-20270525-02</x:v>
      </x:c>
      <x:c r="B786" s="23" t="n">
        <x:v>46532</x:v>
      </x:c>
      <x:c r="C786" s="32" t="n">
        <x:v>2</x:v>
      </x:c>
      <x:c r="D786" s="20" t="str">
        <x:v>Monthly close</x:v>
      </x:c>
      <x:c r="E786" s="20" t="str">
        <x:v>Owner + Workspace Administrator</x:v>
      </x:c>
      <x:c r="F786" s="20" t="str">
        <x:v>Web + Mobile owner portal</x:v>
      </x:c>
      <x:c r="G786" s="20" t="str">
        <x:v>Manual approval</x:v>
      </x:c>
      <x:c r="H786" s="35" t="str">
        <x:v>May owner statements and distributions</x:v>
      </x:c>
      <x:c r="I786" s="35" t="str">
        <x:v>O01-O05</x:v>
      </x:c>
      <x:c r="J786" s="35" t="str"/>
      <x:c r="K786" s="35" t="str">
        <x:v>FIN-01247; FIN-01248; FIN-01249; FIN-01250; FIN-01251</x:v>
      </x:c>
      <x:c r="L786" s="35" t="str">
        <x:v>Generate owner statements; review income/expense allocations; approve distributions; record the bank export; open statements from owner portal on web and mobile.</x:v>
      </x:c>
      <x:c r="M786" s="35" t="str">
        <x:v>Five owner statements agree with Property/accounting totals and five distributions reduce cash/equity distributions without becoming expenses.</x:v>
      </x:c>
      <x:c r="N786" s="35" t="str">
        <x:v>Statements; approvals; owner portal PDFs; distribution rows; bank references; audit.</x:v>
      </x:c>
      <x:c r="O786" s="35" t="str">
        <x:v>Reject one draft distribution before approval each quarter and prove no cash event is posted.</x:v>
      </x:c>
      <x:c r="P786" s="35" t="str">
        <x:v>All expected records and amounts match; no unexplained error or stale state.</x:v>
      </x:c>
    </x:row>
    <x:row r="787">
      <x:c r="A787" s="20" t="str">
        <x:v>RUN-20270525-03</x:v>
      </x:c>
      <x:c r="B787" s="23" t="n">
        <x:v>46532</x:v>
      </x:c>
      <x:c r="C787" s="32" t="n">
        <x:v>3</x:v>
      </x:c>
      <x:c r="D787" s="20" t="str">
        <x:v>Leasing</x:v>
      </x:c>
      <x:c r="E787" s="20" t="str">
        <x:v>Property Manager</x:v>
      </x:c>
      <x:c r="F787" s="20" t="str">
        <x:v>Web</x:v>
      </x:c>
      <x:c r="G787" s="20" t="str">
        <x:v>Scan + manual classification</x:v>
      </x:c>
      <x:c r="H787" s="35" t="str">
        <x:v>Collect and classify security deposit</x:v>
      </x:c>
      <x:c r="I787" s="35" t="str">
        <x:v>L045; U039</x:v>
      </x:c>
      <x:c r="J787" s="35" t="str">
        <x:v>SCN-0932</x:v>
      </x:c>
      <x:c r="K787" s="35" t="str">
        <x:v>FIN-01657</x:v>
      </x:c>
      <x:c r="L787" s="35" t="str">
        <x:v>Capture the receipt; verify payer/amount; classify to the security-deposit account rather than rent; confirm trust account, liability, lease provenance, and receipt.</x:v>
      </x:c>
      <x:c r="M787" s="35" t="str">
        <x:v>Deposit trust cash and liability rise equally; tenant rent AR and rental income do not change.</x:v>
      </x:c>
      <x:c r="N787" s="35" t="str">
        <x:v>Scan review; deposit register; tenant account provenance; trust cash; accounting checks; receipt.</x:v>
      </x:c>
      <x:c r="O787" s="35" t="str">
        <x:v>Try to classify the deposit as rent, cancel, then classify correctly; no abandoned financial row remains.</x:v>
      </x:c>
      <x:c r="P787" s="35" t="str">
        <x:v>All expected records and amounts match; no unexplained error or stale state.</x:v>
      </x:c>
    </x:row>
    <x:row r="788">
      <x:c r="A788" s="20" t="str">
        <x:v>RUN-20270525-04</x:v>
      </x:c>
      <x:c r="B788" s="23" t="n">
        <x:v>46532</x:v>
      </x:c>
      <x:c r="C788" s="32" t="n">
        <x:v>4</x:v>
      </x:c>
      <x:c r="D788" s="20" t="str">
        <x:v>Role and screen certification</x:v>
      </x:c>
      <x:c r="E788" s="20" t="str">
        <x:v>Workspace Administrator</x:v>
      </x:c>
      <x:c r="F788" s="20" t="str">
        <x:v>Web</x:v>
      </x:c>
      <x:c r="G788" s="20" t="str">
        <x:v>Normal persona navigation</x:v>
      </x:c>
      <x:c r="H788" s="35" t="str">
        <x:v>Use every permitted action and state on /settings/notifications/my-alerts</x:v>
      </x:c>
      <x:c r="I788" s="35" t="str">
        <x:v>SCR-074; ROLE-124</x:v>
      </x:c>
      <x:c r="J788" s="35" t="str"/>
      <x:c r="K788" s="35" t="str"/>
      <x:c r="L78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88" s="35" t="str">
        <x:v>The persona can use every allowed action with only its assigned properties/relationships. Hidden or disabled actions explain why; an adjacent unauthorized persona is denied without metadata leakage.</x:v>
      </x:c>
      <x:c r="N788" s="35" t="str">
        <x:v>Persona/experience; navigation entry; desktop or device screenshots; result state; persisted read-back; audit/history; authorized and denied network result.</x:v>
      </x:c>
      <x:c r="O788" s="35" t="str">
        <x:v>Open the direct URL or deep link with an adjacent unauthorized persona and with stale scope; both fail closed and land safely without mutation.</x:v>
      </x:c>
      <x:c r="P788" s="35" t="str">
        <x:v>All expected records and amounts match; no unexplained error or stale state.</x:v>
      </x:c>
    </x:row>
    <x:row r="789">
      <x:c r="A789" s="20" t="str">
        <x:v>RUN-20270525-05</x:v>
      </x:c>
      <x:c r="B789" s="23" t="n">
        <x:v>46532</x:v>
      </x:c>
      <x:c r="C789" s="32" t="n">
        <x:v>5</x:v>
      </x:c>
      <x:c r="D789" s="20" t="str">
        <x:v>Role and screen certification</x:v>
      </x:c>
      <x:c r="E789" s="20" t="str">
        <x:v>Property Manager</x:v>
      </x:c>
      <x:c r="F789" s="20" t="str">
        <x:v>Web</x:v>
      </x:c>
      <x:c r="G789" s="20" t="str">
        <x:v>Normal persona navigation</x:v>
      </x:c>
      <x:c r="H789" s="35" t="str">
        <x:v>Use every permitted action and state on /settings/notifications/my-alerts</x:v>
      </x:c>
      <x:c r="I789" s="35" t="str">
        <x:v>SCR-074; ROLE-125</x:v>
      </x:c>
      <x:c r="J789" s="35" t="str"/>
      <x:c r="K789" s="35" t="str"/>
      <x:c r="L78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89" s="35" t="str">
        <x:v>The persona can use every allowed action with only its assigned properties/relationships. Hidden or disabled actions explain why; an adjacent unauthorized persona is denied without metadata leakage.</x:v>
      </x:c>
      <x:c r="N789" s="35" t="str">
        <x:v>Persona/experience; navigation entry; desktop or device screenshots; result state; persisted read-back; audit/history; authorized and denied network result.</x:v>
      </x:c>
      <x:c r="O789" s="35" t="str">
        <x:v>Open the direct URL or deep link with an adjacent unauthorized persona and with stale scope; both fail closed and land safely without mutation.</x:v>
      </x:c>
      <x:c r="P789" s="35" t="str">
        <x:v>All expected records and amounts match; no unexplained error or stale state.</x:v>
      </x:c>
    </x:row>
    <x:row r="790">
      <x:c r="A790" s="20" t="str">
        <x:v>RUN-20270525-06</x:v>
      </x:c>
      <x:c r="B790" s="23" t="n">
        <x:v>46532</x:v>
      </x:c>
      <x:c r="C790" s="32" t="n">
        <x:v>6</x:v>
      </x:c>
      <x:c r="D790" s="20" t="str">
        <x:v>Role and screen certification</x:v>
      </x:c>
      <x:c r="E790" s="20" t="str">
        <x:v>Leasing Agent</x:v>
      </x:c>
      <x:c r="F790" s="20" t="str">
        <x:v>Web</x:v>
      </x:c>
      <x:c r="G790" s="20" t="str">
        <x:v>Normal persona navigation</x:v>
      </x:c>
      <x:c r="H790" s="35" t="str">
        <x:v>Use every permitted action and state on /settings/notifications/my-alerts</x:v>
      </x:c>
      <x:c r="I790" s="35" t="str">
        <x:v>SCR-074; ROLE-126</x:v>
      </x:c>
      <x:c r="J790" s="35" t="str"/>
      <x:c r="K790" s="35" t="str"/>
      <x:c r="L79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90" s="35" t="str">
        <x:v>The persona can use every allowed action with only its assigned properties/relationships. Hidden or disabled actions explain why; an adjacent unauthorized persona is denied without metadata leakage.</x:v>
      </x:c>
      <x:c r="N790" s="35" t="str">
        <x:v>Persona/experience; navigation entry; desktop or device screenshots; result state; persisted read-back; audit/history; authorized and denied network result.</x:v>
      </x:c>
      <x:c r="O790" s="35" t="str">
        <x:v>Open the direct URL or deep link with an adjacent unauthorized persona and with stale scope; both fail closed and land safely without mutation.</x:v>
      </x:c>
      <x:c r="P790" s="35" t="str">
        <x:v>All expected records and amounts match; no unexplained error or stale state.</x:v>
      </x:c>
    </x:row>
    <x:row r="791">
      <x:c r="A791" s="20" t="str">
        <x:v>RUN-20270525-07</x:v>
      </x:c>
      <x:c r="B791" s="23" t="n">
        <x:v>46532</x:v>
      </x:c>
      <x:c r="C791" s="32" t="n">
        <x:v>7</x:v>
      </x:c>
      <x:c r="D791" s="20" t="str">
        <x:v>Role and screen certification</x:v>
      </x:c>
      <x:c r="E791" s="20" t="str">
        <x:v>Maintenance Technician</x:v>
      </x:c>
      <x:c r="F791" s="20" t="str">
        <x:v>Web</x:v>
      </x:c>
      <x:c r="G791" s="20" t="str">
        <x:v>Normal persona navigation</x:v>
      </x:c>
      <x:c r="H791" s="35" t="str">
        <x:v>Use every permitted action and state on /settings/notifications/my-alerts</x:v>
      </x:c>
      <x:c r="I791" s="35" t="str">
        <x:v>SCR-074; ROLE-127</x:v>
      </x:c>
      <x:c r="J791" s="35" t="str"/>
      <x:c r="K791" s="35" t="str"/>
      <x:c r="L79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91" s="35" t="str">
        <x:v>The persona can use every allowed action with only its assigned properties/relationships. Hidden or disabled actions explain why; an adjacent unauthorized persona is denied without metadata leakage.</x:v>
      </x:c>
      <x:c r="N791" s="35" t="str">
        <x:v>Persona/experience; navigation entry; desktop or device screenshots; result state; persisted read-back; audit/history; authorized and denied network result.</x:v>
      </x:c>
      <x:c r="O791" s="35" t="str">
        <x:v>Open the direct URL or deep link with an adjacent unauthorized persona and with stale scope; both fail closed and land safely without mutation.</x:v>
      </x:c>
      <x:c r="P791" s="35" t="str">
        <x:v>All expected records and amounts match; no unexplained error or stale state.</x:v>
      </x:c>
    </x:row>
    <x:row r="792">
      <x:c r="A792" s="20" t="str">
        <x:v>RUN-20270525-08</x:v>
      </x:c>
      <x:c r="B792" s="23" t="n">
        <x:v>46532</x:v>
      </x:c>
      <x:c r="C792" s="32" t="n">
        <x:v>8</x:v>
      </x:c>
      <x:c r="D792" s="20" t="str">
        <x:v>Role and screen certification</x:v>
      </x:c>
      <x:c r="E792" s="20" t="str">
        <x:v>Owner</x:v>
      </x:c>
      <x:c r="F792" s="20" t="str">
        <x:v>Web</x:v>
      </x:c>
      <x:c r="G792" s="20" t="str">
        <x:v>Normal persona navigation</x:v>
      </x:c>
      <x:c r="H792" s="35" t="str">
        <x:v>Use every permitted action and state on /settings/notifications/my-alerts</x:v>
      </x:c>
      <x:c r="I792" s="35" t="str">
        <x:v>SCR-074; ROLE-128</x:v>
      </x:c>
      <x:c r="J792" s="35" t="str"/>
      <x:c r="K792" s="35" t="str"/>
      <x:c r="L7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92" s="35" t="str">
        <x:v>The persona can use every allowed action with only its assigned properties/relationships. Hidden or disabled actions explain why; an adjacent unauthorized persona is denied without metadata leakage.</x:v>
      </x:c>
      <x:c r="N792" s="35" t="str">
        <x:v>Persona/experience; navigation entry; desktop or device screenshots; result state; persisted read-back; audit/history; authorized and denied network result.</x:v>
      </x:c>
      <x:c r="O792" s="35" t="str">
        <x:v>Open the direct URL or deep link with an adjacent unauthorized persona and with stale scope; both fail closed and land safely without mutation.</x:v>
      </x:c>
      <x:c r="P792" s="35" t="str">
        <x:v>All expected records and amounts match; no unexplained error or stale state.</x:v>
      </x:c>
    </x:row>
    <x:row r="793">
      <x:c r="A793" s="20" t="str">
        <x:v>RUN-20270525-09</x:v>
      </x:c>
      <x:c r="B793" s="23" t="n">
        <x:v>46532</x:v>
      </x:c>
      <x:c r="C793" s="32" t="n">
        <x:v>9</x:v>
      </x:c>
      <x:c r="D793" s="20" t="str">
        <x:v>Role and screen certification</x:v>
      </x:c>
      <x:c r="E793" s="20" t="str">
        <x:v>Tenant</x:v>
      </x:c>
      <x:c r="F793" s="20" t="str">
        <x:v>Web</x:v>
      </x:c>
      <x:c r="G793" s="20" t="str">
        <x:v>Normal persona navigation</x:v>
      </x:c>
      <x:c r="H793" s="35" t="str">
        <x:v>Use every permitted action and state on /settings/notifications/my-alerts</x:v>
      </x:c>
      <x:c r="I793" s="35" t="str">
        <x:v>SCR-074; ROLE-129</x:v>
      </x:c>
      <x:c r="J793" s="35" t="str"/>
      <x:c r="K793" s="35" t="str"/>
      <x:c r="L79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793" s="35" t="str">
        <x:v>The persona can use every allowed action with only its assigned properties/relationships. Hidden or disabled actions explain why; an adjacent unauthorized persona is denied without metadata leakage.</x:v>
      </x:c>
      <x:c r="N793" s="35" t="str">
        <x:v>Persona/experience; navigation entry; desktop or device screenshots; result state; persisted read-back; audit/history; authorized and denied network result.</x:v>
      </x:c>
      <x:c r="O793" s="35" t="str">
        <x:v>Open the direct URL or deep link with an adjacent unauthorized persona and with stale scope; both fail closed and land safely without mutation.</x:v>
      </x:c>
      <x:c r="P793" s="35" t="str">
        <x:v>All expected records and amounts match; no unexplained error or stale state.</x:v>
      </x:c>
    </x:row>
    <x:row r="794">
      <x:c r="A794" s="20" t="str">
        <x:v>RUN-20270525-10</x:v>
      </x:c>
      <x:c r="B794" s="23" t="n">
        <x:v>46532</x:v>
      </x:c>
      <x:c r="C794" s="32" t="n">
        <x:v>10</x:v>
      </x:c>
      <x:c r="D794" s="20" t="str">
        <x:v>Field certification</x:v>
      </x:c>
      <x:c r="E794" s="20" t="str">
        <x:v>Workspace Administrator</x:v>
      </x:c>
      <x:c r="F794" s="20" t="str">
        <x:v>Web</x:v>
      </x:c>
      <x:c r="G794" s="20" t="str">
        <x:v>Manual field-by-field</x:v>
      </x:c>
      <x:c r="H794" s="35" t="str">
        <x:v>Fill, save, reload, edit, and validate every declared field on /audit</x:v>
      </x:c>
      <x:c r="I794" s="35" t="str">
        <x:v>FLD-0394; FLD-0395; FLD-0396; FLD-0397; FLD-0398</x:v>
      </x:c>
      <x:c r="J794" s="35" t="str"/>
      <x:c r="K794" s="35" t="str"/>
      <x:c r="L794" s="35" t="str">
        <x:v>Use the source-derived Field Inventory. Enter non-default realistic values in every control (operationFilter; audit-operation-filter; Select-3; Select-4; Select-5); submit; reload or relaunch; compare every value; edit each mutable field; verify the paired client; then run required, format, length, range, boundary, optional-null, and stale-submit checks.</x:v>
      </x:c>
      <x:c r="M794" s="35" t="str">
        <x:v>All 5 inventoried controls persist exact normalized values, invalid values stay unsaved with clear errors, and hidden/unauthorized fields cannot be altered.</x:v>
      </x:c>
      <x:c r="N794" s="35" t="str">
        <x:v>Before/after form screenshots; FLD IDs; API response; reloaded UI; paired-client read-back; database/audit evidence; negative validation result.</x:v>
      </x:c>
      <x:c r="O794" s="35" t="str">
        <x:v>Use a duplicate submit and one simulated network interruption; one atomic mutation or none, never partial state.</x:v>
      </x:c>
      <x:c r="P794" s="35" t="str">
        <x:v>All expected records and amounts match; no unexplained error or stale state.</x:v>
      </x:c>
    </x:row>
    <x:row r="795">
      <x:c r="A795" s="20" t="str">
        <x:v>RUN-20270525-11</x:v>
      </x:c>
      <x:c r="B795" s="23" t="n">
        <x:v>46532</x:v>
      </x:c>
      <x:c r="C795" s="32" t="n">
        <x:v>11</x:v>
      </x:c>
      <x:c r="D795" s="20" t="str">
        <x:v>Lifecycle certification</x:v>
      </x:c>
      <x:c r="E795" s="20" t="str">
        <x:v>Property Manager</x:v>
      </x:c>
      <x:c r="F795" s="20" t="str">
        <x:v>Web + Mobile</x:v>
      </x:c>
      <x:c r="G795" s="20" t="str">
        <x:v>Manual + scan/attachment where supported</x:v>
      </x:c>
      <x:c r="H795" s="35" t="str">
        <x:v>Complete the full create/read/edit/lifecycle/delete-safe pass for Tenant charge</x:v>
      </x:c>
      <x:c r="I795" s="35" t="str">
        <x:v>CRUD-013</x:v>
      </x:c>
      <x:c r="J795" s="35" t="str"/>
      <x:c r="K795" s="35" t="str"/>
      <x:c r="L795" s="35" t="str">
        <x:v>Use a dedicated disposable QA record and execute: create; read; correction/reversal; allocation; no posted-row delete. Fill every field referenced by field-inventory.csv. Verify confirmation copy, cancel path, final path, reload, other-client state, history, and role denial.</x:v>
      </x:c>
      <x:c r="M795" s="35" t="str">
        <x:v>Every supported transition succeeds exactly once; forbidden destructive actions are guarded; reversible deletion/deactivation works; financial and historical truth is preserved.</x:v>
      </x:c>
      <x:c r="N795" s="35" t="str">
        <x:v>Entity before/after; both clients; all FLD IDs; audit/history; notifications; authorized and unauthorized personas; API/DB state.</x:v>
      </x:c>
      <x:c r="O795" s="35" t="str">
        <x:v>Cancel the first destructive confirmation, then repeat and confirm; retry the mutation once; no double transition or orphan.</x:v>
      </x:c>
      <x:c r="P795" s="35" t="str">
        <x:v>All expected records and amounts match; no unexplained error or stale state.</x:v>
      </x:c>
    </x:row>
    <x:row r="796">
      <x:c r="A796" s="20" t="str">
        <x:v>RUN-20270525-12</x:v>
      </x:c>
      <x:c r="B796" s="23" t="n">
        <x:v>46532</x:v>
      </x:c>
      <x:c r="C796" s="32" t="n">
        <x:v>12</x:v>
      </x:c>
      <x:c r="D796" s="20" t="str">
        <x:v>Surface coverage</x:v>
      </x:c>
      <x:c r="E796" s="20" t="str">
        <x:v>Role appropriate to surface</x:v>
      </x:c>
      <x:c r="F796" s="20" t="str">
        <x:v>Mobile</x:v>
      </x:c>
      <x:c r="G796" s="20" t="str">
        <x:v>Manual</x:v>
      </x:c>
      <x:c r="H796" s="35" t="str">
        <x:v>Manual mobile pass: Expense create/edit/scan/receipt detail</x:v>
      </x:c>
      <x:c r="I796" s="35" t="str">
        <x:v>COV-018</x:v>
      </x:c>
      <x:c r="J796" s="35" t="str"/>
      <x:c r="K796" s="35" t="str"/>
      <x:c r="L796" s="35" t="str">
        <x:v>Scan and manually create expenses on both clients; edit draft facts; verify line items, attachment, allocation, and Schedule E.</x:v>
      </x:c>
      <x:c r="M796" s="35" t="str">
        <x:v>The supported workflow completes and persists correctly; if the capability is absent, the exact gap is proven and queued rather than silently skipped.</x:v>
      </x:c>
      <x:c r="N796" s="35" t="str">
        <x:v>Real UI screenshot/state; submitted values; persisted read-back; cross-client read-back; audit/role/access evidence.</x:v>
      </x:c>
      <x:c r="O796" s="35" t="str">
        <x:v>Use one invalid value, stale-state retry, or duplicate submission relevant to the form; no partial or duplicate mutation.</x:v>
      </x:c>
      <x:c r="P796" s="35" t="str">
        <x:v>All expected records and amounts match; no unexplained error or stale state.</x:v>
      </x:c>
    </x:row>
    <x:row r="797">
      <x:c r="A797" s="20" t="str">
        <x:v>RUN-20270526-01</x:v>
      </x:c>
      <x:c r="B797" s="23" t="n">
        <x:v>46533</x:v>
      </x:c>
      <x:c r="C797" s="32" t="n">
        <x:v>1</x:v>
      </x:c>
      <x:c r="D797" s="20" t="str">
        <x:v>Field certification</x:v>
      </x:c>
      <x:c r="E797" s="20" t="str">
        <x:v>Workspace Administrator</x:v>
      </x:c>
      <x:c r="F797" s="20" t="str">
        <x:v>Web</x:v>
      </x:c>
      <x:c r="G797" s="20" t="str">
        <x:v>Manual field-by-field</x:v>
      </x:c>
      <x:c r="H797" s="35" t="str">
        <x:v>Fill, save, reload, edit, and validate every declared field on /audit</x:v>
      </x:c>
      <x:c r="I797" s="35" t="str">
        <x:v>FLD-0399; FLD-0400; FLD-0401; FLD-0402</x:v>
      </x:c>
      <x:c r="J797" s="35" t="str"/>
      <x:c r="K797" s="35" t="str"/>
      <x:c r="L797" s="35" t="str">
        <x:v>Use the source-derived Field Inventory. Enter non-default realistic values in every control (entityTypeFilter; audit-entity-type-filter; Select-8; Select-9); submit; reload or relaunch; compare every value; edit each mutable field; verify the paired client; then run required, format, length, range, boundary, optional-null, and stale-submit checks.</x:v>
      </x:c>
      <x:c r="M797" s="35" t="str">
        <x:v>All 4 inventoried controls persist exact normalized values, invalid values stay unsaved with clear errors, and hidden/unauthorized fields cannot be altered.</x:v>
      </x:c>
      <x:c r="N797" s="35" t="str">
        <x:v>Before/after form screenshots; FLD IDs; API response; reloaded UI; paired-client read-back; database/audit evidence; negative validation result.</x:v>
      </x:c>
      <x:c r="O797" s="35" t="str">
        <x:v>Use a duplicate submit and one simulated network interruption; one atomic mutation or none, never partial state.</x:v>
      </x:c>
      <x:c r="P797" s="35" t="str">
        <x:v>All expected records and amounts match; no unexplained error or stale state.</x:v>
      </x:c>
    </x:row>
    <x:row r="798">
      <x:c r="A798" s="20" t="str">
        <x:v>RUN-20270526-02</x:v>
      </x:c>
      <x:c r="B798" s="23" t="n">
        <x:v>46533</x:v>
      </x:c>
      <x:c r="C798" s="32" t="n">
        <x:v>2</x:v>
      </x:c>
      <x:c r="D798" s="20" t="str">
        <x:v>Surface coverage</x:v>
      </x:c>
      <x:c r="E798" s="20" t="str">
        <x:v>Role appropriate to surface</x:v>
      </x:c>
      <x:c r="F798" s="20" t="str">
        <x:v>Web</x:v>
      </x:c>
      <x:c r="G798" s="20" t="str">
        <x:v>Scan/attachment</x:v>
      </x:c>
      <x:c r="H798" s="35" t="str">
        <x:v>Scan web pass: Expense create/edit/scan/receipt detail</x:v>
      </x:c>
      <x:c r="I798" s="35" t="str">
        <x:v>COV-018</x:v>
      </x:c>
      <x:c r="J798" s="35" t="str"/>
      <x:c r="K798" s="35" t="str"/>
      <x:c r="L798" s="35" t="str">
        <x:v>Scan and manually create expenses on both clients; edit draft facts; verify line items, attachment, allocation, and Schedule E.</x:v>
      </x:c>
      <x:c r="M798" s="35" t="str">
        <x:v>The supported workflow completes and persists correctly; if the capability is absent, the exact gap is proven and queued rather than silently skipped.</x:v>
      </x:c>
      <x:c r="N798" s="35" t="str">
        <x:v>Real UI screenshot/state; submitted values; persisted read-back; cross-client read-back; audit/role/access evidence.</x:v>
      </x:c>
      <x:c r="O798" s="35" t="str">
        <x:v>Use one invalid value, stale-state retry, or duplicate submission relevant to the form; no partial or duplicate mutation.</x:v>
      </x:c>
      <x:c r="P798" s="35" t="str">
        <x:v>All expected records and amounts match; no unexplained error or stale state.</x:v>
      </x:c>
    </x:row>
    <x:row r="799">
      <x:c r="A799" s="20" t="str">
        <x:v>RUN-20270527-01</x:v>
      </x:c>
      <x:c r="B799" s="23" t="n">
        <x:v>46534</x:v>
      </x:c>
      <x:c r="C799" s="32" t="n">
        <x:v>1</x:v>
      </x:c>
      <x:c r="D799" s="20" t="str">
        <x:v>Leasing</x:v>
      </x:c>
      <x:c r="E799" s="20" t="str">
        <x:v>Leasing Agent</x:v>
      </x:c>
      <x:c r="F799" s="20" t="str">
        <x:v>Web</x:v>
      </x:c>
      <x:c r="G799" s="20" t="str">
        <x:v>Scan-first</x:v>
      </x:c>
      <x:c r="H799" s="35" t="str">
        <x:v>Application intake and pipeline</x:v>
      </x:c>
      <x:c r="I799" s="35" t="str">
        <x:v>P014; U014; L038; T038</x:v>
      </x:c>
      <x:c r="J799" s="35" t="str">
        <x:v>SCN-0912</x:v>
      </x:c>
      <x:c r="K799" s="35" t="str"/>
      <x:c r="L799" s="35" t="str">
        <x:v>Upload/capture the application; review extracted applicant and unit context; confirm; inspect pipeline; request screening in synthetic/test-only mode; record a fair, documented decision.</x:v>
      </x:c>
      <x:c r="M799" s="35" t="str">
        <x:v>Application, applicant tenant prospect, unit link, status history, screening placeholder, and communication are created once without exposing sensitive values.</x:v>
      </x:c>
      <x:c r="N799" s="35" t="str">
        <x:v>Scan draft; Application detail; pipeline; status audit; applicant communication; role/access proof.</x:v>
      </x:c>
      <x:c r="O799" s="35" t="str">
        <x:v>Upload a duplicate application and a wrong-unit application; no duplicate person or cross-property link.</x:v>
      </x:c>
      <x:c r="P799" s="35" t="str">
        <x:v>All expected records and amounts match; no unexplained error or stale state.</x:v>
      </x:c>
    </x:row>
    <x:row r="800">
      <x:c r="A800" s="20" t="str">
        <x:v>RUN-20270527-02</x:v>
      </x:c>
      <x:c r="B800" s="23" t="n">
        <x:v>46534</x:v>
      </x:c>
      <x:c r="C800" s="32" t="n">
        <x:v>2</x:v>
      </x:c>
      <x:c r="D800" s="20" t="str">
        <x:v>Role and screen certification</x:v>
      </x:c>
      <x:c r="E800" s="20" t="str">
        <x:v>Workspace Administrator</x:v>
      </x:c>
      <x:c r="F800" s="20" t="str">
        <x:v>Web</x:v>
      </x:c>
      <x:c r="G800" s="20" t="str">
        <x:v>Normal persona navigation</x:v>
      </x:c>
      <x:c r="H800" s="35" t="str">
        <x:v>Use every permitted action and state on /settings/notifications/team-routing</x:v>
      </x:c>
      <x:c r="I800" s="35" t="str">
        <x:v>SCR-075; ROLE-130</x:v>
      </x:c>
      <x:c r="J800" s="35" t="str"/>
      <x:c r="K800" s="35" t="str"/>
      <x:c r="L80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00" s="35" t="str">
        <x:v>The persona can use every allowed action with only its assigned properties/relationships. Hidden or disabled actions explain why; an adjacent unauthorized persona is denied without metadata leakage.</x:v>
      </x:c>
      <x:c r="N800" s="35" t="str">
        <x:v>Persona/experience; navigation entry; desktop or device screenshots; result state; persisted read-back; audit/history; authorized and denied network result.</x:v>
      </x:c>
      <x:c r="O800" s="35" t="str">
        <x:v>Open the direct URL or deep link with an adjacent unauthorized persona and with stale scope; both fail closed and land safely without mutation.</x:v>
      </x:c>
      <x:c r="P800" s="35" t="str">
        <x:v>All expected records and amounts match; no unexplained error or stale state.</x:v>
      </x:c>
    </x:row>
    <x:row r="801">
      <x:c r="A801" s="20" t="str">
        <x:v>RUN-20270527-03</x:v>
      </x:c>
      <x:c r="B801" s="23" t="n">
        <x:v>46534</x:v>
      </x:c>
      <x:c r="C801" s="32" t="n">
        <x:v>3</x:v>
      </x:c>
      <x:c r="D801" s="20" t="str">
        <x:v>Field certification</x:v>
      </x:c>
      <x:c r="E801" s="20" t="str">
        <x:v>Workspace Administrator</x:v>
      </x:c>
      <x:c r="F801" s="20" t="str">
        <x:v>Web</x:v>
      </x:c>
      <x:c r="G801" s="20" t="str">
        <x:v>Manual field-by-field</x:v>
      </x:c>
      <x:c r="H801" s="35" t="str">
        <x:v>Fill, save, reload, edit, and validate every declared field on /audit</x:v>
      </x:c>
      <x:c r="I801" s="35" t="str">
        <x:v>FLD-0403</x:v>
      </x:c>
      <x:c r="J801" s="35" t="str"/>
      <x:c r="K801" s="35" t="str"/>
      <x:c r="L801" s="35" t="str">
        <x:v>Use the source-derived Field Inventory. Enter non-default realistic values in every control (Select-10); submit; reload or relaunch; compare every value; edit each mutable field; verify the paired client; then run required, format, length, range, boundary, optional-null, and stale-submit checks.</x:v>
      </x:c>
      <x:c r="M801" s="35" t="str">
        <x:v>All 1 inventoried controls persist exact normalized values, invalid values stay unsaved with clear errors, and hidden/unauthorized fields cannot be altered.</x:v>
      </x:c>
      <x:c r="N801" s="35" t="str">
        <x:v>Before/after form screenshots; FLD IDs; API response; reloaded UI; paired-client read-back; database/audit evidence; negative validation result.</x:v>
      </x:c>
      <x:c r="O801" s="35" t="str">
        <x:v>Use a duplicate submit and one simulated network interruption; one atomic mutation or none, never partial state.</x:v>
      </x:c>
      <x:c r="P801" s="35" t="str">
        <x:v>All expected records and amounts match; no unexplained error or stale state.</x:v>
      </x:c>
    </x:row>
    <x:row r="802">
      <x:c r="A802" s="20" t="str">
        <x:v>RUN-20270527-04</x:v>
      </x:c>
      <x:c r="B802" s="23" t="n">
        <x:v>46534</x:v>
      </x:c>
      <x:c r="C802" s="32" t="n">
        <x:v>4</x:v>
      </x:c>
      <x:c r="D802" s="20" t="str">
        <x:v>Field certification</x:v>
      </x:c>
      <x:c r="E802" s="20" t="str">
        <x:v>Property Manager</x:v>
      </x:c>
      <x:c r="F802" s="20" t="str">
        <x:v>Web</x:v>
      </x:c>
      <x:c r="G802" s="20" t="str">
        <x:v>Manual field-by-field</x:v>
      </x:c>
      <x:c r="H802" s="35" t="str">
        <x:v>Fill, save, reload, edit, and validate every declared field on /banking</x:v>
      </x:c>
      <x:c r="I802" s="35" t="str">
        <x:v>FLD-0404; FLD-0405; FLD-0406; FLD-0407</x:v>
      </x:c>
      <x:c r="J802" s="35" t="str"/>
      <x:c r="K802" s="35" t="str"/>
      <x:c r="L802" s="35" t="str">
        <x:v>Use the source-derived Field Inventory. Enter non-default realistic values in every control (statusValue; banking-status-filter; Select-3; Select-4); submit; reload or relaunch; compare every value; edit each mutable field; verify the paired client; then run required, format, length, range, boundary, optional-null, and stale-submit checks.</x:v>
      </x:c>
      <x:c r="M802" s="35" t="str">
        <x:v>All 4 inventoried controls persist exact normalized values, invalid values stay unsaved with clear errors, and hidden/unauthorized fields cannot be altered.</x:v>
      </x:c>
      <x:c r="N802" s="35" t="str">
        <x:v>Before/after form screenshots; FLD IDs; API response; reloaded UI; paired-client read-back; database/audit evidence; negative validation result.</x:v>
      </x:c>
      <x:c r="O802" s="35" t="str">
        <x:v>Use a duplicate submit and one simulated network interruption; one atomic mutation or none, never partial state.</x:v>
      </x:c>
      <x:c r="P802" s="35" t="str">
        <x:v>All expected records and amounts match; no unexplained error or stale state.</x:v>
      </x:c>
    </x:row>
    <x:row r="803">
      <x:c r="A803" s="20" t="str">
        <x:v>RUN-20270528-01</x:v>
      </x:c>
      <x:c r="B803" s="23" t="n">
        <x:v>46535</x:v>
      </x:c>
      <x:c r="C803" s="32" t="n">
        <x:v>1</x:v>
      </x:c>
      <x:c r="D803" s="20" t="str">
        <x:v>Role and screen certification</x:v>
      </x:c>
      <x:c r="E803" s="20" t="str">
        <x:v>Workspace Administrator</x:v>
      </x:c>
      <x:c r="F803" s="20" t="str">
        <x:v>Web</x:v>
      </x:c>
      <x:c r="G803" s="20" t="str">
        <x:v>Normal persona navigation</x:v>
      </x:c>
      <x:c r="H803" s="35" t="str">
        <x:v>Use every permitted action and state on /settings/notifications/tenant-notices</x:v>
      </x:c>
      <x:c r="I803" s="35" t="str">
        <x:v>SCR-076; ROLE-131</x:v>
      </x:c>
      <x:c r="J803" s="35" t="str"/>
      <x:c r="K803" s="35" t="str"/>
      <x:c r="L80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03" s="35" t="str">
        <x:v>The persona can use every allowed action with only its assigned properties/relationships. Hidden or disabled actions explain why; an adjacent unauthorized persona is denied without metadata leakage.</x:v>
      </x:c>
      <x:c r="N803" s="35" t="str">
        <x:v>Persona/experience; navigation entry; desktop or device screenshots; result state; persisted read-back; audit/history; authorized and denied network result.</x:v>
      </x:c>
      <x:c r="O803" s="35" t="str">
        <x:v>Open the direct URL or deep link with an adjacent unauthorized persona and with stale scope; both fail closed and land safely without mutation.</x:v>
      </x:c>
      <x:c r="P803" s="35" t="str">
        <x:v>All expected records and amounts match; no unexplained error or stale state.</x:v>
      </x:c>
    </x:row>
    <x:row r="804">
      <x:c r="A804" s="20" t="str">
        <x:v>RUN-20270528-02</x:v>
      </x:c>
      <x:c r="B804" s="23" t="n">
        <x:v>46535</x:v>
      </x:c>
      <x:c r="C804" s="32" t="n">
        <x:v>2</x:v>
      </x:c>
      <x:c r="D804" s="20" t="str">
        <x:v>Field certification</x:v>
      </x:c>
      <x:c r="E804" s="20" t="str">
        <x:v>Property Manager</x:v>
      </x:c>
      <x:c r="F804" s="20" t="str">
        <x:v>Web</x:v>
      </x:c>
      <x:c r="G804" s="20" t="str">
        <x:v>Manual field-by-field</x:v>
      </x:c>
      <x:c r="H804" s="35" t="str">
        <x:v>Fill, save, reload, edit, and validate every declared field on /banking</x:v>
      </x:c>
      <x:c r="I804" s="35" t="str">
        <x:v>FLD-0408; FLD-0409; FLD-0410; FLD-0411</x:v>
      </x:c>
      <x:c r="J804" s="35" t="str"/>
      <x:c r="K804" s="35" t="str"/>
      <x:c r="L804" s="35" t="str">
        <x:v>Use the source-derived Field Inventory. Enter non-default realistic values in every control (Select-5; bank-transaction-route-{transaction.id}; Select-7; Select-8); submit; reload or relaunch; compare every value; edit each mutable field; verify the paired client; then run required, format, length, range, boundary, optional-null, and stale-submit checks.</x:v>
      </x:c>
      <x:c r="M804" s="35" t="str">
        <x:v>All 4 inventoried controls persist exact normalized values, invalid values stay unsaved with clear errors, and hidden/unauthorized fields cannot be altered.</x:v>
      </x:c>
      <x:c r="N804" s="35" t="str">
        <x:v>Before/after form screenshots; FLD IDs; API response; reloaded UI; paired-client read-back; database/audit evidence; negative validation result.</x:v>
      </x:c>
      <x:c r="O804" s="35" t="str">
        <x:v>Use a duplicate submit and one simulated network interruption; one atomic mutation or none, never partial state.</x:v>
      </x:c>
      <x:c r="P804" s="35" t="str">
        <x:v>All expected records and amounts match; no unexplained error or stale state.</x:v>
      </x:c>
    </x:row>
    <x:row r="805">
      <x:c r="A805" s="20" t="str">
        <x:v>RUN-20270528-03</x:v>
      </x:c>
      <x:c r="B805" s="23" t="n">
        <x:v>46535</x:v>
      </x:c>
      <x:c r="C805" s="32" t="n">
        <x:v>3</x:v>
      </x:c>
      <x:c r="D805" s="20" t="str">
        <x:v>Notification certification</x:v>
      </x:c>
      <x:c r="E805" s="20" t="str">
        <x:v>Remaining signers + Leasing Agent</x:v>
      </x:c>
      <x:c r="F805" s="20" t="str">
        <x:v>Web + Mobile</x:v>
      </x:c>
      <x:c r="G805" s="20" t="str">
        <x:v>System event + preference/manual verification</x:v>
      </x:c>
      <x:c r="H805" s="35" t="str">
        <x:v>Trigger and prove notification: Lease signed by one party</x:v>
      </x:c>
      <x:c r="I805" s="35" t="str">
        <x:v>NTF-019</x:v>
      </x:c>
      <x:c r="J805" s="35" t="str"/>
      <x:c r="K805" s="35" t="str"/>
      <x:c r="L805" s="35" t="str">
        <x:v>Set each recipient's preferences; trigger the real business event; inspect routing and recipient scope; verify unread badge, list item, safe preview, agreement deep link, mark-read sync, configured channel outcome, provider failure/retry, and duplicate suppression.</x:v>
      </x:c>
      <x:c r="M805" s="35" t="str">
        <x:v>Exactly the intended recipients receive one correctly routed notification; disabled optional channels stay silent; deep link opens authorized context; read state synchronizes.</x:v>
      </x:c>
      <x:c r="N805" s="35" t="str">
        <x:v>Trigger record; routing decision; outbox/delivery status; web/mobile inbox; lock-screen-safe copy; deep-link target; audit/provider retry evidence.</x:v>
      </x:c>
      <x:c r="O805" s="35" t="str">
        <x:v>Re-run the worker and deliver a duplicate provider callback; no duplicate user-visible event. Attempt the deep link as an unauthorized adjacent role.</x:v>
      </x:c>
      <x:c r="P805" s="35" t="str">
        <x:v>All expected records and amounts match; no unexplained error or stale state.</x:v>
      </x:c>
    </x:row>
    <x:row r="806">
      <x:c r="A806" s="20" t="str">
        <x:v>RUN-20270528-04</x:v>
      </x:c>
      <x:c r="B806" s="23" t="n">
        <x:v>46535</x:v>
      </x:c>
      <x:c r="C806" s="32" t="n">
        <x:v>4</x:v>
      </x:c>
      <x:c r="D806" s="20" t="str">
        <x:v>Surface coverage</x:v>
      </x:c>
      <x:c r="E806" s="20" t="str">
        <x:v>Role appropriate to surface</x:v>
      </x:c>
      <x:c r="F806" s="20" t="str">
        <x:v>Mobile</x:v>
      </x:c>
      <x:c r="G806" s="20" t="str">
        <x:v>Scan/attachment</x:v>
      </x:c>
      <x:c r="H806" s="35" t="str">
        <x:v>Scan mobile pass: Expense create/edit/scan/receipt detail</x:v>
      </x:c>
      <x:c r="I806" s="35" t="str">
        <x:v>COV-018</x:v>
      </x:c>
      <x:c r="J806" s="35" t="str"/>
      <x:c r="K806" s="35" t="str"/>
      <x:c r="L806" s="35" t="str">
        <x:v>Scan and manually create expenses on both clients; edit draft facts; verify line items, attachment, allocation, and Schedule E.</x:v>
      </x:c>
      <x:c r="M806" s="35" t="str">
        <x:v>The supported workflow completes and persists correctly; if the capability is absent, the exact gap is proven and queued rather than silently skipped.</x:v>
      </x:c>
      <x:c r="N806" s="35" t="str">
        <x:v>Real UI screenshot/state; submitted values; persisted read-back; cross-client read-back; audit/role/access evidence.</x:v>
      </x:c>
      <x:c r="O806" s="35" t="str">
        <x:v>Use one invalid value, stale-state retry, or duplicate submission relevant to the form; no partial or duplicate mutation.</x:v>
      </x:c>
      <x:c r="P806" s="35" t="str">
        <x:v>All expected records and amounts match; no unexplained error or stale state.</x:v>
      </x:c>
    </x:row>
    <x:row r="807">
      <x:c r="A807" s="20" t="str">
        <x:v>RUN-20270531-01</x:v>
      </x:c>
      <x:c r="B807" s="23" t="n">
        <x:v>46538</x:v>
      </x:c>
      <x:c r="C807" s="32" t="n">
        <x:v>1</x:v>
      </x:c>
      <x:c r="D807" s="20" t="str">
        <x:v>Weekly operations</x:v>
      </x:c>
      <x:c r="E807" s="20" t="str">
        <x:v>Property Manager</x:v>
      </x:c>
      <x:c r="F807" s="20" t="str">
        <x:v>Web</x:v>
      </x:c>
      <x:c r="G807" s="20" t="str">
        <x:v>Scan-first</x:v>
      </x:c>
      <x:c r="H807" s="35" t="str">
        <x:v>Create and triage maintenance request</x:v>
      </x:c>
      <x:c r="I807" s="35" t="str">
        <x:v>P028; U035; WO-2027-022</x:v>
      </x:c>
      <x:c r="J807" s="35" t="str">
        <x:v>SCN-0385</x:v>
      </x:c>
      <x:c r="K807" s="35" t="str"/>
      <x:c r="L807" s="35" t="str">
        <x:v>Capture the tenant note/photo; review turnover touch-up; confirm; set responsibility; dispatch Metro Electric; create an appointment and verify the tenant notification.</x:v>
      </x:c>
      <x:c r="M807" s="35" t="str">
        <x:v>Work order, status timeline, responsibility, vendor dispatch, appointment, notification, and Unit context are linked once.</x:v>
      </x:c>
      <x:c r="N807" s="35" t="str">
        <x:v>Scan review; work order detail/timeline; dispatch; appointment; notification; tenant portal view.</x:v>
      </x:c>
      <x:c r="O807" s="35" t="str">
        <x:v>Cancel one dispatch each quarter, reassign once, and prove status/history remains append-only.</x:v>
      </x:c>
      <x:c r="P807" s="35" t="str">
        <x:v>All expected records and amounts match; no unexplained error or stale state.</x:v>
      </x:c>
    </x:row>
    <x:row r="808">
      <x:c r="A808" s="20" t="str">
        <x:v>RUN-20270531-02</x:v>
      </x:c>
      <x:c r="B808" s="23" t="n">
        <x:v>46538</x:v>
      </x:c>
      <x:c r="C808" s="32" t="n">
        <x:v>2</x:v>
      </x:c>
      <x:c r="D808" s="20" t="str">
        <x:v>Monthly close</x:v>
      </x:c>
      <x:c r="E808" s="20" t="str">
        <x:v>Workspace Administrator</x:v>
      </x:c>
      <x:c r="F808" s="20" t="str">
        <x:v>Web + Mobile</x:v>
      </x:c>
      <x:c r="G808" s="20" t="str">
        <x:v>Scan/import + reconciliation</x:v>
      </x:c>
      <x:c r="H808" s="35" t="str">
        <x:v>May bank reconciliation and close</x:v>
      </x:c>
      <x:c r="I808" s="35" t="str">
        <x:v>Operating account 4242; deposit trust account 1818; reserve account 7070</x:v>
      </x:c>
      <x:c r="J808" s="35" t="str">
        <x:v>SCN-0585</x:v>
      </x:c>
      <x:c r="K808" s="35" t="str"/>
      <x:c r="L808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808" s="35" t="str">
        <x:v>Bank ending cash, AR, deposit trust/liability, loan balance, income, expense, and net operating result match the oracle with zero unexplained variance.</x:v>
      </x:c>
      <x:c r="N808" s="35" t="str">
        <x:v>Bank reconciliation; accounting summary; P&amp;L; cash flow; rent roll/ledger; deposits; delinquency; owner statements; audit export.</x:v>
      </x:c>
      <x:c r="O808" s="35" t="str">
        <x:v>Try one duplicate bank transaction and one date-filter boundary; prove DB-side totals and idempotent matching.</x:v>
      </x:c>
      <x:c r="P808" s="35" t="str">
        <x:v>All monthly checks are OK or a reproducible bug is captured before advancing the clock.</x:v>
      </x:c>
    </x:row>
    <x:row r="809">
      <x:c r="A809" s="20" t="str">
        <x:v>RUN-20270531-03</x:v>
      </x:c>
      <x:c r="B809" s="23" t="n">
        <x:v>46538</x:v>
      </x:c>
      <x:c r="C809" s="32" t="n">
        <x:v>3</x:v>
      </x:c>
      <x:c r="D809" s="20" t="str">
        <x:v>Lease ending</x:v>
      </x:c>
      <x:c r="E809" s="20" t="str">
        <x:v>Property Manager + Maintenance Technician</x:v>
      </x:c>
      <x:c r="F809" s="20" t="str">
        <x:v>Mobile + Web</x:v>
      </x:c>
      <x:c r="G809" s="20" t="str">
        <x:v>Manual inspection + scanned report</x:v>
      </x:c>
      <x:c r="H809" s="35" t="str">
        <x:v>Return possession, inspect, and open turnover</x:v>
      </x:c>
      <x:c r="I809" s="35" t="str">
        <x:v>L014; U014</x:v>
      </x:c>
      <x:c r="J809" s="35" t="str">
        <x:v>SCN-0940</x:v>
      </x:c>
      <x:c r="K809" s="35" t="str"/>
      <x:c r="L809" s="35" t="str">
        <x:v>Complete the move-out inspection on mobile; attach/report on web; record keys and possession returned; open turnover tasks; separate normal wear from chargeable damage.</x:v>
      </x:c>
      <x:c r="M809" s="35" t="str">
        <x:v>Possession closes once, Unit becomes Turnover/Vacant as appropriate, inspection freezes after completion, and linked work orders appear.</x:v>
      </x:c>
      <x:c r="N809" s="35" t="str">
        <x:v>Inspection checklist/report/photos; possession event; turnover workspace; occupancy and lease-expiration reports.</x:v>
      </x:c>
      <x:c r="O809" s="35" t="str">
        <x:v>Try editing a completed inspection and returning possession twice; both are rejected without partial changes.</x:v>
      </x:c>
      <x:c r="P809" s="35" t="str">
        <x:v>All expected records and amounts match; no unexplained error or stale state.</x:v>
      </x:c>
    </x:row>
    <x:row r="810">
      <x:c r="A810" s="20" t="str">
        <x:v>RUN-20270531-04</x:v>
      </x:c>
      <x:c r="B810" s="23" t="n">
        <x:v>46538</x:v>
      </x:c>
      <x:c r="C810" s="32" t="n">
        <x:v>4</x:v>
      </x:c>
      <x:c r="D810" s="20" t="str">
        <x:v>Role and screen certification</x:v>
      </x:c>
      <x:c r="E810" s="20" t="str">
        <x:v>Workspace Administrator</x:v>
      </x:c>
      <x:c r="F810" s="20" t="str">
        <x:v>Web</x:v>
      </x:c>
      <x:c r="G810" s="20" t="str">
        <x:v>Normal persona navigation</x:v>
      </x:c>
      <x:c r="H810" s="35" t="str">
        <x:v>Use every permitted action and state on /settings/security</x:v>
      </x:c>
      <x:c r="I810" s="35" t="str">
        <x:v>SCR-077; ROLE-132</x:v>
      </x:c>
      <x:c r="J810" s="35" t="str"/>
      <x:c r="K810" s="35" t="str"/>
      <x:c r="L81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10" s="35" t="str">
        <x:v>The persona can use every allowed action with only its assigned properties/relationships. Hidden or disabled actions explain why; an adjacent unauthorized persona is denied without metadata leakage.</x:v>
      </x:c>
      <x:c r="N810" s="35" t="str">
        <x:v>Persona/experience; navigation entry; desktop or device screenshots; result state; persisted read-back; audit/history; authorized and denied network result.</x:v>
      </x:c>
      <x:c r="O810" s="35" t="str">
        <x:v>Open the direct URL or deep link with an adjacent unauthorized persona and with stale scope; both fail closed and land safely without mutation.</x:v>
      </x:c>
      <x:c r="P810" s="35" t="str">
        <x:v>All expected records and amounts match; no unexplained error or stale state.</x:v>
      </x:c>
    </x:row>
    <x:row r="811">
      <x:c r="A811" s="20" t="str">
        <x:v>RUN-20270531-05</x:v>
      </x:c>
      <x:c r="B811" s="23" t="n">
        <x:v>46538</x:v>
      </x:c>
      <x:c r="C811" s="32" t="n">
        <x:v>5</x:v>
      </x:c>
      <x:c r="D811" s="20" t="str">
        <x:v>Role and screen certification</x:v>
      </x:c>
      <x:c r="E811" s="20" t="str">
        <x:v>Property Manager</x:v>
      </x:c>
      <x:c r="F811" s="20" t="str">
        <x:v>Web</x:v>
      </x:c>
      <x:c r="G811" s="20" t="str">
        <x:v>Normal persona navigation</x:v>
      </x:c>
      <x:c r="H811" s="35" t="str">
        <x:v>Use every permitted action and state on /settings/security</x:v>
      </x:c>
      <x:c r="I811" s="35" t="str">
        <x:v>SCR-077; ROLE-133</x:v>
      </x:c>
      <x:c r="J811" s="35" t="str"/>
      <x:c r="K811" s="35" t="str"/>
      <x:c r="L81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11" s="35" t="str">
        <x:v>The persona can use every allowed action with only its assigned properties/relationships. Hidden or disabled actions explain why; an adjacent unauthorized persona is denied without metadata leakage.</x:v>
      </x:c>
      <x:c r="N811" s="35" t="str">
        <x:v>Persona/experience; navigation entry; desktop or device screenshots; result state; persisted read-back; audit/history; authorized and denied network result.</x:v>
      </x:c>
      <x:c r="O811" s="35" t="str">
        <x:v>Open the direct URL or deep link with an adjacent unauthorized persona and with stale scope; both fail closed and land safely without mutation.</x:v>
      </x:c>
      <x:c r="P811" s="35" t="str">
        <x:v>All expected records and amounts match; no unexplained error or stale state.</x:v>
      </x:c>
    </x:row>
    <x:row r="812">
      <x:c r="A812" s="20" t="str">
        <x:v>RUN-20270531-06</x:v>
      </x:c>
      <x:c r="B812" s="23" t="n">
        <x:v>46538</x:v>
      </x:c>
      <x:c r="C812" s="32" t="n">
        <x:v>6</x:v>
      </x:c>
      <x:c r="D812" s="20" t="str">
        <x:v>Role and screen certification</x:v>
      </x:c>
      <x:c r="E812" s="20" t="str">
        <x:v>Leasing Agent</x:v>
      </x:c>
      <x:c r="F812" s="20" t="str">
        <x:v>Web</x:v>
      </x:c>
      <x:c r="G812" s="20" t="str">
        <x:v>Normal persona navigation</x:v>
      </x:c>
      <x:c r="H812" s="35" t="str">
        <x:v>Use every permitted action and state on /settings/security</x:v>
      </x:c>
      <x:c r="I812" s="35" t="str">
        <x:v>SCR-077; ROLE-134</x:v>
      </x:c>
      <x:c r="J812" s="35" t="str"/>
      <x:c r="K812" s="35" t="str"/>
      <x:c r="L8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12" s="35" t="str">
        <x:v>The persona can use every allowed action with only its assigned properties/relationships. Hidden or disabled actions explain why; an adjacent unauthorized persona is denied without metadata leakage.</x:v>
      </x:c>
      <x:c r="N812" s="35" t="str">
        <x:v>Persona/experience; navigation entry; desktop or device screenshots; result state; persisted read-back; audit/history; authorized and denied network result.</x:v>
      </x:c>
      <x:c r="O812" s="35" t="str">
        <x:v>Open the direct URL or deep link with an adjacent unauthorized persona and with stale scope; both fail closed and land safely without mutation.</x:v>
      </x:c>
      <x:c r="P812" s="35" t="str">
        <x:v>All expected records and amounts match; no unexplained error or stale state.</x:v>
      </x:c>
    </x:row>
    <x:row r="813">
      <x:c r="A813" s="20" t="str">
        <x:v>RUN-20270531-07</x:v>
      </x:c>
      <x:c r="B813" s="23" t="n">
        <x:v>46538</x:v>
      </x:c>
      <x:c r="C813" s="32" t="n">
        <x:v>7</x:v>
      </x:c>
      <x:c r="D813" s="20" t="str">
        <x:v>Role and screen certification</x:v>
      </x:c>
      <x:c r="E813" s="20" t="str">
        <x:v>Maintenance Technician</x:v>
      </x:c>
      <x:c r="F813" s="20" t="str">
        <x:v>Web</x:v>
      </x:c>
      <x:c r="G813" s="20" t="str">
        <x:v>Normal persona navigation</x:v>
      </x:c>
      <x:c r="H813" s="35" t="str">
        <x:v>Use every permitted action and state on /settings/security</x:v>
      </x:c>
      <x:c r="I813" s="35" t="str">
        <x:v>SCR-077; ROLE-135</x:v>
      </x:c>
      <x:c r="J813" s="35" t="str"/>
      <x:c r="K813" s="35" t="str"/>
      <x:c r="L81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13" s="35" t="str">
        <x:v>The persona can use every allowed action with only its assigned properties/relationships. Hidden or disabled actions explain why; an adjacent unauthorized persona is denied without metadata leakage.</x:v>
      </x:c>
      <x:c r="N813" s="35" t="str">
        <x:v>Persona/experience; navigation entry; desktop or device screenshots; result state; persisted read-back; audit/history; authorized and denied network result.</x:v>
      </x:c>
      <x:c r="O813" s="35" t="str">
        <x:v>Open the direct URL or deep link with an adjacent unauthorized persona and with stale scope; both fail closed and land safely without mutation.</x:v>
      </x:c>
      <x:c r="P813" s="35" t="str">
        <x:v>All expected records and amounts match; no unexplained error or stale state.</x:v>
      </x:c>
    </x:row>
    <x:row r="814">
      <x:c r="A814" s="20" t="str">
        <x:v>RUN-20270531-08</x:v>
      </x:c>
      <x:c r="B814" s="23" t="n">
        <x:v>46538</x:v>
      </x:c>
      <x:c r="C814" s="32" t="n">
        <x:v>8</x:v>
      </x:c>
      <x:c r="D814" s="20" t="str">
        <x:v>Field certification</x:v>
      </x:c>
      <x:c r="E814" s="20" t="str">
        <x:v>Property Manager</x:v>
      </x:c>
      <x:c r="F814" s="20" t="str">
        <x:v>Web</x:v>
      </x:c>
      <x:c r="G814" s="20" t="str">
        <x:v>Manual field-by-field</x:v>
      </x:c>
      <x:c r="H814" s="35" t="str">
        <x:v>Fill, save, reload, edit, and validate every declared field on /banking</x:v>
      </x:c>
      <x:c r="I814" s="35" t="str">
        <x:v>FLD-0412; FLD-0413; FLD-0414; FLD-0415; FLD-0416</x:v>
      </x:c>
      <x:c r="J814" s="35" t="str"/>
      <x:c r="K814" s="35" t="str"/>
      <x:c r="L814" s="35" t="str">
        <x:v>Use the source-derived Field Inventory. Enter non-default realistic values in every control (Select-9; exchangePublicToken; exchangeAccountId; exchangeInstitutionName; exchangeAccountName); submit; reload or relaunch; compare every value; edit each mutable field; verify the paired client; then run required, format, length, range, boundary, optional-null, and stale-submit checks.</x:v>
      </x:c>
      <x:c r="M814" s="35" t="str">
        <x:v>All 5 inventoried controls persist exact normalized values, invalid values stay unsaved with clear errors, and hidden/unauthorized fields cannot be altered.</x:v>
      </x:c>
      <x:c r="N814" s="35" t="str">
        <x:v>Before/after form screenshots; FLD IDs; API response; reloaded UI; paired-client read-back; database/audit evidence; negative validation result.</x:v>
      </x:c>
      <x:c r="O814" s="35" t="str">
        <x:v>Use a duplicate submit and one simulated network interruption; one atomic mutation or none, never partial state.</x:v>
      </x:c>
      <x:c r="P814" s="35" t="str">
        <x:v>All expected records and amounts match; no unexplained error or stale state.</x:v>
      </x:c>
    </x:row>
    <x:row r="815">
      <x:c r="A815" s="20" t="str">
        <x:v>RUN-20270531-09</x:v>
      </x:c>
      <x:c r="B815" s="23" t="n">
        <x:v>46538</x:v>
      </x:c>
      <x:c r="C815" s="32" t="n">
        <x:v>9</x:v>
      </x:c>
      <x:c r="D815" s="20" t="str">
        <x:v>Surface coverage</x:v>
      </x:c>
      <x:c r="E815" s="20" t="str">
        <x:v>Role appropriate to surface</x:v>
      </x:c>
      <x:c r="F815" s="20" t="str">
        <x:v>Web</x:v>
      </x:c>
      <x:c r="G815" s="20" t="str">
        <x:v>Manual</x:v>
      </x:c>
      <x:c r="H815" s="35" t="str">
        <x:v>Manual web pass: Security deposit register/disposition</x:v>
      </x:c>
      <x:c r="I815" s="35" t="str">
        <x:v>COV-019</x:v>
      </x:c>
      <x:c r="J815" s="35" t="str"/>
      <x:c r="K815" s="35" t="str"/>
      <x:c r="L815" s="35" t="str">
        <x:v>Collect, hold, apply, transfer, refund, and reconcile trust cash/liability without treating it as income.</x:v>
      </x:c>
      <x:c r="M815" s="35" t="str">
        <x:v>The supported workflow completes and persists correctly; if the capability is absent, the exact gap is proven and queued rather than silently skipped.</x:v>
      </x:c>
      <x:c r="N815" s="35" t="str">
        <x:v>Real UI screenshot/state; submitted values; persisted read-back; cross-client read-back; audit/role/access evidence.</x:v>
      </x:c>
      <x:c r="O815" s="35" t="str">
        <x:v>Use one invalid value, stale-state retry, or duplicate submission relevant to the form; no partial or duplicate mutation.</x:v>
      </x:c>
      <x:c r="P815" s="35" t="str">
        <x:v>All expected records and amounts match; no unexplained error or stale state.</x:v>
      </x:c>
    </x:row>
    <x:row r="816">
      <x:c r="A816" s="20" t="str">
        <x:v>RUN-20270601-01</x:v>
      </x:c>
      <x:c r="B816" s="23" t="n">
        <x:v>46539</x:v>
      </x:c>
      <x:c r="C816" s="32" t="n">
        <x:v>1</x:v>
      </x:c>
      <x:c r="D816" s="20" t="str">
        <x:v>Monthly operations</x:v>
      </x:c>
      <x:c r="E816" s="20" t="str">
        <x:v>Workspace Administrator</x:v>
      </x:c>
      <x:c r="F816" s="20" t="str">
        <x:v>Web + Mobile</x:v>
      </x:c>
      <x:c r="G816" s="20" t="str">
        <x:v>System automation + reconciliation</x:v>
      </x:c>
      <x:c r="H816" s="35" t="str">
        <x:v>June recurring rent generation</x:v>
      </x:c>
      <x:c r="I816" s="35" t="str">
        <x:v>38 active tenant accounts</x:v>
      </x:c>
      <x:c r="J816" s="35" t="str"/>
      <x:c r="K816" s="35" t="str">
        <x:v>FIN-00421; FIN-00423; FIN-00425; FIN-00427; FIN-00429; FIN-00431; FIN-00433; FIN-00435; FIN-00437; FIN-00439; FIN-00443; FIN-00445; FIN-00448; FIN-00450; FIN-00452; FIN-00454; FIN-00456; FIN-00458; FIN-00460; FIN-00462; FIN-00466; FIN-00468; FIN-00470; FIN-00472; FIN-00475; FIN-00477; FIN-00479; FIN-00481; FIN-00483; FIN-00485; FIN-00487; FIN-00491; FIN-00493; FIN-00495; FIN-00497; FIN-00499; FIN-00501; FIN-00505</x:v>
      </x:c>
      <x:c r="L816" s="35" t="str">
        <x:v>Advance the simulation clock to 08:00 local; run or wait for scheduled finance worker; compare generated charges to active governing agreements, start dates, proration, and unique billing-period keys.</x:v>
      </x:c>
      <x:c r="M816" s="35" t="str">
        <x:v>Exactly 38 rent charges are posted once; mid-month starts prorate; ended leases do not receive future charges.</x:v>
      </x:c>
      <x:c r="N816" s="35" t="str">
        <x:v>Worker status; charge list; month rent-roll export; sampled Unit/Lease/portal balances; SQL query evidence.</x:v>
      </x:c>
      <x:c r="O816" s="35" t="str">
        <x:v>Run the finance worker a second time and prove no duplicate charge; inject one failure and prove charge/audit/outbox atomic rollback.</x:v>
      </x:c>
      <x:c r="P816" s="35" t="str">
        <x:v>All expected records and amounts match; no unexplained error or stale state.</x:v>
      </x:c>
    </x:row>
    <x:row r="817">
      <x:c r="A817" s="20" t="str">
        <x:v>RUN-20270601-02</x:v>
      </x:c>
      <x:c r="B817" s="23" t="n">
        <x:v>46539</x:v>
      </x:c>
      <x:c r="C817" s="32" t="n">
        <x:v>2</x:v>
      </x:c>
      <x:c r="D817" s="20" t="str">
        <x:v>Weekly operations</x:v>
      </x:c>
      <x:c r="E817" s="20" t="str">
        <x:v>Property Manager</x:v>
      </x:c>
      <x:c r="F817" s="20" t="str">
        <x:v>Web</x:v>
      </x:c>
      <x:c r="G817" s="20" t="str">
        <x:v>Scanned receipt/invoice</x:v>
      </x:c>
      <x:c r="H817" s="35" t="str">
        <x:v>Record, review, allocate, and pay operating expense</x:v>
      </x:c>
      <x:c r="I817" s="35" t="str">
        <x:v>P028; U035; WO-2027-022</x:v>
      </x:c>
      <x:c r="J817" s="35" t="str">
        <x:v>SCN-0386</x:v>
      </x:c>
      <x:c r="K817" s="35" t="str">
        <x:v>FIN-01045</x:v>
      </x:c>
      <x:c r="L817" s="35" t="str">
        <x:v>Capture or upload the source; verify vendor, date, scope, category, line items, tax, amount, and work-order link; confirm; open detail; verify attachment; compare Money and Property/Unit views.</x:v>
      </x:c>
      <x:c r="M817" s="35" t="str">
        <x:v>One expense exists at its real operational scope, cash falls once, Schedule E category and allocations agree, and no per-unit copies are created.</x:v>
      </x:c>
      <x:c r="N817" s="35" t="str">
        <x:v>Source preview; review/form; expense detail; line items; Property/Unit ledger; audit; accounting/report delta.</x:v>
      </x:c>
      <x:c r="O817" s="35" t="str">
        <x:v>On marked duplicate-invoice cases, re-upload before confirm and prove the product prevents or clearly warns about duplication.</x:v>
      </x:c>
      <x:c r="P817" s="35" t="str">
        <x:v>All expected records and amounts match; no unexplained error or stale state.</x:v>
      </x:c>
    </x:row>
    <x:row r="818">
      <x:c r="A818" s="20" t="str">
        <x:v>RUN-20270601-03</x:v>
      </x:c>
      <x:c r="B818" s="23" t="n">
        <x:v>46539</x:v>
      </x:c>
      <x:c r="C818" s="32" t="n">
        <x:v>3</x:v>
      </x:c>
      <x:c r="D818" s="20" t="str">
        <x:v>Leasing</x:v>
      </x:c>
      <x:c r="E818" s="20" t="str">
        <x:v>Leasing Agent</x:v>
      </x:c>
      <x:c r="F818" s="20" t="str">
        <x:v>Web + Mobile</x:v>
      </x:c>
      <x:c r="G818" s="20" t="str">
        <x:v>Manual lifecycle command</x:v>
      </x:c>
      <x:c r="H818" s="35" t="str">
        <x:v>Approve application and prepare move-in</x:v>
      </x:c>
      <x:c r="I818" s="35" t="str">
        <x:v>L038; U014; T038</x:v>
      </x:c>
      <x:c r="J818" s="35" t="str"/>
      <x:c r="K818" s="35" t="str"/>
      <x:c r="L818" s="35" t="str">
        <x:v>Approve the selected application; run Prepare move-in; confirm parties, planned possession, rent, deposit, Tenant Account, and initial Agreement draft; invite portal access under policy.</x:v>
      </x:c>
      <x:c r="M818" s="35" t="str">
        <x:v>One planned LeaseManagement, party set, account, and agreement draft commit atomically; Unit is move-in scheduled, not occupied.</x:v>
      </x:c>
      <x:c r="N818" s="35" t="str">
        <x:v>Application decision; Unit state; parties; account; draft; portal invitation; atomic audit.</x:v>
      </x:c>
      <x:c r="O818" s="35" t="str">
        <x:v>Inject failure at the former save boundary and prove no partial relationship/account/agreement remains.</x:v>
      </x:c>
      <x:c r="P818" s="35" t="str">
        <x:v>All expected records and amounts match; no unexplained error or stale state.</x:v>
      </x:c>
    </x:row>
    <x:row r="819">
      <x:c r="A819" s="20" t="str">
        <x:v>RUN-20270601-04</x:v>
      </x:c>
      <x:c r="B819" s="23" t="n">
        <x:v>46539</x:v>
      </x:c>
      <x:c r="C819" s="32" t="n">
        <x:v>4</x:v>
      </x:c>
      <x:c r="D819" s="20" t="str">
        <x:v>Leasing</x:v>
      </x:c>
      <x:c r="E819" s="20" t="str">
        <x:v>Property Manager + Tenant</x:v>
      </x:c>
      <x:c r="F819" s="20" t="str">
        <x:v>Web + Mobile</x:v>
      </x:c>
      <x:c r="G819" s="20" t="str">
        <x:v>Manual + photo evidence</x:v>
      </x:c>
      <x:c r="H819" s="35" t="str">
        <x:v>Move-in inspection and possession</x:v>
      </x:c>
      <x:c r="I819" s="35" t="str">
        <x:v>L045; U039</x:v>
      </x:c>
      <x:c r="J819" s="35" t="str"/>
      <x:c r="K819" s="35" t="str"/>
      <x:c r="L819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819" s="35" t="str">
        <x:v>Inspection completes, possession opens once, Unit becomes occupied, portal access is scoped, and no lease-status shortcut substitutes for possession truth.</x:v>
      </x:c>
      <x:c r="N819" s="35" t="str">
        <x:v>Inspection report/photos; possession event; occupancy reports; both clients; tenant portal walkthrough.</x:v>
      </x:c>
      <x:c r="O819" s="35" t="str">
        <x:v>Attempt possession a second time and use an invalid date; database invariant prevents overlap/duplication.</x:v>
      </x:c>
      <x:c r="P819" s="35" t="str">
        <x:v>All expected records and amounts match; no unexplained error or stale state.</x:v>
      </x:c>
    </x:row>
    <x:row r="820">
      <x:c r="A820" s="20" t="str">
        <x:v>RUN-20270601-05</x:v>
      </x:c>
      <x:c r="B820" s="23" t="n">
        <x:v>46539</x:v>
      </x:c>
      <x:c r="C820" s="32" t="n">
        <x:v>5</x:v>
      </x:c>
      <x:c r="D820" s="20" t="str">
        <x:v>Role and screen certification</x:v>
      </x:c>
      <x:c r="E820" s="20" t="str">
        <x:v>Workspace Administrator</x:v>
      </x:c>
      <x:c r="F820" s="20" t="str">
        <x:v>Web</x:v>
      </x:c>
      <x:c r="G820" s="20" t="str">
        <x:v>Normal persona navigation</x:v>
      </x:c>
      <x:c r="H820" s="35" t="str">
        <x:v>Use every permitted action and state on /tax</x:v>
      </x:c>
      <x:c r="I820" s="35" t="str">
        <x:v>SCR-078; ROLE-136</x:v>
      </x:c>
      <x:c r="J820" s="35" t="str"/>
      <x:c r="K820" s="35" t="str"/>
      <x:c r="L8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20" s="35" t="str">
        <x:v>The persona can use every allowed action with only its assigned properties/relationships. Hidden or disabled actions explain why; an adjacent unauthorized persona is denied without metadata leakage.</x:v>
      </x:c>
      <x:c r="N820" s="35" t="str">
        <x:v>Persona/experience; navigation entry; desktop or device screenshots; result state; persisted read-back; audit/history; authorized and denied network result.</x:v>
      </x:c>
      <x:c r="O820" s="35" t="str">
        <x:v>Open the direct URL or deep link with an adjacent unauthorized persona and with stale scope; both fail closed and land safely without mutation.</x:v>
      </x:c>
      <x:c r="P820" s="35" t="str">
        <x:v>All expected records and amounts match; no unexplained error or stale state.</x:v>
      </x:c>
    </x:row>
    <x:row r="821">
      <x:c r="A821" s="20" t="str">
        <x:v>RUN-20270601-06</x:v>
      </x:c>
      <x:c r="B821" s="23" t="n">
        <x:v>46539</x:v>
      </x:c>
      <x:c r="C821" s="32" t="n">
        <x:v>6</x:v>
      </x:c>
      <x:c r="D821" s="20" t="str">
        <x:v>Role and screen certification</x:v>
      </x:c>
      <x:c r="E821" s="20" t="str">
        <x:v>Property Manager</x:v>
      </x:c>
      <x:c r="F821" s="20" t="str">
        <x:v>Web</x:v>
      </x:c>
      <x:c r="G821" s="20" t="str">
        <x:v>Normal persona navigation</x:v>
      </x:c>
      <x:c r="H821" s="35" t="str">
        <x:v>Use every permitted action and state on /tax</x:v>
      </x:c>
      <x:c r="I821" s="35" t="str">
        <x:v>SCR-078; ROLE-137</x:v>
      </x:c>
      <x:c r="J821" s="35" t="str"/>
      <x:c r="K821" s="35" t="str"/>
      <x:c r="L82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21" s="35" t="str">
        <x:v>The persona can use every allowed action with only its assigned properties/relationships. Hidden or disabled actions explain why; an adjacent unauthorized persona is denied without metadata leakage.</x:v>
      </x:c>
      <x:c r="N821" s="35" t="str">
        <x:v>Persona/experience; navigation entry; desktop or device screenshots; result state; persisted read-back; audit/history; authorized and denied network result.</x:v>
      </x:c>
      <x:c r="O821" s="35" t="str">
        <x:v>Open the direct URL or deep link with an adjacent unauthorized persona and with stale scope; both fail closed and land safely without mutation.</x:v>
      </x:c>
      <x:c r="P821" s="35" t="str">
        <x:v>All expected records and amounts match; no unexplained error or stale state.</x:v>
      </x:c>
    </x:row>
    <x:row r="822">
      <x:c r="A822" s="20" t="str">
        <x:v>RUN-20270601-07</x:v>
      </x:c>
      <x:c r="B822" s="23" t="n">
        <x:v>46539</x:v>
      </x:c>
      <x:c r="C822" s="32" t="n">
        <x:v>7</x:v>
      </x:c>
      <x:c r="D822" s="20" t="str">
        <x:v>Field certification</x:v>
      </x:c>
      <x:c r="E822" s="20" t="str">
        <x:v>Property Manager</x:v>
      </x:c>
      <x:c r="F822" s="20" t="str">
        <x:v>Web</x:v>
      </x:c>
      <x:c r="G822" s="20" t="str">
        <x:v>Manual field-by-field</x:v>
      </x:c>
      <x:c r="H822" s="35" t="str">
        <x:v>Fill, save, reload, edit, and validate every declared field on /banking</x:v>
      </x:c>
      <x:c r="I822" s="35" t="str">
        <x:v>FLD-0417; FLD-0418</x:v>
      </x:c>
      <x:c r="J822" s="35" t="str"/>
      <x:c r="K822" s="35" t="str"/>
      <x:c r="L822" s="35" t="str">
        <x:v>Use the source-derived Field Inventory. Enter non-default realistic values in every control (exchangeAccountMask; banking-import-json); submit; reload or relaunch; compare every value; edit each mutable field; verify the paired client; then run required, format, length, range, boundary, optional-null, and stale-submit checks.</x:v>
      </x:c>
      <x:c r="M822" s="35" t="str">
        <x:v>All 2 inventoried controls persist exact normalized values, invalid values stay unsaved with clear errors, and hidden/unauthorized fields cannot be altered.</x:v>
      </x:c>
      <x:c r="N822" s="35" t="str">
        <x:v>Before/after form screenshots; FLD IDs; API response; reloaded UI; paired-client read-back; database/audit evidence; negative validation result.</x:v>
      </x:c>
      <x:c r="O822" s="35" t="str">
        <x:v>Use a duplicate submit and one simulated network interruption; one atomic mutation or none, never partial state.</x:v>
      </x:c>
      <x:c r="P822" s="35" t="str">
        <x:v>All expected records and amounts match; no unexplained error or stale state.</x:v>
      </x:c>
    </x:row>
    <x:row r="823">
      <x:c r="A823" s="20" t="str">
        <x:v>RUN-20270601-08</x:v>
      </x:c>
      <x:c r="B823" s="23" t="n">
        <x:v>46539</x:v>
      </x:c>
      <x:c r="C823" s="32" t="n">
        <x:v>8</x:v>
      </x:c>
      <x:c r="D823" s="20" t="str">
        <x:v>Field certification</x:v>
      </x:c>
      <x:c r="E823" s="20" t="str">
        <x:v>Property Manager</x:v>
      </x:c>
      <x:c r="F823" s="20" t="str">
        <x:v>Web</x:v>
      </x:c>
      <x:c r="G823" s="20" t="str">
        <x:v>Manual field-by-field</x:v>
      </x:c>
      <x:c r="H823" s="35" t="str">
        <x:v>Fill, save, reload, edit, and validate every declared field on /deposits</x:v>
      </x:c>
      <x:c r="I823" s="35" t="str">
        <x:v>FLD-0419; FLD-0420</x:v>
      </x:c>
      <x:c r="J823" s="35" t="str"/>
      <x:c r="K823" s="35" t="str"/>
      <x:c r="L823" s="35" t="str">
        <x:v>Use the source-derived Field Inventory. Enter non-default realistic values in every control (statusFilter; deposit-status-filter); submit; reload or relaunch; compare every value; edit each mutable field; verify the paired client; then run required, format, length, range, boundary, optional-null, and stale-submit checks.</x:v>
      </x:c>
      <x:c r="M823" s="35" t="str">
        <x:v>All 2 inventoried controls persist exact normalized values, invalid values stay unsaved with clear errors, and hidden/unauthorized fields cannot be altered.</x:v>
      </x:c>
      <x:c r="N823" s="35" t="str">
        <x:v>Before/after form screenshots; FLD IDs; API response; reloaded UI; paired-client read-back; database/audit evidence; negative validation result.</x:v>
      </x:c>
      <x:c r="O823" s="35" t="str">
        <x:v>Use a duplicate submit and one simulated network interruption; one atomic mutation or none, never partial state.</x:v>
      </x:c>
      <x:c r="P823" s="35" t="str">
        <x:v>All expected records and amounts match; no unexplained error or stale state.</x:v>
      </x:c>
    </x:row>
    <x:row r="824">
      <x:c r="A824" s="20" t="str">
        <x:v>RUN-20270601-09</x:v>
      </x:c>
      <x:c r="B824" s="23" t="n">
        <x:v>46539</x:v>
      </x:c>
      <x:c r="C824" s="32" t="n">
        <x:v>9</x:v>
      </x:c>
      <x:c r="D824" s="20" t="str">
        <x:v>Surface coverage</x:v>
      </x:c>
      <x:c r="E824" s="20" t="str">
        <x:v>Role appropriate to surface</x:v>
      </x:c>
      <x:c r="F824" s="20" t="str">
        <x:v>Mobile</x:v>
      </x:c>
      <x:c r="G824" s="20" t="str">
        <x:v>Manual</x:v>
      </x:c>
      <x:c r="H824" s="35" t="str">
        <x:v>Manual mobile pass: Security deposit register/disposition</x:v>
      </x:c>
      <x:c r="I824" s="35" t="str">
        <x:v>COV-019</x:v>
      </x:c>
      <x:c r="J824" s="35" t="str"/>
      <x:c r="K824" s="35" t="str"/>
      <x:c r="L824" s="35" t="str">
        <x:v>Collect, hold, apply, transfer, refund, and reconcile trust cash/liability without treating it as income.</x:v>
      </x:c>
      <x:c r="M824" s="35" t="str">
        <x:v>The supported workflow completes and persists correctly; if the capability is absent, the exact gap is proven and queued rather than silently skipped.</x:v>
      </x:c>
      <x:c r="N824" s="35" t="str">
        <x:v>Real UI screenshot/state; submitted values; persisted read-back; cross-client read-back; audit/role/access evidence.</x:v>
      </x:c>
      <x:c r="O824" s="35" t="str">
        <x:v>Use one invalid value, stale-state retry, or duplicate submission relevant to the form; no partial or duplicate mutation.</x:v>
      </x:c>
      <x:c r="P824" s="35" t="str">
        <x:v>All expected records and amounts match; no unexplained error or stale state.</x:v>
      </x:c>
    </x:row>
    <x:row r="825">
      <x:c r="A825" s="20" t="str">
        <x:v>RUN-20270602-01</x:v>
      </x:c>
      <x:c r="B825" s="23" t="n">
        <x:v>46540</x:v>
      </x:c>
      <x:c r="C825" s="32" t="n">
        <x:v>1</x:v>
      </x:c>
      <x:c r="D825" s="20" t="str">
        <x:v>Field certification</x:v>
      </x:c>
      <x:c r="E825" s="20" t="str">
        <x:v>Property Manager</x:v>
      </x:c>
      <x:c r="F825" s="20" t="str">
        <x:v>Web</x:v>
      </x:c>
      <x:c r="G825" s="20" t="str">
        <x:v>Manual field-by-field</x:v>
      </x:c>
      <x:c r="H825" s="35" t="str">
        <x:v>Fill, save, reload, edit, and validate every declared field on /deposits</x:v>
      </x:c>
      <x:c r="I825" s="35" t="str">
        <x:v>FLD-0421; FLD-0422; FLD-0423; FLD-0424</x:v>
      </x:c>
      <x:c r="J825" s="35" t="str"/>
      <x:c r="K825" s="35" t="str"/>
      <x:c r="L825" s="35" t="str">
        <x:v>Use the source-derived Field Inventory. Enter non-default realistic values in every control (Select-3; Select-4; Select-5; Select-6); submit; reload or relaunch; compare every value; edit each mutable field; verify the paired client; then run required, format, length, range, boundary, optional-null, and stale-submit checks.</x:v>
      </x:c>
      <x:c r="M825" s="35" t="str">
        <x:v>All 4 inventoried controls persist exact normalized values, invalid values stay unsaved with clear errors, and hidden/unauthorized fields cannot be altered.</x:v>
      </x:c>
      <x:c r="N825" s="35" t="str">
        <x:v>Before/after form screenshots; FLD IDs; API response; reloaded UI; paired-client read-back; database/audit evidence; negative validation result.</x:v>
      </x:c>
      <x:c r="O825" s="35" t="str">
        <x:v>Use a duplicate submit and one simulated network interruption; one atomic mutation or none, never partial state.</x:v>
      </x:c>
      <x:c r="P825" s="35" t="str">
        <x:v>All expected records and amounts match; no unexplained error or stale state.</x:v>
      </x:c>
    </x:row>
    <x:row r="826">
      <x:c r="A826" s="20" t="str">
        <x:v>RUN-20270603-01</x:v>
      </x:c>
      <x:c r="B826" s="23" t="n">
        <x:v>46541</x:v>
      </x:c>
      <x:c r="C826" s="32" t="n">
        <x:v>1</x:v>
      </x:c>
      <x:c r="D826" s="20" t="str">
        <x:v>Monthly operations</x:v>
      </x:c>
      <x:c r="E826" s="20" t="str">
        <x:v>Property Manager</x:v>
      </x:c>
      <x:c r="F826" s="20" t="str">
        <x:v>Mobile</x:v>
      </x:c>
      <x:c r="G826" s="20" t="str">
        <x:v>Portal card</x:v>
      </x:c>
      <x:c r="H826" s="35" t="str">
        <x:v>Post and allocate tenant receipt</x:v>
      </x:c>
      <x:c r="I826" s="35" t="str">
        <x:v>P003; U003; L003</x:v>
      </x:c>
      <x:c r="J826" s="35" t="str"/>
      <x:c r="K826" s="35" t="str">
        <x:v>FIN-00425; FIN-00426</x:v>
      </x:c>
      <x:c r="L826" s="35" t="str">
        <x:v>Open Scan for paper payment or the tenant-account receipt form for electronic payment; verify tenant/lease match, amount, date, method, and reference; confirm once; open ledger detail and allocation.</x:v>
      </x:c>
      <x:c r="M826" s="35" t="str">
        <x:v>Receipt is append-only, allocated once to the correct rent charge, and visible consistently in Unit, Lease, Tenant Account, Accounting, and portal views.</x:v>
      </x:c>
      <x:c r="N826" s="35" t="str">
        <x:v>Scan review or form; success result; exact ledger rows; payment detail; accounting delta; portal receipt.</x:v>
      </x:c>
      <x:c r="O826" s="35" t="str">
        <x:v>Retry the idempotency key once during the quarter assigned in the coverage matrix; no duplicate cash or allocation.</x:v>
      </x:c>
      <x:c r="P826" s="35" t="str">
        <x:v>All expected records and amounts match; no unexplained error or stale state.</x:v>
      </x:c>
    </x:row>
    <x:row r="827">
      <x:c r="A827" s="20" t="str">
        <x:v>RUN-20270603-02</x:v>
      </x:c>
      <x:c r="B827" s="23" t="n">
        <x:v>46541</x:v>
      </x:c>
      <x:c r="C827" s="32" t="n">
        <x:v>2</x:v>
      </x:c>
      <x:c r="D827" s="20" t="str">
        <x:v>Monthly operations</x:v>
      </x:c>
      <x:c r="E827" s="20" t="str">
        <x:v>Property Manager</x:v>
      </x:c>
      <x:c r="F827" s="20" t="str">
        <x:v>Web</x:v>
      </x:c>
      <x:c r="G827" s="20" t="str">
        <x:v>Manual ACH</x:v>
      </x:c>
      <x:c r="H827" s="35" t="str">
        <x:v>Post and allocate tenant receipt</x:v>
      </x:c>
      <x:c r="I827" s="35" t="str">
        <x:v>P006; U006; L006</x:v>
      </x:c>
      <x:c r="J827" s="35" t="str"/>
      <x:c r="K827" s="35" t="str">
        <x:v>FIN-00429; FIN-00430</x:v>
      </x:c>
      <x:c r="L827" s="35" t="str">
        <x:v>Open Scan for paper payment or the tenant-account receipt form for electronic payment; verify tenant/lease match, amount, date, method, and reference; confirm once; open ledger detail and allocation.</x:v>
      </x:c>
      <x:c r="M827" s="35" t="str">
        <x:v>Receipt is append-only, allocated once to the correct rent charge, and visible consistently in Unit, Lease, Tenant Account, Accounting, and portal views.</x:v>
      </x:c>
      <x:c r="N827" s="35" t="str">
        <x:v>Scan review or form; success result; exact ledger rows; payment detail; accounting delta; portal receipt.</x:v>
      </x:c>
      <x:c r="O827" s="35" t="str">
        <x:v>Retry the idempotency key once during the quarter assigned in the coverage matrix; no duplicate cash or allocation.</x:v>
      </x:c>
      <x:c r="P827" s="35" t="str">
        <x:v>All expected records and amounts match; no unexplained error or stale state.</x:v>
      </x:c>
    </x:row>
    <x:row r="828">
      <x:c r="A828" s="20" t="str">
        <x:v>RUN-20270603-03</x:v>
      </x:c>
      <x:c r="B828" s="23" t="n">
        <x:v>46541</x:v>
      </x:c>
      <x:c r="C828" s="32" t="n">
        <x:v>3</x:v>
      </x:c>
      <x:c r="D828" s="20" t="str">
        <x:v>Monthly operations</x:v>
      </x:c>
      <x:c r="E828" s="20" t="str">
        <x:v>Property Manager</x:v>
      </x:c>
      <x:c r="F828" s="20" t="str">
        <x:v>Mobile</x:v>
      </x:c>
      <x:c r="G828" s="20" t="str">
        <x:v>Scanned money order</x:v>
      </x:c>
      <x:c r="H828" s="35" t="str">
        <x:v>Post and allocate tenant receipt</x:v>
      </x:c>
      <x:c r="I828" s="35" t="str">
        <x:v>P009; U009; L009</x:v>
      </x:c>
      <x:c r="J828" s="35" t="str">
        <x:v>SCN-0196</x:v>
      </x:c>
      <x:c r="K828" s="35" t="str">
        <x:v>FIN-00435; FIN-00436</x:v>
      </x:c>
      <x:c r="L828" s="35" t="str">
        <x:v>Open Scan for paper payment or the tenant-account receipt form for electronic payment; verify tenant/lease match, amount, date, method, and reference; confirm once; open ledger detail and allocation.</x:v>
      </x:c>
      <x:c r="M828" s="35" t="str">
        <x:v>Receipt is append-only, allocated once to the correct rent charge, and visible consistently in Unit, Lease, Tenant Account, Accounting, and portal views.</x:v>
      </x:c>
      <x:c r="N828" s="35" t="str">
        <x:v>Scan review or form; success result; exact ledger rows; payment detail; accounting delta; portal receipt.</x:v>
      </x:c>
      <x:c r="O828" s="35" t="str">
        <x:v>Retry the idempotency key once during the quarter assigned in the coverage matrix; no duplicate cash or allocation.</x:v>
      </x:c>
      <x:c r="P828" s="35" t="str">
        <x:v>All expected records and amounts match; no unexplained error or stale state.</x:v>
      </x:c>
    </x:row>
    <x:row r="829">
      <x:c r="A829" s="20" t="str">
        <x:v>RUN-20270603-04</x:v>
      </x:c>
      <x:c r="B829" s="23" t="n">
        <x:v>46541</x:v>
      </x:c>
      <x:c r="C829" s="32" t="n">
        <x:v>4</x:v>
      </x:c>
      <x:c r="D829" s="20" t="str">
        <x:v>Monthly operations</x:v>
      </x:c>
      <x:c r="E829" s="20" t="str">
        <x:v>Property Manager</x:v>
      </x:c>
      <x:c r="F829" s="20" t="str">
        <x:v>Mobile</x:v>
      </x:c>
      <x:c r="G829" s="20" t="str">
        <x:v>Portal card</x:v>
      </x:c>
      <x:c r="H829" s="35" t="str">
        <x:v>Post and allocate tenant receipt</x:v>
      </x:c>
      <x:c r="I829" s="35" t="str">
        <x:v>P011; U011; L011</x:v>
      </x:c>
      <x:c r="J829" s="35" t="str"/>
      <x:c r="K829" s="35" t="str">
        <x:v>FIN-00439; FIN-00440</x:v>
      </x:c>
      <x:c r="L829" s="35" t="str">
        <x:v>Open Scan for paper payment or the tenant-account receipt form for electronic payment; verify tenant/lease match, amount, date, method, and reference; confirm once; open ledger detail and allocation.</x:v>
      </x:c>
      <x:c r="M829" s="35" t="str">
        <x:v>Receipt is append-only, allocated once to the correct rent charge, and visible consistently in Unit, Lease, Tenant Account, Accounting, and portal views.</x:v>
      </x:c>
      <x:c r="N829" s="35" t="str">
        <x:v>Scan review or form; success result; exact ledger rows; payment detail; accounting delta; portal receipt.</x:v>
      </x:c>
      <x:c r="O829" s="35" t="str">
        <x:v>Retry the idempotency key once during the quarter assigned in the coverage matrix; no duplicate cash or allocation.</x:v>
      </x:c>
      <x:c r="P829" s="35" t="str">
        <x:v>All expected records and amounts match; no unexplained error or stale state.</x:v>
      </x:c>
    </x:row>
    <x:row r="830">
      <x:c r="A830" s="20" t="str">
        <x:v>RUN-20270603-05</x:v>
      </x:c>
      <x:c r="B830" s="23" t="n">
        <x:v>46541</x:v>
      </x:c>
      <x:c r="C830" s="32" t="n">
        <x:v>5</x:v>
      </x:c>
      <x:c r="D830" s="20" t="str">
        <x:v>Monthly operations</x:v>
      </x:c>
      <x:c r="E830" s="20" t="str">
        <x:v>Property Manager</x:v>
      </x:c>
      <x:c r="F830" s="20" t="str">
        <x:v>Web</x:v>
      </x:c>
      <x:c r="G830" s="20" t="str">
        <x:v>Scanned check</x:v>
      </x:c>
      <x:c r="H830" s="35" t="str">
        <x:v>Post and allocate tenant receipt</x:v>
      </x:c>
      <x:c r="I830" s="35" t="str">
        <x:v>P012; U012; L012</x:v>
      </x:c>
      <x:c r="J830" s="35" t="str">
        <x:v>SCN-0198</x:v>
      </x:c>
      <x:c r="K830" s="35" t="str">
        <x:v>FIN-00443; FIN-00444</x:v>
      </x:c>
      <x:c r="L830" s="35" t="str">
        <x:v>Open Scan for paper payment or the tenant-account receipt form for electronic payment; verify tenant/lease match, amount, date, method, and reference; confirm once; open ledger detail and allocation.</x:v>
      </x:c>
      <x:c r="M830" s="35" t="str">
        <x:v>Receipt is append-only, allocated once to the correct rent charge, and visible consistently in Unit, Lease, Tenant Account, Accounting, and portal views.</x:v>
      </x:c>
      <x:c r="N830" s="35" t="str">
        <x:v>Scan review or form; success result; exact ledger rows; payment detail; accounting delta; portal receipt.</x:v>
      </x:c>
      <x:c r="O830" s="35" t="str">
        <x:v>Retry the idempotency key once during the quarter assigned in the coverage matrix; no duplicate cash or allocation.</x:v>
      </x:c>
      <x:c r="P830" s="35" t="str">
        <x:v>All expected records and amounts match; no unexplained error or stale state.</x:v>
      </x:c>
    </x:row>
    <x:row r="831">
      <x:c r="A831" s="20" t="str">
        <x:v>RUN-20270603-06</x:v>
      </x:c>
      <x:c r="B831" s="23" t="n">
        <x:v>46541</x:v>
      </x:c>
      <x:c r="C831" s="32" t="n">
        <x:v>6</x:v>
      </x:c>
      <x:c r="D831" s="20" t="str">
        <x:v>Monthly operations</x:v>
      </x:c>
      <x:c r="E831" s="20" t="str">
        <x:v>Property Manager</x:v>
      </x:c>
      <x:c r="F831" s="20" t="str">
        <x:v>Mobile</x:v>
      </x:c>
      <x:c r="G831" s="20" t="str">
        <x:v>Portal card</x:v>
      </x:c>
      <x:c r="H831" s="35" t="str">
        <x:v>Post and allocate tenant receipt</x:v>
      </x:c>
      <x:c r="I831" s="35" t="str">
        <x:v>P015; U015; L015</x:v>
      </x:c>
      <x:c r="J831" s="35" t="str"/>
      <x:c r="K831" s="35" t="str">
        <x:v>FIN-00448; FIN-00449</x:v>
      </x:c>
      <x:c r="L831" s="35" t="str">
        <x:v>Open Scan for paper payment or the tenant-account receipt form for electronic payment; verify tenant/lease match, amount, date, method, and reference; confirm once; open ledger detail and allocation.</x:v>
      </x:c>
      <x:c r="M831" s="35" t="str">
        <x:v>Receipt is append-only, allocated once to the correct rent charge, and visible consistently in Unit, Lease, Tenant Account, Accounting, and portal views.</x:v>
      </x:c>
      <x:c r="N831" s="35" t="str">
        <x:v>Scan review or form; success result; exact ledger rows; payment detail; accounting delta; portal receipt.</x:v>
      </x:c>
      <x:c r="O831" s="35" t="str">
        <x:v>Retry the idempotency key once during the quarter assigned in the coverage matrix; no duplicate cash or allocation.</x:v>
      </x:c>
      <x:c r="P831" s="35" t="str">
        <x:v>All expected records and amounts match; no unexplained error or stale state.</x:v>
      </x:c>
    </x:row>
    <x:row r="832">
      <x:c r="A832" s="20" t="str">
        <x:v>RUN-20270603-07</x:v>
      </x:c>
      <x:c r="B832" s="23" t="n">
        <x:v>46541</x:v>
      </x:c>
      <x:c r="C832" s="32" t="n">
        <x:v>7</x:v>
      </x:c>
      <x:c r="D832" s="20" t="str">
        <x:v>Monthly operations</x:v>
      </x:c>
      <x:c r="E832" s="20" t="str">
        <x:v>Property Manager</x:v>
      </x:c>
      <x:c r="F832" s="20" t="str">
        <x:v>Web</x:v>
      </x:c>
      <x:c r="G832" s="20" t="str">
        <x:v>Manual ACH</x:v>
      </x:c>
      <x:c r="H832" s="35" t="str">
        <x:v>Post and allocate tenant receipt</x:v>
      </x:c>
      <x:c r="I832" s="35" t="str">
        <x:v>P018; U018; L018</x:v>
      </x:c>
      <x:c r="J832" s="35" t="str"/>
      <x:c r="K832" s="35" t="str">
        <x:v>FIN-00454; FIN-00455</x:v>
      </x:c>
      <x:c r="L832" s="35" t="str">
        <x:v>Open Scan for paper payment or the tenant-account receipt form for electronic payment; verify tenant/lease match, amount, date, method, and reference; confirm once; open ledger detail and allocation.</x:v>
      </x:c>
      <x:c r="M832" s="35" t="str">
        <x:v>Receipt is append-only, allocated once to the correct rent charge, and visible consistently in Unit, Lease, Tenant Account, Accounting, and portal views.</x:v>
      </x:c>
      <x:c r="N832" s="35" t="str">
        <x:v>Scan review or form; success result; exact ledger rows; payment detail; accounting delta; portal receipt.</x:v>
      </x:c>
      <x:c r="O832" s="35" t="str">
        <x:v>Retry the idempotency key once during the quarter assigned in the coverage matrix; no duplicate cash or allocation.</x:v>
      </x:c>
      <x:c r="P832" s="35" t="str">
        <x:v>All expected records and amounts match; no unexplained error or stale state.</x:v>
      </x:c>
    </x:row>
    <x:row r="833">
      <x:c r="A833" s="20" t="str">
        <x:v>RUN-20270603-08</x:v>
      </x:c>
      <x:c r="B833" s="23" t="n">
        <x:v>46541</x:v>
      </x:c>
      <x:c r="C833" s="32" t="n">
        <x:v>8</x:v>
      </x:c>
      <x:c r="D833" s="20" t="str">
        <x:v>Monthly operations</x:v>
      </x:c>
      <x:c r="E833" s="20" t="str">
        <x:v>Property Manager</x:v>
      </x:c>
      <x:c r="F833" s="20" t="str">
        <x:v>Mobile</x:v>
      </x:c>
      <x:c r="G833" s="20" t="str">
        <x:v>Scanned money order</x:v>
      </x:c>
      <x:c r="H833" s="35" t="str">
        <x:v>Post and allocate tenant receipt</x:v>
      </x:c>
      <x:c r="I833" s="35" t="str">
        <x:v>P021; U021; L021</x:v>
      </x:c>
      <x:c r="J833" s="35" t="str">
        <x:v>SCN-0203</x:v>
      </x:c>
      <x:c r="K833" s="35" t="str">
        <x:v>FIN-00460; FIN-00461</x:v>
      </x:c>
      <x:c r="L833" s="35" t="str">
        <x:v>Open Scan for paper payment or the tenant-account receipt form for electronic payment; verify tenant/lease match, amount, date, method, and reference; confirm once; open ledger detail and allocation.</x:v>
      </x:c>
      <x:c r="M833" s="35" t="str">
        <x:v>Receipt is append-only, allocated once to the correct rent charge, and visible consistently in Unit, Lease, Tenant Account, Accounting, and portal views.</x:v>
      </x:c>
      <x:c r="N833" s="35" t="str">
        <x:v>Scan review or form; success result; exact ledger rows; payment detail; accounting delta; portal receipt.</x:v>
      </x:c>
      <x:c r="O833" s="35" t="str">
        <x:v>Retry the idempotency key once during the quarter assigned in the coverage matrix; no duplicate cash or allocation.</x:v>
      </x:c>
      <x:c r="P833" s="35" t="str">
        <x:v>All expected records and amounts match; no unexplained error or stale state.</x:v>
      </x:c>
    </x:row>
    <x:row r="834">
      <x:c r="A834" s="20" t="str">
        <x:v>RUN-20270603-09</x:v>
      </x:c>
      <x:c r="B834" s="23" t="n">
        <x:v>46541</x:v>
      </x:c>
      <x:c r="C834" s="32" t="n">
        <x:v>9</x:v>
      </x:c>
      <x:c r="D834" s="20" t="str">
        <x:v>Monthly operations</x:v>
      </x:c>
      <x:c r="E834" s="20" t="str">
        <x:v>Property Manager</x:v>
      </x:c>
      <x:c r="F834" s="20" t="str">
        <x:v>Web</x:v>
      </x:c>
      <x:c r="G834" s="20" t="str">
        <x:v>Manual ACH</x:v>
      </x:c>
      <x:c r="H834" s="35" t="str">
        <x:v>Post and allocate tenant receipt</x:v>
      </x:c>
      <x:c r="I834" s="35" t="str">
        <x:v>P021; U022; L022</x:v>
      </x:c>
      <x:c r="J834" s="35" t="str"/>
      <x:c r="K834" s="35" t="str">
        <x:v>FIN-00462; FIN-00463</x:v>
      </x:c>
      <x:c r="L834" s="35" t="str">
        <x:v>Open Scan for paper payment or the tenant-account receipt form for electronic payment; verify tenant/lease match, amount, date, method, and reference; confirm once; open ledger detail and allocation.</x:v>
      </x:c>
      <x:c r="M834" s="35" t="str">
        <x:v>Receipt is append-only, allocated once to the correct rent charge, and visible consistently in Unit, Lease, Tenant Account, Accounting, and portal views.</x:v>
      </x:c>
      <x:c r="N834" s="35" t="str">
        <x:v>Scan review or form; success result; exact ledger rows; payment detail; accounting delta; portal receipt.</x:v>
      </x:c>
      <x:c r="O834" s="35" t="str">
        <x:v>Retry the idempotency key once during the quarter assigned in the coverage matrix; no duplicate cash or allocation.</x:v>
      </x:c>
      <x:c r="P834" s="35" t="str">
        <x:v>All expected records and amounts match; no unexplained error or stale state.</x:v>
      </x:c>
    </x:row>
    <x:row r="835">
      <x:c r="A835" s="20" t="str">
        <x:v>RUN-20270603-10</x:v>
      </x:c>
      <x:c r="B835" s="23" t="n">
        <x:v>46541</x:v>
      </x:c>
      <x:c r="C835" s="32" t="n">
        <x:v>10</x:v>
      </x:c>
      <x:c r="D835" s="20" t="str">
        <x:v>Monthly operations</x:v>
      </x:c>
      <x:c r="E835" s="20" t="str">
        <x:v>Property Manager</x:v>
      </x:c>
      <x:c r="F835" s="20" t="str">
        <x:v>Web</x:v>
      </x:c>
      <x:c r="G835" s="20" t="str">
        <x:v>Scanned check</x:v>
      </x:c>
      <x:c r="H835" s="35" t="str">
        <x:v>Post and allocate tenant receipt</x:v>
      </x:c>
      <x:c r="I835" s="35" t="str">
        <x:v>P022; U024; L024</x:v>
      </x:c>
      <x:c r="J835" s="35" t="str">
        <x:v>SCN-0205</x:v>
      </x:c>
      <x:c r="K835" s="35" t="str">
        <x:v>FIN-00468; FIN-00469</x:v>
      </x:c>
      <x:c r="L835" s="35" t="str">
        <x:v>Open Scan for paper payment or the tenant-account receipt form for electronic payment; verify tenant/lease match, amount, date, method, and reference; confirm once; open ledger detail and allocation.</x:v>
      </x:c>
      <x:c r="M835" s="35" t="str">
        <x:v>Receipt is append-only, allocated once to the correct rent charge, and visible consistently in Unit, Lease, Tenant Account, Accounting, and portal views.</x:v>
      </x:c>
      <x:c r="N835" s="35" t="str">
        <x:v>Scan review or form; success result; exact ledger rows; payment detail; accounting delta; portal receipt.</x:v>
      </x:c>
      <x:c r="O835" s="35" t="str">
        <x:v>Retry the idempotency key once during the quarter assigned in the coverage matrix; no duplicate cash or allocation.</x:v>
      </x:c>
      <x:c r="P835" s="35" t="str">
        <x:v>All expected records and amounts match; no unexplained error or stale state.</x:v>
      </x:c>
    </x:row>
    <x:row r="836">
      <x:c r="A836" s="20" t="str">
        <x:v>RUN-20270603-11</x:v>
      </x:c>
      <x:c r="B836" s="23" t="n">
        <x:v>46541</x:v>
      </x:c>
      <x:c r="C836" s="32" t="n">
        <x:v>11</x:v>
      </x:c>
      <x:c r="D836" s="20" t="str">
        <x:v>Monthly operations</x:v>
      </x:c>
      <x:c r="E836" s="20" t="str">
        <x:v>Property Manager</x:v>
      </x:c>
      <x:c r="F836" s="20" t="str">
        <x:v>Mobile</x:v>
      </x:c>
      <x:c r="G836" s="20" t="str">
        <x:v>Portal card</x:v>
      </x:c>
      <x:c r="H836" s="35" t="str">
        <x:v>Post and allocate tenant receipt</x:v>
      </x:c>
      <x:c r="I836" s="35" t="str">
        <x:v>P024; U027; L027</x:v>
      </x:c>
      <x:c r="J836" s="35" t="str"/>
      <x:c r="K836" s="35" t="str">
        <x:v>FIN-00475; FIN-00476</x:v>
      </x:c>
      <x:c r="L836" s="35" t="str">
        <x:v>Open Scan for paper payment or the tenant-account receipt form for electronic payment; verify tenant/lease match, amount, date, method, and reference; confirm once; open ledger detail and allocation.</x:v>
      </x:c>
      <x:c r="M836" s="35" t="str">
        <x:v>Receipt is append-only, allocated once to the correct rent charge, and visible consistently in Unit, Lease, Tenant Account, Accounting, and portal views.</x:v>
      </x:c>
      <x:c r="N836" s="35" t="str">
        <x:v>Scan review or form; success result; exact ledger rows; payment detail; accounting delta; portal receipt.</x:v>
      </x:c>
      <x:c r="O836" s="35" t="str">
        <x:v>Retry the idempotency key once during the quarter assigned in the coverage matrix; no duplicate cash or allocation.</x:v>
      </x:c>
      <x:c r="P836" s="35" t="str">
        <x:v>All expected records and amounts match; no unexplained error or stale state.</x:v>
      </x:c>
    </x:row>
    <x:row r="837">
      <x:c r="A837" s="20" t="str">
        <x:v>RUN-20270603-12</x:v>
      </x:c>
      <x:c r="B837" s="23" t="n">
        <x:v>46541</x:v>
      </x:c>
      <x:c r="C837" s="32" t="n">
        <x:v>12</x:v>
      </x:c>
      <x:c r="D837" s="20" t="str">
        <x:v>Monthly operations</x:v>
      </x:c>
      <x:c r="E837" s="20" t="str">
        <x:v>Property Manager</x:v>
      </x:c>
      <x:c r="F837" s="20" t="str">
        <x:v>Web</x:v>
      </x:c>
      <x:c r="G837" s="20" t="str">
        <x:v>Manual ACH</x:v>
      </x:c>
      <x:c r="H837" s="35" t="str">
        <x:v>Post and allocate tenant receipt</x:v>
      </x:c>
      <x:c r="I837" s="35" t="str">
        <x:v>P025; U030; L030</x:v>
      </x:c>
      <x:c r="J837" s="35" t="str"/>
      <x:c r="K837" s="35" t="str">
        <x:v>FIN-00481; FIN-00482</x:v>
      </x:c>
      <x:c r="L837" s="35" t="str">
        <x:v>Open Scan for paper payment or the tenant-account receipt form for electronic payment; verify tenant/lease match, amount, date, method, and reference; confirm once; open ledger detail and allocation.</x:v>
      </x:c>
      <x:c r="M837" s="35" t="str">
        <x:v>Receipt is append-only, allocated once to the correct rent charge, and visible consistently in Unit, Lease, Tenant Account, Accounting, and portal views.</x:v>
      </x:c>
      <x:c r="N837" s="35" t="str">
        <x:v>Scan review or form; success result; exact ledger rows; payment detail; accounting delta; portal receipt.</x:v>
      </x:c>
      <x:c r="O837" s="35" t="str">
        <x:v>Retry the idempotency key once during the quarter assigned in the coverage matrix; no duplicate cash or allocation.</x:v>
      </x:c>
      <x:c r="P837" s="35" t="str">
        <x:v>All expected records and amounts match; no unexplained error or stale state.</x:v>
      </x:c>
    </x:row>
    <x:row r="838">
      <x:c r="A838" s="20" t="str">
        <x:v>RUN-20270603-13</x:v>
      </x:c>
      <x:c r="B838" s="23" t="n">
        <x:v>46541</x:v>
      </x:c>
      <x:c r="C838" s="32" t="n">
        <x:v>13</x:v>
      </x:c>
      <x:c r="D838" s="20" t="str">
        <x:v>Monthly operations</x:v>
      </x:c>
      <x:c r="E838" s="20" t="str">
        <x:v>Property Manager</x:v>
      </x:c>
      <x:c r="F838" s="20" t="str">
        <x:v>Mobile</x:v>
      </x:c>
      <x:c r="G838" s="20" t="str">
        <x:v>Scanned money order</x:v>
      </x:c>
      <x:c r="H838" s="35" t="str">
        <x:v>Post and allocate tenant receipt</x:v>
      </x:c>
      <x:c r="I838" s="35" t="str">
        <x:v>P027; U033; L033</x:v>
      </x:c>
      <x:c r="J838" s="35" t="str">
        <x:v>SCN-0211</x:v>
      </x:c>
      <x:c r="K838" s="35" t="str">
        <x:v>FIN-00487; FIN-00488</x:v>
      </x:c>
      <x:c r="L838" s="35" t="str">
        <x:v>Open Scan for paper payment or the tenant-account receipt form for electronic payment; verify tenant/lease match, amount, date, method, and reference; confirm once; open ledger detail and allocation.</x:v>
      </x:c>
      <x:c r="M838" s="35" t="str">
        <x:v>Receipt is append-only, allocated once to the correct rent charge, and visible consistently in Unit, Lease, Tenant Account, Accounting, and portal views.</x:v>
      </x:c>
      <x:c r="N838" s="35" t="str">
        <x:v>Scan review or form; success result; exact ledger rows; payment detail; accounting delta; portal receipt.</x:v>
      </x:c>
      <x:c r="O838" s="35" t="str">
        <x:v>Retry the idempotency key once during the quarter assigned in the coverage matrix; no duplicate cash or allocation.</x:v>
      </x:c>
      <x:c r="P838" s="35" t="str">
        <x:v>All expected records and amounts match; no unexplained error or stale state.</x:v>
      </x:c>
    </x:row>
    <x:row r="839">
      <x:c r="A839" s="20" t="str">
        <x:v>RUN-20270603-14</x:v>
      </x:c>
      <x:c r="B839" s="23" t="n">
        <x:v>46541</x:v>
      </x:c>
      <x:c r="C839" s="32" t="n">
        <x:v>14</x:v>
      </x:c>
      <x:c r="D839" s="20" t="str">
        <x:v>Monthly operations</x:v>
      </x:c>
      <x:c r="E839" s="20" t="str">
        <x:v>Property Manager</x:v>
      </x:c>
      <x:c r="F839" s="20" t="str">
        <x:v>Web</x:v>
      </x:c>
      <x:c r="G839" s="20" t="str">
        <x:v>Scanned check</x:v>
      </x:c>
      <x:c r="H839" s="35" t="str">
        <x:v>Post and allocate tenant receipt</x:v>
      </x:c>
      <x:c r="I839" s="35" t="str">
        <x:v>P028; U036; L036</x:v>
      </x:c>
      <x:c r="J839" s="35" t="str">
        <x:v>SCN-0212</x:v>
      </x:c>
      <x:c r="K839" s="35" t="str">
        <x:v>FIN-00495; FIN-00496</x:v>
      </x:c>
      <x:c r="L839" s="35" t="str">
        <x:v>Open Scan for paper payment or the tenant-account receipt form for electronic payment; verify tenant/lease match, amount, date, method, and reference; confirm once; open ledger detail and allocation.</x:v>
      </x:c>
      <x:c r="M839" s="35" t="str">
        <x:v>Receipt is append-only, allocated once to the correct rent charge, and visible consistently in Unit, Lease, Tenant Account, Accounting, and portal views.</x:v>
      </x:c>
      <x:c r="N839" s="35" t="str">
        <x:v>Scan review or form; success result; exact ledger rows; payment detail; accounting delta; portal receipt.</x:v>
      </x:c>
      <x:c r="O839" s="35" t="str">
        <x:v>Retry the idempotency key once during the quarter assigned in the coverage matrix; no duplicate cash or allocation.</x:v>
      </x:c>
      <x:c r="P839" s="35" t="str">
        <x:v>All expected records and amounts match; no unexplained error or stale state.</x:v>
      </x:c>
    </x:row>
    <x:row r="840">
      <x:c r="A840" s="20" t="str">
        <x:v>RUN-20270603-15</x:v>
      </x:c>
      <x:c r="B840" s="23" t="n">
        <x:v>46541</x:v>
      </x:c>
      <x:c r="C840" s="32" t="n">
        <x:v>15</x:v>
      </x:c>
      <x:c r="D840" s="20" t="str">
        <x:v>Monthly operations</x:v>
      </x:c>
      <x:c r="E840" s="20" t="str">
        <x:v>Property Manager</x:v>
      </x:c>
      <x:c r="F840" s="20" t="str">
        <x:v>Web</x:v>
      </x:c>
      <x:c r="G840" s="20" t="str">
        <x:v>Scanned check</x:v>
      </x:c>
      <x:c r="H840" s="35" t="str">
        <x:v>Post and allocate tenant receipt</x:v>
      </x:c>
      <x:c r="I840" s="35" t="str">
        <x:v>P029; U038; L044</x:v>
      </x:c>
      <x:c r="J840" s="35" t="str">
        <x:v>SCN-0214</x:v>
      </x:c>
      <x:c r="K840" s="35" t="str">
        <x:v>FIN-00501; FIN-00502</x:v>
      </x:c>
      <x:c r="L840" s="35" t="str">
        <x:v>Open Scan for paper payment or the tenant-account receipt form for electronic payment; verify tenant/lease match, amount, date, method, and reference; confirm once; open ledger detail and allocation.</x:v>
      </x:c>
      <x:c r="M840" s="35" t="str">
        <x:v>Receipt is append-only, allocated once to the correct rent charge, and visible consistently in Unit, Lease, Tenant Account, Accounting, and portal views.</x:v>
      </x:c>
      <x:c r="N840" s="35" t="str">
        <x:v>Scan review or form; success result; exact ledger rows; payment detail; accounting delta; portal receipt.</x:v>
      </x:c>
      <x:c r="O840" s="35" t="str">
        <x:v>Retry the idempotency key once during the quarter assigned in the coverage matrix; no duplicate cash or allocation.</x:v>
      </x:c>
      <x:c r="P840" s="35" t="str">
        <x:v>All expected records and amounts match; no unexplained error or stale state.</x:v>
      </x:c>
    </x:row>
    <x:row r="841">
      <x:c r="A841" s="20" t="str">
        <x:v>RUN-20270603-16</x:v>
      </x:c>
      <x:c r="B841" s="23" t="n">
        <x:v>46541</x:v>
      </x:c>
      <x:c r="C841" s="32" t="n">
        <x:v>16</x:v>
      </x:c>
      <x:c r="D841" s="20" t="str">
        <x:v>Monthly operations</x:v>
      </x:c>
      <x:c r="E841" s="20" t="str">
        <x:v>Property Manager</x:v>
      </x:c>
      <x:c r="F841" s="20" t="str">
        <x:v>Mobile</x:v>
      </x:c>
      <x:c r="G841" s="20" t="str">
        <x:v>Scanned money order</x:v>
      </x:c>
      <x:c r="H841" s="35" t="str">
        <x:v>Post and allocate tenant receipt</x:v>
      </x:c>
      <x:c r="I841" s="35" t="str">
        <x:v>P030; U039; L045</x:v>
      </x:c>
      <x:c r="J841" s="35" t="str">
        <x:v>SCN-0215</x:v>
      </x:c>
      <x:c r="K841" s="35" t="str">
        <x:v>FIN-00505; FIN-00506</x:v>
      </x:c>
      <x:c r="L841" s="35" t="str">
        <x:v>Open Scan for paper payment or the tenant-account receipt form for electronic payment; verify tenant/lease match, amount, date, method, and reference; confirm once; open ledger detail and allocation.</x:v>
      </x:c>
      <x:c r="M841" s="35" t="str">
        <x:v>Receipt is append-only, allocated once to the correct rent charge, and visible consistently in Unit, Lease, Tenant Account, Accounting, and portal views.</x:v>
      </x:c>
      <x:c r="N841" s="35" t="str">
        <x:v>Scan review or form; success result; exact ledger rows; payment detail; accounting delta; portal receipt.</x:v>
      </x:c>
      <x:c r="O841" s="35" t="str">
        <x:v>Retry the idempotency key once during the quarter assigned in the coverage matrix; no duplicate cash or allocation.</x:v>
      </x:c>
      <x:c r="P841" s="35" t="str">
        <x:v>All expected records and amounts match; no unexplained error or stale state.</x:v>
      </x:c>
    </x:row>
    <x:row r="842">
      <x:c r="A842" s="20" t="str">
        <x:v>RUN-20270603-17</x:v>
      </x:c>
      <x:c r="B842" s="23" t="n">
        <x:v>46541</x:v>
      </x:c>
      <x:c r="C842" s="32" t="n">
        <x:v>17</x:v>
      </x:c>
      <x:c r="D842" s="20" t="str">
        <x:v>Role and screen certification</x:v>
      </x:c>
      <x:c r="E842" s="20" t="str">
        <x:v>Workspace Administrator</x:v>
      </x:c>
      <x:c r="F842" s="20" t="str">
        <x:v>Web</x:v>
      </x:c>
      <x:c r="G842" s="20" t="str">
        <x:v>Normal persona navigation</x:v>
      </x:c>
      <x:c r="H842" s="35" t="str">
        <x:v>Use every permitted action and state on /tenant-accounts/[tenantAccountId]/entries/[tenantLedgerEntryId]</x:v>
      </x:c>
      <x:c r="I842" s="35" t="str">
        <x:v>SCR-079; ROLE-138</x:v>
      </x:c>
      <x:c r="J842" s="35" t="str"/>
      <x:c r="K842" s="35" t="str"/>
      <x:c r="L84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42" s="35" t="str">
        <x:v>The persona can use every allowed action with only its assigned properties/relationships. Hidden or disabled actions explain why; an adjacent unauthorized persona is denied without metadata leakage.</x:v>
      </x:c>
      <x:c r="N842" s="35" t="str">
        <x:v>Persona/experience; navigation entry; desktop or device screenshots; result state; persisted read-back; audit/history; authorized and denied network result.</x:v>
      </x:c>
      <x:c r="O842" s="35" t="str">
        <x:v>Open the direct URL or deep link with an adjacent unauthorized persona and with stale scope; both fail closed and land safely without mutation.</x:v>
      </x:c>
      <x:c r="P842" s="35" t="str">
        <x:v>All expected records and amounts match; no unexplained error or stale state.</x:v>
      </x:c>
    </x:row>
    <x:row r="843">
      <x:c r="A843" s="20" t="str">
        <x:v>RUN-20270603-18</x:v>
      </x:c>
      <x:c r="B843" s="23" t="n">
        <x:v>46541</x:v>
      </x:c>
      <x:c r="C843" s="32" t="n">
        <x:v>18</x:v>
      </x:c>
      <x:c r="D843" s="20" t="str">
        <x:v>Role and screen certification</x:v>
      </x:c>
      <x:c r="E843" s="20" t="str">
        <x:v>Property Manager</x:v>
      </x:c>
      <x:c r="F843" s="20" t="str">
        <x:v>Web</x:v>
      </x:c>
      <x:c r="G843" s="20" t="str">
        <x:v>Normal persona navigation</x:v>
      </x:c>
      <x:c r="H843" s="35" t="str">
        <x:v>Use every permitted action and state on /tenant-accounts/[tenantAccountId]/entries/[tenantLedgerEntryId]</x:v>
      </x:c>
      <x:c r="I843" s="35" t="str">
        <x:v>SCR-079; ROLE-139</x:v>
      </x:c>
      <x:c r="J843" s="35" t="str"/>
      <x:c r="K843" s="35" t="str"/>
      <x:c r="L84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43" s="35" t="str">
        <x:v>The persona can use every allowed action with only its assigned properties/relationships. Hidden or disabled actions explain why; an adjacent unauthorized persona is denied without metadata leakage.</x:v>
      </x:c>
      <x:c r="N843" s="35" t="str">
        <x:v>Persona/experience; navigation entry; desktop or device screenshots; result state; persisted read-back; audit/history; authorized and denied network result.</x:v>
      </x:c>
      <x:c r="O843" s="35" t="str">
        <x:v>Open the direct URL or deep link with an adjacent unauthorized persona and with stale scope; both fail closed and land safely without mutation.</x:v>
      </x:c>
      <x:c r="P843" s="35" t="str">
        <x:v>All expected records and amounts match; no unexplained error or stale state.</x:v>
      </x:c>
    </x:row>
    <x:row r="844">
      <x:c r="A844" s="20" t="str">
        <x:v>RUN-20270603-19</x:v>
      </x:c>
      <x:c r="B844" s="23" t="n">
        <x:v>46541</x:v>
      </x:c>
      <x:c r="C844" s="32" t="n">
        <x:v>19</x:v>
      </x:c>
      <x:c r="D844" s="20" t="str">
        <x:v>Field certification</x:v>
      </x:c>
      <x:c r="E844" s="20" t="str">
        <x:v>Property Manager</x:v>
      </x:c>
      <x:c r="F844" s="20" t="str">
        <x:v>Web</x:v>
      </x:c>
      <x:c r="G844" s="20" t="str">
        <x:v>Manual field-by-field</x:v>
      </x:c>
      <x:c r="H844" s="35" t="str">
        <x:v>Fill, save, reload, edit, and validate every declared field on /deposits</x:v>
      </x:c>
      <x:c r="I844" s="35" t="str">
        <x:v>FLD-0425; FLD-0426; FLD-0427</x:v>
      </x:c>
      <x:c r="J844" s="35" t="str"/>
      <x:c r="K844" s="35" t="str"/>
      <x:c r="L844" s="35" t="str">
        <x:v>Use the source-derived Field Inventory. Enter non-default realistic values in every control (Select-7; Select-8; Select-9); submit; reload or relaunch; compare every value; edit each mutable field; verify the paired client; then run required, format, length, range, boundary, optional-null, and stale-submit checks.</x:v>
      </x:c>
      <x:c r="M844" s="35" t="str">
        <x:v>All 3 inventoried controls persist exact normalized values, invalid values stay unsaved with clear errors, and hidden/unauthorized fields cannot be altered.</x:v>
      </x:c>
      <x:c r="N844" s="35" t="str">
        <x:v>Before/after form screenshots; FLD IDs; API response; reloaded UI; paired-client read-back; database/audit evidence; negative validation result.</x:v>
      </x:c>
      <x:c r="O844" s="35" t="str">
        <x:v>Use a duplicate submit and one simulated network interruption; one atomic mutation or none, never partial state.</x:v>
      </x:c>
      <x:c r="P844" s="35" t="str">
        <x:v>All expected records and amounts match; no unexplained error or stale state.</x:v>
      </x:c>
    </x:row>
    <x:row r="845">
      <x:c r="A845" s="20" t="str">
        <x:v>RUN-20270603-20</x:v>
      </x:c>
      <x:c r="B845" s="23" t="n">
        <x:v>46541</x:v>
      </x:c>
      <x:c r="C845" s="32" t="n">
        <x:v>20</x:v>
      </x:c>
      <x:c r="D845" s="20" t="str">
        <x:v>Field certification</x:v>
      </x:c>
      <x:c r="E845" s="20" t="str">
        <x:v>Property Manager</x:v>
      </x:c>
      <x:c r="F845" s="20" t="str">
        <x:v>Web</x:v>
      </x:c>
      <x:c r="G845" s="20" t="str">
        <x:v>Manual field-by-field</x:v>
      </x:c>
      <x:c r="H845" s="35" t="str">
        <x:v>Fill, save, reload, edit, and validate every declared field on /deposits/[id]</x:v>
      </x:c>
      <x:c r="I845" s="35" t="str">
        <x:v>FLD-0428; FLD-0429</x:v>
      </x:c>
      <x:c r="J845" s="35" t="str"/>
      <x:c r="K845" s="35" t="str"/>
      <x:c r="L845" s="35" t="str">
        <x:v>Use the source-derived Field Inventory. Enter non-default realistic values in every control (input-1; fundAmount); submit; reload or relaunch; compare every value; edit each mutable field; verify the paired client; then run required, format, length, range, boundary, optional-null, and stale-submit checks.</x:v>
      </x:c>
      <x:c r="M845" s="35" t="str">
        <x:v>All 2 inventoried controls persist exact normalized values, invalid values stay unsaved with clear errors, and hidden/unauthorized fields cannot be altered.</x:v>
      </x:c>
      <x:c r="N845" s="35" t="str">
        <x:v>Before/after form screenshots; FLD IDs; API response; reloaded UI; paired-client read-back; database/audit evidence; negative validation result.</x:v>
      </x:c>
      <x:c r="O845" s="35" t="str">
        <x:v>Use a duplicate submit and one simulated network interruption; one atomic mutation or none, never partial state.</x:v>
      </x:c>
      <x:c r="P845" s="35" t="str">
        <x:v>All expected records and amounts match; no unexplained error or stale state.</x:v>
      </x:c>
    </x:row>
    <x:row r="846">
      <x:c r="A846" s="20" t="str">
        <x:v>RUN-20270603-21</x:v>
      </x:c>
      <x:c r="B846" s="23" t="n">
        <x:v>46541</x:v>
      </x:c>
      <x:c r="C846" s="32" t="n">
        <x:v>21</x:v>
      </x:c>
      <x:c r="D846" s="20" t="str">
        <x:v>Lifecycle certification</x:v>
      </x:c>
      <x:c r="E846" s="20" t="str">
        <x:v>Property Manager</x:v>
      </x:c>
      <x:c r="F846" s="20" t="str">
        <x:v>Web + Mobile</x:v>
      </x:c>
      <x:c r="G846" s="20" t="str">
        <x:v>Manual + scan/attachment where supported</x:v>
      </x:c>
      <x:c r="H846" s="35" t="str">
        <x:v>Complete the full create/read/edit/lifecycle/delete-safe pass for Payment</x:v>
      </x:c>
      <x:c r="I846" s="35" t="str">
        <x:v>CRUD-014</x:v>
      </x:c>
      <x:c r="J846" s="35" t="str"/>
      <x:c r="K846" s="35" t="str"/>
      <x:c r="L846" s="35" t="str">
        <x:v>Use a dedicated disposable QA record and execute: scan/manual create; allocate; reverse; refund; receipt; duplicate protection. Fill every field referenced by field-inventory.csv. Verify confirmation copy, cancel path, final path, reload, other-client state, history, and role denial.</x:v>
      </x:c>
      <x:c r="M846" s="35" t="str">
        <x:v>Every supported transition succeeds exactly once; forbidden destructive actions are guarded; reversible deletion/deactivation works; financial and historical truth is preserved.</x:v>
      </x:c>
      <x:c r="N846" s="35" t="str">
        <x:v>Entity before/after; both clients; all FLD IDs; audit/history; notifications; authorized and unauthorized personas; API/DB state.</x:v>
      </x:c>
      <x:c r="O846" s="35" t="str">
        <x:v>Cancel the first destructive confirmation, then repeat and confirm; retry the mutation once; no double transition or orphan.</x:v>
      </x:c>
      <x:c r="P846" s="35" t="str">
        <x:v>All expected records and amounts match; no unexplained error or stale state.</x:v>
      </x:c>
    </x:row>
    <x:row r="847">
      <x:c r="A847" s="20" t="str">
        <x:v>RUN-20270603-22</x:v>
      </x:c>
      <x:c r="B847" s="23" t="n">
        <x:v>46541</x:v>
      </x:c>
      <x:c r="C847" s="32" t="n">
        <x:v>22</x:v>
      </x:c>
      <x:c r="D847" s="20" t="str">
        <x:v>Surface coverage</x:v>
      </x:c>
      <x:c r="E847" s="20" t="str">
        <x:v>Role appropriate to surface</x:v>
      </x:c>
      <x:c r="F847" s="20" t="str">
        <x:v>Web</x:v>
      </x:c>
      <x:c r="G847" s="20" t="str">
        <x:v>Scan/attachment</x:v>
      </x:c>
      <x:c r="H847" s="35" t="str">
        <x:v>Scan web pass: Security deposit register/disposition</x:v>
      </x:c>
      <x:c r="I847" s="35" t="str">
        <x:v>COV-019</x:v>
      </x:c>
      <x:c r="J847" s="35" t="str"/>
      <x:c r="K847" s="35" t="str"/>
      <x:c r="L847" s="35" t="str">
        <x:v>Collect, hold, apply, transfer, refund, and reconcile trust cash/liability without treating it as income.</x:v>
      </x:c>
      <x:c r="M847" s="35" t="str">
        <x:v>The supported workflow completes and persists correctly; if the capability is absent, the exact gap is proven and queued rather than silently skipped.</x:v>
      </x:c>
      <x:c r="N847" s="35" t="str">
        <x:v>Real UI screenshot/state; submitted values; persisted read-back; cross-client read-back; audit/role/access evidence.</x:v>
      </x:c>
      <x:c r="O847" s="35" t="str">
        <x:v>Use one invalid value, stale-state retry, or duplicate submission relevant to the form; no partial or duplicate mutation.</x:v>
      </x:c>
      <x:c r="P847" s="35" t="str">
        <x:v>All expected records and amounts match; no unexplained error or stale state.</x:v>
      </x:c>
    </x:row>
    <x:row r="848">
      <x:c r="A848" s="20" t="str">
        <x:v>RUN-20270604-01</x:v>
      </x:c>
      <x:c r="B848" s="23" t="n">
        <x:v>46542</x:v>
      </x:c>
      <x:c r="C848" s="32" t="n">
        <x:v>1</x:v>
      </x:c>
      <x:c r="D848" s="20" t="str">
        <x:v>Monthly operations</x:v>
      </x:c>
      <x:c r="E848" s="20" t="str">
        <x:v>Property Manager</x:v>
      </x:c>
      <x:c r="F848" s="20" t="str">
        <x:v>Mobile</x:v>
      </x:c>
      <x:c r="G848" s="20" t="str">
        <x:v>Scanned money order</x:v>
      </x:c>
      <x:c r="H848" s="35" t="str">
        <x:v>Post and allocate tenant receipt</x:v>
      </x:c>
      <x:c r="I848" s="35" t="str">
        <x:v>P001; U001; L001</x:v>
      </x:c>
      <x:c r="J848" s="35" t="str">
        <x:v>SCN-0193</x:v>
      </x:c>
      <x:c r="K848" s="35" t="str">
        <x:v>FIN-00421; FIN-00422</x:v>
      </x:c>
      <x:c r="L848" s="35" t="str">
        <x:v>Open Scan for paper payment or the tenant-account receipt form for electronic payment; verify tenant/lease match, amount, date, method, and reference; confirm once; open ledger detail and allocation.</x:v>
      </x:c>
      <x:c r="M848" s="35" t="str">
        <x:v>Receipt is append-only, allocated once to the correct rent charge, and visible consistently in Unit, Lease, Tenant Account, Accounting, and portal views.</x:v>
      </x:c>
      <x:c r="N848" s="35" t="str">
        <x:v>Scan review or form; success result; exact ledger rows; payment detail; accounting delta; portal receipt.</x:v>
      </x:c>
      <x:c r="O848" s="35" t="str">
        <x:v>Retry the idempotency key once during the quarter assigned in the coverage matrix; no duplicate cash or allocation.</x:v>
      </x:c>
      <x:c r="P848" s="35" t="str">
        <x:v>All expected records and amounts match; no unexplained error or stale state.</x:v>
      </x:c>
    </x:row>
    <x:row r="849">
      <x:c r="A849" s="20" t="str">
        <x:v>RUN-20270604-02</x:v>
      </x:c>
      <x:c r="B849" s="23" t="n">
        <x:v>46542</x:v>
      </x:c>
      <x:c r="C849" s="32" t="n">
        <x:v>2</x:v>
      </x:c>
      <x:c r="D849" s="20" t="str">
        <x:v>Monthly operations</x:v>
      </x:c>
      <x:c r="E849" s="20" t="str">
        <x:v>Property Manager</x:v>
      </x:c>
      <x:c r="F849" s="20" t="str">
        <x:v>Web</x:v>
      </x:c>
      <x:c r="G849" s="20" t="str">
        <x:v>Scanned check</x:v>
      </x:c>
      <x:c r="H849" s="35" t="str">
        <x:v>Post and allocate tenant receipt</x:v>
      </x:c>
      <x:c r="I849" s="35" t="str">
        <x:v>P004; U004; L004</x:v>
      </x:c>
      <x:c r="J849" s="35" t="str">
        <x:v>SCN-0194</x:v>
      </x:c>
      <x:c r="K849" s="35" t="str">
        <x:v>FIN-00427; FIN-00428</x:v>
      </x:c>
      <x:c r="L849" s="35" t="str">
        <x:v>Open Scan for paper payment or the tenant-account receipt form for electronic payment; verify tenant/lease match, amount, date, method, and reference; confirm once; open ledger detail and allocation.</x:v>
      </x:c>
      <x:c r="M849" s="35" t="str">
        <x:v>Receipt is append-only, allocated once to the correct rent charge, and visible consistently in Unit, Lease, Tenant Account, Accounting, and portal views.</x:v>
      </x:c>
      <x:c r="N849" s="35" t="str">
        <x:v>Scan review or form; success result; exact ledger rows; payment detail; accounting delta; portal receipt.</x:v>
      </x:c>
      <x:c r="O849" s="35" t="str">
        <x:v>Retry the idempotency key once during the quarter assigned in the coverage matrix; no duplicate cash or allocation.</x:v>
      </x:c>
      <x:c r="P849" s="35" t="str">
        <x:v>All expected records and amounts match; no unexplained error or stale state.</x:v>
      </x:c>
    </x:row>
    <x:row r="850">
      <x:c r="A850" s="20" t="str">
        <x:v>RUN-20270604-03</x:v>
      </x:c>
      <x:c r="B850" s="23" t="n">
        <x:v>46542</x:v>
      </x:c>
      <x:c r="C850" s="32" t="n">
        <x:v>3</x:v>
      </x:c>
      <x:c r="D850" s="20" t="str">
        <x:v>Monthly operations</x:v>
      </x:c>
      <x:c r="E850" s="20" t="str">
        <x:v>Property Manager</x:v>
      </x:c>
      <x:c r="F850" s="20" t="str">
        <x:v>Mobile</x:v>
      </x:c>
      <x:c r="G850" s="20" t="str">
        <x:v>Portal card</x:v>
      </x:c>
      <x:c r="H850" s="35" t="str">
        <x:v>Post and allocate tenant receipt</x:v>
      </x:c>
      <x:c r="I850" s="35" t="str">
        <x:v>P007; U007; L007</x:v>
      </x:c>
      <x:c r="J850" s="35" t="str"/>
      <x:c r="K850" s="35" t="str">
        <x:v>FIN-00431; FIN-00432</x:v>
      </x:c>
      <x:c r="L850" s="35" t="str">
        <x:v>Open Scan for paper payment or the tenant-account receipt form for electronic payment; verify tenant/lease match, amount, date, method, and reference; confirm once; open ledger detail and allocation.</x:v>
      </x:c>
      <x:c r="M850" s="35" t="str">
        <x:v>Receipt is append-only, allocated once to the correct rent charge, and visible consistently in Unit, Lease, Tenant Account, Accounting, and portal views.</x:v>
      </x:c>
      <x:c r="N850" s="35" t="str">
        <x:v>Scan review or form; success result; exact ledger rows; payment detail; accounting delta; portal receipt.</x:v>
      </x:c>
      <x:c r="O850" s="35" t="str">
        <x:v>Retry the idempotency key once during the quarter assigned in the coverage matrix; no duplicate cash or allocation.</x:v>
      </x:c>
      <x:c r="P850" s="35" t="str">
        <x:v>All expected records and amounts match; no unexplained error or stale state.</x:v>
      </x:c>
    </x:row>
    <x:row r="851">
      <x:c r="A851" s="20" t="str">
        <x:v>RUN-20270604-04</x:v>
      </x:c>
      <x:c r="B851" s="23" t="n">
        <x:v>46542</x:v>
      </x:c>
      <x:c r="C851" s="32" t="n">
        <x:v>4</x:v>
      </x:c>
      <x:c r="D851" s="20" t="str">
        <x:v>Monthly operations</x:v>
      </x:c>
      <x:c r="E851" s="20" t="str">
        <x:v>Property Manager</x:v>
      </x:c>
      <x:c r="F851" s="20" t="str">
        <x:v>Web</x:v>
      </x:c>
      <x:c r="G851" s="20" t="str">
        <x:v>Manual ACH</x:v>
      </x:c>
      <x:c r="H851" s="35" t="str">
        <x:v>Post and allocate tenant receipt</x:v>
      </x:c>
      <x:c r="I851" s="35" t="str">
        <x:v>P010; U010; L010</x:v>
      </x:c>
      <x:c r="J851" s="35" t="str"/>
      <x:c r="K851" s="35" t="str">
        <x:v>FIN-00437; FIN-00438</x:v>
      </x:c>
      <x:c r="L851" s="35" t="str">
        <x:v>Open Scan for paper payment or the tenant-account receipt form for electronic payment; verify tenant/lease match, amount, date, method, and reference; confirm once; open ledger detail and allocation.</x:v>
      </x:c>
      <x:c r="M851" s="35" t="str">
        <x:v>Receipt is append-only, allocated once to the correct rent charge, and visible consistently in Unit, Lease, Tenant Account, Accounting, and portal views.</x:v>
      </x:c>
      <x:c r="N851" s="35" t="str">
        <x:v>Scan review or form; success result; exact ledger rows; payment detail; accounting delta; portal receipt.</x:v>
      </x:c>
      <x:c r="O851" s="35" t="str">
        <x:v>Retry the idempotency key once during the quarter assigned in the coverage matrix; no duplicate cash or allocation.</x:v>
      </x:c>
      <x:c r="P851" s="35" t="str">
        <x:v>All expected records and amounts match; no unexplained error or stale state.</x:v>
      </x:c>
    </x:row>
    <x:row r="852">
      <x:c r="A852" s="20" t="str">
        <x:v>RUN-20270604-05</x:v>
      </x:c>
      <x:c r="B852" s="23" t="n">
        <x:v>46542</x:v>
      </x:c>
      <x:c r="C852" s="32" t="n">
        <x:v>5</x:v>
      </x:c>
      <x:c r="D852" s="20" t="str">
        <x:v>Monthly operations</x:v>
      </x:c>
      <x:c r="E852" s="20" t="str">
        <x:v>Property Manager</x:v>
      </x:c>
      <x:c r="F852" s="20" t="str">
        <x:v>Web</x:v>
      </x:c>
      <x:c r="G852" s="20" t="str">
        <x:v>Scanned check</x:v>
      </x:c>
      <x:c r="H852" s="35" t="str">
        <x:v>Post and allocate tenant receipt</x:v>
      </x:c>
      <x:c r="I852" s="35" t="str">
        <x:v>P016; U016; L016</x:v>
      </x:c>
      <x:c r="J852" s="35" t="str">
        <x:v>SCN-0200</x:v>
      </x:c>
      <x:c r="K852" s="35" t="str">
        <x:v>FIN-00450; FIN-00451</x:v>
      </x:c>
      <x:c r="L852" s="35" t="str">
        <x:v>Open Scan for paper payment or the tenant-account receipt form for electronic payment; verify tenant/lease match, amount, date, method, and reference; confirm once; open ledger detail and allocation.</x:v>
      </x:c>
      <x:c r="M852" s="35" t="str">
        <x:v>Receipt is append-only, allocated once to the correct rent charge, and visible consistently in Unit, Lease, Tenant Account, Accounting, and portal views.</x:v>
      </x:c>
      <x:c r="N852" s="35" t="str">
        <x:v>Scan review or form; success result; exact ledger rows; payment detail; accounting delta; portal receipt.</x:v>
      </x:c>
      <x:c r="O852" s="35" t="str">
        <x:v>Retry the idempotency key once during the quarter assigned in the coverage matrix; no duplicate cash or allocation.</x:v>
      </x:c>
      <x:c r="P852" s="35" t="str">
        <x:v>All expected records and amounts match; no unexplained error or stale state.</x:v>
      </x:c>
    </x:row>
    <x:row r="853">
      <x:c r="A853" s="20" t="str">
        <x:v>RUN-20270604-06</x:v>
      </x:c>
      <x:c r="B853" s="23" t="n">
        <x:v>46542</x:v>
      </x:c>
      <x:c r="C853" s="32" t="n">
        <x:v>6</x:v>
      </x:c>
      <x:c r="D853" s="20" t="str">
        <x:v>Monthly operations</x:v>
      </x:c>
      <x:c r="E853" s="20" t="str">
        <x:v>Property Manager</x:v>
      </x:c>
      <x:c r="F853" s="20" t="str">
        <x:v>Mobile</x:v>
      </x:c>
      <x:c r="G853" s="20" t="str">
        <x:v>Portal card</x:v>
      </x:c>
      <x:c r="H853" s="35" t="str">
        <x:v>Post and allocate tenant receipt</x:v>
      </x:c>
      <x:c r="I853" s="35" t="str">
        <x:v>P019; U019; L019</x:v>
      </x:c>
      <x:c r="J853" s="35" t="str"/>
      <x:c r="K853" s="35" t="str">
        <x:v>FIN-00456; FIN-00457</x:v>
      </x:c>
      <x:c r="L853" s="35" t="str">
        <x:v>Open Scan for paper payment or the tenant-account receipt form for electronic payment; verify tenant/lease match, amount, date, method, and reference; confirm once; open ledger detail and allocation.</x:v>
      </x:c>
      <x:c r="M853" s="35" t="str">
        <x:v>Receipt is append-only, allocated once to the correct rent charge, and visible consistently in Unit, Lease, Tenant Account, Accounting, and portal views.</x:v>
      </x:c>
      <x:c r="N853" s="35" t="str">
        <x:v>Scan review or form; success result; exact ledger rows; payment detail; accounting delta; portal receipt.</x:v>
      </x:c>
      <x:c r="O853" s="35" t="str">
        <x:v>Retry the idempotency key once during the quarter assigned in the coverage matrix; no duplicate cash or allocation.</x:v>
      </x:c>
      <x:c r="P853" s="35" t="str">
        <x:v>All expected records and amounts match; no unexplained error or stale state.</x:v>
      </x:c>
    </x:row>
    <x:row r="854">
      <x:c r="A854" s="20" t="str">
        <x:v>RUN-20270604-07</x:v>
      </x:c>
      <x:c r="B854" s="23" t="n">
        <x:v>46542</x:v>
      </x:c>
      <x:c r="C854" s="32" t="n">
        <x:v>7</x:v>
      </x:c>
      <x:c r="D854" s="20" t="str">
        <x:v>Monthly operations</x:v>
      </x:c>
      <x:c r="E854" s="20" t="str">
        <x:v>Property Manager</x:v>
      </x:c>
      <x:c r="F854" s="20" t="str">
        <x:v>Mobile</x:v>
      </x:c>
      <x:c r="G854" s="20" t="str">
        <x:v>Scanned money order</x:v>
      </x:c>
      <x:c r="H854" s="35" t="str">
        <x:v>Post and allocate tenant receipt</x:v>
      </x:c>
      <x:c r="I854" s="35" t="str">
        <x:v>P023; U025; L025</x:v>
      </x:c>
      <x:c r="J854" s="35" t="str">
        <x:v>SCN-0206</x:v>
      </x:c>
      <x:c r="K854" s="35" t="str">
        <x:v>FIN-00470; FIN-00471</x:v>
      </x:c>
      <x:c r="L854" s="35" t="str">
        <x:v>Open Scan for paper payment or the tenant-account receipt form for electronic payment; verify tenant/lease match, amount, date, method, and reference; confirm once; open ledger detail and allocation.</x:v>
      </x:c>
      <x:c r="M854" s="35" t="str">
        <x:v>Receipt is append-only, allocated once to the correct rent charge, and visible consistently in Unit, Lease, Tenant Account, Accounting, and portal views.</x:v>
      </x:c>
      <x:c r="N854" s="35" t="str">
        <x:v>Scan review or form; success result; exact ledger rows; payment detail; accounting delta; portal receipt.</x:v>
      </x:c>
      <x:c r="O854" s="35" t="str">
        <x:v>Retry the idempotency key once during the quarter assigned in the coverage matrix; no duplicate cash or allocation.</x:v>
      </x:c>
      <x:c r="P854" s="35" t="str">
        <x:v>All expected records and amounts match; no unexplained error or stale state.</x:v>
      </x:c>
    </x:row>
    <x:row r="855">
      <x:c r="A855" s="20" t="str">
        <x:v>RUN-20270604-08</x:v>
      </x:c>
      <x:c r="B855" s="23" t="n">
        <x:v>46542</x:v>
      </x:c>
      <x:c r="C855" s="32" t="n">
        <x:v>8</x:v>
      </x:c>
      <x:c r="D855" s="20" t="str">
        <x:v>Monthly operations</x:v>
      </x:c>
      <x:c r="E855" s="20" t="str">
        <x:v>Property Manager</x:v>
      </x:c>
      <x:c r="F855" s="20" t="str">
        <x:v>Web</x:v>
      </x:c>
      <x:c r="G855" s="20" t="str">
        <x:v>Scanned check</x:v>
      </x:c>
      <x:c r="H855" s="35" t="str">
        <x:v>Post and allocate tenant receipt</x:v>
      </x:c>
      <x:c r="I855" s="35" t="str">
        <x:v>P024; U028; L028</x:v>
      </x:c>
      <x:c r="J855" s="35" t="str">
        <x:v>SCN-0208</x:v>
      </x:c>
      <x:c r="K855" s="35" t="str">
        <x:v>FIN-00477; FIN-00478</x:v>
      </x:c>
      <x:c r="L855" s="35" t="str">
        <x:v>Open Scan for paper payment or the tenant-account receipt form for electronic payment; verify tenant/lease match, amount, date, method, and reference; confirm once; open ledger detail and allocation.</x:v>
      </x:c>
      <x:c r="M855" s="35" t="str">
        <x:v>Receipt is append-only, allocated once to the correct rent charge, and visible consistently in Unit, Lease, Tenant Account, Accounting, and portal views.</x:v>
      </x:c>
      <x:c r="N855" s="35" t="str">
        <x:v>Scan review or form; success result; exact ledger rows; payment detail; accounting delta; portal receipt.</x:v>
      </x:c>
      <x:c r="O855" s="35" t="str">
        <x:v>Retry the idempotency key once during the quarter assigned in the coverage matrix; no duplicate cash or allocation.</x:v>
      </x:c>
      <x:c r="P855" s="35" t="str">
        <x:v>All expected records and amounts match; no unexplained error or stale state.</x:v>
      </x:c>
    </x:row>
    <x:row r="856">
      <x:c r="A856" s="20" t="str">
        <x:v>RUN-20270604-09</x:v>
      </x:c>
      <x:c r="B856" s="23" t="n">
        <x:v>46542</x:v>
      </x:c>
      <x:c r="C856" s="32" t="n">
        <x:v>9</x:v>
      </x:c>
      <x:c r="D856" s="20" t="str">
        <x:v>Monthly operations</x:v>
      </x:c>
      <x:c r="E856" s="20" t="str">
        <x:v>Property Manager</x:v>
      </x:c>
      <x:c r="F856" s="20" t="str">
        <x:v>Mobile</x:v>
      </x:c>
      <x:c r="G856" s="20" t="str">
        <x:v>Portal card</x:v>
      </x:c>
      <x:c r="H856" s="35" t="str">
        <x:v>Post and allocate tenant receipt</x:v>
      </x:c>
      <x:c r="I856" s="35" t="str">
        <x:v>P026; U031; L031</x:v>
      </x:c>
      <x:c r="J856" s="35" t="str"/>
      <x:c r="K856" s="35" t="str">
        <x:v>FIN-00483; FIN-00484</x:v>
      </x:c>
      <x:c r="L856" s="35" t="str">
        <x:v>Open Scan for paper payment or the tenant-account receipt form for electronic payment; verify tenant/lease match, amount, date, method, and reference; confirm once; open ledger detail and allocation.</x:v>
      </x:c>
      <x:c r="M856" s="35" t="str">
        <x:v>Receipt is append-only, allocated once to the correct rent charge, and visible consistently in Unit, Lease, Tenant Account, Accounting, and portal views.</x:v>
      </x:c>
      <x:c r="N856" s="35" t="str">
        <x:v>Scan review or form; success result; exact ledger rows; payment detail; accounting delta; portal receipt.</x:v>
      </x:c>
      <x:c r="O856" s="35" t="str">
        <x:v>Retry the idempotency key once during the quarter assigned in the coverage matrix; no duplicate cash or allocation.</x:v>
      </x:c>
      <x:c r="P856" s="35" t="str">
        <x:v>All expected records and amounts match; no unexplained error or stale state.</x:v>
      </x:c>
    </x:row>
    <x:row r="857">
      <x:c r="A857" s="20" t="str">
        <x:v>RUN-20270604-10</x:v>
      </x:c>
      <x:c r="B857" s="23" t="n">
        <x:v>46542</x:v>
      </x:c>
      <x:c r="C857" s="32" t="n">
        <x:v>10</x:v>
      </x:c>
      <x:c r="D857" s="20" t="str">
        <x:v>Monthly operations</x:v>
      </x:c>
      <x:c r="E857" s="20" t="str">
        <x:v>Property Manager</x:v>
      </x:c>
      <x:c r="F857" s="20" t="str">
        <x:v>Web</x:v>
      </x:c>
      <x:c r="G857" s="20" t="str">
        <x:v>Manual ACH</x:v>
      </x:c>
      <x:c r="H857" s="35" t="str">
        <x:v>Post and allocate tenant receipt</x:v>
      </x:c>
      <x:c r="I857" s="35" t="str">
        <x:v>P027; U034; L034</x:v>
      </x:c>
      <x:c r="J857" s="35" t="str"/>
      <x:c r="K857" s="35" t="str">
        <x:v>FIN-00491; FIN-00492</x:v>
      </x:c>
      <x:c r="L857" s="35" t="str">
        <x:v>Open Scan for paper payment or the tenant-account receipt form for electronic payment; verify tenant/lease match, amount, date, method, and reference; confirm once; open ledger detail and allocation.</x:v>
      </x:c>
      <x:c r="M857" s="35" t="str">
        <x:v>Receipt is append-only, allocated once to the correct rent charge, and visible consistently in Unit, Lease, Tenant Account, Accounting, and portal views.</x:v>
      </x:c>
      <x:c r="N857" s="35" t="str">
        <x:v>Scan review or form; success result; exact ledger rows; payment detail; accounting delta; portal receipt.</x:v>
      </x:c>
      <x:c r="O857" s="35" t="str">
        <x:v>Retry the idempotency key once during the quarter assigned in the coverage matrix; no duplicate cash or allocation.</x:v>
      </x:c>
      <x:c r="P857" s="35" t="str">
        <x:v>All expected records and amounts match; no unexplained error or stale state.</x:v>
      </x:c>
    </x:row>
    <x:row r="858">
      <x:c r="A858" s="20" t="str">
        <x:v>RUN-20270604-11</x:v>
      </x:c>
      <x:c r="B858" s="23" t="n">
        <x:v>46542</x:v>
      </x:c>
      <x:c r="C858" s="32" t="n">
        <x:v>11</x:v>
      </x:c>
      <x:c r="D858" s="20" t="str">
        <x:v>Monthly operations</x:v>
      </x:c>
      <x:c r="E858" s="20" t="str">
        <x:v>Property Manager</x:v>
      </x:c>
      <x:c r="F858" s="20" t="str">
        <x:v>Mobile</x:v>
      </x:c>
      <x:c r="G858" s="20" t="str">
        <x:v>Scanned money order</x:v>
      </x:c>
      <x:c r="H858" s="35" t="str">
        <x:v>Post and allocate tenant receipt</x:v>
      </x:c>
      <x:c r="I858" s="35" t="str">
        <x:v>P005; U005; L037</x:v>
      </x:c>
      <x:c r="J858" s="35" t="str">
        <x:v>SCN-0213</x:v>
      </x:c>
      <x:c r="K858" s="35" t="str">
        <x:v>FIN-00497; FIN-00498</x:v>
      </x:c>
      <x:c r="L858" s="35" t="str">
        <x:v>Open Scan for paper payment or the tenant-account receipt form for electronic payment; verify tenant/lease match, amount, date, method, and reference; confirm once; open ledger detail and allocation.</x:v>
      </x:c>
      <x:c r="M858" s="35" t="str">
        <x:v>Receipt is append-only, allocated once to the correct rent charge, and visible consistently in Unit, Lease, Tenant Account, Accounting, and portal views.</x:v>
      </x:c>
      <x:c r="N858" s="35" t="str">
        <x:v>Scan review or form; success result; exact ledger rows; payment detail; accounting delta; portal receipt.</x:v>
      </x:c>
      <x:c r="O858" s="35" t="str">
        <x:v>Retry the idempotency key once during the quarter assigned in the coverage matrix; no duplicate cash or allocation.</x:v>
      </x:c>
      <x:c r="P858" s="35" t="str">
        <x:v>All expected records and amounts match; no unexplained error or stale state.</x:v>
      </x:c>
    </x:row>
    <x:row r="859">
      <x:c r="A859" s="20" t="str">
        <x:v>RUN-20270604-12</x:v>
      </x:c>
      <x:c r="B859" s="23" t="n">
        <x:v>46542</x:v>
      </x:c>
      <x:c r="C859" s="32" t="n">
        <x:v>12</x:v>
      </x:c>
      <x:c r="D859" s="20" t="str">
        <x:v>Monthly operations</x:v>
      </x:c>
      <x:c r="E859" s="20" t="str">
        <x:v>Property Manager</x:v>
      </x:c>
      <x:c r="F859" s="20" t="str">
        <x:v>Mobile</x:v>
      </x:c>
      <x:c r="G859" s="20" t="str">
        <x:v>Portal card</x:v>
      </x:c>
      <x:c r="H859" s="35" t="str">
        <x:v>Post and allocate tenant receipt</x:v>
      </x:c>
      <x:c r="I859" s="35" t="str">
        <x:v>P029; U037; L043</x:v>
      </x:c>
      <x:c r="J859" s="35" t="str"/>
      <x:c r="K859" s="35" t="str">
        <x:v>FIN-00499; FIN-00500</x:v>
      </x:c>
      <x:c r="L859" s="35" t="str">
        <x:v>Open Scan for paper payment or the tenant-account receipt form for electronic payment; verify tenant/lease match, amount, date, method, and reference; confirm once; open ledger detail and allocation.</x:v>
      </x:c>
      <x:c r="M859" s="35" t="str">
        <x:v>Receipt is append-only, allocated once to the correct rent charge, and visible consistently in Unit, Lease, Tenant Account, Accounting, and portal views.</x:v>
      </x:c>
      <x:c r="N859" s="35" t="str">
        <x:v>Scan review or form; success result; exact ledger rows; payment detail; accounting delta; portal receipt.</x:v>
      </x:c>
      <x:c r="O859" s="35" t="str">
        <x:v>Retry the idempotency key once during the quarter assigned in the coverage matrix; no duplicate cash or allocation.</x:v>
      </x:c>
      <x:c r="P859" s="35" t="str">
        <x:v>All expected records and amounts match; no unexplained error or stale state.</x:v>
      </x:c>
    </x:row>
    <x:row r="860">
      <x:c r="A860" s="20" t="str">
        <x:v>RUN-20270604-13</x:v>
      </x:c>
      <x:c r="B860" s="23" t="n">
        <x:v>46542</x:v>
      </x:c>
      <x:c r="C860" s="32" t="n">
        <x:v>13</x:v>
      </x:c>
      <x:c r="D860" s="20" t="str">
        <x:v>Role and screen certification</x:v>
      </x:c>
      <x:c r="E860" s="20" t="str">
        <x:v>Workspace Administrator</x:v>
      </x:c>
      <x:c r="F860" s="20" t="str">
        <x:v>Web</x:v>
      </x:c>
      <x:c r="G860" s="20" t="str">
        <x:v>Normal persona navigation</x:v>
      </x:c>
      <x:c r="H860" s="35" t="str">
        <x:v>Use every permitted action and state on /tenants</x:v>
      </x:c>
      <x:c r="I860" s="35" t="str">
        <x:v>SCR-080; ROLE-140</x:v>
      </x:c>
      <x:c r="J860" s="35" t="str"/>
      <x:c r="K860" s="35" t="str"/>
      <x:c r="L86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60" s="35" t="str">
        <x:v>The persona can use every allowed action with only its assigned properties/relationships. Hidden or disabled actions explain why; an adjacent unauthorized persona is denied without metadata leakage.</x:v>
      </x:c>
      <x:c r="N860" s="35" t="str">
        <x:v>Persona/experience; navigation entry; desktop or device screenshots; result state; persisted read-back; audit/history; authorized and denied network result.</x:v>
      </x:c>
      <x:c r="O860" s="35" t="str">
        <x:v>Open the direct URL or deep link with an adjacent unauthorized persona and with stale scope; both fail closed and land safely without mutation.</x:v>
      </x:c>
      <x:c r="P860" s="35" t="str">
        <x:v>All expected records and amounts match; no unexplained error or stale state.</x:v>
      </x:c>
    </x:row>
    <x:row r="861">
      <x:c r="A861" s="20" t="str">
        <x:v>RUN-20270604-14</x:v>
      </x:c>
      <x:c r="B861" s="23" t="n">
        <x:v>46542</x:v>
      </x:c>
      <x:c r="C861" s="32" t="n">
        <x:v>14</x:v>
      </x:c>
      <x:c r="D861" s="20" t="str">
        <x:v>Role and screen certification</x:v>
      </x:c>
      <x:c r="E861" s="20" t="str">
        <x:v>Property Manager</x:v>
      </x:c>
      <x:c r="F861" s="20" t="str">
        <x:v>Web</x:v>
      </x:c>
      <x:c r="G861" s="20" t="str">
        <x:v>Normal persona navigation</x:v>
      </x:c>
      <x:c r="H861" s="35" t="str">
        <x:v>Use every permitted action and state on /tenants</x:v>
      </x:c>
      <x:c r="I861" s="35" t="str">
        <x:v>SCR-080; ROLE-141</x:v>
      </x:c>
      <x:c r="J861" s="35" t="str"/>
      <x:c r="K861" s="35" t="str"/>
      <x:c r="L86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61" s="35" t="str">
        <x:v>The persona can use every allowed action with only its assigned properties/relationships. Hidden or disabled actions explain why; an adjacent unauthorized persona is denied without metadata leakage.</x:v>
      </x:c>
      <x:c r="N861" s="35" t="str">
        <x:v>Persona/experience; navigation entry; desktop or device screenshots; result state; persisted read-back; audit/history; authorized and denied network result.</x:v>
      </x:c>
      <x:c r="O861" s="35" t="str">
        <x:v>Open the direct URL or deep link with an adjacent unauthorized persona and with stale scope; both fail closed and land safely without mutation.</x:v>
      </x:c>
      <x:c r="P861" s="35" t="str">
        <x:v>All expected records and amounts match; no unexplained error or stale state.</x:v>
      </x:c>
    </x:row>
    <x:row r="862">
      <x:c r="A862" s="20" t="str">
        <x:v>RUN-20270604-15</x:v>
      </x:c>
      <x:c r="B862" s="23" t="n">
        <x:v>46542</x:v>
      </x:c>
      <x:c r="C862" s="32" t="n">
        <x:v>15</x:v>
      </x:c>
      <x:c r="D862" s="20" t="str">
        <x:v>Field certification</x:v>
      </x:c>
      <x:c r="E862" s="20" t="str">
        <x:v>Property Manager</x:v>
      </x:c>
      <x:c r="F862" s="20" t="str">
        <x:v>Web</x:v>
      </x:c>
      <x:c r="G862" s="20" t="str">
        <x:v>Manual field-by-field</x:v>
      </x:c>
      <x:c r="H862" s="35" t="str">
        <x:v>Fill, save, reload, edit, and validate every declared field on /deposits/[id]</x:v>
      </x:c>
      <x:c r="I862" s="35" t="str">
        <x:v>FLD-0430; FLD-0431; FLD-0432; FLD-0433</x:v>
      </x:c>
      <x:c r="J862" s="35" t="str"/>
      <x:c r="K862" s="35" t="str"/>
      <x:c r="L862" s="35" t="str">
        <x:v>Use the source-derived Field Inventory. Enter non-default realistic values in every control (fundEffectiveOn; fundPaymentMethod; fundDescription; fundReference); submit; reload or relaunch; compare every value; edit each mutable field; verify the paired client; then run required, format, length, range, boundary, optional-null, and stale-submit checks.</x:v>
      </x:c>
      <x:c r="M862" s="35" t="str">
        <x:v>All 4 inventoried controls persist exact normalized values, invalid values stay unsaved with clear errors, and hidden/unauthorized fields cannot be altered.</x:v>
      </x:c>
      <x:c r="N862" s="35" t="str">
        <x:v>Before/after form screenshots; FLD IDs; API response; reloaded UI; paired-client read-back; database/audit evidence; negative validation result.</x:v>
      </x:c>
      <x:c r="O862" s="35" t="str">
        <x:v>Use a duplicate submit and one simulated network interruption; one atomic mutation or none, never partial state.</x:v>
      </x:c>
      <x:c r="P862" s="35" t="str">
        <x:v>All expected records and amounts match; no unexplained error or stale state.</x:v>
      </x:c>
    </x:row>
    <x:row r="863">
      <x:c r="A863" s="20" t="str">
        <x:v>RUN-20270604-16</x:v>
      </x:c>
      <x:c r="B863" s="23" t="n">
        <x:v>46542</x:v>
      </x:c>
      <x:c r="C863" s="32" t="n">
        <x:v>16</x:v>
      </x:c>
      <x:c r="D863" s="20" t="str">
        <x:v>Notification certification</x:v>
      </x:c>
      <x:c r="E863" s="20" t="str">
        <x:v>Tenant + Property Manager</x:v>
      </x:c>
      <x:c r="F863" s="20" t="str">
        <x:v>Web + Mobile</x:v>
      </x:c>
      <x:c r="G863" s="20" t="str">
        <x:v>System event + preference/manual verification</x:v>
      </x:c>
      <x:c r="H863" s="35" t="str">
        <x:v>Trigger and prove notification: Lease finalized</x:v>
      </x:c>
      <x:c r="I863" s="35" t="str">
        <x:v>NTF-020</x:v>
      </x:c>
      <x:c r="J863" s="35" t="str"/>
      <x:c r="K863" s="35" t="str"/>
      <x:c r="L863" s="35" t="str">
        <x:v>Set each recipient's preferences; trigger the real business event; inspect routing and recipient scope; verify unread badge, list item, safe preview, downloadable lease deep link, mark-read sync, configured channel outcome, provider failure/retry, and duplicate suppression.</x:v>
      </x:c>
      <x:c r="M863" s="35" t="str">
        <x:v>Exactly the intended recipients receive one correctly routed notification; disabled optional channels stay silent; deep link opens authorized context; read state synchronizes.</x:v>
      </x:c>
      <x:c r="N863" s="35" t="str">
        <x:v>Trigger record; routing decision; outbox/delivery status; web/mobile inbox; lock-screen-safe copy; deep-link target; audit/provider retry evidence.</x:v>
      </x:c>
      <x:c r="O863" s="35" t="str">
        <x:v>Re-run the worker and deliver a duplicate provider callback; no duplicate user-visible event. Attempt the deep link as an unauthorized adjacent role.</x:v>
      </x:c>
      <x:c r="P863" s="35" t="str">
        <x:v>All expected records and amounts match; no unexplained error or stale state.</x:v>
      </x:c>
    </x:row>
    <x:row r="864">
      <x:c r="A864" s="20" t="str">
        <x:v>RUN-20270604-17</x:v>
      </x:c>
      <x:c r="B864" s="23" t="n">
        <x:v>46542</x:v>
      </x:c>
      <x:c r="C864" s="32" t="n">
        <x:v>17</x:v>
      </x:c>
      <x:c r="D864" s="20" t="str">
        <x:v>Surface coverage</x:v>
      </x:c>
      <x:c r="E864" s="20" t="str">
        <x:v>Role appropriate to surface</x:v>
      </x:c>
      <x:c r="F864" s="20" t="str">
        <x:v>Mobile</x:v>
      </x:c>
      <x:c r="G864" s="20" t="str">
        <x:v>Scan/attachment</x:v>
      </x:c>
      <x:c r="H864" s="35" t="str">
        <x:v>Scan mobile pass: Security deposit register/disposition</x:v>
      </x:c>
      <x:c r="I864" s="35" t="str">
        <x:v>COV-019</x:v>
      </x:c>
      <x:c r="J864" s="35" t="str"/>
      <x:c r="K864" s="35" t="str"/>
      <x:c r="L864" s="35" t="str">
        <x:v>Collect, hold, apply, transfer, refund, and reconcile trust cash/liability without treating it as income.</x:v>
      </x:c>
      <x:c r="M864" s="35" t="str">
        <x:v>The supported workflow completes and persists correctly; if the capability is absent, the exact gap is proven and queued rather than silently skipped.</x:v>
      </x:c>
      <x:c r="N864" s="35" t="str">
        <x:v>Real UI screenshot/state; submitted values; persisted read-back; cross-client read-back; audit/role/access evidence.</x:v>
      </x:c>
      <x:c r="O864" s="35" t="str">
        <x:v>Use one invalid value, stale-state retry, or duplicate submission relevant to the form; no partial or duplicate mutation.</x:v>
      </x:c>
      <x:c r="P864" s="35" t="str">
        <x:v>All expected records and amounts match; no unexplained error or stale state.</x:v>
      </x:c>
    </x:row>
    <x:row r="865">
      <x:c r="A865" s="20" t="str">
        <x:v>RUN-20270605-01</x:v>
      </x:c>
      <x:c r="B865" s="23" t="n">
        <x:v>46543</x:v>
      </x:c>
      <x:c r="C865" s="32" t="n">
        <x:v>1</x:v>
      </x:c>
      <x:c r="D865" s="20" t="str">
        <x:v>Monthly operations</x:v>
      </x:c>
      <x:c r="E865" s="20" t="str">
        <x:v>Property Manager</x:v>
      </x:c>
      <x:c r="F865" s="20" t="str">
        <x:v>Web</x:v>
      </x:c>
      <x:c r="G865" s="20" t="str">
        <x:v>Manual ACH</x:v>
      </x:c>
      <x:c r="H865" s="35" t="str">
        <x:v>Post and allocate tenant receipt</x:v>
      </x:c>
      <x:c r="I865" s="35" t="str">
        <x:v>P002; U002; L002</x:v>
      </x:c>
      <x:c r="J865" s="35" t="str"/>
      <x:c r="K865" s="35" t="str">
        <x:v>FIN-00423; FIN-00424</x:v>
      </x:c>
      <x:c r="L865" s="35" t="str">
        <x:v>Open Scan for paper payment or the tenant-account receipt form for electronic payment; verify tenant/lease match, amount, date, method, and reference; confirm once; open ledger detail and allocation.</x:v>
      </x:c>
      <x:c r="M865" s="35" t="str">
        <x:v>Receipt is append-only, allocated once to the correct rent charge, and visible consistently in Unit, Lease, Tenant Account, Accounting, and portal views.</x:v>
      </x:c>
      <x:c r="N865" s="35" t="str">
        <x:v>Scan review or form; success result; exact ledger rows; payment detail; accounting delta; portal receipt.</x:v>
      </x:c>
      <x:c r="O865" s="35" t="str">
        <x:v>Retry the idempotency key once during the quarter assigned in the coverage matrix; no duplicate cash or allocation.</x:v>
      </x:c>
      <x:c r="P865" s="35" t="str">
        <x:v>All expected records and amounts match; no unexplained error or stale state.</x:v>
      </x:c>
    </x:row>
    <x:row r="866">
      <x:c r="A866" s="20" t="str">
        <x:v>RUN-20270605-02</x:v>
      </x:c>
      <x:c r="B866" s="23" t="n">
        <x:v>46543</x:v>
      </x:c>
      <x:c r="C866" s="32" t="n">
        <x:v>2</x:v>
      </x:c>
      <x:c r="D866" s="20" t="str">
        <x:v>Monthly operations</x:v>
      </x:c>
      <x:c r="E866" s="20" t="str">
        <x:v>Property Manager</x:v>
      </x:c>
      <x:c r="F866" s="20" t="str">
        <x:v>Web</x:v>
      </x:c>
      <x:c r="G866" s="20" t="str">
        <x:v>Scanned check</x:v>
      </x:c>
      <x:c r="H866" s="35" t="str">
        <x:v>Post and allocate tenant receipt</x:v>
      </x:c>
      <x:c r="I866" s="35" t="str">
        <x:v>P008; U008; L008</x:v>
      </x:c>
      <x:c r="J866" s="35" t="str">
        <x:v>SCN-0195</x:v>
      </x:c>
      <x:c r="K866" s="35" t="str">
        <x:v>FIN-00433; FIN-00434</x:v>
      </x:c>
      <x:c r="L866" s="35" t="str">
        <x:v>Open Scan for paper payment or the tenant-account receipt form for electronic payment; verify tenant/lease match, amount, date, method, and reference; confirm once; open ledger detail and allocation.</x:v>
      </x:c>
      <x:c r="M866" s="35" t="str">
        <x:v>Receipt is append-only, allocated once to the correct rent charge, and visible consistently in Unit, Lease, Tenant Account, Accounting, and portal views.</x:v>
      </x:c>
      <x:c r="N866" s="35" t="str">
        <x:v>Scan review or form; success result; exact ledger rows; payment detail; accounting delta; portal receipt.</x:v>
      </x:c>
      <x:c r="O866" s="35" t="str">
        <x:v>Retry the idempotency key once during the quarter assigned in the coverage matrix; no duplicate cash or allocation.</x:v>
      </x:c>
      <x:c r="P866" s="35" t="str">
        <x:v>All expected records and amounts match; no unexplained error or stale state.</x:v>
      </x:c>
    </x:row>
    <x:row r="867">
      <x:c r="A867" s="20" t="str">
        <x:v>RUN-20270605-03</x:v>
      </x:c>
      <x:c r="B867" s="23" t="n">
        <x:v>46543</x:v>
      </x:c>
      <x:c r="C867" s="32" t="n">
        <x:v>3</x:v>
      </x:c>
      <x:c r="D867" s="20" t="str">
        <x:v>Monthly operations</x:v>
      </x:c>
      <x:c r="E867" s="20" t="str">
        <x:v>Property Manager</x:v>
      </x:c>
      <x:c r="F867" s="20" t="str">
        <x:v>Web</x:v>
      </x:c>
      <x:c r="G867" s="20" t="str">
        <x:v>Scanned check</x:v>
      </x:c>
      <x:c r="H867" s="35" t="str">
        <x:v>Post and allocate tenant receipt</x:v>
      </x:c>
      <x:c r="I867" s="35" t="str">
        <x:v>P020; U020; L020</x:v>
      </x:c>
      <x:c r="J867" s="35" t="str">
        <x:v>SCN-0202</x:v>
      </x:c>
      <x:c r="K867" s="35" t="str">
        <x:v>FIN-00458; FIN-00459</x:v>
      </x:c>
      <x:c r="L867" s="35" t="str">
        <x:v>Open Scan for paper payment or the tenant-account receipt form for electronic payment; verify tenant/lease match, amount, date, method, and reference; confirm once; open ledger detail and allocation.</x:v>
      </x:c>
      <x:c r="M867" s="35" t="str">
        <x:v>Receipt is append-only, allocated once to the correct rent charge, and visible consistently in Unit, Lease, Tenant Account, Accounting, and portal views.</x:v>
      </x:c>
      <x:c r="N867" s="35" t="str">
        <x:v>Scan review or form; success result; exact ledger rows; payment detail; accounting delta; portal receipt.</x:v>
      </x:c>
      <x:c r="O867" s="35" t="str">
        <x:v>Retry the idempotency key once during the quarter assigned in the coverage matrix; no duplicate cash or allocation.</x:v>
      </x:c>
      <x:c r="P867" s="35" t="str">
        <x:v>All expected records and amounts match; no unexplained error or stale state.</x:v>
      </x:c>
    </x:row>
    <x:row r="868">
      <x:c r="A868" s="20" t="str">
        <x:v>RUN-20270605-04</x:v>
      </x:c>
      <x:c r="B868" s="23" t="n">
        <x:v>46543</x:v>
      </x:c>
      <x:c r="C868" s="32" t="n">
        <x:v>4</x:v>
      </x:c>
      <x:c r="D868" s="20" t="str">
        <x:v>Monthly operations</x:v>
      </x:c>
      <x:c r="E868" s="20" t="str">
        <x:v>Property Manager</x:v>
      </x:c>
      <x:c r="F868" s="20" t="str">
        <x:v>Mobile</x:v>
      </x:c>
      <x:c r="G868" s="20" t="str">
        <x:v>Portal card</x:v>
      </x:c>
      <x:c r="H868" s="35" t="str">
        <x:v>Post and allocate tenant receipt</x:v>
      </x:c>
      <x:c r="I868" s="35" t="str">
        <x:v>P022; U023; L023</x:v>
      </x:c>
      <x:c r="J868" s="35" t="str"/>
      <x:c r="K868" s="35" t="str">
        <x:v>FIN-00466; FIN-00467</x:v>
      </x:c>
      <x:c r="L868" s="35" t="str">
        <x:v>Open Scan for paper payment or the tenant-account receipt form for electronic payment; verify tenant/lease match, amount, date, method, and reference; confirm once; open ledger detail and allocation.</x:v>
      </x:c>
      <x:c r="M868" s="35" t="str">
        <x:v>Receipt is append-only, allocated once to the correct rent charge, and visible consistently in Unit, Lease, Tenant Account, Accounting, and portal views.</x:v>
      </x:c>
      <x:c r="N868" s="35" t="str">
        <x:v>Scan review or form; success result; exact ledger rows; payment detail; accounting delta; portal receipt.</x:v>
      </x:c>
      <x:c r="O868" s="35" t="str">
        <x:v>Retry the idempotency key once during the quarter assigned in the coverage matrix; no duplicate cash or allocation.</x:v>
      </x:c>
      <x:c r="P868" s="35" t="str">
        <x:v>All expected records and amounts match; no unexplained error or stale state.</x:v>
      </x:c>
    </x:row>
    <x:row r="869">
      <x:c r="A869" s="20" t="str">
        <x:v>RUN-20270605-05</x:v>
      </x:c>
      <x:c r="B869" s="23" t="n">
        <x:v>46543</x:v>
      </x:c>
      <x:c r="C869" s="32" t="n">
        <x:v>5</x:v>
      </x:c>
      <x:c r="D869" s="20" t="str">
        <x:v>Monthly operations</x:v>
      </x:c>
      <x:c r="E869" s="20" t="str">
        <x:v>Property Manager</x:v>
      </x:c>
      <x:c r="F869" s="20" t="str">
        <x:v>Mobile</x:v>
      </x:c>
      <x:c r="G869" s="20" t="str">
        <x:v>Scanned money order</x:v>
      </x:c>
      <x:c r="H869" s="35" t="str">
        <x:v>Post and allocate tenant receipt</x:v>
      </x:c>
      <x:c r="I869" s="35" t="str">
        <x:v>P025; U029; L029</x:v>
      </x:c>
      <x:c r="J869" s="35" t="str">
        <x:v>SCN-0209</x:v>
      </x:c>
      <x:c r="K869" s="35" t="str">
        <x:v>FIN-00479; FIN-00480</x:v>
      </x:c>
      <x:c r="L869" s="35" t="str">
        <x:v>Open Scan for paper payment or the tenant-account receipt form for electronic payment; verify tenant/lease match, amount, date, method, and reference; confirm once; open ledger detail and allocation.</x:v>
      </x:c>
      <x:c r="M869" s="35" t="str">
        <x:v>Receipt is append-only, allocated once to the correct rent charge, and visible consistently in Unit, Lease, Tenant Account, Accounting, and portal views.</x:v>
      </x:c>
      <x:c r="N869" s="35" t="str">
        <x:v>Scan review or form; success result; exact ledger rows; payment detail; accounting delta; portal receipt.</x:v>
      </x:c>
      <x:c r="O869" s="35" t="str">
        <x:v>Retry the idempotency key once during the quarter assigned in the coverage matrix; no duplicate cash or allocation.</x:v>
      </x:c>
      <x:c r="P869" s="35" t="str">
        <x:v>All expected records and amounts match; no unexplained error or stale state.</x:v>
      </x:c>
    </x:row>
    <x:row r="870">
      <x:c r="A870" s="20" t="str">
        <x:v>RUN-20270605-06</x:v>
      </x:c>
      <x:c r="B870" s="23" t="n">
        <x:v>46543</x:v>
      </x:c>
      <x:c r="C870" s="32" t="n">
        <x:v>6</x:v>
      </x:c>
      <x:c r="D870" s="20" t="str">
        <x:v>Monthly operations</x:v>
      </x:c>
      <x:c r="E870" s="20" t="str">
        <x:v>Property Manager</x:v>
      </x:c>
      <x:c r="F870" s="20" t="str">
        <x:v>Web</x:v>
      </x:c>
      <x:c r="G870" s="20" t="str">
        <x:v>Scanned check</x:v>
      </x:c>
      <x:c r="H870" s="35" t="str">
        <x:v>Post and allocate tenant receipt</x:v>
      </x:c>
      <x:c r="I870" s="35" t="str">
        <x:v>P026; U032; L032</x:v>
      </x:c>
      <x:c r="J870" s="35" t="str">
        <x:v>SCN-0210</x:v>
      </x:c>
      <x:c r="K870" s="35" t="str">
        <x:v>FIN-00485; FIN-00486</x:v>
      </x:c>
      <x:c r="L870" s="35" t="str">
        <x:v>Open Scan for paper payment or the tenant-account receipt form for electronic payment; verify tenant/lease match, amount, date, method, and reference; confirm once; open ledger detail and allocation.</x:v>
      </x:c>
      <x:c r="M870" s="35" t="str">
        <x:v>Receipt is append-only, allocated once to the correct rent charge, and visible consistently in Unit, Lease, Tenant Account, Accounting, and portal views.</x:v>
      </x:c>
      <x:c r="N870" s="35" t="str">
        <x:v>Scan review or form; success result; exact ledger rows; payment detail; accounting delta; portal receipt.</x:v>
      </x:c>
      <x:c r="O870" s="35" t="str">
        <x:v>Retry the idempotency key once during the quarter assigned in the coverage matrix; no duplicate cash or allocation.</x:v>
      </x:c>
      <x:c r="P870" s="35" t="str">
        <x:v>All expected records and amounts match; no unexplained error or stale state.</x:v>
      </x:c>
    </x:row>
    <x:row r="871">
      <x:c r="A871" s="20" t="str">
        <x:v>RUN-20270605-07</x:v>
      </x:c>
      <x:c r="B871" s="23" t="n">
        <x:v>46543</x:v>
      </x:c>
      <x:c r="C871" s="32" t="n">
        <x:v>7</x:v>
      </x:c>
      <x:c r="D871" s="20" t="str">
        <x:v>Monthly operations</x:v>
      </x:c>
      <x:c r="E871" s="20" t="str">
        <x:v>Property Manager</x:v>
      </x:c>
      <x:c r="F871" s="20" t="str">
        <x:v>Mobile</x:v>
      </x:c>
      <x:c r="G871" s="20" t="str">
        <x:v>Portal card</x:v>
      </x:c>
      <x:c r="H871" s="35" t="str">
        <x:v>Post and allocate tenant receipt</x:v>
      </x:c>
      <x:c r="I871" s="35" t="str">
        <x:v>P028; U035; L035</x:v>
      </x:c>
      <x:c r="J871" s="35" t="str"/>
      <x:c r="K871" s="35" t="str">
        <x:v>FIN-00493; FIN-00494</x:v>
      </x:c>
      <x:c r="L871" s="35" t="str">
        <x:v>Open Scan for paper payment or the tenant-account receipt form for electronic payment; verify tenant/lease match, amount, date, method, and reference; confirm once; open ledger detail and allocation.</x:v>
      </x:c>
      <x:c r="M871" s="35" t="str">
        <x:v>Receipt is append-only, allocated once to the correct rent charge, and visible consistently in Unit, Lease, Tenant Account, Accounting, and portal views.</x:v>
      </x:c>
      <x:c r="N871" s="35" t="str">
        <x:v>Scan review or form; success result; exact ledger rows; payment detail; accounting delta; portal receipt.</x:v>
      </x:c>
      <x:c r="O871" s="35" t="str">
        <x:v>Retry the idempotency key once during the quarter assigned in the coverage matrix; no duplicate cash or allocation.</x:v>
      </x:c>
      <x:c r="P871" s="35" t="str">
        <x:v>All expected records and amounts match; no unexplained error or stale state.</x:v>
      </x:c>
    </x:row>
    <x:row r="872">
      <x:c r="A872" s="20" t="str">
        <x:v>RUN-20270605-08</x:v>
      </x:c>
      <x:c r="B872" s="23" t="n">
        <x:v>46543</x:v>
      </x:c>
      <x:c r="C872" s="32" t="n">
        <x:v>8</x:v>
      </x:c>
      <x:c r="D872" s="20" t="str">
        <x:v>Leasing</x:v>
      </x:c>
      <x:c r="E872" s="20" t="str">
        <x:v>Leasing Agent</x:v>
      </x:c>
      <x:c r="F872" s="20" t="str">
        <x:v>Mobile</x:v>
      </x:c>
      <x:c r="G872" s="20" t="str">
        <x:v>Scan/document + e-sign</x:v>
      </x:c>
      <x:c r="H872" s="35" t="str">
        <x:v>Issue and execute lease agreement</x:v>
      </x:c>
      <x:c r="I872" s="35" t="str">
        <x:v>L038; U014</x:v>
      </x:c>
      <x:c r="J872" s="35" t="str">
        <x:v>SCN-0913</x:v>
      </x:c>
      <x:c r="K872" s="35" t="str"/>
      <x:c r="L872" s="35" t="str">
        <x:v>Confirm the scanned/native agreement against the prepared draft; issue a signature packet; view as landlord and tenant; sign; finalize immutable PDF/hash; verify Agreement is Upcoming until effective date.</x:v>
      </x:c>
      <x:c r="M872" s="35" t="str">
        <x:v>Issued version is immutable, one signature packet is active, audit events are complete, and the effective-status projection follows the simulated date.</x:v>
      </x:c>
      <x:c r="N872" s="35" t="str">
        <x:v>Draft/issued/final PDFs; hashes; signer states; signature audit; portal view; status before/after effective date.</x:v>
      </x:c>
      <x:c r="O872" s="35" t="str">
        <x:v>Void one deliberately incorrect issued packet, issue a replacement, and prove the voided artifact remains while no competing active packet exists.</x:v>
      </x:c>
      <x:c r="P872" s="35" t="str">
        <x:v>All expected records and amounts match; no unexplained error or stale state.</x:v>
      </x:c>
    </x:row>
    <x:row r="873">
      <x:c r="A873" s="20" t="str">
        <x:v>RUN-20270605-09</x:v>
      </x:c>
      <x:c r="B873" s="23" t="n">
        <x:v>46543</x:v>
      </x:c>
      <x:c r="C873" s="32" t="n">
        <x:v>9</x:v>
      </x:c>
      <x:c r="D873" s="20" t="str">
        <x:v>Lease ending</x:v>
      </x:c>
      <x:c r="E873" s="20" t="str">
        <x:v>Workspace Administrator</x:v>
      </x:c>
      <x:c r="F873" s="20" t="str">
        <x:v>Web + Mobile</x:v>
      </x:c>
      <x:c r="G873" s="20" t="str">
        <x:v>Manual financial disposition</x:v>
      </x:c>
      <x:c r="H873" s="35" t="str">
        <x:v>Finalize security deposit disposition</x:v>
      </x:c>
      <x:c r="I873" s="35" t="str">
        <x:v>L014; U014</x:v>
      </x:c>
      <x:c r="J873" s="35" t="str">
        <x:v>SCN-0940</x:v>
      </x:c>
      <x:c r="K873" s="35" t="str">
        <x:v>FIN-01663; FIN-01664; FIN-01665</x:v>
      </x:c>
      <x:c r="L873" s="35" t="str">
        <x:v>Create supported damage charge if applicable; apply deposit to the tenant balance; transfer applied cash to operating; refund the remainder; deliver itemized statement; compare ledger and deposit register.</x:v>
      </x:c>
      <x:c r="M873" s="35" t="str">
        <x:v>Deposit liability falls by $1,200.00; tenant AR falls by $425.00; refund is $775.00; income changes only for supported charges.</x:v>
      </x:c>
      <x:c r="N873" s="35" t="str">
        <x:v>Inspection support; charge; application; cash transfer; refund; itemized statement; portal/account history; accounting checks.</x:v>
      </x:c>
      <x:c r="O873" s="35" t="str">
        <x:v>Inject a failure before final save and prove charge/application/refund/audit rows all roll back together.</x:v>
      </x:c>
      <x:c r="P873" s="35" t="str">
        <x:v>All expected records and amounts match; no unexplained error or stale state.</x:v>
      </x:c>
    </x:row>
    <x:row r="874">
      <x:c r="A874" s="20" t="str">
        <x:v>RUN-20270606-01</x:v>
      </x:c>
      <x:c r="B874" s="23" t="n">
        <x:v>46544</x:v>
      </x:c>
      <x:c r="C874" s="32" t="n">
        <x:v>1</x:v>
      </x:c>
      <x:c r="D874" s="20" t="str">
        <x:v>Delinquency and legal</x:v>
      </x:c>
      <x:c r="E874" s="20" t="str">
        <x:v>Workspace Administrator</x:v>
      </x:c>
      <x:c r="F874" s="20" t="str">
        <x:v>Web + Mobile</x:v>
      </x:c>
      <x:c r="G874" s="20" t="str">
        <x:v>Scanned document + manual legal workflow</x:v>
      </x:c>
      <x:c r="H874" s="35" t="str">
        <x:v>Generate past-due notice draft</x:v>
      </x:c>
      <x:c r="I874" s="35" t="str">
        <x:v>L017; U017</x:v>
      </x:c>
      <x:c r="J874" s="35" t="str">
        <x:v>SCN-0947</x:v>
      </x:c>
      <x:c r="K874" s="35" t="str"/>
      <x:c r="L874" s="35" t="str">
        <x:v>Use only the synthetic template and dates in this plan; attach source, create/update the notice or eviction case, record the durable event, verify respondent and next action, and inspect tenant/Unit/lease context.</x:v>
      </x:c>
      <x:c r="M874" s="35" t="str">
        <x:v>Legal workflow state and source history advance without changing rent, occupancy, or possession facts by implication.</x:v>
      </x:c>
      <x:c r="N874" s="35" t="str">
        <x:v>Document preview; notice/case detail; event timeline; Unit/lease badges; audit; restricted-role check.</x:v>
      </x:c>
      <x:c r="O874" s="35" t="str">
        <x:v>Try a duplicate event and an event dated before case opening; validation is explicit and atomic.</x:v>
      </x:c>
      <x:c r="P874" s="35" t="str">
        <x:v>All expected records and amounts match; no unexplained error or stale state.</x:v>
      </x:c>
    </x:row>
    <x:row r="875">
      <x:c r="A875" s="20" t="str">
        <x:v>RUN-20270607-01</x:v>
      </x:c>
      <x:c r="B875" s="23" t="n">
        <x:v>46545</x:v>
      </x:c>
      <x:c r="C875" s="32" t="n">
        <x:v>1</x:v>
      </x:c>
      <x:c r="D875" s="20" t="str">
        <x:v>Weekly operations</x:v>
      </x:c>
      <x:c r="E875" s="20" t="str">
        <x:v>Property Manager</x:v>
      </x:c>
      <x:c r="F875" s="20" t="str">
        <x:v>Mobile</x:v>
      </x:c>
      <x:c r="G875" s="20" t="str">
        <x:v>Scan-first</x:v>
      </x:c>
      <x:c r="H875" s="35" t="str">
        <x:v>Create and triage maintenance request</x:v>
      </x:c>
      <x:c r="I875" s="35" t="str">
        <x:v>P002; U002; WO-2027-023</x:v>
      </x:c>
      <x:c r="J875" s="35" t="str">
        <x:v>SCN-0387</x:v>
      </x:c>
      <x:c r="K875" s="35" t="str"/>
      <x:c r="L875" s="35" t="str">
        <x:v>Capture the tenant note/photo; review lock rekey; confirm; set responsibility; dispatch Green Thumb Landscaping; create an appointment and verify the tenant notification.</x:v>
      </x:c>
      <x:c r="M875" s="35" t="str">
        <x:v>Work order, status timeline, responsibility, vendor dispatch, appointment, notification, and Unit context are linked once.</x:v>
      </x:c>
      <x:c r="N875" s="35" t="str">
        <x:v>Scan review; work order detail/timeline; dispatch; appointment; notification; tenant portal view.</x:v>
      </x:c>
      <x:c r="O875" s="35" t="str">
        <x:v>Cancel one dispatch each quarter, reassign once, and prove status/history remains append-only.</x:v>
      </x:c>
      <x:c r="P875" s="35" t="str">
        <x:v>All expected records and amounts match; no unexplained error or stale state.</x:v>
      </x:c>
    </x:row>
    <x:row r="876">
      <x:c r="A876" s="20" t="str">
        <x:v>RUN-20270607-02</x:v>
      </x:c>
      <x:c r="B876" s="23" t="n">
        <x:v>46545</x:v>
      </x:c>
      <x:c r="C876" s="32" t="n">
        <x:v>2</x:v>
      </x:c>
      <x:c r="D876" s="20" t="str">
        <x:v>Role and screen certification</x:v>
      </x:c>
      <x:c r="E876" s="20" t="str">
        <x:v>Workspace Administrator</x:v>
      </x:c>
      <x:c r="F876" s="20" t="str">
        <x:v>Web</x:v>
      </x:c>
      <x:c r="G876" s="20" t="str">
        <x:v>Normal persona navigation</x:v>
      </x:c>
      <x:c r="H876" s="35" t="str">
        <x:v>Use every permitted action and state on /tenants/[id]</x:v>
      </x:c>
      <x:c r="I876" s="35" t="str">
        <x:v>SCR-081; ROLE-142</x:v>
      </x:c>
      <x:c r="J876" s="35" t="str"/>
      <x:c r="K876" s="35" t="str"/>
      <x:c r="L87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76" s="35" t="str">
        <x:v>The persona can use every allowed action with only its assigned properties/relationships. Hidden or disabled actions explain why; an adjacent unauthorized persona is denied without metadata leakage.</x:v>
      </x:c>
      <x:c r="N876" s="35" t="str">
        <x:v>Persona/experience; navigation entry; desktop or device screenshots; result state; persisted read-back; audit/history; authorized and denied network result.</x:v>
      </x:c>
      <x:c r="O876" s="35" t="str">
        <x:v>Open the direct URL or deep link with an adjacent unauthorized persona and with stale scope; both fail closed and land safely without mutation.</x:v>
      </x:c>
      <x:c r="P876" s="35" t="str">
        <x:v>All expected records and amounts match; no unexplained error or stale state.</x:v>
      </x:c>
    </x:row>
    <x:row r="877">
      <x:c r="A877" s="20" t="str">
        <x:v>RUN-20270607-03</x:v>
      </x:c>
      <x:c r="B877" s="23" t="n">
        <x:v>46545</x:v>
      </x:c>
      <x:c r="C877" s="32" t="n">
        <x:v>3</x:v>
      </x:c>
      <x:c r="D877" s="20" t="str">
        <x:v>Role and screen certification</x:v>
      </x:c>
      <x:c r="E877" s="20" t="str">
        <x:v>Property Manager</x:v>
      </x:c>
      <x:c r="F877" s="20" t="str">
        <x:v>Web</x:v>
      </x:c>
      <x:c r="G877" s="20" t="str">
        <x:v>Normal persona navigation</x:v>
      </x:c>
      <x:c r="H877" s="35" t="str">
        <x:v>Use every permitted action and state on /tenants/[id]</x:v>
      </x:c>
      <x:c r="I877" s="35" t="str">
        <x:v>SCR-081; ROLE-143</x:v>
      </x:c>
      <x:c r="J877" s="35" t="str"/>
      <x:c r="K877" s="35" t="str"/>
      <x:c r="L87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77" s="35" t="str">
        <x:v>The persona can use every allowed action with only its assigned properties/relationships. Hidden or disabled actions explain why; an adjacent unauthorized persona is denied without metadata leakage.</x:v>
      </x:c>
      <x:c r="N877" s="35" t="str">
        <x:v>Persona/experience; navigation entry; desktop or device screenshots; result state; persisted read-back; audit/history; authorized and denied network result.</x:v>
      </x:c>
      <x:c r="O877" s="35" t="str">
        <x:v>Open the direct URL or deep link with an adjacent unauthorized persona and with stale scope; both fail closed and land safely without mutation.</x:v>
      </x:c>
      <x:c r="P877" s="35" t="str">
        <x:v>All expected records and amounts match; no unexplained error or stale state.</x:v>
      </x:c>
    </x:row>
    <x:row r="878">
      <x:c r="A878" s="20" t="str">
        <x:v>RUN-20270607-04</x:v>
      </x:c>
      <x:c r="B878" s="23" t="n">
        <x:v>46545</x:v>
      </x:c>
      <x:c r="C878" s="32" t="n">
        <x:v>4</x:v>
      </x:c>
      <x:c r="D878" s="20" t="str">
        <x:v>Field certification</x:v>
      </x:c>
      <x:c r="E878" s="20" t="str">
        <x:v>Property Manager</x:v>
      </x:c>
      <x:c r="F878" s="20" t="str">
        <x:v>Web</x:v>
      </x:c>
      <x:c r="G878" s="20" t="str">
        <x:v>Manual field-by-field</x:v>
      </x:c>
      <x:c r="H878" s="35" t="str">
        <x:v>Fill, save, reload, edit, and validate every declared field on /deposits/[id]</x:v>
      </x:c>
      <x:c r="I878" s="35" t="str">
        <x:v>FLD-0434; FLD-0435; FLD-0436; FLD-0437; FLD-0438</x:v>
      </x:c>
      <x:c r="J878" s="35" t="str"/>
      <x:c r="K878" s="35" t="str"/>
      <x:c r="L878" s="35" t="str">
        <x:v>Use the source-derived Field Inventory. Enter non-default realistic values in every control (deductionReason; deductionAmount; deductionEffectiveOn; deductionNotes; refundAmount); submit; reload or relaunch; compare every value; edit each mutable field; verify the paired client; then run required, format, length, range, boundary, optional-null, and stale-submit checks.</x:v>
      </x:c>
      <x:c r="M878" s="35" t="str">
        <x:v>All 5 inventoried controls persist exact normalized values, invalid values stay unsaved with clear errors, and hidden/unauthorized fields cannot be altered.</x:v>
      </x:c>
      <x:c r="N878" s="35" t="str">
        <x:v>Before/after form screenshots; FLD IDs; API response; reloaded UI; paired-client read-back; database/audit evidence; negative validation result.</x:v>
      </x:c>
      <x:c r="O878" s="35" t="str">
        <x:v>Use a duplicate submit and one simulated network interruption; one atomic mutation or none, never partial state.</x:v>
      </x:c>
      <x:c r="P878" s="35" t="str">
        <x:v>All expected records and amounts match; no unexplained error or stale state.</x:v>
      </x:c>
    </x:row>
    <x:row r="879">
      <x:c r="A879" s="20" t="str">
        <x:v>RUN-20270607-05</x:v>
      </x:c>
      <x:c r="B879" s="23" t="n">
        <x:v>46545</x:v>
      </x:c>
      <x:c r="C879" s="32" t="n">
        <x:v>5</x:v>
      </x:c>
      <x:c r="D879" s="20" t="str">
        <x:v>Surface coverage</x:v>
      </x:c>
      <x:c r="E879" s="20" t="str">
        <x:v>Role appropriate to surface</x:v>
      </x:c>
      <x:c r="F879" s="20" t="str">
        <x:v>Web</x:v>
      </x:c>
      <x:c r="G879" s="20" t="str">
        <x:v>Manual</x:v>
      </x:c>
      <x:c r="H879" s="35" t="str">
        <x:v>Manual web pass: Banking connect/import/review/match</x:v>
      </x:c>
      <x:c r="I879" s="35" t="str">
        <x:v>COV-020</x:v>
      </x:c>
      <x:c r="J879" s="35" t="str"/>
      <x:c r="K879" s="35" t="str"/>
      <x:c r="L879" s="35" t="str">
        <x:v>Exercise not-configured state, manual connection/import, matching, duplicates, parked rows, and reconciliation.</x:v>
      </x:c>
      <x:c r="M879" s="35" t="str">
        <x:v>The supported workflow completes and persists correctly; if the capability is absent, the exact gap is proven and queued rather than silently skipped.</x:v>
      </x:c>
      <x:c r="N879" s="35" t="str">
        <x:v>Real UI screenshot/state; submitted values; persisted read-back; cross-client read-back; audit/role/access evidence.</x:v>
      </x:c>
      <x:c r="O879" s="35" t="str">
        <x:v>Use one invalid value, stale-state retry, or duplicate submission relevant to the form; no partial or duplicate mutation.</x:v>
      </x:c>
      <x:c r="P879" s="35" t="str">
        <x:v>All expected records and amounts match; no unexplained error or stale state.</x:v>
      </x:c>
    </x:row>
    <x:row r="880">
      <x:c r="A880" s="20" t="str">
        <x:v>RUN-20270608-01</x:v>
      </x:c>
      <x:c r="B880" s="23" t="n">
        <x:v>46546</x:v>
      </x:c>
      <x:c r="C880" s="32" t="n">
        <x:v>1</x:v>
      </x:c>
      <x:c r="D880" s="20" t="str">
        <x:v>Monthly operations</x:v>
      </x:c>
      <x:c r="E880" s="20" t="str">
        <x:v>Property Manager</x:v>
      </x:c>
      <x:c r="F880" s="20" t="str">
        <x:v>Web</x:v>
      </x:c>
      <x:c r="G880" s="20" t="str">
        <x:v>Scanned check</x:v>
      </x:c>
      <x:c r="H880" s="35" t="str">
        <x:v>Post and allocate tenant receipt</x:v>
      </x:c>
      <x:c r="I880" s="35" t="str">
        <x:v>P013; U013; L013</x:v>
      </x:c>
      <x:c r="J880" s="35" t="str">
        <x:v>SCN-0199</x:v>
      </x:c>
      <x:c r="K880" s="35" t="str">
        <x:v>FIN-00446; FIN-00447</x:v>
      </x:c>
      <x:c r="L880" s="35" t="str">
        <x:v>Open Scan for paper payment or the tenant-account receipt form for electronic payment; verify tenant/lease match, amount, date, method, and reference; confirm once; open ledger detail and allocation.</x:v>
      </x:c>
      <x:c r="M880" s="35" t="str">
        <x:v>Receipt is append-only, allocated once to the correct rent charge, and visible consistently in Unit, Lease, Tenant Account, Accounting, and portal views.</x:v>
      </x:c>
      <x:c r="N880" s="35" t="str">
        <x:v>Scan review or form; success result; exact ledger rows; payment detail; accounting delta; portal receipt.</x:v>
      </x:c>
      <x:c r="O880" s="35" t="str">
        <x:v>Retry the idempotency key once during the quarter assigned in the coverage matrix; no duplicate cash or allocation.</x:v>
      </x:c>
      <x:c r="P880" s="35" t="str">
        <x:v>All expected records and amounts match; no unexplained error or stale state.</x:v>
      </x:c>
    </x:row>
    <x:row r="881">
      <x:c r="A881" s="20" t="str">
        <x:v>RUN-20270608-02</x:v>
      </x:c>
      <x:c r="B881" s="23" t="n">
        <x:v>46546</x:v>
      </x:c>
      <x:c r="C881" s="32" t="n">
        <x:v>2</x:v>
      </x:c>
      <x:c r="D881" s="20" t="str">
        <x:v>Monthly operations</x:v>
      </x:c>
      <x:c r="E881" s="20" t="str">
        <x:v>Property Manager</x:v>
      </x:c>
      <x:c r="F881" s="20" t="str">
        <x:v>Mobile</x:v>
      </x:c>
      <x:c r="G881" s="20" t="str">
        <x:v>Scanned money order</x:v>
      </x:c>
      <x:c r="H881" s="35" t="str">
        <x:v>Post and allocate tenant receipt</x:v>
      </x:c>
      <x:c r="I881" s="35" t="str">
        <x:v>P023; U026; L026</x:v>
      </x:c>
      <x:c r="J881" s="35" t="str">
        <x:v>SCN-0207</x:v>
      </x:c>
      <x:c r="K881" s="35" t="str">
        <x:v>FIN-00473; FIN-00474</x:v>
      </x:c>
      <x:c r="L881" s="35" t="str">
        <x:v>Open Scan for paper payment or the tenant-account receipt form for electronic payment; verify tenant/lease match, amount, date, method, and reference; confirm once; open ledger detail and allocation.</x:v>
      </x:c>
      <x:c r="M881" s="35" t="str">
        <x:v>Receipt is append-only, allocated once to the correct rent charge, and visible consistently in Unit, Lease, Tenant Account, Accounting, and portal views.</x:v>
      </x:c>
      <x:c r="N881" s="35" t="str">
        <x:v>Scan review or form; success result; exact ledger rows; payment detail; accounting delta; portal receipt.</x:v>
      </x:c>
      <x:c r="O881" s="35" t="str">
        <x:v>Retry the idempotency key once during the quarter assigned in the coverage matrix; no duplicate cash or allocation.</x:v>
      </x:c>
      <x:c r="P881" s="35" t="str">
        <x:v>All expected records and amounts match; no unexplained error or stale state.</x:v>
      </x:c>
    </x:row>
    <x:row r="882">
      <x:c r="A882" s="20" t="str">
        <x:v>RUN-20270608-03</x:v>
      </x:c>
      <x:c r="B882" s="23" t="n">
        <x:v>46546</x:v>
      </x:c>
      <x:c r="C882" s="32" t="n">
        <x:v>3</x:v>
      </x:c>
      <x:c r="D882" s="20" t="str">
        <x:v>Weekly operations</x:v>
      </x:c>
      <x:c r="E882" s="20" t="str">
        <x:v>Property Manager</x:v>
      </x:c>
      <x:c r="F882" s="20" t="str">
        <x:v>Mobile</x:v>
      </x:c>
      <x:c r="G882" s="20" t="str">
        <x:v>Scanned receipt/invoice</x:v>
      </x:c>
      <x:c r="H882" s="35" t="str">
        <x:v>Record, review, allocate, and pay operating expense</x:v>
      </x:c>
      <x:c r="I882" s="35" t="str">
        <x:v>P002; U002; WO-2027-023</x:v>
      </x:c>
      <x:c r="J882" s="35" t="str">
        <x:v>SCN-0388</x:v>
      </x:c>
      <x:c r="K882" s="35" t="str">
        <x:v>FIN-01046</x:v>
      </x:c>
      <x:c r="L882" s="35" t="str">
        <x:v>Capture or upload the source; verify vendor, date, scope, category, line items, tax, amount, and work-order link; confirm; open detail; verify attachment; compare Money and Property/Unit views.</x:v>
      </x:c>
      <x:c r="M882" s="35" t="str">
        <x:v>One expense exists at its real operational scope, cash falls once, Schedule E category and allocations agree, and no per-unit copies are created.</x:v>
      </x:c>
      <x:c r="N882" s="35" t="str">
        <x:v>Source preview; review/form; expense detail; line items; Property/Unit ledger; audit; accounting/report delta.</x:v>
      </x:c>
      <x:c r="O882" s="35" t="str">
        <x:v>On marked duplicate-invoice cases, re-upload before confirm and prove the product prevents or clearly warns about duplication.</x:v>
      </x:c>
      <x:c r="P882" s="35" t="str">
        <x:v>All expected records and amounts match; no unexplained error or stale state.</x:v>
      </x:c>
    </x:row>
    <x:row r="883">
      <x:c r="A883" s="20" t="str">
        <x:v>RUN-20270608-04</x:v>
      </x:c>
      <x:c r="B883" s="23" t="n">
        <x:v>46546</x:v>
      </x:c>
      <x:c r="C883" s="32" t="n">
        <x:v>4</x:v>
      </x:c>
      <x:c r="D883" s="20" t="str">
        <x:v>Role and screen certification</x:v>
      </x:c>
      <x:c r="E883" s="20" t="str">
        <x:v>Workspace Administrator</x:v>
      </x:c>
      <x:c r="F883" s="20" t="str">
        <x:v>Web</x:v>
      </x:c>
      <x:c r="G883" s="20" t="str">
        <x:v>Normal persona navigation</x:v>
      </x:c>
      <x:c r="H883" s="35" t="str">
        <x:v>Use every permitted action and state on /units</x:v>
      </x:c>
      <x:c r="I883" s="35" t="str">
        <x:v>SCR-082; ROLE-144</x:v>
      </x:c>
      <x:c r="J883" s="35" t="str"/>
      <x:c r="K883" s="35" t="str"/>
      <x:c r="L8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83" s="35" t="str">
        <x:v>The persona can use every allowed action with only its assigned properties/relationships. Hidden or disabled actions explain why; an adjacent unauthorized persona is denied without metadata leakage.</x:v>
      </x:c>
      <x:c r="N883" s="35" t="str">
        <x:v>Persona/experience; navigation entry; desktop or device screenshots; result state; persisted read-back; audit/history; authorized and denied network result.</x:v>
      </x:c>
      <x:c r="O883" s="35" t="str">
        <x:v>Open the direct URL or deep link with an adjacent unauthorized persona and with stale scope; both fail closed and land safely without mutation.</x:v>
      </x:c>
      <x:c r="P883" s="35" t="str">
        <x:v>All expected records and amounts match; no unexplained error or stale state.</x:v>
      </x:c>
    </x:row>
    <x:row r="884">
      <x:c r="A884" s="20" t="str">
        <x:v>RUN-20270608-05</x:v>
      </x:c>
      <x:c r="B884" s="23" t="n">
        <x:v>46546</x:v>
      </x:c>
      <x:c r="C884" s="32" t="n">
        <x:v>5</x:v>
      </x:c>
      <x:c r="D884" s="20" t="str">
        <x:v>Role and screen certification</x:v>
      </x:c>
      <x:c r="E884" s="20" t="str">
        <x:v>Property Manager</x:v>
      </x:c>
      <x:c r="F884" s="20" t="str">
        <x:v>Web</x:v>
      </x:c>
      <x:c r="G884" s="20" t="str">
        <x:v>Normal persona navigation</x:v>
      </x:c>
      <x:c r="H884" s="35" t="str">
        <x:v>Use every permitted action and state on /units</x:v>
      </x:c>
      <x:c r="I884" s="35" t="str">
        <x:v>SCR-082; ROLE-145</x:v>
      </x:c>
      <x:c r="J884" s="35" t="str"/>
      <x:c r="K884" s="35" t="str"/>
      <x:c r="L88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84" s="35" t="str">
        <x:v>The persona can use every allowed action with only its assigned properties/relationships. Hidden or disabled actions explain why; an adjacent unauthorized persona is denied without metadata leakage.</x:v>
      </x:c>
      <x:c r="N884" s="35" t="str">
        <x:v>Persona/experience; navigation entry; desktop or device screenshots; result state; persisted read-back; audit/history; authorized and denied network result.</x:v>
      </x:c>
      <x:c r="O884" s="35" t="str">
        <x:v>Open the direct URL or deep link with an adjacent unauthorized persona and with stale scope; both fail closed and land safely without mutation.</x:v>
      </x:c>
      <x:c r="P884" s="35" t="str">
        <x:v>All expected records and amounts match; no unexplained error or stale state.</x:v>
      </x:c>
    </x:row>
    <x:row r="885">
      <x:c r="A885" s="20" t="str">
        <x:v>RUN-20270608-06</x:v>
      </x:c>
      <x:c r="B885" s="23" t="n">
        <x:v>46546</x:v>
      </x:c>
      <x:c r="C885" s="32" t="n">
        <x:v>6</x:v>
      </x:c>
      <x:c r="D885" s="20" t="str">
        <x:v>Field certification</x:v>
      </x:c>
      <x:c r="E885" s="20" t="str">
        <x:v>Property Manager</x:v>
      </x:c>
      <x:c r="F885" s="20" t="str">
        <x:v>Web</x:v>
      </x:c>
      <x:c r="G885" s="20" t="str">
        <x:v>Manual field-by-field</x:v>
      </x:c>
      <x:c r="H885" s="35" t="str">
        <x:v>Fill, save, reload, edit, and validate every declared field on /deposits/[id]</x:v>
      </x:c>
      <x:c r="I885" s="35" t="str">
        <x:v>FLD-0439; FLD-0440; FLD-0441</x:v>
      </x:c>
      <x:c r="J885" s="35" t="str"/>
      <x:c r="K885" s="35" t="str"/>
      <x:c r="L885" s="35" t="str">
        <x:v>Use the source-derived Field Inventory. Enter non-default realistic values in every control (refundEffectiveOn; refundDescription; refundReference); submit; reload or relaunch; compare every value; edit each mutable field; verify the paired client; then run required, format, length, range, boundary, optional-null, and stale-submit checks.</x:v>
      </x:c>
      <x:c r="M885" s="35" t="str">
        <x:v>All 3 inventoried controls persist exact normalized values, invalid values stay unsaved with clear errors, and hidden/unauthorized fields cannot be altered.</x:v>
      </x:c>
      <x:c r="N885" s="35" t="str">
        <x:v>Before/after form screenshots; FLD IDs; API response; reloaded UI; paired-client read-back; database/audit evidence; negative validation result.</x:v>
      </x:c>
      <x:c r="O885" s="35" t="str">
        <x:v>Use a duplicate submit and one simulated network interruption; one atomic mutation or none, never partial state.</x:v>
      </x:c>
      <x:c r="P885" s="35" t="str">
        <x:v>All expected records and amounts match; no unexplained error or stale state.</x:v>
      </x:c>
    </x:row>
    <x:row r="886">
      <x:c r="A886" s="20" t="str">
        <x:v>RUN-20270608-07</x:v>
      </x:c>
      <x:c r="B886" s="23" t="n">
        <x:v>46546</x:v>
      </x:c>
      <x:c r="C886" s="32" t="n">
        <x:v>7</x:v>
      </x:c>
      <x:c r="D886" s="20" t="str">
        <x:v>Field certification</x:v>
      </x:c>
      <x:c r="E886" s="20" t="str">
        <x:v>Property Manager</x:v>
      </x:c>
      <x:c r="F886" s="20" t="str">
        <x:v>Web</x:v>
      </x:c>
      <x:c r="G886" s="20" t="str">
        <x:v>Manual field-by-field</x:v>
      </x:c>
      <x:c r="H886" s="35" t="str">
        <x:v>Fill, save, reload, edit, and validate every declared field on /get-started</x:v>
      </x:c>
      <x:c r="I886" s="35" t="str">
        <x:v>FLD-0442</x:v>
      </x:c>
      <x:c r="J886" s="35" t="str"/>
      <x:c r="K886" s="35" t="str"/>
      <x:c r="L886" s="35" t="str">
        <x:v>Use the source-derived Field Inventory. Enter non-default realistic values in every control (get-started-confirm-input); submit; reload or relaunch; compare every value; edit each mutable field; verify the paired client; then run required, format, length, range, boundary, optional-null, and stale-submit checks.</x:v>
      </x:c>
      <x:c r="M886" s="35" t="str">
        <x:v>All 1 inventoried controls persist exact normalized values, invalid values stay unsaved with clear errors, and hidden/unauthorized fields cannot be altered.</x:v>
      </x:c>
      <x:c r="N886" s="35" t="str">
        <x:v>Before/after form screenshots; FLD IDs; API response; reloaded UI; paired-client read-back; database/audit evidence; negative validation result.</x:v>
      </x:c>
      <x:c r="O886" s="35" t="str">
        <x:v>Use a duplicate submit and one simulated network interruption; one atomic mutation or none, never partial state.</x:v>
      </x:c>
      <x:c r="P886" s="35" t="str">
        <x:v>All expected records and amounts match; no unexplained error or stale state.</x:v>
      </x:c>
    </x:row>
    <x:row r="887">
      <x:c r="A887" s="20" t="str">
        <x:v>RUN-20270609-01</x:v>
      </x:c>
      <x:c r="B887" s="23" t="n">
        <x:v>46547</x:v>
      </x:c>
      <x:c r="C887" s="32" t="n">
        <x:v>1</x:v>
      </x:c>
      <x:c r="D887" s="20" t="str">
        <x:v>Field certification</x:v>
      </x:c>
      <x:c r="E887" s="20" t="str">
        <x:v>Property Manager</x:v>
      </x:c>
      <x:c r="F887" s="20" t="str">
        <x:v>Web</x:v>
      </x:c>
      <x:c r="G887" s="20" t="str">
        <x:v>Manual field-by-field</x:v>
      </x:c>
      <x:c r="H887" s="35" t="str">
        <x:v>Fill, save, reload, edit, and validate every declared field on /import</x:v>
      </x:c>
      <x:c r="I887" s="35" t="str">
        <x:v>FLD-0443</x:v>
      </x:c>
      <x:c r="J887" s="35" t="str"/>
      <x:c r="K887" s="35" t="str"/>
      <x:c r="L887" s="35" t="str">
        <x:v>Use the source-derived Field Inventory. Enter non-default realistic values in every control (import-file-input); submit; reload or relaunch; compare every value; edit each mutable field; verify the paired client; then run required, format, length, range, boundary, optional-null, and stale-submit checks.</x:v>
      </x:c>
      <x:c r="M887" s="35" t="str">
        <x:v>All 1 inventoried controls persist exact normalized values, invalid values stay unsaved with clear errors, and hidden/unauthorized fields cannot be altered.</x:v>
      </x:c>
      <x:c r="N887" s="35" t="str">
        <x:v>Before/after form screenshots; FLD IDs; API response; reloaded UI; paired-client read-back; database/audit evidence; negative validation result.</x:v>
      </x:c>
      <x:c r="O887" s="35" t="str">
        <x:v>Use a duplicate submit and one simulated network interruption; one atomic mutation or none, never partial state.</x:v>
      </x:c>
      <x:c r="P887" s="35" t="str">
        <x:v>All expected records and amounts match; no unexplained error or stale state.</x:v>
      </x:c>
    </x:row>
    <x:row r="888">
      <x:c r="A888" s="20" t="str">
        <x:v>RUN-20270609-02</x:v>
      </x:c>
      <x:c r="B888" s="23" t="n">
        <x:v>46547</x:v>
      </x:c>
      <x:c r="C888" s="32" t="n">
        <x:v>2</x:v>
      </x:c>
      <x:c r="D888" s="20" t="str">
        <x:v>Field certification</x:v>
      </x:c>
      <x:c r="E888" s="20" t="str">
        <x:v>Property Manager</x:v>
      </x:c>
      <x:c r="F888" s="20" t="str">
        <x:v>Web</x:v>
      </x:c>
      <x:c r="G888" s="20" t="str">
        <x:v>Manual field-by-field</x:v>
      </x:c>
      <x:c r="H888" s="35" t="str">
        <x:v>Fill, save, reload, edit, and validate every declared field on /lease-templates</x:v>
      </x:c>
      <x:c r="I888" s="35" t="str">
        <x:v>FLD-0444; FLD-0445; FLD-0446; FLD-0447</x:v>
      </x:c>
      <x:c r="J888" s="35" t="str"/>
      <x:c r="K888" s="35" t="str"/>
      <x:c r="L888" s="35" t="str">
        <x:v>Use the source-derived Field Inventory. Enter non-default realistic values in every control (lease-template-file; lease-template-name; lease-template-description; lease-template-default-input); submit; reload or relaunch; compare every value; edit each mutable field; verify the paired client; then run required, format, length, range, boundary, optional-null, and stale-submit checks.</x:v>
      </x:c>
      <x:c r="M888" s="35" t="str">
        <x:v>All 4 inventoried controls persist exact normalized values, invalid values stay unsaved with clear errors, and hidden/unauthorized fields cannot be altered.</x:v>
      </x:c>
      <x:c r="N888" s="35" t="str">
        <x:v>Before/after form screenshots; FLD IDs; API response; reloaded UI; paired-client read-back; database/audit evidence; negative validation result.</x:v>
      </x:c>
      <x:c r="O888" s="35" t="str">
        <x:v>Use a duplicate submit and one simulated network interruption; one atomic mutation or none, never partial state.</x:v>
      </x:c>
      <x:c r="P888" s="35" t="str">
        <x:v>All expected records and amounts match; no unexplained error or stale state.</x:v>
      </x:c>
    </x:row>
    <x:row r="889">
      <x:c r="A889" s="20" t="str">
        <x:v>RUN-20270609-03</x:v>
      </x:c>
      <x:c r="B889" s="23" t="n">
        <x:v>46547</x:v>
      </x:c>
      <x:c r="C889" s="32" t="n">
        <x:v>3</x:v>
      </x:c>
      <x:c r="D889" s="20" t="str">
        <x:v>Surface coverage</x:v>
      </x:c>
      <x:c r="E889" s="20" t="str">
        <x:v>Role appropriate to surface</x:v>
      </x:c>
      <x:c r="F889" s="20" t="str">
        <x:v>Mobile</x:v>
      </x:c>
      <x:c r="G889" s="20" t="str">
        <x:v>Manual</x:v>
      </x:c>
      <x:c r="H889" s="35" t="str">
        <x:v>Manual mobile pass: Banking connect/import/review/match</x:v>
      </x:c>
      <x:c r="I889" s="35" t="str">
        <x:v>COV-020</x:v>
      </x:c>
      <x:c r="J889" s="35" t="str"/>
      <x:c r="K889" s="35" t="str"/>
      <x:c r="L889" s="35" t="str">
        <x:v>Exercise not-configured state, manual connection/import, matching, duplicates, parked rows, and reconciliation.</x:v>
      </x:c>
      <x:c r="M889" s="35" t="str">
        <x:v>The supported workflow completes and persists correctly; if the capability is absent, the exact gap is proven and queued rather than silently skipped.</x:v>
      </x:c>
      <x:c r="N889" s="35" t="str">
        <x:v>Real UI screenshot/state; submitted values; persisted read-back; cross-client read-back; audit/role/access evidence.</x:v>
      </x:c>
      <x:c r="O889" s="35" t="str">
        <x:v>Use one invalid value, stale-state retry, or duplicate submission relevant to the form; no partial or duplicate mutation.</x:v>
      </x:c>
      <x:c r="P889" s="35" t="str">
        <x:v>All expected records and amounts match; no unexplained error or stale state.</x:v>
      </x:c>
    </x:row>
    <x:row r="890">
      <x:c r="A890" s="20" t="str">
        <x:v>RUN-20270610-01</x:v>
      </x:c>
      <x:c r="B890" s="23" t="n">
        <x:v>46548</x:v>
      </x:c>
      <x:c r="C890" s="32" t="n">
        <x:v>1</x:v>
      </x:c>
      <x:c r="D890" s="20" t="str">
        <x:v>Delinquency and legal</x:v>
      </x:c>
      <x:c r="E890" s="20" t="str">
        <x:v>Workspace Administrator</x:v>
      </x:c>
      <x:c r="F890" s="20" t="str">
        <x:v>Web + Mobile</x:v>
      </x:c>
      <x:c r="G890" s="20" t="str">
        <x:v>Scanned document + manual legal workflow</x:v>
      </x:c>
      <x:c r="H890" s="35" t="str">
        <x:v>Serve synthetic notice and record event</x:v>
      </x:c>
      <x:c r="I890" s="35" t="str">
        <x:v>L017; U017</x:v>
      </x:c>
      <x:c r="J890" s="35" t="str">
        <x:v>SCN-0948</x:v>
      </x:c>
      <x:c r="K890" s="35" t="str"/>
      <x:c r="L890" s="35" t="str">
        <x:v>Use only the synthetic template and dates in this plan; attach source, create/update the notice or eviction case, record the durable event, verify respondent and next action, and inspect tenant/Unit/lease context.</x:v>
      </x:c>
      <x:c r="M890" s="35" t="str">
        <x:v>Legal workflow state and source history advance without changing rent, occupancy, or possession facts by implication.</x:v>
      </x:c>
      <x:c r="N890" s="35" t="str">
        <x:v>Document preview; notice/case detail; event timeline; Unit/lease badges; audit; restricted-role check.</x:v>
      </x:c>
      <x:c r="O890" s="35" t="str">
        <x:v>Try a duplicate event and an event dated before case opening; validation is explicit and atomic.</x:v>
      </x:c>
      <x:c r="P890" s="35" t="str">
        <x:v>All expected records and amounts match; no unexplained error or stale state.</x:v>
      </x:c>
    </x:row>
    <x:row r="891">
      <x:c r="A891" s="20" t="str">
        <x:v>RUN-20270610-02</x:v>
      </x:c>
      <x:c r="B891" s="23" t="n">
        <x:v>46548</x:v>
      </x:c>
      <x:c r="C891" s="32" t="n">
        <x:v>2</x:v>
      </x:c>
      <x:c r="D891" s="20" t="str">
        <x:v>Role and screen certification</x:v>
      </x:c>
      <x:c r="E891" s="20" t="str">
        <x:v>Workspace Administrator</x:v>
      </x:c>
      <x:c r="F891" s="20" t="str">
        <x:v>Web</x:v>
      </x:c>
      <x:c r="G891" s="20" t="str">
        <x:v>Normal persona navigation</x:v>
      </x:c>
      <x:c r="H891" s="35" t="str">
        <x:v>Use every permitted action and state on /units/[id]</x:v>
      </x:c>
      <x:c r="I891" s="35" t="str">
        <x:v>SCR-083; ROLE-146</x:v>
      </x:c>
      <x:c r="J891" s="35" t="str"/>
      <x:c r="K891" s="35" t="str"/>
      <x:c r="L89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91" s="35" t="str">
        <x:v>The persona can use every allowed action with only its assigned properties/relationships. Hidden or disabled actions explain why; an adjacent unauthorized persona is denied without metadata leakage.</x:v>
      </x:c>
      <x:c r="N891" s="35" t="str">
        <x:v>Persona/experience; navigation entry; desktop or device screenshots; result state; persisted read-back; audit/history; authorized and denied network result.</x:v>
      </x:c>
      <x:c r="O891" s="35" t="str">
        <x:v>Open the direct URL or deep link with an adjacent unauthorized persona and with stale scope; both fail closed and land safely without mutation.</x:v>
      </x:c>
      <x:c r="P891" s="35" t="str">
        <x:v>All expected records and amounts match; no unexplained error or stale state.</x:v>
      </x:c>
    </x:row>
    <x:row r="892">
      <x:c r="A892" s="20" t="str">
        <x:v>RUN-20270610-03</x:v>
      </x:c>
      <x:c r="B892" s="23" t="n">
        <x:v>46548</x:v>
      </x:c>
      <x:c r="C892" s="32" t="n">
        <x:v>3</x:v>
      </x:c>
      <x:c r="D892" s="20" t="str">
        <x:v>Role and screen certification</x:v>
      </x:c>
      <x:c r="E892" s="20" t="str">
        <x:v>Property Manager</x:v>
      </x:c>
      <x:c r="F892" s="20" t="str">
        <x:v>Web</x:v>
      </x:c>
      <x:c r="G892" s="20" t="str">
        <x:v>Normal persona navigation</x:v>
      </x:c>
      <x:c r="H892" s="35" t="str">
        <x:v>Use every permitted action and state on /units/[id]</x:v>
      </x:c>
      <x:c r="I892" s="35" t="str">
        <x:v>SCR-083; ROLE-147</x:v>
      </x:c>
      <x:c r="J892" s="35" t="str"/>
      <x:c r="K892" s="35" t="str"/>
      <x:c r="L8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92" s="35" t="str">
        <x:v>The persona can use every allowed action with only its assigned properties/relationships. Hidden or disabled actions explain why; an adjacent unauthorized persona is denied without metadata leakage.</x:v>
      </x:c>
      <x:c r="N892" s="35" t="str">
        <x:v>Persona/experience; navigation entry; desktop or device screenshots; result state; persisted read-back; audit/history; authorized and denied network result.</x:v>
      </x:c>
      <x:c r="O892" s="35" t="str">
        <x:v>Open the direct URL or deep link with an adjacent unauthorized persona and with stale scope; both fail closed and land safely without mutation.</x:v>
      </x:c>
      <x:c r="P892" s="35" t="str">
        <x:v>All expected records and amounts match; no unexplained error or stale state.</x:v>
      </x:c>
    </x:row>
    <x:row r="893">
      <x:c r="A893" s="20" t="str">
        <x:v>RUN-20270610-04</x:v>
      </x:c>
      <x:c r="B893" s="23" t="n">
        <x:v>46548</x:v>
      </x:c>
      <x:c r="C893" s="32" t="n">
        <x:v>4</x:v>
      </x:c>
      <x:c r="D893" s="20" t="str">
        <x:v>Field certification</x:v>
      </x:c>
      <x:c r="E893" s="20" t="str">
        <x:v>Leasing Agent</x:v>
      </x:c>
      <x:c r="F893" s="20" t="str">
        <x:v>Web</x:v>
      </x:c>
      <x:c r="G893" s="20" t="str">
        <x:v>Manual field-by-field</x:v>
      </x:c>
      <x:c r="H893" s="35" t="str">
        <x:v>Fill, save, reload, edit, and validate every declared field on /leases</x:v>
      </x:c>
      <x:c r="I893" s="35" t="str">
        <x:v>FLD-0448; FLD-0449; FLD-0450; FLD-0451</x:v>
      </x:c>
      <x:c r="J893" s="35" t="str"/>
      <x:c r="K893" s="35" t="str"/>
      <x:c r="L893" s="35" t="str">
        <x:v>Use the source-derived Field Inventory. Enter non-default realistic values in every control (lifecycle; Select-2; All relationships; Select-4); submit; reload or relaunch; compare every value; edit each mutable field; verify the paired client; then run required, format, length, range, boundary, optional-null, and stale-submit checks.</x:v>
      </x:c>
      <x:c r="M893" s="35" t="str">
        <x:v>All 4 inventoried controls persist exact normalized values, invalid values stay unsaved with clear errors, and hidden/unauthorized fields cannot be altered.</x:v>
      </x:c>
      <x:c r="N893" s="35" t="str">
        <x:v>Before/after form screenshots; FLD IDs; API response; reloaded UI; paired-client read-back; database/audit evidence; negative validation result.</x:v>
      </x:c>
      <x:c r="O893" s="35" t="str">
        <x:v>Use a duplicate submit and one simulated network interruption; one atomic mutation or none, never partial state.</x:v>
      </x:c>
      <x:c r="P893" s="35" t="str">
        <x:v>All expected records and amounts match; no unexplained error or stale state.</x:v>
      </x:c>
    </x:row>
    <x:row r="894">
      <x:c r="A894" s="20" t="str">
        <x:v>RUN-20270610-05</x:v>
      </x:c>
      <x:c r="B894" s="23" t="n">
        <x:v>46548</x:v>
      </x:c>
      <x:c r="C894" s="32" t="n">
        <x:v>5</x:v>
      </x:c>
      <x:c r="D894" s="20" t="str">
        <x:v>Surface coverage</x:v>
      </x:c>
      <x:c r="E894" s="20" t="str">
        <x:v>Role appropriate to surface</x:v>
      </x:c>
      <x:c r="F894" s="20" t="str">
        <x:v>Web</x:v>
      </x:c>
      <x:c r="G894" s="20" t="str">
        <x:v>Scan/attachment</x:v>
      </x:c>
      <x:c r="H894" s="35" t="str">
        <x:v>Scan web pass: Banking connect/import/review/match</x:v>
      </x:c>
      <x:c r="I894" s="35" t="str">
        <x:v>COV-020</x:v>
      </x:c>
      <x:c r="J894" s="35" t="str"/>
      <x:c r="K894" s="35" t="str"/>
      <x:c r="L894" s="35" t="str">
        <x:v>Exercise not-configured state, manual connection/import, matching, duplicates, parked rows, and reconciliation.</x:v>
      </x:c>
      <x:c r="M894" s="35" t="str">
        <x:v>The supported workflow completes and persists correctly; if the capability is absent, the exact gap is proven and queued rather than silently skipped.</x:v>
      </x:c>
      <x:c r="N894" s="35" t="str">
        <x:v>Real UI screenshot/state; submitted values; persisted read-back; cross-client read-back; audit/role/access evidence.</x:v>
      </x:c>
      <x:c r="O894" s="35" t="str">
        <x:v>Use one invalid value, stale-state retry, or duplicate submission relevant to the form; no partial or duplicate mutation.</x:v>
      </x:c>
      <x:c r="P894" s="35" t="str">
        <x:v>All expected records and amounts match; no unexplained error or stale state.</x:v>
      </x:c>
    </x:row>
    <x:row r="895">
      <x:c r="A895" s="20" t="str">
        <x:v>RUN-20270611-01</x:v>
      </x:c>
      <x:c r="B895" s="23" t="n">
        <x:v>46549</x:v>
      </x:c>
      <x:c r="C895" s="32" t="n">
        <x:v>1</x:v>
      </x:c>
      <x:c r="D895" s="20" t="str">
        <x:v>Role and screen certification</x:v>
      </x:c>
      <x:c r="E895" s="20" t="str">
        <x:v>Workspace Administrator</x:v>
      </x:c>
      <x:c r="F895" s="20" t="str">
        <x:v>Web</x:v>
      </x:c>
      <x:c r="G895" s="20" t="str">
        <x:v>Normal persona navigation</x:v>
      </x:c>
      <x:c r="H895" s="35" t="str">
        <x:v>Use every permitted action and state on /vendors</x:v>
      </x:c>
      <x:c r="I895" s="35" t="str">
        <x:v>SCR-084; ROLE-148</x:v>
      </x:c>
      <x:c r="J895" s="35" t="str"/>
      <x:c r="K895" s="35" t="str"/>
      <x:c r="L89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95" s="35" t="str">
        <x:v>The persona can use every allowed action with only its assigned properties/relationships. Hidden or disabled actions explain why; an adjacent unauthorized persona is denied without metadata leakage.</x:v>
      </x:c>
      <x:c r="N895" s="35" t="str">
        <x:v>Persona/experience; navigation entry; desktop or device screenshots; result state; persisted read-back; audit/history; authorized and denied network result.</x:v>
      </x:c>
      <x:c r="O895" s="35" t="str">
        <x:v>Open the direct URL or deep link with an adjacent unauthorized persona and with stale scope; both fail closed and land safely without mutation.</x:v>
      </x:c>
      <x:c r="P895" s="35" t="str">
        <x:v>All expected records and amounts match; no unexplained error or stale state.</x:v>
      </x:c>
    </x:row>
    <x:row r="896">
      <x:c r="A896" s="20" t="str">
        <x:v>RUN-20270611-02</x:v>
      </x:c>
      <x:c r="B896" s="23" t="n">
        <x:v>46549</x:v>
      </x:c>
      <x:c r="C896" s="32" t="n">
        <x:v>2</x:v>
      </x:c>
      <x:c r="D896" s="20" t="str">
        <x:v>Role and screen certification</x:v>
      </x:c>
      <x:c r="E896" s="20" t="str">
        <x:v>Property Manager</x:v>
      </x:c>
      <x:c r="F896" s="20" t="str">
        <x:v>Web</x:v>
      </x:c>
      <x:c r="G896" s="20" t="str">
        <x:v>Normal persona navigation</x:v>
      </x:c>
      <x:c r="H896" s="35" t="str">
        <x:v>Use every permitted action and state on /vendors</x:v>
      </x:c>
      <x:c r="I896" s="35" t="str">
        <x:v>SCR-084; ROLE-149</x:v>
      </x:c>
      <x:c r="J896" s="35" t="str"/>
      <x:c r="K896" s="35" t="str"/>
      <x:c r="L89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896" s="35" t="str">
        <x:v>The persona can use every allowed action with only its assigned properties/relationships. Hidden or disabled actions explain why; an adjacent unauthorized persona is denied without metadata leakage.</x:v>
      </x:c>
      <x:c r="N896" s="35" t="str">
        <x:v>Persona/experience; navigation entry; desktop or device screenshots; result state; persisted read-back; audit/history; authorized and denied network result.</x:v>
      </x:c>
      <x:c r="O896" s="35" t="str">
        <x:v>Open the direct URL or deep link with an adjacent unauthorized persona and with stale scope; both fail closed and land safely without mutation.</x:v>
      </x:c>
      <x:c r="P896" s="35" t="str">
        <x:v>All expected records and amounts match; no unexplained error or stale state.</x:v>
      </x:c>
    </x:row>
    <x:row r="897">
      <x:c r="A897" s="20" t="str">
        <x:v>RUN-20270611-03</x:v>
      </x:c>
      <x:c r="B897" s="23" t="n">
        <x:v>46549</x:v>
      </x:c>
      <x:c r="C897" s="32" t="n">
        <x:v>3</x:v>
      </x:c>
      <x:c r="D897" s="20" t="str">
        <x:v>Field certification</x:v>
      </x:c>
      <x:c r="E897" s="20" t="str">
        <x:v>Leasing Agent</x:v>
      </x:c>
      <x:c r="F897" s="20" t="str">
        <x:v>Web</x:v>
      </x:c>
      <x:c r="G897" s="20" t="str">
        <x:v>Manual field-by-field</x:v>
      </x:c>
      <x:c r="H897" s="35" t="str">
        <x:v>Fill, save, reload, edit, and validate every declared field on /leases</x:v>
      </x:c>
      <x:c r="I897" s="35" t="str">
        <x:v>FLD-0452; FLD-0453; FLD-0454; FLD-0455; FLD-0456</x:v>
      </x:c>
      <x:c r="J897" s="35" t="str"/>
      <x:c r="K897" s="35" t="str"/>
      <x:c r="L897" s="35" t="str">
        <x:v>Use the source-derived Field Inventory. Enter non-default realistic values in every control (Select-5; Select-6; Select-7; Select-8; Select-9); submit; reload or relaunch; compare every value; edit each mutable field; verify the paired client; then run required, format, length, range, boundary, optional-null, and stale-submit checks.</x:v>
      </x:c>
      <x:c r="M897" s="35" t="str">
        <x:v>All 5 inventoried controls persist exact normalized values, invalid values stay unsaved with clear errors, and hidden/unauthorized fields cannot be altered.</x:v>
      </x:c>
      <x:c r="N897" s="35" t="str">
        <x:v>Before/after form screenshots; FLD IDs; API response; reloaded UI; paired-client read-back; database/audit evidence; negative validation result.</x:v>
      </x:c>
      <x:c r="O897" s="35" t="str">
        <x:v>Use a duplicate submit and one simulated network interruption; one atomic mutation or none, never partial state.</x:v>
      </x:c>
      <x:c r="P897" s="35" t="str">
        <x:v>All expected records and amounts match; no unexplained error or stale state.</x:v>
      </x:c>
    </x:row>
    <x:row r="898">
      <x:c r="A898" s="20" t="str">
        <x:v>RUN-20270611-04</x:v>
      </x:c>
      <x:c r="B898" s="23" t="n">
        <x:v>46549</x:v>
      </x:c>
      <x:c r="C898" s="32" t="n">
        <x:v>4</x:v>
      </x:c>
      <x:c r="D898" s="20" t="str">
        <x:v>Notification certification</x:v>
      </x:c>
      <x:c r="E898" s="20" t="str">
        <x:v>Property Manager + Tenant</x:v>
      </x:c>
      <x:c r="F898" s="20" t="str">
        <x:v>Web + Mobile</x:v>
      </x:c>
      <x:c r="G898" s="20" t="str">
        <x:v>System event + preference/manual verification</x:v>
      </x:c>
      <x:c r="H898" s="35" t="str">
        <x:v>Trigger and prove notification: Lease expires in 90/60/30 days</x:v>
      </x:c>
      <x:c r="I898" s="35" t="str">
        <x:v>NTF-021</x:v>
      </x:c>
      <x:c r="J898" s="35" t="str"/>
      <x:c r="K898" s="35" t="str"/>
      <x:c r="L898" s="35" t="str">
        <x:v>Set each recipient's preferences; trigger the real business event; inspect routing and recipient scope; verify unread badge, list item, safe preview, renewal action deep link, mark-read sync, configured channel outcome, provider failure/retry, and duplicate suppression.</x:v>
      </x:c>
      <x:c r="M898" s="35" t="str">
        <x:v>Exactly the intended recipients receive one correctly routed notification; disabled optional channels stay silent; deep link opens authorized context; read state synchronizes.</x:v>
      </x:c>
      <x:c r="N898" s="35" t="str">
        <x:v>Trigger record; routing decision; outbox/delivery status; web/mobile inbox; lock-screen-safe copy; deep-link target; audit/provider retry evidence.</x:v>
      </x:c>
      <x:c r="O898" s="35" t="str">
        <x:v>Re-run the worker and deliver a duplicate provider callback; no duplicate user-visible event. Attempt the deep link as an unauthorized adjacent role.</x:v>
      </x:c>
      <x:c r="P898" s="35" t="str">
        <x:v>All expected records and amounts match; no unexplained error or stale state.</x:v>
      </x:c>
    </x:row>
    <x:row r="899">
      <x:c r="A899" s="20" t="str">
        <x:v>RUN-20270612-01</x:v>
      </x:c>
      <x:c r="B899" s="23" t="n">
        <x:v>46550</x:v>
      </x:c>
      <x:c r="C899" s="32" t="n">
        <x:v>1</x:v>
      </x:c>
      <x:c r="D899" s="20" t="str">
        <x:v>Monthly operations</x:v>
      </x:c>
      <x:c r="E899" s="20" t="str">
        <x:v>Property Manager</x:v>
      </x:c>
      <x:c r="F899" s="20" t="str">
        <x:v>Mobile</x:v>
      </x:c>
      <x:c r="G899" s="20" t="str">
        <x:v>Scanned money order</x:v>
      </x:c>
      <x:c r="H899" s="35" t="str">
        <x:v>Post and allocate tenant receipt</x:v>
      </x:c>
      <x:c r="I899" s="35" t="str">
        <x:v>P011; U011; L011</x:v>
      </x:c>
      <x:c r="J899" s="35" t="str">
        <x:v>SCN-0197</x:v>
      </x:c>
      <x:c r="K899" s="35" t="str">
        <x:v>FIN-00441; FIN-00442</x:v>
      </x:c>
      <x:c r="L899" s="35" t="str">
        <x:v>Open Scan for paper payment or the tenant-account receipt form for electronic payment; verify tenant/lease match, amount, date, method, and reference; confirm once; open ledger detail and allocation.</x:v>
      </x:c>
      <x:c r="M899" s="35" t="str">
        <x:v>Receipt is append-only, allocated once to the correct rent charge, and visible consistently in Unit, Lease, Tenant Account, Accounting, and portal views.</x:v>
      </x:c>
      <x:c r="N899" s="35" t="str">
        <x:v>Scan review or form; success result; exact ledger rows; payment detail; accounting delta; portal receipt.</x:v>
      </x:c>
      <x:c r="O899" s="35" t="str">
        <x:v>Retry the idempotency key once during the quarter assigned in the coverage matrix; no duplicate cash or allocation.</x:v>
      </x:c>
      <x:c r="P899" s="35" t="str">
        <x:v>All expected records and amounts match; no unexplained error or stale state.</x:v>
      </x:c>
    </x:row>
    <x:row r="900">
      <x:c r="A900" s="20" t="str">
        <x:v>RUN-20270612-02</x:v>
      </x:c>
      <x:c r="B900" s="23" t="n">
        <x:v>46550</x:v>
      </x:c>
      <x:c r="C900" s="32" t="n">
        <x:v>2</x:v>
      </x:c>
      <x:c r="D900" s="20" t="str">
        <x:v>Monthly operations</x:v>
      </x:c>
      <x:c r="E900" s="20" t="str">
        <x:v>Property Manager</x:v>
      </x:c>
      <x:c r="F900" s="20" t="str">
        <x:v>Web</x:v>
      </x:c>
      <x:c r="G900" s="20" t="str">
        <x:v>Scanned check</x:v>
      </x:c>
      <x:c r="H900" s="35" t="str">
        <x:v>Post and allocate tenant receipt</x:v>
      </x:c>
      <x:c r="I900" s="35" t="str">
        <x:v>P021; U022; L022</x:v>
      </x:c>
      <x:c r="J900" s="35" t="str">
        <x:v>SCN-0204</x:v>
      </x:c>
      <x:c r="K900" s="35" t="str">
        <x:v>FIN-00464; FIN-00465</x:v>
      </x:c>
      <x:c r="L900" s="35" t="str">
        <x:v>Open Scan for paper payment or the tenant-account receipt form for electronic payment; verify tenant/lease match, amount, date, method, and reference; confirm once; open ledger detail and allocation.</x:v>
      </x:c>
      <x:c r="M900" s="35" t="str">
        <x:v>Receipt is append-only, allocated once to the correct rent charge, and visible consistently in Unit, Lease, Tenant Account, Accounting, and portal views.</x:v>
      </x:c>
      <x:c r="N900" s="35" t="str">
        <x:v>Scan review or form; success result; exact ledger rows; payment detail; accounting delta; portal receipt.</x:v>
      </x:c>
      <x:c r="O900" s="35" t="str">
        <x:v>Retry the idempotency key once during the quarter assigned in the coverage matrix; no duplicate cash or allocation.</x:v>
      </x:c>
      <x:c r="P900" s="35" t="str">
        <x:v>All expected records and amounts match; no unexplained error or stale state.</x:v>
      </x:c>
    </x:row>
    <x:row r="901">
      <x:c r="A901" s="20" t="str">
        <x:v>RUN-20270612-03</x:v>
      </x:c>
      <x:c r="B901" s="23" t="n">
        <x:v>46550</x:v>
      </x:c>
      <x:c r="C901" s="32" t="n">
        <x:v>3</x:v>
      </x:c>
      <x:c r="D901" s="20" t="str">
        <x:v>Monthly operations</x:v>
      </x:c>
      <x:c r="E901" s="20" t="str">
        <x:v>Property Manager</x:v>
      </x:c>
      <x:c r="F901" s="20" t="str">
        <x:v>Mobile</x:v>
      </x:c>
      <x:c r="G901" s="20" t="str">
        <x:v>Portal card</x:v>
      </x:c>
      <x:c r="H901" s="35" t="str">
        <x:v>Post and allocate tenant receipt</x:v>
      </x:c>
      <x:c r="I901" s="35" t="str">
        <x:v>P027; U033; L033</x:v>
      </x:c>
      <x:c r="J901" s="35" t="str"/>
      <x:c r="K901" s="35" t="str">
        <x:v>FIN-00489; FIN-00490</x:v>
      </x:c>
      <x:c r="L901" s="35" t="str">
        <x:v>Open Scan for paper payment or the tenant-account receipt form for electronic payment; verify tenant/lease match, amount, date, method, and reference; confirm once; open ledger detail and allocation.</x:v>
      </x:c>
      <x:c r="M901" s="35" t="str">
        <x:v>Receipt is append-only, allocated once to the correct rent charge, and visible consistently in Unit, Lease, Tenant Account, Accounting, and portal views.</x:v>
      </x:c>
      <x:c r="N901" s="35" t="str">
        <x:v>Scan review or form; success result; exact ledger rows; payment detail; accounting delta; portal receipt.</x:v>
      </x:c>
      <x:c r="O901" s="35" t="str">
        <x:v>Retry the idempotency key once during the quarter assigned in the coverage matrix; no duplicate cash or allocation.</x:v>
      </x:c>
      <x:c r="P901" s="35" t="str">
        <x:v>All expected records and amounts match; no unexplained error or stale state.</x:v>
      </x:c>
    </x:row>
    <x:row r="902">
      <x:c r="A902" s="20" t="str">
        <x:v>RUN-20270612-04</x:v>
      </x:c>
      <x:c r="B902" s="23" t="n">
        <x:v>46550</x:v>
      </x:c>
      <x:c r="C902" s="32" t="n">
        <x:v>4</x:v>
      </x:c>
      <x:c r="D902" s="20" t="str">
        <x:v>Monthly operations</x:v>
      </x:c>
      <x:c r="E902" s="20" t="str">
        <x:v>Property Manager</x:v>
      </x:c>
      <x:c r="F902" s="20" t="str">
        <x:v>Web</x:v>
      </x:c>
      <x:c r="G902" s="20" t="str">
        <x:v>Manual ACH</x:v>
      </x:c>
      <x:c r="H902" s="35" t="str">
        <x:v>Post and allocate tenant receipt</x:v>
      </x:c>
      <x:c r="I902" s="35" t="str">
        <x:v>P029; U038; L044</x:v>
      </x:c>
      <x:c r="J902" s="35" t="str"/>
      <x:c r="K902" s="35" t="str">
        <x:v>FIN-00503; FIN-00504</x:v>
      </x:c>
      <x:c r="L902" s="35" t="str">
        <x:v>Open Scan for paper payment or the tenant-account receipt form for electronic payment; verify tenant/lease match, amount, date, method, and reference; confirm once; open ledger detail and allocation.</x:v>
      </x:c>
      <x:c r="M902" s="35" t="str">
        <x:v>Receipt is append-only, allocated once to the correct rent charge, and visible consistently in Unit, Lease, Tenant Account, Accounting, and portal views.</x:v>
      </x:c>
      <x:c r="N902" s="35" t="str">
        <x:v>Scan review or form; success result; exact ledger rows; payment detail; accounting delta; portal receipt.</x:v>
      </x:c>
      <x:c r="O902" s="35" t="str">
        <x:v>Retry the idempotency key once during the quarter assigned in the coverage matrix; no duplicate cash or allocation.</x:v>
      </x:c>
      <x:c r="P902" s="35" t="str">
        <x:v>All expected records and amounts match; no unexplained error or stale state.</x:v>
      </x:c>
    </x:row>
    <x:row r="903">
      <x:c r="A903" s="20" t="str">
        <x:v>RUN-20270614-01</x:v>
      </x:c>
      <x:c r="B903" s="23" t="n">
        <x:v>46552</x:v>
      </x:c>
      <x:c r="C903" s="32" t="n">
        <x:v>1</x:v>
      </x:c>
      <x:c r="D903" s="20" t="str">
        <x:v>Weekly operations</x:v>
      </x:c>
      <x:c r="E903" s="20" t="str">
        <x:v>Property Manager</x:v>
      </x:c>
      <x:c r="F903" s="20" t="str">
        <x:v>Web</x:v>
      </x:c>
      <x:c r="G903" s="20" t="str">
        <x:v>Scan-first</x:v>
      </x:c>
      <x:c r="H903" s="35" t="str">
        <x:v>Create and triage maintenance request</x:v>
      </x:c>
      <x:c r="I903" s="35" t="str">
        <x:v>P009; U009; WO-2027-024</x:v>
      </x:c>
      <x:c r="J903" s="35" t="str">
        <x:v>SCN-0389</x:v>
      </x:c>
      <x:c r="K903" s="35" t="str"/>
      <x:c r="L903" s="35" t="str">
        <x:v>Capture the tenant note/photo; review slow kitchen drain; confirm; set responsibility; dispatch Summit Roofing; create an appointment and verify the tenant notification.</x:v>
      </x:c>
      <x:c r="M903" s="35" t="str">
        <x:v>Work order, status timeline, responsibility, vendor dispatch, appointment, notification, and Unit context are linked once.</x:v>
      </x:c>
      <x:c r="N903" s="35" t="str">
        <x:v>Scan review; work order detail/timeline; dispatch; appointment; notification; tenant portal view.</x:v>
      </x:c>
      <x:c r="O903" s="35" t="str">
        <x:v>Cancel one dispatch each quarter, reassign once, and prove status/history remains append-only.</x:v>
      </x:c>
      <x:c r="P903" s="35" t="str">
        <x:v>All expected records and amounts match; no unexplained error or stale state.</x:v>
      </x:c>
    </x:row>
    <x:row r="904">
      <x:c r="A904" s="20" t="str">
        <x:v>RUN-20270614-02</x:v>
      </x:c>
      <x:c r="B904" s="23" t="n">
        <x:v>46552</x:v>
      </x:c>
      <x:c r="C904" s="32" t="n">
        <x:v>2</x:v>
      </x:c>
      <x:c r="D904" s="20" t="str">
        <x:v>Delinquency and legal</x:v>
      </x:c>
      <x:c r="E904" s="20" t="str">
        <x:v>Workspace Administrator</x:v>
      </x:c>
      <x:c r="F904" s="20" t="str">
        <x:v>Web + Mobile</x:v>
      </x:c>
      <x:c r="G904" s="20" t="str">
        <x:v>Scanned document + manual legal workflow</x:v>
      </x:c>
      <x:c r="H904" s="35" t="str">
        <x:v>Open eviction case and add respondent</x:v>
      </x:c>
      <x:c r="I904" s="35" t="str">
        <x:v>L017; U017</x:v>
      </x:c>
      <x:c r="J904" s="35" t="str">
        <x:v>SCN-0949</x:v>
      </x:c>
      <x:c r="K904" s="35" t="str"/>
      <x:c r="L904" s="35" t="str">
        <x:v>Use only the synthetic template and dates in this plan; attach source, create/update the notice or eviction case, record the durable event, verify respondent and next action, and inspect tenant/Unit/lease context.</x:v>
      </x:c>
      <x:c r="M904" s="35" t="str">
        <x:v>Legal workflow state and source history advance without changing rent, occupancy, or possession facts by implication.</x:v>
      </x:c>
      <x:c r="N904" s="35" t="str">
        <x:v>Document preview; notice/case detail; event timeline; Unit/lease badges; audit; restricted-role check.</x:v>
      </x:c>
      <x:c r="O904" s="35" t="str">
        <x:v>Try a duplicate event and an event dated before case opening; validation is explicit and atomic.</x:v>
      </x:c>
      <x:c r="P904" s="35" t="str">
        <x:v>All expected records and amounts match; no unexplained error or stale state.</x:v>
      </x:c>
    </x:row>
    <x:row r="905">
      <x:c r="A905" s="20" t="str">
        <x:v>RUN-20270614-03</x:v>
      </x:c>
      <x:c r="B905" s="23" t="n">
        <x:v>46552</x:v>
      </x:c>
      <x:c r="C905" s="32" t="n">
        <x:v>3</x:v>
      </x:c>
      <x:c r="D905" s="20" t="str">
        <x:v>Role and screen certification</x:v>
      </x:c>
      <x:c r="E905" s="20" t="str">
        <x:v>Workspace Administrator</x:v>
      </x:c>
      <x:c r="F905" s="20" t="str">
        <x:v>Web</x:v>
      </x:c>
      <x:c r="G905" s="20" t="str">
        <x:v>Normal persona navigation</x:v>
      </x:c>
      <x:c r="H905" s="35" t="str">
        <x:v>Use every permitted action and state on /vendors/[id]</x:v>
      </x:c>
      <x:c r="I905" s="35" t="str">
        <x:v>SCR-085; ROLE-150</x:v>
      </x:c>
      <x:c r="J905" s="35" t="str"/>
      <x:c r="K905" s="35" t="str"/>
      <x:c r="L90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05" s="35" t="str">
        <x:v>The persona can use every allowed action with only its assigned properties/relationships. Hidden or disabled actions explain why; an adjacent unauthorized persona is denied without metadata leakage.</x:v>
      </x:c>
      <x:c r="N905" s="35" t="str">
        <x:v>Persona/experience; navigation entry; desktop or device screenshots; result state; persisted read-back; audit/history; authorized and denied network result.</x:v>
      </x:c>
      <x:c r="O905" s="35" t="str">
        <x:v>Open the direct URL or deep link with an adjacent unauthorized persona and with stale scope; both fail closed and land safely without mutation.</x:v>
      </x:c>
      <x:c r="P905" s="35" t="str">
        <x:v>All expected records and amounts match; no unexplained error or stale state.</x:v>
      </x:c>
    </x:row>
    <x:row r="906">
      <x:c r="A906" s="20" t="str">
        <x:v>RUN-20270614-04</x:v>
      </x:c>
      <x:c r="B906" s="23" t="n">
        <x:v>46552</x:v>
      </x:c>
      <x:c r="C906" s="32" t="n">
        <x:v>4</x:v>
      </x:c>
      <x:c r="D906" s="20" t="str">
        <x:v>Role and screen certification</x:v>
      </x:c>
      <x:c r="E906" s="20" t="str">
        <x:v>Property Manager</x:v>
      </x:c>
      <x:c r="F906" s="20" t="str">
        <x:v>Web</x:v>
      </x:c>
      <x:c r="G906" s="20" t="str">
        <x:v>Normal persona navigation</x:v>
      </x:c>
      <x:c r="H906" s="35" t="str">
        <x:v>Use every permitted action and state on /vendors/[id]</x:v>
      </x:c>
      <x:c r="I906" s="35" t="str">
        <x:v>SCR-085; ROLE-151</x:v>
      </x:c>
      <x:c r="J906" s="35" t="str"/>
      <x:c r="K906" s="35" t="str"/>
      <x:c r="L9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06" s="35" t="str">
        <x:v>The persona can use every allowed action with only its assigned properties/relationships. Hidden or disabled actions explain why; an adjacent unauthorized persona is denied without metadata leakage.</x:v>
      </x:c>
      <x:c r="N906" s="35" t="str">
        <x:v>Persona/experience; navigation entry; desktop or device screenshots; result state; persisted read-back; audit/history; authorized and denied network result.</x:v>
      </x:c>
      <x:c r="O906" s="35" t="str">
        <x:v>Open the direct URL or deep link with an adjacent unauthorized persona and with stale scope; both fail closed and land safely without mutation.</x:v>
      </x:c>
      <x:c r="P906" s="35" t="str">
        <x:v>All expected records and amounts match; no unexplained error or stale state.</x:v>
      </x:c>
    </x:row>
    <x:row r="907">
      <x:c r="A907" s="20" t="str">
        <x:v>RUN-20270614-05</x:v>
      </x:c>
      <x:c r="B907" s="23" t="n">
        <x:v>46552</x:v>
      </x:c>
      <x:c r="C907" s="32" t="n">
        <x:v>5</x:v>
      </x:c>
      <x:c r="D907" s="20" t="str">
        <x:v>Field certification</x:v>
      </x:c>
      <x:c r="E907" s="20" t="str">
        <x:v>Leasing Agent</x:v>
      </x:c>
      <x:c r="F907" s="20" t="str">
        <x:v>Web</x:v>
      </x:c>
      <x:c r="G907" s="20" t="str">
        <x:v>Manual field-by-field</x:v>
      </x:c>
      <x:c r="H907" s="35" t="str">
        <x:v>Fill, save, reload, edit, and validate every declared field on /leases</x:v>
      </x:c>
      <x:c r="I907" s="35" t="str">
        <x:v>FLD-0457; FLD-0458; FLD-0459</x:v>
      </x:c>
      <x:c r="J907" s="35" t="str"/>
      <x:c r="K907" s="35" t="str"/>
      <x:c r="L907" s="35" t="str">
        <x:v>Use the source-derived Field Inventory. Enter non-default realistic values in every control (Select-10; Select-11; Select-12); submit; reload or relaunch; compare every value; edit each mutable field; verify the paired client; then run required, format, length, range, boundary, optional-null, and stale-submit checks.</x:v>
      </x:c>
      <x:c r="M907" s="35" t="str">
        <x:v>All 3 inventoried controls persist exact normalized values, invalid values stay unsaved with clear errors, and hidden/unauthorized fields cannot be altered.</x:v>
      </x:c>
      <x:c r="N907" s="35" t="str">
        <x:v>Before/after form screenshots; FLD IDs; API response; reloaded UI; paired-client read-back; database/audit evidence; negative validation result.</x:v>
      </x:c>
      <x:c r="O907" s="35" t="str">
        <x:v>Use a duplicate submit and one simulated network interruption; one atomic mutation or none, never partial state.</x:v>
      </x:c>
      <x:c r="P907" s="35" t="str">
        <x:v>All expected records and amounts match; no unexplained error or stale state.</x:v>
      </x:c>
    </x:row>
    <x:row r="908">
      <x:c r="A908" s="20" t="str">
        <x:v>RUN-20270614-06</x:v>
      </x:c>
      <x:c r="B908" s="23" t="n">
        <x:v>46552</x:v>
      </x:c>
      <x:c r="C908" s="32" t="n">
        <x:v>6</x:v>
      </x:c>
      <x:c r="D908" s="20" t="str">
        <x:v>Field certification</x:v>
      </x:c>
      <x:c r="E908" s="20" t="str">
        <x:v>Leasing Agent</x:v>
      </x:c>
      <x:c r="F908" s="20" t="str">
        <x:v>Web</x:v>
      </x:c>
      <x:c r="G908" s="20" t="str">
        <x:v>Manual field-by-field</x:v>
      </x:c>
      <x:c r="H908" s="35" t="str">
        <x:v>Fill, save, reload, edit, and validate every declared field on /leasing/[record]/[id]</x:v>
      </x:c>
      <x:c r="I908" s="35" t="str">
        <x:v>FLD-0460</x:v>
      </x:c>
      <x:c r="J908" s="35" t="str"/>
      <x:c r="K908" s="35" t="str"/>
      <x:c r="L908" s="35" t="str">
        <x:v>Use the source-derived Field Inventory. Enter non-default realistic values in every control (replyBody); submit; reload or relaunch; compare every value; edit each mutable field; verify the paired client; then run required, format, length, range, boundary, optional-null, and stale-submit checks.</x:v>
      </x:c>
      <x:c r="M908" s="35" t="str">
        <x:v>All 1 inventoried controls persist exact normalized values, invalid values stay unsaved with clear errors, and hidden/unauthorized fields cannot be altered.</x:v>
      </x:c>
      <x:c r="N908" s="35" t="str">
        <x:v>Before/after form screenshots; FLD IDs; API response; reloaded UI; paired-client read-back; database/audit evidence; negative validation result.</x:v>
      </x:c>
      <x:c r="O908" s="35" t="str">
        <x:v>Use a duplicate submit and one simulated network interruption; one atomic mutation or none, never partial state.</x:v>
      </x:c>
      <x:c r="P908" s="35" t="str">
        <x:v>All expected records and amounts match; no unexplained error or stale state.</x:v>
      </x:c>
    </x:row>
    <x:row r="909">
      <x:c r="A909" s="20" t="str">
        <x:v>RUN-20270614-07</x:v>
      </x:c>
      <x:c r="B909" s="23" t="n">
        <x:v>46552</x:v>
      </x:c>
      <x:c r="C909" s="32" t="n">
        <x:v>7</x:v>
      </x:c>
      <x:c r="D909" s="20" t="str">
        <x:v>Lifecycle certification</x:v>
      </x:c>
      <x:c r="E909" s="20" t="str">
        <x:v>Property Manager</x:v>
      </x:c>
      <x:c r="F909" s="20" t="str">
        <x:v>Web + Mobile</x:v>
      </x:c>
      <x:c r="G909" s="20" t="str">
        <x:v>Manual + scan/attachment where supported</x:v>
      </x:c>
      <x:c r="H909" s="35" t="str">
        <x:v>Complete the full create/read/edit/lifecycle/delete-safe pass for Expense</x:v>
      </x:c>
      <x:c r="I909" s="35" t="str">
        <x:v>CRUD-015</x:v>
      </x:c>
      <x:c r="J909" s="35" t="str"/>
      <x:c r="K909" s="35" t="str"/>
      <x:c r="L909" s="35" t="str">
        <x:v>Use a dedicated disposable QA record and execute: scan/manual create; edit draft; attach; categorize; void/delete-safe; duplicate invoice. Fill every field referenced by field-inventory.csv. Verify confirmation copy, cancel path, final path, reload, other-client state, history, and role denial.</x:v>
      </x:c>
      <x:c r="M909" s="35" t="str">
        <x:v>Every supported transition succeeds exactly once; forbidden destructive actions are guarded; reversible deletion/deactivation works; financial and historical truth is preserved.</x:v>
      </x:c>
      <x:c r="N909" s="35" t="str">
        <x:v>Entity before/after; both clients; all FLD IDs; audit/history; notifications; authorized and unauthorized personas; API/DB state.</x:v>
      </x:c>
      <x:c r="O909" s="35" t="str">
        <x:v>Cancel the first destructive confirmation, then repeat and confirm; retry the mutation once; no double transition or orphan.</x:v>
      </x:c>
      <x:c r="P909" s="35" t="str">
        <x:v>All expected records and amounts match; no unexplained error or stale state.</x:v>
      </x:c>
    </x:row>
    <x:row r="910">
      <x:c r="A910" s="20" t="str">
        <x:v>RUN-20270614-08</x:v>
      </x:c>
      <x:c r="B910" s="23" t="n">
        <x:v>46552</x:v>
      </x:c>
      <x:c r="C910" s="32" t="n">
        <x:v>8</x:v>
      </x:c>
      <x:c r="D910" s="20" t="str">
        <x:v>Surface coverage</x:v>
      </x:c>
      <x:c r="E910" s="20" t="str">
        <x:v>Role appropriate to surface</x:v>
      </x:c>
      <x:c r="F910" s="20" t="str">
        <x:v>Mobile</x:v>
      </x:c>
      <x:c r="G910" s="20" t="str">
        <x:v>Scan/attachment</x:v>
      </x:c>
      <x:c r="H910" s="35" t="str">
        <x:v>Scan mobile pass: Banking connect/import/review/match</x:v>
      </x:c>
      <x:c r="I910" s="35" t="str">
        <x:v>COV-020</x:v>
      </x:c>
      <x:c r="J910" s="35" t="str"/>
      <x:c r="K910" s="35" t="str"/>
      <x:c r="L910" s="35" t="str">
        <x:v>Exercise not-configured state, manual connection/import, matching, duplicates, parked rows, and reconciliation.</x:v>
      </x:c>
      <x:c r="M910" s="35" t="str">
        <x:v>The supported workflow completes and persists correctly; if the capability is absent, the exact gap is proven and queued rather than silently skipped.</x:v>
      </x:c>
      <x:c r="N910" s="35" t="str">
        <x:v>Real UI screenshot/state; submitted values; persisted read-back; cross-client read-back; audit/role/access evidence.</x:v>
      </x:c>
      <x:c r="O910" s="35" t="str">
        <x:v>Use one invalid value, stale-state retry, or duplicate submission relevant to the form; no partial or duplicate mutation.</x:v>
      </x:c>
      <x:c r="P910" s="35" t="str">
        <x:v>All expected records and amounts match; no unexplained error or stale state.</x:v>
      </x:c>
    </x:row>
    <x:row r="911">
      <x:c r="A911" s="20" t="str">
        <x:v>RUN-20270615-01</x:v>
      </x:c>
      <x:c r="B911" s="23" t="n">
        <x:v>46553</x:v>
      </x:c>
      <x:c r="C911" s="32" t="n">
        <x:v>1</x:v>
      </x:c>
      <x:c r="D911" s="20" t="str">
        <x:v>Monthly operations</x:v>
      </x:c>
      <x:c r="E911" s="20" t="str">
        <x:v>Property Manager</x:v>
      </x:c>
      <x:c r="F911" s="20" t="str">
        <x:v>Mobile</x:v>
      </x:c>
      <x:c r="G911" s="20" t="str">
        <x:v>Scanned money order</x:v>
      </x:c>
      <x:c r="H911" s="35" t="str">
        <x:v>Post and allocate tenant receipt</x:v>
      </x:c>
      <x:c r="I911" s="35" t="str">
        <x:v>P017; U017; L017</x:v>
      </x:c>
      <x:c r="J911" s="35" t="str">
        <x:v>SCN-0201</x:v>
      </x:c>
      <x:c r="K911" s="35" t="str">
        <x:v>FIN-00452; FIN-00453</x:v>
      </x:c>
      <x:c r="L911" s="35" t="str">
        <x:v>Open Scan for paper payment or the tenant-account receipt form for electronic payment; verify tenant/lease match, amount, date, method, and reference; confirm once; open ledger detail and allocation.</x:v>
      </x:c>
      <x:c r="M911" s="35" t="str">
        <x:v>Receipt is append-only, allocated once to the correct rent charge, and visible consistently in Unit, Lease, Tenant Account, Accounting, and portal views.</x:v>
      </x:c>
      <x:c r="N911" s="35" t="str">
        <x:v>Scan review or form; success result; exact ledger rows; payment detail; accounting delta; portal receipt.</x:v>
      </x:c>
      <x:c r="O911" s="35" t="str">
        <x:v>Retry the idempotency key once during the quarter assigned in the coverage matrix; no duplicate cash or allocation.</x:v>
      </x:c>
      <x:c r="P911" s="35" t="str">
        <x:v>All expected records and amounts match; no unexplained error or stale state.</x:v>
      </x:c>
    </x:row>
    <x:row r="912">
      <x:c r="A912" s="20" t="str">
        <x:v>RUN-20270615-02</x:v>
      </x:c>
      <x:c r="B912" s="23" t="n">
        <x:v>46553</x:v>
      </x:c>
      <x:c r="C912" s="32" t="n">
        <x:v>2</x:v>
      </x:c>
      <x:c r="D912" s="20" t="str">
        <x:v>Weekly operations</x:v>
      </x:c>
      <x:c r="E912" s="20" t="str">
        <x:v>Property Manager</x:v>
      </x:c>
      <x:c r="F912" s="20" t="str">
        <x:v>Web</x:v>
      </x:c>
      <x:c r="G912" s="20" t="str">
        <x:v>Scanned receipt/invoice</x:v>
      </x:c>
      <x:c r="H912" s="35" t="str">
        <x:v>Record, review, allocate, and pay operating expense</x:v>
      </x:c>
      <x:c r="I912" s="35" t="str">
        <x:v>P009; U009; WO-2027-024</x:v>
      </x:c>
      <x:c r="J912" s="35" t="str">
        <x:v>SCN-0390</x:v>
      </x:c>
      <x:c r="K912" s="35" t="str">
        <x:v>FIN-01047</x:v>
      </x:c>
      <x:c r="L912" s="35" t="str">
        <x:v>Capture or upload the source; verify vendor, date, scope, category, line items, tax, amount, and work-order link; confirm; open detail; verify attachment; compare Money and Property/Unit views.</x:v>
      </x:c>
      <x:c r="M912" s="35" t="str">
        <x:v>One expense exists at its real operational scope, cash falls once, Schedule E category and allocations agree, and no per-unit copies are created.</x:v>
      </x:c>
      <x:c r="N912" s="35" t="str">
        <x:v>Source preview; review/form; expense detail; line items; Property/Unit ledger; audit; accounting/report delta.</x:v>
      </x:c>
      <x:c r="O912" s="35" t="str">
        <x:v>On marked duplicate-invoice cases, re-upload before confirm and prove the product prevents or clearly warns about duplication.</x:v>
      </x:c>
      <x:c r="P912" s="35" t="str">
        <x:v>All expected records and amounts match; no unexplained error or stale state.</x:v>
      </x:c>
    </x:row>
    <x:row r="913">
      <x:c r="A913" s="20" t="str">
        <x:v>RUN-20270615-03</x:v>
      </x:c>
      <x:c r="B913" s="23" t="n">
        <x:v>46553</x:v>
      </x:c>
      <x:c r="C913" s="32" t="n">
        <x:v>3</x:v>
      </x:c>
      <x:c r="D913" s="20" t="str">
        <x:v>Weekly operations</x:v>
      </x:c>
      <x:c r="E913" s="20" t="str">
        <x:v>Property Manager</x:v>
      </x:c>
      <x:c r="F913" s="20" t="str">
        <x:v>Mobile</x:v>
      </x:c>
      <x:c r="G913" s="20" t="str">
        <x:v>Scanned receipt/invoice</x:v>
      </x:c>
      <x:c r="H913" s="35" t="str">
        <x:v>Record, review, allocate, and pay operating expense</x:v>
      </x:c>
      <x:c r="I913" s="35" t="str">
        <x:v>P021; Property scope; </x:v>
      </x:c>
      <x:c r="J913" s="35" t="str">
        <x:v>SCN-0586</x:v>
      </x:c>
      <x:c r="K913" s="35" t="str">
        <x:v>FIN-01252</x:v>
      </x:c>
      <x:c r="L913" s="35" t="str">
        <x:v>Capture or upload the source; verify vendor, date, scope, category, line items, tax, amount, and work-order link; confirm; open detail; verify attachment; compare Money and Property/Unit views.</x:v>
      </x:c>
      <x:c r="M913" s="35" t="str">
        <x:v>One expense exists at its real operational scope, cash falls once, Schedule E category and allocations agree, and no per-unit copies are created.</x:v>
      </x:c>
      <x:c r="N913" s="35" t="str">
        <x:v>Source preview; review/form; expense detail; line items; Property/Unit ledger; audit; accounting/report delta.</x:v>
      </x:c>
      <x:c r="O913" s="35" t="str">
        <x:v>On marked duplicate-invoice cases, re-upload before confirm and prove the product prevents or clearly warns about duplication.</x:v>
      </x:c>
      <x:c r="P913" s="35" t="str">
        <x:v>All expected records and amounts match; no unexplained error or stale state.</x:v>
      </x:c>
    </x:row>
    <x:row r="914">
      <x:c r="A914" s="20" t="str">
        <x:v>RUN-20270615-04</x:v>
      </x:c>
      <x:c r="B914" s="23" t="n">
        <x:v>46553</x:v>
      </x:c>
      <x:c r="C914" s="32" t="n">
        <x:v>4</x:v>
      </x:c>
      <x:c r="D914" s="20" t="str">
        <x:v>Weekly operations</x:v>
      </x:c>
      <x:c r="E914" s="20" t="str">
        <x:v>Property Manager</x:v>
      </x:c>
      <x:c r="F914" s="20" t="str">
        <x:v>Web</x:v>
      </x:c>
      <x:c r="G914" s="20" t="str">
        <x:v>Scanned receipt/invoice</x:v>
      </x:c>
      <x:c r="H914" s="35" t="str">
        <x:v>Record, review, allocate, and pay operating expense</x:v>
      </x:c>
      <x:c r="I914" s="35" t="str">
        <x:v>P022; Property scope; </x:v>
      </x:c>
      <x:c r="J914" s="35" t="str">
        <x:v>SCN-0587</x:v>
      </x:c>
      <x:c r="K914" s="35" t="str">
        <x:v>FIN-01253</x:v>
      </x:c>
      <x:c r="L914" s="35" t="str">
        <x:v>Capture or upload the source; verify vendor, date, scope, category, line items, tax, amount, and work-order link; confirm; open detail; verify attachment; compare Money and Property/Unit views.</x:v>
      </x:c>
      <x:c r="M914" s="35" t="str">
        <x:v>One expense exists at its real operational scope, cash falls once, Schedule E category and allocations agree, and no per-unit copies are created.</x:v>
      </x:c>
      <x:c r="N914" s="35" t="str">
        <x:v>Source preview; review/form; expense detail; line items; Property/Unit ledger; audit; accounting/report delta.</x:v>
      </x:c>
      <x:c r="O914" s="35" t="str">
        <x:v>On marked duplicate-invoice cases, re-upload before confirm and prove the product prevents or clearly warns about duplication.</x:v>
      </x:c>
      <x:c r="P914" s="35" t="str">
        <x:v>All expected records and amounts match; no unexplained error or stale state.</x:v>
      </x:c>
    </x:row>
    <x:row r="915">
      <x:c r="A915" s="20" t="str">
        <x:v>RUN-20270615-05</x:v>
      </x:c>
      <x:c r="B915" s="23" t="n">
        <x:v>46553</x:v>
      </x:c>
      <x:c r="C915" s="32" t="n">
        <x:v>5</x:v>
      </x:c>
      <x:c r="D915" s="20" t="str">
        <x:v>Weekly operations</x:v>
      </x:c>
      <x:c r="E915" s="20" t="str">
        <x:v>Property Manager</x:v>
      </x:c>
      <x:c r="F915" s="20" t="str">
        <x:v>Mobile</x:v>
      </x:c>
      <x:c r="G915" s="20" t="str">
        <x:v>Scanned receipt/invoice</x:v>
      </x:c>
      <x:c r="H915" s="35" t="str">
        <x:v>Record, review, allocate, and pay operating expense</x:v>
      </x:c>
      <x:c r="I915" s="35" t="str">
        <x:v>P023; Property scope; </x:v>
      </x:c>
      <x:c r="J915" s="35" t="str">
        <x:v>SCN-0588</x:v>
      </x:c>
      <x:c r="K915" s="35" t="str">
        <x:v>FIN-01254</x:v>
      </x:c>
      <x:c r="L915" s="35" t="str">
        <x:v>Capture or upload the source; verify vendor, date, scope, category, line items, tax, amount, and work-order link; confirm; open detail; verify attachment; compare Money and Property/Unit views.</x:v>
      </x:c>
      <x:c r="M915" s="35" t="str">
        <x:v>One expense exists at its real operational scope, cash falls once, Schedule E category and allocations agree, and no per-unit copies are created.</x:v>
      </x:c>
      <x:c r="N915" s="35" t="str">
        <x:v>Source preview; review/form; expense detail; line items; Property/Unit ledger; audit; accounting/report delta.</x:v>
      </x:c>
      <x:c r="O915" s="35" t="str">
        <x:v>On marked duplicate-invoice cases, re-upload before confirm and prove the product prevents or clearly warns about duplication.</x:v>
      </x:c>
      <x:c r="P915" s="35" t="str">
        <x:v>All expected records and amounts match; no unexplained error or stale state.</x:v>
      </x:c>
    </x:row>
    <x:row r="916">
      <x:c r="A916" s="20" t="str">
        <x:v>RUN-20270615-06</x:v>
      </x:c>
      <x:c r="B916" s="23" t="n">
        <x:v>46553</x:v>
      </x:c>
      <x:c r="C916" s="32" t="n">
        <x:v>6</x:v>
      </x:c>
      <x:c r="D916" s="20" t="str">
        <x:v>Weekly operations</x:v>
      </x:c>
      <x:c r="E916" s="20" t="str">
        <x:v>Property Manager</x:v>
      </x:c>
      <x:c r="F916" s="20" t="str">
        <x:v>Web</x:v>
      </x:c>
      <x:c r="G916" s="20" t="str">
        <x:v>Scanned receipt/invoice</x:v>
      </x:c>
      <x:c r="H916" s="35" t="str">
        <x:v>Record, review, allocate, and pay operating expense</x:v>
      </x:c>
      <x:c r="I916" s="35" t="str">
        <x:v>P024; Property scope; </x:v>
      </x:c>
      <x:c r="J916" s="35" t="str">
        <x:v>SCN-0589</x:v>
      </x:c>
      <x:c r="K916" s="35" t="str">
        <x:v>FIN-01255</x:v>
      </x:c>
      <x:c r="L916" s="35" t="str">
        <x:v>Capture or upload the source; verify vendor, date, scope, category, line items, tax, amount, and work-order link; confirm; open detail; verify attachment; compare Money and Property/Unit views.</x:v>
      </x:c>
      <x:c r="M916" s="35" t="str">
        <x:v>One expense exists at its real operational scope, cash falls once, Schedule E category and allocations agree, and no per-unit copies are created.</x:v>
      </x:c>
      <x:c r="N916" s="35" t="str">
        <x:v>Source preview; review/form; expense detail; line items; Property/Unit ledger; audit; accounting/report delta.</x:v>
      </x:c>
      <x:c r="O916" s="35" t="str">
        <x:v>On marked duplicate-invoice cases, re-upload before confirm and prove the product prevents or clearly warns about duplication.</x:v>
      </x:c>
      <x:c r="P916" s="35" t="str">
        <x:v>All expected records and amounts match; no unexplained error or stale state.</x:v>
      </x:c>
    </x:row>
    <x:row r="917">
      <x:c r="A917" s="20" t="str">
        <x:v>RUN-20270615-07</x:v>
      </x:c>
      <x:c r="B917" s="23" t="n">
        <x:v>46553</x:v>
      </x:c>
      <x:c r="C917" s="32" t="n">
        <x:v>7</x:v>
      </x:c>
      <x:c r="D917" s="20" t="str">
        <x:v>Weekly operations</x:v>
      </x:c>
      <x:c r="E917" s="20" t="str">
        <x:v>Property Manager</x:v>
      </x:c>
      <x:c r="F917" s="20" t="str">
        <x:v>Mobile</x:v>
      </x:c>
      <x:c r="G917" s="20" t="str">
        <x:v>Manual web form</x:v>
      </x:c>
      <x:c r="H917" s="35" t="str">
        <x:v>Record, review, allocate, and pay operating expense</x:v>
      </x:c>
      <x:c r="I917" s="35" t="str">
        <x:v>P025; Property scope; </x:v>
      </x:c>
      <x:c r="J917" s="35" t="str"/>
      <x:c r="K917" s="35" t="str">
        <x:v>FIN-01256</x:v>
      </x:c>
      <x:c r="L917" s="35" t="str">
        <x:v>Capture or upload the source; verify vendor, date, scope, category, line items, tax, amount, and work-order link; confirm; open detail; verify attachment; compare Money and Property/Unit views.</x:v>
      </x:c>
      <x:c r="M917" s="35" t="str">
        <x:v>One expense exists at its real operational scope, cash falls once, Schedule E category and allocations agree, and no per-unit copies are created.</x:v>
      </x:c>
      <x:c r="N917" s="35" t="str">
        <x:v>Source preview; review/form; expense detail; line items; Property/Unit ledger; audit; accounting/report delta.</x:v>
      </x:c>
      <x:c r="O917" s="35" t="str">
        <x:v>On marked duplicate-invoice cases, re-upload before confirm and prove the product prevents or clearly warns about duplication.</x:v>
      </x:c>
      <x:c r="P917" s="35" t="str">
        <x:v>All expected records and amounts match; no unexplained error or stale state.</x:v>
      </x:c>
    </x:row>
    <x:row r="918">
      <x:c r="A918" s="20" t="str">
        <x:v>RUN-20270615-08</x:v>
      </x:c>
      <x:c r="B918" s="23" t="n">
        <x:v>46553</x:v>
      </x:c>
      <x:c r="C918" s="32" t="n">
        <x:v>8</x:v>
      </x:c>
      <x:c r="D918" s="20" t="str">
        <x:v>Weekly operations</x:v>
      </x:c>
      <x:c r="E918" s="20" t="str">
        <x:v>Property Manager</x:v>
      </x:c>
      <x:c r="F918" s="20" t="str">
        <x:v>Web</x:v>
      </x:c>
      <x:c r="G918" s="20" t="str">
        <x:v>Scanned receipt/invoice</x:v>
      </x:c>
      <x:c r="H918" s="35" t="str">
        <x:v>Record, review, allocate, and pay operating expense</x:v>
      </x:c>
      <x:c r="I918" s="35" t="str">
        <x:v>P026; Property scope; </x:v>
      </x:c>
      <x:c r="J918" s="35" t="str">
        <x:v>SCN-0590</x:v>
      </x:c>
      <x:c r="K918" s="35" t="str">
        <x:v>FIN-01257</x:v>
      </x:c>
      <x:c r="L918" s="35" t="str">
        <x:v>Capture or upload the source; verify vendor, date, scope, category, line items, tax, amount, and work-order link; confirm; open detail; verify attachment; compare Money and Property/Unit views.</x:v>
      </x:c>
      <x:c r="M918" s="35" t="str">
        <x:v>One expense exists at its real operational scope, cash falls once, Schedule E category and allocations agree, and no per-unit copies are created.</x:v>
      </x:c>
      <x:c r="N918" s="35" t="str">
        <x:v>Source preview; review/form; expense detail; line items; Property/Unit ledger; audit; accounting/report delta.</x:v>
      </x:c>
      <x:c r="O918" s="35" t="str">
        <x:v>On marked duplicate-invoice cases, re-upload before confirm and prove the product prevents or clearly warns about duplication.</x:v>
      </x:c>
      <x:c r="P918" s="35" t="str">
        <x:v>All expected records and amounts match; no unexplained error or stale state.</x:v>
      </x:c>
    </x:row>
    <x:row r="919">
      <x:c r="A919" s="20" t="str">
        <x:v>RUN-20270615-09</x:v>
      </x:c>
      <x:c r="B919" s="23" t="n">
        <x:v>46553</x:v>
      </x:c>
      <x:c r="C919" s="32" t="n">
        <x:v>9</x:v>
      </x:c>
      <x:c r="D919" s="20" t="str">
        <x:v>Weekly operations</x:v>
      </x:c>
      <x:c r="E919" s="20" t="str">
        <x:v>Property Manager</x:v>
      </x:c>
      <x:c r="F919" s="20" t="str">
        <x:v>Mobile</x:v>
      </x:c>
      <x:c r="G919" s="20" t="str">
        <x:v>Scanned receipt/invoice</x:v>
      </x:c>
      <x:c r="H919" s="35" t="str">
        <x:v>Record, review, allocate, and pay operating expense</x:v>
      </x:c>
      <x:c r="I919" s="35" t="str">
        <x:v>P027; Property scope; </x:v>
      </x:c>
      <x:c r="J919" s="35" t="str">
        <x:v>SCN-0591</x:v>
      </x:c>
      <x:c r="K919" s="35" t="str">
        <x:v>FIN-01258</x:v>
      </x:c>
      <x:c r="L919" s="35" t="str">
        <x:v>Capture or upload the source; verify vendor, date, scope, category, line items, tax, amount, and work-order link; confirm; open detail; verify attachment; compare Money and Property/Unit views.</x:v>
      </x:c>
      <x:c r="M919" s="35" t="str">
        <x:v>One expense exists at its real operational scope, cash falls once, Schedule E category and allocations agree, and no per-unit copies are created.</x:v>
      </x:c>
      <x:c r="N919" s="35" t="str">
        <x:v>Source preview; review/form; expense detail; line items; Property/Unit ledger; audit; accounting/report delta.</x:v>
      </x:c>
      <x:c r="O919" s="35" t="str">
        <x:v>On marked duplicate-invoice cases, re-upload before confirm and prove the product prevents or clearly warns about duplication.</x:v>
      </x:c>
      <x:c r="P919" s="35" t="str">
        <x:v>All expected records and amounts match; no unexplained error or stale state.</x:v>
      </x:c>
    </x:row>
    <x:row r="920">
      <x:c r="A920" s="20" t="str">
        <x:v>RUN-20270615-10</x:v>
      </x:c>
      <x:c r="B920" s="23" t="n">
        <x:v>46553</x:v>
      </x:c>
      <x:c r="C920" s="32" t="n">
        <x:v>10</x:v>
      </x:c>
      <x:c r="D920" s="20" t="str">
        <x:v>Weekly operations</x:v>
      </x:c>
      <x:c r="E920" s="20" t="str">
        <x:v>Property Manager</x:v>
      </x:c>
      <x:c r="F920" s="20" t="str">
        <x:v>Web</x:v>
      </x:c>
      <x:c r="G920" s="20" t="str">
        <x:v>Scanned receipt/invoice</x:v>
      </x:c>
      <x:c r="H920" s="35" t="str">
        <x:v>Record, review, allocate, and pay operating expense</x:v>
      </x:c>
      <x:c r="I920" s="35" t="str">
        <x:v>P028; Property scope; </x:v>
      </x:c>
      <x:c r="J920" s="35" t="str">
        <x:v>SCN-0592</x:v>
      </x:c>
      <x:c r="K920" s="35" t="str">
        <x:v>FIN-01259</x:v>
      </x:c>
      <x:c r="L920" s="35" t="str">
        <x:v>Capture or upload the source; verify vendor, date, scope, category, line items, tax, amount, and work-order link; confirm; open detail; verify attachment; compare Money and Property/Unit views.</x:v>
      </x:c>
      <x:c r="M920" s="35" t="str">
        <x:v>One expense exists at its real operational scope, cash falls once, Schedule E category and allocations agree, and no per-unit copies are created.</x:v>
      </x:c>
      <x:c r="N920" s="35" t="str">
        <x:v>Source preview; review/form; expense detail; line items; Property/Unit ledger; audit; accounting/report delta.</x:v>
      </x:c>
      <x:c r="O920" s="35" t="str">
        <x:v>On marked duplicate-invoice cases, re-upload before confirm and prove the product prevents or clearly warns about duplication.</x:v>
      </x:c>
      <x:c r="P920" s="35" t="str">
        <x:v>All expected records and amounts match; no unexplained error or stale state.</x:v>
      </x:c>
    </x:row>
    <x:row r="921">
      <x:c r="A921" s="20" t="str">
        <x:v>RUN-20270615-11</x:v>
      </x:c>
      <x:c r="B921" s="23" t="n">
        <x:v>46553</x:v>
      </x:c>
      <x:c r="C921" s="32" t="n">
        <x:v>11</x:v>
      </x:c>
      <x:c r="D921" s="20" t="str">
        <x:v>Weekly operations</x:v>
      </x:c>
      <x:c r="E921" s="20" t="str">
        <x:v>Property Manager</x:v>
      </x:c>
      <x:c r="F921" s="20" t="str">
        <x:v>Mobile</x:v>
      </x:c>
      <x:c r="G921" s="20" t="str">
        <x:v>Scanned receipt/invoice</x:v>
      </x:c>
      <x:c r="H921" s="35" t="str">
        <x:v>Record, review, allocate, and pay operating expense</x:v>
      </x:c>
      <x:c r="I921" s="35" t="str">
        <x:v>P029; Property scope; </x:v>
      </x:c>
      <x:c r="J921" s="35" t="str">
        <x:v>SCN-0593</x:v>
      </x:c>
      <x:c r="K921" s="35" t="str">
        <x:v>FIN-01260</x:v>
      </x:c>
      <x:c r="L921" s="35" t="str">
        <x:v>Capture or upload the source; verify vendor, date, scope, category, line items, tax, amount, and work-order link; confirm; open detail; verify attachment; compare Money and Property/Unit views.</x:v>
      </x:c>
      <x:c r="M921" s="35" t="str">
        <x:v>One expense exists at its real operational scope, cash falls once, Schedule E category and allocations agree, and no per-unit copies are created.</x:v>
      </x:c>
      <x:c r="N921" s="35" t="str">
        <x:v>Source preview; review/form; expense detail; line items; Property/Unit ledger; audit; accounting/report delta.</x:v>
      </x:c>
      <x:c r="O921" s="35" t="str">
        <x:v>On marked duplicate-invoice cases, re-upload before confirm and prove the product prevents or clearly warns about duplication.</x:v>
      </x:c>
      <x:c r="P921" s="35" t="str">
        <x:v>All expected records and amounts match; no unexplained error or stale state.</x:v>
      </x:c>
    </x:row>
    <x:row r="922">
      <x:c r="A922" s="20" t="str">
        <x:v>RUN-20270615-12</x:v>
      </x:c>
      <x:c r="B922" s="23" t="n">
        <x:v>46553</x:v>
      </x:c>
      <x:c r="C922" s="32" t="n">
        <x:v>12</x:v>
      </x:c>
      <x:c r="D922" s="20" t="str">
        <x:v>Weekly operations</x:v>
      </x:c>
      <x:c r="E922" s="20" t="str">
        <x:v>Property Manager</x:v>
      </x:c>
      <x:c r="F922" s="20" t="str">
        <x:v>Web</x:v>
      </x:c>
      <x:c r="G922" s="20" t="str">
        <x:v>Manual mobile form</x:v>
      </x:c>
      <x:c r="H922" s="35" t="str">
        <x:v>Record, review, allocate, and pay operating expense</x:v>
      </x:c>
      <x:c r="I922" s="35" t="str">
        <x:v>P030; Property scope; </x:v>
      </x:c>
      <x:c r="J922" s="35" t="str"/>
      <x:c r="K922" s="35" t="str">
        <x:v>FIN-01261</x:v>
      </x:c>
      <x:c r="L922" s="35" t="str">
        <x:v>Capture or upload the source; verify vendor, date, scope, category, line items, tax, amount, and work-order link; confirm; open detail; verify attachment; compare Money and Property/Unit views.</x:v>
      </x:c>
      <x:c r="M922" s="35" t="str">
        <x:v>One expense exists at its real operational scope, cash falls once, Schedule E category and allocations agree, and no per-unit copies are created.</x:v>
      </x:c>
      <x:c r="N922" s="35" t="str">
        <x:v>Source preview; review/form; expense detail; line items; Property/Unit ledger; audit; accounting/report delta.</x:v>
      </x:c>
      <x:c r="O922" s="35" t="str">
        <x:v>On marked duplicate-invoice cases, re-upload before confirm and prove the product prevents or clearly warns about duplication.</x:v>
      </x:c>
      <x:c r="P922" s="35" t="str">
        <x:v>All expected records and amounts match; no unexplained error or stale state.</x:v>
      </x:c>
    </x:row>
    <x:row r="923">
      <x:c r="A923" s="20" t="str">
        <x:v>RUN-20270615-13</x:v>
      </x:c>
      <x:c r="B923" s="23" t="n">
        <x:v>46553</x:v>
      </x:c>
      <x:c r="C923" s="32" t="n">
        <x:v>13</x:v>
      </x:c>
      <x:c r="D923" s="20" t="str">
        <x:v>Role and screen certification</x:v>
      </x:c>
      <x:c r="E923" s="20" t="str">
        <x:v>Workspace Administrator</x:v>
      </x:c>
      <x:c r="F923" s="20" t="str">
        <x:v>Web</x:v>
      </x:c>
      <x:c r="G923" s="20" t="str">
        <x:v>Normal persona navigation</x:v>
      </x:c>
      <x:c r="H923" s="35" t="str">
        <x:v>Use every permitted action and state on /docs</x:v>
      </x:c>
      <x:c r="I923" s="35" t="str">
        <x:v>SCR-086; ROLE-152</x:v>
      </x:c>
      <x:c r="J923" s="35" t="str"/>
      <x:c r="K923" s="35" t="str"/>
      <x:c r="L92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3" s="35" t="str">
        <x:v>The persona can use every allowed action with only its assigned properties/relationships. Hidden or disabled actions explain why; an adjacent unauthorized persona is denied without metadata leakage.</x:v>
      </x:c>
      <x:c r="N923" s="35" t="str">
        <x:v>Persona/experience; navigation entry; desktop or device screenshots; result state; persisted read-back; audit/history; authorized and denied network result.</x:v>
      </x:c>
      <x:c r="O923" s="35" t="str">
        <x:v>Open the direct URL or deep link with an adjacent unauthorized persona and with stale scope; both fail closed and land safely without mutation.</x:v>
      </x:c>
      <x:c r="P923" s="35" t="str">
        <x:v>All expected records and amounts match; no unexplained error or stale state.</x:v>
      </x:c>
    </x:row>
    <x:row r="924">
      <x:c r="A924" s="20" t="str">
        <x:v>RUN-20270615-14</x:v>
      </x:c>
      <x:c r="B924" s="23" t="n">
        <x:v>46553</x:v>
      </x:c>
      <x:c r="C924" s="32" t="n">
        <x:v>14</x:v>
      </x:c>
      <x:c r="D924" s="20" t="str">
        <x:v>Role and screen certification</x:v>
      </x:c>
      <x:c r="E924" s="20" t="str">
        <x:v>Property Manager</x:v>
      </x:c>
      <x:c r="F924" s="20" t="str">
        <x:v>Web</x:v>
      </x:c>
      <x:c r="G924" s="20" t="str">
        <x:v>Normal persona navigation</x:v>
      </x:c>
      <x:c r="H924" s="35" t="str">
        <x:v>Use every permitted action and state on /docs</x:v>
      </x:c>
      <x:c r="I924" s="35" t="str">
        <x:v>SCR-086; ROLE-153</x:v>
      </x:c>
      <x:c r="J924" s="35" t="str"/>
      <x:c r="K924" s="35" t="str"/>
      <x:c r="L92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4" s="35" t="str">
        <x:v>The persona can use every allowed action with only its assigned properties/relationships. Hidden or disabled actions explain why; an adjacent unauthorized persona is denied without metadata leakage.</x:v>
      </x:c>
      <x:c r="N924" s="35" t="str">
        <x:v>Persona/experience; navigation entry; desktop or device screenshots; result state; persisted read-back; audit/history; authorized and denied network result.</x:v>
      </x:c>
      <x:c r="O924" s="35" t="str">
        <x:v>Open the direct URL or deep link with an adjacent unauthorized persona and with stale scope; both fail closed and land safely without mutation.</x:v>
      </x:c>
      <x:c r="P924" s="35" t="str">
        <x:v>All expected records and amounts match; no unexplained error or stale state.</x:v>
      </x:c>
    </x:row>
    <x:row r="925">
      <x:c r="A925" s="20" t="str">
        <x:v>RUN-20270615-15</x:v>
      </x:c>
      <x:c r="B925" s="23" t="n">
        <x:v>46553</x:v>
      </x:c>
      <x:c r="C925" s="32" t="n">
        <x:v>15</x:v>
      </x:c>
      <x:c r="D925" s="20" t="str">
        <x:v>Role and screen certification</x:v>
      </x:c>
      <x:c r="E925" s="20" t="str">
        <x:v>Leasing Agent</x:v>
      </x:c>
      <x:c r="F925" s="20" t="str">
        <x:v>Web</x:v>
      </x:c>
      <x:c r="G925" s="20" t="str">
        <x:v>Normal persona navigation</x:v>
      </x:c>
      <x:c r="H925" s="35" t="str">
        <x:v>Use every permitted action and state on /docs</x:v>
      </x:c>
      <x:c r="I925" s="35" t="str">
        <x:v>SCR-086; ROLE-154</x:v>
      </x:c>
      <x:c r="J925" s="35" t="str"/>
      <x:c r="K925" s="35" t="str"/>
      <x:c r="L92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5" s="35" t="str">
        <x:v>The persona can use every allowed action with only its assigned properties/relationships. Hidden or disabled actions explain why; an adjacent unauthorized persona is denied without metadata leakage.</x:v>
      </x:c>
      <x:c r="N925" s="35" t="str">
        <x:v>Persona/experience; navigation entry; desktop or device screenshots; result state; persisted read-back; audit/history; authorized and denied network result.</x:v>
      </x:c>
      <x:c r="O925" s="35" t="str">
        <x:v>Open the direct URL or deep link with an adjacent unauthorized persona and with stale scope; both fail closed and land safely without mutation.</x:v>
      </x:c>
      <x:c r="P925" s="35" t="str">
        <x:v>All expected records and amounts match; no unexplained error or stale state.</x:v>
      </x:c>
    </x:row>
    <x:row r="926">
      <x:c r="A926" s="20" t="str">
        <x:v>RUN-20270615-16</x:v>
      </x:c>
      <x:c r="B926" s="23" t="n">
        <x:v>46553</x:v>
      </x:c>
      <x:c r="C926" s="32" t="n">
        <x:v>16</x:v>
      </x:c>
      <x:c r="D926" s="20" t="str">
        <x:v>Role and screen certification</x:v>
      </x:c>
      <x:c r="E926" s="20" t="str">
        <x:v>Maintenance Technician</x:v>
      </x:c>
      <x:c r="F926" s="20" t="str">
        <x:v>Web</x:v>
      </x:c>
      <x:c r="G926" s="20" t="str">
        <x:v>Normal persona navigation</x:v>
      </x:c>
      <x:c r="H926" s="35" t="str">
        <x:v>Use every permitted action and state on /docs</x:v>
      </x:c>
      <x:c r="I926" s="35" t="str">
        <x:v>SCR-086; ROLE-155</x:v>
      </x:c>
      <x:c r="J926" s="35" t="str"/>
      <x:c r="K926" s="35" t="str"/>
      <x:c r="L92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6" s="35" t="str">
        <x:v>The persona can use every allowed action with only its assigned properties/relationships. Hidden or disabled actions explain why; an adjacent unauthorized persona is denied without metadata leakage.</x:v>
      </x:c>
      <x:c r="N926" s="35" t="str">
        <x:v>Persona/experience; navigation entry; desktop or device screenshots; result state; persisted read-back; audit/history; authorized and denied network result.</x:v>
      </x:c>
      <x:c r="O926" s="35" t="str">
        <x:v>Open the direct URL or deep link with an adjacent unauthorized persona and with stale scope; both fail closed and land safely without mutation.</x:v>
      </x:c>
      <x:c r="P926" s="35" t="str">
        <x:v>All expected records and amounts match; no unexplained error or stale state.</x:v>
      </x:c>
    </x:row>
    <x:row r="927">
      <x:c r="A927" s="20" t="str">
        <x:v>RUN-20270615-17</x:v>
      </x:c>
      <x:c r="B927" s="23" t="n">
        <x:v>46553</x:v>
      </x:c>
      <x:c r="C927" s="32" t="n">
        <x:v>17</x:v>
      </x:c>
      <x:c r="D927" s="20" t="str">
        <x:v>Role and screen certification</x:v>
      </x:c>
      <x:c r="E927" s="20" t="str">
        <x:v>Owner</x:v>
      </x:c>
      <x:c r="F927" s="20" t="str">
        <x:v>Web</x:v>
      </x:c>
      <x:c r="G927" s="20" t="str">
        <x:v>Normal persona navigation</x:v>
      </x:c>
      <x:c r="H927" s="35" t="str">
        <x:v>Use every permitted action and state on /docs</x:v>
      </x:c>
      <x:c r="I927" s="35" t="str">
        <x:v>SCR-086; ROLE-156</x:v>
      </x:c>
      <x:c r="J927" s="35" t="str"/>
      <x:c r="K927" s="35" t="str"/>
      <x:c r="L92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7" s="35" t="str">
        <x:v>The persona can use every allowed action with only its assigned properties/relationships. Hidden or disabled actions explain why; an adjacent unauthorized persona is denied without metadata leakage.</x:v>
      </x:c>
      <x:c r="N927" s="35" t="str">
        <x:v>Persona/experience; navigation entry; desktop or device screenshots; result state; persisted read-back; audit/history; authorized and denied network result.</x:v>
      </x:c>
      <x:c r="O927" s="35" t="str">
        <x:v>Open the direct URL or deep link with an adjacent unauthorized persona and with stale scope; both fail closed and land safely without mutation.</x:v>
      </x:c>
      <x:c r="P927" s="35" t="str">
        <x:v>All expected records and amounts match; no unexplained error or stale state.</x:v>
      </x:c>
    </x:row>
    <x:row r="928">
      <x:c r="A928" s="20" t="str">
        <x:v>RUN-20270615-18</x:v>
      </x:c>
      <x:c r="B928" s="23" t="n">
        <x:v>46553</x:v>
      </x:c>
      <x:c r="C928" s="32" t="n">
        <x:v>18</x:v>
      </x:c>
      <x:c r="D928" s="20" t="str">
        <x:v>Role and screen certification</x:v>
      </x:c>
      <x:c r="E928" s="20" t="str">
        <x:v>Tenant</x:v>
      </x:c>
      <x:c r="F928" s="20" t="str">
        <x:v>Web</x:v>
      </x:c>
      <x:c r="G928" s="20" t="str">
        <x:v>Normal persona navigation</x:v>
      </x:c>
      <x:c r="H928" s="35" t="str">
        <x:v>Use every permitted action and state on /docs</x:v>
      </x:c>
      <x:c r="I928" s="35" t="str">
        <x:v>SCR-086; ROLE-157</x:v>
      </x:c>
      <x:c r="J928" s="35" t="str"/>
      <x:c r="K928" s="35" t="str"/>
      <x:c r="L92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8" s="35" t="str">
        <x:v>The persona can use every allowed action with only its assigned properties/relationships. Hidden or disabled actions explain why; an adjacent unauthorized persona is denied without metadata leakage.</x:v>
      </x:c>
      <x:c r="N928" s="35" t="str">
        <x:v>Persona/experience; navigation entry; desktop or device screenshots; result state; persisted read-back; audit/history; authorized and denied network result.</x:v>
      </x:c>
      <x:c r="O928" s="35" t="str">
        <x:v>Open the direct URL or deep link with an adjacent unauthorized persona and with stale scope; both fail closed and land safely without mutation.</x:v>
      </x:c>
      <x:c r="P928" s="35" t="str">
        <x:v>All expected records and amounts match; no unexplained error or stale state.</x:v>
      </x:c>
    </x:row>
    <x:row r="929">
      <x:c r="A929" s="20" t="str">
        <x:v>RUN-20270615-19</x:v>
      </x:c>
      <x:c r="B929" s="23" t="n">
        <x:v>46553</x:v>
      </x:c>
      <x:c r="C929" s="32" t="n">
        <x:v>19</x:v>
      </x:c>
      <x:c r="D929" s="20" t="str">
        <x:v>Role and screen certification</x:v>
      </x:c>
      <x:c r="E929" s="20" t="str">
        <x:v>Applicant / public user</x:v>
      </x:c>
      <x:c r="F929" s="20" t="str">
        <x:v>Web</x:v>
      </x:c>
      <x:c r="G929" s="20" t="str">
        <x:v>Normal persona navigation</x:v>
      </x:c>
      <x:c r="H929" s="35" t="str">
        <x:v>Use every permitted action and state on /docs</x:v>
      </x:c>
      <x:c r="I929" s="35" t="str">
        <x:v>SCR-086; ROLE-158</x:v>
      </x:c>
      <x:c r="J929" s="35" t="str"/>
      <x:c r="K929" s="35" t="str"/>
      <x:c r="L92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29" s="35" t="str">
        <x:v>The persona can use every allowed action with only its assigned properties/relationships. Hidden or disabled actions explain why; an adjacent unauthorized persona is denied without metadata leakage.</x:v>
      </x:c>
      <x:c r="N929" s="35" t="str">
        <x:v>Persona/experience; navigation entry; desktop or device screenshots; result state; persisted read-back; audit/history; authorized and denied network result.</x:v>
      </x:c>
      <x:c r="O929" s="35" t="str">
        <x:v>Open the direct URL or deep link with an adjacent unauthorized persona and with stale scope; both fail closed and land safely without mutation.</x:v>
      </x:c>
      <x:c r="P929" s="35" t="str">
        <x:v>All expected records and amounts match; no unexplained error or stale state.</x:v>
      </x:c>
    </x:row>
    <x:row r="930">
      <x:c r="A930" s="20" t="str">
        <x:v>RUN-20270615-20</x:v>
      </x:c>
      <x:c r="B930" s="23" t="n">
        <x:v>46553</x:v>
      </x:c>
      <x:c r="C930" s="32" t="n">
        <x:v>20</x:v>
      </x:c>
      <x:c r="D930" s="20" t="str">
        <x:v>Field certification</x:v>
      </x:c>
      <x:c r="E930" s="20" t="str">
        <x:v>Property Manager</x:v>
      </x:c>
      <x:c r="F930" s="20" t="str">
        <x:v>Web</x:v>
      </x:c>
      <x:c r="G930" s="20" t="str">
        <x:v>Manual field-by-field</x:v>
      </x:c>
      <x:c r="H930" s="35" t="str">
        <x:v>Fill, save, reload, edit, and validate every declared field on /maintenance</x:v>
      </x:c>
      <x:c r="I930" s="35" t="str">
        <x:v>FLD-0461; FLD-0462; FLD-0463; FLD-0464</x:v>
      </x:c>
      <x:c r="J930" s="35" t="str"/>
      <x:c r="K930" s="35" t="str"/>
      <x:c r="L930" s="35" t="str">
        <x:v>Use the source-derived Field Inventory. Enter non-default realistic values in every control (woStatusFilter; work-order-status-filter; Select-3; Select-4); submit; reload or relaunch; compare every value; edit each mutable field; verify the paired client; then run required, format, length, range, boundary, optional-null, and stale-submit checks.</x:v>
      </x:c>
      <x:c r="M930" s="35" t="str">
        <x:v>All 4 inventoried controls persist exact normalized values, invalid values stay unsaved with clear errors, and hidden/unauthorized fields cannot be altered.</x:v>
      </x:c>
      <x:c r="N930" s="35" t="str">
        <x:v>Before/after form screenshots; FLD IDs; API response; reloaded UI; paired-client read-back; database/audit evidence; negative validation result.</x:v>
      </x:c>
      <x:c r="O930" s="35" t="str">
        <x:v>Use a duplicate submit and one simulated network interruption; one atomic mutation or none, never partial state.</x:v>
      </x:c>
      <x:c r="P930" s="35" t="str">
        <x:v>All expected records and amounts match; no unexplained error or stale state.</x:v>
      </x:c>
    </x:row>
    <x:row r="931">
      <x:c r="A931" s="20" t="str">
        <x:v>RUN-20270615-21</x:v>
      </x:c>
      <x:c r="B931" s="23" t="n">
        <x:v>46553</x:v>
      </x:c>
      <x:c r="C931" s="32" t="n">
        <x:v>21</x:v>
      </x:c>
      <x:c r="D931" s="20" t="str">
        <x:v>Surface coverage</x:v>
      </x:c>
      <x:c r="E931" s="20" t="str">
        <x:v>Role appropriate to surface</x:v>
      </x:c>
      <x:c r="F931" s="20" t="str">
        <x:v>Web</x:v>
      </x:c>
      <x:c r="G931" s="20" t="str">
        <x:v>Manual</x:v>
      </x:c>
      <x:c r="H931" s="35" t="str">
        <x:v>Manual web pass: Recurring expenses and scheduled finance</x:v>
      </x:c>
      <x:c r="I931" s="35" t="str">
        <x:v>COV-021</x:v>
      </x:c>
      <x:c r="J931" s="35" t="str"/>
      <x:c r="K931" s="35" t="str"/>
      <x:c r="L931" s="35" t="str">
        <x:v>Create/edit/pause recurring expense; advance clock; prove one generated expense per period and idempotent rerun.</x:v>
      </x:c>
      <x:c r="M931" s="35" t="str">
        <x:v>The supported workflow completes and persists correctly; if the capability is absent, the exact gap is proven and queued rather than silently skipped.</x:v>
      </x:c>
      <x:c r="N931" s="35" t="str">
        <x:v>Real UI screenshot/state; submitted values; persisted read-back; cross-client read-back; audit/role/access evidence.</x:v>
      </x:c>
      <x:c r="O931" s="35" t="str">
        <x:v>Use one invalid value, stale-state retry, or duplicate submission relevant to the form; no partial or duplicate mutation.</x:v>
      </x:c>
      <x:c r="P931" s="35" t="str">
        <x:v>All expected records and amounts match; no unexplained error or stale state.</x:v>
      </x:c>
    </x:row>
    <x:row r="932">
      <x:c r="A932" s="20" t="str">
        <x:v>RUN-20270616-01</x:v>
      </x:c>
      <x:c r="B932" s="23" t="n">
        <x:v>46554</x:v>
      </x:c>
      <x:c r="C932" s="32" t="n">
        <x:v>1</x:v>
      </x:c>
      <x:c r="D932" s="20" t="str">
        <x:v>Field certification</x:v>
      </x:c>
      <x:c r="E932" s="20" t="str">
        <x:v>Property Manager</x:v>
      </x:c>
      <x:c r="F932" s="20" t="str">
        <x:v>Web</x:v>
      </x:c>
      <x:c r="G932" s="20" t="str">
        <x:v>Manual field-by-field</x:v>
      </x:c>
      <x:c r="H932" s="35" t="str">
        <x:v>Fill, save, reload, edit, and validate every declared field on /maintenance</x:v>
      </x:c>
      <x:c r="I932" s="35" t="str">
        <x:v>FLD-0465; FLD-0466; FLD-0467; FLD-0468; FLD-0469</x:v>
      </x:c>
      <x:c r="J932" s="35" t="str"/>
      <x:c r="K932" s="35" t="str"/>
      <x:c r="L932" s="35" t="str">
        <x:v>Use the source-derived Field Inventory. Enter non-default realistic values in every control (Select-5; woPriorityFilter; work-order-priority-filter; Select-8; Select-9); submit; reload or relaunch; compare every value; edit each mutable field; verify the paired client; then run required, format, length, range, boundary, optional-null, and stale-submit checks.</x:v>
      </x:c>
      <x:c r="M932" s="35" t="str">
        <x:v>All 5 inventoried controls persist exact normalized values, invalid values stay unsaved with clear errors, and hidden/unauthorized fields cannot be altered.</x:v>
      </x:c>
      <x:c r="N932" s="35" t="str">
        <x:v>Before/after form screenshots; FLD IDs; API response; reloaded UI; paired-client read-back; database/audit evidence; negative validation result.</x:v>
      </x:c>
      <x:c r="O932" s="35" t="str">
        <x:v>Use a duplicate submit and one simulated network interruption; one atomic mutation or none, never partial state.</x:v>
      </x:c>
      <x:c r="P932" s="35" t="str">
        <x:v>All expected records and amounts match; no unexplained error or stale state.</x:v>
      </x:c>
    </x:row>
    <x:row r="933">
      <x:c r="A933" s="20" t="str">
        <x:v>RUN-20270616-02</x:v>
      </x:c>
      <x:c r="B933" s="23" t="n">
        <x:v>46554</x:v>
      </x:c>
      <x:c r="C933" s="32" t="n">
        <x:v>2</x:v>
      </x:c>
      <x:c r="D933" s="20" t="str">
        <x:v>Surface coverage</x:v>
      </x:c>
      <x:c r="E933" s="20" t="str">
        <x:v>Role appropriate to surface</x:v>
      </x:c>
      <x:c r="F933" s="20" t="str">
        <x:v>Mobile</x:v>
      </x:c>
      <x:c r="G933" s="20" t="str">
        <x:v>Manual</x:v>
      </x:c>
      <x:c r="H933" s="35" t="str">
        <x:v>Manual mobile pass: Recurring expenses and scheduled finance</x:v>
      </x:c>
      <x:c r="I933" s="35" t="str">
        <x:v>COV-021</x:v>
      </x:c>
      <x:c r="J933" s="35" t="str"/>
      <x:c r="K933" s="35" t="str"/>
      <x:c r="L933" s="35" t="str">
        <x:v>Create/edit/pause recurring expense; advance clock; prove one generated expense per period and idempotent rerun.</x:v>
      </x:c>
      <x:c r="M933" s="35" t="str">
        <x:v>The supported workflow completes and persists correctly; if the capability is absent, the exact gap is proven and queued rather than silently skipped.</x:v>
      </x:c>
      <x:c r="N933" s="35" t="str">
        <x:v>Real UI screenshot/state; submitted values; persisted read-back; cross-client read-back; audit/role/access evidence.</x:v>
      </x:c>
      <x:c r="O933" s="35" t="str">
        <x:v>Use one invalid value, stale-state retry, or duplicate submission relevant to the form; no partial or duplicate mutation.</x:v>
      </x:c>
      <x:c r="P933" s="35" t="str">
        <x:v>All expected records and amounts match; no unexplained error or stale state.</x:v>
      </x:c>
    </x:row>
    <x:row r="934">
      <x:c r="A934" s="20" t="str">
        <x:v>RUN-20270617-01</x:v>
      </x:c>
      <x:c r="B934" s="23" t="n">
        <x:v>46555</x:v>
      </x:c>
      <x:c r="C934" s="32" t="n">
        <x:v>1</x:v>
      </x:c>
      <x:c r="D934" s="20" t="str">
        <x:v>Role and screen certification</x:v>
      </x:c>
      <x:c r="E934" s="20" t="str">
        <x:v>Workspace Administrator</x:v>
      </x:c>
      <x:c r="F934" s="20" t="str">
        <x:v>Web</x:v>
      </x:c>
      <x:c r="G934" s="20" t="str">
        <x:v>Normal persona navigation</x:v>
      </x:c>
      <x:c r="H934" s="35" t="str">
        <x:v>Use every permitted action and state on /docs/[slug]</x:v>
      </x:c>
      <x:c r="I934" s="35" t="str">
        <x:v>SCR-087; ROLE-159</x:v>
      </x:c>
      <x:c r="J934" s="35" t="str"/>
      <x:c r="K934" s="35" t="str"/>
      <x:c r="L93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4" s="35" t="str">
        <x:v>The persona can use every allowed action with only its assigned properties/relationships. Hidden or disabled actions explain why; an adjacent unauthorized persona is denied without metadata leakage.</x:v>
      </x:c>
      <x:c r="N934" s="35" t="str">
        <x:v>Persona/experience; navigation entry; desktop or device screenshots; result state; persisted read-back; audit/history; authorized and denied network result.</x:v>
      </x:c>
      <x:c r="O934" s="35" t="str">
        <x:v>Open the direct URL or deep link with an adjacent unauthorized persona and with stale scope; both fail closed and land safely without mutation.</x:v>
      </x:c>
      <x:c r="P934" s="35" t="str">
        <x:v>All expected records and amounts match; no unexplained error or stale state.</x:v>
      </x:c>
    </x:row>
    <x:row r="935">
      <x:c r="A935" s="20" t="str">
        <x:v>RUN-20270617-02</x:v>
      </x:c>
      <x:c r="B935" s="23" t="n">
        <x:v>46555</x:v>
      </x:c>
      <x:c r="C935" s="32" t="n">
        <x:v>2</x:v>
      </x:c>
      <x:c r="D935" s="20" t="str">
        <x:v>Role and screen certification</x:v>
      </x:c>
      <x:c r="E935" s="20" t="str">
        <x:v>Property Manager</x:v>
      </x:c>
      <x:c r="F935" s="20" t="str">
        <x:v>Web</x:v>
      </x:c>
      <x:c r="G935" s="20" t="str">
        <x:v>Normal persona navigation</x:v>
      </x:c>
      <x:c r="H935" s="35" t="str">
        <x:v>Use every permitted action and state on /docs/[slug]</x:v>
      </x:c>
      <x:c r="I935" s="35" t="str">
        <x:v>SCR-087; ROLE-160</x:v>
      </x:c>
      <x:c r="J935" s="35" t="str"/>
      <x:c r="K935" s="35" t="str"/>
      <x:c r="L93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5" s="35" t="str">
        <x:v>The persona can use every allowed action with only its assigned properties/relationships. Hidden or disabled actions explain why; an adjacent unauthorized persona is denied without metadata leakage.</x:v>
      </x:c>
      <x:c r="N935" s="35" t="str">
        <x:v>Persona/experience; navigation entry; desktop or device screenshots; result state; persisted read-back; audit/history; authorized and denied network result.</x:v>
      </x:c>
      <x:c r="O935" s="35" t="str">
        <x:v>Open the direct URL or deep link with an adjacent unauthorized persona and with stale scope; both fail closed and land safely without mutation.</x:v>
      </x:c>
      <x:c r="P935" s="35" t="str">
        <x:v>All expected records and amounts match; no unexplained error or stale state.</x:v>
      </x:c>
    </x:row>
    <x:row r="936">
      <x:c r="A936" s="20" t="str">
        <x:v>RUN-20270617-03</x:v>
      </x:c>
      <x:c r="B936" s="23" t="n">
        <x:v>46555</x:v>
      </x:c>
      <x:c r="C936" s="32" t="n">
        <x:v>3</x:v>
      </x:c>
      <x:c r="D936" s="20" t="str">
        <x:v>Role and screen certification</x:v>
      </x:c>
      <x:c r="E936" s="20" t="str">
        <x:v>Leasing Agent</x:v>
      </x:c>
      <x:c r="F936" s="20" t="str">
        <x:v>Web</x:v>
      </x:c>
      <x:c r="G936" s="20" t="str">
        <x:v>Normal persona navigation</x:v>
      </x:c>
      <x:c r="H936" s="35" t="str">
        <x:v>Use every permitted action and state on /docs/[slug]</x:v>
      </x:c>
      <x:c r="I936" s="35" t="str">
        <x:v>SCR-087; ROLE-161</x:v>
      </x:c>
      <x:c r="J936" s="35" t="str"/>
      <x:c r="K936" s="35" t="str"/>
      <x:c r="L93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6" s="35" t="str">
        <x:v>The persona can use every allowed action with only its assigned properties/relationships. Hidden or disabled actions explain why; an adjacent unauthorized persona is denied without metadata leakage.</x:v>
      </x:c>
      <x:c r="N936" s="35" t="str">
        <x:v>Persona/experience; navigation entry; desktop or device screenshots; result state; persisted read-back; audit/history; authorized and denied network result.</x:v>
      </x:c>
      <x:c r="O936" s="35" t="str">
        <x:v>Open the direct URL or deep link with an adjacent unauthorized persona and with stale scope; both fail closed and land safely without mutation.</x:v>
      </x:c>
      <x:c r="P936" s="35" t="str">
        <x:v>All expected records and amounts match; no unexplained error or stale state.</x:v>
      </x:c>
    </x:row>
    <x:row r="937">
      <x:c r="A937" s="20" t="str">
        <x:v>RUN-20270617-04</x:v>
      </x:c>
      <x:c r="B937" s="23" t="n">
        <x:v>46555</x:v>
      </x:c>
      <x:c r="C937" s="32" t="n">
        <x:v>4</x:v>
      </x:c>
      <x:c r="D937" s="20" t="str">
        <x:v>Role and screen certification</x:v>
      </x:c>
      <x:c r="E937" s="20" t="str">
        <x:v>Maintenance Technician</x:v>
      </x:c>
      <x:c r="F937" s="20" t="str">
        <x:v>Web</x:v>
      </x:c>
      <x:c r="G937" s="20" t="str">
        <x:v>Normal persona navigation</x:v>
      </x:c>
      <x:c r="H937" s="35" t="str">
        <x:v>Use every permitted action and state on /docs/[slug]</x:v>
      </x:c>
      <x:c r="I937" s="35" t="str">
        <x:v>SCR-087; ROLE-162</x:v>
      </x:c>
      <x:c r="J937" s="35" t="str"/>
      <x:c r="K937" s="35" t="str"/>
      <x:c r="L93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7" s="35" t="str">
        <x:v>The persona can use every allowed action with only its assigned properties/relationships. Hidden or disabled actions explain why; an adjacent unauthorized persona is denied without metadata leakage.</x:v>
      </x:c>
      <x:c r="N937" s="35" t="str">
        <x:v>Persona/experience; navigation entry; desktop or device screenshots; result state; persisted read-back; audit/history; authorized and denied network result.</x:v>
      </x:c>
      <x:c r="O937" s="35" t="str">
        <x:v>Open the direct URL or deep link with an adjacent unauthorized persona and with stale scope; both fail closed and land safely without mutation.</x:v>
      </x:c>
      <x:c r="P937" s="35" t="str">
        <x:v>All expected records and amounts match; no unexplained error or stale state.</x:v>
      </x:c>
    </x:row>
    <x:row r="938">
      <x:c r="A938" s="20" t="str">
        <x:v>RUN-20270617-05</x:v>
      </x:c>
      <x:c r="B938" s="23" t="n">
        <x:v>46555</x:v>
      </x:c>
      <x:c r="C938" s="32" t="n">
        <x:v>5</x:v>
      </x:c>
      <x:c r="D938" s="20" t="str">
        <x:v>Role and screen certification</x:v>
      </x:c>
      <x:c r="E938" s="20" t="str">
        <x:v>Owner</x:v>
      </x:c>
      <x:c r="F938" s="20" t="str">
        <x:v>Web</x:v>
      </x:c>
      <x:c r="G938" s="20" t="str">
        <x:v>Normal persona navigation</x:v>
      </x:c>
      <x:c r="H938" s="35" t="str">
        <x:v>Use every permitted action and state on /docs/[slug]</x:v>
      </x:c>
      <x:c r="I938" s="35" t="str">
        <x:v>SCR-087; ROLE-163</x:v>
      </x:c>
      <x:c r="J938" s="35" t="str"/>
      <x:c r="K938" s="35" t="str"/>
      <x:c r="L93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8" s="35" t="str">
        <x:v>The persona can use every allowed action with only its assigned properties/relationships. Hidden or disabled actions explain why; an adjacent unauthorized persona is denied without metadata leakage.</x:v>
      </x:c>
      <x:c r="N938" s="35" t="str">
        <x:v>Persona/experience; navigation entry; desktop or device screenshots; result state; persisted read-back; audit/history; authorized and denied network result.</x:v>
      </x:c>
      <x:c r="O938" s="35" t="str">
        <x:v>Open the direct URL or deep link with an adjacent unauthorized persona and with stale scope; both fail closed and land safely without mutation.</x:v>
      </x:c>
      <x:c r="P938" s="35" t="str">
        <x:v>All expected records and amounts match; no unexplained error or stale state.</x:v>
      </x:c>
    </x:row>
    <x:row r="939">
      <x:c r="A939" s="20" t="str">
        <x:v>RUN-20270617-06</x:v>
      </x:c>
      <x:c r="B939" s="23" t="n">
        <x:v>46555</x:v>
      </x:c>
      <x:c r="C939" s="32" t="n">
        <x:v>6</x:v>
      </x:c>
      <x:c r="D939" s="20" t="str">
        <x:v>Role and screen certification</x:v>
      </x:c>
      <x:c r="E939" s="20" t="str">
        <x:v>Tenant</x:v>
      </x:c>
      <x:c r="F939" s="20" t="str">
        <x:v>Web</x:v>
      </x:c>
      <x:c r="G939" s="20" t="str">
        <x:v>Normal persona navigation</x:v>
      </x:c>
      <x:c r="H939" s="35" t="str">
        <x:v>Use every permitted action and state on /docs/[slug]</x:v>
      </x:c>
      <x:c r="I939" s="35" t="str">
        <x:v>SCR-087; ROLE-164</x:v>
      </x:c>
      <x:c r="J939" s="35" t="str"/>
      <x:c r="K939" s="35" t="str"/>
      <x:c r="L93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39" s="35" t="str">
        <x:v>The persona can use every allowed action with only its assigned properties/relationships. Hidden or disabled actions explain why; an adjacent unauthorized persona is denied without metadata leakage.</x:v>
      </x:c>
      <x:c r="N939" s="35" t="str">
        <x:v>Persona/experience; navigation entry; desktop or device screenshots; result state; persisted read-back; audit/history; authorized and denied network result.</x:v>
      </x:c>
      <x:c r="O939" s="35" t="str">
        <x:v>Open the direct URL or deep link with an adjacent unauthorized persona and with stale scope; both fail closed and land safely without mutation.</x:v>
      </x:c>
      <x:c r="P939" s="35" t="str">
        <x:v>All expected records and amounts match; no unexplained error or stale state.</x:v>
      </x:c>
    </x:row>
    <x:row r="940">
      <x:c r="A940" s="20" t="str">
        <x:v>RUN-20270617-07</x:v>
      </x:c>
      <x:c r="B940" s="23" t="n">
        <x:v>46555</x:v>
      </x:c>
      <x:c r="C940" s="32" t="n">
        <x:v>7</x:v>
      </x:c>
      <x:c r="D940" s="20" t="str">
        <x:v>Role and screen certification</x:v>
      </x:c>
      <x:c r="E940" s="20" t="str">
        <x:v>Applicant / public user</x:v>
      </x:c>
      <x:c r="F940" s="20" t="str">
        <x:v>Web</x:v>
      </x:c>
      <x:c r="G940" s="20" t="str">
        <x:v>Normal persona navigation</x:v>
      </x:c>
      <x:c r="H940" s="35" t="str">
        <x:v>Use every permitted action and state on /docs/[slug]</x:v>
      </x:c>
      <x:c r="I940" s="35" t="str">
        <x:v>SCR-087; ROLE-165</x:v>
      </x:c>
      <x:c r="J940" s="35" t="str"/>
      <x:c r="K940" s="35" t="str"/>
      <x:c r="L94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40" s="35" t="str">
        <x:v>The persona can use every allowed action with only its assigned properties/relationships. Hidden or disabled actions explain why; an adjacent unauthorized persona is denied without metadata leakage.</x:v>
      </x:c>
      <x:c r="N940" s="35" t="str">
        <x:v>Persona/experience; navigation entry; desktop or device screenshots; result state; persisted read-back; audit/history; authorized and denied network result.</x:v>
      </x:c>
      <x:c r="O940" s="35" t="str">
        <x:v>Open the direct URL or deep link with an adjacent unauthorized persona and with stale scope; both fail closed and land safely without mutation.</x:v>
      </x:c>
      <x:c r="P940" s="35" t="str">
        <x:v>All expected records and amounts match; no unexplained error or stale state.</x:v>
      </x:c>
    </x:row>
    <x:row r="941">
      <x:c r="A941" s="20" t="str">
        <x:v>RUN-20270617-08</x:v>
      </x:c>
      <x:c r="B941" s="23" t="n">
        <x:v>46555</x:v>
      </x:c>
      <x:c r="C941" s="32" t="n">
        <x:v>8</x:v>
      </x:c>
      <x:c r="D941" s="20" t="str">
        <x:v>Field certification</x:v>
      </x:c>
      <x:c r="E941" s="20" t="str">
        <x:v>Property Manager</x:v>
      </x:c>
      <x:c r="F941" s="20" t="str">
        <x:v>Web</x:v>
      </x:c>
      <x:c r="G941" s="20" t="str">
        <x:v>Manual field-by-field</x:v>
      </x:c>
      <x:c r="H941" s="35" t="str">
        <x:v>Fill, save, reload, edit, and validate every declared field on /maintenance</x:v>
      </x:c>
      <x:c r="I941" s="35" t="str">
        <x:v>FLD-0470; FLD-0471; FLD-0472; FLD-0473</x:v>
      </x:c>
      <x:c r="J941" s="35" t="str"/>
      <x:c r="K941" s="35" t="str"/>
      <x:c r="L941" s="35" t="str">
        <x:v>Use the source-derived Field Inventory. Enter non-default realistic values in every control (Select-10; work-order-title-input; work-order-description-input; woForm.priority); submit; reload or relaunch; compare every value; edit each mutable field; verify the paired client; then run required, format, length, range, boundary, optional-null, and stale-submit checks.</x:v>
      </x:c>
      <x:c r="M941" s="35" t="str">
        <x:v>All 4 inventoried controls persist exact normalized values, invalid values stay unsaved with clear errors, and hidden/unauthorized fields cannot be altered.</x:v>
      </x:c>
      <x:c r="N941" s="35" t="str">
        <x:v>Before/after form screenshots; FLD IDs; API response; reloaded UI; paired-client read-back; database/audit evidence; negative validation result.</x:v>
      </x:c>
      <x:c r="O941" s="35" t="str">
        <x:v>Use a duplicate submit and one simulated network interruption; one atomic mutation or none, never partial state.</x:v>
      </x:c>
      <x:c r="P941" s="35" t="str">
        <x:v>All expected records and amounts match; no unexplained error or stale state.</x:v>
      </x:c>
    </x:row>
    <x:row r="942">
      <x:c r="A942" s="20" t="str">
        <x:v>RUN-20270618-01</x:v>
      </x:c>
      <x:c r="B942" s="23" t="n">
        <x:v>46556</x:v>
      </x:c>
      <x:c r="C942" s="32" t="n">
        <x:v>1</x:v>
      </x:c>
      <x:c r="D942" s="20" t="str">
        <x:v>Weekly operations</x:v>
      </x:c>
      <x:c r="E942" s="20" t="str">
        <x:v>Property Manager</x:v>
      </x:c>
      <x:c r="F942" s="20" t="str">
        <x:v>Web</x:v>
      </x:c>
      <x:c r="G942" s="20" t="str">
        <x:v>Scanned receipt/invoice</x:v>
      </x:c>
      <x:c r="H942" s="35" t="str">
        <x:v>Record, review, allocate, and pay operating expense</x:v>
      </x:c>
      <x:c r="I942" s="35" t="str">
        <x:v>P006; Property scope; </x:v>
      </x:c>
      <x:c r="J942" s="35" t="str">
        <x:v>SCN-0809</x:v>
      </x:c>
      <x:c r="K942" s="35" t="str">
        <x:v>FIN-01525</x:v>
      </x:c>
      <x:c r="L942" s="35" t="str">
        <x:v>Capture or upload the source; verify vendor, date, scope, category, line items, tax, amount, and work-order link; confirm; open detail; verify attachment; compare Money and Property/Unit views.</x:v>
      </x:c>
      <x:c r="M942" s="35" t="str">
        <x:v>One expense exists at its real operational scope, cash falls once, Schedule E category and allocations agree, and no per-unit copies are created.</x:v>
      </x:c>
      <x:c r="N942" s="35" t="str">
        <x:v>Source preview; review/form; expense detail; line items; Property/Unit ledger; audit; accounting/report delta.</x:v>
      </x:c>
      <x:c r="O942" s="35" t="str">
        <x:v>On marked duplicate-invoice cases, re-upload before confirm and prove the product prevents or clearly warns about duplication.</x:v>
      </x:c>
      <x:c r="P942" s="35" t="str">
        <x:v>All expected records and amounts match; no unexplained error or stale state.</x:v>
      </x:c>
    </x:row>
    <x:row r="943">
      <x:c r="A943" s="20" t="str">
        <x:v>RUN-20270618-02</x:v>
      </x:c>
      <x:c r="B943" s="23" t="n">
        <x:v>46556</x:v>
      </x:c>
      <x:c r="C943" s="32" t="n">
        <x:v>2</x:v>
      </x:c>
      <x:c r="D943" s="20" t="str">
        <x:v>Weekly operations</x:v>
      </x:c>
      <x:c r="E943" s="20" t="str">
        <x:v>Property Manager</x:v>
      </x:c>
      <x:c r="F943" s="20" t="str">
        <x:v>Web</x:v>
      </x:c>
      <x:c r="G943" s="20" t="str">
        <x:v>Scanned receipt/invoice</x:v>
      </x:c>
      <x:c r="H943" s="35" t="str">
        <x:v>Record, review, allocate, and pay operating expense</x:v>
      </x:c>
      <x:c r="I943" s="35" t="str">
        <x:v>P018; Property scope; </x:v>
      </x:c>
      <x:c r="J943" s="35" t="str">
        <x:v>SCN-0859</x:v>
      </x:c>
      <x:c r="K943" s="35" t="str">
        <x:v>FIN-01585</x:v>
      </x:c>
      <x:c r="L943" s="35" t="str">
        <x:v>Capture or upload the source; verify vendor, date, scope, category, line items, tax, amount, and work-order link; confirm; open detail; verify attachment; compare Money and Property/Unit views.</x:v>
      </x:c>
      <x:c r="M943" s="35" t="str">
        <x:v>One expense exists at its real operational scope, cash falls once, Schedule E category and allocations agree, and no per-unit copies are created.</x:v>
      </x:c>
      <x:c r="N943" s="35" t="str">
        <x:v>Source preview; review/form; expense detail; line items; Property/Unit ledger; audit; accounting/report delta.</x:v>
      </x:c>
      <x:c r="O943" s="35" t="str">
        <x:v>On marked duplicate-invoice cases, re-upload before confirm and prove the product prevents or clearly warns about duplication.</x:v>
      </x:c>
      <x:c r="P943" s="35" t="str">
        <x:v>All expected records and amounts match; no unexplained error or stale state.</x:v>
      </x:c>
    </x:row>
    <x:row r="944">
      <x:c r="A944" s="20" t="str">
        <x:v>RUN-20270618-03</x:v>
      </x:c>
      <x:c r="B944" s="23" t="n">
        <x:v>46556</x:v>
      </x:c>
      <x:c r="C944" s="32" t="n">
        <x:v>3</x:v>
      </x:c>
      <x:c r="D944" s="20" t="str">
        <x:v>Weekly operations</x:v>
      </x:c>
      <x:c r="E944" s="20" t="str">
        <x:v>Property Manager</x:v>
      </x:c>
      <x:c r="F944" s="20" t="str">
        <x:v>Web</x:v>
      </x:c>
      <x:c r="G944" s="20" t="str">
        <x:v>Manual mobile form</x:v>
      </x:c>
      <x:c r="H944" s="35" t="str">
        <x:v>Record, review, allocate, and pay operating expense</x:v>
      </x:c>
      <x:c r="I944" s="35" t="str">
        <x:v>P030; Property scope; </x:v>
      </x:c>
      <x:c r="J944" s="35" t="str"/>
      <x:c r="K944" s="35" t="str">
        <x:v>FIN-01645</x:v>
      </x:c>
      <x:c r="L944" s="35" t="str">
        <x:v>Capture or upload the source; verify vendor, date, scope, category, line items, tax, amount, and work-order link; confirm; open detail; verify attachment; compare Money and Property/Unit views.</x:v>
      </x:c>
      <x:c r="M944" s="35" t="str">
        <x:v>One expense exists at its real operational scope, cash falls once, Schedule E category and allocations agree, and no per-unit copies are created.</x:v>
      </x:c>
      <x:c r="N944" s="35" t="str">
        <x:v>Source preview; review/form; expense detail; line items; Property/Unit ledger; audit; accounting/report delta.</x:v>
      </x:c>
      <x:c r="O944" s="35" t="str">
        <x:v>On marked duplicate-invoice cases, re-upload before confirm and prove the product prevents or clearly warns about duplication.</x:v>
      </x:c>
      <x:c r="P944" s="35" t="str">
        <x:v>All expected records and amounts match; no unexplained error or stale state.</x:v>
      </x:c>
    </x:row>
    <x:row r="945">
      <x:c r="A945" s="20" t="str">
        <x:v>RUN-20270618-04</x:v>
      </x:c>
      <x:c r="B945" s="23" t="n">
        <x:v>46556</x:v>
      </x:c>
      <x:c r="C945" s="32" t="n">
        <x:v>4</x:v>
      </x:c>
      <x:c r="D945" s="20" t="str">
        <x:v>Delinquency and legal</x:v>
      </x:c>
      <x:c r="E945" s="20" t="str">
        <x:v>Workspace Administrator</x:v>
      </x:c>
      <x:c r="F945" s="20" t="str">
        <x:v>Web + Mobile</x:v>
      </x:c>
      <x:c r="G945" s="20" t="str">
        <x:v>Scanned document + manual legal workflow</x:v>
      </x:c>
      <x:c r="H945" s="35" t="str">
        <x:v>Record hearing and judgment events</x:v>
      </x:c>
      <x:c r="I945" s="35" t="str">
        <x:v>L017; U017</x:v>
      </x:c>
      <x:c r="J945" s="35" t="str">
        <x:v>SCN-0950</x:v>
      </x:c>
      <x:c r="K945" s="35" t="str"/>
      <x:c r="L945" s="35" t="str">
        <x:v>Use only the synthetic template and dates in this plan; attach source, create/update the notice or eviction case, record the durable event, verify respondent and next action, and inspect tenant/Unit/lease context.</x:v>
      </x:c>
      <x:c r="M945" s="35" t="str">
        <x:v>Legal workflow state and source history advance without changing rent, occupancy, or possession facts by implication.</x:v>
      </x:c>
      <x:c r="N945" s="35" t="str">
        <x:v>Document preview; notice/case detail; event timeline; Unit/lease badges; audit; restricted-role check.</x:v>
      </x:c>
      <x:c r="O945" s="35" t="str">
        <x:v>Try a duplicate event and an event dated before case opening; validation is explicit and atomic.</x:v>
      </x:c>
      <x:c r="P945" s="35" t="str">
        <x:v>All expected records and amounts match; no unexplained error or stale state.</x:v>
      </x:c>
    </x:row>
    <x:row r="946">
      <x:c r="A946" s="20" t="str">
        <x:v>RUN-20270618-05</x:v>
      </x:c>
      <x:c r="B946" s="23" t="n">
        <x:v>46556</x:v>
      </x:c>
      <x:c r="C946" s="32" t="n">
        <x:v>5</x:v>
      </x:c>
      <x:c r="D946" s="20" t="str">
        <x:v>Weekly operations</x:v>
      </x:c>
      <x:c r="E946" s="20" t="str">
        <x:v>Property Manager</x:v>
      </x:c>
      <x:c r="F946" s="20" t="str">
        <x:v>Mobile</x:v>
      </x:c>
      <x:c r="G946" s="20" t="str">
        <x:v>Scanned receipt/invoice</x:v>
      </x:c>
      <x:c r="H946" s="35" t="str">
        <x:v>Record, review, allocate, and pay operating expense</x:v>
      </x:c>
      <x:c r="I946" s="35" t="str">
        <x:v>P017; U017; EVICT-L017</x:v>
      </x:c>
      <x:c r="J946" s="35" t="str">
        <x:v>SCN-0951</x:v>
      </x:c>
      <x:c r="K946" s="35" t="str">
        <x:v>FIN-01674</x:v>
      </x:c>
      <x:c r="L946" s="35" t="str">
        <x:v>Capture or upload the source; verify vendor, date, scope, category, line items, tax, amount, and work-order link; confirm; open detail; verify attachment; compare Money and Property/Unit views.</x:v>
      </x:c>
      <x:c r="M946" s="35" t="str">
        <x:v>One expense exists at its real operational scope, cash falls once, Schedule E category and allocations agree, and no per-unit copies are created.</x:v>
      </x:c>
      <x:c r="N946" s="35" t="str">
        <x:v>Source preview; review/form; expense detail; line items; Property/Unit ledger; audit; accounting/report delta.</x:v>
      </x:c>
      <x:c r="O946" s="35" t="str">
        <x:v>On marked duplicate-invoice cases, re-upload before confirm and prove the product prevents or clearly warns about duplication.</x:v>
      </x:c>
      <x:c r="P946" s="35" t="str">
        <x:v>All expected records and amounts match; no unexplained error or stale state.</x:v>
      </x:c>
    </x:row>
    <x:row r="947">
      <x:c r="A947" s="20" t="str">
        <x:v>RUN-20270618-06</x:v>
      </x:c>
      <x:c r="B947" s="23" t="n">
        <x:v>46556</x:v>
      </x:c>
      <x:c r="C947" s="32" t="n">
        <x:v>6</x:v>
      </x:c>
      <x:c r="D947" s="20" t="str">
        <x:v>Role and screen certification</x:v>
      </x:c>
      <x:c r="E947" s="20" t="str">
        <x:v>Applicant / public user</x:v>
      </x:c>
      <x:c r="F947" s="20" t="str">
        <x:v>Web</x:v>
      </x:c>
      <x:c r="G947" s="20" t="str">
        <x:v>Normal persona navigation</x:v>
      </x:c>
      <x:c r="H947" s="35" t="str">
        <x:v>Use every permitted action and state on /privacy</x:v>
      </x:c>
      <x:c r="I947" s="35" t="str">
        <x:v>SCR-088; ROLE-166</x:v>
      </x:c>
      <x:c r="J947" s="35" t="str"/>
      <x:c r="K947" s="35" t="str"/>
      <x:c r="L94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47" s="35" t="str">
        <x:v>The persona can use every allowed action with only its assigned properties/relationships. Hidden or disabled actions explain why; an adjacent unauthorized persona is denied without metadata leakage.</x:v>
      </x:c>
      <x:c r="N947" s="35" t="str">
        <x:v>Persona/experience; navigation entry; desktop or device screenshots; result state; persisted read-back; audit/history; authorized and denied network result.</x:v>
      </x:c>
      <x:c r="O947" s="35" t="str">
        <x:v>Open the direct URL or deep link with an adjacent unauthorized persona and with stale scope; both fail closed and land safely without mutation.</x:v>
      </x:c>
      <x:c r="P947" s="35" t="str">
        <x:v>All expected records and amounts match; no unexplained error or stale state.</x:v>
      </x:c>
    </x:row>
    <x:row r="948">
      <x:c r="A948" s="20" t="str">
        <x:v>RUN-20270618-07</x:v>
      </x:c>
      <x:c r="B948" s="23" t="n">
        <x:v>46556</x:v>
      </x:c>
      <x:c r="C948" s="32" t="n">
        <x:v>7</x:v>
      </x:c>
      <x:c r="D948" s="20" t="str">
        <x:v>Field certification</x:v>
      </x:c>
      <x:c r="E948" s="20" t="str">
        <x:v>Property Manager</x:v>
      </x:c>
      <x:c r="F948" s="20" t="str">
        <x:v>Web</x:v>
      </x:c>
      <x:c r="G948" s="20" t="str">
        <x:v>Manual field-by-field</x:v>
      </x:c>
      <x:c r="H948" s="35" t="str">
        <x:v>Fill, save, reload, edit, and validate every declared field on /maintenance</x:v>
      </x:c>
      <x:c r="I948" s="35" t="str">
        <x:v>FLD-0474; FLD-0475; FLD-0476; FLD-0477; FLD-0478</x:v>
      </x:c>
      <x:c r="J948" s="35" t="str"/>
      <x:c r="K948" s="35" t="str"/>
      <x:c r="L948" s="35" t="str">
        <x:v>Use the source-derived Field Inventory. Enter non-default realistic values in every control (work-order-priority-input; Select-15; Select-16; work-order-category-input; work-order-technician-access); submit; reload or relaunch; compare every value; edit each mutable field; verify the paired client; then run required, format, length, range, boundary, optional-null, and stale-submit checks.</x:v>
      </x:c>
      <x:c r="M948" s="35" t="str">
        <x:v>All 5 inventoried controls persist exact normalized values, invalid values stay unsaved with clear errors, and hidden/unauthorized fields cannot be altered.</x:v>
      </x:c>
      <x:c r="N948" s="35" t="str">
        <x:v>Before/after form screenshots; FLD IDs; API response; reloaded UI; paired-client read-back; database/audit evidence; negative validation result.</x:v>
      </x:c>
      <x:c r="O948" s="35" t="str">
        <x:v>Use a duplicate submit and one simulated network interruption; one atomic mutation or none, never partial state.</x:v>
      </x:c>
      <x:c r="P948" s="35" t="str">
        <x:v>All expected records and amounts match; no unexplained error or stale state.</x:v>
      </x:c>
    </x:row>
    <x:row r="949">
      <x:c r="A949" s="20" t="str">
        <x:v>RUN-20270618-08</x:v>
      </x:c>
      <x:c r="B949" s="23" t="n">
        <x:v>46556</x:v>
      </x:c>
      <x:c r="C949" s="32" t="n">
        <x:v>8</x:v>
      </x:c>
      <x:c r="D949" s="20" t="str">
        <x:v>Notification certification</x:v>
      </x:c>
      <x:c r="E949" s="20" t="str">
        <x:v>Tenant + Property Manager</x:v>
      </x:c>
      <x:c r="F949" s="20" t="str">
        <x:v>Web + Mobile</x:v>
      </x:c>
      <x:c r="G949" s="20" t="str">
        <x:v>System event + preference/manual verification</x:v>
      </x:c>
      <x:c r="H949" s="35" t="str">
        <x:v>Trigger and prove notification: Move-in upcoming</x:v>
      </x:c>
      <x:c r="I949" s="35" t="str">
        <x:v>NTF-022</x:v>
      </x:c>
      <x:c r="J949" s="35" t="str"/>
      <x:c r="K949" s="35" t="str"/>
      <x:c r="L949" s="35" t="str">
        <x:v>Set each recipient's preferences; trigger the real business event; inspect routing and recipient scope; verify unread badge, list item, safe preview, appointment/lease deep link, mark-read sync, configured channel outcome, provider failure/retry, and duplicate suppression.</x:v>
      </x:c>
      <x:c r="M949" s="35" t="str">
        <x:v>Exactly the intended recipients receive one correctly routed notification; disabled optional channels stay silent; deep link opens authorized context; read state synchronizes.</x:v>
      </x:c>
      <x:c r="N949" s="35" t="str">
        <x:v>Trigger record; routing decision; outbox/delivery status; web/mobile inbox; lock-screen-safe copy; deep-link target; audit/provider retry evidence.</x:v>
      </x:c>
      <x:c r="O949" s="35" t="str">
        <x:v>Re-run the worker and deliver a duplicate provider callback; no duplicate user-visible event. Attempt the deep link as an unauthorized adjacent role.</x:v>
      </x:c>
      <x:c r="P949" s="35" t="str">
        <x:v>All expected records and amounts match; no unexplained error or stale state.</x:v>
      </x:c>
    </x:row>
    <x:row r="950">
      <x:c r="A950" s="20" t="str">
        <x:v>RUN-20270618-09</x:v>
      </x:c>
      <x:c r="B950" s="23" t="n">
        <x:v>46556</x:v>
      </x:c>
      <x:c r="C950" s="32" t="n">
        <x:v>9</x:v>
      </x:c>
      <x:c r="D950" s="20" t="str">
        <x:v>Surface coverage</x:v>
      </x:c>
      <x:c r="E950" s="20" t="str">
        <x:v>Role appropriate to surface</x:v>
      </x:c>
      <x:c r="F950" s="20" t="str">
        <x:v>Web</x:v>
      </x:c>
      <x:c r="G950" s="20" t="str">
        <x:v>Scan/attachment</x:v>
      </x:c>
      <x:c r="H950" s="35" t="str">
        <x:v>Scan web pass: Recurring expenses and scheduled finance</x:v>
      </x:c>
      <x:c r="I950" s="35" t="str">
        <x:v>COV-021</x:v>
      </x:c>
      <x:c r="J950" s="35" t="str"/>
      <x:c r="K950" s="35" t="str"/>
      <x:c r="L950" s="35" t="str">
        <x:v>Create/edit/pause recurring expense; advance clock; prove one generated expense per period and idempotent rerun.</x:v>
      </x:c>
      <x:c r="M950" s="35" t="str">
        <x:v>The supported workflow completes and persists correctly; if the capability is absent, the exact gap is proven and queued rather than silently skipped.</x:v>
      </x:c>
      <x:c r="N950" s="35" t="str">
        <x:v>Real UI screenshot/state; submitted values; persisted read-back; cross-client read-back; audit/role/access evidence.</x:v>
      </x:c>
      <x:c r="O950" s="35" t="str">
        <x:v>Use one invalid value, stale-state retry, or duplicate submission relevant to the form; no partial or duplicate mutation.</x:v>
      </x:c>
      <x:c r="P950" s="35" t="str">
        <x:v>All expected records and amounts match; no unexplained error or stale state.</x:v>
      </x:c>
    </x:row>
    <x:row r="951">
      <x:c r="A951" s="20" t="str">
        <x:v>RUN-20270620-01</x:v>
      </x:c>
      <x:c r="B951" s="23" t="n">
        <x:v>46558</x:v>
      </x:c>
      <x:c r="C951" s="32" t="n">
        <x:v>1</x:v>
      </x:c>
      <x:c r="D951" s="20" t="str">
        <x:v>Monthly close</x:v>
      </x:c>
      <x:c r="E951" s="20" t="str">
        <x:v>Workspace Administrator</x:v>
      </x:c>
      <x:c r="F951" s="20" t="str">
        <x:v>Web + Mobile</x:v>
      </x:c>
      <x:c r="G951" s="20" t="str">
        <x:v>Recurring automation + statement match</x:v>
      </x:c>
      <x:c r="H951" s="35" t="str">
        <x:v>June loan payments</x:v>
      </x:c>
      <x:c r="I951" s="35" t="str">
        <x:v>LN001; LN002; LN004; LN005; LN007; LN008; LN010; LN011; LN013; LN014; LN016; LN017; LN019; LN020; LN022; LN023; LN025; LN026; LN028; LN029</x:v>
      </x:c>
      <x:c r="J951" s="35" t="str">
        <x:v>SCN-0594; SCN-0595; SCN-0596; SCN-0597; SCN-0598; SCN-0599; SCN-0600; SCN-0601; SCN-0602; SCN-0603; SCN-0604; SCN-0605; SCN-0606; SCN-0607; SCN-0608; SCN-0609; SCN-0610; SCN-0611; SCN-0612; SCN-0613</x:v>
      </x:c>
      <x:c r="K951" s="35" t="str">
        <x:v>FIN-01262; FIN-01263; FIN-01264; FIN-01265; FIN-01266; FIN-01267; FIN-01268; FIN-01269; FIN-01270; FIN-01271; FIN-01272; FIN-01273; FIN-01274; FIN-01275; FIN-01276; FIN-01277; FIN-01278; FIN-01279; FIN-01280; FIN-01281</x:v>
      </x:c>
      <x:c r="L951" s="35" t="str">
        <x:v>Verify the recurring loan payments; attach/match each statement; compare principal, interest, cash, loan balance, amortization, Property Money view, and Schedule E interest.</x:v>
      </x:c>
      <x:c r="M951" s="35" t="str">
        <x:v>Every payment splits principal and interest once; principal reduces liability, interest is expense, and statement balance matches.</x:v>
      </x:c>
      <x:c r="N951" s="35" t="str">
        <x:v>Loan detail samples on both clients; statement attachment; amortization; Property and year-end reports.</x:v>
      </x:c>
      <x:c r="O951" s="35" t="str">
        <x:v>Attempt a duplicate recurrence run; no second payment or balance movement.</x:v>
      </x:c>
      <x:c r="P951" s="35" t="str">
        <x:v>All expected records and amounts match; no unexplained error or stale state.</x:v>
      </x:c>
    </x:row>
    <x:row r="952">
      <x:c r="A952" s="20" t="str">
        <x:v>RUN-20270620-02</x:v>
      </x:c>
      <x:c r="B952" s="23" t="n">
        <x:v>46558</x:v>
      </x:c>
      <x:c r="C952" s="32" t="n">
        <x:v>2</x:v>
      </x:c>
      <x:c r="D952" s="20" t="str">
        <x:v>Lease ending</x:v>
      </x:c>
      <x:c r="E952" s="20" t="str">
        <x:v>Property Manager + Maintenance Technician</x:v>
      </x:c>
      <x:c r="F952" s="20" t="str">
        <x:v>Mobile + Web</x:v>
      </x:c>
      <x:c r="G952" s="20" t="str">
        <x:v>Manual inspection + scanned report</x:v>
      </x:c>
      <x:c r="H952" s="35" t="str">
        <x:v>Return possession, inspect, and open turnover</x:v>
      </x:c>
      <x:c r="I952" s="35" t="str">
        <x:v>L017; U017</x:v>
      </x:c>
      <x:c r="J952" s="35" t="str">
        <x:v>SCN-0942</x:v>
      </x:c>
      <x:c r="K952" s="35" t="str"/>
      <x:c r="L952" s="35" t="str">
        <x:v>Complete the move-out inspection on mobile; attach/report on web; record keys and possession returned; open turnover tasks; separate normal wear from chargeable damage.</x:v>
      </x:c>
      <x:c r="M952" s="35" t="str">
        <x:v>Possession closes once, Unit becomes Turnover/Vacant as appropriate, inspection freezes after completion, and linked work orders appear.</x:v>
      </x:c>
      <x:c r="N952" s="35" t="str">
        <x:v>Inspection checklist/report/photos; possession event; turnover workspace; occupancy and lease-expiration reports.</x:v>
      </x:c>
      <x:c r="O952" s="35" t="str">
        <x:v>Try editing a completed inspection and returning possession twice; both are rejected without partial changes.</x:v>
      </x:c>
      <x:c r="P952" s="35" t="str">
        <x:v>All expected records and amounts match; no unexplained error or stale state.</x:v>
      </x:c>
    </x:row>
    <x:row r="953">
      <x:c r="A953" s="20" t="str">
        <x:v>RUN-20270621-01</x:v>
      </x:c>
      <x:c r="B953" s="23" t="n">
        <x:v>46559</x:v>
      </x:c>
      <x:c r="C953" s="32" t="n">
        <x:v>1</x:v>
      </x:c>
      <x:c r="D953" s="20" t="str">
        <x:v>Weekly operations</x:v>
      </x:c>
      <x:c r="E953" s="20" t="str">
        <x:v>Property Manager</x:v>
      </x:c>
      <x:c r="F953" s="20" t="str">
        <x:v>Mobile</x:v>
      </x:c>
      <x:c r="G953" s="20" t="str">
        <x:v>Scan-first</x:v>
      </x:c>
      <x:c r="H953" s="35" t="str">
        <x:v>Create and triage maintenance request</x:v>
      </x:c>
      <x:c r="I953" s="35" t="str">
        <x:v>P016; U016; WO-2027-025</x:v>
      </x:c>
      <x:c r="J953" s="35" t="str">
        <x:v>SCN-0391</x:v>
      </x:c>
      <x:c r="K953" s="35" t="str"/>
      <x:c r="L953" s="35" t="str">
        <x:v>Capture the tenant note/photo; review HVAC filter and no-cool call; confirm; set responsibility; dispatch Prime Pest Control; create an appointment and verify the tenant notification.</x:v>
      </x:c>
      <x:c r="M953" s="35" t="str">
        <x:v>Work order, status timeline, responsibility, vendor dispatch, appointment, notification, and Unit context are linked once.</x:v>
      </x:c>
      <x:c r="N953" s="35" t="str">
        <x:v>Scan review; work order detail/timeline; dispatch; appointment; notification; tenant portal view.</x:v>
      </x:c>
      <x:c r="O953" s="35" t="str">
        <x:v>Cancel one dispatch each quarter, reassign once, and prove status/history remains append-only.</x:v>
      </x:c>
      <x:c r="P953" s="35" t="str">
        <x:v>All expected records and amounts match; no unexplained error or stale state.</x:v>
      </x:c>
    </x:row>
    <x:row r="954">
      <x:c r="A954" s="20" t="str">
        <x:v>RUN-20270621-02</x:v>
      </x:c>
      <x:c r="B954" s="23" t="n">
        <x:v>46559</x:v>
      </x:c>
      <x:c r="C954" s="32" t="n">
        <x:v>2</x:v>
      </x:c>
      <x:c r="D954" s="20" t="str">
        <x:v>Role and screen certification</x:v>
      </x:c>
      <x:c r="E954" s="20" t="str">
        <x:v>Applicant / public user</x:v>
      </x:c>
      <x:c r="F954" s="20" t="str">
        <x:v>Web</x:v>
      </x:c>
      <x:c r="G954" s="20" t="str">
        <x:v>Normal persona navigation</x:v>
      </x:c>
      <x:c r="H954" s="35" t="str">
        <x:v>Use every permitted action and state on /sign/[token]</x:v>
      </x:c>
      <x:c r="I954" s="35" t="str">
        <x:v>SCR-089; ROLE-167</x:v>
      </x:c>
      <x:c r="J954" s="35" t="str"/>
      <x:c r="K954" s="35" t="str"/>
      <x:c r="L95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54" s="35" t="str">
        <x:v>The persona can use every allowed action with only its assigned properties/relationships. Hidden or disabled actions explain why; an adjacent unauthorized persona is denied without metadata leakage.</x:v>
      </x:c>
      <x:c r="N954" s="35" t="str">
        <x:v>Persona/experience; navigation entry; desktop or device screenshots; result state; persisted read-back; audit/history; authorized and denied network result.</x:v>
      </x:c>
      <x:c r="O954" s="35" t="str">
        <x:v>Open the direct URL or deep link with an adjacent unauthorized persona and with stale scope; both fail closed and land safely without mutation.</x:v>
      </x:c>
      <x:c r="P954" s="35" t="str">
        <x:v>All expected records and amounts match; no unexplained error or stale state.</x:v>
      </x:c>
    </x:row>
    <x:row r="955">
      <x:c r="A955" s="20" t="str">
        <x:v>RUN-20270621-03</x:v>
      </x:c>
      <x:c r="B955" s="23" t="n">
        <x:v>46559</x:v>
      </x:c>
      <x:c r="C955" s="32" t="n">
        <x:v>3</x:v>
      </x:c>
      <x:c r="D955" s="20" t="str">
        <x:v>Field certification</x:v>
      </x:c>
      <x:c r="E955" s="20" t="str">
        <x:v>Property Manager</x:v>
      </x:c>
      <x:c r="F955" s="20" t="str">
        <x:v>Web</x:v>
      </x:c>
      <x:c r="G955" s="20" t="str">
        <x:v>Manual field-by-field</x:v>
      </x:c>
      <x:c r="H955" s="35" t="str">
        <x:v>Fill, save, reload, edit, and validate every declared field on /maintenance</x:v>
      </x:c>
      <x:c r="I955" s="35" t="str">
        <x:v>FLD-0479; FLD-0480; FLD-0481; FLD-0482</x:v>
      </x:c>
      <x:c r="J955" s="35" t="str"/>
      <x:c r="K955" s="35" t="str"/>
      <x:c r="L955" s="35" t="str">
        <x:v>Use the source-derived Field Inventory. Enter non-default realistic values in every control (work-order-est-cost; inspectionForm.type; inspection-type-input; Select-22); submit; reload or relaunch; compare every value; edit each mutable field; verify the paired client; then run required, format, length, range, boundary, optional-null, and stale-submit checks.</x:v>
      </x:c>
      <x:c r="M955" s="35" t="str">
        <x:v>All 4 inventoried controls persist exact normalized values, invalid values stay unsaved with clear errors, and hidden/unauthorized fields cannot be altered.</x:v>
      </x:c>
      <x:c r="N955" s="35" t="str">
        <x:v>Before/after form screenshots; FLD IDs; API response; reloaded UI; paired-client read-back; database/audit evidence; negative validation result.</x:v>
      </x:c>
      <x:c r="O955" s="35" t="str">
        <x:v>Use a duplicate submit and one simulated network interruption; one atomic mutation or none, never partial state.</x:v>
      </x:c>
      <x:c r="P955" s="35" t="str">
        <x:v>All expected records and amounts match; no unexplained error or stale state.</x:v>
      </x:c>
    </x:row>
    <x:row r="956">
      <x:c r="A956" s="20" t="str">
        <x:v>RUN-20270621-04</x:v>
      </x:c>
      <x:c r="B956" s="23" t="n">
        <x:v>46559</x:v>
      </x:c>
      <x:c r="C956" s="32" t="n">
        <x:v>4</x:v>
      </x:c>
      <x:c r="D956" s="20" t="str">
        <x:v>Surface coverage</x:v>
      </x:c>
      <x:c r="E956" s="20" t="str">
        <x:v>Role appropriate to surface</x:v>
      </x:c>
      <x:c r="F956" s="20" t="str">
        <x:v>Mobile</x:v>
      </x:c>
      <x:c r="G956" s="20" t="str">
        <x:v>Scan/attachment</x:v>
      </x:c>
      <x:c r="H956" s="35" t="str">
        <x:v>Scan mobile pass: Recurring expenses and scheduled finance</x:v>
      </x:c>
      <x:c r="I956" s="35" t="str">
        <x:v>COV-021</x:v>
      </x:c>
      <x:c r="J956" s="35" t="str"/>
      <x:c r="K956" s="35" t="str"/>
      <x:c r="L956" s="35" t="str">
        <x:v>Create/edit/pause recurring expense; advance clock; prove one generated expense per period and idempotent rerun.</x:v>
      </x:c>
      <x:c r="M956" s="35" t="str">
        <x:v>The supported workflow completes and persists correctly; if the capability is absent, the exact gap is proven and queued rather than silently skipped.</x:v>
      </x:c>
      <x:c r="N956" s="35" t="str">
        <x:v>Real UI screenshot/state; submitted values; persisted read-back; cross-client read-back; audit/role/access evidence.</x:v>
      </x:c>
      <x:c r="O956" s="35" t="str">
        <x:v>Use one invalid value, stale-state retry, or duplicate submission relevant to the form; no partial or duplicate mutation.</x:v>
      </x:c>
      <x:c r="P956" s="35" t="str">
        <x:v>All expected records and amounts match; no unexplained error or stale state.</x:v>
      </x:c>
    </x:row>
    <x:row r="957">
      <x:c r="A957" s="20" t="str">
        <x:v>RUN-20270622-01</x:v>
      </x:c>
      <x:c r="B957" s="23" t="n">
        <x:v>46560</x:v>
      </x:c>
      <x:c r="C957" s="32" t="n">
        <x:v>1</x:v>
      </x:c>
      <x:c r="D957" s="20" t="str">
        <x:v>Weekly operations</x:v>
      </x:c>
      <x:c r="E957" s="20" t="str">
        <x:v>Property Manager</x:v>
      </x:c>
      <x:c r="F957" s="20" t="str">
        <x:v>Mobile</x:v>
      </x:c>
      <x:c r="G957" s="20" t="str">
        <x:v>Manual web form</x:v>
      </x:c>
      <x:c r="H957" s="35" t="str">
        <x:v>Record, review, allocate, and pay operating expense</x:v>
      </x:c>
      <x:c r="I957" s="35" t="str">
        <x:v>P016; U016; WO-2027-025</x:v>
      </x:c>
      <x:c r="J957" s="35" t="str"/>
      <x:c r="K957" s="35" t="str">
        <x:v>FIN-01048</x:v>
      </x:c>
      <x:c r="L957" s="35" t="str">
        <x:v>Capture or upload the source; verify vendor, date, scope, category, line items, tax, amount, and work-order link; confirm; open detail; verify attachment; compare Money and Property/Unit views.</x:v>
      </x:c>
      <x:c r="M957" s="35" t="str">
        <x:v>One expense exists at its real operational scope, cash falls once, Schedule E category and allocations agree, and no per-unit copies are created.</x:v>
      </x:c>
      <x:c r="N957" s="35" t="str">
        <x:v>Source preview; review/form; expense detail; line items; Property/Unit ledger; audit; accounting/report delta.</x:v>
      </x:c>
      <x:c r="O957" s="35" t="str">
        <x:v>On marked duplicate-invoice cases, re-upload before confirm and prove the product prevents or clearly warns about duplication.</x:v>
      </x:c>
      <x:c r="P957" s="35" t="str">
        <x:v>All expected records and amounts match; no unexplained error or stale state.</x:v>
      </x:c>
    </x:row>
    <x:row r="958">
      <x:c r="A958" s="20" t="str">
        <x:v>RUN-20270622-02</x:v>
      </x:c>
      <x:c r="B958" s="23" t="n">
        <x:v>46560</x:v>
      </x:c>
      <x:c r="C958" s="32" t="n">
        <x:v>2</x:v>
      </x:c>
      <x:c r="D958" s="20" t="str">
        <x:v>Role and screen certification</x:v>
      </x:c>
      <x:c r="E958" s="20" t="str">
        <x:v>Superadmin</x:v>
      </x:c>
      <x:c r="F958" s="20" t="str">
        <x:v>Web</x:v>
      </x:c>
      <x:c r="G958" s="20" t="str">
        <x:v>Normal persona navigation</x:v>
      </x:c>
      <x:c r="H958" s="35" t="str">
        <x:v>Use every permitted action and state on /superadmin/engine</x:v>
      </x:c>
      <x:c r="I958" s="35" t="str">
        <x:v>SCR-090; ROLE-168</x:v>
      </x:c>
      <x:c r="J958" s="35" t="str"/>
      <x:c r="K958" s="35" t="str"/>
      <x:c r="L95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58" s="35" t="str">
        <x:v>The persona can use every allowed action with only its assigned properties/relationships. Hidden or disabled actions explain why; an adjacent unauthorized persona is denied without metadata leakage.</x:v>
      </x:c>
      <x:c r="N958" s="35" t="str">
        <x:v>Persona/experience; navigation entry; desktop or device screenshots; result state; persisted read-back; audit/history; authorized and denied network result.</x:v>
      </x:c>
      <x:c r="O958" s="35" t="str">
        <x:v>Open the direct URL or deep link with an adjacent unauthorized persona and with stale scope; both fail closed and land safely without mutation.</x:v>
      </x:c>
      <x:c r="P958" s="35" t="str">
        <x:v>All expected records and amounts match; no unexplained error or stale state.</x:v>
      </x:c>
    </x:row>
    <x:row r="959">
      <x:c r="A959" s="20" t="str">
        <x:v>RUN-20270622-03</x:v>
      </x:c>
      <x:c r="B959" s="23" t="n">
        <x:v>46560</x:v>
      </x:c>
      <x:c r="C959" s="32" t="n">
        <x:v>3</x:v>
      </x:c>
      <x:c r="D959" s="20" t="str">
        <x:v>Field certification</x:v>
      </x:c>
      <x:c r="E959" s="20" t="str">
        <x:v>Property Manager</x:v>
      </x:c>
      <x:c r="F959" s="20" t="str">
        <x:v>Web</x:v>
      </x:c>
      <x:c r="G959" s="20" t="str">
        <x:v>Manual field-by-field</x:v>
      </x:c>
      <x:c r="H959" s="35" t="str">
        <x:v>Fill, save, reload, edit, and validate every declared field on /maintenance</x:v>
      </x:c>
      <x:c r="I959" s="35" t="str">
        <x:v>FLD-0483; FLD-0484; FLD-0485; FLD-0486; FLD-0487</x:v>
      </x:c>
      <x:c r="J959" s="35" t="str"/>
      <x:c r="K959" s="35" t="str"/>
      <x:c r="L959" s="35" t="str">
        <x:v>Use the source-derived Field Inventory. Enter non-default realistic values in every control (Select-23; Select-24; inspection-template; Select-26; Select-27); submit; reload or relaunch; compare every value; edit each mutable field; verify the paired client; then run required, format, length, range, boundary, optional-null, and stale-submit checks.</x:v>
      </x:c>
      <x:c r="M959" s="35" t="str">
        <x:v>All 5 inventoried controls persist exact normalized values, invalid values stay unsaved with clear errors, and hidden/unauthorized fields cannot be altered.</x:v>
      </x:c>
      <x:c r="N959" s="35" t="str">
        <x:v>Before/after form screenshots; FLD IDs; API response; reloaded UI; paired-client read-back; database/audit evidence; negative validation result.</x:v>
      </x:c>
      <x:c r="O959" s="35" t="str">
        <x:v>Use a duplicate submit and one simulated network interruption; one atomic mutation or none, never partial state.</x:v>
      </x:c>
      <x:c r="P959" s="35" t="str">
        <x:v>All expected records and amounts match; no unexplained error or stale state.</x:v>
      </x:c>
    </x:row>
    <x:row r="960">
      <x:c r="A960" s="20" t="str">
        <x:v>RUN-20270623-01</x:v>
      </x:c>
      <x:c r="B960" s="23" t="n">
        <x:v>46561</x:v>
      </x:c>
      <x:c r="C960" s="32" t="n">
        <x:v>1</x:v>
      </x:c>
      <x:c r="D960" s="20" t="str">
        <x:v>Field certification</x:v>
      </x:c>
      <x:c r="E960" s="20" t="str">
        <x:v>Property Manager</x:v>
      </x:c>
      <x:c r="F960" s="20" t="str">
        <x:v>Web</x:v>
      </x:c>
      <x:c r="G960" s="20" t="str">
        <x:v>Manual field-by-field</x:v>
      </x:c>
      <x:c r="H960" s="35" t="str">
        <x:v>Fill, save, reload, edit, and validate every declared field on /maintenance</x:v>
      </x:c>
      <x:c r="I960" s="35" t="str">
        <x:v>FLD-0488; FLD-0489; FLD-0490; FLD-0491</x:v>
      </x:c>
      <x:c r="J960" s="35" t="str"/>
      <x:c r="K960" s="35" t="str"/>
      <x:c r="L960" s="35" t="str">
        <x:v>Use the source-derived Field Inventory. Enter non-default realistic values in every control (Select-28; inspection-inspector; inspection-template-name; templateForm.inspectionType); submit; reload or relaunch; compare every value; edit each mutable field; verify the paired client; then run required, format, length, range, boundary, optional-null, and stale-submit checks.</x:v>
      </x:c>
      <x:c r="M960" s="35" t="str">
        <x:v>All 4 inventoried controls persist exact normalized values, invalid values stay unsaved with clear errors, and hidden/unauthorized fields cannot be altered.</x:v>
      </x:c>
      <x:c r="N960" s="35" t="str">
        <x:v>Before/after form screenshots; FLD IDs; API response; reloaded UI; paired-client read-back; database/audit evidence; negative validation result.</x:v>
      </x:c>
      <x:c r="O960" s="35" t="str">
        <x:v>Use a duplicate submit and one simulated network interruption; one atomic mutation or none, never partial state.</x:v>
      </x:c>
      <x:c r="P960" s="35" t="str">
        <x:v>All expected records and amounts match; no unexplained error or stale state.</x:v>
      </x:c>
    </x:row>
    <x:row r="961">
      <x:c r="A961" s="20" t="str">
        <x:v>RUN-20270623-02</x:v>
      </x:c>
      <x:c r="B961" s="23" t="n">
        <x:v>46561</x:v>
      </x:c>
      <x:c r="C961" s="32" t="n">
        <x:v>2</x:v>
      </x:c>
      <x:c r="D961" s="20" t="str">
        <x:v>Lifecycle certification</x:v>
      </x:c>
      <x:c r="E961" s="20" t="str">
        <x:v>Property Manager</x:v>
      </x:c>
      <x:c r="F961" s="20" t="str">
        <x:v>Web + Mobile</x:v>
      </x:c>
      <x:c r="G961" s="20" t="str">
        <x:v>Manual + scan/attachment where supported</x:v>
      </x:c>
      <x:c r="H961" s="35" t="str">
        <x:v>Complete the full create/read/edit/lifecycle/delete-safe pass for Security deposit</x:v>
      </x:c>
      <x:c r="I961" s="35" t="str">
        <x:v>CRUD-016</x:v>
      </x:c>
      <x:c r="J961" s="35" t="str"/>
      <x:c r="K961" s="35" t="str"/>
      <x:c r="L961" s="35" t="str">
        <x:v>Use a dedicated disposable QA record and execute: collect; hold; transfer; apply; refund; reconcile; immutable ledger. Fill every field referenced by field-inventory.csv. Verify confirmation copy, cancel path, final path, reload, other-client state, history, and role denial.</x:v>
      </x:c>
      <x:c r="M961" s="35" t="str">
        <x:v>Every supported transition succeeds exactly once; forbidden destructive actions are guarded; reversible deletion/deactivation works; financial and historical truth is preserved.</x:v>
      </x:c>
      <x:c r="N961" s="35" t="str">
        <x:v>Entity before/after; both clients; all FLD IDs; audit/history; notifications; authorized and unauthorized personas; API/DB state.</x:v>
      </x:c>
      <x:c r="O961" s="35" t="str">
        <x:v>Cancel the first destructive confirmation, then repeat and confirm; retry the mutation once; no double transition or orphan.</x:v>
      </x:c>
      <x:c r="P961" s="35" t="str">
        <x:v>All expected records and amounts match; no unexplained error or stale state.</x:v>
      </x:c>
    </x:row>
    <x:row r="962">
      <x:c r="A962" s="20" t="str">
        <x:v>RUN-20270623-03</x:v>
      </x:c>
      <x:c r="B962" s="23" t="n">
        <x:v>46561</x:v>
      </x:c>
      <x:c r="C962" s="32" t="n">
        <x:v>3</x:v>
      </x:c>
      <x:c r="D962" s="20" t="str">
        <x:v>Surface coverage</x:v>
      </x:c>
      <x:c r="E962" s="20" t="str">
        <x:v>Role appropriate to surface</x:v>
      </x:c>
      <x:c r="F962" s="20" t="str">
        <x:v>Web</x:v>
      </x:c>
      <x:c r="G962" s="20" t="str">
        <x:v>Manual</x:v>
      </x:c>
      <x:c r="H962" s="35" t="str">
        <x:v>Manual web pass: Property loan and amortization</x:v>
      </x:c>
      <x:c r="I962" s="35" t="str">
        <x:v>COV-022</x:v>
      </x:c>
      <x:c r="J962" s="35" t="str"/>
      <x:c r="K962" s="35" t="str"/>
      <x:c r="L962" s="35" t="str">
        <x:v>Create/edit loan on both clients, match statements, verify amortization, principal/interest, and payoff.</x:v>
      </x:c>
      <x:c r="M962" s="35" t="str">
        <x:v>The supported workflow completes and persists correctly; if the capability is absent, the exact gap is proven and queued rather than silently skipped.</x:v>
      </x:c>
      <x:c r="N962" s="35" t="str">
        <x:v>Real UI screenshot/state; submitted values; persisted read-back; cross-client read-back; audit/role/access evidence.</x:v>
      </x:c>
      <x:c r="O962" s="35" t="str">
        <x:v>Use one invalid value, stale-state retry, or duplicate submission relevant to the form; no partial or duplicate mutation.</x:v>
      </x:c>
      <x:c r="P962" s="35" t="str">
        <x:v>All expected records and amounts match; no unexplained error or stale state.</x:v>
      </x:c>
    </x:row>
    <x:row r="963">
      <x:c r="A963" s="20" t="str">
        <x:v>RUN-20270624-01</x:v>
      </x:c>
      <x:c r="B963" s="23" t="n">
        <x:v>46562</x:v>
      </x:c>
      <x:c r="C963" s="32" t="n">
        <x:v>1</x:v>
      </x:c>
      <x:c r="D963" s="20" t="str">
        <x:v>Leasing</x:v>
      </x:c>
      <x:c r="E963" s="20" t="str">
        <x:v>Property Manager</x:v>
      </x:c>
      <x:c r="F963" s="20" t="str">
        <x:v>Web</x:v>
      </x:c>
      <x:c r="G963" s="20" t="str">
        <x:v>Scan + manual classification</x:v>
      </x:c>
      <x:c r="H963" s="35" t="str">
        <x:v>Collect and classify security deposit</x:v>
      </x:c>
      <x:c r="I963" s="35" t="str">
        <x:v>L038; U014</x:v>
      </x:c>
      <x:c r="J963" s="35" t="str">
        <x:v>SCN-0914</x:v>
      </x:c>
      <x:c r="K963" s="35" t="str">
        <x:v>FIN-01651</x:v>
      </x:c>
      <x:c r="L963" s="35" t="str">
        <x:v>Capture the receipt; verify payer/amount; classify to the security-deposit account rather than rent; confirm trust account, liability, lease provenance, and receipt.</x:v>
      </x:c>
      <x:c r="M963" s="35" t="str">
        <x:v>Deposit trust cash and liability rise equally; tenant rent AR and rental income do not change.</x:v>
      </x:c>
      <x:c r="N963" s="35" t="str">
        <x:v>Scan review; deposit register; tenant account provenance; trust cash; accounting checks; receipt.</x:v>
      </x:c>
      <x:c r="O963" s="35" t="str">
        <x:v>Try to classify the deposit as rent, cancel, then classify correctly; no abandoned financial row remains.</x:v>
      </x:c>
      <x:c r="P963" s="35" t="str">
        <x:v>All expected records and amounts match; no unexplained error or stale state.</x:v>
      </x:c>
    </x:row>
    <x:row r="964">
      <x:c r="A964" s="20" t="str">
        <x:v>RUN-20270624-02</x:v>
      </x:c>
      <x:c r="B964" s="23" t="n">
        <x:v>46562</x:v>
      </x:c>
      <x:c r="C964" s="32" t="n">
        <x:v>2</x:v>
      </x:c>
      <x:c r="D964" s="20" t="str">
        <x:v>Role and screen certification</x:v>
      </x:c>
      <x:c r="E964" s="20" t="str">
        <x:v>Workspace Administrator</x:v>
      </x:c>
      <x:c r="F964" s="20" t="str">
        <x:v>Web</x:v>
      </x:c>
      <x:c r="G964" s="20" t="str">
        <x:v>Normal persona navigation</x:v>
      </x:c>
      <x:c r="H964" s="35" t="str">
        <x:v>Use every permitted action and state on /activate-team</x:v>
      </x:c>
      <x:c r="I964" s="35" t="str">
        <x:v>SCR-091; ROLE-169</x:v>
      </x:c>
      <x:c r="J964" s="35" t="str"/>
      <x:c r="K964" s="35" t="str"/>
      <x:c r="L96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64" s="35" t="str">
        <x:v>The persona can use every allowed action with only its assigned properties/relationships. Hidden or disabled actions explain why; an adjacent unauthorized persona is denied without metadata leakage.</x:v>
      </x:c>
      <x:c r="N964" s="35" t="str">
        <x:v>Persona/experience; navigation entry; desktop or device screenshots; result state; persisted read-back; audit/history; authorized and denied network result.</x:v>
      </x:c>
      <x:c r="O964" s="35" t="str">
        <x:v>Open the direct URL or deep link with an adjacent unauthorized persona and with stale scope; both fail closed and land safely without mutation.</x:v>
      </x:c>
      <x:c r="P964" s="35" t="str">
        <x:v>All expected records and amounts match; no unexplained error or stale state.</x:v>
      </x:c>
    </x:row>
    <x:row r="965">
      <x:c r="A965" s="20" t="str">
        <x:v>RUN-20270624-03</x:v>
      </x:c>
      <x:c r="B965" s="23" t="n">
        <x:v>46562</x:v>
      </x:c>
      <x:c r="C965" s="32" t="n">
        <x:v>3</x:v>
      </x:c>
      <x:c r="D965" s="20" t="str">
        <x:v>Role and screen certification</x:v>
      </x:c>
      <x:c r="E965" s="20" t="str">
        <x:v>Property Manager</x:v>
      </x:c>
      <x:c r="F965" s="20" t="str">
        <x:v>Web</x:v>
      </x:c>
      <x:c r="G965" s="20" t="str">
        <x:v>Normal persona navigation</x:v>
      </x:c>
      <x:c r="H965" s="35" t="str">
        <x:v>Use every permitted action and state on /activate-team</x:v>
      </x:c>
      <x:c r="I965" s="35" t="str">
        <x:v>SCR-091; ROLE-170</x:v>
      </x:c>
      <x:c r="J965" s="35" t="str"/>
      <x:c r="K965" s="35" t="str"/>
      <x:c r="L96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65" s="35" t="str">
        <x:v>The persona can use every allowed action with only its assigned properties/relationships. Hidden or disabled actions explain why; an adjacent unauthorized persona is denied without metadata leakage.</x:v>
      </x:c>
      <x:c r="N965" s="35" t="str">
        <x:v>Persona/experience; navigation entry; desktop or device screenshots; result state; persisted read-back; audit/history; authorized and denied network result.</x:v>
      </x:c>
      <x:c r="O965" s="35" t="str">
        <x:v>Open the direct URL or deep link with an adjacent unauthorized persona and with stale scope; both fail closed and land safely without mutation.</x:v>
      </x:c>
      <x:c r="P965" s="35" t="str">
        <x:v>All expected records and amounts match; no unexplained error or stale state.</x:v>
      </x:c>
    </x:row>
    <x:row r="966">
      <x:c r="A966" s="20" t="str">
        <x:v>RUN-20270624-04</x:v>
      </x:c>
      <x:c r="B966" s="23" t="n">
        <x:v>46562</x:v>
      </x:c>
      <x:c r="C966" s="32" t="n">
        <x:v>4</x:v>
      </x:c>
      <x:c r="D966" s="20" t="str">
        <x:v>Field certification</x:v>
      </x:c>
      <x:c r="E966" s="20" t="str">
        <x:v>Property Manager</x:v>
      </x:c>
      <x:c r="F966" s="20" t="str">
        <x:v>Web</x:v>
      </x:c>
      <x:c r="G966" s="20" t="str">
        <x:v>Manual field-by-field</x:v>
      </x:c>
      <x:c r="H966" s="35" t="str">
        <x:v>Fill, save, reload, edit, and validate every declared field on /maintenance</x:v>
      </x:c>
      <x:c r="I966" s="35" t="str">
        <x:v>FLD-0492; FLD-0493; FLD-0494; FLD-0495</x:v>
      </x:c>
      <x:c r="J966" s="35" t="str"/>
      <x:c r="K966" s="35" t="str"/>
      <x:c r="L966" s="35" t="str">
        <x:v>Use the source-derived Field Inventory. Enter non-default realistic values in every control (inspection-template-type; Select-33; Select-34; template-area-{item.key}); submit; reload or relaunch; compare every value; edit each mutable field; verify the paired client; then run required, format, length, range, boundary, optional-null, and stale-submit checks.</x:v>
      </x:c>
      <x:c r="M966" s="35" t="str">
        <x:v>All 4 inventoried controls persist exact normalized values, invalid values stay unsaved with clear errors, and hidden/unauthorized fields cannot be altered.</x:v>
      </x:c>
      <x:c r="N966" s="35" t="str">
        <x:v>Before/after form screenshots; FLD IDs; API response; reloaded UI; paired-client read-back; database/audit evidence; negative validation result.</x:v>
      </x:c>
      <x:c r="O966" s="35" t="str">
        <x:v>Use a duplicate submit and one simulated network interruption; one atomic mutation or none, never partial state.</x:v>
      </x:c>
      <x:c r="P966" s="35" t="str">
        <x:v>All expected records and amounts match; no unexplained error or stale state.</x:v>
      </x:c>
    </x:row>
    <x:row r="967">
      <x:c r="A967" s="20" t="str">
        <x:v>RUN-20270624-05</x:v>
      </x:c>
      <x:c r="B967" s="23" t="n">
        <x:v>46562</x:v>
      </x:c>
      <x:c r="C967" s="32" t="n">
        <x:v>5</x:v>
      </x:c>
      <x:c r="D967" s="20" t="str">
        <x:v>Surface coverage</x:v>
      </x:c>
      <x:c r="E967" s="20" t="str">
        <x:v>Role appropriate to surface</x:v>
      </x:c>
      <x:c r="F967" s="20" t="str">
        <x:v>Mobile</x:v>
      </x:c>
      <x:c r="G967" s="20" t="str">
        <x:v>Manual</x:v>
      </x:c>
      <x:c r="H967" s="35" t="str">
        <x:v>Manual mobile pass: Property loan and amortization</x:v>
      </x:c>
      <x:c r="I967" s="35" t="str">
        <x:v>COV-022</x:v>
      </x:c>
      <x:c r="J967" s="35" t="str"/>
      <x:c r="K967" s="35" t="str"/>
      <x:c r="L967" s="35" t="str">
        <x:v>Create/edit loan on both clients, match statements, verify amortization, principal/interest, and payoff.</x:v>
      </x:c>
      <x:c r="M967" s="35" t="str">
        <x:v>The supported workflow completes and persists correctly; if the capability is absent, the exact gap is proven and queued rather than silently skipped.</x:v>
      </x:c>
      <x:c r="N967" s="35" t="str">
        <x:v>Real UI screenshot/state; submitted values; persisted read-back; cross-client read-back; audit/role/access evidence.</x:v>
      </x:c>
      <x:c r="O967" s="35" t="str">
        <x:v>Use one invalid value, stale-state retry, or duplicate submission relevant to the form; no partial or duplicate mutation.</x:v>
      </x:c>
      <x:c r="P967" s="35" t="str">
        <x:v>All expected records and amounts match; no unexplained error or stale state.</x:v>
      </x:c>
    </x:row>
    <x:row r="968">
      <x:c r="A968" s="20" t="str">
        <x:v>RUN-20270625-01</x:v>
      </x:c>
      <x:c r="B968" s="23" t="n">
        <x:v>46563</x:v>
      </x:c>
      <x:c r="C968" s="32" t="n">
        <x:v>1</x:v>
      </x:c>
      <x:c r="D968" s="20" t="str">
        <x:v>Monthly close</x:v>
      </x:c>
      <x:c r="E968" s="20" t="str">
        <x:v>Owner + Workspace Administrator</x:v>
      </x:c>
      <x:c r="F968" s="20" t="str">
        <x:v>Web + Mobile owner portal</x:v>
      </x:c>
      <x:c r="G968" s="20" t="str">
        <x:v>Manual approval</x:v>
      </x:c>
      <x:c r="H968" s="35" t="str">
        <x:v>June owner statements and distributions</x:v>
      </x:c>
      <x:c r="I968" s="35" t="str">
        <x:v>O01-O05</x:v>
      </x:c>
      <x:c r="J968" s="35" t="str"/>
      <x:c r="K968" s="35" t="str">
        <x:v>FIN-01282; FIN-01283; FIN-01284; FIN-01285; FIN-01286</x:v>
      </x:c>
      <x:c r="L968" s="35" t="str">
        <x:v>Generate owner statements; review income/expense allocations; approve distributions; record the bank export; open statements from owner portal on web and mobile.</x:v>
      </x:c>
      <x:c r="M968" s="35" t="str">
        <x:v>Five owner statements agree with Property/accounting totals and five distributions reduce cash/equity distributions without becoming expenses.</x:v>
      </x:c>
      <x:c r="N968" s="35" t="str">
        <x:v>Statements; approvals; owner portal PDFs; distribution rows; bank references; audit.</x:v>
      </x:c>
      <x:c r="O968" s="35" t="str">
        <x:v>Reject one draft distribution before approval each quarter and prove no cash event is posted.</x:v>
      </x:c>
      <x:c r="P968" s="35" t="str">
        <x:v>All expected records and amounts match; no unexplained error or stale state.</x:v>
      </x:c>
    </x:row>
    <x:row r="969">
      <x:c r="A969" s="20" t="str">
        <x:v>RUN-20270625-02</x:v>
      </x:c>
      <x:c r="B969" s="23" t="n">
        <x:v>46563</x:v>
      </x:c>
      <x:c r="C969" s="32" t="n">
        <x:v>2</x:v>
      </x:c>
      <x:c r="D969" s="20" t="str">
        <x:v>Lease ending</x:v>
      </x:c>
      <x:c r="E969" s="20" t="str">
        <x:v>Workspace Administrator</x:v>
      </x:c>
      <x:c r="F969" s="20" t="str">
        <x:v>Web + Mobile</x:v>
      </x:c>
      <x:c r="G969" s="20" t="str">
        <x:v>Manual financial disposition</x:v>
      </x:c>
      <x:c r="H969" s="35" t="str">
        <x:v>Finalize security deposit disposition</x:v>
      </x:c>
      <x:c r="I969" s="35" t="str">
        <x:v>L017; U017</x:v>
      </x:c>
      <x:c r="J969" s="35" t="str">
        <x:v>SCN-0942</x:v>
      </x:c>
      <x:c r="K969" s="35" t="str">
        <x:v>FIN-01666; FIN-01667</x:v>
      </x:c>
      <x:c r="L969" s="35" t="str">
        <x:v>Create supported damage charge if applicable; apply deposit to the tenant balance; transfer applied cash to operating; refund the remainder; deliver itemized statement; compare ledger and deposit register.</x:v>
      </x:c>
      <x:c r="M969" s="35" t="str">
        <x:v>Deposit liability falls by $1,875.00; tenant AR falls by $1,875.00; refund is $0.00; income changes only for supported charges.</x:v>
      </x:c>
      <x:c r="N969" s="35" t="str">
        <x:v>Inspection support; charge; application; cash transfer; refund; itemized statement; portal/account history; accounting checks.</x:v>
      </x:c>
      <x:c r="O969" s="35" t="str">
        <x:v>Inject a failure before final save and prove charge/application/refund/audit rows all roll back together.</x:v>
      </x:c>
      <x:c r="P969" s="35" t="str">
        <x:v>All expected records and amounts match; no unexplained error or stale state.</x:v>
      </x:c>
    </x:row>
    <x:row r="970">
      <x:c r="A970" s="20" t="str">
        <x:v>RUN-20270625-03</x:v>
      </x:c>
      <x:c r="B970" s="23" t="n">
        <x:v>46563</x:v>
      </x:c>
      <x:c r="C970" s="32" t="n">
        <x:v>3</x:v>
      </x:c>
      <x:c r="D970" s="20" t="str">
        <x:v>Role and screen certification</x:v>
      </x:c>
      <x:c r="E970" s="20" t="str">
        <x:v>Applicant / public user</x:v>
      </x:c>
      <x:c r="F970" s="20" t="str">
        <x:v>Web</x:v>
      </x:c>
      <x:c r="G970" s="20" t="str">
        <x:v>Normal persona navigation</x:v>
      </x:c>
      <x:c r="H970" s="35" t="str">
        <x:v>Use every permitted action and state on /apply/[token]</x:v>
      </x:c>
      <x:c r="I970" s="35" t="str">
        <x:v>SCR-092; ROLE-171</x:v>
      </x:c>
      <x:c r="J970" s="35" t="str"/>
      <x:c r="K970" s="35" t="str"/>
      <x:c r="L9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970" s="35" t="str">
        <x:v>The persona can use every allowed action with only its assigned properties/relationships. Hidden or disabled actions explain why; an adjacent unauthorized persona is denied without metadata leakage.</x:v>
      </x:c>
      <x:c r="N970" s="35" t="str">
        <x:v>Persona/experience; navigation entry; desktop or device screenshots; result state; persisted read-back; audit/history; authorized and denied network result.</x:v>
      </x:c>
      <x:c r="O970" s="35" t="str">
        <x:v>Open the direct URL or deep link with an adjacent unauthorized persona and with stale scope; both fail closed and land safely without mutation.</x:v>
      </x:c>
      <x:c r="P970" s="35" t="str">
        <x:v>All expected records and amounts match; no unexplained error or stale state.</x:v>
      </x:c>
    </x:row>
    <x:row r="971">
      <x:c r="A971" s="20" t="str">
        <x:v>RUN-20270625-04</x:v>
      </x:c>
      <x:c r="B971" s="23" t="n">
        <x:v>46563</x:v>
      </x:c>
      <x:c r="C971" s="32" t="n">
        <x:v>4</x:v>
      </x:c>
      <x:c r="D971" s="20" t="str">
        <x:v>Field certification</x:v>
      </x:c>
      <x:c r="E971" s="20" t="str">
        <x:v>Property Manager</x:v>
      </x:c>
      <x:c r="F971" s="20" t="str">
        <x:v>Web</x:v>
      </x:c>
      <x:c r="G971" s="20" t="str">
        <x:v>Manual field-by-field</x:v>
      </x:c>
      <x:c r="H971" s="35" t="str">
        <x:v>Fill, save, reload, edit, and validate every declared field on /maintenance</x:v>
      </x:c>
      <x:c r="I971" s="35" t="str">
        <x:v>FLD-0496</x:v>
      </x:c>
      <x:c r="J971" s="35" t="str"/>
      <x:c r="K971" s="35" t="str"/>
      <x:c r="L971" s="35" t="str">
        <x:v>Use the source-derived Field Inventory. Enter non-default realistic values in every control (template-label-{item.key}); submit; reload or relaunch; compare every value; edit each mutable field; verify the paired client; then run required, format, length, range, boundary, optional-null, and stale-submit checks.</x:v>
      </x:c>
      <x:c r="M971" s="35" t="str">
        <x:v>All 1 inventoried controls persist exact normalized values, invalid values stay unsaved with clear errors, and hidden/unauthorized fields cannot be altered.</x:v>
      </x:c>
      <x:c r="N971" s="35" t="str">
        <x:v>Before/after form screenshots; FLD IDs; API response; reloaded UI; paired-client read-back; database/audit evidence; negative validation result.</x:v>
      </x:c>
      <x:c r="O971" s="35" t="str">
        <x:v>Use a duplicate submit and one simulated network interruption; one atomic mutation or none, never partial state.</x:v>
      </x:c>
      <x:c r="P971" s="35" t="str">
        <x:v>All expected records and amounts match; no unexplained error or stale state.</x:v>
      </x:c>
    </x:row>
    <x:row r="972">
      <x:c r="A972" s="20" t="str">
        <x:v>RUN-20270625-05</x:v>
      </x:c>
      <x:c r="B972" s="23" t="n">
        <x:v>46563</x:v>
      </x:c>
      <x:c r="C972" s="32" t="n">
        <x:v>5</x:v>
      </x:c>
      <x:c r="D972" s="20" t="str">
        <x:v>Field certification</x:v>
      </x:c>
      <x:c r="E972" s="20" t="str">
        <x:v>Property Manager</x:v>
      </x:c>
      <x:c r="F972" s="20" t="str">
        <x:v>Web</x:v>
      </x:c>
      <x:c r="G972" s="20" t="str">
        <x:v>Manual field-by-field</x:v>
      </x:c>
      <x:c r="H972" s="35" t="str">
        <x:v>Fill, save, reload, edit, and validate every declared field on /maintenance/inspections/[id]</x:v>
      </x:c>
      <x:c r="I972" s="35" t="str">
        <x:v>FLD-0497; FLD-0498; FLD-0499; FLD-0500</x:v>
      </x:c>
      <x:c r="J972" s="35" t="str"/>
      <x:c r="K972" s="35" t="str"/>
      <x:c r="L972" s="35" t="str">
        <x:v>Use the source-derived Field Inventory. Enter non-default realistic values in every control (inspection-new-question-area; inspection-new-question-label; inspection-item-{item.id}-area; inspection-item-{item.id}-label-input); submit; reload or relaunch; compare every value; edit each mutable field; verify the paired client; then run required, format, length, range, boundary, optional-null, and stale-submit checks.</x:v>
      </x:c>
      <x:c r="M972" s="35" t="str">
        <x:v>All 4 inventoried controls persist exact normalized values, invalid values stay unsaved with clear errors, and hidden/unauthorized fields cannot be altered.</x:v>
      </x:c>
      <x:c r="N972" s="35" t="str">
        <x:v>Before/after form screenshots; FLD IDs; API response; reloaded UI; paired-client read-back; database/audit evidence; negative validation result.</x:v>
      </x:c>
      <x:c r="O972" s="35" t="str">
        <x:v>Use a duplicate submit and one simulated network interruption; one atomic mutation or none, never partial state.</x:v>
      </x:c>
      <x:c r="P972" s="35" t="str">
        <x:v>All expected records and amounts match; no unexplained error or stale state.</x:v>
      </x:c>
    </x:row>
    <x:row r="973">
      <x:c r="A973" s="20" t="str">
        <x:v>RUN-20270625-06</x:v>
      </x:c>
      <x:c r="B973" s="23" t="n">
        <x:v>46563</x:v>
      </x:c>
      <x:c r="C973" s="32" t="n">
        <x:v>6</x:v>
      </x:c>
      <x:c r="D973" s="20" t="str">
        <x:v>Notification certification</x:v>
      </x:c>
      <x:c r="E973" s="20" t="str">
        <x:v>Property Manager</x:v>
      </x:c>
      <x:c r="F973" s="20" t="str">
        <x:v>Web + Mobile</x:v>
      </x:c>
      <x:c r="G973" s="20" t="str">
        <x:v>System event + preference/manual verification</x:v>
      </x:c>
      <x:c r="H973" s="35" t="str">
        <x:v>Trigger and prove notification: Move-out notice received</x:v>
      </x:c>
      <x:c r="I973" s="35" t="str">
        <x:v>NTF-023</x:v>
      </x:c>
      <x:c r="J973" s="35" t="str"/>
      <x:c r="K973" s="35" t="str"/>
      <x:c r="L973" s="35" t="str">
        <x:v>Set each recipient's preferences; trigger the real business event; inspect routing and recipient scope; verify unread badge, list item, safe preview, lease ending deep link, mark-read sync, configured channel outcome, provider failure/retry, and duplicate suppression.</x:v>
      </x:c>
      <x:c r="M973" s="35" t="str">
        <x:v>Exactly the intended recipients receive one correctly routed notification; disabled optional channels stay silent; deep link opens authorized context; read state synchronizes.</x:v>
      </x:c>
      <x:c r="N973" s="35" t="str">
        <x:v>Trigger record; routing decision; outbox/delivery status; web/mobile inbox; lock-screen-safe copy; deep-link target; audit/provider retry evidence.</x:v>
      </x:c>
      <x:c r="O973" s="35" t="str">
        <x:v>Re-run the worker and deliver a duplicate provider callback; no duplicate user-visible event. Attempt the deep link as an unauthorized adjacent role.</x:v>
      </x:c>
      <x:c r="P973" s="35" t="str">
        <x:v>All expected records and amounts match; no unexplained error or stale state.</x:v>
      </x:c>
    </x:row>
    <x:row r="974">
      <x:c r="A974" s="20" t="str">
        <x:v>RUN-20270625-07</x:v>
      </x:c>
      <x:c r="B974" s="23" t="n">
        <x:v>46563</x:v>
      </x:c>
      <x:c r="C974" s="32" t="n">
        <x:v>7</x:v>
      </x:c>
      <x:c r="D974" s="20" t="str">
        <x:v>Surface coverage</x:v>
      </x:c>
      <x:c r="E974" s="20" t="str">
        <x:v>Role appropriate to surface</x:v>
      </x:c>
      <x:c r="F974" s="20" t="str">
        <x:v>Web</x:v>
      </x:c>
      <x:c r="G974" s="20" t="str">
        <x:v>Scan/attachment</x:v>
      </x:c>
      <x:c r="H974" s="35" t="str">
        <x:v>Scan web pass: Property loan and amortization</x:v>
      </x:c>
      <x:c r="I974" s="35" t="str">
        <x:v>COV-022</x:v>
      </x:c>
      <x:c r="J974" s="35" t="str"/>
      <x:c r="K974" s="35" t="str"/>
      <x:c r="L974" s="35" t="str">
        <x:v>Create/edit loan on both clients, match statements, verify amortization, principal/interest, and payoff.</x:v>
      </x:c>
      <x:c r="M974" s="35" t="str">
        <x:v>The supported workflow completes and persists correctly; if the capability is absent, the exact gap is proven and queued rather than silently skipped.</x:v>
      </x:c>
      <x:c r="N974" s="35" t="str">
        <x:v>Real UI screenshot/state; submitted values; persisted read-back; cross-client read-back; audit/role/access evidence.</x:v>
      </x:c>
      <x:c r="O974" s="35" t="str">
        <x:v>Use one invalid value, stale-state retry, or duplicate submission relevant to the form; no partial or duplicate mutation.</x:v>
      </x:c>
      <x:c r="P974" s="35" t="str">
        <x:v>All expected records and amounts match; no unexplained error or stale state.</x:v>
      </x:c>
    </x:row>
    <x:row r="975">
      <x:c r="A975" s="20" t="str">
        <x:v>RUN-20270627-01</x:v>
      </x:c>
      <x:c r="B975" s="23" t="n">
        <x:v>46565</x:v>
      </x:c>
      <x:c r="C975" s="32" t="n">
        <x:v>1</x:v>
      </x:c>
      <x:c r="D975" s="20" t="str">
        <x:v>Leasing</x:v>
      </x:c>
      <x:c r="E975" s="20" t="str">
        <x:v>Leasing Agent</x:v>
      </x:c>
      <x:c r="F975" s="20" t="str">
        <x:v>Mobile</x:v>
      </x:c>
      <x:c r="G975" s="20" t="str">
        <x:v>Scan-first</x:v>
      </x:c>
      <x:c r="H975" s="35" t="str">
        <x:v>Application intake and pipeline</x:v>
      </x:c>
      <x:c r="I975" s="35" t="str">
        <x:v>P017; U017; L039; T039</x:v>
      </x:c>
      <x:c r="J975" s="35" t="str">
        <x:v>SCN-0915</x:v>
      </x:c>
      <x:c r="K975" s="35" t="str"/>
      <x:c r="L975" s="35" t="str">
        <x:v>Upload/capture the application; review extracted applicant and unit context; confirm; inspect pipeline; request screening in synthetic/test-only mode; record a fair, documented decision.</x:v>
      </x:c>
      <x:c r="M975" s="35" t="str">
        <x:v>Application, applicant tenant prospect, unit link, status history, screening placeholder, and communication are created once without exposing sensitive values.</x:v>
      </x:c>
      <x:c r="N975" s="35" t="str">
        <x:v>Scan draft; Application detail; pipeline; status audit; applicant communication; role/access proof.</x:v>
      </x:c>
      <x:c r="O975" s="35" t="str">
        <x:v>Upload a duplicate application and a wrong-unit application; no duplicate person or cross-property link.</x:v>
      </x:c>
      <x:c r="P975" s="35" t="str">
        <x:v>All expected records and amounts match; no unexplained error or stale state.</x:v>
      </x:c>
    </x:row>
    <x:row r="976">
      <x:c r="A976" s="20" t="str">
        <x:v>RUN-20270628-01</x:v>
      </x:c>
      <x:c r="B976" s="23" t="n">
        <x:v>46566</x:v>
      </x:c>
      <x:c r="C976" s="32" t="n">
        <x:v>1</x:v>
      </x:c>
      <x:c r="D976" s="20" t="str">
        <x:v>Weekly operations</x:v>
      </x:c>
      <x:c r="E976" s="20" t="str">
        <x:v>Property Manager</x:v>
      </x:c>
      <x:c r="F976" s="20" t="str">
        <x:v>Web</x:v>
      </x:c>
      <x:c r="G976" s="20" t="str">
        <x:v>Scan-first</x:v>
      </x:c>
      <x:c r="H976" s="35" t="str">
        <x:v>Create and triage maintenance request</x:v>
      </x:c>
      <x:c r="I976" s="35" t="str">
        <x:v>P022; U023; WO-2027-026</x:v>
      </x:c>
      <x:c r="J976" s="35" t="str">
        <x:v>SCN-0392</x:v>
      </x:c>
      <x:c r="K976" s="35" t="str"/>
      <x:c r="L976" s="35" t="str">
        <x:v>Capture the tenant note/photo; review loose outlet; confirm; set responsibility; dispatch Fresh Start Turnovers; create an appointment and verify the tenant notification.</x:v>
      </x:c>
      <x:c r="M976" s="35" t="str">
        <x:v>Work order, status timeline, responsibility, vendor dispatch, appointment, notification, and Unit context are linked once.</x:v>
      </x:c>
      <x:c r="N976" s="35" t="str">
        <x:v>Scan review; work order detail/timeline; dispatch; appointment; notification; tenant portal view.</x:v>
      </x:c>
      <x:c r="O976" s="35" t="str">
        <x:v>Cancel one dispatch each quarter, reassign once, and prove status/history remains append-only.</x:v>
      </x:c>
      <x:c r="P976" s="35" t="str">
        <x:v>All expected records and amounts match; no unexplained error or stale state.</x:v>
      </x:c>
    </x:row>
    <x:row r="977">
      <x:c r="A977" s="20" t="str">
        <x:v>RUN-20270628-02</x:v>
      </x:c>
      <x:c r="B977" s="23" t="n">
        <x:v>46566</x:v>
      </x:c>
      <x:c r="C977" s="32" t="n">
        <x:v>2</x:v>
      </x:c>
      <x:c r="D977" s="20" t="str">
        <x:v>Weekly operations</x:v>
      </x:c>
      <x:c r="E977" s="20" t="str">
        <x:v>Property Manager</x:v>
      </x:c>
      <x:c r="F977" s="20" t="str">
        <x:v>Mobile</x:v>
      </x:c>
      <x:c r="G977" s="20" t="str">
        <x:v>Scanned receipt/invoice</x:v>
      </x:c>
      <x:c r="H977" s="35" t="str">
        <x:v>Record, review, allocate, and pay operating expense</x:v>
      </x:c>
      <x:c r="I977" s="35" t="str">
        <x:v>P001; Property scope; </x:v>
      </x:c>
      <x:c r="J977" s="35" t="str">
        <x:v>SCN-0791</x:v>
      </x:c>
      <x:c r="K977" s="35" t="str">
        <x:v>FIN-01502</x:v>
      </x:c>
      <x:c r="L977" s="35" t="str">
        <x:v>Capture or upload the source; verify vendor, date, scope, category, line items, tax, amount, and work-order link; confirm; open detail; verify attachment; compare Money and Property/Unit views.</x:v>
      </x:c>
      <x:c r="M977" s="35" t="str">
        <x:v>One expense exists at its real operational scope, cash falls once, Schedule E category and allocations agree, and no per-unit copies are created.</x:v>
      </x:c>
      <x:c r="N977" s="35" t="str">
        <x:v>Source preview; review/form; expense detail; line items; Property/Unit ledger; audit; accounting/report delta.</x:v>
      </x:c>
      <x:c r="O977" s="35" t="str">
        <x:v>On marked duplicate-invoice cases, re-upload before confirm and prove the product prevents or clearly warns about duplication.</x:v>
      </x:c>
      <x:c r="P977" s="35" t="str">
        <x:v>All expected records and amounts match; no unexplained error or stale state.</x:v>
      </x:c>
    </x:row>
    <x:row r="978">
      <x:c r="A978" s="20" t="str">
        <x:v>RUN-20270628-03</x:v>
      </x:c>
      <x:c r="B978" s="23" t="n">
        <x:v>46566</x:v>
      </x:c>
      <x:c r="C978" s="32" t="n">
        <x:v>3</x:v>
      </x:c>
      <x:c r="D978" s="20" t="str">
        <x:v>Weekly operations</x:v>
      </x:c>
      <x:c r="E978" s="20" t="str">
        <x:v>Property Manager</x:v>
      </x:c>
      <x:c r="F978" s="20" t="str">
        <x:v>Web</x:v>
      </x:c>
      <x:c r="G978" s="20" t="str">
        <x:v>Scanned receipt/invoice</x:v>
      </x:c>
      <x:c r="H978" s="35" t="str">
        <x:v>Record, review, allocate, and pay operating expense</x:v>
      </x:c>
      <x:c r="I978" s="35" t="str">
        <x:v>P002; Property scope; </x:v>
      </x:c>
      <x:c r="J978" s="35" t="str">
        <x:v>SCN-0796</x:v>
      </x:c>
      <x:c r="K978" s="35" t="str">
        <x:v>FIN-01507</x:v>
      </x:c>
      <x:c r="L978" s="35" t="str">
        <x:v>Capture or upload the source; verify vendor, date, scope, category, line items, tax, amount, and work-order link; confirm; open detail; verify attachment; compare Money and Property/Unit views.</x:v>
      </x:c>
      <x:c r="M978" s="35" t="str">
        <x:v>One expense exists at its real operational scope, cash falls once, Schedule E category and allocations agree, and no per-unit copies are created.</x:v>
      </x:c>
      <x:c r="N978" s="35" t="str">
        <x:v>Source preview; review/form; expense detail; line items; Property/Unit ledger; audit; accounting/report delta.</x:v>
      </x:c>
      <x:c r="O978" s="35" t="str">
        <x:v>On marked duplicate-invoice cases, re-upload before confirm and prove the product prevents or clearly warns about duplication.</x:v>
      </x:c>
      <x:c r="P978" s="35" t="str">
        <x:v>All expected records and amounts match; no unexplained error or stale state.</x:v>
      </x:c>
    </x:row>
    <x:row r="979">
      <x:c r="A979" s="20" t="str">
        <x:v>RUN-20270628-04</x:v>
      </x:c>
      <x:c r="B979" s="23" t="n">
        <x:v>46566</x:v>
      </x:c>
      <x:c r="C979" s="32" t="n">
        <x:v>4</x:v>
      </x:c>
      <x:c r="D979" s="20" t="str">
        <x:v>Weekly operations</x:v>
      </x:c>
      <x:c r="E979" s="20" t="str">
        <x:v>Property Manager</x:v>
      </x:c>
      <x:c r="F979" s="20" t="str">
        <x:v>Mobile</x:v>
      </x:c>
      <x:c r="G979" s="20" t="str">
        <x:v>Scanned receipt/invoice</x:v>
      </x:c>
      <x:c r="H979" s="35" t="str">
        <x:v>Record, review, allocate, and pay operating expense</x:v>
      </x:c>
      <x:c r="I979" s="35" t="str">
        <x:v>P003; Property scope; </x:v>
      </x:c>
      <x:c r="J979" s="35" t="str">
        <x:v>SCN-0801</x:v>
      </x:c>
      <x:c r="K979" s="35" t="str">
        <x:v>FIN-01512</x:v>
      </x:c>
      <x:c r="L979" s="35" t="str">
        <x:v>Capture or upload the source; verify vendor, date, scope, category, line items, tax, amount, and work-order link; confirm; open detail; verify attachment; compare Money and Property/Unit views.</x:v>
      </x:c>
      <x:c r="M979" s="35" t="str">
        <x:v>One expense exists at its real operational scope, cash falls once, Schedule E category and allocations agree, and no per-unit copies are created.</x:v>
      </x:c>
      <x:c r="N979" s="35" t="str">
        <x:v>Source preview; review/form; expense detail; line items; Property/Unit ledger; audit; accounting/report delta.</x:v>
      </x:c>
      <x:c r="O979" s="35" t="str">
        <x:v>On marked duplicate-invoice cases, re-upload before confirm and prove the product prevents or clearly warns about duplication.</x:v>
      </x:c>
      <x:c r="P979" s="35" t="str">
        <x:v>All expected records and amounts match; no unexplained error or stale state.</x:v>
      </x:c>
    </x:row>
    <x:row r="980">
      <x:c r="A980" s="20" t="str">
        <x:v>RUN-20270628-05</x:v>
      </x:c>
      <x:c r="B980" s="23" t="n">
        <x:v>46566</x:v>
      </x:c>
      <x:c r="C980" s="32" t="n">
        <x:v>5</x:v>
      </x:c>
      <x:c r="D980" s="20" t="str">
        <x:v>Weekly operations</x:v>
      </x:c>
      <x:c r="E980" s="20" t="str">
        <x:v>Property Manager</x:v>
      </x:c>
      <x:c r="F980" s="20" t="str">
        <x:v>Web</x:v>
      </x:c>
      <x:c r="G980" s="20" t="str">
        <x:v>Scanned receipt/invoice</x:v>
      </x:c>
      <x:c r="H980" s="35" t="str">
        <x:v>Record, review, allocate, and pay operating expense</x:v>
      </x:c>
      <x:c r="I980" s="35" t="str">
        <x:v>P004; Property scope; </x:v>
      </x:c>
      <x:c r="J980" s="35" t="str">
        <x:v>SCN-0806</x:v>
      </x:c>
      <x:c r="K980" s="35" t="str">
        <x:v>FIN-01517</x:v>
      </x:c>
      <x:c r="L980" s="35" t="str">
        <x:v>Capture or upload the source; verify vendor, date, scope, category, line items, tax, amount, and work-order link; confirm; open detail; verify attachment; compare Money and Property/Unit views.</x:v>
      </x:c>
      <x:c r="M980" s="35" t="str">
        <x:v>One expense exists at its real operational scope, cash falls once, Schedule E category and allocations agree, and no per-unit copies are created.</x:v>
      </x:c>
      <x:c r="N980" s="35" t="str">
        <x:v>Source preview; review/form; expense detail; line items; Property/Unit ledger; audit; accounting/report delta.</x:v>
      </x:c>
      <x:c r="O980" s="35" t="str">
        <x:v>On marked duplicate-invoice cases, re-upload before confirm and prove the product prevents or clearly warns about duplication.</x:v>
      </x:c>
      <x:c r="P980" s="35" t="str">
        <x:v>All expected records and amounts match; no unexplained error or stale state.</x:v>
      </x:c>
    </x:row>
    <x:row r="981">
      <x:c r="A981" s="20" t="str">
        <x:v>RUN-20270628-06</x:v>
      </x:c>
      <x:c r="B981" s="23" t="n">
        <x:v>46566</x:v>
      </x:c>
      <x:c r="C981" s="32" t="n">
        <x:v>6</x:v>
      </x:c>
      <x:c r="D981" s="20" t="str">
        <x:v>Weekly operations</x:v>
      </x:c>
      <x:c r="E981" s="20" t="str">
        <x:v>Property Manager</x:v>
      </x:c>
      <x:c r="F981" s="20" t="str">
        <x:v>Mobile</x:v>
      </x:c>
      <x:c r="G981" s="20" t="str">
        <x:v>Manual web form</x:v>
      </x:c>
      <x:c r="H981" s="35" t="str">
        <x:v>Record, review, allocate, and pay operating expense</x:v>
      </x:c>
      <x:c r="I981" s="35" t="str">
        <x:v>P005; Property scope; </x:v>
      </x:c>
      <x:c r="J981" s="35" t="str"/>
      <x:c r="K981" s="35" t="str">
        <x:v>FIN-01522</x:v>
      </x:c>
      <x:c r="L981" s="35" t="str">
        <x:v>Capture or upload the source; verify vendor, date, scope, category, line items, tax, amount, and work-order link; confirm; open detail; verify attachment; compare Money and Property/Unit views.</x:v>
      </x:c>
      <x:c r="M981" s="35" t="str">
        <x:v>One expense exists at its real operational scope, cash falls once, Schedule E category and allocations agree, and no per-unit copies are created.</x:v>
      </x:c>
      <x:c r="N981" s="35" t="str">
        <x:v>Source preview; review/form; expense detail; line items; Property/Unit ledger; audit; accounting/report delta.</x:v>
      </x:c>
      <x:c r="O981" s="35" t="str">
        <x:v>On marked duplicate-invoice cases, re-upload before confirm and prove the product prevents or clearly warns about duplication.</x:v>
      </x:c>
      <x:c r="P981" s="35" t="str">
        <x:v>All expected records and amounts match; no unexplained error or stale state.</x:v>
      </x:c>
    </x:row>
    <x:row r="982">
      <x:c r="A982" s="20" t="str">
        <x:v>RUN-20270628-07</x:v>
      </x:c>
      <x:c r="B982" s="23" t="n">
        <x:v>46566</x:v>
      </x:c>
      <x:c r="C982" s="32" t="n">
        <x:v>7</x:v>
      </x:c>
      <x:c r="D982" s="20" t="str">
        <x:v>Weekly operations</x:v>
      </x:c>
      <x:c r="E982" s="20" t="str">
        <x:v>Property Manager</x:v>
      </x:c>
      <x:c r="F982" s="20" t="str">
        <x:v>Web</x:v>
      </x:c>
      <x:c r="G982" s="20" t="str">
        <x:v>Scanned receipt/invoice</x:v>
      </x:c>
      <x:c r="H982" s="35" t="str">
        <x:v>Record, review, allocate, and pay operating expense</x:v>
      </x:c>
      <x:c r="I982" s="35" t="str">
        <x:v>P006; Property scope; </x:v>
      </x:c>
      <x:c r="J982" s="35" t="str">
        <x:v>SCN-0811</x:v>
      </x:c>
      <x:c r="K982" s="35" t="str">
        <x:v>FIN-01527</x:v>
      </x:c>
      <x:c r="L982" s="35" t="str">
        <x:v>Capture or upload the source; verify vendor, date, scope, category, line items, tax, amount, and work-order link; confirm; open detail; verify attachment; compare Money and Property/Unit views.</x:v>
      </x:c>
      <x:c r="M982" s="35" t="str">
        <x:v>One expense exists at its real operational scope, cash falls once, Schedule E category and allocations agree, and no per-unit copies are created.</x:v>
      </x:c>
      <x:c r="N982" s="35" t="str">
        <x:v>Source preview; review/form; expense detail; line items; Property/Unit ledger; audit; accounting/report delta.</x:v>
      </x:c>
      <x:c r="O982" s="35" t="str">
        <x:v>On marked duplicate-invoice cases, re-upload before confirm and prove the product prevents or clearly warns about duplication.</x:v>
      </x:c>
      <x:c r="P982" s="35" t="str">
        <x:v>All expected records and amounts match; no unexplained error or stale state.</x:v>
      </x:c>
    </x:row>
    <x:row r="983">
      <x:c r="A983" s="20" t="str">
        <x:v>RUN-20270628-08</x:v>
      </x:c>
      <x:c r="B983" s="23" t="n">
        <x:v>46566</x:v>
      </x:c>
      <x:c r="C983" s="32" t="n">
        <x:v>8</x:v>
      </x:c>
      <x:c r="D983" s="20" t="str">
        <x:v>Weekly operations</x:v>
      </x:c>
      <x:c r="E983" s="20" t="str">
        <x:v>Property Manager</x:v>
      </x:c>
      <x:c r="F983" s="20" t="str">
        <x:v>Mobile</x:v>
      </x:c>
      <x:c r="G983" s="20" t="str">
        <x:v>Scanned receipt/invoice</x:v>
      </x:c>
      <x:c r="H983" s="35" t="str">
        <x:v>Record, review, allocate, and pay operating expense</x:v>
      </x:c>
      <x:c r="I983" s="35" t="str">
        <x:v>P007; Property scope; </x:v>
      </x:c>
      <x:c r="J983" s="35" t="str">
        <x:v>SCN-0816</x:v>
      </x:c>
      <x:c r="K983" s="35" t="str">
        <x:v>FIN-01532</x:v>
      </x:c>
      <x:c r="L983" s="35" t="str">
        <x:v>Capture or upload the source; verify vendor, date, scope, category, line items, tax, amount, and work-order link; confirm; open detail; verify attachment; compare Money and Property/Unit views.</x:v>
      </x:c>
      <x:c r="M983" s="35" t="str">
        <x:v>One expense exists at its real operational scope, cash falls once, Schedule E category and allocations agree, and no per-unit copies are created.</x:v>
      </x:c>
      <x:c r="N983" s="35" t="str">
        <x:v>Source preview; review/form; expense detail; line items; Property/Unit ledger; audit; accounting/report delta.</x:v>
      </x:c>
      <x:c r="O983" s="35" t="str">
        <x:v>On marked duplicate-invoice cases, re-upload before confirm and prove the product prevents or clearly warns about duplication.</x:v>
      </x:c>
      <x:c r="P983" s="35" t="str">
        <x:v>All expected records and amounts match; no unexplained error or stale state.</x:v>
      </x:c>
    </x:row>
    <x:row r="984">
      <x:c r="A984" s="20" t="str">
        <x:v>RUN-20270628-09</x:v>
      </x:c>
      <x:c r="B984" s="23" t="n">
        <x:v>46566</x:v>
      </x:c>
      <x:c r="C984" s="32" t="n">
        <x:v>9</x:v>
      </x:c>
      <x:c r="D984" s="20" t="str">
        <x:v>Weekly operations</x:v>
      </x:c>
      <x:c r="E984" s="20" t="str">
        <x:v>Property Manager</x:v>
      </x:c>
      <x:c r="F984" s="20" t="str">
        <x:v>Web</x:v>
      </x:c>
      <x:c r="G984" s="20" t="str">
        <x:v>Scanned receipt/invoice</x:v>
      </x:c>
      <x:c r="H984" s="35" t="str">
        <x:v>Record, review, allocate, and pay operating expense</x:v>
      </x:c>
      <x:c r="I984" s="35" t="str">
        <x:v>P008; Property scope; </x:v>
      </x:c>
      <x:c r="J984" s="35" t="str">
        <x:v>SCN-0821</x:v>
      </x:c>
      <x:c r="K984" s="35" t="str">
        <x:v>FIN-01537</x:v>
      </x:c>
      <x:c r="L984" s="35" t="str">
        <x:v>Capture or upload the source; verify vendor, date, scope, category, line items, tax, amount, and work-order link; confirm; open detail; verify attachment; compare Money and Property/Unit views.</x:v>
      </x:c>
      <x:c r="M984" s="35" t="str">
        <x:v>One expense exists at its real operational scope, cash falls once, Schedule E category and allocations agree, and no per-unit copies are created.</x:v>
      </x:c>
      <x:c r="N984" s="35" t="str">
        <x:v>Source preview; review/form; expense detail; line items; Property/Unit ledger; audit; accounting/report delta.</x:v>
      </x:c>
      <x:c r="O984" s="35" t="str">
        <x:v>On marked duplicate-invoice cases, re-upload before confirm and prove the product prevents or clearly warns about duplication.</x:v>
      </x:c>
      <x:c r="P984" s="35" t="str">
        <x:v>All expected records and amounts match; no unexplained error or stale state.</x:v>
      </x:c>
    </x:row>
    <x:row r="985">
      <x:c r="A985" s="20" t="str">
        <x:v>RUN-20270628-10</x:v>
      </x:c>
      <x:c r="B985" s="23" t="n">
        <x:v>46566</x:v>
      </x:c>
      <x:c r="C985" s="32" t="n">
        <x:v>10</x:v>
      </x:c>
      <x:c r="D985" s="20" t="str">
        <x:v>Weekly operations</x:v>
      </x:c>
      <x:c r="E985" s="20" t="str">
        <x:v>Property Manager</x:v>
      </x:c>
      <x:c r="F985" s="20" t="str">
        <x:v>Mobile</x:v>
      </x:c>
      <x:c r="G985" s="20" t="str">
        <x:v>Scanned receipt/invoice</x:v>
      </x:c>
      <x:c r="H985" s="35" t="str">
        <x:v>Record, review, allocate, and pay operating expense</x:v>
      </x:c>
      <x:c r="I985" s="35" t="str">
        <x:v>P009; Property scope; </x:v>
      </x:c>
      <x:c r="J985" s="35" t="str">
        <x:v>SCN-0826</x:v>
      </x:c>
      <x:c r="K985" s="35" t="str">
        <x:v>FIN-01542</x:v>
      </x:c>
      <x:c r="L985" s="35" t="str">
        <x:v>Capture or upload the source; verify vendor, date, scope, category, line items, tax, amount, and work-order link; confirm; open detail; verify attachment; compare Money and Property/Unit views.</x:v>
      </x:c>
      <x:c r="M985" s="35" t="str">
        <x:v>One expense exists at its real operational scope, cash falls once, Schedule E category and allocations agree, and no per-unit copies are created.</x:v>
      </x:c>
      <x:c r="N985" s="35" t="str">
        <x:v>Source preview; review/form; expense detail; line items; Property/Unit ledger; audit; accounting/report delta.</x:v>
      </x:c>
      <x:c r="O985" s="35" t="str">
        <x:v>On marked duplicate-invoice cases, re-upload before confirm and prove the product prevents or clearly warns about duplication.</x:v>
      </x:c>
      <x:c r="P985" s="35" t="str">
        <x:v>All expected records and amounts match; no unexplained error or stale state.</x:v>
      </x:c>
    </x:row>
    <x:row r="986">
      <x:c r="A986" s="20" t="str">
        <x:v>RUN-20270628-11</x:v>
      </x:c>
      <x:c r="B986" s="23" t="n">
        <x:v>46566</x:v>
      </x:c>
      <x:c r="C986" s="32" t="n">
        <x:v>11</x:v>
      </x:c>
      <x:c r="D986" s="20" t="str">
        <x:v>Weekly operations</x:v>
      </x:c>
      <x:c r="E986" s="20" t="str">
        <x:v>Property Manager</x:v>
      </x:c>
      <x:c r="F986" s="20" t="str">
        <x:v>Web</x:v>
      </x:c>
      <x:c r="G986" s="20" t="str">
        <x:v>Manual mobile form</x:v>
      </x:c>
      <x:c r="H986" s="35" t="str">
        <x:v>Record, review, allocate, and pay operating expense</x:v>
      </x:c>
      <x:c r="I986" s="35" t="str">
        <x:v>P010; Property scope; </x:v>
      </x:c>
      <x:c r="J986" s="35" t="str"/>
      <x:c r="K986" s="35" t="str">
        <x:v>FIN-01547</x:v>
      </x:c>
      <x:c r="L986" s="35" t="str">
        <x:v>Capture or upload the source; verify vendor, date, scope, category, line items, tax, amount, and work-order link; confirm; open detail; verify attachment; compare Money and Property/Unit views.</x:v>
      </x:c>
      <x:c r="M986" s="35" t="str">
        <x:v>One expense exists at its real operational scope, cash falls once, Schedule E category and allocations agree, and no per-unit copies are created.</x:v>
      </x:c>
      <x:c r="N986" s="35" t="str">
        <x:v>Source preview; review/form; expense detail; line items; Property/Unit ledger; audit; accounting/report delta.</x:v>
      </x:c>
      <x:c r="O986" s="35" t="str">
        <x:v>On marked duplicate-invoice cases, re-upload before confirm and prove the product prevents or clearly warns about duplication.</x:v>
      </x:c>
      <x:c r="P986" s="35" t="str">
        <x:v>All expected records and amounts match; no unexplained error or stale state.</x:v>
      </x:c>
    </x:row>
    <x:row r="987">
      <x:c r="A987" s="20" t="str">
        <x:v>RUN-20270628-12</x:v>
      </x:c>
      <x:c r="B987" s="23" t="n">
        <x:v>46566</x:v>
      </x:c>
      <x:c r="C987" s="32" t="n">
        <x:v>12</x:v>
      </x:c>
      <x:c r="D987" s="20" t="str">
        <x:v>Weekly operations</x:v>
      </x:c>
      <x:c r="E987" s="20" t="str">
        <x:v>Property Manager</x:v>
      </x:c>
      <x:c r="F987" s="20" t="str">
        <x:v>Mobile</x:v>
      </x:c>
      <x:c r="G987" s="20" t="str">
        <x:v>Scanned receipt/invoice</x:v>
      </x:c>
      <x:c r="H987" s="35" t="str">
        <x:v>Record, review, allocate, and pay operating expense</x:v>
      </x:c>
      <x:c r="I987" s="35" t="str">
        <x:v>P011; Property scope; </x:v>
      </x:c>
      <x:c r="J987" s="35" t="str">
        <x:v>SCN-0831</x:v>
      </x:c>
      <x:c r="K987" s="35" t="str">
        <x:v>FIN-01552</x:v>
      </x:c>
      <x:c r="L987" s="35" t="str">
        <x:v>Capture or upload the source; verify vendor, date, scope, category, line items, tax, amount, and work-order link; confirm; open detail; verify attachment; compare Money and Property/Unit views.</x:v>
      </x:c>
      <x:c r="M987" s="35" t="str">
        <x:v>One expense exists at its real operational scope, cash falls once, Schedule E category and allocations agree, and no per-unit copies are created.</x:v>
      </x:c>
      <x:c r="N987" s="35" t="str">
        <x:v>Source preview; review/form; expense detail; line items; Property/Unit ledger; audit; accounting/report delta.</x:v>
      </x:c>
      <x:c r="O987" s="35" t="str">
        <x:v>On marked duplicate-invoice cases, re-upload before confirm and prove the product prevents or clearly warns about duplication.</x:v>
      </x:c>
      <x:c r="P987" s="35" t="str">
        <x:v>All expected records and amounts match; no unexplained error or stale state.</x:v>
      </x:c>
    </x:row>
    <x:row r="988">
      <x:c r="A988" s="20" t="str">
        <x:v>RUN-20270628-13</x:v>
      </x:c>
      <x:c r="B988" s="23" t="n">
        <x:v>46566</x:v>
      </x:c>
      <x:c r="C988" s="32" t="n">
        <x:v>13</x:v>
      </x:c>
      <x:c r="D988" s="20" t="str">
        <x:v>Weekly operations</x:v>
      </x:c>
      <x:c r="E988" s="20" t="str">
        <x:v>Property Manager</x:v>
      </x:c>
      <x:c r="F988" s="20" t="str">
        <x:v>Web</x:v>
      </x:c>
      <x:c r="G988" s="20" t="str">
        <x:v>Scanned receipt/invoice</x:v>
      </x:c>
      <x:c r="H988" s="35" t="str">
        <x:v>Record, review, allocate, and pay operating expense</x:v>
      </x:c>
      <x:c r="I988" s="35" t="str">
        <x:v>P012; Property scope; </x:v>
      </x:c>
      <x:c r="J988" s="35" t="str">
        <x:v>SCN-0836</x:v>
      </x:c>
      <x:c r="K988" s="35" t="str">
        <x:v>FIN-01557</x:v>
      </x:c>
      <x:c r="L988" s="35" t="str">
        <x:v>Capture or upload the source; verify vendor, date, scope, category, line items, tax, amount, and work-order link; confirm; open detail; verify attachment; compare Money and Property/Unit views.</x:v>
      </x:c>
      <x:c r="M988" s="35" t="str">
        <x:v>One expense exists at its real operational scope, cash falls once, Schedule E category and allocations agree, and no per-unit copies are created.</x:v>
      </x:c>
      <x:c r="N988" s="35" t="str">
        <x:v>Source preview; review/form; expense detail; line items; Property/Unit ledger; audit; accounting/report delta.</x:v>
      </x:c>
      <x:c r="O988" s="35" t="str">
        <x:v>On marked duplicate-invoice cases, re-upload before confirm and prove the product prevents or clearly warns about duplication.</x:v>
      </x:c>
      <x:c r="P988" s="35" t="str">
        <x:v>All expected records and amounts match; no unexplained error or stale state.</x:v>
      </x:c>
    </x:row>
    <x:row r="989">
      <x:c r="A989" s="20" t="str">
        <x:v>RUN-20270628-14</x:v>
      </x:c>
      <x:c r="B989" s="23" t="n">
        <x:v>46566</x:v>
      </x:c>
      <x:c r="C989" s="32" t="n">
        <x:v>14</x:v>
      </x:c>
      <x:c r="D989" s="20" t="str">
        <x:v>Weekly operations</x:v>
      </x:c>
      <x:c r="E989" s="20" t="str">
        <x:v>Property Manager</x:v>
      </x:c>
      <x:c r="F989" s="20" t="str">
        <x:v>Mobile</x:v>
      </x:c>
      <x:c r="G989" s="20" t="str">
        <x:v>Scanned receipt/invoice</x:v>
      </x:c>
      <x:c r="H989" s="35" t="str">
        <x:v>Record, review, allocate, and pay operating expense</x:v>
      </x:c>
      <x:c r="I989" s="35" t="str">
        <x:v>P013; Property scope; </x:v>
      </x:c>
      <x:c r="J989" s="35" t="str">
        <x:v>SCN-0841</x:v>
      </x:c>
      <x:c r="K989" s="35" t="str">
        <x:v>FIN-01562</x:v>
      </x:c>
      <x:c r="L989" s="35" t="str">
        <x:v>Capture or upload the source; verify vendor, date, scope, category, line items, tax, amount, and work-order link; confirm; open detail; verify attachment; compare Money and Property/Unit views.</x:v>
      </x:c>
      <x:c r="M989" s="35" t="str">
        <x:v>One expense exists at its real operational scope, cash falls once, Schedule E category and allocations agree, and no per-unit copies are created.</x:v>
      </x:c>
      <x:c r="N989" s="35" t="str">
        <x:v>Source preview; review/form; expense detail; line items; Property/Unit ledger; audit; accounting/report delta.</x:v>
      </x:c>
      <x:c r="O989" s="35" t="str">
        <x:v>On marked duplicate-invoice cases, re-upload before confirm and prove the product prevents or clearly warns about duplication.</x:v>
      </x:c>
      <x:c r="P989" s="35" t="str">
        <x:v>All expected records and amounts match; no unexplained error or stale state.</x:v>
      </x:c>
    </x:row>
    <x:row r="990">
      <x:c r="A990" s="20" t="str">
        <x:v>RUN-20270628-15</x:v>
      </x:c>
      <x:c r="B990" s="23" t="n">
        <x:v>46566</x:v>
      </x:c>
      <x:c r="C990" s="32" t="n">
        <x:v>15</x:v>
      </x:c>
      <x:c r="D990" s="20" t="str">
        <x:v>Weekly operations</x:v>
      </x:c>
      <x:c r="E990" s="20" t="str">
        <x:v>Property Manager</x:v>
      </x:c>
      <x:c r="F990" s="20" t="str">
        <x:v>Web</x:v>
      </x:c>
      <x:c r="G990" s="20" t="str">
        <x:v>Scanned receipt/invoice</x:v>
      </x:c>
      <x:c r="H990" s="35" t="str">
        <x:v>Record, review, allocate, and pay operating expense</x:v>
      </x:c>
      <x:c r="I990" s="35" t="str">
        <x:v>P014; Property scope; </x:v>
      </x:c>
      <x:c r="J990" s="35" t="str">
        <x:v>SCN-0846</x:v>
      </x:c>
      <x:c r="K990" s="35" t="str">
        <x:v>FIN-01567</x:v>
      </x:c>
      <x:c r="L990" s="35" t="str">
        <x:v>Capture or upload the source; verify vendor, date, scope, category, line items, tax, amount, and work-order link; confirm; open detail; verify attachment; compare Money and Property/Unit views.</x:v>
      </x:c>
      <x:c r="M990" s="35" t="str">
        <x:v>One expense exists at its real operational scope, cash falls once, Schedule E category and allocations agree, and no per-unit copies are created.</x:v>
      </x:c>
      <x:c r="N990" s="35" t="str">
        <x:v>Source preview; review/form; expense detail; line items; Property/Unit ledger; audit; accounting/report delta.</x:v>
      </x:c>
      <x:c r="O990" s="35" t="str">
        <x:v>On marked duplicate-invoice cases, re-upload before confirm and prove the product prevents or clearly warns about duplication.</x:v>
      </x:c>
      <x:c r="P990" s="35" t="str">
        <x:v>All expected records and amounts match; no unexplained error or stale state.</x:v>
      </x:c>
    </x:row>
    <x:row r="991">
      <x:c r="A991" s="20" t="str">
        <x:v>RUN-20270628-16</x:v>
      </x:c>
      <x:c r="B991" s="23" t="n">
        <x:v>46566</x:v>
      </x:c>
      <x:c r="C991" s="32" t="n">
        <x:v>16</x:v>
      </x:c>
      <x:c r="D991" s="20" t="str">
        <x:v>Weekly operations</x:v>
      </x:c>
      <x:c r="E991" s="20" t="str">
        <x:v>Property Manager</x:v>
      </x:c>
      <x:c r="F991" s="20" t="str">
        <x:v>Mobile</x:v>
      </x:c>
      <x:c r="G991" s="20" t="str">
        <x:v>Manual web form</x:v>
      </x:c>
      <x:c r="H991" s="35" t="str">
        <x:v>Record, review, allocate, and pay operating expense</x:v>
      </x:c>
      <x:c r="I991" s="35" t="str">
        <x:v>P015; Property scope; </x:v>
      </x:c>
      <x:c r="J991" s="35" t="str"/>
      <x:c r="K991" s="35" t="str">
        <x:v>FIN-01572</x:v>
      </x:c>
      <x:c r="L991" s="35" t="str">
        <x:v>Capture or upload the source; verify vendor, date, scope, category, line items, tax, amount, and work-order link; confirm; open detail; verify attachment; compare Money and Property/Unit views.</x:v>
      </x:c>
      <x:c r="M991" s="35" t="str">
        <x:v>One expense exists at its real operational scope, cash falls once, Schedule E category and allocations agree, and no per-unit copies are created.</x:v>
      </x:c>
      <x:c r="N991" s="35" t="str">
        <x:v>Source preview; review/form; expense detail; line items; Property/Unit ledger; audit; accounting/report delta.</x:v>
      </x:c>
      <x:c r="O991" s="35" t="str">
        <x:v>On marked duplicate-invoice cases, re-upload before confirm and prove the product prevents or clearly warns about duplication.</x:v>
      </x:c>
      <x:c r="P991" s="35" t="str">
        <x:v>All expected records and amounts match; no unexplained error or stale state.</x:v>
      </x:c>
    </x:row>
    <x:row r="992">
      <x:c r="A992" s="20" t="str">
        <x:v>RUN-20270628-17</x:v>
      </x:c>
      <x:c r="B992" s="23" t="n">
        <x:v>46566</x:v>
      </x:c>
      <x:c r="C992" s="32" t="n">
        <x:v>17</x:v>
      </x:c>
      <x:c r="D992" s="20" t="str">
        <x:v>Weekly operations</x:v>
      </x:c>
      <x:c r="E992" s="20" t="str">
        <x:v>Property Manager</x:v>
      </x:c>
      <x:c r="F992" s="20" t="str">
        <x:v>Web</x:v>
      </x:c>
      <x:c r="G992" s="20" t="str">
        <x:v>Scanned receipt/invoice</x:v>
      </x:c>
      <x:c r="H992" s="35" t="str">
        <x:v>Record, review, allocate, and pay operating expense</x:v>
      </x:c>
      <x:c r="I992" s="35" t="str">
        <x:v>P016; Property scope; </x:v>
      </x:c>
      <x:c r="J992" s="35" t="str">
        <x:v>SCN-0851</x:v>
      </x:c>
      <x:c r="K992" s="35" t="str">
        <x:v>FIN-01577</x:v>
      </x:c>
      <x:c r="L992" s="35" t="str">
        <x:v>Capture or upload the source; verify vendor, date, scope, category, line items, tax, amount, and work-order link; confirm; open detail; verify attachment; compare Money and Property/Unit views.</x:v>
      </x:c>
      <x:c r="M992" s="35" t="str">
        <x:v>One expense exists at its real operational scope, cash falls once, Schedule E category and allocations agree, and no per-unit copies are created.</x:v>
      </x:c>
      <x:c r="N992" s="35" t="str">
        <x:v>Source preview; review/form; expense detail; line items; Property/Unit ledger; audit; accounting/report delta.</x:v>
      </x:c>
      <x:c r="O992" s="35" t="str">
        <x:v>On marked duplicate-invoice cases, re-upload before confirm and prove the product prevents or clearly warns about duplication.</x:v>
      </x:c>
      <x:c r="P992" s="35" t="str">
        <x:v>All expected records and amounts match; no unexplained error or stale state.</x:v>
      </x:c>
    </x:row>
    <x:row r="993">
      <x:c r="A993" s="20" t="str">
        <x:v>RUN-20270628-18</x:v>
      </x:c>
      <x:c r="B993" s="23" t="n">
        <x:v>46566</x:v>
      </x:c>
      <x:c r="C993" s="32" t="n">
        <x:v>18</x:v>
      </x:c>
      <x:c r="D993" s="20" t="str">
        <x:v>Weekly operations</x:v>
      </x:c>
      <x:c r="E993" s="20" t="str">
        <x:v>Property Manager</x:v>
      </x:c>
      <x:c r="F993" s="20" t="str">
        <x:v>Mobile</x:v>
      </x:c>
      <x:c r="G993" s="20" t="str">
        <x:v>Scanned receipt/invoice</x:v>
      </x:c>
      <x:c r="H993" s="35" t="str">
        <x:v>Record, review, allocate, and pay operating expense</x:v>
      </x:c>
      <x:c r="I993" s="35" t="str">
        <x:v>P017; Property scope; </x:v>
      </x:c>
      <x:c r="J993" s="35" t="str">
        <x:v>SCN-0856</x:v>
      </x:c>
      <x:c r="K993" s="35" t="str">
        <x:v>FIN-01582</x:v>
      </x:c>
      <x:c r="L993" s="35" t="str">
        <x:v>Capture or upload the source; verify vendor, date, scope, category, line items, tax, amount, and work-order link; confirm; open detail; verify attachment; compare Money and Property/Unit views.</x:v>
      </x:c>
      <x:c r="M993" s="35" t="str">
        <x:v>One expense exists at its real operational scope, cash falls once, Schedule E category and allocations agree, and no per-unit copies are created.</x:v>
      </x:c>
      <x:c r="N993" s="35" t="str">
        <x:v>Source preview; review/form; expense detail; line items; Property/Unit ledger; audit; accounting/report delta.</x:v>
      </x:c>
      <x:c r="O993" s="35" t="str">
        <x:v>On marked duplicate-invoice cases, re-upload before confirm and prove the product prevents or clearly warns about duplication.</x:v>
      </x:c>
      <x:c r="P993" s="35" t="str">
        <x:v>All expected records and amounts match; no unexplained error or stale state.</x:v>
      </x:c>
    </x:row>
    <x:row r="994">
      <x:c r="A994" s="20" t="str">
        <x:v>RUN-20270628-19</x:v>
      </x:c>
      <x:c r="B994" s="23" t="n">
        <x:v>46566</x:v>
      </x:c>
      <x:c r="C994" s="32" t="n">
        <x:v>19</x:v>
      </x:c>
      <x:c r="D994" s="20" t="str">
        <x:v>Weekly operations</x:v>
      </x:c>
      <x:c r="E994" s="20" t="str">
        <x:v>Property Manager</x:v>
      </x:c>
      <x:c r="F994" s="20" t="str">
        <x:v>Web</x:v>
      </x:c>
      <x:c r="G994" s="20" t="str">
        <x:v>Scanned receipt/invoice</x:v>
      </x:c>
      <x:c r="H994" s="35" t="str">
        <x:v>Record, review, allocate, and pay operating expense</x:v>
      </x:c>
      <x:c r="I994" s="35" t="str">
        <x:v>P018; Property scope; </x:v>
      </x:c>
      <x:c r="J994" s="35" t="str">
        <x:v>SCN-0861</x:v>
      </x:c>
      <x:c r="K994" s="35" t="str">
        <x:v>FIN-01587</x:v>
      </x:c>
      <x:c r="L994" s="35" t="str">
        <x:v>Capture or upload the source; verify vendor, date, scope, category, line items, tax, amount, and work-order link; confirm; open detail; verify attachment; compare Money and Property/Unit views.</x:v>
      </x:c>
      <x:c r="M994" s="35" t="str">
        <x:v>One expense exists at its real operational scope, cash falls once, Schedule E category and allocations agree, and no per-unit copies are created.</x:v>
      </x:c>
      <x:c r="N994" s="35" t="str">
        <x:v>Source preview; review/form; expense detail; line items; Property/Unit ledger; audit; accounting/report delta.</x:v>
      </x:c>
      <x:c r="O994" s="35" t="str">
        <x:v>On marked duplicate-invoice cases, re-upload before confirm and prove the product prevents or clearly warns about duplication.</x:v>
      </x:c>
      <x:c r="P994" s="35" t="str">
        <x:v>All expected records and amounts match; no unexplained error or stale state.</x:v>
      </x:c>
    </x:row>
    <x:row r="995">
      <x:c r="A995" s="20" t="str">
        <x:v>RUN-20270628-20</x:v>
      </x:c>
      <x:c r="B995" s="23" t="n">
        <x:v>46566</x:v>
      </x:c>
      <x:c r="C995" s="32" t="n">
        <x:v>20</x:v>
      </x:c>
      <x:c r="D995" s="20" t="str">
        <x:v>Weekly operations</x:v>
      </x:c>
      <x:c r="E995" s="20" t="str">
        <x:v>Property Manager</x:v>
      </x:c>
      <x:c r="F995" s="20" t="str">
        <x:v>Mobile</x:v>
      </x:c>
      <x:c r="G995" s="20" t="str">
        <x:v>Scanned receipt/invoice</x:v>
      </x:c>
      <x:c r="H995" s="35" t="str">
        <x:v>Record, review, allocate, and pay operating expense</x:v>
      </x:c>
      <x:c r="I995" s="35" t="str">
        <x:v>P019; Property scope; </x:v>
      </x:c>
      <x:c r="J995" s="35" t="str">
        <x:v>SCN-0866</x:v>
      </x:c>
      <x:c r="K995" s="35" t="str">
        <x:v>FIN-01592</x:v>
      </x:c>
      <x:c r="L995" s="35" t="str">
        <x:v>Capture or upload the source; verify vendor, date, scope, category, line items, tax, amount, and work-order link; confirm; open detail; verify attachment; compare Money and Property/Unit views.</x:v>
      </x:c>
      <x:c r="M995" s="35" t="str">
        <x:v>One expense exists at its real operational scope, cash falls once, Schedule E category and allocations agree, and no per-unit copies are created.</x:v>
      </x:c>
      <x:c r="N995" s="35" t="str">
        <x:v>Source preview; review/form; expense detail; line items; Property/Unit ledger; audit; accounting/report delta.</x:v>
      </x:c>
      <x:c r="O995" s="35" t="str">
        <x:v>On marked duplicate-invoice cases, re-upload before confirm and prove the product prevents or clearly warns about duplication.</x:v>
      </x:c>
      <x:c r="P995" s="35" t="str">
        <x:v>All expected records and amounts match; no unexplained error or stale state.</x:v>
      </x:c>
    </x:row>
    <x:row r="996">
      <x:c r="A996" s="20" t="str">
        <x:v>RUN-20270628-21</x:v>
      </x:c>
      <x:c r="B996" s="23" t="n">
        <x:v>46566</x:v>
      </x:c>
      <x:c r="C996" s="32" t="n">
        <x:v>21</x:v>
      </x:c>
      <x:c r="D996" s="20" t="str">
        <x:v>Weekly operations</x:v>
      </x:c>
      <x:c r="E996" s="20" t="str">
        <x:v>Property Manager</x:v>
      </x:c>
      <x:c r="F996" s="20" t="str">
        <x:v>Web</x:v>
      </x:c>
      <x:c r="G996" s="20" t="str">
        <x:v>Manual mobile form</x:v>
      </x:c>
      <x:c r="H996" s="35" t="str">
        <x:v>Record, review, allocate, and pay operating expense</x:v>
      </x:c>
      <x:c r="I996" s="35" t="str">
        <x:v>P020; Property scope; </x:v>
      </x:c>
      <x:c r="J996" s="35" t="str"/>
      <x:c r="K996" s="35" t="str">
        <x:v>FIN-01597</x:v>
      </x:c>
      <x:c r="L996" s="35" t="str">
        <x:v>Capture or upload the source; verify vendor, date, scope, category, line items, tax, amount, and work-order link; confirm; open detail; verify attachment; compare Money and Property/Unit views.</x:v>
      </x:c>
      <x:c r="M996" s="35" t="str">
        <x:v>One expense exists at its real operational scope, cash falls once, Schedule E category and allocations agree, and no per-unit copies are created.</x:v>
      </x:c>
      <x:c r="N996" s="35" t="str">
        <x:v>Source preview; review/form; expense detail; line items; Property/Unit ledger; audit; accounting/report delta.</x:v>
      </x:c>
      <x:c r="O996" s="35" t="str">
        <x:v>On marked duplicate-invoice cases, re-upload before confirm and prove the product prevents or clearly warns about duplication.</x:v>
      </x:c>
      <x:c r="P996" s="35" t="str">
        <x:v>All expected records and amounts match; no unexplained error or stale state.</x:v>
      </x:c>
    </x:row>
    <x:row r="997">
      <x:c r="A997" s="20" t="str">
        <x:v>RUN-20270628-22</x:v>
      </x:c>
      <x:c r="B997" s="23" t="n">
        <x:v>46566</x:v>
      </x:c>
      <x:c r="C997" s="32" t="n">
        <x:v>22</x:v>
      </x:c>
      <x:c r="D997" s="20" t="str">
        <x:v>Weekly operations</x:v>
      </x:c>
      <x:c r="E997" s="20" t="str">
        <x:v>Property Manager</x:v>
      </x:c>
      <x:c r="F997" s="20" t="str">
        <x:v>Mobile</x:v>
      </x:c>
      <x:c r="G997" s="20" t="str">
        <x:v>Scanned receipt/invoice</x:v>
      </x:c>
      <x:c r="H997" s="35" t="str">
        <x:v>Record, review, allocate, and pay operating expense</x:v>
      </x:c>
      <x:c r="I997" s="35" t="str">
        <x:v>P021; Property scope; </x:v>
      </x:c>
      <x:c r="J997" s="35" t="str">
        <x:v>SCN-0871</x:v>
      </x:c>
      <x:c r="K997" s="35" t="str">
        <x:v>FIN-01602</x:v>
      </x:c>
      <x:c r="L997" s="35" t="str">
        <x:v>Capture or upload the source; verify vendor, date, scope, category, line items, tax, amount, and work-order link; confirm; open detail; verify attachment; compare Money and Property/Unit views.</x:v>
      </x:c>
      <x:c r="M997" s="35" t="str">
        <x:v>One expense exists at its real operational scope, cash falls once, Schedule E category and allocations agree, and no per-unit copies are created.</x:v>
      </x:c>
      <x:c r="N997" s="35" t="str">
        <x:v>Source preview; review/form; expense detail; line items; Property/Unit ledger; audit; accounting/report delta.</x:v>
      </x:c>
      <x:c r="O997" s="35" t="str">
        <x:v>On marked duplicate-invoice cases, re-upload before confirm and prove the product prevents or clearly warns about duplication.</x:v>
      </x:c>
      <x:c r="P997" s="35" t="str">
        <x:v>All expected records and amounts match; no unexplained error or stale state.</x:v>
      </x:c>
    </x:row>
    <x:row r="998">
      <x:c r="A998" s="20" t="str">
        <x:v>RUN-20270628-23</x:v>
      </x:c>
      <x:c r="B998" s="23" t="n">
        <x:v>46566</x:v>
      </x:c>
      <x:c r="C998" s="32" t="n">
        <x:v>23</x:v>
      </x:c>
      <x:c r="D998" s="20" t="str">
        <x:v>Weekly operations</x:v>
      </x:c>
      <x:c r="E998" s="20" t="str">
        <x:v>Property Manager</x:v>
      </x:c>
      <x:c r="F998" s="20" t="str">
        <x:v>Web</x:v>
      </x:c>
      <x:c r="G998" s="20" t="str">
        <x:v>Scanned receipt/invoice</x:v>
      </x:c>
      <x:c r="H998" s="35" t="str">
        <x:v>Record, review, allocate, and pay operating expense</x:v>
      </x:c>
      <x:c r="I998" s="35" t="str">
        <x:v>P022; Property scope; </x:v>
      </x:c>
      <x:c r="J998" s="35" t="str">
        <x:v>SCN-0876</x:v>
      </x:c>
      <x:c r="K998" s="35" t="str">
        <x:v>FIN-01607</x:v>
      </x:c>
      <x:c r="L998" s="35" t="str">
        <x:v>Capture or upload the source; verify vendor, date, scope, category, line items, tax, amount, and work-order link; confirm; open detail; verify attachment; compare Money and Property/Unit views.</x:v>
      </x:c>
      <x:c r="M998" s="35" t="str">
        <x:v>One expense exists at its real operational scope, cash falls once, Schedule E category and allocations agree, and no per-unit copies are created.</x:v>
      </x:c>
      <x:c r="N998" s="35" t="str">
        <x:v>Source preview; review/form; expense detail; line items; Property/Unit ledger; audit; accounting/report delta.</x:v>
      </x:c>
      <x:c r="O998" s="35" t="str">
        <x:v>On marked duplicate-invoice cases, re-upload before confirm and prove the product prevents or clearly warns about duplication.</x:v>
      </x:c>
      <x:c r="P998" s="35" t="str">
        <x:v>All expected records and amounts match; no unexplained error or stale state.</x:v>
      </x:c>
    </x:row>
    <x:row r="999">
      <x:c r="A999" s="20" t="str">
        <x:v>RUN-20270628-24</x:v>
      </x:c>
      <x:c r="B999" s="23" t="n">
        <x:v>46566</x:v>
      </x:c>
      <x:c r="C999" s="32" t="n">
        <x:v>24</x:v>
      </x:c>
      <x:c r="D999" s="20" t="str">
        <x:v>Weekly operations</x:v>
      </x:c>
      <x:c r="E999" s="20" t="str">
        <x:v>Property Manager</x:v>
      </x:c>
      <x:c r="F999" s="20" t="str">
        <x:v>Mobile</x:v>
      </x:c>
      <x:c r="G999" s="20" t="str">
        <x:v>Scanned receipt/invoice</x:v>
      </x:c>
      <x:c r="H999" s="35" t="str">
        <x:v>Record, review, allocate, and pay operating expense</x:v>
      </x:c>
      <x:c r="I999" s="35" t="str">
        <x:v>P023; Property scope; </x:v>
      </x:c>
      <x:c r="J999" s="35" t="str">
        <x:v>SCN-0881</x:v>
      </x:c>
      <x:c r="K999" s="35" t="str">
        <x:v>FIN-01612</x:v>
      </x:c>
      <x:c r="L999" s="35" t="str">
        <x:v>Capture or upload the source; verify vendor, date, scope, category, line items, tax, amount, and work-order link; confirm; open detail; verify attachment; compare Money and Property/Unit views.</x:v>
      </x:c>
      <x:c r="M999" s="35" t="str">
        <x:v>One expense exists at its real operational scope, cash falls once, Schedule E category and allocations agree, and no per-unit copies are created.</x:v>
      </x:c>
      <x:c r="N999" s="35" t="str">
        <x:v>Source preview; review/form; expense detail; line items; Property/Unit ledger; audit; accounting/report delta.</x:v>
      </x:c>
      <x:c r="O999" s="35" t="str">
        <x:v>On marked duplicate-invoice cases, re-upload before confirm and prove the product prevents or clearly warns about duplication.</x:v>
      </x:c>
      <x:c r="P999" s="35" t="str">
        <x:v>All expected records and amounts match; no unexplained error or stale state.</x:v>
      </x:c>
    </x:row>
    <x:row r="1000">
      <x:c r="A1000" s="20" t="str">
        <x:v>RUN-20270628-25</x:v>
      </x:c>
      <x:c r="B1000" s="23" t="n">
        <x:v>46566</x:v>
      </x:c>
      <x:c r="C1000" s="32" t="n">
        <x:v>25</x:v>
      </x:c>
      <x:c r="D1000" s="20" t="str">
        <x:v>Weekly operations</x:v>
      </x:c>
      <x:c r="E1000" s="20" t="str">
        <x:v>Property Manager</x:v>
      </x:c>
      <x:c r="F1000" s="20" t="str">
        <x:v>Web</x:v>
      </x:c>
      <x:c r="G1000" s="20" t="str">
        <x:v>Scanned receipt/invoice</x:v>
      </x:c>
      <x:c r="H1000" s="35" t="str">
        <x:v>Record, review, allocate, and pay operating expense</x:v>
      </x:c>
      <x:c r="I1000" s="35" t="str">
        <x:v>P024; Property scope; </x:v>
      </x:c>
      <x:c r="J1000" s="35" t="str">
        <x:v>SCN-0886</x:v>
      </x:c>
      <x:c r="K1000" s="35" t="str">
        <x:v>FIN-01617</x:v>
      </x:c>
      <x:c r="L1000" s="35" t="str">
        <x:v>Capture or upload the source; verify vendor, date, scope, category, line items, tax, amount, and work-order link; confirm; open detail; verify attachment; compare Money and Property/Unit views.</x:v>
      </x:c>
      <x:c r="M1000" s="35" t="str">
        <x:v>One expense exists at its real operational scope, cash falls once, Schedule E category and allocations agree, and no per-unit copies are created.</x:v>
      </x:c>
      <x:c r="N1000" s="35" t="str">
        <x:v>Source preview; review/form; expense detail; line items; Property/Unit ledger; audit; accounting/report delta.</x:v>
      </x:c>
      <x:c r="O1000" s="35" t="str">
        <x:v>On marked duplicate-invoice cases, re-upload before confirm and prove the product prevents or clearly warns about duplication.</x:v>
      </x:c>
      <x:c r="P1000" s="35" t="str">
        <x:v>All expected records and amounts match; no unexplained error or stale state.</x:v>
      </x:c>
    </x:row>
    <x:row r="1001">
      <x:c r="A1001" s="20" t="str">
        <x:v>RUN-20270628-26</x:v>
      </x:c>
      <x:c r="B1001" s="23" t="n">
        <x:v>46566</x:v>
      </x:c>
      <x:c r="C1001" s="32" t="n">
        <x:v>26</x:v>
      </x:c>
      <x:c r="D1001" s="20" t="str">
        <x:v>Weekly operations</x:v>
      </x:c>
      <x:c r="E1001" s="20" t="str">
        <x:v>Property Manager</x:v>
      </x:c>
      <x:c r="F1001" s="20" t="str">
        <x:v>Mobile</x:v>
      </x:c>
      <x:c r="G1001" s="20" t="str">
        <x:v>Manual web form</x:v>
      </x:c>
      <x:c r="H1001" s="35" t="str">
        <x:v>Record, review, allocate, and pay operating expense</x:v>
      </x:c>
      <x:c r="I1001" s="35" t="str">
        <x:v>P025; Property scope; </x:v>
      </x:c>
      <x:c r="J1001" s="35" t="str"/>
      <x:c r="K1001" s="35" t="str">
        <x:v>FIN-01622</x:v>
      </x:c>
      <x:c r="L1001" s="35" t="str">
        <x:v>Capture or upload the source; verify vendor, date, scope, category, line items, tax, amount, and work-order link; confirm; open detail; verify attachment; compare Money and Property/Unit views.</x:v>
      </x:c>
      <x:c r="M1001" s="35" t="str">
        <x:v>One expense exists at its real operational scope, cash falls once, Schedule E category and allocations agree, and no per-unit copies are created.</x:v>
      </x:c>
      <x:c r="N1001" s="35" t="str">
        <x:v>Source preview; review/form; expense detail; line items; Property/Unit ledger; audit; accounting/report delta.</x:v>
      </x:c>
      <x:c r="O1001" s="35" t="str">
        <x:v>On marked duplicate-invoice cases, re-upload before confirm and prove the product prevents or clearly warns about duplication.</x:v>
      </x:c>
      <x:c r="P1001" s="35" t="str">
        <x:v>All expected records and amounts match; no unexplained error or stale state.</x:v>
      </x:c>
    </x:row>
    <x:row r="1002">
      <x:c r="A1002" s="20" t="str">
        <x:v>RUN-20270628-27</x:v>
      </x:c>
      <x:c r="B1002" s="23" t="n">
        <x:v>46566</x:v>
      </x:c>
      <x:c r="C1002" s="32" t="n">
        <x:v>27</x:v>
      </x:c>
      <x:c r="D1002" s="20" t="str">
        <x:v>Weekly operations</x:v>
      </x:c>
      <x:c r="E1002" s="20" t="str">
        <x:v>Property Manager</x:v>
      </x:c>
      <x:c r="F1002" s="20" t="str">
        <x:v>Web</x:v>
      </x:c>
      <x:c r="G1002" s="20" t="str">
        <x:v>Scanned receipt/invoice</x:v>
      </x:c>
      <x:c r="H1002" s="35" t="str">
        <x:v>Record, review, allocate, and pay operating expense</x:v>
      </x:c>
      <x:c r="I1002" s="35" t="str">
        <x:v>P026; Property scope; </x:v>
      </x:c>
      <x:c r="J1002" s="35" t="str">
        <x:v>SCN-0891</x:v>
      </x:c>
      <x:c r="K1002" s="35" t="str">
        <x:v>FIN-01627</x:v>
      </x:c>
      <x:c r="L1002" s="35" t="str">
        <x:v>Capture or upload the source; verify vendor, date, scope, category, line items, tax, amount, and work-order link; confirm; open detail; verify attachment; compare Money and Property/Unit views.</x:v>
      </x:c>
      <x:c r="M1002" s="35" t="str">
        <x:v>One expense exists at its real operational scope, cash falls once, Schedule E category and allocations agree, and no per-unit copies are created.</x:v>
      </x:c>
      <x:c r="N1002" s="35" t="str">
        <x:v>Source preview; review/form; expense detail; line items; Property/Unit ledger; audit; accounting/report delta.</x:v>
      </x:c>
      <x:c r="O1002" s="35" t="str">
        <x:v>On marked duplicate-invoice cases, re-upload before confirm and prove the product prevents or clearly warns about duplication.</x:v>
      </x:c>
      <x:c r="P1002" s="35" t="str">
        <x:v>All expected records and amounts match; no unexplained error or stale state.</x:v>
      </x:c>
    </x:row>
    <x:row r="1003">
      <x:c r="A1003" s="20" t="str">
        <x:v>RUN-20270628-28</x:v>
      </x:c>
      <x:c r="B1003" s="23" t="n">
        <x:v>46566</x:v>
      </x:c>
      <x:c r="C1003" s="32" t="n">
        <x:v>28</x:v>
      </x:c>
      <x:c r="D1003" s="20" t="str">
        <x:v>Weekly operations</x:v>
      </x:c>
      <x:c r="E1003" s="20" t="str">
        <x:v>Property Manager</x:v>
      </x:c>
      <x:c r="F1003" s="20" t="str">
        <x:v>Mobile</x:v>
      </x:c>
      <x:c r="G1003" s="20" t="str">
        <x:v>Scanned receipt/invoice</x:v>
      </x:c>
      <x:c r="H1003" s="35" t="str">
        <x:v>Record, review, allocate, and pay operating expense</x:v>
      </x:c>
      <x:c r="I1003" s="35" t="str">
        <x:v>P027; Property scope; </x:v>
      </x:c>
      <x:c r="J1003" s="35" t="str">
        <x:v>SCN-0896</x:v>
      </x:c>
      <x:c r="K1003" s="35" t="str">
        <x:v>FIN-01632</x:v>
      </x:c>
      <x:c r="L1003" s="35" t="str">
        <x:v>Capture or upload the source; verify vendor, date, scope, category, line items, tax, amount, and work-order link; confirm; open detail; verify attachment; compare Money and Property/Unit views.</x:v>
      </x:c>
      <x:c r="M1003" s="35" t="str">
        <x:v>One expense exists at its real operational scope, cash falls once, Schedule E category and allocations agree, and no per-unit copies are created.</x:v>
      </x:c>
      <x:c r="N1003" s="35" t="str">
        <x:v>Source preview; review/form; expense detail; line items; Property/Unit ledger; audit; accounting/report delta.</x:v>
      </x:c>
      <x:c r="O1003" s="35" t="str">
        <x:v>On marked duplicate-invoice cases, re-upload before confirm and prove the product prevents or clearly warns about duplication.</x:v>
      </x:c>
      <x:c r="P1003" s="35" t="str">
        <x:v>All expected records and amounts match; no unexplained error or stale state.</x:v>
      </x:c>
    </x:row>
    <x:row r="1004">
      <x:c r="A1004" s="20" t="str">
        <x:v>RUN-20270628-29</x:v>
      </x:c>
      <x:c r="B1004" s="23" t="n">
        <x:v>46566</x:v>
      </x:c>
      <x:c r="C1004" s="32" t="n">
        <x:v>29</x:v>
      </x:c>
      <x:c r="D1004" s="20" t="str">
        <x:v>Weekly operations</x:v>
      </x:c>
      <x:c r="E1004" s="20" t="str">
        <x:v>Property Manager</x:v>
      </x:c>
      <x:c r="F1004" s="20" t="str">
        <x:v>Web</x:v>
      </x:c>
      <x:c r="G1004" s="20" t="str">
        <x:v>Scanned receipt/invoice</x:v>
      </x:c>
      <x:c r="H1004" s="35" t="str">
        <x:v>Record, review, allocate, and pay operating expense</x:v>
      </x:c>
      <x:c r="I1004" s="35" t="str">
        <x:v>P028; Property scope; </x:v>
      </x:c>
      <x:c r="J1004" s="35" t="str">
        <x:v>SCN-0901</x:v>
      </x:c>
      <x:c r="K1004" s="35" t="str">
        <x:v>FIN-01637</x:v>
      </x:c>
      <x:c r="L1004" s="35" t="str">
        <x:v>Capture or upload the source; verify vendor, date, scope, category, line items, tax, amount, and work-order link; confirm; open detail; verify attachment; compare Money and Property/Unit views.</x:v>
      </x:c>
      <x:c r="M1004" s="35" t="str">
        <x:v>One expense exists at its real operational scope, cash falls once, Schedule E category and allocations agree, and no per-unit copies are created.</x:v>
      </x:c>
      <x:c r="N1004" s="35" t="str">
        <x:v>Source preview; review/form; expense detail; line items; Property/Unit ledger; audit; accounting/report delta.</x:v>
      </x:c>
      <x:c r="O1004" s="35" t="str">
        <x:v>On marked duplicate-invoice cases, re-upload before confirm and prove the product prevents or clearly warns about duplication.</x:v>
      </x:c>
      <x:c r="P1004" s="35" t="str">
        <x:v>All expected records and amounts match; no unexplained error or stale state.</x:v>
      </x:c>
    </x:row>
    <x:row r="1005">
      <x:c r="A1005" s="20" t="str">
        <x:v>RUN-20270628-30</x:v>
      </x:c>
      <x:c r="B1005" s="23" t="n">
        <x:v>46566</x:v>
      </x:c>
      <x:c r="C1005" s="32" t="n">
        <x:v>30</x:v>
      </x:c>
      <x:c r="D1005" s="20" t="str">
        <x:v>Weekly operations</x:v>
      </x:c>
      <x:c r="E1005" s="20" t="str">
        <x:v>Property Manager</x:v>
      </x:c>
      <x:c r="F1005" s="20" t="str">
        <x:v>Mobile</x:v>
      </x:c>
      <x:c r="G1005" s="20" t="str">
        <x:v>Scanned receipt/invoice</x:v>
      </x:c>
      <x:c r="H1005" s="35" t="str">
        <x:v>Record, review, allocate, and pay operating expense</x:v>
      </x:c>
      <x:c r="I1005" s="35" t="str">
        <x:v>P029; Property scope; </x:v>
      </x:c>
      <x:c r="J1005" s="35" t="str">
        <x:v>SCN-0906</x:v>
      </x:c>
      <x:c r="K1005" s="35" t="str">
        <x:v>FIN-01642</x:v>
      </x:c>
      <x:c r="L1005" s="35" t="str">
        <x:v>Capture or upload the source; verify vendor, date, scope, category, line items, tax, amount, and work-order link; confirm; open detail; verify attachment; compare Money and Property/Unit views.</x:v>
      </x:c>
      <x:c r="M1005" s="35" t="str">
        <x:v>One expense exists at its real operational scope, cash falls once, Schedule E category and allocations agree, and no per-unit copies are created.</x:v>
      </x:c>
      <x:c r="N1005" s="35" t="str">
        <x:v>Source preview; review/form; expense detail; line items; Property/Unit ledger; audit; accounting/report delta.</x:v>
      </x:c>
      <x:c r="O1005" s="35" t="str">
        <x:v>On marked duplicate-invoice cases, re-upload before confirm and prove the product prevents or clearly warns about duplication.</x:v>
      </x:c>
      <x:c r="P1005" s="35" t="str">
        <x:v>All expected records and amounts match; no unexplained error or stale state.</x:v>
      </x:c>
    </x:row>
    <x:row r="1006">
      <x:c r="A1006" s="20" t="str">
        <x:v>RUN-20270628-31</x:v>
      </x:c>
      <x:c r="B1006" s="23" t="n">
        <x:v>46566</x:v>
      </x:c>
      <x:c r="C1006" s="32" t="n">
        <x:v>31</x:v>
      </x:c>
      <x:c r="D1006" s="20" t="str">
        <x:v>Weekly operations</x:v>
      </x:c>
      <x:c r="E1006" s="20" t="str">
        <x:v>Property Manager</x:v>
      </x:c>
      <x:c r="F1006" s="20" t="str">
        <x:v>Web</x:v>
      </x:c>
      <x:c r="G1006" s="20" t="str">
        <x:v>Manual mobile form</x:v>
      </x:c>
      <x:c r="H1006" s="35" t="str">
        <x:v>Record, review, allocate, and pay operating expense</x:v>
      </x:c>
      <x:c r="I1006" s="35" t="str">
        <x:v>P030; Property scope; </x:v>
      </x:c>
      <x:c r="J1006" s="35" t="str"/>
      <x:c r="K1006" s="35" t="str">
        <x:v>FIN-01647</x:v>
      </x:c>
      <x:c r="L1006" s="35" t="str">
        <x:v>Capture or upload the source; verify vendor, date, scope, category, line items, tax, amount, and work-order link; confirm; open detail; verify attachment; compare Money and Property/Unit views.</x:v>
      </x:c>
      <x:c r="M1006" s="35" t="str">
        <x:v>One expense exists at its real operational scope, cash falls once, Schedule E category and allocations agree, and no per-unit copies are created.</x:v>
      </x:c>
      <x:c r="N1006" s="35" t="str">
        <x:v>Source preview; review/form; expense detail; line items; Property/Unit ledger; audit; accounting/report delta.</x:v>
      </x:c>
      <x:c r="O1006" s="35" t="str">
        <x:v>On marked duplicate-invoice cases, re-upload before confirm and prove the product prevents or clearly warns about duplication.</x:v>
      </x:c>
      <x:c r="P1006" s="35" t="str">
        <x:v>All expected records and amounts match; no unexplained error or stale state.</x:v>
      </x:c>
    </x:row>
    <x:row r="1007">
      <x:c r="A1007" s="20" t="str">
        <x:v>RUN-20270628-32</x:v>
      </x:c>
      <x:c r="B1007" s="23" t="n">
        <x:v>46566</x:v>
      </x:c>
      <x:c r="C1007" s="32" t="n">
        <x:v>32</x:v>
      </x:c>
      <x:c r="D1007" s="20" t="str">
        <x:v>Role and screen certification</x:v>
      </x:c>
      <x:c r="E1007" s="20" t="str">
        <x:v>Workspace Administrator</x:v>
      </x:c>
      <x:c r="F1007" s="20" t="str">
        <x:v>Web</x:v>
      </x:c>
      <x:c r="G1007" s="20" t="str">
        <x:v>Normal persona navigation</x:v>
      </x:c>
      <x:c r="H1007" s="35" t="str">
        <x:v>Use every permitted action and state on /choose-setup</x:v>
      </x:c>
      <x:c r="I1007" s="35" t="str">
        <x:v>SCR-093; ROLE-172</x:v>
      </x:c>
      <x:c r="J1007" s="35" t="str"/>
      <x:c r="K1007" s="35" t="str"/>
      <x:c r="L100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07" s="35" t="str">
        <x:v>The persona can use every allowed action with only its assigned properties/relationships. Hidden or disabled actions explain why; an adjacent unauthorized persona is denied without metadata leakage.</x:v>
      </x:c>
      <x:c r="N1007" s="35" t="str">
        <x:v>Persona/experience; navigation entry; desktop or device screenshots; result state; persisted read-back; audit/history; authorized and denied network result.</x:v>
      </x:c>
      <x:c r="O1007" s="35" t="str">
        <x:v>Open the direct URL or deep link with an adjacent unauthorized persona and with stale scope; both fail closed and land safely without mutation.</x:v>
      </x:c>
      <x:c r="P1007" s="35" t="str">
        <x:v>All expected records and amounts match; no unexplained error or stale state.</x:v>
      </x:c>
    </x:row>
    <x:row r="1008">
      <x:c r="A1008" s="20" t="str">
        <x:v>RUN-20270628-33</x:v>
      </x:c>
      <x:c r="B1008" s="23" t="n">
        <x:v>46566</x:v>
      </x:c>
      <x:c r="C1008" s="32" t="n">
        <x:v>33</x:v>
      </x:c>
      <x:c r="D1008" s="20" t="str">
        <x:v>Role and screen certification</x:v>
      </x:c>
      <x:c r="E1008" s="20" t="str">
        <x:v>Property Manager</x:v>
      </x:c>
      <x:c r="F1008" s="20" t="str">
        <x:v>Web</x:v>
      </x:c>
      <x:c r="G1008" s="20" t="str">
        <x:v>Normal persona navigation</x:v>
      </x:c>
      <x:c r="H1008" s="35" t="str">
        <x:v>Use every permitted action and state on /choose-setup</x:v>
      </x:c>
      <x:c r="I1008" s="35" t="str">
        <x:v>SCR-093; ROLE-173</x:v>
      </x:c>
      <x:c r="J1008" s="35" t="str"/>
      <x:c r="K1008" s="35" t="str"/>
      <x:c r="L10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08" s="35" t="str">
        <x:v>The persona can use every allowed action with only its assigned properties/relationships. Hidden or disabled actions explain why; an adjacent unauthorized persona is denied without metadata leakage.</x:v>
      </x:c>
      <x:c r="N1008" s="35" t="str">
        <x:v>Persona/experience; navigation entry; desktop or device screenshots; result state; persisted read-back; audit/history; authorized and denied network result.</x:v>
      </x:c>
      <x:c r="O1008" s="35" t="str">
        <x:v>Open the direct URL or deep link with an adjacent unauthorized persona and with stale scope; both fail closed and land safely without mutation.</x:v>
      </x:c>
      <x:c r="P1008" s="35" t="str">
        <x:v>All expected records and amounts match; no unexplained error or stale state.</x:v>
      </x:c>
    </x:row>
    <x:row r="1009">
      <x:c r="A1009" s="20" t="str">
        <x:v>RUN-20270628-34</x:v>
      </x:c>
      <x:c r="B1009" s="23" t="n">
        <x:v>46566</x:v>
      </x:c>
      <x:c r="C1009" s="32" t="n">
        <x:v>34</x:v>
      </x:c>
      <x:c r="D1009" s="20" t="str">
        <x:v>Field certification</x:v>
      </x:c>
      <x:c r="E1009" s="20" t="str">
        <x:v>Property Manager</x:v>
      </x:c>
      <x:c r="F1009" s="20" t="str">
        <x:v>Web</x:v>
      </x:c>
      <x:c r="G1009" s="20" t="str">
        <x:v>Manual field-by-field</x:v>
      </x:c>
      <x:c r="H1009" s="35" t="str">
        <x:v>Fill, save, reload, edit, and validate every declared field on /maintenance/inspections/[id]</x:v>
      </x:c>
      <x:c r="I1009" s="35" t="str">
        <x:v>FLD-0501; FLD-0502</x:v>
      </x:c>
      <x:c r="J1009" s="35" t="str"/>
      <x:c r="K1009" s="35" t="str"/>
      <x:c r="L1009" s="35" t="str">
        <x:v>Use the source-derived Field Inventory. Enter non-default realistic values in every control (note-{item.id}; input-6); submit; reload or relaunch; compare every value; edit each mutable field; verify the paired client; then run required, format, length, range, boundary, optional-null, and stale-submit checks.</x:v>
      </x:c>
      <x:c r="M1009" s="35" t="str">
        <x:v>All 2 inventoried controls persist exact normalized values, invalid values stay unsaved with clear errors, and hidden/unauthorized fields cannot be altered.</x:v>
      </x:c>
      <x:c r="N1009" s="35" t="str">
        <x:v>Before/after form screenshots; FLD IDs; API response; reloaded UI; paired-client read-back; database/audit evidence; negative validation result.</x:v>
      </x:c>
      <x:c r="O1009" s="35" t="str">
        <x:v>Use a duplicate submit and one simulated network interruption; one atomic mutation or none, never partial state.</x:v>
      </x:c>
      <x:c r="P1009" s="35" t="str">
        <x:v>All expected records and amounts match; no unexplained error or stale state.</x:v>
      </x:c>
    </x:row>
    <x:row r="1010">
      <x:c r="A1010" s="20" t="str">
        <x:v>RUN-20270628-35</x:v>
      </x:c>
      <x:c r="B1010" s="23" t="n">
        <x:v>46566</x:v>
      </x:c>
      <x:c r="C1010" s="32" t="n">
        <x:v>35</x:v>
      </x:c>
      <x:c r="D1010" s="20" t="str">
        <x:v>Field certification</x:v>
      </x:c>
      <x:c r="E1010" s="20" t="str">
        <x:v>Property Manager</x:v>
      </x:c>
      <x:c r="F1010" s="20" t="str">
        <x:v>Web</x:v>
      </x:c>
      <x:c r="G1010" s="20" t="str">
        <x:v>Manual field-by-field</x:v>
      </x:c>
      <x:c r="H1010" s="35" t="str">
        <x:v>Fill, save, reload, edit, and validate every declared field on /maintenance/recurring</x:v>
      </x:c>
      <x:c r="I1010" s="35" t="str">
        <x:v>FLD-0503; FLD-0504</x:v>
      </x:c>
      <x:c r="J1010" s="35" t="str"/>
      <x:c r="K1010" s="35" t="str"/>
      <x:c r="L1010" s="35" t="str">
        <x:v>Use the source-derived Field Inventory. Enter non-default realistic values in every control (rt-title; form.recurrenceInterval); submit; reload or relaunch; compare every value; edit each mutable field; verify the paired client; then run required, format, length, range, boundary, optional-null, and stale-submit checks.</x:v>
      </x:c>
      <x:c r="M1010" s="35" t="str">
        <x:v>All 2 inventoried controls persist exact normalized values, invalid values stay unsaved with clear errors, and hidden/unauthorized fields cannot be altered.</x:v>
      </x:c>
      <x:c r="N1010" s="35" t="str">
        <x:v>Before/after form screenshots; FLD IDs; API response; reloaded UI; paired-client read-back; database/audit evidence; negative validation result.</x:v>
      </x:c>
      <x:c r="O1010" s="35" t="str">
        <x:v>Use a duplicate submit and one simulated network interruption; one atomic mutation or none, never partial state.</x:v>
      </x:c>
      <x:c r="P1010" s="35" t="str">
        <x:v>All expected records and amounts match; no unexplained error or stale state.</x:v>
      </x:c>
    </x:row>
    <x:row r="1011">
      <x:c r="A1011" s="20" t="str">
        <x:v>RUN-20270629-01</x:v>
      </x:c>
      <x:c r="B1011" s="23" t="n">
        <x:v>46567</x:v>
      </x:c>
      <x:c r="C1011" s="32" t="n">
        <x:v>1</x:v>
      </x:c>
      <x:c r="D1011" s="20" t="str">
        <x:v>Weekly operations</x:v>
      </x:c>
      <x:c r="E1011" s="20" t="str">
        <x:v>Property Manager</x:v>
      </x:c>
      <x:c r="F1011" s="20" t="str">
        <x:v>Web</x:v>
      </x:c>
      <x:c r="G1011" s="20" t="str">
        <x:v>Scanned receipt/invoice</x:v>
      </x:c>
      <x:c r="H1011" s="35" t="str">
        <x:v>Record, review, allocate, and pay operating expense</x:v>
      </x:c>
      <x:c r="I1011" s="35" t="str">
        <x:v>P022; U023; WO-2027-026</x:v>
      </x:c>
      <x:c r="J1011" s="35" t="str">
        <x:v>SCN-0393</x:v>
      </x:c>
      <x:c r="K1011" s="35" t="str">
        <x:v>FIN-01049</x:v>
      </x:c>
      <x:c r="L1011" s="35" t="str">
        <x:v>Capture or upload the source; verify vendor, date, scope, category, line items, tax, amount, and work-order link; confirm; open detail; verify attachment; compare Money and Property/Unit views.</x:v>
      </x:c>
      <x:c r="M1011" s="35" t="str">
        <x:v>One expense exists at its real operational scope, cash falls once, Schedule E category and allocations agree, and no per-unit copies are created.</x:v>
      </x:c>
      <x:c r="N1011" s="35" t="str">
        <x:v>Source preview; review/form; expense detail; line items; Property/Unit ledger; audit; accounting/report delta.</x:v>
      </x:c>
      <x:c r="O1011" s="35" t="str">
        <x:v>On marked duplicate-invoice cases, re-upload before confirm and prove the product prevents or clearly warns about duplication.</x:v>
      </x:c>
      <x:c r="P1011" s="35" t="str">
        <x:v>All expected records and amounts match; no unexplained error or stale state.</x:v>
      </x:c>
    </x:row>
    <x:row r="1012">
      <x:c r="A1012" s="20" t="str">
        <x:v>RUN-20270629-02</x:v>
      </x:c>
      <x:c r="B1012" s="23" t="n">
        <x:v>46567</x:v>
      </x:c>
      <x:c r="C1012" s="32" t="n">
        <x:v>2</x:v>
      </x:c>
      <x:c r="D1012" s="20" t="str">
        <x:v>Role and screen certification</x:v>
      </x:c>
      <x:c r="E1012" s="20" t="str">
        <x:v>Applicant / public user</x:v>
      </x:c>
      <x:c r="F1012" s="20" t="str">
        <x:v>Web</x:v>
      </x:c>
      <x:c r="G1012" s="20" t="str">
        <x:v>Normal persona navigation</x:v>
      </x:c>
      <x:c r="H1012" s="35" t="str">
        <x:v>Use every permitted action and state on /features</x:v>
      </x:c>
      <x:c r="I1012" s="35" t="str">
        <x:v>SCR-094; ROLE-174</x:v>
      </x:c>
      <x:c r="J1012" s="35" t="str"/>
      <x:c r="K1012" s="35" t="str"/>
      <x:c r="L10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12" s="35" t="str">
        <x:v>The persona can use every allowed action with only its assigned properties/relationships. Hidden or disabled actions explain why; an adjacent unauthorized persona is denied without metadata leakage.</x:v>
      </x:c>
      <x:c r="N1012" s="35" t="str">
        <x:v>Persona/experience; navigation entry; desktop or device screenshots; result state; persisted read-back; audit/history; authorized and denied network result.</x:v>
      </x:c>
      <x:c r="O1012" s="35" t="str">
        <x:v>Open the direct URL or deep link with an adjacent unauthorized persona and with stale scope; both fail closed and land safely without mutation.</x:v>
      </x:c>
      <x:c r="P1012" s="35" t="str">
        <x:v>All expected records and amounts match; no unexplained error or stale state.</x:v>
      </x:c>
    </x:row>
    <x:row r="1013">
      <x:c r="A1013" s="20" t="str">
        <x:v>RUN-20270629-03</x:v>
      </x:c>
      <x:c r="B1013" s="23" t="n">
        <x:v>46567</x:v>
      </x:c>
      <x:c r="C1013" s="32" t="n">
        <x:v>3</x:v>
      </x:c>
      <x:c r="D1013" s="20" t="str">
        <x:v>Field certification</x:v>
      </x:c>
      <x:c r="E1013" s="20" t="str">
        <x:v>Property Manager</x:v>
      </x:c>
      <x:c r="F1013" s="20" t="str">
        <x:v>Web</x:v>
      </x:c>
      <x:c r="G1013" s="20" t="str">
        <x:v>Manual field-by-field</x:v>
      </x:c>
      <x:c r="H1013" s="35" t="str">
        <x:v>Fill, save, reload, edit, and validate every declared field on /maintenance/recurring</x:v>
      </x:c>
      <x:c r="I1013" s="35" t="str">
        <x:v>FLD-0505; FLD-0506; FLD-0507; FLD-0508; FLD-0509</x:v>
      </x:c>
      <x:c r="J1013" s="35" t="str"/>
      <x:c r="K1013" s="35" t="str"/>
      <x:c r="L1013" s="35" t="str">
        <x:v>Use the source-derived Field Inventory. Enter non-default realistic values in every control (recurring-task-interval-input; Select-4; Select-5; rt-time; rt-estimated-cost); submit; reload or relaunch; compare every value; edit each mutable field; verify the paired client; then run required, format, length, range, boundary, optional-null, and stale-submit checks.</x:v>
      </x:c>
      <x:c r="M1013" s="35" t="str">
        <x:v>All 5 inventoried controls persist exact normalized values, invalid values stay unsaved with clear errors, and hidden/unauthorized fields cannot be altered.</x:v>
      </x:c>
      <x:c r="N1013" s="35" t="str">
        <x:v>Before/after form screenshots; FLD IDs; API response; reloaded UI; paired-client read-back; database/audit evidence; negative validation result.</x:v>
      </x:c>
      <x:c r="O1013" s="35" t="str">
        <x:v>Use a duplicate submit and one simulated network interruption; one atomic mutation or none, never partial state.</x:v>
      </x:c>
      <x:c r="P1013" s="35" t="str">
        <x:v>All expected records and amounts match; no unexplained error or stale state.</x:v>
      </x:c>
    </x:row>
    <x:row r="1014">
      <x:c r="A1014" s="20" t="str">
        <x:v>RUN-20270629-04</x:v>
      </x:c>
      <x:c r="B1014" s="23" t="n">
        <x:v>46567</x:v>
      </x:c>
      <x:c r="C1014" s="32" t="n">
        <x:v>4</x:v>
      </x:c>
      <x:c r="D1014" s="20" t="str">
        <x:v>Surface coverage</x:v>
      </x:c>
      <x:c r="E1014" s="20" t="str">
        <x:v>Role appropriate to surface</x:v>
      </x:c>
      <x:c r="F1014" s="20" t="str">
        <x:v>Mobile</x:v>
      </x:c>
      <x:c r="G1014" s="20" t="str">
        <x:v>Scan/attachment</x:v>
      </x:c>
      <x:c r="H1014" s="35" t="str">
        <x:v>Scan mobile pass: Property loan and amortization</x:v>
      </x:c>
      <x:c r="I1014" s="35" t="str">
        <x:v>COV-022</x:v>
      </x:c>
      <x:c r="J1014" s="35" t="str"/>
      <x:c r="K1014" s="35" t="str"/>
      <x:c r="L1014" s="35" t="str">
        <x:v>Create/edit loan on both clients, match statements, verify amortization, principal/interest, and payoff.</x:v>
      </x:c>
      <x:c r="M1014" s="35" t="str">
        <x:v>The supported workflow completes and persists correctly; if the capability is absent, the exact gap is proven and queued rather than silently skipped.</x:v>
      </x:c>
      <x:c r="N1014" s="35" t="str">
        <x:v>Real UI screenshot/state; submitted values; persisted read-back; cross-client read-back; audit/role/access evidence.</x:v>
      </x:c>
      <x:c r="O1014" s="35" t="str">
        <x:v>Use one invalid value, stale-state retry, or duplicate submission relevant to the form; no partial or duplicate mutation.</x:v>
      </x:c>
      <x:c r="P1014" s="35" t="str">
        <x:v>All expected records and amounts match; no unexplained error or stale state.</x:v>
      </x:c>
    </x:row>
    <x:row r="1015">
      <x:c r="A1015" s="20" t="str">
        <x:v>RUN-20270630-01</x:v>
      </x:c>
      <x:c r="B1015" s="23" t="n">
        <x:v>46568</x:v>
      </x:c>
      <x:c r="C1015" s="32" t="n">
        <x:v>1</x:v>
      </x:c>
      <x:c r="D1015" s="20" t="str">
        <x:v>Monthly close</x:v>
      </x:c>
      <x:c r="E1015" s="20" t="str">
        <x:v>Workspace Administrator</x:v>
      </x:c>
      <x:c r="F1015" s="20" t="str">
        <x:v>Web + Mobile</x:v>
      </x:c>
      <x:c r="G1015" s="20" t="str">
        <x:v>Scan/import + reconciliation</x:v>
      </x:c>
      <x:c r="H1015" s="35" t="str">
        <x:v>June bank reconciliation and close</x:v>
      </x:c>
      <x:c r="I1015" s="35" t="str">
        <x:v>Operating account 4242; deposit trust account 1818; reserve account 7070</x:v>
      </x:c>
      <x:c r="J1015" s="35" t="str">
        <x:v>SCN-0614</x:v>
      </x:c>
      <x:c r="K1015" s="35" t="str">
        <x:v>FIN-01287</x:v>
      </x:c>
      <x:c r="L1015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015" s="35" t="str">
        <x:v>Bank ending cash, AR, deposit trust/liability, loan balance, income, expense, and net operating result match the oracle with zero unexplained variance.</x:v>
      </x:c>
      <x:c r="N1015" s="35" t="str">
        <x:v>Bank reconciliation; accounting summary; P&amp;L; cash flow; rent roll/ledger; deposits; delinquency; owner statements; audit export.</x:v>
      </x:c>
      <x:c r="O1015" s="35" t="str">
        <x:v>Try one duplicate bank transaction and one date-filter boundary; prove DB-side totals and idempotent matching.</x:v>
      </x:c>
      <x:c r="P1015" s="35" t="str">
        <x:v>All monthly checks are OK or a reproducible bug is captured before advancing the clock.</x:v>
      </x:c>
    </x:row>
    <x:row r="1016">
      <x:c r="A1016" s="20" t="str">
        <x:v>RUN-20270630-02</x:v>
      </x:c>
      <x:c r="B1016" s="23" t="n">
        <x:v>46568</x:v>
      </x:c>
      <x:c r="C1016" s="32" t="n">
        <x:v>2</x:v>
      </x:c>
      <x:c r="D1016" s="20" t="str">
        <x:v>Field certification</x:v>
      </x:c>
      <x:c r="E1016" s="20" t="str">
        <x:v>Property Manager</x:v>
      </x:c>
      <x:c r="F1016" s="20" t="str">
        <x:v>Web</x:v>
      </x:c>
      <x:c r="G1016" s="20" t="str">
        <x:v>Manual field-by-field</x:v>
      </x:c>
      <x:c r="H1016" s="35" t="str">
        <x:v>Fill, save, reload, edit, and validate every declared field on /maintenance/recurring</x:v>
      </x:c>
      <x:c r="I1016" s="35" t="str">
        <x:v>FLD-0510; FLD-0511; FLD-0512; FLD-0513</x:v>
      </x:c>
      <x:c r="J1016" s="35" t="str"/>
      <x:c r="K1016" s="35" t="str"/>
      <x:c r="L1016" s="35" t="str">
        <x:v>Use the source-derived Field Inventory. Enter non-default realistic values in every control (form.priority; recurring-task-priority-input; Select-10; Select-11); submit; reload or relaunch; compare every value; edit each mutable field; verify the paired client; then run required, format, length, range, boundary, optional-null, and stale-submit checks.</x:v>
      </x:c>
      <x:c r="M1016" s="35" t="str">
        <x:v>All 4 inventoried controls persist exact normalized values, invalid values stay unsaved with clear errors, and hidden/unauthorized fields cannot be altered.</x:v>
      </x:c>
      <x:c r="N1016" s="35" t="str">
        <x:v>Before/after form screenshots; FLD IDs; API response; reloaded UI; paired-client read-back; database/audit evidence; negative validation result.</x:v>
      </x:c>
      <x:c r="O1016" s="35" t="str">
        <x:v>Use a duplicate submit and one simulated network interruption; one atomic mutation or none, never partial state.</x:v>
      </x:c>
      <x:c r="P1016" s="35" t="str">
        <x:v>All expected records and amounts match; no unexplained error or stale state.</x:v>
      </x:c>
    </x:row>
    <x:row r="1017">
      <x:c r="A1017" s="20" t="str">
        <x:v>RUN-20270630-03</x:v>
      </x:c>
      <x:c r="B1017" s="23" t="n">
        <x:v>46568</x:v>
      </x:c>
      <x:c r="C1017" s="32" t="n">
        <x:v>3</x:v>
      </x:c>
      <x:c r="D1017" s="20" t="str">
        <x:v>Surface coverage</x:v>
      </x:c>
      <x:c r="E1017" s="20" t="str">
        <x:v>Role appropriate to surface</x:v>
      </x:c>
      <x:c r="F1017" s="20" t="str">
        <x:v>Web</x:v>
      </x:c>
      <x:c r="G1017" s="20" t="str">
        <x:v>Manual</x:v>
      </x:c>
      <x:c r="H1017" s="35" t="str">
        <x:v>Manual web pass: Capital asset, depreciation, disposition</x:v>
      </x:c>
      <x:c r="I1017" s="35" t="str">
        <x:v>COV-023</x:v>
      </x:c>
      <x:c r="J1017" s="35" t="str"/>
      <x:c r="K1017" s="35" t="str"/>
      <x:c r="L1017" s="35" t="str">
        <x:v>Capitalize, depreciate, dispose, and prove no duplicate expense/basis and guarded preconditions.</x:v>
      </x:c>
      <x:c r="M1017" s="35" t="str">
        <x:v>The supported workflow completes and persists correctly; if the capability is absent, the exact gap is proven and queued rather than silently skipped.</x:v>
      </x:c>
      <x:c r="N1017" s="35" t="str">
        <x:v>Real UI screenshot/state; submitted values; persisted read-back; cross-client read-back; audit/role/access evidence.</x:v>
      </x:c>
      <x:c r="O1017" s="35" t="str">
        <x:v>Use one invalid value, stale-state retry, or duplicate submission relevant to the form; no partial or duplicate mutation.</x:v>
      </x:c>
      <x:c r="P1017" s="35" t="str">
        <x:v>All expected records and amounts match; no unexplained error or stale state.</x:v>
      </x:c>
    </x:row>
    <x:row r="1018">
      <x:c r="A1018" s="20" t="str">
        <x:v>RUN-20270701-01</x:v>
      </x:c>
      <x:c r="B1018" s="23" t="n">
        <x:v>46569</x:v>
      </x:c>
      <x:c r="C1018" s="32" t="n">
        <x:v>1</x:v>
      </x:c>
      <x:c r="D1018" s="20" t="str">
        <x:v>Monthly operations</x:v>
      </x:c>
      <x:c r="E1018" s="20" t="str">
        <x:v>Workspace Administrator</x:v>
      </x:c>
      <x:c r="F1018" s="20" t="str">
        <x:v>Web + Mobile</x:v>
      </x:c>
      <x:c r="G1018" s="20" t="str">
        <x:v>System automation + reconciliation</x:v>
      </x:c>
      <x:c r="H1018" s="35" t="str">
        <x:v>July recurring rent generation</x:v>
      </x:c>
      <x:c r="I1018" s="35" t="str">
        <x:v>38 active tenant accounts</x:v>
      </x:c>
      <x:c r="J1018" s="35" t="str"/>
      <x:c r="K1018" s="35" t="str">
        <x:v>FIN-00507; FIN-00509; FIN-00511; FIN-00513; FIN-00515; FIN-00517; FIN-00519; FIN-00521; FIN-00523; FIN-00525; FIN-00529; FIN-00531; FIN-00534; FIN-00536; FIN-00538; FIN-00540; FIN-00542; FIN-00544; FIN-00546; FIN-00550; FIN-00552; FIN-00554; FIN-00556; FIN-00559; FIN-00561; FIN-00563; FIN-00565; FIN-00567; FIN-00569; FIN-00571; FIN-00575; FIN-00577; FIN-00579; FIN-00581; FIN-00583; FIN-00585; FIN-00587; FIN-00591</x:v>
      </x:c>
      <x:c r="L1018" s="35" t="str">
        <x:v>Advance the simulation clock to 08:00 local; run or wait for scheduled finance worker; compare generated charges to active governing agreements, start dates, proration, and unique billing-period keys.</x:v>
      </x:c>
      <x:c r="M1018" s="35" t="str">
        <x:v>Exactly 38 rent charges are posted once; mid-month starts prorate; ended leases do not receive future charges.</x:v>
      </x:c>
      <x:c r="N1018" s="35" t="str">
        <x:v>Worker status; charge list; month rent-roll export; sampled Unit/Lease/portal balances; SQL query evidence.</x:v>
      </x:c>
      <x:c r="O1018" s="35" t="str">
        <x:v>Run the finance worker a second time and prove no duplicate charge; inject one failure and prove charge/audit/outbox atomic rollback.</x:v>
      </x:c>
      <x:c r="P1018" s="35" t="str">
        <x:v>All expected records and amounts match; no unexplained error or stale state.</x:v>
      </x:c>
    </x:row>
    <x:row r="1019">
      <x:c r="A1019" s="20" t="str">
        <x:v>RUN-20270701-02</x:v>
      </x:c>
      <x:c r="B1019" s="23" t="n">
        <x:v>46569</x:v>
      </x:c>
      <x:c r="C1019" s="32" t="n">
        <x:v>2</x:v>
      </x:c>
      <x:c r="D1019" s="20" t="str">
        <x:v>Leasing</x:v>
      </x:c>
      <x:c r="E1019" s="20" t="str">
        <x:v>Property Manager + Tenant</x:v>
      </x:c>
      <x:c r="F1019" s="20" t="str">
        <x:v>Web + Mobile</x:v>
      </x:c>
      <x:c r="G1019" s="20" t="str">
        <x:v>Manual + photo evidence</x:v>
      </x:c>
      <x:c r="H1019" s="35" t="str">
        <x:v>Move-in inspection and possession</x:v>
      </x:c>
      <x:c r="I1019" s="35" t="str">
        <x:v>L038; U014</x:v>
      </x:c>
      <x:c r="J1019" s="35" t="str"/>
      <x:c r="K1019" s="35" t="str"/>
      <x:c r="L1019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1019" s="35" t="str">
        <x:v>Inspection completes, possession opens once, Unit becomes occupied, portal access is scoped, and no lease-status shortcut substitutes for possession truth.</x:v>
      </x:c>
      <x:c r="N1019" s="35" t="str">
        <x:v>Inspection report/photos; possession event; occupancy reports; both clients; tenant portal walkthrough.</x:v>
      </x:c>
      <x:c r="O1019" s="35" t="str">
        <x:v>Attempt possession a second time and use an invalid date; database invariant prevents overlap/duplication.</x:v>
      </x:c>
      <x:c r="P1019" s="35" t="str">
        <x:v>All expected records and amounts match; no unexplained error or stale state.</x:v>
      </x:c>
    </x:row>
    <x:row r="1020">
      <x:c r="A1020" s="20" t="str">
        <x:v>RUN-20270701-03</x:v>
      </x:c>
      <x:c r="B1020" s="23" t="n">
        <x:v>46569</x:v>
      </x:c>
      <x:c r="C1020" s="32" t="n">
        <x:v>3</x:v>
      </x:c>
      <x:c r="D1020" s="20" t="str">
        <x:v>Role and screen certification</x:v>
      </x:c>
      <x:c r="E1020" s="20" t="str">
        <x:v>Applicant / public user</x:v>
      </x:c>
      <x:c r="F1020" s="20" t="str">
        <x:v>Web</x:v>
      </x:c>
      <x:c r="G1020" s="20" t="str">
        <x:v>Normal persona navigation</x:v>
      </x:c>
      <x:c r="H1020" s="35" t="str">
        <x:v>Use every permitted action and state on /forgot-password</x:v>
      </x:c>
      <x:c r="I1020" s="35" t="str">
        <x:v>SCR-095; ROLE-175</x:v>
      </x:c>
      <x:c r="J1020" s="35" t="str"/>
      <x:c r="K1020" s="35" t="str"/>
      <x:c r="L10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20" s="35" t="str">
        <x:v>The persona can use every allowed action with only its assigned properties/relationships. Hidden or disabled actions explain why; an adjacent unauthorized persona is denied without metadata leakage.</x:v>
      </x:c>
      <x:c r="N1020" s="35" t="str">
        <x:v>Persona/experience; navigation entry; desktop or device screenshots; result state; persisted read-back; audit/history; authorized and denied network result.</x:v>
      </x:c>
      <x:c r="O1020" s="35" t="str">
        <x:v>Open the direct URL or deep link with an adjacent unauthorized persona and with stale scope; both fail closed and land safely without mutation.</x:v>
      </x:c>
      <x:c r="P1020" s="35" t="str">
        <x:v>All expected records and amounts match; no unexplained error or stale state.</x:v>
      </x:c>
    </x:row>
    <x:row r="1021">
      <x:c r="A1021" s="20" t="str">
        <x:v>RUN-20270701-04</x:v>
      </x:c>
      <x:c r="B1021" s="23" t="n">
        <x:v>46569</x:v>
      </x:c>
      <x:c r="C1021" s="32" t="n">
        <x:v>4</x:v>
      </x:c>
      <x:c r="D1021" s="20" t="str">
        <x:v>Field certification</x:v>
      </x:c>
      <x:c r="E1021" s="20" t="str">
        <x:v>Property Manager</x:v>
      </x:c>
      <x:c r="F1021" s="20" t="str">
        <x:v>Web</x:v>
      </x:c>
      <x:c r="G1021" s="20" t="str">
        <x:v>Manual field-by-field</x:v>
      </x:c>
      <x:c r="H1021" s="35" t="str">
        <x:v>Fill, save, reload, edit, and validate every declared field on /maintenance/recurring</x:v>
      </x:c>
      <x:c r="I1021" s="35" t="str">
        <x:v>FLD-0514; FLD-0515</x:v>
      </x:c>
      <x:c r="J1021" s="35" t="str"/>
      <x:c r="K1021" s="35" t="str"/>
      <x:c r="L1021" s="35" t="str">
        <x:v>Use the source-derived Field Inventory. Enter non-default realistic values in every control (rt-category; rt-desc); submit; reload or relaunch; compare every value; edit each mutable field; verify the paired client; then run required, format, length, range, boundary, optional-null, and stale-submit checks.</x:v>
      </x:c>
      <x:c r="M1021" s="35" t="str">
        <x:v>All 2 inventoried controls persist exact normalized values, invalid values stay unsaved with clear errors, and hidden/unauthorized fields cannot be altered.</x:v>
      </x:c>
      <x:c r="N1021" s="35" t="str">
        <x:v>Before/after form screenshots; FLD IDs; API response; reloaded UI; paired-client read-back; database/audit evidence; negative validation result.</x:v>
      </x:c>
      <x:c r="O1021" s="35" t="str">
        <x:v>Use a duplicate submit and one simulated network interruption; one atomic mutation or none, never partial state.</x:v>
      </x:c>
      <x:c r="P1021" s="35" t="str">
        <x:v>All expected records and amounts match; no unexplained error or stale state.</x:v>
      </x:c>
    </x:row>
    <x:row r="1022">
      <x:c r="A1022" s="20" t="str">
        <x:v>RUN-20270701-05</x:v>
      </x:c>
      <x:c r="B1022" s="23" t="n">
        <x:v>46569</x:v>
      </x:c>
      <x:c r="C1022" s="32" t="n">
        <x:v>5</x:v>
      </x:c>
      <x:c r="D1022" s="20" t="str">
        <x:v>Field certification</x:v>
      </x:c>
      <x:c r="E1022" s="20" t="str">
        <x:v>Property Manager</x:v>
      </x:c>
      <x:c r="F1022" s="20" t="str">
        <x:v>Web</x:v>
      </x:c>
      <x:c r="G1022" s="20" t="str">
        <x:v>Manual field-by-field</x:v>
      </x:c>
      <x:c r="H1022" s="35" t="str">
        <x:v>Fill, save, reload, edit, and validate every declared field on /messages</x:v>
      </x:c>
      <x:c r="I1022" s="35" t="str">
        <x:v>FLD-0516; FLD-0517; FLD-0518</x:v>
      </x:c>
      <x:c r="J1022" s="35" t="str"/>
      <x:c r="K1022" s="35" t="str"/>
      <x:c r="L1022" s="35" t="str">
        <x:v>Use the source-derived Field Inventory. Enter non-default realistic values in every control (reply-input; conversation-compose-tenant-search; composeForm.tenantId); submit; reload or relaunch; compare every value; edit each mutable field; verify the paired client; then run required, format, length, range, boundary, optional-null, and stale-submit checks.</x:v>
      </x:c>
      <x:c r="M1022" s="35" t="str">
        <x:v>All 3 inventoried controls persist exact normalized values, invalid values stay unsaved with clear errors, and hidden/unauthorized fields cannot be altered.</x:v>
      </x:c>
      <x:c r="N1022" s="35" t="str">
        <x:v>Before/after form screenshots; FLD IDs; API response; reloaded UI; paired-client read-back; database/audit evidence; negative validation result.</x:v>
      </x:c>
      <x:c r="O1022" s="35" t="str">
        <x:v>Use a duplicate submit and one simulated network interruption; one atomic mutation or none, never partial state.</x:v>
      </x:c>
      <x:c r="P1022" s="35" t="str">
        <x:v>All expected records and amounts match; no unexplained error or stale state.</x:v>
      </x:c>
    </x:row>
    <x:row r="1023">
      <x:c r="A1023" s="20" t="str">
        <x:v>RUN-20270702-01</x:v>
      </x:c>
      <x:c r="B1023" s="23" t="n">
        <x:v>46570</x:v>
      </x:c>
      <x:c r="C1023" s="32" t="n">
        <x:v>1</x:v>
      </x:c>
      <x:c r="D1023" s="20" t="str">
        <x:v>Leasing</x:v>
      </x:c>
      <x:c r="E1023" s="20" t="str">
        <x:v>Leasing Agent</x:v>
      </x:c>
      <x:c r="F1023" s="20" t="str">
        <x:v>Web + Mobile</x:v>
      </x:c>
      <x:c r="G1023" s="20" t="str">
        <x:v>Manual lifecycle command</x:v>
      </x:c>
      <x:c r="H1023" s="35" t="str">
        <x:v>Approve application and prepare move-in</x:v>
      </x:c>
      <x:c r="I1023" s="35" t="str">
        <x:v>L039; U017; T039</x:v>
      </x:c>
      <x:c r="J1023" s="35" t="str"/>
      <x:c r="K1023" s="35" t="str"/>
      <x:c r="L1023" s="35" t="str">
        <x:v>Approve the selected application; run Prepare move-in; confirm parties, planned possession, rent, deposit, Tenant Account, and initial Agreement draft; invite portal access under policy.</x:v>
      </x:c>
      <x:c r="M1023" s="35" t="str">
        <x:v>One planned LeaseManagement, party set, account, and agreement draft commit atomically; Unit is move-in scheduled, not occupied.</x:v>
      </x:c>
      <x:c r="N1023" s="35" t="str">
        <x:v>Application decision; Unit state; parties; account; draft; portal invitation; atomic audit.</x:v>
      </x:c>
      <x:c r="O1023" s="35" t="str">
        <x:v>Inject failure at the former save boundary and prove no partial relationship/account/agreement remains.</x:v>
      </x:c>
      <x:c r="P1023" s="35" t="str">
        <x:v>All expected records and amounts match; no unexplained error or stale state.</x:v>
      </x:c>
    </x:row>
    <x:row r="1024">
      <x:c r="A1024" s="20" t="str">
        <x:v>RUN-20270702-02</x:v>
      </x:c>
      <x:c r="B1024" s="23" t="n">
        <x:v>46570</x:v>
      </x:c>
      <x:c r="C1024" s="32" t="n">
        <x:v>2</x:v>
      </x:c>
      <x:c r="D1024" s="20" t="str">
        <x:v>Role and screen certification</x:v>
      </x:c>
      <x:c r="E1024" s="20" t="str">
        <x:v>Applicant / public user</x:v>
      </x:c>
      <x:c r="F1024" s="20" t="str">
        <x:v>Web</x:v>
      </x:c>
      <x:c r="G1024" s="20" t="str">
        <x:v>Normal persona navigation</x:v>
      </x:c>
      <x:c r="H1024" s="35" t="str">
        <x:v>Use every permitted action and state on /login</x:v>
      </x:c>
      <x:c r="I1024" s="35" t="str">
        <x:v>SCR-096; ROLE-176</x:v>
      </x:c>
      <x:c r="J1024" s="35" t="str"/>
      <x:c r="K1024" s="35" t="str"/>
      <x:c r="L102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24" s="35" t="str">
        <x:v>The persona can use every allowed action with only its assigned properties/relationships. Hidden or disabled actions explain why; an adjacent unauthorized persona is denied without metadata leakage.</x:v>
      </x:c>
      <x:c r="N1024" s="35" t="str">
        <x:v>Persona/experience; navigation entry; desktop or device screenshots; result state; persisted read-back; audit/history; authorized and denied network result.</x:v>
      </x:c>
      <x:c r="O1024" s="35" t="str">
        <x:v>Open the direct URL or deep link with an adjacent unauthorized persona and with stale scope; both fail closed and land safely without mutation.</x:v>
      </x:c>
      <x:c r="P1024" s="35" t="str">
        <x:v>All expected records and amounts match; no unexplained error or stale state.</x:v>
      </x:c>
    </x:row>
    <x:row r="1025">
      <x:c r="A1025" s="20" t="str">
        <x:v>RUN-20270702-03</x:v>
      </x:c>
      <x:c r="B1025" s="23" t="n">
        <x:v>46570</x:v>
      </x:c>
      <x:c r="C1025" s="32" t="n">
        <x:v>3</x:v>
      </x:c>
      <x:c r="D1025" s="20" t="str">
        <x:v>Field certification</x:v>
      </x:c>
      <x:c r="E1025" s="20" t="str">
        <x:v>Property Manager</x:v>
      </x:c>
      <x:c r="F1025" s="20" t="str">
        <x:v>Web</x:v>
      </x:c>
      <x:c r="G1025" s="20" t="str">
        <x:v>Manual field-by-field</x:v>
      </x:c>
      <x:c r="H1025" s="35" t="str">
        <x:v>Fill, save, reload, edit, and validate every declared field on /messages</x:v>
      </x:c>
      <x:c r="I1025" s="35" t="str">
        <x:v>FLD-0519; FLD-0520; FLD-0521; FLD-0522</x:v>
      </x:c>
      <x:c r="J1025" s="35" t="str"/>
      <x:c r="K1025" s="35" t="str"/>
      <x:c r="L1025" s="35" t="str">
        <x:v>Use the source-derived Field Inventory. Enter non-default realistic values in every control (conversation-compose-tenant; Select-5; Select-6; Select-7); submit; reload or relaunch; compare every value; edit each mutable field; verify the paired client; then run required, format, length, range, boundary, optional-null, and stale-submit checks.</x:v>
      </x:c>
      <x:c r="M1025" s="35" t="str">
        <x:v>All 4 inventoried controls persist exact normalized values, invalid values stay unsaved with clear errors, and hidden/unauthorized fields cannot be altered.</x:v>
      </x:c>
      <x:c r="N1025" s="35" t="str">
        <x:v>Before/after form screenshots; FLD IDs; API response; reloaded UI; paired-client read-back; database/audit evidence; negative validation result.</x:v>
      </x:c>
      <x:c r="O1025" s="35" t="str">
        <x:v>Use a duplicate submit and one simulated network interruption; one atomic mutation or none, never partial state.</x:v>
      </x:c>
      <x:c r="P1025" s="35" t="str">
        <x:v>All expected records and amounts match; no unexplained error or stale state.</x:v>
      </x:c>
    </x:row>
    <x:row r="1026">
      <x:c r="A1026" s="20" t="str">
        <x:v>RUN-20270702-04</x:v>
      </x:c>
      <x:c r="B1026" s="23" t="n">
        <x:v>46570</x:v>
      </x:c>
      <x:c r="C1026" s="32" t="n">
        <x:v>4</x:v>
      </x:c>
      <x:c r="D1026" s="20" t="str">
        <x:v>Lifecycle certification</x:v>
      </x:c>
      <x:c r="E1026" s="20" t="str">
        <x:v>Property Manager</x:v>
      </x:c>
      <x:c r="F1026" s="20" t="str">
        <x:v>Web + Mobile</x:v>
      </x:c>
      <x:c r="G1026" s="20" t="str">
        <x:v>Manual + scan/attachment where supported</x:v>
      </x:c>
      <x:c r="H1026" s="35" t="str">
        <x:v>Complete the full create/read/edit/lifecycle/delete-safe pass for Bank transaction</x:v>
      </x:c>
      <x:c r="I1026" s="35" t="str">
        <x:v>CRUD-017</x:v>
      </x:c>
      <x:c r="J1026" s="35" t="str"/>
      <x:c r="K1026" s="35" t="str"/>
      <x:c r="L1026" s="35" t="str">
        <x:v>Use a dedicated disposable QA record and execute: import; edit allowed metadata; match; unmatch; park; ignore; duplicate import. Fill every field referenced by field-inventory.csv. Verify confirmation copy, cancel path, final path, reload, other-client state, history, and role denial.</x:v>
      </x:c>
      <x:c r="M1026" s="35" t="str">
        <x:v>Every supported transition succeeds exactly once; forbidden destructive actions are guarded; reversible deletion/deactivation works; financial and historical truth is preserved.</x:v>
      </x:c>
      <x:c r="N1026" s="35" t="str">
        <x:v>Entity before/after; both clients; all FLD IDs; audit/history; notifications; authorized and unauthorized personas; API/DB state.</x:v>
      </x:c>
      <x:c r="O1026" s="35" t="str">
        <x:v>Cancel the first destructive confirmation, then repeat and confirm; retry the mutation once; no double transition or orphan.</x:v>
      </x:c>
      <x:c r="P1026" s="35" t="str">
        <x:v>All expected records and amounts match; no unexplained error or stale state.</x:v>
      </x:c>
    </x:row>
    <x:row r="1027">
      <x:c r="A1027" s="20" t="str">
        <x:v>RUN-20270702-05</x:v>
      </x:c>
      <x:c r="B1027" s="23" t="n">
        <x:v>46570</x:v>
      </x:c>
      <x:c r="C1027" s="32" t="n">
        <x:v>5</x:v>
      </x:c>
      <x:c r="D1027" s="20" t="str">
        <x:v>Notification certification</x:v>
      </x:c>
      <x:c r="E1027" s="20" t="str">
        <x:v>Tenant + Technician</x:v>
      </x:c>
      <x:c r="F1027" s="20" t="str">
        <x:v>Web + Mobile</x:v>
      </x:c>
      <x:c r="G1027" s="20" t="str">
        <x:v>System event + preference/manual verification</x:v>
      </x:c>
      <x:c r="H1027" s="35" t="str">
        <x:v>Trigger and prove notification: Move-out inspection reminder</x:v>
      </x:c>
      <x:c r="I1027" s="35" t="str">
        <x:v>NTF-024</x:v>
      </x:c>
      <x:c r="J1027" s="35" t="str"/>
      <x:c r="K1027" s="35" t="str"/>
      <x:c r="L1027" s="35" t="str">
        <x:v>Set each recipient's preferences; trigger the real business event; inspect routing and recipient scope; verify unread badge, list item, safe preview, inspection deep link, mark-read sync, configured channel outcome, provider failure/retry, and duplicate suppression.</x:v>
      </x:c>
      <x:c r="M1027" s="35" t="str">
        <x:v>Exactly the intended recipients receive one correctly routed notification; disabled optional channels stay silent; deep link opens authorized context; read state synchronizes.</x:v>
      </x:c>
      <x:c r="N1027" s="35" t="str">
        <x:v>Trigger record; routing decision; outbox/delivery status; web/mobile inbox; lock-screen-safe copy; deep-link target; audit/provider retry evidence.</x:v>
      </x:c>
      <x:c r="O1027" s="35" t="str">
        <x:v>Re-run the worker and deliver a duplicate provider callback; no duplicate user-visible event. Attempt the deep link as an unauthorized adjacent role.</x:v>
      </x:c>
      <x:c r="P1027" s="35" t="str">
        <x:v>All expected records and amounts match; no unexplained error or stale state.</x:v>
      </x:c>
    </x:row>
    <x:row r="1028">
      <x:c r="A1028" s="20" t="str">
        <x:v>RUN-20270702-06</x:v>
      </x:c>
      <x:c r="B1028" s="23" t="n">
        <x:v>46570</x:v>
      </x:c>
      <x:c r="C1028" s="32" t="n">
        <x:v>6</x:v>
      </x:c>
      <x:c r="D1028" s="20" t="str">
        <x:v>Surface coverage</x:v>
      </x:c>
      <x:c r="E1028" s="20" t="str">
        <x:v>Role appropriate to surface</x:v>
      </x:c>
      <x:c r="F1028" s="20" t="str">
        <x:v>Mobile</x:v>
      </x:c>
      <x:c r="G1028" s="20" t="str">
        <x:v>Manual</x:v>
      </x:c>
      <x:c r="H1028" s="35" t="str">
        <x:v>Manual mobile pass: Capital asset, depreciation, disposition</x:v>
      </x:c>
      <x:c r="I1028" s="35" t="str">
        <x:v>COV-023</x:v>
      </x:c>
      <x:c r="J1028" s="35" t="str"/>
      <x:c r="K1028" s="35" t="str"/>
      <x:c r="L1028" s="35" t="str">
        <x:v>Capitalize, depreciate, dispose, and prove no duplicate expense/basis and guarded preconditions.</x:v>
      </x:c>
      <x:c r="M1028" s="35" t="str">
        <x:v>The supported workflow completes and persists correctly; if the capability is absent, the exact gap is proven and queued rather than silently skipped.</x:v>
      </x:c>
      <x:c r="N1028" s="35" t="str">
        <x:v>Real UI screenshot/state; submitted values; persisted read-back; cross-client read-back; audit/role/access evidence.</x:v>
      </x:c>
      <x:c r="O1028" s="35" t="str">
        <x:v>Use one invalid value, stale-state retry, or duplicate submission relevant to the form; no partial or duplicate mutation.</x:v>
      </x:c>
      <x:c r="P1028" s="35" t="str">
        <x:v>All expected records and amounts match; no unexplained error or stale state.</x:v>
      </x:c>
    </x:row>
    <x:row r="1029">
      <x:c r="A1029" s="20" t="str">
        <x:v>RUN-20270703-01</x:v>
      </x:c>
      <x:c r="B1029" s="23" t="n">
        <x:v>46571</x:v>
      </x:c>
      <x:c r="C1029" s="32" t="n">
        <x:v>1</x:v>
      </x:c>
      <x:c r="D1029" s="20" t="str">
        <x:v>Monthly operations</x:v>
      </x:c>
      <x:c r="E1029" s="20" t="str">
        <x:v>Property Manager</x:v>
      </x:c>
      <x:c r="F1029" s="20" t="str">
        <x:v>Mobile</x:v>
      </x:c>
      <x:c r="G1029" s="20" t="str">
        <x:v>Portal card</x:v>
      </x:c>
      <x:c r="H1029" s="35" t="str">
        <x:v>Post and allocate tenant receipt</x:v>
      </x:c>
      <x:c r="I1029" s="35" t="str">
        <x:v>P003; U003; L003</x:v>
      </x:c>
      <x:c r="J1029" s="35" t="str"/>
      <x:c r="K1029" s="35" t="str">
        <x:v>FIN-00511; FIN-00512</x:v>
      </x:c>
      <x:c r="L1029" s="35" t="str">
        <x:v>Open Scan for paper payment or the tenant-account receipt form for electronic payment; verify tenant/lease match, amount, date, method, and reference; confirm once; open ledger detail and allocation.</x:v>
      </x:c>
      <x:c r="M1029" s="35" t="str">
        <x:v>Receipt is append-only, allocated once to the correct rent charge, and visible consistently in Unit, Lease, Tenant Account, Accounting, and portal views.</x:v>
      </x:c>
      <x:c r="N1029" s="35" t="str">
        <x:v>Scan review or form; success result; exact ledger rows; payment detail; accounting delta; portal receipt.</x:v>
      </x:c>
      <x:c r="O1029" s="35" t="str">
        <x:v>Retry the idempotency key once during the quarter assigned in the coverage matrix; no duplicate cash or allocation.</x:v>
      </x:c>
      <x:c r="P1029" s="35" t="str">
        <x:v>All expected records and amounts match; no unexplained error or stale state.</x:v>
      </x:c>
    </x:row>
    <x:row r="1030">
      <x:c r="A1030" s="20" t="str">
        <x:v>RUN-20270703-02</x:v>
      </x:c>
      <x:c r="B1030" s="23" t="n">
        <x:v>46571</x:v>
      </x:c>
      <x:c r="C1030" s="32" t="n">
        <x:v>2</x:v>
      </x:c>
      <x:c r="D1030" s="20" t="str">
        <x:v>Monthly operations</x:v>
      </x:c>
      <x:c r="E1030" s="20" t="str">
        <x:v>Property Manager</x:v>
      </x:c>
      <x:c r="F1030" s="20" t="str">
        <x:v>Web</x:v>
      </x:c>
      <x:c r="G1030" s="20" t="str">
        <x:v>Manual ACH</x:v>
      </x:c>
      <x:c r="H1030" s="35" t="str">
        <x:v>Post and allocate tenant receipt</x:v>
      </x:c>
      <x:c r="I1030" s="35" t="str">
        <x:v>P006; U006; L006</x:v>
      </x:c>
      <x:c r="J1030" s="35" t="str"/>
      <x:c r="K1030" s="35" t="str">
        <x:v>FIN-00515; FIN-00516</x:v>
      </x:c>
      <x:c r="L1030" s="35" t="str">
        <x:v>Open Scan for paper payment or the tenant-account receipt form for electronic payment; verify tenant/lease match, amount, date, method, and reference; confirm once; open ledger detail and allocation.</x:v>
      </x:c>
      <x:c r="M1030" s="35" t="str">
        <x:v>Receipt is append-only, allocated once to the correct rent charge, and visible consistently in Unit, Lease, Tenant Account, Accounting, and portal views.</x:v>
      </x:c>
      <x:c r="N1030" s="35" t="str">
        <x:v>Scan review or form; success result; exact ledger rows; payment detail; accounting delta; portal receipt.</x:v>
      </x:c>
      <x:c r="O1030" s="35" t="str">
        <x:v>Retry the idempotency key once during the quarter assigned in the coverage matrix; no duplicate cash or allocation.</x:v>
      </x:c>
      <x:c r="P1030" s="35" t="str">
        <x:v>All expected records and amounts match; no unexplained error or stale state.</x:v>
      </x:c>
    </x:row>
    <x:row r="1031">
      <x:c r="A1031" s="20" t="str">
        <x:v>RUN-20270703-03</x:v>
      </x:c>
      <x:c r="B1031" s="23" t="n">
        <x:v>46571</x:v>
      </x:c>
      <x:c r="C1031" s="32" t="n">
        <x:v>3</x:v>
      </x:c>
      <x:c r="D1031" s="20" t="str">
        <x:v>Monthly operations</x:v>
      </x:c>
      <x:c r="E1031" s="20" t="str">
        <x:v>Property Manager</x:v>
      </x:c>
      <x:c r="F1031" s="20" t="str">
        <x:v>Mobile</x:v>
      </x:c>
      <x:c r="G1031" s="20" t="str">
        <x:v>Scanned money order</x:v>
      </x:c>
      <x:c r="H1031" s="35" t="str">
        <x:v>Post and allocate tenant receipt</x:v>
      </x:c>
      <x:c r="I1031" s="35" t="str">
        <x:v>P009; U009; L009</x:v>
      </x:c>
      <x:c r="J1031" s="35" t="str">
        <x:v>SCN-0219</x:v>
      </x:c>
      <x:c r="K1031" s="35" t="str">
        <x:v>FIN-00521; FIN-00522</x:v>
      </x:c>
      <x:c r="L1031" s="35" t="str">
        <x:v>Open Scan for paper payment or the tenant-account receipt form for electronic payment; verify tenant/lease match, amount, date, method, and reference; confirm once; open ledger detail and allocation.</x:v>
      </x:c>
      <x:c r="M1031" s="35" t="str">
        <x:v>Receipt is append-only, allocated once to the correct rent charge, and visible consistently in Unit, Lease, Tenant Account, Accounting, and portal views.</x:v>
      </x:c>
      <x:c r="N1031" s="35" t="str">
        <x:v>Scan review or form; success result; exact ledger rows; payment detail; accounting delta; portal receipt.</x:v>
      </x:c>
      <x:c r="O1031" s="35" t="str">
        <x:v>Retry the idempotency key once during the quarter assigned in the coverage matrix; no duplicate cash or allocation.</x:v>
      </x:c>
      <x:c r="P1031" s="35" t="str">
        <x:v>All expected records and amounts match; no unexplained error or stale state.</x:v>
      </x:c>
    </x:row>
    <x:row r="1032">
      <x:c r="A1032" s="20" t="str">
        <x:v>RUN-20270703-04</x:v>
      </x:c>
      <x:c r="B1032" s="23" t="n">
        <x:v>46571</x:v>
      </x:c>
      <x:c r="C1032" s="32" t="n">
        <x:v>4</x:v>
      </x:c>
      <x:c r="D1032" s="20" t="str">
        <x:v>Monthly operations</x:v>
      </x:c>
      <x:c r="E1032" s="20" t="str">
        <x:v>Property Manager</x:v>
      </x:c>
      <x:c r="F1032" s="20" t="str">
        <x:v>Mobile</x:v>
      </x:c>
      <x:c r="G1032" s="20" t="str">
        <x:v>Portal card</x:v>
      </x:c>
      <x:c r="H1032" s="35" t="str">
        <x:v>Post and allocate tenant receipt</x:v>
      </x:c>
      <x:c r="I1032" s="35" t="str">
        <x:v>P011; U011; L011</x:v>
      </x:c>
      <x:c r="J1032" s="35" t="str"/>
      <x:c r="K1032" s="35" t="str">
        <x:v>FIN-00525; FIN-00526</x:v>
      </x:c>
      <x:c r="L1032" s="35" t="str">
        <x:v>Open Scan for paper payment or the tenant-account receipt form for electronic payment; verify tenant/lease match, amount, date, method, and reference; confirm once; open ledger detail and allocation.</x:v>
      </x:c>
      <x:c r="M1032" s="35" t="str">
        <x:v>Receipt is append-only, allocated once to the correct rent charge, and visible consistently in Unit, Lease, Tenant Account, Accounting, and portal views.</x:v>
      </x:c>
      <x:c r="N1032" s="35" t="str">
        <x:v>Scan review or form; success result; exact ledger rows; payment detail; accounting delta; portal receipt.</x:v>
      </x:c>
      <x:c r="O1032" s="35" t="str">
        <x:v>Retry the idempotency key once during the quarter assigned in the coverage matrix; no duplicate cash or allocation.</x:v>
      </x:c>
      <x:c r="P1032" s="35" t="str">
        <x:v>All expected records and amounts match; no unexplained error or stale state.</x:v>
      </x:c>
    </x:row>
    <x:row r="1033">
      <x:c r="A1033" s="20" t="str">
        <x:v>RUN-20270703-05</x:v>
      </x:c>
      <x:c r="B1033" s="23" t="n">
        <x:v>46571</x:v>
      </x:c>
      <x:c r="C1033" s="32" t="n">
        <x:v>5</x:v>
      </x:c>
      <x:c r="D1033" s="20" t="str">
        <x:v>Monthly operations</x:v>
      </x:c>
      <x:c r="E1033" s="20" t="str">
        <x:v>Property Manager</x:v>
      </x:c>
      <x:c r="F1033" s="20" t="str">
        <x:v>Web</x:v>
      </x:c>
      <x:c r="G1033" s="20" t="str">
        <x:v>Scanned check</x:v>
      </x:c>
      <x:c r="H1033" s="35" t="str">
        <x:v>Post and allocate tenant receipt</x:v>
      </x:c>
      <x:c r="I1033" s="35" t="str">
        <x:v>P012; U012; L012</x:v>
      </x:c>
      <x:c r="J1033" s="35" t="str">
        <x:v>SCN-0221</x:v>
      </x:c>
      <x:c r="K1033" s="35" t="str">
        <x:v>FIN-00529; FIN-00530</x:v>
      </x:c>
      <x:c r="L1033" s="35" t="str">
        <x:v>Open Scan for paper payment or the tenant-account receipt form for electronic payment; verify tenant/lease match, amount, date, method, and reference; confirm once; open ledger detail and allocation.</x:v>
      </x:c>
      <x:c r="M1033" s="35" t="str">
        <x:v>Receipt is append-only, allocated once to the correct rent charge, and visible consistently in Unit, Lease, Tenant Account, Accounting, and portal views.</x:v>
      </x:c>
      <x:c r="N1033" s="35" t="str">
        <x:v>Scan review or form; success result; exact ledger rows; payment detail; accounting delta; portal receipt.</x:v>
      </x:c>
      <x:c r="O1033" s="35" t="str">
        <x:v>Retry the idempotency key once during the quarter assigned in the coverage matrix; no duplicate cash or allocation.</x:v>
      </x:c>
      <x:c r="P1033" s="35" t="str">
        <x:v>All expected records and amounts match; no unexplained error or stale state.</x:v>
      </x:c>
    </x:row>
    <x:row r="1034">
      <x:c r="A1034" s="20" t="str">
        <x:v>RUN-20270703-06</x:v>
      </x:c>
      <x:c r="B1034" s="23" t="n">
        <x:v>46571</x:v>
      </x:c>
      <x:c r="C1034" s="32" t="n">
        <x:v>6</x:v>
      </x:c>
      <x:c r="D1034" s="20" t="str">
        <x:v>Monthly operations</x:v>
      </x:c>
      <x:c r="E1034" s="20" t="str">
        <x:v>Property Manager</x:v>
      </x:c>
      <x:c r="F1034" s="20" t="str">
        <x:v>Mobile</x:v>
      </x:c>
      <x:c r="G1034" s="20" t="str">
        <x:v>Portal card</x:v>
      </x:c>
      <x:c r="H1034" s="35" t="str">
        <x:v>Post and allocate tenant receipt</x:v>
      </x:c>
      <x:c r="I1034" s="35" t="str">
        <x:v>P015; U015; L015</x:v>
      </x:c>
      <x:c r="J1034" s="35" t="str"/>
      <x:c r="K1034" s="35" t="str">
        <x:v>FIN-00534; FIN-00535</x:v>
      </x:c>
      <x:c r="L1034" s="35" t="str">
        <x:v>Open Scan for paper payment or the tenant-account receipt form for electronic payment; verify tenant/lease match, amount, date, method, and reference; confirm once; open ledger detail and allocation.</x:v>
      </x:c>
      <x:c r="M1034" s="35" t="str">
        <x:v>Receipt is append-only, allocated once to the correct rent charge, and visible consistently in Unit, Lease, Tenant Account, Accounting, and portal views.</x:v>
      </x:c>
      <x:c r="N1034" s="35" t="str">
        <x:v>Scan review or form; success result; exact ledger rows; payment detail; accounting delta; portal receipt.</x:v>
      </x:c>
      <x:c r="O1034" s="35" t="str">
        <x:v>Retry the idempotency key once during the quarter assigned in the coverage matrix; no duplicate cash or allocation.</x:v>
      </x:c>
      <x:c r="P1034" s="35" t="str">
        <x:v>All expected records and amounts match; no unexplained error or stale state.</x:v>
      </x:c>
    </x:row>
    <x:row r="1035">
      <x:c r="A1035" s="20" t="str">
        <x:v>RUN-20270703-07</x:v>
      </x:c>
      <x:c r="B1035" s="23" t="n">
        <x:v>46571</x:v>
      </x:c>
      <x:c r="C1035" s="32" t="n">
        <x:v>7</x:v>
      </x:c>
      <x:c r="D1035" s="20" t="str">
        <x:v>Monthly operations</x:v>
      </x:c>
      <x:c r="E1035" s="20" t="str">
        <x:v>Property Manager</x:v>
      </x:c>
      <x:c r="F1035" s="20" t="str">
        <x:v>Web</x:v>
      </x:c>
      <x:c r="G1035" s="20" t="str">
        <x:v>Manual ACH</x:v>
      </x:c>
      <x:c r="H1035" s="35" t="str">
        <x:v>Post and allocate tenant receipt</x:v>
      </x:c>
      <x:c r="I1035" s="35" t="str">
        <x:v>P018; U018; L018</x:v>
      </x:c>
      <x:c r="J1035" s="35" t="str"/>
      <x:c r="K1035" s="35" t="str">
        <x:v>FIN-00538; FIN-00539</x:v>
      </x:c>
      <x:c r="L1035" s="35" t="str">
        <x:v>Open Scan for paper payment or the tenant-account receipt form for electronic payment; verify tenant/lease match, amount, date, method, and reference; confirm once; open ledger detail and allocation.</x:v>
      </x:c>
      <x:c r="M1035" s="35" t="str">
        <x:v>Receipt is append-only, allocated once to the correct rent charge, and visible consistently in Unit, Lease, Tenant Account, Accounting, and portal views.</x:v>
      </x:c>
      <x:c r="N1035" s="35" t="str">
        <x:v>Scan review or form; success result; exact ledger rows; payment detail; accounting delta; portal receipt.</x:v>
      </x:c>
      <x:c r="O1035" s="35" t="str">
        <x:v>Retry the idempotency key once during the quarter assigned in the coverage matrix; no duplicate cash or allocation.</x:v>
      </x:c>
      <x:c r="P1035" s="35" t="str">
        <x:v>All expected records and amounts match; no unexplained error or stale state.</x:v>
      </x:c>
    </x:row>
    <x:row r="1036">
      <x:c r="A1036" s="20" t="str">
        <x:v>RUN-20270703-08</x:v>
      </x:c>
      <x:c r="B1036" s="23" t="n">
        <x:v>46571</x:v>
      </x:c>
      <x:c r="C1036" s="32" t="n">
        <x:v>8</x:v>
      </x:c>
      <x:c r="D1036" s="20" t="str">
        <x:v>Monthly operations</x:v>
      </x:c>
      <x:c r="E1036" s="20" t="str">
        <x:v>Property Manager</x:v>
      </x:c>
      <x:c r="F1036" s="20" t="str">
        <x:v>Mobile</x:v>
      </x:c>
      <x:c r="G1036" s="20" t="str">
        <x:v>Scanned money order</x:v>
      </x:c>
      <x:c r="H1036" s="35" t="str">
        <x:v>Post and allocate tenant receipt</x:v>
      </x:c>
      <x:c r="I1036" s="35" t="str">
        <x:v>P021; U021; L021</x:v>
      </x:c>
      <x:c r="J1036" s="35" t="str">
        <x:v>SCN-0225</x:v>
      </x:c>
      <x:c r="K1036" s="35" t="str">
        <x:v>FIN-00544; FIN-00545</x:v>
      </x:c>
      <x:c r="L1036" s="35" t="str">
        <x:v>Open Scan for paper payment or the tenant-account receipt form for electronic payment; verify tenant/lease match, amount, date, method, and reference; confirm once; open ledger detail and allocation.</x:v>
      </x:c>
      <x:c r="M1036" s="35" t="str">
        <x:v>Receipt is append-only, allocated once to the correct rent charge, and visible consistently in Unit, Lease, Tenant Account, Accounting, and portal views.</x:v>
      </x:c>
      <x:c r="N1036" s="35" t="str">
        <x:v>Scan review or form; success result; exact ledger rows; payment detail; accounting delta; portal receipt.</x:v>
      </x:c>
      <x:c r="O1036" s="35" t="str">
        <x:v>Retry the idempotency key once during the quarter assigned in the coverage matrix; no duplicate cash or allocation.</x:v>
      </x:c>
      <x:c r="P1036" s="35" t="str">
        <x:v>All expected records and amounts match; no unexplained error or stale state.</x:v>
      </x:c>
    </x:row>
    <x:row r="1037">
      <x:c r="A1037" s="20" t="str">
        <x:v>RUN-20270703-09</x:v>
      </x:c>
      <x:c r="B1037" s="23" t="n">
        <x:v>46571</x:v>
      </x:c>
      <x:c r="C1037" s="32" t="n">
        <x:v>9</x:v>
      </x:c>
      <x:c r="D1037" s="20" t="str">
        <x:v>Monthly operations</x:v>
      </x:c>
      <x:c r="E1037" s="20" t="str">
        <x:v>Property Manager</x:v>
      </x:c>
      <x:c r="F1037" s="20" t="str">
        <x:v>Web</x:v>
      </x:c>
      <x:c r="G1037" s="20" t="str">
        <x:v>Manual ACH</x:v>
      </x:c>
      <x:c r="H1037" s="35" t="str">
        <x:v>Post and allocate tenant receipt</x:v>
      </x:c>
      <x:c r="I1037" s="35" t="str">
        <x:v>P021; U022; L022</x:v>
      </x:c>
      <x:c r="J1037" s="35" t="str"/>
      <x:c r="K1037" s="35" t="str">
        <x:v>FIN-00546; FIN-00547</x:v>
      </x:c>
      <x:c r="L1037" s="35" t="str">
        <x:v>Open Scan for paper payment or the tenant-account receipt form for electronic payment; verify tenant/lease match, amount, date, method, and reference; confirm once; open ledger detail and allocation.</x:v>
      </x:c>
      <x:c r="M1037" s="35" t="str">
        <x:v>Receipt is append-only, allocated once to the correct rent charge, and visible consistently in Unit, Lease, Tenant Account, Accounting, and portal views.</x:v>
      </x:c>
      <x:c r="N1037" s="35" t="str">
        <x:v>Scan review or form; success result; exact ledger rows; payment detail; accounting delta; portal receipt.</x:v>
      </x:c>
      <x:c r="O1037" s="35" t="str">
        <x:v>Retry the idempotency key once during the quarter assigned in the coverage matrix; no duplicate cash or allocation.</x:v>
      </x:c>
      <x:c r="P1037" s="35" t="str">
        <x:v>All expected records and amounts match; no unexplained error or stale state.</x:v>
      </x:c>
    </x:row>
    <x:row r="1038">
      <x:c r="A1038" s="20" t="str">
        <x:v>RUN-20270703-10</x:v>
      </x:c>
      <x:c r="B1038" s="23" t="n">
        <x:v>46571</x:v>
      </x:c>
      <x:c r="C1038" s="32" t="n">
        <x:v>10</x:v>
      </x:c>
      <x:c r="D1038" s="20" t="str">
        <x:v>Monthly operations</x:v>
      </x:c>
      <x:c r="E1038" s="20" t="str">
        <x:v>Property Manager</x:v>
      </x:c>
      <x:c r="F1038" s="20" t="str">
        <x:v>Web</x:v>
      </x:c>
      <x:c r="G1038" s="20" t="str">
        <x:v>Scanned check</x:v>
      </x:c>
      <x:c r="H1038" s="35" t="str">
        <x:v>Post and allocate tenant receipt</x:v>
      </x:c>
      <x:c r="I1038" s="35" t="str">
        <x:v>P022; U024; L024</x:v>
      </x:c>
      <x:c r="J1038" s="35" t="str">
        <x:v>SCN-0227</x:v>
      </x:c>
      <x:c r="K1038" s="35" t="str">
        <x:v>FIN-00552; FIN-00553</x:v>
      </x:c>
      <x:c r="L1038" s="35" t="str">
        <x:v>Open Scan for paper payment or the tenant-account receipt form for electronic payment; verify tenant/lease match, amount, date, method, and reference; confirm once; open ledger detail and allocation.</x:v>
      </x:c>
      <x:c r="M1038" s="35" t="str">
        <x:v>Receipt is append-only, allocated once to the correct rent charge, and visible consistently in Unit, Lease, Tenant Account, Accounting, and portal views.</x:v>
      </x:c>
      <x:c r="N1038" s="35" t="str">
        <x:v>Scan review or form; success result; exact ledger rows; payment detail; accounting delta; portal receipt.</x:v>
      </x:c>
      <x:c r="O1038" s="35" t="str">
        <x:v>Retry the idempotency key once during the quarter assigned in the coverage matrix; no duplicate cash or allocation.</x:v>
      </x:c>
      <x:c r="P1038" s="35" t="str">
        <x:v>All expected records and amounts match; no unexplained error or stale state.</x:v>
      </x:c>
    </x:row>
    <x:row r="1039">
      <x:c r="A1039" s="20" t="str">
        <x:v>RUN-20270703-11</x:v>
      </x:c>
      <x:c r="B1039" s="23" t="n">
        <x:v>46571</x:v>
      </x:c>
      <x:c r="C1039" s="32" t="n">
        <x:v>11</x:v>
      </x:c>
      <x:c r="D1039" s="20" t="str">
        <x:v>Monthly operations</x:v>
      </x:c>
      <x:c r="E1039" s="20" t="str">
        <x:v>Property Manager</x:v>
      </x:c>
      <x:c r="F1039" s="20" t="str">
        <x:v>Mobile</x:v>
      </x:c>
      <x:c r="G1039" s="20" t="str">
        <x:v>Portal card</x:v>
      </x:c>
      <x:c r="H1039" s="35" t="str">
        <x:v>Post and allocate tenant receipt</x:v>
      </x:c>
      <x:c r="I1039" s="35" t="str">
        <x:v>P024; U027; L027</x:v>
      </x:c>
      <x:c r="J1039" s="35" t="str"/>
      <x:c r="K1039" s="35" t="str">
        <x:v>FIN-00559; FIN-00560</x:v>
      </x:c>
      <x:c r="L1039" s="35" t="str">
        <x:v>Open Scan for paper payment or the tenant-account receipt form for electronic payment; verify tenant/lease match, amount, date, method, and reference; confirm once; open ledger detail and allocation.</x:v>
      </x:c>
      <x:c r="M1039" s="35" t="str">
        <x:v>Receipt is append-only, allocated once to the correct rent charge, and visible consistently in Unit, Lease, Tenant Account, Accounting, and portal views.</x:v>
      </x:c>
      <x:c r="N1039" s="35" t="str">
        <x:v>Scan review or form; success result; exact ledger rows; payment detail; accounting delta; portal receipt.</x:v>
      </x:c>
      <x:c r="O1039" s="35" t="str">
        <x:v>Retry the idempotency key once during the quarter assigned in the coverage matrix; no duplicate cash or allocation.</x:v>
      </x:c>
      <x:c r="P1039" s="35" t="str">
        <x:v>All expected records and amounts match; no unexplained error or stale state.</x:v>
      </x:c>
    </x:row>
    <x:row r="1040">
      <x:c r="A1040" s="20" t="str">
        <x:v>RUN-20270703-12</x:v>
      </x:c>
      <x:c r="B1040" s="23" t="n">
        <x:v>46571</x:v>
      </x:c>
      <x:c r="C1040" s="32" t="n">
        <x:v>12</x:v>
      </x:c>
      <x:c r="D1040" s="20" t="str">
        <x:v>Monthly operations</x:v>
      </x:c>
      <x:c r="E1040" s="20" t="str">
        <x:v>Property Manager</x:v>
      </x:c>
      <x:c r="F1040" s="20" t="str">
        <x:v>Web</x:v>
      </x:c>
      <x:c r="G1040" s="20" t="str">
        <x:v>Manual ACH</x:v>
      </x:c>
      <x:c r="H1040" s="35" t="str">
        <x:v>Post and allocate tenant receipt</x:v>
      </x:c>
      <x:c r="I1040" s="35" t="str">
        <x:v>P025; U030; L030</x:v>
      </x:c>
      <x:c r="J1040" s="35" t="str"/>
      <x:c r="K1040" s="35" t="str">
        <x:v>FIN-00565; FIN-00566</x:v>
      </x:c>
      <x:c r="L1040" s="35" t="str">
        <x:v>Open Scan for paper payment or the tenant-account receipt form for electronic payment; verify tenant/lease match, amount, date, method, and reference; confirm once; open ledger detail and allocation.</x:v>
      </x:c>
      <x:c r="M1040" s="35" t="str">
        <x:v>Receipt is append-only, allocated once to the correct rent charge, and visible consistently in Unit, Lease, Tenant Account, Accounting, and portal views.</x:v>
      </x:c>
      <x:c r="N1040" s="35" t="str">
        <x:v>Scan review or form; success result; exact ledger rows; payment detail; accounting delta; portal receipt.</x:v>
      </x:c>
      <x:c r="O1040" s="35" t="str">
        <x:v>Retry the idempotency key once during the quarter assigned in the coverage matrix; no duplicate cash or allocation.</x:v>
      </x:c>
      <x:c r="P1040" s="35" t="str">
        <x:v>All expected records and amounts match; no unexplained error or stale state.</x:v>
      </x:c>
    </x:row>
    <x:row r="1041">
      <x:c r="A1041" s="20" t="str">
        <x:v>RUN-20270703-13</x:v>
      </x:c>
      <x:c r="B1041" s="23" t="n">
        <x:v>46571</x:v>
      </x:c>
      <x:c r="C1041" s="32" t="n">
        <x:v>13</x:v>
      </x:c>
      <x:c r="D1041" s="20" t="str">
        <x:v>Monthly operations</x:v>
      </x:c>
      <x:c r="E1041" s="20" t="str">
        <x:v>Property Manager</x:v>
      </x:c>
      <x:c r="F1041" s="20" t="str">
        <x:v>Mobile</x:v>
      </x:c>
      <x:c r="G1041" s="20" t="str">
        <x:v>Scanned money order</x:v>
      </x:c>
      <x:c r="H1041" s="35" t="str">
        <x:v>Post and allocate tenant receipt</x:v>
      </x:c>
      <x:c r="I1041" s="35" t="str">
        <x:v>P027; U033; L033</x:v>
      </x:c>
      <x:c r="J1041" s="35" t="str">
        <x:v>SCN-0233</x:v>
      </x:c>
      <x:c r="K1041" s="35" t="str">
        <x:v>FIN-00571; FIN-00572</x:v>
      </x:c>
      <x:c r="L1041" s="35" t="str">
        <x:v>Open Scan for paper payment or the tenant-account receipt form for electronic payment; verify tenant/lease match, amount, date, method, and reference; confirm once; open ledger detail and allocation.</x:v>
      </x:c>
      <x:c r="M1041" s="35" t="str">
        <x:v>Receipt is append-only, allocated once to the correct rent charge, and visible consistently in Unit, Lease, Tenant Account, Accounting, and portal views.</x:v>
      </x:c>
      <x:c r="N1041" s="35" t="str">
        <x:v>Scan review or form; success result; exact ledger rows; payment detail; accounting delta; portal receipt.</x:v>
      </x:c>
      <x:c r="O1041" s="35" t="str">
        <x:v>Retry the idempotency key once during the quarter assigned in the coverage matrix; no duplicate cash or allocation.</x:v>
      </x:c>
      <x:c r="P1041" s="35" t="str">
        <x:v>All expected records and amounts match; no unexplained error or stale state.</x:v>
      </x:c>
    </x:row>
    <x:row r="1042">
      <x:c r="A1042" s="20" t="str">
        <x:v>RUN-20270703-14</x:v>
      </x:c>
      <x:c r="B1042" s="23" t="n">
        <x:v>46571</x:v>
      </x:c>
      <x:c r="C1042" s="32" t="n">
        <x:v>14</x:v>
      </x:c>
      <x:c r="D1042" s="20" t="str">
        <x:v>Monthly operations</x:v>
      </x:c>
      <x:c r="E1042" s="20" t="str">
        <x:v>Property Manager</x:v>
      </x:c>
      <x:c r="F1042" s="20" t="str">
        <x:v>Web</x:v>
      </x:c>
      <x:c r="G1042" s="20" t="str">
        <x:v>Scanned check</x:v>
      </x:c>
      <x:c r="H1042" s="35" t="str">
        <x:v>Post and allocate tenant receipt</x:v>
      </x:c>
      <x:c r="I1042" s="35" t="str">
        <x:v>P028; U036; L036</x:v>
      </x:c>
      <x:c r="J1042" s="35" t="str">
        <x:v>SCN-0234</x:v>
      </x:c>
      <x:c r="K1042" s="35" t="str">
        <x:v>FIN-00579; FIN-00580</x:v>
      </x:c>
      <x:c r="L1042" s="35" t="str">
        <x:v>Open Scan for paper payment or the tenant-account receipt form for electronic payment; verify tenant/lease match, amount, date, method, and reference; confirm once; open ledger detail and allocation.</x:v>
      </x:c>
      <x:c r="M1042" s="35" t="str">
        <x:v>Receipt is append-only, allocated once to the correct rent charge, and visible consistently in Unit, Lease, Tenant Account, Accounting, and portal views.</x:v>
      </x:c>
      <x:c r="N1042" s="35" t="str">
        <x:v>Scan review or form; success result; exact ledger rows; payment detail; accounting delta; portal receipt.</x:v>
      </x:c>
      <x:c r="O1042" s="35" t="str">
        <x:v>Retry the idempotency key once during the quarter assigned in the coverage matrix; no duplicate cash or allocation.</x:v>
      </x:c>
      <x:c r="P1042" s="35" t="str">
        <x:v>All expected records and amounts match; no unexplained error or stale state.</x:v>
      </x:c>
    </x:row>
    <x:row r="1043">
      <x:c r="A1043" s="20" t="str">
        <x:v>RUN-20270703-15</x:v>
      </x:c>
      <x:c r="B1043" s="23" t="n">
        <x:v>46571</x:v>
      </x:c>
      <x:c r="C1043" s="32" t="n">
        <x:v>15</x:v>
      </x:c>
      <x:c r="D1043" s="20" t="str">
        <x:v>Monthly operations</x:v>
      </x:c>
      <x:c r="E1043" s="20" t="str">
        <x:v>Property Manager</x:v>
      </x:c>
      <x:c r="F1043" s="20" t="str">
        <x:v>Web</x:v>
      </x:c>
      <x:c r="G1043" s="20" t="str">
        <x:v>Scanned check</x:v>
      </x:c>
      <x:c r="H1043" s="35" t="str">
        <x:v>Post and allocate tenant receipt</x:v>
      </x:c>
      <x:c r="I1043" s="35" t="str">
        <x:v>P029; U038; L044</x:v>
      </x:c>
      <x:c r="J1043" s="35" t="str">
        <x:v>SCN-0236</x:v>
      </x:c>
      <x:c r="K1043" s="35" t="str">
        <x:v>FIN-00587; FIN-00588</x:v>
      </x:c>
      <x:c r="L1043" s="35" t="str">
        <x:v>Open Scan for paper payment or the tenant-account receipt form for electronic payment; verify tenant/lease match, amount, date, method, and reference; confirm once; open ledger detail and allocation.</x:v>
      </x:c>
      <x:c r="M1043" s="35" t="str">
        <x:v>Receipt is append-only, allocated once to the correct rent charge, and visible consistently in Unit, Lease, Tenant Account, Accounting, and portal views.</x:v>
      </x:c>
      <x:c r="N1043" s="35" t="str">
        <x:v>Scan review or form; success result; exact ledger rows; payment detail; accounting delta; portal receipt.</x:v>
      </x:c>
      <x:c r="O1043" s="35" t="str">
        <x:v>Retry the idempotency key once during the quarter assigned in the coverage matrix; no duplicate cash or allocation.</x:v>
      </x:c>
      <x:c r="P1043" s="35" t="str">
        <x:v>All expected records and amounts match; no unexplained error or stale state.</x:v>
      </x:c>
    </x:row>
    <x:row r="1044">
      <x:c r="A1044" s="20" t="str">
        <x:v>RUN-20270703-16</x:v>
      </x:c>
      <x:c r="B1044" s="23" t="n">
        <x:v>46571</x:v>
      </x:c>
      <x:c r="C1044" s="32" t="n">
        <x:v>16</x:v>
      </x:c>
      <x:c r="D1044" s="20" t="str">
        <x:v>Monthly operations</x:v>
      </x:c>
      <x:c r="E1044" s="20" t="str">
        <x:v>Property Manager</x:v>
      </x:c>
      <x:c r="F1044" s="20" t="str">
        <x:v>Mobile</x:v>
      </x:c>
      <x:c r="G1044" s="20" t="str">
        <x:v>Scanned money order</x:v>
      </x:c>
      <x:c r="H1044" s="35" t="str">
        <x:v>Post and allocate tenant receipt</x:v>
      </x:c>
      <x:c r="I1044" s="35" t="str">
        <x:v>P030; U039; L045</x:v>
      </x:c>
      <x:c r="J1044" s="35" t="str">
        <x:v>SCN-0237</x:v>
      </x:c>
      <x:c r="K1044" s="35" t="str">
        <x:v>FIN-00591; FIN-00592</x:v>
      </x:c>
      <x:c r="L1044" s="35" t="str">
        <x:v>Open Scan for paper payment or the tenant-account receipt form for electronic payment; verify tenant/lease match, amount, date, method, and reference; confirm once; open ledger detail and allocation.</x:v>
      </x:c>
      <x:c r="M1044" s="35" t="str">
        <x:v>Receipt is append-only, allocated once to the correct rent charge, and visible consistently in Unit, Lease, Tenant Account, Accounting, and portal views.</x:v>
      </x:c>
      <x:c r="N1044" s="35" t="str">
        <x:v>Scan review or form; success result; exact ledger rows; payment detail; accounting delta; portal receipt.</x:v>
      </x:c>
      <x:c r="O1044" s="35" t="str">
        <x:v>Retry the idempotency key once during the quarter assigned in the coverage matrix; no duplicate cash or allocation.</x:v>
      </x:c>
      <x:c r="P1044" s="35" t="str">
        <x:v>All expected records and amounts match; no unexplained error or stale state.</x:v>
      </x:c>
    </x:row>
    <x:row r="1045">
      <x:c r="A1045" s="20" t="str">
        <x:v>RUN-20270704-01</x:v>
      </x:c>
      <x:c r="B1045" s="23" t="n">
        <x:v>46572</x:v>
      </x:c>
      <x:c r="C1045" s="32" t="n">
        <x:v>1</x:v>
      </x:c>
      <x:c r="D1045" s="20" t="str">
        <x:v>Monthly operations</x:v>
      </x:c>
      <x:c r="E1045" s="20" t="str">
        <x:v>Property Manager</x:v>
      </x:c>
      <x:c r="F1045" s="20" t="str">
        <x:v>Mobile</x:v>
      </x:c>
      <x:c r="G1045" s="20" t="str">
        <x:v>Scanned money order</x:v>
      </x:c>
      <x:c r="H1045" s="35" t="str">
        <x:v>Post and allocate tenant receipt</x:v>
      </x:c>
      <x:c r="I1045" s="35" t="str">
        <x:v>P001; U001; L001</x:v>
      </x:c>
      <x:c r="J1045" s="35" t="str">
        <x:v>SCN-0216</x:v>
      </x:c>
      <x:c r="K1045" s="35" t="str">
        <x:v>FIN-00507; FIN-00508</x:v>
      </x:c>
      <x:c r="L1045" s="35" t="str">
        <x:v>Open Scan for paper payment or the tenant-account receipt form for electronic payment; verify tenant/lease match, amount, date, method, and reference; confirm once; open ledger detail and allocation.</x:v>
      </x:c>
      <x:c r="M1045" s="35" t="str">
        <x:v>Receipt is append-only, allocated once to the correct rent charge, and visible consistently in Unit, Lease, Tenant Account, Accounting, and portal views.</x:v>
      </x:c>
      <x:c r="N1045" s="35" t="str">
        <x:v>Scan review or form; success result; exact ledger rows; payment detail; accounting delta; portal receipt.</x:v>
      </x:c>
      <x:c r="O1045" s="35" t="str">
        <x:v>Retry the idempotency key once during the quarter assigned in the coverage matrix; no duplicate cash or allocation.</x:v>
      </x:c>
      <x:c r="P1045" s="35" t="str">
        <x:v>All expected records and amounts match; no unexplained error or stale state.</x:v>
      </x:c>
    </x:row>
    <x:row r="1046">
      <x:c r="A1046" s="20" t="str">
        <x:v>RUN-20270704-02</x:v>
      </x:c>
      <x:c r="B1046" s="23" t="n">
        <x:v>46572</x:v>
      </x:c>
      <x:c r="C1046" s="32" t="n">
        <x:v>2</x:v>
      </x:c>
      <x:c r="D1046" s="20" t="str">
        <x:v>Monthly operations</x:v>
      </x:c>
      <x:c r="E1046" s="20" t="str">
        <x:v>Property Manager</x:v>
      </x:c>
      <x:c r="F1046" s="20" t="str">
        <x:v>Web</x:v>
      </x:c>
      <x:c r="G1046" s="20" t="str">
        <x:v>Scanned check</x:v>
      </x:c>
      <x:c r="H1046" s="35" t="str">
        <x:v>Post and allocate tenant receipt</x:v>
      </x:c>
      <x:c r="I1046" s="35" t="str">
        <x:v>P004; U004; L004</x:v>
      </x:c>
      <x:c r="J1046" s="35" t="str">
        <x:v>SCN-0217</x:v>
      </x:c>
      <x:c r="K1046" s="35" t="str">
        <x:v>FIN-00513; FIN-00514</x:v>
      </x:c>
      <x:c r="L1046" s="35" t="str">
        <x:v>Open Scan for paper payment or the tenant-account receipt form for electronic payment; verify tenant/lease match, amount, date, method, and reference; confirm once; open ledger detail and allocation.</x:v>
      </x:c>
      <x:c r="M1046" s="35" t="str">
        <x:v>Receipt is append-only, allocated once to the correct rent charge, and visible consistently in Unit, Lease, Tenant Account, Accounting, and portal views.</x:v>
      </x:c>
      <x:c r="N1046" s="35" t="str">
        <x:v>Scan review or form; success result; exact ledger rows; payment detail; accounting delta; portal receipt.</x:v>
      </x:c>
      <x:c r="O1046" s="35" t="str">
        <x:v>Retry the idempotency key once during the quarter assigned in the coverage matrix; no duplicate cash or allocation.</x:v>
      </x:c>
      <x:c r="P1046" s="35" t="str">
        <x:v>All expected records and amounts match; no unexplained error or stale state.</x:v>
      </x:c>
    </x:row>
    <x:row r="1047">
      <x:c r="A1047" s="20" t="str">
        <x:v>RUN-20270704-03</x:v>
      </x:c>
      <x:c r="B1047" s="23" t="n">
        <x:v>46572</x:v>
      </x:c>
      <x:c r="C1047" s="32" t="n">
        <x:v>3</x:v>
      </x:c>
      <x:c r="D1047" s="20" t="str">
        <x:v>Monthly operations</x:v>
      </x:c>
      <x:c r="E1047" s="20" t="str">
        <x:v>Property Manager</x:v>
      </x:c>
      <x:c r="F1047" s="20" t="str">
        <x:v>Mobile</x:v>
      </x:c>
      <x:c r="G1047" s="20" t="str">
        <x:v>Portal card</x:v>
      </x:c>
      <x:c r="H1047" s="35" t="str">
        <x:v>Post and allocate tenant receipt</x:v>
      </x:c>
      <x:c r="I1047" s="35" t="str">
        <x:v>P007; U007; L007</x:v>
      </x:c>
      <x:c r="J1047" s="35" t="str"/>
      <x:c r="K1047" s="35" t="str">
        <x:v>FIN-00517; FIN-00518</x:v>
      </x:c>
      <x:c r="L1047" s="35" t="str">
        <x:v>Open Scan for paper payment or the tenant-account receipt form for electronic payment; verify tenant/lease match, amount, date, method, and reference; confirm once; open ledger detail and allocation.</x:v>
      </x:c>
      <x:c r="M1047" s="35" t="str">
        <x:v>Receipt is append-only, allocated once to the correct rent charge, and visible consistently in Unit, Lease, Tenant Account, Accounting, and portal views.</x:v>
      </x:c>
      <x:c r="N1047" s="35" t="str">
        <x:v>Scan review or form; success result; exact ledger rows; payment detail; accounting delta; portal receipt.</x:v>
      </x:c>
      <x:c r="O1047" s="35" t="str">
        <x:v>Retry the idempotency key once during the quarter assigned in the coverage matrix; no duplicate cash or allocation.</x:v>
      </x:c>
      <x:c r="P1047" s="35" t="str">
        <x:v>All expected records and amounts match; no unexplained error or stale state.</x:v>
      </x:c>
    </x:row>
    <x:row r="1048">
      <x:c r="A1048" s="20" t="str">
        <x:v>RUN-20270704-04</x:v>
      </x:c>
      <x:c r="B1048" s="23" t="n">
        <x:v>46572</x:v>
      </x:c>
      <x:c r="C1048" s="32" t="n">
        <x:v>4</x:v>
      </x:c>
      <x:c r="D1048" s="20" t="str">
        <x:v>Monthly operations</x:v>
      </x:c>
      <x:c r="E1048" s="20" t="str">
        <x:v>Property Manager</x:v>
      </x:c>
      <x:c r="F1048" s="20" t="str">
        <x:v>Web</x:v>
      </x:c>
      <x:c r="G1048" s="20" t="str">
        <x:v>Manual ACH</x:v>
      </x:c>
      <x:c r="H1048" s="35" t="str">
        <x:v>Post and allocate tenant receipt</x:v>
      </x:c>
      <x:c r="I1048" s="35" t="str">
        <x:v>P010; U010; L010</x:v>
      </x:c>
      <x:c r="J1048" s="35" t="str"/>
      <x:c r="K1048" s="35" t="str">
        <x:v>FIN-00523; FIN-00524</x:v>
      </x:c>
      <x:c r="L1048" s="35" t="str">
        <x:v>Open Scan for paper payment or the tenant-account receipt form for electronic payment; verify tenant/lease match, amount, date, method, and reference; confirm once; open ledger detail and allocation.</x:v>
      </x:c>
      <x:c r="M1048" s="35" t="str">
        <x:v>Receipt is append-only, allocated once to the correct rent charge, and visible consistently in Unit, Lease, Tenant Account, Accounting, and portal views.</x:v>
      </x:c>
      <x:c r="N1048" s="35" t="str">
        <x:v>Scan review or form; success result; exact ledger rows; payment detail; accounting delta; portal receipt.</x:v>
      </x:c>
      <x:c r="O1048" s="35" t="str">
        <x:v>Retry the idempotency key once during the quarter assigned in the coverage matrix; no duplicate cash or allocation.</x:v>
      </x:c>
      <x:c r="P1048" s="35" t="str">
        <x:v>All expected records and amounts match; no unexplained error or stale state.</x:v>
      </x:c>
    </x:row>
    <x:row r="1049">
      <x:c r="A1049" s="20" t="str">
        <x:v>RUN-20270704-05</x:v>
      </x:c>
      <x:c r="B1049" s="23" t="n">
        <x:v>46572</x:v>
      </x:c>
      <x:c r="C1049" s="32" t="n">
        <x:v>5</x:v>
      </x:c>
      <x:c r="D1049" s="20" t="str">
        <x:v>Monthly operations</x:v>
      </x:c>
      <x:c r="E1049" s="20" t="str">
        <x:v>Property Manager</x:v>
      </x:c>
      <x:c r="F1049" s="20" t="str">
        <x:v>Web</x:v>
      </x:c>
      <x:c r="G1049" s="20" t="str">
        <x:v>Scanned check</x:v>
      </x:c>
      <x:c r="H1049" s="35" t="str">
        <x:v>Post and allocate tenant receipt</x:v>
      </x:c>
      <x:c r="I1049" s="35" t="str">
        <x:v>P016; U016; L016</x:v>
      </x:c>
      <x:c r="J1049" s="35" t="str">
        <x:v>SCN-0223</x:v>
      </x:c>
      <x:c r="K1049" s="35" t="str">
        <x:v>FIN-00536; FIN-00537</x:v>
      </x:c>
      <x:c r="L1049" s="35" t="str">
        <x:v>Open Scan for paper payment or the tenant-account receipt form for electronic payment; verify tenant/lease match, amount, date, method, and reference; confirm once; open ledger detail and allocation.</x:v>
      </x:c>
      <x:c r="M1049" s="35" t="str">
        <x:v>Receipt is append-only, allocated once to the correct rent charge, and visible consistently in Unit, Lease, Tenant Account, Accounting, and portal views.</x:v>
      </x:c>
      <x:c r="N1049" s="35" t="str">
        <x:v>Scan review or form; success result; exact ledger rows; payment detail; accounting delta; portal receipt.</x:v>
      </x:c>
      <x:c r="O1049" s="35" t="str">
        <x:v>Retry the idempotency key once during the quarter assigned in the coverage matrix; no duplicate cash or allocation.</x:v>
      </x:c>
      <x:c r="P1049" s="35" t="str">
        <x:v>All expected records and amounts match; no unexplained error or stale state.</x:v>
      </x:c>
    </x:row>
    <x:row r="1050">
      <x:c r="A1050" s="20" t="str">
        <x:v>RUN-20270704-06</x:v>
      </x:c>
      <x:c r="B1050" s="23" t="n">
        <x:v>46572</x:v>
      </x:c>
      <x:c r="C1050" s="32" t="n">
        <x:v>6</x:v>
      </x:c>
      <x:c r="D1050" s="20" t="str">
        <x:v>Monthly operations</x:v>
      </x:c>
      <x:c r="E1050" s="20" t="str">
        <x:v>Property Manager</x:v>
      </x:c>
      <x:c r="F1050" s="20" t="str">
        <x:v>Mobile</x:v>
      </x:c>
      <x:c r="G1050" s="20" t="str">
        <x:v>Portal card</x:v>
      </x:c>
      <x:c r="H1050" s="35" t="str">
        <x:v>Post and allocate tenant receipt</x:v>
      </x:c>
      <x:c r="I1050" s="35" t="str">
        <x:v>P019; U019; L019</x:v>
      </x:c>
      <x:c r="J1050" s="35" t="str"/>
      <x:c r="K1050" s="35" t="str">
        <x:v>FIN-00540; FIN-00541</x:v>
      </x:c>
      <x:c r="L1050" s="35" t="str">
        <x:v>Open Scan for paper payment or the tenant-account receipt form for electronic payment; verify tenant/lease match, amount, date, method, and reference; confirm once; open ledger detail and allocation.</x:v>
      </x:c>
      <x:c r="M1050" s="35" t="str">
        <x:v>Receipt is append-only, allocated once to the correct rent charge, and visible consistently in Unit, Lease, Tenant Account, Accounting, and portal views.</x:v>
      </x:c>
      <x:c r="N1050" s="35" t="str">
        <x:v>Scan review or form; success result; exact ledger rows; payment detail; accounting delta; portal receipt.</x:v>
      </x:c>
      <x:c r="O1050" s="35" t="str">
        <x:v>Retry the idempotency key once during the quarter assigned in the coverage matrix; no duplicate cash or allocation.</x:v>
      </x:c>
      <x:c r="P1050" s="35" t="str">
        <x:v>All expected records and amounts match; no unexplained error or stale state.</x:v>
      </x:c>
    </x:row>
    <x:row r="1051">
      <x:c r="A1051" s="20" t="str">
        <x:v>RUN-20270704-07</x:v>
      </x:c>
      <x:c r="B1051" s="23" t="n">
        <x:v>46572</x:v>
      </x:c>
      <x:c r="C1051" s="32" t="n">
        <x:v>7</x:v>
      </x:c>
      <x:c r="D1051" s="20" t="str">
        <x:v>Monthly operations</x:v>
      </x:c>
      <x:c r="E1051" s="20" t="str">
        <x:v>Property Manager</x:v>
      </x:c>
      <x:c r="F1051" s="20" t="str">
        <x:v>Mobile</x:v>
      </x:c>
      <x:c r="G1051" s="20" t="str">
        <x:v>Scanned money order</x:v>
      </x:c>
      <x:c r="H1051" s="35" t="str">
        <x:v>Post and allocate tenant receipt</x:v>
      </x:c>
      <x:c r="I1051" s="35" t="str">
        <x:v>P023; U025; L025</x:v>
      </x:c>
      <x:c r="J1051" s="35" t="str">
        <x:v>SCN-0228</x:v>
      </x:c>
      <x:c r="K1051" s="35" t="str">
        <x:v>FIN-00554; FIN-00555</x:v>
      </x:c>
      <x:c r="L1051" s="35" t="str">
        <x:v>Open Scan for paper payment or the tenant-account receipt form for electronic payment; verify tenant/lease match, amount, date, method, and reference; confirm once; open ledger detail and allocation.</x:v>
      </x:c>
      <x:c r="M1051" s="35" t="str">
        <x:v>Receipt is append-only, allocated once to the correct rent charge, and visible consistently in Unit, Lease, Tenant Account, Accounting, and portal views.</x:v>
      </x:c>
      <x:c r="N1051" s="35" t="str">
        <x:v>Scan review or form; success result; exact ledger rows; payment detail; accounting delta; portal receipt.</x:v>
      </x:c>
      <x:c r="O1051" s="35" t="str">
        <x:v>Retry the idempotency key once during the quarter assigned in the coverage matrix; no duplicate cash or allocation.</x:v>
      </x:c>
      <x:c r="P1051" s="35" t="str">
        <x:v>All expected records and amounts match; no unexplained error or stale state.</x:v>
      </x:c>
    </x:row>
    <x:row r="1052">
      <x:c r="A1052" s="20" t="str">
        <x:v>RUN-20270704-08</x:v>
      </x:c>
      <x:c r="B1052" s="23" t="n">
        <x:v>46572</x:v>
      </x:c>
      <x:c r="C1052" s="32" t="n">
        <x:v>8</x:v>
      </x:c>
      <x:c r="D1052" s="20" t="str">
        <x:v>Monthly operations</x:v>
      </x:c>
      <x:c r="E1052" s="20" t="str">
        <x:v>Property Manager</x:v>
      </x:c>
      <x:c r="F1052" s="20" t="str">
        <x:v>Web</x:v>
      </x:c>
      <x:c r="G1052" s="20" t="str">
        <x:v>Scanned check</x:v>
      </x:c>
      <x:c r="H1052" s="35" t="str">
        <x:v>Post and allocate tenant receipt</x:v>
      </x:c>
      <x:c r="I1052" s="35" t="str">
        <x:v>P024; U028; L028</x:v>
      </x:c>
      <x:c r="J1052" s="35" t="str">
        <x:v>SCN-0230</x:v>
      </x:c>
      <x:c r="K1052" s="35" t="str">
        <x:v>FIN-00561; FIN-00562</x:v>
      </x:c>
      <x:c r="L1052" s="35" t="str">
        <x:v>Open Scan for paper payment or the tenant-account receipt form for electronic payment; verify tenant/lease match, amount, date, method, and reference; confirm once; open ledger detail and allocation.</x:v>
      </x:c>
      <x:c r="M1052" s="35" t="str">
        <x:v>Receipt is append-only, allocated once to the correct rent charge, and visible consistently in Unit, Lease, Tenant Account, Accounting, and portal views.</x:v>
      </x:c>
      <x:c r="N1052" s="35" t="str">
        <x:v>Scan review or form; success result; exact ledger rows; payment detail; accounting delta; portal receipt.</x:v>
      </x:c>
      <x:c r="O1052" s="35" t="str">
        <x:v>Retry the idempotency key once during the quarter assigned in the coverage matrix; no duplicate cash or allocation.</x:v>
      </x:c>
      <x:c r="P1052" s="35" t="str">
        <x:v>All expected records and amounts match; no unexplained error or stale state.</x:v>
      </x:c>
    </x:row>
    <x:row r="1053">
      <x:c r="A1053" s="20" t="str">
        <x:v>RUN-20270704-09</x:v>
      </x:c>
      <x:c r="B1053" s="23" t="n">
        <x:v>46572</x:v>
      </x:c>
      <x:c r="C1053" s="32" t="n">
        <x:v>9</x:v>
      </x:c>
      <x:c r="D1053" s="20" t="str">
        <x:v>Monthly operations</x:v>
      </x:c>
      <x:c r="E1053" s="20" t="str">
        <x:v>Property Manager</x:v>
      </x:c>
      <x:c r="F1053" s="20" t="str">
        <x:v>Mobile</x:v>
      </x:c>
      <x:c r="G1053" s="20" t="str">
        <x:v>Portal card</x:v>
      </x:c>
      <x:c r="H1053" s="35" t="str">
        <x:v>Post and allocate tenant receipt</x:v>
      </x:c>
      <x:c r="I1053" s="35" t="str">
        <x:v>P026; U031; L031</x:v>
      </x:c>
      <x:c r="J1053" s="35" t="str"/>
      <x:c r="K1053" s="35" t="str">
        <x:v>FIN-00567; FIN-00568</x:v>
      </x:c>
      <x:c r="L1053" s="35" t="str">
        <x:v>Open Scan for paper payment or the tenant-account receipt form for electronic payment; verify tenant/lease match, amount, date, method, and reference; confirm once; open ledger detail and allocation.</x:v>
      </x:c>
      <x:c r="M1053" s="35" t="str">
        <x:v>Receipt is append-only, allocated once to the correct rent charge, and visible consistently in Unit, Lease, Tenant Account, Accounting, and portal views.</x:v>
      </x:c>
      <x:c r="N1053" s="35" t="str">
        <x:v>Scan review or form; success result; exact ledger rows; payment detail; accounting delta; portal receipt.</x:v>
      </x:c>
      <x:c r="O1053" s="35" t="str">
        <x:v>Retry the idempotency key once during the quarter assigned in the coverage matrix; no duplicate cash or allocation.</x:v>
      </x:c>
      <x:c r="P1053" s="35" t="str">
        <x:v>All expected records and amounts match; no unexplained error or stale state.</x:v>
      </x:c>
    </x:row>
    <x:row r="1054">
      <x:c r="A1054" s="20" t="str">
        <x:v>RUN-20270704-10</x:v>
      </x:c>
      <x:c r="B1054" s="23" t="n">
        <x:v>46572</x:v>
      </x:c>
      <x:c r="C1054" s="32" t="n">
        <x:v>10</x:v>
      </x:c>
      <x:c r="D1054" s="20" t="str">
        <x:v>Monthly operations</x:v>
      </x:c>
      <x:c r="E1054" s="20" t="str">
        <x:v>Property Manager</x:v>
      </x:c>
      <x:c r="F1054" s="20" t="str">
        <x:v>Web</x:v>
      </x:c>
      <x:c r="G1054" s="20" t="str">
        <x:v>Manual ACH</x:v>
      </x:c>
      <x:c r="H1054" s="35" t="str">
        <x:v>Post and allocate tenant receipt</x:v>
      </x:c>
      <x:c r="I1054" s="35" t="str">
        <x:v>P027; U034; L034</x:v>
      </x:c>
      <x:c r="J1054" s="35" t="str"/>
      <x:c r="K1054" s="35" t="str">
        <x:v>FIN-00575; FIN-00576</x:v>
      </x:c>
      <x:c r="L1054" s="35" t="str">
        <x:v>Open Scan for paper payment or the tenant-account receipt form for electronic payment; verify tenant/lease match, amount, date, method, and reference; confirm once; open ledger detail and allocation.</x:v>
      </x:c>
      <x:c r="M1054" s="35" t="str">
        <x:v>Receipt is append-only, allocated once to the correct rent charge, and visible consistently in Unit, Lease, Tenant Account, Accounting, and portal views.</x:v>
      </x:c>
      <x:c r="N1054" s="35" t="str">
        <x:v>Scan review or form; success result; exact ledger rows; payment detail; accounting delta; portal receipt.</x:v>
      </x:c>
      <x:c r="O1054" s="35" t="str">
        <x:v>Retry the idempotency key once during the quarter assigned in the coverage matrix; no duplicate cash or allocation.</x:v>
      </x:c>
      <x:c r="P1054" s="35" t="str">
        <x:v>All expected records and amounts match; no unexplained error or stale state.</x:v>
      </x:c>
    </x:row>
    <x:row r="1055">
      <x:c r="A1055" s="20" t="str">
        <x:v>RUN-20270704-11</x:v>
      </x:c>
      <x:c r="B1055" s="23" t="n">
        <x:v>46572</x:v>
      </x:c>
      <x:c r="C1055" s="32" t="n">
        <x:v>11</x:v>
      </x:c>
      <x:c r="D1055" s="20" t="str">
        <x:v>Monthly operations</x:v>
      </x:c>
      <x:c r="E1055" s="20" t="str">
        <x:v>Property Manager</x:v>
      </x:c>
      <x:c r="F1055" s="20" t="str">
        <x:v>Mobile</x:v>
      </x:c>
      <x:c r="G1055" s="20" t="str">
        <x:v>Scanned money order</x:v>
      </x:c>
      <x:c r="H1055" s="35" t="str">
        <x:v>Post and allocate tenant receipt</x:v>
      </x:c>
      <x:c r="I1055" s="35" t="str">
        <x:v>P005; U005; L037</x:v>
      </x:c>
      <x:c r="J1055" s="35" t="str">
        <x:v>SCN-0235</x:v>
      </x:c>
      <x:c r="K1055" s="35" t="str">
        <x:v>FIN-00581; FIN-00582</x:v>
      </x:c>
      <x:c r="L1055" s="35" t="str">
        <x:v>Open Scan for paper payment or the tenant-account receipt form for electronic payment; verify tenant/lease match, amount, date, method, and reference; confirm once; open ledger detail and allocation.</x:v>
      </x:c>
      <x:c r="M1055" s="35" t="str">
        <x:v>Receipt is append-only, allocated once to the correct rent charge, and visible consistently in Unit, Lease, Tenant Account, Accounting, and portal views.</x:v>
      </x:c>
      <x:c r="N1055" s="35" t="str">
        <x:v>Scan review or form; success result; exact ledger rows; payment detail; accounting delta; portal receipt.</x:v>
      </x:c>
      <x:c r="O1055" s="35" t="str">
        <x:v>Retry the idempotency key once during the quarter assigned in the coverage matrix; no duplicate cash or allocation.</x:v>
      </x:c>
      <x:c r="P1055" s="35" t="str">
        <x:v>All expected records and amounts match; no unexplained error or stale state.</x:v>
      </x:c>
    </x:row>
    <x:row r="1056">
      <x:c r="A1056" s="20" t="str">
        <x:v>RUN-20270704-12</x:v>
      </x:c>
      <x:c r="B1056" s="23" t="n">
        <x:v>46572</x:v>
      </x:c>
      <x:c r="C1056" s="32" t="n">
        <x:v>12</x:v>
      </x:c>
      <x:c r="D1056" s="20" t="str">
        <x:v>Monthly operations</x:v>
      </x:c>
      <x:c r="E1056" s="20" t="str">
        <x:v>Property Manager</x:v>
      </x:c>
      <x:c r="F1056" s="20" t="str">
        <x:v>Mobile</x:v>
      </x:c>
      <x:c r="G1056" s="20" t="str">
        <x:v>Portal card</x:v>
      </x:c>
      <x:c r="H1056" s="35" t="str">
        <x:v>Post and allocate tenant receipt</x:v>
      </x:c>
      <x:c r="I1056" s="35" t="str">
        <x:v>P029; U037; L043</x:v>
      </x:c>
      <x:c r="J1056" s="35" t="str"/>
      <x:c r="K1056" s="35" t="str">
        <x:v>FIN-00585; FIN-00586</x:v>
      </x:c>
      <x:c r="L1056" s="35" t="str">
        <x:v>Open Scan for paper payment or the tenant-account receipt form for electronic payment; verify tenant/lease match, amount, date, method, and reference; confirm once; open ledger detail and allocation.</x:v>
      </x:c>
      <x:c r="M1056" s="35" t="str">
        <x:v>Receipt is append-only, allocated once to the correct rent charge, and visible consistently in Unit, Lease, Tenant Account, Accounting, and portal views.</x:v>
      </x:c>
      <x:c r="N1056" s="35" t="str">
        <x:v>Scan review or form; success result; exact ledger rows; payment detail; accounting delta; portal receipt.</x:v>
      </x:c>
      <x:c r="O1056" s="35" t="str">
        <x:v>Retry the idempotency key once during the quarter assigned in the coverage matrix; no duplicate cash or allocation.</x:v>
      </x:c>
      <x:c r="P1056" s="35" t="str">
        <x:v>All expected records and amounts match; no unexplained error or stale state.</x:v>
      </x:c>
    </x:row>
    <x:row r="1057">
      <x:c r="A1057" s="20" t="str">
        <x:v>RUN-20270705-01</x:v>
      </x:c>
      <x:c r="B1057" s="23" t="n">
        <x:v>46573</x:v>
      </x:c>
      <x:c r="C1057" s="32" t="n">
        <x:v>1</x:v>
      </x:c>
      <x:c r="D1057" s="20" t="str">
        <x:v>Monthly operations</x:v>
      </x:c>
      <x:c r="E1057" s="20" t="str">
        <x:v>Property Manager</x:v>
      </x:c>
      <x:c r="F1057" s="20" t="str">
        <x:v>Web</x:v>
      </x:c>
      <x:c r="G1057" s="20" t="str">
        <x:v>Manual ACH</x:v>
      </x:c>
      <x:c r="H1057" s="35" t="str">
        <x:v>Post and allocate tenant receipt</x:v>
      </x:c>
      <x:c r="I1057" s="35" t="str">
        <x:v>P002; U002; L002</x:v>
      </x:c>
      <x:c r="J1057" s="35" t="str"/>
      <x:c r="K1057" s="35" t="str">
        <x:v>FIN-00509; FIN-00510</x:v>
      </x:c>
      <x:c r="L1057" s="35" t="str">
        <x:v>Open Scan for paper payment or the tenant-account receipt form for electronic payment; verify tenant/lease match, amount, date, method, and reference; confirm once; open ledger detail and allocation.</x:v>
      </x:c>
      <x:c r="M1057" s="35" t="str">
        <x:v>Receipt is append-only, allocated once to the correct rent charge, and visible consistently in Unit, Lease, Tenant Account, Accounting, and portal views.</x:v>
      </x:c>
      <x:c r="N1057" s="35" t="str">
        <x:v>Scan review or form; success result; exact ledger rows; payment detail; accounting delta; portal receipt.</x:v>
      </x:c>
      <x:c r="O1057" s="35" t="str">
        <x:v>Retry the idempotency key once during the quarter assigned in the coverage matrix; no duplicate cash or allocation.</x:v>
      </x:c>
      <x:c r="P1057" s="35" t="str">
        <x:v>All expected records and amounts match; no unexplained error or stale state.</x:v>
      </x:c>
    </x:row>
    <x:row r="1058">
      <x:c r="A1058" s="20" t="str">
        <x:v>RUN-20270705-02</x:v>
      </x:c>
      <x:c r="B1058" s="23" t="n">
        <x:v>46573</x:v>
      </x:c>
      <x:c r="C1058" s="32" t="n">
        <x:v>2</x:v>
      </x:c>
      <x:c r="D1058" s="20" t="str">
        <x:v>Monthly operations</x:v>
      </x:c>
      <x:c r="E1058" s="20" t="str">
        <x:v>Property Manager</x:v>
      </x:c>
      <x:c r="F1058" s="20" t="str">
        <x:v>Web</x:v>
      </x:c>
      <x:c r="G1058" s="20" t="str">
        <x:v>Scanned check</x:v>
      </x:c>
      <x:c r="H1058" s="35" t="str">
        <x:v>Post and allocate tenant receipt</x:v>
      </x:c>
      <x:c r="I1058" s="35" t="str">
        <x:v>P008; U008; L008</x:v>
      </x:c>
      <x:c r="J1058" s="35" t="str">
        <x:v>SCN-0218</x:v>
      </x:c>
      <x:c r="K1058" s="35" t="str">
        <x:v>FIN-00519; FIN-00520</x:v>
      </x:c>
      <x:c r="L1058" s="35" t="str">
        <x:v>Open Scan for paper payment or the tenant-account receipt form for electronic payment; verify tenant/lease match, amount, date, method, and reference; confirm once; open ledger detail and allocation.</x:v>
      </x:c>
      <x:c r="M1058" s="35" t="str">
        <x:v>Receipt is append-only, allocated once to the correct rent charge, and visible consistently in Unit, Lease, Tenant Account, Accounting, and portal views.</x:v>
      </x:c>
      <x:c r="N1058" s="35" t="str">
        <x:v>Scan review or form; success result; exact ledger rows; payment detail; accounting delta; portal receipt.</x:v>
      </x:c>
      <x:c r="O1058" s="35" t="str">
        <x:v>Retry the idempotency key once during the quarter assigned in the coverage matrix; no duplicate cash or allocation.</x:v>
      </x:c>
      <x:c r="P1058" s="35" t="str">
        <x:v>All expected records and amounts match; no unexplained error or stale state.</x:v>
      </x:c>
    </x:row>
    <x:row r="1059">
      <x:c r="A1059" s="20" t="str">
        <x:v>RUN-20270705-03</x:v>
      </x:c>
      <x:c r="B1059" s="23" t="n">
        <x:v>46573</x:v>
      </x:c>
      <x:c r="C1059" s="32" t="n">
        <x:v>3</x:v>
      </x:c>
      <x:c r="D1059" s="20" t="str">
        <x:v>Monthly operations</x:v>
      </x:c>
      <x:c r="E1059" s="20" t="str">
        <x:v>Property Manager</x:v>
      </x:c>
      <x:c r="F1059" s="20" t="str">
        <x:v>Web</x:v>
      </x:c>
      <x:c r="G1059" s="20" t="str">
        <x:v>Scanned check</x:v>
      </x:c>
      <x:c r="H1059" s="35" t="str">
        <x:v>Post and allocate tenant receipt</x:v>
      </x:c>
      <x:c r="I1059" s="35" t="str">
        <x:v>P020; U020; L020</x:v>
      </x:c>
      <x:c r="J1059" s="35" t="str">
        <x:v>SCN-0224</x:v>
      </x:c>
      <x:c r="K1059" s="35" t="str">
        <x:v>FIN-00542; FIN-00543</x:v>
      </x:c>
      <x:c r="L1059" s="35" t="str">
        <x:v>Open Scan for paper payment or the tenant-account receipt form for electronic payment; verify tenant/lease match, amount, date, method, and reference; confirm once; open ledger detail and allocation.</x:v>
      </x:c>
      <x:c r="M1059" s="35" t="str">
        <x:v>Receipt is append-only, allocated once to the correct rent charge, and visible consistently in Unit, Lease, Tenant Account, Accounting, and portal views.</x:v>
      </x:c>
      <x:c r="N1059" s="35" t="str">
        <x:v>Scan review or form; success result; exact ledger rows; payment detail; accounting delta; portal receipt.</x:v>
      </x:c>
      <x:c r="O1059" s="35" t="str">
        <x:v>Retry the idempotency key once during the quarter assigned in the coverage matrix; no duplicate cash or allocation.</x:v>
      </x:c>
      <x:c r="P1059" s="35" t="str">
        <x:v>All expected records and amounts match; no unexplained error or stale state.</x:v>
      </x:c>
    </x:row>
    <x:row r="1060">
      <x:c r="A1060" s="20" t="str">
        <x:v>RUN-20270705-04</x:v>
      </x:c>
      <x:c r="B1060" s="23" t="n">
        <x:v>46573</x:v>
      </x:c>
      <x:c r="C1060" s="32" t="n">
        <x:v>4</x:v>
      </x:c>
      <x:c r="D1060" s="20" t="str">
        <x:v>Monthly operations</x:v>
      </x:c>
      <x:c r="E1060" s="20" t="str">
        <x:v>Property Manager</x:v>
      </x:c>
      <x:c r="F1060" s="20" t="str">
        <x:v>Mobile</x:v>
      </x:c>
      <x:c r="G1060" s="20" t="str">
        <x:v>Portal card</x:v>
      </x:c>
      <x:c r="H1060" s="35" t="str">
        <x:v>Post and allocate tenant receipt</x:v>
      </x:c>
      <x:c r="I1060" s="35" t="str">
        <x:v>P022; U023; L023</x:v>
      </x:c>
      <x:c r="J1060" s="35" t="str"/>
      <x:c r="K1060" s="35" t="str">
        <x:v>FIN-00550; FIN-00551</x:v>
      </x:c>
      <x:c r="L1060" s="35" t="str">
        <x:v>Open Scan for paper payment or the tenant-account receipt form for electronic payment; verify tenant/lease match, amount, date, method, and reference; confirm once; open ledger detail and allocation.</x:v>
      </x:c>
      <x:c r="M1060" s="35" t="str">
        <x:v>Receipt is append-only, allocated once to the correct rent charge, and visible consistently in Unit, Lease, Tenant Account, Accounting, and portal views.</x:v>
      </x:c>
      <x:c r="N1060" s="35" t="str">
        <x:v>Scan review or form; success result; exact ledger rows; payment detail; accounting delta; portal receipt.</x:v>
      </x:c>
      <x:c r="O1060" s="35" t="str">
        <x:v>Retry the idempotency key once during the quarter assigned in the coverage matrix; no duplicate cash or allocation.</x:v>
      </x:c>
      <x:c r="P1060" s="35" t="str">
        <x:v>All expected records and amounts match; no unexplained error or stale state.</x:v>
      </x:c>
    </x:row>
    <x:row r="1061">
      <x:c r="A1061" s="20" t="str">
        <x:v>RUN-20270705-05</x:v>
      </x:c>
      <x:c r="B1061" s="23" t="n">
        <x:v>46573</x:v>
      </x:c>
      <x:c r="C1061" s="32" t="n">
        <x:v>5</x:v>
      </x:c>
      <x:c r="D1061" s="20" t="str">
        <x:v>Monthly operations</x:v>
      </x:c>
      <x:c r="E1061" s="20" t="str">
        <x:v>Property Manager</x:v>
      </x:c>
      <x:c r="F1061" s="20" t="str">
        <x:v>Mobile</x:v>
      </x:c>
      <x:c r="G1061" s="20" t="str">
        <x:v>Scanned money order</x:v>
      </x:c>
      <x:c r="H1061" s="35" t="str">
        <x:v>Post and allocate tenant receipt</x:v>
      </x:c>
      <x:c r="I1061" s="35" t="str">
        <x:v>P025; U029; L029</x:v>
      </x:c>
      <x:c r="J1061" s="35" t="str">
        <x:v>SCN-0231</x:v>
      </x:c>
      <x:c r="K1061" s="35" t="str">
        <x:v>FIN-00563; FIN-00564</x:v>
      </x:c>
      <x:c r="L1061" s="35" t="str">
        <x:v>Open Scan for paper payment or the tenant-account receipt form for electronic payment; verify tenant/lease match, amount, date, method, and reference; confirm once; open ledger detail and allocation.</x:v>
      </x:c>
      <x:c r="M1061" s="35" t="str">
        <x:v>Receipt is append-only, allocated once to the correct rent charge, and visible consistently in Unit, Lease, Tenant Account, Accounting, and portal views.</x:v>
      </x:c>
      <x:c r="N1061" s="35" t="str">
        <x:v>Scan review or form; success result; exact ledger rows; payment detail; accounting delta; portal receipt.</x:v>
      </x:c>
      <x:c r="O1061" s="35" t="str">
        <x:v>Retry the idempotency key once during the quarter assigned in the coverage matrix; no duplicate cash or allocation.</x:v>
      </x:c>
      <x:c r="P1061" s="35" t="str">
        <x:v>All expected records and amounts match; no unexplained error or stale state.</x:v>
      </x:c>
    </x:row>
    <x:row r="1062">
      <x:c r="A1062" s="20" t="str">
        <x:v>RUN-20270705-06</x:v>
      </x:c>
      <x:c r="B1062" s="23" t="n">
        <x:v>46573</x:v>
      </x:c>
      <x:c r="C1062" s="32" t="n">
        <x:v>6</x:v>
      </x:c>
      <x:c r="D1062" s="20" t="str">
        <x:v>Monthly operations</x:v>
      </x:c>
      <x:c r="E1062" s="20" t="str">
        <x:v>Property Manager</x:v>
      </x:c>
      <x:c r="F1062" s="20" t="str">
        <x:v>Web</x:v>
      </x:c>
      <x:c r="G1062" s="20" t="str">
        <x:v>Scanned check</x:v>
      </x:c>
      <x:c r="H1062" s="35" t="str">
        <x:v>Post and allocate tenant receipt</x:v>
      </x:c>
      <x:c r="I1062" s="35" t="str">
        <x:v>P026; U032; L032</x:v>
      </x:c>
      <x:c r="J1062" s="35" t="str">
        <x:v>SCN-0232</x:v>
      </x:c>
      <x:c r="K1062" s="35" t="str">
        <x:v>FIN-00569; FIN-00570</x:v>
      </x:c>
      <x:c r="L1062" s="35" t="str">
        <x:v>Open Scan for paper payment or the tenant-account receipt form for electronic payment; verify tenant/lease match, amount, date, method, and reference; confirm once; open ledger detail and allocation.</x:v>
      </x:c>
      <x:c r="M1062" s="35" t="str">
        <x:v>Receipt is append-only, allocated once to the correct rent charge, and visible consistently in Unit, Lease, Tenant Account, Accounting, and portal views.</x:v>
      </x:c>
      <x:c r="N1062" s="35" t="str">
        <x:v>Scan review or form; success result; exact ledger rows; payment detail; accounting delta; portal receipt.</x:v>
      </x:c>
      <x:c r="O1062" s="35" t="str">
        <x:v>Retry the idempotency key once during the quarter assigned in the coverage matrix; no duplicate cash or allocation.</x:v>
      </x:c>
      <x:c r="P1062" s="35" t="str">
        <x:v>All expected records and amounts match; no unexplained error or stale state.</x:v>
      </x:c>
    </x:row>
    <x:row r="1063">
      <x:c r="A1063" s="20" t="str">
        <x:v>RUN-20270705-07</x:v>
      </x:c>
      <x:c r="B1063" s="23" t="n">
        <x:v>46573</x:v>
      </x:c>
      <x:c r="C1063" s="32" t="n">
        <x:v>7</x:v>
      </x:c>
      <x:c r="D1063" s="20" t="str">
        <x:v>Monthly operations</x:v>
      </x:c>
      <x:c r="E1063" s="20" t="str">
        <x:v>Property Manager</x:v>
      </x:c>
      <x:c r="F1063" s="20" t="str">
        <x:v>Mobile</x:v>
      </x:c>
      <x:c r="G1063" s="20" t="str">
        <x:v>Portal card</x:v>
      </x:c>
      <x:c r="H1063" s="35" t="str">
        <x:v>Post and allocate tenant receipt</x:v>
      </x:c>
      <x:c r="I1063" s="35" t="str">
        <x:v>P028; U035; L035</x:v>
      </x:c>
      <x:c r="J1063" s="35" t="str"/>
      <x:c r="K1063" s="35" t="str">
        <x:v>FIN-00577; FIN-00578</x:v>
      </x:c>
      <x:c r="L1063" s="35" t="str">
        <x:v>Open Scan for paper payment or the tenant-account receipt form for electronic payment; verify tenant/lease match, amount, date, method, and reference; confirm once; open ledger detail and allocation.</x:v>
      </x:c>
      <x:c r="M1063" s="35" t="str">
        <x:v>Receipt is append-only, allocated once to the correct rent charge, and visible consistently in Unit, Lease, Tenant Account, Accounting, and portal views.</x:v>
      </x:c>
      <x:c r="N1063" s="35" t="str">
        <x:v>Scan review or form; success result; exact ledger rows; payment detail; accounting delta; portal receipt.</x:v>
      </x:c>
      <x:c r="O1063" s="35" t="str">
        <x:v>Retry the idempotency key once during the quarter assigned in the coverage matrix; no duplicate cash or allocation.</x:v>
      </x:c>
      <x:c r="P1063" s="35" t="str">
        <x:v>All expected records and amounts match; no unexplained error or stale state.</x:v>
      </x:c>
    </x:row>
    <x:row r="1064">
      <x:c r="A1064" s="20" t="str">
        <x:v>RUN-20270705-08</x:v>
      </x:c>
      <x:c r="B1064" s="23" t="n">
        <x:v>46573</x:v>
      </x:c>
      <x:c r="C1064" s="32" t="n">
        <x:v>8</x:v>
      </x:c>
      <x:c r="D1064" s="20" t="str">
        <x:v>Monthly operations</x:v>
      </x:c>
      <x:c r="E1064" s="20" t="str">
        <x:v>Property Manager</x:v>
      </x:c>
      <x:c r="F1064" s="20" t="str">
        <x:v>Web</x:v>
      </x:c>
      <x:c r="G1064" s="20" t="str">
        <x:v>Manual ACH</x:v>
      </x:c>
      <x:c r="H1064" s="35" t="str">
        <x:v>Post and allocate tenant receipt</x:v>
      </x:c>
      <x:c r="I1064" s="35" t="str">
        <x:v>P014; U014; L038</x:v>
      </x:c>
      <x:c r="J1064" s="35" t="str"/>
      <x:c r="K1064" s="35" t="str">
        <x:v>FIN-00583; FIN-00584</x:v>
      </x:c>
      <x:c r="L1064" s="35" t="str">
        <x:v>Open Scan for paper payment or the tenant-account receipt form for electronic payment; verify tenant/lease match, amount, date, method, and reference; confirm once; open ledger detail and allocation.</x:v>
      </x:c>
      <x:c r="M1064" s="35" t="str">
        <x:v>Receipt is append-only, allocated once to the correct rent charge, and visible consistently in Unit, Lease, Tenant Account, Accounting, and portal views.</x:v>
      </x:c>
      <x:c r="N1064" s="35" t="str">
        <x:v>Scan review or form; success result; exact ledger rows; payment detail; accounting delta; portal receipt.</x:v>
      </x:c>
      <x:c r="O1064" s="35" t="str">
        <x:v>Retry the idempotency key once during the quarter assigned in the coverage matrix; no duplicate cash or allocation.</x:v>
      </x:c>
      <x:c r="P1064" s="35" t="str">
        <x:v>All expected records and amounts match; no unexplained error or stale state.</x:v>
      </x:c>
    </x:row>
    <x:row r="1065">
      <x:c r="A1065" s="20" t="str">
        <x:v>RUN-20270705-09</x:v>
      </x:c>
      <x:c r="B1065" s="23" t="n">
        <x:v>46573</x:v>
      </x:c>
      <x:c r="C1065" s="32" t="n">
        <x:v>9</x:v>
      </x:c>
      <x:c r="D1065" s="20" t="str">
        <x:v>Weekly operations</x:v>
      </x:c>
      <x:c r="E1065" s="20" t="str">
        <x:v>Property Manager</x:v>
      </x:c>
      <x:c r="F1065" s="20" t="str">
        <x:v>Mobile</x:v>
      </x:c>
      <x:c r="G1065" s="20" t="str">
        <x:v>Scan-first</x:v>
      </x:c>
      <x:c r="H1065" s="35" t="str">
        <x:v>Create and triage maintenance request</x:v>
      </x:c>
      <x:c r="I1065" s="35" t="str">
        <x:v>P025; U030; WO-2027-027</x:v>
      </x:c>
      <x:c r="J1065" s="35" t="str">
        <x:v>SCN-0394</x:v>
      </x:c>
      <x:c r="K1065" s="35" t="str"/>
      <x:c r="L1065" s="35" t="str">
        <x:v>Capture the tenant note/photo; review yard cleanup; confirm; set responsibility; dispatch Hardware House; create an appointment and verify the tenant notification.</x:v>
      </x:c>
      <x:c r="M1065" s="35" t="str">
        <x:v>Work order, status timeline, responsibility, vendor dispatch, appointment, notification, and Unit context are linked once.</x:v>
      </x:c>
      <x:c r="N1065" s="35" t="str">
        <x:v>Scan review; work order detail/timeline; dispatch; appointment; notification; tenant portal view.</x:v>
      </x:c>
      <x:c r="O1065" s="35" t="str">
        <x:v>Cancel one dispatch each quarter, reassign once, and prove status/history remains append-only.</x:v>
      </x:c>
      <x:c r="P1065" s="35" t="str">
        <x:v>All expected records and amounts match; no unexplained error or stale state.</x:v>
      </x:c>
    </x:row>
    <x:row r="1066">
      <x:c r="A1066" s="20" t="str">
        <x:v>RUN-20270705-10</x:v>
      </x:c>
      <x:c r="B1066" s="23" t="n">
        <x:v>46573</x:v>
      </x:c>
      <x:c r="C1066" s="32" t="n">
        <x:v>10</x:v>
      </x:c>
      <x:c r="D1066" s="20" t="str">
        <x:v>Role and screen certification</x:v>
      </x:c>
      <x:c r="E1066" s="20" t="str">
        <x:v>Applicant / public user</x:v>
      </x:c>
      <x:c r="F1066" s="20" t="str">
        <x:v>Web</x:v>
      </x:c>
      <x:c r="G1066" s="20" t="str">
        <x:v>Normal persona navigation</x:v>
      </x:c>
      <x:c r="H1066" s="35" t="str">
        <x:v>Use every permitted action and state on /register</x:v>
      </x:c>
      <x:c r="I1066" s="35" t="str">
        <x:v>SCR-097; ROLE-177</x:v>
      </x:c>
      <x:c r="J1066" s="35" t="str"/>
      <x:c r="K1066" s="35" t="str"/>
      <x:c r="L106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66" s="35" t="str">
        <x:v>The persona can use every allowed action with only its assigned properties/relationships. Hidden or disabled actions explain why; an adjacent unauthorized persona is denied without metadata leakage.</x:v>
      </x:c>
      <x:c r="N1066" s="35" t="str">
        <x:v>Persona/experience; navigation entry; desktop or device screenshots; result state; persisted read-back; audit/history; authorized and denied network result.</x:v>
      </x:c>
      <x:c r="O1066" s="35" t="str">
        <x:v>Open the direct URL or deep link with an adjacent unauthorized persona and with stale scope; both fail closed and land safely without mutation.</x:v>
      </x:c>
      <x:c r="P1066" s="35" t="str">
        <x:v>All expected records and amounts match; no unexplained error or stale state.</x:v>
      </x:c>
    </x:row>
    <x:row r="1067">
      <x:c r="A1067" s="20" t="str">
        <x:v>RUN-20270705-11</x:v>
      </x:c>
      <x:c r="B1067" s="23" t="n">
        <x:v>46573</x:v>
      </x:c>
      <x:c r="C1067" s="32" t="n">
        <x:v>11</x:v>
      </x:c>
      <x:c r="D1067" s="20" t="str">
        <x:v>Field certification</x:v>
      </x:c>
      <x:c r="E1067" s="20" t="str">
        <x:v>Property Manager</x:v>
      </x:c>
      <x:c r="F1067" s="20" t="str">
        <x:v>Web</x:v>
      </x:c>
      <x:c r="G1067" s="20" t="str">
        <x:v>Manual field-by-field</x:v>
      </x:c>
      <x:c r="H1067" s="35" t="str">
        <x:v>Fill, save, reload, edit, and validate every declared field on /messages</x:v>
      </x:c>
      <x:c r="I1067" s="35" t="str">
        <x:v>FLD-0523; FLD-0524; FLD-0525; FLD-0526</x:v>
      </x:c>
      <x:c r="J1067" s="35" t="str"/>
      <x:c r="K1067" s="35" t="str"/>
      <x:c r="L1067" s="35" t="str">
        <x:v>Use the source-derived Field Inventory. Enter non-default realistic values in every control (Select-8; Select-9; conversation-compose-subject; conversation-compose-body); submit; reload or relaunch; compare every value; edit each mutable field; verify the paired client; then run required, format, length, range, boundary, optional-null, and stale-submit checks.</x:v>
      </x:c>
      <x:c r="M1067" s="35" t="str">
        <x:v>All 4 inventoried controls persist exact normalized values, invalid values stay unsaved with clear errors, and hidden/unauthorized fields cannot be altered.</x:v>
      </x:c>
      <x:c r="N1067" s="35" t="str">
        <x:v>Before/after form screenshots; FLD IDs; API response; reloaded UI; paired-client read-back; database/audit evidence; negative validation result.</x:v>
      </x:c>
      <x:c r="O1067" s="35" t="str">
        <x:v>Use a duplicate submit and one simulated network interruption; one atomic mutation or none, never partial state.</x:v>
      </x:c>
      <x:c r="P1067" s="35" t="str">
        <x:v>All expected records and amounts match; no unexplained error or stale state.</x:v>
      </x:c>
    </x:row>
    <x:row r="1068">
      <x:c r="A1068" s="20" t="str">
        <x:v>RUN-20270705-12</x:v>
      </x:c>
      <x:c r="B1068" s="23" t="n">
        <x:v>46573</x:v>
      </x:c>
      <x:c r="C1068" s="32" t="n">
        <x:v>12</x:v>
      </x:c>
      <x:c r="D1068" s="20" t="str">
        <x:v>Field certification</x:v>
      </x:c>
      <x:c r="E1068" s="20" t="str">
        <x:v>Maintenance Technician</x:v>
      </x:c>
      <x:c r="F1068" s="20" t="str">
        <x:v>Web</x:v>
      </x:c>
      <x:c r="G1068" s="20" t="str">
        <x:v>Manual field-by-field</x:v>
      </x:c>
      <x:c r="H1068" s="35" t="str">
        <x:v>Fill, save, reload, edit, and validate every declared field on /my-work/[id]</x:v>
      </x:c>
      <x:c r="I1068" s="35" t="str">
        <x:v>FLD-0527</x:v>
      </x:c>
      <x:c r="J1068" s="35" t="str"/>
      <x:c r="K1068" s="35" t="str"/>
      <x:c r="L1068" s="35" t="str">
        <x:v>Use the source-derived Field Inventory. Enter non-default realistic values in every control (assignment-progress-status); submit; reload or relaunch; compare every value; edit each mutable field; verify the paired client; then run required, format, length, range, boundary, optional-null, and stale-submit checks.</x:v>
      </x:c>
      <x:c r="M1068" s="35" t="str">
        <x:v>All 1 inventoried controls persist exact normalized values, invalid values stay unsaved with clear errors, and hidden/unauthorized fields cannot be altered.</x:v>
      </x:c>
      <x:c r="N1068" s="35" t="str">
        <x:v>Before/after form screenshots; FLD IDs; API response; reloaded UI; paired-client read-back; database/audit evidence; negative validation result.</x:v>
      </x:c>
      <x:c r="O1068" s="35" t="str">
        <x:v>Use a duplicate submit and one simulated network interruption; one atomic mutation or none, never partial state.</x:v>
      </x:c>
      <x:c r="P1068" s="35" t="str">
        <x:v>All expected records and amounts match; no unexplained error or stale state.</x:v>
      </x:c>
    </x:row>
    <x:row r="1069">
      <x:c r="A1069" s="20" t="str">
        <x:v>RUN-20270705-13</x:v>
      </x:c>
      <x:c r="B1069" s="23" t="n">
        <x:v>46573</x:v>
      </x:c>
      <x:c r="C1069" s="32" t="n">
        <x:v>13</x:v>
      </x:c>
      <x:c r="D1069" s="20" t="str">
        <x:v>Surface coverage</x:v>
      </x:c>
      <x:c r="E1069" s="20" t="str">
        <x:v>Role appropriate to surface</x:v>
      </x:c>
      <x:c r="F1069" s="20" t="str">
        <x:v>Web</x:v>
      </x:c>
      <x:c r="G1069" s="20" t="str">
        <x:v>Scan/attachment</x:v>
      </x:c>
      <x:c r="H1069" s="35" t="str">
        <x:v>Scan web pass: Capital asset, depreciation, disposition</x:v>
      </x:c>
      <x:c r="I1069" s="35" t="str">
        <x:v>COV-023</x:v>
      </x:c>
      <x:c r="J1069" s="35" t="str"/>
      <x:c r="K1069" s="35" t="str"/>
      <x:c r="L1069" s="35" t="str">
        <x:v>Capitalize, depreciate, dispose, and prove no duplicate expense/basis and guarded preconditions.</x:v>
      </x:c>
      <x:c r="M1069" s="35" t="str">
        <x:v>The supported workflow completes and persists correctly; if the capability is absent, the exact gap is proven and queued rather than silently skipped.</x:v>
      </x:c>
      <x:c r="N1069" s="35" t="str">
        <x:v>Real UI screenshot/state; submitted values; persisted read-back; cross-client read-back; audit/role/access evidence.</x:v>
      </x:c>
      <x:c r="O1069" s="35" t="str">
        <x:v>Use one invalid value, stale-state retry, or duplicate submission relevant to the form; no partial or duplicate mutation.</x:v>
      </x:c>
      <x:c r="P1069" s="35" t="str">
        <x:v>All expected records and amounts match; no unexplained error or stale state.</x:v>
      </x:c>
    </x:row>
    <x:row r="1070">
      <x:c r="A1070" s="20" t="str">
        <x:v>RUN-20270706-01</x:v>
      </x:c>
      <x:c r="B1070" s="23" t="n">
        <x:v>46574</x:v>
      </x:c>
      <x:c r="C1070" s="32" t="n">
        <x:v>1</x:v>
      </x:c>
      <x:c r="D1070" s="20" t="str">
        <x:v>Weekly operations</x:v>
      </x:c>
      <x:c r="E1070" s="20" t="str">
        <x:v>Property Manager</x:v>
      </x:c>
      <x:c r="F1070" s="20" t="str">
        <x:v>Mobile</x:v>
      </x:c>
      <x:c r="G1070" s="20" t="str">
        <x:v>Scanned receipt/invoice</x:v>
      </x:c>
      <x:c r="H1070" s="35" t="str">
        <x:v>Record, review, allocate, and pay operating expense</x:v>
      </x:c>
      <x:c r="I1070" s="35" t="str">
        <x:v>P025; U030; WO-2027-027</x:v>
      </x:c>
      <x:c r="J1070" s="35" t="str">
        <x:v>SCN-0395</x:v>
      </x:c>
      <x:c r="K1070" s="35" t="str">
        <x:v>FIN-01050</x:v>
      </x:c>
      <x:c r="L1070" s="35" t="str">
        <x:v>Capture or upload the source; verify vendor, date, scope, category, line items, tax, amount, and work-order link; confirm; open detail; verify attachment; compare Money and Property/Unit views.</x:v>
      </x:c>
      <x:c r="M1070" s="35" t="str">
        <x:v>One expense exists at its real operational scope, cash falls once, Schedule E category and allocations agree, and no per-unit copies are created.</x:v>
      </x:c>
      <x:c r="N1070" s="35" t="str">
        <x:v>Source preview; review/form; expense detail; line items; Property/Unit ledger; audit; accounting/report delta.</x:v>
      </x:c>
      <x:c r="O1070" s="35" t="str">
        <x:v>On marked duplicate-invoice cases, re-upload before confirm and prove the product prevents or clearly warns about duplication.</x:v>
      </x:c>
      <x:c r="P1070" s="35" t="str">
        <x:v>All expected records and amounts match; no unexplained error or stale state.</x:v>
      </x:c>
    </x:row>
    <x:row r="1071">
      <x:c r="A1071" s="20" t="str">
        <x:v>RUN-20270706-02</x:v>
      </x:c>
      <x:c r="B1071" s="23" t="n">
        <x:v>46574</x:v>
      </x:c>
      <x:c r="C1071" s="32" t="n">
        <x:v>2</x:v>
      </x:c>
      <x:c r="D1071" s="20" t="str">
        <x:v>Leasing</x:v>
      </x:c>
      <x:c r="E1071" s="20" t="str">
        <x:v>Leasing Agent</x:v>
      </x:c>
      <x:c r="F1071" s="20" t="str">
        <x:v>Web</x:v>
      </x:c>
      <x:c r="G1071" s="20" t="str">
        <x:v>Scan/document + e-sign</x:v>
      </x:c>
      <x:c r="H1071" s="35" t="str">
        <x:v>Issue and execute lease agreement</x:v>
      </x:c>
      <x:c r="I1071" s="35" t="str">
        <x:v>L039; U017</x:v>
      </x:c>
      <x:c r="J1071" s="35" t="str">
        <x:v>SCN-0916</x:v>
      </x:c>
      <x:c r="K1071" s="35" t="str"/>
      <x:c r="L1071" s="35" t="str">
        <x:v>Confirm the scanned/native agreement against the prepared draft; issue a signature packet; view as landlord and tenant; sign; finalize immutable PDF/hash; verify Agreement is Upcoming until effective date.</x:v>
      </x:c>
      <x:c r="M1071" s="35" t="str">
        <x:v>Issued version is immutable, one signature packet is active, audit events are complete, and the effective-status projection follows the simulated date.</x:v>
      </x:c>
      <x:c r="N1071" s="35" t="str">
        <x:v>Draft/issued/final PDFs; hashes; signer states; signature audit; portal view; status before/after effective date.</x:v>
      </x:c>
      <x:c r="O1071" s="35" t="str">
        <x:v>Void one deliberately incorrect issued packet, issue a replacement, and prove the voided artifact remains while no competing active packet exists.</x:v>
      </x:c>
      <x:c r="P1071" s="35" t="str">
        <x:v>All expected records and amounts match; no unexplained error or stale state.</x:v>
      </x:c>
    </x:row>
    <x:row r="1072">
      <x:c r="A1072" s="20" t="str">
        <x:v>RUN-20270706-03</x:v>
      </x:c>
      <x:c r="B1072" s="23" t="n">
        <x:v>46574</x:v>
      </x:c>
      <x:c r="C1072" s="32" t="n">
        <x:v>3</x:v>
      </x:c>
      <x:c r="D1072" s="20" t="str">
        <x:v>Role and screen certification</x:v>
      </x:c>
      <x:c r="E1072" s="20" t="str">
        <x:v>Applicant / public user</x:v>
      </x:c>
      <x:c r="F1072" s="20" t="str">
        <x:v>Web</x:v>
      </x:c>
      <x:c r="G1072" s="20" t="str">
        <x:v>Normal persona navigation</x:v>
      </x:c>
      <x:c r="H1072" s="35" t="str">
        <x:v>Use every permitted action and state on /reset-password</x:v>
      </x:c>
      <x:c r="I1072" s="35" t="str">
        <x:v>SCR-098; ROLE-178</x:v>
      </x:c>
      <x:c r="J1072" s="35" t="str"/>
      <x:c r="K1072" s="35" t="str"/>
      <x:c r="L107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72" s="35" t="str">
        <x:v>The persona can use every allowed action with only its assigned properties/relationships. Hidden or disabled actions explain why; an adjacent unauthorized persona is denied without metadata leakage.</x:v>
      </x:c>
      <x:c r="N1072" s="35" t="str">
        <x:v>Persona/experience; navigation entry; desktop or device screenshots; result state; persisted read-back; audit/history; authorized and denied network result.</x:v>
      </x:c>
      <x:c r="O1072" s="35" t="str">
        <x:v>Open the direct URL or deep link with an adjacent unauthorized persona and with stale scope; both fail closed and land safely without mutation.</x:v>
      </x:c>
      <x:c r="P1072" s="35" t="str">
        <x:v>All expected records and amounts match; no unexplained error or stale state.</x:v>
      </x:c>
    </x:row>
    <x:row r="1073">
      <x:c r="A1073" s="20" t="str">
        <x:v>RUN-20270706-04</x:v>
      </x:c>
      <x:c r="B1073" s="23" t="n">
        <x:v>46574</x:v>
      </x:c>
      <x:c r="C1073" s="32" t="n">
        <x:v>4</x:v>
      </x:c>
      <x:c r="D1073" s="20" t="str">
        <x:v>Field certification</x:v>
      </x:c>
      <x:c r="E1073" s="20" t="str">
        <x:v>Maintenance Technician</x:v>
      </x:c>
      <x:c r="F1073" s="20" t="str">
        <x:v>Web</x:v>
      </x:c>
      <x:c r="G1073" s="20" t="str">
        <x:v>Manual field-by-field</x:v>
      </x:c>
      <x:c r="H1073" s="35" t="str">
        <x:v>Fill, save, reload, edit, and validate every declared field on /my-work/[id]</x:v>
      </x:c>
      <x:c r="I1073" s="35" t="str">
        <x:v>FLD-0528; FLD-0529; FLD-0530; FLD-0531</x:v>
      </x:c>
      <x:c r="J1073" s="35" t="str"/>
      <x:c r="K1073" s="35" t="str"/>
      <x:c r="L1073" s="35" t="str">
        <x:v>Use the source-derived Field Inventory. Enter non-default realistic values in every control (assignment-progress-note; entryKind; quantity; unit); submit; reload or relaunch; compare every value; edit each mutable field; verify the paired client; then run required, format, length, range, boundary, optional-null, and stale-submit checks.</x:v>
      </x:c>
      <x:c r="M1073" s="35" t="str">
        <x:v>All 4 inventoried controls persist exact normalized values, invalid values stay unsaved with clear errors, and hidden/unauthorized fields cannot be altered.</x:v>
      </x:c>
      <x:c r="N1073" s="35" t="str">
        <x:v>Before/after form screenshots; FLD IDs; API response; reloaded UI; paired-client read-back; database/audit evidence; negative validation result.</x:v>
      </x:c>
      <x:c r="O1073" s="35" t="str">
        <x:v>Use a duplicate submit and one simulated network interruption; one atomic mutation or none, never partial state.</x:v>
      </x:c>
      <x:c r="P1073" s="35" t="str">
        <x:v>All expected records and amounts match; no unexplained error or stale state.</x:v>
      </x:c>
    </x:row>
    <x:row r="1074">
      <x:c r="A1074" s="20" t="str">
        <x:v>RUN-20270706-05</x:v>
      </x:c>
      <x:c r="B1074" s="23" t="n">
        <x:v>46574</x:v>
      </x:c>
      <x:c r="C1074" s="32" t="n">
        <x:v>5</x:v>
      </x:c>
      <x:c r="D1074" s="20" t="str">
        <x:v>Surface coverage</x:v>
      </x:c>
      <x:c r="E1074" s="20" t="str">
        <x:v>Role appropriate to surface</x:v>
      </x:c>
      <x:c r="F1074" s="20" t="str">
        <x:v>Mobile</x:v>
      </x:c>
      <x:c r="G1074" s="20" t="str">
        <x:v>Scan/attachment</x:v>
      </x:c>
      <x:c r="H1074" s="35" t="str">
        <x:v>Scan mobile pass: Capital asset, depreciation, disposition</x:v>
      </x:c>
      <x:c r="I1074" s="35" t="str">
        <x:v>COV-023</x:v>
      </x:c>
      <x:c r="J1074" s="35" t="str"/>
      <x:c r="K1074" s="35" t="str"/>
      <x:c r="L1074" s="35" t="str">
        <x:v>Capitalize, depreciate, dispose, and prove no duplicate expense/basis and guarded preconditions.</x:v>
      </x:c>
      <x:c r="M1074" s="35" t="str">
        <x:v>The supported workflow completes and persists correctly; if the capability is absent, the exact gap is proven and queued rather than silently skipped.</x:v>
      </x:c>
      <x:c r="N1074" s="35" t="str">
        <x:v>Real UI screenshot/state; submitted values; persisted read-back; cross-client read-back; audit/role/access evidence.</x:v>
      </x:c>
      <x:c r="O1074" s="35" t="str">
        <x:v>Use one invalid value, stale-state retry, or duplicate submission relevant to the form; no partial or duplicate mutation.</x:v>
      </x:c>
      <x:c r="P1074" s="35" t="str">
        <x:v>All expected records and amounts match; no unexplained error or stale state.</x:v>
      </x:c>
    </x:row>
    <x:row r="1075">
      <x:c r="A1075" s="20" t="str">
        <x:v>RUN-20270707-01</x:v>
      </x:c>
      <x:c r="B1075" s="23" t="n">
        <x:v>46575</x:v>
      </x:c>
      <x:c r="C1075" s="32" t="n">
        <x:v>1</x:v>
      </x:c>
      <x:c r="D1075" s="20" t="str">
        <x:v>Field certification</x:v>
      </x:c>
      <x:c r="E1075" s="20" t="str">
        <x:v>Maintenance Technician</x:v>
      </x:c>
      <x:c r="F1075" s="20" t="str">
        <x:v>Web</x:v>
      </x:c>
      <x:c r="G1075" s="20" t="str">
        <x:v>Manual field-by-field</x:v>
      </x:c>
      <x:c r="H1075" s="35" t="str">
        <x:v>Fill, save, reload, edit, and validate every declared field on /my-work/[id]</x:v>
      </x:c>
      <x:c r="I1075" s="35" t="str">
        <x:v>FLD-0532; FLD-0533; FLD-0534</x:v>
      </x:c>
      <x:c r="J1075" s="35" t="str"/>
      <x:c r="K1075" s="35" t="str"/>
      <x:c r="L1075" s="35" t="str">
        <x:v>Use the source-derived Field Inventory. Enter non-default realistic values in every control (input-6; entryNote; message); submit; reload or relaunch; compare every value; edit each mutable field; verify the paired client; then run required, format, length, range, boundary, optional-null, and stale-submit checks.</x:v>
      </x:c>
      <x:c r="M1075" s="35" t="str">
        <x:v>All 3 inventoried controls persist exact normalized values, invalid values stay unsaved with clear errors, and hidden/unauthorized fields cannot be altered.</x:v>
      </x:c>
      <x:c r="N1075" s="35" t="str">
        <x:v>Before/after form screenshots; FLD IDs; API response; reloaded UI; paired-client read-back; database/audit evidence; negative validation result.</x:v>
      </x:c>
      <x:c r="O1075" s="35" t="str">
        <x:v>Use a duplicate submit and one simulated network interruption; one atomic mutation or none, never partial state.</x:v>
      </x:c>
      <x:c r="P1075" s="35" t="str">
        <x:v>All expected records and amounts match; no unexplained error or stale state.</x:v>
      </x:c>
    </x:row>
    <x:row r="1076">
      <x:c r="A1076" s="20" t="str">
        <x:v>RUN-20270707-02</x:v>
      </x:c>
      <x:c r="B1076" s="23" t="n">
        <x:v>46575</x:v>
      </x:c>
      <x:c r="C1076" s="32" t="n">
        <x:v>2</x:v>
      </x:c>
      <x:c r="D1076" s="20" t="str">
        <x:v>Field certification</x:v>
      </x:c>
      <x:c r="E1076" s="20" t="str">
        <x:v>Property Manager</x:v>
      </x:c>
      <x:c r="F1076" s="20" t="str">
        <x:v>Web</x:v>
      </x:c>
      <x:c r="G1076" s="20" t="str">
        <x:v>Manual field-by-field</x:v>
      </x:c>
      <x:c r="H1076" s="35" t="str">
        <x:v>Fill, save, reload, edit, and validate every declared field on /notices</x:v>
      </x:c>
      <x:c r="I1076" s="35" t="str">
        <x:v>FLD-0535</x:v>
      </x:c>
      <x:c r="J1076" s="35" t="str"/>
      <x:c r="K1076" s="35" t="str"/>
      <x:c r="L1076" s="35" t="str">
        <x:v>Use the source-derived Field Inventory. Enter non-default realistic values in every control (statusFilter); submit; reload or relaunch; compare every value; edit each mutable field; verify the paired client; then run required, format, length, range, boundary, optional-null, and stale-submit checks.</x:v>
      </x:c>
      <x:c r="M1076" s="35" t="str">
        <x:v>All 1 inventoried controls persist exact normalized values, invalid values stay unsaved with clear errors, and hidden/unauthorized fields cannot be altered.</x:v>
      </x:c>
      <x:c r="N1076" s="35" t="str">
        <x:v>Before/after form screenshots; FLD IDs; API response; reloaded UI; paired-client read-back; database/audit evidence; negative validation result.</x:v>
      </x:c>
      <x:c r="O1076" s="35" t="str">
        <x:v>Use a duplicate submit and one simulated network interruption; one atomic mutation or none, never partial state.</x:v>
      </x:c>
      <x:c r="P1076" s="35" t="str">
        <x:v>All expected records and amounts match; no unexplained error or stale state.</x:v>
      </x:c>
    </x:row>
    <x:row r="1077">
      <x:c r="A1077" s="20" t="str">
        <x:v>RUN-20270708-01</x:v>
      </x:c>
      <x:c r="B1077" s="23" t="n">
        <x:v>46576</x:v>
      </x:c>
      <x:c r="C1077" s="32" t="n">
        <x:v>1</x:v>
      </x:c>
      <x:c r="D1077" s="20" t="str">
        <x:v>Monthly operations</x:v>
      </x:c>
      <x:c r="E1077" s="20" t="str">
        <x:v>Property Manager</x:v>
      </x:c>
      <x:c r="F1077" s="20" t="str">
        <x:v>Web</x:v>
      </x:c>
      <x:c r="G1077" s="20" t="str">
        <x:v>Scanned check</x:v>
      </x:c>
      <x:c r="H1077" s="35" t="str">
        <x:v>Post and allocate tenant receipt</x:v>
      </x:c>
      <x:c r="I1077" s="35" t="str">
        <x:v>P013; U013; L013</x:v>
      </x:c>
      <x:c r="J1077" s="35" t="str">
        <x:v>SCN-0222</x:v>
      </x:c>
      <x:c r="K1077" s="35" t="str">
        <x:v>FIN-00532; FIN-00533</x:v>
      </x:c>
      <x:c r="L1077" s="35" t="str">
        <x:v>Open Scan for paper payment or the tenant-account receipt form for electronic payment; verify tenant/lease match, amount, date, method, and reference; confirm once; open ledger detail and allocation.</x:v>
      </x:c>
      <x:c r="M1077" s="35" t="str">
        <x:v>Receipt is append-only, allocated once to the correct rent charge, and visible consistently in Unit, Lease, Tenant Account, Accounting, and portal views.</x:v>
      </x:c>
      <x:c r="N1077" s="35" t="str">
        <x:v>Scan review or form; success result; exact ledger rows; payment detail; accounting delta; portal receipt.</x:v>
      </x:c>
      <x:c r="O1077" s="35" t="str">
        <x:v>Retry the idempotency key once during the quarter assigned in the coverage matrix; no duplicate cash or allocation.</x:v>
      </x:c>
      <x:c r="P1077" s="35" t="str">
        <x:v>All expected records and amounts match; no unexplained error or stale state.</x:v>
      </x:c>
    </x:row>
    <x:row r="1078">
      <x:c r="A1078" s="20" t="str">
        <x:v>RUN-20270708-02</x:v>
      </x:c>
      <x:c r="B1078" s="23" t="n">
        <x:v>46576</x:v>
      </x:c>
      <x:c r="C1078" s="32" t="n">
        <x:v>2</x:v>
      </x:c>
      <x:c r="D1078" s="20" t="str">
        <x:v>Monthly operations</x:v>
      </x:c>
      <x:c r="E1078" s="20" t="str">
        <x:v>Property Manager</x:v>
      </x:c>
      <x:c r="F1078" s="20" t="str">
        <x:v>Mobile</x:v>
      </x:c>
      <x:c r="G1078" s="20" t="str">
        <x:v>Scanned money order</x:v>
      </x:c>
      <x:c r="H1078" s="35" t="str">
        <x:v>Post and allocate tenant receipt</x:v>
      </x:c>
      <x:c r="I1078" s="35" t="str">
        <x:v>P023; U026; L026</x:v>
      </x:c>
      <x:c r="J1078" s="35" t="str">
        <x:v>SCN-0229</x:v>
      </x:c>
      <x:c r="K1078" s="35" t="str">
        <x:v>FIN-00557; FIN-00558</x:v>
      </x:c>
      <x:c r="L1078" s="35" t="str">
        <x:v>Open Scan for paper payment or the tenant-account receipt form for electronic payment; verify tenant/lease match, amount, date, method, and reference; confirm once; open ledger detail and allocation.</x:v>
      </x:c>
      <x:c r="M1078" s="35" t="str">
        <x:v>Receipt is append-only, allocated once to the correct rent charge, and visible consistently in Unit, Lease, Tenant Account, Accounting, and portal views.</x:v>
      </x:c>
      <x:c r="N1078" s="35" t="str">
        <x:v>Scan review or form; success result; exact ledger rows; payment detail; accounting delta; portal receipt.</x:v>
      </x:c>
      <x:c r="O1078" s="35" t="str">
        <x:v>Retry the idempotency key once during the quarter assigned in the coverage matrix; no duplicate cash or allocation.</x:v>
      </x:c>
      <x:c r="P1078" s="35" t="str">
        <x:v>All expected records and amounts match; no unexplained error or stale state.</x:v>
      </x:c>
    </x:row>
    <x:row r="1079">
      <x:c r="A1079" s="20" t="str">
        <x:v>RUN-20270708-03</x:v>
      </x:c>
      <x:c r="B1079" s="23" t="n">
        <x:v>46576</x:v>
      </x:c>
      <x:c r="C1079" s="32" t="n">
        <x:v>3</x:v>
      </x:c>
      <x:c r="D1079" s="20" t="str">
        <x:v>Role and screen certification</x:v>
      </x:c>
      <x:c r="E1079" s="20" t="str">
        <x:v>Workspace Administrator</x:v>
      </x:c>
      <x:c r="F1079" s="20" t="str">
        <x:v>Web</x:v>
      </x:c>
      <x:c r="G1079" s="20" t="str">
        <x:v>Normal persona navigation</x:v>
      </x:c>
      <x:c r="H1079" s="35" t="str">
        <x:v>Use every permitted action and state on /setting-up</x:v>
      </x:c>
      <x:c r="I1079" s="35" t="str">
        <x:v>SCR-099; ROLE-179</x:v>
      </x:c>
      <x:c r="J1079" s="35" t="str"/>
      <x:c r="K1079" s="35" t="str"/>
      <x:c r="L107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79" s="35" t="str">
        <x:v>The persona can use every allowed action with only its assigned properties/relationships. Hidden or disabled actions explain why; an adjacent unauthorized persona is denied without metadata leakage.</x:v>
      </x:c>
      <x:c r="N1079" s="35" t="str">
        <x:v>Persona/experience; navigation entry; desktop or device screenshots; result state; persisted read-back; audit/history; authorized and denied network result.</x:v>
      </x:c>
      <x:c r="O1079" s="35" t="str">
        <x:v>Open the direct URL or deep link with an adjacent unauthorized persona and with stale scope; both fail closed and land safely without mutation.</x:v>
      </x:c>
      <x:c r="P1079" s="35" t="str">
        <x:v>All expected records and amounts match; no unexplained error or stale state.</x:v>
      </x:c>
    </x:row>
    <x:row r="1080">
      <x:c r="A1080" s="20" t="str">
        <x:v>RUN-20270708-04</x:v>
      </x:c>
      <x:c r="B1080" s="23" t="n">
        <x:v>46576</x:v>
      </x:c>
      <x:c r="C1080" s="32" t="n">
        <x:v>4</x:v>
      </x:c>
      <x:c r="D1080" s="20" t="str">
        <x:v>Role and screen certification</x:v>
      </x:c>
      <x:c r="E1080" s="20" t="str">
        <x:v>Property Manager</x:v>
      </x:c>
      <x:c r="F1080" s="20" t="str">
        <x:v>Web</x:v>
      </x:c>
      <x:c r="G1080" s="20" t="str">
        <x:v>Normal persona navigation</x:v>
      </x:c>
      <x:c r="H1080" s="35" t="str">
        <x:v>Use every permitted action and state on /setting-up</x:v>
      </x:c>
      <x:c r="I1080" s="35" t="str">
        <x:v>SCR-099; ROLE-180</x:v>
      </x:c>
      <x:c r="J1080" s="35" t="str"/>
      <x:c r="K1080" s="35" t="str"/>
      <x:c r="L108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80" s="35" t="str">
        <x:v>The persona can use every allowed action with only its assigned properties/relationships. Hidden or disabled actions explain why; an adjacent unauthorized persona is denied without metadata leakage.</x:v>
      </x:c>
      <x:c r="N1080" s="35" t="str">
        <x:v>Persona/experience; navigation entry; desktop or device screenshots; result state; persisted read-back; audit/history; authorized and denied network result.</x:v>
      </x:c>
      <x:c r="O1080" s="35" t="str">
        <x:v>Open the direct URL or deep link with an adjacent unauthorized persona and with stale scope; both fail closed and land safely without mutation.</x:v>
      </x:c>
      <x:c r="P1080" s="35" t="str">
        <x:v>All expected records and amounts match; no unexplained error or stale state.</x:v>
      </x:c>
    </x:row>
    <x:row r="1081">
      <x:c r="A1081" s="20" t="str">
        <x:v>RUN-20270708-05</x:v>
      </x:c>
      <x:c r="B1081" s="23" t="n">
        <x:v>46576</x:v>
      </x:c>
      <x:c r="C1081" s="32" t="n">
        <x:v>5</x:v>
      </x:c>
      <x:c r="D1081" s="20" t="str">
        <x:v>Field certification</x:v>
      </x:c>
      <x:c r="E1081" s="20" t="str">
        <x:v>Property Manager</x:v>
      </x:c>
      <x:c r="F1081" s="20" t="str">
        <x:v>Web</x:v>
      </x:c>
      <x:c r="G1081" s="20" t="str">
        <x:v>Manual field-by-field</x:v>
      </x:c>
      <x:c r="H1081" s="35" t="str">
        <x:v>Fill, save, reload, edit, and validate every declared field on /notices</x:v>
      </x:c>
      <x:c r="I1081" s="35" t="str">
        <x:v>FLD-0536; FLD-0537; FLD-0538; FLD-0539; FLD-0540</x:v>
      </x:c>
      <x:c r="J1081" s="35" t="str"/>
      <x:c r="K1081" s="35" t="str"/>
      <x:c r="L1081" s="35" t="str">
        <x:v>Use the source-derived Field Inventory. Enter non-default realistic values in every control (notice-status-filter; Select-3; Select-4; notice-edit-subject; notice-edit-body); submit; reload or relaunch; compare every value; edit each mutable field; verify the paired client; then run required, format, length, range, boundary, optional-null, and stale-submit checks.</x:v>
      </x:c>
      <x:c r="M1081" s="35" t="str">
        <x:v>All 5 inventoried controls persist exact normalized values, invalid values stay unsaved with clear errors, and hidden/unauthorized fields cannot be altered.</x:v>
      </x:c>
      <x:c r="N1081" s="35" t="str">
        <x:v>Before/after form screenshots; FLD IDs; API response; reloaded UI; paired-client read-back; database/audit evidence; negative validation result.</x:v>
      </x:c>
      <x:c r="O1081" s="35" t="str">
        <x:v>Use a duplicate submit and one simulated network interruption; one atomic mutation or none, never partial state.</x:v>
      </x:c>
      <x:c r="P1081" s="35" t="str">
        <x:v>All expected records and amounts match; no unexplained error or stale state.</x:v>
      </x:c>
    </x:row>
    <x:row r="1082">
      <x:c r="A1082" s="20" t="str">
        <x:v>RUN-20270708-06</x:v>
      </x:c>
      <x:c r="B1082" s="23" t="n">
        <x:v>46576</x:v>
      </x:c>
      <x:c r="C1082" s="32" t="n">
        <x:v>6</x:v>
      </x:c>
      <x:c r="D1082" s="20" t="str">
        <x:v>Surface coverage</x:v>
      </x:c>
      <x:c r="E1082" s="20" t="str">
        <x:v>Role appropriate to surface</x:v>
      </x:c>
      <x:c r="F1082" s="20" t="str">
        <x:v>Web</x:v>
      </x:c>
      <x:c r="G1082" s="20" t="str">
        <x:v>Manual</x:v>
      </x:c>
      <x:c r="H1082" s="35" t="str">
        <x:v>Manual web pass: Owner statements/distributions/approvals</x:v>
      </x:c>
      <x:c r="I1082" s="35" t="str">
        <x:v>COV-024</x:v>
      </x:c>
      <x:c r="J1082" s="35" t="str"/>
      <x:c r="K1082" s="35" t="str"/>
      <x:c r="L1082" s="35" t="str">
        <x:v>Generate statement, owner review/approval, distribution, rejection, PDF open, and cross-owner isolation.</x:v>
      </x:c>
      <x:c r="M1082" s="35" t="str">
        <x:v>The supported workflow completes and persists correctly; if the capability is absent, the exact gap is proven and queued rather than silently skipped.</x:v>
      </x:c>
      <x:c r="N1082" s="35" t="str">
        <x:v>Real UI screenshot/state; submitted values; persisted read-back; cross-client read-back; audit/role/access evidence.</x:v>
      </x:c>
      <x:c r="O1082" s="35" t="str">
        <x:v>Use one invalid value, stale-state retry, or duplicate submission relevant to the form; no partial or duplicate mutation.</x:v>
      </x:c>
      <x:c r="P1082" s="35" t="str">
        <x:v>All expected records and amounts match; no unexplained error or stale state.</x:v>
      </x:c>
    </x:row>
    <x:row r="1083">
      <x:c r="A1083" s="20" t="str">
        <x:v>RUN-20270709-01</x:v>
      </x:c>
      <x:c r="B1083" s="23" t="n">
        <x:v>46577</x:v>
      </x:c>
      <x:c r="C1083" s="32" t="n">
        <x:v>1</x:v>
      </x:c>
      <x:c r="D1083" s="20" t="str">
        <x:v>Role and screen certification</x:v>
      </x:c>
      <x:c r="E1083" s="20" t="str">
        <x:v>Applicant / public user</x:v>
      </x:c>
      <x:c r="F1083" s="20" t="str">
        <x:v>Web</x:v>
      </x:c>
      <x:c r="G1083" s="20" t="str">
        <x:v>Normal persona navigation</x:v>
      </x:c>
      <x:c r="H1083" s="35" t="str">
        <x:v>Use every permitted action and state on /verify-email</x:v>
      </x:c>
      <x:c r="I1083" s="35" t="str">
        <x:v>SCR-100; ROLE-181</x:v>
      </x:c>
      <x:c r="J1083" s="35" t="str"/>
      <x:c r="K1083" s="35" t="str"/>
      <x:c r="L108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83" s="35" t="str">
        <x:v>The persona can use every allowed action with only its assigned properties/relationships. Hidden or disabled actions explain why; an adjacent unauthorized persona is denied without metadata leakage.</x:v>
      </x:c>
      <x:c r="N1083" s="35" t="str">
        <x:v>Persona/experience; navigation entry; desktop or device screenshots; result state; persisted read-back; audit/history; authorized and denied network result.</x:v>
      </x:c>
      <x:c r="O1083" s="35" t="str">
        <x:v>Open the direct URL or deep link with an adjacent unauthorized persona and with stale scope; both fail closed and land safely without mutation.</x:v>
      </x:c>
      <x:c r="P1083" s="35" t="str">
        <x:v>All expected records and amounts match; no unexplained error or stale state.</x:v>
      </x:c>
    </x:row>
    <x:row r="1084">
      <x:c r="A1084" s="20" t="str">
        <x:v>RUN-20270709-02</x:v>
      </x:c>
      <x:c r="B1084" s="23" t="n">
        <x:v>46577</x:v>
      </x:c>
      <x:c r="C1084" s="32" t="n">
        <x:v>2</x:v>
      </x:c>
      <x:c r="D1084" s="20" t="str">
        <x:v>Field certification</x:v>
      </x:c>
      <x:c r="E1084" s="20" t="str">
        <x:v>Property Manager</x:v>
      </x:c>
      <x:c r="F1084" s="20" t="str">
        <x:v>Web</x:v>
      </x:c>
      <x:c r="G1084" s="20" t="str">
        <x:v>Manual field-by-field</x:v>
      </x:c>
      <x:c r="H1084" s="35" t="str">
        <x:v>Fill, save, reload, edit, and validate every declared field on /onboarding</x:v>
      </x:c>
      <x:c r="I1084" s="35" t="str">
        <x:v>FLD-0541; FLD-0542; FLD-0543; FLD-0544</x:v>
      </x:c>
      <x:c r="J1084" s="35" t="str"/>
      <x:c r="K1084" s="35" t="str"/>
      <x:c r="L1084" s="35" t="str">
        <x:v>Use the source-derived Field Inventory. Enter non-default realistic values in every control (ob-portfolio-name; ob-portfolio-company; ob-owner-name; ownerForm.ownerEntityType); submit; reload or relaunch; compare every value; edit each mutable field; verify the paired client; then run required, format, length, range, boundary, optional-null, and stale-submit checks.</x:v>
      </x:c>
      <x:c r="M1084" s="35" t="str">
        <x:v>All 4 inventoried controls persist exact normalized values, invalid values stay unsaved with clear errors, and hidden/unauthorized fields cannot be altered.</x:v>
      </x:c>
      <x:c r="N1084" s="35" t="str">
        <x:v>Before/after form screenshots; FLD IDs; API response; reloaded UI; paired-client read-back; database/audit evidence; negative validation result.</x:v>
      </x:c>
      <x:c r="O1084" s="35" t="str">
        <x:v>Use a duplicate submit and one simulated network interruption; one atomic mutation or none, never partial state.</x:v>
      </x:c>
      <x:c r="P1084" s="35" t="str">
        <x:v>All expected records and amounts match; no unexplained error or stale state.</x:v>
      </x:c>
    </x:row>
    <x:row r="1085">
      <x:c r="A1085" s="20" t="str">
        <x:v>RUN-20270709-03</x:v>
      </x:c>
      <x:c r="B1085" s="23" t="n">
        <x:v>46577</x:v>
      </x:c>
      <x:c r="C1085" s="32" t="n">
        <x:v>3</x:v>
      </x:c>
      <x:c r="D1085" s="20" t="str">
        <x:v>Notification certification</x:v>
      </x:c>
      <x:c r="E1085" s="20" t="str">
        <x:v>Tenant + Property Manager</x:v>
      </x:c>
      <x:c r="F1085" s="20" t="str">
        <x:v>Web + Mobile</x:v>
      </x:c>
      <x:c r="G1085" s="20" t="str">
        <x:v>System event + preference/manual verification</x:v>
      </x:c>
      <x:c r="H1085" s="35" t="str">
        <x:v>Trigger and prove notification: Maintenance request created</x:v>
      </x:c>
      <x:c r="I1085" s="35" t="str">
        <x:v>NTF-025</x:v>
      </x:c>
      <x:c r="J1085" s="35" t="str"/>
      <x:c r="K1085" s="35" t="str"/>
      <x:c r="L1085" s="35" t="str">
        <x:v>Set each recipient's preferences; trigger the real business event; inspect routing and recipient scope; verify unread badge, list item, safe preview, work order deep link, mark-read sync, configured channel outcome, provider failure/retry, and duplicate suppression.</x:v>
      </x:c>
      <x:c r="M1085" s="35" t="str">
        <x:v>Exactly the intended recipients receive one correctly routed notification; disabled optional channels stay silent; deep link opens authorized context; read state synchronizes.</x:v>
      </x:c>
      <x:c r="N1085" s="35" t="str">
        <x:v>Trigger record; routing decision; outbox/delivery status; web/mobile inbox; lock-screen-safe copy; deep-link target; audit/provider retry evidence.</x:v>
      </x:c>
      <x:c r="O1085" s="35" t="str">
        <x:v>Re-run the worker and deliver a duplicate provider callback; no duplicate user-visible event. Attempt the deep link as an unauthorized adjacent role.</x:v>
      </x:c>
      <x:c r="P1085" s="35" t="str">
        <x:v>All expected records and amounts match; no unexplained error or stale state.</x:v>
      </x:c>
    </x:row>
    <x:row r="1086">
      <x:c r="A1086" s="20" t="str">
        <x:v>RUN-20270709-04</x:v>
      </x:c>
      <x:c r="B1086" s="23" t="n">
        <x:v>46577</x:v>
      </x:c>
      <x:c r="C1086" s="32" t="n">
        <x:v>4</x:v>
      </x:c>
      <x:c r="D1086" s="20" t="str">
        <x:v>Surface coverage</x:v>
      </x:c>
      <x:c r="E1086" s="20" t="str">
        <x:v>Role appropriate to surface</x:v>
      </x:c>
      <x:c r="F1086" s="20" t="str">
        <x:v>Mobile</x:v>
      </x:c>
      <x:c r="G1086" s="20" t="str">
        <x:v>Manual</x:v>
      </x:c>
      <x:c r="H1086" s="35" t="str">
        <x:v>Manual mobile pass: Owner statements/distributions/approvals</x:v>
      </x:c>
      <x:c r="I1086" s="35" t="str">
        <x:v>COV-024</x:v>
      </x:c>
      <x:c r="J1086" s="35" t="str"/>
      <x:c r="K1086" s="35" t="str"/>
      <x:c r="L1086" s="35" t="str">
        <x:v>Generate statement, owner review/approval, distribution, rejection, PDF open, and cross-owner isolation.</x:v>
      </x:c>
      <x:c r="M1086" s="35" t="str">
        <x:v>The supported workflow completes and persists correctly; if the capability is absent, the exact gap is proven and queued rather than silently skipped.</x:v>
      </x:c>
      <x:c r="N1086" s="35" t="str">
        <x:v>Real UI screenshot/state; submitted values; persisted read-back; cross-client read-back; audit/role/access evidence.</x:v>
      </x:c>
      <x:c r="O1086" s="35" t="str">
        <x:v>Use one invalid value, stale-state retry, or duplicate submission relevant to the form; no partial or duplicate mutation.</x:v>
      </x:c>
      <x:c r="P1086" s="35" t="str">
        <x:v>All expected records and amounts match; no unexplained error or stale state.</x:v>
      </x:c>
    </x:row>
    <x:row r="1087">
      <x:c r="A1087" s="20" t="str">
        <x:v>RUN-20270712-01</x:v>
      </x:c>
      <x:c r="B1087" s="23" t="n">
        <x:v>46580</x:v>
      </x:c>
      <x:c r="C1087" s="32" t="n">
        <x:v>1</x:v>
      </x:c>
      <x:c r="D1087" s="20" t="str">
        <x:v>Monthly operations</x:v>
      </x:c>
      <x:c r="E1087" s="20" t="str">
        <x:v>Property Manager</x:v>
      </x:c>
      <x:c r="F1087" s="20" t="str">
        <x:v>Mobile</x:v>
      </x:c>
      <x:c r="G1087" s="20" t="str">
        <x:v>Scanned money order</x:v>
      </x:c>
      <x:c r="H1087" s="35" t="str">
        <x:v>Post and allocate tenant receipt</x:v>
      </x:c>
      <x:c r="I1087" s="35" t="str">
        <x:v>P011; U011; L011</x:v>
      </x:c>
      <x:c r="J1087" s="35" t="str">
        <x:v>SCN-0220</x:v>
      </x:c>
      <x:c r="K1087" s="35" t="str">
        <x:v>FIN-00527; FIN-00528</x:v>
      </x:c>
      <x:c r="L1087" s="35" t="str">
        <x:v>Open Scan for paper payment or the tenant-account receipt form for electronic payment; verify tenant/lease match, amount, date, method, and reference; confirm once; open ledger detail and allocation.</x:v>
      </x:c>
      <x:c r="M1087" s="35" t="str">
        <x:v>Receipt is append-only, allocated once to the correct rent charge, and visible consistently in Unit, Lease, Tenant Account, Accounting, and portal views.</x:v>
      </x:c>
      <x:c r="N1087" s="35" t="str">
        <x:v>Scan review or form; success result; exact ledger rows; payment detail; accounting delta; portal receipt.</x:v>
      </x:c>
      <x:c r="O1087" s="35" t="str">
        <x:v>Retry the idempotency key once during the quarter assigned in the coverage matrix; no duplicate cash or allocation.</x:v>
      </x:c>
      <x:c r="P1087" s="35" t="str">
        <x:v>All expected records and amounts match; no unexplained error or stale state.</x:v>
      </x:c>
    </x:row>
    <x:row r="1088">
      <x:c r="A1088" s="20" t="str">
        <x:v>RUN-20270712-02</x:v>
      </x:c>
      <x:c r="B1088" s="23" t="n">
        <x:v>46580</x:v>
      </x:c>
      <x:c r="C1088" s="32" t="n">
        <x:v>2</x:v>
      </x:c>
      <x:c r="D1088" s="20" t="str">
        <x:v>Monthly operations</x:v>
      </x:c>
      <x:c r="E1088" s="20" t="str">
        <x:v>Property Manager</x:v>
      </x:c>
      <x:c r="F1088" s="20" t="str">
        <x:v>Web</x:v>
      </x:c>
      <x:c r="G1088" s="20" t="str">
        <x:v>Scanned check</x:v>
      </x:c>
      <x:c r="H1088" s="35" t="str">
        <x:v>Post and allocate tenant receipt</x:v>
      </x:c>
      <x:c r="I1088" s="35" t="str">
        <x:v>P021; U022; L022</x:v>
      </x:c>
      <x:c r="J1088" s="35" t="str">
        <x:v>SCN-0226</x:v>
      </x:c>
      <x:c r="K1088" s="35" t="str">
        <x:v>FIN-00548; FIN-00549</x:v>
      </x:c>
      <x:c r="L1088" s="35" t="str">
        <x:v>Open Scan for paper payment or the tenant-account receipt form for electronic payment; verify tenant/lease match, amount, date, method, and reference; confirm once; open ledger detail and allocation.</x:v>
      </x:c>
      <x:c r="M1088" s="35" t="str">
        <x:v>Receipt is append-only, allocated once to the correct rent charge, and visible consistently in Unit, Lease, Tenant Account, Accounting, and portal views.</x:v>
      </x:c>
      <x:c r="N1088" s="35" t="str">
        <x:v>Scan review or form; success result; exact ledger rows; payment detail; accounting delta; portal receipt.</x:v>
      </x:c>
      <x:c r="O1088" s="35" t="str">
        <x:v>Retry the idempotency key once during the quarter assigned in the coverage matrix; no duplicate cash or allocation.</x:v>
      </x:c>
      <x:c r="P1088" s="35" t="str">
        <x:v>All expected records and amounts match; no unexplained error or stale state.</x:v>
      </x:c>
    </x:row>
    <x:row r="1089">
      <x:c r="A1089" s="20" t="str">
        <x:v>RUN-20270712-03</x:v>
      </x:c>
      <x:c r="B1089" s="23" t="n">
        <x:v>46580</x:v>
      </x:c>
      <x:c r="C1089" s="32" t="n">
        <x:v>3</x:v>
      </x:c>
      <x:c r="D1089" s="20" t="str">
        <x:v>Monthly operations</x:v>
      </x:c>
      <x:c r="E1089" s="20" t="str">
        <x:v>Property Manager</x:v>
      </x:c>
      <x:c r="F1089" s="20" t="str">
        <x:v>Mobile</x:v>
      </x:c>
      <x:c r="G1089" s="20" t="str">
        <x:v>Portal card</x:v>
      </x:c>
      <x:c r="H1089" s="35" t="str">
        <x:v>Post and allocate tenant receipt</x:v>
      </x:c>
      <x:c r="I1089" s="35" t="str">
        <x:v>P027; U033; L033</x:v>
      </x:c>
      <x:c r="J1089" s="35" t="str"/>
      <x:c r="K1089" s="35" t="str">
        <x:v>FIN-00573; FIN-00574</x:v>
      </x:c>
      <x:c r="L1089" s="35" t="str">
        <x:v>Open Scan for paper payment or the tenant-account receipt form for electronic payment; verify tenant/lease match, amount, date, method, and reference; confirm once; open ledger detail and allocation.</x:v>
      </x:c>
      <x:c r="M1089" s="35" t="str">
        <x:v>Receipt is append-only, allocated once to the correct rent charge, and visible consistently in Unit, Lease, Tenant Account, Accounting, and portal views.</x:v>
      </x:c>
      <x:c r="N1089" s="35" t="str">
        <x:v>Scan review or form; success result; exact ledger rows; payment detail; accounting delta; portal receipt.</x:v>
      </x:c>
      <x:c r="O1089" s="35" t="str">
        <x:v>Retry the idempotency key once during the quarter assigned in the coverage matrix; no duplicate cash or allocation.</x:v>
      </x:c>
      <x:c r="P1089" s="35" t="str">
        <x:v>All expected records and amounts match; no unexplained error or stale state.</x:v>
      </x:c>
    </x:row>
    <x:row r="1090">
      <x:c r="A1090" s="20" t="str">
        <x:v>RUN-20270712-04</x:v>
      </x:c>
      <x:c r="B1090" s="23" t="n">
        <x:v>46580</x:v>
      </x:c>
      <x:c r="C1090" s="32" t="n">
        <x:v>4</x:v>
      </x:c>
      <x:c r="D1090" s="20" t="str">
        <x:v>Monthly operations</x:v>
      </x:c>
      <x:c r="E1090" s="20" t="str">
        <x:v>Property Manager</x:v>
      </x:c>
      <x:c r="F1090" s="20" t="str">
        <x:v>Web</x:v>
      </x:c>
      <x:c r="G1090" s="20" t="str">
        <x:v>Manual ACH</x:v>
      </x:c>
      <x:c r="H1090" s="35" t="str">
        <x:v>Post and allocate tenant receipt</x:v>
      </x:c>
      <x:c r="I1090" s="35" t="str">
        <x:v>P029; U038; L044</x:v>
      </x:c>
      <x:c r="J1090" s="35" t="str"/>
      <x:c r="K1090" s="35" t="str">
        <x:v>FIN-00589; FIN-00590</x:v>
      </x:c>
      <x:c r="L1090" s="35" t="str">
        <x:v>Open Scan for paper payment or the tenant-account receipt form for electronic payment; verify tenant/lease match, amount, date, method, and reference; confirm once; open ledger detail and allocation.</x:v>
      </x:c>
      <x:c r="M1090" s="35" t="str">
        <x:v>Receipt is append-only, allocated once to the correct rent charge, and visible consistently in Unit, Lease, Tenant Account, Accounting, and portal views.</x:v>
      </x:c>
      <x:c r="N1090" s="35" t="str">
        <x:v>Scan review or form; success result; exact ledger rows; payment detail; accounting delta; portal receipt.</x:v>
      </x:c>
      <x:c r="O1090" s="35" t="str">
        <x:v>Retry the idempotency key once during the quarter assigned in the coverage matrix; no duplicate cash or allocation.</x:v>
      </x:c>
      <x:c r="P1090" s="35" t="str">
        <x:v>All expected records and amounts match; no unexplained error or stale state.</x:v>
      </x:c>
    </x:row>
    <x:row r="1091">
      <x:c r="A1091" s="20" t="str">
        <x:v>RUN-20270712-05</x:v>
      </x:c>
      <x:c r="B1091" s="23" t="n">
        <x:v>46580</x:v>
      </x:c>
      <x:c r="C1091" s="32" t="n">
        <x:v>5</x:v>
      </x:c>
      <x:c r="D1091" s="20" t="str">
        <x:v>Weekly operations</x:v>
      </x:c>
      <x:c r="E1091" s="20" t="str">
        <x:v>Property Manager</x:v>
      </x:c>
      <x:c r="F1091" s="20" t="str">
        <x:v>Web</x:v>
      </x:c>
      <x:c r="G1091" s="20" t="str">
        <x:v>Scan-first</x:v>
      </x:c>
      <x:c r="H1091" s="35" t="str">
        <x:v>Create and triage maintenance request</x:v>
      </x:c>
      <x:c r="I1091" s="35" t="str">
        <x:v>P029; U037; WO-2027-028</x:v>
      </x:c>
      <x:c r="J1091" s="35" t="str">
        <x:v>SCN-0396</x:v>
      </x:c>
      <x:c r="K1091" s="35" t="str"/>
      <x:c r="L1091" s="35" t="str">
        <x:v>Capture the tenant note/photo; review roof flashing leak; confirm; set responsibility; dispatch SafeHome Locksmith; create an appointment and verify the tenant notification.</x:v>
      </x:c>
      <x:c r="M1091" s="35" t="str">
        <x:v>Work order, status timeline, responsibility, vendor dispatch, appointment, notification, and Unit context are linked once.</x:v>
      </x:c>
      <x:c r="N1091" s="35" t="str">
        <x:v>Scan review; work order detail/timeline; dispatch; appointment; notification; tenant portal view.</x:v>
      </x:c>
      <x:c r="O1091" s="35" t="str">
        <x:v>Cancel one dispatch each quarter, reassign once, and prove status/history remains append-only.</x:v>
      </x:c>
      <x:c r="P1091" s="35" t="str">
        <x:v>All expected records and amounts match; no unexplained error or stale state.</x:v>
      </x:c>
    </x:row>
    <x:row r="1092">
      <x:c r="A1092" s="20" t="str">
        <x:v>RUN-20270712-06</x:v>
      </x:c>
      <x:c r="B1092" s="23" t="n">
        <x:v>46580</x:v>
      </x:c>
      <x:c r="C1092" s="32" t="n">
        <x:v>6</x:v>
      </x:c>
      <x:c r="D1092" s="20" t="str">
        <x:v>Role and screen certification</x:v>
      </x:c>
      <x:c r="E1092" s="20" t="str">
        <x:v>Applicant / public user</x:v>
      </x:c>
      <x:c r="F1092" s="20" t="str">
        <x:v>Web</x:v>
      </x:c>
      <x:c r="G1092" s="20" t="str">
        <x:v>Normal persona navigation</x:v>
      </x:c>
      <x:c r="H1092" s="35" t="str">
        <x:v>Use every permitted action and state on /welcome</x:v>
      </x:c>
      <x:c r="I1092" s="35" t="str">
        <x:v>SCR-101; ROLE-182</x:v>
      </x:c>
      <x:c r="J1092" s="35" t="str"/>
      <x:c r="K1092" s="35" t="str"/>
      <x:c r="L10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92" s="35" t="str">
        <x:v>The persona can use every allowed action with only its assigned properties/relationships. Hidden or disabled actions explain why; an adjacent unauthorized persona is denied without metadata leakage.</x:v>
      </x:c>
      <x:c r="N1092" s="35" t="str">
        <x:v>Persona/experience; navigation entry; desktop or device screenshots; result state; persisted read-back; audit/history; authorized and denied network result.</x:v>
      </x:c>
      <x:c r="O1092" s="35" t="str">
        <x:v>Open the direct URL or deep link with an adjacent unauthorized persona and with stale scope; both fail closed and land safely without mutation.</x:v>
      </x:c>
      <x:c r="P1092" s="35" t="str">
        <x:v>All expected records and amounts match; no unexplained error or stale state.</x:v>
      </x:c>
    </x:row>
    <x:row r="1093">
      <x:c r="A1093" s="20" t="str">
        <x:v>RUN-20270712-07</x:v>
      </x:c>
      <x:c r="B1093" s="23" t="n">
        <x:v>46580</x:v>
      </x:c>
      <x:c r="C1093" s="32" t="n">
        <x:v>7</x:v>
      </x:c>
      <x:c r="D1093" s="20" t="str">
        <x:v>Field certification</x:v>
      </x:c>
      <x:c r="E1093" s="20" t="str">
        <x:v>Property Manager</x:v>
      </x:c>
      <x:c r="F1093" s="20" t="str">
        <x:v>Web</x:v>
      </x:c>
      <x:c r="G1093" s="20" t="str">
        <x:v>Manual field-by-field</x:v>
      </x:c>
      <x:c r="H1093" s="35" t="str">
        <x:v>Fill, save, reload, edit, and validate every declared field on /onboarding</x:v>
      </x:c>
      <x:c r="I1093" s="35" t="str">
        <x:v>FLD-0545; FLD-0546; FLD-0547; FLD-0548; FLD-0549</x:v>
      </x:c>
      <x:c r="J1093" s="35" t="str"/>
      <x:c r="K1093" s="35" t="str"/>
      <x:c r="L1093" s="35" t="str">
        <x:v>Use the source-derived Field Inventory. Enter non-default realistic values in every control (onboarding-owner-type; Select-6; Select-7; ob-owner-email; ob-owner-taxid); submit; reload or relaunch; compare every value; edit each mutable field; verify the paired client; then run required, format, length, range, boundary, optional-null, and stale-submit checks.</x:v>
      </x:c>
      <x:c r="M1093" s="35" t="str">
        <x:v>All 5 inventoried controls persist exact normalized values, invalid values stay unsaved with clear errors, and hidden/unauthorized fields cannot be altered.</x:v>
      </x:c>
      <x:c r="N1093" s="35" t="str">
        <x:v>Before/after form screenshots; FLD IDs; API response; reloaded UI; paired-client read-back; database/audit evidence; negative validation result.</x:v>
      </x:c>
      <x:c r="O1093" s="35" t="str">
        <x:v>Use a duplicate submit and one simulated network interruption; one atomic mutation or none, never partial state.</x:v>
      </x:c>
      <x:c r="P1093" s="35" t="str">
        <x:v>All expected records and amounts match; no unexplained error or stale state.</x:v>
      </x:c>
    </x:row>
    <x:row r="1094">
      <x:c r="A1094" s="20" t="str">
        <x:v>RUN-20270712-08</x:v>
      </x:c>
      <x:c r="B1094" s="23" t="n">
        <x:v>46580</x:v>
      </x:c>
      <x:c r="C1094" s="32" t="n">
        <x:v>8</x:v>
      </x:c>
      <x:c r="D1094" s="20" t="str">
        <x:v>Surface coverage</x:v>
      </x:c>
      <x:c r="E1094" s="20" t="str">
        <x:v>Role appropriate to surface</x:v>
      </x:c>
      <x:c r="F1094" s="20" t="str">
        <x:v>Web</x:v>
      </x:c>
      <x:c r="G1094" s="20" t="str">
        <x:v>Scan/attachment</x:v>
      </x:c>
      <x:c r="H1094" s="35" t="str">
        <x:v>Scan web pass: Owner statements/distributions/approvals</x:v>
      </x:c>
      <x:c r="I1094" s="35" t="str">
        <x:v>COV-024</x:v>
      </x:c>
      <x:c r="J1094" s="35" t="str"/>
      <x:c r="K1094" s="35" t="str"/>
      <x:c r="L1094" s="35" t="str">
        <x:v>Generate statement, owner review/approval, distribution, rejection, PDF open, and cross-owner isolation.</x:v>
      </x:c>
      <x:c r="M1094" s="35" t="str">
        <x:v>The supported workflow completes and persists correctly; if the capability is absent, the exact gap is proven and queued rather than silently skipped.</x:v>
      </x:c>
      <x:c r="N1094" s="35" t="str">
        <x:v>Real UI screenshot/state; submitted values; persisted read-back; cross-client read-back; audit/role/access evidence.</x:v>
      </x:c>
      <x:c r="O1094" s="35" t="str">
        <x:v>Use one invalid value, stale-state retry, or duplicate submission relevant to the form; no partial or duplicate mutation.</x:v>
      </x:c>
      <x:c r="P1094" s="35" t="str">
        <x:v>All expected records and amounts match; no unexplained error or stale state.</x:v>
      </x:c>
    </x:row>
    <x:row r="1095">
      <x:c r="A1095" s="20" t="str">
        <x:v>RUN-20270713-01</x:v>
      </x:c>
      <x:c r="B1095" s="23" t="n">
        <x:v>46581</x:v>
      </x:c>
      <x:c r="C1095" s="32" t="n">
        <x:v>1</x:v>
      </x:c>
      <x:c r="D1095" s="20" t="str">
        <x:v>Weekly operations</x:v>
      </x:c>
      <x:c r="E1095" s="20" t="str">
        <x:v>Property Manager</x:v>
      </x:c>
      <x:c r="F1095" s="20" t="str">
        <x:v>Web</x:v>
      </x:c>
      <x:c r="G1095" s="20" t="str">
        <x:v>Scanned receipt/invoice</x:v>
      </x:c>
      <x:c r="H1095" s="35" t="str">
        <x:v>Record, review, allocate, and pay operating expense</x:v>
      </x:c>
      <x:c r="I1095" s="35" t="str">
        <x:v>P029; U037; WO-2027-028</x:v>
      </x:c>
      <x:c r="J1095" s="35" t="str">
        <x:v>SCN-0397</x:v>
      </x:c>
      <x:c r="K1095" s="35" t="str">
        <x:v>FIN-01051</x:v>
      </x:c>
      <x:c r="L1095" s="35" t="str">
        <x:v>Capture or upload the source; verify vendor, date, scope, category, line items, tax, amount, and work-order link; confirm; open detail; verify attachment; compare Money and Property/Unit views.</x:v>
      </x:c>
      <x:c r="M1095" s="35" t="str">
        <x:v>One expense exists at its real operational scope, cash falls once, Schedule E category and allocations agree, and no per-unit copies are created.</x:v>
      </x:c>
      <x:c r="N1095" s="35" t="str">
        <x:v>Source preview; review/form; expense detail; line items; Property/Unit ledger; audit; accounting/report delta.</x:v>
      </x:c>
      <x:c r="O1095" s="35" t="str">
        <x:v>On marked duplicate-invoice cases, re-upload before confirm and prove the product prevents or clearly warns about duplication.</x:v>
      </x:c>
      <x:c r="P1095" s="35" t="str">
        <x:v>All expected records and amounts match; no unexplained error or stale state.</x:v>
      </x:c>
    </x:row>
    <x:row r="1096">
      <x:c r="A1096" s="20" t="str">
        <x:v>RUN-20270713-02</x:v>
      </x:c>
      <x:c r="B1096" s="23" t="n">
        <x:v>46581</x:v>
      </x:c>
      <x:c r="C1096" s="32" t="n">
        <x:v>2</x:v>
      </x:c>
      <x:c r="D1096" s="20" t="str">
        <x:v>Field certification</x:v>
      </x:c>
      <x:c r="E1096" s="20" t="str">
        <x:v>Property Manager</x:v>
      </x:c>
      <x:c r="F1096" s="20" t="str">
        <x:v>Web</x:v>
      </x:c>
      <x:c r="G1096" s="20" t="str">
        <x:v>Manual field-by-field</x:v>
      </x:c>
      <x:c r="H1096" s="35" t="str">
        <x:v>Fill, save, reload, edit, and validate every declared field on /onboarding</x:v>
      </x:c>
      <x:c r="I1096" s="35" t="str">
        <x:v>FLD-0550; FLD-0551; FLD-0552; FLD-0553</x:v>
      </x:c>
      <x:c r="J1096" s="35" t="str"/>
      <x:c r="K1096" s="35" t="str"/>
      <x:c r="L1096" s="35" t="str">
        <x:v>Use the source-derived Field Inventory. Enter non-default realistic values in every control (ob-prop-name; ob-prop-city; ob-prop-zip; onboarding-rental-structure); submit; reload or relaunch; compare every value; edit each mutable field; verify the paired client; then run required, format, length, range, boundary, optional-null, and stale-submit checks.</x:v>
      </x:c>
      <x:c r="M1096" s="35" t="str">
        <x:v>All 4 inventoried controls persist exact normalized values, invalid values stay unsaved with clear errors, and hidden/unauthorized fields cannot be altered.</x:v>
      </x:c>
      <x:c r="N1096" s="35" t="str">
        <x:v>Before/after form screenshots; FLD IDs; API response; reloaded UI; paired-client read-back; database/audit evidence; negative validation result.</x:v>
      </x:c>
      <x:c r="O1096" s="35" t="str">
        <x:v>Use a duplicate submit and one simulated network interruption; one atomic mutation or none, never partial state.</x:v>
      </x:c>
      <x:c r="P1096" s="35" t="str">
        <x:v>All expected records and amounts match; no unexplained error or stale state.</x:v>
      </x:c>
    </x:row>
    <x:row r="1097">
      <x:c r="A1097" s="20" t="str">
        <x:v>RUN-20270714-01</x:v>
      </x:c>
      <x:c r="B1097" s="23" t="n">
        <x:v>46582</x:v>
      </x:c>
      <x:c r="C1097" s="32" t="n">
        <x:v>1</x:v>
      </x:c>
      <x:c r="D1097" s="20" t="str">
        <x:v>Role and screen certification</x:v>
      </x:c>
      <x:c r="E1097" s="20" t="str">
        <x:v>Workspace Administrator</x:v>
      </x:c>
      <x:c r="F1097" s="20" t="str">
        <x:v>Mobile</x:v>
      </x:c>
      <x:c r="G1097" s="20" t="str">
        <x:v>Normal persona navigation</x:v>
      </x:c>
      <x:c r="H1097" s="35" t="str">
        <x:v>Use every permitted action and state on core/router/mobile_access_denied_screen.dart</x:v>
      </x:c>
      <x:c r="I1097" s="35" t="str">
        <x:v>SCR-102; ROLE-183</x:v>
      </x:c>
      <x:c r="J1097" s="35" t="str"/>
      <x:c r="K1097" s="35" t="str"/>
      <x:c r="L109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97" s="35" t="str">
        <x:v>The persona can use every allowed action with only its assigned properties/relationships. Hidden or disabled actions explain why; an adjacent unauthorized persona is denied without metadata leakage.</x:v>
      </x:c>
      <x:c r="N1097" s="35" t="str">
        <x:v>Persona/experience; navigation entry; desktop or device screenshots; result state; persisted read-back; audit/history; authorized and denied network result.</x:v>
      </x:c>
      <x:c r="O1097" s="35" t="str">
        <x:v>Open the direct URL or deep link with an adjacent unauthorized persona and with stale scope; both fail closed and land safely without mutation.</x:v>
      </x:c>
      <x:c r="P1097" s="35" t="str">
        <x:v>All expected records and amounts match; no unexplained error or stale state.</x:v>
      </x:c>
    </x:row>
    <x:row r="1098">
      <x:c r="A1098" s="20" t="str">
        <x:v>RUN-20270714-02</x:v>
      </x:c>
      <x:c r="B1098" s="23" t="n">
        <x:v>46582</x:v>
      </x:c>
      <x:c r="C1098" s="32" t="n">
        <x:v>2</x:v>
      </x:c>
      <x:c r="D1098" s="20" t="str">
        <x:v>Role and screen certification</x:v>
      </x:c>
      <x:c r="E1098" s="20" t="str">
        <x:v>Property Manager</x:v>
      </x:c>
      <x:c r="F1098" s="20" t="str">
        <x:v>Mobile</x:v>
      </x:c>
      <x:c r="G1098" s="20" t="str">
        <x:v>Normal persona navigation</x:v>
      </x:c>
      <x:c r="H1098" s="35" t="str">
        <x:v>Use every permitted action and state on core/router/mobile_access_denied_screen.dart</x:v>
      </x:c>
      <x:c r="I1098" s="35" t="str">
        <x:v>SCR-102; ROLE-184</x:v>
      </x:c>
      <x:c r="J1098" s="35" t="str"/>
      <x:c r="K1098" s="35" t="str"/>
      <x:c r="L109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098" s="35" t="str">
        <x:v>The persona can use every allowed action with only its assigned properties/relationships. Hidden or disabled actions explain why; an adjacent unauthorized persona is denied without metadata leakage.</x:v>
      </x:c>
      <x:c r="N1098" s="35" t="str">
        <x:v>Persona/experience; navigation entry; desktop or device screenshots; result state; persisted read-back; audit/history; authorized and denied network result.</x:v>
      </x:c>
      <x:c r="O1098" s="35" t="str">
        <x:v>Open the direct URL or deep link with an adjacent unauthorized persona and with stale scope; both fail closed and land safely without mutation.</x:v>
      </x:c>
      <x:c r="P1098" s="35" t="str">
        <x:v>All expected records and amounts match; no unexplained error or stale state.</x:v>
      </x:c>
    </x:row>
    <x:row r="1099">
      <x:c r="A1099" s="20" t="str">
        <x:v>RUN-20270714-03</x:v>
      </x:c>
      <x:c r="B1099" s="23" t="n">
        <x:v>46582</x:v>
      </x:c>
      <x:c r="C1099" s="32" t="n">
        <x:v>3</x:v>
      </x:c>
      <x:c r="D1099" s="20" t="str">
        <x:v>Field certification</x:v>
      </x:c>
      <x:c r="E1099" s="20" t="str">
        <x:v>Property Manager</x:v>
      </x:c>
      <x:c r="F1099" s="20" t="str">
        <x:v>Web</x:v>
      </x:c>
      <x:c r="G1099" s="20" t="str">
        <x:v>Manual field-by-field</x:v>
      </x:c>
      <x:c r="H1099" s="35" t="str">
        <x:v>Fill, save, reload, edit, and validate every declared field on /onboarding</x:v>
      </x:c>
      <x:c r="I1099" s="35" t="str">
        <x:v>FLD-0554; FLD-0555; FLD-0556; FLD-0557; FLD-0558</x:v>
      </x:c>
      <x:c r="J1099" s="35" t="str"/>
      <x:c r="K1099" s="35" t="str"/>
      <x:c r="L1099" s="35" t="str">
        <x:v>Use the source-derived Field Inventory. Enter non-default realistic values in every control (propertyForm.type; onboarding-property-type; Select-17; Select-18; ob-prop-address2); submit; reload or relaunch; compare every value; edit each mutable field; verify the paired client; then run required, format, length, range, boundary, optional-null, and stale-submit checks.</x:v>
      </x:c>
      <x:c r="M1099" s="35" t="str">
        <x:v>All 5 inventoried controls persist exact normalized values, invalid values stay unsaved with clear errors, and hidden/unauthorized fields cannot be altered.</x:v>
      </x:c>
      <x:c r="N1099" s="35" t="str">
        <x:v>Before/after form screenshots; FLD IDs; API response; reloaded UI; paired-client read-back; database/audit evidence; negative validation result.</x:v>
      </x:c>
      <x:c r="O1099" s="35" t="str">
        <x:v>Use a duplicate submit and one simulated network interruption; one atomic mutation or none, never partial state.</x:v>
      </x:c>
      <x:c r="P1099" s="35" t="str">
        <x:v>All expected records and amounts match; no unexplained error or stale state.</x:v>
      </x:c>
    </x:row>
    <x:row r="1100">
      <x:c r="A1100" s="20" t="str">
        <x:v>RUN-20270714-04</x:v>
      </x:c>
      <x:c r="B1100" s="23" t="n">
        <x:v>46582</x:v>
      </x:c>
      <x:c r="C1100" s="32" t="n">
        <x:v>4</x:v>
      </x:c>
      <x:c r="D1100" s="20" t="str">
        <x:v>Lifecycle certification</x:v>
      </x:c>
      <x:c r="E1100" s="20" t="str">
        <x:v>Property Manager</x:v>
      </x:c>
      <x:c r="F1100" s="20" t="str">
        <x:v>Web + Mobile</x:v>
      </x:c>
      <x:c r="G1100" s="20" t="str">
        <x:v>Manual + scan/attachment where supported</x:v>
      </x:c>
      <x:c r="H1100" s="35" t="str">
        <x:v>Complete the full create/read/edit/lifecycle/delete-safe pass for Recurring expense</x:v>
      </x:c>
      <x:c r="I1100" s="35" t="str">
        <x:v>CRUD-018</x:v>
      </x:c>
      <x:c r="J1100" s="35" t="str"/>
      <x:c r="K1100" s="35" t="str"/>
      <x:c r="L1100" s="35" t="str">
        <x:v>Use a dedicated disposable QA record and execute: create; edit; generate; pause; resume; retire; idempotent clock advance. Fill every field referenced by field-inventory.csv. Verify confirmation copy, cancel path, final path, reload, other-client state, history, and role denial.</x:v>
      </x:c>
      <x:c r="M1100" s="35" t="str">
        <x:v>Every supported transition succeeds exactly once; forbidden destructive actions are guarded; reversible deletion/deactivation works; financial and historical truth is preserved.</x:v>
      </x:c>
      <x:c r="N1100" s="35" t="str">
        <x:v>Entity before/after; both clients; all FLD IDs; audit/history; notifications; authorized and unauthorized personas; API/DB state.</x:v>
      </x:c>
      <x:c r="O1100" s="35" t="str">
        <x:v>Cancel the first destructive confirmation, then repeat and confirm; retry the mutation once; no double transition or orphan.</x:v>
      </x:c>
      <x:c r="P1100" s="35" t="str">
        <x:v>All expected records and amounts match; no unexplained error or stale state.</x:v>
      </x:c>
    </x:row>
    <x:row r="1101">
      <x:c r="A1101" s="20" t="str">
        <x:v>RUN-20270714-05</x:v>
      </x:c>
      <x:c r="B1101" s="23" t="n">
        <x:v>46582</x:v>
      </x:c>
      <x:c r="C1101" s="32" t="n">
        <x:v>5</x:v>
      </x:c>
      <x:c r="D1101" s="20" t="str">
        <x:v>Surface coverage</x:v>
      </x:c>
      <x:c r="E1101" s="20" t="str">
        <x:v>Role appropriate to surface</x:v>
      </x:c>
      <x:c r="F1101" s="20" t="str">
        <x:v>Mobile</x:v>
      </x:c>
      <x:c r="G1101" s="20" t="str">
        <x:v>Scan/attachment</x:v>
      </x:c>
      <x:c r="H1101" s="35" t="str">
        <x:v>Scan mobile pass: Owner statements/distributions/approvals</x:v>
      </x:c>
      <x:c r="I1101" s="35" t="str">
        <x:v>COV-024</x:v>
      </x:c>
      <x:c r="J1101" s="35" t="str"/>
      <x:c r="K1101" s="35" t="str"/>
      <x:c r="L1101" s="35" t="str">
        <x:v>Generate statement, owner review/approval, distribution, rejection, PDF open, and cross-owner isolation.</x:v>
      </x:c>
      <x:c r="M1101" s="35" t="str">
        <x:v>The supported workflow completes and persists correctly; if the capability is absent, the exact gap is proven and queued rather than silently skipped.</x:v>
      </x:c>
      <x:c r="N1101" s="35" t="str">
        <x:v>Real UI screenshot/state; submitted values; persisted read-back; cross-client read-back; audit/role/access evidence.</x:v>
      </x:c>
      <x:c r="O1101" s="35" t="str">
        <x:v>Use one invalid value, stale-state retry, or duplicate submission relevant to the form; no partial or duplicate mutation.</x:v>
      </x:c>
      <x:c r="P1101" s="35" t="str">
        <x:v>All expected records and amounts match; no unexplained error or stale state.</x:v>
      </x:c>
    </x:row>
    <x:row r="1102">
      <x:c r="A1102" s="20" t="str">
        <x:v>RUN-20270715-01</x:v>
      </x:c>
      <x:c r="B1102" s="23" t="n">
        <x:v>46583</x:v>
      </x:c>
      <x:c r="C1102" s="32" t="n">
        <x:v>1</x:v>
      </x:c>
      <x:c r="D1102" s="20" t="str">
        <x:v>Weekly operations</x:v>
      </x:c>
      <x:c r="E1102" s="20" t="str">
        <x:v>Property Manager</x:v>
      </x:c>
      <x:c r="F1102" s="20" t="str">
        <x:v>Mobile</x:v>
      </x:c>
      <x:c r="G1102" s="20" t="str">
        <x:v>Scanned receipt/invoice</x:v>
      </x:c>
      <x:c r="H1102" s="35" t="str">
        <x:v>Record, review, allocate, and pay operating expense</x:v>
      </x:c>
      <x:c r="I1102" s="35" t="str">
        <x:v>P021; Property scope; </x:v>
      </x:c>
      <x:c r="J1102" s="35" t="str">
        <x:v>SCN-0615</x:v>
      </x:c>
      <x:c r="K1102" s="35" t="str">
        <x:v>FIN-01288</x:v>
      </x:c>
      <x:c r="L1102" s="35" t="str">
        <x:v>Capture or upload the source; verify vendor, date, scope, category, line items, tax, amount, and work-order link; confirm; open detail; verify attachment; compare Money and Property/Unit views.</x:v>
      </x:c>
      <x:c r="M1102" s="35" t="str">
        <x:v>One expense exists at its real operational scope, cash falls once, Schedule E category and allocations agree, and no per-unit copies are created.</x:v>
      </x:c>
      <x:c r="N1102" s="35" t="str">
        <x:v>Source preview; review/form; expense detail; line items; Property/Unit ledger; audit; accounting/report delta.</x:v>
      </x:c>
      <x:c r="O1102" s="35" t="str">
        <x:v>On marked duplicate-invoice cases, re-upload before confirm and prove the product prevents or clearly warns about duplication.</x:v>
      </x:c>
      <x:c r="P1102" s="35" t="str">
        <x:v>All expected records and amounts match; no unexplained error or stale state.</x:v>
      </x:c>
    </x:row>
    <x:row r="1103">
      <x:c r="A1103" s="20" t="str">
        <x:v>RUN-20270715-02</x:v>
      </x:c>
      <x:c r="B1103" s="23" t="n">
        <x:v>46583</x:v>
      </x:c>
      <x:c r="C1103" s="32" t="n">
        <x:v>2</x:v>
      </x:c>
      <x:c r="D1103" s="20" t="str">
        <x:v>Weekly operations</x:v>
      </x:c>
      <x:c r="E1103" s="20" t="str">
        <x:v>Property Manager</x:v>
      </x:c>
      <x:c r="F1103" s="20" t="str">
        <x:v>Web</x:v>
      </x:c>
      <x:c r="G1103" s="20" t="str">
        <x:v>Scanned receipt/invoice</x:v>
      </x:c>
      <x:c r="H1103" s="35" t="str">
        <x:v>Record, review, allocate, and pay operating expense</x:v>
      </x:c>
      <x:c r="I1103" s="35" t="str">
        <x:v>P022; Property scope; </x:v>
      </x:c>
      <x:c r="J1103" s="35" t="str">
        <x:v>SCN-0616</x:v>
      </x:c>
      <x:c r="K1103" s="35" t="str">
        <x:v>FIN-01289</x:v>
      </x:c>
      <x:c r="L1103" s="35" t="str">
        <x:v>Capture or upload the source; verify vendor, date, scope, category, line items, tax, amount, and work-order link; confirm; open detail; verify attachment; compare Money and Property/Unit views.</x:v>
      </x:c>
      <x:c r="M1103" s="35" t="str">
        <x:v>One expense exists at its real operational scope, cash falls once, Schedule E category and allocations agree, and no per-unit copies are created.</x:v>
      </x:c>
      <x:c r="N1103" s="35" t="str">
        <x:v>Source preview; review/form; expense detail; line items; Property/Unit ledger; audit; accounting/report delta.</x:v>
      </x:c>
      <x:c r="O1103" s="35" t="str">
        <x:v>On marked duplicate-invoice cases, re-upload before confirm and prove the product prevents or clearly warns about duplication.</x:v>
      </x:c>
      <x:c r="P1103" s="35" t="str">
        <x:v>All expected records and amounts match; no unexplained error or stale state.</x:v>
      </x:c>
    </x:row>
    <x:row r="1104">
      <x:c r="A1104" s="20" t="str">
        <x:v>RUN-20270715-03</x:v>
      </x:c>
      <x:c r="B1104" s="23" t="n">
        <x:v>46583</x:v>
      </x:c>
      <x:c r="C1104" s="32" t="n">
        <x:v>3</x:v>
      </x:c>
      <x:c r="D1104" s="20" t="str">
        <x:v>Weekly operations</x:v>
      </x:c>
      <x:c r="E1104" s="20" t="str">
        <x:v>Property Manager</x:v>
      </x:c>
      <x:c r="F1104" s="20" t="str">
        <x:v>Mobile</x:v>
      </x:c>
      <x:c r="G1104" s="20" t="str">
        <x:v>Scanned receipt/invoice</x:v>
      </x:c>
      <x:c r="H1104" s="35" t="str">
        <x:v>Record, review, allocate, and pay operating expense</x:v>
      </x:c>
      <x:c r="I1104" s="35" t="str">
        <x:v>P023; Property scope; </x:v>
      </x:c>
      <x:c r="J1104" s="35" t="str">
        <x:v>SCN-0617</x:v>
      </x:c>
      <x:c r="K1104" s="35" t="str">
        <x:v>FIN-01290</x:v>
      </x:c>
      <x:c r="L1104" s="35" t="str">
        <x:v>Capture or upload the source; verify vendor, date, scope, category, line items, tax, amount, and work-order link; confirm; open detail; verify attachment; compare Money and Property/Unit views.</x:v>
      </x:c>
      <x:c r="M1104" s="35" t="str">
        <x:v>One expense exists at its real operational scope, cash falls once, Schedule E category and allocations agree, and no per-unit copies are created.</x:v>
      </x:c>
      <x:c r="N1104" s="35" t="str">
        <x:v>Source preview; review/form; expense detail; line items; Property/Unit ledger; audit; accounting/report delta.</x:v>
      </x:c>
      <x:c r="O1104" s="35" t="str">
        <x:v>On marked duplicate-invoice cases, re-upload before confirm and prove the product prevents or clearly warns about duplication.</x:v>
      </x:c>
      <x:c r="P1104" s="35" t="str">
        <x:v>All expected records and amounts match; no unexplained error or stale state.</x:v>
      </x:c>
    </x:row>
    <x:row r="1105">
      <x:c r="A1105" s="20" t="str">
        <x:v>RUN-20270715-04</x:v>
      </x:c>
      <x:c r="B1105" s="23" t="n">
        <x:v>46583</x:v>
      </x:c>
      <x:c r="C1105" s="32" t="n">
        <x:v>4</x:v>
      </x:c>
      <x:c r="D1105" s="20" t="str">
        <x:v>Weekly operations</x:v>
      </x:c>
      <x:c r="E1105" s="20" t="str">
        <x:v>Property Manager</x:v>
      </x:c>
      <x:c r="F1105" s="20" t="str">
        <x:v>Web</x:v>
      </x:c>
      <x:c r="G1105" s="20" t="str">
        <x:v>Scanned receipt/invoice</x:v>
      </x:c>
      <x:c r="H1105" s="35" t="str">
        <x:v>Record, review, allocate, and pay operating expense</x:v>
      </x:c>
      <x:c r="I1105" s="35" t="str">
        <x:v>P024; Property scope; </x:v>
      </x:c>
      <x:c r="J1105" s="35" t="str">
        <x:v>SCN-0618</x:v>
      </x:c>
      <x:c r="K1105" s="35" t="str">
        <x:v>FIN-01291</x:v>
      </x:c>
      <x:c r="L1105" s="35" t="str">
        <x:v>Capture or upload the source; verify vendor, date, scope, category, line items, tax, amount, and work-order link; confirm; open detail; verify attachment; compare Money and Property/Unit views.</x:v>
      </x:c>
      <x:c r="M1105" s="35" t="str">
        <x:v>One expense exists at its real operational scope, cash falls once, Schedule E category and allocations agree, and no per-unit copies are created.</x:v>
      </x:c>
      <x:c r="N1105" s="35" t="str">
        <x:v>Source preview; review/form; expense detail; line items; Property/Unit ledger; audit; accounting/report delta.</x:v>
      </x:c>
      <x:c r="O1105" s="35" t="str">
        <x:v>On marked duplicate-invoice cases, re-upload before confirm and prove the product prevents or clearly warns about duplication.</x:v>
      </x:c>
      <x:c r="P1105" s="35" t="str">
        <x:v>All expected records and amounts match; no unexplained error or stale state.</x:v>
      </x:c>
    </x:row>
    <x:row r="1106">
      <x:c r="A1106" s="20" t="str">
        <x:v>RUN-20270715-05</x:v>
      </x:c>
      <x:c r="B1106" s="23" t="n">
        <x:v>46583</x:v>
      </x:c>
      <x:c r="C1106" s="32" t="n">
        <x:v>5</x:v>
      </x:c>
      <x:c r="D1106" s="20" t="str">
        <x:v>Weekly operations</x:v>
      </x:c>
      <x:c r="E1106" s="20" t="str">
        <x:v>Property Manager</x:v>
      </x:c>
      <x:c r="F1106" s="20" t="str">
        <x:v>Mobile</x:v>
      </x:c>
      <x:c r="G1106" s="20" t="str">
        <x:v>Manual web form</x:v>
      </x:c>
      <x:c r="H1106" s="35" t="str">
        <x:v>Record, review, allocate, and pay operating expense</x:v>
      </x:c>
      <x:c r="I1106" s="35" t="str">
        <x:v>P025; Property scope; </x:v>
      </x:c>
      <x:c r="J1106" s="35" t="str"/>
      <x:c r="K1106" s="35" t="str">
        <x:v>FIN-01292</x:v>
      </x:c>
      <x:c r="L1106" s="35" t="str">
        <x:v>Capture or upload the source; verify vendor, date, scope, category, line items, tax, amount, and work-order link; confirm; open detail; verify attachment; compare Money and Property/Unit views.</x:v>
      </x:c>
      <x:c r="M1106" s="35" t="str">
        <x:v>One expense exists at its real operational scope, cash falls once, Schedule E category and allocations agree, and no per-unit copies are created.</x:v>
      </x:c>
      <x:c r="N1106" s="35" t="str">
        <x:v>Source preview; review/form; expense detail; line items; Property/Unit ledger; audit; accounting/report delta.</x:v>
      </x:c>
      <x:c r="O1106" s="35" t="str">
        <x:v>On marked duplicate-invoice cases, re-upload before confirm and prove the product prevents or clearly warns about duplication.</x:v>
      </x:c>
      <x:c r="P1106" s="35" t="str">
        <x:v>All expected records and amounts match; no unexplained error or stale state.</x:v>
      </x:c>
    </x:row>
    <x:row r="1107">
      <x:c r="A1107" s="20" t="str">
        <x:v>RUN-20270715-06</x:v>
      </x:c>
      <x:c r="B1107" s="23" t="n">
        <x:v>46583</x:v>
      </x:c>
      <x:c r="C1107" s="32" t="n">
        <x:v>6</x:v>
      </x:c>
      <x:c r="D1107" s="20" t="str">
        <x:v>Weekly operations</x:v>
      </x:c>
      <x:c r="E1107" s="20" t="str">
        <x:v>Property Manager</x:v>
      </x:c>
      <x:c r="F1107" s="20" t="str">
        <x:v>Web</x:v>
      </x:c>
      <x:c r="G1107" s="20" t="str">
        <x:v>Scanned receipt/invoice</x:v>
      </x:c>
      <x:c r="H1107" s="35" t="str">
        <x:v>Record, review, allocate, and pay operating expense</x:v>
      </x:c>
      <x:c r="I1107" s="35" t="str">
        <x:v>P026; Property scope; </x:v>
      </x:c>
      <x:c r="J1107" s="35" t="str">
        <x:v>SCN-0619</x:v>
      </x:c>
      <x:c r="K1107" s="35" t="str">
        <x:v>FIN-01293</x:v>
      </x:c>
      <x:c r="L1107" s="35" t="str">
        <x:v>Capture or upload the source; verify vendor, date, scope, category, line items, tax, amount, and work-order link; confirm; open detail; verify attachment; compare Money and Property/Unit views.</x:v>
      </x:c>
      <x:c r="M1107" s="35" t="str">
        <x:v>One expense exists at its real operational scope, cash falls once, Schedule E category and allocations agree, and no per-unit copies are created.</x:v>
      </x:c>
      <x:c r="N1107" s="35" t="str">
        <x:v>Source preview; review/form; expense detail; line items; Property/Unit ledger; audit; accounting/report delta.</x:v>
      </x:c>
      <x:c r="O1107" s="35" t="str">
        <x:v>On marked duplicate-invoice cases, re-upload before confirm and prove the product prevents or clearly warns about duplication.</x:v>
      </x:c>
      <x:c r="P1107" s="35" t="str">
        <x:v>All expected records and amounts match; no unexplained error or stale state.</x:v>
      </x:c>
    </x:row>
    <x:row r="1108">
      <x:c r="A1108" s="20" t="str">
        <x:v>RUN-20270715-07</x:v>
      </x:c>
      <x:c r="B1108" s="23" t="n">
        <x:v>46583</x:v>
      </x:c>
      <x:c r="C1108" s="32" t="n">
        <x:v>7</x:v>
      </x:c>
      <x:c r="D1108" s="20" t="str">
        <x:v>Weekly operations</x:v>
      </x:c>
      <x:c r="E1108" s="20" t="str">
        <x:v>Property Manager</x:v>
      </x:c>
      <x:c r="F1108" s="20" t="str">
        <x:v>Mobile</x:v>
      </x:c>
      <x:c r="G1108" s="20" t="str">
        <x:v>Scanned receipt/invoice</x:v>
      </x:c>
      <x:c r="H1108" s="35" t="str">
        <x:v>Record, review, allocate, and pay operating expense</x:v>
      </x:c>
      <x:c r="I1108" s="35" t="str">
        <x:v>P027; Property scope; </x:v>
      </x:c>
      <x:c r="J1108" s="35" t="str">
        <x:v>SCN-0620</x:v>
      </x:c>
      <x:c r="K1108" s="35" t="str">
        <x:v>FIN-01294</x:v>
      </x:c>
      <x:c r="L1108" s="35" t="str">
        <x:v>Capture or upload the source; verify vendor, date, scope, category, line items, tax, amount, and work-order link; confirm; open detail; verify attachment; compare Money and Property/Unit views.</x:v>
      </x:c>
      <x:c r="M1108" s="35" t="str">
        <x:v>One expense exists at its real operational scope, cash falls once, Schedule E category and allocations agree, and no per-unit copies are created.</x:v>
      </x:c>
      <x:c r="N1108" s="35" t="str">
        <x:v>Source preview; review/form; expense detail; line items; Property/Unit ledger; audit; accounting/report delta.</x:v>
      </x:c>
      <x:c r="O1108" s="35" t="str">
        <x:v>On marked duplicate-invoice cases, re-upload before confirm and prove the product prevents or clearly warns about duplication.</x:v>
      </x:c>
      <x:c r="P1108" s="35" t="str">
        <x:v>All expected records and amounts match; no unexplained error or stale state.</x:v>
      </x:c>
    </x:row>
    <x:row r="1109">
      <x:c r="A1109" s="20" t="str">
        <x:v>RUN-20270715-08</x:v>
      </x:c>
      <x:c r="B1109" s="23" t="n">
        <x:v>46583</x:v>
      </x:c>
      <x:c r="C1109" s="32" t="n">
        <x:v>8</x:v>
      </x:c>
      <x:c r="D1109" s="20" t="str">
        <x:v>Weekly operations</x:v>
      </x:c>
      <x:c r="E1109" s="20" t="str">
        <x:v>Property Manager</x:v>
      </x:c>
      <x:c r="F1109" s="20" t="str">
        <x:v>Web</x:v>
      </x:c>
      <x:c r="G1109" s="20" t="str">
        <x:v>Scanned receipt/invoice</x:v>
      </x:c>
      <x:c r="H1109" s="35" t="str">
        <x:v>Record, review, allocate, and pay operating expense</x:v>
      </x:c>
      <x:c r="I1109" s="35" t="str">
        <x:v>P028; Property scope; </x:v>
      </x:c>
      <x:c r="J1109" s="35" t="str">
        <x:v>SCN-0621</x:v>
      </x:c>
      <x:c r="K1109" s="35" t="str">
        <x:v>FIN-01295</x:v>
      </x:c>
      <x:c r="L1109" s="35" t="str">
        <x:v>Capture or upload the source; verify vendor, date, scope, category, line items, tax, amount, and work-order link; confirm; open detail; verify attachment; compare Money and Property/Unit views.</x:v>
      </x:c>
      <x:c r="M1109" s="35" t="str">
        <x:v>One expense exists at its real operational scope, cash falls once, Schedule E category and allocations agree, and no per-unit copies are created.</x:v>
      </x:c>
      <x:c r="N1109" s="35" t="str">
        <x:v>Source preview; review/form; expense detail; line items; Property/Unit ledger; audit; accounting/report delta.</x:v>
      </x:c>
      <x:c r="O1109" s="35" t="str">
        <x:v>On marked duplicate-invoice cases, re-upload before confirm and prove the product prevents or clearly warns about duplication.</x:v>
      </x:c>
      <x:c r="P1109" s="35" t="str">
        <x:v>All expected records and amounts match; no unexplained error or stale state.</x:v>
      </x:c>
    </x:row>
    <x:row r="1110">
      <x:c r="A1110" s="20" t="str">
        <x:v>RUN-20270715-09</x:v>
      </x:c>
      <x:c r="B1110" s="23" t="n">
        <x:v>46583</x:v>
      </x:c>
      <x:c r="C1110" s="32" t="n">
        <x:v>9</x:v>
      </x:c>
      <x:c r="D1110" s="20" t="str">
        <x:v>Weekly operations</x:v>
      </x:c>
      <x:c r="E1110" s="20" t="str">
        <x:v>Property Manager</x:v>
      </x:c>
      <x:c r="F1110" s="20" t="str">
        <x:v>Mobile</x:v>
      </x:c>
      <x:c r="G1110" s="20" t="str">
        <x:v>Scanned receipt/invoice</x:v>
      </x:c>
      <x:c r="H1110" s="35" t="str">
        <x:v>Record, review, allocate, and pay operating expense</x:v>
      </x:c>
      <x:c r="I1110" s="35" t="str">
        <x:v>P029; Property scope; </x:v>
      </x:c>
      <x:c r="J1110" s="35" t="str">
        <x:v>SCN-0622</x:v>
      </x:c>
      <x:c r="K1110" s="35" t="str">
        <x:v>FIN-01296</x:v>
      </x:c>
      <x:c r="L1110" s="35" t="str">
        <x:v>Capture or upload the source; verify vendor, date, scope, category, line items, tax, amount, and work-order link; confirm; open detail; verify attachment; compare Money and Property/Unit views.</x:v>
      </x:c>
      <x:c r="M1110" s="35" t="str">
        <x:v>One expense exists at its real operational scope, cash falls once, Schedule E category and allocations agree, and no per-unit copies are created.</x:v>
      </x:c>
      <x:c r="N1110" s="35" t="str">
        <x:v>Source preview; review/form; expense detail; line items; Property/Unit ledger; audit; accounting/report delta.</x:v>
      </x:c>
      <x:c r="O1110" s="35" t="str">
        <x:v>On marked duplicate-invoice cases, re-upload before confirm and prove the product prevents or clearly warns about duplication.</x:v>
      </x:c>
      <x:c r="P1110" s="35" t="str">
        <x:v>All expected records and amounts match; no unexplained error or stale state.</x:v>
      </x:c>
    </x:row>
    <x:row r="1111">
      <x:c r="A1111" s="20" t="str">
        <x:v>RUN-20270715-10</x:v>
      </x:c>
      <x:c r="B1111" s="23" t="n">
        <x:v>46583</x:v>
      </x:c>
      <x:c r="C1111" s="32" t="n">
        <x:v>10</x:v>
      </x:c>
      <x:c r="D1111" s="20" t="str">
        <x:v>Weekly operations</x:v>
      </x:c>
      <x:c r="E1111" s="20" t="str">
        <x:v>Property Manager</x:v>
      </x:c>
      <x:c r="F1111" s="20" t="str">
        <x:v>Web</x:v>
      </x:c>
      <x:c r="G1111" s="20" t="str">
        <x:v>Manual mobile form</x:v>
      </x:c>
      <x:c r="H1111" s="35" t="str">
        <x:v>Record, review, allocate, and pay operating expense</x:v>
      </x:c>
      <x:c r="I1111" s="35" t="str">
        <x:v>P030; Property scope; </x:v>
      </x:c>
      <x:c r="J1111" s="35" t="str"/>
      <x:c r="K1111" s="35" t="str">
        <x:v>FIN-01297</x:v>
      </x:c>
      <x:c r="L1111" s="35" t="str">
        <x:v>Capture or upload the source; verify vendor, date, scope, category, line items, tax, amount, and work-order link; confirm; open detail; verify attachment; compare Money and Property/Unit views.</x:v>
      </x:c>
      <x:c r="M1111" s="35" t="str">
        <x:v>One expense exists at its real operational scope, cash falls once, Schedule E category and allocations agree, and no per-unit copies are created.</x:v>
      </x:c>
      <x:c r="N1111" s="35" t="str">
        <x:v>Source preview; review/form; expense detail; line items; Property/Unit ledger; audit; accounting/report delta.</x:v>
      </x:c>
      <x:c r="O1111" s="35" t="str">
        <x:v>On marked duplicate-invoice cases, re-upload before confirm and prove the product prevents or clearly warns about duplication.</x:v>
      </x:c>
      <x:c r="P1111" s="35" t="str">
        <x:v>All expected records and amounts match; no unexplained error or stale state.</x:v>
      </x:c>
    </x:row>
    <x:row r="1112">
      <x:c r="A1112" s="20" t="str">
        <x:v>RUN-20270715-11</x:v>
      </x:c>
      <x:c r="B1112" s="23" t="n">
        <x:v>46583</x:v>
      </x:c>
      <x:c r="C1112" s="32" t="n">
        <x:v>11</x:v>
      </x:c>
      <x:c r="D1112" s="20" t="str">
        <x:v>Role and screen certification</x:v>
      </x:c>
      <x:c r="E1112" s="20" t="str">
        <x:v>Workspace Administrator</x:v>
      </x:c>
      <x:c r="F1112" s="20" t="str">
        <x:v>Mobile</x:v>
      </x:c>
      <x:c r="G1112" s="20" t="str">
        <x:v>Normal persona navigation</x:v>
      </x:c>
      <x:c r="H1112" s="35" t="str">
        <x:v>Use every permitted action and state on core/widgets/tabbed_form_sheet.dart</x:v>
      </x:c>
      <x:c r="I1112" s="35" t="str">
        <x:v>SCR-103; ROLE-185</x:v>
      </x:c>
      <x:c r="J1112" s="35" t="str"/>
      <x:c r="K1112" s="35" t="str"/>
      <x:c r="L11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12" s="35" t="str">
        <x:v>The persona can use every allowed action with only its assigned properties/relationships. Hidden or disabled actions explain why; an adjacent unauthorized persona is denied without metadata leakage.</x:v>
      </x:c>
      <x:c r="N1112" s="35" t="str">
        <x:v>Persona/experience; navigation entry; desktop or device screenshots; result state; persisted read-back; audit/history; authorized and denied network result.</x:v>
      </x:c>
      <x:c r="O1112" s="35" t="str">
        <x:v>Open the direct URL or deep link with an adjacent unauthorized persona and with stale scope; both fail closed and land safely without mutation.</x:v>
      </x:c>
      <x:c r="P1112" s="35" t="str">
        <x:v>All expected records and amounts match; no unexplained error or stale state.</x:v>
      </x:c>
    </x:row>
    <x:row r="1113">
      <x:c r="A1113" s="20" t="str">
        <x:v>RUN-20270715-12</x:v>
      </x:c>
      <x:c r="B1113" s="23" t="n">
        <x:v>46583</x:v>
      </x:c>
      <x:c r="C1113" s="32" t="n">
        <x:v>12</x:v>
      </x:c>
      <x:c r="D1113" s="20" t="str">
        <x:v>Role and screen certification</x:v>
      </x:c>
      <x:c r="E1113" s="20" t="str">
        <x:v>Property Manager</x:v>
      </x:c>
      <x:c r="F1113" s="20" t="str">
        <x:v>Mobile</x:v>
      </x:c>
      <x:c r="G1113" s="20" t="str">
        <x:v>Normal persona navigation</x:v>
      </x:c>
      <x:c r="H1113" s="35" t="str">
        <x:v>Use every permitted action and state on core/widgets/tabbed_form_sheet.dart</x:v>
      </x:c>
      <x:c r="I1113" s="35" t="str">
        <x:v>SCR-103; ROLE-186</x:v>
      </x:c>
      <x:c r="J1113" s="35" t="str"/>
      <x:c r="K1113" s="35" t="str"/>
      <x:c r="L111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13" s="35" t="str">
        <x:v>The persona can use every allowed action with only its assigned properties/relationships. Hidden or disabled actions explain why; an adjacent unauthorized persona is denied without metadata leakage.</x:v>
      </x:c>
      <x:c r="N1113" s="35" t="str">
        <x:v>Persona/experience; navigation entry; desktop or device screenshots; result state; persisted read-back; audit/history; authorized and denied network result.</x:v>
      </x:c>
      <x:c r="O1113" s="35" t="str">
        <x:v>Open the direct URL or deep link with an adjacent unauthorized persona and with stale scope; both fail closed and land safely without mutation.</x:v>
      </x:c>
      <x:c r="P1113" s="35" t="str">
        <x:v>All expected records and amounts match; no unexplained error or stale state.</x:v>
      </x:c>
    </x:row>
    <x:row r="1114">
      <x:c r="A1114" s="20" t="str">
        <x:v>RUN-20270715-13</x:v>
      </x:c>
      <x:c r="B1114" s="23" t="n">
        <x:v>46583</x:v>
      </x:c>
      <x:c r="C1114" s="32" t="n">
        <x:v>13</x:v>
      </x:c>
      <x:c r="D1114" s="20" t="str">
        <x:v>Field certification</x:v>
      </x:c>
      <x:c r="E1114" s="20" t="str">
        <x:v>Property Manager</x:v>
      </x:c>
      <x:c r="F1114" s="20" t="str">
        <x:v>Web</x:v>
      </x:c>
      <x:c r="G1114" s="20" t="str">
        <x:v>Manual field-by-field</x:v>
      </x:c>
      <x:c r="H1114" s="35" t="str">
        <x:v>Fill, save, reload, edit, and validate every declared field on /onboarding</x:v>
      </x:c>
      <x:c r="I1114" s="35" t="str">
        <x:v>FLD-0559; FLD-0560; FLD-0561; FLD-0562</x:v>
      </x:c>
      <x:c r="J1114" s="35" t="str"/>
      <x:c r="K1114" s="35" t="str"/>
      <x:c r="L1114" s="35" t="str">
        <x:v>Use the source-derived Field Inventory. Enter non-default realistic values in every control (onboarding-unit-count-input; onboarding-unit-number-{i}; onboarding-unit-beds-{i}; onboarding-unit-baths-{i}); submit; reload or relaunch; compare every value; edit each mutable field; verify the paired client; then run required, format, length, range, boundary, optional-null, and stale-submit checks.</x:v>
      </x:c>
      <x:c r="M1114" s="35" t="str">
        <x:v>All 4 inventoried controls persist exact normalized values, invalid values stay unsaved with clear errors, and hidden/unauthorized fields cannot be altered.</x:v>
      </x:c>
      <x:c r="N1114" s="35" t="str">
        <x:v>Before/after form screenshots; FLD IDs; API response; reloaded UI; paired-client read-back; database/audit evidence; negative validation result.</x:v>
      </x:c>
      <x:c r="O1114" s="35" t="str">
        <x:v>Use a duplicate submit and one simulated network interruption; one atomic mutation or none, never partial state.</x:v>
      </x:c>
      <x:c r="P1114" s="35" t="str">
        <x:v>All expected records and amounts match; no unexplained error or stale state.</x:v>
      </x:c>
    </x:row>
    <x:row r="1115">
      <x:c r="A1115" s="20" t="str">
        <x:v>RUN-20270715-14</x:v>
      </x:c>
      <x:c r="B1115" s="23" t="n">
        <x:v>46583</x:v>
      </x:c>
      <x:c r="C1115" s="32" t="n">
        <x:v>14</x:v>
      </x:c>
      <x:c r="D1115" s="20" t="str">
        <x:v>Notification certification</x:v>
      </x:c>
      <x:c r="E1115" s="20" t="str">
        <x:v>Technician/vendor</x:v>
      </x:c>
      <x:c r="F1115" s="20" t="str">
        <x:v>Web + Mobile</x:v>
      </x:c>
      <x:c r="G1115" s="20" t="str">
        <x:v>System event + preference/manual verification</x:v>
      </x:c>
      <x:c r="H1115" s="35" t="str">
        <x:v>Trigger and prove notification: Work order assigned</x:v>
      </x:c>
      <x:c r="I1115" s="35" t="str">
        <x:v>NTF-026</x:v>
      </x:c>
      <x:c r="J1115" s="35" t="str"/>
      <x:c r="K1115" s="35" t="str"/>
      <x:c r="L1115" s="35" t="str">
        <x:v>Set each recipient's preferences; trigger the real business event; inspect routing and recipient scope; verify unread badge, list item, safe preview, assignment deep link, mark-read sync, configured channel outcome, provider failure/retry, and duplicate suppression.</x:v>
      </x:c>
      <x:c r="M1115" s="35" t="str">
        <x:v>Exactly the intended recipients receive one correctly routed notification; disabled optional channels stay silent; deep link opens authorized context; read state synchronizes.</x:v>
      </x:c>
      <x:c r="N1115" s="35" t="str">
        <x:v>Trigger record; routing decision; outbox/delivery status; web/mobile inbox; lock-screen-safe copy; deep-link target; audit/provider retry evidence.</x:v>
      </x:c>
      <x:c r="O1115" s="35" t="str">
        <x:v>Re-run the worker and deliver a duplicate provider callback; no duplicate user-visible event. Attempt the deep link as an unauthorized adjacent role.</x:v>
      </x:c>
      <x:c r="P1115" s="35" t="str">
        <x:v>All expected records and amounts match; no unexplained error or stale state.</x:v>
      </x:c>
    </x:row>
    <x:row r="1116">
      <x:c r="A1116" s="20" t="str">
        <x:v>RUN-20270715-15</x:v>
      </x:c>
      <x:c r="B1116" s="23" t="n">
        <x:v>46583</x:v>
      </x:c>
      <x:c r="C1116" s="32" t="n">
        <x:v>15</x:v>
      </x:c>
      <x:c r="D1116" s="20" t="str">
        <x:v>Surface coverage</x:v>
      </x:c>
      <x:c r="E1116" s="20" t="str">
        <x:v>Role appropriate to surface</x:v>
      </x:c>
      <x:c r="F1116" s="20" t="str">
        <x:v>Web</x:v>
      </x:c>
      <x:c r="G1116" s="20" t="str">
        <x:v>Manual</x:v>
      </x:c>
      <x:c r="H1116" s="35" t="str">
        <x:v>Manual web pass: Work order create/edit/timeline/responsibility</x:v>
      </x:c>
      <x:c r="I1116" s="35" t="str">
        <x:v>COV-025</x:v>
      </x:c>
      <x:c r="J1116" s="35" t="str"/>
      <x:c r="K1116" s="35" t="str"/>
      <x:c r="L1116" s="35" t="str">
        <x:v>Scan and manually create work orders on both clients; edit, assign, status, notes, responsibility, and timeline.</x:v>
      </x:c>
      <x:c r="M1116" s="35" t="str">
        <x:v>The supported workflow completes and persists correctly; if the capability is absent, the exact gap is proven and queued rather than silently skipped.</x:v>
      </x:c>
      <x:c r="N1116" s="35" t="str">
        <x:v>Real UI screenshot/state; submitted values; persisted read-back; cross-client read-back; audit/role/access evidence.</x:v>
      </x:c>
      <x:c r="O1116" s="35" t="str">
        <x:v>Use one invalid value, stale-state retry, or duplicate submission relevant to the form; no partial or duplicate mutation.</x:v>
      </x:c>
      <x:c r="P1116" s="35" t="str">
        <x:v>All expected records and amounts match; no unexplained error or stale state.</x:v>
      </x:c>
    </x:row>
    <x:row r="1117">
      <x:c r="A1117" s="20" t="str">
        <x:v>RUN-20270716-01</x:v>
      </x:c>
      <x:c r="B1117" s="23" t="n">
        <x:v>46584</x:v>
      </x:c>
      <x:c r="C1117" s="32" t="n">
        <x:v>1</x:v>
      </x:c>
      <x:c r="D1117" s="20" t="str">
        <x:v>Role and screen certification</x:v>
      </x:c>
      <x:c r="E1117" s="20" t="str">
        <x:v>Applicant / public user</x:v>
      </x:c>
      <x:c r="F1117" s="20" t="str">
        <x:v>Mobile</x:v>
      </x:c>
      <x:c r="G1117" s="20" t="str">
        <x:v>Normal persona navigation</x:v>
      </x:c>
      <x:c r="H1117" s="35" t="str">
        <x:v>Use every permitted action and state on features/activity/activity_history_screen.dart</x:v>
      </x:c>
      <x:c r="I1117" s="35" t="str">
        <x:v>SCR-104; ROLE-187</x:v>
      </x:c>
      <x:c r="J1117" s="35" t="str"/>
      <x:c r="K1117" s="35" t="str"/>
      <x:c r="L11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17" s="35" t="str">
        <x:v>The persona can use every allowed action with only its assigned properties/relationships. Hidden or disabled actions explain why; an adjacent unauthorized persona is denied without metadata leakage.</x:v>
      </x:c>
      <x:c r="N1117" s="35" t="str">
        <x:v>Persona/experience; navigation entry; desktop or device screenshots; result state; persisted read-back; audit/history; authorized and denied network result.</x:v>
      </x:c>
      <x:c r="O1117" s="35" t="str">
        <x:v>Open the direct URL or deep link with an adjacent unauthorized persona and with stale scope; both fail closed and land safely without mutation.</x:v>
      </x:c>
      <x:c r="P1117" s="35" t="str">
        <x:v>All expected records and amounts match; no unexplained error or stale state.</x:v>
      </x:c>
    </x:row>
    <x:row r="1118">
      <x:c r="A1118" s="20" t="str">
        <x:v>RUN-20270716-02</x:v>
      </x:c>
      <x:c r="B1118" s="23" t="n">
        <x:v>46584</x:v>
      </x:c>
      <x:c r="C1118" s="32" t="n">
        <x:v>2</x:v>
      </x:c>
      <x:c r="D1118" s="20" t="str">
        <x:v>Field certification</x:v>
      </x:c>
      <x:c r="E1118" s="20" t="str">
        <x:v>Property Manager</x:v>
      </x:c>
      <x:c r="F1118" s="20" t="str">
        <x:v>Web</x:v>
      </x:c>
      <x:c r="G1118" s="20" t="str">
        <x:v>Manual field-by-field</x:v>
      </x:c>
      <x:c r="H1118" s="35" t="str">
        <x:v>Fill, save, reload, edit, and validate every declared field on /onboarding</x:v>
      </x:c>
      <x:c r="I1118" s="35" t="str">
        <x:v>FLD-0563; FLD-0564; FLD-0565; FLD-0566</x:v>
      </x:c>
      <x:c r="J1118" s="35" t="str"/>
      <x:c r="K1118" s="35" t="str"/>
      <x:c r="L1118" s="35" t="str">
        <x:v>Use the source-derived Field Inventory. Enter non-default realistic values in every control (onboarding-unit-rent-{i}; onboarding-tenant-first-{i}; onboarding-tenant-last-{i}; onboarding-tenant-email-{i}); submit; reload or relaunch; compare every value; edit each mutable field; verify the paired client; then run required, format, length, range, boundary, optional-null, and stale-submit checks.</x:v>
      </x:c>
      <x:c r="M1118" s="35" t="str">
        <x:v>All 4 inventoried controls persist exact normalized values, invalid values stay unsaved with clear errors, and hidden/unauthorized fields cannot be altered.</x:v>
      </x:c>
      <x:c r="N1118" s="35" t="str">
        <x:v>Before/after form screenshots; FLD IDs; API response; reloaded UI; paired-client read-back; database/audit evidence; negative validation result.</x:v>
      </x:c>
      <x:c r="O1118" s="35" t="str">
        <x:v>Use a duplicate submit and one simulated network interruption; one atomic mutation or none, never partial state.</x:v>
      </x:c>
      <x:c r="P1118" s="35" t="str">
        <x:v>All expected records and amounts match; no unexplained error or stale state.</x:v>
      </x:c>
    </x:row>
    <x:row r="1119">
      <x:c r="A1119" s="20" t="str">
        <x:v>RUN-20270717-01</x:v>
      </x:c>
      <x:c r="B1119" s="23" t="n">
        <x:v>46585</x:v>
      </x:c>
      <x:c r="C1119" s="32" t="n">
        <x:v>1</x:v>
      </x:c>
      <x:c r="D1119" s="20" t="str">
        <x:v>Lease ending</x:v>
      </x:c>
      <x:c r="E1119" s="20" t="str">
        <x:v>Property Manager</x:v>
      </x:c>
      <x:c r="F1119" s="20" t="str">
        <x:v>Web</x:v>
      </x:c>
      <x:c r="G1119" s="20" t="str">
        <x:v>Scan attachment + manual lifecycle</x:v>
      </x:c>
      <x:c r="H1119" s="35" t="str">
        <x:v>Record notice and plan lease ending</x:v>
      </x:c>
      <x:c r="I1119" s="35" t="str">
        <x:v>L008; U008</x:v>
      </x:c>
      <x:c r="J1119" s="35" t="str">
        <x:v>SCN-0937</x:v>
      </x:c>
      <x:c r="K1119" s="35" t="str"/>
      <x:c r="L1119" s="35" t="str">
        <x:v>Attach/capture the source notice; create the matching notice draft/history; record planned move-out and ending disposition; schedule inspection and turnover work.</x:v>
      </x:c>
      <x:c r="M1119" s="35" t="str">
        <x:v>Notice source, effective dates, appointment, ending facts, and Unit next action agree without ending occupancy early.</x:v>
      </x:c>
      <x:c r="N1119" s="35" t="str">
        <x:v>Notice source/preview; lease timeline; appointment; Unit summary; notification/audit.</x:v>
      </x:c>
      <x:c r="O1119" s="35" t="str">
        <x:v>Use an upload date after the document date and prove both dates remain distinct.</x:v>
      </x:c>
      <x:c r="P1119" s="35" t="str">
        <x:v>All expected records and amounts match; no unexplained error or stale state.</x:v>
      </x:c>
    </x:row>
    <x:row r="1120">
      <x:c r="A1120" s="20" t="str">
        <x:v>RUN-20270717-02</x:v>
      </x:c>
      <x:c r="B1120" s="23" t="n">
        <x:v>46585</x:v>
      </x:c>
      <x:c r="C1120" s="32" t="n">
        <x:v>2</x:v>
      </x:c>
      <x:c r="D1120" s="20" t="str">
        <x:v>Lease ending</x:v>
      </x:c>
      <x:c r="E1120" s="20" t="str">
        <x:v>Property Manager</x:v>
      </x:c>
      <x:c r="F1120" s="20" t="str">
        <x:v>Mobile</x:v>
      </x:c>
      <x:c r="G1120" s="20" t="str">
        <x:v>Scan attachment + manual lifecycle</x:v>
      </x:c>
      <x:c r="H1120" s="35" t="str">
        <x:v>Record notice and plan lease ending</x:v>
      </x:c>
      <x:c r="I1120" s="35" t="str">
        <x:v>L022; U022</x:v>
      </x:c>
      <x:c r="J1120" s="35" t="str">
        <x:v>SCN-0943</x:v>
      </x:c>
      <x:c r="K1120" s="35" t="str"/>
      <x:c r="L1120" s="35" t="str">
        <x:v>Attach/capture the source notice; create the matching notice draft/history; record planned move-out and ending disposition; schedule inspection and turnover work.</x:v>
      </x:c>
      <x:c r="M1120" s="35" t="str">
        <x:v>Notice source, effective dates, appointment, ending facts, and Unit next action agree without ending occupancy early.</x:v>
      </x:c>
      <x:c r="N1120" s="35" t="str">
        <x:v>Notice source/preview; lease timeline; appointment; Unit summary; notification/audit.</x:v>
      </x:c>
      <x:c r="O1120" s="35" t="str">
        <x:v>Use an upload date after the document date and prove both dates remain distinct.</x:v>
      </x:c>
      <x:c r="P1120" s="35" t="str">
        <x:v>All expected records and amounts match; no unexplained error or stale state.</x:v>
      </x:c>
    </x:row>
    <x:row r="1121">
      <x:c r="A1121" s="20" t="str">
        <x:v>RUN-20270718-01</x:v>
      </x:c>
      <x:c r="B1121" s="23" t="n">
        <x:v>46586</x:v>
      </x:c>
      <x:c r="C1121" s="32" t="n">
        <x:v>1</x:v>
      </x:c>
      <x:c r="D1121" s="20" t="str">
        <x:v>Weekly operations</x:v>
      </x:c>
      <x:c r="E1121" s="20" t="str">
        <x:v>Property Manager</x:v>
      </x:c>
      <x:c r="F1121" s="20" t="str">
        <x:v>Mobile</x:v>
      </x:c>
      <x:c r="G1121" s="20" t="str">
        <x:v>Scanned receipt/invoice</x:v>
      </x:c>
      <x:c r="H1121" s="35" t="str">
        <x:v>Record, review, allocate, and pay operating expense</x:v>
      </x:c>
      <x:c r="I1121" s="35" t="str">
        <x:v>P007; Property scope; </x:v>
      </x:c>
      <x:c r="J1121" s="35" t="str">
        <x:v>SCN-0814</x:v>
      </x:c>
      <x:c r="K1121" s="35" t="str">
        <x:v>FIN-01530</x:v>
      </x:c>
      <x:c r="L1121" s="35" t="str">
        <x:v>Capture or upload the source; verify vendor, date, scope, category, line items, tax, amount, and work-order link; confirm; open detail; verify attachment; compare Money and Property/Unit views.</x:v>
      </x:c>
      <x:c r="M1121" s="35" t="str">
        <x:v>One expense exists at its real operational scope, cash falls once, Schedule E category and allocations agree, and no per-unit copies are created.</x:v>
      </x:c>
      <x:c r="N1121" s="35" t="str">
        <x:v>Source preview; review/form; expense detail; line items; Property/Unit ledger; audit; accounting/report delta.</x:v>
      </x:c>
      <x:c r="O1121" s="35" t="str">
        <x:v>On marked duplicate-invoice cases, re-upload before confirm and prove the product prevents or clearly warns about duplication.</x:v>
      </x:c>
      <x:c r="P1121" s="35" t="str">
        <x:v>All expected records and amounts match; no unexplained error or stale state.</x:v>
      </x:c>
    </x:row>
    <x:row r="1122">
      <x:c r="A1122" s="20" t="str">
        <x:v>RUN-20270718-02</x:v>
      </x:c>
      <x:c r="B1122" s="23" t="n">
        <x:v>46586</x:v>
      </x:c>
      <x:c r="C1122" s="32" t="n">
        <x:v>2</x:v>
      </x:c>
      <x:c r="D1122" s="20" t="str">
        <x:v>Weekly operations</x:v>
      </x:c>
      <x:c r="E1122" s="20" t="str">
        <x:v>Property Manager</x:v>
      </x:c>
      <x:c r="F1122" s="20" t="str">
        <x:v>Mobile</x:v>
      </x:c>
      <x:c r="G1122" s="20" t="str">
        <x:v>Scanned receipt/invoice</x:v>
      </x:c>
      <x:c r="H1122" s="35" t="str">
        <x:v>Record, review, allocate, and pay operating expense</x:v>
      </x:c>
      <x:c r="I1122" s="35" t="str">
        <x:v>P019; Property scope; </x:v>
      </x:c>
      <x:c r="J1122" s="35" t="str">
        <x:v>SCN-0864</x:v>
      </x:c>
      <x:c r="K1122" s="35" t="str">
        <x:v>FIN-01590</x:v>
      </x:c>
      <x:c r="L1122" s="35" t="str">
        <x:v>Capture or upload the source; verify vendor, date, scope, category, line items, tax, amount, and work-order link; confirm; open detail; verify attachment; compare Money and Property/Unit views.</x:v>
      </x:c>
      <x:c r="M1122" s="35" t="str">
        <x:v>One expense exists at its real operational scope, cash falls once, Schedule E category and allocations agree, and no per-unit copies are created.</x:v>
      </x:c>
      <x:c r="N1122" s="35" t="str">
        <x:v>Source preview; review/form; expense detail; line items; Property/Unit ledger; audit; accounting/report delta.</x:v>
      </x:c>
      <x:c r="O1122" s="35" t="str">
        <x:v>On marked duplicate-invoice cases, re-upload before confirm and prove the product prevents or clearly warns about duplication.</x:v>
      </x:c>
      <x:c r="P1122" s="35" t="str">
        <x:v>All expected records and amounts match; no unexplained error or stale state.</x:v>
      </x:c>
    </x:row>
    <x:row r="1123">
      <x:c r="A1123" s="20" t="str">
        <x:v>RUN-20270719-01</x:v>
      </x:c>
      <x:c r="B1123" s="23" t="n">
        <x:v>46587</x:v>
      </x:c>
      <x:c r="C1123" s="32" t="n">
        <x:v>1</x:v>
      </x:c>
      <x:c r="D1123" s="20" t="str">
        <x:v>Weekly operations</x:v>
      </x:c>
      <x:c r="E1123" s="20" t="str">
        <x:v>Property Manager</x:v>
      </x:c>
      <x:c r="F1123" s="20" t="str">
        <x:v>Mobile</x:v>
      </x:c>
      <x:c r="G1123" s="20" t="str">
        <x:v>Scan-first</x:v>
      </x:c>
      <x:c r="H1123" s="35" t="str">
        <x:v>Create and triage maintenance request</x:v>
      </x:c>
      <x:c r="I1123" s="35" t="str">
        <x:v>P004; U004; WO-2027-029</x:v>
      </x:c>
      <x:c r="J1123" s="35" t="str">
        <x:v>SCN-0398</x:v>
      </x:c>
      <x:c r="K1123" s="35" t="str"/>
      <x:c r="L1123" s="35" t="str">
        <x:v>Capture the tenant note/photo; review pest treatment; confirm; set responsibility; dispatch ClearFlow Restoration; create an appointment and verify the tenant notification.</x:v>
      </x:c>
      <x:c r="M1123" s="35" t="str">
        <x:v>Work order, status timeline, responsibility, vendor dispatch, appointment, notification, and Unit context are linked once.</x:v>
      </x:c>
      <x:c r="N1123" s="35" t="str">
        <x:v>Scan review; work order detail/timeline; dispatch; appointment; notification; tenant portal view.</x:v>
      </x:c>
      <x:c r="O1123" s="35" t="str">
        <x:v>Cancel one dispatch each quarter, reassign once, and prove status/history remains append-only.</x:v>
      </x:c>
      <x:c r="P1123" s="35" t="str">
        <x:v>All expected records and amounts match; no unexplained error or stale state.</x:v>
      </x:c>
    </x:row>
    <x:row r="1124">
      <x:c r="A1124" s="20" t="str">
        <x:v>RUN-20270719-02</x:v>
      </x:c>
      <x:c r="B1124" s="23" t="n">
        <x:v>46587</x:v>
      </x:c>
      <x:c r="C1124" s="32" t="n">
        <x:v>2</x:v>
      </x:c>
      <x:c r="D1124" s="20" t="str">
        <x:v>Role and screen certification</x:v>
      </x:c>
      <x:c r="E1124" s="20" t="str">
        <x:v>Applicant / public user</x:v>
      </x:c>
      <x:c r="F1124" s="20" t="str">
        <x:v>Mobile</x:v>
      </x:c>
      <x:c r="G1124" s="20" t="str">
        <x:v>Normal persona navigation</x:v>
      </x:c>
      <x:c r="H1124" s="35" t="str">
        <x:v>Use every permitted action and state on features/ai/ai_tab.dart</x:v>
      </x:c>
      <x:c r="I1124" s="35" t="str">
        <x:v>SCR-105; ROLE-188</x:v>
      </x:c>
      <x:c r="J1124" s="35" t="str"/>
      <x:c r="K1124" s="35" t="str"/>
      <x:c r="L112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24" s="35" t="str">
        <x:v>The persona can use every allowed action with only its assigned properties/relationships. Hidden or disabled actions explain why; an adjacent unauthorized persona is denied without metadata leakage.</x:v>
      </x:c>
      <x:c r="N1124" s="35" t="str">
        <x:v>Persona/experience; navigation entry; desktop or device screenshots; result state; persisted read-back; audit/history; authorized and denied network result.</x:v>
      </x:c>
      <x:c r="O1124" s="35" t="str">
        <x:v>Open the direct URL or deep link with an adjacent unauthorized persona and with stale scope; both fail closed and land safely without mutation.</x:v>
      </x:c>
      <x:c r="P1124" s="35" t="str">
        <x:v>All expected records and amounts match; no unexplained error or stale state.</x:v>
      </x:c>
    </x:row>
    <x:row r="1125">
      <x:c r="A1125" s="20" t="str">
        <x:v>RUN-20270719-03</x:v>
      </x:c>
      <x:c r="B1125" s="23" t="n">
        <x:v>46587</x:v>
      </x:c>
      <x:c r="C1125" s="32" t="n">
        <x:v>3</x:v>
      </x:c>
      <x:c r="D1125" s="20" t="str">
        <x:v>Field certification</x:v>
      </x:c>
      <x:c r="E1125" s="20" t="str">
        <x:v>Property Manager</x:v>
      </x:c>
      <x:c r="F1125" s="20" t="str">
        <x:v>Web</x:v>
      </x:c>
      <x:c r="G1125" s="20" t="str">
        <x:v>Manual field-by-field</x:v>
      </x:c>
      <x:c r="H1125" s="35" t="str">
        <x:v>Fill, save, reload, edit, and validate every declared field on /onboarding</x:v>
      </x:c>
      <x:c r="I1125" s="35" t="str">
        <x:v>FLD-0567; FLD-0568; FLD-0569; FLD-0570; FLD-0571</x:v>
      </x:c>
      <x:c r="J1125" s="35" t="str"/>
      <x:c r="K1125" s="35" t="str"/>
      <x:c r="L1125" s="35" t="str">
        <x:v>Use the source-derived Field Inventory. Enter non-default realistic values in every control (onboarding-tenant-phone-{i}; ob-lease-rent; ob-lease-deposit; ob-lease-dueday; alertForm.enableInApp); submit; reload or relaunch; compare every value; edit each mutable field; verify the paired client; then run required, format, length, range, boundary, optional-null, and stale-submit checks.</x:v>
      </x:c>
      <x:c r="M1125" s="35" t="str">
        <x:v>All 5 inventoried controls persist exact normalized values, invalid values stay unsaved with clear errors, and hidden/unauthorized fields cannot be altered.</x:v>
      </x:c>
      <x:c r="N1125" s="35" t="str">
        <x:v>Before/after form screenshots; FLD IDs; API response; reloaded UI; paired-client read-back; database/audit evidence; negative validation result.</x:v>
      </x:c>
      <x:c r="O1125" s="35" t="str">
        <x:v>Use a duplicate submit and one simulated network interruption; one atomic mutation or none, never partial state.</x:v>
      </x:c>
      <x:c r="P1125" s="35" t="str">
        <x:v>All expected records and amounts match; no unexplained error or stale state.</x:v>
      </x:c>
    </x:row>
    <x:row r="1126">
      <x:c r="A1126" s="20" t="str">
        <x:v>RUN-20270719-04</x:v>
      </x:c>
      <x:c r="B1126" s="23" t="n">
        <x:v>46587</x:v>
      </x:c>
      <x:c r="C1126" s="32" t="n">
        <x:v>4</x:v>
      </x:c>
      <x:c r="D1126" s="20" t="str">
        <x:v>Surface coverage</x:v>
      </x:c>
      <x:c r="E1126" s="20" t="str">
        <x:v>Role appropriate to surface</x:v>
      </x:c>
      <x:c r="F1126" s="20" t="str">
        <x:v>Mobile</x:v>
      </x:c>
      <x:c r="G1126" s="20" t="str">
        <x:v>Manual</x:v>
      </x:c>
      <x:c r="H1126" s="35" t="str">
        <x:v>Manual mobile pass: Work order create/edit/timeline/responsibility</x:v>
      </x:c>
      <x:c r="I1126" s="35" t="str">
        <x:v>COV-025</x:v>
      </x:c>
      <x:c r="J1126" s="35" t="str"/>
      <x:c r="K1126" s="35" t="str"/>
      <x:c r="L1126" s="35" t="str">
        <x:v>Scan and manually create work orders on both clients; edit, assign, status, notes, responsibility, and timeline.</x:v>
      </x:c>
      <x:c r="M1126" s="35" t="str">
        <x:v>The supported workflow completes and persists correctly; if the capability is absent, the exact gap is proven and queued rather than silently skipped.</x:v>
      </x:c>
      <x:c r="N1126" s="35" t="str">
        <x:v>Real UI screenshot/state; submitted values; persisted read-back; cross-client read-back; audit/role/access evidence.</x:v>
      </x:c>
      <x:c r="O1126" s="35" t="str">
        <x:v>Use one invalid value, stale-state retry, or duplicate submission relevant to the form; no partial or duplicate mutation.</x:v>
      </x:c>
      <x:c r="P1126" s="35" t="str">
        <x:v>All expected records and amounts match; no unexplained error or stale state.</x:v>
      </x:c>
    </x:row>
    <x:row r="1127">
      <x:c r="A1127" s="20" t="str">
        <x:v>RUN-20270720-01</x:v>
      </x:c>
      <x:c r="B1127" s="23" t="n">
        <x:v>46588</x:v>
      </x:c>
      <x:c r="C1127" s="32" t="n">
        <x:v>1</x:v>
      </x:c>
      <x:c r="D1127" s="20" t="str">
        <x:v>Weekly operations</x:v>
      </x:c>
      <x:c r="E1127" s="20" t="str">
        <x:v>Property Manager</x:v>
      </x:c>
      <x:c r="F1127" s="20" t="str">
        <x:v>Mobile</x:v>
      </x:c>
      <x:c r="G1127" s="20" t="str">
        <x:v>Scanned receipt/invoice</x:v>
      </x:c>
      <x:c r="H1127" s="35" t="str">
        <x:v>Record, review, allocate, and pay operating expense</x:v>
      </x:c>
      <x:c r="I1127" s="35" t="str">
        <x:v>P004; U004; WO-2027-029</x:v>
      </x:c>
      <x:c r="J1127" s="35" t="str">
        <x:v>SCN-0399</x:v>
      </x:c>
      <x:c r="K1127" s="35" t="str">
        <x:v>FIN-01052</x:v>
      </x:c>
      <x:c r="L1127" s="35" t="str">
        <x:v>Capture or upload the source; verify vendor, date, scope, category, line items, tax, amount, and work-order link; confirm; open detail; verify attachment; compare Money and Property/Unit views.</x:v>
      </x:c>
      <x:c r="M1127" s="35" t="str">
        <x:v>One expense exists at its real operational scope, cash falls once, Schedule E category and allocations agree, and no per-unit copies are created.</x:v>
      </x:c>
      <x:c r="N1127" s="35" t="str">
        <x:v>Source preview; review/form; expense detail; line items; Property/Unit ledger; audit; accounting/report delta.</x:v>
      </x:c>
      <x:c r="O1127" s="35" t="str">
        <x:v>On marked duplicate-invoice cases, re-upload before confirm and prove the product prevents or clearly warns about duplication.</x:v>
      </x:c>
      <x:c r="P1127" s="35" t="str">
        <x:v>All expected records and amounts match; no unexplained error or stale state.</x:v>
      </x:c>
    </x:row>
    <x:row r="1128">
      <x:c r="A1128" s="20" t="str">
        <x:v>RUN-20270720-02</x:v>
      </x:c>
      <x:c r="B1128" s="23" t="n">
        <x:v>46588</x:v>
      </x:c>
      <x:c r="C1128" s="32" t="n">
        <x:v>2</x:v>
      </x:c>
      <x:c r="D1128" s="20" t="str">
        <x:v>Monthly close</x:v>
      </x:c>
      <x:c r="E1128" s="20" t="str">
        <x:v>Workspace Administrator</x:v>
      </x:c>
      <x:c r="F1128" s="20" t="str">
        <x:v>Web + Mobile</x:v>
      </x:c>
      <x:c r="G1128" s="20" t="str">
        <x:v>Recurring automation + statement match</x:v>
      </x:c>
      <x:c r="H1128" s="35" t="str">
        <x:v>July loan payments</x:v>
      </x:c>
      <x:c r="I1128" s="35" t="str">
        <x:v>LN001; LN002; LN004; LN005; LN007; LN008; LN010; LN011; LN013; LN014; LN016; LN017; LN019; LN020; LN022; LN023; LN025; LN026; LN028; LN029</x:v>
      </x:c>
      <x:c r="J1128" s="35" t="str">
        <x:v>SCN-0623; SCN-0624; SCN-0625; SCN-0626; SCN-0627; SCN-0628; SCN-0629; SCN-0630; SCN-0631; SCN-0632; SCN-0633; SCN-0634; SCN-0635; SCN-0636; SCN-0637; SCN-0638; SCN-0639; SCN-0640; SCN-0641; SCN-0642</x:v>
      </x:c>
      <x:c r="K1128" s="35" t="str">
        <x:v>FIN-01298; FIN-01299; FIN-01300; FIN-01301; FIN-01302; FIN-01303; FIN-01304; FIN-01305; FIN-01306; FIN-01307; FIN-01308; FIN-01309; FIN-01310; FIN-01311; FIN-01312; FIN-01313; FIN-01314; FIN-01315; FIN-01316; FIN-01317</x:v>
      </x:c>
      <x:c r="L1128" s="35" t="str">
        <x:v>Verify the recurring loan payments; attach/match each statement; compare principal, interest, cash, loan balance, amortization, Property Money view, and Schedule E interest.</x:v>
      </x:c>
      <x:c r="M1128" s="35" t="str">
        <x:v>Every payment splits principal and interest once; principal reduces liability, interest is expense, and statement balance matches.</x:v>
      </x:c>
      <x:c r="N1128" s="35" t="str">
        <x:v>Loan detail samples on both clients; statement attachment; amortization; Property and year-end reports.</x:v>
      </x:c>
      <x:c r="O1128" s="35" t="str">
        <x:v>Attempt a duplicate recurrence run; no second payment or balance movement.</x:v>
      </x:c>
      <x:c r="P1128" s="35" t="str">
        <x:v>All expected records and amounts match; no unexplained error or stale state.</x:v>
      </x:c>
    </x:row>
    <x:row r="1129">
      <x:c r="A1129" s="20" t="str">
        <x:v>RUN-20270720-03</x:v>
      </x:c>
      <x:c r="B1129" s="23" t="n">
        <x:v>46588</x:v>
      </x:c>
      <x:c r="C1129" s="32" t="n">
        <x:v>3</x:v>
      </x:c>
      <x:c r="D1129" s="20" t="str">
        <x:v>Field certification</x:v>
      </x:c>
      <x:c r="E1129" s="20" t="str">
        <x:v>Property Manager</x:v>
      </x:c>
      <x:c r="F1129" s="20" t="str">
        <x:v>Web</x:v>
      </x:c>
      <x:c r="G1129" s="20" t="str">
        <x:v>Manual field-by-field</x:v>
      </x:c>
      <x:c r="H1129" s="35" t="str">
        <x:v>Fill, save, reload, edit, and validate every declared field on /onboarding</x:v>
      </x:c>
      <x:c r="I1129" s="35" t="str">
        <x:v>FLD-0572; FLD-0573; FLD-0574</x:v>
      </x:c>
      <x:c r="J1129" s="35" t="str"/>
      <x:c r="K1129" s="35" t="str"/>
      <x:c r="L1129" s="35" t="str">
        <x:v>Use the source-derived Field Inventory. Enter non-default realistic values in every control (alertForm.enableMobilePush; alertForm.enableEmail; alertForm.enableSms); submit; reload or relaunch; compare every value; edit each mutable field; verify the paired client; then run required, format, length, range, boundary, optional-null, and stale-submit checks.</x:v>
      </x:c>
      <x:c r="M1129" s="35" t="str">
        <x:v>All 3 inventoried controls persist exact normalized values, invalid values stay unsaved with clear errors, and hidden/unauthorized fields cannot be altered.</x:v>
      </x:c>
      <x:c r="N1129" s="35" t="str">
        <x:v>Before/after form screenshots; FLD IDs; API response; reloaded UI; paired-client read-back; database/audit evidence; negative validation result.</x:v>
      </x:c>
      <x:c r="O1129" s="35" t="str">
        <x:v>Use a duplicate submit and one simulated network interruption; one atomic mutation or none, never partial state.</x:v>
      </x:c>
      <x:c r="P1129" s="35" t="str">
        <x:v>All expected records and amounts match; no unexplained error or stale state.</x:v>
      </x:c>
    </x:row>
    <x:row r="1130">
      <x:c r="A1130" s="20" t="str">
        <x:v>RUN-20270720-04</x:v>
      </x:c>
      <x:c r="B1130" s="23" t="n">
        <x:v>46588</x:v>
      </x:c>
      <x:c r="C1130" s="32" t="n">
        <x:v>4</x:v>
      </x:c>
      <x:c r="D1130" s="20" t="str">
        <x:v>Field certification</x:v>
      </x:c>
      <x:c r="E1130" s="20" t="str">
        <x:v>Owner</x:v>
      </x:c>
      <x:c r="F1130" s="20" t="str">
        <x:v>Web</x:v>
      </x:c>
      <x:c r="G1130" s="20" t="str">
        <x:v>Manual field-by-field</x:v>
      </x:c>
      <x:c r="H1130" s="35" t="str">
        <x:v>Fill, save, reload, edit, and validate every declared field on /owner/properties</x:v>
      </x:c>
      <x:c r="I1130" s="35" t="str">
        <x:v>FLD-0575</x:v>
      </x:c>
      <x:c r="J1130" s="35" t="str"/>
      <x:c r="K1130" s="35" t="str"/>
      <x:c r="L1130" s="35" t="str">
        <x:v>Use the source-derived Field Inventory. Enter non-default realistic values in every control (owner-property-search); submit; reload or relaunch; compare every value; edit each mutable field; verify the paired client; then run required, format, length, range, boundary, optional-null, and stale-submit checks.</x:v>
      </x:c>
      <x:c r="M1130" s="35" t="str">
        <x:v>All 1 inventoried controls persist exact normalized values, invalid values stay unsaved with clear errors, and hidden/unauthorized fields cannot be altered.</x:v>
      </x:c>
      <x:c r="N1130" s="35" t="str">
        <x:v>Before/after form screenshots; FLD IDs; API response; reloaded UI; paired-client read-back; database/audit evidence; negative validation result.</x:v>
      </x:c>
      <x:c r="O1130" s="35" t="str">
        <x:v>Use a duplicate submit and one simulated network interruption; one atomic mutation or none, never partial state.</x:v>
      </x:c>
      <x:c r="P1130" s="35" t="str">
        <x:v>All expected records and amounts match; no unexplained error or stale state.</x:v>
      </x:c>
    </x:row>
    <x:row r="1131">
      <x:c r="A1131" s="20" t="str">
        <x:v>RUN-20270720-05</x:v>
      </x:c>
      <x:c r="B1131" s="23" t="n">
        <x:v>46588</x:v>
      </x:c>
      <x:c r="C1131" s="32" t="n">
        <x:v>5</x:v>
      </x:c>
      <x:c r="D1131" s="20" t="str">
        <x:v>Surface coverage</x:v>
      </x:c>
      <x:c r="E1131" s="20" t="str">
        <x:v>Role appropriate to surface</x:v>
      </x:c>
      <x:c r="F1131" s="20" t="str">
        <x:v>Web</x:v>
      </x:c>
      <x:c r="G1131" s="20" t="str">
        <x:v>Scan/attachment</x:v>
      </x:c>
      <x:c r="H1131" s="35" t="str">
        <x:v>Scan web pass: Work order create/edit/timeline/responsibility</x:v>
      </x:c>
      <x:c r="I1131" s="35" t="str">
        <x:v>COV-025</x:v>
      </x:c>
      <x:c r="J1131" s="35" t="str"/>
      <x:c r="K1131" s="35" t="str"/>
      <x:c r="L1131" s="35" t="str">
        <x:v>Scan and manually create work orders on both clients; edit, assign, status, notes, responsibility, and timeline.</x:v>
      </x:c>
      <x:c r="M1131" s="35" t="str">
        <x:v>The supported workflow completes and persists correctly; if the capability is absent, the exact gap is proven and queued rather than silently skipped.</x:v>
      </x:c>
      <x:c r="N1131" s="35" t="str">
        <x:v>Real UI screenshot/state; submitted values; persisted read-back; cross-client read-back; audit/role/access evidence.</x:v>
      </x:c>
      <x:c r="O1131" s="35" t="str">
        <x:v>Use one invalid value, stale-state retry, or duplicate submission relevant to the form; no partial or duplicate mutation.</x:v>
      </x:c>
      <x:c r="P1131" s="35" t="str">
        <x:v>All expected records and amounts match; no unexplained error or stale state.</x:v>
      </x:c>
    </x:row>
    <x:row r="1132">
      <x:c r="A1132" s="20" t="str">
        <x:v>RUN-20270721-01</x:v>
      </x:c>
      <x:c r="B1132" s="23" t="n">
        <x:v>46589</x:v>
      </x:c>
      <x:c r="C1132" s="32" t="n">
        <x:v>1</x:v>
      </x:c>
      <x:c r="D1132" s="20" t="str">
        <x:v>Role and screen certification</x:v>
      </x:c>
      <x:c r="E1132" s="20" t="str">
        <x:v>Applicant / public user</x:v>
      </x:c>
      <x:c r="F1132" s="20" t="str">
        <x:v>Mobile</x:v>
      </x:c>
      <x:c r="G1132" s="20" t="str">
        <x:v>Normal persona navigation</x:v>
      </x:c>
      <x:c r="H1132" s="35" t="str">
        <x:v>Use every permitted action and state on features/ai/briefing_screen.dart</x:v>
      </x:c>
      <x:c r="I1132" s="35" t="str">
        <x:v>SCR-106; ROLE-189</x:v>
      </x:c>
      <x:c r="J1132" s="35" t="str"/>
      <x:c r="K1132" s="35" t="str"/>
      <x:c r="L113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32" s="35" t="str">
        <x:v>The persona can use every allowed action with only its assigned properties/relationships. Hidden or disabled actions explain why; an adjacent unauthorized persona is denied without metadata leakage.</x:v>
      </x:c>
      <x:c r="N1132" s="35" t="str">
        <x:v>Persona/experience; navigation entry; desktop or device screenshots; result state; persisted read-back; audit/history; authorized and denied network result.</x:v>
      </x:c>
      <x:c r="O1132" s="35" t="str">
        <x:v>Open the direct URL or deep link with an adjacent unauthorized persona and with stale scope; both fail closed and land safely without mutation.</x:v>
      </x:c>
      <x:c r="P1132" s="35" t="str">
        <x:v>All expected records and amounts match; no unexplained error or stale state.</x:v>
      </x:c>
    </x:row>
    <x:row r="1133">
      <x:c r="A1133" s="20" t="str">
        <x:v>RUN-20270721-02</x:v>
      </x:c>
      <x:c r="B1133" s="23" t="n">
        <x:v>46589</x:v>
      </x:c>
      <x:c r="C1133" s="32" t="n">
        <x:v>2</x:v>
      </x:c>
      <x:c r="D1133" s="20" t="str">
        <x:v>Field certification</x:v>
      </x:c>
      <x:c r="E1133" s="20" t="str">
        <x:v>Owner</x:v>
      </x:c>
      <x:c r="F1133" s="20" t="str">
        <x:v>Web</x:v>
      </x:c>
      <x:c r="G1133" s="20" t="str">
        <x:v>Manual field-by-field</x:v>
      </x:c>
      <x:c r="H1133" s="35" t="str">
        <x:v>Fill, save, reload, edit, and validate every declared field on /owner/statements</x:v>
      </x:c>
      <x:c r="I1133" s="35" t="str">
        <x:v>FLD-0576; FLD-0577; FLD-0578; FLD-0579</x:v>
      </x:c>
      <x:c r="J1133" s="35" t="str"/>
      <x:c r="K1133" s="35" t="str"/>
      <x:c r="L1133" s="35" t="str">
        <x:v>Use the source-derived Field Inventory. Enter non-default realistic values in every control (selectedYear; owner-statements-year; Select-3; Select-4); submit; reload or relaunch; compare every value; edit each mutable field; verify the paired client; then run required, format, length, range, boundary, optional-null, and stale-submit checks.</x:v>
      </x:c>
      <x:c r="M1133" s="35" t="str">
        <x:v>All 4 inventoried controls persist exact normalized values, invalid values stay unsaved with clear errors, and hidden/unauthorized fields cannot be altered.</x:v>
      </x:c>
      <x:c r="N1133" s="35" t="str">
        <x:v>Before/after form screenshots; FLD IDs; API response; reloaded UI; paired-client read-back; database/audit evidence; negative validation result.</x:v>
      </x:c>
      <x:c r="O1133" s="35" t="str">
        <x:v>Use a duplicate submit and one simulated network interruption; one atomic mutation or none, never partial state.</x:v>
      </x:c>
      <x:c r="P1133" s="35" t="str">
        <x:v>All expected records and amounts match; no unexplained error or stale state.</x:v>
      </x:c>
    </x:row>
    <x:row r="1134">
      <x:c r="A1134" s="20" t="str">
        <x:v>RUN-20270721-03</x:v>
      </x:c>
      <x:c r="B1134" s="23" t="n">
        <x:v>46589</x:v>
      </x:c>
      <x:c r="C1134" s="32" t="n">
        <x:v>3</x:v>
      </x:c>
      <x:c r="D1134" s="20" t="str">
        <x:v>Field certification</x:v>
      </x:c>
      <x:c r="E1134" s="20" t="str">
        <x:v>Property Manager</x:v>
      </x:c>
      <x:c r="F1134" s="20" t="str">
        <x:v>Web</x:v>
      </x:c>
      <x:c r="G1134" s="20" t="str">
        <x:v>Manual field-by-field</x:v>
      </x:c>
      <x:c r="H1134" s="35" t="str">
        <x:v>Fill, save, reload, edit, and validate every declared field on /owners</x:v>
      </x:c>
      <x:c r="I1134" s="35" t="str">
        <x:v>FLD-0580</x:v>
      </x:c>
      <x:c r="J1134" s="35" t="str"/>
      <x:c r="K1134" s="35" t="str"/>
      <x:c r="L1134" s="35" t="str">
        <x:v>Use the source-derived Field Inventory. Enter non-default realistic values in every control (owner-name-input); submit; reload or relaunch; compare every value; edit each mutable field; verify the paired client; then run required, format, length, range, boundary, optional-null, and stale-submit checks.</x:v>
      </x:c>
      <x:c r="M1134" s="35" t="str">
        <x:v>All 1 inventoried controls persist exact normalized values, invalid values stay unsaved with clear errors, and hidden/unauthorized fields cannot be altered.</x:v>
      </x:c>
      <x:c r="N1134" s="35" t="str">
        <x:v>Before/after form screenshots; FLD IDs; API response; reloaded UI; paired-client read-back; database/audit evidence; negative validation result.</x:v>
      </x:c>
      <x:c r="O1134" s="35" t="str">
        <x:v>Use a duplicate submit and one simulated network interruption; one atomic mutation or none, never partial state.</x:v>
      </x:c>
      <x:c r="P1134" s="35" t="str">
        <x:v>All expected records and amounts match; no unexplained error or stale state.</x:v>
      </x:c>
    </x:row>
    <x:row r="1135">
      <x:c r="A1135" s="20" t="str">
        <x:v>RUN-20270721-04</x:v>
      </x:c>
      <x:c r="B1135" s="23" t="n">
        <x:v>46589</x:v>
      </x:c>
      <x:c r="C1135" s="32" t="n">
        <x:v>4</x:v>
      </x:c>
      <x:c r="D1135" s="20" t="str">
        <x:v>Surface coverage</x:v>
      </x:c>
      <x:c r="E1135" s="20" t="str">
        <x:v>Role appropriate to surface</x:v>
      </x:c>
      <x:c r="F1135" s="20" t="str">
        <x:v>Mobile</x:v>
      </x:c>
      <x:c r="G1135" s="20" t="str">
        <x:v>Scan/attachment</x:v>
      </x:c>
      <x:c r="H1135" s="35" t="str">
        <x:v>Scan mobile pass: Work order create/edit/timeline/responsibility</x:v>
      </x:c>
      <x:c r="I1135" s="35" t="str">
        <x:v>COV-025</x:v>
      </x:c>
      <x:c r="J1135" s="35" t="str"/>
      <x:c r="K1135" s="35" t="str"/>
      <x:c r="L1135" s="35" t="str">
        <x:v>Scan and manually create work orders on both clients; edit, assign, status, notes, responsibility, and timeline.</x:v>
      </x:c>
      <x:c r="M1135" s="35" t="str">
        <x:v>The supported workflow completes and persists correctly; if the capability is absent, the exact gap is proven and queued rather than silently skipped.</x:v>
      </x:c>
      <x:c r="N1135" s="35" t="str">
        <x:v>Real UI screenshot/state; submitted values; persisted read-back; cross-client read-back; audit/role/access evidence.</x:v>
      </x:c>
      <x:c r="O1135" s="35" t="str">
        <x:v>Use one invalid value, stale-state retry, or duplicate submission relevant to the form; no partial or duplicate mutation.</x:v>
      </x:c>
      <x:c r="P1135" s="35" t="str">
        <x:v>All expected records and amounts match; no unexplained error or stale state.</x:v>
      </x:c>
    </x:row>
    <x:row r="1136">
      <x:c r="A1136" s="20" t="str">
        <x:v>RUN-20270722-01</x:v>
      </x:c>
      <x:c r="B1136" s="23" t="n">
        <x:v>46590</x:v>
      </x:c>
      <x:c r="C1136" s="32" t="n">
        <x:v>1</x:v>
      </x:c>
      <x:c r="D1136" s="20" t="str">
        <x:v>Role and screen certification</x:v>
      </x:c>
      <x:c r="E1136" s="20" t="str">
        <x:v>Applicant / public user</x:v>
      </x:c>
      <x:c r="F1136" s="20" t="str">
        <x:v>Mobile</x:v>
      </x:c>
      <x:c r="G1136" s="20" t="str">
        <x:v>Normal persona navigation</x:v>
      </x:c>
      <x:c r="H1136" s="35" t="str">
        <x:v>Use every permitted action and state on features/ai/qa_screen.dart</x:v>
      </x:c>
      <x:c r="I1136" s="35" t="str">
        <x:v>SCR-107; ROLE-190</x:v>
      </x:c>
      <x:c r="J1136" s="35" t="str"/>
      <x:c r="K1136" s="35" t="str"/>
      <x:c r="L113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36" s="35" t="str">
        <x:v>The persona can use every allowed action with only its assigned properties/relationships. Hidden or disabled actions explain why; an adjacent unauthorized persona is denied without metadata leakage.</x:v>
      </x:c>
      <x:c r="N1136" s="35" t="str">
        <x:v>Persona/experience; navigation entry; desktop or device screenshots; result state; persisted read-back; audit/history; authorized and denied network result.</x:v>
      </x:c>
      <x:c r="O1136" s="35" t="str">
        <x:v>Open the direct URL or deep link with an adjacent unauthorized persona and with stale scope; both fail closed and land safely without mutation.</x:v>
      </x:c>
      <x:c r="P1136" s="35" t="str">
        <x:v>All expected records and amounts match; no unexplained error or stale state.</x:v>
      </x:c>
    </x:row>
    <x:row r="1137">
      <x:c r="A1137" s="20" t="str">
        <x:v>RUN-20270722-02</x:v>
      </x:c>
      <x:c r="B1137" s="23" t="n">
        <x:v>46590</x:v>
      </x:c>
      <x:c r="C1137" s="32" t="n">
        <x:v>2</x:v>
      </x:c>
      <x:c r="D1137" s="20" t="str">
        <x:v>Field certification</x:v>
      </x:c>
      <x:c r="E1137" s="20" t="str">
        <x:v>Property Manager</x:v>
      </x:c>
      <x:c r="F1137" s="20" t="str">
        <x:v>Web</x:v>
      </x:c>
      <x:c r="G1137" s="20" t="str">
        <x:v>Manual field-by-field</x:v>
      </x:c>
      <x:c r="H1137" s="35" t="str">
        <x:v>Fill, save, reload, edit, and validate every declared field on /owners</x:v>
      </x:c>
      <x:c r="I1137" s="35" t="str">
        <x:v>FLD-0581; FLD-0582; FLD-0583; FLD-0584</x:v>
      </x:c>
      <x:c r="J1137" s="35" t="str"/>
      <x:c r="K1137" s="35" t="str"/>
      <x:c r="L1137" s="35" t="str">
        <x:v>Use the source-derived Field Inventory. Enter non-default realistic values in every control (ownerForm.ownerEntityType; owner-type-input; Select-4; Select-5); submit; reload or relaunch; compare every value; edit each mutable field; verify the paired client; then run required, format, length, range, boundary, optional-null, and stale-submit checks.</x:v>
      </x:c>
      <x:c r="M1137" s="35" t="str">
        <x:v>All 4 inventoried controls persist exact normalized values, invalid values stay unsaved with clear errors, and hidden/unauthorized fields cannot be altered.</x:v>
      </x:c>
      <x:c r="N1137" s="35" t="str">
        <x:v>Before/after form screenshots; FLD IDs; API response; reloaded UI; paired-client read-back; database/audit evidence; negative validation result.</x:v>
      </x:c>
      <x:c r="O1137" s="35" t="str">
        <x:v>Use a duplicate submit and one simulated network interruption; one atomic mutation or none, never partial state.</x:v>
      </x:c>
      <x:c r="P1137" s="35" t="str">
        <x:v>All expected records and amounts match; no unexplained error or stale state.</x:v>
      </x:c>
    </x:row>
    <x:row r="1138">
      <x:c r="A1138" s="20" t="str">
        <x:v>RUN-20270722-03</x:v>
      </x:c>
      <x:c r="B1138" s="23" t="n">
        <x:v>46590</x:v>
      </x:c>
      <x:c r="C1138" s="32" t="n">
        <x:v>3</x:v>
      </x:c>
      <x:c r="D1138" s="20" t="str">
        <x:v>Notification certification</x:v>
      </x:c>
      <x:c r="E1138" s="20" t="str">
        <x:v>Property Manager</x:v>
      </x:c>
      <x:c r="F1138" s="20" t="str">
        <x:v>Web + Mobile</x:v>
      </x:c>
      <x:c r="G1138" s="20" t="str">
        <x:v>System event + preference/manual verification</x:v>
      </x:c>
      <x:c r="H1138" s="35" t="str">
        <x:v>Trigger and prove notification: Work order accepted/declined</x:v>
      </x:c>
      <x:c r="I1138" s="35" t="str">
        <x:v>NTF-027</x:v>
      </x:c>
      <x:c r="J1138" s="35" t="str"/>
      <x:c r="K1138" s="35" t="str"/>
      <x:c r="L1138" s="35" t="str">
        <x:v>Set each recipient's preferences; trigger the real business event; inspect routing and recipient scope; verify unread badge, list item, safe preview, work order deep link, mark-read sync, configured channel outcome, provider failure/retry, and duplicate suppression.</x:v>
      </x:c>
      <x:c r="M1138" s="35" t="str">
        <x:v>Exactly the intended recipients receive one correctly routed notification; disabled optional channels stay silent; deep link opens authorized context; read state synchronizes.</x:v>
      </x:c>
      <x:c r="N1138" s="35" t="str">
        <x:v>Trigger record; routing decision; outbox/delivery status; web/mobile inbox; lock-screen-safe copy; deep-link target; audit/provider retry evidence.</x:v>
      </x:c>
      <x:c r="O1138" s="35" t="str">
        <x:v>Re-run the worker and deliver a duplicate provider callback; no duplicate user-visible event. Attempt the deep link as an unauthorized adjacent role.</x:v>
      </x:c>
      <x:c r="P1138" s="35" t="str">
        <x:v>All expected records and amounts match; no unexplained error or stale state.</x:v>
      </x:c>
    </x:row>
    <x:row r="1139">
      <x:c r="A1139" s="20" t="str">
        <x:v>RUN-20270723-01</x:v>
      </x:c>
      <x:c r="B1139" s="23" t="n">
        <x:v>46591</x:v>
      </x:c>
      <x:c r="C1139" s="32" t="n">
        <x:v>1</x:v>
      </x:c>
      <x:c r="D1139" s="20" t="str">
        <x:v>Role and screen certification</x:v>
      </x:c>
      <x:c r="E1139" s="20" t="str">
        <x:v>Applicant / public user</x:v>
      </x:c>
      <x:c r="F1139" s="20" t="str">
        <x:v>Mobile</x:v>
      </x:c>
      <x:c r="G1139" s="20" t="str">
        <x:v>Normal persona navigation</x:v>
      </x:c>
      <x:c r="H1139" s="35" t="str">
        <x:v>Use every permitted action and state on features/analytics/insights_screen.dart</x:v>
      </x:c>
      <x:c r="I1139" s="35" t="str">
        <x:v>SCR-108; ROLE-191</x:v>
      </x:c>
      <x:c r="J1139" s="35" t="str"/>
      <x:c r="K1139" s="35" t="str"/>
      <x:c r="L113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39" s="35" t="str">
        <x:v>The persona can use every allowed action with only its assigned properties/relationships. Hidden or disabled actions explain why; an adjacent unauthorized persona is denied without metadata leakage.</x:v>
      </x:c>
      <x:c r="N1139" s="35" t="str">
        <x:v>Persona/experience; navigation entry; desktop or device screenshots; result state; persisted read-back; audit/history; authorized and denied network result.</x:v>
      </x:c>
      <x:c r="O1139" s="35" t="str">
        <x:v>Open the direct URL or deep link with an adjacent unauthorized persona and with stale scope; both fail closed and land safely without mutation.</x:v>
      </x:c>
      <x:c r="P1139" s="35" t="str">
        <x:v>All expected records and amounts match; no unexplained error or stale state.</x:v>
      </x:c>
    </x:row>
    <x:row r="1140">
      <x:c r="A1140" s="20" t="str">
        <x:v>RUN-20270723-02</x:v>
      </x:c>
      <x:c r="B1140" s="23" t="n">
        <x:v>46591</x:v>
      </x:c>
      <x:c r="C1140" s="32" t="n">
        <x:v>2</x:v>
      </x:c>
      <x:c r="D1140" s="20" t="str">
        <x:v>Field certification</x:v>
      </x:c>
      <x:c r="E1140" s="20" t="str">
        <x:v>Property Manager</x:v>
      </x:c>
      <x:c r="F1140" s="20" t="str">
        <x:v>Web</x:v>
      </x:c>
      <x:c r="G1140" s="20" t="str">
        <x:v>Manual field-by-field</x:v>
      </x:c>
      <x:c r="H1140" s="35" t="str">
        <x:v>Fill, save, reload, edit, and validate every declared field on /owners</x:v>
      </x:c>
      <x:c r="I1140" s="35" t="str">
        <x:v>FLD-0585; FLD-0586; FLD-0587; FLD-0588; FLD-0589</x:v>
      </x:c>
      <x:c r="J1140" s="35" t="str"/>
      <x:c r="K1140" s="35" t="str"/>
      <x:c r="L1140" s="35" t="str">
        <x:v>Use the source-derived Field Inventory. Enter non-default realistic values in every control (owner-taxid-input; owner-address2-input; owner-city-input; owner-zip-input; owner-phone-input); submit; reload or relaunch; compare every value; edit each mutable field; verify the paired client; then run required, format, length, range, boundary, optional-null, and stale-submit checks.</x:v>
      </x:c>
      <x:c r="M1140" s="35" t="str">
        <x:v>All 5 inventoried controls persist exact normalized values, invalid values stay unsaved with clear errors, and hidden/unauthorized fields cannot be altered.</x:v>
      </x:c>
      <x:c r="N1140" s="35" t="str">
        <x:v>Before/after form screenshots; FLD IDs; API response; reloaded UI; paired-client read-back; database/audit evidence; negative validation result.</x:v>
      </x:c>
      <x:c r="O1140" s="35" t="str">
        <x:v>Use a duplicate submit and one simulated network interruption; one atomic mutation or none, never partial state.</x:v>
      </x:c>
      <x:c r="P1140" s="35" t="str">
        <x:v>All expected records and amounts match; no unexplained error or stale state.</x:v>
      </x:c>
    </x:row>
    <x:row r="1141">
      <x:c r="A1141" s="20" t="str">
        <x:v>RUN-20270723-03</x:v>
      </x:c>
      <x:c r="B1141" s="23" t="n">
        <x:v>46591</x:v>
      </x:c>
      <x:c r="C1141" s="32" t="n">
        <x:v>3</x:v>
      </x:c>
      <x:c r="D1141" s="20" t="str">
        <x:v>Lifecycle certification</x:v>
      </x:c>
      <x:c r="E1141" s="20" t="str">
        <x:v>Workspace Administrator</x:v>
      </x:c>
      <x:c r="F1141" s="20" t="str">
        <x:v>Web + Mobile</x:v>
      </x:c>
      <x:c r="G1141" s="20" t="str">
        <x:v>Manual + scan/attachment where supported</x:v>
      </x:c>
      <x:c r="H1141" s="35" t="str">
        <x:v>Complete the full create/read/edit/lifecycle/delete-safe pass for Loan</x:v>
      </x:c>
      <x:c r="I1141" s="35" t="str">
        <x:v>CRUD-019</x:v>
      </x:c>
      <x:c r="J1141" s="35" t="str"/>
      <x:c r="K1141" s="35" t="str"/>
      <x:c r="L1141" s="35" t="str">
        <x:v>Use a dedicated disposable QA record and execute: create; edit; statement attach; amortize; payoff; delete guard. Fill every field referenced by field-inventory.csv. Verify confirmation copy, cancel path, final path, reload, other-client state, history, and role denial.</x:v>
      </x:c>
      <x:c r="M1141" s="35" t="str">
        <x:v>Every supported transition succeeds exactly once; forbidden destructive actions are guarded; reversible deletion/deactivation works; financial and historical truth is preserved.</x:v>
      </x:c>
      <x:c r="N1141" s="35" t="str">
        <x:v>Entity before/after; both clients; all FLD IDs; audit/history; notifications; authorized and unauthorized personas; API/DB state.</x:v>
      </x:c>
      <x:c r="O1141" s="35" t="str">
        <x:v>Cancel the first destructive confirmation, then repeat and confirm; retry the mutation once; no double transition or orphan.</x:v>
      </x:c>
      <x:c r="P1141" s="35" t="str">
        <x:v>All expected records and amounts match; no unexplained error or stale state.</x:v>
      </x:c>
    </x:row>
    <x:row r="1142">
      <x:c r="A1142" s="20" t="str">
        <x:v>RUN-20270723-04</x:v>
      </x:c>
      <x:c r="B1142" s="23" t="n">
        <x:v>46591</x:v>
      </x:c>
      <x:c r="C1142" s="32" t="n">
        <x:v>4</x:v>
      </x:c>
      <x:c r="D1142" s="20" t="str">
        <x:v>Surface coverage</x:v>
      </x:c>
      <x:c r="E1142" s="20" t="str">
        <x:v>Role appropriate to surface</x:v>
      </x:c>
      <x:c r="F1142" s="20" t="str">
        <x:v>Web</x:v>
      </x:c>
      <x:c r="G1142" s="20" t="str">
        <x:v>Manual</x:v>
      </x:c>
      <x:c r="H1142" s="35" t="str">
        <x:v>Manual web pass: Vendor dispatch, completion, rating</x:v>
      </x:c>
      <x:c r="I1142" s="35" t="str">
        <x:v>COV-026</x:v>
      </x:c>
      <x:c r="J1142" s="35" t="str"/>
      <x:c r="K1142" s="35" t="str"/>
      <x:c r="L1142" s="35" t="str">
        <x:v>Dispatch, accept/decline, complete from inbound response, rate vendor, and preserve history.</x:v>
      </x:c>
      <x:c r="M1142" s="35" t="str">
        <x:v>The supported workflow completes and persists correctly; if the capability is absent, the exact gap is proven and queued rather than silently skipped.</x:v>
      </x:c>
      <x:c r="N1142" s="35" t="str">
        <x:v>Real UI screenshot/state; submitted values; persisted read-back; cross-client read-back; audit/role/access evidence.</x:v>
      </x:c>
      <x:c r="O1142" s="35" t="str">
        <x:v>Use one invalid value, stale-state retry, or duplicate submission relevant to the form; no partial or duplicate mutation.</x:v>
      </x:c>
      <x:c r="P1142" s="35" t="str">
        <x:v>All expected records and amounts match; no unexplained error or stale state.</x:v>
      </x:c>
    </x:row>
    <x:row r="1143">
      <x:c r="A1143" s="20" t="str">
        <x:v>RUN-20270725-01</x:v>
      </x:c>
      <x:c r="B1143" s="23" t="n">
        <x:v>46593</x:v>
      </x:c>
      <x:c r="C1143" s="32" t="n">
        <x:v>1</x:v>
      </x:c>
      <x:c r="D1143" s="20" t="str">
        <x:v>Monthly close</x:v>
      </x:c>
      <x:c r="E1143" s="20" t="str">
        <x:v>Owner + Workspace Administrator</x:v>
      </x:c>
      <x:c r="F1143" s="20" t="str">
        <x:v>Web + Mobile owner portal</x:v>
      </x:c>
      <x:c r="G1143" s="20" t="str">
        <x:v>Manual approval</x:v>
      </x:c>
      <x:c r="H1143" s="35" t="str">
        <x:v>July owner statements and distributions</x:v>
      </x:c>
      <x:c r="I1143" s="35" t="str">
        <x:v>O01-O05</x:v>
      </x:c>
      <x:c r="J1143" s="35" t="str"/>
      <x:c r="K1143" s="35" t="str">
        <x:v>FIN-01318; FIN-01319; FIN-01320; FIN-01321; FIN-01322</x:v>
      </x:c>
      <x:c r="L1143" s="35" t="str">
        <x:v>Generate owner statements; review income/expense allocations; approve distributions; record the bank export; open statements from owner portal on web and mobile.</x:v>
      </x:c>
      <x:c r="M1143" s="35" t="str">
        <x:v>Five owner statements agree with Property/accounting totals and five distributions reduce cash/equity distributions without becoming expenses.</x:v>
      </x:c>
      <x:c r="N1143" s="35" t="str">
        <x:v>Statements; approvals; owner portal PDFs; distribution rows; bank references; audit.</x:v>
      </x:c>
      <x:c r="O1143" s="35" t="str">
        <x:v>Reject one draft distribution before approval each quarter and prove no cash event is posted.</x:v>
      </x:c>
      <x:c r="P1143" s="35" t="str">
        <x:v>All expected records and amounts match; no unexplained error or stale state.</x:v>
      </x:c>
    </x:row>
    <x:row r="1144">
      <x:c r="A1144" s="20" t="str">
        <x:v>RUN-20270725-02</x:v>
      </x:c>
      <x:c r="B1144" s="23" t="n">
        <x:v>46593</x:v>
      </x:c>
      <x:c r="C1144" s="32" t="n">
        <x:v>2</x:v>
      </x:c>
      <x:c r="D1144" s="20" t="str">
        <x:v>Leasing</x:v>
      </x:c>
      <x:c r="E1144" s="20" t="str">
        <x:v>Property Manager</x:v>
      </x:c>
      <x:c r="F1144" s="20" t="str">
        <x:v>Mobile</x:v>
      </x:c>
      <x:c r="G1144" s="20" t="str">
        <x:v>Scan + manual classification</x:v>
      </x:c>
      <x:c r="H1144" s="35" t="str">
        <x:v>Collect and classify security deposit</x:v>
      </x:c>
      <x:c r="I1144" s="35" t="str">
        <x:v>L039; U017</x:v>
      </x:c>
      <x:c r="J1144" s="35" t="str">
        <x:v>SCN-0917</x:v>
      </x:c>
      <x:c r="K1144" s="35" t="str">
        <x:v>FIN-01652</x:v>
      </x:c>
      <x:c r="L1144" s="35" t="str">
        <x:v>Capture the receipt; verify payer/amount; classify to the security-deposit account rather than rent; confirm trust account, liability, lease provenance, and receipt.</x:v>
      </x:c>
      <x:c r="M1144" s="35" t="str">
        <x:v>Deposit trust cash and liability rise equally; tenant rent AR and rental income do not change.</x:v>
      </x:c>
      <x:c r="N1144" s="35" t="str">
        <x:v>Scan review; deposit register; tenant account provenance; trust cash; accounting checks; receipt.</x:v>
      </x:c>
      <x:c r="O1144" s="35" t="str">
        <x:v>Try to classify the deposit as rent, cancel, then classify correctly; no abandoned financial row remains.</x:v>
      </x:c>
      <x:c r="P1144" s="35" t="str">
        <x:v>All expected records and amounts match; no unexplained error or stale state.</x:v>
      </x:c>
    </x:row>
    <x:row r="1145">
      <x:c r="A1145" s="20" t="str">
        <x:v>RUN-20270726-01</x:v>
      </x:c>
      <x:c r="B1145" s="23" t="n">
        <x:v>46594</x:v>
      </x:c>
      <x:c r="C1145" s="32" t="n">
        <x:v>1</x:v>
      </x:c>
      <x:c r="D1145" s="20" t="str">
        <x:v>Weekly operations</x:v>
      </x:c>
      <x:c r="E1145" s="20" t="str">
        <x:v>Property Manager</x:v>
      </x:c>
      <x:c r="F1145" s="20" t="str">
        <x:v>Web</x:v>
      </x:c>
      <x:c r="G1145" s="20" t="str">
        <x:v>Scan-first</x:v>
      </x:c>
      <x:c r="H1145" s="35" t="str">
        <x:v>Create and triage maintenance request</x:v>
      </x:c>
      <x:c r="I1145" s="35" t="str">
        <x:v>P011; U011; WO-2027-030</x:v>
      </x:c>
      <x:c r="J1145" s="35" t="str">
        <x:v>SCN-0400</x:v>
      </x:c>
      <x:c r="K1145" s="35" t="str"/>
      <x:c r="L1145" s="35" t="str">
        <x:v>Capture the tenant note/photo; review turnover touch-up; confirm; set responsibility; dispatch Apex Plumbing; create an appointment and verify the tenant notification.</x:v>
      </x:c>
      <x:c r="M1145" s="35" t="str">
        <x:v>Work order, status timeline, responsibility, vendor dispatch, appointment, notification, and Unit context are linked once.</x:v>
      </x:c>
      <x:c r="N1145" s="35" t="str">
        <x:v>Scan review; work order detail/timeline; dispatch; appointment; notification; tenant portal view.</x:v>
      </x:c>
      <x:c r="O1145" s="35" t="str">
        <x:v>Cancel one dispatch each quarter, reassign once, and prove status/history remains append-only.</x:v>
      </x:c>
      <x:c r="P1145" s="35" t="str">
        <x:v>All expected records and amounts match; no unexplained error or stale state.</x:v>
      </x:c>
    </x:row>
    <x:row r="1146">
      <x:c r="A1146" s="20" t="str">
        <x:v>RUN-20270726-02</x:v>
      </x:c>
      <x:c r="B1146" s="23" t="n">
        <x:v>46594</x:v>
      </x:c>
      <x:c r="C1146" s="32" t="n">
        <x:v>2</x:v>
      </x:c>
      <x:c r="D1146" s="20" t="str">
        <x:v>Role and screen certification</x:v>
      </x:c>
      <x:c r="E1146" s="20" t="str">
        <x:v>Applicant / public user</x:v>
      </x:c>
      <x:c r="F1146" s="20" t="str">
        <x:v>Mobile</x:v>
      </x:c>
      <x:c r="G1146" s="20" t="str">
        <x:v>Normal persona navigation</x:v>
      </x:c>
      <x:c r="H1146" s="35" t="str">
        <x:v>Use every permitted action and state on features/applications/application_detail_screen.dart</x:v>
      </x:c>
      <x:c r="I1146" s="35" t="str">
        <x:v>SCR-109; ROLE-192</x:v>
      </x:c>
      <x:c r="J1146" s="35" t="str"/>
      <x:c r="K1146" s="35" t="str"/>
      <x:c r="L114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46" s="35" t="str">
        <x:v>The persona can use every allowed action with only its assigned properties/relationships. Hidden or disabled actions explain why; an adjacent unauthorized persona is denied without metadata leakage.</x:v>
      </x:c>
      <x:c r="N1146" s="35" t="str">
        <x:v>Persona/experience; navigation entry; desktop or device screenshots; result state; persisted read-back; audit/history; authorized and denied network result.</x:v>
      </x:c>
      <x:c r="O1146" s="35" t="str">
        <x:v>Open the direct URL or deep link with an adjacent unauthorized persona and with stale scope; both fail closed and land safely without mutation.</x:v>
      </x:c>
      <x:c r="P1146" s="35" t="str">
        <x:v>All expected records and amounts match; no unexplained error or stale state.</x:v>
      </x:c>
    </x:row>
    <x:row r="1147">
      <x:c r="A1147" s="20" t="str">
        <x:v>RUN-20270726-03</x:v>
      </x:c>
      <x:c r="B1147" s="23" t="n">
        <x:v>46594</x:v>
      </x:c>
      <x:c r="C1147" s="32" t="n">
        <x:v>3</x:v>
      </x:c>
      <x:c r="D1147" s="20" t="str">
        <x:v>Field certification</x:v>
      </x:c>
      <x:c r="E1147" s="20" t="str">
        <x:v>Property Manager</x:v>
      </x:c>
      <x:c r="F1147" s="20" t="str">
        <x:v>Web</x:v>
      </x:c>
      <x:c r="G1147" s="20" t="str">
        <x:v>Manual field-by-field</x:v>
      </x:c>
      <x:c r="H1147" s="35" t="str">
        <x:v>Fill, save, reload, edit, and validate every declared field on /owners</x:v>
      </x:c>
      <x:c r="I1147" s="35" t="str">
        <x:v>FLD-0590</x:v>
      </x:c>
      <x:c r="J1147" s="35" t="str"/>
      <x:c r="K1147" s="35" t="str"/>
      <x:c r="L1147" s="35" t="str">
        <x:v>Use the source-derived Field Inventory. Enter non-default realistic values in every control (owner-email-input); submit; reload or relaunch; compare every value; edit each mutable field; verify the paired client; then run required, format, length, range, boundary, optional-null, and stale-submit checks.</x:v>
      </x:c>
      <x:c r="M1147" s="35" t="str">
        <x:v>All 1 inventoried controls persist exact normalized values, invalid values stay unsaved with clear errors, and hidden/unauthorized fields cannot be altered.</x:v>
      </x:c>
      <x:c r="N1147" s="35" t="str">
        <x:v>Before/after form screenshots; FLD IDs; API response; reloaded UI; paired-client read-back; database/audit evidence; negative validation result.</x:v>
      </x:c>
      <x:c r="O1147" s="35" t="str">
        <x:v>Use a duplicate submit and one simulated network interruption; one atomic mutation or none, never partial state.</x:v>
      </x:c>
      <x:c r="P1147" s="35" t="str">
        <x:v>All expected records and amounts match; no unexplained error or stale state.</x:v>
      </x:c>
    </x:row>
    <x:row r="1148">
      <x:c r="A1148" s="20" t="str">
        <x:v>RUN-20270726-04</x:v>
      </x:c>
      <x:c r="B1148" s="23" t="n">
        <x:v>46594</x:v>
      </x:c>
      <x:c r="C1148" s="32" t="n">
        <x:v>4</x:v>
      </x:c>
      <x:c r="D1148" s="20" t="str">
        <x:v>Field certification</x:v>
      </x:c>
      <x:c r="E1148" s="20" t="str">
        <x:v>Property Manager</x:v>
      </x:c>
      <x:c r="F1148" s="20" t="str">
        <x:v>Web</x:v>
      </x:c>
      <x:c r="G1148" s="20" t="str">
        <x:v>Manual field-by-field</x:v>
      </x:c>
      <x:c r="H1148" s="35" t="str">
        <x:v>Fill, save, reload, edit, and validate every declared field on /owners-report</x:v>
      </x:c>
      <x:c r="I1148" s="35" t="str">
        <x:v>FLD-0591; FLD-0592; FLD-0593</x:v>
      </x:c>
      <x:c r="J1148" s="35" t="str"/>
      <x:c r="K1148" s="35" t="str"/>
      <x:c r="L1148" s="35" t="str">
        <x:v>Use the source-derived Field Inventory. Enter non-default realistic values in every control (selectedYear; owners-report-year-select; Select-3); submit; reload or relaunch; compare every value; edit each mutable field; verify the paired client; then run required, format, length, range, boundary, optional-null, and stale-submit checks.</x:v>
      </x:c>
      <x:c r="M1148" s="35" t="str">
        <x:v>All 3 inventoried controls persist exact normalized values, invalid values stay unsaved with clear errors, and hidden/unauthorized fields cannot be altered.</x:v>
      </x:c>
      <x:c r="N1148" s="35" t="str">
        <x:v>Before/after form screenshots; FLD IDs; API response; reloaded UI; paired-client read-back; database/audit evidence; negative validation result.</x:v>
      </x:c>
      <x:c r="O1148" s="35" t="str">
        <x:v>Use a duplicate submit and one simulated network interruption; one atomic mutation or none, never partial state.</x:v>
      </x:c>
      <x:c r="P1148" s="35" t="str">
        <x:v>All expected records and amounts match; no unexplained error or stale state.</x:v>
      </x:c>
    </x:row>
    <x:row r="1149">
      <x:c r="A1149" s="20" t="str">
        <x:v>RUN-20270726-05</x:v>
      </x:c>
      <x:c r="B1149" s="23" t="n">
        <x:v>46594</x:v>
      </x:c>
      <x:c r="C1149" s="32" t="n">
        <x:v>5</x:v>
      </x:c>
      <x:c r="D1149" s="20" t="str">
        <x:v>Surface coverage</x:v>
      </x:c>
      <x:c r="E1149" s="20" t="str">
        <x:v>Role appropriate to surface</x:v>
      </x:c>
      <x:c r="F1149" s="20" t="str">
        <x:v>Mobile</x:v>
      </x:c>
      <x:c r="G1149" s="20" t="str">
        <x:v>Manual</x:v>
      </x:c>
      <x:c r="H1149" s="35" t="str">
        <x:v>Manual mobile pass: Vendor dispatch, completion, rating</x:v>
      </x:c>
      <x:c r="I1149" s="35" t="str">
        <x:v>COV-026</x:v>
      </x:c>
      <x:c r="J1149" s="35" t="str"/>
      <x:c r="K1149" s="35" t="str"/>
      <x:c r="L1149" s="35" t="str">
        <x:v>Dispatch, accept/decline, complete from inbound response, rate vendor, and preserve history.</x:v>
      </x:c>
      <x:c r="M1149" s="35" t="str">
        <x:v>The supported workflow completes and persists correctly; if the capability is absent, the exact gap is proven and queued rather than silently skipped.</x:v>
      </x:c>
      <x:c r="N1149" s="35" t="str">
        <x:v>Real UI screenshot/state; submitted values; persisted read-back; cross-client read-back; audit/role/access evidence.</x:v>
      </x:c>
      <x:c r="O1149" s="35" t="str">
        <x:v>Use one invalid value, stale-state retry, or duplicate submission relevant to the form; no partial or duplicate mutation.</x:v>
      </x:c>
      <x:c r="P1149" s="35" t="str">
        <x:v>All expected records and amounts match; no unexplained error or stale state.</x:v>
      </x:c>
    </x:row>
    <x:row r="1150">
      <x:c r="A1150" s="20" t="str">
        <x:v>RUN-20270727-01</x:v>
      </x:c>
      <x:c r="B1150" s="23" t="n">
        <x:v>46595</x:v>
      </x:c>
      <x:c r="C1150" s="32" t="n">
        <x:v>1</x:v>
      </x:c>
      <x:c r="D1150" s="20" t="str">
        <x:v>Weekly operations</x:v>
      </x:c>
      <x:c r="E1150" s="20" t="str">
        <x:v>Property Manager</x:v>
      </x:c>
      <x:c r="F1150" s="20" t="str">
        <x:v>Web</x:v>
      </x:c>
      <x:c r="G1150" s="20" t="str">
        <x:v>Manual mobile form</x:v>
      </x:c>
      <x:c r="H1150" s="35" t="str">
        <x:v>Record, review, allocate, and pay operating expense</x:v>
      </x:c>
      <x:c r="I1150" s="35" t="str">
        <x:v>P011; U011; WO-2027-030</x:v>
      </x:c>
      <x:c r="J1150" s="35" t="str"/>
      <x:c r="K1150" s="35" t="str">
        <x:v>FIN-01053</x:v>
      </x:c>
      <x:c r="L1150" s="35" t="str">
        <x:v>Capture or upload the source; verify vendor, date, scope, category, line items, tax, amount, and work-order link; confirm; open detail; verify attachment; compare Money and Property/Unit views.</x:v>
      </x:c>
      <x:c r="M1150" s="35" t="str">
        <x:v>One expense exists at its real operational scope, cash falls once, Schedule E category and allocations agree, and no per-unit copies are created.</x:v>
      </x:c>
      <x:c r="N1150" s="35" t="str">
        <x:v>Source preview; review/form; expense detail; line items; Property/Unit ledger; audit; accounting/report delta.</x:v>
      </x:c>
      <x:c r="O1150" s="35" t="str">
        <x:v>On marked duplicate-invoice cases, re-upload before confirm and prove the product prevents or clearly warns about duplication.</x:v>
      </x:c>
      <x:c r="P1150" s="35" t="str">
        <x:v>All expected records and amounts match; no unexplained error or stale state.</x:v>
      </x:c>
    </x:row>
    <x:row r="1151">
      <x:c r="A1151" s="20" t="str">
        <x:v>RUN-20270727-02</x:v>
      </x:c>
      <x:c r="B1151" s="23" t="n">
        <x:v>46595</x:v>
      </x:c>
      <x:c r="C1151" s="32" t="n">
        <x:v>2</x:v>
      </x:c>
      <x:c r="D1151" s="20" t="str">
        <x:v>Field certification</x:v>
      </x:c>
      <x:c r="E1151" s="20" t="str">
        <x:v>Property Manager</x:v>
      </x:c>
      <x:c r="F1151" s="20" t="str">
        <x:v>Web</x:v>
      </x:c>
      <x:c r="G1151" s="20" t="str">
        <x:v>Manual field-by-field</x:v>
      </x:c>
      <x:c r="H1151" s="35" t="str">
        <x:v>Fill, save, reload, edit, and validate every declared field on /owners-report</x:v>
      </x:c>
      <x:c r="I1151" s="35" t="str">
        <x:v>FLD-0594; FLD-0595; FLD-0596; FLD-0597; FLD-0598</x:v>
      </x:c>
      <x:c r="J1151" s="35" t="str"/>
      <x:c r="K1151" s="35" t="str"/>
      <x:c r="L1151" s="35" t="str">
        <x:v>Use the source-derived Field Inventory. Enter non-default realistic values in every control (Select-4; owner-distribution-date; owner-distribution-amount; distributionForm.method; owner-distribution-method); submit; reload or relaunch; compare every value; edit each mutable field; verify the paired client; then run required, format, length, range, boundary, optional-null, and stale-submit checks.</x:v>
      </x:c>
      <x:c r="M1151" s="35" t="str">
        <x:v>All 5 inventoried controls persist exact normalized values, invalid values stay unsaved with clear errors, and hidden/unauthorized fields cannot be altered.</x:v>
      </x:c>
      <x:c r="N1151" s="35" t="str">
        <x:v>Before/after form screenshots; FLD IDs; API response; reloaded UI; paired-client read-back; database/audit evidence; negative validation result.</x:v>
      </x:c>
      <x:c r="O1151" s="35" t="str">
        <x:v>Use a duplicate submit and one simulated network interruption; one atomic mutation or none, never partial state.</x:v>
      </x:c>
      <x:c r="P1151" s="35" t="str">
        <x:v>All expected records and amounts match; no unexplained error or stale state.</x:v>
      </x:c>
    </x:row>
    <x:row r="1152">
      <x:c r="A1152" s="20" t="str">
        <x:v>RUN-20270728-01</x:v>
      </x:c>
      <x:c r="B1152" s="23" t="n">
        <x:v>46596</x:v>
      </x:c>
      <x:c r="C1152" s="32" t="n">
        <x:v>1</x:v>
      </x:c>
      <x:c r="D1152" s="20" t="str">
        <x:v>Role and screen certification</x:v>
      </x:c>
      <x:c r="E1152" s="20" t="str">
        <x:v>Applicant / public user</x:v>
      </x:c>
      <x:c r="F1152" s="20" t="str">
        <x:v>Mobile</x:v>
      </x:c>
      <x:c r="G1152" s="20" t="str">
        <x:v>Normal persona navigation</x:v>
      </x:c>
      <x:c r="H1152" s="35" t="str">
        <x:v>Use every permitted action and state on features/applications/applications_list_screen.dart</x:v>
      </x:c>
      <x:c r="I1152" s="35" t="str">
        <x:v>SCR-110; ROLE-193</x:v>
      </x:c>
      <x:c r="J1152" s="35" t="str"/>
      <x:c r="K1152" s="35" t="str"/>
      <x:c r="L115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52" s="35" t="str">
        <x:v>The persona can use every allowed action with only its assigned properties/relationships. Hidden or disabled actions explain why; an adjacent unauthorized persona is denied without metadata leakage.</x:v>
      </x:c>
      <x:c r="N1152" s="35" t="str">
        <x:v>Persona/experience; navigation entry; desktop or device screenshots; result state; persisted read-back; audit/history; authorized and denied network result.</x:v>
      </x:c>
      <x:c r="O1152" s="35" t="str">
        <x:v>Open the direct URL or deep link with an adjacent unauthorized persona and with stale scope; both fail closed and land safely without mutation.</x:v>
      </x:c>
      <x:c r="P1152" s="35" t="str">
        <x:v>All expected records and amounts match; no unexplained error or stale state.</x:v>
      </x:c>
    </x:row>
    <x:row r="1153">
      <x:c r="A1153" s="20" t="str">
        <x:v>RUN-20270728-02</x:v>
      </x:c>
      <x:c r="B1153" s="23" t="n">
        <x:v>46596</x:v>
      </x:c>
      <x:c r="C1153" s="32" t="n">
        <x:v>2</x:v>
      </x:c>
      <x:c r="D1153" s="20" t="str">
        <x:v>Field certification</x:v>
      </x:c>
      <x:c r="E1153" s="20" t="str">
        <x:v>Property Manager</x:v>
      </x:c>
      <x:c r="F1153" s="20" t="str">
        <x:v>Web</x:v>
      </x:c>
      <x:c r="G1153" s="20" t="str">
        <x:v>Manual field-by-field</x:v>
      </x:c>
      <x:c r="H1153" s="35" t="str">
        <x:v>Fill, save, reload, edit, and validate every declared field on /owners-report</x:v>
      </x:c>
      <x:c r="I1153" s="35" t="str">
        <x:v>FLD-0599; FLD-0600; FLD-0601; FLD-0602</x:v>
      </x:c>
      <x:c r="J1153" s="35" t="str"/>
      <x:c r="K1153" s="35" t="str"/>
      <x:c r="L1153" s="35" t="str">
        <x:v>Use the source-derived Field Inventory. Enter non-default realistic values in every control (Select-9; Select-10; distributionForm.propertyId; owner-distribution-property); submit; reload or relaunch; compare every value; edit each mutable field; verify the paired client; then run required, format, length, range, boundary, optional-null, and stale-submit checks.</x:v>
      </x:c>
      <x:c r="M1153" s="35" t="str">
        <x:v>All 4 inventoried controls persist exact normalized values, invalid values stay unsaved with clear errors, and hidden/unauthorized fields cannot be altered.</x:v>
      </x:c>
      <x:c r="N1153" s="35" t="str">
        <x:v>Before/after form screenshots; FLD IDs; API response; reloaded UI; paired-client read-back; database/audit evidence; negative validation result.</x:v>
      </x:c>
      <x:c r="O1153" s="35" t="str">
        <x:v>Use a duplicate submit and one simulated network interruption; one atomic mutation or none, never partial state.</x:v>
      </x:c>
      <x:c r="P1153" s="35" t="str">
        <x:v>All expected records and amounts match; no unexplained error or stale state.</x:v>
      </x:c>
    </x:row>
    <x:row r="1154">
      <x:c r="A1154" s="20" t="str">
        <x:v>RUN-20270728-03</x:v>
      </x:c>
      <x:c r="B1154" s="23" t="n">
        <x:v>46596</x:v>
      </x:c>
      <x:c r="C1154" s="32" t="n">
        <x:v>3</x:v>
      </x:c>
      <x:c r="D1154" s="20" t="str">
        <x:v>Surface coverage</x:v>
      </x:c>
      <x:c r="E1154" s="20" t="str">
        <x:v>Role appropriate to surface</x:v>
      </x:c>
      <x:c r="F1154" s="20" t="str">
        <x:v>Web</x:v>
      </x:c>
      <x:c r="G1154" s="20" t="str">
        <x:v>Scan/attachment</x:v>
      </x:c>
      <x:c r="H1154" s="35" t="str">
        <x:v>Scan web pass: Vendor dispatch, completion, rating</x:v>
      </x:c>
      <x:c r="I1154" s="35" t="str">
        <x:v>COV-026</x:v>
      </x:c>
      <x:c r="J1154" s="35" t="str"/>
      <x:c r="K1154" s="35" t="str"/>
      <x:c r="L1154" s="35" t="str">
        <x:v>Dispatch, accept/decline, complete from inbound response, rate vendor, and preserve history.</x:v>
      </x:c>
      <x:c r="M1154" s="35" t="str">
        <x:v>The supported workflow completes and persists correctly; if the capability is absent, the exact gap is proven and queued rather than silently skipped.</x:v>
      </x:c>
      <x:c r="N1154" s="35" t="str">
        <x:v>Real UI screenshot/state; submitted values; persisted read-back; cross-client read-back; audit/role/access evidence.</x:v>
      </x:c>
      <x:c r="O1154" s="35" t="str">
        <x:v>Use one invalid value, stale-state retry, or duplicate submission relevant to the form; no partial or duplicate mutation.</x:v>
      </x:c>
      <x:c r="P1154" s="35" t="str">
        <x:v>All expected records and amounts match; no unexplained error or stale state.</x:v>
      </x:c>
    </x:row>
    <x:row r="1155">
      <x:c r="A1155" s="20" t="str">
        <x:v>RUN-20270729-01</x:v>
      </x:c>
      <x:c r="B1155" s="23" t="n">
        <x:v>46597</x:v>
      </x:c>
      <x:c r="C1155" s="32" t="n">
        <x:v>1</x:v>
      </x:c>
      <x:c r="D1155" s="20" t="str">
        <x:v>Role and screen certification</x:v>
      </x:c>
      <x:c r="E1155" s="20" t="str">
        <x:v>Applicant / public user</x:v>
      </x:c>
      <x:c r="F1155" s="20" t="str">
        <x:v>Mobile</x:v>
      </x:c>
      <x:c r="G1155" s="20" t="str">
        <x:v>Normal persona navigation</x:v>
      </x:c>
      <x:c r="H1155" s="35" t="str">
        <x:v>Use every permitted action and state on features/appointments/appointment_detail_screen.dart</x:v>
      </x:c>
      <x:c r="I1155" s="35" t="str">
        <x:v>SCR-111; ROLE-194</x:v>
      </x:c>
      <x:c r="J1155" s="35" t="str"/>
      <x:c r="K1155" s="35" t="str"/>
      <x:c r="L115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55" s="35" t="str">
        <x:v>The persona can use every allowed action with only its assigned properties/relationships. Hidden or disabled actions explain why; an adjacent unauthorized persona is denied without metadata leakage.</x:v>
      </x:c>
      <x:c r="N1155" s="35" t="str">
        <x:v>Persona/experience; navigation entry; desktop or device screenshots; result state; persisted read-back; audit/history; authorized and denied network result.</x:v>
      </x:c>
      <x:c r="O1155" s="35" t="str">
        <x:v>Open the direct URL or deep link with an adjacent unauthorized persona and with stale scope; both fail closed and land safely without mutation.</x:v>
      </x:c>
      <x:c r="P1155" s="35" t="str">
        <x:v>All expected records and amounts match; no unexplained error or stale state.</x:v>
      </x:c>
    </x:row>
    <x:row r="1156">
      <x:c r="A1156" s="20" t="str">
        <x:v>RUN-20270729-02</x:v>
      </x:c>
      <x:c r="B1156" s="23" t="n">
        <x:v>46597</x:v>
      </x:c>
      <x:c r="C1156" s="32" t="n">
        <x:v>2</x:v>
      </x:c>
      <x:c r="D1156" s="20" t="str">
        <x:v>Field certification</x:v>
      </x:c>
      <x:c r="E1156" s="20" t="str">
        <x:v>Property Manager</x:v>
      </x:c>
      <x:c r="F1156" s="20" t="str">
        <x:v>Web</x:v>
      </x:c>
      <x:c r="G1156" s="20" t="str">
        <x:v>Manual field-by-field</x:v>
      </x:c>
      <x:c r="H1156" s="35" t="str">
        <x:v>Fill, save, reload, edit, and validate every declared field on /owners-report</x:v>
      </x:c>
      <x:c r="I1156" s="35" t="str">
        <x:v>FLD-0603; FLD-0604; FLD-0605; FLD-0606</x:v>
      </x:c>
      <x:c r="J1156" s="35" t="str"/>
      <x:c r="K1156" s="35" t="str"/>
      <x:c r="L1156" s="35" t="str">
        <x:v>Use the source-derived Field Inventory. Enter non-default realistic values in every control (Select-13; Select-14; Select-15; owner-distribution-memo); submit; reload or relaunch; compare every value; edit each mutable field; verify the paired client; then run required, format, length, range, boundary, optional-null, and stale-submit checks.</x:v>
      </x:c>
      <x:c r="M1156" s="35" t="str">
        <x:v>All 4 inventoried controls persist exact normalized values, invalid values stay unsaved with clear errors, and hidden/unauthorized fields cannot be altered.</x:v>
      </x:c>
      <x:c r="N1156" s="35" t="str">
        <x:v>Before/after form screenshots; FLD IDs; API response; reloaded UI; paired-client read-back; database/audit evidence; negative validation result.</x:v>
      </x:c>
      <x:c r="O1156" s="35" t="str">
        <x:v>Use a duplicate submit and one simulated network interruption; one atomic mutation or none, never partial state.</x:v>
      </x:c>
      <x:c r="P1156" s="35" t="str">
        <x:v>All expected records and amounts match; no unexplained error or stale state.</x:v>
      </x:c>
    </x:row>
    <x:row r="1157">
      <x:c r="A1157" s="20" t="str">
        <x:v>RUN-20270729-03</x:v>
      </x:c>
      <x:c r="B1157" s="23" t="n">
        <x:v>46597</x:v>
      </x:c>
      <x:c r="C1157" s="32" t="n">
        <x:v>3</x:v>
      </x:c>
      <x:c r="D1157" s="20" t="str">
        <x:v>Notification certification</x:v>
      </x:c>
      <x:c r="E1157" s="20" t="str">
        <x:v>Tenant</x:v>
      </x:c>
      <x:c r="F1157" s="20" t="str">
        <x:v>Web + Mobile</x:v>
      </x:c>
      <x:c r="G1157" s="20" t="str">
        <x:v>System event + preference/manual verification</x:v>
      </x:c>
      <x:c r="H1157" s="35" t="str">
        <x:v>Trigger and prove notification: Technician en route</x:v>
      </x:c>
      <x:c r="I1157" s="35" t="str">
        <x:v>NTF-028</x:v>
      </x:c>
      <x:c r="J1157" s="35" t="str"/>
      <x:c r="K1157" s="35" t="str"/>
      <x:c r="L1157" s="35" t="str">
        <x:v>Set each recipient's preferences; trigger the real business event; inspect routing and recipient scope; verify unread badge, list item, safe preview, work order deep link, mark-read sync, configured channel outcome, provider failure/retry, and duplicate suppression.</x:v>
      </x:c>
      <x:c r="M1157" s="35" t="str">
        <x:v>Exactly the intended recipients receive one correctly routed notification; disabled optional channels stay silent; deep link opens authorized context; read state synchronizes.</x:v>
      </x:c>
      <x:c r="N1157" s="35" t="str">
        <x:v>Trigger record; routing decision; outbox/delivery status; web/mobile inbox; lock-screen-safe copy; deep-link target; audit/provider retry evidence.</x:v>
      </x:c>
      <x:c r="O1157" s="35" t="str">
        <x:v>Re-run the worker and deliver a duplicate provider callback; no duplicate user-visible event. Attempt the deep link as an unauthorized adjacent role.</x:v>
      </x:c>
      <x:c r="P1157" s="35" t="str">
        <x:v>All expected records and amounts match; no unexplained error or stale state.</x:v>
      </x:c>
    </x:row>
    <x:row r="1158">
      <x:c r="A1158" s="20" t="str">
        <x:v>RUN-20270729-04</x:v>
      </x:c>
      <x:c r="B1158" s="23" t="n">
        <x:v>46597</x:v>
      </x:c>
      <x:c r="C1158" s="32" t="n">
        <x:v>4</x:v>
      </x:c>
      <x:c r="D1158" s="20" t="str">
        <x:v>Surface coverage</x:v>
      </x:c>
      <x:c r="E1158" s="20" t="str">
        <x:v>Role appropriate to surface</x:v>
      </x:c>
      <x:c r="F1158" s="20" t="str">
        <x:v>Mobile</x:v>
      </x:c>
      <x:c r="G1158" s="20" t="str">
        <x:v>Scan/attachment</x:v>
      </x:c>
      <x:c r="H1158" s="35" t="str">
        <x:v>Scan mobile pass: Vendor dispatch, completion, rating</x:v>
      </x:c>
      <x:c r="I1158" s="35" t="str">
        <x:v>COV-026</x:v>
      </x:c>
      <x:c r="J1158" s="35" t="str"/>
      <x:c r="K1158" s="35" t="str"/>
      <x:c r="L1158" s="35" t="str">
        <x:v>Dispatch, accept/decline, complete from inbound response, rate vendor, and preserve history.</x:v>
      </x:c>
      <x:c r="M1158" s="35" t="str">
        <x:v>The supported workflow completes and persists correctly; if the capability is absent, the exact gap is proven and queued rather than silently skipped.</x:v>
      </x:c>
      <x:c r="N1158" s="35" t="str">
        <x:v>Real UI screenshot/state; submitted values; persisted read-back; cross-client read-back; audit/role/access evidence.</x:v>
      </x:c>
      <x:c r="O1158" s="35" t="str">
        <x:v>Use one invalid value, stale-state retry, or duplicate submission relevant to the form; no partial or duplicate mutation.</x:v>
      </x:c>
      <x:c r="P1158" s="35" t="str">
        <x:v>All expected records and amounts match; no unexplained error or stale state.</x:v>
      </x:c>
    </x:row>
    <x:row r="1159">
      <x:c r="A1159" s="20" t="str">
        <x:v>RUN-20270730-01</x:v>
      </x:c>
      <x:c r="B1159" s="23" t="n">
        <x:v>46598</x:v>
      </x:c>
      <x:c r="C1159" s="32" t="n">
        <x:v>1</x:v>
      </x:c>
      <x:c r="D1159" s="20" t="str">
        <x:v>Role and screen certification</x:v>
      </x:c>
      <x:c r="E1159" s="20" t="str">
        <x:v>Applicant / public user</x:v>
      </x:c>
      <x:c r="F1159" s="20" t="str">
        <x:v>Mobile</x:v>
      </x:c>
      <x:c r="G1159" s="20" t="str">
        <x:v>Normal persona navigation</x:v>
      </x:c>
      <x:c r="H1159" s="35" t="str">
        <x:v>Use every permitted action and state on features/appointments/appointments_screen.dart</x:v>
      </x:c>
      <x:c r="I1159" s="35" t="str">
        <x:v>SCR-112; ROLE-195</x:v>
      </x:c>
      <x:c r="J1159" s="35" t="str"/>
      <x:c r="K1159" s="35" t="str"/>
      <x:c r="L115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59" s="35" t="str">
        <x:v>The persona can use every allowed action with only its assigned properties/relationships. Hidden or disabled actions explain why; an adjacent unauthorized persona is denied without metadata leakage.</x:v>
      </x:c>
      <x:c r="N1159" s="35" t="str">
        <x:v>Persona/experience; navigation entry; desktop or device screenshots; result state; persisted read-back; audit/history; authorized and denied network result.</x:v>
      </x:c>
      <x:c r="O1159" s="35" t="str">
        <x:v>Open the direct URL or deep link with an adjacent unauthorized persona and with stale scope; both fail closed and land safely without mutation.</x:v>
      </x:c>
      <x:c r="P1159" s="35" t="str">
        <x:v>All expected records and amounts match; no unexplained error or stale state.</x:v>
      </x:c>
    </x:row>
    <x:row r="1160">
      <x:c r="A1160" s="20" t="str">
        <x:v>RUN-20270730-02</x:v>
      </x:c>
      <x:c r="B1160" s="23" t="n">
        <x:v>46598</x:v>
      </x:c>
      <x:c r="C1160" s="32" t="n">
        <x:v>2</x:v>
      </x:c>
      <x:c r="D1160" s="20" t="str">
        <x:v>Field certification</x:v>
      </x:c>
      <x:c r="E1160" s="20" t="str">
        <x:v>Property Manager</x:v>
      </x:c>
      <x:c r="F1160" s="20" t="str">
        <x:v>Web</x:v>
      </x:c>
      <x:c r="G1160" s="20" t="str">
        <x:v>Manual field-by-field</x:v>
      </x:c>
      <x:c r="H1160" s="35" t="str">
        <x:v>Fill, save, reload, edit, and validate every declared field on /properties</x:v>
      </x:c>
      <x:c r="I1160" s="35" t="str">
        <x:v>FLD-0607; FLD-0608; FLD-0609; FLD-0610; FLD-0611</x:v>
      </x:c>
      <x:c r="J1160" s="35" t="str"/>
      <x:c r="K1160" s="35" t="str"/>
      <x:c r="L1160" s="35" t="str">
        <x:v>Use the source-derived Field Inventory. Enter non-default realistic values in every control (typeFilter; property-type-filter; Select-3; Select-4; Select-5); submit; reload or relaunch; compare every value; edit each mutable field; verify the paired client; then run required, format, length, range, boundary, optional-null, and stale-submit checks.</x:v>
      </x:c>
      <x:c r="M1160" s="35" t="str">
        <x:v>All 5 inventoried controls persist exact normalized values, invalid values stay unsaved with clear errors, and hidden/unauthorized fields cannot be altered.</x:v>
      </x:c>
      <x:c r="N1160" s="35" t="str">
        <x:v>Before/after form screenshots; FLD IDs; API response; reloaded UI; paired-client read-back; database/audit evidence; negative validation result.</x:v>
      </x:c>
      <x:c r="O1160" s="35" t="str">
        <x:v>Use a duplicate submit and one simulated network interruption; one atomic mutation or none, never partial state.</x:v>
      </x:c>
      <x:c r="P1160" s="35" t="str">
        <x:v>All expected records and amounts match; no unexplained error or stale state.</x:v>
      </x:c>
    </x:row>
    <x:row r="1161">
      <x:c r="A1161" s="20" t="str">
        <x:v>RUN-20270730-03</x:v>
      </x:c>
      <x:c r="B1161" s="23" t="n">
        <x:v>46598</x:v>
      </x:c>
      <x:c r="C1161" s="32" t="n">
        <x:v>3</x:v>
      </x:c>
      <x:c r="D1161" s="20" t="str">
        <x:v>Surface coverage</x:v>
      </x:c>
      <x:c r="E1161" s="20" t="str">
        <x:v>Role appropriate to surface</x:v>
      </x:c>
      <x:c r="F1161" s="20" t="str">
        <x:v>Web</x:v>
      </x:c>
      <x:c r="G1161" s="20" t="str">
        <x:v>Manual</x:v>
      </x:c>
      <x:c r="H1161" s="35" t="str">
        <x:v>Manual web pass: Technician labor/material entries</x:v>
      </x:c>
      <x:c r="I1161" s="35" t="str">
        <x:v>COV-027</x:v>
      </x:c>
      <x:c r="J1161" s="35" t="str"/>
      <x:c r="K1161" s="35" t="str"/>
      <x:c r="L1161" s="35" t="str">
        <x:v>Start/stop labor, add material/receipt, complete assignment, and prove totals/role scoping.</x:v>
      </x:c>
      <x:c r="M1161" s="35" t="str">
        <x:v>The supported workflow completes and persists correctly; if the capability is absent, the exact gap is proven and queued rather than silently skipped.</x:v>
      </x:c>
      <x:c r="N1161" s="35" t="str">
        <x:v>Real UI screenshot/state; submitted values; persisted read-back; cross-client read-back; audit/role/access evidence.</x:v>
      </x:c>
      <x:c r="O1161" s="35" t="str">
        <x:v>Use one invalid value, stale-state retry, or duplicate submission relevant to the form; no partial or duplicate mutation.</x:v>
      </x:c>
      <x:c r="P1161" s="35" t="str">
        <x:v>All expected records and amounts match; no unexplained error or stale state.</x:v>
      </x:c>
    </x:row>
    <x:row r="1162">
      <x:c r="A1162" s="20" t="str">
        <x:v>RUN-20270731-01</x:v>
      </x:c>
      <x:c r="B1162" s="23" t="n">
        <x:v>46599</x:v>
      </x:c>
      <x:c r="C1162" s="32" t="n">
        <x:v>1</x:v>
      </x:c>
      <x:c r="D1162" s="20" t="str">
        <x:v>Monthly close</x:v>
      </x:c>
      <x:c r="E1162" s="20" t="str">
        <x:v>Workspace Administrator</x:v>
      </x:c>
      <x:c r="F1162" s="20" t="str">
        <x:v>Web + Mobile</x:v>
      </x:c>
      <x:c r="G1162" s="20" t="str">
        <x:v>Scan/import + reconciliation</x:v>
      </x:c>
      <x:c r="H1162" s="35" t="str">
        <x:v>July bank reconciliation and close</x:v>
      </x:c>
      <x:c r="I1162" s="35" t="str">
        <x:v>Operating account 4242; deposit trust account 1818; reserve account 7070</x:v>
      </x:c>
      <x:c r="J1162" s="35" t="str">
        <x:v>SCN-0643</x:v>
      </x:c>
      <x:c r="K1162" s="35" t="str"/>
      <x:c r="L1162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162" s="35" t="str">
        <x:v>Bank ending cash, AR, deposit trust/liability, loan balance, income, expense, and net operating result match the oracle with zero unexplained variance.</x:v>
      </x:c>
      <x:c r="N1162" s="35" t="str">
        <x:v>Bank reconciliation; accounting summary; P&amp;L; cash flow; rent roll/ledger; deposits; delinquency; owner statements; audit export.</x:v>
      </x:c>
      <x:c r="O1162" s="35" t="str">
        <x:v>Try one duplicate bank transaction and one date-filter boundary; prove DB-side totals and idempotent matching.</x:v>
      </x:c>
      <x:c r="P1162" s="35" t="str">
        <x:v>All monthly checks are OK or a reproducible bug is captured before advancing the clock.</x:v>
      </x:c>
    </x:row>
    <x:row r="1163">
      <x:c r="A1163" s="20" t="str">
        <x:v>RUN-20270801-01</x:v>
      </x:c>
      <x:c r="B1163" s="23" t="n">
        <x:v>46600</x:v>
      </x:c>
      <x:c r="C1163" s="32" t="n">
        <x:v>1</x:v>
      </x:c>
      <x:c r="D1163" s="20" t="str">
        <x:v>Monthly operations</x:v>
      </x:c>
      <x:c r="E1163" s="20" t="str">
        <x:v>Workspace Administrator</x:v>
      </x:c>
      <x:c r="F1163" s="20" t="str">
        <x:v>Web + Mobile</x:v>
      </x:c>
      <x:c r="G1163" s="20" t="str">
        <x:v>System automation + reconciliation</x:v>
      </x:c>
      <x:c r="H1163" s="35" t="str">
        <x:v>August recurring rent generation</x:v>
      </x:c>
      <x:c r="I1163" s="35" t="str">
        <x:v>39 active tenant accounts</x:v>
      </x:c>
      <x:c r="J1163" s="35" t="str"/>
      <x:c r="K1163" s="35" t="str">
        <x:v>FIN-00593; FIN-00595; FIN-00597; FIN-00599; FIN-00601; FIN-00603; FIN-00605; FIN-00607; FIN-00609; FIN-00611; FIN-00615; FIN-00617; FIN-00620; FIN-00622; FIN-00624; FIN-00626; FIN-00628; FIN-00630; FIN-00632; FIN-00636; FIN-00638; FIN-00640; FIN-00642; FIN-00645; FIN-00647; FIN-00649; FIN-00651; FIN-00653; FIN-00655; FIN-00657; FIN-00661; FIN-00663; FIN-00665; FIN-00667; FIN-00669; FIN-00671; FIN-00674; FIN-00676; FIN-00680</x:v>
      </x:c>
      <x:c r="L1163" s="35" t="str">
        <x:v>Advance the simulation clock to 08:00 local; run or wait for scheduled finance worker; compare generated charges to active governing agreements, start dates, proration, and unique billing-period keys.</x:v>
      </x:c>
      <x:c r="M1163" s="35" t="str">
        <x:v>Exactly 39 rent charges are posted once; mid-month starts prorate; ended leases do not receive future charges.</x:v>
      </x:c>
      <x:c r="N1163" s="35" t="str">
        <x:v>Worker status; charge list; month rent-roll export; sampled Unit/Lease/portal balances; SQL query evidence.</x:v>
      </x:c>
      <x:c r="O1163" s="35" t="str">
        <x:v>Run the finance worker a second time and prove no duplicate charge; inject one failure and prove charge/audit/outbox atomic rollback.</x:v>
      </x:c>
      <x:c r="P1163" s="35" t="str">
        <x:v>All expected records and amounts match; no unexplained error or stale state.</x:v>
      </x:c>
    </x:row>
    <x:row r="1164">
      <x:c r="A1164" s="20" t="str">
        <x:v>RUN-20270801-02</x:v>
      </x:c>
      <x:c r="B1164" s="23" t="n">
        <x:v>46600</x:v>
      </x:c>
      <x:c r="C1164" s="32" t="n">
        <x:v>2</x:v>
      </x:c>
      <x:c r="D1164" s="20" t="str">
        <x:v>Leasing</x:v>
      </x:c>
      <x:c r="E1164" s="20" t="str">
        <x:v>Property Manager + Tenant</x:v>
      </x:c>
      <x:c r="F1164" s="20" t="str">
        <x:v>Web + Mobile</x:v>
      </x:c>
      <x:c r="G1164" s="20" t="str">
        <x:v>Manual + photo evidence</x:v>
      </x:c>
      <x:c r="H1164" s="35" t="str">
        <x:v>Move-in inspection and possession</x:v>
      </x:c>
      <x:c r="I1164" s="35" t="str">
        <x:v>L039; U017</x:v>
      </x:c>
      <x:c r="J1164" s="35" t="str"/>
      <x:c r="K1164" s="35" t="str"/>
      <x:c r="L1164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1164" s="35" t="str">
        <x:v>Inspection completes, possession opens once, Unit becomes occupied, portal access is scoped, and no lease-status shortcut substitutes for possession truth.</x:v>
      </x:c>
      <x:c r="N1164" s="35" t="str">
        <x:v>Inspection report/photos; possession event; occupancy reports; both clients; tenant portal walkthrough.</x:v>
      </x:c>
      <x:c r="O1164" s="35" t="str">
        <x:v>Attempt possession a second time and use an invalid date; database invariant prevents overlap/duplication.</x:v>
      </x:c>
      <x:c r="P1164" s="35" t="str">
        <x:v>All expected records and amounts match; no unexplained error or stale state.</x:v>
      </x:c>
    </x:row>
    <x:row r="1165">
      <x:c r="A1165" s="20" t="str">
        <x:v>RUN-20270802-01</x:v>
      </x:c>
      <x:c r="B1165" s="23" t="n">
        <x:v>46601</x:v>
      </x:c>
      <x:c r="C1165" s="32" t="n">
        <x:v>1</x:v>
      </x:c>
      <x:c r="D1165" s="20" t="str">
        <x:v>Weekly operations</x:v>
      </x:c>
      <x:c r="E1165" s="20" t="str">
        <x:v>Property Manager</x:v>
      </x:c>
      <x:c r="F1165" s="20" t="str">
        <x:v>Mobile</x:v>
      </x:c>
      <x:c r="G1165" s="20" t="str">
        <x:v>Scan-first</x:v>
      </x:c>
      <x:c r="H1165" s="35" t="str">
        <x:v>Create and triage maintenance request</x:v>
      </x:c>
      <x:c r="I1165" s="35" t="str">
        <x:v>P018; U018; WO-2027-031</x:v>
      </x:c>
      <x:c r="J1165" s="35" t="str">
        <x:v>SCN-0401</x:v>
      </x:c>
      <x:c r="K1165" s="35" t="str"/>
      <x:c r="L1165" s="35" t="str">
        <x:v>Capture the tenant note/photo; review lock rekey; confirm; set responsibility; dispatch ComfortZone HVAC; create an appointment and verify the tenant notification.</x:v>
      </x:c>
      <x:c r="M1165" s="35" t="str">
        <x:v>Work order, status timeline, responsibility, vendor dispatch, appointment, notification, and Unit context are linked once.</x:v>
      </x:c>
      <x:c r="N1165" s="35" t="str">
        <x:v>Scan review; work order detail/timeline; dispatch; appointment; notification; tenant portal view.</x:v>
      </x:c>
      <x:c r="O1165" s="35" t="str">
        <x:v>Cancel one dispatch each quarter, reassign once, and prove status/history remains append-only.</x:v>
      </x:c>
      <x:c r="P1165" s="35" t="str">
        <x:v>All expected records and amounts match; no unexplained error or stale state.</x:v>
      </x:c>
    </x:row>
    <x:row r="1166">
      <x:c r="A1166" s="20" t="str">
        <x:v>RUN-20270802-02</x:v>
      </x:c>
      <x:c r="B1166" s="23" t="n">
        <x:v>46601</x:v>
      </x:c>
      <x:c r="C1166" s="32" t="n">
        <x:v>2</x:v>
      </x:c>
      <x:c r="D1166" s="20" t="str">
        <x:v>Role and screen certification</x:v>
      </x:c>
      <x:c r="E1166" s="20" t="str">
        <x:v>Tenant</x:v>
      </x:c>
      <x:c r="F1166" s="20" t="str">
        <x:v>Mobile</x:v>
      </x:c>
      <x:c r="G1166" s="20" t="str">
        <x:v>Normal persona navigation</x:v>
      </x:c>
      <x:c r="H1166" s="35" t="str">
        <x:v>Use every permitted action and state on features/appointments/tenant_appointments_screen.dart</x:v>
      </x:c>
      <x:c r="I1166" s="35" t="str">
        <x:v>SCR-113; ROLE-196</x:v>
      </x:c>
      <x:c r="J1166" s="35" t="str"/>
      <x:c r="K1166" s="35" t="str"/>
      <x:c r="L116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166" s="35" t="str">
        <x:v>The persona can use every allowed action with only its assigned properties/relationships. Hidden or disabled actions explain why; an adjacent unauthorized persona is denied without metadata leakage.</x:v>
      </x:c>
      <x:c r="N1166" s="35" t="str">
        <x:v>Persona/experience; navigation entry; desktop or device screenshots; result state; persisted read-back; audit/history; authorized and denied network result.</x:v>
      </x:c>
      <x:c r="O1166" s="35" t="str">
        <x:v>Open the direct URL or deep link with an adjacent unauthorized persona and with stale scope; both fail closed and land safely without mutation.</x:v>
      </x:c>
      <x:c r="P1166" s="35" t="str">
        <x:v>All expected records and amounts match; no unexplained error or stale state.</x:v>
      </x:c>
    </x:row>
    <x:row r="1167">
      <x:c r="A1167" s="20" t="str">
        <x:v>RUN-20270802-03</x:v>
      </x:c>
      <x:c r="B1167" s="23" t="n">
        <x:v>46601</x:v>
      </x:c>
      <x:c r="C1167" s="32" t="n">
        <x:v>3</x:v>
      </x:c>
      <x:c r="D1167" s="20" t="str">
        <x:v>Field certification</x:v>
      </x:c>
      <x:c r="E1167" s="20" t="str">
        <x:v>Property Manager</x:v>
      </x:c>
      <x:c r="F1167" s="20" t="str">
        <x:v>Web</x:v>
      </x:c>
      <x:c r="G1167" s="20" t="str">
        <x:v>Manual field-by-field</x:v>
      </x:c>
      <x:c r="H1167" s="35" t="str">
        <x:v>Fill, save, reload, edit, and validate every declared field on /properties</x:v>
      </x:c>
      <x:c r="I1167" s="35" t="str">
        <x:v>FLD-0612; FLD-0613; FLD-0614; FLD-0615</x:v>
      </x:c>
      <x:c r="J1167" s="35" t="str"/>
      <x:c r="K1167" s="35" t="str"/>
      <x:c r="L1167" s="35" t="str">
        <x:v>Use the source-derived Field Inventory. Enter non-default realistic values in every control (statusFilter; property-status-filter; Select-8; Select-9); submit; reload or relaunch; compare every value; edit each mutable field; verify the paired client; then run required, format, length, range, boundary, optional-null, and stale-submit checks.</x:v>
      </x:c>
      <x:c r="M1167" s="35" t="str">
        <x:v>All 4 inventoried controls persist exact normalized values, invalid values stay unsaved with clear errors, and hidden/unauthorized fields cannot be altered.</x:v>
      </x:c>
      <x:c r="N1167" s="35" t="str">
        <x:v>Before/after form screenshots; FLD IDs; API response; reloaded UI; paired-client read-back; database/audit evidence; negative validation result.</x:v>
      </x:c>
      <x:c r="O1167" s="35" t="str">
        <x:v>Use a duplicate submit and one simulated network interruption; one atomic mutation or none, never partial state.</x:v>
      </x:c>
      <x:c r="P1167" s="35" t="str">
        <x:v>All expected records and amounts match; no unexplained error or stale state.</x:v>
      </x:c>
    </x:row>
    <x:row r="1168">
      <x:c r="A1168" s="20" t="str">
        <x:v>RUN-20270803-01</x:v>
      </x:c>
      <x:c r="B1168" s="23" t="n">
        <x:v>46602</x:v>
      </x:c>
      <x:c r="C1168" s="32" t="n">
        <x:v>1</x:v>
      </x:c>
      <x:c r="D1168" s="20" t="str">
        <x:v>Monthly operations</x:v>
      </x:c>
      <x:c r="E1168" s="20" t="str">
        <x:v>Property Manager</x:v>
      </x:c>
      <x:c r="F1168" s="20" t="str">
        <x:v>Mobile</x:v>
      </x:c>
      <x:c r="G1168" s="20" t="str">
        <x:v>Portal card</x:v>
      </x:c>
      <x:c r="H1168" s="35" t="str">
        <x:v>Post and allocate tenant receipt</x:v>
      </x:c>
      <x:c r="I1168" s="35" t="str">
        <x:v>P003; U003; L003</x:v>
      </x:c>
      <x:c r="J1168" s="35" t="str"/>
      <x:c r="K1168" s="35" t="str">
        <x:v>FIN-00597; FIN-00598</x:v>
      </x:c>
      <x:c r="L1168" s="35" t="str">
        <x:v>Open Scan for paper payment or the tenant-account receipt form for electronic payment; verify tenant/lease match, amount, date, method, and reference; confirm once; open ledger detail and allocation.</x:v>
      </x:c>
      <x:c r="M1168" s="35" t="str">
        <x:v>Receipt is append-only, allocated once to the correct rent charge, and visible consistently in Unit, Lease, Tenant Account, Accounting, and portal views.</x:v>
      </x:c>
      <x:c r="N1168" s="35" t="str">
        <x:v>Scan review or form; success result; exact ledger rows; payment detail; accounting delta; portal receipt.</x:v>
      </x:c>
      <x:c r="O1168" s="35" t="str">
        <x:v>Retry the idempotency key once during the quarter assigned in the coverage matrix; no duplicate cash or allocation.</x:v>
      </x:c>
      <x:c r="P1168" s="35" t="str">
        <x:v>All expected records and amounts match; no unexplained error or stale state.</x:v>
      </x:c>
    </x:row>
    <x:row r="1169">
      <x:c r="A1169" s="20" t="str">
        <x:v>RUN-20270803-02</x:v>
      </x:c>
      <x:c r="B1169" s="23" t="n">
        <x:v>46602</x:v>
      </x:c>
      <x:c r="C1169" s="32" t="n">
        <x:v>2</x:v>
      </x:c>
      <x:c r="D1169" s="20" t="str">
        <x:v>Monthly operations</x:v>
      </x:c>
      <x:c r="E1169" s="20" t="str">
        <x:v>Property Manager</x:v>
      </x:c>
      <x:c r="F1169" s="20" t="str">
        <x:v>Web</x:v>
      </x:c>
      <x:c r="G1169" s="20" t="str">
        <x:v>Manual ACH</x:v>
      </x:c>
      <x:c r="H1169" s="35" t="str">
        <x:v>Post and allocate tenant receipt</x:v>
      </x:c>
      <x:c r="I1169" s="35" t="str">
        <x:v>P006; U006; L006</x:v>
      </x:c>
      <x:c r="J1169" s="35" t="str"/>
      <x:c r="K1169" s="35" t="str">
        <x:v>FIN-00601; FIN-00602</x:v>
      </x:c>
      <x:c r="L1169" s="35" t="str">
        <x:v>Open Scan for paper payment or the tenant-account receipt form for electronic payment; verify tenant/lease match, amount, date, method, and reference; confirm once; open ledger detail and allocation.</x:v>
      </x:c>
      <x:c r="M1169" s="35" t="str">
        <x:v>Receipt is append-only, allocated once to the correct rent charge, and visible consistently in Unit, Lease, Tenant Account, Accounting, and portal views.</x:v>
      </x:c>
      <x:c r="N1169" s="35" t="str">
        <x:v>Scan review or form; success result; exact ledger rows; payment detail; accounting delta; portal receipt.</x:v>
      </x:c>
      <x:c r="O1169" s="35" t="str">
        <x:v>Retry the idempotency key once during the quarter assigned in the coverage matrix; no duplicate cash or allocation.</x:v>
      </x:c>
      <x:c r="P1169" s="35" t="str">
        <x:v>All expected records and amounts match; no unexplained error or stale state.</x:v>
      </x:c>
    </x:row>
    <x:row r="1170">
      <x:c r="A1170" s="20" t="str">
        <x:v>RUN-20270803-03</x:v>
      </x:c>
      <x:c r="B1170" s="23" t="n">
        <x:v>46602</x:v>
      </x:c>
      <x:c r="C1170" s="32" t="n">
        <x:v>3</x:v>
      </x:c>
      <x:c r="D1170" s="20" t="str">
        <x:v>Monthly operations</x:v>
      </x:c>
      <x:c r="E1170" s="20" t="str">
        <x:v>Property Manager</x:v>
      </x:c>
      <x:c r="F1170" s="20" t="str">
        <x:v>Mobile</x:v>
      </x:c>
      <x:c r="G1170" s="20" t="str">
        <x:v>Scanned money order</x:v>
      </x:c>
      <x:c r="H1170" s="35" t="str">
        <x:v>Post and allocate tenant receipt</x:v>
      </x:c>
      <x:c r="I1170" s="35" t="str">
        <x:v>P009; U009; L009</x:v>
      </x:c>
      <x:c r="J1170" s="35" t="str">
        <x:v>SCN-0241</x:v>
      </x:c>
      <x:c r="K1170" s="35" t="str">
        <x:v>FIN-00607; FIN-00608</x:v>
      </x:c>
      <x:c r="L1170" s="35" t="str">
        <x:v>Open Scan for paper payment or the tenant-account receipt form for electronic payment; verify tenant/lease match, amount, date, method, and reference; confirm once; open ledger detail and allocation.</x:v>
      </x:c>
      <x:c r="M1170" s="35" t="str">
        <x:v>Receipt is append-only, allocated once to the correct rent charge, and visible consistently in Unit, Lease, Tenant Account, Accounting, and portal views.</x:v>
      </x:c>
      <x:c r="N1170" s="35" t="str">
        <x:v>Scan review or form; success result; exact ledger rows; payment detail; accounting delta; portal receipt.</x:v>
      </x:c>
      <x:c r="O1170" s="35" t="str">
        <x:v>Retry the idempotency key once during the quarter assigned in the coverage matrix; no duplicate cash or allocation.</x:v>
      </x:c>
      <x:c r="P1170" s="35" t="str">
        <x:v>All expected records and amounts match; no unexplained error or stale state.</x:v>
      </x:c>
    </x:row>
    <x:row r="1171">
      <x:c r="A1171" s="20" t="str">
        <x:v>RUN-20270803-04</x:v>
      </x:c>
      <x:c r="B1171" s="23" t="n">
        <x:v>46602</x:v>
      </x:c>
      <x:c r="C1171" s="32" t="n">
        <x:v>4</x:v>
      </x:c>
      <x:c r="D1171" s="20" t="str">
        <x:v>Monthly operations</x:v>
      </x:c>
      <x:c r="E1171" s="20" t="str">
        <x:v>Property Manager</x:v>
      </x:c>
      <x:c r="F1171" s="20" t="str">
        <x:v>Mobile</x:v>
      </x:c>
      <x:c r="G1171" s="20" t="str">
        <x:v>Portal card</x:v>
      </x:c>
      <x:c r="H1171" s="35" t="str">
        <x:v>Post and allocate tenant receipt</x:v>
      </x:c>
      <x:c r="I1171" s="35" t="str">
        <x:v>P011; U011; L011</x:v>
      </x:c>
      <x:c r="J1171" s="35" t="str"/>
      <x:c r="K1171" s="35" t="str">
        <x:v>FIN-00611; FIN-00612</x:v>
      </x:c>
      <x:c r="L1171" s="35" t="str">
        <x:v>Open Scan for paper payment or the tenant-account receipt form for electronic payment; verify tenant/lease match, amount, date, method, and reference; confirm once; open ledger detail and allocation.</x:v>
      </x:c>
      <x:c r="M1171" s="35" t="str">
        <x:v>Receipt is append-only, allocated once to the correct rent charge, and visible consistently in Unit, Lease, Tenant Account, Accounting, and portal views.</x:v>
      </x:c>
      <x:c r="N1171" s="35" t="str">
        <x:v>Scan review or form; success result; exact ledger rows; payment detail; accounting delta; portal receipt.</x:v>
      </x:c>
      <x:c r="O1171" s="35" t="str">
        <x:v>Retry the idempotency key once during the quarter assigned in the coverage matrix; no duplicate cash or allocation.</x:v>
      </x:c>
      <x:c r="P1171" s="35" t="str">
        <x:v>All expected records and amounts match; no unexplained error or stale state.</x:v>
      </x:c>
    </x:row>
    <x:row r="1172">
      <x:c r="A1172" s="20" t="str">
        <x:v>RUN-20270803-05</x:v>
      </x:c>
      <x:c r="B1172" s="23" t="n">
        <x:v>46602</x:v>
      </x:c>
      <x:c r="C1172" s="32" t="n">
        <x:v>5</x:v>
      </x:c>
      <x:c r="D1172" s="20" t="str">
        <x:v>Monthly operations</x:v>
      </x:c>
      <x:c r="E1172" s="20" t="str">
        <x:v>Property Manager</x:v>
      </x:c>
      <x:c r="F1172" s="20" t="str">
        <x:v>Web</x:v>
      </x:c>
      <x:c r="G1172" s="20" t="str">
        <x:v>Scanned check</x:v>
      </x:c>
      <x:c r="H1172" s="35" t="str">
        <x:v>Post and allocate tenant receipt</x:v>
      </x:c>
      <x:c r="I1172" s="35" t="str">
        <x:v>P012; U012; L012</x:v>
      </x:c>
      <x:c r="J1172" s="35" t="str">
        <x:v>SCN-0243</x:v>
      </x:c>
      <x:c r="K1172" s="35" t="str">
        <x:v>FIN-00615; FIN-00616</x:v>
      </x:c>
      <x:c r="L1172" s="35" t="str">
        <x:v>Open Scan for paper payment or the tenant-account receipt form for electronic payment; verify tenant/lease match, amount, date, method, and reference; confirm once; open ledger detail and allocation.</x:v>
      </x:c>
      <x:c r="M1172" s="35" t="str">
        <x:v>Receipt is append-only, allocated once to the correct rent charge, and visible consistently in Unit, Lease, Tenant Account, Accounting, and portal views.</x:v>
      </x:c>
      <x:c r="N1172" s="35" t="str">
        <x:v>Scan review or form; success result; exact ledger rows; payment detail; accounting delta; portal receipt.</x:v>
      </x:c>
      <x:c r="O1172" s="35" t="str">
        <x:v>Retry the idempotency key once during the quarter assigned in the coverage matrix; no duplicate cash or allocation.</x:v>
      </x:c>
      <x:c r="P1172" s="35" t="str">
        <x:v>All expected records and amounts match; no unexplained error or stale state.</x:v>
      </x:c>
    </x:row>
    <x:row r="1173">
      <x:c r="A1173" s="20" t="str">
        <x:v>RUN-20270803-06</x:v>
      </x:c>
      <x:c r="B1173" s="23" t="n">
        <x:v>46602</x:v>
      </x:c>
      <x:c r="C1173" s="32" t="n">
        <x:v>6</x:v>
      </x:c>
      <x:c r="D1173" s="20" t="str">
        <x:v>Monthly operations</x:v>
      </x:c>
      <x:c r="E1173" s="20" t="str">
        <x:v>Property Manager</x:v>
      </x:c>
      <x:c r="F1173" s="20" t="str">
        <x:v>Mobile</x:v>
      </x:c>
      <x:c r="G1173" s="20" t="str">
        <x:v>Portal card</x:v>
      </x:c>
      <x:c r="H1173" s="35" t="str">
        <x:v>Post and allocate tenant receipt</x:v>
      </x:c>
      <x:c r="I1173" s="35" t="str">
        <x:v>P015; U015; L015</x:v>
      </x:c>
      <x:c r="J1173" s="35" t="str"/>
      <x:c r="K1173" s="35" t="str">
        <x:v>FIN-00620; FIN-00621</x:v>
      </x:c>
      <x:c r="L1173" s="35" t="str">
        <x:v>Open Scan for paper payment or the tenant-account receipt form for electronic payment; verify tenant/lease match, amount, date, method, and reference; confirm once; open ledger detail and allocation.</x:v>
      </x:c>
      <x:c r="M1173" s="35" t="str">
        <x:v>Receipt is append-only, allocated once to the correct rent charge, and visible consistently in Unit, Lease, Tenant Account, Accounting, and portal views.</x:v>
      </x:c>
      <x:c r="N1173" s="35" t="str">
        <x:v>Scan review or form; success result; exact ledger rows; payment detail; accounting delta; portal receipt.</x:v>
      </x:c>
      <x:c r="O1173" s="35" t="str">
        <x:v>Retry the idempotency key once during the quarter assigned in the coverage matrix; no duplicate cash or allocation.</x:v>
      </x:c>
      <x:c r="P1173" s="35" t="str">
        <x:v>All expected records and amounts match; no unexplained error or stale state.</x:v>
      </x:c>
    </x:row>
    <x:row r="1174">
      <x:c r="A1174" s="20" t="str">
        <x:v>RUN-20270803-07</x:v>
      </x:c>
      <x:c r="B1174" s="23" t="n">
        <x:v>46602</x:v>
      </x:c>
      <x:c r="C1174" s="32" t="n">
        <x:v>7</x:v>
      </x:c>
      <x:c r="D1174" s="20" t="str">
        <x:v>Monthly operations</x:v>
      </x:c>
      <x:c r="E1174" s="20" t="str">
        <x:v>Property Manager</x:v>
      </x:c>
      <x:c r="F1174" s="20" t="str">
        <x:v>Web</x:v>
      </x:c>
      <x:c r="G1174" s="20" t="str">
        <x:v>Manual ACH</x:v>
      </x:c>
      <x:c r="H1174" s="35" t="str">
        <x:v>Post and allocate tenant receipt</x:v>
      </x:c>
      <x:c r="I1174" s="35" t="str">
        <x:v>P018; U018; L018</x:v>
      </x:c>
      <x:c r="J1174" s="35" t="str"/>
      <x:c r="K1174" s="35" t="str">
        <x:v>FIN-00624; FIN-00625</x:v>
      </x:c>
      <x:c r="L1174" s="35" t="str">
        <x:v>Open Scan for paper payment or the tenant-account receipt form for electronic payment; verify tenant/lease match, amount, date, method, and reference; confirm once; open ledger detail and allocation.</x:v>
      </x:c>
      <x:c r="M1174" s="35" t="str">
        <x:v>Receipt is append-only, allocated once to the correct rent charge, and visible consistently in Unit, Lease, Tenant Account, Accounting, and portal views.</x:v>
      </x:c>
      <x:c r="N1174" s="35" t="str">
        <x:v>Scan review or form; success result; exact ledger rows; payment detail; accounting delta; portal receipt.</x:v>
      </x:c>
      <x:c r="O1174" s="35" t="str">
        <x:v>Retry the idempotency key once during the quarter assigned in the coverage matrix; no duplicate cash or allocation.</x:v>
      </x:c>
      <x:c r="P1174" s="35" t="str">
        <x:v>All expected records and amounts match; no unexplained error or stale state.</x:v>
      </x:c>
    </x:row>
    <x:row r="1175">
      <x:c r="A1175" s="20" t="str">
        <x:v>RUN-20270803-08</x:v>
      </x:c>
      <x:c r="B1175" s="23" t="n">
        <x:v>46602</x:v>
      </x:c>
      <x:c r="C1175" s="32" t="n">
        <x:v>8</x:v>
      </x:c>
      <x:c r="D1175" s="20" t="str">
        <x:v>Monthly operations</x:v>
      </x:c>
      <x:c r="E1175" s="20" t="str">
        <x:v>Property Manager</x:v>
      </x:c>
      <x:c r="F1175" s="20" t="str">
        <x:v>Mobile</x:v>
      </x:c>
      <x:c r="G1175" s="20" t="str">
        <x:v>Scanned money order</x:v>
      </x:c>
      <x:c r="H1175" s="35" t="str">
        <x:v>Post and allocate tenant receipt</x:v>
      </x:c>
      <x:c r="I1175" s="35" t="str">
        <x:v>P021; U021; L021</x:v>
      </x:c>
      <x:c r="J1175" s="35" t="str">
        <x:v>SCN-0247</x:v>
      </x:c>
      <x:c r="K1175" s="35" t="str">
        <x:v>FIN-00630; FIN-00631</x:v>
      </x:c>
      <x:c r="L1175" s="35" t="str">
        <x:v>Open Scan for paper payment or the tenant-account receipt form for electronic payment; verify tenant/lease match, amount, date, method, and reference; confirm once; open ledger detail and allocation.</x:v>
      </x:c>
      <x:c r="M1175" s="35" t="str">
        <x:v>Receipt is append-only, allocated once to the correct rent charge, and visible consistently in Unit, Lease, Tenant Account, Accounting, and portal views.</x:v>
      </x:c>
      <x:c r="N1175" s="35" t="str">
        <x:v>Scan review or form; success result; exact ledger rows; payment detail; accounting delta; portal receipt.</x:v>
      </x:c>
      <x:c r="O1175" s="35" t="str">
        <x:v>Retry the idempotency key once during the quarter assigned in the coverage matrix; no duplicate cash or allocation.</x:v>
      </x:c>
      <x:c r="P1175" s="35" t="str">
        <x:v>All expected records and amounts match; no unexplained error or stale state.</x:v>
      </x:c>
    </x:row>
    <x:row r="1176">
      <x:c r="A1176" s="20" t="str">
        <x:v>RUN-20270803-09</x:v>
      </x:c>
      <x:c r="B1176" s="23" t="n">
        <x:v>46602</x:v>
      </x:c>
      <x:c r="C1176" s="32" t="n">
        <x:v>9</x:v>
      </x:c>
      <x:c r="D1176" s="20" t="str">
        <x:v>Monthly operations</x:v>
      </x:c>
      <x:c r="E1176" s="20" t="str">
        <x:v>Property Manager</x:v>
      </x:c>
      <x:c r="F1176" s="20" t="str">
        <x:v>Web</x:v>
      </x:c>
      <x:c r="G1176" s="20" t="str">
        <x:v>Manual ACH</x:v>
      </x:c>
      <x:c r="H1176" s="35" t="str">
        <x:v>Post and allocate tenant receipt</x:v>
      </x:c>
      <x:c r="I1176" s="35" t="str">
        <x:v>P021; U022; L022</x:v>
      </x:c>
      <x:c r="J1176" s="35" t="str"/>
      <x:c r="K1176" s="35" t="str">
        <x:v>FIN-00632; FIN-00633</x:v>
      </x:c>
      <x:c r="L1176" s="35" t="str">
        <x:v>Open Scan for paper payment or the tenant-account receipt form for electronic payment; verify tenant/lease match, amount, date, method, and reference; confirm once; open ledger detail and allocation.</x:v>
      </x:c>
      <x:c r="M1176" s="35" t="str">
        <x:v>Receipt is append-only, allocated once to the correct rent charge, and visible consistently in Unit, Lease, Tenant Account, Accounting, and portal views.</x:v>
      </x:c>
      <x:c r="N1176" s="35" t="str">
        <x:v>Scan review or form; success result; exact ledger rows; payment detail; accounting delta; portal receipt.</x:v>
      </x:c>
      <x:c r="O1176" s="35" t="str">
        <x:v>Retry the idempotency key once during the quarter assigned in the coverage matrix; no duplicate cash or allocation.</x:v>
      </x:c>
      <x:c r="P1176" s="35" t="str">
        <x:v>All expected records and amounts match; no unexplained error or stale state.</x:v>
      </x:c>
    </x:row>
    <x:row r="1177">
      <x:c r="A1177" s="20" t="str">
        <x:v>RUN-20270803-10</x:v>
      </x:c>
      <x:c r="B1177" s="23" t="n">
        <x:v>46602</x:v>
      </x:c>
      <x:c r="C1177" s="32" t="n">
        <x:v>10</x:v>
      </x:c>
      <x:c r="D1177" s="20" t="str">
        <x:v>Monthly operations</x:v>
      </x:c>
      <x:c r="E1177" s="20" t="str">
        <x:v>Property Manager</x:v>
      </x:c>
      <x:c r="F1177" s="20" t="str">
        <x:v>Web</x:v>
      </x:c>
      <x:c r="G1177" s="20" t="str">
        <x:v>Scanned check</x:v>
      </x:c>
      <x:c r="H1177" s="35" t="str">
        <x:v>Post and allocate tenant receipt</x:v>
      </x:c>
      <x:c r="I1177" s="35" t="str">
        <x:v>P022; U024; L024</x:v>
      </x:c>
      <x:c r="J1177" s="35" t="str">
        <x:v>SCN-0249</x:v>
      </x:c>
      <x:c r="K1177" s="35" t="str">
        <x:v>FIN-00638; FIN-00639</x:v>
      </x:c>
      <x:c r="L1177" s="35" t="str">
        <x:v>Open Scan for paper payment or the tenant-account receipt form for electronic payment; verify tenant/lease match, amount, date, method, and reference; confirm once; open ledger detail and allocation.</x:v>
      </x:c>
      <x:c r="M1177" s="35" t="str">
        <x:v>Receipt is append-only, allocated once to the correct rent charge, and visible consistently in Unit, Lease, Tenant Account, Accounting, and portal views.</x:v>
      </x:c>
      <x:c r="N1177" s="35" t="str">
        <x:v>Scan review or form; success result; exact ledger rows; payment detail; accounting delta; portal receipt.</x:v>
      </x:c>
      <x:c r="O1177" s="35" t="str">
        <x:v>Retry the idempotency key once during the quarter assigned in the coverage matrix; no duplicate cash or allocation.</x:v>
      </x:c>
      <x:c r="P1177" s="35" t="str">
        <x:v>All expected records and amounts match; no unexplained error or stale state.</x:v>
      </x:c>
    </x:row>
    <x:row r="1178">
      <x:c r="A1178" s="20" t="str">
        <x:v>RUN-20270803-11</x:v>
      </x:c>
      <x:c r="B1178" s="23" t="n">
        <x:v>46602</x:v>
      </x:c>
      <x:c r="C1178" s="32" t="n">
        <x:v>11</x:v>
      </x:c>
      <x:c r="D1178" s="20" t="str">
        <x:v>Monthly operations</x:v>
      </x:c>
      <x:c r="E1178" s="20" t="str">
        <x:v>Property Manager</x:v>
      </x:c>
      <x:c r="F1178" s="20" t="str">
        <x:v>Mobile</x:v>
      </x:c>
      <x:c r="G1178" s="20" t="str">
        <x:v>Portal card</x:v>
      </x:c>
      <x:c r="H1178" s="35" t="str">
        <x:v>Post and allocate tenant receipt</x:v>
      </x:c>
      <x:c r="I1178" s="35" t="str">
        <x:v>P024; U027; L027</x:v>
      </x:c>
      <x:c r="J1178" s="35" t="str"/>
      <x:c r="K1178" s="35" t="str">
        <x:v>FIN-00645; FIN-00646</x:v>
      </x:c>
      <x:c r="L1178" s="35" t="str">
        <x:v>Open Scan for paper payment or the tenant-account receipt form for electronic payment; verify tenant/lease match, amount, date, method, and reference; confirm once; open ledger detail and allocation.</x:v>
      </x:c>
      <x:c r="M1178" s="35" t="str">
        <x:v>Receipt is append-only, allocated once to the correct rent charge, and visible consistently in Unit, Lease, Tenant Account, Accounting, and portal views.</x:v>
      </x:c>
      <x:c r="N1178" s="35" t="str">
        <x:v>Scan review or form; success result; exact ledger rows; payment detail; accounting delta; portal receipt.</x:v>
      </x:c>
      <x:c r="O1178" s="35" t="str">
        <x:v>Retry the idempotency key once during the quarter assigned in the coverage matrix; no duplicate cash or allocation.</x:v>
      </x:c>
      <x:c r="P1178" s="35" t="str">
        <x:v>All expected records and amounts match; no unexplained error or stale state.</x:v>
      </x:c>
    </x:row>
    <x:row r="1179">
      <x:c r="A1179" s="20" t="str">
        <x:v>RUN-20270803-12</x:v>
      </x:c>
      <x:c r="B1179" s="23" t="n">
        <x:v>46602</x:v>
      </x:c>
      <x:c r="C1179" s="32" t="n">
        <x:v>12</x:v>
      </x:c>
      <x:c r="D1179" s="20" t="str">
        <x:v>Monthly operations</x:v>
      </x:c>
      <x:c r="E1179" s="20" t="str">
        <x:v>Property Manager</x:v>
      </x:c>
      <x:c r="F1179" s="20" t="str">
        <x:v>Web</x:v>
      </x:c>
      <x:c r="G1179" s="20" t="str">
        <x:v>Manual ACH</x:v>
      </x:c>
      <x:c r="H1179" s="35" t="str">
        <x:v>Post and allocate tenant receipt</x:v>
      </x:c>
      <x:c r="I1179" s="35" t="str">
        <x:v>P025; U030; L030</x:v>
      </x:c>
      <x:c r="J1179" s="35" t="str"/>
      <x:c r="K1179" s="35" t="str">
        <x:v>FIN-00651; FIN-00652</x:v>
      </x:c>
      <x:c r="L1179" s="35" t="str">
        <x:v>Open Scan for paper payment or the tenant-account receipt form for electronic payment; verify tenant/lease match, amount, date, method, and reference; confirm once; open ledger detail and allocation.</x:v>
      </x:c>
      <x:c r="M1179" s="35" t="str">
        <x:v>Receipt is append-only, allocated once to the correct rent charge, and visible consistently in Unit, Lease, Tenant Account, Accounting, and portal views.</x:v>
      </x:c>
      <x:c r="N1179" s="35" t="str">
        <x:v>Scan review or form; success result; exact ledger rows; payment detail; accounting delta; portal receipt.</x:v>
      </x:c>
      <x:c r="O1179" s="35" t="str">
        <x:v>Retry the idempotency key once during the quarter assigned in the coverage matrix; no duplicate cash or allocation.</x:v>
      </x:c>
      <x:c r="P1179" s="35" t="str">
        <x:v>All expected records and amounts match; no unexplained error or stale state.</x:v>
      </x:c>
    </x:row>
    <x:row r="1180">
      <x:c r="A1180" s="20" t="str">
        <x:v>RUN-20270803-13</x:v>
      </x:c>
      <x:c r="B1180" s="23" t="n">
        <x:v>46602</x:v>
      </x:c>
      <x:c r="C1180" s="32" t="n">
        <x:v>13</x:v>
      </x:c>
      <x:c r="D1180" s="20" t="str">
        <x:v>Monthly operations</x:v>
      </x:c>
      <x:c r="E1180" s="20" t="str">
        <x:v>Property Manager</x:v>
      </x:c>
      <x:c r="F1180" s="20" t="str">
        <x:v>Mobile</x:v>
      </x:c>
      <x:c r="G1180" s="20" t="str">
        <x:v>Scanned money order</x:v>
      </x:c>
      <x:c r="H1180" s="35" t="str">
        <x:v>Post and allocate tenant receipt</x:v>
      </x:c>
      <x:c r="I1180" s="35" t="str">
        <x:v>P027; U033; L033</x:v>
      </x:c>
      <x:c r="J1180" s="35" t="str">
        <x:v>SCN-0255</x:v>
      </x:c>
      <x:c r="K1180" s="35" t="str">
        <x:v>FIN-00657; FIN-00658</x:v>
      </x:c>
      <x:c r="L1180" s="35" t="str">
        <x:v>Open Scan for paper payment or the tenant-account receipt form for electronic payment; verify tenant/lease match, amount, date, method, and reference; confirm once; open ledger detail and allocation.</x:v>
      </x:c>
      <x:c r="M1180" s="35" t="str">
        <x:v>Receipt is append-only, allocated once to the correct rent charge, and visible consistently in Unit, Lease, Tenant Account, Accounting, and portal views.</x:v>
      </x:c>
      <x:c r="N1180" s="35" t="str">
        <x:v>Scan review or form; success result; exact ledger rows; payment detail; accounting delta; portal receipt.</x:v>
      </x:c>
      <x:c r="O1180" s="35" t="str">
        <x:v>Retry the idempotency key once during the quarter assigned in the coverage matrix; no duplicate cash or allocation.</x:v>
      </x:c>
      <x:c r="P1180" s="35" t="str">
        <x:v>All expected records and amounts match; no unexplained error or stale state.</x:v>
      </x:c>
    </x:row>
    <x:row r="1181">
      <x:c r="A1181" s="20" t="str">
        <x:v>RUN-20270803-14</x:v>
      </x:c>
      <x:c r="B1181" s="23" t="n">
        <x:v>46602</x:v>
      </x:c>
      <x:c r="C1181" s="32" t="n">
        <x:v>14</x:v>
      </x:c>
      <x:c r="D1181" s="20" t="str">
        <x:v>Monthly operations</x:v>
      </x:c>
      <x:c r="E1181" s="20" t="str">
        <x:v>Property Manager</x:v>
      </x:c>
      <x:c r="F1181" s="20" t="str">
        <x:v>Web</x:v>
      </x:c>
      <x:c r="G1181" s="20" t="str">
        <x:v>Scanned check</x:v>
      </x:c>
      <x:c r="H1181" s="35" t="str">
        <x:v>Post and allocate tenant receipt</x:v>
      </x:c>
      <x:c r="I1181" s="35" t="str">
        <x:v>P028; U036; L036</x:v>
      </x:c>
      <x:c r="J1181" s="35" t="str">
        <x:v>SCN-0256</x:v>
      </x:c>
      <x:c r="K1181" s="35" t="str">
        <x:v>FIN-00665; FIN-00666</x:v>
      </x:c>
      <x:c r="L1181" s="35" t="str">
        <x:v>Open Scan for paper payment or the tenant-account receipt form for electronic payment; verify tenant/lease match, amount, date, method, and reference; confirm once; open ledger detail and allocation.</x:v>
      </x:c>
      <x:c r="M1181" s="35" t="str">
        <x:v>Receipt is append-only, allocated once to the correct rent charge, and visible consistently in Unit, Lease, Tenant Account, Accounting, and portal views.</x:v>
      </x:c>
      <x:c r="N1181" s="35" t="str">
        <x:v>Scan review or form; success result; exact ledger rows; payment detail; accounting delta; portal receipt.</x:v>
      </x:c>
      <x:c r="O1181" s="35" t="str">
        <x:v>Retry the idempotency key once during the quarter assigned in the coverage matrix; no duplicate cash or allocation.</x:v>
      </x:c>
      <x:c r="P1181" s="35" t="str">
        <x:v>All expected records and amounts match; no unexplained error or stale state.</x:v>
      </x:c>
    </x:row>
    <x:row r="1182">
      <x:c r="A1182" s="20" t="str">
        <x:v>RUN-20270803-15</x:v>
      </x:c>
      <x:c r="B1182" s="23" t="n">
        <x:v>46602</x:v>
      </x:c>
      <x:c r="C1182" s="32" t="n">
        <x:v>15</x:v>
      </x:c>
      <x:c r="D1182" s="20" t="str">
        <x:v>Monthly operations</x:v>
      </x:c>
      <x:c r="E1182" s="20" t="str">
        <x:v>Property Manager</x:v>
      </x:c>
      <x:c r="F1182" s="20" t="str">
        <x:v>Web</x:v>
      </x:c>
      <x:c r="G1182" s="20" t="str">
        <x:v>Scanned check</x:v>
      </x:c>
      <x:c r="H1182" s="35" t="str">
        <x:v>Post and allocate tenant receipt</x:v>
      </x:c>
      <x:c r="I1182" s="35" t="str">
        <x:v>P029; U038; L044</x:v>
      </x:c>
      <x:c r="J1182" s="35" t="str">
        <x:v>SCN-0258</x:v>
      </x:c>
      <x:c r="K1182" s="35" t="str">
        <x:v>FIN-00676; FIN-00677</x:v>
      </x:c>
      <x:c r="L1182" s="35" t="str">
        <x:v>Open Scan for paper payment or the tenant-account receipt form for electronic payment; verify tenant/lease match, amount, date, method, and reference; confirm once; open ledger detail and allocation.</x:v>
      </x:c>
      <x:c r="M1182" s="35" t="str">
        <x:v>Receipt is append-only, allocated once to the correct rent charge, and visible consistently in Unit, Lease, Tenant Account, Accounting, and portal views.</x:v>
      </x:c>
      <x:c r="N1182" s="35" t="str">
        <x:v>Scan review or form; success result; exact ledger rows; payment detail; accounting delta; portal receipt.</x:v>
      </x:c>
      <x:c r="O1182" s="35" t="str">
        <x:v>Retry the idempotency key once during the quarter assigned in the coverage matrix; no duplicate cash or allocation.</x:v>
      </x:c>
      <x:c r="P1182" s="35" t="str">
        <x:v>All expected records and amounts match; no unexplained error or stale state.</x:v>
      </x:c>
    </x:row>
    <x:row r="1183">
      <x:c r="A1183" s="20" t="str">
        <x:v>RUN-20270803-16</x:v>
      </x:c>
      <x:c r="B1183" s="23" t="n">
        <x:v>46602</x:v>
      </x:c>
      <x:c r="C1183" s="32" t="n">
        <x:v>16</x:v>
      </x:c>
      <x:c r="D1183" s="20" t="str">
        <x:v>Monthly operations</x:v>
      </x:c>
      <x:c r="E1183" s="20" t="str">
        <x:v>Property Manager</x:v>
      </x:c>
      <x:c r="F1183" s="20" t="str">
        <x:v>Mobile</x:v>
      </x:c>
      <x:c r="G1183" s="20" t="str">
        <x:v>Scanned money order</x:v>
      </x:c>
      <x:c r="H1183" s="35" t="str">
        <x:v>Post and allocate tenant receipt</x:v>
      </x:c>
      <x:c r="I1183" s="35" t="str">
        <x:v>P030; U039; L045</x:v>
      </x:c>
      <x:c r="J1183" s="35" t="str">
        <x:v>SCN-0259</x:v>
      </x:c>
      <x:c r="K1183" s="35" t="str">
        <x:v>FIN-00680; FIN-00681</x:v>
      </x:c>
      <x:c r="L1183" s="35" t="str">
        <x:v>Open Scan for paper payment or the tenant-account receipt form for electronic payment; verify tenant/lease match, amount, date, method, and reference; confirm once; open ledger detail and allocation.</x:v>
      </x:c>
      <x:c r="M1183" s="35" t="str">
        <x:v>Receipt is append-only, allocated once to the correct rent charge, and visible consistently in Unit, Lease, Tenant Account, Accounting, and portal views.</x:v>
      </x:c>
      <x:c r="N1183" s="35" t="str">
        <x:v>Scan review or form; success result; exact ledger rows; payment detail; accounting delta; portal receipt.</x:v>
      </x:c>
      <x:c r="O1183" s="35" t="str">
        <x:v>Retry the idempotency key once during the quarter assigned in the coverage matrix; no duplicate cash or allocation.</x:v>
      </x:c>
      <x:c r="P1183" s="35" t="str">
        <x:v>All expected records and amounts match; no unexplained error or stale state.</x:v>
      </x:c>
    </x:row>
    <x:row r="1184">
      <x:c r="A1184" s="20" t="str">
        <x:v>RUN-20270803-17</x:v>
      </x:c>
      <x:c r="B1184" s="23" t="n">
        <x:v>46602</x:v>
      </x:c>
      <x:c r="C1184" s="32" t="n">
        <x:v>17</x:v>
      </x:c>
      <x:c r="D1184" s="20" t="str">
        <x:v>Weekly operations</x:v>
      </x:c>
      <x:c r="E1184" s="20" t="str">
        <x:v>Property Manager</x:v>
      </x:c>
      <x:c r="F1184" s="20" t="str">
        <x:v>Mobile</x:v>
      </x:c>
      <x:c r="G1184" s="20" t="str">
        <x:v>Scanned receipt/invoice</x:v>
      </x:c>
      <x:c r="H1184" s="35" t="str">
        <x:v>Record, review, allocate, and pay operating expense</x:v>
      </x:c>
      <x:c r="I1184" s="35" t="str">
        <x:v>P018; U018; WO-2027-031</x:v>
      </x:c>
      <x:c r="J1184" s="35" t="str">
        <x:v>SCN-0402</x:v>
      </x:c>
      <x:c r="K1184" s="35" t="str">
        <x:v>FIN-01054</x:v>
      </x:c>
      <x:c r="L1184" s="35" t="str">
        <x:v>Capture or upload the source; verify vendor, date, scope, category, line items, tax, amount, and work-order link; confirm; open detail; verify attachment; compare Money and Property/Unit views.</x:v>
      </x:c>
      <x:c r="M1184" s="35" t="str">
        <x:v>One expense exists at its real operational scope, cash falls once, Schedule E category and allocations agree, and no per-unit copies are created.</x:v>
      </x:c>
      <x:c r="N1184" s="35" t="str">
        <x:v>Source preview; review/form; expense detail; line items; Property/Unit ledger; audit; accounting/report delta.</x:v>
      </x:c>
      <x:c r="O1184" s="35" t="str">
        <x:v>On marked duplicate-invoice cases, re-upload before confirm and prove the product prevents or clearly warns about duplication.</x:v>
      </x:c>
      <x:c r="P1184" s="35" t="str">
        <x:v>All expected records and amounts match; no unexplained error or stale state.</x:v>
      </x:c>
    </x:row>
    <x:row r="1185">
      <x:c r="A1185" s="20" t="str">
        <x:v>RUN-20270803-18</x:v>
      </x:c>
      <x:c r="B1185" s="23" t="n">
        <x:v>46602</x:v>
      </x:c>
      <x:c r="C1185" s="32" t="n">
        <x:v>18</x:v>
      </x:c>
      <x:c r="D1185" s="20" t="str">
        <x:v>Field certification</x:v>
      </x:c>
      <x:c r="E1185" s="20" t="str">
        <x:v>Property Manager</x:v>
      </x:c>
      <x:c r="F1185" s="20" t="str">
        <x:v>Web</x:v>
      </x:c>
      <x:c r="G1185" s="20" t="str">
        <x:v>Manual field-by-field</x:v>
      </x:c>
      <x:c r="H1185" s="35" t="str">
        <x:v>Fill, save, reload, edit, and validate every declared field on /properties</x:v>
      </x:c>
      <x:c r="I1185" s="35" t="str">
        <x:v>FLD-0616; FLD-0617; FLD-0618; FLD-0619; FLD-0620</x:v>
      </x:c>
      <x:c r="J1185" s="35" t="str"/>
      <x:c r="K1185" s="35" t="str"/>
      <x:c r="L1185" s="35" t="str">
        <x:v>Use the source-derived Field Inventory. Enter non-default realistic values in every control (Select-10; form.status; property-status-input; Select-13; Select-14); submit; reload or relaunch; compare every value; edit each mutable field; verify the paired client; then run required, format, length, range, boundary, optional-null, and stale-submit checks.</x:v>
      </x:c>
      <x:c r="M1185" s="35" t="str">
        <x:v>All 5 inventoried controls persist exact normalized values, invalid values stay unsaved with clear errors, and hidden/unauthorized fields cannot be altered.</x:v>
      </x:c>
      <x:c r="N1185" s="35" t="str">
        <x:v>Before/after form screenshots; FLD IDs; API response; reloaded UI; paired-client read-back; database/audit evidence; negative validation result.</x:v>
      </x:c>
      <x:c r="O1185" s="35" t="str">
        <x:v>Use a duplicate submit and one simulated network interruption; one atomic mutation or none, never partial state.</x:v>
      </x:c>
      <x:c r="P1185" s="35" t="str">
        <x:v>All expected records and amounts match; no unexplained error or stale state.</x:v>
      </x:c>
    </x:row>
    <x:row r="1186">
      <x:c r="A1186" s="20" t="str">
        <x:v>RUN-20270803-19</x:v>
      </x:c>
      <x:c r="B1186" s="23" t="n">
        <x:v>46602</x:v>
      </x:c>
      <x:c r="C1186" s="32" t="n">
        <x:v>19</x:v>
      </x:c>
      <x:c r="D1186" s="20" t="str">
        <x:v>Lifecycle certification</x:v>
      </x:c>
      <x:c r="E1186" s="20" t="str">
        <x:v>Workspace Administrator</x:v>
      </x:c>
      <x:c r="F1186" s="20" t="str">
        <x:v>Web + Mobile</x:v>
      </x:c>
      <x:c r="G1186" s="20" t="str">
        <x:v>Manual + scan/attachment where supported</x:v>
      </x:c>
      <x:c r="H1186" s="35" t="str">
        <x:v>Complete the full create/read/edit/lifecycle/delete-safe pass for Capital asset</x:v>
      </x:c>
      <x:c r="I1186" s="35" t="str">
        <x:v>CRUD-020</x:v>
      </x:c>
      <x:c r="J1186" s="35" t="str"/>
      <x:c r="K1186" s="35" t="str"/>
      <x:c r="L1186" s="35" t="str">
        <x:v>Use a dedicated disposable QA record and execute: create; edit; depreciate; dispose; prevent double expense. Fill every field referenced by field-inventory.csv. Verify confirmation copy, cancel path, final path, reload, other-client state, history, and role denial.</x:v>
      </x:c>
      <x:c r="M1186" s="35" t="str">
        <x:v>Every supported transition succeeds exactly once; forbidden destructive actions are guarded; reversible deletion/deactivation works; financial and historical truth is preserved.</x:v>
      </x:c>
      <x:c r="N1186" s="35" t="str">
        <x:v>Entity before/after; both clients; all FLD IDs; audit/history; notifications; authorized and unauthorized personas; API/DB state.</x:v>
      </x:c>
      <x:c r="O1186" s="35" t="str">
        <x:v>Cancel the first destructive confirmation, then repeat and confirm; retry the mutation once; no double transition or orphan.</x:v>
      </x:c>
      <x:c r="P1186" s="35" t="str">
        <x:v>All expected records and amounts match; no unexplained error or stale state.</x:v>
      </x:c>
    </x:row>
    <x:row r="1187">
      <x:c r="A1187" s="20" t="str">
        <x:v>RUN-20270803-20</x:v>
      </x:c>
      <x:c r="B1187" s="23" t="n">
        <x:v>46602</x:v>
      </x:c>
      <x:c r="C1187" s="32" t="n">
        <x:v>20</x:v>
      </x:c>
      <x:c r="D1187" s="20" t="str">
        <x:v>Surface coverage</x:v>
      </x:c>
      <x:c r="E1187" s="20" t="str">
        <x:v>Role appropriate to surface</x:v>
      </x:c>
      <x:c r="F1187" s="20" t="str">
        <x:v>Mobile</x:v>
      </x:c>
      <x:c r="G1187" s="20" t="str">
        <x:v>Manual</x:v>
      </x:c>
      <x:c r="H1187" s="35" t="str">
        <x:v>Manual mobile pass: Technician labor/material entries</x:v>
      </x:c>
      <x:c r="I1187" s="35" t="str">
        <x:v>COV-027</x:v>
      </x:c>
      <x:c r="J1187" s="35" t="str"/>
      <x:c r="K1187" s="35" t="str"/>
      <x:c r="L1187" s="35" t="str">
        <x:v>Start/stop labor, add material/receipt, complete assignment, and prove totals/role scoping.</x:v>
      </x:c>
      <x:c r="M1187" s="35" t="str">
        <x:v>The supported workflow completes and persists correctly; if the capability is absent, the exact gap is proven and queued rather than silently skipped.</x:v>
      </x:c>
      <x:c r="N1187" s="35" t="str">
        <x:v>Real UI screenshot/state; submitted values; persisted read-back; cross-client read-back; audit/role/access evidence.</x:v>
      </x:c>
      <x:c r="O1187" s="35" t="str">
        <x:v>Use one invalid value, stale-state retry, or duplicate submission relevant to the form; no partial or duplicate mutation.</x:v>
      </x:c>
      <x:c r="P1187" s="35" t="str">
        <x:v>All expected records and amounts match; no unexplained error or stale state.</x:v>
      </x:c>
    </x:row>
    <x:row r="1188">
      <x:c r="A1188" s="20" t="str">
        <x:v>RUN-20270804-01</x:v>
      </x:c>
      <x:c r="B1188" s="23" t="n">
        <x:v>46603</x:v>
      </x:c>
      <x:c r="C1188" s="32" t="n">
        <x:v>1</x:v>
      </x:c>
      <x:c r="D1188" s="20" t="str">
        <x:v>Monthly operations</x:v>
      </x:c>
      <x:c r="E1188" s="20" t="str">
        <x:v>Property Manager</x:v>
      </x:c>
      <x:c r="F1188" s="20" t="str">
        <x:v>Mobile</x:v>
      </x:c>
      <x:c r="G1188" s="20" t="str">
        <x:v>Scanned money order</x:v>
      </x:c>
      <x:c r="H1188" s="35" t="str">
        <x:v>Post and allocate tenant receipt</x:v>
      </x:c>
      <x:c r="I1188" s="35" t="str">
        <x:v>P001; U001; L001</x:v>
      </x:c>
      <x:c r="J1188" s="35" t="str">
        <x:v>SCN-0238</x:v>
      </x:c>
      <x:c r="K1188" s="35" t="str">
        <x:v>FIN-00593; FIN-00594</x:v>
      </x:c>
      <x:c r="L1188" s="35" t="str">
        <x:v>Open Scan for paper payment or the tenant-account receipt form for electronic payment; verify tenant/lease match, amount, date, method, and reference; confirm once; open ledger detail and allocation.</x:v>
      </x:c>
      <x:c r="M1188" s="35" t="str">
        <x:v>Receipt is append-only, allocated once to the correct rent charge, and visible consistently in Unit, Lease, Tenant Account, Accounting, and portal views.</x:v>
      </x:c>
      <x:c r="N1188" s="35" t="str">
        <x:v>Scan review or form; success result; exact ledger rows; payment detail; accounting delta; portal receipt.</x:v>
      </x:c>
      <x:c r="O1188" s="35" t="str">
        <x:v>Retry the idempotency key once during the quarter assigned in the coverage matrix; no duplicate cash or allocation.</x:v>
      </x:c>
      <x:c r="P1188" s="35" t="str">
        <x:v>All expected records and amounts match; no unexplained error or stale state.</x:v>
      </x:c>
    </x:row>
    <x:row r="1189">
      <x:c r="A1189" s="20" t="str">
        <x:v>RUN-20270804-02</x:v>
      </x:c>
      <x:c r="B1189" s="23" t="n">
        <x:v>46603</x:v>
      </x:c>
      <x:c r="C1189" s="32" t="n">
        <x:v>2</x:v>
      </x:c>
      <x:c r="D1189" s="20" t="str">
        <x:v>Monthly operations</x:v>
      </x:c>
      <x:c r="E1189" s="20" t="str">
        <x:v>Property Manager</x:v>
      </x:c>
      <x:c r="F1189" s="20" t="str">
        <x:v>Web</x:v>
      </x:c>
      <x:c r="G1189" s="20" t="str">
        <x:v>Scanned check</x:v>
      </x:c>
      <x:c r="H1189" s="35" t="str">
        <x:v>Post and allocate tenant receipt</x:v>
      </x:c>
      <x:c r="I1189" s="35" t="str">
        <x:v>P004; U004; L004</x:v>
      </x:c>
      <x:c r="J1189" s="35" t="str">
        <x:v>SCN-0239</x:v>
      </x:c>
      <x:c r="K1189" s="35" t="str">
        <x:v>FIN-00599; FIN-00600</x:v>
      </x:c>
      <x:c r="L1189" s="35" t="str">
        <x:v>Open Scan for paper payment or the tenant-account receipt form for electronic payment; verify tenant/lease match, amount, date, method, and reference; confirm once; open ledger detail and allocation.</x:v>
      </x:c>
      <x:c r="M1189" s="35" t="str">
        <x:v>Receipt is append-only, allocated once to the correct rent charge, and visible consistently in Unit, Lease, Tenant Account, Accounting, and portal views.</x:v>
      </x:c>
      <x:c r="N1189" s="35" t="str">
        <x:v>Scan review or form; success result; exact ledger rows; payment detail; accounting delta; portal receipt.</x:v>
      </x:c>
      <x:c r="O1189" s="35" t="str">
        <x:v>Retry the idempotency key once during the quarter assigned in the coverage matrix; no duplicate cash or allocation.</x:v>
      </x:c>
      <x:c r="P1189" s="35" t="str">
        <x:v>All expected records and amounts match; no unexplained error or stale state.</x:v>
      </x:c>
    </x:row>
    <x:row r="1190">
      <x:c r="A1190" s="20" t="str">
        <x:v>RUN-20270804-03</x:v>
      </x:c>
      <x:c r="B1190" s="23" t="n">
        <x:v>46603</x:v>
      </x:c>
      <x:c r="C1190" s="32" t="n">
        <x:v>3</x:v>
      </x:c>
      <x:c r="D1190" s="20" t="str">
        <x:v>Monthly operations</x:v>
      </x:c>
      <x:c r="E1190" s="20" t="str">
        <x:v>Property Manager</x:v>
      </x:c>
      <x:c r="F1190" s="20" t="str">
        <x:v>Mobile</x:v>
      </x:c>
      <x:c r="G1190" s="20" t="str">
        <x:v>Portal card</x:v>
      </x:c>
      <x:c r="H1190" s="35" t="str">
        <x:v>Post and allocate tenant receipt</x:v>
      </x:c>
      <x:c r="I1190" s="35" t="str">
        <x:v>P007; U007; L007</x:v>
      </x:c>
      <x:c r="J1190" s="35" t="str"/>
      <x:c r="K1190" s="35" t="str">
        <x:v>FIN-00603; FIN-00604</x:v>
      </x:c>
      <x:c r="L1190" s="35" t="str">
        <x:v>Open Scan for paper payment or the tenant-account receipt form for electronic payment; verify tenant/lease match, amount, date, method, and reference; confirm once; open ledger detail and allocation.</x:v>
      </x:c>
      <x:c r="M1190" s="35" t="str">
        <x:v>Receipt is append-only, allocated once to the correct rent charge, and visible consistently in Unit, Lease, Tenant Account, Accounting, and portal views.</x:v>
      </x:c>
      <x:c r="N1190" s="35" t="str">
        <x:v>Scan review or form; success result; exact ledger rows; payment detail; accounting delta; portal receipt.</x:v>
      </x:c>
      <x:c r="O1190" s="35" t="str">
        <x:v>Retry the idempotency key once during the quarter assigned in the coverage matrix; no duplicate cash or allocation.</x:v>
      </x:c>
      <x:c r="P1190" s="35" t="str">
        <x:v>All expected records and amounts match; no unexplained error or stale state.</x:v>
      </x:c>
    </x:row>
    <x:row r="1191">
      <x:c r="A1191" s="20" t="str">
        <x:v>RUN-20270804-04</x:v>
      </x:c>
      <x:c r="B1191" s="23" t="n">
        <x:v>46603</x:v>
      </x:c>
      <x:c r="C1191" s="32" t="n">
        <x:v>4</x:v>
      </x:c>
      <x:c r="D1191" s="20" t="str">
        <x:v>Monthly operations</x:v>
      </x:c>
      <x:c r="E1191" s="20" t="str">
        <x:v>Property Manager</x:v>
      </x:c>
      <x:c r="F1191" s="20" t="str">
        <x:v>Web</x:v>
      </x:c>
      <x:c r="G1191" s="20" t="str">
        <x:v>Manual ACH</x:v>
      </x:c>
      <x:c r="H1191" s="35" t="str">
        <x:v>Post and allocate tenant receipt</x:v>
      </x:c>
      <x:c r="I1191" s="35" t="str">
        <x:v>P010; U010; L010</x:v>
      </x:c>
      <x:c r="J1191" s="35" t="str"/>
      <x:c r="K1191" s="35" t="str">
        <x:v>FIN-00609; FIN-00610</x:v>
      </x:c>
      <x:c r="L1191" s="35" t="str">
        <x:v>Open Scan for paper payment or the tenant-account receipt form for electronic payment; verify tenant/lease match, amount, date, method, and reference; confirm once; open ledger detail and allocation.</x:v>
      </x:c>
      <x:c r="M1191" s="35" t="str">
        <x:v>Receipt is append-only, allocated once to the correct rent charge, and visible consistently in Unit, Lease, Tenant Account, Accounting, and portal views.</x:v>
      </x:c>
      <x:c r="N1191" s="35" t="str">
        <x:v>Scan review or form; success result; exact ledger rows; payment detail; accounting delta; portal receipt.</x:v>
      </x:c>
      <x:c r="O1191" s="35" t="str">
        <x:v>Retry the idempotency key once during the quarter assigned in the coverage matrix; no duplicate cash or allocation.</x:v>
      </x:c>
      <x:c r="P1191" s="35" t="str">
        <x:v>All expected records and amounts match; no unexplained error or stale state.</x:v>
      </x:c>
    </x:row>
    <x:row r="1192">
      <x:c r="A1192" s="20" t="str">
        <x:v>RUN-20270804-05</x:v>
      </x:c>
      <x:c r="B1192" s="23" t="n">
        <x:v>46603</x:v>
      </x:c>
      <x:c r="C1192" s="32" t="n">
        <x:v>5</x:v>
      </x:c>
      <x:c r="D1192" s="20" t="str">
        <x:v>Monthly operations</x:v>
      </x:c>
      <x:c r="E1192" s="20" t="str">
        <x:v>Property Manager</x:v>
      </x:c>
      <x:c r="F1192" s="20" t="str">
        <x:v>Web</x:v>
      </x:c>
      <x:c r="G1192" s="20" t="str">
        <x:v>Scanned check</x:v>
      </x:c>
      <x:c r="H1192" s="35" t="str">
        <x:v>Post and allocate tenant receipt</x:v>
      </x:c>
      <x:c r="I1192" s="35" t="str">
        <x:v>P016; U016; L016</x:v>
      </x:c>
      <x:c r="J1192" s="35" t="str">
        <x:v>SCN-0245</x:v>
      </x:c>
      <x:c r="K1192" s="35" t="str">
        <x:v>FIN-00622; FIN-00623</x:v>
      </x:c>
      <x:c r="L1192" s="35" t="str">
        <x:v>Open Scan for paper payment or the tenant-account receipt form for electronic payment; verify tenant/lease match, amount, date, method, and reference; confirm once; open ledger detail and allocation.</x:v>
      </x:c>
      <x:c r="M1192" s="35" t="str">
        <x:v>Receipt is append-only, allocated once to the correct rent charge, and visible consistently in Unit, Lease, Tenant Account, Accounting, and portal views.</x:v>
      </x:c>
      <x:c r="N1192" s="35" t="str">
        <x:v>Scan review or form; success result; exact ledger rows; payment detail; accounting delta; portal receipt.</x:v>
      </x:c>
      <x:c r="O1192" s="35" t="str">
        <x:v>Retry the idempotency key once during the quarter assigned in the coverage matrix; no duplicate cash or allocation.</x:v>
      </x:c>
      <x:c r="P1192" s="35" t="str">
        <x:v>All expected records and amounts match; no unexplained error or stale state.</x:v>
      </x:c>
    </x:row>
    <x:row r="1193">
      <x:c r="A1193" s="20" t="str">
        <x:v>RUN-20270804-06</x:v>
      </x:c>
      <x:c r="B1193" s="23" t="n">
        <x:v>46603</x:v>
      </x:c>
      <x:c r="C1193" s="32" t="n">
        <x:v>6</x:v>
      </x:c>
      <x:c r="D1193" s="20" t="str">
        <x:v>Monthly operations</x:v>
      </x:c>
      <x:c r="E1193" s="20" t="str">
        <x:v>Property Manager</x:v>
      </x:c>
      <x:c r="F1193" s="20" t="str">
        <x:v>Mobile</x:v>
      </x:c>
      <x:c r="G1193" s="20" t="str">
        <x:v>Portal card</x:v>
      </x:c>
      <x:c r="H1193" s="35" t="str">
        <x:v>Post and allocate tenant receipt</x:v>
      </x:c>
      <x:c r="I1193" s="35" t="str">
        <x:v>P019; U019; L019</x:v>
      </x:c>
      <x:c r="J1193" s="35" t="str"/>
      <x:c r="K1193" s="35" t="str">
        <x:v>FIN-00626; FIN-00627</x:v>
      </x:c>
      <x:c r="L1193" s="35" t="str">
        <x:v>Open Scan for paper payment or the tenant-account receipt form for electronic payment; verify tenant/lease match, amount, date, method, and reference; confirm once; open ledger detail and allocation.</x:v>
      </x:c>
      <x:c r="M1193" s="35" t="str">
        <x:v>Receipt is append-only, allocated once to the correct rent charge, and visible consistently in Unit, Lease, Tenant Account, Accounting, and portal views.</x:v>
      </x:c>
      <x:c r="N1193" s="35" t="str">
        <x:v>Scan review or form; success result; exact ledger rows; payment detail; accounting delta; portal receipt.</x:v>
      </x:c>
      <x:c r="O1193" s="35" t="str">
        <x:v>Retry the idempotency key once during the quarter assigned in the coverage matrix; no duplicate cash or allocation.</x:v>
      </x:c>
      <x:c r="P1193" s="35" t="str">
        <x:v>All expected records and amounts match; no unexplained error or stale state.</x:v>
      </x:c>
    </x:row>
    <x:row r="1194">
      <x:c r="A1194" s="20" t="str">
        <x:v>RUN-20270804-07</x:v>
      </x:c>
      <x:c r="B1194" s="23" t="n">
        <x:v>46603</x:v>
      </x:c>
      <x:c r="C1194" s="32" t="n">
        <x:v>7</x:v>
      </x:c>
      <x:c r="D1194" s="20" t="str">
        <x:v>Monthly operations</x:v>
      </x:c>
      <x:c r="E1194" s="20" t="str">
        <x:v>Property Manager</x:v>
      </x:c>
      <x:c r="F1194" s="20" t="str">
        <x:v>Mobile</x:v>
      </x:c>
      <x:c r="G1194" s="20" t="str">
        <x:v>Scanned money order</x:v>
      </x:c>
      <x:c r="H1194" s="35" t="str">
        <x:v>Post and allocate tenant receipt</x:v>
      </x:c>
      <x:c r="I1194" s="35" t="str">
        <x:v>P023; U025; L025</x:v>
      </x:c>
      <x:c r="J1194" s="35" t="str">
        <x:v>SCN-0250</x:v>
      </x:c>
      <x:c r="K1194" s="35" t="str">
        <x:v>FIN-00640; FIN-00641</x:v>
      </x:c>
      <x:c r="L1194" s="35" t="str">
        <x:v>Open Scan for paper payment or the tenant-account receipt form for electronic payment; verify tenant/lease match, amount, date, method, and reference; confirm once; open ledger detail and allocation.</x:v>
      </x:c>
      <x:c r="M1194" s="35" t="str">
        <x:v>Receipt is append-only, allocated once to the correct rent charge, and visible consistently in Unit, Lease, Tenant Account, Accounting, and portal views.</x:v>
      </x:c>
      <x:c r="N1194" s="35" t="str">
        <x:v>Scan review or form; success result; exact ledger rows; payment detail; accounting delta; portal receipt.</x:v>
      </x:c>
      <x:c r="O1194" s="35" t="str">
        <x:v>Retry the idempotency key once during the quarter assigned in the coverage matrix; no duplicate cash or allocation.</x:v>
      </x:c>
      <x:c r="P1194" s="35" t="str">
        <x:v>All expected records and amounts match; no unexplained error or stale state.</x:v>
      </x:c>
    </x:row>
    <x:row r="1195">
      <x:c r="A1195" s="20" t="str">
        <x:v>RUN-20270804-08</x:v>
      </x:c>
      <x:c r="B1195" s="23" t="n">
        <x:v>46603</x:v>
      </x:c>
      <x:c r="C1195" s="32" t="n">
        <x:v>8</x:v>
      </x:c>
      <x:c r="D1195" s="20" t="str">
        <x:v>Monthly operations</x:v>
      </x:c>
      <x:c r="E1195" s="20" t="str">
        <x:v>Property Manager</x:v>
      </x:c>
      <x:c r="F1195" s="20" t="str">
        <x:v>Web</x:v>
      </x:c>
      <x:c r="G1195" s="20" t="str">
        <x:v>Scanned check</x:v>
      </x:c>
      <x:c r="H1195" s="35" t="str">
        <x:v>Post and allocate tenant receipt</x:v>
      </x:c>
      <x:c r="I1195" s="35" t="str">
        <x:v>P024; U028; L028</x:v>
      </x:c>
      <x:c r="J1195" s="35" t="str">
        <x:v>SCN-0252</x:v>
      </x:c>
      <x:c r="K1195" s="35" t="str">
        <x:v>FIN-00647; FIN-00648</x:v>
      </x:c>
      <x:c r="L1195" s="35" t="str">
        <x:v>Open Scan for paper payment or the tenant-account receipt form for electronic payment; verify tenant/lease match, amount, date, method, and reference; confirm once; open ledger detail and allocation.</x:v>
      </x:c>
      <x:c r="M1195" s="35" t="str">
        <x:v>Receipt is append-only, allocated once to the correct rent charge, and visible consistently in Unit, Lease, Tenant Account, Accounting, and portal views.</x:v>
      </x:c>
      <x:c r="N1195" s="35" t="str">
        <x:v>Scan review or form; success result; exact ledger rows; payment detail; accounting delta; portal receipt.</x:v>
      </x:c>
      <x:c r="O1195" s="35" t="str">
        <x:v>Retry the idempotency key once during the quarter assigned in the coverage matrix; no duplicate cash or allocation.</x:v>
      </x:c>
      <x:c r="P1195" s="35" t="str">
        <x:v>All expected records and amounts match; no unexplained error or stale state.</x:v>
      </x:c>
    </x:row>
    <x:row r="1196">
      <x:c r="A1196" s="20" t="str">
        <x:v>RUN-20270804-09</x:v>
      </x:c>
      <x:c r="B1196" s="23" t="n">
        <x:v>46603</x:v>
      </x:c>
      <x:c r="C1196" s="32" t="n">
        <x:v>9</x:v>
      </x:c>
      <x:c r="D1196" s="20" t="str">
        <x:v>Monthly operations</x:v>
      </x:c>
      <x:c r="E1196" s="20" t="str">
        <x:v>Property Manager</x:v>
      </x:c>
      <x:c r="F1196" s="20" t="str">
        <x:v>Mobile</x:v>
      </x:c>
      <x:c r="G1196" s="20" t="str">
        <x:v>Portal card</x:v>
      </x:c>
      <x:c r="H1196" s="35" t="str">
        <x:v>Post and allocate tenant receipt</x:v>
      </x:c>
      <x:c r="I1196" s="35" t="str">
        <x:v>P026; U031; L031</x:v>
      </x:c>
      <x:c r="J1196" s="35" t="str"/>
      <x:c r="K1196" s="35" t="str">
        <x:v>FIN-00653; FIN-00654</x:v>
      </x:c>
      <x:c r="L1196" s="35" t="str">
        <x:v>Open Scan for paper payment or the tenant-account receipt form for electronic payment; verify tenant/lease match, amount, date, method, and reference; confirm once; open ledger detail and allocation.</x:v>
      </x:c>
      <x:c r="M1196" s="35" t="str">
        <x:v>Receipt is append-only, allocated once to the correct rent charge, and visible consistently in Unit, Lease, Tenant Account, Accounting, and portal views.</x:v>
      </x:c>
      <x:c r="N1196" s="35" t="str">
        <x:v>Scan review or form; success result; exact ledger rows; payment detail; accounting delta; portal receipt.</x:v>
      </x:c>
      <x:c r="O1196" s="35" t="str">
        <x:v>Retry the idempotency key once during the quarter assigned in the coverage matrix; no duplicate cash or allocation.</x:v>
      </x:c>
      <x:c r="P1196" s="35" t="str">
        <x:v>All expected records and amounts match; no unexplained error or stale state.</x:v>
      </x:c>
    </x:row>
    <x:row r="1197">
      <x:c r="A1197" s="20" t="str">
        <x:v>RUN-20270804-10</x:v>
      </x:c>
      <x:c r="B1197" s="23" t="n">
        <x:v>46603</x:v>
      </x:c>
      <x:c r="C1197" s="32" t="n">
        <x:v>10</x:v>
      </x:c>
      <x:c r="D1197" s="20" t="str">
        <x:v>Monthly operations</x:v>
      </x:c>
      <x:c r="E1197" s="20" t="str">
        <x:v>Property Manager</x:v>
      </x:c>
      <x:c r="F1197" s="20" t="str">
        <x:v>Web</x:v>
      </x:c>
      <x:c r="G1197" s="20" t="str">
        <x:v>Manual ACH</x:v>
      </x:c>
      <x:c r="H1197" s="35" t="str">
        <x:v>Post and allocate tenant receipt</x:v>
      </x:c>
      <x:c r="I1197" s="35" t="str">
        <x:v>P027; U034; L034</x:v>
      </x:c>
      <x:c r="J1197" s="35" t="str"/>
      <x:c r="K1197" s="35" t="str">
        <x:v>FIN-00661; FIN-00662</x:v>
      </x:c>
      <x:c r="L1197" s="35" t="str">
        <x:v>Open Scan for paper payment or the tenant-account receipt form for electronic payment; verify tenant/lease match, amount, date, method, and reference; confirm once; open ledger detail and allocation.</x:v>
      </x:c>
      <x:c r="M1197" s="35" t="str">
        <x:v>Receipt is append-only, allocated once to the correct rent charge, and visible consistently in Unit, Lease, Tenant Account, Accounting, and portal views.</x:v>
      </x:c>
      <x:c r="N1197" s="35" t="str">
        <x:v>Scan review or form; success result; exact ledger rows; payment detail; accounting delta; portal receipt.</x:v>
      </x:c>
      <x:c r="O1197" s="35" t="str">
        <x:v>Retry the idempotency key once during the quarter assigned in the coverage matrix; no duplicate cash or allocation.</x:v>
      </x:c>
      <x:c r="P1197" s="35" t="str">
        <x:v>All expected records and amounts match; no unexplained error or stale state.</x:v>
      </x:c>
    </x:row>
    <x:row r="1198">
      <x:c r="A1198" s="20" t="str">
        <x:v>RUN-20270804-11</x:v>
      </x:c>
      <x:c r="B1198" s="23" t="n">
        <x:v>46603</x:v>
      </x:c>
      <x:c r="C1198" s="32" t="n">
        <x:v>11</x:v>
      </x:c>
      <x:c r="D1198" s="20" t="str">
        <x:v>Monthly operations</x:v>
      </x:c>
      <x:c r="E1198" s="20" t="str">
        <x:v>Property Manager</x:v>
      </x:c>
      <x:c r="F1198" s="20" t="str">
        <x:v>Mobile</x:v>
      </x:c>
      <x:c r="G1198" s="20" t="str">
        <x:v>Scanned money order</x:v>
      </x:c>
      <x:c r="H1198" s="35" t="str">
        <x:v>Post and allocate tenant receipt</x:v>
      </x:c>
      <x:c r="I1198" s="35" t="str">
        <x:v>P005; U005; L037</x:v>
      </x:c>
      <x:c r="J1198" s="35" t="str">
        <x:v>SCN-0257</x:v>
      </x:c>
      <x:c r="K1198" s="35" t="str">
        <x:v>FIN-00667; FIN-00668</x:v>
      </x:c>
      <x:c r="L1198" s="35" t="str">
        <x:v>Open Scan for paper payment or the tenant-account receipt form for electronic payment; verify tenant/lease match, amount, date, method, and reference; confirm once; open ledger detail and allocation.</x:v>
      </x:c>
      <x:c r="M1198" s="35" t="str">
        <x:v>Receipt is append-only, allocated once to the correct rent charge, and visible consistently in Unit, Lease, Tenant Account, Accounting, and portal views.</x:v>
      </x:c>
      <x:c r="N1198" s="35" t="str">
        <x:v>Scan review or form; success result; exact ledger rows; payment detail; accounting delta; portal receipt.</x:v>
      </x:c>
      <x:c r="O1198" s="35" t="str">
        <x:v>Retry the idempotency key once during the quarter assigned in the coverage matrix; no duplicate cash or allocation.</x:v>
      </x:c>
      <x:c r="P1198" s="35" t="str">
        <x:v>All expected records and amounts match; no unexplained error or stale state.</x:v>
      </x:c>
    </x:row>
    <x:row r="1199">
      <x:c r="A1199" s="20" t="str">
        <x:v>RUN-20270804-12</x:v>
      </x:c>
      <x:c r="B1199" s="23" t="n">
        <x:v>46603</x:v>
      </x:c>
      <x:c r="C1199" s="32" t="n">
        <x:v>12</x:v>
      </x:c>
      <x:c r="D1199" s="20" t="str">
        <x:v>Monthly operations</x:v>
      </x:c>
      <x:c r="E1199" s="20" t="str">
        <x:v>Property Manager</x:v>
      </x:c>
      <x:c r="F1199" s="20" t="str">
        <x:v>Mobile</x:v>
      </x:c>
      <x:c r="G1199" s="20" t="str">
        <x:v>Portal card</x:v>
      </x:c>
      <x:c r="H1199" s="35" t="str">
        <x:v>Post and allocate tenant receipt</x:v>
      </x:c>
      <x:c r="I1199" s="35" t="str">
        <x:v>P029; U037; L043</x:v>
      </x:c>
      <x:c r="J1199" s="35" t="str"/>
      <x:c r="K1199" s="35" t="str">
        <x:v>FIN-00674; FIN-00675</x:v>
      </x:c>
      <x:c r="L1199" s="35" t="str">
        <x:v>Open Scan for paper payment or the tenant-account receipt form for electronic payment; verify tenant/lease match, amount, date, method, and reference; confirm once; open ledger detail and allocation.</x:v>
      </x:c>
      <x:c r="M1199" s="35" t="str">
        <x:v>Receipt is append-only, allocated once to the correct rent charge, and visible consistently in Unit, Lease, Tenant Account, Accounting, and portal views.</x:v>
      </x:c>
      <x:c r="N1199" s="35" t="str">
        <x:v>Scan review or form; success result; exact ledger rows; payment detail; accounting delta; portal receipt.</x:v>
      </x:c>
      <x:c r="O1199" s="35" t="str">
        <x:v>Retry the idempotency key once during the quarter assigned in the coverage matrix; no duplicate cash or allocation.</x:v>
      </x:c>
      <x:c r="P1199" s="35" t="str">
        <x:v>All expected records and amounts match; no unexplained error or stale state.</x:v>
      </x:c>
    </x:row>
    <x:row r="1200">
      <x:c r="A1200" s="20" t="str">
        <x:v>RUN-20270804-13</x:v>
      </x:c>
      <x:c r="B1200" s="23" t="n">
        <x:v>46603</x:v>
      </x:c>
      <x:c r="C1200" s="32" t="n">
        <x:v>13</x:v>
      </x:c>
      <x:c r="D1200" s="20" t="str">
        <x:v>Role and screen certification</x:v>
      </x:c>
      <x:c r="E1200" s="20" t="str">
        <x:v>Applicant / public user</x:v>
      </x:c>
      <x:c r="F1200" s="20" t="str">
        <x:v>Mobile</x:v>
      </x:c>
      <x:c r="G1200" s="20" t="str">
        <x:v>Normal persona navigation</x:v>
      </x:c>
      <x:c r="H1200" s="35" t="str">
        <x:v>Use every permitted action and state on features/auth/forgot_password_screen.dart</x:v>
      </x:c>
      <x:c r="I1200" s="35" t="str">
        <x:v>SCR-114; ROLE-197</x:v>
      </x:c>
      <x:c r="J1200" s="35" t="str"/>
      <x:c r="K1200" s="35" t="str"/>
      <x:c r="L120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00" s="35" t="str">
        <x:v>The persona can use every allowed action with only its assigned properties/relationships. Hidden or disabled actions explain why; an adjacent unauthorized persona is denied without metadata leakage.</x:v>
      </x:c>
      <x:c r="N1200" s="35" t="str">
        <x:v>Persona/experience; navigation entry; desktop or device screenshots; result state; persisted read-back; audit/history; authorized and denied network result.</x:v>
      </x:c>
      <x:c r="O1200" s="35" t="str">
        <x:v>Open the direct URL or deep link with an adjacent unauthorized persona and with stale scope; both fail closed and land safely without mutation.</x:v>
      </x:c>
      <x:c r="P1200" s="35" t="str">
        <x:v>All expected records and amounts match; no unexplained error or stale state.</x:v>
      </x:c>
    </x:row>
    <x:row r="1201">
      <x:c r="A1201" s="20" t="str">
        <x:v>RUN-20270804-14</x:v>
      </x:c>
      <x:c r="B1201" s="23" t="n">
        <x:v>46603</x:v>
      </x:c>
      <x:c r="C1201" s="32" t="n">
        <x:v>14</x:v>
      </x:c>
      <x:c r="D1201" s="20" t="str">
        <x:v>Field certification</x:v>
      </x:c>
      <x:c r="E1201" s="20" t="str">
        <x:v>Property Manager</x:v>
      </x:c>
      <x:c r="F1201" s="20" t="str">
        <x:v>Web</x:v>
      </x:c>
      <x:c r="G1201" s="20" t="str">
        <x:v>Manual field-by-field</x:v>
      </x:c>
      <x:c r="H1201" s="35" t="str">
        <x:v>Fill, save, reload, edit, and validate every declared field on /properties</x:v>
      </x:c>
      <x:c r="I1201" s="35" t="str">
        <x:v>FLD-0621</x:v>
      </x:c>
      <x:c r="J1201" s="35" t="str"/>
      <x:c r="K1201" s="35" t="str"/>
      <x:c r="L1201" s="35" t="str">
        <x:v>Use the source-derived Field Inventory. Enter non-default realistic values in every control (property-address2-input); submit; reload or relaunch; compare every value; edit each mutable field; verify the paired client; then run required, format, length, range, boundary, optional-null, and stale-submit checks.</x:v>
      </x:c>
      <x:c r="M1201" s="35" t="str">
        <x:v>All 1 inventoried controls persist exact normalized values, invalid values stay unsaved with clear errors, and hidden/unauthorized fields cannot be altered.</x:v>
      </x:c>
      <x:c r="N1201" s="35" t="str">
        <x:v>Before/after form screenshots; FLD IDs; API response; reloaded UI; paired-client read-back; database/audit evidence; negative validation result.</x:v>
      </x:c>
      <x:c r="O1201" s="35" t="str">
        <x:v>Use a duplicate submit and one simulated network interruption; one atomic mutation or none, never partial state.</x:v>
      </x:c>
      <x:c r="P1201" s="35" t="str">
        <x:v>All expected records and amounts match; no unexplained error or stale state.</x:v>
      </x:c>
    </x:row>
    <x:row r="1202">
      <x:c r="A1202" s="20" t="str">
        <x:v>RUN-20270804-15</x:v>
      </x:c>
      <x:c r="B1202" s="23" t="n">
        <x:v>46603</x:v>
      </x:c>
      <x:c r="C1202" s="32" t="n">
        <x:v>15</x:v>
      </x:c>
      <x:c r="D1202" s="20" t="str">
        <x:v>Field certification</x:v>
      </x:c>
      <x:c r="E1202" s="20" t="str">
        <x:v>Property Manager</x:v>
      </x:c>
      <x:c r="F1202" s="20" t="str">
        <x:v>Web</x:v>
      </x:c>
      <x:c r="G1202" s="20" t="str">
        <x:v>Manual field-by-field</x:v>
      </x:c>
      <x:c r="H1202" s="35" t="str">
        <x:v>Fill, save, reload, edit, and validate every declared field on /properties/[id]</x:v>
      </x:c>
      <x:c r="I1202" s="35" t="str">
        <x:v>FLD-0622</x:v>
      </x:c>
      <x:c r="J1202" s="35" t="str"/>
      <x:c r="K1202" s="35" t="str"/>
      <x:c r="L1202" s="35" t="str">
        <x:v>Use the source-derived Field Inventory. Enter non-default realistic values in every control (input-1); submit; reload or relaunch; compare every value; edit each mutable field; verify the paired client; then run required, format, length, range, boundary, optional-null, and stale-submit checks.</x:v>
      </x:c>
      <x:c r="M1202" s="35" t="str">
        <x:v>All 1 inventoried controls persist exact normalized values, invalid values stay unsaved with clear errors, and hidden/unauthorized fields cannot be altered.</x:v>
      </x:c>
      <x:c r="N1202" s="35" t="str">
        <x:v>Before/after form screenshots; FLD IDs; API response; reloaded UI; paired-client read-back; database/audit evidence; negative validation result.</x:v>
      </x:c>
      <x:c r="O1202" s="35" t="str">
        <x:v>Use a duplicate submit and one simulated network interruption; one atomic mutation or none, never partial state.</x:v>
      </x:c>
      <x:c r="P1202" s="35" t="str">
        <x:v>All expected records and amounts match; no unexplained error or stale state.</x:v>
      </x:c>
    </x:row>
    <x:row r="1203">
      <x:c r="A1203" s="20" t="str">
        <x:v>RUN-20270804-16</x:v>
      </x:c>
      <x:c r="B1203" s="23" t="n">
        <x:v>46603</x:v>
      </x:c>
      <x:c r="C1203" s="32" t="n">
        <x:v>16</x:v>
      </x:c>
      <x:c r="D1203" s="20" t="str">
        <x:v>Field certification</x:v>
      </x:c>
      <x:c r="E1203" s="20" t="str">
        <x:v>Property Manager</x:v>
      </x:c>
      <x:c r="F1203" s="20" t="str">
        <x:v>Web</x:v>
      </x:c>
      <x:c r="G1203" s="20" t="str">
        <x:v>Manual field-by-field</x:v>
      </x:c>
      <x:c r="H1203" s="35" t="str">
        <x:v>Fill, save, reload, edit, and validate every declared field on /reports</x:v>
      </x:c>
      <x:c r="I1203" s="35" t="str">
        <x:v>FLD-0623</x:v>
      </x:c>
      <x:c r="J1203" s="35" t="str"/>
      <x:c r="K1203" s="35" t="str"/>
      <x:c r="L1203" s="35" t="str">
        <x:v>Use the source-derived Field Inventory. Enter non-default realistic values in every control (custom-report-input); submit; reload or relaunch; compare every value; edit each mutable field; verify the paired client; then run required, format, length, range, boundary, optional-null, and stale-submit checks.</x:v>
      </x:c>
      <x:c r="M1203" s="35" t="str">
        <x:v>All 1 inventoried controls persist exact normalized values, invalid values stay unsaved with clear errors, and hidden/unauthorized fields cannot be altered.</x:v>
      </x:c>
      <x:c r="N1203" s="35" t="str">
        <x:v>Before/after form screenshots; FLD IDs; API response; reloaded UI; paired-client read-back; database/audit evidence; negative validation result.</x:v>
      </x:c>
      <x:c r="O1203" s="35" t="str">
        <x:v>Use a duplicate submit and one simulated network interruption; one atomic mutation or none, never partial state.</x:v>
      </x:c>
      <x:c r="P1203" s="35" t="str">
        <x:v>All expected records and amounts match; no unexplained error or stale state.</x:v>
      </x:c>
    </x:row>
    <x:row r="1204">
      <x:c r="A1204" s="20" t="str">
        <x:v>RUN-20270804-17</x:v>
      </x:c>
      <x:c r="B1204" s="23" t="n">
        <x:v>46603</x:v>
      </x:c>
      <x:c r="C1204" s="32" t="n">
        <x:v>17</x:v>
      </x:c>
      <x:c r="D1204" s="20" t="str">
        <x:v>Field certification</x:v>
      </x:c>
      <x:c r="E1204" s="20" t="str">
        <x:v>Property Manager</x:v>
      </x:c>
      <x:c r="F1204" s="20" t="str">
        <x:v>Web</x:v>
      </x:c>
      <x:c r="G1204" s="20" t="str">
        <x:v>Manual field-by-field</x:v>
      </x:c>
      <x:c r="H1204" s="35" t="str">
        <x:v>Fill, save, reload, edit, and validate every declared field on /reports/[report]</x:v>
      </x:c>
      <x:c r="I1204" s="35" t="str">
        <x:v>FLD-0624</x:v>
      </x:c>
      <x:c r="J1204" s="35" t="str"/>
      <x:c r="K1204" s="35" t="str"/>
      <x:c r="L1204" s="35" t="str">
        <x:v>Use the source-derived Field Inventory. Enter non-default realistic values in every control (report-year); submit; reload or relaunch; compare every value; edit each mutable field; verify the paired client; then run required, format, length, range, boundary, optional-null, and stale-submit checks.</x:v>
      </x:c>
      <x:c r="M1204" s="35" t="str">
        <x:v>All 1 inventoried controls persist exact normalized values, invalid values stay unsaved with clear errors, and hidden/unauthorized fields cannot be altered.</x:v>
      </x:c>
      <x:c r="N1204" s="35" t="str">
        <x:v>Before/after form screenshots; FLD IDs; API response; reloaded UI; paired-client read-back; database/audit evidence; negative validation result.</x:v>
      </x:c>
      <x:c r="O1204" s="35" t="str">
        <x:v>Use a duplicate submit and one simulated network interruption; one atomic mutation or none, never partial state.</x:v>
      </x:c>
      <x:c r="P1204" s="35" t="str">
        <x:v>All expected records and amounts match; no unexplained error or stale state.</x:v>
      </x:c>
    </x:row>
    <x:row r="1205">
      <x:c r="A1205" s="20" t="str">
        <x:v>RUN-20270804-18</x:v>
      </x:c>
      <x:c r="B1205" s="23" t="n">
        <x:v>46603</x:v>
      </x:c>
      <x:c r="C1205" s="32" t="n">
        <x:v>18</x:v>
      </x:c>
      <x:c r="D1205" s="20" t="str">
        <x:v>Surface coverage</x:v>
      </x:c>
      <x:c r="E1205" s="20" t="str">
        <x:v>Role appropriate to surface</x:v>
      </x:c>
      <x:c r="F1205" s="20" t="str">
        <x:v>Web</x:v>
      </x:c>
      <x:c r="G1205" s="20" t="str">
        <x:v>Scan/attachment</x:v>
      </x:c>
      <x:c r="H1205" s="35" t="str">
        <x:v>Scan web pass: Technician labor/material entries</x:v>
      </x:c>
      <x:c r="I1205" s="35" t="str">
        <x:v>COV-027</x:v>
      </x:c>
      <x:c r="J1205" s="35" t="str"/>
      <x:c r="K1205" s="35" t="str"/>
      <x:c r="L1205" s="35" t="str">
        <x:v>Start/stop labor, add material/receipt, complete assignment, and prove totals/role scoping.</x:v>
      </x:c>
      <x:c r="M1205" s="35" t="str">
        <x:v>The supported workflow completes and persists correctly; if the capability is absent, the exact gap is proven and queued rather than silently skipped.</x:v>
      </x:c>
      <x:c r="N1205" s="35" t="str">
        <x:v>Real UI screenshot/state; submitted values; persisted read-back; cross-client read-back; audit/role/access evidence.</x:v>
      </x:c>
      <x:c r="O1205" s="35" t="str">
        <x:v>Use one invalid value, stale-state retry, or duplicate submission relevant to the form; no partial or duplicate mutation.</x:v>
      </x:c>
      <x:c r="P1205" s="35" t="str">
        <x:v>All expected records and amounts match; no unexplained error or stale state.</x:v>
      </x:c>
    </x:row>
    <x:row r="1206">
      <x:c r="A1206" s="20" t="str">
        <x:v>RUN-20270805-01</x:v>
      </x:c>
      <x:c r="B1206" s="23" t="n">
        <x:v>46604</x:v>
      </x:c>
      <x:c r="C1206" s="32" t="n">
        <x:v>1</x:v>
      </x:c>
      <x:c r="D1206" s="20" t="str">
        <x:v>Monthly operations</x:v>
      </x:c>
      <x:c r="E1206" s="20" t="str">
        <x:v>Property Manager</x:v>
      </x:c>
      <x:c r="F1206" s="20" t="str">
        <x:v>Web</x:v>
      </x:c>
      <x:c r="G1206" s="20" t="str">
        <x:v>Manual ACH</x:v>
      </x:c>
      <x:c r="H1206" s="35" t="str">
        <x:v>Post and allocate tenant receipt</x:v>
      </x:c>
      <x:c r="I1206" s="35" t="str">
        <x:v>P002; U002; L002</x:v>
      </x:c>
      <x:c r="J1206" s="35" t="str"/>
      <x:c r="K1206" s="35" t="str">
        <x:v>FIN-00595; FIN-00596</x:v>
      </x:c>
      <x:c r="L1206" s="35" t="str">
        <x:v>Open Scan for paper payment or the tenant-account receipt form for electronic payment; verify tenant/lease match, amount, date, method, and reference; confirm once; open ledger detail and allocation.</x:v>
      </x:c>
      <x:c r="M1206" s="35" t="str">
        <x:v>Receipt is append-only, allocated once to the correct rent charge, and visible consistently in Unit, Lease, Tenant Account, Accounting, and portal views.</x:v>
      </x:c>
      <x:c r="N1206" s="35" t="str">
        <x:v>Scan review or form; success result; exact ledger rows; payment detail; accounting delta; portal receipt.</x:v>
      </x:c>
      <x:c r="O1206" s="35" t="str">
        <x:v>Retry the idempotency key once during the quarter assigned in the coverage matrix; no duplicate cash or allocation.</x:v>
      </x:c>
      <x:c r="P1206" s="35" t="str">
        <x:v>All expected records and amounts match; no unexplained error or stale state.</x:v>
      </x:c>
    </x:row>
    <x:row r="1207">
      <x:c r="A1207" s="20" t="str">
        <x:v>RUN-20270805-02</x:v>
      </x:c>
      <x:c r="B1207" s="23" t="n">
        <x:v>46604</x:v>
      </x:c>
      <x:c r="C1207" s="32" t="n">
        <x:v>2</x:v>
      </x:c>
      <x:c r="D1207" s="20" t="str">
        <x:v>Monthly operations</x:v>
      </x:c>
      <x:c r="E1207" s="20" t="str">
        <x:v>Property Manager</x:v>
      </x:c>
      <x:c r="F1207" s="20" t="str">
        <x:v>Web</x:v>
      </x:c>
      <x:c r="G1207" s="20" t="str">
        <x:v>Scanned check</x:v>
      </x:c>
      <x:c r="H1207" s="35" t="str">
        <x:v>Post and allocate tenant receipt</x:v>
      </x:c>
      <x:c r="I1207" s="35" t="str">
        <x:v>P008; U008; L008</x:v>
      </x:c>
      <x:c r="J1207" s="35" t="str">
        <x:v>SCN-0240</x:v>
      </x:c>
      <x:c r="K1207" s="35" t="str">
        <x:v>FIN-00605; FIN-00606</x:v>
      </x:c>
      <x:c r="L1207" s="35" t="str">
        <x:v>Open Scan for paper payment or the tenant-account receipt form for electronic payment; verify tenant/lease match, amount, date, method, and reference; confirm once; open ledger detail and allocation.</x:v>
      </x:c>
      <x:c r="M1207" s="35" t="str">
        <x:v>Receipt is append-only, allocated once to the correct rent charge, and visible consistently in Unit, Lease, Tenant Account, Accounting, and portal views.</x:v>
      </x:c>
      <x:c r="N1207" s="35" t="str">
        <x:v>Scan review or form; success result; exact ledger rows; payment detail; accounting delta; portal receipt.</x:v>
      </x:c>
      <x:c r="O1207" s="35" t="str">
        <x:v>Retry the idempotency key once during the quarter assigned in the coverage matrix; no duplicate cash or allocation.</x:v>
      </x:c>
      <x:c r="P1207" s="35" t="str">
        <x:v>All expected records and amounts match; no unexplained error or stale state.</x:v>
      </x:c>
    </x:row>
    <x:row r="1208">
      <x:c r="A1208" s="20" t="str">
        <x:v>RUN-20270805-03</x:v>
      </x:c>
      <x:c r="B1208" s="23" t="n">
        <x:v>46604</x:v>
      </x:c>
      <x:c r="C1208" s="32" t="n">
        <x:v>3</x:v>
      </x:c>
      <x:c r="D1208" s="20" t="str">
        <x:v>Monthly operations</x:v>
      </x:c>
      <x:c r="E1208" s="20" t="str">
        <x:v>Property Manager</x:v>
      </x:c>
      <x:c r="F1208" s="20" t="str">
        <x:v>Web</x:v>
      </x:c>
      <x:c r="G1208" s="20" t="str">
        <x:v>Scanned check</x:v>
      </x:c>
      <x:c r="H1208" s="35" t="str">
        <x:v>Post and allocate tenant receipt</x:v>
      </x:c>
      <x:c r="I1208" s="35" t="str">
        <x:v>P020; U020; L020</x:v>
      </x:c>
      <x:c r="J1208" s="35" t="str">
        <x:v>SCN-0246</x:v>
      </x:c>
      <x:c r="K1208" s="35" t="str">
        <x:v>FIN-00628; FIN-00629</x:v>
      </x:c>
      <x:c r="L1208" s="35" t="str">
        <x:v>Open Scan for paper payment or the tenant-account receipt form for electronic payment; verify tenant/lease match, amount, date, method, and reference; confirm once; open ledger detail and allocation.</x:v>
      </x:c>
      <x:c r="M1208" s="35" t="str">
        <x:v>Receipt is append-only, allocated once to the correct rent charge, and visible consistently in Unit, Lease, Tenant Account, Accounting, and portal views.</x:v>
      </x:c>
      <x:c r="N1208" s="35" t="str">
        <x:v>Scan review or form; success result; exact ledger rows; payment detail; accounting delta; portal receipt.</x:v>
      </x:c>
      <x:c r="O1208" s="35" t="str">
        <x:v>Retry the idempotency key once during the quarter assigned in the coverage matrix; no duplicate cash or allocation.</x:v>
      </x:c>
      <x:c r="P1208" s="35" t="str">
        <x:v>All expected records and amounts match; no unexplained error or stale state.</x:v>
      </x:c>
    </x:row>
    <x:row r="1209">
      <x:c r="A1209" s="20" t="str">
        <x:v>RUN-20270805-04</x:v>
      </x:c>
      <x:c r="B1209" s="23" t="n">
        <x:v>46604</x:v>
      </x:c>
      <x:c r="C1209" s="32" t="n">
        <x:v>4</x:v>
      </x:c>
      <x:c r="D1209" s="20" t="str">
        <x:v>Monthly operations</x:v>
      </x:c>
      <x:c r="E1209" s="20" t="str">
        <x:v>Property Manager</x:v>
      </x:c>
      <x:c r="F1209" s="20" t="str">
        <x:v>Mobile</x:v>
      </x:c>
      <x:c r="G1209" s="20" t="str">
        <x:v>Portal card</x:v>
      </x:c>
      <x:c r="H1209" s="35" t="str">
        <x:v>Post and allocate tenant receipt</x:v>
      </x:c>
      <x:c r="I1209" s="35" t="str">
        <x:v>P022; U023; L023</x:v>
      </x:c>
      <x:c r="J1209" s="35" t="str"/>
      <x:c r="K1209" s="35" t="str">
        <x:v>FIN-00636; FIN-00637</x:v>
      </x:c>
      <x:c r="L1209" s="35" t="str">
        <x:v>Open Scan for paper payment or the tenant-account receipt form for electronic payment; verify tenant/lease match, amount, date, method, and reference; confirm once; open ledger detail and allocation.</x:v>
      </x:c>
      <x:c r="M1209" s="35" t="str">
        <x:v>Receipt is append-only, allocated once to the correct rent charge, and visible consistently in Unit, Lease, Tenant Account, Accounting, and portal views.</x:v>
      </x:c>
      <x:c r="N1209" s="35" t="str">
        <x:v>Scan review or form; success result; exact ledger rows; payment detail; accounting delta; portal receipt.</x:v>
      </x:c>
      <x:c r="O1209" s="35" t="str">
        <x:v>Retry the idempotency key once during the quarter assigned in the coverage matrix; no duplicate cash or allocation.</x:v>
      </x:c>
      <x:c r="P1209" s="35" t="str">
        <x:v>All expected records and amounts match; no unexplained error or stale state.</x:v>
      </x:c>
    </x:row>
    <x:row r="1210">
      <x:c r="A1210" s="20" t="str">
        <x:v>RUN-20270805-05</x:v>
      </x:c>
      <x:c r="B1210" s="23" t="n">
        <x:v>46604</x:v>
      </x:c>
      <x:c r="C1210" s="32" t="n">
        <x:v>5</x:v>
      </x:c>
      <x:c r="D1210" s="20" t="str">
        <x:v>Monthly operations</x:v>
      </x:c>
      <x:c r="E1210" s="20" t="str">
        <x:v>Property Manager</x:v>
      </x:c>
      <x:c r="F1210" s="20" t="str">
        <x:v>Mobile</x:v>
      </x:c>
      <x:c r="G1210" s="20" t="str">
        <x:v>Scanned money order</x:v>
      </x:c>
      <x:c r="H1210" s="35" t="str">
        <x:v>Post and allocate tenant receipt</x:v>
      </x:c>
      <x:c r="I1210" s="35" t="str">
        <x:v>P025; U029; L029</x:v>
      </x:c>
      <x:c r="J1210" s="35" t="str">
        <x:v>SCN-0253</x:v>
      </x:c>
      <x:c r="K1210" s="35" t="str">
        <x:v>FIN-00649; FIN-00650</x:v>
      </x:c>
      <x:c r="L1210" s="35" t="str">
        <x:v>Open Scan for paper payment or the tenant-account receipt form for electronic payment; verify tenant/lease match, amount, date, method, and reference; confirm once; open ledger detail and allocation.</x:v>
      </x:c>
      <x:c r="M1210" s="35" t="str">
        <x:v>Receipt is append-only, allocated once to the correct rent charge, and visible consistently in Unit, Lease, Tenant Account, Accounting, and portal views.</x:v>
      </x:c>
      <x:c r="N1210" s="35" t="str">
        <x:v>Scan review or form; success result; exact ledger rows; payment detail; accounting delta; portal receipt.</x:v>
      </x:c>
      <x:c r="O1210" s="35" t="str">
        <x:v>Retry the idempotency key once during the quarter assigned in the coverage matrix; no duplicate cash or allocation.</x:v>
      </x:c>
      <x:c r="P1210" s="35" t="str">
        <x:v>All expected records and amounts match; no unexplained error or stale state.</x:v>
      </x:c>
    </x:row>
    <x:row r="1211">
      <x:c r="A1211" s="20" t="str">
        <x:v>RUN-20270805-06</x:v>
      </x:c>
      <x:c r="B1211" s="23" t="n">
        <x:v>46604</x:v>
      </x:c>
      <x:c r="C1211" s="32" t="n">
        <x:v>6</x:v>
      </x:c>
      <x:c r="D1211" s="20" t="str">
        <x:v>Monthly operations</x:v>
      </x:c>
      <x:c r="E1211" s="20" t="str">
        <x:v>Property Manager</x:v>
      </x:c>
      <x:c r="F1211" s="20" t="str">
        <x:v>Web</x:v>
      </x:c>
      <x:c r="G1211" s="20" t="str">
        <x:v>Scanned check</x:v>
      </x:c>
      <x:c r="H1211" s="35" t="str">
        <x:v>Post and allocate tenant receipt</x:v>
      </x:c>
      <x:c r="I1211" s="35" t="str">
        <x:v>P026; U032; L032</x:v>
      </x:c>
      <x:c r="J1211" s="35" t="str">
        <x:v>SCN-0254</x:v>
      </x:c>
      <x:c r="K1211" s="35" t="str">
        <x:v>FIN-00655; FIN-00656</x:v>
      </x:c>
      <x:c r="L1211" s="35" t="str">
        <x:v>Open Scan for paper payment or the tenant-account receipt form for electronic payment; verify tenant/lease match, amount, date, method, and reference; confirm once; open ledger detail and allocation.</x:v>
      </x:c>
      <x:c r="M1211" s="35" t="str">
        <x:v>Receipt is append-only, allocated once to the correct rent charge, and visible consistently in Unit, Lease, Tenant Account, Accounting, and portal views.</x:v>
      </x:c>
      <x:c r="N1211" s="35" t="str">
        <x:v>Scan review or form; success result; exact ledger rows; payment detail; accounting delta; portal receipt.</x:v>
      </x:c>
      <x:c r="O1211" s="35" t="str">
        <x:v>Retry the idempotency key once during the quarter assigned in the coverage matrix; no duplicate cash or allocation.</x:v>
      </x:c>
      <x:c r="P1211" s="35" t="str">
        <x:v>All expected records and amounts match; no unexplained error or stale state.</x:v>
      </x:c>
    </x:row>
    <x:row r="1212">
      <x:c r="A1212" s="20" t="str">
        <x:v>RUN-20270805-07</x:v>
      </x:c>
      <x:c r="B1212" s="23" t="n">
        <x:v>46604</x:v>
      </x:c>
      <x:c r="C1212" s="32" t="n">
        <x:v>7</x:v>
      </x:c>
      <x:c r="D1212" s="20" t="str">
        <x:v>Monthly operations</x:v>
      </x:c>
      <x:c r="E1212" s="20" t="str">
        <x:v>Property Manager</x:v>
      </x:c>
      <x:c r="F1212" s="20" t="str">
        <x:v>Mobile</x:v>
      </x:c>
      <x:c r="G1212" s="20" t="str">
        <x:v>Portal card</x:v>
      </x:c>
      <x:c r="H1212" s="35" t="str">
        <x:v>Post and allocate tenant receipt</x:v>
      </x:c>
      <x:c r="I1212" s="35" t="str">
        <x:v>P028; U035; L035</x:v>
      </x:c>
      <x:c r="J1212" s="35" t="str"/>
      <x:c r="K1212" s="35" t="str">
        <x:v>FIN-00663; FIN-00664</x:v>
      </x:c>
      <x:c r="L1212" s="35" t="str">
        <x:v>Open Scan for paper payment or the tenant-account receipt form for electronic payment; verify tenant/lease match, amount, date, method, and reference; confirm once; open ledger detail and allocation.</x:v>
      </x:c>
      <x:c r="M1212" s="35" t="str">
        <x:v>Receipt is append-only, allocated once to the correct rent charge, and visible consistently in Unit, Lease, Tenant Account, Accounting, and portal views.</x:v>
      </x:c>
      <x:c r="N1212" s="35" t="str">
        <x:v>Scan review or form; success result; exact ledger rows; payment detail; accounting delta; portal receipt.</x:v>
      </x:c>
      <x:c r="O1212" s="35" t="str">
        <x:v>Retry the idempotency key once during the quarter assigned in the coverage matrix; no duplicate cash or allocation.</x:v>
      </x:c>
      <x:c r="P1212" s="35" t="str">
        <x:v>All expected records and amounts match; no unexplained error or stale state.</x:v>
      </x:c>
    </x:row>
    <x:row r="1213">
      <x:c r="A1213" s="20" t="str">
        <x:v>RUN-20270805-08</x:v>
      </x:c>
      <x:c r="B1213" s="23" t="n">
        <x:v>46604</x:v>
      </x:c>
      <x:c r="C1213" s="32" t="n">
        <x:v>8</x:v>
      </x:c>
      <x:c r="D1213" s="20" t="str">
        <x:v>Monthly operations</x:v>
      </x:c>
      <x:c r="E1213" s="20" t="str">
        <x:v>Property Manager</x:v>
      </x:c>
      <x:c r="F1213" s="20" t="str">
        <x:v>Web</x:v>
      </x:c>
      <x:c r="G1213" s="20" t="str">
        <x:v>Manual ACH</x:v>
      </x:c>
      <x:c r="H1213" s="35" t="str">
        <x:v>Post and allocate tenant receipt</x:v>
      </x:c>
      <x:c r="I1213" s="35" t="str">
        <x:v>P014; U014; L038</x:v>
      </x:c>
      <x:c r="J1213" s="35" t="str"/>
      <x:c r="K1213" s="35" t="str">
        <x:v>FIN-00669; FIN-00670</x:v>
      </x:c>
      <x:c r="L1213" s="35" t="str">
        <x:v>Open Scan for paper payment or the tenant-account receipt form for electronic payment; verify tenant/lease match, amount, date, method, and reference; confirm once; open ledger detail and allocation.</x:v>
      </x:c>
      <x:c r="M1213" s="35" t="str">
        <x:v>Receipt is append-only, allocated once to the correct rent charge, and visible consistently in Unit, Lease, Tenant Account, Accounting, and portal views.</x:v>
      </x:c>
      <x:c r="N1213" s="35" t="str">
        <x:v>Scan review or form; success result; exact ledger rows; payment detail; accounting delta; portal receipt.</x:v>
      </x:c>
      <x:c r="O1213" s="35" t="str">
        <x:v>Retry the idempotency key once during the quarter assigned in the coverage matrix; no duplicate cash or allocation.</x:v>
      </x:c>
      <x:c r="P1213" s="35" t="str">
        <x:v>All expected records and amounts match; no unexplained error or stale state.</x:v>
      </x:c>
    </x:row>
    <x:row r="1214">
      <x:c r="A1214" s="20" t="str">
        <x:v>RUN-20270805-09</x:v>
      </x:c>
      <x:c r="B1214" s="23" t="n">
        <x:v>46604</x:v>
      </x:c>
      <x:c r="C1214" s="32" t="n">
        <x:v>9</x:v>
      </x:c>
      <x:c r="D1214" s="20" t="str">
        <x:v>Role and screen certification</x:v>
      </x:c>
      <x:c r="E1214" s="20" t="str">
        <x:v>Applicant / public user</x:v>
      </x:c>
      <x:c r="F1214" s="20" t="str">
        <x:v>Mobile</x:v>
      </x:c>
      <x:c r="G1214" s="20" t="str">
        <x:v>Normal persona navigation</x:v>
      </x:c>
      <x:c r="H1214" s="35" t="str">
        <x:v>Use every permitted action and state on features/auth/login_screen.dart</x:v>
      </x:c>
      <x:c r="I1214" s="35" t="str">
        <x:v>SCR-115; ROLE-198</x:v>
      </x:c>
      <x:c r="J1214" s="35" t="str"/>
      <x:c r="K1214" s="35" t="str"/>
      <x:c r="L121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14" s="35" t="str">
        <x:v>The persona can use every allowed action with only its assigned properties/relationships. Hidden or disabled actions explain why; an adjacent unauthorized persona is denied without metadata leakage.</x:v>
      </x:c>
      <x:c r="N1214" s="35" t="str">
        <x:v>Persona/experience; navigation entry; desktop or device screenshots; result state; persisted read-back; audit/history; authorized and denied network result.</x:v>
      </x:c>
      <x:c r="O1214" s="35" t="str">
        <x:v>Open the direct URL or deep link with an adjacent unauthorized persona and with stale scope; both fail closed and land safely without mutation.</x:v>
      </x:c>
      <x:c r="P1214" s="35" t="str">
        <x:v>All expected records and amounts match; no unexplained error or stale state.</x:v>
      </x:c>
    </x:row>
    <x:row r="1215">
      <x:c r="A1215" s="20" t="str">
        <x:v>RUN-20270805-10</x:v>
      </x:c>
      <x:c r="B1215" s="23" t="n">
        <x:v>46604</x:v>
      </x:c>
      <x:c r="C1215" s="32" t="n">
        <x:v>10</x:v>
      </x:c>
      <x:c r="D1215" s="20" t="str">
        <x:v>Field certification</x:v>
      </x:c>
      <x:c r="E1215" s="20" t="str">
        <x:v>Property Manager</x:v>
      </x:c>
      <x:c r="F1215" s="20" t="str">
        <x:v>Web</x:v>
      </x:c>
      <x:c r="G1215" s="20" t="str">
        <x:v>Manual field-by-field</x:v>
      </x:c>
      <x:c r="H1215" s="35" t="str">
        <x:v>Fill, save, reload, edit, and validate every declared field on /reports/[report]</x:v>
      </x:c>
      <x:c r="I1215" s="35" t="str">
        <x:v>FLD-0625</x:v>
      </x:c>
      <x:c r="J1215" s="35" t="str"/>
      <x:c r="K1215" s="35" t="str"/>
      <x:c r="L1215" s="35" t="str">
        <x:v>Use the source-derived Field Inventory. Enter non-default realistic values in every control (report-days); submit; reload or relaunch; compare every value; edit each mutable field; verify the paired client; then run required, format, length, range, boundary, optional-null, and stale-submit checks.</x:v>
      </x:c>
      <x:c r="M1215" s="35" t="str">
        <x:v>All 1 inventoried controls persist exact normalized values, invalid values stay unsaved with clear errors, and hidden/unauthorized fields cannot be altered.</x:v>
      </x:c>
      <x:c r="N1215" s="35" t="str">
        <x:v>Before/after form screenshots; FLD IDs; API response; reloaded UI; paired-client read-back; database/audit evidence; negative validation result.</x:v>
      </x:c>
      <x:c r="O1215" s="35" t="str">
        <x:v>Use a duplicate submit and one simulated network interruption; one atomic mutation or none, never partial state.</x:v>
      </x:c>
      <x:c r="P1215" s="35" t="str">
        <x:v>All expected records and amounts match; no unexplained error or stale state.</x:v>
      </x:c>
    </x:row>
    <x:row r="1216">
      <x:c r="A1216" s="20" t="str">
        <x:v>RUN-20270805-11</x:v>
      </x:c>
      <x:c r="B1216" s="23" t="n">
        <x:v>46604</x:v>
      </x:c>
      <x:c r="C1216" s="32" t="n">
        <x:v>11</x:v>
      </x:c>
      <x:c r="D1216" s="20" t="str">
        <x:v>Field certification</x:v>
      </x:c>
      <x:c r="E1216" s="20" t="str">
        <x:v>Property Manager</x:v>
      </x:c>
      <x:c r="F1216" s="20" t="str">
        <x:v>Web</x:v>
      </x:c>
      <x:c r="G1216" s="20" t="str">
        <x:v>Manual field-by-field</x:v>
      </x:c>
      <x:c r="H1216" s="35" t="str">
        <x:v>Fill, save, reload, edit, and validate every declared field on /scan</x:v>
      </x:c>
      <x:c r="I1216" s="35" t="str">
        <x:v>FLD-0626</x:v>
      </x:c>
      <x:c r="J1216" s="35" t="str"/>
      <x:c r="K1216" s="35" t="str"/>
      <x:c r="L1216" s="35" t="str">
        <x:v>Use the source-derived Field Inventory. Enter non-default realistic values in every control (assignedSearch); submit; reload or relaunch; compare every value; edit each mutable field; verify the paired client; then run required, format, length, range, boundary, optional-null, and stale-submit checks.</x:v>
      </x:c>
      <x:c r="M1216" s="35" t="str">
        <x:v>All 1 inventoried controls persist exact normalized values, invalid values stay unsaved with clear errors, and hidden/unauthorized fields cannot be altered.</x:v>
      </x:c>
      <x:c r="N1216" s="35" t="str">
        <x:v>Before/after form screenshots; FLD IDs; API response; reloaded UI; paired-client read-back; database/audit evidence; negative validation result.</x:v>
      </x:c>
      <x:c r="O1216" s="35" t="str">
        <x:v>Use a duplicate submit and one simulated network interruption; one atomic mutation or none, never partial state.</x:v>
      </x:c>
      <x:c r="P1216" s="35" t="str">
        <x:v>All expected records and amounts match; no unexplained error or stale state.</x:v>
      </x:c>
    </x:row>
    <x:row r="1217">
      <x:c r="A1217" s="20" t="str">
        <x:v>RUN-20270805-12</x:v>
      </x:c>
      <x:c r="B1217" s="23" t="n">
        <x:v>46604</x:v>
      </x:c>
      <x:c r="C1217" s="32" t="n">
        <x:v>12</x:v>
      </x:c>
      <x:c r="D1217" s="20" t="str">
        <x:v>Field certification</x:v>
      </x:c>
      <x:c r="E1217" s="20" t="str">
        <x:v>Property Manager</x:v>
      </x:c>
      <x:c r="F1217" s="20" t="str">
        <x:v>Web</x:v>
      </x:c>
      <x:c r="G1217" s="20" t="str">
        <x:v>Manual field-by-field</x:v>
      </x:c>
      <x:c r="H1217" s="35" t="str">
        <x:v>Fill, save, reload, edit, and validate every declared field on /scan/[draftId]</x:v>
      </x:c>
      <x:c r="I1217" s="35" t="str">
        <x:v>FLD-0627; FLD-0628; FLD-0629</x:v>
      </x:c>
      <x:c r="J1217" s="35" t="str"/>
      <x:c r="K1217" s="35" t="str"/>
      <x:c r="L1217" s="35" t="str">
        <x:v>Use the source-derived Field Inventory. Enter non-default realistic values in every control (Search tenant, property, unit, or relationship number; Select-2; scan-tenant-account-select); submit; reload or relaunch; compare every value; edit each mutable field; verify the paired client; then run required, format, length, range, boundary, optional-null, and stale-submit checks.</x:v>
      </x:c>
      <x:c r="M1217" s="35" t="str">
        <x:v>All 3 inventoried controls persist exact normalized values, invalid values stay unsaved with clear errors, and hidden/unauthorized fields cannot be altered.</x:v>
      </x:c>
      <x:c r="N1217" s="35" t="str">
        <x:v>Before/after form screenshots; FLD IDs; API response; reloaded UI; paired-client read-back; database/audit evidence; negative validation result.</x:v>
      </x:c>
      <x:c r="O1217" s="35" t="str">
        <x:v>Use a duplicate submit and one simulated network interruption; one atomic mutation or none, never partial state.</x:v>
      </x:c>
      <x:c r="P1217" s="35" t="str">
        <x:v>All expected records and amounts match; no unexplained error or stale state.</x:v>
      </x:c>
    </x:row>
    <x:row r="1218">
      <x:c r="A1218" s="20" t="str">
        <x:v>RUN-20270805-13</x:v>
      </x:c>
      <x:c r="B1218" s="23" t="n">
        <x:v>46604</x:v>
      </x:c>
      <x:c r="C1218" s="32" t="n">
        <x:v>13</x:v>
      </x:c>
      <x:c r="D1218" s="20" t="str">
        <x:v>Notification certification</x:v>
      </x:c>
      <x:c r="E1218" s="20" t="str">
        <x:v>Tenant + Property Manager</x:v>
      </x:c>
      <x:c r="F1218" s="20" t="str">
        <x:v>Web + Mobile</x:v>
      </x:c>
      <x:c r="G1218" s="20" t="str">
        <x:v>System event + preference/manual verification</x:v>
      </x:c>
      <x:c r="H1218" s="35" t="str">
        <x:v>Trigger and prove notification: Work order completed</x:v>
      </x:c>
      <x:c r="I1218" s="35" t="str">
        <x:v>NTF-029</x:v>
      </x:c>
      <x:c r="J1218" s="35" t="str"/>
      <x:c r="K1218" s="35" t="str"/>
      <x:c r="L1218" s="35" t="str">
        <x:v>Set each recipient's preferences; trigger the real business event; inspect routing and recipient scope; verify unread badge, list item, safe preview, work order deep link, mark-read sync, configured channel outcome, provider failure/retry, and duplicate suppression.</x:v>
      </x:c>
      <x:c r="M1218" s="35" t="str">
        <x:v>Exactly the intended recipients receive one correctly routed notification; disabled optional channels stay silent; deep link opens authorized context; read state synchronizes.</x:v>
      </x:c>
      <x:c r="N1218" s="35" t="str">
        <x:v>Trigger record; routing decision; outbox/delivery status; web/mobile inbox; lock-screen-safe copy; deep-link target; audit/provider retry evidence.</x:v>
      </x:c>
      <x:c r="O1218" s="35" t="str">
        <x:v>Re-run the worker and deliver a duplicate provider callback; no duplicate user-visible event. Attempt the deep link as an unauthorized adjacent role.</x:v>
      </x:c>
      <x:c r="P1218" s="35" t="str">
        <x:v>All expected records and amounts match; no unexplained error or stale state.</x:v>
      </x:c>
    </x:row>
    <x:row r="1219">
      <x:c r="A1219" s="20" t="str">
        <x:v>RUN-20270806-01</x:v>
      </x:c>
      <x:c r="B1219" s="23" t="n">
        <x:v>46605</x:v>
      </x:c>
      <x:c r="C1219" s="32" t="n">
        <x:v>1</x:v>
      </x:c>
      <x:c r="D1219" s="20" t="str">
        <x:v>Role and screen certification</x:v>
      </x:c>
      <x:c r="E1219" s="20" t="str">
        <x:v>Applicant / public user</x:v>
      </x:c>
      <x:c r="F1219" s="20" t="str">
        <x:v>Mobile</x:v>
      </x:c>
      <x:c r="G1219" s="20" t="str">
        <x:v>Normal persona navigation</x:v>
      </x:c>
      <x:c r="H1219" s="35" t="str">
        <x:v>Use every permitted action and state on features/auth/register_screen.dart</x:v>
      </x:c>
      <x:c r="I1219" s="35" t="str">
        <x:v>SCR-116; ROLE-199</x:v>
      </x:c>
      <x:c r="J1219" s="35" t="str"/>
      <x:c r="K1219" s="35" t="str"/>
      <x:c r="L12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19" s="35" t="str">
        <x:v>The persona can use every allowed action with only its assigned properties/relationships. Hidden or disabled actions explain why; an adjacent unauthorized persona is denied without metadata leakage.</x:v>
      </x:c>
      <x:c r="N1219" s="35" t="str">
        <x:v>Persona/experience; navigation entry; desktop or device screenshots; result state; persisted read-back; audit/history; authorized and denied network result.</x:v>
      </x:c>
      <x:c r="O1219" s="35" t="str">
        <x:v>Open the direct URL or deep link with an adjacent unauthorized persona and with stale scope; both fail closed and land safely without mutation.</x:v>
      </x:c>
      <x:c r="P1219" s="35" t="str">
        <x:v>All expected records and amounts match; no unexplained error or stale state.</x:v>
      </x:c>
    </x:row>
    <x:row r="1220">
      <x:c r="A1220" s="20" t="str">
        <x:v>RUN-20270806-02</x:v>
      </x:c>
      <x:c r="B1220" s="23" t="n">
        <x:v>46605</x:v>
      </x:c>
      <x:c r="C1220" s="32" t="n">
        <x:v>2</x:v>
      </x:c>
      <x:c r="D1220" s="20" t="str">
        <x:v>Field certification</x:v>
      </x:c>
      <x:c r="E1220" s="20" t="str">
        <x:v>Property Manager</x:v>
      </x:c>
      <x:c r="F1220" s="20" t="str">
        <x:v>Web</x:v>
      </x:c>
      <x:c r="G1220" s="20" t="str">
        <x:v>Manual field-by-field</x:v>
      </x:c>
      <x:c r="H1220" s="35" t="str">
        <x:v>Fill, save, reload, edit, and validate every declared field on /scan/[draftId]</x:v>
      </x:c>
      <x:c r="I1220" s="35" t="str">
        <x:v>FLD-0630; FLD-0631; FLD-0632; FLD-0633</x:v>
      </x:c>
      <x:c r="J1220" s="35" t="str"/>
      <x:c r="K1220" s="35" t="str"/>
      <x:c r="L1220" s="35" t="str">
        <x:v>Use the source-derived Field Inventory. Enter non-default realistic values in every control (Select-4; Select-5; Search properties by name or address; selectedLeasePropertyId); submit; reload or relaunch; compare every value; edit each mutable field; verify the paired client; then run required, format, length, range, boundary, optional-null, and stale-submit checks.</x:v>
      </x:c>
      <x:c r="M1220" s="35" t="str">
        <x:v>All 4 inventoried controls persist exact normalized values, invalid values stay unsaved with clear errors, and hidden/unauthorized fields cannot be altered.</x:v>
      </x:c>
      <x:c r="N1220" s="35" t="str">
        <x:v>Before/after form screenshots; FLD IDs; API response; reloaded UI; paired-client read-back; database/audit evidence; negative validation result.</x:v>
      </x:c>
      <x:c r="O1220" s="35" t="str">
        <x:v>Use a duplicate submit and one simulated network interruption; one atomic mutation or none, never partial state.</x:v>
      </x:c>
      <x:c r="P1220" s="35" t="str">
        <x:v>All expected records and amounts match; no unexplained error or stale state.</x:v>
      </x:c>
    </x:row>
    <x:row r="1221">
      <x:c r="A1221" s="20" t="str">
        <x:v>RUN-20270806-03</x:v>
      </x:c>
      <x:c r="B1221" s="23" t="n">
        <x:v>46605</x:v>
      </x:c>
      <x:c r="C1221" s="32" t="n">
        <x:v>3</x:v>
      </x:c>
      <x:c r="D1221" s="20" t="str">
        <x:v>Surface coverage</x:v>
      </x:c>
      <x:c r="E1221" s="20" t="str">
        <x:v>Role appropriate to surface</x:v>
      </x:c>
      <x:c r="F1221" s="20" t="str">
        <x:v>Mobile</x:v>
      </x:c>
      <x:c r="G1221" s="20" t="str">
        <x:v>Scan/attachment</x:v>
      </x:c>
      <x:c r="H1221" s="35" t="str">
        <x:v>Scan mobile pass: Technician labor/material entries</x:v>
      </x:c>
      <x:c r="I1221" s="35" t="str">
        <x:v>COV-027</x:v>
      </x:c>
      <x:c r="J1221" s="35" t="str"/>
      <x:c r="K1221" s="35" t="str"/>
      <x:c r="L1221" s="35" t="str">
        <x:v>Start/stop labor, add material/receipt, complete assignment, and prove totals/role scoping.</x:v>
      </x:c>
      <x:c r="M1221" s="35" t="str">
        <x:v>The supported workflow completes and persists correctly; if the capability is absent, the exact gap is proven and queued rather than silently skipped.</x:v>
      </x:c>
      <x:c r="N1221" s="35" t="str">
        <x:v>Real UI screenshot/state; submitted values; persisted read-back; cross-client read-back; audit/role/access evidence.</x:v>
      </x:c>
      <x:c r="O1221" s="35" t="str">
        <x:v>Use one invalid value, stale-state retry, or duplicate submission relevant to the form; no partial or duplicate mutation.</x:v>
      </x:c>
      <x:c r="P1221" s="35" t="str">
        <x:v>All expected records and amounts match; no unexplained error or stale state.</x:v>
      </x:c>
    </x:row>
    <x:row r="1222">
      <x:c r="A1222" s="20" t="str">
        <x:v>RUN-20270808-01</x:v>
      </x:c>
      <x:c r="B1222" s="23" t="n">
        <x:v>46607</x:v>
      </x:c>
      <x:c r="C1222" s="32" t="n">
        <x:v>1</x:v>
      </x:c>
      <x:c r="D1222" s="20" t="str">
        <x:v>Monthly operations</x:v>
      </x:c>
      <x:c r="E1222" s="20" t="str">
        <x:v>Property Manager</x:v>
      </x:c>
      <x:c r="F1222" s="20" t="str">
        <x:v>Web</x:v>
      </x:c>
      <x:c r="G1222" s="20" t="str">
        <x:v>Scanned check</x:v>
      </x:c>
      <x:c r="H1222" s="35" t="str">
        <x:v>Post and allocate tenant receipt</x:v>
      </x:c>
      <x:c r="I1222" s="35" t="str">
        <x:v>P013; U013; L013</x:v>
      </x:c>
      <x:c r="J1222" s="35" t="str">
        <x:v>SCN-0244</x:v>
      </x:c>
      <x:c r="K1222" s="35" t="str">
        <x:v>FIN-00618; FIN-00619</x:v>
      </x:c>
      <x:c r="L1222" s="35" t="str">
        <x:v>Open Scan for paper payment or the tenant-account receipt form for electronic payment; verify tenant/lease match, amount, date, method, and reference; confirm once; open ledger detail and allocation.</x:v>
      </x:c>
      <x:c r="M1222" s="35" t="str">
        <x:v>Receipt is append-only, allocated once to the correct rent charge, and visible consistently in Unit, Lease, Tenant Account, Accounting, and portal views.</x:v>
      </x:c>
      <x:c r="N1222" s="35" t="str">
        <x:v>Scan review or form; success result; exact ledger rows; payment detail; accounting delta; portal receipt.</x:v>
      </x:c>
      <x:c r="O1222" s="35" t="str">
        <x:v>Retry the idempotency key once during the quarter assigned in the coverage matrix; no duplicate cash or allocation.</x:v>
      </x:c>
      <x:c r="P1222" s="35" t="str">
        <x:v>All expected records and amounts match; no unexplained error or stale state.</x:v>
      </x:c>
    </x:row>
    <x:row r="1223">
      <x:c r="A1223" s="20" t="str">
        <x:v>RUN-20270808-02</x:v>
      </x:c>
      <x:c r="B1223" s="23" t="n">
        <x:v>46607</x:v>
      </x:c>
      <x:c r="C1223" s="32" t="n">
        <x:v>2</x:v>
      </x:c>
      <x:c r="D1223" s="20" t="str">
        <x:v>Monthly operations</x:v>
      </x:c>
      <x:c r="E1223" s="20" t="str">
        <x:v>Property Manager</x:v>
      </x:c>
      <x:c r="F1223" s="20" t="str">
        <x:v>Mobile</x:v>
      </x:c>
      <x:c r="G1223" s="20" t="str">
        <x:v>Scanned money order</x:v>
      </x:c>
      <x:c r="H1223" s="35" t="str">
        <x:v>Post and allocate tenant receipt</x:v>
      </x:c>
      <x:c r="I1223" s="35" t="str">
        <x:v>P023; U026; L026</x:v>
      </x:c>
      <x:c r="J1223" s="35" t="str">
        <x:v>SCN-0251</x:v>
      </x:c>
      <x:c r="K1223" s="35" t="str">
        <x:v>FIN-00643; FIN-00644</x:v>
      </x:c>
      <x:c r="L1223" s="35" t="str">
        <x:v>Open Scan for paper payment or the tenant-account receipt form for electronic payment; verify tenant/lease match, amount, date, method, and reference; confirm once; open ledger detail and allocation.</x:v>
      </x:c>
      <x:c r="M1223" s="35" t="str">
        <x:v>Receipt is append-only, allocated once to the correct rent charge, and visible consistently in Unit, Lease, Tenant Account, Accounting, and portal views.</x:v>
      </x:c>
      <x:c r="N1223" s="35" t="str">
        <x:v>Scan review or form; success result; exact ledger rows; payment detail; accounting delta; portal receipt.</x:v>
      </x:c>
      <x:c r="O1223" s="35" t="str">
        <x:v>Retry the idempotency key once during the quarter assigned in the coverage matrix; no duplicate cash or allocation.</x:v>
      </x:c>
      <x:c r="P1223" s="35" t="str">
        <x:v>All expected records and amounts match; no unexplained error or stale state.</x:v>
      </x:c>
    </x:row>
    <x:row r="1224">
      <x:c r="A1224" s="20" t="str">
        <x:v>RUN-20270808-03</x:v>
      </x:c>
      <x:c r="B1224" s="23" t="n">
        <x:v>46607</x:v>
      </x:c>
      <x:c r="C1224" s="32" t="n">
        <x:v>3</x:v>
      </x:c>
      <x:c r="D1224" s="20" t="str">
        <x:v>Monthly operations</x:v>
      </x:c>
      <x:c r="E1224" s="20" t="str">
        <x:v>Property Manager</x:v>
      </x:c>
      <x:c r="F1224" s="20" t="str">
        <x:v>Web</x:v>
      </x:c>
      <x:c r="G1224" s="20" t="str">
        <x:v>Manual ACH</x:v>
      </x:c>
      <x:c r="H1224" s="35" t="str">
        <x:v>Post and allocate tenant receipt</x:v>
      </x:c>
      <x:c r="I1224" s="35" t="str">
        <x:v>P017; U017; L039</x:v>
      </x:c>
      <x:c r="J1224" s="35" t="str"/>
      <x:c r="K1224" s="35" t="str">
        <x:v>FIN-00672; FIN-00673</x:v>
      </x:c>
      <x:c r="L1224" s="35" t="str">
        <x:v>Open Scan for paper payment or the tenant-account receipt form for electronic payment; verify tenant/lease match, amount, date, method, and reference; confirm once; open ledger detail and allocation.</x:v>
      </x:c>
      <x:c r="M1224" s="35" t="str">
        <x:v>Receipt is append-only, allocated once to the correct rent charge, and visible consistently in Unit, Lease, Tenant Account, Accounting, and portal views.</x:v>
      </x:c>
      <x:c r="N1224" s="35" t="str">
        <x:v>Scan review or form; success result; exact ledger rows; payment detail; accounting delta; portal receipt.</x:v>
      </x:c>
      <x:c r="O1224" s="35" t="str">
        <x:v>Retry the idempotency key once during the quarter assigned in the coverage matrix; no duplicate cash or allocation.</x:v>
      </x:c>
      <x:c r="P1224" s="35" t="str">
        <x:v>All expected records and amounts match; no unexplained error or stale state.</x:v>
      </x:c>
    </x:row>
    <x:row r="1225">
      <x:c r="A1225" s="20" t="str">
        <x:v>RUN-20270809-01</x:v>
      </x:c>
      <x:c r="B1225" s="23" t="n">
        <x:v>46608</x:v>
      </x:c>
      <x:c r="C1225" s="32" t="n">
        <x:v>1</x:v>
      </x:c>
      <x:c r="D1225" s="20" t="str">
        <x:v>Weekly operations</x:v>
      </x:c>
      <x:c r="E1225" s="20" t="str">
        <x:v>Property Manager</x:v>
      </x:c>
      <x:c r="F1225" s="20" t="str">
        <x:v>Web</x:v>
      </x:c>
      <x:c r="G1225" s="20" t="str">
        <x:v>Scan-first</x:v>
      </x:c>
      <x:c r="H1225" s="35" t="str">
        <x:v>Create and triage maintenance request</x:v>
      </x:c>
      <x:c r="I1225" s="35" t="str">
        <x:v>P023; U025; WO-2027-032</x:v>
      </x:c>
      <x:c r="J1225" s="35" t="str">
        <x:v>SCN-0403</x:v>
      </x:c>
      <x:c r="K1225" s="35" t="str"/>
      <x:c r="L1225" s="35" t="str">
        <x:v>Capture the tenant note/photo; review slow kitchen drain; confirm; set responsibility; dispatch Metro Electric; create an appointment and verify the tenant notification.</x:v>
      </x:c>
      <x:c r="M1225" s="35" t="str">
        <x:v>Work order, status timeline, responsibility, vendor dispatch, appointment, notification, and Unit context are linked once.</x:v>
      </x:c>
      <x:c r="N1225" s="35" t="str">
        <x:v>Scan review; work order detail/timeline; dispatch; appointment; notification; tenant portal view.</x:v>
      </x:c>
      <x:c r="O1225" s="35" t="str">
        <x:v>Cancel one dispatch each quarter, reassign once, and prove status/history remains append-only.</x:v>
      </x:c>
      <x:c r="P1225" s="35" t="str">
        <x:v>All expected records and amounts match; no unexplained error or stale state.</x:v>
      </x:c>
    </x:row>
    <x:row r="1226">
      <x:c r="A1226" s="20" t="str">
        <x:v>RUN-20270809-02</x:v>
      </x:c>
      <x:c r="B1226" s="23" t="n">
        <x:v>46608</x:v>
      </x:c>
      <x:c r="C1226" s="32" t="n">
        <x:v>2</x:v>
      </x:c>
      <x:c r="D1226" s="20" t="str">
        <x:v>Role and screen certification</x:v>
      </x:c>
      <x:c r="E1226" s="20" t="str">
        <x:v>Applicant / public user</x:v>
      </x:c>
      <x:c r="F1226" s="20" t="str">
        <x:v>Mobile</x:v>
      </x:c>
      <x:c r="G1226" s="20" t="str">
        <x:v>Normal persona navigation</x:v>
      </x:c>
      <x:c r="H1226" s="35" t="str">
        <x:v>Use every permitted action and state on features/auth/reset_password_screen.dart</x:v>
      </x:c>
      <x:c r="I1226" s="35" t="str">
        <x:v>SCR-117; ROLE-200</x:v>
      </x:c>
      <x:c r="J1226" s="35" t="str"/>
      <x:c r="K1226" s="35" t="str"/>
      <x:c r="L122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26" s="35" t="str">
        <x:v>The persona can use every allowed action with only its assigned properties/relationships. Hidden or disabled actions explain why; an adjacent unauthorized persona is denied without metadata leakage.</x:v>
      </x:c>
      <x:c r="N1226" s="35" t="str">
        <x:v>Persona/experience; navigation entry; desktop or device screenshots; result state; persisted read-back; audit/history; authorized and denied network result.</x:v>
      </x:c>
      <x:c r="O1226" s="35" t="str">
        <x:v>Open the direct URL or deep link with an adjacent unauthorized persona and with stale scope; both fail closed and land safely without mutation.</x:v>
      </x:c>
      <x:c r="P1226" s="35" t="str">
        <x:v>All expected records and amounts match; no unexplained error or stale state.</x:v>
      </x:c>
    </x:row>
    <x:row r="1227">
      <x:c r="A1227" s="20" t="str">
        <x:v>RUN-20270809-03</x:v>
      </x:c>
      <x:c r="B1227" s="23" t="n">
        <x:v>46608</x:v>
      </x:c>
      <x:c r="C1227" s="32" t="n">
        <x:v>3</x:v>
      </x:c>
      <x:c r="D1227" s="20" t="str">
        <x:v>Field certification</x:v>
      </x:c>
      <x:c r="E1227" s="20" t="str">
        <x:v>Property Manager</x:v>
      </x:c>
      <x:c r="F1227" s="20" t="str">
        <x:v>Web</x:v>
      </x:c>
      <x:c r="G1227" s="20" t="str">
        <x:v>Manual field-by-field</x:v>
      </x:c>
      <x:c r="H1227" s="35" t="str">
        <x:v>Fill, save, reload, edit, and validate every declared field on /scan/[draftId]</x:v>
      </x:c>
      <x:c r="I1227" s="35" t="str">
        <x:v>FLD-0634; FLD-0635; FLD-0636; FLD-0637</x:v>
      </x:c>
      <x:c r="J1227" s="35" t="str"/>
      <x:c r="K1227" s="35" t="str"/>
      <x:c r="L1227" s="35" t="str">
        <x:v>Use the source-derived Field Inventory. Enter non-default realistic values in every control (scan-lease-property-select; Select-9; Select-10; Select-11); submit; reload or relaunch; compare every value; edit each mutable field; verify the paired client; then run required, format, length, range, boundary, optional-null, and stale-submit checks.</x:v>
      </x:c>
      <x:c r="M1227" s="35" t="str">
        <x:v>All 4 inventoried controls persist exact normalized values, invalid values stay unsaved with clear errors, and hidden/unauthorized fields cannot be altered.</x:v>
      </x:c>
      <x:c r="N1227" s="35" t="str">
        <x:v>Before/after form screenshots; FLD IDs; API response; reloaded UI; paired-client read-back; database/audit evidence; negative validation result.</x:v>
      </x:c>
      <x:c r="O1227" s="35" t="str">
        <x:v>Use a duplicate submit and one simulated network interruption; one atomic mutation or none, never partial state.</x:v>
      </x:c>
      <x:c r="P1227" s="35" t="str">
        <x:v>All expected records and amounts match; no unexplained error or stale state.</x:v>
      </x:c>
    </x:row>
    <x:row r="1228">
      <x:c r="A1228" s="20" t="str">
        <x:v>RUN-20270809-04</x:v>
      </x:c>
      <x:c r="B1228" s="23" t="n">
        <x:v>46608</x:v>
      </x:c>
      <x:c r="C1228" s="32" t="n">
        <x:v>4</x:v>
      </x:c>
      <x:c r="D1228" s="20" t="str">
        <x:v>Surface coverage</x:v>
      </x:c>
      <x:c r="E1228" s="20" t="str">
        <x:v>Role appropriate to surface</x:v>
      </x:c>
      <x:c r="F1228" s="20" t="str">
        <x:v>Web</x:v>
      </x:c>
      <x:c r="G1228" s="20" t="str">
        <x:v>Manual</x:v>
      </x:c>
      <x:c r="H1228" s="35" t="str">
        <x:v>Manual web pass: Recurring maintenance</x:v>
      </x:c>
      <x:c r="I1228" s="35" t="str">
        <x:v>COV-028</x:v>
      </x:c>
      <x:c r="J1228" s="35" t="str"/>
      <x:c r="K1228" s="35" t="str"/>
      <x:c r="L1228" s="35" t="str">
        <x:v>Create/edit/pause schedule; advance clock; generate work order once; handle out-of-service unit.</x:v>
      </x:c>
      <x:c r="M1228" s="35" t="str">
        <x:v>The supported workflow completes and persists correctly; if the capability is absent, the exact gap is proven and queued rather than silently skipped.</x:v>
      </x:c>
      <x:c r="N1228" s="35" t="str">
        <x:v>Real UI screenshot/state; submitted values; persisted read-back; cross-client read-back; audit/role/access evidence.</x:v>
      </x:c>
      <x:c r="O1228" s="35" t="str">
        <x:v>Use one invalid value, stale-state retry, or duplicate submission relevant to the form; no partial or duplicate mutation.</x:v>
      </x:c>
      <x:c r="P1228" s="35" t="str">
        <x:v>All expected records and amounts match; no unexplained error or stale state.</x:v>
      </x:c>
    </x:row>
    <x:row r="1229">
      <x:c r="A1229" s="20" t="str">
        <x:v>RUN-20270810-01</x:v>
      </x:c>
      <x:c r="B1229" s="23" t="n">
        <x:v>46609</x:v>
      </x:c>
      <x:c r="C1229" s="32" t="n">
        <x:v>1</x:v>
      </x:c>
      <x:c r="D1229" s="20" t="str">
        <x:v>Weekly operations</x:v>
      </x:c>
      <x:c r="E1229" s="20" t="str">
        <x:v>Property Manager</x:v>
      </x:c>
      <x:c r="F1229" s="20" t="str">
        <x:v>Web</x:v>
      </x:c>
      <x:c r="G1229" s="20" t="str">
        <x:v>Scanned receipt/invoice</x:v>
      </x:c>
      <x:c r="H1229" s="35" t="str">
        <x:v>Record, review, allocate, and pay operating expense</x:v>
      </x:c>
      <x:c r="I1229" s="35" t="str">
        <x:v>P023; U025; WO-2027-032</x:v>
      </x:c>
      <x:c r="J1229" s="35" t="str">
        <x:v>SCN-0404</x:v>
      </x:c>
      <x:c r="K1229" s="35" t="str">
        <x:v>FIN-01055</x:v>
      </x:c>
      <x:c r="L1229" s="35" t="str">
        <x:v>Capture or upload the source; verify vendor, date, scope, category, line items, tax, amount, and work-order link; confirm; open detail; verify attachment; compare Money and Property/Unit views.</x:v>
      </x:c>
      <x:c r="M1229" s="35" t="str">
        <x:v>One expense exists at its real operational scope, cash falls once, Schedule E category and allocations agree, and no per-unit copies are created.</x:v>
      </x:c>
      <x:c r="N1229" s="35" t="str">
        <x:v>Source preview; review/form; expense detail; line items; Property/Unit ledger; audit; accounting/report delta.</x:v>
      </x:c>
      <x:c r="O1229" s="35" t="str">
        <x:v>On marked duplicate-invoice cases, re-upload before confirm and prove the product prevents or clearly warns about duplication.</x:v>
      </x:c>
      <x:c r="P1229" s="35" t="str">
        <x:v>All expected records and amounts match; no unexplained error or stale state.</x:v>
      </x:c>
    </x:row>
    <x:row r="1230">
      <x:c r="A1230" s="20" t="str">
        <x:v>RUN-20270810-02</x:v>
      </x:c>
      <x:c r="B1230" s="23" t="n">
        <x:v>46609</x:v>
      </x:c>
      <x:c r="C1230" s="32" t="n">
        <x:v>2</x:v>
      </x:c>
      <x:c r="D1230" s="20" t="str">
        <x:v>Field certification</x:v>
      </x:c>
      <x:c r="E1230" s="20" t="str">
        <x:v>Property Manager</x:v>
      </x:c>
      <x:c r="F1230" s="20" t="str">
        <x:v>Web</x:v>
      </x:c>
      <x:c r="G1230" s="20" t="str">
        <x:v>Manual field-by-field</x:v>
      </x:c>
      <x:c r="H1230" s="35" t="str">
        <x:v>Fill, save, reload, edit, and validate every declared field on /scan/[draftId]</x:v>
      </x:c>
      <x:c r="I1230" s="35" t="str">
        <x:v>FLD-0638; FLD-0639; FLD-0640; FLD-0641; FLD-0642</x:v>
      </x:c>
      <x:c r="J1230" s="35" t="str"/>
      <x:c r="K1230" s="35" t="str"/>
      <x:c r="L1230" s="35" t="str">
        <x:v>Use the source-derived Field Inventory. Enter non-default realistic values in every control (scan-new-property-rental-structure; scan-new-property-name; scan-new-property-address; scan-new-property-city; scan-new-property-state); submit; reload or relaunch; compare every value; edit each mutable field; verify the paired client; then run required, format, length, range, boundary, optional-null, and stale-submit checks.</x:v>
      </x:c>
      <x:c r="M1230" s="35" t="str">
        <x:v>All 5 inventoried controls persist exact normalized values, invalid values stay unsaved with clear errors, and hidden/unauthorized fields cannot be altered.</x:v>
      </x:c>
      <x:c r="N1230" s="35" t="str">
        <x:v>Before/after form screenshots; FLD IDs; API response; reloaded UI; paired-client read-back; database/audit evidence; negative validation result.</x:v>
      </x:c>
      <x:c r="O1230" s="35" t="str">
        <x:v>Use a duplicate submit and one simulated network interruption; one atomic mutation or none, never partial state.</x:v>
      </x:c>
      <x:c r="P1230" s="35" t="str">
        <x:v>All expected records and amounts match; no unexplained error or stale state.</x:v>
      </x:c>
    </x:row>
    <x:row r="1231">
      <x:c r="A1231" s="20" t="str">
        <x:v>RUN-20270810-03</x:v>
      </x:c>
      <x:c r="B1231" s="23" t="n">
        <x:v>46609</x:v>
      </x:c>
      <x:c r="C1231" s="32" t="n">
        <x:v>3</x:v>
      </x:c>
      <x:c r="D1231" s="20" t="str">
        <x:v>Surface coverage</x:v>
      </x:c>
      <x:c r="E1231" s="20" t="str">
        <x:v>Role appropriate to surface</x:v>
      </x:c>
      <x:c r="F1231" s="20" t="str">
        <x:v>Mobile</x:v>
      </x:c>
      <x:c r="G1231" s="20" t="str">
        <x:v>Manual</x:v>
      </x:c>
      <x:c r="H1231" s="35" t="str">
        <x:v>Manual mobile pass: Recurring maintenance</x:v>
      </x:c>
      <x:c r="I1231" s="35" t="str">
        <x:v>COV-028</x:v>
      </x:c>
      <x:c r="J1231" s="35" t="str"/>
      <x:c r="K1231" s="35" t="str"/>
      <x:c r="L1231" s="35" t="str">
        <x:v>Create/edit/pause schedule; advance clock; generate work order once; handle out-of-service unit.</x:v>
      </x:c>
      <x:c r="M1231" s="35" t="str">
        <x:v>The supported workflow completes and persists correctly; if the capability is absent, the exact gap is proven and queued rather than silently skipped.</x:v>
      </x:c>
      <x:c r="N1231" s="35" t="str">
        <x:v>Real UI screenshot/state; submitted values; persisted read-back; cross-client read-back; audit/role/access evidence.</x:v>
      </x:c>
      <x:c r="O1231" s="35" t="str">
        <x:v>Use one invalid value, stale-state retry, or duplicate submission relevant to the form; no partial or duplicate mutation.</x:v>
      </x:c>
      <x:c r="P1231" s="35" t="str">
        <x:v>All expected records and amounts match; no unexplained error or stale state.</x:v>
      </x:c>
    </x:row>
    <x:row r="1232">
      <x:c r="A1232" s="20" t="str">
        <x:v>RUN-20270811-01</x:v>
      </x:c>
      <x:c r="B1232" s="23" t="n">
        <x:v>46610</x:v>
      </x:c>
      <x:c r="C1232" s="32" t="n">
        <x:v>1</x:v>
      </x:c>
      <x:c r="D1232" s="20" t="str">
        <x:v>Role and screen certification</x:v>
      </x:c>
      <x:c r="E1232" s="20" t="str">
        <x:v>Applicant / public user</x:v>
      </x:c>
      <x:c r="F1232" s="20" t="str">
        <x:v>Mobile</x:v>
      </x:c>
      <x:c r="G1232" s="20" t="str">
        <x:v>Normal persona navigation</x:v>
      </x:c>
      <x:c r="H1232" s="35" t="str">
        <x:v>Use every permitted action and state on features/auth/verify_email_screen.dart</x:v>
      </x:c>
      <x:c r="I1232" s="35" t="str">
        <x:v>SCR-118; ROLE-201</x:v>
      </x:c>
      <x:c r="J1232" s="35" t="str"/>
      <x:c r="K1232" s="35" t="str"/>
      <x:c r="L123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32" s="35" t="str">
        <x:v>The persona can use every allowed action with only its assigned properties/relationships. Hidden or disabled actions explain why; an adjacent unauthorized persona is denied without metadata leakage.</x:v>
      </x:c>
      <x:c r="N1232" s="35" t="str">
        <x:v>Persona/experience; navigation entry; desktop or device screenshots; result state; persisted read-back; audit/history; authorized and denied network result.</x:v>
      </x:c>
      <x:c r="O1232" s="35" t="str">
        <x:v>Open the direct URL or deep link with an adjacent unauthorized persona and with stale scope; both fail closed and land safely without mutation.</x:v>
      </x:c>
      <x:c r="P1232" s="35" t="str">
        <x:v>All expected records and amounts match; no unexplained error or stale state.</x:v>
      </x:c>
    </x:row>
    <x:row r="1233">
      <x:c r="A1233" s="20" t="str">
        <x:v>RUN-20270811-02</x:v>
      </x:c>
      <x:c r="B1233" s="23" t="n">
        <x:v>46610</x:v>
      </x:c>
      <x:c r="C1233" s="32" t="n">
        <x:v>2</x:v>
      </x:c>
      <x:c r="D1233" s="20" t="str">
        <x:v>Field certification</x:v>
      </x:c>
      <x:c r="E1233" s="20" t="str">
        <x:v>Property Manager</x:v>
      </x:c>
      <x:c r="F1233" s="20" t="str">
        <x:v>Web</x:v>
      </x:c>
      <x:c r="G1233" s="20" t="str">
        <x:v>Manual field-by-field</x:v>
      </x:c>
      <x:c r="H1233" s="35" t="str">
        <x:v>Fill, save, reload, edit, and validate every declared field on /scan/[draftId]</x:v>
      </x:c>
      <x:c r="I1233" s="35" t="str">
        <x:v>FLD-0643; FLD-0644; FLD-0645; FLD-0646</x:v>
      </x:c>
      <x:c r="J1233" s="35" t="str"/>
      <x:c r="K1233" s="35" t="str"/>
      <x:c r="L1233" s="35" t="str">
        <x:v>Use the source-derived Field Inventory. Enter non-default realistic values in every control (scan-new-property-postal; scan-lease-new-unit; scan-{unitField.name}; Search units in this property); submit; reload or relaunch; compare every value; edit each mutable field; verify the paired client; then run required, format, length, range, boundary, optional-null, and stale-submit checks.</x:v>
      </x:c>
      <x:c r="M1233" s="35" t="str">
        <x:v>All 4 inventoried controls persist exact normalized values, invalid values stay unsaved with clear errors, and hidden/unauthorized fields cannot be altered.</x:v>
      </x:c>
      <x:c r="N1233" s="35" t="str">
        <x:v>Before/after form screenshots; FLD IDs; API response; reloaded UI; paired-client read-back; database/audit evidence; negative validation result.</x:v>
      </x:c>
      <x:c r="O1233" s="35" t="str">
        <x:v>Use a duplicate submit and one simulated network interruption; one atomic mutation or none, never partial state.</x:v>
      </x:c>
      <x:c r="P1233" s="35" t="str">
        <x:v>All expected records and amounts match; no unexplained error or stale state.</x:v>
      </x:c>
    </x:row>
    <x:row r="1234">
      <x:c r="A1234" s="20" t="str">
        <x:v>RUN-20270812-01</x:v>
      </x:c>
      <x:c r="B1234" s="23" t="n">
        <x:v>46611</x:v>
      </x:c>
      <x:c r="C1234" s="32" t="n">
        <x:v>1</x:v>
      </x:c>
      <x:c r="D1234" s="20" t="str">
        <x:v>Monthly operations</x:v>
      </x:c>
      <x:c r="E1234" s="20" t="str">
        <x:v>Property Manager</x:v>
      </x:c>
      <x:c r="F1234" s="20" t="str">
        <x:v>Mobile</x:v>
      </x:c>
      <x:c r="G1234" s="20" t="str">
        <x:v>Scanned money order</x:v>
      </x:c>
      <x:c r="H1234" s="35" t="str">
        <x:v>Post and allocate tenant receipt</x:v>
      </x:c>
      <x:c r="I1234" s="35" t="str">
        <x:v>P011; U011; L011</x:v>
      </x:c>
      <x:c r="J1234" s="35" t="str">
        <x:v>SCN-0242</x:v>
      </x:c>
      <x:c r="K1234" s="35" t="str">
        <x:v>FIN-00613; FIN-00614</x:v>
      </x:c>
      <x:c r="L1234" s="35" t="str">
        <x:v>Open Scan for paper payment or the tenant-account receipt form for electronic payment; verify tenant/lease match, amount, date, method, and reference; confirm once; open ledger detail and allocation.</x:v>
      </x:c>
      <x:c r="M1234" s="35" t="str">
        <x:v>Receipt is append-only, allocated once to the correct rent charge, and visible consistently in Unit, Lease, Tenant Account, Accounting, and portal views.</x:v>
      </x:c>
      <x:c r="N1234" s="35" t="str">
        <x:v>Scan review or form; success result; exact ledger rows; payment detail; accounting delta; portal receipt.</x:v>
      </x:c>
      <x:c r="O1234" s="35" t="str">
        <x:v>Retry the idempotency key once during the quarter assigned in the coverage matrix; no duplicate cash or allocation.</x:v>
      </x:c>
      <x:c r="P1234" s="35" t="str">
        <x:v>All expected records and amounts match; no unexplained error or stale state.</x:v>
      </x:c>
    </x:row>
    <x:row r="1235">
      <x:c r="A1235" s="20" t="str">
        <x:v>RUN-20270812-02</x:v>
      </x:c>
      <x:c r="B1235" s="23" t="n">
        <x:v>46611</x:v>
      </x:c>
      <x:c r="C1235" s="32" t="n">
        <x:v>2</x:v>
      </x:c>
      <x:c r="D1235" s="20" t="str">
        <x:v>Monthly operations</x:v>
      </x:c>
      <x:c r="E1235" s="20" t="str">
        <x:v>Property Manager</x:v>
      </x:c>
      <x:c r="F1235" s="20" t="str">
        <x:v>Web</x:v>
      </x:c>
      <x:c r="G1235" s="20" t="str">
        <x:v>Scanned check</x:v>
      </x:c>
      <x:c r="H1235" s="35" t="str">
        <x:v>Post and allocate tenant receipt</x:v>
      </x:c>
      <x:c r="I1235" s="35" t="str">
        <x:v>P021; U022; L022</x:v>
      </x:c>
      <x:c r="J1235" s="35" t="str">
        <x:v>SCN-0248</x:v>
      </x:c>
      <x:c r="K1235" s="35" t="str">
        <x:v>FIN-00634; FIN-00635</x:v>
      </x:c>
      <x:c r="L1235" s="35" t="str">
        <x:v>Open Scan for paper payment or the tenant-account receipt form for electronic payment; verify tenant/lease match, amount, date, method, and reference; confirm once; open ledger detail and allocation.</x:v>
      </x:c>
      <x:c r="M1235" s="35" t="str">
        <x:v>Receipt is append-only, allocated once to the correct rent charge, and visible consistently in Unit, Lease, Tenant Account, Accounting, and portal views.</x:v>
      </x:c>
      <x:c r="N1235" s="35" t="str">
        <x:v>Scan review or form; success result; exact ledger rows; payment detail; accounting delta; portal receipt.</x:v>
      </x:c>
      <x:c r="O1235" s="35" t="str">
        <x:v>Retry the idempotency key once during the quarter assigned in the coverage matrix; no duplicate cash or allocation.</x:v>
      </x:c>
      <x:c r="P1235" s="35" t="str">
        <x:v>All expected records and amounts match; no unexplained error or stale state.</x:v>
      </x:c>
    </x:row>
    <x:row r="1236">
      <x:c r="A1236" s="20" t="str">
        <x:v>RUN-20270812-03</x:v>
      </x:c>
      <x:c r="B1236" s="23" t="n">
        <x:v>46611</x:v>
      </x:c>
      <x:c r="C1236" s="32" t="n">
        <x:v>3</x:v>
      </x:c>
      <x:c r="D1236" s="20" t="str">
        <x:v>Monthly operations</x:v>
      </x:c>
      <x:c r="E1236" s="20" t="str">
        <x:v>Property Manager</x:v>
      </x:c>
      <x:c r="F1236" s="20" t="str">
        <x:v>Mobile</x:v>
      </x:c>
      <x:c r="G1236" s="20" t="str">
        <x:v>Portal card</x:v>
      </x:c>
      <x:c r="H1236" s="35" t="str">
        <x:v>Post and allocate tenant receipt</x:v>
      </x:c>
      <x:c r="I1236" s="35" t="str">
        <x:v>P027; U033; L033</x:v>
      </x:c>
      <x:c r="J1236" s="35" t="str"/>
      <x:c r="K1236" s="35" t="str">
        <x:v>FIN-00659; FIN-00660</x:v>
      </x:c>
      <x:c r="L1236" s="35" t="str">
        <x:v>Open Scan for paper payment or the tenant-account receipt form for electronic payment; verify tenant/lease match, amount, date, method, and reference; confirm once; open ledger detail and allocation.</x:v>
      </x:c>
      <x:c r="M1236" s="35" t="str">
        <x:v>Receipt is append-only, allocated once to the correct rent charge, and visible consistently in Unit, Lease, Tenant Account, Accounting, and portal views.</x:v>
      </x:c>
      <x:c r="N1236" s="35" t="str">
        <x:v>Scan review or form; success result; exact ledger rows; payment detail; accounting delta; portal receipt.</x:v>
      </x:c>
      <x:c r="O1236" s="35" t="str">
        <x:v>Retry the idempotency key once during the quarter assigned in the coverage matrix; no duplicate cash or allocation.</x:v>
      </x:c>
      <x:c r="P1236" s="35" t="str">
        <x:v>All expected records and amounts match; no unexplained error or stale state.</x:v>
      </x:c>
    </x:row>
    <x:row r="1237">
      <x:c r="A1237" s="20" t="str">
        <x:v>RUN-20270812-04</x:v>
      </x:c>
      <x:c r="B1237" s="23" t="n">
        <x:v>46611</x:v>
      </x:c>
      <x:c r="C1237" s="32" t="n">
        <x:v>4</x:v>
      </x:c>
      <x:c r="D1237" s="20" t="str">
        <x:v>Monthly operations</x:v>
      </x:c>
      <x:c r="E1237" s="20" t="str">
        <x:v>Property Manager</x:v>
      </x:c>
      <x:c r="F1237" s="20" t="str">
        <x:v>Web</x:v>
      </x:c>
      <x:c r="G1237" s="20" t="str">
        <x:v>Manual ACH</x:v>
      </x:c>
      <x:c r="H1237" s="35" t="str">
        <x:v>Post and allocate tenant receipt</x:v>
      </x:c>
      <x:c r="I1237" s="35" t="str">
        <x:v>P029; U038; L044</x:v>
      </x:c>
      <x:c r="J1237" s="35" t="str"/>
      <x:c r="K1237" s="35" t="str">
        <x:v>FIN-00678; FIN-00679</x:v>
      </x:c>
      <x:c r="L1237" s="35" t="str">
        <x:v>Open Scan for paper payment or the tenant-account receipt form for electronic payment; verify tenant/lease match, amount, date, method, and reference; confirm once; open ledger detail and allocation.</x:v>
      </x:c>
      <x:c r="M1237" s="35" t="str">
        <x:v>Receipt is append-only, allocated once to the correct rent charge, and visible consistently in Unit, Lease, Tenant Account, Accounting, and portal views.</x:v>
      </x:c>
      <x:c r="N1237" s="35" t="str">
        <x:v>Scan review or form; success result; exact ledger rows; payment detail; accounting delta; portal receipt.</x:v>
      </x:c>
      <x:c r="O1237" s="35" t="str">
        <x:v>Retry the idempotency key once during the quarter assigned in the coverage matrix; no duplicate cash or allocation.</x:v>
      </x:c>
      <x:c r="P1237" s="35" t="str">
        <x:v>All expected records and amounts match; no unexplained error or stale state.</x:v>
      </x:c>
    </x:row>
    <x:row r="1238">
      <x:c r="A1238" s="20" t="str">
        <x:v>RUN-20270812-05</x:v>
      </x:c>
      <x:c r="B1238" s="23" t="n">
        <x:v>46611</x:v>
      </x:c>
      <x:c r="C1238" s="32" t="n">
        <x:v>5</x:v>
      </x:c>
      <x:c r="D1238" s="20" t="str">
        <x:v>Role and screen certification</x:v>
      </x:c>
      <x:c r="E1238" s="20" t="str">
        <x:v>Applicant / public user</x:v>
      </x:c>
      <x:c r="F1238" s="20" t="str">
        <x:v>Mobile</x:v>
      </x:c>
      <x:c r="G1238" s="20" t="str">
        <x:v>Normal persona navigation</x:v>
      </x:c>
      <x:c r="H1238" s="35" t="str">
        <x:v>Use every permitted action and state on features/banking/banking_screen.dart</x:v>
      </x:c>
      <x:c r="I1238" s="35" t="str">
        <x:v>SCR-119; ROLE-202</x:v>
      </x:c>
      <x:c r="J1238" s="35" t="str"/>
      <x:c r="K1238" s="35" t="str"/>
      <x:c r="L123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38" s="35" t="str">
        <x:v>The persona can use every allowed action with only its assigned properties/relationships. Hidden or disabled actions explain why; an adjacent unauthorized persona is denied without metadata leakage.</x:v>
      </x:c>
      <x:c r="N1238" s="35" t="str">
        <x:v>Persona/experience; navigation entry; desktop or device screenshots; result state; persisted read-back; audit/history; authorized and denied network result.</x:v>
      </x:c>
      <x:c r="O1238" s="35" t="str">
        <x:v>Open the direct URL or deep link with an adjacent unauthorized persona and with stale scope; both fail closed and land safely without mutation.</x:v>
      </x:c>
      <x:c r="P1238" s="35" t="str">
        <x:v>All expected records and amounts match; no unexplained error or stale state.</x:v>
      </x:c>
    </x:row>
    <x:row r="1239">
      <x:c r="A1239" s="20" t="str">
        <x:v>RUN-20270812-06</x:v>
      </x:c>
      <x:c r="B1239" s="23" t="n">
        <x:v>46611</x:v>
      </x:c>
      <x:c r="C1239" s="32" t="n">
        <x:v>6</x:v>
      </x:c>
      <x:c r="D1239" s="20" t="str">
        <x:v>Field certification</x:v>
      </x:c>
      <x:c r="E1239" s="20" t="str">
        <x:v>Property Manager</x:v>
      </x:c>
      <x:c r="F1239" s="20" t="str">
        <x:v>Web</x:v>
      </x:c>
      <x:c r="G1239" s="20" t="str">
        <x:v>Manual field-by-field</x:v>
      </x:c>
      <x:c r="H1239" s="35" t="str">
        <x:v>Fill, save, reload, edit, and validate every declared field on /scan/[draftId]</x:v>
      </x:c>
      <x:c r="I1239" s="35" t="str">
        <x:v>FLD-0647; FLD-0648; FLD-0649; FLD-0650; FLD-0651</x:v>
      </x:c>
      <x:c r="J1239" s="35" t="str"/>
      <x:c r="K1239" s="35" t="str"/>
      <x:c r="L1239" s="35" t="str">
        <x:v>Use the source-derived Field Inventory. Enter non-default realistic values in every control (selectedLeaseUnitId; scan-lease-unit-select; Select-24; Select-25; Search tenants by name, email, or phone); submit; reload or relaunch; compare every value; edit each mutable field; verify the paired client; then run required, format, length, range, boundary, optional-null, and stale-submit checks.</x:v>
      </x:c>
      <x:c r="M1239" s="35" t="str">
        <x:v>All 5 inventoried controls persist exact normalized values, invalid values stay unsaved with clear errors, and hidden/unauthorized fields cannot be altered.</x:v>
      </x:c>
      <x:c r="N1239" s="35" t="str">
        <x:v>Before/after form screenshots; FLD IDs; API response; reloaded UI; paired-client read-back; database/audit evidence; negative validation result.</x:v>
      </x:c>
      <x:c r="O1239" s="35" t="str">
        <x:v>Use a duplicate submit and one simulated network interruption; one atomic mutation or none, never partial state.</x:v>
      </x:c>
      <x:c r="P1239" s="35" t="str">
        <x:v>All expected records and amounts match; no unexplained error or stale state.</x:v>
      </x:c>
    </x:row>
    <x:row r="1240">
      <x:c r="A1240" s="20" t="str">
        <x:v>RUN-20270812-07</x:v>
      </x:c>
      <x:c r="B1240" s="23" t="n">
        <x:v>46611</x:v>
      </x:c>
      <x:c r="C1240" s="32" t="n">
        <x:v>7</x:v>
      </x:c>
      <x:c r="D1240" s="20" t="str">
        <x:v>Lifecycle certification</x:v>
      </x:c>
      <x:c r="E1240" s="20" t="str">
        <x:v>Property Manager</x:v>
      </x:c>
      <x:c r="F1240" s="20" t="str">
        <x:v>Web + Mobile</x:v>
      </x:c>
      <x:c r="G1240" s="20" t="str">
        <x:v>Manual + scan/attachment where supported</x:v>
      </x:c>
      <x:c r="H1240" s="35" t="str">
        <x:v>Complete the full create/read/edit/lifecycle/delete-safe pass for Owner statement</x:v>
      </x:c>
      <x:c r="I1240" s="35" t="str">
        <x:v>CRUD-021</x:v>
      </x:c>
      <x:c r="J1240" s="35" t="str"/>
      <x:c r="K1240" s="35" t="str"/>
      <x:c r="L1240" s="35" t="str">
        <x:v>Use a dedicated disposable QA record and execute: generate; review; owner approve/reject; distribute; regenerate/version. Fill every field referenced by field-inventory.csv. Verify confirmation copy, cancel path, final path, reload, other-client state, history, and role denial.</x:v>
      </x:c>
      <x:c r="M1240" s="35" t="str">
        <x:v>Every supported transition succeeds exactly once; forbidden destructive actions are guarded; reversible deletion/deactivation works; financial and historical truth is preserved.</x:v>
      </x:c>
      <x:c r="N1240" s="35" t="str">
        <x:v>Entity before/after; both clients; all FLD IDs; audit/history; notifications; authorized and unauthorized personas; API/DB state.</x:v>
      </x:c>
      <x:c r="O1240" s="35" t="str">
        <x:v>Cancel the first destructive confirmation, then repeat and confirm; retry the mutation once; no double transition or orphan.</x:v>
      </x:c>
      <x:c r="P1240" s="35" t="str">
        <x:v>All expected records and amounts match; no unexplained error or stale state.</x:v>
      </x:c>
    </x:row>
    <x:row r="1241">
      <x:c r="A1241" s="20" t="str">
        <x:v>RUN-20270812-08</x:v>
      </x:c>
      <x:c r="B1241" s="23" t="n">
        <x:v>46611</x:v>
      </x:c>
      <x:c r="C1241" s="32" t="n">
        <x:v>8</x:v>
      </x:c>
      <x:c r="D1241" s="20" t="str">
        <x:v>Notification certification</x:v>
      </x:c>
      <x:c r="E1241" s="20" t="str">
        <x:v>Property Manager</x:v>
      </x:c>
      <x:c r="F1241" s="20" t="str">
        <x:v>Web + Mobile</x:v>
      </x:c>
      <x:c r="G1241" s="20" t="str">
        <x:v>System event + preference/manual verification</x:v>
      </x:c>
      <x:c r="H1241" s="35" t="str">
        <x:v>Trigger and prove notification: Recurring maintenance generated</x:v>
      </x:c>
      <x:c r="I1241" s="35" t="str">
        <x:v>NTF-030</x:v>
      </x:c>
      <x:c r="J1241" s="35" t="str"/>
      <x:c r="K1241" s="35" t="str"/>
      <x:c r="L1241" s="35" t="str">
        <x:v>Set each recipient's preferences; trigger the real business event; inspect routing and recipient scope; verify unread badge, list item, safe preview, work order deep link, mark-read sync, configured channel outcome, provider failure/retry, and duplicate suppression.</x:v>
      </x:c>
      <x:c r="M1241" s="35" t="str">
        <x:v>Exactly the intended recipients receive one correctly routed notification; disabled optional channels stay silent; deep link opens authorized context; read state synchronizes.</x:v>
      </x:c>
      <x:c r="N1241" s="35" t="str">
        <x:v>Trigger record; routing decision; outbox/delivery status; web/mobile inbox; lock-screen-safe copy; deep-link target; audit/provider retry evidence.</x:v>
      </x:c>
      <x:c r="O1241" s="35" t="str">
        <x:v>Re-run the worker and deliver a duplicate provider callback; no duplicate user-visible event. Attempt the deep link as an unauthorized adjacent role.</x:v>
      </x:c>
      <x:c r="P1241" s="35" t="str">
        <x:v>All expected records and amounts match; no unexplained error or stale state.</x:v>
      </x:c>
    </x:row>
    <x:row r="1242">
      <x:c r="A1242" s="20" t="str">
        <x:v>RUN-20270812-09</x:v>
      </x:c>
      <x:c r="B1242" s="23" t="n">
        <x:v>46611</x:v>
      </x:c>
      <x:c r="C1242" s="32" t="n">
        <x:v>9</x:v>
      </x:c>
      <x:c r="D1242" s="20" t="str">
        <x:v>Surface coverage</x:v>
      </x:c>
      <x:c r="E1242" s="20" t="str">
        <x:v>Role appropriate to surface</x:v>
      </x:c>
      <x:c r="F1242" s="20" t="str">
        <x:v>Web</x:v>
      </x:c>
      <x:c r="G1242" s="20" t="str">
        <x:v>Scan/attachment</x:v>
      </x:c>
      <x:c r="H1242" s="35" t="str">
        <x:v>Scan web pass: Recurring maintenance</x:v>
      </x:c>
      <x:c r="I1242" s="35" t="str">
        <x:v>COV-028</x:v>
      </x:c>
      <x:c r="J1242" s="35" t="str"/>
      <x:c r="K1242" s="35" t="str"/>
      <x:c r="L1242" s="35" t="str">
        <x:v>Create/edit/pause schedule; advance clock; generate work order once; handle out-of-service unit.</x:v>
      </x:c>
      <x:c r="M1242" s="35" t="str">
        <x:v>The supported workflow completes and persists correctly; if the capability is absent, the exact gap is proven and queued rather than silently skipped.</x:v>
      </x:c>
      <x:c r="N1242" s="35" t="str">
        <x:v>Real UI screenshot/state; submitted values; persisted read-back; cross-client read-back; audit/role/access evidence.</x:v>
      </x:c>
      <x:c r="O1242" s="35" t="str">
        <x:v>Use one invalid value, stale-state retry, or duplicate submission relevant to the form; no partial or duplicate mutation.</x:v>
      </x:c>
      <x:c r="P1242" s="35" t="str">
        <x:v>All expected records and amounts match; no unexplained error or stale state.</x:v>
      </x:c>
    </x:row>
    <x:row r="1243">
      <x:c r="A1243" s="20" t="str">
        <x:v>RUN-20270813-01</x:v>
      </x:c>
      <x:c r="B1243" s="23" t="n">
        <x:v>46612</x:v>
      </x:c>
      <x:c r="C1243" s="32" t="n">
        <x:v>1</x:v>
      </x:c>
      <x:c r="D1243" s="20" t="str">
        <x:v>Role and screen certification</x:v>
      </x:c>
      <x:c r="E1243" s="20" t="str">
        <x:v>Applicant / public user</x:v>
      </x:c>
      <x:c r="F1243" s="20" t="str">
        <x:v>Mobile</x:v>
      </x:c>
      <x:c r="G1243" s="20" t="str">
        <x:v>Normal persona navigation</x:v>
      </x:c>
      <x:c r="H1243" s="35" t="str">
        <x:v>Use every permitted action and state on features/deposits/deposits_screen.dart</x:v>
      </x:c>
      <x:c r="I1243" s="35" t="str">
        <x:v>SCR-120; ROLE-203</x:v>
      </x:c>
      <x:c r="J1243" s="35" t="str"/>
      <x:c r="K1243" s="35" t="str"/>
      <x:c r="L124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43" s="35" t="str">
        <x:v>The persona can use every allowed action with only its assigned properties/relationships. Hidden or disabled actions explain why; an adjacent unauthorized persona is denied without metadata leakage.</x:v>
      </x:c>
      <x:c r="N1243" s="35" t="str">
        <x:v>Persona/experience; navigation entry; desktop or device screenshots; result state; persisted read-back; audit/history; authorized and denied network result.</x:v>
      </x:c>
      <x:c r="O1243" s="35" t="str">
        <x:v>Open the direct URL or deep link with an adjacent unauthorized persona and with stale scope; both fail closed and land safely without mutation.</x:v>
      </x:c>
      <x:c r="P1243" s="35" t="str">
        <x:v>All expected records and amounts match; no unexplained error or stale state.</x:v>
      </x:c>
    </x:row>
    <x:row r="1244">
      <x:c r="A1244" s="20" t="str">
        <x:v>RUN-20270813-02</x:v>
      </x:c>
      <x:c r="B1244" s="23" t="n">
        <x:v>46612</x:v>
      </x:c>
      <x:c r="C1244" s="32" t="n">
        <x:v>2</x:v>
      </x:c>
      <x:c r="D1244" s="20" t="str">
        <x:v>Field certification</x:v>
      </x:c>
      <x:c r="E1244" s="20" t="str">
        <x:v>Property Manager</x:v>
      </x:c>
      <x:c r="F1244" s="20" t="str">
        <x:v>Web</x:v>
      </x:c>
      <x:c r="G1244" s="20" t="str">
        <x:v>Manual field-by-field</x:v>
      </x:c>
      <x:c r="H1244" s="35" t="str">
        <x:v>Fill, save, reload, edit, and validate every declared field on /scan/[draftId]</x:v>
      </x:c>
      <x:c r="I1244" s="35" t="str">
        <x:v>FLD-0652; FLD-0653; FLD-0654; FLD-0655</x:v>
      </x:c>
      <x:c r="J1244" s="35" t="str"/>
      <x:c r="K1244" s="35" t="str"/>
      <x:c r="L1244" s="35" t="str">
        <x:v>Use the source-derived Field Inventory. Enter non-default realistic values in every control (selectedTenantId; scan-lease-tenant-select; Select-29; Select-30); submit; reload or relaunch; compare every value; edit each mutable field; verify the paired client; then run required, format, length, range, boundary, optional-null, and stale-submit checks.</x:v>
      </x:c>
      <x:c r="M1244" s="35" t="str">
        <x:v>All 4 inventoried controls persist exact normalized values, invalid values stay unsaved with clear errors, and hidden/unauthorized fields cannot be altered.</x:v>
      </x:c>
      <x:c r="N1244" s="35" t="str">
        <x:v>Before/after form screenshots; FLD IDs; API response; reloaded UI; paired-client read-back; database/audit evidence; negative validation result.</x:v>
      </x:c>
      <x:c r="O1244" s="35" t="str">
        <x:v>Use a duplicate submit and one simulated network interruption; one atomic mutation or none, never partial state.</x:v>
      </x:c>
      <x:c r="P1244" s="35" t="str">
        <x:v>All expected records and amounts match; no unexplained error or stale state.</x:v>
      </x:c>
    </x:row>
    <x:row r="1245">
      <x:c r="A1245" s="20" t="str">
        <x:v>RUN-20270813-03</x:v>
      </x:c>
      <x:c r="B1245" s="23" t="n">
        <x:v>46612</x:v>
      </x:c>
      <x:c r="C1245" s="32" t="n">
        <x:v>3</x:v>
      </x:c>
      <x:c r="D1245" s="20" t="str">
        <x:v>Surface coverage</x:v>
      </x:c>
      <x:c r="E1245" s="20" t="str">
        <x:v>Role appropriate to surface</x:v>
      </x:c>
      <x:c r="F1245" s="20" t="str">
        <x:v>Mobile</x:v>
      </x:c>
      <x:c r="G1245" s="20" t="str">
        <x:v>Scan/attachment</x:v>
      </x:c>
      <x:c r="H1245" s="35" t="str">
        <x:v>Scan mobile pass: Recurring maintenance</x:v>
      </x:c>
      <x:c r="I1245" s="35" t="str">
        <x:v>COV-028</x:v>
      </x:c>
      <x:c r="J1245" s="35" t="str"/>
      <x:c r="K1245" s="35" t="str"/>
      <x:c r="L1245" s="35" t="str">
        <x:v>Create/edit/pause schedule; advance clock; generate work order once; handle out-of-service unit.</x:v>
      </x:c>
      <x:c r="M1245" s="35" t="str">
        <x:v>The supported workflow completes and persists correctly; if the capability is absent, the exact gap is proven and queued rather than silently skipped.</x:v>
      </x:c>
      <x:c r="N1245" s="35" t="str">
        <x:v>Real UI screenshot/state; submitted values; persisted read-back; cross-client read-back; audit/role/access evidence.</x:v>
      </x:c>
      <x:c r="O1245" s="35" t="str">
        <x:v>Use one invalid value, stale-state retry, or duplicate submission relevant to the form; no partial or duplicate mutation.</x:v>
      </x:c>
      <x:c r="P1245" s="35" t="str">
        <x:v>All expected records and amounts match; no unexplained error or stale state.</x:v>
      </x:c>
    </x:row>
    <x:row r="1246">
      <x:c r="A1246" s="20" t="str">
        <x:v>RUN-20270815-01</x:v>
      </x:c>
      <x:c r="B1246" s="23" t="n">
        <x:v>46614</x:v>
      </x:c>
      <x:c r="C1246" s="32" t="n">
        <x:v>1</x:v>
      </x:c>
      <x:c r="D1246" s="20" t="str">
        <x:v>Weekly operations</x:v>
      </x:c>
      <x:c r="E1246" s="20" t="str">
        <x:v>Property Manager</x:v>
      </x:c>
      <x:c r="F1246" s="20" t="str">
        <x:v>Mobile</x:v>
      </x:c>
      <x:c r="G1246" s="20" t="str">
        <x:v>Scanned receipt/invoice</x:v>
      </x:c>
      <x:c r="H1246" s="35" t="str">
        <x:v>Record, review, allocate, and pay operating expense</x:v>
      </x:c>
      <x:c r="I1246" s="35" t="str">
        <x:v>P021; Property scope; </x:v>
      </x:c>
      <x:c r="J1246" s="35" t="str">
        <x:v>SCN-0644</x:v>
      </x:c>
      <x:c r="K1246" s="35" t="str">
        <x:v>FIN-01323</x:v>
      </x:c>
      <x:c r="L1246" s="35" t="str">
        <x:v>Capture or upload the source; verify vendor, date, scope, category, line items, tax, amount, and work-order link; confirm; open detail; verify attachment; compare Money and Property/Unit views.</x:v>
      </x:c>
      <x:c r="M1246" s="35" t="str">
        <x:v>One expense exists at its real operational scope, cash falls once, Schedule E category and allocations agree, and no per-unit copies are created.</x:v>
      </x:c>
      <x:c r="N1246" s="35" t="str">
        <x:v>Source preview; review/form; expense detail; line items; Property/Unit ledger; audit; accounting/report delta.</x:v>
      </x:c>
      <x:c r="O1246" s="35" t="str">
        <x:v>On marked duplicate-invoice cases, re-upload before confirm and prove the product prevents or clearly warns about duplication.</x:v>
      </x:c>
      <x:c r="P1246" s="35" t="str">
        <x:v>All expected records and amounts match; no unexplained error or stale state.</x:v>
      </x:c>
    </x:row>
    <x:row r="1247">
      <x:c r="A1247" s="20" t="str">
        <x:v>RUN-20270815-02</x:v>
      </x:c>
      <x:c r="B1247" s="23" t="n">
        <x:v>46614</x:v>
      </x:c>
      <x:c r="C1247" s="32" t="n">
        <x:v>2</x:v>
      </x:c>
      <x:c r="D1247" s="20" t="str">
        <x:v>Weekly operations</x:v>
      </x:c>
      <x:c r="E1247" s="20" t="str">
        <x:v>Property Manager</x:v>
      </x:c>
      <x:c r="F1247" s="20" t="str">
        <x:v>Web</x:v>
      </x:c>
      <x:c r="G1247" s="20" t="str">
        <x:v>Scanned receipt/invoice</x:v>
      </x:c>
      <x:c r="H1247" s="35" t="str">
        <x:v>Record, review, allocate, and pay operating expense</x:v>
      </x:c>
      <x:c r="I1247" s="35" t="str">
        <x:v>P022; Property scope; </x:v>
      </x:c>
      <x:c r="J1247" s="35" t="str">
        <x:v>SCN-0645</x:v>
      </x:c>
      <x:c r="K1247" s="35" t="str">
        <x:v>FIN-01324</x:v>
      </x:c>
      <x:c r="L1247" s="35" t="str">
        <x:v>Capture or upload the source; verify vendor, date, scope, category, line items, tax, amount, and work-order link; confirm; open detail; verify attachment; compare Money and Property/Unit views.</x:v>
      </x:c>
      <x:c r="M1247" s="35" t="str">
        <x:v>One expense exists at its real operational scope, cash falls once, Schedule E category and allocations agree, and no per-unit copies are created.</x:v>
      </x:c>
      <x:c r="N1247" s="35" t="str">
        <x:v>Source preview; review/form; expense detail; line items; Property/Unit ledger; audit; accounting/report delta.</x:v>
      </x:c>
      <x:c r="O1247" s="35" t="str">
        <x:v>On marked duplicate-invoice cases, re-upload before confirm and prove the product prevents or clearly warns about duplication.</x:v>
      </x:c>
      <x:c r="P1247" s="35" t="str">
        <x:v>All expected records and amounts match; no unexplained error or stale state.</x:v>
      </x:c>
    </x:row>
    <x:row r="1248">
      <x:c r="A1248" s="20" t="str">
        <x:v>RUN-20270815-03</x:v>
      </x:c>
      <x:c r="B1248" s="23" t="n">
        <x:v>46614</x:v>
      </x:c>
      <x:c r="C1248" s="32" t="n">
        <x:v>3</x:v>
      </x:c>
      <x:c r="D1248" s="20" t="str">
        <x:v>Weekly operations</x:v>
      </x:c>
      <x:c r="E1248" s="20" t="str">
        <x:v>Property Manager</x:v>
      </x:c>
      <x:c r="F1248" s="20" t="str">
        <x:v>Mobile</x:v>
      </x:c>
      <x:c r="G1248" s="20" t="str">
        <x:v>Scanned receipt/invoice</x:v>
      </x:c>
      <x:c r="H1248" s="35" t="str">
        <x:v>Record, review, allocate, and pay operating expense</x:v>
      </x:c>
      <x:c r="I1248" s="35" t="str">
        <x:v>P023; Property scope; </x:v>
      </x:c>
      <x:c r="J1248" s="35" t="str">
        <x:v>SCN-0646</x:v>
      </x:c>
      <x:c r="K1248" s="35" t="str">
        <x:v>FIN-01325</x:v>
      </x:c>
      <x:c r="L1248" s="35" t="str">
        <x:v>Capture or upload the source; verify vendor, date, scope, category, line items, tax, amount, and work-order link; confirm; open detail; verify attachment; compare Money and Property/Unit views.</x:v>
      </x:c>
      <x:c r="M1248" s="35" t="str">
        <x:v>One expense exists at its real operational scope, cash falls once, Schedule E category and allocations agree, and no per-unit copies are created.</x:v>
      </x:c>
      <x:c r="N1248" s="35" t="str">
        <x:v>Source preview; review/form; expense detail; line items; Property/Unit ledger; audit; accounting/report delta.</x:v>
      </x:c>
      <x:c r="O1248" s="35" t="str">
        <x:v>On marked duplicate-invoice cases, re-upload before confirm and prove the product prevents or clearly warns about duplication.</x:v>
      </x:c>
      <x:c r="P1248" s="35" t="str">
        <x:v>All expected records and amounts match; no unexplained error or stale state.</x:v>
      </x:c>
    </x:row>
    <x:row r="1249">
      <x:c r="A1249" s="20" t="str">
        <x:v>RUN-20270815-04</x:v>
      </x:c>
      <x:c r="B1249" s="23" t="n">
        <x:v>46614</x:v>
      </x:c>
      <x:c r="C1249" s="32" t="n">
        <x:v>4</x:v>
      </x:c>
      <x:c r="D1249" s="20" t="str">
        <x:v>Weekly operations</x:v>
      </x:c>
      <x:c r="E1249" s="20" t="str">
        <x:v>Property Manager</x:v>
      </x:c>
      <x:c r="F1249" s="20" t="str">
        <x:v>Web</x:v>
      </x:c>
      <x:c r="G1249" s="20" t="str">
        <x:v>Scanned receipt/invoice</x:v>
      </x:c>
      <x:c r="H1249" s="35" t="str">
        <x:v>Record, review, allocate, and pay operating expense</x:v>
      </x:c>
      <x:c r="I1249" s="35" t="str">
        <x:v>P024; Property scope; </x:v>
      </x:c>
      <x:c r="J1249" s="35" t="str">
        <x:v>SCN-0647</x:v>
      </x:c>
      <x:c r="K1249" s="35" t="str">
        <x:v>FIN-01326</x:v>
      </x:c>
      <x:c r="L1249" s="35" t="str">
        <x:v>Capture or upload the source; verify vendor, date, scope, category, line items, tax, amount, and work-order link; confirm; open detail; verify attachment; compare Money and Property/Unit views.</x:v>
      </x:c>
      <x:c r="M1249" s="35" t="str">
        <x:v>One expense exists at its real operational scope, cash falls once, Schedule E category and allocations agree, and no per-unit copies are created.</x:v>
      </x:c>
      <x:c r="N1249" s="35" t="str">
        <x:v>Source preview; review/form; expense detail; line items; Property/Unit ledger; audit; accounting/report delta.</x:v>
      </x:c>
      <x:c r="O1249" s="35" t="str">
        <x:v>On marked duplicate-invoice cases, re-upload before confirm and prove the product prevents or clearly warns about duplication.</x:v>
      </x:c>
      <x:c r="P1249" s="35" t="str">
        <x:v>All expected records and amounts match; no unexplained error or stale state.</x:v>
      </x:c>
    </x:row>
    <x:row r="1250">
      <x:c r="A1250" s="20" t="str">
        <x:v>RUN-20270815-05</x:v>
      </x:c>
      <x:c r="B1250" s="23" t="n">
        <x:v>46614</x:v>
      </x:c>
      <x:c r="C1250" s="32" t="n">
        <x:v>5</x:v>
      </x:c>
      <x:c r="D1250" s="20" t="str">
        <x:v>Weekly operations</x:v>
      </x:c>
      <x:c r="E1250" s="20" t="str">
        <x:v>Property Manager</x:v>
      </x:c>
      <x:c r="F1250" s="20" t="str">
        <x:v>Mobile</x:v>
      </x:c>
      <x:c r="G1250" s="20" t="str">
        <x:v>Manual web form</x:v>
      </x:c>
      <x:c r="H1250" s="35" t="str">
        <x:v>Record, review, allocate, and pay operating expense</x:v>
      </x:c>
      <x:c r="I1250" s="35" t="str">
        <x:v>P025; Property scope; </x:v>
      </x:c>
      <x:c r="J1250" s="35" t="str"/>
      <x:c r="K1250" s="35" t="str">
        <x:v>FIN-01327</x:v>
      </x:c>
      <x:c r="L1250" s="35" t="str">
        <x:v>Capture or upload the source; verify vendor, date, scope, category, line items, tax, amount, and work-order link; confirm; open detail; verify attachment; compare Money and Property/Unit views.</x:v>
      </x:c>
      <x:c r="M1250" s="35" t="str">
        <x:v>One expense exists at its real operational scope, cash falls once, Schedule E category and allocations agree, and no per-unit copies are created.</x:v>
      </x:c>
      <x:c r="N1250" s="35" t="str">
        <x:v>Source preview; review/form; expense detail; line items; Property/Unit ledger; audit; accounting/report delta.</x:v>
      </x:c>
      <x:c r="O1250" s="35" t="str">
        <x:v>On marked duplicate-invoice cases, re-upload before confirm and prove the product prevents or clearly warns about duplication.</x:v>
      </x:c>
      <x:c r="P1250" s="35" t="str">
        <x:v>All expected records and amounts match; no unexplained error or stale state.</x:v>
      </x:c>
    </x:row>
    <x:row r="1251">
      <x:c r="A1251" s="20" t="str">
        <x:v>RUN-20270815-06</x:v>
      </x:c>
      <x:c r="B1251" s="23" t="n">
        <x:v>46614</x:v>
      </x:c>
      <x:c r="C1251" s="32" t="n">
        <x:v>6</x:v>
      </x:c>
      <x:c r="D1251" s="20" t="str">
        <x:v>Weekly operations</x:v>
      </x:c>
      <x:c r="E1251" s="20" t="str">
        <x:v>Property Manager</x:v>
      </x:c>
      <x:c r="F1251" s="20" t="str">
        <x:v>Web</x:v>
      </x:c>
      <x:c r="G1251" s="20" t="str">
        <x:v>Scanned receipt/invoice</x:v>
      </x:c>
      <x:c r="H1251" s="35" t="str">
        <x:v>Record, review, allocate, and pay operating expense</x:v>
      </x:c>
      <x:c r="I1251" s="35" t="str">
        <x:v>P026; Property scope; </x:v>
      </x:c>
      <x:c r="J1251" s="35" t="str">
        <x:v>SCN-0648</x:v>
      </x:c>
      <x:c r="K1251" s="35" t="str">
        <x:v>FIN-01328</x:v>
      </x:c>
      <x:c r="L1251" s="35" t="str">
        <x:v>Capture or upload the source; verify vendor, date, scope, category, line items, tax, amount, and work-order link; confirm; open detail; verify attachment; compare Money and Property/Unit views.</x:v>
      </x:c>
      <x:c r="M1251" s="35" t="str">
        <x:v>One expense exists at its real operational scope, cash falls once, Schedule E category and allocations agree, and no per-unit copies are created.</x:v>
      </x:c>
      <x:c r="N1251" s="35" t="str">
        <x:v>Source preview; review/form; expense detail; line items; Property/Unit ledger; audit; accounting/report delta.</x:v>
      </x:c>
      <x:c r="O1251" s="35" t="str">
        <x:v>On marked duplicate-invoice cases, re-upload before confirm and prove the product prevents or clearly warns about duplication.</x:v>
      </x:c>
      <x:c r="P1251" s="35" t="str">
        <x:v>All expected records and amounts match; no unexplained error or stale state.</x:v>
      </x:c>
    </x:row>
    <x:row r="1252">
      <x:c r="A1252" s="20" t="str">
        <x:v>RUN-20270815-07</x:v>
      </x:c>
      <x:c r="B1252" s="23" t="n">
        <x:v>46614</x:v>
      </x:c>
      <x:c r="C1252" s="32" t="n">
        <x:v>7</x:v>
      </x:c>
      <x:c r="D1252" s="20" t="str">
        <x:v>Weekly operations</x:v>
      </x:c>
      <x:c r="E1252" s="20" t="str">
        <x:v>Property Manager</x:v>
      </x:c>
      <x:c r="F1252" s="20" t="str">
        <x:v>Mobile</x:v>
      </x:c>
      <x:c r="G1252" s="20" t="str">
        <x:v>Scanned receipt/invoice</x:v>
      </x:c>
      <x:c r="H1252" s="35" t="str">
        <x:v>Record, review, allocate, and pay operating expense</x:v>
      </x:c>
      <x:c r="I1252" s="35" t="str">
        <x:v>P027; Property scope; </x:v>
      </x:c>
      <x:c r="J1252" s="35" t="str">
        <x:v>SCN-0649</x:v>
      </x:c>
      <x:c r="K1252" s="35" t="str">
        <x:v>FIN-01329</x:v>
      </x:c>
      <x:c r="L1252" s="35" t="str">
        <x:v>Capture or upload the source; verify vendor, date, scope, category, line items, tax, amount, and work-order link; confirm; open detail; verify attachment; compare Money and Property/Unit views.</x:v>
      </x:c>
      <x:c r="M1252" s="35" t="str">
        <x:v>One expense exists at its real operational scope, cash falls once, Schedule E category and allocations agree, and no per-unit copies are created.</x:v>
      </x:c>
      <x:c r="N1252" s="35" t="str">
        <x:v>Source preview; review/form; expense detail; line items; Property/Unit ledger; audit; accounting/report delta.</x:v>
      </x:c>
      <x:c r="O1252" s="35" t="str">
        <x:v>On marked duplicate-invoice cases, re-upload before confirm and prove the product prevents or clearly warns about duplication.</x:v>
      </x:c>
      <x:c r="P1252" s="35" t="str">
        <x:v>All expected records and amounts match; no unexplained error or stale state.</x:v>
      </x:c>
    </x:row>
    <x:row r="1253">
      <x:c r="A1253" s="20" t="str">
        <x:v>RUN-20270815-08</x:v>
      </x:c>
      <x:c r="B1253" s="23" t="n">
        <x:v>46614</x:v>
      </x:c>
      <x:c r="C1253" s="32" t="n">
        <x:v>8</x:v>
      </x:c>
      <x:c r="D1253" s="20" t="str">
        <x:v>Weekly operations</x:v>
      </x:c>
      <x:c r="E1253" s="20" t="str">
        <x:v>Property Manager</x:v>
      </x:c>
      <x:c r="F1253" s="20" t="str">
        <x:v>Web</x:v>
      </x:c>
      <x:c r="G1253" s="20" t="str">
        <x:v>Scanned receipt/invoice</x:v>
      </x:c>
      <x:c r="H1253" s="35" t="str">
        <x:v>Record, review, allocate, and pay operating expense</x:v>
      </x:c>
      <x:c r="I1253" s="35" t="str">
        <x:v>P028; Property scope; </x:v>
      </x:c>
      <x:c r="J1253" s="35" t="str">
        <x:v>SCN-0650</x:v>
      </x:c>
      <x:c r="K1253" s="35" t="str">
        <x:v>FIN-01330</x:v>
      </x:c>
      <x:c r="L1253" s="35" t="str">
        <x:v>Capture or upload the source; verify vendor, date, scope, category, line items, tax, amount, and work-order link; confirm; open detail; verify attachment; compare Money and Property/Unit views.</x:v>
      </x:c>
      <x:c r="M1253" s="35" t="str">
        <x:v>One expense exists at its real operational scope, cash falls once, Schedule E category and allocations agree, and no per-unit copies are created.</x:v>
      </x:c>
      <x:c r="N1253" s="35" t="str">
        <x:v>Source preview; review/form; expense detail; line items; Property/Unit ledger; audit; accounting/report delta.</x:v>
      </x:c>
      <x:c r="O1253" s="35" t="str">
        <x:v>On marked duplicate-invoice cases, re-upload before confirm and prove the product prevents or clearly warns about duplication.</x:v>
      </x:c>
      <x:c r="P1253" s="35" t="str">
        <x:v>All expected records and amounts match; no unexplained error or stale state.</x:v>
      </x:c>
    </x:row>
    <x:row r="1254">
      <x:c r="A1254" s="20" t="str">
        <x:v>RUN-20270815-09</x:v>
      </x:c>
      <x:c r="B1254" s="23" t="n">
        <x:v>46614</x:v>
      </x:c>
      <x:c r="C1254" s="32" t="n">
        <x:v>9</x:v>
      </x:c>
      <x:c r="D1254" s="20" t="str">
        <x:v>Weekly operations</x:v>
      </x:c>
      <x:c r="E1254" s="20" t="str">
        <x:v>Property Manager</x:v>
      </x:c>
      <x:c r="F1254" s="20" t="str">
        <x:v>Mobile</x:v>
      </x:c>
      <x:c r="G1254" s="20" t="str">
        <x:v>Scanned receipt/invoice</x:v>
      </x:c>
      <x:c r="H1254" s="35" t="str">
        <x:v>Record, review, allocate, and pay operating expense</x:v>
      </x:c>
      <x:c r="I1254" s="35" t="str">
        <x:v>P029; Property scope; </x:v>
      </x:c>
      <x:c r="J1254" s="35" t="str">
        <x:v>SCN-0651</x:v>
      </x:c>
      <x:c r="K1254" s="35" t="str">
        <x:v>FIN-01331</x:v>
      </x:c>
      <x:c r="L1254" s="35" t="str">
        <x:v>Capture or upload the source; verify vendor, date, scope, category, line items, tax, amount, and work-order link; confirm; open detail; verify attachment; compare Money and Property/Unit views.</x:v>
      </x:c>
      <x:c r="M1254" s="35" t="str">
        <x:v>One expense exists at its real operational scope, cash falls once, Schedule E category and allocations agree, and no per-unit copies are created.</x:v>
      </x:c>
      <x:c r="N1254" s="35" t="str">
        <x:v>Source preview; review/form; expense detail; line items; Property/Unit ledger; audit; accounting/report delta.</x:v>
      </x:c>
      <x:c r="O1254" s="35" t="str">
        <x:v>On marked duplicate-invoice cases, re-upload before confirm and prove the product prevents or clearly warns about duplication.</x:v>
      </x:c>
      <x:c r="P1254" s="35" t="str">
        <x:v>All expected records and amounts match; no unexplained error or stale state.</x:v>
      </x:c>
    </x:row>
    <x:row r="1255">
      <x:c r="A1255" s="20" t="str">
        <x:v>RUN-20270815-10</x:v>
      </x:c>
      <x:c r="B1255" s="23" t="n">
        <x:v>46614</x:v>
      </x:c>
      <x:c r="C1255" s="32" t="n">
        <x:v>10</x:v>
      </x:c>
      <x:c r="D1255" s="20" t="str">
        <x:v>Weekly operations</x:v>
      </x:c>
      <x:c r="E1255" s="20" t="str">
        <x:v>Property Manager</x:v>
      </x:c>
      <x:c r="F1255" s="20" t="str">
        <x:v>Web</x:v>
      </x:c>
      <x:c r="G1255" s="20" t="str">
        <x:v>Manual mobile form</x:v>
      </x:c>
      <x:c r="H1255" s="35" t="str">
        <x:v>Record, review, allocate, and pay operating expense</x:v>
      </x:c>
      <x:c r="I1255" s="35" t="str">
        <x:v>P030; Property scope; </x:v>
      </x:c>
      <x:c r="J1255" s="35" t="str"/>
      <x:c r="K1255" s="35" t="str">
        <x:v>FIN-01332</x:v>
      </x:c>
      <x:c r="L1255" s="35" t="str">
        <x:v>Capture or upload the source; verify vendor, date, scope, category, line items, tax, amount, and work-order link; confirm; open detail; verify attachment; compare Money and Property/Unit views.</x:v>
      </x:c>
      <x:c r="M1255" s="35" t="str">
        <x:v>One expense exists at its real operational scope, cash falls once, Schedule E category and allocations agree, and no per-unit copies are created.</x:v>
      </x:c>
      <x:c r="N1255" s="35" t="str">
        <x:v>Source preview; review/form; expense detail; line items; Property/Unit ledger; audit; accounting/report delta.</x:v>
      </x:c>
      <x:c r="O1255" s="35" t="str">
        <x:v>On marked duplicate-invoice cases, re-upload before confirm and prove the product prevents or clearly warns about duplication.</x:v>
      </x:c>
      <x:c r="P1255" s="35" t="str">
        <x:v>All expected records and amounts match; no unexplained error or stale state.</x:v>
      </x:c>
    </x:row>
    <x:row r="1256">
      <x:c r="A1256" s="20" t="str">
        <x:v>RUN-20270816-01</x:v>
      </x:c>
      <x:c r="B1256" s="23" t="n">
        <x:v>46615</x:v>
      </x:c>
      <x:c r="C1256" s="32" t="n">
        <x:v>1</x:v>
      </x:c>
      <x:c r="D1256" s="20" t="str">
        <x:v>Weekly operations</x:v>
      </x:c>
      <x:c r="E1256" s="20" t="str">
        <x:v>Property Manager</x:v>
      </x:c>
      <x:c r="F1256" s="20" t="str">
        <x:v>Mobile</x:v>
      </x:c>
      <x:c r="G1256" s="20" t="str">
        <x:v>Scan-first</x:v>
      </x:c>
      <x:c r="H1256" s="35" t="str">
        <x:v>Create and triage maintenance request</x:v>
      </x:c>
      <x:c r="I1256" s="35" t="str">
        <x:v>P026; U032; WO-2027-033</x:v>
      </x:c>
      <x:c r="J1256" s="35" t="str">
        <x:v>SCN-0405</x:v>
      </x:c>
      <x:c r="K1256" s="35" t="str"/>
      <x:c r="L1256" s="35" t="str">
        <x:v>Capture the tenant note/photo; review HVAC filter and no-cool call; confirm; set responsibility; dispatch Green Thumb Landscaping; create an appointment and verify the tenant notification.</x:v>
      </x:c>
      <x:c r="M1256" s="35" t="str">
        <x:v>Work order, status timeline, responsibility, vendor dispatch, appointment, notification, and Unit context are linked once.</x:v>
      </x:c>
      <x:c r="N1256" s="35" t="str">
        <x:v>Scan review; work order detail/timeline; dispatch; appointment; notification; tenant portal view.</x:v>
      </x:c>
      <x:c r="O1256" s="35" t="str">
        <x:v>Cancel one dispatch each quarter, reassign once, and prove status/history remains append-only.</x:v>
      </x:c>
      <x:c r="P1256" s="35" t="str">
        <x:v>All expected records and amounts match; no unexplained error or stale state.</x:v>
      </x:c>
    </x:row>
    <x:row r="1257">
      <x:c r="A1257" s="20" t="str">
        <x:v>RUN-20270816-02</x:v>
      </x:c>
      <x:c r="B1257" s="23" t="n">
        <x:v>46615</x:v>
      </x:c>
      <x:c r="C1257" s="32" t="n">
        <x:v>2</x:v>
      </x:c>
      <x:c r="D1257" s="20" t="str">
        <x:v>Role and screen certification</x:v>
      </x:c>
      <x:c r="E1257" s="20" t="str">
        <x:v>Workspace Administrator</x:v>
      </x:c>
      <x:c r="F1257" s="20" t="str">
        <x:v>Mobile</x:v>
      </x:c>
      <x:c r="G1257" s="20" t="str">
        <x:v>Normal persona navigation</x:v>
      </x:c>
      <x:c r="H1257" s="35" t="str">
        <x:v>Use every permitted action and state on features/home/more_tab.dart</x:v>
      </x:c>
      <x:c r="I1257" s="35" t="str">
        <x:v>SCR-121; ROLE-204</x:v>
      </x:c>
      <x:c r="J1257" s="35" t="str"/>
      <x:c r="K1257" s="35" t="str"/>
      <x:c r="L125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57" s="35" t="str">
        <x:v>The persona can use every allowed action with only its assigned properties/relationships. Hidden or disabled actions explain why; an adjacent unauthorized persona is denied without metadata leakage.</x:v>
      </x:c>
      <x:c r="N1257" s="35" t="str">
        <x:v>Persona/experience; navigation entry; desktop or device screenshots; result state; persisted read-back; audit/history; authorized and denied network result.</x:v>
      </x:c>
      <x:c r="O1257" s="35" t="str">
        <x:v>Open the direct URL or deep link with an adjacent unauthorized persona and with stale scope; both fail closed and land safely without mutation.</x:v>
      </x:c>
      <x:c r="P1257" s="35" t="str">
        <x:v>All expected records and amounts match; no unexplained error or stale state.</x:v>
      </x:c>
    </x:row>
    <x:row r="1258">
      <x:c r="A1258" s="20" t="str">
        <x:v>RUN-20270816-03</x:v>
      </x:c>
      <x:c r="B1258" s="23" t="n">
        <x:v>46615</x:v>
      </x:c>
      <x:c r="C1258" s="32" t="n">
        <x:v>3</x:v>
      </x:c>
      <x:c r="D1258" s="20" t="str">
        <x:v>Role and screen certification</x:v>
      </x:c>
      <x:c r="E1258" s="20" t="str">
        <x:v>Property Manager</x:v>
      </x:c>
      <x:c r="F1258" s="20" t="str">
        <x:v>Mobile</x:v>
      </x:c>
      <x:c r="G1258" s="20" t="str">
        <x:v>Normal persona navigation</x:v>
      </x:c>
      <x:c r="H1258" s="35" t="str">
        <x:v>Use every permitted action and state on features/home/more_tab.dart</x:v>
      </x:c>
      <x:c r="I1258" s="35" t="str">
        <x:v>SCR-121; ROLE-205</x:v>
      </x:c>
      <x:c r="J1258" s="35" t="str"/>
      <x:c r="K1258" s="35" t="str"/>
      <x:c r="L125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58" s="35" t="str">
        <x:v>The persona can use every allowed action with only its assigned properties/relationships. Hidden or disabled actions explain why; an adjacent unauthorized persona is denied without metadata leakage.</x:v>
      </x:c>
      <x:c r="N1258" s="35" t="str">
        <x:v>Persona/experience; navigation entry; desktop or device screenshots; result state; persisted read-back; audit/history; authorized and denied network result.</x:v>
      </x:c>
      <x:c r="O1258" s="35" t="str">
        <x:v>Open the direct URL or deep link with an adjacent unauthorized persona and with stale scope; both fail closed and land safely without mutation.</x:v>
      </x:c>
      <x:c r="P1258" s="35" t="str">
        <x:v>All expected records and amounts match; no unexplained error or stale state.</x:v>
      </x:c>
    </x:row>
    <x:row r="1259">
      <x:c r="A1259" s="20" t="str">
        <x:v>RUN-20270816-04</x:v>
      </x:c>
      <x:c r="B1259" s="23" t="n">
        <x:v>46615</x:v>
      </x:c>
      <x:c r="C1259" s="32" t="n">
        <x:v>4</x:v>
      </x:c>
      <x:c r="D1259" s="20" t="str">
        <x:v>Role and screen certification</x:v>
      </x:c>
      <x:c r="E1259" s="20" t="str">
        <x:v>Leasing Agent</x:v>
      </x:c>
      <x:c r="F1259" s="20" t="str">
        <x:v>Mobile</x:v>
      </x:c>
      <x:c r="G1259" s="20" t="str">
        <x:v>Normal persona navigation</x:v>
      </x:c>
      <x:c r="H1259" s="35" t="str">
        <x:v>Use every permitted action and state on features/home/more_tab.dart</x:v>
      </x:c>
      <x:c r="I1259" s="35" t="str">
        <x:v>SCR-121; ROLE-206</x:v>
      </x:c>
      <x:c r="J1259" s="35" t="str"/>
      <x:c r="K1259" s="35" t="str"/>
      <x:c r="L125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59" s="35" t="str">
        <x:v>The persona can use every allowed action with only its assigned properties/relationships. Hidden or disabled actions explain why; an adjacent unauthorized persona is denied without metadata leakage.</x:v>
      </x:c>
      <x:c r="N1259" s="35" t="str">
        <x:v>Persona/experience; navigation entry; desktop or device screenshots; result state; persisted read-back; audit/history; authorized and denied network result.</x:v>
      </x:c>
      <x:c r="O1259" s="35" t="str">
        <x:v>Open the direct URL or deep link with an adjacent unauthorized persona and with stale scope; both fail closed and land safely without mutation.</x:v>
      </x:c>
      <x:c r="P1259" s="35" t="str">
        <x:v>All expected records and amounts match; no unexplained error or stale state.</x:v>
      </x:c>
    </x:row>
    <x:row r="1260">
      <x:c r="A1260" s="20" t="str">
        <x:v>RUN-20270816-05</x:v>
      </x:c>
      <x:c r="B1260" s="23" t="n">
        <x:v>46615</x:v>
      </x:c>
      <x:c r="C1260" s="32" t="n">
        <x:v>5</x:v>
      </x:c>
      <x:c r="D1260" s="20" t="str">
        <x:v>Role and screen certification</x:v>
      </x:c>
      <x:c r="E1260" s="20" t="str">
        <x:v>Maintenance Technician</x:v>
      </x:c>
      <x:c r="F1260" s="20" t="str">
        <x:v>Mobile</x:v>
      </x:c>
      <x:c r="G1260" s="20" t="str">
        <x:v>Normal persona navigation</x:v>
      </x:c>
      <x:c r="H1260" s="35" t="str">
        <x:v>Use every permitted action and state on features/home/more_tab.dart</x:v>
      </x:c>
      <x:c r="I1260" s="35" t="str">
        <x:v>SCR-121; ROLE-207</x:v>
      </x:c>
      <x:c r="J1260" s="35" t="str"/>
      <x:c r="K1260" s="35" t="str"/>
      <x:c r="L126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60" s="35" t="str">
        <x:v>The persona can use every allowed action with only its assigned properties/relationships. Hidden or disabled actions explain why; an adjacent unauthorized persona is denied without metadata leakage.</x:v>
      </x:c>
      <x:c r="N1260" s="35" t="str">
        <x:v>Persona/experience; navigation entry; desktop or device screenshots; result state; persisted read-back; audit/history; authorized and denied network result.</x:v>
      </x:c>
      <x:c r="O1260" s="35" t="str">
        <x:v>Open the direct URL or deep link with an adjacent unauthorized persona and with stale scope; both fail closed and land safely without mutation.</x:v>
      </x:c>
      <x:c r="P1260" s="35" t="str">
        <x:v>All expected records and amounts match; no unexplained error or stale state.</x:v>
      </x:c>
    </x:row>
    <x:row r="1261">
      <x:c r="A1261" s="20" t="str">
        <x:v>RUN-20270816-06</x:v>
      </x:c>
      <x:c r="B1261" s="23" t="n">
        <x:v>46615</x:v>
      </x:c>
      <x:c r="C1261" s="32" t="n">
        <x:v>6</x:v>
      </x:c>
      <x:c r="D1261" s="20" t="str">
        <x:v>Role and screen certification</x:v>
      </x:c>
      <x:c r="E1261" s="20" t="str">
        <x:v>Owner</x:v>
      </x:c>
      <x:c r="F1261" s="20" t="str">
        <x:v>Mobile</x:v>
      </x:c>
      <x:c r="G1261" s="20" t="str">
        <x:v>Normal persona navigation</x:v>
      </x:c>
      <x:c r="H1261" s="35" t="str">
        <x:v>Use every permitted action and state on features/home/more_tab.dart</x:v>
      </x:c>
      <x:c r="I1261" s="35" t="str">
        <x:v>SCR-121; ROLE-208</x:v>
      </x:c>
      <x:c r="J1261" s="35" t="str"/>
      <x:c r="K1261" s="35" t="str"/>
      <x:c r="L126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61" s="35" t="str">
        <x:v>The persona can use every allowed action with only its assigned properties/relationships. Hidden or disabled actions explain why; an adjacent unauthorized persona is denied without metadata leakage.</x:v>
      </x:c>
      <x:c r="N1261" s="35" t="str">
        <x:v>Persona/experience; navigation entry; desktop or device screenshots; result state; persisted read-back; audit/history; authorized and denied network result.</x:v>
      </x:c>
      <x:c r="O1261" s="35" t="str">
        <x:v>Open the direct URL or deep link with an adjacent unauthorized persona and with stale scope; both fail closed and land safely without mutation.</x:v>
      </x:c>
      <x:c r="P1261" s="35" t="str">
        <x:v>All expected records and amounts match; no unexplained error or stale state.</x:v>
      </x:c>
    </x:row>
    <x:row r="1262">
      <x:c r="A1262" s="20" t="str">
        <x:v>RUN-20270816-07</x:v>
      </x:c>
      <x:c r="B1262" s="23" t="n">
        <x:v>46615</x:v>
      </x:c>
      <x:c r="C1262" s="32" t="n">
        <x:v>7</x:v>
      </x:c>
      <x:c r="D1262" s="20" t="str">
        <x:v>Role and screen certification</x:v>
      </x:c>
      <x:c r="E1262" s="20" t="str">
        <x:v>Tenant</x:v>
      </x:c>
      <x:c r="F1262" s="20" t="str">
        <x:v>Mobile</x:v>
      </x:c>
      <x:c r="G1262" s="20" t="str">
        <x:v>Normal persona navigation</x:v>
      </x:c>
      <x:c r="H1262" s="35" t="str">
        <x:v>Use every permitted action and state on features/home/more_tab.dart</x:v>
      </x:c>
      <x:c r="I1262" s="35" t="str">
        <x:v>SCR-121; ROLE-209</x:v>
      </x:c>
      <x:c r="J1262" s="35" t="str"/>
      <x:c r="K1262" s="35" t="str"/>
      <x:c r="L126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62" s="35" t="str">
        <x:v>The persona can use every allowed action with only its assigned properties/relationships. Hidden or disabled actions explain why; an adjacent unauthorized persona is denied without metadata leakage.</x:v>
      </x:c>
      <x:c r="N1262" s="35" t="str">
        <x:v>Persona/experience; navigation entry; desktop or device screenshots; result state; persisted read-back; audit/history; authorized and denied network result.</x:v>
      </x:c>
      <x:c r="O1262" s="35" t="str">
        <x:v>Open the direct URL or deep link with an adjacent unauthorized persona and with stale scope; both fail closed and land safely without mutation.</x:v>
      </x:c>
      <x:c r="P1262" s="35" t="str">
        <x:v>All expected records and amounts match; no unexplained error or stale state.</x:v>
      </x:c>
    </x:row>
    <x:row r="1263">
      <x:c r="A1263" s="20" t="str">
        <x:v>RUN-20270816-08</x:v>
      </x:c>
      <x:c r="B1263" s="23" t="n">
        <x:v>46615</x:v>
      </x:c>
      <x:c r="C1263" s="32" t="n">
        <x:v>8</x:v>
      </x:c>
      <x:c r="D1263" s="20" t="str">
        <x:v>Field certification</x:v>
      </x:c>
      <x:c r="E1263" s="20" t="str">
        <x:v>Property Manager</x:v>
      </x:c>
      <x:c r="F1263" s="20" t="str">
        <x:v>Web</x:v>
      </x:c>
      <x:c r="G1263" s="20" t="str">
        <x:v>Manual field-by-field</x:v>
      </x:c>
      <x:c r="H1263" s="35" t="str">
        <x:v>Fill, save, reload, edit, and validate every declared field on /scan/[draftId]</x:v>
      </x:c>
      <x:c r="I1263" s="35" t="str">
        <x:v>FLD-0656; FLD-0657; FLD-0658; FLD-0659; FLD-0660</x:v>
      </x:c>
      <x:c r="J1263" s="35" t="str"/>
      <x:c r="K1263" s="35" t="str"/>
      <x:c r="L1263" s="35" t="str">
        <x:v>Use the source-derived Field Inventory. Enter non-default realistic values in every control (Select-31; lease-term-{term.name}; selectedPropertyId; scan-application-property-select; Select-36); submit; reload or relaunch; compare every value; edit each mutable field; verify the paired client; then run required, format, length, range, boundary, optional-null, and stale-submit checks.</x:v>
      </x:c>
      <x:c r="M1263" s="35" t="str">
        <x:v>All 5 inventoried controls persist exact normalized values, invalid values stay unsaved with clear errors, and hidden/unauthorized fields cannot be altered.</x:v>
      </x:c>
      <x:c r="N1263" s="35" t="str">
        <x:v>Before/after form screenshots; FLD IDs; API response; reloaded UI; paired-client read-back; database/audit evidence; negative validation result.</x:v>
      </x:c>
      <x:c r="O1263" s="35" t="str">
        <x:v>Use a duplicate submit and one simulated network interruption; one atomic mutation or none, never partial state.</x:v>
      </x:c>
      <x:c r="P1263" s="35" t="str">
        <x:v>All expected records and amounts match; no unexplained error or stale state.</x:v>
      </x:c>
    </x:row>
    <x:row r="1264">
      <x:c r="A1264" s="20" t="str">
        <x:v>RUN-20270816-09</x:v>
      </x:c>
      <x:c r="B1264" s="23" t="n">
        <x:v>46615</x:v>
      </x:c>
      <x:c r="C1264" s="32" t="n">
        <x:v>9</x:v>
      </x:c>
      <x:c r="D1264" s="20" t="str">
        <x:v>Surface coverage</x:v>
      </x:c>
      <x:c r="E1264" s="20" t="str">
        <x:v>Role appropriate to surface</x:v>
      </x:c>
      <x:c r="F1264" s="20" t="str">
        <x:v>Web</x:v>
      </x:c>
      <x:c r="G1264" s="20" t="str">
        <x:v>Manual</x:v>
      </x:c>
      <x:c r="H1264" s="35" t="str">
        <x:v>Manual web pass: Appointment create/edit/confirm/cancel</x:v>
      </x:c>
      <x:c r="I1264" s="35" t="str">
        <x:v>COV-029</x:v>
      </x:c>
      <x:c r="J1264" s="35" t="str"/>
      <x:c r="K1264" s="35" t="str"/>
      <x:c r="L1264" s="35" t="str">
        <x:v>Create on web/mobile, tenant confirm/cancel, staff reschedule, filters, reminders, and timezone boundaries.</x:v>
      </x:c>
      <x:c r="M1264" s="35" t="str">
        <x:v>The supported workflow completes and persists correctly; if the capability is absent, the exact gap is proven and queued rather than silently skipped.</x:v>
      </x:c>
      <x:c r="N1264" s="35" t="str">
        <x:v>Real UI screenshot/state; submitted values; persisted read-back; cross-client read-back; audit/role/access evidence.</x:v>
      </x:c>
      <x:c r="O1264" s="35" t="str">
        <x:v>Use one invalid value, stale-state retry, or duplicate submission relevant to the form; no partial or duplicate mutation.</x:v>
      </x:c>
      <x:c r="P1264" s="35" t="str">
        <x:v>All expected records and amounts match; no unexplained error or stale state.</x:v>
      </x:c>
    </x:row>
    <x:row r="1265">
      <x:c r="A1265" s="20" t="str">
        <x:v>RUN-20270817-01</x:v>
      </x:c>
      <x:c r="B1265" s="23" t="n">
        <x:v>46616</x:v>
      </x:c>
      <x:c r="C1265" s="32" t="n">
        <x:v>1</x:v>
      </x:c>
      <x:c r="D1265" s="20" t="str">
        <x:v>Weekly operations</x:v>
      </x:c>
      <x:c r="E1265" s="20" t="str">
        <x:v>Property Manager</x:v>
      </x:c>
      <x:c r="F1265" s="20" t="str">
        <x:v>Mobile</x:v>
      </x:c>
      <x:c r="G1265" s="20" t="str">
        <x:v>Scanned receipt/invoice</x:v>
      </x:c>
      <x:c r="H1265" s="35" t="str">
        <x:v>Record, review, allocate, and pay operating expense</x:v>
      </x:c>
      <x:c r="I1265" s="35" t="str">
        <x:v>P026; U032; WO-2027-033</x:v>
      </x:c>
      <x:c r="J1265" s="35" t="str">
        <x:v>SCN-0406</x:v>
      </x:c>
      <x:c r="K1265" s="35" t="str">
        <x:v>FIN-01056</x:v>
      </x:c>
      <x:c r="L1265" s="35" t="str">
        <x:v>Capture or upload the source; verify vendor, date, scope, category, line items, tax, amount, and work-order link; confirm; open detail; verify attachment; compare Money and Property/Unit views.</x:v>
      </x:c>
      <x:c r="M1265" s="35" t="str">
        <x:v>One expense exists at its real operational scope, cash falls once, Schedule E category and allocations agree, and no per-unit copies are created.</x:v>
      </x:c>
      <x:c r="N1265" s="35" t="str">
        <x:v>Source preview; review/form; expense detail; line items; Property/Unit ledger; audit; accounting/report delta.</x:v>
      </x:c>
      <x:c r="O1265" s="35" t="str">
        <x:v>On marked duplicate-invoice cases, re-upload before confirm and prove the product prevents or clearly warns about duplication.</x:v>
      </x:c>
      <x:c r="P1265" s="35" t="str">
        <x:v>All expected records and amounts match; no unexplained error or stale state.</x:v>
      </x:c>
    </x:row>
    <x:row r="1266">
      <x:c r="A1266" s="20" t="str">
        <x:v>RUN-20270817-02</x:v>
      </x:c>
      <x:c r="B1266" s="23" t="n">
        <x:v>46616</x:v>
      </x:c>
      <x:c r="C1266" s="32" t="n">
        <x:v>2</x:v>
      </x:c>
      <x:c r="D1266" s="20" t="str">
        <x:v>Field certification</x:v>
      </x:c>
      <x:c r="E1266" s="20" t="str">
        <x:v>Property Manager</x:v>
      </x:c>
      <x:c r="F1266" s="20" t="str">
        <x:v>Web</x:v>
      </x:c>
      <x:c r="G1266" s="20" t="str">
        <x:v>Manual field-by-field</x:v>
      </x:c>
      <x:c r="H1266" s="35" t="str">
        <x:v>Fill, save, reload, edit, and validate every declared field on /scan/[draftId]</x:v>
      </x:c>
      <x:c r="I1266" s="35" t="str">
        <x:v>FLD-0661; FLD-0662; FLD-0663; FLD-0664</x:v>
      </x:c>
      <x:c r="J1266" s="35" t="str"/>
      <x:c r="K1266" s="35" t="str"/>
      <x:c r="L1266" s="35" t="str">
        <x:v>Use the source-derived Field Inventory. Enter non-default realistic values in every control (Select-37; Select-38; application-{appField.name}; scan-loan-property-select); submit; reload or relaunch; compare every value; edit each mutable field; verify the paired client; then run required, format, length, range, boundary, optional-null, and stale-submit checks.</x:v>
      </x:c>
      <x:c r="M1266" s="35" t="str">
        <x:v>All 4 inventoried controls persist exact normalized values, invalid values stay unsaved with clear errors, and hidden/unauthorized fields cannot be altered.</x:v>
      </x:c>
      <x:c r="N1266" s="35" t="str">
        <x:v>Before/after form screenshots; FLD IDs; API response; reloaded UI; paired-client read-back; database/audit evidence; negative validation result.</x:v>
      </x:c>
      <x:c r="O1266" s="35" t="str">
        <x:v>Use a duplicate submit and one simulated network interruption; one atomic mutation or none, never partial state.</x:v>
      </x:c>
      <x:c r="P1266" s="35" t="str">
        <x:v>All expected records and amounts match; no unexplained error or stale state.</x:v>
      </x:c>
    </x:row>
    <x:row r="1267">
      <x:c r="A1267" s="20" t="str">
        <x:v>RUN-20270818-01</x:v>
      </x:c>
      <x:c r="B1267" s="23" t="n">
        <x:v>46617</x:v>
      </x:c>
      <x:c r="C1267" s="32" t="n">
        <x:v>1</x:v>
      </x:c>
      <x:c r="D1267" s="20" t="str">
        <x:v>Weekly operations</x:v>
      </x:c>
      <x:c r="E1267" s="20" t="str">
        <x:v>Property Manager</x:v>
      </x:c>
      <x:c r="F1267" s="20" t="str">
        <x:v>Web</x:v>
      </x:c>
      <x:c r="G1267" s="20" t="str">
        <x:v>Scanned receipt/invoice</x:v>
      </x:c>
      <x:c r="H1267" s="35" t="str">
        <x:v>Record, review, allocate, and pay operating expense</x:v>
      </x:c>
      <x:c r="I1267" s="35" t="str">
        <x:v>P008; Property scope; </x:v>
      </x:c>
      <x:c r="J1267" s="35" t="str">
        <x:v>SCN-0819</x:v>
      </x:c>
      <x:c r="K1267" s="35" t="str">
        <x:v>FIN-01535</x:v>
      </x:c>
      <x:c r="L1267" s="35" t="str">
        <x:v>Capture or upload the source; verify vendor, date, scope, category, line items, tax, amount, and work-order link; confirm; open detail; verify attachment; compare Money and Property/Unit views.</x:v>
      </x:c>
      <x:c r="M1267" s="35" t="str">
        <x:v>One expense exists at its real operational scope, cash falls once, Schedule E category and allocations agree, and no per-unit copies are created.</x:v>
      </x:c>
      <x:c r="N1267" s="35" t="str">
        <x:v>Source preview; review/form; expense detail; line items; Property/Unit ledger; audit; accounting/report delta.</x:v>
      </x:c>
      <x:c r="O1267" s="35" t="str">
        <x:v>On marked duplicate-invoice cases, re-upload before confirm and prove the product prevents or clearly warns about duplication.</x:v>
      </x:c>
      <x:c r="P1267" s="35" t="str">
        <x:v>All expected records and amounts match; no unexplained error or stale state.</x:v>
      </x:c>
    </x:row>
    <x:row r="1268">
      <x:c r="A1268" s="20" t="str">
        <x:v>RUN-20270818-02</x:v>
      </x:c>
      <x:c r="B1268" s="23" t="n">
        <x:v>46617</x:v>
      </x:c>
      <x:c r="C1268" s="32" t="n">
        <x:v>2</x:v>
      </x:c>
      <x:c r="D1268" s="20" t="str">
        <x:v>Weekly operations</x:v>
      </x:c>
      <x:c r="E1268" s="20" t="str">
        <x:v>Property Manager</x:v>
      </x:c>
      <x:c r="F1268" s="20" t="str">
        <x:v>Web</x:v>
      </x:c>
      <x:c r="G1268" s="20" t="str">
        <x:v>Manual mobile form</x:v>
      </x:c>
      <x:c r="H1268" s="35" t="str">
        <x:v>Record, review, allocate, and pay operating expense</x:v>
      </x:c>
      <x:c r="I1268" s="35" t="str">
        <x:v>P020; Property scope; </x:v>
      </x:c>
      <x:c r="J1268" s="35" t="str"/>
      <x:c r="K1268" s="35" t="str">
        <x:v>FIN-01595</x:v>
      </x:c>
      <x:c r="L1268" s="35" t="str">
        <x:v>Capture or upload the source; verify vendor, date, scope, category, line items, tax, amount, and work-order link; confirm; open detail; verify attachment; compare Money and Property/Unit views.</x:v>
      </x:c>
      <x:c r="M1268" s="35" t="str">
        <x:v>One expense exists at its real operational scope, cash falls once, Schedule E category and allocations agree, and no per-unit copies are created.</x:v>
      </x:c>
      <x:c r="N1268" s="35" t="str">
        <x:v>Source preview; review/form; expense detail; line items; Property/Unit ledger; audit; accounting/report delta.</x:v>
      </x:c>
      <x:c r="O1268" s="35" t="str">
        <x:v>On marked duplicate-invoice cases, re-upload before confirm and prove the product prevents or clearly warns about duplication.</x:v>
      </x:c>
      <x:c r="P1268" s="35" t="str">
        <x:v>All expected records and amounts match; no unexplained error or stale state.</x:v>
      </x:c>
    </x:row>
    <x:row r="1269">
      <x:c r="A1269" s="20" t="str">
        <x:v>RUN-20270818-03</x:v>
      </x:c>
      <x:c r="B1269" s="23" t="n">
        <x:v>46617</x:v>
      </x:c>
      <x:c r="C1269" s="32" t="n">
        <x:v>3</x:v>
      </x:c>
      <x:c r="D1269" s="20" t="str">
        <x:v>Role and screen certification</x:v>
      </x:c>
      <x:c r="E1269" s="20" t="str">
        <x:v>Workspace Administrator</x:v>
      </x:c>
      <x:c r="F1269" s="20" t="str">
        <x:v>Mobile</x:v>
      </x:c>
      <x:c r="G1269" s="20" t="str">
        <x:v>Normal persona navigation</x:v>
      </x:c>
      <x:c r="H1269" s="35" t="str">
        <x:v>Use every permitted action and state on features/home/owner_landing_screen.dart</x:v>
      </x:c>
      <x:c r="I1269" s="35" t="str">
        <x:v>SCR-122; ROLE-210</x:v>
      </x:c>
      <x:c r="J1269" s="35" t="str"/>
      <x:c r="K1269" s="35" t="str"/>
      <x:c r="L126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69" s="35" t="str">
        <x:v>The persona can use every allowed action with only its assigned properties/relationships. Hidden or disabled actions explain why; an adjacent unauthorized persona is denied without metadata leakage.</x:v>
      </x:c>
      <x:c r="N1269" s="35" t="str">
        <x:v>Persona/experience; navigation entry; desktop or device screenshots; result state; persisted read-back; audit/history; authorized and denied network result.</x:v>
      </x:c>
      <x:c r="O1269" s="35" t="str">
        <x:v>Open the direct URL or deep link with an adjacent unauthorized persona and with stale scope; both fail closed and land safely without mutation.</x:v>
      </x:c>
      <x:c r="P1269" s="35" t="str">
        <x:v>All expected records and amounts match; no unexplained error or stale state.</x:v>
      </x:c>
    </x:row>
    <x:row r="1270">
      <x:c r="A1270" s="20" t="str">
        <x:v>RUN-20270818-04</x:v>
      </x:c>
      <x:c r="B1270" s="23" t="n">
        <x:v>46617</x:v>
      </x:c>
      <x:c r="C1270" s="32" t="n">
        <x:v>4</x:v>
      </x:c>
      <x:c r="D1270" s="20" t="str">
        <x:v>Role and screen certification</x:v>
      </x:c>
      <x:c r="E1270" s="20" t="str">
        <x:v>Property Manager</x:v>
      </x:c>
      <x:c r="F1270" s="20" t="str">
        <x:v>Mobile</x:v>
      </x:c>
      <x:c r="G1270" s="20" t="str">
        <x:v>Normal persona navigation</x:v>
      </x:c>
      <x:c r="H1270" s="35" t="str">
        <x:v>Use every permitted action and state on features/home/owner_landing_screen.dart</x:v>
      </x:c>
      <x:c r="I1270" s="35" t="str">
        <x:v>SCR-122; ROLE-211</x:v>
      </x:c>
      <x:c r="J1270" s="35" t="str"/>
      <x:c r="K1270" s="35" t="str"/>
      <x:c r="L12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0" s="35" t="str">
        <x:v>The persona can use every allowed action with only its assigned properties/relationships. Hidden or disabled actions explain why; an adjacent unauthorized persona is denied without metadata leakage.</x:v>
      </x:c>
      <x:c r="N1270" s="35" t="str">
        <x:v>Persona/experience; navigation entry; desktop or device screenshots; result state; persisted read-back; audit/history; authorized and denied network result.</x:v>
      </x:c>
      <x:c r="O1270" s="35" t="str">
        <x:v>Open the direct URL or deep link with an adjacent unauthorized persona and with stale scope; both fail closed and land safely without mutation.</x:v>
      </x:c>
      <x:c r="P1270" s="35" t="str">
        <x:v>All expected records and amounts match; no unexplained error or stale state.</x:v>
      </x:c>
    </x:row>
    <x:row r="1271">
      <x:c r="A1271" s="20" t="str">
        <x:v>RUN-20270818-05</x:v>
      </x:c>
      <x:c r="B1271" s="23" t="n">
        <x:v>46617</x:v>
      </x:c>
      <x:c r="C1271" s="32" t="n">
        <x:v>5</x:v>
      </x:c>
      <x:c r="D1271" s="20" t="str">
        <x:v>Role and screen certification</x:v>
      </x:c>
      <x:c r="E1271" s="20" t="str">
        <x:v>Leasing Agent</x:v>
      </x:c>
      <x:c r="F1271" s="20" t="str">
        <x:v>Mobile</x:v>
      </x:c>
      <x:c r="G1271" s="20" t="str">
        <x:v>Normal persona navigation</x:v>
      </x:c>
      <x:c r="H1271" s="35" t="str">
        <x:v>Use every permitted action and state on features/home/owner_landing_screen.dart</x:v>
      </x:c>
      <x:c r="I1271" s="35" t="str">
        <x:v>SCR-122; ROLE-212</x:v>
      </x:c>
      <x:c r="J1271" s="35" t="str"/>
      <x:c r="K1271" s="35" t="str"/>
      <x:c r="L127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1" s="35" t="str">
        <x:v>The persona can use every allowed action with only its assigned properties/relationships. Hidden or disabled actions explain why; an adjacent unauthorized persona is denied without metadata leakage.</x:v>
      </x:c>
      <x:c r="N1271" s="35" t="str">
        <x:v>Persona/experience; navigation entry; desktop or device screenshots; result state; persisted read-back; audit/history; authorized and denied network result.</x:v>
      </x:c>
      <x:c r="O1271" s="35" t="str">
        <x:v>Open the direct URL or deep link with an adjacent unauthorized persona and with stale scope; both fail closed and land safely without mutation.</x:v>
      </x:c>
      <x:c r="P1271" s="35" t="str">
        <x:v>All expected records and amounts match; no unexplained error or stale state.</x:v>
      </x:c>
    </x:row>
    <x:row r="1272">
      <x:c r="A1272" s="20" t="str">
        <x:v>RUN-20270818-06</x:v>
      </x:c>
      <x:c r="B1272" s="23" t="n">
        <x:v>46617</x:v>
      </x:c>
      <x:c r="C1272" s="32" t="n">
        <x:v>6</x:v>
      </x:c>
      <x:c r="D1272" s="20" t="str">
        <x:v>Role and screen certification</x:v>
      </x:c>
      <x:c r="E1272" s="20" t="str">
        <x:v>Maintenance Technician</x:v>
      </x:c>
      <x:c r="F1272" s="20" t="str">
        <x:v>Mobile</x:v>
      </x:c>
      <x:c r="G1272" s="20" t="str">
        <x:v>Normal persona navigation</x:v>
      </x:c>
      <x:c r="H1272" s="35" t="str">
        <x:v>Use every permitted action and state on features/home/owner_landing_screen.dart</x:v>
      </x:c>
      <x:c r="I1272" s="35" t="str">
        <x:v>SCR-122; ROLE-213</x:v>
      </x:c>
      <x:c r="J1272" s="35" t="str"/>
      <x:c r="K1272" s="35" t="str"/>
      <x:c r="L127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2" s="35" t="str">
        <x:v>The persona can use every allowed action with only its assigned properties/relationships. Hidden or disabled actions explain why; an adjacent unauthorized persona is denied without metadata leakage.</x:v>
      </x:c>
      <x:c r="N1272" s="35" t="str">
        <x:v>Persona/experience; navigation entry; desktop or device screenshots; result state; persisted read-back; audit/history; authorized and denied network result.</x:v>
      </x:c>
      <x:c r="O1272" s="35" t="str">
        <x:v>Open the direct URL or deep link with an adjacent unauthorized persona and with stale scope; both fail closed and land safely without mutation.</x:v>
      </x:c>
      <x:c r="P1272" s="35" t="str">
        <x:v>All expected records and amounts match; no unexplained error or stale state.</x:v>
      </x:c>
    </x:row>
    <x:row r="1273">
      <x:c r="A1273" s="20" t="str">
        <x:v>RUN-20270818-07</x:v>
      </x:c>
      <x:c r="B1273" s="23" t="n">
        <x:v>46617</x:v>
      </x:c>
      <x:c r="C1273" s="32" t="n">
        <x:v>7</x:v>
      </x:c>
      <x:c r="D1273" s="20" t="str">
        <x:v>Role and screen certification</x:v>
      </x:c>
      <x:c r="E1273" s="20" t="str">
        <x:v>Owner</x:v>
      </x:c>
      <x:c r="F1273" s="20" t="str">
        <x:v>Mobile</x:v>
      </x:c>
      <x:c r="G1273" s="20" t="str">
        <x:v>Normal persona navigation</x:v>
      </x:c>
      <x:c r="H1273" s="35" t="str">
        <x:v>Use every permitted action and state on features/home/owner_landing_screen.dart</x:v>
      </x:c>
      <x:c r="I1273" s="35" t="str">
        <x:v>SCR-122; ROLE-214</x:v>
      </x:c>
      <x:c r="J1273" s="35" t="str"/>
      <x:c r="K1273" s="35" t="str"/>
      <x:c r="L127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3" s="35" t="str">
        <x:v>The persona can use every allowed action with only its assigned properties/relationships. Hidden or disabled actions explain why; an adjacent unauthorized persona is denied without metadata leakage.</x:v>
      </x:c>
      <x:c r="N1273" s="35" t="str">
        <x:v>Persona/experience; navigation entry; desktop or device screenshots; result state; persisted read-back; audit/history; authorized and denied network result.</x:v>
      </x:c>
      <x:c r="O1273" s="35" t="str">
        <x:v>Open the direct URL or deep link with an adjacent unauthorized persona and with stale scope; both fail closed and land safely without mutation.</x:v>
      </x:c>
      <x:c r="P1273" s="35" t="str">
        <x:v>All expected records and amounts match; no unexplained error or stale state.</x:v>
      </x:c>
    </x:row>
    <x:row r="1274">
      <x:c r="A1274" s="20" t="str">
        <x:v>RUN-20270818-08</x:v>
      </x:c>
      <x:c r="B1274" s="23" t="n">
        <x:v>46617</x:v>
      </x:c>
      <x:c r="C1274" s="32" t="n">
        <x:v>8</x:v>
      </x:c>
      <x:c r="D1274" s="20" t="str">
        <x:v>Role and screen certification</x:v>
      </x:c>
      <x:c r="E1274" s="20" t="str">
        <x:v>Tenant</x:v>
      </x:c>
      <x:c r="F1274" s="20" t="str">
        <x:v>Mobile</x:v>
      </x:c>
      <x:c r="G1274" s="20" t="str">
        <x:v>Normal persona navigation</x:v>
      </x:c>
      <x:c r="H1274" s="35" t="str">
        <x:v>Use every permitted action and state on features/home/owner_landing_screen.dart</x:v>
      </x:c>
      <x:c r="I1274" s="35" t="str">
        <x:v>SCR-122; ROLE-215</x:v>
      </x:c>
      <x:c r="J1274" s="35" t="str"/>
      <x:c r="K1274" s="35" t="str"/>
      <x:c r="L127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4" s="35" t="str">
        <x:v>The persona can use every allowed action with only its assigned properties/relationships. Hidden or disabled actions explain why; an adjacent unauthorized persona is denied without metadata leakage.</x:v>
      </x:c>
      <x:c r="N1274" s="35" t="str">
        <x:v>Persona/experience; navigation entry; desktop or device screenshots; result state; persisted read-back; audit/history; authorized and denied network result.</x:v>
      </x:c>
      <x:c r="O1274" s="35" t="str">
        <x:v>Open the direct URL or deep link with an adjacent unauthorized persona and with stale scope; both fail closed and land safely without mutation.</x:v>
      </x:c>
      <x:c r="P1274" s="35" t="str">
        <x:v>All expected records and amounts match; no unexplained error or stale state.</x:v>
      </x:c>
    </x:row>
    <x:row r="1275">
      <x:c r="A1275" s="20" t="str">
        <x:v>RUN-20270818-09</x:v>
      </x:c>
      <x:c r="B1275" s="23" t="n">
        <x:v>46617</x:v>
      </x:c>
      <x:c r="C1275" s="32" t="n">
        <x:v>9</x:v>
      </x:c>
      <x:c r="D1275" s="20" t="str">
        <x:v>Field certification</x:v>
      </x:c>
      <x:c r="E1275" s="20" t="str">
        <x:v>Property Manager</x:v>
      </x:c>
      <x:c r="F1275" s="20" t="str">
        <x:v>Web</x:v>
      </x:c>
      <x:c r="G1275" s="20" t="str">
        <x:v>Manual field-by-field</x:v>
      </x:c>
      <x:c r="H1275" s="35" t="str">
        <x:v>Fill, save, reload, edit, and validate every declared field on /scan/[draftId]</x:v>
      </x:c>
      <x:c r="I1275" s="35" t="str">
        <x:v>FLD-0665; FLD-0666; FLD-0667; FLD-0668; FLD-0669</x:v>
      </x:c>
      <x:c r="J1275" s="35" t="str"/>
      <x:c r="K1275" s="35" t="str"/>
      <x:c r="L1275" s="35" t="str">
        <x:v>Use the source-derived Field Inventory. Enter non-default realistic values in every control (Select-43; Select-44; Select-45; loan-{loanField.name}; scan-loan-escrow-taxes); submit; reload or relaunch; compare every value; edit each mutable field; verify the paired client; then run required, format, length, range, boundary, optional-null, and stale-submit checks.</x:v>
      </x:c>
      <x:c r="M1275" s="35" t="str">
        <x:v>All 5 inventoried controls persist exact normalized values, invalid values stay unsaved with clear errors, and hidden/unauthorized fields cannot be altered.</x:v>
      </x:c>
      <x:c r="N1275" s="35" t="str">
        <x:v>Before/after form screenshots; FLD IDs; API response; reloaded UI; paired-client read-back; database/audit evidence; negative validation result.</x:v>
      </x:c>
      <x:c r="O1275" s="35" t="str">
        <x:v>Use a duplicate submit and one simulated network interruption; one atomic mutation or none, never partial state.</x:v>
      </x:c>
      <x:c r="P1275" s="35" t="str">
        <x:v>All expected records and amounts match; no unexplained error or stale state.</x:v>
      </x:c>
    </x:row>
    <x:row r="1276">
      <x:c r="A1276" s="20" t="str">
        <x:v>RUN-20270818-10</x:v>
      </x:c>
      <x:c r="B1276" s="23" t="n">
        <x:v>46617</x:v>
      </x:c>
      <x:c r="C1276" s="32" t="n">
        <x:v>10</x:v>
      </x:c>
      <x:c r="D1276" s="20" t="str">
        <x:v>Surface coverage</x:v>
      </x:c>
      <x:c r="E1276" s="20" t="str">
        <x:v>Role appropriate to surface</x:v>
      </x:c>
      <x:c r="F1276" s="20" t="str">
        <x:v>Mobile</x:v>
      </x:c>
      <x:c r="G1276" s="20" t="str">
        <x:v>Manual</x:v>
      </x:c>
      <x:c r="H1276" s="35" t="str">
        <x:v>Manual mobile pass: Appointment create/edit/confirm/cancel</x:v>
      </x:c>
      <x:c r="I1276" s="35" t="str">
        <x:v>COV-029</x:v>
      </x:c>
      <x:c r="J1276" s="35" t="str"/>
      <x:c r="K1276" s="35" t="str"/>
      <x:c r="L1276" s="35" t="str">
        <x:v>Create on web/mobile, tenant confirm/cancel, staff reschedule, filters, reminders, and timezone boundaries.</x:v>
      </x:c>
      <x:c r="M1276" s="35" t="str">
        <x:v>The supported workflow completes and persists correctly; if the capability is absent, the exact gap is proven and queued rather than silently skipped.</x:v>
      </x:c>
      <x:c r="N1276" s="35" t="str">
        <x:v>Real UI screenshot/state; submitted values; persisted read-back; cross-client read-back; audit/role/access evidence.</x:v>
      </x:c>
      <x:c r="O1276" s="35" t="str">
        <x:v>Use one invalid value, stale-state retry, or duplicate submission relevant to the form; no partial or duplicate mutation.</x:v>
      </x:c>
      <x:c r="P1276" s="35" t="str">
        <x:v>All expected records and amounts match; no unexplained error or stale state.</x:v>
      </x:c>
    </x:row>
    <x:row r="1277">
      <x:c r="A1277" s="20" t="str">
        <x:v>RUN-20270819-01</x:v>
      </x:c>
      <x:c r="B1277" s="23" t="n">
        <x:v>46618</x:v>
      </x:c>
      <x:c r="C1277" s="32" t="n">
        <x:v>1</x:v>
      </x:c>
      <x:c r="D1277" s="20" t="str">
        <x:v>Role and screen certification</x:v>
      </x:c>
      <x:c r="E1277" s="20" t="str">
        <x:v>Applicant / public user</x:v>
      </x:c>
      <x:c r="F1277" s="20" t="str">
        <x:v>Mobile</x:v>
      </x:c>
      <x:c r="G1277" s="20" t="str">
        <x:v>Normal persona navigation</x:v>
      </x:c>
      <x:c r="H1277" s="35" t="str">
        <x:v>Use every permitted action and state on features/inspections/inspection_run_screen.dart</x:v>
      </x:c>
      <x:c r="I1277" s="35" t="str">
        <x:v>SCR-123; ROLE-216</x:v>
      </x:c>
      <x:c r="J1277" s="35" t="str"/>
      <x:c r="K1277" s="35" t="str"/>
      <x:c r="L127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77" s="35" t="str">
        <x:v>The persona can use every allowed action with only its assigned properties/relationships. Hidden or disabled actions explain why; an adjacent unauthorized persona is denied without metadata leakage.</x:v>
      </x:c>
      <x:c r="N1277" s="35" t="str">
        <x:v>Persona/experience; navigation entry; desktop or device screenshots; result state; persisted read-back; audit/history; authorized and denied network result.</x:v>
      </x:c>
      <x:c r="O1277" s="35" t="str">
        <x:v>Open the direct URL or deep link with an adjacent unauthorized persona and with stale scope; both fail closed and land safely without mutation.</x:v>
      </x:c>
      <x:c r="P1277" s="35" t="str">
        <x:v>All expected records and amounts match; no unexplained error or stale state.</x:v>
      </x:c>
    </x:row>
    <x:row r="1278">
      <x:c r="A1278" s="20" t="str">
        <x:v>RUN-20270819-02</x:v>
      </x:c>
      <x:c r="B1278" s="23" t="n">
        <x:v>46618</x:v>
      </x:c>
      <x:c r="C1278" s="32" t="n">
        <x:v>2</x:v>
      </x:c>
      <x:c r="D1278" s="20" t="str">
        <x:v>Field certification</x:v>
      </x:c>
      <x:c r="E1278" s="20" t="str">
        <x:v>Property Manager</x:v>
      </x:c>
      <x:c r="F1278" s="20" t="str">
        <x:v>Web</x:v>
      </x:c>
      <x:c r="G1278" s="20" t="str">
        <x:v>Manual field-by-field</x:v>
      </x:c>
      <x:c r="H1278" s="35" t="str">
        <x:v>Fill, save, reload, edit, and validate every declared field on /scan/[draftId]</x:v>
      </x:c>
      <x:c r="I1278" s="35" t="str">
        <x:v>FLD-0670; FLD-0671; FLD-0672; FLD-0673</x:v>
      </x:c>
      <x:c r="J1278" s="35" t="str"/>
      <x:c r="K1278" s="35" t="str"/>
      <x:c r="L1278" s="35" t="str">
        <x:v>Use the source-derived Field Inventory. Enter non-default realistic values in every control (scan-loan-escrow-insurance; loan-notes; scan-property-select; Select-53); submit; reload or relaunch; compare every value; edit each mutable field; verify the paired client; then run required, format, length, range, boundary, optional-null, and stale-submit checks.</x:v>
      </x:c>
      <x:c r="M1278" s="35" t="str">
        <x:v>All 4 inventoried controls persist exact normalized values, invalid values stay unsaved with clear errors, and hidden/unauthorized fields cannot be altered.</x:v>
      </x:c>
      <x:c r="N1278" s="35" t="str">
        <x:v>Before/after form screenshots; FLD IDs; API response; reloaded UI; paired-client read-back; database/audit evidence; negative validation result.</x:v>
      </x:c>
      <x:c r="O1278" s="35" t="str">
        <x:v>Use a duplicate submit and one simulated network interruption; one atomic mutation or none, never partial state.</x:v>
      </x:c>
      <x:c r="P1278" s="35" t="str">
        <x:v>All expected records and amounts match; no unexplained error or stale state.</x:v>
      </x:c>
    </x:row>
    <x:row r="1279">
      <x:c r="A1279" s="20" t="str">
        <x:v>RUN-20270819-03</x:v>
      </x:c>
      <x:c r="B1279" s="23" t="n">
        <x:v>46618</x:v>
      </x:c>
      <x:c r="C1279" s="32" t="n">
        <x:v>3</x:v>
      </x:c>
      <x:c r="D1279" s="20" t="str">
        <x:v>Notification certification</x:v>
      </x:c>
      <x:c r="E1279" s="20" t="str">
        <x:v>Technician</x:v>
      </x:c>
      <x:c r="F1279" s="20" t="str">
        <x:v>Web + Mobile</x:v>
      </x:c>
      <x:c r="G1279" s="20" t="str">
        <x:v>System event + preference/manual verification</x:v>
      </x:c>
      <x:c r="H1279" s="35" t="str">
        <x:v>Trigger and prove notification: Inspection assigned</x:v>
      </x:c>
      <x:c r="I1279" s="35" t="str">
        <x:v>NTF-031</x:v>
      </x:c>
      <x:c r="J1279" s="35" t="str"/>
      <x:c r="K1279" s="35" t="str"/>
      <x:c r="L1279" s="35" t="str">
        <x:v>Set each recipient's preferences; trigger the real business event; inspect routing and recipient scope; verify unread badge, list item, safe preview, inspection deep link, mark-read sync, configured channel outcome, provider failure/retry, and duplicate suppression.</x:v>
      </x:c>
      <x:c r="M1279" s="35" t="str">
        <x:v>Exactly the intended recipients receive one correctly routed notification; disabled optional channels stay silent; deep link opens authorized context; read state synchronizes.</x:v>
      </x:c>
      <x:c r="N1279" s="35" t="str">
        <x:v>Trigger record; routing decision; outbox/delivery status; web/mobile inbox; lock-screen-safe copy; deep-link target; audit/provider retry evidence.</x:v>
      </x:c>
      <x:c r="O1279" s="35" t="str">
        <x:v>Re-run the worker and deliver a duplicate provider callback; no duplicate user-visible event. Attempt the deep link as an unauthorized adjacent role.</x:v>
      </x:c>
      <x:c r="P1279" s="35" t="str">
        <x:v>All expected records and amounts match; no unexplained error or stale state.</x:v>
      </x:c>
    </x:row>
    <x:row r="1280">
      <x:c r="A1280" s="20" t="str">
        <x:v>RUN-20270819-04</x:v>
      </x:c>
      <x:c r="B1280" s="23" t="n">
        <x:v>46618</x:v>
      </x:c>
      <x:c r="C1280" s="32" t="n">
        <x:v>4</x:v>
      </x:c>
      <x:c r="D1280" s="20" t="str">
        <x:v>Surface coverage</x:v>
      </x:c>
      <x:c r="E1280" s="20" t="str">
        <x:v>Role appropriate to surface</x:v>
      </x:c>
      <x:c r="F1280" s="20" t="str">
        <x:v>Web</x:v>
      </x:c>
      <x:c r="G1280" s="20" t="str">
        <x:v>Scan/attachment</x:v>
      </x:c>
      <x:c r="H1280" s="35" t="str">
        <x:v>Scan web pass: Appointment create/edit/confirm/cancel</x:v>
      </x:c>
      <x:c r="I1280" s="35" t="str">
        <x:v>COV-029</x:v>
      </x:c>
      <x:c r="J1280" s="35" t="str"/>
      <x:c r="K1280" s="35" t="str"/>
      <x:c r="L1280" s="35" t="str">
        <x:v>Create on web/mobile, tenant confirm/cancel, staff reschedule, filters, reminders, and timezone boundaries.</x:v>
      </x:c>
      <x:c r="M1280" s="35" t="str">
        <x:v>The supported workflow completes and persists correctly; if the capability is absent, the exact gap is proven and queued rather than silently skipped.</x:v>
      </x:c>
      <x:c r="N1280" s="35" t="str">
        <x:v>Real UI screenshot/state; submitted values; persisted read-back; cross-client read-back; audit/role/access evidence.</x:v>
      </x:c>
      <x:c r="O1280" s="35" t="str">
        <x:v>Use one invalid value, stale-state retry, or duplicate submission relevant to the form; no partial or duplicate mutation.</x:v>
      </x:c>
      <x:c r="P1280" s="35" t="str">
        <x:v>All expected records and amounts match; no unexplained error or stale state.</x:v>
      </x:c>
    </x:row>
    <x:row r="1281">
      <x:c r="A1281" s="20" t="str">
        <x:v>RUN-20270820-01</x:v>
      </x:c>
      <x:c r="B1281" s="23" t="n">
        <x:v>46619</x:v>
      </x:c>
      <x:c r="C1281" s="32" t="n">
        <x:v>1</x:v>
      </x:c>
      <x:c r="D1281" s="20" t="str">
        <x:v>Monthly close</x:v>
      </x:c>
      <x:c r="E1281" s="20" t="str">
        <x:v>Workspace Administrator</x:v>
      </x:c>
      <x:c r="F1281" s="20" t="str">
        <x:v>Web + Mobile</x:v>
      </x:c>
      <x:c r="G1281" s="20" t="str">
        <x:v>Recurring automation + statement match</x:v>
      </x:c>
      <x:c r="H1281" s="35" t="str">
        <x:v>August loan payments</x:v>
      </x:c>
      <x:c r="I1281" s="35" t="str">
        <x:v>LN001; LN002; LN004; LN005; LN007; LN008; LN010; LN011; LN013; LN014; LN016; LN017; LN019; LN020; LN022; LN023; LN025; LN026; LN028; LN029</x:v>
      </x:c>
      <x:c r="J1281" s="35" t="str">
        <x:v>SCN-0652; SCN-0653; SCN-0654; SCN-0655; SCN-0656; SCN-0657; SCN-0658; SCN-0659; SCN-0660; SCN-0661; SCN-0662; SCN-0663; SCN-0664; SCN-0665; SCN-0666; SCN-0667; SCN-0668; SCN-0669; SCN-0670; SCN-0671</x:v>
      </x:c>
      <x:c r="K1281" s="35" t="str">
        <x:v>FIN-01333; FIN-01334; FIN-01335; FIN-01336; FIN-01337; FIN-01338; FIN-01339; FIN-01340; FIN-01341; FIN-01342; FIN-01343; FIN-01344; FIN-01345; FIN-01346; FIN-01347; FIN-01348; FIN-01349; FIN-01350; FIN-01351; FIN-01352</x:v>
      </x:c>
      <x:c r="L1281" s="35" t="str">
        <x:v>Verify the recurring loan payments; attach/match each statement; compare principal, interest, cash, loan balance, amortization, Property Money view, and Schedule E interest.</x:v>
      </x:c>
      <x:c r="M1281" s="35" t="str">
        <x:v>Every payment splits principal and interest once; principal reduces liability, interest is expense, and statement balance matches.</x:v>
      </x:c>
      <x:c r="N1281" s="35" t="str">
        <x:v>Loan detail samples on both clients; statement attachment; amortization; Property and year-end reports.</x:v>
      </x:c>
      <x:c r="O1281" s="35" t="str">
        <x:v>Attempt a duplicate recurrence run; no second payment or balance movement.</x:v>
      </x:c>
      <x:c r="P1281" s="35" t="str">
        <x:v>All expected records and amounts match; no unexplained error or stale state.</x:v>
      </x:c>
    </x:row>
    <x:row r="1282">
      <x:c r="A1282" s="20" t="str">
        <x:v>RUN-20270820-02</x:v>
      </x:c>
      <x:c r="B1282" s="23" t="n">
        <x:v>46619</x:v>
      </x:c>
      <x:c r="C1282" s="32" t="n">
        <x:v>2</x:v>
      </x:c>
      <x:c r="D1282" s="20" t="str">
        <x:v>Role and screen certification</x:v>
      </x:c>
      <x:c r="E1282" s="20" t="str">
        <x:v>Applicant / public user</x:v>
      </x:c>
      <x:c r="F1282" s="20" t="str">
        <x:v>Mobile</x:v>
      </x:c>
      <x:c r="G1282" s="20" t="str">
        <x:v>Normal persona navigation</x:v>
      </x:c>
      <x:c r="H1282" s="35" t="str">
        <x:v>Use every permitted action and state on features/inspections/inspections_list_screen.dart</x:v>
      </x:c>
      <x:c r="I1282" s="35" t="str">
        <x:v>SCR-124; ROLE-217</x:v>
      </x:c>
      <x:c r="J1282" s="35" t="str"/>
      <x:c r="K1282" s="35" t="str"/>
      <x:c r="L128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82" s="35" t="str">
        <x:v>The persona can use every allowed action with only its assigned properties/relationships. Hidden or disabled actions explain why; an adjacent unauthorized persona is denied without metadata leakage.</x:v>
      </x:c>
      <x:c r="N1282" s="35" t="str">
        <x:v>Persona/experience; navigation entry; desktop or device screenshots; result state; persisted read-back; audit/history; authorized and denied network result.</x:v>
      </x:c>
      <x:c r="O1282" s="35" t="str">
        <x:v>Open the direct URL or deep link with an adjacent unauthorized persona and with stale scope; both fail closed and land safely without mutation.</x:v>
      </x:c>
      <x:c r="P1282" s="35" t="str">
        <x:v>All expected records and amounts match; no unexplained error or stale state.</x:v>
      </x:c>
    </x:row>
    <x:row r="1283">
      <x:c r="A1283" s="20" t="str">
        <x:v>RUN-20270820-03</x:v>
      </x:c>
      <x:c r="B1283" s="23" t="n">
        <x:v>46619</x:v>
      </x:c>
      <x:c r="C1283" s="32" t="n">
        <x:v>3</x:v>
      </x:c>
      <x:c r="D1283" s="20" t="str">
        <x:v>Field certification</x:v>
      </x:c>
      <x:c r="E1283" s="20" t="str">
        <x:v>Property Manager</x:v>
      </x:c>
      <x:c r="F1283" s="20" t="str">
        <x:v>Web</x:v>
      </x:c>
      <x:c r="G1283" s="20" t="str">
        <x:v>Manual field-by-field</x:v>
      </x:c>
      <x:c r="H1283" s="35" t="str">
        <x:v>Fill, save, reload, edit, and validate every declared field on /scan/[draftId]</x:v>
      </x:c>
      <x:c r="I1283" s="35" t="str">
        <x:v>FLD-0674; FLD-0675; FLD-0676; FLD-0677</x:v>
      </x:c>
      <x:c r="J1283" s="35" t="str"/>
      <x:c r="K1283" s="35" t="str"/>
      <x:c r="L1283" s="35" t="str">
        <x:v>Use the source-derived Field Inventory. Enter non-default realistic values in every control (Select-54; Select-55; editedFields[fieldName]; field-{fieldName}); submit; reload or relaunch; compare every value; edit each mutable field; verify the paired client; then run required, format, length, range, boundary, optional-null, and stale-submit checks.</x:v>
      </x:c>
      <x:c r="M1283" s="35" t="str">
        <x:v>All 4 inventoried controls persist exact normalized values, invalid values stay unsaved with clear errors, and hidden/unauthorized fields cannot be altered.</x:v>
      </x:c>
      <x:c r="N1283" s="35" t="str">
        <x:v>Before/after form screenshots; FLD IDs; API response; reloaded UI; paired-client read-back; database/audit evidence; negative validation result.</x:v>
      </x:c>
      <x:c r="O1283" s="35" t="str">
        <x:v>Use a duplicate submit and one simulated network interruption; one atomic mutation or none, never partial state.</x:v>
      </x:c>
      <x:c r="P1283" s="35" t="str">
        <x:v>All expected records and amounts match; no unexplained error or stale state.</x:v>
      </x:c>
    </x:row>
    <x:row r="1284">
      <x:c r="A1284" s="20" t="str">
        <x:v>RUN-20270823-01</x:v>
      </x:c>
      <x:c r="B1284" s="23" t="n">
        <x:v>46622</x:v>
      </x:c>
      <x:c r="C1284" s="32" t="n">
        <x:v>1</x:v>
      </x:c>
      <x:c r="D1284" s="20" t="str">
        <x:v>Weekly operations</x:v>
      </x:c>
      <x:c r="E1284" s="20" t="str">
        <x:v>Property Manager</x:v>
      </x:c>
      <x:c r="F1284" s="20" t="str">
        <x:v>Web</x:v>
      </x:c>
      <x:c r="G1284" s="20" t="str">
        <x:v>Scan-first</x:v>
      </x:c>
      <x:c r="H1284" s="35" t="str">
        <x:v>Create and triage maintenance request</x:v>
      </x:c>
      <x:c r="I1284" s="35" t="str">
        <x:v>P030; U039; WO-2027-034</x:v>
      </x:c>
      <x:c r="J1284" s="35" t="str">
        <x:v>SCN-0407</x:v>
      </x:c>
      <x:c r="K1284" s="35" t="str"/>
      <x:c r="L1284" s="35" t="str">
        <x:v>Capture the tenant note/photo; review loose outlet; confirm; set responsibility; dispatch Summit Roofing; create an appointment and verify the tenant notification.</x:v>
      </x:c>
      <x:c r="M1284" s="35" t="str">
        <x:v>Work order, status timeline, responsibility, vendor dispatch, appointment, notification, and Unit context are linked once.</x:v>
      </x:c>
      <x:c r="N1284" s="35" t="str">
        <x:v>Scan review; work order detail/timeline; dispatch; appointment; notification; tenant portal view.</x:v>
      </x:c>
      <x:c r="O1284" s="35" t="str">
        <x:v>Cancel one dispatch each quarter, reassign once, and prove status/history remains append-only.</x:v>
      </x:c>
      <x:c r="P1284" s="35" t="str">
        <x:v>All expected records and amounts match; no unexplained error or stale state.</x:v>
      </x:c>
    </x:row>
    <x:row r="1285">
      <x:c r="A1285" s="20" t="str">
        <x:v>RUN-20270823-02</x:v>
      </x:c>
      <x:c r="B1285" s="23" t="n">
        <x:v>46622</x:v>
      </x:c>
      <x:c r="C1285" s="32" t="n">
        <x:v>2</x:v>
      </x:c>
      <x:c r="D1285" s="20" t="str">
        <x:v>Role and screen certification</x:v>
      </x:c>
      <x:c r="E1285" s="20" t="str">
        <x:v>Applicant / public user</x:v>
      </x:c>
      <x:c r="F1285" s="20" t="str">
        <x:v>Mobile</x:v>
      </x:c>
      <x:c r="G1285" s="20" t="str">
        <x:v>Normal persona navigation</x:v>
      </x:c>
      <x:c r="H1285" s="35" t="str">
        <x:v>Use every permitted action and state on features/inspections/new_inspection_screen.dart</x:v>
      </x:c>
      <x:c r="I1285" s="35" t="str">
        <x:v>SCR-125; ROLE-218</x:v>
      </x:c>
      <x:c r="J1285" s="35" t="str"/>
      <x:c r="K1285" s="35" t="str"/>
      <x:c r="L128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85" s="35" t="str">
        <x:v>The persona can use every allowed action with only its assigned properties/relationships. Hidden or disabled actions explain why; an adjacent unauthorized persona is denied without metadata leakage.</x:v>
      </x:c>
      <x:c r="N1285" s="35" t="str">
        <x:v>Persona/experience; navigation entry; desktop or device screenshots; result state; persisted read-back; audit/history; authorized and denied network result.</x:v>
      </x:c>
      <x:c r="O1285" s="35" t="str">
        <x:v>Open the direct URL or deep link with an adjacent unauthorized persona and with stale scope; both fail closed and land safely without mutation.</x:v>
      </x:c>
      <x:c r="P1285" s="35" t="str">
        <x:v>All expected records and amounts match; no unexplained error or stale state.</x:v>
      </x:c>
    </x:row>
    <x:row r="1286">
      <x:c r="A1286" s="20" t="str">
        <x:v>RUN-20270823-03</x:v>
      </x:c>
      <x:c r="B1286" s="23" t="n">
        <x:v>46622</x:v>
      </x:c>
      <x:c r="C1286" s="32" t="n">
        <x:v>3</x:v>
      </x:c>
      <x:c r="D1286" s="20" t="str">
        <x:v>Field certification</x:v>
      </x:c>
      <x:c r="E1286" s="20" t="str">
        <x:v>Property Manager</x:v>
      </x:c>
      <x:c r="F1286" s="20" t="str">
        <x:v>Web</x:v>
      </x:c>
      <x:c r="G1286" s="20" t="str">
        <x:v>Manual field-by-field</x:v>
      </x:c>
      <x:c r="H1286" s="35" t="str">
        <x:v>Fill, save, reload, edit, and validate every declared field on /scan/[draftId]</x:v>
      </x:c>
      <x:c r="I1286" s="35" t="str">
        <x:v>FLD-0678; FLD-0679; FLD-0680; FLD-0681; FLD-0682</x:v>
      </x:c>
      <x:c r="J1286" s="35" t="str"/>
      <x:c r="K1286" s="35" t="str"/>
      <x:c r="L1286" s="35" t="str">
        <x:v>Use the source-derived Field Inventory. Enter non-default realistic values in every control (Select-58; Select-59; editedFields[field.name]; field-{field.name}; Select-63); submit; reload or relaunch; compare every value; edit each mutable field; verify the paired client; then run required, format, length, range, boundary, optional-null, and stale-submit checks.</x:v>
      </x:c>
      <x:c r="M1286" s="35" t="str">
        <x:v>All 5 inventoried controls persist exact normalized values, invalid values stay unsaved with clear errors, and hidden/unauthorized fields cannot be altered.</x:v>
      </x:c>
      <x:c r="N1286" s="35" t="str">
        <x:v>Before/after form screenshots; FLD IDs; API response; reloaded UI; paired-client read-back; database/audit evidence; negative validation result.</x:v>
      </x:c>
      <x:c r="O1286" s="35" t="str">
        <x:v>Use a duplicate submit and one simulated network interruption; one atomic mutation or none, never partial state.</x:v>
      </x:c>
      <x:c r="P1286" s="35" t="str">
        <x:v>All expected records and amounts match; no unexplained error or stale state.</x:v>
      </x:c>
    </x:row>
    <x:row r="1287">
      <x:c r="A1287" s="20" t="str">
        <x:v>RUN-20270823-04</x:v>
      </x:c>
      <x:c r="B1287" s="23" t="n">
        <x:v>46622</x:v>
      </x:c>
      <x:c r="C1287" s="32" t="n">
        <x:v>4</x:v>
      </x:c>
      <x:c r="D1287" s="20" t="str">
        <x:v>Lifecycle certification</x:v>
      </x:c>
      <x:c r="E1287" s="20" t="str">
        <x:v>Property Manager</x:v>
      </x:c>
      <x:c r="F1287" s="20" t="str">
        <x:v>Web + Mobile</x:v>
      </x:c>
      <x:c r="G1287" s="20" t="str">
        <x:v>Manual + scan/attachment where supported</x:v>
      </x:c>
      <x:c r="H1287" s="35" t="str">
        <x:v>Complete the full create/read/edit/lifecycle/delete-safe pass for Work order</x:v>
      </x:c>
      <x:c r="I1287" s="35" t="str">
        <x:v>CRUD-022</x:v>
      </x:c>
      <x:c r="J1287" s="35" t="str"/>
      <x:c r="K1287" s="35" t="str"/>
      <x:c r="L1287" s="35" t="str">
        <x:v>Use a dedicated disposable QA record and execute: scan/manual create; edit; triage; assign; accept/decline; start; complete; reopen/cancel. Fill every field referenced by field-inventory.csv. Verify confirmation copy, cancel path, final path, reload, other-client state, history, and role denial.</x:v>
      </x:c>
      <x:c r="M1287" s="35" t="str">
        <x:v>Every supported transition succeeds exactly once; forbidden destructive actions are guarded; reversible deletion/deactivation works; financial and historical truth is preserved.</x:v>
      </x:c>
      <x:c r="N1287" s="35" t="str">
        <x:v>Entity before/after; both clients; all FLD IDs; audit/history; notifications; authorized and unauthorized personas; API/DB state.</x:v>
      </x:c>
      <x:c r="O1287" s="35" t="str">
        <x:v>Cancel the first destructive confirmation, then repeat and confirm; retry the mutation once; no double transition or orphan.</x:v>
      </x:c>
      <x:c r="P1287" s="35" t="str">
        <x:v>All expected records and amounts match; no unexplained error or stale state.</x:v>
      </x:c>
    </x:row>
    <x:row r="1288">
      <x:c r="A1288" s="20" t="str">
        <x:v>RUN-20270823-05</x:v>
      </x:c>
      <x:c r="B1288" s="23" t="n">
        <x:v>46622</x:v>
      </x:c>
      <x:c r="C1288" s="32" t="n">
        <x:v>5</x:v>
      </x:c>
      <x:c r="D1288" s="20" t="str">
        <x:v>Surface coverage</x:v>
      </x:c>
      <x:c r="E1288" s="20" t="str">
        <x:v>Role appropriate to surface</x:v>
      </x:c>
      <x:c r="F1288" s="20" t="str">
        <x:v>Mobile</x:v>
      </x:c>
      <x:c r="G1288" s="20" t="str">
        <x:v>Scan/attachment</x:v>
      </x:c>
      <x:c r="H1288" s="35" t="str">
        <x:v>Scan mobile pass: Appointment create/edit/confirm/cancel</x:v>
      </x:c>
      <x:c r="I1288" s="35" t="str">
        <x:v>COV-029</x:v>
      </x:c>
      <x:c r="J1288" s="35" t="str"/>
      <x:c r="K1288" s="35" t="str"/>
      <x:c r="L1288" s="35" t="str">
        <x:v>Create on web/mobile, tenant confirm/cancel, staff reschedule, filters, reminders, and timezone boundaries.</x:v>
      </x:c>
      <x:c r="M1288" s="35" t="str">
        <x:v>The supported workflow completes and persists correctly; if the capability is absent, the exact gap is proven and queued rather than silently skipped.</x:v>
      </x:c>
      <x:c r="N1288" s="35" t="str">
        <x:v>Real UI screenshot/state; submitted values; persisted read-back; cross-client read-back; audit/role/access evidence.</x:v>
      </x:c>
      <x:c r="O1288" s="35" t="str">
        <x:v>Use one invalid value, stale-state retry, or duplicate submission relevant to the form; no partial or duplicate mutation.</x:v>
      </x:c>
      <x:c r="P1288" s="35" t="str">
        <x:v>All expected records and amounts match; no unexplained error or stale state.</x:v>
      </x:c>
    </x:row>
    <x:row r="1289">
      <x:c r="A1289" s="20" t="str">
        <x:v>RUN-20270824-01</x:v>
      </x:c>
      <x:c r="B1289" s="23" t="n">
        <x:v>46623</x:v>
      </x:c>
      <x:c r="C1289" s="32" t="n">
        <x:v>1</x:v>
      </x:c>
      <x:c r="D1289" s="20" t="str">
        <x:v>Weekly operations</x:v>
      </x:c>
      <x:c r="E1289" s="20" t="str">
        <x:v>Property Manager</x:v>
      </x:c>
      <x:c r="F1289" s="20" t="str">
        <x:v>Web</x:v>
      </x:c>
      <x:c r="G1289" s="20" t="str">
        <x:v>Scanned receipt/invoice</x:v>
      </x:c>
      <x:c r="H1289" s="35" t="str">
        <x:v>Record, review, allocate, and pay operating expense</x:v>
      </x:c>
      <x:c r="I1289" s="35" t="str">
        <x:v>P030; U039; WO-2027-034</x:v>
      </x:c>
      <x:c r="J1289" s="35" t="str">
        <x:v>SCN-0408</x:v>
      </x:c>
      <x:c r="K1289" s="35" t="str">
        <x:v>FIN-01057</x:v>
      </x:c>
      <x:c r="L1289" s="35" t="str">
        <x:v>Capture or upload the source; verify vendor, date, scope, category, line items, tax, amount, and work-order link; confirm; open detail; verify attachment; compare Money and Property/Unit views.</x:v>
      </x:c>
      <x:c r="M1289" s="35" t="str">
        <x:v>One expense exists at its real operational scope, cash falls once, Schedule E category and allocations agree, and no per-unit copies are created.</x:v>
      </x:c>
      <x:c r="N1289" s="35" t="str">
        <x:v>Source preview; review/form; expense detail; line items; Property/Unit ledger; audit; accounting/report delta.</x:v>
      </x:c>
      <x:c r="O1289" s="35" t="str">
        <x:v>On marked duplicate-invoice cases, re-upload before confirm and prove the product prevents or clearly warns about duplication.</x:v>
      </x:c>
      <x:c r="P1289" s="35" t="str">
        <x:v>All expected records and amounts match; no unexplained error or stale state.</x:v>
      </x:c>
    </x:row>
    <x:row r="1290">
      <x:c r="A1290" s="20" t="str">
        <x:v>RUN-20270824-02</x:v>
      </x:c>
      <x:c r="B1290" s="23" t="n">
        <x:v>46623</x:v>
      </x:c>
      <x:c r="C1290" s="32" t="n">
        <x:v>2</x:v>
      </x:c>
      <x:c r="D1290" s="20" t="str">
        <x:v>Field certification</x:v>
      </x:c>
      <x:c r="E1290" s="20" t="str">
        <x:v>Property Manager</x:v>
      </x:c>
      <x:c r="F1290" s="20" t="str">
        <x:v>Web</x:v>
      </x:c>
      <x:c r="G1290" s="20" t="str">
        <x:v>Manual field-by-field</x:v>
      </x:c>
      <x:c r="H1290" s="35" t="str">
        <x:v>Fill, save, reload, edit, and validate every declared field on /scan/[draftId]</x:v>
      </x:c>
      <x:c r="I1290" s="35" t="str">
        <x:v>FLD-0683; FLD-0684; FLD-0685; FLD-0686</x:v>
      </x:c>
      <x:c r="J1290" s="35" t="str"/>
      <x:c r="K1290" s="35" t="str"/>
      <x:c r="L1290" s="35" t="str">
        <x:v>Use the source-derived Field Inventory. Enter non-default realistic values in every control (Select-64; input-65; scan-line-item-description-{i}; scan-line-item-quantity-{i}); submit; reload or relaunch; compare every value; edit each mutable field; verify the paired client; then run required, format, length, range, boundary, optional-null, and stale-submit checks.</x:v>
      </x:c>
      <x:c r="M1290" s="35" t="str">
        <x:v>All 4 inventoried controls persist exact normalized values, invalid values stay unsaved with clear errors, and hidden/unauthorized fields cannot be altered.</x:v>
      </x:c>
      <x:c r="N1290" s="35" t="str">
        <x:v>Before/after form screenshots; FLD IDs; API response; reloaded UI; paired-client read-back; database/audit evidence; negative validation result.</x:v>
      </x:c>
      <x:c r="O1290" s="35" t="str">
        <x:v>Use a duplicate submit and one simulated network interruption; one atomic mutation or none, never partial state.</x:v>
      </x:c>
      <x:c r="P1290" s="35" t="str">
        <x:v>All expected records and amounts match; no unexplained error or stale state.</x:v>
      </x:c>
    </x:row>
    <x:row r="1291">
      <x:c r="A1291" s="20" t="str">
        <x:v>RUN-20270824-03</x:v>
      </x:c>
      <x:c r="B1291" s="23" t="n">
        <x:v>46623</x:v>
      </x:c>
      <x:c r="C1291" s="32" t="n">
        <x:v>3</x:v>
      </x:c>
      <x:c r="D1291" s="20" t="str">
        <x:v>Surface coverage</x:v>
      </x:c>
      <x:c r="E1291" s="20" t="str">
        <x:v>Role appropriate to surface</x:v>
      </x:c>
      <x:c r="F1291" s="20" t="str">
        <x:v>Web</x:v>
      </x:c>
      <x:c r="G1291" s="20" t="str">
        <x:v>Manual</x:v>
      </x:c>
      <x:c r="H1291" s="35" t="str">
        <x:v>Manual web pass: Inspection create/run/complete/report</x:v>
      </x:c>
      <x:c r="I1291" s="35" t="str">
        <x:v>COV-030</x:v>
      </x:c>
      <x:c r="J1291" s="35" t="str"/>
      <x:c r="K1291" s="35" t="str"/>
      <x:c r="L1291" s="35" t="str">
        <x:v>Create on both clients, run checklist/photos, edit before complete, freeze after complete, and open report.</x:v>
      </x:c>
      <x:c r="M1291" s="35" t="str">
        <x:v>The supported workflow completes and persists correctly; if the capability is absent, the exact gap is proven and queued rather than silently skipped.</x:v>
      </x:c>
      <x:c r="N1291" s="35" t="str">
        <x:v>Real UI screenshot/state; submitted values; persisted read-back; cross-client read-back; audit/role/access evidence.</x:v>
      </x:c>
      <x:c r="O1291" s="35" t="str">
        <x:v>Use one invalid value, stale-state retry, or duplicate submission relevant to the form; no partial or duplicate mutation.</x:v>
      </x:c>
      <x:c r="P1291" s="35" t="str">
        <x:v>All expected records and amounts match; no unexplained error or stale state.</x:v>
      </x:c>
    </x:row>
    <x:row r="1292">
      <x:c r="A1292" s="20" t="str">
        <x:v>RUN-20270825-01</x:v>
      </x:c>
      <x:c r="B1292" s="23" t="n">
        <x:v>46624</x:v>
      </x:c>
      <x:c r="C1292" s="32" t="n">
        <x:v>1</x:v>
      </x:c>
      <x:c r="D1292" s="20" t="str">
        <x:v>Monthly close</x:v>
      </x:c>
      <x:c r="E1292" s="20" t="str">
        <x:v>Owner + Workspace Administrator</x:v>
      </x:c>
      <x:c r="F1292" s="20" t="str">
        <x:v>Web + Mobile owner portal</x:v>
      </x:c>
      <x:c r="G1292" s="20" t="str">
        <x:v>Manual approval</x:v>
      </x:c>
      <x:c r="H1292" s="35" t="str">
        <x:v>August owner statements and distributions</x:v>
      </x:c>
      <x:c r="I1292" s="35" t="str">
        <x:v>O01-O05</x:v>
      </x:c>
      <x:c r="J1292" s="35" t="str"/>
      <x:c r="K1292" s="35" t="str">
        <x:v>FIN-01353; FIN-01354; FIN-01355; FIN-01356; FIN-01357</x:v>
      </x:c>
      <x:c r="L1292" s="35" t="str">
        <x:v>Generate owner statements; review income/expense allocations; approve distributions; record the bank export; open statements from owner portal on web and mobile.</x:v>
      </x:c>
      <x:c r="M1292" s="35" t="str">
        <x:v>Five owner statements agree with Property/accounting totals and five distributions reduce cash/equity distributions without becoming expenses.</x:v>
      </x:c>
      <x:c r="N1292" s="35" t="str">
        <x:v>Statements; approvals; owner portal PDFs; distribution rows; bank references; audit.</x:v>
      </x:c>
      <x:c r="O1292" s="35" t="str">
        <x:v>Reject one draft distribution before approval each quarter and prove no cash event is posted.</x:v>
      </x:c>
      <x:c r="P1292" s="35" t="str">
        <x:v>All expected records and amounts match; no unexplained error or stale state.</x:v>
      </x:c>
    </x:row>
    <x:row r="1293">
      <x:c r="A1293" s="20" t="str">
        <x:v>RUN-20270825-02</x:v>
      </x:c>
      <x:c r="B1293" s="23" t="n">
        <x:v>46624</x:v>
      </x:c>
      <x:c r="C1293" s="32" t="n">
        <x:v>2</x:v>
      </x:c>
      <x:c r="D1293" s="20" t="str">
        <x:v>Role and screen certification</x:v>
      </x:c>
      <x:c r="E1293" s="20" t="str">
        <x:v>Applicant / public user</x:v>
      </x:c>
      <x:c r="F1293" s="20" t="str">
        <x:v>Mobile</x:v>
      </x:c>
      <x:c r="G1293" s="20" t="str">
        <x:v>Normal persona navigation</x:v>
      </x:c>
      <x:c r="H1293" s="35" t="str">
        <x:v>Use every permitted action and state on features/leases/ending_disposition_sheet.dart</x:v>
      </x:c>
      <x:c r="I1293" s="35" t="str">
        <x:v>SCR-126; ROLE-219</x:v>
      </x:c>
      <x:c r="J1293" s="35" t="str"/>
      <x:c r="K1293" s="35" t="str"/>
      <x:c r="L129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93" s="35" t="str">
        <x:v>The persona can use every allowed action with only its assigned properties/relationships. Hidden or disabled actions explain why; an adjacent unauthorized persona is denied without metadata leakage.</x:v>
      </x:c>
      <x:c r="N1293" s="35" t="str">
        <x:v>Persona/experience; navigation entry; desktop or device screenshots; result state; persisted read-back; audit/history; authorized and denied network result.</x:v>
      </x:c>
      <x:c r="O1293" s="35" t="str">
        <x:v>Open the direct URL or deep link with an adjacent unauthorized persona and with stale scope; both fail closed and land safely without mutation.</x:v>
      </x:c>
      <x:c r="P1293" s="35" t="str">
        <x:v>All expected records and amounts match; no unexplained error or stale state.</x:v>
      </x:c>
    </x:row>
    <x:row r="1294">
      <x:c r="A1294" s="20" t="str">
        <x:v>RUN-20270825-03</x:v>
      </x:c>
      <x:c r="B1294" s="23" t="n">
        <x:v>46624</x:v>
      </x:c>
      <x:c r="C1294" s="32" t="n">
        <x:v>3</x:v>
      </x:c>
      <x:c r="D1294" s="20" t="str">
        <x:v>Field certification</x:v>
      </x:c>
      <x:c r="E1294" s="20" t="str">
        <x:v>Property Manager</x:v>
      </x:c>
      <x:c r="F1294" s="20" t="str">
        <x:v>Web</x:v>
      </x:c>
      <x:c r="G1294" s="20" t="str">
        <x:v>Manual field-by-field</x:v>
      </x:c>
      <x:c r="H1294" s="35" t="str">
        <x:v>Fill, save, reload, edit, and validate every declared field on /scan/[draftId]</x:v>
      </x:c>
      <x:c r="I1294" s="35" t="str">
        <x:v>FLD-0687; FLD-0688; FLD-0689</x:v>
      </x:c>
      <x:c r="J1294" s="35" t="str"/>
      <x:c r="K1294" s="35" t="str"/>
      <x:c r="L1294" s="35" t="str">
        <x:v>Use the source-derived Field Inventory. Enter non-default realistic values in every control (scan-line-item-unit-price-{i}; scan-line-item-amount-{i}; rejectReason); submit; reload or relaunch; compare every value; edit each mutable field; verify the paired client; then run required, format, length, range, boundary, optional-null, and stale-submit checks.</x:v>
      </x:c>
      <x:c r="M1294" s="35" t="str">
        <x:v>All 3 inventoried controls persist exact normalized values, invalid values stay unsaved with clear errors, and hidden/unauthorized fields cannot be altered.</x:v>
      </x:c>
      <x:c r="N1294" s="35" t="str">
        <x:v>Before/after form screenshots; FLD IDs; API response; reloaded UI; paired-client read-back; database/audit evidence; negative validation result.</x:v>
      </x:c>
      <x:c r="O1294" s="35" t="str">
        <x:v>Use a duplicate submit and one simulated network interruption; one atomic mutation or none, never partial state.</x:v>
      </x:c>
      <x:c r="P1294" s="35" t="str">
        <x:v>All expected records and amounts match; no unexplained error or stale state.</x:v>
      </x:c>
    </x:row>
    <x:row r="1295">
      <x:c r="A1295" s="20" t="str">
        <x:v>RUN-20270825-04</x:v>
      </x:c>
      <x:c r="B1295" s="23" t="n">
        <x:v>46624</x:v>
      </x:c>
      <x:c r="C1295" s="32" t="n">
        <x:v>4</x:v>
      </x:c>
      <x:c r="D1295" s="20" t="str">
        <x:v>Field certification</x:v>
      </x:c>
      <x:c r="E1295" s="20" t="str">
        <x:v>Property Manager</x:v>
      </x:c>
      <x:c r="F1295" s="20" t="str">
        <x:v>Web</x:v>
      </x:c>
      <x:c r="G1295" s="20" t="str">
        <x:v>Manual field-by-field</x:v>
      </x:c>
      <x:c r="H1295" s="35" t="str">
        <x:v>Fill, save, reload, edit, and validate every declared field on /scan/batch</x:v>
      </x:c>
      <x:c r="I1295" s="35" t="str">
        <x:v>FLD-0690</x:v>
      </x:c>
      <x:c r="J1295" s="35" t="str"/>
      <x:c r="K1295" s="35" t="str"/>
      <x:c r="L1295" s="35" t="str">
        <x:v>Use the source-derived Field Inventory. Enter non-default realistic values in every control (batch-file-input); submit; reload or relaunch; compare every value; edit each mutable field; verify the paired client; then run required, format, length, range, boundary, optional-null, and stale-submit checks.</x:v>
      </x:c>
      <x:c r="M1295" s="35" t="str">
        <x:v>All 1 inventoried controls persist exact normalized values, invalid values stay unsaved with clear errors, and hidden/unauthorized fields cannot be altered.</x:v>
      </x:c>
      <x:c r="N1295" s="35" t="str">
        <x:v>Before/after form screenshots; FLD IDs; API response; reloaded UI; paired-client read-back; database/audit evidence; negative validation result.</x:v>
      </x:c>
      <x:c r="O1295" s="35" t="str">
        <x:v>Use a duplicate submit and one simulated network interruption; one atomic mutation or none, never partial state.</x:v>
      </x:c>
      <x:c r="P1295" s="35" t="str">
        <x:v>All expected records and amounts match; no unexplained error or stale state.</x:v>
      </x:c>
    </x:row>
    <x:row r="1296">
      <x:c r="A1296" s="20" t="str">
        <x:v>RUN-20270825-05</x:v>
      </x:c>
      <x:c r="B1296" s="23" t="n">
        <x:v>46624</x:v>
      </x:c>
      <x:c r="C1296" s="32" t="n">
        <x:v>5</x:v>
      </x:c>
      <x:c r="D1296" s="20" t="str">
        <x:v>Field certification</x:v>
      </x:c>
      <x:c r="E1296" s="20" t="str">
        <x:v>Workspace Administrator</x:v>
      </x:c>
      <x:c r="F1296" s="20" t="str">
        <x:v>Web</x:v>
      </x:c>
      <x:c r="G1296" s="20" t="str">
        <x:v>Manual field-by-field</x:v>
      </x:c>
      <x:c r="H1296" s="35" t="str">
        <x:v>Fill, save, reload, edit, and validate every declared field on /settings</x:v>
      </x:c>
      <x:c r="I1296" s="35" t="str">
        <x:v>FLD-0691</x:v>
      </x:c>
      <x:c r="J1296" s="35" t="str"/>
      <x:c r="K1296" s="35" t="str"/>
      <x:c r="L1296" s="35" t="str">
        <x:v>Use the source-derived Field Inventory. Enter non-default realistic values in every control (settings-name); submit; reload or relaunch; compare every value; edit each mutable field; verify the paired client; then run required, format, length, range, boundary, optional-null, and stale-submit checks.</x:v>
      </x:c>
      <x:c r="M1296" s="35" t="str">
        <x:v>All 1 inventoried controls persist exact normalized values, invalid values stay unsaved with clear errors, and hidden/unauthorized fields cannot be altered.</x:v>
      </x:c>
      <x:c r="N1296" s="35" t="str">
        <x:v>Before/after form screenshots; FLD IDs; API response; reloaded UI; paired-client read-back; database/audit evidence; negative validation result.</x:v>
      </x:c>
      <x:c r="O1296" s="35" t="str">
        <x:v>Use a duplicate submit and one simulated network interruption; one atomic mutation or none, never partial state.</x:v>
      </x:c>
      <x:c r="P1296" s="35" t="str">
        <x:v>All expected records and amounts match; no unexplained error or stale state.</x:v>
      </x:c>
    </x:row>
    <x:row r="1297">
      <x:c r="A1297" s="20" t="str">
        <x:v>RUN-20270825-06</x:v>
      </x:c>
      <x:c r="B1297" s="23" t="n">
        <x:v>46624</x:v>
      </x:c>
      <x:c r="C1297" s="32" t="n">
        <x:v>6</x:v>
      </x:c>
      <x:c r="D1297" s="20" t="str">
        <x:v>Surface coverage</x:v>
      </x:c>
      <x:c r="E1297" s="20" t="str">
        <x:v>Role appropriate to surface</x:v>
      </x:c>
      <x:c r="F1297" s="20" t="str">
        <x:v>Mobile</x:v>
      </x:c>
      <x:c r="G1297" s="20" t="str">
        <x:v>Manual</x:v>
      </x:c>
      <x:c r="H1297" s="35" t="str">
        <x:v>Manual mobile pass: Inspection create/run/complete/report</x:v>
      </x:c>
      <x:c r="I1297" s="35" t="str">
        <x:v>COV-030</x:v>
      </x:c>
      <x:c r="J1297" s="35" t="str"/>
      <x:c r="K1297" s="35" t="str"/>
      <x:c r="L1297" s="35" t="str">
        <x:v>Create on both clients, run checklist/photos, edit before complete, freeze after complete, and open report.</x:v>
      </x:c>
      <x:c r="M1297" s="35" t="str">
        <x:v>The supported workflow completes and persists correctly; if the capability is absent, the exact gap is proven and queued rather than silently skipped.</x:v>
      </x:c>
      <x:c r="N1297" s="35" t="str">
        <x:v>Real UI screenshot/state; submitted values; persisted read-back; cross-client read-back; audit/role/access evidence.</x:v>
      </x:c>
      <x:c r="O1297" s="35" t="str">
        <x:v>Use one invalid value, stale-state retry, or duplicate submission relevant to the form; no partial or duplicate mutation.</x:v>
      </x:c>
      <x:c r="P1297" s="35" t="str">
        <x:v>All expected records and amounts match; no unexplained error or stale state.</x:v>
      </x:c>
    </x:row>
    <x:row r="1298">
      <x:c r="A1298" s="20" t="str">
        <x:v>RUN-20270826-01</x:v>
      </x:c>
      <x:c r="B1298" s="23" t="n">
        <x:v>46625</x:v>
      </x:c>
      <x:c r="C1298" s="32" t="n">
        <x:v>1</x:v>
      </x:c>
      <x:c r="D1298" s="20" t="str">
        <x:v>Role and screen certification</x:v>
      </x:c>
      <x:c r="E1298" s="20" t="str">
        <x:v>Applicant / public user</x:v>
      </x:c>
      <x:c r="F1298" s="20" t="str">
        <x:v>Mobile</x:v>
      </x:c>
      <x:c r="G1298" s="20" t="str">
        <x:v>Normal persona navigation</x:v>
      </x:c>
      <x:c r="H1298" s="35" t="str">
        <x:v>Use every permitted action and state on features/leases/household_management_sheet.dart</x:v>
      </x:c>
      <x:c r="I1298" s="35" t="str">
        <x:v>SCR-127; ROLE-220</x:v>
      </x:c>
      <x:c r="J1298" s="35" t="str"/>
      <x:c r="K1298" s="35" t="str"/>
      <x:c r="L129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298" s="35" t="str">
        <x:v>The persona can use every allowed action with only its assigned properties/relationships. Hidden or disabled actions explain why; an adjacent unauthorized persona is denied without metadata leakage.</x:v>
      </x:c>
      <x:c r="N1298" s="35" t="str">
        <x:v>Persona/experience; navigation entry; desktop or device screenshots; result state; persisted read-back; audit/history; authorized and denied network result.</x:v>
      </x:c>
      <x:c r="O1298" s="35" t="str">
        <x:v>Open the direct URL or deep link with an adjacent unauthorized persona and with stale scope; both fail closed and land safely without mutation.</x:v>
      </x:c>
      <x:c r="P1298" s="35" t="str">
        <x:v>All expected records and amounts match; no unexplained error or stale state.</x:v>
      </x:c>
    </x:row>
    <x:row r="1299">
      <x:c r="A1299" s="20" t="str">
        <x:v>RUN-20270826-02</x:v>
      </x:c>
      <x:c r="B1299" s="23" t="n">
        <x:v>46625</x:v>
      </x:c>
      <x:c r="C1299" s="32" t="n">
        <x:v>2</x:v>
      </x:c>
      <x:c r="D1299" s="20" t="str">
        <x:v>Field certification</x:v>
      </x:c>
      <x:c r="E1299" s="20" t="str">
        <x:v>Workspace Administrator</x:v>
      </x:c>
      <x:c r="F1299" s="20" t="str">
        <x:v>Web</x:v>
      </x:c>
      <x:c r="G1299" s="20" t="str">
        <x:v>Manual field-by-field</x:v>
      </x:c>
      <x:c r="H1299" s="35" t="str">
        <x:v>Fill, save, reload, edit, and validate every declared field on /settings</x:v>
      </x:c>
      <x:c r="I1299" s="35" t="str">
        <x:v>FLD-0692; FLD-0693; FLD-0694; FLD-0695</x:v>
      </x:c>
      <x:c r="J1299" s="35" t="str"/>
      <x:c r="K1299" s="35" t="str"/>
      <x:c r="L1299" s="35" t="str">
        <x:v>Use the source-derived Field Inventory. Enter non-default realistic values in every control (settings-description; settings-company; form.status; settings-status); submit; reload or relaunch; compare every value; edit each mutable field; verify the paired client; then run required, format, length, range, boundary, optional-null, and stale-submit checks.</x:v>
      </x:c>
      <x:c r="M1299" s="35" t="str">
        <x:v>All 4 inventoried controls persist exact normalized values, invalid values stay unsaved with clear errors, and hidden/unauthorized fields cannot be altered.</x:v>
      </x:c>
      <x:c r="N1299" s="35" t="str">
        <x:v>Before/after form screenshots; FLD IDs; API response; reloaded UI; paired-client read-back; database/audit evidence; negative validation result.</x:v>
      </x:c>
      <x:c r="O1299" s="35" t="str">
        <x:v>Use a duplicate submit and one simulated network interruption; one atomic mutation or none, never partial state.</x:v>
      </x:c>
      <x:c r="P1299" s="35" t="str">
        <x:v>All expected records and amounts match; no unexplained error or stale state.</x:v>
      </x:c>
    </x:row>
    <x:row r="1300">
      <x:c r="A1300" s="20" t="str">
        <x:v>RUN-20270826-03</x:v>
      </x:c>
      <x:c r="B1300" s="23" t="n">
        <x:v>46625</x:v>
      </x:c>
      <x:c r="C1300" s="32" t="n">
        <x:v>3</x:v>
      </x:c>
      <x:c r="D1300" s="20" t="str">
        <x:v>Notification certification</x:v>
      </x:c>
      <x:c r="E1300" s="20" t="str">
        <x:v>Property Manager + Tenant when shareable</x:v>
      </x:c>
      <x:c r="F1300" s="20" t="str">
        <x:v>Web + Mobile</x:v>
      </x:c>
      <x:c r="G1300" s="20" t="str">
        <x:v>System event + preference/manual verification</x:v>
      </x:c>
      <x:c r="H1300" s="35" t="str">
        <x:v>Trigger and prove notification: Inspection completed</x:v>
      </x:c>
      <x:c r="I1300" s="35" t="str">
        <x:v>NTF-032</x:v>
      </x:c>
      <x:c r="J1300" s="35" t="str"/>
      <x:c r="K1300" s="35" t="str"/>
      <x:c r="L1300" s="35" t="str">
        <x:v>Set each recipient's preferences; trigger the real business event; inspect routing and recipient scope; verify unread badge, list item, safe preview, inspection report deep link, mark-read sync, configured channel outcome, provider failure/retry, and duplicate suppression.</x:v>
      </x:c>
      <x:c r="M1300" s="35" t="str">
        <x:v>Exactly the intended recipients receive one correctly routed notification; disabled optional channels stay silent; deep link opens authorized context; read state synchronizes.</x:v>
      </x:c>
      <x:c r="N1300" s="35" t="str">
        <x:v>Trigger record; routing decision; outbox/delivery status; web/mobile inbox; lock-screen-safe copy; deep-link target; audit/provider retry evidence.</x:v>
      </x:c>
      <x:c r="O1300" s="35" t="str">
        <x:v>Re-run the worker and deliver a duplicate provider callback; no duplicate user-visible event. Attempt the deep link as an unauthorized adjacent role.</x:v>
      </x:c>
      <x:c r="P1300" s="35" t="str">
        <x:v>All expected records and amounts match; no unexplained error or stale state.</x:v>
      </x:c>
    </x:row>
    <x:row r="1301">
      <x:c r="A1301" s="20" t="str">
        <x:v>RUN-20270827-01</x:v>
      </x:c>
      <x:c r="B1301" s="23" t="n">
        <x:v>46626</x:v>
      </x:c>
      <x:c r="C1301" s="32" t="n">
        <x:v>1</x:v>
      </x:c>
      <x:c r="D1301" s="20" t="str">
        <x:v>Leasing</x:v>
      </x:c>
      <x:c r="E1301" s="20" t="str">
        <x:v>Leasing Agent</x:v>
      </x:c>
      <x:c r="F1301" s="20" t="str">
        <x:v>Web</x:v>
      </x:c>
      <x:c r="G1301" s="20" t="str">
        <x:v>Scan-first</x:v>
      </x:c>
      <x:c r="H1301" s="35" t="str">
        <x:v>Application intake and pipeline</x:v>
      </x:c>
      <x:c r="I1301" s="35" t="str">
        <x:v>P021; U022; L040; T040</x:v>
      </x:c>
      <x:c r="J1301" s="35" t="str">
        <x:v>SCN-0918</x:v>
      </x:c>
      <x:c r="K1301" s="35" t="str"/>
      <x:c r="L1301" s="35" t="str">
        <x:v>Upload/capture the application; review extracted applicant and unit context; confirm; inspect pipeline; request screening in synthetic/test-only mode; record a fair, documented decision.</x:v>
      </x:c>
      <x:c r="M1301" s="35" t="str">
        <x:v>Application, applicant tenant prospect, unit link, status history, screening placeholder, and communication are created once without exposing sensitive values.</x:v>
      </x:c>
      <x:c r="N1301" s="35" t="str">
        <x:v>Scan draft; Application detail; pipeline; status audit; applicant communication; role/access proof.</x:v>
      </x:c>
      <x:c r="O1301" s="35" t="str">
        <x:v>Upload a duplicate application and a wrong-unit application; no duplicate person or cross-property link.</x:v>
      </x:c>
      <x:c r="P1301" s="35" t="str">
        <x:v>All expected records and amounts match; no unexplained error or stale state.</x:v>
      </x:c>
    </x:row>
    <x:row r="1302">
      <x:c r="A1302" s="20" t="str">
        <x:v>RUN-20270827-02</x:v>
      </x:c>
      <x:c r="B1302" s="23" t="n">
        <x:v>46626</x:v>
      </x:c>
      <x:c r="C1302" s="32" t="n">
        <x:v>2</x:v>
      </x:c>
      <x:c r="D1302" s="20" t="str">
        <x:v>Role and screen certification</x:v>
      </x:c>
      <x:c r="E1302" s="20" t="str">
        <x:v>Applicant / public user</x:v>
      </x:c>
      <x:c r="F1302" s="20" t="str">
        <x:v>Mobile</x:v>
      </x:c>
      <x:c r="G1302" s="20" t="str">
        <x:v>Normal persona navigation</x:v>
      </x:c>
      <x:c r="H1302" s="35" t="str">
        <x:v>Use every permitted action and state on features/leases/issued_agreement_recovery_sheet.dart</x:v>
      </x:c>
      <x:c r="I1302" s="35" t="str">
        <x:v>SCR-128; ROLE-221</x:v>
      </x:c>
      <x:c r="J1302" s="35" t="str"/>
      <x:c r="K1302" s="35" t="str"/>
      <x:c r="L130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02" s="35" t="str">
        <x:v>The persona can use every allowed action with only its assigned properties/relationships. Hidden or disabled actions explain why; an adjacent unauthorized persona is denied without metadata leakage.</x:v>
      </x:c>
      <x:c r="N1302" s="35" t="str">
        <x:v>Persona/experience; navigation entry; desktop or device screenshots; result state; persisted read-back; audit/history; authorized and denied network result.</x:v>
      </x:c>
      <x:c r="O1302" s="35" t="str">
        <x:v>Open the direct URL or deep link with an adjacent unauthorized persona and with stale scope; both fail closed and land safely without mutation.</x:v>
      </x:c>
      <x:c r="P1302" s="35" t="str">
        <x:v>All expected records and amounts match; no unexplained error or stale state.</x:v>
      </x:c>
    </x:row>
    <x:row r="1303">
      <x:c r="A1303" s="20" t="str">
        <x:v>RUN-20270827-03</x:v>
      </x:c>
      <x:c r="B1303" s="23" t="n">
        <x:v>46626</x:v>
      </x:c>
      <x:c r="C1303" s="32" t="n">
        <x:v>3</x:v>
      </x:c>
      <x:c r="D1303" s="20" t="str">
        <x:v>Field certification</x:v>
      </x:c>
      <x:c r="E1303" s="20" t="str">
        <x:v>Workspace Administrator</x:v>
      </x:c>
      <x:c r="F1303" s="20" t="str">
        <x:v>Web</x:v>
      </x:c>
      <x:c r="G1303" s="20" t="str">
        <x:v>Manual field-by-field</x:v>
      </x:c>
      <x:c r="H1303" s="35" t="str">
        <x:v>Fill, save, reload, edit, and validate every declared field on /settings</x:v>
      </x:c>
      <x:c r="I1303" s="35" t="str">
        <x:v>FLD-0696; FLD-0697; FLD-0698; FLD-0699; FLD-0700</x:v>
      </x:c>
      <x:c r="J1303" s="35" t="str"/>
      <x:c r="K1303" s="35" t="str"/>
      <x:c r="L1303" s="35" t="str">
        <x:v>Use the source-derived Field Inventory. Enter non-default realistic values in every control (Select-6; Select-7; Select-8; Select-9; settings-rent-collection-day); submit; reload or relaunch; compare every value; edit each mutable field; verify the paired client; then run required, format, length, range, boundary, optional-null, and stale-submit checks.</x:v>
      </x:c>
      <x:c r="M1303" s="35" t="str">
        <x:v>All 5 inventoried controls persist exact normalized values, invalid values stay unsaved with clear errors, and hidden/unauthorized fields cannot be altered.</x:v>
      </x:c>
      <x:c r="N1303" s="35" t="str">
        <x:v>Before/after form screenshots; FLD IDs; API response; reloaded UI; paired-client read-back; database/audit evidence; negative validation result.</x:v>
      </x:c>
      <x:c r="O1303" s="35" t="str">
        <x:v>Use a duplicate submit and one simulated network interruption; one atomic mutation or none, never partial state.</x:v>
      </x:c>
      <x:c r="P1303" s="35" t="str">
        <x:v>All expected records and amounts match; no unexplained error or stale state.</x:v>
      </x:c>
    </x:row>
    <x:row r="1304">
      <x:c r="A1304" s="20" t="str">
        <x:v>RUN-20270827-04</x:v>
      </x:c>
      <x:c r="B1304" s="23" t="n">
        <x:v>46626</x:v>
      </x:c>
      <x:c r="C1304" s="32" t="n">
        <x:v>4</x:v>
      </x:c>
      <x:c r="D1304" s="20" t="str">
        <x:v>Surface coverage</x:v>
      </x:c>
      <x:c r="E1304" s="20" t="str">
        <x:v>Role appropriate to surface</x:v>
      </x:c>
      <x:c r="F1304" s="20" t="str">
        <x:v>Web</x:v>
      </x:c>
      <x:c r="G1304" s="20" t="str">
        <x:v>Scan/attachment</x:v>
      </x:c>
      <x:c r="H1304" s="35" t="str">
        <x:v>Scan web pass: Inspection create/run/complete/report</x:v>
      </x:c>
      <x:c r="I1304" s="35" t="str">
        <x:v>COV-030</x:v>
      </x:c>
      <x:c r="J1304" s="35" t="str"/>
      <x:c r="K1304" s="35" t="str"/>
      <x:c r="L1304" s="35" t="str">
        <x:v>Create on both clients, run checklist/photos, edit before complete, freeze after complete, and open report.</x:v>
      </x:c>
      <x:c r="M1304" s="35" t="str">
        <x:v>The supported workflow completes and persists correctly; if the capability is absent, the exact gap is proven and queued rather than silently skipped.</x:v>
      </x:c>
      <x:c r="N1304" s="35" t="str">
        <x:v>Real UI screenshot/state; submitted values; persisted read-back; cross-client read-back; audit/role/access evidence.</x:v>
      </x:c>
      <x:c r="O1304" s="35" t="str">
        <x:v>Use one invalid value, stale-state retry, or duplicate submission relevant to the form; no partial or duplicate mutation.</x:v>
      </x:c>
      <x:c r="P1304" s="35" t="str">
        <x:v>All expected records and amounts match; no unexplained error or stale state.</x:v>
      </x:c>
    </x:row>
    <x:row r="1305">
      <x:c r="A1305" s="20" t="str">
        <x:v>RUN-20270830-01</x:v>
      </x:c>
      <x:c r="B1305" s="23" t="n">
        <x:v>46629</x:v>
      </x:c>
      <x:c r="C1305" s="32" t="n">
        <x:v>1</x:v>
      </x:c>
      <x:c r="D1305" s="20" t="str">
        <x:v>Weekly operations</x:v>
      </x:c>
      <x:c r="E1305" s="20" t="str">
        <x:v>Property Manager</x:v>
      </x:c>
      <x:c r="F1305" s="20" t="str">
        <x:v>Mobile</x:v>
      </x:c>
      <x:c r="G1305" s="20" t="str">
        <x:v>Scan-first</x:v>
      </x:c>
      <x:c r="H1305" s="35" t="str">
        <x:v>Create and triage maintenance request</x:v>
      </x:c>
      <x:c r="I1305" s="35" t="str">
        <x:v>P006; U006; WO-2027-035</x:v>
      </x:c>
      <x:c r="J1305" s="35" t="str">
        <x:v>SCN-0409</x:v>
      </x:c>
      <x:c r="K1305" s="35" t="str"/>
      <x:c r="L1305" s="35" t="str">
        <x:v>Capture the tenant note/photo; review yard cleanup; confirm; set responsibility; dispatch Prime Pest Control; create an appointment and verify the tenant notification.</x:v>
      </x:c>
      <x:c r="M1305" s="35" t="str">
        <x:v>Work order, status timeline, responsibility, vendor dispatch, appointment, notification, and Unit context are linked once.</x:v>
      </x:c>
      <x:c r="N1305" s="35" t="str">
        <x:v>Scan review; work order detail/timeline; dispatch; appointment; notification; tenant portal view.</x:v>
      </x:c>
      <x:c r="O1305" s="35" t="str">
        <x:v>Cancel one dispatch each quarter, reassign once, and prove status/history remains append-only.</x:v>
      </x:c>
      <x:c r="P1305" s="35" t="str">
        <x:v>All expected records and amounts match; no unexplained error or stale state.</x:v>
      </x:c>
    </x:row>
    <x:row r="1306">
      <x:c r="A1306" s="20" t="str">
        <x:v>RUN-20270830-02</x:v>
      </x:c>
      <x:c r="B1306" s="23" t="n">
        <x:v>46629</x:v>
      </x:c>
      <x:c r="C1306" s="32" t="n">
        <x:v>2</x:v>
      </x:c>
      <x:c r="D1306" s="20" t="str">
        <x:v>Role and screen certification</x:v>
      </x:c>
      <x:c r="E1306" s="20" t="str">
        <x:v>Applicant / public user</x:v>
      </x:c>
      <x:c r="F1306" s="20" t="str">
        <x:v>Mobile</x:v>
      </x:c>
      <x:c r="G1306" s="20" t="str">
        <x:v>Normal persona navigation</x:v>
      </x:c>
      <x:c r="H1306" s="35" t="str">
        <x:v>Use every permitted action and state on features/leases/lease_detail_screen.dart</x:v>
      </x:c>
      <x:c r="I1306" s="35" t="str">
        <x:v>SCR-129; ROLE-222</x:v>
      </x:c>
      <x:c r="J1306" s="35" t="str"/>
      <x:c r="K1306" s="35" t="str"/>
      <x:c r="L13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06" s="35" t="str">
        <x:v>The persona can use every allowed action with only its assigned properties/relationships. Hidden or disabled actions explain why; an adjacent unauthorized persona is denied without metadata leakage.</x:v>
      </x:c>
      <x:c r="N1306" s="35" t="str">
        <x:v>Persona/experience; navigation entry; desktop or device screenshots; result state; persisted read-back; audit/history; authorized and denied network result.</x:v>
      </x:c>
      <x:c r="O1306" s="35" t="str">
        <x:v>Open the direct URL or deep link with an adjacent unauthorized persona and with stale scope; both fail closed and land safely without mutation.</x:v>
      </x:c>
      <x:c r="P1306" s="35" t="str">
        <x:v>All expected records and amounts match; no unexplained error or stale state.</x:v>
      </x:c>
    </x:row>
    <x:row r="1307">
      <x:c r="A1307" s="20" t="str">
        <x:v>RUN-20270830-03</x:v>
      </x:c>
      <x:c r="B1307" s="23" t="n">
        <x:v>46629</x:v>
      </x:c>
      <x:c r="C1307" s="32" t="n">
        <x:v>3</x:v>
      </x:c>
      <x:c r="D1307" s="20" t="str">
        <x:v>Field certification</x:v>
      </x:c>
      <x:c r="E1307" s="20" t="str">
        <x:v>Workspace Administrator</x:v>
      </x:c>
      <x:c r="F1307" s="20" t="str">
        <x:v>Web</x:v>
      </x:c>
      <x:c r="G1307" s="20" t="str">
        <x:v>Manual field-by-field</x:v>
      </x:c>
      <x:c r="H1307" s="35" t="str">
        <x:v>Fill, save, reload, edit, and validate every declared field on /settings</x:v>
      </x:c>
      <x:c r="I1307" s="35" t="str">
        <x:v>FLD-0701; FLD-0702; FLD-0703; FLD-0704</x:v>
      </x:c>
      <x:c r="J1307" s="35" t="str"/>
      <x:c r="K1307" s="35" t="str"/>
      <x:c r="L1307" s="35" t="str">
        <x:v>Use the source-derived Field Inventory. Enter non-default realistic values in every control (settingsModel.prorationConvention; settings-proration-convention; Select-13; Select-14); submit; reload or relaunch; compare every value; edit each mutable field; verify the paired client; then run required, format, length, range, boundary, optional-null, and stale-submit checks.</x:v>
      </x:c>
      <x:c r="M1307" s="35" t="str">
        <x:v>All 4 inventoried controls persist exact normalized values, invalid values stay unsaved with clear errors, and hidden/unauthorized fields cannot be altered.</x:v>
      </x:c>
      <x:c r="N1307" s="35" t="str">
        <x:v>Before/after form screenshots; FLD IDs; API response; reloaded UI; paired-client read-back; database/audit evidence; negative validation result.</x:v>
      </x:c>
      <x:c r="O1307" s="35" t="str">
        <x:v>Use a duplicate submit and one simulated network interruption; one atomic mutation or none, never partial state.</x:v>
      </x:c>
      <x:c r="P1307" s="35" t="str">
        <x:v>All expected records and amounts match; no unexplained error or stale state.</x:v>
      </x:c>
    </x:row>
    <x:row r="1308">
      <x:c r="A1308" s="20" t="str">
        <x:v>RUN-20270830-04</x:v>
      </x:c>
      <x:c r="B1308" s="23" t="n">
        <x:v>46629</x:v>
      </x:c>
      <x:c r="C1308" s="32" t="n">
        <x:v>4</x:v>
      </x:c>
      <x:c r="D1308" s="20" t="str">
        <x:v>Surface coverage</x:v>
      </x:c>
      <x:c r="E1308" s="20" t="str">
        <x:v>Role appropriate to surface</x:v>
      </x:c>
      <x:c r="F1308" s="20" t="str">
        <x:v>Mobile</x:v>
      </x:c>
      <x:c r="G1308" s="20" t="str">
        <x:v>Scan/attachment</x:v>
      </x:c>
      <x:c r="H1308" s="35" t="str">
        <x:v>Scan mobile pass: Inspection create/run/complete/report</x:v>
      </x:c>
      <x:c r="I1308" s="35" t="str">
        <x:v>COV-030</x:v>
      </x:c>
      <x:c r="J1308" s="35" t="str"/>
      <x:c r="K1308" s="35" t="str"/>
      <x:c r="L1308" s="35" t="str">
        <x:v>Create on both clients, run checklist/photos, edit before complete, freeze after complete, and open report.</x:v>
      </x:c>
      <x:c r="M1308" s="35" t="str">
        <x:v>The supported workflow completes and persists correctly; if the capability is absent, the exact gap is proven and queued rather than silently skipped.</x:v>
      </x:c>
      <x:c r="N1308" s="35" t="str">
        <x:v>Real UI screenshot/state; submitted values; persisted read-back; cross-client read-back; audit/role/access evidence.</x:v>
      </x:c>
      <x:c r="O1308" s="35" t="str">
        <x:v>Use one invalid value, stale-state retry, or duplicate submission relevant to the form; no partial or duplicate mutation.</x:v>
      </x:c>
      <x:c r="P1308" s="35" t="str">
        <x:v>All expected records and amounts match; no unexplained error or stale state.</x:v>
      </x:c>
    </x:row>
    <x:row r="1309">
      <x:c r="A1309" s="20" t="str">
        <x:v>RUN-20270831-01</x:v>
      </x:c>
      <x:c r="B1309" s="23" t="n">
        <x:v>46630</x:v>
      </x:c>
      <x:c r="C1309" s="32" t="n">
        <x:v>1</x:v>
      </x:c>
      <x:c r="D1309" s="20" t="str">
        <x:v>Weekly operations</x:v>
      </x:c>
      <x:c r="E1309" s="20" t="str">
        <x:v>Property Manager</x:v>
      </x:c>
      <x:c r="F1309" s="20" t="str">
        <x:v>Mobile</x:v>
      </x:c>
      <x:c r="G1309" s="20" t="str">
        <x:v>Manual web form</x:v>
      </x:c>
      <x:c r="H1309" s="35" t="str">
        <x:v>Record, review, allocate, and pay operating expense</x:v>
      </x:c>
      <x:c r="I1309" s="35" t="str">
        <x:v>P006; U006; WO-2027-035</x:v>
      </x:c>
      <x:c r="J1309" s="35" t="str"/>
      <x:c r="K1309" s="35" t="str">
        <x:v>FIN-01058</x:v>
      </x:c>
      <x:c r="L1309" s="35" t="str">
        <x:v>Capture or upload the source; verify vendor, date, scope, category, line items, tax, amount, and work-order link; confirm; open detail; verify attachment; compare Money and Property/Unit views.</x:v>
      </x:c>
      <x:c r="M1309" s="35" t="str">
        <x:v>One expense exists at its real operational scope, cash falls once, Schedule E category and allocations agree, and no per-unit copies are created.</x:v>
      </x:c>
      <x:c r="N1309" s="35" t="str">
        <x:v>Source preview; review/form; expense detail; line items; Property/Unit ledger; audit; accounting/report delta.</x:v>
      </x:c>
      <x:c r="O1309" s="35" t="str">
        <x:v>On marked duplicate-invoice cases, re-upload before confirm and prove the product prevents or clearly warns about duplication.</x:v>
      </x:c>
      <x:c r="P1309" s="35" t="str">
        <x:v>All expected records and amounts match; no unexplained error or stale state.</x:v>
      </x:c>
    </x:row>
    <x:row r="1310">
      <x:c r="A1310" s="20" t="str">
        <x:v>RUN-20270831-02</x:v>
      </x:c>
      <x:c r="B1310" s="23" t="n">
        <x:v>46630</x:v>
      </x:c>
      <x:c r="C1310" s="32" t="n">
        <x:v>2</x:v>
      </x:c>
      <x:c r="D1310" s="20" t="str">
        <x:v>Monthly close</x:v>
      </x:c>
      <x:c r="E1310" s="20" t="str">
        <x:v>Workspace Administrator</x:v>
      </x:c>
      <x:c r="F1310" s="20" t="str">
        <x:v>Web + Mobile</x:v>
      </x:c>
      <x:c r="G1310" s="20" t="str">
        <x:v>Scan/import + reconciliation</x:v>
      </x:c>
      <x:c r="H1310" s="35" t="str">
        <x:v>August bank reconciliation and close</x:v>
      </x:c>
      <x:c r="I1310" s="35" t="str">
        <x:v>Operating account 4242; deposit trust account 1818; reserve account 7070</x:v>
      </x:c>
      <x:c r="J1310" s="35" t="str">
        <x:v>SCN-0672</x:v>
      </x:c>
      <x:c r="K1310" s="35" t="str"/>
      <x:c r="L1310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310" s="35" t="str">
        <x:v>Bank ending cash, AR, deposit trust/liability, loan balance, income, expense, and net operating result match the oracle with zero unexplained variance.</x:v>
      </x:c>
      <x:c r="N1310" s="35" t="str">
        <x:v>Bank reconciliation; accounting summary; P&amp;L; cash flow; rent roll/ledger; deposits; delinquency; owner statements; audit export.</x:v>
      </x:c>
      <x:c r="O1310" s="35" t="str">
        <x:v>Try one duplicate bank transaction and one date-filter boundary; prove DB-side totals and idempotent matching.</x:v>
      </x:c>
      <x:c r="P1310" s="35" t="str">
        <x:v>All monthly checks are OK or a reproducible bug is captured before advancing the clock.</x:v>
      </x:c>
    </x:row>
    <x:row r="1311">
      <x:c r="A1311" s="20" t="str">
        <x:v>RUN-20270831-03</x:v>
      </x:c>
      <x:c r="B1311" s="23" t="n">
        <x:v>46630</x:v>
      </x:c>
      <x:c r="C1311" s="32" t="n">
        <x:v>3</x:v>
      </x:c>
      <x:c r="D1311" s="20" t="str">
        <x:v>Lease ending</x:v>
      </x:c>
      <x:c r="E1311" s="20" t="str">
        <x:v>Property Manager + Maintenance Technician</x:v>
      </x:c>
      <x:c r="F1311" s="20" t="str">
        <x:v>Mobile + Web</x:v>
      </x:c>
      <x:c r="G1311" s="20" t="str">
        <x:v>Manual inspection + scanned report</x:v>
      </x:c>
      <x:c r="H1311" s="35" t="str">
        <x:v>Return possession, inspect, and open turnover</x:v>
      </x:c>
      <x:c r="I1311" s="35" t="str">
        <x:v>L008; U008</x:v>
      </x:c>
      <x:c r="J1311" s="35" t="str">
        <x:v>SCN-0938</x:v>
      </x:c>
      <x:c r="K1311" s="35" t="str"/>
      <x:c r="L1311" s="35" t="str">
        <x:v>Complete the move-out inspection on mobile; attach/report on web; record keys and possession returned; open turnover tasks; separate normal wear from chargeable damage.</x:v>
      </x:c>
      <x:c r="M1311" s="35" t="str">
        <x:v>Possession closes once, Unit becomes Turnover/Vacant as appropriate, inspection freezes after completion, and linked work orders appear.</x:v>
      </x:c>
      <x:c r="N1311" s="35" t="str">
        <x:v>Inspection checklist/report/photos; possession event; turnover workspace; occupancy and lease-expiration reports.</x:v>
      </x:c>
      <x:c r="O1311" s="35" t="str">
        <x:v>Try editing a completed inspection and returning possession twice; both are rejected without partial changes.</x:v>
      </x:c>
      <x:c r="P1311" s="35" t="str">
        <x:v>All expected records and amounts match; no unexplained error or stale state.</x:v>
      </x:c>
    </x:row>
    <x:row r="1312">
      <x:c r="A1312" s="20" t="str">
        <x:v>RUN-20270831-04</x:v>
      </x:c>
      <x:c r="B1312" s="23" t="n">
        <x:v>46630</x:v>
      </x:c>
      <x:c r="C1312" s="32" t="n">
        <x:v>4</x:v>
      </x:c>
      <x:c r="D1312" s="20" t="str">
        <x:v>Lease ending</x:v>
      </x:c>
      <x:c r="E1312" s="20" t="str">
        <x:v>Property Manager + Maintenance Technician</x:v>
      </x:c>
      <x:c r="F1312" s="20" t="str">
        <x:v>Mobile + Web</x:v>
      </x:c>
      <x:c r="G1312" s="20" t="str">
        <x:v>Manual inspection + scanned report</x:v>
      </x:c>
      <x:c r="H1312" s="35" t="str">
        <x:v>Return possession, inspect, and open turnover</x:v>
      </x:c>
      <x:c r="I1312" s="35" t="str">
        <x:v>L022; U022</x:v>
      </x:c>
      <x:c r="J1312" s="35" t="str">
        <x:v>SCN-0944</x:v>
      </x:c>
      <x:c r="K1312" s="35" t="str"/>
      <x:c r="L1312" s="35" t="str">
        <x:v>Complete the move-out inspection on mobile; attach/report on web; record keys and possession returned; open turnover tasks; separate normal wear from chargeable damage.</x:v>
      </x:c>
      <x:c r="M1312" s="35" t="str">
        <x:v>Possession closes once, Unit becomes Turnover/Vacant as appropriate, inspection freezes after completion, and linked work orders appear.</x:v>
      </x:c>
      <x:c r="N1312" s="35" t="str">
        <x:v>Inspection checklist/report/photos; possession event; turnover workspace; occupancy and lease-expiration reports.</x:v>
      </x:c>
      <x:c r="O1312" s="35" t="str">
        <x:v>Try editing a completed inspection and returning possession twice; both are rejected without partial changes.</x:v>
      </x:c>
      <x:c r="P1312" s="35" t="str">
        <x:v>All expected records and amounts match; no unexplained error or stale state.</x:v>
      </x:c>
    </x:row>
    <x:row r="1313">
      <x:c r="A1313" s="20" t="str">
        <x:v>RUN-20270831-05</x:v>
      </x:c>
      <x:c r="B1313" s="23" t="n">
        <x:v>46630</x:v>
      </x:c>
      <x:c r="C1313" s="32" t="n">
        <x:v>5</x:v>
      </x:c>
      <x:c r="D1313" s="20" t="str">
        <x:v>Field certification</x:v>
      </x:c>
      <x:c r="E1313" s="20" t="str">
        <x:v>Workspace Administrator</x:v>
      </x:c>
      <x:c r="F1313" s="20" t="str">
        <x:v>Web</x:v>
      </x:c>
      <x:c r="G1313" s="20" t="str">
        <x:v>Manual field-by-field</x:v>
      </x:c>
      <x:c r="H1313" s="35" t="str">
        <x:v>Fill, save, reload, edit, and validate every declared field on /settings</x:v>
      </x:c>
      <x:c r="I1313" s="35" t="str">
        <x:v>FLD-0705; FLD-0706; FLD-0707; FLD-0708; FLD-0709</x:v>
      </x:c>
      <x:c r="J1313" s="35" t="str"/>
      <x:c r="K1313" s="35" t="str"/>
      <x:c r="L1313" s="35" t="str">
        <x:v>Use the source-derived Field Inventory. Enter non-default realistic values in every control (Select-15; `settings-advanced-key-${row.id; `settings-advanced-value-${row.id; broadcast-title; broadcastForm.severity); submit; reload or relaunch; compare every value; edit each mutable field; verify the paired client; then run required, format, length, range, boundary, optional-null, and stale-submit checks.</x:v>
      </x:c>
      <x:c r="M1313" s="35" t="str">
        <x:v>All 5 inventoried controls persist exact normalized values, invalid values stay unsaved with clear errors, and hidden/unauthorized fields cannot be altered.</x:v>
      </x:c>
      <x:c r="N1313" s="35" t="str">
        <x:v>Before/after form screenshots; FLD IDs; API response; reloaded UI; paired-client read-back; database/audit evidence; negative validation result.</x:v>
      </x:c>
      <x:c r="O1313" s="35" t="str">
        <x:v>Use a duplicate submit and one simulated network interruption; one atomic mutation or none, never partial state.</x:v>
      </x:c>
      <x:c r="P1313" s="35" t="str">
        <x:v>All expected records and amounts match; no unexplained error or stale state.</x:v>
      </x:c>
    </x:row>
    <x:row r="1314">
      <x:c r="A1314" s="20" t="str">
        <x:v>RUN-20270901-01</x:v>
      </x:c>
      <x:c r="B1314" s="23" t="n">
        <x:v>46631</x:v>
      </x:c>
      <x:c r="C1314" s="32" t="n">
        <x:v>1</x:v>
      </x:c>
      <x:c r="D1314" s="20" t="str">
        <x:v>Monthly operations</x:v>
      </x:c>
      <x:c r="E1314" s="20" t="str">
        <x:v>Workspace Administrator</x:v>
      </x:c>
      <x:c r="F1314" s="20" t="str">
        <x:v>Web + Mobile</x:v>
      </x:c>
      <x:c r="G1314" s="20" t="str">
        <x:v>System automation + reconciliation</x:v>
      </x:c>
      <x:c r="H1314" s="35" t="str">
        <x:v>September recurring rent generation</x:v>
      </x:c>
      <x:c r="I1314" s="35" t="str">
        <x:v>38 active tenant accounts</x:v>
      </x:c>
      <x:c r="J1314" s="35" t="str"/>
      <x:c r="K1314" s="35" t="str">
        <x:v>FIN-00682; FIN-00684; FIN-00686; FIN-00688; FIN-00690; FIN-00692; FIN-00694; FIN-00696; FIN-00698; FIN-00702; FIN-00704; FIN-00707; FIN-00709; FIN-00711; FIN-00713; FIN-00715; FIN-00717; FIN-00719; FIN-00721; FIN-00723; FIN-00725; FIN-00728; FIN-00730; FIN-00732; FIN-00734; FIN-00736; FIN-00738; FIN-00740; FIN-00744; FIN-00746; FIN-00748; FIN-00750; FIN-00752; FIN-00754; FIN-00757; FIN-00759; FIN-00761; FIN-00765</x:v>
      </x:c>
      <x:c r="L1314" s="35" t="str">
        <x:v>Advance the simulation clock to 08:00 local; run or wait for scheduled finance worker; compare generated charges to active governing agreements, start dates, proration, and unique billing-period keys.</x:v>
      </x:c>
      <x:c r="M1314" s="35" t="str">
        <x:v>Exactly 38 rent charges are posted once; mid-month starts prorate; ended leases do not receive future charges.</x:v>
      </x:c>
      <x:c r="N1314" s="35" t="str">
        <x:v>Worker status; charge list; month rent-roll export; sampled Unit/Lease/portal balances; SQL query evidence.</x:v>
      </x:c>
      <x:c r="O1314" s="35" t="str">
        <x:v>Run the finance worker a second time and prove no duplicate charge; inject one failure and prove charge/audit/outbox atomic rollback.</x:v>
      </x:c>
      <x:c r="P1314" s="35" t="str">
        <x:v>All expected records and amounts match; no unexplained error or stale state.</x:v>
      </x:c>
    </x:row>
    <x:row r="1315">
      <x:c r="A1315" s="20" t="str">
        <x:v>RUN-20270901-02</x:v>
      </x:c>
      <x:c r="B1315" s="23" t="n">
        <x:v>46631</x:v>
      </x:c>
      <x:c r="C1315" s="32" t="n">
        <x:v>2</x:v>
      </x:c>
      <x:c r="D1315" s="20" t="str">
        <x:v>Leasing</x:v>
      </x:c>
      <x:c r="E1315" s="20" t="str">
        <x:v>Leasing Agent</x:v>
      </x:c>
      <x:c r="F1315" s="20" t="str">
        <x:v>Web + Mobile</x:v>
      </x:c>
      <x:c r="G1315" s="20" t="str">
        <x:v>Manual lifecycle command</x:v>
      </x:c>
      <x:c r="H1315" s="35" t="str">
        <x:v>Approve application and prepare move-in</x:v>
      </x:c>
      <x:c r="I1315" s="35" t="str">
        <x:v>L040; U022; T040</x:v>
      </x:c>
      <x:c r="J1315" s="35" t="str"/>
      <x:c r="K1315" s="35" t="str"/>
      <x:c r="L1315" s="35" t="str">
        <x:v>Approve the selected application; run Prepare move-in; confirm parties, planned possession, rent, deposit, Tenant Account, and initial Agreement draft; invite portal access under policy.</x:v>
      </x:c>
      <x:c r="M1315" s="35" t="str">
        <x:v>One planned LeaseManagement, party set, account, and agreement draft commit atomically; Unit is move-in scheduled, not occupied.</x:v>
      </x:c>
      <x:c r="N1315" s="35" t="str">
        <x:v>Application decision; Unit state; parties; account; draft; portal invitation; atomic audit.</x:v>
      </x:c>
      <x:c r="O1315" s="35" t="str">
        <x:v>Inject failure at the former save boundary and prove no partial relationship/account/agreement remains.</x:v>
      </x:c>
      <x:c r="P1315" s="35" t="str">
        <x:v>All expected records and amounts match; no unexplained error or stale state.</x:v>
      </x:c>
    </x:row>
    <x:row r="1316">
      <x:c r="A1316" s="20" t="str">
        <x:v>RUN-20270901-03</x:v>
      </x:c>
      <x:c r="B1316" s="23" t="n">
        <x:v>46631</x:v>
      </x:c>
      <x:c r="C1316" s="32" t="n">
        <x:v>3</x:v>
      </x:c>
      <x:c r="D1316" s="20" t="str">
        <x:v>Role and screen certification</x:v>
      </x:c>
      <x:c r="E1316" s="20" t="str">
        <x:v>Applicant / public user</x:v>
      </x:c>
      <x:c r="F1316" s="20" t="str">
        <x:v>Mobile</x:v>
      </x:c>
      <x:c r="G1316" s="20" t="str">
        <x:v>Normal persona navigation</x:v>
      </x:c>
      <x:c r="H1316" s="35" t="str">
        <x:v>Use every permitted action and state on features/leases/leases_list_screen.dart</x:v>
      </x:c>
      <x:c r="I1316" s="35" t="str">
        <x:v>SCR-130; ROLE-223</x:v>
      </x:c>
      <x:c r="J1316" s="35" t="str"/>
      <x:c r="K1316" s="35" t="str"/>
      <x:c r="L131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16" s="35" t="str">
        <x:v>The persona can use every allowed action with only its assigned properties/relationships. Hidden or disabled actions explain why; an adjacent unauthorized persona is denied without metadata leakage.</x:v>
      </x:c>
      <x:c r="N1316" s="35" t="str">
        <x:v>Persona/experience; navigation entry; desktop or device screenshots; result state; persisted read-back; audit/history; authorized and denied network result.</x:v>
      </x:c>
      <x:c r="O1316" s="35" t="str">
        <x:v>Open the direct URL or deep link with an adjacent unauthorized persona and with stale scope; both fail closed and land safely without mutation.</x:v>
      </x:c>
      <x:c r="P1316" s="35" t="str">
        <x:v>All expected records and amounts match; no unexplained error or stale state.</x:v>
      </x:c>
    </x:row>
    <x:row r="1317">
      <x:c r="A1317" s="20" t="str">
        <x:v>RUN-20270901-04</x:v>
      </x:c>
      <x:c r="B1317" s="23" t="n">
        <x:v>46631</x:v>
      </x:c>
      <x:c r="C1317" s="32" t="n">
        <x:v>4</x:v>
      </x:c>
      <x:c r="D1317" s="20" t="str">
        <x:v>Field certification</x:v>
      </x:c>
      <x:c r="E1317" s="20" t="str">
        <x:v>Workspace Administrator</x:v>
      </x:c>
      <x:c r="F1317" s="20" t="str">
        <x:v>Web</x:v>
      </x:c>
      <x:c r="G1317" s="20" t="str">
        <x:v>Manual field-by-field</x:v>
      </x:c>
      <x:c r="H1317" s="35" t="str">
        <x:v>Fill, save, reload, edit, and validate every declared field on /settings</x:v>
      </x:c>
      <x:c r="I1317" s="35" t="str">
        <x:v>FLD-0710; FLD-0711; FLD-0712; FLD-0713</x:v>
      </x:c>
      <x:c r="J1317" s="35" t="str"/>
      <x:c r="K1317" s="35" t="str"/>
      <x:c r="L1317" s="35" t="str">
        <x:v>Use the source-derived Field Inventory. Enter non-default realistic values in every control (broadcast-severity; Select-21; Select-22; Select-23); submit; reload or relaunch; compare every value; edit each mutable field; verify the paired client; then run required, format, length, range, boundary, optional-null, and stale-submit checks.</x:v>
      </x:c>
      <x:c r="M1317" s="35" t="str">
        <x:v>All 4 inventoried controls persist exact normalized values, invalid values stay unsaved with clear errors, and hidden/unauthorized fields cannot be altered.</x:v>
      </x:c>
      <x:c r="N1317" s="35" t="str">
        <x:v>Before/after form screenshots; FLD IDs; API response; reloaded UI; paired-client read-back; database/audit evidence; negative validation result.</x:v>
      </x:c>
      <x:c r="O1317" s="35" t="str">
        <x:v>Use a duplicate submit and one simulated network interruption; one atomic mutation or none, never partial state.</x:v>
      </x:c>
      <x:c r="P1317" s="35" t="str">
        <x:v>All expected records and amounts match; no unexplained error or stale state.</x:v>
      </x:c>
    </x:row>
    <x:row r="1318">
      <x:c r="A1318" s="20" t="str">
        <x:v>RUN-20270901-05</x:v>
      </x:c>
      <x:c r="B1318" s="23" t="n">
        <x:v>46631</x:v>
      </x:c>
      <x:c r="C1318" s="32" t="n">
        <x:v>5</x:v>
      </x:c>
      <x:c r="D1318" s="20" t="str">
        <x:v>Lifecycle certification</x:v>
      </x:c>
      <x:c r="E1318" s="20" t="str">
        <x:v>Maintenance Technician</x:v>
      </x:c>
      <x:c r="F1318" s="20" t="str">
        <x:v>Web + Mobile</x:v>
      </x:c>
      <x:c r="G1318" s="20" t="str">
        <x:v>Manual + scan/attachment where supported</x:v>
      </x:c>
      <x:c r="H1318" s="35" t="str">
        <x:v>Complete the full create/read/edit/lifecycle/delete-safe pass for Technician assignment</x:v>
      </x:c>
      <x:c r="I1318" s="35" t="str">
        <x:v>CRUD-023</x:v>
      </x:c>
      <x:c r="J1318" s="35" t="str"/>
      <x:c r="K1318" s="35" t="str"/>
      <x:c r="L1318" s="35" t="str">
        <x:v>Use a dedicated disposable QA record and execute: accept; labor start/stop; material/receipt; note/photo; complete. Fill every field referenced by field-inventory.csv. Verify confirmation copy, cancel path, final path, reload, other-client state, history, and role denial.</x:v>
      </x:c>
      <x:c r="M1318" s="35" t="str">
        <x:v>Every supported transition succeeds exactly once; forbidden destructive actions are guarded; reversible deletion/deactivation works; financial and historical truth is preserved.</x:v>
      </x:c>
      <x:c r="N1318" s="35" t="str">
        <x:v>Entity before/after; both clients; all FLD IDs; audit/history; notifications; authorized and unauthorized personas; API/DB state.</x:v>
      </x:c>
      <x:c r="O1318" s="35" t="str">
        <x:v>Cancel the first destructive confirmation, then repeat and confirm; retry the mutation once; no double transition or orphan.</x:v>
      </x:c>
      <x:c r="P1318" s="35" t="str">
        <x:v>All expected records and amounts match; no unexplained error or stale state.</x:v>
      </x:c>
    </x:row>
    <x:row r="1319">
      <x:c r="A1319" s="20" t="str">
        <x:v>RUN-20270901-06</x:v>
      </x:c>
      <x:c r="B1319" s="23" t="n">
        <x:v>46631</x:v>
      </x:c>
      <x:c r="C1319" s="32" t="n">
        <x:v>6</x:v>
      </x:c>
      <x:c r="D1319" s="20" t="str">
        <x:v>Surface coverage</x:v>
      </x:c>
      <x:c r="E1319" s="20" t="str">
        <x:v>Role appropriate to surface</x:v>
      </x:c>
      <x:c r="F1319" s="20" t="str">
        <x:v>Web</x:v>
      </x:c>
      <x:c r="G1319" s="20" t="str">
        <x:v>Manual</x:v>
      </x:c>
      <x:c r="H1319" s="35" t="str">
        <x:v>Manual web pass: Turnover workspace and make-ready</x:v>
      </x:c>
      <x:c r="I1319" s="35" t="str">
        <x:v>COV-031</x:v>
      </x:c>
      <x:c r="J1319" s="35" t="str"/>
      <x:c r="K1319" s="35" t="str"/>
      <x:c r="L1319" s="35" t="str">
        <x:v>Open turnover, create tasks/work orders, track ready date, close, and verify vacancy/marketing independence.</x:v>
      </x:c>
      <x:c r="M1319" s="35" t="str">
        <x:v>The supported workflow completes and persists correctly; if the capability is absent, the exact gap is proven and queued rather than silently skipped.</x:v>
      </x:c>
      <x:c r="N1319" s="35" t="str">
        <x:v>Real UI screenshot/state; submitted values; persisted read-back; cross-client read-back; audit/role/access evidence.</x:v>
      </x:c>
      <x:c r="O1319" s="35" t="str">
        <x:v>Use one invalid value, stale-state retry, or duplicate submission relevant to the form; no partial or duplicate mutation.</x:v>
      </x:c>
      <x:c r="P1319" s="35" t="str">
        <x:v>All expected records and amounts match; no unexplained error or stale state.</x:v>
      </x:c>
    </x:row>
    <x:row r="1320">
      <x:c r="A1320" s="20" t="str">
        <x:v>RUN-20270902-01</x:v>
      </x:c>
      <x:c r="B1320" s="23" t="n">
        <x:v>46632</x:v>
      </x:c>
      <x:c r="C1320" s="32" t="n">
        <x:v>1</x:v>
      </x:c>
      <x:c r="D1320" s="20" t="str">
        <x:v>Role and screen certification</x:v>
      </x:c>
      <x:c r="E1320" s="20" t="str">
        <x:v>Applicant / public user</x:v>
      </x:c>
      <x:c r="F1320" s="20" t="str">
        <x:v>Mobile</x:v>
      </x:c>
      <x:c r="G1320" s="20" t="str">
        <x:v>Normal persona navigation</x:v>
      </x:c>
      <x:c r="H1320" s="35" t="str">
        <x:v>Use every permitted action and state on features/leases/prepare_move_in_sheet.dart</x:v>
      </x:c>
      <x:c r="I1320" s="35" t="str">
        <x:v>SCR-131; ROLE-224</x:v>
      </x:c>
      <x:c r="J1320" s="35" t="str"/>
      <x:c r="K1320" s="35" t="str"/>
      <x:c r="L13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20" s="35" t="str">
        <x:v>The persona can use every allowed action with only its assigned properties/relationships. Hidden or disabled actions explain why; an adjacent unauthorized persona is denied without metadata leakage.</x:v>
      </x:c>
      <x:c r="N1320" s="35" t="str">
        <x:v>Persona/experience; navigation entry; desktop or device screenshots; result state; persisted read-back; audit/history; authorized and denied network result.</x:v>
      </x:c>
      <x:c r="O1320" s="35" t="str">
        <x:v>Open the direct URL or deep link with an adjacent unauthorized persona and with stale scope; both fail closed and land safely without mutation.</x:v>
      </x:c>
      <x:c r="P1320" s="35" t="str">
        <x:v>All expected records and amounts match; no unexplained error or stale state.</x:v>
      </x:c>
    </x:row>
    <x:row r="1321">
      <x:c r="A1321" s="20" t="str">
        <x:v>RUN-20270902-02</x:v>
      </x:c>
      <x:c r="B1321" s="23" t="n">
        <x:v>46632</x:v>
      </x:c>
      <x:c r="C1321" s="32" t="n">
        <x:v>2</x:v>
      </x:c>
      <x:c r="D1321" s="20" t="str">
        <x:v>Field certification</x:v>
      </x:c>
      <x:c r="E1321" s="20" t="str">
        <x:v>Workspace Administrator</x:v>
      </x:c>
      <x:c r="F1321" s="20" t="str">
        <x:v>Web</x:v>
      </x:c>
      <x:c r="G1321" s="20" t="str">
        <x:v>Manual field-by-field</x:v>
      </x:c>
      <x:c r="H1321" s="35" t="str">
        <x:v>Fill, save, reload, edit, and validate every declared field on /settings</x:v>
      </x:c>
      <x:c r="I1321" s="35" t="str">
        <x:v>FLD-0714; FLD-0715</x:v>
      </x:c>
      <x:c r="J1321" s="35" t="str"/>
      <x:c r="K1321" s="35" t="str"/>
      <x:c r="L1321" s="35" t="str">
        <x:v>Use the source-derived Field Inventory. Enter non-default realistic values in every control (Select-24; broadcast-message); submit; reload or relaunch; compare every value; edit each mutable field; verify the paired client; then run required, format, length, range, boundary, optional-null, and stale-submit checks.</x:v>
      </x:c>
      <x:c r="M1321" s="35" t="str">
        <x:v>All 2 inventoried controls persist exact normalized values, invalid values stay unsaved with clear errors, and hidden/unauthorized fields cannot be altered.</x:v>
      </x:c>
      <x:c r="N1321" s="35" t="str">
        <x:v>Before/after form screenshots; FLD IDs; API response; reloaded UI; paired-client read-back; database/audit evidence; negative validation result.</x:v>
      </x:c>
      <x:c r="O1321" s="35" t="str">
        <x:v>Use a duplicate submit and one simulated network interruption; one atomic mutation or none, never partial state.</x:v>
      </x:c>
      <x:c r="P1321" s="35" t="str">
        <x:v>All expected records and amounts match; no unexplained error or stale state.</x:v>
      </x:c>
    </x:row>
    <x:row r="1322">
      <x:c r="A1322" s="20" t="str">
        <x:v>RUN-20270902-03</x:v>
      </x:c>
      <x:c r="B1322" s="23" t="n">
        <x:v>46632</x:v>
      </x:c>
      <x:c r="C1322" s="32" t="n">
        <x:v>3</x:v>
      </x:c>
      <x:c r="D1322" s="20" t="str">
        <x:v>Field certification</x:v>
      </x:c>
      <x:c r="E1322" s="20" t="str">
        <x:v>Workspace Administrator</x:v>
      </x:c>
      <x:c r="F1322" s="20" t="str">
        <x:v>Web</x:v>
      </x:c>
      <x:c r="G1322" s="20" t="str">
        <x:v>Manual field-by-field</x:v>
      </x:c>
      <x:c r="H1322" s="35" t="str">
        <x:v>Fill, save, reload, edit, and validate every declared field on /settings/accounting</x:v>
      </x:c>
      <x:c r="I1322" s="35" t="str">
        <x:v>FLD-0716; FLD-0717</x:v>
      </x:c>
      <x:c r="J1322" s="35" t="str"/>
      <x:c r="K1322" s="35" t="str"/>
      <x:c r="L1322" s="35" t="str">
        <x:v>Use the source-derived Field Inventory. Enter non-default realistic values in every control (provider; operationKey); submit; reload or relaunch; compare every value; edit each mutable field; verify the paired client; then run required, format, length, range, boundary, optional-null, and stale-submit checks.</x:v>
      </x:c>
      <x:c r="M1322" s="35" t="str">
        <x:v>All 2 inventoried controls persist exact normalized values, invalid values stay unsaved with clear errors, and hidden/unauthorized fields cannot be altered.</x:v>
      </x:c>
      <x:c r="N1322" s="35" t="str">
        <x:v>Before/after form screenshots; FLD IDs; API response; reloaded UI; paired-client read-back; database/audit evidence; negative validation result.</x:v>
      </x:c>
      <x:c r="O1322" s="35" t="str">
        <x:v>Use a duplicate submit and one simulated network interruption; one atomic mutation or none, never partial state.</x:v>
      </x:c>
      <x:c r="P1322" s="35" t="str">
        <x:v>All expected records and amounts match; no unexplained error or stale state.</x:v>
      </x:c>
    </x:row>
    <x:row r="1323">
      <x:c r="A1323" s="20" t="str">
        <x:v>RUN-20270902-04</x:v>
      </x:c>
      <x:c r="B1323" s="23" t="n">
        <x:v>46632</x:v>
      </x:c>
      <x:c r="C1323" s="32" t="n">
        <x:v>4</x:v>
      </x:c>
      <x:c r="D1323" s="20" t="str">
        <x:v>Notification certification</x:v>
      </x:c>
      <x:c r="E1323" s="20" t="str">
        <x:v>Tenant/Owner/Staff</x:v>
      </x:c>
      <x:c r="F1323" s="20" t="str">
        <x:v>Web + Mobile</x:v>
      </x:c>
      <x:c r="G1323" s="20" t="str">
        <x:v>System event + preference/manual verification</x:v>
      </x:c>
      <x:c r="H1323" s="35" t="str">
        <x:v>Trigger and prove notification: New conversation message</x:v>
      </x:c>
      <x:c r="I1323" s="35" t="str">
        <x:v>NTF-033</x:v>
      </x:c>
      <x:c r="J1323" s="35" t="str"/>
      <x:c r="K1323" s="35" t="str"/>
      <x:c r="L1323" s="35" t="str">
        <x:v>Set each recipient's preferences; trigger the real business event; inspect routing and recipient scope; verify unread badge, list item, safe preview, conversation deep link, mark-read sync, configured channel outcome, provider failure/retry, and duplicate suppression.</x:v>
      </x:c>
      <x:c r="M1323" s="35" t="str">
        <x:v>Exactly the intended recipients receive one correctly routed notification; disabled optional channels stay silent; deep link opens authorized context; read state synchronizes.</x:v>
      </x:c>
      <x:c r="N1323" s="35" t="str">
        <x:v>Trigger record; routing decision; outbox/delivery status; web/mobile inbox; lock-screen-safe copy; deep-link target; audit/provider retry evidence.</x:v>
      </x:c>
      <x:c r="O1323" s="35" t="str">
        <x:v>Re-run the worker and deliver a duplicate provider callback; no duplicate user-visible event. Attempt the deep link as an unauthorized adjacent role.</x:v>
      </x:c>
      <x:c r="P1323" s="35" t="str">
        <x:v>All expected records and amounts match; no unexplained error or stale state.</x:v>
      </x:c>
    </x:row>
    <x:row r="1324">
      <x:c r="A1324" s="20" t="str">
        <x:v>RUN-20270902-05</x:v>
      </x:c>
      <x:c r="B1324" s="23" t="n">
        <x:v>46632</x:v>
      </x:c>
      <x:c r="C1324" s="32" t="n">
        <x:v>5</x:v>
      </x:c>
      <x:c r="D1324" s="20" t="str">
        <x:v>Surface coverage</x:v>
      </x:c>
      <x:c r="E1324" s="20" t="str">
        <x:v>Role appropriate to surface</x:v>
      </x:c>
      <x:c r="F1324" s="20" t="str">
        <x:v>Mobile</x:v>
      </x:c>
      <x:c r="G1324" s="20" t="str">
        <x:v>Manual</x:v>
      </x:c>
      <x:c r="H1324" s="35" t="str">
        <x:v>Manual mobile pass: Turnover workspace and make-ready</x:v>
      </x:c>
      <x:c r="I1324" s="35" t="str">
        <x:v>COV-031</x:v>
      </x:c>
      <x:c r="J1324" s="35" t="str"/>
      <x:c r="K1324" s="35" t="str"/>
      <x:c r="L1324" s="35" t="str">
        <x:v>Open turnover, create tasks/work orders, track ready date, close, and verify vacancy/marketing independence.</x:v>
      </x:c>
      <x:c r="M1324" s="35" t="str">
        <x:v>The supported workflow completes and persists correctly; if the capability is absent, the exact gap is proven and queued rather than silently skipped.</x:v>
      </x:c>
      <x:c r="N1324" s="35" t="str">
        <x:v>Real UI screenshot/state; submitted values; persisted read-back; cross-client read-back; audit/role/access evidence.</x:v>
      </x:c>
      <x:c r="O1324" s="35" t="str">
        <x:v>Use one invalid value, stale-state retry, or duplicate submission relevant to the form; no partial or duplicate mutation.</x:v>
      </x:c>
      <x:c r="P1324" s="35" t="str">
        <x:v>All expected records and amounts match; no unexplained error or stale state.</x:v>
      </x:c>
    </x:row>
    <x:row r="1325">
      <x:c r="A1325" s="20" t="str">
        <x:v>RUN-20270903-01</x:v>
      </x:c>
      <x:c r="B1325" s="23" t="n">
        <x:v>46633</x:v>
      </x:c>
      <x:c r="C1325" s="32" t="n">
        <x:v>1</x:v>
      </x:c>
      <x:c r="D1325" s="20" t="str">
        <x:v>Monthly operations</x:v>
      </x:c>
      <x:c r="E1325" s="20" t="str">
        <x:v>Property Manager</x:v>
      </x:c>
      <x:c r="F1325" s="20" t="str">
        <x:v>Mobile</x:v>
      </x:c>
      <x:c r="G1325" s="20" t="str">
        <x:v>Portal card</x:v>
      </x:c>
      <x:c r="H1325" s="35" t="str">
        <x:v>Post and allocate tenant receipt</x:v>
      </x:c>
      <x:c r="I1325" s="35" t="str">
        <x:v>P003; U003; L003</x:v>
      </x:c>
      <x:c r="J1325" s="35" t="str"/>
      <x:c r="K1325" s="35" t="str">
        <x:v>FIN-00686; FIN-00687</x:v>
      </x:c>
      <x:c r="L1325" s="35" t="str">
        <x:v>Open Scan for paper payment or the tenant-account receipt form for electronic payment; verify tenant/lease match, amount, date, method, and reference; confirm once; open ledger detail and allocation.</x:v>
      </x:c>
      <x:c r="M1325" s="35" t="str">
        <x:v>Receipt is append-only, allocated once to the correct rent charge, and visible consistently in Unit, Lease, Tenant Account, Accounting, and portal views.</x:v>
      </x:c>
      <x:c r="N1325" s="35" t="str">
        <x:v>Scan review or form; success result; exact ledger rows; payment detail; accounting delta; portal receipt.</x:v>
      </x:c>
      <x:c r="O1325" s="35" t="str">
        <x:v>Retry the idempotency key once during the quarter assigned in the coverage matrix; no duplicate cash or allocation.</x:v>
      </x:c>
      <x:c r="P1325" s="35" t="str">
        <x:v>All expected records and amounts match; no unexplained error or stale state.</x:v>
      </x:c>
    </x:row>
    <x:row r="1326">
      <x:c r="A1326" s="20" t="str">
        <x:v>RUN-20270903-02</x:v>
      </x:c>
      <x:c r="B1326" s="23" t="n">
        <x:v>46633</x:v>
      </x:c>
      <x:c r="C1326" s="32" t="n">
        <x:v>2</x:v>
      </x:c>
      <x:c r="D1326" s="20" t="str">
        <x:v>Monthly operations</x:v>
      </x:c>
      <x:c r="E1326" s="20" t="str">
        <x:v>Property Manager</x:v>
      </x:c>
      <x:c r="F1326" s="20" t="str">
        <x:v>Web</x:v>
      </x:c>
      <x:c r="G1326" s="20" t="str">
        <x:v>Manual ACH</x:v>
      </x:c>
      <x:c r="H1326" s="35" t="str">
        <x:v>Post and allocate tenant receipt</x:v>
      </x:c>
      <x:c r="I1326" s="35" t="str">
        <x:v>P006; U006; L006</x:v>
      </x:c>
      <x:c r="J1326" s="35" t="str"/>
      <x:c r="K1326" s="35" t="str">
        <x:v>FIN-00690; FIN-00691</x:v>
      </x:c>
      <x:c r="L1326" s="35" t="str">
        <x:v>Open Scan for paper payment or the tenant-account receipt form for electronic payment; verify tenant/lease match, amount, date, method, and reference; confirm once; open ledger detail and allocation.</x:v>
      </x:c>
      <x:c r="M1326" s="35" t="str">
        <x:v>Receipt is append-only, allocated once to the correct rent charge, and visible consistently in Unit, Lease, Tenant Account, Accounting, and portal views.</x:v>
      </x:c>
      <x:c r="N1326" s="35" t="str">
        <x:v>Scan review or form; success result; exact ledger rows; payment detail; accounting delta; portal receipt.</x:v>
      </x:c>
      <x:c r="O1326" s="35" t="str">
        <x:v>Retry the idempotency key once during the quarter assigned in the coverage matrix; no duplicate cash or allocation.</x:v>
      </x:c>
      <x:c r="P1326" s="35" t="str">
        <x:v>All expected records and amounts match; no unexplained error or stale state.</x:v>
      </x:c>
    </x:row>
    <x:row r="1327">
      <x:c r="A1327" s="20" t="str">
        <x:v>RUN-20270903-03</x:v>
      </x:c>
      <x:c r="B1327" s="23" t="n">
        <x:v>46633</x:v>
      </x:c>
      <x:c r="C1327" s="32" t="n">
        <x:v>3</x:v>
      </x:c>
      <x:c r="D1327" s="20" t="str">
        <x:v>Monthly operations</x:v>
      </x:c>
      <x:c r="E1327" s="20" t="str">
        <x:v>Property Manager</x:v>
      </x:c>
      <x:c r="F1327" s="20" t="str">
        <x:v>Mobile</x:v>
      </x:c>
      <x:c r="G1327" s="20" t="str">
        <x:v>Scanned money order</x:v>
      </x:c>
      <x:c r="H1327" s="35" t="str">
        <x:v>Post and allocate tenant receipt</x:v>
      </x:c>
      <x:c r="I1327" s="35" t="str">
        <x:v>P009; U009; L009</x:v>
      </x:c>
      <x:c r="J1327" s="35" t="str">
        <x:v>SCN-0262</x:v>
      </x:c>
      <x:c r="K1327" s="35" t="str">
        <x:v>FIN-00694; FIN-00695</x:v>
      </x:c>
      <x:c r="L1327" s="35" t="str">
        <x:v>Open Scan for paper payment or the tenant-account receipt form for electronic payment; verify tenant/lease match, amount, date, method, and reference; confirm once; open ledger detail and allocation.</x:v>
      </x:c>
      <x:c r="M1327" s="35" t="str">
        <x:v>Receipt is append-only, allocated once to the correct rent charge, and visible consistently in Unit, Lease, Tenant Account, Accounting, and portal views.</x:v>
      </x:c>
      <x:c r="N1327" s="35" t="str">
        <x:v>Scan review or form; success result; exact ledger rows; payment detail; accounting delta; portal receipt.</x:v>
      </x:c>
      <x:c r="O1327" s="35" t="str">
        <x:v>Retry the idempotency key once during the quarter assigned in the coverage matrix; no duplicate cash or allocation.</x:v>
      </x:c>
      <x:c r="P1327" s="35" t="str">
        <x:v>All expected records and amounts match; no unexplained error or stale state.</x:v>
      </x:c>
    </x:row>
    <x:row r="1328">
      <x:c r="A1328" s="20" t="str">
        <x:v>RUN-20270903-04</x:v>
      </x:c>
      <x:c r="B1328" s="23" t="n">
        <x:v>46633</x:v>
      </x:c>
      <x:c r="C1328" s="32" t="n">
        <x:v>4</x:v>
      </x:c>
      <x:c r="D1328" s="20" t="str">
        <x:v>Monthly operations</x:v>
      </x:c>
      <x:c r="E1328" s="20" t="str">
        <x:v>Property Manager</x:v>
      </x:c>
      <x:c r="F1328" s="20" t="str">
        <x:v>Mobile</x:v>
      </x:c>
      <x:c r="G1328" s="20" t="str">
        <x:v>Portal card</x:v>
      </x:c>
      <x:c r="H1328" s="35" t="str">
        <x:v>Post and allocate tenant receipt</x:v>
      </x:c>
      <x:c r="I1328" s="35" t="str">
        <x:v>P011; U011; L011</x:v>
      </x:c>
      <x:c r="J1328" s="35" t="str"/>
      <x:c r="K1328" s="35" t="str">
        <x:v>FIN-00698; FIN-00699</x:v>
      </x:c>
      <x:c r="L1328" s="35" t="str">
        <x:v>Open Scan for paper payment or the tenant-account receipt form for electronic payment; verify tenant/lease match, amount, date, method, and reference; confirm once; open ledger detail and allocation.</x:v>
      </x:c>
      <x:c r="M1328" s="35" t="str">
        <x:v>Receipt is append-only, allocated once to the correct rent charge, and visible consistently in Unit, Lease, Tenant Account, Accounting, and portal views.</x:v>
      </x:c>
      <x:c r="N1328" s="35" t="str">
        <x:v>Scan review or form; success result; exact ledger rows; payment detail; accounting delta; portal receipt.</x:v>
      </x:c>
      <x:c r="O1328" s="35" t="str">
        <x:v>Retry the idempotency key once during the quarter assigned in the coverage matrix; no duplicate cash or allocation.</x:v>
      </x:c>
      <x:c r="P1328" s="35" t="str">
        <x:v>All expected records and amounts match; no unexplained error or stale state.</x:v>
      </x:c>
    </x:row>
    <x:row r="1329">
      <x:c r="A1329" s="20" t="str">
        <x:v>RUN-20270903-05</x:v>
      </x:c>
      <x:c r="B1329" s="23" t="n">
        <x:v>46633</x:v>
      </x:c>
      <x:c r="C1329" s="32" t="n">
        <x:v>5</x:v>
      </x:c>
      <x:c r="D1329" s="20" t="str">
        <x:v>Monthly operations</x:v>
      </x:c>
      <x:c r="E1329" s="20" t="str">
        <x:v>Property Manager</x:v>
      </x:c>
      <x:c r="F1329" s="20" t="str">
        <x:v>Web</x:v>
      </x:c>
      <x:c r="G1329" s="20" t="str">
        <x:v>Scanned check</x:v>
      </x:c>
      <x:c r="H1329" s="35" t="str">
        <x:v>Post and allocate tenant receipt</x:v>
      </x:c>
      <x:c r="I1329" s="35" t="str">
        <x:v>P012; U012; L012</x:v>
      </x:c>
      <x:c r="J1329" s="35" t="str">
        <x:v>SCN-0264</x:v>
      </x:c>
      <x:c r="K1329" s="35" t="str">
        <x:v>FIN-00702; FIN-00703</x:v>
      </x:c>
      <x:c r="L1329" s="35" t="str">
        <x:v>Open Scan for paper payment or the tenant-account receipt form for electronic payment; verify tenant/lease match, amount, date, method, and reference; confirm once; open ledger detail and allocation.</x:v>
      </x:c>
      <x:c r="M1329" s="35" t="str">
        <x:v>Receipt is append-only, allocated once to the correct rent charge, and visible consistently in Unit, Lease, Tenant Account, Accounting, and portal views.</x:v>
      </x:c>
      <x:c r="N1329" s="35" t="str">
        <x:v>Scan review or form; success result; exact ledger rows; payment detail; accounting delta; portal receipt.</x:v>
      </x:c>
      <x:c r="O1329" s="35" t="str">
        <x:v>Retry the idempotency key once during the quarter assigned in the coverage matrix; no duplicate cash or allocation.</x:v>
      </x:c>
      <x:c r="P1329" s="35" t="str">
        <x:v>All expected records and amounts match; no unexplained error or stale state.</x:v>
      </x:c>
    </x:row>
    <x:row r="1330">
      <x:c r="A1330" s="20" t="str">
        <x:v>RUN-20270903-06</x:v>
      </x:c>
      <x:c r="B1330" s="23" t="n">
        <x:v>46633</x:v>
      </x:c>
      <x:c r="C1330" s="32" t="n">
        <x:v>6</x:v>
      </x:c>
      <x:c r="D1330" s="20" t="str">
        <x:v>Monthly operations</x:v>
      </x:c>
      <x:c r="E1330" s="20" t="str">
        <x:v>Property Manager</x:v>
      </x:c>
      <x:c r="F1330" s="20" t="str">
        <x:v>Mobile</x:v>
      </x:c>
      <x:c r="G1330" s="20" t="str">
        <x:v>Portal card</x:v>
      </x:c>
      <x:c r="H1330" s="35" t="str">
        <x:v>Post and allocate tenant receipt</x:v>
      </x:c>
      <x:c r="I1330" s="35" t="str">
        <x:v>P015; U015; L015</x:v>
      </x:c>
      <x:c r="J1330" s="35" t="str"/>
      <x:c r="K1330" s="35" t="str">
        <x:v>FIN-00707; FIN-00708</x:v>
      </x:c>
      <x:c r="L1330" s="35" t="str">
        <x:v>Open Scan for paper payment or the tenant-account receipt form for electronic payment; verify tenant/lease match, amount, date, method, and reference; confirm once; open ledger detail and allocation.</x:v>
      </x:c>
      <x:c r="M1330" s="35" t="str">
        <x:v>Receipt is append-only, allocated once to the correct rent charge, and visible consistently in Unit, Lease, Tenant Account, Accounting, and portal views.</x:v>
      </x:c>
      <x:c r="N1330" s="35" t="str">
        <x:v>Scan review or form; success result; exact ledger rows; payment detail; accounting delta; portal receipt.</x:v>
      </x:c>
      <x:c r="O1330" s="35" t="str">
        <x:v>Retry the idempotency key once during the quarter assigned in the coverage matrix; no duplicate cash or allocation.</x:v>
      </x:c>
      <x:c r="P1330" s="35" t="str">
        <x:v>All expected records and amounts match; no unexplained error or stale state.</x:v>
      </x:c>
    </x:row>
    <x:row r="1331">
      <x:c r="A1331" s="20" t="str">
        <x:v>RUN-20270903-07</x:v>
      </x:c>
      <x:c r="B1331" s="23" t="n">
        <x:v>46633</x:v>
      </x:c>
      <x:c r="C1331" s="32" t="n">
        <x:v>7</x:v>
      </x:c>
      <x:c r="D1331" s="20" t="str">
        <x:v>Monthly operations</x:v>
      </x:c>
      <x:c r="E1331" s="20" t="str">
        <x:v>Property Manager</x:v>
      </x:c>
      <x:c r="F1331" s="20" t="str">
        <x:v>Web</x:v>
      </x:c>
      <x:c r="G1331" s="20" t="str">
        <x:v>Manual ACH</x:v>
      </x:c>
      <x:c r="H1331" s="35" t="str">
        <x:v>Post and allocate tenant receipt</x:v>
      </x:c>
      <x:c r="I1331" s="35" t="str">
        <x:v>P018; U018; L018</x:v>
      </x:c>
      <x:c r="J1331" s="35" t="str"/>
      <x:c r="K1331" s="35" t="str">
        <x:v>FIN-00711; FIN-00712</x:v>
      </x:c>
      <x:c r="L1331" s="35" t="str">
        <x:v>Open Scan for paper payment or the tenant-account receipt form for electronic payment; verify tenant/lease match, amount, date, method, and reference; confirm once; open ledger detail and allocation.</x:v>
      </x:c>
      <x:c r="M1331" s="35" t="str">
        <x:v>Receipt is append-only, allocated once to the correct rent charge, and visible consistently in Unit, Lease, Tenant Account, Accounting, and portal views.</x:v>
      </x:c>
      <x:c r="N1331" s="35" t="str">
        <x:v>Scan review or form; success result; exact ledger rows; payment detail; accounting delta; portal receipt.</x:v>
      </x:c>
      <x:c r="O1331" s="35" t="str">
        <x:v>Retry the idempotency key once during the quarter assigned in the coverage matrix; no duplicate cash or allocation.</x:v>
      </x:c>
      <x:c r="P1331" s="35" t="str">
        <x:v>All expected records and amounts match; no unexplained error or stale state.</x:v>
      </x:c>
    </x:row>
    <x:row r="1332">
      <x:c r="A1332" s="20" t="str">
        <x:v>RUN-20270903-08</x:v>
      </x:c>
      <x:c r="B1332" s="23" t="n">
        <x:v>46633</x:v>
      </x:c>
      <x:c r="C1332" s="32" t="n">
        <x:v>8</x:v>
      </x:c>
      <x:c r="D1332" s="20" t="str">
        <x:v>Monthly operations</x:v>
      </x:c>
      <x:c r="E1332" s="20" t="str">
        <x:v>Property Manager</x:v>
      </x:c>
      <x:c r="F1332" s="20" t="str">
        <x:v>Mobile</x:v>
      </x:c>
      <x:c r="G1332" s="20" t="str">
        <x:v>Scanned money order</x:v>
      </x:c>
      <x:c r="H1332" s="35" t="str">
        <x:v>Post and allocate tenant receipt</x:v>
      </x:c>
      <x:c r="I1332" s="35" t="str">
        <x:v>P021; U021; L021</x:v>
      </x:c>
      <x:c r="J1332" s="35" t="str">
        <x:v>SCN-0268</x:v>
      </x:c>
      <x:c r="K1332" s="35" t="str">
        <x:v>FIN-00717; FIN-00718</x:v>
      </x:c>
      <x:c r="L1332" s="35" t="str">
        <x:v>Open Scan for paper payment or the tenant-account receipt form for electronic payment; verify tenant/lease match, amount, date, method, and reference; confirm once; open ledger detail and allocation.</x:v>
      </x:c>
      <x:c r="M1332" s="35" t="str">
        <x:v>Receipt is append-only, allocated once to the correct rent charge, and visible consistently in Unit, Lease, Tenant Account, Accounting, and portal views.</x:v>
      </x:c>
      <x:c r="N1332" s="35" t="str">
        <x:v>Scan review or form; success result; exact ledger rows; payment detail; accounting delta; portal receipt.</x:v>
      </x:c>
      <x:c r="O1332" s="35" t="str">
        <x:v>Retry the idempotency key once during the quarter assigned in the coverage matrix; no duplicate cash or allocation.</x:v>
      </x:c>
      <x:c r="P1332" s="35" t="str">
        <x:v>All expected records and amounts match; no unexplained error or stale state.</x:v>
      </x:c>
    </x:row>
    <x:row r="1333">
      <x:c r="A1333" s="20" t="str">
        <x:v>RUN-20270903-09</x:v>
      </x:c>
      <x:c r="B1333" s="23" t="n">
        <x:v>46633</x:v>
      </x:c>
      <x:c r="C1333" s="32" t="n">
        <x:v>9</x:v>
      </x:c>
      <x:c r="D1333" s="20" t="str">
        <x:v>Monthly operations</x:v>
      </x:c>
      <x:c r="E1333" s="20" t="str">
        <x:v>Property Manager</x:v>
      </x:c>
      <x:c r="F1333" s="20" t="str">
        <x:v>Web</x:v>
      </x:c>
      <x:c r="G1333" s="20" t="str">
        <x:v>Scanned check</x:v>
      </x:c>
      <x:c r="H1333" s="35" t="str">
        <x:v>Post and allocate tenant receipt</x:v>
      </x:c>
      <x:c r="I1333" s="35" t="str">
        <x:v>P022; U024; L024</x:v>
      </x:c>
      <x:c r="J1333" s="35" t="str">
        <x:v>SCN-0269</x:v>
      </x:c>
      <x:c r="K1333" s="35" t="str">
        <x:v>FIN-00721; FIN-00722</x:v>
      </x:c>
      <x:c r="L1333" s="35" t="str">
        <x:v>Open Scan for paper payment or the tenant-account receipt form for electronic payment; verify tenant/lease match, amount, date, method, and reference; confirm once; open ledger detail and allocation.</x:v>
      </x:c>
      <x:c r="M1333" s="35" t="str">
        <x:v>Receipt is append-only, allocated once to the correct rent charge, and visible consistently in Unit, Lease, Tenant Account, Accounting, and portal views.</x:v>
      </x:c>
      <x:c r="N1333" s="35" t="str">
        <x:v>Scan review or form; success result; exact ledger rows; payment detail; accounting delta; portal receipt.</x:v>
      </x:c>
      <x:c r="O1333" s="35" t="str">
        <x:v>Retry the idempotency key once during the quarter assigned in the coverage matrix; no duplicate cash or allocation.</x:v>
      </x:c>
      <x:c r="P1333" s="35" t="str">
        <x:v>All expected records and amounts match; no unexplained error or stale state.</x:v>
      </x:c>
    </x:row>
    <x:row r="1334">
      <x:c r="A1334" s="20" t="str">
        <x:v>RUN-20270903-10</x:v>
      </x:c>
      <x:c r="B1334" s="23" t="n">
        <x:v>46633</x:v>
      </x:c>
      <x:c r="C1334" s="32" t="n">
        <x:v>10</x:v>
      </x:c>
      <x:c r="D1334" s="20" t="str">
        <x:v>Monthly operations</x:v>
      </x:c>
      <x:c r="E1334" s="20" t="str">
        <x:v>Property Manager</x:v>
      </x:c>
      <x:c r="F1334" s="20" t="str">
        <x:v>Mobile</x:v>
      </x:c>
      <x:c r="G1334" s="20" t="str">
        <x:v>Portal card</x:v>
      </x:c>
      <x:c r="H1334" s="35" t="str">
        <x:v>Post and allocate tenant receipt</x:v>
      </x:c>
      <x:c r="I1334" s="35" t="str">
        <x:v>P024; U027; L027</x:v>
      </x:c>
      <x:c r="J1334" s="35" t="str"/>
      <x:c r="K1334" s="35" t="str">
        <x:v>FIN-00728; FIN-00729</x:v>
      </x:c>
      <x:c r="L1334" s="35" t="str">
        <x:v>Open Scan for paper payment or the tenant-account receipt form for electronic payment; verify tenant/lease match, amount, date, method, and reference; confirm once; open ledger detail and allocation.</x:v>
      </x:c>
      <x:c r="M1334" s="35" t="str">
        <x:v>Receipt is append-only, allocated once to the correct rent charge, and visible consistently in Unit, Lease, Tenant Account, Accounting, and portal views.</x:v>
      </x:c>
      <x:c r="N1334" s="35" t="str">
        <x:v>Scan review or form; success result; exact ledger rows; payment detail; accounting delta; portal receipt.</x:v>
      </x:c>
      <x:c r="O1334" s="35" t="str">
        <x:v>Retry the idempotency key once during the quarter assigned in the coverage matrix; no duplicate cash or allocation.</x:v>
      </x:c>
      <x:c r="P1334" s="35" t="str">
        <x:v>All expected records and amounts match; no unexplained error or stale state.</x:v>
      </x:c>
    </x:row>
    <x:row r="1335">
      <x:c r="A1335" s="20" t="str">
        <x:v>RUN-20270903-11</x:v>
      </x:c>
      <x:c r="B1335" s="23" t="n">
        <x:v>46633</x:v>
      </x:c>
      <x:c r="C1335" s="32" t="n">
        <x:v>11</x:v>
      </x:c>
      <x:c r="D1335" s="20" t="str">
        <x:v>Monthly operations</x:v>
      </x:c>
      <x:c r="E1335" s="20" t="str">
        <x:v>Property Manager</x:v>
      </x:c>
      <x:c r="F1335" s="20" t="str">
        <x:v>Web</x:v>
      </x:c>
      <x:c r="G1335" s="20" t="str">
        <x:v>Manual ACH</x:v>
      </x:c>
      <x:c r="H1335" s="35" t="str">
        <x:v>Post and allocate tenant receipt</x:v>
      </x:c>
      <x:c r="I1335" s="35" t="str">
        <x:v>P025; U030; L030</x:v>
      </x:c>
      <x:c r="J1335" s="35" t="str"/>
      <x:c r="K1335" s="35" t="str">
        <x:v>FIN-00734; FIN-00735</x:v>
      </x:c>
      <x:c r="L1335" s="35" t="str">
        <x:v>Open Scan for paper payment or the tenant-account receipt form for electronic payment; verify tenant/lease match, amount, date, method, and reference; confirm once; open ledger detail and allocation.</x:v>
      </x:c>
      <x:c r="M1335" s="35" t="str">
        <x:v>Receipt is append-only, allocated once to the correct rent charge, and visible consistently in Unit, Lease, Tenant Account, Accounting, and portal views.</x:v>
      </x:c>
      <x:c r="N1335" s="35" t="str">
        <x:v>Scan review or form; success result; exact ledger rows; payment detail; accounting delta; portal receipt.</x:v>
      </x:c>
      <x:c r="O1335" s="35" t="str">
        <x:v>Retry the idempotency key once during the quarter assigned in the coverage matrix; no duplicate cash or allocation.</x:v>
      </x:c>
      <x:c r="P1335" s="35" t="str">
        <x:v>All expected records and amounts match; no unexplained error or stale state.</x:v>
      </x:c>
    </x:row>
    <x:row r="1336">
      <x:c r="A1336" s="20" t="str">
        <x:v>RUN-20270903-12</x:v>
      </x:c>
      <x:c r="B1336" s="23" t="n">
        <x:v>46633</x:v>
      </x:c>
      <x:c r="C1336" s="32" t="n">
        <x:v>12</x:v>
      </x:c>
      <x:c r="D1336" s="20" t="str">
        <x:v>Monthly operations</x:v>
      </x:c>
      <x:c r="E1336" s="20" t="str">
        <x:v>Property Manager</x:v>
      </x:c>
      <x:c r="F1336" s="20" t="str">
        <x:v>Mobile</x:v>
      </x:c>
      <x:c r="G1336" s="20" t="str">
        <x:v>Scanned money order</x:v>
      </x:c>
      <x:c r="H1336" s="35" t="str">
        <x:v>Post and allocate tenant receipt</x:v>
      </x:c>
      <x:c r="I1336" s="35" t="str">
        <x:v>P027; U033; L033</x:v>
      </x:c>
      <x:c r="J1336" s="35" t="str">
        <x:v>SCN-0275</x:v>
      </x:c>
      <x:c r="K1336" s="35" t="str">
        <x:v>FIN-00740; FIN-00741</x:v>
      </x:c>
      <x:c r="L1336" s="35" t="str">
        <x:v>Open Scan for paper payment or the tenant-account receipt form for electronic payment; verify tenant/lease match, amount, date, method, and reference; confirm once; open ledger detail and allocation.</x:v>
      </x:c>
      <x:c r="M1336" s="35" t="str">
        <x:v>Receipt is append-only, allocated once to the correct rent charge, and visible consistently in Unit, Lease, Tenant Account, Accounting, and portal views.</x:v>
      </x:c>
      <x:c r="N1336" s="35" t="str">
        <x:v>Scan review or form; success result; exact ledger rows; payment detail; accounting delta; portal receipt.</x:v>
      </x:c>
      <x:c r="O1336" s="35" t="str">
        <x:v>Retry the idempotency key once during the quarter assigned in the coverage matrix; no duplicate cash or allocation.</x:v>
      </x:c>
      <x:c r="P1336" s="35" t="str">
        <x:v>All expected records and amounts match; no unexplained error or stale state.</x:v>
      </x:c>
    </x:row>
    <x:row r="1337">
      <x:c r="A1337" s="20" t="str">
        <x:v>RUN-20270903-13</x:v>
      </x:c>
      <x:c r="B1337" s="23" t="n">
        <x:v>46633</x:v>
      </x:c>
      <x:c r="C1337" s="32" t="n">
        <x:v>13</x:v>
      </x:c>
      <x:c r="D1337" s="20" t="str">
        <x:v>Monthly operations</x:v>
      </x:c>
      <x:c r="E1337" s="20" t="str">
        <x:v>Property Manager</x:v>
      </x:c>
      <x:c r="F1337" s="20" t="str">
        <x:v>Web</x:v>
      </x:c>
      <x:c r="G1337" s="20" t="str">
        <x:v>Scanned check</x:v>
      </x:c>
      <x:c r="H1337" s="35" t="str">
        <x:v>Post and allocate tenant receipt</x:v>
      </x:c>
      <x:c r="I1337" s="35" t="str">
        <x:v>P028; U036; L036</x:v>
      </x:c>
      <x:c r="J1337" s="35" t="str">
        <x:v>SCN-0276</x:v>
      </x:c>
      <x:c r="K1337" s="35" t="str">
        <x:v>FIN-00748; FIN-00749</x:v>
      </x:c>
      <x:c r="L1337" s="35" t="str">
        <x:v>Open Scan for paper payment or the tenant-account receipt form for electronic payment; verify tenant/lease match, amount, date, method, and reference; confirm once; open ledger detail and allocation.</x:v>
      </x:c>
      <x:c r="M1337" s="35" t="str">
        <x:v>Receipt is append-only, allocated once to the correct rent charge, and visible consistently in Unit, Lease, Tenant Account, Accounting, and portal views.</x:v>
      </x:c>
      <x:c r="N1337" s="35" t="str">
        <x:v>Scan review or form; success result; exact ledger rows; payment detail; accounting delta; portal receipt.</x:v>
      </x:c>
      <x:c r="O1337" s="35" t="str">
        <x:v>Retry the idempotency key once during the quarter assigned in the coverage matrix; no duplicate cash or allocation.</x:v>
      </x:c>
      <x:c r="P1337" s="35" t="str">
        <x:v>All expected records and amounts match; no unexplained error or stale state.</x:v>
      </x:c>
    </x:row>
    <x:row r="1338">
      <x:c r="A1338" s="20" t="str">
        <x:v>RUN-20270903-14</x:v>
      </x:c>
      <x:c r="B1338" s="23" t="n">
        <x:v>46633</x:v>
      </x:c>
      <x:c r="C1338" s="32" t="n">
        <x:v>14</x:v>
      </x:c>
      <x:c r="D1338" s="20" t="str">
        <x:v>Monthly operations</x:v>
      </x:c>
      <x:c r="E1338" s="20" t="str">
        <x:v>Property Manager</x:v>
      </x:c>
      <x:c r="F1338" s="20" t="str">
        <x:v>Web</x:v>
      </x:c>
      <x:c r="G1338" s="20" t="str">
        <x:v>Scanned check</x:v>
      </x:c>
      <x:c r="H1338" s="35" t="str">
        <x:v>Post and allocate tenant receipt</x:v>
      </x:c>
      <x:c r="I1338" s="35" t="str">
        <x:v>P029; U038; L044</x:v>
      </x:c>
      <x:c r="J1338" s="35" t="str">
        <x:v>SCN-0279</x:v>
      </x:c>
      <x:c r="K1338" s="35" t="str">
        <x:v>FIN-00761; FIN-00762</x:v>
      </x:c>
      <x:c r="L1338" s="35" t="str">
        <x:v>Open Scan for paper payment or the tenant-account receipt form for electronic payment; verify tenant/lease match, amount, date, method, and reference; confirm once; open ledger detail and allocation.</x:v>
      </x:c>
      <x:c r="M1338" s="35" t="str">
        <x:v>Receipt is append-only, allocated once to the correct rent charge, and visible consistently in Unit, Lease, Tenant Account, Accounting, and portal views.</x:v>
      </x:c>
      <x:c r="N1338" s="35" t="str">
        <x:v>Scan review or form; success result; exact ledger rows; payment detail; accounting delta; portal receipt.</x:v>
      </x:c>
      <x:c r="O1338" s="35" t="str">
        <x:v>Retry the idempotency key once during the quarter assigned in the coverage matrix; no duplicate cash or allocation.</x:v>
      </x:c>
      <x:c r="P1338" s="35" t="str">
        <x:v>All expected records and amounts match; no unexplained error or stale state.</x:v>
      </x:c>
    </x:row>
    <x:row r="1339">
      <x:c r="A1339" s="20" t="str">
        <x:v>RUN-20270903-15</x:v>
      </x:c>
      <x:c r="B1339" s="23" t="n">
        <x:v>46633</x:v>
      </x:c>
      <x:c r="C1339" s="32" t="n">
        <x:v>15</x:v>
      </x:c>
      <x:c r="D1339" s="20" t="str">
        <x:v>Monthly operations</x:v>
      </x:c>
      <x:c r="E1339" s="20" t="str">
        <x:v>Property Manager</x:v>
      </x:c>
      <x:c r="F1339" s="20" t="str">
        <x:v>Mobile</x:v>
      </x:c>
      <x:c r="G1339" s="20" t="str">
        <x:v>Scanned money order</x:v>
      </x:c>
      <x:c r="H1339" s="35" t="str">
        <x:v>Post and allocate tenant receipt</x:v>
      </x:c>
      <x:c r="I1339" s="35" t="str">
        <x:v>P030; U039; L045</x:v>
      </x:c>
      <x:c r="J1339" s="35" t="str">
        <x:v>SCN-0280</x:v>
      </x:c>
      <x:c r="K1339" s="35" t="str">
        <x:v>FIN-00765; FIN-00766</x:v>
      </x:c>
      <x:c r="L1339" s="35" t="str">
        <x:v>Open Scan for paper payment or the tenant-account receipt form for electronic payment; verify tenant/lease match, amount, date, method, and reference; confirm once; open ledger detail and allocation.</x:v>
      </x:c>
      <x:c r="M1339" s="35" t="str">
        <x:v>Receipt is append-only, allocated once to the correct rent charge, and visible consistently in Unit, Lease, Tenant Account, Accounting, and portal views.</x:v>
      </x:c>
      <x:c r="N1339" s="35" t="str">
        <x:v>Scan review or form; success result; exact ledger rows; payment detail; accounting delta; portal receipt.</x:v>
      </x:c>
      <x:c r="O1339" s="35" t="str">
        <x:v>Retry the idempotency key once during the quarter assigned in the coverage matrix; no duplicate cash or allocation.</x:v>
      </x:c>
      <x:c r="P1339" s="35" t="str">
        <x:v>All expected records and amounts match; no unexplained error or stale state.</x:v>
      </x:c>
    </x:row>
    <x:row r="1340">
      <x:c r="A1340" s="20" t="str">
        <x:v>RUN-20270903-16</x:v>
      </x:c>
      <x:c r="B1340" s="23" t="n">
        <x:v>46633</x:v>
      </x:c>
      <x:c r="C1340" s="32" t="n">
        <x:v>16</x:v>
      </x:c>
      <x:c r="D1340" s="20" t="str">
        <x:v>Role and screen certification</x:v>
      </x:c>
      <x:c r="E1340" s="20" t="str">
        <x:v>Applicant / public user</x:v>
      </x:c>
      <x:c r="F1340" s="20" t="str">
        <x:v>Mobile</x:v>
      </x:c>
      <x:c r="G1340" s="20" t="str">
        <x:v>Normal persona navigation</x:v>
      </x:c>
      <x:c r="H1340" s="35" t="str">
        <x:v>Use every permitted action and state on features/leases/return_possession_sheet.dart</x:v>
      </x:c>
      <x:c r="I1340" s="35" t="str">
        <x:v>SCR-132; ROLE-225</x:v>
      </x:c>
      <x:c r="J1340" s="35" t="str"/>
      <x:c r="K1340" s="35" t="str"/>
      <x:c r="L134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40" s="35" t="str">
        <x:v>The persona can use every allowed action with only its assigned properties/relationships. Hidden or disabled actions explain why; an adjacent unauthorized persona is denied without metadata leakage.</x:v>
      </x:c>
      <x:c r="N1340" s="35" t="str">
        <x:v>Persona/experience; navigation entry; desktop or device screenshots; result state; persisted read-back; audit/history; authorized and denied network result.</x:v>
      </x:c>
      <x:c r="O1340" s="35" t="str">
        <x:v>Open the direct URL or deep link with an adjacent unauthorized persona and with stale scope; both fail closed and land safely without mutation.</x:v>
      </x:c>
      <x:c r="P1340" s="35" t="str">
        <x:v>All expected records and amounts match; no unexplained error or stale state.</x:v>
      </x:c>
    </x:row>
    <x:row r="1341">
      <x:c r="A1341" s="20" t="str">
        <x:v>RUN-20270903-17</x:v>
      </x:c>
      <x:c r="B1341" s="23" t="n">
        <x:v>46633</x:v>
      </x:c>
      <x:c r="C1341" s="32" t="n">
        <x:v>17</x:v>
      </x:c>
      <x:c r="D1341" s="20" t="str">
        <x:v>Field certification</x:v>
      </x:c>
      <x:c r="E1341" s="20" t="str">
        <x:v>Workspace Administrator</x:v>
      </x:c>
      <x:c r="F1341" s="20" t="str">
        <x:v>Web</x:v>
      </x:c>
      <x:c r="G1341" s="20" t="str">
        <x:v>Manual field-by-field</x:v>
      </x:c>
      <x:c r="H1341" s="35" t="str">
        <x:v>Fill, save, reload, edit, and validate every declared field on /settings/accounting</x:v>
      </x:c>
      <x:c r="I1341" s="35" t="str">
        <x:v>FLD-0718; FLD-0719; FLD-0720; FLD-0721; FLD-0722</x:v>
      </x:c>
      <x:c r="J1341" s="35" t="str"/>
      <x:c r="K1341" s="35" t="str"/>
      <x:c r="L1341" s="35" t="str">
        <x:v>Use the source-derived Field Inventory. Enter non-default realistic values in every control (pullEnabled; pushEnabled; fromDate; toDate; externalType); submit; reload or relaunch; compare every value; edit each mutable field; verify the paired client; then run required, format, length, range, boundary, optional-null, and stale-submit checks.</x:v>
      </x:c>
      <x:c r="M1341" s="35" t="str">
        <x:v>All 5 inventoried controls persist exact normalized values, invalid values stay unsaved with clear errors, and hidden/unauthorized fields cannot be altered.</x:v>
      </x:c>
      <x:c r="N1341" s="35" t="str">
        <x:v>Before/after form screenshots; FLD IDs; API response; reloaded UI; paired-client read-back; database/audit evidence; negative validation result.</x:v>
      </x:c>
      <x:c r="O1341" s="35" t="str">
        <x:v>Use a duplicate submit and one simulated network interruption; one atomic mutation or none, never partial state.</x:v>
      </x:c>
      <x:c r="P1341" s="35" t="str">
        <x:v>All expected records and amounts match; no unexplained error or stale state.</x:v>
      </x:c>
    </x:row>
    <x:row r="1342">
      <x:c r="A1342" s="20" t="str">
        <x:v>RUN-20270903-18</x:v>
      </x:c>
      <x:c r="B1342" s="23" t="n">
        <x:v>46633</x:v>
      </x:c>
      <x:c r="C1342" s="32" t="n">
        <x:v>18</x:v>
      </x:c>
      <x:c r="D1342" s="20" t="str">
        <x:v>Surface coverage</x:v>
      </x:c>
      <x:c r="E1342" s="20" t="str">
        <x:v>Role appropriate to surface</x:v>
      </x:c>
      <x:c r="F1342" s="20" t="str">
        <x:v>Web</x:v>
      </x:c>
      <x:c r="G1342" s="20" t="str">
        <x:v>Scan/attachment</x:v>
      </x:c>
      <x:c r="H1342" s="35" t="str">
        <x:v>Scan web pass: Turnover workspace and make-ready</x:v>
      </x:c>
      <x:c r="I1342" s="35" t="str">
        <x:v>COV-031</x:v>
      </x:c>
      <x:c r="J1342" s="35" t="str"/>
      <x:c r="K1342" s="35" t="str"/>
      <x:c r="L1342" s="35" t="str">
        <x:v>Open turnover, create tasks/work orders, track ready date, close, and verify vacancy/marketing independence.</x:v>
      </x:c>
      <x:c r="M1342" s="35" t="str">
        <x:v>The supported workflow completes and persists correctly; if the capability is absent, the exact gap is proven and queued rather than silently skipped.</x:v>
      </x:c>
      <x:c r="N1342" s="35" t="str">
        <x:v>Real UI screenshot/state; submitted values; persisted read-back; cross-client read-back; audit/role/access evidence.</x:v>
      </x:c>
      <x:c r="O1342" s="35" t="str">
        <x:v>Use one invalid value, stale-state retry, or duplicate submission relevant to the form; no partial or duplicate mutation.</x:v>
      </x:c>
      <x:c r="P1342" s="35" t="str">
        <x:v>All expected records and amounts match; no unexplained error or stale state.</x:v>
      </x:c>
    </x:row>
    <x:row r="1343">
      <x:c r="A1343" s="20" t="str">
        <x:v>RUN-20270904-01</x:v>
      </x:c>
      <x:c r="B1343" s="23" t="n">
        <x:v>46634</x:v>
      </x:c>
      <x:c r="C1343" s="32" t="n">
        <x:v>1</x:v>
      </x:c>
      <x:c r="D1343" s="20" t="str">
        <x:v>Monthly operations</x:v>
      </x:c>
      <x:c r="E1343" s="20" t="str">
        <x:v>Property Manager</x:v>
      </x:c>
      <x:c r="F1343" s="20" t="str">
        <x:v>Mobile</x:v>
      </x:c>
      <x:c r="G1343" s="20" t="str">
        <x:v>Scanned money order</x:v>
      </x:c>
      <x:c r="H1343" s="35" t="str">
        <x:v>Post and allocate tenant receipt</x:v>
      </x:c>
      <x:c r="I1343" s="35" t="str">
        <x:v>P001; U001; L001</x:v>
      </x:c>
      <x:c r="J1343" s="35" t="str">
        <x:v>SCN-0260</x:v>
      </x:c>
      <x:c r="K1343" s="35" t="str">
        <x:v>FIN-00682; FIN-00683</x:v>
      </x:c>
      <x:c r="L1343" s="35" t="str">
        <x:v>Open Scan for paper payment or the tenant-account receipt form for electronic payment; verify tenant/lease match, amount, date, method, and reference; confirm once; open ledger detail and allocation.</x:v>
      </x:c>
      <x:c r="M1343" s="35" t="str">
        <x:v>Receipt is append-only, allocated once to the correct rent charge, and visible consistently in Unit, Lease, Tenant Account, Accounting, and portal views.</x:v>
      </x:c>
      <x:c r="N1343" s="35" t="str">
        <x:v>Scan review or form; success result; exact ledger rows; payment detail; accounting delta; portal receipt.</x:v>
      </x:c>
      <x:c r="O1343" s="35" t="str">
        <x:v>Retry the idempotency key once during the quarter assigned in the coverage matrix; no duplicate cash or allocation.</x:v>
      </x:c>
      <x:c r="P1343" s="35" t="str">
        <x:v>All expected records and amounts match; no unexplained error or stale state.</x:v>
      </x:c>
    </x:row>
    <x:row r="1344">
      <x:c r="A1344" s="20" t="str">
        <x:v>RUN-20270904-02</x:v>
      </x:c>
      <x:c r="B1344" s="23" t="n">
        <x:v>46634</x:v>
      </x:c>
      <x:c r="C1344" s="32" t="n">
        <x:v>2</x:v>
      </x:c>
      <x:c r="D1344" s="20" t="str">
        <x:v>Monthly operations</x:v>
      </x:c>
      <x:c r="E1344" s="20" t="str">
        <x:v>Property Manager</x:v>
      </x:c>
      <x:c r="F1344" s="20" t="str">
        <x:v>Web</x:v>
      </x:c>
      <x:c r="G1344" s="20" t="str">
        <x:v>Scanned check</x:v>
      </x:c>
      <x:c r="H1344" s="35" t="str">
        <x:v>Post and allocate tenant receipt</x:v>
      </x:c>
      <x:c r="I1344" s="35" t="str">
        <x:v>P004; U004; L004</x:v>
      </x:c>
      <x:c r="J1344" s="35" t="str">
        <x:v>SCN-0261</x:v>
      </x:c>
      <x:c r="K1344" s="35" t="str">
        <x:v>FIN-00688; FIN-00689</x:v>
      </x:c>
      <x:c r="L1344" s="35" t="str">
        <x:v>Open Scan for paper payment or the tenant-account receipt form for electronic payment; verify tenant/lease match, amount, date, method, and reference; confirm once; open ledger detail and allocation.</x:v>
      </x:c>
      <x:c r="M1344" s="35" t="str">
        <x:v>Receipt is append-only, allocated once to the correct rent charge, and visible consistently in Unit, Lease, Tenant Account, Accounting, and portal views.</x:v>
      </x:c>
      <x:c r="N1344" s="35" t="str">
        <x:v>Scan review or form; success result; exact ledger rows; payment detail; accounting delta; portal receipt.</x:v>
      </x:c>
      <x:c r="O1344" s="35" t="str">
        <x:v>Retry the idempotency key once during the quarter assigned in the coverage matrix; no duplicate cash or allocation.</x:v>
      </x:c>
      <x:c r="P1344" s="35" t="str">
        <x:v>All expected records and amounts match; no unexplained error or stale state.</x:v>
      </x:c>
    </x:row>
    <x:row r="1345">
      <x:c r="A1345" s="20" t="str">
        <x:v>RUN-20270904-03</x:v>
      </x:c>
      <x:c r="B1345" s="23" t="n">
        <x:v>46634</x:v>
      </x:c>
      <x:c r="C1345" s="32" t="n">
        <x:v>3</x:v>
      </x:c>
      <x:c r="D1345" s="20" t="str">
        <x:v>Monthly operations</x:v>
      </x:c>
      <x:c r="E1345" s="20" t="str">
        <x:v>Property Manager</x:v>
      </x:c>
      <x:c r="F1345" s="20" t="str">
        <x:v>Mobile</x:v>
      </x:c>
      <x:c r="G1345" s="20" t="str">
        <x:v>Portal card</x:v>
      </x:c>
      <x:c r="H1345" s="35" t="str">
        <x:v>Post and allocate tenant receipt</x:v>
      </x:c>
      <x:c r="I1345" s="35" t="str">
        <x:v>P007; U007; L007</x:v>
      </x:c>
      <x:c r="J1345" s="35" t="str"/>
      <x:c r="K1345" s="35" t="str">
        <x:v>FIN-00692; FIN-00693</x:v>
      </x:c>
      <x:c r="L1345" s="35" t="str">
        <x:v>Open Scan for paper payment or the tenant-account receipt form for electronic payment; verify tenant/lease match, amount, date, method, and reference; confirm once; open ledger detail and allocation.</x:v>
      </x:c>
      <x:c r="M1345" s="35" t="str">
        <x:v>Receipt is append-only, allocated once to the correct rent charge, and visible consistently in Unit, Lease, Tenant Account, Accounting, and portal views.</x:v>
      </x:c>
      <x:c r="N1345" s="35" t="str">
        <x:v>Scan review or form; success result; exact ledger rows; payment detail; accounting delta; portal receipt.</x:v>
      </x:c>
      <x:c r="O1345" s="35" t="str">
        <x:v>Retry the idempotency key once during the quarter assigned in the coverage matrix; no duplicate cash or allocation.</x:v>
      </x:c>
      <x:c r="P1345" s="35" t="str">
        <x:v>All expected records and amounts match; no unexplained error or stale state.</x:v>
      </x:c>
    </x:row>
    <x:row r="1346">
      <x:c r="A1346" s="20" t="str">
        <x:v>RUN-20270904-04</x:v>
      </x:c>
      <x:c r="B1346" s="23" t="n">
        <x:v>46634</x:v>
      </x:c>
      <x:c r="C1346" s="32" t="n">
        <x:v>4</x:v>
      </x:c>
      <x:c r="D1346" s="20" t="str">
        <x:v>Monthly operations</x:v>
      </x:c>
      <x:c r="E1346" s="20" t="str">
        <x:v>Property Manager</x:v>
      </x:c>
      <x:c r="F1346" s="20" t="str">
        <x:v>Web</x:v>
      </x:c>
      <x:c r="G1346" s="20" t="str">
        <x:v>Manual ACH</x:v>
      </x:c>
      <x:c r="H1346" s="35" t="str">
        <x:v>Post and allocate tenant receipt</x:v>
      </x:c>
      <x:c r="I1346" s="35" t="str">
        <x:v>P010; U010; L010</x:v>
      </x:c>
      <x:c r="J1346" s="35" t="str"/>
      <x:c r="K1346" s="35" t="str">
        <x:v>FIN-00696; FIN-00697</x:v>
      </x:c>
      <x:c r="L1346" s="35" t="str">
        <x:v>Open Scan for paper payment or the tenant-account receipt form for electronic payment; verify tenant/lease match, amount, date, method, and reference; confirm once; open ledger detail and allocation.</x:v>
      </x:c>
      <x:c r="M1346" s="35" t="str">
        <x:v>Receipt is append-only, allocated once to the correct rent charge, and visible consistently in Unit, Lease, Tenant Account, Accounting, and portal views.</x:v>
      </x:c>
      <x:c r="N1346" s="35" t="str">
        <x:v>Scan review or form; success result; exact ledger rows; payment detail; accounting delta; portal receipt.</x:v>
      </x:c>
      <x:c r="O1346" s="35" t="str">
        <x:v>Retry the idempotency key once during the quarter assigned in the coverage matrix; no duplicate cash or allocation.</x:v>
      </x:c>
      <x:c r="P1346" s="35" t="str">
        <x:v>All expected records and amounts match; no unexplained error or stale state.</x:v>
      </x:c>
    </x:row>
    <x:row r="1347">
      <x:c r="A1347" s="20" t="str">
        <x:v>RUN-20270904-05</x:v>
      </x:c>
      <x:c r="B1347" s="23" t="n">
        <x:v>46634</x:v>
      </x:c>
      <x:c r="C1347" s="32" t="n">
        <x:v>5</x:v>
      </x:c>
      <x:c r="D1347" s="20" t="str">
        <x:v>Monthly operations</x:v>
      </x:c>
      <x:c r="E1347" s="20" t="str">
        <x:v>Property Manager</x:v>
      </x:c>
      <x:c r="F1347" s="20" t="str">
        <x:v>Web</x:v>
      </x:c>
      <x:c r="G1347" s="20" t="str">
        <x:v>Scanned check</x:v>
      </x:c>
      <x:c r="H1347" s="35" t="str">
        <x:v>Post and allocate tenant receipt</x:v>
      </x:c>
      <x:c r="I1347" s="35" t="str">
        <x:v>P016; U016; L016</x:v>
      </x:c>
      <x:c r="J1347" s="35" t="str">
        <x:v>SCN-0266</x:v>
      </x:c>
      <x:c r="K1347" s="35" t="str">
        <x:v>FIN-00709; FIN-00710</x:v>
      </x:c>
      <x:c r="L1347" s="35" t="str">
        <x:v>Open Scan for paper payment or the tenant-account receipt form for electronic payment; verify tenant/lease match, amount, date, method, and reference; confirm once; open ledger detail and allocation.</x:v>
      </x:c>
      <x:c r="M1347" s="35" t="str">
        <x:v>Receipt is append-only, allocated once to the correct rent charge, and visible consistently in Unit, Lease, Tenant Account, Accounting, and portal views.</x:v>
      </x:c>
      <x:c r="N1347" s="35" t="str">
        <x:v>Scan review or form; success result; exact ledger rows; payment detail; accounting delta; portal receipt.</x:v>
      </x:c>
      <x:c r="O1347" s="35" t="str">
        <x:v>Retry the idempotency key once during the quarter assigned in the coverage matrix; no duplicate cash or allocation.</x:v>
      </x:c>
      <x:c r="P1347" s="35" t="str">
        <x:v>All expected records and amounts match; no unexplained error or stale state.</x:v>
      </x:c>
    </x:row>
    <x:row r="1348">
      <x:c r="A1348" s="20" t="str">
        <x:v>RUN-20270904-06</x:v>
      </x:c>
      <x:c r="B1348" s="23" t="n">
        <x:v>46634</x:v>
      </x:c>
      <x:c r="C1348" s="32" t="n">
        <x:v>6</x:v>
      </x:c>
      <x:c r="D1348" s="20" t="str">
        <x:v>Monthly operations</x:v>
      </x:c>
      <x:c r="E1348" s="20" t="str">
        <x:v>Property Manager</x:v>
      </x:c>
      <x:c r="F1348" s="20" t="str">
        <x:v>Mobile</x:v>
      </x:c>
      <x:c r="G1348" s="20" t="str">
        <x:v>Portal card</x:v>
      </x:c>
      <x:c r="H1348" s="35" t="str">
        <x:v>Post and allocate tenant receipt</x:v>
      </x:c>
      <x:c r="I1348" s="35" t="str">
        <x:v>P019; U019; L019</x:v>
      </x:c>
      <x:c r="J1348" s="35" t="str"/>
      <x:c r="K1348" s="35" t="str">
        <x:v>FIN-00713; FIN-00714</x:v>
      </x:c>
      <x:c r="L1348" s="35" t="str">
        <x:v>Open Scan for paper payment or the tenant-account receipt form for electronic payment; verify tenant/lease match, amount, date, method, and reference; confirm once; open ledger detail and allocation.</x:v>
      </x:c>
      <x:c r="M1348" s="35" t="str">
        <x:v>Receipt is append-only, allocated once to the correct rent charge, and visible consistently in Unit, Lease, Tenant Account, Accounting, and portal views.</x:v>
      </x:c>
      <x:c r="N1348" s="35" t="str">
        <x:v>Scan review or form; success result; exact ledger rows; payment detail; accounting delta; portal receipt.</x:v>
      </x:c>
      <x:c r="O1348" s="35" t="str">
        <x:v>Retry the idempotency key once during the quarter assigned in the coverage matrix; no duplicate cash or allocation.</x:v>
      </x:c>
      <x:c r="P1348" s="35" t="str">
        <x:v>All expected records and amounts match; no unexplained error or stale state.</x:v>
      </x:c>
    </x:row>
    <x:row r="1349">
      <x:c r="A1349" s="20" t="str">
        <x:v>RUN-20270904-07</x:v>
      </x:c>
      <x:c r="B1349" s="23" t="n">
        <x:v>46634</x:v>
      </x:c>
      <x:c r="C1349" s="32" t="n">
        <x:v>7</x:v>
      </x:c>
      <x:c r="D1349" s="20" t="str">
        <x:v>Monthly operations</x:v>
      </x:c>
      <x:c r="E1349" s="20" t="str">
        <x:v>Property Manager</x:v>
      </x:c>
      <x:c r="F1349" s="20" t="str">
        <x:v>Mobile</x:v>
      </x:c>
      <x:c r="G1349" s="20" t="str">
        <x:v>Scanned money order</x:v>
      </x:c>
      <x:c r="H1349" s="35" t="str">
        <x:v>Post and allocate tenant receipt</x:v>
      </x:c>
      <x:c r="I1349" s="35" t="str">
        <x:v>P023; U025; L025</x:v>
      </x:c>
      <x:c r="J1349" s="35" t="str">
        <x:v>SCN-0270</x:v>
      </x:c>
      <x:c r="K1349" s="35" t="str">
        <x:v>FIN-00723; FIN-00724</x:v>
      </x:c>
      <x:c r="L1349" s="35" t="str">
        <x:v>Open Scan for paper payment or the tenant-account receipt form for electronic payment; verify tenant/lease match, amount, date, method, and reference; confirm once; open ledger detail and allocation.</x:v>
      </x:c>
      <x:c r="M1349" s="35" t="str">
        <x:v>Receipt is append-only, allocated once to the correct rent charge, and visible consistently in Unit, Lease, Tenant Account, Accounting, and portal views.</x:v>
      </x:c>
      <x:c r="N1349" s="35" t="str">
        <x:v>Scan review or form; success result; exact ledger rows; payment detail; accounting delta; portal receipt.</x:v>
      </x:c>
      <x:c r="O1349" s="35" t="str">
        <x:v>Retry the idempotency key once during the quarter assigned in the coverage matrix; no duplicate cash or allocation.</x:v>
      </x:c>
      <x:c r="P1349" s="35" t="str">
        <x:v>All expected records and amounts match; no unexplained error or stale state.</x:v>
      </x:c>
    </x:row>
    <x:row r="1350">
      <x:c r="A1350" s="20" t="str">
        <x:v>RUN-20270904-08</x:v>
      </x:c>
      <x:c r="B1350" s="23" t="n">
        <x:v>46634</x:v>
      </x:c>
      <x:c r="C1350" s="32" t="n">
        <x:v>8</x:v>
      </x:c>
      <x:c r="D1350" s="20" t="str">
        <x:v>Monthly operations</x:v>
      </x:c>
      <x:c r="E1350" s="20" t="str">
        <x:v>Property Manager</x:v>
      </x:c>
      <x:c r="F1350" s="20" t="str">
        <x:v>Web</x:v>
      </x:c>
      <x:c r="G1350" s="20" t="str">
        <x:v>Scanned check</x:v>
      </x:c>
      <x:c r="H1350" s="35" t="str">
        <x:v>Post and allocate tenant receipt</x:v>
      </x:c>
      <x:c r="I1350" s="35" t="str">
        <x:v>P024; U028; L028</x:v>
      </x:c>
      <x:c r="J1350" s="35" t="str">
        <x:v>SCN-0272</x:v>
      </x:c>
      <x:c r="K1350" s="35" t="str">
        <x:v>FIN-00730; FIN-00731</x:v>
      </x:c>
      <x:c r="L1350" s="35" t="str">
        <x:v>Open Scan for paper payment or the tenant-account receipt form for electronic payment; verify tenant/lease match, amount, date, method, and reference; confirm once; open ledger detail and allocation.</x:v>
      </x:c>
      <x:c r="M1350" s="35" t="str">
        <x:v>Receipt is append-only, allocated once to the correct rent charge, and visible consistently in Unit, Lease, Tenant Account, Accounting, and portal views.</x:v>
      </x:c>
      <x:c r="N1350" s="35" t="str">
        <x:v>Scan review or form; success result; exact ledger rows; payment detail; accounting delta; portal receipt.</x:v>
      </x:c>
      <x:c r="O1350" s="35" t="str">
        <x:v>Retry the idempotency key once during the quarter assigned in the coverage matrix; no duplicate cash or allocation.</x:v>
      </x:c>
      <x:c r="P1350" s="35" t="str">
        <x:v>All expected records and amounts match; no unexplained error or stale state.</x:v>
      </x:c>
    </x:row>
    <x:row r="1351">
      <x:c r="A1351" s="20" t="str">
        <x:v>RUN-20270904-09</x:v>
      </x:c>
      <x:c r="B1351" s="23" t="n">
        <x:v>46634</x:v>
      </x:c>
      <x:c r="C1351" s="32" t="n">
        <x:v>9</x:v>
      </x:c>
      <x:c r="D1351" s="20" t="str">
        <x:v>Monthly operations</x:v>
      </x:c>
      <x:c r="E1351" s="20" t="str">
        <x:v>Property Manager</x:v>
      </x:c>
      <x:c r="F1351" s="20" t="str">
        <x:v>Mobile</x:v>
      </x:c>
      <x:c r="G1351" s="20" t="str">
        <x:v>Portal card</x:v>
      </x:c>
      <x:c r="H1351" s="35" t="str">
        <x:v>Post and allocate tenant receipt</x:v>
      </x:c>
      <x:c r="I1351" s="35" t="str">
        <x:v>P026; U031; L031</x:v>
      </x:c>
      <x:c r="J1351" s="35" t="str"/>
      <x:c r="K1351" s="35" t="str">
        <x:v>FIN-00736; FIN-00737</x:v>
      </x:c>
      <x:c r="L1351" s="35" t="str">
        <x:v>Open Scan for paper payment or the tenant-account receipt form for electronic payment; verify tenant/lease match, amount, date, method, and reference; confirm once; open ledger detail and allocation.</x:v>
      </x:c>
      <x:c r="M1351" s="35" t="str">
        <x:v>Receipt is append-only, allocated once to the correct rent charge, and visible consistently in Unit, Lease, Tenant Account, Accounting, and portal views.</x:v>
      </x:c>
      <x:c r="N1351" s="35" t="str">
        <x:v>Scan review or form; success result; exact ledger rows; payment detail; accounting delta; portal receipt.</x:v>
      </x:c>
      <x:c r="O1351" s="35" t="str">
        <x:v>Retry the idempotency key once during the quarter assigned in the coverage matrix; no duplicate cash or allocation.</x:v>
      </x:c>
      <x:c r="P1351" s="35" t="str">
        <x:v>All expected records and amounts match; no unexplained error or stale state.</x:v>
      </x:c>
    </x:row>
    <x:row r="1352">
      <x:c r="A1352" s="20" t="str">
        <x:v>RUN-20270904-10</x:v>
      </x:c>
      <x:c r="B1352" s="23" t="n">
        <x:v>46634</x:v>
      </x:c>
      <x:c r="C1352" s="32" t="n">
        <x:v>10</x:v>
      </x:c>
      <x:c r="D1352" s="20" t="str">
        <x:v>Monthly operations</x:v>
      </x:c>
      <x:c r="E1352" s="20" t="str">
        <x:v>Property Manager</x:v>
      </x:c>
      <x:c r="F1352" s="20" t="str">
        <x:v>Web</x:v>
      </x:c>
      <x:c r="G1352" s="20" t="str">
        <x:v>Manual ACH</x:v>
      </x:c>
      <x:c r="H1352" s="35" t="str">
        <x:v>Post and allocate tenant receipt</x:v>
      </x:c>
      <x:c r="I1352" s="35" t="str">
        <x:v>P027; U034; L034</x:v>
      </x:c>
      <x:c r="J1352" s="35" t="str"/>
      <x:c r="K1352" s="35" t="str">
        <x:v>FIN-00744; FIN-00745</x:v>
      </x:c>
      <x:c r="L1352" s="35" t="str">
        <x:v>Open Scan for paper payment or the tenant-account receipt form for electronic payment; verify tenant/lease match, amount, date, method, and reference; confirm once; open ledger detail and allocation.</x:v>
      </x:c>
      <x:c r="M1352" s="35" t="str">
        <x:v>Receipt is append-only, allocated once to the correct rent charge, and visible consistently in Unit, Lease, Tenant Account, Accounting, and portal views.</x:v>
      </x:c>
      <x:c r="N1352" s="35" t="str">
        <x:v>Scan review or form; success result; exact ledger rows; payment detail; accounting delta; portal receipt.</x:v>
      </x:c>
      <x:c r="O1352" s="35" t="str">
        <x:v>Retry the idempotency key once during the quarter assigned in the coverage matrix; no duplicate cash or allocation.</x:v>
      </x:c>
      <x:c r="P1352" s="35" t="str">
        <x:v>All expected records and amounts match; no unexplained error or stale state.</x:v>
      </x:c>
    </x:row>
    <x:row r="1353">
      <x:c r="A1353" s="20" t="str">
        <x:v>RUN-20270904-11</x:v>
      </x:c>
      <x:c r="B1353" s="23" t="n">
        <x:v>46634</x:v>
      </x:c>
      <x:c r="C1353" s="32" t="n">
        <x:v>11</x:v>
      </x:c>
      <x:c r="D1353" s="20" t="str">
        <x:v>Monthly operations</x:v>
      </x:c>
      <x:c r="E1353" s="20" t="str">
        <x:v>Property Manager</x:v>
      </x:c>
      <x:c r="F1353" s="20" t="str">
        <x:v>Mobile</x:v>
      </x:c>
      <x:c r="G1353" s="20" t="str">
        <x:v>Scanned money order</x:v>
      </x:c>
      <x:c r="H1353" s="35" t="str">
        <x:v>Post and allocate tenant receipt</x:v>
      </x:c>
      <x:c r="I1353" s="35" t="str">
        <x:v>P005; U005; L037</x:v>
      </x:c>
      <x:c r="J1353" s="35" t="str">
        <x:v>SCN-0277</x:v>
      </x:c>
      <x:c r="K1353" s="35" t="str">
        <x:v>FIN-00750; FIN-00751</x:v>
      </x:c>
      <x:c r="L1353" s="35" t="str">
        <x:v>Open Scan for paper payment or the tenant-account receipt form for electronic payment; verify tenant/lease match, amount, date, method, and reference; confirm once; open ledger detail and allocation.</x:v>
      </x:c>
      <x:c r="M1353" s="35" t="str">
        <x:v>Receipt is append-only, allocated once to the correct rent charge, and visible consistently in Unit, Lease, Tenant Account, Accounting, and portal views.</x:v>
      </x:c>
      <x:c r="N1353" s="35" t="str">
        <x:v>Scan review or form; success result; exact ledger rows; payment detail; accounting delta; portal receipt.</x:v>
      </x:c>
      <x:c r="O1353" s="35" t="str">
        <x:v>Retry the idempotency key once during the quarter assigned in the coverage matrix; no duplicate cash or allocation.</x:v>
      </x:c>
      <x:c r="P1353" s="35" t="str">
        <x:v>All expected records and amounts match; no unexplained error or stale state.</x:v>
      </x:c>
    </x:row>
    <x:row r="1354">
      <x:c r="A1354" s="20" t="str">
        <x:v>RUN-20270904-12</x:v>
      </x:c>
      <x:c r="B1354" s="23" t="n">
        <x:v>46634</x:v>
      </x:c>
      <x:c r="C1354" s="32" t="n">
        <x:v>12</x:v>
      </x:c>
      <x:c r="D1354" s="20" t="str">
        <x:v>Monthly operations</x:v>
      </x:c>
      <x:c r="E1354" s="20" t="str">
        <x:v>Property Manager</x:v>
      </x:c>
      <x:c r="F1354" s="20" t="str">
        <x:v>Mobile</x:v>
      </x:c>
      <x:c r="G1354" s="20" t="str">
        <x:v>Portal card</x:v>
      </x:c>
      <x:c r="H1354" s="35" t="str">
        <x:v>Post and allocate tenant receipt</x:v>
      </x:c>
      <x:c r="I1354" s="35" t="str">
        <x:v>P029; U037; L043</x:v>
      </x:c>
      <x:c r="J1354" s="35" t="str"/>
      <x:c r="K1354" s="35" t="str">
        <x:v>FIN-00759; FIN-00760</x:v>
      </x:c>
      <x:c r="L1354" s="35" t="str">
        <x:v>Open Scan for paper payment or the tenant-account receipt form for electronic payment; verify tenant/lease match, amount, date, method, and reference; confirm once; open ledger detail and allocation.</x:v>
      </x:c>
      <x:c r="M1354" s="35" t="str">
        <x:v>Receipt is append-only, allocated once to the correct rent charge, and visible consistently in Unit, Lease, Tenant Account, Accounting, and portal views.</x:v>
      </x:c>
      <x:c r="N1354" s="35" t="str">
        <x:v>Scan review or form; success result; exact ledger rows; payment detail; accounting delta; portal receipt.</x:v>
      </x:c>
      <x:c r="O1354" s="35" t="str">
        <x:v>Retry the idempotency key once during the quarter assigned in the coverage matrix; no duplicate cash or allocation.</x:v>
      </x:c>
      <x:c r="P1354" s="35" t="str">
        <x:v>All expected records and amounts match; no unexplained error or stale state.</x:v>
      </x:c>
    </x:row>
    <x:row r="1355">
      <x:c r="A1355" s="20" t="str">
        <x:v>RUN-20270905-01</x:v>
      </x:c>
      <x:c r="B1355" s="23" t="n">
        <x:v>46635</x:v>
      </x:c>
      <x:c r="C1355" s="32" t="n">
        <x:v>1</x:v>
      </x:c>
      <x:c r="D1355" s="20" t="str">
        <x:v>Monthly operations</x:v>
      </x:c>
      <x:c r="E1355" s="20" t="str">
        <x:v>Property Manager</x:v>
      </x:c>
      <x:c r="F1355" s="20" t="str">
        <x:v>Web</x:v>
      </x:c>
      <x:c r="G1355" s="20" t="str">
        <x:v>Manual ACH</x:v>
      </x:c>
      <x:c r="H1355" s="35" t="str">
        <x:v>Post and allocate tenant receipt</x:v>
      </x:c>
      <x:c r="I1355" s="35" t="str">
        <x:v>P002; U002; L002</x:v>
      </x:c>
      <x:c r="J1355" s="35" t="str"/>
      <x:c r="K1355" s="35" t="str">
        <x:v>FIN-00684; FIN-00685</x:v>
      </x:c>
      <x:c r="L1355" s="35" t="str">
        <x:v>Open Scan for paper payment or the tenant-account receipt form for electronic payment; verify tenant/lease match, amount, date, method, and reference; confirm once; open ledger detail and allocation.</x:v>
      </x:c>
      <x:c r="M1355" s="35" t="str">
        <x:v>Receipt is append-only, allocated once to the correct rent charge, and visible consistently in Unit, Lease, Tenant Account, Accounting, and portal views.</x:v>
      </x:c>
      <x:c r="N1355" s="35" t="str">
        <x:v>Scan review or form; success result; exact ledger rows; payment detail; accounting delta; portal receipt.</x:v>
      </x:c>
      <x:c r="O1355" s="35" t="str">
        <x:v>Retry the idempotency key once during the quarter assigned in the coverage matrix; no duplicate cash or allocation.</x:v>
      </x:c>
      <x:c r="P1355" s="35" t="str">
        <x:v>All expected records and amounts match; no unexplained error or stale state.</x:v>
      </x:c>
    </x:row>
    <x:row r="1356">
      <x:c r="A1356" s="20" t="str">
        <x:v>RUN-20270905-02</x:v>
      </x:c>
      <x:c r="B1356" s="23" t="n">
        <x:v>46635</x:v>
      </x:c>
      <x:c r="C1356" s="32" t="n">
        <x:v>2</x:v>
      </x:c>
      <x:c r="D1356" s="20" t="str">
        <x:v>Monthly operations</x:v>
      </x:c>
      <x:c r="E1356" s="20" t="str">
        <x:v>Property Manager</x:v>
      </x:c>
      <x:c r="F1356" s="20" t="str">
        <x:v>Web</x:v>
      </x:c>
      <x:c r="G1356" s="20" t="str">
        <x:v>Scanned check</x:v>
      </x:c>
      <x:c r="H1356" s="35" t="str">
        <x:v>Post and allocate tenant receipt</x:v>
      </x:c>
      <x:c r="I1356" s="35" t="str">
        <x:v>P020; U020; L020</x:v>
      </x:c>
      <x:c r="J1356" s="35" t="str">
        <x:v>SCN-0267</x:v>
      </x:c>
      <x:c r="K1356" s="35" t="str">
        <x:v>FIN-00715; FIN-00716</x:v>
      </x:c>
      <x:c r="L1356" s="35" t="str">
        <x:v>Open Scan for paper payment or the tenant-account receipt form for electronic payment; verify tenant/lease match, amount, date, method, and reference; confirm once; open ledger detail and allocation.</x:v>
      </x:c>
      <x:c r="M1356" s="35" t="str">
        <x:v>Receipt is append-only, allocated once to the correct rent charge, and visible consistently in Unit, Lease, Tenant Account, Accounting, and portal views.</x:v>
      </x:c>
      <x:c r="N1356" s="35" t="str">
        <x:v>Scan review or form; success result; exact ledger rows; payment detail; accounting delta; portal receipt.</x:v>
      </x:c>
      <x:c r="O1356" s="35" t="str">
        <x:v>Retry the idempotency key once during the quarter assigned in the coverage matrix; no duplicate cash or allocation.</x:v>
      </x:c>
      <x:c r="P1356" s="35" t="str">
        <x:v>All expected records and amounts match; no unexplained error or stale state.</x:v>
      </x:c>
    </x:row>
    <x:row r="1357">
      <x:c r="A1357" s="20" t="str">
        <x:v>RUN-20270905-03</x:v>
      </x:c>
      <x:c r="B1357" s="23" t="n">
        <x:v>46635</x:v>
      </x:c>
      <x:c r="C1357" s="32" t="n">
        <x:v>3</x:v>
      </x:c>
      <x:c r="D1357" s="20" t="str">
        <x:v>Monthly operations</x:v>
      </x:c>
      <x:c r="E1357" s="20" t="str">
        <x:v>Property Manager</x:v>
      </x:c>
      <x:c r="F1357" s="20" t="str">
        <x:v>Mobile</x:v>
      </x:c>
      <x:c r="G1357" s="20" t="str">
        <x:v>Portal card</x:v>
      </x:c>
      <x:c r="H1357" s="35" t="str">
        <x:v>Post and allocate tenant receipt</x:v>
      </x:c>
      <x:c r="I1357" s="35" t="str">
        <x:v>P022; U023; L023</x:v>
      </x:c>
      <x:c r="J1357" s="35" t="str"/>
      <x:c r="K1357" s="35" t="str">
        <x:v>FIN-00719; FIN-00720</x:v>
      </x:c>
      <x:c r="L1357" s="35" t="str">
        <x:v>Open Scan for paper payment or the tenant-account receipt form for electronic payment; verify tenant/lease match, amount, date, method, and reference; confirm once; open ledger detail and allocation.</x:v>
      </x:c>
      <x:c r="M1357" s="35" t="str">
        <x:v>Receipt is append-only, allocated once to the correct rent charge, and visible consistently in Unit, Lease, Tenant Account, Accounting, and portal views.</x:v>
      </x:c>
      <x:c r="N1357" s="35" t="str">
        <x:v>Scan review or form; success result; exact ledger rows; payment detail; accounting delta; portal receipt.</x:v>
      </x:c>
      <x:c r="O1357" s="35" t="str">
        <x:v>Retry the idempotency key once during the quarter assigned in the coverage matrix; no duplicate cash or allocation.</x:v>
      </x:c>
      <x:c r="P1357" s="35" t="str">
        <x:v>All expected records and amounts match; no unexplained error or stale state.</x:v>
      </x:c>
    </x:row>
    <x:row r="1358">
      <x:c r="A1358" s="20" t="str">
        <x:v>RUN-20270905-04</x:v>
      </x:c>
      <x:c r="B1358" s="23" t="n">
        <x:v>46635</x:v>
      </x:c>
      <x:c r="C1358" s="32" t="n">
        <x:v>4</x:v>
      </x:c>
      <x:c r="D1358" s="20" t="str">
        <x:v>Monthly operations</x:v>
      </x:c>
      <x:c r="E1358" s="20" t="str">
        <x:v>Property Manager</x:v>
      </x:c>
      <x:c r="F1358" s="20" t="str">
        <x:v>Mobile</x:v>
      </x:c>
      <x:c r="G1358" s="20" t="str">
        <x:v>Scanned money order</x:v>
      </x:c>
      <x:c r="H1358" s="35" t="str">
        <x:v>Post and allocate tenant receipt</x:v>
      </x:c>
      <x:c r="I1358" s="35" t="str">
        <x:v>P025; U029; L029</x:v>
      </x:c>
      <x:c r="J1358" s="35" t="str">
        <x:v>SCN-0273</x:v>
      </x:c>
      <x:c r="K1358" s="35" t="str">
        <x:v>FIN-00732; FIN-00733</x:v>
      </x:c>
      <x:c r="L1358" s="35" t="str">
        <x:v>Open Scan for paper payment or the tenant-account receipt form for electronic payment; verify tenant/lease match, amount, date, method, and reference; confirm once; open ledger detail and allocation.</x:v>
      </x:c>
      <x:c r="M1358" s="35" t="str">
        <x:v>Receipt is append-only, allocated once to the correct rent charge, and visible consistently in Unit, Lease, Tenant Account, Accounting, and portal views.</x:v>
      </x:c>
      <x:c r="N1358" s="35" t="str">
        <x:v>Scan review or form; success result; exact ledger rows; payment detail; accounting delta; portal receipt.</x:v>
      </x:c>
      <x:c r="O1358" s="35" t="str">
        <x:v>Retry the idempotency key once during the quarter assigned in the coverage matrix; no duplicate cash or allocation.</x:v>
      </x:c>
      <x:c r="P1358" s="35" t="str">
        <x:v>All expected records and amounts match; no unexplained error or stale state.</x:v>
      </x:c>
    </x:row>
    <x:row r="1359">
      <x:c r="A1359" s="20" t="str">
        <x:v>RUN-20270905-05</x:v>
      </x:c>
      <x:c r="B1359" s="23" t="n">
        <x:v>46635</x:v>
      </x:c>
      <x:c r="C1359" s="32" t="n">
        <x:v>5</x:v>
      </x:c>
      <x:c r="D1359" s="20" t="str">
        <x:v>Monthly operations</x:v>
      </x:c>
      <x:c r="E1359" s="20" t="str">
        <x:v>Property Manager</x:v>
      </x:c>
      <x:c r="F1359" s="20" t="str">
        <x:v>Web</x:v>
      </x:c>
      <x:c r="G1359" s="20" t="str">
        <x:v>Scanned check</x:v>
      </x:c>
      <x:c r="H1359" s="35" t="str">
        <x:v>Post and allocate tenant receipt</x:v>
      </x:c>
      <x:c r="I1359" s="35" t="str">
        <x:v>P026; U032; L032</x:v>
      </x:c>
      <x:c r="J1359" s="35" t="str">
        <x:v>SCN-0274</x:v>
      </x:c>
      <x:c r="K1359" s="35" t="str">
        <x:v>FIN-00738; FIN-00739</x:v>
      </x:c>
      <x:c r="L1359" s="35" t="str">
        <x:v>Open Scan for paper payment or the tenant-account receipt form for electronic payment; verify tenant/lease match, amount, date, method, and reference; confirm once; open ledger detail and allocation.</x:v>
      </x:c>
      <x:c r="M1359" s="35" t="str">
        <x:v>Receipt is append-only, allocated once to the correct rent charge, and visible consistently in Unit, Lease, Tenant Account, Accounting, and portal views.</x:v>
      </x:c>
      <x:c r="N1359" s="35" t="str">
        <x:v>Scan review or form; success result; exact ledger rows; payment detail; accounting delta; portal receipt.</x:v>
      </x:c>
      <x:c r="O1359" s="35" t="str">
        <x:v>Retry the idempotency key once during the quarter assigned in the coverage matrix; no duplicate cash or allocation.</x:v>
      </x:c>
      <x:c r="P1359" s="35" t="str">
        <x:v>All expected records and amounts match; no unexplained error or stale state.</x:v>
      </x:c>
    </x:row>
    <x:row r="1360">
      <x:c r="A1360" s="20" t="str">
        <x:v>RUN-20270905-06</x:v>
      </x:c>
      <x:c r="B1360" s="23" t="n">
        <x:v>46635</x:v>
      </x:c>
      <x:c r="C1360" s="32" t="n">
        <x:v>6</x:v>
      </x:c>
      <x:c r="D1360" s="20" t="str">
        <x:v>Monthly operations</x:v>
      </x:c>
      <x:c r="E1360" s="20" t="str">
        <x:v>Property Manager</x:v>
      </x:c>
      <x:c r="F1360" s="20" t="str">
        <x:v>Mobile</x:v>
      </x:c>
      <x:c r="G1360" s="20" t="str">
        <x:v>Portal card</x:v>
      </x:c>
      <x:c r="H1360" s="35" t="str">
        <x:v>Post and allocate tenant receipt</x:v>
      </x:c>
      <x:c r="I1360" s="35" t="str">
        <x:v>P028; U035; L035</x:v>
      </x:c>
      <x:c r="J1360" s="35" t="str"/>
      <x:c r="K1360" s="35" t="str">
        <x:v>FIN-00746; FIN-00747</x:v>
      </x:c>
      <x:c r="L1360" s="35" t="str">
        <x:v>Open Scan for paper payment or the tenant-account receipt form for electronic payment; verify tenant/lease match, amount, date, method, and reference; confirm once; open ledger detail and allocation.</x:v>
      </x:c>
      <x:c r="M1360" s="35" t="str">
        <x:v>Receipt is append-only, allocated once to the correct rent charge, and visible consistently in Unit, Lease, Tenant Account, Accounting, and portal views.</x:v>
      </x:c>
      <x:c r="N1360" s="35" t="str">
        <x:v>Scan review or form; success result; exact ledger rows; payment detail; accounting delta; portal receipt.</x:v>
      </x:c>
      <x:c r="O1360" s="35" t="str">
        <x:v>Retry the idempotency key once during the quarter assigned in the coverage matrix; no duplicate cash or allocation.</x:v>
      </x:c>
      <x:c r="P1360" s="35" t="str">
        <x:v>All expected records and amounts match; no unexplained error or stale state.</x:v>
      </x:c>
    </x:row>
    <x:row r="1361">
      <x:c r="A1361" s="20" t="str">
        <x:v>RUN-20270905-07</x:v>
      </x:c>
      <x:c r="B1361" s="23" t="n">
        <x:v>46635</x:v>
      </x:c>
      <x:c r="C1361" s="32" t="n">
        <x:v>7</x:v>
      </x:c>
      <x:c r="D1361" s="20" t="str">
        <x:v>Monthly operations</x:v>
      </x:c>
      <x:c r="E1361" s="20" t="str">
        <x:v>Property Manager</x:v>
      </x:c>
      <x:c r="F1361" s="20" t="str">
        <x:v>Web</x:v>
      </x:c>
      <x:c r="G1361" s="20" t="str">
        <x:v>Manual ACH</x:v>
      </x:c>
      <x:c r="H1361" s="35" t="str">
        <x:v>Post and allocate tenant receipt</x:v>
      </x:c>
      <x:c r="I1361" s="35" t="str">
        <x:v>P014; U014; L038</x:v>
      </x:c>
      <x:c r="J1361" s="35" t="str"/>
      <x:c r="K1361" s="35" t="str">
        <x:v>FIN-00752; FIN-00753</x:v>
      </x:c>
      <x:c r="L1361" s="35" t="str">
        <x:v>Open Scan for paper payment or the tenant-account receipt form for electronic payment; verify tenant/lease match, amount, date, method, and reference; confirm once; open ledger detail and allocation.</x:v>
      </x:c>
      <x:c r="M1361" s="35" t="str">
        <x:v>Receipt is append-only, allocated once to the correct rent charge, and visible consistently in Unit, Lease, Tenant Account, Accounting, and portal views.</x:v>
      </x:c>
      <x:c r="N1361" s="35" t="str">
        <x:v>Scan review or form; success result; exact ledger rows; payment detail; accounting delta; portal receipt.</x:v>
      </x:c>
      <x:c r="O1361" s="35" t="str">
        <x:v>Retry the idempotency key once during the quarter assigned in the coverage matrix; no duplicate cash or allocation.</x:v>
      </x:c>
      <x:c r="P1361" s="35" t="str">
        <x:v>All expected records and amounts match; no unexplained error or stale state.</x:v>
      </x:c>
    </x:row>
    <x:row r="1362">
      <x:c r="A1362" s="20" t="str">
        <x:v>RUN-20270905-08</x:v>
      </x:c>
      <x:c r="B1362" s="23" t="n">
        <x:v>46635</x:v>
      </x:c>
      <x:c r="C1362" s="32" t="n">
        <x:v>8</x:v>
      </x:c>
      <x:c r="D1362" s="20" t="str">
        <x:v>Monthly operations</x:v>
      </x:c>
      <x:c r="E1362" s="20" t="str">
        <x:v>Property Manager</x:v>
      </x:c>
      <x:c r="F1362" s="20" t="str">
        <x:v>Mobile</x:v>
      </x:c>
      <x:c r="G1362" s="20" t="str">
        <x:v>Scanned money order</x:v>
      </x:c>
      <x:c r="H1362" s="35" t="str">
        <x:v>Post and allocate tenant receipt</x:v>
      </x:c>
      <x:c r="I1362" s="35" t="str">
        <x:v>P030; U040; L041</x:v>
      </x:c>
      <x:c r="J1362" s="35" t="str">
        <x:v>SCN-0278</x:v>
      </x:c>
      <x:c r="K1362" s="35" t="str">
        <x:v>FIN-00757; FIN-00758</x:v>
      </x:c>
      <x:c r="L1362" s="35" t="str">
        <x:v>Open Scan for paper payment or the tenant-account receipt form for electronic payment; verify tenant/lease match, amount, date, method, and reference; confirm once; open ledger detail and allocation.</x:v>
      </x:c>
      <x:c r="M1362" s="35" t="str">
        <x:v>Receipt is append-only, allocated once to the correct rent charge, and visible consistently in Unit, Lease, Tenant Account, Accounting, and portal views.</x:v>
      </x:c>
      <x:c r="N1362" s="35" t="str">
        <x:v>Scan review or form; success result; exact ledger rows; payment detail; accounting delta; portal receipt.</x:v>
      </x:c>
      <x:c r="O1362" s="35" t="str">
        <x:v>Retry the idempotency key once during the quarter assigned in the coverage matrix; no duplicate cash or allocation.</x:v>
      </x:c>
      <x:c r="P1362" s="35" t="str">
        <x:v>All expected records and amounts match; no unexplained error or stale state.</x:v>
      </x:c>
    </x:row>
    <x:row r="1363">
      <x:c r="A1363" s="20" t="str">
        <x:v>RUN-20270905-09</x:v>
      </x:c>
      <x:c r="B1363" s="23" t="n">
        <x:v>46635</x:v>
      </x:c>
      <x:c r="C1363" s="32" t="n">
        <x:v>9</x:v>
      </x:c>
      <x:c r="D1363" s="20" t="str">
        <x:v>Leasing</x:v>
      </x:c>
      <x:c r="E1363" s="20" t="str">
        <x:v>Leasing Agent</x:v>
      </x:c>
      <x:c r="F1363" s="20" t="str">
        <x:v>Mobile</x:v>
      </x:c>
      <x:c r="G1363" s="20" t="str">
        <x:v>Scan/document + e-sign</x:v>
      </x:c>
      <x:c r="H1363" s="35" t="str">
        <x:v>Issue and execute lease agreement</x:v>
      </x:c>
      <x:c r="I1363" s="35" t="str">
        <x:v>L040; U022</x:v>
      </x:c>
      <x:c r="J1363" s="35" t="str">
        <x:v>SCN-0919</x:v>
      </x:c>
      <x:c r="K1363" s="35" t="str"/>
      <x:c r="L1363" s="35" t="str">
        <x:v>Confirm the scanned/native agreement against the prepared draft; issue a signature packet; view as landlord and tenant; sign; finalize immutable PDF/hash; verify Agreement is Upcoming until effective date.</x:v>
      </x:c>
      <x:c r="M1363" s="35" t="str">
        <x:v>Issued version is immutable, one signature packet is active, audit events are complete, and the effective-status projection follows the simulated date.</x:v>
      </x:c>
      <x:c r="N1363" s="35" t="str">
        <x:v>Draft/issued/final PDFs; hashes; signer states; signature audit; portal view; status before/after effective date.</x:v>
      </x:c>
      <x:c r="O1363" s="35" t="str">
        <x:v>Void one deliberately incorrect issued packet, issue a replacement, and prove the voided artifact remains while no competing active packet exists.</x:v>
      </x:c>
      <x:c r="P1363" s="35" t="str">
        <x:v>All expected records and amounts match; no unexplained error or stale state.</x:v>
      </x:c>
    </x:row>
    <x:row r="1364">
      <x:c r="A1364" s="20" t="str">
        <x:v>RUN-20270905-10</x:v>
      </x:c>
      <x:c r="B1364" s="23" t="n">
        <x:v>46635</x:v>
      </x:c>
      <x:c r="C1364" s="32" t="n">
        <x:v>10</x:v>
      </x:c>
      <x:c r="D1364" s="20" t="str">
        <x:v>Lease ending</x:v>
      </x:c>
      <x:c r="E1364" s="20" t="str">
        <x:v>Workspace Administrator</x:v>
      </x:c>
      <x:c r="F1364" s="20" t="str">
        <x:v>Web + Mobile</x:v>
      </x:c>
      <x:c r="G1364" s="20" t="str">
        <x:v>Manual financial disposition</x:v>
      </x:c>
      <x:c r="H1364" s="35" t="str">
        <x:v>Finalize security deposit disposition</x:v>
      </x:c>
      <x:c r="I1364" s="35" t="str">
        <x:v>L008; U008</x:v>
      </x:c>
      <x:c r="J1364" s="35" t="str">
        <x:v>SCN-0938</x:v>
      </x:c>
      <x:c r="K1364" s="35" t="str">
        <x:v>FIN-01660; FIN-01661; FIN-01662</x:v>
      </x:c>
      <x:c r="L1364" s="35" t="str">
        <x:v>Create supported damage charge if applicable; apply deposit to the tenant balance; transfer applied cash to operating; refund the remainder; deliver itemized statement; compare ledger and deposit register.</x:v>
      </x:c>
      <x:c r="M1364" s="35" t="str">
        <x:v>Deposit liability falls by $1,650.00; tenant AR falls by $125.00; refund is $1,525.00; income changes only for supported charges.</x:v>
      </x:c>
      <x:c r="N1364" s="35" t="str">
        <x:v>Inspection support; charge; application; cash transfer; refund; itemized statement; portal/account history; accounting checks.</x:v>
      </x:c>
      <x:c r="O1364" s="35" t="str">
        <x:v>Inject a failure before final save and prove charge/application/refund/audit rows all roll back together.</x:v>
      </x:c>
      <x:c r="P1364" s="35" t="str">
        <x:v>All expected records and amounts match; no unexplained error or stale state.</x:v>
      </x:c>
    </x:row>
    <x:row r="1365">
      <x:c r="A1365" s="20" t="str">
        <x:v>RUN-20270905-11</x:v>
      </x:c>
      <x:c r="B1365" s="23" t="n">
        <x:v>46635</x:v>
      </x:c>
      <x:c r="C1365" s="32" t="n">
        <x:v>11</x:v>
      </x:c>
      <x:c r="D1365" s="20" t="str">
        <x:v>Lease ending</x:v>
      </x:c>
      <x:c r="E1365" s="20" t="str">
        <x:v>Workspace Administrator</x:v>
      </x:c>
      <x:c r="F1365" s="20" t="str">
        <x:v>Web + Mobile</x:v>
      </x:c>
      <x:c r="G1365" s="20" t="str">
        <x:v>Manual financial disposition</x:v>
      </x:c>
      <x:c r="H1365" s="35" t="str">
        <x:v>Finalize security deposit disposition</x:v>
      </x:c>
      <x:c r="I1365" s="35" t="str">
        <x:v>L022; U022</x:v>
      </x:c>
      <x:c r="J1365" s="35" t="str">
        <x:v>SCN-0944</x:v>
      </x:c>
      <x:c r="K1365" s="35" t="str">
        <x:v>FIN-01668; FIN-01669; FIN-01670</x:v>
      </x:c>
      <x:c r="L1365" s="35" t="str">
        <x:v>Create supported damage charge if applicable; apply deposit to the tenant balance; transfer applied cash to operating; refund the remainder; deliver itemized statement; compare ledger and deposit register.</x:v>
      </x:c>
      <x:c r="M1365" s="35" t="str">
        <x:v>Deposit liability falls by $1,900.00; tenant AR falls by $200.00; refund is $1,700.00; income changes only for supported charges.</x:v>
      </x:c>
      <x:c r="N1365" s="35" t="str">
        <x:v>Inspection support; charge; application; cash transfer; refund; itemized statement; portal/account history; accounting checks.</x:v>
      </x:c>
      <x:c r="O1365" s="35" t="str">
        <x:v>Inject a failure before final save and prove charge/application/refund/audit rows all roll back together.</x:v>
      </x:c>
      <x:c r="P1365" s="35" t="str">
        <x:v>All expected records and amounts match; no unexplained error or stale state.</x:v>
      </x:c>
    </x:row>
    <x:row r="1366">
      <x:c r="A1366" s="20" t="str">
        <x:v>RUN-20270906-01</x:v>
      </x:c>
      <x:c r="B1366" s="23" t="n">
        <x:v>46636</x:v>
      </x:c>
      <x:c r="C1366" s="32" t="n">
        <x:v>1</x:v>
      </x:c>
      <x:c r="D1366" s="20" t="str">
        <x:v>Weekly operations</x:v>
      </x:c>
      <x:c r="E1366" s="20" t="str">
        <x:v>Property Manager</x:v>
      </x:c>
      <x:c r="F1366" s="20" t="str">
        <x:v>Web</x:v>
      </x:c>
      <x:c r="G1366" s="20" t="str">
        <x:v>Scan-first</x:v>
      </x:c>
      <x:c r="H1366" s="35" t="str">
        <x:v>Create and triage maintenance request</x:v>
      </x:c>
      <x:c r="I1366" s="35" t="str">
        <x:v>P013; U013; WO-2027-036</x:v>
      </x:c>
      <x:c r="J1366" s="35" t="str">
        <x:v>SCN-0410</x:v>
      </x:c>
      <x:c r="K1366" s="35" t="str"/>
      <x:c r="L1366" s="35" t="str">
        <x:v>Capture the tenant note/photo; review roof flashing leak; confirm; set responsibility; dispatch Fresh Start Turnovers; create an appointment and verify the tenant notification.</x:v>
      </x:c>
      <x:c r="M1366" s="35" t="str">
        <x:v>Work order, status timeline, responsibility, vendor dispatch, appointment, notification, and Unit context are linked once.</x:v>
      </x:c>
      <x:c r="N1366" s="35" t="str">
        <x:v>Scan review; work order detail/timeline; dispatch; appointment; notification; tenant portal view.</x:v>
      </x:c>
      <x:c r="O1366" s="35" t="str">
        <x:v>Cancel one dispatch each quarter, reassign once, and prove status/history remains append-only.</x:v>
      </x:c>
      <x:c r="P1366" s="35" t="str">
        <x:v>All expected records and amounts match; no unexplained error or stale state.</x:v>
      </x:c>
    </x:row>
    <x:row r="1367">
      <x:c r="A1367" s="20" t="str">
        <x:v>RUN-20270906-02</x:v>
      </x:c>
      <x:c r="B1367" s="23" t="n">
        <x:v>46636</x:v>
      </x:c>
      <x:c r="C1367" s="32" t="n">
        <x:v>2</x:v>
      </x:c>
      <x:c r="D1367" s="20" t="str">
        <x:v>Role and screen certification</x:v>
      </x:c>
      <x:c r="E1367" s="20" t="str">
        <x:v>Applicant / public user</x:v>
      </x:c>
      <x:c r="F1367" s="20" t="str">
        <x:v>Mobile</x:v>
      </x:c>
      <x:c r="G1367" s="20" t="str">
        <x:v>Normal persona navigation</x:v>
      </x:c>
      <x:c r="H1367" s="35" t="str">
        <x:v>Use every permitted action and state on features/leases/successor_agreement_sheet.dart</x:v>
      </x:c>
      <x:c r="I1367" s="35" t="str">
        <x:v>SCR-133; ROLE-226</x:v>
      </x:c>
      <x:c r="J1367" s="35" t="str"/>
      <x:c r="K1367" s="35" t="str"/>
      <x:c r="L136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67" s="35" t="str">
        <x:v>The persona can use every allowed action with only its assigned properties/relationships. Hidden or disabled actions explain why; an adjacent unauthorized persona is denied without metadata leakage.</x:v>
      </x:c>
      <x:c r="N1367" s="35" t="str">
        <x:v>Persona/experience; navigation entry; desktop or device screenshots; result state; persisted read-back; audit/history; authorized and denied network result.</x:v>
      </x:c>
      <x:c r="O1367" s="35" t="str">
        <x:v>Open the direct URL or deep link with an adjacent unauthorized persona and with stale scope; both fail closed and land safely without mutation.</x:v>
      </x:c>
      <x:c r="P1367" s="35" t="str">
        <x:v>All expected records and amounts match; no unexplained error or stale state.</x:v>
      </x:c>
    </x:row>
    <x:row r="1368">
      <x:c r="A1368" s="20" t="str">
        <x:v>RUN-20270906-03</x:v>
      </x:c>
      <x:c r="B1368" s="23" t="n">
        <x:v>46636</x:v>
      </x:c>
      <x:c r="C1368" s="32" t="n">
        <x:v>3</x:v>
      </x:c>
      <x:c r="D1368" s="20" t="str">
        <x:v>Field certification</x:v>
      </x:c>
      <x:c r="E1368" s="20" t="str">
        <x:v>Workspace Administrator</x:v>
      </x:c>
      <x:c r="F1368" s="20" t="str">
        <x:v>Web</x:v>
      </x:c>
      <x:c r="G1368" s="20" t="str">
        <x:v>Manual field-by-field</x:v>
      </x:c>
      <x:c r="H1368" s="35" t="str">
        <x:v>Fill, save, reload, edit, and validate every declared field on /settings/accounting</x:v>
      </x:c>
      <x:c r="I1368" s="35" t="str">
        <x:v>FLD-0723; FLD-0724; FLD-0725; FLD-0726</x:v>
      </x:c>
      <x:c r="J1368" s="35" t="str"/>
      <x:c r="K1368" s="35" t="str"/>
      <x:c r="L1368" s="35" t="str">
        <x:v>Use the source-derived Field Inventory. Enter non-default realistic values in every control (externalId; externalDisplayName; localEntityType; localEntityId); submit; reload or relaunch; compare every value; edit each mutable field; verify the paired client; then run required, format, length, range, boundary, optional-null, and stale-submit checks.</x:v>
      </x:c>
      <x:c r="M1368" s="35" t="str">
        <x:v>All 4 inventoried controls persist exact normalized values, invalid values stay unsaved with clear errors, and hidden/unauthorized fields cannot be altered.</x:v>
      </x:c>
      <x:c r="N1368" s="35" t="str">
        <x:v>Before/after form screenshots; FLD IDs; API response; reloaded UI; paired-client read-back; database/audit evidence; negative validation result.</x:v>
      </x:c>
      <x:c r="O1368" s="35" t="str">
        <x:v>Use a duplicate submit and one simulated network interruption; one atomic mutation or none, never partial state.</x:v>
      </x:c>
      <x:c r="P1368" s="35" t="str">
        <x:v>All expected records and amounts match; no unexplained error or stale state.</x:v>
      </x:c>
    </x:row>
    <x:row r="1369">
      <x:c r="A1369" s="20" t="str">
        <x:v>RUN-20270907-01</x:v>
      </x:c>
      <x:c r="B1369" s="23" t="n">
        <x:v>46637</x:v>
      </x:c>
      <x:c r="C1369" s="32" t="n">
        <x:v>1</x:v>
      </x:c>
      <x:c r="D1369" s="20" t="str">
        <x:v>Weekly operations</x:v>
      </x:c>
      <x:c r="E1369" s="20" t="str">
        <x:v>Property Manager</x:v>
      </x:c>
      <x:c r="F1369" s="20" t="str">
        <x:v>Web</x:v>
      </x:c>
      <x:c r="G1369" s="20" t="str">
        <x:v>Scanned receipt/invoice</x:v>
      </x:c>
      <x:c r="H1369" s="35" t="str">
        <x:v>Record, review, allocate, and pay operating expense</x:v>
      </x:c>
      <x:c r="I1369" s="35" t="str">
        <x:v>P013; U013; WO-2027-036</x:v>
      </x:c>
      <x:c r="J1369" s="35" t="str">
        <x:v>SCN-0411</x:v>
      </x:c>
      <x:c r="K1369" s="35" t="str">
        <x:v>FIN-01059</x:v>
      </x:c>
      <x:c r="L1369" s="35" t="str">
        <x:v>Capture or upload the source; verify vendor, date, scope, category, line items, tax, amount, and work-order link; confirm; open detail; verify attachment; compare Money and Property/Unit views.</x:v>
      </x:c>
      <x:c r="M1369" s="35" t="str">
        <x:v>One expense exists at its real operational scope, cash falls once, Schedule E category and allocations agree, and no per-unit copies are created.</x:v>
      </x:c>
      <x:c r="N1369" s="35" t="str">
        <x:v>Source preview; review/form; expense detail; line items; Property/Unit ledger; audit; accounting/report delta.</x:v>
      </x:c>
      <x:c r="O1369" s="35" t="str">
        <x:v>On marked duplicate-invoice cases, re-upload before confirm and prove the product prevents or clearly warns about duplication.</x:v>
      </x:c>
      <x:c r="P1369" s="35" t="str">
        <x:v>All expected records and amounts match; no unexplained error or stale state.</x:v>
      </x:c>
    </x:row>
    <x:row r="1370">
      <x:c r="A1370" s="20" t="str">
        <x:v>RUN-20270907-02</x:v>
      </x:c>
      <x:c r="B1370" s="23" t="n">
        <x:v>46637</x:v>
      </x:c>
      <x:c r="C1370" s="32" t="n">
        <x:v>2</x:v>
      </x:c>
      <x:c r="D1370" s="20" t="str">
        <x:v>Field certification</x:v>
      </x:c>
      <x:c r="E1370" s="20" t="str">
        <x:v>Workspace Administrator</x:v>
      </x:c>
      <x:c r="F1370" s="20" t="str">
        <x:v>Web</x:v>
      </x:c>
      <x:c r="G1370" s="20" t="str">
        <x:v>Manual field-by-field</x:v>
      </x:c>
      <x:c r="H1370" s="35" t="str">
        <x:v>Fill, save, reload, edit, and validate every declared field on /settings/accounting</x:v>
      </x:c>
      <x:c r="I1370" s="35" t="str">
        <x:v>FLD-0727</x:v>
      </x:c>
      <x:c r="J1370" s="35" t="str"/>
      <x:c r="K1370" s="35" t="str"/>
      <x:c r="L1370" s="35" t="str">
        <x:v>Use the source-derived Field Inventory. Enter non-default realistic values in every control (localEnumValue); submit; reload or relaunch; compare every value; edit each mutable field; verify the paired client; then run required, format, length, range, boundary, optional-null, and stale-submit checks.</x:v>
      </x:c>
      <x:c r="M1370" s="35" t="str">
        <x:v>All 1 inventoried controls persist exact normalized values, invalid values stay unsaved with clear errors, and hidden/unauthorized fields cannot be altered.</x:v>
      </x:c>
      <x:c r="N1370" s="35" t="str">
        <x:v>Before/after form screenshots; FLD IDs; API response; reloaded UI; paired-client read-back; database/audit evidence; negative validation result.</x:v>
      </x:c>
      <x:c r="O1370" s="35" t="str">
        <x:v>Use a duplicate submit and one simulated network interruption; one atomic mutation or none, never partial state.</x:v>
      </x:c>
      <x:c r="P1370" s="35" t="str">
        <x:v>All expected records and amounts match; no unexplained error or stale state.</x:v>
      </x:c>
    </x:row>
    <x:row r="1371">
      <x:c r="A1371" s="20" t="str">
        <x:v>RUN-20270907-03</x:v>
      </x:c>
      <x:c r="B1371" s="23" t="n">
        <x:v>46637</x:v>
      </x:c>
      <x:c r="C1371" s="32" t="n">
        <x:v>3</x:v>
      </x:c>
      <x:c r="D1371" s="20" t="str">
        <x:v>Field certification</x:v>
      </x:c>
      <x:c r="E1371" s="20" t="str">
        <x:v>Workspace Administrator</x:v>
      </x:c>
      <x:c r="F1371" s="20" t="str">
        <x:v>Web</x:v>
      </x:c>
      <x:c r="G1371" s="20" t="str">
        <x:v>Manual field-by-field</x:v>
      </x:c>
      <x:c r="H1371" s="35" t="str">
        <x:v>Fill, save, reload, edit, and validate every declared field on /settings/integrations/ai</x:v>
      </x:c>
      <x:c r="I1371" s="35" t="str">
        <x:v>FLD-0728; FLD-0729; FLD-0730</x:v>
      </x:c>
      <x:c r="J1371" s="35" t="str"/>
      <x:c r="K1371" s="35" t="str"/>
      <x:c r="L1371" s="35" t="str">
        <x:v>Use the source-derived Field Inventory. Enter non-default realistic values in every control (select-1; modelId; apiKey); submit; reload or relaunch; compare every value; edit each mutable field; verify the paired client; then run required, format, length, range, boundary, optional-null, and stale-submit checks.</x:v>
      </x:c>
      <x:c r="M1371" s="35" t="str">
        <x:v>All 3 inventoried controls persist exact normalized values, invalid values stay unsaved with clear errors, and hidden/unauthorized fields cannot be altered.</x:v>
      </x:c>
      <x:c r="N1371" s="35" t="str">
        <x:v>Before/after form screenshots; FLD IDs; API response; reloaded UI; paired-client read-back; database/audit evidence; negative validation result.</x:v>
      </x:c>
      <x:c r="O1371" s="35" t="str">
        <x:v>Use a duplicate submit and one simulated network interruption; one atomic mutation or none, never partial state.</x:v>
      </x:c>
      <x:c r="P1371" s="35" t="str">
        <x:v>All expected records and amounts match; no unexplained error or stale state.</x:v>
      </x:c>
    </x:row>
    <x:row r="1372">
      <x:c r="A1372" s="20" t="str">
        <x:v>RUN-20270907-04</x:v>
      </x:c>
      <x:c r="B1372" s="23" t="n">
        <x:v>46637</x:v>
      </x:c>
      <x:c r="C1372" s="32" t="n">
        <x:v>4</x:v>
      </x:c>
      <x:c r="D1372" s="20" t="str">
        <x:v>Field certification</x:v>
      </x:c>
      <x:c r="E1372" s="20" t="str">
        <x:v>Workspace Administrator</x:v>
      </x:c>
      <x:c r="F1372" s="20" t="str">
        <x:v>Web</x:v>
      </x:c>
      <x:c r="G1372" s="20" t="str">
        <x:v>Manual field-by-field</x:v>
      </x:c>
      <x:c r="H1372" s="35" t="str">
        <x:v>Fill, save, reload, edit, and validate every declared field on /settings/notifications/team-routing</x:v>
      </x:c>
      <x:c r="I1372" s="35" t="str">
        <x:v>FLD-0731</x:v>
      </x:c>
      <x:c r="J1372" s="35" t="str"/>
      <x:c r="K1372" s="35" t="str"/>
      <x:c r="L1372" s="35" t="str">
        <x:v>Use the source-derived Field Inventory. Enter non-default realistic values in every control (briefingForm.sendHourLocal); submit; reload or relaunch; compare every value; edit each mutable field; verify the paired client; then run required, format, length, range, boundary, optional-null, and stale-submit checks.</x:v>
      </x:c>
      <x:c r="M1372" s="35" t="str">
        <x:v>All 1 inventoried controls persist exact normalized values, invalid values stay unsaved with clear errors, and hidden/unauthorized fields cannot be altered.</x:v>
      </x:c>
      <x:c r="N1372" s="35" t="str">
        <x:v>Before/after form screenshots; FLD IDs; API response; reloaded UI; paired-client read-back; database/audit evidence; negative validation result.</x:v>
      </x:c>
      <x:c r="O1372" s="35" t="str">
        <x:v>Use a duplicate submit and one simulated network interruption; one atomic mutation or none, never partial state.</x:v>
      </x:c>
      <x:c r="P1372" s="35" t="str">
        <x:v>All expected records and amounts match; no unexplained error or stale state.</x:v>
      </x:c>
    </x:row>
    <x:row r="1373">
      <x:c r="A1373" s="20" t="str">
        <x:v>RUN-20270907-05</x:v>
      </x:c>
      <x:c r="B1373" s="23" t="n">
        <x:v>46637</x:v>
      </x:c>
      <x:c r="C1373" s="32" t="n">
        <x:v>5</x:v>
      </x:c>
      <x:c r="D1373" s="20" t="str">
        <x:v>Surface coverage</x:v>
      </x:c>
      <x:c r="E1373" s="20" t="str">
        <x:v>Role appropriate to surface</x:v>
      </x:c>
      <x:c r="F1373" s="20" t="str">
        <x:v>Mobile</x:v>
      </x:c>
      <x:c r="G1373" s="20" t="str">
        <x:v>Scan/attachment</x:v>
      </x:c>
      <x:c r="H1373" s="35" t="str">
        <x:v>Scan mobile pass: Turnover workspace and make-ready</x:v>
      </x:c>
      <x:c r="I1373" s="35" t="str">
        <x:v>COV-031</x:v>
      </x:c>
      <x:c r="J1373" s="35" t="str"/>
      <x:c r="K1373" s="35" t="str"/>
      <x:c r="L1373" s="35" t="str">
        <x:v>Open turnover, create tasks/work orders, track ready date, close, and verify vacancy/marketing independence.</x:v>
      </x:c>
      <x:c r="M1373" s="35" t="str">
        <x:v>The supported workflow completes and persists correctly; if the capability is absent, the exact gap is proven and queued rather than silently skipped.</x:v>
      </x:c>
      <x:c r="N1373" s="35" t="str">
        <x:v>Real UI screenshot/state; submitted values; persisted read-back; cross-client read-back; audit/role/access evidence.</x:v>
      </x:c>
      <x:c r="O1373" s="35" t="str">
        <x:v>Use one invalid value, stale-state retry, or duplicate submission relevant to the form; no partial or duplicate mutation.</x:v>
      </x:c>
      <x:c r="P1373" s="35" t="str">
        <x:v>All expected records and amounts match; no unexplained error or stale state.</x:v>
      </x:c>
    </x:row>
    <x:row r="1374">
      <x:c r="A1374" s="20" t="str">
        <x:v>RUN-20270908-01</x:v>
      </x:c>
      <x:c r="B1374" s="23" t="n">
        <x:v>46638</x:v>
      </x:c>
      <x:c r="C1374" s="32" t="n">
        <x:v>1</x:v>
      </x:c>
      <x:c r="D1374" s="20" t="str">
        <x:v>Monthly operations</x:v>
      </x:c>
      <x:c r="E1374" s="20" t="str">
        <x:v>Property Manager</x:v>
      </x:c>
      <x:c r="F1374" s="20" t="str">
        <x:v>Web</x:v>
      </x:c>
      <x:c r="G1374" s="20" t="str">
        <x:v>Scanned check</x:v>
      </x:c>
      <x:c r="H1374" s="35" t="str">
        <x:v>Post and allocate tenant receipt</x:v>
      </x:c>
      <x:c r="I1374" s="35" t="str">
        <x:v>P013; U013; L013</x:v>
      </x:c>
      <x:c r="J1374" s="35" t="str">
        <x:v>SCN-0265</x:v>
      </x:c>
      <x:c r="K1374" s="35" t="str">
        <x:v>FIN-00705; FIN-00706</x:v>
      </x:c>
      <x:c r="L1374" s="35" t="str">
        <x:v>Open Scan for paper payment or the tenant-account receipt form for electronic payment; verify tenant/lease match, amount, date, method, and reference; confirm once; open ledger detail and allocation.</x:v>
      </x:c>
      <x:c r="M1374" s="35" t="str">
        <x:v>Receipt is append-only, allocated once to the correct rent charge, and visible consistently in Unit, Lease, Tenant Account, Accounting, and portal views.</x:v>
      </x:c>
      <x:c r="N1374" s="35" t="str">
        <x:v>Scan review or form; success result; exact ledger rows; payment detail; accounting delta; portal receipt.</x:v>
      </x:c>
      <x:c r="O1374" s="35" t="str">
        <x:v>Retry the idempotency key once during the quarter assigned in the coverage matrix; no duplicate cash or allocation.</x:v>
      </x:c>
      <x:c r="P1374" s="35" t="str">
        <x:v>All expected records and amounts match; no unexplained error or stale state.</x:v>
      </x:c>
    </x:row>
    <x:row r="1375">
      <x:c r="A1375" s="20" t="str">
        <x:v>RUN-20270908-02</x:v>
      </x:c>
      <x:c r="B1375" s="23" t="n">
        <x:v>46638</x:v>
      </x:c>
      <x:c r="C1375" s="32" t="n">
        <x:v>2</x:v>
      </x:c>
      <x:c r="D1375" s="20" t="str">
        <x:v>Monthly operations</x:v>
      </x:c>
      <x:c r="E1375" s="20" t="str">
        <x:v>Property Manager</x:v>
      </x:c>
      <x:c r="F1375" s="20" t="str">
        <x:v>Mobile</x:v>
      </x:c>
      <x:c r="G1375" s="20" t="str">
        <x:v>Scanned money order</x:v>
      </x:c>
      <x:c r="H1375" s="35" t="str">
        <x:v>Post and allocate tenant receipt</x:v>
      </x:c>
      <x:c r="I1375" s="35" t="str">
        <x:v>P023; U026; L026</x:v>
      </x:c>
      <x:c r="J1375" s="35" t="str">
        <x:v>SCN-0271</x:v>
      </x:c>
      <x:c r="K1375" s="35" t="str">
        <x:v>FIN-00726; FIN-00727</x:v>
      </x:c>
      <x:c r="L1375" s="35" t="str">
        <x:v>Open Scan for paper payment or the tenant-account receipt form for electronic payment; verify tenant/lease match, amount, date, method, and reference; confirm once; open ledger detail and allocation.</x:v>
      </x:c>
      <x:c r="M1375" s="35" t="str">
        <x:v>Receipt is append-only, allocated once to the correct rent charge, and visible consistently in Unit, Lease, Tenant Account, Accounting, and portal views.</x:v>
      </x:c>
      <x:c r="N1375" s="35" t="str">
        <x:v>Scan review or form; success result; exact ledger rows; payment detail; accounting delta; portal receipt.</x:v>
      </x:c>
      <x:c r="O1375" s="35" t="str">
        <x:v>Retry the idempotency key once during the quarter assigned in the coverage matrix; no duplicate cash or allocation.</x:v>
      </x:c>
      <x:c r="P1375" s="35" t="str">
        <x:v>All expected records and amounts match; no unexplained error or stale state.</x:v>
      </x:c>
    </x:row>
    <x:row r="1376">
      <x:c r="A1376" s="20" t="str">
        <x:v>RUN-20270908-03</x:v>
      </x:c>
      <x:c r="B1376" s="23" t="n">
        <x:v>46638</x:v>
      </x:c>
      <x:c r="C1376" s="32" t="n">
        <x:v>3</x:v>
      </x:c>
      <x:c r="D1376" s="20" t="str">
        <x:v>Monthly operations</x:v>
      </x:c>
      <x:c r="E1376" s="20" t="str">
        <x:v>Property Manager</x:v>
      </x:c>
      <x:c r="F1376" s="20" t="str">
        <x:v>Web</x:v>
      </x:c>
      <x:c r="G1376" s="20" t="str">
        <x:v>Manual ACH</x:v>
      </x:c>
      <x:c r="H1376" s="35" t="str">
        <x:v>Post and allocate tenant receipt</x:v>
      </x:c>
      <x:c r="I1376" s="35" t="str">
        <x:v>P017; U017; L039</x:v>
      </x:c>
      <x:c r="J1376" s="35" t="str"/>
      <x:c r="K1376" s="35" t="str">
        <x:v>FIN-00755; FIN-00756</x:v>
      </x:c>
      <x:c r="L1376" s="35" t="str">
        <x:v>Open Scan for paper payment or the tenant-account receipt form for electronic payment; verify tenant/lease match, amount, date, method, and reference; confirm once; open ledger detail and allocation.</x:v>
      </x:c>
      <x:c r="M1376" s="35" t="str">
        <x:v>Receipt is append-only, allocated once to the correct rent charge, and visible consistently in Unit, Lease, Tenant Account, Accounting, and portal views.</x:v>
      </x:c>
      <x:c r="N1376" s="35" t="str">
        <x:v>Scan review or form; success result; exact ledger rows; payment detail; accounting delta; portal receipt.</x:v>
      </x:c>
      <x:c r="O1376" s="35" t="str">
        <x:v>Retry the idempotency key once during the quarter assigned in the coverage matrix; no duplicate cash or allocation.</x:v>
      </x:c>
      <x:c r="P1376" s="35" t="str">
        <x:v>All expected records and amounts match; no unexplained error or stale state.</x:v>
      </x:c>
    </x:row>
    <x:row r="1377">
      <x:c r="A1377" s="20" t="str">
        <x:v>RUN-20270908-04</x:v>
      </x:c>
      <x:c r="B1377" s="23" t="n">
        <x:v>46638</x:v>
      </x:c>
      <x:c r="C1377" s="32" t="n">
        <x:v>4</x:v>
      </x:c>
      <x:c r="D1377" s="20" t="str">
        <x:v>Role and screen certification</x:v>
      </x:c>
      <x:c r="E1377" s="20" t="str">
        <x:v>Leasing Agent</x:v>
      </x:c>
      <x:c r="F1377" s="20" t="str">
        <x:v>Mobile</x:v>
      </x:c>
      <x:c r="G1377" s="20" t="str">
        <x:v>Normal persona navigation</x:v>
      </x:c>
      <x:c r="H1377" s="35" t="str">
        <x:v>Use every permitted action and state on features/leasing/leasing_landing_screen.dart</x:v>
      </x:c>
      <x:c r="I1377" s="35" t="str">
        <x:v>SCR-134; ROLE-227</x:v>
      </x:c>
      <x:c r="J1377" s="35" t="str"/>
      <x:c r="K1377" s="35" t="str"/>
      <x:c r="L137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77" s="35" t="str">
        <x:v>The persona can use every allowed action with only its assigned properties/relationships. Hidden or disabled actions explain why; an adjacent unauthorized persona is denied without metadata leakage.</x:v>
      </x:c>
      <x:c r="N1377" s="35" t="str">
        <x:v>Persona/experience; navigation entry; desktop or device screenshots; result state; persisted read-back; audit/history; authorized and denied network result.</x:v>
      </x:c>
      <x:c r="O1377" s="35" t="str">
        <x:v>Open the direct URL or deep link with an adjacent unauthorized persona and with stale scope; both fail closed and land safely without mutation.</x:v>
      </x:c>
      <x:c r="P1377" s="35" t="str">
        <x:v>All expected records and amounts match; no unexplained error or stale state.</x:v>
      </x:c>
    </x:row>
    <x:row r="1378">
      <x:c r="A1378" s="20" t="str">
        <x:v>RUN-20270908-05</x:v>
      </x:c>
      <x:c r="B1378" s="23" t="n">
        <x:v>46638</x:v>
      </x:c>
      <x:c r="C1378" s="32" t="n">
        <x:v>5</x:v>
      </x:c>
      <x:c r="D1378" s="20" t="str">
        <x:v>Field certification</x:v>
      </x:c>
      <x:c r="E1378" s="20" t="str">
        <x:v>Workspace Administrator</x:v>
      </x:c>
      <x:c r="F1378" s="20" t="str">
        <x:v>Web</x:v>
      </x:c>
      <x:c r="G1378" s="20" t="str">
        <x:v>Manual field-by-field</x:v>
      </x:c>
      <x:c r="H1378" s="35" t="str">
        <x:v>Fill, save, reload, edit, and validate every declared field on /settings/notifications/team-routing</x:v>
      </x:c>
      <x:c r="I1378" s="35" t="str">
        <x:v>FLD-0732; FLD-0733</x:v>
      </x:c>
      <x:c r="J1378" s="35" t="str"/>
      <x:c r="K1378" s="35" t="str"/>
      <x:c r="L1378" s="35" t="str">
        <x:v>Use the source-derived Field Inventory. Enter non-default realistic values in every control (recipient.reason; team-routing-search); submit; reload or relaunch; compare every value; edit each mutable field; verify the paired client; then run required, format, length, range, boundary, optional-null, and stale-submit checks.</x:v>
      </x:c>
      <x:c r="M1378" s="35" t="str">
        <x:v>All 2 inventoried controls persist exact normalized values, invalid values stay unsaved with clear errors, and hidden/unauthorized fields cannot be altered.</x:v>
      </x:c>
      <x:c r="N1378" s="35" t="str">
        <x:v>Before/after form screenshots; FLD IDs; API response; reloaded UI; paired-client read-back; database/audit evidence; negative validation result.</x:v>
      </x:c>
      <x:c r="O1378" s="35" t="str">
        <x:v>Use a duplicate submit and one simulated network interruption; one atomic mutation or none, never partial state.</x:v>
      </x:c>
      <x:c r="P1378" s="35" t="str">
        <x:v>All expected records and amounts match; no unexplained error or stale state.</x:v>
      </x:c>
    </x:row>
    <x:row r="1379">
      <x:c r="A1379" s="20" t="str">
        <x:v>RUN-20270908-06</x:v>
      </x:c>
      <x:c r="B1379" s="23" t="n">
        <x:v>46638</x:v>
      </x:c>
      <x:c r="C1379" s="32" t="n">
        <x:v>6</x:v>
      </x:c>
      <x:c r="D1379" s="20" t="str">
        <x:v>Field certification</x:v>
      </x:c>
      <x:c r="E1379" s="20" t="str">
        <x:v>Workspace Administrator</x:v>
      </x:c>
      <x:c r="F1379" s="20" t="str">
        <x:v>Web</x:v>
      </x:c>
      <x:c r="G1379" s="20" t="str">
        <x:v>Manual field-by-field</x:v>
      </x:c>
      <x:c r="H1379" s="35" t="str">
        <x:v>Fill, save, reload, edit, and validate every declared field on /settings/notifications/tenant-notices</x:v>
      </x:c>
      <x:c r="I1379" s="35" t="str">
        <x:v>FLD-0734; FLD-0735</x:v>
      </x:c>
      <x:c r="J1379" s="35" t="str"/>
      <x:c r="K1379" s="35" t="str"/>
      <x:c r="L1379" s="35" t="str">
        <x:v>Use the source-derived Field Inventory. Enter non-default realistic values in every control (`notice-lead-${policy.automationKey; `notice-hour-${policy.automationKey); submit; reload or relaunch; compare every value; edit each mutable field; verify the paired client; then run required, format, length, range, boundary, optional-null, and stale-submit checks.</x:v>
      </x:c>
      <x:c r="M1379" s="35" t="str">
        <x:v>All 2 inventoried controls persist exact normalized values, invalid values stay unsaved with clear errors, and hidden/unauthorized fields cannot be altered.</x:v>
      </x:c>
      <x:c r="N1379" s="35" t="str">
        <x:v>Before/after form screenshots; FLD IDs; API response; reloaded UI; paired-client read-back; database/audit evidence; negative validation result.</x:v>
      </x:c>
      <x:c r="O1379" s="35" t="str">
        <x:v>Use a duplicate submit and one simulated network interruption; one atomic mutation or none, never partial state.</x:v>
      </x:c>
      <x:c r="P1379" s="35" t="str">
        <x:v>All expected records and amounts match; no unexplained error or stale state.</x:v>
      </x:c>
    </x:row>
    <x:row r="1380">
      <x:c r="A1380" s="20" t="str">
        <x:v>RUN-20270908-07</x:v>
      </x:c>
      <x:c r="B1380" s="23" t="n">
        <x:v>46638</x:v>
      </x:c>
      <x:c r="C1380" s="32" t="n">
        <x:v>7</x:v>
      </x:c>
      <x:c r="D1380" s="20" t="str">
        <x:v>Surface coverage</x:v>
      </x:c>
      <x:c r="E1380" s="20" t="str">
        <x:v>Role appropriate to surface</x:v>
      </x:c>
      <x:c r="F1380" s="20" t="str">
        <x:v>Web</x:v>
      </x:c>
      <x:c r="G1380" s="20" t="str">
        <x:v>Manual</x:v>
      </x:c>
      <x:c r="H1380" s="35" t="str">
        <x:v>Manual web pass: Notices and tenant notice policies</x:v>
      </x:c>
      <x:c r="I1380" s="35" t="str">
        <x:v>COV-032</x:v>
      </x:c>
      <x:c r="J1380" s="35" t="str"/>
      <x:c r="K1380" s="35" t="str"/>
      <x:c r="L1380" s="35" t="str">
        <x:v>Create/edit preview/send synthetic notice; policy preferences; automation candidate; no blank/legal surprise.</x:v>
      </x:c>
      <x:c r="M1380" s="35" t="str">
        <x:v>The supported workflow completes and persists correctly; if the capability is absent, the exact gap is proven and queued rather than silently skipped.</x:v>
      </x:c>
      <x:c r="N1380" s="35" t="str">
        <x:v>Real UI screenshot/state; submitted values; persisted read-back; cross-client read-back; audit/role/access evidence.</x:v>
      </x:c>
      <x:c r="O1380" s="35" t="str">
        <x:v>Use one invalid value, stale-state retry, or duplicate submission relevant to the form; no partial or duplicate mutation.</x:v>
      </x:c>
      <x:c r="P1380" s="35" t="str">
        <x:v>All expected records and amounts match; no unexplained error or stale state.</x:v>
      </x:c>
    </x:row>
    <x:row r="1381">
      <x:c r="A1381" s="20" t="str">
        <x:v>RUN-20270909-01</x:v>
      </x:c>
      <x:c r="B1381" s="23" t="n">
        <x:v>46639</x:v>
      </x:c>
      <x:c r="C1381" s="32" t="n">
        <x:v>1</x:v>
      </x:c>
      <x:c r="D1381" s="20" t="str">
        <x:v>Role and screen certification</x:v>
      </x:c>
      <x:c r="E1381" s="20" t="str">
        <x:v>Applicant / public user</x:v>
      </x:c>
      <x:c r="F1381" s="20" t="str">
        <x:v>Mobile</x:v>
      </x:c>
      <x:c r="G1381" s="20" t="str">
        <x:v>Normal persona navigation</x:v>
      </x:c>
      <x:c r="H1381" s="35" t="str">
        <x:v>Use every permitted action and state on features/maintenance/create_work_order_sheet.dart</x:v>
      </x:c>
      <x:c r="I1381" s="35" t="str">
        <x:v>SCR-135; ROLE-228</x:v>
      </x:c>
      <x:c r="J1381" s="35" t="str"/>
      <x:c r="K1381" s="35" t="str"/>
      <x:c r="L138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81" s="35" t="str">
        <x:v>The persona can use every allowed action with only its assigned properties/relationships. Hidden or disabled actions explain why; an adjacent unauthorized persona is denied without metadata leakage.</x:v>
      </x:c>
      <x:c r="N1381" s="35" t="str">
        <x:v>Persona/experience; navigation entry; desktop or device screenshots; result state; persisted read-back; audit/history; authorized and denied network result.</x:v>
      </x:c>
      <x:c r="O1381" s="35" t="str">
        <x:v>Open the direct URL or deep link with an adjacent unauthorized persona and with stale scope; both fail closed and land safely without mutation.</x:v>
      </x:c>
      <x:c r="P1381" s="35" t="str">
        <x:v>All expected records and amounts match; no unexplained error or stale state.</x:v>
      </x:c>
    </x:row>
    <x:row r="1382">
      <x:c r="A1382" s="20" t="str">
        <x:v>RUN-20270909-02</x:v>
      </x:c>
      <x:c r="B1382" s="23" t="n">
        <x:v>46639</x:v>
      </x:c>
      <x:c r="C1382" s="32" t="n">
        <x:v>2</x:v>
      </x:c>
      <x:c r="D1382" s="20" t="str">
        <x:v>Field certification</x:v>
      </x:c>
      <x:c r="E1382" s="20" t="str">
        <x:v>Workspace Administrator</x:v>
      </x:c>
      <x:c r="F1382" s="20" t="str">
        <x:v>Web</x:v>
      </x:c>
      <x:c r="G1382" s="20" t="str">
        <x:v>Manual field-by-field</x:v>
      </x:c>
      <x:c r="H1382" s="35" t="str">
        <x:v>Fill, save, reload, edit, and validate every declared field on /settings/notifications/tenant-notices</x:v>
      </x:c>
      <x:c r="I1382" s="35" t="str">
        <x:v>FLD-0736; FLD-0737; FLD-0738; FLD-0739; FLD-0740</x:v>
      </x:c>
      <x:c r="J1382" s="35" t="str"/>
      <x:c r="K1382" s="35" t="str"/>
      <x:c r="L1382" s="35" t="str">
        <x:v>Use the source-derived Field Inventory. Enter non-default realistic values in every control (Select-3; `notice-failure-${policy.automationKey; Select-5; Select-6; Select-7); submit; reload or relaunch; compare every value; edit each mutable field; verify the paired client; then run required, format, length, range, boundary, optional-null, and stale-submit checks.</x:v>
      </x:c>
      <x:c r="M1382" s="35" t="str">
        <x:v>All 5 inventoried controls persist exact normalized values, invalid values stay unsaved with clear errors, and hidden/unauthorized fields cannot be altered.</x:v>
      </x:c>
      <x:c r="N1382" s="35" t="str">
        <x:v>Before/after form screenshots; FLD IDs; API response; reloaded UI; paired-client read-back; database/audit evidence; negative validation result.</x:v>
      </x:c>
      <x:c r="O1382" s="35" t="str">
        <x:v>Use a duplicate submit and one simulated network interruption; one atomic mutation or none, never partial state.</x:v>
      </x:c>
      <x:c r="P1382" s="35" t="str">
        <x:v>All expected records and amounts match; no unexplained error or stale state.</x:v>
      </x:c>
    </x:row>
    <x:row r="1383">
      <x:c r="A1383" s="20" t="str">
        <x:v>RUN-20270909-03</x:v>
      </x:c>
      <x:c r="B1383" s="23" t="n">
        <x:v>46639</x:v>
      </x:c>
      <x:c r="C1383" s="32" t="n">
        <x:v>3</x:v>
      </x:c>
      <x:c r="D1383" s="20" t="str">
        <x:v>Notification certification</x:v>
      </x:c>
      <x:c r="E1383" s="20" t="str">
        <x:v>Recipient</x:v>
      </x:c>
      <x:c r="F1383" s="20" t="str">
        <x:v>Web + Mobile</x:v>
      </x:c>
      <x:c r="G1383" s="20" t="str">
        <x:v>System event + preference/manual verification</x:v>
      </x:c>
      <x:c r="H1383" s="35" t="str">
        <x:v>Trigger and prove notification: Message attachment</x:v>
      </x:c>
      <x:c r="I1383" s="35" t="str">
        <x:v>NTF-034</x:v>
      </x:c>
      <x:c r="J1383" s="35" t="str"/>
      <x:c r="K1383" s="35" t="str"/>
      <x:c r="L1383" s="35" t="str">
        <x:v>Set each recipient's preferences; trigger the real business event; inspect routing and recipient scope; verify unread badge, list item, safe preview, conversation attachment deep link, mark-read sync, configured channel outcome, provider failure/retry, and duplicate suppression.</x:v>
      </x:c>
      <x:c r="M1383" s="35" t="str">
        <x:v>Exactly the intended recipients receive one correctly routed notification; disabled optional channels stay silent; deep link opens authorized context; read state synchronizes.</x:v>
      </x:c>
      <x:c r="N1383" s="35" t="str">
        <x:v>Trigger record; routing decision; outbox/delivery status; web/mobile inbox; lock-screen-safe copy; deep-link target; audit/provider retry evidence.</x:v>
      </x:c>
      <x:c r="O1383" s="35" t="str">
        <x:v>Re-run the worker and deliver a duplicate provider callback; no duplicate user-visible event. Attempt the deep link as an unauthorized adjacent role.</x:v>
      </x:c>
      <x:c r="P1383" s="35" t="str">
        <x:v>All expected records and amounts match; no unexplained error or stale state.</x:v>
      </x:c>
    </x:row>
    <x:row r="1384">
      <x:c r="A1384" s="20" t="str">
        <x:v>RUN-20270909-04</x:v>
      </x:c>
      <x:c r="B1384" s="23" t="n">
        <x:v>46639</x:v>
      </x:c>
      <x:c r="C1384" s="32" t="n">
        <x:v>4</x:v>
      </x:c>
      <x:c r="D1384" s="20" t="str">
        <x:v>Surface coverage</x:v>
      </x:c>
      <x:c r="E1384" s="20" t="str">
        <x:v>Role appropriate to surface</x:v>
      </x:c>
      <x:c r="F1384" s="20" t="str">
        <x:v>Mobile</x:v>
      </x:c>
      <x:c r="G1384" s="20" t="str">
        <x:v>Manual</x:v>
      </x:c>
      <x:c r="H1384" s="35" t="str">
        <x:v>Manual mobile pass: Notices and tenant notice policies</x:v>
      </x:c>
      <x:c r="I1384" s="35" t="str">
        <x:v>COV-032</x:v>
      </x:c>
      <x:c r="J1384" s="35" t="str"/>
      <x:c r="K1384" s="35" t="str"/>
      <x:c r="L1384" s="35" t="str">
        <x:v>Create/edit preview/send synthetic notice; policy preferences; automation candidate; no blank/legal surprise.</x:v>
      </x:c>
      <x:c r="M1384" s="35" t="str">
        <x:v>The supported workflow completes and persists correctly; if the capability is absent, the exact gap is proven and queued rather than silently skipped.</x:v>
      </x:c>
      <x:c r="N1384" s="35" t="str">
        <x:v>Real UI screenshot/state; submitted values; persisted read-back; cross-client read-back; audit/role/access evidence.</x:v>
      </x:c>
      <x:c r="O1384" s="35" t="str">
        <x:v>Use one invalid value, stale-state retry, or duplicate submission relevant to the form; no partial or duplicate mutation.</x:v>
      </x:c>
      <x:c r="P1384" s="35" t="str">
        <x:v>All expected records and amounts match; no unexplained error or stale state.</x:v>
      </x:c>
    </x:row>
    <x:row r="1385">
      <x:c r="A1385" s="20" t="str">
        <x:v>RUN-20270910-01</x:v>
      </x:c>
      <x:c r="B1385" s="23" t="n">
        <x:v>46640</x:v>
      </x:c>
      <x:c r="C1385" s="32" t="n">
        <x:v>1</x:v>
      </x:c>
      <x:c r="D1385" s="20" t="str">
        <x:v>Role and screen certification</x:v>
      </x:c>
      <x:c r="E1385" s="20" t="str">
        <x:v>Applicant / public user</x:v>
      </x:c>
      <x:c r="F1385" s="20" t="str">
        <x:v>Mobile</x:v>
      </x:c>
      <x:c r="G1385" s="20" t="str">
        <x:v>Normal persona navigation</x:v>
      </x:c>
      <x:c r="H1385" s="35" t="str">
        <x:v>Use every permitted action and state on features/maintenance/work_order_detail_screen.dart</x:v>
      </x:c>
      <x:c r="I1385" s="35" t="str">
        <x:v>SCR-136; ROLE-229</x:v>
      </x:c>
      <x:c r="J1385" s="35" t="str"/>
      <x:c r="K1385" s="35" t="str"/>
      <x:c r="L138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85" s="35" t="str">
        <x:v>The persona can use every allowed action with only its assigned properties/relationships. Hidden or disabled actions explain why; an adjacent unauthorized persona is denied without metadata leakage.</x:v>
      </x:c>
      <x:c r="N1385" s="35" t="str">
        <x:v>Persona/experience; navigation entry; desktop or device screenshots; result state; persisted read-back; audit/history; authorized and denied network result.</x:v>
      </x:c>
      <x:c r="O1385" s="35" t="str">
        <x:v>Open the direct URL or deep link with an adjacent unauthorized persona and with stale scope; both fail closed and land safely without mutation.</x:v>
      </x:c>
      <x:c r="P1385" s="35" t="str">
        <x:v>All expected records and amounts match; no unexplained error or stale state.</x:v>
      </x:c>
    </x:row>
    <x:row r="1386">
      <x:c r="A1386" s="20" t="str">
        <x:v>RUN-20270910-02</x:v>
      </x:c>
      <x:c r="B1386" s="23" t="n">
        <x:v>46640</x:v>
      </x:c>
      <x:c r="C1386" s="32" t="n">
        <x:v>2</x:v>
      </x:c>
      <x:c r="D1386" s="20" t="str">
        <x:v>Field certification</x:v>
      </x:c>
      <x:c r="E1386" s="20" t="str">
        <x:v>Workspace Administrator</x:v>
      </x:c>
      <x:c r="F1386" s="20" t="str">
        <x:v>Web</x:v>
      </x:c>
      <x:c r="G1386" s="20" t="str">
        <x:v>Manual field-by-field</x:v>
      </x:c>
      <x:c r="H1386" s="35" t="str">
        <x:v>Fill, save, reload, edit, and validate every declared field on /settings/notifications/tenant-notices</x:v>
      </x:c>
      <x:c r="I1386" s="35" t="str">
        <x:v>FLD-0741; FLD-0742; FLD-0743; FLD-0744</x:v>
      </x:c>
      <x:c r="J1386" s="35" t="str"/>
      <x:c r="K1386" s="35" t="str"/>
      <x:c r="L1386" s="35" t="str">
        <x:v>Use the source-derived Field Inventory. Enter non-default realistic values in every control (Select-8; `template-subject-${policy.automationKey; `template-body-${policy.automationKey; `template-jurisdiction-${policy.automationKey); submit; reload or relaunch; compare every value; edit each mutable field; verify the paired client; then run required, format, length, range, boundary, optional-null, and stale-submit checks.</x:v>
      </x:c>
      <x:c r="M1386" s="35" t="str">
        <x:v>All 4 inventoried controls persist exact normalized values, invalid values stay unsaved with clear errors, and hidden/unauthorized fields cannot be altered.</x:v>
      </x:c>
      <x:c r="N1386" s="35" t="str">
        <x:v>Before/after form screenshots; FLD IDs; API response; reloaded UI; paired-client read-back; database/audit evidence; negative validation result.</x:v>
      </x:c>
      <x:c r="O1386" s="35" t="str">
        <x:v>Use a duplicate submit and one simulated network interruption; one atomic mutation or none, never partial state.</x:v>
      </x:c>
      <x:c r="P1386" s="35" t="str">
        <x:v>All expected records and amounts match; no unexplained error or stale state.</x:v>
      </x:c>
    </x:row>
    <x:row r="1387">
      <x:c r="A1387" s="20" t="str">
        <x:v>RUN-20270910-03</x:v>
      </x:c>
      <x:c r="B1387" s="23" t="n">
        <x:v>46640</x:v>
      </x:c>
      <x:c r="C1387" s="32" t="n">
        <x:v>3</x:v>
      </x:c>
      <x:c r="D1387" s="20" t="str">
        <x:v>Lifecycle certification</x:v>
      </x:c>
      <x:c r="E1387" s="20" t="str">
        <x:v>Property Manager</x:v>
      </x:c>
      <x:c r="F1387" s="20" t="str">
        <x:v>Web + Mobile</x:v>
      </x:c>
      <x:c r="G1387" s="20" t="str">
        <x:v>Manual + scan/attachment where supported</x:v>
      </x:c>
      <x:c r="H1387" s="35" t="str">
        <x:v>Complete the full create/read/edit/lifecycle/delete-safe pass for Recurring maintenance</x:v>
      </x:c>
      <x:c r="I1387" s="35" t="str">
        <x:v>CRUD-024</x:v>
      </x:c>
      <x:c r="J1387" s="35" t="str"/>
      <x:c r="K1387" s="35" t="str"/>
      <x:c r="L1387" s="35" t="str">
        <x:v>Use a dedicated disposable QA record and execute: create; edit; generate; pause; resume; retire; out-of-service handling. Fill every field referenced by field-inventory.csv. Verify confirmation copy, cancel path, final path, reload, other-client state, history, and role denial.</x:v>
      </x:c>
      <x:c r="M1387" s="35" t="str">
        <x:v>Every supported transition succeeds exactly once; forbidden destructive actions are guarded; reversible deletion/deactivation works; financial and historical truth is preserved.</x:v>
      </x:c>
      <x:c r="N1387" s="35" t="str">
        <x:v>Entity before/after; both clients; all FLD IDs; audit/history; notifications; authorized and unauthorized personas; API/DB state.</x:v>
      </x:c>
      <x:c r="O1387" s="35" t="str">
        <x:v>Cancel the first destructive confirmation, then repeat and confirm; retry the mutation once; no double transition or orphan.</x:v>
      </x:c>
      <x:c r="P1387" s="35" t="str">
        <x:v>All expected records and amounts match; no unexplained error or stale state.</x:v>
      </x:c>
    </x:row>
    <x:row r="1388">
      <x:c r="A1388" s="20" t="str">
        <x:v>RUN-20270912-01</x:v>
      </x:c>
      <x:c r="B1388" s="23" t="n">
        <x:v>46642</x:v>
      </x:c>
      <x:c r="C1388" s="32" t="n">
        <x:v>1</x:v>
      </x:c>
      <x:c r="D1388" s="20" t="str">
        <x:v>Monthly operations</x:v>
      </x:c>
      <x:c r="E1388" s="20" t="str">
        <x:v>Property Manager</x:v>
      </x:c>
      <x:c r="F1388" s="20" t="str">
        <x:v>Mobile</x:v>
      </x:c>
      <x:c r="G1388" s="20" t="str">
        <x:v>Scanned money order</x:v>
      </x:c>
      <x:c r="H1388" s="35" t="str">
        <x:v>Post and allocate tenant receipt</x:v>
      </x:c>
      <x:c r="I1388" s="35" t="str">
        <x:v>P011; U011; L011</x:v>
      </x:c>
      <x:c r="J1388" s="35" t="str">
        <x:v>SCN-0263</x:v>
      </x:c>
      <x:c r="K1388" s="35" t="str">
        <x:v>FIN-00700; FIN-00701</x:v>
      </x:c>
      <x:c r="L1388" s="35" t="str">
        <x:v>Open Scan for paper payment or the tenant-account receipt form for electronic payment; verify tenant/lease match, amount, date, method, and reference; confirm once; open ledger detail and allocation.</x:v>
      </x:c>
      <x:c r="M1388" s="35" t="str">
        <x:v>Receipt is append-only, allocated once to the correct rent charge, and visible consistently in Unit, Lease, Tenant Account, Accounting, and portal views.</x:v>
      </x:c>
      <x:c r="N1388" s="35" t="str">
        <x:v>Scan review or form; success result; exact ledger rows; payment detail; accounting delta; portal receipt.</x:v>
      </x:c>
      <x:c r="O1388" s="35" t="str">
        <x:v>Retry the idempotency key once during the quarter assigned in the coverage matrix; no duplicate cash or allocation.</x:v>
      </x:c>
      <x:c r="P1388" s="35" t="str">
        <x:v>All expected records and amounts match; no unexplained error or stale state.</x:v>
      </x:c>
    </x:row>
    <x:row r="1389">
      <x:c r="A1389" s="20" t="str">
        <x:v>RUN-20270912-02</x:v>
      </x:c>
      <x:c r="B1389" s="23" t="n">
        <x:v>46642</x:v>
      </x:c>
      <x:c r="C1389" s="32" t="n">
        <x:v>2</x:v>
      </x:c>
      <x:c r="D1389" s="20" t="str">
        <x:v>Monthly operations</x:v>
      </x:c>
      <x:c r="E1389" s="20" t="str">
        <x:v>Property Manager</x:v>
      </x:c>
      <x:c r="F1389" s="20" t="str">
        <x:v>Mobile</x:v>
      </x:c>
      <x:c r="G1389" s="20" t="str">
        <x:v>Portal card</x:v>
      </x:c>
      <x:c r="H1389" s="35" t="str">
        <x:v>Post and allocate tenant receipt</x:v>
      </x:c>
      <x:c r="I1389" s="35" t="str">
        <x:v>P027; U033; L033</x:v>
      </x:c>
      <x:c r="J1389" s="35" t="str"/>
      <x:c r="K1389" s="35" t="str">
        <x:v>FIN-00742; FIN-00743</x:v>
      </x:c>
      <x:c r="L1389" s="35" t="str">
        <x:v>Open Scan for paper payment or the tenant-account receipt form for electronic payment; verify tenant/lease match, amount, date, method, and reference; confirm once; open ledger detail and allocation.</x:v>
      </x:c>
      <x:c r="M1389" s="35" t="str">
        <x:v>Receipt is append-only, allocated once to the correct rent charge, and visible consistently in Unit, Lease, Tenant Account, Accounting, and portal views.</x:v>
      </x:c>
      <x:c r="N1389" s="35" t="str">
        <x:v>Scan review or form; success result; exact ledger rows; payment detail; accounting delta; portal receipt.</x:v>
      </x:c>
      <x:c r="O1389" s="35" t="str">
        <x:v>Retry the idempotency key once during the quarter assigned in the coverage matrix; no duplicate cash or allocation.</x:v>
      </x:c>
      <x:c r="P1389" s="35" t="str">
        <x:v>All expected records and amounts match; no unexplained error or stale state.</x:v>
      </x:c>
    </x:row>
    <x:row r="1390">
      <x:c r="A1390" s="20" t="str">
        <x:v>RUN-20270912-03</x:v>
      </x:c>
      <x:c r="B1390" s="23" t="n">
        <x:v>46642</x:v>
      </x:c>
      <x:c r="C1390" s="32" t="n">
        <x:v>3</x:v>
      </x:c>
      <x:c r="D1390" s="20" t="str">
        <x:v>Monthly operations</x:v>
      </x:c>
      <x:c r="E1390" s="20" t="str">
        <x:v>Property Manager</x:v>
      </x:c>
      <x:c r="F1390" s="20" t="str">
        <x:v>Web</x:v>
      </x:c>
      <x:c r="G1390" s="20" t="str">
        <x:v>Manual ACH</x:v>
      </x:c>
      <x:c r="H1390" s="35" t="str">
        <x:v>Post and allocate tenant receipt</x:v>
      </x:c>
      <x:c r="I1390" s="35" t="str">
        <x:v>P029; U038; L044</x:v>
      </x:c>
      <x:c r="J1390" s="35" t="str"/>
      <x:c r="K1390" s="35" t="str">
        <x:v>FIN-00763; FIN-00764</x:v>
      </x:c>
      <x:c r="L1390" s="35" t="str">
        <x:v>Open Scan for paper payment or the tenant-account receipt form for electronic payment; verify tenant/lease match, amount, date, method, and reference; confirm once; open ledger detail and allocation.</x:v>
      </x:c>
      <x:c r="M1390" s="35" t="str">
        <x:v>Receipt is append-only, allocated once to the correct rent charge, and visible consistently in Unit, Lease, Tenant Account, Accounting, and portal views.</x:v>
      </x:c>
      <x:c r="N1390" s="35" t="str">
        <x:v>Scan review or form; success result; exact ledger rows; payment detail; accounting delta; portal receipt.</x:v>
      </x:c>
      <x:c r="O1390" s="35" t="str">
        <x:v>Retry the idempotency key once during the quarter assigned in the coverage matrix; no duplicate cash or allocation.</x:v>
      </x:c>
      <x:c r="P1390" s="35" t="str">
        <x:v>All expected records and amounts match; no unexplained error or stale state.</x:v>
      </x:c>
    </x:row>
    <x:row r="1391">
      <x:c r="A1391" s="20" t="str">
        <x:v>RUN-20270913-01</x:v>
      </x:c>
      <x:c r="B1391" s="23" t="n">
        <x:v>46643</x:v>
      </x:c>
      <x:c r="C1391" s="32" t="n">
        <x:v>1</x:v>
      </x:c>
      <x:c r="D1391" s="20" t="str">
        <x:v>Weekly operations</x:v>
      </x:c>
      <x:c r="E1391" s="20" t="str">
        <x:v>Property Manager</x:v>
      </x:c>
      <x:c r="F1391" s="20" t="str">
        <x:v>Mobile</x:v>
      </x:c>
      <x:c r="G1391" s="20" t="str">
        <x:v>Scan-first</x:v>
      </x:c>
      <x:c r="H1391" s="35" t="str">
        <x:v>Create and triage maintenance request</x:v>
      </x:c>
      <x:c r="I1391" s="35" t="str">
        <x:v>P020; U020; WO-2027-037</x:v>
      </x:c>
      <x:c r="J1391" s="35" t="str">
        <x:v>SCN-0412</x:v>
      </x:c>
      <x:c r="K1391" s="35" t="str"/>
      <x:c r="L1391" s="35" t="str">
        <x:v>Capture the tenant note/photo; review pest treatment; confirm; set responsibility; dispatch Hardware House; create an appointment and verify the tenant notification.</x:v>
      </x:c>
      <x:c r="M1391" s="35" t="str">
        <x:v>Work order, status timeline, responsibility, vendor dispatch, appointment, notification, and Unit context are linked once.</x:v>
      </x:c>
      <x:c r="N1391" s="35" t="str">
        <x:v>Scan review; work order detail/timeline; dispatch; appointment; notification; tenant portal view.</x:v>
      </x:c>
      <x:c r="O1391" s="35" t="str">
        <x:v>Cancel one dispatch each quarter, reassign once, and prove status/history remains append-only.</x:v>
      </x:c>
      <x:c r="P1391" s="35" t="str">
        <x:v>All expected records and amounts match; no unexplained error or stale state.</x:v>
      </x:c>
    </x:row>
    <x:row r="1392">
      <x:c r="A1392" s="20" t="str">
        <x:v>RUN-20270913-02</x:v>
      </x:c>
      <x:c r="B1392" s="23" t="n">
        <x:v>46643</x:v>
      </x:c>
      <x:c r="C1392" s="32" t="n">
        <x:v>2</x:v>
      </x:c>
      <x:c r="D1392" s="20" t="str">
        <x:v>Role and screen certification</x:v>
      </x:c>
      <x:c r="E1392" s="20" t="str">
        <x:v>Applicant / public user</x:v>
      </x:c>
      <x:c r="F1392" s="20" t="str">
        <x:v>Mobile</x:v>
      </x:c>
      <x:c r="G1392" s="20" t="str">
        <x:v>Normal persona navigation</x:v>
      </x:c>
      <x:c r="H1392" s="35" t="str">
        <x:v>Use every permitted action and state on features/maintenance/work_orders_screen.dart</x:v>
      </x:c>
      <x:c r="I1392" s="35" t="str">
        <x:v>SCR-137; ROLE-230</x:v>
      </x:c>
      <x:c r="J1392" s="35" t="str"/>
      <x:c r="K1392" s="35" t="str"/>
      <x:c r="L13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392" s="35" t="str">
        <x:v>The persona can use every allowed action with only its assigned properties/relationships. Hidden or disabled actions explain why; an adjacent unauthorized persona is denied without metadata leakage.</x:v>
      </x:c>
      <x:c r="N1392" s="35" t="str">
        <x:v>Persona/experience; navigation entry; desktop or device screenshots; result state; persisted read-back; audit/history; authorized and denied network result.</x:v>
      </x:c>
      <x:c r="O1392" s="35" t="str">
        <x:v>Open the direct URL or deep link with an adjacent unauthorized persona and with stale scope; both fail closed and land safely without mutation.</x:v>
      </x:c>
      <x:c r="P1392" s="35" t="str">
        <x:v>All expected records and amounts match; no unexplained error or stale state.</x:v>
      </x:c>
    </x:row>
    <x:row r="1393">
      <x:c r="A1393" s="20" t="str">
        <x:v>RUN-20270913-03</x:v>
      </x:c>
      <x:c r="B1393" s="23" t="n">
        <x:v>46643</x:v>
      </x:c>
      <x:c r="C1393" s="32" t="n">
        <x:v>3</x:v>
      </x:c>
      <x:c r="D1393" s="20" t="str">
        <x:v>Field certification</x:v>
      </x:c>
      <x:c r="E1393" s="20" t="str">
        <x:v>Property Manager</x:v>
      </x:c>
      <x:c r="F1393" s="20" t="str">
        <x:v>Web</x:v>
      </x:c>
      <x:c r="G1393" s="20" t="str">
        <x:v>Manual field-by-field</x:v>
      </x:c>
      <x:c r="H1393" s="35" t="str">
        <x:v>Fill, save, reload, edit, and validate every declared field on /tax</x:v>
      </x:c>
      <x:c r="I1393" s="35" t="str">
        <x:v>FLD-0745; FLD-0746; FLD-0747; FLD-0748</x:v>
      </x:c>
      <x:c r="J1393" s="35" t="str"/>
      <x:c r="K1393" s="35" t="str"/>
      <x:c r="L1393" s="35" t="str">
        <x:v>Use the source-derived Field Inventory. Enter non-default realistic values in every control (selectedYear; tax-year-select; Select-3; Select-4); submit; reload or relaunch; compare every value; edit each mutable field; verify the paired client; then run required, format, length, range, boundary, optional-null, and stale-submit checks.</x:v>
      </x:c>
      <x:c r="M1393" s="35" t="str">
        <x:v>All 4 inventoried controls persist exact normalized values, invalid values stay unsaved with clear errors, and hidden/unauthorized fields cannot be altered.</x:v>
      </x:c>
      <x:c r="N1393" s="35" t="str">
        <x:v>Before/after form screenshots; FLD IDs; API response; reloaded UI; paired-client read-back; database/audit evidence; negative validation result.</x:v>
      </x:c>
      <x:c r="O1393" s="35" t="str">
        <x:v>Use a duplicate submit and one simulated network interruption; one atomic mutation or none, never partial state.</x:v>
      </x:c>
      <x:c r="P1393" s="35" t="str">
        <x:v>All expected records and amounts match; no unexplained error or stale state.</x:v>
      </x:c>
    </x:row>
    <x:row r="1394">
      <x:c r="A1394" s="20" t="str">
        <x:v>RUN-20270913-04</x:v>
      </x:c>
      <x:c r="B1394" s="23" t="n">
        <x:v>46643</x:v>
      </x:c>
      <x:c r="C1394" s="32" t="n">
        <x:v>4</x:v>
      </x:c>
      <x:c r="D1394" s="20" t="str">
        <x:v>Surface coverage</x:v>
      </x:c>
      <x:c r="E1394" s="20" t="str">
        <x:v>Role appropriate to surface</x:v>
      </x:c>
      <x:c r="F1394" s="20" t="str">
        <x:v>Web</x:v>
      </x:c>
      <x:c r="G1394" s="20" t="str">
        <x:v>Scan/attachment</x:v>
      </x:c>
      <x:c r="H1394" s="35" t="str">
        <x:v>Scan web pass: Notices and tenant notice policies</x:v>
      </x:c>
      <x:c r="I1394" s="35" t="str">
        <x:v>COV-032</x:v>
      </x:c>
      <x:c r="J1394" s="35" t="str"/>
      <x:c r="K1394" s="35" t="str"/>
      <x:c r="L1394" s="35" t="str">
        <x:v>Create/edit preview/send synthetic notice; policy preferences; automation candidate; no blank/legal surprise.</x:v>
      </x:c>
      <x:c r="M1394" s="35" t="str">
        <x:v>The supported workflow completes and persists correctly; if the capability is absent, the exact gap is proven and queued rather than silently skipped.</x:v>
      </x:c>
      <x:c r="N1394" s="35" t="str">
        <x:v>Real UI screenshot/state; submitted values; persisted read-back; cross-client read-back; audit/role/access evidence.</x:v>
      </x:c>
      <x:c r="O1394" s="35" t="str">
        <x:v>Use one invalid value, stale-state retry, or duplicate submission relevant to the form; no partial or duplicate mutation.</x:v>
      </x:c>
      <x:c r="P1394" s="35" t="str">
        <x:v>All expected records and amounts match; no unexplained error or stale state.</x:v>
      </x:c>
    </x:row>
    <x:row r="1395">
      <x:c r="A1395" s="20" t="str">
        <x:v>RUN-20270914-01</x:v>
      </x:c>
      <x:c r="B1395" s="23" t="n">
        <x:v>46644</x:v>
      </x:c>
      <x:c r="C1395" s="32" t="n">
        <x:v>1</x:v>
      </x:c>
      <x:c r="D1395" s="20" t="str">
        <x:v>Weekly operations</x:v>
      </x:c>
      <x:c r="E1395" s="20" t="str">
        <x:v>Property Manager</x:v>
      </x:c>
      <x:c r="F1395" s="20" t="str">
        <x:v>Mobile</x:v>
      </x:c>
      <x:c r="G1395" s="20" t="str">
        <x:v>Scanned receipt/invoice</x:v>
      </x:c>
      <x:c r="H1395" s="35" t="str">
        <x:v>Record, review, allocate, and pay operating expense</x:v>
      </x:c>
      <x:c r="I1395" s="35" t="str">
        <x:v>P020; U020; WO-2027-037</x:v>
      </x:c>
      <x:c r="J1395" s="35" t="str">
        <x:v>SCN-0413</x:v>
      </x:c>
      <x:c r="K1395" s="35" t="str">
        <x:v>FIN-01060</x:v>
      </x:c>
      <x:c r="L1395" s="35" t="str">
        <x:v>Capture or upload the source; verify vendor, date, scope, category, line items, tax, amount, and work-order link; confirm; open detail; verify attachment; compare Money and Property/Unit views.</x:v>
      </x:c>
      <x:c r="M1395" s="35" t="str">
        <x:v>One expense exists at its real operational scope, cash falls once, Schedule E category and allocations agree, and no per-unit copies are created.</x:v>
      </x:c>
      <x:c r="N1395" s="35" t="str">
        <x:v>Source preview; review/form; expense detail; line items; Property/Unit ledger; audit; accounting/report delta.</x:v>
      </x:c>
      <x:c r="O1395" s="35" t="str">
        <x:v>On marked duplicate-invoice cases, re-upload before confirm and prove the product prevents or clearly warns about duplication.</x:v>
      </x:c>
      <x:c r="P1395" s="35" t="str">
        <x:v>All expected records and amounts match; no unexplained error or stale state.</x:v>
      </x:c>
    </x:row>
    <x:row r="1396">
      <x:c r="A1396" s="20" t="str">
        <x:v>RUN-20270914-02</x:v>
      </x:c>
      <x:c r="B1396" s="23" t="n">
        <x:v>46644</x:v>
      </x:c>
      <x:c r="C1396" s="32" t="n">
        <x:v>2</x:v>
      </x:c>
      <x:c r="D1396" s="20" t="str">
        <x:v>Field certification</x:v>
      </x:c>
      <x:c r="E1396" s="20" t="str">
        <x:v>Property Manager</x:v>
      </x:c>
      <x:c r="F1396" s="20" t="str">
        <x:v>Web</x:v>
      </x:c>
      <x:c r="G1396" s="20" t="str">
        <x:v>Manual field-by-field</x:v>
      </x:c>
      <x:c r="H1396" s="35" t="str">
        <x:v>Fill, save, reload, edit, and validate every declared field on /tenants</x:v>
      </x:c>
      <x:c r="I1396" s="35" t="str">
        <x:v>FLD-0749; FLD-0750; FLD-0751; FLD-0752; FLD-0753</x:v>
      </x:c>
      <x:c r="J1396" s="35" t="str"/>
      <x:c r="K1396" s="35" t="str"/>
      <x:c r="L1396" s="35" t="str">
        <x:v>Use the source-derived Field Inventory. Enter non-default realistic values in every control (tenant-first-name-input; tenant-last-name-input; tenant-email-input; tenant-phone-input; tenant-emergency-input); submit; reload or relaunch; compare every value; edit each mutable field; verify the paired client; then run required, format, length, range, boundary, optional-null, and stale-submit checks.</x:v>
      </x:c>
      <x:c r="M1396" s="35" t="str">
        <x:v>All 5 inventoried controls persist exact normalized values, invalid values stay unsaved with clear errors, and hidden/unauthorized fields cannot be altered.</x:v>
      </x:c>
      <x:c r="N1396" s="35" t="str">
        <x:v>Before/after form screenshots; FLD IDs; API response; reloaded UI; paired-client read-back; database/audit evidence; negative validation result.</x:v>
      </x:c>
      <x:c r="O1396" s="35" t="str">
        <x:v>Use a duplicate submit and one simulated network interruption; one atomic mutation or none, never partial state.</x:v>
      </x:c>
      <x:c r="P1396" s="35" t="str">
        <x:v>All expected records and amounts match; no unexplained error or stale state.</x:v>
      </x:c>
    </x:row>
    <x:row r="1397">
      <x:c r="A1397" s="20" t="str">
        <x:v>RUN-20270914-03</x:v>
      </x:c>
      <x:c r="B1397" s="23" t="n">
        <x:v>46644</x:v>
      </x:c>
      <x:c r="C1397" s="32" t="n">
        <x:v>3</x:v>
      </x:c>
      <x:c r="D1397" s="20" t="str">
        <x:v>Surface coverage</x:v>
      </x:c>
      <x:c r="E1397" s="20" t="str">
        <x:v>Role appropriate to surface</x:v>
      </x:c>
      <x:c r="F1397" s="20" t="str">
        <x:v>Mobile</x:v>
      </x:c>
      <x:c r="G1397" s="20" t="str">
        <x:v>Scan/attachment</x:v>
      </x:c>
      <x:c r="H1397" s="35" t="str">
        <x:v>Scan mobile pass: Notices and tenant notice policies</x:v>
      </x:c>
      <x:c r="I1397" s="35" t="str">
        <x:v>COV-032</x:v>
      </x:c>
      <x:c r="J1397" s="35" t="str"/>
      <x:c r="K1397" s="35" t="str"/>
      <x:c r="L1397" s="35" t="str">
        <x:v>Create/edit preview/send synthetic notice; policy preferences; automation candidate; no blank/legal surprise.</x:v>
      </x:c>
      <x:c r="M1397" s="35" t="str">
        <x:v>The supported workflow completes and persists correctly; if the capability is absent, the exact gap is proven and queued rather than silently skipped.</x:v>
      </x:c>
      <x:c r="N1397" s="35" t="str">
        <x:v>Real UI screenshot/state; submitted values; persisted read-back; cross-client read-back; audit/role/access evidence.</x:v>
      </x:c>
      <x:c r="O1397" s="35" t="str">
        <x:v>Use one invalid value, stale-state retry, or duplicate submission relevant to the form; no partial or duplicate mutation.</x:v>
      </x:c>
      <x:c r="P1397" s="35" t="str">
        <x:v>All expected records and amounts match; no unexplained error or stale state.</x:v>
      </x:c>
    </x:row>
    <x:row r="1398">
      <x:c r="A1398" s="20" t="str">
        <x:v>RUN-20270915-01</x:v>
      </x:c>
      <x:c r="B1398" s="23" t="n">
        <x:v>46645</x:v>
      </x:c>
      <x:c r="C1398" s="32" t="n">
        <x:v>1</x:v>
      </x:c>
      <x:c r="D1398" s="20" t="str">
        <x:v>Weekly operations</x:v>
      </x:c>
      <x:c r="E1398" s="20" t="str">
        <x:v>Property Manager</x:v>
      </x:c>
      <x:c r="F1398" s="20" t="str">
        <x:v>Mobile</x:v>
      </x:c>
      <x:c r="G1398" s="20" t="str">
        <x:v>Scanned receipt/invoice</x:v>
      </x:c>
      <x:c r="H1398" s="35" t="str">
        <x:v>Record, review, allocate, and pay operating expense</x:v>
      </x:c>
      <x:c r="I1398" s="35" t="str">
        <x:v>P021; Property scope; </x:v>
      </x:c>
      <x:c r="J1398" s="35" t="str">
        <x:v>SCN-0673</x:v>
      </x:c>
      <x:c r="K1398" s="35" t="str">
        <x:v>FIN-01358</x:v>
      </x:c>
      <x:c r="L1398" s="35" t="str">
        <x:v>Capture or upload the source; verify vendor, date, scope, category, line items, tax, amount, and work-order link; confirm; open detail; verify attachment; compare Money and Property/Unit views.</x:v>
      </x:c>
      <x:c r="M1398" s="35" t="str">
        <x:v>One expense exists at its real operational scope, cash falls once, Schedule E category and allocations agree, and no per-unit copies are created.</x:v>
      </x:c>
      <x:c r="N1398" s="35" t="str">
        <x:v>Source preview; review/form; expense detail; line items; Property/Unit ledger; audit; accounting/report delta.</x:v>
      </x:c>
      <x:c r="O1398" s="35" t="str">
        <x:v>On marked duplicate-invoice cases, re-upload before confirm and prove the product prevents or clearly warns about duplication.</x:v>
      </x:c>
      <x:c r="P1398" s="35" t="str">
        <x:v>All expected records and amounts match; no unexplained error or stale state.</x:v>
      </x:c>
    </x:row>
    <x:row r="1399">
      <x:c r="A1399" s="20" t="str">
        <x:v>RUN-20270915-02</x:v>
      </x:c>
      <x:c r="B1399" s="23" t="n">
        <x:v>46645</x:v>
      </x:c>
      <x:c r="C1399" s="32" t="n">
        <x:v>2</x:v>
      </x:c>
      <x:c r="D1399" s="20" t="str">
        <x:v>Weekly operations</x:v>
      </x:c>
      <x:c r="E1399" s="20" t="str">
        <x:v>Property Manager</x:v>
      </x:c>
      <x:c r="F1399" s="20" t="str">
        <x:v>Web</x:v>
      </x:c>
      <x:c r="G1399" s="20" t="str">
        <x:v>Scanned receipt/invoice</x:v>
      </x:c>
      <x:c r="H1399" s="35" t="str">
        <x:v>Record, review, allocate, and pay operating expense</x:v>
      </x:c>
      <x:c r="I1399" s="35" t="str">
        <x:v>P022; Property scope; </x:v>
      </x:c>
      <x:c r="J1399" s="35" t="str">
        <x:v>SCN-0674</x:v>
      </x:c>
      <x:c r="K1399" s="35" t="str">
        <x:v>FIN-01359</x:v>
      </x:c>
      <x:c r="L1399" s="35" t="str">
        <x:v>Capture or upload the source; verify vendor, date, scope, category, line items, tax, amount, and work-order link; confirm; open detail; verify attachment; compare Money and Property/Unit views.</x:v>
      </x:c>
      <x:c r="M1399" s="35" t="str">
        <x:v>One expense exists at its real operational scope, cash falls once, Schedule E category and allocations agree, and no per-unit copies are created.</x:v>
      </x:c>
      <x:c r="N1399" s="35" t="str">
        <x:v>Source preview; review/form; expense detail; line items; Property/Unit ledger; audit; accounting/report delta.</x:v>
      </x:c>
      <x:c r="O1399" s="35" t="str">
        <x:v>On marked duplicate-invoice cases, re-upload before confirm and prove the product prevents or clearly warns about duplication.</x:v>
      </x:c>
      <x:c r="P1399" s="35" t="str">
        <x:v>All expected records and amounts match; no unexplained error or stale state.</x:v>
      </x:c>
    </x:row>
    <x:row r="1400">
      <x:c r="A1400" s="20" t="str">
        <x:v>RUN-20270915-03</x:v>
      </x:c>
      <x:c r="B1400" s="23" t="n">
        <x:v>46645</x:v>
      </x:c>
      <x:c r="C1400" s="32" t="n">
        <x:v>3</x:v>
      </x:c>
      <x:c r="D1400" s="20" t="str">
        <x:v>Weekly operations</x:v>
      </x:c>
      <x:c r="E1400" s="20" t="str">
        <x:v>Property Manager</x:v>
      </x:c>
      <x:c r="F1400" s="20" t="str">
        <x:v>Mobile</x:v>
      </x:c>
      <x:c r="G1400" s="20" t="str">
        <x:v>Scanned receipt/invoice</x:v>
      </x:c>
      <x:c r="H1400" s="35" t="str">
        <x:v>Record, review, allocate, and pay operating expense</x:v>
      </x:c>
      <x:c r="I1400" s="35" t="str">
        <x:v>P023; Property scope; </x:v>
      </x:c>
      <x:c r="J1400" s="35" t="str">
        <x:v>SCN-0675</x:v>
      </x:c>
      <x:c r="K1400" s="35" t="str">
        <x:v>FIN-01360</x:v>
      </x:c>
      <x:c r="L1400" s="35" t="str">
        <x:v>Capture or upload the source; verify vendor, date, scope, category, line items, tax, amount, and work-order link; confirm; open detail; verify attachment; compare Money and Property/Unit views.</x:v>
      </x:c>
      <x:c r="M1400" s="35" t="str">
        <x:v>One expense exists at its real operational scope, cash falls once, Schedule E category and allocations agree, and no per-unit copies are created.</x:v>
      </x:c>
      <x:c r="N1400" s="35" t="str">
        <x:v>Source preview; review/form; expense detail; line items; Property/Unit ledger; audit; accounting/report delta.</x:v>
      </x:c>
      <x:c r="O1400" s="35" t="str">
        <x:v>On marked duplicate-invoice cases, re-upload before confirm and prove the product prevents or clearly warns about duplication.</x:v>
      </x:c>
      <x:c r="P1400" s="35" t="str">
        <x:v>All expected records and amounts match; no unexplained error or stale state.</x:v>
      </x:c>
    </x:row>
    <x:row r="1401">
      <x:c r="A1401" s="20" t="str">
        <x:v>RUN-20270915-04</x:v>
      </x:c>
      <x:c r="B1401" s="23" t="n">
        <x:v>46645</x:v>
      </x:c>
      <x:c r="C1401" s="32" t="n">
        <x:v>4</x:v>
      </x:c>
      <x:c r="D1401" s="20" t="str">
        <x:v>Weekly operations</x:v>
      </x:c>
      <x:c r="E1401" s="20" t="str">
        <x:v>Property Manager</x:v>
      </x:c>
      <x:c r="F1401" s="20" t="str">
        <x:v>Web</x:v>
      </x:c>
      <x:c r="G1401" s="20" t="str">
        <x:v>Scanned receipt/invoice</x:v>
      </x:c>
      <x:c r="H1401" s="35" t="str">
        <x:v>Record, review, allocate, and pay operating expense</x:v>
      </x:c>
      <x:c r="I1401" s="35" t="str">
        <x:v>P024; Property scope; </x:v>
      </x:c>
      <x:c r="J1401" s="35" t="str">
        <x:v>SCN-0676</x:v>
      </x:c>
      <x:c r="K1401" s="35" t="str">
        <x:v>FIN-01361</x:v>
      </x:c>
      <x:c r="L1401" s="35" t="str">
        <x:v>Capture or upload the source; verify vendor, date, scope, category, line items, tax, amount, and work-order link; confirm; open detail; verify attachment; compare Money and Property/Unit views.</x:v>
      </x:c>
      <x:c r="M1401" s="35" t="str">
        <x:v>One expense exists at its real operational scope, cash falls once, Schedule E category and allocations agree, and no per-unit copies are created.</x:v>
      </x:c>
      <x:c r="N1401" s="35" t="str">
        <x:v>Source preview; review/form; expense detail; line items; Property/Unit ledger; audit; accounting/report delta.</x:v>
      </x:c>
      <x:c r="O1401" s="35" t="str">
        <x:v>On marked duplicate-invoice cases, re-upload before confirm and prove the product prevents or clearly warns about duplication.</x:v>
      </x:c>
      <x:c r="P1401" s="35" t="str">
        <x:v>All expected records and amounts match; no unexplained error or stale state.</x:v>
      </x:c>
    </x:row>
    <x:row r="1402">
      <x:c r="A1402" s="20" t="str">
        <x:v>RUN-20270915-05</x:v>
      </x:c>
      <x:c r="B1402" s="23" t="n">
        <x:v>46645</x:v>
      </x:c>
      <x:c r="C1402" s="32" t="n">
        <x:v>5</x:v>
      </x:c>
      <x:c r="D1402" s="20" t="str">
        <x:v>Weekly operations</x:v>
      </x:c>
      <x:c r="E1402" s="20" t="str">
        <x:v>Property Manager</x:v>
      </x:c>
      <x:c r="F1402" s="20" t="str">
        <x:v>Mobile</x:v>
      </x:c>
      <x:c r="G1402" s="20" t="str">
        <x:v>Manual web form</x:v>
      </x:c>
      <x:c r="H1402" s="35" t="str">
        <x:v>Record, review, allocate, and pay operating expense</x:v>
      </x:c>
      <x:c r="I1402" s="35" t="str">
        <x:v>P025; Property scope; </x:v>
      </x:c>
      <x:c r="J1402" s="35" t="str"/>
      <x:c r="K1402" s="35" t="str">
        <x:v>FIN-01362</x:v>
      </x:c>
      <x:c r="L1402" s="35" t="str">
        <x:v>Capture or upload the source; verify vendor, date, scope, category, line items, tax, amount, and work-order link; confirm; open detail; verify attachment; compare Money and Property/Unit views.</x:v>
      </x:c>
      <x:c r="M1402" s="35" t="str">
        <x:v>One expense exists at its real operational scope, cash falls once, Schedule E category and allocations agree, and no per-unit copies are created.</x:v>
      </x:c>
      <x:c r="N1402" s="35" t="str">
        <x:v>Source preview; review/form; expense detail; line items; Property/Unit ledger; audit; accounting/report delta.</x:v>
      </x:c>
      <x:c r="O1402" s="35" t="str">
        <x:v>On marked duplicate-invoice cases, re-upload before confirm and prove the product prevents or clearly warns about duplication.</x:v>
      </x:c>
      <x:c r="P1402" s="35" t="str">
        <x:v>All expected records and amounts match; no unexplained error or stale state.</x:v>
      </x:c>
    </x:row>
    <x:row r="1403">
      <x:c r="A1403" s="20" t="str">
        <x:v>RUN-20270915-06</x:v>
      </x:c>
      <x:c r="B1403" s="23" t="n">
        <x:v>46645</x:v>
      </x:c>
      <x:c r="C1403" s="32" t="n">
        <x:v>6</x:v>
      </x:c>
      <x:c r="D1403" s="20" t="str">
        <x:v>Weekly operations</x:v>
      </x:c>
      <x:c r="E1403" s="20" t="str">
        <x:v>Property Manager</x:v>
      </x:c>
      <x:c r="F1403" s="20" t="str">
        <x:v>Web</x:v>
      </x:c>
      <x:c r="G1403" s="20" t="str">
        <x:v>Scanned receipt/invoice</x:v>
      </x:c>
      <x:c r="H1403" s="35" t="str">
        <x:v>Record, review, allocate, and pay operating expense</x:v>
      </x:c>
      <x:c r="I1403" s="35" t="str">
        <x:v>P026; Property scope; </x:v>
      </x:c>
      <x:c r="J1403" s="35" t="str">
        <x:v>SCN-0677</x:v>
      </x:c>
      <x:c r="K1403" s="35" t="str">
        <x:v>FIN-01363</x:v>
      </x:c>
      <x:c r="L1403" s="35" t="str">
        <x:v>Capture or upload the source; verify vendor, date, scope, category, line items, tax, amount, and work-order link; confirm; open detail; verify attachment; compare Money and Property/Unit views.</x:v>
      </x:c>
      <x:c r="M1403" s="35" t="str">
        <x:v>One expense exists at its real operational scope, cash falls once, Schedule E category and allocations agree, and no per-unit copies are created.</x:v>
      </x:c>
      <x:c r="N1403" s="35" t="str">
        <x:v>Source preview; review/form; expense detail; line items; Property/Unit ledger; audit; accounting/report delta.</x:v>
      </x:c>
      <x:c r="O1403" s="35" t="str">
        <x:v>On marked duplicate-invoice cases, re-upload before confirm and prove the product prevents or clearly warns about duplication.</x:v>
      </x:c>
      <x:c r="P1403" s="35" t="str">
        <x:v>All expected records and amounts match; no unexplained error or stale state.</x:v>
      </x:c>
    </x:row>
    <x:row r="1404">
      <x:c r="A1404" s="20" t="str">
        <x:v>RUN-20270915-07</x:v>
      </x:c>
      <x:c r="B1404" s="23" t="n">
        <x:v>46645</x:v>
      </x:c>
      <x:c r="C1404" s="32" t="n">
        <x:v>7</x:v>
      </x:c>
      <x:c r="D1404" s="20" t="str">
        <x:v>Weekly operations</x:v>
      </x:c>
      <x:c r="E1404" s="20" t="str">
        <x:v>Property Manager</x:v>
      </x:c>
      <x:c r="F1404" s="20" t="str">
        <x:v>Mobile</x:v>
      </x:c>
      <x:c r="G1404" s="20" t="str">
        <x:v>Scanned receipt/invoice</x:v>
      </x:c>
      <x:c r="H1404" s="35" t="str">
        <x:v>Record, review, allocate, and pay operating expense</x:v>
      </x:c>
      <x:c r="I1404" s="35" t="str">
        <x:v>P027; Property scope; </x:v>
      </x:c>
      <x:c r="J1404" s="35" t="str">
        <x:v>SCN-0678</x:v>
      </x:c>
      <x:c r="K1404" s="35" t="str">
        <x:v>FIN-01364</x:v>
      </x:c>
      <x:c r="L1404" s="35" t="str">
        <x:v>Capture or upload the source; verify vendor, date, scope, category, line items, tax, amount, and work-order link; confirm; open detail; verify attachment; compare Money and Property/Unit views.</x:v>
      </x:c>
      <x:c r="M1404" s="35" t="str">
        <x:v>One expense exists at its real operational scope, cash falls once, Schedule E category and allocations agree, and no per-unit copies are created.</x:v>
      </x:c>
      <x:c r="N1404" s="35" t="str">
        <x:v>Source preview; review/form; expense detail; line items; Property/Unit ledger; audit; accounting/report delta.</x:v>
      </x:c>
      <x:c r="O1404" s="35" t="str">
        <x:v>On marked duplicate-invoice cases, re-upload before confirm and prove the product prevents or clearly warns about duplication.</x:v>
      </x:c>
      <x:c r="P1404" s="35" t="str">
        <x:v>All expected records and amounts match; no unexplained error or stale state.</x:v>
      </x:c>
    </x:row>
    <x:row r="1405">
      <x:c r="A1405" s="20" t="str">
        <x:v>RUN-20270915-08</x:v>
      </x:c>
      <x:c r="B1405" s="23" t="n">
        <x:v>46645</x:v>
      </x:c>
      <x:c r="C1405" s="32" t="n">
        <x:v>8</x:v>
      </x:c>
      <x:c r="D1405" s="20" t="str">
        <x:v>Weekly operations</x:v>
      </x:c>
      <x:c r="E1405" s="20" t="str">
        <x:v>Property Manager</x:v>
      </x:c>
      <x:c r="F1405" s="20" t="str">
        <x:v>Web</x:v>
      </x:c>
      <x:c r="G1405" s="20" t="str">
        <x:v>Scanned receipt/invoice</x:v>
      </x:c>
      <x:c r="H1405" s="35" t="str">
        <x:v>Record, review, allocate, and pay operating expense</x:v>
      </x:c>
      <x:c r="I1405" s="35" t="str">
        <x:v>P028; Property scope; </x:v>
      </x:c>
      <x:c r="J1405" s="35" t="str">
        <x:v>SCN-0679</x:v>
      </x:c>
      <x:c r="K1405" s="35" t="str">
        <x:v>FIN-01365</x:v>
      </x:c>
      <x:c r="L1405" s="35" t="str">
        <x:v>Capture or upload the source; verify vendor, date, scope, category, line items, tax, amount, and work-order link; confirm; open detail; verify attachment; compare Money and Property/Unit views.</x:v>
      </x:c>
      <x:c r="M1405" s="35" t="str">
        <x:v>One expense exists at its real operational scope, cash falls once, Schedule E category and allocations agree, and no per-unit copies are created.</x:v>
      </x:c>
      <x:c r="N1405" s="35" t="str">
        <x:v>Source preview; review/form; expense detail; line items; Property/Unit ledger; audit; accounting/report delta.</x:v>
      </x:c>
      <x:c r="O1405" s="35" t="str">
        <x:v>On marked duplicate-invoice cases, re-upload before confirm and prove the product prevents or clearly warns about duplication.</x:v>
      </x:c>
      <x:c r="P1405" s="35" t="str">
        <x:v>All expected records and amounts match; no unexplained error or stale state.</x:v>
      </x:c>
    </x:row>
    <x:row r="1406">
      <x:c r="A1406" s="20" t="str">
        <x:v>RUN-20270915-09</x:v>
      </x:c>
      <x:c r="B1406" s="23" t="n">
        <x:v>46645</x:v>
      </x:c>
      <x:c r="C1406" s="32" t="n">
        <x:v>9</x:v>
      </x:c>
      <x:c r="D1406" s="20" t="str">
        <x:v>Weekly operations</x:v>
      </x:c>
      <x:c r="E1406" s="20" t="str">
        <x:v>Property Manager</x:v>
      </x:c>
      <x:c r="F1406" s="20" t="str">
        <x:v>Mobile</x:v>
      </x:c>
      <x:c r="G1406" s="20" t="str">
        <x:v>Scanned receipt/invoice</x:v>
      </x:c>
      <x:c r="H1406" s="35" t="str">
        <x:v>Record, review, allocate, and pay operating expense</x:v>
      </x:c>
      <x:c r="I1406" s="35" t="str">
        <x:v>P029; Property scope; </x:v>
      </x:c>
      <x:c r="J1406" s="35" t="str">
        <x:v>SCN-0680</x:v>
      </x:c>
      <x:c r="K1406" s="35" t="str">
        <x:v>FIN-01366</x:v>
      </x:c>
      <x:c r="L1406" s="35" t="str">
        <x:v>Capture or upload the source; verify vendor, date, scope, category, line items, tax, amount, and work-order link; confirm; open detail; verify attachment; compare Money and Property/Unit views.</x:v>
      </x:c>
      <x:c r="M1406" s="35" t="str">
        <x:v>One expense exists at its real operational scope, cash falls once, Schedule E category and allocations agree, and no per-unit copies are created.</x:v>
      </x:c>
      <x:c r="N1406" s="35" t="str">
        <x:v>Source preview; review/form; expense detail; line items; Property/Unit ledger; audit; accounting/report delta.</x:v>
      </x:c>
      <x:c r="O1406" s="35" t="str">
        <x:v>On marked duplicate-invoice cases, re-upload before confirm and prove the product prevents or clearly warns about duplication.</x:v>
      </x:c>
      <x:c r="P1406" s="35" t="str">
        <x:v>All expected records and amounts match; no unexplained error or stale state.</x:v>
      </x:c>
    </x:row>
    <x:row r="1407">
      <x:c r="A1407" s="20" t="str">
        <x:v>RUN-20270915-10</x:v>
      </x:c>
      <x:c r="B1407" s="23" t="n">
        <x:v>46645</x:v>
      </x:c>
      <x:c r="C1407" s="32" t="n">
        <x:v>10</x:v>
      </x:c>
      <x:c r="D1407" s="20" t="str">
        <x:v>Weekly operations</x:v>
      </x:c>
      <x:c r="E1407" s="20" t="str">
        <x:v>Property Manager</x:v>
      </x:c>
      <x:c r="F1407" s="20" t="str">
        <x:v>Web</x:v>
      </x:c>
      <x:c r="G1407" s="20" t="str">
        <x:v>Manual mobile form</x:v>
      </x:c>
      <x:c r="H1407" s="35" t="str">
        <x:v>Record, review, allocate, and pay operating expense</x:v>
      </x:c>
      <x:c r="I1407" s="35" t="str">
        <x:v>P030; Property scope; </x:v>
      </x:c>
      <x:c r="J1407" s="35" t="str"/>
      <x:c r="K1407" s="35" t="str">
        <x:v>FIN-01367</x:v>
      </x:c>
      <x:c r="L1407" s="35" t="str">
        <x:v>Capture or upload the source; verify vendor, date, scope, category, line items, tax, amount, and work-order link; confirm; open detail; verify attachment; compare Money and Property/Unit views.</x:v>
      </x:c>
      <x:c r="M1407" s="35" t="str">
        <x:v>One expense exists at its real operational scope, cash falls once, Schedule E category and allocations agree, and no per-unit copies are created.</x:v>
      </x:c>
      <x:c r="N1407" s="35" t="str">
        <x:v>Source preview; review/form; expense detail; line items; Property/Unit ledger; audit; accounting/report delta.</x:v>
      </x:c>
      <x:c r="O1407" s="35" t="str">
        <x:v>On marked duplicate-invoice cases, re-upload before confirm and prove the product prevents or clearly warns about duplication.</x:v>
      </x:c>
      <x:c r="P1407" s="35" t="str">
        <x:v>All expected records and amounts match; no unexplained error or stale state.</x:v>
      </x:c>
    </x:row>
    <x:row r="1408">
      <x:c r="A1408" s="20" t="str">
        <x:v>RUN-20270915-11</x:v>
      </x:c>
      <x:c r="B1408" s="23" t="n">
        <x:v>46645</x:v>
      </x:c>
      <x:c r="C1408" s="32" t="n">
        <x:v>11</x:v>
      </x:c>
      <x:c r="D1408" s="20" t="str">
        <x:v>Role and screen certification</x:v>
      </x:c>
      <x:c r="E1408" s="20" t="str">
        <x:v>Workspace Administrator</x:v>
      </x:c>
      <x:c r="F1408" s="20" t="str">
        <x:v>Mobile</x:v>
      </x:c>
      <x:c r="G1408" s="20" t="str">
        <x:v>Normal persona navigation</x:v>
      </x:c>
      <x:c r="H1408" s="35" t="str">
        <x:v>Use every permitted action and state on features/messages/message_detail_screen.dart</x:v>
      </x:c>
      <x:c r="I1408" s="35" t="str">
        <x:v>SCR-138; ROLE-231</x:v>
      </x:c>
      <x:c r="J1408" s="35" t="str"/>
      <x:c r="K1408" s="35" t="str"/>
      <x:c r="L14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08" s="35" t="str">
        <x:v>The persona can use every allowed action with only its assigned properties/relationships. Hidden or disabled actions explain why; an adjacent unauthorized persona is denied without metadata leakage.</x:v>
      </x:c>
      <x:c r="N1408" s="35" t="str">
        <x:v>Persona/experience; navigation entry; desktop or device screenshots; result state; persisted read-back; audit/history; authorized and denied network result.</x:v>
      </x:c>
      <x:c r="O1408" s="35" t="str">
        <x:v>Open the direct URL or deep link with an adjacent unauthorized persona and with stale scope; both fail closed and land safely without mutation.</x:v>
      </x:c>
      <x:c r="P1408" s="35" t="str">
        <x:v>All expected records and amounts match; no unexplained error or stale state.</x:v>
      </x:c>
    </x:row>
    <x:row r="1409">
      <x:c r="A1409" s="20" t="str">
        <x:v>RUN-20270915-12</x:v>
      </x:c>
      <x:c r="B1409" s="23" t="n">
        <x:v>46645</x:v>
      </x:c>
      <x:c r="C1409" s="32" t="n">
        <x:v>12</x:v>
      </x:c>
      <x:c r="D1409" s="20" t="str">
        <x:v>Role and screen certification</x:v>
      </x:c>
      <x:c r="E1409" s="20" t="str">
        <x:v>Property Manager</x:v>
      </x:c>
      <x:c r="F1409" s="20" t="str">
        <x:v>Mobile</x:v>
      </x:c>
      <x:c r="G1409" s="20" t="str">
        <x:v>Normal persona navigation</x:v>
      </x:c>
      <x:c r="H1409" s="35" t="str">
        <x:v>Use every permitted action and state on features/messages/message_detail_screen.dart</x:v>
      </x:c>
      <x:c r="I1409" s="35" t="str">
        <x:v>SCR-138; ROLE-232</x:v>
      </x:c>
      <x:c r="J1409" s="35" t="str"/>
      <x:c r="K1409" s="35" t="str"/>
      <x:c r="L140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09" s="35" t="str">
        <x:v>The persona can use every allowed action with only its assigned properties/relationships. Hidden or disabled actions explain why; an adjacent unauthorized persona is denied without metadata leakage.</x:v>
      </x:c>
      <x:c r="N1409" s="35" t="str">
        <x:v>Persona/experience; navigation entry; desktop or device screenshots; result state; persisted read-back; audit/history; authorized and denied network result.</x:v>
      </x:c>
      <x:c r="O1409" s="35" t="str">
        <x:v>Open the direct URL or deep link with an adjacent unauthorized persona and with stale scope; both fail closed and land safely without mutation.</x:v>
      </x:c>
      <x:c r="P1409" s="35" t="str">
        <x:v>All expected records and amounts match; no unexplained error or stale state.</x:v>
      </x:c>
    </x:row>
    <x:row r="1410">
      <x:c r="A1410" s="20" t="str">
        <x:v>RUN-20270915-13</x:v>
      </x:c>
      <x:c r="B1410" s="23" t="n">
        <x:v>46645</x:v>
      </x:c>
      <x:c r="C1410" s="32" t="n">
        <x:v>13</x:v>
      </x:c>
      <x:c r="D1410" s="20" t="str">
        <x:v>Role and screen certification</x:v>
      </x:c>
      <x:c r="E1410" s="20" t="str">
        <x:v>Leasing Agent</x:v>
      </x:c>
      <x:c r="F1410" s="20" t="str">
        <x:v>Mobile</x:v>
      </x:c>
      <x:c r="G1410" s="20" t="str">
        <x:v>Normal persona navigation</x:v>
      </x:c>
      <x:c r="H1410" s="35" t="str">
        <x:v>Use every permitted action and state on features/messages/message_detail_screen.dart</x:v>
      </x:c>
      <x:c r="I1410" s="35" t="str">
        <x:v>SCR-138; ROLE-233</x:v>
      </x:c>
      <x:c r="J1410" s="35" t="str"/>
      <x:c r="K1410" s="35" t="str"/>
      <x:c r="L141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0" s="35" t="str">
        <x:v>The persona can use every allowed action with only its assigned properties/relationships. Hidden or disabled actions explain why; an adjacent unauthorized persona is denied without metadata leakage.</x:v>
      </x:c>
      <x:c r="N1410" s="35" t="str">
        <x:v>Persona/experience; navigation entry; desktop or device screenshots; result state; persisted read-back; audit/history; authorized and denied network result.</x:v>
      </x:c>
      <x:c r="O1410" s="35" t="str">
        <x:v>Open the direct URL or deep link with an adjacent unauthorized persona and with stale scope; both fail closed and land safely without mutation.</x:v>
      </x:c>
      <x:c r="P1410" s="35" t="str">
        <x:v>All expected records and amounts match; no unexplained error or stale state.</x:v>
      </x:c>
    </x:row>
    <x:row r="1411">
      <x:c r="A1411" s="20" t="str">
        <x:v>RUN-20270915-14</x:v>
      </x:c>
      <x:c r="B1411" s="23" t="n">
        <x:v>46645</x:v>
      </x:c>
      <x:c r="C1411" s="32" t="n">
        <x:v>14</x:v>
      </x:c>
      <x:c r="D1411" s="20" t="str">
        <x:v>Role and screen certification</x:v>
      </x:c>
      <x:c r="E1411" s="20" t="str">
        <x:v>Maintenance Technician</x:v>
      </x:c>
      <x:c r="F1411" s="20" t="str">
        <x:v>Mobile</x:v>
      </x:c>
      <x:c r="G1411" s="20" t="str">
        <x:v>Normal persona navigation</x:v>
      </x:c>
      <x:c r="H1411" s="35" t="str">
        <x:v>Use every permitted action and state on features/messages/message_detail_screen.dart</x:v>
      </x:c>
      <x:c r="I1411" s="35" t="str">
        <x:v>SCR-138; ROLE-234</x:v>
      </x:c>
      <x:c r="J1411" s="35" t="str"/>
      <x:c r="K1411" s="35" t="str"/>
      <x:c r="L141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1" s="35" t="str">
        <x:v>The persona can use every allowed action with only its assigned properties/relationships. Hidden or disabled actions explain why; an adjacent unauthorized persona is denied without metadata leakage.</x:v>
      </x:c>
      <x:c r="N1411" s="35" t="str">
        <x:v>Persona/experience; navigation entry; desktop or device screenshots; result state; persisted read-back; audit/history; authorized and denied network result.</x:v>
      </x:c>
      <x:c r="O1411" s="35" t="str">
        <x:v>Open the direct URL or deep link with an adjacent unauthorized persona and with stale scope; both fail closed and land safely without mutation.</x:v>
      </x:c>
      <x:c r="P1411" s="35" t="str">
        <x:v>All expected records and amounts match; no unexplained error or stale state.</x:v>
      </x:c>
    </x:row>
    <x:row r="1412">
      <x:c r="A1412" s="20" t="str">
        <x:v>RUN-20270915-15</x:v>
      </x:c>
      <x:c r="B1412" s="23" t="n">
        <x:v>46645</x:v>
      </x:c>
      <x:c r="C1412" s="32" t="n">
        <x:v>15</x:v>
      </x:c>
      <x:c r="D1412" s="20" t="str">
        <x:v>Role and screen certification</x:v>
      </x:c>
      <x:c r="E1412" s="20" t="str">
        <x:v>Owner</x:v>
      </x:c>
      <x:c r="F1412" s="20" t="str">
        <x:v>Mobile</x:v>
      </x:c>
      <x:c r="G1412" s="20" t="str">
        <x:v>Normal persona navigation</x:v>
      </x:c>
      <x:c r="H1412" s="35" t="str">
        <x:v>Use every permitted action and state on features/messages/message_detail_screen.dart</x:v>
      </x:c>
      <x:c r="I1412" s="35" t="str">
        <x:v>SCR-138; ROLE-235</x:v>
      </x:c>
      <x:c r="J1412" s="35" t="str"/>
      <x:c r="K1412" s="35" t="str"/>
      <x:c r="L141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2" s="35" t="str">
        <x:v>The persona can use every allowed action with only its assigned properties/relationships. Hidden or disabled actions explain why; an adjacent unauthorized persona is denied without metadata leakage.</x:v>
      </x:c>
      <x:c r="N1412" s="35" t="str">
        <x:v>Persona/experience; navigation entry; desktop or device screenshots; result state; persisted read-back; audit/history; authorized and denied network result.</x:v>
      </x:c>
      <x:c r="O1412" s="35" t="str">
        <x:v>Open the direct URL or deep link with an adjacent unauthorized persona and with stale scope; both fail closed and land safely without mutation.</x:v>
      </x:c>
      <x:c r="P1412" s="35" t="str">
        <x:v>All expected records and amounts match; no unexplained error or stale state.</x:v>
      </x:c>
    </x:row>
    <x:row r="1413">
      <x:c r="A1413" s="20" t="str">
        <x:v>RUN-20270915-16</x:v>
      </x:c>
      <x:c r="B1413" s="23" t="n">
        <x:v>46645</x:v>
      </x:c>
      <x:c r="C1413" s="32" t="n">
        <x:v>16</x:v>
      </x:c>
      <x:c r="D1413" s="20" t="str">
        <x:v>Role and screen certification</x:v>
      </x:c>
      <x:c r="E1413" s="20" t="str">
        <x:v>Tenant</x:v>
      </x:c>
      <x:c r="F1413" s="20" t="str">
        <x:v>Mobile</x:v>
      </x:c>
      <x:c r="G1413" s="20" t="str">
        <x:v>Normal persona navigation</x:v>
      </x:c>
      <x:c r="H1413" s="35" t="str">
        <x:v>Use every permitted action and state on features/messages/message_detail_screen.dart</x:v>
      </x:c>
      <x:c r="I1413" s="35" t="str">
        <x:v>SCR-138; ROLE-236</x:v>
      </x:c>
      <x:c r="J1413" s="35" t="str"/>
      <x:c r="K1413" s="35" t="str"/>
      <x:c r="L141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3" s="35" t="str">
        <x:v>The persona can use every allowed action with only its assigned properties/relationships. Hidden or disabled actions explain why; an adjacent unauthorized persona is denied without metadata leakage.</x:v>
      </x:c>
      <x:c r="N1413" s="35" t="str">
        <x:v>Persona/experience; navigation entry; desktop or device screenshots; result state; persisted read-back; audit/history; authorized and denied network result.</x:v>
      </x:c>
      <x:c r="O1413" s="35" t="str">
        <x:v>Open the direct URL or deep link with an adjacent unauthorized persona and with stale scope; both fail closed and land safely without mutation.</x:v>
      </x:c>
      <x:c r="P1413" s="35" t="str">
        <x:v>All expected records and amounts match; no unexplained error or stale state.</x:v>
      </x:c>
    </x:row>
    <x:row r="1414">
      <x:c r="A1414" s="20" t="str">
        <x:v>RUN-20270915-17</x:v>
      </x:c>
      <x:c r="B1414" s="23" t="n">
        <x:v>46645</x:v>
      </x:c>
      <x:c r="C1414" s="32" t="n">
        <x:v>17</x:v>
      </x:c>
      <x:c r="D1414" s="20" t="str">
        <x:v>Field certification</x:v>
      </x:c>
      <x:c r="E1414" s="20" t="str">
        <x:v>Property Manager</x:v>
      </x:c>
      <x:c r="F1414" s="20" t="str">
        <x:v>Web</x:v>
      </x:c>
      <x:c r="G1414" s="20" t="str">
        <x:v>Manual field-by-field</x:v>
      </x:c>
      <x:c r="H1414" s="35" t="str">
        <x:v>Fill, save, reload, edit, and validate every declared field on /units/[id]</x:v>
      </x:c>
      <x:c r="I1414" s="35" t="str">
        <x:v>FLD-0754; FLD-0755; FLD-0756; FLD-0757</x:v>
      </x:c>
      <x:c r="J1414" s="35" t="str"/>
      <x:c r="K1414" s="35" t="str"/>
      <x:c r="L1414" s="35" t="str">
        <x:v>Use the source-derived Field Inventory. Enter non-default realistic values in every control (inspectionSearch; inspectionSort; recurringSearch; recurringSort); submit; reload or relaunch; compare every value; edit each mutable field; verify the paired client; then run required, format, length, range, boundary, optional-null, and stale-submit checks.</x:v>
      </x:c>
      <x:c r="M1414" s="35" t="str">
        <x:v>All 4 inventoried controls persist exact normalized values, invalid values stay unsaved with clear errors, and hidden/unauthorized fields cannot be altered.</x:v>
      </x:c>
      <x:c r="N1414" s="35" t="str">
        <x:v>Before/after form screenshots; FLD IDs; API response; reloaded UI; paired-client read-back; database/audit evidence; negative validation result.</x:v>
      </x:c>
      <x:c r="O1414" s="35" t="str">
        <x:v>Use a duplicate submit and one simulated network interruption; one atomic mutation or none, never partial state.</x:v>
      </x:c>
      <x:c r="P1414" s="35" t="str">
        <x:v>All expected records and amounts match; no unexplained error or stale state.</x:v>
      </x:c>
    </x:row>
    <x:row r="1415">
      <x:c r="A1415" s="20" t="str">
        <x:v>RUN-20270916-01</x:v>
      </x:c>
      <x:c r="B1415" s="23" t="n">
        <x:v>46646</x:v>
      </x:c>
      <x:c r="C1415" s="32" t="n">
        <x:v>1</x:v>
      </x:c>
      <x:c r="D1415" s="20" t="str">
        <x:v>Lease ending</x:v>
      </x:c>
      <x:c r="E1415" s="20" t="str">
        <x:v>Property Manager</x:v>
      </x:c>
      <x:c r="F1415" s="20" t="str">
        <x:v>Web</x:v>
      </x:c>
      <x:c r="G1415" s="20" t="str">
        <x:v>Scan attachment + manual lifecycle</x:v>
      </x:c>
      <x:c r="H1415" s="35" t="str">
        <x:v>Record notice and plan lease ending</x:v>
      </x:c>
      <x:c r="I1415" s="35" t="str">
        <x:v>L003; U003</x:v>
      </x:c>
      <x:c r="J1415" s="35" t="str">
        <x:v>SCN-0933</x:v>
      </x:c>
      <x:c r="K1415" s="35" t="str"/>
      <x:c r="L1415" s="35" t="str">
        <x:v>Attach/capture the source notice; create the matching notice draft/history; record planned move-out and ending disposition; schedule inspection and turnover work.</x:v>
      </x:c>
      <x:c r="M1415" s="35" t="str">
        <x:v>Notice source, effective dates, appointment, ending facts, and Unit next action agree without ending occupancy early.</x:v>
      </x:c>
      <x:c r="N1415" s="35" t="str">
        <x:v>Notice source/preview; lease timeline; appointment; Unit summary; notification/audit.</x:v>
      </x:c>
      <x:c r="O1415" s="35" t="str">
        <x:v>Use an upload date after the document date and prove both dates remain distinct.</x:v>
      </x:c>
      <x:c r="P1415" s="35" t="str">
        <x:v>All expected records and amounts match; no unexplained error or stale state.</x:v>
      </x:c>
    </x:row>
    <x:row r="1416">
      <x:c r="A1416" s="20" t="str">
        <x:v>RUN-20270916-02</x:v>
      </x:c>
      <x:c r="B1416" s="23" t="n">
        <x:v>46646</x:v>
      </x:c>
      <x:c r="C1416" s="32" t="n">
        <x:v>2</x:v>
      </x:c>
      <x:c r="D1416" s="20" t="str">
        <x:v>Role and screen certification</x:v>
      </x:c>
      <x:c r="E1416" s="20" t="str">
        <x:v>Workspace Administrator</x:v>
      </x:c>
      <x:c r="F1416" s="20" t="str">
        <x:v>Mobile</x:v>
      </x:c>
      <x:c r="G1416" s="20" t="str">
        <x:v>Normal persona navigation</x:v>
      </x:c>
      <x:c r="H1416" s="35" t="str">
        <x:v>Use every permitted action and state on features/messages/messages_list_screen.dart</x:v>
      </x:c>
      <x:c r="I1416" s="35" t="str">
        <x:v>SCR-139; ROLE-237</x:v>
      </x:c>
      <x:c r="J1416" s="35" t="str"/>
      <x:c r="K1416" s="35" t="str"/>
      <x:c r="L141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6" s="35" t="str">
        <x:v>The persona can use every allowed action with only its assigned properties/relationships. Hidden or disabled actions explain why; an adjacent unauthorized persona is denied without metadata leakage.</x:v>
      </x:c>
      <x:c r="N1416" s="35" t="str">
        <x:v>Persona/experience; navigation entry; desktop or device screenshots; result state; persisted read-back; audit/history; authorized and denied network result.</x:v>
      </x:c>
      <x:c r="O1416" s="35" t="str">
        <x:v>Open the direct URL or deep link with an adjacent unauthorized persona and with stale scope; both fail closed and land safely without mutation.</x:v>
      </x:c>
      <x:c r="P1416" s="35" t="str">
        <x:v>All expected records and amounts match; no unexplained error or stale state.</x:v>
      </x:c>
    </x:row>
    <x:row r="1417">
      <x:c r="A1417" s="20" t="str">
        <x:v>RUN-20270916-03</x:v>
      </x:c>
      <x:c r="B1417" s="23" t="n">
        <x:v>46646</x:v>
      </x:c>
      <x:c r="C1417" s="32" t="n">
        <x:v>3</x:v>
      </x:c>
      <x:c r="D1417" s="20" t="str">
        <x:v>Role and screen certification</x:v>
      </x:c>
      <x:c r="E1417" s="20" t="str">
        <x:v>Property Manager</x:v>
      </x:c>
      <x:c r="F1417" s="20" t="str">
        <x:v>Mobile</x:v>
      </x:c>
      <x:c r="G1417" s="20" t="str">
        <x:v>Normal persona navigation</x:v>
      </x:c>
      <x:c r="H1417" s="35" t="str">
        <x:v>Use every permitted action and state on features/messages/messages_list_screen.dart</x:v>
      </x:c>
      <x:c r="I1417" s="35" t="str">
        <x:v>SCR-139; ROLE-238</x:v>
      </x:c>
      <x:c r="J1417" s="35" t="str"/>
      <x:c r="K1417" s="35" t="str"/>
      <x:c r="L14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7" s="35" t="str">
        <x:v>The persona can use every allowed action with only its assigned properties/relationships. Hidden or disabled actions explain why; an adjacent unauthorized persona is denied without metadata leakage.</x:v>
      </x:c>
      <x:c r="N1417" s="35" t="str">
        <x:v>Persona/experience; navigation entry; desktop or device screenshots; result state; persisted read-back; audit/history; authorized and denied network result.</x:v>
      </x:c>
      <x:c r="O1417" s="35" t="str">
        <x:v>Open the direct URL or deep link with an adjacent unauthorized persona and with stale scope; both fail closed and land safely without mutation.</x:v>
      </x:c>
      <x:c r="P1417" s="35" t="str">
        <x:v>All expected records and amounts match; no unexplained error or stale state.</x:v>
      </x:c>
    </x:row>
    <x:row r="1418">
      <x:c r="A1418" s="20" t="str">
        <x:v>RUN-20270916-04</x:v>
      </x:c>
      <x:c r="B1418" s="23" t="n">
        <x:v>46646</x:v>
      </x:c>
      <x:c r="C1418" s="32" t="n">
        <x:v>4</x:v>
      </x:c>
      <x:c r="D1418" s="20" t="str">
        <x:v>Role and screen certification</x:v>
      </x:c>
      <x:c r="E1418" s="20" t="str">
        <x:v>Leasing Agent</x:v>
      </x:c>
      <x:c r="F1418" s="20" t="str">
        <x:v>Mobile</x:v>
      </x:c>
      <x:c r="G1418" s="20" t="str">
        <x:v>Normal persona navigation</x:v>
      </x:c>
      <x:c r="H1418" s="35" t="str">
        <x:v>Use every permitted action and state on features/messages/messages_list_screen.dart</x:v>
      </x:c>
      <x:c r="I1418" s="35" t="str">
        <x:v>SCR-139; ROLE-239</x:v>
      </x:c>
      <x:c r="J1418" s="35" t="str"/>
      <x:c r="K1418" s="35" t="str"/>
      <x:c r="L141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8" s="35" t="str">
        <x:v>The persona can use every allowed action with only its assigned properties/relationships. Hidden or disabled actions explain why; an adjacent unauthorized persona is denied without metadata leakage.</x:v>
      </x:c>
      <x:c r="N1418" s="35" t="str">
        <x:v>Persona/experience; navigation entry; desktop or device screenshots; result state; persisted read-back; audit/history; authorized and denied network result.</x:v>
      </x:c>
      <x:c r="O1418" s="35" t="str">
        <x:v>Open the direct URL or deep link with an adjacent unauthorized persona and with stale scope; both fail closed and land safely without mutation.</x:v>
      </x:c>
      <x:c r="P1418" s="35" t="str">
        <x:v>All expected records and amounts match; no unexplained error or stale state.</x:v>
      </x:c>
    </x:row>
    <x:row r="1419">
      <x:c r="A1419" s="20" t="str">
        <x:v>RUN-20270916-05</x:v>
      </x:c>
      <x:c r="B1419" s="23" t="n">
        <x:v>46646</x:v>
      </x:c>
      <x:c r="C1419" s="32" t="n">
        <x:v>5</x:v>
      </x:c>
      <x:c r="D1419" s="20" t="str">
        <x:v>Role and screen certification</x:v>
      </x:c>
      <x:c r="E1419" s="20" t="str">
        <x:v>Maintenance Technician</x:v>
      </x:c>
      <x:c r="F1419" s="20" t="str">
        <x:v>Mobile</x:v>
      </x:c>
      <x:c r="G1419" s="20" t="str">
        <x:v>Normal persona navigation</x:v>
      </x:c>
      <x:c r="H1419" s="35" t="str">
        <x:v>Use every permitted action and state on features/messages/messages_list_screen.dart</x:v>
      </x:c>
      <x:c r="I1419" s="35" t="str">
        <x:v>SCR-139; ROLE-240</x:v>
      </x:c>
      <x:c r="J1419" s="35" t="str"/>
      <x:c r="K1419" s="35" t="str"/>
      <x:c r="L14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19" s="35" t="str">
        <x:v>The persona can use every allowed action with only its assigned properties/relationships. Hidden or disabled actions explain why; an adjacent unauthorized persona is denied without metadata leakage.</x:v>
      </x:c>
      <x:c r="N1419" s="35" t="str">
        <x:v>Persona/experience; navigation entry; desktop or device screenshots; result state; persisted read-back; audit/history; authorized and denied network result.</x:v>
      </x:c>
      <x:c r="O1419" s="35" t="str">
        <x:v>Open the direct URL or deep link with an adjacent unauthorized persona and with stale scope; both fail closed and land safely without mutation.</x:v>
      </x:c>
      <x:c r="P1419" s="35" t="str">
        <x:v>All expected records and amounts match; no unexplained error or stale state.</x:v>
      </x:c>
    </x:row>
    <x:row r="1420">
      <x:c r="A1420" s="20" t="str">
        <x:v>RUN-20270916-06</x:v>
      </x:c>
      <x:c r="B1420" s="23" t="n">
        <x:v>46646</x:v>
      </x:c>
      <x:c r="C1420" s="32" t="n">
        <x:v>6</x:v>
      </x:c>
      <x:c r="D1420" s="20" t="str">
        <x:v>Role and screen certification</x:v>
      </x:c>
      <x:c r="E1420" s="20" t="str">
        <x:v>Owner</x:v>
      </x:c>
      <x:c r="F1420" s="20" t="str">
        <x:v>Mobile</x:v>
      </x:c>
      <x:c r="G1420" s="20" t="str">
        <x:v>Normal persona navigation</x:v>
      </x:c>
      <x:c r="H1420" s="35" t="str">
        <x:v>Use every permitted action and state on features/messages/messages_list_screen.dart</x:v>
      </x:c>
      <x:c r="I1420" s="35" t="str">
        <x:v>SCR-139; ROLE-241</x:v>
      </x:c>
      <x:c r="J1420" s="35" t="str"/>
      <x:c r="K1420" s="35" t="str"/>
      <x:c r="L14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20" s="35" t="str">
        <x:v>The persona can use every allowed action with only its assigned properties/relationships. Hidden or disabled actions explain why; an adjacent unauthorized persona is denied without metadata leakage.</x:v>
      </x:c>
      <x:c r="N1420" s="35" t="str">
        <x:v>Persona/experience; navigation entry; desktop or device screenshots; result state; persisted read-back; audit/history; authorized and denied network result.</x:v>
      </x:c>
      <x:c r="O1420" s="35" t="str">
        <x:v>Open the direct URL or deep link with an adjacent unauthorized persona and with stale scope; both fail closed and land safely without mutation.</x:v>
      </x:c>
      <x:c r="P1420" s="35" t="str">
        <x:v>All expected records and amounts match; no unexplained error or stale state.</x:v>
      </x:c>
    </x:row>
    <x:row r="1421">
      <x:c r="A1421" s="20" t="str">
        <x:v>RUN-20270916-07</x:v>
      </x:c>
      <x:c r="B1421" s="23" t="n">
        <x:v>46646</x:v>
      </x:c>
      <x:c r="C1421" s="32" t="n">
        <x:v>7</x:v>
      </x:c>
      <x:c r="D1421" s="20" t="str">
        <x:v>Role and screen certification</x:v>
      </x:c>
      <x:c r="E1421" s="20" t="str">
        <x:v>Tenant</x:v>
      </x:c>
      <x:c r="F1421" s="20" t="str">
        <x:v>Mobile</x:v>
      </x:c>
      <x:c r="G1421" s="20" t="str">
        <x:v>Normal persona navigation</x:v>
      </x:c>
      <x:c r="H1421" s="35" t="str">
        <x:v>Use every permitted action and state on features/messages/messages_list_screen.dart</x:v>
      </x:c>
      <x:c r="I1421" s="35" t="str">
        <x:v>SCR-139; ROLE-242</x:v>
      </x:c>
      <x:c r="J1421" s="35" t="str"/>
      <x:c r="K1421" s="35" t="str"/>
      <x:c r="L142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21" s="35" t="str">
        <x:v>The persona can use every allowed action with only its assigned properties/relationships. Hidden or disabled actions explain why; an adjacent unauthorized persona is denied without metadata leakage.</x:v>
      </x:c>
      <x:c r="N1421" s="35" t="str">
        <x:v>Persona/experience; navigation entry; desktop or device screenshots; result state; persisted read-back; audit/history; authorized and denied network result.</x:v>
      </x:c>
      <x:c r="O1421" s="35" t="str">
        <x:v>Open the direct URL or deep link with an adjacent unauthorized persona and with stale scope; both fail closed and land safely without mutation.</x:v>
      </x:c>
      <x:c r="P1421" s="35" t="str">
        <x:v>All expected records and amounts match; no unexplained error or stale state.</x:v>
      </x:c>
    </x:row>
    <x:row r="1422">
      <x:c r="A1422" s="20" t="str">
        <x:v>RUN-20270916-08</x:v>
      </x:c>
      <x:c r="B1422" s="23" t="n">
        <x:v>46646</x:v>
      </x:c>
      <x:c r="C1422" s="32" t="n">
        <x:v>8</x:v>
      </x:c>
      <x:c r="D1422" s="20" t="str">
        <x:v>Field certification</x:v>
      </x:c>
      <x:c r="E1422" s="20" t="str">
        <x:v>Property Manager</x:v>
      </x:c>
      <x:c r="F1422" s="20" t="str">
        <x:v>Web</x:v>
      </x:c>
      <x:c r="G1422" s="20" t="str">
        <x:v>Manual field-by-field</x:v>
      </x:c>
      <x:c r="H1422" s="35" t="str">
        <x:v>Fill, save, reload, edit, and validate every declared field on /units/[id]</x:v>
      </x:c>
      <x:c r="I1422" s="35" t="str">
        <x:v>FLD-0758; FLD-0759; FLD-0760</x:v>
      </x:c>
      <x:c r="J1422" s="35" t="str"/>
      <x:c r="K1422" s="35" t="str"/>
      <x:c r="L1422" s="35" t="str">
        <x:v>Use the source-derived Field Inventory. Enter non-default realistic values in every control (unit-move-in-deposit-date; unit-move-in-deposit-method; moveInDepositReference); submit; reload or relaunch; compare every value; edit each mutable field; verify the paired client; then run required, format, length, range, boundary, optional-null, and stale-submit checks.</x:v>
      </x:c>
      <x:c r="M1422" s="35" t="str">
        <x:v>All 3 inventoried controls persist exact normalized values, invalid values stay unsaved with clear errors, and hidden/unauthorized fields cannot be altered.</x:v>
      </x:c>
      <x:c r="N1422" s="35" t="str">
        <x:v>Before/after form screenshots; FLD IDs; API response; reloaded UI; paired-client read-back; database/audit evidence; negative validation result.</x:v>
      </x:c>
      <x:c r="O1422" s="35" t="str">
        <x:v>Use a duplicate submit and one simulated network interruption; one atomic mutation or none, never partial state.</x:v>
      </x:c>
      <x:c r="P1422" s="35" t="str">
        <x:v>All expected records and amounts match; no unexplained error or stale state.</x:v>
      </x:c>
    </x:row>
    <x:row r="1423">
      <x:c r="A1423" s="20" t="str">
        <x:v>RUN-20270916-09</x:v>
      </x:c>
      <x:c r="B1423" s="23" t="n">
        <x:v>46646</x:v>
      </x:c>
      <x:c r="C1423" s="32" t="n">
        <x:v>9</x:v>
      </x:c>
      <x:c r="D1423" s="20" t="str">
        <x:v>Field certification</x:v>
      </x:c>
      <x:c r="E1423" s="20" t="str">
        <x:v>Property Manager</x:v>
      </x:c>
      <x:c r="F1423" s="20" t="str">
        <x:v>Web</x:v>
      </x:c>
      <x:c r="G1423" s="20" t="str">
        <x:v>Manual field-by-field</x:v>
      </x:c>
      <x:c r="H1423" s="35" t="str">
        <x:v>Fill, save, reload, edit, and validate every declared field on /vendors</x:v>
      </x:c>
      <x:c r="I1423" s="35" t="str">
        <x:v>FLD-0761; FLD-0762</x:v>
      </x:c>
      <x:c r="J1423" s="35" t="str"/>
      <x:c r="K1423" s="35" t="str"/>
      <x:c r="L1423" s="35" t="str">
        <x:v>Use the source-derived Field Inventory. Enter non-default realistic values in every control (vendor-name-input; vendor-service-input); submit; reload or relaunch; compare every value; edit each mutable field; verify the paired client; then run required, format, length, range, boundary, optional-null, and stale-submit checks.</x:v>
      </x:c>
      <x:c r="M1423" s="35" t="str">
        <x:v>All 2 inventoried controls persist exact normalized values, invalid values stay unsaved with clear errors, and hidden/unauthorized fields cannot be altered.</x:v>
      </x:c>
      <x:c r="N1423" s="35" t="str">
        <x:v>Before/after form screenshots; FLD IDs; API response; reloaded UI; paired-client read-back; database/audit evidence; negative validation result.</x:v>
      </x:c>
      <x:c r="O1423" s="35" t="str">
        <x:v>Use a duplicate submit and one simulated network interruption; one atomic mutation or none, never partial state.</x:v>
      </x:c>
      <x:c r="P1423" s="35" t="str">
        <x:v>All expected records and amounts match; no unexplained error or stale state.</x:v>
      </x:c>
    </x:row>
    <x:row r="1424">
      <x:c r="A1424" s="20" t="str">
        <x:v>RUN-20270916-10</x:v>
      </x:c>
      <x:c r="B1424" s="23" t="n">
        <x:v>46646</x:v>
      </x:c>
      <x:c r="C1424" s="32" t="n">
        <x:v>10</x:v>
      </x:c>
      <x:c r="D1424" s="20" t="str">
        <x:v>Notification certification</x:v>
      </x:c>
      <x:c r="E1424" s="20" t="str">
        <x:v>Owner</x:v>
      </x:c>
      <x:c r="F1424" s="20" t="str">
        <x:v>Web + Mobile</x:v>
      </x:c>
      <x:c r="G1424" s="20" t="str">
        <x:v>System event + preference/manual verification</x:v>
      </x:c>
      <x:c r="H1424" s="35" t="str">
        <x:v>Trigger and prove notification: Owner statement ready</x:v>
      </x:c>
      <x:c r="I1424" s="35" t="str">
        <x:v>NTF-035</x:v>
      </x:c>
      <x:c r="J1424" s="35" t="str"/>
      <x:c r="K1424" s="35" t="str"/>
      <x:c r="L1424" s="35" t="str">
        <x:v>Set each recipient's preferences; trigger the real business event; inspect routing and recipient scope; verify unread badge, list item, safe preview, statement deep link, mark-read sync, configured channel outcome, provider failure/retry, and duplicate suppression.</x:v>
      </x:c>
      <x:c r="M1424" s="35" t="str">
        <x:v>Exactly the intended recipients receive one correctly routed notification; disabled optional channels stay silent; deep link opens authorized context; read state synchronizes.</x:v>
      </x:c>
      <x:c r="N1424" s="35" t="str">
        <x:v>Trigger record; routing decision; outbox/delivery status; web/mobile inbox; lock-screen-safe copy; deep-link target; audit/provider retry evidence.</x:v>
      </x:c>
      <x:c r="O1424" s="35" t="str">
        <x:v>Re-run the worker and deliver a duplicate provider callback; no duplicate user-visible event. Attempt the deep link as an unauthorized adjacent role.</x:v>
      </x:c>
      <x:c r="P1424" s="35" t="str">
        <x:v>All expected records and amounts match; no unexplained error or stale state.</x:v>
      </x:c>
    </x:row>
    <x:row r="1425">
      <x:c r="A1425" s="20" t="str">
        <x:v>RUN-20270916-11</x:v>
      </x:c>
      <x:c r="B1425" s="23" t="n">
        <x:v>46646</x:v>
      </x:c>
      <x:c r="C1425" s="32" t="n">
        <x:v>11</x:v>
      </x:c>
      <x:c r="D1425" s="20" t="str">
        <x:v>Surface coverage</x:v>
      </x:c>
      <x:c r="E1425" s="20" t="str">
        <x:v>Role appropriate to surface</x:v>
      </x:c>
      <x:c r="F1425" s="20" t="str">
        <x:v>Web</x:v>
      </x:c>
      <x:c r="G1425" s="20" t="str">
        <x:v>Manual</x:v>
      </x:c>
      <x:c r="H1425" s="35" t="str">
        <x:v>Manual web pass: Eviction case and durable events</x:v>
      </x:c>
      <x:c r="I1425" s="35" t="str">
        <x:v>COV-033</x:v>
      </x:c>
      <x:c r="J1425" s="35" t="str"/>
      <x:c r="K1425" s="35" t="str"/>
      <x:c r="L1425" s="35" t="str">
        <x:v>Open case, add respondent/event, advance status, preserve source, and prove legal state does not mutate occupancy.</x:v>
      </x:c>
      <x:c r="M1425" s="35" t="str">
        <x:v>The supported workflow completes and persists correctly; if the capability is absent, the exact gap is proven and queued rather than silently skipped.</x:v>
      </x:c>
      <x:c r="N1425" s="35" t="str">
        <x:v>Real UI screenshot/state; submitted values; persisted read-back; cross-client read-back; audit/role/access evidence.</x:v>
      </x:c>
      <x:c r="O1425" s="35" t="str">
        <x:v>Use one invalid value, stale-state retry, or duplicate submission relevant to the form; no partial or duplicate mutation.</x:v>
      </x:c>
      <x:c r="P1425" s="35" t="str">
        <x:v>All expected records and amounts match; no unexplained error or stale state.</x:v>
      </x:c>
    </x:row>
    <x:row r="1426">
      <x:c r="A1426" s="20" t="str">
        <x:v>RUN-20270917-01</x:v>
      </x:c>
      <x:c r="B1426" s="23" t="n">
        <x:v>46647</x:v>
      </x:c>
      <x:c r="C1426" s="32" t="n">
        <x:v>1</x:v>
      </x:c>
      <x:c r="D1426" s="20" t="str">
        <x:v>Role and screen certification</x:v>
      </x:c>
      <x:c r="E1426" s="20" t="str">
        <x:v>Applicant / public user</x:v>
      </x:c>
      <x:c r="F1426" s="20" t="str">
        <x:v>Mobile</x:v>
      </x:c>
      <x:c r="G1426" s="20" t="str">
        <x:v>Normal persona navigation</x:v>
      </x:c>
      <x:c r="H1426" s="35" t="str">
        <x:v>Use every permitted action and state on features/money/expense_detail_screen.dart</x:v>
      </x:c>
      <x:c r="I1426" s="35" t="str">
        <x:v>SCR-140; ROLE-243</x:v>
      </x:c>
      <x:c r="J1426" s="35" t="str"/>
      <x:c r="K1426" s="35" t="str"/>
      <x:c r="L142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26" s="35" t="str">
        <x:v>The persona can use every allowed action with only its assigned properties/relationships. Hidden or disabled actions explain why; an adjacent unauthorized persona is denied without metadata leakage.</x:v>
      </x:c>
      <x:c r="N1426" s="35" t="str">
        <x:v>Persona/experience; navigation entry; desktop or device screenshots; result state; persisted read-back; audit/history; authorized and denied network result.</x:v>
      </x:c>
      <x:c r="O1426" s="35" t="str">
        <x:v>Open the direct URL or deep link with an adjacent unauthorized persona and with stale scope; both fail closed and land safely without mutation.</x:v>
      </x:c>
      <x:c r="P1426" s="35" t="str">
        <x:v>All expected records and amounts match; no unexplained error or stale state.</x:v>
      </x:c>
    </x:row>
    <x:row r="1427">
      <x:c r="A1427" s="20" t="str">
        <x:v>RUN-20270917-02</x:v>
      </x:c>
      <x:c r="B1427" s="23" t="n">
        <x:v>46647</x:v>
      </x:c>
      <x:c r="C1427" s="32" t="n">
        <x:v>2</x:v>
      </x:c>
      <x:c r="D1427" s="20" t="str">
        <x:v>Field certification</x:v>
      </x:c>
      <x:c r="E1427" s="20" t="str">
        <x:v>Property Manager</x:v>
      </x:c>
      <x:c r="F1427" s="20" t="str">
        <x:v>Web</x:v>
      </x:c>
      <x:c r="G1427" s="20" t="str">
        <x:v>Manual field-by-field</x:v>
      </x:c>
      <x:c r="H1427" s="35" t="str">
        <x:v>Fill, save, reload, edit, and validate every declared field on /vendors</x:v>
      </x:c>
      <x:c r="I1427" s="35" t="str">
        <x:v>FLD-0763; FLD-0764; FLD-0765; FLD-0766</x:v>
      </x:c>
      <x:c r="J1427" s="35" t="str"/>
      <x:c r="K1427" s="35" t="str"/>
      <x:c r="L1427" s="35" t="str">
        <x:v>Use the source-derived Field Inventory. Enter non-default realistic values in every control (vendor-email-input; vendor-phone-input; vendor-website-input; vendor-city-input); submit; reload or relaunch; compare every value; edit each mutable field; verify the paired client; then run required, format, length, range, boundary, optional-null, and stale-submit checks.</x:v>
      </x:c>
      <x:c r="M1427" s="35" t="str">
        <x:v>All 4 inventoried controls persist exact normalized values, invalid values stay unsaved with clear errors, and hidden/unauthorized fields cannot be altered.</x:v>
      </x:c>
      <x:c r="N1427" s="35" t="str">
        <x:v>Before/after form screenshots; FLD IDs; API response; reloaded UI; paired-client read-back; database/audit evidence; negative validation result.</x:v>
      </x:c>
      <x:c r="O1427" s="35" t="str">
        <x:v>Use a duplicate submit and one simulated network interruption; one atomic mutation or none, never partial state.</x:v>
      </x:c>
      <x:c r="P1427" s="35" t="str">
        <x:v>All expected records and amounts match; no unexplained error or stale state.</x:v>
      </x:c>
    </x:row>
    <x:row r="1428">
      <x:c r="A1428" s="20" t="str">
        <x:v>RUN-20270917-03</x:v>
      </x:c>
      <x:c r="B1428" s="23" t="n">
        <x:v>46647</x:v>
      </x:c>
      <x:c r="C1428" s="32" t="n">
        <x:v>3</x:v>
      </x:c>
      <x:c r="D1428" s="20" t="str">
        <x:v>Surface coverage</x:v>
      </x:c>
      <x:c r="E1428" s="20" t="str">
        <x:v>Role appropriate to surface</x:v>
      </x:c>
      <x:c r="F1428" s="20" t="str">
        <x:v>Mobile</x:v>
      </x:c>
      <x:c r="G1428" s="20" t="str">
        <x:v>Manual</x:v>
      </x:c>
      <x:c r="H1428" s="35" t="str">
        <x:v>Manual mobile pass: Eviction case and durable events</x:v>
      </x:c>
      <x:c r="I1428" s="35" t="str">
        <x:v>COV-033</x:v>
      </x:c>
      <x:c r="J1428" s="35" t="str"/>
      <x:c r="K1428" s="35" t="str"/>
      <x:c r="L1428" s="35" t="str">
        <x:v>Open case, add respondent/event, advance status, preserve source, and prove legal state does not mutate occupancy.</x:v>
      </x:c>
      <x:c r="M1428" s="35" t="str">
        <x:v>The supported workflow completes and persists correctly; if the capability is absent, the exact gap is proven and queued rather than silently skipped.</x:v>
      </x:c>
      <x:c r="N1428" s="35" t="str">
        <x:v>Real UI screenshot/state; submitted values; persisted read-back; cross-client read-back; audit/role/access evidence.</x:v>
      </x:c>
      <x:c r="O1428" s="35" t="str">
        <x:v>Use one invalid value, stale-state retry, or duplicate submission relevant to the form; no partial or duplicate mutation.</x:v>
      </x:c>
      <x:c r="P1428" s="35" t="str">
        <x:v>All expected records and amounts match; no unexplained error or stale state.</x:v>
      </x:c>
    </x:row>
    <x:row r="1429">
      <x:c r="A1429" s="20" t="str">
        <x:v>RUN-20270918-01</x:v>
      </x:c>
      <x:c r="B1429" s="23" t="n">
        <x:v>46648</x:v>
      </x:c>
      <x:c r="C1429" s="32" t="n">
        <x:v>1</x:v>
      </x:c>
      <x:c r="D1429" s="20" t="str">
        <x:v>Weekly operations</x:v>
      </x:c>
      <x:c r="E1429" s="20" t="str">
        <x:v>Property Manager</x:v>
      </x:c>
      <x:c r="F1429" s="20" t="str">
        <x:v>Mobile</x:v>
      </x:c>
      <x:c r="G1429" s="20" t="str">
        <x:v>Scanned receipt/invoice</x:v>
      </x:c>
      <x:c r="H1429" s="35" t="str">
        <x:v>Record, review, allocate, and pay operating expense</x:v>
      </x:c>
      <x:c r="I1429" s="35" t="str">
        <x:v>P009; Property scope; </x:v>
      </x:c>
      <x:c r="J1429" s="35" t="str">
        <x:v>SCN-0824</x:v>
      </x:c>
      <x:c r="K1429" s="35" t="str">
        <x:v>FIN-01540</x:v>
      </x:c>
      <x:c r="L1429" s="35" t="str">
        <x:v>Capture or upload the source; verify vendor, date, scope, category, line items, tax, amount, and work-order link; confirm; open detail; verify attachment; compare Money and Property/Unit views.</x:v>
      </x:c>
      <x:c r="M1429" s="35" t="str">
        <x:v>One expense exists at its real operational scope, cash falls once, Schedule E category and allocations agree, and no per-unit copies are created.</x:v>
      </x:c>
      <x:c r="N1429" s="35" t="str">
        <x:v>Source preview; review/form; expense detail; line items; Property/Unit ledger; audit; accounting/report delta.</x:v>
      </x:c>
      <x:c r="O1429" s="35" t="str">
        <x:v>On marked duplicate-invoice cases, re-upload before confirm and prove the product prevents or clearly warns about duplication.</x:v>
      </x:c>
      <x:c r="P1429" s="35" t="str">
        <x:v>All expected records and amounts match; no unexplained error or stale state.</x:v>
      </x:c>
    </x:row>
    <x:row r="1430">
      <x:c r="A1430" s="20" t="str">
        <x:v>RUN-20270918-02</x:v>
      </x:c>
      <x:c r="B1430" s="23" t="n">
        <x:v>46648</x:v>
      </x:c>
      <x:c r="C1430" s="32" t="n">
        <x:v>2</x:v>
      </x:c>
      <x:c r="D1430" s="20" t="str">
        <x:v>Weekly operations</x:v>
      </x:c>
      <x:c r="E1430" s="20" t="str">
        <x:v>Property Manager</x:v>
      </x:c>
      <x:c r="F1430" s="20" t="str">
        <x:v>Mobile</x:v>
      </x:c>
      <x:c r="G1430" s="20" t="str">
        <x:v>Scanned receipt/invoice</x:v>
      </x:c>
      <x:c r="H1430" s="35" t="str">
        <x:v>Record, review, allocate, and pay operating expense</x:v>
      </x:c>
      <x:c r="I1430" s="35" t="str">
        <x:v>P021; Property scope; </x:v>
      </x:c>
      <x:c r="J1430" s="35" t="str">
        <x:v>SCN-0869</x:v>
      </x:c>
      <x:c r="K1430" s="35" t="str">
        <x:v>FIN-01600</x:v>
      </x:c>
      <x:c r="L1430" s="35" t="str">
        <x:v>Capture or upload the source; verify vendor, date, scope, category, line items, tax, amount, and work-order link; confirm; open detail; verify attachment; compare Money and Property/Unit views.</x:v>
      </x:c>
      <x:c r="M1430" s="35" t="str">
        <x:v>One expense exists at its real operational scope, cash falls once, Schedule E category and allocations agree, and no per-unit copies are created.</x:v>
      </x:c>
      <x:c r="N1430" s="35" t="str">
        <x:v>Source preview; review/form; expense detail; line items; Property/Unit ledger; audit; accounting/report delta.</x:v>
      </x:c>
      <x:c r="O1430" s="35" t="str">
        <x:v>On marked duplicate-invoice cases, re-upload before confirm and prove the product prevents or clearly warns about duplication.</x:v>
      </x:c>
      <x:c r="P1430" s="35" t="str">
        <x:v>All expected records and amounts match; no unexplained error or stale state.</x:v>
      </x:c>
    </x:row>
    <x:row r="1431">
      <x:c r="A1431" s="20" t="str">
        <x:v>RUN-20270920-01</x:v>
      </x:c>
      <x:c r="B1431" s="23" t="n">
        <x:v>46650</x:v>
      </x:c>
      <x:c r="C1431" s="32" t="n">
        <x:v>1</x:v>
      </x:c>
      <x:c r="D1431" s="20" t="str">
        <x:v>Weekly operations</x:v>
      </x:c>
      <x:c r="E1431" s="20" t="str">
        <x:v>Property Manager</x:v>
      </x:c>
      <x:c r="F1431" s="20" t="str">
        <x:v>Web</x:v>
      </x:c>
      <x:c r="G1431" s="20" t="str">
        <x:v>Scan-first</x:v>
      </x:c>
      <x:c r="H1431" s="35" t="str">
        <x:v>Create and triage maintenance request</x:v>
      </x:c>
      <x:c r="I1431" s="35" t="str">
        <x:v>P024; U027; WO-2027-038</x:v>
      </x:c>
      <x:c r="J1431" s="35" t="str">
        <x:v>SCN-0414</x:v>
      </x:c>
      <x:c r="K1431" s="35" t="str"/>
      <x:c r="L1431" s="35" t="str">
        <x:v>Capture the tenant note/photo; review turnover touch-up; confirm; set responsibility; dispatch SafeHome Locksmith; create an appointment and verify the tenant notification.</x:v>
      </x:c>
      <x:c r="M1431" s="35" t="str">
        <x:v>Work order, status timeline, responsibility, vendor dispatch, appointment, notification, and Unit context are linked once.</x:v>
      </x:c>
      <x:c r="N1431" s="35" t="str">
        <x:v>Scan review; work order detail/timeline; dispatch; appointment; notification; tenant portal view.</x:v>
      </x:c>
      <x:c r="O1431" s="35" t="str">
        <x:v>Cancel one dispatch each quarter, reassign once, and prove status/history remains append-only.</x:v>
      </x:c>
      <x:c r="P1431" s="35" t="str">
        <x:v>All expected records and amounts match; no unexplained error or stale state.</x:v>
      </x:c>
    </x:row>
    <x:row r="1432">
      <x:c r="A1432" s="20" t="str">
        <x:v>RUN-20270920-02</x:v>
      </x:c>
      <x:c r="B1432" s="23" t="n">
        <x:v>46650</x:v>
      </x:c>
      <x:c r="C1432" s="32" t="n">
        <x:v>2</x:v>
      </x:c>
      <x:c r="D1432" s="20" t="str">
        <x:v>Monthly close</x:v>
      </x:c>
      <x:c r="E1432" s="20" t="str">
        <x:v>Workspace Administrator</x:v>
      </x:c>
      <x:c r="F1432" s="20" t="str">
        <x:v>Web + Mobile</x:v>
      </x:c>
      <x:c r="G1432" s="20" t="str">
        <x:v>Recurring automation + statement match</x:v>
      </x:c>
      <x:c r="H1432" s="35" t="str">
        <x:v>September loan payments</x:v>
      </x:c>
      <x:c r="I1432" s="35" t="str">
        <x:v>LN001; LN002; LN004; LN005; LN007; LN008; LN010; LN011; LN013; LN014; LN016; LN017; LN019; LN020; LN022; LN023; LN025; LN026; LN028; LN029</x:v>
      </x:c>
      <x:c r="J1432" s="35" t="str">
        <x:v>SCN-0681; SCN-0682; SCN-0683; SCN-0684; SCN-0685; SCN-0686; SCN-0687; SCN-0688; SCN-0689; SCN-0690; SCN-0691; SCN-0692; SCN-0693; SCN-0694; SCN-0695; SCN-0696; SCN-0697; SCN-0698; SCN-0699; SCN-0700</x:v>
      </x:c>
      <x:c r="K1432" s="35" t="str">
        <x:v>FIN-01368; FIN-01369; FIN-01370; FIN-01371; FIN-01372; FIN-01373; FIN-01374; FIN-01375; FIN-01376; FIN-01377; FIN-01378; FIN-01379; FIN-01380; FIN-01381; FIN-01382; FIN-01383; FIN-01384; FIN-01385; FIN-01386; FIN-01387</x:v>
      </x:c>
      <x:c r="L1432" s="35" t="str">
        <x:v>Verify the recurring loan payments; attach/match each statement; compare principal, interest, cash, loan balance, amortization, Property Money view, and Schedule E interest.</x:v>
      </x:c>
      <x:c r="M1432" s="35" t="str">
        <x:v>Every payment splits principal and interest once; principal reduces liability, interest is expense, and statement balance matches.</x:v>
      </x:c>
      <x:c r="N1432" s="35" t="str">
        <x:v>Loan detail samples on both clients; statement attachment; amortization; Property and year-end reports.</x:v>
      </x:c>
      <x:c r="O1432" s="35" t="str">
        <x:v>Attempt a duplicate recurrence run; no second payment or balance movement.</x:v>
      </x:c>
      <x:c r="P1432" s="35" t="str">
        <x:v>All expected records and amounts match; no unexplained error or stale state.</x:v>
      </x:c>
    </x:row>
    <x:row r="1433">
      <x:c r="A1433" s="20" t="str">
        <x:v>RUN-20270920-03</x:v>
      </x:c>
      <x:c r="B1433" s="23" t="n">
        <x:v>46650</x:v>
      </x:c>
      <x:c r="C1433" s="32" t="n">
        <x:v>3</x:v>
      </x:c>
      <x:c r="D1433" s="20" t="str">
        <x:v>Role and screen certification</x:v>
      </x:c>
      <x:c r="E1433" s="20" t="str">
        <x:v>Applicant / public user</x:v>
      </x:c>
      <x:c r="F1433" s="20" t="str">
        <x:v>Mobile</x:v>
      </x:c>
      <x:c r="G1433" s="20" t="str">
        <x:v>Normal persona navigation</x:v>
      </x:c>
      <x:c r="H1433" s="35" t="str">
        <x:v>Use every permitted action and state on features/money/expense_form_sheet.dart</x:v>
      </x:c>
      <x:c r="I1433" s="35" t="str">
        <x:v>SCR-141; ROLE-244</x:v>
      </x:c>
      <x:c r="J1433" s="35" t="str"/>
      <x:c r="K1433" s="35" t="str"/>
      <x:c r="L143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33" s="35" t="str">
        <x:v>The persona can use every allowed action with only its assigned properties/relationships. Hidden or disabled actions explain why; an adjacent unauthorized persona is denied without metadata leakage.</x:v>
      </x:c>
      <x:c r="N1433" s="35" t="str">
        <x:v>Persona/experience; navigation entry; desktop or device screenshots; result state; persisted read-back; audit/history; authorized and denied network result.</x:v>
      </x:c>
      <x:c r="O1433" s="35" t="str">
        <x:v>Open the direct URL or deep link with an adjacent unauthorized persona and with stale scope; both fail closed and land safely without mutation.</x:v>
      </x:c>
      <x:c r="P1433" s="35" t="str">
        <x:v>All expected records and amounts match; no unexplained error or stale state.</x:v>
      </x:c>
    </x:row>
    <x:row r="1434">
      <x:c r="A1434" s="20" t="str">
        <x:v>RUN-20270920-04</x:v>
      </x:c>
      <x:c r="B1434" s="23" t="n">
        <x:v>46650</x:v>
      </x:c>
      <x:c r="C1434" s="32" t="n">
        <x:v>4</x:v>
      </x:c>
      <x:c r="D1434" s="20" t="str">
        <x:v>Field certification</x:v>
      </x:c>
      <x:c r="E1434" s="20" t="str">
        <x:v>Property Manager</x:v>
      </x:c>
      <x:c r="F1434" s="20" t="str">
        <x:v>Web</x:v>
      </x:c>
      <x:c r="G1434" s="20" t="str">
        <x:v>Manual field-by-field</x:v>
      </x:c>
      <x:c r="H1434" s="35" t="str">
        <x:v>Fill, save, reload, edit, and validate every declared field on /vendors</x:v>
      </x:c>
      <x:c r="I1434" s="35" t="str">
        <x:v>FLD-0767; FLD-0768; FLD-0769; FLD-0770</x:v>
      </x:c>
      <x:c r="J1434" s="35" t="str"/>
      <x:c r="K1434" s="35" t="str"/>
      <x:c r="L1434" s="35" t="str">
        <x:v>Use the source-derived Field Inventory. Enter non-default realistic values in every control (vendor-zip-input; vendor-1099-input; vendor-w9-input; vendor-preferred-input); submit; reload or relaunch; compare every value; edit each mutable field; verify the paired client; then run required, format, length, range, boundary, optional-null, and stale-submit checks.</x:v>
      </x:c>
      <x:c r="M1434" s="35" t="str">
        <x:v>All 4 inventoried controls persist exact normalized values, invalid values stay unsaved with clear errors, and hidden/unauthorized fields cannot be altered.</x:v>
      </x:c>
      <x:c r="N1434" s="35" t="str">
        <x:v>Before/after form screenshots; FLD IDs; API response; reloaded UI; paired-client read-back; database/audit evidence; negative validation result.</x:v>
      </x:c>
      <x:c r="O1434" s="35" t="str">
        <x:v>Use a duplicate submit and one simulated network interruption; one atomic mutation or none, never partial state.</x:v>
      </x:c>
      <x:c r="P1434" s="35" t="str">
        <x:v>All expected records and amounts match; no unexplained error or stale state.</x:v>
      </x:c>
    </x:row>
    <x:row r="1435">
      <x:c r="A1435" s="20" t="str">
        <x:v>RUN-20270920-05</x:v>
      </x:c>
      <x:c r="B1435" s="23" t="n">
        <x:v>46650</x:v>
      </x:c>
      <x:c r="C1435" s="32" t="n">
        <x:v>5</x:v>
      </x:c>
      <x:c r="D1435" s="20" t="str">
        <x:v>Field certification</x:v>
      </x:c>
      <x:c r="E1435" s="20" t="str">
        <x:v>Property Manager</x:v>
      </x:c>
      <x:c r="F1435" s="20" t="str">
        <x:v>Web</x:v>
      </x:c>
      <x:c r="G1435" s="20" t="str">
        <x:v>Manual field-by-field</x:v>
      </x:c>
      <x:c r="H1435" s="35" t="str">
        <x:v>Fill, save, reload, edit, and validate every declared field on /vendors/[id]</x:v>
      </x:c>
      <x:c r="I1435" s="35" t="str">
        <x:v>FLD-0771</x:v>
      </x:c>
      <x:c r="J1435" s="35" t="str"/>
      <x:c r="K1435" s="35" t="str"/>
      <x:c r="L1435" s="35" t="str">
        <x:v>Use the source-derived Field Inventory. Enter non-default realistic values in every control (vendor-rate-comment); submit; reload or relaunch; compare every value; edit each mutable field; verify the paired client; then run required, format, length, range, boundary, optional-null, and stale-submit checks.</x:v>
      </x:c>
      <x:c r="M1435" s="35" t="str">
        <x:v>All 1 inventoried controls persist exact normalized values, invalid values stay unsaved with clear errors, and hidden/unauthorized fields cannot be altered.</x:v>
      </x:c>
      <x:c r="N1435" s="35" t="str">
        <x:v>Before/after form screenshots; FLD IDs; API response; reloaded UI; paired-client read-back; database/audit evidence; negative validation result.</x:v>
      </x:c>
      <x:c r="O1435" s="35" t="str">
        <x:v>Use a duplicate submit and one simulated network interruption; one atomic mutation or none, never partial state.</x:v>
      </x:c>
      <x:c r="P1435" s="35" t="str">
        <x:v>All expected records and amounts match; no unexplained error or stale state.</x:v>
      </x:c>
    </x:row>
    <x:row r="1436">
      <x:c r="A1436" s="20" t="str">
        <x:v>RUN-20270920-06</x:v>
      </x:c>
      <x:c r="B1436" s="23" t="n">
        <x:v>46650</x:v>
      </x:c>
      <x:c r="C1436" s="32" t="n">
        <x:v>6</x:v>
      </x:c>
      <x:c r="D1436" s="20" t="str">
        <x:v>Surface coverage</x:v>
      </x:c>
      <x:c r="E1436" s="20" t="str">
        <x:v>Role appropriate to surface</x:v>
      </x:c>
      <x:c r="F1436" s="20" t="str">
        <x:v>Web</x:v>
      </x:c>
      <x:c r="G1436" s="20" t="str">
        <x:v>Scan/attachment</x:v>
      </x:c>
      <x:c r="H1436" s="35" t="str">
        <x:v>Scan web pass: Eviction case and durable events</x:v>
      </x:c>
      <x:c r="I1436" s="35" t="str">
        <x:v>COV-033</x:v>
      </x:c>
      <x:c r="J1436" s="35" t="str"/>
      <x:c r="K1436" s="35" t="str"/>
      <x:c r="L1436" s="35" t="str">
        <x:v>Open case, add respondent/event, advance status, preserve source, and prove legal state does not mutate occupancy.</x:v>
      </x:c>
      <x:c r="M1436" s="35" t="str">
        <x:v>The supported workflow completes and persists correctly; if the capability is absent, the exact gap is proven and queued rather than silently skipped.</x:v>
      </x:c>
      <x:c r="N1436" s="35" t="str">
        <x:v>Real UI screenshot/state; submitted values; persisted read-back; cross-client read-back; audit/role/access evidence.</x:v>
      </x:c>
      <x:c r="O1436" s="35" t="str">
        <x:v>Use one invalid value, stale-state retry, or duplicate submission relevant to the form; no partial or duplicate mutation.</x:v>
      </x:c>
      <x:c r="P1436" s="35" t="str">
        <x:v>All expected records and amounts match; no unexplained error or stale state.</x:v>
      </x:c>
    </x:row>
    <x:row r="1437">
      <x:c r="A1437" s="20" t="str">
        <x:v>RUN-20270921-01</x:v>
      </x:c>
      <x:c r="B1437" s="23" t="n">
        <x:v>46651</x:v>
      </x:c>
      <x:c r="C1437" s="32" t="n">
        <x:v>1</x:v>
      </x:c>
      <x:c r="D1437" s="20" t="str">
        <x:v>Weekly operations</x:v>
      </x:c>
      <x:c r="E1437" s="20" t="str">
        <x:v>Property Manager</x:v>
      </x:c>
      <x:c r="F1437" s="20" t="str">
        <x:v>Web</x:v>
      </x:c>
      <x:c r="G1437" s="20" t="str">
        <x:v>Scanned receipt/invoice</x:v>
      </x:c>
      <x:c r="H1437" s="35" t="str">
        <x:v>Record, review, allocate, and pay operating expense</x:v>
      </x:c>
      <x:c r="I1437" s="35" t="str">
        <x:v>P024; U027; WO-2027-038</x:v>
      </x:c>
      <x:c r="J1437" s="35" t="str">
        <x:v>SCN-0415</x:v>
      </x:c>
      <x:c r="K1437" s="35" t="str">
        <x:v>FIN-01061</x:v>
      </x:c>
      <x:c r="L1437" s="35" t="str">
        <x:v>Capture or upload the source; verify vendor, date, scope, category, line items, tax, amount, and work-order link; confirm; open detail; verify attachment; compare Money and Property/Unit views.</x:v>
      </x:c>
      <x:c r="M1437" s="35" t="str">
        <x:v>One expense exists at its real operational scope, cash falls once, Schedule E category and allocations agree, and no per-unit copies are created.</x:v>
      </x:c>
      <x:c r="N1437" s="35" t="str">
        <x:v>Source preview; review/form; expense detail; line items; Property/Unit ledger; audit; accounting/report delta.</x:v>
      </x:c>
      <x:c r="O1437" s="35" t="str">
        <x:v>On marked duplicate-invoice cases, re-upload before confirm and prove the product prevents or clearly warns about duplication.</x:v>
      </x:c>
      <x:c r="P1437" s="35" t="str">
        <x:v>All expected records and amounts match; no unexplained error or stale state.</x:v>
      </x:c>
    </x:row>
    <x:row r="1438">
      <x:c r="A1438" s="20" t="str">
        <x:v>RUN-20270921-02</x:v>
      </x:c>
      <x:c r="B1438" s="23" t="n">
        <x:v>46651</x:v>
      </x:c>
      <x:c r="C1438" s="32" t="n">
        <x:v>2</x:v>
      </x:c>
      <x:c r="D1438" s="20" t="str">
        <x:v>Field certification</x:v>
      </x:c>
      <x:c r="E1438" s="20" t="str">
        <x:v>Property Manager</x:v>
      </x:c>
      <x:c r="F1438" s="20" t="str">
        <x:v>Web</x:v>
      </x:c>
      <x:c r="G1438" s="20" t="str">
        <x:v>Manual field-by-field</x:v>
      </x:c>
      <x:c r="H1438" s="35" t="str">
        <x:v>Fill, save, reload, edit, and validate every declared field on /vendors/[id]</x:v>
      </x:c>
      <x:c r="I1438" s="35" t="str">
        <x:v>FLD-0772; FLD-0773</x:v>
      </x:c>
      <x:c r="J1438" s="35" t="str"/>
      <x:c r="K1438" s="35" t="str"/>
      <x:c r="L1438" s="35" t="str">
        <x:v>Use the source-derived Field Inventory. Enter non-default realistic values in every control (vendor-tax-1099-input; vendor-tax-id); submit; reload or relaunch; compare every value; edit each mutable field; verify the paired client; then run required, format, length, range, boundary, optional-null, and stale-submit checks.</x:v>
      </x:c>
      <x:c r="M1438" s="35" t="str">
        <x:v>All 2 inventoried controls persist exact normalized values, invalid values stay unsaved with clear errors, and hidden/unauthorized fields cannot be altered.</x:v>
      </x:c>
      <x:c r="N1438" s="35" t="str">
        <x:v>Before/after form screenshots; FLD IDs; API response; reloaded UI; paired-client read-back; database/audit evidence; negative validation result.</x:v>
      </x:c>
      <x:c r="O1438" s="35" t="str">
        <x:v>Use a duplicate submit and one simulated network interruption; one atomic mutation or none, never partial state.</x:v>
      </x:c>
      <x:c r="P1438" s="35" t="str">
        <x:v>All expected records and amounts match; no unexplained error or stale state.</x:v>
      </x:c>
    </x:row>
    <x:row r="1439">
      <x:c r="A1439" s="20" t="str">
        <x:v>RUN-20270921-03</x:v>
      </x:c>
      <x:c r="B1439" s="23" t="n">
        <x:v>46651</x:v>
      </x:c>
      <x:c r="C1439" s="32" t="n">
        <x:v>3</x:v>
      </x:c>
      <x:c r="D1439" s="20" t="str">
        <x:v>Field certification</x:v>
      </x:c>
      <x:c r="E1439" s="20" t="str">
        <x:v>Applicant / public user</x:v>
      </x:c>
      <x:c r="F1439" s="20" t="str">
        <x:v>Web</x:v>
      </x:c>
      <x:c r="G1439" s="20" t="str">
        <x:v>Manual field-by-field</x:v>
      </x:c>
      <x:c r="H1439" s="35" t="str">
        <x:v>Fill, save, reload, edit, and validate every declared field on /docs</x:v>
      </x:c>
      <x:c r="I1439" s="35" t="str">
        <x:v>FLD-0774</x:v>
      </x:c>
      <x:c r="J1439" s="35" t="str"/>
      <x:c r="K1439" s="35" t="str"/>
      <x:c r="L1439" s="35" t="str">
        <x:v>Use the source-derived Field Inventory. Enter non-default realistic values in every control (docs-search); submit; reload or relaunch; compare every value; edit each mutable field; verify the paired client; then run required, format, length, range, boundary, optional-null, and stale-submit checks.</x:v>
      </x:c>
      <x:c r="M1439" s="35" t="str">
        <x:v>All 1 inventoried controls persist exact normalized values, invalid values stay unsaved with clear errors, and hidden/unauthorized fields cannot be altered.</x:v>
      </x:c>
      <x:c r="N1439" s="35" t="str">
        <x:v>Before/after form screenshots; FLD IDs; API response; reloaded UI; paired-client read-back; database/audit evidence; negative validation result.</x:v>
      </x:c>
      <x:c r="O1439" s="35" t="str">
        <x:v>Use a duplicate submit and one simulated network interruption; one atomic mutation or none, never partial state.</x:v>
      </x:c>
      <x:c r="P1439" s="35" t="str">
        <x:v>All expected records and amounts match; no unexplained error or stale state.</x:v>
      </x:c>
    </x:row>
    <x:row r="1440">
      <x:c r="A1440" s="20" t="str">
        <x:v>RUN-20270921-04</x:v>
      </x:c>
      <x:c r="B1440" s="23" t="n">
        <x:v>46651</x:v>
      </x:c>
      <x:c r="C1440" s="32" t="n">
        <x:v>4</x:v>
      </x:c>
      <x:c r="D1440" s="20" t="str">
        <x:v>Field certification</x:v>
      </x:c>
      <x:c r="E1440" s="20" t="str">
        <x:v>Applicant / public user</x:v>
      </x:c>
      <x:c r="F1440" s="20" t="str">
        <x:v>Web</x:v>
      </x:c>
      <x:c r="G1440" s="20" t="str">
        <x:v>Manual field-by-field</x:v>
      </x:c>
      <x:c r="H1440" s="35" t="str">
        <x:v>Fill, save, reload, edit, and validate every declared field on /sign/[token]</x:v>
      </x:c>
      <x:c r="I1440" s="35" t="str">
        <x:v>FLD-0775</x:v>
      </x:c>
      <x:c r="J1440" s="35" t="str"/>
      <x:c r="K1440" s="35" t="str"/>
      <x:c r="L1440" s="35" t="str">
        <x:v>Use the source-derived Field Inventory. Enter non-default realistic values in every control (sign-consent); submit; reload or relaunch; compare every value; edit each mutable field; verify the paired client; then run required, format, length, range, boundary, optional-null, and stale-submit checks.</x:v>
      </x:c>
      <x:c r="M1440" s="35" t="str">
        <x:v>All 1 inventoried controls persist exact normalized values, invalid values stay unsaved with clear errors, and hidden/unauthorized fields cannot be altered.</x:v>
      </x:c>
      <x:c r="N1440" s="35" t="str">
        <x:v>Before/after form screenshots; FLD IDs; API response; reloaded UI; paired-client read-back; database/audit evidence; negative validation result.</x:v>
      </x:c>
      <x:c r="O1440" s="35" t="str">
        <x:v>Use a duplicate submit and one simulated network interruption; one atomic mutation or none, never partial state.</x:v>
      </x:c>
      <x:c r="P1440" s="35" t="str">
        <x:v>All expected records and amounts match; no unexplained error or stale state.</x:v>
      </x:c>
    </x:row>
    <x:row r="1441">
      <x:c r="A1441" s="20" t="str">
        <x:v>RUN-20270922-01</x:v>
      </x:c>
      <x:c r="B1441" s="23" t="n">
        <x:v>46652</x:v>
      </x:c>
      <x:c r="C1441" s="32" t="n">
        <x:v>1</x:v>
      </x:c>
      <x:c r="D1441" s="20" t="str">
        <x:v>Role and screen certification</x:v>
      </x:c>
      <x:c r="E1441" s="20" t="str">
        <x:v>Applicant / public user</x:v>
      </x:c>
      <x:c r="F1441" s="20" t="str">
        <x:v>Mobile</x:v>
      </x:c>
      <x:c r="G1441" s="20" t="str">
        <x:v>Normal persona navigation</x:v>
      </x:c>
      <x:c r="H1441" s="35" t="str">
        <x:v>Use every permitted action and state on features/money/expenses_list_screen.dart</x:v>
      </x:c>
      <x:c r="I1441" s="35" t="str">
        <x:v>SCR-142; ROLE-245</x:v>
      </x:c>
      <x:c r="J1441" s="35" t="str"/>
      <x:c r="K1441" s="35" t="str"/>
      <x:c r="L144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41" s="35" t="str">
        <x:v>The persona can use every allowed action with only its assigned properties/relationships. Hidden or disabled actions explain why; an adjacent unauthorized persona is denied without metadata leakage.</x:v>
      </x:c>
      <x:c r="N1441" s="35" t="str">
        <x:v>Persona/experience; navigation entry; desktop or device screenshots; result state; persisted read-back; audit/history; authorized and denied network result.</x:v>
      </x:c>
      <x:c r="O1441" s="35" t="str">
        <x:v>Open the direct URL or deep link with an adjacent unauthorized persona and with stale scope; both fail closed and land safely without mutation.</x:v>
      </x:c>
      <x:c r="P1441" s="35" t="str">
        <x:v>All expected records and amounts match; no unexplained error or stale state.</x:v>
      </x:c>
    </x:row>
    <x:row r="1442">
      <x:c r="A1442" s="20" t="str">
        <x:v>RUN-20270922-02</x:v>
      </x:c>
      <x:c r="B1442" s="23" t="n">
        <x:v>46652</x:v>
      </x:c>
      <x:c r="C1442" s="32" t="n">
        <x:v>2</x:v>
      </x:c>
      <x:c r="D1442" s="20" t="str">
        <x:v>Field certification</x:v>
      </x:c>
      <x:c r="E1442" s="20" t="str">
        <x:v>Applicant / public user</x:v>
      </x:c>
      <x:c r="F1442" s="20" t="str">
        <x:v>Web</x:v>
      </x:c>
      <x:c r="G1442" s="20" t="str">
        <x:v>Manual field-by-field</x:v>
      </x:c>
      <x:c r="H1442" s="35" t="str">
        <x:v>Fill, save, reload, edit, and validate every declared field on /sign/[token]</x:v>
      </x:c>
      <x:c r="I1442" s="35" t="str">
        <x:v>FLD-0776; FLD-0777</x:v>
      </x:c>
      <x:c r="J1442" s="35" t="str"/>
      <x:c r="K1442" s="35" t="str"/>
      <x:c r="L1442" s="35" t="str">
        <x:v>Use the source-derived Field Inventory. Enter non-default realistic values in every control (sign-typed-input; sign-decline-reason); submit; reload or relaunch; compare every value; edit each mutable field; verify the paired client; then run required, format, length, range, boundary, optional-null, and stale-submit checks.</x:v>
      </x:c>
      <x:c r="M1442" s="35" t="str">
        <x:v>All 2 inventoried controls persist exact normalized values, invalid values stay unsaved with clear errors, and hidden/unauthorized fields cannot be altered.</x:v>
      </x:c>
      <x:c r="N1442" s="35" t="str">
        <x:v>Before/after form screenshots; FLD IDs; API response; reloaded UI; paired-client read-back; database/audit evidence; negative validation result.</x:v>
      </x:c>
      <x:c r="O1442" s="35" t="str">
        <x:v>Use a duplicate submit and one simulated network interruption; one atomic mutation or none, never partial state.</x:v>
      </x:c>
      <x:c r="P1442" s="35" t="str">
        <x:v>All expected records and amounts match; no unexplained error or stale state.</x:v>
      </x:c>
    </x:row>
    <x:row r="1443">
      <x:c r="A1443" s="20" t="str">
        <x:v>RUN-20270922-03</x:v>
      </x:c>
      <x:c r="B1443" s="23" t="n">
        <x:v>46652</x:v>
      </x:c>
      <x:c r="C1443" s="32" t="n">
        <x:v>3</x:v>
      </x:c>
      <x:c r="D1443" s="20" t="str">
        <x:v>Field certification</x:v>
      </x:c>
      <x:c r="E1443" s="20" t="str">
        <x:v>Property Manager</x:v>
      </x:c>
      <x:c r="F1443" s="20" t="str">
        <x:v>Web</x:v>
      </x:c>
      <x:c r="G1443" s="20" t="str">
        <x:v>Manual field-by-field</x:v>
      </x:c>
      <x:c r="H1443" s="35" t="str">
        <x:v>Fill, save, reload, edit, and validate every declared field on /activate-team</x:v>
      </x:c>
      <x:c r="I1443" s="35" t="str">
        <x:v>FLD-0778; FLD-0779; FLD-0780</x:v>
      </x:c>
      <x:c r="J1443" s="35" t="str"/>
      <x:c r="K1443" s="35" t="str"/>
      <x:c r="L1443" s="35" t="str">
        <x:v>Use the source-derived Field Inventory. Enter non-default realistic values in every control (token; password; confirmPassword); submit; reload or relaunch; compare every value; edit each mutable field; verify the paired client; then run required, format, length, range, boundary, optional-null, and stale-submit checks.</x:v>
      </x:c>
      <x:c r="M1443" s="35" t="str">
        <x:v>All 3 inventoried controls persist exact normalized values, invalid values stay unsaved with clear errors, and hidden/unauthorized fields cannot be altered.</x:v>
      </x:c>
      <x:c r="N1443" s="35" t="str">
        <x:v>Before/after form screenshots; FLD IDs; API response; reloaded UI; paired-client read-back; database/audit evidence; negative validation result.</x:v>
      </x:c>
      <x:c r="O1443" s="35" t="str">
        <x:v>Use a duplicate submit and one simulated network interruption; one atomic mutation or none, never partial state.</x:v>
      </x:c>
      <x:c r="P1443" s="35" t="str">
        <x:v>All expected records and amounts match; no unexplained error or stale state.</x:v>
      </x:c>
    </x:row>
    <x:row r="1444">
      <x:c r="A1444" s="20" t="str">
        <x:v>RUN-20270922-04</x:v>
      </x:c>
      <x:c r="B1444" s="23" t="n">
        <x:v>46652</x:v>
      </x:c>
      <x:c r="C1444" s="32" t="n">
        <x:v>4</x:v>
      </x:c>
      <x:c r="D1444" s="20" t="str">
        <x:v>Lifecycle certification</x:v>
      </x:c>
      <x:c r="E1444" s="20" t="str">
        <x:v>Leasing Agent</x:v>
      </x:c>
      <x:c r="F1444" s="20" t="str">
        <x:v>Web + Mobile</x:v>
      </x:c>
      <x:c r="G1444" s="20" t="str">
        <x:v>Manual + scan/attachment where supported</x:v>
      </x:c>
      <x:c r="H1444" s="35" t="str">
        <x:v>Complete the full create/read/edit/lifecycle/delete-safe pass for Appointment</x:v>
      </x:c>
      <x:c r="I1444" s="35" t="str">
        <x:v>CRUD-025</x:v>
      </x:c>
      <x:c r="J1444" s="35" t="str"/>
      <x:c r="K1444" s="35" t="str"/>
      <x:c r="L1444" s="35" t="str">
        <x:v>Use a dedicated disposable QA record and execute: create; edit; invite; remind; confirm; reschedule; cancel; no-show; timezone. Fill every field referenced by field-inventory.csv. Verify confirmation copy, cancel path, final path, reload, other-client state, history, and role denial.</x:v>
      </x:c>
      <x:c r="M1444" s="35" t="str">
        <x:v>Every supported transition succeeds exactly once; forbidden destructive actions are guarded; reversible deletion/deactivation works; financial and historical truth is preserved.</x:v>
      </x:c>
      <x:c r="N1444" s="35" t="str">
        <x:v>Entity before/after; both clients; all FLD IDs; audit/history; notifications; authorized and unauthorized personas; API/DB state.</x:v>
      </x:c>
      <x:c r="O1444" s="35" t="str">
        <x:v>Cancel the first destructive confirmation, then repeat and confirm; retry the mutation once; no double transition or orphan.</x:v>
      </x:c>
      <x:c r="P1444" s="35" t="str">
        <x:v>All expected records and amounts match; no unexplained error or stale state.</x:v>
      </x:c>
    </x:row>
    <x:row r="1445">
      <x:c r="A1445" s="20" t="str">
        <x:v>RUN-20270922-05</x:v>
      </x:c>
      <x:c r="B1445" s="23" t="n">
        <x:v>46652</x:v>
      </x:c>
      <x:c r="C1445" s="32" t="n">
        <x:v>5</x:v>
      </x:c>
      <x:c r="D1445" s="20" t="str">
        <x:v>Surface coverage</x:v>
      </x:c>
      <x:c r="E1445" s="20" t="str">
        <x:v>Role appropriate to surface</x:v>
      </x:c>
      <x:c r="F1445" s="20" t="str">
        <x:v>Mobile</x:v>
      </x:c>
      <x:c r="G1445" s="20" t="str">
        <x:v>Scan/attachment</x:v>
      </x:c>
      <x:c r="H1445" s="35" t="str">
        <x:v>Scan mobile pass: Eviction case and durable events</x:v>
      </x:c>
      <x:c r="I1445" s="35" t="str">
        <x:v>COV-033</x:v>
      </x:c>
      <x:c r="J1445" s="35" t="str"/>
      <x:c r="K1445" s="35" t="str"/>
      <x:c r="L1445" s="35" t="str">
        <x:v>Open case, add respondent/event, advance status, preserve source, and prove legal state does not mutate occupancy.</x:v>
      </x:c>
      <x:c r="M1445" s="35" t="str">
        <x:v>The supported workflow completes and persists correctly; if the capability is absent, the exact gap is proven and queued rather than silently skipped.</x:v>
      </x:c>
      <x:c r="N1445" s="35" t="str">
        <x:v>Real UI screenshot/state; submitted values; persisted read-back; cross-client read-back; audit/role/access evidence.</x:v>
      </x:c>
      <x:c r="O1445" s="35" t="str">
        <x:v>Use one invalid value, stale-state retry, or duplicate submission relevant to the form; no partial or duplicate mutation.</x:v>
      </x:c>
      <x:c r="P1445" s="35" t="str">
        <x:v>All expected records and amounts match; no unexplained error or stale state.</x:v>
      </x:c>
    </x:row>
    <x:row r="1446">
      <x:c r="A1446" s="20" t="str">
        <x:v>RUN-20270923-01</x:v>
      </x:c>
      <x:c r="B1446" s="23" t="n">
        <x:v>46653</x:v>
      </x:c>
      <x:c r="C1446" s="32" t="n">
        <x:v>1</x:v>
      </x:c>
      <x:c r="D1446" s="20" t="str">
        <x:v>Role and screen certification</x:v>
      </x:c>
      <x:c r="E1446" s="20" t="str">
        <x:v>Applicant / public user</x:v>
      </x:c>
      <x:c r="F1446" s="20" t="str">
        <x:v>Mobile</x:v>
      </x:c>
      <x:c r="G1446" s="20" t="str">
        <x:v>Normal persona navigation</x:v>
      </x:c>
      <x:c r="H1446" s="35" t="str">
        <x:v>Use every permitted action and state on features/money/money_screen.dart</x:v>
      </x:c>
      <x:c r="I1446" s="35" t="str">
        <x:v>SCR-143; ROLE-246</x:v>
      </x:c>
      <x:c r="J1446" s="35" t="str"/>
      <x:c r="K1446" s="35" t="str"/>
      <x:c r="L144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46" s="35" t="str">
        <x:v>The persona can use every allowed action with only its assigned properties/relationships. Hidden or disabled actions explain why; an adjacent unauthorized persona is denied without metadata leakage.</x:v>
      </x:c>
      <x:c r="N1446" s="35" t="str">
        <x:v>Persona/experience; navigation entry; desktop or device screenshots; result state; persisted read-back; audit/history; authorized and denied network result.</x:v>
      </x:c>
      <x:c r="O1446" s="35" t="str">
        <x:v>Open the direct URL or deep link with an adjacent unauthorized persona and with stale scope; both fail closed and land safely without mutation.</x:v>
      </x:c>
      <x:c r="P1446" s="35" t="str">
        <x:v>All expected records and amounts match; no unexplained error or stale state.</x:v>
      </x:c>
    </x:row>
    <x:row r="1447">
      <x:c r="A1447" s="20" t="str">
        <x:v>RUN-20270923-02</x:v>
      </x:c>
      <x:c r="B1447" s="23" t="n">
        <x:v>46653</x:v>
      </x:c>
      <x:c r="C1447" s="32" t="n">
        <x:v>2</x:v>
      </x:c>
      <x:c r="D1447" s="20" t="str">
        <x:v>Field certification</x:v>
      </x:c>
      <x:c r="E1447" s="20" t="str">
        <x:v>Applicant / public user</x:v>
      </x:c>
      <x:c r="F1447" s="20" t="str">
        <x:v>Web</x:v>
      </x:c>
      <x:c r="G1447" s="20" t="str">
        <x:v>Manual field-by-field</x:v>
      </x:c>
      <x:c r="H1447" s="35" t="str">
        <x:v>Fill, save, reload, edit, and validate every declared field on /apply/[token]</x:v>
      </x:c>
      <x:c r="I1447" s="35" t="str">
        <x:v>FLD-0781; FLD-0782; FLD-0783; FLD-0784</x:v>
      </x:c>
      <x:c r="J1447" s="35" t="str"/>
      <x:c r="K1447" s="35" t="str"/>
      <x:c r="L1447" s="35" t="str">
        <x:v>Use the source-derived Field Inventory. Enter non-default realistic values in every control (apply-scan-input; propertyValue; apply-property-select; Select-4); submit; reload or relaunch; compare every value; edit each mutable field; verify the paired client; then run required, format, length, range, boundary, optional-null, and stale-submit checks.</x:v>
      </x:c>
      <x:c r="M1447" s="35" t="str">
        <x:v>All 4 inventoried controls persist exact normalized values, invalid values stay unsaved with clear errors, and hidden/unauthorized fields cannot be altered.</x:v>
      </x:c>
      <x:c r="N1447" s="35" t="str">
        <x:v>Before/after form screenshots; FLD IDs; API response; reloaded UI; paired-client read-back; database/audit evidence; negative validation result.</x:v>
      </x:c>
      <x:c r="O1447" s="35" t="str">
        <x:v>Use a duplicate submit and one simulated network interruption; one atomic mutation or none, never partial state.</x:v>
      </x:c>
      <x:c r="P1447" s="35" t="str">
        <x:v>All expected records and amounts match; no unexplained error or stale state.</x:v>
      </x:c>
    </x:row>
    <x:row r="1448">
      <x:c r="A1448" s="20" t="str">
        <x:v>RUN-20270923-03</x:v>
      </x:c>
      <x:c r="B1448" s="23" t="n">
        <x:v>46653</x:v>
      </x:c>
      <x:c r="C1448" s="32" t="n">
        <x:v>3</x:v>
      </x:c>
      <x:c r="D1448" s="20" t="str">
        <x:v>Notification certification</x:v>
      </x:c>
      <x:c r="E1448" s="20" t="str">
        <x:v>Owner</x:v>
      </x:c>
      <x:c r="F1448" s="20" t="str">
        <x:v>Web + Mobile</x:v>
      </x:c>
      <x:c r="G1448" s="20" t="str">
        <x:v>System event + preference/manual verification</x:v>
      </x:c>
      <x:c r="H1448" s="35" t="str">
        <x:v>Trigger and prove notification: Owner approval requested</x:v>
      </x:c>
      <x:c r="I1448" s="35" t="str">
        <x:v>NTF-036</x:v>
      </x:c>
      <x:c r="J1448" s="35" t="str"/>
      <x:c r="K1448" s="35" t="str"/>
      <x:c r="L1448" s="35" t="str">
        <x:v>Set each recipient's preferences; trigger the real business event; inspect routing and recipient scope; verify unread badge, list item, safe preview, approval deep link, mark-read sync, configured channel outcome, provider failure/retry, and duplicate suppression.</x:v>
      </x:c>
      <x:c r="M1448" s="35" t="str">
        <x:v>Exactly the intended recipients receive one correctly routed notification; disabled optional channels stay silent; deep link opens authorized context; read state synchronizes.</x:v>
      </x:c>
      <x:c r="N1448" s="35" t="str">
        <x:v>Trigger record; routing decision; outbox/delivery status; web/mobile inbox; lock-screen-safe copy; deep-link target; audit/provider retry evidence.</x:v>
      </x:c>
      <x:c r="O1448" s="35" t="str">
        <x:v>Re-run the worker and deliver a duplicate provider callback; no duplicate user-visible event. Attempt the deep link as an unauthorized adjacent role.</x:v>
      </x:c>
      <x:c r="P1448" s="35" t="str">
        <x:v>All expected records and amounts match; no unexplained error or stale state.</x:v>
      </x:c>
    </x:row>
    <x:row r="1449">
      <x:c r="A1449" s="20" t="str">
        <x:v>RUN-20270923-04</x:v>
      </x:c>
      <x:c r="B1449" s="23" t="n">
        <x:v>46653</x:v>
      </x:c>
      <x:c r="C1449" s="32" t="n">
        <x:v>4</x:v>
      </x:c>
      <x:c r="D1449" s="20" t="str">
        <x:v>Surface coverage</x:v>
      </x:c>
      <x:c r="E1449" s="20" t="str">
        <x:v>Role appropriate to surface</x:v>
      </x:c>
      <x:c r="F1449" s="20" t="str">
        <x:v>Web</x:v>
      </x:c>
      <x:c r="G1449" s="20" t="str">
        <x:v>Manual</x:v>
      </x:c>
      <x:c r="H1449" s="35" t="str">
        <x:v>Manual web pass: Conversations and messages</x:v>
      </x:c>
      <x:c r="I1449" s="35" t="str">
        <x:v>COV-034</x:v>
      </x:c>
      <x:c r="J1449" s="35" t="str"/>
      <x:c r="K1449" s="35" t="str"/>
      <x:c r="L1449" s="35" t="str">
        <x:v>Create landlord-tenant, owner, and team conversations; send text/attachment; unread/read; deep link; role isolation.</x:v>
      </x:c>
      <x:c r="M1449" s="35" t="str">
        <x:v>The supported workflow completes and persists correctly; if the capability is absent, the exact gap is proven and queued rather than silently skipped.</x:v>
      </x:c>
      <x:c r="N1449" s="35" t="str">
        <x:v>Real UI screenshot/state; submitted values; persisted read-back; cross-client read-back; audit/role/access evidence.</x:v>
      </x:c>
      <x:c r="O1449" s="35" t="str">
        <x:v>Use one invalid value, stale-state retry, or duplicate submission relevant to the form; no partial or duplicate mutation.</x:v>
      </x:c>
      <x:c r="P1449" s="35" t="str">
        <x:v>All expected records and amounts match; no unexplained error or stale state.</x:v>
      </x:c>
    </x:row>
    <x:row r="1450">
      <x:c r="A1450" s="20" t="str">
        <x:v>RUN-20270924-01</x:v>
      </x:c>
      <x:c r="B1450" s="23" t="n">
        <x:v>46654</x:v>
      </x:c>
      <x:c r="C1450" s="32" t="n">
        <x:v>1</x:v>
      </x:c>
      <x:c r="D1450" s="20" t="str">
        <x:v>Leasing</x:v>
      </x:c>
      <x:c r="E1450" s="20" t="str">
        <x:v>Property Manager</x:v>
      </x:c>
      <x:c r="F1450" s="20" t="str">
        <x:v>Web</x:v>
      </x:c>
      <x:c r="G1450" s="20" t="str">
        <x:v>Scan + manual classification</x:v>
      </x:c>
      <x:c r="H1450" s="35" t="str">
        <x:v>Collect and classify security deposit</x:v>
      </x:c>
      <x:c r="I1450" s="35" t="str">
        <x:v>L040; U022</x:v>
      </x:c>
      <x:c r="J1450" s="35" t="str">
        <x:v>SCN-0920</x:v>
      </x:c>
      <x:c r="K1450" s="35" t="str">
        <x:v>FIN-01653</x:v>
      </x:c>
      <x:c r="L1450" s="35" t="str">
        <x:v>Capture the receipt; verify payer/amount; classify to the security-deposit account rather than rent; confirm trust account, liability, lease provenance, and receipt.</x:v>
      </x:c>
      <x:c r="M1450" s="35" t="str">
        <x:v>Deposit trust cash and liability rise equally; tenant rent AR and rental income do not change.</x:v>
      </x:c>
      <x:c r="N1450" s="35" t="str">
        <x:v>Scan review; deposit register; tenant account provenance; trust cash; accounting checks; receipt.</x:v>
      </x:c>
      <x:c r="O1450" s="35" t="str">
        <x:v>Try to classify the deposit as rent, cancel, then classify correctly; no abandoned financial row remains.</x:v>
      </x:c>
      <x:c r="P1450" s="35" t="str">
        <x:v>All expected records and amounts match; no unexplained error or stale state.</x:v>
      </x:c>
    </x:row>
    <x:row r="1451">
      <x:c r="A1451" s="20" t="str">
        <x:v>RUN-20270924-02</x:v>
      </x:c>
      <x:c r="B1451" s="23" t="n">
        <x:v>46654</x:v>
      </x:c>
      <x:c r="C1451" s="32" t="n">
        <x:v>2</x:v>
      </x:c>
      <x:c r="D1451" s="20" t="str">
        <x:v>Role and screen certification</x:v>
      </x:c>
      <x:c r="E1451" s="20" t="str">
        <x:v>Applicant / public user</x:v>
      </x:c>
      <x:c r="F1451" s="20" t="str">
        <x:v>Mobile</x:v>
      </x:c>
      <x:c r="G1451" s="20" t="str">
        <x:v>Normal persona navigation</x:v>
      </x:c>
      <x:c r="H1451" s="35" t="str">
        <x:v>Use every permitted action and state on features/money/overdue_screen.dart</x:v>
      </x:c>
      <x:c r="I1451" s="35" t="str">
        <x:v>SCR-144; ROLE-247</x:v>
      </x:c>
      <x:c r="J1451" s="35" t="str"/>
      <x:c r="K1451" s="35" t="str"/>
      <x:c r="L145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51" s="35" t="str">
        <x:v>The persona can use every allowed action with only its assigned properties/relationships. Hidden or disabled actions explain why; an adjacent unauthorized persona is denied without metadata leakage.</x:v>
      </x:c>
      <x:c r="N1451" s="35" t="str">
        <x:v>Persona/experience; navigation entry; desktop or device screenshots; result state; persisted read-back; audit/history; authorized and denied network result.</x:v>
      </x:c>
      <x:c r="O1451" s="35" t="str">
        <x:v>Open the direct URL or deep link with an adjacent unauthorized persona and with stale scope; both fail closed and land safely without mutation.</x:v>
      </x:c>
      <x:c r="P1451" s="35" t="str">
        <x:v>All expected records and amounts match; no unexplained error or stale state.</x:v>
      </x:c>
    </x:row>
    <x:row r="1452">
      <x:c r="A1452" s="20" t="str">
        <x:v>RUN-20270924-03</x:v>
      </x:c>
      <x:c r="B1452" s="23" t="n">
        <x:v>46654</x:v>
      </x:c>
      <x:c r="C1452" s="32" t="n">
        <x:v>3</x:v>
      </x:c>
      <x:c r="D1452" s="20" t="str">
        <x:v>Field certification</x:v>
      </x:c>
      <x:c r="E1452" s="20" t="str">
        <x:v>Applicant / public user</x:v>
      </x:c>
      <x:c r="F1452" s="20" t="str">
        <x:v>Web</x:v>
      </x:c>
      <x:c r="G1452" s="20" t="str">
        <x:v>Manual field-by-field</x:v>
      </x:c>
      <x:c r="H1452" s="35" t="str">
        <x:v>Fill, save, reload, edit, and validate every declared field on /apply/[token]</x:v>
      </x:c>
      <x:c r="I1452" s="35" t="str">
        <x:v>FLD-0785; FLD-0786; FLD-0787; FLD-0788</x:v>
      </x:c>
      <x:c r="J1452" s="35" t="str"/>
      <x:c r="K1452" s="35" t="str"/>
      <x:c r="L1452" s="35" t="str">
        <x:v>Use the source-derived Field Inventory. Enter non-default realistic values in every control (Select-5; Select-6; unitValue; apply-unit-select); submit; reload or relaunch; compare every value; edit each mutable field; verify the paired client; then run required, format, length, range, boundary, optional-null, and stale-submit checks.</x:v>
      </x:c>
      <x:c r="M1452" s="35" t="str">
        <x:v>All 4 inventoried controls persist exact normalized values, invalid values stay unsaved with clear errors, and hidden/unauthorized fields cannot be altered.</x:v>
      </x:c>
      <x:c r="N1452" s="35" t="str">
        <x:v>Before/after form screenshots; FLD IDs; API response; reloaded UI; paired-client read-back; database/audit evidence; negative validation result.</x:v>
      </x:c>
      <x:c r="O1452" s="35" t="str">
        <x:v>Use a duplicate submit and one simulated network interruption; one atomic mutation or none, never partial state.</x:v>
      </x:c>
      <x:c r="P1452" s="35" t="str">
        <x:v>All expected records and amounts match; no unexplained error or stale state.</x:v>
      </x:c>
    </x:row>
    <x:row r="1453">
      <x:c r="A1453" s="20" t="str">
        <x:v>RUN-20270925-01</x:v>
      </x:c>
      <x:c r="B1453" s="23" t="n">
        <x:v>46655</x:v>
      </x:c>
      <x:c r="C1453" s="32" t="n">
        <x:v>1</x:v>
      </x:c>
      <x:c r="D1453" s="20" t="str">
        <x:v>Monthly close</x:v>
      </x:c>
      <x:c r="E1453" s="20" t="str">
        <x:v>Owner + Workspace Administrator</x:v>
      </x:c>
      <x:c r="F1453" s="20" t="str">
        <x:v>Web + Mobile owner portal</x:v>
      </x:c>
      <x:c r="G1453" s="20" t="str">
        <x:v>Manual approval</x:v>
      </x:c>
      <x:c r="H1453" s="35" t="str">
        <x:v>September owner statements and distributions</x:v>
      </x:c>
      <x:c r="I1453" s="35" t="str">
        <x:v>O01-O05</x:v>
      </x:c>
      <x:c r="J1453" s="35" t="str"/>
      <x:c r="K1453" s="35" t="str">
        <x:v>FIN-01388; FIN-01389; FIN-01390; FIN-01391; FIN-01392</x:v>
      </x:c>
      <x:c r="L1453" s="35" t="str">
        <x:v>Generate owner statements; review income/expense allocations; approve distributions; record the bank export; open statements from owner portal on web and mobile.</x:v>
      </x:c>
      <x:c r="M1453" s="35" t="str">
        <x:v>Five owner statements agree with Property/accounting totals and five distributions reduce cash/equity distributions without becoming expenses.</x:v>
      </x:c>
      <x:c r="N1453" s="35" t="str">
        <x:v>Statements; approvals; owner portal PDFs; distribution rows; bank references; audit.</x:v>
      </x:c>
      <x:c r="O1453" s="35" t="str">
        <x:v>Reject one draft distribution before approval each quarter and prove no cash event is posted.</x:v>
      </x:c>
      <x:c r="P1453" s="35" t="str">
        <x:v>All expected records and amounts match; no unexplained error or stale state.</x:v>
      </x:c>
    </x:row>
    <x:row r="1454">
      <x:c r="A1454" s="20" t="str">
        <x:v>RUN-20270927-01</x:v>
      </x:c>
      <x:c r="B1454" s="23" t="n">
        <x:v>46657</x:v>
      </x:c>
      <x:c r="C1454" s="32" t="n">
        <x:v>1</x:v>
      </x:c>
      <x:c r="D1454" s="20" t="str">
        <x:v>Weekly operations</x:v>
      </x:c>
      <x:c r="E1454" s="20" t="str">
        <x:v>Property Manager</x:v>
      </x:c>
      <x:c r="F1454" s="20" t="str">
        <x:v>Mobile</x:v>
      </x:c>
      <x:c r="G1454" s="20" t="str">
        <x:v>Scan-first</x:v>
      </x:c>
      <x:c r="H1454" s="35" t="str">
        <x:v>Create and triage maintenance request</x:v>
      </x:c>
      <x:c r="I1454" s="35" t="str">
        <x:v>P027; U034; WO-2027-039</x:v>
      </x:c>
      <x:c r="J1454" s="35" t="str">
        <x:v>SCN-0416</x:v>
      </x:c>
      <x:c r="K1454" s="35" t="str"/>
      <x:c r="L1454" s="35" t="str">
        <x:v>Capture the tenant note/photo; review lock rekey; confirm; set responsibility; dispatch ClearFlow Restoration; create an appointment and verify the tenant notification.</x:v>
      </x:c>
      <x:c r="M1454" s="35" t="str">
        <x:v>Work order, status timeline, responsibility, vendor dispatch, appointment, notification, and Unit context are linked once.</x:v>
      </x:c>
      <x:c r="N1454" s="35" t="str">
        <x:v>Scan review; work order detail/timeline; dispatch; appointment; notification; tenant portal view.</x:v>
      </x:c>
      <x:c r="O1454" s="35" t="str">
        <x:v>Cancel one dispatch each quarter, reassign once, and prove status/history remains append-only.</x:v>
      </x:c>
      <x:c r="P1454" s="35" t="str">
        <x:v>All expected records and amounts match; no unexplained error or stale state.</x:v>
      </x:c>
    </x:row>
    <x:row r="1455">
      <x:c r="A1455" s="20" t="str">
        <x:v>RUN-20270927-02</x:v>
      </x:c>
      <x:c r="B1455" s="23" t="n">
        <x:v>46657</x:v>
      </x:c>
      <x:c r="C1455" s="32" t="n">
        <x:v>2</x:v>
      </x:c>
      <x:c r="D1455" s="20" t="str">
        <x:v>Role and screen certification</x:v>
      </x:c>
      <x:c r="E1455" s="20" t="str">
        <x:v>Applicant / public user</x:v>
      </x:c>
      <x:c r="F1455" s="20" t="str">
        <x:v>Mobile</x:v>
      </x:c>
      <x:c r="G1455" s="20" t="str">
        <x:v>Normal persona navigation</x:v>
      </x:c>
      <x:c r="H1455" s="35" t="str">
        <x:v>Use every permitted action and state on features/money/receipt_upload_sheet.dart</x:v>
      </x:c>
      <x:c r="I1455" s="35" t="str">
        <x:v>SCR-145; ROLE-248</x:v>
      </x:c>
      <x:c r="J1455" s="35" t="str"/>
      <x:c r="K1455" s="35" t="str"/>
      <x:c r="L145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55" s="35" t="str">
        <x:v>The persona can use every allowed action with only its assigned properties/relationships. Hidden or disabled actions explain why; an adjacent unauthorized persona is denied without metadata leakage.</x:v>
      </x:c>
      <x:c r="N1455" s="35" t="str">
        <x:v>Persona/experience; navigation entry; desktop or device screenshots; result state; persisted read-back; audit/history; authorized and denied network result.</x:v>
      </x:c>
      <x:c r="O1455" s="35" t="str">
        <x:v>Open the direct URL or deep link with an adjacent unauthorized persona and with stale scope; both fail closed and land safely without mutation.</x:v>
      </x:c>
      <x:c r="P1455" s="35" t="str">
        <x:v>All expected records and amounts match; no unexplained error or stale state.</x:v>
      </x:c>
    </x:row>
    <x:row r="1456">
      <x:c r="A1456" s="20" t="str">
        <x:v>RUN-20270927-03</x:v>
      </x:c>
      <x:c r="B1456" s="23" t="n">
        <x:v>46657</x:v>
      </x:c>
      <x:c r="C1456" s="32" t="n">
        <x:v>3</x:v>
      </x:c>
      <x:c r="D1456" s="20" t="str">
        <x:v>Field certification</x:v>
      </x:c>
      <x:c r="E1456" s="20" t="str">
        <x:v>Applicant / public user</x:v>
      </x:c>
      <x:c r="F1456" s="20" t="str">
        <x:v>Web</x:v>
      </x:c>
      <x:c r="G1456" s="20" t="str">
        <x:v>Manual field-by-field</x:v>
      </x:c>
      <x:c r="H1456" s="35" t="str">
        <x:v>Fill, save, reload, edit, and validate every declared field on /apply/[token]</x:v>
      </x:c>
      <x:c r="I1456" s="35" t="str">
        <x:v>FLD-0789; FLD-0790; FLD-0791; FLD-0792; FLD-0793</x:v>
      </x:c>
      <x:c r="J1456" s="35" t="str"/>
      <x:c r="K1456" s="35" t="str"/>
      <x:c r="L1456" s="35" t="str">
        <x:v>Use the source-derived Field Inventory. Enter non-default realistic values in every control (Select-9; Select-10; Select-11; apply-notes-input; consentGiven); submit; reload or relaunch; compare every value; edit each mutable field; verify the paired client; then run required, format, length, range, boundary, optional-null, and stale-submit checks.</x:v>
      </x:c>
      <x:c r="M1456" s="35" t="str">
        <x:v>All 5 inventoried controls persist exact normalized values, invalid values stay unsaved with clear errors, and hidden/unauthorized fields cannot be altered.</x:v>
      </x:c>
      <x:c r="N1456" s="35" t="str">
        <x:v>Before/after form screenshots; FLD IDs; API response; reloaded UI; paired-client read-back; database/audit evidence; negative validation result.</x:v>
      </x:c>
      <x:c r="O1456" s="35" t="str">
        <x:v>Use a duplicate submit and one simulated network interruption; one atomic mutation or none, never partial state.</x:v>
      </x:c>
      <x:c r="P1456" s="35" t="str">
        <x:v>All expected records and amounts match; no unexplained error or stale state.</x:v>
      </x:c>
    </x:row>
    <x:row r="1457">
      <x:c r="A1457" s="20" t="str">
        <x:v>RUN-20270927-04</x:v>
      </x:c>
      <x:c r="B1457" s="23" t="n">
        <x:v>46657</x:v>
      </x:c>
      <x:c r="C1457" s="32" t="n">
        <x:v>4</x:v>
      </x:c>
      <x:c r="D1457" s="20" t="str">
        <x:v>Surface coverage</x:v>
      </x:c>
      <x:c r="E1457" s="20" t="str">
        <x:v>Role appropriate to surface</x:v>
      </x:c>
      <x:c r="F1457" s="20" t="str">
        <x:v>Mobile</x:v>
      </x:c>
      <x:c r="G1457" s="20" t="str">
        <x:v>Manual</x:v>
      </x:c>
      <x:c r="H1457" s="35" t="str">
        <x:v>Manual mobile pass: Conversations and messages</x:v>
      </x:c>
      <x:c r="I1457" s="35" t="str">
        <x:v>COV-034</x:v>
      </x:c>
      <x:c r="J1457" s="35" t="str"/>
      <x:c r="K1457" s="35" t="str"/>
      <x:c r="L1457" s="35" t="str">
        <x:v>Create landlord-tenant, owner, and team conversations; send text/attachment; unread/read; deep link; role isolation.</x:v>
      </x:c>
      <x:c r="M1457" s="35" t="str">
        <x:v>The supported workflow completes and persists correctly; if the capability is absent, the exact gap is proven and queued rather than silently skipped.</x:v>
      </x:c>
      <x:c r="N1457" s="35" t="str">
        <x:v>Real UI screenshot/state; submitted values; persisted read-back; cross-client read-back; audit/role/access evidence.</x:v>
      </x:c>
      <x:c r="O1457" s="35" t="str">
        <x:v>Use one invalid value, stale-state retry, or duplicate submission relevant to the form; no partial or duplicate mutation.</x:v>
      </x:c>
      <x:c r="P1457" s="35" t="str">
        <x:v>All expected records and amounts match; no unexplained error or stale state.</x:v>
      </x:c>
    </x:row>
    <x:row r="1458">
      <x:c r="A1458" s="20" t="str">
        <x:v>RUN-20270928-01</x:v>
      </x:c>
      <x:c r="B1458" s="23" t="n">
        <x:v>46658</x:v>
      </x:c>
      <x:c r="C1458" s="32" t="n">
        <x:v>1</x:v>
      </x:c>
      <x:c r="D1458" s="20" t="str">
        <x:v>Weekly operations</x:v>
      </x:c>
      <x:c r="E1458" s="20" t="str">
        <x:v>Property Manager</x:v>
      </x:c>
      <x:c r="F1458" s="20" t="str">
        <x:v>Mobile</x:v>
      </x:c>
      <x:c r="G1458" s="20" t="str">
        <x:v>Scanned receipt/invoice</x:v>
      </x:c>
      <x:c r="H1458" s="35" t="str">
        <x:v>Record, review, allocate, and pay operating expense</x:v>
      </x:c>
      <x:c r="I1458" s="35" t="str">
        <x:v>P027; U034; WO-2027-039</x:v>
      </x:c>
      <x:c r="J1458" s="35" t="str">
        <x:v>SCN-0417</x:v>
      </x:c>
      <x:c r="K1458" s="35" t="str">
        <x:v>FIN-01062</x:v>
      </x:c>
      <x:c r="L1458" s="35" t="str">
        <x:v>Capture or upload the source; verify vendor, date, scope, category, line items, tax, amount, and work-order link; confirm; open detail; verify attachment; compare Money and Property/Unit views.</x:v>
      </x:c>
      <x:c r="M1458" s="35" t="str">
        <x:v>One expense exists at its real operational scope, cash falls once, Schedule E category and allocations agree, and no per-unit copies are created.</x:v>
      </x:c>
      <x:c r="N1458" s="35" t="str">
        <x:v>Source preview; review/form; expense detail; line items; Property/Unit ledger; audit; accounting/report delta.</x:v>
      </x:c>
      <x:c r="O1458" s="35" t="str">
        <x:v>On marked duplicate-invoice cases, re-upload before confirm and prove the product prevents or clearly warns about duplication.</x:v>
      </x:c>
      <x:c r="P1458" s="35" t="str">
        <x:v>All expected records and amounts match; no unexplained error or stale state.</x:v>
      </x:c>
    </x:row>
    <x:row r="1459">
      <x:c r="A1459" s="20" t="str">
        <x:v>RUN-20270928-02</x:v>
      </x:c>
      <x:c r="B1459" s="23" t="n">
        <x:v>46658</x:v>
      </x:c>
      <x:c r="C1459" s="32" t="n">
        <x:v>2</x:v>
      </x:c>
      <x:c r="D1459" s="20" t="str">
        <x:v>Weekly operations</x:v>
      </x:c>
      <x:c r="E1459" s="20" t="str">
        <x:v>Property Manager</x:v>
      </x:c>
      <x:c r="F1459" s="20" t="str">
        <x:v>Mobile</x:v>
      </x:c>
      <x:c r="G1459" s="20" t="str">
        <x:v>Scanned receipt/invoice</x:v>
      </x:c>
      <x:c r="H1459" s="35" t="str">
        <x:v>Record, review, allocate, and pay operating expense</x:v>
      </x:c>
      <x:c r="I1459" s="35" t="str">
        <x:v>P001; Property scope; </x:v>
      </x:c>
      <x:c r="J1459" s="35" t="str">
        <x:v>SCN-0792</x:v>
      </x:c>
      <x:c r="K1459" s="35" t="str">
        <x:v>FIN-01503</x:v>
      </x:c>
      <x:c r="L1459" s="35" t="str">
        <x:v>Capture or upload the source; verify vendor, date, scope, category, line items, tax, amount, and work-order link; confirm; open detail; verify attachment; compare Money and Property/Unit views.</x:v>
      </x:c>
      <x:c r="M1459" s="35" t="str">
        <x:v>One expense exists at its real operational scope, cash falls once, Schedule E category and allocations agree, and no per-unit copies are created.</x:v>
      </x:c>
      <x:c r="N1459" s="35" t="str">
        <x:v>Source preview; review/form; expense detail; line items; Property/Unit ledger; audit; accounting/report delta.</x:v>
      </x:c>
      <x:c r="O1459" s="35" t="str">
        <x:v>On marked duplicate-invoice cases, re-upload before confirm and prove the product prevents or clearly warns about duplication.</x:v>
      </x:c>
      <x:c r="P1459" s="35" t="str">
        <x:v>All expected records and amounts match; no unexplained error or stale state.</x:v>
      </x:c>
    </x:row>
    <x:row r="1460">
      <x:c r="A1460" s="20" t="str">
        <x:v>RUN-20270928-03</x:v>
      </x:c>
      <x:c r="B1460" s="23" t="n">
        <x:v>46658</x:v>
      </x:c>
      <x:c r="C1460" s="32" t="n">
        <x:v>3</x:v>
      </x:c>
      <x:c r="D1460" s="20" t="str">
        <x:v>Weekly operations</x:v>
      </x:c>
      <x:c r="E1460" s="20" t="str">
        <x:v>Property Manager</x:v>
      </x:c>
      <x:c r="F1460" s="20" t="str">
        <x:v>Web</x:v>
      </x:c>
      <x:c r="G1460" s="20" t="str">
        <x:v>Scanned receipt/invoice</x:v>
      </x:c>
      <x:c r="H1460" s="35" t="str">
        <x:v>Record, review, allocate, and pay operating expense</x:v>
      </x:c>
      <x:c r="I1460" s="35" t="str">
        <x:v>P002; Property scope; </x:v>
      </x:c>
      <x:c r="J1460" s="35" t="str">
        <x:v>SCN-0797</x:v>
      </x:c>
      <x:c r="K1460" s="35" t="str">
        <x:v>FIN-01508</x:v>
      </x:c>
      <x:c r="L1460" s="35" t="str">
        <x:v>Capture or upload the source; verify vendor, date, scope, category, line items, tax, amount, and work-order link; confirm; open detail; verify attachment; compare Money and Property/Unit views.</x:v>
      </x:c>
      <x:c r="M1460" s="35" t="str">
        <x:v>One expense exists at its real operational scope, cash falls once, Schedule E category and allocations agree, and no per-unit copies are created.</x:v>
      </x:c>
      <x:c r="N1460" s="35" t="str">
        <x:v>Source preview; review/form; expense detail; line items; Property/Unit ledger; audit; accounting/report delta.</x:v>
      </x:c>
      <x:c r="O1460" s="35" t="str">
        <x:v>On marked duplicate-invoice cases, re-upload before confirm and prove the product prevents or clearly warns about duplication.</x:v>
      </x:c>
      <x:c r="P1460" s="35" t="str">
        <x:v>All expected records and amounts match; no unexplained error or stale state.</x:v>
      </x:c>
    </x:row>
    <x:row r="1461">
      <x:c r="A1461" s="20" t="str">
        <x:v>RUN-20270928-04</x:v>
      </x:c>
      <x:c r="B1461" s="23" t="n">
        <x:v>46658</x:v>
      </x:c>
      <x:c r="C1461" s="32" t="n">
        <x:v>4</x:v>
      </x:c>
      <x:c r="D1461" s="20" t="str">
        <x:v>Weekly operations</x:v>
      </x:c>
      <x:c r="E1461" s="20" t="str">
        <x:v>Property Manager</x:v>
      </x:c>
      <x:c r="F1461" s="20" t="str">
        <x:v>Mobile</x:v>
      </x:c>
      <x:c r="G1461" s="20" t="str">
        <x:v>Scanned receipt/invoice</x:v>
      </x:c>
      <x:c r="H1461" s="35" t="str">
        <x:v>Record, review, allocate, and pay operating expense</x:v>
      </x:c>
      <x:c r="I1461" s="35" t="str">
        <x:v>P003; Property scope; </x:v>
      </x:c>
      <x:c r="J1461" s="35" t="str">
        <x:v>SCN-0802</x:v>
      </x:c>
      <x:c r="K1461" s="35" t="str">
        <x:v>FIN-01513</x:v>
      </x:c>
      <x:c r="L1461" s="35" t="str">
        <x:v>Capture or upload the source; verify vendor, date, scope, category, line items, tax, amount, and work-order link; confirm; open detail; verify attachment; compare Money and Property/Unit views.</x:v>
      </x:c>
      <x:c r="M1461" s="35" t="str">
        <x:v>One expense exists at its real operational scope, cash falls once, Schedule E category and allocations agree, and no per-unit copies are created.</x:v>
      </x:c>
      <x:c r="N1461" s="35" t="str">
        <x:v>Source preview; review/form; expense detail; line items; Property/Unit ledger; audit; accounting/report delta.</x:v>
      </x:c>
      <x:c r="O1461" s="35" t="str">
        <x:v>On marked duplicate-invoice cases, re-upload before confirm and prove the product prevents or clearly warns about duplication.</x:v>
      </x:c>
      <x:c r="P1461" s="35" t="str">
        <x:v>All expected records and amounts match; no unexplained error or stale state.</x:v>
      </x:c>
    </x:row>
    <x:row r="1462">
      <x:c r="A1462" s="20" t="str">
        <x:v>RUN-20270928-05</x:v>
      </x:c>
      <x:c r="B1462" s="23" t="n">
        <x:v>46658</x:v>
      </x:c>
      <x:c r="C1462" s="32" t="n">
        <x:v>5</x:v>
      </x:c>
      <x:c r="D1462" s="20" t="str">
        <x:v>Weekly operations</x:v>
      </x:c>
      <x:c r="E1462" s="20" t="str">
        <x:v>Property Manager</x:v>
      </x:c>
      <x:c r="F1462" s="20" t="str">
        <x:v>Web</x:v>
      </x:c>
      <x:c r="G1462" s="20" t="str">
        <x:v>Scanned receipt/invoice</x:v>
      </x:c>
      <x:c r="H1462" s="35" t="str">
        <x:v>Record, review, allocate, and pay operating expense</x:v>
      </x:c>
      <x:c r="I1462" s="35" t="str">
        <x:v>P004; Property scope; </x:v>
      </x:c>
      <x:c r="J1462" s="35" t="str">
        <x:v>SCN-0807</x:v>
      </x:c>
      <x:c r="K1462" s="35" t="str">
        <x:v>FIN-01518</x:v>
      </x:c>
      <x:c r="L1462" s="35" t="str">
        <x:v>Capture or upload the source; verify vendor, date, scope, category, line items, tax, amount, and work-order link; confirm; open detail; verify attachment; compare Money and Property/Unit views.</x:v>
      </x:c>
      <x:c r="M1462" s="35" t="str">
        <x:v>One expense exists at its real operational scope, cash falls once, Schedule E category and allocations agree, and no per-unit copies are created.</x:v>
      </x:c>
      <x:c r="N1462" s="35" t="str">
        <x:v>Source preview; review/form; expense detail; line items; Property/Unit ledger; audit; accounting/report delta.</x:v>
      </x:c>
      <x:c r="O1462" s="35" t="str">
        <x:v>On marked duplicate-invoice cases, re-upload before confirm and prove the product prevents or clearly warns about duplication.</x:v>
      </x:c>
      <x:c r="P1462" s="35" t="str">
        <x:v>All expected records and amounts match; no unexplained error or stale state.</x:v>
      </x:c>
    </x:row>
    <x:row r="1463">
      <x:c r="A1463" s="20" t="str">
        <x:v>RUN-20270928-06</x:v>
      </x:c>
      <x:c r="B1463" s="23" t="n">
        <x:v>46658</x:v>
      </x:c>
      <x:c r="C1463" s="32" t="n">
        <x:v>6</x:v>
      </x:c>
      <x:c r="D1463" s="20" t="str">
        <x:v>Weekly operations</x:v>
      </x:c>
      <x:c r="E1463" s="20" t="str">
        <x:v>Property Manager</x:v>
      </x:c>
      <x:c r="F1463" s="20" t="str">
        <x:v>Mobile</x:v>
      </x:c>
      <x:c r="G1463" s="20" t="str">
        <x:v>Manual web form</x:v>
      </x:c>
      <x:c r="H1463" s="35" t="str">
        <x:v>Record, review, allocate, and pay operating expense</x:v>
      </x:c>
      <x:c r="I1463" s="35" t="str">
        <x:v>P005; Property scope; </x:v>
      </x:c>
      <x:c r="J1463" s="35" t="str"/>
      <x:c r="K1463" s="35" t="str">
        <x:v>FIN-01523</x:v>
      </x:c>
      <x:c r="L1463" s="35" t="str">
        <x:v>Capture or upload the source; verify vendor, date, scope, category, line items, tax, amount, and work-order link; confirm; open detail; verify attachment; compare Money and Property/Unit views.</x:v>
      </x:c>
      <x:c r="M1463" s="35" t="str">
        <x:v>One expense exists at its real operational scope, cash falls once, Schedule E category and allocations agree, and no per-unit copies are created.</x:v>
      </x:c>
      <x:c r="N1463" s="35" t="str">
        <x:v>Source preview; review/form; expense detail; line items; Property/Unit ledger; audit; accounting/report delta.</x:v>
      </x:c>
      <x:c r="O1463" s="35" t="str">
        <x:v>On marked duplicate-invoice cases, re-upload before confirm and prove the product prevents or clearly warns about duplication.</x:v>
      </x:c>
      <x:c r="P1463" s="35" t="str">
        <x:v>All expected records and amounts match; no unexplained error or stale state.</x:v>
      </x:c>
    </x:row>
    <x:row r="1464">
      <x:c r="A1464" s="20" t="str">
        <x:v>RUN-20270928-07</x:v>
      </x:c>
      <x:c r="B1464" s="23" t="n">
        <x:v>46658</x:v>
      </x:c>
      <x:c r="C1464" s="32" t="n">
        <x:v>7</x:v>
      </x:c>
      <x:c r="D1464" s="20" t="str">
        <x:v>Weekly operations</x:v>
      </x:c>
      <x:c r="E1464" s="20" t="str">
        <x:v>Property Manager</x:v>
      </x:c>
      <x:c r="F1464" s="20" t="str">
        <x:v>Web</x:v>
      </x:c>
      <x:c r="G1464" s="20" t="str">
        <x:v>Scanned receipt/invoice</x:v>
      </x:c>
      <x:c r="H1464" s="35" t="str">
        <x:v>Record, review, allocate, and pay operating expense</x:v>
      </x:c>
      <x:c r="I1464" s="35" t="str">
        <x:v>P006; Property scope; </x:v>
      </x:c>
      <x:c r="J1464" s="35" t="str">
        <x:v>SCN-0812</x:v>
      </x:c>
      <x:c r="K1464" s="35" t="str">
        <x:v>FIN-01528</x:v>
      </x:c>
      <x:c r="L1464" s="35" t="str">
        <x:v>Capture or upload the source; verify vendor, date, scope, category, line items, tax, amount, and work-order link; confirm; open detail; verify attachment; compare Money and Property/Unit views.</x:v>
      </x:c>
      <x:c r="M1464" s="35" t="str">
        <x:v>One expense exists at its real operational scope, cash falls once, Schedule E category and allocations agree, and no per-unit copies are created.</x:v>
      </x:c>
      <x:c r="N1464" s="35" t="str">
        <x:v>Source preview; review/form; expense detail; line items; Property/Unit ledger; audit; accounting/report delta.</x:v>
      </x:c>
      <x:c r="O1464" s="35" t="str">
        <x:v>On marked duplicate-invoice cases, re-upload before confirm and prove the product prevents or clearly warns about duplication.</x:v>
      </x:c>
      <x:c r="P1464" s="35" t="str">
        <x:v>All expected records and amounts match; no unexplained error or stale state.</x:v>
      </x:c>
    </x:row>
    <x:row r="1465">
      <x:c r="A1465" s="20" t="str">
        <x:v>RUN-20270928-08</x:v>
      </x:c>
      <x:c r="B1465" s="23" t="n">
        <x:v>46658</x:v>
      </x:c>
      <x:c r="C1465" s="32" t="n">
        <x:v>8</x:v>
      </x:c>
      <x:c r="D1465" s="20" t="str">
        <x:v>Weekly operations</x:v>
      </x:c>
      <x:c r="E1465" s="20" t="str">
        <x:v>Property Manager</x:v>
      </x:c>
      <x:c r="F1465" s="20" t="str">
        <x:v>Mobile</x:v>
      </x:c>
      <x:c r="G1465" s="20" t="str">
        <x:v>Scanned receipt/invoice</x:v>
      </x:c>
      <x:c r="H1465" s="35" t="str">
        <x:v>Record, review, allocate, and pay operating expense</x:v>
      </x:c>
      <x:c r="I1465" s="35" t="str">
        <x:v>P007; Property scope; </x:v>
      </x:c>
      <x:c r="J1465" s="35" t="str">
        <x:v>SCN-0817</x:v>
      </x:c>
      <x:c r="K1465" s="35" t="str">
        <x:v>FIN-01533</x:v>
      </x:c>
      <x:c r="L1465" s="35" t="str">
        <x:v>Capture or upload the source; verify vendor, date, scope, category, line items, tax, amount, and work-order link; confirm; open detail; verify attachment; compare Money and Property/Unit views.</x:v>
      </x:c>
      <x:c r="M1465" s="35" t="str">
        <x:v>One expense exists at its real operational scope, cash falls once, Schedule E category and allocations agree, and no per-unit copies are created.</x:v>
      </x:c>
      <x:c r="N1465" s="35" t="str">
        <x:v>Source preview; review/form; expense detail; line items; Property/Unit ledger; audit; accounting/report delta.</x:v>
      </x:c>
      <x:c r="O1465" s="35" t="str">
        <x:v>On marked duplicate-invoice cases, re-upload before confirm and prove the product prevents or clearly warns about duplication.</x:v>
      </x:c>
      <x:c r="P1465" s="35" t="str">
        <x:v>All expected records and amounts match; no unexplained error or stale state.</x:v>
      </x:c>
    </x:row>
    <x:row r="1466">
      <x:c r="A1466" s="20" t="str">
        <x:v>RUN-20270928-09</x:v>
      </x:c>
      <x:c r="B1466" s="23" t="n">
        <x:v>46658</x:v>
      </x:c>
      <x:c r="C1466" s="32" t="n">
        <x:v>9</x:v>
      </x:c>
      <x:c r="D1466" s="20" t="str">
        <x:v>Weekly operations</x:v>
      </x:c>
      <x:c r="E1466" s="20" t="str">
        <x:v>Property Manager</x:v>
      </x:c>
      <x:c r="F1466" s="20" t="str">
        <x:v>Web</x:v>
      </x:c>
      <x:c r="G1466" s="20" t="str">
        <x:v>Scanned receipt/invoice</x:v>
      </x:c>
      <x:c r="H1466" s="35" t="str">
        <x:v>Record, review, allocate, and pay operating expense</x:v>
      </x:c>
      <x:c r="I1466" s="35" t="str">
        <x:v>P008; Property scope; </x:v>
      </x:c>
      <x:c r="J1466" s="35" t="str">
        <x:v>SCN-0822</x:v>
      </x:c>
      <x:c r="K1466" s="35" t="str">
        <x:v>FIN-01538</x:v>
      </x:c>
      <x:c r="L1466" s="35" t="str">
        <x:v>Capture or upload the source; verify vendor, date, scope, category, line items, tax, amount, and work-order link; confirm; open detail; verify attachment; compare Money and Property/Unit views.</x:v>
      </x:c>
      <x:c r="M1466" s="35" t="str">
        <x:v>One expense exists at its real operational scope, cash falls once, Schedule E category and allocations agree, and no per-unit copies are created.</x:v>
      </x:c>
      <x:c r="N1466" s="35" t="str">
        <x:v>Source preview; review/form; expense detail; line items; Property/Unit ledger; audit; accounting/report delta.</x:v>
      </x:c>
      <x:c r="O1466" s="35" t="str">
        <x:v>On marked duplicate-invoice cases, re-upload before confirm and prove the product prevents or clearly warns about duplication.</x:v>
      </x:c>
      <x:c r="P1466" s="35" t="str">
        <x:v>All expected records and amounts match; no unexplained error or stale state.</x:v>
      </x:c>
    </x:row>
    <x:row r="1467">
      <x:c r="A1467" s="20" t="str">
        <x:v>RUN-20270928-10</x:v>
      </x:c>
      <x:c r="B1467" s="23" t="n">
        <x:v>46658</x:v>
      </x:c>
      <x:c r="C1467" s="32" t="n">
        <x:v>10</x:v>
      </x:c>
      <x:c r="D1467" s="20" t="str">
        <x:v>Weekly operations</x:v>
      </x:c>
      <x:c r="E1467" s="20" t="str">
        <x:v>Property Manager</x:v>
      </x:c>
      <x:c r="F1467" s="20" t="str">
        <x:v>Mobile</x:v>
      </x:c>
      <x:c r="G1467" s="20" t="str">
        <x:v>Scanned receipt/invoice</x:v>
      </x:c>
      <x:c r="H1467" s="35" t="str">
        <x:v>Record, review, allocate, and pay operating expense</x:v>
      </x:c>
      <x:c r="I1467" s="35" t="str">
        <x:v>P009; Property scope; </x:v>
      </x:c>
      <x:c r="J1467" s="35" t="str">
        <x:v>SCN-0827</x:v>
      </x:c>
      <x:c r="K1467" s="35" t="str">
        <x:v>FIN-01543</x:v>
      </x:c>
      <x:c r="L1467" s="35" t="str">
        <x:v>Capture or upload the source; verify vendor, date, scope, category, line items, tax, amount, and work-order link; confirm; open detail; verify attachment; compare Money and Property/Unit views.</x:v>
      </x:c>
      <x:c r="M1467" s="35" t="str">
        <x:v>One expense exists at its real operational scope, cash falls once, Schedule E category and allocations agree, and no per-unit copies are created.</x:v>
      </x:c>
      <x:c r="N1467" s="35" t="str">
        <x:v>Source preview; review/form; expense detail; line items; Property/Unit ledger; audit; accounting/report delta.</x:v>
      </x:c>
      <x:c r="O1467" s="35" t="str">
        <x:v>On marked duplicate-invoice cases, re-upload before confirm and prove the product prevents or clearly warns about duplication.</x:v>
      </x:c>
      <x:c r="P1467" s="35" t="str">
        <x:v>All expected records and amounts match; no unexplained error or stale state.</x:v>
      </x:c>
    </x:row>
    <x:row r="1468">
      <x:c r="A1468" s="20" t="str">
        <x:v>RUN-20270928-11</x:v>
      </x:c>
      <x:c r="B1468" s="23" t="n">
        <x:v>46658</x:v>
      </x:c>
      <x:c r="C1468" s="32" t="n">
        <x:v>11</x:v>
      </x:c>
      <x:c r="D1468" s="20" t="str">
        <x:v>Weekly operations</x:v>
      </x:c>
      <x:c r="E1468" s="20" t="str">
        <x:v>Property Manager</x:v>
      </x:c>
      <x:c r="F1468" s="20" t="str">
        <x:v>Web</x:v>
      </x:c>
      <x:c r="G1468" s="20" t="str">
        <x:v>Manual mobile form</x:v>
      </x:c>
      <x:c r="H1468" s="35" t="str">
        <x:v>Record, review, allocate, and pay operating expense</x:v>
      </x:c>
      <x:c r="I1468" s="35" t="str">
        <x:v>P010; Property scope; </x:v>
      </x:c>
      <x:c r="J1468" s="35" t="str"/>
      <x:c r="K1468" s="35" t="str">
        <x:v>FIN-01548</x:v>
      </x:c>
      <x:c r="L1468" s="35" t="str">
        <x:v>Capture or upload the source; verify vendor, date, scope, category, line items, tax, amount, and work-order link; confirm; open detail; verify attachment; compare Money and Property/Unit views.</x:v>
      </x:c>
      <x:c r="M1468" s="35" t="str">
        <x:v>One expense exists at its real operational scope, cash falls once, Schedule E category and allocations agree, and no per-unit copies are created.</x:v>
      </x:c>
      <x:c r="N1468" s="35" t="str">
        <x:v>Source preview; review/form; expense detail; line items; Property/Unit ledger; audit; accounting/report delta.</x:v>
      </x:c>
      <x:c r="O1468" s="35" t="str">
        <x:v>On marked duplicate-invoice cases, re-upload before confirm and prove the product prevents or clearly warns about duplication.</x:v>
      </x:c>
      <x:c r="P1468" s="35" t="str">
        <x:v>All expected records and amounts match; no unexplained error or stale state.</x:v>
      </x:c>
    </x:row>
    <x:row r="1469">
      <x:c r="A1469" s="20" t="str">
        <x:v>RUN-20270928-12</x:v>
      </x:c>
      <x:c r="B1469" s="23" t="n">
        <x:v>46658</x:v>
      </x:c>
      <x:c r="C1469" s="32" t="n">
        <x:v>12</x:v>
      </x:c>
      <x:c r="D1469" s="20" t="str">
        <x:v>Weekly operations</x:v>
      </x:c>
      <x:c r="E1469" s="20" t="str">
        <x:v>Property Manager</x:v>
      </x:c>
      <x:c r="F1469" s="20" t="str">
        <x:v>Mobile</x:v>
      </x:c>
      <x:c r="G1469" s="20" t="str">
        <x:v>Scanned receipt/invoice</x:v>
      </x:c>
      <x:c r="H1469" s="35" t="str">
        <x:v>Record, review, allocate, and pay operating expense</x:v>
      </x:c>
      <x:c r="I1469" s="35" t="str">
        <x:v>P011; Property scope; </x:v>
      </x:c>
      <x:c r="J1469" s="35" t="str">
        <x:v>SCN-0832</x:v>
      </x:c>
      <x:c r="K1469" s="35" t="str">
        <x:v>FIN-01553</x:v>
      </x:c>
      <x:c r="L1469" s="35" t="str">
        <x:v>Capture or upload the source; verify vendor, date, scope, category, line items, tax, amount, and work-order link; confirm; open detail; verify attachment; compare Money and Property/Unit views.</x:v>
      </x:c>
      <x:c r="M1469" s="35" t="str">
        <x:v>One expense exists at its real operational scope, cash falls once, Schedule E category and allocations agree, and no per-unit copies are created.</x:v>
      </x:c>
      <x:c r="N1469" s="35" t="str">
        <x:v>Source preview; review/form; expense detail; line items; Property/Unit ledger; audit; accounting/report delta.</x:v>
      </x:c>
      <x:c r="O1469" s="35" t="str">
        <x:v>On marked duplicate-invoice cases, re-upload before confirm and prove the product prevents or clearly warns about duplication.</x:v>
      </x:c>
      <x:c r="P1469" s="35" t="str">
        <x:v>All expected records and amounts match; no unexplained error or stale state.</x:v>
      </x:c>
    </x:row>
    <x:row r="1470">
      <x:c r="A1470" s="20" t="str">
        <x:v>RUN-20270928-13</x:v>
      </x:c>
      <x:c r="B1470" s="23" t="n">
        <x:v>46658</x:v>
      </x:c>
      <x:c r="C1470" s="32" t="n">
        <x:v>13</x:v>
      </x:c>
      <x:c r="D1470" s="20" t="str">
        <x:v>Weekly operations</x:v>
      </x:c>
      <x:c r="E1470" s="20" t="str">
        <x:v>Property Manager</x:v>
      </x:c>
      <x:c r="F1470" s="20" t="str">
        <x:v>Web</x:v>
      </x:c>
      <x:c r="G1470" s="20" t="str">
        <x:v>Scanned receipt/invoice</x:v>
      </x:c>
      <x:c r="H1470" s="35" t="str">
        <x:v>Record, review, allocate, and pay operating expense</x:v>
      </x:c>
      <x:c r="I1470" s="35" t="str">
        <x:v>P012; Property scope; </x:v>
      </x:c>
      <x:c r="J1470" s="35" t="str">
        <x:v>SCN-0837</x:v>
      </x:c>
      <x:c r="K1470" s="35" t="str">
        <x:v>FIN-01558</x:v>
      </x:c>
      <x:c r="L1470" s="35" t="str">
        <x:v>Capture or upload the source; verify vendor, date, scope, category, line items, tax, amount, and work-order link; confirm; open detail; verify attachment; compare Money and Property/Unit views.</x:v>
      </x:c>
      <x:c r="M1470" s="35" t="str">
        <x:v>One expense exists at its real operational scope, cash falls once, Schedule E category and allocations agree, and no per-unit copies are created.</x:v>
      </x:c>
      <x:c r="N1470" s="35" t="str">
        <x:v>Source preview; review/form; expense detail; line items; Property/Unit ledger; audit; accounting/report delta.</x:v>
      </x:c>
      <x:c r="O1470" s="35" t="str">
        <x:v>On marked duplicate-invoice cases, re-upload before confirm and prove the product prevents or clearly warns about duplication.</x:v>
      </x:c>
      <x:c r="P1470" s="35" t="str">
        <x:v>All expected records and amounts match; no unexplained error or stale state.</x:v>
      </x:c>
    </x:row>
    <x:row r="1471">
      <x:c r="A1471" s="20" t="str">
        <x:v>RUN-20270928-14</x:v>
      </x:c>
      <x:c r="B1471" s="23" t="n">
        <x:v>46658</x:v>
      </x:c>
      <x:c r="C1471" s="32" t="n">
        <x:v>14</x:v>
      </x:c>
      <x:c r="D1471" s="20" t="str">
        <x:v>Weekly operations</x:v>
      </x:c>
      <x:c r="E1471" s="20" t="str">
        <x:v>Property Manager</x:v>
      </x:c>
      <x:c r="F1471" s="20" t="str">
        <x:v>Mobile</x:v>
      </x:c>
      <x:c r="G1471" s="20" t="str">
        <x:v>Scanned receipt/invoice</x:v>
      </x:c>
      <x:c r="H1471" s="35" t="str">
        <x:v>Record, review, allocate, and pay operating expense</x:v>
      </x:c>
      <x:c r="I1471" s="35" t="str">
        <x:v>P013; Property scope; </x:v>
      </x:c>
      <x:c r="J1471" s="35" t="str">
        <x:v>SCN-0842</x:v>
      </x:c>
      <x:c r="K1471" s="35" t="str">
        <x:v>FIN-01563</x:v>
      </x:c>
      <x:c r="L1471" s="35" t="str">
        <x:v>Capture or upload the source; verify vendor, date, scope, category, line items, tax, amount, and work-order link; confirm; open detail; verify attachment; compare Money and Property/Unit views.</x:v>
      </x:c>
      <x:c r="M1471" s="35" t="str">
        <x:v>One expense exists at its real operational scope, cash falls once, Schedule E category and allocations agree, and no per-unit copies are created.</x:v>
      </x:c>
      <x:c r="N1471" s="35" t="str">
        <x:v>Source preview; review/form; expense detail; line items; Property/Unit ledger; audit; accounting/report delta.</x:v>
      </x:c>
      <x:c r="O1471" s="35" t="str">
        <x:v>On marked duplicate-invoice cases, re-upload before confirm and prove the product prevents or clearly warns about duplication.</x:v>
      </x:c>
      <x:c r="P1471" s="35" t="str">
        <x:v>All expected records and amounts match; no unexplained error or stale state.</x:v>
      </x:c>
    </x:row>
    <x:row r="1472">
      <x:c r="A1472" s="20" t="str">
        <x:v>RUN-20270928-15</x:v>
      </x:c>
      <x:c r="B1472" s="23" t="n">
        <x:v>46658</x:v>
      </x:c>
      <x:c r="C1472" s="32" t="n">
        <x:v>15</x:v>
      </x:c>
      <x:c r="D1472" s="20" t="str">
        <x:v>Weekly operations</x:v>
      </x:c>
      <x:c r="E1472" s="20" t="str">
        <x:v>Property Manager</x:v>
      </x:c>
      <x:c r="F1472" s="20" t="str">
        <x:v>Web</x:v>
      </x:c>
      <x:c r="G1472" s="20" t="str">
        <x:v>Scanned receipt/invoice</x:v>
      </x:c>
      <x:c r="H1472" s="35" t="str">
        <x:v>Record, review, allocate, and pay operating expense</x:v>
      </x:c>
      <x:c r="I1472" s="35" t="str">
        <x:v>P014; Property scope; </x:v>
      </x:c>
      <x:c r="J1472" s="35" t="str">
        <x:v>SCN-0847</x:v>
      </x:c>
      <x:c r="K1472" s="35" t="str">
        <x:v>FIN-01568</x:v>
      </x:c>
      <x:c r="L1472" s="35" t="str">
        <x:v>Capture or upload the source; verify vendor, date, scope, category, line items, tax, amount, and work-order link; confirm; open detail; verify attachment; compare Money and Property/Unit views.</x:v>
      </x:c>
      <x:c r="M1472" s="35" t="str">
        <x:v>One expense exists at its real operational scope, cash falls once, Schedule E category and allocations agree, and no per-unit copies are created.</x:v>
      </x:c>
      <x:c r="N1472" s="35" t="str">
        <x:v>Source preview; review/form; expense detail; line items; Property/Unit ledger; audit; accounting/report delta.</x:v>
      </x:c>
      <x:c r="O1472" s="35" t="str">
        <x:v>On marked duplicate-invoice cases, re-upload before confirm and prove the product prevents or clearly warns about duplication.</x:v>
      </x:c>
      <x:c r="P1472" s="35" t="str">
        <x:v>All expected records and amounts match; no unexplained error or stale state.</x:v>
      </x:c>
    </x:row>
    <x:row r="1473">
      <x:c r="A1473" s="20" t="str">
        <x:v>RUN-20270928-16</x:v>
      </x:c>
      <x:c r="B1473" s="23" t="n">
        <x:v>46658</x:v>
      </x:c>
      <x:c r="C1473" s="32" t="n">
        <x:v>16</x:v>
      </x:c>
      <x:c r="D1473" s="20" t="str">
        <x:v>Weekly operations</x:v>
      </x:c>
      <x:c r="E1473" s="20" t="str">
        <x:v>Property Manager</x:v>
      </x:c>
      <x:c r="F1473" s="20" t="str">
        <x:v>Mobile</x:v>
      </x:c>
      <x:c r="G1473" s="20" t="str">
        <x:v>Manual web form</x:v>
      </x:c>
      <x:c r="H1473" s="35" t="str">
        <x:v>Record, review, allocate, and pay operating expense</x:v>
      </x:c>
      <x:c r="I1473" s="35" t="str">
        <x:v>P015; Property scope; </x:v>
      </x:c>
      <x:c r="J1473" s="35" t="str"/>
      <x:c r="K1473" s="35" t="str">
        <x:v>FIN-01573</x:v>
      </x:c>
      <x:c r="L1473" s="35" t="str">
        <x:v>Capture or upload the source; verify vendor, date, scope, category, line items, tax, amount, and work-order link; confirm; open detail; verify attachment; compare Money and Property/Unit views.</x:v>
      </x:c>
      <x:c r="M1473" s="35" t="str">
        <x:v>One expense exists at its real operational scope, cash falls once, Schedule E category and allocations agree, and no per-unit copies are created.</x:v>
      </x:c>
      <x:c r="N1473" s="35" t="str">
        <x:v>Source preview; review/form; expense detail; line items; Property/Unit ledger; audit; accounting/report delta.</x:v>
      </x:c>
      <x:c r="O1473" s="35" t="str">
        <x:v>On marked duplicate-invoice cases, re-upload before confirm and prove the product prevents or clearly warns about duplication.</x:v>
      </x:c>
      <x:c r="P1473" s="35" t="str">
        <x:v>All expected records and amounts match; no unexplained error or stale state.</x:v>
      </x:c>
    </x:row>
    <x:row r="1474">
      <x:c r="A1474" s="20" t="str">
        <x:v>RUN-20270928-17</x:v>
      </x:c>
      <x:c r="B1474" s="23" t="n">
        <x:v>46658</x:v>
      </x:c>
      <x:c r="C1474" s="32" t="n">
        <x:v>17</x:v>
      </x:c>
      <x:c r="D1474" s="20" t="str">
        <x:v>Weekly operations</x:v>
      </x:c>
      <x:c r="E1474" s="20" t="str">
        <x:v>Property Manager</x:v>
      </x:c>
      <x:c r="F1474" s="20" t="str">
        <x:v>Web</x:v>
      </x:c>
      <x:c r="G1474" s="20" t="str">
        <x:v>Scanned receipt/invoice</x:v>
      </x:c>
      <x:c r="H1474" s="35" t="str">
        <x:v>Record, review, allocate, and pay operating expense</x:v>
      </x:c>
      <x:c r="I1474" s="35" t="str">
        <x:v>P016; Property scope; </x:v>
      </x:c>
      <x:c r="J1474" s="35" t="str">
        <x:v>SCN-0852</x:v>
      </x:c>
      <x:c r="K1474" s="35" t="str">
        <x:v>FIN-01578</x:v>
      </x:c>
      <x:c r="L1474" s="35" t="str">
        <x:v>Capture or upload the source; verify vendor, date, scope, category, line items, tax, amount, and work-order link; confirm; open detail; verify attachment; compare Money and Property/Unit views.</x:v>
      </x:c>
      <x:c r="M1474" s="35" t="str">
        <x:v>One expense exists at its real operational scope, cash falls once, Schedule E category and allocations agree, and no per-unit copies are created.</x:v>
      </x:c>
      <x:c r="N1474" s="35" t="str">
        <x:v>Source preview; review/form; expense detail; line items; Property/Unit ledger; audit; accounting/report delta.</x:v>
      </x:c>
      <x:c r="O1474" s="35" t="str">
        <x:v>On marked duplicate-invoice cases, re-upload before confirm and prove the product prevents or clearly warns about duplication.</x:v>
      </x:c>
      <x:c r="P1474" s="35" t="str">
        <x:v>All expected records and amounts match; no unexplained error or stale state.</x:v>
      </x:c>
    </x:row>
    <x:row r="1475">
      <x:c r="A1475" s="20" t="str">
        <x:v>RUN-20270928-18</x:v>
      </x:c>
      <x:c r="B1475" s="23" t="n">
        <x:v>46658</x:v>
      </x:c>
      <x:c r="C1475" s="32" t="n">
        <x:v>18</x:v>
      </x:c>
      <x:c r="D1475" s="20" t="str">
        <x:v>Weekly operations</x:v>
      </x:c>
      <x:c r="E1475" s="20" t="str">
        <x:v>Property Manager</x:v>
      </x:c>
      <x:c r="F1475" s="20" t="str">
        <x:v>Mobile</x:v>
      </x:c>
      <x:c r="G1475" s="20" t="str">
        <x:v>Scanned receipt/invoice</x:v>
      </x:c>
      <x:c r="H1475" s="35" t="str">
        <x:v>Record, review, allocate, and pay operating expense</x:v>
      </x:c>
      <x:c r="I1475" s="35" t="str">
        <x:v>P017; Property scope; </x:v>
      </x:c>
      <x:c r="J1475" s="35" t="str">
        <x:v>SCN-0857</x:v>
      </x:c>
      <x:c r="K1475" s="35" t="str">
        <x:v>FIN-01583</x:v>
      </x:c>
      <x:c r="L1475" s="35" t="str">
        <x:v>Capture or upload the source; verify vendor, date, scope, category, line items, tax, amount, and work-order link; confirm; open detail; verify attachment; compare Money and Property/Unit views.</x:v>
      </x:c>
      <x:c r="M1475" s="35" t="str">
        <x:v>One expense exists at its real operational scope, cash falls once, Schedule E category and allocations agree, and no per-unit copies are created.</x:v>
      </x:c>
      <x:c r="N1475" s="35" t="str">
        <x:v>Source preview; review/form; expense detail; line items; Property/Unit ledger; audit; accounting/report delta.</x:v>
      </x:c>
      <x:c r="O1475" s="35" t="str">
        <x:v>On marked duplicate-invoice cases, re-upload before confirm and prove the product prevents or clearly warns about duplication.</x:v>
      </x:c>
      <x:c r="P1475" s="35" t="str">
        <x:v>All expected records and amounts match; no unexplained error or stale state.</x:v>
      </x:c>
    </x:row>
    <x:row r="1476">
      <x:c r="A1476" s="20" t="str">
        <x:v>RUN-20270928-19</x:v>
      </x:c>
      <x:c r="B1476" s="23" t="n">
        <x:v>46658</x:v>
      </x:c>
      <x:c r="C1476" s="32" t="n">
        <x:v>19</x:v>
      </x:c>
      <x:c r="D1476" s="20" t="str">
        <x:v>Weekly operations</x:v>
      </x:c>
      <x:c r="E1476" s="20" t="str">
        <x:v>Property Manager</x:v>
      </x:c>
      <x:c r="F1476" s="20" t="str">
        <x:v>Web</x:v>
      </x:c>
      <x:c r="G1476" s="20" t="str">
        <x:v>Scanned receipt/invoice</x:v>
      </x:c>
      <x:c r="H1476" s="35" t="str">
        <x:v>Record, review, allocate, and pay operating expense</x:v>
      </x:c>
      <x:c r="I1476" s="35" t="str">
        <x:v>P018; Property scope; </x:v>
      </x:c>
      <x:c r="J1476" s="35" t="str">
        <x:v>SCN-0862</x:v>
      </x:c>
      <x:c r="K1476" s="35" t="str">
        <x:v>FIN-01588</x:v>
      </x:c>
      <x:c r="L1476" s="35" t="str">
        <x:v>Capture or upload the source; verify vendor, date, scope, category, line items, tax, amount, and work-order link; confirm; open detail; verify attachment; compare Money and Property/Unit views.</x:v>
      </x:c>
      <x:c r="M1476" s="35" t="str">
        <x:v>One expense exists at its real operational scope, cash falls once, Schedule E category and allocations agree, and no per-unit copies are created.</x:v>
      </x:c>
      <x:c r="N1476" s="35" t="str">
        <x:v>Source preview; review/form; expense detail; line items; Property/Unit ledger; audit; accounting/report delta.</x:v>
      </x:c>
      <x:c r="O1476" s="35" t="str">
        <x:v>On marked duplicate-invoice cases, re-upload before confirm and prove the product prevents or clearly warns about duplication.</x:v>
      </x:c>
      <x:c r="P1476" s="35" t="str">
        <x:v>All expected records and amounts match; no unexplained error or stale state.</x:v>
      </x:c>
    </x:row>
    <x:row r="1477">
      <x:c r="A1477" s="20" t="str">
        <x:v>RUN-20270928-20</x:v>
      </x:c>
      <x:c r="B1477" s="23" t="n">
        <x:v>46658</x:v>
      </x:c>
      <x:c r="C1477" s="32" t="n">
        <x:v>20</x:v>
      </x:c>
      <x:c r="D1477" s="20" t="str">
        <x:v>Weekly operations</x:v>
      </x:c>
      <x:c r="E1477" s="20" t="str">
        <x:v>Property Manager</x:v>
      </x:c>
      <x:c r="F1477" s="20" t="str">
        <x:v>Mobile</x:v>
      </x:c>
      <x:c r="G1477" s="20" t="str">
        <x:v>Scanned receipt/invoice</x:v>
      </x:c>
      <x:c r="H1477" s="35" t="str">
        <x:v>Record, review, allocate, and pay operating expense</x:v>
      </x:c>
      <x:c r="I1477" s="35" t="str">
        <x:v>P019; Property scope; </x:v>
      </x:c>
      <x:c r="J1477" s="35" t="str">
        <x:v>SCN-0867</x:v>
      </x:c>
      <x:c r="K1477" s="35" t="str">
        <x:v>FIN-01593</x:v>
      </x:c>
      <x:c r="L1477" s="35" t="str">
        <x:v>Capture or upload the source; verify vendor, date, scope, category, line items, tax, amount, and work-order link; confirm; open detail; verify attachment; compare Money and Property/Unit views.</x:v>
      </x:c>
      <x:c r="M1477" s="35" t="str">
        <x:v>One expense exists at its real operational scope, cash falls once, Schedule E category and allocations agree, and no per-unit copies are created.</x:v>
      </x:c>
      <x:c r="N1477" s="35" t="str">
        <x:v>Source preview; review/form; expense detail; line items; Property/Unit ledger; audit; accounting/report delta.</x:v>
      </x:c>
      <x:c r="O1477" s="35" t="str">
        <x:v>On marked duplicate-invoice cases, re-upload before confirm and prove the product prevents or clearly warns about duplication.</x:v>
      </x:c>
      <x:c r="P1477" s="35" t="str">
        <x:v>All expected records and amounts match; no unexplained error or stale state.</x:v>
      </x:c>
    </x:row>
    <x:row r="1478">
      <x:c r="A1478" s="20" t="str">
        <x:v>RUN-20270928-21</x:v>
      </x:c>
      <x:c r="B1478" s="23" t="n">
        <x:v>46658</x:v>
      </x:c>
      <x:c r="C1478" s="32" t="n">
        <x:v>21</x:v>
      </x:c>
      <x:c r="D1478" s="20" t="str">
        <x:v>Weekly operations</x:v>
      </x:c>
      <x:c r="E1478" s="20" t="str">
        <x:v>Property Manager</x:v>
      </x:c>
      <x:c r="F1478" s="20" t="str">
        <x:v>Web</x:v>
      </x:c>
      <x:c r="G1478" s="20" t="str">
        <x:v>Manual mobile form</x:v>
      </x:c>
      <x:c r="H1478" s="35" t="str">
        <x:v>Record, review, allocate, and pay operating expense</x:v>
      </x:c>
      <x:c r="I1478" s="35" t="str">
        <x:v>P020; Property scope; </x:v>
      </x:c>
      <x:c r="J1478" s="35" t="str"/>
      <x:c r="K1478" s="35" t="str">
        <x:v>FIN-01598</x:v>
      </x:c>
      <x:c r="L1478" s="35" t="str">
        <x:v>Capture or upload the source; verify vendor, date, scope, category, line items, tax, amount, and work-order link; confirm; open detail; verify attachment; compare Money and Property/Unit views.</x:v>
      </x:c>
      <x:c r="M1478" s="35" t="str">
        <x:v>One expense exists at its real operational scope, cash falls once, Schedule E category and allocations agree, and no per-unit copies are created.</x:v>
      </x:c>
      <x:c r="N1478" s="35" t="str">
        <x:v>Source preview; review/form; expense detail; line items; Property/Unit ledger; audit; accounting/report delta.</x:v>
      </x:c>
      <x:c r="O1478" s="35" t="str">
        <x:v>On marked duplicate-invoice cases, re-upload before confirm and prove the product prevents or clearly warns about duplication.</x:v>
      </x:c>
      <x:c r="P1478" s="35" t="str">
        <x:v>All expected records and amounts match; no unexplained error or stale state.</x:v>
      </x:c>
    </x:row>
    <x:row r="1479">
      <x:c r="A1479" s="20" t="str">
        <x:v>RUN-20270928-22</x:v>
      </x:c>
      <x:c r="B1479" s="23" t="n">
        <x:v>46658</x:v>
      </x:c>
      <x:c r="C1479" s="32" t="n">
        <x:v>22</x:v>
      </x:c>
      <x:c r="D1479" s="20" t="str">
        <x:v>Weekly operations</x:v>
      </x:c>
      <x:c r="E1479" s="20" t="str">
        <x:v>Property Manager</x:v>
      </x:c>
      <x:c r="F1479" s="20" t="str">
        <x:v>Mobile</x:v>
      </x:c>
      <x:c r="G1479" s="20" t="str">
        <x:v>Scanned receipt/invoice</x:v>
      </x:c>
      <x:c r="H1479" s="35" t="str">
        <x:v>Record, review, allocate, and pay operating expense</x:v>
      </x:c>
      <x:c r="I1479" s="35" t="str">
        <x:v>P021; Property scope; </x:v>
      </x:c>
      <x:c r="J1479" s="35" t="str">
        <x:v>SCN-0872</x:v>
      </x:c>
      <x:c r="K1479" s="35" t="str">
        <x:v>FIN-01603</x:v>
      </x:c>
      <x:c r="L1479" s="35" t="str">
        <x:v>Capture or upload the source; verify vendor, date, scope, category, line items, tax, amount, and work-order link; confirm; open detail; verify attachment; compare Money and Property/Unit views.</x:v>
      </x:c>
      <x:c r="M1479" s="35" t="str">
        <x:v>One expense exists at its real operational scope, cash falls once, Schedule E category and allocations agree, and no per-unit copies are created.</x:v>
      </x:c>
      <x:c r="N1479" s="35" t="str">
        <x:v>Source preview; review/form; expense detail; line items; Property/Unit ledger; audit; accounting/report delta.</x:v>
      </x:c>
      <x:c r="O1479" s="35" t="str">
        <x:v>On marked duplicate-invoice cases, re-upload before confirm and prove the product prevents or clearly warns about duplication.</x:v>
      </x:c>
      <x:c r="P1479" s="35" t="str">
        <x:v>All expected records and amounts match; no unexplained error or stale state.</x:v>
      </x:c>
    </x:row>
    <x:row r="1480">
      <x:c r="A1480" s="20" t="str">
        <x:v>RUN-20270928-23</x:v>
      </x:c>
      <x:c r="B1480" s="23" t="n">
        <x:v>46658</x:v>
      </x:c>
      <x:c r="C1480" s="32" t="n">
        <x:v>23</x:v>
      </x:c>
      <x:c r="D1480" s="20" t="str">
        <x:v>Weekly operations</x:v>
      </x:c>
      <x:c r="E1480" s="20" t="str">
        <x:v>Property Manager</x:v>
      </x:c>
      <x:c r="F1480" s="20" t="str">
        <x:v>Web</x:v>
      </x:c>
      <x:c r="G1480" s="20" t="str">
        <x:v>Scanned receipt/invoice</x:v>
      </x:c>
      <x:c r="H1480" s="35" t="str">
        <x:v>Record, review, allocate, and pay operating expense</x:v>
      </x:c>
      <x:c r="I1480" s="35" t="str">
        <x:v>P022; Property scope; </x:v>
      </x:c>
      <x:c r="J1480" s="35" t="str">
        <x:v>SCN-0877</x:v>
      </x:c>
      <x:c r="K1480" s="35" t="str">
        <x:v>FIN-01608</x:v>
      </x:c>
      <x:c r="L1480" s="35" t="str">
        <x:v>Capture or upload the source; verify vendor, date, scope, category, line items, tax, amount, and work-order link; confirm; open detail; verify attachment; compare Money and Property/Unit views.</x:v>
      </x:c>
      <x:c r="M1480" s="35" t="str">
        <x:v>One expense exists at its real operational scope, cash falls once, Schedule E category and allocations agree, and no per-unit copies are created.</x:v>
      </x:c>
      <x:c r="N1480" s="35" t="str">
        <x:v>Source preview; review/form; expense detail; line items; Property/Unit ledger; audit; accounting/report delta.</x:v>
      </x:c>
      <x:c r="O1480" s="35" t="str">
        <x:v>On marked duplicate-invoice cases, re-upload before confirm and prove the product prevents or clearly warns about duplication.</x:v>
      </x:c>
      <x:c r="P1480" s="35" t="str">
        <x:v>All expected records and amounts match; no unexplained error or stale state.</x:v>
      </x:c>
    </x:row>
    <x:row r="1481">
      <x:c r="A1481" s="20" t="str">
        <x:v>RUN-20270928-24</x:v>
      </x:c>
      <x:c r="B1481" s="23" t="n">
        <x:v>46658</x:v>
      </x:c>
      <x:c r="C1481" s="32" t="n">
        <x:v>24</x:v>
      </x:c>
      <x:c r="D1481" s="20" t="str">
        <x:v>Weekly operations</x:v>
      </x:c>
      <x:c r="E1481" s="20" t="str">
        <x:v>Property Manager</x:v>
      </x:c>
      <x:c r="F1481" s="20" t="str">
        <x:v>Mobile</x:v>
      </x:c>
      <x:c r="G1481" s="20" t="str">
        <x:v>Scanned receipt/invoice</x:v>
      </x:c>
      <x:c r="H1481" s="35" t="str">
        <x:v>Record, review, allocate, and pay operating expense</x:v>
      </x:c>
      <x:c r="I1481" s="35" t="str">
        <x:v>P023; Property scope; </x:v>
      </x:c>
      <x:c r="J1481" s="35" t="str">
        <x:v>SCN-0882</x:v>
      </x:c>
      <x:c r="K1481" s="35" t="str">
        <x:v>FIN-01613</x:v>
      </x:c>
      <x:c r="L1481" s="35" t="str">
        <x:v>Capture or upload the source; verify vendor, date, scope, category, line items, tax, amount, and work-order link; confirm; open detail; verify attachment; compare Money and Property/Unit views.</x:v>
      </x:c>
      <x:c r="M1481" s="35" t="str">
        <x:v>One expense exists at its real operational scope, cash falls once, Schedule E category and allocations agree, and no per-unit copies are created.</x:v>
      </x:c>
      <x:c r="N1481" s="35" t="str">
        <x:v>Source preview; review/form; expense detail; line items; Property/Unit ledger; audit; accounting/report delta.</x:v>
      </x:c>
      <x:c r="O1481" s="35" t="str">
        <x:v>On marked duplicate-invoice cases, re-upload before confirm and prove the product prevents or clearly warns about duplication.</x:v>
      </x:c>
      <x:c r="P1481" s="35" t="str">
        <x:v>All expected records and amounts match; no unexplained error or stale state.</x:v>
      </x:c>
    </x:row>
    <x:row r="1482">
      <x:c r="A1482" s="20" t="str">
        <x:v>RUN-20270928-25</x:v>
      </x:c>
      <x:c r="B1482" s="23" t="n">
        <x:v>46658</x:v>
      </x:c>
      <x:c r="C1482" s="32" t="n">
        <x:v>25</x:v>
      </x:c>
      <x:c r="D1482" s="20" t="str">
        <x:v>Weekly operations</x:v>
      </x:c>
      <x:c r="E1482" s="20" t="str">
        <x:v>Property Manager</x:v>
      </x:c>
      <x:c r="F1482" s="20" t="str">
        <x:v>Web</x:v>
      </x:c>
      <x:c r="G1482" s="20" t="str">
        <x:v>Scanned receipt/invoice</x:v>
      </x:c>
      <x:c r="H1482" s="35" t="str">
        <x:v>Record, review, allocate, and pay operating expense</x:v>
      </x:c>
      <x:c r="I1482" s="35" t="str">
        <x:v>P024; Property scope; </x:v>
      </x:c>
      <x:c r="J1482" s="35" t="str">
        <x:v>SCN-0887</x:v>
      </x:c>
      <x:c r="K1482" s="35" t="str">
        <x:v>FIN-01618</x:v>
      </x:c>
      <x:c r="L1482" s="35" t="str">
        <x:v>Capture or upload the source; verify vendor, date, scope, category, line items, tax, amount, and work-order link; confirm; open detail; verify attachment; compare Money and Property/Unit views.</x:v>
      </x:c>
      <x:c r="M1482" s="35" t="str">
        <x:v>One expense exists at its real operational scope, cash falls once, Schedule E category and allocations agree, and no per-unit copies are created.</x:v>
      </x:c>
      <x:c r="N1482" s="35" t="str">
        <x:v>Source preview; review/form; expense detail; line items; Property/Unit ledger; audit; accounting/report delta.</x:v>
      </x:c>
      <x:c r="O1482" s="35" t="str">
        <x:v>On marked duplicate-invoice cases, re-upload before confirm and prove the product prevents or clearly warns about duplication.</x:v>
      </x:c>
      <x:c r="P1482" s="35" t="str">
        <x:v>All expected records and amounts match; no unexplained error or stale state.</x:v>
      </x:c>
    </x:row>
    <x:row r="1483">
      <x:c r="A1483" s="20" t="str">
        <x:v>RUN-20270928-26</x:v>
      </x:c>
      <x:c r="B1483" s="23" t="n">
        <x:v>46658</x:v>
      </x:c>
      <x:c r="C1483" s="32" t="n">
        <x:v>26</x:v>
      </x:c>
      <x:c r="D1483" s="20" t="str">
        <x:v>Weekly operations</x:v>
      </x:c>
      <x:c r="E1483" s="20" t="str">
        <x:v>Property Manager</x:v>
      </x:c>
      <x:c r="F1483" s="20" t="str">
        <x:v>Mobile</x:v>
      </x:c>
      <x:c r="G1483" s="20" t="str">
        <x:v>Manual web form</x:v>
      </x:c>
      <x:c r="H1483" s="35" t="str">
        <x:v>Record, review, allocate, and pay operating expense</x:v>
      </x:c>
      <x:c r="I1483" s="35" t="str">
        <x:v>P025; Property scope; </x:v>
      </x:c>
      <x:c r="J1483" s="35" t="str"/>
      <x:c r="K1483" s="35" t="str">
        <x:v>FIN-01623</x:v>
      </x:c>
      <x:c r="L1483" s="35" t="str">
        <x:v>Capture or upload the source; verify vendor, date, scope, category, line items, tax, amount, and work-order link; confirm; open detail; verify attachment; compare Money and Property/Unit views.</x:v>
      </x:c>
      <x:c r="M1483" s="35" t="str">
        <x:v>One expense exists at its real operational scope, cash falls once, Schedule E category and allocations agree, and no per-unit copies are created.</x:v>
      </x:c>
      <x:c r="N1483" s="35" t="str">
        <x:v>Source preview; review/form; expense detail; line items; Property/Unit ledger; audit; accounting/report delta.</x:v>
      </x:c>
      <x:c r="O1483" s="35" t="str">
        <x:v>On marked duplicate-invoice cases, re-upload before confirm and prove the product prevents or clearly warns about duplication.</x:v>
      </x:c>
      <x:c r="P1483" s="35" t="str">
        <x:v>All expected records and amounts match; no unexplained error or stale state.</x:v>
      </x:c>
    </x:row>
    <x:row r="1484">
      <x:c r="A1484" s="20" t="str">
        <x:v>RUN-20270928-27</x:v>
      </x:c>
      <x:c r="B1484" s="23" t="n">
        <x:v>46658</x:v>
      </x:c>
      <x:c r="C1484" s="32" t="n">
        <x:v>27</x:v>
      </x:c>
      <x:c r="D1484" s="20" t="str">
        <x:v>Weekly operations</x:v>
      </x:c>
      <x:c r="E1484" s="20" t="str">
        <x:v>Property Manager</x:v>
      </x:c>
      <x:c r="F1484" s="20" t="str">
        <x:v>Web</x:v>
      </x:c>
      <x:c r="G1484" s="20" t="str">
        <x:v>Scanned receipt/invoice</x:v>
      </x:c>
      <x:c r="H1484" s="35" t="str">
        <x:v>Record, review, allocate, and pay operating expense</x:v>
      </x:c>
      <x:c r="I1484" s="35" t="str">
        <x:v>P026; Property scope; </x:v>
      </x:c>
      <x:c r="J1484" s="35" t="str">
        <x:v>SCN-0892</x:v>
      </x:c>
      <x:c r="K1484" s="35" t="str">
        <x:v>FIN-01628</x:v>
      </x:c>
      <x:c r="L1484" s="35" t="str">
        <x:v>Capture or upload the source; verify vendor, date, scope, category, line items, tax, amount, and work-order link; confirm; open detail; verify attachment; compare Money and Property/Unit views.</x:v>
      </x:c>
      <x:c r="M1484" s="35" t="str">
        <x:v>One expense exists at its real operational scope, cash falls once, Schedule E category and allocations agree, and no per-unit copies are created.</x:v>
      </x:c>
      <x:c r="N1484" s="35" t="str">
        <x:v>Source preview; review/form; expense detail; line items; Property/Unit ledger; audit; accounting/report delta.</x:v>
      </x:c>
      <x:c r="O1484" s="35" t="str">
        <x:v>On marked duplicate-invoice cases, re-upload before confirm and prove the product prevents or clearly warns about duplication.</x:v>
      </x:c>
      <x:c r="P1484" s="35" t="str">
        <x:v>All expected records and amounts match; no unexplained error or stale state.</x:v>
      </x:c>
    </x:row>
    <x:row r="1485">
      <x:c r="A1485" s="20" t="str">
        <x:v>RUN-20270928-28</x:v>
      </x:c>
      <x:c r="B1485" s="23" t="n">
        <x:v>46658</x:v>
      </x:c>
      <x:c r="C1485" s="32" t="n">
        <x:v>28</x:v>
      </x:c>
      <x:c r="D1485" s="20" t="str">
        <x:v>Weekly operations</x:v>
      </x:c>
      <x:c r="E1485" s="20" t="str">
        <x:v>Property Manager</x:v>
      </x:c>
      <x:c r="F1485" s="20" t="str">
        <x:v>Mobile</x:v>
      </x:c>
      <x:c r="G1485" s="20" t="str">
        <x:v>Scanned receipt/invoice</x:v>
      </x:c>
      <x:c r="H1485" s="35" t="str">
        <x:v>Record, review, allocate, and pay operating expense</x:v>
      </x:c>
      <x:c r="I1485" s="35" t="str">
        <x:v>P027; Property scope; </x:v>
      </x:c>
      <x:c r="J1485" s="35" t="str">
        <x:v>SCN-0897</x:v>
      </x:c>
      <x:c r="K1485" s="35" t="str">
        <x:v>FIN-01633</x:v>
      </x:c>
      <x:c r="L1485" s="35" t="str">
        <x:v>Capture or upload the source; verify vendor, date, scope, category, line items, tax, amount, and work-order link; confirm; open detail; verify attachment; compare Money and Property/Unit views.</x:v>
      </x:c>
      <x:c r="M1485" s="35" t="str">
        <x:v>One expense exists at its real operational scope, cash falls once, Schedule E category and allocations agree, and no per-unit copies are created.</x:v>
      </x:c>
      <x:c r="N1485" s="35" t="str">
        <x:v>Source preview; review/form; expense detail; line items; Property/Unit ledger; audit; accounting/report delta.</x:v>
      </x:c>
      <x:c r="O1485" s="35" t="str">
        <x:v>On marked duplicate-invoice cases, re-upload before confirm and prove the product prevents or clearly warns about duplication.</x:v>
      </x:c>
      <x:c r="P1485" s="35" t="str">
        <x:v>All expected records and amounts match; no unexplained error or stale state.</x:v>
      </x:c>
    </x:row>
    <x:row r="1486">
      <x:c r="A1486" s="20" t="str">
        <x:v>RUN-20270928-29</x:v>
      </x:c>
      <x:c r="B1486" s="23" t="n">
        <x:v>46658</x:v>
      </x:c>
      <x:c r="C1486" s="32" t="n">
        <x:v>29</x:v>
      </x:c>
      <x:c r="D1486" s="20" t="str">
        <x:v>Weekly operations</x:v>
      </x:c>
      <x:c r="E1486" s="20" t="str">
        <x:v>Property Manager</x:v>
      </x:c>
      <x:c r="F1486" s="20" t="str">
        <x:v>Web</x:v>
      </x:c>
      <x:c r="G1486" s="20" t="str">
        <x:v>Scanned receipt/invoice</x:v>
      </x:c>
      <x:c r="H1486" s="35" t="str">
        <x:v>Record, review, allocate, and pay operating expense</x:v>
      </x:c>
      <x:c r="I1486" s="35" t="str">
        <x:v>P028; Property scope; </x:v>
      </x:c>
      <x:c r="J1486" s="35" t="str">
        <x:v>SCN-0902</x:v>
      </x:c>
      <x:c r="K1486" s="35" t="str">
        <x:v>FIN-01638</x:v>
      </x:c>
      <x:c r="L1486" s="35" t="str">
        <x:v>Capture or upload the source; verify vendor, date, scope, category, line items, tax, amount, and work-order link; confirm; open detail; verify attachment; compare Money and Property/Unit views.</x:v>
      </x:c>
      <x:c r="M1486" s="35" t="str">
        <x:v>One expense exists at its real operational scope, cash falls once, Schedule E category and allocations agree, and no per-unit copies are created.</x:v>
      </x:c>
      <x:c r="N1486" s="35" t="str">
        <x:v>Source preview; review/form; expense detail; line items; Property/Unit ledger; audit; accounting/report delta.</x:v>
      </x:c>
      <x:c r="O1486" s="35" t="str">
        <x:v>On marked duplicate-invoice cases, re-upload before confirm and prove the product prevents or clearly warns about duplication.</x:v>
      </x:c>
      <x:c r="P1486" s="35" t="str">
        <x:v>All expected records and amounts match; no unexplained error or stale state.</x:v>
      </x:c>
    </x:row>
    <x:row r="1487">
      <x:c r="A1487" s="20" t="str">
        <x:v>RUN-20270928-30</x:v>
      </x:c>
      <x:c r="B1487" s="23" t="n">
        <x:v>46658</x:v>
      </x:c>
      <x:c r="C1487" s="32" t="n">
        <x:v>30</x:v>
      </x:c>
      <x:c r="D1487" s="20" t="str">
        <x:v>Weekly operations</x:v>
      </x:c>
      <x:c r="E1487" s="20" t="str">
        <x:v>Property Manager</x:v>
      </x:c>
      <x:c r="F1487" s="20" t="str">
        <x:v>Mobile</x:v>
      </x:c>
      <x:c r="G1487" s="20" t="str">
        <x:v>Scanned receipt/invoice</x:v>
      </x:c>
      <x:c r="H1487" s="35" t="str">
        <x:v>Record, review, allocate, and pay operating expense</x:v>
      </x:c>
      <x:c r="I1487" s="35" t="str">
        <x:v>P029; Property scope; </x:v>
      </x:c>
      <x:c r="J1487" s="35" t="str">
        <x:v>SCN-0907</x:v>
      </x:c>
      <x:c r="K1487" s="35" t="str">
        <x:v>FIN-01643</x:v>
      </x:c>
      <x:c r="L1487" s="35" t="str">
        <x:v>Capture or upload the source; verify vendor, date, scope, category, line items, tax, amount, and work-order link; confirm; open detail; verify attachment; compare Money and Property/Unit views.</x:v>
      </x:c>
      <x:c r="M1487" s="35" t="str">
        <x:v>One expense exists at its real operational scope, cash falls once, Schedule E category and allocations agree, and no per-unit copies are created.</x:v>
      </x:c>
      <x:c r="N1487" s="35" t="str">
        <x:v>Source preview; review/form; expense detail; line items; Property/Unit ledger; audit; accounting/report delta.</x:v>
      </x:c>
      <x:c r="O1487" s="35" t="str">
        <x:v>On marked duplicate-invoice cases, re-upload before confirm and prove the product prevents or clearly warns about duplication.</x:v>
      </x:c>
      <x:c r="P1487" s="35" t="str">
        <x:v>All expected records and amounts match; no unexplained error or stale state.</x:v>
      </x:c>
    </x:row>
    <x:row r="1488">
      <x:c r="A1488" s="20" t="str">
        <x:v>RUN-20270928-31</x:v>
      </x:c>
      <x:c r="B1488" s="23" t="n">
        <x:v>46658</x:v>
      </x:c>
      <x:c r="C1488" s="32" t="n">
        <x:v>31</x:v>
      </x:c>
      <x:c r="D1488" s="20" t="str">
        <x:v>Weekly operations</x:v>
      </x:c>
      <x:c r="E1488" s="20" t="str">
        <x:v>Property Manager</x:v>
      </x:c>
      <x:c r="F1488" s="20" t="str">
        <x:v>Web</x:v>
      </x:c>
      <x:c r="G1488" s="20" t="str">
        <x:v>Manual mobile form</x:v>
      </x:c>
      <x:c r="H1488" s="35" t="str">
        <x:v>Record, review, allocate, and pay operating expense</x:v>
      </x:c>
      <x:c r="I1488" s="35" t="str">
        <x:v>P030; Property scope; </x:v>
      </x:c>
      <x:c r="J1488" s="35" t="str"/>
      <x:c r="K1488" s="35" t="str">
        <x:v>FIN-01648</x:v>
      </x:c>
      <x:c r="L1488" s="35" t="str">
        <x:v>Capture or upload the source; verify vendor, date, scope, category, line items, tax, amount, and work-order link; confirm; open detail; verify attachment; compare Money and Property/Unit views.</x:v>
      </x:c>
      <x:c r="M1488" s="35" t="str">
        <x:v>One expense exists at its real operational scope, cash falls once, Schedule E category and allocations agree, and no per-unit copies are created.</x:v>
      </x:c>
      <x:c r="N1488" s="35" t="str">
        <x:v>Source preview; review/form; expense detail; line items; Property/Unit ledger; audit; accounting/report delta.</x:v>
      </x:c>
      <x:c r="O1488" s="35" t="str">
        <x:v>On marked duplicate-invoice cases, re-upload before confirm and prove the product prevents or clearly warns about duplication.</x:v>
      </x:c>
      <x:c r="P1488" s="35" t="str">
        <x:v>All expected records and amounts match; no unexplained error or stale state.</x:v>
      </x:c>
    </x:row>
    <x:row r="1489">
      <x:c r="A1489" s="20" t="str">
        <x:v>RUN-20270928-32</x:v>
      </x:c>
      <x:c r="B1489" s="23" t="n">
        <x:v>46658</x:v>
      </x:c>
      <x:c r="C1489" s="32" t="n">
        <x:v>32</x:v>
      </x:c>
      <x:c r="D1489" s="20" t="str">
        <x:v>Field certification</x:v>
      </x:c>
      <x:c r="E1489" s="20" t="str">
        <x:v>Applicant / public user</x:v>
      </x:c>
      <x:c r="F1489" s="20" t="str">
        <x:v>Web</x:v>
      </x:c>
      <x:c r="G1489" s="20" t="str">
        <x:v>Manual field-by-field</x:v>
      </x:c>
      <x:c r="H1489" s="35" t="str">
        <x:v>Fill, save, reload, edit, and validate every declared field on /apply/[token]</x:v>
      </x:c>
      <x:c r="I1489" s="35" t="str">
        <x:v>FLD-0794</x:v>
      </x:c>
      <x:c r="J1489" s="35" t="str"/>
      <x:c r="K1489" s="35" t="str"/>
      <x:c r="L1489" s="35" t="str">
        <x:v>Use the source-derived Field Inventory. Enter non-default realistic values in every control (input-14); submit; reload or relaunch; compare every value; edit each mutable field; verify the paired client; then run required, format, length, range, boundary, optional-null, and stale-submit checks.</x:v>
      </x:c>
      <x:c r="M1489" s="35" t="str">
        <x:v>All 1 inventoried controls persist exact normalized values, invalid values stay unsaved with clear errors, and hidden/unauthorized fields cannot be altered.</x:v>
      </x:c>
      <x:c r="N1489" s="35" t="str">
        <x:v>Before/after form screenshots; FLD IDs; API response; reloaded UI; paired-client read-back; database/audit evidence; negative validation result.</x:v>
      </x:c>
      <x:c r="O1489" s="35" t="str">
        <x:v>Use a duplicate submit and one simulated network interruption; one atomic mutation or none, never partial state.</x:v>
      </x:c>
      <x:c r="P1489" s="35" t="str">
        <x:v>All expected records and amounts match; no unexplained error or stale state.</x:v>
      </x:c>
    </x:row>
    <x:row r="1490">
      <x:c r="A1490" s="20" t="str">
        <x:v>RUN-20270928-33</x:v>
      </x:c>
      <x:c r="B1490" s="23" t="n">
        <x:v>46658</x:v>
      </x:c>
      <x:c r="C1490" s="32" t="n">
        <x:v>33</x:v>
      </x:c>
      <x:c r="D1490" s="20" t="str">
        <x:v>Field certification</x:v>
      </x:c>
      <x:c r="E1490" s="20" t="str">
        <x:v>Applicant / public user</x:v>
      </x:c>
      <x:c r="F1490" s="20" t="str">
        <x:v>Web</x:v>
      </x:c>
      <x:c r="G1490" s="20" t="str">
        <x:v>Manual field-by-field</x:v>
      </x:c>
      <x:c r="H1490" s="35" t="str">
        <x:v>Fill, save, reload, edit, and validate every declared field on /forgot-password</x:v>
      </x:c>
      <x:c r="I1490" s="35" t="str">
        <x:v>FLD-0795</x:v>
      </x:c>
      <x:c r="J1490" s="35" t="str"/>
      <x:c r="K1490" s="35" t="str"/>
      <x:c r="L1490" s="35" t="str">
        <x:v>Use the source-derived Field Inventory. Enter non-default realistic values in every control (email); submit; reload or relaunch; compare every value; edit each mutable field; verify the paired client; then run required, format, length, range, boundary, optional-null, and stale-submit checks.</x:v>
      </x:c>
      <x:c r="M1490" s="35" t="str">
        <x:v>All 1 inventoried controls persist exact normalized values, invalid values stay unsaved with clear errors, and hidden/unauthorized fields cannot be altered.</x:v>
      </x:c>
      <x:c r="N1490" s="35" t="str">
        <x:v>Before/after form screenshots; FLD IDs; API response; reloaded UI; paired-client read-back; database/audit evidence; negative validation result.</x:v>
      </x:c>
      <x:c r="O1490" s="35" t="str">
        <x:v>Use a duplicate submit and one simulated network interruption; one atomic mutation or none, never partial state.</x:v>
      </x:c>
      <x:c r="P1490" s="35" t="str">
        <x:v>All expected records and amounts match; no unexplained error or stale state.</x:v>
      </x:c>
    </x:row>
    <x:row r="1491">
      <x:c r="A1491" s="20" t="str">
        <x:v>RUN-20270928-34</x:v>
      </x:c>
      <x:c r="B1491" s="23" t="n">
        <x:v>46658</x:v>
      </x:c>
      <x:c r="C1491" s="32" t="n">
        <x:v>34</x:v>
      </x:c>
      <x:c r="D1491" s="20" t="str">
        <x:v>Field certification</x:v>
      </x:c>
      <x:c r="E1491" s="20" t="str">
        <x:v>Applicant / public user</x:v>
      </x:c>
      <x:c r="F1491" s="20" t="str">
        <x:v>Web</x:v>
      </x:c>
      <x:c r="G1491" s="20" t="str">
        <x:v>Manual field-by-field</x:v>
      </x:c>
      <x:c r="H1491" s="35" t="str">
        <x:v>Fill, save, reload, edit, and validate every declared field on /login</x:v>
      </x:c>
      <x:c r="I1491" s="35" t="str">
        <x:v>FLD-0796; FLD-0797</x:v>
      </x:c>
      <x:c r="J1491" s="35" t="str"/>
      <x:c r="K1491" s="35" t="str"/>
      <x:c r="L1491" s="35" t="str">
        <x:v>Use the source-derived Field Inventory. Enter non-default realistic values in every control (redirectTo; accessContextId); submit; reload or relaunch; compare every value; edit each mutable field; verify the paired client; then run required, format, length, range, boundary, optional-null, and stale-submit checks.</x:v>
      </x:c>
      <x:c r="M1491" s="35" t="str">
        <x:v>All 2 inventoried controls persist exact normalized values, invalid values stay unsaved with clear errors, and hidden/unauthorized fields cannot be altered.</x:v>
      </x:c>
      <x:c r="N1491" s="35" t="str">
        <x:v>Before/after form screenshots; FLD IDs; API response; reloaded UI; paired-client read-back; database/audit evidence; negative validation result.</x:v>
      </x:c>
      <x:c r="O1491" s="35" t="str">
        <x:v>Use a duplicate submit and one simulated network interruption; one atomic mutation or none, never partial state.</x:v>
      </x:c>
      <x:c r="P1491" s="35" t="str">
        <x:v>All expected records and amounts match; no unexplained error or stale state.</x:v>
      </x:c>
    </x:row>
    <x:row r="1492">
      <x:c r="A1492" s="20" t="str">
        <x:v>RUN-20270928-35</x:v>
      </x:c>
      <x:c r="B1492" s="23" t="n">
        <x:v>46658</x:v>
      </x:c>
      <x:c r="C1492" s="32" t="n">
        <x:v>35</x:v>
      </x:c>
      <x:c r="D1492" s="20" t="str">
        <x:v>Surface coverage</x:v>
      </x:c>
      <x:c r="E1492" s="20" t="str">
        <x:v>Role appropriate to surface</x:v>
      </x:c>
      <x:c r="F1492" s="20" t="str">
        <x:v>Web</x:v>
      </x:c>
      <x:c r="G1492" s="20" t="str">
        <x:v>Scan/attachment</x:v>
      </x:c>
      <x:c r="H1492" s="35" t="str">
        <x:v>Scan web pass: Conversations and messages</x:v>
      </x:c>
      <x:c r="I1492" s="35" t="str">
        <x:v>COV-034</x:v>
      </x:c>
      <x:c r="J1492" s="35" t="str"/>
      <x:c r="K1492" s="35" t="str"/>
      <x:c r="L1492" s="35" t="str">
        <x:v>Create landlord-tenant, owner, and team conversations; send text/attachment; unread/read; deep link; role isolation.</x:v>
      </x:c>
      <x:c r="M1492" s="35" t="str">
        <x:v>The supported workflow completes and persists correctly; if the capability is absent, the exact gap is proven and queued rather than silently skipped.</x:v>
      </x:c>
      <x:c r="N1492" s="35" t="str">
        <x:v>Real UI screenshot/state; submitted values; persisted read-back; cross-client read-back; audit/role/access evidence.</x:v>
      </x:c>
      <x:c r="O1492" s="35" t="str">
        <x:v>Use one invalid value, stale-state retry, or duplicate submission relevant to the form; no partial or duplicate mutation.</x:v>
      </x:c>
      <x:c r="P1492" s="35" t="str">
        <x:v>All expected records and amounts match; no unexplained error or stale state.</x:v>
      </x:c>
    </x:row>
    <x:row r="1493">
      <x:c r="A1493" s="20" t="str">
        <x:v>RUN-20270929-01</x:v>
      </x:c>
      <x:c r="B1493" s="23" t="n">
        <x:v>46659</x:v>
      </x:c>
      <x:c r="C1493" s="32" t="n">
        <x:v>1</x:v>
      </x:c>
      <x:c r="D1493" s="20" t="str">
        <x:v>Role and screen certification</x:v>
      </x:c>
      <x:c r="E1493" s="20" t="str">
        <x:v>Applicant / public user</x:v>
      </x:c>
      <x:c r="F1493" s="20" t="str">
        <x:v>Mobile</x:v>
      </x:c>
      <x:c r="G1493" s="20" t="str">
        <x:v>Normal persona navigation</x:v>
      </x:c>
      <x:c r="H1493" s="35" t="str">
        <x:v>Use every permitted action and state on features/money/receipt_viewer_screen.dart</x:v>
      </x:c>
      <x:c r="I1493" s="35" t="str">
        <x:v>SCR-146; ROLE-249</x:v>
      </x:c>
      <x:c r="J1493" s="35" t="str"/>
      <x:c r="K1493" s="35" t="str"/>
      <x:c r="L149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93" s="35" t="str">
        <x:v>The persona can use every allowed action with only its assigned properties/relationships. Hidden or disabled actions explain why; an adjacent unauthorized persona is denied without metadata leakage.</x:v>
      </x:c>
      <x:c r="N1493" s="35" t="str">
        <x:v>Persona/experience; navigation entry; desktop or device screenshots; result state; persisted read-back; audit/history; authorized and denied network result.</x:v>
      </x:c>
      <x:c r="O1493" s="35" t="str">
        <x:v>Open the direct URL or deep link with an adjacent unauthorized persona and with stale scope; both fail closed and land safely without mutation.</x:v>
      </x:c>
      <x:c r="P1493" s="35" t="str">
        <x:v>All expected records and amounts match; no unexplained error or stale state.</x:v>
      </x:c>
    </x:row>
    <x:row r="1494">
      <x:c r="A1494" s="20" t="str">
        <x:v>RUN-20270929-02</x:v>
      </x:c>
      <x:c r="B1494" s="23" t="n">
        <x:v>46659</x:v>
      </x:c>
      <x:c r="C1494" s="32" t="n">
        <x:v>2</x:v>
      </x:c>
      <x:c r="D1494" s="20" t="str">
        <x:v>Field certification</x:v>
      </x:c>
      <x:c r="E1494" s="20" t="str">
        <x:v>Applicant / public user</x:v>
      </x:c>
      <x:c r="F1494" s="20" t="str">
        <x:v>Web</x:v>
      </x:c>
      <x:c r="G1494" s="20" t="str">
        <x:v>Manual field-by-field</x:v>
      </x:c>
      <x:c r="H1494" s="35" t="str">
        <x:v>Fill, save, reload, edit, and validate every declared field on /login</x:v>
      </x:c>
      <x:c r="I1494" s="35" t="str">
        <x:v>FLD-0798; FLD-0799</x:v>
      </x:c>
      <x:c r="J1494" s="35" t="str"/>
      <x:c r="K1494" s="35" t="str"/>
      <x:c r="L1494" s="35" t="str">
        <x:v>Use the source-derived Field Inventory. Enter non-default realistic values in every control (email; password); submit; reload or relaunch; compare every value; edit each mutable field; verify the paired client; then run required, format, length, range, boundary, optional-null, and stale-submit checks.</x:v>
      </x:c>
      <x:c r="M1494" s="35" t="str">
        <x:v>All 2 inventoried controls persist exact normalized values, invalid values stay unsaved with clear errors, and hidden/unauthorized fields cannot be altered.</x:v>
      </x:c>
      <x:c r="N1494" s="35" t="str">
        <x:v>Before/after form screenshots; FLD IDs; API response; reloaded UI; paired-client read-back; database/audit evidence; negative validation result.</x:v>
      </x:c>
      <x:c r="O1494" s="35" t="str">
        <x:v>Use a duplicate submit and one simulated network interruption; one atomic mutation or none, never partial state.</x:v>
      </x:c>
      <x:c r="P1494" s="35" t="str">
        <x:v>All expected records and amounts match; no unexplained error or stale state.</x:v>
      </x:c>
    </x:row>
    <x:row r="1495">
      <x:c r="A1495" s="20" t="str">
        <x:v>RUN-20270929-03</x:v>
      </x:c>
      <x:c r="B1495" s="23" t="n">
        <x:v>46659</x:v>
      </x:c>
      <x:c r="C1495" s="32" t="n">
        <x:v>3</x:v>
      </x:c>
      <x:c r="D1495" s="20" t="str">
        <x:v>Field certification</x:v>
      </x:c>
      <x:c r="E1495" s="20" t="str">
        <x:v>Applicant / public user</x:v>
      </x:c>
      <x:c r="F1495" s="20" t="str">
        <x:v>Web</x:v>
      </x:c>
      <x:c r="G1495" s="20" t="str">
        <x:v>Manual field-by-field</x:v>
      </x:c>
      <x:c r="H1495" s="35" t="str">
        <x:v>Fill, save, reload, edit, and validate every declared field on /register</x:v>
      </x:c>
      <x:c r="I1495" s="35" t="str">
        <x:v>FLD-0800; FLD-0801; FLD-0802</x:v>
      </x:c>
      <x:c r="J1495" s="35" t="str"/>
      <x:c r="K1495" s="35" t="str"/>
      <x:c r="L1495" s="35" t="str">
        <x:v>Use the source-derived Field Inventory. Enter non-default realistic values in every control (displayName; email; password); submit; reload or relaunch; compare every value; edit each mutable field; verify the paired client; then run required, format, length, range, boundary, optional-null, and stale-submit checks.</x:v>
      </x:c>
      <x:c r="M1495" s="35" t="str">
        <x:v>All 3 inventoried controls persist exact normalized values, invalid values stay unsaved with clear errors, and hidden/unauthorized fields cannot be altered.</x:v>
      </x:c>
      <x:c r="N1495" s="35" t="str">
        <x:v>Before/after form screenshots; FLD IDs; API response; reloaded UI; paired-client read-back; database/audit evidence; negative validation result.</x:v>
      </x:c>
      <x:c r="O1495" s="35" t="str">
        <x:v>Use a duplicate submit and one simulated network interruption; one atomic mutation or none, never partial state.</x:v>
      </x:c>
      <x:c r="P1495" s="35" t="str">
        <x:v>All expected records and amounts match; no unexplained error or stale state.</x:v>
      </x:c>
    </x:row>
    <x:row r="1496">
      <x:c r="A1496" s="20" t="str">
        <x:v>RUN-20270929-04</x:v>
      </x:c>
      <x:c r="B1496" s="23" t="n">
        <x:v>46659</x:v>
      </x:c>
      <x:c r="C1496" s="32" t="n">
        <x:v>4</x:v>
      </x:c>
      <x:c r="D1496" s="20" t="str">
        <x:v>Surface coverage</x:v>
      </x:c>
      <x:c r="E1496" s="20" t="str">
        <x:v>Role appropriate to surface</x:v>
      </x:c>
      <x:c r="F1496" s="20" t="str">
        <x:v>Mobile</x:v>
      </x:c>
      <x:c r="G1496" s="20" t="str">
        <x:v>Scan/attachment</x:v>
      </x:c>
      <x:c r="H1496" s="35" t="str">
        <x:v>Scan mobile pass: Conversations and messages</x:v>
      </x:c>
      <x:c r="I1496" s="35" t="str">
        <x:v>COV-034</x:v>
      </x:c>
      <x:c r="J1496" s="35" t="str"/>
      <x:c r="K1496" s="35" t="str"/>
      <x:c r="L1496" s="35" t="str">
        <x:v>Create landlord-tenant, owner, and team conversations; send text/attachment; unread/read; deep link; role isolation.</x:v>
      </x:c>
      <x:c r="M1496" s="35" t="str">
        <x:v>The supported workflow completes and persists correctly; if the capability is absent, the exact gap is proven and queued rather than silently skipped.</x:v>
      </x:c>
      <x:c r="N1496" s="35" t="str">
        <x:v>Real UI screenshot/state; submitted values; persisted read-back; cross-client read-back; audit/role/access evidence.</x:v>
      </x:c>
      <x:c r="O1496" s="35" t="str">
        <x:v>Use one invalid value, stale-state retry, or duplicate submission relevant to the form; no partial or duplicate mutation.</x:v>
      </x:c>
      <x:c r="P1496" s="35" t="str">
        <x:v>All expected records and amounts match; no unexplained error or stale state.</x:v>
      </x:c>
    </x:row>
    <x:row r="1497">
      <x:c r="A1497" s="20" t="str">
        <x:v>RUN-20270930-01</x:v>
      </x:c>
      <x:c r="B1497" s="23" t="n">
        <x:v>46660</x:v>
      </x:c>
      <x:c r="C1497" s="32" t="n">
        <x:v>1</x:v>
      </x:c>
      <x:c r="D1497" s="20" t="str">
        <x:v>Monthly close</x:v>
      </x:c>
      <x:c r="E1497" s="20" t="str">
        <x:v>Workspace Administrator</x:v>
      </x:c>
      <x:c r="F1497" s="20" t="str">
        <x:v>Web + Mobile</x:v>
      </x:c>
      <x:c r="G1497" s="20" t="str">
        <x:v>Scan/import + reconciliation</x:v>
      </x:c>
      <x:c r="H1497" s="35" t="str">
        <x:v>September bank reconciliation and close</x:v>
      </x:c>
      <x:c r="I1497" s="35" t="str">
        <x:v>Operating account 4242; deposit trust account 1818; reserve account 7070</x:v>
      </x:c>
      <x:c r="J1497" s="35" t="str">
        <x:v>SCN-0701</x:v>
      </x:c>
      <x:c r="K1497" s="35" t="str">
        <x:v>FIN-01393</x:v>
      </x:c>
      <x:c r="L1497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497" s="35" t="str">
        <x:v>Bank ending cash, AR, deposit trust/liability, loan balance, income, expense, and net operating result match the oracle with zero unexplained variance.</x:v>
      </x:c>
      <x:c r="N1497" s="35" t="str">
        <x:v>Bank reconciliation; accounting summary; P&amp;L; cash flow; rent roll/ledger; deposits; delinquency; owner statements; audit export.</x:v>
      </x:c>
      <x:c r="O1497" s="35" t="str">
        <x:v>Try one duplicate bank transaction and one date-filter boundary; prove DB-side totals and idempotent matching.</x:v>
      </x:c>
      <x:c r="P1497" s="35" t="str">
        <x:v>All monthly checks are OK or a reproducible bug is captured before advancing the clock.</x:v>
      </x:c>
    </x:row>
    <x:row r="1498">
      <x:c r="A1498" s="20" t="str">
        <x:v>RUN-20270930-02</x:v>
      </x:c>
      <x:c r="B1498" s="23" t="n">
        <x:v>46660</x:v>
      </x:c>
      <x:c r="C1498" s="32" t="n">
        <x:v>2</x:v>
      </x:c>
      <x:c r="D1498" s="20" t="str">
        <x:v>Role and screen certification</x:v>
      </x:c>
      <x:c r="E1498" s="20" t="str">
        <x:v>Applicant / public user</x:v>
      </x:c>
      <x:c r="F1498" s="20" t="str">
        <x:v>Mobile</x:v>
      </x:c>
      <x:c r="G1498" s="20" t="str">
        <x:v>Normal persona navigation</x:v>
      </x:c>
      <x:c r="H1498" s="35" t="str">
        <x:v>Use every permitted action and state on features/notices/notices_screen.dart</x:v>
      </x:c>
      <x:c r="I1498" s="35" t="str">
        <x:v>SCR-147; ROLE-250</x:v>
      </x:c>
      <x:c r="J1498" s="35" t="str"/>
      <x:c r="K1498" s="35" t="str"/>
      <x:c r="L149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498" s="35" t="str">
        <x:v>The persona can use every allowed action with only its assigned properties/relationships. Hidden or disabled actions explain why; an adjacent unauthorized persona is denied without metadata leakage.</x:v>
      </x:c>
      <x:c r="N1498" s="35" t="str">
        <x:v>Persona/experience; navigation entry; desktop or device screenshots; result state; persisted read-back; audit/history; authorized and denied network result.</x:v>
      </x:c>
      <x:c r="O1498" s="35" t="str">
        <x:v>Open the direct URL or deep link with an adjacent unauthorized persona and with stale scope; both fail closed and land safely without mutation.</x:v>
      </x:c>
      <x:c r="P1498" s="35" t="str">
        <x:v>All expected records and amounts match; no unexplained error or stale state.</x:v>
      </x:c>
    </x:row>
    <x:row r="1499">
      <x:c r="A1499" s="20" t="str">
        <x:v>RUN-20270930-03</x:v>
      </x:c>
      <x:c r="B1499" s="23" t="n">
        <x:v>46660</x:v>
      </x:c>
      <x:c r="C1499" s="32" t="n">
        <x:v>3</x:v>
      </x:c>
      <x:c r="D1499" s="20" t="str">
        <x:v>Field certification</x:v>
      </x:c>
      <x:c r="E1499" s="20" t="str">
        <x:v>Applicant / public user</x:v>
      </x:c>
      <x:c r="F1499" s="20" t="str">
        <x:v>Web</x:v>
      </x:c>
      <x:c r="G1499" s="20" t="str">
        <x:v>Manual field-by-field</x:v>
      </x:c>
      <x:c r="H1499" s="35" t="str">
        <x:v>Fill, save, reload, edit, and validate every declared field on /register</x:v>
      </x:c>
      <x:c r="I1499" s="35" t="str">
        <x:v>FLD-0803</x:v>
      </x:c>
      <x:c r="J1499" s="35" t="str"/>
      <x:c r="K1499" s="35" t="str"/>
      <x:c r="L1499" s="35" t="str">
        <x:v>Use the source-derived Field Inventory. Enter non-default realistic values in every control (confirmPassword); submit; reload or relaunch; compare every value; edit each mutable field; verify the paired client; then run required, format, length, range, boundary, optional-null, and stale-submit checks.</x:v>
      </x:c>
      <x:c r="M1499" s="35" t="str">
        <x:v>All 1 inventoried controls persist exact normalized values, invalid values stay unsaved with clear errors, and hidden/unauthorized fields cannot be altered.</x:v>
      </x:c>
      <x:c r="N1499" s="35" t="str">
        <x:v>Before/after form screenshots; FLD IDs; API response; reloaded UI; paired-client read-back; database/audit evidence; negative validation result.</x:v>
      </x:c>
      <x:c r="O1499" s="35" t="str">
        <x:v>Use a duplicate submit and one simulated network interruption; one atomic mutation or none, never partial state.</x:v>
      </x:c>
      <x:c r="P1499" s="35" t="str">
        <x:v>All expected records and amounts match; no unexplained error or stale state.</x:v>
      </x:c>
    </x:row>
    <x:row r="1500">
      <x:c r="A1500" s="20" t="str">
        <x:v>RUN-20270930-04</x:v>
      </x:c>
      <x:c r="B1500" s="23" t="n">
        <x:v>46660</x:v>
      </x:c>
      <x:c r="C1500" s="32" t="n">
        <x:v>4</x:v>
      </x:c>
      <x:c r="D1500" s="20" t="str">
        <x:v>Field certification</x:v>
      </x:c>
      <x:c r="E1500" s="20" t="str">
        <x:v>Applicant / public user</x:v>
      </x:c>
      <x:c r="F1500" s="20" t="str">
        <x:v>Web</x:v>
      </x:c>
      <x:c r="G1500" s="20" t="str">
        <x:v>Manual field-by-field</x:v>
      </x:c>
      <x:c r="H1500" s="35" t="str">
        <x:v>Fill, save, reload, edit, and validate every declared field on /reset-password</x:v>
      </x:c>
      <x:c r="I1500" s="35" t="str">
        <x:v>FLD-0804; FLD-0805; FLD-0806</x:v>
      </x:c>
      <x:c r="J1500" s="35" t="str"/>
      <x:c r="K1500" s="35" t="str"/>
      <x:c r="L1500" s="35" t="str">
        <x:v>Use the source-derived Field Inventory. Enter non-default realistic values in every control (userId; token; newPassword); submit; reload or relaunch; compare every value; edit each mutable field; verify the paired client; then run required, format, length, range, boundary, optional-null, and stale-submit checks.</x:v>
      </x:c>
      <x:c r="M1500" s="35" t="str">
        <x:v>All 3 inventoried controls persist exact normalized values, invalid values stay unsaved with clear errors, and hidden/unauthorized fields cannot be altered.</x:v>
      </x:c>
      <x:c r="N1500" s="35" t="str">
        <x:v>Before/after form screenshots; FLD IDs; API response; reloaded UI; paired-client read-back; database/audit evidence; negative validation result.</x:v>
      </x:c>
      <x:c r="O1500" s="35" t="str">
        <x:v>Use a duplicate submit and one simulated network interruption; one atomic mutation or none, never partial state.</x:v>
      </x:c>
      <x:c r="P1500" s="35" t="str">
        <x:v>All expected records and amounts match; no unexplained error or stale state.</x:v>
      </x:c>
    </x:row>
    <x:row r="1501">
      <x:c r="A1501" s="20" t="str">
        <x:v>RUN-20270930-05</x:v>
      </x:c>
      <x:c r="B1501" s="23" t="n">
        <x:v>46660</x:v>
      </x:c>
      <x:c r="C1501" s="32" t="n">
        <x:v>5</x:v>
      </x:c>
      <x:c r="D1501" s="20" t="str">
        <x:v>Notification certification</x:v>
      </x:c>
      <x:c r="E1501" s="20" t="str">
        <x:v>Property Manager</x:v>
      </x:c>
      <x:c r="F1501" s="20" t="str">
        <x:v>Web + Mobile</x:v>
      </x:c>
      <x:c r="G1501" s="20" t="str">
        <x:v>System event + preference/manual verification</x:v>
      </x:c>
      <x:c r="H1501" s="35" t="str">
        <x:v>Trigger and prove notification: Owner approval accepted/rejected</x:v>
      </x:c>
      <x:c r="I1501" s="35" t="str">
        <x:v>NTF-037</x:v>
      </x:c>
      <x:c r="J1501" s="35" t="str"/>
      <x:c r="K1501" s="35" t="str"/>
      <x:c r="L1501" s="35" t="str">
        <x:v>Set each recipient's preferences; trigger the real business event; inspect routing and recipient scope; verify unread badge, list item, safe preview, approval deep link, mark-read sync, configured channel outcome, provider failure/retry, and duplicate suppression.</x:v>
      </x:c>
      <x:c r="M1501" s="35" t="str">
        <x:v>Exactly the intended recipients receive one correctly routed notification; disabled optional channels stay silent; deep link opens authorized context; read state synchronizes.</x:v>
      </x:c>
      <x:c r="N1501" s="35" t="str">
        <x:v>Trigger record; routing decision; outbox/delivery status; web/mobile inbox; lock-screen-safe copy; deep-link target; audit/provider retry evidence.</x:v>
      </x:c>
      <x:c r="O1501" s="35" t="str">
        <x:v>Re-run the worker and deliver a duplicate provider callback; no duplicate user-visible event. Attempt the deep link as an unauthorized adjacent role.</x:v>
      </x:c>
      <x:c r="P1501" s="35" t="str">
        <x:v>All expected records and amounts match; no unexplained error or stale state.</x:v>
      </x:c>
    </x:row>
    <x:row r="1502">
      <x:c r="A1502" s="20" t="str">
        <x:v>RUN-20271001-01</x:v>
      </x:c>
      <x:c r="B1502" s="23" t="n">
        <x:v>46661</x:v>
      </x:c>
      <x:c r="C1502" s="32" t="n">
        <x:v>1</x:v>
      </x:c>
      <x:c r="D1502" s="20" t="str">
        <x:v>Monthly operations</x:v>
      </x:c>
      <x:c r="E1502" s="20" t="str">
        <x:v>Workspace Administrator</x:v>
      </x:c>
      <x:c r="F1502" s="20" t="str">
        <x:v>Web + Mobile</x:v>
      </x:c>
      <x:c r="G1502" s="20" t="str">
        <x:v>System automation + reconciliation</x:v>
      </x:c>
      <x:c r="H1502" s="35" t="str">
        <x:v>October recurring rent generation</x:v>
      </x:c>
      <x:c r="I1502" s="35" t="str">
        <x:v>39 active tenant accounts</x:v>
      </x:c>
      <x:c r="J1502" s="35" t="str"/>
      <x:c r="K1502" s="35" t="str">
        <x:v>FIN-00767; FIN-00769; FIN-00771; FIN-00773; FIN-00775; FIN-00777; FIN-00779; FIN-00781; FIN-00783; FIN-00787; FIN-00789; FIN-00792; FIN-00794; FIN-00796; FIN-00798; FIN-00800; FIN-00802; FIN-00804; FIN-00806; FIN-00808; FIN-00810; FIN-00813; FIN-00815; FIN-00817; FIN-00819; FIN-00821; FIN-00823; FIN-00825; FIN-00829; FIN-00831; FIN-00833; FIN-00835; FIN-00837; FIN-00839; FIN-00842; FIN-00844; FIN-00846; FIN-00848; FIN-00852</x:v>
      </x:c>
      <x:c r="L1502" s="35" t="str">
        <x:v>Advance the simulation clock to 08:00 local; run or wait for scheduled finance worker; compare generated charges to active governing agreements, start dates, proration, and unique billing-period keys.</x:v>
      </x:c>
      <x:c r="M1502" s="35" t="str">
        <x:v>Exactly 39 rent charges are posted once; mid-month starts prorate; ended leases do not receive future charges.</x:v>
      </x:c>
      <x:c r="N1502" s="35" t="str">
        <x:v>Worker status; charge list; month rent-roll export; sampled Unit/Lease/portal balances; SQL query evidence.</x:v>
      </x:c>
      <x:c r="O1502" s="35" t="str">
        <x:v>Run the finance worker a second time and prove no duplicate charge; inject one failure and prove charge/audit/outbox atomic rollback.</x:v>
      </x:c>
      <x:c r="P1502" s="35" t="str">
        <x:v>All expected records and amounts match; no unexplained error or stale state.</x:v>
      </x:c>
    </x:row>
    <x:row r="1503">
      <x:c r="A1503" s="20" t="str">
        <x:v>RUN-20271001-02</x:v>
      </x:c>
      <x:c r="B1503" s="23" t="n">
        <x:v>46661</x:v>
      </x:c>
      <x:c r="C1503" s="32" t="n">
        <x:v>2</x:v>
      </x:c>
      <x:c r="D1503" s="20" t="str">
        <x:v>Leasing</x:v>
      </x:c>
      <x:c r="E1503" s="20" t="str">
        <x:v>Property Manager + Tenant</x:v>
      </x:c>
      <x:c r="F1503" s="20" t="str">
        <x:v>Web + Mobile</x:v>
      </x:c>
      <x:c r="G1503" s="20" t="str">
        <x:v>Manual + photo evidence</x:v>
      </x:c>
      <x:c r="H1503" s="35" t="str">
        <x:v>Move-in inspection and possession</x:v>
      </x:c>
      <x:c r="I1503" s="35" t="str">
        <x:v>L040; U022</x:v>
      </x:c>
      <x:c r="J1503" s="35" t="str"/>
      <x:c r="K1503" s="35" t="str"/>
      <x:c r="L1503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1503" s="35" t="str">
        <x:v>Inspection completes, possession opens once, Unit becomes occupied, portal access is scoped, and no lease-status shortcut substitutes for possession truth.</x:v>
      </x:c>
      <x:c r="N1503" s="35" t="str">
        <x:v>Inspection report/photos; possession event; occupancy reports; both clients; tenant portal walkthrough.</x:v>
      </x:c>
      <x:c r="O1503" s="35" t="str">
        <x:v>Attempt possession a second time and use an invalid date; database invariant prevents overlap/duplication.</x:v>
      </x:c>
      <x:c r="P1503" s="35" t="str">
        <x:v>All expected records and amounts match; no unexplained error or stale state.</x:v>
      </x:c>
    </x:row>
    <x:row r="1504">
      <x:c r="A1504" s="20" t="str">
        <x:v>RUN-20271001-03</x:v>
      </x:c>
      <x:c r="B1504" s="23" t="n">
        <x:v>46661</x:v>
      </x:c>
      <x:c r="C1504" s="32" t="n">
        <x:v>3</x:v>
      </x:c>
      <x:c r="D1504" s="20" t="str">
        <x:v>Role and screen certification</x:v>
      </x:c>
      <x:c r="E1504" s="20" t="str">
        <x:v>Workspace Administrator</x:v>
      </x:c>
      <x:c r="F1504" s="20" t="str">
        <x:v>Mobile</x:v>
      </x:c>
      <x:c r="G1504" s="20" t="str">
        <x:v>Normal persona navigation</x:v>
      </x:c>
      <x:c r="H1504" s="35" t="str">
        <x:v>Use every permitted action and state on features/notifications/notifications_inbox_screen.dart</x:v>
      </x:c>
      <x:c r="I1504" s="35" t="str">
        <x:v>SCR-148; ROLE-251</x:v>
      </x:c>
      <x:c r="J1504" s="35" t="str"/>
      <x:c r="K1504" s="35" t="str"/>
      <x:c r="L150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4" s="35" t="str">
        <x:v>The persona can use every allowed action with only its assigned properties/relationships. Hidden or disabled actions explain why; an adjacent unauthorized persona is denied without metadata leakage.</x:v>
      </x:c>
      <x:c r="N1504" s="35" t="str">
        <x:v>Persona/experience; navigation entry; desktop or device screenshots; result state; persisted read-back; audit/history; authorized and denied network result.</x:v>
      </x:c>
      <x:c r="O1504" s="35" t="str">
        <x:v>Open the direct URL or deep link with an adjacent unauthorized persona and with stale scope; both fail closed and land safely without mutation.</x:v>
      </x:c>
      <x:c r="P1504" s="35" t="str">
        <x:v>All expected records and amounts match; no unexplained error or stale state.</x:v>
      </x:c>
    </x:row>
    <x:row r="1505">
      <x:c r="A1505" s="20" t="str">
        <x:v>RUN-20271001-04</x:v>
      </x:c>
      <x:c r="B1505" s="23" t="n">
        <x:v>46661</x:v>
      </x:c>
      <x:c r="C1505" s="32" t="n">
        <x:v>4</x:v>
      </x:c>
      <x:c r="D1505" s="20" t="str">
        <x:v>Role and screen certification</x:v>
      </x:c>
      <x:c r="E1505" s="20" t="str">
        <x:v>Property Manager</x:v>
      </x:c>
      <x:c r="F1505" s="20" t="str">
        <x:v>Mobile</x:v>
      </x:c>
      <x:c r="G1505" s="20" t="str">
        <x:v>Normal persona navigation</x:v>
      </x:c>
      <x:c r="H1505" s="35" t="str">
        <x:v>Use every permitted action and state on features/notifications/notifications_inbox_screen.dart</x:v>
      </x:c>
      <x:c r="I1505" s="35" t="str">
        <x:v>SCR-148; ROLE-252</x:v>
      </x:c>
      <x:c r="J1505" s="35" t="str"/>
      <x:c r="K1505" s="35" t="str"/>
      <x:c r="L150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5" s="35" t="str">
        <x:v>The persona can use every allowed action with only its assigned properties/relationships. Hidden or disabled actions explain why; an adjacent unauthorized persona is denied without metadata leakage.</x:v>
      </x:c>
      <x:c r="N1505" s="35" t="str">
        <x:v>Persona/experience; navigation entry; desktop or device screenshots; result state; persisted read-back; audit/history; authorized and denied network result.</x:v>
      </x:c>
      <x:c r="O1505" s="35" t="str">
        <x:v>Open the direct URL or deep link with an adjacent unauthorized persona and with stale scope; both fail closed and land safely without mutation.</x:v>
      </x:c>
      <x:c r="P1505" s="35" t="str">
        <x:v>All expected records and amounts match; no unexplained error or stale state.</x:v>
      </x:c>
    </x:row>
    <x:row r="1506">
      <x:c r="A1506" s="20" t="str">
        <x:v>RUN-20271001-05</x:v>
      </x:c>
      <x:c r="B1506" s="23" t="n">
        <x:v>46661</x:v>
      </x:c>
      <x:c r="C1506" s="32" t="n">
        <x:v>5</x:v>
      </x:c>
      <x:c r="D1506" s="20" t="str">
        <x:v>Role and screen certification</x:v>
      </x:c>
      <x:c r="E1506" s="20" t="str">
        <x:v>Leasing Agent</x:v>
      </x:c>
      <x:c r="F1506" s="20" t="str">
        <x:v>Mobile</x:v>
      </x:c>
      <x:c r="G1506" s="20" t="str">
        <x:v>Normal persona navigation</x:v>
      </x:c>
      <x:c r="H1506" s="35" t="str">
        <x:v>Use every permitted action and state on features/notifications/notifications_inbox_screen.dart</x:v>
      </x:c>
      <x:c r="I1506" s="35" t="str">
        <x:v>SCR-148; ROLE-253</x:v>
      </x:c>
      <x:c r="J1506" s="35" t="str"/>
      <x:c r="K1506" s="35" t="str"/>
      <x:c r="L15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6" s="35" t="str">
        <x:v>The persona can use every allowed action with only its assigned properties/relationships. Hidden or disabled actions explain why; an adjacent unauthorized persona is denied without metadata leakage.</x:v>
      </x:c>
      <x:c r="N1506" s="35" t="str">
        <x:v>Persona/experience; navigation entry; desktop or device screenshots; result state; persisted read-back; audit/history; authorized and denied network result.</x:v>
      </x:c>
      <x:c r="O1506" s="35" t="str">
        <x:v>Open the direct URL or deep link with an adjacent unauthorized persona and with stale scope; both fail closed and land safely without mutation.</x:v>
      </x:c>
      <x:c r="P1506" s="35" t="str">
        <x:v>All expected records and amounts match; no unexplained error or stale state.</x:v>
      </x:c>
    </x:row>
    <x:row r="1507">
      <x:c r="A1507" s="20" t="str">
        <x:v>RUN-20271001-06</x:v>
      </x:c>
      <x:c r="B1507" s="23" t="n">
        <x:v>46661</x:v>
      </x:c>
      <x:c r="C1507" s="32" t="n">
        <x:v>6</x:v>
      </x:c>
      <x:c r="D1507" s="20" t="str">
        <x:v>Role and screen certification</x:v>
      </x:c>
      <x:c r="E1507" s="20" t="str">
        <x:v>Maintenance Technician</x:v>
      </x:c>
      <x:c r="F1507" s="20" t="str">
        <x:v>Mobile</x:v>
      </x:c>
      <x:c r="G1507" s="20" t="str">
        <x:v>Normal persona navigation</x:v>
      </x:c>
      <x:c r="H1507" s="35" t="str">
        <x:v>Use every permitted action and state on features/notifications/notifications_inbox_screen.dart</x:v>
      </x:c>
      <x:c r="I1507" s="35" t="str">
        <x:v>SCR-148; ROLE-254</x:v>
      </x:c>
      <x:c r="J1507" s="35" t="str"/>
      <x:c r="K1507" s="35" t="str"/>
      <x:c r="L150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7" s="35" t="str">
        <x:v>The persona can use every allowed action with only its assigned properties/relationships. Hidden or disabled actions explain why; an adjacent unauthorized persona is denied without metadata leakage.</x:v>
      </x:c>
      <x:c r="N1507" s="35" t="str">
        <x:v>Persona/experience; navigation entry; desktop or device screenshots; result state; persisted read-back; audit/history; authorized and denied network result.</x:v>
      </x:c>
      <x:c r="O1507" s="35" t="str">
        <x:v>Open the direct URL or deep link with an adjacent unauthorized persona and with stale scope; both fail closed and land safely without mutation.</x:v>
      </x:c>
      <x:c r="P1507" s="35" t="str">
        <x:v>All expected records and amounts match; no unexplained error or stale state.</x:v>
      </x:c>
    </x:row>
    <x:row r="1508">
      <x:c r="A1508" s="20" t="str">
        <x:v>RUN-20271001-07</x:v>
      </x:c>
      <x:c r="B1508" s="23" t="n">
        <x:v>46661</x:v>
      </x:c>
      <x:c r="C1508" s="32" t="n">
        <x:v>7</x:v>
      </x:c>
      <x:c r="D1508" s="20" t="str">
        <x:v>Role and screen certification</x:v>
      </x:c>
      <x:c r="E1508" s="20" t="str">
        <x:v>Owner</x:v>
      </x:c>
      <x:c r="F1508" s="20" t="str">
        <x:v>Mobile</x:v>
      </x:c>
      <x:c r="G1508" s="20" t="str">
        <x:v>Normal persona navigation</x:v>
      </x:c>
      <x:c r="H1508" s="35" t="str">
        <x:v>Use every permitted action and state on features/notifications/notifications_inbox_screen.dart</x:v>
      </x:c>
      <x:c r="I1508" s="35" t="str">
        <x:v>SCR-148; ROLE-255</x:v>
      </x:c>
      <x:c r="J1508" s="35" t="str"/>
      <x:c r="K1508" s="35" t="str"/>
      <x:c r="L15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8" s="35" t="str">
        <x:v>The persona can use every allowed action with only its assigned properties/relationships. Hidden or disabled actions explain why; an adjacent unauthorized persona is denied without metadata leakage.</x:v>
      </x:c>
      <x:c r="N1508" s="35" t="str">
        <x:v>Persona/experience; navigation entry; desktop or device screenshots; result state; persisted read-back; audit/history; authorized and denied network result.</x:v>
      </x:c>
      <x:c r="O1508" s="35" t="str">
        <x:v>Open the direct URL or deep link with an adjacent unauthorized persona and with stale scope; both fail closed and land safely without mutation.</x:v>
      </x:c>
      <x:c r="P1508" s="35" t="str">
        <x:v>All expected records and amounts match; no unexplained error or stale state.</x:v>
      </x:c>
    </x:row>
    <x:row r="1509">
      <x:c r="A1509" s="20" t="str">
        <x:v>RUN-20271001-08</x:v>
      </x:c>
      <x:c r="B1509" s="23" t="n">
        <x:v>46661</x:v>
      </x:c>
      <x:c r="C1509" s="32" t="n">
        <x:v>8</x:v>
      </x:c>
      <x:c r="D1509" s="20" t="str">
        <x:v>Role and screen certification</x:v>
      </x:c>
      <x:c r="E1509" s="20" t="str">
        <x:v>Tenant</x:v>
      </x:c>
      <x:c r="F1509" s="20" t="str">
        <x:v>Mobile</x:v>
      </x:c>
      <x:c r="G1509" s="20" t="str">
        <x:v>Normal persona navigation</x:v>
      </x:c>
      <x:c r="H1509" s="35" t="str">
        <x:v>Use every permitted action and state on features/notifications/notifications_inbox_screen.dart</x:v>
      </x:c>
      <x:c r="I1509" s="35" t="str">
        <x:v>SCR-148; ROLE-256</x:v>
      </x:c>
      <x:c r="J1509" s="35" t="str"/>
      <x:c r="K1509" s="35" t="str"/>
      <x:c r="L150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09" s="35" t="str">
        <x:v>The persona can use every allowed action with only its assigned properties/relationships. Hidden or disabled actions explain why; an adjacent unauthorized persona is denied without metadata leakage.</x:v>
      </x:c>
      <x:c r="N1509" s="35" t="str">
        <x:v>Persona/experience; navigation entry; desktop or device screenshots; result state; persisted read-back; audit/history; authorized and denied network result.</x:v>
      </x:c>
      <x:c r="O1509" s="35" t="str">
        <x:v>Open the direct URL or deep link with an adjacent unauthorized persona and with stale scope; both fail closed and land safely without mutation.</x:v>
      </x:c>
      <x:c r="P1509" s="35" t="str">
        <x:v>All expected records and amounts match; no unexplained error or stale state.</x:v>
      </x:c>
    </x:row>
    <x:row r="1510">
      <x:c r="A1510" s="20" t="str">
        <x:v>RUN-20271001-09</x:v>
      </x:c>
      <x:c r="B1510" s="23" t="n">
        <x:v>46661</x:v>
      </x:c>
      <x:c r="C1510" s="32" t="n">
        <x:v>9</x:v>
      </x:c>
      <x:c r="D1510" s="20" t="str">
        <x:v>Field certification</x:v>
      </x:c>
      <x:c r="E1510" s="20" t="str">
        <x:v>Applicant / public user</x:v>
      </x:c>
      <x:c r="F1510" s="20" t="str">
        <x:v>Web</x:v>
      </x:c>
      <x:c r="G1510" s="20" t="str">
        <x:v>Manual field-by-field</x:v>
      </x:c>
      <x:c r="H1510" s="35" t="str">
        <x:v>Fill, save, reload, edit, and validate every declared field on /reset-password</x:v>
      </x:c>
      <x:c r="I1510" s="35" t="str">
        <x:v>FLD-0807</x:v>
      </x:c>
      <x:c r="J1510" s="35" t="str"/>
      <x:c r="K1510" s="35" t="str"/>
      <x:c r="L1510" s="35" t="str">
        <x:v>Use the source-derived Field Inventory. Enter non-default realistic values in every control (confirmPassword); submit; reload or relaunch; compare every value; edit each mutable field; verify the paired client; then run required, format, length, range, boundary, optional-null, and stale-submit checks.</x:v>
      </x:c>
      <x:c r="M1510" s="35" t="str">
        <x:v>All 1 inventoried controls persist exact normalized values, invalid values stay unsaved with clear errors, and hidden/unauthorized fields cannot be altered.</x:v>
      </x:c>
      <x:c r="N1510" s="35" t="str">
        <x:v>Before/after form screenshots; FLD IDs; API response; reloaded UI; paired-client read-back; database/audit evidence; negative validation result.</x:v>
      </x:c>
      <x:c r="O1510" s="35" t="str">
        <x:v>Use a duplicate submit and one simulated network interruption; one atomic mutation or none, never partial state.</x:v>
      </x:c>
      <x:c r="P1510" s="35" t="str">
        <x:v>All expected records and amounts match; no unexplained error or stale state.</x:v>
      </x:c>
    </x:row>
    <x:row r="1511">
      <x:c r="A1511" s="20" t="str">
        <x:v>RUN-20271001-10</x:v>
      </x:c>
      <x:c r="B1511" s="23" t="n">
        <x:v>46661</x:v>
      </x:c>
      <x:c r="C1511" s="32" t="n">
        <x:v>10</x:v>
      </x:c>
      <x:c r="D1511" s="20" t="str">
        <x:v>Field certification</x:v>
      </x:c>
      <x:c r="E1511" s="20" t="str">
        <x:v>Property Manager</x:v>
      </x:c>
      <x:c r="F1511" s="20" t="str">
        <x:v>Mobile</x:v>
      </x:c>
      <x:c r="G1511" s="20" t="str">
        <x:v>Manual field-by-field</x:v>
      </x:c>
      <x:c r="H1511" s="35" t="str">
        <x:v>Fill, save, reload, edit, and validate every declared field on core/widgets/mobile_grid_controls.dart</x:v>
      </x:c>
      <x:c r="I1511" s="35" t="str">
        <x:v>FLD-0808</x:v>
      </x:c>
      <x:c r="J1511" s="35" t="str"/>
      <x:c r="K1511" s="35" t="str"/>
      <x:c r="L1511" s="35" t="str">
        <x:v>Use the source-derived Field Inventory. Enter non-default realistic values in every control (onChanged); submit; reload or relaunch; compare every value; edit each mutable field; verify the paired client; then run required, format, length, range, boundary, optional-null, and stale-submit checks.</x:v>
      </x:c>
      <x:c r="M1511" s="35" t="str">
        <x:v>All 1 inventoried controls persist exact normalized values, invalid values stay unsaved with clear errors, and hidden/unauthorized fields cannot be altered.</x:v>
      </x:c>
      <x:c r="N1511" s="35" t="str">
        <x:v>Before/after form screenshots; FLD IDs; API response; reloaded UI; paired-client read-back; database/audit evidence; negative validation result.</x:v>
      </x:c>
      <x:c r="O1511" s="35" t="str">
        <x:v>Use a duplicate submit and one simulated network interruption; one atomic mutation or none, never partial state.</x:v>
      </x:c>
      <x:c r="P1511" s="35" t="str">
        <x:v>All expected records and amounts match; no unexplained error or stale state.</x:v>
      </x:c>
    </x:row>
    <x:row r="1512">
      <x:c r="A1512" s="20" t="str">
        <x:v>RUN-20271001-11</x:v>
      </x:c>
      <x:c r="B1512" s="23" t="n">
        <x:v>46661</x:v>
      </x:c>
      <x:c r="C1512" s="32" t="n">
        <x:v>11</x:v>
      </x:c>
      <x:c r="D1512" s="20" t="str">
        <x:v>Field certification</x:v>
      </x:c>
      <x:c r="E1512" s="20" t="str">
        <x:v>Applicant / public user</x:v>
      </x:c>
      <x:c r="F1512" s="20" t="str">
        <x:v>Mobile</x:v>
      </x:c>
      <x:c r="G1512" s="20" t="str">
        <x:v>Manual field-by-field</x:v>
      </x:c>
      <x:c r="H1512" s="35" t="str">
        <x:v>Fill, save, reload, edit, and validate every declared field on features/ai/qa_screen.dart</x:v>
      </x:c>
      <x:c r="I1512" s="35" t="str">
        <x:v>FLD-0809</x:v>
      </x:c>
      <x:c r="J1512" s="35" t="str"/>
      <x:c r="K1512" s="35" t="str"/>
      <x:c r="L1512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512" s="35" t="str">
        <x:v>All 1 inventoried controls persist exact normalized values, invalid values stay unsaved with clear errors, and hidden/unauthorized fields cannot be altered.</x:v>
      </x:c>
      <x:c r="N1512" s="35" t="str">
        <x:v>Before/after form screenshots; FLD IDs; API response; reloaded UI; paired-client read-back; database/audit evidence; negative validation result.</x:v>
      </x:c>
      <x:c r="O1512" s="35" t="str">
        <x:v>Use a duplicate submit and one simulated network interruption; one atomic mutation or none, never partial state.</x:v>
      </x:c>
      <x:c r="P1512" s="35" t="str">
        <x:v>All expected records and amounts match; no unexplained error or stale state.</x:v>
      </x:c>
    </x:row>
    <x:row r="1513">
      <x:c r="A1513" s="20" t="str">
        <x:v>RUN-20271001-12</x:v>
      </x:c>
      <x:c r="B1513" s="23" t="n">
        <x:v>46661</x:v>
      </x:c>
      <x:c r="C1513" s="32" t="n">
        <x:v>12</x:v>
      </x:c>
      <x:c r="D1513" s="20" t="str">
        <x:v>Field certification</x:v>
      </x:c>
      <x:c r="E1513" s="20" t="str">
        <x:v>Applicant / public user</x:v>
      </x:c>
      <x:c r="F1513" s="20" t="str">
        <x:v>Mobile</x:v>
      </x:c>
      <x:c r="G1513" s="20" t="str">
        <x:v>Manual field-by-field</x:v>
      </x:c>
      <x:c r="H1513" s="35" t="str">
        <x:v>Fill, save, reload, edit, and validate every declared field on features/applications/application_detail_screen.dart</x:v>
      </x:c>
      <x:c r="I1513" s="35" t="str">
        <x:v>FLD-0810; FLD-0811</x:v>
      </x:c>
      <x:c r="J1513" s="35" t="str"/>
      <x:c r="K1513" s="35" t="str"/>
      <x:c r="L1513" s="35" t="str">
        <x:v>Use the source-derived Field Inventory. Enter non-default realistic values in every control (_firstName; _lastName); submit; reload or relaunch; compare every value; edit each mutable field; verify the paired client; then run required, format, length, range, boundary, optional-null, and stale-submit checks.</x:v>
      </x:c>
      <x:c r="M1513" s="35" t="str">
        <x:v>All 2 inventoried controls persist exact normalized values, invalid values stay unsaved with clear errors, and hidden/unauthorized fields cannot be altered.</x:v>
      </x:c>
      <x:c r="N1513" s="35" t="str">
        <x:v>Before/after form screenshots; FLD IDs; API response; reloaded UI; paired-client read-back; database/audit evidence; negative validation result.</x:v>
      </x:c>
      <x:c r="O1513" s="35" t="str">
        <x:v>Use a duplicate submit and one simulated network interruption; one atomic mutation or none, never partial state.</x:v>
      </x:c>
      <x:c r="P1513" s="35" t="str">
        <x:v>All expected records and amounts match; no unexplained error or stale state.</x:v>
      </x:c>
    </x:row>
    <x:row r="1514">
      <x:c r="A1514" s="20" t="str">
        <x:v>RUN-20271001-13</x:v>
      </x:c>
      <x:c r="B1514" s="23" t="n">
        <x:v>46661</x:v>
      </x:c>
      <x:c r="C1514" s="32" t="n">
        <x:v>13</x:v>
      </x:c>
      <x:c r="D1514" s="20" t="str">
        <x:v>Lifecycle certification</x:v>
      </x:c>
      <x:c r="E1514" s="20" t="str">
        <x:v>Property Manager</x:v>
      </x:c>
      <x:c r="F1514" s="20" t="str">
        <x:v>Web + Mobile</x:v>
      </x:c>
      <x:c r="G1514" s="20" t="str">
        <x:v>Manual + scan/attachment where supported</x:v>
      </x:c>
      <x:c r="H1514" s="35" t="str">
        <x:v>Complete the full create/read/edit/lifecycle/delete-safe pass for Inspection</x:v>
      </x:c>
      <x:c r="I1514" s="35" t="str">
        <x:v>CRUD-026</x:v>
      </x:c>
      <x:c r="J1514" s="35" t="str"/>
      <x:c r="K1514" s="35" t="str"/>
      <x:c r="L1514" s="35" t="str">
        <x:v>Use a dedicated disposable QA record and execute: create; edit; assign; run every item; photos; complete; freeze; report. Fill every field referenced by field-inventory.csv. Verify confirmation copy, cancel path, final path, reload, other-client state, history, and role denial.</x:v>
      </x:c>
      <x:c r="M1514" s="35" t="str">
        <x:v>Every supported transition succeeds exactly once; forbidden destructive actions are guarded; reversible deletion/deactivation works; financial and historical truth is preserved.</x:v>
      </x:c>
      <x:c r="N1514" s="35" t="str">
        <x:v>Entity before/after; both clients; all FLD IDs; audit/history; notifications; authorized and unauthorized personas; API/DB state.</x:v>
      </x:c>
      <x:c r="O1514" s="35" t="str">
        <x:v>Cancel the first destructive confirmation, then repeat and confirm; retry the mutation once; no double transition or orphan.</x:v>
      </x:c>
      <x:c r="P1514" s="35" t="str">
        <x:v>All expected records and amounts match; no unexplained error or stale state.</x:v>
      </x:c>
    </x:row>
    <x:row r="1515">
      <x:c r="A1515" s="20" t="str">
        <x:v>RUN-20271001-14</x:v>
      </x:c>
      <x:c r="B1515" s="23" t="n">
        <x:v>46661</x:v>
      </x:c>
      <x:c r="C1515" s="32" t="n">
        <x:v>14</x:v>
      </x:c>
      <x:c r="D1515" s="20" t="str">
        <x:v>Surface coverage</x:v>
      </x:c>
      <x:c r="E1515" s="20" t="str">
        <x:v>Role appropriate to surface</x:v>
      </x:c>
      <x:c r="F1515" s="20" t="str">
        <x:v>Web</x:v>
      </x:c>
      <x:c r="G1515" s="20" t="str">
        <x:v>Manual</x:v>
      </x:c>
      <x:c r="H1515" s="35" t="str">
        <x:v>Manual web pass: Notifications, preferences, routing, alerts</x:v>
      </x:c>
      <x:c r="I1515" s="35" t="str">
        <x:v>COV-035</x:v>
      </x:c>
      <x:c r="J1515" s="35" t="str"/>
      <x:c r="K1515" s="35" t="str"/>
      <x:c r="L1515" s="35" t="str">
        <x:v>Change preferences, route by team/property/event, mark read, deep link, retry provider failure, and verify safe local delivery.</x:v>
      </x:c>
      <x:c r="M1515" s="35" t="str">
        <x:v>The supported workflow completes and persists correctly; if the capability is absent, the exact gap is proven and queued rather than silently skipped.</x:v>
      </x:c>
      <x:c r="N1515" s="35" t="str">
        <x:v>Real UI screenshot/state; submitted values; persisted read-back; cross-client read-back; audit/role/access evidence.</x:v>
      </x:c>
      <x:c r="O1515" s="35" t="str">
        <x:v>Use one invalid value, stale-state retry, or duplicate submission relevant to the form; no partial or duplicate mutation.</x:v>
      </x:c>
      <x:c r="P1515" s="35" t="str">
        <x:v>All expected records and amounts match; no unexplained error or stale state.</x:v>
      </x:c>
    </x:row>
    <x:row r="1516">
      <x:c r="A1516" s="20" t="str">
        <x:v>RUN-20271003-01</x:v>
      </x:c>
      <x:c r="B1516" s="23" t="n">
        <x:v>46663</x:v>
      </x:c>
      <x:c r="C1516" s="32" t="n">
        <x:v>1</x:v>
      </x:c>
      <x:c r="D1516" s="20" t="str">
        <x:v>Monthly operations</x:v>
      </x:c>
      <x:c r="E1516" s="20" t="str">
        <x:v>Property Manager</x:v>
      </x:c>
      <x:c r="F1516" s="20" t="str">
        <x:v>Mobile</x:v>
      </x:c>
      <x:c r="G1516" s="20" t="str">
        <x:v>Portal card</x:v>
      </x:c>
      <x:c r="H1516" s="35" t="str">
        <x:v>Post and allocate tenant receipt</x:v>
      </x:c>
      <x:c r="I1516" s="35" t="str">
        <x:v>P003; U003; L003</x:v>
      </x:c>
      <x:c r="J1516" s="35" t="str"/>
      <x:c r="K1516" s="35" t="str">
        <x:v>FIN-00771; FIN-00772</x:v>
      </x:c>
      <x:c r="L1516" s="35" t="str">
        <x:v>Open Scan for paper payment or the tenant-account receipt form for electronic payment; verify tenant/lease match, amount, date, method, and reference; confirm once; open ledger detail and allocation.</x:v>
      </x:c>
      <x:c r="M1516" s="35" t="str">
        <x:v>Receipt is append-only, allocated once to the correct rent charge, and visible consistently in Unit, Lease, Tenant Account, Accounting, and portal views.</x:v>
      </x:c>
      <x:c r="N1516" s="35" t="str">
        <x:v>Scan review or form; success result; exact ledger rows; payment detail; accounting delta; portal receipt.</x:v>
      </x:c>
      <x:c r="O1516" s="35" t="str">
        <x:v>Retry the idempotency key once during the quarter assigned in the coverage matrix; no duplicate cash or allocation.</x:v>
      </x:c>
      <x:c r="P1516" s="35" t="str">
        <x:v>All expected records and amounts match; no unexplained error or stale state.</x:v>
      </x:c>
    </x:row>
    <x:row r="1517">
      <x:c r="A1517" s="20" t="str">
        <x:v>RUN-20271003-02</x:v>
      </x:c>
      <x:c r="B1517" s="23" t="n">
        <x:v>46663</x:v>
      </x:c>
      <x:c r="C1517" s="32" t="n">
        <x:v>2</x:v>
      </x:c>
      <x:c r="D1517" s="20" t="str">
        <x:v>Monthly operations</x:v>
      </x:c>
      <x:c r="E1517" s="20" t="str">
        <x:v>Property Manager</x:v>
      </x:c>
      <x:c r="F1517" s="20" t="str">
        <x:v>Web</x:v>
      </x:c>
      <x:c r="G1517" s="20" t="str">
        <x:v>Manual ACH</x:v>
      </x:c>
      <x:c r="H1517" s="35" t="str">
        <x:v>Post and allocate tenant receipt</x:v>
      </x:c>
      <x:c r="I1517" s="35" t="str">
        <x:v>P006; U006; L006</x:v>
      </x:c>
      <x:c r="J1517" s="35" t="str"/>
      <x:c r="K1517" s="35" t="str">
        <x:v>FIN-00775; FIN-00776</x:v>
      </x:c>
      <x:c r="L1517" s="35" t="str">
        <x:v>Open Scan for paper payment or the tenant-account receipt form for electronic payment; verify tenant/lease match, amount, date, method, and reference; confirm once; open ledger detail and allocation.</x:v>
      </x:c>
      <x:c r="M1517" s="35" t="str">
        <x:v>Receipt is append-only, allocated once to the correct rent charge, and visible consistently in Unit, Lease, Tenant Account, Accounting, and portal views.</x:v>
      </x:c>
      <x:c r="N1517" s="35" t="str">
        <x:v>Scan review or form; success result; exact ledger rows; payment detail; accounting delta; portal receipt.</x:v>
      </x:c>
      <x:c r="O1517" s="35" t="str">
        <x:v>Retry the idempotency key once during the quarter assigned in the coverage matrix; no duplicate cash or allocation.</x:v>
      </x:c>
      <x:c r="P1517" s="35" t="str">
        <x:v>All expected records and amounts match; no unexplained error or stale state.</x:v>
      </x:c>
    </x:row>
    <x:row r="1518">
      <x:c r="A1518" s="20" t="str">
        <x:v>RUN-20271003-03</x:v>
      </x:c>
      <x:c r="B1518" s="23" t="n">
        <x:v>46663</x:v>
      </x:c>
      <x:c r="C1518" s="32" t="n">
        <x:v>3</x:v>
      </x:c>
      <x:c r="D1518" s="20" t="str">
        <x:v>Monthly operations</x:v>
      </x:c>
      <x:c r="E1518" s="20" t="str">
        <x:v>Property Manager</x:v>
      </x:c>
      <x:c r="F1518" s="20" t="str">
        <x:v>Mobile</x:v>
      </x:c>
      <x:c r="G1518" s="20" t="str">
        <x:v>Scanned money order</x:v>
      </x:c>
      <x:c r="H1518" s="35" t="str">
        <x:v>Post and allocate tenant receipt</x:v>
      </x:c>
      <x:c r="I1518" s="35" t="str">
        <x:v>P009; U009; L009</x:v>
      </x:c>
      <x:c r="J1518" s="35" t="str">
        <x:v>SCN-0283</x:v>
      </x:c>
      <x:c r="K1518" s="35" t="str">
        <x:v>FIN-00779; FIN-00780</x:v>
      </x:c>
      <x:c r="L1518" s="35" t="str">
        <x:v>Open Scan for paper payment or the tenant-account receipt form for electronic payment; verify tenant/lease match, amount, date, method, and reference; confirm once; open ledger detail and allocation.</x:v>
      </x:c>
      <x:c r="M1518" s="35" t="str">
        <x:v>Receipt is append-only, allocated once to the correct rent charge, and visible consistently in Unit, Lease, Tenant Account, Accounting, and portal views.</x:v>
      </x:c>
      <x:c r="N1518" s="35" t="str">
        <x:v>Scan review or form; success result; exact ledger rows; payment detail; accounting delta; portal receipt.</x:v>
      </x:c>
      <x:c r="O1518" s="35" t="str">
        <x:v>Retry the idempotency key once during the quarter assigned in the coverage matrix; no duplicate cash or allocation.</x:v>
      </x:c>
      <x:c r="P1518" s="35" t="str">
        <x:v>All expected records and amounts match; no unexplained error or stale state.</x:v>
      </x:c>
    </x:row>
    <x:row r="1519">
      <x:c r="A1519" s="20" t="str">
        <x:v>RUN-20271003-04</x:v>
      </x:c>
      <x:c r="B1519" s="23" t="n">
        <x:v>46663</x:v>
      </x:c>
      <x:c r="C1519" s="32" t="n">
        <x:v>4</x:v>
      </x:c>
      <x:c r="D1519" s="20" t="str">
        <x:v>Monthly operations</x:v>
      </x:c>
      <x:c r="E1519" s="20" t="str">
        <x:v>Property Manager</x:v>
      </x:c>
      <x:c r="F1519" s="20" t="str">
        <x:v>Mobile</x:v>
      </x:c>
      <x:c r="G1519" s="20" t="str">
        <x:v>Portal card</x:v>
      </x:c>
      <x:c r="H1519" s="35" t="str">
        <x:v>Post and allocate tenant receipt</x:v>
      </x:c>
      <x:c r="I1519" s="35" t="str">
        <x:v>P011; U011; L011</x:v>
      </x:c>
      <x:c r="J1519" s="35" t="str"/>
      <x:c r="K1519" s="35" t="str">
        <x:v>FIN-00783; FIN-00784</x:v>
      </x:c>
      <x:c r="L1519" s="35" t="str">
        <x:v>Open Scan for paper payment or the tenant-account receipt form for electronic payment; verify tenant/lease match, amount, date, method, and reference; confirm once; open ledger detail and allocation.</x:v>
      </x:c>
      <x:c r="M1519" s="35" t="str">
        <x:v>Receipt is append-only, allocated once to the correct rent charge, and visible consistently in Unit, Lease, Tenant Account, Accounting, and portal views.</x:v>
      </x:c>
      <x:c r="N1519" s="35" t="str">
        <x:v>Scan review or form; success result; exact ledger rows; payment detail; accounting delta; portal receipt.</x:v>
      </x:c>
      <x:c r="O1519" s="35" t="str">
        <x:v>Retry the idempotency key once during the quarter assigned in the coverage matrix; no duplicate cash or allocation.</x:v>
      </x:c>
      <x:c r="P1519" s="35" t="str">
        <x:v>All expected records and amounts match; no unexplained error or stale state.</x:v>
      </x:c>
    </x:row>
    <x:row r="1520">
      <x:c r="A1520" s="20" t="str">
        <x:v>RUN-20271003-05</x:v>
      </x:c>
      <x:c r="B1520" s="23" t="n">
        <x:v>46663</x:v>
      </x:c>
      <x:c r="C1520" s="32" t="n">
        <x:v>5</x:v>
      </x:c>
      <x:c r="D1520" s="20" t="str">
        <x:v>Monthly operations</x:v>
      </x:c>
      <x:c r="E1520" s="20" t="str">
        <x:v>Property Manager</x:v>
      </x:c>
      <x:c r="F1520" s="20" t="str">
        <x:v>Web</x:v>
      </x:c>
      <x:c r="G1520" s="20" t="str">
        <x:v>Scanned check</x:v>
      </x:c>
      <x:c r="H1520" s="35" t="str">
        <x:v>Post and allocate tenant receipt</x:v>
      </x:c>
      <x:c r="I1520" s="35" t="str">
        <x:v>P012; U012; L012</x:v>
      </x:c>
      <x:c r="J1520" s="35" t="str">
        <x:v>SCN-0285</x:v>
      </x:c>
      <x:c r="K1520" s="35" t="str">
        <x:v>FIN-00787; FIN-00788</x:v>
      </x:c>
      <x:c r="L1520" s="35" t="str">
        <x:v>Open Scan for paper payment or the tenant-account receipt form for electronic payment; verify tenant/lease match, amount, date, method, and reference; confirm once; open ledger detail and allocation.</x:v>
      </x:c>
      <x:c r="M1520" s="35" t="str">
        <x:v>Receipt is append-only, allocated once to the correct rent charge, and visible consistently in Unit, Lease, Tenant Account, Accounting, and portal views.</x:v>
      </x:c>
      <x:c r="N1520" s="35" t="str">
        <x:v>Scan review or form; success result; exact ledger rows; payment detail; accounting delta; portal receipt.</x:v>
      </x:c>
      <x:c r="O1520" s="35" t="str">
        <x:v>Retry the idempotency key once during the quarter assigned in the coverage matrix; no duplicate cash or allocation.</x:v>
      </x:c>
      <x:c r="P1520" s="35" t="str">
        <x:v>All expected records and amounts match; no unexplained error or stale state.</x:v>
      </x:c>
    </x:row>
    <x:row r="1521">
      <x:c r="A1521" s="20" t="str">
        <x:v>RUN-20271003-06</x:v>
      </x:c>
      <x:c r="B1521" s="23" t="n">
        <x:v>46663</x:v>
      </x:c>
      <x:c r="C1521" s="32" t="n">
        <x:v>6</x:v>
      </x:c>
      <x:c r="D1521" s="20" t="str">
        <x:v>Monthly operations</x:v>
      </x:c>
      <x:c r="E1521" s="20" t="str">
        <x:v>Property Manager</x:v>
      </x:c>
      <x:c r="F1521" s="20" t="str">
        <x:v>Mobile</x:v>
      </x:c>
      <x:c r="G1521" s="20" t="str">
        <x:v>Portal card</x:v>
      </x:c>
      <x:c r="H1521" s="35" t="str">
        <x:v>Post and allocate tenant receipt</x:v>
      </x:c>
      <x:c r="I1521" s="35" t="str">
        <x:v>P015; U015; L015</x:v>
      </x:c>
      <x:c r="J1521" s="35" t="str"/>
      <x:c r="K1521" s="35" t="str">
        <x:v>FIN-00792; FIN-00793</x:v>
      </x:c>
      <x:c r="L1521" s="35" t="str">
        <x:v>Open Scan for paper payment or the tenant-account receipt form for electronic payment; verify tenant/lease match, amount, date, method, and reference; confirm once; open ledger detail and allocation.</x:v>
      </x:c>
      <x:c r="M1521" s="35" t="str">
        <x:v>Receipt is append-only, allocated once to the correct rent charge, and visible consistently in Unit, Lease, Tenant Account, Accounting, and portal views.</x:v>
      </x:c>
      <x:c r="N1521" s="35" t="str">
        <x:v>Scan review or form; success result; exact ledger rows; payment detail; accounting delta; portal receipt.</x:v>
      </x:c>
      <x:c r="O1521" s="35" t="str">
        <x:v>Retry the idempotency key once during the quarter assigned in the coverage matrix; no duplicate cash or allocation.</x:v>
      </x:c>
      <x:c r="P1521" s="35" t="str">
        <x:v>All expected records and amounts match; no unexplained error or stale state.</x:v>
      </x:c>
    </x:row>
    <x:row r="1522">
      <x:c r="A1522" s="20" t="str">
        <x:v>RUN-20271003-07</x:v>
      </x:c>
      <x:c r="B1522" s="23" t="n">
        <x:v>46663</x:v>
      </x:c>
      <x:c r="C1522" s="32" t="n">
        <x:v>7</x:v>
      </x:c>
      <x:c r="D1522" s="20" t="str">
        <x:v>Monthly operations</x:v>
      </x:c>
      <x:c r="E1522" s="20" t="str">
        <x:v>Property Manager</x:v>
      </x:c>
      <x:c r="F1522" s="20" t="str">
        <x:v>Web</x:v>
      </x:c>
      <x:c r="G1522" s="20" t="str">
        <x:v>Manual ACH</x:v>
      </x:c>
      <x:c r="H1522" s="35" t="str">
        <x:v>Post and allocate tenant receipt</x:v>
      </x:c>
      <x:c r="I1522" s="35" t="str">
        <x:v>P018; U018; L018</x:v>
      </x:c>
      <x:c r="J1522" s="35" t="str"/>
      <x:c r="K1522" s="35" t="str">
        <x:v>FIN-00796; FIN-00797</x:v>
      </x:c>
      <x:c r="L1522" s="35" t="str">
        <x:v>Open Scan for paper payment or the tenant-account receipt form for electronic payment; verify tenant/lease match, amount, date, method, and reference; confirm once; open ledger detail and allocation.</x:v>
      </x:c>
      <x:c r="M1522" s="35" t="str">
        <x:v>Receipt is append-only, allocated once to the correct rent charge, and visible consistently in Unit, Lease, Tenant Account, Accounting, and portal views.</x:v>
      </x:c>
      <x:c r="N1522" s="35" t="str">
        <x:v>Scan review or form; success result; exact ledger rows; payment detail; accounting delta; portal receipt.</x:v>
      </x:c>
      <x:c r="O1522" s="35" t="str">
        <x:v>Retry the idempotency key once during the quarter assigned in the coverage matrix; no duplicate cash or allocation.</x:v>
      </x:c>
      <x:c r="P1522" s="35" t="str">
        <x:v>All expected records and amounts match; no unexplained error or stale state.</x:v>
      </x:c>
    </x:row>
    <x:row r="1523">
      <x:c r="A1523" s="20" t="str">
        <x:v>RUN-20271003-08</x:v>
      </x:c>
      <x:c r="B1523" s="23" t="n">
        <x:v>46663</x:v>
      </x:c>
      <x:c r="C1523" s="32" t="n">
        <x:v>8</x:v>
      </x:c>
      <x:c r="D1523" s="20" t="str">
        <x:v>Monthly operations</x:v>
      </x:c>
      <x:c r="E1523" s="20" t="str">
        <x:v>Property Manager</x:v>
      </x:c>
      <x:c r="F1523" s="20" t="str">
        <x:v>Mobile</x:v>
      </x:c>
      <x:c r="G1523" s="20" t="str">
        <x:v>Scanned money order</x:v>
      </x:c>
      <x:c r="H1523" s="35" t="str">
        <x:v>Post and allocate tenant receipt</x:v>
      </x:c>
      <x:c r="I1523" s="35" t="str">
        <x:v>P021; U021; L021</x:v>
      </x:c>
      <x:c r="J1523" s="35" t="str">
        <x:v>SCN-0289</x:v>
      </x:c>
      <x:c r="K1523" s="35" t="str">
        <x:v>FIN-00802; FIN-00803</x:v>
      </x:c>
      <x:c r="L1523" s="35" t="str">
        <x:v>Open Scan for paper payment or the tenant-account receipt form for electronic payment; verify tenant/lease match, amount, date, method, and reference; confirm once; open ledger detail and allocation.</x:v>
      </x:c>
      <x:c r="M1523" s="35" t="str">
        <x:v>Receipt is append-only, allocated once to the correct rent charge, and visible consistently in Unit, Lease, Tenant Account, Accounting, and portal views.</x:v>
      </x:c>
      <x:c r="N1523" s="35" t="str">
        <x:v>Scan review or form; success result; exact ledger rows; payment detail; accounting delta; portal receipt.</x:v>
      </x:c>
      <x:c r="O1523" s="35" t="str">
        <x:v>Retry the idempotency key once during the quarter assigned in the coverage matrix; no duplicate cash or allocation.</x:v>
      </x:c>
      <x:c r="P1523" s="35" t="str">
        <x:v>All expected records and amounts match; no unexplained error or stale state.</x:v>
      </x:c>
    </x:row>
    <x:row r="1524">
      <x:c r="A1524" s="20" t="str">
        <x:v>RUN-20271003-09</x:v>
      </x:c>
      <x:c r="B1524" s="23" t="n">
        <x:v>46663</x:v>
      </x:c>
      <x:c r="C1524" s="32" t="n">
        <x:v>9</x:v>
      </x:c>
      <x:c r="D1524" s="20" t="str">
        <x:v>Monthly operations</x:v>
      </x:c>
      <x:c r="E1524" s="20" t="str">
        <x:v>Property Manager</x:v>
      </x:c>
      <x:c r="F1524" s="20" t="str">
        <x:v>Web</x:v>
      </x:c>
      <x:c r="G1524" s="20" t="str">
        <x:v>Scanned check</x:v>
      </x:c>
      <x:c r="H1524" s="35" t="str">
        <x:v>Post and allocate tenant receipt</x:v>
      </x:c>
      <x:c r="I1524" s="35" t="str">
        <x:v>P022; U024; L024</x:v>
      </x:c>
      <x:c r="J1524" s="35" t="str">
        <x:v>SCN-0290</x:v>
      </x:c>
      <x:c r="K1524" s="35" t="str">
        <x:v>FIN-00806; FIN-00807</x:v>
      </x:c>
      <x:c r="L1524" s="35" t="str">
        <x:v>Open Scan for paper payment or the tenant-account receipt form for electronic payment; verify tenant/lease match, amount, date, method, and reference; confirm once; open ledger detail and allocation.</x:v>
      </x:c>
      <x:c r="M1524" s="35" t="str">
        <x:v>Receipt is append-only, allocated once to the correct rent charge, and visible consistently in Unit, Lease, Tenant Account, Accounting, and portal views.</x:v>
      </x:c>
      <x:c r="N1524" s="35" t="str">
        <x:v>Scan review or form; success result; exact ledger rows; payment detail; accounting delta; portal receipt.</x:v>
      </x:c>
      <x:c r="O1524" s="35" t="str">
        <x:v>Retry the idempotency key once during the quarter assigned in the coverage matrix; no duplicate cash or allocation.</x:v>
      </x:c>
      <x:c r="P1524" s="35" t="str">
        <x:v>All expected records and amounts match; no unexplained error or stale state.</x:v>
      </x:c>
    </x:row>
    <x:row r="1525">
      <x:c r="A1525" s="20" t="str">
        <x:v>RUN-20271003-10</x:v>
      </x:c>
      <x:c r="B1525" s="23" t="n">
        <x:v>46663</x:v>
      </x:c>
      <x:c r="C1525" s="32" t="n">
        <x:v>10</x:v>
      </x:c>
      <x:c r="D1525" s="20" t="str">
        <x:v>Monthly operations</x:v>
      </x:c>
      <x:c r="E1525" s="20" t="str">
        <x:v>Property Manager</x:v>
      </x:c>
      <x:c r="F1525" s="20" t="str">
        <x:v>Mobile</x:v>
      </x:c>
      <x:c r="G1525" s="20" t="str">
        <x:v>Portal card</x:v>
      </x:c>
      <x:c r="H1525" s="35" t="str">
        <x:v>Post and allocate tenant receipt</x:v>
      </x:c>
      <x:c r="I1525" s="35" t="str">
        <x:v>P024; U027; L027</x:v>
      </x:c>
      <x:c r="J1525" s="35" t="str"/>
      <x:c r="K1525" s="35" t="str">
        <x:v>FIN-00813; FIN-00814</x:v>
      </x:c>
      <x:c r="L1525" s="35" t="str">
        <x:v>Open Scan for paper payment or the tenant-account receipt form for electronic payment; verify tenant/lease match, amount, date, method, and reference; confirm once; open ledger detail and allocation.</x:v>
      </x:c>
      <x:c r="M1525" s="35" t="str">
        <x:v>Receipt is append-only, allocated once to the correct rent charge, and visible consistently in Unit, Lease, Tenant Account, Accounting, and portal views.</x:v>
      </x:c>
      <x:c r="N1525" s="35" t="str">
        <x:v>Scan review or form; success result; exact ledger rows; payment detail; accounting delta; portal receipt.</x:v>
      </x:c>
      <x:c r="O1525" s="35" t="str">
        <x:v>Retry the idempotency key once during the quarter assigned in the coverage matrix; no duplicate cash or allocation.</x:v>
      </x:c>
      <x:c r="P1525" s="35" t="str">
        <x:v>All expected records and amounts match; no unexplained error or stale state.</x:v>
      </x:c>
    </x:row>
    <x:row r="1526">
      <x:c r="A1526" s="20" t="str">
        <x:v>RUN-20271003-11</x:v>
      </x:c>
      <x:c r="B1526" s="23" t="n">
        <x:v>46663</x:v>
      </x:c>
      <x:c r="C1526" s="32" t="n">
        <x:v>11</x:v>
      </x:c>
      <x:c r="D1526" s="20" t="str">
        <x:v>Monthly operations</x:v>
      </x:c>
      <x:c r="E1526" s="20" t="str">
        <x:v>Property Manager</x:v>
      </x:c>
      <x:c r="F1526" s="20" t="str">
        <x:v>Web</x:v>
      </x:c>
      <x:c r="G1526" s="20" t="str">
        <x:v>Manual ACH</x:v>
      </x:c>
      <x:c r="H1526" s="35" t="str">
        <x:v>Post and allocate tenant receipt</x:v>
      </x:c>
      <x:c r="I1526" s="35" t="str">
        <x:v>P025; U030; L030</x:v>
      </x:c>
      <x:c r="J1526" s="35" t="str"/>
      <x:c r="K1526" s="35" t="str">
        <x:v>FIN-00819; FIN-00820</x:v>
      </x:c>
      <x:c r="L1526" s="35" t="str">
        <x:v>Open Scan for paper payment or the tenant-account receipt form for electronic payment; verify tenant/lease match, amount, date, method, and reference; confirm once; open ledger detail and allocation.</x:v>
      </x:c>
      <x:c r="M1526" s="35" t="str">
        <x:v>Receipt is append-only, allocated once to the correct rent charge, and visible consistently in Unit, Lease, Tenant Account, Accounting, and portal views.</x:v>
      </x:c>
      <x:c r="N1526" s="35" t="str">
        <x:v>Scan review or form; success result; exact ledger rows; payment detail; accounting delta; portal receipt.</x:v>
      </x:c>
      <x:c r="O1526" s="35" t="str">
        <x:v>Retry the idempotency key once during the quarter assigned in the coverage matrix; no duplicate cash or allocation.</x:v>
      </x:c>
      <x:c r="P1526" s="35" t="str">
        <x:v>All expected records and amounts match; no unexplained error or stale state.</x:v>
      </x:c>
    </x:row>
    <x:row r="1527">
      <x:c r="A1527" s="20" t="str">
        <x:v>RUN-20271003-12</x:v>
      </x:c>
      <x:c r="B1527" s="23" t="n">
        <x:v>46663</x:v>
      </x:c>
      <x:c r="C1527" s="32" t="n">
        <x:v>12</x:v>
      </x:c>
      <x:c r="D1527" s="20" t="str">
        <x:v>Monthly operations</x:v>
      </x:c>
      <x:c r="E1527" s="20" t="str">
        <x:v>Property Manager</x:v>
      </x:c>
      <x:c r="F1527" s="20" t="str">
        <x:v>Mobile</x:v>
      </x:c>
      <x:c r="G1527" s="20" t="str">
        <x:v>Scanned money order</x:v>
      </x:c>
      <x:c r="H1527" s="35" t="str">
        <x:v>Post and allocate tenant receipt</x:v>
      </x:c>
      <x:c r="I1527" s="35" t="str">
        <x:v>P027; U033; L033</x:v>
      </x:c>
      <x:c r="J1527" s="35" t="str">
        <x:v>SCN-0296</x:v>
      </x:c>
      <x:c r="K1527" s="35" t="str">
        <x:v>FIN-00825; FIN-00826</x:v>
      </x:c>
      <x:c r="L1527" s="35" t="str">
        <x:v>Open Scan for paper payment or the tenant-account receipt form for electronic payment; verify tenant/lease match, amount, date, method, and reference; confirm once; open ledger detail and allocation.</x:v>
      </x:c>
      <x:c r="M1527" s="35" t="str">
        <x:v>Receipt is append-only, allocated once to the correct rent charge, and visible consistently in Unit, Lease, Tenant Account, Accounting, and portal views.</x:v>
      </x:c>
      <x:c r="N1527" s="35" t="str">
        <x:v>Scan review or form; success result; exact ledger rows; payment detail; accounting delta; portal receipt.</x:v>
      </x:c>
      <x:c r="O1527" s="35" t="str">
        <x:v>Retry the idempotency key once during the quarter assigned in the coverage matrix; no duplicate cash or allocation.</x:v>
      </x:c>
      <x:c r="P1527" s="35" t="str">
        <x:v>All expected records and amounts match; no unexplained error or stale state.</x:v>
      </x:c>
    </x:row>
    <x:row r="1528">
      <x:c r="A1528" s="20" t="str">
        <x:v>RUN-20271003-13</x:v>
      </x:c>
      <x:c r="B1528" s="23" t="n">
        <x:v>46663</x:v>
      </x:c>
      <x:c r="C1528" s="32" t="n">
        <x:v>13</x:v>
      </x:c>
      <x:c r="D1528" s="20" t="str">
        <x:v>Monthly operations</x:v>
      </x:c>
      <x:c r="E1528" s="20" t="str">
        <x:v>Property Manager</x:v>
      </x:c>
      <x:c r="F1528" s="20" t="str">
        <x:v>Web</x:v>
      </x:c>
      <x:c r="G1528" s="20" t="str">
        <x:v>Scanned check</x:v>
      </x:c>
      <x:c r="H1528" s="35" t="str">
        <x:v>Post and allocate tenant receipt</x:v>
      </x:c>
      <x:c r="I1528" s="35" t="str">
        <x:v>P028; U036; L036</x:v>
      </x:c>
      <x:c r="J1528" s="35" t="str">
        <x:v>SCN-0297</x:v>
      </x:c>
      <x:c r="K1528" s="35" t="str">
        <x:v>FIN-00833; FIN-00834</x:v>
      </x:c>
      <x:c r="L1528" s="35" t="str">
        <x:v>Open Scan for paper payment or the tenant-account receipt form for electronic payment; verify tenant/lease match, amount, date, method, and reference; confirm once; open ledger detail and allocation.</x:v>
      </x:c>
      <x:c r="M1528" s="35" t="str">
        <x:v>Receipt is append-only, allocated once to the correct rent charge, and visible consistently in Unit, Lease, Tenant Account, Accounting, and portal views.</x:v>
      </x:c>
      <x:c r="N1528" s="35" t="str">
        <x:v>Scan review or form; success result; exact ledger rows; payment detail; accounting delta; portal receipt.</x:v>
      </x:c>
      <x:c r="O1528" s="35" t="str">
        <x:v>Retry the idempotency key once during the quarter assigned in the coverage matrix; no duplicate cash or allocation.</x:v>
      </x:c>
      <x:c r="P1528" s="35" t="str">
        <x:v>All expected records and amounts match; no unexplained error or stale state.</x:v>
      </x:c>
    </x:row>
    <x:row r="1529">
      <x:c r="A1529" s="20" t="str">
        <x:v>RUN-20271003-14</x:v>
      </x:c>
      <x:c r="B1529" s="23" t="n">
        <x:v>46663</x:v>
      </x:c>
      <x:c r="C1529" s="32" t="n">
        <x:v>14</x:v>
      </x:c>
      <x:c r="D1529" s="20" t="str">
        <x:v>Monthly operations</x:v>
      </x:c>
      <x:c r="E1529" s="20" t="str">
        <x:v>Property Manager</x:v>
      </x:c>
      <x:c r="F1529" s="20" t="str">
        <x:v>Web</x:v>
      </x:c>
      <x:c r="G1529" s="20" t="str">
        <x:v>Scanned check</x:v>
      </x:c>
      <x:c r="H1529" s="35" t="str">
        <x:v>Post and allocate tenant receipt</x:v>
      </x:c>
      <x:c r="I1529" s="35" t="str">
        <x:v>P029; U038; L044</x:v>
      </x:c>
      <x:c r="J1529" s="35" t="str">
        <x:v>SCN-0301</x:v>
      </x:c>
      <x:c r="K1529" s="35" t="str">
        <x:v>FIN-00848; FIN-00849</x:v>
      </x:c>
      <x:c r="L1529" s="35" t="str">
        <x:v>Open Scan for paper payment or the tenant-account receipt form for electronic payment; verify tenant/lease match, amount, date, method, and reference; confirm once; open ledger detail and allocation.</x:v>
      </x:c>
      <x:c r="M1529" s="35" t="str">
        <x:v>Receipt is append-only, allocated once to the correct rent charge, and visible consistently in Unit, Lease, Tenant Account, Accounting, and portal views.</x:v>
      </x:c>
      <x:c r="N1529" s="35" t="str">
        <x:v>Scan review or form; success result; exact ledger rows; payment detail; accounting delta; portal receipt.</x:v>
      </x:c>
      <x:c r="O1529" s="35" t="str">
        <x:v>Retry the idempotency key once during the quarter assigned in the coverage matrix; no duplicate cash or allocation.</x:v>
      </x:c>
      <x:c r="P1529" s="35" t="str">
        <x:v>All expected records and amounts match; no unexplained error or stale state.</x:v>
      </x:c>
    </x:row>
    <x:row r="1530">
      <x:c r="A1530" s="20" t="str">
        <x:v>RUN-20271003-15</x:v>
      </x:c>
      <x:c r="B1530" s="23" t="n">
        <x:v>46663</x:v>
      </x:c>
      <x:c r="C1530" s="32" t="n">
        <x:v>15</x:v>
      </x:c>
      <x:c r="D1530" s="20" t="str">
        <x:v>Monthly operations</x:v>
      </x:c>
      <x:c r="E1530" s="20" t="str">
        <x:v>Property Manager</x:v>
      </x:c>
      <x:c r="F1530" s="20" t="str">
        <x:v>Mobile</x:v>
      </x:c>
      <x:c r="G1530" s="20" t="str">
        <x:v>Scanned money order</x:v>
      </x:c>
      <x:c r="H1530" s="35" t="str">
        <x:v>Post and allocate tenant receipt</x:v>
      </x:c>
      <x:c r="I1530" s="35" t="str">
        <x:v>P030; U039; L045</x:v>
      </x:c>
      <x:c r="J1530" s="35" t="str">
        <x:v>SCN-0302</x:v>
      </x:c>
      <x:c r="K1530" s="35" t="str">
        <x:v>FIN-00852; FIN-00853</x:v>
      </x:c>
      <x:c r="L1530" s="35" t="str">
        <x:v>Open Scan for paper payment or the tenant-account receipt form for electronic payment; verify tenant/lease match, amount, date, method, and reference; confirm once; open ledger detail and allocation.</x:v>
      </x:c>
      <x:c r="M1530" s="35" t="str">
        <x:v>Receipt is append-only, allocated once to the correct rent charge, and visible consistently in Unit, Lease, Tenant Account, Accounting, and portal views.</x:v>
      </x:c>
      <x:c r="N1530" s="35" t="str">
        <x:v>Scan review or form; success result; exact ledger rows; payment detail; accounting delta; portal receipt.</x:v>
      </x:c>
      <x:c r="O1530" s="35" t="str">
        <x:v>Retry the idempotency key once during the quarter assigned in the coverage matrix; no duplicate cash or allocation.</x:v>
      </x:c>
      <x:c r="P1530" s="35" t="str">
        <x:v>All expected records and amounts match; no unexplained error or stale state.</x:v>
      </x:c>
    </x:row>
    <x:row r="1531">
      <x:c r="A1531" s="20" t="str">
        <x:v>RUN-20271004-01</x:v>
      </x:c>
      <x:c r="B1531" s="23" t="n">
        <x:v>46664</x:v>
      </x:c>
      <x:c r="C1531" s="32" t="n">
        <x:v>1</x:v>
      </x:c>
      <x:c r="D1531" s="20" t="str">
        <x:v>Monthly operations</x:v>
      </x:c>
      <x:c r="E1531" s="20" t="str">
        <x:v>Property Manager</x:v>
      </x:c>
      <x:c r="F1531" s="20" t="str">
        <x:v>Mobile</x:v>
      </x:c>
      <x:c r="G1531" s="20" t="str">
        <x:v>Scanned money order</x:v>
      </x:c>
      <x:c r="H1531" s="35" t="str">
        <x:v>Post and allocate tenant receipt</x:v>
      </x:c>
      <x:c r="I1531" s="35" t="str">
        <x:v>P001; U001; L001</x:v>
      </x:c>
      <x:c r="J1531" s="35" t="str">
        <x:v>SCN-0281</x:v>
      </x:c>
      <x:c r="K1531" s="35" t="str">
        <x:v>FIN-00767; FIN-00768</x:v>
      </x:c>
      <x:c r="L1531" s="35" t="str">
        <x:v>Open Scan for paper payment or the tenant-account receipt form for electronic payment; verify tenant/lease match, amount, date, method, and reference; confirm once; open ledger detail and allocation.</x:v>
      </x:c>
      <x:c r="M1531" s="35" t="str">
        <x:v>Receipt is append-only, allocated once to the correct rent charge, and visible consistently in Unit, Lease, Tenant Account, Accounting, and portal views.</x:v>
      </x:c>
      <x:c r="N1531" s="35" t="str">
        <x:v>Scan review or form; success result; exact ledger rows; payment detail; accounting delta; portal receipt.</x:v>
      </x:c>
      <x:c r="O1531" s="35" t="str">
        <x:v>Retry the idempotency key once during the quarter assigned in the coverage matrix; no duplicate cash or allocation.</x:v>
      </x:c>
      <x:c r="P1531" s="35" t="str">
        <x:v>All expected records and amounts match; no unexplained error or stale state.</x:v>
      </x:c>
    </x:row>
    <x:row r="1532">
      <x:c r="A1532" s="20" t="str">
        <x:v>RUN-20271004-02</x:v>
      </x:c>
      <x:c r="B1532" s="23" t="n">
        <x:v>46664</x:v>
      </x:c>
      <x:c r="C1532" s="32" t="n">
        <x:v>2</x:v>
      </x:c>
      <x:c r="D1532" s="20" t="str">
        <x:v>Monthly operations</x:v>
      </x:c>
      <x:c r="E1532" s="20" t="str">
        <x:v>Property Manager</x:v>
      </x:c>
      <x:c r="F1532" s="20" t="str">
        <x:v>Web</x:v>
      </x:c>
      <x:c r="G1532" s="20" t="str">
        <x:v>Scanned check</x:v>
      </x:c>
      <x:c r="H1532" s="35" t="str">
        <x:v>Post and allocate tenant receipt</x:v>
      </x:c>
      <x:c r="I1532" s="35" t="str">
        <x:v>P004; U004; L004</x:v>
      </x:c>
      <x:c r="J1532" s="35" t="str">
        <x:v>SCN-0282</x:v>
      </x:c>
      <x:c r="K1532" s="35" t="str">
        <x:v>FIN-00773; FIN-00774</x:v>
      </x:c>
      <x:c r="L1532" s="35" t="str">
        <x:v>Open Scan for paper payment or the tenant-account receipt form for electronic payment; verify tenant/lease match, amount, date, method, and reference; confirm once; open ledger detail and allocation.</x:v>
      </x:c>
      <x:c r="M1532" s="35" t="str">
        <x:v>Receipt is append-only, allocated once to the correct rent charge, and visible consistently in Unit, Lease, Tenant Account, Accounting, and portal views.</x:v>
      </x:c>
      <x:c r="N1532" s="35" t="str">
        <x:v>Scan review or form; success result; exact ledger rows; payment detail; accounting delta; portal receipt.</x:v>
      </x:c>
      <x:c r="O1532" s="35" t="str">
        <x:v>Retry the idempotency key once during the quarter assigned in the coverage matrix; no duplicate cash or allocation.</x:v>
      </x:c>
      <x:c r="P1532" s="35" t="str">
        <x:v>All expected records and amounts match; no unexplained error or stale state.</x:v>
      </x:c>
    </x:row>
    <x:row r="1533">
      <x:c r="A1533" s="20" t="str">
        <x:v>RUN-20271004-03</x:v>
      </x:c>
      <x:c r="B1533" s="23" t="n">
        <x:v>46664</x:v>
      </x:c>
      <x:c r="C1533" s="32" t="n">
        <x:v>3</x:v>
      </x:c>
      <x:c r="D1533" s="20" t="str">
        <x:v>Monthly operations</x:v>
      </x:c>
      <x:c r="E1533" s="20" t="str">
        <x:v>Property Manager</x:v>
      </x:c>
      <x:c r="F1533" s="20" t="str">
        <x:v>Mobile</x:v>
      </x:c>
      <x:c r="G1533" s="20" t="str">
        <x:v>Portal card</x:v>
      </x:c>
      <x:c r="H1533" s="35" t="str">
        <x:v>Post and allocate tenant receipt</x:v>
      </x:c>
      <x:c r="I1533" s="35" t="str">
        <x:v>P007; U007; L007</x:v>
      </x:c>
      <x:c r="J1533" s="35" t="str"/>
      <x:c r="K1533" s="35" t="str">
        <x:v>FIN-00777; FIN-00778</x:v>
      </x:c>
      <x:c r="L1533" s="35" t="str">
        <x:v>Open Scan for paper payment or the tenant-account receipt form for electronic payment; verify tenant/lease match, amount, date, method, and reference; confirm once; open ledger detail and allocation.</x:v>
      </x:c>
      <x:c r="M1533" s="35" t="str">
        <x:v>Receipt is append-only, allocated once to the correct rent charge, and visible consistently in Unit, Lease, Tenant Account, Accounting, and portal views.</x:v>
      </x:c>
      <x:c r="N1533" s="35" t="str">
        <x:v>Scan review or form; success result; exact ledger rows; payment detail; accounting delta; portal receipt.</x:v>
      </x:c>
      <x:c r="O1533" s="35" t="str">
        <x:v>Retry the idempotency key once during the quarter assigned in the coverage matrix; no duplicate cash or allocation.</x:v>
      </x:c>
      <x:c r="P1533" s="35" t="str">
        <x:v>All expected records and amounts match; no unexplained error or stale state.</x:v>
      </x:c>
    </x:row>
    <x:row r="1534">
      <x:c r="A1534" s="20" t="str">
        <x:v>RUN-20271004-04</x:v>
      </x:c>
      <x:c r="B1534" s="23" t="n">
        <x:v>46664</x:v>
      </x:c>
      <x:c r="C1534" s="32" t="n">
        <x:v>4</x:v>
      </x:c>
      <x:c r="D1534" s="20" t="str">
        <x:v>Monthly operations</x:v>
      </x:c>
      <x:c r="E1534" s="20" t="str">
        <x:v>Property Manager</x:v>
      </x:c>
      <x:c r="F1534" s="20" t="str">
        <x:v>Web</x:v>
      </x:c>
      <x:c r="G1534" s="20" t="str">
        <x:v>Manual ACH</x:v>
      </x:c>
      <x:c r="H1534" s="35" t="str">
        <x:v>Post and allocate tenant receipt</x:v>
      </x:c>
      <x:c r="I1534" s="35" t="str">
        <x:v>P010; U010; L010</x:v>
      </x:c>
      <x:c r="J1534" s="35" t="str"/>
      <x:c r="K1534" s="35" t="str">
        <x:v>FIN-00781; FIN-00782</x:v>
      </x:c>
      <x:c r="L1534" s="35" t="str">
        <x:v>Open Scan for paper payment or the tenant-account receipt form for electronic payment; verify tenant/lease match, amount, date, method, and reference; confirm once; open ledger detail and allocation.</x:v>
      </x:c>
      <x:c r="M1534" s="35" t="str">
        <x:v>Receipt is append-only, allocated once to the correct rent charge, and visible consistently in Unit, Lease, Tenant Account, Accounting, and portal views.</x:v>
      </x:c>
      <x:c r="N1534" s="35" t="str">
        <x:v>Scan review or form; success result; exact ledger rows; payment detail; accounting delta; portal receipt.</x:v>
      </x:c>
      <x:c r="O1534" s="35" t="str">
        <x:v>Retry the idempotency key once during the quarter assigned in the coverage matrix; no duplicate cash or allocation.</x:v>
      </x:c>
      <x:c r="P1534" s="35" t="str">
        <x:v>All expected records and amounts match; no unexplained error or stale state.</x:v>
      </x:c>
    </x:row>
    <x:row r="1535">
      <x:c r="A1535" s="20" t="str">
        <x:v>RUN-20271004-05</x:v>
      </x:c>
      <x:c r="B1535" s="23" t="n">
        <x:v>46664</x:v>
      </x:c>
      <x:c r="C1535" s="32" t="n">
        <x:v>5</x:v>
      </x:c>
      <x:c r="D1535" s="20" t="str">
        <x:v>Monthly operations</x:v>
      </x:c>
      <x:c r="E1535" s="20" t="str">
        <x:v>Property Manager</x:v>
      </x:c>
      <x:c r="F1535" s="20" t="str">
        <x:v>Web</x:v>
      </x:c>
      <x:c r="G1535" s="20" t="str">
        <x:v>Scanned check</x:v>
      </x:c>
      <x:c r="H1535" s="35" t="str">
        <x:v>Post and allocate tenant receipt</x:v>
      </x:c>
      <x:c r="I1535" s="35" t="str">
        <x:v>P016; U016; L016</x:v>
      </x:c>
      <x:c r="J1535" s="35" t="str">
        <x:v>SCN-0287</x:v>
      </x:c>
      <x:c r="K1535" s="35" t="str">
        <x:v>FIN-00794; FIN-00795</x:v>
      </x:c>
      <x:c r="L1535" s="35" t="str">
        <x:v>Open Scan for paper payment or the tenant-account receipt form for electronic payment; verify tenant/lease match, amount, date, method, and reference; confirm once; open ledger detail and allocation.</x:v>
      </x:c>
      <x:c r="M1535" s="35" t="str">
        <x:v>Receipt is append-only, allocated once to the correct rent charge, and visible consistently in Unit, Lease, Tenant Account, Accounting, and portal views.</x:v>
      </x:c>
      <x:c r="N1535" s="35" t="str">
        <x:v>Scan review or form; success result; exact ledger rows; payment detail; accounting delta; portal receipt.</x:v>
      </x:c>
      <x:c r="O1535" s="35" t="str">
        <x:v>Retry the idempotency key once during the quarter assigned in the coverage matrix; no duplicate cash or allocation.</x:v>
      </x:c>
      <x:c r="P1535" s="35" t="str">
        <x:v>All expected records and amounts match; no unexplained error or stale state.</x:v>
      </x:c>
    </x:row>
    <x:row r="1536">
      <x:c r="A1536" s="20" t="str">
        <x:v>RUN-20271004-06</x:v>
      </x:c>
      <x:c r="B1536" s="23" t="n">
        <x:v>46664</x:v>
      </x:c>
      <x:c r="C1536" s="32" t="n">
        <x:v>6</x:v>
      </x:c>
      <x:c r="D1536" s="20" t="str">
        <x:v>Monthly operations</x:v>
      </x:c>
      <x:c r="E1536" s="20" t="str">
        <x:v>Property Manager</x:v>
      </x:c>
      <x:c r="F1536" s="20" t="str">
        <x:v>Mobile</x:v>
      </x:c>
      <x:c r="G1536" s="20" t="str">
        <x:v>Portal card</x:v>
      </x:c>
      <x:c r="H1536" s="35" t="str">
        <x:v>Post and allocate tenant receipt</x:v>
      </x:c>
      <x:c r="I1536" s="35" t="str">
        <x:v>P019; U019; L019</x:v>
      </x:c>
      <x:c r="J1536" s="35" t="str"/>
      <x:c r="K1536" s="35" t="str">
        <x:v>FIN-00798; FIN-00799</x:v>
      </x:c>
      <x:c r="L1536" s="35" t="str">
        <x:v>Open Scan for paper payment or the tenant-account receipt form for electronic payment; verify tenant/lease match, amount, date, method, and reference; confirm once; open ledger detail and allocation.</x:v>
      </x:c>
      <x:c r="M1536" s="35" t="str">
        <x:v>Receipt is append-only, allocated once to the correct rent charge, and visible consistently in Unit, Lease, Tenant Account, Accounting, and portal views.</x:v>
      </x:c>
      <x:c r="N1536" s="35" t="str">
        <x:v>Scan review or form; success result; exact ledger rows; payment detail; accounting delta; portal receipt.</x:v>
      </x:c>
      <x:c r="O1536" s="35" t="str">
        <x:v>Retry the idempotency key once during the quarter assigned in the coverage matrix; no duplicate cash or allocation.</x:v>
      </x:c>
      <x:c r="P1536" s="35" t="str">
        <x:v>All expected records and amounts match; no unexplained error or stale state.</x:v>
      </x:c>
    </x:row>
    <x:row r="1537">
      <x:c r="A1537" s="20" t="str">
        <x:v>RUN-20271004-07</x:v>
      </x:c>
      <x:c r="B1537" s="23" t="n">
        <x:v>46664</x:v>
      </x:c>
      <x:c r="C1537" s="32" t="n">
        <x:v>7</x:v>
      </x:c>
      <x:c r="D1537" s="20" t="str">
        <x:v>Monthly operations</x:v>
      </x:c>
      <x:c r="E1537" s="20" t="str">
        <x:v>Property Manager</x:v>
      </x:c>
      <x:c r="F1537" s="20" t="str">
        <x:v>Mobile</x:v>
      </x:c>
      <x:c r="G1537" s="20" t="str">
        <x:v>Scanned money order</x:v>
      </x:c>
      <x:c r="H1537" s="35" t="str">
        <x:v>Post and allocate tenant receipt</x:v>
      </x:c>
      <x:c r="I1537" s="35" t="str">
        <x:v>P023; U025; L025</x:v>
      </x:c>
      <x:c r="J1537" s="35" t="str">
        <x:v>SCN-0291</x:v>
      </x:c>
      <x:c r="K1537" s="35" t="str">
        <x:v>FIN-00808; FIN-00809</x:v>
      </x:c>
      <x:c r="L1537" s="35" t="str">
        <x:v>Open Scan for paper payment or the tenant-account receipt form for electronic payment; verify tenant/lease match, amount, date, method, and reference; confirm once; open ledger detail and allocation.</x:v>
      </x:c>
      <x:c r="M1537" s="35" t="str">
        <x:v>Receipt is append-only, allocated once to the correct rent charge, and visible consistently in Unit, Lease, Tenant Account, Accounting, and portal views.</x:v>
      </x:c>
      <x:c r="N1537" s="35" t="str">
        <x:v>Scan review or form; success result; exact ledger rows; payment detail; accounting delta; portal receipt.</x:v>
      </x:c>
      <x:c r="O1537" s="35" t="str">
        <x:v>Retry the idempotency key once during the quarter assigned in the coverage matrix; no duplicate cash or allocation.</x:v>
      </x:c>
      <x:c r="P1537" s="35" t="str">
        <x:v>All expected records and amounts match; no unexplained error or stale state.</x:v>
      </x:c>
    </x:row>
    <x:row r="1538">
      <x:c r="A1538" s="20" t="str">
        <x:v>RUN-20271004-08</x:v>
      </x:c>
      <x:c r="B1538" s="23" t="n">
        <x:v>46664</x:v>
      </x:c>
      <x:c r="C1538" s="32" t="n">
        <x:v>8</x:v>
      </x:c>
      <x:c r="D1538" s="20" t="str">
        <x:v>Monthly operations</x:v>
      </x:c>
      <x:c r="E1538" s="20" t="str">
        <x:v>Property Manager</x:v>
      </x:c>
      <x:c r="F1538" s="20" t="str">
        <x:v>Web</x:v>
      </x:c>
      <x:c r="G1538" s="20" t="str">
        <x:v>Scanned check</x:v>
      </x:c>
      <x:c r="H1538" s="35" t="str">
        <x:v>Post and allocate tenant receipt</x:v>
      </x:c>
      <x:c r="I1538" s="35" t="str">
        <x:v>P024; U028; L028</x:v>
      </x:c>
      <x:c r="J1538" s="35" t="str">
        <x:v>SCN-0293</x:v>
      </x:c>
      <x:c r="K1538" s="35" t="str">
        <x:v>FIN-00815; FIN-00816</x:v>
      </x:c>
      <x:c r="L1538" s="35" t="str">
        <x:v>Open Scan for paper payment or the tenant-account receipt form for electronic payment; verify tenant/lease match, amount, date, method, and reference; confirm once; open ledger detail and allocation.</x:v>
      </x:c>
      <x:c r="M1538" s="35" t="str">
        <x:v>Receipt is append-only, allocated once to the correct rent charge, and visible consistently in Unit, Lease, Tenant Account, Accounting, and portal views.</x:v>
      </x:c>
      <x:c r="N1538" s="35" t="str">
        <x:v>Scan review or form; success result; exact ledger rows; payment detail; accounting delta; portal receipt.</x:v>
      </x:c>
      <x:c r="O1538" s="35" t="str">
        <x:v>Retry the idempotency key once during the quarter assigned in the coverage matrix; no duplicate cash or allocation.</x:v>
      </x:c>
      <x:c r="P1538" s="35" t="str">
        <x:v>All expected records and amounts match; no unexplained error or stale state.</x:v>
      </x:c>
    </x:row>
    <x:row r="1539">
      <x:c r="A1539" s="20" t="str">
        <x:v>RUN-20271004-09</x:v>
      </x:c>
      <x:c r="B1539" s="23" t="n">
        <x:v>46664</x:v>
      </x:c>
      <x:c r="C1539" s="32" t="n">
        <x:v>9</x:v>
      </x:c>
      <x:c r="D1539" s="20" t="str">
        <x:v>Monthly operations</x:v>
      </x:c>
      <x:c r="E1539" s="20" t="str">
        <x:v>Property Manager</x:v>
      </x:c>
      <x:c r="F1539" s="20" t="str">
        <x:v>Mobile</x:v>
      </x:c>
      <x:c r="G1539" s="20" t="str">
        <x:v>Portal card</x:v>
      </x:c>
      <x:c r="H1539" s="35" t="str">
        <x:v>Post and allocate tenant receipt</x:v>
      </x:c>
      <x:c r="I1539" s="35" t="str">
        <x:v>P026; U031; L031</x:v>
      </x:c>
      <x:c r="J1539" s="35" t="str"/>
      <x:c r="K1539" s="35" t="str">
        <x:v>FIN-00821; FIN-00822</x:v>
      </x:c>
      <x:c r="L1539" s="35" t="str">
        <x:v>Open Scan for paper payment or the tenant-account receipt form for electronic payment; verify tenant/lease match, amount, date, method, and reference; confirm once; open ledger detail and allocation.</x:v>
      </x:c>
      <x:c r="M1539" s="35" t="str">
        <x:v>Receipt is append-only, allocated once to the correct rent charge, and visible consistently in Unit, Lease, Tenant Account, Accounting, and portal views.</x:v>
      </x:c>
      <x:c r="N1539" s="35" t="str">
        <x:v>Scan review or form; success result; exact ledger rows; payment detail; accounting delta; portal receipt.</x:v>
      </x:c>
      <x:c r="O1539" s="35" t="str">
        <x:v>Retry the idempotency key once during the quarter assigned in the coverage matrix; no duplicate cash or allocation.</x:v>
      </x:c>
      <x:c r="P1539" s="35" t="str">
        <x:v>All expected records and amounts match; no unexplained error or stale state.</x:v>
      </x:c>
    </x:row>
    <x:row r="1540">
      <x:c r="A1540" s="20" t="str">
        <x:v>RUN-20271004-10</x:v>
      </x:c>
      <x:c r="B1540" s="23" t="n">
        <x:v>46664</x:v>
      </x:c>
      <x:c r="C1540" s="32" t="n">
        <x:v>10</x:v>
      </x:c>
      <x:c r="D1540" s="20" t="str">
        <x:v>Monthly operations</x:v>
      </x:c>
      <x:c r="E1540" s="20" t="str">
        <x:v>Property Manager</x:v>
      </x:c>
      <x:c r="F1540" s="20" t="str">
        <x:v>Web</x:v>
      </x:c>
      <x:c r="G1540" s="20" t="str">
        <x:v>Manual ACH</x:v>
      </x:c>
      <x:c r="H1540" s="35" t="str">
        <x:v>Post and allocate tenant receipt</x:v>
      </x:c>
      <x:c r="I1540" s="35" t="str">
        <x:v>P027; U034; L034</x:v>
      </x:c>
      <x:c r="J1540" s="35" t="str"/>
      <x:c r="K1540" s="35" t="str">
        <x:v>FIN-00829; FIN-00830</x:v>
      </x:c>
      <x:c r="L1540" s="35" t="str">
        <x:v>Open Scan for paper payment or the tenant-account receipt form for electronic payment; verify tenant/lease match, amount, date, method, and reference; confirm once; open ledger detail and allocation.</x:v>
      </x:c>
      <x:c r="M1540" s="35" t="str">
        <x:v>Receipt is append-only, allocated once to the correct rent charge, and visible consistently in Unit, Lease, Tenant Account, Accounting, and portal views.</x:v>
      </x:c>
      <x:c r="N1540" s="35" t="str">
        <x:v>Scan review or form; success result; exact ledger rows; payment detail; accounting delta; portal receipt.</x:v>
      </x:c>
      <x:c r="O1540" s="35" t="str">
        <x:v>Retry the idempotency key once during the quarter assigned in the coverage matrix; no duplicate cash or allocation.</x:v>
      </x:c>
      <x:c r="P1540" s="35" t="str">
        <x:v>All expected records and amounts match; no unexplained error or stale state.</x:v>
      </x:c>
    </x:row>
    <x:row r="1541">
      <x:c r="A1541" s="20" t="str">
        <x:v>RUN-20271004-11</x:v>
      </x:c>
      <x:c r="B1541" s="23" t="n">
        <x:v>46664</x:v>
      </x:c>
      <x:c r="C1541" s="32" t="n">
        <x:v>11</x:v>
      </x:c>
      <x:c r="D1541" s="20" t="str">
        <x:v>Monthly operations</x:v>
      </x:c>
      <x:c r="E1541" s="20" t="str">
        <x:v>Property Manager</x:v>
      </x:c>
      <x:c r="F1541" s="20" t="str">
        <x:v>Mobile</x:v>
      </x:c>
      <x:c r="G1541" s="20" t="str">
        <x:v>Scanned money order</x:v>
      </x:c>
      <x:c r="H1541" s="35" t="str">
        <x:v>Post and allocate tenant receipt</x:v>
      </x:c>
      <x:c r="I1541" s="35" t="str">
        <x:v>P005; U005; L037</x:v>
      </x:c>
      <x:c r="J1541" s="35" t="str">
        <x:v>SCN-0298</x:v>
      </x:c>
      <x:c r="K1541" s="35" t="str">
        <x:v>FIN-00835; FIN-00836</x:v>
      </x:c>
      <x:c r="L1541" s="35" t="str">
        <x:v>Open Scan for paper payment or the tenant-account receipt form for electronic payment; verify tenant/lease match, amount, date, method, and reference; confirm once; open ledger detail and allocation.</x:v>
      </x:c>
      <x:c r="M1541" s="35" t="str">
        <x:v>Receipt is append-only, allocated once to the correct rent charge, and visible consistently in Unit, Lease, Tenant Account, Accounting, and portal views.</x:v>
      </x:c>
      <x:c r="N1541" s="35" t="str">
        <x:v>Scan review or form; success result; exact ledger rows; payment detail; accounting delta; portal receipt.</x:v>
      </x:c>
      <x:c r="O1541" s="35" t="str">
        <x:v>Retry the idempotency key once during the quarter assigned in the coverage matrix; no duplicate cash or allocation.</x:v>
      </x:c>
      <x:c r="P1541" s="35" t="str">
        <x:v>All expected records and amounts match; no unexplained error or stale state.</x:v>
      </x:c>
    </x:row>
    <x:row r="1542">
      <x:c r="A1542" s="20" t="str">
        <x:v>RUN-20271004-12</x:v>
      </x:c>
      <x:c r="B1542" s="23" t="n">
        <x:v>46664</x:v>
      </x:c>
      <x:c r="C1542" s="32" t="n">
        <x:v>12</x:v>
      </x:c>
      <x:c r="D1542" s="20" t="str">
        <x:v>Monthly operations</x:v>
      </x:c>
      <x:c r="E1542" s="20" t="str">
        <x:v>Property Manager</x:v>
      </x:c>
      <x:c r="F1542" s="20" t="str">
        <x:v>Web</x:v>
      </x:c>
      <x:c r="G1542" s="20" t="str">
        <x:v>Scanned check</x:v>
      </x:c>
      <x:c r="H1542" s="35" t="str">
        <x:v>Post and allocate tenant receipt</x:v>
      </x:c>
      <x:c r="I1542" s="35" t="str">
        <x:v>P021; U022; L040</x:v>
      </x:c>
      <x:c r="J1542" s="35" t="str">
        <x:v>SCN-0299</x:v>
      </x:c>
      <x:c r="K1542" s="35" t="str">
        <x:v>FIN-00842; FIN-00843</x:v>
      </x:c>
      <x:c r="L1542" s="35" t="str">
        <x:v>Open Scan for paper payment or the tenant-account receipt form for electronic payment; verify tenant/lease match, amount, date, method, and reference; confirm once; open ledger detail and allocation.</x:v>
      </x:c>
      <x:c r="M1542" s="35" t="str">
        <x:v>Receipt is append-only, allocated once to the correct rent charge, and visible consistently in Unit, Lease, Tenant Account, Accounting, and portal views.</x:v>
      </x:c>
      <x:c r="N1542" s="35" t="str">
        <x:v>Scan review or form; success result; exact ledger rows; payment detail; accounting delta; portal receipt.</x:v>
      </x:c>
      <x:c r="O1542" s="35" t="str">
        <x:v>Retry the idempotency key once during the quarter assigned in the coverage matrix; no duplicate cash or allocation.</x:v>
      </x:c>
      <x:c r="P1542" s="35" t="str">
        <x:v>All expected records and amounts match; no unexplained error or stale state.</x:v>
      </x:c>
    </x:row>
    <x:row r="1543">
      <x:c r="A1543" s="20" t="str">
        <x:v>RUN-20271004-13</x:v>
      </x:c>
      <x:c r="B1543" s="23" t="n">
        <x:v>46664</x:v>
      </x:c>
      <x:c r="C1543" s="32" t="n">
        <x:v>13</x:v>
      </x:c>
      <x:c r="D1543" s="20" t="str">
        <x:v>Monthly operations</x:v>
      </x:c>
      <x:c r="E1543" s="20" t="str">
        <x:v>Property Manager</x:v>
      </x:c>
      <x:c r="F1543" s="20" t="str">
        <x:v>Mobile</x:v>
      </x:c>
      <x:c r="G1543" s="20" t="str">
        <x:v>Portal card</x:v>
      </x:c>
      <x:c r="H1543" s="35" t="str">
        <x:v>Post and allocate tenant receipt</x:v>
      </x:c>
      <x:c r="I1543" s="35" t="str">
        <x:v>P029; U037; L043</x:v>
      </x:c>
      <x:c r="J1543" s="35" t="str"/>
      <x:c r="K1543" s="35" t="str">
        <x:v>FIN-00846; FIN-00847</x:v>
      </x:c>
      <x:c r="L1543" s="35" t="str">
        <x:v>Open Scan for paper payment or the tenant-account receipt form for electronic payment; verify tenant/lease match, amount, date, method, and reference; confirm once; open ledger detail and allocation.</x:v>
      </x:c>
      <x:c r="M1543" s="35" t="str">
        <x:v>Receipt is append-only, allocated once to the correct rent charge, and visible consistently in Unit, Lease, Tenant Account, Accounting, and portal views.</x:v>
      </x:c>
      <x:c r="N1543" s="35" t="str">
        <x:v>Scan review or form; success result; exact ledger rows; payment detail; accounting delta; portal receipt.</x:v>
      </x:c>
      <x:c r="O1543" s="35" t="str">
        <x:v>Retry the idempotency key once during the quarter assigned in the coverage matrix; no duplicate cash or allocation.</x:v>
      </x:c>
      <x:c r="P1543" s="35" t="str">
        <x:v>All expected records and amounts match; no unexplained error or stale state.</x:v>
      </x:c>
    </x:row>
    <x:row r="1544">
      <x:c r="A1544" s="20" t="str">
        <x:v>RUN-20271004-14</x:v>
      </x:c>
      <x:c r="B1544" s="23" t="n">
        <x:v>46664</x:v>
      </x:c>
      <x:c r="C1544" s="32" t="n">
        <x:v>14</x:v>
      </x:c>
      <x:c r="D1544" s="20" t="str">
        <x:v>Weekly operations</x:v>
      </x:c>
      <x:c r="E1544" s="20" t="str">
        <x:v>Property Manager</x:v>
      </x:c>
      <x:c r="F1544" s="20" t="str">
        <x:v>Web</x:v>
      </x:c>
      <x:c r="G1544" s="20" t="str">
        <x:v>Scan-first</x:v>
      </x:c>
      <x:c r="H1544" s="35" t="str">
        <x:v>Create and triage maintenance request</x:v>
      </x:c>
      <x:c r="I1544" s="35" t="str">
        <x:v>P001; U001; WO-2027-040</x:v>
      </x:c>
      <x:c r="J1544" s="35" t="str">
        <x:v>SCN-0418</x:v>
      </x:c>
      <x:c r="K1544" s="35" t="str"/>
      <x:c r="L1544" s="35" t="str">
        <x:v>Capture the tenant note/photo; review slow kitchen drain; confirm; set responsibility; dispatch Apex Plumbing; create an appointment and verify the tenant notification.</x:v>
      </x:c>
      <x:c r="M1544" s="35" t="str">
        <x:v>Work order, status timeline, responsibility, vendor dispatch, appointment, notification, and Unit context are linked once.</x:v>
      </x:c>
      <x:c r="N1544" s="35" t="str">
        <x:v>Scan review; work order detail/timeline; dispatch; appointment; notification; tenant portal view.</x:v>
      </x:c>
      <x:c r="O1544" s="35" t="str">
        <x:v>Cancel one dispatch each quarter, reassign once, and prove status/history remains append-only.</x:v>
      </x:c>
      <x:c r="P1544" s="35" t="str">
        <x:v>All expected records and amounts match; no unexplained error or stale state.</x:v>
      </x:c>
    </x:row>
    <x:row r="1545">
      <x:c r="A1545" s="20" t="str">
        <x:v>RUN-20271004-15</x:v>
      </x:c>
      <x:c r="B1545" s="23" t="n">
        <x:v>46664</x:v>
      </x:c>
      <x:c r="C1545" s="32" t="n">
        <x:v>15</x:v>
      </x:c>
      <x:c r="D1545" s="20" t="str">
        <x:v>Role and screen certification</x:v>
      </x:c>
      <x:c r="E1545" s="20" t="str">
        <x:v>Workspace Administrator</x:v>
      </x:c>
      <x:c r="F1545" s="20" t="str">
        <x:v>Mobile</x:v>
      </x:c>
      <x:c r="G1545" s="20" t="str">
        <x:v>Normal persona navigation</x:v>
      </x:c>
      <x:c r="H1545" s="35" t="str">
        <x:v>Use every permitted action and state on features/onboarding/getting_started_screen.dart</x:v>
      </x:c>
      <x:c r="I1545" s="35" t="str">
        <x:v>SCR-149; ROLE-257</x:v>
      </x:c>
      <x:c r="J1545" s="35" t="str"/>
      <x:c r="K1545" s="35" t="str"/>
      <x:c r="L154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45" s="35" t="str">
        <x:v>The persona can use every allowed action with only its assigned properties/relationships. Hidden or disabled actions explain why; an adjacent unauthorized persona is denied without metadata leakage.</x:v>
      </x:c>
      <x:c r="N1545" s="35" t="str">
        <x:v>Persona/experience; navigation entry; desktop or device screenshots; result state; persisted read-back; audit/history; authorized and denied network result.</x:v>
      </x:c>
      <x:c r="O1545" s="35" t="str">
        <x:v>Open the direct URL or deep link with an adjacent unauthorized persona and with stale scope; both fail closed and land safely without mutation.</x:v>
      </x:c>
      <x:c r="P1545" s="35" t="str">
        <x:v>All expected records and amounts match; no unexplained error or stale state.</x:v>
      </x:c>
    </x:row>
    <x:row r="1546">
      <x:c r="A1546" s="20" t="str">
        <x:v>RUN-20271004-16</x:v>
      </x:c>
      <x:c r="B1546" s="23" t="n">
        <x:v>46664</x:v>
      </x:c>
      <x:c r="C1546" s="32" t="n">
        <x:v>16</x:v>
      </x:c>
      <x:c r="D1546" s="20" t="str">
        <x:v>Field certification</x:v>
      </x:c>
      <x:c r="E1546" s="20" t="str">
        <x:v>Applicant / public user</x:v>
      </x:c>
      <x:c r="F1546" s="20" t="str">
        <x:v>Mobile</x:v>
      </x:c>
      <x:c r="G1546" s="20" t="str">
        <x:v>Manual field-by-field</x:v>
      </x:c>
      <x:c r="H1546" s="35" t="str">
        <x:v>Fill, save, reload, edit, and validate every declared field on features/applications/application_detail_screen.dart</x:v>
      </x:c>
      <x:c r="I1546" s="35" t="str">
        <x:v>FLD-0812; FLD-0813; FLD-0814; FLD-0815</x:v>
      </x:c>
      <x:c r="J1546" s="35" t="str"/>
      <x:c r="K1546" s="35" t="str"/>
      <x:c r="L1546" s="35" t="str">
        <x:v>Use the source-derived Field Inventory. Enter non-default realistic values in every control (_email; _phone; _dateOfBirth; _desiredMoveInDate); submit; reload or relaunch; compare every value; edit each mutable field; verify the paired client; then run required, format, length, range, boundary, optional-null, and stale-submit checks.</x:v>
      </x:c>
      <x:c r="M1546" s="35" t="str">
        <x:v>All 4 inventoried controls persist exact normalized values, invalid values stay unsaved with clear errors, and hidden/unauthorized fields cannot be altered.</x:v>
      </x:c>
      <x:c r="N1546" s="35" t="str">
        <x:v>Before/after form screenshots; FLD IDs; API response; reloaded UI; paired-client read-back; database/audit evidence; negative validation result.</x:v>
      </x:c>
      <x:c r="O1546" s="35" t="str">
        <x:v>Use a duplicate submit and one simulated network interruption; one atomic mutation or none, never partial state.</x:v>
      </x:c>
      <x:c r="P1546" s="35" t="str">
        <x:v>All expected records and amounts match; no unexplained error or stale state.</x:v>
      </x:c>
    </x:row>
    <x:row r="1547">
      <x:c r="A1547" s="20" t="str">
        <x:v>RUN-20271004-17</x:v>
      </x:c>
      <x:c r="B1547" s="23" t="n">
        <x:v>46664</x:v>
      </x:c>
      <x:c r="C1547" s="32" t="n">
        <x:v>17</x:v>
      </x:c>
      <x:c r="D1547" s="20" t="str">
        <x:v>Surface coverage</x:v>
      </x:c>
      <x:c r="E1547" s="20" t="str">
        <x:v>Role appropriate to surface</x:v>
      </x:c>
      <x:c r="F1547" s="20" t="str">
        <x:v>Mobile</x:v>
      </x:c>
      <x:c r="G1547" s="20" t="str">
        <x:v>Manual</x:v>
      </x:c>
      <x:c r="H1547" s="35" t="str">
        <x:v>Manual mobile pass: Notifications, preferences, routing, alerts</x:v>
      </x:c>
      <x:c r="I1547" s="35" t="str">
        <x:v>COV-035</x:v>
      </x:c>
      <x:c r="J1547" s="35" t="str"/>
      <x:c r="K1547" s="35" t="str"/>
      <x:c r="L1547" s="35" t="str">
        <x:v>Change preferences, route by team/property/event, mark read, deep link, retry provider failure, and verify safe local delivery.</x:v>
      </x:c>
      <x:c r="M1547" s="35" t="str">
        <x:v>The supported workflow completes and persists correctly; if the capability is absent, the exact gap is proven and queued rather than silently skipped.</x:v>
      </x:c>
      <x:c r="N1547" s="35" t="str">
        <x:v>Real UI screenshot/state; submitted values; persisted read-back; cross-client read-back; audit/role/access evidence.</x:v>
      </x:c>
      <x:c r="O1547" s="35" t="str">
        <x:v>Use one invalid value, stale-state retry, or duplicate submission relevant to the form; no partial or duplicate mutation.</x:v>
      </x:c>
      <x:c r="P1547" s="35" t="str">
        <x:v>All expected records and amounts match; no unexplained error or stale state.</x:v>
      </x:c>
    </x:row>
    <x:row r="1548">
      <x:c r="A1548" s="20" t="str">
        <x:v>RUN-20271005-01</x:v>
      </x:c>
      <x:c r="B1548" s="23" t="n">
        <x:v>46665</x:v>
      </x:c>
      <x:c r="C1548" s="32" t="n">
        <x:v>1</x:v>
      </x:c>
      <x:c r="D1548" s="20" t="str">
        <x:v>Monthly operations</x:v>
      </x:c>
      <x:c r="E1548" s="20" t="str">
        <x:v>Property Manager</x:v>
      </x:c>
      <x:c r="F1548" s="20" t="str">
        <x:v>Web</x:v>
      </x:c>
      <x:c r="G1548" s="20" t="str">
        <x:v>Manual ACH</x:v>
      </x:c>
      <x:c r="H1548" s="35" t="str">
        <x:v>Post and allocate tenant receipt</x:v>
      </x:c>
      <x:c r="I1548" s="35" t="str">
        <x:v>P002; U002; L002</x:v>
      </x:c>
      <x:c r="J1548" s="35" t="str"/>
      <x:c r="K1548" s="35" t="str">
        <x:v>FIN-00769; FIN-00770</x:v>
      </x:c>
      <x:c r="L1548" s="35" t="str">
        <x:v>Open Scan for paper payment or the tenant-account receipt form for electronic payment; verify tenant/lease match, amount, date, method, and reference; confirm once; open ledger detail and allocation.</x:v>
      </x:c>
      <x:c r="M1548" s="35" t="str">
        <x:v>Receipt is append-only, allocated once to the correct rent charge, and visible consistently in Unit, Lease, Tenant Account, Accounting, and portal views.</x:v>
      </x:c>
      <x:c r="N1548" s="35" t="str">
        <x:v>Scan review or form; success result; exact ledger rows; payment detail; accounting delta; portal receipt.</x:v>
      </x:c>
      <x:c r="O1548" s="35" t="str">
        <x:v>Retry the idempotency key once during the quarter assigned in the coverage matrix; no duplicate cash or allocation.</x:v>
      </x:c>
      <x:c r="P1548" s="35" t="str">
        <x:v>All expected records and amounts match; no unexplained error or stale state.</x:v>
      </x:c>
    </x:row>
    <x:row r="1549">
      <x:c r="A1549" s="20" t="str">
        <x:v>RUN-20271005-02</x:v>
      </x:c>
      <x:c r="B1549" s="23" t="n">
        <x:v>46665</x:v>
      </x:c>
      <x:c r="C1549" s="32" t="n">
        <x:v>2</x:v>
      </x:c>
      <x:c r="D1549" s="20" t="str">
        <x:v>Monthly operations</x:v>
      </x:c>
      <x:c r="E1549" s="20" t="str">
        <x:v>Property Manager</x:v>
      </x:c>
      <x:c r="F1549" s="20" t="str">
        <x:v>Web</x:v>
      </x:c>
      <x:c r="G1549" s="20" t="str">
        <x:v>Scanned check</x:v>
      </x:c>
      <x:c r="H1549" s="35" t="str">
        <x:v>Post and allocate tenant receipt</x:v>
      </x:c>
      <x:c r="I1549" s="35" t="str">
        <x:v>P020; U020; L020</x:v>
      </x:c>
      <x:c r="J1549" s="35" t="str">
        <x:v>SCN-0288</x:v>
      </x:c>
      <x:c r="K1549" s="35" t="str">
        <x:v>FIN-00800; FIN-00801</x:v>
      </x:c>
      <x:c r="L1549" s="35" t="str">
        <x:v>Open Scan for paper payment or the tenant-account receipt form for electronic payment; verify tenant/lease match, amount, date, method, and reference; confirm once; open ledger detail and allocation.</x:v>
      </x:c>
      <x:c r="M1549" s="35" t="str">
        <x:v>Receipt is append-only, allocated once to the correct rent charge, and visible consistently in Unit, Lease, Tenant Account, Accounting, and portal views.</x:v>
      </x:c>
      <x:c r="N1549" s="35" t="str">
        <x:v>Scan review or form; success result; exact ledger rows; payment detail; accounting delta; portal receipt.</x:v>
      </x:c>
      <x:c r="O1549" s="35" t="str">
        <x:v>Retry the idempotency key once during the quarter assigned in the coverage matrix; no duplicate cash or allocation.</x:v>
      </x:c>
      <x:c r="P1549" s="35" t="str">
        <x:v>All expected records and amounts match; no unexplained error or stale state.</x:v>
      </x:c>
    </x:row>
    <x:row r="1550">
      <x:c r="A1550" s="20" t="str">
        <x:v>RUN-20271005-03</x:v>
      </x:c>
      <x:c r="B1550" s="23" t="n">
        <x:v>46665</x:v>
      </x:c>
      <x:c r="C1550" s="32" t="n">
        <x:v>3</x:v>
      </x:c>
      <x:c r="D1550" s="20" t="str">
        <x:v>Monthly operations</x:v>
      </x:c>
      <x:c r="E1550" s="20" t="str">
        <x:v>Property Manager</x:v>
      </x:c>
      <x:c r="F1550" s="20" t="str">
        <x:v>Mobile</x:v>
      </x:c>
      <x:c r="G1550" s="20" t="str">
        <x:v>Portal card</x:v>
      </x:c>
      <x:c r="H1550" s="35" t="str">
        <x:v>Post and allocate tenant receipt</x:v>
      </x:c>
      <x:c r="I1550" s="35" t="str">
        <x:v>P022; U023; L023</x:v>
      </x:c>
      <x:c r="J1550" s="35" t="str"/>
      <x:c r="K1550" s="35" t="str">
        <x:v>FIN-00804; FIN-00805</x:v>
      </x:c>
      <x:c r="L1550" s="35" t="str">
        <x:v>Open Scan for paper payment or the tenant-account receipt form for electronic payment; verify tenant/lease match, amount, date, method, and reference; confirm once; open ledger detail and allocation.</x:v>
      </x:c>
      <x:c r="M1550" s="35" t="str">
        <x:v>Receipt is append-only, allocated once to the correct rent charge, and visible consistently in Unit, Lease, Tenant Account, Accounting, and portal views.</x:v>
      </x:c>
      <x:c r="N1550" s="35" t="str">
        <x:v>Scan review or form; success result; exact ledger rows; payment detail; accounting delta; portal receipt.</x:v>
      </x:c>
      <x:c r="O1550" s="35" t="str">
        <x:v>Retry the idempotency key once during the quarter assigned in the coverage matrix; no duplicate cash or allocation.</x:v>
      </x:c>
      <x:c r="P1550" s="35" t="str">
        <x:v>All expected records and amounts match; no unexplained error or stale state.</x:v>
      </x:c>
    </x:row>
    <x:row r="1551">
      <x:c r="A1551" s="20" t="str">
        <x:v>RUN-20271005-04</x:v>
      </x:c>
      <x:c r="B1551" s="23" t="n">
        <x:v>46665</x:v>
      </x:c>
      <x:c r="C1551" s="32" t="n">
        <x:v>4</x:v>
      </x:c>
      <x:c r="D1551" s="20" t="str">
        <x:v>Monthly operations</x:v>
      </x:c>
      <x:c r="E1551" s="20" t="str">
        <x:v>Property Manager</x:v>
      </x:c>
      <x:c r="F1551" s="20" t="str">
        <x:v>Mobile</x:v>
      </x:c>
      <x:c r="G1551" s="20" t="str">
        <x:v>Scanned money order</x:v>
      </x:c>
      <x:c r="H1551" s="35" t="str">
        <x:v>Post and allocate tenant receipt</x:v>
      </x:c>
      <x:c r="I1551" s="35" t="str">
        <x:v>P025; U029; L029</x:v>
      </x:c>
      <x:c r="J1551" s="35" t="str">
        <x:v>SCN-0294</x:v>
      </x:c>
      <x:c r="K1551" s="35" t="str">
        <x:v>FIN-00817; FIN-00818</x:v>
      </x:c>
      <x:c r="L1551" s="35" t="str">
        <x:v>Open Scan for paper payment or the tenant-account receipt form for electronic payment; verify tenant/lease match, amount, date, method, and reference; confirm once; open ledger detail and allocation.</x:v>
      </x:c>
      <x:c r="M1551" s="35" t="str">
        <x:v>Receipt is append-only, allocated once to the correct rent charge, and visible consistently in Unit, Lease, Tenant Account, Accounting, and portal views.</x:v>
      </x:c>
      <x:c r="N1551" s="35" t="str">
        <x:v>Scan review or form; success result; exact ledger rows; payment detail; accounting delta; portal receipt.</x:v>
      </x:c>
      <x:c r="O1551" s="35" t="str">
        <x:v>Retry the idempotency key once during the quarter assigned in the coverage matrix; no duplicate cash or allocation.</x:v>
      </x:c>
      <x:c r="P1551" s="35" t="str">
        <x:v>All expected records and amounts match; no unexplained error or stale state.</x:v>
      </x:c>
    </x:row>
    <x:row r="1552">
      <x:c r="A1552" s="20" t="str">
        <x:v>RUN-20271005-05</x:v>
      </x:c>
      <x:c r="B1552" s="23" t="n">
        <x:v>46665</x:v>
      </x:c>
      <x:c r="C1552" s="32" t="n">
        <x:v>5</x:v>
      </x:c>
      <x:c r="D1552" s="20" t="str">
        <x:v>Monthly operations</x:v>
      </x:c>
      <x:c r="E1552" s="20" t="str">
        <x:v>Property Manager</x:v>
      </x:c>
      <x:c r="F1552" s="20" t="str">
        <x:v>Web</x:v>
      </x:c>
      <x:c r="G1552" s="20" t="str">
        <x:v>Scanned check</x:v>
      </x:c>
      <x:c r="H1552" s="35" t="str">
        <x:v>Post and allocate tenant receipt</x:v>
      </x:c>
      <x:c r="I1552" s="35" t="str">
        <x:v>P026; U032; L032</x:v>
      </x:c>
      <x:c r="J1552" s="35" t="str">
        <x:v>SCN-0295</x:v>
      </x:c>
      <x:c r="K1552" s="35" t="str">
        <x:v>FIN-00823; FIN-00824</x:v>
      </x:c>
      <x:c r="L1552" s="35" t="str">
        <x:v>Open Scan for paper payment or the tenant-account receipt form for electronic payment; verify tenant/lease match, amount, date, method, and reference; confirm once; open ledger detail and allocation.</x:v>
      </x:c>
      <x:c r="M1552" s="35" t="str">
        <x:v>Receipt is append-only, allocated once to the correct rent charge, and visible consistently in Unit, Lease, Tenant Account, Accounting, and portal views.</x:v>
      </x:c>
      <x:c r="N1552" s="35" t="str">
        <x:v>Scan review or form; success result; exact ledger rows; payment detail; accounting delta; portal receipt.</x:v>
      </x:c>
      <x:c r="O1552" s="35" t="str">
        <x:v>Retry the idempotency key once during the quarter assigned in the coverage matrix; no duplicate cash or allocation.</x:v>
      </x:c>
      <x:c r="P1552" s="35" t="str">
        <x:v>All expected records and amounts match; no unexplained error or stale state.</x:v>
      </x:c>
    </x:row>
    <x:row r="1553">
      <x:c r="A1553" s="20" t="str">
        <x:v>RUN-20271005-06</x:v>
      </x:c>
      <x:c r="B1553" s="23" t="n">
        <x:v>46665</x:v>
      </x:c>
      <x:c r="C1553" s="32" t="n">
        <x:v>6</x:v>
      </x:c>
      <x:c r="D1553" s="20" t="str">
        <x:v>Monthly operations</x:v>
      </x:c>
      <x:c r="E1553" s="20" t="str">
        <x:v>Property Manager</x:v>
      </x:c>
      <x:c r="F1553" s="20" t="str">
        <x:v>Mobile</x:v>
      </x:c>
      <x:c r="G1553" s="20" t="str">
        <x:v>Portal card</x:v>
      </x:c>
      <x:c r="H1553" s="35" t="str">
        <x:v>Post and allocate tenant receipt</x:v>
      </x:c>
      <x:c r="I1553" s="35" t="str">
        <x:v>P028; U035; L035</x:v>
      </x:c>
      <x:c r="J1553" s="35" t="str"/>
      <x:c r="K1553" s="35" t="str">
        <x:v>FIN-00831; FIN-00832</x:v>
      </x:c>
      <x:c r="L1553" s="35" t="str">
        <x:v>Open Scan for paper payment or the tenant-account receipt form for electronic payment; verify tenant/lease match, amount, date, method, and reference; confirm once; open ledger detail and allocation.</x:v>
      </x:c>
      <x:c r="M1553" s="35" t="str">
        <x:v>Receipt is append-only, allocated once to the correct rent charge, and visible consistently in Unit, Lease, Tenant Account, Accounting, and portal views.</x:v>
      </x:c>
      <x:c r="N1553" s="35" t="str">
        <x:v>Scan review or form; success result; exact ledger rows; payment detail; accounting delta; portal receipt.</x:v>
      </x:c>
      <x:c r="O1553" s="35" t="str">
        <x:v>Retry the idempotency key once during the quarter assigned in the coverage matrix; no duplicate cash or allocation.</x:v>
      </x:c>
      <x:c r="P1553" s="35" t="str">
        <x:v>All expected records and amounts match; no unexplained error or stale state.</x:v>
      </x:c>
    </x:row>
    <x:row r="1554">
      <x:c r="A1554" s="20" t="str">
        <x:v>RUN-20271005-07</x:v>
      </x:c>
      <x:c r="B1554" s="23" t="n">
        <x:v>46665</x:v>
      </x:c>
      <x:c r="C1554" s="32" t="n">
        <x:v>7</x:v>
      </x:c>
      <x:c r="D1554" s="20" t="str">
        <x:v>Monthly operations</x:v>
      </x:c>
      <x:c r="E1554" s="20" t="str">
        <x:v>Property Manager</x:v>
      </x:c>
      <x:c r="F1554" s="20" t="str">
        <x:v>Web</x:v>
      </x:c>
      <x:c r="G1554" s="20" t="str">
        <x:v>Manual ACH</x:v>
      </x:c>
      <x:c r="H1554" s="35" t="str">
        <x:v>Post and allocate tenant receipt</x:v>
      </x:c>
      <x:c r="I1554" s="35" t="str">
        <x:v>P014; U014; L038</x:v>
      </x:c>
      <x:c r="J1554" s="35" t="str"/>
      <x:c r="K1554" s="35" t="str">
        <x:v>FIN-00837; FIN-00838</x:v>
      </x:c>
      <x:c r="L1554" s="35" t="str">
        <x:v>Open Scan for paper payment or the tenant-account receipt form for electronic payment; verify tenant/lease match, amount, date, method, and reference; confirm once; open ledger detail and allocation.</x:v>
      </x:c>
      <x:c r="M1554" s="35" t="str">
        <x:v>Receipt is append-only, allocated once to the correct rent charge, and visible consistently in Unit, Lease, Tenant Account, Accounting, and portal views.</x:v>
      </x:c>
      <x:c r="N1554" s="35" t="str">
        <x:v>Scan review or form; success result; exact ledger rows; payment detail; accounting delta; portal receipt.</x:v>
      </x:c>
      <x:c r="O1554" s="35" t="str">
        <x:v>Retry the idempotency key once during the quarter assigned in the coverage matrix; no duplicate cash or allocation.</x:v>
      </x:c>
      <x:c r="P1554" s="35" t="str">
        <x:v>All expected records and amounts match; no unexplained error or stale state.</x:v>
      </x:c>
    </x:row>
    <x:row r="1555">
      <x:c r="A1555" s="20" t="str">
        <x:v>RUN-20271005-08</x:v>
      </x:c>
      <x:c r="B1555" s="23" t="n">
        <x:v>46665</x:v>
      </x:c>
      <x:c r="C1555" s="32" t="n">
        <x:v>8</x:v>
      </x:c>
      <x:c r="D1555" s="20" t="str">
        <x:v>Monthly operations</x:v>
      </x:c>
      <x:c r="E1555" s="20" t="str">
        <x:v>Property Manager</x:v>
      </x:c>
      <x:c r="F1555" s="20" t="str">
        <x:v>Mobile</x:v>
      </x:c>
      <x:c r="G1555" s="20" t="str">
        <x:v>Scanned money order</x:v>
      </x:c>
      <x:c r="H1555" s="35" t="str">
        <x:v>Post and allocate tenant receipt</x:v>
      </x:c>
      <x:c r="I1555" s="35" t="str">
        <x:v>P030; U040; L041</x:v>
      </x:c>
      <x:c r="J1555" s="35" t="str">
        <x:v>SCN-0300</x:v>
      </x:c>
      <x:c r="K1555" s="35" t="str">
        <x:v>FIN-00844; FIN-00845</x:v>
      </x:c>
      <x:c r="L1555" s="35" t="str">
        <x:v>Open Scan for paper payment or the tenant-account receipt form for electronic payment; verify tenant/lease match, amount, date, method, and reference; confirm once; open ledger detail and allocation.</x:v>
      </x:c>
      <x:c r="M1555" s="35" t="str">
        <x:v>Receipt is append-only, allocated once to the correct rent charge, and visible consistently in Unit, Lease, Tenant Account, Accounting, and portal views.</x:v>
      </x:c>
      <x:c r="N1555" s="35" t="str">
        <x:v>Scan review or form; success result; exact ledger rows; payment detail; accounting delta; portal receipt.</x:v>
      </x:c>
      <x:c r="O1555" s="35" t="str">
        <x:v>Retry the idempotency key once during the quarter assigned in the coverage matrix; no duplicate cash or allocation.</x:v>
      </x:c>
      <x:c r="P1555" s="35" t="str">
        <x:v>All expected records and amounts match; no unexplained error or stale state.</x:v>
      </x:c>
    </x:row>
    <x:row r="1556">
      <x:c r="A1556" s="20" t="str">
        <x:v>RUN-20271005-09</x:v>
      </x:c>
      <x:c r="B1556" s="23" t="n">
        <x:v>46665</x:v>
      </x:c>
      <x:c r="C1556" s="32" t="n">
        <x:v>9</x:v>
      </x:c>
      <x:c r="D1556" s="20" t="str">
        <x:v>Weekly operations</x:v>
      </x:c>
      <x:c r="E1556" s="20" t="str">
        <x:v>Property Manager</x:v>
      </x:c>
      <x:c r="F1556" s="20" t="str">
        <x:v>Web</x:v>
      </x:c>
      <x:c r="G1556" s="20" t="str">
        <x:v>Manual mobile form</x:v>
      </x:c>
      <x:c r="H1556" s="35" t="str">
        <x:v>Record, review, allocate, and pay operating expense</x:v>
      </x:c>
      <x:c r="I1556" s="35" t="str">
        <x:v>P001; U001; WO-2027-040</x:v>
      </x:c>
      <x:c r="J1556" s="35" t="str"/>
      <x:c r="K1556" s="35" t="str">
        <x:v>FIN-01063</x:v>
      </x:c>
      <x:c r="L1556" s="35" t="str">
        <x:v>Capture or upload the source; verify vendor, date, scope, category, line items, tax, amount, and work-order link; confirm; open detail; verify attachment; compare Money and Property/Unit views.</x:v>
      </x:c>
      <x:c r="M1556" s="35" t="str">
        <x:v>One expense exists at its real operational scope, cash falls once, Schedule E category and allocations agree, and no per-unit copies are created.</x:v>
      </x:c>
      <x:c r="N1556" s="35" t="str">
        <x:v>Source preview; review/form; expense detail; line items; Property/Unit ledger; audit; accounting/report delta.</x:v>
      </x:c>
      <x:c r="O1556" s="35" t="str">
        <x:v>On marked duplicate-invoice cases, re-upload before confirm and prove the product prevents or clearly warns about duplication.</x:v>
      </x:c>
      <x:c r="P1556" s="35" t="str">
        <x:v>All expected records and amounts match; no unexplained error or stale state.</x:v>
      </x:c>
    </x:row>
    <x:row r="1557">
      <x:c r="A1557" s="20" t="str">
        <x:v>RUN-20271005-10</x:v>
      </x:c>
      <x:c r="B1557" s="23" t="n">
        <x:v>46665</x:v>
      </x:c>
      <x:c r="C1557" s="32" t="n">
        <x:v>10</x:v>
      </x:c>
      <x:c r="D1557" s="20" t="str">
        <x:v>Field certification</x:v>
      </x:c>
      <x:c r="E1557" s="20" t="str">
        <x:v>Applicant / public user</x:v>
      </x:c>
      <x:c r="F1557" s="20" t="str">
        <x:v>Mobile</x:v>
      </x:c>
      <x:c r="G1557" s="20" t="str">
        <x:v>Manual field-by-field</x:v>
      </x:c>
      <x:c r="H1557" s="35" t="str">
        <x:v>Fill, save, reload, edit, and validate every declared field on features/applications/application_detail_screen.dart</x:v>
      </x:c>
      <x:c r="I1557" s="35" t="str">
        <x:v>FLD-0816; FLD-0817; FLD-0818; FLD-0819; FLD-0820</x:v>
      </x:c>
      <x:c r="J1557" s="35" t="str"/>
      <x:c r="K1557" s="35" t="str"/>
      <x:c r="L1557" s="35" t="str">
        <x:v>Use the source-derived Field Inventory. Enter non-default realistic values in every control (_currentAddress; _employer; _monthlyIncome; _notes; _controller); submit; reload or relaunch; compare every value; edit each mutable field; verify the paired client; then run required, format, length, range, boundary, optional-null, and stale-submit checks.</x:v>
      </x:c>
      <x:c r="M1557" s="35" t="str">
        <x:v>All 5 inventoried controls persist exact normalized values, invalid values stay unsaved with clear errors, and hidden/unauthorized fields cannot be altered.</x:v>
      </x:c>
      <x:c r="N1557" s="35" t="str">
        <x:v>Before/after form screenshots; FLD IDs; API response; reloaded UI; paired-client read-back; database/audit evidence; negative validation result.</x:v>
      </x:c>
      <x:c r="O1557" s="35" t="str">
        <x:v>Use a duplicate submit and one simulated network interruption; one atomic mutation or none, never partial state.</x:v>
      </x:c>
      <x:c r="P1557" s="35" t="str">
        <x:v>All expected records and amounts match; no unexplained error or stale state.</x:v>
      </x:c>
    </x:row>
    <x:row r="1558">
      <x:c r="A1558" s="20" t="str">
        <x:v>RUN-20271006-01</x:v>
      </x:c>
      <x:c r="B1558" s="23" t="n">
        <x:v>46666</x:v>
      </x:c>
      <x:c r="C1558" s="32" t="n">
        <x:v>1</x:v>
      </x:c>
      <x:c r="D1558" s="20" t="str">
        <x:v>Role and screen certification</x:v>
      </x:c>
      <x:c r="E1558" s="20" t="str">
        <x:v>Workspace Administrator</x:v>
      </x:c>
      <x:c r="F1558" s="20" t="str">
        <x:v>Mobile</x:v>
      </x:c>
      <x:c r="G1558" s="20" t="str">
        <x:v>Normal persona navigation</x:v>
      </x:c>
      <x:c r="H1558" s="35" t="str">
        <x:v>Use every permitted action and state on features/onboarding/go_live_sheet.dart</x:v>
      </x:c>
      <x:c r="I1558" s="35" t="str">
        <x:v>SCR-150; ROLE-258</x:v>
      </x:c>
      <x:c r="J1558" s="35" t="str"/>
      <x:c r="K1558" s="35" t="str"/>
      <x:c r="L155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58" s="35" t="str">
        <x:v>The persona can use every allowed action with only its assigned properties/relationships. Hidden or disabled actions explain why; an adjacent unauthorized persona is denied without metadata leakage.</x:v>
      </x:c>
      <x:c r="N1558" s="35" t="str">
        <x:v>Persona/experience; navigation entry; desktop or device screenshots; result state; persisted read-back; audit/history; authorized and denied network result.</x:v>
      </x:c>
      <x:c r="O1558" s="35" t="str">
        <x:v>Open the direct URL or deep link with an adjacent unauthorized persona and with stale scope; both fail closed and land safely without mutation.</x:v>
      </x:c>
      <x:c r="P1558" s="35" t="str">
        <x:v>All expected records and amounts match; no unexplained error or stale state.</x:v>
      </x:c>
    </x:row>
    <x:row r="1559">
      <x:c r="A1559" s="20" t="str">
        <x:v>RUN-20271006-02</x:v>
      </x:c>
      <x:c r="B1559" s="23" t="n">
        <x:v>46666</x:v>
      </x:c>
      <x:c r="C1559" s="32" t="n">
        <x:v>2</x:v>
      </x:c>
      <x:c r="D1559" s="20" t="str">
        <x:v>Field certification</x:v>
      </x:c>
      <x:c r="E1559" s="20" t="str">
        <x:v>Applicant / public user</x:v>
      </x:c>
      <x:c r="F1559" s="20" t="str">
        <x:v>Mobile</x:v>
      </x:c>
      <x:c r="G1559" s="20" t="str">
        <x:v>Manual field-by-field</x:v>
      </x:c>
      <x:c r="H1559" s="35" t="str">
        <x:v>Fill, save, reload, edit, and validate every declared field on features/applications/application_detail_screen.dart</x:v>
      </x:c>
      <x:c r="I1559" s="35" t="str">
        <x:v>FLD-0821; FLD-0822; FLD-0823; FLD-0824</x:v>
      </x:c>
      <x:c r="J1559" s="35" t="str"/>
      <x:c r="K1559" s="35" t="str"/>
      <x:c r="L1559" s="35" t="str">
        <x:v>Use the source-derived Field Inventory. Enter non-default realistic values in every control (_amountController; _methodController; _name; _address); submit; reload or relaunch; compare every value; edit each mutable field; verify the paired client; then run required, format, length, range, boundary, optional-null, and stale-submit checks.</x:v>
      </x:c>
      <x:c r="M1559" s="35" t="str">
        <x:v>All 4 inventoried controls persist exact normalized values, invalid values stay unsaved with clear errors, and hidden/unauthorized fields cannot be altered.</x:v>
      </x:c>
      <x:c r="N1559" s="35" t="str">
        <x:v>Before/after form screenshots; FLD IDs; API response; reloaded UI; paired-client read-back; database/audit evidence; negative validation result.</x:v>
      </x:c>
      <x:c r="O1559" s="35" t="str">
        <x:v>Use a duplicate submit and one simulated network interruption; one atomic mutation or none, never partial state.</x:v>
      </x:c>
      <x:c r="P1559" s="35" t="str">
        <x:v>All expected records and amounts match; no unexplained error or stale state.</x:v>
      </x:c>
    </x:row>
    <x:row r="1560">
      <x:c r="A1560" s="20" t="str">
        <x:v>RUN-20271007-01</x:v>
      </x:c>
      <x:c r="B1560" s="23" t="n">
        <x:v>46667</x:v>
      </x:c>
      <x:c r="C1560" s="32" t="n">
        <x:v>1</x:v>
      </x:c>
      <x:c r="D1560" s="20" t="str">
        <x:v>Role and screen certification</x:v>
      </x:c>
      <x:c r="E1560" s="20" t="str">
        <x:v>Workspace Administrator</x:v>
      </x:c>
      <x:c r="F1560" s="20" t="str">
        <x:v>Mobile</x:v>
      </x:c>
      <x:c r="G1560" s="20" t="str">
        <x:v>Normal persona navigation</x:v>
      </x:c>
      <x:c r="H1560" s="35" t="str">
        <x:v>Use every permitted action and state on features/onboarding/onboarding_choice_screen.dart</x:v>
      </x:c>
      <x:c r="I1560" s="35" t="str">
        <x:v>SCR-151; ROLE-259</x:v>
      </x:c>
      <x:c r="J1560" s="35" t="str"/>
      <x:c r="K1560" s="35" t="str"/>
      <x:c r="L156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60" s="35" t="str">
        <x:v>The persona can use every allowed action with only its assigned properties/relationships. Hidden or disabled actions explain why; an adjacent unauthorized persona is denied without metadata leakage.</x:v>
      </x:c>
      <x:c r="N1560" s="35" t="str">
        <x:v>Persona/experience; navigation entry; desktop or device screenshots; result state; persisted read-back; audit/history; authorized and denied network result.</x:v>
      </x:c>
      <x:c r="O1560" s="35" t="str">
        <x:v>Open the direct URL or deep link with an adjacent unauthorized persona and with stale scope; both fail closed and land safely without mutation.</x:v>
      </x:c>
      <x:c r="P1560" s="35" t="str">
        <x:v>All expected records and amounts match; no unexplained error or stale state.</x:v>
      </x:c>
    </x:row>
    <x:row r="1561">
      <x:c r="A1561" s="20" t="str">
        <x:v>RUN-20271007-02</x:v>
      </x:c>
      <x:c r="B1561" s="23" t="n">
        <x:v>46667</x:v>
      </x:c>
      <x:c r="C1561" s="32" t="n">
        <x:v>2</x:v>
      </x:c>
      <x:c r="D1561" s="20" t="str">
        <x:v>Field certification</x:v>
      </x:c>
      <x:c r="E1561" s="20" t="str">
        <x:v>Applicant / public user</x:v>
      </x:c>
      <x:c r="F1561" s="20" t="str">
        <x:v>Mobile</x:v>
      </x:c>
      <x:c r="G1561" s="20" t="str">
        <x:v>Manual field-by-field</x:v>
      </x:c>
      <x:c r="H1561" s="35" t="str">
        <x:v>Fill, save, reload, edit, and validate every declared field on features/applications/application_detail_screen.dart</x:v>
      </x:c>
      <x:c r="I1561" s="35" t="str">
        <x:v>FLD-0825; FLD-0826; FLD-0827; FLD-0828</x:v>
      </x:c>
      <x:c r="J1561" s="35" t="str"/>
      <x:c r="K1561" s="35" t="str"/>
      <x:c r="L1561" s="35" t="str">
        <x:v>Use the source-derived Field Inventory. Enter non-default realistic values in every control (_reason; SwitchListTile-19; _provider; _reference); submit; reload or relaunch; compare every value; edit each mutable field; verify the paired client; then run required, format, length, range, boundary, optional-null, and stale-submit checks.</x:v>
      </x:c>
      <x:c r="M1561" s="35" t="str">
        <x:v>All 4 inventoried controls persist exact normalized values, invalid values stay unsaved with clear errors, and hidden/unauthorized fields cannot be altered.</x:v>
      </x:c>
      <x:c r="N1561" s="35" t="str">
        <x:v>Before/after form screenshots; FLD IDs; API response; reloaded UI; paired-client read-back; database/audit evidence; negative validation result.</x:v>
      </x:c>
      <x:c r="O1561" s="35" t="str">
        <x:v>Use a duplicate submit and one simulated network interruption; one atomic mutation or none, never partial state.</x:v>
      </x:c>
      <x:c r="P1561" s="35" t="str">
        <x:v>All expected records and amounts match; no unexplained error or stale state.</x:v>
      </x:c>
    </x:row>
    <x:row r="1562">
      <x:c r="A1562" s="20" t="str">
        <x:v>RUN-20271007-03</x:v>
      </x:c>
      <x:c r="B1562" s="23" t="n">
        <x:v>46667</x:v>
      </x:c>
      <x:c r="C1562" s="32" t="n">
        <x:v>3</x:v>
      </x:c>
      <x:c r="D1562" s="20" t="str">
        <x:v>Notification certification</x:v>
      </x:c>
      <x:c r="E1562" s="20" t="str">
        <x:v>Property Manager</x:v>
      </x:c>
      <x:c r="F1562" s="20" t="str">
        <x:v>Web + Mobile</x:v>
      </x:c>
      <x:c r="G1562" s="20" t="str">
        <x:v>System event + preference/manual verification</x:v>
      </x:c>
      <x:c r="H1562" s="35" t="str">
        <x:v>Trigger and prove notification: Bank import/match needs review</x:v>
      </x:c>
      <x:c r="I1562" s="35" t="str">
        <x:v>NTF-038</x:v>
      </x:c>
      <x:c r="J1562" s="35" t="str"/>
      <x:c r="K1562" s="35" t="str"/>
      <x:c r="L1562" s="35" t="str">
        <x:v>Set each recipient's preferences; trigger the real business event; inspect routing and recipient scope; verify unread badge, list item, safe preview, banking review deep link, mark-read sync, configured channel outcome, provider failure/retry, and duplicate suppression.</x:v>
      </x:c>
      <x:c r="M1562" s="35" t="str">
        <x:v>Exactly the intended recipients receive one correctly routed notification; disabled optional channels stay silent; deep link opens authorized context; read state synchronizes.</x:v>
      </x:c>
      <x:c r="N1562" s="35" t="str">
        <x:v>Trigger record; routing decision; outbox/delivery status; web/mobile inbox; lock-screen-safe copy; deep-link target; audit/provider retry evidence.</x:v>
      </x:c>
      <x:c r="O1562" s="35" t="str">
        <x:v>Re-run the worker and deliver a duplicate provider callback; no duplicate user-visible event. Attempt the deep link as an unauthorized adjacent role.</x:v>
      </x:c>
      <x:c r="P1562" s="35" t="str">
        <x:v>All expected records and amounts match; no unexplained error or stale state.</x:v>
      </x:c>
    </x:row>
    <x:row r="1563">
      <x:c r="A1563" s="20" t="str">
        <x:v>RUN-20271008-01</x:v>
      </x:c>
      <x:c r="B1563" s="23" t="n">
        <x:v>46668</x:v>
      </x:c>
      <x:c r="C1563" s="32" t="n">
        <x:v>1</x:v>
      </x:c>
      <x:c r="D1563" s="20" t="str">
        <x:v>Monthly operations</x:v>
      </x:c>
      <x:c r="E1563" s="20" t="str">
        <x:v>Property Manager</x:v>
      </x:c>
      <x:c r="F1563" s="20" t="str">
        <x:v>Web</x:v>
      </x:c>
      <x:c r="G1563" s="20" t="str">
        <x:v>Scanned check</x:v>
      </x:c>
      <x:c r="H1563" s="35" t="str">
        <x:v>Post and allocate tenant receipt</x:v>
      </x:c>
      <x:c r="I1563" s="35" t="str">
        <x:v>P013; U013; L013</x:v>
      </x:c>
      <x:c r="J1563" s="35" t="str">
        <x:v>SCN-0286</x:v>
      </x:c>
      <x:c r="K1563" s="35" t="str">
        <x:v>FIN-00790; FIN-00791</x:v>
      </x:c>
      <x:c r="L1563" s="35" t="str">
        <x:v>Open Scan for paper payment or the tenant-account receipt form for electronic payment; verify tenant/lease match, amount, date, method, and reference; confirm once; open ledger detail and allocation.</x:v>
      </x:c>
      <x:c r="M1563" s="35" t="str">
        <x:v>Receipt is append-only, allocated once to the correct rent charge, and visible consistently in Unit, Lease, Tenant Account, Accounting, and portal views.</x:v>
      </x:c>
      <x:c r="N1563" s="35" t="str">
        <x:v>Scan review or form; success result; exact ledger rows; payment detail; accounting delta; portal receipt.</x:v>
      </x:c>
      <x:c r="O1563" s="35" t="str">
        <x:v>Retry the idempotency key once during the quarter assigned in the coverage matrix; no duplicate cash or allocation.</x:v>
      </x:c>
      <x:c r="P1563" s="35" t="str">
        <x:v>All expected records and amounts match; no unexplained error or stale state.</x:v>
      </x:c>
    </x:row>
    <x:row r="1564">
      <x:c r="A1564" s="20" t="str">
        <x:v>RUN-20271008-02</x:v>
      </x:c>
      <x:c r="B1564" s="23" t="n">
        <x:v>46668</x:v>
      </x:c>
      <x:c r="C1564" s="32" t="n">
        <x:v>2</x:v>
      </x:c>
      <x:c r="D1564" s="20" t="str">
        <x:v>Monthly operations</x:v>
      </x:c>
      <x:c r="E1564" s="20" t="str">
        <x:v>Property Manager</x:v>
      </x:c>
      <x:c r="F1564" s="20" t="str">
        <x:v>Mobile</x:v>
      </x:c>
      <x:c r="G1564" s="20" t="str">
        <x:v>Scanned money order</x:v>
      </x:c>
      <x:c r="H1564" s="35" t="str">
        <x:v>Post and allocate tenant receipt</x:v>
      </x:c>
      <x:c r="I1564" s="35" t="str">
        <x:v>P023; U026; L026</x:v>
      </x:c>
      <x:c r="J1564" s="35" t="str">
        <x:v>SCN-0292</x:v>
      </x:c>
      <x:c r="K1564" s="35" t="str">
        <x:v>FIN-00811; FIN-00812</x:v>
      </x:c>
      <x:c r="L1564" s="35" t="str">
        <x:v>Open Scan for paper payment or the tenant-account receipt form for electronic payment; verify tenant/lease match, amount, date, method, and reference; confirm once; open ledger detail and allocation.</x:v>
      </x:c>
      <x:c r="M1564" s="35" t="str">
        <x:v>Receipt is append-only, allocated once to the correct rent charge, and visible consistently in Unit, Lease, Tenant Account, Accounting, and portal views.</x:v>
      </x:c>
      <x:c r="N1564" s="35" t="str">
        <x:v>Scan review or form; success result; exact ledger rows; payment detail; accounting delta; portal receipt.</x:v>
      </x:c>
      <x:c r="O1564" s="35" t="str">
        <x:v>Retry the idempotency key once during the quarter assigned in the coverage matrix; no duplicate cash or allocation.</x:v>
      </x:c>
      <x:c r="P1564" s="35" t="str">
        <x:v>All expected records and amounts match; no unexplained error or stale state.</x:v>
      </x:c>
    </x:row>
    <x:row r="1565">
      <x:c r="A1565" s="20" t="str">
        <x:v>RUN-20271008-03</x:v>
      </x:c>
      <x:c r="B1565" s="23" t="n">
        <x:v>46668</x:v>
      </x:c>
      <x:c r="C1565" s="32" t="n">
        <x:v>3</x:v>
      </x:c>
      <x:c r="D1565" s="20" t="str">
        <x:v>Monthly operations</x:v>
      </x:c>
      <x:c r="E1565" s="20" t="str">
        <x:v>Property Manager</x:v>
      </x:c>
      <x:c r="F1565" s="20" t="str">
        <x:v>Web</x:v>
      </x:c>
      <x:c r="G1565" s="20" t="str">
        <x:v>Manual ACH</x:v>
      </x:c>
      <x:c r="H1565" s="35" t="str">
        <x:v>Post and allocate tenant receipt</x:v>
      </x:c>
      <x:c r="I1565" s="35" t="str">
        <x:v>P017; U017; L039</x:v>
      </x:c>
      <x:c r="J1565" s="35" t="str"/>
      <x:c r="K1565" s="35" t="str">
        <x:v>FIN-00840; FIN-00841</x:v>
      </x:c>
      <x:c r="L1565" s="35" t="str">
        <x:v>Open Scan for paper payment or the tenant-account receipt form for electronic payment; verify tenant/lease match, amount, date, method, and reference; confirm once; open ledger detail and allocation.</x:v>
      </x:c>
      <x:c r="M1565" s="35" t="str">
        <x:v>Receipt is append-only, allocated once to the correct rent charge, and visible consistently in Unit, Lease, Tenant Account, Accounting, and portal views.</x:v>
      </x:c>
      <x:c r="N1565" s="35" t="str">
        <x:v>Scan review or form; success result; exact ledger rows; payment detail; accounting delta; portal receipt.</x:v>
      </x:c>
      <x:c r="O1565" s="35" t="str">
        <x:v>Retry the idempotency key once during the quarter assigned in the coverage matrix; no duplicate cash or allocation.</x:v>
      </x:c>
      <x:c r="P1565" s="35" t="str">
        <x:v>All expected records and amounts match; no unexplained error or stale state.</x:v>
      </x:c>
    </x:row>
    <x:row r="1566">
      <x:c r="A1566" s="20" t="str">
        <x:v>RUN-20271008-04</x:v>
      </x:c>
      <x:c r="B1566" s="23" t="n">
        <x:v>46668</x:v>
      </x:c>
      <x:c r="C1566" s="32" t="n">
        <x:v>4</x:v>
      </x:c>
      <x:c r="D1566" s="20" t="str">
        <x:v>Role and screen certification</x:v>
      </x:c>
      <x:c r="E1566" s="20" t="str">
        <x:v>Workspace Administrator</x:v>
      </x:c>
      <x:c r="F1566" s="20" t="str">
        <x:v>Mobile</x:v>
      </x:c>
      <x:c r="G1566" s="20" t="str">
        <x:v>Normal persona navigation</x:v>
      </x:c>
      <x:c r="H1566" s="35" t="str">
        <x:v>Use every permitted action and state on features/onboarding/onboarding_live_setup_screen.dart</x:v>
      </x:c>
      <x:c r="I1566" s="35" t="str">
        <x:v>SCR-152; ROLE-260</x:v>
      </x:c>
      <x:c r="J1566" s="35" t="str"/>
      <x:c r="K1566" s="35" t="str"/>
      <x:c r="L156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66" s="35" t="str">
        <x:v>The persona can use every allowed action with only its assigned properties/relationships. Hidden or disabled actions explain why; an adjacent unauthorized persona is denied without metadata leakage.</x:v>
      </x:c>
      <x:c r="N1566" s="35" t="str">
        <x:v>Persona/experience; navigation entry; desktop or device screenshots; result state; persisted read-back; audit/history; authorized and denied network result.</x:v>
      </x:c>
      <x:c r="O1566" s="35" t="str">
        <x:v>Open the direct URL or deep link with an adjacent unauthorized persona and with stale scope; both fail closed and land safely without mutation.</x:v>
      </x:c>
      <x:c r="P1566" s="35" t="str">
        <x:v>All expected records and amounts match; no unexplained error or stale state.</x:v>
      </x:c>
    </x:row>
    <x:row r="1567">
      <x:c r="A1567" s="20" t="str">
        <x:v>RUN-20271008-05</x:v>
      </x:c>
      <x:c r="B1567" s="23" t="n">
        <x:v>46668</x:v>
      </x:c>
      <x:c r="C1567" s="32" t="n">
        <x:v>5</x:v>
      </x:c>
      <x:c r="D1567" s="20" t="str">
        <x:v>Field certification</x:v>
      </x:c>
      <x:c r="E1567" s="20" t="str">
        <x:v>Applicant / public user</x:v>
      </x:c>
      <x:c r="F1567" s="20" t="str">
        <x:v>Mobile</x:v>
      </x:c>
      <x:c r="G1567" s="20" t="str">
        <x:v>Manual field-by-field</x:v>
      </x:c>
      <x:c r="H1567" s="35" t="str">
        <x:v>Fill, save, reload, edit, and validate every declared field on features/applications/application_detail_screen.dart</x:v>
      </x:c>
      <x:c r="I1567" s="35" t="str">
        <x:v>FLD-0829; FLD-0830; FLD-0831; FLD-0832; FLD-0833</x:v>
      </x:c>
      <x:c r="J1567" s="35" t="str"/>
      <x:c r="K1567" s="35" t="str"/>
      <x:c r="L1567" s="35" t="str">
        <x:v>Use the source-derived Field Inventory. Enter non-default realistic values in every control (_url; _agencyName; _agencyAddress; _agencyPhone; CheckboxListTile-27); submit; reload or relaunch; compare every value; edit each mutable field; verify the paired client; then run required, format, length, range, boundary, optional-null, and stale-submit checks.</x:v>
      </x:c>
      <x:c r="M1567" s="35" t="str">
        <x:v>All 5 inventoried controls persist exact normalized values, invalid values stay unsaved with clear errors, and hidden/unauthorized fields cannot be altered.</x:v>
      </x:c>
      <x:c r="N1567" s="35" t="str">
        <x:v>Before/after form screenshots; FLD IDs; API response; reloaded UI; paired-client read-back; database/audit evidence; negative validation result.</x:v>
      </x:c>
      <x:c r="O1567" s="35" t="str">
        <x:v>Use a duplicate submit and one simulated network interruption; one atomic mutation or none, never partial state.</x:v>
      </x:c>
      <x:c r="P1567" s="35" t="str">
        <x:v>All expected records and amounts match; no unexplained error or stale state.</x:v>
      </x:c>
    </x:row>
    <x:row r="1568">
      <x:c r="A1568" s="20" t="str">
        <x:v>RUN-20271008-06</x:v>
      </x:c>
      <x:c r="B1568" s="23" t="n">
        <x:v>46668</x:v>
      </x:c>
      <x:c r="C1568" s="32" t="n">
        <x:v>6</x:v>
      </x:c>
      <x:c r="D1568" s="20" t="str">
        <x:v>Surface coverage</x:v>
      </x:c>
      <x:c r="E1568" s="20" t="str">
        <x:v>Role appropriate to surface</x:v>
      </x:c>
      <x:c r="F1568" s="20" t="str">
        <x:v>Web</x:v>
      </x:c>
      <x:c r="G1568" s="20" t="str">
        <x:v>Manual</x:v>
      </x:c>
      <x:c r="H1568" s="35" t="str">
        <x:v>Manual web pass: Voice intake and assistant actions</x:v>
      </x:c>
      <x:c r="I1568" s="35" t="str">
        <x:v>COV-036</x:v>
      </x:c>
      <x:c r="J1568" s="35" t="str"/>
      <x:c r="K1568" s="35" t="str"/>
      <x:c r="L1568" s="35" t="str">
        <x:v>Record maintenance/payment/expense intents, review proposed action, confirm/cancel, and verify no save before confirmation.</x:v>
      </x:c>
      <x:c r="M1568" s="35" t="str">
        <x:v>The supported workflow completes and persists correctly; if the capability is absent, the exact gap is proven and queued rather than silently skipped.</x:v>
      </x:c>
      <x:c r="N1568" s="35" t="str">
        <x:v>Real UI screenshot/state; submitted values; persisted read-back; cross-client read-back; audit/role/access evidence.</x:v>
      </x:c>
      <x:c r="O1568" s="35" t="str">
        <x:v>Use one invalid value, stale-state retry, or duplicate submission relevant to the form; no partial or duplicate mutation.</x:v>
      </x:c>
      <x:c r="P1568" s="35" t="str">
        <x:v>All expected records and amounts match; no unexplained error or stale state.</x:v>
      </x:c>
    </x:row>
    <x:row r="1569">
      <x:c r="A1569" s="20" t="str">
        <x:v>RUN-20271011-01</x:v>
      </x:c>
      <x:c r="B1569" s="23" t="n">
        <x:v>46671</x:v>
      </x:c>
      <x:c r="C1569" s="32" t="n">
        <x:v>1</x:v>
      </x:c>
      <x:c r="D1569" s="20" t="str">
        <x:v>Weekly operations</x:v>
      </x:c>
      <x:c r="E1569" s="20" t="str">
        <x:v>Property Manager</x:v>
      </x:c>
      <x:c r="F1569" s="20" t="str">
        <x:v>Mobile</x:v>
      </x:c>
      <x:c r="G1569" s="20" t="str">
        <x:v>Scan-first</x:v>
      </x:c>
      <x:c r="H1569" s="35" t="str">
        <x:v>Create and triage maintenance request</x:v>
      </x:c>
      <x:c r="I1569" s="35" t="str">
        <x:v>P008; U008; WO-2027-041</x:v>
      </x:c>
      <x:c r="J1569" s="35" t="str">
        <x:v>SCN-0419</x:v>
      </x:c>
      <x:c r="K1569" s="35" t="str"/>
      <x:c r="L1569" s="35" t="str">
        <x:v>Capture the tenant note/photo; review HVAC filter and no-cool call; confirm; set responsibility; dispatch ComfortZone HVAC; create an appointment and verify the tenant notification.</x:v>
      </x:c>
      <x:c r="M1569" s="35" t="str">
        <x:v>Work order, status timeline, responsibility, vendor dispatch, appointment, notification, and Unit context are linked once.</x:v>
      </x:c>
      <x:c r="N1569" s="35" t="str">
        <x:v>Scan review; work order detail/timeline; dispatch; appointment; notification; tenant portal view.</x:v>
      </x:c>
      <x:c r="O1569" s="35" t="str">
        <x:v>Cancel one dispatch each quarter, reassign once, and prove status/history remains append-only.</x:v>
      </x:c>
      <x:c r="P1569" s="35" t="str">
        <x:v>All expected records and amounts match; no unexplained error or stale state.</x:v>
      </x:c>
    </x:row>
    <x:row r="1570">
      <x:c r="A1570" s="20" t="str">
        <x:v>RUN-20271011-02</x:v>
      </x:c>
      <x:c r="B1570" s="23" t="n">
        <x:v>46671</x:v>
      </x:c>
      <x:c r="C1570" s="32" t="n">
        <x:v>2</x:v>
      </x:c>
      <x:c r="D1570" s="20" t="str">
        <x:v>Role and screen certification</x:v>
      </x:c>
      <x:c r="E1570" s="20" t="str">
        <x:v>Workspace Administrator</x:v>
      </x:c>
      <x:c r="F1570" s="20" t="str">
        <x:v>Mobile</x:v>
      </x:c>
      <x:c r="G1570" s="20" t="str">
        <x:v>Normal persona navigation</x:v>
      </x:c>
      <x:c r="H1570" s="35" t="str">
        <x:v>Use every permitted action and state on features/onboarding/onboarding_seeding_screen.dart</x:v>
      </x:c>
      <x:c r="I1570" s="35" t="str">
        <x:v>SCR-153; ROLE-261</x:v>
      </x:c>
      <x:c r="J1570" s="35" t="str"/>
      <x:c r="K1570" s="35" t="str"/>
      <x:c r="L15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70" s="35" t="str">
        <x:v>The persona can use every allowed action with only its assigned properties/relationships. Hidden or disabled actions explain why; an adjacent unauthorized persona is denied without metadata leakage.</x:v>
      </x:c>
      <x:c r="N1570" s="35" t="str">
        <x:v>Persona/experience; navigation entry; desktop or device screenshots; result state; persisted read-back; audit/history; authorized and denied network result.</x:v>
      </x:c>
      <x:c r="O1570" s="35" t="str">
        <x:v>Open the direct URL or deep link with an adjacent unauthorized persona and with stale scope; both fail closed and land safely without mutation.</x:v>
      </x:c>
      <x:c r="P1570" s="35" t="str">
        <x:v>All expected records and amounts match; no unexplained error or stale state.</x:v>
      </x:c>
    </x:row>
    <x:row r="1571">
      <x:c r="A1571" s="20" t="str">
        <x:v>RUN-20271011-03</x:v>
      </x:c>
      <x:c r="B1571" s="23" t="n">
        <x:v>46671</x:v>
      </x:c>
      <x:c r="C1571" s="32" t="n">
        <x:v>3</x:v>
      </x:c>
      <x:c r="D1571" s="20" t="str">
        <x:v>Field certification</x:v>
      </x:c>
      <x:c r="E1571" s="20" t="str">
        <x:v>Applicant / public user</x:v>
      </x:c>
      <x:c r="F1571" s="20" t="str">
        <x:v>Mobile</x:v>
      </x:c>
      <x:c r="G1571" s="20" t="str">
        <x:v>Manual field-by-field</x:v>
      </x:c>
      <x:c r="H1571" s="35" t="str">
        <x:v>Fill, save, reload, edit, and validate every declared field on features/appointments/appointments_screen.dart</x:v>
      </x:c>
      <x:c r="I1571" s="35" t="str">
        <x:v>FLD-0834; FLD-0835; FLD-0836; FLD-0837</x:v>
      </x:c>
      <x:c r="J1571" s="35" t="str"/>
      <x:c r="K1571" s="35" t="str"/>
      <x:c r="L1571" s="35" t="str">
        <x:v>Use the source-derived Field Inventory. Enter non-default realistic values in every control (_titleCtrl; Type; Status; Property (optional)); submit; reload or relaunch; compare every value; edit each mutable field; verify the paired client; then run required, format, length, range, boundary, optional-null, and stale-submit checks.</x:v>
      </x:c>
      <x:c r="M1571" s="35" t="str">
        <x:v>All 4 inventoried controls persist exact normalized values, invalid values stay unsaved with clear errors, and hidden/unauthorized fields cannot be altered.</x:v>
      </x:c>
      <x:c r="N1571" s="35" t="str">
        <x:v>Before/after form screenshots; FLD IDs; API response; reloaded UI; paired-client read-back; database/audit evidence; negative validation result.</x:v>
      </x:c>
      <x:c r="O1571" s="35" t="str">
        <x:v>Use a duplicate submit and one simulated network interruption; one atomic mutation or none, never partial state.</x:v>
      </x:c>
      <x:c r="P1571" s="35" t="str">
        <x:v>All expected records and amounts match; no unexplained error or stale state.</x:v>
      </x:c>
    </x:row>
    <x:row r="1572">
      <x:c r="A1572" s="20" t="str">
        <x:v>RUN-20271012-01</x:v>
      </x:c>
      <x:c r="B1572" s="23" t="n">
        <x:v>46672</x:v>
      </x:c>
      <x:c r="C1572" s="32" t="n">
        <x:v>1</x:v>
      </x:c>
      <x:c r="D1572" s="20" t="str">
        <x:v>Monthly operations</x:v>
      </x:c>
      <x:c r="E1572" s="20" t="str">
        <x:v>Property Manager</x:v>
      </x:c>
      <x:c r="F1572" s="20" t="str">
        <x:v>Mobile</x:v>
      </x:c>
      <x:c r="G1572" s="20" t="str">
        <x:v>Scanned money order</x:v>
      </x:c>
      <x:c r="H1572" s="35" t="str">
        <x:v>Post and allocate tenant receipt</x:v>
      </x:c>
      <x:c r="I1572" s="35" t="str">
        <x:v>P011; U011; L011</x:v>
      </x:c>
      <x:c r="J1572" s="35" t="str">
        <x:v>SCN-0284</x:v>
      </x:c>
      <x:c r="K1572" s="35" t="str">
        <x:v>FIN-00785; FIN-00786</x:v>
      </x:c>
      <x:c r="L1572" s="35" t="str">
        <x:v>Open Scan for paper payment or the tenant-account receipt form for electronic payment; verify tenant/lease match, amount, date, method, and reference; confirm once; open ledger detail and allocation.</x:v>
      </x:c>
      <x:c r="M1572" s="35" t="str">
        <x:v>Receipt is append-only, allocated once to the correct rent charge, and visible consistently in Unit, Lease, Tenant Account, Accounting, and portal views.</x:v>
      </x:c>
      <x:c r="N1572" s="35" t="str">
        <x:v>Scan review or form; success result; exact ledger rows; payment detail; accounting delta; portal receipt.</x:v>
      </x:c>
      <x:c r="O1572" s="35" t="str">
        <x:v>Retry the idempotency key once during the quarter assigned in the coverage matrix; no duplicate cash or allocation.</x:v>
      </x:c>
      <x:c r="P1572" s="35" t="str">
        <x:v>All expected records and amounts match; no unexplained error or stale state.</x:v>
      </x:c>
    </x:row>
    <x:row r="1573">
      <x:c r="A1573" s="20" t="str">
        <x:v>RUN-20271012-02</x:v>
      </x:c>
      <x:c r="B1573" s="23" t="n">
        <x:v>46672</x:v>
      </x:c>
      <x:c r="C1573" s="32" t="n">
        <x:v>2</x:v>
      </x:c>
      <x:c r="D1573" s="20" t="str">
        <x:v>Monthly operations</x:v>
      </x:c>
      <x:c r="E1573" s="20" t="str">
        <x:v>Property Manager</x:v>
      </x:c>
      <x:c r="F1573" s="20" t="str">
        <x:v>Mobile</x:v>
      </x:c>
      <x:c r="G1573" s="20" t="str">
        <x:v>Portal card</x:v>
      </x:c>
      <x:c r="H1573" s="35" t="str">
        <x:v>Post and allocate tenant receipt</x:v>
      </x:c>
      <x:c r="I1573" s="35" t="str">
        <x:v>P027; U033; L033</x:v>
      </x:c>
      <x:c r="J1573" s="35" t="str"/>
      <x:c r="K1573" s="35" t="str">
        <x:v>FIN-00827; FIN-00828</x:v>
      </x:c>
      <x:c r="L1573" s="35" t="str">
        <x:v>Open Scan for paper payment or the tenant-account receipt form for electronic payment; verify tenant/lease match, amount, date, method, and reference; confirm once; open ledger detail and allocation.</x:v>
      </x:c>
      <x:c r="M1573" s="35" t="str">
        <x:v>Receipt is append-only, allocated once to the correct rent charge, and visible consistently in Unit, Lease, Tenant Account, Accounting, and portal views.</x:v>
      </x:c>
      <x:c r="N1573" s="35" t="str">
        <x:v>Scan review or form; success result; exact ledger rows; payment detail; accounting delta; portal receipt.</x:v>
      </x:c>
      <x:c r="O1573" s="35" t="str">
        <x:v>Retry the idempotency key once during the quarter assigned in the coverage matrix; no duplicate cash or allocation.</x:v>
      </x:c>
      <x:c r="P1573" s="35" t="str">
        <x:v>All expected records and amounts match; no unexplained error or stale state.</x:v>
      </x:c>
    </x:row>
    <x:row r="1574">
      <x:c r="A1574" s="20" t="str">
        <x:v>RUN-20271012-03</x:v>
      </x:c>
      <x:c r="B1574" s="23" t="n">
        <x:v>46672</x:v>
      </x:c>
      <x:c r="C1574" s="32" t="n">
        <x:v>3</x:v>
      </x:c>
      <x:c r="D1574" s="20" t="str">
        <x:v>Monthly operations</x:v>
      </x:c>
      <x:c r="E1574" s="20" t="str">
        <x:v>Property Manager</x:v>
      </x:c>
      <x:c r="F1574" s="20" t="str">
        <x:v>Web</x:v>
      </x:c>
      <x:c r="G1574" s="20" t="str">
        <x:v>Manual ACH</x:v>
      </x:c>
      <x:c r="H1574" s="35" t="str">
        <x:v>Post and allocate tenant receipt</x:v>
      </x:c>
      <x:c r="I1574" s="35" t="str">
        <x:v>P029; U038; L044</x:v>
      </x:c>
      <x:c r="J1574" s="35" t="str"/>
      <x:c r="K1574" s="35" t="str">
        <x:v>FIN-00850; FIN-00851</x:v>
      </x:c>
      <x:c r="L1574" s="35" t="str">
        <x:v>Open Scan for paper payment or the tenant-account receipt form for electronic payment; verify tenant/lease match, amount, date, method, and reference; confirm once; open ledger detail and allocation.</x:v>
      </x:c>
      <x:c r="M1574" s="35" t="str">
        <x:v>Receipt is append-only, allocated once to the correct rent charge, and visible consistently in Unit, Lease, Tenant Account, Accounting, and portal views.</x:v>
      </x:c>
      <x:c r="N1574" s="35" t="str">
        <x:v>Scan review or form; success result; exact ledger rows; payment detail; accounting delta; portal receipt.</x:v>
      </x:c>
      <x:c r="O1574" s="35" t="str">
        <x:v>Retry the idempotency key once during the quarter assigned in the coverage matrix; no duplicate cash or allocation.</x:v>
      </x:c>
      <x:c r="P1574" s="35" t="str">
        <x:v>All expected records and amounts match; no unexplained error or stale state.</x:v>
      </x:c>
    </x:row>
    <x:row r="1575">
      <x:c r="A1575" s="20" t="str">
        <x:v>RUN-20271012-04</x:v>
      </x:c>
      <x:c r="B1575" s="23" t="n">
        <x:v>46672</x:v>
      </x:c>
      <x:c r="C1575" s="32" t="n">
        <x:v>4</x:v>
      </x:c>
      <x:c r="D1575" s="20" t="str">
        <x:v>Weekly operations</x:v>
      </x:c>
      <x:c r="E1575" s="20" t="str">
        <x:v>Property Manager</x:v>
      </x:c>
      <x:c r="F1575" s="20" t="str">
        <x:v>Mobile</x:v>
      </x:c>
      <x:c r="G1575" s="20" t="str">
        <x:v>Scanned receipt/invoice</x:v>
      </x:c>
      <x:c r="H1575" s="35" t="str">
        <x:v>Record, review, allocate, and pay operating expense</x:v>
      </x:c>
      <x:c r="I1575" s="35" t="str">
        <x:v>P008; U008; WO-2027-041</x:v>
      </x:c>
      <x:c r="J1575" s="35" t="str">
        <x:v>SCN-0420</x:v>
      </x:c>
      <x:c r="K1575" s="35" t="str">
        <x:v>FIN-01064</x:v>
      </x:c>
      <x:c r="L1575" s="35" t="str">
        <x:v>Capture or upload the source; verify vendor, date, scope, category, line items, tax, amount, and work-order link; confirm; open detail; verify attachment; compare Money and Property/Unit views.</x:v>
      </x:c>
      <x:c r="M1575" s="35" t="str">
        <x:v>One expense exists at its real operational scope, cash falls once, Schedule E category and allocations agree, and no per-unit copies are created.</x:v>
      </x:c>
      <x:c r="N1575" s="35" t="str">
        <x:v>Source preview; review/form; expense detail; line items; Property/Unit ledger; audit; accounting/report delta.</x:v>
      </x:c>
      <x:c r="O1575" s="35" t="str">
        <x:v>On marked duplicate-invoice cases, re-upload before confirm and prove the product prevents or clearly warns about duplication.</x:v>
      </x:c>
      <x:c r="P1575" s="35" t="str">
        <x:v>All expected records and amounts match; no unexplained error or stale state.</x:v>
      </x:c>
    </x:row>
    <x:row r="1576">
      <x:c r="A1576" s="20" t="str">
        <x:v>RUN-20271012-05</x:v>
      </x:c>
      <x:c r="B1576" s="23" t="n">
        <x:v>46672</x:v>
      </x:c>
      <x:c r="C1576" s="32" t="n">
        <x:v>5</x:v>
      </x:c>
      <x:c r="D1576" s="20" t="str">
        <x:v>Field certification</x:v>
      </x:c>
      <x:c r="E1576" s="20" t="str">
        <x:v>Applicant / public user</x:v>
      </x:c>
      <x:c r="F1576" s="20" t="str">
        <x:v>Mobile</x:v>
      </x:c>
      <x:c r="G1576" s="20" t="str">
        <x:v>Manual field-by-field</x:v>
      </x:c>
      <x:c r="H1576" s="35" t="str">
        <x:v>Fill, save, reload, edit, and validate every declared field on features/appointments/appointments_screen.dart</x:v>
      </x:c>
      <x:c r="I1576" s="35" t="str">
        <x:v>FLD-0838; FLD-0839; FLD-0840; FLD-0841</x:v>
      </x:c>
      <x:c r="J1576" s="35" t="str"/>
      <x:c r="K1576" s="35" t="str"/>
      <x:c r="L1576" s="35" t="str">
        <x:v>Use the source-derived Field Inventory. Enter non-default realistic values in every control (_prospectNameCtrl; _prospectEmailCtrl; _assignedToCtrl; _notesCtrl); submit; reload or relaunch; compare every value; edit each mutable field; verify the paired client; then run required, format, length, range, boundary, optional-null, and stale-submit checks.</x:v>
      </x:c>
      <x:c r="M1576" s="35" t="str">
        <x:v>All 4 inventoried controls persist exact normalized values, invalid values stay unsaved with clear errors, and hidden/unauthorized fields cannot be altered.</x:v>
      </x:c>
      <x:c r="N1576" s="35" t="str">
        <x:v>Before/after form screenshots; FLD IDs; API response; reloaded UI; paired-client read-back; database/audit evidence; negative validation result.</x:v>
      </x:c>
      <x:c r="O1576" s="35" t="str">
        <x:v>Use a duplicate submit and one simulated network interruption; one atomic mutation or none, never partial state.</x:v>
      </x:c>
      <x:c r="P1576" s="35" t="str">
        <x:v>All expected records and amounts match; no unexplained error or stale state.</x:v>
      </x:c>
    </x:row>
    <x:row r="1577">
      <x:c r="A1577" s="20" t="str">
        <x:v>RUN-20271012-06</x:v>
      </x:c>
      <x:c r="B1577" s="23" t="n">
        <x:v>46672</x:v>
      </x:c>
      <x:c r="C1577" s="32" t="n">
        <x:v>6</x:v>
      </x:c>
      <x:c r="D1577" s="20" t="str">
        <x:v>Field certification</x:v>
      </x:c>
      <x:c r="E1577" s="20" t="str">
        <x:v>Applicant / public user</x:v>
      </x:c>
      <x:c r="F1577" s="20" t="str">
        <x:v>Mobile</x:v>
      </x:c>
      <x:c r="G1577" s="20" t="str">
        <x:v>Manual field-by-field</x:v>
      </x:c>
      <x:c r="H1577" s="35" t="str">
        <x:v>Fill, save, reload, edit, and validate every declared field on features/auth/forgot_password_screen.dart</x:v>
      </x:c>
      <x:c r="I1577" s="35" t="str">
        <x:v>FLD-0842</x:v>
      </x:c>
      <x:c r="J1577" s="35" t="str"/>
      <x:c r="K1577" s="35" t="str"/>
      <x:c r="L1577" s="35" t="str">
        <x:v>Use the source-derived Field Inventory. Enter non-default realistic values in every control (_emailController); submit; reload or relaunch; compare every value; edit each mutable field; verify the paired client; then run required, format, length, range, boundary, optional-null, and stale-submit checks.</x:v>
      </x:c>
      <x:c r="M1577" s="35" t="str">
        <x:v>All 1 inventoried controls persist exact normalized values, invalid values stay unsaved with clear errors, and hidden/unauthorized fields cannot be altered.</x:v>
      </x:c>
      <x:c r="N1577" s="35" t="str">
        <x:v>Before/after form screenshots; FLD IDs; API response; reloaded UI; paired-client read-back; database/audit evidence; negative validation result.</x:v>
      </x:c>
      <x:c r="O1577" s="35" t="str">
        <x:v>Use a duplicate submit and one simulated network interruption; one atomic mutation or none, never partial state.</x:v>
      </x:c>
      <x:c r="P1577" s="35" t="str">
        <x:v>All expected records and amounts match; no unexplained error or stale state.</x:v>
      </x:c>
    </x:row>
    <x:row r="1578">
      <x:c r="A1578" s="20" t="str">
        <x:v>RUN-20271012-07</x:v>
      </x:c>
      <x:c r="B1578" s="23" t="n">
        <x:v>46672</x:v>
      </x:c>
      <x:c r="C1578" s="32" t="n">
        <x:v>7</x:v>
      </x:c>
      <x:c r="D1578" s="20" t="str">
        <x:v>Lifecycle certification</x:v>
      </x:c>
      <x:c r="E1578" s="20" t="str">
        <x:v>Property Manager</x:v>
      </x:c>
      <x:c r="F1578" s="20" t="str">
        <x:v>Web + Mobile</x:v>
      </x:c>
      <x:c r="G1578" s="20" t="str">
        <x:v>Manual + scan/attachment where supported</x:v>
      </x:c>
      <x:c r="H1578" s="35" t="str">
        <x:v>Complete the full create/read/edit/lifecycle/delete-safe pass for Turnover</x:v>
      </x:c>
      <x:c r="I1578" s="35" t="str">
        <x:v>CRUD-027</x:v>
      </x:c>
      <x:c r="J1578" s="35" t="str"/>
      <x:c r="K1578" s="35" t="str"/>
      <x:c r="L1578" s="35" t="str">
        <x:v>Use a dedicated disposable QA record and execute: open; edit tasks/date; create work; mark ready; close; historical read. Fill every field referenced by field-inventory.csv. Verify confirmation copy, cancel path, final path, reload, other-client state, history, and role denial.</x:v>
      </x:c>
      <x:c r="M1578" s="35" t="str">
        <x:v>Every supported transition succeeds exactly once; forbidden destructive actions are guarded; reversible deletion/deactivation works; financial and historical truth is preserved.</x:v>
      </x:c>
      <x:c r="N1578" s="35" t="str">
        <x:v>Entity before/after; both clients; all FLD IDs; audit/history; notifications; authorized and unauthorized personas; API/DB state.</x:v>
      </x:c>
      <x:c r="O1578" s="35" t="str">
        <x:v>Cancel the first destructive confirmation, then repeat and confirm; retry the mutation once; no double transition or orphan.</x:v>
      </x:c>
      <x:c r="P1578" s="35" t="str">
        <x:v>All expected records and amounts match; no unexplained error or stale state.</x:v>
      </x:c>
    </x:row>
    <x:row r="1579">
      <x:c r="A1579" s="20" t="str">
        <x:v>RUN-20271012-08</x:v>
      </x:c>
      <x:c r="B1579" s="23" t="n">
        <x:v>46672</x:v>
      </x:c>
      <x:c r="C1579" s="32" t="n">
        <x:v>8</x:v>
      </x:c>
      <x:c r="D1579" s="20" t="str">
        <x:v>Surface coverage</x:v>
      </x:c>
      <x:c r="E1579" s="20" t="str">
        <x:v>Role appropriate to surface</x:v>
      </x:c>
      <x:c r="F1579" s="20" t="str">
        <x:v>Mobile</x:v>
      </x:c>
      <x:c r="G1579" s="20" t="str">
        <x:v>Manual</x:v>
      </x:c>
      <x:c r="H1579" s="35" t="str">
        <x:v>Manual mobile pass: Voice intake and assistant actions</x:v>
      </x:c>
      <x:c r="I1579" s="35" t="str">
        <x:v>COV-036</x:v>
      </x:c>
      <x:c r="J1579" s="35" t="str"/>
      <x:c r="K1579" s="35" t="str"/>
      <x:c r="L1579" s="35" t="str">
        <x:v>Record maintenance/payment/expense intents, review proposed action, confirm/cancel, and verify no save before confirmation.</x:v>
      </x:c>
      <x:c r="M1579" s="35" t="str">
        <x:v>The supported workflow completes and persists correctly; if the capability is absent, the exact gap is proven and queued rather than silently skipped.</x:v>
      </x:c>
      <x:c r="N1579" s="35" t="str">
        <x:v>Real UI screenshot/state; submitted values; persisted read-back; cross-client read-back; audit/role/access evidence.</x:v>
      </x:c>
      <x:c r="O1579" s="35" t="str">
        <x:v>Use one invalid value, stale-state retry, or duplicate submission relevant to the form; no partial or duplicate mutation.</x:v>
      </x:c>
      <x:c r="P1579" s="35" t="str">
        <x:v>All expected records and amounts match; no unexplained error or stale state.</x:v>
      </x:c>
    </x:row>
    <x:row r="1580">
      <x:c r="A1580" s="20" t="str">
        <x:v>RUN-20271013-01</x:v>
      </x:c>
      <x:c r="B1580" s="23" t="n">
        <x:v>46673</x:v>
      </x:c>
      <x:c r="C1580" s="32" t="n">
        <x:v>1</x:v>
      </x:c>
      <x:c r="D1580" s="20" t="str">
        <x:v>Role and screen certification</x:v>
      </x:c>
      <x:c r="E1580" s="20" t="str">
        <x:v>Applicant / public user</x:v>
      </x:c>
      <x:c r="F1580" s="20" t="str">
        <x:v>Mobile</x:v>
      </x:c>
      <x:c r="G1580" s="20" t="str">
        <x:v>Normal persona navigation</x:v>
      </x:c>
      <x:c r="H1580" s="35" t="str">
        <x:v>Use every permitted action and state on features/owner_reports/owner_reports_screen.dart</x:v>
      </x:c>
      <x:c r="I1580" s="35" t="str">
        <x:v>SCR-154; ROLE-262</x:v>
      </x:c>
      <x:c r="J1580" s="35" t="str"/>
      <x:c r="K1580" s="35" t="str"/>
      <x:c r="L158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80" s="35" t="str">
        <x:v>The persona can use every allowed action with only its assigned properties/relationships. Hidden or disabled actions explain why; an adjacent unauthorized persona is denied without metadata leakage.</x:v>
      </x:c>
      <x:c r="N1580" s="35" t="str">
        <x:v>Persona/experience; navigation entry; desktop or device screenshots; result state; persisted read-back; audit/history; authorized and denied network result.</x:v>
      </x:c>
      <x:c r="O1580" s="35" t="str">
        <x:v>Open the direct URL or deep link with an adjacent unauthorized persona and with stale scope; both fail closed and land safely without mutation.</x:v>
      </x:c>
      <x:c r="P1580" s="35" t="str">
        <x:v>All expected records and amounts match; no unexplained error or stale state.</x:v>
      </x:c>
    </x:row>
    <x:row r="1581">
      <x:c r="A1581" s="20" t="str">
        <x:v>RUN-20271013-02</x:v>
      </x:c>
      <x:c r="B1581" s="23" t="n">
        <x:v>46673</x:v>
      </x:c>
      <x:c r="C1581" s="32" t="n">
        <x:v>2</x:v>
      </x:c>
      <x:c r="D1581" s="20" t="str">
        <x:v>Field certification</x:v>
      </x:c>
      <x:c r="E1581" s="20" t="str">
        <x:v>Applicant / public user</x:v>
      </x:c>
      <x:c r="F1581" s="20" t="str">
        <x:v>Mobile</x:v>
      </x:c>
      <x:c r="G1581" s="20" t="str">
        <x:v>Manual field-by-field</x:v>
      </x:c>
      <x:c r="H1581" s="35" t="str">
        <x:v>Fill, save, reload, edit, and validate every declared field on features/auth/login_screen.dart</x:v>
      </x:c>
      <x:c r="I1581" s="35" t="str">
        <x:v>FLD-0843; FLD-0844</x:v>
      </x:c>
      <x:c r="J1581" s="35" t="str"/>
      <x:c r="K1581" s="35" t="str"/>
      <x:c r="L1581" s="35" t="str">
        <x:v>Use the source-derived Field Inventory. Enter non-default realistic values in every control (_emailController; _passwordController); submit; reload or relaunch; compare every value; edit each mutable field; verify the paired client; then run required, format, length, range, boundary, optional-null, and stale-submit checks.</x:v>
      </x:c>
      <x:c r="M1581" s="35" t="str">
        <x:v>All 2 inventoried controls persist exact normalized values, invalid values stay unsaved with clear errors, and hidden/unauthorized fields cannot be altered.</x:v>
      </x:c>
      <x:c r="N1581" s="35" t="str">
        <x:v>Before/after form screenshots; FLD IDs; API response; reloaded UI; paired-client read-back; database/audit evidence; negative validation result.</x:v>
      </x:c>
      <x:c r="O1581" s="35" t="str">
        <x:v>Use a duplicate submit and one simulated network interruption; one atomic mutation or none, never partial state.</x:v>
      </x:c>
      <x:c r="P1581" s="35" t="str">
        <x:v>All expected records and amounts match; no unexplained error or stale state.</x:v>
      </x:c>
    </x:row>
    <x:row r="1582">
      <x:c r="A1582" s="20" t="str">
        <x:v>RUN-20271013-03</x:v>
      </x:c>
      <x:c r="B1582" s="23" t="n">
        <x:v>46673</x:v>
      </x:c>
      <x:c r="C1582" s="32" t="n">
        <x:v>3</x:v>
      </x:c>
      <x:c r="D1582" s="20" t="str">
        <x:v>Field certification</x:v>
      </x:c>
      <x:c r="E1582" s="20" t="str">
        <x:v>Applicant / public user</x:v>
      </x:c>
      <x:c r="F1582" s="20" t="str">
        <x:v>Mobile</x:v>
      </x:c>
      <x:c r="G1582" s="20" t="str">
        <x:v>Manual field-by-field</x:v>
      </x:c>
      <x:c r="H1582" s="35" t="str">
        <x:v>Fill, save, reload, edit, and validate every declared field on features/auth/register_screen.dart</x:v>
      </x:c>
      <x:c r="I1582" s="35" t="str">
        <x:v>FLD-0845; FLD-0846</x:v>
      </x:c>
      <x:c r="J1582" s="35" t="str"/>
      <x:c r="K1582" s="35" t="str"/>
      <x:c r="L1582" s="35" t="str">
        <x:v>Use the source-derived Field Inventory. Enter non-default realistic values in every control (_nameController; _emailController); submit; reload or relaunch; compare every value; edit each mutable field; verify the paired client; then run required, format, length, range, boundary, optional-null, and stale-submit checks.</x:v>
      </x:c>
      <x:c r="M1582" s="35" t="str">
        <x:v>All 2 inventoried controls persist exact normalized values, invalid values stay unsaved with clear errors, and hidden/unauthorized fields cannot be altered.</x:v>
      </x:c>
      <x:c r="N1582" s="35" t="str">
        <x:v>Before/after form screenshots; FLD IDs; API response; reloaded UI; paired-client read-back; database/audit evidence; negative validation result.</x:v>
      </x:c>
      <x:c r="O1582" s="35" t="str">
        <x:v>Use a duplicate submit and one simulated network interruption; one atomic mutation or none, never partial state.</x:v>
      </x:c>
      <x:c r="P1582" s="35" t="str">
        <x:v>All expected records and amounts match; no unexplained error or stale state.</x:v>
      </x:c>
    </x:row>
    <x:row r="1583">
      <x:c r="A1583" s="20" t="str">
        <x:v>RUN-20271013-04</x:v>
      </x:c>
      <x:c r="B1583" s="23" t="n">
        <x:v>46673</x:v>
      </x:c>
      <x:c r="C1583" s="32" t="n">
        <x:v>4</x:v>
      </x:c>
      <x:c r="D1583" s="20" t="str">
        <x:v>Surface coverage</x:v>
      </x:c>
      <x:c r="E1583" s="20" t="str">
        <x:v>Role appropriate to surface</x:v>
      </x:c>
      <x:c r="F1583" s="20" t="str">
        <x:v>Web</x:v>
      </x:c>
      <x:c r="G1583" s="20" t="str">
        <x:v>Scan/attachment</x:v>
      </x:c>
      <x:c r="H1583" s="35" t="str">
        <x:v>Scan web pass: Voice intake and assistant actions</x:v>
      </x:c>
      <x:c r="I1583" s="35" t="str">
        <x:v>COV-036</x:v>
      </x:c>
      <x:c r="J1583" s="35" t="str"/>
      <x:c r="K1583" s="35" t="str"/>
      <x:c r="L1583" s="35" t="str">
        <x:v>Record maintenance/payment/expense intents, review proposed action, confirm/cancel, and verify no save before confirmation.</x:v>
      </x:c>
      <x:c r="M1583" s="35" t="str">
        <x:v>The supported workflow completes and persists correctly; if the capability is absent, the exact gap is proven and queued rather than silently skipped.</x:v>
      </x:c>
      <x:c r="N1583" s="35" t="str">
        <x:v>Real UI screenshot/state; submitted values; persisted read-back; cross-client read-back; audit/role/access evidence.</x:v>
      </x:c>
      <x:c r="O1583" s="35" t="str">
        <x:v>Use one invalid value, stale-state retry, or duplicate submission relevant to the form; no partial or duplicate mutation.</x:v>
      </x:c>
      <x:c r="P1583" s="35" t="str">
        <x:v>All expected records and amounts match; no unexplained error or stale state.</x:v>
      </x:c>
    </x:row>
    <x:row r="1584">
      <x:c r="A1584" s="20" t="str">
        <x:v>RUN-20271014-01</x:v>
      </x:c>
      <x:c r="B1584" s="23" t="n">
        <x:v>46674</x:v>
      </x:c>
      <x:c r="C1584" s="32" t="n">
        <x:v>1</x:v>
      </x:c>
      <x:c r="D1584" s="20" t="str">
        <x:v>Role and screen certification</x:v>
      </x:c>
      <x:c r="E1584" s="20" t="str">
        <x:v>Applicant / public user</x:v>
      </x:c>
      <x:c r="F1584" s="20" t="str">
        <x:v>Mobile</x:v>
      </x:c>
      <x:c r="G1584" s="20" t="str">
        <x:v>Normal persona navigation</x:v>
      </x:c>
      <x:c r="H1584" s="35" t="str">
        <x:v>Use every permitted action and state on features/owners/owner_detail_screen.dart</x:v>
      </x:c>
      <x:c r="I1584" s="35" t="str">
        <x:v>SCR-155; ROLE-263</x:v>
      </x:c>
      <x:c r="J1584" s="35" t="str"/>
      <x:c r="K1584" s="35" t="str"/>
      <x:c r="L158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584" s="35" t="str">
        <x:v>The persona can use every allowed action with only its assigned properties/relationships. Hidden or disabled actions explain why; an adjacent unauthorized persona is denied without metadata leakage.</x:v>
      </x:c>
      <x:c r="N1584" s="35" t="str">
        <x:v>Persona/experience; navigation entry; desktop or device screenshots; result state; persisted read-back; audit/history; authorized and denied network result.</x:v>
      </x:c>
      <x:c r="O1584" s="35" t="str">
        <x:v>Open the direct URL or deep link with an adjacent unauthorized persona and with stale scope; both fail closed and land safely without mutation.</x:v>
      </x:c>
      <x:c r="P1584" s="35" t="str">
        <x:v>All expected records and amounts match; no unexplained error or stale state.</x:v>
      </x:c>
    </x:row>
    <x:row r="1585">
      <x:c r="A1585" s="20" t="str">
        <x:v>RUN-20271014-02</x:v>
      </x:c>
      <x:c r="B1585" s="23" t="n">
        <x:v>46674</x:v>
      </x:c>
      <x:c r="C1585" s="32" t="n">
        <x:v>2</x:v>
      </x:c>
      <x:c r="D1585" s="20" t="str">
        <x:v>Field certification</x:v>
      </x:c>
      <x:c r="E1585" s="20" t="str">
        <x:v>Applicant / public user</x:v>
      </x:c>
      <x:c r="F1585" s="20" t="str">
        <x:v>Mobile</x:v>
      </x:c>
      <x:c r="G1585" s="20" t="str">
        <x:v>Manual field-by-field</x:v>
      </x:c>
      <x:c r="H1585" s="35" t="str">
        <x:v>Fill, save, reload, edit, and validate every declared field on features/auth/register_screen.dart</x:v>
      </x:c>
      <x:c r="I1585" s="35" t="str">
        <x:v>FLD-0847; FLD-0848</x:v>
      </x:c>
      <x:c r="J1585" s="35" t="str"/>
      <x:c r="K1585" s="35" t="str"/>
      <x:c r="L1585" s="35" t="str">
        <x:v>Use the source-derived Field Inventory. Enter non-default realistic values in every control (_passwordController; _confirmController); submit; reload or relaunch; compare every value; edit each mutable field; verify the paired client; then run required, format, length, range, boundary, optional-null, and stale-submit checks.</x:v>
      </x:c>
      <x:c r="M1585" s="35" t="str">
        <x:v>All 2 inventoried controls persist exact normalized values, invalid values stay unsaved with clear errors, and hidden/unauthorized fields cannot be altered.</x:v>
      </x:c>
      <x:c r="N1585" s="35" t="str">
        <x:v>Before/after form screenshots; FLD IDs; API response; reloaded UI; paired-client read-back; database/audit evidence; negative validation result.</x:v>
      </x:c>
      <x:c r="O1585" s="35" t="str">
        <x:v>Use a duplicate submit and one simulated network interruption; one atomic mutation or none, never partial state.</x:v>
      </x:c>
      <x:c r="P1585" s="35" t="str">
        <x:v>All expected records and amounts match; no unexplained error or stale state.</x:v>
      </x:c>
    </x:row>
    <x:row r="1586">
      <x:c r="A1586" s="20" t="str">
        <x:v>RUN-20271014-03</x:v>
      </x:c>
      <x:c r="B1586" s="23" t="n">
        <x:v>46674</x:v>
      </x:c>
      <x:c r="C1586" s="32" t="n">
        <x:v>3</x:v>
      </x:c>
      <x:c r="D1586" s="20" t="str">
        <x:v>Field certification</x:v>
      </x:c>
      <x:c r="E1586" s="20" t="str">
        <x:v>Applicant / public user</x:v>
      </x:c>
      <x:c r="F1586" s="20" t="str">
        <x:v>Mobile</x:v>
      </x:c>
      <x:c r="G1586" s="20" t="str">
        <x:v>Manual field-by-field</x:v>
      </x:c>
      <x:c r="H1586" s="35" t="str">
        <x:v>Fill, save, reload, edit, and validate every declared field on features/auth/reset_password_screen.dart</x:v>
      </x:c>
      <x:c r="I1586" s="35" t="str">
        <x:v>FLD-0849; FLD-0850</x:v>
      </x:c>
      <x:c r="J1586" s="35" t="str"/>
      <x:c r="K1586" s="35" t="str"/>
      <x:c r="L1586" s="35" t="str">
        <x:v>Use the source-derived Field Inventory. Enter non-default realistic values in every control (_passwordController; _confirmController); submit; reload or relaunch; compare every value; edit each mutable field; verify the paired client; then run required, format, length, range, boundary, optional-null, and stale-submit checks.</x:v>
      </x:c>
      <x:c r="M1586" s="35" t="str">
        <x:v>All 2 inventoried controls persist exact normalized values, invalid values stay unsaved with clear errors, and hidden/unauthorized fields cannot be altered.</x:v>
      </x:c>
      <x:c r="N1586" s="35" t="str">
        <x:v>Before/after form screenshots; FLD IDs; API response; reloaded UI; paired-client read-back; database/audit evidence; negative validation result.</x:v>
      </x:c>
      <x:c r="O1586" s="35" t="str">
        <x:v>Use a duplicate submit and one simulated network interruption; one atomic mutation or none, never partial state.</x:v>
      </x:c>
      <x:c r="P1586" s="35" t="str">
        <x:v>All expected records and amounts match; no unexplained error or stale state.</x:v>
      </x:c>
    </x:row>
    <x:row r="1587">
      <x:c r="A1587" s="20" t="str">
        <x:v>RUN-20271014-04</x:v>
      </x:c>
      <x:c r="B1587" s="23" t="n">
        <x:v>46674</x:v>
      </x:c>
      <x:c r="C1587" s="32" t="n">
        <x:v>4</x:v>
      </x:c>
      <x:c r="D1587" s="20" t="str">
        <x:v>Field certification</x:v>
      </x:c>
      <x:c r="E1587" s="20" t="str">
        <x:v>Applicant / public user</x:v>
      </x:c>
      <x:c r="F1587" s="20" t="str">
        <x:v>Mobile</x:v>
      </x:c>
      <x:c r="G1587" s="20" t="str">
        <x:v>Manual field-by-field</x:v>
      </x:c>
      <x:c r="H1587" s="35" t="str">
        <x:v>Fill, save, reload, edit, and validate every declared field on features/banking/banking_screen.dart</x:v>
      </x:c>
      <x:c r="I1587" s="35" t="str">
        <x:v>FLD-0851</x:v>
      </x:c>
      <x:c r="J1587" s="35" t="str"/>
      <x:c r="K1587" s="35" t="str"/>
      <x:c r="L1587" s="35" t="str">
        <x:v>Use the source-derived Field Inventory. Enter non-default realistic values in every control (Property route); submit; reload or relaunch; compare every value; edit each mutable field; verify the paired client; then run required, format, length, range, boundary, optional-null, and stale-submit checks.</x:v>
      </x:c>
      <x:c r="M1587" s="35" t="str">
        <x:v>All 1 inventoried controls persist exact normalized values, invalid values stay unsaved with clear errors, and hidden/unauthorized fields cannot be altered.</x:v>
      </x:c>
      <x:c r="N1587" s="35" t="str">
        <x:v>Before/after form screenshots; FLD IDs; API response; reloaded UI; paired-client read-back; database/audit evidence; negative validation result.</x:v>
      </x:c>
      <x:c r="O1587" s="35" t="str">
        <x:v>Use a duplicate submit and one simulated network interruption; one atomic mutation or none, never partial state.</x:v>
      </x:c>
      <x:c r="P1587" s="35" t="str">
        <x:v>All expected records and amounts match; no unexplained error or stale state.</x:v>
      </x:c>
    </x:row>
    <x:row r="1588">
      <x:c r="A1588" s="20" t="str">
        <x:v>RUN-20271014-05</x:v>
      </x:c>
      <x:c r="B1588" s="23" t="n">
        <x:v>46674</x:v>
      </x:c>
      <x:c r="C1588" s="32" t="n">
        <x:v>5</x:v>
      </x:c>
      <x:c r="D1588" s="20" t="str">
        <x:v>Notification certification</x:v>
      </x:c>
      <x:c r="E1588" s="20" t="str">
        <x:v>Uploader</x:v>
      </x:c>
      <x:c r="F1588" s="20" t="str">
        <x:v>Web + Mobile</x:v>
      </x:c>
      <x:c r="G1588" s="20" t="str">
        <x:v>System event + preference/manual verification</x:v>
      </x:c>
      <x:c r="H1588" s="35" t="str">
        <x:v>Trigger and prove notification: Expense scan extraction complete/failed</x:v>
      </x:c>
      <x:c r="I1588" s="35" t="str">
        <x:v>NTF-039</x:v>
      </x:c>
      <x:c r="J1588" s="35" t="str"/>
      <x:c r="K1588" s="35" t="str"/>
      <x:c r="L1588" s="35" t="str">
        <x:v>Set each recipient's preferences; trigger the real business event; inspect routing and recipient scope; verify unread badge, list item, safe preview, scan draft deep link, mark-read sync, configured channel outcome, provider failure/retry, and duplicate suppression.</x:v>
      </x:c>
      <x:c r="M1588" s="35" t="str">
        <x:v>Exactly the intended recipients receive one correctly routed notification; disabled optional channels stay silent; deep link opens authorized context; read state synchronizes.</x:v>
      </x:c>
      <x:c r="N1588" s="35" t="str">
        <x:v>Trigger record; routing decision; outbox/delivery status; web/mobile inbox; lock-screen-safe copy; deep-link target; audit/provider retry evidence.</x:v>
      </x:c>
      <x:c r="O1588" s="35" t="str">
        <x:v>Re-run the worker and deliver a duplicate provider callback; no duplicate user-visible event. Attempt the deep link as an unauthorized adjacent role.</x:v>
      </x:c>
      <x:c r="P1588" s="35" t="str">
        <x:v>All expected records and amounts match; no unexplained error or stale state.</x:v>
      </x:c>
    </x:row>
    <x:row r="1589">
      <x:c r="A1589" s="20" t="str">
        <x:v>RUN-20271014-06</x:v>
      </x:c>
      <x:c r="B1589" s="23" t="n">
        <x:v>46674</x:v>
      </x:c>
      <x:c r="C1589" s="32" t="n">
        <x:v>6</x:v>
      </x:c>
      <x:c r="D1589" s="20" t="str">
        <x:v>Surface coverage</x:v>
      </x:c>
      <x:c r="E1589" s="20" t="str">
        <x:v>Role appropriate to surface</x:v>
      </x:c>
      <x:c r="F1589" s="20" t="str">
        <x:v>Mobile</x:v>
      </x:c>
      <x:c r="G1589" s="20" t="str">
        <x:v>Scan/attachment</x:v>
      </x:c>
      <x:c r="H1589" s="35" t="str">
        <x:v>Scan mobile pass: Voice intake and assistant actions</x:v>
      </x:c>
      <x:c r="I1589" s="35" t="str">
        <x:v>COV-036</x:v>
      </x:c>
      <x:c r="J1589" s="35" t="str"/>
      <x:c r="K1589" s="35" t="str"/>
      <x:c r="L1589" s="35" t="str">
        <x:v>Record maintenance/payment/expense intents, review proposed action, confirm/cancel, and verify no save before confirmation.</x:v>
      </x:c>
      <x:c r="M1589" s="35" t="str">
        <x:v>The supported workflow completes and persists correctly; if the capability is absent, the exact gap is proven and queued rather than silently skipped.</x:v>
      </x:c>
      <x:c r="N1589" s="35" t="str">
        <x:v>Real UI screenshot/state; submitted values; persisted read-back; cross-client read-back; audit/role/access evidence.</x:v>
      </x:c>
      <x:c r="O1589" s="35" t="str">
        <x:v>Use one invalid value, stale-state retry, or duplicate submission relevant to the form; no partial or duplicate mutation.</x:v>
      </x:c>
      <x:c r="P1589" s="35" t="str">
        <x:v>All expected records and amounts match; no unexplained error or stale state.</x:v>
      </x:c>
    </x:row>
    <x:row r="1590">
      <x:c r="A1590" s="20" t="str">
        <x:v>RUN-20271015-01</x:v>
      </x:c>
      <x:c r="B1590" s="23" t="n">
        <x:v>46675</x:v>
      </x:c>
      <x:c r="C1590" s="32" t="n">
        <x:v>1</x:v>
      </x:c>
      <x:c r="D1590" s="20" t="str">
        <x:v>Weekly operations</x:v>
      </x:c>
      <x:c r="E1590" s="20" t="str">
        <x:v>Property Manager</x:v>
      </x:c>
      <x:c r="F1590" s="20" t="str">
        <x:v>Mobile</x:v>
      </x:c>
      <x:c r="G1590" s="20" t="str">
        <x:v>Scanned receipt/invoice</x:v>
      </x:c>
      <x:c r="H1590" s="35" t="str">
        <x:v>Record, review, allocate, and pay operating expense</x:v>
      </x:c>
      <x:c r="I1590" s="35" t="str">
        <x:v>P021; Property scope; </x:v>
      </x:c>
      <x:c r="J1590" s="35" t="str">
        <x:v>SCN-0702</x:v>
      </x:c>
      <x:c r="K1590" s="35" t="str">
        <x:v>FIN-01394</x:v>
      </x:c>
      <x:c r="L1590" s="35" t="str">
        <x:v>Capture or upload the source; verify vendor, date, scope, category, line items, tax, amount, and work-order link; confirm; open detail; verify attachment; compare Money and Property/Unit views.</x:v>
      </x:c>
      <x:c r="M1590" s="35" t="str">
        <x:v>One expense exists at its real operational scope, cash falls once, Schedule E category and allocations agree, and no per-unit copies are created.</x:v>
      </x:c>
      <x:c r="N1590" s="35" t="str">
        <x:v>Source preview; review/form; expense detail; line items; Property/Unit ledger; audit; accounting/report delta.</x:v>
      </x:c>
      <x:c r="O1590" s="35" t="str">
        <x:v>On marked duplicate-invoice cases, re-upload before confirm and prove the product prevents or clearly warns about duplication.</x:v>
      </x:c>
      <x:c r="P1590" s="35" t="str">
        <x:v>All expected records and amounts match; no unexplained error or stale state.</x:v>
      </x:c>
    </x:row>
    <x:row r="1591">
      <x:c r="A1591" s="20" t="str">
        <x:v>RUN-20271015-02</x:v>
      </x:c>
      <x:c r="B1591" s="23" t="n">
        <x:v>46675</x:v>
      </x:c>
      <x:c r="C1591" s="32" t="n">
        <x:v>2</x:v>
      </x:c>
      <x:c r="D1591" s="20" t="str">
        <x:v>Weekly operations</x:v>
      </x:c>
      <x:c r="E1591" s="20" t="str">
        <x:v>Property Manager</x:v>
      </x:c>
      <x:c r="F1591" s="20" t="str">
        <x:v>Web</x:v>
      </x:c>
      <x:c r="G1591" s="20" t="str">
        <x:v>Scanned receipt/invoice</x:v>
      </x:c>
      <x:c r="H1591" s="35" t="str">
        <x:v>Record, review, allocate, and pay operating expense</x:v>
      </x:c>
      <x:c r="I1591" s="35" t="str">
        <x:v>P022; Property scope; </x:v>
      </x:c>
      <x:c r="J1591" s="35" t="str">
        <x:v>SCN-0703</x:v>
      </x:c>
      <x:c r="K1591" s="35" t="str">
        <x:v>FIN-01395</x:v>
      </x:c>
      <x:c r="L1591" s="35" t="str">
        <x:v>Capture or upload the source; verify vendor, date, scope, category, line items, tax, amount, and work-order link; confirm; open detail; verify attachment; compare Money and Property/Unit views.</x:v>
      </x:c>
      <x:c r="M1591" s="35" t="str">
        <x:v>One expense exists at its real operational scope, cash falls once, Schedule E category and allocations agree, and no per-unit copies are created.</x:v>
      </x:c>
      <x:c r="N1591" s="35" t="str">
        <x:v>Source preview; review/form; expense detail; line items; Property/Unit ledger; audit; accounting/report delta.</x:v>
      </x:c>
      <x:c r="O1591" s="35" t="str">
        <x:v>On marked duplicate-invoice cases, re-upload before confirm and prove the product prevents or clearly warns about duplication.</x:v>
      </x:c>
      <x:c r="P1591" s="35" t="str">
        <x:v>All expected records and amounts match; no unexplained error or stale state.</x:v>
      </x:c>
    </x:row>
    <x:row r="1592">
      <x:c r="A1592" s="20" t="str">
        <x:v>RUN-20271015-03</x:v>
      </x:c>
      <x:c r="B1592" s="23" t="n">
        <x:v>46675</x:v>
      </x:c>
      <x:c r="C1592" s="32" t="n">
        <x:v>3</x:v>
      </x:c>
      <x:c r="D1592" s="20" t="str">
        <x:v>Weekly operations</x:v>
      </x:c>
      <x:c r="E1592" s="20" t="str">
        <x:v>Property Manager</x:v>
      </x:c>
      <x:c r="F1592" s="20" t="str">
        <x:v>Mobile</x:v>
      </x:c>
      <x:c r="G1592" s="20" t="str">
        <x:v>Scanned receipt/invoice</x:v>
      </x:c>
      <x:c r="H1592" s="35" t="str">
        <x:v>Record, review, allocate, and pay operating expense</x:v>
      </x:c>
      <x:c r="I1592" s="35" t="str">
        <x:v>P023; Property scope; </x:v>
      </x:c>
      <x:c r="J1592" s="35" t="str">
        <x:v>SCN-0704</x:v>
      </x:c>
      <x:c r="K1592" s="35" t="str">
        <x:v>FIN-01396</x:v>
      </x:c>
      <x:c r="L1592" s="35" t="str">
        <x:v>Capture or upload the source; verify vendor, date, scope, category, line items, tax, amount, and work-order link; confirm; open detail; verify attachment; compare Money and Property/Unit views.</x:v>
      </x:c>
      <x:c r="M1592" s="35" t="str">
        <x:v>One expense exists at its real operational scope, cash falls once, Schedule E category and allocations agree, and no per-unit copies are created.</x:v>
      </x:c>
      <x:c r="N1592" s="35" t="str">
        <x:v>Source preview; review/form; expense detail; line items; Property/Unit ledger; audit; accounting/report delta.</x:v>
      </x:c>
      <x:c r="O1592" s="35" t="str">
        <x:v>On marked duplicate-invoice cases, re-upload before confirm and prove the product prevents or clearly warns about duplication.</x:v>
      </x:c>
      <x:c r="P1592" s="35" t="str">
        <x:v>All expected records and amounts match; no unexplained error or stale state.</x:v>
      </x:c>
    </x:row>
    <x:row r="1593">
      <x:c r="A1593" s="20" t="str">
        <x:v>RUN-20271015-04</x:v>
      </x:c>
      <x:c r="B1593" s="23" t="n">
        <x:v>46675</x:v>
      </x:c>
      <x:c r="C1593" s="32" t="n">
        <x:v>4</x:v>
      </x:c>
      <x:c r="D1593" s="20" t="str">
        <x:v>Weekly operations</x:v>
      </x:c>
      <x:c r="E1593" s="20" t="str">
        <x:v>Property Manager</x:v>
      </x:c>
      <x:c r="F1593" s="20" t="str">
        <x:v>Web</x:v>
      </x:c>
      <x:c r="G1593" s="20" t="str">
        <x:v>Scanned receipt/invoice</x:v>
      </x:c>
      <x:c r="H1593" s="35" t="str">
        <x:v>Record, review, allocate, and pay operating expense</x:v>
      </x:c>
      <x:c r="I1593" s="35" t="str">
        <x:v>P024; Property scope; </x:v>
      </x:c>
      <x:c r="J1593" s="35" t="str">
        <x:v>SCN-0705</x:v>
      </x:c>
      <x:c r="K1593" s="35" t="str">
        <x:v>FIN-01397</x:v>
      </x:c>
      <x:c r="L1593" s="35" t="str">
        <x:v>Capture or upload the source; verify vendor, date, scope, category, line items, tax, amount, and work-order link; confirm; open detail; verify attachment; compare Money and Property/Unit views.</x:v>
      </x:c>
      <x:c r="M1593" s="35" t="str">
        <x:v>One expense exists at its real operational scope, cash falls once, Schedule E category and allocations agree, and no per-unit copies are created.</x:v>
      </x:c>
      <x:c r="N1593" s="35" t="str">
        <x:v>Source preview; review/form; expense detail; line items; Property/Unit ledger; audit; accounting/report delta.</x:v>
      </x:c>
      <x:c r="O1593" s="35" t="str">
        <x:v>On marked duplicate-invoice cases, re-upload before confirm and prove the product prevents or clearly warns about duplication.</x:v>
      </x:c>
      <x:c r="P1593" s="35" t="str">
        <x:v>All expected records and amounts match; no unexplained error or stale state.</x:v>
      </x:c>
    </x:row>
    <x:row r="1594">
      <x:c r="A1594" s="20" t="str">
        <x:v>RUN-20271015-05</x:v>
      </x:c>
      <x:c r="B1594" s="23" t="n">
        <x:v>46675</x:v>
      </x:c>
      <x:c r="C1594" s="32" t="n">
        <x:v>5</x:v>
      </x:c>
      <x:c r="D1594" s="20" t="str">
        <x:v>Weekly operations</x:v>
      </x:c>
      <x:c r="E1594" s="20" t="str">
        <x:v>Property Manager</x:v>
      </x:c>
      <x:c r="F1594" s="20" t="str">
        <x:v>Mobile</x:v>
      </x:c>
      <x:c r="G1594" s="20" t="str">
        <x:v>Manual web form</x:v>
      </x:c>
      <x:c r="H1594" s="35" t="str">
        <x:v>Record, review, allocate, and pay operating expense</x:v>
      </x:c>
      <x:c r="I1594" s="35" t="str">
        <x:v>P025; Property scope; </x:v>
      </x:c>
      <x:c r="J1594" s="35" t="str"/>
      <x:c r="K1594" s="35" t="str">
        <x:v>FIN-01398</x:v>
      </x:c>
      <x:c r="L1594" s="35" t="str">
        <x:v>Capture or upload the source; verify vendor, date, scope, category, line items, tax, amount, and work-order link; confirm; open detail; verify attachment; compare Money and Property/Unit views.</x:v>
      </x:c>
      <x:c r="M1594" s="35" t="str">
        <x:v>One expense exists at its real operational scope, cash falls once, Schedule E category and allocations agree, and no per-unit copies are created.</x:v>
      </x:c>
      <x:c r="N1594" s="35" t="str">
        <x:v>Source preview; review/form; expense detail; line items; Property/Unit ledger; audit; accounting/report delta.</x:v>
      </x:c>
      <x:c r="O1594" s="35" t="str">
        <x:v>On marked duplicate-invoice cases, re-upload before confirm and prove the product prevents or clearly warns about duplication.</x:v>
      </x:c>
      <x:c r="P1594" s="35" t="str">
        <x:v>All expected records and amounts match; no unexplained error or stale state.</x:v>
      </x:c>
    </x:row>
    <x:row r="1595">
      <x:c r="A1595" s="20" t="str">
        <x:v>RUN-20271015-06</x:v>
      </x:c>
      <x:c r="B1595" s="23" t="n">
        <x:v>46675</x:v>
      </x:c>
      <x:c r="C1595" s="32" t="n">
        <x:v>6</x:v>
      </x:c>
      <x:c r="D1595" s="20" t="str">
        <x:v>Weekly operations</x:v>
      </x:c>
      <x:c r="E1595" s="20" t="str">
        <x:v>Property Manager</x:v>
      </x:c>
      <x:c r="F1595" s="20" t="str">
        <x:v>Web</x:v>
      </x:c>
      <x:c r="G1595" s="20" t="str">
        <x:v>Scanned receipt/invoice</x:v>
      </x:c>
      <x:c r="H1595" s="35" t="str">
        <x:v>Record, review, allocate, and pay operating expense</x:v>
      </x:c>
      <x:c r="I1595" s="35" t="str">
        <x:v>P026; Property scope; </x:v>
      </x:c>
      <x:c r="J1595" s="35" t="str">
        <x:v>SCN-0706</x:v>
      </x:c>
      <x:c r="K1595" s="35" t="str">
        <x:v>FIN-01399</x:v>
      </x:c>
      <x:c r="L1595" s="35" t="str">
        <x:v>Capture or upload the source; verify vendor, date, scope, category, line items, tax, amount, and work-order link; confirm; open detail; verify attachment; compare Money and Property/Unit views.</x:v>
      </x:c>
      <x:c r="M1595" s="35" t="str">
        <x:v>One expense exists at its real operational scope, cash falls once, Schedule E category and allocations agree, and no per-unit copies are created.</x:v>
      </x:c>
      <x:c r="N1595" s="35" t="str">
        <x:v>Source preview; review/form; expense detail; line items; Property/Unit ledger; audit; accounting/report delta.</x:v>
      </x:c>
      <x:c r="O1595" s="35" t="str">
        <x:v>On marked duplicate-invoice cases, re-upload before confirm and prove the product prevents or clearly warns about duplication.</x:v>
      </x:c>
      <x:c r="P1595" s="35" t="str">
        <x:v>All expected records and amounts match; no unexplained error or stale state.</x:v>
      </x:c>
    </x:row>
    <x:row r="1596">
      <x:c r="A1596" s="20" t="str">
        <x:v>RUN-20271015-07</x:v>
      </x:c>
      <x:c r="B1596" s="23" t="n">
        <x:v>46675</x:v>
      </x:c>
      <x:c r="C1596" s="32" t="n">
        <x:v>7</x:v>
      </x:c>
      <x:c r="D1596" s="20" t="str">
        <x:v>Weekly operations</x:v>
      </x:c>
      <x:c r="E1596" s="20" t="str">
        <x:v>Property Manager</x:v>
      </x:c>
      <x:c r="F1596" s="20" t="str">
        <x:v>Mobile</x:v>
      </x:c>
      <x:c r="G1596" s="20" t="str">
        <x:v>Scanned receipt/invoice</x:v>
      </x:c>
      <x:c r="H1596" s="35" t="str">
        <x:v>Record, review, allocate, and pay operating expense</x:v>
      </x:c>
      <x:c r="I1596" s="35" t="str">
        <x:v>P027; Property scope; </x:v>
      </x:c>
      <x:c r="J1596" s="35" t="str">
        <x:v>SCN-0707</x:v>
      </x:c>
      <x:c r="K1596" s="35" t="str">
        <x:v>FIN-01400</x:v>
      </x:c>
      <x:c r="L1596" s="35" t="str">
        <x:v>Capture or upload the source; verify vendor, date, scope, category, line items, tax, amount, and work-order link; confirm; open detail; verify attachment; compare Money and Property/Unit views.</x:v>
      </x:c>
      <x:c r="M1596" s="35" t="str">
        <x:v>One expense exists at its real operational scope, cash falls once, Schedule E category and allocations agree, and no per-unit copies are created.</x:v>
      </x:c>
      <x:c r="N1596" s="35" t="str">
        <x:v>Source preview; review/form; expense detail; line items; Property/Unit ledger; audit; accounting/report delta.</x:v>
      </x:c>
      <x:c r="O1596" s="35" t="str">
        <x:v>On marked duplicate-invoice cases, re-upload before confirm and prove the product prevents or clearly warns about duplication.</x:v>
      </x:c>
      <x:c r="P1596" s="35" t="str">
        <x:v>All expected records and amounts match; no unexplained error or stale state.</x:v>
      </x:c>
    </x:row>
    <x:row r="1597">
      <x:c r="A1597" s="20" t="str">
        <x:v>RUN-20271015-08</x:v>
      </x:c>
      <x:c r="B1597" s="23" t="n">
        <x:v>46675</x:v>
      </x:c>
      <x:c r="C1597" s="32" t="n">
        <x:v>8</x:v>
      </x:c>
      <x:c r="D1597" s="20" t="str">
        <x:v>Weekly operations</x:v>
      </x:c>
      <x:c r="E1597" s="20" t="str">
        <x:v>Property Manager</x:v>
      </x:c>
      <x:c r="F1597" s="20" t="str">
        <x:v>Web</x:v>
      </x:c>
      <x:c r="G1597" s="20" t="str">
        <x:v>Scanned receipt/invoice</x:v>
      </x:c>
      <x:c r="H1597" s="35" t="str">
        <x:v>Record, review, allocate, and pay operating expense</x:v>
      </x:c>
      <x:c r="I1597" s="35" t="str">
        <x:v>P028; Property scope; </x:v>
      </x:c>
      <x:c r="J1597" s="35" t="str">
        <x:v>SCN-0708</x:v>
      </x:c>
      <x:c r="K1597" s="35" t="str">
        <x:v>FIN-01401</x:v>
      </x:c>
      <x:c r="L1597" s="35" t="str">
        <x:v>Capture or upload the source; verify vendor, date, scope, category, line items, tax, amount, and work-order link; confirm; open detail; verify attachment; compare Money and Property/Unit views.</x:v>
      </x:c>
      <x:c r="M1597" s="35" t="str">
        <x:v>One expense exists at its real operational scope, cash falls once, Schedule E category and allocations agree, and no per-unit copies are created.</x:v>
      </x:c>
      <x:c r="N1597" s="35" t="str">
        <x:v>Source preview; review/form; expense detail; line items; Property/Unit ledger; audit; accounting/report delta.</x:v>
      </x:c>
      <x:c r="O1597" s="35" t="str">
        <x:v>On marked duplicate-invoice cases, re-upload before confirm and prove the product prevents or clearly warns about duplication.</x:v>
      </x:c>
      <x:c r="P1597" s="35" t="str">
        <x:v>All expected records and amounts match; no unexplained error or stale state.</x:v>
      </x:c>
    </x:row>
    <x:row r="1598">
      <x:c r="A1598" s="20" t="str">
        <x:v>RUN-20271015-09</x:v>
      </x:c>
      <x:c r="B1598" s="23" t="n">
        <x:v>46675</x:v>
      </x:c>
      <x:c r="C1598" s="32" t="n">
        <x:v>9</x:v>
      </x:c>
      <x:c r="D1598" s="20" t="str">
        <x:v>Weekly operations</x:v>
      </x:c>
      <x:c r="E1598" s="20" t="str">
        <x:v>Property Manager</x:v>
      </x:c>
      <x:c r="F1598" s="20" t="str">
        <x:v>Mobile</x:v>
      </x:c>
      <x:c r="G1598" s="20" t="str">
        <x:v>Scanned receipt/invoice</x:v>
      </x:c>
      <x:c r="H1598" s="35" t="str">
        <x:v>Record, review, allocate, and pay operating expense</x:v>
      </x:c>
      <x:c r="I1598" s="35" t="str">
        <x:v>P029; Property scope; </x:v>
      </x:c>
      <x:c r="J1598" s="35" t="str">
        <x:v>SCN-0709</x:v>
      </x:c>
      <x:c r="K1598" s="35" t="str">
        <x:v>FIN-01402</x:v>
      </x:c>
      <x:c r="L1598" s="35" t="str">
        <x:v>Capture or upload the source; verify vendor, date, scope, category, line items, tax, amount, and work-order link; confirm; open detail; verify attachment; compare Money and Property/Unit views.</x:v>
      </x:c>
      <x:c r="M1598" s="35" t="str">
        <x:v>One expense exists at its real operational scope, cash falls once, Schedule E category and allocations agree, and no per-unit copies are created.</x:v>
      </x:c>
      <x:c r="N1598" s="35" t="str">
        <x:v>Source preview; review/form; expense detail; line items; Property/Unit ledger; audit; accounting/report delta.</x:v>
      </x:c>
      <x:c r="O1598" s="35" t="str">
        <x:v>On marked duplicate-invoice cases, re-upload before confirm and prove the product prevents or clearly warns about duplication.</x:v>
      </x:c>
      <x:c r="P1598" s="35" t="str">
        <x:v>All expected records and amounts match; no unexplained error or stale state.</x:v>
      </x:c>
    </x:row>
    <x:row r="1599">
      <x:c r="A1599" s="20" t="str">
        <x:v>RUN-20271015-10</x:v>
      </x:c>
      <x:c r="B1599" s="23" t="n">
        <x:v>46675</x:v>
      </x:c>
      <x:c r="C1599" s="32" t="n">
        <x:v>10</x:v>
      </x:c>
      <x:c r="D1599" s="20" t="str">
        <x:v>Weekly operations</x:v>
      </x:c>
      <x:c r="E1599" s="20" t="str">
        <x:v>Property Manager</x:v>
      </x:c>
      <x:c r="F1599" s="20" t="str">
        <x:v>Web</x:v>
      </x:c>
      <x:c r="G1599" s="20" t="str">
        <x:v>Manual mobile form</x:v>
      </x:c>
      <x:c r="H1599" s="35" t="str">
        <x:v>Record, review, allocate, and pay operating expense</x:v>
      </x:c>
      <x:c r="I1599" s="35" t="str">
        <x:v>P030; Property scope; </x:v>
      </x:c>
      <x:c r="J1599" s="35" t="str"/>
      <x:c r="K1599" s="35" t="str">
        <x:v>FIN-01403</x:v>
      </x:c>
      <x:c r="L1599" s="35" t="str">
        <x:v>Capture or upload the source; verify vendor, date, scope, category, line items, tax, amount, and work-order link; confirm; open detail; verify attachment; compare Money and Property/Unit views.</x:v>
      </x:c>
      <x:c r="M1599" s="35" t="str">
        <x:v>One expense exists at its real operational scope, cash falls once, Schedule E category and allocations agree, and no per-unit copies are created.</x:v>
      </x:c>
      <x:c r="N1599" s="35" t="str">
        <x:v>Source preview; review/form; expense detail; line items; Property/Unit ledger; audit; accounting/report delta.</x:v>
      </x:c>
      <x:c r="O1599" s="35" t="str">
        <x:v>On marked duplicate-invoice cases, re-upload before confirm and prove the product prevents or clearly warns about duplication.</x:v>
      </x:c>
      <x:c r="P1599" s="35" t="str">
        <x:v>All expected records and amounts match; no unexplained error or stale state.</x:v>
      </x:c>
    </x:row>
    <x:row r="1600">
      <x:c r="A1600" s="20" t="str">
        <x:v>RUN-20271015-11</x:v>
      </x:c>
      <x:c r="B1600" s="23" t="n">
        <x:v>46675</x:v>
      </x:c>
      <x:c r="C1600" s="32" t="n">
        <x:v>11</x:v>
      </x:c>
      <x:c r="D1600" s="20" t="str">
        <x:v>Role and screen certification</x:v>
      </x:c>
      <x:c r="E1600" s="20" t="str">
        <x:v>Applicant / public user</x:v>
      </x:c>
      <x:c r="F1600" s="20" t="str">
        <x:v>Mobile</x:v>
      </x:c>
      <x:c r="G1600" s="20" t="str">
        <x:v>Normal persona navigation</x:v>
      </x:c>
      <x:c r="H1600" s="35" t="str">
        <x:v>Use every permitted action and state on features/owners/owner_form_sheet.dart</x:v>
      </x:c>
      <x:c r="I1600" s="35" t="str">
        <x:v>SCR-156; ROLE-264</x:v>
      </x:c>
      <x:c r="J1600" s="35" t="str"/>
      <x:c r="K1600" s="35" t="str"/>
      <x:c r="L160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00" s="35" t="str">
        <x:v>The persona can use every allowed action with only its assigned properties/relationships. Hidden or disabled actions explain why; an adjacent unauthorized persona is denied without metadata leakage.</x:v>
      </x:c>
      <x:c r="N1600" s="35" t="str">
        <x:v>Persona/experience; navigation entry; desktop or device screenshots; result state; persisted read-back; audit/history; authorized and denied network result.</x:v>
      </x:c>
      <x:c r="O1600" s="35" t="str">
        <x:v>Open the direct URL or deep link with an adjacent unauthorized persona and with stale scope; both fail closed and land safely without mutation.</x:v>
      </x:c>
      <x:c r="P1600" s="35" t="str">
        <x:v>All expected records and amounts match; no unexplained error or stale state.</x:v>
      </x:c>
    </x:row>
    <x:row r="1601">
      <x:c r="A1601" s="20" t="str">
        <x:v>RUN-20271015-12</x:v>
      </x:c>
      <x:c r="B1601" s="23" t="n">
        <x:v>46675</x:v>
      </x:c>
      <x:c r="C1601" s="32" t="n">
        <x:v>12</x:v>
      </x:c>
      <x:c r="D1601" s="20" t="str">
        <x:v>Field certification</x:v>
      </x:c>
      <x:c r="E1601" s="20" t="str">
        <x:v>Applicant / public user</x:v>
      </x:c>
      <x:c r="F1601" s="20" t="str">
        <x:v>Mobile</x:v>
      </x:c>
      <x:c r="G1601" s="20" t="str">
        <x:v>Manual field-by-field</x:v>
      </x:c>
      <x:c r="H1601" s="35" t="str">
        <x:v>Fill, save, reload, edit, and validate every declared field on features/deposits/deposits_screen.dart</x:v>
      </x:c>
      <x:c r="I1601" s="35" t="str">
        <x:v>FLD-0852; FLD-0853; FLD-0854; FLD-0855</x:v>
      </x:c>
      <x:c r="J1601" s="35" t="str"/>
      <x:c r="K1601" s="35" t="str"/>
      <x:c r="L1601" s="35" t="str">
        <x:v>Use the source-derived Field Inventory. Enter non-default realistic values in every control (_amount; _method; _description; _reference); submit; reload or relaunch; compare every value; edit each mutable field; verify the paired client; then run required, format, length, range, boundary, optional-null, and stale-submit checks.</x:v>
      </x:c>
      <x:c r="M1601" s="35" t="str">
        <x:v>All 4 inventoried controls persist exact normalized values, invalid values stay unsaved with clear errors, and hidden/unauthorized fields cannot be altered.</x:v>
      </x:c>
      <x:c r="N1601" s="35" t="str">
        <x:v>Before/after form screenshots; FLD IDs; API response; reloaded UI; paired-client read-back; database/audit evidence; negative validation result.</x:v>
      </x:c>
      <x:c r="O1601" s="35" t="str">
        <x:v>Use a duplicate submit and one simulated network interruption; one atomic mutation or none, never partial state.</x:v>
      </x:c>
      <x:c r="P1601" s="35" t="str">
        <x:v>All expected records and amounts match; no unexplained error or stale state.</x:v>
      </x:c>
    </x:row>
    <x:row r="1602">
      <x:c r="A1602" s="20" t="str">
        <x:v>RUN-20271016-01</x:v>
      </x:c>
      <x:c r="B1602" s="23" t="n">
        <x:v>46676</x:v>
      </x:c>
      <x:c r="C1602" s="32" t="n">
        <x:v>1</x:v>
      </x:c>
      <x:c r="D1602" s="20" t="str">
        <x:v>Lease ending</x:v>
      </x:c>
      <x:c r="E1602" s="20" t="str">
        <x:v>Property Manager</x:v>
      </x:c>
      <x:c r="F1602" s="20" t="str">
        <x:v>Web</x:v>
      </x:c>
      <x:c r="G1602" s="20" t="str">
        <x:v>Scan attachment + manual lifecycle</x:v>
      </x:c>
      <x:c r="H1602" s="35" t="str">
        <x:v>Record notice and plan lease ending</x:v>
      </x:c>
      <x:c r="I1602" s="35" t="str">
        <x:v>L034; U034</x:v>
      </x:c>
      <x:c r="J1602" s="35" t="str">
        <x:v>SCN-0945</x:v>
      </x:c>
      <x:c r="K1602" s="35" t="str"/>
      <x:c r="L1602" s="35" t="str">
        <x:v>Attach/capture the source notice; create the matching notice draft/history; record planned move-out and ending disposition; schedule inspection and turnover work.</x:v>
      </x:c>
      <x:c r="M1602" s="35" t="str">
        <x:v>Notice source, effective dates, appointment, ending facts, and Unit next action agree without ending occupancy early.</x:v>
      </x:c>
      <x:c r="N1602" s="35" t="str">
        <x:v>Notice source/preview; lease timeline; appointment; Unit summary; notification/audit.</x:v>
      </x:c>
      <x:c r="O1602" s="35" t="str">
        <x:v>Use an upload date after the document date and prove both dates remain distinct.</x:v>
      </x:c>
      <x:c r="P1602" s="35" t="str">
        <x:v>All expected records and amounts match; no unexplained error or stale state.</x:v>
      </x:c>
    </x:row>
    <x:row r="1603">
      <x:c r="A1603" s="20" t="str">
        <x:v>RUN-20271018-01</x:v>
      </x:c>
      <x:c r="B1603" s="23" t="n">
        <x:v>46678</x:v>
      </x:c>
      <x:c r="C1603" s="32" t="n">
        <x:v>1</x:v>
      </x:c>
      <x:c r="D1603" s="20" t="str">
        <x:v>Weekly operations</x:v>
      </x:c>
      <x:c r="E1603" s="20" t="str">
        <x:v>Property Manager</x:v>
      </x:c>
      <x:c r="F1603" s="20" t="str">
        <x:v>Web</x:v>
      </x:c>
      <x:c r="G1603" s="20" t="str">
        <x:v>Scan-first</x:v>
      </x:c>
      <x:c r="H1603" s="35" t="str">
        <x:v>Create and triage maintenance request</x:v>
      </x:c>
      <x:c r="I1603" s="35" t="str">
        <x:v>P015; U015; WO-2027-042</x:v>
      </x:c>
      <x:c r="J1603" s="35" t="str">
        <x:v>SCN-0421</x:v>
      </x:c>
      <x:c r="K1603" s="35" t="str"/>
      <x:c r="L1603" s="35" t="str">
        <x:v>Capture the tenant note/photo; review loose outlet; confirm; set responsibility; dispatch Metro Electric; create an appointment and verify the tenant notification.</x:v>
      </x:c>
      <x:c r="M1603" s="35" t="str">
        <x:v>Work order, status timeline, responsibility, vendor dispatch, appointment, notification, and Unit context are linked once.</x:v>
      </x:c>
      <x:c r="N1603" s="35" t="str">
        <x:v>Scan review; work order detail/timeline; dispatch; appointment; notification; tenant portal view.</x:v>
      </x:c>
      <x:c r="O1603" s="35" t="str">
        <x:v>Cancel one dispatch each quarter, reassign once, and prove status/history remains append-only.</x:v>
      </x:c>
      <x:c r="P1603" s="35" t="str">
        <x:v>All expected records and amounts match; no unexplained error or stale state.</x:v>
      </x:c>
    </x:row>
    <x:row r="1604">
      <x:c r="A1604" s="20" t="str">
        <x:v>RUN-20271018-02</x:v>
      </x:c>
      <x:c r="B1604" s="23" t="n">
        <x:v>46678</x:v>
      </x:c>
      <x:c r="C1604" s="32" t="n">
        <x:v>2</x:v>
      </x:c>
      <x:c r="D1604" s="20" t="str">
        <x:v>Weekly operations</x:v>
      </x:c>
      <x:c r="E1604" s="20" t="str">
        <x:v>Property Manager</x:v>
      </x:c>
      <x:c r="F1604" s="20" t="str">
        <x:v>Web</x:v>
      </x:c>
      <x:c r="G1604" s="20" t="str">
        <x:v>Manual mobile form</x:v>
      </x:c>
      <x:c r="H1604" s="35" t="str">
        <x:v>Record, review, allocate, and pay operating expense</x:v>
      </x:c>
      <x:c r="I1604" s="35" t="str">
        <x:v>P010; Property scope; </x:v>
      </x:c>
      <x:c r="J1604" s="35" t="str"/>
      <x:c r="K1604" s="35" t="str">
        <x:v>FIN-01545</x:v>
      </x:c>
      <x:c r="L1604" s="35" t="str">
        <x:v>Capture or upload the source; verify vendor, date, scope, category, line items, tax, amount, and work-order link; confirm; open detail; verify attachment; compare Money and Property/Unit views.</x:v>
      </x:c>
      <x:c r="M1604" s="35" t="str">
        <x:v>One expense exists at its real operational scope, cash falls once, Schedule E category and allocations agree, and no per-unit copies are created.</x:v>
      </x:c>
      <x:c r="N1604" s="35" t="str">
        <x:v>Source preview; review/form; expense detail; line items; Property/Unit ledger; audit; accounting/report delta.</x:v>
      </x:c>
      <x:c r="O1604" s="35" t="str">
        <x:v>On marked duplicate-invoice cases, re-upload before confirm and prove the product prevents or clearly warns about duplication.</x:v>
      </x:c>
      <x:c r="P1604" s="35" t="str">
        <x:v>All expected records and amounts match; no unexplained error or stale state.</x:v>
      </x:c>
    </x:row>
    <x:row r="1605">
      <x:c r="A1605" s="20" t="str">
        <x:v>RUN-20271018-03</x:v>
      </x:c>
      <x:c r="B1605" s="23" t="n">
        <x:v>46678</x:v>
      </x:c>
      <x:c r="C1605" s="32" t="n">
        <x:v>3</x:v>
      </x:c>
      <x:c r="D1605" s="20" t="str">
        <x:v>Weekly operations</x:v>
      </x:c>
      <x:c r="E1605" s="20" t="str">
        <x:v>Property Manager</x:v>
      </x:c>
      <x:c r="F1605" s="20" t="str">
        <x:v>Web</x:v>
      </x:c>
      <x:c r="G1605" s="20" t="str">
        <x:v>Scanned receipt/invoice</x:v>
      </x:c>
      <x:c r="H1605" s="35" t="str">
        <x:v>Record, review, allocate, and pay operating expense</x:v>
      </x:c>
      <x:c r="I1605" s="35" t="str">
        <x:v>P022; Property scope; </x:v>
      </x:c>
      <x:c r="J1605" s="35" t="str">
        <x:v>SCN-0874</x:v>
      </x:c>
      <x:c r="K1605" s="35" t="str">
        <x:v>FIN-01605</x:v>
      </x:c>
      <x:c r="L1605" s="35" t="str">
        <x:v>Capture or upload the source; verify vendor, date, scope, category, line items, tax, amount, and work-order link; confirm; open detail; verify attachment; compare Money and Property/Unit views.</x:v>
      </x:c>
      <x:c r="M1605" s="35" t="str">
        <x:v>One expense exists at its real operational scope, cash falls once, Schedule E category and allocations agree, and no per-unit copies are created.</x:v>
      </x:c>
      <x:c r="N1605" s="35" t="str">
        <x:v>Source preview; review/form; expense detail; line items; Property/Unit ledger; audit; accounting/report delta.</x:v>
      </x:c>
      <x:c r="O1605" s="35" t="str">
        <x:v>On marked duplicate-invoice cases, re-upload before confirm and prove the product prevents or clearly warns about duplication.</x:v>
      </x:c>
      <x:c r="P1605" s="35" t="str">
        <x:v>All expected records and amounts match; no unexplained error or stale state.</x:v>
      </x:c>
    </x:row>
    <x:row r="1606">
      <x:c r="A1606" s="20" t="str">
        <x:v>RUN-20271018-04</x:v>
      </x:c>
      <x:c r="B1606" s="23" t="n">
        <x:v>46678</x:v>
      </x:c>
      <x:c r="C1606" s="32" t="n">
        <x:v>4</x:v>
      </x:c>
      <x:c r="D1606" s="20" t="str">
        <x:v>Role and screen certification</x:v>
      </x:c>
      <x:c r="E1606" s="20" t="str">
        <x:v>Applicant / public user</x:v>
      </x:c>
      <x:c r="F1606" s="20" t="str">
        <x:v>Mobile</x:v>
      </x:c>
      <x:c r="G1606" s="20" t="str">
        <x:v>Normal persona navigation</x:v>
      </x:c>
      <x:c r="H1606" s="35" t="str">
        <x:v>Use every permitted action and state on features/owners/owners_list_screen.dart</x:v>
      </x:c>
      <x:c r="I1606" s="35" t="str">
        <x:v>SCR-157; ROLE-265</x:v>
      </x:c>
      <x:c r="J1606" s="35" t="str"/>
      <x:c r="K1606" s="35" t="str"/>
      <x:c r="L16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06" s="35" t="str">
        <x:v>The persona can use every allowed action with only its assigned properties/relationships. Hidden or disabled actions explain why; an adjacent unauthorized persona is denied without metadata leakage.</x:v>
      </x:c>
      <x:c r="N1606" s="35" t="str">
        <x:v>Persona/experience; navigation entry; desktop or device screenshots; result state; persisted read-back; audit/history; authorized and denied network result.</x:v>
      </x:c>
      <x:c r="O1606" s="35" t="str">
        <x:v>Open the direct URL or deep link with an adjacent unauthorized persona and with stale scope; both fail closed and land safely without mutation.</x:v>
      </x:c>
      <x:c r="P1606" s="35" t="str">
        <x:v>All expected records and amounts match; no unexplained error or stale state.</x:v>
      </x:c>
    </x:row>
    <x:row r="1607">
      <x:c r="A1607" s="20" t="str">
        <x:v>RUN-20271018-05</x:v>
      </x:c>
      <x:c r="B1607" s="23" t="n">
        <x:v>46678</x:v>
      </x:c>
      <x:c r="C1607" s="32" t="n">
        <x:v>5</x:v>
      </x:c>
      <x:c r="D1607" s="20" t="str">
        <x:v>Field certification</x:v>
      </x:c>
      <x:c r="E1607" s="20" t="str">
        <x:v>Applicant / public user</x:v>
      </x:c>
      <x:c r="F1607" s="20" t="str">
        <x:v>Mobile</x:v>
      </x:c>
      <x:c r="G1607" s="20" t="str">
        <x:v>Manual field-by-field</x:v>
      </x:c>
      <x:c r="H1607" s="35" t="str">
        <x:v>Fill, save, reload, edit, and validate every declared field on features/deposits/deposits_screen.dart</x:v>
      </x:c>
      <x:c r="I1607" s="35" t="str">
        <x:v>FLD-0856; FLD-0857; FLD-0858</x:v>
      </x:c>
      <x:c r="J1607" s="35" t="str"/>
      <x:c r="K1607" s="35" t="str"/>
      <x:c r="L1607" s="35" t="str">
        <x:v>Use the source-derived Field Inventory. Enter non-default realistic values in every control (_reason; _notes; controller); submit; reload or relaunch; compare every value; edit each mutable field; verify the paired client; then run required, format, length, range, boundary, optional-null, and stale-submit checks.</x:v>
      </x:c>
      <x:c r="M1607" s="35" t="str">
        <x:v>All 3 inventoried controls persist exact normalized values, invalid values stay unsaved with clear errors, and hidden/unauthorized fields cannot be altered.</x:v>
      </x:c>
      <x:c r="N1607" s="35" t="str">
        <x:v>Before/after form screenshots; FLD IDs; API response; reloaded UI; paired-client read-back; database/audit evidence; negative validation result.</x:v>
      </x:c>
      <x:c r="O1607" s="35" t="str">
        <x:v>Use a duplicate submit and one simulated network interruption; one atomic mutation or none, never partial state.</x:v>
      </x:c>
      <x:c r="P1607" s="35" t="str">
        <x:v>All expected records and amounts match; no unexplained error or stale state.</x:v>
      </x:c>
    </x:row>
    <x:row r="1608">
      <x:c r="A1608" s="20" t="str">
        <x:v>RUN-20271018-06</x:v>
      </x:c>
      <x:c r="B1608" s="23" t="n">
        <x:v>46678</x:v>
      </x:c>
      <x:c r="C1608" s="32" t="n">
        <x:v>6</x:v>
      </x:c>
      <x:c r="D1608" s="20" t="str">
        <x:v>Field certification</x:v>
      </x:c>
      <x:c r="E1608" s="20" t="str">
        <x:v>Applicant / public user</x:v>
      </x:c>
      <x:c r="F1608" s="20" t="str">
        <x:v>Mobile</x:v>
      </x:c>
      <x:c r="G1608" s="20" t="str">
        <x:v>Manual field-by-field</x:v>
      </x:c>
      <x:c r="H1608" s="35" t="str">
        <x:v>Fill, save, reload, edit, and validate every declared field on features/home/home_shell.dart</x:v>
      </x:c>
      <x:c r="I1608" s="35" t="str">
        <x:v>FLD-0859</x:v>
      </x:c>
      <x:c r="J1608" s="35" t="str"/>
      <x:c r="K1608" s="35" t="str"/>
      <x:c r="L1608" s="35" t="str">
        <x:v>Use the source-derived Field Inventory. Enter non-default realistic values in every control (Account); submit; reload or relaunch; compare every value; edit each mutable field; verify the paired client; then run required, format, length, range, boundary, optional-null, and stale-submit checks.</x:v>
      </x:c>
      <x:c r="M1608" s="35" t="str">
        <x:v>All 1 inventoried controls persist exact normalized values, invalid values stay unsaved with clear errors, and hidden/unauthorized fields cannot be altered.</x:v>
      </x:c>
      <x:c r="N1608" s="35" t="str">
        <x:v>Before/after form screenshots; FLD IDs; API response; reloaded UI; paired-client read-back; database/audit evidence; negative validation result.</x:v>
      </x:c>
      <x:c r="O1608" s="35" t="str">
        <x:v>Use a duplicate submit and one simulated network interruption; one atomic mutation or none, never partial state.</x:v>
      </x:c>
      <x:c r="P1608" s="35" t="str">
        <x:v>All expected records and amounts match; no unexplained error or stale state.</x:v>
      </x:c>
    </x:row>
    <x:row r="1609">
      <x:c r="A1609" s="20" t="str">
        <x:v>RUN-20271018-07</x:v>
      </x:c>
      <x:c r="B1609" s="23" t="n">
        <x:v>46678</x:v>
      </x:c>
      <x:c r="C1609" s="32" t="n">
        <x:v>7</x:v>
      </x:c>
      <x:c r="D1609" s="20" t="str">
        <x:v>Surface coverage</x:v>
      </x:c>
      <x:c r="E1609" s="20" t="str">
        <x:v>Role appropriate to surface</x:v>
      </x:c>
      <x:c r="F1609" s="20" t="str">
        <x:v>Web</x:v>
      </x:c>
      <x:c r="G1609" s="20" t="str">
        <x:v>Manual</x:v>
      </x:c>
      <x:c r="H1609" s="35" t="str">
        <x:v>Manual web pass: Dashboard, analytics, daily briefing, Q&amp;A</x:v>
      </x:c>
      <x:c r="I1609" s="35" t="str">
        <x:v>COV-037</x:v>
      </x:c>
      <x:c r="J1609" s="35" t="str"/>
      <x:c r="K1609" s="35" t="str"/>
      <x:c r="L1609" s="35" t="str">
        <x:v>Check empty/populated/current/past-due/vacancy states, ask grounded questions, compare counts and money to DB-side reports.</x:v>
      </x:c>
      <x:c r="M1609" s="35" t="str">
        <x:v>The supported workflow completes and persists correctly; if the capability is absent, the exact gap is proven and queued rather than silently skipped.</x:v>
      </x:c>
      <x:c r="N1609" s="35" t="str">
        <x:v>Real UI screenshot/state; submitted values; persisted read-back; cross-client read-back; audit/role/access evidence.</x:v>
      </x:c>
      <x:c r="O1609" s="35" t="str">
        <x:v>Use one invalid value, stale-state retry, or duplicate submission relevant to the form; no partial or duplicate mutation.</x:v>
      </x:c>
      <x:c r="P1609" s="35" t="str">
        <x:v>All expected records and amounts match; no unexplained error or stale state.</x:v>
      </x:c>
    </x:row>
    <x:row r="1610">
      <x:c r="A1610" s="20" t="str">
        <x:v>RUN-20271019-01</x:v>
      </x:c>
      <x:c r="B1610" s="23" t="n">
        <x:v>46679</x:v>
      </x:c>
      <x:c r="C1610" s="32" t="n">
        <x:v>1</x:v>
      </x:c>
      <x:c r="D1610" s="20" t="str">
        <x:v>Weekly operations</x:v>
      </x:c>
      <x:c r="E1610" s="20" t="str">
        <x:v>Property Manager</x:v>
      </x:c>
      <x:c r="F1610" s="20" t="str">
        <x:v>Web</x:v>
      </x:c>
      <x:c r="G1610" s="20" t="str">
        <x:v>Scanned receipt/invoice</x:v>
      </x:c>
      <x:c r="H1610" s="35" t="str">
        <x:v>Record, review, allocate, and pay operating expense</x:v>
      </x:c>
      <x:c r="I1610" s="35" t="str">
        <x:v>P015; U015; WO-2027-042</x:v>
      </x:c>
      <x:c r="J1610" s="35" t="str">
        <x:v>SCN-0422</x:v>
      </x:c>
      <x:c r="K1610" s="35" t="str">
        <x:v>FIN-01065</x:v>
      </x:c>
      <x:c r="L1610" s="35" t="str">
        <x:v>Capture or upload the source; verify vendor, date, scope, category, line items, tax, amount, and work-order link; confirm; open detail; verify attachment; compare Money and Property/Unit views.</x:v>
      </x:c>
      <x:c r="M1610" s="35" t="str">
        <x:v>One expense exists at its real operational scope, cash falls once, Schedule E category and allocations agree, and no per-unit copies are created.</x:v>
      </x:c>
      <x:c r="N1610" s="35" t="str">
        <x:v>Source preview; review/form; expense detail; line items; Property/Unit ledger; audit; accounting/report delta.</x:v>
      </x:c>
      <x:c r="O1610" s="35" t="str">
        <x:v>On marked duplicate-invoice cases, re-upload before confirm and prove the product prevents or clearly warns about duplication.</x:v>
      </x:c>
      <x:c r="P1610" s="35" t="str">
        <x:v>All expected records and amounts match; no unexplained error or stale state.</x:v>
      </x:c>
    </x:row>
    <x:row r="1611">
      <x:c r="A1611" s="20" t="str">
        <x:v>RUN-20271019-02</x:v>
      </x:c>
      <x:c r="B1611" s="23" t="n">
        <x:v>46679</x:v>
      </x:c>
      <x:c r="C1611" s="32" t="n">
        <x:v>2</x:v>
      </x:c>
      <x:c r="D1611" s="20" t="str">
        <x:v>Field certification</x:v>
      </x:c>
      <x:c r="E1611" s="20" t="str">
        <x:v>Applicant / public user</x:v>
      </x:c>
      <x:c r="F1611" s="20" t="str">
        <x:v>Mobile</x:v>
      </x:c>
      <x:c r="G1611" s="20" t="str">
        <x:v>Manual field-by-field</x:v>
      </x:c>
      <x:c r="H1611" s="35" t="str">
        <x:v>Fill, save, reload, edit, and validate every declared field on features/home/mobile_shell_actions.dart</x:v>
      </x:c>
      <x:c r="I1611" s="35" t="str">
        <x:v>FLD-0860</x:v>
      </x:c>
      <x:c r="J1611" s="35" t="str"/>
      <x:c r="K1611" s="35" t="str"/>
      <x:c r="L1611" s="35" t="str">
        <x:v>Use the source-derived Field Inventory. Enter non-default realistic values in every control (_selectionInFlight); submit; reload or relaunch; compare every value; edit each mutable field; verify the paired client; then run required, format, length, range, boundary, optional-null, and stale-submit checks.</x:v>
      </x:c>
      <x:c r="M1611" s="35" t="str">
        <x:v>All 1 inventoried controls persist exact normalized values, invalid values stay unsaved with clear errors, and hidden/unauthorized fields cannot be altered.</x:v>
      </x:c>
      <x:c r="N1611" s="35" t="str">
        <x:v>Before/after form screenshots; FLD IDs; API response; reloaded UI; paired-client read-back; database/audit evidence; negative validation result.</x:v>
      </x:c>
      <x:c r="O1611" s="35" t="str">
        <x:v>Use a duplicate submit and one simulated network interruption; one atomic mutation or none, never partial state.</x:v>
      </x:c>
      <x:c r="P1611" s="35" t="str">
        <x:v>All expected records and amounts match; no unexplained error or stale state.</x:v>
      </x:c>
    </x:row>
    <x:row r="1612">
      <x:c r="A1612" s="20" t="str">
        <x:v>RUN-20271019-03</x:v>
      </x:c>
      <x:c r="B1612" s="23" t="n">
        <x:v>46679</x:v>
      </x:c>
      <x:c r="C1612" s="32" t="n">
        <x:v>3</x:v>
      </x:c>
      <x:c r="D1612" s="20" t="str">
        <x:v>Field certification</x:v>
      </x:c>
      <x:c r="E1612" s="20" t="str">
        <x:v>Applicant / public user</x:v>
      </x:c>
      <x:c r="F1612" s="20" t="str">
        <x:v>Mobile</x:v>
      </x:c>
      <x:c r="G1612" s="20" t="str">
        <x:v>Manual field-by-field</x:v>
      </x:c>
      <x:c r="H1612" s="35" t="str">
        <x:v>Fill, save, reload, edit, and validate every declared field on features/inspections/inspection_run_screen.dart</x:v>
      </x:c>
      <x:c r="I1612" s="35" t="str">
        <x:v>FLD-0861</x:v>
      </x:c>
      <x:c r="J1612" s="35" t="str"/>
      <x:c r="K1612" s="35" t="str"/>
      <x:c r="L1612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612" s="35" t="str">
        <x:v>All 1 inventoried controls persist exact normalized values, invalid values stay unsaved with clear errors, and hidden/unauthorized fields cannot be altered.</x:v>
      </x:c>
      <x:c r="N1612" s="35" t="str">
        <x:v>Before/after form screenshots; FLD IDs; API response; reloaded UI; paired-client read-back; database/audit evidence; negative validation result.</x:v>
      </x:c>
      <x:c r="O1612" s="35" t="str">
        <x:v>Use a duplicate submit and one simulated network interruption; one atomic mutation or none, never partial state.</x:v>
      </x:c>
      <x:c r="P1612" s="35" t="str">
        <x:v>All expected records and amounts match; no unexplained error or stale state.</x:v>
      </x:c>
    </x:row>
    <x:row r="1613">
      <x:c r="A1613" s="20" t="str">
        <x:v>RUN-20271019-04</x:v>
      </x:c>
      <x:c r="B1613" s="23" t="n">
        <x:v>46679</x:v>
      </x:c>
      <x:c r="C1613" s="32" t="n">
        <x:v>4</x:v>
      </x:c>
      <x:c r="D1613" s="20" t="str">
        <x:v>Field certification</x:v>
      </x:c>
      <x:c r="E1613" s="20" t="str">
        <x:v>Applicant / public user</x:v>
      </x:c>
      <x:c r="F1613" s="20" t="str">
        <x:v>Mobile</x:v>
      </x:c>
      <x:c r="G1613" s="20" t="str">
        <x:v>Manual field-by-field</x:v>
      </x:c>
      <x:c r="H1613" s="35" t="str">
        <x:v>Fill, save, reload, edit, and validate every declared field on features/inspections/new_inspection_screen.dart</x:v>
      </x:c>
      <x:c r="I1613" s="35" t="str">
        <x:v>FLD-0862; FLD-0863</x:v>
      </x:c>
      <x:c r="J1613" s="35" t="str"/>
      <x:c r="K1613" s="35" t="str"/>
      <x:c r="L1613" s="35" t="str">
        <x:v>Use the source-derived Field Inventory. Enter non-default realistic values in every control (_onPropertyChanged; onChanged); submit; reload or relaunch; compare every value; edit each mutable field; verify the paired client; then run required, format, length, range, boundary, optional-null, and stale-submit checks.</x:v>
      </x:c>
      <x:c r="M1613" s="35" t="str">
        <x:v>All 2 inventoried controls persist exact normalized values, invalid values stay unsaved with clear errors, and hidden/unauthorized fields cannot be altered.</x:v>
      </x:c>
      <x:c r="N1613" s="35" t="str">
        <x:v>Before/after form screenshots; FLD IDs; API response; reloaded UI; paired-client read-back; database/audit evidence; negative validation result.</x:v>
      </x:c>
      <x:c r="O1613" s="35" t="str">
        <x:v>Use a duplicate submit and one simulated network interruption; one atomic mutation or none, never partial state.</x:v>
      </x:c>
      <x:c r="P1613" s="35" t="str">
        <x:v>All expected records and amounts match; no unexplained error or stale state.</x:v>
      </x:c>
    </x:row>
    <x:row r="1614">
      <x:c r="A1614" s="20" t="str">
        <x:v>RUN-20271019-05</x:v>
      </x:c>
      <x:c r="B1614" s="23" t="n">
        <x:v>46679</x:v>
      </x:c>
      <x:c r="C1614" s="32" t="n">
        <x:v>5</x:v>
      </x:c>
      <x:c r="D1614" s="20" t="str">
        <x:v>Field certification</x:v>
      </x:c>
      <x:c r="E1614" s="20" t="str">
        <x:v>Applicant / public user</x:v>
      </x:c>
      <x:c r="F1614" s="20" t="str">
        <x:v>Mobile</x:v>
      </x:c>
      <x:c r="G1614" s="20" t="str">
        <x:v>Manual field-by-field</x:v>
      </x:c>
      <x:c r="H1614" s="35" t="str">
        <x:v>Fill, save, reload, edit, and validate every declared field on features/leases/addendum_action_sheets.dart</x:v>
      </x:c>
      <x:c r="I1614" s="35" t="str">
        <x:v>FLD-0864</x:v>
      </x:c>
      <x:c r="J1614" s="35" t="str"/>
      <x:c r="K1614" s="35" t="str"/>
      <x:c r="L1614" s="35" t="str">
        <x:v>Use the source-derived Field Inventory. Enter non-default realistic values in every control (_setBaseAgreement); submit; reload or relaunch; compare every value; edit each mutable field; verify the paired client; then run required, format, length, range, boundary, optional-null, and stale-submit checks.</x:v>
      </x:c>
      <x:c r="M1614" s="35" t="str">
        <x:v>All 1 inventoried controls persist exact normalized values, invalid values stay unsaved with clear errors, and hidden/unauthorized fields cannot be altered.</x:v>
      </x:c>
      <x:c r="N1614" s="35" t="str">
        <x:v>Before/after form screenshots; FLD IDs; API response; reloaded UI; paired-client read-back; database/audit evidence; negative validation result.</x:v>
      </x:c>
      <x:c r="O1614" s="35" t="str">
        <x:v>Use a duplicate submit and one simulated network interruption; one atomic mutation or none, never partial state.</x:v>
      </x:c>
      <x:c r="P1614" s="35" t="str">
        <x:v>All expected records and amounts match; no unexplained error or stale state.</x:v>
      </x:c>
    </x:row>
    <x:row r="1615">
      <x:c r="A1615" s="20" t="str">
        <x:v>RUN-20271019-06</x:v>
      </x:c>
      <x:c r="B1615" s="23" t="n">
        <x:v>46679</x:v>
      </x:c>
      <x:c r="C1615" s="32" t="n">
        <x:v>6</x:v>
      </x:c>
      <x:c r="D1615" s="20" t="str">
        <x:v>Surface coverage</x:v>
      </x:c>
      <x:c r="E1615" s="20" t="str">
        <x:v>Role appropriate to surface</x:v>
      </x:c>
      <x:c r="F1615" s="20" t="str">
        <x:v>Mobile</x:v>
      </x:c>
      <x:c r="G1615" s="20" t="str">
        <x:v>Manual</x:v>
      </x:c>
      <x:c r="H1615" s="35" t="str">
        <x:v>Manual mobile pass: Dashboard, analytics, daily briefing, Q&amp;A</x:v>
      </x:c>
      <x:c r="I1615" s="35" t="str">
        <x:v>COV-037</x:v>
      </x:c>
      <x:c r="J1615" s="35" t="str"/>
      <x:c r="K1615" s="35" t="str"/>
      <x:c r="L1615" s="35" t="str">
        <x:v>Check empty/populated/current/past-due/vacancy states, ask grounded questions, compare counts and money to DB-side reports.</x:v>
      </x:c>
      <x:c r="M1615" s="35" t="str">
        <x:v>The supported workflow completes and persists correctly; if the capability is absent, the exact gap is proven and queued rather than silently skipped.</x:v>
      </x:c>
      <x:c r="N1615" s="35" t="str">
        <x:v>Real UI screenshot/state; submitted values; persisted read-back; cross-client read-back; audit/role/access evidence.</x:v>
      </x:c>
      <x:c r="O1615" s="35" t="str">
        <x:v>Use one invalid value, stale-state retry, or duplicate submission relevant to the form; no partial or duplicate mutation.</x:v>
      </x:c>
      <x:c r="P1615" s="35" t="str">
        <x:v>All expected records and amounts match; no unexplained error or stale state.</x:v>
      </x:c>
    </x:row>
    <x:row r="1616">
      <x:c r="A1616" s="20" t="str">
        <x:v>RUN-20271020-01</x:v>
      </x:c>
      <x:c r="B1616" s="23" t="n">
        <x:v>46680</x:v>
      </x:c>
      <x:c r="C1616" s="32" t="n">
        <x:v>1</x:v>
      </x:c>
      <x:c r="D1616" s="20" t="str">
        <x:v>Monthly close</x:v>
      </x:c>
      <x:c r="E1616" s="20" t="str">
        <x:v>Workspace Administrator</x:v>
      </x:c>
      <x:c r="F1616" s="20" t="str">
        <x:v>Web + Mobile</x:v>
      </x:c>
      <x:c r="G1616" s="20" t="str">
        <x:v>Recurring automation + statement match</x:v>
      </x:c>
      <x:c r="H1616" s="35" t="str">
        <x:v>October loan payments</x:v>
      </x:c>
      <x:c r="I1616" s="35" t="str">
        <x:v>LN001; LN002; LN004; LN005; LN007; LN008; LN010; LN011; LN013; LN014; LN016; LN017; LN019; LN020; LN022; LN023; LN025; LN026; LN028; LN029</x:v>
      </x:c>
      <x:c r="J1616" s="35" t="str">
        <x:v>SCN-0710; SCN-0711; SCN-0712; SCN-0713; SCN-0714; SCN-0715; SCN-0716; SCN-0717; SCN-0718; SCN-0719; SCN-0720; SCN-0721; SCN-0722; SCN-0723; SCN-0724; SCN-0725; SCN-0726; SCN-0727; SCN-0728; SCN-0729</x:v>
      </x:c>
      <x:c r="K1616" s="35" t="str">
        <x:v>FIN-01404; FIN-01405; FIN-01406; FIN-01407; FIN-01408; FIN-01409; FIN-01410; FIN-01411; FIN-01412; FIN-01413; FIN-01414; FIN-01415; FIN-01416; FIN-01417; FIN-01418; FIN-01419; FIN-01420; FIN-01421; FIN-01422; FIN-01423</x:v>
      </x:c>
      <x:c r="L1616" s="35" t="str">
        <x:v>Verify the recurring loan payments; attach/match each statement; compare principal, interest, cash, loan balance, amortization, Property Money view, and Schedule E interest.</x:v>
      </x:c>
      <x:c r="M1616" s="35" t="str">
        <x:v>Every payment splits principal and interest once; principal reduces liability, interest is expense, and statement balance matches.</x:v>
      </x:c>
      <x:c r="N1616" s="35" t="str">
        <x:v>Loan detail samples on both clients; statement attachment; amortization; Property and year-end reports.</x:v>
      </x:c>
      <x:c r="O1616" s="35" t="str">
        <x:v>Attempt a duplicate recurrence run; no second payment or balance movement.</x:v>
      </x:c>
      <x:c r="P1616" s="35" t="str">
        <x:v>All expected records and amounts match; no unexplained error or stale state.</x:v>
      </x:c>
    </x:row>
    <x:row r="1617">
      <x:c r="A1617" s="20" t="str">
        <x:v>RUN-20271020-02</x:v>
      </x:c>
      <x:c r="B1617" s="23" t="n">
        <x:v>46680</x:v>
      </x:c>
      <x:c r="C1617" s="32" t="n">
        <x:v>2</x:v>
      </x:c>
      <x:c r="D1617" s="20" t="str">
        <x:v>Role and screen certification</x:v>
      </x:c>
      <x:c r="E1617" s="20" t="str">
        <x:v>Applicant / public user</x:v>
      </x:c>
      <x:c r="F1617" s="20" t="str">
        <x:v>Mobile</x:v>
      </x:c>
      <x:c r="G1617" s="20" t="str">
        <x:v>Normal persona navigation</x:v>
      </x:c>
      <x:c r="H1617" s="35" t="str">
        <x:v>Use every permitted action and state on features/payments/payment_detail_screen.dart</x:v>
      </x:c>
      <x:c r="I1617" s="35" t="str">
        <x:v>SCR-158; ROLE-266</x:v>
      </x:c>
      <x:c r="J1617" s="35" t="str"/>
      <x:c r="K1617" s="35" t="str"/>
      <x:c r="L16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17" s="35" t="str">
        <x:v>The persona can use every allowed action with only its assigned properties/relationships. Hidden or disabled actions explain why; an adjacent unauthorized persona is denied without metadata leakage.</x:v>
      </x:c>
      <x:c r="N1617" s="35" t="str">
        <x:v>Persona/experience; navigation entry; desktop or device screenshots; result state; persisted read-back; audit/history; authorized and denied network result.</x:v>
      </x:c>
      <x:c r="O1617" s="35" t="str">
        <x:v>Open the direct URL or deep link with an adjacent unauthorized persona and with stale scope; both fail closed and land safely without mutation.</x:v>
      </x:c>
      <x:c r="P1617" s="35" t="str">
        <x:v>All expected records and amounts match; no unexplained error or stale state.</x:v>
      </x:c>
    </x:row>
    <x:row r="1618">
      <x:c r="A1618" s="20" t="str">
        <x:v>RUN-20271020-03</x:v>
      </x:c>
      <x:c r="B1618" s="23" t="n">
        <x:v>46680</x:v>
      </x:c>
      <x:c r="C1618" s="32" t="n">
        <x:v>3</x:v>
      </x:c>
      <x:c r="D1618" s="20" t="str">
        <x:v>Field certification</x:v>
      </x:c>
      <x:c r="E1618" s="20" t="str">
        <x:v>Applicant / public user</x:v>
      </x:c>
      <x:c r="F1618" s="20" t="str">
        <x:v>Mobile</x:v>
      </x:c>
      <x:c r="G1618" s="20" t="str">
        <x:v>Manual field-by-field</x:v>
      </x:c>
      <x:c r="H1618" s="35" t="str">
        <x:v>Fill, save, reload, edit, and validate every declared field on features/leases/addendum_action_sheets.dart</x:v>
      </x:c>
      <x:c r="I1618" s="35" t="str">
        <x:v>FLD-0865; FLD-0866; FLD-0867; FLD-0868</x:v>
      </x:c>
      <x:c r="J1618" s="35" t="str"/>
      <x:c r="K1618" s="35" t="str"/>
      <x:c r="L1618" s="35" t="str">
        <x:v>Use the source-derived Field Inventory. Enter non-default realistic values in every control (_number; Purpose; party.email; _amount); submit; reload or relaunch; compare every value; edit each mutable field; verify the paired client; then run required, format, length, range, boundary, optional-null, and stale-submit checks.</x:v>
      </x:c>
      <x:c r="M1618" s="35" t="str">
        <x:v>All 4 inventoried controls persist exact normalized values, invalid values stay unsaved with clear errors, and hidden/unauthorized fields cannot be altered.</x:v>
      </x:c>
      <x:c r="N1618" s="35" t="str">
        <x:v>Before/after form screenshots; FLD IDs; API response; reloaded UI; paired-client read-back; database/audit evidence; negative validation result.</x:v>
      </x:c>
      <x:c r="O1618" s="35" t="str">
        <x:v>Use a duplicate submit and one simulated network interruption; one atomic mutation or none, never partial state.</x:v>
      </x:c>
      <x:c r="P1618" s="35" t="str">
        <x:v>All expected records and amounts match; no unexplained error or stale state.</x:v>
      </x:c>
    </x:row>
    <x:row r="1619">
      <x:c r="A1619" s="20" t="str">
        <x:v>RUN-20271021-01</x:v>
      </x:c>
      <x:c r="B1619" s="23" t="n">
        <x:v>46681</x:v>
      </x:c>
      <x:c r="C1619" s="32" t="n">
        <x:v>1</x:v>
      </x:c>
      <x:c r="D1619" s="20" t="str">
        <x:v>Role and screen certification</x:v>
      </x:c>
      <x:c r="E1619" s="20" t="str">
        <x:v>Applicant / public user</x:v>
      </x:c>
      <x:c r="F1619" s="20" t="str">
        <x:v>Mobile</x:v>
      </x:c>
      <x:c r="G1619" s="20" t="str">
        <x:v>Normal persona navigation</x:v>
      </x:c>
      <x:c r="H1619" s="35" t="str">
        <x:v>Use every permitted action and state on features/payments/payments_screen.dart</x:v>
      </x:c>
      <x:c r="I1619" s="35" t="str">
        <x:v>SCR-159; ROLE-267</x:v>
      </x:c>
      <x:c r="J1619" s="35" t="str"/>
      <x:c r="K1619" s="35" t="str"/>
      <x:c r="L16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19" s="35" t="str">
        <x:v>The persona can use every allowed action with only its assigned properties/relationships. Hidden or disabled actions explain why; an adjacent unauthorized persona is denied without metadata leakage.</x:v>
      </x:c>
      <x:c r="N1619" s="35" t="str">
        <x:v>Persona/experience; navigation entry; desktop or device screenshots; result state; persisted read-back; audit/history; authorized and denied network result.</x:v>
      </x:c>
      <x:c r="O1619" s="35" t="str">
        <x:v>Open the direct URL or deep link with an adjacent unauthorized persona and with stale scope; both fail closed and land safely without mutation.</x:v>
      </x:c>
      <x:c r="P1619" s="35" t="str">
        <x:v>All expected records and amounts match; no unexplained error or stale state.</x:v>
      </x:c>
    </x:row>
    <x:row r="1620">
      <x:c r="A1620" s="20" t="str">
        <x:v>RUN-20271021-02</x:v>
      </x:c>
      <x:c r="B1620" s="23" t="n">
        <x:v>46681</x:v>
      </x:c>
      <x:c r="C1620" s="32" t="n">
        <x:v>2</x:v>
      </x:c>
      <x:c r="D1620" s="20" t="str">
        <x:v>Field certification</x:v>
      </x:c>
      <x:c r="E1620" s="20" t="str">
        <x:v>Applicant / public user</x:v>
      </x:c>
      <x:c r="F1620" s="20" t="str">
        <x:v>Mobile</x:v>
      </x:c>
      <x:c r="G1620" s="20" t="str">
        <x:v>Manual field-by-field</x:v>
      </x:c>
      <x:c r="H1620" s="35" t="str">
        <x:v>Fill, save, reload, edit, and validate every declared field on features/leases/addendum_action_sheets.dart</x:v>
      </x:c>
      <x:c r="I1620" s="35" t="str">
        <x:v>FLD-0869; FLD-0870; FLD-0871; FLD-0872</x:v>
      </x:c>
      <x:c r="J1620" s="35" t="str"/>
      <x:c r="K1620" s="35" t="str"/>
      <x:c r="L1620" s="35" t="str">
        <x:v>Use the source-derived Field Inventory. Enter non-default realistic values in every control (_chargeCode; _description; SwitchListTile-14; _subject); submit; reload or relaunch; compare every value; edit each mutable field; verify the paired client; then run required, format, length, range, boundary, optional-null, and stale-submit checks.</x:v>
      </x:c>
      <x:c r="M1620" s="35" t="str">
        <x:v>All 4 inventoried controls persist exact normalized values, invalid values stay unsaved with clear errors, and hidden/unauthorized fields cannot be altered.</x:v>
      </x:c>
      <x:c r="N1620" s="35" t="str">
        <x:v>Before/after form screenshots; FLD IDs; API response; reloaded UI; paired-client read-back; database/audit evidence; negative validation result.</x:v>
      </x:c>
      <x:c r="O1620" s="35" t="str">
        <x:v>Use a duplicate submit and one simulated network interruption; one atomic mutation or none, never partial state.</x:v>
      </x:c>
      <x:c r="P1620" s="35" t="str">
        <x:v>All expected records and amounts match; no unexplained error or stale state.</x:v>
      </x:c>
    </x:row>
    <x:row r="1621">
      <x:c r="A1621" s="20" t="str">
        <x:v>RUN-20271021-03</x:v>
      </x:c>
      <x:c r="B1621" s="23" t="n">
        <x:v>46681</x:v>
      </x:c>
      <x:c r="C1621" s="32" t="n">
        <x:v>3</x:v>
      </x:c>
      <x:c r="D1621" s="20" t="str">
        <x:v>Field certification</x:v>
      </x:c>
      <x:c r="E1621" s="20" t="str">
        <x:v>Applicant / public user</x:v>
      </x:c>
      <x:c r="F1621" s="20" t="str">
        <x:v>Mobile</x:v>
      </x:c>
      <x:c r="G1621" s="20" t="str">
        <x:v>Manual field-by-field</x:v>
      </x:c>
      <x:c r="H1621" s="35" t="str">
        <x:v>Fill, save, reload, edit, and validate every declared field on features/leases/agreement_draft_action_sheets.dart</x:v>
      </x:c>
      <x:c r="I1621" s="35" t="str">
        <x:v>FLD-0873</x:v>
      </x:c>
      <x:c r="J1621" s="35" t="str"/>
      <x:c r="K1621" s="35" t="str"/>
      <x:c r="L1621" s="35" t="str">
        <x:v>Use the source-derived Field Inventory. Enter non-default realistic values in every control (_agreementNumber); submit; reload or relaunch; compare every value; edit each mutable field; verify the paired client; then run required, format, length, range, boundary, optional-null, and stale-submit checks.</x:v>
      </x:c>
      <x:c r="M1621" s="35" t="str">
        <x:v>All 1 inventoried controls persist exact normalized values, invalid values stay unsaved with clear errors, and hidden/unauthorized fields cannot be altered.</x:v>
      </x:c>
      <x:c r="N1621" s="35" t="str">
        <x:v>Before/after form screenshots; FLD IDs; API response; reloaded UI; paired-client read-back; database/audit evidence; negative validation result.</x:v>
      </x:c>
      <x:c r="O1621" s="35" t="str">
        <x:v>Use a duplicate submit and one simulated network interruption; one atomic mutation or none, never partial state.</x:v>
      </x:c>
      <x:c r="P1621" s="35" t="str">
        <x:v>All expected records and amounts match; no unexplained error or stale state.</x:v>
      </x:c>
    </x:row>
    <x:row r="1622">
      <x:c r="A1622" s="20" t="str">
        <x:v>RUN-20271021-04</x:v>
      </x:c>
      <x:c r="B1622" s="23" t="n">
        <x:v>46681</x:v>
      </x:c>
      <x:c r="C1622" s="32" t="n">
        <x:v>4</x:v>
      </x:c>
      <x:c r="D1622" s="20" t="str">
        <x:v>Lifecycle certification</x:v>
      </x:c>
      <x:c r="E1622" s="20" t="str">
        <x:v>Property Manager</x:v>
      </x:c>
      <x:c r="F1622" s="20" t="str">
        <x:v>Web + Mobile</x:v>
      </x:c>
      <x:c r="G1622" s="20" t="str">
        <x:v>Manual + scan/attachment where supported</x:v>
      </x:c>
      <x:c r="H1622" s="35" t="str">
        <x:v>Complete the full create/read/edit/lifecycle/delete-safe pass for Tenant notice</x:v>
      </x:c>
      <x:c r="I1622" s="35" t="str">
        <x:v>CRUD-028</x:v>
      </x:c>
      <x:c r="J1622" s="35" t="str"/>
      <x:c r="K1622" s="35" t="str"/>
      <x:c r="L1622" s="35" t="str">
        <x:v>Use a dedicated disposable QA record and execute: draft; edit; preview; approve; send; cancel; policy and history. Fill every field referenced by field-inventory.csv. Verify confirmation copy, cancel path, final path, reload, other-client state, history, and role denial.</x:v>
      </x:c>
      <x:c r="M1622" s="35" t="str">
        <x:v>Every supported transition succeeds exactly once; forbidden destructive actions are guarded; reversible deletion/deactivation works; financial and historical truth is preserved.</x:v>
      </x:c>
      <x:c r="N1622" s="35" t="str">
        <x:v>Entity before/after; both clients; all FLD IDs; audit/history; notifications; authorized and unauthorized personas; API/DB state.</x:v>
      </x:c>
      <x:c r="O1622" s="35" t="str">
        <x:v>Cancel the first destructive confirmation, then repeat and confirm; retry the mutation once; no double transition or orphan.</x:v>
      </x:c>
      <x:c r="P1622" s="35" t="str">
        <x:v>All expected records and amounts match; no unexplained error or stale state.</x:v>
      </x:c>
    </x:row>
    <x:row r="1623">
      <x:c r="A1623" s="20" t="str">
        <x:v>RUN-20271021-05</x:v>
      </x:c>
      <x:c r="B1623" s="23" t="n">
        <x:v>46681</x:v>
      </x:c>
      <x:c r="C1623" s="32" t="n">
        <x:v>5</x:v>
      </x:c>
      <x:c r="D1623" s="20" t="str">
        <x:v>Notification certification</x:v>
      </x:c>
      <x:c r="E1623" s="20" t="str">
        <x:v>Uploader</x:v>
      </x:c>
      <x:c r="F1623" s="20" t="str">
        <x:v>Web + Mobile</x:v>
      </x:c>
      <x:c r="G1623" s="20" t="str">
        <x:v>System event + preference/manual verification</x:v>
      </x:c>
      <x:c r="H1623" s="35" t="str">
        <x:v>Trigger and prove notification: Lease scan extraction complete/failed</x:v>
      </x:c>
      <x:c r="I1623" s="35" t="str">
        <x:v>NTF-040</x:v>
      </x:c>
      <x:c r="J1623" s="35" t="str"/>
      <x:c r="K1623" s="35" t="str"/>
      <x:c r="L1623" s="35" t="str">
        <x:v>Set each recipient's preferences; trigger the real business event; inspect routing and recipient scope; verify unread badge, list item, safe preview, scan draft deep link, mark-read sync, configured channel outcome, provider failure/retry, and duplicate suppression.</x:v>
      </x:c>
      <x:c r="M1623" s="35" t="str">
        <x:v>Exactly the intended recipients receive one correctly routed notification; disabled optional channels stay silent; deep link opens authorized context; read state synchronizes.</x:v>
      </x:c>
      <x:c r="N1623" s="35" t="str">
        <x:v>Trigger record; routing decision; outbox/delivery status; web/mobile inbox; lock-screen-safe copy; deep-link target; audit/provider retry evidence.</x:v>
      </x:c>
      <x:c r="O1623" s="35" t="str">
        <x:v>Re-run the worker and deliver a duplicate provider callback; no duplicate user-visible event. Attempt the deep link as an unauthorized adjacent role.</x:v>
      </x:c>
      <x:c r="P1623" s="35" t="str">
        <x:v>All expected records and amounts match; no unexplained error or stale state.</x:v>
      </x:c>
    </x:row>
    <x:row r="1624">
      <x:c r="A1624" s="20" t="str">
        <x:v>RUN-20271022-01</x:v>
      </x:c>
      <x:c r="B1624" s="23" t="n">
        <x:v>46682</x:v>
      </x:c>
      <x:c r="C1624" s="32" t="n">
        <x:v>1</x:v>
      </x:c>
      <x:c r="D1624" s="20" t="str">
        <x:v>Role and screen certification</x:v>
      </x:c>
      <x:c r="E1624" s="20" t="str">
        <x:v>Tenant</x:v>
      </x:c>
      <x:c r="F1624" s="20" t="str">
        <x:v>Mobile</x:v>
      </x:c>
      <x:c r="G1624" s="20" t="str">
        <x:v>Normal persona navigation</x:v>
      </x:c>
      <x:c r="H1624" s="35" t="str">
        <x:v>Use every permitted action and state on features/payments/tenant_account_receipt_flow.dart</x:v>
      </x:c>
      <x:c r="I1624" s="35" t="str">
        <x:v>SCR-160; ROLE-268</x:v>
      </x:c>
      <x:c r="J1624" s="35" t="str"/>
      <x:c r="K1624" s="35" t="str"/>
      <x:c r="L162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24" s="35" t="str">
        <x:v>The persona can use every allowed action with only its assigned properties/relationships. Hidden or disabled actions explain why; an adjacent unauthorized persona is denied without metadata leakage.</x:v>
      </x:c>
      <x:c r="N1624" s="35" t="str">
        <x:v>Persona/experience; navigation entry; desktop or device screenshots; result state; persisted read-back; audit/history; authorized and denied network result.</x:v>
      </x:c>
      <x:c r="O1624" s="35" t="str">
        <x:v>Open the direct URL or deep link with an adjacent unauthorized persona and with stale scope; both fail closed and land safely without mutation.</x:v>
      </x:c>
      <x:c r="P1624" s="35" t="str">
        <x:v>All expected records and amounts match; no unexplained error or stale state.</x:v>
      </x:c>
    </x:row>
    <x:row r="1625">
      <x:c r="A1625" s="20" t="str">
        <x:v>RUN-20271022-02</x:v>
      </x:c>
      <x:c r="B1625" s="23" t="n">
        <x:v>46682</x:v>
      </x:c>
      <x:c r="C1625" s="32" t="n">
        <x:v>2</x:v>
      </x:c>
      <x:c r="D1625" s="20" t="str">
        <x:v>Field certification</x:v>
      </x:c>
      <x:c r="E1625" s="20" t="str">
        <x:v>Applicant / public user</x:v>
      </x:c>
      <x:c r="F1625" s="20" t="str">
        <x:v>Mobile</x:v>
      </x:c>
      <x:c r="G1625" s="20" t="str">
        <x:v>Manual field-by-field</x:v>
      </x:c>
      <x:c r="H1625" s="35" t="str">
        <x:v>Fill, save, reload, edit, and validate every declared field on features/leases/agreement_draft_action_sheets.dart</x:v>
      </x:c>
      <x:c r="I1625" s="35" t="str">
        <x:v>FLD-0874; FLD-0875; FLD-0876</x:v>
      </x:c>
      <x:c r="J1625" s="35" t="str"/>
      <x:c r="K1625" s="35" t="str"/>
      <x:c r="L1625" s="35" t="str">
        <x:v>Use the source-derived Field Inventory. Enter non-default realistic values in every control (Term type; _subject; controller); submit; reload or relaunch; compare every value; edit each mutable field; verify the paired client; then run required, format, length, range, boundary, optional-null, and stale-submit checks.</x:v>
      </x:c>
      <x:c r="M1625" s="35" t="str">
        <x:v>All 3 inventoried controls persist exact normalized values, invalid values stay unsaved with clear errors, and hidden/unauthorized fields cannot be altered.</x:v>
      </x:c>
      <x:c r="N1625" s="35" t="str">
        <x:v>Before/after form screenshots; FLD IDs; API response; reloaded UI; paired-client read-back; database/audit evidence; negative validation result.</x:v>
      </x:c>
      <x:c r="O1625" s="35" t="str">
        <x:v>Use a duplicate submit and one simulated network interruption; one atomic mutation or none, never partial state.</x:v>
      </x:c>
      <x:c r="P1625" s="35" t="str">
        <x:v>All expected records and amounts match; no unexplained error or stale state.</x:v>
      </x:c>
    </x:row>
    <x:row r="1626">
      <x:c r="A1626" s="20" t="str">
        <x:v>RUN-20271022-03</x:v>
      </x:c>
      <x:c r="B1626" s="23" t="n">
        <x:v>46682</x:v>
      </x:c>
      <x:c r="C1626" s="32" t="n">
        <x:v>3</x:v>
      </x:c>
      <x:c r="D1626" s="20" t="str">
        <x:v>Field certification</x:v>
      </x:c>
      <x:c r="E1626" s="20" t="str">
        <x:v>Applicant / public user</x:v>
      </x:c>
      <x:c r="F1626" s="20" t="str">
        <x:v>Mobile</x:v>
      </x:c>
      <x:c r="G1626" s="20" t="str">
        <x:v>Manual field-by-field</x:v>
      </x:c>
      <x:c r="H1626" s="35" t="str">
        <x:v>Fill, save, reload, edit, and validate every declared field on features/leases/ending_disposition_sheet.dart</x:v>
      </x:c>
      <x:c r="I1626" s="35" t="str">
        <x:v>FLD-0877</x:v>
      </x:c>
      <x:c r="J1626" s="35" t="str"/>
      <x:c r="K1626" s="35" t="str"/>
      <x:c r="L1626" s="35" t="str">
        <x:v>Use the source-derived Field Inventory. Enter non-default realistic values in every control (Decision); submit; reload or relaunch; compare every value; edit each mutable field; verify the paired client; then run required, format, length, range, boundary, optional-null, and stale-submit checks.</x:v>
      </x:c>
      <x:c r="M1626" s="35" t="str">
        <x:v>All 1 inventoried controls persist exact normalized values, invalid values stay unsaved with clear errors, and hidden/unauthorized fields cannot be altered.</x:v>
      </x:c>
      <x:c r="N1626" s="35" t="str">
        <x:v>Before/after form screenshots; FLD IDs; API response; reloaded UI; paired-client read-back; database/audit evidence; negative validation result.</x:v>
      </x:c>
      <x:c r="O1626" s="35" t="str">
        <x:v>Use a duplicate submit and one simulated network interruption; one atomic mutation or none, never partial state.</x:v>
      </x:c>
      <x:c r="P1626" s="35" t="str">
        <x:v>All expected records and amounts match; no unexplained error or stale state.</x:v>
      </x:c>
    </x:row>
    <x:row r="1627">
      <x:c r="A1627" s="20" t="str">
        <x:v>RUN-20271025-01</x:v>
      </x:c>
      <x:c r="B1627" s="23" t="n">
        <x:v>46685</x:v>
      </x:c>
      <x:c r="C1627" s="32" t="n">
        <x:v>1</x:v>
      </x:c>
      <x:c r="D1627" s="20" t="str">
        <x:v>Weekly operations</x:v>
      </x:c>
      <x:c r="E1627" s="20" t="str">
        <x:v>Property Manager</x:v>
      </x:c>
      <x:c r="F1627" s="20" t="str">
        <x:v>Mobile</x:v>
      </x:c>
      <x:c r="G1627" s="20" t="str">
        <x:v>Scan-first</x:v>
      </x:c>
      <x:c r="H1627" s="35" t="str">
        <x:v>Create and triage maintenance request</x:v>
      </x:c>
      <x:c r="I1627" s="35" t="str">
        <x:v>P021; U022; WO-2027-043</x:v>
      </x:c>
      <x:c r="J1627" s="35" t="str">
        <x:v>SCN-0423</x:v>
      </x:c>
      <x:c r="K1627" s="35" t="str"/>
      <x:c r="L1627" s="35" t="str">
        <x:v>Capture the tenant note/photo; review yard cleanup; confirm; set responsibility; dispatch Green Thumb Landscaping; create an appointment and verify the tenant notification.</x:v>
      </x:c>
      <x:c r="M1627" s="35" t="str">
        <x:v>Work order, status timeline, responsibility, vendor dispatch, appointment, notification, and Unit context are linked once.</x:v>
      </x:c>
      <x:c r="N1627" s="35" t="str">
        <x:v>Scan review; work order detail/timeline; dispatch; appointment; notification; tenant portal view.</x:v>
      </x:c>
      <x:c r="O1627" s="35" t="str">
        <x:v>Cancel one dispatch each quarter, reassign once, and prove status/history remains append-only.</x:v>
      </x:c>
      <x:c r="P1627" s="35" t="str">
        <x:v>All expected records and amounts match; no unexplained error or stale state.</x:v>
      </x:c>
    </x:row>
    <x:row r="1628">
      <x:c r="A1628" s="20" t="str">
        <x:v>RUN-20271025-02</x:v>
      </x:c>
      <x:c r="B1628" s="23" t="n">
        <x:v>46685</x:v>
      </x:c>
      <x:c r="C1628" s="32" t="n">
        <x:v>2</x:v>
      </x:c>
      <x:c r="D1628" s="20" t="str">
        <x:v>Monthly close</x:v>
      </x:c>
      <x:c r="E1628" s="20" t="str">
        <x:v>Owner + Workspace Administrator</x:v>
      </x:c>
      <x:c r="F1628" s="20" t="str">
        <x:v>Web + Mobile owner portal</x:v>
      </x:c>
      <x:c r="G1628" s="20" t="str">
        <x:v>Manual approval</x:v>
      </x:c>
      <x:c r="H1628" s="35" t="str">
        <x:v>October owner statements and distributions</x:v>
      </x:c>
      <x:c r="I1628" s="35" t="str">
        <x:v>O01-O05</x:v>
      </x:c>
      <x:c r="J1628" s="35" t="str"/>
      <x:c r="K1628" s="35" t="str">
        <x:v>FIN-01424; FIN-01425; FIN-01426; FIN-01427; FIN-01428</x:v>
      </x:c>
      <x:c r="L1628" s="35" t="str">
        <x:v>Generate owner statements; review income/expense allocations; approve distributions; record the bank export; open statements from owner portal on web and mobile.</x:v>
      </x:c>
      <x:c r="M1628" s="35" t="str">
        <x:v>Five owner statements agree with Property/accounting totals and five distributions reduce cash/equity distributions without becoming expenses.</x:v>
      </x:c>
      <x:c r="N1628" s="35" t="str">
        <x:v>Statements; approvals; owner portal PDFs; distribution rows; bank references; audit.</x:v>
      </x:c>
      <x:c r="O1628" s="35" t="str">
        <x:v>Reject one draft distribution before approval each quarter and prove no cash event is posted.</x:v>
      </x:c>
      <x:c r="P1628" s="35" t="str">
        <x:v>All expected records and amounts match; no unexplained error or stale state.</x:v>
      </x:c>
    </x:row>
    <x:row r="1629">
      <x:c r="A1629" s="20" t="str">
        <x:v>RUN-20271025-03</x:v>
      </x:c>
      <x:c r="B1629" s="23" t="n">
        <x:v>46685</x:v>
      </x:c>
      <x:c r="C1629" s="32" t="n">
        <x:v>3</x:v>
      </x:c>
      <x:c r="D1629" s="20" t="str">
        <x:v>Role and screen certification</x:v>
      </x:c>
      <x:c r="E1629" s="20" t="str">
        <x:v>Tenant</x:v>
      </x:c>
      <x:c r="F1629" s="20" t="str">
        <x:v>Mobile</x:v>
      </x:c>
      <x:c r="G1629" s="20" t="str">
        <x:v>Normal persona navigation</x:v>
      </x:c>
      <x:c r="H1629" s="35" t="str">
        <x:v>Use every permitted action and state on features/portal/create_tenant_work_order_sheet.dart</x:v>
      </x:c>
      <x:c r="I1629" s="35" t="str">
        <x:v>SCR-161; ROLE-269</x:v>
      </x:c>
      <x:c r="J1629" s="35" t="str"/>
      <x:c r="K1629" s="35" t="str"/>
      <x:c r="L162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29" s="35" t="str">
        <x:v>The persona can use every allowed action with only its assigned properties/relationships. Hidden or disabled actions explain why; an adjacent unauthorized persona is denied without metadata leakage.</x:v>
      </x:c>
      <x:c r="N1629" s="35" t="str">
        <x:v>Persona/experience; navigation entry; desktop or device screenshots; result state; persisted read-back; audit/history; authorized and denied network result.</x:v>
      </x:c>
      <x:c r="O1629" s="35" t="str">
        <x:v>Open the direct URL or deep link with an adjacent unauthorized persona and with stale scope; both fail closed and land safely without mutation.</x:v>
      </x:c>
      <x:c r="P1629" s="35" t="str">
        <x:v>All expected records and amounts match; no unexplained error or stale state.</x:v>
      </x:c>
    </x:row>
    <x:row r="1630">
      <x:c r="A1630" s="20" t="str">
        <x:v>RUN-20271025-04</x:v>
      </x:c>
      <x:c r="B1630" s="23" t="n">
        <x:v>46685</x:v>
      </x:c>
      <x:c r="C1630" s="32" t="n">
        <x:v>4</x:v>
      </x:c>
      <x:c r="D1630" s="20" t="str">
        <x:v>Field certification</x:v>
      </x:c>
      <x:c r="E1630" s="20" t="str">
        <x:v>Applicant / public user</x:v>
      </x:c>
      <x:c r="F1630" s="20" t="str">
        <x:v>Mobile</x:v>
      </x:c>
      <x:c r="G1630" s="20" t="str">
        <x:v>Manual field-by-field</x:v>
      </x:c>
      <x:c r="H1630" s="35" t="str">
        <x:v>Fill, save, reload, edit, and validate every declared field on features/leases/ending_disposition_sheet.dart</x:v>
      </x:c>
      <x:c r="I1630" s="35" t="str">
        <x:v>FLD-0878</x:v>
      </x:c>
      <x:c r="J1630" s="35" t="str"/>
      <x:c r="K1630" s="35" t="str"/>
      <x:c r="L1630" s="35" t="str">
        <x:v>Use the source-derived Field Inventory. Enter non-default realistic values in every control (_reason); submit; reload or relaunch; compare every value; edit each mutable field; verify the paired client; then run required, format, length, range, boundary, optional-null, and stale-submit checks.</x:v>
      </x:c>
      <x:c r="M1630" s="35" t="str">
        <x:v>All 1 inventoried controls persist exact normalized values, invalid values stay unsaved with clear errors, and hidden/unauthorized fields cannot be altered.</x:v>
      </x:c>
      <x:c r="N1630" s="35" t="str">
        <x:v>Before/after form screenshots; FLD IDs; API response; reloaded UI; paired-client read-back; database/audit evidence; negative validation result.</x:v>
      </x:c>
      <x:c r="O1630" s="35" t="str">
        <x:v>Use a duplicate submit and one simulated network interruption; one atomic mutation or none, never partial state.</x:v>
      </x:c>
      <x:c r="P1630" s="35" t="str">
        <x:v>All expected records and amounts match; no unexplained error or stale state.</x:v>
      </x:c>
    </x:row>
    <x:row r="1631">
      <x:c r="A1631" s="20" t="str">
        <x:v>RUN-20271025-05</x:v>
      </x:c>
      <x:c r="B1631" s="23" t="n">
        <x:v>46685</x:v>
      </x:c>
      <x:c r="C1631" s="32" t="n">
        <x:v>5</x:v>
      </x:c>
      <x:c r="D1631" s="20" t="str">
        <x:v>Field certification</x:v>
      </x:c>
      <x:c r="E1631" s="20" t="str">
        <x:v>Applicant / public user</x:v>
      </x:c>
      <x:c r="F1631" s="20" t="str">
        <x:v>Mobile</x:v>
      </x:c>
      <x:c r="G1631" s="20" t="str">
        <x:v>Manual field-by-field</x:v>
      </x:c>
      <x:c r="H1631" s="35" t="str">
        <x:v>Fill, save, reload, edit, and validate every declared field on features/leases/household_management_sheet.dart</x:v>
      </x:c>
      <x:c r="I1631" s="35" t="str">
        <x:v>FLD-0879; FLD-0880; FLD-0881; FLD-0882</x:v>
      </x:c>
      <x:c r="J1631" s="35" t="str"/>
      <x:c r="K1631" s="35" t="str"/>
      <x:c r="L1631" s="35" t="str">
        <x:v>Use the source-derived Field Inventory. Enter non-default realistic values in every control (_search; Person; Household role; Signed legal basis); submit; reload or relaunch; compare every value; edit each mutable field; verify the paired client; then run required, format, length, range, boundary, optional-null, and stale-submit checks.</x:v>
      </x:c>
      <x:c r="M1631" s="35" t="str">
        <x:v>All 4 inventoried controls persist exact normalized values, invalid values stay unsaved with clear errors, and hidden/unauthorized fields cannot be altered.</x:v>
      </x:c>
      <x:c r="N1631" s="35" t="str">
        <x:v>Before/after form screenshots; FLD IDs; API response; reloaded UI; paired-client read-back; database/audit evidence; negative validation result.</x:v>
      </x:c>
      <x:c r="O1631" s="35" t="str">
        <x:v>Use a duplicate submit and one simulated network interruption; one atomic mutation or none, never partial state.</x:v>
      </x:c>
      <x:c r="P1631" s="35" t="str">
        <x:v>All expected records and amounts match; no unexplained error or stale state.</x:v>
      </x:c>
    </x:row>
    <x:row r="1632">
      <x:c r="A1632" s="20" t="str">
        <x:v>RUN-20271025-06</x:v>
      </x:c>
      <x:c r="B1632" s="23" t="n">
        <x:v>46685</x:v>
      </x:c>
      <x:c r="C1632" s="32" t="n">
        <x:v>6</x:v>
      </x:c>
      <x:c r="D1632" s="20" t="str">
        <x:v>Surface coverage</x:v>
      </x:c>
      <x:c r="E1632" s="20" t="str">
        <x:v>Role appropriate to surface</x:v>
      </x:c>
      <x:c r="F1632" s="20" t="str">
        <x:v>Web</x:v>
      </x:c>
      <x:c r="G1632" s="20" t="str">
        <x:v>Manual</x:v>
      </x:c>
      <x:c r="H1632" s="35" t="str">
        <x:v>Manual web pass: Accounting and all operational reports</x:v>
      </x:c>
      <x:c r="I1632" s="35" t="str">
        <x:v>COV-038</x:v>
      </x:c>
      <x:c r="J1632" s="35" t="str"/>
      <x:c r="K1632" s="35" t="str"/>
      <x:c r="L1632" s="35" t="str">
        <x:v>Run P&amp;L, GL, cash flow, rent roll, ledger, delinquency, occupancy, expirations, deposits, 1099, work orders, and filters.</x:v>
      </x:c>
      <x:c r="M1632" s="35" t="str">
        <x:v>The supported workflow completes and persists correctly; if the capability is absent, the exact gap is proven and queued rather than silently skipped.</x:v>
      </x:c>
      <x:c r="N1632" s="35" t="str">
        <x:v>Real UI screenshot/state; submitted values; persisted read-back; cross-client read-back; audit/role/access evidence.</x:v>
      </x:c>
      <x:c r="O1632" s="35" t="str">
        <x:v>Use one invalid value, stale-state retry, or duplicate submission relevant to the form; no partial or duplicate mutation.</x:v>
      </x:c>
      <x:c r="P1632" s="35" t="str">
        <x:v>All expected records and amounts match; no unexplained error or stale state.</x:v>
      </x:c>
    </x:row>
    <x:row r="1633">
      <x:c r="A1633" s="20" t="str">
        <x:v>RUN-20271026-01</x:v>
      </x:c>
      <x:c r="B1633" s="23" t="n">
        <x:v>46686</x:v>
      </x:c>
      <x:c r="C1633" s="32" t="n">
        <x:v>1</x:v>
      </x:c>
      <x:c r="D1633" s="20" t="str">
        <x:v>Weekly operations</x:v>
      </x:c>
      <x:c r="E1633" s="20" t="str">
        <x:v>Property Manager</x:v>
      </x:c>
      <x:c r="F1633" s="20" t="str">
        <x:v>Mobile</x:v>
      </x:c>
      <x:c r="G1633" s="20" t="str">
        <x:v>Scanned receipt/invoice</x:v>
      </x:c>
      <x:c r="H1633" s="35" t="str">
        <x:v>Record, review, allocate, and pay operating expense</x:v>
      </x:c>
      <x:c r="I1633" s="35" t="str">
        <x:v>P021; U022; WO-2027-043</x:v>
      </x:c>
      <x:c r="J1633" s="35" t="str">
        <x:v>SCN-0424</x:v>
      </x:c>
      <x:c r="K1633" s="35" t="str">
        <x:v>FIN-01066</x:v>
      </x:c>
      <x:c r="L1633" s="35" t="str">
        <x:v>Capture or upload the source; verify vendor, date, scope, category, line items, tax, amount, and work-order link; confirm; open detail; verify attachment; compare Money and Property/Unit views.</x:v>
      </x:c>
      <x:c r="M1633" s="35" t="str">
        <x:v>One expense exists at its real operational scope, cash falls once, Schedule E category and allocations agree, and no per-unit copies are created.</x:v>
      </x:c>
      <x:c r="N1633" s="35" t="str">
        <x:v>Source preview; review/form; expense detail; line items; Property/Unit ledger; audit; accounting/report delta.</x:v>
      </x:c>
      <x:c r="O1633" s="35" t="str">
        <x:v>On marked duplicate-invoice cases, re-upload before confirm and prove the product prevents or clearly warns about duplication.</x:v>
      </x:c>
      <x:c r="P1633" s="35" t="str">
        <x:v>All expected records and amounts match; no unexplained error or stale state.</x:v>
      </x:c>
    </x:row>
    <x:row r="1634">
      <x:c r="A1634" s="20" t="str">
        <x:v>RUN-20271026-02</x:v>
      </x:c>
      <x:c r="B1634" s="23" t="n">
        <x:v>46686</x:v>
      </x:c>
      <x:c r="C1634" s="32" t="n">
        <x:v>2</x:v>
      </x:c>
      <x:c r="D1634" s="20" t="str">
        <x:v>Field certification</x:v>
      </x:c>
      <x:c r="E1634" s="20" t="str">
        <x:v>Applicant / public user</x:v>
      </x:c>
      <x:c r="F1634" s="20" t="str">
        <x:v>Mobile</x:v>
      </x:c>
      <x:c r="G1634" s="20" t="str">
        <x:v>Manual field-by-field</x:v>
      </x:c>
      <x:c r="H1634" s="35" t="str">
        <x:v>Fill, save, reload, edit, and validate every declared field on features/leases/household_management_sheet.dart</x:v>
      </x:c>
      <x:c r="I1634" s="35" t="str">
        <x:v>FLD-0883</x:v>
      </x:c>
      <x:c r="J1634" s="35" t="str"/>
      <x:c r="K1634" s="35" t="str"/>
      <x:c r="L1634" s="35" t="str">
        <x:v>Use the source-derived Field Inventory. Enter non-default realistic values in every control (_reason); submit; reload or relaunch; compare every value; edit each mutable field; verify the paired client; then run required, format, length, range, boundary, optional-null, and stale-submit checks.</x:v>
      </x:c>
      <x:c r="M1634" s="35" t="str">
        <x:v>All 1 inventoried controls persist exact normalized values, invalid values stay unsaved with clear errors, and hidden/unauthorized fields cannot be altered.</x:v>
      </x:c>
      <x:c r="N1634" s="35" t="str">
        <x:v>Before/after form screenshots; FLD IDs; API response; reloaded UI; paired-client read-back; database/audit evidence; negative validation result.</x:v>
      </x:c>
      <x:c r="O1634" s="35" t="str">
        <x:v>Use a duplicate submit and one simulated network interruption; one atomic mutation or none, never partial state.</x:v>
      </x:c>
      <x:c r="P1634" s="35" t="str">
        <x:v>All expected records and amounts match; no unexplained error or stale state.</x:v>
      </x:c>
    </x:row>
    <x:row r="1635">
      <x:c r="A1635" s="20" t="str">
        <x:v>RUN-20271026-03</x:v>
      </x:c>
      <x:c r="B1635" s="23" t="n">
        <x:v>46686</x:v>
      </x:c>
      <x:c r="C1635" s="32" t="n">
        <x:v>3</x:v>
      </x:c>
      <x:c r="D1635" s="20" t="str">
        <x:v>Field certification</x:v>
      </x:c>
      <x:c r="E1635" s="20" t="str">
        <x:v>Applicant / public user</x:v>
      </x:c>
      <x:c r="F1635" s="20" t="str">
        <x:v>Mobile</x:v>
      </x:c>
      <x:c r="G1635" s="20" t="str">
        <x:v>Manual field-by-field</x:v>
      </x:c>
      <x:c r="H1635" s="35" t="str">
        <x:v>Fill, save, reload, edit, and validate every declared field on features/leases/issued_agreement_recovery_sheet.dart</x:v>
      </x:c>
      <x:c r="I1635" s="35" t="str">
        <x:v>FLD-0884; FLD-0885</x:v>
      </x:c>
      <x:c r="J1635" s="35" t="str"/>
      <x:c r="K1635" s="35" t="str"/>
      <x:c r="L1635" s="35" t="str">
        <x:v>Use the source-derived Field Inventory. Enter non-default realistic values in every control (_voidNote; _reissueReason); submit; reload or relaunch; compare every value; edit each mutable field; verify the paired client; then run required, format, length, range, boundary, optional-null, and stale-submit checks.</x:v>
      </x:c>
      <x:c r="M1635" s="35" t="str">
        <x:v>All 2 inventoried controls persist exact normalized values, invalid values stay unsaved with clear errors, and hidden/unauthorized fields cannot be altered.</x:v>
      </x:c>
      <x:c r="N1635" s="35" t="str">
        <x:v>Before/after form screenshots; FLD IDs; API response; reloaded UI; paired-client read-back; database/audit evidence; negative validation result.</x:v>
      </x:c>
      <x:c r="O1635" s="35" t="str">
        <x:v>Use a duplicate submit and one simulated network interruption; one atomic mutation or none, never partial state.</x:v>
      </x:c>
      <x:c r="P1635" s="35" t="str">
        <x:v>All expected records and amounts match; no unexplained error or stale state.</x:v>
      </x:c>
    </x:row>
    <x:row r="1636">
      <x:c r="A1636" s="20" t="str">
        <x:v>RUN-20271026-04</x:v>
      </x:c>
      <x:c r="B1636" s="23" t="n">
        <x:v>46686</x:v>
      </x:c>
      <x:c r="C1636" s="32" t="n">
        <x:v>4</x:v>
      </x:c>
      <x:c r="D1636" s="20" t="str">
        <x:v>Field certification</x:v>
      </x:c>
      <x:c r="E1636" s="20" t="str">
        <x:v>Applicant / public user</x:v>
      </x:c>
      <x:c r="F1636" s="20" t="str">
        <x:v>Mobile</x:v>
      </x:c>
      <x:c r="G1636" s="20" t="str">
        <x:v>Manual field-by-field</x:v>
      </x:c>
      <x:c r="H1636" s="35" t="str">
        <x:v>Fill, save, reload, edit, and validate every declared field on features/leases/lease_detail_screen.dart</x:v>
      </x:c>
      <x:c r="I1636" s="35" t="str">
        <x:v>FLD-0886</x:v>
      </x:c>
      <x:c r="J1636" s="35" t="str"/>
      <x:c r="K1636" s="35" t="str"/>
      <x:c r="L1636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636" s="35" t="str">
        <x:v>All 1 inventoried controls persist exact normalized values, invalid values stay unsaved with clear errors, and hidden/unauthorized fields cannot be altered.</x:v>
      </x:c>
      <x:c r="N1636" s="35" t="str">
        <x:v>Before/after form screenshots; FLD IDs; API response; reloaded UI; paired-client read-back; database/audit evidence; negative validation result.</x:v>
      </x:c>
      <x:c r="O1636" s="35" t="str">
        <x:v>Use a duplicate submit and one simulated network interruption; one atomic mutation or none, never partial state.</x:v>
      </x:c>
      <x:c r="P1636" s="35" t="str">
        <x:v>All expected records and amounts match; no unexplained error or stale state.</x:v>
      </x:c>
    </x:row>
    <x:row r="1637">
      <x:c r="A1637" s="20" t="str">
        <x:v>RUN-20271027-01</x:v>
      </x:c>
      <x:c r="B1637" s="23" t="n">
        <x:v>46687</x:v>
      </x:c>
      <x:c r="C1637" s="32" t="n">
        <x:v>1</x:v>
      </x:c>
      <x:c r="D1637" s="20" t="str">
        <x:v>Role and screen certification</x:v>
      </x:c>
      <x:c r="E1637" s="20" t="str">
        <x:v>Tenant</x:v>
      </x:c>
      <x:c r="F1637" s="20" t="str">
        <x:v>Mobile</x:v>
      </x:c>
      <x:c r="G1637" s="20" t="str">
        <x:v>Normal persona navigation</x:v>
      </x:c>
      <x:c r="H1637" s="35" t="str">
        <x:v>Use every permitted action and state on features/portal/tenant_account_history_screen.dart</x:v>
      </x:c>
      <x:c r="I1637" s="35" t="str">
        <x:v>SCR-162; ROLE-270</x:v>
      </x:c>
      <x:c r="J1637" s="35" t="str"/>
      <x:c r="K1637" s="35" t="str"/>
      <x:c r="L163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37" s="35" t="str">
        <x:v>The persona can use every allowed action with only its assigned properties/relationships. Hidden or disabled actions explain why; an adjacent unauthorized persona is denied without metadata leakage.</x:v>
      </x:c>
      <x:c r="N1637" s="35" t="str">
        <x:v>Persona/experience; navigation entry; desktop or device screenshots; result state; persisted read-back; audit/history; authorized and denied network result.</x:v>
      </x:c>
      <x:c r="O1637" s="35" t="str">
        <x:v>Open the direct URL or deep link with an adjacent unauthorized persona and with stale scope; both fail closed and land safely without mutation.</x:v>
      </x:c>
      <x:c r="P1637" s="35" t="str">
        <x:v>All expected records and amounts match; no unexplained error or stale state.</x:v>
      </x:c>
    </x:row>
    <x:row r="1638">
      <x:c r="A1638" s="20" t="str">
        <x:v>RUN-20271027-02</x:v>
      </x:c>
      <x:c r="B1638" s="23" t="n">
        <x:v>46687</x:v>
      </x:c>
      <x:c r="C1638" s="32" t="n">
        <x:v>2</x:v>
      </x:c>
      <x:c r="D1638" s="20" t="str">
        <x:v>Field certification</x:v>
      </x:c>
      <x:c r="E1638" s="20" t="str">
        <x:v>Applicant / public user</x:v>
      </x:c>
      <x:c r="F1638" s="20" t="str">
        <x:v>Mobile</x:v>
      </x:c>
      <x:c r="G1638" s="20" t="str">
        <x:v>Manual field-by-field</x:v>
      </x:c>
      <x:c r="H1638" s="35" t="str">
        <x:v>Fill, save, reload, edit, and validate every declared field on features/leases/lease_detail_screen.dart</x:v>
      </x:c>
      <x:c r="I1638" s="35" t="str">
        <x:v>FLD-0887</x:v>
      </x:c>
      <x:c r="J1638" s="35" t="str"/>
      <x:c r="K1638" s="35" t="str"/>
      <x:c r="L1638" s="35" t="str">
        <x:v>Use the source-derived Field Inventory. Enter non-default realistic values in every control (_reason); submit; reload or relaunch; compare every value; edit each mutable field; verify the paired client; then run required, format, length, range, boundary, optional-null, and stale-submit checks.</x:v>
      </x:c>
      <x:c r="M1638" s="35" t="str">
        <x:v>All 1 inventoried controls persist exact normalized values, invalid values stay unsaved with clear errors, and hidden/unauthorized fields cannot be altered.</x:v>
      </x:c>
      <x:c r="N1638" s="35" t="str">
        <x:v>Before/after form screenshots; FLD IDs; API response; reloaded UI; paired-client read-back; database/audit evidence; negative validation result.</x:v>
      </x:c>
      <x:c r="O1638" s="35" t="str">
        <x:v>Use a duplicate submit and one simulated network interruption; one atomic mutation or none, never partial state.</x:v>
      </x:c>
      <x:c r="P1638" s="35" t="str">
        <x:v>All expected records and amounts match; no unexplained error or stale state.</x:v>
      </x:c>
    </x:row>
    <x:row r="1639">
      <x:c r="A1639" s="20" t="str">
        <x:v>RUN-20271027-03</x:v>
      </x:c>
      <x:c r="B1639" s="23" t="n">
        <x:v>46687</x:v>
      </x:c>
      <x:c r="C1639" s="32" t="n">
        <x:v>3</x:v>
      </x:c>
      <x:c r="D1639" s="20" t="str">
        <x:v>Field certification</x:v>
      </x:c>
      <x:c r="E1639" s="20" t="str">
        <x:v>Applicant / public user</x:v>
      </x:c>
      <x:c r="F1639" s="20" t="str">
        <x:v>Mobile</x:v>
      </x:c>
      <x:c r="G1639" s="20" t="str">
        <x:v>Manual field-by-field</x:v>
      </x:c>
      <x:c r="H1639" s="35" t="str">
        <x:v>Fill, save, reload, edit, and validate every declared field on features/leases/prepare_move_in_sheet.dart</x:v>
      </x:c>
      <x:c r="I1639" s="35" t="str">
        <x:v>FLD-0888; FLD-0889; FLD-0890; FLD-0891</x:v>
      </x:c>
      <x:c r="J1639" s="35" t="str"/>
      <x:c r="K1639" s="35" t="str"/>
      <x:c r="L1639" s="35" t="str">
        <x:v>Use the source-derived Field Inventory. Enter non-default realistic values in every control (_applicationSearch; _templateSearch; Lease template; Term type); submit; reload or relaunch; compare every value; edit each mutable field; verify the paired client; then run required, format, length, range, boundary, optional-null, and stale-submit checks.</x:v>
      </x:c>
      <x:c r="M1639" s="35" t="str">
        <x:v>All 4 inventoried controls persist exact normalized values, invalid values stay unsaved with clear errors, and hidden/unauthorized fields cannot be altered.</x:v>
      </x:c>
      <x:c r="N1639" s="35" t="str">
        <x:v>Before/after form screenshots; FLD IDs; API response; reloaded UI; paired-client read-back; database/audit evidence; negative validation result.</x:v>
      </x:c>
      <x:c r="O1639" s="35" t="str">
        <x:v>Use a duplicate submit and one simulated network interruption; one atomic mutation or none, never partial state.</x:v>
      </x:c>
      <x:c r="P1639" s="35" t="str">
        <x:v>All expected records and amounts match; no unexplained error or stale state.</x:v>
      </x:c>
    </x:row>
    <x:row r="1640">
      <x:c r="A1640" s="20" t="str">
        <x:v>RUN-20271027-04</x:v>
      </x:c>
      <x:c r="B1640" s="23" t="n">
        <x:v>46687</x:v>
      </x:c>
      <x:c r="C1640" s="32" t="n">
        <x:v>4</x:v>
      </x:c>
      <x:c r="D1640" s="20" t="str">
        <x:v>Surface coverage</x:v>
      </x:c>
      <x:c r="E1640" s="20" t="str">
        <x:v>Role appropriate to surface</x:v>
      </x:c>
      <x:c r="F1640" s="20" t="str">
        <x:v>Mobile</x:v>
      </x:c>
      <x:c r="G1640" s="20" t="str">
        <x:v>Manual</x:v>
      </x:c>
      <x:c r="H1640" s="35" t="str">
        <x:v>Manual mobile pass: Accounting and all operational reports</x:v>
      </x:c>
      <x:c r="I1640" s="35" t="str">
        <x:v>COV-038</x:v>
      </x:c>
      <x:c r="J1640" s="35" t="str"/>
      <x:c r="K1640" s="35" t="str"/>
      <x:c r="L1640" s="35" t="str">
        <x:v>Run P&amp;L, GL, cash flow, rent roll, ledger, delinquency, occupancy, expirations, deposits, 1099, work orders, and filters.</x:v>
      </x:c>
      <x:c r="M1640" s="35" t="str">
        <x:v>The supported workflow completes and persists correctly; if the capability is absent, the exact gap is proven and queued rather than silently skipped.</x:v>
      </x:c>
      <x:c r="N1640" s="35" t="str">
        <x:v>Real UI screenshot/state; submitted values; persisted read-back; cross-client read-back; audit/role/access evidence.</x:v>
      </x:c>
      <x:c r="O1640" s="35" t="str">
        <x:v>Use one invalid value, stale-state retry, or duplicate submission relevant to the form; no partial or duplicate mutation.</x:v>
      </x:c>
      <x:c r="P1640" s="35" t="str">
        <x:v>All expected records and amounts match; no unexplained error or stale state.</x:v>
      </x:c>
    </x:row>
    <x:row r="1641">
      <x:c r="A1641" s="20" t="str">
        <x:v>RUN-20271028-01</x:v>
      </x:c>
      <x:c r="B1641" s="23" t="n">
        <x:v>46688</x:v>
      </x:c>
      <x:c r="C1641" s="32" t="n">
        <x:v>1</x:v>
      </x:c>
      <x:c r="D1641" s="20" t="str">
        <x:v>Role and screen certification</x:v>
      </x:c>
      <x:c r="E1641" s="20" t="str">
        <x:v>Tenant</x:v>
      </x:c>
      <x:c r="F1641" s="20" t="str">
        <x:v>Mobile</x:v>
      </x:c>
      <x:c r="G1641" s="20" t="str">
        <x:v>Normal persona navigation</x:v>
      </x:c>
      <x:c r="H1641" s="35" t="str">
        <x:v>Use every permitted action and state on features/portal/tenant_maintenance_screen.dart</x:v>
      </x:c>
      <x:c r="I1641" s="35" t="str">
        <x:v>SCR-163; ROLE-271</x:v>
      </x:c>
      <x:c r="J1641" s="35" t="str"/>
      <x:c r="K1641" s="35" t="str"/>
      <x:c r="L164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41" s="35" t="str">
        <x:v>The persona can use every allowed action with only its assigned properties/relationships. Hidden or disabled actions explain why; an adjacent unauthorized persona is denied without metadata leakage.</x:v>
      </x:c>
      <x:c r="N1641" s="35" t="str">
        <x:v>Persona/experience; navigation entry; desktop or device screenshots; result state; persisted read-back; audit/history; authorized and denied network result.</x:v>
      </x:c>
      <x:c r="O1641" s="35" t="str">
        <x:v>Open the direct URL or deep link with an adjacent unauthorized persona and with stale scope; both fail closed and land safely without mutation.</x:v>
      </x:c>
      <x:c r="P1641" s="35" t="str">
        <x:v>All expected records and amounts match; no unexplained error or stale state.</x:v>
      </x:c>
    </x:row>
    <x:row r="1642">
      <x:c r="A1642" s="20" t="str">
        <x:v>RUN-20271028-02</x:v>
      </x:c>
      <x:c r="B1642" s="23" t="n">
        <x:v>46688</x:v>
      </x:c>
      <x:c r="C1642" s="32" t="n">
        <x:v>2</x:v>
      </x:c>
      <x:c r="D1642" s="20" t="str">
        <x:v>Field certification</x:v>
      </x:c>
      <x:c r="E1642" s="20" t="str">
        <x:v>Applicant / public user</x:v>
      </x:c>
      <x:c r="F1642" s="20" t="str">
        <x:v>Mobile</x:v>
      </x:c>
      <x:c r="G1642" s="20" t="str">
        <x:v>Manual field-by-field</x:v>
      </x:c>
      <x:c r="H1642" s="35" t="str">
        <x:v>Fill, save, reload, edit, and validate every declared field on features/leases/prepare_move_in_sheet.dart</x:v>
      </x:c>
      <x:c r="I1642" s="35" t="str">
        <x:v>FLD-0892; FLD-0893</x:v>
      </x:c>
      <x:c r="J1642" s="35" t="str"/>
      <x:c r="K1642" s="35" t="str"/>
      <x:c r="L1642" s="35" t="str">
        <x:v>Use the source-derived Field Inventory. Enter non-default realistic values in every control (_openingNote; controller); submit; reload or relaunch; compare every value; edit each mutable field; verify the paired client; then run required, format, length, range, boundary, optional-null, and stale-submit checks.</x:v>
      </x:c>
      <x:c r="M1642" s="35" t="str">
        <x:v>All 2 inventoried controls persist exact normalized values, invalid values stay unsaved with clear errors, and hidden/unauthorized fields cannot be altered.</x:v>
      </x:c>
      <x:c r="N1642" s="35" t="str">
        <x:v>Before/after form screenshots; FLD IDs; API response; reloaded UI; paired-client read-back; database/audit evidence; negative validation result.</x:v>
      </x:c>
      <x:c r="O1642" s="35" t="str">
        <x:v>Use a duplicate submit and one simulated network interruption; one atomic mutation or none, never partial state.</x:v>
      </x:c>
      <x:c r="P1642" s="35" t="str">
        <x:v>All expected records and amounts match; no unexplained error or stale state.</x:v>
      </x:c>
    </x:row>
    <x:row r="1643">
      <x:c r="A1643" s="20" t="str">
        <x:v>RUN-20271028-03</x:v>
      </x:c>
      <x:c r="B1643" s="23" t="n">
        <x:v>46688</x:v>
      </x:c>
      <x:c r="C1643" s="32" t="n">
        <x:v>3</x:v>
      </x:c>
      <x:c r="D1643" s="20" t="str">
        <x:v>Field certification</x:v>
      </x:c>
      <x:c r="E1643" s="20" t="str">
        <x:v>Applicant / public user</x:v>
      </x:c>
      <x:c r="F1643" s="20" t="str">
        <x:v>Mobile</x:v>
      </x:c>
      <x:c r="G1643" s="20" t="str">
        <x:v>Manual field-by-field</x:v>
      </x:c>
      <x:c r="H1643" s="35" t="str">
        <x:v>Fill, save, reload, edit, and validate every declared field on features/leases/return_possession_sheet.dart</x:v>
      </x:c>
      <x:c r="I1643" s="35" t="str">
        <x:v>FLD-0894; FLD-0895</x:v>
      </x:c>
      <x:c r="J1643" s="35" t="str"/>
      <x:c r="K1643" s="35" t="str"/>
      <x:c r="L1643" s="35" t="str">
        <x:v>Use the source-derived Field Inventory. Enter non-default realistic values in every control (${party.tenantName} · ${_roleLabel(party.role)}; _turnoverReason); submit; reload or relaunch; compare every value; edit each mutable field; verify the paired client; then run required, format, length, range, boundary, optional-null, and stale-submit checks.</x:v>
      </x:c>
      <x:c r="M1643" s="35" t="str">
        <x:v>All 2 inventoried controls persist exact normalized values, invalid values stay unsaved with clear errors, and hidden/unauthorized fields cannot be altered.</x:v>
      </x:c>
      <x:c r="N1643" s="35" t="str">
        <x:v>Before/after form screenshots; FLD IDs; API response; reloaded UI; paired-client read-back; database/audit evidence; negative validation result.</x:v>
      </x:c>
      <x:c r="O1643" s="35" t="str">
        <x:v>Use a duplicate submit and one simulated network interruption; one atomic mutation or none, never partial state.</x:v>
      </x:c>
      <x:c r="P1643" s="35" t="str">
        <x:v>All expected records and amounts match; no unexplained error or stale state.</x:v>
      </x:c>
    </x:row>
    <x:row r="1644">
      <x:c r="A1644" s="20" t="str">
        <x:v>RUN-20271028-04</x:v>
      </x:c>
      <x:c r="B1644" s="23" t="n">
        <x:v>46688</x:v>
      </x:c>
      <x:c r="C1644" s="32" t="n">
        <x:v>4</x:v>
      </x:c>
      <x:c r="D1644" s="20" t="str">
        <x:v>Notification certification</x:v>
      </x:c>
      <x:c r="E1644" s="20" t="str">
        <x:v>Workspace Administrator</x:v>
      </x:c>
      <x:c r="F1644" s="20" t="str">
        <x:v>Web + Mobile</x:v>
      </x:c>
      <x:c r="G1644" s="20" t="str">
        <x:v>System event + preference/manual verification</x:v>
      </x:c>
      <x:c r="H1644" s="35" t="str">
        <x:v>Trigger and prove notification: Import batch complete/failed</x:v>
      </x:c>
      <x:c r="I1644" s="35" t="str">
        <x:v>NTF-041</x:v>
      </x:c>
      <x:c r="J1644" s="35" t="str"/>
      <x:c r="K1644" s="35" t="str"/>
      <x:c r="L1644" s="35" t="str">
        <x:v>Set each recipient's preferences; trigger the real business event; inspect routing and recipient scope; verify unread badge, list item, safe preview, import detail deep link, mark-read sync, configured channel outcome, provider failure/retry, and duplicate suppression.</x:v>
      </x:c>
      <x:c r="M1644" s="35" t="str">
        <x:v>Exactly the intended recipients receive one correctly routed notification; disabled optional channels stay silent; deep link opens authorized context; read state synchronizes.</x:v>
      </x:c>
      <x:c r="N1644" s="35" t="str">
        <x:v>Trigger record; routing decision; outbox/delivery status; web/mobile inbox; lock-screen-safe copy; deep-link target; audit/provider retry evidence.</x:v>
      </x:c>
      <x:c r="O1644" s="35" t="str">
        <x:v>Re-run the worker and deliver a duplicate provider callback; no duplicate user-visible event. Attempt the deep link as an unauthorized adjacent role.</x:v>
      </x:c>
      <x:c r="P1644" s="35" t="str">
        <x:v>All expected records and amounts match; no unexplained error or stale state.</x:v>
      </x:c>
    </x:row>
    <x:row r="1645">
      <x:c r="A1645" s="20" t="str">
        <x:v>RUN-20271029-01</x:v>
      </x:c>
      <x:c r="B1645" s="23" t="n">
        <x:v>46689</x:v>
      </x:c>
      <x:c r="C1645" s="32" t="n">
        <x:v>1</x:v>
      </x:c>
      <x:c r="D1645" s="20" t="str">
        <x:v>Role and screen certification</x:v>
      </x:c>
      <x:c r="E1645" s="20" t="str">
        <x:v>Tenant</x:v>
      </x:c>
      <x:c r="F1645" s="20" t="str">
        <x:v>Mobile</x:v>
      </x:c>
      <x:c r="G1645" s="20" t="str">
        <x:v>Normal persona navigation</x:v>
      </x:c>
      <x:c r="H1645" s="35" t="str">
        <x:v>Use every permitted action and state on features/portal/tenant_work_order_detail_screen.dart</x:v>
      </x:c>
      <x:c r="I1645" s="35" t="str">
        <x:v>SCR-164; ROLE-272</x:v>
      </x:c>
      <x:c r="J1645" s="35" t="str"/>
      <x:c r="K1645" s="35" t="str"/>
      <x:c r="L164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45" s="35" t="str">
        <x:v>The persona can use every allowed action with only its assigned properties/relationships. Hidden or disabled actions explain why; an adjacent unauthorized persona is denied without metadata leakage.</x:v>
      </x:c>
      <x:c r="N1645" s="35" t="str">
        <x:v>Persona/experience; navigation entry; desktop or device screenshots; result state; persisted read-back; audit/history; authorized and denied network result.</x:v>
      </x:c>
      <x:c r="O1645" s="35" t="str">
        <x:v>Open the direct URL or deep link with an adjacent unauthorized persona and with stale scope; both fail closed and land safely without mutation.</x:v>
      </x:c>
      <x:c r="P1645" s="35" t="str">
        <x:v>All expected records and amounts match; no unexplained error or stale state.</x:v>
      </x:c>
    </x:row>
    <x:row r="1646">
      <x:c r="A1646" s="20" t="str">
        <x:v>RUN-20271029-02</x:v>
      </x:c>
      <x:c r="B1646" s="23" t="n">
        <x:v>46689</x:v>
      </x:c>
      <x:c r="C1646" s="32" t="n">
        <x:v>2</x:v>
      </x:c>
      <x:c r="D1646" s="20" t="str">
        <x:v>Field certification</x:v>
      </x:c>
      <x:c r="E1646" s="20" t="str">
        <x:v>Applicant / public user</x:v>
      </x:c>
      <x:c r="F1646" s="20" t="str">
        <x:v>Mobile</x:v>
      </x:c>
      <x:c r="G1646" s="20" t="str">
        <x:v>Manual field-by-field</x:v>
      </x:c>
      <x:c r="H1646" s="35" t="str">
        <x:v>Fill, save, reload, edit, and validate every declared field on features/leases/successor_agreement_sheet.dart</x:v>
      </x:c>
      <x:c r="I1646" s="35" t="str">
        <x:v>FLD-0896; FLD-0897</x:v>
      </x:c>
      <x:c r="J1646" s="35" t="str"/>
      <x:c r="K1646" s="35" t="str"/>
      <x:c r="L1646" s="35" t="str">
        <x:v>Use the source-derived Field Inventory. Enter non-default realistic values in every control (_correctionReason; Successor treatment); submit; reload or relaunch; compare every value; edit each mutable field; verify the paired client; then run required, format, length, range, boundary, optional-null, and stale-submit checks.</x:v>
      </x:c>
      <x:c r="M1646" s="35" t="str">
        <x:v>All 2 inventoried controls persist exact normalized values, invalid values stay unsaved with clear errors, and hidden/unauthorized fields cannot be altered.</x:v>
      </x:c>
      <x:c r="N1646" s="35" t="str">
        <x:v>Before/after form screenshots; FLD IDs; API response; reloaded UI; paired-client read-back; database/audit evidence; negative validation result.</x:v>
      </x:c>
      <x:c r="O1646" s="35" t="str">
        <x:v>Use a duplicate submit and one simulated network interruption; one atomic mutation or none, never partial state.</x:v>
      </x:c>
      <x:c r="P1646" s="35" t="str">
        <x:v>All expected records and amounts match; no unexplained error or stale state.</x:v>
      </x:c>
    </x:row>
    <x:row r="1647">
      <x:c r="A1647" s="20" t="str">
        <x:v>RUN-20271029-03</x:v>
      </x:c>
      <x:c r="B1647" s="23" t="n">
        <x:v>46689</x:v>
      </x:c>
      <x:c r="C1647" s="32" t="n">
        <x:v>3</x:v>
      </x:c>
      <x:c r="D1647" s="20" t="str">
        <x:v>Field certification</x:v>
      </x:c>
      <x:c r="E1647" s="20" t="str">
        <x:v>Applicant / public user</x:v>
      </x:c>
      <x:c r="F1647" s="20" t="str">
        <x:v>Mobile</x:v>
      </x:c>
      <x:c r="G1647" s="20" t="str">
        <x:v>Manual field-by-field</x:v>
      </x:c>
      <x:c r="H1647" s="35" t="str">
        <x:v>Fill, save, reload, edit, and validate every declared field on features/leasing/leasing_detail_screens.dart</x:v>
      </x:c>
      <x:c r="I1647" s="35" t="str">
        <x:v>FLD-0898</x:v>
      </x:c>
      <x:c r="J1647" s="35" t="str"/>
      <x:c r="K1647" s="35" t="str"/>
      <x:c r="L1647" s="35" t="str">
        <x:v>Use the source-derived Field Inventory. Enter non-default realistic values in every control (_replyController); submit; reload or relaunch; compare every value; edit each mutable field; verify the paired client; then run required, format, length, range, boundary, optional-null, and stale-submit checks.</x:v>
      </x:c>
      <x:c r="M1647" s="35" t="str">
        <x:v>All 1 inventoried controls persist exact normalized values, invalid values stay unsaved with clear errors, and hidden/unauthorized fields cannot be altered.</x:v>
      </x:c>
      <x:c r="N1647" s="35" t="str">
        <x:v>Before/after form screenshots; FLD IDs; API response; reloaded UI; paired-client read-back; database/audit evidence; negative validation result.</x:v>
      </x:c>
      <x:c r="O1647" s="35" t="str">
        <x:v>Use a duplicate submit and one simulated network interruption; one atomic mutation or none, never partial state.</x:v>
      </x:c>
      <x:c r="P1647" s="35" t="str">
        <x:v>All expected records and amounts match; no unexplained error or stale state.</x:v>
      </x:c>
    </x:row>
    <x:row r="1648">
      <x:c r="A1648" s="20" t="str">
        <x:v>RUN-20271029-04</x:v>
      </x:c>
      <x:c r="B1648" s="23" t="n">
        <x:v>46689</x:v>
      </x:c>
      <x:c r="C1648" s="32" t="n">
        <x:v>4</x:v>
      </x:c>
      <x:c r="D1648" s="20" t="str">
        <x:v>Field certification</x:v>
      </x:c>
      <x:c r="E1648" s="20" t="str">
        <x:v>Applicant / public user</x:v>
      </x:c>
      <x:c r="F1648" s="20" t="str">
        <x:v>Mobile</x:v>
      </x:c>
      <x:c r="G1648" s="20" t="str">
        <x:v>Manual field-by-field</x:v>
      </x:c>
      <x:c r="H1648" s="35" t="str">
        <x:v>Fill, save, reload, edit, and validate every declared field on features/maintenance/create_work_order_sheet.dart</x:v>
      </x:c>
      <x:c r="I1648" s="35" t="str">
        <x:v>FLD-0899</x:v>
      </x:c>
      <x:c r="J1648" s="35" t="str"/>
      <x:c r="K1648" s="35" t="str"/>
      <x:c r="L1648" s="35" t="str">
        <x:v>Use the source-derived Field Inventory. Enter non-default realistic values in every control (null); submit; reload or relaunch; compare every value; edit each mutable field; verify the paired client; then run required, format, length, range, boundary, optional-null, and stale-submit checks.</x:v>
      </x:c>
      <x:c r="M1648" s="35" t="str">
        <x:v>All 1 inventoried controls persist exact normalized values, invalid values stay unsaved with clear errors, and hidden/unauthorized fields cannot be altered.</x:v>
      </x:c>
      <x:c r="N1648" s="35" t="str">
        <x:v>Before/after form screenshots; FLD IDs; API response; reloaded UI; paired-client read-back; database/audit evidence; negative validation result.</x:v>
      </x:c>
      <x:c r="O1648" s="35" t="str">
        <x:v>Use a duplicate submit and one simulated network interruption; one atomic mutation or none, never partial state.</x:v>
      </x:c>
      <x:c r="P1648" s="35" t="str">
        <x:v>All expected records and amounts match; no unexplained error or stale state.</x:v>
      </x:c>
    </x:row>
    <x:row r="1649">
      <x:c r="A1649" s="20" t="str">
        <x:v>RUN-20271031-01</x:v>
      </x:c>
      <x:c r="B1649" s="23" t="n">
        <x:v>46691</x:v>
      </x:c>
      <x:c r="C1649" s="32" t="n">
        <x:v>1</x:v>
      </x:c>
      <x:c r="D1649" s="20" t="str">
        <x:v>Monthly close</x:v>
      </x:c>
      <x:c r="E1649" s="20" t="str">
        <x:v>Workspace Administrator</x:v>
      </x:c>
      <x:c r="F1649" s="20" t="str">
        <x:v>Web + Mobile</x:v>
      </x:c>
      <x:c r="G1649" s="20" t="str">
        <x:v>Scan/import + reconciliation</x:v>
      </x:c>
      <x:c r="H1649" s="35" t="str">
        <x:v>October bank reconciliation and close</x:v>
      </x:c>
      <x:c r="I1649" s="35" t="str">
        <x:v>Operating account 4242; deposit trust account 1818; reserve account 7070</x:v>
      </x:c>
      <x:c r="J1649" s="35" t="str">
        <x:v>SCN-0730</x:v>
      </x:c>
      <x:c r="K1649" s="35" t="str"/>
      <x:c r="L1649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649" s="35" t="str">
        <x:v>Bank ending cash, AR, deposit trust/liability, loan balance, income, expense, and net operating result match the oracle with zero unexplained variance.</x:v>
      </x:c>
      <x:c r="N1649" s="35" t="str">
        <x:v>Bank reconciliation; accounting summary; P&amp;L; cash flow; rent roll/ledger; deposits; delinquency; owner statements; audit export.</x:v>
      </x:c>
      <x:c r="O1649" s="35" t="str">
        <x:v>Try one duplicate bank transaction and one date-filter boundary; prove DB-side totals and idempotent matching.</x:v>
      </x:c>
      <x:c r="P1649" s="35" t="str">
        <x:v>All monthly checks are OK or a reproducible bug is captured before advancing the clock.</x:v>
      </x:c>
    </x:row>
    <x:row r="1650">
      <x:c r="A1650" s="20" t="str">
        <x:v>RUN-20271031-02</x:v>
      </x:c>
      <x:c r="B1650" s="23" t="n">
        <x:v>46691</x:v>
      </x:c>
      <x:c r="C1650" s="32" t="n">
        <x:v>2</x:v>
      </x:c>
      <x:c r="D1650" s="20" t="str">
        <x:v>Lease ending</x:v>
      </x:c>
      <x:c r="E1650" s="20" t="str">
        <x:v>Property Manager + Maintenance Technician</x:v>
      </x:c>
      <x:c r="F1650" s="20" t="str">
        <x:v>Mobile + Web</x:v>
      </x:c>
      <x:c r="G1650" s="20" t="str">
        <x:v>Manual inspection + scanned report</x:v>
      </x:c>
      <x:c r="H1650" s="35" t="str">
        <x:v>Return possession, inspect, and open turnover</x:v>
      </x:c>
      <x:c r="I1650" s="35" t="str">
        <x:v>L003; U003</x:v>
      </x:c>
      <x:c r="J1650" s="35" t="str">
        <x:v>SCN-0934</x:v>
      </x:c>
      <x:c r="K1650" s="35" t="str"/>
      <x:c r="L1650" s="35" t="str">
        <x:v>Complete the move-out inspection on mobile; attach/report on web; record keys and possession returned; open turnover tasks; separate normal wear from chargeable damage.</x:v>
      </x:c>
      <x:c r="M1650" s="35" t="str">
        <x:v>Possession closes once, Unit becomes Turnover/Vacant as appropriate, inspection freezes after completion, and linked work orders appear.</x:v>
      </x:c>
      <x:c r="N1650" s="35" t="str">
        <x:v>Inspection checklist/report/photos; possession event; turnover workspace; occupancy and lease-expiration reports.</x:v>
      </x:c>
      <x:c r="O1650" s="35" t="str">
        <x:v>Try editing a completed inspection and returning possession twice; both are rejected without partial changes.</x:v>
      </x:c>
      <x:c r="P1650" s="35" t="str">
        <x:v>All expected records and amounts match; no unexplained error or stale state.</x:v>
      </x:c>
    </x:row>
    <x:row r="1651">
      <x:c r="A1651" s="20" t="str">
        <x:v>RUN-20271101-01</x:v>
      </x:c>
      <x:c r="B1651" s="23" t="n">
        <x:v>46692</x:v>
      </x:c>
      <x:c r="C1651" s="32" t="n">
        <x:v>1</x:v>
      </x:c>
      <x:c r="D1651" s="20" t="str">
        <x:v>Monthly operations</x:v>
      </x:c>
      <x:c r="E1651" s="20" t="str">
        <x:v>Workspace Administrator</x:v>
      </x:c>
      <x:c r="F1651" s="20" t="str">
        <x:v>Web + Mobile</x:v>
      </x:c>
      <x:c r="G1651" s="20" t="str">
        <x:v>System automation + reconciliation</x:v>
      </x:c>
      <x:c r="H1651" s="35" t="str">
        <x:v>November recurring rent generation</x:v>
      </x:c>
      <x:c r="I1651" s="35" t="str">
        <x:v>38 active tenant accounts</x:v>
      </x:c>
      <x:c r="J1651" s="35" t="str"/>
      <x:c r="K1651" s="35" t="str">
        <x:v>FIN-00854; FIN-00856; FIN-00858; FIN-00860; FIN-00862; FIN-00864; FIN-00866; FIN-00868; FIN-00872; FIN-00874; FIN-00877; FIN-00879; FIN-00881; FIN-00883; FIN-00885; FIN-00887; FIN-00889; FIN-00891; FIN-00893; FIN-00895; FIN-00898; FIN-00900; FIN-00902; FIN-00904; FIN-00906; FIN-00908; FIN-00910; FIN-00914; FIN-00916; FIN-00918; FIN-00920; FIN-00922; FIN-00924; FIN-00927; FIN-00929; FIN-00931; FIN-00933; FIN-00937</x:v>
      </x:c>
      <x:c r="L1651" s="35" t="str">
        <x:v>Advance the simulation clock to 08:00 local; run or wait for scheduled finance worker; compare generated charges to active governing agreements, start dates, proration, and unique billing-period keys.</x:v>
      </x:c>
      <x:c r="M1651" s="35" t="str">
        <x:v>Exactly 38 rent charges are posted once; mid-month starts prorate; ended leases do not receive future charges.</x:v>
      </x:c>
      <x:c r="N1651" s="35" t="str">
        <x:v>Worker status; charge list; month rent-roll export; sampled Unit/Lease/portal balances; SQL query evidence.</x:v>
      </x:c>
      <x:c r="O1651" s="35" t="str">
        <x:v>Run the finance worker a second time and prove no duplicate charge; inject one failure and prove charge/audit/outbox atomic rollback.</x:v>
      </x:c>
      <x:c r="P1651" s="35" t="str">
        <x:v>All expected records and amounts match; no unexplained error or stale state.</x:v>
      </x:c>
    </x:row>
    <x:row r="1652">
      <x:c r="A1652" s="20" t="str">
        <x:v>RUN-20271101-02</x:v>
      </x:c>
      <x:c r="B1652" s="23" t="n">
        <x:v>46692</x:v>
      </x:c>
      <x:c r="C1652" s="32" t="n">
        <x:v>2</x:v>
      </x:c>
      <x:c r="D1652" s="20" t="str">
        <x:v>Weekly operations</x:v>
      </x:c>
      <x:c r="E1652" s="20" t="str">
        <x:v>Property Manager</x:v>
      </x:c>
      <x:c r="F1652" s="20" t="str">
        <x:v>Web</x:v>
      </x:c>
      <x:c r="G1652" s="20" t="str">
        <x:v>Scan-first</x:v>
      </x:c>
      <x:c r="H1652" s="35" t="str">
        <x:v>Create and triage maintenance request</x:v>
      </x:c>
      <x:c r="I1652" s="35" t="str">
        <x:v>P025; U029; WO-2027-044</x:v>
      </x:c>
      <x:c r="J1652" s="35" t="str">
        <x:v>SCN-0425</x:v>
      </x:c>
      <x:c r="K1652" s="35" t="str"/>
      <x:c r="L1652" s="35" t="str">
        <x:v>Capture the tenant note/photo; review roof flashing leak; confirm; set responsibility; dispatch Summit Roofing; create an appointment and verify the tenant notification.</x:v>
      </x:c>
      <x:c r="M1652" s="35" t="str">
        <x:v>Work order, status timeline, responsibility, vendor dispatch, appointment, notification, and Unit context are linked once.</x:v>
      </x:c>
      <x:c r="N1652" s="35" t="str">
        <x:v>Scan review; work order detail/timeline; dispatch; appointment; notification; tenant portal view.</x:v>
      </x:c>
      <x:c r="O1652" s="35" t="str">
        <x:v>Cancel one dispatch each quarter, reassign once, and prove status/history remains append-only.</x:v>
      </x:c>
      <x:c r="P1652" s="35" t="str">
        <x:v>All expected records and amounts match; no unexplained error or stale state.</x:v>
      </x:c>
    </x:row>
    <x:row r="1653">
      <x:c r="A1653" s="20" t="str">
        <x:v>RUN-20271101-03</x:v>
      </x:c>
      <x:c r="B1653" s="23" t="n">
        <x:v>46692</x:v>
      </x:c>
      <x:c r="C1653" s="32" t="n">
        <x:v>3</x:v>
      </x:c>
      <x:c r="D1653" s="20" t="str">
        <x:v>Role and screen certification</x:v>
      </x:c>
      <x:c r="E1653" s="20" t="str">
        <x:v>Applicant / public user</x:v>
      </x:c>
      <x:c r="F1653" s="20" t="str">
        <x:v>Mobile</x:v>
      </x:c>
      <x:c r="G1653" s="20" t="str">
        <x:v>Normal persona navigation</x:v>
      </x:c>
      <x:c r="H1653" s="35" t="str">
        <x:v>Use every permitted action and state on features/properties/properties_list_screen.dart</x:v>
      </x:c>
      <x:c r="I1653" s="35" t="str">
        <x:v>SCR-165; ROLE-273</x:v>
      </x:c>
      <x:c r="J1653" s="35" t="str"/>
      <x:c r="K1653" s="35" t="str"/>
      <x:c r="L165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53" s="35" t="str">
        <x:v>The persona can use every allowed action with only its assigned properties/relationships. Hidden or disabled actions explain why; an adjacent unauthorized persona is denied without metadata leakage.</x:v>
      </x:c>
      <x:c r="N1653" s="35" t="str">
        <x:v>Persona/experience; navigation entry; desktop or device screenshots; result state; persisted read-back; audit/history; authorized and denied network result.</x:v>
      </x:c>
      <x:c r="O1653" s="35" t="str">
        <x:v>Open the direct URL or deep link with an adjacent unauthorized persona and with stale scope; both fail closed and land safely without mutation.</x:v>
      </x:c>
      <x:c r="P1653" s="35" t="str">
        <x:v>All expected records and amounts match; no unexplained error or stale state.</x:v>
      </x:c>
    </x:row>
    <x:row r="1654">
      <x:c r="A1654" s="20" t="str">
        <x:v>RUN-20271101-04</x:v>
      </x:c>
      <x:c r="B1654" s="23" t="n">
        <x:v>46692</x:v>
      </x:c>
      <x:c r="C1654" s="32" t="n">
        <x:v>4</x:v>
      </x:c>
      <x:c r="D1654" s="20" t="str">
        <x:v>Field certification</x:v>
      </x:c>
      <x:c r="E1654" s="20" t="str">
        <x:v>Applicant / public user</x:v>
      </x:c>
      <x:c r="F1654" s="20" t="str">
        <x:v>Mobile</x:v>
      </x:c>
      <x:c r="G1654" s="20" t="str">
        <x:v>Manual field-by-field</x:v>
      </x:c>
      <x:c r="H1654" s="35" t="str">
        <x:v>Fill, save, reload, edit, and validate every declared field on features/maintenance/create_work_order_sheet.dart</x:v>
      </x:c>
      <x:c r="I1654" s="35" t="str">
        <x:v>FLD-0900; FLD-0901; FLD-0902; FLD-0903; FLD-0904</x:v>
      </x:c>
      <x:c r="J1654" s="35" t="str"/>
      <x:c r="K1654" s="35" t="str"/>
      <x:c r="L1654" s="35" t="str">
        <x:v>Use the source-derived Field Inventory. Enter non-default realistic values in every control (Tenant (optional); _titleCtrl; _descCtrl; _technicianAccessCtrl; Priority); submit; reload or relaunch; compare every value; edit each mutable field; verify the paired client; then run required, format, length, range, boundary, optional-null, and stale-submit checks.</x:v>
      </x:c>
      <x:c r="M1654" s="35" t="str">
        <x:v>All 5 inventoried controls persist exact normalized values, invalid values stay unsaved with clear errors, and hidden/unauthorized fields cannot be altered.</x:v>
      </x:c>
      <x:c r="N1654" s="35" t="str">
        <x:v>Before/after form screenshots; FLD IDs; API response; reloaded UI; paired-client read-back; database/audit evidence; negative validation result.</x:v>
      </x:c>
      <x:c r="O1654" s="35" t="str">
        <x:v>Use a duplicate submit and one simulated network interruption; one atomic mutation or none, never partial state.</x:v>
      </x:c>
      <x:c r="P1654" s="35" t="str">
        <x:v>All expected records and amounts match; no unexplained error or stale state.</x:v>
      </x:c>
    </x:row>
    <x:row r="1655">
      <x:c r="A1655" s="20" t="str">
        <x:v>RUN-20271101-05</x:v>
      </x:c>
      <x:c r="B1655" s="23" t="n">
        <x:v>46692</x:v>
      </x:c>
      <x:c r="C1655" s="32" t="n">
        <x:v>5</x:v>
      </x:c>
      <x:c r="D1655" s="20" t="str">
        <x:v>Lifecycle certification</x:v>
      </x:c>
      <x:c r="E1655" s="20" t="str">
        <x:v>Workspace Administrator</x:v>
      </x:c>
      <x:c r="F1655" s="20" t="str">
        <x:v>Web + Mobile</x:v>
      </x:c>
      <x:c r="G1655" s="20" t="str">
        <x:v>Manual + scan/attachment where supported</x:v>
      </x:c>
      <x:c r="H1655" s="35" t="str">
        <x:v>Complete the full create/read/edit/lifecycle/delete-safe pass for Eviction case</x:v>
      </x:c>
      <x:c r="I1655" s="35" t="str">
        <x:v>CRUD-029</x:v>
      </x:c>
      <x:c r="J1655" s="35" t="str"/>
      <x:c r="K1655" s="35" t="str"/>
      <x:c r="L1655" s="35" t="str">
        <x:v>Use a dedicated disposable QA record and execute: open; edit; respondent; event; status; close; history; occupancy independence. Fill every field referenced by field-inventory.csv. Verify confirmation copy, cancel path, final path, reload, other-client state, history, and role denial.</x:v>
      </x:c>
      <x:c r="M1655" s="35" t="str">
        <x:v>Every supported transition succeeds exactly once; forbidden destructive actions are guarded; reversible deletion/deactivation works; financial and historical truth is preserved.</x:v>
      </x:c>
      <x:c r="N1655" s="35" t="str">
        <x:v>Entity before/after; both clients; all FLD IDs; audit/history; notifications; authorized and unauthorized personas; API/DB state.</x:v>
      </x:c>
      <x:c r="O1655" s="35" t="str">
        <x:v>Cancel the first destructive confirmation, then repeat and confirm; retry the mutation once; no double transition or orphan.</x:v>
      </x:c>
      <x:c r="P1655" s="35" t="str">
        <x:v>All expected records and amounts match; no unexplained error or stale state.</x:v>
      </x:c>
    </x:row>
    <x:row r="1656">
      <x:c r="A1656" s="20" t="str">
        <x:v>RUN-20271102-01</x:v>
      </x:c>
      <x:c r="B1656" s="23" t="n">
        <x:v>46693</x:v>
      </x:c>
      <x:c r="C1656" s="32" t="n">
        <x:v>1</x:v>
      </x:c>
      <x:c r="D1656" s="20" t="str">
        <x:v>Weekly operations</x:v>
      </x:c>
      <x:c r="E1656" s="20" t="str">
        <x:v>Property Manager</x:v>
      </x:c>
      <x:c r="F1656" s="20" t="str">
        <x:v>Web</x:v>
      </x:c>
      <x:c r="G1656" s="20" t="str">
        <x:v>Scanned receipt/invoice</x:v>
      </x:c>
      <x:c r="H1656" s="35" t="str">
        <x:v>Record, review, allocate, and pay operating expense</x:v>
      </x:c>
      <x:c r="I1656" s="35" t="str">
        <x:v>P025; U029; WO-2027-044</x:v>
      </x:c>
      <x:c r="J1656" s="35" t="str">
        <x:v>SCN-0426</x:v>
      </x:c>
      <x:c r="K1656" s="35" t="str">
        <x:v>FIN-01067</x:v>
      </x:c>
      <x:c r="L1656" s="35" t="str">
        <x:v>Capture or upload the source; verify vendor, date, scope, category, line items, tax, amount, and work-order link; confirm; open detail; verify attachment; compare Money and Property/Unit views.</x:v>
      </x:c>
      <x:c r="M1656" s="35" t="str">
        <x:v>One expense exists at its real operational scope, cash falls once, Schedule E category and allocations agree, and no per-unit copies are created.</x:v>
      </x:c>
      <x:c r="N1656" s="35" t="str">
        <x:v>Source preview; review/form; expense detail; line items; Property/Unit ledger; audit; accounting/report delta.</x:v>
      </x:c>
      <x:c r="O1656" s="35" t="str">
        <x:v>On marked duplicate-invoice cases, re-upload before confirm and prove the product prevents or clearly warns about duplication.</x:v>
      </x:c>
      <x:c r="P1656" s="35" t="str">
        <x:v>All expected records and amounts match; no unexplained error or stale state.</x:v>
      </x:c>
    </x:row>
    <x:row r="1657">
      <x:c r="A1657" s="20" t="str">
        <x:v>RUN-20271102-02</x:v>
      </x:c>
      <x:c r="B1657" s="23" t="n">
        <x:v>46693</x:v>
      </x:c>
      <x:c r="C1657" s="32" t="n">
        <x:v>2</x:v>
      </x:c>
      <x:c r="D1657" s="20" t="str">
        <x:v>Field certification</x:v>
      </x:c>
      <x:c r="E1657" s="20" t="str">
        <x:v>Applicant / public user</x:v>
      </x:c>
      <x:c r="F1657" s="20" t="str">
        <x:v>Mobile</x:v>
      </x:c>
      <x:c r="G1657" s="20" t="str">
        <x:v>Manual field-by-field</x:v>
      </x:c>
      <x:c r="H1657" s="35" t="str">
        <x:v>Fill, save, reload, edit, and validate every declared field on features/maintenance/create_work_order_sheet.dart</x:v>
      </x:c>
      <x:c r="I1657" s="35" t="str">
        <x:v>FLD-0905; FLD-0906</x:v>
      </x:c>
      <x:c r="J1657" s="35" t="str"/>
      <x:c r="K1657" s="35" t="str"/>
      <x:c r="L1657" s="35" t="str">
        <x:v>Use the source-derived Field Inventory. Enter non-default realistic values in every control (Category; _estCostCtrl); submit; reload or relaunch; compare every value; edit each mutable field; verify the paired client; then run required, format, length, range, boundary, optional-null, and stale-submit checks.</x:v>
      </x:c>
      <x:c r="M1657" s="35" t="str">
        <x:v>All 2 inventoried controls persist exact normalized values, invalid values stay unsaved with clear errors, and hidden/unauthorized fields cannot be altered.</x:v>
      </x:c>
      <x:c r="N1657" s="35" t="str">
        <x:v>Before/after form screenshots; FLD IDs; API response; reloaded UI; paired-client read-back; database/audit evidence; negative validation result.</x:v>
      </x:c>
      <x:c r="O1657" s="35" t="str">
        <x:v>Use a duplicate submit and one simulated network interruption; one atomic mutation or none, never partial state.</x:v>
      </x:c>
      <x:c r="P1657" s="35" t="str">
        <x:v>All expected records and amounts match; no unexplained error or stale state.</x:v>
      </x:c>
    </x:row>
    <x:row r="1658">
      <x:c r="A1658" s="20" t="str">
        <x:v>RUN-20271102-03</x:v>
      </x:c>
      <x:c r="B1658" s="23" t="n">
        <x:v>46693</x:v>
      </x:c>
      <x:c r="C1658" s="32" t="n">
        <x:v>3</x:v>
      </x:c>
      <x:c r="D1658" s="20" t="str">
        <x:v>Field certification</x:v>
      </x:c>
      <x:c r="E1658" s="20" t="str">
        <x:v>Applicant / public user</x:v>
      </x:c>
      <x:c r="F1658" s="20" t="str">
        <x:v>Mobile</x:v>
      </x:c>
      <x:c r="G1658" s="20" t="str">
        <x:v>Manual field-by-field</x:v>
      </x:c>
      <x:c r="H1658" s="35" t="str">
        <x:v>Fill, save, reload, edit, and validate every declared field on features/maintenance/work_order_detail_screen.dart</x:v>
      </x:c>
      <x:c r="I1658" s="35" t="str">
        <x:v>FLD-0907; FLD-0908</x:v>
      </x:c>
      <x:c r="J1658" s="35" t="str"/>
      <x:c r="K1658" s="35" t="str"/>
      <x:c r="L1658" s="35" t="str">
        <x:v>Use the source-derived Field Inventory. Enter non-default realistic values in every control (Technician; Reason); submit; reload or relaunch; compare every value; edit each mutable field; verify the paired client; then run required, format, length, range, boundary, optional-null, and stale-submit checks.</x:v>
      </x:c>
      <x:c r="M1658" s="35" t="str">
        <x:v>All 2 inventoried controls persist exact normalized values, invalid values stay unsaved with clear errors, and hidden/unauthorized fields cannot be altered.</x:v>
      </x:c>
      <x:c r="N1658" s="35" t="str">
        <x:v>Before/after form screenshots; FLD IDs; API response; reloaded UI; paired-client read-back; database/audit evidence; negative validation result.</x:v>
      </x:c>
      <x:c r="O1658" s="35" t="str">
        <x:v>Use a duplicate submit and one simulated network interruption; one atomic mutation or none, never partial state.</x:v>
      </x:c>
      <x:c r="P1658" s="35" t="str">
        <x:v>All expected records and amounts match; no unexplained error or stale state.</x:v>
      </x:c>
    </x:row>
    <x:row r="1659">
      <x:c r="A1659" s="20" t="str">
        <x:v>RUN-20271102-04</x:v>
      </x:c>
      <x:c r="B1659" s="23" t="n">
        <x:v>46693</x:v>
      </x:c>
      <x:c r="C1659" s="32" t="n">
        <x:v>4</x:v>
      </x:c>
      <x:c r="D1659" s="20" t="str">
        <x:v>Surface coverage</x:v>
      </x:c>
      <x:c r="E1659" s="20" t="str">
        <x:v>Role appropriate to surface</x:v>
      </x:c>
      <x:c r="F1659" s="20" t="str">
        <x:v>Web</x:v>
      </x:c>
      <x:c r="G1659" s="20" t="str">
        <x:v>Manual</x:v>
      </x:c>
      <x:c r="H1659" s="35" t="str">
        <x:v>Manual web pass: Tax and year-end packet</x:v>
      </x:c>
      <x:c r="I1659" s="35" t="str">
        <x:v>COV-039</x:v>
      </x:c>
      <x:c r="J1659" s="35" t="str"/>
      <x:c r="K1659" s="35" t="str"/>
      <x:c r="L1659" s="35" t="str">
        <x:v>Run Schedule E, depreciation, vendor 1099 review, owner packets, and date/property/category filters.</x:v>
      </x:c>
      <x:c r="M1659" s="35" t="str">
        <x:v>The supported workflow completes and persists correctly; if the capability is absent, the exact gap is proven and queued rather than silently skipped.</x:v>
      </x:c>
      <x:c r="N1659" s="35" t="str">
        <x:v>Real UI screenshot/state; submitted values; persisted read-back; cross-client read-back; audit/role/access evidence.</x:v>
      </x:c>
      <x:c r="O1659" s="35" t="str">
        <x:v>Use one invalid value, stale-state retry, or duplicate submission relevant to the form; no partial or duplicate mutation.</x:v>
      </x:c>
      <x:c r="P1659" s="35" t="str">
        <x:v>All expected records and amounts match; no unexplained error or stale state.</x:v>
      </x:c>
    </x:row>
    <x:row r="1660">
      <x:c r="A1660" s="20" t="str">
        <x:v>RUN-20271103-01</x:v>
      </x:c>
      <x:c r="B1660" s="23" t="n">
        <x:v>46694</x:v>
      </x:c>
      <x:c r="C1660" s="32" t="n">
        <x:v>1</x:v>
      </x:c>
      <x:c r="D1660" s="20" t="str">
        <x:v>Monthly operations</x:v>
      </x:c>
      <x:c r="E1660" s="20" t="str">
        <x:v>Property Manager</x:v>
      </x:c>
      <x:c r="F1660" s="20" t="str">
        <x:v>Web</x:v>
      </x:c>
      <x:c r="G1660" s="20" t="str">
        <x:v>Manual ACH</x:v>
      </x:c>
      <x:c r="H1660" s="35" t="str">
        <x:v>Post and allocate tenant receipt</x:v>
      </x:c>
      <x:c r="I1660" s="35" t="str">
        <x:v>P006; U006; L006</x:v>
      </x:c>
      <x:c r="J1660" s="35" t="str"/>
      <x:c r="K1660" s="35" t="str">
        <x:v>FIN-00860; FIN-00861</x:v>
      </x:c>
      <x:c r="L1660" s="35" t="str">
        <x:v>Open Scan for paper payment or the tenant-account receipt form for electronic payment; verify tenant/lease match, amount, date, method, and reference; confirm once; open ledger detail and allocation.</x:v>
      </x:c>
      <x:c r="M1660" s="35" t="str">
        <x:v>Receipt is append-only, allocated once to the correct rent charge, and visible consistently in Unit, Lease, Tenant Account, Accounting, and portal views.</x:v>
      </x:c>
      <x:c r="N1660" s="35" t="str">
        <x:v>Scan review or form; success result; exact ledger rows; payment detail; accounting delta; portal receipt.</x:v>
      </x:c>
      <x:c r="O1660" s="35" t="str">
        <x:v>Retry the idempotency key once during the quarter assigned in the coverage matrix; no duplicate cash or allocation.</x:v>
      </x:c>
      <x:c r="P1660" s="35" t="str">
        <x:v>All expected records and amounts match; no unexplained error or stale state.</x:v>
      </x:c>
    </x:row>
    <x:row r="1661">
      <x:c r="A1661" s="20" t="str">
        <x:v>RUN-20271103-02</x:v>
      </x:c>
      <x:c r="B1661" s="23" t="n">
        <x:v>46694</x:v>
      </x:c>
      <x:c r="C1661" s="32" t="n">
        <x:v>2</x:v>
      </x:c>
      <x:c r="D1661" s="20" t="str">
        <x:v>Monthly operations</x:v>
      </x:c>
      <x:c r="E1661" s="20" t="str">
        <x:v>Property Manager</x:v>
      </x:c>
      <x:c r="F1661" s="20" t="str">
        <x:v>Mobile</x:v>
      </x:c>
      <x:c r="G1661" s="20" t="str">
        <x:v>Scanned money order</x:v>
      </x:c>
      <x:c r="H1661" s="35" t="str">
        <x:v>Post and allocate tenant receipt</x:v>
      </x:c>
      <x:c r="I1661" s="35" t="str">
        <x:v>P009; U009; L009</x:v>
      </x:c>
      <x:c r="J1661" s="35" t="str">
        <x:v>SCN-0305</x:v>
      </x:c>
      <x:c r="K1661" s="35" t="str">
        <x:v>FIN-00864; FIN-00865</x:v>
      </x:c>
      <x:c r="L1661" s="35" t="str">
        <x:v>Open Scan for paper payment or the tenant-account receipt form for electronic payment; verify tenant/lease match, amount, date, method, and reference; confirm once; open ledger detail and allocation.</x:v>
      </x:c>
      <x:c r="M1661" s="35" t="str">
        <x:v>Receipt is append-only, allocated once to the correct rent charge, and visible consistently in Unit, Lease, Tenant Account, Accounting, and portal views.</x:v>
      </x:c>
      <x:c r="N1661" s="35" t="str">
        <x:v>Scan review or form; success result; exact ledger rows; payment detail; accounting delta; portal receipt.</x:v>
      </x:c>
      <x:c r="O1661" s="35" t="str">
        <x:v>Retry the idempotency key once during the quarter assigned in the coverage matrix; no duplicate cash or allocation.</x:v>
      </x:c>
      <x:c r="P1661" s="35" t="str">
        <x:v>All expected records and amounts match; no unexplained error or stale state.</x:v>
      </x:c>
    </x:row>
    <x:row r="1662">
      <x:c r="A1662" s="20" t="str">
        <x:v>RUN-20271103-03</x:v>
      </x:c>
      <x:c r="B1662" s="23" t="n">
        <x:v>46694</x:v>
      </x:c>
      <x:c r="C1662" s="32" t="n">
        <x:v>3</x:v>
      </x:c>
      <x:c r="D1662" s="20" t="str">
        <x:v>Monthly operations</x:v>
      </x:c>
      <x:c r="E1662" s="20" t="str">
        <x:v>Property Manager</x:v>
      </x:c>
      <x:c r="F1662" s="20" t="str">
        <x:v>Mobile</x:v>
      </x:c>
      <x:c r="G1662" s="20" t="str">
        <x:v>Portal card</x:v>
      </x:c>
      <x:c r="H1662" s="35" t="str">
        <x:v>Post and allocate tenant receipt</x:v>
      </x:c>
      <x:c r="I1662" s="35" t="str">
        <x:v>P011; U011; L011</x:v>
      </x:c>
      <x:c r="J1662" s="35" t="str"/>
      <x:c r="K1662" s="35" t="str">
        <x:v>FIN-00868; FIN-00869</x:v>
      </x:c>
      <x:c r="L1662" s="35" t="str">
        <x:v>Open Scan for paper payment or the tenant-account receipt form for electronic payment; verify tenant/lease match, amount, date, method, and reference; confirm once; open ledger detail and allocation.</x:v>
      </x:c>
      <x:c r="M1662" s="35" t="str">
        <x:v>Receipt is append-only, allocated once to the correct rent charge, and visible consistently in Unit, Lease, Tenant Account, Accounting, and portal views.</x:v>
      </x:c>
      <x:c r="N1662" s="35" t="str">
        <x:v>Scan review or form; success result; exact ledger rows; payment detail; accounting delta; portal receipt.</x:v>
      </x:c>
      <x:c r="O1662" s="35" t="str">
        <x:v>Retry the idempotency key once during the quarter assigned in the coverage matrix; no duplicate cash or allocation.</x:v>
      </x:c>
      <x:c r="P1662" s="35" t="str">
        <x:v>All expected records and amounts match; no unexplained error or stale state.</x:v>
      </x:c>
    </x:row>
    <x:row r="1663">
      <x:c r="A1663" s="20" t="str">
        <x:v>RUN-20271103-04</x:v>
      </x:c>
      <x:c r="B1663" s="23" t="n">
        <x:v>46694</x:v>
      </x:c>
      <x:c r="C1663" s="32" t="n">
        <x:v>4</x:v>
      </x:c>
      <x:c r="D1663" s="20" t="str">
        <x:v>Monthly operations</x:v>
      </x:c>
      <x:c r="E1663" s="20" t="str">
        <x:v>Property Manager</x:v>
      </x:c>
      <x:c r="F1663" s="20" t="str">
        <x:v>Web</x:v>
      </x:c>
      <x:c r="G1663" s="20" t="str">
        <x:v>Scanned check</x:v>
      </x:c>
      <x:c r="H1663" s="35" t="str">
        <x:v>Post and allocate tenant receipt</x:v>
      </x:c>
      <x:c r="I1663" s="35" t="str">
        <x:v>P012; U012; L012</x:v>
      </x:c>
      <x:c r="J1663" s="35" t="str">
        <x:v>SCN-0307</x:v>
      </x:c>
      <x:c r="K1663" s="35" t="str">
        <x:v>FIN-00872; FIN-00873</x:v>
      </x:c>
      <x:c r="L1663" s="35" t="str">
        <x:v>Open Scan for paper payment or the tenant-account receipt form for electronic payment; verify tenant/lease match, amount, date, method, and reference; confirm once; open ledger detail and allocation.</x:v>
      </x:c>
      <x:c r="M1663" s="35" t="str">
        <x:v>Receipt is append-only, allocated once to the correct rent charge, and visible consistently in Unit, Lease, Tenant Account, Accounting, and portal views.</x:v>
      </x:c>
      <x:c r="N1663" s="35" t="str">
        <x:v>Scan review or form; success result; exact ledger rows; payment detail; accounting delta; portal receipt.</x:v>
      </x:c>
      <x:c r="O1663" s="35" t="str">
        <x:v>Retry the idempotency key once during the quarter assigned in the coverage matrix; no duplicate cash or allocation.</x:v>
      </x:c>
      <x:c r="P1663" s="35" t="str">
        <x:v>All expected records and amounts match; no unexplained error or stale state.</x:v>
      </x:c>
    </x:row>
    <x:row r="1664">
      <x:c r="A1664" s="20" t="str">
        <x:v>RUN-20271103-05</x:v>
      </x:c>
      <x:c r="B1664" s="23" t="n">
        <x:v>46694</x:v>
      </x:c>
      <x:c r="C1664" s="32" t="n">
        <x:v>5</x:v>
      </x:c>
      <x:c r="D1664" s="20" t="str">
        <x:v>Monthly operations</x:v>
      </x:c>
      <x:c r="E1664" s="20" t="str">
        <x:v>Property Manager</x:v>
      </x:c>
      <x:c r="F1664" s="20" t="str">
        <x:v>Mobile</x:v>
      </x:c>
      <x:c r="G1664" s="20" t="str">
        <x:v>Portal card</x:v>
      </x:c>
      <x:c r="H1664" s="35" t="str">
        <x:v>Post and allocate tenant receipt</x:v>
      </x:c>
      <x:c r="I1664" s="35" t="str">
        <x:v>P015; U015; L015</x:v>
      </x:c>
      <x:c r="J1664" s="35" t="str"/>
      <x:c r="K1664" s="35" t="str">
        <x:v>FIN-00877; FIN-00878</x:v>
      </x:c>
      <x:c r="L1664" s="35" t="str">
        <x:v>Open Scan for paper payment or the tenant-account receipt form for electronic payment; verify tenant/lease match, amount, date, method, and reference; confirm once; open ledger detail and allocation.</x:v>
      </x:c>
      <x:c r="M1664" s="35" t="str">
        <x:v>Receipt is append-only, allocated once to the correct rent charge, and visible consistently in Unit, Lease, Tenant Account, Accounting, and portal views.</x:v>
      </x:c>
      <x:c r="N1664" s="35" t="str">
        <x:v>Scan review or form; success result; exact ledger rows; payment detail; accounting delta; portal receipt.</x:v>
      </x:c>
      <x:c r="O1664" s="35" t="str">
        <x:v>Retry the idempotency key once during the quarter assigned in the coverage matrix; no duplicate cash or allocation.</x:v>
      </x:c>
      <x:c r="P1664" s="35" t="str">
        <x:v>All expected records and amounts match; no unexplained error or stale state.</x:v>
      </x:c>
    </x:row>
    <x:row r="1665">
      <x:c r="A1665" s="20" t="str">
        <x:v>RUN-20271103-06</x:v>
      </x:c>
      <x:c r="B1665" s="23" t="n">
        <x:v>46694</x:v>
      </x:c>
      <x:c r="C1665" s="32" t="n">
        <x:v>6</x:v>
      </x:c>
      <x:c r="D1665" s="20" t="str">
        <x:v>Monthly operations</x:v>
      </x:c>
      <x:c r="E1665" s="20" t="str">
        <x:v>Property Manager</x:v>
      </x:c>
      <x:c r="F1665" s="20" t="str">
        <x:v>Web</x:v>
      </x:c>
      <x:c r="G1665" s="20" t="str">
        <x:v>Manual ACH</x:v>
      </x:c>
      <x:c r="H1665" s="35" t="str">
        <x:v>Post and allocate tenant receipt</x:v>
      </x:c>
      <x:c r="I1665" s="35" t="str">
        <x:v>P018; U018; L018</x:v>
      </x:c>
      <x:c r="J1665" s="35" t="str"/>
      <x:c r="K1665" s="35" t="str">
        <x:v>FIN-00881; FIN-00882</x:v>
      </x:c>
      <x:c r="L1665" s="35" t="str">
        <x:v>Open Scan for paper payment or the tenant-account receipt form for electronic payment; verify tenant/lease match, amount, date, method, and reference; confirm once; open ledger detail and allocation.</x:v>
      </x:c>
      <x:c r="M1665" s="35" t="str">
        <x:v>Receipt is append-only, allocated once to the correct rent charge, and visible consistently in Unit, Lease, Tenant Account, Accounting, and portal views.</x:v>
      </x:c>
      <x:c r="N1665" s="35" t="str">
        <x:v>Scan review or form; success result; exact ledger rows; payment detail; accounting delta; portal receipt.</x:v>
      </x:c>
      <x:c r="O1665" s="35" t="str">
        <x:v>Retry the idempotency key once during the quarter assigned in the coverage matrix; no duplicate cash or allocation.</x:v>
      </x:c>
      <x:c r="P1665" s="35" t="str">
        <x:v>All expected records and amounts match; no unexplained error or stale state.</x:v>
      </x:c>
    </x:row>
    <x:row r="1666">
      <x:c r="A1666" s="20" t="str">
        <x:v>RUN-20271103-07</x:v>
      </x:c>
      <x:c r="B1666" s="23" t="n">
        <x:v>46694</x:v>
      </x:c>
      <x:c r="C1666" s="32" t="n">
        <x:v>7</x:v>
      </x:c>
      <x:c r="D1666" s="20" t="str">
        <x:v>Monthly operations</x:v>
      </x:c>
      <x:c r="E1666" s="20" t="str">
        <x:v>Property Manager</x:v>
      </x:c>
      <x:c r="F1666" s="20" t="str">
        <x:v>Mobile</x:v>
      </x:c>
      <x:c r="G1666" s="20" t="str">
        <x:v>Scanned money order</x:v>
      </x:c>
      <x:c r="H1666" s="35" t="str">
        <x:v>Post and allocate tenant receipt</x:v>
      </x:c>
      <x:c r="I1666" s="35" t="str">
        <x:v>P021; U021; L021</x:v>
      </x:c>
      <x:c r="J1666" s="35" t="str">
        <x:v>SCN-0311</x:v>
      </x:c>
      <x:c r="K1666" s="35" t="str">
        <x:v>FIN-00887; FIN-00888</x:v>
      </x:c>
      <x:c r="L1666" s="35" t="str">
        <x:v>Open Scan for paper payment or the tenant-account receipt form for electronic payment; verify tenant/lease match, amount, date, method, and reference; confirm once; open ledger detail and allocation.</x:v>
      </x:c>
      <x:c r="M1666" s="35" t="str">
        <x:v>Receipt is append-only, allocated once to the correct rent charge, and visible consistently in Unit, Lease, Tenant Account, Accounting, and portal views.</x:v>
      </x:c>
      <x:c r="N1666" s="35" t="str">
        <x:v>Scan review or form; success result; exact ledger rows; payment detail; accounting delta; portal receipt.</x:v>
      </x:c>
      <x:c r="O1666" s="35" t="str">
        <x:v>Retry the idempotency key once during the quarter assigned in the coverage matrix; no duplicate cash or allocation.</x:v>
      </x:c>
      <x:c r="P1666" s="35" t="str">
        <x:v>All expected records and amounts match; no unexplained error or stale state.</x:v>
      </x:c>
    </x:row>
    <x:row r="1667">
      <x:c r="A1667" s="20" t="str">
        <x:v>RUN-20271103-08</x:v>
      </x:c>
      <x:c r="B1667" s="23" t="n">
        <x:v>46694</x:v>
      </x:c>
      <x:c r="C1667" s="32" t="n">
        <x:v>8</x:v>
      </x:c>
      <x:c r="D1667" s="20" t="str">
        <x:v>Monthly operations</x:v>
      </x:c>
      <x:c r="E1667" s="20" t="str">
        <x:v>Property Manager</x:v>
      </x:c>
      <x:c r="F1667" s="20" t="str">
        <x:v>Web</x:v>
      </x:c>
      <x:c r="G1667" s="20" t="str">
        <x:v>Scanned check</x:v>
      </x:c>
      <x:c r="H1667" s="35" t="str">
        <x:v>Post and allocate tenant receipt</x:v>
      </x:c>
      <x:c r="I1667" s="35" t="str">
        <x:v>P022; U024; L024</x:v>
      </x:c>
      <x:c r="J1667" s="35" t="str">
        <x:v>SCN-0312</x:v>
      </x:c>
      <x:c r="K1667" s="35" t="str">
        <x:v>FIN-00891; FIN-00892</x:v>
      </x:c>
      <x:c r="L1667" s="35" t="str">
        <x:v>Open Scan for paper payment or the tenant-account receipt form for electronic payment; verify tenant/lease match, amount, date, method, and reference; confirm once; open ledger detail and allocation.</x:v>
      </x:c>
      <x:c r="M1667" s="35" t="str">
        <x:v>Receipt is append-only, allocated once to the correct rent charge, and visible consistently in Unit, Lease, Tenant Account, Accounting, and portal views.</x:v>
      </x:c>
      <x:c r="N1667" s="35" t="str">
        <x:v>Scan review or form; success result; exact ledger rows; payment detail; accounting delta; portal receipt.</x:v>
      </x:c>
      <x:c r="O1667" s="35" t="str">
        <x:v>Retry the idempotency key once during the quarter assigned in the coverage matrix; no duplicate cash or allocation.</x:v>
      </x:c>
      <x:c r="P1667" s="35" t="str">
        <x:v>All expected records and amounts match; no unexplained error or stale state.</x:v>
      </x:c>
    </x:row>
    <x:row r="1668">
      <x:c r="A1668" s="20" t="str">
        <x:v>RUN-20271103-09</x:v>
      </x:c>
      <x:c r="B1668" s="23" t="n">
        <x:v>46694</x:v>
      </x:c>
      <x:c r="C1668" s="32" t="n">
        <x:v>9</x:v>
      </x:c>
      <x:c r="D1668" s="20" t="str">
        <x:v>Monthly operations</x:v>
      </x:c>
      <x:c r="E1668" s="20" t="str">
        <x:v>Property Manager</x:v>
      </x:c>
      <x:c r="F1668" s="20" t="str">
        <x:v>Mobile</x:v>
      </x:c>
      <x:c r="G1668" s="20" t="str">
        <x:v>Portal card</x:v>
      </x:c>
      <x:c r="H1668" s="35" t="str">
        <x:v>Post and allocate tenant receipt</x:v>
      </x:c>
      <x:c r="I1668" s="35" t="str">
        <x:v>P024; U027; L027</x:v>
      </x:c>
      <x:c r="J1668" s="35" t="str"/>
      <x:c r="K1668" s="35" t="str">
        <x:v>FIN-00898; FIN-00899</x:v>
      </x:c>
      <x:c r="L1668" s="35" t="str">
        <x:v>Open Scan for paper payment or the tenant-account receipt form for electronic payment; verify tenant/lease match, amount, date, method, and reference; confirm once; open ledger detail and allocation.</x:v>
      </x:c>
      <x:c r="M1668" s="35" t="str">
        <x:v>Receipt is append-only, allocated once to the correct rent charge, and visible consistently in Unit, Lease, Tenant Account, Accounting, and portal views.</x:v>
      </x:c>
      <x:c r="N1668" s="35" t="str">
        <x:v>Scan review or form; success result; exact ledger rows; payment detail; accounting delta; portal receipt.</x:v>
      </x:c>
      <x:c r="O1668" s="35" t="str">
        <x:v>Retry the idempotency key once during the quarter assigned in the coverage matrix; no duplicate cash or allocation.</x:v>
      </x:c>
      <x:c r="P1668" s="35" t="str">
        <x:v>All expected records and amounts match; no unexplained error or stale state.</x:v>
      </x:c>
    </x:row>
    <x:row r="1669">
      <x:c r="A1669" s="20" t="str">
        <x:v>RUN-20271103-10</x:v>
      </x:c>
      <x:c r="B1669" s="23" t="n">
        <x:v>46694</x:v>
      </x:c>
      <x:c r="C1669" s="32" t="n">
        <x:v>10</x:v>
      </x:c>
      <x:c r="D1669" s="20" t="str">
        <x:v>Monthly operations</x:v>
      </x:c>
      <x:c r="E1669" s="20" t="str">
        <x:v>Property Manager</x:v>
      </x:c>
      <x:c r="F1669" s="20" t="str">
        <x:v>Web</x:v>
      </x:c>
      <x:c r="G1669" s="20" t="str">
        <x:v>Manual ACH</x:v>
      </x:c>
      <x:c r="H1669" s="35" t="str">
        <x:v>Post and allocate tenant receipt</x:v>
      </x:c>
      <x:c r="I1669" s="35" t="str">
        <x:v>P025; U030; L030</x:v>
      </x:c>
      <x:c r="J1669" s="35" t="str"/>
      <x:c r="K1669" s="35" t="str">
        <x:v>FIN-00904; FIN-00905</x:v>
      </x:c>
      <x:c r="L1669" s="35" t="str">
        <x:v>Open Scan for paper payment or the tenant-account receipt form for electronic payment; verify tenant/lease match, amount, date, method, and reference; confirm once; open ledger detail and allocation.</x:v>
      </x:c>
      <x:c r="M1669" s="35" t="str">
        <x:v>Receipt is append-only, allocated once to the correct rent charge, and visible consistently in Unit, Lease, Tenant Account, Accounting, and portal views.</x:v>
      </x:c>
      <x:c r="N1669" s="35" t="str">
        <x:v>Scan review or form; success result; exact ledger rows; payment detail; accounting delta; portal receipt.</x:v>
      </x:c>
      <x:c r="O1669" s="35" t="str">
        <x:v>Retry the idempotency key once during the quarter assigned in the coverage matrix; no duplicate cash or allocation.</x:v>
      </x:c>
      <x:c r="P1669" s="35" t="str">
        <x:v>All expected records and amounts match; no unexplained error or stale state.</x:v>
      </x:c>
    </x:row>
    <x:row r="1670">
      <x:c r="A1670" s="20" t="str">
        <x:v>RUN-20271103-11</x:v>
      </x:c>
      <x:c r="B1670" s="23" t="n">
        <x:v>46694</x:v>
      </x:c>
      <x:c r="C1670" s="32" t="n">
        <x:v>11</x:v>
      </x:c>
      <x:c r="D1670" s="20" t="str">
        <x:v>Monthly operations</x:v>
      </x:c>
      <x:c r="E1670" s="20" t="str">
        <x:v>Property Manager</x:v>
      </x:c>
      <x:c r="F1670" s="20" t="str">
        <x:v>Mobile</x:v>
      </x:c>
      <x:c r="G1670" s="20" t="str">
        <x:v>Scanned money order</x:v>
      </x:c>
      <x:c r="H1670" s="35" t="str">
        <x:v>Post and allocate tenant receipt</x:v>
      </x:c>
      <x:c r="I1670" s="35" t="str">
        <x:v>P027; U033; L033</x:v>
      </x:c>
      <x:c r="J1670" s="35" t="str">
        <x:v>SCN-0318</x:v>
      </x:c>
      <x:c r="K1670" s="35" t="str">
        <x:v>FIN-00910; FIN-00911</x:v>
      </x:c>
      <x:c r="L1670" s="35" t="str">
        <x:v>Open Scan for paper payment or the tenant-account receipt form for electronic payment; verify tenant/lease match, amount, date, method, and reference; confirm once; open ledger detail and allocation.</x:v>
      </x:c>
      <x:c r="M1670" s="35" t="str">
        <x:v>Receipt is append-only, allocated once to the correct rent charge, and visible consistently in Unit, Lease, Tenant Account, Accounting, and portal views.</x:v>
      </x:c>
      <x:c r="N1670" s="35" t="str">
        <x:v>Scan review or form; success result; exact ledger rows; payment detail; accounting delta; portal receipt.</x:v>
      </x:c>
      <x:c r="O1670" s="35" t="str">
        <x:v>Retry the idempotency key once during the quarter assigned in the coverage matrix; no duplicate cash or allocation.</x:v>
      </x:c>
      <x:c r="P1670" s="35" t="str">
        <x:v>All expected records and amounts match; no unexplained error or stale state.</x:v>
      </x:c>
    </x:row>
    <x:row r="1671">
      <x:c r="A1671" s="20" t="str">
        <x:v>RUN-20271103-12</x:v>
      </x:c>
      <x:c r="B1671" s="23" t="n">
        <x:v>46694</x:v>
      </x:c>
      <x:c r="C1671" s="32" t="n">
        <x:v>12</x:v>
      </x:c>
      <x:c r="D1671" s="20" t="str">
        <x:v>Monthly operations</x:v>
      </x:c>
      <x:c r="E1671" s="20" t="str">
        <x:v>Property Manager</x:v>
      </x:c>
      <x:c r="F1671" s="20" t="str">
        <x:v>Web</x:v>
      </x:c>
      <x:c r="G1671" s="20" t="str">
        <x:v>Scanned check</x:v>
      </x:c>
      <x:c r="H1671" s="35" t="str">
        <x:v>Post and allocate tenant receipt</x:v>
      </x:c>
      <x:c r="I1671" s="35" t="str">
        <x:v>P028; U036; L036</x:v>
      </x:c>
      <x:c r="J1671" s="35" t="str">
        <x:v>SCN-0319</x:v>
      </x:c>
      <x:c r="K1671" s="35" t="str">
        <x:v>FIN-00918; FIN-00919</x:v>
      </x:c>
      <x:c r="L1671" s="35" t="str">
        <x:v>Open Scan for paper payment or the tenant-account receipt form for electronic payment; verify tenant/lease match, amount, date, method, and reference; confirm once; open ledger detail and allocation.</x:v>
      </x:c>
      <x:c r="M1671" s="35" t="str">
        <x:v>Receipt is append-only, allocated once to the correct rent charge, and visible consistently in Unit, Lease, Tenant Account, Accounting, and portal views.</x:v>
      </x:c>
      <x:c r="N1671" s="35" t="str">
        <x:v>Scan review or form; success result; exact ledger rows; payment detail; accounting delta; portal receipt.</x:v>
      </x:c>
      <x:c r="O1671" s="35" t="str">
        <x:v>Retry the idempotency key once during the quarter assigned in the coverage matrix; no duplicate cash or allocation.</x:v>
      </x:c>
      <x:c r="P1671" s="35" t="str">
        <x:v>All expected records and amounts match; no unexplained error or stale state.</x:v>
      </x:c>
    </x:row>
    <x:row r="1672">
      <x:c r="A1672" s="20" t="str">
        <x:v>RUN-20271103-13</x:v>
      </x:c>
      <x:c r="B1672" s="23" t="n">
        <x:v>46694</x:v>
      </x:c>
      <x:c r="C1672" s="32" t="n">
        <x:v>13</x:v>
      </x:c>
      <x:c r="D1672" s="20" t="str">
        <x:v>Monthly operations</x:v>
      </x:c>
      <x:c r="E1672" s="20" t="str">
        <x:v>Property Manager</x:v>
      </x:c>
      <x:c r="F1672" s="20" t="str">
        <x:v>Web</x:v>
      </x:c>
      <x:c r="G1672" s="20" t="str">
        <x:v>Scanned check</x:v>
      </x:c>
      <x:c r="H1672" s="35" t="str">
        <x:v>Post and allocate tenant receipt</x:v>
      </x:c>
      <x:c r="I1672" s="35" t="str">
        <x:v>P029; U038; L044</x:v>
      </x:c>
      <x:c r="J1672" s="35" t="str">
        <x:v>SCN-0323</x:v>
      </x:c>
      <x:c r="K1672" s="35" t="str">
        <x:v>FIN-00933; FIN-00934</x:v>
      </x:c>
      <x:c r="L1672" s="35" t="str">
        <x:v>Open Scan for paper payment or the tenant-account receipt form for electronic payment; verify tenant/lease match, amount, date, method, and reference; confirm once; open ledger detail and allocation.</x:v>
      </x:c>
      <x:c r="M1672" s="35" t="str">
        <x:v>Receipt is append-only, allocated once to the correct rent charge, and visible consistently in Unit, Lease, Tenant Account, Accounting, and portal views.</x:v>
      </x:c>
      <x:c r="N1672" s="35" t="str">
        <x:v>Scan review or form; success result; exact ledger rows; payment detail; accounting delta; portal receipt.</x:v>
      </x:c>
      <x:c r="O1672" s="35" t="str">
        <x:v>Retry the idempotency key once during the quarter assigned in the coverage matrix; no duplicate cash or allocation.</x:v>
      </x:c>
      <x:c r="P1672" s="35" t="str">
        <x:v>All expected records and amounts match; no unexplained error or stale state.</x:v>
      </x:c>
    </x:row>
    <x:row r="1673">
      <x:c r="A1673" s="20" t="str">
        <x:v>RUN-20271103-14</x:v>
      </x:c>
      <x:c r="B1673" s="23" t="n">
        <x:v>46694</x:v>
      </x:c>
      <x:c r="C1673" s="32" t="n">
        <x:v>14</x:v>
      </x:c>
      <x:c r="D1673" s="20" t="str">
        <x:v>Monthly operations</x:v>
      </x:c>
      <x:c r="E1673" s="20" t="str">
        <x:v>Property Manager</x:v>
      </x:c>
      <x:c r="F1673" s="20" t="str">
        <x:v>Mobile</x:v>
      </x:c>
      <x:c r="G1673" s="20" t="str">
        <x:v>Scanned money order</x:v>
      </x:c>
      <x:c r="H1673" s="35" t="str">
        <x:v>Post and allocate tenant receipt</x:v>
      </x:c>
      <x:c r="I1673" s="35" t="str">
        <x:v>P030; U039; L045</x:v>
      </x:c>
      <x:c r="J1673" s="35" t="str">
        <x:v>SCN-0324</x:v>
      </x:c>
      <x:c r="K1673" s="35" t="str">
        <x:v>FIN-00937; FIN-00938</x:v>
      </x:c>
      <x:c r="L1673" s="35" t="str">
        <x:v>Open Scan for paper payment or the tenant-account receipt form for electronic payment; verify tenant/lease match, amount, date, method, and reference; confirm once; open ledger detail and allocation.</x:v>
      </x:c>
      <x:c r="M1673" s="35" t="str">
        <x:v>Receipt is append-only, allocated once to the correct rent charge, and visible consistently in Unit, Lease, Tenant Account, Accounting, and portal views.</x:v>
      </x:c>
      <x:c r="N1673" s="35" t="str">
        <x:v>Scan review or form; success result; exact ledger rows; payment detail; accounting delta; portal receipt.</x:v>
      </x:c>
      <x:c r="O1673" s="35" t="str">
        <x:v>Retry the idempotency key once during the quarter assigned in the coverage matrix; no duplicate cash or allocation.</x:v>
      </x:c>
      <x:c r="P1673" s="35" t="str">
        <x:v>All expected records and amounts match; no unexplained error or stale state.</x:v>
      </x:c>
    </x:row>
    <x:row r="1674">
      <x:c r="A1674" s="20" t="str">
        <x:v>RUN-20271103-15</x:v>
      </x:c>
      <x:c r="B1674" s="23" t="n">
        <x:v>46694</x:v>
      </x:c>
      <x:c r="C1674" s="32" t="n">
        <x:v>15</x:v>
      </x:c>
      <x:c r="D1674" s="20" t="str">
        <x:v>Role and screen certification</x:v>
      </x:c>
      <x:c r="E1674" s="20" t="str">
        <x:v>Applicant / public user</x:v>
      </x:c>
      <x:c r="F1674" s="20" t="str">
        <x:v>Mobile</x:v>
      </x:c>
      <x:c r="G1674" s="20" t="str">
        <x:v>Normal persona navigation</x:v>
      </x:c>
      <x:c r="H1674" s="35" t="str">
        <x:v>Use every permitted action and state on features/properties/properties_tab.dart</x:v>
      </x:c>
      <x:c r="I1674" s="35" t="str">
        <x:v>SCR-166; ROLE-274</x:v>
      </x:c>
      <x:c r="J1674" s="35" t="str"/>
      <x:c r="K1674" s="35" t="str"/>
      <x:c r="L167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74" s="35" t="str">
        <x:v>The persona can use every allowed action with only its assigned properties/relationships. Hidden or disabled actions explain why; an adjacent unauthorized persona is denied without metadata leakage.</x:v>
      </x:c>
      <x:c r="N1674" s="35" t="str">
        <x:v>Persona/experience; navigation entry; desktop or device screenshots; result state; persisted read-back; audit/history; authorized and denied network result.</x:v>
      </x:c>
      <x:c r="O1674" s="35" t="str">
        <x:v>Open the direct URL or deep link with an adjacent unauthorized persona and with stale scope; both fail closed and land safely without mutation.</x:v>
      </x:c>
      <x:c r="P1674" s="35" t="str">
        <x:v>All expected records and amounts match; no unexplained error or stale state.</x:v>
      </x:c>
    </x:row>
    <x:row r="1675">
      <x:c r="A1675" s="20" t="str">
        <x:v>RUN-20271103-16</x:v>
      </x:c>
      <x:c r="B1675" s="23" t="n">
        <x:v>46694</x:v>
      </x:c>
      <x:c r="C1675" s="32" t="n">
        <x:v>16</x:v>
      </x:c>
      <x:c r="D1675" s="20" t="str">
        <x:v>Field certification</x:v>
      </x:c>
      <x:c r="E1675" s="20" t="str">
        <x:v>Applicant / public user</x:v>
      </x:c>
      <x:c r="F1675" s="20" t="str">
        <x:v>Mobile</x:v>
      </x:c>
      <x:c r="G1675" s="20" t="str">
        <x:v>Manual field-by-field</x:v>
      </x:c>
      <x:c r="H1675" s="35" t="str">
        <x:v>Fill, save, reload, edit, and validate every declared field on features/maintenance/work_order_detail_screen.dart</x:v>
      </x:c>
      <x:c r="I1675" s="35" t="str">
        <x:v>FLD-0909; FLD-0910; FLD-0911; FLD-0912; FLD-0913</x:v>
      </x:c>
      <x:c r="J1675" s="35" t="str"/>
      <x:c r="K1675" s="35" t="str"/>
      <x:c r="L1675" s="35" t="str">
        <x:v>Use the source-derived Field Inventory. Enter non-default realistic values in every control (_noteCtrl; Property; Unit (optional); Tenant (optional); _titleCtrl); submit; reload or relaunch; compare every value; edit each mutable field; verify the paired client; then run required, format, length, range, boundary, optional-null, and stale-submit checks.</x:v>
      </x:c>
      <x:c r="M1675" s="35" t="str">
        <x:v>All 5 inventoried controls persist exact normalized values, invalid values stay unsaved with clear errors, and hidden/unauthorized fields cannot be altered.</x:v>
      </x:c>
      <x:c r="N1675" s="35" t="str">
        <x:v>Before/after form screenshots; FLD IDs; API response; reloaded UI; paired-client read-back; database/audit evidence; negative validation result.</x:v>
      </x:c>
      <x:c r="O1675" s="35" t="str">
        <x:v>Use a duplicate submit and one simulated network interruption; one atomic mutation or none, never partial state.</x:v>
      </x:c>
      <x:c r="P1675" s="35" t="str">
        <x:v>All expected records and amounts match; no unexplained error or stale state.</x:v>
      </x:c>
    </x:row>
    <x:row r="1676">
      <x:c r="A1676" s="20" t="str">
        <x:v>RUN-20271103-17</x:v>
      </x:c>
      <x:c r="B1676" s="23" t="n">
        <x:v>46694</x:v>
      </x:c>
      <x:c r="C1676" s="32" t="n">
        <x:v>17</x:v>
      </x:c>
      <x:c r="D1676" s="20" t="str">
        <x:v>Surface coverage</x:v>
      </x:c>
      <x:c r="E1676" s="20" t="str">
        <x:v>Role appropriate to surface</x:v>
      </x:c>
      <x:c r="F1676" s="20" t="str">
        <x:v>Mobile</x:v>
      </x:c>
      <x:c r="G1676" s="20" t="str">
        <x:v>Manual</x:v>
      </x:c>
      <x:c r="H1676" s="35" t="str">
        <x:v>Manual mobile pass: Tax and year-end packet</x:v>
      </x:c>
      <x:c r="I1676" s="35" t="str">
        <x:v>COV-039</x:v>
      </x:c>
      <x:c r="J1676" s="35" t="str"/>
      <x:c r="K1676" s="35" t="str"/>
      <x:c r="L1676" s="35" t="str">
        <x:v>Run Schedule E, depreciation, vendor 1099 review, owner packets, and date/property/category filters.</x:v>
      </x:c>
      <x:c r="M1676" s="35" t="str">
        <x:v>The supported workflow completes and persists correctly; if the capability is absent, the exact gap is proven and queued rather than silently skipped.</x:v>
      </x:c>
      <x:c r="N1676" s="35" t="str">
        <x:v>Real UI screenshot/state; submitted values; persisted read-back; cross-client read-back; audit/role/access evidence.</x:v>
      </x:c>
      <x:c r="O1676" s="35" t="str">
        <x:v>Use one invalid value, stale-state retry, or duplicate submission relevant to the form; no partial or duplicate mutation.</x:v>
      </x:c>
      <x:c r="P1676" s="35" t="str">
        <x:v>All expected records and amounts match; no unexplained error or stale state.</x:v>
      </x:c>
    </x:row>
    <x:row r="1677">
      <x:c r="A1677" s="20" t="str">
        <x:v>RUN-20271104-01</x:v>
      </x:c>
      <x:c r="B1677" s="23" t="n">
        <x:v>46695</x:v>
      </x:c>
      <x:c r="C1677" s="32" t="n">
        <x:v>1</x:v>
      </x:c>
      <x:c r="D1677" s="20" t="str">
        <x:v>Monthly operations</x:v>
      </x:c>
      <x:c r="E1677" s="20" t="str">
        <x:v>Property Manager</x:v>
      </x:c>
      <x:c r="F1677" s="20" t="str">
        <x:v>Mobile</x:v>
      </x:c>
      <x:c r="G1677" s="20" t="str">
        <x:v>Scanned money order</x:v>
      </x:c>
      <x:c r="H1677" s="35" t="str">
        <x:v>Post and allocate tenant receipt</x:v>
      </x:c>
      <x:c r="I1677" s="35" t="str">
        <x:v>P001; U001; L001</x:v>
      </x:c>
      <x:c r="J1677" s="35" t="str">
        <x:v>SCN-0303</x:v>
      </x:c>
      <x:c r="K1677" s="35" t="str">
        <x:v>FIN-00854; FIN-00855</x:v>
      </x:c>
      <x:c r="L1677" s="35" t="str">
        <x:v>Open Scan for paper payment or the tenant-account receipt form for electronic payment; verify tenant/lease match, amount, date, method, and reference; confirm once; open ledger detail and allocation.</x:v>
      </x:c>
      <x:c r="M1677" s="35" t="str">
        <x:v>Receipt is append-only, allocated once to the correct rent charge, and visible consistently in Unit, Lease, Tenant Account, Accounting, and portal views.</x:v>
      </x:c>
      <x:c r="N1677" s="35" t="str">
        <x:v>Scan review or form; success result; exact ledger rows; payment detail; accounting delta; portal receipt.</x:v>
      </x:c>
      <x:c r="O1677" s="35" t="str">
        <x:v>Retry the idempotency key once during the quarter assigned in the coverage matrix; no duplicate cash or allocation.</x:v>
      </x:c>
      <x:c r="P1677" s="35" t="str">
        <x:v>All expected records and amounts match; no unexplained error or stale state.</x:v>
      </x:c>
    </x:row>
    <x:row r="1678">
      <x:c r="A1678" s="20" t="str">
        <x:v>RUN-20271104-02</x:v>
      </x:c>
      <x:c r="B1678" s="23" t="n">
        <x:v>46695</x:v>
      </x:c>
      <x:c r="C1678" s="32" t="n">
        <x:v>2</x:v>
      </x:c>
      <x:c r="D1678" s="20" t="str">
        <x:v>Monthly operations</x:v>
      </x:c>
      <x:c r="E1678" s="20" t="str">
        <x:v>Property Manager</x:v>
      </x:c>
      <x:c r="F1678" s="20" t="str">
        <x:v>Web</x:v>
      </x:c>
      <x:c r="G1678" s="20" t="str">
        <x:v>Scanned check</x:v>
      </x:c>
      <x:c r="H1678" s="35" t="str">
        <x:v>Post and allocate tenant receipt</x:v>
      </x:c>
      <x:c r="I1678" s="35" t="str">
        <x:v>P004; U004; L004</x:v>
      </x:c>
      <x:c r="J1678" s="35" t="str">
        <x:v>SCN-0304</x:v>
      </x:c>
      <x:c r="K1678" s="35" t="str">
        <x:v>FIN-00858; FIN-00859</x:v>
      </x:c>
      <x:c r="L1678" s="35" t="str">
        <x:v>Open Scan for paper payment or the tenant-account receipt form for electronic payment; verify tenant/lease match, amount, date, method, and reference; confirm once; open ledger detail and allocation.</x:v>
      </x:c>
      <x:c r="M1678" s="35" t="str">
        <x:v>Receipt is append-only, allocated once to the correct rent charge, and visible consistently in Unit, Lease, Tenant Account, Accounting, and portal views.</x:v>
      </x:c>
      <x:c r="N1678" s="35" t="str">
        <x:v>Scan review or form; success result; exact ledger rows; payment detail; accounting delta; portal receipt.</x:v>
      </x:c>
      <x:c r="O1678" s="35" t="str">
        <x:v>Retry the idempotency key once during the quarter assigned in the coverage matrix; no duplicate cash or allocation.</x:v>
      </x:c>
      <x:c r="P1678" s="35" t="str">
        <x:v>All expected records and amounts match; no unexplained error or stale state.</x:v>
      </x:c>
    </x:row>
    <x:row r="1679">
      <x:c r="A1679" s="20" t="str">
        <x:v>RUN-20271104-03</x:v>
      </x:c>
      <x:c r="B1679" s="23" t="n">
        <x:v>46695</x:v>
      </x:c>
      <x:c r="C1679" s="32" t="n">
        <x:v>3</x:v>
      </x:c>
      <x:c r="D1679" s="20" t="str">
        <x:v>Monthly operations</x:v>
      </x:c>
      <x:c r="E1679" s="20" t="str">
        <x:v>Property Manager</x:v>
      </x:c>
      <x:c r="F1679" s="20" t="str">
        <x:v>Mobile</x:v>
      </x:c>
      <x:c r="G1679" s="20" t="str">
        <x:v>Portal card</x:v>
      </x:c>
      <x:c r="H1679" s="35" t="str">
        <x:v>Post and allocate tenant receipt</x:v>
      </x:c>
      <x:c r="I1679" s="35" t="str">
        <x:v>P007; U007; L007</x:v>
      </x:c>
      <x:c r="J1679" s="35" t="str"/>
      <x:c r="K1679" s="35" t="str">
        <x:v>FIN-00862; FIN-00863</x:v>
      </x:c>
      <x:c r="L1679" s="35" t="str">
        <x:v>Open Scan for paper payment or the tenant-account receipt form for electronic payment; verify tenant/lease match, amount, date, method, and reference; confirm once; open ledger detail and allocation.</x:v>
      </x:c>
      <x:c r="M1679" s="35" t="str">
        <x:v>Receipt is append-only, allocated once to the correct rent charge, and visible consistently in Unit, Lease, Tenant Account, Accounting, and portal views.</x:v>
      </x:c>
      <x:c r="N1679" s="35" t="str">
        <x:v>Scan review or form; success result; exact ledger rows; payment detail; accounting delta; portal receipt.</x:v>
      </x:c>
      <x:c r="O1679" s="35" t="str">
        <x:v>Retry the idempotency key once during the quarter assigned in the coverage matrix; no duplicate cash or allocation.</x:v>
      </x:c>
      <x:c r="P1679" s="35" t="str">
        <x:v>All expected records and amounts match; no unexplained error or stale state.</x:v>
      </x:c>
    </x:row>
    <x:row r="1680">
      <x:c r="A1680" s="20" t="str">
        <x:v>RUN-20271104-04</x:v>
      </x:c>
      <x:c r="B1680" s="23" t="n">
        <x:v>46695</x:v>
      </x:c>
      <x:c r="C1680" s="32" t="n">
        <x:v>4</x:v>
      </x:c>
      <x:c r="D1680" s="20" t="str">
        <x:v>Monthly operations</x:v>
      </x:c>
      <x:c r="E1680" s="20" t="str">
        <x:v>Property Manager</x:v>
      </x:c>
      <x:c r="F1680" s="20" t="str">
        <x:v>Web</x:v>
      </x:c>
      <x:c r="G1680" s="20" t="str">
        <x:v>Manual ACH</x:v>
      </x:c>
      <x:c r="H1680" s="35" t="str">
        <x:v>Post and allocate tenant receipt</x:v>
      </x:c>
      <x:c r="I1680" s="35" t="str">
        <x:v>P010; U010; L010</x:v>
      </x:c>
      <x:c r="J1680" s="35" t="str"/>
      <x:c r="K1680" s="35" t="str">
        <x:v>FIN-00866; FIN-00867</x:v>
      </x:c>
      <x:c r="L1680" s="35" t="str">
        <x:v>Open Scan for paper payment or the tenant-account receipt form for electronic payment; verify tenant/lease match, amount, date, method, and reference; confirm once; open ledger detail and allocation.</x:v>
      </x:c>
      <x:c r="M1680" s="35" t="str">
        <x:v>Receipt is append-only, allocated once to the correct rent charge, and visible consistently in Unit, Lease, Tenant Account, Accounting, and portal views.</x:v>
      </x:c>
      <x:c r="N1680" s="35" t="str">
        <x:v>Scan review or form; success result; exact ledger rows; payment detail; accounting delta; portal receipt.</x:v>
      </x:c>
      <x:c r="O1680" s="35" t="str">
        <x:v>Retry the idempotency key once during the quarter assigned in the coverage matrix; no duplicate cash or allocation.</x:v>
      </x:c>
      <x:c r="P1680" s="35" t="str">
        <x:v>All expected records and amounts match; no unexplained error or stale state.</x:v>
      </x:c>
    </x:row>
    <x:row r="1681">
      <x:c r="A1681" s="20" t="str">
        <x:v>RUN-20271104-05</x:v>
      </x:c>
      <x:c r="B1681" s="23" t="n">
        <x:v>46695</x:v>
      </x:c>
      <x:c r="C1681" s="32" t="n">
        <x:v>5</x:v>
      </x:c>
      <x:c r="D1681" s="20" t="str">
        <x:v>Monthly operations</x:v>
      </x:c>
      <x:c r="E1681" s="20" t="str">
        <x:v>Property Manager</x:v>
      </x:c>
      <x:c r="F1681" s="20" t="str">
        <x:v>Web</x:v>
      </x:c>
      <x:c r="G1681" s="20" t="str">
        <x:v>Scanned check</x:v>
      </x:c>
      <x:c r="H1681" s="35" t="str">
        <x:v>Post and allocate tenant receipt</x:v>
      </x:c>
      <x:c r="I1681" s="35" t="str">
        <x:v>P016; U016; L016</x:v>
      </x:c>
      <x:c r="J1681" s="35" t="str">
        <x:v>SCN-0309</x:v>
      </x:c>
      <x:c r="K1681" s="35" t="str">
        <x:v>FIN-00879; FIN-00880</x:v>
      </x:c>
      <x:c r="L1681" s="35" t="str">
        <x:v>Open Scan for paper payment or the tenant-account receipt form for electronic payment; verify tenant/lease match, amount, date, method, and reference; confirm once; open ledger detail and allocation.</x:v>
      </x:c>
      <x:c r="M1681" s="35" t="str">
        <x:v>Receipt is append-only, allocated once to the correct rent charge, and visible consistently in Unit, Lease, Tenant Account, Accounting, and portal views.</x:v>
      </x:c>
      <x:c r="N1681" s="35" t="str">
        <x:v>Scan review or form; success result; exact ledger rows; payment detail; accounting delta; portal receipt.</x:v>
      </x:c>
      <x:c r="O1681" s="35" t="str">
        <x:v>Retry the idempotency key once during the quarter assigned in the coverage matrix; no duplicate cash or allocation.</x:v>
      </x:c>
      <x:c r="P1681" s="35" t="str">
        <x:v>All expected records and amounts match; no unexplained error or stale state.</x:v>
      </x:c>
    </x:row>
    <x:row r="1682">
      <x:c r="A1682" s="20" t="str">
        <x:v>RUN-20271104-06</x:v>
      </x:c>
      <x:c r="B1682" s="23" t="n">
        <x:v>46695</x:v>
      </x:c>
      <x:c r="C1682" s="32" t="n">
        <x:v>6</x:v>
      </x:c>
      <x:c r="D1682" s="20" t="str">
        <x:v>Monthly operations</x:v>
      </x:c>
      <x:c r="E1682" s="20" t="str">
        <x:v>Property Manager</x:v>
      </x:c>
      <x:c r="F1682" s="20" t="str">
        <x:v>Mobile</x:v>
      </x:c>
      <x:c r="G1682" s="20" t="str">
        <x:v>Portal card</x:v>
      </x:c>
      <x:c r="H1682" s="35" t="str">
        <x:v>Post and allocate tenant receipt</x:v>
      </x:c>
      <x:c r="I1682" s="35" t="str">
        <x:v>P019; U019; L019</x:v>
      </x:c>
      <x:c r="J1682" s="35" t="str"/>
      <x:c r="K1682" s="35" t="str">
        <x:v>FIN-00883; FIN-00884</x:v>
      </x:c>
      <x:c r="L1682" s="35" t="str">
        <x:v>Open Scan for paper payment or the tenant-account receipt form for electronic payment; verify tenant/lease match, amount, date, method, and reference; confirm once; open ledger detail and allocation.</x:v>
      </x:c>
      <x:c r="M1682" s="35" t="str">
        <x:v>Receipt is append-only, allocated once to the correct rent charge, and visible consistently in Unit, Lease, Tenant Account, Accounting, and portal views.</x:v>
      </x:c>
      <x:c r="N1682" s="35" t="str">
        <x:v>Scan review or form; success result; exact ledger rows; payment detail; accounting delta; portal receipt.</x:v>
      </x:c>
      <x:c r="O1682" s="35" t="str">
        <x:v>Retry the idempotency key once during the quarter assigned in the coverage matrix; no duplicate cash or allocation.</x:v>
      </x:c>
      <x:c r="P1682" s="35" t="str">
        <x:v>All expected records and amounts match; no unexplained error or stale state.</x:v>
      </x:c>
    </x:row>
    <x:row r="1683">
      <x:c r="A1683" s="20" t="str">
        <x:v>RUN-20271104-07</x:v>
      </x:c>
      <x:c r="B1683" s="23" t="n">
        <x:v>46695</x:v>
      </x:c>
      <x:c r="C1683" s="32" t="n">
        <x:v>7</x:v>
      </x:c>
      <x:c r="D1683" s="20" t="str">
        <x:v>Monthly operations</x:v>
      </x:c>
      <x:c r="E1683" s="20" t="str">
        <x:v>Property Manager</x:v>
      </x:c>
      <x:c r="F1683" s="20" t="str">
        <x:v>Mobile</x:v>
      </x:c>
      <x:c r="G1683" s="20" t="str">
        <x:v>Scanned money order</x:v>
      </x:c>
      <x:c r="H1683" s="35" t="str">
        <x:v>Post and allocate tenant receipt</x:v>
      </x:c>
      <x:c r="I1683" s="35" t="str">
        <x:v>P023; U025; L025</x:v>
      </x:c>
      <x:c r="J1683" s="35" t="str">
        <x:v>SCN-0313</x:v>
      </x:c>
      <x:c r="K1683" s="35" t="str">
        <x:v>FIN-00893; FIN-00894</x:v>
      </x:c>
      <x:c r="L1683" s="35" t="str">
        <x:v>Open Scan for paper payment or the tenant-account receipt form for electronic payment; verify tenant/lease match, amount, date, method, and reference; confirm once; open ledger detail and allocation.</x:v>
      </x:c>
      <x:c r="M1683" s="35" t="str">
        <x:v>Receipt is append-only, allocated once to the correct rent charge, and visible consistently in Unit, Lease, Tenant Account, Accounting, and portal views.</x:v>
      </x:c>
      <x:c r="N1683" s="35" t="str">
        <x:v>Scan review or form; success result; exact ledger rows; payment detail; accounting delta; portal receipt.</x:v>
      </x:c>
      <x:c r="O1683" s="35" t="str">
        <x:v>Retry the idempotency key once during the quarter assigned in the coverage matrix; no duplicate cash or allocation.</x:v>
      </x:c>
      <x:c r="P1683" s="35" t="str">
        <x:v>All expected records and amounts match; no unexplained error or stale state.</x:v>
      </x:c>
    </x:row>
    <x:row r="1684">
      <x:c r="A1684" s="20" t="str">
        <x:v>RUN-20271104-08</x:v>
      </x:c>
      <x:c r="B1684" s="23" t="n">
        <x:v>46695</x:v>
      </x:c>
      <x:c r="C1684" s="32" t="n">
        <x:v>8</x:v>
      </x:c>
      <x:c r="D1684" s="20" t="str">
        <x:v>Monthly operations</x:v>
      </x:c>
      <x:c r="E1684" s="20" t="str">
        <x:v>Property Manager</x:v>
      </x:c>
      <x:c r="F1684" s="20" t="str">
        <x:v>Web</x:v>
      </x:c>
      <x:c r="G1684" s="20" t="str">
        <x:v>Scanned check</x:v>
      </x:c>
      <x:c r="H1684" s="35" t="str">
        <x:v>Post and allocate tenant receipt</x:v>
      </x:c>
      <x:c r="I1684" s="35" t="str">
        <x:v>P024; U028; L028</x:v>
      </x:c>
      <x:c r="J1684" s="35" t="str">
        <x:v>SCN-0315</x:v>
      </x:c>
      <x:c r="K1684" s="35" t="str">
        <x:v>FIN-00900; FIN-00901</x:v>
      </x:c>
      <x:c r="L1684" s="35" t="str">
        <x:v>Open Scan for paper payment or the tenant-account receipt form for electronic payment; verify tenant/lease match, amount, date, method, and reference; confirm once; open ledger detail and allocation.</x:v>
      </x:c>
      <x:c r="M1684" s="35" t="str">
        <x:v>Receipt is append-only, allocated once to the correct rent charge, and visible consistently in Unit, Lease, Tenant Account, Accounting, and portal views.</x:v>
      </x:c>
      <x:c r="N1684" s="35" t="str">
        <x:v>Scan review or form; success result; exact ledger rows; payment detail; accounting delta; portal receipt.</x:v>
      </x:c>
      <x:c r="O1684" s="35" t="str">
        <x:v>Retry the idempotency key once during the quarter assigned in the coverage matrix; no duplicate cash or allocation.</x:v>
      </x:c>
      <x:c r="P1684" s="35" t="str">
        <x:v>All expected records and amounts match; no unexplained error or stale state.</x:v>
      </x:c>
    </x:row>
    <x:row r="1685">
      <x:c r="A1685" s="20" t="str">
        <x:v>RUN-20271104-09</x:v>
      </x:c>
      <x:c r="B1685" s="23" t="n">
        <x:v>46695</x:v>
      </x:c>
      <x:c r="C1685" s="32" t="n">
        <x:v>9</x:v>
      </x:c>
      <x:c r="D1685" s="20" t="str">
        <x:v>Monthly operations</x:v>
      </x:c>
      <x:c r="E1685" s="20" t="str">
        <x:v>Property Manager</x:v>
      </x:c>
      <x:c r="F1685" s="20" t="str">
        <x:v>Mobile</x:v>
      </x:c>
      <x:c r="G1685" s="20" t="str">
        <x:v>Portal card</x:v>
      </x:c>
      <x:c r="H1685" s="35" t="str">
        <x:v>Post and allocate tenant receipt</x:v>
      </x:c>
      <x:c r="I1685" s="35" t="str">
        <x:v>P026; U031; L031</x:v>
      </x:c>
      <x:c r="J1685" s="35" t="str"/>
      <x:c r="K1685" s="35" t="str">
        <x:v>FIN-00906; FIN-00907</x:v>
      </x:c>
      <x:c r="L1685" s="35" t="str">
        <x:v>Open Scan for paper payment or the tenant-account receipt form for electronic payment; verify tenant/lease match, amount, date, method, and reference; confirm once; open ledger detail and allocation.</x:v>
      </x:c>
      <x:c r="M1685" s="35" t="str">
        <x:v>Receipt is append-only, allocated once to the correct rent charge, and visible consistently in Unit, Lease, Tenant Account, Accounting, and portal views.</x:v>
      </x:c>
      <x:c r="N1685" s="35" t="str">
        <x:v>Scan review or form; success result; exact ledger rows; payment detail; accounting delta; portal receipt.</x:v>
      </x:c>
      <x:c r="O1685" s="35" t="str">
        <x:v>Retry the idempotency key once during the quarter assigned in the coverage matrix; no duplicate cash or allocation.</x:v>
      </x:c>
      <x:c r="P1685" s="35" t="str">
        <x:v>All expected records and amounts match; no unexplained error or stale state.</x:v>
      </x:c>
    </x:row>
    <x:row r="1686">
      <x:c r="A1686" s="20" t="str">
        <x:v>RUN-20271104-10</x:v>
      </x:c>
      <x:c r="B1686" s="23" t="n">
        <x:v>46695</x:v>
      </x:c>
      <x:c r="C1686" s="32" t="n">
        <x:v>10</x:v>
      </x:c>
      <x:c r="D1686" s="20" t="str">
        <x:v>Monthly operations</x:v>
      </x:c>
      <x:c r="E1686" s="20" t="str">
        <x:v>Property Manager</x:v>
      </x:c>
      <x:c r="F1686" s="20" t="str">
        <x:v>Web</x:v>
      </x:c>
      <x:c r="G1686" s="20" t="str">
        <x:v>Manual ACH</x:v>
      </x:c>
      <x:c r="H1686" s="35" t="str">
        <x:v>Post and allocate tenant receipt</x:v>
      </x:c>
      <x:c r="I1686" s="35" t="str">
        <x:v>P027; U034; L034</x:v>
      </x:c>
      <x:c r="J1686" s="35" t="str"/>
      <x:c r="K1686" s="35" t="str">
        <x:v>FIN-00914; FIN-00915</x:v>
      </x:c>
      <x:c r="L1686" s="35" t="str">
        <x:v>Open Scan for paper payment or the tenant-account receipt form for electronic payment; verify tenant/lease match, amount, date, method, and reference; confirm once; open ledger detail and allocation.</x:v>
      </x:c>
      <x:c r="M1686" s="35" t="str">
        <x:v>Receipt is append-only, allocated once to the correct rent charge, and visible consistently in Unit, Lease, Tenant Account, Accounting, and portal views.</x:v>
      </x:c>
      <x:c r="N1686" s="35" t="str">
        <x:v>Scan review or form; success result; exact ledger rows; payment detail; accounting delta; portal receipt.</x:v>
      </x:c>
      <x:c r="O1686" s="35" t="str">
        <x:v>Retry the idempotency key once during the quarter assigned in the coverage matrix; no duplicate cash or allocation.</x:v>
      </x:c>
      <x:c r="P1686" s="35" t="str">
        <x:v>All expected records and amounts match; no unexplained error or stale state.</x:v>
      </x:c>
    </x:row>
    <x:row r="1687">
      <x:c r="A1687" s="20" t="str">
        <x:v>RUN-20271104-11</x:v>
      </x:c>
      <x:c r="B1687" s="23" t="n">
        <x:v>46695</x:v>
      </x:c>
      <x:c r="C1687" s="32" t="n">
        <x:v>11</x:v>
      </x:c>
      <x:c r="D1687" s="20" t="str">
        <x:v>Monthly operations</x:v>
      </x:c>
      <x:c r="E1687" s="20" t="str">
        <x:v>Property Manager</x:v>
      </x:c>
      <x:c r="F1687" s="20" t="str">
        <x:v>Mobile</x:v>
      </x:c>
      <x:c r="G1687" s="20" t="str">
        <x:v>Scanned money order</x:v>
      </x:c>
      <x:c r="H1687" s="35" t="str">
        <x:v>Post and allocate tenant receipt</x:v>
      </x:c>
      <x:c r="I1687" s="35" t="str">
        <x:v>P005; U005; L037</x:v>
      </x:c>
      <x:c r="J1687" s="35" t="str">
        <x:v>SCN-0320</x:v>
      </x:c>
      <x:c r="K1687" s="35" t="str">
        <x:v>FIN-00920; FIN-00921</x:v>
      </x:c>
      <x:c r="L1687" s="35" t="str">
        <x:v>Open Scan for paper payment or the tenant-account receipt form for electronic payment; verify tenant/lease match, amount, date, method, and reference; confirm once; open ledger detail and allocation.</x:v>
      </x:c>
      <x:c r="M1687" s="35" t="str">
        <x:v>Receipt is append-only, allocated once to the correct rent charge, and visible consistently in Unit, Lease, Tenant Account, Accounting, and portal views.</x:v>
      </x:c>
      <x:c r="N1687" s="35" t="str">
        <x:v>Scan review or form; success result; exact ledger rows; payment detail; accounting delta; portal receipt.</x:v>
      </x:c>
      <x:c r="O1687" s="35" t="str">
        <x:v>Retry the idempotency key once during the quarter assigned in the coverage matrix; no duplicate cash or allocation.</x:v>
      </x:c>
      <x:c r="P1687" s="35" t="str">
        <x:v>All expected records and amounts match; no unexplained error or stale state.</x:v>
      </x:c>
    </x:row>
    <x:row r="1688">
      <x:c r="A1688" s="20" t="str">
        <x:v>RUN-20271104-12</x:v>
      </x:c>
      <x:c r="B1688" s="23" t="n">
        <x:v>46695</x:v>
      </x:c>
      <x:c r="C1688" s="32" t="n">
        <x:v>12</x:v>
      </x:c>
      <x:c r="D1688" s="20" t="str">
        <x:v>Monthly operations</x:v>
      </x:c>
      <x:c r="E1688" s="20" t="str">
        <x:v>Property Manager</x:v>
      </x:c>
      <x:c r="F1688" s="20" t="str">
        <x:v>Web</x:v>
      </x:c>
      <x:c r="G1688" s="20" t="str">
        <x:v>Scanned check</x:v>
      </x:c>
      <x:c r="H1688" s="35" t="str">
        <x:v>Post and allocate tenant receipt</x:v>
      </x:c>
      <x:c r="I1688" s="35" t="str">
        <x:v>P021; U022; L040</x:v>
      </x:c>
      <x:c r="J1688" s="35" t="str">
        <x:v>SCN-0321</x:v>
      </x:c>
      <x:c r="K1688" s="35" t="str">
        <x:v>FIN-00927; FIN-00928</x:v>
      </x:c>
      <x:c r="L1688" s="35" t="str">
        <x:v>Open Scan for paper payment or the tenant-account receipt form for electronic payment; verify tenant/lease match, amount, date, method, and reference; confirm once; open ledger detail and allocation.</x:v>
      </x:c>
      <x:c r="M1688" s="35" t="str">
        <x:v>Receipt is append-only, allocated once to the correct rent charge, and visible consistently in Unit, Lease, Tenant Account, Accounting, and portal views.</x:v>
      </x:c>
      <x:c r="N1688" s="35" t="str">
        <x:v>Scan review or form; success result; exact ledger rows; payment detail; accounting delta; portal receipt.</x:v>
      </x:c>
      <x:c r="O1688" s="35" t="str">
        <x:v>Retry the idempotency key once during the quarter assigned in the coverage matrix; no duplicate cash or allocation.</x:v>
      </x:c>
      <x:c r="P1688" s="35" t="str">
        <x:v>All expected records and amounts match; no unexplained error or stale state.</x:v>
      </x:c>
    </x:row>
    <x:row r="1689">
      <x:c r="A1689" s="20" t="str">
        <x:v>RUN-20271104-13</x:v>
      </x:c>
      <x:c r="B1689" s="23" t="n">
        <x:v>46695</x:v>
      </x:c>
      <x:c r="C1689" s="32" t="n">
        <x:v>13</x:v>
      </x:c>
      <x:c r="D1689" s="20" t="str">
        <x:v>Monthly operations</x:v>
      </x:c>
      <x:c r="E1689" s="20" t="str">
        <x:v>Property Manager</x:v>
      </x:c>
      <x:c r="F1689" s="20" t="str">
        <x:v>Mobile</x:v>
      </x:c>
      <x:c r="G1689" s="20" t="str">
        <x:v>Portal card</x:v>
      </x:c>
      <x:c r="H1689" s="35" t="str">
        <x:v>Post and allocate tenant receipt</x:v>
      </x:c>
      <x:c r="I1689" s="35" t="str">
        <x:v>P029; U037; L043</x:v>
      </x:c>
      <x:c r="J1689" s="35" t="str"/>
      <x:c r="K1689" s="35" t="str">
        <x:v>FIN-00931; FIN-00932</x:v>
      </x:c>
      <x:c r="L1689" s="35" t="str">
        <x:v>Open Scan for paper payment or the tenant-account receipt form for electronic payment; verify tenant/lease match, amount, date, method, and reference; confirm once; open ledger detail and allocation.</x:v>
      </x:c>
      <x:c r="M1689" s="35" t="str">
        <x:v>Receipt is append-only, allocated once to the correct rent charge, and visible consistently in Unit, Lease, Tenant Account, Accounting, and portal views.</x:v>
      </x:c>
      <x:c r="N1689" s="35" t="str">
        <x:v>Scan review or form; success result; exact ledger rows; payment detail; accounting delta; portal receipt.</x:v>
      </x:c>
      <x:c r="O1689" s="35" t="str">
        <x:v>Retry the idempotency key once during the quarter assigned in the coverage matrix; no duplicate cash or allocation.</x:v>
      </x:c>
      <x:c r="P1689" s="35" t="str">
        <x:v>All expected records and amounts match; no unexplained error or stale state.</x:v>
      </x:c>
    </x:row>
    <x:row r="1690">
      <x:c r="A1690" s="20" t="str">
        <x:v>RUN-20271104-14</x:v>
      </x:c>
      <x:c r="B1690" s="23" t="n">
        <x:v>46695</x:v>
      </x:c>
      <x:c r="C1690" s="32" t="n">
        <x:v>14</x:v>
      </x:c>
      <x:c r="D1690" s="20" t="str">
        <x:v>Role and screen certification</x:v>
      </x:c>
      <x:c r="E1690" s="20" t="str">
        <x:v>Applicant / public user</x:v>
      </x:c>
      <x:c r="F1690" s="20" t="str">
        <x:v>Mobile</x:v>
      </x:c>
      <x:c r="G1690" s="20" t="str">
        <x:v>Normal persona navigation</x:v>
      </x:c>
      <x:c r="H1690" s="35" t="str">
        <x:v>Use every permitted action and state on features/properties/property_capital_asset_form_sheet.dart</x:v>
      </x:c>
      <x:c r="I1690" s="35" t="str">
        <x:v>SCR-167; ROLE-275</x:v>
      </x:c>
      <x:c r="J1690" s="35" t="str"/>
      <x:c r="K1690" s="35" t="str"/>
      <x:c r="L169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690" s="35" t="str">
        <x:v>The persona can use every allowed action with only its assigned properties/relationships. Hidden or disabled actions explain why; an adjacent unauthorized persona is denied without metadata leakage.</x:v>
      </x:c>
      <x:c r="N1690" s="35" t="str">
        <x:v>Persona/experience; navigation entry; desktop or device screenshots; result state; persisted read-back; audit/history; authorized and denied network result.</x:v>
      </x:c>
      <x:c r="O1690" s="35" t="str">
        <x:v>Open the direct URL or deep link with an adjacent unauthorized persona and with stale scope; both fail closed and land safely without mutation.</x:v>
      </x:c>
      <x:c r="P1690" s="35" t="str">
        <x:v>All expected records and amounts match; no unexplained error or stale state.</x:v>
      </x:c>
    </x:row>
    <x:row r="1691">
      <x:c r="A1691" s="20" t="str">
        <x:v>RUN-20271104-15</x:v>
      </x:c>
      <x:c r="B1691" s="23" t="n">
        <x:v>46695</x:v>
      </x:c>
      <x:c r="C1691" s="32" t="n">
        <x:v>15</x:v>
      </x:c>
      <x:c r="D1691" s="20" t="str">
        <x:v>Field certification</x:v>
      </x:c>
      <x:c r="E1691" s="20" t="str">
        <x:v>Applicant / public user</x:v>
      </x:c>
      <x:c r="F1691" s="20" t="str">
        <x:v>Mobile</x:v>
      </x:c>
      <x:c r="G1691" s="20" t="str">
        <x:v>Manual field-by-field</x:v>
      </x:c>
      <x:c r="H1691" s="35" t="str">
        <x:v>Fill, save, reload, edit, and validate every declared field on features/maintenance/work_order_detail_screen.dart</x:v>
      </x:c>
      <x:c r="I1691" s="35" t="str">
        <x:v>FLD-0914; FLD-0915; FLD-0916; FLD-0917</x:v>
      </x:c>
      <x:c r="J1691" s="35" t="str"/>
      <x:c r="K1691" s="35" t="str"/>
      <x:c r="L1691" s="35" t="str">
        <x:v>Use the source-derived Field Inventory. Enter non-default realistic values in every control (_descCtrl; _technicianAccessCtrl; Priority; Category); submit; reload or relaunch; compare every value; edit each mutable field; verify the paired client; then run required, format, length, range, boundary, optional-null, and stale-submit checks.</x:v>
      </x:c>
      <x:c r="M1691" s="35" t="str">
        <x:v>All 4 inventoried controls persist exact normalized values, invalid values stay unsaved with clear errors, and hidden/unauthorized fields cannot be altered.</x:v>
      </x:c>
      <x:c r="N1691" s="35" t="str">
        <x:v>Before/after form screenshots; FLD IDs; API response; reloaded UI; paired-client read-back; database/audit evidence; negative validation result.</x:v>
      </x:c>
      <x:c r="O1691" s="35" t="str">
        <x:v>Use a duplicate submit and one simulated network interruption; one atomic mutation or none, never partial state.</x:v>
      </x:c>
      <x:c r="P1691" s="35" t="str">
        <x:v>All expected records and amounts match; no unexplained error or stale state.</x:v>
      </x:c>
    </x:row>
    <x:row r="1692">
      <x:c r="A1692" s="20" t="str">
        <x:v>RUN-20271104-16</x:v>
      </x:c>
      <x:c r="B1692" s="23" t="n">
        <x:v>46695</x:v>
      </x:c>
      <x:c r="C1692" s="32" t="n">
        <x:v>16</x:v>
      </x:c>
      <x:c r="D1692" s="20" t="str">
        <x:v>Notification certification</x:v>
      </x:c>
      <x:c r="E1692" s="20" t="str">
        <x:v>Invited staff</x:v>
      </x:c>
      <x:c r="F1692" s="20" t="str">
        <x:v>Web + Mobile</x:v>
      </x:c>
      <x:c r="G1692" s="20" t="str">
        <x:v>System event + preference/manual verification</x:v>
      </x:c>
      <x:c r="H1692" s="35" t="str">
        <x:v>Trigger and prove notification: Team invitation</x:v>
      </x:c>
      <x:c r="I1692" s="35" t="str">
        <x:v>NTF-042</x:v>
      </x:c>
      <x:c r="J1692" s="35" t="str"/>
      <x:c r="K1692" s="35" t="str"/>
      <x:c r="L1692" s="35" t="str">
        <x:v>Set each recipient's preferences; trigger the real business event; inspect routing and recipient scope; verify unread badge, list item, safe preview, activation deep link, mark-read sync, configured channel outcome, provider failure/retry, and duplicate suppression.</x:v>
      </x:c>
      <x:c r="M1692" s="35" t="str">
        <x:v>Exactly the intended recipients receive one correctly routed notification; disabled optional channels stay silent; deep link opens authorized context; read state synchronizes.</x:v>
      </x:c>
      <x:c r="N1692" s="35" t="str">
        <x:v>Trigger record; routing decision; outbox/delivery status; web/mobile inbox; lock-screen-safe copy; deep-link target; audit/provider retry evidence.</x:v>
      </x:c>
      <x:c r="O1692" s="35" t="str">
        <x:v>Re-run the worker and deliver a duplicate provider callback; no duplicate user-visible event. Attempt the deep link as an unauthorized adjacent role.</x:v>
      </x:c>
      <x:c r="P1692" s="35" t="str">
        <x:v>All expected records and amounts match; no unexplained error or stale state.</x:v>
      </x:c>
    </x:row>
    <x:row r="1693">
      <x:c r="A1693" s="20" t="str">
        <x:v>RUN-20271105-01</x:v>
      </x:c>
      <x:c r="B1693" s="23" t="n">
        <x:v>46696</x:v>
      </x:c>
      <x:c r="C1693" s="32" t="n">
        <x:v>1</x:v>
      </x:c>
      <x:c r="D1693" s="20" t="str">
        <x:v>Monthly operations</x:v>
      </x:c>
      <x:c r="E1693" s="20" t="str">
        <x:v>Property Manager</x:v>
      </x:c>
      <x:c r="F1693" s="20" t="str">
        <x:v>Web</x:v>
      </x:c>
      <x:c r="G1693" s="20" t="str">
        <x:v>Manual ACH</x:v>
      </x:c>
      <x:c r="H1693" s="35" t="str">
        <x:v>Post and allocate tenant receipt</x:v>
      </x:c>
      <x:c r="I1693" s="35" t="str">
        <x:v>P002; U002; L002</x:v>
      </x:c>
      <x:c r="J1693" s="35" t="str"/>
      <x:c r="K1693" s="35" t="str">
        <x:v>FIN-00856; FIN-00857</x:v>
      </x:c>
      <x:c r="L1693" s="35" t="str">
        <x:v>Open Scan for paper payment or the tenant-account receipt form for electronic payment; verify tenant/lease match, amount, date, method, and reference; confirm once; open ledger detail and allocation.</x:v>
      </x:c>
      <x:c r="M1693" s="35" t="str">
        <x:v>Receipt is append-only, allocated once to the correct rent charge, and visible consistently in Unit, Lease, Tenant Account, Accounting, and portal views.</x:v>
      </x:c>
      <x:c r="N1693" s="35" t="str">
        <x:v>Scan review or form; success result; exact ledger rows; payment detail; accounting delta; portal receipt.</x:v>
      </x:c>
      <x:c r="O1693" s="35" t="str">
        <x:v>Retry the idempotency key once during the quarter assigned in the coverage matrix; no duplicate cash or allocation.</x:v>
      </x:c>
      <x:c r="P1693" s="35" t="str">
        <x:v>All expected records and amounts match; no unexplained error or stale state.</x:v>
      </x:c>
    </x:row>
    <x:row r="1694">
      <x:c r="A1694" s="20" t="str">
        <x:v>RUN-20271105-02</x:v>
      </x:c>
      <x:c r="B1694" s="23" t="n">
        <x:v>46696</x:v>
      </x:c>
      <x:c r="C1694" s="32" t="n">
        <x:v>2</x:v>
      </x:c>
      <x:c r="D1694" s="20" t="str">
        <x:v>Monthly operations</x:v>
      </x:c>
      <x:c r="E1694" s="20" t="str">
        <x:v>Property Manager</x:v>
      </x:c>
      <x:c r="F1694" s="20" t="str">
        <x:v>Web</x:v>
      </x:c>
      <x:c r="G1694" s="20" t="str">
        <x:v>Scanned check</x:v>
      </x:c>
      <x:c r="H1694" s="35" t="str">
        <x:v>Post and allocate tenant receipt</x:v>
      </x:c>
      <x:c r="I1694" s="35" t="str">
        <x:v>P020; U020; L020</x:v>
      </x:c>
      <x:c r="J1694" s="35" t="str">
        <x:v>SCN-0310</x:v>
      </x:c>
      <x:c r="K1694" s="35" t="str">
        <x:v>FIN-00885; FIN-00886</x:v>
      </x:c>
      <x:c r="L1694" s="35" t="str">
        <x:v>Open Scan for paper payment or the tenant-account receipt form for electronic payment; verify tenant/lease match, amount, date, method, and reference; confirm once; open ledger detail and allocation.</x:v>
      </x:c>
      <x:c r="M1694" s="35" t="str">
        <x:v>Receipt is append-only, allocated once to the correct rent charge, and visible consistently in Unit, Lease, Tenant Account, Accounting, and portal views.</x:v>
      </x:c>
      <x:c r="N1694" s="35" t="str">
        <x:v>Scan review or form; success result; exact ledger rows; payment detail; accounting delta; portal receipt.</x:v>
      </x:c>
      <x:c r="O1694" s="35" t="str">
        <x:v>Retry the idempotency key once during the quarter assigned in the coverage matrix; no duplicate cash or allocation.</x:v>
      </x:c>
      <x:c r="P1694" s="35" t="str">
        <x:v>All expected records and amounts match; no unexplained error or stale state.</x:v>
      </x:c>
    </x:row>
    <x:row r="1695">
      <x:c r="A1695" s="20" t="str">
        <x:v>RUN-20271105-03</x:v>
      </x:c>
      <x:c r="B1695" s="23" t="n">
        <x:v>46696</x:v>
      </x:c>
      <x:c r="C1695" s="32" t="n">
        <x:v>3</x:v>
      </x:c>
      <x:c r="D1695" s="20" t="str">
        <x:v>Monthly operations</x:v>
      </x:c>
      <x:c r="E1695" s="20" t="str">
        <x:v>Property Manager</x:v>
      </x:c>
      <x:c r="F1695" s="20" t="str">
        <x:v>Mobile</x:v>
      </x:c>
      <x:c r="G1695" s="20" t="str">
        <x:v>Portal card</x:v>
      </x:c>
      <x:c r="H1695" s="35" t="str">
        <x:v>Post and allocate tenant receipt</x:v>
      </x:c>
      <x:c r="I1695" s="35" t="str">
        <x:v>P022; U023; L023</x:v>
      </x:c>
      <x:c r="J1695" s="35" t="str"/>
      <x:c r="K1695" s="35" t="str">
        <x:v>FIN-00889; FIN-00890</x:v>
      </x:c>
      <x:c r="L1695" s="35" t="str">
        <x:v>Open Scan for paper payment or the tenant-account receipt form for electronic payment; verify tenant/lease match, amount, date, method, and reference; confirm once; open ledger detail and allocation.</x:v>
      </x:c>
      <x:c r="M1695" s="35" t="str">
        <x:v>Receipt is append-only, allocated once to the correct rent charge, and visible consistently in Unit, Lease, Tenant Account, Accounting, and portal views.</x:v>
      </x:c>
      <x:c r="N1695" s="35" t="str">
        <x:v>Scan review or form; success result; exact ledger rows; payment detail; accounting delta; portal receipt.</x:v>
      </x:c>
      <x:c r="O1695" s="35" t="str">
        <x:v>Retry the idempotency key once during the quarter assigned in the coverage matrix; no duplicate cash or allocation.</x:v>
      </x:c>
      <x:c r="P1695" s="35" t="str">
        <x:v>All expected records and amounts match; no unexplained error or stale state.</x:v>
      </x:c>
    </x:row>
    <x:row r="1696">
      <x:c r="A1696" s="20" t="str">
        <x:v>RUN-20271105-04</x:v>
      </x:c>
      <x:c r="B1696" s="23" t="n">
        <x:v>46696</x:v>
      </x:c>
      <x:c r="C1696" s="32" t="n">
        <x:v>4</x:v>
      </x:c>
      <x:c r="D1696" s="20" t="str">
        <x:v>Monthly operations</x:v>
      </x:c>
      <x:c r="E1696" s="20" t="str">
        <x:v>Property Manager</x:v>
      </x:c>
      <x:c r="F1696" s="20" t="str">
        <x:v>Mobile</x:v>
      </x:c>
      <x:c r="G1696" s="20" t="str">
        <x:v>Scanned money order</x:v>
      </x:c>
      <x:c r="H1696" s="35" t="str">
        <x:v>Post and allocate tenant receipt</x:v>
      </x:c>
      <x:c r="I1696" s="35" t="str">
        <x:v>P025; U029; L029</x:v>
      </x:c>
      <x:c r="J1696" s="35" t="str">
        <x:v>SCN-0316</x:v>
      </x:c>
      <x:c r="K1696" s="35" t="str">
        <x:v>FIN-00902; FIN-00903</x:v>
      </x:c>
      <x:c r="L1696" s="35" t="str">
        <x:v>Open Scan for paper payment or the tenant-account receipt form for electronic payment; verify tenant/lease match, amount, date, method, and reference; confirm once; open ledger detail and allocation.</x:v>
      </x:c>
      <x:c r="M1696" s="35" t="str">
        <x:v>Receipt is append-only, allocated once to the correct rent charge, and visible consistently in Unit, Lease, Tenant Account, Accounting, and portal views.</x:v>
      </x:c>
      <x:c r="N1696" s="35" t="str">
        <x:v>Scan review or form; success result; exact ledger rows; payment detail; accounting delta; portal receipt.</x:v>
      </x:c>
      <x:c r="O1696" s="35" t="str">
        <x:v>Retry the idempotency key once during the quarter assigned in the coverage matrix; no duplicate cash or allocation.</x:v>
      </x:c>
      <x:c r="P1696" s="35" t="str">
        <x:v>All expected records and amounts match; no unexplained error or stale state.</x:v>
      </x:c>
    </x:row>
    <x:row r="1697">
      <x:c r="A1697" s="20" t="str">
        <x:v>RUN-20271105-05</x:v>
      </x:c>
      <x:c r="B1697" s="23" t="n">
        <x:v>46696</x:v>
      </x:c>
      <x:c r="C1697" s="32" t="n">
        <x:v>5</x:v>
      </x:c>
      <x:c r="D1697" s="20" t="str">
        <x:v>Monthly operations</x:v>
      </x:c>
      <x:c r="E1697" s="20" t="str">
        <x:v>Property Manager</x:v>
      </x:c>
      <x:c r="F1697" s="20" t="str">
        <x:v>Web</x:v>
      </x:c>
      <x:c r="G1697" s="20" t="str">
        <x:v>Scanned check</x:v>
      </x:c>
      <x:c r="H1697" s="35" t="str">
        <x:v>Post and allocate tenant receipt</x:v>
      </x:c>
      <x:c r="I1697" s="35" t="str">
        <x:v>P026; U032; L032</x:v>
      </x:c>
      <x:c r="J1697" s="35" t="str">
        <x:v>SCN-0317</x:v>
      </x:c>
      <x:c r="K1697" s="35" t="str">
        <x:v>FIN-00908; FIN-00909</x:v>
      </x:c>
      <x:c r="L1697" s="35" t="str">
        <x:v>Open Scan for paper payment or the tenant-account receipt form for electronic payment; verify tenant/lease match, amount, date, method, and reference; confirm once; open ledger detail and allocation.</x:v>
      </x:c>
      <x:c r="M1697" s="35" t="str">
        <x:v>Receipt is append-only, allocated once to the correct rent charge, and visible consistently in Unit, Lease, Tenant Account, Accounting, and portal views.</x:v>
      </x:c>
      <x:c r="N1697" s="35" t="str">
        <x:v>Scan review or form; success result; exact ledger rows; payment detail; accounting delta; portal receipt.</x:v>
      </x:c>
      <x:c r="O1697" s="35" t="str">
        <x:v>Retry the idempotency key once during the quarter assigned in the coverage matrix; no duplicate cash or allocation.</x:v>
      </x:c>
      <x:c r="P1697" s="35" t="str">
        <x:v>All expected records and amounts match; no unexplained error or stale state.</x:v>
      </x:c>
    </x:row>
    <x:row r="1698">
      <x:c r="A1698" s="20" t="str">
        <x:v>RUN-20271105-06</x:v>
      </x:c>
      <x:c r="B1698" s="23" t="n">
        <x:v>46696</x:v>
      </x:c>
      <x:c r="C1698" s="32" t="n">
        <x:v>6</x:v>
      </x:c>
      <x:c r="D1698" s="20" t="str">
        <x:v>Monthly operations</x:v>
      </x:c>
      <x:c r="E1698" s="20" t="str">
        <x:v>Property Manager</x:v>
      </x:c>
      <x:c r="F1698" s="20" t="str">
        <x:v>Mobile</x:v>
      </x:c>
      <x:c r="G1698" s="20" t="str">
        <x:v>Portal card</x:v>
      </x:c>
      <x:c r="H1698" s="35" t="str">
        <x:v>Post and allocate tenant receipt</x:v>
      </x:c>
      <x:c r="I1698" s="35" t="str">
        <x:v>P028; U035; L035</x:v>
      </x:c>
      <x:c r="J1698" s="35" t="str"/>
      <x:c r="K1698" s="35" t="str">
        <x:v>FIN-00916; FIN-00917</x:v>
      </x:c>
      <x:c r="L1698" s="35" t="str">
        <x:v>Open Scan for paper payment or the tenant-account receipt form for electronic payment; verify tenant/lease match, amount, date, method, and reference; confirm once; open ledger detail and allocation.</x:v>
      </x:c>
      <x:c r="M1698" s="35" t="str">
        <x:v>Receipt is append-only, allocated once to the correct rent charge, and visible consistently in Unit, Lease, Tenant Account, Accounting, and portal views.</x:v>
      </x:c>
      <x:c r="N1698" s="35" t="str">
        <x:v>Scan review or form; success result; exact ledger rows; payment detail; accounting delta; portal receipt.</x:v>
      </x:c>
      <x:c r="O1698" s="35" t="str">
        <x:v>Retry the idempotency key once during the quarter assigned in the coverage matrix; no duplicate cash or allocation.</x:v>
      </x:c>
      <x:c r="P1698" s="35" t="str">
        <x:v>All expected records and amounts match; no unexplained error or stale state.</x:v>
      </x:c>
    </x:row>
    <x:row r="1699">
      <x:c r="A1699" s="20" t="str">
        <x:v>RUN-20271105-07</x:v>
      </x:c>
      <x:c r="B1699" s="23" t="n">
        <x:v>46696</x:v>
      </x:c>
      <x:c r="C1699" s="32" t="n">
        <x:v>7</x:v>
      </x:c>
      <x:c r="D1699" s="20" t="str">
        <x:v>Monthly operations</x:v>
      </x:c>
      <x:c r="E1699" s="20" t="str">
        <x:v>Property Manager</x:v>
      </x:c>
      <x:c r="F1699" s="20" t="str">
        <x:v>Web</x:v>
      </x:c>
      <x:c r="G1699" s="20" t="str">
        <x:v>Manual ACH</x:v>
      </x:c>
      <x:c r="H1699" s="35" t="str">
        <x:v>Post and allocate tenant receipt</x:v>
      </x:c>
      <x:c r="I1699" s="35" t="str">
        <x:v>P014; U014; L038</x:v>
      </x:c>
      <x:c r="J1699" s="35" t="str"/>
      <x:c r="K1699" s="35" t="str">
        <x:v>FIN-00922; FIN-00923</x:v>
      </x:c>
      <x:c r="L1699" s="35" t="str">
        <x:v>Open Scan for paper payment or the tenant-account receipt form for electronic payment; verify tenant/lease match, amount, date, method, and reference; confirm once; open ledger detail and allocation.</x:v>
      </x:c>
      <x:c r="M1699" s="35" t="str">
        <x:v>Receipt is append-only, allocated once to the correct rent charge, and visible consistently in Unit, Lease, Tenant Account, Accounting, and portal views.</x:v>
      </x:c>
      <x:c r="N1699" s="35" t="str">
        <x:v>Scan review or form; success result; exact ledger rows; payment detail; accounting delta; portal receipt.</x:v>
      </x:c>
      <x:c r="O1699" s="35" t="str">
        <x:v>Retry the idempotency key once during the quarter assigned in the coverage matrix; no duplicate cash or allocation.</x:v>
      </x:c>
      <x:c r="P1699" s="35" t="str">
        <x:v>All expected records and amounts match; no unexplained error or stale state.</x:v>
      </x:c>
    </x:row>
    <x:row r="1700">
      <x:c r="A1700" s="20" t="str">
        <x:v>RUN-20271105-08</x:v>
      </x:c>
      <x:c r="B1700" s="23" t="n">
        <x:v>46696</x:v>
      </x:c>
      <x:c r="C1700" s="32" t="n">
        <x:v>8</x:v>
      </x:c>
      <x:c r="D1700" s="20" t="str">
        <x:v>Monthly operations</x:v>
      </x:c>
      <x:c r="E1700" s="20" t="str">
        <x:v>Property Manager</x:v>
      </x:c>
      <x:c r="F1700" s="20" t="str">
        <x:v>Mobile</x:v>
      </x:c>
      <x:c r="G1700" s="20" t="str">
        <x:v>Scanned money order</x:v>
      </x:c>
      <x:c r="H1700" s="35" t="str">
        <x:v>Post and allocate tenant receipt</x:v>
      </x:c>
      <x:c r="I1700" s="35" t="str">
        <x:v>P030; U040; L041</x:v>
      </x:c>
      <x:c r="J1700" s="35" t="str">
        <x:v>SCN-0322</x:v>
      </x:c>
      <x:c r="K1700" s="35" t="str">
        <x:v>FIN-00929; FIN-00930</x:v>
      </x:c>
      <x:c r="L1700" s="35" t="str">
        <x:v>Open Scan for paper payment or the tenant-account receipt form for electronic payment; verify tenant/lease match, amount, date, method, and reference; confirm once; open ledger detail and allocation.</x:v>
      </x:c>
      <x:c r="M1700" s="35" t="str">
        <x:v>Receipt is append-only, allocated once to the correct rent charge, and visible consistently in Unit, Lease, Tenant Account, Accounting, and portal views.</x:v>
      </x:c>
      <x:c r="N1700" s="35" t="str">
        <x:v>Scan review or form; success result; exact ledger rows; payment detail; accounting delta; portal receipt.</x:v>
      </x:c>
      <x:c r="O1700" s="35" t="str">
        <x:v>Retry the idempotency key once during the quarter assigned in the coverage matrix; no duplicate cash or allocation.</x:v>
      </x:c>
      <x:c r="P1700" s="35" t="str">
        <x:v>All expected records and amounts match; no unexplained error or stale state.</x:v>
      </x:c>
    </x:row>
    <x:row r="1701">
      <x:c r="A1701" s="20" t="str">
        <x:v>RUN-20271105-09</x:v>
      </x:c>
      <x:c r="B1701" s="23" t="n">
        <x:v>46696</x:v>
      </x:c>
      <x:c r="C1701" s="32" t="n">
        <x:v>9</x:v>
      </x:c>
      <x:c r="D1701" s="20" t="str">
        <x:v>Lease ending</x:v>
      </x:c>
      <x:c r="E1701" s="20" t="str">
        <x:v>Workspace Administrator</x:v>
      </x:c>
      <x:c r="F1701" s="20" t="str">
        <x:v>Web + Mobile</x:v>
      </x:c>
      <x:c r="G1701" s="20" t="str">
        <x:v>Manual financial disposition</x:v>
      </x:c>
      <x:c r="H1701" s="35" t="str">
        <x:v>Finalize security deposit disposition</x:v>
      </x:c>
      <x:c r="I1701" s="35" t="str">
        <x:v>L003; U003</x:v>
      </x:c>
      <x:c r="J1701" s="35" t="str">
        <x:v>SCN-0934</x:v>
      </x:c>
      <x:c r="K1701" s="35" t="str">
        <x:v>FIN-01658</x:v>
      </x:c>
      <x:c r="L1701" s="35" t="str">
        <x:v>Create supported damage charge if applicable; apply deposit to the tenant balance; transfer applied cash to operating; refund the remainder; deliver itemized statement; compare ledger and deposit register.</x:v>
      </x:c>
      <x:c r="M1701" s="35" t="str">
        <x:v>Deposit liability falls by $1,725.00; tenant AR falls by $0.00; refund is $1,725.00; income changes only for supported charges.</x:v>
      </x:c>
      <x:c r="N1701" s="35" t="str">
        <x:v>Inspection support; charge; application; cash transfer; refund; itemized statement; portal/account history; accounting checks.</x:v>
      </x:c>
      <x:c r="O1701" s="35" t="str">
        <x:v>Inject a failure before final save and prove charge/application/refund/audit rows all roll back together.</x:v>
      </x:c>
      <x:c r="P1701" s="35" t="str">
        <x:v>All expected records and amounts match; no unexplained error or stale state.</x:v>
      </x:c>
    </x:row>
    <x:row r="1702">
      <x:c r="A1702" s="20" t="str">
        <x:v>RUN-20271105-10</x:v>
      </x:c>
      <x:c r="B1702" s="23" t="n">
        <x:v>46696</x:v>
      </x:c>
      <x:c r="C1702" s="32" t="n">
        <x:v>10</x:v>
      </x:c>
      <x:c r="D1702" s="20" t="str">
        <x:v>Role and screen certification</x:v>
      </x:c>
      <x:c r="E1702" s="20" t="str">
        <x:v>Applicant / public user</x:v>
      </x:c>
      <x:c r="F1702" s="20" t="str">
        <x:v>Mobile</x:v>
      </x:c>
      <x:c r="G1702" s="20" t="str">
        <x:v>Normal persona navigation</x:v>
      </x:c>
      <x:c r="H1702" s="35" t="str">
        <x:v>Use every permitted action and state on features/properties/property_detail_screen.dart</x:v>
      </x:c>
      <x:c r="I1702" s="35" t="str">
        <x:v>SCR-168; ROLE-276</x:v>
      </x:c>
      <x:c r="J1702" s="35" t="str"/>
      <x:c r="K1702" s="35" t="str"/>
      <x:c r="L170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02" s="35" t="str">
        <x:v>The persona can use every allowed action with only its assigned properties/relationships. Hidden or disabled actions explain why; an adjacent unauthorized persona is denied without metadata leakage.</x:v>
      </x:c>
      <x:c r="N1702" s="35" t="str">
        <x:v>Persona/experience; navigation entry; desktop or device screenshots; result state; persisted read-back; audit/history; authorized and denied network result.</x:v>
      </x:c>
      <x:c r="O1702" s="35" t="str">
        <x:v>Open the direct URL or deep link with an adjacent unauthorized persona and with stale scope; both fail closed and land safely without mutation.</x:v>
      </x:c>
      <x:c r="P1702" s="35" t="str">
        <x:v>All expected records and amounts match; no unexplained error or stale state.</x:v>
      </x:c>
    </x:row>
    <x:row r="1703">
      <x:c r="A1703" s="20" t="str">
        <x:v>RUN-20271105-11</x:v>
      </x:c>
      <x:c r="B1703" s="23" t="n">
        <x:v>46696</x:v>
      </x:c>
      <x:c r="C1703" s="32" t="n">
        <x:v>11</x:v>
      </x:c>
      <x:c r="D1703" s="20" t="str">
        <x:v>Field certification</x:v>
      </x:c>
      <x:c r="E1703" s="20" t="str">
        <x:v>Applicant / public user</x:v>
      </x:c>
      <x:c r="F1703" s="20" t="str">
        <x:v>Mobile</x:v>
      </x:c>
      <x:c r="G1703" s="20" t="str">
        <x:v>Manual field-by-field</x:v>
      </x:c>
      <x:c r="H1703" s="35" t="str">
        <x:v>Fill, save, reload, edit, and validate every declared field on features/maintenance/work_order_detail_screen.dart</x:v>
      </x:c>
      <x:c r="I1703" s="35" t="str">
        <x:v>FLD-0918; FLD-0919</x:v>
      </x:c>
      <x:c r="J1703" s="35" t="str"/>
      <x:c r="K1703" s="35" t="str"/>
      <x:c r="L1703" s="35" t="str">
        <x:v>Use the source-derived Field Inventory. Enter non-default realistic values in every control (_estCostCtrl; _actualCostCtrl); submit; reload or relaunch; compare every value; edit each mutable field; verify the paired client; then run required, format, length, range, boundary, optional-null, and stale-submit checks.</x:v>
      </x:c>
      <x:c r="M1703" s="35" t="str">
        <x:v>All 2 inventoried controls persist exact normalized values, invalid values stay unsaved with clear errors, and hidden/unauthorized fields cannot be altered.</x:v>
      </x:c>
      <x:c r="N1703" s="35" t="str">
        <x:v>Before/after form screenshots; FLD IDs; API response; reloaded UI; paired-client read-back; database/audit evidence; negative validation result.</x:v>
      </x:c>
      <x:c r="O1703" s="35" t="str">
        <x:v>Use a duplicate submit and one simulated network interruption; one atomic mutation or none, never partial state.</x:v>
      </x:c>
      <x:c r="P1703" s="35" t="str">
        <x:v>All expected records and amounts match; no unexplained error or stale state.</x:v>
      </x:c>
    </x:row>
    <x:row r="1704">
      <x:c r="A1704" s="20" t="str">
        <x:v>RUN-20271105-12</x:v>
      </x:c>
      <x:c r="B1704" s="23" t="n">
        <x:v>46696</x:v>
      </x:c>
      <x:c r="C1704" s="32" t="n">
        <x:v>12</x:v>
      </x:c>
      <x:c r="D1704" s="20" t="str">
        <x:v>Field certification</x:v>
      </x:c>
      <x:c r="E1704" s="20" t="str">
        <x:v>Applicant / public user</x:v>
      </x:c>
      <x:c r="F1704" s="20" t="str">
        <x:v>Mobile</x:v>
      </x:c>
      <x:c r="G1704" s="20" t="str">
        <x:v>Manual field-by-field</x:v>
      </x:c>
      <x:c r="H1704" s="35" t="str">
        <x:v>Fill, save, reload, edit, and validate every declared field on features/messages/message_detail_screen.dart</x:v>
      </x:c>
      <x:c r="I1704" s="35" t="str">
        <x:v>FLD-0920</x:v>
      </x:c>
      <x:c r="J1704" s="35" t="str"/>
      <x:c r="K1704" s="35" t="str"/>
      <x:c r="L1704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704" s="35" t="str">
        <x:v>All 1 inventoried controls persist exact normalized values, invalid values stay unsaved with clear errors, and hidden/unauthorized fields cannot be altered.</x:v>
      </x:c>
      <x:c r="N1704" s="35" t="str">
        <x:v>Before/after form screenshots; FLD IDs; API response; reloaded UI; paired-client read-back; database/audit evidence; negative validation result.</x:v>
      </x:c>
      <x:c r="O1704" s="35" t="str">
        <x:v>Use a duplicate submit and one simulated network interruption; one atomic mutation or none, never partial state.</x:v>
      </x:c>
      <x:c r="P1704" s="35" t="str">
        <x:v>All expected records and amounts match; no unexplained error or stale state.</x:v>
      </x:c>
    </x:row>
    <x:row r="1705">
      <x:c r="A1705" s="20" t="str">
        <x:v>RUN-20271105-13</x:v>
      </x:c>
      <x:c r="B1705" s="23" t="n">
        <x:v>46696</x:v>
      </x:c>
      <x:c r="C1705" s="32" t="n">
        <x:v>13</x:v>
      </x:c>
      <x:c r="D1705" s="20" t="str">
        <x:v>Field certification</x:v>
      </x:c>
      <x:c r="E1705" s="20" t="str">
        <x:v>Applicant / public user</x:v>
      </x:c>
      <x:c r="F1705" s="20" t="str">
        <x:v>Mobile</x:v>
      </x:c>
      <x:c r="G1705" s="20" t="str">
        <x:v>Manual field-by-field</x:v>
      </x:c>
      <x:c r="H1705" s="35" t="str">
        <x:v>Fill, save, reload, edit, and validate every declared field on features/messages/messages_list_screen.dart</x:v>
      </x:c>
      <x:c r="I1705" s="35" t="str">
        <x:v>FLD-0921; FLD-0922</x:v>
      </x:c>
      <x:c r="J1705" s="35" t="str"/>
      <x:c r="K1705" s="35" t="str"/>
      <x:c r="L1705" s="35" t="str">
        <x:v>Use the source-derived Field Inventory. Enter non-default realistic values in every control (_subjectCtrl; _bodyCtrl); submit; reload or relaunch; compare every value; edit each mutable field; verify the paired client; then run required, format, length, range, boundary, optional-null, and stale-submit checks.</x:v>
      </x:c>
      <x:c r="M1705" s="35" t="str">
        <x:v>All 2 inventoried controls persist exact normalized values, invalid values stay unsaved with clear errors, and hidden/unauthorized fields cannot be altered.</x:v>
      </x:c>
      <x:c r="N1705" s="35" t="str">
        <x:v>Before/after form screenshots; FLD IDs; API response; reloaded UI; paired-client read-back; database/audit evidence; negative validation result.</x:v>
      </x:c>
      <x:c r="O1705" s="35" t="str">
        <x:v>Use a duplicate submit and one simulated network interruption; one atomic mutation or none, never partial state.</x:v>
      </x:c>
      <x:c r="P1705" s="35" t="str">
        <x:v>All expected records and amounts match; no unexplained error or stale state.</x:v>
      </x:c>
    </x:row>
    <x:row r="1706">
      <x:c r="A1706" s="20" t="str">
        <x:v>RUN-20271105-14</x:v>
      </x:c>
      <x:c r="B1706" s="23" t="n">
        <x:v>46696</x:v>
      </x:c>
      <x:c r="C1706" s="32" t="n">
        <x:v>14</x:v>
      </x:c>
      <x:c r="D1706" s="20" t="str">
        <x:v>Surface coverage</x:v>
      </x:c>
      <x:c r="E1706" s="20" t="str">
        <x:v>Role appropriate to surface</x:v>
      </x:c>
      <x:c r="F1706" s="20" t="str">
        <x:v>Web</x:v>
      </x:c>
      <x:c r="G1706" s="20" t="str">
        <x:v>Scan/attachment</x:v>
      </x:c>
      <x:c r="H1706" s="35" t="str">
        <x:v>Scan web pass: Tax and year-end packet</x:v>
      </x:c>
      <x:c r="I1706" s="35" t="str">
        <x:v>COV-039</x:v>
      </x:c>
      <x:c r="J1706" s="35" t="str"/>
      <x:c r="K1706" s="35" t="str"/>
      <x:c r="L1706" s="35" t="str">
        <x:v>Run Schedule E, depreciation, vendor 1099 review, owner packets, and date/property/category filters.</x:v>
      </x:c>
      <x:c r="M1706" s="35" t="str">
        <x:v>The supported workflow completes and persists correctly; if the capability is absent, the exact gap is proven and queued rather than silently skipped.</x:v>
      </x:c>
      <x:c r="N1706" s="35" t="str">
        <x:v>Real UI screenshot/state; submitted values; persisted read-back; cross-client read-back; audit/role/access evidence.</x:v>
      </x:c>
      <x:c r="O1706" s="35" t="str">
        <x:v>Use one invalid value, stale-state retry, or duplicate submission relevant to the form; no partial or duplicate mutation.</x:v>
      </x:c>
      <x:c r="P1706" s="35" t="str">
        <x:v>All expected records and amounts match; no unexplained error or stale state.</x:v>
      </x:c>
    </x:row>
    <x:row r="1707">
      <x:c r="A1707" s="20" t="str">
        <x:v>RUN-20271108-01</x:v>
      </x:c>
      <x:c r="B1707" s="23" t="n">
        <x:v>46699</x:v>
      </x:c>
      <x:c r="C1707" s="32" t="n">
        <x:v>1</x:v>
      </x:c>
      <x:c r="D1707" s="20" t="str">
        <x:v>Monthly operations</x:v>
      </x:c>
      <x:c r="E1707" s="20" t="str">
        <x:v>Property Manager</x:v>
      </x:c>
      <x:c r="F1707" s="20" t="str">
        <x:v>Web</x:v>
      </x:c>
      <x:c r="G1707" s="20" t="str">
        <x:v>Scanned check</x:v>
      </x:c>
      <x:c r="H1707" s="35" t="str">
        <x:v>Post and allocate tenant receipt</x:v>
      </x:c>
      <x:c r="I1707" s="35" t="str">
        <x:v>P013; U013; L013</x:v>
      </x:c>
      <x:c r="J1707" s="35" t="str">
        <x:v>SCN-0308</x:v>
      </x:c>
      <x:c r="K1707" s="35" t="str">
        <x:v>FIN-00875; FIN-00876</x:v>
      </x:c>
      <x:c r="L1707" s="35" t="str">
        <x:v>Open Scan for paper payment or the tenant-account receipt form for electronic payment; verify tenant/lease match, amount, date, method, and reference; confirm once; open ledger detail and allocation.</x:v>
      </x:c>
      <x:c r="M1707" s="35" t="str">
        <x:v>Receipt is append-only, allocated once to the correct rent charge, and visible consistently in Unit, Lease, Tenant Account, Accounting, and portal views.</x:v>
      </x:c>
      <x:c r="N1707" s="35" t="str">
        <x:v>Scan review or form; success result; exact ledger rows; payment detail; accounting delta; portal receipt.</x:v>
      </x:c>
      <x:c r="O1707" s="35" t="str">
        <x:v>Retry the idempotency key once during the quarter assigned in the coverage matrix; no duplicate cash or allocation.</x:v>
      </x:c>
      <x:c r="P1707" s="35" t="str">
        <x:v>All expected records and amounts match; no unexplained error or stale state.</x:v>
      </x:c>
    </x:row>
    <x:row r="1708">
      <x:c r="A1708" s="20" t="str">
        <x:v>RUN-20271108-02</x:v>
      </x:c>
      <x:c r="B1708" s="23" t="n">
        <x:v>46699</x:v>
      </x:c>
      <x:c r="C1708" s="32" t="n">
        <x:v>2</x:v>
      </x:c>
      <x:c r="D1708" s="20" t="str">
        <x:v>Monthly operations</x:v>
      </x:c>
      <x:c r="E1708" s="20" t="str">
        <x:v>Property Manager</x:v>
      </x:c>
      <x:c r="F1708" s="20" t="str">
        <x:v>Mobile</x:v>
      </x:c>
      <x:c r="G1708" s="20" t="str">
        <x:v>Scanned money order</x:v>
      </x:c>
      <x:c r="H1708" s="35" t="str">
        <x:v>Post and allocate tenant receipt</x:v>
      </x:c>
      <x:c r="I1708" s="35" t="str">
        <x:v>P023; U026; L026</x:v>
      </x:c>
      <x:c r="J1708" s="35" t="str">
        <x:v>SCN-0314</x:v>
      </x:c>
      <x:c r="K1708" s="35" t="str">
        <x:v>FIN-00896; FIN-00897</x:v>
      </x:c>
      <x:c r="L1708" s="35" t="str">
        <x:v>Open Scan for paper payment or the tenant-account receipt form for electronic payment; verify tenant/lease match, amount, date, method, and reference; confirm once; open ledger detail and allocation.</x:v>
      </x:c>
      <x:c r="M1708" s="35" t="str">
        <x:v>Receipt is append-only, allocated once to the correct rent charge, and visible consistently in Unit, Lease, Tenant Account, Accounting, and portal views.</x:v>
      </x:c>
      <x:c r="N1708" s="35" t="str">
        <x:v>Scan review or form; success result; exact ledger rows; payment detail; accounting delta; portal receipt.</x:v>
      </x:c>
      <x:c r="O1708" s="35" t="str">
        <x:v>Retry the idempotency key once during the quarter assigned in the coverage matrix; no duplicate cash or allocation.</x:v>
      </x:c>
      <x:c r="P1708" s="35" t="str">
        <x:v>All expected records and amounts match; no unexplained error or stale state.</x:v>
      </x:c>
    </x:row>
    <x:row r="1709">
      <x:c r="A1709" s="20" t="str">
        <x:v>RUN-20271108-03</x:v>
      </x:c>
      <x:c r="B1709" s="23" t="n">
        <x:v>46699</x:v>
      </x:c>
      <x:c r="C1709" s="32" t="n">
        <x:v>3</x:v>
      </x:c>
      <x:c r="D1709" s="20" t="str">
        <x:v>Monthly operations</x:v>
      </x:c>
      <x:c r="E1709" s="20" t="str">
        <x:v>Property Manager</x:v>
      </x:c>
      <x:c r="F1709" s="20" t="str">
        <x:v>Web</x:v>
      </x:c>
      <x:c r="G1709" s="20" t="str">
        <x:v>Manual ACH</x:v>
      </x:c>
      <x:c r="H1709" s="35" t="str">
        <x:v>Post and allocate tenant receipt</x:v>
      </x:c>
      <x:c r="I1709" s="35" t="str">
        <x:v>P017; U017; L039</x:v>
      </x:c>
      <x:c r="J1709" s="35" t="str"/>
      <x:c r="K1709" s="35" t="str">
        <x:v>FIN-00925; FIN-00926</x:v>
      </x:c>
      <x:c r="L1709" s="35" t="str">
        <x:v>Open Scan for paper payment or the tenant-account receipt form for electronic payment; verify tenant/lease match, amount, date, method, and reference; confirm once; open ledger detail and allocation.</x:v>
      </x:c>
      <x:c r="M1709" s="35" t="str">
        <x:v>Receipt is append-only, allocated once to the correct rent charge, and visible consistently in Unit, Lease, Tenant Account, Accounting, and portal views.</x:v>
      </x:c>
      <x:c r="N1709" s="35" t="str">
        <x:v>Scan review or form; success result; exact ledger rows; payment detail; accounting delta; portal receipt.</x:v>
      </x:c>
      <x:c r="O1709" s="35" t="str">
        <x:v>Retry the idempotency key once during the quarter assigned in the coverage matrix; no duplicate cash or allocation.</x:v>
      </x:c>
      <x:c r="P1709" s="35" t="str">
        <x:v>All expected records and amounts match; no unexplained error or stale state.</x:v>
      </x:c>
    </x:row>
    <x:row r="1710">
      <x:c r="A1710" s="20" t="str">
        <x:v>RUN-20271108-04</x:v>
      </x:c>
      <x:c r="B1710" s="23" t="n">
        <x:v>46699</x:v>
      </x:c>
      <x:c r="C1710" s="32" t="n">
        <x:v>4</x:v>
      </x:c>
      <x:c r="D1710" s="20" t="str">
        <x:v>Weekly operations</x:v>
      </x:c>
      <x:c r="E1710" s="20" t="str">
        <x:v>Property Manager</x:v>
      </x:c>
      <x:c r="F1710" s="20" t="str">
        <x:v>Mobile</x:v>
      </x:c>
      <x:c r="G1710" s="20" t="str">
        <x:v>Scan-first</x:v>
      </x:c>
      <x:c r="H1710" s="35" t="str">
        <x:v>Create and triage maintenance request</x:v>
      </x:c>
      <x:c r="I1710" s="35" t="str">
        <x:v>P028; U036; WO-2027-045</x:v>
      </x:c>
      <x:c r="J1710" s="35" t="str">
        <x:v>SCN-0427</x:v>
      </x:c>
      <x:c r="K1710" s="35" t="str"/>
      <x:c r="L1710" s="35" t="str">
        <x:v>Capture the tenant note/photo; review pest treatment; confirm; set responsibility; dispatch Prime Pest Control; create an appointment and verify the tenant notification.</x:v>
      </x:c>
      <x:c r="M1710" s="35" t="str">
        <x:v>Work order, status timeline, responsibility, vendor dispatch, appointment, notification, and Unit context are linked once.</x:v>
      </x:c>
      <x:c r="N1710" s="35" t="str">
        <x:v>Scan review; work order detail/timeline; dispatch; appointment; notification; tenant portal view.</x:v>
      </x:c>
      <x:c r="O1710" s="35" t="str">
        <x:v>Cancel one dispatch each quarter, reassign once, and prove status/history remains append-only.</x:v>
      </x:c>
      <x:c r="P1710" s="35" t="str">
        <x:v>All expected records and amounts match; no unexplained error or stale state.</x:v>
      </x:c>
    </x:row>
    <x:row r="1711">
      <x:c r="A1711" s="20" t="str">
        <x:v>RUN-20271108-05</x:v>
      </x:c>
      <x:c r="B1711" s="23" t="n">
        <x:v>46699</x:v>
      </x:c>
      <x:c r="C1711" s="32" t="n">
        <x:v>5</x:v>
      </x:c>
      <x:c r="D1711" s="20" t="str">
        <x:v>Role and screen certification</x:v>
      </x:c>
      <x:c r="E1711" s="20" t="str">
        <x:v>Applicant / public user</x:v>
      </x:c>
      <x:c r="F1711" s="20" t="str">
        <x:v>Mobile</x:v>
      </x:c>
      <x:c r="G1711" s="20" t="str">
        <x:v>Normal persona navigation</x:v>
      </x:c>
      <x:c r="H1711" s="35" t="str">
        <x:v>Use every permitted action and state on features/properties/property_disposition_form_sheet.dart</x:v>
      </x:c>
      <x:c r="I1711" s="35" t="str">
        <x:v>SCR-169; ROLE-277</x:v>
      </x:c>
      <x:c r="J1711" s="35" t="str"/>
      <x:c r="K1711" s="35" t="str"/>
      <x:c r="L171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11" s="35" t="str">
        <x:v>The persona can use every allowed action with only its assigned properties/relationships. Hidden or disabled actions explain why; an adjacent unauthorized persona is denied without metadata leakage.</x:v>
      </x:c>
      <x:c r="N1711" s="35" t="str">
        <x:v>Persona/experience; navigation entry; desktop or device screenshots; result state; persisted read-back; audit/history; authorized and denied network result.</x:v>
      </x:c>
      <x:c r="O1711" s="35" t="str">
        <x:v>Open the direct URL or deep link with an adjacent unauthorized persona and with stale scope; both fail closed and land safely without mutation.</x:v>
      </x:c>
      <x:c r="P1711" s="35" t="str">
        <x:v>All expected records and amounts match; no unexplained error or stale state.</x:v>
      </x:c>
    </x:row>
    <x:row r="1712">
      <x:c r="A1712" s="20" t="str">
        <x:v>RUN-20271108-06</x:v>
      </x:c>
      <x:c r="B1712" s="23" t="n">
        <x:v>46699</x:v>
      </x:c>
      <x:c r="C1712" s="32" t="n">
        <x:v>6</x:v>
      </x:c>
      <x:c r="D1712" s="20" t="str">
        <x:v>Field certification</x:v>
      </x:c>
      <x:c r="E1712" s="20" t="str">
        <x:v>Applicant / public user</x:v>
      </x:c>
      <x:c r="F1712" s="20" t="str">
        <x:v>Mobile</x:v>
      </x:c>
      <x:c r="G1712" s="20" t="str">
        <x:v>Manual field-by-field</x:v>
      </x:c>
      <x:c r="H1712" s="35" t="str">
        <x:v>Fill, save, reload, edit, and validate every declared field on features/money/expense_detail_screen.dart</x:v>
      </x:c>
      <x:c r="I1712" s="35" t="str">
        <x:v>FLD-0923; FLD-0924; FLD-0925; FLD-0926</x:v>
      </x:c>
      <x:c r="J1712" s="35" t="str"/>
      <x:c r="K1712" s="35" t="str"/>
      <x:c r="L1712" s="35" t="str">
        <x:v>Use the source-derived Field Inventory. Enter non-default realistic values in every control (_descriptionCtrl; _recoveryYearsCtrl; Convention; _descCtrl); submit; reload or relaunch; compare every value; edit each mutable field; verify the paired client; then run required, format, length, range, boundary, optional-null, and stale-submit checks.</x:v>
      </x:c>
      <x:c r="M1712" s="35" t="str">
        <x:v>All 4 inventoried controls persist exact normalized values, invalid values stay unsaved with clear errors, and hidden/unauthorized fields cannot be altered.</x:v>
      </x:c>
      <x:c r="N1712" s="35" t="str">
        <x:v>Before/after form screenshots; FLD IDs; API response; reloaded UI; paired-client read-back; database/audit evidence; negative validation result.</x:v>
      </x:c>
      <x:c r="O1712" s="35" t="str">
        <x:v>Use a duplicate submit and one simulated network interruption; one atomic mutation or none, never partial state.</x:v>
      </x:c>
      <x:c r="P1712" s="35" t="str">
        <x:v>All expected records and amounts match; no unexplained error or stale state.</x:v>
      </x:c>
    </x:row>
    <x:row r="1713">
      <x:c r="A1713" s="20" t="str">
        <x:v>RUN-20271108-07</x:v>
      </x:c>
      <x:c r="B1713" s="23" t="n">
        <x:v>46699</x:v>
      </x:c>
      <x:c r="C1713" s="32" t="n">
        <x:v>7</x:v>
      </x:c>
      <x:c r="D1713" s="20" t="str">
        <x:v>Surface coverage</x:v>
      </x:c>
      <x:c r="E1713" s="20" t="str">
        <x:v>Role appropriate to surface</x:v>
      </x:c>
      <x:c r="F1713" s="20" t="str">
        <x:v>Mobile</x:v>
      </x:c>
      <x:c r="G1713" s="20" t="str">
        <x:v>Scan/attachment</x:v>
      </x:c>
      <x:c r="H1713" s="35" t="str">
        <x:v>Scan mobile pass: Tax and year-end packet</x:v>
      </x:c>
      <x:c r="I1713" s="35" t="str">
        <x:v>COV-039</x:v>
      </x:c>
      <x:c r="J1713" s="35" t="str"/>
      <x:c r="K1713" s="35" t="str"/>
      <x:c r="L1713" s="35" t="str">
        <x:v>Run Schedule E, depreciation, vendor 1099 review, owner packets, and date/property/category filters.</x:v>
      </x:c>
      <x:c r="M1713" s="35" t="str">
        <x:v>The supported workflow completes and persists correctly; if the capability is absent, the exact gap is proven and queued rather than silently skipped.</x:v>
      </x:c>
      <x:c r="N1713" s="35" t="str">
        <x:v>Real UI screenshot/state; submitted values; persisted read-back; cross-client read-back; audit/role/access evidence.</x:v>
      </x:c>
      <x:c r="O1713" s="35" t="str">
        <x:v>Use one invalid value, stale-state retry, or duplicate submission relevant to the form; no partial or duplicate mutation.</x:v>
      </x:c>
      <x:c r="P1713" s="35" t="str">
        <x:v>All expected records and amounts match; no unexplained error or stale state.</x:v>
      </x:c>
    </x:row>
    <x:row r="1714">
      <x:c r="A1714" s="20" t="str">
        <x:v>RUN-20271109-01</x:v>
      </x:c>
      <x:c r="B1714" s="23" t="n">
        <x:v>46700</x:v>
      </x:c>
      <x:c r="C1714" s="32" t="n">
        <x:v>1</x:v>
      </x:c>
      <x:c r="D1714" s="20" t="str">
        <x:v>Weekly operations</x:v>
      </x:c>
      <x:c r="E1714" s="20" t="str">
        <x:v>Property Manager</x:v>
      </x:c>
      <x:c r="F1714" s="20" t="str">
        <x:v>Mobile</x:v>
      </x:c>
      <x:c r="G1714" s="20" t="str">
        <x:v>Manual web form</x:v>
      </x:c>
      <x:c r="H1714" s="35" t="str">
        <x:v>Record, review, allocate, and pay operating expense</x:v>
      </x:c>
      <x:c r="I1714" s="35" t="str">
        <x:v>P028; U036; WO-2027-045</x:v>
      </x:c>
      <x:c r="J1714" s="35" t="str"/>
      <x:c r="K1714" s="35" t="str">
        <x:v>FIN-01068</x:v>
      </x:c>
      <x:c r="L1714" s="35" t="str">
        <x:v>Capture or upload the source; verify vendor, date, scope, category, line items, tax, amount, and work-order link; confirm; open detail; verify attachment; compare Money and Property/Unit views.</x:v>
      </x:c>
      <x:c r="M1714" s="35" t="str">
        <x:v>One expense exists at its real operational scope, cash falls once, Schedule E category and allocations agree, and no per-unit copies are created.</x:v>
      </x:c>
      <x:c r="N1714" s="35" t="str">
        <x:v>Source preview; review/form; expense detail; line items; Property/Unit ledger; audit; accounting/report delta.</x:v>
      </x:c>
      <x:c r="O1714" s="35" t="str">
        <x:v>On marked duplicate-invoice cases, re-upload before confirm and prove the product prevents or clearly warns about duplication.</x:v>
      </x:c>
      <x:c r="P1714" s="35" t="str">
        <x:v>All expected records and amounts match; no unexplained error or stale state.</x:v>
      </x:c>
    </x:row>
    <x:row r="1715">
      <x:c r="A1715" s="20" t="str">
        <x:v>RUN-20271109-02</x:v>
      </x:c>
      <x:c r="B1715" s="23" t="n">
        <x:v>46700</x:v>
      </x:c>
      <x:c r="C1715" s="32" t="n">
        <x:v>2</x:v>
      </x:c>
      <x:c r="D1715" s="20" t="str">
        <x:v>Field certification</x:v>
      </x:c>
      <x:c r="E1715" s="20" t="str">
        <x:v>Applicant / public user</x:v>
      </x:c>
      <x:c r="F1715" s="20" t="str">
        <x:v>Mobile</x:v>
      </x:c>
      <x:c r="G1715" s="20" t="str">
        <x:v>Manual field-by-field</x:v>
      </x:c>
      <x:c r="H1715" s="35" t="str">
        <x:v>Fill, save, reload, edit, and validate every declared field on features/money/expense_detail_screen.dart</x:v>
      </x:c>
      <x:c r="I1715" s="35" t="str">
        <x:v>FLD-0927; FLD-0928; FLD-0929</x:v>
      </x:c>
      <x:c r="J1715" s="35" t="str"/>
      <x:c r="K1715" s="35" t="str"/>
      <x:c r="L1715" s="35" t="str">
        <x:v>Use the source-derived Field Inventory. Enter non-default realistic values in every control (_amountCtrl; Category; _notesCtrl); submit; reload or relaunch; compare every value; edit each mutable field; verify the paired client; then run required, format, length, range, boundary, optional-null, and stale-submit checks.</x:v>
      </x:c>
      <x:c r="M1715" s="35" t="str">
        <x:v>All 3 inventoried controls persist exact normalized values, invalid values stay unsaved with clear errors, and hidden/unauthorized fields cannot be altered.</x:v>
      </x:c>
      <x:c r="N1715" s="35" t="str">
        <x:v>Before/after form screenshots; FLD IDs; API response; reloaded UI; paired-client read-back; database/audit evidence; negative validation result.</x:v>
      </x:c>
      <x:c r="O1715" s="35" t="str">
        <x:v>Use a duplicate submit and one simulated network interruption; one atomic mutation or none, never partial state.</x:v>
      </x:c>
      <x:c r="P1715" s="35" t="str">
        <x:v>All expected records and amounts match; no unexplained error or stale state.</x:v>
      </x:c>
    </x:row>
    <x:row r="1716">
      <x:c r="A1716" s="20" t="str">
        <x:v>RUN-20271109-03</x:v>
      </x:c>
      <x:c r="B1716" s="23" t="n">
        <x:v>46700</x:v>
      </x:c>
      <x:c r="C1716" s="32" t="n">
        <x:v>3</x:v>
      </x:c>
      <x:c r="D1716" s="20" t="str">
        <x:v>Field certification</x:v>
      </x:c>
      <x:c r="E1716" s="20" t="str">
        <x:v>Applicant / public user</x:v>
      </x:c>
      <x:c r="F1716" s="20" t="str">
        <x:v>Mobile</x:v>
      </x:c>
      <x:c r="G1716" s="20" t="str">
        <x:v>Manual field-by-field</x:v>
      </x:c>
      <x:c r="H1716" s="35" t="str">
        <x:v>Fill, save, reload, edit, and validate every declared field on features/money/expense_form_sheet.dart</x:v>
      </x:c>
      <x:c r="I1716" s="35" t="str">
        <x:v>FLD-0930</x:v>
      </x:c>
      <x:c r="J1716" s="35" t="str"/>
      <x:c r="K1716" s="35" t="str"/>
      <x:c r="L1716" s="35" t="str">
        <x:v>Use the source-derived Field Inventory. Enter non-default realistic values in every control (Link work order (optional)); submit; reload or relaunch; compare every value; edit each mutable field; verify the paired client; then run required, format, length, range, boundary, optional-null, and stale-submit checks.</x:v>
      </x:c>
      <x:c r="M1716" s="35" t="str">
        <x:v>All 1 inventoried controls persist exact normalized values, invalid values stay unsaved with clear errors, and hidden/unauthorized fields cannot be altered.</x:v>
      </x:c>
      <x:c r="N1716" s="35" t="str">
        <x:v>Before/after form screenshots; FLD IDs; API response; reloaded UI; paired-client read-back; database/audit evidence; negative validation result.</x:v>
      </x:c>
      <x:c r="O1716" s="35" t="str">
        <x:v>Use a duplicate submit and one simulated network interruption; one atomic mutation or none, never partial state.</x:v>
      </x:c>
      <x:c r="P1716" s="35" t="str">
        <x:v>All expected records and amounts match; no unexplained error or stale state.</x:v>
      </x:c>
    </x:row>
    <x:row r="1717">
      <x:c r="A1717" s="20" t="str">
        <x:v>RUN-20271110-01</x:v>
      </x:c>
      <x:c r="B1717" s="23" t="n">
        <x:v>46701</x:v>
      </x:c>
      <x:c r="C1717" s="32" t="n">
        <x:v>1</x:v>
      </x:c>
      <x:c r="D1717" s="20" t="str">
        <x:v>Role and screen certification</x:v>
      </x:c>
      <x:c r="E1717" s="20" t="str">
        <x:v>Applicant / public user</x:v>
      </x:c>
      <x:c r="F1717" s="20" t="str">
        <x:v>Mobile</x:v>
      </x:c>
      <x:c r="G1717" s="20" t="str">
        <x:v>Normal persona navigation</x:v>
      </x:c>
      <x:c r="H1717" s="35" t="str">
        <x:v>Use every permitted action and state on features/properties/property_form_sheet.dart</x:v>
      </x:c>
      <x:c r="I1717" s="35" t="str">
        <x:v>SCR-170; ROLE-278</x:v>
      </x:c>
      <x:c r="J1717" s="35" t="str"/>
      <x:c r="K1717" s="35" t="str"/>
      <x:c r="L17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17" s="35" t="str">
        <x:v>The persona can use every allowed action with only its assigned properties/relationships. Hidden or disabled actions explain why; an adjacent unauthorized persona is denied without metadata leakage.</x:v>
      </x:c>
      <x:c r="N1717" s="35" t="str">
        <x:v>Persona/experience; navigation entry; desktop or device screenshots; result state; persisted read-back; audit/history; authorized and denied network result.</x:v>
      </x:c>
      <x:c r="O1717" s="35" t="str">
        <x:v>Open the direct URL or deep link with an adjacent unauthorized persona and with stale scope; both fail closed and land safely without mutation.</x:v>
      </x:c>
      <x:c r="P1717" s="35" t="str">
        <x:v>All expected records and amounts match; no unexplained error or stale state.</x:v>
      </x:c>
    </x:row>
    <x:row r="1718">
      <x:c r="A1718" s="20" t="str">
        <x:v>RUN-20271110-02</x:v>
      </x:c>
      <x:c r="B1718" s="23" t="n">
        <x:v>46701</x:v>
      </x:c>
      <x:c r="C1718" s="32" t="n">
        <x:v>2</x:v>
      </x:c>
      <x:c r="D1718" s="20" t="str">
        <x:v>Field certification</x:v>
      </x:c>
      <x:c r="E1718" s="20" t="str">
        <x:v>Applicant / public user</x:v>
      </x:c>
      <x:c r="F1718" s="20" t="str">
        <x:v>Mobile</x:v>
      </x:c>
      <x:c r="G1718" s="20" t="str">
        <x:v>Manual field-by-field</x:v>
      </x:c>
      <x:c r="H1718" s="35" t="str">
        <x:v>Fill, save, reload, edit, and validate every declared field on features/money/expense_form_sheet.dart</x:v>
      </x:c>
      <x:c r="I1718" s="35" t="str">
        <x:v>FLD-0931; FLD-0932; FLD-0933; FLD-0934; FLD-0935</x:v>
      </x:c>
      <x:c r="J1718" s="35" t="str"/>
      <x:c r="K1718" s="35" t="str"/>
      <x:c r="L1718" s="35" t="str">
        <x:v>Use the source-derived Field Inventory. Enter non-default realistic values in every control (Vendor (optional); _descCtrl; _amountCtrl; Status; _paymentMethodCtrl); submit; reload or relaunch; compare every value; edit each mutable field; verify the paired client; then run required, format, length, range, boundary, optional-null, and stale-submit checks.</x:v>
      </x:c>
      <x:c r="M1718" s="35" t="str">
        <x:v>All 5 inventoried controls persist exact normalized values, invalid values stay unsaved with clear errors, and hidden/unauthorized fields cannot be altered.</x:v>
      </x:c>
      <x:c r="N1718" s="35" t="str">
        <x:v>Before/after form screenshots; FLD IDs; API response; reloaded UI; paired-client read-back; database/audit evidence; negative validation result.</x:v>
      </x:c>
      <x:c r="O1718" s="35" t="str">
        <x:v>Use a duplicate submit and one simulated network interruption; one atomic mutation or none, never partial state.</x:v>
      </x:c>
      <x:c r="P1718" s="35" t="str">
        <x:v>All expected records and amounts match; no unexplained error or stale state.</x:v>
      </x:c>
    </x:row>
    <x:row r="1719">
      <x:c r="A1719" s="20" t="str">
        <x:v>RUN-20271110-03</x:v>
      </x:c>
      <x:c r="B1719" s="23" t="n">
        <x:v>46701</x:v>
      </x:c>
      <x:c r="C1719" s="32" t="n">
        <x:v>3</x:v>
      </x:c>
      <x:c r="D1719" s="20" t="str">
        <x:v>Lifecycle certification</x:v>
      </x:c>
      <x:c r="E1719" s="20" t="str">
        <x:v>Property Manager</x:v>
      </x:c>
      <x:c r="F1719" s="20" t="str">
        <x:v>Web + Mobile</x:v>
      </x:c>
      <x:c r="G1719" s="20" t="str">
        <x:v>Manual + scan/attachment where supported</x:v>
      </x:c>
      <x:c r="H1719" s="35" t="str">
        <x:v>Complete the full create/read/edit/lifecycle/delete-safe pass for Conversation/message</x:v>
      </x:c>
      <x:c r="I1719" s="35" t="str">
        <x:v>CRUD-030</x:v>
      </x:c>
      <x:c r="J1719" s="35" t="str"/>
      <x:c r="K1719" s="35" t="str"/>
      <x:c r="L1719" s="35" t="str">
        <x:v>Use a dedicated disposable QA record and execute: create; participant scope; text; attachment; unread/read; archive. Fill every field referenced by field-inventory.csv. Verify confirmation copy, cancel path, final path, reload, other-client state, history, and role denial.</x:v>
      </x:c>
      <x:c r="M1719" s="35" t="str">
        <x:v>Every supported transition succeeds exactly once; forbidden destructive actions are guarded; reversible deletion/deactivation works; financial and historical truth is preserved.</x:v>
      </x:c>
      <x:c r="N1719" s="35" t="str">
        <x:v>Entity before/after; both clients; all FLD IDs; audit/history; notifications; authorized and unauthorized personas; API/DB state.</x:v>
      </x:c>
      <x:c r="O1719" s="35" t="str">
        <x:v>Cancel the first destructive confirmation, then repeat and confirm; retry the mutation once; no double transition or orphan.</x:v>
      </x:c>
      <x:c r="P1719" s="35" t="str">
        <x:v>All expected records and amounts match; no unexplained error or stale state.</x:v>
      </x:c>
    </x:row>
    <x:row r="1720">
      <x:c r="A1720" s="20" t="str">
        <x:v>RUN-20271110-04</x:v>
      </x:c>
      <x:c r="B1720" s="23" t="n">
        <x:v>46701</x:v>
      </x:c>
      <x:c r="C1720" s="32" t="n">
        <x:v>4</x:v>
      </x:c>
      <x:c r="D1720" s="20" t="str">
        <x:v>Surface coverage</x:v>
      </x:c>
      <x:c r="E1720" s="20" t="str">
        <x:v>Role appropriate to surface</x:v>
      </x:c>
      <x:c r="F1720" s="20" t="str">
        <x:v>Web</x:v>
      </x:c>
      <x:c r="G1720" s="20" t="str">
        <x:v>Manual</x:v>
      </x:c>
      <x:c r="H1720" s="35" t="str">
        <x:v>Manual web pass: Team invite, roles, scoped assignments</x:v>
      </x:c>
      <x:c r="I1720" s="35" t="str">
        <x:v>COV-040</x:v>
      </x:c>
      <x:c r="J1720" s="35" t="str"/>
      <x:c r="K1720" s="35" t="str"/>
      <x:c r="L1720" s="35" t="str">
        <x:v>Invite each role, activate, assign property scope, accept/decline work, change/revoke access, and prove authorization.</x:v>
      </x:c>
      <x:c r="M1720" s="35" t="str">
        <x:v>The supported workflow completes and persists correctly; if the capability is absent, the exact gap is proven and queued rather than silently skipped.</x:v>
      </x:c>
      <x:c r="N1720" s="35" t="str">
        <x:v>Real UI screenshot/state; submitted values; persisted read-back; cross-client read-back; audit/role/access evidence.</x:v>
      </x:c>
      <x:c r="O1720" s="35" t="str">
        <x:v>Use one invalid value, stale-state retry, or duplicate submission relevant to the form; no partial or duplicate mutation.</x:v>
      </x:c>
      <x:c r="P1720" s="35" t="str">
        <x:v>All expected records and amounts match; no unexplained error or stale state.</x:v>
      </x:c>
    </x:row>
    <x:row r="1721">
      <x:c r="A1721" s="20" t="str">
        <x:v>RUN-20271111-01</x:v>
      </x:c>
      <x:c r="B1721" s="23" t="n">
        <x:v>46702</x:v>
      </x:c>
      <x:c r="C1721" s="32" t="n">
        <x:v>1</x:v>
      </x:c>
      <x:c r="D1721" s="20" t="str">
        <x:v>Role and screen certification</x:v>
      </x:c>
      <x:c r="E1721" s="20" t="str">
        <x:v>Applicant / public user</x:v>
      </x:c>
      <x:c r="F1721" s="20" t="str">
        <x:v>Mobile</x:v>
      </x:c>
      <x:c r="G1721" s="20" t="str">
        <x:v>Normal persona navigation</x:v>
      </x:c>
      <x:c r="H1721" s="35" t="str">
        <x:v>Use every permitted action and state on features/properties/property_loan_form_sheet.dart</x:v>
      </x:c>
      <x:c r="I1721" s="35" t="str">
        <x:v>SCR-171; ROLE-279</x:v>
      </x:c>
      <x:c r="J1721" s="35" t="str"/>
      <x:c r="K1721" s="35" t="str"/>
      <x:c r="L172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21" s="35" t="str">
        <x:v>The persona can use every allowed action with only its assigned properties/relationships. Hidden or disabled actions explain why; an adjacent unauthorized persona is denied without metadata leakage.</x:v>
      </x:c>
      <x:c r="N1721" s="35" t="str">
        <x:v>Persona/experience; navigation entry; desktop or device screenshots; result state; persisted read-back; audit/history; authorized and denied network result.</x:v>
      </x:c>
      <x:c r="O1721" s="35" t="str">
        <x:v>Open the direct URL or deep link with an adjacent unauthorized persona and with stale scope; both fail closed and land safely without mutation.</x:v>
      </x:c>
      <x:c r="P1721" s="35" t="str">
        <x:v>All expected records and amounts match; no unexplained error or stale state.</x:v>
      </x:c>
    </x:row>
    <x:row r="1722">
      <x:c r="A1722" s="20" t="str">
        <x:v>RUN-20271111-02</x:v>
      </x:c>
      <x:c r="B1722" s="23" t="n">
        <x:v>46702</x:v>
      </x:c>
      <x:c r="C1722" s="32" t="n">
        <x:v>2</x:v>
      </x:c>
      <x:c r="D1722" s="20" t="str">
        <x:v>Field certification</x:v>
      </x:c>
      <x:c r="E1722" s="20" t="str">
        <x:v>Applicant / public user</x:v>
      </x:c>
      <x:c r="F1722" s="20" t="str">
        <x:v>Mobile</x:v>
      </x:c>
      <x:c r="G1722" s="20" t="str">
        <x:v>Manual field-by-field</x:v>
      </x:c>
      <x:c r="H1722" s="35" t="str">
        <x:v>Fill, save, reload, edit, and validate every declared field on features/money/expense_form_sheet.dart</x:v>
      </x:c>
      <x:c r="I1722" s="35" t="str">
        <x:v>FLD-0936; FLD-0937; FLD-0938; FLD-0939</x:v>
      </x:c>
      <x:c r="J1722" s="35" t="str"/>
      <x:c r="K1722" s="35" t="str"/>
      <x:c r="L1722" s="35" t="str">
        <x:v>Use the source-derived Field Inventory. Enter non-default realistic values in every control (_notesCtrl; _vendorAddressCtrl; _vendorPhoneCtrl; _vendorTaxIdCtrl); submit; reload or relaunch; compare every value; edit each mutable field; verify the paired client; then run required, format, length, range, boundary, optional-null, and stale-submit checks.</x:v>
      </x:c>
      <x:c r="M1722" s="35" t="str">
        <x:v>All 4 inventoried controls persist exact normalized values, invalid values stay unsaved with clear errors, and hidden/unauthorized fields cannot be altered.</x:v>
      </x:c>
      <x:c r="N1722" s="35" t="str">
        <x:v>Before/after form screenshots; FLD IDs; API response; reloaded UI; paired-client read-back; database/audit evidence; negative validation result.</x:v>
      </x:c>
      <x:c r="O1722" s="35" t="str">
        <x:v>Use a duplicate submit and one simulated network interruption; one atomic mutation or none, never partial state.</x:v>
      </x:c>
      <x:c r="P1722" s="35" t="str">
        <x:v>All expected records and amounts match; no unexplained error or stale state.</x:v>
      </x:c>
    </x:row>
    <x:row r="1723">
      <x:c r="A1723" s="20" t="str">
        <x:v>RUN-20271111-03</x:v>
      </x:c>
      <x:c r="B1723" s="23" t="n">
        <x:v>46702</x:v>
      </x:c>
      <x:c r="C1723" s="32" t="n">
        <x:v>3</x:v>
      </x:c>
      <x:c r="D1723" s="20" t="str">
        <x:v>Notification certification</x:v>
      </x:c>
      <x:c r="E1723" s="20" t="str">
        <x:v>Staff + manager</x:v>
      </x:c>
      <x:c r="F1723" s="20" t="str">
        <x:v>Web + Mobile</x:v>
      </x:c>
      <x:c r="G1723" s="20" t="str">
        <x:v>System event + preference/manual verification</x:v>
      </x:c>
      <x:c r="H1723" s="35" t="str">
        <x:v>Trigger and prove notification: Assignment offered/accepted/declined</x:v>
      </x:c>
      <x:c r="I1723" s="35" t="str">
        <x:v>NTF-043</x:v>
      </x:c>
      <x:c r="J1723" s="35" t="str"/>
      <x:c r="K1723" s="35" t="str"/>
      <x:c r="L1723" s="35" t="str">
        <x:v>Set each recipient's preferences; trigger the real business event; inspect routing and recipient scope; verify unread badge, list item, safe preview, assignment inbox deep link, mark-read sync, configured channel outcome, provider failure/retry, and duplicate suppression.</x:v>
      </x:c>
      <x:c r="M1723" s="35" t="str">
        <x:v>Exactly the intended recipients receive one correctly routed notification; disabled optional channels stay silent; deep link opens authorized context; read state synchronizes.</x:v>
      </x:c>
      <x:c r="N1723" s="35" t="str">
        <x:v>Trigger record; routing decision; outbox/delivery status; web/mobile inbox; lock-screen-safe copy; deep-link target; audit/provider retry evidence.</x:v>
      </x:c>
      <x:c r="O1723" s="35" t="str">
        <x:v>Re-run the worker and deliver a duplicate provider callback; no duplicate user-visible event. Attempt the deep link as an unauthorized adjacent role.</x:v>
      </x:c>
      <x:c r="P1723" s="35" t="str">
        <x:v>All expected records and amounts match; no unexplained error or stale state.</x:v>
      </x:c>
    </x:row>
    <x:row r="1724">
      <x:c r="A1724" s="20" t="str">
        <x:v>RUN-20271111-04</x:v>
      </x:c>
      <x:c r="B1724" s="23" t="n">
        <x:v>46702</x:v>
      </x:c>
      <x:c r="C1724" s="32" t="n">
        <x:v>4</x:v>
      </x:c>
      <x:c r="D1724" s="20" t="str">
        <x:v>Surface coverage</x:v>
      </x:c>
      <x:c r="E1724" s="20" t="str">
        <x:v>Role appropriate to surface</x:v>
      </x:c>
      <x:c r="F1724" s="20" t="str">
        <x:v>Mobile</x:v>
      </x:c>
      <x:c r="G1724" s="20" t="str">
        <x:v>Manual</x:v>
      </x:c>
      <x:c r="H1724" s="35" t="str">
        <x:v>Manual mobile pass: Team invite, roles, scoped assignments</x:v>
      </x:c>
      <x:c r="I1724" s="35" t="str">
        <x:v>COV-040</x:v>
      </x:c>
      <x:c r="J1724" s="35" t="str"/>
      <x:c r="K1724" s="35" t="str"/>
      <x:c r="L1724" s="35" t="str">
        <x:v>Invite each role, activate, assign property scope, accept/decline work, change/revoke access, and prove authorization.</x:v>
      </x:c>
      <x:c r="M1724" s="35" t="str">
        <x:v>The supported workflow completes and persists correctly; if the capability is absent, the exact gap is proven and queued rather than silently skipped.</x:v>
      </x:c>
      <x:c r="N1724" s="35" t="str">
        <x:v>Real UI screenshot/state; submitted values; persisted read-back; cross-client read-back; audit/role/access evidence.</x:v>
      </x:c>
      <x:c r="O1724" s="35" t="str">
        <x:v>Use one invalid value, stale-state retry, or duplicate submission relevant to the form; no partial or duplicate mutation.</x:v>
      </x:c>
      <x:c r="P1724" s="35" t="str">
        <x:v>All expected records and amounts match; no unexplained error or stale state.</x:v>
      </x:c>
    </x:row>
    <x:row r="1725">
      <x:c r="A1725" s="20" t="str">
        <x:v>RUN-20271112-01</x:v>
      </x:c>
      <x:c r="B1725" s="23" t="n">
        <x:v>46703</x:v>
      </x:c>
      <x:c r="C1725" s="32" t="n">
        <x:v>1</x:v>
      </x:c>
      <x:c r="D1725" s="20" t="str">
        <x:v>Monthly operations</x:v>
      </x:c>
      <x:c r="E1725" s="20" t="str">
        <x:v>Property Manager</x:v>
      </x:c>
      <x:c r="F1725" s="20" t="str">
        <x:v>Mobile</x:v>
      </x:c>
      <x:c r="G1725" s="20" t="str">
        <x:v>Scanned money order</x:v>
      </x:c>
      <x:c r="H1725" s="35" t="str">
        <x:v>Post and allocate tenant receipt</x:v>
      </x:c>
      <x:c r="I1725" s="35" t="str">
        <x:v>P011; U011; L011</x:v>
      </x:c>
      <x:c r="J1725" s="35" t="str">
        <x:v>SCN-0306</x:v>
      </x:c>
      <x:c r="K1725" s="35" t="str">
        <x:v>FIN-00870; FIN-00871</x:v>
      </x:c>
      <x:c r="L1725" s="35" t="str">
        <x:v>Open Scan for paper payment or the tenant-account receipt form for electronic payment; verify tenant/lease match, amount, date, method, and reference; confirm once; open ledger detail and allocation.</x:v>
      </x:c>
      <x:c r="M1725" s="35" t="str">
        <x:v>Receipt is append-only, allocated once to the correct rent charge, and visible consistently in Unit, Lease, Tenant Account, Accounting, and portal views.</x:v>
      </x:c>
      <x:c r="N1725" s="35" t="str">
        <x:v>Scan review or form; success result; exact ledger rows; payment detail; accounting delta; portal receipt.</x:v>
      </x:c>
      <x:c r="O1725" s="35" t="str">
        <x:v>Retry the idempotency key once during the quarter assigned in the coverage matrix; no duplicate cash or allocation.</x:v>
      </x:c>
      <x:c r="P1725" s="35" t="str">
        <x:v>All expected records and amounts match; no unexplained error or stale state.</x:v>
      </x:c>
    </x:row>
    <x:row r="1726">
      <x:c r="A1726" s="20" t="str">
        <x:v>RUN-20271112-02</x:v>
      </x:c>
      <x:c r="B1726" s="23" t="n">
        <x:v>46703</x:v>
      </x:c>
      <x:c r="C1726" s="32" t="n">
        <x:v>2</x:v>
      </x:c>
      <x:c r="D1726" s="20" t="str">
        <x:v>Monthly operations</x:v>
      </x:c>
      <x:c r="E1726" s="20" t="str">
        <x:v>Property Manager</x:v>
      </x:c>
      <x:c r="F1726" s="20" t="str">
        <x:v>Mobile</x:v>
      </x:c>
      <x:c r="G1726" s="20" t="str">
        <x:v>Portal card</x:v>
      </x:c>
      <x:c r="H1726" s="35" t="str">
        <x:v>Post and allocate tenant receipt</x:v>
      </x:c>
      <x:c r="I1726" s="35" t="str">
        <x:v>P027; U033; L033</x:v>
      </x:c>
      <x:c r="J1726" s="35" t="str"/>
      <x:c r="K1726" s="35" t="str">
        <x:v>FIN-00912; FIN-00913</x:v>
      </x:c>
      <x:c r="L1726" s="35" t="str">
        <x:v>Open Scan for paper payment or the tenant-account receipt form for electronic payment; verify tenant/lease match, amount, date, method, and reference; confirm once; open ledger detail and allocation.</x:v>
      </x:c>
      <x:c r="M1726" s="35" t="str">
        <x:v>Receipt is append-only, allocated once to the correct rent charge, and visible consistently in Unit, Lease, Tenant Account, Accounting, and portal views.</x:v>
      </x:c>
      <x:c r="N1726" s="35" t="str">
        <x:v>Scan review or form; success result; exact ledger rows; payment detail; accounting delta; portal receipt.</x:v>
      </x:c>
      <x:c r="O1726" s="35" t="str">
        <x:v>Retry the idempotency key once during the quarter assigned in the coverage matrix; no duplicate cash or allocation.</x:v>
      </x:c>
      <x:c r="P1726" s="35" t="str">
        <x:v>All expected records and amounts match; no unexplained error or stale state.</x:v>
      </x:c>
    </x:row>
    <x:row r="1727">
      <x:c r="A1727" s="20" t="str">
        <x:v>RUN-20271112-03</x:v>
      </x:c>
      <x:c r="B1727" s="23" t="n">
        <x:v>46703</x:v>
      </x:c>
      <x:c r="C1727" s="32" t="n">
        <x:v>3</x:v>
      </x:c>
      <x:c r="D1727" s="20" t="str">
        <x:v>Monthly operations</x:v>
      </x:c>
      <x:c r="E1727" s="20" t="str">
        <x:v>Property Manager</x:v>
      </x:c>
      <x:c r="F1727" s="20" t="str">
        <x:v>Web</x:v>
      </x:c>
      <x:c r="G1727" s="20" t="str">
        <x:v>Manual ACH</x:v>
      </x:c>
      <x:c r="H1727" s="35" t="str">
        <x:v>Post and allocate tenant receipt</x:v>
      </x:c>
      <x:c r="I1727" s="35" t="str">
        <x:v>P029; U038; L044</x:v>
      </x:c>
      <x:c r="J1727" s="35" t="str"/>
      <x:c r="K1727" s="35" t="str">
        <x:v>FIN-00935; FIN-00936</x:v>
      </x:c>
      <x:c r="L1727" s="35" t="str">
        <x:v>Open Scan for paper payment or the tenant-account receipt form for electronic payment; verify tenant/lease match, amount, date, method, and reference; confirm once; open ledger detail and allocation.</x:v>
      </x:c>
      <x:c r="M1727" s="35" t="str">
        <x:v>Receipt is append-only, allocated once to the correct rent charge, and visible consistently in Unit, Lease, Tenant Account, Accounting, and portal views.</x:v>
      </x:c>
      <x:c r="N1727" s="35" t="str">
        <x:v>Scan review or form; success result; exact ledger rows; payment detail; accounting delta; portal receipt.</x:v>
      </x:c>
      <x:c r="O1727" s="35" t="str">
        <x:v>Retry the idempotency key once during the quarter assigned in the coverage matrix; no duplicate cash or allocation.</x:v>
      </x:c>
      <x:c r="P1727" s="35" t="str">
        <x:v>All expected records and amounts match; no unexplained error or stale state.</x:v>
      </x:c>
    </x:row>
    <x:row r="1728">
      <x:c r="A1728" s="20" t="str">
        <x:v>RUN-20271112-04</x:v>
      </x:c>
      <x:c r="B1728" s="23" t="n">
        <x:v>46703</x:v>
      </x:c>
      <x:c r="C1728" s="32" t="n">
        <x:v>4</x:v>
      </x:c>
      <x:c r="D1728" s="20" t="str">
        <x:v>Role and screen certification</x:v>
      </x:c>
      <x:c r="E1728" s="20" t="str">
        <x:v>Applicant / public user</x:v>
      </x:c>
      <x:c r="F1728" s="20" t="str">
        <x:v>Mobile</x:v>
      </x:c>
      <x:c r="G1728" s="20" t="str">
        <x:v>Normal persona navigation</x:v>
      </x:c>
      <x:c r="H1728" s="35" t="str">
        <x:v>Use every permitted action and state on features/recurring_maintenance/recurring_maintenance_form_screen.dart</x:v>
      </x:c>
      <x:c r="I1728" s="35" t="str">
        <x:v>SCR-172; ROLE-280</x:v>
      </x:c>
      <x:c r="J1728" s="35" t="str"/>
      <x:c r="K1728" s="35" t="str"/>
      <x:c r="L172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28" s="35" t="str">
        <x:v>The persona can use every allowed action with only its assigned properties/relationships. Hidden or disabled actions explain why; an adjacent unauthorized persona is denied without metadata leakage.</x:v>
      </x:c>
      <x:c r="N1728" s="35" t="str">
        <x:v>Persona/experience; navigation entry; desktop or device screenshots; result state; persisted read-back; audit/history; authorized and denied network result.</x:v>
      </x:c>
      <x:c r="O1728" s="35" t="str">
        <x:v>Open the direct URL or deep link with an adjacent unauthorized persona and with stale scope; both fail closed and land safely without mutation.</x:v>
      </x:c>
      <x:c r="P1728" s="35" t="str">
        <x:v>All expected records and amounts match; no unexplained error or stale state.</x:v>
      </x:c>
    </x:row>
    <x:row r="1729">
      <x:c r="A1729" s="20" t="str">
        <x:v>RUN-20271112-05</x:v>
      </x:c>
      <x:c r="B1729" s="23" t="n">
        <x:v>46703</x:v>
      </x:c>
      <x:c r="C1729" s="32" t="n">
        <x:v>5</x:v>
      </x:c>
      <x:c r="D1729" s="20" t="str">
        <x:v>Field certification</x:v>
      </x:c>
      <x:c r="E1729" s="20" t="str">
        <x:v>Applicant / public user</x:v>
      </x:c>
      <x:c r="F1729" s="20" t="str">
        <x:v>Mobile</x:v>
      </x:c>
      <x:c r="G1729" s="20" t="str">
        <x:v>Manual field-by-field</x:v>
      </x:c>
      <x:c r="H1729" s="35" t="str">
        <x:v>Fill, save, reload, edit, and validate every declared field on features/money/money_screen.dart</x:v>
      </x:c>
      <x:c r="I1729" s="35" t="str">
        <x:v>FLD-0940</x:v>
      </x:c>
      <x:c r="J1729" s="35" t="str"/>
      <x:c r="K1729" s="35" t="str"/>
      <x:c r="L1729" s="35" t="str">
        <x:v>Use the source-derived Field Inventory. Enter non-default realistic values in every control (SegmentedButton-1); submit; reload or relaunch; compare every value; edit each mutable field; verify the paired client; then run required, format, length, range, boundary, optional-null, and stale-submit checks.</x:v>
      </x:c>
      <x:c r="M1729" s="35" t="str">
        <x:v>All 1 inventoried controls persist exact normalized values, invalid values stay unsaved with clear errors, and hidden/unauthorized fields cannot be altered.</x:v>
      </x:c>
      <x:c r="N1729" s="35" t="str">
        <x:v>Before/after form screenshots; FLD IDs; API response; reloaded UI; paired-client read-back; database/audit evidence; negative validation result.</x:v>
      </x:c>
      <x:c r="O1729" s="35" t="str">
        <x:v>Use a duplicate submit and one simulated network interruption; one atomic mutation or none, never partial state.</x:v>
      </x:c>
      <x:c r="P1729" s="35" t="str">
        <x:v>All expected records and amounts match; no unexplained error or stale state.</x:v>
      </x:c>
    </x:row>
    <x:row r="1730">
      <x:c r="A1730" s="20" t="str">
        <x:v>RUN-20271112-06</x:v>
      </x:c>
      <x:c r="B1730" s="23" t="n">
        <x:v>46703</x:v>
      </x:c>
      <x:c r="C1730" s="32" t="n">
        <x:v>6</x:v>
      </x:c>
      <x:c r="D1730" s="20" t="str">
        <x:v>Field certification</x:v>
      </x:c>
      <x:c r="E1730" s="20" t="str">
        <x:v>Tenant</x:v>
      </x:c>
      <x:c r="F1730" s="20" t="str">
        <x:v>Mobile</x:v>
      </x:c>
      <x:c r="G1730" s="20" t="str">
        <x:v>Manual field-by-field</x:v>
      </x:c>
      <x:c r="H1730" s="35" t="str">
        <x:v>Fill, save, reload, edit, and validate every declared field on features/notices/create_tenant_notice.dart</x:v>
      </x:c>
      <x:c r="I1730" s="35" t="str">
        <x:v>FLD-0941; FLD-0942; FLD-0943; FLD-0944</x:v>
      </x:c>
      <x:c r="J1730" s="35" t="str"/>
      <x:c r="K1730" s="35" t="str"/>
      <x:c r="L1730" s="35" t="str">
        <x:v>Use the source-derived Field Inventory. Enter non-default realistic values in every control (_subjectCtrls; _bodyCtrls; _subjectCtrl; _bodyCtrl); submit; reload or relaunch; compare every value; edit each mutable field; verify the paired client; then run required, format, length, range, boundary, optional-null, and stale-submit checks.</x:v>
      </x:c>
      <x:c r="M1730" s="35" t="str">
        <x:v>All 4 inventoried controls persist exact normalized values, invalid values stay unsaved with clear errors, and hidden/unauthorized fields cannot be altered.</x:v>
      </x:c>
      <x:c r="N1730" s="35" t="str">
        <x:v>Before/after form screenshots; FLD IDs; API response; reloaded UI; paired-client read-back; database/audit evidence; negative validation result.</x:v>
      </x:c>
      <x:c r="O1730" s="35" t="str">
        <x:v>Use a duplicate submit and one simulated network interruption; one atomic mutation or none, never partial state.</x:v>
      </x:c>
      <x:c r="P1730" s="35" t="str">
        <x:v>All expected records and amounts match; no unexplained error or stale state.</x:v>
      </x:c>
    </x:row>
    <x:row r="1731">
      <x:c r="A1731" s="20" t="str">
        <x:v>RUN-20271112-07</x:v>
      </x:c>
      <x:c r="B1731" s="23" t="n">
        <x:v>46703</x:v>
      </x:c>
      <x:c r="C1731" s="32" t="n">
        <x:v>7</x:v>
      </x:c>
      <x:c r="D1731" s="20" t="str">
        <x:v>Surface coverage</x:v>
      </x:c>
      <x:c r="E1731" s="20" t="str">
        <x:v>Role appropriate to surface</x:v>
      </x:c>
      <x:c r="F1731" s="20" t="str">
        <x:v>Web</x:v>
      </x:c>
      <x:c r="G1731" s="20" t="str">
        <x:v>Scan/attachment</x:v>
      </x:c>
      <x:c r="H1731" s="35" t="str">
        <x:v>Scan web pass: Team invite, roles, scoped assignments</x:v>
      </x:c>
      <x:c r="I1731" s="35" t="str">
        <x:v>COV-040</x:v>
      </x:c>
      <x:c r="J1731" s="35" t="str"/>
      <x:c r="K1731" s="35" t="str"/>
      <x:c r="L1731" s="35" t="str">
        <x:v>Invite each role, activate, assign property scope, accept/decline work, change/revoke access, and prove authorization.</x:v>
      </x:c>
      <x:c r="M1731" s="35" t="str">
        <x:v>The supported workflow completes and persists correctly; if the capability is absent, the exact gap is proven and queued rather than silently skipped.</x:v>
      </x:c>
      <x:c r="N1731" s="35" t="str">
        <x:v>Real UI screenshot/state; submitted values; persisted read-back; cross-client read-back; audit/role/access evidence.</x:v>
      </x:c>
      <x:c r="O1731" s="35" t="str">
        <x:v>Use one invalid value, stale-state retry, or duplicate submission relevant to the form; no partial or duplicate mutation.</x:v>
      </x:c>
      <x:c r="P1731" s="35" t="str">
        <x:v>All expected records and amounts match; no unexplained error or stale state.</x:v>
      </x:c>
    </x:row>
    <x:row r="1732">
      <x:c r="A1732" s="20" t="str">
        <x:v>RUN-20271115-01</x:v>
      </x:c>
      <x:c r="B1732" s="23" t="n">
        <x:v>46706</x:v>
      </x:c>
      <x:c r="C1732" s="32" t="n">
        <x:v>1</x:v>
      </x:c>
      <x:c r="D1732" s="20" t="str">
        <x:v>Weekly operations</x:v>
      </x:c>
      <x:c r="E1732" s="20" t="str">
        <x:v>Property Manager</x:v>
      </x:c>
      <x:c r="F1732" s="20" t="str">
        <x:v>Web</x:v>
      </x:c>
      <x:c r="G1732" s="20" t="str">
        <x:v>Scan-first</x:v>
      </x:c>
      <x:c r="H1732" s="35" t="str">
        <x:v>Create and triage maintenance request</x:v>
      </x:c>
      <x:c r="I1732" s="35" t="str">
        <x:v>P003; U003; WO-2027-046</x:v>
      </x:c>
      <x:c r="J1732" s="35" t="str">
        <x:v>SCN-0428</x:v>
      </x:c>
      <x:c r="K1732" s="35" t="str"/>
      <x:c r="L1732" s="35" t="str">
        <x:v>Capture the tenant note/photo; review turnover touch-up; confirm; set responsibility; dispatch Fresh Start Turnovers; create an appointment and verify the tenant notification.</x:v>
      </x:c>
      <x:c r="M1732" s="35" t="str">
        <x:v>Work order, status timeline, responsibility, vendor dispatch, appointment, notification, and Unit context are linked once.</x:v>
      </x:c>
      <x:c r="N1732" s="35" t="str">
        <x:v>Scan review; work order detail/timeline; dispatch; appointment; notification; tenant portal view.</x:v>
      </x:c>
      <x:c r="O1732" s="35" t="str">
        <x:v>Cancel one dispatch each quarter, reassign once, and prove status/history remains append-only.</x:v>
      </x:c>
      <x:c r="P1732" s="35" t="str">
        <x:v>All expected records and amounts match; no unexplained error or stale state.</x:v>
      </x:c>
    </x:row>
    <x:row r="1733">
      <x:c r="A1733" s="20" t="str">
        <x:v>RUN-20271115-02</x:v>
      </x:c>
      <x:c r="B1733" s="23" t="n">
        <x:v>46706</x:v>
      </x:c>
      <x:c r="C1733" s="32" t="n">
        <x:v>2</x:v>
      </x:c>
      <x:c r="D1733" s="20" t="str">
        <x:v>Weekly operations</x:v>
      </x:c>
      <x:c r="E1733" s="20" t="str">
        <x:v>Property Manager</x:v>
      </x:c>
      <x:c r="F1733" s="20" t="str">
        <x:v>Mobile</x:v>
      </x:c>
      <x:c r="G1733" s="20" t="str">
        <x:v>Scanned receipt/invoice</x:v>
      </x:c>
      <x:c r="H1733" s="35" t="str">
        <x:v>Record, review, allocate, and pay operating expense</x:v>
      </x:c>
      <x:c r="I1733" s="35" t="str">
        <x:v>P021; Property scope; </x:v>
      </x:c>
      <x:c r="J1733" s="35" t="str">
        <x:v>SCN-0731</x:v>
      </x:c>
      <x:c r="K1733" s="35" t="str">
        <x:v>FIN-01429</x:v>
      </x:c>
      <x:c r="L1733" s="35" t="str">
        <x:v>Capture or upload the source; verify vendor, date, scope, category, line items, tax, amount, and work-order link; confirm; open detail; verify attachment; compare Money and Property/Unit views.</x:v>
      </x:c>
      <x:c r="M1733" s="35" t="str">
        <x:v>One expense exists at its real operational scope, cash falls once, Schedule E category and allocations agree, and no per-unit copies are created.</x:v>
      </x:c>
      <x:c r="N1733" s="35" t="str">
        <x:v>Source preview; review/form; expense detail; line items; Property/Unit ledger; audit; accounting/report delta.</x:v>
      </x:c>
      <x:c r="O1733" s="35" t="str">
        <x:v>On marked duplicate-invoice cases, re-upload before confirm and prove the product prevents or clearly warns about duplication.</x:v>
      </x:c>
      <x:c r="P1733" s="35" t="str">
        <x:v>All expected records and amounts match; no unexplained error or stale state.</x:v>
      </x:c>
    </x:row>
    <x:row r="1734">
      <x:c r="A1734" s="20" t="str">
        <x:v>RUN-20271115-03</x:v>
      </x:c>
      <x:c r="B1734" s="23" t="n">
        <x:v>46706</x:v>
      </x:c>
      <x:c r="C1734" s="32" t="n">
        <x:v>3</x:v>
      </x:c>
      <x:c r="D1734" s="20" t="str">
        <x:v>Weekly operations</x:v>
      </x:c>
      <x:c r="E1734" s="20" t="str">
        <x:v>Property Manager</x:v>
      </x:c>
      <x:c r="F1734" s="20" t="str">
        <x:v>Web</x:v>
      </x:c>
      <x:c r="G1734" s="20" t="str">
        <x:v>Scanned receipt/invoice</x:v>
      </x:c>
      <x:c r="H1734" s="35" t="str">
        <x:v>Record, review, allocate, and pay operating expense</x:v>
      </x:c>
      <x:c r="I1734" s="35" t="str">
        <x:v>P022; Property scope; </x:v>
      </x:c>
      <x:c r="J1734" s="35" t="str">
        <x:v>SCN-0732</x:v>
      </x:c>
      <x:c r="K1734" s="35" t="str">
        <x:v>FIN-01430</x:v>
      </x:c>
      <x:c r="L1734" s="35" t="str">
        <x:v>Capture or upload the source; verify vendor, date, scope, category, line items, tax, amount, and work-order link; confirm; open detail; verify attachment; compare Money and Property/Unit views.</x:v>
      </x:c>
      <x:c r="M1734" s="35" t="str">
        <x:v>One expense exists at its real operational scope, cash falls once, Schedule E category and allocations agree, and no per-unit copies are created.</x:v>
      </x:c>
      <x:c r="N1734" s="35" t="str">
        <x:v>Source preview; review/form; expense detail; line items; Property/Unit ledger; audit; accounting/report delta.</x:v>
      </x:c>
      <x:c r="O1734" s="35" t="str">
        <x:v>On marked duplicate-invoice cases, re-upload before confirm and prove the product prevents or clearly warns about duplication.</x:v>
      </x:c>
      <x:c r="P1734" s="35" t="str">
        <x:v>All expected records and amounts match; no unexplained error or stale state.</x:v>
      </x:c>
    </x:row>
    <x:row r="1735">
      <x:c r="A1735" s="20" t="str">
        <x:v>RUN-20271115-04</x:v>
      </x:c>
      <x:c r="B1735" s="23" t="n">
        <x:v>46706</x:v>
      </x:c>
      <x:c r="C1735" s="32" t="n">
        <x:v>4</x:v>
      </x:c>
      <x:c r="D1735" s="20" t="str">
        <x:v>Weekly operations</x:v>
      </x:c>
      <x:c r="E1735" s="20" t="str">
        <x:v>Property Manager</x:v>
      </x:c>
      <x:c r="F1735" s="20" t="str">
        <x:v>Mobile</x:v>
      </x:c>
      <x:c r="G1735" s="20" t="str">
        <x:v>Scanned receipt/invoice</x:v>
      </x:c>
      <x:c r="H1735" s="35" t="str">
        <x:v>Record, review, allocate, and pay operating expense</x:v>
      </x:c>
      <x:c r="I1735" s="35" t="str">
        <x:v>P023; Property scope; </x:v>
      </x:c>
      <x:c r="J1735" s="35" t="str">
        <x:v>SCN-0733</x:v>
      </x:c>
      <x:c r="K1735" s="35" t="str">
        <x:v>FIN-01431</x:v>
      </x:c>
      <x:c r="L1735" s="35" t="str">
        <x:v>Capture or upload the source; verify vendor, date, scope, category, line items, tax, amount, and work-order link; confirm; open detail; verify attachment; compare Money and Property/Unit views.</x:v>
      </x:c>
      <x:c r="M1735" s="35" t="str">
        <x:v>One expense exists at its real operational scope, cash falls once, Schedule E category and allocations agree, and no per-unit copies are created.</x:v>
      </x:c>
      <x:c r="N1735" s="35" t="str">
        <x:v>Source preview; review/form; expense detail; line items; Property/Unit ledger; audit; accounting/report delta.</x:v>
      </x:c>
      <x:c r="O1735" s="35" t="str">
        <x:v>On marked duplicate-invoice cases, re-upload before confirm and prove the product prevents or clearly warns about duplication.</x:v>
      </x:c>
      <x:c r="P1735" s="35" t="str">
        <x:v>All expected records and amounts match; no unexplained error or stale state.</x:v>
      </x:c>
    </x:row>
    <x:row r="1736">
      <x:c r="A1736" s="20" t="str">
        <x:v>RUN-20271115-05</x:v>
      </x:c>
      <x:c r="B1736" s="23" t="n">
        <x:v>46706</x:v>
      </x:c>
      <x:c r="C1736" s="32" t="n">
        <x:v>5</x:v>
      </x:c>
      <x:c r="D1736" s="20" t="str">
        <x:v>Weekly operations</x:v>
      </x:c>
      <x:c r="E1736" s="20" t="str">
        <x:v>Property Manager</x:v>
      </x:c>
      <x:c r="F1736" s="20" t="str">
        <x:v>Web</x:v>
      </x:c>
      <x:c r="G1736" s="20" t="str">
        <x:v>Scanned receipt/invoice</x:v>
      </x:c>
      <x:c r="H1736" s="35" t="str">
        <x:v>Record, review, allocate, and pay operating expense</x:v>
      </x:c>
      <x:c r="I1736" s="35" t="str">
        <x:v>P024; Property scope; </x:v>
      </x:c>
      <x:c r="J1736" s="35" t="str">
        <x:v>SCN-0734</x:v>
      </x:c>
      <x:c r="K1736" s="35" t="str">
        <x:v>FIN-01432</x:v>
      </x:c>
      <x:c r="L1736" s="35" t="str">
        <x:v>Capture or upload the source; verify vendor, date, scope, category, line items, tax, amount, and work-order link; confirm; open detail; verify attachment; compare Money and Property/Unit views.</x:v>
      </x:c>
      <x:c r="M1736" s="35" t="str">
        <x:v>One expense exists at its real operational scope, cash falls once, Schedule E category and allocations agree, and no per-unit copies are created.</x:v>
      </x:c>
      <x:c r="N1736" s="35" t="str">
        <x:v>Source preview; review/form; expense detail; line items; Property/Unit ledger; audit; accounting/report delta.</x:v>
      </x:c>
      <x:c r="O1736" s="35" t="str">
        <x:v>On marked duplicate-invoice cases, re-upload before confirm and prove the product prevents or clearly warns about duplication.</x:v>
      </x:c>
      <x:c r="P1736" s="35" t="str">
        <x:v>All expected records and amounts match; no unexplained error or stale state.</x:v>
      </x:c>
    </x:row>
    <x:row r="1737">
      <x:c r="A1737" s="20" t="str">
        <x:v>RUN-20271115-06</x:v>
      </x:c>
      <x:c r="B1737" s="23" t="n">
        <x:v>46706</x:v>
      </x:c>
      <x:c r="C1737" s="32" t="n">
        <x:v>6</x:v>
      </x:c>
      <x:c r="D1737" s="20" t="str">
        <x:v>Weekly operations</x:v>
      </x:c>
      <x:c r="E1737" s="20" t="str">
        <x:v>Property Manager</x:v>
      </x:c>
      <x:c r="F1737" s="20" t="str">
        <x:v>Mobile</x:v>
      </x:c>
      <x:c r="G1737" s="20" t="str">
        <x:v>Manual web form</x:v>
      </x:c>
      <x:c r="H1737" s="35" t="str">
        <x:v>Record, review, allocate, and pay operating expense</x:v>
      </x:c>
      <x:c r="I1737" s="35" t="str">
        <x:v>P025; Property scope; </x:v>
      </x:c>
      <x:c r="J1737" s="35" t="str"/>
      <x:c r="K1737" s="35" t="str">
        <x:v>FIN-01433</x:v>
      </x:c>
      <x:c r="L1737" s="35" t="str">
        <x:v>Capture or upload the source; verify vendor, date, scope, category, line items, tax, amount, and work-order link; confirm; open detail; verify attachment; compare Money and Property/Unit views.</x:v>
      </x:c>
      <x:c r="M1737" s="35" t="str">
        <x:v>One expense exists at its real operational scope, cash falls once, Schedule E category and allocations agree, and no per-unit copies are created.</x:v>
      </x:c>
      <x:c r="N1737" s="35" t="str">
        <x:v>Source preview; review/form; expense detail; line items; Property/Unit ledger; audit; accounting/report delta.</x:v>
      </x:c>
      <x:c r="O1737" s="35" t="str">
        <x:v>On marked duplicate-invoice cases, re-upload before confirm and prove the product prevents or clearly warns about duplication.</x:v>
      </x:c>
      <x:c r="P1737" s="35" t="str">
        <x:v>All expected records and amounts match; no unexplained error or stale state.</x:v>
      </x:c>
    </x:row>
    <x:row r="1738">
      <x:c r="A1738" s="20" t="str">
        <x:v>RUN-20271115-07</x:v>
      </x:c>
      <x:c r="B1738" s="23" t="n">
        <x:v>46706</x:v>
      </x:c>
      <x:c r="C1738" s="32" t="n">
        <x:v>7</x:v>
      </x:c>
      <x:c r="D1738" s="20" t="str">
        <x:v>Weekly operations</x:v>
      </x:c>
      <x:c r="E1738" s="20" t="str">
        <x:v>Property Manager</x:v>
      </x:c>
      <x:c r="F1738" s="20" t="str">
        <x:v>Web</x:v>
      </x:c>
      <x:c r="G1738" s="20" t="str">
        <x:v>Scanned receipt/invoice</x:v>
      </x:c>
      <x:c r="H1738" s="35" t="str">
        <x:v>Record, review, allocate, and pay operating expense</x:v>
      </x:c>
      <x:c r="I1738" s="35" t="str">
        <x:v>P026; Property scope; </x:v>
      </x:c>
      <x:c r="J1738" s="35" t="str">
        <x:v>SCN-0735</x:v>
      </x:c>
      <x:c r="K1738" s="35" t="str">
        <x:v>FIN-01434</x:v>
      </x:c>
      <x:c r="L1738" s="35" t="str">
        <x:v>Capture or upload the source; verify vendor, date, scope, category, line items, tax, amount, and work-order link; confirm; open detail; verify attachment; compare Money and Property/Unit views.</x:v>
      </x:c>
      <x:c r="M1738" s="35" t="str">
        <x:v>One expense exists at its real operational scope, cash falls once, Schedule E category and allocations agree, and no per-unit copies are created.</x:v>
      </x:c>
      <x:c r="N1738" s="35" t="str">
        <x:v>Source preview; review/form; expense detail; line items; Property/Unit ledger; audit; accounting/report delta.</x:v>
      </x:c>
      <x:c r="O1738" s="35" t="str">
        <x:v>On marked duplicate-invoice cases, re-upload before confirm and prove the product prevents or clearly warns about duplication.</x:v>
      </x:c>
      <x:c r="P1738" s="35" t="str">
        <x:v>All expected records and amounts match; no unexplained error or stale state.</x:v>
      </x:c>
    </x:row>
    <x:row r="1739">
      <x:c r="A1739" s="20" t="str">
        <x:v>RUN-20271115-08</x:v>
      </x:c>
      <x:c r="B1739" s="23" t="n">
        <x:v>46706</x:v>
      </x:c>
      <x:c r="C1739" s="32" t="n">
        <x:v>8</x:v>
      </x:c>
      <x:c r="D1739" s="20" t="str">
        <x:v>Weekly operations</x:v>
      </x:c>
      <x:c r="E1739" s="20" t="str">
        <x:v>Property Manager</x:v>
      </x:c>
      <x:c r="F1739" s="20" t="str">
        <x:v>Mobile</x:v>
      </x:c>
      <x:c r="G1739" s="20" t="str">
        <x:v>Scanned receipt/invoice</x:v>
      </x:c>
      <x:c r="H1739" s="35" t="str">
        <x:v>Record, review, allocate, and pay operating expense</x:v>
      </x:c>
      <x:c r="I1739" s="35" t="str">
        <x:v>P027; Property scope; </x:v>
      </x:c>
      <x:c r="J1739" s="35" t="str">
        <x:v>SCN-0736</x:v>
      </x:c>
      <x:c r="K1739" s="35" t="str">
        <x:v>FIN-01435</x:v>
      </x:c>
      <x:c r="L1739" s="35" t="str">
        <x:v>Capture or upload the source; verify vendor, date, scope, category, line items, tax, amount, and work-order link; confirm; open detail; verify attachment; compare Money and Property/Unit views.</x:v>
      </x:c>
      <x:c r="M1739" s="35" t="str">
        <x:v>One expense exists at its real operational scope, cash falls once, Schedule E category and allocations agree, and no per-unit copies are created.</x:v>
      </x:c>
      <x:c r="N1739" s="35" t="str">
        <x:v>Source preview; review/form; expense detail; line items; Property/Unit ledger; audit; accounting/report delta.</x:v>
      </x:c>
      <x:c r="O1739" s="35" t="str">
        <x:v>On marked duplicate-invoice cases, re-upload before confirm and prove the product prevents or clearly warns about duplication.</x:v>
      </x:c>
      <x:c r="P1739" s="35" t="str">
        <x:v>All expected records and amounts match; no unexplained error or stale state.</x:v>
      </x:c>
    </x:row>
    <x:row r="1740">
      <x:c r="A1740" s="20" t="str">
        <x:v>RUN-20271115-09</x:v>
      </x:c>
      <x:c r="B1740" s="23" t="n">
        <x:v>46706</x:v>
      </x:c>
      <x:c r="C1740" s="32" t="n">
        <x:v>9</x:v>
      </x:c>
      <x:c r="D1740" s="20" t="str">
        <x:v>Weekly operations</x:v>
      </x:c>
      <x:c r="E1740" s="20" t="str">
        <x:v>Property Manager</x:v>
      </x:c>
      <x:c r="F1740" s="20" t="str">
        <x:v>Web</x:v>
      </x:c>
      <x:c r="G1740" s="20" t="str">
        <x:v>Scanned receipt/invoice</x:v>
      </x:c>
      <x:c r="H1740" s="35" t="str">
        <x:v>Record, review, allocate, and pay operating expense</x:v>
      </x:c>
      <x:c r="I1740" s="35" t="str">
        <x:v>P028; Property scope; </x:v>
      </x:c>
      <x:c r="J1740" s="35" t="str">
        <x:v>SCN-0737</x:v>
      </x:c>
      <x:c r="K1740" s="35" t="str">
        <x:v>FIN-01436</x:v>
      </x:c>
      <x:c r="L1740" s="35" t="str">
        <x:v>Capture or upload the source; verify vendor, date, scope, category, line items, tax, amount, and work-order link; confirm; open detail; verify attachment; compare Money and Property/Unit views.</x:v>
      </x:c>
      <x:c r="M1740" s="35" t="str">
        <x:v>One expense exists at its real operational scope, cash falls once, Schedule E category and allocations agree, and no per-unit copies are created.</x:v>
      </x:c>
      <x:c r="N1740" s="35" t="str">
        <x:v>Source preview; review/form; expense detail; line items; Property/Unit ledger; audit; accounting/report delta.</x:v>
      </x:c>
      <x:c r="O1740" s="35" t="str">
        <x:v>On marked duplicate-invoice cases, re-upload before confirm and prove the product prevents or clearly warns about duplication.</x:v>
      </x:c>
      <x:c r="P1740" s="35" t="str">
        <x:v>All expected records and amounts match; no unexplained error or stale state.</x:v>
      </x:c>
    </x:row>
    <x:row r="1741">
      <x:c r="A1741" s="20" t="str">
        <x:v>RUN-20271115-10</x:v>
      </x:c>
      <x:c r="B1741" s="23" t="n">
        <x:v>46706</x:v>
      </x:c>
      <x:c r="C1741" s="32" t="n">
        <x:v>10</x:v>
      </x:c>
      <x:c r="D1741" s="20" t="str">
        <x:v>Weekly operations</x:v>
      </x:c>
      <x:c r="E1741" s="20" t="str">
        <x:v>Property Manager</x:v>
      </x:c>
      <x:c r="F1741" s="20" t="str">
        <x:v>Mobile</x:v>
      </x:c>
      <x:c r="G1741" s="20" t="str">
        <x:v>Scanned receipt/invoice</x:v>
      </x:c>
      <x:c r="H1741" s="35" t="str">
        <x:v>Record, review, allocate, and pay operating expense</x:v>
      </x:c>
      <x:c r="I1741" s="35" t="str">
        <x:v>P029; Property scope; </x:v>
      </x:c>
      <x:c r="J1741" s="35" t="str">
        <x:v>SCN-0738</x:v>
      </x:c>
      <x:c r="K1741" s="35" t="str">
        <x:v>FIN-01437</x:v>
      </x:c>
      <x:c r="L1741" s="35" t="str">
        <x:v>Capture or upload the source; verify vendor, date, scope, category, line items, tax, amount, and work-order link; confirm; open detail; verify attachment; compare Money and Property/Unit views.</x:v>
      </x:c>
      <x:c r="M1741" s="35" t="str">
        <x:v>One expense exists at its real operational scope, cash falls once, Schedule E category and allocations agree, and no per-unit copies are created.</x:v>
      </x:c>
      <x:c r="N1741" s="35" t="str">
        <x:v>Source preview; review/form; expense detail; line items; Property/Unit ledger; audit; accounting/report delta.</x:v>
      </x:c>
      <x:c r="O1741" s="35" t="str">
        <x:v>On marked duplicate-invoice cases, re-upload before confirm and prove the product prevents or clearly warns about duplication.</x:v>
      </x:c>
      <x:c r="P1741" s="35" t="str">
        <x:v>All expected records and amounts match; no unexplained error or stale state.</x:v>
      </x:c>
    </x:row>
    <x:row r="1742">
      <x:c r="A1742" s="20" t="str">
        <x:v>RUN-20271115-11</x:v>
      </x:c>
      <x:c r="B1742" s="23" t="n">
        <x:v>46706</x:v>
      </x:c>
      <x:c r="C1742" s="32" t="n">
        <x:v>11</x:v>
      </x:c>
      <x:c r="D1742" s="20" t="str">
        <x:v>Weekly operations</x:v>
      </x:c>
      <x:c r="E1742" s="20" t="str">
        <x:v>Property Manager</x:v>
      </x:c>
      <x:c r="F1742" s="20" t="str">
        <x:v>Web</x:v>
      </x:c>
      <x:c r="G1742" s="20" t="str">
        <x:v>Manual mobile form</x:v>
      </x:c>
      <x:c r="H1742" s="35" t="str">
        <x:v>Record, review, allocate, and pay operating expense</x:v>
      </x:c>
      <x:c r="I1742" s="35" t="str">
        <x:v>P030; Property scope; </x:v>
      </x:c>
      <x:c r="J1742" s="35" t="str"/>
      <x:c r="K1742" s="35" t="str">
        <x:v>FIN-01438</x:v>
      </x:c>
      <x:c r="L1742" s="35" t="str">
        <x:v>Capture or upload the source; verify vendor, date, scope, category, line items, tax, amount, and work-order link; confirm; open detail; verify attachment; compare Money and Property/Unit views.</x:v>
      </x:c>
      <x:c r="M1742" s="35" t="str">
        <x:v>One expense exists at its real operational scope, cash falls once, Schedule E category and allocations agree, and no per-unit copies are created.</x:v>
      </x:c>
      <x:c r="N1742" s="35" t="str">
        <x:v>Source preview; review/form; expense detail; line items; Property/Unit ledger; audit; accounting/report delta.</x:v>
      </x:c>
      <x:c r="O1742" s="35" t="str">
        <x:v>On marked duplicate-invoice cases, re-upload before confirm and prove the product prevents or clearly warns about duplication.</x:v>
      </x:c>
      <x:c r="P1742" s="35" t="str">
        <x:v>All expected records and amounts match; no unexplained error or stale state.</x:v>
      </x:c>
    </x:row>
    <x:row r="1743">
      <x:c r="A1743" s="20" t="str">
        <x:v>RUN-20271115-12</x:v>
      </x:c>
      <x:c r="B1743" s="23" t="n">
        <x:v>46706</x:v>
      </x:c>
      <x:c r="C1743" s="32" t="n">
        <x:v>12</x:v>
      </x:c>
      <x:c r="D1743" s="20" t="str">
        <x:v>Capital and tax</x:v>
      </x:c>
      <x:c r="E1743" s="20" t="str">
        <x:v>Workspace Administrator</x:v>
      </x:c>
      <x:c r="F1743" s="20" t="str">
        <x:v>Web + Mobile</x:v>
      </x:c>
      <x:c r="G1743" s="20" t="str">
        <x:v>Scan attachment + manual disposition</x:v>
      </x:c>
      <x:c r="H1743" s="35" t="str">
        <x:v>Dispose of one property after leases are closed</x:v>
      </x:c>
      <x:c r="I1743" s="35" t="str">
        <x:v>P003</x:v>
      </x:c>
      <x:c r="J1743" s="35" t="str">
        <x:v>SCN-0953</x:v>
      </x:c>
      <x:c r="K1743" s="35" t="str">
        <x:v>FIN-01676</x:v>
      </x:c>
      <x:c r="L1743" s="35" t="str">
        <x:v>Verify all Unit/lease/tenant obligations are resolved; attach closing packet; enter gross proceeds, selling costs, loan payoff, and disposition date; confirm guarded atomic command; review reports and historical access.</x:v>
      </x:c>
      <x:c r="M1743" s="35" t="str">
        <x:v>Property becomes disposed without deleting history; cash, loan payoff, basis removal, selling cost, and book gain match the oracle.</x:v>
      </x:c>
      <x:c r="N1743" s="35" t="str">
        <x:v>Precondition proof; closing document; disposition detail; historical reports; cash/loan/basis/gain checks; audit.</x:v>
      </x:c>
      <x:c r="O1743" s="35" t="str">
        <x:v>Attempt disposition while an active lease remains in a negative test copy; command is blocked without partial financial rows.</x:v>
      </x:c>
      <x:c r="P1743" s="35" t="str">
        <x:v>All expected records and amounts match; no unexplained error or stale state.</x:v>
      </x:c>
    </x:row>
    <x:row r="1744">
      <x:c r="A1744" s="20" t="str">
        <x:v>RUN-20271115-13</x:v>
      </x:c>
      <x:c r="B1744" s="23" t="n">
        <x:v>46706</x:v>
      </x:c>
      <x:c r="C1744" s="32" t="n">
        <x:v>13</x:v>
      </x:c>
      <x:c r="D1744" s="20" t="str">
        <x:v>Role and screen certification</x:v>
      </x:c>
      <x:c r="E1744" s="20" t="str">
        <x:v>Applicant / public user</x:v>
      </x:c>
      <x:c r="F1744" s="20" t="str">
        <x:v>Mobile</x:v>
      </x:c>
      <x:c r="G1744" s="20" t="str">
        <x:v>Normal persona navigation</x:v>
      </x:c>
      <x:c r="H1744" s="35" t="str">
        <x:v>Use every permitted action and state on features/recurring_maintenance/recurring_maintenance_list_screen.dart</x:v>
      </x:c>
      <x:c r="I1744" s="35" t="str">
        <x:v>SCR-173; ROLE-281</x:v>
      </x:c>
      <x:c r="J1744" s="35" t="str"/>
      <x:c r="K1744" s="35" t="str"/>
      <x:c r="L174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44" s="35" t="str">
        <x:v>The persona can use every allowed action with only its assigned properties/relationships. Hidden or disabled actions explain why; an adjacent unauthorized persona is denied without metadata leakage.</x:v>
      </x:c>
      <x:c r="N1744" s="35" t="str">
        <x:v>Persona/experience; navigation entry; desktop or device screenshots; result state; persisted read-back; audit/history; authorized and denied network result.</x:v>
      </x:c>
      <x:c r="O1744" s="35" t="str">
        <x:v>Open the direct URL or deep link with an adjacent unauthorized persona and with stale scope; both fail closed and land safely without mutation.</x:v>
      </x:c>
      <x:c r="P1744" s="35" t="str">
        <x:v>All expected records and amounts match; no unexplained error or stale state.</x:v>
      </x:c>
    </x:row>
    <x:row r="1745">
      <x:c r="A1745" s="20" t="str">
        <x:v>RUN-20271115-14</x:v>
      </x:c>
      <x:c r="B1745" s="23" t="n">
        <x:v>46706</x:v>
      </x:c>
      <x:c r="C1745" s="32" t="n">
        <x:v>14</x:v>
      </x:c>
      <x:c r="D1745" s="20" t="str">
        <x:v>Field certification</x:v>
      </x:c>
      <x:c r="E1745" s="20" t="str">
        <x:v>Applicant / public user</x:v>
      </x:c>
      <x:c r="F1745" s="20" t="str">
        <x:v>Mobile</x:v>
      </x:c>
      <x:c r="G1745" s="20" t="str">
        <x:v>Manual field-by-field</x:v>
      </x:c>
      <x:c r="H1745" s="35" t="str">
        <x:v>Fill, save, reload, edit, and validate every declared field on features/onboarding/go_live_sheet.dart</x:v>
      </x:c>
      <x:c r="I1745" s="35" t="str">
        <x:v>FLD-0945</x:v>
      </x:c>
      <x:c r="J1745" s="35" t="str"/>
      <x:c r="K1745" s="35" t="str"/>
      <x:c r="L1745" s="35" t="str">
        <x:v>Use the source-derived Field Inventory. Enter non-default realistic values in every control (_confirmCtrl); submit; reload or relaunch; compare every value; edit each mutable field; verify the paired client; then run required, format, length, range, boundary, optional-null, and stale-submit checks.</x:v>
      </x:c>
      <x:c r="M1745" s="35" t="str">
        <x:v>All 1 inventoried controls persist exact normalized values, invalid values stay unsaved with clear errors, and hidden/unauthorized fields cannot be altered.</x:v>
      </x:c>
      <x:c r="N1745" s="35" t="str">
        <x:v>Before/after form screenshots; FLD IDs; API response; reloaded UI; paired-client read-back; database/audit evidence; negative validation result.</x:v>
      </x:c>
      <x:c r="O1745" s="35" t="str">
        <x:v>Use a duplicate submit and one simulated network interruption; one atomic mutation or none, never partial state.</x:v>
      </x:c>
      <x:c r="P1745" s="35" t="str">
        <x:v>All expected records and amounts match; no unexplained error or stale state.</x:v>
      </x:c>
    </x:row>
    <x:row r="1746">
      <x:c r="A1746" s="20" t="str">
        <x:v>RUN-20271115-15</x:v>
      </x:c>
      <x:c r="B1746" s="23" t="n">
        <x:v>46706</x:v>
      </x:c>
      <x:c r="C1746" s="32" t="n">
        <x:v>15</x:v>
      </x:c>
      <x:c r="D1746" s="20" t="str">
        <x:v>Field certification</x:v>
      </x:c>
      <x:c r="E1746" s="20" t="str">
        <x:v>Applicant / public user</x:v>
      </x:c>
      <x:c r="F1746" s="20" t="str">
        <x:v>Mobile</x:v>
      </x:c>
      <x:c r="G1746" s="20" t="str">
        <x:v>Manual field-by-field</x:v>
      </x:c>
      <x:c r="H1746" s="35" t="str">
        <x:v>Fill, save, reload, edit, and validate every declared field on features/owner_reports/owner_reports_screen.dart</x:v>
      </x:c>
      <x:c r="I1746" s="35" t="str">
        <x:v>FLD-0946; FLD-0947</x:v>
      </x:c>
      <x:c r="J1746" s="35" t="str"/>
      <x:c r="K1746" s="35" t="str"/>
      <x:c r="L1746" s="35" t="str">
        <x:v>Use the source-derived Field Inventory. Enter non-default realistic values in every control (_amountController; _memoController); submit; reload or relaunch; compare every value; edit each mutable field; verify the paired client; then run required, format, length, range, boundary, optional-null, and stale-submit checks.</x:v>
      </x:c>
      <x:c r="M1746" s="35" t="str">
        <x:v>All 2 inventoried controls persist exact normalized values, invalid values stay unsaved with clear errors, and hidden/unauthorized fields cannot be altered.</x:v>
      </x:c>
      <x:c r="N1746" s="35" t="str">
        <x:v>Before/after form screenshots; FLD IDs; API response; reloaded UI; paired-client read-back; database/audit evidence; negative validation result.</x:v>
      </x:c>
      <x:c r="O1746" s="35" t="str">
        <x:v>Use a duplicate submit and one simulated network interruption; one atomic mutation or none, never partial state.</x:v>
      </x:c>
      <x:c r="P1746" s="35" t="str">
        <x:v>All expected records and amounts match; no unexplained error or stale state.</x:v>
      </x:c>
    </x:row>
    <x:row r="1747">
      <x:c r="A1747" s="20" t="str">
        <x:v>RUN-20271115-16</x:v>
      </x:c>
      <x:c r="B1747" s="23" t="n">
        <x:v>46706</x:v>
      </x:c>
      <x:c r="C1747" s="32" t="n">
        <x:v>16</x:v>
      </x:c>
      <x:c r="D1747" s="20" t="str">
        <x:v>Field certification</x:v>
      </x:c>
      <x:c r="E1747" s="20" t="str">
        <x:v>Applicant / public user</x:v>
      </x:c>
      <x:c r="F1747" s="20" t="str">
        <x:v>Mobile</x:v>
      </x:c>
      <x:c r="G1747" s="20" t="str">
        <x:v>Manual field-by-field</x:v>
      </x:c>
      <x:c r="H1747" s="35" t="str">
        <x:v>Fill, save, reload, edit, and validate every declared field on features/owners/owner_form_sheet.dart</x:v>
      </x:c>
      <x:c r="I1747" s="35" t="str">
        <x:v>FLD-0948</x:v>
      </x:c>
      <x:c r="J1747" s="35" t="str"/>
      <x:c r="K1747" s="35" t="str"/>
      <x:c r="L1747" s="35" t="str">
        <x:v>Use the source-derived Field Inventory. Enter non-default realistic values in every control (_nameCtrl); submit; reload or relaunch; compare every value; edit each mutable field; verify the paired client; then run required, format, length, range, boundary, optional-null, and stale-submit checks.</x:v>
      </x:c>
      <x:c r="M1747" s="35" t="str">
        <x:v>All 1 inventoried controls persist exact normalized values, invalid values stay unsaved with clear errors, and hidden/unauthorized fields cannot be altered.</x:v>
      </x:c>
      <x:c r="N1747" s="35" t="str">
        <x:v>Before/after form screenshots; FLD IDs; API response; reloaded UI; paired-client read-back; database/audit evidence; negative validation result.</x:v>
      </x:c>
      <x:c r="O1747" s="35" t="str">
        <x:v>Use a duplicate submit and one simulated network interruption; one atomic mutation or none, never partial state.</x:v>
      </x:c>
      <x:c r="P1747" s="35" t="str">
        <x:v>All expected records and amounts match; no unexplained error or stale state.</x:v>
      </x:c>
    </x:row>
    <x:row r="1748">
      <x:c r="A1748" s="20" t="str">
        <x:v>RUN-20271116-01</x:v>
      </x:c>
      <x:c r="B1748" s="23" t="n">
        <x:v>46707</x:v>
      </x:c>
      <x:c r="C1748" s="32" t="n">
        <x:v>1</x:v>
      </x:c>
      <x:c r="D1748" s="20" t="str">
        <x:v>Weekly operations</x:v>
      </x:c>
      <x:c r="E1748" s="20" t="str">
        <x:v>Property Manager</x:v>
      </x:c>
      <x:c r="F1748" s="20" t="str">
        <x:v>Web</x:v>
      </x:c>
      <x:c r="G1748" s="20" t="str">
        <x:v>Scanned receipt/invoice</x:v>
      </x:c>
      <x:c r="H1748" s="35" t="str">
        <x:v>Record, review, allocate, and pay operating expense</x:v>
      </x:c>
      <x:c r="I1748" s="35" t="str">
        <x:v>P003; U003; WO-2027-046</x:v>
      </x:c>
      <x:c r="J1748" s="35" t="str">
        <x:v>SCN-0429</x:v>
      </x:c>
      <x:c r="K1748" s="35" t="str">
        <x:v>FIN-01069</x:v>
      </x:c>
      <x:c r="L1748" s="35" t="str">
        <x:v>Capture or upload the source; verify vendor, date, scope, category, line items, tax, amount, and work-order link; confirm; open detail; verify attachment; compare Money and Property/Unit views.</x:v>
      </x:c>
      <x:c r="M1748" s="35" t="str">
        <x:v>One expense exists at its real operational scope, cash falls once, Schedule E category and allocations agree, and no per-unit copies are created.</x:v>
      </x:c>
      <x:c r="N1748" s="35" t="str">
        <x:v>Source preview; review/form; expense detail; line items; Property/Unit ledger; audit; accounting/report delta.</x:v>
      </x:c>
      <x:c r="O1748" s="35" t="str">
        <x:v>On marked duplicate-invoice cases, re-upload before confirm and prove the product prevents or clearly warns about duplication.</x:v>
      </x:c>
      <x:c r="P1748" s="35" t="str">
        <x:v>All expected records and amounts match; no unexplained error or stale state.</x:v>
      </x:c>
    </x:row>
    <x:row r="1749">
      <x:c r="A1749" s="20" t="str">
        <x:v>RUN-20271116-02</x:v>
      </x:c>
      <x:c r="B1749" s="23" t="n">
        <x:v>46707</x:v>
      </x:c>
      <x:c r="C1749" s="32" t="n">
        <x:v>2</x:v>
      </x:c>
      <x:c r="D1749" s="20" t="str">
        <x:v>Field certification</x:v>
      </x:c>
      <x:c r="E1749" s="20" t="str">
        <x:v>Applicant / public user</x:v>
      </x:c>
      <x:c r="F1749" s="20" t="str">
        <x:v>Mobile</x:v>
      </x:c>
      <x:c r="G1749" s="20" t="str">
        <x:v>Manual field-by-field</x:v>
      </x:c>
      <x:c r="H1749" s="35" t="str">
        <x:v>Fill, save, reload, edit, and validate every declared field on features/owners/owner_form_sheet.dart</x:v>
      </x:c>
      <x:c r="I1749" s="35" t="str">
        <x:v>FLD-0949; FLD-0950; FLD-0951; FLD-0952; FLD-0953</x:v>
      </x:c>
      <x:c r="J1749" s="35" t="str"/>
      <x:c r="K1749" s="35" t="str"/>
      <x:c r="L1749" s="35" t="str">
        <x:v>Use the source-derived Field Inventory. Enter non-default realistic values in every control (_emailCtrl; _phoneCtrl; _addressLine1Ctrl; _addressLine2Ctrl; _cityCtrl); submit; reload or relaunch; compare every value; edit each mutable field; verify the paired client; then run required, format, length, range, boundary, optional-null, and stale-submit checks.</x:v>
      </x:c>
      <x:c r="M1749" s="35" t="str">
        <x:v>All 5 inventoried controls persist exact normalized values, invalid values stay unsaved with clear errors, and hidden/unauthorized fields cannot be altered.</x:v>
      </x:c>
      <x:c r="N1749" s="35" t="str">
        <x:v>Before/after form screenshots; FLD IDs; API response; reloaded UI; paired-client read-back; database/audit evidence; negative validation result.</x:v>
      </x:c>
      <x:c r="O1749" s="35" t="str">
        <x:v>Use a duplicate submit and one simulated network interruption; one atomic mutation or none, never partial state.</x:v>
      </x:c>
      <x:c r="P1749" s="35" t="str">
        <x:v>All expected records and amounts match; no unexplained error or stale state.</x:v>
      </x:c>
    </x:row>
    <x:row r="1750">
      <x:c r="A1750" s="20" t="str">
        <x:v>RUN-20271116-03</x:v>
      </x:c>
      <x:c r="B1750" s="23" t="n">
        <x:v>46707</x:v>
      </x:c>
      <x:c r="C1750" s="32" t="n">
        <x:v>3</x:v>
      </x:c>
      <x:c r="D1750" s="20" t="str">
        <x:v>Surface coverage</x:v>
      </x:c>
      <x:c r="E1750" s="20" t="str">
        <x:v>Role appropriate to surface</x:v>
      </x:c>
      <x:c r="F1750" s="20" t="str">
        <x:v>Mobile</x:v>
      </x:c>
      <x:c r="G1750" s="20" t="str">
        <x:v>Scan/attachment</x:v>
      </x:c>
      <x:c r="H1750" s="35" t="str">
        <x:v>Scan mobile pass: Team invite, roles, scoped assignments</x:v>
      </x:c>
      <x:c r="I1750" s="35" t="str">
        <x:v>COV-040</x:v>
      </x:c>
      <x:c r="J1750" s="35" t="str"/>
      <x:c r="K1750" s="35" t="str"/>
      <x:c r="L1750" s="35" t="str">
        <x:v>Invite each role, activate, assign property scope, accept/decline work, change/revoke access, and prove authorization.</x:v>
      </x:c>
      <x:c r="M1750" s="35" t="str">
        <x:v>The supported workflow completes and persists correctly; if the capability is absent, the exact gap is proven and queued rather than silently skipped.</x:v>
      </x:c>
      <x:c r="N1750" s="35" t="str">
        <x:v>Real UI screenshot/state; submitted values; persisted read-back; cross-client read-back; audit/role/access evidence.</x:v>
      </x:c>
      <x:c r="O1750" s="35" t="str">
        <x:v>Use one invalid value, stale-state retry, or duplicate submission relevant to the form; no partial or duplicate mutation.</x:v>
      </x:c>
      <x:c r="P1750" s="35" t="str">
        <x:v>All expected records and amounts match; no unexplained error or stale state.</x:v>
      </x:c>
    </x:row>
    <x:row r="1751">
      <x:c r="A1751" s="20" t="str">
        <x:v>RUN-20271117-01</x:v>
      </x:c>
      <x:c r="B1751" s="23" t="n">
        <x:v>46708</x:v>
      </x:c>
      <x:c r="C1751" s="32" t="n">
        <x:v>1</x:v>
      </x:c>
      <x:c r="D1751" s="20" t="str">
        <x:v>Leasing</x:v>
      </x:c>
      <x:c r="E1751" s="20" t="str">
        <x:v>Leasing Agent</x:v>
      </x:c>
      <x:c r="F1751" s="20" t="str">
        <x:v>Mobile</x:v>
      </x:c>
      <x:c r="G1751" s="20" t="str">
        <x:v>Scan-first</x:v>
      </x:c>
      <x:c r="H1751" s="35" t="str">
        <x:v>Application intake and pipeline</x:v>
      </x:c>
      <x:c r="I1751" s="35" t="str">
        <x:v>P027; U034; L042; T042</x:v>
      </x:c>
      <x:c r="J1751" s="35" t="str">
        <x:v>SCN-0921</x:v>
      </x:c>
      <x:c r="K1751" s="35" t="str"/>
      <x:c r="L1751" s="35" t="str">
        <x:v>Upload/capture the application; review extracted applicant and unit context; confirm; inspect pipeline; request screening in synthetic/test-only mode; record a fair, documented decision.</x:v>
      </x:c>
      <x:c r="M1751" s="35" t="str">
        <x:v>Application, applicant tenant prospect, unit link, status history, screening placeholder, and communication are created once without exposing sensitive values.</x:v>
      </x:c>
      <x:c r="N1751" s="35" t="str">
        <x:v>Scan draft; Application detail; pipeline; status audit; applicant communication; role/access proof.</x:v>
      </x:c>
      <x:c r="O1751" s="35" t="str">
        <x:v>Upload a duplicate application and a wrong-unit application; no duplicate person or cross-property link.</x:v>
      </x:c>
      <x:c r="P1751" s="35" t="str">
        <x:v>All expected records and amounts match; no unexplained error or stale state.</x:v>
      </x:c>
    </x:row>
    <x:row r="1752">
      <x:c r="A1752" s="20" t="str">
        <x:v>RUN-20271117-02</x:v>
      </x:c>
      <x:c r="B1752" s="23" t="n">
        <x:v>46708</x:v>
      </x:c>
      <x:c r="C1752" s="32" t="n">
        <x:v>2</x:v>
      </x:c>
      <x:c r="D1752" s="20" t="str">
        <x:v>Role and screen certification</x:v>
      </x:c>
      <x:c r="E1752" s="20" t="str">
        <x:v>Workspace Administrator</x:v>
      </x:c>
      <x:c r="F1752" s="20" t="str">
        <x:v>Mobile</x:v>
      </x:c>
      <x:c r="G1752" s="20" t="str">
        <x:v>Normal persona navigation</x:v>
      </x:c>
      <x:c r="H1752" s="35" t="str">
        <x:v>Use every permitted action and state on features/scan/guided_rental_flow.dart</x:v>
      </x:c>
      <x:c r="I1752" s="35" t="str">
        <x:v>SCR-174; ROLE-282</x:v>
      </x:c>
      <x:c r="J1752" s="35" t="str"/>
      <x:c r="K1752" s="35" t="str"/>
      <x:c r="L175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52" s="35" t="str">
        <x:v>The persona can use every allowed action with only its assigned properties/relationships. Hidden or disabled actions explain why; an adjacent unauthorized persona is denied without metadata leakage.</x:v>
      </x:c>
      <x:c r="N1752" s="35" t="str">
        <x:v>Persona/experience; navigation entry; desktop or device screenshots; result state; persisted read-back; audit/history; authorized and denied network result.</x:v>
      </x:c>
      <x:c r="O1752" s="35" t="str">
        <x:v>Open the direct URL or deep link with an adjacent unauthorized persona and with stale scope; both fail closed and land safely without mutation.</x:v>
      </x:c>
      <x:c r="P1752" s="35" t="str">
        <x:v>All expected records and amounts match; no unexplained error or stale state.</x:v>
      </x:c>
    </x:row>
    <x:row r="1753">
      <x:c r="A1753" s="20" t="str">
        <x:v>RUN-20271117-03</x:v>
      </x:c>
      <x:c r="B1753" s="23" t="n">
        <x:v>46708</x:v>
      </x:c>
      <x:c r="C1753" s="32" t="n">
        <x:v>3</x:v>
      </x:c>
      <x:c r="D1753" s="20" t="str">
        <x:v>Role and screen certification</x:v>
      </x:c>
      <x:c r="E1753" s="20" t="str">
        <x:v>Property Manager</x:v>
      </x:c>
      <x:c r="F1753" s="20" t="str">
        <x:v>Mobile</x:v>
      </x:c>
      <x:c r="G1753" s="20" t="str">
        <x:v>Normal persona navigation</x:v>
      </x:c>
      <x:c r="H1753" s="35" t="str">
        <x:v>Use every permitted action and state on features/scan/guided_rental_flow.dart</x:v>
      </x:c>
      <x:c r="I1753" s="35" t="str">
        <x:v>SCR-174; ROLE-283</x:v>
      </x:c>
      <x:c r="J1753" s="35" t="str"/>
      <x:c r="K1753" s="35" t="str"/>
      <x:c r="L175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53" s="35" t="str">
        <x:v>The persona can use every allowed action with only its assigned properties/relationships. Hidden or disabled actions explain why; an adjacent unauthorized persona is denied without metadata leakage.</x:v>
      </x:c>
      <x:c r="N1753" s="35" t="str">
        <x:v>Persona/experience; navigation entry; desktop or device screenshots; result state; persisted read-back; audit/history; authorized and denied network result.</x:v>
      </x:c>
      <x:c r="O1753" s="35" t="str">
        <x:v>Open the direct URL or deep link with an adjacent unauthorized persona and with stale scope; both fail closed and land safely without mutation.</x:v>
      </x:c>
      <x:c r="P1753" s="35" t="str">
        <x:v>All expected records and amounts match; no unexplained error or stale state.</x:v>
      </x:c>
    </x:row>
    <x:row r="1754">
      <x:c r="A1754" s="20" t="str">
        <x:v>RUN-20271117-04</x:v>
      </x:c>
      <x:c r="B1754" s="23" t="n">
        <x:v>46708</x:v>
      </x:c>
      <x:c r="C1754" s="32" t="n">
        <x:v>4</x:v>
      </x:c>
      <x:c r="D1754" s="20" t="str">
        <x:v>Role and screen certification</x:v>
      </x:c>
      <x:c r="E1754" s="20" t="str">
        <x:v>Leasing Agent</x:v>
      </x:c>
      <x:c r="F1754" s="20" t="str">
        <x:v>Mobile</x:v>
      </x:c>
      <x:c r="G1754" s="20" t="str">
        <x:v>Normal persona navigation</x:v>
      </x:c>
      <x:c r="H1754" s="35" t="str">
        <x:v>Use every permitted action and state on features/scan/guided_rental_flow.dart</x:v>
      </x:c>
      <x:c r="I1754" s="35" t="str">
        <x:v>SCR-174; ROLE-284</x:v>
      </x:c>
      <x:c r="J1754" s="35" t="str"/>
      <x:c r="K1754" s="35" t="str"/>
      <x:c r="L175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54" s="35" t="str">
        <x:v>The persona can use every allowed action with only its assigned properties/relationships. Hidden or disabled actions explain why; an adjacent unauthorized persona is denied without metadata leakage.</x:v>
      </x:c>
      <x:c r="N1754" s="35" t="str">
        <x:v>Persona/experience; navigation entry; desktop or device screenshots; result state; persisted read-back; audit/history; authorized and denied network result.</x:v>
      </x:c>
      <x:c r="O1754" s="35" t="str">
        <x:v>Open the direct URL or deep link with an adjacent unauthorized persona and with stale scope; both fail closed and land safely without mutation.</x:v>
      </x:c>
      <x:c r="P1754" s="35" t="str">
        <x:v>All expected records and amounts match; no unexplained error or stale state.</x:v>
      </x:c>
    </x:row>
    <x:row r="1755">
      <x:c r="A1755" s="20" t="str">
        <x:v>RUN-20271117-05</x:v>
      </x:c>
      <x:c r="B1755" s="23" t="n">
        <x:v>46708</x:v>
      </x:c>
      <x:c r="C1755" s="32" t="n">
        <x:v>5</x:v>
      </x:c>
      <x:c r="D1755" s="20" t="str">
        <x:v>Role and screen certification</x:v>
      </x:c>
      <x:c r="E1755" s="20" t="str">
        <x:v>Maintenance Technician</x:v>
      </x:c>
      <x:c r="F1755" s="20" t="str">
        <x:v>Mobile</x:v>
      </x:c>
      <x:c r="G1755" s="20" t="str">
        <x:v>Normal persona navigation</x:v>
      </x:c>
      <x:c r="H1755" s="35" t="str">
        <x:v>Use every permitted action and state on features/scan/guided_rental_flow.dart</x:v>
      </x:c>
      <x:c r="I1755" s="35" t="str">
        <x:v>SCR-174; ROLE-285</x:v>
      </x:c>
      <x:c r="J1755" s="35" t="str"/>
      <x:c r="K1755" s="35" t="str"/>
      <x:c r="L175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55" s="35" t="str">
        <x:v>The persona can use every allowed action with only its assigned properties/relationships. Hidden or disabled actions explain why; an adjacent unauthorized persona is denied without metadata leakage.</x:v>
      </x:c>
      <x:c r="N1755" s="35" t="str">
        <x:v>Persona/experience; navigation entry; desktop or device screenshots; result state; persisted read-back; audit/history; authorized and denied network result.</x:v>
      </x:c>
      <x:c r="O1755" s="35" t="str">
        <x:v>Open the direct URL or deep link with an adjacent unauthorized persona and with stale scope; both fail closed and land safely without mutation.</x:v>
      </x:c>
      <x:c r="P1755" s="35" t="str">
        <x:v>All expected records and amounts match; no unexplained error or stale state.</x:v>
      </x:c>
    </x:row>
    <x:row r="1756">
      <x:c r="A1756" s="20" t="str">
        <x:v>RUN-20271117-06</x:v>
      </x:c>
      <x:c r="B1756" s="23" t="n">
        <x:v>46708</x:v>
      </x:c>
      <x:c r="C1756" s="32" t="n">
        <x:v>6</x:v>
      </x:c>
      <x:c r="D1756" s="20" t="str">
        <x:v>Field certification</x:v>
      </x:c>
      <x:c r="E1756" s="20" t="str">
        <x:v>Applicant / public user</x:v>
      </x:c>
      <x:c r="F1756" s="20" t="str">
        <x:v>Mobile</x:v>
      </x:c>
      <x:c r="G1756" s="20" t="str">
        <x:v>Manual field-by-field</x:v>
      </x:c>
      <x:c r="H1756" s="35" t="str">
        <x:v>Fill, save, reload, edit, and validate every declared field on features/owners/owner_form_sheet.dart</x:v>
      </x:c>
      <x:c r="I1756" s="35" t="str">
        <x:v>FLD-0954; FLD-0955; FLD-0956</x:v>
      </x:c>
      <x:c r="J1756" s="35" t="str"/>
      <x:c r="K1756" s="35" t="str"/>
      <x:c r="L1756" s="35" t="str">
        <x:v>Use the source-derived Field Inventory. Enter non-default realistic values in every control (_stateCtrl; _postalCtrl; _taxIdCtrl); submit; reload or relaunch; compare every value; edit each mutable field; verify the paired client; then run required, format, length, range, boundary, optional-null, and stale-submit checks.</x:v>
      </x:c>
      <x:c r="M1756" s="35" t="str">
        <x:v>All 3 inventoried controls persist exact normalized values, invalid values stay unsaved with clear errors, and hidden/unauthorized fields cannot be altered.</x:v>
      </x:c>
      <x:c r="N1756" s="35" t="str">
        <x:v>Before/after form screenshots; FLD IDs; API response; reloaded UI; paired-client read-back; database/audit evidence; negative validation result.</x:v>
      </x:c>
      <x:c r="O1756" s="35" t="str">
        <x:v>Use a duplicate submit and one simulated network interruption; one atomic mutation or none, never partial state.</x:v>
      </x:c>
      <x:c r="P1756" s="35" t="str">
        <x:v>All expected records and amounts match; no unexplained error or stale state.</x:v>
      </x:c>
    </x:row>
    <x:row r="1757">
      <x:c r="A1757" s="20" t="str">
        <x:v>RUN-20271117-07</x:v>
      </x:c>
      <x:c r="B1757" s="23" t="n">
        <x:v>46708</x:v>
      </x:c>
      <x:c r="C1757" s="32" t="n">
        <x:v>7</x:v>
      </x:c>
      <x:c r="D1757" s="20" t="str">
        <x:v>Field certification</x:v>
      </x:c>
      <x:c r="E1757" s="20" t="str">
        <x:v>Applicant / public user</x:v>
      </x:c>
      <x:c r="F1757" s="20" t="str">
        <x:v>Mobile</x:v>
      </x:c>
      <x:c r="G1757" s="20" t="str">
        <x:v>Manual field-by-field</x:v>
      </x:c>
      <x:c r="H1757" s="35" t="str">
        <x:v>Fill, save, reload, edit, and validate every declared field on features/payments/payment_detail_screen.dart</x:v>
      </x:c>
      <x:c r="I1757" s="35" t="str">
        <x:v>FLD-0957</x:v>
      </x:c>
      <x:c r="J1757" s="35" t="str"/>
      <x:c r="K1757" s="35" t="str"/>
      <x:c r="L1757" s="35" t="str">
        <x:v>Use the source-derived Field Inventory. Enter non-default realistic values in every control (_reason); submit; reload or relaunch; compare every value; edit each mutable field; verify the paired client; then run required, format, length, range, boundary, optional-null, and stale-submit checks.</x:v>
      </x:c>
      <x:c r="M1757" s="35" t="str">
        <x:v>All 1 inventoried controls persist exact normalized values, invalid values stay unsaved with clear errors, and hidden/unauthorized fields cannot be altered.</x:v>
      </x:c>
      <x:c r="N1757" s="35" t="str">
        <x:v>Before/after form screenshots; FLD IDs; API response; reloaded UI; paired-client read-back; database/audit evidence; negative validation result.</x:v>
      </x:c>
      <x:c r="O1757" s="35" t="str">
        <x:v>Use a duplicate submit and one simulated network interruption; one atomic mutation or none, never partial state.</x:v>
      </x:c>
      <x:c r="P1757" s="35" t="str">
        <x:v>All expected records and amounts match; no unexplained error or stale state.</x:v>
      </x:c>
    </x:row>
    <x:row r="1758">
      <x:c r="A1758" s="20" t="str">
        <x:v>RUN-20271117-08</x:v>
      </x:c>
      <x:c r="B1758" s="23" t="n">
        <x:v>46708</x:v>
      </x:c>
      <x:c r="C1758" s="32" t="n">
        <x:v>8</x:v>
      </x:c>
      <x:c r="D1758" s="20" t="str">
        <x:v>Surface coverage</x:v>
      </x:c>
      <x:c r="E1758" s="20" t="str">
        <x:v>Role appropriate to surface</x:v>
      </x:c>
      <x:c r="F1758" s="20" t="str">
        <x:v>Web</x:v>
      </x:c>
      <x:c r="G1758" s="20" t="str">
        <x:v>Manual</x:v>
      </x:c>
      <x:c r="H1758" s="35" t="str">
        <x:v>Manual web pass: Profile/company/account/integrations/AI</x:v>
      </x:c>
      <x:c r="I1758" s="35" t="str">
        <x:v>COV-041</x:v>
      </x:c>
      <x:c r="J1758" s="35" t="str"/>
      <x:c r="K1758" s="35" t="str"/>
      <x:c r="L1758" s="35" t="str">
        <x:v>Edit profile/company, provider settings, accounting connection states, invalid credentials, disconnect, and re-auth.</x:v>
      </x:c>
      <x:c r="M1758" s="35" t="str">
        <x:v>The supported workflow completes and persists correctly; if the capability is absent, the exact gap is proven and queued rather than silently skipped.</x:v>
      </x:c>
      <x:c r="N1758" s="35" t="str">
        <x:v>Real UI screenshot/state; submitted values; persisted read-back; cross-client read-back; audit/role/access evidence.</x:v>
      </x:c>
      <x:c r="O1758" s="35" t="str">
        <x:v>Use one invalid value, stale-state retry, or duplicate submission relevant to the form; no partial or duplicate mutation.</x:v>
      </x:c>
      <x:c r="P1758" s="35" t="str">
        <x:v>All expected records and amounts match; no unexplained error or stale state.</x:v>
      </x:c>
    </x:row>
    <x:row r="1759">
      <x:c r="A1759" s="20" t="str">
        <x:v>RUN-20271118-01</x:v>
      </x:c>
      <x:c r="B1759" s="23" t="n">
        <x:v>46709</x:v>
      </x:c>
      <x:c r="C1759" s="32" t="n">
        <x:v>1</x:v>
      </x:c>
      <x:c r="D1759" s="20" t="str">
        <x:v>Weekly operations</x:v>
      </x:c>
      <x:c r="E1759" s="20" t="str">
        <x:v>Property Manager</x:v>
      </x:c>
      <x:c r="F1759" s="20" t="str">
        <x:v>Mobile</x:v>
      </x:c>
      <x:c r="G1759" s="20" t="str">
        <x:v>Scanned receipt/invoice</x:v>
      </x:c>
      <x:c r="H1759" s="35" t="str">
        <x:v>Record, review, allocate, and pay operating expense</x:v>
      </x:c>
      <x:c r="I1759" s="35" t="str">
        <x:v>P011; Property scope; </x:v>
      </x:c>
      <x:c r="J1759" s="35" t="str">
        <x:v>SCN-0829</x:v>
      </x:c>
      <x:c r="K1759" s="35" t="str">
        <x:v>FIN-01550</x:v>
      </x:c>
      <x:c r="L1759" s="35" t="str">
        <x:v>Capture or upload the source; verify vendor, date, scope, category, line items, tax, amount, and work-order link; confirm; open detail; verify attachment; compare Money and Property/Unit views.</x:v>
      </x:c>
      <x:c r="M1759" s="35" t="str">
        <x:v>One expense exists at its real operational scope, cash falls once, Schedule E category and allocations agree, and no per-unit copies are created.</x:v>
      </x:c>
      <x:c r="N1759" s="35" t="str">
        <x:v>Source preview; review/form; expense detail; line items; Property/Unit ledger; audit; accounting/report delta.</x:v>
      </x:c>
      <x:c r="O1759" s="35" t="str">
        <x:v>On marked duplicate-invoice cases, re-upload before confirm and prove the product prevents or clearly warns about duplication.</x:v>
      </x:c>
      <x:c r="P1759" s="35" t="str">
        <x:v>All expected records and amounts match; no unexplained error or stale state.</x:v>
      </x:c>
    </x:row>
    <x:row r="1760">
      <x:c r="A1760" s="20" t="str">
        <x:v>RUN-20271118-02</x:v>
      </x:c>
      <x:c r="B1760" s="23" t="n">
        <x:v>46709</x:v>
      </x:c>
      <x:c r="C1760" s="32" t="n">
        <x:v>2</x:v>
      </x:c>
      <x:c r="D1760" s="20" t="str">
        <x:v>Weekly operations</x:v>
      </x:c>
      <x:c r="E1760" s="20" t="str">
        <x:v>Property Manager</x:v>
      </x:c>
      <x:c r="F1760" s="20" t="str">
        <x:v>Mobile</x:v>
      </x:c>
      <x:c r="G1760" s="20" t="str">
        <x:v>Scanned receipt/invoice</x:v>
      </x:c>
      <x:c r="H1760" s="35" t="str">
        <x:v>Record, review, allocate, and pay operating expense</x:v>
      </x:c>
      <x:c r="I1760" s="35" t="str">
        <x:v>P023; Property scope; </x:v>
      </x:c>
      <x:c r="J1760" s="35" t="str">
        <x:v>SCN-0879</x:v>
      </x:c>
      <x:c r="K1760" s="35" t="str">
        <x:v>FIN-01610</x:v>
      </x:c>
      <x:c r="L1760" s="35" t="str">
        <x:v>Capture or upload the source; verify vendor, date, scope, category, line items, tax, amount, and work-order link; confirm; open detail; verify attachment; compare Money and Property/Unit views.</x:v>
      </x:c>
      <x:c r="M1760" s="35" t="str">
        <x:v>One expense exists at its real operational scope, cash falls once, Schedule E category and allocations agree, and no per-unit copies are created.</x:v>
      </x:c>
      <x:c r="N1760" s="35" t="str">
        <x:v>Source preview; review/form; expense detail; line items; Property/Unit ledger; audit; accounting/report delta.</x:v>
      </x:c>
      <x:c r="O1760" s="35" t="str">
        <x:v>On marked duplicate-invoice cases, re-upload before confirm and prove the product prevents or clearly warns about duplication.</x:v>
      </x:c>
      <x:c r="P1760" s="35" t="str">
        <x:v>All expected records and amounts match; no unexplained error or stale state.</x:v>
      </x:c>
    </x:row>
    <x:row r="1761">
      <x:c r="A1761" s="20" t="str">
        <x:v>RUN-20271118-03</x:v>
      </x:c>
      <x:c r="B1761" s="23" t="n">
        <x:v>46709</x:v>
      </x:c>
      <x:c r="C1761" s="32" t="n">
        <x:v>3</x:v>
      </x:c>
      <x:c r="D1761" s="20" t="str">
        <x:v>Role and screen certification</x:v>
      </x:c>
      <x:c r="E1761" s="20" t="str">
        <x:v>Workspace Administrator</x:v>
      </x:c>
      <x:c r="F1761" s="20" t="str">
        <x:v>Mobile</x:v>
      </x:c>
      <x:c r="G1761" s="20" t="str">
        <x:v>Normal persona navigation</x:v>
      </x:c>
      <x:c r="H1761" s="35" t="str">
        <x:v>Use every permitted action and state on features/scan/scan_list_screen.dart</x:v>
      </x:c>
      <x:c r="I1761" s="35" t="str">
        <x:v>SCR-175; ROLE-286</x:v>
      </x:c>
      <x:c r="J1761" s="35" t="str"/>
      <x:c r="K1761" s="35" t="str"/>
      <x:c r="L176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61" s="35" t="str">
        <x:v>The persona can use every allowed action with only its assigned properties/relationships. Hidden or disabled actions explain why; an adjacent unauthorized persona is denied without metadata leakage.</x:v>
      </x:c>
      <x:c r="N1761" s="35" t="str">
        <x:v>Persona/experience; navigation entry; desktop or device screenshots; result state; persisted read-back; audit/history; authorized and denied network result.</x:v>
      </x:c>
      <x:c r="O1761" s="35" t="str">
        <x:v>Open the direct URL or deep link with an adjacent unauthorized persona and with stale scope; both fail closed and land safely without mutation.</x:v>
      </x:c>
      <x:c r="P1761" s="35" t="str">
        <x:v>All expected records and amounts match; no unexplained error or stale state.</x:v>
      </x:c>
    </x:row>
    <x:row r="1762">
      <x:c r="A1762" s="20" t="str">
        <x:v>RUN-20271118-04</x:v>
      </x:c>
      <x:c r="B1762" s="23" t="n">
        <x:v>46709</x:v>
      </x:c>
      <x:c r="C1762" s="32" t="n">
        <x:v>4</x:v>
      </x:c>
      <x:c r="D1762" s="20" t="str">
        <x:v>Role and screen certification</x:v>
      </x:c>
      <x:c r="E1762" s="20" t="str">
        <x:v>Property Manager</x:v>
      </x:c>
      <x:c r="F1762" s="20" t="str">
        <x:v>Mobile</x:v>
      </x:c>
      <x:c r="G1762" s="20" t="str">
        <x:v>Normal persona navigation</x:v>
      </x:c>
      <x:c r="H1762" s="35" t="str">
        <x:v>Use every permitted action and state on features/scan/scan_list_screen.dart</x:v>
      </x:c>
      <x:c r="I1762" s="35" t="str">
        <x:v>SCR-175; ROLE-287</x:v>
      </x:c>
      <x:c r="J1762" s="35" t="str"/>
      <x:c r="K1762" s="35" t="str"/>
      <x:c r="L176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62" s="35" t="str">
        <x:v>The persona can use every allowed action with only its assigned properties/relationships. Hidden or disabled actions explain why; an adjacent unauthorized persona is denied without metadata leakage.</x:v>
      </x:c>
      <x:c r="N1762" s="35" t="str">
        <x:v>Persona/experience; navigation entry; desktop or device screenshots; result state; persisted read-back; audit/history; authorized and denied network result.</x:v>
      </x:c>
      <x:c r="O1762" s="35" t="str">
        <x:v>Open the direct URL or deep link with an adjacent unauthorized persona and with stale scope; both fail closed and land safely without mutation.</x:v>
      </x:c>
      <x:c r="P1762" s="35" t="str">
        <x:v>All expected records and amounts match; no unexplained error or stale state.</x:v>
      </x:c>
    </x:row>
    <x:row r="1763">
      <x:c r="A1763" s="20" t="str">
        <x:v>RUN-20271118-05</x:v>
      </x:c>
      <x:c r="B1763" s="23" t="n">
        <x:v>46709</x:v>
      </x:c>
      <x:c r="C1763" s="32" t="n">
        <x:v>5</x:v>
      </x:c>
      <x:c r="D1763" s="20" t="str">
        <x:v>Role and screen certification</x:v>
      </x:c>
      <x:c r="E1763" s="20" t="str">
        <x:v>Leasing Agent</x:v>
      </x:c>
      <x:c r="F1763" s="20" t="str">
        <x:v>Mobile</x:v>
      </x:c>
      <x:c r="G1763" s="20" t="str">
        <x:v>Normal persona navigation</x:v>
      </x:c>
      <x:c r="H1763" s="35" t="str">
        <x:v>Use every permitted action and state on features/scan/scan_list_screen.dart</x:v>
      </x:c>
      <x:c r="I1763" s="35" t="str">
        <x:v>SCR-175; ROLE-288</x:v>
      </x:c>
      <x:c r="J1763" s="35" t="str"/>
      <x:c r="K1763" s="35" t="str"/>
      <x:c r="L176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63" s="35" t="str">
        <x:v>The persona can use every allowed action with only its assigned properties/relationships. Hidden or disabled actions explain why; an adjacent unauthorized persona is denied without metadata leakage.</x:v>
      </x:c>
      <x:c r="N1763" s="35" t="str">
        <x:v>Persona/experience; navigation entry; desktop or device screenshots; result state; persisted read-back; audit/history; authorized and denied network result.</x:v>
      </x:c>
      <x:c r="O1763" s="35" t="str">
        <x:v>Open the direct URL or deep link with an adjacent unauthorized persona and with stale scope; both fail closed and land safely without mutation.</x:v>
      </x:c>
      <x:c r="P1763" s="35" t="str">
        <x:v>All expected records and amounts match; no unexplained error or stale state.</x:v>
      </x:c>
    </x:row>
    <x:row r="1764">
      <x:c r="A1764" s="20" t="str">
        <x:v>RUN-20271118-06</x:v>
      </x:c>
      <x:c r="B1764" s="23" t="n">
        <x:v>46709</x:v>
      </x:c>
      <x:c r="C1764" s="32" t="n">
        <x:v>6</x:v>
      </x:c>
      <x:c r="D1764" s="20" t="str">
        <x:v>Role and screen certification</x:v>
      </x:c>
      <x:c r="E1764" s="20" t="str">
        <x:v>Maintenance Technician</x:v>
      </x:c>
      <x:c r="F1764" s="20" t="str">
        <x:v>Mobile</x:v>
      </x:c>
      <x:c r="G1764" s="20" t="str">
        <x:v>Normal persona navigation</x:v>
      </x:c>
      <x:c r="H1764" s="35" t="str">
        <x:v>Use every permitted action and state on features/scan/scan_list_screen.dart</x:v>
      </x:c>
      <x:c r="I1764" s="35" t="str">
        <x:v>SCR-175; ROLE-289</x:v>
      </x:c>
      <x:c r="J1764" s="35" t="str"/>
      <x:c r="K1764" s="35" t="str"/>
      <x:c r="L176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64" s="35" t="str">
        <x:v>The persona can use every allowed action with only its assigned properties/relationships. Hidden or disabled actions explain why; an adjacent unauthorized persona is denied without metadata leakage.</x:v>
      </x:c>
      <x:c r="N1764" s="35" t="str">
        <x:v>Persona/experience; navigation entry; desktop or device screenshots; result state; persisted read-back; audit/history; authorized and denied network result.</x:v>
      </x:c>
      <x:c r="O1764" s="35" t="str">
        <x:v>Open the direct URL or deep link with an adjacent unauthorized persona and with stale scope; both fail closed and land safely without mutation.</x:v>
      </x:c>
      <x:c r="P1764" s="35" t="str">
        <x:v>All expected records and amounts match; no unexplained error or stale state.</x:v>
      </x:c>
    </x:row>
    <x:row r="1765">
      <x:c r="A1765" s="20" t="str">
        <x:v>RUN-20271118-07</x:v>
      </x:c>
      <x:c r="B1765" s="23" t="n">
        <x:v>46709</x:v>
      </x:c>
      <x:c r="C1765" s="32" t="n">
        <x:v>7</x:v>
      </x:c>
      <x:c r="D1765" s="20" t="str">
        <x:v>Field certification</x:v>
      </x:c>
      <x:c r="E1765" s="20" t="str">
        <x:v>Applicant / public user</x:v>
      </x:c>
      <x:c r="F1765" s="20" t="str">
        <x:v>Mobile</x:v>
      </x:c>
      <x:c r="G1765" s="20" t="str">
        <x:v>Manual field-by-field</x:v>
      </x:c>
      <x:c r="H1765" s="35" t="str">
        <x:v>Fill, save, reload, edit, and validate every declared field on features/payments/payment_detail_screen.dart</x:v>
      </x:c>
      <x:c r="I1765" s="35" t="str">
        <x:v>FLD-0958; FLD-0959</x:v>
      </x:c>
      <x:c r="J1765" s="35" t="str"/>
      <x:c r="K1765" s="35" t="str"/>
      <x:c r="L1765" s="35" t="str">
        <x:v>Use the source-derived Field Inventory. Enter non-default realistic values in every control (_method; _provenance); submit; reload or relaunch; compare every value; edit each mutable field; verify the paired client; then run required, format, length, range, boundary, optional-null, and stale-submit checks.</x:v>
      </x:c>
      <x:c r="M1765" s="35" t="str">
        <x:v>All 2 inventoried controls persist exact normalized values, invalid values stay unsaved with clear errors, and hidden/unauthorized fields cannot be altered.</x:v>
      </x:c>
      <x:c r="N1765" s="35" t="str">
        <x:v>Before/after form screenshots; FLD IDs; API response; reloaded UI; paired-client read-back; database/audit evidence; negative validation result.</x:v>
      </x:c>
      <x:c r="O1765" s="35" t="str">
        <x:v>Use a duplicate submit and one simulated network interruption; one atomic mutation or none, never partial state.</x:v>
      </x:c>
      <x:c r="P1765" s="35" t="str">
        <x:v>All expected records and amounts match; no unexplained error or stale state.</x:v>
      </x:c>
    </x:row>
    <x:row r="1766">
      <x:c r="A1766" s="20" t="str">
        <x:v>RUN-20271118-08</x:v>
      </x:c>
      <x:c r="B1766" s="23" t="n">
        <x:v>46709</x:v>
      </x:c>
      <x:c r="C1766" s="32" t="n">
        <x:v>8</x:v>
      </x:c>
      <x:c r="D1766" s="20" t="str">
        <x:v>Field certification</x:v>
      </x:c>
      <x:c r="E1766" s="20" t="str">
        <x:v>Applicant / public user</x:v>
      </x:c>
      <x:c r="F1766" s="20" t="str">
        <x:v>Mobile</x:v>
      </x:c>
      <x:c r="G1766" s="20" t="str">
        <x:v>Manual field-by-field</x:v>
      </x:c>
      <x:c r="H1766" s="35" t="str">
        <x:v>Fill, save, reload, edit, and validate every declared field on features/payments/payments_screen.dart</x:v>
      </x:c>
      <x:c r="I1766" s="35" t="str">
        <x:v>FLD-0960; FLD-0961; FLD-0962</x:v>
      </x:c>
      <x:c r="J1766" s="35" t="str"/>
      <x:c r="K1766" s="35" t="str"/>
      <x:c r="L1766" s="35" t="str">
        <x:v>Use the source-derived Field Inventory. Enter non-default realistic values in every control (_searchController; _amount; _method); submit; reload or relaunch; compare every value; edit each mutable field; verify the paired client; then run required, format, length, range, boundary, optional-null, and stale-submit checks.</x:v>
      </x:c>
      <x:c r="M1766" s="35" t="str">
        <x:v>All 3 inventoried controls persist exact normalized values, invalid values stay unsaved with clear errors, and hidden/unauthorized fields cannot be altered.</x:v>
      </x:c>
      <x:c r="N1766" s="35" t="str">
        <x:v>Before/after form screenshots; FLD IDs; API response; reloaded UI; paired-client read-back; database/audit evidence; negative validation result.</x:v>
      </x:c>
      <x:c r="O1766" s="35" t="str">
        <x:v>Use a duplicate submit and one simulated network interruption; one atomic mutation or none, never partial state.</x:v>
      </x:c>
      <x:c r="P1766" s="35" t="str">
        <x:v>All expected records and amounts match; no unexplained error or stale state.</x:v>
      </x:c>
    </x:row>
    <x:row r="1767">
      <x:c r="A1767" s="20" t="str">
        <x:v>RUN-20271118-09</x:v>
      </x:c>
      <x:c r="B1767" s="23" t="n">
        <x:v>46709</x:v>
      </x:c>
      <x:c r="C1767" s="32" t="n">
        <x:v>9</x:v>
      </x:c>
      <x:c r="D1767" s="20" t="str">
        <x:v>Notification certification</x:v>
      </x:c>
      <x:c r="E1767" s="20" t="str">
        <x:v>Affected staff</x:v>
      </x:c>
      <x:c r="F1767" s="20" t="str">
        <x:v>Web + Mobile</x:v>
      </x:c>
      <x:c r="G1767" s="20" t="str">
        <x:v>System event + preference/manual verification</x:v>
      </x:c>
      <x:c r="H1767" s="35" t="str">
        <x:v>Trigger and prove notification: Role/scope changed</x:v>
      </x:c>
      <x:c r="I1767" s="35" t="str">
        <x:v>NTF-044</x:v>
      </x:c>
      <x:c r="J1767" s="35" t="str"/>
      <x:c r="K1767" s="35" t="str"/>
      <x:c r="L1767" s="35" t="str">
        <x:v>Set each recipient's preferences; trigger the real business event; inspect routing and recipient scope; verify unread badge, list item, safe preview, safe landing deep link, mark-read sync, configured channel outcome, provider failure/retry, and duplicate suppression.</x:v>
      </x:c>
      <x:c r="M1767" s="35" t="str">
        <x:v>Exactly the intended recipients receive one correctly routed notification; disabled optional channels stay silent; deep link opens authorized context; read state synchronizes.</x:v>
      </x:c>
      <x:c r="N1767" s="35" t="str">
        <x:v>Trigger record; routing decision; outbox/delivery status; web/mobile inbox; lock-screen-safe copy; deep-link target; audit/provider retry evidence.</x:v>
      </x:c>
      <x:c r="O1767" s="35" t="str">
        <x:v>Re-run the worker and deliver a duplicate provider callback; no duplicate user-visible event. Attempt the deep link as an unauthorized adjacent role.</x:v>
      </x:c>
      <x:c r="P1767" s="35" t="str">
        <x:v>All expected records and amounts match; no unexplained error or stale state.</x:v>
      </x:c>
    </x:row>
    <x:row r="1768">
      <x:c r="A1768" s="20" t="str">
        <x:v>RUN-20271118-10</x:v>
      </x:c>
      <x:c r="B1768" s="23" t="n">
        <x:v>46709</x:v>
      </x:c>
      <x:c r="C1768" s="32" t="n">
        <x:v>10</x:v>
      </x:c>
      <x:c r="D1768" s="20" t="str">
        <x:v>Surface coverage</x:v>
      </x:c>
      <x:c r="E1768" s="20" t="str">
        <x:v>Role appropriate to surface</x:v>
      </x:c>
      <x:c r="F1768" s="20" t="str">
        <x:v>Mobile</x:v>
      </x:c>
      <x:c r="G1768" s="20" t="str">
        <x:v>Manual</x:v>
      </x:c>
      <x:c r="H1768" s="35" t="str">
        <x:v>Manual mobile pass: Profile/company/account/integrations/AI</x:v>
      </x:c>
      <x:c r="I1768" s="35" t="str">
        <x:v>COV-041</x:v>
      </x:c>
      <x:c r="J1768" s="35" t="str"/>
      <x:c r="K1768" s="35" t="str"/>
      <x:c r="L1768" s="35" t="str">
        <x:v>Edit profile/company, provider settings, accounting connection states, invalid credentials, disconnect, and re-auth.</x:v>
      </x:c>
      <x:c r="M1768" s="35" t="str">
        <x:v>The supported workflow completes and persists correctly; if the capability is absent, the exact gap is proven and queued rather than silently skipped.</x:v>
      </x:c>
      <x:c r="N1768" s="35" t="str">
        <x:v>Real UI screenshot/state; submitted values; persisted read-back; cross-client read-back; audit/role/access evidence.</x:v>
      </x:c>
      <x:c r="O1768" s="35" t="str">
        <x:v>Use one invalid value, stale-state retry, or duplicate submission relevant to the form; no partial or duplicate mutation.</x:v>
      </x:c>
      <x:c r="P1768" s="35" t="str">
        <x:v>All expected records and amounts match; no unexplained error or stale state.</x:v>
      </x:c>
    </x:row>
    <x:row r="1769">
      <x:c r="A1769" s="20" t="str">
        <x:v>RUN-20271119-01</x:v>
      </x:c>
      <x:c r="B1769" s="23" t="n">
        <x:v>46710</x:v>
      </x:c>
      <x:c r="C1769" s="32" t="n">
        <x:v>1</x:v>
      </x:c>
      <x:c r="D1769" s="20" t="str">
        <x:v>Role and screen certification</x:v>
      </x:c>
      <x:c r="E1769" s="20" t="str">
        <x:v>Workspace Administrator</x:v>
      </x:c>
      <x:c r="F1769" s="20" t="str">
        <x:v>Mobile</x:v>
      </x:c>
      <x:c r="G1769" s="20" t="str">
        <x:v>Normal persona navigation</x:v>
      </x:c>
      <x:c r="H1769" s="35" t="str">
        <x:v>Use every permitted action and state on features/scan/scan_review_screen.dart</x:v>
      </x:c>
      <x:c r="I1769" s="35" t="str">
        <x:v>SCR-176; ROLE-290</x:v>
      </x:c>
      <x:c r="J1769" s="35" t="str"/>
      <x:c r="K1769" s="35" t="str"/>
      <x:c r="L176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69" s="35" t="str">
        <x:v>The persona can use every allowed action with only its assigned properties/relationships. Hidden or disabled actions explain why; an adjacent unauthorized persona is denied without metadata leakage.</x:v>
      </x:c>
      <x:c r="N1769" s="35" t="str">
        <x:v>Persona/experience; navigation entry; desktop or device screenshots; result state; persisted read-back; audit/history; authorized and denied network result.</x:v>
      </x:c>
      <x:c r="O1769" s="35" t="str">
        <x:v>Open the direct URL or deep link with an adjacent unauthorized persona and with stale scope; both fail closed and land safely without mutation.</x:v>
      </x:c>
      <x:c r="P1769" s="35" t="str">
        <x:v>All expected records and amounts match; no unexplained error or stale state.</x:v>
      </x:c>
    </x:row>
    <x:row r="1770">
      <x:c r="A1770" s="20" t="str">
        <x:v>RUN-20271119-02</x:v>
      </x:c>
      <x:c r="B1770" s="23" t="n">
        <x:v>46710</x:v>
      </x:c>
      <x:c r="C1770" s="32" t="n">
        <x:v>2</x:v>
      </x:c>
      <x:c r="D1770" s="20" t="str">
        <x:v>Role and screen certification</x:v>
      </x:c>
      <x:c r="E1770" s="20" t="str">
        <x:v>Property Manager</x:v>
      </x:c>
      <x:c r="F1770" s="20" t="str">
        <x:v>Mobile</x:v>
      </x:c>
      <x:c r="G1770" s="20" t="str">
        <x:v>Normal persona navigation</x:v>
      </x:c>
      <x:c r="H1770" s="35" t="str">
        <x:v>Use every permitted action and state on features/scan/scan_review_screen.dart</x:v>
      </x:c>
      <x:c r="I1770" s="35" t="str">
        <x:v>SCR-176; ROLE-291</x:v>
      </x:c>
      <x:c r="J1770" s="35" t="str"/>
      <x:c r="K1770" s="35" t="str"/>
      <x:c r="L177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70" s="35" t="str">
        <x:v>The persona can use every allowed action with only its assigned properties/relationships. Hidden or disabled actions explain why; an adjacent unauthorized persona is denied without metadata leakage.</x:v>
      </x:c>
      <x:c r="N1770" s="35" t="str">
        <x:v>Persona/experience; navigation entry; desktop or device screenshots; result state; persisted read-back; audit/history; authorized and denied network result.</x:v>
      </x:c>
      <x:c r="O1770" s="35" t="str">
        <x:v>Open the direct URL or deep link with an adjacent unauthorized persona and with stale scope; both fail closed and land safely without mutation.</x:v>
      </x:c>
      <x:c r="P1770" s="35" t="str">
        <x:v>All expected records and amounts match; no unexplained error or stale state.</x:v>
      </x:c>
    </x:row>
    <x:row r="1771">
      <x:c r="A1771" s="20" t="str">
        <x:v>RUN-20271119-03</x:v>
      </x:c>
      <x:c r="B1771" s="23" t="n">
        <x:v>46710</x:v>
      </x:c>
      <x:c r="C1771" s="32" t="n">
        <x:v>3</x:v>
      </x:c>
      <x:c r="D1771" s="20" t="str">
        <x:v>Role and screen certification</x:v>
      </x:c>
      <x:c r="E1771" s="20" t="str">
        <x:v>Leasing Agent</x:v>
      </x:c>
      <x:c r="F1771" s="20" t="str">
        <x:v>Mobile</x:v>
      </x:c>
      <x:c r="G1771" s="20" t="str">
        <x:v>Normal persona navigation</x:v>
      </x:c>
      <x:c r="H1771" s="35" t="str">
        <x:v>Use every permitted action and state on features/scan/scan_review_screen.dart</x:v>
      </x:c>
      <x:c r="I1771" s="35" t="str">
        <x:v>SCR-176; ROLE-292</x:v>
      </x:c>
      <x:c r="J1771" s="35" t="str"/>
      <x:c r="K1771" s="35" t="str"/>
      <x:c r="L177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71" s="35" t="str">
        <x:v>The persona can use every allowed action with only its assigned properties/relationships. Hidden or disabled actions explain why; an adjacent unauthorized persona is denied without metadata leakage.</x:v>
      </x:c>
      <x:c r="N1771" s="35" t="str">
        <x:v>Persona/experience; navigation entry; desktop or device screenshots; result state; persisted read-back; audit/history; authorized and denied network result.</x:v>
      </x:c>
      <x:c r="O1771" s="35" t="str">
        <x:v>Open the direct URL or deep link with an adjacent unauthorized persona and with stale scope; both fail closed and land safely without mutation.</x:v>
      </x:c>
      <x:c r="P1771" s="35" t="str">
        <x:v>All expected records and amounts match; no unexplained error or stale state.</x:v>
      </x:c>
    </x:row>
    <x:row r="1772">
      <x:c r="A1772" s="20" t="str">
        <x:v>RUN-20271119-04</x:v>
      </x:c>
      <x:c r="B1772" s="23" t="n">
        <x:v>46710</x:v>
      </x:c>
      <x:c r="C1772" s="32" t="n">
        <x:v>4</x:v>
      </x:c>
      <x:c r="D1772" s="20" t="str">
        <x:v>Role and screen certification</x:v>
      </x:c>
      <x:c r="E1772" s="20" t="str">
        <x:v>Maintenance Technician</x:v>
      </x:c>
      <x:c r="F1772" s="20" t="str">
        <x:v>Mobile</x:v>
      </x:c>
      <x:c r="G1772" s="20" t="str">
        <x:v>Normal persona navigation</x:v>
      </x:c>
      <x:c r="H1772" s="35" t="str">
        <x:v>Use every permitted action and state on features/scan/scan_review_screen.dart</x:v>
      </x:c>
      <x:c r="I1772" s="35" t="str">
        <x:v>SCR-176; ROLE-293</x:v>
      </x:c>
      <x:c r="J1772" s="35" t="str"/>
      <x:c r="K1772" s="35" t="str"/>
      <x:c r="L177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72" s="35" t="str">
        <x:v>The persona can use every allowed action with only its assigned properties/relationships. Hidden or disabled actions explain why; an adjacent unauthorized persona is denied without metadata leakage.</x:v>
      </x:c>
      <x:c r="N1772" s="35" t="str">
        <x:v>Persona/experience; navigation entry; desktop or device screenshots; result state; persisted read-back; audit/history; authorized and denied network result.</x:v>
      </x:c>
      <x:c r="O1772" s="35" t="str">
        <x:v>Open the direct URL or deep link with an adjacent unauthorized persona and with stale scope; both fail closed and land safely without mutation.</x:v>
      </x:c>
      <x:c r="P1772" s="35" t="str">
        <x:v>All expected records and amounts match; no unexplained error or stale state.</x:v>
      </x:c>
    </x:row>
    <x:row r="1773">
      <x:c r="A1773" s="20" t="str">
        <x:v>RUN-20271119-05</x:v>
      </x:c>
      <x:c r="B1773" s="23" t="n">
        <x:v>46710</x:v>
      </x:c>
      <x:c r="C1773" s="32" t="n">
        <x:v>5</x:v>
      </x:c>
      <x:c r="D1773" s="20" t="str">
        <x:v>Field certification</x:v>
      </x:c>
      <x:c r="E1773" s="20" t="str">
        <x:v>Applicant / public user</x:v>
      </x:c>
      <x:c r="F1773" s="20" t="str">
        <x:v>Mobile</x:v>
      </x:c>
      <x:c r="G1773" s="20" t="str">
        <x:v>Manual field-by-field</x:v>
      </x:c>
      <x:c r="H1773" s="35" t="str">
        <x:v>Fill, save, reload, edit, and validate every declared field on features/payments/payments_screen.dart</x:v>
      </x:c>
      <x:c r="I1773" s="35" t="str">
        <x:v>FLD-0963; FLD-0964; FLD-0965</x:v>
      </x:c>
      <x:c r="J1773" s="35" t="str"/>
      <x:c r="K1773" s="35" t="str"/>
      <x:c r="L1773" s="35" t="str">
        <x:v>Use the source-derived Field Inventory. Enter non-default realistic values in every control (_description; _reference; _payer); submit; reload or relaunch; compare every value; edit each mutable field; verify the paired client; then run required, format, length, range, boundary, optional-null, and stale-submit checks.</x:v>
      </x:c>
      <x:c r="M1773" s="35" t="str">
        <x:v>All 3 inventoried controls persist exact normalized values, invalid values stay unsaved with clear errors, and hidden/unauthorized fields cannot be altered.</x:v>
      </x:c>
      <x:c r="N1773" s="35" t="str">
        <x:v>Before/after form screenshots; FLD IDs; API response; reloaded UI; paired-client read-back; database/audit evidence; negative validation result.</x:v>
      </x:c>
      <x:c r="O1773" s="35" t="str">
        <x:v>Use a duplicate submit and one simulated network interruption; one atomic mutation or none, never partial state.</x:v>
      </x:c>
      <x:c r="P1773" s="35" t="str">
        <x:v>All expected records and amounts match; no unexplained error or stale state.</x:v>
      </x:c>
    </x:row>
    <x:row r="1774">
      <x:c r="A1774" s="20" t="str">
        <x:v>RUN-20271119-06</x:v>
      </x:c>
      <x:c r="B1774" s="23" t="n">
        <x:v>46710</x:v>
      </x:c>
      <x:c r="C1774" s="32" t="n">
        <x:v>6</x:v>
      </x:c>
      <x:c r="D1774" s="20" t="str">
        <x:v>Field certification</x:v>
      </x:c>
      <x:c r="E1774" s="20" t="str">
        <x:v>Tenant</x:v>
      </x:c>
      <x:c r="F1774" s="20" t="str">
        <x:v>Mobile</x:v>
      </x:c>
      <x:c r="G1774" s="20" t="str">
        <x:v>Manual field-by-field</x:v>
      </x:c>
      <x:c r="H1774" s="35" t="str">
        <x:v>Fill, save, reload, edit, and validate every declared field on features/payments/tenant_account_receipt_flow.dart</x:v>
      </x:c>
      <x:c r="I1774" s="35" t="str">
        <x:v>FLD-0966</x:v>
      </x:c>
      <x:c r="J1774" s="35" t="str"/>
      <x:c r="K1774" s="35" t="str"/>
      <x:c r="L1774" s="35" t="str">
        <x:v>Use the source-derived Field Inventory. Enter non-default realistic values in every control (_searchController); submit; reload or relaunch; compare every value; edit each mutable field; verify the paired client; then run required, format, length, range, boundary, optional-null, and stale-submit checks.</x:v>
      </x:c>
      <x:c r="M1774" s="35" t="str">
        <x:v>All 1 inventoried controls persist exact normalized values, invalid values stay unsaved with clear errors, and hidden/unauthorized fields cannot be altered.</x:v>
      </x:c>
      <x:c r="N1774" s="35" t="str">
        <x:v>Before/after form screenshots; FLD IDs; API response; reloaded UI; paired-client read-back; database/audit evidence; negative validation result.</x:v>
      </x:c>
      <x:c r="O1774" s="35" t="str">
        <x:v>Use a duplicate submit and one simulated network interruption; one atomic mutation or none, never partial state.</x:v>
      </x:c>
      <x:c r="P1774" s="35" t="str">
        <x:v>All expected records and amounts match; no unexplained error or stale state.</x:v>
      </x:c>
    </x:row>
    <x:row r="1775">
      <x:c r="A1775" s="20" t="str">
        <x:v>RUN-20271119-07</x:v>
      </x:c>
      <x:c r="B1775" s="23" t="n">
        <x:v>46710</x:v>
      </x:c>
      <x:c r="C1775" s="32" t="n">
        <x:v>7</x:v>
      </x:c>
      <x:c r="D1775" s="20" t="str">
        <x:v>Lifecycle certification</x:v>
      </x:c>
      <x:c r="E1775" s="20" t="str">
        <x:v>Every authenticated persona</x:v>
      </x:c>
      <x:c r="F1775" s="20" t="str">
        <x:v>Web + Mobile</x:v>
      </x:c>
      <x:c r="G1775" s="20" t="str">
        <x:v>Manual + scan/attachment where supported</x:v>
      </x:c>
      <x:c r="H1775" s="35" t="str">
        <x:v>Complete the full create/read/edit/lifecycle/delete-safe pass for Notification preference</x:v>
      </x:c>
      <x:c r="I1775" s="35" t="str">
        <x:v>CRUD-031</x:v>
      </x:c>
      <x:c r="J1775" s="35" t="str"/>
      <x:c r="K1775" s="35" t="str"/>
      <x:c r="L1775" s="35" t="str">
        <x:v>Use a dedicated disposable QA record and execute: toggle each channel/event; save; reload; respect preference; required-alert override. Fill every field referenced by field-inventory.csv. Verify confirmation copy, cancel path, final path, reload, other-client state, history, and role denial.</x:v>
      </x:c>
      <x:c r="M1775" s="35" t="str">
        <x:v>Every supported transition succeeds exactly once; forbidden destructive actions are guarded; reversible deletion/deactivation works; financial and historical truth is preserved.</x:v>
      </x:c>
      <x:c r="N1775" s="35" t="str">
        <x:v>Entity before/after; both clients; all FLD IDs; audit/history; notifications; authorized and unauthorized personas; API/DB state.</x:v>
      </x:c>
      <x:c r="O1775" s="35" t="str">
        <x:v>Cancel the first destructive confirmation, then repeat and confirm; retry the mutation once; no double transition or orphan.</x:v>
      </x:c>
      <x:c r="P1775" s="35" t="str">
        <x:v>All expected records and amounts match; no unexplained error or stale state.</x:v>
      </x:c>
    </x:row>
    <x:row r="1776">
      <x:c r="A1776" s="20" t="str">
        <x:v>RUN-20271120-01</x:v>
      </x:c>
      <x:c r="B1776" s="23" t="n">
        <x:v>46711</x:v>
      </x:c>
      <x:c r="C1776" s="32" t="n">
        <x:v>1</x:v>
      </x:c>
      <x:c r="D1776" s="20" t="str">
        <x:v>Monthly close</x:v>
      </x:c>
      <x:c r="E1776" s="20" t="str">
        <x:v>Workspace Administrator</x:v>
      </x:c>
      <x:c r="F1776" s="20" t="str">
        <x:v>Web + Mobile</x:v>
      </x:c>
      <x:c r="G1776" s="20" t="str">
        <x:v>Recurring automation + statement match</x:v>
      </x:c>
      <x:c r="H1776" s="35" t="str">
        <x:v>November loan payments</x:v>
      </x:c>
      <x:c r="I1776" s="35" t="str">
        <x:v>LN001; LN002; LN004; LN005; LN007; LN008; LN010; LN011; LN013; LN014; LN016; LN017; LN019; LN020; LN022; LN023; LN025; LN026; LN028; LN029</x:v>
      </x:c>
      <x:c r="J1776" s="35" t="str">
        <x:v>SCN-0739; SCN-0740; SCN-0741; SCN-0742; SCN-0743; SCN-0744; SCN-0745; SCN-0746; SCN-0747; SCN-0748; SCN-0749; SCN-0750; SCN-0751; SCN-0752; SCN-0753; SCN-0754; SCN-0755; SCN-0756; SCN-0757; SCN-0758</x:v>
      </x:c>
      <x:c r="K1776" s="35" t="str">
        <x:v>FIN-01439; FIN-01440; FIN-01441; FIN-01442; FIN-01443; FIN-01444; FIN-01445; FIN-01446; FIN-01447; FIN-01448; FIN-01449; FIN-01450; FIN-01451; FIN-01452; FIN-01453; FIN-01454; FIN-01455; FIN-01456; FIN-01457; FIN-01458</x:v>
      </x:c>
      <x:c r="L1776" s="35" t="str">
        <x:v>Verify the recurring loan payments; attach/match each statement; compare principal, interest, cash, loan balance, amortization, Property Money view, and Schedule E interest.</x:v>
      </x:c>
      <x:c r="M1776" s="35" t="str">
        <x:v>Every payment splits principal and interest once; principal reduces liability, interest is expense, and statement balance matches.</x:v>
      </x:c>
      <x:c r="N1776" s="35" t="str">
        <x:v>Loan detail samples on both clients; statement attachment; amortization; Property and year-end reports.</x:v>
      </x:c>
      <x:c r="O1776" s="35" t="str">
        <x:v>Attempt a duplicate recurrence run; no second payment or balance movement.</x:v>
      </x:c>
      <x:c r="P1776" s="35" t="str">
        <x:v>All expected records and amounts match; no unexplained error or stale state.</x:v>
      </x:c>
    </x:row>
    <x:row r="1777">
      <x:c r="A1777" s="20" t="str">
        <x:v>RUN-20271122-01</x:v>
      </x:c>
      <x:c r="B1777" s="23" t="n">
        <x:v>46713</x:v>
      </x:c>
      <x:c r="C1777" s="32" t="n">
        <x:v>1</x:v>
      </x:c>
      <x:c r="D1777" s="20" t="str">
        <x:v>Weekly operations</x:v>
      </x:c>
      <x:c r="E1777" s="20" t="str">
        <x:v>Property Manager</x:v>
      </x:c>
      <x:c r="F1777" s="20" t="str">
        <x:v>Mobile</x:v>
      </x:c>
      <x:c r="G1777" s="20" t="str">
        <x:v>Scan-first</x:v>
      </x:c>
      <x:c r="H1777" s="35" t="str">
        <x:v>Create and triage maintenance request</x:v>
      </x:c>
      <x:c r="I1777" s="35" t="str">
        <x:v>P010; U010; WO-2027-047</x:v>
      </x:c>
      <x:c r="J1777" s="35" t="str">
        <x:v>SCN-0430</x:v>
      </x:c>
      <x:c r="K1777" s="35" t="str"/>
      <x:c r="L1777" s="35" t="str">
        <x:v>Capture the tenant note/photo; review lock rekey; confirm; set responsibility; dispatch Hardware House; create an appointment and verify the tenant notification.</x:v>
      </x:c>
      <x:c r="M1777" s="35" t="str">
        <x:v>Work order, status timeline, responsibility, vendor dispatch, appointment, notification, and Unit context are linked once.</x:v>
      </x:c>
      <x:c r="N1777" s="35" t="str">
        <x:v>Scan review; work order detail/timeline; dispatch; appointment; notification; tenant portal view.</x:v>
      </x:c>
      <x:c r="O1777" s="35" t="str">
        <x:v>Cancel one dispatch each quarter, reassign once, and prove status/history remains append-only.</x:v>
      </x:c>
      <x:c r="P1777" s="35" t="str">
        <x:v>All expected records and amounts match; no unexplained error or stale state.</x:v>
      </x:c>
    </x:row>
    <x:row r="1778">
      <x:c r="A1778" s="20" t="str">
        <x:v>RUN-20271122-02</x:v>
      </x:c>
      <x:c r="B1778" s="23" t="n">
        <x:v>46713</x:v>
      </x:c>
      <x:c r="C1778" s="32" t="n">
        <x:v>2</x:v>
      </x:c>
      <x:c r="D1778" s="20" t="str">
        <x:v>Leasing</x:v>
      </x:c>
      <x:c r="E1778" s="20" t="str">
        <x:v>Leasing Agent</x:v>
      </x:c>
      <x:c r="F1778" s="20" t="str">
        <x:v>Web + Mobile</x:v>
      </x:c>
      <x:c r="G1778" s="20" t="str">
        <x:v>Manual lifecycle command</x:v>
      </x:c>
      <x:c r="H1778" s="35" t="str">
        <x:v>Approve application and prepare move-in</x:v>
      </x:c>
      <x:c r="I1778" s="35" t="str">
        <x:v>L042; U034; T042</x:v>
      </x:c>
      <x:c r="J1778" s="35" t="str"/>
      <x:c r="K1778" s="35" t="str"/>
      <x:c r="L1778" s="35" t="str">
        <x:v>Approve the selected application; run Prepare move-in; confirm parties, planned possession, rent, deposit, Tenant Account, and initial Agreement draft; invite portal access under policy.</x:v>
      </x:c>
      <x:c r="M1778" s="35" t="str">
        <x:v>One planned LeaseManagement, party set, account, and agreement draft commit atomically; Unit is move-in scheduled, not occupied.</x:v>
      </x:c>
      <x:c r="N1778" s="35" t="str">
        <x:v>Application decision; Unit state; parties; account; draft; portal invitation; atomic audit.</x:v>
      </x:c>
      <x:c r="O1778" s="35" t="str">
        <x:v>Inject failure at the former save boundary and prove no partial relationship/account/agreement remains.</x:v>
      </x:c>
      <x:c r="P1778" s="35" t="str">
        <x:v>All expected records and amounts match; no unexplained error or stale state.</x:v>
      </x:c>
    </x:row>
    <x:row r="1779">
      <x:c r="A1779" s="20" t="str">
        <x:v>RUN-20271122-03</x:v>
      </x:c>
      <x:c r="B1779" s="23" t="n">
        <x:v>46713</x:v>
      </x:c>
      <x:c r="C1779" s="32" t="n">
        <x:v>3</x:v>
      </x:c>
      <x:c r="D1779" s="20" t="str">
        <x:v>Role and screen certification</x:v>
      </x:c>
      <x:c r="E1779" s="20" t="str">
        <x:v>Workspace Administrator</x:v>
      </x:c>
      <x:c r="F1779" s="20" t="str">
        <x:v>Mobile</x:v>
      </x:c>
      <x:c r="G1779" s="20" t="str">
        <x:v>Normal persona navigation</x:v>
      </x:c>
      <x:c r="H1779" s="35" t="str">
        <x:v>Use every permitted action and state on features/scan/scan_tab.dart</x:v>
      </x:c>
      <x:c r="I1779" s="35" t="str">
        <x:v>SCR-177; ROLE-294</x:v>
      </x:c>
      <x:c r="J1779" s="35" t="str"/>
      <x:c r="K1779" s="35" t="str"/>
      <x:c r="L177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79" s="35" t="str">
        <x:v>The persona can use every allowed action with only its assigned properties/relationships. Hidden or disabled actions explain why; an adjacent unauthorized persona is denied without metadata leakage.</x:v>
      </x:c>
      <x:c r="N1779" s="35" t="str">
        <x:v>Persona/experience; navigation entry; desktop or device screenshots; result state; persisted read-back; audit/history; authorized and denied network result.</x:v>
      </x:c>
      <x:c r="O1779" s="35" t="str">
        <x:v>Open the direct URL or deep link with an adjacent unauthorized persona and with stale scope; both fail closed and land safely without mutation.</x:v>
      </x:c>
      <x:c r="P1779" s="35" t="str">
        <x:v>All expected records and amounts match; no unexplained error or stale state.</x:v>
      </x:c>
    </x:row>
    <x:row r="1780">
      <x:c r="A1780" s="20" t="str">
        <x:v>RUN-20271122-04</x:v>
      </x:c>
      <x:c r="B1780" s="23" t="n">
        <x:v>46713</x:v>
      </x:c>
      <x:c r="C1780" s="32" t="n">
        <x:v>4</x:v>
      </x:c>
      <x:c r="D1780" s="20" t="str">
        <x:v>Role and screen certification</x:v>
      </x:c>
      <x:c r="E1780" s="20" t="str">
        <x:v>Property Manager</x:v>
      </x:c>
      <x:c r="F1780" s="20" t="str">
        <x:v>Mobile</x:v>
      </x:c>
      <x:c r="G1780" s="20" t="str">
        <x:v>Normal persona navigation</x:v>
      </x:c>
      <x:c r="H1780" s="35" t="str">
        <x:v>Use every permitted action and state on features/scan/scan_tab.dart</x:v>
      </x:c>
      <x:c r="I1780" s="35" t="str">
        <x:v>SCR-177; ROLE-295</x:v>
      </x:c>
      <x:c r="J1780" s="35" t="str"/>
      <x:c r="K1780" s="35" t="str"/>
      <x:c r="L178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80" s="35" t="str">
        <x:v>The persona can use every allowed action with only its assigned properties/relationships. Hidden or disabled actions explain why; an adjacent unauthorized persona is denied without metadata leakage.</x:v>
      </x:c>
      <x:c r="N1780" s="35" t="str">
        <x:v>Persona/experience; navigation entry; desktop or device screenshots; result state; persisted read-back; audit/history; authorized and denied network result.</x:v>
      </x:c>
      <x:c r="O1780" s="35" t="str">
        <x:v>Open the direct URL or deep link with an adjacent unauthorized persona and with stale scope; both fail closed and land safely without mutation.</x:v>
      </x:c>
      <x:c r="P1780" s="35" t="str">
        <x:v>All expected records and amounts match; no unexplained error or stale state.</x:v>
      </x:c>
    </x:row>
    <x:row r="1781">
      <x:c r="A1781" s="20" t="str">
        <x:v>RUN-20271122-05</x:v>
      </x:c>
      <x:c r="B1781" s="23" t="n">
        <x:v>46713</x:v>
      </x:c>
      <x:c r="C1781" s="32" t="n">
        <x:v>5</x:v>
      </x:c>
      <x:c r="D1781" s="20" t="str">
        <x:v>Role and screen certification</x:v>
      </x:c>
      <x:c r="E1781" s="20" t="str">
        <x:v>Leasing Agent</x:v>
      </x:c>
      <x:c r="F1781" s="20" t="str">
        <x:v>Mobile</x:v>
      </x:c>
      <x:c r="G1781" s="20" t="str">
        <x:v>Normal persona navigation</x:v>
      </x:c>
      <x:c r="H1781" s="35" t="str">
        <x:v>Use every permitted action and state on features/scan/scan_tab.dart</x:v>
      </x:c>
      <x:c r="I1781" s="35" t="str">
        <x:v>SCR-177; ROLE-296</x:v>
      </x:c>
      <x:c r="J1781" s="35" t="str"/>
      <x:c r="K1781" s="35" t="str"/>
      <x:c r="L178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81" s="35" t="str">
        <x:v>The persona can use every allowed action with only its assigned properties/relationships. Hidden or disabled actions explain why; an adjacent unauthorized persona is denied without metadata leakage.</x:v>
      </x:c>
      <x:c r="N1781" s="35" t="str">
        <x:v>Persona/experience; navigation entry; desktop or device screenshots; result state; persisted read-back; audit/history; authorized and denied network result.</x:v>
      </x:c>
      <x:c r="O1781" s="35" t="str">
        <x:v>Open the direct URL or deep link with an adjacent unauthorized persona and with stale scope; both fail closed and land safely without mutation.</x:v>
      </x:c>
      <x:c r="P1781" s="35" t="str">
        <x:v>All expected records and amounts match; no unexplained error or stale state.</x:v>
      </x:c>
    </x:row>
    <x:row r="1782">
      <x:c r="A1782" s="20" t="str">
        <x:v>RUN-20271122-06</x:v>
      </x:c>
      <x:c r="B1782" s="23" t="n">
        <x:v>46713</x:v>
      </x:c>
      <x:c r="C1782" s="32" t="n">
        <x:v>6</x:v>
      </x:c>
      <x:c r="D1782" s="20" t="str">
        <x:v>Role and screen certification</x:v>
      </x:c>
      <x:c r="E1782" s="20" t="str">
        <x:v>Maintenance Technician</x:v>
      </x:c>
      <x:c r="F1782" s="20" t="str">
        <x:v>Mobile</x:v>
      </x:c>
      <x:c r="G1782" s="20" t="str">
        <x:v>Normal persona navigation</x:v>
      </x:c>
      <x:c r="H1782" s="35" t="str">
        <x:v>Use every permitted action and state on features/scan/scan_tab.dart</x:v>
      </x:c>
      <x:c r="I1782" s="35" t="str">
        <x:v>SCR-177; ROLE-297</x:v>
      </x:c>
      <x:c r="J1782" s="35" t="str"/>
      <x:c r="K1782" s="35" t="str"/>
      <x:c r="L178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82" s="35" t="str">
        <x:v>The persona can use every allowed action with only its assigned properties/relationships. Hidden or disabled actions explain why; an adjacent unauthorized persona is denied without metadata leakage.</x:v>
      </x:c>
      <x:c r="N1782" s="35" t="str">
        <x:v>Persona/experience; navigation entry; desktop or device screenshots; result state; persisted read-back; audit/history; authorized and denied network result.</x:v>
      </x:c>
      <x:c r="O1782" s="35" t="str">
        <x:v>Open the direct URL or deep link with an adjacent unauthorized persona and with stale scope; both fail closed and land safely without mutation.</x:v>
      </x:c>
      <x:c r="P1782" s="35" t="str">
        <x:v>All expected records and amounts match; no unexplained error or stale state.</x:v>
      </x:c>
    </x:row>
    <x:row r="1783">
      <x:c r="A1783" s="20" t="str">
        <x:v>RUN-20271122-07</x:v>
      </x:c>
      <x:c r="B1783" s="23" t="n">
        <x:v>46713</x:v>
      </x:c>
      <x:c r="C1783" s="32" t="n">
        <x:v>7</x:v>
      </x:c>
      <x:c r="D1783" s="20" t="str">
        <x:v>Field certification</x:v>
      </x:c>
      <x:c r="E1783" s="20" t="str">
        <x:v>Applicant / public user</x:v>
      </x:c>
      <x:c r="F1783" s="20" t="str">
        <x:v>Mobile</x:v>
      </x:c>
      <x:c r="G1783" s="20" t="str">
        <x:v>Manual field-by-field</x:v>
      </x:c>
      <x:c r="H1783" s="35" t="str">
        <x:v>Fill, save, reload, edit, and validate every declared field on features/places/address_autocomplete_field.dart</x:v>
      </x:c>
      <x:c r="I1783" s="35" t="str">
        <x:v>FLD-0967</x:v>
      </x:c>
      <x:c r="J1783" s="35" t="str"/>
      <x:c r="K1783" s="35" t="str"/>
      <x:c r="L1783" s="35" t="str">
        <x:v>Use the source-derived Field Inventory. Enter non-default realistic values in every control (widget.controller); submit; reload or relaunch; compare every value; edit each mutable field; verify the paired client; then run required, format, length, range, boundary, optional-null, and stale-submit checks.</x:v>
      </x:c>
      <x:c r="M1783" s="35" t="str">
        <x:v>All 1 inventoried controls persist exact normalized values, invalid values stay unsaved with clear errors, and hidden/unauthorized fields cannot be altered.</x:v>
      </x:c>
      <x:c r="N1783" s="35" t="str">
        <x:v>Before/after form screenshots; FLD IDs; API response; reloaded UI; paired-client read-back; database/audit evidence; negative validation result.</x:v>
      </x:c>
      <x:c r="O1783" s="35" t="str">
        <x:v>Use a duplicate submit and one simulated network interruption; one atomic mutation or none, never partial state.</x:v>
      </x:c>
      <x:c r="P1783" s="35" t="str">
        <x:v>All expected records and amounts match; no unexplained error or stale state.</x:v>
      </x:c>
    </x:row>
    <x:row r="1784">
      <x:c r="A1784" s="20" t="str">
        <x:v>RUN-20271122-08</x:v>
      </x:c>
      <x:c r="B1784" s="23" t="n">
        <x:v>46713</x:v>
      </x:c>
      <x:c r="C1784" s="32" t="n">
        <x:v>8</x:v>
      </x:c>
      <x:c r="D1784" s="20" t="str">
        <x:v>Field certification</x:v>
      </x:c>
      <x:c r="E1784" s="20" t="str">
        <x:v>Tenant</x:v>
      </x:c>
      <x:c r="F1784" s="20" t="str">
        <x:v>Mobile</x:v>
      </x:c>
      <x:c r="G1784" s="20" t="str">
        <x:v>Manual field-by-field</x:v>
      </x:c>
      <x:c r="H1784" s="35" t="str">
        <x:v>Fill, save, reload, edit, and validate every declared field on features/portal/create_tenant_work_order_sheet.dart</x:v>
      </x:c>
      <x:c r="I1784" s="35" t="str">
        <x:v>FLD-0968; FLD-0969; FLD-0970</x:v>
      </x:c>
      <x:c r="J1784" s="35" t="str"/>
      <x:c r="K1784" s="35" t="str"/>
      <x:c r="L1784" s="35" t="str">
        <x:v>Use the source-derived Field Inventory. Enter non-default realistic values in every control (_title; _description; _submitting); submit; reload or relaunch; compare every value; edit each mutable field; verify the paired client; then run required, format, length, range, boundary, optional-null, and stale-submit checks.</x:v>
      </x:c>
      <x:c r="M1784" s="35" t="str">
        <x:v>All 3 inventoried controls persist exact normalized values, invalid values stay unsaved with clear errors, and hidden/unauthorized fields cannot be altered.</x:v>
      </x:c>
      <x:c r="N1784" s="35" t="str">
        <x:v>Before/after form screenshots; FLD IDs; API response; reloaded UI; paired-client read-back; database/audit evidence; negative validation result.</x:v>
      </x:c>
      <x:c r="O1784" s="35" t="str">
        <x:v>Use a duplicate submit and one simulated network interruption; one atomic mutation or none, never partial state.</x:v>
      </x:c>
      <x:c r="P1784" s="35" t="str">
        <x:v>All expected records and amounts match; no unexplained error or stale state.</x:v>
      </x:c>
    </x:row>
    <x:row r="1785">
      <x:c r="A1785" s="20" t="str">
        <x:v>RUN-20271122-09</x:v>
      </x:c>
      <x:c r="B1785" s="23" t="n">
        <x:v>46713</x:v>
      </x:c>
      <x:c r="C1785" s="32" t="n">
        <x:v>9</x:v>
      </x:c>
      <x:c r="D1785" s="20" t="str">
        <x:v>Surface coverage</x:v>
      </x:c>
      <x:c r="E1785" s="20" t="str">
        <x:v>Role appropriate to surface</x:v>
      </x:c>
      <x:c r="F1785" s="20" t="str">
        <x:v>Web</x:v>
      </x:c>
      <x:c r="G1785" s="20" t="str">
        <x:v>Scan/attachment</x:v>
      </x:c>
      <x:c r="H1785" s="35" t="str">
        <x:v>Scan web pass: Profile/company/account/integrations/AI</x:v>
      </x:c>
      <x:c r="I1785" s="35" t="str">
        <x:v>COV-041</x:v>
      </x:c>
      <x:c r="J1785" s="35" t="str"/>
      <x:c r="K1785" s="35" t="str"/>
      <x:c r="L1785" s="35" t="str">
        <x:v>Edit profile/company, provider settings, accounting connection states, invalid credentials, disconnect, and re-auth.</x:v>
      </x:c>
      <x:c r="M1785" s="35" t="str">
        <x:v>The supported workflow completes and persists correctly; if the capability is absent, the exact gap is proven and queued rather than silently skipped.</x:v>
      </x:c>
      <x:c r="N1785" s="35" t="str">
        <x:v>Real UI screenshot/state; submitted values; persisted read-back; cross-client read-back; audit/role/access evidence.</x:v>
      </x:c>
      <x:c r="O1785" s="35" t="str">
        <x:v>Use one invalid value, stale-state retry, or duplicate submission relevant to the form; no partial or duplicate mutation.</x:v>
      </x:c>
      <x:c r="P1785" s="35" t="str">
        <x:v>All expected records and amounts match; no unexplained error or stale state.</x:v>
      </x:c>
    </x:row>
    <x:row r="1786">
      <x:c r="A1786" s="20" t="str">
        <x:v>RUN-20271123-01</x:v>
      </x:c>
      <x:c r="B1786" s="23" t="n">
        <x:v>46714</x:v>
      </x:c>
      <x:c r="C1786" s="32" t="n">
        <x:v>1</x:v>
      </x:c>
      <x:c r="D1786" s="20" t="str">
        <x:v>Weekly operations</x:v>
      </x:c>
      <x:c r="E1786" s="20" t="str">
        <x:v>Property Manager</x:v>
      </x:c>
      <x:c r="F1786" s="20" t="str">
        <x:v>Mobile</x:v>
      </x:c>
      <x:c r="G1786" s="20" t="str">
        <x:v>Scanned receipt/invoice</x:v>
      </x:c>
      <x:c r="H1786" s="35" t="str">
        <x:v>Record, review, allocate, and pay operating expense</x:v>
      </x:c>
      <x:c r="I1786" s="35" t="str">
        <x:v>P010; U010; WO-2027-047</x:v>
      </x:c>
      <x:c r="J1786" s="35" t="str">
        <x:v>SCN-0431</x:v>
      </x:c>
      <x:c r="K1786" s="35" t="str">
        <x:v>FIN-01070</x:v>
      </x:c>
      <x:c r="L1786" s="35" t="str">
        <x:v>Capture or upload the source; verify vendor, date, scope, category, line items, tax, amount, and work-order link; confirm; open detail; verify attachment; compare Money and Property/Unit views.</x:v>
      </x:c>
      <x:c r="M1786" s="35" t="str">
        <x:v>One expense exists at its real operational scope, cash falls once, Schedule E category and allocations agree, and no per-unit copies are created.</x:v>
      </x:c>
      <x:c r="N1786" s="35" t="str">
        <x:v>Source preview; review/form; expense detail; line items; Property/Unit ledger; audit; accounting/report delta.</x:v>
      </x:c>
      <x:c r="O1786" s="35" t="str">
        <x:v>On marked duplicate-invoice cases, re-upload before confirm and prove the product prevents or clearly warns about duplication.</x:v>
      </x:c>
      <x:c r="P1786" s="35" t="str">
        <x:v>All expected records and amounts match; no unexplained error or stale state.</x:v>
      </x:c>
    </x:row>
    <x:row r="1787">
      <x:c r="A1787" s="20" t="str">
        <x:v>RUN-20271123-02</x:v>
      </x:c>
      <x:c r="B1787" s="23" t="n">
        <x:v>46714</x:v>
      </x:c>
      <x:c r="C1787" s="32" t="n">
        <x:v>2</x:v>
      </x:c>
      <x:c r="D1787" s="20" t="str">
        <x:v>Field certification</x:v>
      </x:c>
      <x:c r="E1787" s="20" t="str">
        <x:v>Tenant</x:v>
      </x:c>
      <x:c r="F1787" s="20" t="str">
        <x:v>Mobile</x:v>
      </x:c>
      <x:c r="G1787" s="20" t="str">
        <x:v>Manual field-by-field</x:v>
      </x:c>
      <x:c r="H1787" s="35" t="str">
        <x:v>Fill, save, reload, edit, and validate every declared field on features/portal/tenant_account_history_screen.dart</x:v>
      </x:c>
      <x:c r="I1787" s="35" t="str">
        <x:v>FLD-0971</x:v>
      </x:c>
      <x:c r="J1787" s="35" t="str"/>
      <x:c r="K1787" s="35" t="str"/>
      <x:c r="L1787" s="35" t="str">
        <x:v>Use the source-derived Field Inventory. Enter non-default realistic values in every control (Account); submit; reload or relaunch; compare every value; edit each mutable field; verify the paired client; then run required, format, length, range, boundary, optional-null, and stale-submit checks.</x:v>
      </x:c>
      <x:c r="M1787" s="35" t="str">
        <x:v>All 1 inventoried controls persist exact normalized values, invalid values stay unsaved with clear errors, and hidden/unauthorized fields cannot be altered.</x:v>
      </x:c>
      <x:c r="N1787" s="35" t="str">
        <x:v>Before/after form screenshots; FLD IDs; API response; reloaded UI; paired-client read-back; database/audit evidence; negative validation result.</x:v>
      </x:c>
      <x:c r="O1787" s="35" t="str">
        <x:v>Use a duplicate submit and one simulated network interruption; one atomic mutation or none, never partial state.</x:v>
      </x:c>
      <x:c r="P1787" s="35" t="str">
        <x:v>All expected records and amounts match; no unexplained error or stale state.</x:v>
      </x:c>
    </x:row>
    <x:row r="1788">
      <x:c r="A1788" s="20" t="str">
        <x:v>RUN-20271123-03</x:v>
      </x:c>
      <x:c r="B1788" s="23" t="n">
        <x:v>46714</x:v>
      </x:c>
      <x:c r="C1788" s="32" t="n">
        <x:v>3</x:v>
      </x:c>
      <x:c r="D1788" s="20" t="str">
        <x:v>Field certification</x:v>
      </x:c>
      <x:c r="E1788" s="20" t="str">
        <x:v>Applicant / public user</x:v>
      </x:c>
      <x:c r="F1788" s="20" t="str">
        <x:v>Mobile</x:v>
      </x:c>
      <x:c r="G1788" s="20" t="str">
        <x:v>Manual field-by-field</x:v>
      </x:c>
      <x:c r="H1788" s="35" t="str">
        <x:v>Fill, save, reload, edit, and validate every declared field on features/properties/property_capital_asset_form_sheet.dart</x:v>
      </x:c>
      <x:c r="I1788" s="35" t="str">
        <x:v>FLD-0972; FLD-0973; FLD-0974; FLD-0975</x:v>
      </x:c>
      <x:c r="J1788" s="35" t="str"/>
      <x:c r="K1788" s="35" t="str"/>
      <x:c r="L1788" s="35" t="str">
        <x:v>Use the source-derived Field Inventory. Enter non-default realistic values in every control (_descriptionCtrl; _inServiceDateCtrl; _recoveryYearsCtrl; _accumulatedCtrl); submit; reload or relaunch; compare every value; edit each mutable field; verify the paired client; then run required, format, length, range, boundary, optional-null, and stale-submit checks.</x:v>
      </x:c>
      <x:c r="M1788" s="35" t="str">
        <x:v>All 4 inventoried controls persist exact normalized values, invalid values stay unsaved with clear errors, and hidden/unauthorized fields cannot be altered.</x:v>
      </x:c>
      <x:c r="N1788" s="35" t="str">
        <x:v>Before/after form screenshots; FLD IDs; API response; reloaded UI; paired-client read-back; database/audit evidence; negative validation result.</x:v>
      </x:c>
      <x:c r="O1788" s="35" t="str">
        <x:v>Use a duplicate submit and one simulated network interruption; one atomic mutation or none, never partial state.</x:v>
      </x:c>
      <x:c r="P1788" s="35" t="str">
        <x:v>All expected records and amounts match; no unexplained error or stale state.</x:v>
      </x:c>
    </x:row>
    <x:row r="1789">
      <x:c r="A1789" s="20" t="str">
        <x:v>RUN-20271123-04</x:v>
      </x:c>
      <x:c r="B1789" s="23" t="n">
        <x:v>46714</x:v>
      </x:c>
      <x:c r="C1789" s="32" t="n">
        <x:v>4</x:v>
      </x:c>
      <x:c r="D1789" s="20" t="str">
        <x:v>Surface coverage</x:v>
      </x:c>
      <x:c r="E1789" s="20" t="str">
        <x:v>Role appropriate to surface</x:v>
      </x:c>
      <x:c r="F1789" s="20" t="str">
        <x:v>Mobile</x:v>
      </x:c>
      <x:c r="G1789" s="20" t="str">
        <x:v>Scan/attachment</x:v>
      </x:c>
      <x:c r="H1789" s="35" t="str">
        <x:v>Scan mobile pass: Profile/company/account/integrations/AI</x:v>
      </x:c>
      <x:c r="I1789" s="35" t="str">
        <x:v>COV-041</x:v>
      </x:c>
      <x:c r="J1789" s="35" t="str"/>
      <x:c r="K1789" s="35" t="str"/>
      <x:c r="L1789" s="35" t="str">
        <x:v>Edit profile/company, provider settings, accounting connection states, invalid credentials, disconnect, and re-auth.</x:v>
      </x:c>
      <x:c r="M1789" s="35" t="str">
        <x:v>The supported workflow completes and persists correctly; if the capability is absent, the exact gap is proven and queued rather than silently skipped.</x:v>
      </x:c>
      <x:c r="N1789" s="35" t="str">
        <x:v>Real UI screenshot/state; submitted values; persisted read-back; cross-client read-back; audit/role/access evidence.</x:v>
      </x:c>
      <x:c r="O1789" s="35" t="str">
        <x:v>Use one invalid value, stale-state retry, or duplicate submission relevant to the form; no partial or duplicate mutation.</x:v>
      </x:c>
      <x:c r="P1789" s="35" t="str">
        <x:v>All expected records and amounts match; no unexplained error or stale state.</x:v>
      </x:c>
    </x:row>
    <x:row r="1790">
      <x:c r="A1790" s="20" t="str">
        <x:v>RUN-20271124-01</x:v>
      </x:c>
      <x:c r="B1790" s="23" t="n">
        <x:v>46715</x:v>
      </x:c>
      <x:c r="C1790" s="32" t="n">
        <x:v>1</x:v>
      </x:c>
      <x:c r="D1790" s="20" t="str">
        <x:v>Role and screen certification</x:v>
      </x:c>
      <x:c r="E1790" s="20" t="str">
        <x:v>Applicant / public user</x:v>
      </x:c>
      <x:c r="F1790" s="20" t="str">
        <x:v>Mobile</x:v>
      </x:c>
      <x:c r="G1790" s="20" t="str">
        <x:v>Normal persona navigation</x:v>
      </x:c>
      <x:c r="H1790" s="35" t="str">
        <x:v>Use every permitted action and state on features/settings/ai_provider_settings_screen.dart</x:v>
      </x:c>
      <x:c r="I1790" s="35" t="str">
        <x:v>SCR-178; ROLE-298</x:v>
      </x:c>
      <x:c r="J1790" s="35" t="str"/>
      <x:c r="K1790" s="35" t="str"/>
      <x:c r="L179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0" s="35" t="str">
        <x:v>The persona can use every allowed action with only its assigned properties/relationships. Hidden or disabled actions explain why; an adjacent unauthorized persona is denied without metadata leakage.</x:v>
      </x:c>
      <x:c r="N1790" s="35" t="str">
        <x:v>Persona/experience; navigation entry; desktop or device screenshots; result state; persisted read-back; audit/history; authorized and denied network result.</x:v>
      </x:c>
      <x:c r="O1790" s="35" t="str">
        <x:v>Open the direct URL or deep link with an adjacent unauthorized persona and with stale scope; both fail closed and land safely without mutation.</x:v>
      </x:c>
      <x:c r="P1790" s="35" t="str">
        <x:v>All expected records and amounts match; no unexplained error or stale state.</x:v>
      </x:c>
    </x:row>
    <x:row r="1791">
      <x:c r="A1791" s="20" t="str">
        <x:v>RUN-20271124-02</x:v>
      </x:c>
      <x:c r="B1791" s="23" t="n">
        <x:v>46715</x:v>
      </x:c>
      <x:c r="C1791" s="32" t="n">
        <x:v>2</x:v>
      </x:c>
      <x:c r="D1791" s="20" t="str">
        <x:v>Field certification</x:v>
      </x:c>
      <x:c r="E1791" s="20" t="str">
        <x:v>Applicant / public user</x:v>
      </x:c>
      <x:c r="F1791" s="20" t="str">
        <x:v>Mobile</x:v>
      </x:c>
      <x:c r="G1791" s="20" t="str">
        <x:v>Manual field-by-field</x:v>
      </x:c>
      <x:c r="H1791" s="35" t="str">
        <x:v>Fill, save, reload, edit, and validate every declared field on features/properties/property_capital_asset_form_sheet.dart</x:v>
      </x:c>
      <x:c r="I1791" s="35" t="str">
        <x:v>FLD-0976</x:v>
      </x:c>
      <x:c r="J1791" s="35" t="str"/>
      <x:c r="K1791" s="35" t="str"/>
      <x:c r="L1791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791" s="35" t="str">
        <x:v>All 1 inventoried controls persist exact normalized values, invalid values stay unsaved with clear errors, and hidden/unauthorized fields cannot be altered.</x:v>
      </x:c>
      <x:c r="N1791" s="35" t="str">
        <x:v>Before/after form screenshots; FLD IDs; API response; reloaded UI; paired-client read-back; database/audit evidence; negative validation result.</x:v>
      </x:c>
      <x:c r="O1791" s="35" t="str">
        <x:v>Use a duplicate submit and one simulated network interruption; one atomic mutation or none, never partial state.</x:v>
      </x:c>
      <x:c r="P1791" s="35" t="str">
        <x:v>All expected records and amounts match; no unexplained error or stale state.</x:v>
      </x:c>
    </x:row>
    <x:row r="1792">
      <x:c r="A1792" s="20" t="str">
        <x:v>RUN-20271124-03</x:v>
      </x:c>
      <x:c r="B1792" s="23" t="n">
        <x:v>46715</x:v>
      </x:c>
      <x:c r="C1792" s="32" t="n">
        <x:v>3</x:v>
      </x:c>
      <x:c r="D1792" s="20" t="str">
        <x:v>Field certification</x:v>
      </x:c>
      <x:c r="E1792" s="20" t="str">
        <x:v>Applicant / public user</x:v>
      </x:c>
      <x:c r="F1792" s="20" t="str">
        <x:v>Mobile</x:v>
      </x:c>
      <x:c r="G1792" s="20" t="str">
        <x:v>Manual field-by-field</x:v>
      </x:c>
      <x:c r="H1792" s="35" t="str">
        <x:v>Fill, save, reload, edit, and validate every declared field on features/properties/property_disposition_form_sheet.dart</x:v>
      </x:c>
      <x:c r="I1792" s="35" t="str">
        <x:v>FLD-0977; FLD-0978; FLD-0979</x:v>
      </x:c>
      <x:c r="J1792" s="35" t="str"/>
      <x:c r="K1792" s="35" t="str"/>
      <x:c r="L1792" s="35" t="str">
        <x:v>Use the source-derived Field Inventory. Enter non-default realistic values in every control (_closedOnCtrl; _buyerCtrl; _memoCtrl); submit; reload or relaunch; compare every value; edit each mutable field; verify the paired client; then run required, format, length, range, boundary, optional-null, and stale-submit checks.</x:v>
      </x:c>
      <x:c r="M1792" s="35" t="str">
        <x:v>All 3 inventoried controls persist exact normalized values, invalid values stay unsaved with clear errors, and hidden/unauthorized fields cannot be altered.</x:v>
      </x:c>
      <x:c r="N1792" s="35" t="str">
        <x:v>Before/after form screenshots; FLD IDs; API response; reloaded UI; paired-client read-back; database/audit evidence; negative validation result.</x:v>
      </x:c>
      <x:c r="O1792" s="35" t="str">
        <x:v>Use a duplicate submit and one simulated network interruption; one atomic mutation or none, never partial state.</x:v>
      </x:c>
      <x:c r="P1792" s="35" t="str">
        <x:v>All expected records and amounts match; no unexplained error or stale state.</x:v>
      </x:c>
    </x:row>
    <x:row r="1793">
      <x:c r="A1793" s="20" t="str">
        <x:v>RUN-20271125-01</x:v>
      </x:c>
      <x:c r="B1793" s="23" t="n">
        <x:v>46716</x:v>
      </x:c>
      <x:c r="C1793" s="32" t="n">
        <x:v>1</x:v>
      </x:c>
      <x:c r="D1793" s="20" t="str">
        <x:v>Monthly close</x:v>
      </x:c>
      <x:c r="E1793" s="20" t="str">
        <x:v>Owner + Workspace Administrator</x:v>
      </x:c>
      <x:c r="F1793" s="20" t="str">
        <x:v>Web + Mobile owner portal</x:v>
      </x:c>
      <x:c r="G1793" s="20" t="str">
        <x:v>Manual approval</x:v>
      </x:c>
      <x:c r="H1793" s="35" t="str">
        <x:v>November owner statements and distributions</x:v>
      </x:c>
      <x:c r="I1793" s="35" t="str">
        <x:v>O01-O05</x:v>
      </x:c>
      <x:c r="J1793" s="35" t="str"/>
      <x:c r="K1793" s="35" t="str">
        <x:v>FIN-01459; FIN-01460; FIN-01461; FIN-01462; FIN-01463</x:v>
      </x:c>
      <x:c r="L1793" s="35" t="str">
        <x:v>Generate owner statements; review income/expense allocations; approve distributions; record the bank export; open statements from owner portal on web and mobile.</x:v>
      </x:c>
      <x:c r="M1793" s="35" t="str">
        <x:v>Five owner statements agree with Property/accounting totals and five distributions reduce cash/equity distributions without becoming expenses.</x:v>
      </x:c>
      <x:c r="N1793" s="35" t="str">
        <x:v>Statements; approvals; owner portal PDFs; distribution rows; bank references; audit.</x:v>
      </x:c>
      <x:c r="O1793" s="35" t="str">
        <x:v>Reject one draft distribution before approval each quarter and prove no cash event is posted.</x:v>
      </x:c>
      <x:c r="P1793" s="35" t="str">
        <x:v>All expected records and amounts match; no unexplained error or stale state.</x:v>
      </x:c>
    </x:row>
    <x:row r="1794">
      <x:c r="A1794" s="20" t="str">
        <x:v>RUN-20271125-02</x:v>
      </x:c>
      <x:c r="B1794" s="23" t="n">
        <x:v>46716</x:v>
      </x:c>
      <x:c r="C1794" s="32" t="n">
        <x:v>2</x:v>
      </x:c>
      <x:c r="D1794" s="20" t="str">
        <x:v>Role and screen certification</x:v>
      </x:c>
      <x:c r="E1794" s="20" t="str">
        <x:v>Workspace Administrator</x:v>
      </x:c>
      <x:c r="F1794" s="20" t="str">
        <x:v>Mobile</x:v>
      </x:c>
      <x:c r="G1794" s="20" t="str">
        <x:v>Normal persona navigation</x:v>
      </x:c>
      <x:c r="H1794" s="35" t="str">
        <x:v>Use every permitted action and state on features/settings/change_password_screen.dart</x:v>
      </x:c>
      <x:c r="I1794" s="35" t="str">
        <x:v>SCR-179; ROLE-299</x:v>
      </x:c>
      <x:c r="J1794" s="35" t="str"/>
      <x:c r="K1794" s="35" t="str"/>
      <x:c r="L179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4" s="35" t="str">
        <x:v>The persona can use every allowed action with only its assigned properties/relationships. Hidden or disabled actions explain why; an adjacent unauthorized persona is denied without metadata leakage.</x:v>
      </x:c>
      <x:c r="N1794" s="35" t="str">
        <x:v>Persona/experience; navigation entry; desktop or device screenshots; result state; persisted read-back; audit/history; authorized and denied network result.</x:v>
      </x:c>
      <x:c r="O1794" s="35" t="str">
        <x:v>Open the direct URL or deep link with an adjacent unauthorized persona and with stale scope; both fail closed and land safely without mutation.</x:v>
      </x:c>
      <x:c r="P1794" s="35" t="str">
        <x:v>All expected records and amounts match; no unexplained error or stale state.</x:v>
      </x:c>
    </x:row>
    <x:row r="1795">
      <x:c r="A1795" s="20" t="str">
        <x:v>RUN-20271125-03</x:v>
      </x:c>
      <x:c r="B1795" s="23" t="n">
        <x:v>46716</x:v>
      </x:c>
      <x:c r="C1795" s="32" t="n">
        <x:v>3</x:v>
      </x:c>
      <x:c r="D1795" s="20" t="str">
        <x:v>Role and screen certification</x:v>
      </x:c>
      <x:c r="E1795" s="20" t="str">
        <x:v>Property Manager</x:v>
      </x:c>
      <x:c r="F1795" s="20" t="str">
        <x:v>Mobile</x:v>
      </x:c>
      <x:c r="G1795" s="20" t="str">
        <x:v>Normal persona navigation</x:v>
      </x:c>
      <x:c r="H1795" s="35" t="str">
        <x:v>Use every permitted action and state on features/settings/change_password_screen.dart</x:v>
      </x:c>
      <x:c r="I1795" s="35" t="str">
        <x:v>SCR-179; ROLE-300</x:v>
      </x:c>
      <x:c r="J1795" s="35" t="str"/>
      <x:c r="K1795" s="35" t="str"/>
      <x:c r="L179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5" s="35" t="str">
        <x:v>The persona can use every allowed action with only its assigned properties/relationships. Hidden or disabled actions explain why; an adjacent unauthorized persona is denied without metadata leakage.</x:v>
      </x:c>
      <x:c r="N1795" s="35" t="str">
        <x:v>Persona/experience; navigation entry; desktop or device screenshots; result state; persisted read-back; audit/history; authorized and denied network result.</x:v>
      </x:c>
      <x:c r="O1795" s="35" t="str">
        <x:v>Open the direct URL or deep link with an adjacent unauthorized persona and with stale scope; both fail closed and land safely without mutation.</x:v>
      </x:c>
      <x:c r="P1795" s="35" t="str">
        <x:v>All expected records and amounts match; no unexplained error or stale state.</x:v>
      </x:c>
    </x:row>
    <x:row r="1796">
      <x:c r="A1796" s="20" t="str">
        <x:v>RUN-20271125-04</x:v>
      </x:c>
      <x:c r="B1796" s="23" t="n">
        <x:v>46716</x:v>
      </x:c>
      <x:c r="C1796" s="32" t="n">
        <x:v>4</x:v>
      </x:c>
      <x:c r="D1796" s="20" t="str">
        <x:v>Role and screen certification</x:v>
      </x:c>
      <x:c r="E1796" s="20" t="str">
        <x:v>Leasing Agent</x:v>
      </x:c>
      <x:c r="F1796" s="20" t="str">
        <x:v>Mobile</x:v>
      </x:c>
      <x:c r="G1796" s="20" t="str">
        <x:v>Normal persona navigation</x:v>
      </x:c>
      <x:c r="H1796" s="35" t="str">
        <x:v>Use every permitted action and state on features/settings/change_password_screen.dart</x:v>
      </x:c>
      <x:c r="I1796" s="35" t="str">
        <x:v>SCR-179; ROLE-301</x:v>
      </x:c>
      <x:c r="J1796" s="35" t="str"/>
      <x:c r="K1796" s="35" t="str"/>
      <x:c r="L179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6" s="35" t="str">
        <x:v>The persona can use every allowed action with only its assigned properties/relationships. Hidden or disabled actions explain why; an adjacent unauthorized persona is denied without metadata leakage.</x:v>
      </x:c>
      <x:c r="N1796" s="35" t="str">
        <x:v>Persona/experience; navigation entry; desktop or device screenshots; result state; persisted read-back; audit/history; authorized and denied network result.</x:v>
      </x:c>
      <x:c r="O1796" s="35" t="str">
        <x:v>Open the direct URL or deep link with an adjacent unauthorized persona and with stale scope; both fail closed and land safely without mutation.</x:v>
      </x:c>
      <x:c r="P1796" s="35" t="str">
        <x:v>All expected records and amounts match; no unexplained error or stale state.</x:v>
      </x:c>
    </x:row>
    <x:row r="1797">
      <x:c r="A1797" s="20" t="str">
        <x:v>RUN-20271125-05</x:v>
      </x:c>
      <x:c r="B1797" s="23" t="n">
        <x:v>46716</x:v>
      </x:c>
      <x:c r="C1797" s="32" t="n">
        <x:v>5</x:v>
      </x:c>
      <x:c r="D1797" s="20" t="str">
        <x:v>Role and screen certification</x:v>
      </x:c>
      <x:c r="E1797" s="20" t="str">
        <x:v>Maintenance Technician</x:v>
      </x:c>
      <x:c r="F1797" s="20" t="str">
        <x:v>Mobile</x:v>
      </x:c>
      <x:c r="G1797" s="20" t="str">
        <x:v>Normal persona navigation</x:v>
      </x:c>
      <x:c r="H1797" s="35" t="str">
        <x:v>Use every permitted action and state on features/settings/change_password_screen.dart</x:v>
      </x:c>
      <x:c r="I1797" s="35" t="str">
        <x:v>SCR-179; ROLE-302</x:v>
      </x:c>
      <x:c r="J1797" s="35" t="str"/>
      <x:c r="K1797" s="35" t="str"/>
      <x:c r="L179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7" s="35" t="str">
        <x:v>The persona can use every allowed action with only its assigned properties/relationships. Hidden or disabled actions explain why; an adjacent unauthorized persona is denied without metadata leakage.</x:v>
      </x:c>
      <x:c r="N1797" s="35" t="str">
        <x:v>Persona/experience; navigation entry; desktop or device screenshots; result state; persisted read-back; audit/history; authorized and denied network result.</x:v>
      </x:c>
      <x:c r="O1797" s="35" t="str">
        <x:v>Open the direct URL or deep link with an adjacent unauthorized persona and with stale scope; both fail closed and land safely without mutation.</x:v>
      </x:c>
      <x:c r="P1797" s="35" t="str">
        <x:v>All expected records and amounts match; no unexplained error or stale state.</x:v>
      </x:c>
    </x:row>
    <x:row r="1798">
      <x:c r="A1798" s="20" t="str">
        <x:v>RUN-20271125-06</x:v>
      </x:c>
      <x:c r="B1798" s="23" t="n">
        <x:v>46716</x:v>
      </x:c>
      <x:c r="C1798" s="32" t="n">
        <x:v>6</x:v>
      </x:c>
      <x:c r="D1798" s="20" t="str">
        <x:v>Role and screen certification</x:v>
      </x:c>
      <x:c r="E1798" s="20" t="str">
        <x:v>Owner</x:v>
      </x:c>
      <x:c r="F1798" s="20" t="str">
        <x:v>Mobile</x:v>
      </x:c>
      <x:c r="G1798" s="20" t="str">
        <x:v>Normal persona navigation</x:v>
      </x:c>
      <x:c r="H1798" s="35" t="str">
        <x:v>Use every permitted action and state on features/settings/change_password_screen.dart</x:v>
      </x:c>
      <x:c r="I1798" s="35" t="str">
        <x:v>SCR-179; ROLE-303</x:v>
      </x:c>
      <x:c r="J1798" s="35" t="str"/>
      <x:c r="K1798" s="35" t="str"/>
      <x:c r="L179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8" s="35" t="str">
        <x:v>The persona can use every allowed action with only its assigned properties/relationships. Hidden or disabled actions explain why; an adjacent unauthorized persona is denied without metadata leakage.</x:v>
      </x:c>
      <x:c r="N1798" s="35" t="str">
        <x:v>Persona/experience; navigation entry; desktop or device screenshots; result state; persisted read-back; audit/history; authorized and denied network result.</x:v>
      </x:c>
      <x:c r="O1798" s="35" t="str">
        <x:v>Open the direct URL or deep link with an adjacent unauthorized persona and with stale scope; both fail closed and land safely without mutation.</x:v>
      </x:c>
      <x:c r="P1798" s="35" t="str">
        <x:v>All expected records and amounts match; no unexplained error or stale state.</x:v>
      </x:c>
    </x:row>
    <x:row r="1799">
      <x:c r="A1799" s="20" t="str">
        <x:v>RUN-20271125-07</x:v>
      </x:c>
      <x:c r="B1799" s="23" t="n">
        <x:v>46716</x:v>
      </x:c>
      <x:c r="C1799" s="32" t="n">
        <x:v>7</x:v>
      </x:c>
      <x:c r="D1799" s="20" t="str">
        <x:v>Role and screen certification</x:v>
      </x:c>
      <x:c r="E1799" s="20" t="str">
        <x:v>Tenant</x:v>
      </x:c>
      <x:c r="F1799" s="20" t="str">
        <x:v>Mobile</x:v>
      </x:c>
      <x:c r="G1799" s="20" t="str">
        <x:v>Normal persona navigation</x:v>
      </x:c>
      <x:c r="H1799" s="35" t="str">
        <x:v>Use every permitted action and state on features/settings/change_password_screen.dart</x:v>
      </x:c>
      <x:c r="I1799" s="35" t="str">
        <x:v>SCR-179; ROLE-304</x:v>
      </x:c>
      <x:c r="J1799" s="35" t="str"/>
      <x:c r="K1799" s="35" t="str"/>
      <x:c r="L179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799" s="35" t="str">
        <x:v>The persona can use every allowed action with only its assigned properties/relationships. Hidden or disabled actions explain why; an adjacent unauthorized persona is denied without metadata leakage.</x:v>
      </x:c>
      <x:c r="N1799" s="35" t="str">
        <x:v>Persona/experience; navigation entry; desktop or device screenshots; result state; persisted read-back; audit/history; authorized and denied network result.</x:v>
      </x:c>
      <x:c r="O1799" s="35" t="str">
        <x:v>Open the direct URL or deep link with an adjacent unauthorized persona and with stale scope; both fail closed and land safely without mutation.</x:v>
      </x:c>
      <x:c r="P1799" s="35" t="str">
        <x:v>All expected records and amounts match; no unexplained error or stale state.</x:v>
      </x:c>
    </x:row>
    <x:row r="1800">
      <x:c r="A1800" s="20" t="str">
        <x:v>RUN-20271125-08</x:v>
      </x:c>
      <x:c r="B1800" s="23" t="n">
        <x:v>46716</x:v>
      </x:c>
      <x:c r="C1800" s="32" t="n">
        <x:v>8</x:v>
      </x:c>
      <x:c r="D1800" s="20" t="str">
        <x:v>Field certification</x:v>
      </x:c>
      <x:c r="E1800" s="20" t="str">
        <x:v>Applicant / public user</x:v>
      </x:c>
      <x:c r="F1800" s="20" t="str">
        <x:v>Mobile</x:v>
      </x:c>
      <x:c r="G1800" s="20" t="str">
        <x:v>Manual field-by-field</x:v>
      </x:c>
      <x:c r="H1800" s="35" t="str">
        <x:v>Fill, save, reload, edit, and validate every declared field on features/properties/property_disposition_form_sheet.dart</x:v>
      </x:c>
      <x:c r="I1800" s="35" t="str">
        <x:v>FLD-0980</x:v>
      </x:c>
      <x:c r="J1800" s="35" t="str"/>
      <x:c r="K1800" s="35" t="str"/>
      <x:c r="L1800" s="35" t="str">
        <x:v>Use the source-derived Field Inventory. Enter non-default realistic values in every control (controller); submit; reload or relaunch; compare every value; edit each mutable field; verify the paired client; then run required, format, length, range, boundary, optional-null, and stale-submit checks.</x:v>
      </x:c>
      <x:c r="M1800" s="35" t="str">
        <x:v>All 1 inventoried controls persist exact normalized values, invalid values stay unsaved with clear errors, and hidden/unauthorized fields cannot be altered.</x:v>
      </x:c>
      <x:c r="N1800" s="35" t="str">
        <x:v>Before/after form screenshots; FLD IDs; API response; reloaded UI; paired-client read-back; database/audit evidence; negative validation result.</x:v>
      </x:c>
      <x:c r="O1800" s="35" t="str">
        <x:v>Use a duplicate submit and one simulated network interruption; one atomic mutation or none, never partial state.</x:v>
      </x:c>
      <x:c r="P1800" s="35" t="str">
        <x:v>All expected records and amounts match; no unexplained error or stale state.</x:v>
      </x:c>
    </x:row>
    <x:row r="1801">
      <x:c r="A1801" s="20" t="str">
        <x:v>RUN-20271125-09</x:v>
      </x:c>
      <x:c r="B1801" s="23" t="n">
        <x:v>46716</x:v>
      </x:c>
      <x:c r="C1801" s="32" t="n">
        <x:v>9</x:v>
      </x:c>
      <x:c r="D1801" s="20" t="str">
        <x:v>Field certification</x:v>
      </x:c>
      <x:c r="E1801" s="20" t="str">
        <x:v>Applicant / public user</x:v>
      </x:c>
      <x:c r="F1801" s="20" t="str">
        <x:v>Mobile</x:v>
      </x:c>
      <x:c r="G1801" s="20" t="str">
        <x:v>Manual field-by-field</x:v>
      </x:c>
      <x:c r="H1801" s="35" t="str">
        <x:v>Fill, save, reload, edit, and validate every declared field on features/properties/property_form_sheet.dart</x:v>
      </x:c>
      <x:c r="I1801" s="35" t="str">
        <x:v>FLD-0981; FLD-0982; FLD-0983; FLD-0984</x:v>
      </x:c>
      <x:c r="J1801" s="35" t="str"/>
      <x:c r="K1801" s="35" t="str"/>
      <x:c r="L1801" s="35" t="str">
        <x:v>Use the source-derived Field Inventory. Enter non-default realistic values in every control (_nameCtrl; Type; _isEditing; _ownersLoading); submit; reload or relaunch; compare every value; edit each mutable field; verify the paired client; then run required, format, length, range, boundary, optional-null, and stale-submit checks.</x:v>
      </x:c>
      <x:c r="M1801" s="35" t="str">
        <x:v>All 4 inventoried controls persist exact normalized values, invalid values stay unsaved with clear errors, and hidden/unauthorized fields cannot be altered.</x:v>
      </x:c>
      <x:c r="N1801" s="35" t="str">
        <x:v>Before/after form screenshots; FLD IDs; API response; reloaded UI; paired-client read-back; database/audit evidence; negative validation result.</x:v>
      </x:c>
      <x:c r="O1801" s="35" t="str">
        <x:v>Use a duplicate submit and one simulated network interruption; one atomic mutation or none, never partial state.</x:v>
      </x:c>
      <x:c r="P1801" s="35" t="str">
        <x:v>All expected records and amounts match; no unexplained error or stale state.</x:v>
      </x:c>
    </x:row>
    <x:row r="1802">
      <x:c r="A1802" s="20" t="str">
        <x:v>RUN-20271125-10</x:v>
      </x:c>
      <x:c r="B1802" s="23" t="n">
        <x:v>46716</x:v>
      </x:c>
      <x:c r="C1802" s="32" t="n">
        <x:v>10</x:v>
      </x:c>
      <x:c r="D1802" s="20" t="str">
        <x:v>Notification certification</x:v>
      </x:c>
      <x:c r="E1802" s="20" t="str">
        <x:v>Account owner</x:v>
      </x:c>
      <x:c r="F1802" s="20" t="str">
        <x:v>Web + Mobile</x:v>
      </x:c>
      <x:c r="G1802" s="20" t="str">
        <x:v>System event + preference/manual verification</x:v>
      </x:c>
      <x:c r="H1802" s="35" t="str">
        <x:v>Trigger and prove notification: Password changed</x:v>
      </x:c>
      <x:c r="I1802" s="35" t="str">
        <x:v>NTF-045</x:v>
      </x:c>
      <x:c r="J1802" s="35" t="str"/>
      <x:c r="K1802" s="35" t="str"/>
      <x:c r="L1802" s="35" t="str">
        <x:v>Set each recipient's preferences; trigger the real business event; inspect routing and recipient scope; verify unread badge, list item, safe preview, security page deep link, mark-read sync, configured channel outcome, provider failure/retry, and duplicate suppression.</x:v>
      </x:c>
      <x:c r="M1802" s="35" t="str">
        <x:v>Exactly the intended recipients receive one correctly routed notification; disabled optional channels stay silent; deep link opens authorized context; read state synchronizes.</x:v>
      </x:c>
      <x:c r="N1802" s="35" t="str">
        <x:v>Trigger record; routing decision; outbox/delivery status; web/mobile inbox; lock-screen-safe copy; deep-link target; audit/provider retry evidence.</x:v>
      </x:c>
      <x:c r="O1802" s="35" t="str">
        <x:v>Re-run the worker and deliver a duplicate provider callback; no duplicate user-visible event. Attempt the deep link as an unauthorized adjacent role.</x:v>
      </x:c>
      <x:c r="P1802" s="35" t="str">
        <x:v>All expected records and amounts match; no unexplained error or stale state.</x:v>
      </x:c>
    </x:row>
    <x:row r="1803">
      <x:c r="A1803" s="20" t="str">
        <x:v>RUN-20271125-11</x:v>
      </x:c>
      <x:c r="B1803" s="23" t="n">
        <x:v>46716</x:v>
      </x:c>
      <x:c r="C1803" s="32" t="n">
        <x:v>11</x:v>
      </x:c>
      <x:c r="D1803" s="20" t="str">
        <x:v>Surface coverage</x:v>
      </x:c>
      <x:c r="E1803" s="20" t="str">
        <x:v>Role appropriate to surface</x:v>
      </x:c>
      <x:c r="F1803" s="20" t="str">
        <x:v>Web</x:v>
      </x:c>
      <x:c r="G1803" s="20" t="str">
        <x:v>Manual</x:v>
      </x:c>
      <x:c r="H1803" s="35" t="str">
        <x:v>Manual web pass: Audit, activity, admin users, engine health</x:v>
      </x:c>
      <x:c r="I1803" s="35" t="str">
        <x:v>COV-042</x:v>
      </x:c>
      <x:c r="J1803" s="35" t="str"/>
      <x:c r="K1803" s="35" t="str"/>
      <x:c r="L1803" s="35" t="str">
        <x:v>Filter/search/page audit DB-side; change roles; deactivate user; inspect worker/provider status; prove access guards.</x:v>
      </x:c>
      <x:c r="M1803" s="35" t="str">
        <x:v>The supported workflow completes and persists correctly; if the capability is absent, the exact gap is proven and queued rather than silently skipped.</x:v>
      </x:c>
      <x:c r="N1803" s="35" t="str">
        <x:v>Real UI screenshot/state; submitted values; persisted read-back; cross-client read-back; audit/role/access evidence.</x:v>
      </x:c>
      <x:c r="O1803" s="35" t="str">
        <x:v>Use one invalid value, stale-state retry, or duplicate submission relevant to the form; no partial or duplicate mutation.</x:v>
      </x:c>
      <x:c r="P1803" s="35" t="str">
        <x:v>All expected records and amounts match; no unexplained error or stale state.</x:v>
      </x:c>
    </x:row>
    <x:row r="1804">
      <x:c r="A1804" s="20" t="str">
        <x:v>RUN-20271126-01</x:v>
      </x:c>
      <x:c r="B1804" s="23" t="n">
        <x:v>46717</x:v>
      </x:c>
      <x:c r="C1804" s="32" t="n">
        <x:v>1</x:v>
      </x:c>
      <x:c r="D1804" s="20" t="str">
        <x:v>Leasing</x:v>
      </x:c>
      <x:c r="E1804" s="20" t="str">
        <x:v>Leasing Agent</x:v>
      </x:c>
      <x:c r="F1804" s="20" t="str">
        <x:v>Web</x:v>
      </x:c>
      <x:c r="G1804" s="20" t="str">
        <x:v>Scan/document + e-sign</x:v>
      </x:c>
      <x:c r="H1804" s="35" t="str">
        <x:v>Issue and execute lease agreement</x:v>
      </x:c>
      <x:c r="I1804" s="35" t="str">
        <x:v>L042; U034</x:v>
      </x:c>
      <x:c r="J1804" s="35" t="str">
        <x:v>SCN-0922</x:v>
      </x:c>
      <x:c r="K1804" s="35" t="str"/>
      <x:c r="L1804" s="35" t="str">
        <x:v>Confirm the scanned/native agreement against the prepared draft; issue a signature packet; view as landlord and tenant; sign; finalize immutable PDF/hash; verify Agreement is Upcoming until effective date.</x:v>
      </x:c>
      <x:c r="M1804" s="35" t="str">
        <x:v>Issued version is immutable, one signature packet is active, audit events are complete, and the effective-status projection follows the simulated date.</x:v>
      </x:c>
      <x:c r="N1804" s="35" t="str">
        <x:v>Draft/issued/final PDFs; hashes; signer states; signature audit; portal view; status before/after effective date.</x:v>
      </x:c>
      <x:c r="O1804" s="35" t="str">
        <x:v>Void one deliberately incorrect issued packet, issue a replacement, and prove the voided artifact remains while no competing active packet exists.</x:v>
      </x:c>
      <x:c r="P1804" s="35" t="str">
        <x:v>All expected records and amounts match; no unexplained error or stale state.</x:v>
      </x:c>
    </x:row>
    <x:row r="1805">
      <x:c r="A1805" s="20" t="str">
        <x:v>RUN-20271126-02</x:v>
      </x:c>
      <x:c r="B1805" s="23" t="n">
        <x:v>46717</x:v>
      </x:c>
      <x:c r="C1805" s="32" t="n">
        <x:v>2</x:v>
      </x:c>
      <x:c r="D1805" s="20" t="str">
        <x:v>Role and screen certification</x:v>
      </x:c>
      <x:c r="E1805" s="20" t="str">
        <x:v>Workspace Administrator</x:v>
      </x:c>
      <x:c r="F1805" s="20" t="str">
        <x:v>Mobile</x:v>
      </x:c>
      <x:c r="G1805" s="20" t="str">
        <x:v>Normal persona navigation</x:v>
      </x:c>
      <x:c r="H1805" s="35" t="str">
        <x:v>Use every permitted action and state on features/settings/my_alerts_screen.dart</x:v>
      </x:c>
      <x:c r="I1805" s="35" t="str">
        <x:v>SCR-180; ROLE-305</x:v>
      </x:c>
      <x:c r="J1805" s="35" t="str"/>
      <x:c r="K1805" s="35" t="str"/>
      <x:c r="L180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05" s="35" t="str">
        <x:v>The persona can use every allowed action with only its assigned properties/relationships. Hidden or disabled actions explain why; an adjacent unauthorized persona is denied without metadata leakage.</x:v>
      </x:c>
      <x:c r="N1805" s="35" t="str">
        <x:v>Persona/experience; navigation entry; desktop or device screenshots; result state; persisted read-back; audit/history; authorized and denied network result.</x:v>
      </x:c>
      <x:c r="O1805" s="35" t="str">
        <x:v>Open the direct URL or deep link with an adjacent unauthorized persona and with stale scope; both fail closed and land safely without mutation.</x:v>
      </x:c>
      <x:c r="P1805" s="35" t="str">
        <x:v>All expected records and amounts match; no unexplained error or stale state.</x:v>
      </x:c>
    </x:row>
    <x:row r="1806">
      <x:c r="A1806" s="20" t="str">
        <x:v>RUN-20271126-03</x:v>
      </x:c>
      <x:c r="B1806" s="23" t="n">
        <x:v>46717</x:v>
      </x:c>
      <x:c r="C1806" s="32" t="n">
        <x:v>3</x:v>
      </x:c>
      <x:c r="D1806" s="20" t="str">
        <x:v>Role and screen certification</x:v>
      </x:c>
      <x:c r="E1806" s="20" t="str">
        <x:v>Property Manager</x:v>
      </x:c>
      <x:c r="F1806" s="20" t="str">
        <x:v>Mobile</x:v>
      </x:c>
      <x:c r="G1806" s="20" t="str">
        <x:v>Normal persona navigation</x:v>
      </x:c>
      <x:c r="H1806" s="35" t="str">
        <x:v>Use every permitted action and state on features/settings/my_alerts_screen.dart</x:v>
      </x:c>
      <x:c r="I1806" s="35" t="str">
        <x:v>SCR-180; ROLE-306</x:v>
      </x:c>
      <x:c r="J1806" s="35" t="str"/>
      <x:c r="K1806" s="35" t="str"/>
      <x:c r="L180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06" s="35" t="str">
        <x:v>The persona can use every allowed action with only its assigned properties/relationships. Hidden or disabled actions explain why; an adjacent unauthorized persona is denied without metadata leakage.</x:v>
      </x:c>
      <x:c r="N1806" s="35" t="str">
        <x:v>Persona/experience; navigation entry; desktop or device screenshots; result state; persisted read-back; audit/history; authorized and denied network result.</x:v>
      </x:c>
      <x:c r="O1806" s="35" t="str">
        <x:v>Open the direct URL or deep link with an adjacent unauthorized persona and with stale scope; both fail closed and land safely without mutation.</x:v>
      </x:c>
      <x:c r="P1806" s="35" t="str">
        <x:v>All expected records and amounts match; no unexplained error or stale state.</x:v>
      </x:c>
    </x:row>
    <x:row r="1807">
      <x:c r="A1807" s="20" t="str">
        <x:v>RUN-20271126-04</x:v>
      </x:c>
      <x:c r="B1807" s="23" t="n">
        <x:v>46717</x:v>
      </x:c>
      <x:c r="C1807" s="32" t="n">
        <x:v>4</x:v>
      </x:c>
      <x:c r="D1807" s="20" t="str">
        <x:v>Role and screen certification</x:v>
      </x:c>
      <x:c r="E1807" s="20" t="str">
        <x:v>Leasing Agent</x:v>
      </x:c>
      <x:c r="F1807" s="20" t="str">
        <x:v>Mobile</x:v>
      </x:c>
      <x:c r="G1807" s="20" t="str">
        <x:v>Normal persona navigation</x:v>
      </x:c>
      <x:c r="H1807" s="35" t="str">
        <x:v>Use every permitted action and state on features/settings/my_alerts_screen.dart</x:v>
      </x:c>
      <x:c r="I1807" s="35" t="str">
        <x:v>SCR-180; ROLE-307</x:v>
      </x:c>
      <x:c r="J1807" s="35" t="str"/>
      <x:c r="K1807" s="35" t="str"/>
      <x:c r="L180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07" s="35" t="str">
        <x:v>The persona can use every allowed action with only its assigned properties/relationships. Hidden or disabled actions explain why; an adjacent unauthorized persona is denied without metadata leakage.</x:v>
      </x:c>
      <x:c r="N1807" s="35" t="str">
        <x:v>Persona/experience; navigation entry; desktop or device screenshots; result state; persisted read-back; audit/history; authorized and denied network result.</x:v>
      </x:c>
      <x:c r="O1807" s="35" t="str">
        <x:v>Open the direct URL or deep link with an adjacent unauthorized persona and with stale scope; both fail closed and land safely without mutation.</x:v>
      </x:c>
      <x:c r="P1807" s="35" t="str">
        <x:v>All expected records and amounts match; no unexplained error or stale state.</x:v>
      </x:c>
    </x:row>
    <x:row r="1808">
      <x:c r="A1808" s="20" t="str">
        <x:v>RUN-20271126-05</x:v>
      </x:c>
      <x:c r="B1808" s="23" t="n">
        <x:v>46717</x:v>
      </x:c>
      <x:c r="C1808" s="32" t="n">
        <x:v>5</x:v>
      </x:c>
      <x:c r="D1808" s="20" t="str">
        <x:v>Role and screen certification</x:v>
      </x:c>
      <x:c r="E1808" s="20" t="str">
        <x:v>Maintenance Technician</x:v>
      </x:c>
      <x:c r="F1808" s="20" t="str">
        <x:v>Mobile</x:v>
      </x:c>
      <x:c r="G1808" s="20" t="str">
        <x:v>Normal persona navigation</x:v>
      </x:c>
      <x:c r="H1808" s="35" t="str">
        <x:v>Use every permitted action and state on features/settings/my_alerts_screen.dart</x:v>
      </x:c>
      <x:c r="I1808" s="35" t="str">
        <x:v>SCR-180; ROLE-308</x:v>
      </x:c>
      <x:c r="J1808" s="35" t="str"/>
      <x:c r="K1808" s="35" t="str"/>
      <x:c r="L180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08" s="35" t="str">
        <x:v>The persona can use every allowed action with only its assigned properties/relationships. Hidden or disabled actions explain why; an adjacent unauthorized persona is denied without metadata leakage.</x:v>
      </x:c>
      <x:c r="N1808" s="35" t="str">
        <x:v>Persona/experience; navigation entry; desktop or device screenshots; result state; persisted read-back; audit/history; authorized and denied network result.</x:v>
      </x:c>
      <x:c r="O1808" s="35" t="str">
        <x:v>Open the direct URL or deep link with an adjacent unauthorized persona and with stale scope; both fail closed and land safely without mutation.</x:v>
      </x:c>
      <x:c r="P1808" s="35" t="str">
        <x:v>All expected records and amounts match; no unexplained error or stale state.</x:v>
      </x:c>
    </x:row>
    <x:row r="1809">
      <x:c r="A1809" s="20" t="str">
        <x:v>RUN-20271126-06</x:v>
      </x:c>
      <x:c r="B1809" s="23" t="n">
        <x:v>46717</x:v>
      </x:c>
      <x:c r="C1809" s="32" t="n">
        <x:v>6</x:v>
      </x:c>
      <x:c r="D1809" s="20" t="str">
        <x:v>Role and screen certification</x:v>
      </x:c>
      <x:c r="E1809" s="20" t="str">
        <x:v>Owner</x:v>
      </x:c>
      <x:c r="F1809" s="20" t="str">
        <x:v>Mobile</x:v>
      </x:c>
      <x:c r="G1809" s="20" t="str">
        <x:v>Normal persona navigation</x:v>
      </x:c>
      <x:c r="H1809" s="35" t="str">
        <x:v>Use every permitted action and state on features/settings/my_alerts_screen.dart</x:v>
      </x:c>
      <x:c r="I1809" s="35" t="str">
        <x:v>SCR-180; ROLE-309</x:v>
      </x:c>
      <x:c r="J1809" s="35" t="str"/>
      <x:c r="K1809" s="35" t="str"/>
      <x:c r="L180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09" s="35" t="str">
        <x:v>The persona can use every allowed action with only its assigned properties/relationships. Hidden or disabled actions explain why; an adjacent unauthorized persona is denied without metadata leakage.</x:v>
      </x:c>
      <x:c r="N1809" s="35" t="str">
        <x:v>Persona/experience; navigation entry; desktop or device screenshots; result state; persisted read-back; audit/history; authorized and denied network result.</x:v>
      </x:c>
      <x:c r="O1809" s="35" t="str">
        <x:v>Open the direct URL or deep link with an adjacent unauthorized persona and with stale scope; both fail closed and land safely without mutation.</x:v>
      </x:c>
      <x:c r="P1809" s="35" t="str">
        <x:v>All expected records and amounts match; no unexplained error or stale state.</x:v>
      </x:c>
    </x:row>
    <x:row r="1810">
      <x:c r="A1810" s="20" t="str">
        <x:v>RUN-20271126-07</x:v>
      </x:c>
      <x:c r="B1810" s="23" t="n">
        <x:v>46717</x:v>
      </x:c>
      <x:c r="C1810" s="32" t="n">
        <x:v>7</x:v>
      </x:c>
      <x:c r="D1810" s="20" t="str">
        <x:v>Role and screen certification</x:v>
      </x:c>
      <x:c r="E1810" s="20" t="str">
        <x:v>Tenant</x:v>
      </x:c>
      <x:c r="F1810" s="20" t="str">
        <x:v>Mobile</x:v>
      </x:c>
      <x:c r="G1810" s="20" t="str">
        <x:v>Normal persona navigation</x:v>
      </x:c>
      <x:c r="H1810" s="35" t="str">
        <x:v>Use every permitted action and state on features/settings/my_alerts_screen.dart</x:v>
      </x:c>
      <x:c r="I1810" s="35" t="str">
        <x:v>SCR-180; ROLE-310</x:v>
      </x:c>
      <x:c r="J1810" s="35" t="str"/>
      <x:c r="K1810" s="35" t="str"/>
      <x:c r="L181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0" s="35" t="str">
        <x:v>The persona can use every allowed action with only its assigned properties/relationships. Hidden or disabled actions explain why; an adjacent unauthorized persona is denied without metadata leakage.</x:v>
      </x:c>
      <x:c r="N1810" s="35" t="str">
        <x:v>Persona/experience; navigation entry; desktop or device screenshots; result state; persisted read-back; audit/history; authorized and denied network result.</x:v>
      </x:c>
      <x:c r="O1810" s="35" t="str">
        <x:v>Open the direct URL or deep link with an adjacent unauthorized persona and with stale scope; both fail closed and land safely without mutation.</x:v>
      </x:c>
      <x:c r="P1810" s="35" t="str">
        <x:v>All expected records and amounts match; no unexplained error or stale state.</x:v>
      </x:c>
    </x:row>
    <x:row r="1811">
      <x:c r="A1811" s="20" t="str">
        <x:v>RUN-20271126-08</x:v>
      </x:c>
      <x:c r="B1811" s="23" t="n">
        <x:v>46717</x:v>
      </x:c>
      <x:c r="C1811" s="32" t="n">
        <x:v>8</x:v>
      </x:c>
      <x:c r="D1811" s="20" t="str">
        <x:v>Field certification</x:v>
      </x:c>
      <x:c r="E1811" s="20" t="str">
        <x:v>Applicant / public user</x:v>
      </x:c>
      <x:c r="F1811" s="20" t="str">
        <x:v>Mobile</x:v>
      </x:c>
      <x:c r="G1811" s="20" t="str">
        <x:v>Manual field-by-field</x:v>
      </x:c>
      <x:c r="H1811" s="35" t="str">
        <x:v>Fill, save, reload, edit, and validate every declared field on features/properties/property_form_sheet.dart</x:v>
      </x:c>
      <x:c r="I1811" s="35" t="str">
        <x:v>FLD-0985; FLD-0986; FLD-0987; FLD-0988</x:v>
      </x:c>
      <x:c r="J1811" s="35" t="str"/>
      <x:c r="K1811" s="35" t="str"/>
      <x:c r="L1811" s="35" t="str">
        <x:v>Use the source-derived Field Inventory. Enter non-default realistic values in every control (_bedroomsCtrl; _bathroomsCtrl; _marketRentCtrl; _unitNumbersCtrl); submit; reload or relaunch; compare every value; edit each mutable field; verify the paired client; then run required, format, length, range, boundary, optional-null, and stale-submit checks.</x:v>
      </x:c>
      <x:c r="M1811" s="35" t="str">
        <x:v>All 4 inventoried controls persist exact normalized values, invalid values stay unsaved with clear errors, and hidden/unauthorized fields cannot be altered.</x:v>
      </x:c>
      <x:c r="N1811" s="35" t="str">
        <x:v>Before/after form screenshots; FLD IDs; API response; reloaded UI; paired-client read-back; database/audit evidence; negative validation result.</x:v>
      </x:c>
      <x:c r="O1811" s="35" t="str">
        <x:v>Use a duplicate submit and one simulated network interruption; one atomic mutation or none, never partial state.</x:v>
      </x:c>
      <x:c r="P1811" s="35" t="str">
        <x:v>All expected records and amounts match; no unexplained error or stale state.</x:v>
      </x:c>
    </x:row>
    <x:row r="1812">
      <x:c r="A1812" s="20" t="str">
        <x:v>RUN-20271126-09</x:v>
      </x:c>
      <x:c r="B1812" s="23" t="n">
        <x:v>46717</x:v>
      </x:c>
      <x:c r="C1812" s="32" t="n">
        <x:v>9</x:v>
      </x:c>
      <x:c r="D1812" s="20" t="str">
        <x:v>Surface coverage</x:v>
      </x:c>
      <x:c r="E1812" s="20" t="str">
        <x:v>Role appropriate to surface</x:v>
      </x:c>
      <x:c r="F1812" s="20" t="str">
        <x:v>Mobile</x:v>
      </x:c>
      <x:c r="G1812" s="20" t="str">
        <x:v>Manual</x:v>
      </x:c>
      <x:c r="H1812" s="35" t="str">
        <x:v>Manual mobile pass: Audit, activity, admin users, engine health</x:v>
      </x:c>
      <x:c r="I1812" s="35" t="str">
        <x:v>COV-042</x:v>
      </x:c>
      <x:c r="J1812" s="35" t="str"/>
      <x:c r="K1812" s="35" t="str"/>
      <x:c r="L1812" s="35" t="str">
        <x:v>Filter/search/page audit DB-side; change roles; deactivate user; inspect worker/provider status; prove access guards.</x:v>
      </x:c>
      <x:c r="M1812" s="35" t="str">
        <x:v>The supported workflow completes and persists correctly; if the capability is absent, the exact gap is proven and queued rather than silently skipped.</x:v>
      </x:c>
      <x:c r="N1812" s="35" t="str">
        <x:v>Real UI screenshot/state; submitted values; persisted read-back; cross-client read-back; audit/role/access evidence.</x:v>
      </x:c>
      <x:c r="O1812" s="35" t="str">
        <x:v>Use one invalid value, stale-state retry, or duplicate submission relevant to the form; no partial or duplicate mutation.</x:v>
      </x:c>
      <x:c r="P1812" s="35" t="str">
        <x:v>All expected records and amounts match; no unexplained error or stale state.</x:v>
      </x:c>
    </x:row>
    <x:row r="1813">
      <x:c r="A1813" s="20" t="str">
        <x:v>RUN-20271129-01</x:v>
      </x:c>
      <x:c r="B1813" s="23" t="n">
        <x:v>46720</x:v>
      </x:c>
      <x:c r="C1813" s="32" t="n">
        <x:v>1</x:v>
      </x:c>
      <x:c r="D1813" s="20" t="str">
        <x:v>Weekly operations</x:v>
      </x:c>
      <x:c r="E1813" s="20" t="str">
        <x:v>Property Manager</x:v>
      </x:c>
      <x:c r="F1813" s="20" t="str">
        <x:v>Web</x:v>
      </x:c>
      <x:c r="G1813" s="20" t="str">
        <x:v>Scan-first</x:v>
      </x:c>
      <x:c r="H1813" s="35" t="str">
        <x:v>Create and triage maintenance request</x:v>
      </x:c>
      <x:c r="I1813" s="35" t="str">
        <x:v>P017; U017; WO-2027-048</x:v>
      </x:c>
      <x:c r="J1813" s="35" t="str">
        <x:v>SCN-0432</x:v>
      </x:c>
      <x:c r="K1813" s="35" t="str"/>
      <x:c r="L1813" s="35" t="str">
        <x:v>Capture the tenant note/photo; review slow kitchen drain; confirm; set responsibility; dispatch SafeHome Locksmith; create an appointment and verify the tenant notification.</x:v>
      </x:c>
      <x:c r="M1813" s="35" t="str">
        <x:v>Work order, status timeline, responsibility, vendor dispatch, appointment, notification, and Unit context are linked once.</x:v>
      </x:c>
      <x:c r="N1813" s="35" t="str">
        <x:v>Scan review; work order detail/timeline; dispatch; appointment; notification; tenant portal view.</x:v>
      </x:c>
      <x:c r="O1813" s="35" t="str">
        <x:v>Cancel one dispatch each quarter, reassign once, and prove status/history remains append-only.</x:v>
      </x:c>
      <x:c r="P1813" s="35" t="str">
        <x:v>All expected records and amounts match; no unexplained error or stale state.</x:v>
      </x:c>
    </x:row>
    <x:row r="1814">
      <x:c r="A1814" s="20" t="str">
        <x:v>RUN-20271129-02</x:v>
      </x:c>
      <x:c r="B1814" s="23" t="n">
        <x:v>46720</x:v>
      </x:c>
      <x:c r="C1814" s="32" t="n">
        <x:v>2</x:v>
      </x:c>
      <x:c r="D1814" s="20" t="str">
        <x:v>Role and screen certification</x:v>
      </x:c>
      <x:c r="E1814" s="20" t="str">
        <x:v>Workspace Administrator</x:v>
      </x:c>
      <x:c r="F1814" s="20" t="str">
        <x:v>Mobile</x:v>
      </x:c>
      <x:c r="G1814" s="20" t="str">
        <x:v>Normal persona navigation</x:v>
      </x:c>
      <x:c r="H1814" s="35" t="str">
        <x:v>Use every permitted action and state on features/settings/settings_screen.dart</x:v>
      </x:c>
      <x:c r="I1814" s="35" t="str">
        <x:v>SCR-181; ROLE-311</x:v>
      </x:c>
      <x:c r="J1814" s="35" t="str"/>
      <x:c r="K1814" s="35" t="str"/>
      <x:c r="L181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4" s="35" t="str">
        <x:v>The persona can use every allowed action with only its assigned properties/relationships. Hidden or disabled actions explain why; an adjacent unauthorized persona is denied without metadata leakage.</x:v>
      </x:c>
      <x:c r="N1814" s="35" t="str">
        <x:v>Persona/experience; navigation entry; desktop or device screenshots; result state; persisted read-back; audit/history; authorized and denied network result.</x:v>
      </x:c>
      <x:c r="O1814" s="35" t="str">
        <x:v>Open the direct URL or deep link with an adjacent unauthorized persona and with stale scope; both fail closed and land safely without mutation.</x:v>
      </x:c>
      <x:c r="P1814" s="35" t="str">
        <x:v>All expected records and amounts match; no unexplained error or stale state.</x:v>
      </x:c>
    </x:row>
    <x:row r="1815">
      <x:c r="A1815" s="20" t="str">
        <x:v>RUN-20271129-03</x:v>
      </x:c>
      <x:c r="B1815" s="23" t="n">
        <x:v>46720</x:v>
      </x:c>
      <x:c r="C1815" s="32" t="n">
        <x:v>3</x:v>
      </x:c>
      <x:c r="D1815" s="20" t="str">
        <x:v>Role and screen certification</x:v>
      </x:c>
      <x:c r="E1815" s="20" t="str">
        <x:v>Property Manager</x:v>
      </x:c>
      <x:c r="F1815" s="20" t="str">
        <x:v>Mobile</x:v>
      </x:c>
      <x:c r="G1815" s="20" t="str">
        <x:v>Normal persona navigation</x:v>
      </x:c>
      <x:c r="H1815" s="35" t="str">
        <x:v>Use every permitted action and state on features/settings/settings_screen.dart</x:v>
      </x:c>
      <x:c r="I1815" s="35" t="str">
        <x:v>SCR-181; ROLE-312</x:v>
      </x:c>
      <x:c r="J1815" s="35" t="str"/>
      <x:c r="K1815" s="35" t="str"/>
      <x:c r="L181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5" s="35" t="str">
        <x:v>The persona can use every allowed action with only its assigned properties/relationships. Hidden or disabled actions explain why; an adjacent unauthorized persona is denied without metadata leakage.</x:v>
      </x:c>
      <x:c r="N1815" s="35" t="str">
        <x:v>Persona/experience; navigation entry; desktop or device screenshots; result state; persisted read-back; audit/history; authorized and denied network result.</x:v>
      </x:c>
      <x:c r="O1815" s="35" t="str">
        <x:v>Open the direct URL or deep link with an adjacent unauthorized persona and with stale scope; both fail closed and land safely without mutation.</x:v>
      </x:c>
      <x:c r="P1815" s="35" t="str">
        <x:v>All expected records and amounts match; no unexplained error or stale state.</x:v>
      </x:c>
    </x:row>
    <x:row r="1816">
      <x:c r="A1816" s="20" t="str">
        <x:v>RUN-20271129-04</x:v>
      </x:c>
      <x:c r="B1816" s="23" t="n">
        <x:v>46720</x:v>
      </x:c>
      <x:c r="C1816" s="32" t="n">
        <x:v>4</x:v>
      </x:c>
      <x:c r="D1816" s="20" t="str">
        <x:v>Role and screen certification</x:v>
      </x:c>
      <x:c r="E1816" s="20" t="str">
        <x:v>Leasing Agent</x:v>
      </x:c>
      <x:c r="F1816" s="20" t="str">
        <x:v>Mobile</x:v>
      </x:c>
      <x:c r="G1816" s="20" t="str">
        <x:v>Normal persona navigation</x:v>
      </x:c>
      <x:c r="H1816" s="35" t="str">
        <x:v>Use every permitted action and state on features/settings/settings_screen.dart</x:v>
      </x:c>
      <x:c r="I1816" s="35" t="str">
        <x:v>SCR-181; ROLE-313</x:v>
      </x:c>
      <x:c r="J1816" s="35" t="str"/>
      <x:c r="K1816" s="35" t="str"/>
      <x:c r="L181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6" s="35" t="str">
        <x:v>The persona can use every allowed action with only its assigned properties/relationships. Hidden or disabled actions explain why; an adjacent unauthorized persona is denied without metadata leakage.</x:v>
      </x:c>
      <x:c r="N1816" s="35" t="str">
        <x:v>Persona/experience; navigation entry; desktop or device screenshots; result state; persisted read-back; audit/history; authorized and denied network result.</x:v>
      </x:c>
      <x:c r="O1816" s="35" t="str">
        <x:v>Open the direct URL or deep link with an adjacent unauthorized persona and with stale scope; both fail closed and land safely without mutation.</x:v>
      </x:c>
      <x:c r="P1816" s="35" t="str">
        <x:v>All expected records and amounts match; no unexplained error or stale state.</x:v>
      </x:c>
    </x:row>
    <x:row r="1817">
      <x:c r="A1817" s="20" t="str">
        <x:v>RUN-20271129-05</x:v>
      </x:c>
      <x:c r="B1817" s="23" t="n">
        <x:v>46720</x:v>
      </x:c>
      <x:c r="C1817" s="32" t="n">
        <x:v>5</x:v>
      </x:c>
      <x:c r="D1817" s="20" t="str">
        <x:v>Role and screen certification</x:v>
      </x:c>
      <x:c r="E1817" s="20" t="str">
        <x:v>Maintenance Technician</x:v>
      </x:c>
      <x:c r="F1817" s="20" t="str">
        <x:v>Mobile</x:v>
      </x:c>
      <x:c r="G1817" s="20" t="str">
        <x:v>Normal persona navigation</x:v>
      </x:c>
      <x:c r="H1817" s="35" t="str">
        <x:v>Use every permitted action and state on features/settings/settings_screen.dart</x:v>
      </x:c>
      <x:c r="I1817" s="35" t="str">
        <x:v>SCR-181; ROLE-314</x:v>
      </x:c>
      <x:c r="J1817" s="35" t="str"/>
      <x:c r="K1817" s="35" t="str"/>
      <x:c r="L181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7" s="35" t="str">
        <x:v>The persona can use every allowed action with only its assigned properties/relationships. Hidden or disabled actions explain why; an adjacent unauthorized persona is denied without metadata leakage.</x:v>
      </x:c>
      <x:c r="N1817" s="35" t="str">
        <x:v>Persona/experience; navigation entry; desktop or device screenshots; result state; persisted read-back; audit/history; authorized and denied network result.</x:v>
      </x:c>
      <x:c r="O1817" s="35" t="str">
        <x:v>Open the direct URL or deep link with an adjacent unauthorized persona and with stale scope; both fail closed and land safely without mutation.</x:v>
      </x:c>
      <x:c r="P1817" s="35" t="str">
        <x:v>All expected records and amounts match; no unexplained error or stale state.</x:v>
      </x:c>
    </x:row>
    <x:row r="1818">
      <x:c r="A1818" s="20" t="str">
        <x:v>RUN-20271129-06</x:v>
      </x:c>
      <x:c r="B1818" s="23" t="n">
        <x:v>46720</x:v>
      </x:c>
      <x:c r="C1818" s="32" t="n">
        <x:v>6</x:v>
      </x:c>
      <x:c r="D1818" s="20" t="str">
        <x:v>Role and screen certification</x:v>
      </x:c>
      <x:c r="E1818" s="20" t="str">
        <x:v>Owner</x:v>
      </x:c>
      <x:c r="F1818" s="20" t="str">
        <x:v>Mobile</x:v>
      </x:c>
      <x:c r="G1818" s="20" t="str">
        <x:v>Normal persona navigation</x:v>
      </x:c>
      <x:c r="H1818" s="35" t="str">
        <x:v>Use every permitted action and state on features/settings/settings_screen.dart</x:v>
      </x:c>
      <x:c r="I1818" s="35" t="str">
        <x:v>SCR-181; ROLE-315</x:v>
      </x:c>
      <x:c r="J1818" s="35" t="str"/>
      <x:c r="K1818" s="35" t="str"/>
      <x:c r="L181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8" s="35" t="str">
        <x:v>The persona can use every allowed action with only its assigned properties/relationships. Hidden or disabled actions explain why; an adjacent unauthorized persona is denied without metadata leakage.</x:v>
      </x:c>
      <x:c r="N1818" s="35" t="str">
        <x:v>Persona/experience; navigation entry; desktop or device screenshots; result state; persisted read-back; audit/history; authorized and denied network result.</x:v>
      </x:c>
      <x:c r="O1818" s="35" t="str">
        <x:v>Open the direct URL or deep link with an adjacent unauthorized persona and with stale scope; both fail closed and land safely without mutation.</x:v>
      </x:c>
      <x:c r="P1818" s="35" t="str">
        <x:v>All expected records and amounts match; no unexplained error or stale state.</x:v>
      </x:c>
    </x:row>
    <x:row r="1819">
      <x:c r="A1819" s="20" t="str">
        <x:v>RUN-20271129-07</x:v>
      </x:c>
      <x:c r="B1819" s="23" t="n">
        <x:v>46720</x:v>
      </x:c>
      <x:c r="C1819" s="32" t="n">
        <x:v>7</x:v>
      </x:c>
      <x:c r="D1819" s="20" t="str">
        <x:v>Role and screen certification</x:v>
      </x:c>
      <x:c r="E1819" s="20" t="str">
        <x:v>Tenant</x:v>
      </x:c>
      <x:c r="F1819" s="20" t="str">
        <x:v>Mobile</x:v>
      </x:c>
      <x:c r="G1819" s="20" t="str">
        <x:v>Normal persona navigation</x:v>
      </x:c>
      <x:c r="H1819" s="35" t="str">
        <x:v>Use every permitted action and state on features/settings/settings_screen.dart</x:v>
      </x:c>
      <x:c r="I1819" s="35" t="str">
        <x:v>SCR-181; ROLE-316</x:v>
      </x:c>
      <x:c r="J1819" s="35" t="str"/>
      <x:c r="K1819" s="35" t="str"/>
      <x:c r="L181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19" s="35" t="str">
        <x:v>The persona can use every allowed action with only its assigned properties/relationships. Hidden or disabled actions explain why; an adjacent unauthorized persona is denied without metadata leakage.</x:v>
      </x:c>
      <x:c r="N1819" s="35" t="str">
        <x:v>Persona/experience; navigation entry; desktop or device screenshots; result state; persisted read-back; audit/history; authorized and denied network result.</x:v>
      </x:c>
      <x:c r="O1819" s="35" t="str">
        <x:v>Open the direct URL or deep link with an adjacent unauthorized persona and with stale scope; both fail closed and land safely without mutation.</x:v>
      </x:c>
      <x:c r="P1819" s="35" t="str">
        <x:v>All expected records and amounts match; no unexplained error or stale state.</x:v>
      </x:c>
    </x:row>
    <x:row r="1820">
      <x:c r="A1820" s="20" t="str">
        <x:v>RUN-20271129-08</x:v>
      </x:c>
      <x:c r="B1820" s="23" t="n">
        <x:v>46720</x:v>
      </x:c>
      <x:c r="C1820" s="32" t="n">
        <x:v>8</x:v>
      </x:c>
      <x:c r="D1820" s="20" t="str">
        <x:v>Field certification</x:v>
      </x:c>
      <x:c r="E1820" s="20" t="str">
        <x:v>Applicant / public user</x:v>
      </x:c>
      <x:c r="F1820" s="20" t="str">
        <x:v>Mobile</x:v>
      </x:c>
      <x:c r="G1820" s="20" t="str">
        <x:v>Manual field-by-field</x:v>
      </x:c>
      <x:c r="H1820" s="35" t="str">
        <x:v>Fill, save, reload, edit, and validate every declared field on features/properties/property_form_sheet.dart</x:v>
      </x:c>
      <x:c r="I1820" s="35" t="str">
        <x:v>FLD-0989; FLD-0990; FLD-0991; FLD-0992; FLD-0993</x:v>
      </x:c>
      <x:c r="J1820" s="35" t="str"/>
      <x:c r="K1820" s="35" t="str"/>
      <x:c r="L1820" s="35" t="str">
        <x:v>Use the source-derived Field Inventory. Enter non-default realistic values in every control (_address2Ctrl; _cityCtrl; _stateCtrl; _zipCtrl; _yearBuiltCtrl); submit; reload or relaunch; compare every value; edit each mutable field; verify the paired client; then run required, format, length, range, boundary, optional-null, and stale-submit checks.</x:v>
      </x:c>
      <x:c r="M1820" s="35" t="str">
        <x:v>All 5 inventoried controls persist exact normalized values, invalid values stay unsaved with clear errors, and hidden/unauthorized fields cannot be altered.</x:v>
      </x:c>
      <x:c r="N1820" s="35" t="str">
        <x:v>Before/after form screenshots; FLD IDs; API response; reloaded UI; paired-client read-back; database/audit evidence; negative validation result.</x:v>
      </x:c>
      <x:c r="O1820" s="35" t="str">
        <x:v>Use a duplicate submit and one simulated network interruption; one atomic mutation or none, never partial state.</x:v>
      </x:c>
      <x:c r="P1820" s="35" t="str">
        <x:v>All expected records and amounts match; no unexplained error or stale state.</x:v>
      </x:c>
    </x:row>
    <x:row r="1821">
      <x:c r="A1821" s="20" t="str">
        <x:v>RUN-20271130-01</x:v>
      </x:c>
      <x:c r="B1821" s="23" t="n">
        <x:v>46721</x:v>
      </x:c>
      <x:c r="C1821" s="32" t="n">
        <x:v>1</x:v>
      </x:c>
      <x:c r="D1821" s="20" t="str">
        <x:v>Weekly operations</x:v>
      </x:c>
      <x:c r="E1821" s="20" t="str">
        <x:v>Property Manager</x:v>
      </x:c>
      <x:c r="F1821" s="20" t="str">
        <x:v>Web</x:v>
      </x:c>
      <x:c r="G1821" s="20" t="str">
        <x:v>Scanned receipt/invoice</x:v>
      </x:c>
      <x:c r="H1821" s="35" t="str">
        <x:v>Record, review, allocate, and pay operating expense</x:v>
      </x:c>
      <x:c r="I1821" s="35" t="str">
        <x:v>P017; U017; WO-2027-048</x:v>
      </x:c>
      <x:c r="J1821" s="35" t="str">
        <x:v>SCN-0433</x:v>
      </x:c>
      <x:c r="K1821" s="35" t="str">
        <x:v>FIN-01071</x:v>
      </x:c>
      <x:c r="L1821" s="35" t="str">
        <x:v>Capture or upload the source; verify vendor, date, scope, category, line items, tax, amount, and work-order link; confirm; open detail; verify attachment; compare Money and Property/Unit views.</x:v>
      </x:c>
      <x:c r="M1821" s="35" t="str">
        <x:v>One expense exists at its real operational scope, cash falls once, Schedule E category and allocations agree, and no per-unit copies are created.</x:v>
      </x:c>
      <x:c r="N1821" s="35" t="str">
        <x:v>Source preview; review/form; expense detail; line items; Property/Unit ledger; audit; accounting/report delta.</x:v>
      </x:c>
      <x:c r="O1821" s="35" t="str">
        <x:v>On marked duplicate-invoice cases, re-upload before confirm and prove the product prevents or clearly warns about duplication.</x:v>
      </x:c>
      <x:c r="P1821" s="35" t="str">
        <x:v>All expected records and amounts match; no unexplained error or stale state.</x:v>
      </x:c>
    </x:row>
    <x:row r="1822">
      <x:c r="A1822" s="20" t="str">
        <x:v>RUN-20271130-02</x:v>
      </x:c>
      <x:c r="B1822" s="23" t="n">
        <x:v>46721</x:v>
      </x:c>
      <x:c r="C1822" s="32" t="n">
        <x:v>2</x:v>
      </x:c>
      <x:c r="D1822" s="20" t="str">
        <x:v>Monthly close</x:v>
      </x:c>
      <x:c r="E1822" s="20" t="str">
        <x:v>Workspace Administrator</x:v>
      </x:c>
      <x:c r="F1822" s="20" t="str">
        <x:v>Web + Mobile</x:v>
      </x:c>
      <x:c r="G1822" s="20" t="str">
        <x:v>Scan/import + reconciliation</x:v>
      </x:c>
      <x:c r="H1822" s="35" t="str">
        <x:v>November bank reconciliation and close</x:v>
      </x:c>
      <x:c r="I1822" s="35" t="str">
        <x:v>Operating account 4242; deposit trust account 1818; reserve account 7070</x:v>
      </x:c>
      <x:c r="J1822" s="35" t="str">
        <x:v>SCN-0759</x:v>
      </x:c>
      <x:c r="K1822" s="35" t="str"/>
      <x:c r="L1822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822" s="35" t="str">
        <x:v>Bank ending cash, AR, deposit trust/liability, loan balance, income, expense, and net operating result match the oracle with zero unexplained variance.</x:v>
      </x:c>
      <x:c r="N1822" s="35" t="str">
        <x:v>Bank reconciliation; accounting summary; P&amp;L; cash flow; rent roll/ledger; deposits; delinquency; owner statements; audit export.</x:v>
      </x:c>
      <x:c r="O1822" s="35" t="str">
        <x:v>Try one duplicate bank transaction and one date-filter boundary; prove DB-side totals and idempotent matching.</x:v>
      </x:c>
      <x:c r="P1822" s="35" t="str">
        <x:v>All monthly checks are OK or a reproducible bug is captured before advancing the clock.</x:v>
      </x:c>
    </x:row>
    <x:row r="1823">
      <x:c r="A1823" s="20" t="str">
        <x:v>RUN-20271130-03</x:v>
      </x:c>
      <x:c r="B1823" s="23" t="n">
        <x:v>46721</x:v>
      </x:c>
      <x:c r="C1823" s="32" t="n">
        <x:v>3</x:v>
      </x:c>
      <x:c r="D1823" s="20" t="str">
        <x:v>Lease ending</x:v>
      </x:c>
      <x:c r="E1823" s="20" t="str">
        <x:v>Property Manager + Maintenance Technician</x:v>
      </x:c>
      <x:c r="F1823" s="20" t="str">
        <x:v>Mobile + Web</x:v>
      </x:c>
      <x:c r="G1823" s="20" t="str">
        <x:v>Manual inspection + scanned report</x:v>
      </x:c>
      <x:c r="H1823" s="35" t="str">
        <x:v>Return possession, inspect, and open turnover</x:v>
      </x:c>
      <x:c r="I1823" s="35" t="str">
        <x:v>L034; U034</x:v>
      </x:c>
      <x:c r="J1823" s="35" t="str">
        <x:v>SCN-0946</x:v>
      </x:c>
      <x:c r="K1823" s="35" t="str"/>
      <x:c r="L1823" s="35" t="str">
        <x:v>Complete the move-out inspection on mobile; attach/report on web; record keys and possession returned; open turnover tasks; separate normal wear from chargeable damage.</x:v>
      </x:c>
      <x:c r="M1823" s="35" t="str">
        <x:v>Possession closes once, Unit becomes Turnover/Vacant as appropriate, inspection freezes after completion, and linked work orders appear.</x:v>
      </x:c>
      <x:c r="N1823" s="35" t="str">
        <x:v>Inspection checklist/report/photos; possession event; turnover workspace; occupancy and lease-expiration reports.</x:v>
      </x:c>
      <x:c r="O1823" s="35" t="str">
        <x:v>Try editing a completed inspection and returning possession twice; both are rejected without partial changes.</x:v>
      </x:c>
      <x:c r="P1823" s="35" t="str">
        <x:v>All expected records and amounts match; no unexplained error or stale state.</x:v>
      </x:c>
    </x:row>
    <x:row r="1824">
      <x:c r="A1824" s="20" t="str">
        <x:v>RUN-20271130-04</x:v>
      </x:c>
      <x:c r="B1824" s="23" t="n">
        <x:v>46721</x:v>
      </x:c>
      <x:c r="C1824" s="32" t="n">
        <x:v>4</x:v>
      </x:c>
      <x:c r="D1824" s="20" t="str">
        <x:v>Field certification</x:v>
      </x:c>
      <x:c r="E1824" s="20" t="str">
        <x:v>Applicant / public user</x:v>
      </x:c>
      <x:c r="F1824" s="20" t="str">
        <x:v>Mobile</x:v>
      </x:c>
      <x:c r="G1824" s="20" t="str">
        <x:v>Manual field-by-field</x:v>
      </x:c>
      <x:c r="H1824" s="35" t="str">
        <x:v>Fill, save, reload, edit, and validate every declared field on features/properties/property_form_sheet.dart</x:v>
      </x:c>
      <x:c r="I1824" s="35" t="str">
        <x:v>FLD-0994; FLD-0995; FLD-0996; FLD-0997</x:v>
      </x:c>
      <x:c r="J1824" s="35" t="str"/>
      <x:c r="K1824" s="35" t="str"/>
      <x:c r="L1824" s="35" t="str">
        <x:v>Use the source-derived Field Inventory. Enter non-default realistic values in every control (_managementFeeCtrl; _notesCtrl; _purchasePriceCtrl; _landValueCtrl); submit; reload or relaunch; compare every value; edit each mutable field; verify the paired client; then run required, format, length, range, boundary, optional-null, and stale-submit checks.</x:v>
      </x:c>
      <x:c r="M1824" s="35" t="str">
        <x:v>All 4 inventoried controls persist exact normalized values, invalid values stay unsaved with clear errors, and hidden/unauthorized fields cannot be altered.</x:v>
      </x:c>
      <x:c r="N1824" s="35" t="str">
        <x:v>Before/after form screenshots; FLD IDs; API response; reloaded UI; paired-client read-back; database/audit evidence; negative validation result.</x:v>
      </x:c>
      <x:c r="O1824" s="35" t="str">
        <x:v>Use a duplicate submit and one simulated network interruption; one atomic mutation or none, never partial state.</x:v>
      </x:c>
      <x:c r="P1824" s="35" t="str">
        <x:v>All expected records and amounts match; no unexplained error or stale state.</x:v>
      </x:c>
    </x:row>
    <x:row r="1825">
      <x:c r="A1825" s="20" t="str">
        <x:v>RUN-20271201-01</x:v>
      </x:c>
      <x:c r="B1825" s="23" t="n">
        <x:v>46722</x:v>
      </x:c>
      <x:c r="C1825" s="32" t="n">
        <x:v>1</x:v>
      </x:c>
      <x:c r="D1825" s="20" t="str">
        <x:v>Monthly operations</x:v>
      </x:c>
      <x:c r="E1825" s="20" t="str">
        <x:v>Workspace Administrator</x:v>
      </x:c>
      <x:c r="F1825" s="20" t="str">
        <x:v>Web + Mobile</x:v>
      </x:c>
      <x:c r="G1825" s="20" t="str">
        <x:v>System automation + reconciliation</x:v>
      </x:c>
      <x:c r="H1825" s="35" t="str">
        <x:v>December recurring rent generation</x:v>
      </x:c>
      <x:c r="I1825" s="35" t="str">
        <x:v>38 active tenant accounts</x:v>
      </x:c>
      <x:c r="J1825" s="35" t="str"/>
      <x:c r="K1825" s="35" t="str">
        <x:v>FIN-00939; FIN-00941; FIN-00943; FIN-00945; FIN-00947; FIN-00949; FIN-00951; FIN-00953; FIN-00957; FIN-00959; FIN-00962; FIN-00964; FIN-00966; FIN-00968; FIN-00970; FIN-00972; FIN-00974; FIN-00976; FIN-00978; FIN-00980; FIN-00983; FIN-00985; FIN-00987; FIN-00989; FIN-00991; FIN-00993; FIN-00995; FIN-00999; FIN-01001; FIN-01003; FIN-01005; FIN-01007; FIN-01010; FIN-01012; FIN-01014; FIN-01016; FIN-01018; FIN-01022</x:v>
      </x:c>
      <x:c r="L1825" s="35" t="str">
        <x:v>Advance the simulation clock to 08:00 local; run or wait for scheduled finance worker; compare generated charges to active governing agreements, start dates, proration, and unique billing-period keys.</x:v>
      </x:c>
      <x:c r="M1825" s="35" t="str">
        <x:v>Exactly 38 rent charges are posted once; mid-month starts prorate; ended leases do not receive future charges.</x:v>
      </x:c>
      <x:c r="N1825" s="35" t="str">
        <x:v>Worker status; charge list; month rent-roll export; sampled Unit/Lease/portal balances; SQL query evidence.</x:v>
      </x:c>
      <x:c r="O1825" s="35" t="str">
        <x:v>Run the finance worker a second time and prove no duplicate charge; inject one failure and prove charge/audit/outbox atomic rollback.</x:v>
      </x:c>
      <x:c r="P1825" s="35" t="str">
        <x:v>All expected records and amounts match; no unexplained error or stale state.</x:v>
      </x:c>
    </x:row>
    <x:row r="1826">
      <x:c r="A1826" s="20" t="str">
        <x:v>RUN-20271201-02</x:v>
      </x:c>
      <x:c r="B1826" s="23" t="n">
        <x:v>46722</x:v>
      </x:c>
      <x:c r="C1826" s="32" t="n">
        <x:v>2</x:v>
      </x:c>
      <x:c r="D1826" s="20" t="str">
        <x:v>Role and screen certification</x:v>
      </x:c>
      <x:c r="E1826" s="20" t="str">
        <x:v>Workspace Administrator</x:v>
      </x:c>
      <x:c r="F1826" s="20" t="str">
        <x:v>Mobile</x:v>
      </x:c>
      <x:c r="G1826" s="20" t="str">
        <x:v>Normal persona navigation</x:v>
      </x:c>
      <x:c r="H1826" s="35" t="str">
        <x:v>Use every permitted action and state on features/settings/team_routing_screen.dart</x:v>
      </x:c>
      <x:c r="I1826" s="35" t="str">
        <x:v>SCR-182; ROLE-317</x:v>
      </x:c>
      <x:c r="J1826" s="35" t="str"/>
      <x:c r="K1826" s="35" t="str"/>
      <x:c r="L1826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26" s="35" t="str">
        <x:v>The persona can use every allowed action with only its assigned properties/relationships. Hidden or disabled actions explain why; an adjacent unauthorized persona is denied without metadata leakage.</x:v>
      </x:c>
      <x:c r="N1826" s="35" t="str">
        <x:v>Persona/experience; navigation entry; desktop or device screenshots; result state; persisted read-back; audit/history; authorized and denied network result.</x:v>
      </x:c>
      <x:c r="O1826" s="35" t="str">
        <x:v>Open the direct URL or deep link with an adjacent unauthorized persona and with stale scope; both fail closed and land safely without mutation.</x:v>
      </x:c>
      <x:c r="P1826" s="35" t="str">
        <x:v>All expected records and amounts match; no unexplained error or stale state.</x:v>
      </x:c>
    </x:row>
    <x:row r="1827">
      <x:c r="A1827" s="20" t="str">
        <x:v>RUN-20271201-03</x:v>
      </x:c>
      <x:c r="B1827" s="23" t="n">
        <x:v>46722</x:v>
      </x:c>
      <x:c r="C1827" s="32" t="n">
        <x:v>3</x:v>
      </x:c>
      <x:c r="D1827" s="20" t="str">
        <x:v>Field certification</x:v>
      </x:c>
      <x:c r="E1827" s="20" t="str">
        <x:v>Applicant / public user</x:v>
      </x:c>
      <x:c r="F1827" s="20" t="str">
        <x:v>Mobile</x:v>
      </x:c>
      <x:c r="G1827" s="20" t="str">
        <x:v>Manual field-by-field</x:v>
      </x:c>
      <x:c r="H1827" s="35" t="str">
        <x:v>Fill, save, reload, edit, and validate every declared field on features/properties/property_form_sheet.dart</x:v>
      </x:c>
      <x:c r="I1827" s="35" t="str">
        <x:v>FLD-0998; FLD-0999</x:v>
      </x:c>
      <x:c r="J1827" s="35" t="str"/>
      <x:c r="K1827" s="35" t="str"/>
      <x:c r="L1827" s="35" t="str">
        <x:v>Use the source-derived Field Inventory. Enter non-default realistic values in every control (_inServiceDateCtrl; _manualDepreciationCtrl); submit; reload or relaunch; compare every value; edit each mutable field; verify the paired client; then run required, format, length, range, boundary, optional-null, and stale-submit checks.</x:v>
      </x:c>
      <x:c r="M1827" s="35" t="str">
        <x:v>All 2 inventoried controls persist exact normalized values, invalid values stay unsaved with clear errors, and hidden/unauthorized fields cannot be altered.</x:v>
      </x:c>
      <x:c r="N1827" s="35" t="str">
        <x:v>Before/after form screenshots; FLD IDs; API response; reloaded UI; paired-client read-back; database/audit evidence; negative validation result.</x:v>
      </x:c>
      <x:c r="O1827" s="35" t="str">
        <x:v>Use a duplicate submit and one simulated network interruption; one atomic mutation or none, never partial state.</x:v>
      </x:c>
      <x:c r="P1827" s="35" t="str">
        <x:v>All expected records and amounts match; no unexplained error or stale state.</x:v>
      </x:c>
    </x:row>
    <x:row r="1828">
      <x:c r="A1828" s="20" t="str">
        <x:v>RUN-20271201-04</x:v>
      </x:c>
      <x:c r="B1828" s="23" t="n">
        <x:v>46722</x:v>
      </x:c>
      <x:c r="C1828" s="32" t="n">
        <x:v>4</x:v>
      </x:c>
      <x:c r="D1828" s="20" t="str">
        <x:v>Field certification</x:v>
      </x:c>
      <x:c r="E1828" s="20" t="str">
        <x:v>Applicant / public user</x:v>
      </x:c>
      <x:c r="F1828" s="20" t="str">
        <x:v>Mobile</x:v>
      </x:c>
      <x:c r="G1828" s="20" t="str">
        <x:v>Manual field-by-field</x:v>
      </x:c>
      <x:c r="H1828" s="35" t="str">
        <x:v>Fill, save, reload, edit, and validate every declared field on features/properties/property_loan_form_sheet.dart</x:v>
      </x:c>
      <x:c r="I1828" s="35" t="str">
        <x:v>FLD-1000; FLD-1001</x:v>
      </x:c>
      <x:c r="J1828" s="35" t="str"/>
      <x:c r="K1828" s="35" t="str"/>
      <x:c r="L1828" s="35" t="str">
        <x:v>Use the source-derived Field Inventory. Enter non-default realistic values in every control (_lenderCtrl; _rateCtrl); submit; reload or relaunch; compare every value; edit each mutable field; verify the paired client; then run required, format, length, range, boundary, optional-null, and stale-submit checks.</x:v>
      </x:c>
      <x:c r="M1828" s="35" t="str">
        <x:v>All 2 inventoried controls persist exact normalized values, invalid values stay unsaved with clear errors, and hidden/unauthorized fields cannot be altered.</x:v>
      </x:c>
      <x:c r="N1828" s="35" t="str">
        <x:v>Before/after form screenshots; FLD IDs; API response; reloaded UI; paired-client read-back; database/audit evidence; negative validation result.</x:v>
      </x:c>
      <x:c r="O1828" s="35" t="str">
        <x:v>Use a duplicate submit and one simulated network interruption; one atomic mutation or none, never partial state.</x:v>
      </x:c>
      <x:c r="P1828" s="35" t="str">
        <x:v>All expected records and amounts match; no unexplained error or stale state.</x:v>
      </x:c>
    </x:row>
    <x:row r="1829">
      <x:c r="A1829" s="20" t="str">
        <x:v>RUN-20271201-05</x:v>
      </x:c>
      <x:c r="B1829" s="23" t="n">
        <x:v>46722</x:v>
      </x:c>
      <x:c r="C1829" s="32" t="n">
        <x:v>5</x:v>
      </x:c>
      <x:c r="D1829" s="20" t="str">
        <x:v>Lifecycle certification</x:v>
      </x:c>
      <x:c r="E1829" s="20" t="str">
        <x:v>Workspace Administrator</x:v>
      </x:c>
      <x:c r="F1829" s="20" t="str">
        <x:v>Web + Mobile</x:v>
      </x:c>
      <x:c r="G1829" s="20" t="str">
        <x:v>Manual + scan/attachment where supported</x:v>
      </x:c>
      <x:c r="H1829" s="35" t="str">
        <x:v>Complete the full create/read/edit/lifecycle/delete-safe pass for Team member/assignment</x:v>
      </x:c>
      <x:c r="I1829" s="35" t="str">
        <x:v>CRUD-032</x:v>
      </x:c>
      <x:c r="J1829" s="35" t="str"/>
      <x:c r="K1829" s="35" t="str"/>
      <x:c r="L1829" s="35" t="str">
        <x:v>Use a dedicated disposable QA record and execute: invite; activate; job; property scope; accept/decline; edit; revoke/deactivate. Fill every field referenced by field-inventory.csv. Verify confirmation copy, cancel path, final path, reload, other-client state, history, and role denial.</x:v>
      </x:c>
      <x:c r="M1829" s="35" t="str">
        <x:v>Every supported transition succeeds exactly once; forbidden destructive actions are guarded; reversible deletion/deactivation works; financial and historical truth is preserved.</x:v>
      </x:c>
      <x:c r="N1829" s="35" t="str">
        <x:v>Entity before/after; both clients; all FLD IDs; audit/history; notifications; authorized and unauthorized personas; API/DB state.</x:v>
      </x:c>
      <x:c r="O1829" s="35" t="str">
        <x:v>Cancel the first destructive confirmation, then repeat and confirm; retry the mutation once; no double transition or orphan.</x:v>
      </x:c>
      <x:c r="P1829" s="35" t="str">
        <x:v>All expected records and amounts match; no unexplained error or stale state.</x:v>
      </x:c>
    </x:row>
    <x:row r="1830">
      <x:c r="A1830" s="20" t="str">
        <x:v>RUN-20271202-01</x:v>
      </x:c>
      <x:c r="B1830" s="23" t="n">
        <x:v>46723</x:v>
      </x:c>
      <x:c r="C1830" s="32" t="n">
        <x:v>1</x:v>
      </x:c>
      <x:c r="D1830" s="20" t="str">
        <x:v>Role and screen certification</x:v>
      </x:c>
      <x:c r="E1830" s="20" t="str">
        <x:v>Workspace Administrator</x:v>
      </x:c>
      <x:c r="F1830" s="20" t="str">
        <x:v>Mobile</x:v>
      </x:c>
      <x:c r="G1830" s="20" t="str">
        <x:v>Normal persona navigation</x:v>
      </x:c>
      <x:c r="H1830" s="35" t="str">
        <x:v>Use every permitted action and state on features/settings/tenant_notices_screen.dart</x:v>
      </x:c>
      <x:c r="I1830" s="35" t="str">
        <x:v>SCR-183; ROLE-318</x:v>
      </x:c>
      <x:c r="J1830" s="35" t="str"/>
      <x:c r="K1830" s="35" t="str"/>
      <x:c r="L183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30" s="35" t="str">
        <x:v>The persona can use every allowed action with only its assigned properties/relationships. Hidden or disabled actions explain why; an adjacent unauthorized persona is denied without metadata leakage.</x:v>
      </x:c>
      <x:c r="N1830" s="35" t="str">
        <x:v>Persona/experience; navigation entry; desktop or device screenshots; result state; persisted read-back; audit/history; authorized and denied network result.</x:v>
      </x:c>
      <x:c r="O1830" s="35" t="str">
        <x:v>Open the direct URL or deep link with an adjacent unauthorized persona and with stale scope; both fail closed and land safely without mutation.</x:v>
      </x:c>
      <x:c r="P1830" s="35" t="str">
        <x:v>All expected records and amounts match; no unexplained error or stale state.</x:v>
      </x:c>
    </x:row>
    <x:row r="1831">
      <x:c r="A1831" s="20" t="str">
        <x:v>RUN-20271202-02</x:v>
      </x:c>
      <x:c r="B1831" s="23" t="n">
        <x:v>46723</x:v>
      </x:c>
      <x:c r="C1831" s="32" t="n">
        <x:v>2</x:v>
      </x:c>
      <x:c r="D1831" s="20" t="str">
        <x:v>Field certification</x:v>
      </x:c>
      <x:c r="E1831" s="20" t="str">
        <x:v>Applicant / public user</x:v>
      </x:c>
      <x:c r="F1831" s="20" t="str">
        <x:v>Mobile</x:v>
      </x:c>
      <x:c r="G1831" s="20" t="str">
        <x:v>Manual field-by-field</x:v>
      </x:c>
      <x:c r="H1831" s="35" t="str">
        <x:v>Fill, save, reload, edit, and validate every declared field on features/properties/property_loan_form_sheet.dart</x:v>
      </x:c>
      <x:c r="I1831" s="35" t="str">
        <x:v>FLD-1002; FLD-1003; FLD-1004; FLD-1005; FLD-1006</x:v>
      </x:c>
      <x:c r="J1831" s="35" t="str"/>
      <x:c r="K1831" s="35" t="str"/>
      <x:c r="L1831" s="35" t="str">
        <x:v>Use the source-derived Field Inventory. Enter non-default realistic values in every control (_termCtrl; _startDateCtrl; _dayDueCtrl; _notesCtrl; controller); submit; reload or relaunch; compare every value; edit each mutable field; verify the paired client; then run required, format, length, range, boundary, optional-null, and stale-submit checks.</x:v>
      </x:c>
      <x:c r="M1831" s="35" t="str">
        <x:v>All 5 inventoried controls persist exact normalized values, invalid values stay unsaved with clear errors, and hidden/unauthorized fields cannot be altered.</x:v>
      </x:c>
      <x:c r="N1831" s="35" t="str">
        <x:v>Before/after form screenshots; FLD IDs; API response; reloaded UI; paired-client read-back; database/audit evidence; negative validation result.</x:v>
      </x:c>
      <x:c r="O1831" s="35" t="str">
        <x:v>Use a duplicate submit and one simulated network interruption; one atomic mutation or none, never partial state.</x:v>
      </x:c>
      <x:c r="P1831" s="35" t="str">
        <x:v>All expected records and amounts match; no unexplained error or stale state.</x:v>
      </x:c>
    </x:row>
    <x:row r="1832">
      <x:c r="A1832" s="20" t="str">
        <x:v>RUN-20271202-03</x:v>
      </x:c>
      <x:c r="B1832" s="23" t="n">
        <x:v>46723</x:v>
      </x:c>
      <x:c r="C1832" s="32" t="n">
        <x:v>3</x:v>
      </x:c>
      <x:c r="D1832" s="20" t="str">
        <x:v>Notification certification</x:v>
      </x:c>
      <x:c r="E1832" s="20" t="str">
        <x:v>Account owner</x:v>
      </x:c>
      <x:c r="F1832" s="20" t="str">
        <x:v>Web + Mobile</x:v>
      </x:c>
      <x:c r="G1832" s="20" t="str">
        <x:v>System event + preference/manual verification</x:v>
      </x:c>
      <x:c r="H1832" s="35" t="str">
        <x:v>Trigger and prove notification: Session revoked</x:v>
      </x:c>
      <x:c r="I1832" s="35" t="str">
        <x:v>NTF-046</x:v>
      </x:c>
      <x:c r="J1832" s="35" t="str"/>
      <x:c r="K1832" s="35" t="str"/>
      <x:c r="L1832" s="35" t="str">
        <x:v>Set each recipient's preferences; trigger the real business event; inspect routing and recipient scope; verify unread badge, list item, safe preview, login deep link, mark-read sync, configured channel outcome, provider failure/retry, and duplicate suppression.</x:v>
      </x:c>
      <x:c r="M1832" s="35" t="str">
        <x:v>Exactly the intended recipients receive one correctly routed notification; disabled optional channels stay silent; deep link opens authorized context; read state synchronizes.</x:v>
      </x:c>
      <x:c r="N1832" s="35" t="str">
        <x:v>Trigger record; routing decision; outbox/delivery status; web/mobile inbox; lock-screen-safe copy; deep-link target; audit/provider retry evidence.</x:v>
      </x:c>
      <x:c r="O1832" s="35" t="str">
        <x:v>Re-run the worker and deliver a duplicate provider callback; no duplicate user-visible event. Attempt the deep link as an unauthorized adjacent role.</x:v>
      </x:c>
      <x:c r="P1832" s="35" t="str">
        <x:v>All expected records and amounts match; no unexplained error or stale state.</x:v>
      </x:c>
    </x:row>
    <x:row r="1833">
      <x:c r="A1833" s="20" t="str">
        <x:v>RUN-20271202-04</x:v>
      </x:c>
      <x:c r="B1833" s="23" t="n">
        <x:v>46723</x:v>
      </x:c>
      <x:c r="C1833" s="32" t="n">
        <x:v>4</x:v>
      </x:c>
      <x:c r="D1833" s="20" t="str">
        <x:v>Surface coverage</x:v>
      </x:c>
      <x:c r="E1833" s="20" t="str">
        <x:v>Role appropriate to surface</x:v>
      </x:c>
      <x:c r="F1833" s="20" t="str">
        <x:v>Web</x:v>
      </x:c>
      <x:c r="G1833" s="20" t="str">
        <x:v>Manual</x:v>
      </x:c>
      <x:c r="H1833" s="35" t="str">
        <x:v>Manual web pass: Tenant home/account/payments/lease</x:v>
      </x:c>
      <x:c r="I1833" s="35" t="str">
        <x:v>COV-043</x:v>
      </x:c>
      <x:c r="J1833" s="35" t="str"/>
      <x:c r="K1833" s="35" t="str"/>
      <x:c r="L1833" s="35" t="str">
        <x:v>View balance/ledger/receipt, pay in test mode, view/sign/download lease, profile/account, and multiple/historical lease behavior.</x:v>
      </x:c>
      <x:c r="M1833" s="35" t="str">
        <x:v>The supported workflow completes and persists correctly; if the capability is absent, the exact gap is proven and queued rather than silently skipped.</x:v>
      </x:c>
      <x:c r="N1833" s="35" t="str">
        <x:v>Real UI screenshot/state; submitted values; persisted read-back; cross-client read-back; audit/role/access evidence.</x:v>
      </x:c>
      <x:c r="O1833" s="35" t="str">
        <x:v>Use one invalid value, stale-state retry, or duplicate submission relevant to the form; no partial or duplicate mutation.</x:v>
      </x:c>
      <x:c r="P1833" s="35" t="str">
        <x:v>All expected records and amounts match; no unexplained error or stale state.</x:v>
      </x:c>
    </x:row>
    <x:row r="1834">
      <x:c r="A1834" s="20" t="str">
        <x:v>RUN-20271203-01</x:v>
      </x:c>
      <x:c r="B1834" s="23" t="n">
        <x:v>46724</x:v>
      </x:c>
      <x:c r="C1834" s="32" t="n">
        <x:v>1</x:v>
      </x:c>
      <x:c r="D1834" s="20" t="str">
        <x:v>Monthly operations</x:v>
      </x:c>
      <x:c r="E1834" s="20" t="str">
        <x:v>Property Manager</x:v>
      </x:c>
      <x:c r="F1834" s="20" t="str">
        <x:v>Web</x:v>
      </x:c>
      <x:c r="G1834" s="20" t="str">
        <x:v>Manual ACH</x:v>
      </x:c>
      <x:c r="H1834" s="35" t="str">
        <x:v>Post and allocate tenant receipt</x:v>
      </x:c>
      <x:c r="I1834" s="35" t="str">
        <x:v>P006; U006; L006</x:v>
      </x:c>
      <x:c r="J1834" s="35" t="str"/>
      <x:c r="K1834" s="35" t="str">
        <x:v>FIN-00945; FIN-00946</x:v>
      </x:c>
      <x:c r="L1834" s="35" t="str">
        <x:v>Open Scan for paper payment or the tenant-account receipt form for electronic payment; verify tenant/lease match, amount, date, method, and reference; confirm once; open ledger detail and allocation.</x:v>
      </x:c>
      <x:c r="M1834" s="35" t="str">
        <x:v>Receipt is append-only, allocated once to the correct rent charge, and visible consistently in Unit, Lease, Tenant Account, Accounting, and portal views.</x:v>
      </x:c>
      <x:c r="N1834" s="35" t="str">
        <x:v>Scan review or form; success result; exact ledger rows; payment detail; accounting delta; portal receipt.</x:v>
      </x:c>
      <x:c r="O1834" s="35" t="str">
        <x:v>Retry the idempotency key once during the quarter assigned in the coverage matrix; no duplicate cash or allocation.</x:v>
      </x:c>
      <x:c r="P1834" s="35" t="str">
        <x:v>All expected records and amounts match; no unexplained error or stale state.</x:v>
      </x:c>
    </x:row>
    <x:row r="1835">
      <x:c r="A1835" s="20" t="str">
        <x:v>RUN-20271203-02</x:v>
      </x:c>
      <x:c r="B1835" s="23" t="n">
        <x:v>46724</x:v>
      </x:c>
      <x:c r="C1835" s="32" t="n">
        <x:v>2</x:v>
      </x:c>
      <x:c r="D1835" s="20" t="str">
        <x:v>Monthly operations</x:v>
      </x:c>
      <x:c r="E1835" s="20" t="str">
        <x:v>Property Manager</x:v>
      </x:c>
      <x:c r="F1835" s="20" t="str">
        <x:v>Mobile</x:v>
      </x:c>
      <x:c r="G1835" s="20" t="str">
        <x:v>Scanned money order</x:v>
      </x:c>
      <x:c r="H1835" s="35" t="str">
        <x:v>Post and allocate tenant receipt</x:v>
      </x:c>
      <x:c r="I1835" s="35" t="str">
        <x:v>P009; U009; L009</x:v>
      </x:c>
      <x:c r="J1835" s="35" t="str">
        <x:v>SCN-0327</x:v>
      </x:c>
      <x:c r="K1835" s="35" t="str">
        <x:v>FIN-00949; FIN-00950</x:v>
      </x:c>
      <x:c r="L1835" s="35" t="str">
        <x:v>Open Scan for paper payment or the tenant-account receipt form for electronic payment; verify tenant/lease match, amount, date, method, and reference; confirm once; open ledger detail and allocation.</x:v>
      </x:c>
      <x:c r="M1835" s="35" t="str">
        <x:v>Receipt is append-only, allocated once to the correct rent charge, and visible consistently in Unit, Lease, Tenant Account, Accounting, and portal views.</x:v>
      </x:c>
      <x:c r="N1835" s="35" t="str">
        <x:v>Scan review or form; success result; exact ledger rows; payment detail; accounting delta; portal receipt.</x:v>
      </x:c>
      <x:c r="O1835" s="35" t="str">
        <x:v>Retry the idempotency key once during the quarter assigned in the coverage matrix; no duplicate cash or allocation.</x:v>
      </x:c>
      <x:c r="P1835" s="35" t="str">
        <x:v>All expected records and amounts match; no unexplained error or stale state.</x:v>
      </x:c>
    </x:row>
    <x:row r="1836">
      <x:c r="A1836" s="20" t="str">
        <x:v>RUN-20271203-03</x:v>
      </x:c>
      <x:c r="B1836" s="23" t="n">
        <x:v>46724</x:v>
      </x:c>
      <x:c r="C1836" s="32" t="n">
        <x:v>3</x:v>
      </x:c>
      <x:c r="D1836" s="20" t="str">
        <x:v>Monthly operations</x:v>
      </x:c>
      <x:c r="E1836" s="20" t="str">
        <x:v>Property Manager</x:v>
      </x:c>
      <x:c r="F1836" s="20" t="str">
        <x:v>Mobile</x:v>
      </x:c>
      <x:c r="G1836" s="20" t="str">
        <x:v>Portal card</x:v>
      </x:c>
      <x:c r="H1836" s="35" t="str">
        <x:v>Post and allocate tenant receipt</x:v>
      </x:c>
      <x:c r="I1836" s="35" t="str">
        <x:v>P011; U011; L011</x:v>
      </x:c>
      <x:c r="J1836" s="35" t="str"/>
      <x:c r="K1836" s="35" t="str">
        <x:v>FIN-00953; FIN-00954</x:v>
      </x:c>
      <x:c r="L1836" s="35" t="str">
        <x:v>Open Scan for paper payment or the tenant-account receipt form for electronic payment; verify tenant/lease match, amount, date, method, and reference; confirm once; open ledger detail and allocation.</x:v>
      </x:c>
      <x:c r="M1836" s="35" t="str">
        <x:v>Receipt is append-only, allocated once to the correct rent charge, and visible consistently in Unit, Lease, Tenant Account, Accounting, and portal views.</x:v>
      </x:c>
      <x:c r="N1836" s="35" t="str">
        <x:v>Scan review or form; success result; exact ledger rows; payment detail; accounting delta; portal receipt.</x:v>
      </x:c>
      <x:c r="O1836" s="35" t="str">
        <x:v>Retry the idempotency key once during the quarter assigned in the coverage matrix; no duplicate cash or allocation.</x:v>
      </x:c>
      <x:c r="P1836" s="35" t="str">
        <x:v>All expected records and amounts match; no unexplained error or stale state.</x:v>
      </x:c>
    </x:row>
    <x:row r="1837">
      <x:c r="A1837" s="20" t="str">
        <x:v>RUN-20271203-04</x:v>
      </x:c>
      <x:c r="B1837" s="23" t="n">
        <x:v>46724</x:v>
      </x:c>
      <x:c r="C1837" s="32" t="n">
        <x:v>4</x:v>
      </x:c>
      <x:c r="D1837" s="20" t="str">
        <x:v>Monthly operations</x:v>
      </x:c>
      <x:c r="E1837" s="20" t="str">
        <x:v>Property Manager</x:v>
      </x:c>
      <x:c r="F1837" s="20" t="str">
        <x:v>Web</x:v>
      </x:c>
      <x:c r="G1837" s="20" t="str">
        <x:v>Scanned check</x:v>
      </x:c>
      <x:c r="H1837" s="35" t="str">
        <x:v>Post and allocate tenant receipt</x:v>
      </x:c>
      <x:c r="I1837" s="35" t="str">
        <x:v>P012; U012; L012</x:v>
      </x:c>
      <x:c r="J1837" s="35" t="str">
        <x:v>SCN-0329</x:v>
      </x:c>
      <x:c r="K1837" s="35" t="str">
        <x:v>FIN-00957; FIN-00958</x:v>
      </x:c>
      <x:c r="L1837" s="35" t="str">
        <x:v>Open Scan for paper payment or the tenant-account receipt form for electronic payment; verify tenant/lease match, amount, date, method, and reference; confirm once; open ledger detail and allocation.</x:v>
      </x:c>
      <x:c r="M1837" s="35" t="str">
        <x:v>Receipt is append-only, allocated once to the correct rent charge, and visible consistently in Unit, Lease, Tenant Account, Accounting, and portal views.</x:v>
      </x:c>
      <x:c r="N1837" s="35" t="str">
        <x:v>Scan review or form; success result; exact ledger rows; payment detail; accounting delta; portal receipt.</x:v>
      </x:c>
      <x:c r="O1837" s="35" t="str">
        <x:v>Retry the idempotency key once during the quarter assigned in the coverage matrix; no duplicate cash or allocation.</x:v>
      </x:c>
      <x:c r="P1837" s="35" t="str">
        <x:v>All expected records and amounts match; no unexplained error or stale state.</x:v>
      </x:c>
    </x:row>
    <x:row r="1838">
      <x:c r="A1838" s="20" t="str">
        <x:v>RUN-20271203-05</x:v>
      </x:c>
      <x:c r="B1838" s="23" t="n">
        <x:v>46724</x:v>
      </x:c>
      <x:c r="C1838" s="32" t="n">
        <x:v>5</x:v>
      </x:c>
      <x:c r="D1838" s="20" t="str">
        <x:v>Monthly operations</x:v>
      </x:c>
      <x:c r="E1838" s="20" t="str">
        <x:v>Property Manager</x:v>
      </x:c>
      <x:c r="F1838" s="20" t="str">
        <x:v>Mobile</x:v>
      </x:c>
      <x:c r="G1838" s="20" t="str">
        <x:v>Portal card</x:v>
      </x:c>
      <x:c r="H1838" s="35" t="str">
        <x:v>Post and allocate tenant receipt</x:v>
      </x:c>
      <x:c r="I1838" s="35" t="str">
        <x:v>P015; U015; L015</x:v>
      </x:c>
      <x:c r="J1838" s="35" t="str"/>
      <x:c r="K1838" s="35" t="str">
        <x:v>FIN-00962; FIN-00963</x:v>
      </x:c>
      <x:c r="L1838" s="35" t="str">
        <x:v>Open Scan for paper payment or the tenant-account receipt form for electronic payment; verify tenant/lease match, amount, date, method, and reference; confirm once; open ledger detail and allocation.</x:v>
      </x:c>
      <x:c r="M1838" s="35" t="str">
        <x:v>Receipt is append-only, allocated once to the correct rent charge, and visible consistently in Unit, Lease, Tenant Account, Accounting, and portal views.</x:v>
      </x:c>
      <x:c r="N1838" s="35" t="str">
        <x:v>Scan review or form; success result; exact ledger rows; payment detail; accounting delta; portal receipt.</x:v>
      </x:c>
      <x:c r="O1838" s="35" t="str">
        <x:v>Retry the idempotency key once during the quarter assigned in the coverage matrix; no duplicate cash or allocation.</x:v>
      </x:c>
      <x:c r="P1838" s="35" t="str">
        <x:v>All expected records and amounts match; no unexplained error or stale state.</x:v>
      </x:c>
    </x:row>
    <x:row r="1839">
      <x:c r="A1839" s="20" t="str">
        <x:v>RUN-20271203-06</x:v>
      </x:c>
      <x:c r="B1839" s="23" t="n">
        <x:v>46724</x:v>
      </x:c>
      <x:c r="C1839" s="32" t="n">
        <x:v>6</x:v>
      </x:c>
      <x:c r="D1839" s="20" t="str">
        <x:v>Monthly operations</x:v>
      </x:c>
      <x:c r="E1839" s="20" t="str">
        <x:v>Property Manager</x:v>
      </x:c>
      <x:c r="F1839" s="20" t="str">
        <x:v>Web</x:v>
      </x:c>
      <x:c r="G1839" s="20" t="str">
        <x:v>Manual ACH</x:v>
      </x:c>
      <x:c r="H1839" s="35" t="str">
        <x:v>Post and allocate tenant receipt</x:v>
      </x:c>
      <x:c r="I1839" s="35" t="str">
        <x:v>P018; U018; L018</x:v>
      </x:c>
      <x:c r="J1839" s="35" t="str"/>
      <x:c r="K1839" s="35" t="str">
        <x:v>FIN-00966; FIN-00967</x:v>
      </x:c>
      <x:c r="L1839" s="35" t="str">
        <x:v>Open Scan for paper payment or the tenant-account receipt form for electronic payment; verify tenant/lease match, amount, date, method, and reference; confirm once; open ledger detail and allocation.</x:v>
      </x:c>
      <x:c r="M1839" s="35" t="str">
        <x:v>Receipt is append-only, allocated once to the correct rent charge, and visible consistently in Unit, Lease, Tenant Account, Accounting, and portal views.</x:v>
      </x:c>
      <x:c r="N1839" s="35" t="str">
        <x:v>Scan review or form; success result; exact ledger rows; payment detail; accounting delta; portal receipt.</x:v>
      </x:c>
      <x:c r="O1839" s="35" t="str">
        <x:v>Retry the idempotency key once during the quarter assigned in the coverage matrix; no duplicate cash or allocation.</x:v>
      </x:c>
      <x:c r="P1839" s="35" t="str">
        <x:v>All expected records and amounts match; no unexplained error or stale state.</x:v>
      </x:c>
    </x:row>
    <x:row r="1840">
      <x:c r="A1840" s="20" t="str">
        <x:v>RUN-20271203-07</x:v>
      </x:c>
      <x:c r="B1840" s="23" t="n">
        <x:v>46724</x:v>
      </x:c>
      <x:c r="C1840" s="32" t="n">
        <x:v>7</x:v>
      </x:c>
      <x:c r="D1840" s="20" t="str">
        <x:v>Monthly operations</x:v>
      </x:c>
      <x:c r="E1840" s="20" t="str">
        <x:v>Property Manager</x:v>
      </x:c>
      <x:c r="F1840" s="20" t="str">
        <x:v>Mobile</x:v>
      </x:c>
      <x:c r="G1840" s="20" t="str">
        <x:v>Scanned money order</x:v>
      </x:c>
      <x:c r="H1840" s="35" t="str">
        <x:v>Post and allocate tenant receipt</x:v>
      </x:c>
      <x:c r="I1840" s="35" t="str">
        <x:v>P021; U021; L021</x:v>
      </x:c>
      <x:c r="J1840" s="35" t="str">
        <x:v>SCN-0333</x:v>
      </x:c>
      <x:c r="K1840" s="35" t="str">
        <x:v>FIN-00972; FIN-00973</x:v>
      </x:c>
      <x:c r="L1840" s="35" t="str">
        <x:v>Open Scan for paper payment or the tenant-account receipt form for electronic payment; verify tenant/lease match, amount, date, method, and reference; confirm once; open ledger detail and allocation.</x:v>
      </x:c>
      <x:c r="M1840" s="35" t="str">
        <x:v>Receipt is append-only, allocated once to the correct rent charge, and visible consistently in Unit, Lease, Tenant Account, Accounting, and portal views.</x:v>
      </x:c>
      <x:c r="N1840" s="35" t="str">
        <x:v>Scan review or form; success result; exact ledger rows; payment detail; accounting delta; portal receipt.</x:v>
      </x:c>
      <x:c r="O1840" s="35" t="str">
        <x:v>Retry the idempotency key once during the quarter assigned in the coverage matrix; no duplicate cash or allocation.</x:v>
      </x:c>
      <x:c r="P1840" s="35" t="str">
        <x:v>All expected records and amounts match; no unexplained error or stale state.</x:v>
      </x:c>
    </x:row>
    <x:row r="1841">
      <x:c r="A1841" s="20" t="str">
        <x:v>RUN-20271203-08</x:v>
      </x:c>
      <x:c r="B1841" s="23" t="n">
        <x:v>46724</x:v>
      </x:c>
      <x:c r="C1841" s="32" t="n">
        <x:v>8</x:v>
      </x:c>
      <x:c r="D1841" s="20" t="str">
        <x:v>Monthly operations</x:v>
      </x:c>
      <x:c r="E1841" s="20" t="str">
        <x:v>Property Manager</x:v>
      </x:c>
      <x:c r="F1841" s="20" t="str">
        <x:v>Web</x:v>
      </x:c>
      <x:c r="G1841" s="20" t="str">
        <x:v>Scanned check</x:v>
      </x:c>
      <x:c r="H1841" s="35" t="str">
        <x:v>Post and allocate tenant receipt</x:v>
      </x:c>
      <x:c r="I1841" s="35" t="str">
        <x:v>P022; U024; L024</x:v>
      </x:c>
      <x:c r="J1841" s="35" t="str">
        <x:v>SCN-0334</x:v>
      </x:c>
      <x:c r="K1841" s="35" t="str">
        <x:v>FIN-00976; FIN-00977</x:v>
      </x:c>
      <x:c r="L1841" s="35" t="str">
        <x:v>Open Scan for paper payment or the tenant-account receipt form for electronic payment; verify tenant/lease match, amount, date, method, and reference; confirm once; open ledger detail and allocation.</x:v>
      </x:c>
      <x:c r="M1841" s="35" t="str">
        <x:v>Receipt is append-only, allocated once to the correct rent charge, and visible consistently in Unit, Lease, Tenant Account, Accounting, and portal views.</x:v>
      </x:c>
      <x:c r="N1841" s="35" t="str">
        <x:v>Scan review or form; success result; exact ledger rows; payment detail; accounting delta; portal receipt.</x:v>
      </x:c>
      <x:c r="O1841" s="35" t="str">
        <x:v>Retry the idempotency key once during the quarter assigned in the coverage matrix; no duplicate cash or allocation.</x:v>
      </x:c>
      <x:c r="P1841" s="35" t="str">
        <x:v>All expected records and amounts match; no unexplained error or stale state.</x:v>
      </x:c>
    </x:row>
    <x:row r="1842">
      <x:c r="A1842" s="20" t="str">
        <x:v>RUN-20271203-09</x:v>
      </x:c>
      <x:c r="B1842" s="23" t="n">
        <x:v>46724</x:v>
      </x:c>
      <x:c r="C1842" s="32" t="n">
        <x:v>9</x:v>
      </x:c>
      <x:c r="D1842" s="20" t="str">
        <x:v>Monthly operations</x:v>
      </x:c>
      <x:c r="E1842" s="20" t="str">
        <x:v>Property Manager</x:v>
      </x:c>
      <x:c r="F1842" s="20" t="str">
        <x:v>Mobile</x:v>
      </x:c>
      <x:c r="G1842" s="20" t="str">
        <x:v>Portal card</x:v>
      </x:c>
      <x:c r="H1842" s="35" t="str">
        <x:v>Post and allocate tenant receipt</x:v>
      </x:c>
      <x:c r="I1842" s="35" t="str">
        <x:v>P024; U027; L027</x:v>
      </x:c>
      <x:c r="J1842" s="35" t="str"/>
      <x:c r="K1842" s="35" t="str">
        <x:v>FIN-00983; FIN-00984</x:v>
      </x:c>
      <x:c r="L1842" s="35" t="str">
        <x:v>Open Scan for paper payment or the tenant-account receipt form for electronic payment; verify tenant/lease match, amount, date, method, and reference; confirm once; open ledger detail and allocation.</x:v>
      </x:c>
      <x:c r="M1842" s="35" t="str">
        <x:v>Receipt is append-only, allocated once to the correct rent charge, and visible consistently in Unit, Lease, Tenant Account, Accounting, and portal views.</x:v>
      </x:c>
      <x:c r="N1842" s="35" t="str">
        <x:v>Scan review or form; success result; exact ledger rows; payment detail; accounting delta; portal receipt.</x:v>
      </x:c>
      <x:c r="O1842" s="35" t="str">
        <x:v>Retry the idempotency key once during the quarter assigned in the coverage matrix; no duplicate cash or allocation.</x:v>
      </x:c>
      <x:c r="P1842" s="35" t="str">
        <x:v>All expected records and amounts match; no unexplained error or stale state.</x:v>
      </x:c>
    </x:row>
    <x:row r="1843">
      <x:c r="A1843" s="20" t="str">
        <x:v>RUN-20271203-10</x:v>
      </x:c>
      <x:c r="B1843" s="23" t="n">
        <x:v>46724</x:v>
      </x:c>
      <x:c r="C1843" s="32" t="n">
        <x:v>10</x:v>
      </x:c>
      <x:c r="D1843" s="20" t="str">
        <x:v>Monthly operations</x:v>
      </x:c>
      <x:c r="E1843" s="20" t="str">
        <x:v>Property Manager</x:v>
      </x:c>
      <x:c r="F1843" s="20" t="str">
        <x:v>Web</x:v>
      </x:c>
      <x:c r="G1843" s="20" t="str">
        <x:v>Manual ACH</x:v>
      </x:c>
      <x:c r="H1843" s="35" t="str">
        <x:v>Post and allocate tenant receipt</x:v>
      </x:c>
      <x:c r="I1843" s="35" t="str">
        <x:v>P025; U030; L030</x:v>
      </x:c>
      <x:c r="J1843" s="35" t="str"/>
      <x:c r="K1843" s="35" t="str">
        <x:v>FIN-00989; FIN-00990</x:v>
      </x:c>
      <x:c r="L1843" s="35" t="str">
        <x:v>Open Scan for paper payment or the tenant-account receipt form for electronic payment; verify tenant/lease match, amount, date, method, and reference; confirm once; open ledger detail and allocation.</x:v>
      </x:c>
      <x:c r="M1843" s="35" t="str">
        <x:v>Receipt is append-only, allocated once to the correct rent charge, and visible consistently in Unit, Lease, Tenant Account, Accounting, and portal views.</x:v>
      </x:c>
      <x:c r="N1843" s="35" t="str">
        <x:v>Scan review or form; success result; exact ledger rows; payment detail; accounting delta; portal receipt.</x:v>
      </x:c>
      <x:c r="O1843" s="35" t="str">
        <x:v>Retry the idempotency key once during the quarter assigned in the coverage matrix; no duplicate cash or allocation.</x:v>
      </x:c>
      <x:c r="P1843" s="35" t="str">
        <x:v>All expected records and amounts match; no unexplained error or stale state.</x:v>
      </x:c>
    </x:row>
    <x:row r="1844">
      <x:c r="A1844" s="20" t="str">
        <x:v>RUN-20271203-11</x:v>
      </x:c>
      <x:c r="B1844" s="23" t="n">
        <x:v>46724</x:v>
      </x:c>
      <x:c r="C1844" s="32" t="n">
        <x:v>11</x:v>
      </x:c>
      <x:c r="D1844" s="20" t="str">
        <x:v>Monthly operations</x:v>
      </x:c>
      <x:c r="E1844" s="20" t="str">
        <x:v>Property Manager</x:v>
      </x:c>
      <x:c r="F1844" s="20" t="str">
        <x:v>Mobile</x:v>
      </x:c>
      <x:c r="G1844" s="20" t="str">
        <x:v>Scanned money order</x:v>
      </x:c>
      <x:c r="H1844" s="35" t="str">
        <x:v>Post and allocate tenant receipt</x:v>
      </x:c>
      <x:c r="I1844" s="35" t="str">
        <x:v>P027; U033; L033</x:v>
      </x:c>
      <x:c r="J1844" s="35" t="str">
        <x:v>SCN-0340</x:v>
      </x:c>
      <x:c r="K1844" s="35" t="str">
        <x:v>FIN-00995; FIN-00996</x:v>
      </x:c>
      <x:c r="L1844" s="35" t="str">
        <x:v>Open Scan for paper payment or the tenant-account receipt form for electronic payment; verify tenant/lease match, amount, date, method, and reference; confirm once; open ledger detail and allocation.</x:v>
      </x:c>
      <x:c r="M1844" s="35" t="str">
        <x:v>Receipt is append-only, allocated once to the correct rent charge, and visible consistently in Unit, Lease, Tenant Account, Accounting, and portal views.</x:v>
      </x:c>
      <x:c r="N1844" s="35" t="str">
        <x:v>Scan review or form; success result; exact ledger rows; payment detail; accounting delta; portal receipt.</x:v>
      </x:c>
      <x:c r="O1844" s="35" t="str">
        <x:v>Retry the idempotency key once during the quarter assigned in the coverage matrix; no duplicate cash or allocation.</x:v>
      </x:c>
      <x:c r="P1844" s="35" t="str">
        <x:v>All expected records and amounts match; no unexplained error or stale state.</x:v>
      </x:c>
    </x:row>
    <x:row r="1845">
      <x:c r="A1845" s="20" t="str">
        <x:v>RUN-20271203-12</x:v>
      </x:c>
      <x:c r="B1845" s="23" t="n">
        <x:v>46724</x:v>
      </x:c>
      <x:c r="C1845" s="32" t="n">
        <x:v>12</x:v>
      </x:c>
      <x:c r="D1845" s="20" t="str">
        <x:v>Monthly operations</x:v>
      </x:c>
      <x:c r="E1845" s="20" t="str">
        <x:v>Property Manager</x:v>
      </x:c>
      <x:c r="F1845" s="20" t="str">
        <x:v>Web</x:v>
      </x:c>
      <x:c r="G1845" s="20" t="str">
        <x:v>Scanned check</x:v>
      </x:c>
      <x:c r="H1845" s="35" t="str">
        <x:v>Post and allocate tenant receipt</x:v>
      </x:c>
      <x:c r="I1845" s="35" t="str">
        <x:v>P028; U036; L036</x:v>
      </x:c>
      <x:c r="J1845" s="35" t="str">
        <x:v>SCN-0341</x:v>
      </x:c>
      <x:c r="K1845" s="35" t="str">
        <x:v>FIN-01001; FIN-01002</x:v>
      </x:c>
      <x:c r="L1845" s="35" t="str">
        <x:v>Open Scan for paper payment or the tenant-account receipt form for electronic payment; verify tenant/lease match, amount, date, method, and reference; confirm once; open ledger detail and allocation.</x:v>
      </x:c>
      <x:c r="M1845" s="35" t="str">
        <x:v>Receipt is append-only, allocated once to the correct rent charge, and visible consistently in Unit, Lease, Tenant Account, Accounting, and portal views.</x:v>
      </x:c>
      <x:c r="N1845" s="35" t="str">
        <x:v>Scan review or form; success result; exact ledger rows; payment detail; accounting delta; portal receipt.</x:v>
      </x:c>
      <x:c r="O1845" s="35" t="str">
        <x:v>Retry the idempotency key once during the quarter assigned in the coverage matrix; no duplicate cash or allocation.</x:v>
      </x:c>
      <x:c r="P1845" s="35" t="str">
        <x:v>All expected records and amounts match; no unexplained error or stale state.</x:v>
      </x:c>
    </x:row>
    <x:row r="1846">
      <x:c r="A1846" s="20" t="str">
        <x:v>RUN-20271203-13</x:v>
      </x:c>
      <x:c r="B1846" s="23" t="n">
        <x:v>46724</x:v>
      </x:c>
      <x:c r="C1846" s="32" t="n">
        <x:v>13</x:v>
      </x:c>
      <x:c r="D1846" s="20" t="str">
        <x:v>Monthly operations</x:v>
      </x:c>
      <x:c r="E1846" s="20" t="str">
        <x:v>Property Manager</x:v>
      </x:c>
      <x:c r="F1846" s="20" t="str">
        <x:v>Web</x:v>
      </x:c>
      <x:c r="G1846" s="20" t="str">
        <x:v>Manual ACH</x:v>
      </x:c>
      <x:c r="H1846" s="35" t="str">
        <x:v>Post and allocate tenant receipt</x:v>
      </x:c>
      <x:c r="I1846" s="35" t="str">
        <x:v>P027; U034; L042</x:v>
      </x:c>
      <x:c r="J1846" s="35" t="str"/>
      <x:c r="K1846" s="35" t="str">
        <x:v>FIN-01014; FIN-01015</x:v>
      </x:c>
      <x:c r="L1846" s="35" t="str">
        <x:v>Open Scan for paper payment or the tenant-account receipt form for electronic payment; verify tenant/lease match, amount, date, method, and reference; confirm once; open ledger detail and allocation.</x:v>
      </x:c>
      <x:c r="M1846" s="35" t="str">
        <x:v>Receipt is append-only, allocated once to the correct rent charge, and visible consistently in Unit, Lease, Tenant Account, Accounting, and portal views.</x:v>
      </x:c>
      <x:c r="N1846" s="35" t="str">
        <x:v>Scan review or form; success result; exact ledger rows; payment detail; accounting delta; portal receipt.</x:v>
      </x:c>
      <x:c r="O1846" s="35" t="str">
        <x:v>Retry the idempotency key once during the quarter assigned in the coverage matrix; no duplicate cash or allocation.</x:v>
      </x:c>
      <x:c r="P1846" s="35" t="str">
        <x:v>All expected records and amounts match; no unexplained error or stale state.</x:v>
      </x:c>
    </x:row>
    <x:row r="1847">
      <x:c r="A1847" s="20" t="str">
        <x:v>RUN-20271203-14</x:v>
      </x:c>
      <x:c r="B1847" s="23" t="n">
        <x:v>46724</x:v>
      </x:c>
      <x:c r="C1847" s="32" t="n">
        <x:v>14</x:v>
      </x:c>
      <x:c r="D1847" s="20" t="str">
        <x:v>Monthly operations</x:v>
      </x:c>
      <x:c r="E1847" s="20" t="str">
        <x:v>Property Manager</x:v>
      </x:c>
      <x:c r="F1847" s="20" t="str">
        <x:v>Web</x:v>
      </x:c>
      <x:c r="G1847" s="20" t="str">
        <x:v>Scanned check</x:v>
      </x:c>
      <x:c r="H1847" s="35" t="str">
        <x:v>Post and allocate tenant receipt</x:v>
      </x:c>
      <x:c r="I1847" s="35" t="str">
        <x:v>P029; U038; L044</x:v>
      </x:c>
      <x:c r="J1847" s="35" t="str">
        <x:v>SCN-0345</x:v>
      </x:c>
      <x:c r="K1847" s="35" t="str">
        <x:v>FIN-01018; FIN-01019</x:v>
      </x:c>
      <x:c r="L1847" s="35" t="str">
        <x:v>Open Scan for paper payment or the tenant-account receipt form for electronic payment; verify tenant/lease match, amount, date, method, and reference; confirm once; open ledger detail and allocation.</x:v>
      </x:c>
      <x:c r="M1847" s="35" t="str">
        <x:v>Receipt is append-only, allocated once to the correct rent charge, and visible consistently in Unit, Lease, Tenant Account, Accounting, and portal views.</x:v>
      </x:c>
      <x:c r="N1847" s="35" t="str">
        <x:v>Scan review or form; success result; exact ledger rows; payment detail; accounting delta; portal receipt.</x:v>
      </x:c>
      <x:c r="O1847" s="35" t="str">
        <x:v>Retry the idempotency key once during the quarter assigned in the coverage matrix; no duplicate cash or allocation.</x:v>
      </x:c>
      <x:c r="P1847" s="35" t="str">
        <x:v>All expected records and amounts match; no unexplained error or stale state.</x:v>
      </x:c>
    </x:row>
    <x:row r="1848">
      <x:c r="A1848" s="20" t="str">
        <x:v>RUN-20271203-15</x:v>
      </x:c>
      <x:c r="B1848" s="23" t="n">
        <x:v>46724</x:v>
      </x:c>
      <x:c r="C1848" s="32" t="n">
        <x:v>15</x:v>
      </x:c>
      <x:c r="D1848" s="20" t="str">
        <x:v>Monthly operations</x:v>
      </x:c>
      <x:c r="E1848" s="20" t="str">
        <x:v>Property Manager</x:v>
      </x:c>
      <x:c r="F1848" s="20" t="str">
        <x:v>Mobile</x:v>
      </x:c>
      <x:c r="G1848" s="20" t="str">
        <x:v>Scanned money order</x:v>
      </x:c>
      <x:c r="H1848" s="35" t="str">
        <x:v>Post and allocate tenant receipt</x:v>
      </x:c>
      <x:c r="I1848" s="35" t="str">
        <x:v>P030; U039; L045</x:v>
      </x:c>
      <x:c r="J1848" s="35" t="str">
        <x:v>SCN-0346</x:v>
      </x:c>
      <x:c r="K1848" s="35" t="str">
        <x:v>FIN-01022; FIN-01023</x:v>
      </x:c>
      <x:c r="L1848" s="35" t="str">
        <x:v>Open Scan for paper payment or the tenant-account receipt form for electronic payment; verify tenant/lease match, amount, date, method, and reference; confirm once; open ledger detail and allocation.</x:v>
      </x:c>
      <x:c r="M1848" s="35" t="str">
        <x:v>Receipt is append-only, allocated once to the correct rent charge, and visible consistently in Unit, Lease, Tenant Account, Accounting, and portal views.</x:v>
      </x:c>
      <x:c r="N1848" s="35" t="str">
        <x:v>Scan review or form; success result; exact ledger rows; payment detail; accounting delta; portal receipt.</x:v>
      </x:c>
      <x:c r="O1848" s="35" t="str">
        <x:v>Retry the idempotency key once during the quarter assigned in the coverage matrix; no duplicate cash or allocation.</x:v>
      </x:c>
      <x:c r="P1848" s="35" t="str">
        <x:v>All expected records and amounts match; no unexplained error or stale state.</x:v>
      </x:c>
    </x:row>
    <x:row r="1849">
      <x:c r="A1849" s="20" t="str">
        <x:v>RUN-20271203-16</x:v>
      </x:c>
      <x:c r="B1849" s="23" t="n">
        <x:v>46724</x:v>
      </x:c>
      <x:c r="C1849" s="32" t="n">
        <x:v>16</x:v>
      </x:c>
      <x:c r="D1849" s="20" t="str">
        <x:v>Role and screen certification</x:v>
      </x:c>
      <x:c r="E1849" s="20" t="str">
        <x:v>Applicant / public user</x:v>
      </x:c>
      <x:c r="F1849" s="20" t="str">
        <x:v>Mobile</x:v>
      </x:c>
      <x:c r="G1849" s="20" t="str">
        <x:v>Normal persona navigation</x:v>
      </x:c>
      <x:c r="H1849" s="35" t="str">
        <x:v>Use every permitted action and state on features/team/team_screen.dart</x:v>
      </x:c>
      <x:c r="I1849" s="35" t="str">
        <x:v>SCR-184; ROLE-319</x:v>
      </x:c>
      <x:c r="J1849" s="35" t="str"/>
      <x:c r="K1849" s="35" t="str"/>
      <x:c r="L184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49" s="35" t="str">
        <x:v>The persona can use every allowed action with only its assigned properties/relationships. Hidden or disabled actions explain why; an adjacent unauthorized persona is denied without metadata leakage.</x:v>
      </x:c>
      <x:c r="N1849" s="35" t="str">
        <x:v>Persona/experience; navigation entry; desktop or device screenshots; result state; persisted read-back; audit/history; authorized and denied network result.</x:v>
      </x:c>
      <x:c r="O1849" s="35" t="str">
        <x:v>Open the direct URL or deep link with an adjacent unauthorized persona and with stale scope; both fail closed and land safely without mutation.</x:v>
      </x:c>
      <x:c r="P1849" s="35" t="str">
        <x:v>All expected records and amounts match; no unexplained error or stale state.</x:v>
      </x:c>
    </x:row>
    <x:row r="1850">
      <x:c r="A1850" s="20" t="str">
        <x:v>RUN-20271203-17</x:v>
      </x:c>
      <x:c r="B1850" s="23" t="n">
        <x:v>46724</x:v>
      </x:c>
      <x:c r="C1850" s="32" t="n">
        <x:v>17</x:v>
      </x:c>
      <x:c r="D1850" s="20" t="str">
        <x:v>Field certification</x:v>
      </x:c>
      <x:c r="E1850" s="20" t="str">
        <x:v>Applicant / public user</x:v>
      </x:c>
      <x:c r="F1850" s="20" t="str">
        <x:v>Mobile</x:v>
      </x:c>
      <x:c r="G1850" s="20" t="str">
        <x:v>Manual field-by-field</x:v>
      </x:c>
      <x:c r="H1850" s="35" t="str">
        <x:v>Fill, save, reload, edit, and validate every declared field on features/recurring_maintenance/recurring_maintenance_form_screen.dart</x:v>
      </x:c>
      <x:c r="I1850" s="35" t="str">
        <x:v>FLD-1007; FLD-1008; FLD-1009; FLD-1010</x:v>
      </x:c>
      <x:c r="J1850" s="35" t="str"/>
      <x:c r="K1850" s="35" t="str"/>
      <x:c r="L1850" s="35" t="str">
        <x:v>Use the source-derived Field Inventory. Enter non-default realistic values in every control (_titleCtrl; _descCtrl; _onPropertyChanged; Vendor (optional)); submit; reload or relaunch; compare every value; edit each mutable field; verify the paired client; then run required, format, length, range, boundary, optional-null, and stale-submit checks.</x:v>
      </x:c>
      <x:c r="M1850" s="35" t="str">
        <x:v>All 4 inventoried controls persist exact normalized values, invalid values stay unsaved with clear errors, and hidden/unauthorized fields cannot be altered.</x:v>
      </x:c>
      <x:c r="N1850" s="35" t="str">
        <x:v>Before/after form screenshots; FLD IDs; API response; reloaded UI; paired-client read-back; database/audit evidence; negative validation result.</x:v>
      </x:c>
      <x:c r="O1850" s="35" t="str">
        <x:v>Use a duplicate submit and one simulated network interruption; one atomic mutation or none, never partial state.</x:v>
      </x:c>
      <x:c r="P1850" s="35" t="str">
        <x:v>All expected records and amounts match; no unexplained error or stale state.</x:v>
      </x:c>
    </x:row>
    <x:row r="1851">
      <x:c r="A1851" s="20" t="str">
        <x:v>RUN-20271204-01</x:v>
      </x:c>
      <x:c r="B1851" s="23" t="n">
        <x:v>46725</x:v>
      </x:c>
      <x:c r="C1851" s="32" t="n">
        <x:v>1</x:v>
      </x:c>
      <x:c r="D1851" s="20" t="str">
        <x:v>Monthly operations</x:v>
      </x:c>
      <x:c r="E1851" s="20" t="str">
        <x:v>Property Manager</x:v>
      </x:c>
      <x:c r="F1851" s="20" t="str">
        <x:v>Mobile</x:v>
      </x:c>
      <x:c r="G1851" s="20" t="str">
        <x:v>Scanned money order</x:v>
      </x:c>
      <x:c r="H1851" s="35" t="str">
        <x:v>Post and allocate tenant receipt</x:v>
      </x:c>
      <x:c r="I1851" s="35" t="str">
        <x:v>P001; U001; L001</x:v>
      </x:c>
      <x:c r="J1851" s="35" t="str">
        <x:v>SCN-0325</x:v>
      </x:c>
      <x:c r="K1851" s="35" t="str">
        <x:v>FIN-00939; FIN-00940</x:v>
      </x:c>
      <x:c r="L1851" s="35" t="str">
        <x:v>Open Scan for paper payment or the tenant-account receipt form for electronic payment; verify tenant/lease match, amount, date, method, and reference; confirm once; open ledger detail and allocation.</x:v>
      </x:c>
      <x:c r="M1851" s="35" t="str">
        <x:v>Receipt is append-only, allocated once to the correct rent charge, and visible consistently in Unit, Lease, Tenant Account, Accounting, and portal views.</x:v>
      </x:c>
      <x:c r="N1851" s="35" t="str">
        <x:v>Scan review or form; success result; exact ledger rows; payment detail; accounting delta; portal receipt.</x:v>
      </x:c>
      <x:c r="O1851" s="35" t="str">
        <x:v>Retry the idempotency key once during the quarter assigned in the coverage matrix; no duplicate cash or allocation.</x:v>
      </x:c>
      <x:c r="P1851" s="35" t="str">
        <x:v>All expected records and amounts match; no unexplained error or stale state.</x:v>
      </x:c>
    </x:row>
    <x:row r="1852">
      <x:c r="A1852" s="20" t="str">
        <x:v>RUN-20271204-02</x:v>
      </x:c>
      <x:c r="B1852" s="23" t="n">
        <x:v>46725</x:v>
      </x:c>
      <x:c r="C1852" s="32" t="n">
        <x:v>2</x:v>
      </x:c>
      <x:c r="D1852" s="20" t="str">
        <x:v>Monthly operations</x:v>
      </x:c>
      <x:c r="E1852" s="20" t="str">
        <x:v>Property Manager</x:v>
      </x:c>
      <x:c r="F1852" s="20" t="str">
        <x:v>Web</x:v>
      </x:c>
      <x:c r="G1852" s="20" t="str">
        <x:v>Scanned check</x:v>
      </x:c>
      <x:c r="H1852" s="35" t="str">
        <x:v>Post and allocate tenant receipt</x:v>
      </x:c>
      <x:c r="I1852" s="35" t="str">
        <x:v>P004; U004; L004</x:v>
      </x:c>
      <x:c r="J1852" s="35" t="str">
        <x:v>SCN-0326</x:v>
      </x:c>
      <x:c r="K1852" s="35" t="str">
        <x:v>FIN-00943; FIN-00944</x:v>
      </x:c>
      <x:c r="L1852" s="35" t="str">
        <x:v>Open Scan for paper payment or the tenant-account receipt form for electronic payment; verify tenant/lease match, amount, date, method, and reference; confirm once; open ledger detail and allocation.</x:v>
      </x:c>
      <x:c r="M1852" s="35" t="str">
        <x:v>Receipt is append-only, allocated once to the correct rent charge, and visible consistently in Unit, Lease, Tenant Account, Accounting, and portal views.</x:v>
      </x:c>
      <x:c r="N1852" s="35" t="str">
        <x:v>Scan review or form; success result; exact ledger rows; payment detail; accounting delta; portal receipt.</x:v>
      </x:c>
      <x:c r="O1852" s="35" t="str">
        <x:v>Retry the idempotency key once during the quarter assigned in the coverage matrix; no duplicate cash or allocation.</x:v>
      </x:c>
      <x:c r="P1852" s="35" t="str">
        <x:v>All expected records and amounts match; no unexplained error or stale state.</x:v>
      </x:c>
    </x:row>
    <x:row r="1853">
      <x:c r="A1853" s="20" t="str">
        <x:v>RUN-20271204-03</x:v>
      </x:c>
      <x:c r="B1853" s="23" t="n">
        <x:v>46725</x:v>
      </x:c>
      <x:c r="C1853" s="32" t="n">
        <x:v>3</x:v>
      </x:c>
      <x:c r="D1853" s="20" t="str">
        <x:v>Monthly operations</x:v>
      </x:c>
      <x:c r="E1853" s="20" t="str">
        <x:v>Property Manager</x:v>
      </x:c>
      <x:c r="F1853" s="20" t="str">
        <x:v>Mobile</x:v>
      </x:c>
      <x:c r="G1853" s="20" t="str">
        <x:v>Portal card</x:v>
      </x:c>
      <x:c r="H1853" s="35" t="str">
        <x:v>Post and allocate tenant receipt</x:v>
      </x:c>
      <x:c r="I1853" s="35" t="str">
        <x:v>P007; U007; L007</x:v>
      </x:c>
      <x:c r="J1853" s="35" t="str"/>
      <x:c r="K1853" s="35" t="str">
        <x:v>FIN-00947; FIN-00948</x:v>
      </x:c>
      <x:c r="L1853" s="35" t="str">
        <x:v>Open Scan for paper payment or the tenant-account receipt form for electronic payment; verify tenant/lease match, amount, date, method, and reference; confirm once; open ledger detail and allocation.</x:v>
      </x:c>
      <x:c r="M1853" s="35" t="str">
        <x:v>Receipt is append-only, allocated once to the correct rent charge, and visible consistently in Unit, Lease, Tenant Account, Accounting, and portal views.</x:v>
      </x:c>
      <x:c r="N1853" s="35" t="str">
        <x:v>Scan review or form; success result; exact ledger rows; payment detail; accounting delta; portal receipt.</x:v>
      </x:c>
      <x:c r="O1853" s="35" t="str">
        <x:v>Retry the idempotency key once during the quarter assigned in the coverage matrix; no duplicate cash or allocation.</x:v>
      </x:c>
      <x:c r="P1853" s="35" t="str">
        <x:v>All expected records and amounts match; no unexplained error or stale state.</x:v>
      </x:c>
    </x:row>
    <x:row r="1854">
      <x:c r="A1854" s="20" t="str">
        <x:v>RUN-20271204-04</x:v>
      </x:c>
      <x:c r="B1854" s="23" t="n">
        <x:v>46725</x:v>
      </x:c>
      <x:c r="C1854" s="32" t="n">
        <x:v>4</x:v>
      </x:c>
      <x:c r="D1854" s="20" t="str">
        <x:v>Monthly operations</x:v>
      </x:c>
      <x:c r="E1854" s="20" t="str">
        <x:v>Property Manager</x:v>
      </x:c>
      <x:c r="F1854" s="20" t="str">
        <x:v>Web</x:v>
      </x:c>
      <x:c r="G1854" s="20" t="str">
        <x:v>Manual ACH</x:v>
      </x:c>
      <x:c r="H1854" s="35" t="str">
        <x:v>Post and allocate tenant receipt</x:v>
      </x:c>
      <x:c r="I1854" s="35" t="str">
        <x:v>P010; U010; L010</x:v>
      </x:c>
      <x:c r="J1854" s="35" t="str"/>
      <x:c r="K1854" s="35" t="str">
        <x:v>FIN-00951; FIN-00952</x:v>
      </x:c>
      <x:c r="L1854" s="35" t="str">
        <x:v>Open Scan for paper payment or the tenant-account receipt form for electronic payment; verify tenant/lease match, amount, date, method, and reference; confirm once; open ledger detail and allocation.</x:v>
      </x:c>
      <x:c r="M1854" s="35" t="str">
        <x:v>Receipt is append-only, allocated once to the correct rent charge, and visible consistently in Unit, Lease, Tenant Account, Accounting, and portal views.</x:v>
      </x:c>
      <x:c r="N1854" s="35" t="str">
        <x:v>Scan review or form; success result; exact ledger rows; payment detail; accounting delta; portal receipt.</x:v>
      </x:c>
      <x:c r="O1854" s="35" t="str">
        <x:v>Retry the idempotency key once during the quarter assigned in the coverage matrix; no duplicate cash or allocation.</x:v>
      </x:c>
      <x:c r="P1854" s="35" t="str">
        <x:v>All expected records and amounts match; no unexplained error or stale state.</x:v>
      </x:c>
    </x:row>
    <x:row r="1855">
      <x:c r="A1855" s="20" t="str">
        <x:v>RUN-20271204-05</x:v>
      </x:c>
      <x:c r="B1855" s="23" t="n">
        <x:v>46725</x:v>
      </x:c>
      <x:c r="C1855" s="32" t="n">
        <x:v>5</x:v>
      </x:c>
      <x:c r="D1855" s="20" t="str">
        <x:v>Monthly operations</x:v>
      </x:c>
      <x:c r="E1855" s="20" t="str">
        <x:v>Property Manager</x:v>
      </x:c>
      <x:c r="F1855" s="20" t="str">
        <x:v>Web</x:v>
      </x:c>
      <x:c r="G1855" s="20" t="str">
        <x:v>Scanned check</x:v>
      </x:c>
      <x:c r="H1855" s="35" t="str">
        <x:v>Post and allocate tenant receipt</x:v>
      </x:c>
      <x:c r="I1855" s="35" t="str">
        <x:v>P016; U016; L016</x:v>
      </x:c>
      <x:c r="J1855" s="35" t="str">
        <x:v>SCN-0331</x:v>
      </x:c>
      <x:c r="K1855" s="35" t="str">
        <x:v>FIN-00964; FIN-00965</x:v>
      </x:c>
      <x:c r="L1855" s="35" t="str">
        <x:v>Open Scan for paper payment or the tenant-account receipt form for electronic payment; verify tenant/lease match, amount, date, method, and reference; confirm once; open ledger detail and allocation.</x:v>
      </x:c>
      <x:c r="M1855" s="35" t="str">
        <x:v>Receipt is append-only, allocated once to the correct rent charge, and visible consistently in Unit, Lease, Tenant Account, Accounting, and portal views.</x:v>
      </x:c>
      <x:c r="N1855" s="35" t="str">
        <x:v>Scan review or form; success result; exact ledger rows; payment detail; accounting delta; portal receipt.</x:v>
      </x:c>
      <x:c r="O1855" s="35" t="str">
        <x:v>Retry the idempotency key once during the quarter assigned in the coverage matrix; no duplicate cash or allocation.</x:v>
      </x:c>
      <x:c r="P1855" s="35" t="str">
        <x:v>All expected records and amounts match; no unexplained error or stale state.</x:v>
      </x:c>
    </x:row>
    <x:row r="1856">
      <x:c r="A1856" s="20" t="str">
        <x:v>RUN-20271204-06</x:v>
      </x:c>
      <x:c r="B1856" s="23" t="n">
        <x:v>46725</x:v>
      </x:c>
      <x:c r="C1856" s="32" t="n">
        <x:v>6</x:v>
      </x:c>
      <x:c r="D1856" s="20" t="str">
        <x:v>Monthly operations</x:v>
      </x:c>
      <x:c r="E1856" s="20" t="str">
        <x:v>Property Manager</x:v>
      </x:c>
      <x:c r="F1856" s="20" t="str">
        <x:v>Mobile</x:v>
      </x:c>
      <x:c r="G1856" s="20" t="str">
        <x:v>Portal card</x:v>
      </x:c>
      <x:c r="H1856" s="35" t="str">
        <x:v>Post and allocate tenant receipt</x:v>
      </x:c>
      <x:c r="I1856" s="35" t="str">
        <x:v>P019; U019; L019</x:v>
      </x:c>
      <x:c r="J1856" s="35" t="str"/>
      <x:c r="K1856" s="35" t="str">
        <x:v>FIN-00968; FIN-00969</x:v>
      </x:c>
      <x:c r="L1856" s="35" t="str">
        <x:v>Open Scan for paper payment or the tenant-account receipt form for electronic payment; verify tenant/lease match, amount, date, method, and reference; confirm once; open ledger detail and allocation.</x:v>
      </x:c>
      <x:c r="M1856" s="35" t="str">
        <x:v>Receipt is append-only, allocated once to the correct rent charge, and visible consistently in Unit, Lease, Tenant Account, Accounting, and portal views.</x:v>
      </x:c>
      <x:c r="N1856" s="35" t="str">
        <x:v>Scan review or form; success result; exact ledger rows; payment detail; accounting delta; portal receipt.</x:v>
      </x:c>
      <x:c r="O1856" s="35" t="str">
        <x:v>Retry the idempotency key once during the quarter assigned in the coverage matrix; no duplicate cash or allocation.</x:v>
      </x:c>
      <x:c r="P1856" s="35" t="str">
        <x:v>All expected records and amounts match; no unexplained error or stale state.</x:v>
      </x:c>
    </x:row>
    <x:row r="1857">
      <x:c r="A1857" s="20" t="str">
        <x:v>RUN-20271204-07</x:v>
      </x:c>
      <x:c r="B1857" s="23" t="n">
        <x:v>46725</x:v>
      </x:c>
      <x:c r="C1857" s="32" t="n">
        <x:v>7</x:v>
      </x:c>
      <x:c r="D1857" s="20" t="str">
        <x:v>Monthly operations</x:v>
      </x:c>
      <x:c r="E1857" s="20" t="str">
        <x:v>Property Manager</x:v>
      </x:c>
      <x:c r="F1857" s="20" t="str">
        <x:v>Mobile</x:v>
      </x:c>
      <x:c r="G1857" s="20" t="str">
        <x:v>Scanned money order</x:v>
      </x:c>
      <x:c r="H1857" s="35" t="str">
        <x:v>Post and allocate tenant receipt</x:v>
      </x:c>
      <x:c r="I1857" s="35" t="str">
        <x:v>P023; U025; L025</x:v>
      </x:c>
      <x:c r="J1857" s="35" t="str">
        <x:v>SCN-0335</x:v>
      </x:c>
      <x:c r="K1857" s="35" t="str">
        <x:v>FIN-00978; FIN-00979</x:v>
      </x:c>
      <x:c r="L1857" s="35" t="str">
        <x:v>Open Scan for paper payment or the tenant-account receipt form for electronic payment; verify tenant/lease match, amount, date, method, and reference; confirm once; open ledger detail and allocation.</x:v>
      </x:c>
      <x:c r="M1857" s="35" t="str">
        <x:v>Receipt is append-only, allocated once to the correct rent charge, and visible consistently in Unit, Lease, Tenant Account, Accounting, and portal views.</x:v>
      </x:c>
      <x:c r="N1857" s="35" t="str">
        <x:v>Scan review or form; success result; exact ledger rows; payment detail; accounting delta; portal receipt.</x:v>
      </x:c>
      <x:c r="O1857" s="35" t="str">
        <x:v>Retry the idempotency key once during the quarter assigned in the coverage matrix; no duplicate cash or allocation.</x:v>
      </x:c>
      <x:c r="P1857" s="35" t="str">
        <x:v>All expected records and amounts match; no unexplained error or stale state.</x:v>
      </x:c>
    </x:row>
    <x:row r="1858">
      <x:c r="A1858" s="20" t="str">
        <x:v>RUN-20271204-08</x:v>
      </x:c>
      <x:c r="B1858" s="23" t="n">
        <x:v>46725</x:v>
      </x:c>
      <x:c r="C1858" s="32" t="n">
        <x:v>8</x:v>
      </x:c>
      <x:c r="D1858" s="20" t="str">
        <x:v>Monthly operations</x:v>
      </x:c>
      <x:c r="E1858" s="20" t="str">
        <x:v>Property Manager</x:v>
      </x:c>
      <x:c r="F1858" s="20" t="str">
        <x:v>Web</x:v>
      </x:c>
      <x:c r="G1858" s="20" t="str">
        <x:v>Scanned check</x:v>
      </x:c>
      <x:c r="H1858" s="35" t="str">
        <x:v>Post and allocate tenant receipt</x:v>
      </x:c>
      <x:c r="I1858" s="35" t="str">
        <x:v>P024; U028; L028</x:v>
      </x:c>
      <x:c r="J1858" s="35" t="str">
        <x:v>SCN-0337</x:v>
      </x:c>
      <x:c r="K1858" s="35" t="str">
        <x:v>FIN-00985; FIN-00986</x:v>
      </x:c>
      <x:c r="L1858" s="35" t="str">
        <x:v>Open Scan for paper payment or the tenant-account receipt form for electronic payment; verify tenant/lease match, amount, date, method, and reference; confirm once; open ledger detail and allocation.</x:v>
      </x:c>
      <x:c r="M1858" s="35" t="str">
        <x:v>Receipt is append-only, allocated once to the correct rent charge, and visible consistently in Unit, Lease, Tenant Account, Accounting, and portal views.</x:v>
      </x:c>
      <x:c r="N1858" s="35" t="str">
        <x:v>Scan review or form; success result; exact ledger rows; payment detail; accounting delta; portal receipt.</x:v>
      </x:c>
      <x:c r="O1858" s="35" t="str">
        <x:v>Retry the idempotency key once during the quarter assigned in the coverage matrix; no duplicate cash or allocation.</x:v>
      </x:c>
      <x:c r="P1858" s="35" t="str">
        <x:v>All expected records and amounts match; no unexplained error or stale state.</x:v>
      </x:c>
    </x:row>
    <x:row r="1859">
      <x:c r="A1859" s="20" t="str">
        <x:v>RUN-20271204-09</x:v>
      </x:c>
      <x:c r="B1859" s="23" t="n">
        <x:v>46725</x:v>
      </x:c>
      <x:c r="C1859" s="32" t="n">
        <x:v>9</x:v>
      </x:c>
      <x:c r="D1859" s="20" t="str">
        <x:v>Monthly operations</x:v>
      </x:c>
      <x:c r="E1859" s="20" t="str">
        <x:v>Property Manager</x:v>
      </x:c>
      <x:c r="F1859" s="20" t="str">
        <x:v>Mobile</x:v>
      </x:c>
      <x:c r="G1859" s="20" t="str">
        <x:v>Portal card</x:v>
      </x:c>
      <x:c r="H1859" s="35" t="str">
        <x:v>Post and allocate tenant receipt</x:v>
      </x:c>
      <x:c r="I1859" s="35" t="str">
        <x:v>P026; U031; L031</x:v>
      </x:c>
      <x:c r="J1859" s="35" t="str"/>
      <x:c r="K1859" s="35" t="str">
        <x:v>FIN-00991; FIN-00992</x:v>
      </x:c>
      <x:c r="L1859" s="35" t="str">
        <x:v>Open Scan for paper payment or the tenant-account receipt form for electronic payment; verify tenant/lease match, amount, date, method, and reference; confirm once; open ledger detail and allocation.</x:v>
      </x:c>
      <x:c r="M1859" s="35" t="str">
        <x:v>Receipt is append-only, allocated once to the correct rent charge, and visible consistently in Unit, Lease, Tenant Account, Accounting, and portal views.</x:v>
      </x:c>
      <x:c r="N1859" s="35" t="str">
        <x:v>Scan review or form; success result; exact ledger rows; payment detail; accounting delta; portal receipt.</x:v>
      </x:c>
      <x:c r="O1859" s="35" t="str">
        <x:v>Retry the idempotency key once during the quarter assigned in the coverage matrix; no duplicate cash or allocation.</x:v>
      </x:c>
      <x:c r="P1859" s="35" t="str">
        <x:v>All expected records and amounts match; no unexplained error or stale state.</x:v>
      </x:c>
    </x:row>
    <x:row r="1860">
      <x:c r="A1860" s="20" t="str">
        <x:v>RUN-20271204-10</x:v>
      </x:c>
      <x:c r="B1860" s="23" t="n">
        <x:v>46725</x:v>
      </x:c>
      <x:c r="C1860" s="32" t="n">
        <x:v>10</x:v>
      </x:c>
      <x:c r="D1860" s="20" t="str">
        <x:v>Monthly operations</x:v>
      </x:c>
      <x:c r="E1860" s="20" t="str">
        <x:v>Property Manager</x:v>
      </x:c>
      <x:c r="F1860" s="20" t="str">
        <x:v>Mobile</x:v>
      </x:c>
      <x:c r="G1860" s="20" t="str">
        <x:v>Scanned money order</x:v>
      </x:c>
      <x:c r="H1860" s="35" t="str">
        <x:v>Post and allocate tenant receipt</x:v>
      </x:c>
      <x:c r="I1860" s="35" t="str">
        <x:v>P005; U005; L037</x:v>
      </x:c>
      <x:c r="J1860" s="35" t="str">
        <x:v>SCN-0342</x:v>
      </x:c>
      <x:c r="K1860" s="35" t="str">
        <x:v>FIN-01003; FIN-01004</x:v>
      </x:c>
      <x:c r="L1860" s="35" t="str">
        <x:v>Open Scan for paper payment or the tenant-account receipt form for electronic payment; verify tenant/lease match, amount, date, method, and reference; confirm once; open ledger detail and allocation.</x:v>
      </x:c>
      <x:c r="M1860" s="35" t="str">
        <x:v>Receipt is append-only, allocated once to the correct rent charge, and visible consistently in Unit, Lease, Tenant Account, Accounting, and portal views.</x:v>
      </x:c>
      <x:c r="N1860" s="35" t="str">
        <x:v>Scan review or form; success result; exact ledger rows; payment detail; accounting delta; portal receipt.</x:v>
      </x:c>
      <x:c r="O1860" s="35" t="str">
        <x:v>Retry the idempotency key once during the quarter assigned in the coverage matrix; no duplicate cash or allocation.</x:v>
      </x:c>
      <x:c r="P1860" s="35" t="str">
        <x:v>All expected records and amounts match; no unexplained error or stale state.</x:v>
      </x:c>
    </x:row>
    <x:row r="1861">
      <x:c r="A1861" s="20" t="str">
        <x:v>RUN-20271204-11</x:v>
      </x:c>
      <x:c r="B1861" s="23" t="n">
        <x:v>46725</x:v>
      </x:c>
      <x:c r="C1861" s="32" t="n">
        <x:v>11</x:v>
      </x:c>
      <x:c r="D1861" s="20" t="str">
        <x:v>Monthly operations</x:v>
      </x:c>
      <x:c r="E1861" s="20" t="str">
        <x:v>Property Manager</x:v>
      </x:c>
      <x:c r="F1861" s="20" t="str">
        <x:v>Web</x:v>
      </x:c>
      <x:c r="G1861" s="20" t="str">
        <x:v>Scanned check</x:v>
      </x:c>
      <x:c r="H1861" s="35" t="str">
        <x:v>Post and allocate tenant receipt</x:v>
      </x:c>
      <x:c r="I1861" s="35" t="str">
        <x:v>P021; U022; L040</x:v>
      </x:c>
      <x:c r="J1861" s="35" t="str">
        <x:v>SCN-0343</x:v>
      </x:c>
      <x:c r="K1861" s="35" t="str">
        <x:v>FIN-01010; FIN-01011</x:v>
      </x:c>
      <x:c r="L1861" s="35" t="str">
        <x:v>Open Scan for paper payment or the tenant-account receipt form for electronic payment; verify tenant/lease match, amount, date, method, and reference; confirm once; open ledger detail and allocation.</x:v>
      </x:c>
      <x:c r="M1861" s="35" t="str">
        <x:v>Receipt is append-only, allocated once to the correct rent charge, and visible consistently in Unit, Lease, Tenant Account, Accounting, and portal views.</x:v>
      </x:c>
      <x:c r="N1861" s="35" t="str">
        <x:v>Scan review or form; success result; exact ledger rows; payment detail; accounting delta; portal receipt.</x:v>
      </x:c>
      <x:c r="O1861" s="35" t="str">
        <x:v>Retry the idempotency key once during the quarter assigned in the coverage matrix; no duplicate cash or allocation.</x:v>
      </x:c>
      <x:c r="P1861" s="35" t="str">
        <x:v>All expected records and amounts match; no unexplained error or stale state.</x:v>
      </x:c>
    </x:row>
    <x:row r="1862">
      <x:c r="A1862" s="20" t="str">
        <x:v>RUN-20271204-12</x:v>
      </x:c>
      <x:c r="B1862" s="23" t="n">
        <x:v>46725</x:v>
      </x:c>
      <x:c r="C1862" s="32" t="n">
        <x:v>12</x:v>
      </x:c>
      <x:c r="D1862" s="20" t="str">
        <x:v>Monthly operations</x:v>
      </x:c>
      <x:c r="E1862" s="20" t="str">
        <x:v>Property Manager</x:v>
      </x:c>
      <x:c r="F1862" s="20" t="str">
        <x:v>Mobile</x:v>
      </x:c>
      <x:c r="G1862" s="20" t="str">
        <x:v>Portal card</x:v>
      </x:c>
      <x:c r="H1862" s="35" t="str">
        <x:v>Post and allocate tenant receipt</x:v>
      </x:c>
      <x:c r="I1862" s="35" t="str">
        <x:v>P029; U037; L043</x:v>
      </x:c>
      <x:c r="J1862" s="35" t="str"/>
      <x:c r="K1862" s="35" t="str">
        <x:v>FIN-01016; FIN-01017</x:v>
      </x:c>
      <x:c r="L1862" s="35" t="str">
        <x:v>Open Scan for paper payment or the tenant-account receipt form for electronic payment; verify tenant/lease match, amount, date, method, and reference; confirm once; open ledger detail and allocation.</x:v>
      </x:c>
      <x:c r="M1862" s="35" t="str">
        <x:v>Receipt is append-only, allocated once to the correct rent charge, and visible consistently in Unit, Lease, Tenant Account, Accounting, and portal views.</x:v>
      </x:c>
      <x:c r="N1862" s="35" t="str">
        <x:v>Scan review or form; success result; exact ledger rows; payment detail; accounting delta; portal receipt.</x:v>
      </x:c>
      <x:c r="O1862" s="35" t="str">
        <x:v>Retry the idempotency key once during the quarter assigned in the coverage matrix; no duplicate cash or allocation.</x:v>
      </x:c>
      <x:c r="P1862" s="35" t="str">
        <x:v>All expected records and amounts match; no unexplained error or stale state.</x:v>
      </x:c>
    </x:row>
    <x:row r="1863">
      <x:c r="A1863" s="20" t="str">
        <x:v>RUN-20271205-01</x:v>
      </x:c>
      <x:c r="B1863" s="23" t="n">
        <x:v>46726</x:v>
      </x:c>
      <x:c r="C1863" s="32" t="n">
        <x:v>1</x:v>
      </x:c>
      <x:c r="D1863" s="20" t="str">
        <x:v>Monthly operations</x:v>
      </x:c>
      <x:c r="E1863" s="20" t="str">
        <x:v>Property Manager</x:v>
      </x:c>
      <x:c r="F1863" s="20" t="str">
        <x:v>Web</x:v>
      </x:c>
      <x:c r="G1863" s="20" t="str">
        <x:v>Manual ACH</x:v>
      </x:c>
      <x:c r="H1863" s="35" t="str">
        <x:v>Post and allocate tenant receipt</x:v>
      </x:c>
      <x:c r="I1863" s="35" t="str">
        <x:v>P002; U002; L002</x:v>
      </x:c>
      <x:c r="J1863" s="35" t="str"/>
      <x:c r="K1863" s="35" t="str">
        <x:v>FIN-00941; FIN-00942</x:v>
      </x:c>
      <x:c r="L1863" s="35" t="str">
        <x:v>Open Scan for paper payment or the tenant-account receipt form for electronic payment; verify tenant/lease match, amount, date, method, and reference; confirm once; open ledger detail and allocation.</x:v>
      </x:c>
      <x:c r="M1863" s="35" t="str">
        <x:v>Receipt is append-only, allocated once to the correct rent charge, and visible consistently in Unit, Lease, Tenant Account, Accounting, and portal views.</x:v>
      </x:c>
      <x:c r="N1863" s="35" t="str">
        <x:v>Scan review or form; success result; exact ledger rows; payment detail; accounting delta; portal receipt.</x:v>
      </x:c>
      <x:c r="O1863" s="35" t="str">
        <x:v>Retry the idempotency key once during the quarter assigned in the coverage matrix; no duplicate cash or allocation.</x:v>
      </x:c>
      <x:c r="P1863" s="35" t="str">
        <x:v>All expected records and amounts match; no unexplained error or stale state.</x:v>
      </x:c>
    </x:row>
    <x:row r="1864">
      <x:c r="A1864" s="20" t="str">
        <x:v>RUN-20271205-02</x:v>
      </x:c>
      <x:c r="B1864" s="23" t="n">
        <x:v>46726</x:v>
      </x:c>
      <x:c r="C1864" s="32" t="n">
        <x:v>2</x:v>
      </x:c>
      <x:c r="D1864" s="20" t="str">
        <x:v>Monthly operations</x:v>
      </x:c>
      <x:c r="E1864" s="20" t="str">
        <x:v>Property Manager</x:v>
      </x:c>
      <x:c r="F1864" s="20" t="str">
        <x:v>Web</x:v>
      </x:c>
      <x:c r="G1864" s="20" t="str">
        <x:v>Scanned check</x:v>
      </x:c>
      <x:c r="H1864" s="35" t="str">
        <x:v>Post and allocate tenant receipt</x:v>
      </x:c>
      <x:c r="I1864" s="35" t="str">
        <x:v>P020; U020; L020</x:v>
      </x:c>
      <x:c r="J1864" s="35" t="str">
        <x:v>SCN-0332</x:v>
      </x:c>
      <x:c r="K1864" s="35" t="str">
        <x:v>FIN-00970; FIN-00971</x:v>
      </x:c>
      <x:c r="L1864" s="35" t="str">
        <x:v>Open Scan for paper payment or the tenant-account receipt form for electronic payment; verify tenant/lease match, amount, date, method, and reference; confirm once; open ledger detail and allocation.</x:v>
      </x:c>
      <x:c r="M1864" s="35" t="str">
        <x:v>Receipt is append-only, allocated once to the correct rent charge, and visible consistently in Unit, Lease, Tenant Account, Accounting, and portal views.</x:v>
      </x:c>
      <x:c r="N1864" s="35" t="str">
        <x:v>Scan review or form; success result; exact ledger rows; payment detail; accounting delta; portal receipt.</x:v>
      </x:c>
      <x:c r="O1864" s="35" t="str">
        <x:v>Retry the idempotency key once during the quarter assigned in the coverage matrix; no duplicate cash or allocation.</x:v>
      </x:c>
      <x:c r="P1864" s="35" t="str">
        <x:v>All expected records and amounts match; no unexplained error or stale state.</x:v>
      </x:c>
    </x:row>
    <x:row r="1865">
      <x:c r="A1865" s="20" t="str">
        <x:v>RUN-20271205-03</x:v>
      </x:c>
      <x:c r="B1865" s="23" t="n">
        <x:v>46726</x:v>
      </x:c>
      <x:c r="C1865" s="32" t="n">
        <x:v>3</x:v>
      </x:c>
      <x:c r="D1865" s="20" t="str">
        <x:v>Monthly operations</x:v>
      </x:c>
      <x:c r="E1865" s="20" t="str">
        <x:v>Property Manager</x:v>
      </x:c>
      <x:c r="F1865" s="20" t="str">
        <x:v>Mobile</x:v>
      </x:c>
      <x:c r="G1865" s="20" t="str">
        <x:v>Portal card</x:v>
      </x:c>
      <x:c r="H1865" s="35" t="str">
        <x:v>Post and allocate tenant receipt</x:v>
      </x:c>
      <x:c r="I1865" s="35" t="str">
        <x:v>P022; U023; L023</x:v>
      </x:c>
      <x:c r="J1865" s="35" t="str"/>
      <x:c r="K1865" s="35" t="str">
        <x:v>FIN-00974; FIN-00975</x:v>
      </x:c>
      <x:c r="L1865" s="35" t="str">
        <x:v>Open Scan for paper payment or the tenant-account receipt form for electronic payment; verify tenant/lease match, amount, date, method, and reference; confirm once; open ledger detail and allocation.</x:v>
      </x:c>
      <x:c r="M1865" s="35" t="str">
        <x:v>Receipt is append-only, allocated once to the correct rent charge, and visible consistently in Unit, Lease, Tenant Account, Accounting, and portal views.</x:v>
      </x:c>
      <x:c r="N1865" s="35" t="str">
        <x:v>Scan review or form; success result; exact ledger rows; payment detail; accounting delta; portal receipt.</x:v>
      </x:c>
      <x:c r="O1865" s="35" t="str">
        <x:v>Retry the idempotency key once during the quarter assigned in the coverage matrix; no duplicate cash or allocation.</x:v>
      </x:c>
      <x:c r="P1865" s="35" t="str">
        <x:v>All expected records and amounts match; no unexplained error or stale state.</x:v>
      </x:c>
    </x:row>
    <x:row r="1866">
      <x:c r="A1866" s="20" t="str">
        <x:v>RUN-20271205-04</x:v>
      </x:c>
      <x:c r="B1866" s="23" t="n">
        <x:v>46726</x:v>
      </x:c>
      <x:c r="C1866" s="32" t="n">
        <x:v>4</x:v>
      </x:c>
      <x:c r="D1866" s="20" t="str">
        <x:v>Monthly operations</x:v>
      </x:c>
      <x:c r="E1866" s="20" t="str">
        <x:v>Property Manager</x:v>
      </x:c>
      <x:c r="F1866" s="20" t="str">
        <x:v>Mobile</x:v>
      </x:c>
      <x:c r="G1866" s="20" t="str">
        <x:v>Scanned money order</x:v>
      </x:c>
      <x:c r="H1866" s="35" t="str">
        <x:v>Post and allocate tenant receipt</x:v>
      </x:c>
      <x:c r="I1866" s="35" t="str">
        <x:v>P025; U029; L029</x:v>
      </x:c>
      <x:c r="J1866" s="35" t="str">
        <x:v>SCN-0338</x:v>
      </x:c>
      <x:c r="K1866" s="35" t="str">
        <x:v>FIN-00987; FIN-00988</x:v>
      </x:c>
      <x:c r="L1866" s="35" t="str">
        <x:v>Open Scan for paper payment or the tenant-account receipt form for electronic payment; verify tenant/lease match, amount, date, method, and reference; confirm once; open ledger detail and allocation.</x:v>
      </x:c>
      <x:c r="M1866" s="35" t="str">
        <x:v>Receipt is append-only, allocated once to the correct rent charge, and visible consistently in Unit, Lease, Tenant Account, Accounting, and portal views.</x:v>
      </x:c>
      <x:c r="N1866" s="35" t="str">
        <x:v>Scan review or form; success result; exact ledger rows; payment detail; accounting delta; portal receipt.</x:v>
      </x:c>
      <x:c r="O1866" s="35" t="str">
        <x:v>Retry the idempotency key once during the quarter assigned in the coverage matrix; no duplicate cash or allocation.</x:v>
      </x:c>
      <x:c r="P1866" s="35" t="str">
        <x:v>All expected records and amounts match; no unexplained error or stale state.</x:v>
      </x:c>
    </x:row>
    <x:row r="1867">
      <x:c r="A1867" s="20" t="str">
        <x:v>RUN-20271205-05</x:v>
      </x:c>
      <x:c r="B1867" s="23" t="n">
        <x:v>46726</x:v>
      </x:c>
      <x:c r="C1867" s="32" t="n">
        <x:v>5</x:v>
      </x:c>
      <x:c r="D1867" s="20" t="str">
        <x:v>Monthly operations</x:v>
      </x:c>
      <x:c r="E1867" s="20" t="str">
        <x:v>Property Manager</x:v>
      </x:c>
      <x:c r="F1867" s="20" t="str">
        <x:v>Web</x:v>
      </x:c>
      <x:c r="G1867" s="20" t="str">
        <x:v>Scanned check</x:v>
      </x:c>
      <x:c r="H1867" s="35" t="str">
        <x:v>Post and allocate tenant receipt</x:v>
      </x:c>
      <x:c r="I1867" s="35" t="str">
        <x:v>P026; U032; L032</x:v>
      </x:c>
      <x:c r="J1867" s="35" t="str">
        <x:v>SCN-0339</x:v>
      </x:c>
      <x:c r="K1867" s="35" t="str">
        <x:v>FIN-00993; FIN-00994</x:v>
      </x:c>
      <x:c r="L1867" s="35" t="str">
        <x:v>Open Scan for paper payment or the tenant-account receipt form for electronic payment; verify tenant/lease match, amount, date, method, and reference; confirm once; open ledger detail and allocation.</x:v>
      </x:c>
      <x:c r="M1867" s="35" t="str">
        <x:v>Receipt is append-only, allocated once to the correct rent charge, and visible consistently in Unit, Lease, Tenant Account, Accounting, and portal views.</x:v>
      </x:c>
      <x:c r="N1867" s="35" t="str">
        <x:v>Scan review or form; success result; exact ledger rows; payment detail; accounting delta; portal receipt.</x:v>
      </x:c>
      <x:c r="O1867" s="35" t="str">
        <x:v>Retry the idempotency key once during the quarter assigned in the coverage matrix; no duplicate cash or allocation.</x:v>
      </x:c>
      <x:c r="P1867" s="35" t="str">
        <x:v>All expected records and amounts match; no unexplained error or stale state.</x:v>
      </x:c>
    </x:row>
    <x:row r="1868">
      <x:c r="A1868" s="20" t="str">
        <x:v>RUN-20271205-06</x:v>
      </x:c>
      <x:c r="B1868" s="23" t="n">
        <x:v>46726</x:v>
      </x:c>
      <x:c r="C1868" s="32" t="n">
        <x:v>6</x:v>
      </x:c>
      <x:c r="D1868" s="20" t="str">
        <x:v>Monthly operations</x:v>
      </x:c>
      <x:c r="E1868" s="20" t="str">
        <x:v>Property Manager</x:v>
      </x:c>
      <x:c r="F1868" s="20" t="str">
        <x:v>Mobile</x:v>
      </x:c>
      <x:c r="G1868" s="20" t="str">
        <x:v>Portal card</x:v>
      </x:c>
      <x:c r="H1868" s="35" t="str">
        <x:v>Post and allocate tenant receipt</x:v>
      </x:c>
      <x:c r="I1868" s="35" t="str">
        <x:v>P028; U035; L035</x:v>
      </x:c>
      <x:c r="J1868" s="35" t="str"/>
      <x:c r="K1868" s="35" t="str">
        <x:v>FIN-00999; FIN-01000</x:v>
      </x:c>
      <x:c r="L1868" s="35" t="str">
        <x:v>Open Scan for paper payment or the tenant-account receipt form for electronic payment; verify tenant/lease match, amount, date, method, and reference; confirm once; open ledger detail and allocation.</x:v>
      </x:c>
      <x:c r="M1868" s="35" t="str">
        <x:v>Receipt is append-only, allocated once to the correct rent charge, and visible consistently in Unit, Lease, Tenant Account, Accounting, and portal views.</x:v>
      </x:c>
      <x:c r="N1868" s="35" t="str">
        <x:v>Scan review or form; success result; exact ledger rows; payment detail; accounting delta; portal receipt.</x:v>
      </x:c>
      <x:c r="O1868" s="35" t="str">
        <x:v>Retry the idempotency key once during the quarter assigned in the coverage matrix; no duplicate cash or allocation.</x:v>
      </x:c>
      <x:c r="P1868" s="35" t="str">
        <x:v>All expected records and amounts match; no unexplained error or stale state.</x:v>
      </x:c>
    </x:row>
    <x:row r="1869">
      <x:c r="A1869" s="20" t="str">
        <x:v>RUN-20271205-07</x:v>
      </x:c>
      <x:c r="B1869" s="23" t="n">
        <x:v>46726</x:v>
      </x:c>
      <x:c r="C1869" s="32" t="n">
        <x:v>7</x:v>
      </x:c>
      <x:c r="D1869" s="20" t="str">
        <x:v>Monthly operations</x:v>
      </x:c>
      <x:c r="E1869" s="20" t="str">
        <x:v>Property Manager</x:v>
      </x:c>
      <x:c r="F1869" s="20" t="str">
        <x:v>Web</x:v>
      </x:c>
      <x:c r="G1869" s="20" t="str">
        <x:v>Manual ACH</x:v>
      </x:c>
      <x:c r="H1869" s="35" t="str">
        <x:v>Post and allocate tenant receipt</x:v>
      </x:c>
      <x:c r="I1869" s="35" t="str">
        <x:v>P014; U014; L038</x:v>
      </x:c>
      <x:c r="J1869" s="35" t="str"/>
      <x:c r="K1869" s="35" t="str">
        <x:v>FIN-01005; FIN-01006</x:v>
      </x:c>
      <x:c r="L1869" s="35" t="str">
        <x:v>Open Scan for paper payment or the tenant-account receipt form for electronic payment; verify tenant/lease match, amount, date, method, and reference; confirm once; open ledger detail and allocation.</x:v>
      </x:c>
      <x:c r="M1869" s="35" t="str">
        <x:v>Receipt is append-only, allocated once to the correct rent charge, and visible consistently in Unit, Lease, Tenant Account, Accounting, and portal views.</x:v>
      </x:c>
      <x:c r="N1869" s="35" t="str">
        <x:v>Scan review or form; success result; exact ledger rows; payment detail; accounting delta; portal receipt.</x:v>
      </x:c>
      <x:c r="O1869" s="35" t="str">
        <x:v>Retry the idempotency key once during the quarter assigned in the coverage matrix; no duplicate cash or allocation.</x:v>
      </x:c>
      <x:c r="P1869" s="35" t="str">
        <x:v>All expected records and amounts match; no unexplained error or stale state.</x:v>
      </x:c>
    </x:row>
    <x:row r="1870">
      <x:c r="A1870" s="20" t="str">
        <x:v>RUN-20271205-08</x:v>
      </x:c>
      <x:c r="B1870" s="23" t="n">
        <x:v>46726</x:v>
      </x:c>
      <x:c r="C1870" s="32" t="n">
        <x:v>8</x:v>
      </x:c>
      <x:c r="D1870" s="20" t="str">
        <x:v>Monthly operations</x:v>
      </x:c>
      <x:c r="E1870" s="20" t="str">
        <x:v>Property Manager</x:v>
      </x:c>
      <x:c r="F1870" s="20" t="str">
        <x:v>Mobile</x:v>
      </x:c>
      <x:c r="G1870" s="20" t="str">
        <x:v>Scanned money order</x:v>
      </x:c>
      <x:c r="H1870" s="35" t="str">
        <x:v>Post and allocate tenant receipt</x:v>
      </x:c>
      <x:c r="I1870" s="35" t="str">
        <x:v>P030; U040; L041</x:v>
      </x:c>
      <x:c r="J1870" s="35" t="str">
        <x:v>SCN-0344</x:v>
      </x:c>
      <x:c r="K1870" s="35" t="str">
        <x:v>FIN-01012; FIN-01013</x:v>
      </x:c>
      <x:c r="L1870" s="35" t="str">
        <x:v>Open Scan for paper payment or the tenant-account receipt form for electronic payment; verify tenant/lease match, amount, date, method, and reference; confirm once; open ledger detail and allocation.</x:v>
      </x:c>
      <x:c r="M1870" s="35" t="str">
        <x:v>Receipt is append-only, allocated once to the correct rent charge, and visible consistently in Unit, Lease, Tenant Account, Accounting, and portal views.</x:v>
      </x:c>
      <x:c r="N1870" s="35" t="str">
        <x:v>Scan review or form; success result; exact ledger rows; payment detail; accounting delta; portal receipt.</x:v>
      </x:c>
      <x:c r="O1870" s="35" t="str">
        <x:v>Retry the idempotency key once during the quarter assigned in the coverage matrix; no duplicate cash or allocation.</x:v>
      </x:c>
      <x:c r="P1870" s="35" t="str">
        <x:v>All expected records and amounts match; no unexplained error or stale state.</x:v>
      </x:c>
    </x:row>
    <x:row r="1871">
      <x:c r="A1871" s="20" t="str">
        <x:v>RUN-20271205-09</x:v>
      </x:c>
      <x:c r="B1871" s="23" t="n">
        <x:v>46726</x:v>
      </x:c>
      <x:c r="C1871" s="32" t="n">
        <x:v>9</x:v>
      </x:c>
      <x:c r="D1871" s="20" t="str">
        <x:v>Lease ending</x:v>
      </x:c>
      <x:c r="E1871" s="20" t="str">
        <x:v>Workspace Administrator</x:v>
      </x:c>
      <x:c r="F1871" s="20" t="str">
        <x:v>Web + Mobile</x:v>
      </x:c>
      <x:c r="G1871" s="20" t="str">
        <x:v>Manual financial disposition</x:v>
      </x:c>
      <x:c r="H1871" s="35" t="str">
        <x:v>Finalize security deposit disposition</x:v>
      </x:c>
      <x:c r="I1871" s="35" t="str">
        <x:v>L034; U034</x:v>
      </x:c>
      <x:c r="J1871" s="35" t="str">
        <x:v>SCN-0946</x:v>
      </x:c>
      <x:c r="K1871" s="35" t="str">
        <x:v>FIN-01671; FIN-01672; FIN-01673</x:v>
      </x:c>
      <x:c r="L1871" s="35" t="str">
        <x:v>Create supported damage charge if applicable; apply deposit to the tenant balance; transfer applied cash to operating; refund the remainder; deliver itemized statement; compare ledger and deposit register.</x:v>
      </x:c>
      <x:c r="M1871" s="35" t="str">
        <x:v>Deposit liability falls by $1,900.00; tenant AR falls by $310.00; refund is $1,590.00; income changes only for supported charges.</x:v>
      </x:c>
      <x:c r="N1871" s="35" t="str">
        <x:v>Inspection support; charge; application; cash transfer; refund; itemized statement; portal/account history; accounting checks.</x:v>
      </x:c>
      <x:c r="O1871" s="35" t="str">
        <x:v>Inject a failure before final save and prove charge/application/refund/audit rows all roll back together.</x:v>
      </x:c>
      <x:c r="P1871" s="35" t="str">
        <x:v>All expected records and amounts match; no unexplained error or stale state.</x:v>
      </x:c>
    </x:row>
    <x:row r="1872">
      <x:c r="A1872" s="20" t="str">
        <x:v>RUN-20271206-01</x:v>
      </x:c>
      <x:c r="B1872" s="23" t="n">
        <x:v>46727</x:v>
      </x:c>
      <x:c r="C1872" s="32" t="n">
        <x:v>1</x:v>
      </x:c>
      <x:c r="D1872" s="20" t="str">
        <x:v>Weekly operations</x:v>
      </x:c>
      <x:c r="E1872" s="20" t="str">
        <x:v>Property Manager</x:v>
      </x:c>
      <x:c r="F1872" s="20" t="str">
        <x:v>Mobile</x:v>
      </x:c>
      <x:c r="G1872" s="20" t="str">
        <x:v>Scan-first</x:v>
      </x:c>
      <x:c r="H1872" s="35" t="str">
        <x:v>Create and triage maintenance request</x:v>
      </x:c>
      <x:c r="I1872" s="35" t="str">
        <x:v>P022; U024; WO-2027-049</x:v>
      </x:c>
      <x:c r="J1872" s="35" t="str">
        <x:v>SCN-0434</x:v>
      </x:c>
      <x:c r="K1872" s="35" t="str"/>
      <x:c r="L1872" s="35" t="str">
        <x:v>Capture the tenant note/photo; review HVAC filter and no-cool call; confirm; set responsibility; dispatch ClearFlow Restoration; create an appointment and verify the tenant notification.</x:v>
      </x:c>
      <x:c r="M1872" s="35" t="str">
        <x:v>Work order, status timeline, responsibility, vendor dispatch, appointment, notification, and Unit context are linked once.</x:v>
      </x:c>
      <x:c r="N1872" s="35" t="str">
        <x:v>Scan review; work order detail/timeline; dispatch; appointment; notification; tenant portal view.</x:v>
      </x:c>
      <x:c r="O1872" s="35" t="str">
        <x:v>Cancel one dispatch each quarter, reassign once, and prove status/history remains append-only.</x:v>
      </x:c>
      <x:c r="P1872" s="35" t="str">
        <x:v>All expected records and amounts match; no unexplained error or stale state.</x:v>
      </x:c>
    </x:row>
    <x:row r="1873">
      <x:c r="A1873" s="20" t="str">
        <x:v>RUN-20271206-02</x:v>
      </x:c>
      <x:c r="B1873" s="23" t="n">
        <x:v>46727</x:v>
      </x:c>
      <x:c r="C1873" s="32" t="n">
        <x:v>2</x:v>
      </x:c>
      <x:c r="D1873" s="20" t="str">
        <x:v>Role and screen certification</x:v>
      </x:c>
      <x:c r="E1873" s="20" t="str">
        <x:v>Maintenance Technician</x:v>
      </x:c>
      <x:c r="F1873" s="20" t="str">
        <x:v>Mobile</x:v>
      </x:c>
      <x:c r="G1873" s="20" t="str">
        <x:v>Normal persona navigation</x:v>
      </x:c>
      <x:c r="H1873" s="35" t="str">
        <x:v>Use every permitted action and state on features/technician/technician_assignment_detail_screen.dart</x:v>
      </x:c>
      <x:c r="I1873" s="35" t="str">
        <x:v>SCR-185; ROLE-320</x:v>
      </x:c>
      <x:c r="J1873" s="35" t="str"/>
      <x:c r="K1873" s="35" t="str"/>
      <x:c r="L187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73" s="35" t="str">
        <x:v>The persona can use every allowed action with only its assigned properties/relationships. Hidden or disabled actions explain why; an adjacent unauthorized persona is denied without metadata leakage.</x:v>
      </x:c>
      <x:c r="N1873" s="35" t="str">
        <x:v>Persona/experience; navigation entry; desktop or device screenshots; result state; persisted read-back; audit/history; authorized and denied network result.</x:v>
      </x:c>
      <x:c r="O1873" s="35" t="str">
        <x:v>Open the direct URL or deep link with an adjacent unauthorized persona and with stale scope; both fail closed and land safely without mutation.</x:v>
      </x:c>
      <x:c r="P1873" s="35" t="str">
        <x:v>All expected records and amounts match; no unexplained error or stale state.</x:v>
      </x:c>
    </x:row>
    <x:row r="1874">
      <x:c r="A1874" s="20" t="str">
        <x:v>RUN-20271206-03</x:v>
      </x:c>
      <x:c r="B1874" s="23" t="n">
        <x:v>46727</x:v>
      </x:c>
      <x:c r="C1874" s="32" t="n">
        <x:v>3</x:v>
      </x:c>
      <x:c r="D1874" s="20" t="str">
        <x:v>Field certification</x:v>
      </x:c>
      <x:c r="E1874" s="20" t="str">
        <x:v>Applicant / public user</x:v>
      </x:c>
      <x:c r="F1874" s="20" t="str">
        <x:v>Mobile</x:v>
      </x:c>
      <x:c r="G1874" s="20" t="str">
        <x:v>Manual field-by-field</x:v>
      </x:c>
      <x:c r="H1874" s="35" t="str">
        <x:v>Fill, save, reload, edit, and validate every declared field on features/recurring_maintenance/recurring_maintenance_form_screen.dart</x:v>
      </x:c>
      <x:c r="I1874" s="35" t="str">
        <x:v>FLD-1011; FLD-1012; FLD-1013; FLD-1014; FLD-1015</x:v>
      </x:c>
      <x:c r="J1874" s="35" t="str"/>
      <x:c r="K1874" s="35" t="str"/>
      <x:c r="L1874" s="35" t="str">
        <x:v>Use the source-derived Field Inventory. Enter non-default realistic values in every control (Category (optional); Repeats; _estimatedCostCtrl; SwitchListTile-9; onChanged); submit; reload or relaunch; compare every value; edit each mutable field; verify the paired client; then run required, format, length, range, boundary, optional-null, and stale-submit checks.</x:v>
      </x:c>
      <x:c r="M1874" s="35" t="str">
        <x:v>All 5 inventoried controls persist exact normalized values, invalid values stay unsaved with clear errors, and hidden/unauthorized fields cannot be altered.</x:v>
      </x:c>
      <x:c r="N1874" s="35" t="str">
        <x:v>Before/after form screenshots; FLD IDs; API response; reloaded UI; paired-client read-back; database/audit evidence; negative validation result.</x:v>
      </x:c>
      <x:c r="O1874" s="35" t="str">
        <x:v>Use a duplicate submit and one simulated network interruption; one atomic mutation or none, never partial state.</x:v>
      </x:c>
      <x:c r="P1874" s="35" t="str">
        <x:v>All expected records and amounts match; no unexplained error or stale state.</x:v>
      </x:c>
    </x:row>
    <x:row r="1875">
      <x:c r="A1875" s="20" t="str">
        <x:v>RUN-20271206-04</x:v>
      </x:c>
      <x:c r="B1875" s="23" t="n">
        <x:v>46727</x:v>
      </x:c>
      <x:c r="C1875" s="32" t="n">
        <x:v>4</x:v>
      </x:c>
      <x:c r="D1875" s="20" t="str">
        <x:v>Surface coverage</x:v>
      </x:c>
      <x:c r="E1875" s="20" t="str">
        <x:v>Role appropriate to surface</x:v>
      </x:c>
      <x:c r="F1875" s="20" t="str">
        <x:v>Mobile</x:v>
      </x:c>
      <x:c r="G1875" s="20" t="str">
        <x:v>Manual</x:v>
      </x:c>
      <x:c r="H1875" s="35" t="str">
        <x:v>Manual mobile pass: Tenant home/account/payments/lease</x:v>
      </x:c>
      <x:c r="I1875" s="35" t="str">
        <x:v>COV-043</x:v>
      </x:c>
      <x:c r="J1875" s="35" t="str"/>
      <x:c r="K1875" s="35" t="str"/>
      <x:c r="L1875" s="35" t="str">
        <x:v>View balance/ledger/receipt, pay in test mode, view/sign/download lease, profile/account, and multiple/historical lease behavior.</x:v>
      </x:c>
      <x:c r="M1875" s="35" t="str">
        <x:v>The supported workflow completes and persists correctly; if the capability is absent, the exact gap is proven and queued rather than silently skipped.</x:v>
      </x:c>
      <x:c r="N1875" s="35" t="str">
        <x:v>Real UI screenshot/state; submitted values; persisted read-back; cross-client read-back; audit/role/access evidence.</x:v>
      </x:c>
      <x:c r="O1875" s="35" t="str">
        <x:v>Use one invalid value, stale-state retry, or duplicate submission relevant to the form; no partial or duplicate mutation.</x:v>
      </x:c>
      <x:c r="P1875" s="35" t="str">
        <x:v>All expected records and amounts match; no unexplained error or stale state.</x:v>
      </x:c>
    </x:row>
    <x:row r="1876">
      <x:c r="A1876" s="20" t="str">
        <x:v>RUN-20271207-01</x:v>
      </x:c>
      <x:c r="B1876" s="23" t="n">
        <x:v>46728</x:v>
      </x:c>
      <x:c r="C1876" s="32" t="n">
        <x:v>1</x:v>
      </x:c>
      <x:c r="D1876" s="20" t="str">
        <x:v>Weekly operations</x:v>
      </x:c>
      <x:c r="E1876" s="20" t="str">
        <x:v>Property Manager</x:v>
      </x:c>
      <x:c r="F1876" s="20" t="str">
        <x:v>Mobile</x:v>
      </x:c>
      <x:c r="G1876" s="20" t="str">
        <x:v>Scanned receipt/invoice</x:v>
      </x:c>
      <x:c r="H1876" s="35" t="str">
        <x:v>Record, review, allocate, and pay operating expense</x:v>
      </x:c>
      <x:c r="I1876" s="35" t="str">
        <x:v>P022; U024; WO-2027-049</x:v>
      </x:c>
      <x:c r="J1876" s="35" t="str">
        <x:v>SCN-0435</x:v>
      </x:c>
      <x:c r="K1876" s="35" t="str">
        <x:v>FIN-01072</x:v>
      </x:c>
      <x:c r="L1876" s="35" t="str">
        <x:v>Capture or upload the source; verify vendor, date, scope, category, line items, tax, amount, and work-order link; confirm; open detail; verify attachment; compare Money and Property/Unit views.</x:v>
      </x:c>
      <x:c r="M1876" s="35" t="str">
        <x:v>One expense exists at its real operational scope, cash falls once, Schedule E category and allocations agree, and no per-unit copies are created.</x:v>
      </x:c>
      <x:c r="N1876" s="35" t="str">
        <x:v>Source preview; review/form; expense detail; line items; Property/Unit ledger; audit; accounting/report delta.</x:v>
      </x:c>
      <x:c r="O1876" s="35" t="str">
        <x:v>On marked duplicate-invoice cases, re-upload before confirm and prove the product prevents or clearly warns about duplication.</x:v>
      </x:c>
      <x:c r="P1876" s="35" t="str">
        <x:v>All expected records and amounts match; no unexplained error or stale state.</x:v>
      </x:c>
    </x:row>
    <x:row r="1877">
      <x:c r="A1877" s="20" t="str">
        <x:v>RUN-20271207-02</x:v>
      </x:c>
      <x:c r="B1877" s="23" t="n">
        <x:v>46728</x:v>
      </x:c>
      <x:c r="C1877" s="32" t="n">
        <x:v>2</x:v>
      </x:c>
      <x:c r="D1877" s="20" t="str">
        <x:v>Field certification</x:v>
      </x:c>
      <x:c r="E1877" s="20" t="str">
        <x:v>Applicant / public user</x:v>
      </x:c>
      <x:c r="F1877" s="20" t="str">
        <x:v>Mobile</x:v>
      </x:c>
      <x:c r="G1877" s="20" t="str">
        <x:v>Manual field-by-field</x:v>
      </x:c>
      <x:c r="H1877" s="35" t="str">
        <x:v>Fill, save, reload, edit, and validate every declared field on features/recurring_maintenance/recurring_maintenance_list_screen.dart</x:v>
      </x:c>
      <x:c r="I1877" s="35" t="str">
        <x:v>FLD-1016</x:v>
      </x:c>
      <x:c r="J1877" s="35" t="str"/>
      <x:c r="K1877" s="35" t="str"/>
      <x:c r="L1877" s="35" t="str">
        <x:v>Use the source-derived Field Inventory. Enter non-default realistic values in every control (SegmentedButton-1); submit; reload or relaunch; compare every value; edit each mutable field; verify the paired client; then run required, format, length, range, boundary, optional-null, and stale-submit checks.</x:v>
      </x:c>
      <x:c r="M1877" s="35" t="str">
        <x:v>All 1 inventoried controls persist exact normalized values, invalid values stay unsaved with clear errors, and hidden/unauthorized fields cannot be altered.</x:v>
      </x:c>
      <x:c r="N1877" s="35" t="str">
        <x:v>Before/after form screenshots; FLD IDs; API response; reloaded UI; paired-client read-back; database/audit evidence; negative validation result.</x:v>
      </x:c>
      <x:c r="O1877" s="35" t="str">
        <x:v>Use a duplicate submit and one simulated network interruption; one atomic mutation or none, never partial state.</x:v>
      </x:c>
      <x:c r="P1877" s="35" t="str">
        <x:v>All expected records and amounts match; no unexplained error or stale state.</x:v>
      </x:c>
    </x:row>
    <x:row r="1878">
      <x:c r="A1878" s="20" t="str">
        <x:v>RUN-20271207-03</x:v>
      </x:c>
      <x:c r="B1878" s="23" t="n">
        <x:v>46728</x:v>
      </x:c>
      <x:c r="C1878" s="32" t="n">
        <x:v>3</x:v>
      </x:c>
      <x:c r="D1878" s="20" t="str">
        <x:v>Field certification</x:v>
      </x:c>
      <x:c r="E1878" s="20" t="str">
        <x:v>Applicant / public user</x:v>
      </x:c>
      <x:c r="F1878" s="20" t="str">
        <x:v>Mobile</x:v>
      </x:c>
      <x:c r="G1878" s="20" t="str">
        <x:v>Manual field-by-field</x:v>
      </x:c>
      <x:c r="H1878" s="35" t="str">
        <x:v>Fill, save, reload, edit, and validate every declared field on features/scan/guided_rental_flow.dart</x:v>
      </x:c>
      <x:c r="I1878" s="35" t="str">
        <x:v>FLD-1017; FLD-1018</x:v>
      </x:c>
      <x:c r="J1878" s="35" t="str"/>
      <x:c r="K1878" s="35" t="str"/>
      <x:c r="L1878" s="35" t="str">
        <x:v>Use the source-derived Field Inventory. Enter non-default realistic values in every control (c; SegmentedButton-2); submit; reload or relaunch; compare every value; edit each mutable field; verify the paired client; then run required, format, length, range, boundary, optional-null, and stale-submit checks.</x:v>
      </x:c>
      <x:c r="M1878" s="35" t="str">
        <x:v>All 2 inventoried controls persist exact normalized values, invalid values stay unsaved with clear errors, and hidden/unauthorized fields cannot be altered.</x:v>
      </x:c>
      <x:c r="N1878" s="35" t="str">
        <x:v>Before/after form screenshots; FLD IDs; API response; reloaded UI; paired-client read-back; database/audit evidence; negative validation result.</x:v>
      </x:c>
      <x:c r="O1878" s="35" t="str">
        <x:v>Use a duplicate submit and one simulated network interruption; one atomic mutation or none, never partial state.</x:v>
      </x:c>
      <x:c r="P1878" s="35" t="str">
        <x:v>All expected records and amounts match; no unexplained error or stale state.</x:v>
      </x:c>
    </x:row>
    <x:row r="1879">
      <x:c r="A1879" s="20" t="str">
        <x:v>RUN-20271207-04</x:v>
      </x:c>
      <x:c r="B1879" s="23" t="n">
        <x:v>46728</x:v>
      </x:c>
      <x:c r="C1879" s="32" t="n">
        <x:v>4</x:v>
      </x:c>
      <x:c r="D1879" s="20" t="str">
        <x:v>Field certification</x:v>
      </x:c>
      <x:c r="E1879" s="20" t="str">
        <x:v>Applicant / public user</x:v>
      </x:c>
      <x:c r="F1879" s="20" t="str">
        <x:v>Mobile</x:v>
      </x:c>
      <x:c r="G1879" s="20" t="str">
        <x:v>Manual field-by-field</x:v>
      </x:c>
      <x:c r="H1879" s="35" t="str">
        <x:v>Fill, save, reload, edit, and validate every declared field on features/scan/scan_capture.dart</x:v>
      </x:c>
      <x:c r="I1879" s="35" t="str">
        <x:v>FLD-1019</x:v>
      </x:c>
      <x:c r="J1879" s="35" t="str"/>
      <x:c r="K1879" s="35" t="str"/>
      <x:c r="L1879" s="35" t="str">
        <x:v>Use the source-derived Field Inventory. Enter non-default realistic values in every control (Document type); submit; reload or relaunch; compare every value; edit each mutable field; verify the paired client; then run required, format, length, range, boundary, optional-null, and stale-submit checks.</x:v>
      </x:c>
      <x:c r="M1879" s="35" t="str">
        <x:v>All 1 inventoried controls persist exact normalized values, invalid values stay unsaved with clear errors, and hidden/unauthorized fields cannot be altered.</x:v>
      </x:c>
      <x:c r="N1879" s="35" t="str">
        <x:v>Before/after form screenshots; FLD IDs; API response; reloaded UI; paired-client read-back; database/audit evidence; negative validation result.</x:v>
      </x:c>
      <x:c r="O1879" s="35" t="str">
        <x:v>Use a duplicate submit and one simulated network interruption; one atomic mutation or none, never partial state.</x:v>
      </x:c>
      <x:c r="P1879" s="35" t="str">
        <x:v>All expected records and amounts match; no unexplained error or stale state.</x:v>
      </x:c>
    </x:row>
    <x:row r="1880">
      <x:c r="A1880" s="20" t="str">
        <x:v>RUN-20271207-05</x:v>
      </x:c>
      <x:c r="B1880" s="23" t="n">
        <x:v>46728</x:v>
      </x:c>
      <x:c r="C1880" s="32" t="n">
        <x:v>5</x:v>
      </x:c>
      <x:c r="D1880" s="20" t="str">
        <x:v>Surface coverage</x:v>
      </x:c>
      <x:c r="E1880" s="20" t="str">
        <x:v>Role appropriate to surface</x:v>
      </x:c>
      <x:c r="F1880" s="20" t="str">
        <x:v>Web</x:v>
      </x:c>
      <x:c r="G1880" s="20" t="str">
        <x:v>Scan/attachment</x:v>
      </x:c>
      <x:c r="H1880" s="35" t="str">
        <x:v>Scan web pass: Tenant home/account/payments/lease</x:v>
      </x:c>
      <x:c r="I1880" s="35" t="str">
        <x:v>COV-043</x:v>
      </x:c>
      <x:c r="J1880" s="35" t="str"/>
      <x:c r="K1880" s="35" t="str"/>
      <x:c r="L1880" s="35" t="str">
        <x:v>View balance/ledger/receipt, pay in test mode, view/sign/download lease, profile/account, and multiple/historical lease behavior.</x:v>
      </x:c>
      <x:c r="M1880" s="35" t="str">
        <x:v>The supported workflow completes and persists correctly; if the capability is absent, the exact gap is proven and queued rather than silently skipped.</x:v>
      </x:c>
      <x:c r="N1880" s="35" t="str">
        <x:v>Real UI screenshot/state; submitted values; persisted read-back; cross-client read-back; audit/role/access evidence.</x:v>
      </x:c>
      <x:c r="O1880" s="35" t="str">
        <x:v>Use one invalid value, stale-state retry, or duplicate submission relevant to the form; no partial or duplicate mutation.</x:v>
      </x:c>
      <x:c r="P1880" s="35" t="str">
        <x:v>All expected records and amounts match; no unexplained error or stale state.</x:v>
      </x:c>
    </x:row>
    <x:row r="1881">
      <x:c r="A1881" s="20" t="str">
        <x:v>RUN-20271208-01</x:v>
      </x:c>
      <x:c r="B1881" s="23" t="n">
        <x:v>46729</x:v>
      </x:c>
      <x:c r="C1881" s="32" t="n">
        <x:v>1</x:v>
      </x:c>
      <x:c r="D1881" s="20" t="str">
        <x:v>Monthly operations</x:v>
      </x:c>
      <x:c r="E1881" s="20" t="str">
        <x:v>Property Manager</x:v>
      </x:c>
      <x:c r="F1881" s="20" t="str">
        <x:v>Web</x:v>
      </x:c>
      <x:c r="G1881" s="20" t="str">
        <x:v>Scanned check</x:v>
      </x:c>
      <x:c r="H1881" s="35" t="str">
        <x:v>Post and allocate tenant receipt</x:v>
      </x:c>
      <x:c r="I1881" s="35" t="str">
        <x:v>P013; U013; L013</x:v>
      </x:c>
      <x:c r="J1881" s="35" t="str">
        <x:v>SCN-0330</x:v>
      </x:c>
      <x:c r="K1881" s="35" t="str">
        <x:v>FIN-00960; FIN-00961</x:v>
      </x:c>
      <x:c r="L1881" s="35" t="str">
        <x:v>Open Scan for paper payment or the tenant-account receipt form for electronic payment; verify tenant/lease match, amount, date, method, and reference; confirm once; open ledger detail and allocation.</x:v>
      </x:c>
      <x:c r="M1881" s="35" t="str">
        <x:v>Receipt is append-only, allocated once to the correct rent charge, and visible consistently in Unit, Lease, Tenant Account, Accounting, and portal views.</x:v>
      </x:c>
      <x:c r="N1881" s="35" t="str">
        <x:v>Scan review or form; success result; exact ledger rows; payment detail; accounting delta; portal receipt.</x:v>
      </x:c>
      <x:c r="O1881" s="35" t="str">
        <x:v>Retry the idempotency key once during the quarter assigned in the coverage matrix; no duplicate cash or allocation.</x:v>
      </x:c>
      <x:c r="P1881" s="35" t="str">
        <x:v>All expected records and amounts match; no unexplained error or stale state.</x:v>
      </x:c>
    </x:row>
    <x:row r="1882">
      <x:c r="A1882" s="20" t="str">
        <x:v>RUN-20271208-02</x:v>
      </x:c>
      <x:c r="B1882" s="23" t="n">
        <x:v>46729</x:v>
      </x:c>
      <x:c r="C1882" s="32" t="n">
        <x:v>2</x:v>
      </x:c>
      <x:c r="D1882" s="20" t="str">
        <x:v>Monthly operations</x:v>
      </x:c>
      <x:c r="E1882" s="20" t="str">
        <x:v>Property Manager</x:v>
      </x:c>
      <x:c r="F1882" s="20" t="str">
        <x:v>Mobile</x:v>
      </x:c>
      <x:c r="G1882" s="20" t="str">
        <x:v>Scanned money order</x:v>
      </x:c>
      <x:c r="H1882" s="35" t="str">
        <x:v>Post and allocate tenant receipt</x:v>
      </x:c>
      <x:c r="I1882" s="35" t="str">
        <x:v>P023; U026; L026</x:v>
      </x:c>
      <x:c r="J1882" s="35" t="str">
        <x:v>SCN-0336</x:v>
      </x:c>
      <x:c r="K1882" s="35" t="str">
        <x:v>FIN-00981; FIN-00982</x:v>
      </x:c>
      <x:c r="L1882" s="35" t="str">
        <x:v>Open Scan for paper payment or the tenant-account receipt form for electronic payment; verify tenant/lease match, amount, date, method, and reference; confirm once; open ledger detail and allocation.</x:v>
      </x:c>
      <x:c r="M1882" s="35" t="str">
        <x:v>Receipt is append-only, allocated once to the correct rent charge, and visible consistently in Unit, Lease, Tenant Account, Accounting, and portal views.</x:v>
      </x:c>
      <x:c r="N1882" s="35" t="str">
        <x:v>Scan review or form; success result; exact ledger rows; payment detail; accounting delta; portal receipt.</x:v>
      </x:c>
      <x:c r="O1882" s="35" t="str">
        <x:v>Retry the idempotency key once during the quarter assigned in the coverage matrix; no duplicate cash or allocation.</x:v>
      </x:c>
      <x:c r="P1882" s="35" t="str">
        <x:v>All expected records and amounts match; no unexplained error or stale state.</x:v>
      </x:c>
    </x:row>
    <x:row r="1883">
      <x:c r="A1883" s="20" t="str">
        <x:v>RUN-20271208-03</x:v>
      </x:c>
      <x:c r="B1883" s="23" t="n">
        <x:v>46729</x:v>
      </x:c>
      <x:c r="C1883" s="32" t="n">
        <x:v>3</x:v>
      </x:c>
      <x:c r="D1883" s="20" t="str">
        <x:v>Monthly operations</x:v>
      </x:c>
      <x:c r="E1883" s="20" t="str">
        <x:v>Property Manager</x:v>
      </x:c>
      <x:c r="F1883" s="20" t="str">
        <x:v>Web</x:v>
      </x:c>
      <x:c r="G1883" s="20" t="str">
        <x:v>Manual ACH</x:v>
      </x:c>
      <x:c r="H1883" s="35" t="str">
        <x:v>Post and allocate tenant receipt</x:v>
      </x:c>
      <x:c r="I1883" s="35" t="str">
        <x:v>P017; U017; L039</x:v>
      </x:c>
      <x:c r="J1883" s="35" t="str"/>
      <x:c r="K1883" s="35" t="str">
        <x:v>FIN-01008; FIN-01009</x:v>
      </x:c>
      <x:c r="L1883" s="35" t="str">
        <x:v>Open Scan for paper payment or the tenant-account receipt form for electronic payment; verify tenant/lease match, amount, date, method, and reference; confirm once; open ledger detail and allocation.</x:v>
      </x:c>
      <x:c r="M1883" s="35" t="str">
        <x:v>Receipt is append-only, allocated once to the correct rent charge, and visible consistently in Unit, Lease, Tenant Account, Accounting, and portal views.</x:v>
      </x:c>
      <x:c r="N1883" s="35" t="str">
        <x:v>Scan review or form; success result; exact ledger rows; payment detail; accounting delta; portal receipt.</x:v>
      </x:c>
      <x:c r="O1883" s="35" t="str">
        <x:v>Retry the idempotency key once during the quarter assigned in the coverage matrix; no duplicate cash or allocation.</x:v>
      </x:c>
      <x:c r="P1883" s="35" t="str">
        <x:v>All expected records and amounts match; no unexplained error or stale state.</x:v>
      </x:c>
    </x:row>
    <x:row r="1884">
      <x:c r="A1884" s="20" t="str">
        <x:v>RUN-20271208-04</x:v>
      </x:c>
      <x:c r="B1884" s="23" t="n">
        <x:v>46729</x:v>
      </x:c>
      <x:c r="C1884" s="32" t="n">
        <x:v>4</x:v>
      </x:c>
      <x:c r="D1884" s="20" t="str">
        <x:v>Leasing</x:v>
      </x:c>
      <x:c r="E1884" s="20" t="str">
        <x:v>Property Manager</x:v>
      </x:c>
      <x:c r="F1884" s="20" t="str">
        <x:v>Mobile</x:v>
      </x:c>
      <x:c r="G1884" s="20" t="str">
        <x:v>Scan + manual classification</x:v>
      </x:c>
      <x:c r="H1884" s="35" t="str">
        <x:v>Collect and classify security deposit</x:v>
      </x:c>
      <x:c r="I1884" s="35" t="str">
        <x:v>L042; U034</x:v>
      </x:c>
      <x:c r="J1884" s="35" t="str">
        <x:v>SCN-0923</x:v>
      </x:c>
      <x:c r="K1884" s="35" t="str">
        <x:v>FIN-01654</x:v>
      </x:c>
      <x:c r="L1884" s="35" t="str">
        <x:v>Capture the receipt; verify payer/amount; classify to the security-deposit account rather than rent; confirm trust account, liability, lease provenance, and receipt.</x:v>
      </x:c>
      <x:c r="M1884" s="35" t="str">
        <x:v>Deposit trust cash and liability rise equally; tenant rent AR and rental income do not change.</x:v>
      </x:c>
      <x:c r="N1884" s="35" t="str">
        <x:v>Scan review; deposit register; tenant account provenance; trust cash; accounting checks; receipt.</x:v>
      </x:c>
      <x:c r="O1884" s="35" t="str">
        <x:v>Try to classify the deposit as rent, cancel, then classify correctly; no abandoned financial row remains.</x:v>
      </x:c>
      <x:c r="P1884" s="35" t="str">
        <x:v>All expected records and amounts match; no unexplained error or stale state.</x:v>
      </x:c>
    </x:row>
    <x:row r="1885">
      <x:c r="A1885" s="20" t="str">
        <x:v>RUN-20271208-05</x:v>
      </x:c>
      <x:c r="B1885" s="23" t="n">
        <x:v>46729</x:v>
      </x:c>
      <x:c r="C1885" s="32" t="n">
        <x:v>5</x:v>
      </x:c>
      <x:c r="D1885" s="20" t="str">
        <x:v>Role and screen certification</x:v>
      </x:c>
      <x:c r="E1885" s="20" t="str">
        <x:v>Maintenance Technician</x:v>
      </x:c>
      <x:c r="F1885" s="20" t="str">
        <x:v>Mobile</x:v>
      </x:c>
      <x:c r="G1885" s="20" t="str">
        <x:v>Normal persona navigation</x:v>
      </x:c>
      <x:c r="H1885" s="35" t="str">
        <x:v>Use every permitted action and state on features/technician/technician_assignment_picker_sheet.dart</x:v>
      </x:c>
      <x:c r="I1885" s="35" t="str">
        <x:v>SCR-186; ROLE-321</x:v>
      </x:c>
      <x:c r="J1885" s="35" t="str"/>
      <x:c r="K1885" s="35" t="str"/>
      <x:c r="L188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85" s="35" t="str">
        <x:v>The persona can use every allowed action with only its assigned properties/relationships. Hidden or disabled actions explain why; an adjacent unauthorized persona is denied without metadata leakage.</x:v>
      </x:c>
      <x:c r="N1885" s="35" t="str">
        <x:v>Persona/experience; navigation entry; desktop or device screenshots; result state; persisted read-back; audit/history; authorized and denied network result.</x:v>
      </x:c>
      <x:c r="O1885" s="35" t="str">
        <x:v>Open the direct URL or deep link with an adjacent unauthorized persona and with stale scope; both fail closed and land safely without mutation.</x:v>
      </x:c>
      <x:c r="P1885" s="35" t="str">
        <x:v>All expected records and amounts match; no unexplained error or stale state.</x:v>
      </x:c>
    </x:row>
    <x:row r="1886">
      <x:c r="A1886" s="20" t="str">
        <x:v>RUN-20271208-06</x:v>
      </x:c>
      <x:c r="B1886" s="23" t="n">
        <x:v>46729</x:v>
      </x:c>
      <x:c r="C1886" s="32" t="n">
        <x:v>6</x:v>
      </x:c>
      <x:c r="D1886" s="20" t="str">
        <x:v>Field certification</x:v>
      </x:c>
      <x:c r="E1886" s="20" t="str">
        <x:v>Applicant / public user</x:v>
      </x:c>
      <x:c r="F1886" s="20" t="str">
        <x:v>Mobile</x:v>
      </x:c>
      <x:c r="G1886" s="20" t="str">
        <x:v>Manual field-by-field</x:v>
      </x:c>
      <x:c r="H1886" s="35" t="str">
        <x:v>Fill, save, reload, edit, and validate every declared field on features/scan/scan_capture.dart</x:v>
      </x:c>
      <x:c r="I1886" s="35" t="str">
        <x:v>FLD-1020</x:v>
      </x:c>
      <x:c r="J1886" s="35" t="str"/>
      <x:c r="K1886" s="35" t="str"/>
      <x:c r="L1886" s="35" t="str">
        <x:v>Use the source-derived Field Inventory. Enter non-default realistic values in every control (_searchController); submit; reload or relaunch; compare every value; edit each mutable field; verify the paired client; then run required, format, length, range, boundary, optional-null, and stale-submit checks.</x:v>
      </x:c>
      <x:c r="M1886" s="35" t="str">
        <x:v>All 1 inventoried controls persist exact normalized values, invalid values stay unsaved with clear errors, and hidden/unauthorized fields cannot be altered.</x:v>
      </x:c>
      <x:c r="N1886" s="35" t="str">
        <x:v>Before/after form screenshots; FLD IDs; API response; reloaded UI; paired-client read-back; database/audit evidence; negative validation result.</x:v>
      </x:c>
      <x:c r="O1886" s="35" t="str">
        <x:v>Use a duplicate submit and one simulated network interruption; one atomic mutation or none, never partial state.</x:v>
      </x:c>
      <x:c r="P1886" s="35" t="str">
        <x:v>All expected records and amounts match; no unexplained error or stale state.</x:v>
      </x:c>
    </x:row>
    <x:row r="1887">
      <x:c r="A1887" s="20" t="str">
        <x:v>RUN-20271208-07</x:v>
      </x:c>
      <x:c r="B1887" s="23" t="n">
        <x:v>46729</x:v>
      </x:c>
      <x:c r="C1887" s="32" t="n">
        <x:v>7</x:v>
      </x:c>
      <x:c r="D1887" s="20" t="str">
        <x:v>Field certification</x:v>
      </x:c>
      <x:c r="E1887" s="20" t="str">
        <x:v>Applicant / public user</x:v>
      </x:c>
      <x:c r="F1887" s="20" t="str">
        <x:v>Mobile</x:v>
      </x:c>
      <x:c r="G1887" s="20" t="str">
        <x:v>Manual field-by-field</x:v>
      </x:c>
      <x:c r="H1887" s="35" t="str">
        <x:v>Fill, save, reload, edit, and validate every declared field on features/scan/scan_review_screen.dart</x:v>
      </x:c>
      <x:c r="I1887" s="35" t="str">
        <x:v>FLD-1021; FLD-1022; FLD-1023; FLD-1024</x:v>
      </x:c>
      <x:c r="J1887" s="35" t="str"/>
      <x:c r="K1887" s="35" t="str"/>
      <x:c r="L1887" s="35" t="str">
        <x:v>Use the source-derived Field Inventory. Enter non-default realistic values in every control (controller; _searchController; DropdownButtonFormField-3; widget.onTemplateSelected); submit; reload or relaunch; compare every value; edit each mutable field; verify the paired client; then run required, format, length, range, boundary, optional-null, and stale-submit checks.</x:v>
      </x:c>
      <x:c r="M1887" s="35" t="str">
        <x:v>All 4 inventoried controls persist exact normalized values, invalid values stay unsaved with clear errors, and hidden/unauthorized fields cannot be altered.</x:v>
      </x:c>
      <x:c r="N1887" s="35" t="str">
        <x:v>Before/after form screenshots; FLD IDs; API response; reloaded UI; paired-client read-back; database/audit evidence; negative validation result.</x:v>
      </x:c>
      <x:c r="O1887" s="35" t="str">
        <x:v>Use a duplicate submit and one simulated network interruption; one atomic mutation or none, never partial state.</x:v>
      </x:c>
      <x:c r="P1887" s="35" t="str">
        <x:v>All expected records and amounts match; no unexplained error or stale state.</x:v>
      </x:c>
    </x:row>
    <x:row r="1888">
      <x:c r="A1888" s="20" t="str">
        <x:v>RUN-20271208-08</x:v>
      </x:c>
      <x:c r="B1888" s="23" t="n">
        <x:v>46729</x:v>
      </x:c>
      <x:c r="C1888" s="32" t="n">
        <x:v>8</x:v>
      </x:c>
      <x:c r="D1888" s="20" t="str">
        <x:v>Surface coverage</x:v>
      </x:c>
      <x:c r="E1888" s="20" t="str">
        <x:v>Role appropriate to surface</x:v>
      </x:c>
      <x:c r="F1888" s="20" t="str">
        <x:v>Mobile</x:v>
      </x:c>
      <x:c r="G1888" s="20" t="str">
        <x:v>Scan/attachment</x:v>
      </x:c>
      <x:c r="H1888" s="35" t="str">
        <x:v>Scan mobile pass: Tenant home/account/payments/lease</x:v>
      </x:c>
      <x:c r="I1888" s="35" t="str">
        <x:v>COV-043</x:v>
      </x:c>
      <x:c r="J1888" s="35" t="str"/>
      <x:c r="K1888" s="35" t="str"/>
      <x:c r="L1888" s="35" t="str">
        <x:v>View balance/ledger/receipt, pay in test mode, view/sign/download lease, profile/account, and multiple/historical lease behavior.</x:v>
      </x:c>
      <x:c r="M1888" s="35" t="str">
        <x:v>The supported workflow completes and persists correctly; if the capability is absent, the exact gap is proven and queued rather than silently skipped.</x:v>
      </x:c>
      <x:c r="N1888" s="35" t="str">
        <x:v>Real UI screenshot/state; submitted values; persisted read-back; cross-client read-back; audit/role/access evidence.</x:v>
      </x:c>
      <x:c r="O1888" s="35" t="str">
        <x:v>Use one invalid value, stale-state retry, or duplicate submission relevant to the form; no partial or duplicate mutation.</x:v>
      </x:c>
      <x:c r="P1888" s="35" t="str">
        <x:v>All expected records and amounts match; no unexplained error or stale state.</x:v>
      </x:c>
    </x:row>
    <x:row r="1889">
      <x:c r="A1889" s="20" t="str">
        <x:v>RUN-20271209-01</x:v>
      </x:c>
      <x:c r="B1889" s="23" t="n">
        <x:v>46730</x:v>
      </x:c>
      <x:c r="C1889" s="32" t="n">
        <x:v>1</x:v>
      </x:c>
      <x:c r="D1889" s="20" t="str">
        <x:v>Role and screen certification</x:v>
      </x:c>
      <x:c r="E1889" s="20" t="str">
        <x:v>Maintenance Technician</x:v>
      </x:c>
      <x:c r="F1889" s="20" t="str">
        <x:v>Mobile</x:v>
      </x:c>
      <x:c r="G1889" s="20" t="str">
        <x:v>Normal persona navigation</x:v>
      </x:c>
      <x:c r="H1889" s="35" t="str">
        <x:v>Use every permitted action and state on features/technician/technician_landing_screen.dart</x:v>
      </x:c>
      <x:c r="I1889" s="35" t="str">
        <x:v>SCR-187; ROLE-322</x:v>
      </x:c>
      <x:c r="J1889" s="35" t="str"/>
      <x:c r="K1889" s="35" t="str"/>
      <x:c r="L1889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89" s="35" t="str">
        <x:v>The persona can use every allowed action with only its assigned properties/relationships. Hidden or disabled actions explain why; an adjacent unauthorized persona is denied without metadata leakage.</x:v>
      </x:c>
      <x:c r="N1889" s="35" t="str">
        <x:v>Persona/experience; navigation entry; desktop or device screenshots; result state; persisted read-back; audit/history; authorized and denied network result.</x:v>
      </x:c>
      <x:c r="O1889" s="35" t="str">
        <x:v>Open the direct URL or deep link with an adjacent unauthorized persona and with stale scope; both fail closed and land safely without mutation.</x:v>
      </x:c>
      <x:c r="P1889" s="35" t="str">
        <x:v>All expected records and amounts match; no unexplained error or stale state.</x:v>
      </x:c>
    </x:row>
    <x:row r="1890">
      <x:c r="A1890" s="20" t="str">
        <x:v>RUN-20271209-02</x:v>
      </x:c>
      <x:c r="B1890" s="23" t="n">
        <x:v>46730</x:v>
      </x:c>
      <x:c r="C1890" s="32" t="n">
        <x:v>2</x:v>
      </x:c>
      <x:c r="D1890" s="20" t="str">
        <x:v>Field certification</x:v>
      </x:c>
      <x:c r="E1890" s="20" t="str">
        <x:v>Applicant / public user</x:v>
      </x:c>
      <x:c r="F1890" s="20" t="str">
        <x:v>Mobile</x:v>
      </x:c>
      <x:c r="G1890" s="20" t="str">
        <x:v>Manual field-by-field</x:v>
      </x:c>
      <x:c r="H1890" s="35" t="str">
        <x:v>Fill, save, reload, edit, and validate every declared field on features/scan/scan_review_screen.dart</x:v>
      </x:c>
      <x:c r="I1890" s="35" t="str">
        <x:v>FLD-1025; FLD-1026; FLD-1027; FLD-1028</x:v>
      </x:c>
      <x:c r="J1890" s="35" t="str"/>
      <x:c r="K1890" s="35" t="str"/>
      <x:c r="L1890" s="35" t="str">
        <x:v>Use the source-derived Field Inventory. Enter non-default realistic values in every control (SegmentedButton-6; onTenantSelected; _addressCtrl; _controller); submit; reload or relaunch; compare every value; edit each mutable field; verify the paired client; then run required, format, length, range, boundary, optional-null, and stale-submit checks.</x:v>
      </x:c>
      <x:c r="M1890" s="35" t="str">
        <x:v>All 4 inventoried controls persist exact normalized values, invalid values stay unsaved with clear errors, and hidden/unauthorized fields cannot be altered.</x:v>
      </x:c>
      <x:c r="N1890" s="35" t="str">
        <x:v>Before/after form screenshots; FLD IDs; API response; reloaded UI; paired-client read-back; database/audit evidence; negative validation result.</x:v>
      </x:c>
      <x:c r="O1890" s="35" t="str">
        <x:v>Use a duplicate submit and one simulated network interruption; one atomic mutation or none, never partial state.</x:v>
      </x:c>
      <x:c r="P1890" s="35" t="str">
        <x:v>All expected records and amounts match; no unexplained error or stale state.</x:v>
      </x:c>
    </x:row>
    <x:row r="1891">
      <x:c r="A1891" s="20" t="str">
        <x:v>RUN-20271209-03</x:v>
      </x:c>
      <x:c r="B1891" s="23" t="n">
        <x:v>46730</x:v>
      </x:c>
      <x:c r="C1891" s="32" t="n">
        <x:v>3</x:v>
      </x:c>
      <x:c r="D1891" s="20" t="str">
        <x:v>Notification certification</x:v>
      </x:c>
      <x:c r="E1891" s="20" t="str">
        <x:v>Workspace Administrator</x:v>
      </x:c>
      <x:c r="F1891" s="20" t="str">
        <x:v>Web + Mobile</x:v>
      </x:c>
      <x:c r="G1891" s="20" t="str">
        <x:v>System event + preference/manual verification</x:v>
      </x:c>
      <x:c r="H1891" s="35" t="str">
        <x:v>Trigger and prove notification: Provider delivery failure/retry</x:v>
      </x:c>
      <x:c r="I1891" s="35" t="str">
        <x:v>NTF-047</x:v>
      </x:c>
      <x:c r="J1891" s="35" t="str"/>
      <x:c r="K1891" s="35" t="str"/>
      <x:c r="L1891" s="35" t="str">
        <x:v>Set each recipient's preferences; trigger the real business event; inspect routing and recipient scope; verify unread badge, list item, safe preview, notification delivery log deep link, mark-read sync, configured channel outcome, provider failure/retry, and duplicate suppression.</x:v>
      </x:c>
      <x:c r="M1891" s="35" t="str">
        <x:v>Exactly the intended recipients receive one correctly routed notification; disabled optional channels stay silent; deep link opens authorized context; read state synchronizes.</x:v>
      </x:c>
      <x:c r="N1891" s="35" t="str">
        <x:v>Trigger record; routing decision; outbox/delivery status; web/mobile inbox; lock-screen-safe copy; deep-link target; audit/provider retry evidence.</x:v>
      </x:c>
      <x:c r="O1891" s="35" t="str">
        <x:v>Re-run the worker and deliver a duplicate provider callback; no duplicate user-visible event. Attempt the deep link as an unauthorized adjacent role.</x:v>
      </x:c>
      <x:c r="P1891" s="35" t="str">
        <x:v>All expected records and amounts match; no unexplained error or stale state.</x:v>
      </x:c>
    </x:row>
    <x:row r="1892">
      <x:c r="A1892" s="20" t="str">
        <x:v>RUN-20271210-01</x:v>
      </x:c>
      <x:c r="B1892" s="23" t="n">
        <x:v>46731</x:v>
      </x:c>
      <x:c r="C1892" s="32" t="n">
        <x:v>1</x:v>
      </x:c>
      <x:c r="D1892" s="20" t="str">
        <x:v>Role and screen certification</x:v>
      </x:c>
      <x:c r="E1892" s="20" t="str">
        <x:v>Tenant</x:v>
      </x:c>
      <x:c r="F1892" s="20" t="str">
        <x:v>Mobile</x:v>
      </x:c>
      <x:c r="G1892" s="20" t="str">
        <x:v>Normal persona navigation</x:v>
      </x:c>
      <x:c r="H1892" s="35" t="str">
        <x:v>Use every permitted action and state on features/tenants/tenant_detail_screen.dart</x:v>
      </x:c>
      <x:c r="I1892" s="35" t="str">
        <x:v>SCR-188; ROLE-323</x:v>
      </x:c>
      <x:c r="J1892" s="35" t="str"/>
      <x:c r="K1892" s="35" t="str"/>
      <x:c r="L18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892" s="35" t="str">
        <x:v>The persona can use every allowed action with only its assigned properties/relationships. Hidden or disabled actions explain why; an adjacent unauthorized persona is denied without metadata leakage.</x:v>
      </x:c>
      <x:c r="N1892" s="35" t="str">
        <x:v>Persona/experience; navigation entry; desktop or device screenshots; result state; persisted read-back; audit/history; authorized and denied network result.</x:v>
      </x:c>
      <x:c r="O1892" s="35" t="str">
        <x:v>Open the direct URL or deep link with an adjacent unauthorized persona and with stale scope; both fail closed and land safely without mutation.</x:v>
      </x:c>
      <x:c r="P1892" s="35" t="str">
        <x:v>All expected records and amounts match; no unexplained error or stale state.</x:v>
      </x:c>
    </x:row>
    <x:row r="1893">
      <x:c r="A1893" s="20" t="str">
        <x:v>RUN-20271210-02</x:v>
      </x:c>
      <x:c r="B1893" s="23" t="n">
        <x:v>46731</x:v>
      </x:c>
      <x:c r="C1893" s="32" t="n">
        <x:v>2</x:v>
      </x:c>
      <x:c r="D1893" s="20" t="str">
        <x:v>Field certification</x:v>
      </x:c>
      <x:c r="E1893" s="20" t="str">
        <x:v>Applicant / public user</x:v>
      </x:c>
      <x:c r="F1893" s="20" t="str">
        <x:v>Mobile</x:v>
      </x:c>
      <x:c r="G1893" s="20" t="str">
        <x:v>Manual field-by-field</x:v>
      </x:c>
      <x:c r="H1893" s="35" t="str">
        <x:v>Fill, save, reload, edit, and validate every declared field on features/scan/scan_review_screen.dart</x:v>
      </x:c>
      <x:c r="I1893" s="35" t="str">
        <x:v>FLD-1029; FLD-1030</x:v>
      </x:c>
      <x:c r="J1893" s="35" t="str"/>
      <x:c r="K1893" s="35" t="str"/>
      <x:c r="L1893" s="35" t="str">
        <x:v>Use the source-derived Field Inventory. Enter non-default realistic values in every control (onPropertySelected; SegmentedButton-14); submit; reload or relaunch; compare every value; edit each mutable field; verify the paired client; then run required, format, length, range, boundary, optional-null, and stale-submit checks.</x:v>
      </x:c>
      <x:c r="M1893" s="35" t="str">
        <x:v>All 2 inventoried controls persist exact normalized values, invalid values stay unsaved with clear errors, and hidden/unauthorized fields cannot be altered.</x:v>
      </x:c>
      <x:c r="N1893" s="35" t="str">
        <x:v>Before/after form screenshots; FLD IDs; API response; reloaded UI; paired-client read-back; database/audit evidence; negative validation result.</x:v>
      </x:c>
      <x:c r="O1893" s="35" t="str">
        <x:v>Use a duplicate submit and one simulated network interruption; one atomic mutation or none, never partial state.</x:v>
      </x:c>
      <x:c r="P1893" s="35" t="str">
        <x:v>All expected records and amounts match; no unexplained error or stale state.</x:v>
      </x:c>
    </x:row>
    <x:row r="1894">
      <x:c r="A1894" s="20" t="str">
        <x:v>RUN-20271210-03</x:v>
      </x:c>
      <x:c r="B1894" s="23" t="n">
        <x:v>46731</x:v>
      </x:c>
      <x:c r="C1894" s="32" t="n">
        <x:v>3</x:v>
      </x:c>
      <x:c r="D1894" s="20" t="str">
        <x:v>Field certification</x:v>
      </x:c>
      <x:c r="E1894" s="20" t="str">
        <x:v>Applicant / public user</x:v>
      </x:c>
      <x:c r="F1894" s="20" t="str">
        <x:v>Mobile</x:v>
      </x:c>
      <x:c r="G1894" s="20" t="str">
        <x:v>Manual field-by-field</x:v>
      </x:c>
      <x:c r="H1894" s="35" t="str">
        <x:v>Fill, save, reload, edit, and validate every declared field on features/settings/ai_provider_settings_screen.dart</x:v>
      </x:c>
      <x:c r="I1894" s="35" t="str">
        <x:v>FLD-1031; FLD-1032</x:v>
      </x:c>
      <x:c r="J1894" s="35" t="str"/>
      <x:c r="K1894" s="35" t="str"/>
      <x:c r="L1894" s="35" t="str">
        <x:v>Use the source-derived Field Inventory. Enter non-default realistic values in every control (_modelController; _keyController); submit; reload or relaunch; compare every value; edit each mutable field; verify the paired client; then run required, format, length, range, boundary, optional-null, and stale-submit checks.</x:v>
      </x:c>
      <x:c r="M1894" s="35" t="str">
        <x:v>All 2 inventoried controls persist exact normalized values, invalid values stay unsaved with clear errors, and hidden/unauthorized fields cannot be altered.</x:v>
      </x:c>
      <x:c r="N1894" s="35" t="str">
        <x:v>Before/after form screenshots; FLD IDs; API response; reloaded UI; paired-client read-back; database/audit evidence; negative validation result.</x:v>
      </x:c>
      <x:c r="O1894" s="35" t="str">
        <x:v>Use a duplicate submit and one simulated network interruption; one atomic mutation or none, never partial state.</x:v>
      </x:c>
      <x:c r="P1894" s="35" t="str">
        <x:v>All expected records and amounts match; no unexplained error or stale state.</x:v>
      </x:c>
    </x:row>
    <x:row r="1895">
      <x:c r="A1895" s="20" t="str">
        <x:v>RUN-20271210-04</x:v>
      </x:c>
      <x:c r="B1895" s="23" t="n">
        <x:v>46731</x:v>
      </x:c>
      <x:c r="C1895" s="32" t="n">
        <x:v>4</x:v>
      </x:c>
      <x:c r="D1895" s="20" t="str">
        <x:v>Field certification</x:v>
      </x:c>
      <x:c r="E1895" s="20" t="str">
        <x:v>Applicant / public user</x:v>
      </x:c>
      <x:c r="F1895" s="20" t="str">
        <x:v>Mobile</x:v>
      </x:c>
      <x:c r="G1895" s="20" t="str">
        <x:v>Manual field-by-field</x:v>
      </x:c>
      <x:c r="H1895" s="35" t="str">
        <x:v>Fill, save, reload, edit, and validate every declared field on features/settings/change_password_screen.dart</x:v>
      </x:c>
      <x:c r="I1895" s="35" t="str">
        <x:v>FLD-1033</x:v>
      </x:c>
      <x:c r="J1895" s="35" t="str"/>
      <x:c r="K1895" s="35" t="str"/>
      <x:c r="L1895" s="35" t="str">
        <x:v>Use the source-derived Field Inventory. Enter non-default realistic values in every control (_currentController); submit; reload or relaunch; compare every value; edit each mutable field; verify the paired client; then run required, format, length, range, boundary, optional-null, and stale-submit checks.</x:v>
      </x:c>
      <x:c r="M1895" s="35" t="str">
        <x:v>All 1 inventoried controls persist exact normalized values, invalid values stay unsaved with clear errors, and hidden/unauthorized fields cannot be altered.</x:v>
      </x:c>
      <x:c r="N1895" s="35" t="str">
        <x:v>Before/after form screenshots; FLD IDs; API response; reloaded UI; paired-client read-back; database/audit evidence; negative validation result.</x:v>
      </x:c>
      <x:c r="O1895" s="35" t="str">
        <x:v>Use a duplicate submit and one simulated network interruption; one atomic mutation or none, never partial state.</x:v>
      </x:c>
      <x:c r="P1895" s="35" t="str">
        <x:v>All expected records and amounts match; no unexplained error or stale state.</x:v>
      </x:c>
    </x:row>
    <x:row r="1896">
      <x:c r="A1896" s="20" t="str">
        <x:v>RUN-20271210-05</x:v>
      </x:c>
      <x:c r="B1896" s="23" t="n">
        <x:v>46731</x:v>
      </x:c>
      <x:c r="C1896" s="32" t="n">
        <x:v>5</x:v>
      </x:c>
      <x:c r="D1896" s="20" t="str">
        <x:v>Lifecycle certification</x:v>
      </x:c>
      <x:c r="E1896" s="20" t="str">
        <x:v>Workspace Administrator</x:v>
      </x:c>
      <x:c r="F1896" s="20" t="str">
        <x:v>Web + Mobile</x:v>
      </x:c>
      <x:c r="G1896" s="20" t="str">
        <x:v>Manual + scan/attachment where supported</x:v>
      </x:c>
      <x:c r="H1896" s="35" t="str">
        <x:v>Complete the full create/read/edit/lifecycle/delete-safe pass for AI provider</x:v>
      </x:c>
      <x:c r="I1896" s="35" t="str">
        <x:v>CRUD-033</x:v>
      </x:c>
      <x:c r="J1896" s="35" t="str"/>
      <x:c r="K1896" s="35" t="str"/>
      <x:c r="L1896" s="35" t="str">
        <x:v>Use a dedicated disposable QA record and execute: configure; invalid credential; test; disconnect; re-auth; secret masking. Fill every field referenced by field-inventory.csv. Verify confirmation copy, cancel path, final path, reload, other-client state, history, and role denial.</x:v>
      </x:c>
      <x:c r="M1896" s="35" t="str">
        <x:v>Every supported transition succeeds exactly once; forbidden destructive actions are guarded; reversible deletion/deactivation works; financial and historical truth is preserved.</x:v>
      </x:c>
      <x:c r="N1896" s="35" t="str">
        <x:v>Entity before/after; both clients; all FLD IDs; audit/history; notifications; authorized and unauthorized personas; API/DB state.</x:v>
      </x:c>
      <x:c r="O1896" s="35" t="str">
        <x:v>Cancel the first destructive confirmation, then repeat and confirm; retry the mutation once; no double transition or orphan.</x:v>
      </x:c>
      <x:c r="P1896" s="35" t="str">
        <x:v>All expected records and amounts match; no unexplained error or stale state.</x:v>
      </x:c>
    </x:row>
    <x:row r="1897">
      <x:c r="A1897" s="20" t="str">
        <x:v>RUN-20271210-06</x:v>
      </x:c>
      <x:c r="B1897" s="23" t="n">
        <x:v>46731</x:v>
      </x:c>
      <x:c r="C1897" s="32" t="n">
        <x:v>6</x:v>
      </x:c>
      <x:c r="D1897" s="20" t="str">
        <x:v>Surface coverage</x:v>
      </x:c>
      <x:c r="E1897" s="20" t="str">
        <x:v>Role appropriate to surface</x:v>
      </x:c>
      <x:c r="F1897" s="20" t="str">
        <x:v>Web</x:v>
      </x:c>
      <x:c r="G1897" s="20" t="str">
        <x:v>Manual</x:v>
      </x:c>
      <x:c r="H1897" s="35" t="str">
        <x:v>Manual web pass: Tenant maintenance/messages/appointments/preferences/security</x:v>
      </x:c>
      <x:c r="I1897" s="35" t="str">
        <x:v>COV-044</x:v>
      </x:c>
      <x:c r="J1897" s="35" t="str"/>
      <x:c r="K1897" s="35" t="str"/>
      <x:c r="L1897" s="35" t="str">
        <x:v>Submit request with photo, message, confirm appointment, change preferences/password, logout all sessions, and prove tenant-only scope.</x:v>
      </x:c>
      <x:c r="M1897" s="35" t="str">
        <x:v>The supported workflow completes and persists correctly; if the capability is absent, the exact gap is proven and queued rather than silently skipped.</x:v>
      </x:c>
      <x:c r="N1897" s="35" t="str">
        <x:v>Real UI screenshot/state; submitted values; persisted read-back; cross-client read-back; audit/role/access evidence.</x:v>
      </x:c>
      <x:c r="O1897" s="35" t="str">
        <x:v>Use one invalid value, stale-state retry, or duplicate submission relevant to the form; no partial or duplicate mutation.</x:v>
      </x:c>
      <x:c r="P1897" s="35" t="str">
        <x:v>All expected records and amounts match; no unexplained error or stale state.</x:v>
      </x:c>
    </x:row>
    <x:row r="1898">
      <x:c r="A1898" s="20" t="str">
        <x:v>RUN-20271212-01</x:v>
      </x:c>
      <x:c r="B1898" s="23" t="n">
        <x:v>46733</x:v>
      </x:c>
      <x:c r="C1898" s="32" t="n">
        <x:v>1</x:v>
      </x:c>
      <x:c r="D1898" s="20" t="str">
        <x:v>Monthly operations</x:v>
      </x:c>
      <x:c r="E1898" s="20" t="str">
        <x:v>Property Manager</x:v>
      </x:c>
      <x:c r="F1898" s="20" t="str">
        <x:v>Mobile</x:v>
      </x:c>
      <x:c r="G1898" s="20" t="str">
        <x:v>Scanned money order</x:v>
      </x:c>
      <x:c r="H1898" s="35" t="str">
        <x:v>Post and allocate tenant receipt</x:v>
      </x:c>
      <x:c r="I1898" s="35" t="str">
        <x:v>P011; U011; L011</x:v>
      </x:c>
      <x:c r="J1898" s="35" t="str">
        <x:v>SCN-0328</x:v>
      </x:c>
      <x:c r="K1898" s="35" t="str">
        <x:v>FIN-00955; FIN-00956</x:v>
      </x:c>
      <x:c r="L1898" s="35" t="str">
        <x:v>Open Scan for paper payment or the tenant-account receipt form for electronic payment; verify tenant/lease match, amount, date, method, and reference; confirm once; open ledger detail and allocation.</x:v>
      </x:c>
      <x:c r="M1898" s="35" t="str">
        <x:v>Receipt is append-only, allocated once to the correct rent charge, and visible consistently in Unit, Lease, Tenant Account, Accounting, and portal views.</x:v>
      </x:c>
      <x:c r="N1898" s="35" t="str">
        <x:v>Scan review or form; success result; exact ledger rows; payment detail; accounting delta; portal receipt.</x:v>
      </x:c>
      <x:c r="O1898" s="35" t="str">
        <x:v>Retry the idempotency key once during the quarter assigned in the coverage matrix; no duplicate cash or allocation.</x:v>
      </x:c>
      <x:c r="P1898" s="35" t="str">
        <x:v>All expected records and amounts match; no unexplained error or stale state.</x:v>
      </x:c>
    </x:row>
    <x:row r="1899">
      <x:c r="A1899" s="20" t="str">
        <x:v>RUN-20271212-02</x:v>
      </x:c>
      <x:c r="B1899" s="23" t="n">
        <x:v>46733</x:v>
      </x:c>
      <x:c r="C1899" s="32" t="n">
        <x:v>2</x:v>
      </x:c>
      <x:c r="D1899" s="20" t="str">
        <x:v>Monthly operations</x:v>
      </x:c>
      <x:c r="E1899" s="20" t="str">
        <x:v>Property Manager</x:v>
      </x:c>
      <x:c r="F1899" s="20" t="str">
        <x:v>Mobile</x:v>
      </x:c>
      <x:c r="G1899" s="20" t="str">
        <x:v>Portal card</x:v>
      </x:c>
      <x:c r="H1899" s="35" t="str">
        <x:v>Post and allocate tenant receipt</x:v>
      </x:c>
      <x:c r="I1899" s="35" t="str">
        <x:v>P027; U033; L033</x:v>
      </x:c>
      <x:c r="J1899" s="35" t="str"/>
      <x:c r="K1899" s="35" t="str">
        <x:v>FIN-00997; FIN-00998</x:v>
      </x:c>
      <x:c r="L1899" s="35" t="str">
        <x:v>Open Scan for paper payment or the tenant-account receipt form for electronic payment; verify tenant/lease match, amount, date, method, and reference; confirm once; open ledger detail and allocation.</x:v>
      </x:c>
      <x:c r="M1899" s="35" t="str">
        <x:v>Receipt is append-only, allocated once to the correct rent charge, and visible consistently in Unit, Lease, Tenant Account, Accounting, and portal views.</x:v>
      </x:c>
      <x:c r="N1899" s="35" t="str">
        <x:v>Scan review or form; success result; exact ledger rows; payment detail; accounting delta; portal receipt.</x:v>
      </x:c>
      <x:c r="O1899" s="35" t="str">
        <x:v>Retry the idempotency key once during the quarter assigned in the coverage matrix; no duplicate cash or allocation.</x:v>
      </x:c>
      <x:c r="P1899" s="35" t="str">
        <x:v>All expected records and amounts match; no unexplained error or stale state.</x:v>
      </x:c>
    </x:row>
    <x:row r="1900">
      <x:c r="A1900" s="20" t="str">
        <x:v>RUN-20271212-03</x:v>
      </x:c>
      <x:c r="B1900" s="23" t="n">
        <x:v>46733</x:v>
      </x:c>
      <x:c r="C1900" s="32" t="n">
        <x:v>3</x:v>
      </x:c>
      <x:c r="D1900" s="20" t="str">
        <x:v>Monthly operations</x:v>
      </x:c>
      <x:c r="E1900" s="20" t="str">
        <x:v>Property Manager</x:v>
      </x:c>
      <x:c r="F1900" s="20" t="str">
        <x:v>Web</x:v>
      </x:c>
      <x:c r="G1900" s="20" t="str">
        <x:v>Manual ACH</x:v>
      </x:c>
      <x:c r="H1900" s="35" t="str">
        <x:v>Post and allocate tenant receipt</x:v>
      </x:c>
      <x:c r="I1900" s="35" t="str">
        <x:v>P029; U038; L044</x:v>
      </x:c>
      <x:c r="J1900" s="35" t="str"/>
      <x:c r="K1900" s="35" t="str">
        <x:v>FIN-01020; FIN-01021</x:v>
      </x:c>
      <x:c r="L1900" s="35" t="str">
        <x:v>Open Scan for paper payment or the tenant-account receipt form for electronic payment; verify tenant/lease match, amount, date, method, and reference; confirm once; open ledger detail and allocation.</x:v>
      </x:c>
      <x:c r="M1900" s="35" t="str">
        <x:v>Receipt is append-only, allocated once to the correct rent charge, and visible consistently in Unit, Lease, Tenant Account, Accounting, and portal views.</x:v>
      </x:c>
      <x:c r="N1900" s="35" t="str">
        <x:v>Scan review or form; success result; exact ledger rows; payment detail; accounting delta; portal receipt.</x:v>
      </x:c>
      <x:c r="O1900" s="35" t="str">
        <x:v>Retry the idempotency key once during the quarter assigned in the coverage matrix; no duplicate cash or allocation.</x:v>
      </x:c>
      <x:c r="P1900" s="35" t="str">
        <x:v>All expected records and amounts match; no unexplained error or stale state.</x:v>
      </x:c>
    </x:row>
    <x:row r="1901">
      <x:c r="A1901" s="20" t="str">
        <x:v>RUN-20271213-01</x:v>
      </x:c>
      <x:c r="B1901" s="23" t="n">
        <x:v>46734</x:v>
      </x:c>
      <x:c r="C1901" s="32" t="n">
        <x:v>1</x:v>
      </x:c>
      <x:c r="D1901" s="20" t="str">
        <x:v>Weekly operations</x:v>
      </x:c>
      <x:c r="E1901" s="20" t="str">
        <x:v>Property Manager</x:v>
      </x:c>
      <x:c r="F1901" s="20" t="str">
        <x:v>Web</x:v>
      </x:c>
      <x:c r="G1901" s="20" t="str">
        <x:v>Scan-first</x:v>
      </x:c>
      <x:c r="H1901" s="35" t="str">
        <x:v>Create and triage maintenance request</x:v>
      </x:c>
      <x:c r="I1901" s="35" t="str">
        <x:v>P026; U031; WO-2027-050</x:v>
      </x:c>
      <x:c r="J1901" s="35" t="str">
        <x:v>SCN-0436</x:v>
      </x:c>
      <x:c r="K1901" s="35" t="str"/>
      <x:c r="L1901" s="35" t="str">
        <x:v>Capture the tenant note/photo; review loose outlet; confirm; set responsibility; dispatch Apex Plumbing; create an appointment and verify the tenant notification.</x:v>
      </x:c>
      <x:c r="M1901" s="35" t="str">
        <x:v>Work order, status timeline, responsibility, vendor dispatch, appointment, notification, and Unit context are linked once.</x:v>
      </x:c>
      <x:c r="N1901" s="35" t="str">
        <x:v>Scan review; work order detail/timeline; dispatch; appointment; notification; tenant portal view.</x:v>
      </x:c>
      <x:c r="O1901" s="35" t="str">
        <x:v>Cancel one dispatch each quarter, reassign once, and prove status/history remains append-only.</x:v>
      </x:c>
      <x:c r="P1901" s="35" t="str">
        <x:v>All expected records and amounts match; no unexplained error or stale state.</x:v>
      </x:c>
    </x:row>
    <x:row r="1902">
      <x:c r="A1902" s="20" t="str">
        <x:v>RUN-20271213-02</x:v>
      </x:c>
      <x:c r="B1902" s="23" t="n">
        <x:v>46734</x:v>
      </x:c>
      <x:c r="C1902" s="32" t="n">
        <x:v>2</x:v>
      </x:c>
      <x:c r="D1902" s="20" t="str">
        <x:v>Role and screen certification</x:v>
      </x:c>
      <x:c r="E1902" s="20" t="str">
        <x:v>Tenant</x:v>
      </x:c>
      <x:c r="F1902" s="20" t="str">
        <x:v>Mobile</x:v>
      </x:c>
      <x:c r="G1902" s="20" t="str">
        <x:v>Normal persona navigation</x:v>
      </x:c>
      <x:c r="H1902" s="35" t="str">
        <x:v>Use every permitted action and state on features/tenants/tenant_lease_screen.dart</x:v>
      </x:c>
      <x:c r="I1902" s="35" t="str">
        <x:v>SCR-189; ROLE-324</x:v>
      </x:c>
      <x:c r="J1902" s="35" t="str"/>
      <x:c r="K1902" s="35" t="str"/>
      <x:c r="L190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02" s="35" t="str">
        <x:v>The persona can use every allowed action with only its assigned properties/relationships. Hidden or disabled actions explain why; an adjacent unauthorized persona is denied without metadata leakage.</x:v>
      </x:c>
      <x:c r="N1902" s="35" t="str">
        <x:v>Persona/experience; navigation entry; desktop or device screenshots; result state; persisted read-back; audit/history; authorized and denied network result.</x:v>
      </x:c>
      <x:c r="O1902" s="35" t="str">
        <x:v>Open the direct URL or deep link with an adjacent unauthorized persona and with stale scope; both fail closed and land safely without mutation.</x:v>
      </x:c>
      <x:c r="P1902" s="35" t="str">
        <x:v>All expected records and amounts match; no unexplained error or stale state.</x:v>
      </x:c>
    </x:row>
    <x:row r="1903">
      <x:c r="A1903" s="20" t="str">
        <x:v>RUN-20271213-03</x:v>
      </x:c>
      <x:c r="B1903" s="23" t="n">
        <x:v>46734</x:v>
      </x:c>
      <x:c r="C1903" s="32" t="n">
        <x:v>3</x:v>
      </x:c>
      <x:c r="D1903" s="20" t="str">
        <x:v>Field certification</x:v>
      </x:c>
      <x:c r="E1903" s="20" t="str">
        <x:v>Applicant / public user</x:v>
      </x:c>
      <x:c r="F1903" s="20" t="str">
        <x:v>Mobile</x:v>
      </x:c>
      <x:c r="G1903" s="20" t="str">
        <x:v>Manual field-by-field</x:v>
      </x:c>
      <x:c r="H1903" s="35" t="str">
        <x:v>Fill, save, reload, edit, and validate every declared field on features/settings/change_password_screen.dart</x:v>
      </x:c>
      <x:c r="I1903" s="35" t="str">
        <x:v>FLD-1034; FLD-1035</x:v>
      </x:c>
      <x:c r="J1903" s="35" t="str"/>
      <x:c r="K1903" s="35" t="str"/>
      <x:c r="L1903" s="35" t="str">
        <x:v>Use the source-derived Field Inventory. Enter non-default realistic values in every control (_newController; _confirmController); submit; reload or relaunch; compare every value; edit each mutable field; verify the paired client; then run required, format, length, range, boundary, optional-null, and stale-submit checks.</x:v>
      </x:c>
      <x:c r="M1903" s="35" t="str">
        <x:v>All 2 inventoried controls persist exact normalized values, invalid values stay unsaved with clear errors, and hidden/unauthorized fields cannot be altered.</x:v>
      </x:c>
      <x:c r="N1903" s="35" t="str">
        <x:v>Before/after form screenshots; FLD IDs; API response; reloaded UI; paired-client read-back; database/audit evidence; negative validation result.</x:v>
      </x:c>
      <x:c r="O1903" s="35" t="str">
        <x:v>Use a duplicate submit and one simulated network interruption; one atomic mutation or none, never partial state.</x:v>
      </x:c>
      <x:c r="P1903" s="35" t="str">
        <x:v>All expected records and amounts match; no unexplained error or stale state.</x:v>
      </x:c>
    </x:row>
    <x:row r="1904">
      <x:c r="A1904" s="20" t="str">
        <x:v>RUN-20271213-04</x:v>
      </x:c>
      <x:c r="B1904" s="23" t="n">
        <x:v>46734</x:v>
      </x:c>
      <x:c r="C1904" s="32" t="n">
        <x:v>4</x:v>
      </x:c>
      <x:c r="D1904" s="20" t="str">
        <x:v>Field certification</x:v>
      </x:c>
      <x:c r="E1904" s="20" t="str">
        <x:v>Applicant / public user</x:v>
      </x:c>
      <x:c r="F1904" s="20" t="str">
        <x:v>Mobile</x:v>
      </x:c>
      <x:c r="G1904" s="20" t="str">
        <x:v>Manual field-by-field</x:v>
      </x:c>
      <x:c r="H1904" s="35" t="str">
        <x:v>Fill, save, reload, edit, and validate every declared field on features/settings/my_alerts_screen.dart</x:v>
      </x:c>
      <x:c r="I1904" s="35" t="str">
        <x:v>FLD-1036</x:v>
      </x:c>
      <x:c r="J1904" s="35" t="str"/>
      <x:c r="K1904" s="35" t="str"/>
      <x:c r="L1904" s="35" t="str">
        <x:v>Use the source-derived Field Inventory. Enter non-default realistic values in every control (onChanged); submit; reload or relaunch; compare every value; edit each mutable field; verify the paired client; then run required, format, length, range, boundary, optional-null, and stale-submit checks.</x:v>
      </x:c>
      <x:c r="M1904" s="35" t="str">
        <x:v>All 1 inventoried controls persist exact normalized values, invalid values stay unsaved with clear errors, and hidden/unauthorized fields cannot be altered.</x:v>
      </x:c>
      <x:c r="N1904" s="35" t="str">
        <x:v>Before/after form screenshots; FLD IDs; API response; reloaded UI; paired-client read-back; database/audit evidence; negative validation result.</x:v>
      </x:c>
      <x:c r="O1904" s="35" t="str">
        <x:v>Use a duplicate submit and one simulated network interruption; one atomic mutation or none, never partial state.</x:v>
      </x:c>
      <x:c r="P1904" s="35" t="str">
        <x:v>All expected records and amounts match; no unexplained error or stale state.</x:v>
      </x:c>
    </x:row>
    <x:row r="1905">
      <x:c r="A1905" s="20" t="str">
        <x:v>RUN-20271213-05</x:v>
      </x:c>
      <x:c r="B1905" s="23" t="n">
        <x:v>46734</x:v>
      </x:c>
      <x:c r="C1905" s="32" t="n">
        <x:v>5</x:v>
      </x:c>
      <x:c r="D1905" s="20" t="str">
        <x:v>Field certification</x:v>
      </x:c>
      <x:c r="E1905" s="20" t="str">
        <x:v>Applicant / public user</x:v>
      </x:c>
      <x:c r="F1905" s="20" t="str">
        <x:v>Mobile</x:v>
      </x:c>
      <x:c r="G1905" s="20" t="str">
        <x:v>Manual field-by-field</x:v>
      </x:c>
      <x:c r="H1905" s="35" t="str">
        <x:v>Fill, save, reload, edit, and validate every declared field on features/settings/team_routing_screen.dart</x:v>
      </x:c>
      <x:c r="I1905" s="35" t="str">
        <x:v>FLD-1037</x:v>
      </x:c>
      <x:c r="J1905" s="35" t="str"/>
      <x:c r="K1905" s="35" t="str"/>
      <x:c r="L1905" s="35" t="str">
        <x:v>Use the source-derived Field Inventory. Enter non-default realistic values in every control (_hour); submit; reload or relaunch; compare every value; edit each mutable field; verify the paired client; then run required, format, length, range, boundary, optional-null, and stale-submit checks.</x:v>
      </x:c>
      <x:c r="M1905" s="35" t="str">
        <x:v>All 1 inventoried controls persist exact normalized values, invalid values stay unsaved with clear errors, and hidden/unauthorized fields cannot be altered.</x:v>
      </x:c>
      <x:c r="N1905" s="35" t="str">
        <x:v>Before/after form screenshots; FLD IDs; API response; reloaded UI; paired-client read-back; database/audit evidence; negative validation result.</x:v>
      </x:c>
      <x:c r="O1905" s="35" t="str">
        <x:v>Use a duplicate submit and one simulated network interruption; one atomic mutation or none, never partial state.</x:v>
      </x:c>
      <x:c r="P1905" s="35" t="str">
        <x:v>All expected records and amounts match; no unexplained error or stale state.</x:v>
      </x:c>
    </x:row>
    <x:row r="1906">
      <x:c r="A1906" s="20" t="str">
        <x:v>RUN-20271213-06</x:v>
      </x:c>
      <x:c r="B1906" s="23" t="n">
        <x:v>46734</x:v>
      </x:c>
      <x:c r="C1906" s="32" t="n">
        <x:v>6</x:v>
      </x:c>
      <x:c r="D1906" s="20" t="str">
        <x:v>Surface coverage</x:v>
      </x:c>
      <x:c r="E1906" s="20" t="str">
        <x:v>Role appropriate to surface</x:v>
      </x:c>
      <x:c r="F1906" s="20" t="str">
        <x:v>Mobile</x:v>
      </x:c>
      <x:c r="G1906" s="20" t="str">
        <x:v>Manual</x:v>
      </x:c>
      <x:c r="H1906" s="35" t="str">
        <x:v>Manual mobile pass: Tenant maintenance/messages/appointments/preferences/security</x:v>
      </x:c>
      <x:c r="I1906" s="35" t="str">
        <x:v>COV-044</x:v>
      </x:c>
      <x:c r="J1906" s="35" t="str"/>
      <x:c r="K1906" s="35" t="str"/>
      <x:c r="L1906" s="35" t="str">
        <x:v>Submit request with photo, message, confirm appointment, change preferences/password, logout all sessions, and prove tenant-only scope.</x:v>
      </x:c>
      <x:c r="M1906" s="35" t="str">
        <x:v>The supported workflow completes and persists correctly; if the capability is absent, the exact gap is proven and queued rather than silently skipped.</x:v>
      </x:c>
      <x:c r="N1906" s="35" t="str">
        <x:v>Real UI screenshot/state; submitted values; persisted read-back; cross-client read-back; audit/role/access evidence.</x:v>
      </x:c>
      <x:c r="O1906" s="35" t="str">
        <x:v>Use one invalid value, stale-state retry, or duplicate submission relevant to the form; no partial or duplicate mutation.</x:v>
      </x:c>
      <x:c r="P1906" s="35" t="str">
        <x:v>All expected records and amounts match; no unexplained error or stale state.</x:v>
      </x:c>
    </x:row>
    <x:row r="1907">
      <x:c r="A1907" s="20" t="str">
        <x:v>RUN-20271214-01</x:v>
      </x:c>
      <x:c r="B1907" s="23" t="n">
        <x:v>46735</x:v>
      </x:c>
      <x:c r="C1907" s="32" t="n">
        <x:v>1</x:v>
      </x:c>
      <x:c r="D1907" s="20" t="str">
        <x:v>Weekly operations</x:v>
      </x:c>
      <x:c r="E1907" s="20" t="str">
        <x:v>Property Manager</x:v>
      </x:c>
      <x:c r="F1907" s="20" t="str">
        <x:v>Web</x:v>
      </x:c>
      <x:c r="G1907" s="20" t="str">
        <x:v>Manual mobile form</x:v>
      </x:c>
      <x:c r="H1907" s="35" t="str">
        <x:v>Record, review, allocate, and pay operating expense</x:v>
      </x:c>
      <x:c r="I1907" s="35" t="str">
        <x:v>P026; U031; WO-2027-050</x:v>
      </x:c>
      <x:c r="J1907" s="35" t="str"/>
      <x:c r="K1907" s="35" t="str">
        <x:v>FIN-01073</x:v>
      </x:c>
      <x:c r="L1907" s="35" t="str">
        <x:v>Capture or upload the source; verify vendor, date, scope, category, line items, tax, amount, and work-order link; confirm; open detail; verify attachment; compare Money and Property/Unit views.</x:v>
      </x:c>
      <x:c r="M1907" s="35" t="str">
        <x:v>One expense exists at its real operational scope, cash falls once, Schedule E category and allocations agree, and no per-unit copies are created.</x:v>
      </x:c>
      <x:c r="N1907" s="35" t="str">
        <x:v>Source preview; review/form; expense detail; line items; Property/Unit ledger; audit; accounting/report delta.</x:v>
      </x:c>
      <x:c r="O1907" s="35" t="str">
        <x:v>On marked duplicate-invoice cases, re-upload before confirm and prove the product prevents or clearly warns about duplication.</x:v>
      </x:c>
      <x:c r="P1907" s="35" t="str">
        <x:v>All expected records and amounts match; no unexplained error or stale state.</x:v>
      </x:c>
    </x:row>
    <x:row r="1908">
      <x:c r="A1908" s="20" t="str">
        <x:v>RUN-20271214-02</x:v>
      </x:c>
      <x:c r="B1908" s="23" t="n">
        <x:v>46735</x:v>
      </x:c>
      <x:c r="C1908" s="32" t="n">
        <x:v>2</x:v>
      </x:c>
      <x:c r="D1908" s="20" t="str">
        <x:v>Field certification</x:v>
      </x:c>
      <x:c r="E1908" s="20" t="str">
        <x:v>Applicant / public user</x:v>
      </x:c>
      <x:c r="F1908" s="20" t="str">
        <x:v>Mobile</x:v>
      </x:c>
      <x:c r="G1908" s="20" t="str">
        <x:v>Manual field-by-field</x:v>
      </x:c>
      <x:c r="H1908" s="35" t="str">
        <x:v>Fill, save, reload, edit, and validate every declared field on features/settings/team_routing_screen.dart</x:v>
      </x:c>
      <x:c r="I1908" s="35" t="str">
        <x:v>FLD-1038; FLD-1039; FLD-1040; FLD-1041</x:v>
      </x:c>
      <x:c r="J1908" s="35" t="str"/>
      <x:c r="K1908" s="35" t="str"/>
      <x:c r="L1908" s="35" t="str">
        <x:v>Use the source-derived Field Inventory. Enter non-default realistic values in every control (SwitchListTile-3; _searchController; SwitchListTile-5; onReasonChanged); submit; reload or relaunch; compare every value; edit each mutable field; verify the paired client; then run required, format, length, range, boundary, optional-null, and stale-submit checks.</x:v>
      </x:c>
      <x:c r="M1908" s="35" t="str">
        <x:v>All 4 inventoried controls persist exact normalized values, invalid values stay unsaved with clear errors, and hidden/unauthorized fields cannot be altered.</x:v>
      </x:c>
      <x:c r="N1908" s="35" t="str">
        <x:v>Before/after form screenshots; FLD IDs; API response; reloaded UI; paired-client read-back; database/audit evidence; negative validation result.</x:v>
      </x:c>
      <x:c r="O1908" s="35" t="str">
        <x:v>Use a duplicate submit and one simulated network interruption; one atomic mutation or none, never partial state.</x:v>
      </x:c>
      <x:c r="P1908" s="35" t="str">
        <x:v>All expected records and amounts match; no unexplained error or stale state.</x:v>
      </x:c>
    </x:row>
    <x:row r="1909">
      <x:c r="A1909" s="20" t="str">
        <x:v>RUN-20271215-01</x:v>
      </x:c>
      <x:c r="B1909" s="23" t="n">
        <x:v>46736</x:v>
      </x:c>
      <x:c r="C1909" s="32" t="n">
        <x:v>1</x:v>
      </x:c>
      <x:c r="D1909" s="20" t="str">
        <x:v>Weekly operations</x:v>
      </x:c>
      <x:c r="E1909" s="20" t="str">
        <x:v>Property Manager</x:v>
      </x:c>
      <x:c r="F1909" s="20" t="str">
        <x:v>Mobile</x:v>
      </x:c>
      <x:c r="G1909" s="20" t="str">
        <x:v>Scanned receipt/invoice</x:v>
      </x:c>
      <x:c r="H1909" s="35" t="str">
        <x:v>Record, review, allocate, and pay operating expense</x:v>
      </x:c>
      <x:c r="I1909" s="35" t="str">
        <x:v>P021; Property scope; </x:v>
      </x:c>
      <x:c r="J1909" s="35" t="str">
        <x:v>SCN-0760</x:v>
      </x:c>
      <x:c r="K1909" s="35" t="str">
        <x:v>FIN-01464</x:v>
      </x:c>
      <x:c r="L1909" s="35" t="str">
        <x:v>Capture or upload the source; verify vendor, date, scope, category, line items, tax, amount, and work-order link; confirm; open detail; verify attachment; compare Money and Property/Unit views.</x:v>
      </x:c>
      <x:c r="M1909" s="35" t="str">
        <x:v>One expense exists at its real operational scope, cash falls once, Schedule E category and allocations agree, and no per-unit copies are created.</x:v>
      </x:c>
      <x:c r="N1909" s="35" t="str">
        <x:v>Source preview; review/form; expense detail; line items; Property/Unit ledger; audit; accounting/report delta.</x:v>
      </x:c>
      <x:c r="O1909" s="35" t="str">
        <x:v>On marked duplicate-invoice cases, re-upload before confirm and prove the product prevents or clearly warns about duplication.</x:v>
      </x:c>
      <x:c r="P1909" s="35" t="str">
        <x:v>All expected records and amounts match; no unexplained error or stale state.</x:v>
      </x:c>
    </x:row>
    <x:row r="1910">
      <x:c r="A1910" s="20" t="str">
        <x:v>RUN-20271215-02</x:v>
      </x:c>
      <x:c r="B1910" s="23" t="n">
        <x:v>46736</x:v>
      </x:c>
      <x:c r="C1910" s="32" t="n">
        <x:v>2</x:v>
      </x:c>
      <x:c r="D1910" s="20" t="str">
        <x:v>Weekly operations</x:v>
      </x:c>
      <x:c r="E1910" s="20" t="str">
        <x:v>Property Manager</x:v>
      </x:c>
      <x:c r="F1910" s="20" t="str">
        <x:v>Web</x:v>
      </x:c>
      <x:c r="G1910" s="20" t="str">
        <x:v>Scanned receipt/invoice</x:v>
      </x:c>
      <x:c r="H1910" s="35" t="str">
        <x:v>Record, review, allocate, and pay operating expense</x:v>
      </x:c>
      <x:c r="I1910" s="35" t="str">
        <x:v>P022; Property scope; </x:v>
      </x:c>
      <x:c r="J1910" s="35" t="str">
        <x:v>SCN-0761</x:v>
      </x:c>
      <x:c r="K1910" s="35" t="str">
        <x:v>FIN-01465</x:v>
      </x:c>
      <x:c r="L1910" s="35" t="str">
        <x:v>Capture or upload the source; verify vendor, date, scope, category, line items, tax, amount, and work-order link; confirm; open detail; verify attachment; compare Money and Property/Unit views.</x:v>
      </x:c>
      <x:c r="M1910" s="35" t="str">
        <x:v>One expense exists at its real operational scope, cash falls once, Schedule E category and allocations agree, and no per-unit copies are created.</x:v>
      </x:c>
      <x:c r="N1910" s="35" t="str">
        <x:v>Source preview; review/form; expense detail; line items; Property/Unit ledger; audit; accounting/report delta.</x:v>
      </x:c>
      <x:c r="O1910" s="35" t="str">
        <x:v>On marked duplicate-invoice cases, re-upload before confirm and prove the product prevents or clearly warns about duplication.</x:v>
      </x:c>
      <x:c r="P1910" s="35" t="str">
        <x:v>All expected records and amounts match; no unexplained error or stale state.</x:v>
      </x:c>
    </x:row>
    <x:row r="1911">
      <x:c r="A1911" s="20" t="str">
        <x:v>RUN-20271215-03</x:v>
      </x:c>
      <x:c r="B1911" s="23" t="n">
        <x:v>46736</x:v>
      </x:c>
      <x:c r="C1911" s="32" t="n">
        <x:v>3</x:v>
      </x:c>
      <x:c r="D1911" s="20" t="str">
        <x:v>Weekly operations</x:v>
      </x:c>
      <x:c r="E1911" s="20" t="str">
        <x:v>Property Manager</x:v>
      </x:c>
      <x:c r="F1911" s="20" t="str">
        <x:v>Mobile</x:v>
      </x:c>
      <x:c r="G1911" s="20" t="str">
        <x:v>Scanned receipt/invoice</x:v>
      </x:c>
      <x:c r="H1911" s="35" t="str">
        <x:v>Record, review, allocate, and pay operating expense</x:v>
      </x:c>
      <x:c r="I1911" s="35" t="str">
        <x:v>P023; Property scope; </x:v>
      </x:c>
      <x:c r="J1911" s="35" t="str">
        <x:v>SCN-0762</x:v>
      </x:c>
      <x:c r="K1911" s="35" t="str">
        <x:v>FIN-01466</x:v>
      </x:c>
      <x:c r="L1911" s="35" t="str">
        <x:v>Capture or upload the source; verify vendor, date, scope, category, line items, tax, amount, and work-order link; confirm; open detail; verify attachment; compare Money and Property/Unit views.</x:v>
      </x:c>
      <x:c r="M1911" s="35" t="str">
        <x:v>One expense exists at its real operational scope, cash falls once, Schedule E category and allocations agree, and no per-unit copies are created.</x:v>
      </x:c>
      <x:c r="N1911" s="35" t="str">
        <x:v>Source preview; review/form; expense detail; line items; Property/Unit ledger; audit; accounting/report delta.</x:v>
      </x:c>
      <x:c r="O1911" s="35" t="str">
        <x:v>On marked duplicate-invoice cases, re-upload before confirm and prove the product prevents or clearly warns about duplication.</x:v>
      </x:c>
      <x:c r="P1911" s="35" t="str">
        <x:v>All expected records and amounts match; no unexplained error or stale state.</x:v>
      </x:c>
    </x:row>
    <x:row r="1912">
      <x:c r="A1912" s="20" t="str">
        <x:v>RUN-20271215-04</x:v>
      </x:c>
      <x:c r="B1912" s="23" t="n">
        <x:v>46736</x:v>
      </x:c>
      <x:c r="C1912" s="32" t="n">
        <x:v>4</x:v>
      </x:c>
      <x:c r="D1912" s="20" t="str">
        <x:v>Weekly operations</x:v>
      </x:c>
      <x:c r="E1912" s="20" t="str">
        <x:v>Property Manager</x:v>
      </x:c>
      <x:c r="F1912" s="20" t="str">
        <x:v>Web</x:v>
      </x:c>
      <x:c r="G1912" s="20" t="str">
        <x:v>Scanned receipt/invoice</x:v>
      </x:c>
      <x:c r="H1912" s="35" t="str">
        <x:v>Record, review, allocate, and pay operating expense</x:v>
      </x:c>
      <x:c r="I1912" s="35" t="str">
        <x:v>P024; Property scope; </x:v>
      </x:c>
      <x:c r="J1912" s="35" t="str">
        <x:v>SCN-0763</x:v>
      </x:c>
      <x:c r="K1912" s="35" t="str">
        <x:v>FIN-01467</x:v>
      </x:c>
      <x:c r="L1912" s="35" t="str">
        <x:v>Capture or upload the source; verify vendor, date, scope, category, line items, tax, amount, and work-order link; confirm; open detail; verify attachment; compare Money and Property/Unit views.</x:v>
      </x:c>
      <x:c r="M1912" s="35" t="str">
        <x:v>One expense exists at its real operational scope, cash falls once, Schedule E category and allocations agree, and no per-unit copies are created.</x:v>
      </x:c>
      <x:c r="N1912" s="35" t="str">
        <x:v>Source preview; review/form; expense detail; line items; Property/Unit ledger; audit; accounting/report delta.</x:v>
      </x:c>
      <x:c r="O1912" s="35" t="str">
        <x:v>On marked duplicate-invoice cases, re-upload before confirm and prove the product prevents or clearly warns about duplication.</x:v>
      </x:c>
      <x:c r="P1912" s="35" t="str">
        <x:v>All expected records and amounts match; no unexplained error or stale state.</x:v>
      </x:c>
    </x:row>
    <x:row r="1913">
      <x:c r="A1913" s="20" t="str">
        <x:v>RUN-20271215-05</x:v>
      </x:c>
      <x:c r="B1913" s="23" t="n">
        <x:v>46736</x:v>
      </x:c>
      <x:c r="C1913" s="32" t="n">
        <x:v>5</x:v>
      </x:c>
      <x:c r="D1913" s="20" t="str">
        <x:v>Weekly operations</x:v>
      </x:c>
      <x:c r="E1913" s="20" t="str">
        <x:v>Property Manager</x:v>
      </x:c>
      <x:c r="F1913" s="20" t="str">
        <x:v>Mobile</x:v>
      </x:c>
      <x:c r="G1913" s="20" t="str">
        <x:v>Manual web form</x:v>
      </x:c>
      <x:c r="H1913" s="35" t="str">
        <x:v>Record, review, allocate, and pay operating expense</x:v>
      </x:c>
      <x:c r="I1913" s="35" t="str">
        <x:v>P025; Property scope; </x:v>
      </x:c>
      <x:c r="J1913" s="35" t="str"/>
      <x:c r="K1913" s="35" t="str">
        <x:v>FIN-01468</x:v>
      </x:c>
      <x:c r="L1913" s="35" t="str">
        <x:v>Capture or upload the source; verify vendor, date, scope, category, line items, tax, amount, and work-order link; confirm; open detail; verify attachment; compare Money and Property/Unit views.</x:v>
      </x:c>
      <x:c r="M1913" s="35" t="str">
        <x:v>One expense exists at its real operational scope, cash falls once, Schedule E category and allocations agree, and no per-unit copies are created.</x:v>
      </x:c>
      <x:c r="N1913" s="35" t="str">
        <x:v>Source preview; review/form; expense detail; line items; Property/Unit ledger; audit; accounting/report delta.</x:v>
      </x:c>
      <x:c r="O1913" s="35" t="str">
        <x:v>On marked duplicate-invoice cases, re-upload before confirm and prove the product prevents or clearly warns about duplication.</x:v>
      </x:c>
      <x:c r="P1913" s="35" t="str">
        <x:v>All expected records and amounts match; no unexplained error or stale state.</x:v>
      </x:c>
    </x:row>
    <x:row r="1914">
      <x:c r="A1914" s="20" t="str">
        <x:v>RUN-20271215-06</x:v>
      </x:c>
      <x:c r="B1914" s="23" t="n">
        <x:v>46736</x:v>
      </x:c>
      <x:c r="C1914" s="32" t="n">
        <x:v>6</x:v>
      </x:c>
      <x:c r="D1914" s="20" t="str">
        <x:v>Weekly operations</x:v>
      </x:c>
      <x:c r="E1914" s="20" t="str">
        <x:v>Property Manager</x:v>
      </x:c>
      <x:c r="F1914" s="20" t="str">
        <x:v>Web</x:v>
      </x:c>
      <x:c r="G1914" s="20" t="str">
        <x:v>Scanned receipt/invoice</x:v>
      </x:c>
      <x:c r="H1914" s="35" t="str">
        <x:v>Record, review, allocate, and pay operating expense</x:v>
      </x:c>
      <x:c r="I1914" s="35" t="str">
        <x:v>P026; Property scope; </x:v>
      </x:c>
      <x:c r="J1914" s="35" t="str">
        <x:v>SCN-0764</x:v>
      </x:c>
      <x:c r="K1914" s="35" t="str">
        <x:v>FIN-01469</x:v>
      </x:c>
      <x:c r="L1914" s="35" t="str">
        <x:v>Capture or upload the source; verify vendor, date, scope, category, line items, tax, amount, and work-order link; confirm; open detail; verify attachment; compare Money and Property/Unit views.</x:v>
      </x:c>
      <x:c r="M1914" s="35" t="str">
        <x:v>One expense exists at its real operational scope, cash falls once, Schedule E category and allocations agree, and no per-unit copies are created.</x:v>
      </x:c>
      <x:c r="N1914" s="35" t="str">
        <x:v>Source preview; review/form; expense detail; line items; Property/Unit ledger; audit; accounting/report delta.</x:v>
      </x:c>
      <x:c r="O1914" s="35" t="str">
        <x:v>On marked duplicate-invoice cases, re-upload before confirm and prove the product prevents or clearly warns about duplication.</x:v>
      </x:c>
      <x:c r="P1914" s="35" t="str">
        <x:v>All expected records and amounts match; no unexplained error or stale state.</x:v>
      </x:c>
    </x:row>
    <x:row r="1915">
      <x:c r="A1915" s="20" t="str">
        <x:v>RUN-20271215-07</x:v>
      </x:c>
      <x:c r="B1915" s="23" t="n">
        <x:v>46736</x:v>
      </x:c>
      <x:c r="C1915" s="32" t="n">
        <x:v>7</x:v>
      </x:c>
      <x:c r="D1915" s="20" t="str">
        <x:v>Weekly operations</x:v>
      </x:c>
      <x:c r="E1915" s="20" t="str">
        <x:v>Property Manager</x:v>
      </x:c>
      <x:c r="F1915" s="20" t="str">
        <x:v>Mobile</x:v>
      </x:c>
      <x:c r="G1915" s="20" t="str">
        <x:v>Scanned receipt/invoice</x:v>
      </x:c>
      <x:c r="H1915" s="35" t="str">
        <x:v>Record, review, allocate, and pay operating expense</x:v>
      </x:c>
      <x:c r="I1915" s="35" t="str">
        <x:v>P027; Property scope; </x:v>
      </x:c>
      <x:c r="J1915" s="35" t="str">
        <x:v>SCN-0765</x:v>
      </x:c>
      <x:c r="K1915" s="35" t="str">
        <x:v>FIN-01470</x:v>
      </x:c>
      <x:c r="L1915" s="35" t="str">
        <x:v>Capture or upload the source; verify vendor, date, scope, category, line items, tax, amount, and work-order link; confirm; open detail; verify attachment; compare Money and Property/Unit views.</x:v>
      </x:c>
      <x:c r="M1915" s="35" t="str">
        <x:v>One expense exists at its real operational scope, cash falls once, Schedule E category and allocations agree, and no per-unit copies are created.</x:v>
      </x:c>
      <x:c r="N1915" s="35" t="str">
        <x:v>Source preview; review/form; expense detail; line items; Property/Unit ledger; audit; accounting/report delta.</x:v>
      </x:c>
      <x:c r="O1915" s="35" t="str">
        <x:v>On marked duplicate-invoice cases, re-upload before confirm and prove the product prevents or clearly warns about duplication.</x:v>
      </x:c>
      <x:c r="P1915" s="35" t="str">
        <x:v>All expected records and amounts match; no unexplained error or stale state.</x:v>
      </x:c>
    </x:row>
    <x:row r="1916">
      <x:c r="A1916" s="20" t="str">
        <x:v>RUN-20271215-08</x:v>
      </x:c>
      <x:c r="B1916" s="23" t="n">
        <x:v>46736</x:v>
      </x:c>
      <x:c r="C1916" s="32" t="n">
        <x:v>8</x:v>
      </x:c>
      <x:c r="D1916" s="20" t="str">
        <x:v>Weekly operations</x:v>
      </x:c>
      <x:c r="E1916" s="20" t="str">
        <x:v>Property Manager</x:v>
      </x:c>
      <x:c r="F1916" s="20" t="str">
        <x:v>Web</x:v>
      </x:c>
      <x:c r="G1916" s="20" t="str">
        <x:v>Scanned receipt/invoice</x:v>
      </x:c>
      <x:c r="H1916" s="35" t="str">
        <x:v>Record, review, allocate, and pay operating expense</x:v>
      </x:c>
      <x:c r="I1916" s="35" t="str">
        <x:v>P028; Property scope; </x:v>
      </x:c>
      <x:c r="J1916" s="35" t="str">
        <x:v>SCN-0766</x:v>
      </x:c>
      <x:c r="K1916" s="35" t="str">
        <x:v>FIN-01471</x:v>
      </x:c>
      <x:c r="L1916" s="35" t="str">
        <x:v>Capture or upload the source; verify vendor, date, scope, category, line items, tax, amount, and work-order link; confirm; open detail; verify attachment; compare Money and Property/Unit views.</x:v>
      </x:c>
      <x:c r="M1916" s="35" t="str">
        <x:v>One expense exists at its real operational scope, cash falls once, Schedule E category and allocations agree, and no per-unit copies are created.</x:v>
      </x:c>
      <x:c r="N1916" s="35" t="str">
        <x:v>Source preview; review/form; expense detail; line items; Property/Unit ledger; audit; accounting/report delta.</x:v>
      </x:c>
      <x:c r="O1916" s="35" t="str">
        <x:v>On marked duplicate-invoice cases, re-upload before confirm and prove the product prevents or clearly warns about duplication.</x:v>
      </x:c>
      <x:c r="P1916" s="35" t="str">
        <x:v>All expected records and amounts match; no unexplained error or stale state.</x:v>
      </x:c>
    </x:row>
    <x:row r="1917">
      <x:c r="A1917" s="20" t="str">
        <x:v>RUN-20271215-09</x:v>
      </x:c>
      <x:c r="B1917" s="23" t="n">
        <x:v>46736</x:v>
      </x:c>
      <x:c r="C1917" s="32" t="n">
        <x:v>9</x:v>
      </x:c>
      <x:c r="D1917" s="20" t="str">
        <x:v>Weekly operations</x:v>
      </x:c>
      <x:c r="E1917" s="20" t="str">
        <x:v>Property Manager</x:v>
      </x:c>
      <x:c r="F1917" s="20" t="str">
        <x:v>Mobile</x:v>
      </x:c>
      <x:c r="G1917" s="20" t="str">
        <x:v>Scanned receipt/invoice</x:v>
      </x:c>
      <x:c r="H1917" s="35" t="str">
        <x:v>Record, review, allocate, and pay operating expense</x:v>
      </x:c>
      <x:c r="I1917" s="35" t="str">
        <x:v>P029; Property scope; </x:v>
      </x:c>
      <x:c r="J1917" s="35" t="str">
        <x:v>SCN-0767</x:v>
      </x:c>
      <x:c r="K1917" s="35" t="str">
        <x:v>FIN-01472</x:v>
      </x:c>
      <x:c r="L1917" s="35" t="str">
        <x:v>Capture or upload the source; verify vendor, date, scope, category, line items, tax, amount, and work-order link; confirm; open detail; verify attachment; compare Money and Property/Unit views.</x:v>
      </x:c>
      <x:c r="M1917" s="35" t="str">
        <x:v>One expense exists at its real operational scope, cash falls once, Schedule E category and allocations agree, and no per-unit copies are created.</x:v>
      </x:c>
      <x:c r="N1917" s="35" t="str">
        <x:v>Source preview; review/form; expense detail; line items; Property/Unit ledger; audit; accounting/report delta.</x:v>
      </x:c>
      <x:c r="O1917" s="35" t="str">
        <x:v>On marked duplicate-invoice cases, re-upload before confirm and prove the product prevents or clearly warns about duplication.</x:v>
      </x:c>
      <x:c r="P1917" s="35" t="str">
        <x:v>All expected records and amounts match; no unexplained error or stale state.</x:v>
      </x:c>
    </x:row>
    <x:row r="1918">
      <x:c r="A1918" s="20" t="str">
        <x:v>RUN-20271215-10</x:v>
      </x:c>
      <x:c r="B1918" s="23" t="n">
        <x:v>46736</x:v>
      </x:c>
      <x:c r="C1918" s="32" t="n">
        <x:v>10</x:v>
      </x:c>
      <x:c r="D1918" s="20" t="str">
        <x:v>Weekly operations</x:v>
      </x:c>
      <x:c r="E1918" s="20" t="str">
        <x:v>Property Manager</x:v>
      </x:c>
      <x:c r="F1918" s="20" t="str">
        <x:v>Web</x:v>
      </x:c>
      <x:c r="G1918" s="20" t="str">
        <x:v>Manual mobile form</x:v>
      </x:c>
      <x:c r="H1918" s="35" t="str">
        <x:v>Record, review, allocate, and pay operating expense</x:v>
      </x:c>
      <x:c r="I1918" s="35" t="str">
        <x:v>P030; Property scope; </x:v>
      </x:c>
      <x:c r="J1918" s="35" t="str"/>
      <x:c r="K1918" s="35" t="str">
        <x:v>FIN-01473</x:v>
      </x:c>
      <x:c r="L1918" s="35" t="str">
        <x:v>Capture or upload the source; verify vendor, date, scope, category, line items, tax, amount, and work-order link; confirm; open detail; verify attachment; compare Money and Property/Unit views.</x:v>
      </x:c>
      <x:c r="M1918" s="35" t="str">
        <x:v>One expense exists at its real operational scope, cash falls once, Schedule E category and allocations agree, and no per-unit copies are created.</x:v>
      </x:c>
      <x:c r="N1918" s="35" t="str">
        <x:v>Source preview; review/form; expense detail; line items; Property/Unit ledger; audit; accounting/report delta.</x:v>
      </x:c>
      <x:c r="O1918" s="35" t="str">
        <x:v>On marked duplicate-invoice cases, re-upload before confirm and prove the product prevents or clearly warns about duplication.</x:v>
      </x:c>
      <x:c r="P1918" s="35" t="str">
        <x:v>All expected records and amounts match; no unexplained error or stale state.</x:v>
      </x:c>
    </x:row>
    <x:row r="1919">
      <x:c r="A1919" s="20" t="str">
        <x:v>RUN-20271215-11</x:v>
      </x:c>
      <x:c r="B1919" s="23" t="n">
        <x:v>46736</x:v>
      </x:c>
      <x:c r="C1919" s="32" t="n">
        <x:v>11</x:v>
      </x:c>
      <x:c r="D1919" s="20" t="str">
        <x:v>Leasing</x:v>
      </x:c>
      <x:c r="E1919" s="20" t="str">
        <x:v>Property Manager + Tenant</x:v>
      </x:c>
      <x:c r="F1919" s="20" t="str">
        <x:v>Web + Mobile</x:v>
      </x:c>
      <x:c r="G1919" s="20" t="str">
        <x:v>Manual + photo evidence</x:v>
      </x:c>
      <x:c r="H1919" s="35" t="str">
        <x:v>Move-in inspection and possession</x:v>
      </x:c>
      <x:c r="I1919" s="35" t="str">
        <x:v>L042; U034</x:v>
      </x:c>
      <x:c r="J1919" s="35" t="str"/>
      <x:c r="K1919" s="35" t="str"/>
      <x:c r="L1919" s="35" t="str">
        <x:v>Run the move-in inspection on mobile with room/item results and photos; review on web; record key handoff and possession; verify occupancy opens only now; tenant confirms portal, lease, payment, maintenance, messages, profile, security, and notifications.</x:v>
      </x:c>
      <x:c r="M1919" s="35" t="str">
        <x:v>Inspection completes, possession opens once, Unit becomes occupied, portal access is scoped, and no lease-status shortcut substitutes for possession truth.</x:v>
      </x:c>
      <x:c r="N1919" s="35" t="str">
        <x:v>Inspection report/photos; possession event; occupancy reports; both clients; tenant portal walkthrough.</x:v>
      </x:c>
      <x:c r="O1919" s="35" t="str">
        <x:v>Attempt possession a second time and use an invalid date; database invariant prevents overlap/duplication.</x:v>
      </x:c>
      <x:c r="P1919" s="35" t="str">
        <x:v>All expected records and amounts match; no unexplained error or stale state.</x:v>
      </x:c>
    </x:row>
    <x:row r="1920">
      <x:c r="A1920" s="20" t="str">
        <x:v>RUN-20271215-12</x:v>
      </x:c>
      <x:c r="B1920" s="23" t="n">
        <x:v>46736</x:v>
      </x:c>
      <x:c r="C1920" s="32" t="n">
        <x:v>12</x:v>
      </x:c>
      <x:c r="D1920" s="20" t="str">
        <x:v>Role and screen certification</x:v>
      </x:c>
      <x:c r="E1920" s="20" t="str">
        <x:v>Applicant / public user</x:v>
      </x:c>
      <x:c r="F1920" s="20" t="str">
        <x:v>Mobile</x:v>
      </x:c>
      <x:c r="G1920" s="20" t="str">
        <x:v>Normal persona navigation</x:v>
      </x:c>
      <x:c r="H1920" s="35" t="str">
        <x:v>Use every permitted action and state on features/tenants/tenants_list_screen.dart</x:v>
      </x:c>
      <x:c r="I1920" s="35" t="str">
        <x:v>SCR-190; ROLE-325</x:v>
      </x:c>
      <x:c r="J1920" s="35" t="str"/>
      <x:c r="K1920" s="35" t="str"/>
      <x:c r="L192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20" s="35" t="str">
        <x:v>The persona can use every allowed action with only its assigned properties/relationships. Hidden or disabled actions explain why; an adjacent unauthorized persona is denied without metadata leakage.</x:v>
      </x:c>
      <x:c r="N1920" s="35" t="str">
        <x:v>Persona/experience; navigation entry; desktop or device screenshots; result state; persisted read-back; audit/history; authorized and denied network result.</x:v>
      </x:c>
      <x:c r="O1920" s="35" t="str">
        <x:v>Open the direct URL or deep link with an adjacent unauthorized persona and with stale scope; both fail closed and land safely without mutation.</x:v>
      </x:c>
      <x:c r="P1920" s="35" t="str">
        <x:v>All expected records and amounts match; no unexplained error or stale state.</x:v>
      </x:c>
    </x:row>
    <x:row r="1921">
      <x:c r="A1921" s="20" t="str">
        <x:v>RUN-20271215-13</x:v>
      </x:c>
      <x:c r="B1921" s="23" t="n">
        <x:v>46736</x:v>
      </x:c>
      <x:c r="C1921" s="32" t="n">
        <x:v>13</x:v>
      </x:c>
      <x:c r="D1921" s="20" t="str">
        <x:v>Field certification</x:v>
      </x:c>
      <x:c r="E1921" s="20" t="str">
        <x:v>Tenant</x:v>
      </x:c>
      <x:c r="F1921" s="20" t="str">
        <x:v>Mobile</x:v>
      </x:c>
      <x:c r="G1921" s="20" t="str">
        <x:v>Manual field-by-field</x:v>
      </x:c>
      <x:c r="H1921" s="35" t="str">
        <x:v>Fill, save, reload, edit, and validate every declared field on features/settings/tenant_notices_screen.dart</x:v>
      </x:c>
      <x:c r="I1921" s="35" t="str">
        <x:v>FLD-1042; FLD-1043; FLD-1044; FLD-1045; FLD-1046</x:v>
      </x:c>
      <x:c r="J1921" s="35" t="str"/>
      <x:c r="K1921" s="35" t="str"/>
      <x:c r="L1921" s="35" t="str">
        <x:v>Use the source-derived Field Inventory. Enter non-default realistic values in every control (_leadDays; _sendHour; If delivery cannot complete; _subject; _body); submit; reload or relaunch; compare every value; edit each mutable field; verify the paired client; then run required, format, length, range, boundary, optional-null, and stale-submit checks.</x:v>
      </x:c>
      <x:c r="M1921" s="35" t="str">
        <x:v>All 5 inventoried controls persist exact normalized values, invalid values stay unsaved with clear errors, and hidden/unauthorized fields cannot be altered.</x:v>
      </x:c>
      <x:c r="N1921" s="35" t="str">
        <x:v>Before/after form screenshots; FLD IDs; API response; reloaded UI; paired-client read-back; database/audit evidence; negative validation result.</x:v>
      </x:c>
      <x:c r="O1921" s="35" t="str">
        <x:v>Use a duplicate submit and one simulated network interruption; one atomic mutation or none, never partial state.</x:v>
      </x:c>
      <x:c r="P1921" s="35" t="str">
        <x:v>All expected records and amounts match; no unexplained error or stale state.</x:v>
      </x:c>
    </x:row>
    <x:row r="1922">
      <x:c r="A1922" s="20" t="str">
        <x:v>RUN-20271215-14</x:v>
      </x:c>
      <x:c r="B1922" s="23" t="n">
        <x:v>46736</x:v>
      </x:c>
      <x:c r="C1922" s="32" t="n">
        <x:v>14</x:v>
      </x:c>
      <x:c r="D1922" s="20" t="str">
        <x:v>Surface coverage</x:v>
      </x:c>
      <x:c r="E1922" s="20" t="str">
        <x:v>Role appropriate to surface</x:v>
      </x:c>
      <x:c r="F1922" s="20" t="str">
        <x:v>Web</x:v>
      </x:c>
      <x:c r="G1922" s="20" t="str">
        <x:v>Scan/attachment</x:v>
      </x:c>
      <x:c r="H1922" s="35" t="str">
        <x:v>Scan web pass: Tenant maintenance/messages/appointments/preferences/security</x:v>
      </x:c>
      <x:c r="I1922" s="35" t="str">
        <x:v>COV-044</x:v>
      </x:c>
      <x:c r="J1922" s="35" t="str"/>
      <x:c r="K1922" s="35" t="str"/>
      <x:c r="L1922" s="35" t="str">
        <x:v>Submit request with photo, message, confirm appointment, change preferences/password, logout all sessions, and prove tenant-only scope.</x:v>
      </x:c>
      <x:c r="M1922" s="35" t="str">
        <x:v>The supported workflow completes and persists correctly; if the capability is absent, the exact gap is proven and queued rather than silently skipped.</x:v>
      </x:c>
      <x:c r="N1922" s="35" t="str">
        <x:v>Real UI screenshot/state; submitted values; persisted read-back; cross-client read-back; audit/role/access evidence.</x:v>
      </x:c>
      <x:c r="O1922" s="35" t="str">
        <x:v>Use one invalid value, stale-state retry, or duplicate submission relevant to the form; no partial or duplicate mutation.</x:v>
      </x:c>
      <x:c r="P1922" s="35" t="str">
        <x:v>All expected records and amounts match; no unexplained error or stale state.</x:v>
      </x:c>
    </x:row>
    <x:row r="1923">
      <x:c r="A1923" s="20" t="str">
        <x:v>RUN-20271216-01</x:v>
      </x:c>
      <x:c r="B1923" s="23" t="n">
        <x:v>46737</x:v>
      </x:c>
      <x:c r="C1923" s="32" t="n">
        <x:v>1</x:v>
      </x:c>
      <x:c r="D1923" s="20" t="str">
        <x:v>Role and screen certification</x:v>
      </x:c>
      <x:c r="E1923" s="20" t="str">
        <x:v>Applicant / public user</x:v>
      </x:c>
      <x:c r="F1923" s="20" t="str">
        <x:v>Mobile</x:v>
      </x:c>
      <x:c r="G1923" s="20" t="str">
        <x:v>Normal persona navigation</x:v>
      </x:c>
      <x:c r="H1923" s="35" t="str">
        <x:v>Use every permitted action and state on features/units/unit_command_center_screen.dart</x:v>
      </x:c>
      <x:c r="I1923" s="35" t="str">
        <x:v>SCR-191; ROLE-326</x:v>
      </x:c>
      <x:c r="J1923" s="35" t="str"/>
      <x:c r="K1923" s="35" t="str"/>
      <x:c r="L1923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23" s="35" t="str">
        <x:v>The persona can use every allowed action with only its assigned properties/relationships. Hidden or disabled actions explain why; an adjacent unauthorized persona is denied without metadata leakage.</x:v>
      </x:c>
      <x:c r="N1923" s="35" t="str">
        <x:v>Persona/experience; navigation entry; desktop or device screenshots; result state; persisted read-back; audit/history; authorized and denied network result.</x:v>
      </x:c>
      <x:c r="O1923" s="35" t="str">
        <x:v>Open the direct URL or deep link with an adjacent unauthorized persona and with stale scope; both fail closed and land safely without mutation.</x:v>
      </x:c>
      <x:c r="P1923" s="35" t="str">
        <x:v>All expected records and amounts match; no unexplained error or stale state.</x:v>
      </x:c>
    </x:row>
    <x:row r="1924">
      <x:c r="A1924" s="20" t="str">
        <x:v>RUN-20271216-02</x:v>
      </x:c>
      <x:c r="B1924" s="23" t="n">
        <x:v>46737</x:v>
      </x:c>
      <x:c r="C1924" s="32" t="n">
        <x:v>2</x:v>
      </x:c>
      <x:c r="D1924" s="20" t="str">
        <x:v>Field certification</x:v>
      </x:c>
      <x:c r="E1924" s="20" t="str">
        <x:v>Tenant</x:v>
      </x:c>
      <x:c r="F1924" s="20" t="str">
        <x:v>Mobile</x:v>
      </x:c>
      <x:c r="G1924" s="20" t="str">
        <x:v>Manual field-by-field</x:v>
      </x:c>
      <x:c r="H1924" s="35" t="str">
        <x:v>Fill, save, reload, edit, and validate every declared field on features/settings/tenant_notices_screen.dart</x:v>
      </x:c>
      <x:c r="I1924" s="35" t="str">
        <x:v>FLD-1047; FLD-1048; FLD-1049; FLD-1050</x:v>
      </x:c>
      <x:c r="J1924" s="35" t="str"/>
      <x:c r="K1924" s="35" t="str"/>
      <x:c r="L1924" s="35" t="str">
        <x:v>Use the source-derived Field Inventory. Enter non-default realistic values in every control (_testDestination; _jurisdiction; CheckboxListTile-9; onChanged); submit; reload or relaunch; compare every value; edit each mutable field; verify the paired client; then run required, format, length, range, boundary, optional-null, and stale-submit checks.</x:v>
      </x:c>
      <x:c r="M1924" s="35" t="str">
        <x:v>All 4 inventoried controls persist exact normalized values, invalid values stay unsaved with clear errors, and hidden/unauthorized fields cannot be altered.</x:v>
      </x:c>
      <x:c r="N1924" s="35" t="str">
        <x:v>Before/after form screenshots; FLD IDs; API response; reloaded UI; paired-client read-back; database/audit evidence; negative validation result.</x:v>
      </x:c>
      <x:c r="O1924" s="35" t="str">
        <x:v>Use a duplicate submit and one simulated network interruption; one atomic mutation or none, never partial state.</x:v>
      </x:c>
      <x:c r="P1924" s="35" t="str">
        <x:v>All expected records and amounts match; no unexplained error or stale state.</x:v>
      </x:c>
    </x:row>
    <x:row r="1925">
      <x:c r="A1925" s="20" t="str">
        <x:v>RUN-20271216-03</x:v>
      </x:c>
      <x:c r="B1925" s="23" t="n">
        <x:v>46737</x:v>
      </x:c>
      <x:c r="C1925" s="32" t="n">
        <x:v>3</x:v>
      </x:c>
      <x:c r="D1925" s="20" t="str">
        <x:v>Notification certification</x:v>
      </x:c>
      <x:c r="E1925" s="20" t="str">
        <x:v>Tenant + notice operator</x:v>
      </x:c>
      <x:c r="F1925" s="20" t="str">
        <x:v>Web + Mobile</x:v>
      </x:c>
      <x:c r="G1925" s="20" t="str">
        <x:v>System event + preference/manual verification</x:v>
      </x:c>
      <x:c r="H1925" s="35" t="str">
        <x:v>Trigger and prove notification: Tenant notice generated/sent</x:v>
      </x:c>
      <x:c r="I1925" s="35" t="str">
        <x:v>NTF-048</x:v>
      </x:c>
      <x:c r="J1925" s="35" t="str"/>
      <x:c r="K1925" s="35" t="str"/>
      <x:c r="L1925" s="35" t="str">
        <x:v>Set each recipient's preferences; trigger the real business event; inspect routing and recipient scope; verify unread badge, list item, safe preview, notice history deep link, mark-read sync, configured channel outcome, provider failure/retry, and duplicate suppression.</x:v>
      </x:c>
      <x:c r="M1925" s="35" t="str">
        <x:v>Exactly the intended recipients receive one correctly routed notification; disabled optional channels stay silent; deep link opens authorized context; read state synchronizes.</x:v>
      </x:c>
      <x:c r="N1925" s="35" t="str">
        <x:v>Trigger record; routing decision; outbox/delivery status; web/mobile inbox; lock-screen-safe copy; deep-link target; audit/provider retry evidence.</x:v>
      </x:c>
      <x:c r="O1925" s="35" t="str">
        <x:v>Re-run the worker and deliver a duplicate provider callback; no duplicate user-visible event. Attempt the deep link as an unauthorized adjacent role.</x:v>
      </x:c>
      <x:c r="P1925" s="35" t="str">
        <x:v>All expected records and amounts match; no unexplained error or stale state.</x:v>
      </x:c>
    </x:row>
    <x:row r="1926">
      <x:c r="A1926" s="20" t="str">
        <x:v>RUN-20271216-04</x:v>
      </x:c>
      <x:c r="B1926" s="23" t="n">
        <x:v>46737</x:v>
      </x:c>
      <x:c r="C1926" s="32" t="n">
        <x:v>4</x:v>
      </x:c>
      <x:c r="D1926" s="20" t="str">
        <x:v>Surface coverage</x:v>
      </x:c>
      <x:c r="E1926" s="20" t="str">
        <x:v>Role appropriate to surface</x:v>
      </x:c>
      <x:c r="F1926" s="20" t="str">
        <x:v>Mobile</x:v>
      </x:c>
      <x:c r="G1926" s="20" t="str">
        <x:v>Scan/attachment</x:v>
      </x:c>
      <x:c r="H1926" s="35" t="str">
        <x:v>Scan mobile pass: Tenant maintenance/messages/appointments/preferences/security</x:v>
      </x:c>
      <x:c r="I1926" s="35" t="str">
        <x:v>COV-044</x:v>
      </x:c>
      <x:c r="J1926" s="35" t="str"/>
      <x:c r="K1926" s="35" t="str"/>
      <x:c r="L1926" s="35" t="str">
        <x:v>Submit request with photo, message, confirm appointment, change preferences/password, logout all sessions, and prove tenant-only scope.</x:v>
      </x:c>
      <x:c r="M1926" s="35" t="str">
        <x:v>The supported workflow completes and persists correctly; if the capability is absent, the exact gap is proven and queued rather than silently skipped.</x:v>
      </x:c>
      <x:c r="N1926" s="35" t="str">
        <x:v>Real UI screenshot/state; submitted values; persisted read-back; cross-client read-back; audit/role/access evidence.</x:v>
      </x:c>
      <x:c r="O1926" s="35" t="str">
        <x:v>Use one invalid value, stale-state retry, or duplicate submission relevant to the form; no partial or duplicate mutation.</x:v>
      </x:c>
      <x:c r="P1926" s="35" t="str">
        <x:v>All expected records and amounts match; no unexplained error or stale state.</x:v>
      </x:c>
    </x:row>
    <x:row r="1927">
      <x:c r="A1927" s="20" t="str">
        <x:v>RUN-20271217-01</x:v>
      </x:c>
      <x:c r="B1927" s="23" t="n">
        <x:v>46738</x:v>
      </x:c>
      <x:c r="C1927" s="32" t="n">
        <x:v>1</x:v>
      </x:c>
      <x:c r="D1927" s="20" t="str">
        <x:v>Role and screen certification</x:v>
      </x:c>
      <x:c r="E1927" s="20" t="str">
        <x:v>Applicant / public user</x:v>
      </x:c>
      <x:c r="F1927" s="20" t="str">
        <x:v>Mobile</x:v>
      </x:c>
      <x:c r="G1927" s="20" t="str">
        <x:v>Normal persona navigation</x:v>
      </x:c>
      <x:c r="H1927" s="35" t="str">
        <x:v>Use every permitted action and state on features/units/unit_form_sheet.dart</x:v>
      </x:c>
      <x:c r="I1927" s="35" t="str">
        <x:v>SCR-192; ROLE-327</x:v>
      </x:c>
      <x:c r="J1927" s="35" t="str"/>
      <x:c r="K1927" s="35" t="str"/>
      <x:c r="L1927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27" s="35" t="str">
        <x:v>The persona can use every allowed action with only its assigned properties/relationships. Hidden or disabled actions explain why; an adjacent unauthorized persona is denied without metadata leakage.</x:v>
      </x:c>
      <x:c r="N1927" s="35" t="str">
        <x:v>Persona/experience; navigation entry; desktop or device screenshots; result state; persisted read-back; audit/history; authorized and denied network result.</x:v>
      </x:c>
      <x:c r="O1927" s="35" t="str">
        <x:v>Open the direct URL or deep link with an adjacent unauthorized persona and with stale scope; both fail closed and land safely without mutation.</x:v>
      </x:c>
      <x:c r="P1927" s="35" t="str">
        <x:v>All expected records and amounts match; no unexplained error or stale state.</x:v>
      </x:c>
    </x:row>
    <x:row r="1928">
      <x:c r="A1928" s="20" t="str">
        <x:v>RUN-20271217-02</x:v>
      </x:c>
      <x:c r="B1928" s="23" t="n">
        <x:v>46738</x:v>
      </x:c>
      <x:c r="C1928" s="32" t="n">
        <x:v>2</x:v>
      </x:c>
      <x:c r="D1928" s="20" t="str">
        <x:v>Field certification</x:v>
      </x:c>
      <x:c r="E1928" s="20" t="str">
        <x:v>Applicant / public user</x:v>
      </x:c>
      <x:c r="F1928" s="20" t="str">
        <x:v>Mobile</x:v>
      </x:c>
      <x:c r="G1928" s="20" t="str">
        <x:v>Manual field-by-field</x:v>
      </x:c>
      <x:c r="H1928" s="35" t="str">
        <x:v>Fill, save, reload, edit, and validate every declared field on features/team/team_screen.dart</x:v>
      </x:c>
      <x:c r="I1928" s="35" t="str">
        <x:v>FLD-1051; FLD-1052; FLD-1053; FLD-1054</x:v>
      </x:c>
      <x:c r="J1928" s="35" t="str"/>
      <x:c r="K1928" s="35" t="str"/>
      <x:c r="L1928" s="35" t="str">
        <x:v>Use the source-derived Field Inventory. Enter non-default realistic values in every control (CheckboxListTile-1; _nameController; _emailController; CheckboxListTile-4); submit; reload or relaunch; compare every value; edit each mutable field; verify the paired client; then run required, format, length, range, boundary, optional-null, and stale-submit checks.</x:v>
      </x:c>
      <x:c r="M1928" s="35" t="str">
        <x:v>All 4 inventoried controls persist exact normalized values, invalid values stay unsaved with clear errors, and hidden/unauthorized fields cannot be altered.</x:v>
      </x:c>
      <x:c r="N1928" s="35" t="str">
        <x:v>Before/after form screenshots; FLD IDs; API response; reloaded UI; paired-client read-back; database/audit evidence; negative validation result.</x:v>
      </x:c>
      <x:c r="O1928" s="35" t="str">
        <x:v>Use a duplicate submit and one simulated network interruption; one atomic mutation or none, never partial state.</x:v>
      </x:c>
      <x:c r="P1928" s="35" t="str">
        <x:v>All expected records and amounts match; no unexplained error or stale state.</x:v>
      </x:c>
    </x:row>
    <x:row r="1929">
      <x:c r="A1929" s="20" t="str">
        <x:v>RUN-20271217-03</x:v>
      </x:c>
      <x:c r="B1929" s="23" t="n">
        <x:v>46738</x:v>
      </x:c>
      <x:c r="C1929" s="32" t="n">
        <x:v>3</x:v>
      </x:c>
      <x:c r="D1929" s="20" t="str">
        <x:v>Field certification</x:v>
      </x:c>
      <x:c r="E1929" s="20" t="str">
        <x:v>Applicant / public user</x:v>
      </x:c>
      <x:c r="F1929" s="20" t="str">
        <x:v>Mobile</x:v>
      </x:c>
      <x:c r="G1929" s="20" t="str">
        <x:v>Manual field-by-field</x:v>
      </x:c>
      <x:c r="H1929" s="35" t="str">
        <x:v>Fill, save, reload, edit, and validate every declared field on features/technician/technician_assignment_detail_screen.dart</x:v>
      </x:c>
      <x:c r="I1929" s="35" t="str">
        <x:v>FLD-1055</x:v>
      </x:c>
      <x:c r="J1929" s="35" t="str"/>
      <x:c r="K1929" s="35" t="str"/>
      <x:c r="L1929" s="35" t="str">
        <x:v>Use the source-derived Field Inventory. Enter non-default realistic values in every control (_statusNoteController); submit; reload or relaunch; compare every value; edit each mutable field; verify the paired client; then run required, format, length, range, boundary, optional-null, and stale-submit checks.</x:v>
      </x:c>
      <x:c r="M1929" s="35" t="str">
        <x:v>All 1 inventoried controls persist exact normalized values, invalid values stay unsaved with clear errors, and hidden/unauthorized fields cannot be altered.</x:v>
      </x:c>
      <x:c r="N1929" s="35" t="str">
        <x:v>Before/after form screenshots; FLD IDs; API response; reloaded UI; paired-client read-back; database/audit evidence; negative validation result.</x:v>
      </x:c>
      <x:c r="O1929" s="35" t="str">
        <x:v>Use a duplicate submit and one simulated network interruption; one atomic mutation or none, never partial state.</x:v>
      </x:c>
      <x:c r="P1929" s="35" t="str">
        <x:v>All expected records and amounts match; no unexplained error or stale state.</x:v>
      </x:c>
    </x:row>
    <x:row r="1930">
      <x:c r="A1930" s="20" t="str">
        <x:v>RUN-20271217-04</x:v>
      </x:c>
      <x:c r="B1930" s="23" t="n">
        <x:v>46738</x:v>
      </x:c>
      <x:c r="C1930" s="32" t="n">
        <x:v>4</x:v>
      </x:c>
      <x:c r="D1930" s="20" t="str">
        <x:v>Surface coverage</x:v>
      </x:c>
      <x:c r="E1930" s="20" t="str">
        <x:v>Role appropriate to surface</x:v>
      </x:c>
      <x:c r="F1930" s="20" t="str">
        <x:v>Web</x:v>
      </x:c>
      <x:c r="G1930" s="20" t="str">
        <x:v>Manual</x:v>
      </x:c>
      <x:c r="H1930" s="35" t="str">
        <x:v>Manual web pass: Owner landing/properties/statements/approvals/messages/security</x:v>
      </x:c>
      <x:c r="I1930" s="35" t="str">
        <x:v>COV-045</x:v>
      </x:c>
      <x:c r="J1930" s="35" t="str"/>
      <x:c r="K1930" s="35" t="str"/>
      <x:c r="L1930" s="35" t="str">
        <x:v>Walk every owner portal surface on both clients; approve/reject; open PDF; message; change password; prove property scope.</x:v>
      </x:c>
      <x:c r="M1930" s="35" t="str">
        <x:v>The supported workflow completes and persists correctly; if the capability is absent, the exact gap is proven and queued rather than silently skipped.</x:v>
      </x:c>
      <x:c r="N1930" s="35" t="str">
        <x:v>Real UI screenshot/state; submitted values; persisted read-back; cross-client read-back; audit/role/access evidence.</x:v>
      </x:c>
      <x:c r="O1930" s="35" t="str">
        <x:v>Use one invalid value, stale-state retry, or duplicate submission relevant to the form; no partial or duplicate mutation.</x:v>
      </x:c>
      <x:c r="P1930" s="35" t="str">
        <x:v>All expected records and amounts match; no unexplained error or stale state.</x:v>
      </x:c>
    </x:row>
    <x:row r="1931">
      <x:c r="A1931" s="20" t="str">
        <x:v>RUN-20271218-01</x:v>
      </x:c>
      <x:c r="B1931" s="23" t="n">
        <x:v>46739</x:v>
      </x:c>
      <x:c r="C1931" s="32" t="n">
        <x:v>1</x:v>
      </x:c>
      <x:c r="D1931" s="20" t="str">
        <x:v>Weekly operations</x:v>
      </x:c>
      <x:c r="E1931" s="20" t="str">
        <x:v>Property Manager</x:v>
      </x:c>
      <x:c r="F1931" s="20" t="str">
        <x:v>Web</x:v>
      </x:c>
      <x:c r="G1931" s="20" t="str">
        <x:v>Scanned receipt/invoice</x:v>
      </x:c>
      <x:c r="H1931" s="35" t="str">
        <x:v>Record, review, allocate, and pay operating expense</x:v>
      </x:c>
      <x:c r="I1931" s="35" t="str">
        <x:v>P012; Property scope; </x:v>
      </x:c>
      <x:c r="J1931" s="35" t="str">
        <x:v>SCN-0834</x:v>
      </x:c>
      <x:c r="K1931" s="35" t="str">
        <x:v>FIN-01555</x:v>
      </x:c>
      <x:c r="L1931" s="35" t="str">
        <x:v>Capture or upload the source; verify vendor, date, scope, category, line items, tax, amount, and work-order link; confirm; open detail; verify attachment; compare Money and Property/Unit views.</x:v>
      </x:c>
      <x:c r="M1931" s="35" t="str">
        <x:v>One expense exists at its real operational scope, cash falls once, Schedule E category and allocations agree, and no per-unit copies are created.</x:v>
      </x:c>
      <x:c r="N1931" s="35" t="str">
        <x:v>Source preview; review/form; expense detail; line items; Property/Unit ledger; audit; accounting/report delta.</x:v>
      </x:c>
      <x:c r="O1931" s="35" t="str">
        <x:v>On marked duplicate-invoice cases, re-upload before confirm and prove the product prevents or clearly warns about duplication.</x:v>
      </x:c>
      <x:c r="P1931" s="35" t="str">
        <x:v>All expected records and amounts match; no unexplained error or stale state.</x:v>
      </x:c>
    </x:row>
    <x:row r="1932">
      <x:c r="A1932" s="20" t="str">
        <x:v>RUN-20271218-02</x:v>
      </x:c>
      <x:c r="B1932" s="23" t="n">
        <x:v>46739</x:v>
      </x:c>
      <x:c r="C1932" s="32" t="n">
        <x:v>2</x:v>
      </x:c>
      <x:c r="D1932" s="20" t="str">
        <x:v>Weekly operations</x:v>
      </x:c>
      <x:c r="E1932" s="20" t="str">
        <x:v>Property Manager</x:v>
      </x:c>
      <x:c r="F1932" s="20" t="str">
        <x:v>Web</x:v>
      </x:c>
      <x:c r="G1932" s="20" t="str">
        <x:v>Scanned receipt/invoice</x:v>
      </x:c>
      <x:c r="H1932" s="35" t="str">
        <x:v>Record, review, allocate, and pay operating expense</x:v>
      </x:c>
      <x:c r="I1932" s="35" t="str">
        <x:v>P024; Property scope; </x:v>
      </x:c>
      <x:c r="J1932" s="35" t="str">
        <x:v>SCN-0884</x:v>
      </x:c>
      <x:c r="K1932" s="35" t="str">
        <x:v>FIN-01615</x:v>
      </x:c>
      <x:c r="L1932" s="35" t="str">
        <x:v>Capture or upload the source; verify vendor, date, scope, category, line items, tax, amount, and work-order link; confirm; open detail; verify attachment; compare Money and Property/Unit views.</x:v>
      </x:c>
      <x:c r="M1932" s="35" t="str">
        <x:v>One expense exists at its real operational scope, cash falls once, Schedule E category and allocations agree, and no per-unit copies are created.</x:v>
      </x:c>
      <x:c r="N1932" s="35" t="str">
        <x:v>Source preview; review/form; expense detail; line items; Property/Unit ledger; audit; accounting/report delta.</x:v>
      </x:c>
      <x:c r="O1932" s="35" t="str">
        <x:v>On marked duplicate-invoice cases, re-upload before confirm and prove the product prevents or clearly warns about duplication.</x:v>
      </x:c>
      <x:c r="P1932" s="35" t="str">
        <x:v>All expected records and amounts match; no unexplained error or stale state.</x:v>
      </x:c>
    </x:row>
    <x:row r="1933">
      <x:c r="A1933" s="20" t="str">
        <x:v>RUN-20271220-01</x:v>
      </x:c>
      <x:c r="B1933" s="23" t="n">
        <x:v>46741</x:v>
      </x:c>
      <x:c r="C1933" s="32" t="n">
        <x:v>1</x:v>
      </x:c>
      <x:c r="D1933" s="20" t="str">
        <x:v>Weekly operations</x:v>
      </x:c>
      <x:c r="E1933" s="20" t="str">
        <x:v>Property Manager</x:v>
      </x:c>
      <x:c r="F1933" s="20" t="str">
        <x:v>Mobile</x:v>
      </x:c>
      <x:c r="G1933" s="20" t="str">
        <x:v>Scan-first</x:v>
      </x:c>
      <x:c r="H1933" s="35" t="str">
        <x:v>Create and triage maintenance request</x:v>
      </x:c>
      <x:c r="I1933" s="35" t="str">
        <x:v>P029; U038; WO-2027-051</x:v>
      </x:c>
      <x:c r="J1933" s="35" t="str">
        <x:v>SCN-0437</x:v>
      </x:c>
      <x:c r="K1933" s="35" t="str"/>
      <x:c r="L1933" s="35" t="str">
        <x:v>Capture the tenant note/photo; review yard cleanup; confirm; set responsibility; dispatch ComfortZone HVAC; create an appointment and verify the tenant notification.</x:v>
      </x:c>
      <x:c r="M1933" s="35" t="str">
        <x:v>Work order, status timeline, responsibility, vendor dispatch, appointment, notification, and Unit context are linked once.</x:v>
      </x:c>
      <x:c r="N1933" s="35" t="str">
        <x:v>Scan review; work order detail/timeline; dispatch; appointment; notification; tenant portal view.</x:v>
      </x:c>
      <x:c r="O1933" s="35" t="str">
        <x:v>Cancel one dispatch each quarter, reassign once, and prove status/history remains append-only.</x:v>
      </x:c>
      <x:c r="P1933" s="35" t="str">
        <x:v>All expected records and amounts match; no unexplained error or stale state.</x:v>
      </x:c>
    </x:row>
    <x:row r="1934">
      <x:c r="A1934" s="20" t="str">
        <x:v>RUN-20271220-02</x:v>
      </x:c>
      <x:c r="B1934" s="23" t="n">
        <x:v>46741</x:v>
      </x:c>
      <x:c r="C1934" s="32" t="n">
        <x:v>2</x:v>
      </x:c>
      <x:c r="D1934" s="20" t="str">
        <x:v>Monthly close</x:v>
      </x:c>
      <x:c r="E1934" s="20" t="str">
        <x:v>Workspace Administrator</x:v>
      </x:c>
      <x:c r="F1934" s="20" t="str">
        <x:v>Web + Mobile</x:v>
      </x:c>
      <x:c r="G1934" s="20" t="str">
        <x:v>Recurring automation + statement match</x:v>
      </x:c>
      <x:c r="H1934" s="35" t="str">
        <x:v>December loan payments</x:v>
      </x:c>
      <x:c r="I1934" s="35" t="str">
        <x:v>LN001; LN002; LN004; LN005; LN007; LN008; LN010; LN011; LN013; LN014; LN016; LN017; LN019; LN020; LN022; LN023; LN025; LN026; LN028; LN029</x:v>
      </x:c>
      <x:c r="J1934" s="35" t="str">
        <x:v>SCN-0768; SCN-0769; SCN-0770; SCN-0771; SCN-0772; SCN-0773; SCN-0774; SCN-0775; SCN-0776; SCN-0777; SCN-0778; SCN-0779; SCN-0780; SCN-0781; SCN-0782; SCN-0783; SCN-0784; SCN-0785; SCN-0786; SCN-0787</x:v>
      </x:c>
      <x:c r="K1934" s="35" t="str">
        <x:v>FIN-01474; FIN-01475; FIN-01476; FIN-01477; FIN-01478; FIN-01479; FIN-01480; FIN-01481; FIN-01482; FIN-01483; FIN-01484; FIN-01485; FIN-01486; FIN-01487; FIN-01488; FIN-01489; FIN-01490; FIN-01491; FIN-01492; FIN-01493</x:v>
      </x:c>
      <x:c r="L1934" s="35" t="str">
        <x:v>Verify the recurring loan payments; attach/match each statement; compare principal, interest, cash, loan balance, amortization, Property Money view, and Schedule E interest.</x:v>
      </x:c>
      <x:c r="M1934" s="35" t="str">
        <x:v>Every payment splits principal and interest once; principal reduces liability, interest is expense, and statement balance matches.</x:v>
      </x:c>
      <x:c r="N1934" s="35" t="str">
        <x:v>Loan detail samples on both clients; statement attachment; amortization; Property and year-end reports.</x:v>
      </x:c>
      <x:c r="O1934" s="35" t="str">
        <x:v>Attempt a duplicate recurrence run; no second payment or balance movement.</x:v>
      </x:c>
      <x:c r="P1934" s="35" t="str">
        <x:v>All expected records and amounts match; no unexplained error or stale state.</x:v>
      </x:c>
    </x:row>
    <x:row r="1935">
      <x:c r="A1935" s="20" t="str">
        <x:v>RUN-20271220-03</x:v>
      </x:c>
      <x:c r="B1935" s="23" t="n">
        <x:v>46741</x:v>
      </x:c>
      <x:c r="C1935" s="32" t="n">
        <x:v>3</x:v>
      </x:c>
      <x:c r="D1935" s="20" t="str">
        <x:v>Role and screen certification</x:v>
      </x:c>
      <x:c r="E1935" s="20" t="str">
        <x:v>Applicant / public user</x:v>
      </x:c>
      <x:c r="F1935" s="20" t="str">
        <x:v>Mobile</x:v>
      </x:c>
      <x:c r="G1935" s="20" t="str">
        <x:v>Normal persona navigation</x:v>
      </x:c>
      <x:c r="H1935" s="35" t="str">
        <x:v>Use every permitted action and state on features/units/units_list_screen.dart</x:v>
      </x:c>
      <x:c r="I1935" s="35" t="str">
        <x:v>SCR-193; ROLE-328</x:v>
      </x:c>
      <x:c r="J1935" s="35" t="str"/>
      <x:c r="K1935" s="35" t="str"/>
      <x:c r="L1935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35" s="35" t="str">
        <x:v>The persona can use every allowed action with only its assigned properties/relationships. Hidden or disabled actions explain why; an adjacent unauthorized persona is denied without metadata leakage.</x:v>
      </x:c>
      <x:c r="N1935" s="35" t="str">
        <x:v>Persona/experience; navigation entry; desktop or device screenshots; result state; persisted read-back; audit/history; authorized and denied network result.</x:v>
      </x:c>
      <x:c r="O1935" s="35" t="str">
        <x:v>Open the direct URL or deep link with an adjacent unauthorized persona and with stale scope; both fail closed and land safely without mutation.</x:v>
      </x:c>
      <x:c r="P1935" s="35" t="str">
        <x:v>All expected records and amounts match; no unexplained error or stale state.</x:v>
      </x:c>
    </x:row>
    <x:row r="1936">
      <x:c r="A1936" s="20" t="str">
        <x:v>RUN-20271220-04</x:v>
      </x:c>
      <x:c r="B1936" s="23" t="n">
        <x:v>46741</x:v>
      </x:c>
      <x:c r="C1936" s="32" t="n">
        <x:v>4</x:v>
      </x:c>
      <x:c r="D1936" s="20" t="str">
        <x:v>Field certification</x:v>
      </x:c>
      <x:c r="E1936" s="20" t="str">
        <x:v>Applicant / public user</x:v>
      </x:c>
      <x:c r="F1936" s="20" t="str">
        <x:v>Mobile</x:v>
      </x:c>
      <x:c r="G1936" s="20" t="str">
        <x:v>Manual field-by-field</x:v>
      </x:c>
      <x:c r="H1936" s="35" t="str">
        <x:v>Fill, save, reload, edit, and validate every declared field on features/technician/technician_assignment_detail_screen.dart</x:v>
      </x:c>
      <x:c r="I1936" s="35" t="str">
        <x:v>FLD-1056; FLD-1057; FLD-1058; FLD-1059</x:v>
      </x:c>
      <x:c r="J1936" s="35" t="str"/>
      <x:c r="K1936" s="35" t="str"/>
      <x:c r="L1936" s="35" t="str">
        <x:v>Use the source-derived Field Inventory. Enter non-default realistic values in every control (_entryNoteController; _quantityController; _unitController; _messageController); submit; reload or relaunch; compare every value; edit each mutable field; verify the paired client; then run required, format, length, range, boundary, optional-null, and stale-submit checks.</x:v>
      </x:c>
      <x:c r="M1936" s="35" t="str">
        <x:v>All 4 inventoried controls persist exact normalized values, invalid values stay unsaved with clear errors, and hidden/unauthorized fields cannot be altered.</x:v>
      </x:c>
      <x:c r="N1936" s="35" t="str">
        <x:v>Before/after form screenshots; FLD IDs; API response; reloaded UI; paired-client read-back; database/audit evidence; negative validation result.</x:v>
      </x:c>
      <x:c r="O1936" s="35" t="str">
        <x:v>Use a duplicate submit and one simulated network interruption; one atomic mutation or none, never partial state.</x:v>
      </x:c>
      <x:c r="P1936" s="35" t="str">
        <x:v>All expected records and amounts match; no unexplained error or stale state.</x:v>
      </x:c>
    </x:row>
    <x:row r="1937">
      <x:c r="A1937" s="20" t="str">
        <x:v>RUN-20271221-01</x:v>
      </x:c>
      <x:c r="B1937" s="23" t="n">
        <x:v>46742</x:v>
      </x:c>
      <x:c r="C1937" s="32" t="n">
        <x:v>1</x:v>
      </x:c>
      <x:c r="D1937" s="20" t="str">
        <x:v>Weekly operations</x:v>
      </x:c>
      <x:c r="E1937" s="20" t="str">
        <x:v>Property Manager</x:v>
      </x:c>
      <x:c r="F1937" s="20" t="str">
        <x:v>Mobile</x:v>
      </x:c>
      <x:c r="G1937" s="20" t="str">
        <x:v>Scanned receipt/invoice</x:v>
      </x:c>
      <x:c r="H1937" s="35" t="str">
        <x:v>Record, review, allocate, and pay operating expense</x:v>
      </x:c>
      <x:c r="I1937" s="35" t="str">
        <x:v>P029; U038; WO-2027-051</x:v>
      </x:c>
      <x:c r="J1937" s="35" t="str">
        <x:v>SCN-0438</x:v>
      </x:c>
      <x:c r="K1937" s="35" t="str">
        <x:v>FIN-01074</x:v>
      </x:c>
      <x:c r="L1937" s="35" t="str">
        <x:v>Capture or upload the source; verify vendor, date, scope, category, line items, tax, amount, and work-order link; confirm; open detail; verify attachment; compare Money and Property/Unit views.</x:v>
      </x:c>
      <x:c r="M1937" s="35" t="str">
        <x:v>One expense exists at its real operational scope, cash falls once, Schedule E category and allocations agree, and no per-unit copies are created.</x:v>
      </x:c>
      <x:c r="N1937" s="35" t="str">
        <x:v>Source preview; review/form; expense detail; line items; Property/Unit ledger; audit; accounting/report delta.</x:v>
      </x:c>
      <x:c r="O1937" s="35" t="str">
        <x:v>On marked duplicate-invoice cases, re-upload before confirm and prove the product prevents or clearly warns about duplication.</x:v>
      </x:c>
      <x:c r="P1937" s="35" t="str">
        <x:v>All expected records and amounts match; no unexplained error or stale state.</x:v>
      </x:c>
    </x:row>
    <x:row r="1938">
      <x:c r="A1938" s="20" t="str">
        <x:v>RUN-20271221-02</x:v>
      </x:c>
      <x:c r="B1938" s="23" t="n">
        <x:v>46742</x:v>
      </x:c>
      <x:c r="C1938" s="32" t="n">
        <x:v>2</x:v>
      </x:c>
      <x:c r="D1938" s="20" t="str">
        <x:v>Field certification</x:v>
      </x:c>
      <x:c r="E1938" s="20" t="str">
        <x:v>Applicant / public user</x:v>
      </x:c>
      <x:c r="F1938" s="20" t="str">
        <x:v>Mobile</x:v>
      </x:c>
      <x:c r="G1938" s="20" t="str">
        <x:v>Manual field-by-field</x:v>
      </x:c>
      <x:c r="H1938" s="35" t="str">
        <x:v>Fill, save, reload, edit, and validate every declared field on features/tenants/tenants_list_screen.dart</x:v>
      </x:c>
      <x:c r="I1938" s="35" t="str">
        <x:v>FLD-1060; FLD-1061; FLD-1062; FLD-1063; FLD-1064</x:v>
      </x:c>
      <x:c r="J1938" s="35" t="str"/>
      <x:c r="K1938" s="35" t="str"/>
      <x:c r="L1938" s="35" t="str">
        <x:v>Use the source-derived Field Inventory. Enter non-default realistic values in every control (_firstCtrl; _lastCtrl; _emailCtrl; _phoneCtrl; _emergencyCtrl); submit; reload or relaunch; compare every value; edit each mutable field; verify the paired client; then run required, format, length, range, boundary, optional-null, and stale-submit checks.</x:v>
      </x:c>
      <x:c r="M1938" s="35" t="str">
        <x:v>All 5 inventoried controls persist exact normalized values, invalid values stay unsaved with clear errors, and hidden/unauthorized fields cannot be altered.</x:v>
      </x:c>
      <x:c r="N1938" s="35" t="str">
        <x:v>Before/after form screenshots; FLD IDs; API response; reloaded UI; paired-client read-back; database/audit evidence; negative validation result.</x:v>
      </x:c>
      <x:c r="O1938" s="35" t="str">
        <x:v>Use a duplicate submit and one simulated network interruption; one atomic mutation or none, never partial state.</x:v>
      </x:c>
      <x:c r="P1938" s="35" t="str">
        <x:v>All expected records and amounts match; no unexplained error or stale state.</x:v>
      </x:c>
    </x:row>
    <x:row r="1939">
      <x:c r="A1939" s="20" t="str">
        <x:v>RUN-20271221-03</x:v>
      </x:c>
      <x:c r="B1939" s="23" t="n">
        <x:v>46742</x:v>
      </x:c>
      <x:c r="C1939" s="32" t="n">
        <x:v>3</x:v>
      </x:c>
      <x:c r="D1939" s="20" t="str">
        <x:v>Lifecycle certification</x:v>
      </x:c>
      <x:c r="E1939" s="20" t="str">
        <x:v>Every authenticated persona</x:v>
      </x:c>
      <x:c r="F1939" s="20" t="str">
        <x:v>Web + Mobile</x:v>
      </x:c>
      <x:c r="G1939" s="20" t="str">
        <x:v>Manual + scan/attachment where supported</x:v>
      </x:c>
      <x:c r="H1939" s="35" t="str">
        <x:v>Complete the full create/read/edit/lifecycle/delete-safe pass for Profile/security</x:v>
      </x:c>
      <x:c r="I1939" s="35" t="str">
        <x:v>CRUD-034</x:v>
      </x:c>
      <x:c r="J1939" s="35" t="str"/>
      <x:c r="K1939" s="35" t="str"/>
      <x:c r="L1939" s="35" t="str">
        <x:v>Use a dedicated disposable QA record and execute: edit every profile field; password change; session revoke; re-login. Fill every field referenced by field-inventory.csv. Verify confirmation copy, cancel path, final path, reload, other-client state, history, and role denial.</x:v>
      </x:c>
      <x:c r="M1939" s="35" t="str">
        <x:v>Every supported transition succeeds exactly once; forbidden destructive actions are guarded; reversible deletion/deactivation works; financial and historical truth is preserved.</x:v>
      </x:c>
      <x:c r="N1939" s="35" t="str">
        <x:v>Entity before/after; both clients; all FLD IDs; audit/history; notifications; authorized and unauthorized personas; API/DB state.</x:v>
      </x:c>
      <x:c r="O1939" s="35" t="str">
        <x:v>Cancel the first destructive confirmation, then repeat and confirm; retry the mutation once; no double transition or orphan.</x:v>
      </x:c>
      <x:c r="P1939" s="35" t="str">
        <x:v>All expected records and amounts match; no unexplained error or stale state.</x:v>
      </x:c>
    </x:row>
    <x:row r="1940">
      <x:c r="A1940" s="20" t="str">
        <x:v>RUN-20271221-04</x:v>
      </x:c>
      <x:c r="B1940" s="23" t="n">
        <x:v>46742</x:v>
      </x:c>
      <x:c r="C1940" s="32" t="n">
        <x:v>4</x:v>
      </x:c>
      <x:c r="D1940" s="20" t="str">
        <x:v>Surface coverage</x:v>
      </x:c>
      <x:c r="E1940" s="20" t="str">
        <x:v>Role appropriate to surface</x:v>
      </x:c>
      <x:c r="F1940" s="20" t="str">
        <x:v>Mobile</x:v>
      </x:c>
      <x:c r="G1940" s="20" t="str">
        <x:v>Manual</x:v>
      </x:c>
      <x:c r="H1940" s="35" t="str">
        <x:v>Manual mobile pass: Owner landing/properties/statements/approvals/messages/security</x:v>
      </x:c>
      <x:c r="I1940" s="35" t="str">
        <x:v>COV-045</x:v>
      </x:c>
      <x:c r="J1940" s="35" t="str"/>
      <x:c r="K1940" s="35" t="str"/>
      <x:c r="L1940" s="35" t="str">
        <x:v>Walk every owner portal surface on both clients; approve/reject; open PDF; message; change password; prove property scope.</x:v>
      </x:c>
      <x:c r="M1940" s="35" t="str">
        <x:v>The supported workflow completes and persists correctly; if the capability is absent, the exact gap is proven and queued rather than silently skipped.</x:v>
      </x:c>
      <x:c r="N1940" s="35" t="str">
        <x:v>Real UI screenshot/state; submitted values; persisted read-back; cross-client read-back; audit/role/access evidence.</x:v>
      </x:c>
      <x:c r="O1940" s="35" t="str">
        <x:v>Use one invalid value, stale-state retry, or duplicate submission relevant to the form; no partial or duplicate mutation.</x:v>
      </x:c>
      <x:c r="P1940" s="35" t="str">
        <x:v>All expected records and amounts match; no unexplained error or stale state.</x:v>
      </x:c>
    </x:row>
    <x:row r="1941">
      <x:c r="A1941" s="20" t="str">
        <x:v>RUN-20271222-01</x:v>
      </x:c>
      <x:c r="B1941" s="23" t="n">
        <x:v>46743</x:v>
      </x:c>
      <x:c r="C1941" s="32" t="n">
        <x:v>1</x:v>
      </x:c>
      <x:c r="D1941" s="20" t="str">
        <x:v>Role and screen certification</x:v>
      </x:c>
      <x:c r="E1941" s="20" t="str">
        <x:v>Applicant / public user</x:v>
      </x:c>
      <x:c r="F1941" s="20" t="str">
        <x:v>Mobile</x:v>
      </x:c>
      <x:c r="G1941" s="20" t="str">
        <x:v>Normal persona navigation</x:v>
      </x:c>
      <x:c r="H1941" s="35" t="str">
        <x:v>Use every permitted action and state on features/vendors/dispatch_vendor_sheet.dart</x:v>
      </x:c>
      <x:c r="I1941" s="35" t="str">
        <x:v>SCR-194; ROLE-329</x:v>
      </x:c>
      <x:c r="J1941" s="35" t="str"/>
      <x:c r="K1941" s="35" t="str"/>
      <x:c r="L1941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41" s="35" t="str">
        <x:v>The persona can use every allowed action with only its assigned properties/relationships. Hidden or disabled actions explain why; an adjacent unauthorized persona is denied without metadata leakage.</x:v>
      </x:c>
      <x:c r="N1941" s="35" t="str">
        <x:v>Persona/experience; navigation entry; desktop or device screenshots; result state; persisted read-back; audit/history; authorized and denied network result.</x:v>
      </x:c>
      <x:c r="O1941" s="35" t="str">
        <x:v>Open the direct URL or deep link with an adjacent unauthorized persona and with stale scope; both fail closed and land safely without mutation.</x:v>
      </x:c>
      <x:c r="P1941" s="35" t="str">
        <x:v>All expected records and amounts match; no unexplained error or stale state.</x:v>
      </x:c>
    </x:row>
    <x:row r="1942">
      <x:c r="A1942" s="20" t="str">
        <x:v>RUN-20271222-02</x:v>
      </x:c>
      <x:c r="B1942" s="23" t="n">
        <x:v>46743</x:v>
      </x:c>
      <x:c r="C1942" s="32" t="n">
        <x:v>2</x:v>
      </x:c>
      <x:c r="D1942" s="20" t="str">
        <x:v>Field certification</x:v>
      </x:c>
      <x:c r="E1942" s="20" t="str">
        <x:v>Applicant / public user</x:v>
      </x:c>
      <x:c r="F1942" s="20" t="str">
        <x:v>Mobile</x:v>
      </x:c>
      <x:c r="G1942" s="20" t="str">
        <x:v>Manual field-by-field</x:v>
      </x:c>
      <x:c r="H1942" s="35" t="str">
        <x:v>Fill, save, reload, edit, and validate every declared field on features/units/unit_command_center_screen.dart</x:v>
      </x:c>
      <x:c r="I1942" s="35" t="str">
        <x:v>FLD-1065; FLD-1066; FLD-1067; FLD-1068</x:v>
      </x:c>
      <x:c r="J1942" s="35" t="str"/>
      <x:c r="K1942" s="35" t="str"/>
      <x:c r="L1942" s="35" t="str">
        <x:v>Use the source-derived Field Inventory. Enter non-default realistic values in every control (controller; DropdownButtonFormField-2; CheckboxListTile-3; CheckboxListTile-4); submit; reload or relaunch; compare every value; edit each mutable field; verify the paired client; then run required, format, length, range, boundary, optional-null, and stale-submit checks.</x:v>
      </x:c>
      <x:c r="M1942" s="35" t="str">
        <x:v>All 4 inventoried controls persist exact normalized values, invalid values stay unsaved with clear errors, and hidden/unauthorized fields cannot be altered.</x:v>
      </x:c>
      <x:c r="N1942" s="35" t="str">
        <x:v>Before/after form screenshots; FLD IDs; API response; reloaded UI; paired-client read-back; database/audit evidence; negative validation result.</x:v>
      </x:c>
      <x:c r="O1942" s="35" t="str">
        <x:v>Use a duplicate submit and one simulated network interruption; one atomic mutation or none, never partial state.</x:v>
      </x:c>
      <x:c r="P1942" s="35" t="str">
        <x:v>All expected records and amounts match; no unexplained error or stale state.</x:v>
      </x:c>
    </x:row>
    <x:row r="1943">
      <x:c r="A1943" s="20" t="str">
        <x:v>RUN-20271222-03</x:v>
      </x:c>
      <x:c r="B1943" s="23" t="n">
        <x:v>46743</x:v>
      </x:c>
      <x:c r="C1943" s="32" t="n">
        <x:v>3</x:v>
      </x:c>
      <x:c r="D1943" s="20" t="str">
        <x:v>Surface coverage</x:v>
      </x:c>
      <x:c r="E1943" s="20" t="str">
        <x:v>Role appropriate to surface</x:v>
      </x:c>
      <x:c r="F1943" s="20" t="str">
        <x:v>Web</x:v>
      </x:c>
      <x:c r="G1943" s="20" t="str">
        <x:v>Scan/attachment</x:v>
      </x:c>
      <x:c r="H1943" s="35" t="str">
        <x:v>Scan web pass: Owner landing/properties/statements/approvals/messages/security</x:v>
      </x:c>
      <x:c r="I1943" s="35" t="str">
        <x:v>COV-045</x:v>
      </x:c>
      <x:c r="J1943" s="35" t="str"/>
      <x:c r="K1943" s="35" t="str"/>
      <x:c r="L1943" s="35" t="str">
        <x:v>Walk every owner portal surface on both clients; approve/reject; open PDF; message; change password; prove property scope.</x:v>
      </x:c>
      <x:c r="M1943" s="35" t="str">
        <x:v>The supported workflow completes and persists correctly; if the capability is absent, the exact gap is proven and queued rather than silently skipped.</x:v>
      </x:c>
      <x:c r="N1943" s="35" t="str">
        <x:v>Real UI screenshot/state; submitted values; persisted read-back; cross-client read-back; audit/role/access evidence.</x:v>
      </x:c>
      <x:c r="O1943" s="35" t="str">
        <x:v>Use one invalid value, stale-state retry, or duplicate submission relevant to the form; no partial or duplicate mutation.</x:v>
      </x:c>
      <x:c r="P1943" s="35" t="str">
        <x:v>All expected records and amounts match; no unexplained error or stale state.</x:v>
      </x:c>
    </x:row>
    <x:row r="1944">
      <x:c r="A1944" s="20" t="str">
        <x:v>RUN-20271223-01</x:v>
      </x:c>
      <x:c r="B1944" s="23" t="n">
        <x:v>46744</x:v>
      </x:c>
      <x:c r="C1944" s="32" t="n">
        <x:v>1</x:v>
      </x:c>
      <x:c r="D1944" s="20" t="str">
        <x:v>Role and screen certification</x:v>
      </x:c>
      <x:c r="E1944" s="20" t="str">
        <x:v>Applicant / public user</x:v>
      </x:c>
      <x:c r="F1944" s="20" t="str">
        <x:v>Mobile</x:v>
      </x:c>
      <x:c r="G1944" s="20" t="str">
        <x:v>Normal persona navigation</x:v>
      </x:c>
      <x:c r="H1944" s="35" t="str">
        <x:v>Use every permitted action and state on features/vendors/rate_vendor_sheet.dart</x:v>
      </x:c>
      <x:c r="I1944" s="35" t="str">
        <x:v>SCR-195; ROLE-330</x:v>
      </x:c>
      <x:c r="J1944" s="35" t="str"/>
      <x:c r="K1944" s="35" t="str"/>
      <x:c r="L1944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44" s="35" t="str">
        <x:v>The persona can use every allowed action with only its assigned properties/relationships. Hidden or disabled actions explain why; an adjacent unauthorized persona is denied without metadata leakage.</x:v>
      </x:c>
      <x:c r="N1944" s="35" t="str">
        <x:v>Persona/experience; navigation entry; desktop or device screenshots; result state; persisted read-back; audit/history; authorized and denied network result.</x:v>
      </x:c>
      <x:c r="O1944" s="35" t="str">
        <x:v>Open the direct URL or deep link with an adjacent unauthorized persona and with stale scope; both fail closed and land safely without mutation.</x:v>
      </x:c>
      <x:c r="P1944" s="35" t="str">
        <x:v>All expected records and amounts match; no unexplained error or stale state.</x:v>
      </x:c>
    </x:row>
    <x:row r="1945">
      <x:c r="A1945" s="20" t="str">
        <x:v>RUN-20271223-02</x:v>
      </x:c>
      <x:c r="B1945" s="23" t="n">
        <x:v>46744</x:v>
      </x:c>
      <x:c r="C1945" s="32" t="n">
        <x:v>2</x:v>
      </x:c>
      <x:c r="D1945" s="20" t="str">
        <x:v>Field certification</x:v>
      </x:c>
      <x:c r="E1945" s="20" t="str">
        <x:v>Applicant / public user</x:v>
      </x:c>
      <x:c r="F1945" s="20" t="str">
        <x:v>Mobile</x:v>
      </x:c>
      <x:c r="G1945" s="20" t="str">
        <x:v>Manual field-by-field</x:v>
      </x:c>
      <x:c r="H1945" s="35" t="str">
        <x:v>Fill, save, reload, edit, and validate every declared field on features/units/unit_command_center_screen.dart</x:v>
      </x:c>
      <x:c r="I1945" s="35" t="str">
        <x:v>FLD-1069; FLD-1070; FLD-1071; FLD-1072; FLD-1073</x:v>
      </x:c>
      <x:c r="J1945" s="35" t="str"/>
      <x:c r="K1945" s="35" t="str"/>
      <x:c r="L1945" s="35" t="str">
        <x:v>Use the source-derived Field Inventory. Enter non-default realistic values in every control (CheckboxListTile-5; _searchController; Search Unit inspections; Sort; Search Unit recurring maintenance); submit; reload or relaunch; compare every value; edit each mutable field; verify the paired client; then run required, format, length, range, boundary, optional-null, and stale-submit checks.</x:v>
      </x:c>
      <x:c r="M1945" s="35" t="str">
        <x:v>All 5 inventoried controls persist exact normalized values, invalid values stay unsaved with clear errors, and hidden/unauthorized fields cannot be altered.</x:v>
      </x:c>
      <x:c r="N1945" s="35" t="str">
        <x:v>Before/after form screenshots; FLD IDs; API response; reloaded UI; paired-client read-back; database/audit evidence; negative validation result.</x:v>
      </x:c>
      <x:c r="O1945" s="35" t="str">
        <x:v>Use a duplicate submit and one simulated network interruption; one atomic mutation or none, never partial state.</x:v>
      </x:c>
      <x:c r="P1945" s="35" t="str">
        <x:v>All expected records and amounts match; no unexplained error or stale state.</x:v>
      </x:c>
    </x:row>
    <x:row r="1946">
      <x:c r="A1946" s="20" t="str">
        <x:v>RUN-20271223-03</x:v>
      </x:c>
      <x:c r="B1946" s="23" t="n">
        <x:v>46744</x:v>
      </x:c>
      <x:c r="C1946" s="32" t="n">
        <x:v>3</x:v>
      </x:c>
      <x:c r="D1946" s="20" t="str">
        <x:v>Notification certification</x:v>
      </x:c>
      <x:c r="E1946" s="20" t="str">
        <x:v>Property Manager</x:v>
      </x:c>
      <x:c r="F1946" s="20" t="str">
        <x:v>Web + Mobile</x:v>
      </x:c>
      <x:c r="G1946" s="20" t="str">
        <x:v>System event + preference/manual verification</x:v>
      </x:c>
      <x:c r="H1946" s="35" t="str">
        <x:v>Trigger and prove notification: Legal case event due</x:v>
      </x:c>
      <x:c r="I1946" s="35" t="str">
        <x:v>NTF-049</x:v>
      </x:c>
      <x:c r="J1946" s="35" t="str"/>
      <x:c r="K1946" s="35" t="str"/>
      <x:c r="L1946" s="35" t="str">
        <x:v>Set each recipient's preferences; trigger the real business event; inspect routing and recipient scope; verify unread badge, list item, safe preview, case timeline deep link, mark-read sync, configured channel outcome, provider failure/retry, and duplicate suppression.</x:v>
      </x:c>
      <x:c r="M1946" s="35" t="str">
        <x:v>Exactly the intended recipients receive one correctly routed notification; disabled optional channels stay silent; deep link opens authorized context; read state synchronizes.</x:v>
      </x:c>
      <x:c r="N1946" s="35" t="str">
        <x:v>Trigger record; routing decision; outbox/delivery status; web/mobile inbox; lock-screen-safe copy; deep-link target; audit/provider retry evidence.</x:v>
      </x:c>
      <x:c r="O1946" s="35" t="str">
        <x:v>Re-run the worker and deliver a duplicate provider callback; no duplicate user-visible event. Attempt the deep link as an unauthorized adjacent role.</x:v>
      </x:c>
      <x:c r="P1946" s="35" t="str">
        <x:v>All expected records and amounts match; no unexplained error or stale state.</x:v>
      </x:c>
    </x:row>
    <x:row r="1947">
      <x:c r="A1947" s="20" t="str">
        <x:v>RUN-20271223-04</x:v>
      </x:c>
      <x:c r="B1947" s="23" t="n">
        <x:v>46744</x:v>
      </x:c>
      <x:c r="C1947" s="32" t="n">
        <x:v>4</x:v>
      </x:c>
      <x:c r="D1947" s="20" t="str">
        <x:v>Surface coverage</x:v>
      </x:c>
      <x:c r="E1947" s="20" t="str">
        <x:v>Role appropriate to surface</x:v>
      </x:c>
      <x:c r="F1947" s="20" t="str">
        <x:v>Mobile</x:v>
      </x:c>
      <x:c r="G1947" s="20" t="str">
        <x:v>Scan/attachment</x:v>
      </x:c>
      <x:c r="H1947" s="35" t="str">
        <x:v>Scan mobile pass: Owner landing/properties/statements/approvals/messages/security</x:v>
      </x:c>
      <x:c r="I1947" s="35" t="str">
        <x:v>COV-045</x:v>
      </x:c>
      <x:c r="J1947" s="35" t="str"/>
      <x:c r="K1947" s="35" t="str"/>
      <x:c r="L1947" s="35" t="str">
        <x:v>Walk every owner portal surface on both clients; approve/reject; open PDF; message; change password; prove property scope.</x:v>
      </x:c>
      <x:c r="M1947" s="35" t="str">
        <x:v>The supported workflow completes and persists correctly; if the capability is absent, the exact gap is proven and queued rather than silently skipped.</x:v>
      </x:c>
      <x:c r="N1947" s="35" t="str">
        <x:v>Real UI screenshot/state; submitted values; persisted read-back; cross-client read-back; audit/role/access evidence.</x:v>
      </x:c>
      <x:c r="O1947" s="35" t="str">
        <x:v>Use one invalid value, stale-state retry, or duplicate submission relevant to the form; no partial or duplicate mutation.</x:v>
      </x:c>
      <x:c r="P1947" s="35" t="str">
        <x:v>All expected records and amounts match; no unexplained error or stale state.</x:v>
      </x:c>
    </x:row>
    <x:row r="1948">
      <x:c r="A1948" s="20" t="str">
        <x:v>RUN-20271224-01</x:v>
      </x:c>
      <x:c r="B1948" s="23" t="n">
        <x:v>46745</x:v>
      </x:c>
      <x:c r="C1948" s="32" t="n">
        <x:v>1</x:v>
      </x:c>
      <x:c r="D1948" s="20" t="str">
        <x:v>Role and screen certification</x:v>
      </x:c>
      <x:c r="E1948" s="20" t="str">
        <x:v>Applicant / public user</x:v>
      </x:c>
      <x:c r="F1948" s="20" t="str">
        <x:v>Mobile</x:v>
      </x:c>
      <x:c r="G1948" s="20" t="str">
        <x:v>Normal persona navigation</x:v>
      </x:c>
      <x:c r="H1948" s="35" t="str">
        <x:v>Use every permitted action and state on features/vendors/vendor_detail_screen.dart</x:v>
      </x:c>
      <x:c r="I1948" s="35" t="str">
        <x:v>SCR-196; ROLE-331</x:v>
      </x:c>
      <x:c r="J1948" s="35" t="str"/>
      <x:c r="K1948" s="35" t="str"/>
      <x:c r="L1948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48" s="35" t="str">
        <x:v>The persona can use every allowed action with only its assigned properties/relationships. Hidden or disabled actions explain why; an adjacent unauthorized persona is denied without metadata leakage.</x:v>
      </x:c>
      <x:c r="N1948" s="35" t="str">
        <x:v>Persona/experience; navigation entry; desktop or device screenshots; result state; persisted read-back; audit/history; authorized and denied network result.</x:v>
      </x:c>
      <x:c r="O1948" s="35" t="str">
        <x:v>Open the direct URL or deep link with an adjacent unauthorized persona and with stale scope; both fail closed and land safely without mutation.</x:v>
      </x:c>
      <x:c r="P1948" s="35" t="str">
        <x:v>All expected records and amounts match; no unexplained error or stale state.</x:v>
      </x:c>
    </x:row>
    <x:row r="1949">
      <x:c r="A1949" s="20" t="str">
        <x:v>RUN-20271224-02</x:v>
      </x:c>
      <x:c r="B1949" s="23" t="n">
        <x:v>46745</x:v>
      </x:c>
      <x:c r="C1949" s="32" t="n">
        <x:v>2</x:v>
      </x:c>
      <x:c r="D1949" s="20" t="str">
        <x:v>Field certification</x:v>
      </x:c>
      <x:c r="E1949" s="20" t="str">
        <x:v>Applicant / public user</x:v>
      </x:c>
      <x:c r="F1949" s="20" t="str">
        <x:v>Mobile</x:v>
      </x:c>
      <x:c r="G1949" s="20" t="str">
        <x:v>Manual field-by-field</x:v>
      </x:c>
      <x:c r="H1949" s="35" t="str">
        <x:v>Fill, save, reload, edit, and validate every declared field on features/units/unit_form_sheet.dart</x:v>
      </x:c>
      <x:c r="I1949" s="35" t="str">
        <x:v>FLD-1074; FLD-1075; FLD-1076; FLD-1077</x:v>
      </x:c>
      <x:c r="J1949" s="35" t="str"/>
      <x:c r="K1949" s="35" t="str"/>
      <x:c r="L1949" s="35" t="str">
        <x:v>Use the source-derived Field Inventory. Enter non-default realistic values in every control (_numberCtrl; _floorPlanCtrl; _bedsCtrl; _bathsCtrl); submit; reload or relaunch; compare every value; edit each mutable field; verify the paired client; then run required, format, length, range, boundary, optional-null, and stale-submit checks.</x:v>
      </x:c>
      <x:c r="M1949" s="35" t="str">
        <x:v>All 4 inventoried controls persist exact normalized values, invalid values stay unsaved with clear errors, and hidden/unauthorized fields cannot be altered.</x:v>
      </x:c>
      <x:c r="N1949" s="35" t="str">
        <x:v>Before/after form screenshots; FLD IDs; API response; reloaded UI; paired-client read-back; database/audit evidence; negative validation result.</x:v>
      </x:c>
      <x:c r="O1949" s="35" t="str">
        <x:v>Use a duplicate submit and one simulated network interruption; one atomic mutation or none, never partial state.</x:v>
      </x:c>
      <x:c r="P1949" s="35" t="str">
        <x:v>All expected records and amounts match; no unexplained error or stale state.</x:v>
      </x:c>
    </x:row>
    <x:row r="1950">
      <x:c r="A1950" s="20" t="str">
        <x:v>RUN-20271225-01</x:v>
      </x:c>
      <x:c r="B1950" s="23" t="n">
        <x:v>46746</x:v>
      </x:c>
      <x:c r="C1950" s="32" t="n">
        <x:v>1</x:v>
      </x:c>
      <x:c r="D1950" s="20" t="str">
        <x:v>Monthly close</x:v>
      </x:c>
      <x:c r="E1950" s="20" t="str">
        <x:v>Owner + Workspace Administrator</x:v>
      </x:c>
      <x:c r="F1950" s="20" t="str">
        <x:v>Web + Mobile owner portal</x:v>
      </x:c>
      <x:c r="G1950" s="20" t="str">
        <x:v>Manual approval</x:v>
      </x:c>
      <x:c r="H1950" s="35" t="str">
        <x:v>December owner statements and distributions</x:v>
      </x:c>
      <x:c r="I1950" s="35" t="str">
        <x:v>O01-O05</x:v>
      </x:c>
      <x:c r="J1950" s="35" t="str"/>
      <x:c r="K1950" s="35" t="str">
        <x:v>FIN-01494; FIN-01495; FIN-01496; FIN-01497; FIN-01498</x:v>
      </x:c>
      <x:c r="L1950" s="35" t="str">
        <x:v>Generate owner statements; review income/expense allocations; approve distributions; record the bank export; open statements from owner portal on web and mobile.</x:v>
      </x:c>
      <x:c r="M1950" s="35" t="str">
        <x:v>Five owner statements agree with Property/accounting totals and five distributions reduce cash/equity distributions without becoming expenses.</x:v>
      </x:c>
      <x:c r="N1950" s="35" t="str">
        <x:v>Statements; approvals; owner portal PDFs; distribution rows; bank references; audit.</x:v>
      </x:c>
      <x:c r="O1950" s="35" t="str">
        <x:v>Reject one draft distribution before approval each quarter and prove no cash event is posted.</x:v>
      </x:c>
      <x:c r="P1950" s="35" t="str">
        <x:v>All expected records and amounts match; no unexplained error or stale state.</x:v>
      </x:c>
    </x:row>
    <x:row r="1951">
      <x:c r="A1951" s="20" t="str">
        <x:v>RUN-20271227-01</x:v>
      </x:c>
      <x:c r="B1951" s="23" t="n">
        <x:v>46748</x:v>
      </x:c>
      <x:c r="C1951" s="32" t="n">
        <x:v>1</x:v>
      </x:c>
      <x:c r="D1951" s="20" t="str">
        <x:v>Weekly operations</x:v>
      </x:c>
      <x:c r="E1951" s="20" t="str">
        <x:v>Property Manager</x:v>
      </x:c>
      <x:c r="F1951" s="20" t="str">
        <x:v>Web</x:v>
      </x:c>
      <x:c r="G1951" s="20" t="str">
        <x:v>Scan-first</x:v>
      </x:c>
      <x:c r="H1951" s="35" t="str">
        <x:v>Create and triage maintenance request</x:v>
      </x:c>
      <x:c r="I1951" s="35" t="str">
        <x:v>P005; U005; WO-2027-052</x:v>
      </x:c>
      <x:c r="J1951" s="35" t="str">
        <x:v>SCN-0439</x:v>
      </x:c>
      <x:c r="K1951" s="35" t="str"/>
      <x:c r="L1951" s="35" t="str">
        <x:v>Capture the tenant note/photo; review roof flashing leak; confirm; set responsibility; dispatch Metro Electric; create an appointment and verify the tenant notification.</x:v>
      </x:c>
      <x:c r="M1951" s="35" t="str">
        <x:v>Work order, status timeline, responsibility, vendor dispatch, appointment, notification, and Unit context are linked once.</x:v>
      </x:c>
      <x:c r="N1951" s="35" t="str">
        <x:v>Scan review; work order detail/timeline; dispatch; appointment; notification; tenant portal view.</x:v>
      </x:c>
      <x:c r="O1951" s="35" t="str">
        <x:v>Cancel one dispatch each quarter, reassign once, and prove status/history remains append-only.</x:v>
      </x:c>
      <x:c r="P1951" s="35" t="str">
        <x:v>All expected records and amounts match; no unexplained error or stale state.</x:v>
      </x:c>
    </x:row>
    <x:row r="1952">
      <x:c r="A1952" s="20" t="str">
        <x:v>RUN-20271227-02</x:v>
      </x:c>
      <x:c r="B1952" s="23" t="n">
        <x:v>46748</x:v>
      </x:c>
      <x:c r="C1952" s="32" t="n">
        <x:v>2</x:v>
      </x:c>
      <x:c r="D1952" s="20" t="str">
        <x:v>Role and screen certification</x:v>
      </x:c>
      <x:c r="E1952" s="20" t="str">
        <x:v>Applicant / public user</x:v>
      </x:c>
      <x:c r="F1952" s="20" t="str">
        <x:v>Mobile</x:v>
      </x:c>
      <x:c r="G1952" s="20" t="str">
        <x:v>Normal persona navigation</x:v>
      </x:c>
      <x:c r="H1952" s="35" t="str">
        <x:v>Use every permitted action and state on features/vendors/vendor_form_sheet.dart</x:v>
      </x:c>
      <x:c r="I1952" s="35" t="str">
        <x:v>SCR-197; ROLE-332</x:v>
      </x:c>
      <x:c r="J1952" s="35" t="str"/>
      <x:c r="K1952" s="35" t="str"/>
      <x:c r="L195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52" s="35" t="str">
        <x:v>The persona can use every allowed action with only its assigned properties/relationships. Hidden or disabled actions explain why; an adjacent unauthorized persona is denied without metadata leakage.</x:v>
      </x:c>
      <x:c r="N1952" s="35" t="str">
        <x:v>Persona/experience; navigation entry; desktop or device screenshots; result state; persisted read-back; audit/history; authorized and denied network result.</x:v>
      </x:c>
      <x:c r="O1952" s="35" t="str">
        <x:v>Open the direct URL or deep link with an adjacent unauthorized persona and with stale scope; both fail closed and land safely without mutation.</x:v>
      </x:c>
      <x:c r="P1952" s="35" t="str">
        <x:v>All expected records and amounts match; no unexplained error or stale state.</x:v>
      </x:c>
    </x:row>
    <x:row r="1953">
      <x:c r="A1953" s="20" t="str">
        <x:v>RUN-20271227-03</x:v>
      </x:c>
      <x:c r="B1953" s="23" t="n">
        <x:v>46748</x:v>
      </x:c>
      <x:c r="C1953" s="32" t="n">
        <x:v>3</x:v>
      </x:c>
      <x:c r="D1953" s="20" t="str">
        <x:v>Field certification</x:v>
      </x:c>
      <x:c r="E1953" s="20" t="str">
        <x:v>Applicant / public user</x:v>
      </x:c>
      <x:c r="F1953" s="20" t="str">
        <x:v>Mobile</x:v>
      </x:c>
      <x:c r="G1953" s="20" t="str">
        <x:v>Manual field-by-field</x:v>
      </x:c>
      <x:c r="H1953" s="35" t="str">
        <x:v>Fill, save, reload, edit, and validate every declared field on features/units/unit_form_sheet.dart</x:v>
      </x:c>
      <x:c r="I1953" s="35" t="str">
        <x:v>FLD-1078; FLD-1079; FLD-1080</x:v>
      </x:c>
      <x:c r="J1953" s="35" t="str"/>
      <x:c r="K1953" s="35" t="str"/>
      <x:c r="L1953" s="35" t="str">
        <x:v>Use the source-derived Field Inventory. Enter non-default realistic values in every control (_squareFeetCtrl; _rentCtrl; _notesCtrl); submit; reload or relaunch; compare every value; edit each mutable field; verify the paired client; then run required, format, length, range, boundary, optional-null, and stale-submit checks.</x:v>
      </x:c>
      <x:c r="M1953" s="35" t="str">
        <x:v>All 3 inventoried controls persist exact normalized values, invalid values stay unsaved with clear errors, and hidden/unauthorized fields cannot be altered.</x:v>
      </x:c>
      <x:c r="N1953" s="35" t="str">
        <x:v>Before/after form screenshots; FLD IDs; API response; reloaded UI; paired-client read-back; database/audit evidence; negative validation result.</x:v>
      </x:c>
      <x:c r="O1953" s="35" t="str">
        <x:v>Use a duplicate submit and one simulated network interruption; one atomic mutation or none, never partial state.</x:v>
      </x:c>
      <x:c r="P1953" s="35" t="str">
        <x:v>All expected records and amounts match; no unexplained error or stale state.</x:v>
      </x:c>
    </x:row>
    <x:row r="1954">
      <x:c r="A1954" s="20" t="str">
        <x:v>RUN-20271227-04</x:v>
      </x:c>
      <x:c r="B1954" s="23" t="n">
        <x:v>46748</x:v>
      </x:c>
      <x:c r="C1954" s="32" t="n">
        <x:v>4</x:v>
      </x:c>
      <x:c r="D1954" s="20" t="str">
        <x:v>Field certification</x:v>
      </x:c>
      <x:c r="E1954" s="20" t="str">
        <x:v>Applicant / public user</x:v>
      </x:c>
      <x:c r="F1954" s="20" t="str">
        <x:v>Mobile</x:v>
      </x:c>
      <x:c r="G1954" s="20" t="str">
        <x:v>Manual field-by-field</x:v>
      </x:c>
      <x:c r="H1954" s="35" t="str">
        <x:v>Fill, save, reload, edit, and validate every declared field on features/vendors/dispatch_vendor_sheet.dart</x:v>
      </x:c>
      <x:c r="I1954" s="35" t="str">
        <x:v>FLD-1081</x:v>
      </x:c>
      <x:c r="J1954" s="35" t="str"/>
      <x:c r="K1954" s="35" t="str"/>
      <x:c r="L1954" s="35" t="str">
        <x:v>Use the source-derived Field Inventory. Enter non-default realistic values in every control (_noteCtrl); submit; reload or relaunch; compare every value; edit each mutable field; verify the paired client; then run required, format, length, range, boundary, optional-null, and stale-submit checks.</x:v>
      </x:c>
      <x:c r="M1954" s="35" t="str">
        <x:v>All 1 inventoried controls persist exact normalized values, invalid values stay unsaved with clear errors, and hidden/unauthorized fields cannot be altered.</x:v>
      </x:c>
      <x:c r="N1954" s="35" t="str">
        <x:v>Before/after form screenshots; FLD IDs; API response; reloaded UI; paired-client read-back; database/audit evidence; negative validation result.</x:v>
      </x:c>
      <x:c r="O1954" s="35" t="str">
        <x:v>Use a duplicate submit and one simulated network interruption; one atomic mutation or none, never partial state.</x:v>
      </x:c>
      <x:c r="P1954" s="35" t="str">
        <x:v>All expected records and amounts match; no unexplained error or stale state.</x:v>
      </x:c>
    </x:row>
    <x:row r="1955">
      <x:c r="A1955" s="20" t="str">
        <x:v>RUN-20271227-05</x:v>
      </x:c>
      <x:c r="B1955" s="23" t="n">
        <x:v>46748</x:v>
      </x:c>
      <x:c r="C1955" s="32" t="n">
        <x:v>5</x:v>
      </x:c>
      <x:c r="D1955" s="20" t="str">
        <x:v>Surface coverage</x:v>
      </x:c>
      <x:c r="E1955" s="20" t="str">
        <x:v>Role appropriate to surface</x:v>
      </x:c>
      <x:c r="F1955" s="20" t="str">
        <x:v>Web</x:v>
      </x:c>
      <x:c r="G1955" s="20" t="str">
        <x:v>Manual</x:v>
      </x:c>
      <x:c r="H1955" s="35" t="str">
        <x:v>Manual web pass: Docs, privacy, public apply/sign, deep links</x:v>
      </x:c>
      <x:c r="I1955" s="35" t="str">
        <x:v>COV-046</x:v>
      </x:c>
      <x:c r="J1955" s="35" t="str"/>
      <x:c r="K1955" s="35" t="str"/>
      <x:c r="L1955" s="35" t="str">
        <x:v>Open help/privacy, invalid/expired public tokens, valid apply/sign links, Android app links, and browser/mobile back behavior.</x:v>
      </x:c>
      <x:c r="M1955" s="35" t="str">
        <x:v>The supported workflow completes and persists correctly; if the capability is absent, the exact gap is proven and queued rather than silently skipped.</x:v>
      </x:c>
      <x:c r="N1955" s="35" t="str">
        <x:v>Real UI screenshot/state; submitted values; persisted read-back; cross-client read-back; audit/role/access evidence.</x:v>
      </x:c>
      <x:c r="O1955" s="35" t="str">
        <x:v>Use one invalid value, stale-state retry, or duplicate submission relevant to the form; no partial or duplicate mutation.</x:v>
      </x:c>
      <x:c r="P1955" s="35" t="str">
        <x:v>All expected records and amounts match; no unexplained error or stale state.</x:v>
      </x:c>
    </x:row>
    <x:row r="1956">
      <x:c r="A1956" s="20" t="str">
        <x:v>RUN-20271228-01</x:v>
      </x:c>
      <x:c r="B1956" s="23" t="n">
        <x:v>46749</x:v>
      </x:c>
      <x:c r="C1956" s="32" t="n">
        <x:v>1</x:v>
      </x:c>
      <x:c r="D1956" s="20" t="str">
        <x:v>Weekly operations</x:v>
      </x:c>
      <x:c r="E1956" s="20" t="str">
        <x:v>Property Manager</x:v>
      </x:c>
      <x:c r="F1956" s="20" t="str">
        <x:v>Web</x:v>
      </x:c>
      <x:c r="G1956" s="20" t="str">
        <x:v>Scanned receipt/invoice</x:v>
      </x:c>
      <x:c r="H1956" s="35" t="str">
        <x:v>Record, review, allocate, and pay operating expense</x:v>
      </x:c>
      <x:c r="I1956" s="35" t="str">
        <x:v>P005; U005; WO-2027-052</x:v>
      </x:c>
      <x:c r="J1956" s="35" t="str">
        <x:v>SCN-0440</x:v>
      </x:c>
      <x:c r="K1956" s="35" t="str">
        <x:v>FIN-01075</x:v>
      </x:c>
      <x:c r="L1956" s="35" t="str">
        <x:v>Capture or upload the source; verify vendor, date, scope, category, line items, tax, amount, and work-order link; confirm; open detail; verify attachment; compare Money and Property/Unit views.</x:v>
      </x:c>
      <x:c r="M1956" s="35" t="str">
        <x:v>One expense exists at its real operational scope, cash falls once, Schedule E category and allocations agree, and no per-unit copies are created.</x:v>
      </x:c>
      <x:c r="N1956" s="35" t="str">
        <x:v>Source preview; review/form; expense detail; line items; Property/Unit ledger; audit; accounting/report delta.</x:v>
      </x:c>
      <x:c r="O1956" s="35" t="str">
        <x:v>On marked duplicate-invoice cases, re-upload before confirm and prove the product prevents or clearly warns about duplication.</x:v>
      </x:c>
      <x:c r="P1956" s="35" t="str">
        <x:v>All expected records and amounts match; no unexplained error or stale state.</x:v>
      </x:c>
    </x:row>
    <x:row r="1957">
      <x:c r="A1957" s="20" t="str">
        <x:v>RUN-20271228-02</x:v>
      </x:c>
      <x:c r="B1957" s="23" t="n">
        <x:v>46749</x:v>
      </x:c>
      <x:c r="C1957" s="32" t="n">
        <x:v>2</x:v>
      </x:c>
      <x:c r="D1957" s="20" t="str">
        <x:v>Weekly operations</x:v>
      </x:c>
      <x:c r="E1957" s="20" t="str">
        <x:v>Property Manager</x:v>
      </x:c>
      <x:c r="F1957" s="20" t="str">
        <x:v>Mobile</x:v>
      </x:c>
      <x:c r="G1957" s="20" t="str">
        <x:v>Scanned receipt/invoice</x:v>
      </x:c>
      <x:c r="H1957" s="35" t="str">
        <x:v>Record, review, allocate, and pay operating expense</x:v>
      </x:c>
      <x:c r="I1957" s="35" t="str">
        <x:v>P001; Property scope; </x:v>
      </x:c>
      <x:c r="J1957" s="35" t="str">
        <x:v>SCN-0793</x:v>
      </x:c>
      <x:c r="K1957" s="35" t="str">
        <x:v>FIN-01504</x:v>
      </x:c>
      <x:c r="L1957" s="35" t="str">
        <x:v>Capture or upload the source; verify vendor, date, scope, category, line items, tax, amount, and work-order link; confirm; open detail; verify attachment; compare Money and Property/Unit views.</x:v>
      </x:c>
      <x:c r="M1957" s="35" t="str">
        <x:v>One expense exists at its real operational scope, cash falls once, Schedule E category and allocations agree, and no per-unit copies are created.</x:v>
      </x:c>
      <x:c r="N1957" s="35" t="str">
        <x:v>Source preview; review/form; expense detail; line items; Property/Unit ledger; audit; accounting/report delta.</x:v>
      </x:c>
      <x:c r="O1957" s="35" t="str">
        <x:v>On marked duplicate-invoice cases, re-upload before confirm and prove the product prevents or clearly warns about duplication.</x:v>
      </x:c>
      <x:c r="P1957" s="35" t="str">
        <x:v>All expected records and amounts match; no unexplained error or stale state.</x:v>
      </x:c>
    </x:row>
    <x:row r="1958">
      <x:c r="A1958" s="20" t="str">
        <x:v>RUN-20271228-03</x:v>
      </x:c>
      <x:c r="B1958" s="23" t="n">
        <x:v>46749</x:v>
      </x:c>
      <x:c r="C1958" s="32" t="n">
        <x:v>3</x:v>
      </x:c>
      <x:c r="D1958" s="20" t="str">
        <x:v>Weekly operations</x:v>
      </x:c>
      <x:c r="E1958" s="20" t="str">
        <x:v>Property Manager</x:v>
      </x:c>
      <x:c r="F1958" s="20" t="str">
        <x:v>Web</x:v>
      </x:c>
      <x:c r="G1958" s="20" t="str">
        <x:v>Scanned receipt/invoice</x:v>
      </x:c>
      <x:c r="H1958" s="35" t="str">
        <x:v>Record, review, allocate, and pay operating expense</x:v>
      </x:c>
      <x:c r="I1958" s="35" t="str">
        <x:v>P002; Property scope; </x:v>
      </x:c>
      <x:c r="J1958" s="35" t="str">
        <x:v>SCN-0798</x:v>
      </x:c>
      <x:c r="K1958" s="35" t="str">
        <x:v>FIN-01509</x:v>
      </x:c>
      <x:c r="L1958" s="35" t="str">
        <x:v>Capture or upload the source; verify vendor, date, scope, category, line items, tax, amount, and work-order link; confirm; open detail; verify attachment; compare Money and Property/Unit views.</x:v>
      </x:c>
      <x:c r="M1958" s="35" t="str">
        <x:v>One expense exists at its real operational scope, cash falls once, Schedule E category and allocations agree, and no per-unit copies are created.</x:v>
      </x:c>
      <x:c r="N1958" s="35" t="str">
        <x:v>Source preview; review/form; expense detail; line items; Property/Unit ledger; audit; accounting/report delta.</x:v>
      </x:c>
      <x:c r="O1958" s="35" t="str">
        <x:v>On marked duplicate-invoice cases, re-upload before confirm and prove the product prevents or clearly warns about duplication.</x:v>
      </x:c>
      <x:c r="P1958" s="35" t="str">
        <x:v>All expected records and amounts match; no unexplained error or stale state.</x:v>
      </x:c>
    </x:row>
    <x:row r="1959">
      <x:c r="A1959" s="20" t="str">
        <x:v>RUN-20271228-04</x:v>
      </x:c>
      <x:c r="B1959" s="23" t="n">
        <x:v>46749</x:v>
      </x:c>
      <x:c r="C1959" s="32" t="n">
        <x:v>4</x:v>
      </x:c>
      <x:c r="D1959" s="20" t="str">
        <x:v>Weekly operations</x:v>
      </x:c>
      <x:c r="E1959" s="20" t="str">
        <x:v>Property Manager</x:v>
      </x:c>
      <x:c r="F1959" s="20" t="str">
        <x:v>Mobile</x:v>
      </x:c>
      <x:c r="G1959" s="20" t="str">
        <x:v>Scanned receipt/invoice</x:v>
      </x:c>
      <x:c r="H1959" s="35" t="str">
        <x:v>Record, review, allocate, and pay operating expense</x:v>
      </x:c>
      <x:c r="I1959" s="35" t="str">
        <x:v>P003; Property scope; </x:v>
      </x:c>
      <x:c r="J1959" s="35" t="str">
        <x:v>SCN-0803</x:v>
      </x:c>
      <x:c r="K1959" s="35" t="str">
        <x:v>FIN-01514</x:v>
      </x:c>
      <x:c r="L1959" s="35" t="str">
        <x:v>Capture or upload the source; verify vendor, date, scope, category, line items, tax, amount, and work-order link; confirm; open detail; verify attachment; compare Money and Property/Unit views.</x:v>
      </x:c>
      <x:c r="M1959" s="35" t="str">
        <x:v>One expense exists at its real operational scope, cash falls once, Schedule E category and allocations agree, and no per-unit copies are created.</x:v>
      </x:c>
      <x:c r="N1959" s="35" t="str">
        <x:v>Source preview; review/form; expense detail; line items; Property/Unit ledger; audit; accounting/report delta.</x:v>
      </x:c>
      <x:c r="O1959" s="35" t="str">
        <x:v>On marked duplicate-invoice cases, re-upload before confirm and prove the product prevents or clearly warns about duplication.</x:v>
      </x:c>
      <x:c r="P1959" s="35" t="str">
        <x:v>All expected records and amounts match; no unexplained error or stale state.</x:v>
      </x:c>
    </x:row>
    <x:row r="1960">
      <x:c r="A1960" s="20" t="str">
        <x:v>RUN-20271228-05</x:v>
      </x:c>
      <x:c r="B1960" s="23" t="n">
        <x:v>46749</x:v>
      </x:c>
      <x:c r="C1960" s="32" t="n">
        <x:v>5</x:v>
      </x:c>
      <x:c r="D1960" s="20" t="str">
        <x:v>Weekly operations</x:v>
      </x:c>
      <x:c r="E1960" s="20" t="str">
        <x:v>Property Manager</x:v>
      </x:c>
      <x:c r="F1960" s="20" t="str">
        <x:v>Web</x:v>
      </x:c>
      <x:c r="G1960" s="20" t="str">
        <x:v>Scanned receipt/invoice</x:v>
      </x:c>
      <x:c r="H1960" s="35" t="str">
        <x:v>Record, review, allocate, and pay operating expense</x:v>
      </x:c>
      <x:c r="I1960" s="35" t="str">
        <x:v>P004; Property scope; </x:v>
      </x:c>
      <x:c r="J1960" s="35" t="str">
        <x:v>SCN-0808</x:v>
      </x:c>
      <x:c r="K1960" s="35" t="str">
        <x:v>FIN-01519</x:v>
      </x:c>
      <x:c r="L1960" s="35" t="str">
        <x:v>Capture or upload the source; verify vendor, date, scope, category, line items, tax, amount, and work-order link; confirm; open detail; verify attachment; compare Money and Property/Unit views.</x:v>
      </x:c>
      <x:c r="M1960" s="35" t="str">
        <x:v>One expense exists at its real operational scope, cash falls once, Schedule E category and allocations agree, and no per-unit copies are created.</x:v>
      </x:c>
      <x:c r="N1960" s="35" t="str">
        <x:v>Source preview; review/form; expense detail; line items; Property/Unit ledger; audit; accounting/report delta.</x:v>
      </x:c>
      <x:c r="O1960" s="35" t="str">
        <x:v>On marked duplicate-invoice cases, re-upload before confirm and prove the product prevents or clearly warns about duplication.</x:v>
      </x:c>
      <x:c r="P1960" s="35" t="str">
        <x:v>All expected records and amounts match; no unexplained error or stale state.</x:v>
      </x:c>
    </x:row>
    <x:row r="1961">
      <x:c r="A1961" s="20" t="str">
        <x:v>RUN-20271228-06</x:v>
      </x:c>
      <x:c r="B1961" s="23" t="n">
        <x:v>46749</x:v>
      </x:c>
      <x:c r="C1961" s="32" t="n">
        <x:v>6</x:v>
      </x:c>
      <x:c r="D1961" s="20" t="str">
        <x:v>Weekly operations</x:v>
      </x:c>
      <x:c r="E1961" s="20" t="str">
        <x:v>Property Manager</x:v>
      </x:c>
      <x:c r="F1961" s="20" t="str">
        <x:v>Mobile</x:v>
      </x:c>
      <x:c r="G1961" s="20" t="str">
        <x:v>Manual web form</x:v>
      </x:c>
      <x:c r="H1961" s="35" t="str">
        <x:v>Record, review, allocate, and pay operating expense</x:v>
      </x:c>
      <x:c r="I1961" s="35" t="str">
        <x:v>P005; Property scope; </x:v>
      </x:c>
      <x:c r="J1961" s="35" t="str"/>
      <x:c r="K1961" s="35" t="str">
        <x:v>FIN-01524</x:v>
      </x:c>
      <x:c r="L1961" s="35" t="str">
        <x:v>Capture or upload the source; verify vendor, date, scope, category, line items, tax, amount, and work-order link; confirm; open detail; verify attachment; compare Money and Property/Unit views.</x:v>
      </x:c>
      <x:c r="M1961" s="35" t="str">
        <x:v>One expense exists at its real operational scope, cash falls once, Schedule E category and allocations agree, and no per-unit copies are created.</x:v>
      </x:c>
      <x:c r="N1961" s="35" t="str">
        <x:v>Source preview; review/form; expense detail; line items; Property/Unit ledger; audit; accounting/report delta.</x:v>
      </x:c>
      <x:c r="O1961" s="35" t="str">
        <x:v>On marked duplicate-invoice cases, re-upload before confirm and prove the product prevents or clearly warns about duplication.</x:v>
      </x:c>
      <x:c r="P1961" s="35" t="str">
        <x:v>All expected records and amounts match; no unexplained error or stale state.</x:v>
      </x:c>
    </x:row>
    <x:row r="1962">
      <x:c r="A1962" s="20" t="str">
        <x:v>RUN-20271228-07</x:v>
      </x:c>
      <x:c r="B1962" s="23" t="n">
        <x:v>46749</x:v>
      </x:c>
      <x:c r="C1962" s="32" t="n">
        <x:v>7</x:v>
      </x:c>
      <x:c r="D1962" s="20" t="str">
        <x:v>Weekly operations</x:v>
      </x:c>
      <x:c r="E1962" s="20" t="str">
        <x:v>Property Manager</x:v>
      </x:c>
      <x:c r="F1962" s="20" t="str">
        <x:v>Web</x:v>
      </x:c>
      <x:c r="G1962" s="20" t="str">
        <x:v>Scanned receipt/invoice</x:v>
      </x:c>
      <x:c r="H1962" s="35" t="str">
        <x:v>Record, review, allocate, and pay operating expense</x:v>
      </x:c>
      <x:c r="I1962" s="35" t="str">
        <x:v>P006; Property scope; </x:v>
      </x:c>
      <x:c r="J1962" s="35" t="str">
        <x:v>SCN-0813</x:v>
      </x:c>
      <x:c r="K1962" s="35" t="str">
        <x:v>FIN-01529</x:v>
      </x:c>
      <x:c r="L1962" s="35" t="str">
        <x:v>Capture or upload the source; verify vendor, date, scope, category, line items, tax, amount, and work-order link; confirm; open detail; verify attachment; compare Money and Property/Unit views.</x:v>
      </x:c>
      <x:c r="M1962" s="35" t="str">
        <x:v>One expense exists at its real operational scope, cash falls once, Schedule E category and allocations agree, and no per-unit copies are created.</x:v>
      </x:c>
      <x:c r="N1962" s="35" t="str">
        <x:v>Source preview; review/form; expense detail; line items; Property/Unit ledger; audit; accounting/report delta.</x:v>
      </x:c>
      <x:c r="O1962" s="35" t="str">
        <x:v>On marked duplicate-invoice cases, re-upload before confirm and prove the product prevents or clearly warns about duplication.</x:v>
      </x:c>
      <x:c r="P1962" s="35" t="str">
        <x:v>All expected records and amounts match; no unexplained error or stale state.</x:v>
      </x:c>
    </x:row>
    <x:row r="1963">
      <x:c r="A1963" s="20" t="str">
        <x:v>RUN-20271228-08</x:v>
      </x:c>
      <x:c r="B1963" s="23" t="n">
        <x:v>46749</x:v>
      </x:c>
      <x:c r="C1963" s="32" t="n">
        <x:v>8</x:v>
      </x:c>
      <x:c r="D1963" s="20" t="str">
        <x:v>Weekly operations</x:v>
      </x:c>
      <x:c r="E1963" s="20" t="str">
        <x:v>Property Manager</x:v>
      </x:c>
      <x:c r="F1963" s="20" t="str">
        <x:v>Mobile</x:v>
      </x:c>
      <x:c r="G1963" s="20" t="str">
        <x:v>Scanned receipt/invoice</x:v>
      </x:c>
      <x:c r="H1963" s="35" t="str">
        <x:v>Record, review, allocate, and pay operating expense</x:v>
      </x:c>
      <x:c r="I1963" s="35" t="str">
        <x:v>P007; Property scope; </x:v>
      </x:c>
      <x:c r="J1963" s="35" t="str">
        <x:v>SCN-0818</x:v>
      </x:c>
      <x:c r="K1963" s="35" t="str">
        <x:v>FIN-01534</x:v>
      </x:c>
      <x:c r="L1963" s="35" t="str">
        <x:v>Capture or upload the source; verify vendor, date, scope, category, line items, tax, amount, and work-order link; confirm; open detail; verify attachment; compare Money and Property/Unit views.</x:v>
      </x:c>
      <x:c r="M1963" s="35" t="str">
        <x:v>One expense exists at its real operational scope, cash falls once, Schedule E category and allocations agree, and no per-unit copies are created.</x:v>
      </x:c>
      <x:c r="N1963" s="35" t="str">
        <x:v>Source preview; review/form; expense detail; line items; Property/Unit ledger; audit; accounting/report delta.</x:v>
      </x:c>
      <x:c r="O1963" s="35" t="str">
        <x:v>On marked duplicate-invoice cases, re-upload before confirm and prove the product prevents or clearly warns about duplication.</x:v>
      </x:c>
      <x:c r="P1963" s="35" t="str">
        <x:v>All expected records and amounts match; no unexplained error or stale state.</x:v>
      </x:c>
    </x:row>
    <x:row r="1964">
      <x:c r="A1964" s="20" t="str">
        <x:v>RUN-20271228-09</x:v>
      </x:c>
      <x:c r="B1964" s="23" t="n">
        <x:v>46749</x:v>
      </x:c>
      <x:c r="C1964" s="32" t="n">
        <x:v>9</x:v>
      </x:c>
      <x:c r="D1964" s="20" t="str">
        <x:v>Weekly operations</x:v>
      </x:c>
      <x:c r="E1964" s="20" t="str">
        <x:v>Property Manager</x:v>
      </x:c>
      <x:c r="F1964" s="20" t="str">
        <x:v>Web</x:v>
      </x:c>
      <x:c r="G1964" s="20" t="str">
        <x:v>Scanned receipt/invoice</x:v>
      </x:c>
      <x:c r="H1964" s="35" t="str">
        <x:v>Record, review, allocate, and pay operating expense</x:v>
      </x:c>
      <x:c r="I1964" s="35" t="str">
        <x:v>P008; Property scope; </x:v>
      </x:c>
      <x:c r="J1964" s="35" t="str">
        <x:v>SCN-0823</x:v>
      </x:c>
      <x:c r="K1964" s="35" t="str">
        <x:v>FIN-01539</x:v>
      </x:c>
      <x:c r="L1964" s="35" t="str">
        <x:v>Capture or upload the source; verify vendor, date, scope, category, line items, tax, amount, and work-order link; confirm; open detail; verify attachment; compare Money and Property/Unit views.</x:v>
      </x:c>
      <x:c r="M1964" s="35" t="str">
        <x:v>One expense exists at its real operational scope, cash falls once, Schedule E category and allocations agree, and no per-unit copies are created.</x:v>
      </x:c>
      <x:c r="N1964" s="35" t="str">
        <x:v>Source preview; review/form; expense detail; line items; Property/Unit ledger; audit; accounting/report delta.</x:v>
      </x:c>
      <x:c r="O1964" s="35" t="str">
        <x:v>On marked duplicate-invoice cases, re-upload before confirm and prove the product prevents or clearly warns about duplication.</x:v>
      </x:c>
      <x:c r="P1964" s="35" t="str">
        <x:v>All expected records and amounts match; no unexplained error or stale state.</x:v>
      </x:c>
    </x:row>
    <x:row r="1965">
      <x:c r="A1965" s="20" t="str">
        <x:v>RUN-20271228-10</x:v>
      </x:c>
      <x:c r="B1965" s="23" t="n">
        <x:v>46749</x:v>
      </x:c>
      <x:c r="C1965" s="32" t="n">
        <x:v>10</x:v>
      </x:c>
      <x:c r="D1965" s="20" t="str">
        <x:v>Weekly operations</x:v>
      </x:c>
      <x:c r="E1965" s="20" t="str">
        <x:v>Property Manager</x:v>
      </x:c>
      <x:c r="F1965" s="20" t="str">
        <x:v>Mobile</x:v>
      </x:c>
      <x:c r="G1965" s="20" t="str">
        <x:v>Scanned receipt/invoice</x:v>
      </x:c>
      <x:c r="H1965" s="35" t="str">
        <x:v>Record, review, allocate, and pay operating expense</x:v>
      </x:c>
      <x:c r="I1965" s="35" t="str">
        <x:v>P009; Property scope; </x:v>
      </x:c>
      <x:c r="J1965" s="35" t="str">
        <x:v>SCN-0828</x:v>
      </x:c>
      <x:c r="K1965" s="35" t="str">
        <x:v>FIN-01544</x:v>
      </x:c>
      <x:c r="L1965" s="35" t="str">
        <x:v>Capture or upload the source; verify vendor, date, scope, category, line items, tax, amount, and work-order link; confirm; open detail; verify attachment; compare Money and Property/Unit views.</x:v>
      </x:c>
      <x:c r="M1965" s="35" t="str">
        <x:v>One expense exists at its real operational scope, cash falls once, Schedule E category and allocations agree, and no per-unit copies are created.</x:v>
      </x:c>
      <x:c r="N1965" s="35" t="str">
        <x:v>Source preview; review/form; expense detail; line items; Property/Unit ledger; audit; accounting/report delta.</x:v>
      </x:c>
      <x:c r="O1965" s="35" t="str">
        <x:v>On marked duplicate-invoice cases, re-upload before confirm and prove the product prevents or clearly warns about duplication.</x:v>
      </x:c>
      <x:c r="P1965" s="35" t="str">
        <x:v>All expected records and amounts match; no unexplained error or stale state.</x:v>
      </x:c>
    </x:row>
    <x:row r="1966">
      <x:c r="A1966" s="20" t="str">
        <x:v>RUN-20271228-11</x:v>
      </x:c>
      <x:c r="B1966" s="23" t="n">
        <x:v>46749</x:v>
      </x:c>
      <x:c r="C1966" s="32" t="n">
        <x:v>11</x:v>
      </x:c>
      <x:c r="D1966" s="20" t="str">
        <x:v>Weekly operations</x:v>
      </x:c>
      <x:c r="E1966" s="20" t="str">
        <x:v>Property Manager</x:v>
      </x:c>
      <x:c r="F1966" s="20" t="str">
        <x:v>Web</x:v>
      </x:c>
      <x:c r="G1966" s="20" t="str">
        <x:v>Manual mobile form</x:v>
      </x:c>
      <x:c r="H1966" s="35" t="str">
        <x:v>Record, review, allocate, and pay operating expense</x:v>
      </x:c>
      <x:c r="I1966" s="35" t="str">
        <x:v>P010; Property scope; </x:v>
      </x:c>
      <x:c r="J1966" s="35" t="str"/>
      <x:c r="K1966" s="35" t="str">
        <x:v>FIN-01549</x:v>
      </x:c>
      <x:c r="L1966" s="35" t="str">
        <x:v>Capture or upload the source; verify vendor, date, scope, category, line items, tax, amount, and work-order link; confirm; open detail; verify attachment; compare Money and Property/Unit views.</x:v>
      </x:c>
      <x:c r="M1966" s="35" t="str">
        <x:v>One expense exists at its real operational scope, cash falls once, Schedule E category and allocations agree, and no per-unit copies are created.</x:v>
      </x:c>
      <x:c r="N1966" s="35" t="str">
        <x:v>Source preview; review/form; expense detail; line items; Property/Unit ledger; audit; accounting/report delta.</x:v>
      </x:c>
      <x:c r="O1966" s="35" t="str">
        <x:v>On marked duplicate-invoice cases, re-upload before confirm and prove the product prevents or clearly warns about duplication.</x:v>
      </x:c>
      <x:c r="P1966" s="35" t="str">
        <x:v>All expected records and amounts match; no unexplained error or stale state.</x:v>
      </x:c>
    </x:row>
    <x:row r="1967">
      <x:c r="A1967" s="20" t="str">
        <x:v>RUN-20271228-12</x:v>
      </x:c>
      <x:c r="B1967" s="23" t="n">
        <x:v>46749</x:v>
      </x:c>
      <x:c r="C1967" s="32" t="n">
        <x:v>12</x:v>
      </x:c>
      <x:c r="D1967" s="20" t="str">
        <x:v>Weekly operations</x:v>
      </x:c>
      <x:c r="E1967" s="20" t="str">
        <x:v>Property Manager</x:v>
      </x:c>
      <x:c r="F1967" s="20" t="str">
        <x:v>Mobile</x:v>
      </x:c>
      <x:c r="G1967" s="20" t="str">
        <x:v>Scanned receipt/invoice</x:v>
      </x:c>
      <x:c r="H1967" s="35" t="str">
        <x:v>Record, review, allocate, and pay operating expense</x:v>
      </x:c>
      <x:c r="I1967" s="35" t="str">
        <x:v>P011; Property scope; </x:v>
      </x:c>
      <x:c r="J1967" s="35" t="str">
        <x:v>SCN-0833</x:v>
      </x:c>
      <x:c r="K1967" s="35" t="str">
        <x:v>FIN-01554</x:v>
      </x:c>
      <x:c r="L1967" s="35" t="str">
        <x:v>Capture or upload the source; verify vendor, date, scope, category, line items, tax, amount, and work-order link; confirm; open detail; verify attachment; compare Money and Property/Unit views.</x:v>
      </x:c>
      <x:c r="M1967" s="35" t="str">
        <x:v>One expense exists at its real operational scope, cash falls once, Schedule E category and allocations agree, and no per-unit copies are created.</x:v>
      </x:c>
      <x:c r="N1967" s="35" t="str">
        <x:v>Source preview; review/form; expense detail; line items; Property/Unit ledger; audit; accounting/report delta.</x:v>
      </x:c>
      <x:c r="O1967" s="35" t="str">
        <x:v>On marked duplicate-invoice cases, re-upload before confirm and prove the product prevents or clearly warns about duplication.</x:v>
      </x:c>
      <x:c r="P1967" s="35" t="str">
        <x:v>All expected records and amounts match; no unexplained error or stale state.</x:v>
      </x:c>
    </x:row>
    <x:row r="1968">
      <x:c r="A1968" s="20" t="str">
        <x:v>RUN-20271228-13</x:v>
      </x:c>
      <x:c r="B1968" s="23" t="n">
        <x:v>46749</x:v>
      </x:c>
      <x:c r="C1968" s="32" t="n">
        <x:v>13</x:v>
      </x:c>
      <x:c r="D1968" s="20" t="str">
        <x:v>Weekly operations</x:v>
      </x:c>
      <x:c r="E1968" s="20" t="str">
        <x:v>Property Manager</x:v>
      </x:c>
      <x:c r="F1968" s="20" t="str">
        <x:v>Web</x:v>
      </x:c>
      <x:c r="G1968" s="20" t="str">
        <x:v>Scanned receipt/invoice</x:v>
      </x:c>
      <x:c r="H1968" s="35" t="str">
        <x:v>Record, review, allocate, and pay operating expense</x:v>
      </x:c>
      <x:c r="I1968" s="35" t="str">
        <x:v>P012; Property scope; </x:v>
      </x:c>
      <x:c r="J1968" s="35" t="str">
        <x:v>SCN-0838</x:v>
      </x:c>
      <x:c r="K1968" s="35" t="str">
        <x:v>FIN-01559</x:v>
      </x:c>
      <x:c r="L1968" s="35" t="str">
        <x:v>Capture or upload the source; verify vendor, date, scope, category, line items, tax, amount, and work-order link; confirm; open detail; verify attachment; compare Money and Property/Unit views.</x:v>
      </x:c>
      <x:c r="M1968" s="35" t="str">
        <x:v>One expense exists at its real operational scope, cash falls once, Schedule E category and allocations agree, and no per-unit copies are created.</x:v>
      </x:c>
      <x:c r="N1968" s="35" t="str">
        <x:v>Source preview; review/form; expense detail; line items; Property/Unit ledger; audit; accounting/report delta.</x:v>
      </x:c>
      <x:c r="O1968" s="35" t="str">
        <x:v>On marked duplicate-invoice cases, re-upload before confirm and prove the product prevents or clearly warns about duplication.</x:v>
      </x:c>
      <x:c r="P1968" s="35" t="str">
        <x:v>All expected records and amounts match; no unexplained error or stale state.</x:v>
      </x:c>
    </x:row>
    <x:row r="1969">
      <x:c r="A1969" s="20" t="str">
        <x:v>RUN-20271228-14</x:v>
      </x:c>
      <x:c r="B1969" s="23" t="n">
        <x:v>46749</x:v>
      </x:c>
      <x:c r="C1969" s="32" t="n">
        <x:v>14</x:v>
      </x:c>
      <x:c r="D1969" s="20" t="str">
        <x:v>Weekly operations</x:v>
      </x:c>
      <x:c r="E1969" s="20" t="str">
        <x:v>Property Manager</x:v>
      </x:c>
      <x:c r="F1969" s="20" t="str">
        <x:v>Mobile</x:v>
      </x:c>
      <x:c r="G1969" s="20" t="str">
        <x:v>Scanned receipt/invoice</x:v>
      </x:c>
      <x:c r="H1969" s="35" t="str">
        <x:v>Record, review, allocate, and pay operating expense</x:v>
      </x:c>
      <x:c r="I1969" s="35" t="str">
        <x:v>P013; Property scope; </x:v>
      </x:c>
      <x:c r="J1969" s="35" t="str">
        <x:v>SCN-0843</x:v>
      </x:c>
      <x:c r="K1969" s="35" t="str">
        <x:v>FIN-01564</x:v>
      </x:c>
      <x:c r="L1969" s="35" t="str">
        <x:v>Capture or upload the source; verify vendor, date, scope, category, line items, tax, amount, and work-order link; confirm; open detail; verify attachment; compare Money and Property/Unit views.</x:v>
      </x:c>
      <x:c r="M1969" s="35" t="str">
        <x:v>One expense exists at its real operational scope, cash falls once, Schedule E category and allocations agree, and no per-unit copies are created.</x:v>
      </x:c>
      <x:c r="N1969" s="35" t="str">
        <x:v>Source preview; review/form; expense detail; line items; Property/Unit ledger; audit; accounting/report delta.</x:v>
      </x:c>
      <x:c r="O1969" s="35" t="str">
        <x:v>On marked duplicate-invoice cases, re-upload before confirm and prove the product prevents or clearly warns about duplication.</x:v>
      </x:c>
      <x:c r="P1969" s="35" t="str">
        <x:v>All expected records and amounts match; no unexplained error or stale state.</x:v>
      </x:c>
    </x:row>
    <x:row r="1970">
      <x:c r="A1970" s="20" t="str">
        <x:v>RUN-20271228-15</x:v>
      </x:c>
      <x:c r="B1970" s="23" t="n">
        <x:v>46749</x:v>
      </x:c>
      <x:c r="C1970" s="32" t="n">
        <x:v>15</x:v>
      </x:c>
      <x:c r="D1970" s="20" t="str">
        <x:v>Weekly operations</x:v>
      </x:c>
      <x:c r="E1970" s="20" t="str">
        <x:v>Property Manager</x:v>
      </x:c>
      <x:c r="F1970" s="20" t="str">
        <x:v>Web</x:v>
      </x:c>
      <x:c r="G1970" s="20" t="str">
        <x:v>Scanned receipt/invoice</x:v>
      </x:c>
      <x:c r="H1970" s="35" t="str">
        <x:v>Record, review, allocate, and pay operating expense</x:v>
      </x:c>
      <x:c r="I1970" s="35" t="str">
        <x:v>P014; Property scope; </x:v>
      </x:c>
      <x:c r="J1970" s="35" t="str">
        <x:v>SCN-0848</x:v>
      </x:c>
      <x:c r="K1970" s="35" t="str">
        <x:v>FIN-01569</x:v>
      </x:c>
      <x:c r="L1970" s="35" t="str">
        <x:v>Capture or upload the source; verify vendor, date, scope, category, line items, tax, amount, and work-order link; confirm; open detail; verify attachment; compare Money and Property/Unit views.</x:v>
      </x:c>
      <x:c r="M1970" s="35" t="str">
        <x:v>One expense exists at its real operational scope, cash falls once, Schedule E category and allocations agree, and no per-unit copies are created.</x:v>
      </x:c>
      <x:c r="N1970" s="35" t="str">
        <x:v>Source preview; review/form; expense detail; line items; Property/Unit ledger; audit; accounting/report delta.</x:v>
      </x:c>
      <x:c r="O1970" s="35" t="str">
        <x:v>On marked duplicate-invoice cases, re-upload before confirm and prove the product prevents or clearly warns about duplication.</x:v>
      </x:c>
      <x:c r="P1970" s="35" t="str">
        <x:v>All expected records and amounts match; no unexplained error or stale state.</x:v>
      </x:c>
    </x:row>
    <x:row r="1971">
      <x:c r="A1971" s="20" t="str">
        <x:v>RUN-20271228-16</x:v>
      </x:c>
      <x:c r="B1971" s="23" t="n">
        <x:v>46749</x:v>
      </x:c>
      <x:c r="C1971" s="32" t="n">
        <x:v>16</x:v>
      </x:c>
      <x:c r="D1971" s="20" t="str">
        <x:v>Weekly operations</x:v>
      </x:c>
      <x:c r="E1971" s="20" t="str">
        <x:v>Property Manager</x:v>
      </x:c>
      <x:c r="F1971" s="20" t="str">
        <x:v>Mobile</x:v>
      </x:c>
      <x:c r="G1971" s="20" t="str">
        <x:v>Manual web form</x:v>
      </x:c>
      <x:c r="H1971" s="35" t="str">
        <x:v>Record, review, allocate, and pay operating expense</x:v>
      </x:c>
      <x:c r="I1971" s="35" t="str">
        <x:v>P015; Property scope; </x:v>
      </x:c>
      <x:c r="J1971" s="35" t="str"/>
      <x:c r="K1971" s="35" t="str">
        <x:v>FIN-01574</x:v>
      </x:c>
      <x:c r="L1971" s="35" t="str">
        <x:v>Capture or upload the source; verify vendor, date, scope, category, line items, tax, amount, and work-order link; confirm; open detail; verify attachment; compare Money and Property/Unit views.</x:v>
      </x:c>
      <x:c r="M1971" s="35" t="str">
        <x:v>One expense exists at its real operational scope, cash falls once, Schedule E category and allocations agree, and no per-unit copies are created.</x:v>
      </x:c>
      <x:c r="N1971" s="35" t="str">
        <x:v>Source preview; review/form; expense detail; line items; Property/Unit ledger; audit; accounting/report delta.</x:v>
      </x:c>
      <x:c r="O1971" s="35" t="str">
        <x:v>On marked duplicate-invoice cases, re-upload before confirm and prove the product prevents or clearly warns about duplication.</x:v>
      </x:c>
      <x:c r="P1971" s="35" t="str">
        <x:v>All expected records and amounts match; no unexplained error or stale state.</x:v>
      </x:c>
    </x:row>
    <x:row r="1972">
      <x:c r="A1972" s="20" t="str">
        <x:v>RUN-20271228-17</x:v>
      </x:c>
      <x:c r="B1972" s="23" t="n">
        <x:v>46749</x:v>
      </x:c>
      <x:c r="C1972" s="32" t="n">
        <x:v>17</x:v>
      </x:c>
      <x:c r="D1972" s="20" t="str">
        <x:v>Weekly operations</x:v>
      </x:c>
      <x:c r="E1972" s="20" t="str">
        <x:v>Property Manager</x:v>
      </x:c>
      <x:c r="F1972" s="20" t="str">
        <x:v>Web</x:v>
      </x:c>
      <x:c r="G1972" s="20" t="str">
        <x:v>Scanned receipt/invoice</x:v>
      </x:c>
      <x:c r="H1972" s="35" t="str">
        <x:v>Record, review, allocate, and pay operating expense</x:v>
      </x:c>
      <x:c r="I1972" s="35" t="str">
        <x:v>P016; Property scope; </x:v>
      </x:c>
      <x:c r="J1972" s="35" t="str">
        <x:v>SCN-0853</x:v>
      </x:c>
      <x:c r="K1972" s="35" t="str">
        <x:v>FIN-01579</x:v>
      </x:c>
      <x:c r="L1972" s="35" t="str">
        <x:v>Capture or upload the source; verify vendor, date, scope, category, line items, tax, amount, and work-order link; confirm; open detail; verify attachment; compare Money and Property/Unit views.</x:v>
      </x:c>
      <x:c r="M1972" s="35" t="str">
        <x:v>One expense exists at its real operational scope, cash falls once, Schedule E category and allocations agree, and no per-unit copies are created.</x:v>
      </x:c>
      <x:c r="N1972" s="35" t="str">
        <x:v>Source preview; review/form; expense detail; line items; Property/Unit ledger; audit; accounting/report delta.</x:v>
      </x:c>
      <x:c r="O1972" s="35" t="str">
        <x:v>On marked duplicate-invoice cases, re-upload before confirm and prove the product prevents or clearly warns about duplication.</x:v>
      </x:c>
      <x:c r="P1972" s="35" t="str">
        <x:v>All expected records and amounts match; no unexplained error or stale state.</x:v>
      </x:c>
    </x:row>
    <x:row r="1973">
      <x:c r="A1973" s="20" t="str">
        <x:v>RUN-20271228-18</x:v>
      </x:c>
      <x:c r="B1973" s="23" t="n">
        <x:v>46749</x:v>
      </x:c>
      <x:c r="C1973" s="32" t="n">
        <x:v>18</x:v>
      </x:c>
      <x:c r="D1973" s="20" t="str">
        <x:v>Weekly operations</x:v>
      </x:c>
      <x:c r="E1973" s="20" t="str">
        <x:v>Property Manager</x:v>
      </x:c>
      <x:c r="F1973" s="20" t="str">
        <x:v>Mobile</x:v>
      </x:c>
      <x:c r="G1973" s="20" t="str">
        <x:v>Scanned receipt/invoice</x:v>
      </x:c>
      <x:c r="H1973" s="35" t="str">
        <x:v>Record, review, allocate, and pay operating expense</x:v>
      </x:c>
      <x:c r="I1973" s="35" t="str">
        <x:v>P017; Property scope; </x:v>
      </x:c>
      <x:c r="J1973" s="35" t="str">
        <x:v>SCN-0858</x:v>
      </x:c>
      <x:c r="K1973" s="35" t="str">
        <x:v>FIN-01584</x:v>
      </x:c>
      <x:c r="L1973" s="35" t="str">
        <x:v>Capture or upload the source; verify vendor, date, scope, category, line items, tax, amount, and work-order link; confirm; open detail; verify attachment; compare Money and Property/Unit views.</x:v>
      </x:c>
      <x:c r="M1973" s="35" t="str">
        <x:v>One expense exists at its real operational scope, cash falls once, Schedule E category and allocations agree, and no per-unit copies are created.</x:v>
      </x:c>
      <x:c r="N1973" s="35" t="str">
        <x:v>Source preview; review/form; expense detail; line items; Property/Unit ledger; audit; accounting/report delta.</x:v>
      </x:c>
      <x:c r="O1973" s="35" t="str">
        <x:v>On marked duplicate-invoice cases, re-upload before confirm and prove the product prevents or clearly warns about duplication.</x:v>
      </x:c>
      <x:c r="P1973" s="35" t="str">
        <x:v>All expected records and amounts match; no unexplained error or stale state.</x:v>
      </x:c>
    </x:row>
    <x:row r="1974">
      <x:c r="A1974" s="20" t="str">
        <x:v>RUN-20271228-19</x:v>
      </x:c>
      <x:c r="B1974" s="23" t="n">
        <x:v>46749</x:v>
      </x:c>
      <x:c r="C1974" s="32" t="n">
        <x:v>19</x:v>
      </x:c>
      <x:c r="D1974" s="20" t="str">
        <x:v>Weekly operations</x:v>
      </x:c>
      <x:c r="E1974" s="20" t="str">
        <x:v>Property Manager</x:v>
      </x:c>
      <x:c r="F1974" s="20" t="str">
        <x:v>Web</x:v>
      </x:c>
      <x:c r="G1974" s="20" t="str">
        <x:v>Scanned receipt/invoice</x:v>
      </x:c>
      <x:c r="H1974" s="35" t="str">
        <x:v>Record, review, allocate, and pay operating expense</x:v>
      </x:c>
      <x:c r="I1974" s="35" t="str">
        <x:v>P018; Property scope; </x:v>
      </x:c>
      <x:c r="J1974" s="35" t="str">
        <x:v>SCN-0863</x:v>
      </x:c>
      <x:c r="K1974" s="35" t="str">
        <x:v>FIN-01589</x:v>
      </x:c>
      <x:c r="L1974" s="35" t="str">
        <x:v>Capture or upload the source; verify vendor, date, scope, category, line items, tax, amount, and work-order link; confirm; open detail; verify attachment; compare Money and Property/Unit views.</x:v>
      </x:c>
      <x:c r="M1974" s="35" t="str">
        <x:v>One expense exists at its real operational scope, cash falls once, Schedule E category and allocations agree, and no per-unit copies are created.</x:v>
      </x:c>
      <x:c r="N1974" s="35" t="str">
        <x:v>Source preview; review/form; expense detail; line items; Property/Unit ledger; audit; accounting/report delta.</x:v>
      </x:c>
      <x:c r="O1974" s="35" t="str">
        <x:v>On marked duplicate-invoice cases, re-upload before confirm and prove the product prevents or clearly warns about duplication.</x:v>
      </x:c>
      <x:c r="P1974" s="35" t="str">
        <x:v>All expected records and amounts match; no unexplained error or stale state.</x:v>
      </x:c>
    </x:row>
    <x:row r="1975">
      <x:c r="A1975" s="20" t="str">
        <x:v>RUN-20271228-20</x:v>
      </x:c>
      <x:c r="B1975" s="23" t="n">
        <x:v>46749</x:v>
      </x:c>
      <x:c r="C1975" s="32" t="n">
        <x:v>20</x:v>
      </x:c>
      <x:c r="D1975" s="20" t="str">
        <x:v>Weekly operations</x:v>
      </x:c>
      <x:c r="E1975" s="20" t="str">
        <x:v>Property Manager</x:v>
      </x:c>
      <x:c r="F1975" s="20" t="str">
        <x:v>Mobile</x:v>
      </x:c>
      <x:c r="G1975" s="20" t="str">
        <x:v>Scanned receipt/invoice</x:v>
      </x:c>
      <x:c r="H1975" s="35" t="str">
        <x:v>Record, review, allocate, and pay operating expense</x:v>
      </x:c>
      <x:c r="I1975" s="35" t="str">
        <x:v>P019; Property scope; </x:v>
      </x:c>
      <x:c r="J1975" s="35" t="str">
        <x:v>SCN-0868</x:v>
      </x:c>
      <x:c r="K1975" s="35" t="str">
        <x:v>FIN-01594</x:v>
      </x:c>
      <x:c r="L1975" s="35" t="str">
        <x:v>Capture or upload the source; verify vendor, date, scope, category, line items, tax, amount, and work-order link; confirm; open detail; verify attachment; compare Money and Property/Unit views.</x:v>
      </x:c>
      <x:c r="M1975" s="35" t="str">
        <x:v>One expense exists at its real operational scope, cash falls once, Schedule E category and allocations agree, and no per-unit copies are created.</x:v>
      </x:c>
      <x:c r="N1975" s="35" t="str">
        <x:v>Source preview; review/form; expense detail; line items; Property/Unit ledger; audit; accounting/report delta.</x:v>
      </x:c>
      <x:c r="O1975" s="35" t="str">
        <x:v>On marked duplicate-invoice cases, re-upload before confirm and prove the product prevents or clearly warns about duplication.</x:v>
      </x:c>
      <x:c r="P1975" s="35" t="str">
        <x:v>All expected records and amounts match; no unexplained error or stale state.</x:v>
      </x:c>
    </x:row>
    <x:row r="1976">
      <x:c r="A1976" s="20" t="str">
        <x:v>RUN-20271228-21</x:v>
      </x:c>
      <x:c r="B1976" s="23" t="n">
        <x:v>46749</x:v>
      </x:c>
      <x:c r="C1976" s="32" t="n">
        <x:v>21</x:v>
      </x:c>
      <x:c r="D1976" s="20" t="str">
        <x:v>Weekly operations</x:v>
      </x:c>
      <x:c r="E1976" s="20" t="str">
        <x:v>Property Manager</x:v>
      </x:c>
      <x:c r="F1976" s="20" t="str">
        <x:v>Web</x:v>
      </x:c>
      <x:c r="G1976" s="20" t="str">
        <x:v>Manual mobile form</x:v>
      </x:c>
      <x:c r="H1976" s="35" t="str">
        <x:v>Record, review, allocate, and pay operating expense</x:v>
      </x:c>
      <x:c r="I1976" s="35" t="str">
        <x:v>P020; Property scope; </x:v>
      </x:c>
      <x:c r="J1976" s="35" t="str"/>
      <x:c r="K1976" s="35" t="str">
        <x:v>FIN-01599</x:v>
      </x:c>
      <x:c r="L1976" s="35" t="str">
        <x:v>Capture or upload the source; verify vendor, date, scope, category, line items, tax, amount, and work-order link; confirm; open detail; verify attachment; compare Money and Property/Unit views.</x:v>
      </x:c>
      <x:c r="M1976" s="35" t="str">
        <x:v>One expense exists at its real operational scope, cash falls once, Schedule E category and allocations agree, and no per-unit copies are created.</x:v>
      </x:c>
      <x:c r="N1976" s="35" t="str">
        <x:v>Source preview; review/form; expense detail; line items; Property/Unit ledger; audit; accounting/report delta.</x:v>
      </x:c>
      <x:c r="O1976" s="35" t="str">
        <x:v>On marked duplicate-invoice cases, re-upload before confirm and prove the product prevents or clearly warns about duplication.</x:v>
      </x:c>
      <x:c r="P1976" s="35" t="str">
        <x:v>All expected records and amounts match; no unexplained error or stale state.</x:v>
      </x:c>
    </x:row>
    <x:row r="1977">
      <x:c r="A1977" s="20" t="str">
        <x:v>RUN-20271228-22</x:v>
      </x:c>
      <x:c r="B1977" s="23" t="n">
        <x:v>46749</x:v>
      </x:c>
      <x:c r="C1977" s="32" t="n">
        <x:v>22</x:v>
      </x:c>
      <x:c r="D1977" s="20" t="str">
        <x:v>Weekly operations</x:v>
      </x:c>
      <x:c r="E1977" s="20" t="str">
        <x:v>Property Manager</x:v>
      </x:c>
      <x:c r="F1977" s="20" t="str">
        <x:v>Mobile</x:v>
      </x:c>
      <x:c r="G1977" s="20" t="str">
        <x:v>Scanned receipt/invoice</x:v>
      </x:c>
      <x:c r="H1977" s="35" t="str">
        <x:v>Record, review, allocate, and pay operating expense</x:v>
      </x:c>
      <x:c r="I1977" s="35" t="str">
        <x:v>P021; Property scope; </x:v>
      </x:c>
      <x:c r="J1977" s="35" t="str">
        <x:v>SCN-0873</x:v>
      </x:c>
      <x:c r="K1977" s="35" t="str">
        <x:v>FIN-01604</x:v>
      </x:c>
      <x:c r="L1977" s="35" t="str">
        <x:v>Capture or upload the source; verify vendor, date, scope, category, line items, tax, amount, and work-order link; confirm; open detail; verify attachment; compare Money and Property/Unit views.</x:v>
      </x:c>
      <x:c r="M1977" s="35" t="str">
        <x:v>One expense exists at its real operational scope, cash falls once, Schedule E category and allocations agree, and no per-unit copies are created.</x:v>
      </x:c>
      <x:c r="N1977" s="35" t="str">
        <x:v>Source preview; review/form; expense detail; line items; Property/Unit ledger; audit; accounting/report delta.</x:v>
      </x:c>
      <x:c r="O1977" s="35" t="str">
        <x:v>On marked duplicate-invoice cases, re-upload before confirm and prove the product prevents or clearly warns about duplication.</x:v>
      </x:c>
      <x:c r="P1977" s="35" t="str">
        <x:v>All expected records and amounts match; no unexplained error or stale state.</x:v>
      </x:c>
    </x:row>
    <x:row r="1978">
      <x:c r="A1978" s="20" t="str">
        <x:v>RUN-20271228-23</x:v>
      </x:c>
      <x:c r="B1978" s="23" t="n">
        <x:v>46749</x:v>
      </x:c>
      <x:c r="C1978" s="32" t="n">
        <x:v>23</x:v>
      </x:c>
      <x:c r="D1978" s="20" t="str">
        <x:v>Weekly operations</x:v>
      </x:c>
      <x:c r="E1978" s="20" t="str">
        <x:v>Property Manager</x:v>
      </x:c>
      <x:c r="F1978" s="20" t="str">
        <x:v>Web</x:v>
      </x:c>
      <x:c r="G1978" s="20" t="str">
        <x:v>Scanned receipt/invoice</x:v>
      </x:c>
      <x:c r="H1978" s="35" t="str">
        <x:v>Record, review, allocate, and pay operating expense</x:v>
      </x:c>
      <x:c r="I1978" s="35" t="str">
        <x:v>P022; Property scope; </x:v>
      </x:c>
      <x:c r="J1978" s="35" t="str">
        <x:v>SCN-0878</x:v>
      </x:c>
      <x:c r="K1978" s="35" t="str">
        <x:v>FIN-01609</x:v>
      </x:c>
      <x:c r="L1978" s="35" t="str">
        <x:v>Capture or upload the source; verify vendor, date, scope, category, line items, tax, amount, and work-order link; confirm; open detail; verify attachment; compare Money and Property/Unit views.</x:v>
      </x:c>
      <x:c r="M1978" s="35" t="str">
        <x:v>One expense exists at its real operational scope, cash falls once, Schedule E category and allocations agree, and no per-unit copies are created.</x:v>
      </x:c>
      <x:c r="N1978" s="35" t="str">
        <x:v>Source preview; review/form; expense detail; line items; Property/Unit ledger; audit; accounting/report delta.</x:v>
      </x:c>
      <x:c r="O1978" s="35" t="str">
        <x:v>On marked duplicate-invoice cases, re-upload before confirm and prove the product prevents or clearly warns about duplication.</x:v>
      </x:c>
      <x:c r="P1978" s="35" t="str">
        <x:v>All expected records and amounts match; no unexplained error or stale state.</x:v>
      </x:c>
    </x:row>
    <x:row r="1979">
      <x:c r="A1979" s="20" t="str">
        <x:v>RUN-20271228-24</x:v>
      </x:c>
      <x:c r="B1979" s="23" t="n">
        <x:v>46749</x:v>
      </x:c>
      <x:c r="C1979" s="32" t="n">
        <x:v>24</x:v>
      </x:c>
      <x:c r="D1979" s="20" t="str">
        <x:v>Weekly operations</x:v>
      </x:c>
      <x:c r="E1979" s="20" t="str">
        <x:v>Property Manager</x:v>
      </x:c>
      <x:c r="F1979" s="20" t="str">
        <x:v>Mobile</x:v>
      </x:c>
      <x:c r="G1979" s="20" t="str">
        <x:v>Scanned receipt/invoice</x:v>
      </x:c>
      <x:c r="H1979" s="35" t="str">
        <x:v>Record, review, allocate, and pay operating expense</x:v>
      </x:c>
      <x:c r="I1979" s="35" t="str">
        <x:v>P023; Property scope; </x:v>
      </x:c>
      <x:c r="J1979" s="35" t="str">
        <x:v>SCN-0883</x:v>
      </x:c>
      <x:c r="K1979" s="35" t="str">
        <x:v>FIN-01614</x:v>
      </x:c>
      <x:c r="L1979" s="35" t="str">
        <x:v>Capture or upload the source; verify vendor, date, scope, category, line items, tax, amount, and work-order link; confirm; open detail; verify attachment; compare Money and Property/Unit views.</x:v>
      </x:c>
      <x:c r="M1979" s="35" t="str">
        <x:v>One expense exists at its real operational scope, cash falls once, Schedule E category and allocations agree, and no per-unit copies are created.</x:v>
      </x:c>
      <x:c r="N1979" s="35" t="str">
        <x:v>Source preview; review/form; expense detail; line items; Property/Unit ledger; audit; accounting/report delta.</x:v>
      </x:c>
      <x:c r="O1979" s="35" t="str">
        <x:v>On marked duplicate-invoice cases, re-upload before confirm and prove the product prevents or clearly warns about duplication.</x:v>
      </x:c>
      <x:c r="P1979" s="35" t="str">
        <x:v>All expected records and amounts match; no unexplained error or stale state.</x:v>
      </x:c>
    </x:row>
    <x:row r="1980">
      <x:c r="A1980" s="20" t="str">
        <x:v>RUN-20271228-25</x:v>
      </x:c>
      <x:c r="B1980" s="23" t="n">
        <x:v>46749</x:v>
      </x:c>
      <x:c r="C1980" s="32" t="n">
        <x:v>25</x:v>
      </x:c>
      <x:c r="D1980" s="20" t="str">
        <x:v>Weekly operations</x:v>
      </x:c>
      <x:c r="E1980" s="20" t="str">
        <x:v>Property Manager</x:v>
      </x:c>
      <x:c r="F1980" s="20" t="str">
        <x:v>Web</x:v>
      </x:c>
      <x:c r="G1980" s="20" t="str">
        <x:v>Scanned receipt/invoice</x:v>
      </x:c>
      <x:c r="H1980" s="35" t="str">
        <x:v>Record, review, allocate, and pay operating expense</x:v>
      </x:c>
      <x:c r="I1980" s="35" t="str">
        <x:v>P024; Property scope; </x:v>
      </x:c>
      <x:c r="J1980" s="35" t="str">
        <x:v>SCN-0888</x:v>
      </x:c>
      <x:c r="K1980" s="35" t="str">
        <x:v>FIN-01619</x:v>
      </x:c>
      <x:c r="L1980" s="35" t="str">
        <x:v>Capture or upload the source; verify vendor, date, scope, category, line items, tax, amount, and work-order link; confirm; open detail; verify attachment; compare Money and Property/Unit views.</x:v>
      </x:c>
      <x:c r="M1980" s="35" t="str">
        <x:v>One expense exists at its real operational scope, cash falls once, Schedule E category and allocations agree, and no per-unit copies are created.</x:v>
      </x:c>
      <x:c r="N1980" s="35" t="str">
        <x:v>Source preview; review/form; expense detail; line items; Property/Unit ledger; audit; accounting/report delta.</x:v>
      </x:c>
      <x:c r="O1980" s="35" t="str">
        <x:v>On marked duplicate-invoice cases, re-upload before confirm and prove the product prevents or clearly warns about duplication.</x:v>
      </x:c>
      <x:c r="P1980" s="35" t="str">
        <x:v>All expected records and amounts match; no unexplained error or stale state.</x:v>
      </x:c>
    </x:row>
    <x:row r="1981">
      <x:c r="A1981" s="20" t="str">
        <x:v>RUN-20271228-26</x:v>
      </x:c>
      <x:c r="B1981" s="23" t="n">
        <x:v>46749</x:v>
      </x:c>
      <x:c r="C1981" s="32" t="n">
        <x:v>26</x:v>
      </x:c>
      <x:c r="D1981" s="20" t="str">
        <x:v>Weekly operations</x:v>
      </x:c>
      <x:c r="E1981" s="20" t="str">
        <x:v>Property Manager</x:v>
      </x:c>
      <x:c r="F1981" s="20" t="str">
        <x:v>Mobile</x:v>
      </x:c>
      <x:c r="G1981" s="20" t="str">
        <x:v>Manual web form</x:v>
      </x:c>
      <x:c r="H1981" s="35" t="str">
        <x:v>Record, review, allocate, and pay operating expense</x:v>
      </x:c>
      <x:c r="I1981" s="35" t="str">
        <x:v>P025; Property scope; </x:v>
      </x:c>
      <x:c r="J1981" s="35" t="str"/>
      <x:c r="K1981" s="35" t="str">
        <x:v>FIN-01624</x:v>
      </x:c>
      <x:c r="L1981" s="35" t="str">
        <x:v>Capture or upload the source; verify vendor, date, scope, category, line items, tax, amount, and work-order link; confirm; open detail; verify attachment; compare Money and Property/Unit views.</x:v>
      </x:c>
      <x:c r="M1981" s="35" t="str">
        <x:v>One expense exists at its real operational scope, cash falls once, Schedule E category and allocations agree, and no per-unit copies are created.</x:v>
      </x:c>
      <x:c r="N1981" s="35" t="str">
        <x:v>Source preview; review/form; expense detail; line items; Property/Unit ledger; audit; accounting/report delta.</x:v>
      </x:c>
      <x:c r="O1981" s="35" t="str">
        <x:v>On marked duplicate-invoice cases, re-upload before confirm and prove the product prevents or clearly warns about duplication.</x:v>
      </x:c>
      <x:c r="P1981" s="35" t="str">
        <x:v>All expected records and amounts match; no unexplained error or stale state.</x:v>
      </x:c>
    </x:row>
    <x:row r="1982">
      <x:c r="A1982" s="20" t="str">
        <x:v>RUN-20271228-27</x:v>
      </x:c>
      <x:c r="B1982" s="23" t="n">
        <x:v>46749</x:v>
      </x:c>
      <x:c r="C1982" s="32" t="n">
        <x:v>27</x:v>
      </x:c>
      <x:c r="D1982" s="20" t="str">
        <x:v>Weekly operations</x:v>
      </x:c>
      <x:c r="E1982" s="20" t="str">
        <x:v>Property Manager</x:v>
      </x:c>
      <x:c r="F1982" s="20" t="str">
        <x:v>Web</x:v>
      </x:c>
      <x:c r="G1982" s="20" t="str">
        <x:v>Scanned receipt/invoice</x:v>
      </x:c>
      <x:c r="H1982" s="35" t="str">
        <x:v>Record, review, allocate, and pay operating expense</x:v>
      </x:c>
      <x:c r="I1982" s="35" t="str">
        <x:v>P026; Property scope; </x:v>
      </x:c>
      <x:c r="J1982" s="35" t="str">
        <x:v>SCN-0893</x:v>
      </x:c>
      <x:c r="K1982" s="35" t="str">
        <x:v>FIN-01629</x:v>
      </x:c>
      <x:c r="L1982" s="35" t="str">
        <x:v>Capture or upload the source; verify vendor, date, scope, category, line items, tax, amount, and work-order link; confirm; open detail; verify attachment; compare Money and Property/Unit views.</x:v>
      </x:c>
      <x:c r="M1982" s="35" t="str">
        <x:v>One expense exists at its real operational scope, cash falls once, Schedule E category and allocations agree, and no per-unit copies are created.</x:v>
      </x:c>
      <x:c r="N1982" s="35" t="str">
        <x:v>Source preview; review/form; expense detail; line items; Property/Unit ledger; audit; accounting/report delta.</x:v>
      </x:c>
      <x:c r="O1982" s="35" t="str">
        <x:v>On marked duplicate-invoice cases, re-upload before confirm and prove the product prevents or clearly warns about duplication.</x:v>
      </x:c>
      <x:c r="P1982" s="35" t="str">
        <x:v>All expected records and amounts match; no unexplained error or stale state.</x:v>
      </x:c>
    </x:row>
    <x:row r="1983">
      <x:c r="A1983" s="20" t="str">
        <x:v>RUN-20271228-28</x:v>
      </x:c>
      <x:c r="B1983" s="23" t="n">
        <x:v>46749</x:v>
      </x:c>
      <x:c r="C1983" s="32" t="n">
        <x:v>28</x:v>
      </x:c>
      <x:c r="D1983" s="20" t="str">
        <x:v>Weekly operations</x:v>
      </x:c>
      <x:c r="E1983" s="20" t="str">
        <x:v>Property Manager</x:v>
      </x:c>
      <x:c r="F1983" s="20" t="str">
        <x:v>Mobile</x:v>
      </x:c>
      <x:c r="G1983" s="20" t="str">
        <x:v>Scanned receipt/invoice</x:v>
      </x:c>
      <x:c r="H1983" s="35" t="str">
        <x:v>Record, review, allocate, and pay operating expense</x:v>
      </x:c>
      <x:c r="I1983" s="35" t="str">
        <x:v>P027; Property scope; </x:v>
      </x:c>
      <x:c r="J1983" s="35" t="str">
        <x:v>SCN-0898</x:v>
      </x:c>
      <x:c r="K1983" s="35" t="str">
        <x:v>FIN-01634</x:v>
      </x:c>
      <x:c r="L1983" s="35" t="str">
        <x:v>Capture or upload the source; verify vendor, date, scope, category, line items, tax, amount, and work-order link; confirm; open detail; verify attachment; compare Money and Property/Unit views.</x:v>
      </x:c>
      <x:c r="M1983" s="35" t="str">
        <x:v>One expense exists at its real operational scope, cash falls once, Schedule E category and allocations agree, and no per-unit copies are created.</x:v>
      </x:c>
      <x:c r="N1983" s="35" t="str">
        <x:v>Source preview; review/form; expense detail; line items; Property/Unit ledger; audit; accounting/report delta.</x:v>
      </x:c>
      <x:c r="O1983" s="35" t="str">
        <x:v>On marked duplicate-invoice cases, re-upload before confirm and prove the product prevents or clearly warns about duplication.</x:v>
      </x:c>
      <x:c r="P1983" s="35" t="str">
        <x:v>All expected records and amounts match; no unexplained error or stale state.</x:v>
      </x:c>
    </x:row>
    <x:row r="1984">
      <x:c r="A1984" s="20" t="str">
        <x:v>RUN-20271228-29</x:v>
      </x:c>
      <x:c r="B1984" s="23" t="n">
        <x:v>46749</x:v>
      </x:c>
      <x:c r="C1984" s="32" t="n">
        <x:v>29</x:v>
      </x:c>
      <x:c r="D1984" s="20" t="str">
        <x:v>Weekly operations</x:v>
      </x:c>
      <x:c r="E1984" s="20" t="str">
        <x:v>Property Manager</x:v>
      </x:c>
      <x:c r="F1984" s="20" t="str">
        <x:v>Web</x:v>
      </x:c>
      <x:c r="G1984" s="20" t="str">
        <x:v>Scanned receipt/invoice</x:v>
      </x:c>
      <x:c r="H1984" s="35" t="str">
        <x:v>Record, review, allocate, and pay operating expense</x:v>
      </x:c>
      <x:c r="I1984" s="35" t="str">
        <x:v>P028; Property scope; </x:v>
      </x:c>
      <x:c r="J1984" s="35" t="str">
        <x:v>SCN-0903</x:v>
      </x:c>
      <x:c r="K1984" s="35" t="str">
        <x:v>FIN-01639</x:v>
      </x:c>
      <x:c r="L1984" s="35" t="str">
        <x:v>Capture or upload the source; verify vendor, date, scope, category, line items, tax, amount, and work-order link; confirm; open detail; verify attachment; compare Money and Property/Unit views.</x:v>
      </x:c>
      <x:c r="M1984" s="35" t="str">
        <x:v>One expense exists at its real operational scope, cash falls once, Schedule E category and allocations agree, and no per-unit copies are created.</x:v>
      </x:c>
      <x:c r="N1984" s="35" t="str">
        <x:v>Source preview; review/form; expense detail; line items; Property/Unit ledger; audit; accounting/report delta.</x:v>
      </x:c>
      <x:c r="O1984" s="35" t="str">
        <x:v>On marked duplicate-invoice cases, re-upload before confirm and prove the product prevents or clearly warns about duplication.</x:v>
      </x:c>
      <x:c r="P1984" s="35" t="str">
        <x:v>All expected records and amounts match; no unexplained error or stale state.</x:v>
      </x:c>
    </x:row>
    <x:row r="1985">
      <x:c r="A1985" s="20" t="str">
        <x:v>RUN-20271228-30</x:v>
      </x:c>
      <x:c r="B1985" s="23" t="n">
        <x:v>46749</x:v>
      </x:c>
      <x:c r="C1985" s="32" t="n">
        <x:v>30</x:v>
      </x:c>
      <x:c r="D1985" s="20" t="str">
        <x:v>Weekly operations</x:v>
      </x:c>
      <x:c r="E1985" s="20" t="str">
        <x:v>Property Manager</x:v>
      </x:c>
      <x:c r="F1985" s="20" t="str">
        <x:v>Mobile</x:v>
      </x:c>
      <x:c r="G1985" s="20" t="str">
        <x:v>Scanned receipt/invoice</x:v>
      </x:c>
      <x:c r="H1985" s="35" t="str">
        <x:v>Record, review, allocate, and pay operating expense</x:v>
      </x:c>
      <x:c r="I1985" s="35" t="str">
        <x:v>P029; Property scope; </x:v>
      </x:c>
      <x:c r="J1985" s="35" t="str">
        <x:v>SCN-0908</x:v>
      </x:c>
      <x:c r="K1985" s="35" t="str">
        <x:v>FIN-01644</x:v>
      </x:c>
      <x:c r="L1985" s="35" t="str">
        <x:v>Capture or upload the source; verify vendor, date, scope, category, line items, tax, amount, and work-order link; confirm; open detail; verify attachment; compare Money and Property/Unit views.</x:v>
      </x:c>
      <x:c r="M1985" s="35" t="str">
        <x:v>One expense exists at its real operational scope, cash falls once, Schedule E category and allocations agree, and no per-unit copies are created.</x:v>
      </x:c>
      <x:c r="N1985" s="35" t="str">
        <x:v>Source preview; review/form; expense detail; line items; Property/Unit ledger; audit; accounting/report delta.</x:v>
      </x:c>
      <x:c r="O1985" s="35" t="str">
        <x:v>On marked duplicate-invoice cases, re-upload before confirm and prove the product prevents or clearly warns about duplication.</x:v>
      </x:c>
      <x:c r="P1985" s="35" t="str">
        <x:v>All expected records and amounts match; no unexplained error or stale state.</x:v>
      </x:c>
    </x:row>
    <x:row r="1986">
      <x:c r="A1986" s="20" t="str">
        <x:v>RUN-20271228-31</x:v>
      </x:c>
      <x:c r="B1986" s="23" t="n">
        <x:v>46749</x:v>
      </x:c>
      <x:c r="C1986" s="32" t="n">
        <x:v>31</x:v>
      </x:c>
      <x:c r="D1986" s="20" t="str">
        <x:v>Weekly operations</x:v>
      </x:c>
      <x:c r="E1986" s="20" t="str">
        <x:v>Property Manager</x:v>
      </x:c>
      <x:c r="F1986" s="20" t="str">
        <x:v>Web</x:v>
      </x:c>
      <x:c r="G1986" s="20" t="str">
        <x:v>Manual mobile form</x:v>
      </x:c>
      <x:c r="H1986" s="35" t="str">
        <x:v>Record, review, allocate, and pay operating expense</x:v>
      </x:c>
      <x:c r="I1986" s="35" t="str">
        <x:v>P030; Property scope; </x:v>
      </x:c>
      <x:c r="J1986" s="35" t="str"/>
      <x:c r="K1986" s="35" t="str">
        <x:v>FIN-01649</x:v>
      </x:c>
      <x:c r="L1986" s="35" t="str">
        <x:v>Capture or upload the source; verify vendor, date, scope, category, line items, tax, amount, and work-order link; confirm; open detail; verify attachment; compare Money and Property/Unit views.</x:v>
      </x:c>
      <x:c r="M1986" s="35" t="str">
        <x:v>One expense exists at its real operational scope, cash falls once, Schedule E category and allocations agree, and no per-unit copies are created.</x:v>
      </x:c>
      <x:c r="N1986" s="35" t="str">
        <x:v>Source preview; review/form; expense detail; line items; Property/Unit ledger; audit; accounting/report delta.</x:v>
      </x:c>
      <x:c r="O1986" s="35" t="str">
        <x:v>On marked duplicate-invoice cases, re-upload before confirm and prove the product prevents or clearly warns about duplication.</x:v>
      </x:c>
      <x:c r="P1986" s="35" t="str">
        <x:v>All expected records and amounts match; no unexplained error or stale state.</x:v>
      </x:c>
    </x:row>
    <x:row r="1987">
      <x:c r="A1987" s="20" t="str">
        <x:v>RUN-20271228-32</x:v>
      </x:c>
      <x:c r="B1987" s="23" t="n">
        <x:v>46749</x:v>
      </x:c>
      <x:c r="C1987" s="32" t="n">
        <x:v>32</x:v>
      </x:c>
      <x:c r="D1987" s="20" t="str">
        <x:v>Field certification</x:v>
      </x:c>
      <x:c r="E1987" s="20" t="str">
        <x:v>Applicant / public user</x:v>
      </x:c>
      <x:c r="F1987" s="20" t="str">
        <x:v>Mobile</x:v>
      </x:c>
      <x:c r="G1987" s="20" t="str">
        <x:v>Manual field-by-field</x:v>
      </x:c>
      <x:c r="H1987" s="35" t="str">
        <x:v>Fill, save, reload, edit, and validate every declared field on features/vendors/rate_vendor_sheet.dart</x:v>
      </x:c>
      <x:c r="I1987" s="35" t="str">
        <x:v>FLD-1082</x:v>
      </x:c>
      <x:c r="J1987" s="35" t="str"/>
      <x:c r="K1987" s="35" t="str"/>
      <x:c r="L1987" s="35" t="str">
        <x:v>Use the source-derived Field Inventory. Enter non-default realistic values in every control (_commentCtrl); submit; reload or relaunch; compare every value; edit each mutable field; verify the paired client; then run required, format, length, range, boundary, optional-null, and stale-submit checks.</x:v>
      </x:c>
      <x:c r="M1987" s="35" t="str">
        <x:v>All 1 inventoried controls persist exact normalized values, invalid values stay unsaved with clear errors, and hidden/unauthorized fields cannot be altered.</x:v>
      </x:c>
      <x:c r="N1987" s="35" t="str">
        <x:v>Before/after form screenshots; FLD IDs; API response; reloaded UI; paired-client read-back; database/audit evidence; negative validation result.</x:v>
      </x:c>
      <x:c r="O1987" s="35" t="str">
        <x:v>Use a duplicate submit and one simulated network interruption; one atomic mutation or none, never partial state.</x:v>
      </x:c>
      <x:c r="P1987" s="35" t="str">
        <x:v>All expected records and amounts match; no unexplained error or stale state.</x:v>
      </x:c>
    </x:row>
    <x:row r="1988">
      <x:c r="A1988" s="20" t="str">
        <x:v>RUN-20271228-33</x:v>
      </x:c>
      <x:c r="B1988" s="23" t="n">
        <x:v>46749</x:v>
      </x:c>
      <x:c r="C1988" s="32" t="n">
        <x:v>33</x:v>
      </x:c>
      <x:c r="D1988" s="20" t="str">
        <x:v>Field certification</x:v>
      </x:c>
      <x:c r="E1988" s="20" t="str">
        <x:v>Applicant / public user</x:v>
      </x:c>
      <x:c r="F1988" s="20" t="str">
        <x:v>Mobile</x:v>
      </x:c>
      <x:c r="G1988" s="20" t="str">
        <x:v>Manual field-by-field</x:v>
      </x:c>
      <x:c r="H1988" s="35" t="str">
        <x:v>Fill, save, reload, edit, and validate every declared field on features/vendors/vendor_form_sheet.dart</x:v>
      </x:c>
      <x:c r="I1988" s="35" t="str">
        <x:v>FLD-1083; FLD-1084; FLD-1085; FLD-1086</x:v>
      </x:c>
      <x:c r="J1988" s="35" t="str"/>
      <x:c r="K1988" s="35" t="str"/>
      <x:c r="L1988" s="35" t="str">
        <x:v>Use the source-derived Field Inventory. Enter non-default realistic values in every control (_nameCtrl; _serviceCtrl; _emailCtrl; _phoneCtrl); submit; reload or relaunch; compare every value; edit each mutable field; verify the paired client; then run required, format, length, range, boundary, optional-null, and stale-submit checks.</x:v>
      </x:c>
      <x:c r="M1988" s="35" t="str">
        <x:v>All 4 inventoried controls persist exact normalized values, invalid values stay unsaved with clear errors, and hidden/unauthorized fields cannot be altered.</x:v>
      </x:c>
      <x:c r="N1988" s="35" t="str">
        <x:v>Before/after form screenshots; FLD IDs; API response; reloaded UI; paired-client read-back; database/audit evidence; negative validation result.</x:v>
      </x:c>
      <x:c r="O1988" s="35" t="str">
        <x:v>Use a duplicate submit and one simulated network interruption; one atomic mutation or none, never partial state.</x:v>
      </x:c>
      <x:c r="P1988" s="35" t="str">
        <x:v>All expected records and amounts match; no unexplained error or stale state.</x:v>
      </x:c>
    </x:row>
    <x:row r="1989">
      <x:c r="A1989" s="20" t="str">
        <x:v>RUN-20271228-34</x:v>
      </x:c>
      <x:c r="B1989" s="23" t="n">
        <x:v>46749</x:v>
      </x:c>
      <x:c r="C1989" s="32" t="n">
        <x:v>34</x:v>
      </x:c>
      <x:c r="D1989" s="20" t="str">
        <x:v>Surface coverage</x:v>
      </x:c>
      <x:c r="E1989" s="20" t="str">
        <x:v>Role appropriate to surface</x:v>
      </x:c>
      <x:c r="F1989" s="20" t="str">
        <x:v>Mobile</x:v>
      </x:c>
      <x:c r="G1989" s="20" t="str">
        <x:v>Manual</x:v>
      </x:c>
      <x:c r="H1989" s="35" t="str">
        <x:v>Manual mobile pass: Docs, privacy, public apply/sign, deep links</x:v>
      </x:c>
      <x:c r="I1989" s="35" t="str">
        <x:v>COV-046</x:v>
      </x:c>
      <x:c r="J1989" s="35" t="str"/>
      <x:c r="K1989" s="35" t="str"/>
      <x:c r="L1989" s="35" t="str">
        <x:v>Open help/privacy, invalid/expired public tokens, valid apply/sign links, Android app links, and browser/mobile back behavior.</x:v>
      </x:c>
      <x:c r="M1989" s="35" t="str">
        <x:v>The supported workflow completes and persists correctly; if the capability is absent, the exact gap is proven and queued rather than silently skipped.</x:v>
      </x:c>
      <x:c r="N1989" s="35" t="str">
        <x:v>Real UI screenshot/state; submitted values; persisted read-back; cross-client read-back; audit/role/access evidence.</x:v>
      </x:c>
      <x:c r="O1989" s="35" t="str">
        <x:v>Use one invalid value, stale-state retry, or duplicate submission relevant to the form; no partial or duplicate mutation.</x:v>
      </x:c>
      <x:c r="P1989" s="35" t="str">
        <x:v>All expected records and amounts match; no unexplained error or stale state.</x:v>
      </x:c>
    </x:row>
    <x:row r="1990">
      <x:c r="A1990" s="20" t="str">
        <x:v>RUN-20271229-01</x:v>
      </x:c>
      <x:c r="B1990" s="23" t="n">
        <x:v>46750</x:v>
      </x:c>
      <x:c r="C1990" s="32" t="n">
        <x:v>1</x:v>
      </x:c>
      <x:c r="D1990" s="20" t="str">
        <x:v>Role and screen certification</x:v>
      </x:c>
      <x:c r="E1990" s="20" t="str">
        <x:v>Applicant / public user</x:v>
      </x:c>
      <x:c r="F1990" s="20" t="str">
        <x:v>Mobile</x:v>
      </x:c>
      <x:c r="G1990" s="20" t="str">
        <x:v>Normal persona navigation</x:v>
      </x:c>
      <x:c r="H1990" s="35" t="str">
        <x:v>Use every permitted action and state on features/vendors/vendors_list_screen.dart</x:v>
      </x:c>
      <x:c r="I1990" s="35" t="str">
        <x:v>SCR-198; ROLE-333</x:v>
      </x:c>
      <x:c r="J1990" s="35" t="str"/>
      <x:c r="K1990" s="35" t="str"/>
      <x:c r="L1990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90" s="35" t="str">
        <x:v>The persona can use every allowed action with only its assigned properties/relationships. Hidden or disabled actions explain why; an adjacent unauthorized persona is denied without metadata leakage.</x:v>
      </x:c>
      <x:c r="N1990" s="35" t="str">
        <x:v>Persona/experience; navigation entry; desktop or device screenshots; result state; persisted read-back; audit/history; authorized and denied network result.</x:v>
      </x:c>
      <x:c r="O1990" s="35" t="str">
        <x:v>Open the direct URL or deep link with an adjacent unauthorized persona and with stale scope; both fail closed and land safely without mutation.</x:v>
      </x:c>
      <x:c r="P1990" s="35" t="str">
        <x:v>All expected records and amounts match; no unexplained error or stale state.</x:v>
      </x:c>
    </x:row>
    <x:row r="1991">
      <x:c r="A1991" s="20" t="str">
        <x:v>RUN-20271229-02</x:v>
      </x:c>
      <x:c r="B1991" s="23" t="n">
        <x:v>46750</x:v>
      </x:c>
      <x:c r="C1991" s="32" t="n">
        <x:v>2</x:v>
      </x:c>
      <x:c r="D1991" s="20" t="str">
        <x:v>Field certification</x:v>
      </x:c>
      <x:c r="E1991" s="20" t="str">
        <x:v>Applicant / public user</x:v>
      </x:c>
      <x:c r="F1991" s="20" t="str">
        <x:v>Mobile</x:v>
      </x:c>
      <x:c r="G1991" s="20" t="str">
        <x:v>Manual field-by-field</x:v>
      </x:c>
      <x:c r="H1991" s="35" t="str">
        <x:v>Fill, save, reload, edit, and validate every declared field on features/vendors/vendor_form_sheet.dart</x:v>
      </x:c>
      <x:c r="I1991" s="35" t="str">
        <x:v>FLD-1087; FLD-1088; FLD-1089; FLD-1090</x:v>
      </x:c>
      <x:c r="J1991" s="35" t="str"/>
      <x:c r="K1991" s="35" t="str"/>
      <x:c r="L1991" s="35" t="str">
        <x:v>Use the source-derived Field Inventory. Enter non-default realistic values in every control (_websiteCtrl; _addressCtrl; _cityCtrl; _stateCtrl); submit; reload or relaunch; compare every value; edit each mutable field; verify the paired client; then run required, format, length, range, boundary, optional-null, and stale-submit checks.</x:v>
      </x:c>
      <x:c r="M1991" s="35" t="str">
        <x:v>All 4 inventoried controls persist exact normalized values, invalid values stay unsaved with clear errors, and hidden/unauthorized fields cannot be altered.</x:v>
      </x:c>
      <x:c r="N1991" s="35" t="str">
        <x:v>Before/after form screenshots; FLD IDs; API response; reloaded UI; paired-client read-back; database/audit evidence; negative validation result.</x:v>
      </x:c>
      <x:c r="O1991" s="35" t="str">
        <x:v>Use a duplicate submit and one simulated network interruption; one atomic mutation or none, never partial state.</x:v>
      </x:c>
      <x:c r="P1991" s="35" t="str">
        <x:v>All expected records and amounts match; no unexplained error or stale state.</x:v>
      </x:c>
    </x:row>
    <x:row r="1992">
      <x:c r="A1992" s="20" t="str">
        <x:v>RUN-20271230-01</x:v>
      </x:c>
      <x:c r="B1992" s="23" t="n">
        <x:v>46751</x:v>
      </x:c>
      <x:c r="C1992" s="32" t="n">
        <x:v>1</x:v>
      </x:c>
      <x:c r="D1992" s="20" t="str">
        <x:v>Role and screen certification</x:v>
      </x:c>
      <x:c r="E1992" s="20" t="str">
        <x:v>Applicant / public user</x:v>
      </x:c>
      <x:c r="F1992" s="20" t="str">
        <x:v>Mobile</x:v>
      </x:c>
      <x:c r="G1992" s="20" t="str">
        <x:v>Normal persona navigation</x:v>
      </x:c>
      <x:c r="H1992" s="35" t="str">
        <x:v>Use every permitted action and state on features/voice/tell_me_screen.dart</x:v>
      </x:c>
      <x:c r="I1992" s="35" t="str">
        <x:v>SCR-199; ROLE-334</x:v>
      </x:c>
      <x:c r="J1992" s="35" t="str"/>
      <x:c r="K1992" s="35" t="str"/>
      <x:c r="L1992" s="35" t="str">
        <x:v>Sign in as the assigned real-world persona; reach the surface through normal navigation; exercise every visible tab, action, list control, filter, sort, page, detail link, back path, empty/populated/loading/error state, and supported create/edit transition. Reload and re-open from the opposite client when the entity is shared.</x:v>
      </x:c>
      <x:c r="M1992" s="35" t="str">
        <x:v>The persona can use every allowed action with only its assigned properties/relationships. Hidden or disabled actions explain why; an adjacent unauthorized persona is denied without metadata leakage.</x:v>
      </x:c>
      <x:c r="N1992" s="35" t="str">
        <x:v>Persona/experience; navigation entry; desktop or device screenshots; result state; persisted read-back; audit/history; authorized and denied network result.</x:v>
      </x:c>
      <x:c r="O1992" s="35" t="str">
        <x:v>Open the direct URL or deep link with an adjacent unauthorized persona and with stale scope; both fail closed and land safely without mutation.</x:v>
      </x:c>
      <x:c r="P1992" s="35" t="str">
        <x:v>All expected records and amounts match; no unexplained error or stale state.</x:v>
      </x:c>
    </x:row>
    <x:row r="1993">
      <x:c r="A1993" s="20" t="str">
        <x:v>RUN-20271230-02</x:v>
      </x:c>
      <x:c r="B1993" s="23" t="n">
        <x:v>46751</x:v>
      </x:c>
      <x:c r="C1993" s="32" t="n">
        <x:v>2</x:v>
      </x:c>
      <x:c r="D1993" s="20" t="str">
        <x:v>Field certification</x:v>
      </x:c>
      <x:c r="E1993" s="20" t="str">
        <x:v>Applicant / public user</x:v>
      </x:c>
      <x:c r="F1993" s="20" t="str">
        <x:v>Mobile</x:v>
      </x:c>
      <x:c r="G1993" s="20" t="str">
        <x:v>Manual field-by-field</x:v>
      </x:c>
      <x:c r="H1993" s="35" t="str">
        <x:v>Fill, save, reload, edit, and validate every declared field on features/vendors/vendor_form_sheet.dart</x:v>
      </x:c>
      <x:c r="I1993" s="35" t="str">
        <x:v>FLD-1091; FLD-1092; FLD-1093</x:v>
      </x:c>
      <x:c r="J1993" s="35" t="str"/>
      <x:c r="K1993" s="35" t="str"/>
      <x:c r="L1993" s="35" t="str">
        <x:v>Use the source-derived Field Inventory. Enter non-default realistic values in every control (_postalCtrl; _taxIdCtrl; _notesCtrl); submit; reload or relaunch; compare every value; edit each mutable field; verify the paired client; then run required, format, length, range, boundary, optional-null, and stale-submit checks.</x:v>
      </x:c>
      <x:c r="M1993" s="35" t="str">
        <x:v>All 3 inventoried controls persist exact normalized values, invalid values stay unsaved with clear errors, and hidden/unauthorized fields cannot be altered.</x:v>
      </x:c>
      <x:c r="N1993" s="35" t="str">
        <x:v>Before/after form screenshots; FLD IDs; API response; reloaded UI; paired-client read-back; database/audit evidence; negative validation result.</x:v>
      </x:c>
      <x:c r="O1993" s="35" t="str">
        <x:v>Use a duplicate submit and one simulated network interruption; one atomic mutation or none, never partial state.</x:v>
      </x:c>
      <x:c r="P1993" s="35" t="str">
        <x:v>All expected records and amounts match; no unexplained error or stale state.</x:v>
      </x:c>
    </x:row>
    <x:row r="1994">
      <x:c r="A1994" s="20" t="str">
        <x:v>RUN-20271230-03</x:v>
      </x:c>
      <x:c r="B1994" s="23" t="n">
        <x:v>46751</x:v>
      </x:c>
      <x:c r="C1994" s="32" t="n">
        <x:v>3</x:v>
      </x:c>
      <x:c r="D1994" s="20" t="str">
        <x:v>Lifecycle certification</x:v>
      </x:c>
      <x:c r="E1994" s="20" t="str">
        <x:v>Workspace Administrator</x:v>
      </x:c>
      <x:c r="F1994" s="20" t="str">
        <x:v>Web + Mobile</x:v>
      </x:c>
      <x:c r="G1994" s="20" t="str">
        <x:v>Manual + scan/attachment where supported</x:v>
      </x:c>
      <x:c r="H1994" s="35" t="str">
        <x:v>Complete the full create/read/edit/lifecycle/delete-safe pass for Import batch</x:v>
      </x:c>
      <x:c r="I1994" s="35" t="str">
        <x:v>CRUD-035</x:v>
      </x:c>
      <x:c r="J1994" s="35" t="str"/>
      <x:c r="K1994" s="35" t="str"/>
      <x:c r="L1994" s="35" t="str">
        <x:v>Use a dedicated disposable QA record and execute: upload; map; validate; commit; duplicate; cancel/reject; audit. Fill every field referenced by field-inventory.csv. Verify confirmation copy, cancel path, final path, reload, other-client state, history, and role denial.</x:v>
      </x:c>
      <x:c r="M1994" s="35" t="str">
        <x:v>Every supported transition succeeds exactly once; forbidden destructive actions are guarded; reversible deletion/deactivation works; financial and historical truth is preserved.</x:v>
      </x:c>
      <x:c r="N1994" s="35" t="str">
        <x:v>Entity before/after; both clients; all FLD IDs; audit/history; notifications; authorized and unauthorized personas; API/DB state.</x:v>
      </x:c>
      <x:c r="O1994" s="35" t="str">
        <x:v>Cancel the first destructive confirmation, then repeat and confirm; retry the mutation once; no double transition or orphan.</x:v>
      </x:c>
      <x:c r="P1994" s="35" t="str">
        <x:v>All expected records and amounts match; no unexplained error or stale state.</x:v>
      </x:c>
    </x:row>
    <x:row r="1995">
      <x:c r="A1995" s="20" t="str">
        <x:v>RUN-20271230-04</x:v>
      </x:c>
      <x:c r="B1995" s="23" t="n">
        <x:v>46751</x:v>
      </x:c>
      <x:c r="C1995" s="32" t="n">
        <x:v>4</x:v>
      </x:c>
      <x:c r="D1995" s="20" t="str">
        <x:v>Notification certification</x:v>
      </x:c>
      <x:c r="E1995" s="20" t="str">
        <x:v>Owner + Property Manager</x:v>
      </x:c>
      <x:c r="F1995" s="20" t="str">
        <x:v>Web + Mobile</x:v>
      </x:c>
      <x:c r="G1995" s="20" t="str">
        <x:v>System event + preference/manual verification</x:v>
      </x:c>
      <x:c r="H1995" s="35" t="str">
        <x:v>Trigger and prove notification: Year-end reports ready</x:v>
      </x:c>
      <x:c r="I1995" s="35" t="str">
        <x:v>NTF-050</x:v>
      </x:c>
      <x:c r="J1995" s="35" t="str"/>
      <x:c r="K1995" s="35" t="str"/>
      <x:c r="L1995" s="35" t="str">
        <x:v>Set each recipient's preferences; trigger the real business event; inspect routing and recipient scope; verify unread badge, list item, safe preview, report/statement deep link, mark-read sync, configured channel outcome, provider failure/retry, and duplicate suppression.</x:v>
      </x:c>
      <x:c r="M1995" s="35" t="str">
        <x:v>Exactly the intended recipients receive one correctly routed notification; disabled optional channels stay silent; deep link opens authorized context; read state synchronizes.</x:v>
      </x:c>
      <x:c r="N1995" s="35" t="str">
        <x:v>Trigger record; routing decision; outbox/delivery status; web/mobile inbox; lock-screen-safe copy; deep-link target; audit/provider retry evidence.</x:v>
      </x:c>
      <x:c r="O1995" s="35" t="str">
        <x:v>Re-run the worker and deliver a duplicate provider callback; no duplicate user-visible event. Attempt the deep link as an unauthorized adjacent role.</x:v>
      </x:c>
      <x:c r="P1995" s="35" t="str">
        <x:v>All expected records and amounts match; no unexplained error or stale state.</x:v>
      </x:c>
    </x:row>
    <x:row r="1996">
      <x:c r="A1996" s="20" t="str">
        <x:v>RUN-20271230-05</x:v>
      </x:c>
      <x:c r="B1996" s="23" t="n">
        <x:v>46751</x:v>
      </x:c>
      <x:c r="C1996" s="32" t="n">
        <x:v>5</x:v>
      </x:c>
      <x:c r="D1996" s="20" t="str">
        <x:v>Surface coverage</x:v>
      </x:c>
      <x:c r="E1996" s="20" t="str">
        <x:v>Role appropriate to surface</x:v>
      </x:c>
      <x:c r="F1996" s="20" t="str">
        <x:v>Web</x:v>
      </x:c>
      <x:c r="G1996" s="20" t="str">
        <x:v>Scan/attachment</x:v>
      </x:c>
      <x:c r="H1996" s="35" t="str">
        <x:v>Scan web pass: Docs, privacy, public apply/sign, deep links</x:v>
      </x:c>
      <x:c r="I1996" s="35" t="str">
        <x:v>COV-046</x:v>
      </x:c>
      <x:c r="J1996" s="35" t="str"/>
      <x:c r="K1996" s="35" t="str"/>
      <x:c r="L1996" s="35" t="str">
        <x:v>Open help/privacy, invalid/expired public tokens, valid apply/sign links, Android app links, and browser/mobile back behavior.</x:v>
      </x:c>
      <x:c r="M1996" s="35" t="str">
        <x:v>The supported workflow completes and persists correctly; if the capability is absent, the exact gap is proven and queued rather than silently skipped.</x:v>
      </x:c>
      <x:c r="N1996" s="35" t="str">
        <x:v>Real UI screenshot/state; submitted values; persisted read-back; cross-client read-back; audit/role/access evidence.</x:v>
      </x:c>
      <x:c r="O1996" s="35" t="str">
        <x:v>Use one invalid value, stale-state retry, or duplicate submission relevant to the form; no partial or duplicate mutation.</x:v>
      </x:c>
      <x:c r="P1996" s="35" t="str">
        <x:v>All expected records and amounts match; no unexplained error or stale state.</x:v>
      </x:c>
    </x:row>
    <x:row r="1997">
      <x:c r="A1997" s="20" t="str">
        <x:v>RUN-20271231-01</x:v>
      </x:c>
      <x:c r="B1997" s="23" t="n">
        <x:v>46752</x:v>
      </x:c>
      <x:c r="C1997" s="32" t="n">
        <x:v>1</x:v>
      </x:c>
      <x:c r="D1997" s="20" t="str">
        <x:v>Monthly close</x:v>
      </x:c>
      <x:c r="E1997" s="20" t="str">
        <x:v>Workspace Administrator</x:v>
      </x:c>
      <x:c r="F1997" s="20" t="str">
        <x:v>Web + Mobile</x:v>
      </x:c>
      <x:c r="G1997" s="20" t="str">
        <x:v>Scan/import + reconciliation</x:v>
      </x:c>
      <x:c r="H1997" s="35" t="str">
        <x:v>December bank reconciliation and close</x:v>
      </x:c>
      <x:c r="I1997" s="35" t="str">
        <x:v>Operating account 4242; deposit trust account 1818; reserve account 7070</x:v>
      </x:c>
      <x:c r="J1997" s="35" t="str">
        <x:v>SCN-0788</x:v>
      </x:c>
      <x:c r="K1997" s="35" t="str">
        <x:v>FIN-01499</x:v>
      </x:c>
      <x:c r="L1997" s="35" t="str">
        <x:v>Set clock to month-end; import/attach the statement; match receipts, expenses, loan payments, distributions, transfers, and fees; review unmatched/duplicate rows; run every monthly report and compare to Monthly Controls.</x:v>
      </x:c>
      <x:c r="M1997" s="35" t="str">
        <x:v>Bank ending cash, AR, deposit trust/liability, loan balance, income, expense, and net operating result match the oracle with zero unexplained variance.</x:v>
      </x:c>
      <x:c r="N1997" s="35" t="str">
        <x:v>Bank reconciliation; accounting summary; P&amp;L; cash flow; rent roll/ledger; deposits; delinquency; owner statements; audit export.</x:v>
      </x:c>
      <x:c r="O1997" s="35" t="str">
        <x:v>Try one duplicate bank transaction and one date-filter boundary; prove DB-side totals and idempotent matching.</x:v>
      </x:c>
      <x:c r="P1997" s="35" t="str">
        <x:v>All monthly checks are OK or a reproducible bug is captured before advancing the clock.</x:v>
      </x:c>
    </x:row>
    <x:row r="1998">
      <x:c r="A1998" s="20" t="str">
        <x:v>RUN-20271231-02</x:v>
      </x:c>
      <x:c r="B1998" s="23" t="n">
        <x:v>46752</x:v>
      </x:c>
      <x:c r="C1998" s="32" t="n">
        <x:v>2</x:v>
      </x:c>
      <x:c r="D1998" s="20" t="str">
        <x:v>Year-end close</x:v>
      </x:c>
      <x:c r="E1998" s="20" t="str">
        <x:v>Workspace Administrator</x:v>
      </x:c>
      <x:c r="F1998" s="20" t="str">
        <x:v>Web</x:v>
      </x:c>
      <x:c r="G1998" s="20" t="str">
        <x:v>System calculation + reconciliation</x:v>
      </x:c>
      <x:c r="H1998" s="35" t="str">
        <x:v>Run Schedule E, depreciation, 1099, and year-end packet</x:v>
      </x:c>
      <x:c r="I1998" s="35" t="str">
        <x:v>P001-P030; O01-O05; V001-V012</x:v>
      </x:c>
      <x:c r="J1998" s="35" t="str"/>
      <x:c r="K1998" s="35" t="str">
        <x:v>FIN-01677; FIN-01678; FIN-01679; FIN-01680; FIN-01681; FIN-01682; FIN-01683; FIN-01684; FIN-01685; FIN-01686; FIN-01687; FIN-01688; FIN-01689; FIN-01690; FIN-01691; FIN-01692; FIN-01693; FIN-01694; FIN-01695; FIN-01696; FIN-01697; FIN-01698; FIN-01699; FIN-01700; FIN-01701; FIN-01702; FIN-01703; FIN-01704; FIN-01705; FIN-01706</x:v>
      </x:c>
      <x:c r="L1998" s="35" t="str">
        <x:v>Freeze the clock at year-end; run depreciation and tax reports; review capital assets/disposition; generate vendor 1099 review, owner year-end packets, P&amp;L, cash flow, GL, rent roll, deposits, delinquency, and audit export.</x:v>
      </x:c>
      <x:c r="M1998" s="35" t="str">
        <x:v>Every report ties to the Oracle/Monthly Controls and journal; depreciation is DB-side; vendor/owner totals are consistent across filters.</x:v>
      </x:c>
      <x:c r="N1998" s="35" t="str">
        <x:v>Complete export pack; workbook Checks sheet; report screenshots; SQL translation evidence; role/access proof.</x:v>
      </x:c>
      <x:c r="O1998" s="35" t="str">
        <x:v>Repeat with date boundaries 2027-01-01 through 2027-12-31 and a single-property filter; no off-by-one or client-side aggregation.</x:v>
      </x:c>
      <x:c r="P1998" s="35" t="str">
        <x:v>Zero unexplained variance and all Checks are OK before declaring the simulation complete.</x:v>
      </x:c>
    </x:row>
    <x:row r="1999">
      <x:c r="A1999" s="21" t="str">
        <x:v>RUN-20271231-03</x:v>
      </x:c>
      <x:c r="B1999" s="24" t="n">
        <x:v>46752</x:v>
      </x:c>
      <x:c r="C1999" s="33" t="n">
        <x:v>3</x:v>
      </x:c>
      <x:c r="D1999" s="21" t="str">
        <x:v>Surface coverage</x:v>
      </x:c>
      <x:c r="E1999" s="21" t="str">
        <x:v>Role appropriate to surface</x:v>
      </x:c>
      <x:c r="F1999" s="21" t="str">
        <x:v>Mobile</x:v>
      </x:c>
      <x:c r="G1999" s="21" t="str">
        <x:v>Scan/attachment</x:v>
      </x:c>
      <x:c r="H1999" s="36" t="str">
        <x:v>Scan mobile pass: Docs, privacy, public apply/sign, deep links</x:v>
      </x:c>
      <x:c r="I1999" s="36" t="str">
        <x:v>COV-046</x:v>
      </x:c>
      <x:c r="J1999" s="36" t="str"/>
      <x:c r="K1999" s="36" t="str"/>
      <x:c r="L1999" s="36" t="str">
        <x:v>Open help/privacy, invalid/expired public tokens, valid apply/sign links, Android app links, and browser/mobile back behavior.</x:v>
      </x:c>
      <x:c r="M1999" s="36" t="str">
        <x:v>The supported workflow completes and persists correctly; if the capability is absent, the exact gap is proven and queued rather than silently skipped.</x:v>
      </x:c>
      <x:c r="N1999" s="36" t="str">
        <x:v>Real UI screenshot/state; submitted values; persisted read-back; cross-client read-back; audit/role/access evidence.</x:v>
      </x:c>
      <x:c r="O1999" s="36" t="str">
        <x:v>Use one invalid value, stale-state retry, or duplicate submission relevant to the form; no partial or duplicate mutation.</x:v>
      </x:c>
      <x:c r="P1999" s="36" t="str">
        <x:v>All expected records and amounts match; no unexplained error or stale state.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8928386a05664b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38" hidden="0" customWidth="1"/>
    <x:col min="4" max="4" width="30" hidden="0" customWidth="1"/>
    <x:col min="5" max="5" width="26" hidden="0" customWidth="1"/>
    <x:col min="6" max="6" width="54" hidden="0" customWidth="1"/>
    <x:col min="7" max="7" width="14" hidden="0" customWidth="1"/>
    <x:col min="8" max="8" width="18" hidden="0" customWidth="1"/>
    <x:col min="9" max="9" width="36" hidden="0" customWidth="1"/>
    <x:col min="14" max="14" width="55" hidden="0" customWidth="1"/>
    <x:col min="15" max="15" width="45" hidden="0" customWidth="1"/>
    <x:col min="16" max="16" width="50" hidden="0" customWidth="1"/>
    <x:col min="17" max="17" width="48" hidden="0" customWidth="1"/>
  </x:cols>
  <x:sheetData>
    <x:row r="1" ht="34" customHeight="1">
      <x:c r="A1" s="3" t="str">
        <x:v>Synthetic Scan Corpus Manifest</x:v>
      </x:c>
      <x:c r="B1" s="3" t="str">
        <x:v>Synthetic Scan Corpus Manifest</x:v>
      </x:c>
      <x:c r="C1" s="3" t="str">
        <x:v>Synthetic Scan Corpus Manifest</x:v>
      </x:c>
      <x:c r="D1" s="3" t="str">
        <x:v>Synthetic Scan Corpus Manifest</x:v>
      </x:c>
      <x:c r="E1" s="3" t="str">
        <x:v>Synthetic Scan Corpus Manifest</x:v>
      </x:c>
      <x:c r="F1" s="3" t="str">
        <x:v>Synthetic Scan Corpus Manifest</x:v>
      </x:c>
      <x:c r="G1" s="3" t="str">
        <x:v>Synthetic Scan Corpus Manifest</x:v>
      </x:c>
      <x:c r="H1" s="3" t="str">
        <x:v>Synthetic Scan Corpus Manifest</x:v>
      </x:c>
      <x:c r="I1" s="3" t="str">
        <x:v>Synthetic Scan Corpus Manifest</x:v>
      </x:c>
      <x:c r="J1" s="3" t="str">
        <x:v>Synthetic Scan Corpus Manifest</x:v>
      </x:c>
      <x:c r="K1" s="3" t="str">
        <x:v>Synthetic Scan Corpus Manifest</x:v>
      </x:c>
      <x:c r="L1" s="3" t="str">
        <x:v>Synthetic Scan Corpus Manifest</x:v>
      </x:c>
      <x:c r="M1" s="3" t="str">
        <x:v>Synthetic Scan Corpus Manifest</x:v>
      </x:c>
      <x:c r="N1" s="3" t="str">
        <x:v>Synthetic Scan Corpus Manifest</x:v>
      </x:c>
      <x:c r="O1" s="3" t="str">
        <x:v>Synthetic Scan Corpus Manifest</x:v>
      </x:c>
      <x:c r="P1" s="3" t="str">
        <x:v>Synthetic Scan Corpus Manifest</x:v>
      </x:c>
      <x:c r="Q1" s="3" t="str">
        <x:v>Synthetic Scan Corpus Manifest</x:v>
      </x:c>
    </x:row>
    <x:row r="3" ht="30" customHeight="1">
      <x:c r="A3" s="12" t="str">
        <x:v>Asset ID</x:v>
      </x:c>
      <x:c r="B3" s="13" t="str">
        <x:v>Planned Date</x:v>
      </x:c>
      <x:c r="C3" s="13" t="str">
        <x:v>Filename</x:v>
      </x:c>
      <x:c r="D3" s="13" t="str">
        <x:v>Document Family</x:v>
      </x:c>
      <x:c r="E3" s="13" t="str">
        <x:v>Intended Target</x:v>
      </x:c>
      <x:c r="F3" s="13" t="str">
        <x:v>Intake Expectation</x:v>
      </x:c>
      <x:c r="G3" s="13" t="str">
        <x:v>Format</x:v>
      </x:c>
      <x:c r="H3" s="13" t="str">
        <x:v>Pages / Images</x:v>
      </x:c>
      <x:c r="I3" s="13" t="str">
        <x:v>Capture Profile</x:v>
      </x:c>
      <x:c r="J3" s="13" t="str">
        <x:v>Property ID</x:v>
      </x:c>
      <x:c r="K3" s="13" t="str">
        <x:v>Unit ID</x:v>
      </x:c>
      <x:c r="L3" s="13" t="str">
        <x:v>Lease ID</x:v>
      </x:c>
      <x:c r="M3" s="13" t="str">
        <x:v>Financial Event</x:v>
      </x:c>
      <x:c r="N3" s="13" t="str">
        <x:v>Expected Fields</x:v>
      </x:c>
      <x:c r="O3" s="13" t="str">
        <x:v>Edge Case</x:v>
      </x:c>
      <x:c r="P3" s="13" t="str">
        <x:v>Paired Manual Action</x:v>
      </x:c>
      <x:c r="Q3" s="14" t="str">
        <x:v>Confidentiality</x:v>
      </x:c>
    </x:row>
    <x:row r="4">
      <x:c r="A4" s="19" t="str">
        <x:v>SCN-0001</x:v>
      </x:c>
      <x:c r="B4" s="22" t="n">
        <x:v>46389</x:v>
      </x:c>
      <x:c r="C4" s="19" t="str">
        <x:v>scn-0001-opening-lease-l001.pdf</x:v>
      </x:c>
      <x:c r="D4" s="19" t="str">
        <x:v>Residential lease agreement</x:v>
      </x:c>
      <x:c r="E4" s="19" t="str">
        <x:v>Lease</x:v>
      </x:c>
      <x:c r="F4" s="34" t="str">
        <x:v>Direct scan draft; confirms property, unit, tenant, LeaseManagement, agreement, and account</x:v>
      </x:c>
      <x:c r="G4" s="19" t="str">
        <x:v>PDF</x:v>
      </x:c>
      <x:c r="H4" s="19" t="str">
        <x:v>9 pages</x:v>
      </x:c>
      <x:c r="I4" s="34" t="str">
        <x:v>phone camera slight skew</x:v>
      </x:c>
      <x:c r="J4" s="19" t="str">
        <x:v>P001</x:v>
      </x:c>
      <x:c r="K4" s="19" t="str">
        <x:v>U001</x:v>
      </x:c>
      <x:c r="L4" s="19" t="str">
        <x:v>L001</x:v>
      </x:c>
      <x:c r="M4" s="19" t="str"/>
      <x:c r="N4" s="34" t="str">
        <x:v>landlord; tenant; premises; property name; unit; start/end; monthly rent; deposit; due day; signatures</x:v>
      </x:c>
      <x:c r="O4" s="34" t="str">
        <x:v>one co-tenant on every sixth lease; due day 31 on L031; handwritten initials on every fifth lease</x:v>
      </x:c>
      <x:c r="P4" s="34" t="str">
        <x:v>Re-enter a different opening lease through the equivalent manual lease form on the other client.</x:v>
      </x:c>
      <x:c r="Q4" s="34" t="str">
        <x:v>Synthetic QA only; no real people, accounts, signatures, or properties</x:v>
      </x:c>
    </x:row>
    <x:row r="5">
      <x:c r="A5" s="20" t="str">
        <x:v>SCN-0002</x:v>
      </x:c>
      <x:c r="B5" s="23" t="n">
        <x:v>46389</x:v>
      </x:c>
      <x:c r="C5" s="20" t="str">
        <x:v>scn-0002-opening-lease-l002.jpg</x:v>
      </x:c>
      <x:c r="D5" s="20" t="str">
        <x:v>Residential lease agreement</x:v>
      </x:c>
      <x:c r="E5" s="20" t="str">
        <x:v>Lease</x:v>
      </x:c>
      <x:c r="F5" s="35" t="str">
        <x:v>Direct scan draft; confirms property, unit, tenant, LeaseManagement, agreement, and account</x:v>
      </x:c>
      <x:c r="G5" s="20" t="str">
        <x:v>Camera JPEG</x:v>
      </x:c>
      <x:c r="H5" s="20" t="str">
        <x:v>9 images stitched to one PDF</x:v>
      </x:c>
      <x:c r="I5" s="35" t="str">
        <x:v>low contrast photocopy</x:v>
      </x:c>
      <x:c r="J5" s="20" t="str">
        <x:v>P002</x:v>
      </x:c>
      <x:c r="K5" s="20" t="str">
        <x:v>U002</x:v>
      </x:c>
      <x:c r="L5" s="20" t="str">
        <x:v>L002</x:v>
      </x:c>
      <x:c r="M5" s="20" t="str"/>
      <x:c r="N5" s="35" t="str">
        <x:v>landlord; tenant; premises; property name; unit; start/end; monthly rent; deposit; due day; signatures</x:v>
      </x:c>
      <x:c r="O5" s="35" t="str">
        <x:v>one co-tenant on every sixth lease; due day 31 on L031; handwritten initials on every fifth lease</x:v>
      </x:c>
      <x:c r="P5" s="35" t="str">
        <x:v>Re-enter a different opening lease through the equivalent manual lease form on the other client.</x:v>
      </x:c>
      <x:c r="Q5" s="35" t="str">
        <x:v>Synthetic QA only; no real people, accounts, signatures, or properties</x:v>
      </x:c>
    </x:row>
    <x:row r="6">
      <x:c r="A6" s="20" t="str">
        <x:v>SCN-0003</x:v>
      </x:c>
      <x:c r="B6" s="23" t="n">
        <x:v>46389</x:v>
      </x:c>
      <x:c r="C6" s="20" t="str">
        <x:v>scn-0003-opening-lease-l003.pdf</x:v>
      </x:c>
      <x:c r="D6" s="20" t="str">
        <x:v>Residential lease agreement</x:v>
      </x:c>
      <x:c r="E6" s="20" t="str">
        <x:v>Lease</x:v>
      </x:c>
      <x:c r="F6" s="35" t="str">
        <x:v>Direct scan draft; confirms property, unit, tenant, LeaseManagement, agreement, and account</x:v>
      </x:c>
      <x:c r="G6" s="20" t="str">
        <x:v>PDF</x:v>
      </x:c>
      <x:c r="H6" s="20" t="str">
        <x:v>9 pages</x:v>
      </x:c>
      <x:c r="I6" s="35" t="str">
        <x:v>clean exported PDF</x:v>
      </x:c>
      <x:c r="J6" s="20" t="str">
        <x:v>P003</x:v>
      </x:c>
      <x:c r="K6" s="20" t="str">
        <x:v>U003</x:v>
      </x:c>
      <x:c r="L6" s="20" t="str">
        <x:v>L003</x:v>
      </x:c>
      <x:c r="M6" s="20" t="str"/>
      <x:c r="N6" s="35" t="str">
        <x:v>landlord; tenant; premises; property name; unit; start/end; monthly rent; deposit; due day; signatures</x:v>
      </x:c>
      <x:c r="O6" s="35" t="str">
        <x:v>one co-tenant on every sixth lease; due day 31 on L031; handwritten initials on every fifth lease</x:v>
      </x:c>
      <x:c r="P6" s="35" t="str">
        <x:v>Re-enter a different opening lease through the equivalent manual lease form on the other client.</x:v>
      </x:c>
      <x:c r="Q6" s="35" t="str">
        <x:v>Synthetic QA only; no real people, accounts, signatures, or properties</x:v>
      </x:c>
    </x:row>
    <x:row r="7">
      <x:c r="A7" s="20" t="str">
        <x:v>SCN-0004</x:v>
      </x:c>
      <x:c r="B7" s="23" t="n">
        <x:v>46389</x:v>
      </x:c>
      <x:c r="C7" s="20" t="str">
        <x:v>scn-0004-opening-lease-l004.jpg</x:v>
      </x:c>
      <x:c r="D7" s="20" t="str">
        <x:v>Residential lease agreement</x:v>
      </x:c>
      <x:c r="E7" s="20" t="str">
        <x:v>Lease</x:v>
      </x:c>
      <x:c r="F7" s="35" t="str">
        <x:v>Direct scan draft; confirms property, unit, tenant, LeaseManagement, agreement, and account</x:v>
      </x:c>
      <x:c r="G7" s="20" t="str">
        <x:v>Camera JPEG</x:v>
      </x:c>
      <x:c r="H7" s="20" t="str">
        <x:v>9 images stitched to one PDF</x:v>
      </x:c>
      <x:c r="I7" s="35" t="str">
        <x:v>phone camera slight skew</x:v>
      </x:c>
      <x:c r="J7" s="20" t="str">
        <x:v>P004</x:v>
      </x:c>
      <x:c r="K7" s="20" t="str">
        <x:v>U004</x:v>
      </x:c>
      <x:c r="L7" s="20" t="str">
        <x:v>L004</x:v>
      </x:c>
      <x:c r="M7" s="20" t="str"/>
      <x:c r="N7" s="35" t="str">
        <x:v>landlord; tenant; premises; property name; unit; start/end; monthly rent; deposit; due day; signatures</x:v>
      </x:c>
      <x:c r="O7" s="35" t="str">
        <x:v>one co-tenant on every sixth lease; due day 31 on L031; handwritten initials on every fifth lease</x:v>
      </x:c>
      <x:c r="P7" s="35" t="str">
        <x:v>Re-enter a different opening lease through the equivalent manual lease form on the other client.</x:v>
      </x:c>
      <x:c r="Q7" s="35" t="str">
        <x:v>Synthetic QA only; no real people, accounts, signatures, or properties</x:v>
      </x:c>
    </x:row>
    <x:row r="8">
      <x:c r="A8" s="20" t="str">
        <x:v>SCN-0005</x:v>
      </x:c>
      <x:c r="B8" s="23" t="n">
        <x:v>46389</x:v>
      </x:c>
      <x:c r="C8" s="20" t="str">
        <x:v>scn-0005-opening-lease-l005.pdf</x:v>
      </x:c>
      <x:c r="D8" s="20" t="str">
        <x:v>Residential lease agreement</x:v>
      </x:c>
      <x:c r="E8" s="20" t="str">
        <x:v>Lease</x:v>
      </x:c>
      <x:c r="F8" s="35" t="str">
        <x:v>Direct scan draft; confirms property, unit, tenant, LeaseManagement, agreement, and account</x:v>
      </x:c>
      <x:c r="G8" s="20" t="str">
        <x:v>PDF</x:v>
      </x:c>
      <x:c r="H8" s="20" t="str">
        <x:v>9 pages</x:v>
      </x:c>
      <x:c r="I8" s="35" t="str">
        <x:v>low contrast photocopy</x:v>
      </x:c>
      <x:c r="J8" s="20" t="str">
        <x:v>P005</x:v>
      </x:c>
      <x:c r="K8" s="20" t="str">
        <x:v>U005</x:v>
      </x:c>
      <x:c r="L8" s="20" t="str">
        <x:v>L005</x:v>
      </x:c>
      <x:c r="M8" s="20" t="str"/>
      <x:c r="N8" s="35" t="str">
        <x:v>landlord; tenant; premises; property name; unit; start/end; monthly rent; deposit; due day; signatures</x:v>
      </x:c>
      <x:c r="O8" s="35" t="str">
        <x:v>one co-tenant on every sixth lease; due day 31 on L031; handwritten initials on every fifth lease</x:v>
      </x:c>
      <x:c r="P8" s="35" t="str">
        <x:v>Re-enter a different opening lease through the equivalent manual lease form on the other client.</x:v>
      </x:c>
      <x:c r="Q8" s="35" t="str">
        <x:v>Synthetic QA only; no real people, accounts, signatures, or properties</x:v>
      </x:c>
    </x:row>
    <x:row r="9">
      <x:c r="A9" s="20" t="str">
        <x:v>SCN-0006</x:v>
      </x:c>
      <x:c r="B9" s="23" t="n">
        <x:v>46389</x:v>
      </x:c>
      <x:c r="C9" s="20" t="str">
        <x:v>scn-0006-opening-lease-l006.jpg</x:v>
      </x:c>
      <x:c r="D9" s="20" t="str">
        <x:v>Residential lease agreement</x:v>
      </x:c>
      <x:c r="E9" s="20" t="str">
        <x:v>Lease</x:v>
      </x:c>
      <x:c r="F9" s="35" t="str">
        <x:v>Direct scan draft; confirms property, unit, tenant, LeaseManagement, agreement, and account</x:v>
      </x:c>
      <x:c r="G9" s="20" t="str">
        <x:v>Camera JPEG</x:v>
      </x:c>
      <x:c r="H9" s="20" t="str">
        <x:v>9 images stitched to one PDF</x:v>
      </x:c>
      <x:c r="I9" s="35" t="str">
        <x:v>clean exported PDF</x:v>
      </x:c>
      <x:c r="J9" s="20" t="str">
        <x:v>P006</x:v>
      </x:c>
      <x:c r="K9" s="20" t="str">
        <x:v>U006</x:v>
      </x:c>
      <x:c r="L9" s="20" t="str">
        <x:v>L006</x:v>
      </x:c>
      <x:c r="M9" s="20" t="str"/>
      <x:c r="N9" s="35" t="str">
        <x:v>landlord; tenant; premises; property name; unit; start/end; monthly rent; deposit; due day; signatures</x:v>
      </x:c>
      <x:c r="O9" s="35" t="str">
        <x:v>one co-tenant on every sixth lease; due day 31 on L031; handwritten initials on every fifth lease</x:v>
      </x:c>
      <x:c r="P9" s="35" t="str">
        <x:v>Re-enter a different opening lease through the equivalent manual lease form on the other client.</x:v>
      </x:c>
      <x:c r="Q9" s="35" t="str">
        <x:v>Synthetic QA only; no real people, accounts, signatures, or properties</x:v>
      </x:c>
    </x:row>
    <x:row r="10">
      <x:c r="A10" s="20" t="str">
        <x:v>SCN-0007</x:v>
      </x:c>
      <x:c r="B10" s="23" t="n">
        <x:v>46389</x:v>
      </x:c>
      <x:c r="C10" s="20" t="str">
        <x:v>scn-0007-opening-lease-l007.pdf</x:v>
      </x:c>
      <x:c r="D10" s="20" t="str">
        <x:v>Residential lease agreement</x:v>
      </x:c>
      <x:c r="E10" s="20" t="str">
        <x:v>Lease</x:v>
      </x:c>
      <x:c r="F10" s="35" t="str">
        <x:v>Direct scan draft; confirms property, unit, tenant, LeaseManagement, agreement, and account</x:v>
      </x:c>
      <x:c r="G10" s="20" t="str">
        <x:v>PDF</x:v>
      </x:c>
      <x:c r="H10" s="20" t="str">
        <x:v>9 pages</x:v>
      </x:c>
      <x:c r="I10" s="35" t="str">
        <x:v>phone camera slight skew</x:v>
      </x:c>
      <x:c r="J10" s="20" t="str">
        <x:v>P007</x:v>
      </x:c>
      <x:c r="K10" s="20" t="str">
        <x:v>U007</x:v>
      </x:c>
      <x:c r="L10" s="20" t="str">
        <x:v>L007</x:v>
      </x:c>
      <x:c r="M10" s="20" t="str"/>
      <x:c r="N10" s="35" t="str">
        <x:v>landlord; tenant; premises; property name; unit; start/end; monthly rent; deposit; due day; signatures</x:v>
      </x:c>
      <x:c r="O10" s="35" t="str">
        <x:v>one co-tenant on every sixth lease; due day 31 on L031; handwritten initials on every fifth lease</x:v>
      </x:c>
      <x:c r="P10" s="35" t="str">
        <x:v>Re-enter a different opening lease through the equivalent manual lease form on the other client.</x:v>
      </x:c>
      <x:c r="Q10" s="35" t="str">
        <x:v>Synthetic QA only; no real people, accounts, signatures, or properties</x:v>
      </x:c>
    </x:row>
    <x:row r="11">
      <x:c r="A11" s="20" t="str">
        <x:v>SCN-0008</x:v>
      </x:c>
      <x:c r="B11" s="23" t="n">
        <x:v>46389</x:v>
      </x:c>
      <x:c r="C11" s="20" t="str">
        <x:v>scn-0008-opening-lease-l008.jpg</x:v>
      </x:c>
      <x:c r="D11" s="20" t="str">
        <x:v>Residential lease agreement</x:v>
      </x:c>
      <x:c r="E11" s="20" t="str">
        <x:v>Lease</x:v>
      </x:c>
      <x:c r="F11" s="35" t="str">
        <x:v>Direct scan draft; confirms property, unit, tenant, LeaseManagement, agreement, and account</x:v>
      </x:c>
      <x:c r="G11" s="20" t="str">
        <x:v>Camera JPEG</x:v>
      </x:c>
      <x:c r="H11" s="20" t="str">
        <x:v>9 images stitched to one PDF</x:v>
      </x:c>
      <x:c r="I11" s="35" t="str">
        <x:v>low contrast photocopy</x:v>
      </x:c>
      <x:c r="J11" s="20" t="str">
        <x:v>P008</x:v>
      </x:c>
      <x:c r="K11" s="20" t="str">
        <x:v>U008</x:v>
      </x:c>
      <x:c r="L11" s="20" t="str">
        <x:v>L008</x:v>
      </x:c>
      <x:c r="M11" s="20" t="str"/>
      <x:c r="N11" s="35" t="str">
        <x:v>landlord; tenant; premises; property name; unit; start/end; monthly rent; deposit; due day; signatures</x:v>
      </x:c>
      <x:c r="O11" s="35" t="str">
        <x:v>one co-tenant on every sixth lease; due day 31 on L031; handwritten initials on every fifth lease</x:v>
      </x:c>
      <x:c r="P11" s="35" t="str">
        <x:v>Re-enter a different opening lease through the equivalent manual lease form on the other client.</x:v>
      </x:c>
      <x:c r="Q11" s="35" t="str">
        <x:v>Synthetic QA only; no real people, accounts, signatures, or properties</x:v>
      </x:c>
    </x:row>
    <x:row r="12">
      <x:c r="A12" s="20" t="str">
        <x:v>SCN-0009</x:v>
      </x:c>
      <x:c r="B12" s="23" t="n">
        <x:v>46389</x:v>
      </x:c>
      <x:c r="C12" s="20" t="str">
        <x:v>scn-0009-opening-lease-l009.pdf</x:v>
      </x:c>
      <x:c r="D12" s="20" t="str">
        <x:v>Residential lease agreement</x:v>
      </x:c>
      <x:c r="E12" s="20" t="str">
        <x:v>Lease</x:v>
      </x:c>
      <x:c r="F12" s="35" t="str">
        <x:v>Direct scan draft; confirms property, unit, tenant, LeaseManagement, agreement, and account</x:v>
      </x:c>
      <x:c r="G12" s="20" t="str">
        <x:v>PDF</x:v>
      </x:c>
      <x:c r="H12" s="20" t="str">
        <x:v>9 pages</x:v>
      </x:c>
      <x:c r="I12" s="35" t="str">
        <x:v>clean exported PDF</x:v>
      </x:c>
      <x:c r="J12" s="20" t="str">
        <x:v>P009</x:v>
      </x:c>
      <x:c r="K12" s="20" t="str">
        <x:v>U009</x:v>
      </x:c>
      <x:c r="L12" s="20" t="str">
        <x:v>L009</x:v>
      </x:c>
      <x:c r="M12" s="20" t="str"/>
      <x:c r="N12" s="35" t="str">
        <x:v>landlord; tenant; premises; property name; unit; start/end; monthly rent; deposit; due day; signatures</x:v>
      </x:c>
      <x:c r="O12" s="35" t="str">
        <x:v>one co-tenant on every sixth lease; due day 31 on L031; handwritten initials on every fifth lease</x:v>
      </x:c>
      <x:c r="P12" s="35" t="str">
        <x:v>Re-enter a different opening lease through the equivalent manual lease form on the other client.</x:v>
      </x:c>
      <x:c r="Q12" s="35" t="str">
        <x:v>Synthetic QA only; no real people, accounts, signatures, or properties</x:v>
      </x:c>
    </x:row>
    <x:row r="13">
      <x:c r="A13" s="20" t="str">
        <x:v>SCN-0010</x:v>
      </x:c>
      <x:c r="B13" s="23" t="n">
        <x:v>46389</x:v>
      </x:c>
      <x:c r="C13" s="20" t="str">
        <x:v>scn-0010-opening-lease-l010.jpg</x:v>
      </x:c>
      <x:c r="D13" s="20" t="str">
        <x:v>Residential lease agreement</x:v>
      </x:c>
      <x:c r="E13" s="20" t="str">
        <x:v>Lease</x:v>
      </x:c>
      <x:c r="F13" s="35" t="str">
        <x:v>Direct scan draft; confirms property, unit, tenant, LeaseManagement, agreement, and account</x:v>
      </x:c>
      <x:c r="G13" s="20" t="str">
        <x:v>Camera JPEG</x:v>
      </x:c>
      <x:c r="H13" s="20" t="str">
        <x:v>9 images stitched to one PDF</x:v>
      </x:c>
      <x:c r="I13" s="35" t="str">
        <x:v>phone camera slight skew</x:v>
      </x:c>
      <x:c r="J13" s="20" t="str">
        <x:v>P010</x:v>
      </x:c>
      <x:c r="K13" s="20" t="str">
        <x:v>U010</x:v>
      </x:c>
      <x:c r="L13" s="20" t="str">
        <x:v>L010</x:v>
      </x:c>
      <x:c r="M13" s="20" t="str"/>
      <x:c r="N13" s="35" t="str">
        <x:v>landlord; tenant; premises; property name; unit; start/end; monthly rent; deposit; due day; signatures</x:v>
      </x:c>
      <x:c r="O13" s="35" t="str">
        <x:v>one co-tenant on every sixth lease; due day 31 on L031; handwritten initials on every fifth lease</x:v>
      </x:c>
      <x:c r="P13" s="35" t="str">
        <x:v>Re-enter a different opening lease through the equivalent manual lease form on the other client.</x:v>
      </x:c>
      <x:c r="Q13" s="35" t="str">
        <x:v>Synthetic QA only; no real people, accounts, signatures, or properties</x:v>
      </x:c>
    </x:row>
    <x:row r="14">
      <x:c r="A14" s="20" t="str">
        <x:v>SCN-0011</x:v>
      </x:c>
      <x:c r="B14" s="23" t="n">
        <x:v>46389</x:v>
      </x:c>
      <x:c r="C14" s="20" t="str">
        <x:v>scn-0011-opening-lease-l011.pdf</x:v>
      </x:c>
      <x:c r="D14" s="20" t="str">
        <x:v>Residential lease agreement</x:v>
      </x:c>
      <x:c r="E14" s="20" t="str">
        <x:v>Lease</x:v>
      </x:c>
      <x:c r="F14" s="35" t="str">
        <x:v>Direct scan draft; confirms property, unit, tenant, LeaseManagement, agreement, and account</x:v>
      </x:c>
      <x:c r="G14" s="20" t="str">
        <x:v>PDF</x:v>
      </x:c>
      <x:c r="H14" s="20" t="str">
        <x:v>9 pages</x:v>
      </x:c>
      <x:c r="I14" s="35" t="str">
        <x:v>low contrast photocopy</x:v>
      </x:c>
      <x:c r="J14" s="20" t="str">
        <x:v>P011</x:v>
      </x:c>
      <x:c r="K14" s="20" t="str">
        <x:v>U011</x:v>
      </x:c>
      <x:c r="L14" s="20" t="str">
        <x:v>L011</x:v>
      </x:c>
      <x:c r="M14" s="20" t="str"/>
      <x:c r="N14" s="35" t="str">
        <x:v>landlord; tenant; premises; property name; unit; start/end; monthly rent; deposit; due day; signatures</x:v>
      </x:c>
      <x:c r="O14" s="35" t="str">
        <x:v>one co-tenant on every sixth lease; due day 31 on L031; handwritten initials on every fifth lease</x:v>
      </x:c>
      <x:c r="P14" s="35" t="str">
        <x:v>Re-enter a different opening lease through the equivalent manual lease form on the other client.</x:v>
      </x:c>
      <x:c r="Q14" s="35" t="str">
        <x:v>Synthetic QA only; no real people, accounts, signatures, or properties</x:v>
      </x:c>
    </x:row>
    <x:row r="15">
      <x:c r="A15" s="20" t="str">
        <x:v>SCN-0012</x:v>
      </x:c>
      <x:c r="B15" s="23" t="n">
        <x:v>46389</x:v>
      </x:c>
      <x:c r="C15" s="20" t="str">
        <x:v>scn-0012-opening-lease-l012.jpg</x:v>
      </x:c>
      <x:c r="D15" s="20" t="str">
        <x:v>Residential lease agreement</x:v>
      </x:c>
      <x:c r="E15" s="20" t="str">
        <x:v>Lease</x:v>
      </x:c>
      <x:c r="F15" s="35" t="str">
        <x:v>Direct scan draft; confirms property, unit, tenant, LeaseManagement, agreement, and account</x:v>
      </x:c>
      <x:c r="G15" s="20" t="str">
        <x:v>Camera JPEG</x:v>
      </x:c>
      <x:c r="H15" s="20" t="str">
        <x:v>9 images stitched to one PDF</x:v>
      </x:c>
      <x:c r="I15" s="35" t="str">
        <x:v>clean exported PDF</x:v>
      </x:c>
      <x:c r="J15" s="20" t="str">
        <x:v>P012</x:v>
      </x:c>
      <x:c r="K15" s="20" t="str">
        <x:v>U012</x:v>
      </x:c>
      <x:c r="L15" s="20" t="str">
        <x:v>L012</x:v>
      </x:c>
      <x:c r="M15" s="20" t="str"/>
      <x:c r="N15" s="35" t="str">
        <x:v>landlord; tenant; premises; property name; unit; start/end; monthly rent; deposit; due day; signatures</x:v>
      </x:c>
      <x:c r="O15" s="35" t="str">
        <x:v>one co-tenant on every sixth lease; due day 31 on L031; handwritten initials on every fifth lease</x:v>
      </x:c>
      <x:c r="P15" s="35" t="str">
        <x:v>Re-enter a different opening lease through the equivalent manual lease form on the other client.</x:v>
      </x:c>
      <x:c r="Q15" s="35" t="str">
        <x:v>Synthetic QA only; no real people, accounts, signatures, or properties</x:v>
      </x:c>
    </x:row>
    <x:row r="16">
      <x:c r="A16" s="20" t="str">
        <x:v>SCN-0013</x:v>
      </x:c>
      <x:c r="B16" s="23" t="n">
        <x:v>46390</x:v>
      </x:c>
      <x:c r="C16" s="20" t="str">
        <x:v>scn-0013-opening-lease-l013.pdf</x:v>
      </x:c>
      <x:c r="D16" s="20" t="str">
        <x:v>Residential lease agreement</x:v>
      </x:c>
      <x:c r="E16" s="20" t="str">
        <x:v>Lease</x:v>
      </x:c>
      <x:c r="F16" s="35" t="str">
        <x:v>Direct scan draft; confirms property, unit, tenant, LeaseManagement, agreement, and account</x:v>
      </x:c>
      <x:c r="G16" s="20" t="str">
        <x:v>PDF</x:v>
      </x:c>
      <x:c r="H16" s="20" t="str">
        <x:v>9 pages</x:v>
      </x:c>
      <x:c r="I16" s="35" t="str">
        <x:v>phone camera slight skew</x:v>
      </x:c>
      <x:c r="J16" s="20" t="str">
        <x:v>P013</x:v>
      </x:c>
      <x:c r="K16" s="20" t="str">
        <x:v>U013</x:v>
      </x:c>
      <x:c r="L16" s="20" t="str">
        <x:v>L013</x:v>
      </x:c>
      <x:c r="M16" s="20" t="str"/>
      <x:c r="N16" s="35" t="str">
        <x:v>landlord; tenant; premises; property name; unit; start/end; monthly rent; deposit; due day; signatures</x:v>
      </x:c>
      <x:c r="O16" s="35" t="str">
        <x:v>one co-tenant on every sixth lease; due day 31 on L031; handwritten initials on every fifth lease</x:v>
      </x:c>
      <x:c r="P16" s="35" t="str">
        <x:v>Re-enter a different opening lease through the equivalent manual lease form on the other client.</x:v>
      </x:c>
      <x:c r="Q16" s="35" t="str">
        <x:v>Synthetic QA only; no real people, accounts, signatures, or properties</x:v>
      </x:c>
    </x:row>
    <x:row r="17">
      <x:c r="A17" s="20" t="str">
        <x:v>SCN-0014</x:v>
      </x:c>
      <x:c r="B17" s="23" t="n">
        <x:v>46390</x:v>
      </x:c>
      <x:c r="C17" s="20" t="str">
        <x:v>scn-0014-opening-lease-l014.jpg</x:v>
      </x:c>
      <x:c r="D17" s="20" t="str">
        <x:v>Residential lease agreement</x:v>
      </x:c>
      <x:c r="E17" s="20" t="str">
        <x:v>Lease</x:v>
      </x:c>
      <x:c r="F17" s="35" t="str">
        <x:v>Direct scan draft; confirms property, unit, tenant, LeaseManagement, agreement, and account</x:v>
      </x:c>
      <x:c r="G17" s="20" t="str">
        <x:v>Camera JPEG</x:v>
      </x:c>
      <x:c r="H17" s="20" t="str">
        <x:v>9 images stitched to one PDF</x:v>
      </x:c>
      <x:c r="I17" s="35" t="str">
        <x:v>low contrast photocopy</x:v>
      </x:c>
      <x:c r="J17" s="20" t="str">
        <x:v>P014</x:v>
      </x:c>
      <x:c r="K17" s="20" t="str">
        <x:v>U014</x:v>
      </x:c>
      <x:c r="L17" s="20" t="str">
        <x:v>L014</x:v>
      </x:c>
      <x:c r="M17" s="20" t="str"/>
      <x:c r="N17" s="35" t="str">
        <x:v>landlord; tenant; premises; property name; unit; start/end; monthly rent; deposit; due day; signatures</x:v>
      </x:c>
      <x:c r="O17" s="35" t="str">
        <x:v>one co-tenant on every sixth lease; due day 31 on L031; handwritten initials on every fifth lease</x:v>
      </x:c>
      <x:c r="P17" s="35" t="str">
        <x:v>Re-enter a different opening lease through the equivalent manual lease form on the other client.</x:v>
      </x:c>
      <x:c r="Q17" s="35" t="str">
        <x:v>Synthetic QA only; no real people, accounts, signatures, or properties</x:v>
      </x:c>
    </x:row>
    <x:row r="18">
      <x:c r="A18" s="20" t="str">
        <x:v>SCN-0015</x:v>
      </x:c>
      <x:c r="B18" s="23" t="n">
        <x:v>46390</x:v>
      </x:c>
      <x:c r="C18" s="20" t="str">
        <x:v>scn-0015-opening-lease-l015.pdf</x:v>
      </x:c>
      <x:c r="D18" s="20" t="str">
        <x:v>Residential lease agreement</x:v>
      </x:c>
      <x:c r="E18" s="20" t="str">
        <x:v>Lease</x:v>
      </x:c>
      <x:c r="F18" s="35" t="str">
        <x:v>Direct scan draft; confirms property, unit, tenant, LeaseManagement, agreement, and account</x:v>
      </x:c>
      <x:c r="G18" s="20" t="str">
        <x:v>PDF</x:v>
      </x:c>
      <x:c r="H18" s="20" t="str">
        <x:v>9 pages</x:v>
      </x:c>
      <x:c r="I18" s="35" t="str">
        <x:v>clean exported PDF</x:v>
      </x:c>
      <x:c r="J18" s="20" t="str">
        <x:v>P015</x:v>
      </x:c>
      <x:c r="K18" s="20" t="str">
        <x:v>U015</x:v>
      </x:c>
      <x:c r="L18" s="20" t="str">
        <x:v>L015</x:v>
      </x:c>
      <x:c r="M18" s="20" t="str"/>
      <x:c r="N18" s="35" t="str">
        <x:v>landlord; tenant; premises; property name; unit; start/end; monthly rent; deposit; due day; signatures</x:v>
      </x:c>
      <x:c r="O18" s="35" t="str">
        <x:v>one co-tenant on every sixth lease; due day 31 on L031; handwritten initials on every fifth lease</x:v>
      </x:c>
      <x:c r="P18" s="35" t="str">
        <x:v>Re-enter a different opening lease through the equivalent manual lease form on the other client.</x:v>
      </x:c>
      <x:c r="Q18" s="35" t="str">
        <x:v>Synthetic QA only; no real people, accounts, signatures, or properties</x:v>
      </x:c>
    </x:row>
    <x:row r="19">
      <x:c r="A19" s="20" t="str">
        <x:v>SCN-0016</x:v>
      </x:c>
      <x:c r="B19" s="23" t="n">
        <x:v>46390</x:v>
      </x:c>
      <x:c r="C19" s="20" t="str">
        <x:v>scn-0016-opening-lease-l016.jpg</x:v>
      </x:c>
      <x:c r="D19" s="20" t="str">
        <x:v>Residential lease agreement</x:v>
      </x:c>
      <x:c r="E19" s="20" t="str">
        <x:v>Lease</x:v>
      </x:c>
      <x:c r="F19" s="35" t="str">
        <x:v>Direct scan draft; confirms property, unit, tenant, LeaseManagement, agreement, and account</x:v>
      </x:c>
      <x:c r="G19" s="20" t="str">
        <x:v>Camera JPEG</x:v>
      </x:c>
      <x:c r="H19" s="20" t="str">
        <x:v>9 images stitched to one PDF</x:v>
      </x:c>
      <x:c r="I19" s="35" t="str">
        <x:v>phone camera slight skew</x:v>
      </x:c>
      <x:c r="J19" s="20" t="str">
        <x:v>P016</x:v>
      </x:c>
      <x:c r="K19" s="20" t="str">
        <x:v>U016</x:v>
      </x:c>
      <x:c r="L19" s="20" t="str">
        <x:v>L016</x:v>
      </x:c>
      <x:c r="M19" s="20" t="str"/>
      <x:c r="N19" s="35" t="str">
        <x:v>landlord; tenant; premises; property name; unit; start/end; monthly rent; deposit; due day; signatures</x:v>
      </x:c>
      <x:c r="O19" s="35" t="str">
        <x:v>one co-tenant on every sixth lease; due day 31 on L031; handwritten initials on every fifth lease</x:v>
      </x:c>
      <x:c r="P19" s="35" t="str">
        <x:v>Re-enter a different opening lease through the equivalent manual lease form on the other client.</x:v>
      </x:c>
      <x:c r="Q19" s="35" t="str">
        <x:v>Synthetic QA only; no real people, accounts, signatures, or properties</x:v>
      </x:c>
    </x:row>
    <x:row r="20">
      <x:c r="A20" s="20" t="str">
        <x:v>SCN-0017</x:v>
      </x:c>
      <x:c r="B20" s="23" t="n">
        <x:v>46390</x:v>
      </x:c>
      <x:c r="C20" s="20" t="str">
        <x:v>scn-0017-opening-lease-l017.pdf</x:v>
      </x:c>
      <x:c r="D20" s="20" t="str">
        <x:v>Residential lease agreement</x:v>
      </x:c>
      <x:c r="E20" s="20" t="str">
        <x:v>Lease</x:v>
      </x:c>
      <x:c r="F20" s="35" t="str">
        <x:v>Direct scan draft; confirms property, unit, tenant, LeaseManagement, agreement, and account</x:v>
      </x:c>
      <x:c r="G20" s="20" t="str">
        <x:v>PDF</x:v>
      </x:c>
      <x:c r="H20" s="20" t="str">
        <x:v>9 pages</x:v>
      </x:c>
      <x:c r="I20" s="35" t="str">
        <x:v>low contrast photocopy</x:v>
      </x:c>
      <x:c r="J20" s="20" t="str">
        <x:v>P017</x:v>
      </x:c>
      <x:c r="K20" s="20" t="str">
        <x:v>U017</x:v>
      </x:c>
      <x:c r="L20" s="20" t="str">
        <x:v>L017</x:v>
      </x:c>
      <x:c r="M20" s="20" t="str"/>
      <x:c r="N20" s="35" t="str">
        <x:v>landlord; tenant; premises; property name; unit; start/end; monthly rent; deposit; due day; signatures</x:v>
      </x:c>
      <x:c r="O20" s="35" t="str">
        <x:v>one co-tenant on every sixth lease; due day 31 on L031; handwritten initials on every fifth lease</x:v>
      </x:c>
      <x:c r="P20" s="35" t="str">
        <x:v>Re-enter a different opening lease through the equivalent manual lease form on the other client.</x:v>
      </x:c>
      <x:c r="Q20" s="35" t="str">
        <x:v>Synthetic QA only; no real people, accounts, signatures, or properties</x:v>
      </x:c>
    </x:row>
    <x:row r="21">
      <x:c r="A21" s="20" t="str">
        <x:v>SCN-0018</x:v>
      </x:c>
      <x:c r="B21" s="23" t="n">
        <x:v>46390</x:v>
      </x:c>
      <x:c r="C21" s="20" t="str">
        <x:v>scn-0018-opening-lease-l018.jpg</x:v>
      </x:c>
      <x:c r="D21" s="20" t="str">
        <x:v>Residential lease agreement</x:v>
      </x:c>
      <x:c r="E21" s="20" t="str">
        <x:v>Lease</x:v>
      </x:c>
      <x:c r="F21" s="35" t="str">
        <x:v>Direct scan draft; confirms property, unit, tenant, LeaseManagement, agreement, and account</x:v>
      </x:c>
      <x:c r="G21" s="20" t="str">
        <x:v>Camera JPEG</x:v>
      </x:c>
      <x:c r="H21" s="20" t="str">
        <x:v>9 images stitched to one PDF</x:v>
      </x:c>
      <x:c r="I21" s="35" t="str">
        <x:v>clean exported PDF</x:v>
      </x:c>
      <x:c r="J21" s="20" t="str">
        <x:v>P018</x:v>
      </x:c>
      <x:c r="K21" s="20" t="str">
        <x:v>U018</x:v>
      </x:c>
      <x:c r="L21" s="20" t="str">
        <x:v>L018</x:v>
      </x:c>
      <x:c r="M21" s="20" t="str"/>
      <x:c r="N21" s="35" t="str">
        <x:v>landlord; tenant; premises; property name; unit; start/end; monthly rent; deposit; due day; signatures</x:v>
      </x:c>
      <x:c r="O21" s="35" t="str">
        <x:v>one co-tenant on every sixth lease; due day 31 on L031; handwritten initials on every fifth lease</x:v>
      </x:c>
      <x:c r="P21" s="35" t="str">
        <x:v>Re-enter a different opening lease through the equivalent manual lease form on the other client.</x:v>
      </x:c>
      <x:c r="Q21" s="35" t="str">
        <x:v>Synthetic QA only; no real people, accounts, signatures, or properties</x:v>
      </x:c>
    </x:row>
    <x:row r="22">
      <x:c r="A22" s="20" t="str">
        <x:v>SCN-0019</x:v>
      </x:c>
      <x:c r="B22" s="23" t="n">
        <x:v>46390</x:v>
      </x:c>
      <x:c r="C22" s="20" t="str">
        <x:v>scn-0019-opening-lease-l019.pdf</x:v>
      </x:c>
      <x:c r="D22" s="20" t="str">
        <x:v>Residential lease agreement</x:v>
      </x:c>
      <x:c r="E22" s="20" t="str">
        <x:v>Lease</x:v>
      </x:c>
      <x:c r="F22" s="35" t="str">
        <x:v>Direct scan draft; confirms property, unit, tenant, LeaseManagement, agreement, and account</x:v>
      </x:c>
      <x:c r="G22" s="20" t="str">
        <x:v>PDF</x:v>
      </x:c>
      <x:c r="H22" s="20" t="str">
        <x:v>9 pages</x:v>
      </x:c>
      <x:c r="I22" s="35" t="str">
        <x:v>phone camera slight skew</x:v>
      </x:c>
      <x:c r="J22" s="20" t="str">
        <x:v>P019</x:v>
      </x:c>
      <x:c r="K22" s="20" t="str">
        <x:v>U019</x:v>
      </x:c>
      <x:c r="L22" s="20" t="str">
        <x:v>L019</x:v>
      </x:c>
      <x:c r="M22" s="20" t="str"/>
      <x:c r="N22" s="35" t="str">
        <x:v>landlord; tenant; premises; property name; unit; start/end; monthly rent; deposit; due day; signatures</x:v>
      </x:c>
      <x:c r="O22" s="35" t="str">
        <x:v>one co-tenant on every sixth lease; due day 31 on L031; handwritten initials on every fifth lease</x:v>
      </x:c>
      <x:c r="P22" s="35" t="str">
        <x:v>Re-enter a different opening lease through the equivalent manual lease form on the other client.</x:v>
      </x:c>
      <x:c r="Q22" s="35" t="str">
        <x:v>Synthetic QA only; no real people, accounts, signatures, or properties</x:v>
      </x:c>
    </x:row>
    <x:row r="23">
      <x:c r="A23" s="20" t="str">
        <x:v>SCN-0020</x:v>
      </x:c>
      <x:c r="B23" s="23" t="n">
        <x:v>46390</x:v>
      </x:c>
      <x:c r="C23" s="20" t="str">
        <x:v>scn-0020-opening-lease-l020.jpg</x:v>
      </x:c>
      <x:c r="D23" s="20" t="str">
        <x:v>Residential lease agreement</x:v>
      </x:c>
      <x:c r="E23" s="20" t="str">
        <x:v>Lease</x:v>
      </x:c>
      <x:c r="F23" s="35" t="str">
        <x:v>Direct scan draft; confirms property, unit, tenant, LeaseManagement, agreement, and account</x:v>
      </x:c>
      <x:c r="G23" s="20" t="str">
        <x:v>Camera JPEG</x:v>
      </x:c>
      <x:c r="H23" s="20" t="str">
        <x:v>9 images stitched to one PDF</x:v>
      </x:c>
      <x:c r="I23" s="35" t="str">
        <x:v>low contrast photocopy</x:v>
      </x:c>
      <x:c r="J23" s="20" t="str">
        <x:v>P020</x:v>
      </x:c>
      <x:c r="K23" s="20" t="str">
        <x:v>U020</x:v>
      </x:c>
      <x:c r="L23" s="20" t="str">
        <x:v>L020</x:v>
      </x:c>
      <x:c r="M23" s="20" t="str"/>
      <x:c r="N23" s="35" t="str">
        <x:v>landlord; tenant; premises; property name; unit; start/end; monthly rent; deposit; due day; signatures</x:v>
      </x:c>
      <x:c r="O23" s="35" t="str">
        <x:v>one co-tenant on every sixth lease; due day 31 on L031; handwritten initials on every fifth lease</x:v>
      </x:c>
      <x:c r="P23" s="35" t="str">
        <x:v>Re-enter a different opening lease through the equivalent manual lease form on the other client.</x:v>
      </x:c>
      <x:c r="Q23" s="35" t="str">
        <x:v>Synthetic QA only; no real people, accounts, signatures, or properties</x:v>
      </x:c>
    </x:row>
    <x:row r="24">
      <x:c r="A24" s="20" t="str">
        <x:v>SCN-0021</x:v>
      </x:c>
      <x:c r="B24" s="23" t="n">
        <x:v>46390</x:v>
      </x:c>
      <x:c r="C24" s="20" t="str">
        <x:v>scn-0021-opening-lease-l021.pdf</x:v>
      </x:c>
      <x:c r="D24" s="20" t="str">
        <x:v>Residential lease agreement</x:v>
      </x:c>
      <x:c r="E24" s="20" t="str">
        <x:v>Lease</x:v>
      </x:c>
      <x:c r="F24" s="35" t="str">
        <x:v>Direct scan draft; confirms property, unit, tenant, LeaseManagement, agreement, and account</x:v>
      </x:c>
      <x:c r="G24" s="20" t="str">
        <x:v>PDF</x:v>
      </x:c>
      <x:c r="H24" s="20" t="str">
        <x:v>9 pages</x:v>
      </x:c>
      <x:c r="I24" s="35" t="str">
        <x:v>clean exported PDF</x:v>
      </x:c>
      <x:c r="J24" s="20" t="str">
        <x:v>P021</x:v>
      </x:c>
      <x:c r="K24" s="20" t="str">
        <x:v>U021</x:v>
      </x:c>
      <x:c r="L24" s="20" t="str">
        <x:v>L021</x:v>
      </x:c>
      <x:c r="M24" s="20" t="str"/>
      <x:c r="N24" s="35" t="str">
        <x:v>landlord; tenant; premises; property name; unit; start/end; monthly rent; deposit; due day; signatures</x:v>
      </x:c>
      <x:c r="O24" s="35" t="str">
        <x:v>one co-tenant on every sixth lease; due day 31 on L031; handwritten initials on every fifth lease</x:v>
      </x:c>
      <x:c r="P24" s="35" t="str">
        <x:v>Re-enter a different opening lease through the equivalent manual lease form on the other client.</x:v>
      </x:c>
      <x:c r="Q24" s="35" t="str">
        <x:v>Synthetic QA only; no real people, accounts, signatures, or properties</x:v>
      </x:c>
    </x:row>
    <x:row r="25">
      <x:c r="A25" s="20" t="str">
        <x:v>SCN-0022</x:v>
      </x:c>
      <x:c r="B25" s="23" t="n">
        <x:v>46390</x:v>
      </x:c>
      <x:c r="C25" s="20" t="str">
        <x:v>scn-0022-opening-lease-l022.jpg</x:v>
      </x:c>
      <x:c r="D25" s="20" t="str">
        <x:v>Residential lease agreement</x:v>
      </x:c>
      <x:c r="E25" s="20" t="str">
        <x:v>Lease</x:v>
      </x:c>
      <x:c r="F25" s="35" t="str">
        <x:v>Direct scan draft; confirms property, unit, tenant, LeaseManagement, agreement, and account</x:v>
      </x:c>
      <x:c r="G25" s="20" t="str">
        <x:v>Camera JPEG</x:v>
      </x:c>
      <x:c r="H25" s="20" t="str">
        <x:v>9 images stitched to one PDF</x:v>
      </x:c>
      <x:c r="I25" s="35" t="str">
        <x:v>phone camera slight skew</x:v>
      </x:c>
      <x:c r="J25" s="20" t="str">
        <x:v>P021</x:v>
      </x:c>
      <x:c r="K25" s="20" t="str">
        <x:v>U022</x:v>
      </x:c>
      <x:c r="L25" s="20" t="str">
        <x:v>L022</x:v>
      </x:c>
      <x:c r="M25" s="20" t="str"/>
      <x:c r="N25" s="35" t="str">
        <x:v>landlord; tenant; premises; property name; unit; start/end; monthly rent; deposit; due day; signatures</x:v>
      </x:c>
      <x:c r="O25" s="35" t="str">
        <x:v>one co-tenant on every sixth lease; due day 31 on L031; handwritten initials on every fifth lease</x:v>
      </x:c>
      <x:c r="P25" s="35" t="str">
        <x:v>Re-enter a different opening lease through the equivalent manual lease form on the other client.</x:v>
      </x:c>
      <x:c r="Q25" s="35" t="str">
        <x:v>Synthetic QA only; no real people, accounts, signatures, or properties</x:v>
      </x:c>
    </x:row>
    <x:row r="26">
      <x:c r="A26" s="20" t="str">
        <x:v>SCN-0023</x:v>
      </x:c>
      <x:c r="B26" s="23" t="n">
        <x:v>46390</x:v>
      </x:c>
      <x:c r="C26" s="20" t="str">
        <x:v>scn-0023-opening-lease-l023.pdf</x:v>
      </x:c>
      <x:c r="D26" s="20" t="str">
        <x:v>Residential lease agreement</x:v>
      </x:c>
      <x:c r="E26" s="20" t="str">
        <x:v>Lease</x:v>
      </x:c>
      <x:c r="F26" s="35" t="str">
        <x:v>Direct scan draft; confirms property, unit, tenant, LeaseManagement, agreement, and account</x:v>
      </x:c>
      <x:c r="G26" s="20" t="str">
        <x:v>PDF</x:v>
      </x:c>
      <x:c r="H26" s="20" t="str">
        <x:v>9 pages</x:v>
      </x:c>
      <x:c r="I26" s="35" t="str">
        <x:v>low contrast photocopy</x:v>
      </x:c>
      <x:c r="J26" s="20" t="str">
        <x:v>P022</x:v>
      </x:c>
      <x:c r="K26" s="20" t="str">
        <x:v>U023</x:v>
      </x:c>
      <x:c r="L26" s="20" t="str">
        <x:v>L023</x:v>
      </x:c>
      <x:c r="M26" s="20" t="str"/>
      <x:c r="N26" s="35" t="str">
        <x:v>landlord; tenant; premises; property name; unit; start/end; monthly rent; deposit; due day; signatures</x:v>
      </x:c>
      <x:c r="O26" s="35" t="str">
        <x:v>one co-tenant on every sixth lease; due day 31 on L031; handwritten initials on every fifth lease</x:v>
      </x:c>
      <x:c r="P26" s="35" t="str">
        <x:v>Re-enter a different opening lease through the equivalent manual lease form on the other client.</x:v>
      </x:c>
      <x:c r="Q26" s="35" t="str">
        <x:v>Synthetic QA only; no real people, accounts, signatures, or properties</x:v>
      </x:c>
    </x:row>
    <x:row r="27">
      <x:c r="A27" s="20" t="str">
        <x:v>SCN-0024</x:v>
      </x:c>
      <x:c r="B27" s="23" t="n">
        <x:v>46390</x:v>
      </x:c>
      <x:c r="C27" s="20" t="str">
        <x:v>scn-0024-opening-lease-l024.jpg</x:v>
      </x:c>
      <x:c r="D27" s="20" t="str">
        <x:v>Residential lease agreement</x:v>
      </x:c>
      <x:c r="E27" s="20" t="str">
        <x:v>Lease</x:v>
      </x:c>
      <x:c r="F27" s="35" t="str">
        <x:v>Direct scan draft; confirms property, unit, tenant, LeaseManagement, agreement, and account</x:v>
      </x:c>
      <x:c r="G27" s="20" t="str">
        <x:v>Camera JPEG</x:v>
      </x:c>
      <x:c r="H27" s="20" t="str">
        <x:v>9 images stitched to one PDF</x:v>
      </x:c>
      <x:c r="I27" s="35" t="str">
        <x:v>clean exported PDF</x:v>
      </x:c>
      <x:c r="J27" s="20" t="str">
        <x:v>P022</x:v>
      </x:c>
      <x:c r="K27" s="20" t="str">
        <x:v>U024</x:v>
      </x:c>
      <x:c r="L27" s="20" t="str">
        <x:v>L024</x:v>
      </x:c>
      <x:c r="M27" s="20" t="str"/>
      <x:c r="N27" s="35" t="str">
        <x:v>landlord; tenant; premises; property name; unit; start/end; monthly rent; deposit; due day; signatures</x:v>
      </x:c>
      <x:c r="O27" s="35" t="str">
        <x:v>one co-tenant on every sixth lease; due day 31 on L031; handwritten initials on every fifth lease</x:v>
      </x:c>
      <x:c r="P27" s="35" t="str">
        <x:v>Re-enter a different opening lease through the equivalent manual lease form on the other client.</x:v>
      </x:c>
      <x:c r="Q27" s="35" t="str">
        <x:v>Synthetic QA only; no real people, accounts, signatures, or properties</x:v>
      </x:c>
    </x:row>
    <x:row r="28">
      <x:c r="A28" s="20" t="str">
        <x:v>SCN-0025</x:v>
      </x:c>
      <x:c r="B28" s="23" t="n">
        <x:v>46391</x:v>
      </x:c>
      <x:c r="C28" s="20" t="str">
        <x:v>scn-0025-opening-lease-l025.pdf</x:v>
      </x:c>
      <x:c r="D28" s="20" t="str">
        <x:v>Residential lease agreement</x:v>
      </x:c>
      <x:c r="E28" s="20" t="str">
        <x:v>Lease</x:v>
      </x:c>
      <x:c r="F28" s="35" t="str">
        <x:v>Direct scan draft; confirms property, unit, tenant, LeaseManagement, agreement, and account</x:v>
      </x:c>
      <x:c r="G28" s="20" t="str">
        <x:v>PDF</x:v>
      </x:c>
      <x:c r="H28" s="20" t="str">
        <x:v>9 pages</x:v>
      </x:c>
      <x:c r="I28" s="35" t="str">
        <x:v>phone camera slight skew</x:v>
      </x:c>
      <x:c r="J28" s="20" t="str">
        <x:v>P023</x:v>
      </x:c>
      <x:c r="K28" s="20" t="str">
        <x:v>U025</x:v>
      </x:c>
      <x:c r="L28" s="20" t="str">
        <x:v>L025</x:v>
      </x:c>
      <x:c r="M28" s="20" t="str"/>
      <x:c r="N28" s="35" t="str">
        <x:v>landlord; tenant; premises; property name; unit; start/end; monthly rent; deposit; due day; signatures</x:v>
      </x:c>
      <x:c r="O28" s="35" t="str">
        <x:v>one co-tenant on every sixth lease; due day 31 on L031; handwritten initials on every fifth lease</x:v>
      </x:c>
      <x:c r="P28" s="35" t="str">
        <x:v>Re-enter a different opening lease through the equivalent manual lease form on the other client.</x:v>
      </x:c>
      <x:c r="Q28" s="35" t="str">
        <x:v>Synthetic QA only; no real people, accounts, signatures, or properties</x:v>
      </x:c>
    </x:row>
    <x:row r="29">
      <x:c r="A29" s="20" t="str">
        <x:v>SCN-0026</x:v>
      </x:c>
      <x:c r="B29" s="23" t="n">
        <x:v>46391</x:v>
      </x:c>
      <x:c r="C29" s="20" t="str">
        <x:v>scn-0026-opening-lease-l026.jpg</x:v>
      </x:c>
      <x:c r="D29" s="20" t="str">
        <x:v>Residential lease agreement</x:v>
      </x:c>
      <x:c r="E29" s="20" t="str">
        <x:v>Lease</x:v>
      </x:c>
      <x:c r="F29" s="35" t="str">
        <x:v>Direct scan draft; confirms property, unit, tenant, LeaseManagement, agreement, and account</x:v>
      </x:c>
      <x:c r="G29" s="20" t="str">
        <x:v>Camera JPEG</x:v>
      </x:c>
      <x:c r="H29" s="20" t="str">
        <x:v>9 images stitched to one PDF</x:v>
      </x:c>
      <x:c r="I29" s="35" t="str">
        <x:v>low contrast photocopy</x:v>
      </x:c>
      <x:c r="J29" s="20" t="str">
        <x:v>P023</x:v>
      </x:c>
      <x:c r="K29" s="20" t="str">
        <x:v>U026</x:v>
      </x:c>
      <x:c r="L29" s="20" t="str">
        <x:v>L026</x:v>
      </x:c>
      <x:c r="M29" s="20" t="str"/>
      <x:c r="N29" s="35" t="str">
        <x:v>landlord; tenant; premises; property name; unit; start/end; monthly rent; deposit; due day; signatures</x:v>
      </x:c>
      <x:c r="O29" s="35" t="str">
        <x:v>one co-tenant on every sixth lease; due day 31 on L031; handwritten initials on every fifth lease</x:v>
      </x:c>
      <x:c r="P29" s="35" t="str">
        <x:v>Re-enter a different opening lease through the equivalent manual lease form on the other client.</x:v>
      </x:c>
      <x:c r="Q29" s="35" t="str">
        <x:v>Synthetic QA only; no real people, accounts, signatures, or properties</x:v>
      </x:c>
    </x:row>
    <x:row r="30">
      <x:c r="A30" s="20" t="str">
        <x:v>SCN-0027</x:v>
      </x:c>
      <x:c r="B30" s="23" t="n">
        <x:v>46391</x:v>
      </x:c>
      <x:c r="C30" s="20" t="str">
        <x:v>scn-0027-opening-lease-l027.pdf</x:v>
      </x:c>
      <x:c r="D30" s="20" t="str">
        <x:v>Residential lease agreement</x:v>
      </x:c>
      <x:c r="E30" s="20" t="str">
        <x:v>Lease</x:v>
      </x:c>
      <x:c r="F30" s="35" t="str">
        <x:v>Direct scan draft; confirms property, unit, tenant, LeaseManagement, agreement, and account</x:v>
      </x:c>
      <x:c r="G30" s="20" t="str">
        <x:v>PDF</x:v>
      </x:c>
      <x:c r="H30" s="20" t="str">
        <x:v>9 pages</x:v>
      </x:c>
      <x:c r="I30" s="35" t="str">
        <x:v>clean exported PDF</x:v>
      </x:c>
      <x:c r="J30" s="20" t="str">
        <x:v>P024</x:v>
      </x:c>
      <x:c r="K30" s="20" t="str">
        <x:v>U027</x:v>
      </x:c>
      <x:c r="L30" s="20" t="str">
        <x:v>L027</x:v>
      </x:c>
      <x:c r="M30" s="20" t="str"/>
      <x:c r="N30" s="35" t="str">
        <x:v>landlord; tenant; premises; property name; unit; start/end; monthly rent; deposit; due day; signatures</x:v>
      </x:c>
      <x:c r="O30" s="35" t="str">
        <x:v>one co-tenant on every sixth lease; due day 31 on L031; handwritten initials on every fifth lease</x:v>
      </x:c>
      <x:c r="P30" s="35" t="str">
        <x:v>Re-enter a different opening lease through the equivalent manual lease form on the other client.</x:v>
      </x:c>
      <x:c r="Q30" s="35" t="str">
        <x:v>Synthetic QA only; no real people, accounts, signatures, or properties</x:v>
      </x:c>
    </x:row>
    <x:row r="31">
      <x:c r="A31" s="20" t="str">
        <x:v>SCN-0028</x:v>
      </x:c>
      <x:c r="B31" s="23" t="n">
        <x:v>46391</x:v>
      </x:c>
      <x:c r="C31" s="20" t="str">
        <x:v>scn-0028-opening-lease-l028.jpg</x:v>
      </x:c>
      <x:c r="D31" s="20" t="str">
        <x:v>Residential lease agreement</x:v>
      </x:c>
      <x:c r="E31" s="20" t="str">
        <x:v>Lease</x:v>
      </x:c>
      <x:c r="F31" s="35" t="str">
        <x:v>Direct scan draft; confirms property, unit, tenant, LeaseManagement, agreement, and account</x:v>
      </x:c>
      <x:c r="G31" s="20" t="str">
        <x:v>Camera JPEG</x:v>
      </x:c>
      <x:c r="H31" s="20" t="str">
        <x:v>9 images stitched to one PDF</x:v>
      </x:c>
      <x:c r="I31" s="35" t="str">
        <x:v>phone camera slight skew</x:v>
      </x:c>
      <x:c r="J31" s="20" t="str">
        <x:v>P024</x:v>
      </x:c>
      <x:c r="K31" s="20" t="str">
        <x:v>U028</x:v>
      </x:c>
      <x:c r="L31" s="20" t="str">
        <x:v>L028</x:v>
      </x:c>
      <x:c r="M31" s="20" t="str"/>
      <x:c r="N31" s="35" t="str">
        <x:v>landlord; tenant; premises; property name; unit; start/end; monthly rent; deposit; due day; signatures</x:v>
      </x:c>
      <x:c r="O31" s="35" t="str">
        <x:v>one co-tenant on every sixth lease; due day 31 on L031; handwritten initials on every fifth lease</x:v>
      </x:c>
      <x:c r="P31" s="35" t="str">
        <x:v>Re-enter a different opening lease through the equivalent manual lease form on the other client.</x:v>
      </x:c>
      <x:c r="Q31" s="35" t="str">
        <x:v>Synthetic QA only; no real people, accounts, signatures, or properties</x:v>
      </x:c>
    </x:row>
    <x:row r="32">
      <x:c r="A32" s="20" t="str">
        <x:v>SCN-0029</x:v>
      </x:c>
      <x:c r="B32" s="23" t="n">
        <x:v>46391</x:v>
      </x:c>
      <x:c r="C32" s="20" t="str">
        <x:v>scn-0029-opening-lease-l029.pdf</x:v>
      </x:c>
      <x:c r="D32" s="20" t="str">
        <x:v>Residential lease agreement</x:v>
      </x:c>
      <x:c r="E32" s="20" t="str">
        <x:v>Lease</x:v>
      </x:c>
      <x:c r="F32" s="35" t="str">
        <x:v>Direct scan draft; confirms property, unit, tenant, LeaseManagement, agreement, and account</x:v>
      </x:c>
      <x:c r="G32" s="20" t="str">
        <x:v>PDF</x:v>
      </x:c>
      <x:c r="H32" s="20" t="str">
        <x:v>9 pages</x:v>
      </x:c>
      <x:c r="I32" s="35" t="str">
        <x:v>low contrast photocopy</x:v>
      </x:c>
      <x:c r="J32" s="20" t="str">
        <x:v>P025</x:v>
      </x:c>
      <x:c r="K32" s="20" t="str">
        <x:v>U029</x:v>
      </x:c>
      <x:c r="L32" s="20" t="str">
        <x:v>L029</x:v>
      </x:c>
      <x:c r="M32" s="20" t="str"/>
      <x:c r="N32" s="35" t="str">
        <x:v>landlord; tenant; premises; property name; unit; start/end; monthly rent; deposit; due day; signatures</x:v>
      </x:c>
      <x:c r="O32" s="35" t="str">
        <x:v>one co-tenant on every sixth lease; due day 31 on L031; handwritten initials on every fifth lease</x:v>
      </x:c>
      <x:c r="P32" s="35" t="str">
        <x:v>Re-enter a different opening lease through the equivalent manual lease form on the other client.</x:v>
      </x:c>
      <x:c r="Q32" s="35" t="str">
        <x:v>Synthetic QA only; no real people, accounts, signatures, or properties</x:v>
      </x:c>
    </x:row>
    <x:row r="33">
      <x:c r="A33" s="20" t="str">
        <x:v>SCN-0030</x:v>
      </x:c>
      <x:c r="B33" s="23" t="n">
        <x:v>46391</x:v>
      </x:c>
      <x:c r="C33" s="20" t="str">
        <x:v>scn-0030-opening-lease-l030.jpg</x:v>
      </x:c>
      <x:c r="D33" s="20" t="str">
        <x:v>Residential lease agreement</x:v>
      </x:c>
      <x:c r="E33" s="20" t="str">
        <x:v>Lease</x:v>
      </x:c>
      <x:c r="F33" s="35" t="str">
        <x:v>Direct scan draft; confirms property, unit, tenant, LeaseManagement, agreement, and account</x:v>
      </x:c>
      <x:c r="G33" s="20" t="str">
        <x:v>Camera JPEG</x:v>
      </x:c>
      <x:c r="H33" s="20" t="str">
        <x:v>9 images stitched to one PDF</x:v>
      </x:c>
      <x:c r="I33" s="35" t="str">
        <x:v>clean exported PDF</x:v>
      </x:c>
      <x:c r="J33" s="20" t="str">
        <x:v>P025</x:v>
      </x:c>
      <x:c r="K33" s="20" t="str">
        <x:v>U030</x:v>
      </x:c>
      <x:c r="L33" s="20" t="str">
        <x:v>L030</x:v>
      </x:c>
      <x:c r="M33" s="20" t="str"/>
      <x:c r="N33" s="35" t="str">
        <x:v>landlord; tenant; premises; property name; unit; start/end; monthly rent; deposit; due day; signatures</x:v>
      </x:c>
      <x:c r="O33" s="35" t="str">
        <x:v>one co-tenant on every sixth lease; due day 31 on L031; handwritten initials on every fifth lease</x:v>
      </x:c>
      <x:c r="P33" s="35" t="str">
        <x:v>Re-enter a different opening lease through the equivalent manual lease form on the other client.</x:v>
      </x:c>
      <x:c r="Q33" s="35" t="str">
        <x:v>Synthetic QA only; no real people, accounts, signatures, or properties</x:v>
      </x:c>
    </x:row>
    <x:row r="34">
      <x:c r="A34" s="20" t="str">
        <x:v>SCN-0031</x:v>
      </x:c>
      <x:c r="B34" s="23" t="n">
        <x:v>46391</x:v>
      </x:c>
      <x:c r="C34" s="20" t="str">
        <x:v>scn-0031-opening-lease-l031.pdf</x:v>
      </x:c>
      <x:c r="D34" s="20" t="str">
        <x:v>Residential lease agreement</x:v>
      </x:c>
      <x:c r="E34" s="20" t="str">
        <x:v>Lease</x:v>
      </x:c>
      <x:c r="F34" s="35" t="str">
        <x:v>Direct scan draft; confirms property, unit, tenant, LeaseManagement, agreement, and account</x:v>
      </x:c>
      <x:c r="G34" s="20" t="str">
        <x:v>PDF</x:v>
      </x:c>
      <x:c r="H34" s="20" t="str">
        <x:v>9 pages</x:v>
      </x:c>
      <x:c r="I34" s="35" t="str">
        <x:v>phone camera slight skew</x:v>
      </x:c>
      <x:c r="J34" s="20" t="str">
        <x:v>P026</x:v>
      </x:c>
      <x:c r="K34" s="20" t="str">
        <x:v>U031</x:v>
      </x:c>
      <x:c r="L34" s="20" t="str">
        <x:v>L031</x:v>
      </x:c>
      <x:c r="M34" s="20" t="str"/>
      <x:c r="N34" s="35" t="str">
        <x:v>landlord; tenant; premises; property name; unit; start/end; monthly rent; deposit; due day; signatures</x:v>
      </x:c>
      <x:c r="O34" s="35" t="str">
        <x:v>one co-tenant on every sixth lease; due day 31 on L031; handwritten initials on every fifth lease</x:v>
      </x:c>
      <x:c r="P34" s="35" t="str">
        <x:v>Re-enter a different opening lease through the equivalent manual lease form on the other client.</x:v>
      </x:c>
      <x:c r="Q34" s="35" t="str">
        <x:v>Synthetic QA only; no real people, accounts, signatures, or properties</x:v>
      </x:c>
    </x:row>
    <x:row r="35">
      <x:c r="A35" s="20" t="str">
        <x:v>SCN-0032</x:v>
      </x:c>
      <x:c r="B35" s="23" t="n">
        <x:v>46391</x:v>
      </x:c>
      <x:c r="C35" s="20" t="str">
        <x:v>scn-0032-opening-lease-l032.jpg</x:v>
      </x:c>
      <x:c r="D35" s="20" t="str">
        <x:v>Residential lease agreement</x:v>
      </x:c>
      <x:c r="E35" s="20" t="str">
        <x:v>Lease</x:v>
      </x:c>
      <x:c r="F35" s="35" t="str">
        <x:v>Direct scan draft; confirms property, unit, tenant, LeaseManagement, agreement, and account</x:v>
      </x:c>
      <x:c r="G35" s="20" t="str">
        <x:v>Camera JPEG</x:v>
      </x:c>
      <x:c r="H35" s="20" t="str">
        <x:v>9 images stitched to one PDF</x:v>
      </x:c>
      <x:c r="I35" s="35" t="str">
        <x:v>low contrast photocopy</x:v>
      </x:c>
      <x:c r="J35" s="20" t="str">
        <x:v>P026</x:v>
      </x:c>
      <x:c r="K35" s="20" t="str">
        <x:v>U032</x:v>
      </x:c>
      <x:c r="L35" s="20" t="str">
        <x:v>L032</x:v>
      </x:c>
      <x:c r="M35" s="20" t="str"/>
      <x:c r="N35" s="35" t="str">
        <x:v>landlord; tenant; premises; property name; unit; start/end; monthly rent; deposit; due day; signatures</x:v>
      </x:c>
      <x:c r="O35" s="35" t="str">
        <x:v>one co-tenant on every sixth lease; due day 31 on L031; handwritten initials on every fifth lease</x:v>
      </x:c>
      <x:c r="P35" s="35" t="str">
        <x:v>Re-enter a different opening lease through the equivalent manual lease form on the other client.</x:v>
      </x:c>
      <x:c r="Q35" s="35" t="str">
        <x:v>Synthetic QA only; no real people, accounts, signatures, or properties</x:v>
      </x:c>
    </x:row>
    <x:row r="36">
      <x:c r="A36" s="20" t="str">
        <x:v>SCN-0033</x:v>
      </x:c>
      <x:c r="B36" s="23" t="n">
        <x:v>46391</x:v>
      </x:c>
      <x:c r="C36" s="20" t="str">
        <x:v>scn-0033-opening-lease-l033.pdf</x:v>
      </x:c>
      <x:c r="D36" s="20" t="str">
        <x:v>Residential lease agreement</x:v>
      </x:c>
      <x:c r="E36" s="20" t="str">
        <x:v>Lease</x:v>
      </x:c>
      <x:c r="F36" s="35" t="str">
        <x:v>Direct scan draft; confirms property, unit, tenant, LeaseManagement, agreement, and account</x:v>
      </x:c>
      <x:c r="G36" s="20" t="str">
        <x:v>PDF</x:v>
      </x:c>
      <x:c r="H36" s="20" t="str">
        <x:v>9 pages</x:v>
      </x:c>
      <x:c r="I36" s="35" t="str">
        <x:v>clean exported PDF</x:v>
      </x:c>
      <x:c r="J36" s="20" t="str">
        <x:v>P027</x:v>
      </x:c>
      <x:c r="K36" s="20" t="str">
        <x:v>U033</x:v>
      </x:c>
      <x:c r="L36" s="20" t="str">
        <x:v>L033</x:v>
      </x:c>
      <x:c r="M36" s="20" t="str"/>
      <x:c r="N36" s="35" t="str">
        <x:v>landlord; tenant; premises; property name; unit; start/end; monthly rent; deposit; due day; signatures</x:v>
      </x:c>
      <x:c r="O36" s="35" t="str">
        <x:v>one co-tenant on every sixth lease; due day 31 on L031; handwritten initials on every fifth lease</x:v>
      </x:c>
      <x:c r="P36" s="35" t="str">
        <x:v>Re-enter a different opening lease through the equivalent manual lease form on the other client.</x:v>
      </x:c>
      <x:c r="Q36" s="35" t="str">
        <x:v>Synthetic QA only; no real people, accounts, signatures, or properties</x:v>
      </x:c>
    </x:row>
    <x:row r="37">
      <x:c r="A37" s="20" t="str">
        <x:v>SCN-0034</x:v>
      </x:c>
      <x:c r="B37" s="23" t="n">
        <x:v>46391</x:v>
      </x:c>
      <x:c r="C37" s="20" t="str">
        <x:v>scn-0034-opening-lease-l034.jpg</x:v>
      </x:c>
      <x:c r="D37" s="20" t="str">
        <x:v>Residential lease agreement</x:v>
      </x:c>
      <x:c r="E37" s="20" t="str">
        <x:v>Lease</x:v>
      </x:c>
      <x:c r="F37" s="35" t="str">
        <x:v>Direct scan draft; confirms property, unit, tenant, LeaseManagement, agreement, and account</x:v>
      </x:c>
      <x:c r="G37" s="20" t="str">
        <x:v>Camera JPEG</x:v>
      </x:c>
      <x:c r="H37" s="20" t="str">
        <x:v>9 images stitched to one PDF</x:v>
      </x:c>
      <x:c r="I37" s="35" t="str">
        <x:v>phone camera slight skew</x:v>
      </x:c>
      <x:c r="J37" s="20" t="str">
        <x:v>P027</x:v>
      </x:c>
      <x:c r="K37" s="20" t="str">
        <x:v>U034</x:v>
      </x:c>
      <x:c r="L37" s="20" t="str">
        <x:v>L034</x:v>
      </x:c>
      <x:c r="M37" s="20" t="str"/>
      <x:c r="N37" s="35" t="str">
        <x:v>landlord; tenant; premises; property name; unit; start/end; monthly rent; deposit; due day; signatures</x:v>
      </x:c>
      <x:c r="O37" s="35" t="str">
        <x:v>one co-tenant on every sixth lease; due day 31 on L031; handwritten initials on every fifth lease</x:v>
      </x:c>
      <x:c r="P37" s="35" t="str">
        <x:v>Re-enter a different opening lease through the equivalent manual lease form on the other client.</x:v>
      </x:c>
      <x:c r="Q37" s="35" t="str">
        <x:v>Synthetic QA only; no real people, accounts, signatures, or properties</x:v>
      </x:c>
    </x:row>
    <x:row r="38">
      <x:c r="A38" s="20" t="str">
        <x:v>SCN-0035</x:v>
      </x:c>
      <x:c r="B38" s="23" t="n">
        <x:v>46391</x:v>
      </x:c>
      <x:c r="C38" s="20" t="str">
        <x:v>scn-0035-opening-lease-l035.pdf</x:v>
      </x:c>
      <x:c r="D38" s="20" t="str">
        <x:v>Residential lease agreement</x:v>
      </x:c>
      <x:c r="E38" s="20" t="str">
        <x:v>Lease</x:v>
      </x:c>
      <x:c r="F38" s="35" t="str">
        <x:v>Direct scan draft; confirms property, unit, tenant, LeaseManagement, agreement, and account</x:v>
      </x:c>
      <x:c r="G38" s="20" t="str">
        <x:v>PDF</x:v>
      </x:c>
      <x:c r="H38" s="20" t="str">
        <x:v>9 pages</x:v>
      </x:c>
      <x:c r="I38" s="35" t="str">
        <x:v>low contrast photocopy</x:v>
      </x:c>
      <x:c r="J38" s="20" t="str">
        <x:v>P028</x:v>
      </x:c>
      <x:c r="K38" s="20" t="str">
        <x:v>U035</x:v>
      </x:c>
      <x:c r="L38" s="20" t="str">
        <x:v>L035</x:v>
      </x:c>
      <x:c r="M38" s="20" t="str"/>
      <x:c r="N38" s="35" t="str">
        <x:v>landlord; tenant; premises; property name; unit; start/end; monthly rent; deposit; due day; signatures</x:v>
      </x:c>
      <x:c r="O38" s="35" t="str">
        <x:v>one co-tenant on every sixth lease; due day 31 on L031; handwritten initials on every fifth lease</x:v>
      </x:c>
      <x:c r="P38" s="35" t="str">
        <x:v>Re-enter a different opening lease through the equivalent manual lease form on the other client.</x:v>
      </x:c>
      <x:c r="Q38" s="35" t="str">
        <x:v>Synthetic QA only; no real people, accounts, signatures, or properties</x:v>
      </x:c>
    </x:row>
    <x:row r="39">
      <x:c r="A39" s="20" t="str">
        <x:v>SCN-0036</x:v>
      </x:c>
      <x:c r="B39" s="23" t="n">
        <x:v>46391</x:v>
      </x:c>
      <x:c r="C39" s="20" t="str">
        <x:v>scn-0036-opening-lease-l036.jpg</x:v>
      </x:c>
      <x:c r="D39" s="20" t="str">
        <x:v>Residential lease agreement</x:v>
      </x:c>
      <x:c r="E39" s="20" t="str">
        <x:v>Lease</x:v>
      </x:c>
      <x:c r="F39" s="35" t="str">
        <x:v>Direct scan draft; confirms property, unit, tenant, LeaseManagement, agreement, and account</x:v>
      </x:c>
      <x:c r="G39" s="20" t="str">
        <x:v>Camera JPEG</x:v>
      </x:c>
      <x:c r="H39" s="20" t="str">
        <x:v>9 images stitched to one PDF</x:v>
      </x:c>
      <x:c r="I39" s="35" t="str">
        <x:v>clean exported PDF</x:v>
      </x:c>
      <x:c r="J39" s="20" t="str">
        <x:v>P028</x:v>
      </x:c>
      <x:c r="K39" s="20" t="str">
        <x:v>U036</x:v>
      </x:c>
      <x:c r="L39" s="20" t="str">
        <x:v>L036</x:v>
      </x:c>
      <x:c r="M39" s="20" t="str"/>
      <x:c r="N39" s="35" t="str">
        <x:v>landlord; tenant; premises; property name; unit; start/end; monthly rent; deposit; due day; signatures</x:v>
      </x:c>
      <x:c r="O39" s="35" t="str">
        <x:v>one co-tenant on every sixth lease; due day 31 on L031; handwritten initials on every fifth lease</x:v>
      </x:c>
      <x:c r="P39" s="35" t="str">
        <x:v>Re-enter a different opening lease through the equivalent manual lease form on the other client.</x:v>
      </x:c>
      <x:c r="Q39" s="35" t="str">
        <x:v>Synthetic QA only; no real people, accounts, signatures, or properties</x:v>
      </x:c>
    </x:row>
    <x:row r="40">
      <x:c r="A40" s="20" t="str">
        <x:v>SCN-0037</x:v>
      </x:c>
      <x:c r="B40" s="23" t="n">
        <x:v>46395</x:v>
      </x:c>
      <x:c r="C40" s="20" t="str">
        <x:v>scn-0037-deed-p001.pdf</x:v>
      </x:c>
      <x:c r="D40" s="20" t="str">
        <x:v>Deed / settlement statement</x:v>
      </x:c>
      <x:c r="E40" s="20" t="str">
        <x:v>Property document</x:v>
      </x:c>
      <x:c r="F40" s="35" t="str">
        <x:v>Contextual attachment; probe scan suggestion for Property and log a gap if no typed draft is offered</x:v>
      </x:c>
      <x:c r="G40" s="20" t="str">
        <x:v>PDF</x:v>
      </x:c>
      <x:c r="H40" s="20" t="str">
        <x:v>4 pages</x:v>
      </x:c>
      <x:c r="I40" s="35" t="str">
        <x:v>clean PDF with county stamp and legal-description noise</x:v>
      </x:c>
      <x:c r="J40" s="20" t="str">
        <x:v>P001</x:v>
      </x:c>
      <x:c r="K40" s="20" t="str"/>
      <x:c r="L40" s="20" t="str"/>
      <x:c r="M40" s="20" t="str"/>
      <x:c r="N40" s="35" t="str">
        <x:v>owner; street address; parcel reference; acquisition date; purchase price</x:v>
      </x:c>
      <x:c r="O40" s="35" t="str">
        <x:v>legal description should not overwrite mailing address</x:v>
      </x:c>
      <x:c r="P40" s="35" t="str">
        <x:v>Create or edit property acquisition and ownership fields manually on web/mobile.</x:v>
      </x:c>
      <x:c r="Q40" s="35" t="str">
        <x:v>Synthetic QA only; no real people, accounts, signatures, or properties</x:v>
      </x:c>
    </x:row>
    <x:row r="41">
      <x:c r="A41" s="20" t="str">
        <x:v>SCN-0038</x:v>
      </x:c>
      <x:c r="B41" s="23" t="n">
        <x:v>46399</x:v>
      </x:c>
      <x:c r="C41" s="20" t="str">
        <x:v>scn-0038-mortgage-p001.pdf</x:v>
      </x:c>
      <x:c r="D41" s="20" t="str">
        <x:v>Mortgage statement</x:v>
      </x:c>
      <x:c r="E41" s="20" t="str">
        <x:v>Loan</x:v>
      </x:c>
      <x:c r="F41" s="35" t="str">
        <x:v>Typed scan candidate; if unsupported attach to Property and enter loan manually</x:v>
      </x:c>
      <x:c r="G41" s="20" t="str">
        <x:v>PDF</x:v>
      </x:c>
      <x:c r="H41" s="20" t="str">
        <x:v>3 pages</x:v>
      </x:c>
      <x:c r="I41" s="35" t="str">
        <x:v>lender statement with detachable payment coupon</x:v>
      </x:c>
      <x:c r="J41" s="20" t="str">
        <x:v>P001</x:v>
      </x:c>
      <x:c r="K41" s="20" t="str"/>
      <x:c r="L41" s="20" t="str"/>
      <x:c r="M41" s="20" t="str"/>
      <x:c r="N41" s="35" t="str">
        <x:v>lender; original balance; current balance; rate; term; due date; escrow; principal; interest</x:v>
      </x:c>
      <x:c r="O41" s="35" t="str">
        <x:v>account number is synthetic and must remain masked</x:v>
      </x:c>
      <x:c r="P41" s="35" t="str">
        <x:v>Enter the loan once on web and a different loan once on mobile; compare amortization.</x:v>
      </x:c>
      <x:c r="Q41" s="35" t="str">
        <x:v>Synthetic QA only; no real people, accounts, signatures, or properties</x:v>
      </x:c>
    </x:row>
    <x:row r="42">
      <x:c r="A42" s="20" t="str">
        <x:v>SCN-0039</x:v>
      </x:c>
      <x:c r="B42" s="23" t="n">
        <x:v>46395</x:v>
      </x:c>
      <x:c r="C42" s="20" t="str">
        <x:v>scn-0039-deed-p002.pdf</x:v>
      </x:c>
      <x:c r="D42" s="20" t="str">
        <x:v>Deed / settlement statement</x:v>
      </x:c>
      <x:c r="E42" s="20" t="str">
        <x:v>Property document</x:v>
      </x:c>
      <x:c r="F42" s="35" t="str">
        <x:v>Contextual attachment; probe scan suggestion for Property and log a gap if no typed draft is offered</x:v>
      </x:c>
      <x:c r="G42" s="20" t="str">
        <x:v>PDF</x:v>
      </x:c>
      <x:c r="H42" s="20" t="str">
        <x:v>4 pages</x:v>
      </x:c>
      <x:c r="I42" s="35" t="str">
        <x:v>clean PDF with county stamp and legal-description noise</x:v>
      </x:c>
      <x:c r="J42" s="20" t="str">
        <x:v>P002</x:v>
      </x:c>
      <x:c r="K42" s="20" t="str"/>
      <x:c r="L42" s="20" t="str"/>
      <x:c r="M42" s="20" t="str"/>
      <x:c r="N42" s="35" t="str">
        <x:v>owner; street address; parcel reference; acquisition date; purchase price</x:v>
      </x:c>
      <x:c r="O42" s="35" t="str">
        <x:v>legal description should not overwrite mailing address</x:v>
      </x:c>
      <x:c r="P42" s="35" t="str">
        <x:v>Create or edit property acquisition and ownership fields manually on web/mobile.</x:v>
      </x:c>
      <x:c r="Q42" s="35" t="str">
        <x:v>Synthetic QA only; no real people, accounts, signatures, or properties</x:v>
      </x:c>
    </x:row>
    <x:row r="43">
      <x:c r="A43" s="20" t="str">
        <x:v>SCN-0040</x:v>
      </x:c>
      <x:c r="B43" s="23" t="n">
        <x:v>46399</x:v>
      </x:c>
      <x:c r="C43" s="20" t="str">
        <x:v>scn-0040-mortgage-p002.jpg</x:v>
      </x:c>
      <x:c r="D43" s="20" t="str">
        <x:v>Mortgage statement</x:v>
      </x:c>
      <x:c r="E43" s="20" t="str">
        <x:v>Loan</x:v>
      </x:c>
      <x:c r="F43" s="35" t="str">
        <x:v>Typed scan candidate; if unsupported attach to Property and enter loan manually</x:v>
      </x:c>
      <x:c r="G43" s="20" t="str">
        <x:v>Camera JPEG</x:v>
      </x:c>
      <x:c r="H43" s="20" t="str">
        <x:v>3 pages</x:v>
      </x:c>
      <x:c r="I43" s="35" t="str">
        <x:v>lender statement with detachable payment coupon</x:v>
      </x:c>
      <x:c r="J43" s="20" t="str">
        <x:v>P002</x:v>
      </x:c>
      <x:c r="K43" s="20" t="str"/>
      <x:c r="L43" s="20" t="str"/>
      <x:c r="M43" s="20" t="str"/>
      <x:c r="N43" s="35" t="str">
        <x:v>lender; original balance; current balance; rate; term; due date; escrow; principal; interest</x:v>
      </x:c>
      <x:c r="O43" s="35" t="str">
        <x:v>account number is synthetic and must remain masked</x:v>
      </x:c>
      <x:c r="P43" s="35" t="str">
        <x:v>Enter the loan once on web and a different loan once on mobile; compare amortization.</x:v>
      </x:c>
      <x:c r="Q43" s="35" t="str">
        <x:v>Synthetic QA only; no real people, accounts, signatures, or properties</x:v>
      </x:c>
    </x:row>
    <x:row r="44">
      <x:c r="A44" s="20" t="str">
        <x:v>SCN-0041</x:v>
      </x:c>
      <x:c r="B44" s="23" t="n">
        <x:v>46395</x:v>
      </x:c>
      <x:c r="C44" s="20" t="str">
        <x:v>scn-0041-deed-p003.pdf</x:v>
      </x:c>
      <x:c r="D44" s="20" t="str">
        <x:v>Deed / settlement statement</x:v>
      </x:c>
      <x:c r="E44" s="20" t="str">
        <x:v>Property document</x:v>
      </x:c>
      <x:c r="F44" s="35" t="str">
        <x:v>Contextual attachment; probe scan suggestion for Property and log a gap if no typed draft is offered</x:v>
      </x:c>
      <x:c r="G44" s="20" t="str">
        <x:v>PDF</x:v>
      </x:c>
      <x:c r="H44" s="20" t="str">
        <x:v>4 pages</x:v>
      </x:c>
      <x:c r="I44" s="35" t="str">
        <x:v>clean PDF with county stamp and legal-description noise</x:v>
      </x:c>
      <x:c r="J44" s="20" t="str">
        <x:v>P003</x:v>
      </x:c>
      <x:c r="K44" s="20" t="str"/>
      <x:c r="L44" s="20" t="str"/>
      <x:c r="M44" s="20" t="str"/>
      <x:c r="N44" s="35" t="str">
        <x:v>owner; street address; parcel reference; acquisition date; purchase price</x:v>
      </x:c>
      <x:c r="O44" s="35" t="str">
        <x:v>legal description should not overwrite mailing address</x:v>
      </x:c>
      <x:c r="P44" s="35" t="str">
        <x:v>Create or edit property acquisition and ownership fields manually on web/mobile.</x:v>
      </x:c>
      <x:c r="Q44" s="35" t="str">
        <x:v>Synthetic QA only; no real people, accounts, signatures, or properties</x:v>
      </x:c>
    </x:row>
    <x:row r="45">
      <x:c r="A45" s="20" t="str">
        <x:v>SCN-0042</x:v>
      </x:c>
      <x:c r="B45" s="23" t="n">
        <x:v>46395</x:v>
      </x:c>
      <x:c r="C45" s="20" t="str">
        <x:v>scn-0042-deed-p004.pdf</x:v>
      </x:c>
      <x:c r="D45" s="20" t="str">
        <x:v>Deed / settlement statement</x:v>
      </x:c>
      <x:c r="E45" s="20" t="str">
        <x:v>Property document</x:v>
      </x:c>
      <x:c r="F45" s="35" t="str">
        <x:v>Contextual attachment; probe scan suggestion for Property and log a gap if no typed draft is offered</x:v>
      </x:c>
      <x:c r="G45" s="20" t="str">
        <x:v>PDF</x:v>
      </x:c>
      <x:c r="H45" s="20" t="str">
        <x:v>4 pages</x:v>
      </x:c>
      <x:c r="I45" s="35" t="str">
        <x:v>clean PDF with county stamp and legal-description noise</x:v>
      </x:c>
      <x:c r="J45" s="20" t="str">
        <x:v>P004</x:v>
      </x:c>
      <x:c r="K45" s="20" t="str"/>
      <x:c r="L45" s="20" t="str"/>
      <x:c r="M45" s="20" t="str"/>
      <x:c r="N45" s="35" t="str">
        <x:v>owner; street address; parcel reference; acquisition date; purchase price</x:v>
      </x:c>
      <x:c r="O45" s="35" t="str">
        <x:v>legal description should not overwrite mailing address</x:v>
      </x:c>
      <x:c r="P45" s="35" t="str">
        <x:v>Create or edit property acquisition and ownership fields manually on web/mobile.</x:v>
      </x:c>
      <x:c r="Q45" s="35" t="str">
        <x:v>Synthetic QA only; no real people, accounts, signatures, or properties</x:v>
      </x:c>
    </x:row>
    <x:row r="46">
      <x:c r="A46" s="20" t="str">
        <x:v>SCN-0043</x:v>
      </x:c>
      <x:c r="B46" s="23" t="n">
        <x:v>46399</x:v>
      </x:c>
      <x:c r="C46" s="20" t="str">
        <x:v>scn-0043-mortgage-p004.jpg</x:v>
      </x:c>
      <x:c r="D46" s="20" t="str">
        <x:v>Mortgage statement</x:v>
      </x:c>
      <x:c r="E46" s="20" t="str">
        <x:v>Loan</x:v>
      </x:c>
      <x:c r="F46" s="35" t="str">
        <x:v>Typed scan candidate; if unsupported attach to Property and enter loan manually</x:v>
      </x:c>
      <x:c r="G46" s="20" t="str">
        <x:v>Camera JPEG</x:v>
      </x:c>
      <x:c r="H46" s="20" t="str">
        <x:v>3 pages</x:v>
      </x:c>
      <x:c r="I46" s="35" t="str">
        <x:v>lender statement with detachable payment coupon</x:v>
      </x:c>
      <x:c r="J46" s="20" t="str">
        <x:v>P004</x:v>
      </x:c>
      <x:c r="K46" s="20" t="str"/>
      <x:c r="L46" s="20" t="str"/>
      <x:c r="M46" s="20" t="str"/>
      <x:c r="N46" s="35" t="str">
        <x:v>lender; original balance; current balance; rate; term; due date; escrow; principal; interest</x:v>
      </x:c>
      <x:c r="O46" s="35" t="str">
        <x:v>account number is synthetic and must remain masked</x:v>
      </x:c>
      <x:c r="P46" s="35" t="str">
        <x:v>Enter the loan once on web and a different loan once on mobile; compare amortization.</x:v>
      </x:c>
      <x:c r="Q46" s="35" t="str">
        <x:v>Synthetic QA only; no real people, accounts, signatures, or properties</x:v>
      </x:c>
    </x:row>
    <x:row r="47">
      <x:c r="A47" s="20" t="str">
        <x:v>SCN-0044</x:v>
      </x:c>
      <x:c r="B47" s="23" t="n">
        <x:v>46395</x:v>
      </x:c>
      <x:c r="C47" s="20" t="str">
        <x:v>scn-0044-deed-p005.pdf</x:v>
      </x:c>
      <x:c r="D47" s="20" t="str">
        <x:v>Deed / settlement statement</x:v>
      </x:c>
      <x:c r="E47" s="20" t="str">
        <x:v>Property document</x:v>
      </x:c>
      <x:c r="F47" s="35" t="str">
        <x:v>Contextual attachment; probe scan suggestion for Property and log a gap if no typed draft is offered</x:v>
      </x:c>
      <x:c r="G47" s="20" t="str">
        <x:v>PDF</x:v>
      </x:c>
      <x:c r="H47" s="20" t="str">
        <x:v>4 pages</x:v>
      </x:c>
      <x:c r="I47" s="35" t="str">
        <x:v>clean PDF with county stamp and legal-description noise</x:v>
      </x:c>
      <x:c r="J47" s="20" t="str">
        <x:v>P005</x:v>
      </x:c>
      <x:c r="K47" s="20" t="str"/>
      <x:c r="L47" s="20" t="str"/>
      <x:c r="M47" s="20" t="str"/>
      <x:c r="N47" s="35" t="str">
        <x:v>owner; street address; parcel reference; acquisition date; purchase price</x:v>
      </x:c>
      <x:c r="O47" s="35" t="str">
        <x:v>legal description should not overwrite mailing address</x:v>
      </x:c>
      <x:c r="P47" s="35" t="str">
        <x:v>Create or edit property acquisition and ownership fields manually on web/mobile.</x:v>
      </x:c>
      <x:c r="Q47" s="35" t="str">
        <x:v>Synthetic QA only; no real people, accounts, signatures, or properties</x:v>
      </x:c>
    </x:row>
    <x:row r="48">
      <x:c r="A48" s="20" t="str">
        <x:v>SCN-0045</x:v>
      </x:c>
      <x:c r="B48" s="23" t="n">
        <x:v>46399</x:v>
      </x:c>
      <x:c r="C48" s="20" t="str">
        <x:v>scn-0045-mortgage-p005.pdf</x:v>
      </x:c>
      <x:c r="D48" s="20" t="str">
        <x:v>Mortgage statement</x:v>
      </x:c>
      <x:c r="E48" s="20" t="str">
        <x:v>Loan</x:v>
      </x:c>
      <x:c r="F48" s="35" t="str">
        <x:v>Typed scan candidate; if unsupported attach to Property and enter loan manually</x:v>
      </x:c>
      <x:c r="G48" s="20" t="str">
        <x:v>PDF</x:v>
      </x:c>
      <x:c r="H48" s="20" t="str">
        <x:v>3 pages</x:v>
      </x:c>
      <x:c r="I48" s="35" t="str">
        <x:v>lender statement with detachable payment coupon</x:v>
      </x:c>
      <x:c r="J48" s="20" t="str">
        <x:v>P005</x:v>
      </x:c>
      <x:c r="K48" s="20" t="str"/>
      <x:c r="L48" s="20" t="str"/>
      <x:c r="M48" s="20" t="str"/>
      <x:c r="N48" s="35" t="str">
        <x:v>lender; original balance; current balance; rate; term; due date; escrow; principal; interest</x:v>
      </x:c>
      <x:c r="O48" s="35" t="str">
        <x:v>account number is synthetic and must remain masked</x:v>
      </x:c>
      <x:c r="P48" s="35" t="str">
        <x:v>Enter the loan once on web and a different loan once on mobile; compare amortization.</x:v>
      </x:c>
      <x:c r="Q48" s="35" t="str">
        <x:v>Synthetic QA only; no real people, accounts, signatures, or properties</x:v>
      </x:c>
    </x:row>
    <x:row r="49">
      <x:c r="A49" s="20" t="str">
        <x:v>SCN-0046</x:v>
      </x:c>
      <x:c r="B49" s="23" t="n">
        <x:v>46395</x:v>
      </x:c>
      <x:c r="C49" s="20" t="str">
        <x:v>scn-0046-deed-p006.pdf</x:v>
      </x:c>
      <x:c r="D49" s="20" t="str">
        <x:v>Deed / settlement statement</x:v>
      </x:c>
      <x:c r="E49" s="20" t="str">
        <x:v>Property document</x:v>
      </x:c>
      <x:c r="F49" s="35" t="str">
        <x:v>Contextual attachment; probe scan suggestion for Property and log a gap if no typed draft is offered</x:v>
      </x:c>
      <x:c r="G49" s="20" t="str">
        <x:v>PDF</x:v>
      </x:c>
      <x:c r="H49" s="20" t="str">
        <x:v>4 pages</x:v>
      </x:c>
      <x:c r="I49" s="35" t="str">
        <x:v>clean PDF with county stamp and legal-description noise</x:v>
      </x:c>
      <x:c r="J49" s="20" t="str">
        <x:v>P006</x:v>
      </x:c>
      <x:c r="K49" s="20" t="str"/>
      <x:c r="L49" s="20" t="str"/>
      <x:c r="M49" s="20" t="str"/>
      <x:c r="N49" s="35" t="str">
        <x:v>owner; street address; parcel reference; acquisition date; purchase price</x:v>
      </x:c>
      <x:c r="O49" s="35" t="str">
        <x:v>legal description should not overwrite mailing address</x:v>
      </x:c>
      <x:c r="P49" s="35" t="str">
        <x:v>Create or edit property acquisition and ownership fields manually on web/mobile.</x:v>
      </x:c>
      <x:c r="Q49" s="35" t="str">
        <x:v>Synthetic QA only; no real people, accounts, signatures, or properties</x:v>
      </x:c>
    </x:row>
    <x:row r="50">
      <x:c r="A50" s="20" t="str">
        <x:v>SCN-0047</x:v>
      </x:c>
      <x:c r="B50" s="23" t="n">
        <x:v>46395</x:v>
      </x:c>
      <x:c r="C50" s="20" t="str">
        <x:v>scn-0047-deed-p007.pdf</x:v>
      </x:c>
      <x:c r="D50" s="20" t="str">
        <x:v>Deed / settlement statement</x:v>
      </x:c>
      <x:c r="E50" s="20" t="str">
        <x:v>Property document</x:v>
      </x:c>
      <x:c r="F50" s="35" t="str">
        <x:v>Contextual attachment; probe scan suggestion for Property and log a gap if no typed draft is offered</x:v>
      </x:c>
      <x:c r="G50" s="20" t="str">
        <x:v>PDF</x:v>
      </x:c>
      <x:c r="H50" s="20" t="str">
        <x:v>4 pages</x:v>
      </x:c>
      <x:c r="I50" s="35" t="str">
        <x:v>clean PDF with county stamp and legal-description noise</x:v>
      </x:c>
      <x:c r="J50" s="20" t="str">
        <x:v>P007</x:v>
      </x:c>
      <x:c r="K50" s="20" t="str"/>
      <x:c r="L50" s="20" t="str"/>
      <x:c r="M50" s="20" t="str"/>
      <x:c r="N50" s="35" t="str">
        <x:v>owner; street address; parcel reference; acquisition date; purchase price</x:v>
      </x:c>
      <x:c r="O50" s="35" t="str">
        <x:v>legal description should not overwrite mailing address</x:v>
      </x:c>
      <x:c r="P50" s="35" t="str">
        <x:v>Create or edit property acquisition and ownership fields manually on web/mobile.</x:v>
      </x:c>
      <x:c r="Q50" s="35" t="str">
        <x:v>Synthetic QA only; no real people, accounts, signatures, or properties</x:v>
      </x:c>
    </x:row>
    <x:row r="51">
      <x:c r="A51" s="20" t="str">
        <x:v>SCN-0048</x:v>
      </x:c>
      <x:c r="B51" s="23" t="n">
        <x:v>46399</x:v>
      </x:c>
      <x:c r="C51" s="20" t="str">
        <x:v>scn-0048-mortgage-p007.pdf</x:v>
      </x:c>
      <x:c r="D51" s="20" t="str">
        <x:v>Mortgage statement</x:v>
      </x:c>
      <x:c r="E51" s="20" t="str">
        <x:v>Loan</x:v>
      </x:c>
      <x:c r="F51" s="35" t="str">
        <x:v>Typed scan candidate; if unsupported attach to Property and enter loan manually</x:v>
      </x:c>
      <x:c r="G51" s="20" t="str">
        <x:v>PDF</x:v>
      </x:c>
      <x:c r="H51" s="20" t="str">
        <x:v>3 pages</x:v>
      </x:c>
      <x:c r="I51" s="35" t="str">
        <x:v>lender statement with detachable payment coupon</x:v>
      </x:c>
      <x:c r="J51" s="20" t="str">
        <x:v>P007</x:v>
      </x:c>
      <x:c r="K51" s="20" t="str"/>
      <x:c r="L51" s="20" t="str"/>
      <x:c r="M51" s="20" t="str"/>
      <x:c r="N51" s="35" t="str">
        <x:v>lender; original balance; current balance; rate; term; due date; escrow; principal; interest</x:v>
      </x:c>
      <x:c r="O51" s="35" t="str">
        <x:v>account number is synthetic and must remain masked</x:v>
      </x:c>
      <x:c r="P51" s="35" t="str">
        <x:v>Enter the loan once on web and a different loan once on mobile; compare amortization.</x:v>
      </x:c>
      <x:c r="Q51" s="35" t="str">
        <x:v>Synthetic QA only; no real people, accounts, signatures, or properties</x:v>
      </x:c>
    </x:row>
    <x:row r="52">
      <x:c r="A52" s="20" t="str">
        <x:v>SCN-0049</x:v>
      </x:c>
      <x:c r="B52" s="23" t="n">
        <x:v>46395</x:v>
      </x:c>
      <x:c r="C52" s="20" t="str">
        <x:v>scn-0049-deed-p008.pdf</x:v>
      </x:c>
      <x:c r="D52" s="20" t="str">
        <x:v>Deed / settlement statement</x:v>
      </x:c>
      <x:c r="E52" s="20" t="str">
        <x:v>Property document</x:v>
      </x:c>
      <x:c r="F52" s="35" t="str">
        <x:v>Contextual attachment; probe scan suggestion for Property and log a gap if no typed draft is offered</x:v>
      </x:c>
      <x:c r="G52" s="20" t="str">
        <x:v>PDF</x:v>
      </x:c>
      <x:c r="H52" s="20" t="str">
        <x:v>4 pages</x:v>
      </x:c>
      <x:c r="I52" s="35" t="str">
        <x:v>clean PDF with county stamp and legal-description noise</x:v>
      </x:c>
      <x:c r="J52" s="20" t="str">
        <x:v>P008</x:v>
      </x:c>
      <x:c r="K52" s="20" t="str"/>
      <x:c r="L52" s="20" t="str"/>
      <x:c r="M52" s="20" t="str"/>
      <x:c r="N52" s="35" t="str">
        <x:v>owner; street address; parcel reference; acquisition date; purchase price</x:v>
      </x:c>
      <x:c r="O52" s="35" t="str">
        <x:v>legal description should not overwrite mailing address</x:v>
      </x:c>
      <x:c r="P52" s="35" t="str">
        <x:v>Create or edit property acquisition and ownership fields manually on web/mobile.</x:v>
      </x:c>
      <x:c r="Q52" s="35" t="str">
        <x:v>Synthetic QA only; no real people, accounts, signatures, or properties</x:v>
      </x:c>
    </x:row>
    <x:row r="53">
      <x:c r="A53" s="20" t="str">
        <x:v>SCN-0050</x:v>
      </x:c>
      <x:c r="B53" s="23" t="n">
        <x:v>46399</x:v>
      </x:c>
      <x:c r="C53" s="20" t="str">
        <x:v>scn-0050-mortgage-p008.jpg</x:v>
      </x:c>
      <x:c r="D53" s="20" t="str">
        <x:v>Mortgage statement</x:v>
      </x:c>
      <x:c r="E53" s="20" t="str">
        <x:v>Loan</x:v>
      </x:c>
      <x:c r="F53" s="35" t="str">
        <x:v>Typed scan candidate; if unsupported attach to Property and enter loan manually</x:v>
      </x:c>
      <x:c r="G53" s="20" t="str">
        <x:v>Camera JPEG</x:v>
      </x:c>
      <x:c r="H53" s="20" t="str">
        <x:v>3 pages</x:v>
      </x:c>
      <x:c r="I53" s="35" t="str">
        <x:v>lender statement with detachable payment coupon</x:v>
      </x:c>
      <x:c r="J53" s="20" t="str">
        <x:v>P008</x:v>
      </x:c>
      <x:c r="K53" s="20" t="str"/>
      <x:c r="L53" s="20" t="str"/>
      <x:c r="M53" s="20" t="str"/>
      <x:c r="N53" s="35" t="str">
        <x:v>lender; original balance; current balance; rate; term; due date; escrow; principal; interest</x:v>
      </x:c>
      <x:c r="O53" s="35" t="str">
        <x:v>account number is synthetic and must remain masked</x:v>
      </x:c>
      <x:c r="P53" s="35" t="str">
        <x:v>Enter the loan once on web and a different loan once on mobile; compare amortization.</x:v>
      </x:c>
      <x:c r="Q53" s="35" t="str">
        <x:v>Synthetic QA only; no real people, accounts, signatures, or properties</x:v>
      </x:c>
    </x:row>
    <x:row r="54">
      <x:c r="A54" s="20" t="str">
        <x:v>SCN-0051</x:v>
      </x:c>
      <x:c r="B54" s="23" t="n">
        <x:v>46395</x:v>
      </x:c>
      <x:c r="C54" s="20" t="str">
        <x:v>scn-0051-deed-p009.pdf</x:v>
      </x:c>
      <x:c r="D54" s="20" t="str">
        <x:v>Deed / settlement statement</x:v>
      </x:c>
      <x:c r="E54" s="20" t="str">
        <x:v>Property document</x:v>
      </x:c>
      <x:c r="F54" s="35" t="str">
        <x:v>Contextual attachment; probe scan suggestion for Property and log a gap if no typed draft is offered</x:v>
      </x:c>
      <x:c r="G54" s="20" t="str">
        <x:v>PDF</x:v>
      </x:c>
      <x:c r="H54" s="20" t="str">
        <x:v>4 pages</x:v>
      </x:c>
      <x:c r="I54" s="35" t="str">
        <x:v>clean PDF with county stamp and legal-description noise</x:v>
      </x:c>
      <x:c r="J54" s="20" t="str">
        <x:v>P009</x:v>
      </x:c>
      <x:c r="K54" s="20" t="str"/>
      <x:c r="L54" s="20" t="str"/>
      <x:c r="M54" s="20" t="str"/>
      <x:c r="N54" s="35" t="str">
        <x:v>owner; street address; parcel reference; acquisition date; purchase price</x:v>
      </x:c>
      <x:c r="O54" s="35" t="str">
        <x:v>legal description should not overwrite mailing address</x:v>
      </x:c>
      <x:c r="P54" s="35" t="str">
        <x:v>Create or edit property acquisition and ownership fields manually on web/mobile.</x:v>
      </x:c>
      <x:c r="Q54" s="35" t="str">
        <x:v>Synthetic QA only; no real people, accounts, signatures, or properties</x:v>
      </x:c>
    </x:row>
    <x:row r="55">
      <x:c r="A55" s="20" t="str">
        <x:v>SCN-0052</x:v>
      </x:c>
      <x:c r="B55" s="23" t="n">
        <x:v>46395</x:v>
      </x:c>
      <x:c r="C55" s="20" t="str">
        <x:v>scn-0052-deed-p010.pdf</x:v>
      </x:c>
      <x:c r="D55" s="20" t="str">
        <x:v>Deed / settlement statement</x:v>
      </x:c>
      <x:c r="E55" s="20" t="str">
        <x:v>Property document</x:v>
      </x:c>
      <x:c r="F55" s="35" t="str">
        <x:v>Contextual attachment; probe scan suggestion for Property and log a gap if no typed draft is offered</x:v>
      </x:c>
      <x:c r="G55" s="20" t="str">
        <x:v>PDF</x:v>
      </x:c>
      <x:c r="H55" s="20" t="str">
        <x:v>4 pages</x:v>
      </x:c>
      <x:c r="I55" s="35" t="str">
        <x:v>clean PDF with county stamp and legal-description noise</x:v>
      </x:c>
      <x:c r="J55" s="20" t="str">
        <x:v>P010</x:v>
      </x:c>
      <x:c r="K55" s="20" t="str"/>
      <x:c r="L55" s="20" t="str"/>
      <x:c r="M55" s="20" t="str"/>
      <x:c r="N55" s="35" t="str">
        <x:v>owner; street address; parcel reference; acquisition date; purchase price</x:v>
      </x:c>
      <x:c r="O55" s="35" t="str">
        <x:v>legal description should not overwrite mailing address</x:v>
      </x:c>
      <x:c r="P55" s="35" t="str">
        <x:v>Create or edit property acquisition and ownership fields manually on web/mobile.</x:v>
      </x:c>
      <x:c r="Q55" s="35" t="str">
        <x:v>Synthetic QA only; no real people, accounts, signatures, or properties</x:v>
      </x:c>
    </x:row>
    <x:row r="56">
      <x:c r="A56" s="20" t="str">
        <x:v>SCN-0053</x:v>
      </x:c>
      <x:c r="B56" s="23" t="n">
        <x:v>46400</x:v>
      </x:c>
      <x:c r="C56" s="20" t="str">
        <x:v>scn-0053-mortgage-p010.jpg</x:v>
      </x:c>
      <x:c r="D56" s="20" t="str">
        <x:v>Mortgage statement</x:v>
      </x:c>
      <x:c r="E56" s="20" t="str">
        <x:v>Loan</x:v>
      </x:c>
      <x:c r="F56" s="35" t="str">
        <x:v>Typed scan candidate; if unsupported attach to Property and enter loan manually</x:v>
      </x:c>
      <x:c r="G56" s="20" t="str">
        <x:v>Camera JPEG</x:v>
      </x:c>
      <x:c r="H56" s="20" t="str">
        <x:v>3 pages</x:v>
      </x:c>
      <x:c r="I56" s="35" t="str">
        <x:v>lender statement with detachable payment coupon</x:v>
      </x:c>
      <x:c r="J56" s="20" t="str">
        <x:v>P010</x:v>
      </x:c>
      <x:c r="K56" s="20" t="str"/>
      <x:c r="L56" s="20" t="str"/>
      <x:c r="M56" s="20" t="str"/>
      <x:c r="N56" s="35" t="str">
        <x:v>lender; original balance; current balance; rate; term; due date; escrow; principal; interest</x:v>
      </x:c>
      <x:c r="O56" s="35" t="str">
        <x:v>account number is synthetic and must remain masked</x:v>
      </x:c>
      <x:c r="P56" s="35" t="str">
        <x:v>Enter the loan once on web and a different loan once on mobile; compare amortization.</x:v>
      </x:c>
      <x:c r="Q56" s="35" t="str">
        <x:v>Synthetic QA only; no real people, accounts, signatures, or properties</x:v>
      </x:c>
    </x:row>
    <x:row r="57">
      <x:c r="A57" s="20" t="str">
        <x:v>SCN-0054</x:v>
      </x:c>
      <x:c r="B57" s="23" t="n">
        <x:v>46396</x:v>
      </x:c>
      <x:c r="C57" s="20" t="str">
        <x:v>scn-0054-deed-p011.pdf</x:v>
      </x:c>
      <x:c r="D57" s="20" t="str">
        <x:v>Deed / settlement statement</x:v>
      </x:c>
      <x:c r="E57" s="20" t="str">
        <x:v>Property document</x:v>
      </x:c>
      <x:c r="F57" s="35" t="str">
        <x:v>Contextual attachment; probe scan suggestion for Property and log a gap if no typed draft is offered</x:v>
      </x:c>
      <x:c r="G57" s="20" t="str">
        <x:v>PDF</x:v>
      </x:c>
      <x:c r="H57" s="20" t="str">
        <x:v>4 pages</x:v>
      </x:c>
      <x:c r="I57" s="35" t="str">
        <x:v>clean PDF with county stamp and legal-description noise</x:v>
      </x:c>
      <x:c r="J57" s="20" t="str">
        <x:v>P011</x:v>
      </x:c>
      <x:c r="K57" s="20" t="str"/>
      <x:c r="L57" s="20" t="str"/>
      <x:c r="M57" s="20" t="str"/>
      <x:c r="N57" s="35" t="str">
        <x:v>owner; street address; parcel reference; acquisition date; purchase price</x:v>
      </x:c>
      <x:c r="O57" s="35" t="str">
        <x:v>legal description should not overwrite mailing address</x:v>
      </x:c>
      <x:c r="P57" s="35" t="str">
        <x:v>Create or edit property acquisition and ownership fields manually on web/mobile.</x:v>
      </x:c>
      <x:c r="Q57" s="35" t="str">
        <x:v>Synthetic QA only; no real people, accounts, signatures, or properties</x:v>
      </x:c>
    </x:row>
    <x:row r="58">
      <x:c r="A58" s="20" t="str">
        <x:v>SCN-0055</x:v>
      </x:c>
      <x:c r="B58" s="23" t="n">
        <x:v>46400</x:v>
      </x:c>
      <x:c r="C58" s="20" t="str">
        <x:v>scn-0055-mortgage-p011.pdf</x:v>
      </x:c>
      <x:c r="D58" s="20" t="str">
        <x:v>Mortgage statement</x:v>
      </x:c>
      <x:c r="E58" s="20" t="str">
        <x:v>Loan</x:v>
      </x:c>
      <x:c r="F58" s="35" t="str">
        <x:v>Typed scan candidate; if unsupported attach to Property and enter loan manually</x:v>
      </x:c>
      <x:c r="G58" s="20" t="str">
        <x:v>PDF</x:v>
      </x:c>
      <x:c r="H58" s="20" t="str">
        <x:v>3 pages</x:v>
      </x:c>
      <x:c r="I58" s="35" t="str">
        <x:v>lender statement with detachable payment coupon</x:v>
      </x:c>
      <x:c r="J58" s="20" t="str">
        <x:v>P011</x:v>
      </x:c>
      <x:c r="K58" s="20" t="str"/>
      <x:c r="L58" s="20" t="str"/>
      <x:c r="M58" s="20" t="str"/>
      <x:c r="N58" s="35" t="str">
        <x:v>lender; original balance; current balance; rate; term; due date; escrow; principal; interest</x:v>
      </x:c>
      <x:c r="O58" s="35" t="str">
        <x:v>account number is synthetic and must remain masked</x:v>
      </x:c>
      <x:c r="P58" s="35" t="str">
        <x:v>Enter the loan once on web and a different loan once on mobile; compare amortization.</x:v>
      </x:c>
      <x:c r="Q58" s="35" t="str">
        <x:v>Synthetic QA only; no real people, accounts, signatures, or properties</x:v>
      </x:c>
    </x:row>
    <x:row r="59">
      <x:c r="A59" s="20" t="str">
        <x:v>SCN-0056</x:v>
      </x:c>
      <x:c r="B59" s="23" t="n">
        <x:v>46396</x:v>
      </x:c>
      <x:c r="C59" s="20" t="str">
        <x:v>scn-0056-deed-p012.pdf</x:v>
      </x:c>
      <x:c r="D59" s="20" t="str">
        <x:v>Deed / settlement statement</x:v>
      </x:c>
      <x:c r="E59" s="20" t="str">
        <x:v>Property document</x:v>
      </x:c>
      <x:c r="F59" s="35" t="str">
        <x:v>Contextual attachment; probe scan suggestion for Property and log a gap if no typed draft is offered</x:v>
      </x:c>
      <x:c r="G59" s="20" t="str">
        <x:v>PDF</x:v>
      </x:c>
      <x:c r="H59" s="20" t="str">
        <x:v>4 pages</x:v>
      </x:c>
      <x:c r="I59" s="35" t="str">
        <x:v>clean PDF with county stamp and legal-description noise</x:v>
      </x:c>
      <x:c r="J59" s="20" t="str">
        <x:v>P012</x:v>
      </x:c>
      <x:c r="K59" s="20" t="str"/>
      <x:c r="L59" s="20" t="str"/>
      <x:c r="M59" s="20" t="str"/>
      <x:c r="N59" s="35" t="str">
        <x:v>owner; street address; parcel reference; acquisition date; purchase price</x:v>
      </x:c>
      <x:c r="O59" s="35" t="str">
        <x:v>legal description should not overwrite mailing address</x:v>
      </x:c>
      <x:c r="P59" s="35" t="str">
        <x:v>Create or edit property acquisition and ownership fields manually on web/mobile.</x:v>
      </x:c>
      <x:c r="Q59" s="35" t="str">
        <x:v>Synthetic QA only; no real people, accounts, signatures, or properties</x:v>
      </x:c>
    </x:row>
    <x:row r="60">
      <x:c r="A60" s="20" t="str">
        <x:v>SCN-0057</x:v>
      </x:c>
      <x:c r="B60" s="23" t="n">
        <x:v>46396</x:v>
      </x:c>
      <x:c r="C60" s="20" t="str">
        <x:v>scn-0057-deed-p013.pdf</x:v>
      </x:c>
      <x:c r="D60" s="20" t="str">
        <x:v>Deed / settlement statement</x:v>
      </x:c>
      <x:c r="E60" s="20" t="str">
        <x:v>Property document</x:v>
      </x:c>
      <x:c r="F60" s="35" t="str">
        <x:v>Contextual attachment; probe scan suggestion for Property and log a gap if no typed draft is offered</x:v>
      </x:c>
      <x:c r="G60" s="20" t="str">
        <x:v>PDF</x:v>
      </x:c>
      <x:c r="H60" s="20" t="str">
        <x:v>4 pages</x:v>
      </x:c>
      <x:c r="I60" s="35" t="str">
        <x:v>clean PDF with county stamp and legal-description noise</x:v>
      </x:c>
      <x:c r="J60" s="20" t="str">
        <x:v>P013</x:v>
      </x:c>
      <x:c r="K60" s="20" t="str"/>
      <x:c r="L60" s="20" t="str"/>
      <x:c r="M60" s="20" t="str"/>
      <x:c r="N60" s="35" t="str">
        <x:v>owner; street address; parcel reference; acquisition date; purchase price</x:v>
      </x:c>
      <x:c r="O60" s="35" t="str">
        <x:v>legal description should not overwrite mailing address</x:v>
      </x:c>
      <x:c r="P60" s="35" t="str">
        <x:v>Create or edit property acquisition and ownership fields manually on web/mobile.</x:v>
      </x:c>
      <x:c r="Q60" s="35" t="str">
        <x:v>Synthetic QA only; no real people, accounts, signatures, or properties</x:v>
      </x:c>
    </x:row>
    <x:row r="61">
      <x:c r="A61" s="20" t="str">
        <x:v>SCN-0058</x:v>
      </x:c>
      <x:c r="B61" s="23" t="n">
        <x:v>46400</x:v>
      </x:c>
      <x:c r="C61" s="20" t="str">
        <x:v>scn-0058-mortgage-p013.pdf</x:v>
      </x:c>
      <x:c r="D61" s="20" t="str">
        <x:v>Mortgage statement</x:v>
      </x:c>
      <x:c r="E61" s="20" t="str">
        <x:v>Loan</x:v>
      </x:c>
      <x:c r="F61" s="35" t="str">
        <x:v>Typed scan candidate; if unsupported attach to Property and enter loan manually</x:v>
      </x:c>
      <x:c r="G61" s="20" t="str">
        <x:v>PDF</x:v>
      </x:c>
      <x:c r="H61" s="20" t="str">
        <x:v>3 pages</x:v>
      </x:c>
      <x:c r="I61" s="35" t="str">
        <x:v>lender statement with detachable payment coupon</x:v>
      </x:c>
      <x:c r="J61" s="20" t="str">
        <x:v>P013</x:v>
      </x:c>
      <x:c r="K61" s="20" t="str"/>
      <x:c r="L61" s="20" t="str"/>
      <x:c r="M61" s="20" t="str"/>
      <x:c r="N61" s="35" t="str">
        <x:v>lender; original balance; current balance; rate; term; due date; escrow; principal; interest</x:v>
      </x:c>
      <x:c r="O61" s="35" t="str">
        <x:v>account number is synthetic and must remain masked</x:v>
      </x:c>
      <x:c r="P61" s="35" t="str">
        <x:v>Enter the loan once on web and a different loan once on mobile; compare amortization.</x:v>
      </x:c>
      <x:c r="Q61" s="35" t="str">
        <x:v>Synthetic QA only; no real people, accounts, signatures, or properties</x:v>
      </x:c>
    </x:row>
    <x:row r="62">
      <x:c r="A62" s="20" t="str">
        <x:v>SCN-0059</x:v>
      </x:c>
      <x:c r="B62" s="23" t="n">
        <x:v>46396</x:v>
      </x:c>
      <x:c r="C62" s="20" t="str">
        <x:v>scn-0059-deed-p014.pdf</x:v>
      </x:c>
      <x:c r="D62" s="20" t="str">
        <x:v>Deed / settlement statement</x:v>
      </x:c>
      <x:c r="E62" s="20" t="str">
        <x:v>Property document</x:v>
      </x:c>
      <x:c r="F62" s="35" t="str">
        <x:v>Contextual attachment; probe scan suggestion for Property and log a gap if no typed draft is offered</x:v>
      </x:c>
      <x:c r="G62" s="20" t="str">
        <x:v>PDF</x:v>
      </x:c>
      <x:c r="H62" s="20" t="str">
        <x:v>4 pages</x:v>
      </x:c>
      <x:c r="I62" s="35" t="str">
        <x:v>clean PDF with county stamp and legal-description noise</x:v>
      </x:c>
      <x:c r="J62" s="20" t="str">
        <x:v>P014</x:v>
      </x:c>
      <x:c r="K62" s="20" t="str"/>
      <x:c r="L62" s="20" t="str"/>
      <x:c r="M62" s="20" t="str"/>
      <x:c r="N62" s="35" t="str">
        <x:v>owner; street address; parcel reference; acquisition date; purchase price</x:v>
      </x:c>
      <x:c r="O62" s="35" t="str">
        <x:v>legal description should not overwrite mailing address</x:v>
      </x:c>
      <x:c r="P62" s="35" t="str">
        <x:v>Create or edit property acquisition and ownership fields manually on web/mobile.</x:v>
      </x:c>
      <x:c r="Q62" s="35" t="str">
        <x:v>Synthetic QA only; no real people, accounts, signatures, or properties</x:v>
      </x:c>
    </x:row>
    <x:row r="63">
      <x:c r="A63" s="20" t="str">
        <x:v>SCN-0060</x:v>
      </x:c>
      <x:c r="B63" s="23" t="n">
        <x:v>46400</x:v>
      </x:c>
      <x:c r="C63" s="20" t="str">
        <x:v>scn-0060-mortgage-p014.jpg</x:v>
      </x:c>
      <x:c r="D63" s="20" t="str">
        <x:v>Mortgage statement</x:v>
      </x:c>
      <x:c r="E63" s="20" t="str">
        <x:v>Loan</x:v>
      </x:c>
      <x:c r="F63" s="35" t="str">
        <x:v>Typed scan candidate; if unsupported attach to Property and enter loan manually</x:v>
      </x:c>
      <x:c r="G63" s="20" t="str">
        <x:v>Camera JPEG</x:v>
      </x:c>
      <x:c r="H63" s="20" t="str">
        <x:v>3 pages</x:v>
      </x:c>
      <x:c r="I63" s="35" t="str">
        <x:v>lender statement with detachable payment coupon</x:v>
      </x:c>
      <x:c r="J63" s="20" t="str">
        <x:v>P014</x:v>
      </x:c>
      <x:c r="K63" s="20" t="str"/>
      <x:c r="L63" s="20" t="str"/>
      <x:c r="M63" s="20" t="str"/>
      <x:c r="N63" s="35" t="str">
        <x:v>lender; original balance; current balance; rate; term; due date; escrow; principal; interest</x:v>
      </x:c>
      <x:c r="O63" s="35" t="str">
        <x:v>account number is synthetic and must remain masked</x:v>
      </x:c>
      <x:c r="P63" s="35" t="str">
        <x:v>Enter the loan once on web and a different loan once on mobile; compare amortization.</x:v>
      </x:c>
      <x:c r="Q63" s="35" t="str">
        <x:v>Synthetic QA only; no real people, accounts, signatures, or properties</x:v>
      </x:c>
    </x:row>
    <x:row r="64">
      <x:c r="A64" s="20" t="str">
        <x:v>SCN-0061</x:v>
      </x:c>
      <x:c r="B64" s="23" t="n">
        <x:v>46396</x:v>
      </x:c>
      <x:c r="C64" s="20" t="str">
        <x:v>scn-0061-deed-p015.pdf</x:v>
      </x:c>
      <x:c r="D64" s="20" t="str">
        <x:v>Deed / settlement statement</x:v>
      </x:c>
      <x:c r="E64" s="20" t="str">
        <x:v>Property document</x:v>
      </x:c>
      <x:c r="F64" s="35" t="str">
        <x:v>Contextual attachment; probe scan suggestion for Property and log a gap if no typed draft is offered</x:v>
      </x:c>
      <x:c r="G64" s="20" t="str">
        <x:v>PDF</x:v>
      </x:c>
      <x:c r="H64" s="20" t="str">
        <x:v>4 pages</x:v>
      </x:c>
      <x:c r="I64" s="35" t="str">
        <x:v>clean PDF with county stamp and legal-description noise</x:v>
      </x:c>
      <x:c r="J64" s="20" t="str">
        <x:v>P015</x:v>
      </x:c>
      <x:c r="K64" s="20" t="str"/>
      <x:c r="L64" s="20" t="str"/>
      <x:c r="M64" s="20" t="str"/>
      <x:c r="N64" s="35" t="str">
        <x:v>owner; street address; parcel reference; acquisition date; purchase price</x:v>
      </x:c>
      <x:c r="O64" s="35" t="str">
        <x:v>legal description should not overwrite mailing address</x:v>
      </x:c>
      <x:c r="P64" s="35" t="str">
        <x:v>Create or edit property acquisition and ownership fields manually on web/mobile.</x:v>
      </x:c>
      <x:c r="Q64" s="35" t="str">
        <x:v>Synthetic QA only; no real people, accounts, signatures, or properties</x:v>
      </x:c>
    </x:row>
    <x:row r="65">
      <x:c r="A65" s="20" t="str">
        <x:v>SCN-0062</x:v>
      </x:c>
      <x:c r="B65" s="23" t="n">
        <x:v>46396</x:v>
      </x:c>
      <x:c r="C65" s="20" t="str">
        <x:v>scn-0062-deed-p016.pdf</x:v>
      </x:c>
      <x:c r="D65" s="20" t="str">
        <x:v>Deed / settlement statement</x:v>
      </x:c>
      <x:c r="E65" s="20" t="str">
        <x:v>Property document</x:v>
      </x:c>
      <x:c r="F65" s="35" t="str">
        <x:v>Contextual attachment; probe scan suggestion for Property and log a gap if no typed draft is offered</x:v>
      </x:c>
      <x:c r="G65" s="20" t="str">
        <x:v>PDF</x:v>
      </x:c>
      <x:c r="H65" s="20" t="str">
        <x:v>4 pages</x:v>
      </x:c>
      <x:c r="I65" s="35" t="str">
        <x:v>clean PDF with county stamp and legal-description noise</x:v>
      </x:c>
      <x:c r="J65" s="20" t="str">
        <x:v>P016</x:v>
      </x:c>
      <x:c r="K65" s="20" t="str"/>
      <x:c r="L65" s="20" t="str"/>
      <x:c r="M65" s="20" t="str"/>
      <x:c r="N65" s="35" t="str">
        <x:v>owner; street address; parcel reference; acquisition date; purchase price</x:v>
      </x:c>
      <x:c r="O65" s="35" t="str">
        <x:v>legal description should not overwrite mailing address</x:v>
      </x:c>
      <x:c r="P65" s="35" t="str">
        <x:v>Create or edit property acquisition and ownership fields manually on web/mobile.</x:v>
      </x:c>
      <x:c r="Q65" s="35" t="str">
        <x:v>Synthetic QA only; no real people, accounts, signatures, or properties</x:v>
      </x:c>
    </x:row>
    <x:row r="66">
      <x:c r="A66" s="20" t="str">
        <x:v>SCN-0063</x:v>
      </x:c>
      <x:c r="B66" s="23" t="n">
        <x:v>46400</x:v>
      </x:c>
      <x:c r="C66" s="20" t="str">
        <x:v>scn-0063-mortgage-p016.jpg</x:v>
      </x:c>
      <x:c r="D66" s="20" t="str">
        <x:v>Mortgage statement</x:v>
      </x:c>
      <x:c r="E66" s="20" t="str">
        <x:v>Loan</x:v>
      </x:c>
      <x:c r="F66" s="35" t="str">
        <x:v>Typed scan candidate; if unsupported attach to Property and enter loan manually</x:v>
      </x:c>
      <x:c r="G66" s="20" t="str">
        <x:v>Camera JPEG</x:v>
      </x:c>
      <x:c r="H66" s="20" t="str">
        <x:v>3 pages</x:v>
      </x:c>
      <x:c r="I66" s="35" t="str">
        <x:v>lender statement with detachable payment coupon</x:v>
      </x:c>
      <x:c r="J66" s="20" t="str">
        <x:v>P016</x:v>
      </x:c>
      <x:c r="K66" s="20" t="str"/>
      <x:c r="L66" s="20" t="str"/>
      <x:c r="M66" s="20" t="str"/>
      <x:c r="N66" s="35" t="str">
        <x:v>lender; original balance; current balance; rate; term; due date; escrow; principal; interest</x:v>
      </x:c>
      <x:c r="O66" s="35" t="str">
        <x:v>account number is synthetic and must remain masked</x:v>
      </x:c>
      <x:c r="P66" s="35" t="str">
        <x:v>Enter the loan once on web and a different loan once on mobile; compare amortization.</x:v>
      </x:c>
      <x:c r="Q66" s="35" t="str">
        <x:v>Synthetic QA only; no real people, accounts, signatures, or properties</x:v>
      </x:c>
    </x:row>
    <x:row r="67">
      <x:c r="A67" s="20" t="str">
        <x:v>SCN-0064</x:v>
      </x:c>
      <x:c r="B67" s="23" t="n">
        <x:v>46396</x:v>
      </x:c>
      <x:c r="C67" s="20" t="str">
        <x:v>scn-0064-deed-p017.pdf</x:v>
      </x:c>
      <x:c r="D67" s="20" t="str">
        <x:v>Deed / settlement statement</x:v>
      </x:c>
      <x:c r="E67" s="20" t="str">
        <x:v>Property document</x:v>
      </x:c>
      <x:c r="F67" s="35" t="str">
        <x:v>Contextual attachment; probe scan suggestion for Property and log a gap if no typed draft is offered</x:v>
      </x:c>
      <x:c r="G67" s="20" t="str">
        <x:v>PDF</x:v>
      </x:c>
      <x:c r="H67" s="20" t="str">
        <x:v>4 pages</x:v>
      </x:c>
      <x:c r="I67" s="35" t="str">
        <x:v>clean PDF with county stamp and legal-description noise</x:v>
      </x:c>
      <x:c r="J67" s="20" t="str">
        <x:v>P017</x:v>
      </x:c>
      <x:c r="K67" s="20" t="str"/>
      <x:c r="L67" s="20" t="str"/>
      <x:c r="M67" s="20" t="str"/>
      <x:c r="N67" s="35" t="str">
        <x:v>owner; street address; parcel reference; acquisition date; purchase price</x:v>
      </x:c>
      <x:c r="O67" s="35" t="str">
        <x:v>legal description should not overwrite mailing address</x:v>
      </x:c>
      <x:c r="P67" s="35" t="str">
        <x:v>Create or edit property acquisition and ownership fields manually on web/mobile.</x:v>
      </x:c>
      <x:c r="Q67" s="35" t="str">
        <x:v>Synthetic QA only; no real people, accounts, signatures, or properties</x:v>
      </x:c>
    </x:row>
    <x:row r="68">
      <x:c r="A68" s="20" t="str">
        <x:v>SCN-0065</x:v>
      </x:c>
      <x:c r="B68" s="23" t="n">
        <x:v>46401</x:v>
      </x:c>
      <x:c r="C68" s="20" t="str">
        <x:v>scn-0065-mortgage-p017.pdf</x:v>
      </x:c>
      <x:c r="D68" s="20" t="str">
        <x:v>Mortgage statement</x:v>
      </x:c>
      <x:c r="E68" s="20" t="str">
        <x:v>Loan</x:v>
      </x:c>
      <x:c r="F68" s="35" t="str">
        <x:v>Typed scan candidate; if unsupported attach to Property and enter loan manually</x:v>
      </x:c>
      <x:c r="G68" s="20" t="str">
        <x:v>PDF</x:v>
      </x:c>
      <x:c r="H68" s="20" t="str">
        <x:v>3 pages</x:v>
      </x:c>
      <x:c r="I68" s="35" t="str">
        <x:v>lender statement with detachable payment coupon</x:v>
      </x:c>
      <x:c r="J68" s="20" t="str">
        <x:v>P017</x:v>
      </x:c>
      <x:c r="K68" s="20" t="str"/>
      <x:c r="L68" s="20" t="str"/>
      <x:c r="M68" s="20" t="str"/>
      <x:c r="N68" s="35" t="str">
        <x:v>lender; original balance; current balance; rate; term; due date; escrow; principal; interest</x:v>
      </x:c>
      <x:c r="O68" s="35" t="str">
        <x:v>account number is synthetic and must remain masked</x:v>
      </x:c>
      <x:c r="P68" s="35" t="str">
        <x:v>Enter the loan once on web and a different loan once on mobile; compare amortization.</x:v>
      </x:c>
      <x:c r="Q68" s="35" t="str">
        <x:v>Synthetic QA only; no real people, accounts, signatures, or properties</x:v>
      </x:c>
    </x:row>
    <x:row r="69">
      <x:c r="A69" s="20" t="str">
        <x:v>SCN-0066</x:v>
      </x:c>
      <x:c r="B69" s="23" t="n">
        <x:v>46396</x:v>
      </x:c>
      <x:c r="C69" s="20" t="str">
        <x:v>scn-0066-deed-p018.pdf</x:v>
      </x:c>
      <x:c r="D69" s="20" t="str">
        <x:v>Deed / settlement statement</x:v>
      </x:c>
      <x:c r="E69" s="20" t="str">
        <x:v>Property document</x:v>
      </x:c>
      <x:c r="F69" s="35" t="str">
        <x:v>Contextual attachment; probe scan suggestion for Property and log a gap if no typed draft is offered</x:v>
      </x:c>
      <x:c r="G69" s="20" t="str">
        <x:v>PDF</x:v>
      </x:c>
      <x:c r="H69" s="20" t="str">
        <x:v>4 pages</x:v>
      </x:c>
      <x:c r="I69" s="35" t="str">
        <x:v>clean PDF with county stamp and legal-description noise</x:v>
      </x:c>
      <x:c r="J69" s="20" t="str">
        <x:v>P018</x:v>
      </x:c>
      <x:c r="K69" s="20" t="str"/>
      <x:c r="L69" s="20" t="str"/>
      <x:c r="M69" s="20" t="str"/>
      <x:c r="N69" s="35" t="str">
        <x:v>owner; street address; parcel reference; acquisition date; purchase price</x:v>
      </x:c>
      <x:c r="O69" s="35" t="str">
        <x:v>legal description should not overwrite mailing address</x:v>
      </x:c>
      <x:c r="P69" s="35" t="str">
        <x:v>Create or edit property acquisition and ownership fields manually on web/mobile.</x:v>
      </x:c>
      <x:c r="Q69" s="35" t="str">
        <x:v>Synthetic QA only; no real people, accounts, signatures, or properties</x:v>
      </x:c>
    </x:row>
    <x:row r="70">
      <x:c r="A70" s="20" t="str">
        <x:v>SCN-0067</x:v>
      </x:c>
      <x:c r="B70" s="23" t="n">
        <x:v>46396</x:v>
      </x:c>
      <x:c r="C70" s="20" t="str">
        <x:v>scn-0067-deed-p019.pdf</x:v>
      </x:c>
      <x:c r="D70" s="20" t="str">
        <x:v>Deed / settlement statement</x:v>
      </x:c>
      <x:c r="E70" s="20" t="str">
        <x:v>Property document</x:v>
      </x:c>
      <x:c r="F70" s="35" t="str">
        <x:v>Contextual attachment; probe scan suggestion for Property and log a gap if no typed draft is offered</x:v>
      </x:c>
      <x:c r="G70" s="20" t="str">
        <x:v>PDF</x:v>
      </x:c>
      <x:c r="H70" s="20" t="str">
        <x:v>4 pages</x:v>
      </x:c>
      <x:c r="I70" s="35" t="str">
        <x:v>clean PDF with county stamp and legal-description noise</x:v>
      </x:c>
      <x:c r="J70" s="20" t="str">
        <x:v>P019</x:v>
      </x:c>
      <x:c r="K70" s="20" t="str"/>
      <x:c r="L70" s="20" t="str"/>
      <x:c r="M70" s="20" t="str"/>
      <x:c r="N70" s="35" t="str">
        <x:v>owner; street address; parcel reference; acquisition date; purchase price</x:v>
      </x:c>
      <x:c r="O70" s="35" t="str">
        <x:v>legal description should not overwrite mailing address</x:v>
      </x:c>
      <x:c r="P70" s="35" t="str">
        <x:v>Create or edit property acquisition and ownership fields manually on web/mobile.</x:v>
      </x:c>
      <x:c r="Q70" s="35" t="str">
        <x:v>Synthetic QA only; no real people, accounts, signatures, or properties</x:v>
      </x:c>
    </x:row>
    <x:row r="71">
      <x:c r="A71" s="20" t="str">
        <x:v>SCN-0068</x:v>
      </x:c>
      <x:c r="B71" s="23" t="n">
        <x:v>46401</x:v>
      </x:c>
      <x:c r="C71" s="20" t="str">
        <x:v>scn-0068-mortgage-p019.pdf</x:v>
      </x:c>
      <x:c r="D71" s="20" t="str">
        <x:v>Mortgage statement</x:v>
      </x:c>
      <x:c r="E71" s="20" t="str">
        <x:v>Loan</x:v>
      </x:c>
      <x:c r="F71" s="35" t="str">
        <x:v>Typed scan candidate; if unsupported attach to Property and enter loan manually</x:v>
      </x:c>
      <x:c r="G71" s="20" t="str">
        <x:v>PDF</x:v>
      </x:c>
      <x:c r="H71" s="20" t="str">
        <x:v>3 pages</x:v>
      </x:c>
      <x:c r="I71" s="35" t="str">
        <x:v>lender statement with detachable payment coupon</x:v>
      </x:c>
      <x:c r="J71" s="20" t="str">
        <x:v>P019</x:v>
      </x:c>
      <x:c r="K71" s="20" t="str"/>
      <x:c r="L71" s="20" t="str"/>
      <x:c r="M71" s="20" t="str"/>
      <x:c r="N71" s="35" t="str">
        <x:v>lender; original balance; current balance; rate; term; due date; escrow; principal; interest</x:v>
      </x:c>
      <x:c r="O71" s="35" t="str">
        <x:v>account number is synthetic and must remain masked</x:v>
      </x:c>
      <x:c r="P71" s="35" t="str">
        <x:v>Enter the loan once on web and a different loan once on mobile; compare amortization.</x:v>
      </x:c>
      <x:c r="Q71" s="35" t="str">
        <x:v>Synthetic QA only; no real people, accounts, signatures, or properties</x:v>
      </x:c>
    </x:row>
    <x:row r="72">
      <x:c r="A72" s="20" t="str">
        <x:v>SCN-0069</x:v>
      </x:c>
      <x:c r="B72" s="23" t="n">
        <x:v>46396</x:v>
      </x:c>
      <x:c r="C72" s="20" t="str">
        <x:v>scn-0069-deed-p020.pdf</x:v>
      </x:c>
      <x:c r="D72" s="20" t="str">
        <x:v>Deed / settlement statement</x:v>
      </x:c>
      <x:c r="E72" s="20" t="str">
        <x:v>Property document</x:v>
      </x:c>
      <x:c r="F72" s="35" t="str">
        <x:v>Contextual attachment; probe scan suggestion for Property and log a gap if no typed draft is offered</x:v>
      </x:c>
      <x:c r="G72" s="20" t="str">
        <x:v>PDF</x:v>
      </x:c>
      <x:c r="H72" s="20" t="str">
        <x:v>4 pages</x:v>
      </x:c>
      <x:c r="I72" s="35" t="str">
        <x:v>clean PDF with county stamp and legal-description noise</x:v>
      </x:c>
      <x:c r="J72" s="20" t="str">
        <x:v>P020</x:v>
      </x:c>
      <x:c r="K72" s="20" t="str"/>
      <x:c r="L72" s="20" t="str"/>
      <x:c r="M72" s="20" t="str"/>
      <x:c r="N72" s="35" t="str">
        <x:v>owner; street address; parcel reference; acquisition date; purchase price</x:v>
      </x:c>
      <x:c r="O72" s="35" t="str">
        <x:v>legal description should not overwrite mailing address</x:v>
      </x:c>
      <x:c r="P72" s="35" t="str">
        <x:v>Create or edit property acquisition and ownership fields manually on web/mobile.</x:v>
      </x:c>
      <x:c r="Q72" s="35" t="str">
        <x:v>Synthetic QA only; no real people, accounts, signatures, or properties</x:v>
      </x:c>
    </x:row>
    <x:row r="73">
      <x:c r="A73" s="20" t="str">
        <x:v>SCN-0070</x:v>
      </x:c>
      <x:c r="B73" s="23" t="n">
        <x:v>46401</x:v>
      </x:c>
      <x:c r="C73" s="20" t="str">
        <x:v>scn-0070-mortgage-p020.jpg</x:v>
      </x:c>
      <x:c r="D73" s="20" t="str">
        <x:v>Mortgage statement</x:v>
      </x:c>
      <x:c r="E73" s="20" t="str">
        <x:v>Loan</x:v>
      </x:c>
      <x:c r="F73" s="35" t="str">
        <x:v>Typed scan candidate; if unsupported attach to Property and enter loan manually</x:v>
      </x:c>
      <x:c r="G73" s="20" t="str">
        <x:v>Camera JPEG</x:v>
      </x:c>
      <x:c r="H73" s="20" t="str">
        <x:v>3 pages</x:v>
      </x:c>
      <x:c r="I73" s="35" t="str">
        <x:v>lender statement with detachable payment coupon</x:v>
      </x:c>
      <x:c r="J73" s="20" t="str">
        <x:v>P020</x:v>
      </x:c>
      <x:c r="K73" s="20" t="str"/>
      <x:c r="L73" s="20" t="str"/>
      <x:c r="M73" s="20" t="str"/>
      <x:c r="N73" s="35" t="str">
        <x:v>lender; original balance; current balance; rate; term; due date; escrow; principal; interest</x:v>
      </x:c>
      <x:c r="O73" s="35" t="str">
        <x:v>account number is synthetic and must remain masked</x:v>
      </x:c>
      <x:c r="P73" s="35" t="str">
        <x:v>Enter the loan once on web and a different loan once on mobile; compare amortization.</x:v>
      </x:c>
      <x:c r="Q73" s="35" t="str">
        <x:v>Synthetic QA only; no real people, accounts, signatures, or properties</x:v>
      </x:c>
    </x:row>
    <x:row r="74">
      <x:c r="A74" s="20" t="str">
        <x:v>SCN-0071</x:v>
      </x:c>
      <x:c r="B74" s="23" t="n">
        <x:v>46397</x:v>
      </x:c>
      <x:c r="C74" s="20" t="str">
        <x:v>scn-0071-deed-p021.pdf</x:v>
      </x:c>
      <x:c r="D74" s="20" t="str">
        <x:v>Deed / settlement statement</x:v>
      </x:c>
      <x:c r="E74" s="20" t="str">
        <x:v>Property document</x:v>
      </x:c>
      <x:c r="F74" s="35" t="str">
        <x:v>Contextual attachment; probe scan suggestion for Property and log a gap if no typed draft is offered</x:v>
      </x:c>
      <x:c r="G74" s="20" t="str">
        <x:v>PDF</x:v>
      </x:c>
      <x:c r="H74" s="20" t="str">
        <x:v>4 pages</x:v>
      </x:c>
      <x:c r="I74" s="35" t="str">
        <x:v>clean PDF with county stamp and legal-description noise</x:v>
      </x:c>
      <x:c r="J74" s="20" t="str">
        <x:v>P021</x:v>
      </x:c>
      <x:c r="K74" s="20" t="str"/>
      <x:c r="L74" s="20" t="str"/>
      <x:c r="M74" s="20" t="str"/>
      <x:c r="N74" s="35" t="str">
        <x:v>owner; street address; parcel reference; acquisition date; purchase price</x:v>
      </x:c>
      <x:c r="O74" s="35" t="str">
        <x:v>legal description should not overwrite mailing address</x:v>
      </x:c>
      <x:c r="P74" s="35" t="str">
        <x:v>Create or edit property acquisition and ownership fields manually on web/mobile.</x:v>
      </x:c>
      <x:c r="Q74" s="35" t="str">
        <x:v>Synthetic QA only; no real people, accounts, signatures, or properties</x:v>
      </x:c>
    </x:row>
    <x:row r="75">
      <x:c r="A75" s="20" t="str">
        <x:v>SCN-0072</x:v>
      </x:c>
      <x:c r="B75" s="23" t="n">
        <x:v>46397</x:v>
      </x:c>
      <x:c r="C75" s="20" t="str">
        <x:v>scn-0072-deed-p022.pdf</x:v>
      </x:c>
      <x:c r="D75" s="20" t="str">
        <x:v>Deed / settlement statement</x:v>
      </x:c>
      <x:c r="E75" s="20" t="str">
        <x:v>Property document</x:v>
      </x:c>
      <x:c r="F75" s="35" t="str">
        <x:v>Contextual attachment; probe scan suggestion for Property and log a gap if no typed draft is offered</x:v>
      </x:c>
      <x:c r="G75" s="20" t="str">
        <x:v>PDF</x:v>
      </x:c>
      <x:c r="H75" s="20" t="str">
        <x:v>4 pages</x:v>
      </x:c>
      <x:c r="I75" s="35" t="str">
        <x:v>clean PDF with county stamp and legal-description noise</x:v>
      </x:c>
      <x:c r="J75" s="20" t="str">
        <x:v>P022</x:v>
      </x:c>
      <x:c r="K75" s="20" t="str"/>
      <x:c r="L75" s="20" t="str"/>
      <x:c r="M75" s="20" t="str"/>
      <x:c r="N75" s="35" t="str">
        <x:v>owner; street address; parcel reference; acquisition date; purchase price</x:v>
      </x:c>
      <x:c r="O75" s="35" t="str">
        <x:v>legal description should not overwrite mailing address</x:v>
      </x:c>
      <x:c r="P75" s="35" t="str">
        <x:v>Create or edit property acquisition and ownership fields manually on web/mobile.</x:v>
      </x:c>
      <x:c r="Q75" s="35" t="str">
        <x:v>Synthetic QA only; no real people, accounts, signatures, or properties</x:v>
      </x:c>
    </x:row>
    <x:row r="76">
      <x:c r="A76" s="20" t="str">
        <x:v>SCN-0073</x:v>
      </x:c>
      <x:c r="B76" s="23" t="n">
        <x:v>46401</x:v>
      </x:c>
      <x:c r="C76" s="20" t="str">
        <x:v>scn-0073-mortgage-p022.jpg</x:v>
      </x:c>
      <x:c r="D76" s="20" t="str">
        <x:v>Mortgage statement</x:v>
      </x:c>
      <x:c r="E76" s="20" t="str">
        <x:v>Loan</x:v>
      </x:c>
      <x:c r="F76" s="35" t="str">
        <x:v>Typed scan candidate; if unsupported attach to Property and enter loan manually</x:v>
      </x:c>
      <x:c r="G76" s="20" t="str">
        <x:v>Camera JPEG</x:v>
      </x:c>
      <x:c r="H76" s="20" t="str">
        <x:v>3 pages</x:v>
      </x:c>
      <x:c r="I76" s="35" t="str">
        <x:v>lender statement with detachable payment coupon</x:v>
      </x:c>
      <x:c r="J76" s="20" t="str">
        <x:v>P022</x:v>
      </x:c>
      <x:c r="K76" s="20" t="str"/>
      <x:c r="L76" s="20" t="str"/>
      <x:c r="M76" s="20" t="str"/>
      <x:c r="N76" s="35" t="str">
        <x:v>lender; original balance; current balance; rate; term; due date; escrow; principal; interest</x:v>
      </x:c>
      <x:c r="O76" s="35" t="str">
        <x:v>account number is synthetic and must remain masked</x:v>
      </x:c>
      <x:c r="P76" s="35" t="str">
        <x:v>Enter the loan once on web and a different loan once on mobile; compare amortization.</x:v>
      </x:c>
      <x:c r="Q76" s="35" t="str">
        <x:v>Synthetic QA only; no real people, accounts, signatures, or properties</x:v>
      </x:c>
    </x:row>
    <x:row r="77">
      <x:c r="A77" s="20" t="str">
        <x:v>SCN-0074</x:v>
      </x:c>
      <x:c r="B77" s="23" t="n">
        <x:v>46397</x:v>
      </x:c>
      <x:c r="C77" s="20" t="str">
        <x:v>scn-0074-deed-p023.pdf</x:v>
      </x:c>
      <x:c r="D77" s="20" t="str">
        <x:v>Deed / settlement statement</x:v>
      </x:c>
      <x:c r="E77" s="20" t="str">
        <x:v>Property document</x:v>
      </x:c>
      <x:c r="F77" s="35" t="str">
        <x:v>Contextual attachment; probe scan suggestion for Property and log a gap if no typed draft is offered</x:v>
      </x:c>
      <x:c r="G77" s="20" t="str">
        <x:v>PDF</x:v>
      </x:c>
      <x:c r="H77" s="20" t="str">
        <x:v>4 pages</x:v>
      </x:c>
      <x:c r="I77" s="35" t="str">
        <x:v>clean PDF with county stamp and legal-description noise</x:v>
      </x:c>
      <x:c r="J77" s="20" t="str">
        <x:v>P023</x:v>
      </x:c>
      <x:c r="K77" s="20" t="str"/>
      <x:c r="L77" s="20" t="str"/>
      <x:c r="M77" s="20" t="str"/>
      <x:c r="N77" s="35" t="str">
        <x:v>owner; street address; parcel reference; acquisition date; purchase price</x:v>
      </x:c>
      <x:c r="O77" s="35" t="str">
        <x:v>legal description should not overwrite mailing address</x:v>
      </x:c>
      <x:c r="P77" s="35" t="str">
        <x:v>Create or edit property acquisition and ownership fields manually on web/mobile.</x:v>
      </x:c>
      <x:c r="Q77" s="35" t="str">
        <x:v>Synthetic QA only; no real people, accounts, signatures, or properties</x:v>
      </x:c>
    </x:row>
    <x:row r="78">
      <x:c r="A78" s="20" t="str">
        <x:v>SCN-0075</x:v>
      </x:c>
      <x:c r="B78" s="23" t="n">
        <x:v>46401</x:v>
      </x:c>
      <x:c r="C78" s="20" t="str">
        <x:v>scn-0075-mortgage-p023.pdf</x:v>
      </x:c>
      <x:c r="D78" s="20" t="str">
        <x:v>Mortgage statement</x:v>
      </x:c>
      <x:c r="E78" s="20" t="str">
        <x:v>Loan</x:v>
      </x:c>
      <x:c r="F78" s="35" t="str">
        <x:v>Typed scan candidate; if unsupported attach to Property and enter loan manually</x:v>
      </x:c>
      <x:c r="G78" s="20" t="str">
        <x:v>PDF</x:v>
      </x:c>
      <x:c r="H78" s="20" t="str">
        <x:v>3 pages</x:v>
      </x:c>
      <x:c r="I78" s="35" t="str">
        <x:v>lender statement with detachable payment coupon</x:v>
      </x:c>
      <x:c r="J78" s="20" t="str">
        <x:v>P023</x:v>
      </x:c>
      <x:c r="K78" s="20" t="str"/>
      <x:c r="L78" s="20" t="str"/>
      <x:c r="M78" s="20" t="str"/>
      <x:c r="N78" s="35" t="str">
        <x:v>lender; original balance; current balance; rate; term; due date; escrow; principal; interest</x:v>
      </x:c>
      <x:c r="O78" s="35" t="str">
        <x:v>account number is synthetic and must remain masked</x:v>
      </x:c>
      <x:c r="P78" s="35" t="str">
        <x:v>Enter the loan once on web and a different loan once on mobile; compare amortization.</x:v>
      </x:c>
      <x:c r="Q78" s="35" t="str">
        <x:v>Synthetic QA only; no real people, accounts, signatures, or properties</x:v>
      </x:c>
    </x:row>
    <x:row r="79">
      <x:c r="A79" s="20" t="str">
        <x:v>SCN-0076</x:v>
      </x:c>
      <x:c r="B79" s="23" t="n">
        <x:v>46397</x:v>
      </x:c>
      <x:c r="C79" s="20" t="str">
        <x:v>scn-0076-deed-p024.pdf</x:v>
      </x:c>
      <x:c r="D79" s="20" t="str">
        <x:v>Deed / settlement statement</x:v>
      </x:c>
      <x:c r="E79" s="20" t="str">
        <x:v>Property document</x:v>
      </x:c>
      <x:c r="F79" s="35" t="str">
        <x:v>Contextual attachment; probe scan suggestion for Property and log a gap if no typed draft is offered</x:v>
      </x:c>
      <x:c r="G79" s="20" t="str">
        <x:v>PDF</x:v>
      </x:c>
      <x:c r="H79" s="20" t="str">
        <x:v>4 pages</x:v>
      </x:c>
      <x:c r="I79" s="35" t="str">
        <x:v>clean PDF with county stamp and legal-description noise</x:v>
      </x:c>
      <x:c r="J79" s="20" t="str">
        <x:v>P024</x:v>
      </x:c>
      <x:c r="K79" s="20" t="str"/>
      <x:c r="L79" s="20" t="str"/>
      <x:c r="M79" s="20" t="str"/>
      <x:c r="N79" s="35" t="str">
        <x:v>owner; street address; parcel reference; acquisition date; purchase price</x:v>
      </x:c>
      <x:c r="O79" s="35" t="str">
        <x:v>legal description should not overwrite mailing address</x:v>
      </x:c>
      <x:c r="P79" s="35" t="str">
        <x:v>Create or edit property acquisition and ownership fields manually on web/mobile.</x:v>
      </x:c>
      <x:c r="Q79" s="35" t="str">
        <x:v>Synthetic QA only; no real people, accounts, signatures, or properties</x:v>
      </x:c>
    </x:row>
    <x:row r="80">
      <x:c r="A80" s="20" t="str">
        <x:v>SCN-0077</x:v>
      </x:c>
      <x:c r="B80" s="23" t="n">
        <x:v>46397</x:v>
      </x:c>
      <x:c r="C80" s="20" t="str">
        <x:v>scn-0077-deed-p025.pdf</x:v>
      </x:c>
      <x:c r="D80" s="20" t="str">
        <x:v>Deed / settlement statement</x:v>
      </x:c>
      <x:c r="E80" s="20" t="str">
        <x:v>Property document</x:v>
      </x:c>
      <x:c r="F80" s="35" t="str">
        <x:v>Contextual attachment; probe scan suggestion for Property and log a gap if no typed draft is offered</x:v>
      </x:c>
      <x:c r="G80" s="20" t="str">
        <x:v>PDF</x:v>
      </x:c>
      <x:c r="H80" s="20" t="str">
        <x:v>4 pages</x:v>
      </x:c>
      <x:c r="I80" s="35" t="str">
        <x:v>clean PDF with county stamp and legal-description noise</x:v>
      </x:c>
      <x:c r="J80" s="20" t="str">
        <x:v>P025</x:v>
      </x:c>
      <x:c r="K80" s="20" t="str"/>
      <x:c r="L80" s="20" t="str"/>
      <x:c r="M80" s="20" t="str"/>
      <x:c r="N80" s="35" t="str">
        <x:v>owner; street address; parcel reference; acquisition date; purchase price</x:v>
      </x:c>
      <x:c r="O80" s="35" t="str">
        <x:v>legal description should not overwrite mailing address</x:v>
      </x:c>
      <x:c r="P80" s="35" t="str">
        <x:v>Create or edit property acquisition and ownership fields manually on web/mobile.</x:v>
      </x:c>
      <x:c r="Q80" s="35" t="str">
        <x:v>Synthetic QA only; no real people, accounts, signatures, or properties</x:v>
      </x:c>
    </x:row>
    <x:row r="81">
      <x:c r="A81" s="20" t="str">
        <x:v>SCN-0078</x:v>
      </x:c>
      <x:c r="B81" s="23" t="n">
        <x:v>46402</x:v>
      </x:c>
      <x:c r="C81" s="20" t="str">
        <x:v>scn-0078-mortgage-p025.pdf</x:v>
      </x:c>
      <x:c r="D81" s="20" t="str">
        <x:v>Mortgage statement</x:v>
      </x:c>
      <x:c r="E81" s="20" t="str">
        <x:v>Loan</x:v>
      </x:c>
      <x:c r="F81" s="35" t="str">
        <x:v>Typed scan candidate; if unsupported attach to Property and enter loan manually</x:v>
      </x:c>
      <x:c r="G81" s="20" t="str">
        <x:v>PDF</x:v>
      </x:c>
      <x:c r="H81" s="20" t="str">
        <x:v>3 pages</x:v>
      </x:c>
      <x:c r="I81" s="35" t="str">
        <x:v>lender statement with detachable payment coupon</x:v>
      </x:c>
      <x:c r="J81" s="20" t="str">
        <x:v>P025</x:v>
      </x:c>
      <x:c r="K81" s="20" t="str"/>
      <x:c r="L81" s="20" t="str"/>
      <x:c r="M81" s="20" t="str"/>
      <x:c r="N81" s="35" t="str">
        <x:v>lender; original balance; current balance; rate; term; due date; escrow; principal; interest</x:v>
      </x:c>
      <x:c r="O81" s="35" t="str">
        <x:v>account number is synthetic and must remain masked</x:v>
      </x:c>
      <x:c r="P81" s="35" t="str">
        <x:v>Enter the loan once on web and a different loan once on mobile; compare amortization.</x:v>
      </x:c>
      <x:c r="Q81" s="35" t="str">
        <x:v>Synthetic QA only; no real people, accounts, signatures, or properties</x:v>
      </x:c>
    </x:row>
    <x:row r="82">
      <x:c r="A82" s="20" t="str">
        <x:v>SCN-0079</x:v>
      </x:c>
      <x:c r="B82" s="23" t="n">
        <x:v>46397</x:v>
      </x:c>
      <x:c r="C82" s="20" t="str">
        <x:v>scn-0079-deed-p026.pdf</x:v>
      </x:c>
      <x:c r="D82" s="20" t="str">
        <x:v>Deed / settlement statement</x:v>
      </x:c>
      <x:c r="E82" s="20" t="str">
        <x:v>Property document</x:v>
      </x:c>
      <x:c r="F82" s="35" t="str">
        <x:v>Contextual attachment; probe scan suggestion for Property and log a gap if no typed draft is offered</x:v>
      </x:c>
      <x:c r="G82" s="20" t="str">
        <x:v>PDF</x:v>
      </x:c>
      <x:c r="H82" s="20" t="str">
        <x:v>4 pages</x:v>
      </x:c>
      <x:c r="I82" s="35" t="str">
        <x:v>clean PDF with county stamp and legal-description noise</x:v>
      </x:c>
      <x:c r="J82" s="20" t="str">
        <x:v>P026</x:v>
      </x:c>
      <x:c r="K82" s="20" t="str"/>
      <x:c r="L82" s="20" t="str"/>
      <x:c r="M82" s="20" t="str"/>
      <x:c r="N82" s="35" t="str">
        <x:v>owner; street address; parcel reference; acquisition date; purchase price</x:v>
      </x:c>
      <x:c r="O82" s="35" t="str">
        <x:v>legal description should not overwrite mailing address</x:v>
      </x:c>
      <x:c r="P82" s="35" t="str">
        <x:v>Create or edit property acquisition and ownership fields manually on web/mobile.</x:v>
      </x:c>
      <x:c r="Q82" s="35" t="str">
        <x:v>Synthetic QA only; no real people, accounts, signatures, or properties</x:v>
      </x:c>
    </x:row>
    <x:row r="83">
      <x:c r="A83" s="20" t="str">
        <x:v>SCN-0080</x:v>
      </x:c>
      <x:c r="B83" s="23" t="n">
        <x:v>46402</x:v>
      </x:c>
      <x:c r="C83" s="20" t="str">
        <x:v>scn-0080-mortgage-p026.jpg</x:v>
      </x:c>
      <x:c r="D83" s="20" t="str">
        <x:v>Mortgage statement</x:v>
      </x:c>
      <x:c r="E83" s="20" t="str">
        <x:v>Loan</x:v>
      </x:c>
      <x:c r="F83" s="35" t="str">
        <x:v>Typed scan candidate; if unsupported attach to Property and enter loan manually</x:v>
      </x:c>
      <x:c r="G83" s="20" t="str">
        <x:v>Camera JPEG</x:v>
      </x:c>
      <x:c r="H83" s="20" t="str">
        <x:v>3 pages</x:v>
      </x:c>
      <x:c r="I83" s="35" t="str">
        <x:v>lender statement with detachable payment coupon</x:v>
      </x:c>
      <x:c r="J83" s="20" t="str">
        <x:v>P026</x:v>
      </x:c>
      <x:c r="K83" s="20" t="str"/>
      <x:c r="L83" s="20" t="str"/>
      <x:c r="M83" s="20" t="str"/>
      <x:c r="N83" s="35" t="str">
        <x:v>lender; original balance; current balance; rate; term; due date; escrow; principal; interest</x:v>
      </x:c>
      <x:c r="O83" s="35" t="str">
        <x:v>account number is synthetic and must remain masked</x:v>
      </x:c>
      <x:c r="P83" s="35" t="str">
        <x:v>Enter the loan once on web and a different loan once on mobile; compare amortization.</x:v>
      </x:c>
      <x:c r="Q83" s="35" t="str">
        <x:v>Synthetic QA only; no real people, accounts, signatures, or properties</x:v>
      </x:c>
    </x:row>
    <x:row r="84">
      <x:c r="A84" s="20" t="str">
        <x:v>SCN-0081</x:v>
      </x:c>
      <x:c r="B84" s="23" t="n">
        <x:v>46397</x:v>
      </x:c>
      <x:c r="C84" s="20" t="str">
        <x:v>scn-0081-deed-p027.pdf</x:v>
      </x:c>
      <x:c r="D84" s="20" t="str">
        <x:v>Deed / settlement statement</x:v>
      </x:c>
      <x:c r="E84" s="20" t="str">
        <x:v>Property document</x:v>
      </x:c>
      <x:c r="F84" s="35" t="str">
        <x:v>Contextual attachment; probe scan suggestion for Property and log a gap if no typed draft is offered</x:v>
      </x:c>
      <x:c r="G84" s="20" t="str">
        <x:v>PDF</x:v>
      </x:c>
      <x:c r="H84" s="20" t="str">
        <x:v>4 pages</x:v>
      </x:c>
      <x:c r="I84" s="35" t="str">
        <x:v>clean PDF with county stamp and legal-description noise</x:v>
      </x:c>
      <x:c r="J84" s="20" t="str">
        <x:v>P027</x:v>
      </x:c>
      <x:c r="K84" s="20" t="str"/>
      <x:c r="L84" s="20" t="str"/>
      <x:c r="M84" s="20" t="str"/>
      <x:c r="N84" s="35" t="str">
        <x:v>owner; street address; parcel reference; acquisition date; purchase price</x:v>
      </x:c>
      <x:c r="O84" s="35" t="str">
        <x:v>legal description should not overwrite mailing address</x:v>
      </x:c>
      <x:c r="P84" s="35" t="str">
        <x:v>Create or edit property acquisition and ownership fields manually on web/mobile.</x:v>
      </x:c>
      <x:c r="Q84" s="35" t="str">
        <x:v>Synthetic QA only; no real people, accounts, signatures, or properties</x:v>
      </x:c>
    </x:row>
    <x:row r="85">
      <x:c r="A85" s="20" t="str">
        <x:v>SCN-0082</x:v>
      </x:c>
      <x:c r="B85" s="23" t="n">
        <x:v>46397</x:v>
      </x:c>
      <x:c r="C85" s="20" t="str">
        <x:v>scn-0082-deed-p028.pdf</x:v>
      </x:c>
      <x:c r="D85" s="20" t="str">
        <x:v>Deed / settlement statement</x:v>
      </x:c>
      <x:c r="E85" s="20" t="str">
        <x:v>Property document</x:v>
      </x:c>
      <x:c r="F85" s="35" t="str">
        <x:v>Contextual attachment; probe scan suggestion for Property and log a gap if no typed draft is offered</x:v>
      </x:c>
      <x:c r="G85" s="20" t="str">
        <x:v>PDF</x:v>
      </x:c>
      <x:c r="H85" s="20" t="str">
        <x:v>4 pages</x:v>
      </x:c>
      <x:c r="I85" s="35" t="str">
        <x:v>clean PDF with county stamp and legal-description noise</x:v>
      </x:c>
      <x:c r="J85" s="20" t="str">
        <x:v>P028</x:v>
      </x:c>
      <x:c r="K85" s="20" t="str"/>
      <x:c r="L85" s="20" t="str"/>
      <x:c r="M85" s="20" t="str"/>
      <x:c r="N85" s="35" t="str">
        <x:v>owner; street address; parcel reference; acquisition date; purchase price</x:v>
      </x:c>
      <x:c r="O85" s="35" t="str">
        <x:v>legal description should not overwrite mailing address</x:v>
      </x:c>
      <x:c r="P85" s="35" t="str">
        <x:v>Create or edit property acquisition and ownership fields manually on web/mobile.</x:v>
      </x:c>
      <x:c r="Q85" s="35" t="str">
        <x:v>Synthetic QA only; no real people, accounts, signatures, or properties</x:v>
      </x:c>
    </x:row>
    <x:row r="86">
      <x:c r="A86" s="20" t="str">
        <x:v>SCN-0083</x:v>
      </x:c>
      <x:c r="B86" s="23" t="n">
        <x:v>46402</x:v>
      </x:c>
      <x:c r="C86" s="20" t="str">
        <x:v>scn-0083-mortgage-p028.jpg</x:v>
      </x:c>
      <x:c r="D86" s="20" t="str">
        <x:v>Mortgage statement</x:v>
      </x:c>
      <x:c r="E86" s="20" t="str">
        <x:v>Loan</x:v>
      </x:c>
      <x:c r="F86" s="35" t="str">
        <x:v>Typed scan candidate; if unsupported attach to Property and enter loan manually</x:v>
      </x:c>
      <x:c r="G86" s="20" t="str">
        <x:v>Camera JPEG</x:v>
      </x:c>
      <x:c r="H86" s="20" t="str">
        <x:v>3 pages</x:v>
      </x:c>
      <x:c r="I86" s="35" t="str">
        <x:v>lender statement with detachable payment coupon</x:v>
      </x:c>
      <x:c r="J86" s="20" t="str">
        <x:v>P028</x:v>
      </x:c>
      <x:c r="K86" s="20" t="str"/>
      <x:c r="L86" s="20" t="str"/>
      <x:c r="M86" s="20" t="str"/>
      <x:c r="N86" s="35" t="str">
        <x:v>lender; original balance; current balance; rate; term; due date; escrow; principal; interest</x:v>
      </x:c>
      <x:c r="O86" s="35" t="str">
        <x:v>account number is synthetic and must remain masked</x:v>
      </x:c>
      <x:c r="P86" s="35" t="str">
        <x:v>Enter the loan once on web and a different loan once on mobile; compare amortization.</x:v>
      </x:c>
      <x:c r="Q86" s="35" t="str">
        <x:v>Synthetic QA only; no real people, accounts, signatures, or properties</x:v>
      </x:c>
    </x:row>
    <x:row r="87">
      <x:c r="A87" s="20" t="str">
        <x:v>SCN-0084</x:v>
      </x:c>
      <x:c r="B87" s="23" t="n">
        <x:v>46397</x:v>
      </x:c>
      <x:c r="C87" s="20" t="str">
        <x:v>scn-0084-deed-p029.pdf</x:v>
      </x:c>
      <x:c r="D87" s="20" t="str">
        <x:v>Deed / settlement statement</x:v>
      </x:c>
      <x:c r="E87" s="20" t="str">
        <x:v>Property document</x:v>
      </x:c>
      <x:c r="F87" s="35" t="str">
        <x:v>Contextual attachment; probe scan suggestion for Property and log a gap if no typed draft is offered</x:v>
      </x:c>
      <x:c r="G87" s="20" t="str">
        <x:v>PDF</x:v>
      </x:c>
      <x:c r="H87" s="20" t="str">
        <x:v>4 pages</x:v>
      </x:c>
      <x:c r="I87" s="35" t="str">
        <x:v>clean PDF with county stamp and legal-description noise</x:v>
      </x:c>
      <x:c r="J87" s="20" t="str">
        <x:v>P029</x:v>
      </x:c>
      <x:c r="K87" s="20" t="str"/>
      <x:c r="L87" s="20" t="str"/>
      <x:c r="M87" s="20" t="str"/>
      <x:c r="N87" s="35" t="str">
        <x:v>owner; street address; parcel reference; acquisition date; purchase price</x:v>
      </x:c>
      <x:c r="O87" s="35" t="str">
        <x:v>legal description should not overwrite mailing address</x:v>
      </x:c>
      <x:c r="P87" s="35" t="str">
        <x:v>Create or edit property acquisition and ownership fields manually on web/mobile.</x:v>
      </x:c>
      <x:c r="Q87" s="35" t="str">
        <x:v>Synthetic QA only; no real people, accounts, signatures, or properties</x:v>
      </x:c>
    </x:row>
    <x:row r="88">
      <x:c r="A88" s="20" t="str">
        <x:v>SCN-0085</x:v>
      </x:c>
      <x:c r="B88" s="23" t="n">
        <x:v>46402</x:v>
      </x:c>
      <x:c r="C88" s="20" t="str">
        <x:v>scn-0085-mortgage-p029.pdf</x:v>
      </x:c>
      <x:c r="D88" s="20" t="str">
        <x:v>Mortgage statement</x:v>
      </x:c>
      <x:c r="E88" s="20" t="str">
        <x:v>Loan</x:v>
      </x:c>
      <x:c r="F88" s="35" t="str">
        <x:v>Typed scan candidate; if unsupported attach to Property and enter loan manually</x:v>
      </x:c>
      <x:c r="G88" s="20" t="str">
        <x:v>PDF</x:v>
      </x:c>
      <x:c r="H88" s="20" t="str">
        <x:v>3 pages</x:v>
      </x:c>
      <x:c r="I88" s="35" t="str">
        <x:v>lender statement with detachable payment coupon</x:v>
      </x:c>
      <x:c r="J88" s="20" t="str">
        <x:v>P029</x:v>
      </x:c>
      <x:c r="K88" s="20" t="str"/>
      <x:c r="L88" s="20" t="str"/>
      <x:c r="M88" s="20" t="str"/>
      <x:c r="N88" s="35" t="str">
        <x:v>lender; original balance; current balance; rate; term; due date; escrow; principal; interest</x:v>
      </x:c>
      <x:c r="O88" s="35" t="str">
        <x:v>account number is synthetic and must remain masked</x:v>
      </x:c>
      <x:c r="P88" s="35" t="str">
        <x:v>Enter the loan once on web and a different loan once on mobile; compare amortization.</x:v>
      </x:c>
      <x:c r="Q88" s="35" t="str">
        <x:v>Synthetic QA only; no real people, accounts, signatures, or properties</x:v>
      </x:c>
    </x:row>
    <x:row r="89">
      <x:c r="A89" s="20" t="str">
        <x:v>SCN-0086</x:v>
      </x:c>
      <x:c r="B89" s="23" t="n">
        <x:v>46397</x:v>
      </x:c>
      <x:c r="C89" s="20" t="str">
        <x:v>scn-0086-deed-p030.pdf</x:v>
      </x:c>
      <x:c r="D89" s="20" t="str">
        <x:v>Deed / settlement statement</x:v>
      </x:c>
      <x:c r="E89" s="20" t="str">
        <x:v>Property document</x:v>
      </x:c>
      <x:c r="F89" s="35" t="str">
        <x:v>Contextual attachment; probe scan suggestion for Property and log a gap if no typed draft is offered</x:v>
      </x:c>
      <x:c r="G89" s="20" t="str">
        <x:v>PDF</x:v>
      </x:c>
      <x:c r="H89" s="20" t="str">
        <x:v>4 pages</x:v>
      </x:c>
      <x:c r="I89" s="35" t="str">
        <x:v>clean PDF with county stamp and legal-description noise</x:v>
      </x:c>
      <x:c r="J89" s="20" t="str">
        <x:v>P030</x:v>
      </x:c>
      <x:c r="K89" s="20" t="str"/>
      <x:c r="L89" s="20" t="str"/>
      <x:c r="M89" s="20" t="str"/>
      <x:c r="N89" s="35" t="str">
        <x:v>owner; street address; parcel reference; acquisition date; purchase price</x:v>
      </x:c>
      <x:c r="O89" s="35" t="str">
        <x:v>legal description should not overwrite mailing address</x:v>
      </x:c>
      <x:c r="P89" s="35" t="str">
        <x:v>Create or edit property acquisition and ownership fields manually on web/mobile.</x:v>
      </x:c>
      <x:c r="Q89" s="35" t="str">
        <x:v>Synthetic QA only; no real people, accounts, signatures, or properties</x:v>
      </x:c>
    </x:row>
    <x:row r="90">
      <x:c r="A90" s="20" t="str">
        <x:v>SCN-0087</x:v>
      </x:c>
      <x:c r="B90" s="23" t="n">
        <x:v>46391</x:v>
      </x:c>
      <x:c r="C90" s="20" t="str">
        <x:v>scn-0087-rent-payment-l001-20270104.jpg</x:v>
      </x:c>
      <x:c r="D90" s="20" t="str">
        <x:v>Money order</x:v>
      </x:c>
      <x:c r="E90" s="20" t="str">
        <x:v>Payment</x:v>
      </x:c>
      <x:c r="F90" s="35" t="str">
        <x:v>Direct scan draft matched to tenant account and charge</x:v>
      </x:c>
      <x:c r="G90" s="20" t="str">
        <x:v>Camera JPEG</x:v>
      </x:c>
      <x:c r="H90" s="20" t="str">
        <x:v>1 image</x:v>
      </x:c>
      <x:c r="I90" s="35" t="str">
        <x:v>phone camera; amount box, written amount, memo, and endorsement visible</x:v>
      </x:c>
      <x:c r="J90" s="20" t="str">
        <x:v>P001</x:v>
      </x:c>
      <x:c r="K90" s="20" t="str">
        <x:v>U001</x:v>
      </x:c>
      <x:c r="L90" s="20" t="str">
        <x:v>L001</x:v>
      </x:c>
      <x:c r="M90" s="20" t="str">
        <x:v>FIN-00003</x:v>
      </x:c>
      <x:c r="N90" s="35" t="str">
        <x:v>payer; amount; date; check/money-order number; memo; property; unit; lease match</x:v>
      </x:c>
      <x:c r="O90" s="35" t="str"/>
      <x:c r="P90" s="35" t="str">
        <x:v>Use a different receipt on the other client to exercise the manual payment form.</x:v>
      </x:c>
      <x:c r="Q90" s="35" t="str">
        <x:v>Synthetic QA only; no real people, accounts, signatures, or properties</x:v>
      </x:c>
    </x:row>
    <x:row r="91">
      <x:c r="A91" s="20" t="str">
        <x:v>SCN-0088</x:v>
      </x:c>
      <x:c r="B91" s="23" t="n">
        <x:v>46391</x:v>
      </x:c>
      <x:c r="C91" s="20" t="str">
        <x:v>scn-0088-rent-payment-l004-20270104.pdf</x:v>
      </x:c>
      <x:c r="D91" s="20" t="str">
        <x:v>Rent check</x:v>
      </x:c>
      <x:c r="E91" s="20" t="str">
        <x:v>Payment</x:v>
      </x:c>
      <x:c r="F91" s="35" t="str">
        <x:v>Direct scan draft matched to tenant account and charge</x:v>
      </x:c>
      <x:c r="G91" s="20" t="str">
        <x:v>PDF</x:v>
      </x:c>
      <x:c r="H91" s="20" t="str">
        <x:v>1 image</x:v>
      </x:c>
      <x:c r="I91" s="35" t="str">
        <x:v>phone camera; amount box, written amount, memo, and endorsement visible</x:v>
      </x:c>
      <x:c r="J91" s="20" t="str">
        <x:v>P004</x:v>
      </x:c>
      <x:c r="K91" s="20" t="str">
        <x:v>U004</x:v>
      </x:c>
      <x:c r="L91" s="20" t="str">
        <x:v>L004</x:v>
      </x:c>
      <x:c r="M91" s="20" t="str">
        <x:v>FIN-00009</x:v>
      </x:c>
      <x:c r="N91" s="35" t="str">
        <x:v>payer; amount; date; check/money-order number; memo; property; unit; lease match</x:v>
      </x:c>
      <x:c r="O91" s="35" t="str"/>
      <x:c r="P91" s="35" t="str">
        <x:v>Use a different receipt on the other client to exercise the manual payment form.</x:v>
      </x:c>
      <x:c r="Q91" s="35" t="str">
        <x:v>Synthetic QA only; no real people, accounts, signatures, or properties</x:v>
      </x:c>
    </x:row>
    <x:row r="92">
      <x:c r="A92" s="20" t="str">
        <x:v>SCN-0089</x:v>
      </x:c>
      <x:c r="B92" s="23" t="n">
        <x:v>46392</x:v>
      </x:c>
      <x:c r="C92" s="20" t="str">
        <x:v>scn-0089-rent-payment-l005-20270105.jpg</x:v>
      </x:c>
      <x:c r="D92" s="20" t="str">
        <x:v>Money order</x:v>
      </x:c>
      <x:c r="E92" s="20" t="str">
        <x:v>Payment</x:v>
      </x:c>
      <x:c r="F92" s="35" t="str">
        <x:v>Direct scan draft matched to tenant account and charge</x:v>
      </x:c>
      <x:c r="G92" s="20" t="str">
        <x:v>Camera JPEG</x:v>
      </x:c>
      <x:c r="H92" s="20" t="str">
        <x:v>1 image</x:v>
      </x:c>
      <x:c r="I92" s="35" t="str">
        <x:v>phone camera; amount box, written amount, memo, and endorsement visible</x:v>
      </x:c>
      <x:c r="J92" s="20" t="str">
        <x:v>P005</x:v>
      </x:c>
      <x:c r="K92" s="20" t="str">
        <x:v>U005</x:v>
      </x:c>
      <x:c r="L92" s="20" t="str">
        <x:v>L005</x:v>
      </x:c>
      <x:c r="M92" s="20" t="str">
        <x:v>FIN-00011</x:v>
      </x:c>
      <x:c r="N92" s="35" t="str">
        <x:v>payer; amount; date; check/money-order number; memo; property; unit; lease match</x:v>
      </x:c>
      <x:c r="O92" s="35" t="str">
        <x:v>handwritten memo and similar tenant names</x:v>
      </x:c>
      <x:c r="P92" s="35" t="str">
        <x:v>Use a different receipt on the other client to exercise the manual payment form.</x:v>
      </x:c>
      <x:c r="Q92" s="35" t="str">
        <x:v>Synthetic QA only; no real people, accounts, signatures, or properties</x:v>
      </x:c>
    </x:row>
    <x:row r="93">
      <x:c r="A93" s="20" t="str">
        <x:v>SCN-0090</x:v>
      </x:c>
      <x:c r="B93" s="23" t="n">
        <x:v>46392</x:v>
      </x:c>
      <x:c r="C93" s="20" t="str">
        <x:v>scn-0090-rent-payment-l008-20270105.pdf</x:v>
      </x:c>
      <x:c r="D93" s="20" t="str">
        <x:v>Rent check</x:v>
      </x:c>
      <x:c r="E93" s="20" t="str">
        <x:v>Payment</x:v>
      </x:c>
      <x:c r="F93" s="35" t="str">
        <x:v>Direct scan draft matched to tenant account and charge</x:v>
      </x:c>
      <x:c r="G93" s="20" t="str">
        <x:v>PDF</x:v>
      </x:c>
      <x:c r="H93" s="20" t="str">
        <x:v>1 image</x:v>
      </x:c>
      <x:c r="I93" s="35" t="str">
        <x:v>phone camera; amount box, written amount, memo, and endorsement visible</x:v>
      </x:c>
      <x:c r="J93" s="20" t="str">
        <x:v>P008</x:v>
      </x:c>
      <x:c r="K93" s="20" t="str">
        <x:v>U008</x:v>
      </x:c>
      <x:c r="L93" s="20" t="str">
        <x:v>L008</x:v>
      </x:c>
      <x:c r="M93" s="20" t="str">
        <x:v>FIN-00017</x:v>
      </x:c>
      <x:c r="N93" s="35" t="str">
        <x:v>payer; amount; date; check/money-order number; memo; property; unit; lease match</x:v>
      </x:c>
      <x:c r="O93" s="35" t="str"/>
      <x:c r="P93" s="35" t="str">
        <x:v>Use a different receipt on the other client to exercise the manual payment form.</x:v>
      </x:c>
      <x:c r="Q93" s="35" t="str">
        <x:v>Synthetic QA only; no real people, accounts, signatures, or properties</x:v>
      </x:c>
    </x:row>
    <x:row r="94">
      <x:c r="A94" s="20" t="str">
        <x:v>SCN-0091</x:v>
      </x:c>
      <x:c r="B94" s="23" t="n">
        <x:v>46390</x:v>
      </x:c>
      <x:c r="C94" s="20" t="str">
        <x:v>scn-0091-rent-payment-l009-20270103.jpg</x:v>
      </x:c>
      <x:c r="D94" s="20" t="str">
        <x:v>Money order</x:v>
      </x:c>
      <x:c r="E94" s="20" t="str">
        <x:v>Payment</x:v>
      </x:c>
      <x:c r="F94" s="35" t="str">
        <x:v>Direct scan draft matched to tenant account and charge</x:v>
      </x:c>
      <x:c r="G94" s="20" t="str">
        <x:v>Camera JPEG</x:v>
      </x:c>
      <x:c r="H94" s="20" t="str">
        <x:v>1 image</x:v>
      </x:c>
      <x:c r="I94" s="35" t="str">
        <x:v>phone camera; amount box, written amount, memo, and endorsement visible</x:v>
      </x:c>
      <x:c r="J94" s="20" t="str">
        <x:v>P009</x:v>
      </x:c>
      <x:c r="K94" s="20" t="str">
        <x:v>U009</x:v>
      </x:c>
      <x:c r="L94" s="20" t="str">
        <x:v>L009</x:v>
      </x:c>
      <x:c r="M94" s="20" t="str">
        <x:v>FIN-00019</x:v>
      </x:c>
      <x:c r="N94" s="35" t="str">
        <x:v>payer; amount; date; check/money-order number; memo; property; unit; lease match</x:v>
      </x:c>
      <x:c r="O94" s="35" t="str"/>
      <x:c r="P94" s="35" t="str">
        <x:v>Use a different receipt on the other client to exercise the manual payment form.</x:v>
      </x:c>
      <x:c r="Q94" s="35" t="str">
        <x:v>Synthetic QA only; no real people, accounts, signatures, or properties</x:v>
      </x:c>
    </x:row>
    <x:row r="95">
      <x:c r="A95" s="20" t="str">
        <x:v>SCN-0092</x:v>
      </x:c>
      <x:c r="B95" s="23" t="n">
        <x:v>46399</x:v>
      </x:c>
      <x:c r="C95" s="20" t="str">
        <x:v>scn-0092-rent-payment-l011-20270112.jpg</x:v>
      </x:c>
      <x:c r="D95" s="20" t="str">
        <x:v>Money order</x:v>
      </x:c>
      <x:c r="E95" s="20" t="str">
        <x:v>Payment</x:v>
      </x:c>
      <x:c r="F95" s="35" t="str">
        <x:v>Direct scan draft matched to tenant account and charge</x:v>
      </x:c>
      <x:c r="G95" s="20" t="str">
        <x:v>Camera JPEG</x:v>
      </x:c>
      <x:c r="H95" s="20" t="str">
        <x:v>1 image</x:v>
      </x:c>
      <x:c r="I95" s="35" t="str">
        <x:v>phone camera; amount box, written amount, memo, and endorsement visible</x:v>
      </x:c>
      <x:c r="J95" s="20" t="str">
        <x:v>P011</x:v>
      </x:c>
      <x:c r="K95" s="20" t="str">
        <x:v>U011</x:v>
      </x:c>
      <x:c r="L95" s="20" t="str">
        <x:v>L011</x:v>
      </x:c>
      <x:c r="M95" s="20" t="str">
        <x:v>FIN-00025</x:v>
      </x:c>
      <x:c r="N95" s="35" t="str">
        <x:v>payer; amount; date; check/money-order number; memo; property; unit; lease match</x:v>
      </x:c>
      <x:c r="O95" s="35" t="str"/>
      <x:c r="P95" s="35" t="str">
        <x:v>Use a different receipt on the other client to exercise the manual payment form.</x:v>
      </x:c>
      <x:c r="Q95" s="35" t="str">
        <x:v>Synthetic QA only; no real people, accounts, signatures, or properties</x:v>
      </x:c>
    </x:row>
    <x:row r="96">
      <x:c r="A96" s="20" t="str">
        <x:v>SCN-0093</x:v>
      </x:c>
      <x:c r="B96" s="23" t="n">
        <x:v>46390</x:v>
      </x:c>
      <x:c r="C96" s="20" t="str">
        <x:v>scn-0093-rent-payment-l012-20270103.pdf</x:v>
      </x:c>
      <x:c r="D96" s="20" t="str">
        <x:v>Rent check</x:v>
      </x:c>
      <x:c r="E96" s="20" t="str">
        <x:v>Payment</x:v>
      </x:c>
      <x:c r="F96" s="35" t="str">
        <x:v>Direct scan draft matched to tenant account and charge</x:v>
      </x:c>
      <x:c r="G96" s="20" t="str">
        <x:v>PDF</x:v>
      </x:c>
      <x:c r="H96" s="20" t="str">
        <x:v>1 image</x:v>
      </x:c>
      <x:c r="I96" s="35" t="str">
        <x:v>phone camera; amount box, written amount, memo, and endorsement visible</x:v>
      </x:c>
      <x:c r="J96" s="20" t="str">
        <x:v>P012</x:v>
      </x:c>
      <x:c r="K96" s="20" t="str">
        <x:v>U012</x:v>
      </x:c>
      <x:c r="L96" s="20" t="str">
        <x:v>L012</x:v>
      </x:c>
      <x:c r="M96" s="20" t="str">
        <x:v>FIN-00027</x:v>
      </x:c>
      <x:c r="N96" s="35" t="str">
        <x:v>payer; amount; date; check/money-order number; memo; property; unit; lease match</x:v>
      </x:c>
      <x:c r="O96" s="35" t="str"/>
      <x:c r="P96" s="35" t="str">
        <x:v>Use a different receipt on the other client to exercise the manual payment form.</x:v>
      </x:c>
      <x:c r="Q96" s="35" t="str">
        <x:v>Synthetic QA only; no real people, accounts, signatures, or properties</x:v>
      </x:c>
    </x:row>
    <x:row r="97">
      <x:c r="A97" s="20" t="str">
        <x:v>SCN-0094</x:v>
      </x:c>
      <x:c r="B97" s="23" t="n">
        <x:v>46395</x:v>
      </x:c>
      <x:c r="C97" s="20" t="str">
        <x:v>scn-0094-rent-payment-l013-20270108.pdf</x:v>
      </x:c>
      <x:c r="D97" s="20" t="str">
        <x:v>Rent check</x:v>
      </x:c>
      <x:c r="E97" s="20" t="str">
        <x:v>Payment</x:v>
      </x:c>
      <x:c r="F97" s="35" t="str">
        <x:v>Direct scan draft matched to tenant account and charge</x:v>
      </x:c>
      <x:c r="G97" s="20" t="str">
        <x:v>PDF</x:v>
      </x:c>
      <x:c r="H97" s="20" t="str">
        <x:v>1 image</x:v>
      </x:c>
      <x:c r="I97" s="35" t="str">
        <x:v>phone camera; amount box, written amount, memo, and endorsement visible</x:v>
      </x:c>
      <x:c r="J97" s="20" t="str">
        <x:v>P013</x:v>
      </x:c>
      <x:c r="K97" s="20" t="str">
        <x:v>U013</x:v>
      </x:c>
      <x:c r="L97" s="20" t="str">
        <x:v>L013</x:v>
      </x:c>
      <x:c r="M97" s="20" t="str">
        <x:v>FIN-00030</x:v>
      </x:c>
      <x:c r="N97" s="35" t="str">
        <x:v>payer; amount; date; check/money-order number; memo; property; unit; lease match</x:v>
      </x:c>
      <x:c r="O97" s="35" t="str"/>
      <x:c r="P97" s="35" t="str">
        <x:v>Use a different receipt on the other client to exercise the manual payment form.</x:v>
      </x:c>
      <x:c r="Q97" s="35" t="str">
        <x:v>Synthetic QA only; no real people, accounts, signatures, or properties</x:v>
      </x:c>
    </x:row>
    <x:row r="98">
      <x:c r="A98" s="20" t="str">
        <x:v>SCN-0095</x:v>
      </x:c>
      <x:c r="B98" s="23" t="n">
        <x:v>46391</x:v>
      </x:c>
      <x:c r="C98" s="20" t="str">
        <x:v>scn-0095-rent-payment-l016-20270104.pdf</x:v>
      </x:c>
      <x:c r="D98" s="20" t="str">
        <x:v>Rent check</x:v>
      </x:c>
      <x:c r="E98" s="20" t="str">
        <x:v>Payment</x:v>
      </x:c>
      <x:c r="F98" s="35" t="str">
        <x:v>Direct scan draft matched to tenant account and charge</x:v>
      </x:c>
      <x:c r="G98" s="20" t="str">
        <x:v>PDF</x:v>
      </x:c>
      <x:c r="H98" s="20" t="str">
        <x:v>1 image</x:v>
      </x:c>
      <x:c r="I98" s="35" t="str">
        <x:v>phone camera; amount box, written amount, memo, and endorsement visible</x:v>
      </x:c>
      <x:c r="J98" s="20" t="str">
        <x:v>P016</x:v>
      </x:c>
      <x:c r="K98" s="20" t="str">
        <x:v>U016</x:v>
      </x:c>
      <x:c r="L98" s="20" t="str">
        <x:v>L016</x:v>
      </x:c>
      <x:c r="M98" s="20" t="str">
        <x:v>FIN-00036</x:v>
      </x:c>
      <x:c r="N98" s="35" t="str">
        <x:v>payer; amount; date; check/money-order number; memo; property; unit; lease match</x:v>
      </x:c>
      <x:c r="O98" s="35" t="str"/>
      <x:c r="P98" s="35" t="str">
        <x:v>Use a different receipt on the other client to exercise the manual payment form.</x:v>
      </x:c>
      <x:c r="Q98" s="35" t="str">
        <x:v>Synthetic QA only; no real people, accounts, signatures, or properties</x:v>
      </x:c>
    </x:row>
    <x:row r="99">
      <x:c r="A99" s="20" t="str">
        <x:v>SCN-0096</x:v>
      </x:c>
      <x:c r="B99" s="23" t="n">
        <x:v>46392</x:v>
      </x:c>
      <x:c r="C99" s="20" t="str">
        <x:v>scn-0096-rent-payment-l017-20270105.jpg</x:v>
      </x:c>
      <x:c r="D99" s="20" t="str">
        <x:v>Money order</x:v>
      </x:c>
      <x:c r="E99" s="20" t="str">
        <x:v>Payment</x:v>
      </x:c>
      <x:c r="F99" s="35" t="str">
        <x:v>Direct scan draft matched to tenant account and charge</x:v>
      </x:c>
      <x:c r="G99" s="20" t="str">
        <x:v>Camera JPEG</x:v>
      </x:c>
      <x:c r="H99" s="20" t="str">
        <x:v>1 image</x:v>
      </x:c>
      <x:c r="I99" s="35" t="str">
        <x:v>phone camera; amount box, written amount, memo, and endorsement visible</x:v>
      </x:c>
      <x:c r="J99" s="20" t="str">
        <x:v>P017</x:v>
      </x:c>
      <x:c r="K99" s="20" t="str">
        <x:v>U017</x:v>
      </x:c>
      <x:c r="L99" s="20" t="str">
        <x:v>L017</x:v>
      </x:c>
      <x:c r="M99" s="20" t="str">
        <x:v>FIN-00038</x:v>
      </x:c>
      <x:c r="N99" s="35" t="str">
        <x:v>payer; amount; date; check/money-order number; memo; property; unit; lease match</x:v>
      </x:c>
      <x:c r="O99" s="35" t="str"/>
      <x:c r="P99" s="35" t="str">
        <x:v>Use a different receipt on the other client to exercise the manual payment form.</x:v>
      </x:c>
      <x:c r="Q99" s="35" t="str">
        <x:v>Synthetic QA only; no real people, accounts, signatures, or properties</x:v>
      </x:c>
    </x:row>
    <x:row r="100">
      <x:c r="A100" s="20" t="str">
        <x:v>SCN-0097</x:v>
      </x:c>
      <x:c r="B100" s="23" t="n">
        <x:v>46392</x:v>
      </x:c>
      <x:c r="C100" s="20" t="str">
        <x:v>scn-0097-rent-payment-l020-20270105.pdf</x:v>
      </x:c>
      <x:c r="D100" s="20" t="str">
        <x:v>Rent check</x:v>
      </x:c>
      <x:c r="E100" s="20" t="str">
        <x:v>Payment</x:v>
      </x:c>
      <x:c r="F100" s="35" t="str">
        <x:v>Direct scan draft matched to tenant account and charge</x:v>
      </x:c>
      <x:c r="G100" s="20" t="str">
        <x:v>PDF</x:v>
      </x:c>
      <x:c r="H100" s="20" t="str">
        <x:v>1 image</x:v>
      </x:c>
      <x:c r="I100" s="35" t="str">
        <x:v>phone camera; amount box, written amount, memo, and endorsement visible</x:v>
      </x:c>
      <x:c r="J100" s="20" t="str">
        <x:v>P020</x:v>
      </x:c>
      <x:c r="K100" s="20" t="str">
        <x:v>U020</x:v>
      </x:c>
      <x:c r="L100" s="20" t="str">
        <x:v>L020</x:v>
      </x:c>
      <x:c r="M100" s="20" t="str">
        <x:v>FIN-00044</x:v>
      </x:c>
      <x:c r="N100" s="35" t="str">
        <x:v>payer; amount; date; check/money-order number; memo; property; unit; lease match</x:v>
      </x:c>
      <x:c r="O100" s="35" t="str">
        <x:v>handwritten memo and similar tenant names</x:v>
      </x:c>
      <x:c r="P100" s="35" t="str">
        <x:v>Use a different receipt on the other client to exercise the manual payment form.</x:v>
      </x:c>
      <x:c r="Q100" s="35" t="str">
        <x:v>Synthetic QA only; no real people, accounts, signatures, or properties</x:v>
      </x:c>
    </x:row>
    <x:row r="101">
      <x:c r="A101" s="20" t="str">
        <x:v>SCN-0098</x:v>
      </x:c>
      <x:c r="B101" s="23" t="n">
        <x:v>46390</x:v>
      </x:c>
      <x:c r="C101" s="20" t="str">
        <x:v>scn-0098-rent-payment-l021-20270103.jpg</x:v>
      </x:c>
      <x:c r="D101" s="20" t="str">
        <x:v>Money order</x:v>
      </x:c>
      <x:c r="E101" s="20" t="str">
        <x:v>Payment</x:v>
      </x:c>
      <x:c r="F101" s="35" t="str">
        <x:v>Direct scan draft matched to tenant account and charge</x:v>
      </x:c>
      <x:c r="G101" s="20" t="str">
        <x:v>Camera JPEG</x:v>
      </x:c>
      <x:c r="H101" s="20" t="str">
        <x:v>1 image</x:v>
      </x:c>
      <x:c r="I101" s="35" t="str">
        <x:v>phone camera; amount box, written amount, memo, and endorsement visible</x:v>
      </x:c>
      <x:c r="J101" s="20" t="str">
        <x:v>P021</x:v>
      </x:c>
      <x:c r="K101" s="20" t="str">
        <x:v>U021</x:v>
      </x:c>
      <x:c r="L101" s="20" t="str">
        <x:v>L021</x:v>
      </x:c>
      <x:c r="M101" s="20" t="str">
        <x:v>FIN-00046</x:v>
      </x:c>
      <x:c r="N101" s="35" t="str">
        <x:v>payer; amount; date; check/money-order number; memo; property; unit; lease match</x:v>
      </x:c>
      <x:c r="O101" s="35" t="str"/>
      <x:c r="P101" s="35" t="str">
        <x:v>Use a different receipt on the other client to exercise the manual payment form.</x:v>
      </x:c>
      <x:c r="Q101" s="35" t="str">
        <x:v>Synthetic QA only; no real people, accounts, signatures, or properties</x:v>
      </x:c>
    </x:row>
    <x:row r="102">
      <x:c r="A102" s="20" t="str">
        <x:v>SCN-0099</x:v>
      </x:c>
      <x:c r="B102" s="23" t="n">
        <x:v>46399</x:v>
      </x:c>
      <x:c r="C102" s="20" t="str">
        <x:v>scn-0099-rent-payment-l022-20270112.pdf</x:v>
      </x:c>
      <x:c r="D102" s="20" t="str">
        <x:v>Rent check</x:v>
      </x:c>
      <x:c r="E102" s="20" t="str">
        <x:v>Payment</x:v>
      </x:c>
      <x:c r="F102" s="35" t="str">
        <x:v>Direct scan draft matched to tenant account and charge</x:v>
      </x:c>
      <x:c r="G102" s="20" t="str">
        <x:v>PDF</x:v>
      </x:c>
      <x:c r="H102" s="20" t="str">
        <x:v>1 image</x:v>
      </x:c>
      <x:c r="I102" s="35" t="str">
        <x:v>phone camera; amount box, written amount, memo, and endorsement visible</x:v>
      </x:c>
      <x:c r="J102" s="20" t="str">
        <x:v>P021</x:v>
      </x:c>
      <x:c r="K102" s="20" t="str">
        <x:v>U022</x:v>
      </x:c>
      <x:c r="L102" s="20" t="str">
        <x:v>L022</x:v>
      </x:c>
      <x:c r="M102" s="20" t="str">
        <x:v>FIN-00050</x:v>
      </x:c>
      <x:c r="N102" s="35" t="str">
        <x:v>payer; amount; date; check/money-order number; memo; property; unit; lease match</x:v>
      </x:c>
      <x:c r="O102" s="35" t="str"/>
      <x:c r="P102" s="35" t="str">
        <x:v>Use a different receipt on the other client to exercise the manual payment form.</x:v>
      </x:c>
      <x:c r="Q102" s="35" t="str">
        <x:v>Synthetic QA only; no real people, accounts, signatures, or properties</x:v>
      </x:c>
    </x:row>
    <x:row r="103">
      <x:c r="A103" s="20" t="str">
        <x:v>SCN-0100</x:v>
      </x:c>
      <x:c r="B103" s="23" t="n">
        <x:v>46390</x:v>
      </x:c>
      <x:c r="C103" s="20" t="str">
        <x:v>scn-0100-rent-payment-l024-20270103.pdf</x:v>
      </x:c>
      <x:c r="D103" s="20" t="str">
        <x:v>Rent check</x:v>
      </x:c>
      <x:c r="E103" s="20" t="str">
        <x:v>Payment</x:v>
      </x:c>
      <x:c r="F103" s="35" t="str">
        <x:v>Direct scan draft matched to tenant account and charge</x:v>
      </x:c>
      <x:c r="G103" s="20" t="str">
        <x:v>PDF</x:v>
      </x:c>
      <x:c r="H103" s="20" t="str">
        <x:v>1 image</x:v>
      </x:c>
      <x:c r="I103" s="35" t="str">
        <x:v>phone camera; amount box, written amount, memo, and endorsement visible</x:v>
      </x:c>
      <x:c r="J103" s="20" t="str">
        <x:v>P022</x:v>
      </x:c>
      <x:c r="K103" s="20" t="str">
        <x:v>U024</x:v>
      </x:c>
      <x:c r="L103" s="20" t="str">
        <x:v>L024</x:v>
      </x:c>
      <x:c r="M103" s="20" t="str">
        <x:v>FIN-00054</x:v>
      </x:c>
      <x:c r="N103" s="35" t="str">
        <x:v>payer; amount; date; check/money-order number; memo; property; unit; lease match</x:v>
      </x:c>
      <x:c r="O103" s="35" t="str"/>
      <x:c r="P103" s="35" t="str">
        <x:v>Use a different receipt on the other client to exercise the manual payment form.</x:v>
      </x:c>
      <x:c r="Q103" s="35" t="str">
        <x:v>Synthetic QA only; no real people, accounts, signatures, or properties</x:v>
      </x:c>
    </x:row>
    <x:row r="104">
      <x:c r="A104" s="20" t="str">
        <x:v>SCN-0101</x:v>
      </x:c>
      <x:c r="B104" s="23" t="n">
        <x:v>46391</x:v>
      </x:c>
      <x:c r="C104" s="20" t="str">
        <x:v>scn-0101-rent-payment-l025-20270104.jpg</x:v>
      </x:c>
      <x:c r="D104" s="20" t="str">
        <x:v>Money order</x:v>
      </x:c>
      <x:c r="E104" s="20" t="str">
        <x:v>Payment</x:v>
      </x:c>
      <x:c r="F104" s="35" t="str">
        <x:v>Direct scan draft matched to tenant account and charge</x:v>
      </x:c>
      <x:c r="G104" s="20" t="str">
        <x:v>Camera JPEG</x:v>
      </x:c>
      <x:c r="H104" s="20" t="str">
        <x:v>1 image</x:v>
      </x:c>
      <x:c r="I104" s="35" t="str">
        <x:v>phone camera; amount box, written amount, memo, and endorsement visible</x:v>
      </x:c>
      <x:c r="J104" s="20" t="str">
        <x:v>P023</x:v>
      </x:c>
      <x:c r="K104" s="20" t="str">
        <x:v>U025</x:v>
      </x:c>
      <x:c r="L104" s="20" t="str">
        <x:v>L025</x:v>
      </x:c>
      <x:c r="M104" s="20" t="str">
        <x:v>FIN-00056</x:v>
      </x:c>
      <x:c r="N104" s="35" t="str">
        <x:v>payer; amount; date; check/money-order number; memo; property; unit; lease match</x:v>
      </x:c>
      <x:c r="O104" s="35" t="str">
        <x:v>handwritten memo and similar tenant names</x:v>
      </x:c>
      <x:c r="P104" s="35" t="str">
        <x:v>Use a different receipt on the other client to exercise the manual payment form.</x:v>
      </x:c>
      <x:c r="Q104" s="35" t="str">
        <x:v>Synthetic QA only; no real people, accounts, signatures, or properties</x:v>
      </x:c>
    </x:row>
    <x:row r="105">
      <x:c r="A105" s="20" t="str">
        <x:v>SCN-0102</x:v>
      </x:c>
      <x:c r="B105" s="23" t="n">
        <x:v>46395</x:v>
      </x:c>
      <x:c r="C105" s="20" t="str">
        <x:v>scn-0102-rent-payment-l026-20270108.jpg</x:v>
      </x:c>
      <x:c r="D105" s="20" t="str">
        <x:v>Money order</x:v>
      </x:c>
      <x:c r="E105" s="20" t="str">
        <x:v>Payment</x:v>
      </x:c>
      <x:c r="F105" s="35" t="str">
        <x:v>Direct scan draft matched to tenant account and charge</x:v>
      </x:c>
      <x:c r="G105" s="20" t="str">
        <x:v>Camera JPEG</x:v>
      </x:c>
      <x:c r="H105" s="20" t="str">
        <x:v>1 image</x:v>
      </x:c>
      <x:c r="I105" s="35" t="str">
        <x:v>phone camera; amount box, written amount, memo, and endorsement visible</x:v>
      </x:c>
      <x:c r="J105" s="20" t="str">
        <x:v>P023</x:v>
      </x:c>
      <x:c r="K105" s="20" t="str">
        <x:v>U026</x:v>
      </x:c>
      <x:c r="L105" s="20" t="str">
        <x:v>L026</x:v>
      </x:c>
      <x:c r="M105" s="20" t="str">
        <x:v>FIN-00059</x:v>
      </x:c>
      <x:c r="N105" s="35" t="str">
        <x:v>payer; amount; date; check/money-order number; memo; property; unit; lease match</x:v>
      </x:c>
      <x:c r="O105" s="35" t="str"/>
      <x:c r="P105" s="35" t="str">
        <x:v>Use a different receipt on the other client to exercise the manual payment form.</x:v>
      </x:c>
      <x:c r="Q105" s="35" t="str">
        <x:v>Synthetic QA only; no real people, accounts, signatures, or properties</x:v>
      </x:c>
    </x:row>
    <x:row r="106">
      <x:c r="A106" s="20" t="str">
        <x:v>SCN-0103</x:v>
      </x:c>
      <x:c r="B106" s="23" t="n">
        <x:v>46391</x:v>
      </x:c>
      <x:c r="C106" s="20" t="str">
        <x:v>scn-0103-rent-payment-l028-20270104.pdf</x:v>
      </x:c>
      <x:c r="D106" s="20" t="str">
        <x:v>Rent check</x:v>
      </x:c>
      <x:c r="E106" s="20" t="str">
        <x:v>Payment</x:v>
      </x:c>
      <x:c r="F106" s="35" t="str">
        <x:v>Direct scan draft matched to tenant account and charge</x:v>
      </x:c>
      <x:c r="G106" s="20" t="str">
        <x:v>PDF</x:v>
      </x:c>
      <x:c r="H106" s="20" t="str">
        <x:v>1 image</x:v>
      </x:c>
      <x:c r="I106" s="35" t="str">
        <x:v>phone camera; amount box, written amount, memo, and endorsement visible</x:v>
      </x:c>
      <x:c r="J106" s="20" t="str">
        <x:v>P024</x:v>
      </x:c>
      <x:c r="K106" s="20" t="str">
        <x:v>U028</x:v>
      </x:c>
      <x:c r="L106" s="20" t="str">
        <x:v>L028</x:v>
      </x:c>
      <x:c r="M106" s="20" t="str">
        <x:v>FIN-00063</x:v>
      </x:c>
      <x:c r="N106" s="35" t="str">
        <x:v>payer; amount; date; check/money-order number; memo; property; unit; lease match</x:v>
      </x:c>
      <x:c r="O106" s="35" t="str"/>
      <x:c r="P106" s="35" t="str">
        <x:v>Use a different receipt on the other client to exercise the manual payment form.</x:v>
      </x:c>
      <x:c r="Q106" s="35" t="str">
        <x:v>Synthetic QA only; no real people, accounts, signatures, or properties</x:v>
      </x:c>
    </x:row>
    <x:row r="107">
      <x:c r="A107" s="20" t="str">
        <x:v>SCN-0104</x:v>
      </x:c>
      <x:c r="B107" s="23" t="n">
        <x:v>46392</x:v>
      </x:c>
      <x:c r="C107" s="20" t="str">
        <x:v>scn-0104-rent-payment-l029-20270105.jpg</x:v>
      </x:c>
      <x:c r="D107" s="20" t="str">
        <x:v>Money order</x:v>
      </x:c>
      <x:c r="E107" s="20" t="str">
        <x:v>Payment</x:v>
      </x:c>
      <x:c r="F107" s="35" t="str">
        <x:v>Direct scan draft matched to tenant account and charge</x:v>
      </x:c>
      <x:c r="G107" s="20" t="str">
        <x:v>Camera JPEG</x:v>
      </x:c>
      <x:c r="H107" s="20" t="str">
        <x:v>1 image</x:v>
      </x:c>
      <x:c r="I107" s="35" t="str">
        <x:v>phone camera; amount box, written amount, memo, and endorsement visible</x:v>
      </x:c>
      <x:c r="J107" s="20" t="str">
        <x:v>P025</x:v>
      </x:c>
      <x:c r="K107" s="20" t="str">
        <x:v>U029</x:v>
      </x:c>
      <x:c r="L107" s="20" t="str">
        <x:v>L029</x:v>
      </x:c>
      <x:c r="M107" s="20" t="str">
        <x:v>FIN-00065</x:v>
      </x:c>
      <x:c r="N107" s="35" t="str">
        <x:v>payer; amount; date; check/money-order number; memo; property; unit; lease match</x:v>
      </x:c>
      <x:c r="O107" s="35" t="str"/>
      <x:c r="P107" s="35" t="str">
        <x:v>Use a different receipt on the other client to exercise the manual payment form.</x:v>
      </x:c>
      <x:c r="Q107" s="35" t="str">
        <x:v>Synthetic QA only; no real people, accounts, signatures, or properties</x:v>
      </x:c>
    </x:row>
    <x:row r="108">
      <x:c r="A108" s="20" t="str">
        <x:v>SCN-0105</x:v>
      </x:c>
      <x:c r="B108" s="23" t="n">
        <x:v>46392</x:v>
      </x:c>
      <x:c r="C108" s="20" t="str">
        <x:v>scn-0105-rent-payment-l032-20270105.pdf</x:v>
      </x:c>
      <x:c r="D108" s="20" t="str">
        <x:v>Rent check</x:v>
      </x:c>
      <x:c r="E108" s="20" t="str">
        <x:v>Payment</x:v>
      </x:c>
      <x:c r="F108" s="35" t="str">
        <x:v>Direct scan draft matched to tenant account and charge</x:v>
      </x:c>
      <x:c r="G108" s="20" t="str">
        <x:v>PDF</x:v>
      </x:c>
      <x:c r="H108" s="20" t="str">
        <x:v>1 image</x:v>
      </x:c>
      <x:c r="I108" s="35" t="str">
        <x:v>phone camera; amount box, written amount, memo, and endorsement visible</x:v>
      </x:c>
      <x:c r="J108" s="20" t="str">
        <x:v>P026</x:v>
      </x:c>
      <x:c r="K108" s="20" t="str">
        <x:v>U032</x:v>
      </x:c>
      <x:c r="L108" s="20" t="str">
        <x:v>L032</x:v>
      </x:c>
      <x:c r="M108" s="20" t="str">
        <x:v>FIN-00071</x:v>
      </x:c>
      <x:c r="N108" s="35" t="str">
        <x:v>payer; amount; date; check/money-order number; memo; property; unit; lease match</x:v>
      </x:c>
      <x:c r="O108" s="35" t="str"/>
      <x:c r="P108" s="35" t="str">
        <x:v>Use a different receipt on the other client to exercise the manual payment form.</x:v>
      </x:c>
      <x:c r="Q108" s="35" t="str">
        <x:v>Synthetic QA only; no real people, accounts, signatures, or properties</x:v>
      </x:c>
    </x:row>
    <x:row r="109">
      <x:c r="A109" s="20" t="str">
        <x:v>SCN-0106</x:v>
      </x:c>
      <x:c r="B109" s="23" t="n">
        <x:v>46390</x:v>
      </x:c>
      <x:c r="C109" s="20" t="str">
        <x:v>scn-0106-rent-payment-l033-20270103.jpg</x:v>
      </x:c>
      <x:c r="D109" s="20" t="str">
        <x:v>Money order</x:v>
      </x:c>
      <x:c r="E109" s="20" t="str">
        <x:v>Payment</x:v>
      </x:c>
      <x:c r="F109" s="35" t="str">
        <x:v>Direct scan draft matched to tenant account and charge</x:v>
      </x:c>
      <x:c r="G109" s="20" t="str">
        <x:v>Camera JPEG</x:v>
      </x:c>
      <x:c r="H109" s="20" t="str">
        <x:v>1 image</x:v>
      </x:c>
      <x:c r="I109" s="35" t="str">
        <x:v>phone camera; amount box, written amount, memo, and endorsement visible</x:v>
      </x:c>
      <x:c r="J109" s="20" t="str">
        <x:v>P027</x:v>
      </x:c>
      <x:c r="K109" s="20" t="str">
        <x:v>U033</x:v>
      </x:c>
      <x:c r="L109" s="20" t="str">
        <x:v>L033</x:v>
      </x:c>
      <x:c r="M109" s="20" t="str">
        <x:v>FIN-00073</x:v>
      </x:c>
      <x:c r="N109" s="35" t="str">
        <x:v>payer; amount; date; check/money-order number; memo; property; unit; lease match</x:v>
      </x:c>
      <x:c r="O109" s="35" t="str"/>
      <x:c r="P109" s="35" t="str">
        <x:v>Use a different receipt on the other client to exercise the manual payment form.</x:v>
      </x:c>
      <x:c r="Q109" s="35" t="str">
        <x:v>Synthetic QA only; no real people, accounts, signatures, or properties</x:v>
      </x:c>
    </x:row>
    <x:row r="110">
      <x:c r="A110" s="20" t="str">
        <x:v>SCN-0107</x:v>
      </x:c>
      <x:c r="B110" s="23" t="n">
        <x:v>46390</x:v>
      </x:c>
      <x:c r="C110" s="20" t="str">
        <x:v>scn-0107-rent-payment-l036-20270103.pdf</x:v>
      </x:c>
      <x:c r="D110" s="20" t="str">
        <x:v>Rent check</x:v>
      </x:c>
      <x:c r="E110" s="20" t="str">
        <x:v>Payment</x:v>
      </x:c>
      <x:c r="F110" s="35" t="str">
        <x:v>Direct scan draft matched to tenant account and charge</x:v>
      </x:c>
      <x:c r="G110" s="20" t="str">
        <x:v>PDF</x:v>
      </x:c>
      <x:c r="H110" s="20" t="str">
        <x:v>1 image</x:v>
      </x:c>
      <x:c r="I110" s="35" t="str">
        <x:v>phone camera; amount box, written amount, memo, and endorsement visible</x:v>
      </x:c>
      <x:c r="J110" s="20" t="str">
        <x:v>P028</x:v>
      </x:c>
      <x:c r="K110" s="20" t="str">
        <x:v>U036</x:v>
      </x:c>
      <x:c r="L110" s="20" t="str">
        <x:v>L036</x:v>
      </x:c>
      <x:c r="M110" s="20" t="str">
        <x:v>FIN-00081</x:v>
      </x:c>
      <x:c r="N110" s="35" t="str">
        <x:v>payer; amount; date; check/money-order number; memo; property; unit; lease match</x:v>
      </x:c>
      <x:c r="O110" s="35" t="str"/>
      <x:c r="P110" s="35" t="str">
        <x:v>Use a different receipt on the other client to exercise the manual payment form.</x:v>
      </x:c>
      <x:c r="Q110" s="35" t="str">
        <x:v>Synthetic QA only; no real people, accounts, signatures, or properties</x:v>
      </x:c>
    </x:row>
    <x:row r="111">
      <x:c r="A111" s="20" t="str">
        <x:v>SCN-0108</x:v>
      </x:c>
      <x:c r="B111" s="23" t="n">
        <x:v>46422</x:v>
      </x:c>
      <x:c r="C111" s="20" t="str">
        <x:v>scn-0108-rent-payment-l001-20270204.jpg</x:v>
      </x:c>
      <x:c r="D111" s="20" t="str">
        <x:v>Money order</x:v>
      </x:c>
      <x:c r="E111" s="20" t="str">
        <x:v>Payment</x:v>
      </x:c>
      <x:c r="F111" s="35" t="str">
        <x:v>Direct scan draft matched to tenant account and charge</x:v>
      </x:c>
      <x:c r="G111" s="20" t="str">
        <x:v>Camera JPEG</x:v>
      </x:c>
      <x:c r="H111" s="20" t="str">
        <x:v>1 image</x:v>
      </x:c>
      <x:c r="I111" s="35" t="str">
        <x:v>phone camera; amount box, written amount, memo, and endorsement visible</x:v>
      </x:c>
      <x:c r="J111" s="20" t="str">
        <x:v>P001</x:v>
      </x:c>
      <x:c r="K111" s="20" t="str">
        <x:v>U001</x:v>
      </x:c>
      <x:c r="L111" s="20" t="str">
        <x:v>L001</x:v>
      </x:c>
      <x:c r="M111" s="20" t="str">
        <x:v>FIN-00083</x:v>
      </x:c>
      <x:c r="N111" s="35" t="str">
        <x:v>payer; amount; date; check/money-order number; memo; property; unit; lease match</x:v>
      </x:c>
      <x:c r="O111" s="35" t="str"/>
      <x:c r="P111" s="35" t="str">
        <x:v>Use a different receipt on the other client to exercise the manual payment form.</x:v>
      </x:c>
      <x:c r="Q111" s="35" t="str">
        <x:v>Synthetic QA only; no real people, accounts, signatures, or properties</x:v>
      </x:c>
    </x:row>
    <x:row r="112">
      <x:c r="A112" s="20" t="str">
        <x:v>SCN-0109</x:v>
      </x:c>
      <x:c r="B112" s="23" t="n">
        <x:v>46422</x:v>
      </x:c>
      <x:c r="C112" s="20" t="str">
        <x:v>scn-0109-rent-payment-l004-20270204.pdf</x:v>
      </x:c>
      <x:c r="D112" s="20" t="str">
        <x:v>Rent check</x:v>
      </x:c>
      <x:c r="E112" s="20" t="str">
        <x:v>Payment</x:v>
      </x:c>
      <x:c r="F112" s="35" t="str">
        <x:v>Direct scan draft matched to tenant account and charge</x:v>
      </x:c>
      <x:c r="G112" s="20" t="str">
        <x:v>PDF</x:v>
      </x:c>
      <x:c r="H112" s="20" t="str">
        <x:v>1 image</x:v>
      </x:c>
      <x:c r="I112" s="35" t="str">
        <x:v>phone camera; amount box, written amount, memo, and endorsement visible</x:v>
      </x:c>
      <x:c r="J112" s="20" t="str">
        <x:v>P004</x:v>
      </x:c>
      <x:c r="K112" s="20" t="str">
        <x:v>U004</x:v>
      </x:c>
      <x:c r="L112" s="20" t="str">
        <x:v>L004</x:v>
      </x:c>
      <x:c r="M112" s="20" t="str">
        <x:v>FIN-00089</x:v>
      </x:c>
      <x:c r="N112" s="35" t="str">
        <x:v>payer; amount; date; check/money-order number; memo; property; unit; lease match</x:v>
      </x:c>
      <x:c r="O112" s="35" t="str"/>
      <x:c r="P112" s="35" t="str">
        <x:v>Use a different receipt on the other client to exercise the manual payment form.</x:v>
      </x:c>
      <x:c r="Q112" s="35" t="str">
        <x:v>Synthetic QA only; no real people, accounts, signatures, or properties</x:v>
      </x:c>
    </x:row>
    <x:row r="113">
      <x:c r="A113" s="20" t="str">
        <x:v>SCN-0110</x:v>
      </x:c>
      <x:c r="B113" s="23" t="n">
        <x:v>46423</x:v>
      </x:c>
      <x:c r="C113" s="20" t="str">
        <x:v>scn-0110-rent-payment-l005-20270205.jpg</x:v>
      </x:c>
      <x:c r="D113" s="20" t="str">
        <x:v>Money order</x:v>
      </x:c>
      <x:c r="E113" s="20" t="str">
        <x:v>Payment</x:v>
      </x:c>
      <x:c r="F113" s="35" t="str">
        <x:v>Direct scan draft matched to tenant account and charge</x:v>
      </x:c>
      <x:c r="G113" s="20" t="str">
        <x:v>Camera JPEG</x:v>
      </x:c>
      <x:c r="H113" s="20" t="str">
        <x:v>1 image</x:v>
      </x:c>
      <x:c r="I113" s="35" t="str">
        <x:v>phone camera; amount box, written amount, memo, and endorsement visible</x:v>
      </x:c>
      <x:c r="J113" s="20" t="str">
        <x:v>P005</x:v>
      </x:c>
      <x:c r="K113" s="20" t="str">
        <x:v>U005</x:v>
      </x:c>
      <x:c r="L113" s="20" t="str">
        <x:v>L005</x:v>
      </x:c>
      <x:c r="M113" s="20" t="str">
        <x:v>FIN-00091</x:v>
      </x:c>
      <x:c r="N113" s="35" t="str">
        <x:v>payer; amount; date; check/money-order number; memo; property; unit; lease match</x:v>
      </x:c>
      <x:c r="O113" s="35" t="str">
        <x:v>handwritten memo and similar tenant names</x:v>
      </x:c>
      <x:c r="P113" s="35" t="str">
        <x:v>Use a different receipt on the other client to exercise the manual payment form.</x:v>
      </x:c>
      <x:c r="Q113" s="35" t="str">
        <x:v>Synthetic QA only; no real people, accounts, signatures, or properties</x:v>
      </x:c>
    </x:row>
    <x:row r="114">
      <x:c r="A114" s="20" t="str">
        <x:v>SCN-0111</x:v>
      </x:c>
      <x:c r="B114" s="23" t="n">
        <x:v>46423</x:v>
      </x:c>
      <x:c r="C114" s="20" t="str">
        <x:v>scn-0111-rent-payment-l008-20270205.pdf</x:v>
      </x:c>
      <x:c r="D114" s="20" t="str">
        <x:v>Rent check</x:v>
      </x:c>
      <x:c r="E114" s="20" t="str">
        <x:v>Payment</x:v>
      </x:c>
      <x:c r="F114" s="35" t="str">
        <x:v>Direct scan draft matched to tenant account and charge</x:v>
      </x:c>
      <x:c r="G114" s="20" t="str">
        <x:v>PDF</x:v>
      </x:c>
      <x:c r="H114" s="20" t="str">
        <x:v>1 image</x:v>
      </x:c>
      <x:c r="I114" s="35" t="str">
        <x:v>phone camera; amount box, written amount, memo, and endorsement visible</x:v>
      </x:c>
      <x:c r="J114" s="20" t="str">
        <x:v>P008</x:v>
      </x:c>
      <x:c r="K114" s="20" t="str">
        <x:v>U008</x:v>
      </x:c>
      <x:c r="L114" s="20" t="str">
        <x:v>L008</x:v>
      </x:c>
      <x:c r="M114" s="20" t="str">
        <x:v>FIN-00097</x:v>
      </x:c>
      <x:c r="N114" s="35" t="str">
        <x:v>payer; amount; date; check/money-order number; memo; property; unit; lease match</x:v>
      </x:c>
      <x:c r="O114" s="35" t="str"/>
      <x:c r="P114" s="35" t="str">
        <x:v>Use a different receipt on the other client to exercise the manual payment form.</x:v>
      </x:c>
      <x:c r="Q114" s="35" t="str">
        <x:v>Synthetic QA only; no real people, accounts, signatures, or properties</x:v>
      </x:c>
    </x:row>
    <x:row r="115">
      <x:c r="A115" s="20" t="str">
        <x:v>SCN-0112</x:v>
      </x:c>
      <x:c r="B115" s="23" t="n">
        <x:v>46421</x:v>
      </x:c>
      <x:c r="C115" s="20" t="str">
        <x:v>scn-0112-rent-payment-l009-20270203.jpg</x:v>
      </x:c>
      <x:c r="D115" s="20" t="str">
        <x:v>Money order</x:v>
      </x:c>
      <x:c r="E115" s="20" t="str">
        <x:v>Payment</x:v>
      </x:c>
      <x:c r="F115" s="35" t="str">
        <x:v>Direct scan draft matched to tenant account and charge</x:v>
      </x:c>
      <x:c r="G115" s="20" t="str">
        <x:v>Camera JPEG</x:v>
      </x:c>
      <x:c r="H115" s="20" t="str">
        <x:v>1 image</x:v>
      </x:c>
      <x:c r="I115" s="35" t="str">
        <x:v>phone camera; amount box, written amount, memo, and endorsement visible</x:v>
      </x:c>
      <x:c r="J115" s="20" t="str">
        <x:v>P009</x:v>
      </x:c>
      <x:c r="K115" s="20" t="str">
        <x:v>U009</x:v>
      </x:c>
      <x:c r="L115" s="20" t="str">
        <x:v>L009</x:v>
      </x:c>
      <x:c r="M115" s="20" t="str">
        <x:v>FIN-00099</x:v>
      </x:c>
      <x:c r="N115" s="35" t="str">
        <x:v>payer; amount; date; check/money-order number; memo; property; unit; lease match</x:v>
      </x:c>
      <x:c r="O115" s="35" t="str"/>
      <x:c r="P115" s="35" t="str">
        <x:v>Use a different receipt on the other client to exercise the manual payment form.</x:v>
      </x:c>
      <x:c r="Q115" s="35" t="str">
        <x:v>Synthetic QA only; no real people, accounts, signatures, or properties</x:v>
      </x:c>
    </x:row>
    <x:row r="116">
      <x:c r="A116" s="20" t="str">
        <x:v>SCN-0113</x:v>
      </x:c>
      <x:c r="B116" s="23" t="n">
        <x:v>46430</x:v>
      </x:c>
      <x:c r="C116" s="20" t="str">
        <x:v>scn-0113-rent-payment-l011-20270212.jpg</x:v>
      </x:c>
      <x:c r="D116" s="20" t="str">
        <x:v>Money order</x:v>
      </x:c>
      <x:c r="E116" s="20" t="str">
        <x:v>Payment</x:v>
      </x:c>
      <x:c r="F116" s="35" t="str">
        <x:v>Direct scan draft matched to tenant account and charge</x:v>
      </x:c>
      <x:c r="G116" s="20" t="str">
        <x:v>Camera JPEG</x:v>
      </x:c>
      <x:c r="H116" s="20" t="str">
        <x:v>1 image</x:v>
      </x:c>
      <x:c r="I116" s="35" t="str">
        <x:v>phone camera; amount box, written amount, memo, and endorsement visible</x:v>
      </x:c>
      <x:c r="J116" s="20" t="str">
        <x:v>P011</x:v>
      </x:c>
      <x:c r="K116" s="20" t="str">
        <x:v>U011</x:v>
      </x:c>
      <x:c r="L116" s="20" t="str">
        <x:v>L011</x:v>
      </x:c>
      <x:c r="M116" s="20" t="str">
        <x:v>FIN-00105</x:v>
      </x:c>
      <x:c r="N116" s="35" t="str">
        <x:v>payer; amount; date; check/money-order number; memo; property; unit; lease match</x:v>
      </x:c>
      <x:c r="O116" s="35" t="str"/>
      <x:c r="P116" s="35" t="str">
        <x:v>Use a different receipt on the other client to exercise the manual payment form.</x:v>
      </x:c>
      <x:c r="Q116" s="35" t="str">
        <x:v>Synthetic QA only; no real people, accounts, signatures, or properties</x:v>
      </x:c>
    </x:row>
    <x:row r="117">
      <x:c r="A117" s="20" t="str">
        <x:v>SCN-0114</x:v>
      </x:c>
      <x:c r="B117" s="23" t="n">
        <x:v>46421</x:v>
      </x:c>
      <x:c r="C117" s="20" t="str">
        <x:v>scn-0114-rent-payment-l012-20270203.pdf</x:v>
      </x:c>
      <x:c r="D117" s="20" t="str">
        <x:v>Rent check</x:v>
      </x:c>
      <x:c r="E117" s="20" t="str">
        <x:v>Payment</x:v>
      </x:c>
      <x:c r="F117" s="35" t="str">
        <x:v>Direct scan draft matched to tenant account and charge</x:v>
      </x:c>
      <x:c r="G117" s="20" t="str">
        <x:v>PDF</x:v>
      </x:c>
      <x:c r="H117" s="20" t="str">
        <x:v>1 image</x:v>
      </x:c>
      <x:c r="I117" s="35" t="str">
        <x:v>phone camera; amount box, written amount, memo, and endorsement visible</x:v>
      </x:c>
      <x:c r="J117" s="20" t="str">
        <x:v>P012</x:v>
      </x:c>
      <x:c r="K117" s="20" t="str">
        <x:v>U012</x:v>
      </x:c>
      <x:c r="L117" s="20" t="str">
        <x:v>L012</x:v>
      </x:c>
      <x:c r="M117" s="20" t="str">
        <x:v>FIN-00107</x:v>
      </x:c>
      <x:c r="N117" s="35" t="str">
        <x:v>payer; amount; date; check/money-order number; memo; property; unit; lease match</x:v>
      </x:c>
      <x:c r="O117" s="35" t="str"/>
      <x:c r="P117" s="35" t="str">
        <x:v>Use a different receipt on the other client to exercise the manual payment form.</x:v>
      </x:c>
      <x:c r="Q117" s="35" t="str">
        <x:v>Synthetic QA only; no real people, accounts, signatures, or properties</x:v>
      </x:c>
    </x:row>
    <x:row r="118">
      <x:c r="A118" s="20" t="str">
        <x:v>SCN-0115</x:v>
      </x:c>
      <x:c r="B118" s="23" t="n">
        <x:v>46426</x:v>
      </x:c>
      <x:c r="C118" s="20" t="str">
        <x:v>scn-0115-rent-payment-l013-20270208.pdf</x:v>
      </x:c>
      <x:c r="D118" s="20" t="str">
        <x:v>Rent check</x:v>
      </x:c>
      <x:c r="E118" s="20" t="str">
        <x:v>Payment</x:v>
      </x:c>
      <x:c r="F118" s="35" t="str">
        <x:v>Direct scan draft matched to tenant account and charge</x:v>
      </x:c>
      <x:c r="G118" s="20" t="str">
        <x:v>PDF</x:v>
      </x:c>
      <x:c r="H118" s="20" t="str">
        <x:v>1 image</x:v>
      </x:c>
      <x:c r="I118" s="35" t="str">
        <x:v>phone camera; amount box, written amount, memo, and endorsement visible</x:v>
      </x:c>
      <x:c r="J118" s="20" t="str">
        <x:v>P013</x:v>
      </x:c>
      <x:c r="K118" s="20" t="str">
        <x:v>U013</x:v>
      </x:c>
      <x:c r="L118" s="20" t="str">
        <x:v>L013</x:v>
      </x:c>
      <x:c r="M118" s="20" t="str">
        <x:v>FIN-00110</x:v>
      </x:c>
      <x:c r="N118" s="35" t="str">
        <x:v>payer; amount; date; check/money-order number; memo; property; unit; lease match</x:v>
      </x:c>
      <x:c r="O118" s="35" t="str"/>
      <x:c r="P118" s="35" t="str">
        <x:v>Use a different receipt on the other client to exercise the manual payment form.</x:v>
      </x:c>
      <x:c r="Q118" s="35" t="str">
        <x:v>Synthetic QA only; no real people, accounts, signatures, or properties</x:v>
      </x:c>
    </x:row>
    <x:row r="119">
      <x:c r="A119" s="20" t="str">
        <x:v>SCN-0116</x:v>
      </x:c>
      <x:c r="B119" s="23" t="n">
        <x:v>46422</x:v>
      </x:c>
      <x:c r="C119" s="20" t="str">
        <x:v>scn-0116-rent-payment-l016-20270204.pdf</x:v>
      </x:c>
      <x:c r="D119" s="20" t="str">
        <x:v>Rent check</x:v>
      </x:c>
      <x:c r="E119" s="20" t="str">
        <x:v>Payment</x:v>
      </x:c>
      <x:c r="F119" s="35" t="str">
        <x:v>Direct scan draft matched to tenant account and charge</x:v>
      </x:c>
      <x:c r="G119" s="20" t="str">
        <x:v>PDF</x:v>
      </x:c>
      <x:c r="H119" s="20" t="str">
        <x:v>1 image</x:v>
      </x:c>
      <x:c r="I119" s="35" t="str">
        <x:v>phone camera; amount box, written amount, memo, and endorsement visible</x:v>
      </x:c>
      <x:c r="J119" s="20" t="str">
        <x:v>P016</x:v>
      </x:c>
      <x:c r="K119" s="20" t="str">
        <x:v>U016</x:v>
      </x:c>
      <x:c r="L119" s="20" t="str">
        <x:v>L016</x:v>
      </x:c>
      <x:c r="M119" s="20" t="str">
        <x:v>FIN-00116</x:v>
      </x:c>
      <x:c r="N119" s="35" t="str">
        <x:v>payer; amount; date; check/money-order number; memo; property; unit; lease match</x:v>
      </x:c>
      <x:c r="O119" s="35" t="str"/>
      <x:c r="P119" s="35" t="str">
        <x:v>Use a different receipt on the other client to exercise the manual payment form.</x:v>
      </x:c>
      <x:c r="Q119" s="35" t="str">
        <x:v>Synthetic QA only; no real people, accounts, signatures, or properties</x:v>
      </x:c>
    </x:row>
    <x:row r="120">
      <x:c r="A120" s="20" t="str">
        <x:v>SCN-0117</x:v>
      </x:c>
      <x:c r="B120" s="23" t="n">
        <x:v>46423</x:v>
      </x:c>
      <x:c r="C120" s="20" t="str">
        <x:v>scn-0117-rent-payment-l017-20270205.jpg</x:v>
      </x:c>
      <x:c r="D120" s="20" t="str">
        <x:v>Money order</x:v>
      </x:c>
      <x:c r="E120" s="20" t="str">
        <x:v>Payment</x:v>
      </x:c>
      <x:c r="F120" s="35" t="str">
        <x:v>Direct scan draft matched to tenant account and charge</x:v>
      </x:c>
      <x:c r="G120" s="20" t="str">
        <x:v>Camera JPEG</x:v>
      </x:c>
      <x:c r="H120" s="20" t="str">
        <x:v>1 image</x:v>
      </x:c>
      <x:c r="I120" s="35" t="str">
        <x:v>phone camera; amount box, written amount, memo, and endorsement visible</x:v>
      </x:c>
      <x:c r="J120" s="20" t="str">
        <x:v>P017</x:v>
      </x:c>
      <x:c r="K120" s="20" t="str">
        <x:v>U017</x:v>
      </x:c>
      <x:c r="L120" s="20" t="str">
        <x:v>L017</x:v>
      </x:c>
      <x:c r="M120" s="20" t="str">
        <x:v>FIN-00118</x:v>
      </x:c>
      <x:c r="N120" s="35" t="str">
        <x:v>payer; amount; date; check/money-order number; memo; property; unit; lease match</x:v>
      </x:c>
      <x:c r="O120" s="35" t="str"/>
      <x:c r="P120" s="35" t="str">
        <x:v>Use a different receipt on the other client to exercise the manual payment form.</x:v>
      </x:c>
      <x:c r="Q120" s="35" t="str">
        <x:v>Synthetic QA only; no real people, accounts, signatures, or properties</x:v>
      </x:c>
    </x:row>
    <x:row r="121">
      <x:c r="A121" s="20" t="str">
        <x:v>SCN-0118</x:v>
      </x:c>
      <x:c r="B121" s="23" t="n">
        <x:v>46423</x:v>
      </x:c>
      <x:c r="C121" s="20" t="str">
        <x:v>scn-0118-rent-payment-l020-20270205.pdf</x:v>
      </x:c>
      <x:c r="D121" s="20" t="str">
        <x:v>Rent check</x:v>
      </x:c>
      <x:c r="E121" s="20" t="str">
        <x:v>Payment</x:v>
      </x:c>
      <x:c r="F121" s="35" t="str">
        <x:v>Direct scan draft matched to tenant account and charge</x:v>
      </x:c>
      <x:c r="G121" s="20" t="str">
        <x:v>PDF</x:v>
      </x:c>
      <x:c r="H121" s="20" t="str">
        <x:v>1 image</x:v>
      </x:c>
      <x:c r="I121" s="35" t="str">
        <x:v>phone camera; amount box, written amount, memo, and endorsement visible</x:v>
      </x:c>
      <x:c r="J121" s="20" t="str">
        <x:v>P020</x:v>
      </x:c>
      <x:c r="K121" s="20" t="str">
        <x:v>U020</x:v>
      </x:c>
      <x:c r="L121" s="20" t="str">
        <x:v>L020</x:v>
      </x:c>
      <x:c r="M121" s="20" t="str">
        <x:v>FIN-00124</x:v>
      </x:c>
      <x:c r="N121" s="35" t="str">
        <x:v>payer; amount; date; check/money-order number; memo; property; unit; lease match</x:v>
      </x:c>
      <x:c r="O121" s="35" t="str">
        <x:v>handwritten memo and similar tenant names</x:v>
      </x:c>
      <x:c r="P121" s="35" t="str">
        <x:v>Use a different receipt on the other client to exercise the manual payment form.</x:v>
      </x:c>
      <x:c r="Q121" s="35" t="str">
        <x:v>Synthetic QA only; no real people, accounts, signatures, or properties</x:v>
      </x:c>
    </x:row>
    <x:row r="122">
      <x:c r="A122" s="20" t="str">
        <x:v>SCN-0119</x:v>
      </x:c>
      <x:c r="B122" s="23" t="n">
        <x:v>46421</x:v>
      </x:c>
      <x:c r="C122" s="20" t="str">
        <x:v>scn-0119-rent-payment-l021-20270203.jpg</x:v>
      </x:c>
      <x:c r="D122" s="20" t="str">
        <x:v>Money order</x:v>
      </x:c>
      <x:c r="E122" s="20" t="str">
        <x:v>Payment</x:v>
      </x:c>
      <x:c r="F122" s="35" t="str">
        <x:v>Direct scan draft matched to tenant account and charge</x:v>
      </x:c>
      <x:c r="G122" s="20" t="str">
        <x:v>Camera JPEG</x:v>
      </x:c>
      <x:c r="H122" s="20" t="str">
        <x:v>1 image</x:v>
      </x:c>
      <x:c r="I122" s="35" t="str">
        <x:v>phone camera; amount box, written amount, memo, and endorsement visible</x:v>
      </x:c>
      <x:c r="J122" s="20" t="str">
        <x:v>P021</x:v>
      </x:c>
      <x:c r="K122" s="20" t="str">
        <x:v>U021</x:v>
      </x:c>
      <x:c r="L122" s="20" t="str">
        <x:v>L021</x:v>
      </x:c>
      <x:c r="M122" s="20" t="str">
        <x:v>FIN-00126</x:v>
      </x:c>
      <x:c r="N122" s="35" t="str">
        <x:v>payer; amount; date; check/money-order number; memo; property; unit; lease match</x:v>
      </x:c>
      <x:c r="O122" s="35" t="str"/>
      <x:c r="P122" s="35" t="str">
        <x:v>Use a different receipt on the other client to exercise the manual payment form.</x:v>
      </x:c>
      <x:c r="Q122" s="35" t="str">
        <x:v>Synthetic QA only; no real people, accounts, signatures, or properties</x:v>
      </x:c>
    </x:row>
    <x:row r="123">
      <x:c r="A123" s="20" t="str">
        <x:v>SCN-0120</x:v>
      </x:c>
      <x:c r="B123" s="23" t="n">
        <x:v>46430</x:v>
      </x:c>
      <x:c r="C123" s="20" t="str">
        <x:v>scn-0120-rent-payment-l022-20270212.pdf</x:v>
      </x:c>
      <x:c r="D123" s="20" t="str">
        <x:v>Rent check</x:v>
      </x:c>
      <x:c r="E123" s="20" t="str">
        <x:v>Payment</x:v>
      </x:c>
      <x:c r="F123" s="35" t="str">
        <x:v>Direct scan draft matched to tenant account and charge</x:v>
      </x:c>
      <x:c r="G123" s="20" t="str">
        <x:v>PDF</x:v>
      </x:c>
      <x:c r="H123" s="20" t="str">
        <x:v>1 image</x:v>
      </x:c>
      <x:c r="I123" s="35" t="str">
        <x:v>phone camera; amount box, written amount, memo, and endorsement visible</x:v>
      </x:c>
      <x:c r="J123" s="20" t="str">
        <x:v>P021</x:v>
      </x:c>
      <x:c r="K123" s="20" t="str">
        <x:v>U022</x:v>
      </x:c>
      <x:c r="L123" s="20" t="str">
        <x:v>L022</x:v>
      </x:c>
      <x:c r="M123" s="20" t="str">
        <x:v>FIN-00130</x:v>
      </x:c>
      <x:c r="N123" s="35" t="str">
        <x:v>payer; amount; date; check/money-order number; memo; property; unit; lease match</x:v>
      </x:c>
      <x:c r="O123" s="35" t="str"/>
      <x:c r="P123" s="35" t="str">
        <x:v>Use a different receipt on the other client to exercise the manual payment form.</x:v>
      </x:c>
      <x:c r="Q123" s="35" t="str">
        <x:v>Synthetic QA only; no real people, accounts, signatures, or properties</x:v>
      </x:c>
    </x:row>
    <x:row r="124">
      <x:c r="A124" s="20" t="str">
        <x:v>SCN-0121</x:v>
      </x:c>
      <x:c r="B124" s="23" t="n">
        <x:v>46421</x:v>
      </x:c>
      <x:c r="C124" s="20" t="str">
        <x:v>scn-0121-rent-payment-l024-20270203.pdf</x:v>
      </x:c>
      <x:c r="D124" s="20" t="str">
        <x:v>Rent check</x:v>
      </x:c>
      <x:c r="E124" s="20" t="str">
        <x:v>Payment</x:v>
      </x:c>
      <x:c r="F124" s="35" t="str">
        <x:v>Direct scan draft matched to tenant account and charge</x:v>
      </x:c>
      <x:c r="G124" s="20" t="str">
        <x:v>PDF</x:v>
      </x:c>
      <x:c r="H124" s="20" t="str">
        <x:v>1 image</x:v>
      </x:c>
      <x:c r="I124" s="35" t="str">
        <x:v>phone camera; amount box, written amount, memo, and endorsement visible</x:v>
      </x:c>
      <x:c r="J124" s="20" t="str">
        <x:v>P022</x:v>
      </x:c>
      <x:c r="K124" s="20" t="str">
        <x:v>U024</x:v>
      </x:c>
      <x:c r="L124" s="20" t="str">
        <x:v>L024</x:v>
      </x:c>
      <x:c r="M124" s="20" t="str">
        <x:v>FIN-00134</x:v>
      </x:c>
      <x:c r="N124" s="35" t="str">
        <x:v>payer; amount; date; check/money-order number; memo; property; unit; lease match</x:v>
      </x:c>
      <x:c r="O124" s="35" t="str"/>
      <x:c r="P124" s="35" t="str">
        <x:v>Use a different receipt on the other client to exercise the manual payment form.</x:v>
      </x:c>
      <x:c r="Q124" s="35" t="str">
        <x:v>Synthetic QA only; no real people, accounts, signatures, or properties</x:v>
      </x:c>
    </x:row>
    <x:row r="125">
      <x:c r="A125" s="20" t="str">
        <x:v>SCN-0122</x:v>
      </x:c>
      <x:c r="B125" s="23" t="n">
        <x:v>46422</x:v>
      </x:c>
      <x:c r="C125" s="20" t="str">
        <x:v>scn-0122-rent-payment-l025-20270204.jpg</x:v>
      </x:c>
      <x:c r="D125" s="20" t="str">
        <x:v>Money order</x:v>
      </x:c>
      <x:c r="E125" s="20" t="str">
        <x:v>Payment</x:v>
      </x:c>
      <x:c r="F125" s="35" t="str">
        <x:v>Direct scan draft matched to tenant account and charge</x:v>
      </x:c>
      <x:c r="G125" s="20" t="str">
        <x:v>Camera JPEG</x:v>
      </x:c>
      <x:c r="H125" s="20" t="str">
        <x:v>1 image</x:v>
      </x:c>
      <x:c r="I125" s="35" t="str">
        <x:v>phone camera; amount box, written amount, memo, and endorsement visible</x:v>
      </x:c>
      <x:c r="J125" s="20" t="str">
        <x:v>P023</x:v>
      </x:c>
      <x:c r="K125" s="20" t="str">
        <x:v>U025</x:v>
      </x:c>
      <x:c r="L125" s="20" t="str">
        <x:v>L025</x:v>
      </x:c>
      <x:c r="M125" s="20" t="str">
        <x:v>FIN-00136</x:v>
      </x:c>
      <x:c r="N125" s="35" t="str">
        <x:v>payer; amount; date; check/money-order number; memo; property; unit; lease match</x:v>
      </x:c>
      <x:c r="O125" s="35" t="str">
        <x:v>handwritten memo and similar tenant names</x:v>
      </x:c>
      <x:c r="P125" s="35" t="str">
        <x:v>Use a different receipt on the other client to exercise the manual payment form.</x:v>
      </x:c>
      <x:c r="Q125" s="35" t="str">
        <x:v>Synthetic QA only; no real people, accounts, signatures, or properties</x:v>
      </x:c>
    </x:row>
    <x:row r="126">
      <x:c r="A126" s="20" t="str">
        <x:v>SCN-0123</x:v>
      </x:c>
      <x:c r="B126" s="23" t="n">
        <x:v>46426</x:v>
      </x:c>
      <x:c r="C126" s="20" t="str">
        <x:v>scn-0123-rent-payment-l026-20270208.jpg</x:v>
      </x:c>
      <x:c r="D126" s="20" t="str">
        <x:v>Money order</x:v>
      </x:c>
      <x:c r="E126" s="20" t="str">
        <x:v>Payment</x:v>
      </x:c>
      <x:c r="F126" s="35" t="str">
        <x:v>Direct scan draft matched to tenant account and charge</x:v>
      </x:c>
      <x:c r="G126" s="20" t="str">
        <x:v>Camera JPEG</x:v>
      </x:c>
      <x:c r="H126" s="20" t="str">
        <x:v>1 image</x:v>
      </x:c>
      <x:c r="I126" s="35" t="str">
        <x:v>phone camera; amount box, written amount, memo, and endorsement visible</x:v>
      </x:c>
      <x:c r="J126" s="20" t="str">
        <x:v>P023</x:v>
      </x:c>
      <x:c r="K126" s="20" t="str">
        <x:v>U026</x:v>
      </x:c>
      <x:c r="L126" s="20" t="str">
        <x:v>L026</x:v>
      </x:c>
      <x:c r="M126" s="20" t="str">
        <x:v>FIN-00139</x:v>
      </x:c>
      <x:c r="N126" s="35" t="str">
        <x:v>payer; amount; date; check/money-order number; memo; property; unit; lease match</x:v>
      </x:c>
      <x:c r="O126" s="35" t="str"/>
      <x:c r="P126" s="35" t="str">
        <x:v>Use a different receipt on the other client to exercise the manual payment form.</x:v>
      </x:c>
      <x:c r="Q126" s="35" t="str">
        <x:v>Synthetic QA only; no real people, accounts, signatures, or properties</x:v>
      </x:c>
    </x:row>
    <x:row r="127">
      <x:c r="A127" s="20" t="str">
        <x:v>SCN-0124</x:v>
      </x:c>
      <x:c r="B127" s="23" t="n">
        <x:v>46422</x:v>
      </x:c>
      <x:c r="C127" s="20" t="str">
        <x:v>scn-0124-rent-payment-l028-20270204.pdf</x:v>
      </x:c>
      <x:c r="D127" s="20" t="str">
        <x:v>Rent check</x:v>
      </x:c>
      <x:c r="E127" s="20" t="str">
        <x:v>Payment</x:v>
      </x:c>
      <x:c r="F127" s="35" t="str">
        <x:v>Direct scan draft matched to tenant account and charge</x:v>
      </x:c>
      <x:c r="G127" s="20" t="str">
        <x:v>PDF</x:v>
      </x:c>
      <x:c r="H127" s="20" t="str">
        <x:v>1 image</x:v>
      </x:c>
      <x:c r="I127" s="35" t="str">
        <x:v>phone camera; amount box, written amount, memo, and endorsement visible</x:v>
      </x:c>
      <x:c r="J127" s="20" t="str">
        <x:v>P024</x:v>
      </x:c>
      <x:c r="K127" s="20" t="str">
        <x:v>U028</x:v>
      </x:c>
      <x:c r="L127" s="20" t="str">
        <x:v>L028</x:v>
      </x:c>
      <x:c r="M127" s="20" t="str">
        <x:v>FIN-00143</x:v>
      </x:c>
      <x:c r="N127" s="35" t="str">
        <x:v>payer; amount; date; check/money-order number; memo; property; unit; lease match</x:v>
      </x:c>
      <x:c r="O127" s="35" t="str"/>
      <x:c r="P127" s="35" t="str">
        <x:v>Use a different receipt on the other client to exercise the manual payment form.</x:v>
      </x:c>
      <x:c r="Q127" s="35" t="str">
        <x:v>Synthetic QA only; no real people, accounts, signatures, or properties</x:v>
      </x:c>
    </x:row>
    <x:row r="128">
      <x:c r="A128" s="20" t="str">
        <x:v>SCN-0125</x:v>
      </x:c>
      <x:c r="B128" s="23" t="n">
        <x:v>46423</x:v>
      </x:c>
      <x:c r="C128" s="20" t="str">
        <x:v>scn-0125-rent-payment-l029-20270205.jpg</x:v>
      </x:c>
      <x:c r="D128" s="20" t="str">
        <x:v>Money order</x:v>
      </x:c>
      <x:c r="E128" s="20" t="str">
        <x:v>Payment</x:v>
      </x:c>
      <x:c r="F128" s="35" t="str">
        <x:v>Direct scan draft matched to tenant account and charge</x:v>
      </x:c>
      <x:c r="G128" s="20" t="str">
        <x:v>Camera JPEG</x:v>
      </x:c>
      <x:c r="H128" s="20" t="str">
        <x:v>1 image</x:v>
      </x:c>
      <x:c r="I128" s="35" t="str">
        <x:v>phone camera; amount box, written amount, memo, and endorsement visible</x:v>
      </x:c>
      <x:c r="J128" s="20" t="str">
        <x:v>P025</x:v>
      </x:c>
      <x:c r="K128" s="20" t="str">
        <x:v>U029</x:v>
      </x:c>
      <x:c r="L128" s="20" t="str">
        <x:v>L029</x:v>
      </x:c>
      <x:c r="M128" s="20" t="str">
        <x:v>FIN-00145</x:v>
      </x:c>
      <x:c r="N128" s="35" t="str">
        <x:v>payer; amount; date; check/money-order number; memo; property; unit; lease match</x:v>
      </x:c>
      <x:c r="O128" s="35" t="str"/>
      <x:c r="P128" s="35" t="str">
        <x:v>Use a different receipt on the other client to exercise the manual payment form.</x:v>
      </x:c>
      <x:c r="Q128" s="35" t="str">
        <x:v>Synthetic QA only; no real people, accounts, signatures, or properties</x:v>
      </x:c>
    </x:row>
    <x:row r="129">
      <x:c r="A129" s="20" t="str">
        <x:v>SCN-0126</x:v>
      </x:c>
      <x:c r="B129" s="23" t="n">
        <x:v>46423</x:v>
      </x:c>
      <x:c r="C129" s="20" t="str">
        <x:v>scn-0126-rent-payment-l032-20270205.pdf</x:v>
      </x:c>
      <x:c r="D129" s="20" t="str">
        <x:v>Rent check</x:v>
      </x:c>
      <x:c r="E129" s="20" t="str">
        <x:v>Payment</x:v>
      </x:c>
      <x:c r="F129" s="35" t="str">
        <x:v>Direct scan draft matched to tenant account and charge</x:v>
      </x:c>
      <x:c r="G129" s="20" t="str">
        <x:v>PDF</x:v>
      </x:c>
      <x:c r="H129" s="20" t="str">
        <x:v>1 image</x:v>
      </x:c>
      <x:c r="I129" s="35" t="str">
        <x:v>phone camera; amount box, written amount, memo, and endorsement visible</x:v>
      </x:c>
      <x:c r="J129" s="20" t="str">
        <x:v>P026</x:v>
      </x:c>
      <x:c r="K129" s="20" t="str">
        <x:v>U032</x:v>
      </x:c>
      <x:c r="L129" s="20" t="str">
        <x:v>L032</x:v>
      </x:c>
      <x:c r="M129" s="20" t="str">
        <x:v>FIN-00151</x:v>
      </x:c>
      <x:c r="N129" s="35" t="str">
        <x:v>payer; amount; date; check/money-order number; memo; property; unit; lease match</x:v>
      </x:c>
      <x:c r="O129" s="35" t="str"/>
      <x:c r="P129" s="35" t="str">
        <x:v>Use a different receipt on the other client to exercise the manual payment form.</x:v>
      </x:c>
      <x:c r="Q129" s="35" t="str">
        <x:v>Synthetic QA only; no real people, accounts, signatures, or properties</x:v>
      </x:c>
    </x:row>
    <x:row r="130">
      <x:c r="A130" s="20" t="str">
        <x:v>SCN-0127</x:v>
      </x:c>
      <x:c r="B130" s="23" t="n">
        <x:v>46421</x:v>
      </x:c>
      <x:c r="C130" s="20" t="str">
        <x:v>scn-0127-rent-payment-l033-20270203.jpg</x:v>
      </x:c>
      <x:c r="D130" s="20" t="str">
        <x:v>Money order</x:v>
      </x:c>
      <x:c r="E130" s="20" t="str">
        <x:v>Payment</x:v>
      </x:c>
      <x:c r="F130" s="35" t="str">
        <x:v>Direct scan draft matched to tenant account and charge</x:v>
      </x:c>
      <x:c r="G130" s="20" t="str">
        <x:v>Camera JPEG</x:v>
      </x:c>
      <x:c r="H130" s="20" t="str">
        <x:v>1 image</x:v>
      </x:c>
      <x:c r="I130" s="35" t="str">
        <x:v>phone camera; amount box, written amount, memo, and endorsement visible</x:v>
      </x:c>
      <x:c r="J130" s="20" t="str">
        <x:v>P027</x:v>
      </x:c>
      <x:c r="K130" s="20" t="str">
        <x:v>U033</x:v>
      </x:c>
      <x:c r="L130" s="20" t="str">
        <x:v>L033</x:v>
      </x:c>
      <x:c r="M130" s="20" t="str">
        <x:v>FIN-00153</x:v>
      </x:c>
      <x:c r="N130" s="35" t="str">
        <x:v>payer; amount; date; check/money-order number; memo; property; unit; lease match</x:v>
      </x:c>
      <x:c r="O130" s="35" t="str"/>
      <x:c r="P130" s="35" t="str">
        <x:v>Use a different receipt on the other client to exercise the manual payment form.</x:v>
      </x:c>
      <x:c r="Q130" s="35" t="str">
        <x:v>Synthetic QA only; no real people, accounts, signatures, or properties</x:v>
      </x:c>
    </x:row>
    <x:row r="131">
      <x:c r="A131" s="20" t="str">
        <x:v>SCN-0128</x:v>
      </x:c>
      <x:c r="B131" s="23" t="n">
        <x:v>46421</x:v>
      </x:c>
      <x:c r="C131" s="20" t="str">
        <x:v>scn-0128-rent-payment-l036-20270203.pdf</x:v>
      </x:c>
      <x:c r="D131" s="20" t="str">
        <x:v>Rent check</x:v>
      </x:c>
      <x:c r="E131" s="20" t="str">
        <x:v>Payment</x:v>
      </x:c>
      <x:c r="F131" s="35" t="str">
        <x:v>Direct scan draft matched to tenant account and charge</x:v>
      </x:c>
      <x:c r="G131" s="20" t="str">
        <x:v>PDF</x:v>
      </x:c>
      <x:c r="H131" s="20" t="str">
        <x:v>1 image</x:v>
      </x:c>
      <x:c r="I131" s="35" t="str">
        <x:v>phone camera; amount box, written amount, memo, and endorsement visible</x:v>
      </x:c>
      <x:c r="J131" s="20" t="str">
        <x:v>P028</x:v>
      </x:c>
      <x:c r="K131" s="20" t="str">
        <x:v>U036</x:v>
      </x:c>
      <x:c r="L131" s="20" t="str">
        <x:v>L036</x:v>
      </x:c>
      <x:c r="M131" s="20" t="str">
        <x:v>FIN-00161</x:v>
      </x:c>
      <x:c r="N131" s="35" t="str">
        <x:v>payer; amount; date; check/money-order number; memo; property; unit; lease match</x:v>
      </x:c>
      <x:c r="O131" s="35" t="str"/>
      <x:c r="P131" s="35" t="str">
        <x:v>Use a different receipt on the other client to exercise the manual payment form.</x:v>
      </x:c>
      <x:c r="Q131" s="35" t="str">
        <x:v>Synthetic QA only; no real people, accounts, signatures, or properties</x:v>
      </x:c>
    </x:row>
    <x:row r="132">
      <x:c r="A132" s="20" t="str">
        <x:v>SCN-0129</x:v>
      </x:c>
      <x:c r="B132" s="23" t="n">
        <x:v>46450</x:v>
      </x:c>
      <x:c r="C132" s="20" t="str">
        <x:v>scn-0129-rent-payment-l001-20270304.jpg</x:v>
      </x:c>
      <x:c r="D132" s="20" t="str">
        <x:v>Money order</x:v>
      </x:c>
      <x:c r="E132" s="20" t="str">
        <x:v>Payment</x:v>
      </x:c>
      <x:c r="F132" s="35" t="str">
        <x:v>Direct scan draft matched to tenant account and charge</x:v>
      </x:c>
      <x:c r="G132" s="20" t="str">
        <x:v>Camera JPEG</x:v>
      </x:c>
      <x:c r="H132" s="20" t="str">
        <x:v>1 image</x:v>
      </x:c>
      <x:c r="I132" s="35" t="str">
        <x:v>phone camera; amount box, written amount, memo, and endorsement visible</x:v>
      </x:c>
      <x:c r="J132" s="20" t="str">
        <x:v>P001</x:v>
      </x:c>
      <x:c r="K132" s="20" t="str">
        <x:v>U001</x:v>
      </x:c>
      <x:c r="L132" s="20" t="str">
        <x:v>L001</x:v>
      </x:c>
      <x:c r="M132" s="20" t="str">
        <x:v>FIN-00165</x:v>
      </x:c>
      <x:c r="N132" s="35" t="str">
        <x:v>payer; amount; date; check/money-order number; memo; property; unit; lease match</x:v>
      </x:c>
      <x:c r="O132" s="35" t="str"/>
      <x:c r="P132" s="35" t="str">
        <x:v>Use a different receipt on the other client to exercise the manual payment form.</x:v>
      </x:c>
      <x:c r="Q132" s="35" t="str">
        <x:v>Synthetic QA only; no real people, accounts, signatures, or properties</x:v>
      </x:c>
    </x:row>
    <x:row r="133">
      <x:c r="A133" s="20" t="str">
        <x:v>SCN-0130</x:v>
      </x:c>
      <x:c r="B133" s="23" t="n">
        <x:v>46450</x:v>
      </x:c>
      <x:c r="C133" s="20" t="str">
        <x:v>scn-0130-rent-payment-l004-20270304.pdf</x:v>
      </x:c>
      <x:c r="D133" s="20" t="str">
        <x:v>Rent check</x:v>
      </x:c>
      <x:c r="E133" s="20" t="str">
        <x:v>Payment</x:v>
      </x:c>
      <x:c r="F133" s="35" t="str">
        <x:v>Direct scan draft matched to tenant account and charge</x:v>
      </x:c>
      <x:c r="G133" s="20" t="str">
        <x:v>PDF</x:v>
      </x:c>
      <x:c r="H133" s="20" t="str">
        <x:v>1 image</x:v>
      </x:c>
      <x:c r="I133" s="35" t="str">
        <x:v>phone camera; amount box, written amount, memo, and endorsement visible</x:v>
      </x:c>
      <x:c r="J133" s="20" t="str">
        <x:v>P004</x:v>
      </x:c>
      <x:c r="K133" s="20" t="str">
        <x:v>U004</x:v>
      </x:c>
      <x:c r="L133" s="20" t="str">
        <x:v>L004</x:v>
      </x:c>
      <x:c r="M133" s="20" t="str">
        <x:v>FIN-00171</x:v>
      </x:c>
      <x:c r="N133" s="35" t="str">
        <x:v>payer; amount; date; check/money-order number; memo; property; unit; lease match</x:v>
      </x:c>
      <x:c r="O133" s="35" t="str"/>
      <x:c r="P133" s="35" t="str">
        <x:v>Use a different receipt on the other client to exercise the manual payment form.</x:v>
      </x:c>
      <x:c r="Q133" s="35" t="str">
        <x:v>Synthetic QA only; no real people, accounts, signatures, or properties</x:v>
      </x:c>
    </x:row>
    <x:row r="134">
      <x:c r="A134" s="20" t="str">
        <x:v>SCN-0131</x:v>
      </x:c>
      <x:c r="B134" s="23" t="n">
        <x:v>46451</x:v>
      </x:c>
      <x:c r="C134" s="20" t="str">
        <x:v>scn-0131-rent-payment-l008-20270305.pdf</x:v>
      </x:c>
      <x:c r="D134" s="20" t="str">
        <x:v>Rent check</x:v>
      </x:c>
      <x:c r="E134" s="20" t="str">
        <x:v>Payment</x:v>
      </x:c>
      <x:c r="F134" s="35" t="str">
        <x:v>Direct scan draft matched to tenant account and charge</x:v>
      </x:c>
      <x:c r="G134" s="20" t="str">
        <x:v>PDF</x:v>
      </x:c>
      <x:c r="H134" s="20" t="str">
        <x:v>1 image</x:v>
      </x:c>
      <x:c r="I134" s="35" t="str">
        <x:v>phone camera; amount box, written amount, memo, and endorsement visible</x:v>
      </x:c>
      <x:c r="J134" s="20" t="str">
        <x:v>P008</x:v>
      </x:c>
      <x:c r="K134" s="20" t="str">
        <x:v>U008</x:v>
      </x:c>
      <x:c r="L134" s="20" t="str">
        <x:v>L008</x:v>
      </x:c>
      <x:c r="M134" s="20" t="str">
        <x:v>FIN-00177</x:v>
      </x:c>
      <x:c r="N134" s="35" t="str">
        <x:v>payer; amount; date; check/money-order number; memo; property; unit; lease match</x:v>
      </x:c>
      <x:c r="O134" s="35" t="str"/>
      <x:c r="P134" s="35" t="str">
        <x:v>Use a different receipt on the other client to exercise the manual payment form.</x:v>
      </x:c>
      <x:c r="Q134" s="35" t="str">
        <x:v>Synthetic QA only; no real people, accounts, signatures, or properties</x:v>
      </x:c>
    </x:row>
    <x:row r="135">
      <x:c r="A135" s="20" t="str">
        <x:v>SCN-0132</x:v>
      </x:c>
      <x:c r="B135" s="23" t="n">
        <x:v>46449</x:v>
      </x:c>
      <x:c r="C135" s="20" t="str">
        <x:v>scn-0132-rent-payment-l009-20270303.jpg</x:v>
      </x:c>
      <x:c r="D135" s="20" t="str">
        <x:v>Money order</x:v>
      </x:c>
      <x:c r="E135" s="20" t="str">
        <x:v>Payment</x:v>
      </x:c>
      <x:c r="F135" s="35" t="str">
        <x:v>Direct scan draft matched to tenant account and charge</x:v>
      </x:c>
      <x:c r="G135" s="20" t="str">
        <x:v>Camera JPEG</x:v>
      </x:c>
      <x:c r="H135" s="20" t="str">
        <x:v>1 image</x:v>
      </x:c>
      <x:c r="I135" s="35" t="str">
        <x:v>phone camera; amount box, written amount, memo, and endorsement visible</x:v>
      </x:c>
      <x:c r="J135" s="20" t="str">
        <x:v>P009</x:v>
      </x:c>
      <x:c r="K135" s="20" t="str">
        <x:v>U009</x:v>
      </x:c>
      <x:c r="L135" s="20" t="str">
        <x:v>L009</x:v>
      </x:c>
      <x:c r="M135" s="20" t="str">
        <x:v>FIN-00179</x:v>
      </x:c>
      <x:c r="N135" s="35" t="str">
        <x:v>payer; amount; date; check/money-order number; memo; property; unit; lease match</x:v>
      </x:c>
      <x:c r="O135" s="35" t="str"/>
      <x:c r="P135" s="35" t="str">
        <x:v>Use a different receipt on the other client to exercise the manual payment form.</x:v>
      </x:c>
      <x:c r="Q135" s="35" t="str">
        <x:v>Synthetic QA only; no real people, accounts, signatures, or properties</x:v>
      </x:c>
    </x:row>
    <x:row r="136">
      <x:c r="A136" s="20" t="str">
        <x:v>SCN-0133</x:v>
      </x:c>
      <x:c r="B136" s="23" t="n">
        <x:v>46458</x:v>
      </x:c>
      <x:c r="C136" s="20" t="str">
        <x:v>scn-0133-rent-payment-l011-20270312.jpg</x:v>
      </x:c>
      <x:c r="D136" s="20" t="str">
        <x:v>Money order</x:v>
      </x:c>
      <x:c r="E136" s="20" t="str">
        <x:v>Payment</x:v>
      </x:c>
      <x:c r="F136" s="35" t="str">
        <x:v>Direct scan draft matched to tenant account and charge</x:v>
      </x:c>
      <x:c r="G136" s="20" t="str">
        <x:v>Camera JPEG</x:v>
      </x:c>
      <x:c r="H136" s="20" t="str">
        <x:v>1 image</x:v>
      </x:c>
      <x:c r="I136" s="35" t="str">
        <x:v>phone camera; amount box, written amount, memo, and endorsement visible</x:v>
      </x:c>
      <x:c r="J136" s="20" t="str">
        <x:v>P011</x:v>
      </x:c>
      <x:c r="K136" s="20" t="str">
        <x:v>U011</x:v>
      </x:c>
      <x:c r="L136" s="20" t="str">
        <x:v>L011</x:v>
      </x:c>
      <x:c r="M136" s="20" t="str">
        <x:v>FIN-00185</x:v>
      </x:c>
      <x:c r="N136" s="35" t="str">
        <x:v>payer; amount; date; check/money-order number; memo; property; unit; lease match</x:v>
      </x:c>
      <x:c r="O136" s="35" t="str"/>
      <x:c r="P136" s="35" t="str">
        <x:v>Use a different receipt on the other client to exercise the manual payment form.</x:v>
      </x:c>
      <x:c r="Q136" s="35" t="str">
        <x:v>Synthetic QA only; no real people, accounts, signatures, or properties</x:v>
      </x:c>
    </x:row>
    <x:row r="137">
      <x:c r="A137" s="20" t="str">
        <x:v>SCN-0134</x:v>
      </x:c>
      <x:c r="B137" s="23" t="n">
        <x:v>46449</x:v>
      </x:c>
      <x:c r="C137" s="20" t="str">
        <x:v>scn-0134-rent-payment-l012-20270303.pdf</x:v>
      </x:c>
      <x:c r="D137" s="20" t="str">
        <x:v>Rent check</x:v>
      </x:c>
      <x:c r="E137" s="20" t="str">
        <x:v>Payment</x:v>
      </x:c>
      <x:c r="F137" s="35" t="str">
        <x:v>Direct scan draft matched to tenant account and charge</x:v>
      </x:c>
      <x:c r="G137" s="20" t="str">
        <x:v>PDF</x:v>
      </x:c>
      <x:c r="H137" s="20" t="str">
        <x:v>1 image</x:v>
      </x:c>
      <x:c r="I137" s="35" t="str">
        <x:v>phone camera; amount box, written amount, memo, and endorsement visible</x:v>
      </x:c>
      <x:c r="J137" s="20" t="str">
        <x:v>P012</x:v>
      </x:c>
      <x:c r="K137" s="20" t="str">
        <x:v>U012</x:v>
      </x:c>
      <x:c r="L137" s="20" t="str">
        <x:v>L012</x:v>
      </x:c>
      <x:c r="M137" s="20" t="str">
        <x:v>FIN-00187</x:v>
      </x:c>
      <x:c r="N137" s="35" t="str">
        <x:v>payer; amount; date; check/money-order number; memo; property; unit; lease match</x:v>
      </x:c>
      <x:c r="O137" s="35" t="str"/>
      <x:c r="P137" s="35" t="str">
        <x:v>Use a different receipt on the other client to exercise the manual payment form.</x:v>
      </x:c>
      <x:c r="Q137" s="35" t="str">
        <x:v>Synthetic QA only; no real people, accounts, signatures, or properties</x:v>
      </x:c>
    </x:row>
    <x:row r="138">
      <x:c r="A138" s="20" t="str">
        <x:v>SCN-0135</x:v>
      </x:c>
      <x:c r="B138" s="23" t="n">
        <x:v>46454</x:v>
      </x:c>
      <x:c r="C138" s="20" t="str">
        <x:v>scn-0135-rent-payment-l013-20270308.pdf</x:v>
      </x:c>
      <x:c r="D138" s="20" t="str">
        <x:v>Rent check</x:v>
      </x:c>
      <x:c r="E138" s="20" t="str">
        <x:v>Payment</x:v>
      </x:c>
      <x:c r="F138" s="35" t="str">
        <x:v>Direct scan draft matched to tenant account and charge</x:v>
      </x:c>
      <x:c r="G138" s="20" t="str">
        <x:v>PDF</x:v>
      </x:c>
      <x:c r="H138" s="20" t="str">
        <x:v>1 image</x:v>
      </x:c>
      <x:c r="I138" s="35" t="str">
        <x:v>phone camera; amount box, written amount, memo, and endorsement visible</x:v>
      </x:c>
      <x:c r="J138" s="20" t="str">
        <x:v>P013</x:v>
      </x:c>
      <x:c r="K138" s="20" t="str">
        <x:v>U013</x:v>
      </x:c>
      <x:c r="L138" s="20" t="str">
        <x:v>L013</x:v>
      </x:c>
      <x:c r="M138" s="20" t="str">
        <x:v>FIN-00190</x:v>
      </x:c>
      <x:c r="N138" s="35" t="str">
        <x:v>payer; amount; date; check/money-order number; memo; property; unit; lease match</x:v>
      </x:c>
      <x:c r="O138" s="35" t="str"/>
      <x:c r="P138" s="35" t="str">
        <x:v>Use a different receipt on the other client to exercise the manual payment form.</x:v>
      </x:c>
      <x:c r="Q138" s="35" t="str">
        <x:v>Synthetic QA only; no real people, accounts, signatures, or properties</x:v>
      </x:c>
    </x:row>
    <x:row r="139">
      <x:c r="A139" s="20" t="str">
        <x:v>SCN-0136</x:v>
      </x:c>
      <x:c r="B139" s="23" t="n">
        <x:v>46450</x:v>
      </x:c>
      <x:c r="C139" s="20" t="str">
        <x:v>scn-0136-rent-payment-l016-20270304.pdf</x:v>
      </x:c>
      <x:c r="D139" s="20" t="str">
        <x:v>Rent check</x:v>
      </x:c>
      <x:c r="E139" s="20" t="str">
        <x:v>Payment</x:v>
      </x:c>
      <x:c r="F139" s="35" t="str">
        <x:v>Direct scan draft matched to tenant account and charge</x:v>
      </x:c>
      <x:c r="G139" s="20" t="str">
        <x:v>PDF</x:v>
      </x:c>
      <x:c r="H139" s="20" t="str">
        <x:v>1 image</x:v>
      </x:c>
      <x:c r="I139" s="35" t="str">
        <x:v>phone camera; amount box, written amount, memo, and endorsement visible</x:v>
      </x:c>
      <x:c r="J139" s="20" t="str">
        <x:v>P016</x:v>
      </x:c>
      <x:c r="K139" s="20" t="str">
        <x:v>U016</x:v>
      </x:c>
      <x:c r="L139" s="20" t="str">
        <x:v>L016</x:v>
      </x:c>
      <x:c r="M139" s="20" t="str">
        <x:v>FIN-00196</x:v>
      </x:c>
      <x:c r="N139" s="35" t="str">
        <x:v>payer; amount; date; check/money-order number; memo; property; unit; lease match</x:v>
      </x:c>
      <x:c r="O139" s="35" t="str"/>
      <x:c r="P139" s="35" t="str">
        <x:v>Use a different receipt on the other client to exercise the manual payment form.</x:v>
      </x:c>
      <x:c r="Q139" s="35" t="str">
        <x:v>Synthetic QA only; no real people, accounts, signatures, or properties</x:v>
      </x:c>
    </x:row>
    <x:row r="140">
      <x:c r="A140" s="20" t="str">
        <x:v>SCN-0137</x:v>
      </x:c>
      <x:c r="B140" s="23" t="n">
        <x:v>46451</x:v>
      </x:c>
      <x:c r="C140" s="20" t="str">
        <x:v>scn-0137-rent-payment-l017-20270305.jpg</x:v>
      </x:c>
      <x:c r="D140" s="20" t="str">
        <x:v>Money order</x:v>
      </x:c>
      <x:c r="E140" s="20" t="str">
        <x:v>Payment</x:v>
      </x:c>
      <x:c r="F140" s="35" t="str">
        <x:v>Direct scan draft matched to tenant account and charge</x:v>
      </x:c>
      <x:c r="G140" s="20" t="str">
        <x:v>Camera JPEG</x:v>
      </x:c>
      <x:c r="H140" s="20" t="str">
        <x:v>1 image</x:v>
      </x:c>
      <x:c r="I140" s="35" t="str">
        <x:v>phone camera; amount box, written amount, memo, and endorsement visible</x:v>
      </x:c>
      <x:c r="J140" s="20" t="str">
        <x:v>P017</x:v>
      </x:c>
      <x:c r="K140" s="20" t="str">
        <x:v>U017</x:v>
      </x:c>
      <x:c r="L140" s="20" t="str">
        <x:v>L017</x:v>
      </x:c>
      <x:c r="M140" s="20" t="str">
        <x:v>FIN-00198</x:v>
      </x:c>
      <x:c r="N140" s="35" t="str">
        <x:v>payer; amount; date; check/money-order number; memo; property; unit; lease match</x:v>
      </x:c>
      <x:c r="O140" s="35" t="str"/>
      <x:c r="P140" s="35" t="str">
        <x:v>Use a different receipt on the other client to exercise the manual payment form.</x:v>
      </x:c>
      <x:c r="Q140" s="35" t="str">
        <x:v>Synthetic QA only; no real people, accounts, signatures, or properties</x:v>
      </x:c>
    </x:row>
    <x:row r="141">
      <x:c r="A141" s="20" t="str">
        <x:v>SCN-0138</x:v>
      </x:c>
      <x:c r="B141" s="23" t="n">
        <x:v>46451</x:v>
      </x:c>
      <x:c r="C141" s="20" t="str">
        <x:v>scn-0138-rent-payment-l020-20270305.pdf</x:v>
      </x:c>
      <x:c r="D141" s="20" t="str">
        <x:v>Rent check</x:v>
      </x:c>
      <x:c r="E141" s="20" t="str">
        <x:v>Payment</x:v>
      </x:c>
      <x:c r="F141" s="35" t="str">
        <x:v>Direct scan draft matched to tenant account and charge</x:v>
      </x:c>
      <x:c r="G141" s="20" t="str">
        <x:v>PDF</x:v>
      </x:c>
      <x:c r="H141" s="20" t="str">
        <x:v>1 image</x:v>
      </x:c>
      <x:c r="I141" s="35" t="str">
        <x:v>phone camera; amount box, written amount, memo, and endorsement visible</x:v>
      </x:c>
      <x:c r="J141" s="20" t="str">
        <x:v>P020</x:v>
      </x:c>
      <x:c r="K141" s="20" t="str">
        <x:v>U020</x:v>
      </x:c>
      <x:c r="L141" s="20" t="str">
        <x:v>L020</x:v>
      </x:c>
      <x:c r="M141" s="20" t="str">
        <x:v>FIN-00204</x:v>
      </x:c>
      <x:c r="N141" s="35" t="str">
        <x:v>payer; amount; date; check/money-order number; memo; property; unit; lease match</x:v>
      </x:c>
      <x:c r="O141" s="35" t="str">
        <x:v>handwritten memo and similar tenant names</x:v>
      </x:c>
      <x:c r="P141" s="35" t="str">
        <x:v>Use a different receipt on the other client to exercise the manual payment form.</x:v>
      </x:c>
      <x:c r="Q141" s="35" t="str">
        <x:v>Synthetic QA only; no real people, accounts, signatures, or properties</x:v>
      </x:c>
    </x:row>
    <x:row r="142">
      <x:c r="A142" s="20" t="str">
        <x:v>SCN-0139</x:v>
      </x:c>
      <x:c r="B142" s="23" t="n">
        <x:v>46449</x:v>
      </x:c>
      <x:c r="C142" s="20" t="str">
        <x:v>scn-0139-rent-payment-l021-20270303.jpg</x:v>
      </x:c>
      <x:c r="D142" s="20" t="str">
        <x:v>Money order</x:v>
      </x:c>
      <x:c r="E142" s="20" t="str">
        <x:v>Payment</x:v>
      </x:c>
      <x:c r="F142" s="35" t="str">
        <x:v>Direct scan draft matched to tenant account and charge</x:v>
      </x:c>
      <x:c r="G142" s="20" t="str">
        <x:v>Camera JPEG</x:v>
      </x:c>
      <x:c r="H142" s="20" t="str">
        <x:v>1 image</x:v>
      </x:c>
      <x:c r="I142" s="35" t="str">
        <x:v>phone camera; amount box, written amount, memo, and endorsement visible</x:v>
      </x:c>
      <x:c r="J142" s="20" t="str">
        <x:v>P021</x:v>
      </x:c>
      <x:c r="K142" s="20" t="str">
        <x:v>U021</x:v>
      </x:c>
      <x:c r="L142" s="20" t="str">
        <x:v>L021</x:v>
      </x:c>
      <x:c r="M142" s="20" t="str">
        <x:v>FIN-00206</x:v>
      </x:c>
      <x:c r="N142" s="35" t="str">
        <x:v>payer; amount; date; check/money-order number; memo; property; unit; lease match</x:v>
      </x:c>
      <x:c r="O142" s="35" t="str"/>
      <x:c r="P142" s="35" t="str">
        <x:v>Use a different receipt on the other client to exercise the manual payment form.</x:v>
      </x:c>
      <x:c r="Q142" s="35" t="str">
        <x:v>Synthetic QA only; no real people, accounts, signatures, or properties</x:v>
      </x:c>
    </x:row>
    <x:row r="143">
      <x:c r="A143" s="20" t="str">
        <x:v>SCN-0140</x:v>
      </x:c>
      <x:c r="B143" s="23" t="n">
        <x:v>46449</x:v>
      </x:c>
      <x:c r="C143" s="20" t="str">
        <x:v>scn-0140-rent-payment-l024-20270303.pdf</x:v>
      </x:c>
      <x:c r="D143" s="20" t="str">
        <x:v>Rent check</x:v>
      </x:c>
      <x:c r="E143" s="20" t="str">
        <x:v>Payment</x:v>
      </x:c>
      <x:c r="F143" s="35" t="str">
        <x:v>Direct scan draft matched to tenant account and charge</x:v>
      </x:c>
      <x:c r="G143" s="20" t="str">
        <x:v>PDF</x:v>
      </x:c>
      <x:c r="H143" s="20" t="str">
        <x:v>1 image</x:v>
      </x:c>
      <x:c r="I143" s="35" t="str">
        <x:v>phone camera; amount box, written amount, memo, and endorsement visible</x:v>
      </x:c>
      <x:c r="J143" s="20" t="str">
        <x:v>P022</x:v>
      </x:c>
      <x:c r="K143" s="20" t="str">
        <x:v>U024</x:v>
      </x:c>
      <x:c r="L143" s="20" t="str">
        <x:v>L024</x:v>
      </x:c>
      <x:c r="M143" s="20" t="str">
        <x:v>FIN-00215</x:v>
      </x:c>
      <x:c r="N143" s="35" t="str">
        <x:v>payer; amount; date; check/money-order number; memo; property; unit; lease match</x:v>
      </x:c>
      <x:c r="O143" s="35" t="str"/>
      <x:c r="P143" s="35" t="str">
        <x:v>Use a different receipt on the other client to exercise the manual payment form.</x:v>
      </x:c>
      <x:c r="Q143" s="35" t="str">
        <x:v>Synthetic QA only; no real people, accounts, signatures, or properties</x:v>
      </x:c>
    </x:row>
    <x:row r="144">
      <x:c r="A144" s="20" t="str">
        <x:v>SCN-0141</x:v>
      </x:c>
      <x:c r="B144" s="23" t="n">
        <x:v>46450</x:v>
      </x:c>
      <x:c r="C144" s="20" t="str">
        <x:v>scn-0141-rent-payment-l025-20270304.jpg</x:v>
      </x:c>
      <x:c r="D144" s="20" t="str">
        <x:v>Money order</x:v>
      </x:c>
      <x:c r="E144" s="20" t="str">
        <x:v>Payment</x:v>
      </x:c>
      <x:c r="F144" s="35" t="str">
        <x:v>Direct scan draft matched to tenant account and charge</x:v>
      </x:c>
      <x:c r="G144" s="20" t="str">
        <x:v>Camera JPEG</x:v>
      </x:c>
      <x:c r="H144" s="20" t="str">
        <x:v>1 image</x:v>
      </x:c>
      <x:c r="I144" s="35" t="str">
        <x:v>phone camera; amount box, written amount, memo, and endorsement visible</x:v>
      </x:c>
      <x:c r="J144" s="20" t="str">
        <x:v>P023</x:v>
      </x:c>
      <x:c r="K144" s="20" t="str">
        <x:v>U025</x:v>
      </x:c>
      <x:c r="L144" s="20" t="str">
        <x:v>L025</x:v>
      </x:c>
      <x:c r="M144" s="20" t="str">
        <x:v>FIN-00217</x:v>
      </x:c>
      <x:c r="N144" s="35" t="str">
        <x:v>payer; amount; date; check/money-order number; memo; property; unit; lease match</x:v>
      </x:c>
      <x:c r="O144" s="35" t="str">
        <x:v>handwritten memo and similar tenant names</x:v>
      </x:c>
      <x:c r="P144" s="35" t="str">
        <x:v>Use a different receipt on the other client to exercise the manual payment form.</x:v>
      </x:c>
      <x:c r="Q144" s="35" t="str">
        <x:v>Synthetic QA only; no real people, accounts, signatures, or properties</x:v>
      </x:c>
    </x:row>
    <x:row r="145">
      <x:c r="A145" s="20" t="str">
        <x:v>SCN-0142</x:v>
      </x:c>
      <x:c r="B145" s="23" t="n">
        <x:v>46454</x:v>
      </x:c>
      <x:c r="C145" s="20" t="str">
        <x:v>scn-0142-rent-payment-l026-20270308.jpg</x:v>
      </x:c>
      <x:c r="D145" s="20" t="str">
        <x:v>Money order</x:v>
      </x:c>
      <x:c r="E145" s="20" t="str">
        <x:v>Payment</x:v>
      </x:c>
      <x:c r="F145" s="35" t="str">
        <x:v>Direct scan draft matched to tenant account and charge</x:v>
      </x:c>
      <x:c r="G145" s="20" t="str">
        <x:v>Camera JPEG</x:v>
      </x:c>
      <x:c r="H145" s="20" t="str">
        <x:v>1 image</x:v>
      </x:c>
      <x:c r="I145" s="35" t="str">
        <x:v>phone camera; amount box, written amount, memo, and endorsement visible</x:v>
      </x:c>
      <x:c r="J145" s="20" t="str">
        <x:v>P023</x:v>
      </x:c>
      <x:c r="K145" s="20" t="str">
        <x:v>U026</x:v>
      </x:c>
      <x:c r="L145" s="20" t="str">
        <x:v>L026</x:v>
      </x:c>
      <x:c r="M145" s="20" t="str">
        <x:v>FIN-00220</x:v>
      </x:c>
      <x:c r="N145" s="35" t="str">
        <x:v>payer; amount; date; check/money-order number; memo; property; unit; lease match</x:v>
      </x:c>
      <x:c r="O145" s="35" t="str"/>
      <x:c r="P145" s="35" t="str">
        <x:v>Use a different receipt on the other client to exercise the manual payment form.</x:v>
      </x:c>
      <x:c r="Q145" s="35" t="str">
        <x:v>Synthetic QA only; no real people, accounts, signatures, or properties</x:v>
      </x:c>
    </x:row>
    <x:row r="146">
      <x:c r="A146" s="20" t="str">
        <x:v>SCN-0143</x:v>
      </x:c>
      <x:c r="B146" s="23" t="n">
        <x:v>46450</x:v>
      </x:c>
      <x:c r="C146" s="20" t="str">
        <x:v>scn-0143-rent-payment-l028-20270304.pdf</x:v>
      </x:c>
      <x:c r="D146" s="20" t="str">
        <x:v>Rent check</x:v>
      </x:c>
      <x:c r="E146" s="20" t="str">
        <x:v>Payment</x:v>
      </x:c>
      <x:c r="F146" s="35" t="str">
        <x:v>Direct scan draft matched to tenant account and charge</x:v>
      </x:c>
      <x:c r="G146" s="20" t="str">
        <x:v>PDF</x:v>
      </x:c>
      <x:c r="H146" s="20" t="str">
        <x:v>1 image</x:v>
      </x:c>
      <x:c r="I146" s="35" t="str">
        <x:v>phone camera; amount box, written amount, memo, and endorsement visible</x:v>
      </x:c>
      <x:c r="J146" s="20" t="str">
        <x:v>P024</x:v>
      </x:c>
      <x:c r="K146" s="20" t="str">
        <x:v>U028</x:v>
      </x:c>
      <x:c r="L146" s="20" t="str">
        <x:v>L028</x:v>
      </x:c>
      <x:c r="M146" s="20" t="str">
        <x:v>FIN-00224</x:v>
      </x:c>
      <x:c r="N146" s="35" t="str">
        <x:v>payer; amount; date; check/money-order number; memo; property; unit; lease match</x:v>
      </x:c>
      <x:c r="O146" s="35" t="str"/>
      <x:c r="P146" s="35" t="str">
        <x:v>Use a different receipt on the other client to exercise the manual payment form.</x:v>
      </x:c>
      <x:c r="Q146" s="35" t="str">
        <x:v>Synthetic QA only; no real people, accounts, signatures, or properties</x:v>
      </x:c>
    </x:row>
    <x:row r="147">
      <x:c r="A147" s="20" t="str">
        <x:v>SCN-0144</x:v>
      </x:c>
      <x:c r="B147" s="23" t="n">
        <x:v>46451</x:v>
      </x:c>
      <x:c r="C147" s="20" t="str">
        <x:v>scn-0144-rent-payment-l029-20270305.jpg</x:v>
      </x:c>
      <x:c r="D147" s="20" t="str">
        <x:v>Money order</x:v>
      </x:c>
      <x:c r="E147" s="20" t="str">
        <x:v>Payment</x:v>
      </x:c>
      <x:c r="F147" s="35" t="str">
        <x:v>Direct scan draft matched to tenant account and charge</x:v>
      </x:c>
      <x:c r="G147" s="20" t="str">
        <x:v>Camera JPEG</x:v>
      </x:c>
      <x:c r="H147" s="20" t="str">
        <x:v>1 image</x:v>
      </x:c>
      <x:c r="I147" s="35" t="str">
        <x:v>phone camera; amount box, written amount, memo, and endorsement visible</x:v>
      </x:c>
      <x:c r="J147" s="20" t="str">
        <x:v>P025</x:v>
      </x:c>
      <x:c r="K147" s="20" t="str">
        <x:v>U029</x:v>
      </x:c>
      <x:c r="L147" s="20" t="str">
        <x:v>L029</x:v>
      </x:c>
      <x:c r="M147" s="20" t="str">
        <x:v>FIN-00226</x:v>
      </x:c>
      <x:c r="N147" s="35" t="str">
        <x:v>payer; amount; date; check/money-order number; memo; property; unit; lease match</x:v>
      </x:c>
      <x:c r="O147" s="35" t="str"/>
      <x:c r="P147" s="35" t="str">
        <x:v>Use a different receipt on the other client to exercise the manual payment form.</x:v>
      </x:c>
      <x:c r="Q147" s="35" t="str">
        <x:v>Synthetic QA only; no real people, accounts, signatures, or properties</x:v>
      </x:c>
    </x:row>
    <x:row r="148">
      <x:c r="A148" s="20" t="str">
        <x:v>SCN-0145</x:v>
      </x:c>
      <x:c r="B148" s="23" t="n">
        <x:v>46451</x:v>
      </x:c>
      <x:c r="C148" s="20" t="str">
        <x:v>scn-0145-rent-payment-l032-20270305.pdf</x:v>
      </x:c>
      <x:c r="D148" s="20" t="str">
        <x:v>Rent check</x:v>
      </x:c>
      <x:c r="E148" s="20" t="str">
        <x:v>Payment</x:v>
      </x:c>
      <x:c r="F148" s="35" t="str">
        <x:v>Direct scan draft matched to tenant account and charge</x:v>
      </x:c>
      <x:c r="G148" s="20" t="str">
        <x:v>PDF</x:v>
      </x:c>
      <x:c r="H148" s="20" t="str">
        <x:v>1 image</x:v>
      </x:c>
      <x:c r="I148" s="35" t="str">
        <x:v>phone camera; amount box, written amount, memo, and endorsement visible</x:v>
      </x:c>
      <x:c r="J148" s="20" t="str">
        <x:v>P026</x:v>
      </x:c>
      <x:c r="K148" s="20" t="str">
        <x:v>U032</x:v>
      </x:c>
      <x:c r="L148" s="20" t="str">
        <x:v>L032</x:v>
      </x:c>
      <x:c r="M148" s="20" t="str">
        <x:v>FIN-00232</x:v>
      </x:c>
      <x:c r="N148" s="35" t="str">
        <x:v>payer; amount; date; check/money-order number; memo; property; unit; lease match</x:v>
      </x:c>
      <x:c r="O148" s="35" t="str"/>
      <x:c r="P148" s="35" t="str">
        <x:v>Use a different receipt on the other client to exercise the manual payment form.</x:v>
      </x:c>
      <x:c r="Q148" s="35" t="str">
        <x:v>Synthetic QA only; no real people, accounts, signatures, or properties</x:v>
      </x:c>
    </x:row>
    <x:row r="149">
      <x:c r="A149" s="20" t="str">
        <x:v>SCN-0146</x:v>
      </x:c>
      <x:c r="B149" s="23" t="n">
        <x:v>46449</x:v>
      </x:c>
      <x:c r="C149" s="20" t="str">
        <x:v>scn-0146-rent-payment-l033-20270303.jpg</x:v>
      </x:c>
      <x:c r="D149" s="20" t="str">
        <x:v>Money order</x:v>
      </x:c>
      <x:c r="E149" s="20" t="str">
        <x:v>Payment</x:v>
      </x:c>
      <x:c r="F149" s="35" t="str">
        <x:v>Direct scan draft matched to tenant account and charge</x:v>
      </x:c>
      <x:c r="G149" s="20" t="str">
        <x:v>Camera JPEG</x:v>
      </x:c>
      <x:c r="H149" s="20" t="str">
        <x:v>1 image</x:v>
      </x:c>
      <x:c r="I149" s="35" t="str">
        <x:v>phone camera; amount box, written amount, memo, and endorsement visible</x:v>
      </x:c>
      <x:c r="J149" s="20" t="str">
        <x:v>P027</x:v>
      </x:c>
      <x:c r="K149" s="20" t="str">
        <x:v>U033</x:v>
      </x:c>
      <x:c r="L149" s="20" t="str">
        <x:v>L033</x:v>
      </x:c>
      <x:c r="M149" s="20" t="str">
        <x:v>FIN-00234</x:v>
      </x:c>
      <x:c r="N149" s="35" t="str">
        <x:v>payer; amount; date; check/money-order number; memo; property; unit; lease match</x:v>
      </x:c>
      <x:c r="O149" s="35" t="str"/>
      <x:c r="P149" s="35" t="str">
        <x:v>Use a different receipt on the other client to exercise the manual payment form.</x:v>
      </x:c>
      <x:c r="Q149" s="35" t="str">
        <x:v>Synthetic QA only; no real people, accounts, signatures, or properties</x:v>
      </x:c>
    </x:row>
    <x:row r="150">
      <x:c r="A150" s="20" t="str">
        <x:v>SCN-0147</x:v>
      </x:c>
      <x:c r="B150" s="23" t="n">
        <x:v>46449</x:v>
      </x:c>
      <x:c r="C150" s="20" t="str">
        <x:v>scn-0147-rent-payment-l036-20270303.pdf</x:v>
      </x:c>
      <x:c r="D150" s="20" t="str">
        <x:v>Rent check</x:v>
      </x:c>
      <x:c r="E150" s="20" t="str">
        <x:v>Payment</x:v>
      </x:c>
      <x:c r="F150" s="35" t="str">
        <x:v>Direct scan draft matched to tenant account and charge</x:v>
      </x:c>
      <x:c r="G150" s="20" t="str">
        <x:v>PDF</x:v>
      </x:c>
      <x:c r="H150" s="20" t="str">
        <x:v>1 image</x:v>
      </x:c>
      <x:c r="I150" s="35" t="str">
        <x:v>phone camera; amount box, written amount, memo, and endorsement visible</x:v>
      </x:c>
      <x:c r="J150" s="20" t="str">
        <x:v>P028</x:v>
      </x:c>
      <x:c r="K150" s="20" t="str">
        <x:v>U036</x:v>
      </x:c>
      <x:c r="L150" s="20" t="str">
        <x:v>L036</x:v>
      </x:c>
      <x:c r="M150" s="20" t="str">
        <x:v>FIN-00242</x:v>
      </x:c>
      <x:c r="N150" s="35" t="str">
        <x:v>payer; amount; date; check/money-order number; memo; property; unit; lease match</x:v>
      </x:c>
      <x:c r="O150" s="35" t="str"/>
      <x:c r="P150" s="35" t="str">
        <x:v>Use a different receipt on the other client to exercise the manual payment form.</x:v>
      </x:c>
      <x:c r="Q150" s="35" t="str">
        <x:v>Synthetic QA only; no real people, accounts, signatures, or properties</x:v>
      </x:c>
    </x:row>
    <x:row r="151">
      <x:c r="A151" s="20" t="str">
        <x:v>SCN-0148</x:v>
      </x:c>
      <x:c r="B151" s="23" t="n">
        <x:v>46449</x:v>
      </x:c>
      <x:c r="C151" s="20" t="str">
        <x:v>scn-0148-rent-payment-l044-20270303.pdf</x:v>
      </x:c>
      <x:c r="D151" s="20" t="str">
        <x:v>Rent check</x:v>
      </x:c>
      <x:c r="E151" s="20" t="str">
        <x:v>Payment</x:v>
      </x:c>
      <x:c r="F151" s="35" t="str">
        <x:v>Direct scan draft matched to tenant account and charge</x:v>
      </x:c>
      <x:c r="G151" s="20" t="str">
        <x:v>PDF</x:v>
      </x:c>
      <x:c r="H151" s="20" t="str">
        <x:v>1 image</x:v>
      </x:c>
      <x:c r="I151" s="35" t="str">
        <x:v>phone camera; amount box, written amount, memo, and endorsement visible</x:v>
      </x:c>
      <x:c r="J151" s="20" t="str">
        <x:v>P029</x:v>
      </x:c>
      <x:c r="K151" s="20" t="str">
        <x:v>U038</x:v>
      </x:c>
      <x:c r="L151" s="20" t="str">
        <x:v>L044</x:v>
      </x:c>
      <x:c r="M151" s="20" t="str">
        <x:v>FIN-00246</x:v>
      </x:c>
      <x:c r="N151" s="35" t="str">
        <x:v>payer; amount; date; check/money-order number; memo; property; unit; lease match</x:v>
      </x:c>
      <x:c r="O151" s="35" t="str"/>
      <x:c r="P151" s="35" t="str">
        <x:v>Use a different receipt on the other client to exercise the manual payment form.</x:v>
      </x:c>
      <x:c r="Q151" s="35" t="str">
        <x:v>Synthetic QA only; no real people, accounts, signatures, or properties</x:v>
      </x:c>
    </x:row>
    <x:row r="152">
      <x:c r="A152" s="20" t="str">
        <x:v>SCN-0149</x:v>
      </x:c>
      <x:c r="B152" s="23" t="n">
        <x:v>46481</x:v>
      </x:c>
      <x:c r="C152" s="20" t="str">
        <x:v>scn-0149-rent-payment-l001-20270404.jpg</x:v>
      </x:c>
      <x:c r="D152" s="20" t="str">
        <x:v>Money order</x:v>
      </x:c>
      <x:c r="E152" s="20" t="str">
        <x:v>Payment</x:v>
      </x:c>
      <x:c r="F152" s="35" t="str">
        <x:v>Direct scan draft matched to tenant account and charge</x:v>
      </x:c>
      <x:c r="G152" s="20" t="str">
        <x:v>Camera JPEG</x:v>
      </x:c>
      <x:c r="H152" s="20" t="str">
        <x:v>1 image</x:v>
      </x:c>
      <x:c r="I152" s="35" t="str">
        <x:v>phone camera; amount box, written amount, memo, and endorsement visible</x:v>
      </x:c>
      <x:c r="J152" s="20" t="str">
        <x:v>P001</x:v>
      </x:c>
      <x:c r="K152" s="20" t="str">
        <x:v>U001</x:v>
      </x:c>
      <x:c r="L152" s="20" t="str">
        <x:v>L001</x:v>
      </x:c>
      <x:c r="M152" s="20" t="str">
        <x:v>FIN-00250</x:v>
      </x:c>
      <x:c r="N152" s="35" t="str">
        <x:v>payer; amount; date; check/money-order number; memo; property; unit; lease match</x:v>
      </x:c>
      <x:c r="O152" s="35" t="str"/>
      <x:c r="P152" s="35" t="str">
        <x:v>Use a different receipt on the other client to exercise the manual payment form.</x:v>
      </x:c>
      <x:c r="Q152" s="35" t="str">
        <x:v>Synthetic QA only; no real people, accounts, signatures, or properties</x:v>
      </x:c>
    </x:row>
    <x:row r="153">
      <x:c r="A153" s="20" t="str">
        <x:v>SCN-0150</x:v>
      </x:c>
      <x:c r="B153" s="23" t="n">
        <x:v>46481</x:v>
      </x:c>
      <x:c r="C153" s="20" t="str">
        <x:v>scn-0150-rent-payment-l004-20270404.pdf</x:v>
      </x:c>
      <x:c r="D153" s="20" t="str">
        <x:v>Rent check</x:v>
      </x:c>
      <x:c r="E153" s="20" t="str">
        <x:v>Payment</x:v>
      </x:c>
      <x:c r="F153" s="35" t="str">
        <x:v>Direct scan draft matched to tenant account and charge</x:v>
      </x:c>
      <x:c r="G153" s="20" t="str">
        <x:v>PDF</x:v>
      </x:c>
      <x:c r="H153" s="20" t="str">
        <x:v>1 image</x:v>
      </x:c>
      <x:c r="I153" s="35" t="str">
        <x:v>phone camera; amount box, written amount, memo, and endorsement visible</x:v>
      </x:c>
      <x:c r="J153" s="20" t="str">
        <x:v>P004</x:v>
      </x:c>
      <x:c r="K153" s="20" t="str">
        <x:v>U004</x:v>
      </x:c>
      <x:c r="L153" s="20" t="str">
        <x:v>L004</x:v>
      </x:c>
      <x:c r="M153" s="20" t="str">
        <x:v>FIN-00256</x:v>
      </x:c>
      <x:c r="N153" s="35" t="str">
        <x:v>payer; amount; date; check/money-order number; memo; property; unit; lease match</x:v>
      </x:c>
      <x:c r="O153" s="35" t="str"/>
      <x:c r="P153" s="35" t="str">
        <x:v>Use a different receipt on the other client to exercise the manual payment form.</x:v>
      </x:c>
      <x:c r="Q153" s="35" t="str">
        <x:v>Synthetic QA only; no real people, accounts, signatures, or properties</x:v>
      </x:c>
    </x:row>
    <x:row r="154">
      <x:c r="A154" s="20" t="str">
        <x:v>SCN-0151</x:v>
      </x:c>
      <x:c r="B154" s="23" t="n">
        <x:v>46482</x:v>
      </x:c>
      <x:c r="C154" s="20" t="str">
        <x:v>scn-0151-rent-payment-l008-20270405.pdf</x:v>
      </x:c>
      <x:c r="D154" s="20" t="str">
        <x:v>Rent check</x:v>
      </x:c>
      <x:c r="E154" s="20" t="str">
        <x:v>Payment</x:v>
      </x:c>
      <x:c r="F154" s="35" t="str">
        <x:v>Direct scan draft matched to tenant account and charge</x:v>
      </x:c>
      <x:c r="G154" s="20" t="str">
        <x:v>PDF</x:v>
      </x:c>
      <x:c r="H154" s="20" t="str">
        <x:v>1 image</x:v>
      </x:c>
      <x:c r="I154" s="35" t="str">
        <x:v>phone camera; amount box, written amount, memo, and endorsement visible</x:v>
      </x:c>
      <x:c r="J154" s="20" t="str">
        <x:v>P008</x:v>
      </x:c>
      <x:c r="K154" s="20" t="str">
        <x:v>U008</x:v>
      </x:c>
      <x:c r="L154" s="20" t="str">
        <x:v>L008</x:v>
      </x:c>
      <x:c r="M154" s="20" t="str">
        <x:v>FIN-00262</x:v>
      </x:c>
      <x:c r="N154" s="35" t="str">
        <x:v>payer; amount; date; check/money-order number; memo; property; unit; lease match</x:v>
      </x:c>
      <x:c r="O154" s="35" t="str"/>
      <x:c r="P154" s="35" t="str">
        <x:v>Use a different receipt on the other client to exercise the manual payment form.</x:v>
      </x:c>
      <x:c r="Q154" s="35" t="str">
        <x:v>Synthetic QA only; no real people, accounts, signatures, or properties</x:v>
      </x:c>
    </x:row>
    <x:row r="155">
      <x:c r="A155" s="20" t="str">
        <x:v>SCN-0152</x:v>
      </x:c>
      <x:c r="B155" s="23" t="n">
        <x:v>46480</x:v>
      </x:c>
      <x:c r="C155" s="20" t="str">
        <x:v>scn-0152-rent-payment-l009-20270403.jpg</x:v>
      </x:c>
      <x:c r="D155" s="20" t="str">
        <x:v>Money order</x:v>
      </x:c>
      <x:c r="E155" s="20" t="str">
        <x:v>Payment</x:v>
      </x:c>
      <x:c r="F155" s="35" t="str">
        <x:v>Direct scan draft matched to tenant account and charge</x:v>
      </x:c>
      <x:c r="G155" s="20" t="str">
        <x:v>Camera JPEG</x:v>
      </x:c>
      <x:c r="H155" s="20" t="str">
        <x:v>1 image</x:v>
      </x:c>
      <x:c r="I155" s="35" t="str">
        <x:v>phone camera; amount box, written amount, memo, and endorsement visible</x:v>
      </x:c>
      <x:c r="J155" s="20" t="str">
        <x:v>P009</x:v>
      </x:c>
      <x:c r="K155" s="20" t="str">
        <x:v>U009</x:v>
      </x:c>
      <x:c r="L155" s="20" t="str">
        <x:v>L009</x:v>
      </x:c>
      <x:c r="M155" s="20" t="str">
        <x:v>FIN-00264</x:v>
      </x:c>
      <x:c r="N155" s="35" t="str">
        <x:v>payer; amount; date; check/money-order number; memo; property; unit; lease match</x:v>
      </x:c>
      <x:c r="O155" s="35" t="str"/>
      <x:c r="P155" s="35" t="str">
        <x:v>Use a different receipt on the other client to exercise the manual payment form.</x:v>
      </x:c>
      <x:c r="Q155" s="35" t="str">
        <x:v>Synthetic QA only; no real people, accounts, signatures, or properties</x:v>
      </x:c>
    </x:row>
    <x:row r="156">
      <x:c r="A156" s="20" t="str">
        <x:v>SCN-0153</x:v>
      </x:c>
      <x:c r="B156" s="23" t="n">
        <x:v>46489</x:v>
      </x:c>
      <x:c r="C156" s="20" t="str">
        <x:v>scn-0153-rent-payment-l011-20270412.jpg</x:v>
      </x:c>
      <x:c r="D156" s="20" t="str">
        <x:v>Money order</x:v>
      </x:c>
      <x:c r="E156" s="20" t="str">
        <x:v>Payment</x:v>
      </x:c>
      <x:c r="F156" s="35" t="str">
        <x:v>Direct scan draft matched to tenant account and charge</x:v>
      </x:c>
      <x:c r="G156" s="20" t="str">
        <x:v>Camera JPEG</x:v>
      </x:c>
      <x:c r="H156" s="20" t="str">
        <x:v>1 image</x:v>
      </x:c>
      <x:c r="I156" s="35" t="str">
        <x:v>phone camera; amount box, written amount, memo, and endorsement visible</x:v>
      </x:c>
      <x:c r="J156" s="20" t="str">
        <x:v>P011</x:v>
      </x:c>
      <x:c r="K156" s="20" t="str">
        <x:v>U011</x:v>
      </x:c>
      <x:c r="L156" s="20" t="str">
        <x:v>L011</x:v>
      </x:c>
      <x:c r="M156" s="20" t="str">
        <x:v>FIN-00270</x:v>
      </x:c>
      <x:c r="N156" s="35" t="str">
        <x:v>payer; amount; date; check/money-order number; memo; property; unit; lease match</x:v>
      </x:c>
      <x:c r="O156" s="35" t="str"/>
      <x:c r="P156" s="35" t="str">
        <x:v>Use a different receipt on the other client to exercise the manual payment form.</x:v>
      </x:c>
      <x:c r="Q156" s="35" t="str">
        <x:v>Synthetic QA only; no real people, accounts, signatures, or properties</x:v>
      </x:c>
    </x:row>
    <x:row r="157">
      <x:c r="A157" s="20" t="str">
        <x:v>SCN-0154</x:v>
      </x:c>
      <x:c r="B157" s="23" t="n">
        <x:v>46480</x:v>
      </x:c>
      <x:c r="C157" s="20" t="str">
        <x:v>scn-0154-rent-payment-l012-20270403.pdf</x:v>
      </x:c>
      <x:c r="D157" s="20" t="str">
        <x:v>Rent check</x:v>
      </x:c>
      <x:c r="E157" s="20" t="str">
        <x:v>Payment</x:v>
      </x:c>
      <x:c r="F157" s="35" t="str">
        <x:v>Direct scan draft matched to tenant account and charge</x:v>
      </x:c>
      <x:c r="G157" s="20" t="str">
        <x:v>PDF</x:v>
      </x:c>
      <x:c r="H157" s="20" t="str">
        <x:v>1 image</x:v>
      </x:c>
      <x:c r="I157" s="35" t="str">
        <x:v>phone camera; amount box, written amount, memo, and endorsement visible</x:v>
      </x:c>
      <x:c r="J157" s="20" t="str">
        <x:v>P012</x:v>
      </x:c>
      <x:c r="K157" s="20" t="str">
        <x:v>U012</x:v>
      </x:c>
      <x:c r="L157" s="20" t="str">
        <x:v>L012</x:v>
      </x:c>
      <x:c r="M157" s="20" t="str">
        <x:v>FIN-00272</x:v>
      </x:c>
      <x:c r="N157" s="35" t="str">
        <x:v>payer; amount; date; check/money-order number; memo; property; unit; lease match</x:v>
      </x:c>
      <x:c r="O157" s="35" t="str"/>
      <x:c r="P157" s="35" t="str">
        <x:v>Use a different receipt on the other client to exercise the manual payment form.</x:v>
      </x:c>
      <x:c r="Q157" s="35" t="str">
        <x:v>Synthetic QA only; no real people, accounts, signatures, or properties</x:v>
      </x:c>
    </x:row>
    <x:row r="158">
      <x:c r="A158" s="20" t="str">
        <x:v>SCN-0155</x:v>
      </x:c>
      <x:c r="B158" s="23" t="n">
        <x:v>46485</x:v>
      </x:c>
      <x:c r="C158" s="20" t="str">
        <x:v>scn-0155-rent-payment-l013-20270408.pdf</x:v>
      </x:c>
      <x:c r="D158" s="20" t="str">
        <x:v>Rent check</x:v>
      </x:c>
      <x:c r="E158" s="20" t="str">
        <x:v>Payment</x:v>
      </x:c>
      <x:c r="F158" s="35" t="str">
        <x:v>Direct scan draft matched to tenant account and charge</x:v>
      </x:c>
      <x:c r="G158" s="20" t="str">
        <x:v>PDF</x:v>
      </x:c>
      <x:c r="H158" s="20" t="str">
        <x:v>1 image</x:v>
      </x:c>
      <x:c r="I158" s="35" t="str">
        <x:v>phone camera; amount box, written amount, memo, and endorsement visible</x:v>
      </x:c>
      <x:c r="J158" s="20" t="str">
        <x:v>P013</x:v>
      </x:c>
      <x:c r="K158" s="20" t="str">
        <x:v>U013</x:v>
      </x:c>
      <x:c r="L158" s="20" t="str">
        <x:v>L013</x:v>
      </x:c>
      <x:c r="M158" s="20" t="str">
        <x:v>FIN-00275</x:v>
      </x:c>
      <x:c r="N158" s="35" t="str">
        <x:v>payer; amount; date; check/money-order number; memo; property; unit; lease match</x:v>
      </x:c>
      <x:c r="O158" s="35" t="str"/>
      <x:c r="P158" s="35" t="str">
        <x:v>Use a different receipt on the other client to exercise the manual payment form.</x:v>
      </x:c>
      <x:c r="Q158" s="35" t="str">
        <x:v>Synthetic QA only; no real people, accounts, signatures, or properties</x:v>
      </x:c>
    </x:row>
    <x:row r="159">
      <x:c r="A159" s="20" t="str">
        <x:v>SCN-0156</x:v>
      </x:c>
      <x:c r="B159" s="23" t="n">
        <x:v>46481</x:v>
      </x:c>
      <x:c r="C159" s="20" t="str">
        <x:v>scn-0156-rent-payment-l016-20270404.pdf</x:v>
      </x:c>
      <x:c r="D159" s="20" t="str">
        <x:v>Rent check</x:v>
      </x:c>
      <x:c r="E159" s="20" t="str">
        <x:v>Payment</x:v>
      </x:c>
      <x:c r="F159" s="35" t="str">
        <x:v>Direct scan draft matched to tenant account and charge</x:v>
      </x:c>
      <x:c r="G159" s="20" t="str">
        <x:v>PDF</x:v>
      </x:c>
      <x:c r="H159" s="20" t="str">
        <x:v>1 image</x:v>
      </x:c>
      <x:c r="I159" s="35" t="str">
        <x:v>phone camera; amount box, written amount, memo, and endorsement visible</x:v>
      </x:c>
      <x:c r="J159" s="20" t="str">
        <x:v>P016</x:v>
      </x:c>
      <x:c r="K159" s="20" t="str">
        <x:v>U016</x:v>
      </x:c>
      <x:c r="L159" s="20" t="str">
        <x:v>L016</x:v>
      </x:c>
      <x:c r="M159" s="20" t="str">
        <x:v>FIN-00281</x:v>
      </x:c>
      <x:c r="N159" s="35" t="str">
        <x:v>payer; amount; date; check/money-order number; memo; property; unit; lease match</x:v>
      </x:c>
      <x:c r="O159" s="35" t="str"/>
      <x:c r="P159" s="35" t="str">
        <x:v>Use a different receipt on the other client to exercise the manual payment form.</x:v>
      </x:c>
      <x:c r="Q159" s="35" t="str">
        <x:v>Synthetic QA only; no real people, accounts, signatures, or properties</x:v>
      </x:c>
    </x:row>
    <x:row r="160">
      <x:c r="A160" s="20" t="str">
        <x:v>SCN-0157</x:v>
      </x:c>
      <x:c r="B160" s="23" t="n">
        <x:v>46482</x:v>
      </x:c>
      <x:c r="C160" s="20" t="str">
        <x:v>scn-0157-rent-payment-l017-20270405.jpg</x:v>
      </x:c>
      <x:c r="D160" s="20" t="str">
        <x:v>Money order</x:v>
      </x:c>
      <x:c r="E160" s="20" t="str">
        <x:v>Payment</x:v>
      </x:c>
      <x:c r="F160" s="35" t="str">
        <x:v>Direct scan draft matched to tenant account and charge</x:v>
      </x:c>
      <x:c r="G160" s="20" t="str">
        <x:v>Camera JPEG</x:v>
      </x:c>
      <x:c r="H160" s="20" t="str">
        <x:v>1 image</x:v>
      </x:c>
      <x:c r="I160" s="35" t="str">
        <x:v>phone camera; amount box, written amount, memo, and endorsement visible</x:v>
      </x:c>
      <x:c r="J160" s="20" t="str">
        <x:v>P017</x:v>
      </x:c>
      <x:c r="K160" s="20" t="str">
        <x:v>U017</x:v>
      </x:c>
      <x:c r="L160" s="20" t="str">
        <x:v>L017</x:v>
      </x:c>
      <x:c r="M160" s="20" t="str">
        <x:v>FIN-00283</x:v>
      </x:c>
      <x:c r="N160" s="35" t="str">
        <x:v>payer; amount; date; check/money-order number; memo; property; unit; lease match</x:v>
      </x:c>
      <x:c r="O160" s="35" t="str"/>
      <x:c r="P160" s="35" t="str">
        <x:v>Use a different receipt on the other client to exercise the manual payment form.</x:v>
      </x:c>
      <x:c r="Q160" s="35" t="str">
        <x:v>Synthetic QA only; no real people, accounts, signatures, or properties</x:v>
      </x:c>
    </x:row>
    <x:row r="161">
      <x:c r="A161" s="20" t="str">
        <x:v>SCN-0158</x:v>
      </x:c>
      <x:c r="B161" s="23" t="n">
        <x:v>46482</x:v>
      </x:c>
      <x:c r="C161" s="20" t="str">
        <x:v>scn-0158-rent-payment-l020-20270405.pdf</x:v>
      </x:c>
      <x:c r="D161" s="20" t="str">
        <x:v>Rent check</x:v>
      </x:c>
      <x:c r="E161" s="20" t="str">
        <x:v>Payment</x:v>
      </x:c>
      <x:c r="F161" s="35" t="str">
        <x:v>Direct scan draft matched to tenant account and charge</x:v>
      </x:c>
      <x:c r="G161" s="20" t="str">
        <x:v>PDF</x:v>
      </x:c>
      <x:c r="H161" s="20" t="str">
        <x:v>1 image</x:v>
      </x:c>
      <x:c r="I161" s="35" t="str">
        <x:v>phone camera; amount box, written amount, memo, and endorsement visible</x:v>
      </x:c>
      <x:c r="J161" s="20" t="str">
        <x:v>P020</x:v>
      </x:c>
      <x:c r="K161" s="20" t="str">
        <x:v>U020</x:v>
      </x:c>
      <x:c r="L161" s="20" t="str">
        <x:v>L020</x:v>
      </x:c>
      <x:c r="M161" s="20" t="str">
        <x:v>FIN-00289</x:v>
      </x:c>
      <x:c r="N161" s="35" t="str">
        <x:v>payer; amount; date; check/money-order number; memo; property; unit; lease match</x:v>
      </x:c>
      <x:c r="O161" s="35" t="str">
        <x:v>handwritten memo and similar tenant names</x:v>
      </x:c>
      <x:c r="P161" s="35" t="str">
        <x:v>Use a different receipt on the other client to exercise the manual payment form.</x:v>
      </x:c>
      <x:c r="Q161" s="35" t="str">
        <x:v>Synthetic QA only; no real people, accounts, signatures, or properties</x:v>
      </x:c>
    </x:row>
    <x:row r="162">
      <x:c r="A162" s="20" t="str">
        <x:v>SCN-0159</x:v>
      </x:c>
      <x:c r="B162" s="23" t="n">
        <x:v>46480</x:v>
      </x:c>
      <x:c r="C162" s="20" t="str">
        <x:v>scn-0159-rent-payment-l021-20270403.jpg</x:v>
      </x:c>
      <x:c r="D162" s="20" t="str">
        <x:v>Money order</x:v>
      </x:c>
      <x:c r="E162" s="20" t="str">
        <x:v>Payment</x:v>
      </x:c>
      <x:c r="F162" s="35" t="str">
        <x:v>Direct scan draft matched to tenant account and charge</x:v>
      </x:c>
      <x:c r="G162" s="20" t="str">
        <x:v>Camera JPEG</x:v>
      </x:c>
      <x:c r="H162" s="20" t="str">
        <x:v>1 image</x:v>
      </x:c>
      <x:c r="I162" s="35" t="str">
        <x:v>phone camera; amount box, written amount, memo, and endorsement visible</x:v>
      </x:c>
      <x:c r="J162" s="20" t="str">
        <x:v>P021</x:v>
      </x:c>
      <x:c r="K162" s="20" t="str">
        <x:v>U021</x:v>
      </x:c>
      <x:c r="L162" s="20" t="str">
        <x:v>L021</x:v>
      </x:c>
      <x:c r="M162" s="20" t="str">
        <x:v>FIN-00291</x:v>
      </x:c>
      <x:c r="N162" s="35" t="str">
        <x:v>payer; amount; date; check/money-order number; memo; property; unit; lease match</x:v>
      </x:c>
      <x:c r="O162" s="35" t="str"/>
      <x:c r="P162" s="35" t="str">
        <x:v>Use a different receipt on the other client to exercise the manual payment form.</x:v>
      </x:c>
      <x:c r="Q162" s="35" t="str">
        <x:v>Synthetic QA only; no real people, accounts, signatures, or properties</x:v>
      </x:c>
    </x:row>
    <x:row r="163">
      <x:c r="A163" s="20" t="str">
        <x:v>SCN-0160</x:v>
      </x:c>
      <x:c r="B163" s="23" t="n">
        <x:v>46489</x:v>
      </x:c>
      <x:c r="C163" s="20" t="str">
        <x:v>scn-0160-rent-payment-l022-20270412.pdf</x:v>
      </x:c>
      <x:c r="D163" s="20" t="str">
        <x:v>Rent check</x:v>
      </x:c>
      <x:c r="E163" s="20" t="str">
        <x:v>Payment</x:v>
      </x:c>
      <x:c r="F163" s="35" t="str">
        <x:v>Direct scan draft matched to tenant account and charge</x:v>
      </x:c>
      <x:c r="G163" s="20" t="str">
        <x:v>PDF</x:v>
      </x:c>
      <x:c r="H163" s="20" t="str">
        <x:v>1 image</x:v>
      </x:c>
      <x:c r="I163" s="35" t="str">
        <x:v>phone camera; amount box, written amount, memo, and endorsement visible</x:v>
      </x:c>
      <x:c r="J163" s="20" t="str">
        <x:v>P021</x:v>
      </x:c>
      <x:c r="K163" s="20" t="str">
        <x:v>U022</x:v>
      </x:c>
      <x:c r="L163" s="20" t="str">
        <x:v>L022</x:v>
      </x:c>
      <x:c r="M163" s="20" t="str">
        <x:v>FIN-00295</x:v>
      </x:c>
      <x:c r="N163" s="35" t="str">
        <x:v>payer; amount; date; check/money-order number; memo; property; unit; lease match</x:v>
      </x:c>
      <x:c r="O163" s="35" t="str"/>
      <x:c r="P163" s="35" t="str">
        <x:v>Use a different receipt on the other client to exercise the manual payment form.</x:v>
      </x:c>
      <x:c r="Q163" s="35" t="str">
        <x:v>Synthetic QA only; no real people, accounts, signatures, or properties</x:v>
      </x:c>
    </x:row>
    <x:row r="164">
      <x:c r="A164" s="20" t="str">
        <x:v>SCN-0161</x:v>
      </x:c>
      <x:c r="B164" s="23" t="n">
        <x:v>46480</x:v>
      </x:c>
      <x:c r="C164" s="20" t="str">
        <x:v>scn-0161-rent-payment-l024-20270403.pdf</x:v>
      </x:c>
      <x:c r="D164" s="20" t="str">
        <x:v>Rent check</x:v>
      </x:c>
      <x:c r="E164" s="20" t="str">
        <x:v>Payment</x:v>
      </x:c>
      <x:c r="F164" s="35" t="str">
        <x:v>Direct scan draft matched to tenant account and charge</x:v>
      </x:c>
      <x:c r="G164" s="20" t="str">
        <x:v>PDF</x:v>
      </x:c>
      <x:c r="H164" s="20" t="str">
        <x:v>1 image</x:v>
      </x:c>
      <x:c r="I164" s="35" t="str">
        <x:v>phone camera; amount box, written amount, memo, and endorsement visible</x:v>
      </x:c>
      <x:c r="J164" s="20" t="str">
        <x:v>P022</x:v>
      </x:c>
      <x:c r="K164" s="20" t="str">
        <x:v>U024</x:v>
      </x:c>
      <x:c r="L164" s="20" t="str">
        <x:v>L024</x:v>
      </x:c>
      <x:c r="M164" s="20" t="str">
        <x:v>FIN-00299</x:v>
      </x:c>
      <x:c r="N164" s="35" t="str">
        <x:v>payer; amount; date; check/money-order number; memo; property; unit; lease match</x:v>
      </x:c>
      <x:c r="O164" s="35" t="str"/>
      <x:c r="P164" s="35" t="str">
        <x:v>Use a different receipt on the other client to exercise the manual payment form.</x:v>
      </x:c>
      <x:c r="Q164" s="35" t="str">
        <x:v>Synthetic QA only; no real people, accounts, signatures, or properties</x:v>
      </x:c>
    </x:row>
    <x:row r="165">
      <x:c r="A165" s="20" t="str">
        <x:v>SCN-0162</x:v>
      </x:c>
      <x:c r="B165" s="23" t="n">
        <x:v>46481</x:v>
      </x:c>
      <x:c r="C165" s="20" t="str">
        <x:v>scn-0162-rent-payment-l025-20270404.jpg</x:v>
      </x:c>
      <x:c r="D165" s="20" t="str">
        <x:v>Money order</x:v>
      </x:c>
      <x:c r="E165" s="20" t="str">
        <x:v>Payment</x:v>
      </x:c>
      <x:c r="F165" s="35" t="str">
        <x:v>Direct scan draft matched to tenant account and charge</x:v>
      </x:c>
      <x:c r="G165" s="20" t="str">
        <x:v>Camera JPEG</x:v>
      </x:c>
      <x:c r="H165" s="20" t="str">
        <x:v>1 image</x:v>
      </x:c>
      <x:c r="I165" s="35" t="str">
        <x:v>phone camera; amount box, written amount, memo, and endorsement visible</x:v>
      </x:c>
      <x:c r="J165" s="20" t="str">
        <x:v>P023</x:v>
      </x:c>
      <x:c r="K165" s="20" t="str">
        <x:v>U025</x:v>
      </x:c>
      <x:c r="L165" s="20" t="str">
        <x:v>L025</x:v>
      </x:c>
      <x:c r="M165" s="20" t="str">
        <x:v>FIN-00301</x:v>
      </x:c>
      <x:c r="N165" s="35" t="str">
        <x:v>payer; amount; date; check/money-order number; memo; property; unit; lease match</x:v>
      </x:c>
      <x:c r="O165" s="35" t="str">
        <x:v>handwritten memo and similar tenant names</x:v>
      </x:c>
      <x:c r="P165" s="35" t="str">
        <x:v>Use a different receipt on the other client to exercise the manual payment form.</x:v>
      </x:c>
      <x:c r="Q165" s="35" t="str">
        <x:v>Synthetic QA only; no real people, accounts, signatures, or properties</x:v>
      </x:c>
    </x:row>
    <x:row r="166">
      <x:c r="A166" s="20" t="str">
        <x:v>SCN-0163</x:v>
      </x:c>
      <x:c r="B166" s="23" t="n">
        <x:v>46485</x:v>
      </x:c>
      <x:c r="C166" s="20" t="str">
        <x:v>scn-0163-rent-payment-l026-20270408.jpg</x:v>
      </x:c>
      <x:c r="D166" s="20" t="str">
        <x:v>Money order</x:v>
      </x:c>
      <x:c r="E166" s="20" t="str">
        <x:v>Payment</x:v>
      </x:c>
      <x:c r="F166" s="35" t="str">
        <x:v>Direct scan draft matched to tenant account and charge</x:v>
      </x:c>
      <x:c r="G166" s="20" t="str">
        <x:v>Camera JPEG</x:v>
      </x:c>
      <x:c r="H166" s="20" t="str">
        <x:v>1 image</x:v>
      </x:c>
      <x:c r="I166" s="35" t="str">
        <x:v>phone camera; amount box, written amount, memo, and endorsement visible</x:v>
      </x:c>
      <x:c r="J166" s="20" t="str">
        <x:v>P023</x:v>
      </x:c>
      <x:c r="K166" s="20" t="str">
        <x:v>U026</x:v>
      </x:c>
      <x:c r="L166" s="20" t="str">
        <x:v>L026</x:v>
      </x:c>
      <x:c r="M166" s="20" t="str">
        <x:v>FIN-00304</x:v>
      </x:c>
      <x:c r="N166" s="35" t="str">
        <x:v>payer; amount; date; check/money-order number; memo; property; unit; lease match</x:v>
      </x:c>
      <x:c r="O166" s="35" t="str"/>
      <x:c r="P166" s="35" t="str">
        <x:v>Use a different receipt on the other client to exercise the manual payment form.</x:v>
      </x:c>
      <x:c r="Q166" s="35" t="str">
        <x:v>Synthetic QA only; no real people, accounts, signatures, or properties</x:v>
      </x:c>
    </x:row>
    <x:row r="167">
      <x:c r="A167" s="20" t="str">
        <x:v>SCN-0164</x:v>
      </x:c>
      <x:c r="B167" s="23" t="n">
        <x:v>46481</x:v>
      </x:c>
      <x:c r="C167" s="20" t="str">
        <x:v>scn-0164-rent-payment-l028-20270404.pdf</x:v>
      </x:c>
      <x:c r="D167" s="20" t="str">
        <x:v>Rent check</x:v>
      </x:c>
      <x:c r="E167" s="20" t="str">
        <x:v>Payment</x:v>
      </x:c>
      <x:c r="F167" s="35" t="str">
        <x:v>Direct scan draft matched to tenant account and charge</x:v>
      </x:c>
      <x:c r="G167" s="20" t="str">
        <x:v>PDF</x:v>
      </x:c>
      <x:c r="H167" s="20" t="str">
        <x:v>1 image</x:v>
      </x:c>
      <x:c r="I167" s="35" t="str">
        <x:v>phone camera; amount box, written amount, memo, and endorsement visible</x:v>
      </x:c>
      <x:c r="J167" s="20" t="str">
        <x:v>P024</x:v>
      </x:c>
      <x:c r="K167" s="20" t="str">
        <x:v>U028</x:v>
      </x:c>
      <x:c r="L167" s="20" t="str">
        <x:v>L028</x:v>
      </x:c>
      <x:c r="M167" s="20" t="str">
        <x:v>FIN-00308</x:v>
      </x:c>
      <x:c r="N167" s="35" t="str">
        <x:v>payer; amount; date; check/money-order number; memo; property; unit; lease match</x:v>
      </x:c>
      <x:c r="O167" s="35" t="str"/>
      <x:c r="P167" s="35" t="str">
        <x:v>Use a different receipt on the other client to exercise the manual payment form.</x:v>
      </x:c>
      <x:c r="Q167" s="35" t="str">
        <x:v>Synthetic QA only; no real people, accounts, signatures, or properties</x:v>
      </x:c>
    </x:row>
    <x:row r="168">
      <x:c r="A168" s="20" t="str">
        <x:v>SCN-0165</x:v>
      </x:c>
      <x:c r="B168" s="23" t="n">
        <x:v>46482</x:v>
      </x:c>
      <x:c r="C168" s="20" t="str">
        <x:v>scn-0165-rent-payment-l029-20270405.jpg</x:v>
      </x:c>
      <x:c r="D168" s="20" t="str">
        <x:v>Money order</x:v>
      </x:c>
      <x:c r="E168" s="20" t="str">
        <x:v>Payment</x:v>
      </x:c>
      <x:c r="F168" s="35" t="str">
        <x:v>Direct scan draft matched to tenant account and charge</x:v>
      </x:c>
      <x:c r="G168" s="20" t="str">
        <x:v>Camera JPEG</x:v>
      </x:c>
      <x:c r="H168" s="20" t="str">
        <x:v>1 image</x:v>
      </x:c>
      <x:c r="I168" s="35" t="str">
        <x:v>phone camera; amount box, written amount, memo, and endorsement visible</x:v>
      </x:c>
      <x:c r="J168" s="20" t="str">
        <x:v>P025</x:v>
      </x:c>
      <x:c r="K168" s="20" t="str">
        <x:v>U029</x:v>
      </x:c>
      <x:c r="L168" s="20" t="str">
        <x:v>L029</x:v>
      </x:c>
      <x:c r="M168" s="20" t="str">
        <x:v>FIN-00310</x:v>
      </x:c>
      <x:c r="N168" s="35" t="str">
        <x:v>payer; amount; date; check/money-order number; memo; property; unit; lease match</x:v>
      </x:c>
      <x:c r="O168" s="35" t="str"/>
      <x:c r="P168" s="35" t="str">
        <x:v>Use a different receipt on the other client to exercise the manual payment form.</x:v>
      </x:c>
      <x:c r="Q168" s="35" t="str">
        <x:v>Synthetic QA only; no real people, accounts, signatures, or properties</x:v>
      </x:c>
    </x:row>
    <x:row r="169">
      <x:c r="A169" s="20" t="str">
        <x:v>SCN-0166</x:v>
      </x:c>
      <x:c r="B169" s="23" t="n">
        <x:v>46482</x:v>
      </x:c>
      <x:c r="C169" s="20" t="str">
        <x:v>scn-0166-rent-payment-l032-20270405.pdf</x:v>
      </x:c>
      <x:c r="D169" s="20" t="str">
        <x:v>Rent check</x:v>
      </x:c>
      <x:c r="E169" s="20" t="str">
        <x:v>Payment</x:v>
      </x:c>
      <x:c r="F169" s="35" t="str">
        <x:v>Direct scan draft matched to tenant account and charge</x:v>
      </x:c>
      <x:c r="G169" s="20" t="str">
        <x:v>PDF</x:v>
      </x:c>
      <x:c r="H169" s="20" t="str">
        <x:v>1 image</x:v>
      </x:c>
      <x:c r="I169" s="35" t="str">
        <x:v>phone camera; amount box, written amount, memo, and endorsement visible</x:v>
      </x:c>
      <x:c r="J169" s="20" t="str">
        <x:v>P026</x:v>
      </x:c>
      <x:c r="K169" s="20" t="str">
        <x:v>U032</x:v>
      </x:c>
      <x:c r="L169" s="20" t="str">
        <x:v>L032</x:v>
      </x:c>
      <x:c r="M169" s="20" t="str">
        <x:v>FIN-00316</x:v>
      </x:c>
      <x:c r="N169" s="35" t="str">
        <x:v>payer; amount; date; check/money-order number; memo; property; unit; lease match</x:v>
      </x:c>
      <x:c r="O169" s="35" t="str"/>
      <x:c r="P169" s="35" t="str">
        <x:v>Use a different receipt on the other client to exercise the manual payment form.</x:v>
      </x:c>
      <x:c r="Q169" s="35" t="str">
        <x:v>Synthetic QA only; no real people, accounts, signatures, or properties</x:v>
      </x:c>
    </x:row>
    <x:row r="170">
      <x:c r="A170" s="20" t="str">
        <x:v>SCN-0167</x:v>
      </x:c>
      <x:c r="B170" s="23" t="n">
        <x:v>46480</x:v>
      </x:c>
      <x:c r="C170" s="20" t="str">
        <x:v>scn-0167-rent-payment-l033-20270403.jpg</x:v>
      </x:c>
      <x:c r="D170" s="20" t="str">
        <x:v>Money order</x:v>
      </x:c>
      <x:c r="E170" s="20" t="str">
        <x:v>Payment</x:v>
      </x:c>
      <x:c r="F170" s="35" t="str">
        <x:v>Direct scan draft matched to tenant account and charge</x:v>
      </x:c>
      <x:c r="G170" s="20" t="str">
        <x:v>Camera JPEG</x:v>
      </x:c>
      <x:c r="H170" s="20" t="str">
        <x:v>1 image</x:v>
      </x:c>
      <x:c r="I170" s="35" t="str">
        <x:v>phone camera; amount box, written amount, memo, and endorsement visible</x:v>
      </x:c>
      <x:c r="J170" s="20" t="str">
        <x:v>P027</x:v>
      </x:c>
      <x:c r="K170" s="20" t="str">
        <x:v>U033</x:v>
      </x:c>
      <x:c r="L170" s="20" t="str">
        <x:v>L033</x:v>
      </x:c>
      <x:c r="M170" s="20" t="str">
        <x:v>FIN-00318</x:v>
      </x:c>
      <x:c r="N170" s="35" t="str">
        <x:v>payer; amount; date; check/money-order number; memo; property; unit; lease match</x:v>
      </x:c>
      <x:c r="O170" s="35" t="str"/>
      <x:c r="P170" s="35" t="str">
        <x:v>Use a different receipt on the other client to exercise the manual payment form.</x:v>
      </x:c>
      <x:c r="Q170" s="35" t="str">
        <x:v>Synthetic QA only; no real people, accounts, signatures, or properties</x:v>
      </x:c>
    </x:row>
    <x:row r="171">
      <x:c r="A171" s="20" t="str">
        <x:v>SCN-0168</x:v>
      </x:c>
      <x:c r="B171" s="23" t="n">
        <x:v>46480</x:v>
      </x:c>
      <x:c r="C171" s="20" t="str">
        <x:v>scn-0168-rent-payment-l036-20270403.pdf</x:v>
      </x:c>
      <x:c r="D171" s="20" t="str">
        <x:v>Rent check</x:v>
      </x:c>
      <x:c r="E171" s="20" t="str">
        <x:v>Payment</x:v>
      </x:c>
      <x:c r="F171" s="35" t="str">
        <x:v>Direct scan draft matched to tenant account and charge</x:v>
      </x:c>
      <x:c r="G171" s="20" t="str">
        <x:v>PDF</x:v>
      </x:c>
      <x:c r="H171" s="20" t="str">
        <x:v>1 image</x:v>
      </x:c>
      <x:c r="I171" s="35" t="str">
        <x:v>phone camera; amount box, written amount, memo, and endorsement visible</x:v>
      </x:c>
      <x:c r="J171" s="20" t="str">
        <x:v>P028</x:v>
      </x:c>
      <x:c r="K171" s="20" t="str">
        <x:v>U036</x:v>
      </x:c>
      <x:c r="L171" s="20" t="str">
        <x:v>L036</x:v>
      </x:c>
      <x:c r="M171" s="20" t="str">
        <x:v>FIN-00326</x:v>
      </x:c>
      <x:c r="N171" s="35" t="str">
        <x:v>payer; amount; date; check/money-order number; memo; property; unit; lease match</x:v>
      </x:c>
      <x:c r="O171" s="35" t="str"/>
      <x:c r="P171" s="35" t="str">
        <x:v>Use a different receipt on the other client to exercise the manual payment form.</x:v>
      </x:c>
      <x:c r="Q171" s="35" t="str">
        <x:v>Synthetic QA only; no real people, accounts, signatures, or properties</x:v>
      </x:c>
    </x:row>
    <x:row r="172">
      <x:c r="A172" s="20" t="str">
        <x:v>SCN-0169</x:v>
      </x:c>
      <x:c r="B172" s="23" t="n">
        <x:v>46481</x:v>
      </x:c>
      <x:c r="C172" s="20" t="str">
        <x:v>scn-0169-rent-payment-l037-20270404.jpg</x:v>
      </x:c>
      <x:c r="D172" s="20" t="str">
        <x:v>Money order</x:v>
      </x:c>
      <x:c r="E172" s="20" t="str">
        <x:v>Payment</x:v>
      </x:c>
      <x:c r="F172" s="35" t="str">
        <x:v>Direct scan draft matched to tenant account and charge</x:v>
      </x:c>
      <x:c r="G172" s="20" t="str">
        <x:v>Camera JPEG</x:v>
      </x:c>
      <x:c r="H172" s="20" t="str">
        <x:v>1 image</x:v>
      </x:c>
      <x:c r="I172" s="35" t="str">
        <x:v>phone camera; amount box, written amount, memo, and endorsement visible</x:v>
      </x:c>
      <x:c r="J172" s="20" t="str">
        <x:v>P005</x:v>
      </x:c>
      <x:c r="K172" s="20" t="str">
        <x:v>U005</x:v>
      </x:c>
      <x:c r="L172" s="20" t="str">
        <x:v>L037</x:v>
      </x:c>
      <x:c r="M172" s="20" t="str">
        <x:v>FIN-00328</x:v>
      </x:c>
      <x:c r="N172" s="35" t="str">
        <x:v>payer; amount; date; check/money-order number; memo; property; unit; lease match</x:v>
      </x:c>
      <x:c r="O172" s="35" t="str"/>
      <x:c r="P172" s="35" t="str">
        <x:v>Use a different receipt on the other client to exercise the manual payment form.</x:v>
      </x:c>
      <x:c r="Q172" s="35" t="str">
        <x:v>Synthetic QA only; no real people, accounts, signatures, or properties</x:v>
      </x:c>
    </x:row>
    <x:row r="173">
      <x:c r="A173" s="20" t="str">
        <x:v>SCN-0170</x:v>
      </x:c>
      <x:c r="B173" s="23" t="n">
        <x:v>46480</x:v>
      </x:c>
      <x:c r="C173" s="20" t="str">
        <x:v>scn-0170-rent-payment-l044-20270403.pdf</x:v>
      </x:c>
      <x:c r="D173" s="20" t="str">
        <x:v>Rent check</x:v>
      </x:c>
      <x:c r="E173" s="20" t="str">
        <x:v>Payment</x:v>
      </x:c>
      <x:c r="F173" s="35" t="str">
        <x:v>Direct scan draft matched to tenant account and charge</x:v>
      </x:c>
      <x:c r="G173" s="20" t="str">
        <x:v>PDF</x:v>
      </x:c>
      <x:c r="H173" s="20" t="str">
        <x:v>1 image</x:v>
      </x:c>
      <x:c r="I173" s="35" t="str">
        <x:v>phone camera; amount box, written amount, memo, and endorsement visible</x:v>
      </x:c>
      <x:c r="J173" s="20" t="str">
        <x:v>P029</x:v>
      </x:c>
      <x:c r="K173" s="20" t="str">
        <x:v>U038</x:v>
      </x:c>
      <x:c r="L173" s="20" t="str">
        <x:v>L044</x:v>
      </x:c>
      <x:c r="M173" s="20" t="str">
        <x:v>FIN-00332</x:v>
      </x:c>
      <x:c r="N173" s="35" t="str">
        <x:v>payer; amount; date; check/money-order number; memo; property; unit; lease match</x:v>
      </x:c>
      <x:c r="O173" s="35" t="str"/>
      <x:c r="P173" s="35" t="str">
        <x:v>Use a different receipt on the other client to exercise the manual payment form.</x:v>
      </x:c>
      <x:c r="Q173" s="35" t="str">
        <x:v>Synthetic QA only; no real people, accounts, signatures, or properties</x:v>
      </x:c>
    </x:row>
    <x:row r="174">
      <x:c r="A174" s="20" t="str">
        <x:v>SCN-0171</x:v>
      </x:c>
      <x:c r="B174" s="23" t="n">
        <x:v>46511</x:v>
      </x:c>
      <x:c r="C174" s="20" t="str">
        <x:v>scn-0171-rent-payment-l001-20270504.jpg</x:v>
      </x:c>
      <x:c r="D174" s="20" t="str">
        <x:v>Money order</x:v>
      </x:c>
      <x:c r="E174" s="20" t="str">
        <x:v>Payment</x:v>
      </x:c>
      <x:c r="F174" s="35" t="str">
        <x:v>Direct scan draft matched to tenant account and charge</x:v>
      </x:c>
      <x:c r="G174" s="20" t="str">
        <x:v>Camera JPEG</x:v>
      </x:c>
      <x:c r="H174" s="20" t="str">
        <x:v>1 image</x:v>
      </x:c>
      <x:c r="I174" s="35" t="str">
        <x:v>phone camera; amount box, written amount, memo, and endorsement visible</x:v>
      </x:c>
      <x:c r="J174" s="20" t="str">
        <x:v>P001</x:v>
      </x:c>
      <x:c r="K174" s="20" t="str">
        <x:v>U001</x:v>
      </x:c>
      <x:c r="L174" s="20" t="str">
        <x:v>L001</x:v>
      </x:c>
      <x:c r="M174" s="20" t="str">
        <x:v>FIN-00336</x:v>
      </x:c>
      <x:c r="N174" s="35" t="str">
        <x:v>payer; amount; date; check/money-order number; memo; property; unit; lease match</x:v>
      </x:c>
      <x:c r="O174" s="35" t="str"/>
      <x:c r="P174" s="35" t="str">
        <x:v>Use a different receipt on the other client to exercise the manual payment form.</x:v>
      </x:c>
      <x:c r="Q174" s="35" t="str">
        <x:v>Synthetic QA only; no real people, accounts, signatures, or properties</x:v>
      </x:c>
    </x:row>
    <x:row r="175">
      <x:c r="A175" s="20" t="str">
        <x:v>SCN-0172</x:v>
      </x:c>
      <x:c r="B175" s="23" t="n">
        <x:v>46511</x:v>
      </x:c>
      <x:c r="C175" s="20" t="str">
        <x:v>scn-0172-rent-payment-l004-20270504.pdf</x:v>
      </x:c>
      <x:c r="D175" s="20" t="str">
        <x:v>Rent check</x:v>
      </x:c>
      <x:c r="E175" s="20" t="str">
        <x:v>Payment</x:v>
      </x:c>
      <x:c r="F175" s="35" t="str">
        <x:v>Direct scan draft matched to tenant account and charge</x:v>
      </x:c>
      <x:c r="G175" s="20" t="str">
        <x:v>PDF</x:v>
      </x:c>
      <x:c r="H175" s="20" t="str">
        <x:v>1 image</x:v>
      </x:c>
      <x:c r="I175" s="35" t="str">
        <x:v>phone camera; amount box, written amount, memo, and endorsement visible</x:v>
      </x:c>
      <x:c r="J175" s="20" t="str">
        <x:v>P004</x:v>
      </x:c>
      <x:c r="K175" s="20" t="str">
        <x:v>U004</x:v>
      </x:c>
      <x:c r="L175" s="20" t="str">
        <x:v>L004</x:v>
      </x:c>
      <x:c r="M175" s="20" t="str">
        <x:v>FIN-00342</x:v>
      </x:c>
      <x:c r="N175" s="35" t="str">
        <x:v>payer; amount; date; check/money-order number; memo; property; unit; lease match</x:v>
      </x:c>
      <x:c r="O175" s="35" t="str"/>
      <x:c r="P175" s="35" t="str">
        <x:v>Use a different receipt on the other client to exercise the manual payment form.</x:v>
      </x:c>
      <x:c r="Q175" s="35" t="str">
        <x:v>Synthetic QA only; no real people, accounts, signatures, or properties</x:v>
      </x:c>
    </x:row>
    <x:row r="176">
      <x:c r="A176" s="20" t="str">
        <x:v>SCN-0173</x:v>
      </x:c>
      <x:c r="B176" s="23" t="n">
        <x:v>46512</x:v>
      </x:c>
      <x:c r="C176" s="20" t="str">
        <x:v>scn-0173-rent-payment-l008-20270505.pdf</x:v>
      </x:c>
      <x:c r="D176" s="20" t="str">
        <x:v>Rent check</x:v>
      </x:c>
      <x:c r="E176" s="20" t="str">
        <x:v>Payment</x:v>
      </x:c>
      <x:c r="F176" s="35" t="str">
        <x:v>Direct scan draft matched to tenant account and charge</x:v>
      </x:c>
      <x:c r="G176" s="20" t="str">
        <x:v>PDF</x:v>
      </x:c>
      <x:c r="H176" s="20" t="str">
        <x:v>1 image</x:v>
      </x:c>
      <x:c r="I176" s="35" t="str">
        <x:v>phone camera; amount box, written amount, memo, and endorsement visible</x:v>
      </x:c>
      <x:c r="J176" s="20" t="str">
        <x:v>P008</x:v>
      </x:c>
      <x:c r="K176" s="20" t="str">
        <x:v>U008</x:v>
      </x:c>
      <x:c r="L176" s="20" t="str">
        <x:v>L008</x:v>
      </x:c>
      <x:c r="M176" s="20" t="str">
        <x:v>FIN-00348</x:v>
      </x:c>
      <x:c r="N176" s="35" t="str">
        <x:v>payer; amount; date; check/money-order number; memo; property; unit; lease match</x:v>
      </x:c>
      <x:c r="O176" s="35" t="str"/>
      <x:c r="P176" s="35" t="str">
        <x:v>Use a different receipt on the other client to exercise the manual payment form.</x:v>
      </x:c>
      <x:c r="Q176" s="35" t="str">
        <x:v>Synthetic QA only; no real people, accounts, signatures, or properties</x:v>
      </x:c>
    </x:row>
    <x:row r="177">
      <x:c r="A177" s="20" t="str">
        <x:v>SCN-0174</x:v>
      </x:c>
      <x:c r="B177" s="23" t="n">
        <x:v>46510</x:v>
      </x:c>
      <x:c r="C177" s="20" t="str">
        <x:v>scn-0174-rent-payment-l009-20270503.jpg</x:v>
      </x:c>
      <x:c r="D177" s="20" t="str">
        <x:v>Money order</x:v>
      </x:c>
      <x:c r="E177" s="20" t="str">
        <x:v>Payment</x:v>
      </x:c>
      <x:c r="F177" s="35" t="str">
        <x:v>Direct scan draft matched to tenant account and charge</x:v>
      </x:c>
      <x:c r="G177" s="20" t="str">
        <x:v>Camera JPEG</x:v>
      </x:c>
      <x:c r="H177" s="20" t="str">
        <x:v>1 image</x:v>
      </x:c>
      <x:c r="I177" s="35" t="str">
        <x:v>phone camera; amount box, written amount, memo, and endorsement visible</x:v>
      </x:c>
      <x:c r="J177" s="20" t="str">
        <x:v>P009</x:v>
      </x:c>
      <x:c r="K177" s="20" t="str">
        <x:v>U009</x:v>
      </x:c>
      <x:c r="L177" s="20" t="str">
        <x:v>L009</x:v>
      </x:c>
      <x:c r="M177" s="20" t="str">
        <x:v>FIN-00350</x:v>
      </x:c>
      <x:c r="N177" s="35" t="str">
        <x:v>payer; amount; date; check/money-order number; memo; property; unit; lease match</x:v>
      </x:c>
      <x:c r="O177" s="35" t="str"/>
      <x:c r="P177" s="35" t="str">
        <x:v>Use a different receipt on the other client to exercise the manual payment form.</x:v>
      </x:c>
      <x:c r="Q177" s="35" t="str">
        <x:v>Synthetic QA only; no real people, accounts, signatures, or properties</x:v>
      </x:c>
    </x:row>
    <x:row r="178">
      <x:c r="A178" s="20" t="str">
        <x:v>SCN-0175</x:v>
      </x:c>
      <x:c r="B178" s="23" t="n">
        <x:v>46519</x:v>
      </x:c>
      <x:c r="C178" s="20" t="str">
        <x:v>scn-0175-rent-payment-l011-20270512.jpg</x:v>
      </x:c>
      <x:c r="D178" s="20" t="str">
        <x:v>Money order</x:v>
      </x:c>
      <x:c r="E178" s="20" t="str">
        <x:v>Payment</x:v>
      </x:c>
      <x:c r="F178" s="35" t="str">
        <x:v>Direct scan draft matched to tenant account and charge</x:v>
      </x:c>
      <x:c r="G178" s="20" t="str">
        <x:v>Camera JPEG</x:v>
      </x:c>
      <x:c r="H178" s="20" t="str">
        <x:v>1 image</x:v>
      </x:c>
      <x:c r="I178" s="35" t="str">
        <x:v>phone camera; amount box, written amount, memo, and endorsement visible</x:v>
      </x:c>
      <x:c r="J178" s="20" t="str">
        <x:v>P011</x:v>
      </x:c>
      <x:c r="K178" s="20" t="str">
        <x:v>U011</x:v>
      </x:c>
      <x:c r="L178" s="20" t="str">
        <x:v>L011</x:v>
      </x:c>
      <x:c r="M178" s="20" t="str">
        <x:v>FIN-00356</x:v>
      </x:c>
      <x:c r="N178" s="35" t="str">
        <x:v>payer; amount; date; check/money-order number; memo; property; unit; lease match</x:v>
      </x:c>
      <x:c r="O178" s="35" t="str"/>
      <x:c r="P178" s="35" t="str">
        <x:v>Use a different receipt on the other client to exercise the manual payment form.</x:v>
      </x:c>
      <x:c r="Q178" s="35" t="str">
        <x:v>Synthetic QA only; no real people, accounts, signatures, or properties</x:v>
      </x:c>
    </x:row>
    <x:row r="179">
      <x:c r="A179" s="20" t="str">
        <x:v>SCN-0176</x:v>
      </x:c>
      <x:c r="B179" s="23" t="n">
        <x:v>46510</x:v>
      </x:c>
      <x:c r="C179" s="20" t="str">
        <x:v>scn-0176-rent-payment-l012-20270503.pdf</x:v>
      </x:c>
      <x:c r="D179" s="20" t="str">
        <x:v>Rent check</x:v>
      </x:c>
      <x:c r="E179" s="20" t="str">
        <x:v>Payment</x:v>
      </x:c>
      <x:c r="F179" s="35" t="str">
        <x:v>Direct scan draft matched to tenant account and charge</x:v>
      </x:c>
      <x:c r="G179" s="20" t="str">
        <x:v>PDF</x:v>
      </x:c>
      <x:c r="H179" s="20" t="str">
        <x:v>1 image</x:v>
      </x:c>
      <x:c r="I179" s="35" t="str">
        <x:v>phone camera; amount box, written amount, memo, and endorsement visible</x:v>
      </x:c>
      <x:c r="J179" s="20" t="str">
        <x:v>P012</x:v>
      </x:c>
      <x:c r="K179" s="20" t="str">
        <x:v>U012</x:v>
      </x:c>
      <x:c r="L179" s="20" t="str">
        <x:v>L012</x:v>
      </x:c>
      <x:c r="M179" s="20" t="str">
        <x:v>FIN-00358</x:v>
      </x:c>
      <x:c r="N179" s="35" t="str">
        <x:v>payer; amount; date; check/money-order number; memo; property; unit; lease match</x:v>
      </x:c>
      <x:c r="O179" s="35" t="str"/>
      <x:c r="P179" s="35" t="str">
        <x:v>Use a different receipt on the other client to exercise the manual payment form.</x:v>
      </x:c>
      <x:c r="Q179" s="35" t="str">
        <x:v>Synthetic QA only; no real people, accounts, signatures, or properties</x:v>
      </x:c>
    </x:row>
    <x:row r="180">
      <x:c r="A180" s="20" t="str">
        <x:v>SCN-0177</x:v>
      </x:c>
      <x:c r="B180" s="23" t="n">
        <x:v>46515</x:v>
      </x:c>
      <x:c r="C180" s="20" t="str">
        <x:v>scn-0177-rent-payment-l013-20270508.pdf</x:v>
      </x:c>
      <x:c r="D180" s="20" t="str">
        <x:v>Rent check</x:v>
      </x:c>
      <x:c r="E180" s="20" t="str">
        <x:v>Payment</x:v>
      </x:c>
      <x:c r="F180" s="35" t="str">
        <x:v>Direct scan draft matched to tenant account and charge</x:v>
      </x:c>
      <x:c r="G180" s="20" t="str">
        <x:v>PDF</x:v>
      </x:c>
      <x:c r="H180" s="20" t="str">
        <x:v>1 image</x:v>
      </x:c>
      <x:c r="I180" s="35" t="str">
        <x:v>phone camera; amount box, written amount, memo, and endorsement visible</x:v>
      </x:c>
      <x:c r="J180" s="20" t="str">
        <x:v>P013</x:v>
      </x:c>
      <x:c r="K180" s="20" t="str">
        <x:v>U013</x:v>
      </x:c>
      <x:c r="L180" s="20" t="str">
        <x:v>L013</x:v>
      </x:c>
      <x:c r="M180" s="20" t="str">
        <x:v>FIN-00361</x:v>
      </x:c>
      <x:c r="N180" s="35" t="str">
        <x:v>payer; amount; date; check/money-order number; memo; property; unit; lease match</x:v>
      </x:c>
      <x:c r="O180" s="35" t="str"/>
      <x:c r="P180" s="35" t="str">
        <x:v>Use a different receipt on the other client to exercise the manual payment form.</x:v>
      </x:c>
      <x:c r="Q180" s="35" t="str">
        <x:v>Synthetic QA only; no real people, accounts, signatures, or properties</x:v>
      </x:c>
    </x:row>
    <x:row r="181">
      <x:c r="A181" s="20" t="str">
        <x:v>SCN-0178</x:v>
      </x:c>
      <x:c r="B181" s="23" t="n">
        <x:v>46511</x:v>
      </x:c>
      <x:c r="C181" s="20" t="str">
        <x:v>scn-0178-rent-payment-l016-20270504.pdf</x:v>
      </x:c>
      <x:c r="D181" s="20" t="str">
        <x:v>Rent check</x:v>
      </x:c>
      <x:c r="E181" s="20" t="str">
        <x:v>Payment</x:v>
      </x:c>
      <x:c r="F181" s="35" t="str">
        <x:v>Direct scan draft matched to tenant account and charge</x:v>
      </x:c>
      <x:c r="G181" s="20" t="str">
        <x:v>PDF</x:v>
      </x:c>
      <x:c r="H181" s="20" t="str">
        <x:v>1 image</x:v>
      </x:c>
      <x:c r="I181" s="35" t="str">
        <x:v>phone camera; amount box, written amount, memo, and endorsement visible</x:v>
      </x:c>
      <x:c r="J181" s="20" t="str">
        <x:v>P016</x:v>
      </x:c>
      <x:c r="K181" s="20" t="str">
        <x:v>U016</x:v>
      </x:c>
      <x:c r="L181" s="20" t="str">
        <x:v>L016</x:v>
      </x:c>
      <x:c r="M181" s="20" t="str">
        <x:v>FIN-00367</x:v>
      </x:c>
      <x:c r="N181" s="35" t="str">
        <x:v>payer; amount; date; check/money-order number; memo; property; unit; lease match</x:v>
      </x:c>
      <x:c r="O181" s="35" t="str"/>
      <x:c r="P181" s="35" t="str">
        <x:v>Use a different receipt on the other client to exercise the manual payment form.</x:v>
      </x:c>
      <x:c r="Q181" s="35" t="str">
        <x:v>Synthetic QA only; no real people, accounts, signatures, or properties</x:v>
      </x:c>
    </x:row>
    <x:row r="182">
      <x:c r="A182" s="20" t="str">
        <x:v>SCN-0179</x:v>
      </x:c>
      <x:c r="B182" s="23" t="n">
        <x:v>46512</x:v>
      </x:c>
      <x:c r="C182" s="20" t="str">
        <x:v>scn-0179-rent-payment-l017-20270505.jpg</x:v>
      </x:c>
      <x:c r="D182" s="20" t="str">
        <x:v>Money order</x:v>
      </x:c>
      <x:c r="E182" s="20" t="str">
        <x:v>Payment</x:v>
      </x:c>
      <x:c r="F182" s="35" t="str">
        <x:v>Direct scan draft matched to tenant account and charge</x:v>
      </x:c>
      <x:c r="G182" s="20" t="str">
        <x:v>Camera JPEG</x:v>
      </x:c>
      <x:c r="H182" s="20" t="str">
        <x:v>1 image</x:v>
      </x:c>
      <x:c r="I182" s="35" t="str">
        <x:v>phone camera; amount box, written amount, memo, and endorsement visible</x:v>
      </x:c>
      <x:c r="J182" s="20" t="str">
        <x:v>P017</x:v>
      </x:c>
      <x:c r="K182" s="20" t="str">
        <x:v>U017</x:v>
      </x:c>
      <x:c r="L182" s="20" t="str">
        <x:v>L017</x:v>
      </x:c>
      <x:c r="M182" s="20" t="str">
        <x:v>FIN-00369</x:v>
      </x:c>
      <x:c r="N182" s="35" t="str">
        <x:v>payer; amount; date; check/money-order number; memo; property; unit; lease match</x:v>
      </x:c>
      <x:c r="O182" s="35" t="str"/>
      <x:c r="P182" s="35" t="str">
        <x:v>Use a different receipt on the other client to exercise the manual payment form.</x:v>
      </x:c>
      <x:c r="Q182" s="35" t="str">
        <x:v>Synthetic QA only; no real people, accounts, signatures, or properties</x:v>
      </x:c>
    </x:row>
    <x:row r="183">
      <x:c r="A183" s="20" t="str">
        <x:v>SCN-0180</x:v>
      </x:c>
      <x:c r="B183" s="23" t="n">
        <x:v>46512</x:v>
      </x:c>
      <x:c r="C183" s="20" t="str">
        <x:v>scn-0180-rent-payment-l020-20270505.pdf</x:v>
      </x:c>
      <x:c r="D183" s="20" t="str">
        <x:v>Rent check</x:v>
      </x:c>
      <x:c r="E183" s="20" t="str">
        <x:v>Payment</x:v>
      </x:c>
      <x:c r="F183" s="35" t="str">
        <x:v>Direct scan draft matched to tenant account and charge</x:v>
      </x:c>
      <x:c r="G183" s="20" t="str">
        <x:v>PDF</x:v>
      </x:c>
      <x:c r="H183" s="20" t="str">
        <x:v>1 image</x:v>
      </x:c>
      <x:c r="I183" s="35" t="str">
        <x:v>phone camera; amount box, written amount, memo, and endorsement visible</x:v>
      </x:c>
      <x:c r="J183" s="20" t="str">
        <x:v>P020</x:v>
      </x:c>
      <x:c r="K183" s="20" t="str">
        <x:v>U020</x:v>
      </x:c>
      <x:c r="L183" s="20" t="str">
        <x:v>L020</x:v>
      </x:c>
      <x:c r="M183" s="20" t="str">
        <x:v>FIN-00375</x:v>
      </x:c>
      <x:c r="N183" s="35" t="str">
        <x:v>payer; amount; date; check/money-order number; memo; property; unit; lease match</x:v>
      </x:c>
      <x:c r="O183" s="35" t="str">
        <x:v>handwritten memo and similar tenant names</x:v>
      </x:c>
      <x:c r="P183" s="35" t="str">
        <x:v>Use a different receipt on the other client to exercise the manual payment form.</x:v>
      </x:c>
      <x:c r="Q183" s="35" t="str">
        <x:v>Synthetic QA only; no real people, accounts, signatures, or properties</x:v>
      </x:c>
    </x:row>
    <x:row r="184">
      <x:c r="A184" s="20" t="str">
        <x:v>SCN-0181</x:v>
      </x:c>
      <x:c r="B184" s="23" t="n">
        <x:v>46510</x:v>
      </x:c>
      <x:c r="C184" s="20" t="str">
        <x:v>scn-0181-rent-payment-l021-20270503.jpg</x:v>
      </x:c>
      <x:c r="D184" s="20" t="str">
        <x:v>Money order</x:v>
      </x:c>
      <x:c r="E184" s="20" t="str">
        <x:v>Payment</x:v>
      </x:c>
      <x:c r="F184" s="35" t="str">
        <x:v>Direct scan draft matched to tenant account and charge</x:v>
      </x:c>
      <x:c r="G184" s="20" t="str">
        <x:v>Camera JPEG</x:v>
      </x:c>
      <x:c r="H184" s="20" t="str">
        <x:v>1 image</x:v>
      </x:c>
      <x:c r="I184" s="35" t="str">
        <x:v>phone camera; amount box, written amount, memo, and endorsement visible</x:v>
      </x:c>
      <x:c r="J184" s="20" t="str">
        <x:v>P021</x:v>
      </x:c>
      <x:c r="K184" s="20" t="str">
        <x:v>U021</x:v>
      </x:c>
      <x:c r="L184" s="20" t="str">
        <x:v>L021</x:v>
      </x:c>
      <x:c r="M184" s="20" t="str">
        <x:v>FIN-00377</x:v>
      </x:c>
      <x:c r="N184" s="35" t="str">
        <x:v>payer; amount; date; check/money-order number; memo; property; unit; lease match</x:v>
      </x:c>
      <x:c r="O184" s="35" t="str"/>
      <x:c r="P184" s="35" t="str">
        <x:v>Use a different receipt on the other client to exercise the manual payment form.</x:v>
      </x:c>
      <x:c r="Q184" s="35" t="str">
        <x:v>Synthetic QA only; no real people, accounts, signatures, or properties</x:v>
      </x:c>
    </x:row>
    <x:row r="185">
      <x:c r="A185" s="20" t="str">
        <x:v>SCN-0182</x:v>
      </x:c>
      <x:c r="B185" s="23" t="n">
        <x:v>46519</x:v>
      </x:c>
      <x:c r="C185" s="20" t="str">
        <x:v>scn-0182-rent-payment-l022-20270512.pdf</x:v>
      </x:c>
      <x:c r="D185" s="20" t="str">
        <x:v>Rent check</x:v>
      </x:c>
      <x:c r="E185" s="20" t="str">
        <x:v>Payment</x:v>
      </x:c>
      <x:c r="F185" s="35" t="str">
        <x:v>Direct scan draft matched to tenant account and charge</x:v>
      </x:c>
      <x:c r="G185" s="20" t="str">
        <x:v>PDF</x:v>
      </x:c>
      <x:c r="H185" s="20" t="str">
        <x:v>1 image</x:v>
      </x:c>
      <x:c r="I185" s="35" t="str">
        <x:v>phone camera; amount box, written amount, memo, and endorsement visible</x:v>
      </x:c>
      <x:c r="J185" s="20" t="str">
        <x:v>P021</x:v>
      </x:c>
      <x:c r="K185" s="20" t="str">
        <x:v>U022</x:v>
      </x:c>
      <x:c r="L185" s="20" t="str">
        <x:v>L022</x:v>
      </x:c>
      <x:c r="M185" s="20" t="str">
        <x:v>FIN-00381</x:v>
      </x:c>
      <x:c r="N185" s="35" t="str">
        <x:v>payer; amount; date; check/money-order number; memo; property; unit; lease match</x:v>
      </x:c>
      <x:c r="O185" s="35" t="str"/>
      <x:c r="P185" s="35" t="str">
        <x:v>Use a different receipt on the other client to exercise the manual payment form.</x:v>
      </x:c>
      <x:c r="Q185" s="35" t="str">
        <x:v>Synthetic QA only; no real people, accounts, signatures, or properties</x:v>
      </x:c>
    </x:row>
    <x:row r="186">
      <x:c r="A186" s="20" t="str">
        <x:v>SCN-0183</x:v>
      </x:c>
      <x:c r="B186" s="23" t="n">
        <x:v>46510</x:v>
      </x:c>
      <x:c r="C186" s="20" t="str">
        <x:v>scn-0183-rent-payment-l024-20270503.pdf</x:v>
      </x:c>
      <x:c r="D186" s="20" t="str">
        <x:v>Rent check</x:v>
      </x:c>
      <x:c r="E186" s="20" t="str">
        <x:v>Payment</x:v>
      </x:c>
      <x:c r="F186" s="35" t="str">
        <x:v>Direct scan draft matched to tenant account and charge</x:v>
      </x:c>
      <x:c r="G186" s="20" t="str">
        <x:v>PDF</x:v>
      </x:c>
      <x:c r="H186" s="20" t="str">
        <x:v>1 image</x:v>
      </x:c>
      <x:c r="I186" s="35" t="str">
        <x:v>phone camera; amount box, written amount, memo, and endorsement visible</x:v>
      </x:c>
      <x:c r="J186" s="20" t="str">
        <x:v>P022</x:v>
      </x:c>
      <x:c r="K186" s="20" t="str">
        <x:v>U024</x:v>
      </x:c>
      <x:c r="L186" s="20" t="str">
        <x:v>L024</x:v>
      </x:c>
      <x:c r="M186" s="20" t="str">
        <x:v>FIN-00385</x:v>
      </x:c>
      <x:c r="N186" s="35" t="str">
        <x:v>payer; amount; date; check/money-order number; memo; property; unit; lease match</x:v>
      </x:c>
      <x:c r="O186" s="35" t="str"/>
      <x:c r="P186" s="35" t="str">
        <x:v>Use a different receipt on the other client to exercise the manual payment form.</x:v>
      </x:c>
      <x:c r="Q186" s="35" t="str">
        <x:v>Synthetic QA only; no real people, accounts, signatures, or properties</x:v>
      </x:c>
    </x:row>
    <x:row r="187">
      <x:c r="A187" s="20" t="str">
        <x:v>SCN-0184</x:v>
      </x:c>
      <x:c r="B187" s="23" t="n">
        <x:v>46511</x:v>
      </x:c>
      <x:c r="C187" s="20" t="str">
        <x:v>scn-0184-rent-payment-l025-20270504.jpg</x:v>
      </x:c>
      <x:c r="D187" s="20" t="str">
        <x:v>Money order</x:v>
      </x:c>
      <x:c r="E187" s="20" t="str">
        <x:v>Payment</x:v>
      </x:c>
      <x:c r="F187" s="35" t="str">
        <x:v>Direct scan draft matched to tenant account and charge</x:v>
      </x:c>
      <x:c r="G187" s="20" t="str">
        <x:v>Camera JPEG</x:v>
      </x:c>
      <x:c r="H187" s="20" t="str">
        <x:v>1 image</x:v>
      </x:c>
      <x:c r="I187" s="35" t="str">
        <x:v>phone camera; amount box, written amount, memo, and endorsement visible</x:v>
      </x:c>
      <x:c r="J187" s="20" t="str">
        <x:v>P023</x:v>
      </x:c>
      <x:c r="K187" s="20" t="str">
        <x:v>U025</x:v>
      </x:c>
      <x:c r="L187" s="20" t="str">
        <x:v>L025</x:v>
      </x:c>
      <x:c r="M187" s="20" t="str">
        <x:v>FIN-00387</x:v>
      </x:c>
      <x:c r="N187" s="35" t="str">
        <x:v>payer; amount; date; check/money-order number; memo; property; unit; lease match</x:v>
      </x:c>
      <x:c r="O187" s="35" t="str">
        <x:v>handwritten memo and similar tenant names</x:v>
      </x:c>
      <x:c r="P187" s="35" t="str">
        <x:v>Use a different receipt on the other client to exercise the manual payment form.</x:v>
      </x:c>
      <x:c r="Q187" s="35" t="str">
        <x:v>Synthetic QA only; no real people, accounts, signatures, or properties</x:v>
      </x:c>
    </x:row>
    <x:row r="188">
      <x:c r="A188" s="20" t="str">
        <x:v>SCN-0185</x:v>
      </x:c>
      <x:c r="B188" s="23" t="n">
        <x:v>46515</x:v>
      </x:c>
      <x:c r="C188" s="20" t="str">
        <x:v>scn-0185-rent-payment-l026-20270508.jpg</x:v>
      </x:c>
      <x:c r="D188" s="20" t="str">
        <x:v>Money order</x:v>
      </x:c>
      <x:c r="E188" s="20" t="str">
        <x:v>Payment</x:v>
      </x:c>
      <x:c r="F188" s="35" t="str">
        <x:v>Direct scan draft matched to tenant account and charge</x:v>
      </x:c>
      <x:c r="G188" s="20" t="str">
        <x:v>Camera JPEG</x:v>
      </x:c>
      <x:c r="H188" s="20" t="str">
        <x:v>1 image</x:v>
      </x:c>
      <x:c r="I188" s="35" t="str">
        <x:v>phone camera; amount box, written amount, memo, and endorsement visible</x:v>
      </x:c>
      <x:c r="J188" s="20" t="str">
        <x:v>P023</x:v>
      </x:c>
      <x:c r="K188" s="20" t="str">
        <x:v>U026</x:v>
      </x:c>
      <x:c r="L188" s="20" t="str">
        <x:v>L026</x:v>
      </x:c>
      <x:c r="M188" s="20" t="str">
        <x:v>FIN-00390</x:v>
      </x:c>
      <x:c r="N188" s="35" t="str">
        <x:v>payer; amount; date; check/money-order number; memo; property; unit; lease match</x:v>
      </x:c>
      <x:c r="O188" s="35" t="str"/>
      <x:c r="P188" s="35" t="str">
        <x:v>Use a different receipt on the other client to exercise the manual payment form.</x:v>
      </x:c>
      <x:c r="Q188" s="35" t="str">
        <x:v>Synthetic QA only; no real people, accounts, signatures, or properties</x:v>
      </x:c>
    </x:row>
    <x:row r="189">
      <x:c r="A189" s="20" t="str">
        <x:v>SCN-0186</x:v>
      </x:c>
      <x:c r="B189" s="23" t="n">
        <x:v>46511</x:v>
      </x:c>
      <x:c r="C189" s="20" t="str">
        <x:v>scn-0186-rent-payment-l028-20270504.pdf</x:v>
      </x:c>
      <x:c r="D189" s="20" t="str">
        <x:v>Rent check</x:v>
      </x:c>
      <x:c r="E189" s="20" t="str">
        <x:v>Payment</x:v>
      </x:c>
      <x:c r="F189" s="35" t="str">
        <x:v>Direct scan draft matched to tenant account and charge</x:v>
      </x:c>
      <x:c r="G189" s="20" t="str">
        <x:v>PDF</x:v>
      </x:c>
      <x:c r="H189" s="20" t="str">
        <x:v>1 image</x:v>
      </x:c>
      <x:c r="I189" s="35" t="str">
        <x:v>phone camera; amount box, written amount, memo, and endorsement visible</x:v>
      </x:c>
      <x:c r="J189" s="20" t="str">
        <x:v>P024</x:v>
      </x:c>
      <x:c r="K189" s="20" t="str">
        <x:v>U028</x:v>
      </x:c>
      <x:c r="L189" s="20" t="str">
        <x:v>L028</x:v>
      </x:c>
      <x:c r="M189" s="20" t="str">
        <x:v>FIN-00394</x:v>
      </x:c>
      <x:c r="N189" s="35" t="str">
        <x:v>payer; amount; date; check/money-order number; memo; property; unit; lease match</x:v>
      </x:c>
      <x:c r="O189" s="35" t="str"/>
      <x:c r="P189" s="35" t="str">
        <x:v>Use a different receipt on the other client to exercise the manual payment form.</x:v>
      </x:c>
      <x:c r="Q189" s="35" t="str">
        <x:v>Synthetic QA only; no real people, accounts, signatures, or properties</x:v>
      </x:c>
    </x:row>
    <x:row r="190">
      <x:c r="A190" s="20" t="str">
        <x:v>SCN-0187</x:v>
      </x:c>
      <x:c r="B190" s="23" t="n">
        <x:v>46512</x:v>
      </x:c>
      <x:c r="C190" s="20" t="str">
        <x:v>scn-0187-rent-payment-l029-20270505.jpg</x:v>
      </x:c>
      <x:c r="D190" s="20" t="str">
        <x:v>Money order</x:v>
      </x:c>
      <x:c r="E190" s="20" t="str">
        <x:v>Payment</x:v>
      </x:c>
      <x:c r="F190" s="35" t="str">
        <x:v>Direct scan draft matched to tenant account and charge</x:v>
      </x:c>
      <x:c r="G190" s="20" t="str">
        <x:v>Camera JPEG</x:v>
      </x:c>
      <x:c r="H190" s="20" t="str">
        <x:v>1 image</x:v>
      </x:c>
      <x:c r="I190" s="35" t="str">
        <x:v>phone camera; amount box, written amount, memo, and endorsement visible</x:v>
      </x:c>
      <x:c r="J190" s="20" t="str">
        <x:v>P025</x:v>
      </x:c>
      <x:c r="K190" s="20" t="str">
        <x:v>U029</x:v>
      </x:c>
      <x:c r="L190" s="20" t="str">
        <x:v>L029</x:v>
      </x:c>
      <x:c r="M190" s="20" t="str">
        <x:v>FIN-00396</x:v>
      </x:c>
      <x:c r="N190" s="35" t="str">
        <x:v>payer; amount; date; check/money-order number; memo; property; unit; lease match</x:v>
      </x:c>
      <x:c r="O190" s="35" t="str"/>
      <x:c r="P190" s="35" t="str">
        <x:v>Use a different receipt on the other client to exercise the manual payment form.</x:v>
      </x:c>
      <x:c r="Q190" s="35" t="str">
        <x:v>Synthetic QA only; no real people, accounts, signatures, or properties</x:v>
      </x:c>
    </x:row>
    <x:row r="191">
      <x:c r="A191" s="20" t="str">
        <x:v>SCN-0188</x:v>
      </x:c>
      <x:c r="B191" s="23" t="n">
        <x:v>46512</x:v>
      </x:c>
      <x:c r="C191" s="20" t="str">
        <x:v>scn-0188-rent-payment-l032-20270505.pdf</x:v>
      </x:c>
      <x:c r="D191" s="20" t="str">
        <x:v>Rent check</x:v>
      </x:c>
      <x:c r="E191" s="20" t="str">
        <x:v>Payment</x:v>
      </x:c>
      <x:c r="F191" s="35" t="str">
        <x:v>Direct scan draft matched to tenant account and charge</x:v>
      </x:c>
      <x:c r="G191" s="20" t="str">
        <x:v>PDF</x:v>
      </x:c>
      <x:c r="H191" s="20" t="str">
        <x:v>1 image</x:v>
      </x:c>
      <x:c r="I191" s="35" t="str">
        <x:v>phone camera; amount box, written amount, memo, and endorsement visible</x:v>
      </x:c>
      <x:c r="J191" s="20" t="str">
        <x:v>P026</x:v>
      </x:c>
      <x:c r="K191" s="20" t="str">
        <x:v>U032</x:v>
      </x:c>
      <x:c r="L191" s="20" t="str">
        <x:v>L032</x:v>
      </x:c>
      <x:c r="M191" s="20" t="str">
        <x:v>FIN-00402</x:v>
      </x:c>
      <x:c r="N191" s="35" t="str">
        <x:v>payer; amount; date; check/money-order number; memo; property; unit; lease match</x:v>
      </x:c>
      <x:c r="O191" s="35" t="str"/>
      <x:c r="P191" s="35" t="str">
        <x:v>Use a different receipt on the other client to exercise the manual payment form.</x:v>
      </x:c>
      <x:c r="Q191" s="35" t="str">
        <x:v>Synthetic QA only; no real people, accounts, signatures, or properties</x:v>
      </x:c>
    </x:row>
    <x:row r="192">
      <x:c r="A192" s="20" t="str">
        <x:v>SCN-0189</x:v>
      </x:c>
      <x:c r="B192" s="23" t="n">
        <x:v>46510</x:v>
      </x:c>
      <x:c r="C192" s="20" t="str">
        <x:v>scn-0189-rent-payment-l033-20270503.jpg</x:v>
      </x:c>
      <x:c r="D192" s="20" t="str">
        <x:v>Money order</x:v>
      </x:c>
      <x:c r="E192" s="20" t="str">
        <x:v>Payment</x:v>
      </x:c>
      <x:c r="F192" s="35" t="str">
        <x:v>Direct scan draft matched to tenant account and charge</x:v>
      </x:c>
      <x:c r="G192" s="20" t="str">
        <x:v>Camera JPEG</x:v>
      </x:c>
      <x:c r="H192" s="20" t="str">
        <x:v>1 image</x:v>
      </x:c>
      <x:c r="I192" s="35" t="str">
        <x:v>phone camera; amount box, written amount, memo, and endorsement visible</x:v>
      </x:c>
      <x:c r="J192" s="20" t="str">
        <x:v>P027</x:v>
      </x:c>
      <x:c r="K192" s="20" t="str">
        <x:v>U033</x:v>
      </x:c>
      <x:c r="L192" s="20" t="str">
        <x:v>L033</x:v>
      </x:c>
      <x:c r="M192" s="20" t="str">
        <x:v>FIN-00404</x:v>
      </x:c>
      <x:c r="N192" s="35" t="str">
        <x:v>payer; amount; date; check/money-order number; memo; property; unit; lease match</x:v>
      </x:c>
      <x:c r="O192" s="35" t="str"/>
      <x:c r="P192" s="35" t="str">
        <x:v>Use a different receipt on the other client to exercise the manual payment form.</x:v>
      </x:c>
      <x:c r="Q192" s="35" t="str">
        <x:v>Synthetic QA only; no real people, accounts, signatures, or properties</x:v>
      </x:c>
    </x:row>
    <x:row r="193">
      <x:c r="A193" s="20" t="str">
        <x:v>SCN-0190</x:v>
      </x:c>
      <x:c r="B193" s="23" t="n">
        <x:v>46510</x:v>
      </x:c>
      <x:c r="C193" s="20" t="str">
        <x:v>scn-0190-rent-payment-l036-20270503.pdf</x:v>
      </x:c>
      <x:c r="D193" s="20" t="str">
        <x:v>Rent check</x:v>
      </x:c>
      <x:c r="E193" s="20" t="str">
        <x:v>Payment</x:v>
      </x:c>
      <x:c r="F193" s="35" t="str">
        <x:v>Direct scan draft matched to tenant account and charge</x:v>
      </x:c>
      <x:c r="G193" s="20" t="str">
        <x:v>PDF</x:v>
      </x:c>
      <x:c r="H193" s="20" t="str">
        <x:v>1 image</x:v>
      </x:c>
      <x:c r="I193" s="35" t="str">
        <x:v>phone camera; amount box, written amount, memo, and endorsement visible</x:v>
      </x:c>
      <x:c r="J193" s="20" t="str">
        <x:v>P028</x:v>
      </x:c>
      <x:c r="K193" s="20" t="str">
        <x:v>U036</x:v>
      </x:c>
      <x:c r="L193" s="20" t="str">
        <x:v>L036</x:v>
      </x:c>
      <x:c r="M193" s="20" t="str">
        <x:v>FIN-00412</x:v>
      </x:c>
      <x:c r="N193" s="35" t="str">
        <x:v>payer; amount; date; check/money-order number; memo; property; unit; lease match</x:v>
      </x:c>
      <x:c r="O193" s="35" t="str"/>
      <x:c r="P193" s="35" t="str">
        <x:v>Use a different receipt on the other client to exercise the manual payment form.</x:v>
      </x:c>
      <x:c r="Q193" s="35" t="str">
        <x:v>Synthetic QA only; no real people, accounts, signatures, or properties</x:v>
      </x:c>
    </x:row>
    <x:row r="194">
      <x:c r="A194" s="20" t="str">
        <x:v>SCN-0191</x:v>
      </x:c>
      <x:c r="B194" s="23" t="n">
        <x:v>46511</x:v>
      </x:c>
      <x:c r="C194" s="20" t="str">
        <x:v>scn-0191-rent-payment-l037-20270504.jpg</x:v>
      </x:c>
      <x:c r="D194" s="20" t="str">
        <x:v>Money order</x:v>
      </x:c>
      <x:c r="E194" s="20" t="str">
        <x:v>Payment</x:v>
      </x:c>
      <x:c r="F194" s="35" t="str">
        <x:v>Direct scan draft matched to tenant account and charge</x:v>
      </x:c>
      <x:c r="G194" s="20" t="str">
        <x:v>Camera JPEG</x:v>
      </x:c>
      <x:c r="H194" s="20" t="str">
        <x:v>1 image</x:v>
      </x:c>
      <x:c r="I194" s="35" t="str">
        <x:v>phone camera; amount box, written amount, memo, and endorsement visible</x:v>
      </x:c>
      <x:c r="J194" s="20" t="str">
        <x:v>P005</x:v>
      </x:c>
      <x:c r="K194" s="20" t="str">
        <x:v>U005</x:v>
      </x:c>
      <x:c r="L194" s="20" t="str">
        <x:v>L037</x:v>
      </x:c>
      <x:c r="M194" s="20" t="str">
        <x:v>FIN-00414</x:v>
      </x:c>
      <x:c r="N194" s="35" t="str">
        <x:v>payer; amount; date; check/money-order number; memo; property; unit; lease match</x:v>
      </x:c>
      <x:c r="O194" s="35" t="str"/>
      <x:c r="P194" s="35" t="str">
        <x:v>Use a different receipt on the other client to exercise the manual payment form.</x:v>
      </x:c>
      <x:c r="Q194" s="35" t="str">
        <x:v>Synthetic QA only; no real people, accounts, signatures, or properties</x:v>
      </x:c>
    </x:row>
    <x:row r="195">
      <x:c r="A195" s="20" t="str">
        <x:v>SCN-0192</x:v>
      </x:c>
      <x:c r="B195" s="23" t="n">
        <x:v>46510</x:v>
      </x:c>
      <x:c r="C195" s="20" t="str">
        <x:v>scn-0192-rent-payment-l044-20270503.pdf</x:v>
      </x:c>
      <x:c r="D195" s="20" t="str">
        <x:v>Rent check</x:v>
      </x:c>
      <x:c r="E195" s="20" t="str">
        <x:v>Payment</x:v>
      </x:c>
      <x:c r="F195" s="35" t="str">
        <x:v>Direct scan draft matched to tenant account and charge</x:v>
      </x:c>
      <x:c r="G195" s="20" t="str">
        <x:v>PDF</x:v>
      </x:c>
      <x:c r="H195" s="20" t="str">
        <x:v>1 image</x:v>
      </x:c>
      <x:c r="I195" s="35" t="str">
        <x:v>phone camera; amount box, written amount, memo, and endorsement visible</x:v>
      </x:c>
      <x:c r="J195" s="20" t="str">
        <x:v>P029</x:v>
      </x:c>
      <x:c r="K195" s="20" t="str">
        <x:v>U038</x:v>
      </x:c>
      <x:c r="L195" s="20" t="str">
        <x:v>L044</x:v>
      </x:c>
      <x:c r="M195" s="20" t="str">
        <x:v>FIN-00418</x:v>
      </x:c>
      <x:c r="N195" s="35" t="str">
        <x:v>payer; amount; date; check/money-order number; memo; property; unit; lease match</x:v>
      </x:c>
      <x:c r="O195" s="35" t="str"/>
      <x:c r="P195" s="35" t="str">
        <x:v>Use a different receipt on the other client to exercise the manual payment form.</x:v>
      </x:c>
      <x:c r="Q195" s="35" t="str">
        <x:v>Synthetic QA only; no real people, accounts, signatures, or properties</x:v>
      </x:c>
    </x:row>
    <x:row r="196">
      <x:c r="A196" s="20" t="str">
        <x:v>SCN-0193</x:v>
      </x:c>
      <x:c r="B196" s="23" t="n">
        <x:v>46542</x:v>
      </x:c>
      <x:c r="C196" s="20" t="str">
        <x:v>scn-0193-rent-payment-l001-20270604.jpg</x:v>
      </x:c>
      <x:c r="D196" s="20" t="str">
        <x:v>Money order</x:v>
      </x:c>
      <x:c r="E196" s="20" t="str">
        <x:v>Payment</x:v>
      </x:c>
      <x:c r="F196" s="35" t="str">
        <x:v>Direct scan draft matched to tenant account and charge</x:v>
      </x:c>
      <x:c r="G196" s="20" t="str">
        <x:v>Camera JPEG</x:v>
      </x:c>
      <x:c r="H196" s="20" t="str">
        <x:v>1 image</x:v>
      </x:c>
      <x:c r="I196" s="35" t="str">
        <x:v>phone camera; amount box, written amount, memo, and endorsement visible</x:v>
      </x:c>
      <x:c r="J196" s="20" t="str">
        <x:v>P001</x:v>
      </x:c>
      <x:c r="K196" s="20" t="str">
        <x:v>U001</x:v>
      </x:c>
      <x:c r="L196" s="20" t="str">
        <x:v>L001</x:v>
      </x:c>
      <x:c r="M196" s="20" t="str">
        <x:v>FIN-00422</x:v>
      </x:c>
      <x:c r="N196" s="35" t="str">
        <x:v>payer; amount; date; check/money-order number; memo; property; unit; lease match</x:v>
      </x:c>
      <x:c r="O196" s="35" t="str"/>
      <x:c r="P196" s="35" t="str">
        <x:v>Use a different receipt on the other client to exercise the manual payment form.</x:v>
      </x:c>
      <x:c r="Q196" s="35" t="str">
        <x:v>Synthetic QA only; no real people, accounts, signatures, or properties</x:v>
      </x:c>
    </x:row>
    <x:row r="197">
      <x:c r="A197" s="20" t="str">
        <x:v>SCN-0194</x:v>
      </x:c>
      <x:c r="B197" s="23" t="n">
        <x:v>46542</x:v>
      </x:c>
      <x:c r="C197" s="20" t="str">
        <x:v>scn-0194-rent-payment-l004-20270604.pdf</x:v>
      </x:c>
      <x:c r="D197" s="20" t="str">
        <x:v>Rent check</x:v>
      </x:c>
      <x:c r="E197" s="20" t="str">
        <x:v>Payment</x:v>
      </x:c>
      <x:c r="F197" s="35" t="str">
        <x:v>Direct scan draft matched to tenant account and charge</x:v>
      </x:c>
      <x:c r="G197" s="20" t="str">
        <x:v>PDF</x:v>
      </x:c>
      <x:c r="H197" s="20" t="str">
        <x:v>1 image</x:v>
      </x:c>
      <x:c r="I197" s="35" t="str">
        <x:v>phone camera; amount box, written amount, memo, and endorsement visible</x:v>
      </x:c>
      <x:c r="J197" s="20" t="str">
        <x:v>P004</x:v>
      </x:c>
      <x:c r="K197" s="20" t="str">
        <x:v>U004</x:v>
      </x:c>
      <x:c r="L197" s="20" t="str">
        <x:v>L004</x:v>
      </x:c>
      <x:c r="M197" s="20" t="str">
        <x:v>FIN-00428</x:v>
      </x:c>
      <x:c r="N197" s="35" t="str">
        <x:v>payer; amount; date; check/money-order number; memo; property; unit; lease match</x:v>
      </x:c>
      <x:c r="O197" s="35" t="str"/>
      <x:c r="P197" s="35" t="str">
        <x:v>Use a different receipt on the other client to exercise the manual payment form.</x:v>
      </x:c>
      <x:c r="Q197" s="35" t="str">
        <x:v>Synthetic QA only; no real people, accounts, signatures, or properties</x:v>
      </x:c>
    </x:row>
    <x:row r="198">
      <x:c r="A198" s="20" t="str">
        <x:v>SCN-0195</x:v>
      </x:c>
      <x:c r="B198" s="23" t="n">
        <x:v>46543</x:v>
      </x:c>
      <x:c r="C198" s="20" t="str">
        <x:v>scn-0195-rent-payment-l008-20270605.pdf</x:v>
      </x:c>
      <x:c r="D198" s="20" t="str">
        <x:v>Rent check</x:v>
      </x:c>
      <x:c r="E198" s="20" t="str">
        <x:v>Payment</x:v>
      </x:c>
      <x:c r="F198" s="35" t="str">
        <x:v>Direct scan draft matched to tenant account and charge</x:v>
      </x:c>
      <x:c r="G198" s="20" t="str">
        <x:v>PDF</x:v>
      </x:c>
      <x:c r="H198" s="20" t="str">
        <x:v>1 image</x:v>
      </x:c>
      <x:c r="I198" s="35" t="str">
        <x:v>phone camera; amount box, written amount, memo, and endorsement visible</x:v>
      </x:c>
      <x:c r="J198" s="20" t="str">
        <x:v>P008</x:v>
      </x:c>
      <x:c r="K198" s="20" t="str">
        <x:v>U008</x:v>
      </x:c>
      <x:c r="L198" s="20" t="str">
        <x:v>L008</x:v>
      </x:c>
      <x:c r="M198" s="20" t="str">
        <x:v>FIN-00434</x:v>
      </x:c>
      <x:c r="N198" s="35" t="str">
        <x:v>payer; amount; date; check/money-order number; memo; property; unit; lease match</x:v>
      </x:c>
      <x:c r="O198" s="35" t="str"/>
      <x:c r="P198" s="35" t="str">
        <x:v>Use a different receipt on the other client to exercise the manual payment form.</x:v>
      </x:c>
      <x:c r="Q198" s="35" t="str">
        <x:v>Synthetic QA only; no real people, accounts, signatures, or properties</x:v>
      </x:c>
    </x:row>
    <x:row r="199">
      <x:c r="A199" s="20" t="str">
        <x:v>SCN-0196</x:v>
      </x:c>
      <x:c r="B199" s="23" t="n">
        <x:v>46541</x:v>
      </x:c>
      <x:c r="C199" s="20" t="str">
        <x:v>scn-0196-rent-payment-l009-20270603.jpg</x:v>
      </x:c>
      <x:c r="D199" s="20" t="str">
        <x:v>Money order</x:v>
      </x:c>
      <x:c r="E199" s="20" t="str">
        <x:v>Payment</x:v>
      </x:c>
      <x:c r="F199" s="35" t="str">
        <x:v>Direct scan draft matched to tenant account and charge</x:v>
      </x:c>
      <x:c r="G199" s="20" t="str">
        <x:v>Camera JPEG</x:v>
      </x:c>
      <x:c r="H199" s="20" t="str">
        <x:v>1 image</x:v>
      </x:c>
      <x:c r="I199" s="35" t="str">
        <x:v>phone camera; amount box, written amount, memo, and endorsement visible</x:v>
      </x:c>
      <x:c r="J199" s="20" t="str">
        <x:v>P009</x:v>
      </x:c>
      <x:c r="K199" s="20" t="str">
        <x:v>U009</x:v>
      </x:c>
      <x:c r="L199" s="20" t="str">
        <x:v>L009</x:v>
      </x:c>
      <x:c r="M199" s="20" t="str">
        <x:v>FIN-00436</x:v>
      </x:c>
      <x:c r="N199" s="35" t="str">
        <x:v>payer; amount; date; check/money-order number; memo; property; unit; lease match</x:v>
      </x:c>
      <x:c r="O199" s="35" t="str"/>
      <x:c r="P199" s="35" t="str">
        <x:v>Use a different receipt on the other client to exercise the manual payment form.</x:v>
      </x:c>
      <x:c r="Q199" s="35" t="str">
        <x:v>Synthetic QA only; no real people, accounts, signatures, or properties</x:v>
      </x:c>
    </x:row>
    <x:row r="200">
      <x:c r="A200" s="20" t="str">
        <x:v>SCN-0197</x:v>
      </x:c>
      <x:c r="B200" s="23" t="n">
        <x:v>46550</x:v>
      </x:c>
      <x:c r="C200" s="20" t="str">
        <x:v>scn-0197-rent-payment-l011-20270612.jpg</x:v>
      </x:c>
      <x:c r="D200" s="20" t="str">
        <x:v>Money order</x:v>
      </x:c>
      <x:c r="E200" s="20" t="str">
        <x:v>Payment</x:v>
      </x:c>
      <x:c r="F200" s="35" t="str">
        <x:v>Direct scan draft matched to tenant account and charge</x:v>
      </x:c>
      <x:c r="G200" s="20" t="str">
        <x:v>Camera JPEG</x:v>
      </x:c>
      <x:c r="H200" s="20" t="str">
        <x:v>1 image</x:v>
      </x:c>
      <x:c r="I200" s="35" t="str">
        <x:v>phone camera; amount box, written amount, memo, and endorsement visible</x:v>
      </x:c>
      <x:c r="J200" s="20" t="str">
        <x:v>P011</x:v>
      </x:c>
      <x:c r="K200" s="20" t="str">
        <x:v>U011</x:v>
      </x:c>
      <x:c r="L200" s="20" t="str">
        <x:v>L011</x:v>
      </x:c>
      <x:c r="M200" s="20" t="str">
        <x:v>FIN-00442</x:v>
      </x:c>
      <x:c r="N200" s="35" t="str">
        <x:v>payer; amount; date; check/money-order number; memo; property; unit; lease match</x:v>
      </x:c>
      <x:c r="O200" s="35" t="str"/>
      <x:c r="P200" s="35" t="str">
        <x:v>Use a different receipt on the other client to exercise the manual payment form.</x:v>
      </x:c>
      <x:c r="Q200" s="35" t="str">
        <x:v>Synthetic QA only; no real people, accounts, signatures, or properties</x:v>
      </x:c>
    </x:row>
    <x:row r="201">
      <x:c r="A201" s="20" t="str">
        <x:v>SCN-0198</x:v>
      </x:c>
      <x:c r="B201" s="23" t="n">
        <x:v>46541</x:v>
      </x:c>
      <x:c r="C201" s="20" t="str">
        <x:v>scn-0198-rent-payment-l012-20270603.pdf</x:v>
      </x:c>
      <x:c r="D201" s="20" t="str">
        <x:v>Rent check</x:v>
      </x:c>
      <x:c r="E201" s="20" t="str">
        <x:v>Payment</x:v>
      </x:c>
      <x:c r="F201" s="35" t="str">
        <x:v>Direct scan draft matched to tenant account and charge</x:v>
      </x:c>
      <x:c r="G201" s="20" t="str">
        <x:v>PDF</x:v>
      </x:c>
      <x:c r="H201" s="20" t="str">
        <x:v>1 image</x:v>
      </x:c>
      <x:c r="I201" s="35" t="str">
        <x:v>phone camera; amount box, written amount, memo, and endorsement visible</x:v>
      </x:c>
      <x:c r="J201" s="20" t="str">
        <x:v>P012</x:v>
      </x:c>
      <x:c r="K201" s="20" t="str">
        <x:v>U012</x:v>
      </x:c>
      <x:c r="L201" s="20" t="str">
        <x:v>L012</x:v>
      </x:c>
      <x:c r="M201" s="20" t="str">
        <x:v>FIN-00444</x:v>
      </x:c>
      <x:c r="N201" s="35" t="str">
        <x:v>payer; amount; date; check/money-order number; memo; property; unit; lease match</x:v>
      </x:c>
      <x:c r="O201" s="35" t="str"/>
      <x:c r="P201" s="35" t="str">
        <x:v>Use a different receipt on the other client to exercise the manual payment form.</x:v>
      </x:c>
      <x:c r="Q201" s="35" t="str">
        <x:v>Synthetic QA only; no real people, accounts, signatures, or properties</x:v>
      </x:c>
    </x:row>
    <x:row r="202">
      <x:c r="A202" s="20" t="str">
        <x:v>SCN-0199</x:v>
      </x:c>
      <x:c r="B202" s="23" t="n">
        <x:v>46546</x:v>
      </x:c>
      <x:c r="C202" s="20" t="str">
        <x:v>scn-0199-rent-payment-l013-20270608.pdf</x:v>
      </x:c>
      <x:c r="D202" s="20" t="str">
        <x:v>Rent check</x:v>
      </x:c>
      <x:c r="E202" s="20" t="str">
        <x:v>Payment</x:v>
      </x:c>
      <x:c r="F202" s="35" t="str">
        <x:v>Direct scan draft matched to tenant account and charge</x:v>
      </x:c>
      <x:c r="G202" s="20" t="str">
        <x:v>PDF</x:v>
      </x:c>
      <x:c r="H202" s="20" t="str">
        <x:v>1 image</x:v>
      </x:c>
      <x:c r="I202" s="35" t="str">
        <x:v>phone camera; amount box, written amount, memo, and endorsement visible</x:v>
      </x:c>
      <x:c r="J202" s="20" t="str">
        <x:v>P013</x:v>
      </x:c>
      <x:c r="K202" s="20" t="str">
        <x:v>U013</x:v>
      </x:c>
      <x:c r="L202" s="20" t="str">
        <x:v>L013</x:v>
      </x:c>
      <x:c r="M202" s="20" t="str">
        <x:v>FIN-00447</x:v>
      </x:c>
      <x:c r="N202" s="35" t="str">
        <x:v>payer; amount; date; check/money-order number; memo; property; unit; lease match</x:v>
      </x:c>
      <x:c r="O202" s="35" t="str"/>
      <x:c r="P202" s="35" t="str">
        <x:v>Use a different receipt on the other client to exercise the manual payment form.</x:v>
      </x:c>
      <x:c r="Q202" s="35" t="str">
        <x:v>Synthetic QA only; no real people, accounts, signatures, or properties</x:v>
      </x:c>
    </x:row>
    <x:row r="203">
      <x:c r="A203" s="20" t="str">
        <x:v>SCN-0200</x:v>
      </x:c>
      <x:c r="B203" s="23" t="n">
        <x:v>46542</x:v>
      </x:c>
      <x:c r="C203" s="20" t="str">
        <x:v>scn-0200-rent-payment-l016-20270604.pdf</x:v>
      </x:c>
      <x:c r="D203" s="20" t="str">
        <x:v>Rent check</x:v>
      </x:c>
      <x:c r="E203" s="20" t="str">
        <x:v>Payment</x:v>
      </x:c>
      <x:c r="F203" s="35" t="str">
        <x:v>Direct scan draft matched to tenant account and charge</x:v>
      </x:c>
      <x:c r="G203" s="20" t="str">
        <x:v>PDF</x:v>
      </x:c>
      <x:c r="H203" s="20" t="str">
        <x:v>1 image</x:v>
      </x:c>
      <x:c r="I203" s="35" t="str">
        <x:v>phone camera; amount box, written amount, memo, and endorsement visible</x:v>
      </x:c>
      <x:c r="J203" s="20" t="str">
        <x:v>P016</x:v>
      </x:c>
      <x:c r="K203" s="20" t="str">
        <x:v>U016</x:v>
      </x:c>
      <x:c r="L203" s="20" t="str">
        <x:v>L016</x:v>
      </x:c>
      <x:c r="M203" s="20" t="str">
        <x:v>FIN-00451</x:v>
      </x:c>
      <x:c r="N203" s="35" t="str">
        <x:v>payer; amount; date; check/money-order number; memo; property; unit; lease match</x:v>
      </x:c>
      <x:c r="O203" s="35" t="str"/>
      <x:c r="P203" s="35" t="str">
        <x:v>Use a different receipt on the other client to exercise the manual payment form.</x:v>
      </x:c>
      <x:c r="Q203" s="35" t="str">
        <x:v>Synthetic QA only; no real people, accounts, signatures, or properties</x:v>
      </x:c>
    </x:row>
    <x:row r="204">
      <x:c r="A204" s="20" t="str">
        <x:v>SCN-0201</x:v>
      </x:c>
      <x:c r="B204" s="23" t="n">
        <x:v>46553</x:v>
      </x:c>
      <x:c r="C204" s="20" t="str">
        <x:v>scn-0201-rent-payment-l017-20270615.jpg</x:v>
      </x:c>
      <x:c r="D204" s="20" t="str">
        <x:v>Money order</x:v>
      </x:c>
      <x:c r="E204" s="20" t="str">
        <x:v>Payment</x:v>
      </x:c>
      <x:c r="F204" s="35" t="str">
        <x:v>Direct scan draft matched to tenant account and charge</x:v>
      </x:c>
      <x:c r="G204" s="20" t="str">
        <x:v>Camera JPEG</x:v>
      </x:c>
      <x:c r="H204" s="20" t="str">
        <x:v>1 image</x:v>
      </x:c>
      <x:c r="I204" s="35" t="str">
        <x:v>phone camera; amount box, written amount, memo, and endorsement visible</x:v>
      </x:c>
      <x:c r="J204" s="20" t="str">
        <x:v>P017</x:v>
      </x:c>
      <x:c r="K204" s="20" t="str">
        <x:v>U017</x:v>
      </x:c>
      <x:c r="L204" s="20" t="str">
        <x:v>L017</x:v>
      </x:c>
      <x:c r="M204" s="20" t="str">
        <x:v>FIN-00453</x:v>
      </x:c>
      <x:c r="N204" s="35" t="str">
        <x:v>payer; amount; date; check/money-order number; memo; property; unit; lease match</x:v>
      </x:c>
      <x:c r="O204" s="35" t="str"/>
      <x:c r="P204" s="35" t="str">
        <x:v>Use a different receipt on the other client to exercise the manual payment form.</x:v>
      </x:c>
      <x:c r="Q204" s="35" t="str">
        <x:v>Synthetic QA only; no real people, accounts, signatures, or properties</x:v>
      </x:c>
    </x:row>
    <x:row r="205">
      <x:c r="A205" s="20" t="str">
        <x:v>SCN-0202</x:v>
      </x:c>
      <x:c r="B205" s="23" t="n">
        <x:v>46543</x:v>
      </x:c>
      <x:c r="C205" s="20" t="str">
        <x:v>scn-0202-rent-payment-l020-20270605.pdf</x:v>
      </x:c>
      <x:c r="D205" s="20" t="str">
        <x:v>Rent check</x:v>
      </x:c>
      <x:c r="E205" s="20" t="str">
        <x:v>Payment</x:v>
      </x:c>
      <x:c r="F205" s="35" t="str">
        <x:v>Direct scan draft matched to tenant account and charge</x:v>
      </x:c>
      <x:c r="G205" s="20" t="str">
        <x:v>PDF</x:v>
      </x:c>
      <x:c r="H205" s="20" t="str">
        <x:v>1 image</x:v>
      </x:c>
      <x:c r="I205" s="35" t="str">
        <x:v>phone camera; amount box, written amount, memo, and endorsement visible</x:v>
      </x:c>
      <x:c r="J205" s="20" t="str">
        <x:v>P020</x:v>
      </x:c>
      <x:c r="K205" s="20" t="str">
        <x:v>U020</x:v>
      </x:c>
      <x:c r="L205" s="20" t="str">
        <x:v>L020</x:v>
      </x:c>
      <x:c r="M205" s="20" t="str">
        <x:v>FIN-00459</x:v>
      </x:c>
      <x:c r="N205" s="35" t="str">
        <x:v>payer; amount; date; check/money-order number; memo; property; unit; lease match</x:v>
      </x:c>
      <x:c r="O205" s="35" t="str">
        <x:v>handwritten memo and similar tenant names</x:v>
      </x:c>
      <x:c r="P205" s="35" t="str">
        <x:v>Use a different receipt on the other client to exercise the manual payment form.</x:v>
      </x:c>
      <x:c r="Q205" s="35" t="str">
        <x:v>Synthetic QA only; no real people, accounts, signatures, or properties</x:v>
      </x:c>
    </x:row>
    <x:row r="206">
      <x:c r="A206" s="20" t="str">
        <x:v>SCN-0203</x:v>
      </x:c>
      <x:c r="B206" s="23" t="n">
        <x:v>46541</x:v>
      </x:c>
      <x:c r="C206" s="20" t="str">
        <x:v>scn-0203-rent-payment-l021-20270603.jpg</x:v>
      </x:c>
      <x:c r="D206" s="20" t="str">
        <x:v>Money order</x:v>
      </x:c>
      <x:c r="E206" s="20" t="str">
        <x:v>Payment</x:v>
      </x:c>
      <x:c r="F206" s="35" t="str">
        <x:v>Direct scan draft matched to tenant account and charge</x:v>
      </x:c>
      <x:c r="G206" s="20" t="str">
        <x:v>Camera JPEG</x:v>
      </x:c>
      <x:c r="H206" s="20" t="str">
        <x:v>1 image</x:v>
      </x:c>
      <x:c r="I206" s="35" t="str">
        <x:v>phone camera; amount box, written amount, memo, and endorsement visible</x:v>
      </x:c>
      <x:c r="J206" s="20" t="str">
        <x:v>P021</x:v>
      </x:c>
      <x:c r="K206" s="20" t="str">
        <x:v>U021</x:v>
      </x:c>
      <x:c r="L206" s="20" t="str">
        <x:v>L021</x:v>
      </x:c>
      <x:c r="M206" s="20" t="str">
        <x:v>FIN-00461</x:v>
      </x:c>
      <x:c r="N206" s="35" t="str">
        <x:v>payer; amount; date; check/money-order number; memo; property; unit; lease match</x:v>
      </x:c>
      <x:c r="O206" s="35" t="str"/>
      <x:c r="P206" s="35" t="str">
        <x:v>Use a different receipt on the other client to exercise the manual payment form.</x:v>
      </x:c>
      <x:c r="Q206" s="35" t="str">
        <x:v>Synthetic QA only; no real people, accounts, signatures, or properties</x:v>
      </x:c>
    </x:row>
    <x:row r="207">
      <x:c r="A207" s="20" t="str">
        <x:v>SCN-0204</x:v>
      </x:c>
      <x:c r="B207" s="23" t="n">
        <x:v>46550</x:v>
      </x:c>
      <x:c r="C207" s="20" t="str">
        <x:v>scn-0204-rent-payment-l022-20270612.pdf</x:v>
      </x:c>
      <x:c r="D207" s="20" t="str">
        <x:v>Rent check</x:v>
      </x:c>
      <x:c r="E207" s="20" t="str">
        <x:v>Payment</x:v>
      </x:c>
      <x:c r="F207" s="35" t="str">
        <x:v>Direct scan draft matched to tenant account and charge</x:v>
      </x:c>
      <x:c r="G207" s="20" t="str">
        <x:v>PDF</x:v>
      </x:c>
      <x:c r="H207" s="20" t="str">
        <x:v>1 image</x:v>
      </x:c>
      <x:c r="I207" s="35" t="str">
        <x:v>phone camera; amount box, written amount, memo, and endorsement visible</x:v>
      </x:c>
      <x:c r="J207" s="20" t="str">
        <x:v>P021</x:v>
      </x:c>
      <x:c r="K207" s="20" t="str">
        <x:v>U022</x:v>
      </x:c>
      <x:c r="L207" s="20" t="str">
        <x:v>L022</x:v>
      </x:c>
      <x:c r="M207" s="20" t="str">
        <x:v>FIN-00465</x:v>
      </x:c>
      <x:c r="N207" s="35" t="str">
        <x:v>payer; amount; date; check/money-order number; memo; property; unit; lease match</x:v>
      </x:c>
      <x:c r="O207" s="35" t="str"/>
      <x:c r="P207" s="35" t="str">
        <x:v>Use a different receipt on the other client to exercise the manual payment form.</x:v>
      </x:c>
      <x:c r="Q207" s="35" t="str">
        <x:v>Synthetic QA only; no real people, accounts, signatures, or properties</x:v>
      </x:c>
    </x:row>
    <x:row r="208">
      <x:c r="A208" s="20" t="str">
        <x:v>SCN-0205</x:v>
      </x:c>
      <x:c r="B208" s="23" t="n">
        <x:v>46541</x:v>
      </x:c>
      <x:c r="C208" s="20" t="str">
        <x:v>scn-0205-rent-payment-l024-20270603.pdf</x:v>
      </x:c>
      <x:c r="D208" s="20" t="str">
        <x:v>Rent check</x:v>
      </x:c>
      <x:c r="E208" s="20" t="str">
        <x:v>Payment</x:v>
      </x:c>
      <x:c r="F208" s="35" t="str">
        <x:v>Direct scan draft matched to tenant account and charge</x:v>
      </x:c>
      <x:c r="G208" s="20" t="str">
        <x:v>PDF</x:v>
      </x:c>
      <x:c r="H208" s="20" t="str">
        <x:v>1 image</x:v>
      </x:c>
      <x:c r="I208" s="35" t="str">
        <x:v>phone camera; amount box, written amount, memo, and endorsement visible</x:v>
      </x:c>
      <x:c r="J208" s="20" t="str">
        <x:v>P022</x:v>
      </x:c>
      <x:c r="K208" s="20" t="str">
        <x:v>U024</x:v>
      </x:c>
      <x:c r="L208" s="20" t="str">
        <x:v>L024</x:v>
      </x:c>
      <x:c r="M208" s="20" t="str">
        <x:v>FIN-00469</x:v>
      </x:c>
      <x:c r="N208" s="35" t="str">
        <x:v>payer; amount; date; check/money-order number; memo; property; unit; lease match</x:v>
      </x:c>
      <x:c r="O208" s="35" t="str"/>
      <x:c r="P208" s="35" t="str">
        <x:v>Use a different receipt on the other client to exercise the manual payment form.</x:v>
      </x:c>
      <x:c r="Q208" s="35" t="str">
        <x:v>Synthetic QA only; no real people, accounts, signatures, or properties</x:v>
      </x:c>
    </x:row>
    <x:row r="209">
      <x:c r="A209" s="20" t="str">
        <x:v>SCN-0206</x:v>
      </x:c>
      <x:c r="B209" s="23" t="n">
        <x:v>46542</x:v>
      </x:c>
      <x:c r="C209" s="20" t="str">
        <x:v>scn-0206-rent-payment-l025-20270604.jpg</x:v>
      </x:c>
      <x:c r="D209" s="20" t="str">
        <x:v>Money order</x:v>
      </x:c>
      <x:c r="E209" s="20" t="str">
        <x:v>Payment</x:v>
      </x:c>
      <x:c r="F209" s="35" t="str">
        <x:v>Direct scan draft matched to tenant account and charge</x:v>
      </x:c>
      <x:c r="G209" s="20" t="str">
        <x:v>Camera JPEG</x:v>
      </x:c>
      <x:c r="H209" s="20" t="str">
        <x:v>1 image</x:v>
      </x:c>
      <x:c r="I209" s="35" t="str">
        <x:v>phone camera; amount box, written amount, memo, and endorsement visible</x:v>
      </x:c>
      <x:c r="J209" s="20" t="str">
        <x:v>P023</x:v>
      </x:c>
      <x:c r="K209" s="20" t="str">
        <x:v>U025</x:v>
      </x:c>
      <x:c r="L209" s="20" t="str">
        <x:v>L025</x:v>
      </x:c>
      <x:c r="M209" s="20" t="str">
        <x:v>FIN-00471</x:v>
      </x:c>
      <x:c r="N209" s="35" t="str">
        <x:v>payer; amount; date; check/money-order number; memo; property; unit; lease match</x:v>
      </x:c>
      <x:c r="O209" s="35" t="str">
        <x:v>handwritten memo and similar tenant names</x:v>
      </x:c>
      <x:c r="P209" s="35" t="str">
        <x:v>Use a different receipt on the other client to exercise the manual payment form.</x:v>
      </x:c>
      <x:c r="Q209" s="35" t="str">
        <x:v>Synthetic QA only; no real people, accounts, signatures, or properties</x:v>
      </x:c>
    </x:row>
    <x:row r="210">
      <x:c r="A210" s="20" t="str">
        <x:v>SCN-0207</x:v>
      </x:c>
      <x:c r="B210" s="23" t="n">
        <x:v>46546</x:v>
      </x:c>
      <x:c r="C210" s="20" t="str">
        <x:v>scn-0207-rent-payment-l026-20270608.jpg</x:v>
      </x:c>
      <x:c r="D210" s="20" t="str">
        <x:v>Money order</x:v>
      </x:c>
      <x:c r="E210" s="20" t="str">
        <x:v>Payment</x:v>
      </x:c>
      <x:c r="F210" s="35" t="str">
        <x:v>Direct scan draft matched to tenant account and charge</x:v>
      </x:c>
      <x:c r="G210" s="20" t="str">
        <x:v>Camera JPEG</x:v>
      </x:c>
      <x:c r="H210" s="20" t="str">
        <x:v>1 image</x:v>
      </x:c>
      <x:c r="I210" s="35" t="str">
        <x:v>phone camera; amount box, written amount, memo, and endorsement visible</x:v>
      </x:c>
      <x:c r="J210" s="20" t="str">
        <x:v>P023</x:v>
      </x:c>
      <x:c r="K210" s="20" t="str">
        <x:v>U026</x:v>
      </x:c>
      <x:c r="L210" s="20" t="str">
        <x:v>L026</x:v>
      </x:c>
      <x:c r="M210" s="20" t="str">
        <x:v>FIN-00474</x:v>
      </x:c>
      <x:c r="N210" s="35" t="str">
        <x:v>payer; amount; date; check/money-order number; memo; property; unit; lease match</x:v>
      </x:c>
      <x:c r="O210" s="35" t="str"/>
      <x:c r="P210" s="35" t="str">
        <x:v>Use a different receipt on the other client to exercise the manual payment form.</x:v>
      </x:c>
      <x:c r="Q210" s="35" t="str">
        <x:v>Synthetic QA only; no real people, accounts, signatures, or properties</x:v>
      </x:c>
    </x:row>
    <x:row r="211">
      <x:c r="A211" s="20" t="str">
        <x:v>SCN-0208</x:v>
      </x:c>
      <x:c r="B211" s="23" t="n">
        <x:v>46542</x:v>
      </x:c>
      <x:c r="C211" s="20" t="str">
        <x:v>scn-0208-rent-payment-l028-20270604.pdf</x:v>
      </x:c>
      <x:c r="D211" s="20" t="str">
        <x:v>Rent check</x:v>
      </x:c>
      <x:c r="E211" s="20" t="str">
        <x:v>Payment</x:v>
      </x:c>
      <x:c r="F211" s="35" t="str">
        <x:v>Direct scan draft matched to tenant account and charge</x:v>
      </x:c>
      <x:c r="G211" s="20" t="str">
        <x:v>PDF</x:v>
      </x:c>
      <x:c r="H211" s="20" t="str">
        <x:v>1 image</x:v>
      </x:c>
      <x:c r="I211" s="35" t="str">
        <x:v>phone camera; amount box, written amount, memo, and endorsement visible</x:v>
      </x:c>
      <x:c r="J211" s="20" t="str">
        <x:v>P024</x:v>
      </x:c>
      <x:c r="K211" s="20" t="str">
        <x:v>U028</x:v>
      </x:c>
      <x:c r="L211" s="20" t="str">
        <x:v>L028</x:v>
      </x:c>
      <x:c r="M211" s="20" t="str">
        <x:v>FIN-00478</x:v>
      </x:c>
      <x:c r="N211" s="35" t="str">
        <x:v>payer; amount; date; check/money-order number; memo; property; unit; lease match</x:v>
      </x:c>
      <x:c r="O211" s="35" t="str"/>
      <x:c r="P211" s="35" t="str">
        <x:v>Use a different receipt on the other client to exercise the manual payment form.</x:v>
      </x:c>
      <x:c r="Q211" s="35" t="str">
        <x:v>Synthetic QA only; no real people, accounts, signatures, or properties</x:v>
      </x:c>
    </x:row>
    <x:row r="212">
      <x:c r="A212" s="20" t="str">
        <x:v>SCN-0209</x:v>
      </x:c>
      <x:c r="B212" s="23" t="n">
        <x:v>46543</x:v>
      </x:c>
      <x:c r="C212" s="20" t="str">
        <x:v>scn-0209-rent-payment-l029-20270605.jpg</x:v>
      </x:c>
      <x:c r="D212" s="20" t="str">
        <x:v>Money order</x:v>
      </x:c>
      <x:c r="E212" s="20" t="str">
        <x:v>Payment</x:v>
      </x:c>
      <x:c r="F212" s="35" t="str">
        <x:v>Direct scan draft matched to tenant account and charge</x:v>
      </x:c>
      <x:c r="G212" s="20" t="str">
        <x:v>Camera JPEG</x:v>
      </x:c>
      <x:c r="H212" s="20" t="str">
        <x:v>1 image</x:v>
      </x:c>
      <x:c r="I212" s="35" t="str">
        <x:v>phone camera; amount box, written amount, memo, and endorsement visible</x:v>
      </x:c>
      <x:c r="J212" s="20" t="str">
        <x:v>P025</x:v>
      </x:c>
      <x:c r="K212" s="20" t="str">
        <x:v>U029</x:v>
      </x:c>
      <x:c r="L212" s="20" t="str">
        <x:v>L029</x:v>
      </x:c>
      <x:c r="M212" s="20" t="str">
        <x:v>FIN-00480</x:v>
      </x:c>
      <x:c r="N212" s="35" t="str">
        <x:v>payer; amount; date; check/money-order number; memo; property; unit; lease match</x:v>
      </x:c>
      <x:c r="O212" s="35" t="str"/>
      <x:c r="P212" s="35" t="str">
        <x:v>Use a different receipt on the other client to exercise the manual payment form.</x:v>
      </x:c>
      <x:c r="Q212" s="35" t="str">
        <x:v>Synthetic QA only; no real people, accounts, signatures, or properties</x:v>
      </x:c>
    </x:row>
    <x:row r="213">
      <x:c r="A213" s="20" t="str">
        <x:v>SCN-0210</x:v>
      </x:c>
      <x:c r="B213" s="23" t="n">
        <x:v>46543</x:v>
      </x:c>
      <x:c r="C213" s="20" t="str">
        <x:v>scn-0210-rent-payment-l032-20270605.pdf</x:v>
      </x:c>
      <x:c r="D213" s="20" t="str">
        <x:v>Rent check</x:v>
      </x:c>
      <x:c r="E213" s="20" t="str">
        <x:v>Payment</x:v>
      </x:c>
      <x:c r="F213" s="35" t="str">
        <x:v>Direct scan draft matched to tenant account and charge</x:v>
      </x:c>
      <x:c r="G213" s="20" t="str">
        <x:v>PDF</x:v>
      </x:c>
      <x:c r="H213" s="20" t="str">
        <x:v>1 image</x:v>
      </x:c>
      <x:c r="I213" s="35" t="str">
        <x:v>phone camera; amount box, written amount, memo, and endorsement visible</x:v>
      </x:c>
      <x:c r="J213" s="20" t="str">
        <x:v>P026</x:v>
      </x:c>
      <x:c r="K213" s="20" t="str">
        <x:v>U032</x:v>
      </x:c>
      <x:c r="L213" s="20" t="str">
        <x:v>L032</x:v>
      </x:c>
      <x:c r="M213" s="20" t="str">
        <x:v>FIN-00486</x:v>
      </x:c>
      <x:c r="N213" s="35" t="str">
        <x:v>payer; amount; date; check/money-order number; memo; property; unit; lease match</x:v>
      </x:c>
      <x:c r="O213" s="35" t="str"/>
      <x:c r="P213" s="35" t="str">
        <x:v>Use a different receipt on the other client to exercise the manual payment form.</x:v>
      </x:c>
      <x:c r="Q213" s="35" t="str">
        <x:v>Synthetic QA only; no real people, accounts, signatures, or properties</x:v>
      </x:c>
    </x:row>
    <x:row r="214">
      <x:c r="A214" s="20" t="str">
        <x:v>SCN-0211</x:v>
      </x:c>
      <x:c r="B214" s="23" t="n">
        <x:v>46541</x:v>
      </x:c>
      <x:c r="C214" s="20" t="str">
        <x:v>scn-0211-rent-payment-l033-20270603.jpg</x:v>
      </x:c>
      <x:c r="D214" s="20" t="str">
        <x:v>Money order</x:v>
      </x:c>
      <x:c r="E214" s="20" t="str">
        <x:v>Payment</x:v>
      </x:c>
      <x:c r="F214" s="35" t="str">
        <x:v>Direct scan draft matched to tenant account and charge</x:v>
      </x:c>
      <x:c r="G214" s="20" t="str">
        <x:v>Camera JPEG</x:v>
      </x:c>
      <x:c r="H214" s="20" t="str">
        <x:v>1 image</x:v>
      </x:c>
      <x:c r="I214" s="35" t="str">
        <x:v>phone camera; amount box, written amount, memo, and endorsement visible</x:v>
      </x:c>
      <x:c r="J214" s="20" t="str">
        <x:v>P027</x:v>
      </x:c>
      <x:c r="K214" s="20" t="str">
        <x:v>U033</x:v>
      </x:c>
      <x:c r="L214" s="20" t="str">
        <x:v>L033</x:v>
      </x:c>
      <x:c r="M214" s="20" t="str">
        <x:v>FIN-00488</x:v>
      </x:c>
      <x:c r="N214" s="35" t="str">
        <x:v>payer; amount; date; check/money-order number; memo; property; unit; lease match</x:v>
      </x:c>
      <x:c r="O214" s="35" t="str"/>
      <x:c r="P214" s="35" t="str">
        <x:v>Use a different receipt on the other client to exercise the manual payment form.</x:v>
      </x:c>
      <x:c r="Q214" s="35" t="str">
        <x:v>Synthetic QA only; no real people, accounts, signatures, or properties</x:v>
      </x:c>
    </x:row>
    <x:row r="215">
      <x:c r="A215" s="20" t="str">
        <x:v>SCN-0212</x:v>
      </x:c>
      <x:c r="B215" s="23" t="n">
        <x:v>46541</x:v>
      </x:c>
      <x:c r="C215" s="20" t="str">
        <x:v>scn-0212-rent-payment-l036-20270603.pdf</x:v>
      </x:c>
      <x:c r="D215" s="20" t="str">
        <x:v>Rent check</x:v>
      </x:c>
      <x:c r="E215" s="20" t="str">
        <x:v>Payment</x:v>
      </x:c>
      <x:c r="F215" s="35" t="str">
        <x:v>Direct scan draft matched to tenant account and charge</x:v>
      </x:c>
      <x:c r="G215" s="20" t="str">
        <x:v>PDF</x:v>
      </x:c>
      <x:c r="H215" s="20" t="str">
        <x:v>1 image</x:v>
      </x:c>
      <x:c r="I215" s="35" t="str">
        <x:v>phone camera; amount box, written amount, memo, and endorsement visible</x:v>
      </x:c>
      <x:c r="J215" s="20" t="str">
        <x:v>P028</x:v>
      </x:c>
      <x:c r="K215" s="20" t="str">
        <x:v>U036</x:v>
      </x:c>
      <x:c r="L215" s="20" t="str">
        <x:v>L036</x:v>
      </x:c>
      <x:c r="M215" s="20" t="str">
        <x:v>FIN-00496</x:v>
      </x:c>
      <x:c r="N215" s="35" t="str">
        <x:v>payer; amount; date; check/money-order number; memo; property; unit; lease match</x:v>
      </x:c>
      <x:c r="O215" s="35" t="str"/>
      <x:c r="P215" s="35" t="str">
        <x:v>Use a different receipt on the other client to exercise the manual payment form.</x:v>
      </x:c>
      <x:c r="Q215" s="35" t="str">
        <x:v>Synthetic QA only; no real people, accounts, signatures, or properties</x:v>
      </x:c>
    </x:row>
    <x:row r="216">
      <x:c r="A216" s="20" t="str">
        <x:v>SCN-0213</x:v>
      </x:c>
      <x:c r="B216" s="23" t="n">
        <x:v>46542</x:v>
      </x:c>
      <x:c r="C216" s="20" t="str">
        <x:v>scn-0213-rent-payment-l037-20270604.jpg</x:v>
      </x:c>
      <x:c r="D216" s="20" t="str">
        <x:v>Money order</x:v>
      </x:c>
      <x:c r="E216" s="20" t="str">
        <x:v>Payment</x:v>
      </x:c>
      <x:c r="F216" s="35" t="str">
        <x:v>Direct scan draft matched to tenant account and charge</x:v>
      </x:c>
      <x:c r="G216" s="20" t="str">
        <x:v>Camera JPEG</x:v>
      </x:c>
      <x:c r="H216" s="20" t="str">
        <x:v>1 image</x:v>
      </x:c>
      <x:c r="I216" s="35" t="str">
        <x:v>phone camera; amount box, written amount, memo, and endorsement visible</x:v>
      </x:c>
      <x:c r="J216" s="20" t="str">
        <x:v>P005</x:v>
      </x:c>
      <x:c r="K216" s="20" t="str">
        <x:v>U005</x:v>
      </x:c>
      <x:c r="L216" s="20" t="str">
        <x:v>L037</x:v>
      </x:c>
      <x:c r="M216" s="20" t="str">
        <x:v>FIN-00498</x:v>
      </x:c>
      <x:c r="N216" s="35" t="str">
        <x:v>payer; amount; date; check/money-order number; memo; property; unit; lease match</x:v>
      </x:c>
      <x:c r="O216" s="35" t="str"/>
      <x:c r="P216" s="35" t="str">
        <x:v>Use a different receipt on the other client to exercise the manual payment form.</x:v>
      </x:c>
      <x:c r="Q216" s="35" t="str">
        <x:v>Synthetic QA only; no real people, accounts, signatures, or properties</x:v>
      </x:c>
    </x:row>
    <x:row r="217">
      <x:c r="A217" s="20" t="str">
        <x:v>SCN-0214</x:v>
      </x:c>
      <x:c r="B217" s="23" t="n">
        <x:v>46541</x:v>
      </x:c>
      <x:c r="C217" s="20" t="str">
        <x:v>scn-0214-rent-payment-l044-20270603.pdf</x:v>
      </x:c>
      <x:c r="D217" s="20" t="str">
        <x:v>Rent check</x:v>
      </x:c>
      <x:c r="E217" s="20" t="str">
        <x:v>Payment</x:v>
      </x:c>
      <x:c r="F217" s="35" t="str">
        <x:v>Direct scan draft matched to tenant account and charge</x:v>
      </x:c>
      <x:c r="G217" s="20" t="str">
        <x:v>PDF</x:v>
      </x:c>
      <x:c r="H217" s="20" t="str">
        <x:v>1 image</x:v>
      </x:c>
      <x:c r="I217" s="35" t="str">
        <x:v>phone camera; amount box, written amount, memo, and endorsement visible</x:v>
      </x:c>
      <x:c r="J217" s="20" t="str">
        <x:v>P029</x:v>
      </x:c>
      <x:c r="K217" s="20" t="str">
        <x:v>U038</x:v>
      </x:c>
      <x:c r="L217" s="20" t="str">
        <x:v>L044</x:v>
      </x:c>
      <x:c r="M217" s="20" t="str">
        <x:v>FIN-00502</x:v>
      </x:c>
      <x:c r="N217" s="35" t="str">
        <x:v>payer; amount; date; check/money-order number; memo; property; unit; lease match</x:v>
      </x:c>
      <x:c r="O217" s="35" t="str"/>
      <x:c r="P217" s="35" t="str">
        <x:v>Use a different receipt on the other client to exercise the manual payment form.</x:v>
      </x:c>
      <x:c r="Q217" s="35" t="str">
        <x:v>Synthetic QA only; no real people, accounts, signatures, or properties</x:v>
      </x:c>
    </x:row>
    <x:row r="218">
      <x:c r="A218" s="20" t="str">
        <x:v>SCN-0215</x:v>
      </x:c>
      <x:c r="B218" s="23" t="n">
        <x:v>46541</x:v>
      </x:c>
      <x:c r="C218" s="20" t="str">
        <x:v>scn-0215-rent-payment-l045-20270603.jpg</x:v>
      </x:c>
      <x:c r="D218" s="20" t="str">
        <x:v>Money order</x:v>
      </x:c>
      <x:c r="E218" s="20" t="str">
        <x:v>Payment</x:v>
      </x:c>
      <x:c r="F218" s="35" t="str">
        <x:v>Direct scan draft matched to tenant account and charge</x:v>
      </x:c>
      <x:c r="G218" s="20" t="str">
        <x:v>Camera JPEG</x:v>
      </x:c>
      <x:c r="H218" s="20" t="str">
        <x:v>1 image</x:v>
      </x:c>
      <x:c r="I218" s="35" t="str">
        <x:v>phone camera; amount box, written amount, memo, and endorsement visible</x:v>
      </x:c>
      <x:c r="J218" s="20" t="str">
        <x:v>P030</x:v>
      </x:c>
      <x:c r="K218" s="20" t="str">
        <x:v>U039</x:v>
      </x:c>
      <x:c r="L218" s="20" t="str">
        <x:v>L045</x:v>
      </x:c>
      <x:c r="M218" s="20" t="str">
        <x:v>FIN-00506</x:v>
      </x:c>
      <x:c r="N218" s="35" t="str">
        <x:v>payer; amount; date; check/money-order number; memo; property; unit; lease match</x:v>
      </x:c>
      <x:c r="O218" s="35" t="str">
        <x:v>handwritten memo and similar tenant names</x:v>
      </x:c>
      <x:c r="P218" s="35" t="str">
        <x:v>Use a different receipt on the other client to exercise the manual payment form.</x:v>
      </x:c>
      <x:c r="Q218" s="35" t="str">
        <x:v>Synthetic QA only; no real people, accounts, signatures, or properties</x:v>
      </x:c>
    </x:row>
    <x:row r="219">
      <x:c r="A219" s="20" t="str">
        <x:v>SCN-0216</x:v>
      </x:c>
      <x:c r="B219" s="23" t="n">
        <x:v>46572</x:v>
      </x:c>
      <x:c r="C219" s="20" t="str">
        <x:v>scn-0216-rent-payment-l001-20270704.jpg</x:v>
      </x:c>
      <x:c r="D219" s="20" t="str">
        <x:v>Money order</x:v>
      </x:c>
      <x:c r="E219" s="20" t="str">
        <x:v>Payment</x:v>
      </x:c>
      <x:c r="F219" s="35" t="str">
        <x:v>Direct scan draft matched to tenant account and charge</x:v>
      </x:c>
      <x:c r="G219" s="20" t="str">
        <x:v>Camera JPEG</x:v>
      </x:c>
      <x:c r="H219" s="20" t="str">
        <x:v>1 image</x:v>
      </x:c>
      <x:c r="I219" s="35" t="str">
        <x:v>phone camera; amount box, written amount, memo, and endorsement visible</x:v>
      </x:c>
      <x:c r="J219" s="20" t="str">
        <x:v>P001</x:v>
      </x:c>
      <x:c r="K219" s="20" t="str">
        <x:v>U001</x:v>
      </x:c>
      <x:c r="L219" s="20" t="str">
        <x:v>L001</x:v>
      </x:c>
      <x:c r="M219" s="20" t="str">
        <x:v>FIN-00508</x:v>
      </x:c>
      <x:c r="N219" s="35" t="str">
        <x:v>payer; amount; date; check/money-order number; memo; property; unit; lease match</x:v>
      </x:c>
      <x:c r="O219" s="35" t="str"/>
      <x:c r="P219" s="35" t="str">
        <x:v>Use a different receipt on the other client to exercise the manual payment form.</x:v>
      </x:c>
      <x:c r="Q219" s="35" t="str">
        <x:v>Synthetic QA only; no real people, accounts, signatures, or properties</x:v>
      </x:c>
    </x:row>
    <x:row r="220">
      <x:c r="A220" s="20" t="str">
        <x:v>SCN-0217</x:v>
      </x:c>
      <x:c r="B220" s="23" t="n">
        <x:v>46572</x:v>
      </x:c>
      <x:c r="C220" s="20" t="str">
        <x:v>scn-0217-rent-payment-l004-20270704.pdf</x:v>
      </x:c>
      <x:c r="D220" s="20" t="str">
        <x:v>Rent check</x:v>
      </x:c>
      <x:c r="E220" s="20" t="str">
        <x:v>Payment</x:v>
      </x:c>
      <x:c r="F220" s="35" t="str">
        <x:v>Direct scan draft matched to tenant account and charge</x:v>
      </x:c>
      <x:c r="G220" s="20" t="str">
        <x:v>PDF</x:v>
      </x:c>
      <x:c r="H220" s="20" t="str">
        <x:v>1 image</x:v>
      </x:c>
      <x:c r="I220" s="35" t="str">
        <x:v>phone camera; amount box, written amount, memo, and endorsement visible</x:v>
      </x:c>
      <x:c r="J220" s="20" t="str">
        <x:v>P004</x:v>
      </x:c>
      <x:c r="K220" s="20" t="str">
        <x:v>U004</x:v>
      </x:c>
      <x:c r="L220" s="20" t="str">
        <x:v>L004</x:v>
      </x:c>
      <x:c r="M220" s="20" t="str">
        <x:v>FIN-00514</x:v>
      </x:c>
      <x:c r="N220" s="35" t="str">
        <x:v>payer; amount; date; check/money-order number; memo; property; unit; lease match</x:v>
      </x:c>
      <x:c r="O220" s="35" t="str"/>
      <x:c r="P220" s="35" t="str">
        <x:v>Use a different receipt on the other client to exercise the manual payment form.</x:v>
      </x:c>
      <x:c r="Q220" s="35" t="str">
        <x:v>Synthetic QA only; no real people, accounts, signatures, or properties</x:v>
      </x:c>
    </x:row>
    <x:row r="221">
      <x:c r="A221" s="20" t="str">
        <x:v>SCN-0218</x:v>
      </x:c>
      <x:c r="B221" s="23" t="n">
        <x:v>46573</x:v>
      </x:c>
      <x:c r="C221" s="20" t="str">
        <x:v>scn-0218-rent-payment-l008-20270705.pdf</x:v>
      </x:c>
      <x:c r="D221" s="20" t="str">
        <x:v>Rent check</x:v>
      </x:c>
      <x:c r="E221" s="20" t="str">
        <x:v>Payment</x:v>
      </x:c>
      <x:c r="F221" s="35" t="str">
        <x:v>Direct scan draft matched to tenant account and charge</x:v>
      </x:c>
      <x:c r="G221" s="20" t="str">
        <x:v>PDF</x:v>
      </x:c>
      <x:c r="H221" s="20" t="str">
        <x:v>1 image</x:v>
      </x:c>
      <x:c r="I221" s="35" t="str">
        <x:v>phone camera; amount box, written amount, memo, and endorsement visible</x:v>
      </x:c>
      <x:c r="J221" s="20" t="str">
        <x:v>P008</x:v>
      </x:c>
      <x:c r="K221" s="20" t="str">
        <x:v>U008</x:v>
      </x:c>
      <x:c r="L221" s="20" t="str">
        <x:v>L008</x:v>
      </x:c>
      <x:c r="M221" s="20" t="str">
        <x:v>FIN-00520</x:v>
      </x:c>
      <x:c r="N221" s="35" t="str">
        <x:v>payer; amount; date; check/money-order number; memo; property; unit; lease match</x:v>
      </x:c>
      <x:c r="O221" s="35" t="str"/>
      <x:c r="P221" s="35" t="str">
        <x:v>Use a different receipt on the other client to exercise the manual payment form.</x:v>
      </x:c>
      <x:c r="Q221" s="35" t="str">
        <x:v>Synthetic QA only; no real people, accounts, signatures, or properties</x:v>
      </x:c>
    </x:row>
    <x:row r="222">
      <x:c r="A222" s="20" t="str">
        <x:v>SCN-0219</x:v>
      </x:c>
      <x:c r="B222" s="23" t="n">
        <x:v>46571</x:v>
      </x:c>
      <x:c r="C222" s="20" t="str">
        <x:v>scn-0219-rent-payment-l009-20270703.jpg</x:v>
      </x:c>
      <x:c r="D222" s="20" t="str">
        <x:v>Money order</x:v>
      </x:c>
      <x:c r="E222" s="20" t="str">
        <x:v>Payment</x:v>
      </x:c>
      <x:c r="F222" s="35" t="str">
        <x:v>Direct scan draft matched to tenant account and charge</x:v>
      </x:c>
      <x:c r="G222" s="20" t="str">
        <x:v>Camera JPEG</x:v>
      </x:c>
      <x:c r="H222" s="20" t="str">
        <x:v>1 image</x:v>
      </x:c>
      <x:c r="I222" s="35" t="str">
        <x:v>phone camera; amount box, written amount, memo, and endorsement visible</x:v>
      </x:c>
      <x:c r="J222" s="20" t="str">
        <x:v>P009</x:v>
      </x:c>
      <x:c r="K222" s="20" t="str">
        <x:v>U009</x:v>
      </x:c>
      <x:c r="L222" s="20" t="str">
        <x:v>L009</x:v>
      </x:c>
      <x:c r="M222" s="20" t="str">
        <x:v>FIN-00522</x:v>
      </x:c>
      <x:c r="N222" s="35" t="str">
        <x:v>payer; amount; date; check/money-order number; memo; property; unit; lease match</x:v>
      </x:c>
      <x:c r="O222" s="35" t="str"/>
      <x:c r="P222" s="35" t="str">
        <x:v>Use a different receipt on the other client to exercise the manual payment form.</x:v>
      </x:c>
      <x:c r="Q222" s="35" t="str">
        <x:v>Synthetic QA only; no real people, accounts, signatures, or properties</x:v>
      </x:c>
    </x:row>
    <x:row r="223">
      <x:c r="A223" s="20" t="str">
        <x:v>SCN-0220</x:v>
      </x:c>
      <x:c r="B223" s="23" t="n">
        <x:v>46580</x:v>
      </x:c>
      <x:c r="C223" s="20" t="str">
        <x:v>scn-0220-rent-payment-l011-20270712.jpg</x:v>
      </x:c>
      <x:c r="D223" s="20" t="str">
        <x:v>Money order</x:v>
      </x:c>
      <x:c r="E223" s="20" t="str">
        <x:v>Payment</x:v>
      </x:c>
      <x:c r="F223" s="35" t="str">
        <x:v>Direct scan draft matched to tenant account and charge</x:v>
      </x:c>
      <x:c r="G223" s="20" t="str">
        <x:v>Camera JPEG</x:v>
      </x:c>
      <x:c r="H223" s="20" t="str">
        <x:v>1 image</x:v>
      </x:c>
      <x:c r="I223" s="35" t="str">
        <x:v>phone camera; amount box, written amount, memo, and endorsement visible</x:v>
      </x:c>
      <x:c r="J223" s="20" t="str">
        <x:v>P011</x:v>
      </x:c>
      <x:c r="K223" s="20" t="str">
        <x:v>U011</x:v>
      </x:c>
      <x:c r="L223" s="20" t="str">
        <x:v>L011</x:v>
      </x:c>
      <x:c r="M223" s="20" t="str">
        <x:v>FIN-00528</x:v>
      </x:c>
      <x:c r="N223" s="35" t="str">
        <x:v>payer; amount; date; check/money-order number; memo; property; unit; lease match</x:v>
      </x:c>
      <x:c r="O223" s="35" t="str"/>
      <x:c r="P223" s="35" t="str">
        <x:v>Use a different receipt on the other client to exercise the manual payment form.</x:v>
      </x:c>
      <x:c r="Q223" s="35" t="str">
        <x:v>Synthetic QA only; no real people, accounts, signatures, or properties</x:v>
      </x:c>
    </x:row>
    <x:row r="224">
      <x:c r="A224" s="20" t="str">
        <x:v>SCN-0221</x:v>
      </x:c>
      <x:c r="B224" s="23" t="n">
        <x:v>46571</x:v>
      </x:c>
      <x:c r="C224" s="20" t="str">
        <x:v>scn-0221-rent-payment-l012-20270703.pdf</x:v>
      </x:c>
      <x:c r="D224" s="20" t="str">
        <x:v>Rent check</x:v>
      </x:c>
      <x:c r="E224" s="20" t="str">
        <x:v>Payment</x:v>
      </x:c>
      <x:c r="F224" s="35" t="str">
        <x:v>Direct scan draft matched to tenant account and charge</x:v>
      </x:c>
      <x:c r="G224" s="20" t="str">
        <x:v>PDF</x:v>
      </x:c>
      <x:c r="H224" s="20" t="str">
        <x:v>1 image</x:v>
      </x:c>
      <x:c r="I224" s="35" t="str">
        <x:v>phone camera; amount box, written amount, memo, and endorsement visible</x:v>
      </x:c>
      <x:c r="J224" s="20" t="str">
        <x:v>P012</x:v>
      </x:c>
      <x:c r="K224" s="20" t="str">
        <x:v>U012</x:v>
      </x:c>
      <x:c r="L224" s="20" t="str">
        <x:v>L012</x:v>
      </x:c>
      <x:c r="M224" s="20" t="str">
        <x:v>FIN-00530</x:v>
      </x:c>
      <x:c r="N224" s="35" t="str">
        <x:v>payer; amount; date; check/money-order number; memo; property; unit; lease match</x:v>
      </x:c>
      <x:c r="O224" s="35" t="str"/>
      <x:c r="P224" s="35" t="str">
        <x:v>Use a different receipt on the other client to exercise the manual payment form.</x:v>
      </x:c>
      <x:c r="Q224" s="35" t="str">
        <x:v>Synthetic QA only; no real people, accounts, signatures, or properties</x:v>
      </x:c>
    </x:row>
    <x:row r="225">
      <x:c r="A225" s="20" t="str">
        <x:v>SCN-0222</x:v>
      </x:c>
      <x:c r="B225" s="23" t="n">
        <x:v>46576</x:v>
      </x:c>
      <x:c r="C225" s="20" t="str">
        <x:v>scn-0222-rent-payment-l013-20270708.pdf</x:v>
      </x:c>
      <x:c r="D225" s="20" t="str">
        <x:v>Rent check</x:v>
      </x:c>
      <x:c r="E225" s="20" t="str">
        <x:v>Payment</x:v>
      </x:c>
      <x:c r="F225" s="35" t="str">
        <x:v>Direct scan draft matched to tenant account and charge</x:v>
      </x:c>
      <x:c r="G225" s="20" t="str">
        <x:v>PDF</x:v>
      </x:c>
      <x:c r="H225" s="20" t="str">
        <x:v>1 image</x:v>
      </x:c>
      <x:c r="I225" s="35" t="str">
        <x:v>phone camera; amount box, written amount, memo, and endorsement visible</x:v>
      </x:c>
      <x:c r="J225" s="20" t="str">
        <x:v>P013</x:v>
      </x:c>
      <x:c r="K225" s="20" t="str">
        <x:v>U013</x:v>
      </x:c>
      <x:c r="L225" s="20" t="str">
        <x:v>L013</x:v>
      </x:c>
      <x:c r="M225" s="20" t="str">
        <x:v>FIN-00533</x:v>
      </x:c>
      <x:c r="N225" s="35" t="str">
        <x:v>payer; amount; date; check/money-order number; memo; property; unit; lease match</x:v>
      </x:c>
      <x:c r="O225" s="35" t="str"/>
      <x:c r="P225" s="35" t="str">
        <x:v>Use a different receipt on the other client to exercise the manual payment form.</x:v>
      </x:c>
      <x:c r="Q225" s="35" t="str">
        <x:v>Synthetic QA only; no real people, accounts, signatures, or properties</x:v>
      </x:c>
    </x:row>
    <x:row r="226">
      <x:c r="A226" s="20" t="str">
        <x:v>SCN-0223</x:v>
      </x:c>
      <x:c r="B226" s="23" t="n">
        <x:v>46572</x:v>
      </x:c>
      <x:c r="C226" s="20" t="str">
        <x:v>scn-0223-rent-payment-l016-20270704.pdf</x:v>
      </x:c>
      <x:c r="D226" s="20" t="str">
        <x:v>Rent check</x:v>
      </x:c>
      <x:c r="E226" s="20" t="str">
        <x:v>Payment</x:v>
      </x:c>
      <x:c r="F226" s="35" t="str">
        <x:v>Direct scan draft matched to tenant account and charge</x:v>
      </x:c>
      <x:c r="G226" s="20" t="str">
        <x:v>PDF</x:v>
      </x:c>
      <x:c r="H226" s="20" t="str">
        <x:v>1 image</x:v>
      </x:c>
      <x:c r="I226" s="35" t="str">
        <x:v>phone camera; amount box, written amount, memo, and endorsement visible</x:v>
      </x:c>
      <x:c r="J226" s="20" t="str">
        <x:v>P016</x:v>
      </x:c>
      <x:c r="K226" s="20" t="str">
        <x:v>U016</x:v>
      </x:c>
      <x:c r="L226" s="20" t="str">
        <x:v>L016</x:v>
      </x:c>
      <x:c r="M226" s="20" t="str">
        <x:v>FIN-00537</x:v>
      </x:c>
      <x:c r="N226" s="35" t="str">
        <x:v>payer; amount; date; check/money-order number; memo; property; unit; lease match</x:v>
      </x:c>
      <x:c r="O226" s="35" t="str"/>
      <x:c r="P226" s="35" t="str">
        <x:v>Use a different receipt on the other client to exercise the manual payment form.</x:v>
      </x:c>
      <x:c r="Q226" s="35" t="str">
        <x:v>Synthetic QA only; no real people, accounts, signatures, or properties</x:v>
      </x:c>
    </x:row>
    <x:row r="227">
      <x:c r="A227" s="20" t="str">
        <x:v>SCN-0224</x:v>
      </x:c>
      <x:c r="B227" s="23" t="n">
        <x:v>46573</x:v>
      </x:c>
      <x:c r="C227" s="20" t="str">
        <x:v>scn-0224-rent-payment-l020-20270705.pdf</x:v>
      </x:c>
      <x:c r="D227" s="20" t="str">
        <x:v>Rent check</x:v>
      </x:c>
      <x:c r="E227" s="20" t="str">
        <x:v>Payment</x:v>
      </x:c>
      <x:c r="F227" s="35" t="str">
        <x:v>Direct scan draft matched to tenant account and charge</x:v>
      </x:c>
      <x:c r="G227" s="20" t="str">
        <x:v>PDF</x:v>
      </x:c>
      <x:c r="H227" s="20" t="str">
        <x:v>1 image</x:v>
      </x:c>
      <x:c r="I227" s="35" t="str">
        <x:v>phone camera; amount box, written amount, memo, and endorsement visible</x:v>
      </x:c>
      <x:c r="J227" s="20" t="str">
        <x:v>P020</x:v>
      </x:c>
      <x:c r="K227" s="20" t="str">
        <x:v>U020</x:v>
      </x:c>
      <x:c r="L227" s="20" t="str">
        <x:v>L020</x:v>
      </x:c>
      <x:c r="M227" s="20" t="str">
        <x:v>FIN-00543</x:v>
      </x:c>
      <x:c r="N227" s="35" t="str">
        <x:v>payer; amount; date; check/money-order number; memo; property; unit; lease match</x:v>
      </x:c>
      <x:c r="O227" s="35" t="str">
        <x:v>handwritten memo and similar tenant names</x:v>
      </x:c>
      <x:c r="P227" s="35" t="str">
        <x:v>Use a different receipt on the other client to exercise the manual payment form.</x:v>
      </x:c>
      <x:c r="Q227" s="35" t="str">
        <x:v>Synthetic QA only; no real people, accounts, signatures, or properties</x:v>
      </x:c>
    </x:row>
    <x:row r="228">
      <x:c r="A228" s="20" t="str">
        <x:v>SCN-0225</x:v>
      </x:c>
      <x:c r="B228" s="23" t="n">
        <x:v>46571</x:v>
      </x:c>
      <x:c r="C228" s="20" t="str">
        <x:v>scn-0225-rent-payment-l021-20270703.jpg</x:v>
      </x:c>
      <x:c r="D228" s="20" t="str">
        <x:v>Money order</x:v>
      </x:c>
      <x:c r="E228" s="20" t="str">
        <x:v>Payment</x:v>
      </x:c>
      <x:c r="F228" s="35" t="str">
        <x:v>Direct scan draft matched to tenant account and charge</x:v>
      </x:c>
      <x:c r="G228" s="20" t="str">
        <x:v>Camera JPEG</x:v>
      </x:c>
      <x:c r="H228" s="20" t="str">
        <x:v>1 image</x:v>
      </x:c>
      <x:c r="I228" s="35" t="str">
        <x:v>phone camera; amount box, written amount, memo, and endorsement visible</x:v>
      </x:c>
      <x:c r="J228" s="20" t="str">
        <x:v>P021</x:v>
      </x:c>
      <x:c r="K228" s="20" t="str">
        <x:v>U021</x:v>
      </x:c>
      <x:c r="L228" s="20" t="str">
        <x:v>L021</x:v>
      </x:c>
      <x:c r="M228" s="20" t="str">
        <x:v>FIN-00545</x:v>
      </x:c>
      <x:c r="N228" s="35" t="str">
        <x:v>payer; amount; date; check/money-order number; memo; property; unit; lease match</x:v>
      </x:c>
      <x:c r="O228" s="35" t="str"/>
      <x:c r="P228" s="35" t="str">
        <x:v>Use a different receipt on the other client to exercise the manual payment form.</x:v>
      </x:c>
      <x:c r="Q228" s="35" t="str">
        <x:v>Synthetic QA only; no real people, accounts, signatures, or properties</x:v>
      </x:c>
    </x:row>
    <x:row r="229">
      <x:c r="A229" s="20" t="str">
        <x:v>SCN-0226</x:v>
      </x:c>
      <x:c r="B229" s="23" t="n">
        <x:v>46580</x:v>
      </x:c>
      <x:c r="C229" s="20" t="str">
        <x:v>scn-0226-rent-payment-l022-20270712.pdf</x:v>
      </x:c>
      <x:c r="D229" s="20" t="str">
        <x:v>Rent check</x:v>
      </x:c>
      <x:c r="E229" s="20" t="str">
        <x:v>Payment</x:v>
      </x:c>
      <x:c r="F229" s="35" t="str">
        <x:v>Direct scan draft matched to tenant account and charge</x:v>
      </x:c>
      <x:c r="G229" s="20" t="str">
        <x:v>PDF</x:v>
      </x:c>
      <x:c r="H229" s="20" t="str">
        <x:v>1 image</x:v>
      </x:c>
      <x:c r="I229" s="35" t="str">
        <x:v>phone camera; amount box, written amount, memo, and endorsement visible</x:v>
      </x:c>
      <x:c r="J229" s="20" t="str">
        <x:v>P021</x:v>
      </x:c>
      <x:c r="K229" s="20" t="str">
        <x:v>U022</x:v>
      </x:c>
      <x:c r="L229" s="20" t="str">
        <x:v>L022</x:v>
      </x:c>
      <x:c r="M229" s="20" t="str">
        <x:v>FIN-00549</x:v>
      </x:c>
      <x:c r="N229" s="35" t="str">
        <x:v>payer; amount; date; check/money-order number; memo; property; unit; lease match</x:v>
      </x:c>
      <x:c r="O229" s="35" t="str"/>
      <x:c r="P229" s="35" t="str">
        <x:v>Use a different receipt on the other client to exercise the manual payment form.</x:v>
      </x:c>
      <x:c r="Q229" s="35" t="str">
        <x:v>Synthetic QA only; no real people, accounts, signatures, or properties</x:v>
      </x:c>
    </x:row>
    <x:row r="230">
      <x:c r="A230" s="20" t="str">
        <x:v>SCN-0227</x:v>
      </x:c>
      <x:c r="B230" s="23" t="n">
        <x:v>46571</x:v>
      </x:c>
      <x:c r="C230" s="20" t="str">
        <x:v>scn-0227-rent-payment-l024-20270703.pdf</x:v>
      </x:c>
      <x:c r="D230" s="20" t="str">
        <x:v>Rent check</x:v>
      </x:c>
      <x:c r="E230" s="20" t="str">
        <x:v>Payment</x:v>
      </x:c>
      <x:c r="F230" s="35" t="str">
        <x:v>Direct scan draft matched to tenant account and charge</x:v>
      </x:c>
      <x:c r="G230" s="20" t="str">
        <x:v>PDF</x:v>
      </x:c>
      <x:c r="H230" s="20" t="str">
        <x:v>1 image</x:v>
      </x:c>
      <x:c r="I230" s="35" t="str">
        <x:v>phone camera; amount box, written amount, memo, and endorsement visible</x:v>
      </x:c>
      <x:c r="J230" s="20" t="str">
        <x:v>P022</x:v>
      </x:c>
      <x:c r="K230" s="20" t="str">
        <x:v>U024</x:v>
      </x:c>
      <x:c r="L230" s="20" t="str">
        <x:v>L024</x:v>
      </x:c>
      <x:c r="M230" s="20" t="str">
        <x:v>FIN-00553</x:v>
      </x:c>
      <x:c r="N230" s="35" t="str">
        <x:v>payer; amount; date; check/money-order number; memo; property; unit; lease match</x:v>
      </x:c>
      <x:c r="O230" s="35" t="str"/>
      <x:c r="P230" s="35" t="str">
        <x:v>Use a different receipt on the other client to exercise the manual payment form.</x:v>
      </x:c>
      <x:c r="Q230" s="35" t="str">
        <x:v>Synthetic QA only; no real people, accounts, signatures, or properties</x:v>
      </x:c>
    </x:row>
    <x:row r="231">
      <x:c r="A231" s="20" t="str">
        <x:v>SCN-0228</x:v>
      </x:c>
      <x:c r="B231" s="23" t="n">
        <x:v>46572</x:v>
      </x:c>
      <x:c r="C231" s="20" t="str">
        <x:v>scn-0228-rent-payment-l025-20270704.jpg</x:v>
      </x:c>
      <x:c r="D231" s="20" t="str">
        <x:v>Money order</x:v>
      </x:c>
      <x:c r="E231" s="20" t="str">
        <x:v>Payment</x:v>
      </x:c>
      <x:c r="F231" s="35" t="str">
        <x:v>Direct scan draft matched to tenant account and charge</x:v>
      </x:c>
      <x:c r="G231" s="20" t="str">
        <x:v>Camera JPEG</x:v>
      </x:c>
      <x:c r="H231" s="20" t="str">
        <x:v>1 image</x:v>
      </x:c>
      <x:c r="I231" s="35" t="str">
        <x:v>phone camera; amount box, written amount, memo, and endorsement visible</x:v>
      </x:c>
      <x:c r="J231" s="20" t="str">
        <x:v>P023</x:v>
      </x:c>
      <x:c r="K231" s="20" t="str">
        <x:v>U025</x:v>
      </x:c>
      <x:c r="L231" s="20" t="str">
        <x:v>L025</x:v>
      </x:c>
      <x:c r="M231" s="20" t="str">
        <x:v>FIN-00555</x:v>
      </x:c>
      <x:c r="N231" s="35" t="str">
        <x:v>payer; amount; date; check/money-order number; memo; property; unit; lease match</x:v>
      </x:c>
      <x:c r="O231" s="35" t="str">
        <x:v>handwritten memo and similar tenant names</x:v>
      </x:c>
      <x:c r="P231" s="35" t="str">
        <x:v>Use a different receipt on the other client to exercise the manual payment form.</x:v>
      </x:c>
      <x:c r="Q231" s="35" t="str">
        <x:v>Synthetic QA only; no real people, accounts, signatures, or properties</x:v>
      </x:c>
    </x:row>
    <x:row r="232">
      <x:c r="A232" s="20" t="str">
        <x:v>SCN-0229</x:v>
      </x:c>
      <x:c r="B232" s="23" t="n">
        <x:v>46576</x:v>
      </x:c>
      <x:c r="C232" s="20" t="str">
        <x:v>scn-0229-rent-payment-l026-20270708.jpg</x:v>
      </x:c>
      <x:c r="D232" s="20" t="str">
        <x:v>Money order</x:v>
      </x:c>
      <x:c r="E232" s="20" t="str">
        <x:v>Payment</x:v>
      </x:c>
      <x:c r="F232" s="35" t="str">
        <x:v>Direct scan draft matched to tenant account and charge</x:v>
      </x:c>
      <x:c r="G232" s="20" t="str">
        <x:v>Camera JPEG</x:v>
      </x:c>
      <x:c r="H232" s="20" t="str">
        <x:v>1 image</x:v>
      </x:c>
      <x:c r="I232" s="35" t="str">
        <x:v>phone camera; amount box, written amount, memo, and endorsement visible</x:v>
      </x:c>
      <x:c r="J232" s="20" t="str">
        <x:v>P023</x:v>
      </x:c>
      <x:c r="K232" s="20" t="str">
        <x:v>U026</x:v>
      </x:c>
      <x:c r="L232" s="20" t="str">
        <x:v>L026</x:v>
      </x:c>
      <x:c r="M232" s="20" t="str">
        <x:v>FIN-00558</x:v>
      </x:c>
      <x:c r="N232" s="35" t="str">
        <x:v>payer; amount; date; check/money-order number; memo; property; unit; lease match</x:v>
      </x:c>
      <x:c r="O232" s="35" t="str"/>
      <x:c r="P232" s="35" t="str">
        <x:v>Use a different receipt on the other client to exercise the manual payment form.</x:v>
      </x:c>
      <x:c r="Q232" s="35" t="str">
        <x:v>Synthetic QA only; no real people, accounts, signatures, or properties</x:v>
      </x:c>
    </x:row>
    <x:row r="233">
      <x:c r="A233" s="20" t="str">
        <x:v>SCN-0230</x:v>
      </x:c>
      <x:c r="B233" s="23" t="n">
        <x:v>46572</x:v>
      </x:c>
      <x:c r="C233" s="20" t="str">
        <x:v>scn-0230-rent-payment-l028-20270704.pdf</x:v>
      </x:c>
      <x:c r="D233" s="20" t="str">
        <x:v>Rent check</x:v>
      </x:c>
      <x:c r="E233" s="20" t="str">
        <x:v>Payment</x:v>
      </x:c>
      <x:c r="F233" s="35" t="str">
        <x:v>Direct scan draft matched to tenant account and charge</x:v>
      </x:c>
      <x:c r="G233" s="20" t="str">
        <x:v>PDF</x:v>
      </x:c>
      <x:c r="H233" s="20" t="str">
        <x:v>1 image</x:v>
      </x:c>
      <x:c r="I233" s="35" t="str">
        <x:v>phone camera; amount box, written amount, memo, and endorsement visible</x:v>
      </x:c>
      <x:c r="J233" s="20" t="str">
        <x:v>P024</x:v>
      </x:c>
      <x:c r="K233" s="20" t="str">
        <x:v>U028</x:v>
      </x:c>
      <x:c r="L233" s="20" t="str">
        <x:v>L028</x:v>
      </x:c>
      <x:c r="M233" s="20" t="str">
        <x:v>FIN-00562</x:v>
      </x:c>
      <x:c r="N233" s="35" t="str">
        <x:v>payer; amount; date; check/money-order number; memo; property; unit; lease match</x:v>
      </x:c>
      <x:c r="O233" s="35" t="str"/>
      <x:c r="P233" s="35" t="str">
        <x:v>Use a different receipt on the other client to exercise the manual payment form.</x:v>
      </x:c>
      <x:c r="Q233" s="35" t="str">
        <x:v>Synthetic QA only; no real people, accounts, signatures, or properties</x:v>
      </x:c>
    </x:row>
    <x:row r="234">
      <x:c r="A234" s="20" t="str">
        <x:v>SCN-0231</x:v>
      </x:c>
      <x:c r="B234" s="23" t="n">
        <x:v>46573</x:v>
      </x:c>
      <x:c r="C234" s="20" t="str">
        <x:v>scn-0231-rent-payment-l029-20270705.jpg</x:v>
      </x:c>
      <x:c r="D234" s="20" t="str">
        <x:v>Money order</x:v>
      </x:c>
      <x:c r="E234" s="20" t="str">
        <x:v>Payment</x:v>
      </x:c>
      <x:c r="F234" s="35" t="str">
        <x:v>Direct scan draft matched to tenant account and charge</x:v>
      </x:c>
      <x:c r="G234" s="20" t="str">
        <x:v>Camera JPEG</x:v>
      </x:c>
      <x:c r="H234" s="20" t="str">
        <x:v>1 image</x:v>
      </x:c>
      <x:c r="I234" s="35" t="str">
        <x:v>phone camera; amount box, written amount, memo, and endorsement visible</x:v>
      </x:c>
      <x:c r="J234" s="20" t="str">
        <x:v>P025</x:v>
      </x:c>
      <x:c r="K234" s="20" t="str">
        <x:v>U029</x:v>
      </x:c>
      <x:c r="L234" s="20" t="str">
        <x:v>L029</x:v>
      </x:c>
      <x:c r="M234" s="20" t="str">
        <x:v>FIN-00564</x:v>
      </x:c>
      <x:c r="N234" s="35" t="str">
        <x:v>payer; amount; date; check/money-order number; memo; property; unit; lease match</x:v>
      </x:c>
      <x:c r="O234" s="35" t="str"/>
      <x:c r="P234" s="35" t="str">
        <x:v>Use a different receipt on the other client to exercise the manual payment form.</x:v>
      </x:c>
      <x:c r="Q234" s="35" t="str">
        <x:v>Synthetic QA only; no real people, accounts, signatures, or properties</x:v>
      </x:c>
    </x:row>
    <x:row r="235">
      <x:c r="A235" s="20" t="str">
        <x:v>SCN-0232</x:v>
      </x:c>
      <x:c r="B235" s="23" t="n">
        <x:v>46573</x:v>
      </x:c>
      <x:c r="C235" s="20" t="str">
        <x:v>scn-0232-rent-payment-l032-20270705.pdf</x:v>
      </x:c>
      <x:c r="D235" s="20" t="str">
        <x:v>Rent check</x:v>
      </x:c>
      <x:c r="E235" s="20" t="str">
        <x:v>Payment</x:v>
      </x:c>
      <x:c r="F235" s="35" t="str">
        <x:v>Direct scan draft matched to tenant account and charge</x:v>
      </x:c>
      <x:c r="G235" s="20" t="str">
        <x:v>PDF</x:v>
      </x:c>
      <x:c r="H235" s="20" t="str">
        <x:v>1 image</x:v>
      </x:c>
      <x:c r="I235" s="35" t="str">
        <x:v>phone camera; amount box, written amount, memo, and endorsement visible</x:v>
      </x:c>
      <x:c r="J235" s="20" t="str">
        <x:v>P026</x:v>
      </x:c>
      <x:c r="K235" s="20" t="str">
        <x:v>U032</x:v>
      </x:c>
      <x:c r="L235" s="20" t="str">
        <x:v>L032</x:v>
      </x:c>
      <x:c r="M235" s="20" t="str">
        <x:v>FIN-00570</x:v>
      </x:c>
      <x:c r="N235" s="35" t="str">
        <x:v>payer; amount; date; check/money-order number; memo; property; unit; lease match</x:v>
      </x:c>
      <x:c r="O235" s="35" t="str"/>
      <x:c r="P235" s="35" t="str">
        <x:v>Use a different receipt on the other client to exercise the manual payment form.</x:v>
      </x:c>
      <x:c r="Q235" s="35" t="str">
        <x:v>Synthetic QA only; no real people, accounts, signatures, or properties</x:v>
      </x:c>
    </x:row>
    <x:row r="236">
      <x:c r="A236" s="20" t="str">
        <x:v>SCN-0233</x:v>
      </x:c>
      <x:c r="B236" s="23" t="n">
        <x:v>46571</x:v>
      </x:c>
      <x:c r="C236" s="20" t="str">
        <x:v>scn-0233-rent-payment-l033-20270703.jpg</x:v>
      </x:c>
      <x:c r="D236" s="20" t="str">
        <x:v>Money order</x:v>
      </x:c>
      <x:c r="E236" s="20" t="str">
        <x:v>Payment</x:v>
      </x:c>
      <x:c r="F236" s="35" t="str">
        <x:v>Direct scan draft matched to tenant account and charge</x:v>
      </x:c>
      <x:c r="G236" s="20" t="str">
        <x:v>Camera JPEG</x:v>
      </x:c>
      <x:c r="H236" s="20" t="str">
        <x:v>1 image</x:v>
      </x:c>
      <x:c r="I236" s="35" t="str">
        <x:v>phone camera; amount box, written amount, memo, and endorsement visible</x:v>
      </x:c>
      <x:c r="J236" s="20" t="str">
        <x:v>P027</x:v>
      </x:c>
      <x:c r="K236" s="20" t="str">
        <x:v>U033</x:v>
      </x:c>
      <x:c r="L236" s="20" t="str">
        <x:v>L033</x:v>
      </x:c>
      <x:c r="M236" s="20" t="str">
        <x:v>FIN-00572</x:v>
      </x:c>
      <x:c r="N236" s="35" t="str">
        <x:v>payer; amount; date; check/money-order number; memo; property; unit; lease match</x:v>
      </x:c>
      <x:c r="O236" s="35" t="str"/>
      <x:c r="P236" s="35" t="str">
        <x:v>Use a different receipt on the other client to exercise the manual payment form.</x:v>
      </x:c>
      <x:c r="Q236" s="35" t="str">
        <x:v>Synthetic QA only; no real people, accounts, signatures, or properties</x:v>
      </x:c>
    </x:row>
    <x:row r="237">
      <x:c r="A237" s="20" t="str">
        <x:v>SCN-0234</x:v>
      </x:c>
      <x:c r="B237" s="23" t="n">
        <x:v>46571</x:v>
      </x:c>
      <x:c r="C237" s="20" t="str">
        <x:v>scn-0234-rent-payment-l036-20270703.pdf</x:v>
      </x:c>
      <x:c r="D237" s="20" t="str">
        <x:v>Rent check</x:v>
      </x:c>
      <x:c r="E237" s="20" t="str">
        <x:v>Payment</x:v>
      </x:c>
      <x:c r="F237" s="35" t="str">
        <x:v>Direct scan draft matched to tenant account and charge</x:v>
      </x:c>
      <x:c r="G237" s="20" t="str">
        <x:v>PDF</x:v>
      </x:c>
      <x:c r="H237" s="20" t="str">
        <x:v>1 image</x:v>
      </x:c>
      <x:c r="I237" s="35" t="str">
        <x:v>phone camera; amount box, written amount, memo, and endorsement visible</x:v>
      </x:c>
      <x:c r="J237" s="20" t="str">
        <x:v>P028</x:v>
      </x:c>
      <x:c r="K237" s="20" t="str">
        <x:v>U036</x:v>
      </x:c>
      <x:c r="L237" s="20" t="str">
        <x:v>L036</x:v>
      </x:c>
      <x:c r="M237" s="20" t="str">
        <x:v>FIN-00580</x:v>
      </x:c>
      <x:c r="N237" s="35" t="str">
        <x:v>payer; amount; date; check/money-order number; memo; property; unit; lease match</x:v>
      </x:c>
      <x:c r="O237" s="35" t="str"/>
      <x:c r="P237" s="35" t="str">
        <x:v>Use a different receipt on the other client to exercise the manual payment form.</x:v>
      </x:c>
      <x:c r="Q237" s="35" t="str">
        <x:v>Synthetic QA only; no real people, accounts, signatures, or properties</x:v>
      </x:c>
    </x:row>
    <x:row r="238">
      <x:c r="A238" s="20" t="str">
        <x:v>SCN-0235</x:v>
      </x:c>
      <x:c r="B238" s="23" t="n">
        <x:v>46572</x:v>
      </x:c>
      <x:c r="C238" s="20" t="str">
        <x:v>scn-0235-rent-payment-l037-20270704.jpg</x:v>
      </x:c>
      <x:c r="D238" s="20" t="str">
        <x:v>Money order</x:v>
      </x:c>
      <x:c r="E238" s="20" t="str">
        <x:v>Payment</x:v>
      </x:c>
      <x:c r="F238" s="35" t="str">
        <x:v>Direct scan draft matched to tenant account and charge</x:v>
      </x:c>
      <x:c r="G238" s="20" t="str">
        <x:v>Camera JPEG</x:v>
      </x:c>
      <x:c r="H238" s="20" t="str">
        <x:v>1 image</x:v>
      </x:c>
      <x:c r="I238" s="35" t="str">
        <x:v>phone camera; amount box, written amount, memo, and endorsement visible</x:v>
      </x:c>
      <x:c r="J238" s="20" t="str">
        <x:v>P005</x:v>
      </x:c>
      <x:c r="K238" s="20" t="str">
        <x:v>U005</x:v>
      </x:c>
      <x:c r="L238" s="20" t="str">
        <x:v>L037</x:v>
      </x:c>
      <x:c r="M238" s="20" t="str">
        <x:v>FIN-00582</x:v>
      </x:c>
      <x:c r="N238" s="35" t="str">
        <x:v>payer; amount; date; check/money-order number; memo; property; unit; lease match</x:v>
      </x:c>
      <x:c r="O238" s="35" t="str"/>
      <x:c r="P238" s="35" t="str">
        <x:v>Use a different receipt on the other client to exercise the manual payment form.</x:v>
      </x:c>
      <x:c r="Q238" s="35" t="str">
        <x:v>Synthetic QA only; no real people, accounts, signatures, or properties</x:v>
      </x:c>
    </x:row>
    <x:row r="239">
      <x:c r="A239" s="20" t="str">
        <x:v>SCN-0236</x:v>
      </x:c>
      <x:c r="B239" s="23" t="n">
        <x:v>46571</x:v>
      </x:c>
      <x:c r="C239" s="20" t="str">
        <x:v>scn-0236-rent-payment-l044-20270703.pdf</x:v>
      </x:c>
      <x:c r="D239" s="20" t="str">
        <x:v>Rent check</x:v>
      </x:c>
      <x:c r="E239" s="20" t="str">
        <x:v>Payment</x:v>
      </x:c>
      <x:c r="F239" s="35" t="str">
        <x:v>Direct scan draft matched to tenant account and charge</x:v>
      </x:c>
      <x:c r="G239" s="20" t="str">
        <x:v>PDF</x:v>
      </x:c>
      <x:c r="H239" s="20" t="str">
        <x:v>1 image</x:v>
      </x:c>
      <x:c r="I239" s="35" t="str">
        <x:v>phone camera; amount box, written amount, memo, and endorsement visible</x:v>
      </x:c>
      <x:c r="J239" s="20" t="str">
        <x:v>P029</x:v>
      </x:c>
      <x:c r="K239" s="20" t="str">
        <x:v>U038</x:v>
      </x:c>
      <x:c r="L239" s="20" t="str">
        <x:v>L044</x:v>
      </x:c>
      <x:c r="M239" s="20" t="str">
        <x:v>FIN-00588</x:v>
      </x:c>
      <x:c r="N239" s="35" t="str">
        <x:v>payer; amount; date; check/money-order number; memo; property; unit; lease match</x:v>
      </x:c>
      <x:c r="O239" s="35" t="str"/>
      <x:c r="P239" s="35" t="str">
        <x:v>Use a different receipt on the other client to exercise the manual payment form.</x:v>
      </x:c>
      <x:c r="Q239" s="35" t="str">
        <x:v>Synthetic QA only; no real people, accounts, signatures, or properties</x:v>
      </x:c>
    </x:row>
    <x:row r="240">
      <x:c r="A240" s="20" t="str">
        <x:v>SCN-0237</x:v>
      </x:c>
      <x:c r="B240" s="23" t="n">
        <x:v>46571</x:v>
      </x:c>
      <x:c r="C240" s="20" t="str">
        <x:v>scn-0237-rent-payment-l045-20270703.jpg</x:v>
      </x:c>
      <x:c r="D240" s="20" t="str">
        <x:v>Money order</x:v>
      </x:c>
      <x:c r="E240" s="20" t="str">
        <x:v>Payment</x:v>
      </x:c>
      <x:c r="F240" s="35" t="str">
        <x:v>Direct scan draft matched to tenant account and charge</x:v>
      </x:c>
      <x:c r="G240" s="20" t="str">
        <x:v>Camera JPEG</x:v>
      </x:c>
      <x:c r="H240" s="20" t="str">
        <x:v>1 image</x:v>
      </x:c>
      <x:c r="I240" s="35" t="str">
        <x:v>phone camera; amount box, written amount, memo, and endorsement visible</x:v>
      </x:c>
      <x:c r="J240" s="20" t="str">
        <x:v>P030</x:v>
      </x:c>
      <x:c r="K240" s="20" t="str">
        <x:v>U039</x:v>
      </x:c>
      <x:c r="L240" s="20" t="str">
        <x:v>L045</x:v>
      </x:c>
      <x:c r="M240" s="20" t="str">
        <x:v>FIN-00592</x:v>
      </x:c>
      <x:c r="N240" s="35" t="str">
        <x:v>payer; amount; date; check/money-order number; memo; property; unit; lease match</x:v>
      </x:c>
      <x:c r="O240" s="35" t="str">
        <x:v>handwritten memo and similar tenant names</x:v>
      </x:c>
      <x:c r="P240" s="35" t="str">
        <x:v>Use a different receipt on the other client to exercise the manual payment form.</x:v>
      </x:c>
      <x:c r="Q240" s="35" t="str">
        <x:v>Synthetic QA only; no real people, accounts, signatures, or properties</x:v>
      </x:c>
    </x:row>
    <x:row r="241">
      <x:c r="A241" s="20" t="str">
        <x:v>SCN-0238</x:v>
      </x:c>
      <x:c r="B241" s="23" t="n">
        <x:v>46603</x:v>
      </x:c>
      <x:c r="C241" s="20" t="str">
        <x:v>scn-0238-rent-payment-l001-20270804.jpg</x:v>
      </x:c>
      <x:c r="D241" s="20" t="str">
        <x:v>Money order</x:v>
      </x:c>
      <x:c r="E241" s="20" t="str">
        <x:v>Payment</x:v>
      </x:c>
      <x:c r="F241" s="35" t="str">
        <x:v>Direct scan draft matched to tenant account and charge</x:v>
      </x:c>
      <x:c r="G241" s="20" t="str">
        <x:v>Camera JPEG</x:v>
      </x:c>
      <x:c r="H241" s="20" t="str">
        <x:v>1 image</x:v>
      </x:c>
      <x:c r="I241" s="35" t="str">
        <x:v>phone camera; amount box, written amount, memo, and endorsement visible</x:v>
      </x:c>
      <x:c r="J241" s="20" t="str">
        <x:v>P001</x:v>
      </x:c>
      <x:c r="K241" s="20" t="str">
        <x:v>U001</x:v>
      </x:c>
      <x:c r="L241" s="20" t="str">
        <x:v>L001</x:v>
      </x:c>
      <x:c r="M241" s="20" t="str">
        <x:v>FIN-00594</x:v>
      </x:c>
      <x:c r="N241" s="35" t="str">
        <x:v>payer; amount; date; check/money-order number; memo; property; unit; lease match</x:v>
      </x:c>
      <x:c r="O241" s="35" t="str"/>
      <x:c r="P241" s="35" t="str">
        <x:v>Use a different receipt on the other client to exercise the manual payment form.</x:v>
      </x:c>
      <x:c r="Q241" s="35" t="str">
        <x:v>Synthetic QA only; no real people, accounts, signatures, or properties</x:v>
      </x:c>
    </x:row>
    <x:row r="242">
      <x:c r="A242" s="20" t="str">
        <x:v>SCN-0239</x:v>
      </x:c>
      <x:c r="B242" s="23" t="n">
        <x:v>46603</x:v>
      </x:c>
      <x:c r="C242" s="20" t="str">
        <x:v>scn-0239-rent-payment-l004-20270804.pdf</x:v>
      </x:c>
      <x:c r="D242" s="20" t="str">
        <x:v>Rent check</x:v>
      </x:c>
      <x:c r="E242" s="20" t="str">
        <x:v>Payment</x:v>
      </x:c>
      <x:c r="F242" s="35" t="str">
        <x:v>Direct scan draft matched to tenant account and charge</x:v>
      </x:c>
      <x:c r="G242" s="20" t="str">
        <x:v>PDF</x:v>
      </x:c>
      <x:c r="H242" s="20" t="str">
        <x:v>1 image</x:v>
      </x:c>
      <x:c r="I242" s="35" t="str">
        <x:v>phone camera; amount box, written amount, memo, and endorsement visible</x:v>
      </x:c>
      <x:c r="J242" s="20" t="str">
        <x:v>P004</x:v>
      </x:c>
      <x:c r="K242" s="20" t="str">
        <x:v>U004</x:v>
      </x:c>
      <x:c r="L242" s="20" t="str">
        <x:v>L004</x:v>
      </x:c>
      <x:c r="M242" s="20" t="str">
        <x:v>FIN-00600</x:v>
      </x:c>
      <x:c r="N242" s="35" t="str">
        <x:v>payer; amount; date; check/money-order number; memo; property; unit; lease match</x:v>
      </x:c>
      <x:c r="O242" s="35" t="str"/>
      <x:c r="P242" s="35" t="str">
        <x:v>Use a different receipt on the other client to exercise the manual payment form.</x:v>
      </x:c>
      <x:c r="Q242" s="35" t="str">
        <x:v>Synthetic QA only; no real people, accounts, signatures, or properties</x:v>
      </x:c>
    </x:row>
    <x:row r="243">
      <x:c r="A243" s="20" t="str">
        <x:v>SCN-0240</x:v>
      </x:c>
      <x:c r="B243" s="23" t="n">
        <x:v>46604</x:v>
      </x:c>
      <x:c r="C243" s="20" t="str">
        <x:v>scn-0240-rent-payment-l008-20270805.pdf</x:v>
      </x:c>
      <x:c r="D243" s="20" t="str">
        <x:v>Rent check</x:v>
      </x:c>
      <x:c r="E243" s="20" t="str">
        <x:v>Payment</x:v>
      </x:c>
      <x:c r="F243" s="35" t="str">
        <x:v>Direct scan draft matched to tenant account and charge</x:v>
      </x:c>
      <x:c r="G243" s="20" t="str">
        <x:v>PDF</x:v>
      </x:c>
      <x:c r="H243" s="20" t="str">
        <x:v>1 image</x:v>
      </x:c>
      <x:c r="I243" s="35" t="str">
        <x:v>phone camera; amount box, written amount, memo, and endorsement visible</x:v>
      </x:c>
      <x:c r="J243" s="20" t="str">
        <x:v>P008</x:v>
      </x:c>
      <x:c r="K243" s="20" t="str">
        <x:v>U008</x:v>
      </x:c>
      <x:c r="L243" s="20" t="str">
        <x:v>L008</x:v>
      </x:c>
      <x:c r="M243" s="20" t="str">
        <x:v>FIN-00606</x:v>
      </x:c>
      <x:c r="N243" s="35" t="str">
        <x:v>payer; amount; date; check/money-order number; memo; property; unit; lease match</x:v>
      </x:c>
      <x:c r="O243" s="35" t="str"/>
      <x:c r="P243" s="35" t="str">
        <x:v>Use a different receipt on the other client to exercise the manual payment form.</x:v>
      </x:c>
      <x:c r="Q243" s="35" t="str">
        <x:v>Synthetic QA only; no real people, accounts, signatures, or properties</x:v>
      </x:c>
    </x:row>
    <x:row r="244">
      <x:c r="A244" s="20" t="str">
        <x:v>SCN-0241</x:v>
      </x:c>
      <x:c r="B244" s="23" t="n">
        <x:v>46602</x:v>
      </x:c>
      <x:c r="C244" s="20" t="str">
        <x:v>scn-0241-rent-payment-l009-20270803.jpg</x:v>
      </x:c>
      <x:c r="D244" s="20" t="str">
        <x:v>Money order</x:v>
      </x:c>
      <x:c r="E244" s="20" t="str">
        <x:v>Payment</x:v>
      </x:c>
      <x:c r="F244" s="35" t="str">
        <x:v>Direct scan draft matched to tenant account and charge</x:v>
      </x:c>
      <x:c r="G244" s="20" t="str">
        <x:v>Camera JPEG</x:v>
      </x:c>
      <x:c r="H244" s="20" t="str">
        <x:v>1 image</x:v>
      </x:c>
      <x:c r="I244" s="35" t="str">
        <x:v>phone camera; amount box, written amount, memo, and endorsement visible</x:v>
      </x:c>
      <x:c r="J244" s="20" t="str">
        <x:v>P009</x:v>
      </x:c>
      <x:c r="K244" s="20" t="str">
        <x:v>U009</x:v>
      </x:c>
      <x:c r="L244" s="20" t="str">
        <x:v>L009</x:v>
      </x:c>
      <x:c r="M244" s="20" t="str">
        <x:v>FIN-00608</x:v>
      </x:c>
      <x:c r="N244" s="35" t="str">
        <x:v>payer; amount; date; check/money-order number; memo; property; unit; lease match</x:v>
      </x:c>
      <x:c r="O244" s="35" t="str"/>
      <x:c r="P244" s="35" t="str">
        <x:v>Use a different receipt on the other client to exercise the manual payment form.</x:v>
      </x:c>
      <x:c r="Q244" s="35" t="str">
        <x:v>Synthetic QA only; no real people, accounts, signatures, or properties</x:v>
      </x:c>
    </x:row>
    <x:row r="245">
      <x:c r="A245" s="20" t="str">
        <x:v>SCN-0242</x:v>
      </x:c>
      <x:c r="B245" s="23" t="n">
        <x:v>46611</x:v>
      </x:c>
      <x:c r="C245" s="20" t="str">
        <x:v>scn-0242-rent-payment-l011-20270812.jpg</x:v>
      </x:c>
      <x:c r="D245" s="20" t="str">
        <x:v>Money order</x:v>
      </x:c>
      <x:c r="E245" s="20" t="str">
        <x:v>Payment</x:v>
      </x:c>
      <x:c r="F245" s="35" t="str">
        <x:v>Direct scan draft matched to tenant account and charge</x:v>
      </x:c>
      <x:c r="G245" s="20" t="str">
        <x:v>Camera JPEG</x:v>
      </x:c>
      <x:c r="H245" s="20" t="str">
        <x:v>1 image</x:v>
      </x:c>
      <x:c r="I245" s="35" t="str">
        <x:v>phone camera; amount box, written amount, memo, and endorsement visible</x:v>
      </x:c>
      <x:c r="J245" s="20" t="str">
        <x:v>P011</x:v>
      </x:c>
      <x:c r="K245" s="20" t="str">
        <x:v>U011</x:v>
      </x:c>
      <x:c r="L245" s="20" t="str">
        <x:v>L011</x:v>
      </x:c>
      <x:c r="M245" s="20" t="str">
        <x:v>FIN-00614</x:v>
      </x:c>
      <x:c r="N245" s="35" t="str">
        <x:v>payer; amount; date; check/money-order number; memo; property; unit; lease match</x:v>
      </x:c>
      <x:c r="O245" s="35" t="str"/>
      <x:c r="P245" s="35" t="str">
        <x:v>Use a different receipt on the other client to exercise the manual payment form.</x:v>
      </x:c>
      <x:c r="Q245" s="35" t="str">
        <x:v>Synthetic QA only; no real people, accounts, signatures, or properties</x:v>
      </x:c>
    </x:row>
    <x:row r="246">
      <x:c r="A246" s="20" t="str">
        <x:v>SCN-0243</x:v>
      </x:c>
      <x:c r="B246" s="23" t="n">
        <x:v>46602</x:v>
      </x:c>
      <x:c r="C246" s="20" t="str">
        <x:v>scn-0243-rent-payment-l012-20270803.pdf</x:v>
      </x:c>
      <x:c r="D246" s="20" t="str">
        <x:v>Rent check</x:v>
      </x:c>
      <x:c r="E246" s="20" t="str">
        <x:v>Payment</x:v>
      </x:c>
      <x:c r="F246" s="35" t="str">
        <x:v>Direct scan draft matched to tenant account and charge</x:v>
      </x:c>
      <x:c r="G246" s="20" t="str">
        <x:v>PDF</x:v>
      </x:c>
      <x:c r="H246" s="20" t="str">
        <x:v>1 image</x:v>
      </x:c>
      <x:c r="I246" s="35" t="str">
        <x:v>phone camera; amount box, written amount, memo, and endorsement visible</x:v>
      </x:c>
      <x:c r="J246" s="20" t="str">
        <x:v>P012</x:v>
      </x:c>
      <x:c r="K246" s="20" t="str">
        <x:v>U012</x:v>
      </x:c>
      <x:c r="L246" s="20" t="str">
        <x:v>L012</x:v>
      </x:c>
      <x:c r="M246" s="20" t="str">
        <x:v>FIN-00616</x:v>
      </x:c>
      <x:c r="N246" s="35" t="str">
        <x:v>payer; amount; date; check/money-order number; memo; property; unit; lease match</x:v>
      </x:c>
      <x:c r="O246" s="35" t="str"/>
      <x:c r="P246" s="35" t="str">
        <x:v>Use a different receipt on the other client to exercise the manual payment form.</x:v>
      </x:c>
      <x:c r="Q246" s="35" t="str">
        <x:v>Synthetic QA only; no real people, accounts, signatures, or properties</x:v>
      </x:c>
    </x:row>
    <x:row r="247">
      <x:c r="A247" s="20" t="str">
        <x:v>SCN-0244</x:v>
      </x:c>
      <x:c r="B247" s="23" t="n">
        <x:v>46607</x:v>
      </x:c>
      <x:c r="C247" s="20" t="str">
        <x:v>scn-0244-rent-payment-l013-20270808.pdf</x:v>
      </x:c>
      <x:c r="D247" s="20" t="str">
        <x:v>Rent check</x:v>
      </x:c>
      <x:c r="E247" s="20" t="str">
        <x:v>Payment</x:v>
      </x:c>
      <x:c r="F247" s="35" t="str">
        <x:v>Direct scan draft matched to tenant account and charge</x:v>
      </x:c>
      <x:c r="G247" s="20" t="str">
        <x:v>PDF</x:v>
      </x:c>
      <x:c r="H247" s="20" t="str">
        <x:v>1 image</x:v>
      </x:c>
      <x:c r="I247" s="35" t="str">
        <x:v>phone camera; amount box, written amount, memo, and endorsement visible</x:v>
      </x:c>
      <x:c r="J247" s="20" t="str">
        <x:v>P013</x:v>
      </x:c>
      <x:c r="K247" s="20" t="str">
        <x:v>U013</x:v>
      </x:c>
      <x:c r="L247" s="20" t="str">
        <x:v>L013</x:v>
      </x:c>
      <x:c r="M247" s="20" t="str">
        <x:v>FIN-00619</x:v>
      </x:c>
      <x:c r="N247" s="35" t="str">
        <x:v>payer; amount; date; check/money-order number; memo; property; unit; lease match</x:v>
      </x:c>
      <x:c r="O247" s="35" t="str"/>
      <x:c r="P247" s="35" t="str">
        <x:v>Use a different receipt on the other client to exercise the manual payment form.</x:v>
      </x:c>
      <x:c r="Q247" s="35" t="str">
        <x:v>Synthetic QA only; no real people, accounts, signatures, or properties</x:v>
      </x:c>
    </x:row>
    <x:row r="248">
      <x:c r="A248" s="20" t="str">
        <x:v>SCN-0245</x:v>
      </x:c>
      <x:c r="B248" s="23" t="n">
        <x:v>46603</x:v>
      </x:c>
      <x:c r="C248" s="20" t="str">
        <x:v>scn-0245-rent-payment-l016-20270804.pdf</x:v>
      </x:c>
      <x:c r="D248" s="20" t="str">
        <x:v>Rent check</x:v>
      </x:c>
      <x:c r="E248" s="20" t="str">
        <x:v>Payment</x:v>
      </x:c>
      <x:c r="F248" s="35" t="str">
        <x:v>Direct scan draft matched to tenant account and charge</x:v>
      </x:c>
      <x:c r="G248" s="20" t="str">
        <x:v>PDF</x:v>
      </x:c>
      <x:c r="H248" s="20" t="str">
        <x:v>1 image</x:v>
      </x:c>
      <x:c r="I248" s="35" t="str">
        <x:v>phone camera; amount box, written amount, memo, and endorsement visible</x:v>
      </x:c>
      <x:c r="J248" s="20" t="str">
        <x:v>P016</x:v>
      </x:c>
      <x:c r="K248" s="20" t="str">
        <x:v>U016</x:v>
      </x:c>
      <x:c r="L248" s="20" t="str">
        <x:v>L016</x:v>
      </x:c>
      <x:c r="M248" s="20" t="str">
        <x:v>FIN-00623</x:v>
      </x:c>
      <x:c r="N248" s="35" t="str">
        <x:v>payer; amount; date; check/money-order number; memo; property; unit; lease match</x:v>
      </x:c>
      <x:c r="O248" s="35" t="str"/>
      <x:c r="P248" s="35" t="str">
        <x:v>Use a different receipt on the other client to exercise the manual payment form.</x:v>
      </x:c>
      <x:c r="Q248" s="35" t="str">
        <x:v>Synthetic QA only; no real people, accounts, signatures, or properties</x:v>
      </x:c>
    </x:row>
    <x:row r="249">
      <x:c r="A249" s="20" t="str">
        <x:v>SCN-0246</x:v>
      </x:c>
      <x:c r="B249" s="23" t="n">
        <x:v>46604</x:v>
      </x:c>
      <x:c r="C249" s="20" t="str">
        <x:v>scn-0246-rent-payment-l020-20270805.pdf</x:v>
      </x:c>
      <x:c r="D249" s="20" t="str">
        <x:v>Rent check</x:v>
      </x:c>
      <x:c r="E249" s="20" t="str">
        <x:v>Payment</x:v>
      </x:c>
      <x:c r="F249" s="35" t="str">
        <x:v>Direct scan draft matched to tenant account and charge</x:v>
      </x:c>
      <x:c r="G249" s="20" t="str">
        <x:v>PDF</x:v>
      </x:c>
      <x:c r="H249" s="20" t="str">
        <x:v>1 image</x:v>
      </x:c>
      <x:c r="I249" s="35" t="str">
        <x:v>phone camera; amount box, written amount, memo, and endorsement visible</x:v>
      </x:c>
      <x:c r="J249" s="20" t="str">
        <x:v>P020</x:v>
      </x:c>
      <x:c r="K249" s="20" t="str">
        <x:v>U020</x:v>
      </x:c>
      <x:c r="L249" s="20" t="str">
        <x:v>L020</x:v>
      </x:c>
      <x:c r="M249" s="20" t="str">
        <x:v>FIN-00629</x:v>
      </x:c>
      <x:c r="N249" s="35" t="str">
        <x:v>payer; amount; date; check/money-order number; memo; property; unit; lease match</x:v>
      </x:c>
      <x:c r="O249" s="35" t="str">
        <x:v>handwritten memo and similar tenant names</x:v>
      </x:c>
      <x:c r="P249" s="35" t="str">
        <x:v>Use a different receipt on the other client to exercise the manual payment form.</x:v>
      </x:c>
      <x:c r="Q249" s="35" t="str">
        <x:v>Synthetic QA only; no real people, accounts, signatures, or properties</x:v>
      </x:c>
    </x:row>
    <x:row r="250">
      <x:c r="A250" s="20" t="str">
        <x:v>SCN-0247</x:v>
      </x:c>
      <x:c r="B250" s="23" t="n">
        <x:v>46602</x:v>
      </x:c>
      <x:c r="C250" s="20" t="str">
        <x:v>scn-0247-rent-payment-l021-20270803.jpg</x:v>
      </x:c>
      <x:c r="D250" s="20" t="str">
        <x:v>Money order</x:v>
      </x:c>
      <x:c r="E250" s="20" t="str">
        <x:v>Payment</x:v>
      </x:c>
      <x:c r="F250" s="35" t="str">
        <x:v>Direct scan draft matched to tenant account and charge</x:v>
      </x:c>
      <x:c r="G250" s="20" t="str">
        <x:v>Camera JPEG</x:v>
      </x:c>
      <x:c r="H250" s="20" t="str">
        <x:v>1 image</x:v>
      </x:c>
      <x:c r="I250" s="35" t="str">
        <x:v>phone camera; amount box, written amount, memo, and endorsement visible</x:v>
      </x:c>
      <x:c r="J250" s="20" t="str">
        <x:v>P021</x:v>
      </x:c>
      <x:c r="K250" s="20" t="str">
        <x:v>U021</x:v>
      </x:c>
      <x:c r="L250" s="20" t="str">
        <x:v>L021</x:v>
      </x:c>
      <x:c r="M250" s="20" t="str">
        <x:v>FIN-00631</x:v>
      </x:c>
      <x:c r="N250" s="35" t="str">
        <x:v>payer; amount; date; check/money-order number; memo; property; unit; lease match</x:v>
      </x:c>
      <x:c r="O250" s="35" t="str"/>
      <x:c r="P250" s="35" t="str">
        <x:v>Use a different receipt on the other client to exercise the manual payment form.</x:v>
      </x:c>
      <x:c r="Q250" s="35" t="str">
        <x:v>Synthetic QA only; no real people, accounts, signatures, or properties</x:v>
      </x:c>
    </x:row>
    <x:row r="251">
      <x:c r="A251" s="20" t="str">
        <x:v>SCN-0248</x:v>
      </x:c>
      <x:c r="B251" s="23" t="n">
        <x:v>46611</x:v>
      </x:c>
      <x:c r="C251" s="20" t="str">
        <x:v>scn-0248-rent-payment-l022-20270812.pdf</x:v>
      </x:c>
      <x:c r="D251" s="20" t="str">
        <x:v>Rent check</x:v>
      </x:c>
      <x:c r="E251" s="20" t="str">
        <x:v>Payment</x:v>
      </x:c>
      <x:c r="F251" s="35" t="str">
        <x:v>Direct scan draft matched to tenant account and charge</x:v>
      </x:c>
      <x:c r="G251" s="20" t="str">
        <x:v>PDF</x:v>
      </x:c>
      <x:c r="H251" s="20" t="str">
        <x:v>1 image</x:v>
      </x:c>
      <x:c r="I251" s="35" t="str">
        <x:v>phone camera; amount box, written amount, memo, and endorsement visible</x:v>
      </x:c>
      <x:c r="J251" s="20" t="str">
        <x:v>P021</x:v>
      </x:c>
      <x:c r="K251" s="20" t="str">
        <x:v>U022</x:v>
      </x:c>
      <x:c r="L251" s="20" t="str">
        <x:v>L022</x:v>
      </x:c>
      <x:c r="M251" s="20" t="str">
        <x:v>FIN-00635</x:v>
      </x:c>
      <x:c r="N251" s="35" t="str">
        <x:v>payer; amount; date; check/money-order number; memo; property; unit; lease match</x:v>
      </x:c>
      <x:c r="O251" s="35" t="str"/>
      <x:c r="P251" s="35" t="str">
        <x:v>Use a different receipt on the other client to exercise the manual payment form.</x:v>
      </x:c>
      <x:c r="Q251" s="35" t="str">
        <x:v>Synthetic QA only; no real people, accounts, signatures, or properties</x:v>
      </x:c>
    </x:row>
    <x:row r="252">
      <x:c r="A252" s="20" t="str">
        <x:v>SCN-0249</x:v>
      </x:c>
      <x:c r="B252" s="23" t="n">
        <x:v>46602</x:v>
      </x:c>
      <x:c r="C252" s="20" t="str">
        <x:v>scn-0249-rent-payment-l024-20270803.pdf</x:v>
      </x:c>
      <x:c r="D252" s="20" t="str">
        <x:v>Rent check</x:v>
      </x:c>
      <x:c r="E252" s="20" t="str">
        <x:v>Payment</x:v>
      </x:c>
      <x:c r="F252" s="35" t="str">
        <x:v>Direct scan draft matched to tenant account and charge</x:v>
      </x:c>
      <x:c r="G252" s="20" t="str">
        <x:v>PDF</x:v>
      </x:c>
      <x:c r="H252" s="20" t="str">
        <x:v>1 image</x:v>
      </x:c>
      <x:c r="I252" s="35" t="str">
        <x:v>phone camera; amount box, written amount, memo, and endorsement visible</x:v>
      </x:c>
      <x:c r="J252" s="20" t="str">
        <x:v>P022</x:v>
      </x:c>
      <x:c r="K252" s="20" t="str">
        <x:v>U024</x:v>
      </x:c>
      <x:c r="L252" s="20" t="str">
        <x:v>L024</x:v>
      </x:c>
      <x:c r="M252" s="20" t="str">
        <x:v>FIN-00639</x:v>
      </x:c>
      <x:c r="N252" s="35" t="str">
        <x:v>payer; amount; date; check/money-order number; memo; property; unit; lease match</x:v>
      </x:c>
      <x:c r="O252" s="35" t="str"/>
      <x:c r="P252" s="35" t="str">
        <x:v>Use a different receipt on the other client to exercise the manual payment form.</x:v>
      </x:c>
      <x:c r="Q252" s="35" t="str">
        <x:v>Synthetic QA only; no real people, accounts, signatures, or properties</x:v>
      </x:c>
    </x:row>
    <x:row r="253">
      <x:c r="A253" s="20" t="str">
        <x:v>SCN-0250</x:v>
      </x:c>
      <x:c r="B253" s="23" t="n">
        <x:v>46603</x:v>
      </x:c>
      <x:c r="C253" s="20" t="str">
        <x:v>scn-0250-rent-payment-l025-20270804.jpg</x:v>
      </x:c>
      <x:c r="D253" s="20" t="str">
        <x:v>Money order</x:v>
      </x:c>
      <x:c r="E253" s="20" t="str">
        <x:v>Payment</x:v>
      </x:c>
      <x:c r="F253" s="35" t="str">
        <x:v>Direct scan draft matched to tenant account and charge</x:v>
      </x:c>
      <x:c r="G253" s="20" t="str">
        <x:v>Camera JPEG</x:v>
      </x:c>
      <x:c r="H253" s="20" t="str">
        <x:v>1 image</x:v>
      </x:c>
      <x:c r="I253" s="35" t="str">
        <x:v>phone camera; amount box, written amount, memo, and endorsement visible</x:v>
      </x:c>
      <x:c r="J253" s="20" t="str">
        <x:v>P023</x:v>
      </x:c>
      <x:c r="K253" s="20" t="str">
        <x:v>U025</x:v>
      </x:c>
      <x:c r="L253" s="20" t="str">
        <x:v>L025</x:v>
      </x:c>
      <x:c r="M253" s="20" t="str">
        <x:v>FIN-00641</x:v>
      </x:c>
      <x:c r="N253" s="35" t="str">
        <x:v>payer; amount; date; check/money-order number; memo; property; unit; lease match</x:v>
      </x:c>
      <x:c r="O253" s="35" t="str">
        <x:v>handwritten memo and similar tenant names</x:v>
      </x:c>
      <x:c r="P253" s="35" t="str">
        <x:v>Use a different receipt on the other client to exercise the manual payment form.</x:v>
      </x:c>
      <x:c r="Q253" s="35" t="str">
        <x:v>Synthetic QA only; no real people, accounts, signatures, or properties</x:v>
      </x:c>
    </x:row>
    <x:row r="254">
      <x:c r="A254" s="20" t="str">
        <x:v>SCN-0251</x:v>
      </x:c>
      <x:c r="B254" s="23" t="n">
        <x:v>46607</x:v>
      </x:c>
      <x:c r="C254" s="20" t="str">
        <x:v>scn-0251-rent-payment-l026-20270808.jpg</x:v>
      </x:c>
      <x:c r="D254" s="20" t="str">
        <x:v>Money order</x:v>
      </x:c>
      <x:c r="E254" s="20" t="str">
        <x:v>Payment</x:v>
      </x:c>
      <x:c r="F254" s="35" t="str">
        <x:v>Direct scan draft matched to tenant account and charge</x:v>
      </x:c>
      <x:c r="G254" s="20" t="str">
        <x:v>Camera JPEG</x:v>
      </x:c>
      <x:c r="H254" s="20" t="str">
        <x:v>1 image</x:v>
      </x:c>
      <x:c r="I254" s="35" t="str">
        <x:v>phone camera; amount box, written amount, memo, and endorsement visible</x:v>
      </x:c>
      <x:c r="J254" s="20" t="str">
        <x:v>P023</x:v>
      </x:c>
      <x:c r="K254" s="20" t="str">
        <x:v>U026</x:v>
      </x:c>
      <x:c r="L254" s="20" t="str">
        <x:v>L026</x:v>
      </x:c>
      <x:c r="M254" s="20" t="str">
        <x:v>FIN-00644</x:v>
      </x:c>
      <x:c r="N254" s="35" t="str">
        <x:v>payer; amount; date; check/money-order number; memo; property; unit; lease match</x:v>
      </x:c>
      <x:c r="O254" s="35" t="str"/>
      <x:c r="P254" s="35" t="str">
        <x:v>Use a different receipt on the other client to exercise the manual payment form.</x:v>
      </x:c>
      <x:c r="Q254" s="35" t="str">
        <x:v>Synthetic QA only; no real people, accounts, signatures, or properties</x:v>
      </x:c>
    </x:row>
    <x:row r="255">
      <x:c r="A255" s="20" t="str">
        <x:v>SCN-0252</x:v>
      </x:c>
      <x:c r="B255" s="23" t="n">
        <x:v>46603</x:v>
      </x:c>
      <x:c r="C255" s="20" t="str">
        <x:v>scn-0252-rent-payment-l028-20270804.pdf</x:v>
      </x:c>
      <x:c r="D255" s="20" t="str">
        <x:v>Rent check</x:v>
      </x:c>
      <x:c r="E255" s="20" t="str">
        <x:v>Payment</x:v>
      </x:c>
      <x:c r="F255" s="35" t="str">
        <x:v>Direct scan draft matched to tenant account and charge</x:v>
      </x:c>
      <x:c r="G255" s="20" t="str">
        <x:v>PDF</x:v>
      </x:c>
      <x:c r="H255" s="20" t="str">
        <x:v>1 image</x:v>
      </x:c>
      <x:c r="I255" s="35" t="str">
        <x:v>phone camera; amount box, written amount, memo, and endorsement visible</x:v>
      </x:c>
      <x:c r="J255" s="20" t="str">
        <x:v>P024</x:v>
      </x:c>
      <x:c r="K255" s="20" t="str">
        <x:v>U028</x:v>
      </x:c>
      <x:c r="L255" s="20" t="str">
        <x:v>L028</x:v>
      </x:c>
      <x:c r="M255" s="20" t="str">
        <x:v>FIN-00648</x:v>
      </x:c>
      <x:c r="N255" s="35" t="str">
        <x:v>payer; amount; date; check/money-order number; memo; property; unit; lease match</x:v>
      </x:c>
      <x:c r="O255" s="35" t="str"/>
      <x:c r="P255" s="35" t="str">
        <x:v>Use a different receipt on the other client to exercise the manual payment form.</x:v>
      </x:c>
      <x:c r="Q255" s="35" t="str">
        <x:v>Synthetic QA only; no real people, accounts, signatures, or properties</x:v>
      </x:c>
    </x:row>
    <x:row r="256">
      <x:c r="A256" s="20" t="str">
        <x:v>SCN-0253</x:v>
      </x:c>
      <x:c r="B256" s="23" t="n">
        <x:v>46604</x:v>
      </x:c>
      <x:c r="C256" s="20" t="str">
        <x:v>scn-0253-rent-payment-l029-20270805.jpg</x:v>
      </x:c>
      <x:c r="D256" s="20" t="str">
        <x:v>Money order</x:v>
      </x:c>
      <x:c r="E256" s="20" t="str">
        <x:v>Payment</x:v>
      </x:c>
      <x:c r="F256" s="35" t="str">
        <x:v>Direct scan draft matched to tenant account and charge</x:v>
      </x:c>
      <x:c r="G256" s="20" t="str">
        <x:v>Camera JPEG</x:v>
      </x:c>
      <x:c r="H256" s="20" t="str">
        <x:v>1 image</x:v>
      </x:c>
      <x:c r="I256" s="35" t="str">
        <x:v>phone camera; amount box, written amount, memo, and endorsement visible</x:v>
      </x:c>
      <x:c r="J256" s="20" t="str">
        <x:v>P025</x:v>
      </x:c>
      <x:c r="K256" s="20" t="str">
        <x:v>U029</x:v>
      </x:c>
      <x:c r="L256" s="20" t="str">
        <x:v>L029</x:v>
      </x:c>
      <x:c r="M256" s="20" t="str">
        <x:v>FIN-00650</x:v>
      </x:c>
      <x:c r="N256" s="35" t="str">
        <x:v>payer; amount; date; check/money-order number; memo; property; unit; lease match</x:v>
      </x:c>
      <x:c r="O256" s="35" t="str"/>
      <x:c r="P256" s="35" t="str">
        <x:v>Use a different receipt on the other client to exercise the manual payment form.</x:v>
      </x:c>
      <x:c r="Q256" s="35" t="str">
        <x:v>Synthetic QA only; no real people, accounts, signatures, or properties</x:v>
      </x:c>
    </x:row>
    <x:row r="257">
      <x:c r="A257" s="20" t="str">
        <x:v>SCN-0254</x:v>
      </x:c>
      <x:c r="B257" s="23" t="n">
        <x:v>46604</x:v>
      </x:c>
      <x:c r="C257" s="20" t="str">
        <x:v>scn-0254-rent-payment-l032-20270805.pdf</x:v>
      </x:c>
      <x:c r="D257" s="20" t="str">
        <x:v>Rent check</x:v>
      </x:c>
      <x:c r="E257" s="20" t="str">
        <x:v>Payment</x:v>
      </x:c>
      <x:c r="F257" s="35" t="str">
        <x:v>Direct scan draft matched to tenant account and charge</x:v>
      </x:c>
      <x:c r="G257" s="20" t="str">
        <x:v>PDF</x:v>
      </x:c>
      <x:c r="H257" s="20" t="str">
        <x:v>1 image</x:v>
      </x:c>
      <x:c r="I257" s="35" t="str">
        <x:v>phone camera; amount box, written amount, memo, and endorsement visible</x:v>
      </x:c>
      <x:c r="J257" s="20" t="str">
        <x:v>P026</x:v>
      </x:c>
      <x:c r="K257" s="20" t="str">
        <x:v>U032</x:v>
      </x:c>
      <x:c r="L257" s="20" t="str">
        <x:v>L032</x:v>
      </x:c>
      <x:c r="M257" s="20" t="str">
        <x:v>FIN-00656</x:v>
      </x:c>
      <x:c r="N257" s="35" t="str">
        <x:v>payer; amount; date; check/money-order number; memo; property; unit; lease match</x:v>
      </x:c>
      <x:c r="O257" s="35" t="str"/>
      <x:c r="P257" s="35" t="str">
        <x:v>Use a different receipt on the other client to exercise the manual payment form.</x:v>
      </x:c>
      <x:c r="Q257" s="35" t="str">
        <x:v>Synthetic QA only; no real people, accounts, signatures, or properties</x:v>
      </x:c>
    </x:row>
    <x:row r="258">
      <x:c r="A258" s="20" t="str">
        <x:v>SCN-0255</x:v>
      </x:c>
      <x:c r="B258" s="23" t="n">
        <x:v>46602</x:v>
      </x:c>
      <x:c r="C258" s="20" t="str">
        <x:v>scn-0255-rent-payment-l033-20270803.jpg</x:v>
      </x:c>
      <x:c r="D258" s="20" t="str">
        <x:v>Money order</x:v>
      </x:c>
      <x:c r="E258" s="20" t="str">
        <x:v>Payment</x:v>
      </x:c>
      <x:c r="F258" s="35" t="str">
        <x:v>Direct scan draft matched to tenant account and charge</x:v>
      </x:c>
      <x:c r="G258" s="20" t="str">
        <x:v>Camera JPEG</x:v>
      </x:c>
      <x:c r="H258" s="20" t="str">
        <x:v>1 image</x:v>
      </x:c>
      <x:c r="I258" s="35" t="str">
        <x:v>phone camera; amount box, written amount, memo, and endorsement visible</x:v>
      </x:c>
      <x:c r="J258" s="20" t="str">
        <x:v>P027</x:v>
      </x:c>
      <x:c r="K258" s="20" t="str">
        <x:v>U033</x:v>
      </x:c>
      <x:c r="L258" s="20" t="str">
        <x:v>L033</x:v>
      </x:c>
      <x:c r="M258" s="20" t="str">
        <x:v>FIN-00658</x:v>
      </x:c>
      <x:c r="N258" s="35" t="str">
        <x:v>payer; amount; date; check/money-order number; memo; property; unit; lease match</x:v>
      </x:c>
      <x:c r="O258" s="35" t="str"/>
      <x:c r="P258" s="35" t="str">
        <x:v>Use a different receipt on the other client to exercise the manual payment form.</x:v>
      </x:c>
      <x:c r="Q258" s="35" t="str">
        <x:v>Synthetic QA only; no real people, accounts, signatures, or properties</x:v>
      </x:c>
    </x:row>
    <x:row r="259">
      <x:c r="A259" s="20" t="str">
        <x:v>SCN-0256</x:v>
      </x:c>
      <x:c r="B259" s="23" t="n">
        <x:v>46602</x:v>
      </x:c>
      <x:c r="C259" s="20" t="str">
        <x:v>scn-0256-rent-payment-l036-20270803.pdf</x:v>
      </x:c>
      <x:c r="D259" s="20" t="str">
        <x:v>Rent check</x:v>
      </x:c>
      <x:c r="E259" s="20" t="str">
        <x:v>Payment</x:v>
      </x:c>
      <x:c r="F259" s="35" t="str">
        <x:v>Direct scan draft matched to tenant account and charge</x:v>
      </x:c>
      <x:c r="G259" s="20" t="str">
        <x:v>PDF</x:v>
      </x:c>
      <x:c r="H259" s="20" t="str">
        <x:v>1 image</x:v>
      </x:c>
      <x:c r="I259" s="35" t="str">
        <x:v>phone camera; amount box, written amount, memo, and endorsement visible</x:v>
      </x:c>
      <x:c r="J259" s="20" t="str">
        <x:v>P028</x:v>
      </x:c>
      <x:c r="K259" s="20" t="str">
        <x:v>U036</x:v>
      </x:c>
      <x:c r="L259" s="20" t="str">
        <x:v>L036</x:v>
      </x:c>
      <x:c r="M259" s="20" t="str">
        <x:v>FIN-00666</x:v>
      </x:c>
      <x:c r="N259" s="35" t="str">
        <x:v>payer; amount; date; check/money-order number; memo; property; unit; lease match</x:v>
      </x:c>
      <x:c r="O259" s="35" t="str"/>
      <x:c r="P259" s="35" t="str">
        <x:v>Use a different receipt on the other client to exercise the manual payment form.</x:v>
      </x:c>
      <x:c r="Q259" s="35" t="str">
        <x:v>Synthetic QA only; no real people, accounts, signatures, or properties</x:v>
      </x:c>
    </x:row>
    <x:row r="260">
      <x:c r="A260" s="20" t="str">
        <x:v>SCN-0257</x:v>
      </x:c>
      <x:c r="B260" s="23" t="n">
        <x:v>46603</x:v>
      </x:c>
      <x:c r="C260" s="20" t="str">
        <x:v>scn-0257-rent-payment-l037-20270804.jpg</x:v>
      </x:c>
      <x:c r="D260" s="20" t="str">
        <x:v>Money order</x:v>
      </x:c>
      <x:c r="E260" s="20" t="str">
        <x:v>Payment</x:v>
      </x:c>
      <x:c r="F260" s="35" t="str">
        <x:v>Direct scan draft matched to tenant account and charge</x:v>
      </x:c>
      <x:c r="G260" s="20" t="str">
        <x:v>Camera JPEG</x:v>
      </x:c>
      <x:c r="H260" s="20" t="str">
        <x:v>1 image</x:v>
      </x:c>
      <x:c r="I260" s="35" t="str">
        <x:v>phone camera; amount box, written amount, memo, and endorsement visible</x:v>
      </x:c>
      <x:c r="J260" s="20" t="str">
        <x:v>P005</x:v>
      </x:c>
      <x:c r="K260" s="20" t="str">
        <x:v>U005</x:v>
      </x:c>
      <x:c r="L260" s="20" t="str">
        <x:v>L037</x:v>
      </x:c>
      <x:c r="M260" s="20" t="str">
        <x:v>FIN-00668</x:v>
      </x:c>
      <x:c r="N260" s="35" t="str">
        <x:v>payer; amount; date; check/money-order number; memo; property; unit; lease match</x:v>
      </x:c>
      <x:c r="O260" s="35" t="str"/>
      <x:c r="P260" s="35" t="str">
        <x:v>Use a different receipt on the other client to exercise the manual payment form.</x:v>
      </x:c>
      <x:c r="Q260" s="35" t="str">
        <x:v>Synthetic QA only; no real people, accounts, signatures, or properties</x:v>
      </x:c>
    </x:row>
    <x:row r="261">
      <x:c r="A261" s="20" t="str">
        <x:v>SCN-0258</x:v>
      </x:c>
      <x:c r="B261" s="23" t="n">
        <x:v>46602</x:v>
      </x:c>
      <x:c r="C261" s="20" t="str">
        <x:v>scn-0258-rent-payment-l044-20270803.pdf</x:v>
      </x:c>
      <x:c r="D261" s="20" t="str">
        <x:v>Rent check</x:v>
      </x:c>
      <x:c r="E261" s="20" t="str">
        <x:v>Payment</x:v>
      </x:c>
      <x:c r="F261" s="35" t="str">
        <x:v>Direct scan draft matched to tenant account and charge</x:v>
      </x:c>
      <x:c r="G261" s="20" t="str">
        <x:v>PDF</x:v>
      </x:c>
      <x:c r="H261" s="20" t="str">
        <x:v>1 image</x:v>
      </x:c>
      <x:c r="I261" s="35" t="str">
        <x:v>phone camera; amount box, written amount, memo, and endorsement visible</x:v>
      </x:c>
      <x:c r="J261" s="20" t="str">
        <x:v>P029</x:v>
      </x:c>
      <x:c r="K261" s="20" t="str">
        <x:v>U038</x:v>
      </x:c>
      <x:c r="L261" s="20" t="str">
        <x:v>L044</x:v>
      </x:c>
      <x:c r="M261" s="20" t="str">
        <x:v>FIN-00677</x:v>
      </x:c>
      <x:c r="N261" s="35" t="str">
        <x:v>payer; amount; date; check/money-order number; memo; property; unit; lease match</x:v>
      </x:c>
      <x:c r="O261" s="35" t="str"/>
      <x:c r="P261" s="35" t="str">
        <x:v>Use a different receipt on the other client to exercise the manual payment form.</x:v>
      </x:c>
      <x:c r="Q261" s="35" t="str">
        <x:v>Synthetic QA only; no real people, accounts, signatures, or properties</x:v>
      </x:c>
    </x:row>
    <x:row r="262">
      <x:c r="A262" s="20" t="str">
        <x:v>SCN-0259</x:v>
      </x:c>
      <x:c r="B262" s="23" t="n">
        <x:v>46602</x:v>
      </x:c>
      <x:c r="C262" s="20" t="str">
        <x:v>scn-0259-rent-payment-l045-20270803.jpg</x:v>
      </x:c>
      <x:c r="D262" s="20" t="str">
        <x:v>Money order</x:v>
      </x:c>
      <x:c r="E262" s="20" t="str">
        <x:v>Payment</x:v>
      </x:c>
      <x:c r="F262" s="35" t="str">
        <x:v>Direct scan draft matched to tenant account and charge</x:v>
      </x:c>
      <x:c r="G262" s="20" t="str">
        <x:v>Camera JPEG</x:v>
      </x:c>
      <x:c r="H262" s="20" t="str">
        <x:v>1 image</x:v>
      </x:c>
      <x:c r="I262" s="35" t="str">
        <x:v>phone camera; amount box, written amount, memo, and endorsement visible</x:v>
      </x:c>
      <x:c r="J262" s="20" t="str">
        <x:v>P030</x:v>
      </x:c>
      <x:c r="K262" s="20" t="str">
        <x:v>U039</x:v>
      </x:c>
      <x:c r="L262" s="20" t="str">
        <x:v>L045</x:v>
      </x:c>
      <x:c r="M262" s="20" t="str">
        <x:v>FIN-00681</x:v>
      </x:c>
      <x:c r="N262" s="35" t="str">
        <x:v>payer; amount; date; check/money-order number; memo; property; unit; lease match</x:v>
      </x:c>
      <x:c r="O262" s="35" t="str">
        <x:v>handwritten memo and similar tenant names</x:v>
      </x:c>
      <x:c r="P262" s="35" t="str">
        <x:v>Use a different receipt on the other client to exercise the manual payment form.</x:v>
      </x:c>
      <x:c r="Q262" s="35" t="str">
        <x:v>Synthetic QA only; no real people, accounts, signatures, or properties</x:v>
      </x:c>
    </x:row>
    <x:row r="263">
      <x:c r="A263" s="20" t="str">
        <x:v>SCN-0260</x:v>
      </x:c>
      <x:c r="B263" s="23" t="n">
        <x:v>46634</x:v>
      </x:c>
      <x:c r="C263" s="20" t="str">
        <x:v>scn-0260-rent-payment-l001-20270904.jpg</x:v>
      </x:c>
      <x:c r="D263" s="20" t="str">
        <x:v>Money order</x:v>
      </x:c>
      <x:c r="E263" s="20" t="str">
        <x:v>Payment</x:v>
      </x:c>
      <x:c r="F263" s="35" t="str">
        <x:v>Direct scan draft matched to tenant account and charge</x:v>
      </x:c>
      <x:c r="G263" s="20" t="str">
        <x:v>Camera JPEG</x:v>
      </x:c>
      <x:c r="H263" s="20" t="str">
        <x:v>1 image</x:v>
      </x:c>
      <x:c r="I263" s="35" t="str">
        <x:v>phone camera; amount box, written amount, memo, and endorsement visible</x:v>
      </x:c>
      <x:c r="J263" s="20" t="str">
        <x:v>P001</x:v>
      </x:c>
      <x:c r="K263" s="20" t="str">
        <x:v>U001</x:v>
      </x:c>
      <x:c r="L263" s="20" t="str">
        <x:v>L001</x:v>
      </x:c>
      <x:c r="M263" s="20" t="str">
        <x:v>FIN-00683</x:v>
      </x:c>
      <x:c r="N263" s="35" t="str">
        <x:v>payer; amount; date; check/money-order number; memo; property; unit; lease match</x:v>
      </x:c>
      <x:c r="O263" s="35" t="str"/>
      <x:c r="P263" s="35" t="str">
        <x:v>Use a different receipt on the other client to exercise the manual payment form.</x:v>
      </x:c>
      <x:c r="Q263" s="35" t="str">
        <x:v>Synthetic QA only; no real people, accounts, signatures, or properties</x:v>
      </x:c>
    </x:row>
    <x:row r="264">
      <x:c r="A264" s="20" t="str">
        <x:v>SCN-0261</x:v>
      </x:c>
      <x:c r="B264" s="23" t="n">
        <x:v>46634</x:v>
      </x:c>
      <x:c r="C264" s="20" t="str">
        <x:v>scn-0261-rent-payment-l004-20270904.pdf</x:v>
      </x:c>
      <x:c r="D264" s="20" t="str">
        <x:v>Rent check</x:v>
      </x:c>
      <x:c r="E264" s="20" t="str">
        <x:v>Payment</x:v>
      </x:c>
      <x:c r="F264" s="35" t="str">
        <x:v>Direct scan draft matched to tenant account and charge</x:v>
      </x:c>
      <x:c r="G264" s="20" t="str">
        <x:v>PDF</x:v>
      </x:c>
      <x:c r="H264" s="20" t="str">
        <x:v>1 image</x:v>
      </x:c>
      <x:c r="I264" s="35" t="str">
        <x:v>phone camera; amount box, written amount, memo, and endorsement visible</x:v>
      </x:c>
      <x:c r="J264" s="20" t="str">
        <x:v>P004</x:v>
      </x:c>
      <x:c r="K264" s="20" t="str">
        <x:v>U004</x:v>
      </x:c>
      <x:c r="L264" s="20" t="str">
        <x:v>L004</x:v>
      </x:c>
      <x:c r="M264" s="20" t="str">
        <x:v>FIN-00689</x:v>
      </x:c>
      <x:c r="N264" s="35" t="str">
        <x:v>payer; amount; date; check/money-order number; memo; property; unit; lease match</x:v>
      </x:c>
      <x:c r="O264" s="35" t="str"/>
      <x:c r="P264" s="35" t="str">
        <x:v>Use a different receipt on the other client to exercise the manual payment form.</x:v>
      </x:c>
      <x:c r="Q264" s="35" t="str">
        <x:v>Synthetic QA only; no real people, accounts, signatures, or properties</x:v>
      </x:c>
    </x:row>
    <x:row r="265">
      <x:c r="A265" s="20" t="str">
        <x:v>SCN-0262</x:v>
      </x:c>
      <x:c r="B265" s="23" t="n">
        <x:v>46633</x:v>
      </x:c>
      <x:c r="C265" s="20" t="str">
        <x:v>scn-0262-rent-payment-l009-20270903.jpg</x:v>
      </x:c>
      <x:c r="D265" s="20" t="str">
        <x:v>Money order</x:v>
      </x:c>
      <x:c r="E265" s="20" t="str">
        <x:v>Payment</x:v>
      </x:c>
      <x:c r="F265" s="35" t="str">
        <x:v>Direct scan draft matched to tenant account and charge</x:v>
      </x:c>
      <x:c r="G265" s="20" t="str">
        <x:v>Camera JPEG</x:v>
      </x:c>
      <x:c r="H265" s="20" t="str">
        <x:v>1 image</x:v>
      </x:c>
      <x:c r="I265" s="35" t="str">
        <x:v>phone camera; amount box, written amount, memo, and endorsement visible</x:v>
      </x:c>
      <x:c r="J265" s="20" t="str">
        <x:v>P009</x:v>
      </x:c>
      <x:c r="K265" s="20" t="str">
        <x:v>U009</x:v>
      </x:c>
      <x:c r="L265" s="20" t="str">
        <x:v>L009</x:v>
      </x:c>
      <x:c r="M265" s="20" t="str">
        <x:v>FIN-00695</x:v>
      </x:c>
      <x:c r="N265" s="35" t="str">
        <x:v>payer; amount; date; check/money-order number; memo; property; unit; lease match</x:v>
      </x:c>
      <x:c r="O265" s="35" t="str"/>
      <x:c r="P265" s="35" t="str">
        <x:v>Use a different receipt on the other client to exercise the manual payment form.</x:v>
      </x:c>
      <x:c r="Q265" s="35" t="str">
        <x:v>Synthetic QA only; no real people, accounts, signatures, or properties</x:v>
      </x:c>
    </x:row>
    <x:row r="266">
      <x:c r="A266" s="20" t="str">
        <x:v>SCN-0263</x:v>
      </x:c>
      <x:c r="B266" s="23" t="n">
        <x:v>46642</x:v>
      </x:c>
      <x:c r="C266" s="20" t="str">
        <x:v>scn-0263-rent-payment-l011-20270912.jpg</x:v>
      </x:c>
      <x:c r="D266" s="20" t="str">
        <x:v>Money order</x:v>
      </x:c>
      <x:c r="E266" s="20" t="str">
        <x:v>Payment</x:v>
      </x:c>
      <x:c r="F266" s="35" t="str">
        <x:v>Direct scan draft matched to tenant account and charge</x:v>
      </x:c>
      <x:c r="G266" s="20" t="str">
        <x:v>Camera JPEG</x:v>
      </x:c>
      <x:c r="H266" s="20" t="str">
        <x:v>1 image</x:v>
      </x:c>
      <x:c r="I266" s="35" t="str">
        <x:v>phone camera; amount box, written amount, memo, and endorsement visible</x:v>
      </x:c>
      <x:c r="J266" s="20" t="str">
        <x:v>P011</x:v>
      </x:c>
      <x:c r="K266" s="20" t="str">
        <x:v>U011</x:v>
      </x:c>
      <x:c r="L266" s="20" t="str">
        <x:v>L011</x:v>
      </x:c>
      <x:c r="M266" s="20" t="str">
        <x:v>FIN-00701</x:v>
      </x:c>
      <x:c r="N266" s="35" t="str">
        <x:v>payer; amount; date; check/money-order number; memo; property; unit; lease match</x:v>
      </x:c>
      <x:c r="O266" s="35" t="str"/>
      <x:c r="P266" s="35" t="str">
        <x:v>Use a different receipt on the other client to exercise the manual payment form.</x:v>
      </x:c>
      <x:c r="Q266" s="35" t="str">
        <x:v>Synthetic QA only; no real people, accounts, signatures, or properties</x:v>
      </x:c>
    </x:row>
    <x:row r="267">
      <x:c r="A267" s="20" t="str">
        <x:v>SCN-0264</x:v>
      </x:c>
      <x:c r="B267" s="23" t="n">
        <x:v>46633</x:v>
      </x:c>
      <x:c r="C267" s="20" t="str">
        <x:v>scn-0264-rent-payment-l012-20270903.pdf</x:v>
      </x:c>
      <x:c r="D267" s="20" t="str">
        <x:v>Rent check</x:v>
      </x:c>
      <x:c r="E267" s="20" t="str">
        <x:v>Payment</x:v>
      </x:c>
      <x:c r="F267" s="35" t="str">
        <x:v>Direct scan draft matched to tenant account and charge</x:v>
      </x:c>
      <x:c r="G267" s="20" t="str">
        <x:v>PDF</x:v>
      </x:c>
      <x:c r="H267" s="20" t="str">
        <x:v>1 image</x:v>
      </x:c>
      <x:c r="I267" s="35" t="str">
        <x:v>phone camera; amount box, written amount, memo, and endorsement visible</x:v>
      </x:c>
      <x:c r="J267" s="20" t="str">
        <x:v>P012</x:v>
      </x:c>
      <x:c r="K267" s="20" t="str">
        <x:v>U012</x:v>
      </x:c>
      <x:c r="L267" s="20" t="str">
        <x:v>L012</x:v>
      </x:c>
      <x:c r="M267" s="20" t="str">
        <x:v>FIN-00703</x:v>
      </x:c>
      <x:c r="N267" s="35" t="str">
        <x:v>payer; amount; date; check/money-order number; memo; property; unit; lease match</x:v>
      </x:c>
      <x:c r="O267" s="35" t="str"/>
      <x:c r="P267" s="35" t="str">
        <x:v>Use a different receipt on the other client to exercise the manual payment form.</x:v>
      </x:c>
      <x:c r="Q267" s="35" t="str">
        <x:v>Synthetic QA only; no real people, accounts, signatures, or properties</x:v>
      </x:c>
    </x:row>
    <x:row r="268">
      <x:c r="A268" s="20" t="str">
        <x:v>SCN-0265</x:v>
      </x:c>
      <x:c r="B268" s="23" t="n">
        <x:v>46638</x:v>
      </x:c>
      <x:c r="C268" s="20" t="str">
        <x:v>scn-0265-rent-payment-l013-20270908.pdf</x:v>
      </x:c>
      <x:c r="D268" s="20" t="str">
        <x:v>Rent check</x:v>
      </x:c>
      <x:c r="E268" s="20" t="str">
        <x:v>Payment</x:v>
      </x:c>
      <x:c r="F268" s="35" t="str">
        <x:v>Direct scan draft matched to tenant account and charge</x:v>
      </x:c>
      <x:c r="G268" s="20" t="str">
        <x:v>PDF</x:v>
      </x:c>
      <x:c r="H268" s="20" t="str">
        <x:v>1 image</x:v>
      </x:c>
      <x:c r="I268" s="35" t="str">
        <x:v>phone camera; amount box, written amount, memo, and endorsement visible</x:v>
      </x:c>
      <x:c r="J268" s="20" t="str">
        <x:v>P013</x:v>
      </x:c>
      <x:c r="K268" s="20" t="str">
        <x:v>U013</x:v>
      </x:c>
      <x:c r="L268" s="20" t="str">
        <x:v>L013</x:v>
      </x:c>
      <x:c r="M268" s="20" t="str">
        <x:v>FIN-00706</x:v>
      </x:c>
      <x:c r="N268" s="35" t="str">
        <x:v>payer; amount; date; check/money-order number; memo; property; unit; lease match</x:v>
      </x:c>
      <x:c r="O268" s="35" t="str"/>
      <x:c r="P268" s="35" t="str">
        <x:v>Use a different receipt on the other client to exercise the manual payment form.</x:v>
      </x:c>
      <x:c r="Q268" s="35" t="str">
        <x:v>Synthetic QA only; no real people, accounts, signatures, or properties</x:v>
      </x:c>
    </x:row>
    <x:row r="269">
      <x:c r="A269" s="20" t="str">
        <x:v>SCN-0266</x:v>
      </x:c>
      <x:c r="B269" s="23" t="n">
        <x:v>46634</x:v>
      </x:c>
      <x:c r="C269" s="20" t="str">
        <x:v>scn-0266-rent-payment-l016-20270904.pdf</x:v>
      </x:c>
      <x:c r="D269" s="20" t="str">
        <x:v>Rent check</x:v>
      </x:c>
      <x:c r="E269" s="20" t="str">
        <x:v>Payment</x:v>
      </x:c>
      <x:c r="F269" s="35" t="str">
        <x:v>Direct scan draft matched to tenant account and charge</x:v>
      </x:c>
      <x:c r="G269" s="20" t="str">
        <x:v>PDF</x:v>
      </x:c>
      <x:c r="H269" s="20" t="str">
        <x:v>1 image</x:v>
      </x:c>
      <x:c r="I269" s="35" t="str">
        <x:v>phone camera; amount box, written amount, memo, and endorsement visible</x:v>
      </x:c>
      <x:c r="J269" s="20" t="str">
        <x:v>P016</x:v>
      </x:c>
      <x:c r="K269" s="20" t="str">
        <x:v>U016</x:v>
      </x:c>
      <x:c r="L269" s="20" t="str">
        <x:v>L016</x:v>
      </x:c>
      <x:c r="M269" s="20" t="str">
        <x:v>FIN-00710</x:v>
      </x:c>
      <x:c r="N269" s="35" t="str">
        <x:v>payer; amount; date; check/money-order number; memo; property; unit; lease match</x:v>
      </x:c>
      <x:c r="O269" s="35" t="str"/>
      <x:c r="P269" s="35" t="str">
        <x:v>Use a different receipt on the other client to exercise the manual payment form.</x:v>
      </x:c>
      <x:c r="Q269" s="35" t="str">
        <x:v>Synthetic QA only; no real people, accounts, signatures, or properties</x:v>
      </x:c>
    </x:row>
    <x:row r="270">
      <x:c r="A270" s="20" t="str">
        <x:v>SCN-0267</x:v>
      </x:c>
      <x:c r="B270" s="23" t="n">
        <x:v>46635</x:v>
      </x:c>
      <x:c r="C270" s="20" t="str">
        <x:v>scn-0267-rent-payment-l020-20270905.pdf</x:v>
      </x:c>
      <x:c r="D270" s="20" t="str">
        <x:v>Rent check</x:v>
      </x:c>
      <x:c r="E270" s="20" t="str">
        <x:v>Payment</x:v>
      </x:c>
      <x:c r="F270" s="35" t="str">
        <x:v>Direct scan draft matched to tenant account and charge</x:v>
      </x:c>
      <x:c r="G270" s="20" t="str">
        <x:v>PDF</x:v>
      </x:c>
      <x:c r="H270" s="20" t="str">
        <x:v>1 image</x:v>
      </x:c>
      <x:c r="I270" s="35" t="str">
        <x:v>phone camera; amount box, written amount, memo, and endorsement visible</x:v>
      </x:c>
      <x:c r="J270" s="20" t="str">
        <x:v>P020</x:v>
      </x:c>
      <x:c r="K270" s="20" t="str">
        <x:v>U020</x:v>
      </x:c>
      <x:c r="L270" s="20" t="str">
        <x:v>L020</x:v>
      </x:c>
      <x:c r="M270" s="20" t="str">
        <x:v>FIN-00716</x:v>
      </x:c>
      <x:c r="N270" s="35" t="str">
        <x:v>payer; amount; date; check/money-order number; memo; property; unit; lease match</x:v>
      </x:c>
      <x:c r="O270" s="35" t="str">
        <x:v>handwritten memo and similar tenant names</x:v>
      </x:c>
      <x:c r="P270" s="35" t="str">
        <x:v>Use a different receipt on the other client to exercise the manual payment form.</x:v>
      </x:c>
      <x:c r="Q270" s="35" t="str">
        <x:v>Synthetic QA only; no real people, accounts, signatures, or properties</x:v>
      </x:c>
    </x:row>
    <x:row r="271">
      <x:c r="A271" s="20" t="str">
        <x:v>SCN-0268</x:v>
      </x:c>
      <x:c r="B271" s="23" t="n">
        <x:v>46633</x:v>
      </x:c>
      <x:c r="C271" s="20" t="str">
        <x:v>scn-0268-rent-payment-l021-20270903.jpg</x:v>
      </x:c>
      <x:c r="D271" s="20" t="str">
        <x:v>Money order</x:v>
      </x:c>
      <x:c r="E271" s="20" t="str">
        <x:v>Payment</x:v>
      </x:c>
      <x:c r="F271" s="35" t="str">
        <x:v>Direct scan draft matched to tenant account and charge</x:v>
      </x:c>
      <x:c r="G271" s="20" t="str">
        <x:v>Camera JPEG</x:v>
      </x:c>
      <x:c r="H271" s="20" t="str">
        <x:v>1 image</x:v>
      </x:c>
      <x:c r="I271" s="35" t="str">
        <x:v>phone camera; amount box, written amount, memo, and endorsement visible</x:v>
      </x:c>
      <x:c r="J271" s="20" t="str">
        <x:v>P021</x:v>
      </x:c>
      <x:c r="K271" s="20" t="str">
        <x:v>U021</x:v>
      </x:c>
      <x:c r="L271" s="20" t="str">
        <x:v>L021</x:v>
      </x:c>
      <x:c r="M271" s="20" t="str">
        <x:v>FIN-00718</x:v>
      </x:c>
      <x:c r="N271" s="35" t="str">
        <x:v>payer; amount; date; check/money-order number; memo; property; unit; lease match</x:v>
      </x:c>
      <x:c r="O271" s="35" t="str"/>
      <x:c r="P271" s="35" t="str">
        <x:v>Use a different receipt on the other client to exercise the manual payment form.</x:v>
      </x:c>
      <x:c r="Q271" s="35" t="str">
        <x:v>Synthetic QA only; no real people, accounts, signatures, or properties</x:v>
      </x:c>
    </x:row>
    <x:row r="272">
      <x:c r="A272" s="20" t="str">
        <x:v>SCN-0269</x:v>
      </x:c>
      <x:c r="B272" s="23" t="n">
        <x:v>46633</x:v>
      </x:c>
      <x:c r="C272" s="20" t="str">
        <x:v>scn-0269-rent-payment-l024-20270903.pdf</x:v>
      </x:c>
      <x:c r="D272" s="20" t="str">
        <x:v>Rent check</x:v>
      </x:c>
      <x:c r="E272" s="20" t="str">
        <x:v>Payment</x:v>
      </x:c>
      <x:c r="F272" s="35" t="str">
        <x:v>Direct scan draft matched to tenant account and charge</x:v>
      </x:c>
      <x:c r="G272" s="20" t="str">
        <x:v>PDF</x:v>
      </x:c>
      <x:c r="H272" s="20" t="str">
        <x:v>1 image</x:v>
      </x:c>
      <x:c r="I272" s="35" t="str">
        <x:v>phone camera; amount box, written amount, memo, and endorsement visible</x:v>
      </x:c>
      <x:c r="J272" s="20" t="str">
        <x:v>P022</x:v>
      </x:c>
      <x:c r="K272" s="20" t="str">
        <x:v>U024</x:v>
      </x:c>
      <x:c r="L272" s="20" t="str">
        <x:v>L024</x:v>
      </x:c>
      <x:c r="M272" s="20" t="str">
        <x:v>FIN-00722</x:v>
      </x:c>
      <x:c r="N272" s="35" t="str">
        <x:v>payer; amount; date; check/money-order number; memo; property; unit; lease match</x:v>
      </x:c>
      <x:c r="O272" s="35" t="str"/>
      <x:c r="P272" s="35" t="str">
        <x:v>Use a different receipt on the other client to exercise the manual payment form.</x:v>
      </x:c>
      <x:c r="Q272" s="35" t="str">
        <x:v>Synthetic QA only; no real people, accounts, signatures, or properties</x:v>
      </x:c>
    </x:row>
    <x:row r="273">
      <x:c r="A273" s="20" t="str">
        <x:v>SCN-0270</x:v>
      </x:c>
      <x:c r="B273" s="23" t="n">
        <x:v>46634</x:v>
      </x:c>
      <x:c r="C273" s="20" t="str">
        <x:v>scn-0270-rent-payment-l025-20270904.jpg</x:v>
      </x:c>
      <x:c r="D273" s="20" t="str">
        <x:v>Money order</x:v>
      </x:c>
      <x:c r="E273" s="20" t="str">
        <x:v>Payment</x:v>
      </x:c>
      <x:c r="F273" s="35" t="str">
        <x:v>Direct scan draft matched to tenant account and charge</x:v>
      </x:c>
      <x:c r="G273" s="20" t="str">
        <x:v>Camera JPEG</x:v>
      </x:c>
      <x:c r="H273" s="20" t="str">
        <x:v>1 image</x:v>
      </x:c>
      <x:c r="I273" s="35" t="str">
        <x:v>phone camera; amount box, written amount, memo, and endorsement visible</x:v>
      </x:c>
      <x:c r="J273" s="20" t="str">
        <x:v>P023</x:v>
      </x:c>
      <x:c r="K273" s="20" t="str">
        <x:v>U025</x:v>
      </x:c>
      <x:c r="L273" s="20" t="str">
        <x:v>L025</x:v>
      </x:c>
      <x:c r="M273" s="20" t="str">
        <x:v>FIN-00724</x:v>
      </x:c>
      <x:c r="N273" s="35" t="str">
        <x:v>payer; amount; date; check/money-order number; memo; property; unit; lease match</x:v>
      </x:c>
      <x:c r="O273" s="35" t="str">
        <x:v>handwritten memo and similar tenant names</x:v>
      </x:c>
      <x:c r="P273" s="35" t="str">
        <x:v>Use a different receipt on the other client to exercise the manual payment form.</x:v>
      </x:c>
      <x:c r="Q273" s="35" t="str">
        <x:v>Synthetic QA only; no real people, accounts, signatures, or properties</x:v>
      </x:c>
    </x:row>
    <x:row r="274">
      <x:c r="A274" s="20" t="str">
        <x:v>SCN-0271</x:v>
      </x:c>
      <x:c r="B274" s="23" t="n">
        <x:v>46638</x:v>
      </x:c>
      <x:c r="C274" s="20" t="str">
        <x:v>scn-0271-rent-payment-l026-20270908.jpg</x:v>
      </x:c>
      <x:c r="D274" s="20" t="str">
        <x:v>Money order</x:v>
      </x:c>
      <x:c r="E274" s="20" t="str">
        <x:v>Payment</x:v>
      </x:c>
      <x:c r="F274" s="35" t="str">
        <x:v>Direct scan draft matched to tenant account and charge</x:v>
      </x:c>
      <x:c r="G274" s="20" t="str">
        <x:v>Camera JPEG</x:v>
      </x:c>
      <x:c r="H274" s="20" t="str">
        <x:v>1 image</x:v>
      </x:c>
      <x:c r="I274" s="35" t="str">
        <x:v>phone camera; amount box, written amount, memo, and endorsement visible</x:v>
      </x:c>
      <x:c r="J274" s="20" t="str">
        <x:v>P023</x:v>
      </x:c>
      <x:c r="K274" s="20" t="str">
        <x:v>U026</x:v>
      </x:c>
      <x:c r="L274" s="20" t="str">
        <x:v>L026</x:v>
      </x:c>
      <x:c r="M274" s="20" t="str">
        <x:v>FIN-00727</x:v>
      </x:c>
      <x:c r="N274" s="35" t="str">
        <x:v>payer; amount; date; check/money-order number; memo; property; unit; lease match</x:v>
      </x:c>
      <x:c r="O274" s="35" t="str"/>
      <x:c r="P274" s="35" t="str">
        <x:v>Use a different receipt on the other client to exercise the manual payment form.</x:v>
      </x:c>
      <x:c r="Q274" s="35" t="str">
        <x:v>Synthetic QA only; no real people, accounts, signatures, or properties</x:v>
      </x:c>
    </x:row>
    <x:row r="275">
      <x:c r="A275" s="20" t="str">
        <x:v>SCN-0272</x:v>
      </x:c>
      <x:c r="B275" s="23" t="n">
        <x:v>46634</x:v>
      </x:c>
      <x:c r="C275" s="20" t="str">
        <x:v>scn-0272-rent-payment-l028-20270904.pdf</x:v>
      </x:c>
      <x:c r="D275" s="20" t="str">
        <x:v>Rent check</x:v>
      </x:c>
      <x:c r="E275" s="20" t="str">
        <x:v>Payment</x:v>
      </x:c>
      <x:c r="F275" s="35" t="str">
        <x:v>Direct scan draft matched to tenant account and charge</x:v>
      </x:c>
      <x:c r="G275" s="20" t="str">
        <x:v>PDF</x:v>
      </x:c>
      <x:c r="H275" s="20" t="str">
        <x:v>1 image</x:v>
      </x:c>
      <x:c r="I275" s="35" t="str">
        <x:v>phone camera; amount box, written amount, memo, and endorsement visible</x:v>
      </x:c>
      <x:c r="J275" s="20" t="str">
        <x:v>P024</x:v>
      </x:c>
      <x:c r="K275" s="20" t="str">
        <x:v>U028</x:v>
      </x:c>
      <x:c r="L275" s="20" t="str">
        <x:v>L028</x:v>
      </x:c>
      <x:c r="M275" s="20" t="str">
        <x:v>FIN-00731</x:v>
      </x:c>
      <x:c r="N275" s="35" t="str">
        <x:v>payer; amount; date; check/money-order number; memo; property; unit; lease match</x:v>
      </x:c>
      <x:c r="O275" s="35" t="str"/>
      <x:c r="P275" s="35" t="str">
        <x:v>Use a different receipt on the other client to exercise the manual payment form.</x:v>
      </x:c>
      <x:c r="Q275" s="35" t="str">
        <x:v>Synthetic QA only; no real people, accounts, signatures, or properties</x:v>
      </x:c>
    </x:row>
    <x:row r="276">
      <x:c r="A276" s="20" t="str">
        <x:v>SCN-0273</x:v>
      </x:c>
      <x:c r="B276" s="23" t="n">
        <x:v>46635</x:v>
      </x:c>
      <x:c r="C276" s="20" t="str">
        <x:v>scn-0273-rent-payment-l029-20270905.jpg</x:v>
      </x:c>
      <x:c r="D276" s="20" t="str">
        <x:v>Money order</x:v>
      </x:c>
      <x:c r="E276" s="20" t="str">
        <x:v>Payment</x:v>
      </x:c>
      <x:c r="F276" s="35" t="str">
        <x:v>Direct scan draft matched to tenant account and charge</x:v>
      </x:c>
      <x:c r="G276" s="20" t="str">
        <x:v>Camera JPEG</x:v>
      </x:c>
      <x:c r="H276" s="20" t="str">
        <x:v>1 image</x:v>
      </x:c>
      <x:c r="I276" s="35" t="str">
        <x:v>phone camera; amount box, written amount, memo, and endorsement visible</x:v>
      </x:c>
      <x:c r="J276" s="20" t="str">
        <x:v>P025</x:v>
      </x:c>
      <x:c r="K276" s="20" t="str">
        <x:v>U029</x:v>
      </x:c>
      <x:c r="L276" s="20" t="str">
        <x:v>L029</x:v>
      </x:c>
      <x:c r="M276" s="20" t="str">
        <x:v>FIN-00733</x:v>
      </x:c>
      <x:c r="N276" s="35" t="str">
        <x:v>payer; amount; date; check/money-order number; memo; property; unit; lease match</x:v>
      </x:c>
      <x:c r="O276" s="35" t="str"/>
      <x:c r="P276" s="35" t="str">
        <x:v>Use a different receipt on the other client to exercise the manual payment form.</x:v>
      </x:c>
      <x:c r="Q276" s="35" t="str">
        <x:v>Synthetic QA only; no real people, accounts, signatures, or properties</x:v>
      </x:c>
    </x:row>
    <x:row r="277">
      <x:c r="A277" s="20" t="str">
        <x:v>SCN-0274</x:v>
      </x:c>
      <x:c r="B277" s="23" t="n">
        <x:v>46635</x:v>
      </x:c>
      <x:c r="C277" s="20" t="str">
        <x:v>scn-0274-rent-payment-l032-20270905.pdf</x:v>
      </x:c>
      <x:c r="D277" s="20" t="str">
        <x:v>Rent check</x:v>
      </x:c>
      <x:c r="E277" s="20" t="str">
        <x:v>Payment</x:v>
      </x:c>
      <x:c r="F277" s="35" t="str">
        <x:v>Direct scan draft matched to tenant account and charge</x:v>
      </x:c>
      <x:c r="G277" s="20" t="str">
        <x:v>PDF</x:v>
      </x:c>
      <x:c r="H277" s="20" t="str">
        <x:v>1 image</x:v>
      </x:c>
      <x:c r="I277" s="35" t="str">
        <x:v>phone camera; amount box, written amount, memo, and endorsement visible</x:v>
      </x:c>
      <x:c r="J277" s="20" t="str">
        <x:v>P026</x:v>
      </x:c>
      <x:c r="K277" s="20" t="str">
        <x:v>U032</x:v>
      </x:c>
      <x:c r="L277" s="20" t="str">
        <x:v>L032</x:v>
      </x:c>
      <x:c r="M277" s="20" t="str">
        <x:v>FIN-00739</x:v>
      </x:c>
      <x:c r="N277" s="35" t="str">
        <x:v>payer; amount; date; check/money-order number; memo; property; unit; lease match</x:v>
      </x:c>
      <x:c r="O277" s="35" t="str"/>
      <x:c r="P277" s="35" t="str">
        <x:v>Use a different receipt on the other client to exercise the manual payment form.</x:v>
      </x:c>
      <x:c r="Q277" s="35" t="str">
        <x:v>Synthetic QA only; no real people, accounts, signatures, or properties</x:v>
      </x:c>
    </x:row>
    <x:row r="278">
      <x:c r="A278" s="20" t="str">
        <x:v>SCN-0275</x:v>
      </x:c>
      <x:c r="B278" s="23" t="n">
        <x:v>46633</x:v>
      </x:c>
      <x:c r="C278" s="20" t="str">
        <x:v>scn-0275-rent-payment-l033-20270903.jpg</x:v>
      </x:c>
      <x:c r="D278" s="20" t="str">
        <x:v>Money order</x:v>
      </x:c>
      <x:c r="E278" s="20" t="str">
        <x:v>Payment</x:v>
      </x:c>
      <x:c r="F278" s="35" t="str">
        <x:v>Direct scan draft matched to tenant account and charge</x:v>
      </x:c>
      <x:c r="G278" s="20" t="str">
        <x:v>Camera JPEG</x:v>
      </x:c>
      <x:c r="H278" s="20" t="str">
        <x:v>1 image</x:v>
      </x:c>
      <x:c r="I278" s="35" t="str">
        <x:v>phone camera; amount box, written amount, memo, and endorsement visible</x:v>
      </x:c>
      <x:c r="J278" s="20" t="str">
        <x:v>P027</x:v>
      </x:c>
      <x:c r="K278" s="20" t="str">
        <x:v>U033</x:v>
      </x:c>
      <x:c r="L278" s="20" t="str">
        <x:v>L033</x:v>
      </x:c>
      <x:c r="M278" s="20" t="str">
        <x:v>FIN-00741</x:v>
      </x:c>
      <x:c r="N278" s="35" t="str">
        <x:v>payer; amount; date; check/money-order number; memo; property; unit; lease match</x:v>
      </x:c>
      <x:c r="O278" s="35" t="str"/>
      <x:c r="P278" s="35" t="str">
        <x:v>Use a different receipt on the other client to exercise the manual payment form.</x:v>
      </x:c>
      <x:c r="Q278" s="35" t="str">
        <x:v>Synthetic QA only; no real people, accounts, signatures, or properties</x:v>
      </x:c>
    </x:row>
    <x:row r="279">
      <x:c r="A279" s="20" t="str">
        <x:v>SCN-0276</x:v>
      </x:c>
      <x:c r="B279" s="23" t="n">
        <x:v>46633</x:v>
      </x:c>
      <x:c r="C279" s="20" t="str">
        <x:v>scn-0276-rent-payment-l036-20270903.pdf</x:v>
      </x:c>
      <x:c r="D279" s="20" t="str">
        <x:v>Rent check</x:v>
      </x:c>
      <x:c r="E279" s="20" t="str">
        <x:v>Payment</x:v>
      </x:c>
      <x:c r="F279" s="35" t="str">
        <x:v>Direct scan draft matched to tenant account and charge</x:v>
      </x:c>
      <x:c r="G279" s="20" t="str">
        <x:v>PDF</x:v>
      </x:c>
      <x:c r="H279" s="20" t="str">
        <x:v>1 image</x:v>
      </x:c>
      <x:c r="I279" s="35" t="str">
        <x:v>phone camera; amount box, written amount, memo, and endorsement visible</x:v>
      </x:c>
      <x:c r="J279" s="20" t="str">
        <x:v>P028</x:v>
      </x:c>
      <x:c r="K279" s="20" t="str">
        <x:v>U036</x:v>
      </x:c>
      <x:c r="L279" s="20" t="str">
        <x:v>L036</x:v>
      </x:c>
      <x:c r="M279" s="20" t="str">
        <x:v>FIN-00749</x:v>
      </x:c>
      <x:c r="N279" s="35" t="str">
        <x:v>payer; amount; date; check/money-order number; memo; property; unit; lease match</x:v>
      </x:c>
      <x:c r="O279" s="35" t="str"/>
      <x:c r="P279" s="35" t="str">
        <x:v>Use a different receipt on the other client to exercise the manual payment form.</x:v>
      </x:c>
      <x:c r="Q279" s="35" t="str">
        <x:v>Synthetic QA only; no real people, accounts, signatures, or properties</x:v>
      </x:c>
    </x:row>
    <x:row r="280">
      <x:c r="A280" s="20" t="str">
        <x:v>SCN-0277</x:v>
      </x:c>
      <x:c r="B280" s="23" t="n">
        <x:v>46634</x:v>
      </x:c>
      <x:c r="C280" s="20" t="str">
        <x:v>scn-0277-rent-payment-l037-20270904.jpg</x:v>
      </x:c>
      <x:c r="D280" s="20" t="str">
        <x:v>Money order</x:v>
      </x:c>
      <x:c r="E280" s="20" t="str">
        <x:v>Payment</x:v>
      </x:c>
      <x:c r="F280" s="35" t="str">
        <x:v>Direct scan draft matched to tenant account and charge</x:v>
      </x:c>
      <x:c r="G280" s="20" t="str">
        <x:v>Camera JPEG</x:v>
      </x:c>
      <x:c r="H280" s="20" t="str">
        <x:v>1 image</x:v>
      </x:c>
      <x:c r="I280" s="35" t="str">
        <x:v>phone camera; amount box, written amount, memo, and endorsement visible</x:v>
      </x:c>
      <x:c r="J280" s="20" t="str">
        <x:v>P005</x:v>
      </x:c>
      <x:c r="K280" s="20" t="str">
        <x:v>U005</x:v>
      </x:c>
      <x:c r="L280" s="20" t="str">
        <x:v>L037</x:v>
      </x:c>
      <x:c r="M280" s="20" t="str">
        <x:v>FIN-00751</x:v>
      </x:c>
      <x:c r="N280" s="35" t="str">
        <x:v>payer; amount; date; check/money-order number; memo; property; unit; lease match</x:v>
      </x:c>
      <x:c r="O280" s="35" t="str"/>
      <x:c r="P280" s="35" t="str">
        <x:v>Use a different receipt on the other client to exercise the manual payment form.</x:v>
      </x:c>
      <x:c r="Q280" s="35" t="str">
        <x:v>Synthetic QA only; no real people, accounts, signatures, or properties</x:v>
      </x:c>
    </x:row>
    <x:row r="281">
      <x:c r="A281" s="20" t="str">
        <x:v>SCN-0278</x:v>
      </x:c>
      <x:c r="B281" s="23" t="n">
        <x:v>46635</x:v>
      </x:c>
      <x:c r="C281" s="20" t="str">
        <x:v>scn-0278-rent-payment-l041-20270905.jpg</x:v>
      </x:c>
      <x:c r="D281" s="20" t="str">
        <x:v>Money order</x:v>
      </x:c>
      <x:c r="E281" s="20" t="str">
        <x:v>Payment</x:v>
      </x:c>
      <x:c r="F281" s="35" t="str">
        <x:v>Direct scan draft matched to tenant account and charge</x:v>
      </x:c>
      <x:c r="G281" s="20" t="str">
        <x:v>Camera JPEG</x:v>
      </x:c>
      <x:c r="H281" s="20" t="str">
        <x:v>1 image</x:v>
      </x:c>
      <x:c r="I281" s="35" t="str">
        <x:v>phone camera; amount box, written amount, memo, and endorsement visible</x:v>
      </x:c>
      <x:c r="J281" s="20" t="str">
        <x:v>P030</x:v>
      </x:c>
      <x:c r="K281" s="20" t="str">
        <x:v>U040</x:v>
      </x:c>
      <x:c r="L281" s="20" t="str">
        <x:v>L041</x:v>
      </x:c>
      <x:c r="M281" s="20" t="str">
        <x:v>FIN-00758</x:v>
      </x:c>
      <x:c r="N281" s="35" t="str">
        <x:v>payer; amount; date; check/money-order number; memo; property; unit; lease match</x:v>
      </x:c>
      <x:c r="O281" s="35" t="str"/>
      <x:c r="P281" s="35" t="str">
        <x:v>Use a different receipt on the other client to exercise the manual payment form.</x:v>
      </x:c>
      <x:c r="Q281" s="35" t="str">
        <x:v>Synthetic QA only; no real people, accounts, signatures, or properties</x:v>
      </x:c>
    </x:row>
    <x:row r="282">
      <x:c r="A282" s="20" t="str">
        <x:v>SCN-0279</x:v>
      </x:c>
      <x:c r="B282" s="23" t="n">
        <x:v>46633</x:v>
      </x:c>
      <x:c r="C282" s="20" t="str">
        <x:v>scn-0279-rent-payment-l044-20270903.pdf</x:v>
      </x:c>
      <x:c r="D282" s="20" t="str">
        <x:v>Rent check</x:v>
      </x:c>
      <x:c r="E282" s="20" t="str">
        <x:v>Payment</x:v>
      </x:c>
      <x:c r="F282" s="35" t="str">
        <x:v>Direct scan draft matched to tenant account and charge</x:v>
      </x:c>
      <x:c r="G282" s="20" t="str">
        <x:v>PDF</x:v>
      </x:c>
      <x:c r="H282" s="20" t="str">
        <x:v>1 image</x:v>
      </x:c>
      <x:c r="I282" s="35" t="str">
        <x:v>phone camera; amount box, written amount, memo, and endorsement visible</x:v>
      </x:c>
      <x:c r="J282" s="20" t="str">
        <x:v>P029</x:v>
      </x:c>
      <x:c r="K282" s="20" t="str">
        <x:v>U038</x:v>
      </x:c>
      <x:c r="L282" s="20" t="str">
        <x:v>L044</x:v>
      </x:c>
      <x:c r="M282" s="20" t="str">
        <x:v>FIN-00762</x:v>
      </x:c>
      <x:c r="N282" s="35" t="str">
        <x:v>payer; amount; date; check/money-order number; memo; property; unit; lease match</x:v>
      </x:c>
      <x:c r="O282" s="35" t="str"/>
      <x:c r="P282" s="35" t="str">
        <x:v>Use a different receipt on the other client to exercise the manual payment form.</x:v>
      </x:c>
      <x:c r="Q282" s="35" t="str">
        <x:v>Synthetic QA only; no real people, accounts, signatures, or properties</x:v>
      </x:c>
    </x:row>
    <x:row r="283">
      <x:c r="A283" s="20" t="str">
        <x:v>SCN-0280</x:v>
      </x:c>
      <x:c r="B283" s="23" t="n">
        <x:v>46633</x:v>
      </x:c>
      <x:c r="C283" s="20" t="str">
        <x:v>scn-0280-rent-payment-l045-20270903.jpg</x:v>
      </x:c>
      <x:c r="D283" s="20" t="str">
        <x:v>Money order</x:v>
      </x:c>
      <x:c r="E283" s="20" t="str">
        <x:v>Payment</x:v>
      </x:c>
      <x:c r="F283" s="35" t="str">
        <x:v>Direct scan draft matched to tenant account and charge</x:v>
      </x:c>
      <x:c r="G283" s="20" t="str">
        <x:v>Camera JPEG</x:v>
      </x:c>
      <x:c r="H283" s="20" t="str">
        <x:v>1 image</x:v>
      </x:c>
      <x:c r="I283" s="35" t="str">
        <x:v>phone camera; amount box, written amount, memo, and endorsement visible</x:v>
      </x:c>
      <x:c r="J283" s="20" t="str">
        <x:v>P030</x:v>
      </x:c>
      <x:c r="K283" s="20" t="str">
        <x:v>U039</x:v>
      </x:c>
      <x:c r="L283" s="20" t="str">
        <x:v>L045</x:v>
      </x:c>
      <x:c r="M283" s="20" t="str">
        <x:v>FIN-00766</x:v>
      </x:c>
      <x:c r="N283" s="35" t="str">
        <x:v>payer; amount; date; check/money-order number; memo; property; unit; lease match</x:v>
      </x:c>
      <x:c r="O283" s="35" t="str">
        <x:v>handwritten memo and similar tenant names</x:v>
      </x:c>
      <x:c r="P283" s="35" t="str">
        <x:v>Use a different receipt on the other client to exercise the manual payment form.</x:v>
      </x:c>
      <x:c r="Q283" s="35" t="str">
        <x:v>Synthetic QA only; no real people, accounts, signatures, or properties</x:v>
      </x:c>
    </x:row>
    <x:row r="284">
      <x:c r="A284" s="20" t="str">
        <x:v>SCN-0281</x:v>
      </x:c>
      <x:c r="B284" s="23" t="n">
        <x:v>46664</x:v>
      </x:c>
      <x:c r="C284" s="20" t="str">
        <x:v>scn-0281-rent-payment-l001-20271004.jpg</x:v>
      </x:c>
      <x:c r="D284" s="20" t="str">
        <x:v>Money order</x:v>
      </x:c>
      <x:c r="E284" s="20" t="str">
        <x:v>Payment</x:v>
      </x:c>
      <x:c r="F284" s="35" t="str">
        <x:v>Direct scan draft matched to tenant account and charge</x:v>
      </x:c>
      <x:c r="G284" s="20" t="str">
        <x:v>Camera JPEG</x:v>
      </x:c>
      <x:c r="H284" s="20" t="str">
        <x:v>1 image</x:v>
      </x:c>
      <x:c r="I284" s="35" t="str">
        <x:v>phone camera; amount box, written amount, memo, and endorsement visible</x:v>
      </x:c>
      <x:c r="J284" s="20" t="str">
        <x:v>P001</x:v>
      </x:c>
      <x:c r="K284" s="20" t="str">
        <x:v>U001</x:v>
      </x:c>
      <x:c r="L284" s="20" t="str">
        <x:v>L001</x:v>
      </x:c>
      <x:c r="M284" s="20" t="str">
        <x:v>FIN-00768</x:v>
      </x:c>
      <x:c r="N284" s="35" t="str">
        <x:v>payer; amount; date; check/money-order number; memo; property; unit; lease match</x:v>
      </x:c>
      <x:c r="O284" s="35" t="str"/>
      <x:c r="P284" s="35" t="str">
        <x:v>Use a different receipt on the other client to exercise the manual payment form.</x:v>
      </x:c>
      <x:c r="Q284" s="35" t="str">
        <x:v>Synthetic QA only; no real people, accounts, signatures, or properties</x:v>
      </x:c>
    </x:row>
    <x:row r="285">
      <x:c r="A285" s="20" t="str">
        <x:v>SCN-0282</x:v>
      </x:c>
      <x:c r="B285" s="23" t="n">
        <x:v>46664</x:v>
      </x:c>
      <x:c r="C285" s="20" t="str">
        <x:v>scn-0282-rent-payment-l004-20271004.pdf</x:v>
      </x:c>
      <x:c r="D285" s="20" t="str">
        <x:v>Rent check</x:v>
      </x:c>
      <x:c r="E285" s="20" t="str">
        <x:v>Payment</x:v>
      </x:c>
      <x:c r="F285" s="35" t="str">
        <x:v>Direct scan draft matched to tenant account and charge</x:v>
      </x:c>
      <x:c r="G285" s="20" t="str">
        <x:v>PDF</x:v>
      </x:c>
      <x:c r="H285" s="20" t="str">
        <x:v>1 image</x:v>
      </x:c>
      <x:c r="I285" s="35" t="str">
        <x:v>phone camera; amount box, written amount, memo, and endorsement visible</x:v>
      </x:c>
      <x:c r="J285" s="20" t="str">
        <x:v>P004</x:v>
      </x:c>
      <x:c r="K285" s="20" t="str">
        <x:v>U004</x:v>
      </x:c>
      <x:c r="L285" s="20" t="str">
        <x:v>L004</x:v>
      </x:c>
      <x:c r="M285" s="20" t="str">
        <x:v>FIN-00774</x:v>
      </x:c>
      <x:c r="N285" s="35" t="str">
        <x:v>payer; amount; date; check/money-order number; memo; property; unit; lease match</x:v>
      </x:c>
      <x:c r="O285" s="35" t="str"/>
      <x:c r="P285" s="35" t="str">
        <x:v>Use a different receipt on the other client to exercise the manual payment form.</x:v>
      </x:c>
      <x:c r="Q285" s="35" t="str">
        <x:v>Synthetic QA only; no real people, accounts, signatures, or properties</x:v>
      </x:c>
    </x:row>
    <x:row r="286">
      <x:c r="A286" s="20" t="str">
        <x:v>SCN-0283</x:v>
      </x:c>
      <x:c r="B286" s="23" t="n">
        <x:v>46663</x:v>
      </x:c>
      <x:c r="C286" s="20" t="str">
        <x:v>scn-0283-rent-payment-l009-20271003.jpg</x:v>
      </x:c>
      <x:c r="D286" s="20" t="str">
        <x:v>Money order</x:v>
      </x:c>
      <x:c r="E286" s="20" t="str">
        <x:v>Payment</x:v>
      </x:c>
      <x:c r="F286" s="35" t="str">
        <x:v>Direct scan draft matched to tenant account and charge</x:v>
      </x:c>
      <x:c r="G286" s="20" t="str">
        <x:v>Camera JPEG</x:v>
      </x:c>
      <x:c r="H286" s="20" t="str">
        <x:v>1 image</x:v>
      </x:c>
      <x:c r="I286" s="35" t="str">
        <x:v>phone camera; amount box, written amount, memo, and endorsement visible</x:v>
      </x:c>
      <x:c r="J286" s="20" t="str">
        <x:v>P009</x:v>
      </x:c>
      <x:c r="K286" s="20" t="str">
        <x:v>U009</x:v>
      </x:c>
      <x:c r="L286" s="20" t="str">
        <x:v>L009</x:v>
      </x:c>
      <x:c r="M286" s="20" t="str">
        <x:v>FIN-00780</x:v>
      </x:c>
      <x:c r="N286" s="35" t="str">
        <x:v>payer; amount; date; check/money-order number; memo; property; unit; lease match</x:v>
      </x:c>
      <x:c r="O286" s="35" t="str"/>
      <x:c r="P286" s="35" t="str">
        <x:v>Use a different receipt on the other client to exercise the manual payment form.</x:v>
      </x:c>
      <x:c r="Q286" s="35" t="str">
        <x:v>Synthetic QA only; no real people, accounts, signatures, or properties</x:v>
      </x:c>
    </x:row>
    <x:row r="287">
      <x:c r="A287" s="20" t="str">
        <x:v>SCN-0284</x:v>
      </x:c>
      <x:c r="B287" s="23" t="n">
        <x:v>46672</x:v>
      </x:c>
      <x:c r="C287" s="20" t="str">
        <x:v>scn-0284-rent-payment-l011-20271012.jpg</x:v>
      </x:c>
      <x:c r="D287" s="20" t="str">
        <x:v>Money order</x:v>
      </x:c>
      <x:c r="E287" s="20" t="str">
        <x:v>Payment</x:v>
      </x:c>
      <x:c r="F287" s="35" t="str">
        <x:v>Direct scan draft matched to tenant account and charge</x:v>
      </x:c>
      <x:c r="G287" s="20" t="str">
        <x:v>Camera JPEG</x:v>
      </x:c>
      <x:c r="H287" s="20" t="str">
        <x:v>1 image</x:v>
      </x:c>
      <x:c r="I287" s="35" t="str">
        <x:v>phone camera; amount box, written amount, memo, and endorsement visible</x:v>
      </x:c>
      <x:c r="J287" s="20" t="str">
        <x:v>P011</x:v>
      </x:c>
      <x:c r="K287" s="20" t="str">
        <x:v>U011</x:v>
      </x:c>
      <x:c r="L287" s="20" t="str">
        <x:v>L011</x:v>
      </x:c>
      <x:c r="M287" s="20" t="str">
        <x:v>FIN-00786</x:v>
      </x:c>
      <x:c r="N287" s="35" t="str">
        <x:v>payer; amount; date; check/money-order number; memo; property; unit; lease match</x:v>
      </x:c>
      <x:c r="O287" s="35" t="str"/>
      <x:c r="P287" s="35" t="str">
        <x:v>Use a different receipt on the other client to exercise the manual payment form.</x:v>
      </x:c>
      <x:c r="Q287" s="35" t="str">
        <x:v>Synthetic QA only; no real people, accounts, signatures, or properties</x:v>
      </x:c>
    </x:row>
    <x:row r="288">
      <x:c r="A288" s="20" t="str">
        <x:v>SCN-0285</x:v>
      </x:c>
      <x:c r="B288" s="23" t="n">
        <x:v>46663</x:v>
      </x:c>
      <x:c r="C288" s="20" t="str">
        <x:v>scn-0285-rent-payment-l012-20271003.pdf</x:v>
      </x:c>
      <x:c r="D288" s="20" t="str">
        <x:v>Rent check</x:v>
      </x:c>
      <x:c r="E288" s="20" t="str">
        <x:v>Payment</x:v>
      </x:c>
      <x:c r="F288" s="35" t="str">
        <x:v>Direct scan draft matched to tenant account and charge</x:v>
      </x:c>
      <x:c r="G288" s="20" t="str">
        <x:v>PDF</x:v>
      </x:c>
      <x:c r="H288" s="20" t="str">
        <x:v>1 image</x:v>
      </x:c>
      <x:c r="I288" s="35" t="str">
        <x:v>phone camera; amount box, written amount, memo, and endorsement visible</x:v>
      </x:c>
      <x:c r="J288" s="20" t="str">
        <x:v>P012</x:v>
      </x:c>
      <x:c r="K288" s="20" t="str">
        <x:v>U012</x:v>
      </x:c>
      <x:c r="L288" s="20" t="str">
        <x:v>L012</x:v>
      </x:c>
      <x:c r="M288" s="20" t="str">
        <x:v>FIN-00788</x:v>
      </x:c>
      <x:c r="N288" s="35" t="str">
        <x:v>payer; amount; date; check/money-order number; memo; property; unit; lease match</x:v>
      </x:c>
      <x:c r="O288" s="35" t="str"/>
      <x:c r="P288" s="35" t="str">
        <x:v>Use a different receipt on the other client to exercise the manual payment form.</x:v>
      </x:c>
      <x:c r="Q288" s="35" t="str">
        <x:v>Synthetic QA only; no real people, accounts, signatures, or properties</x:v>
      </x:c>
    </x:row>
    <x:row r="289">
      <x:c r="A289" s="20" t="str">
        <x:v>SCN-0286</x:v>
      </x:c>
      <x:c r="B289" s="23" t="n">
        <x:v>46668</x:v>
      </x:c>
      <x:c r="C289" s="20" t="str">
        <x:v>scn-0286-rent-payment-l013-20271008.pdf</x:v>
      </x:c>
      <x:c r="D289" s="20" t="str">
        <x:v>Rent check</x:v>
      </x:c>
      <x:c r="E289" s="20" t="str">
        <x:v>Payment</x:v>
      </x:c>
      <x:c r="F289" s="35" t="str">
        <x:v>Direct scan draft matched to tenant account and charge</x:v>
      </x:c>
      <x:c r="G289" s="20" t="str">
        <x:v>PDF</x:v>
      </x:c>
      <x:c r="H289" s="20" t="str">
        <x:v>1 image</x:v>
      </x:c>
      <x:c r="I289" s="35" t="str">
        <x:v>phone camera; amount box, written amount, memo, and endorsement visible</x:v>
      </x:c>
      <x:c r="J289" s="20" t="str">
        <x:v>P013</x:v>
      </x:c>
      <x:c r="K289" s="20" t="str">
        <x:v>U013</x:v>
      </x:c>
      <x:c r="L289" s="20" t="str">
        <x:v>L013</x:v>
      </x:c>
      <x:c r="M289" s="20" t="str">
        <x:v>FIN-00791</x:v>
      </x:c>
      <x:c r="N289" s="35" t="str">
        <x:v>payer; amount; date; check/money-order number; memo; property; unit; lease match</x:v>
      </x:c>
      <x:c r="O289" s="35" t="str"/>
      <x:c r="P289" s="35" t="str">
        <x:v>Use a different receipt on the other client to exercise the manual payment form.</x:v>
      </x:c>
      <x:c r="Q289" s="35" t="str">
        <x:v>Synthetic QA only; no real people, accounts, signatures, or properties</x:v>
      </x:c>
    </x:row>
    <x:row r="290">
      <x:c r="A290" s="20" t="str">
        <x:v>SCN-0287</x:v>
      </x:c>
      <x:c r="B290" s="23" t="n">
        <x:v>46664</x:v>
      </x:c>
      <x:c r="C290" s="20" t="str">
        <x:v>scn-0287-rent-payment-l016-20271004.pdf</x:v>
      </x:c>
      <x:c r="D290" s="20" t="str">
        <x:v>Rent check</x:v>
      </x:c>
      <x:c r="E290" s="20" t="str">
        <x:v>Payment</x:v>
      </x:c>
      <x:c r="F290" s="35" t="str">
        <x:v>Direct scan draft matched to tenant account and charge</x:v>
      </x:c>
      <x:c r="G290" s="20" t="str">
        <x:v>PDF</x:v>
      </x:c>
      <x:c r="H290" s="20" t="str">
        <x:v>1 image</x:v>
      </x:c>
      <x:c r="I290" s="35" t="str">
        <x:v>phone camera; amount box, written amount, memo, and endorsement visible</x:v>
      </x:c>
      <x:c r="J290" s="20" t="str">
        <x:v>P016</x:v>
      </x:c>
      <x:c r="K290" s="20" t="str">
        <x:v>U016</x:v>
      </x:c>
      <x:c r="L290" s="20" t="str">
        <x:v>L016</x:v>
      </x:c>
      <x:c r="M290" s="20" t="str">
        <x:v>FIN-00795</x:v>
      </x:c>
      <x:c r="N290" s="35" t="str">
        <x:v>payer; amount; date; check/money-order number; memo; property; unit; lease match</x:v>
      </x:c>
      <x:c r="O290" s="35" t="str"/>
      <x:c r="P290" s="35" t="str">
        <x:v>Use a different receipt on the other client to exercise the manual payment form.</x:v>
      </x:c>
      <x:c r="Q290" s="35" t="str">
        <x:v>Synthetic QA only; no real people, accounts, signatures, or properties</x:v>
      </x:c>
    </x:row>
    <x:row r="291">
      <x:c r="A291" s="20" t="str">
        <x:v>SCN-0288</x:v>
      </x:c>
      <x:c r="B291" s="23" t="n">
        <x:v>46665</x:v>
      </x:c>
      <x:c r="C291" s="20" t="str">
        <x:v>scn-0288-rent-payment-l020-20271005.pdf</x:v>
      </x:c>
      <x:c r="D291" s="20" t="str">
        <x:v>Rent check</x:v>
      </x:c>
      <x:c r="E291" s="20" t="str">
        <x:v>Payment</x:v>
      </x:c>
      <x:c r="F291" s="35" t="str">
        <x:v>Direct scan draft matched to tenant account and charge</x:v>
      </x:c>
      <x:c r="G291" s="20" t="str">
        <x:v>PDF</x:v>
      </x:c>
      <x:c r="H291" s="20" t="str">
        <x:v>1 image</x:v>
      </x:c>
      <x:c r="I291" s="35" t="str">
        <x:v>phone camera; amount box, written amount, memo, and endorsement visible</x:v>
      </x:c>
      <x:c r="J291" s="20" t="str">
        <x:v>P020</x:v>
      </x:c>
      <x:c r="K291" s="20" t="str">
        <x:v>U020</x:v>
      </x:c>
      <x:c r="L291" s="20" t="str">
        <x:v>L020</x:v>
      </x:c>
      <x:c r="M291" s="20" t="str">
        <x:v>FIN-00801</x:v>
      </x:c>
      <x:c r="N291" s="35" t="str">
        <x:v>payer; amount; date; check/money-order number; memo; property; unit; lease match</x:v>
      </x:c>
      <x:c r="O291" s="35" t="str">
        <x:v>handwritten memo and similar tenant names</x:v>
      </x:c>
      <x:c r="P291" s="35" t="str">
        <x:v>Use a different receipt on the other client to exercise the manual payment form.</x:v>
      </x:c>
      <x:c r="Q291" s="35" t="str">
        <x:v>Synthetic QA only; no real people, accounts, signatures, or properties</x:v>
      </x:c>
    </x:row>
    <x:row r="292">
      <x:c r="A292" s="20" t="str">
        <x:v>SCN-0289</x:v>
      </x:c>
      <x:c r="B292" s="23" t="n">
        <x:v>46663</x:v>
      </x:c>
      <x:c r="C292" s="20" t="str">
        <x:v>scn-0289-rent-payment-l021-20271003.jpg</x:v>
      </x:c>
      <x:c r="D292" s="20" t="str">
        <x:v>Money order</x:v>
      </x:c>
      <x:c r="E292" s="20" t="str">
        <x:v>Payment</x:v>
      </x:c>
      <x:c r="F292" s="35" t="str">
        <x:v>Direct scan draft matched to tenant account and charge</x:v>
      </x:c>
      <x:c r="G292" s="20" t="str">
        <x:v>Camera JPEG</x:v>
      </x:c>
      <x:c r="H292" s="20" t="str">
        <x:v>1 image</x:v>
      </x:c>
      <x:c r="I292" s="35" t="str">
        <x:v>phone camera; amount box, written amount, memo, and endorsement visible</x:v>
      </x:c>
      <x:c r="J292" s="20" t="str">
        <x:v>P021</x:v>
      </x:c>
      <x:c r="K292" s="20" t="str">
        <x:v>U021</x:v>
      </x:c>
      <x:c r="L292" s="20" t="str">
        <x:v>L021</x:v>
      </x:c>
      <x:c r="M292" s="20" t="str">
        <x:v>FIN-00803</x:v>
      </x:c>
      <x:c r="N292" s="35" t="str">
        <x:v>payer; amount; date; check/money-order number; memo; property; unit; lease match</x:v>
      </x:c>
      <x:c r="O292" s="35" t="str"/>
      <x:c r="P292" s="35" t="str">
        <x:v>Use a different receipt on the other client to exercise the manual payment form.</x:v>
      </x:c>
      <x:c r="Q292" s="35" t="str">
        <x:v>Synthetic QA only; no real people, accounts, signatures, or properties</x:v>
      </x:c>
    </x:row>
    <x:row r="293">
      <x:c r="A293" s="20" t="str">
        <x:v>SCN-0290</x:v>
      </x:c>
      <x:c r="B293" s="23" t="n">
        <x:v>46663</x:v>
      </x:c>
      <x:c r="C293" s="20" t="str">
        <x:v>scn-0290-rent-payment-l024-20271003.pdf</x:v>
      </x:c>
      <x:c r="D293" s="20" t="str">
        <x:v>Rent check</x:v>
      </x:c>
      <x:c r="E293" s="20" t="str">
        <x:v>Payment</x:v>
      </x:c>
      <x:c r="F293" s="35" t="str">
        <x:v>Direct scan draft matched to tenant account and charge</x:v>
      </x:c>
      <x:c r="G293" s="20" t="str">
        <x:v>PDF</x:v>
      </x:c>
      <x:c r="H293" s="20" t="str">
        <x:v>1 image</x:v>
      </x:c>
      <x:c r="I293" s="35" t="str">
        <x:v>phone camera; amount box, written amount, memo, and endorsement visible</x:v>
      </x:c>
      <x:c r="J293" s="20" t="str">
        <x:v>P022</x:v>
      </x:c>
      <x:c r="K293" s="20" t="str">
        <x:v>U024</x:v>
      </x:c>
      <x:c r="L293" s="20" t="str">
        <x:v>L024</x:v>
      </x:c>
      <x:c r="M293" s="20" t="str">
        <x:v>FIN-00807</x:v>
      </x:c>
      <x:c r="N293" s="35" t="str">
        <x:v>payer; amount; date; check/money-order number; memo; property; unit; lease match</x:v>
      </x:c>
      <x:c r="O293" s="35" t="str"/>
      <x:c r="P293" s="35" t="str">
        <x:v>Use a different receipt on the other client to exercise the manual payment form.</x:v>
      </x:c>
      <x:c r="Q293" s="35" t="str">
        <x:v>Synthetic QA only; no real people, accounts, signatures, or properties</x:v>
      </x:c>
    </x:row>
    <x:row r="294">
      <x:c r="A294" s="20" t="str">
        <x:v>SCN-0291</x:v>
      </x:c>
      <x:c r="B294" s="23" t="n">
        <x:v>46664</x:v>
      </x:c>
      <x:c r="C294" s="20" t="str">
        <x:v>scn-0291-rent-payment-l025-20271004.jpg</x:v>
      </x:c>
      <x:c r="D294" s="20" t="str">
        <x:v>Money order</x:v>
      </x:c>
      <x:c r="E294" s="20" t="str">
        <x:v>Payment</x:v>
      </x:c>
      <x:c r="F294" s="35" t="str">
        <x:v>Direct scan draft matched to tenant account and charge</x:v>
      </x:c>
      <x:c r="G294" s="20" t="str">
        <x:v>Camera JPEG</x:v>
      </x:c>
      <x:c r="H294" s="20" t="str">
        <x:v>1 image</x:v>
      </x:c>
      <x:c r="I294" s="35" t="str">
        <x:v>phone camera; amount box, written amount, memo, and endorsement visible</x:v>
      </x:c>
      <x:c r="J294" s="20" t="str">
        <x:v>P023</x:v>
      </x:c>
      <x:c r="K294" s="20" t="str">
        <x:v>U025</x:v>
      </x:c>
      <x:c r="L294" s="20" t="str">
        <x:v>L025</x:v>
      </x:c>
      <x:c r="M294" s="20" t="str">
        <x:v>FIN-00809</x:v>
      </x:c>
      <x:c r="N294" s="35" t="str">
        <x:v>payer; amount; date; check/money-order number; memo; property; unit; lease match</x:v>
      </x:c>
      <x:c r="O294" s="35" t="str">
        <x:v>handwritten memo and similar tenant names</x:v>
      </x:c>
      <x:c r="P294" s="35" t="str">
        <x:v>Use a different receipt on the other client to exercise the manual payment form.</x:v>
      </x:c>
      <x:c r="Q294" s="35" t="str">
        <x:v>Synthetic QA only; no real people, accounts, signatures, or properties</x:v>
      </x:c>
    </x:row>
    <x:row r="295">
      <x:c r="A295" s="20" t="str">
        <x:v>SCN-0292</x:v>
      </x:c>
      <x:c r="B295" s="23" t="n">
        <x:v>46668</x:v>
      </x:c>
      <x:c r="C295" s="20" t="str">
        <x:v>scn-0292-rent-payment-l026-20271008.jpg</x:v>
      </x:c>
      <x:c r="D295" s="20" t="str">
        <x:v>Money order</x:v>
      </x:c>
      <x:c r="E295" s="20" t="str">
        <x:v>Payment</x:v>
      </x:c>
      <x:c r="F295" s="35" t="str">
        <x:v>Direct scan draft matched to tenant account and charge</x:v>
      </x:c>
      <x:c r="G295" s="20" t="str">
        <x:v>Camera JPEG</x:v>
      </x:c>
      <x:c r="H295" s="20" t="str">
        <x:v>1 image</x:v>
      </x:c>
      <x:c r="I295" s="35" t="str">
        <x:v>phone camera; amount box, written amount, memo, and endorsement visible</x:v>
      </x:c>
      <x:c r="J295" s="20" t="str">
        <x:v>P023</x:v>
      </x:c>
      <x:c r="K295" s="20" t="str">
        <x:v>U026</x:v>
      </x:c>
      <x:c r="L295" s="20" t="str">
        <x:v>L026</x:v>
      </x:c>
      <x:c r="M295" s="20" t="str">
        <x:v>FIN-00812</x:v>
      </x:c>
      <x:c r="N295" s="35" t="str">
        <x:v>payer; amount; date; check/money-order number; memo; property; unit; lease match</x:v>
      </x:c>
      <x:c r="O295" s="35" t="str"/>
      <x:c r="P295" s="35" t="str">
        <x:v>Use a different receipt on the other client to exercise the manual payment form.</x:v>
      </x:c>
      <x:c r="Q295" s="35" t="str">
        <x:v>Synthetic QA only; no real people, accounts, signatures, or properties</x:v>
      </x:c>
    </x:row>
    <x:row r="296">
      <x:c r="A296" s="20" t="str">
        <x:v>SCN-0293</x:v>
      </x:c>
      <x:c r="B296" s="23" t="n">
        <x:v>46664</x:v>
      </x:c>
      <x:c r="C296" s="20" t="str">
        <x:v>scn-0293-rent-payment-l028-20271004.pdf</x:v>
      </x:c>
      <x:c r="D296" s="20" t="str">
        <x:v>Rent check</x:v>
      </x:c>
      <x:c r="E296" s="20" t="str">
        <x:v>Payment</x:v>
      </x:c>
      <x:c r="F296" s="35" t="str">
        <x:v>Direct scan draft matched to tenant account and charge</x:v>
      </x:c>
      <x:c r="G296" s="20" t="str">
        <x:v>PDF</x:v>
      </x:c>
      <x:c r="H296" s="20" t="str">
        <x:v>1 image</x:v>
      </x:c>
      <x:c r="I296" s="35" t="str">
        <x:v>phone camera; amount box, written amount, memo, and endorsement visible</x:v>
      </x:c>
      <x:c r="J296" s="20" t="str">
        <x:v>P024</x:v>
      </x:c>
      <x:c r="K296" s="20" t="str">
        <x:v>U028</x:v>
      </x:c>
      <x:c r="L296" s="20" t="str">
        <x:v>L028</x:v>
      </x:c>
      <x:c r="M296" s="20" t="str">
        <x:v>FIN-00816</x:v>
      </x:c>
      <x:c r="N296" s="35" t="str">
        <x:v>payer; amount; date; check/money-order number; memo; property; unit; lease match</x:v>
      </x:c>
      <x:c r="O296" s="35" t="str"/>
      <x:c r="P296" s="35" t="str">
        <x:v>Use a different receipt on the other client to exercise the manual payment form.</x:v>
      </x:c>
      <x:c r="Q296" s="35" t="str">
        <x:v>Synthetic QA only; no real people, accounts, signatures, or properties</x:v>
      </x:c>
    </x:row>
    <x:row r="297">
      <x:c r="A297" s="20" t="str">
        <x:v>SCN-0294</x:v>
      </x:c>
      <x:c r="B297" s="23" t="n">
        <x:v>46665</x:v>
      </x:c>
      <x:c r="C297" s="20" t="str">
        <x:v>scn-0294-rent-payment-l029-20271005.jpg</x:v>
      </x:c>
      <x:c r="D297" s="20" t="str">
        <x:v>Money order</x:v>
      </x:c>
      <x:c r="E297" s="20" t="str">
        <x:v>Payment</x:v>
      </x:c>
      <x:c r="F297" s="35" t="str">
        <x:v>Direct scan draft matched to tenant account and charge</x:v>
      </x:c>
      <x:c r="G297" s="20" t="str">
        <x:v>Camera JPEG</x:v>
      </x:c>
      <x:c r="H297" s="20" t="str">
        <x:v>1 image</x:v>
      </x:c>
      <x:c r="I297" s="35" t="str">
        <x:v>phone camera; amount box, written amount, memo, and endorsement visible</x:v>
      </x:c>
      <x:c r="J297" s="20" t="str">
        <x:v>P025</x:v>
      </x:c>
      <x:c r="K297" s="20" t="str">
        <x:v>U029</x:v>
      </x:c>
      <x:c r="L297" s="20" t="str">
        <x:v>L029</x:v>
      </x:c>
      <x:c r="M297" s="20" t="str">
        <x:v>FIN-00818</x:v>
      </x:c>
      <x:c r="N297" s="35" t="str">
        <x:v>payer; amount; date; check/money-order number; memo; property; unit; lease match</x:v>
      </x:c>
      <x:c r="O297" s="35" t="str"/>
      <x:c r="P297" s="35" t="str">
        <x:v>Use a different receipt on the other client to exercise the manual payment form.</x:v>
      </x:c>
      <x:c r="Q297" s="35" t="str">
        <x:v>Synthetic QA only; no real people, accounts, signatures, or properties</x:v>
      </x:c>
    </x:row>
    <x:row r="298">
      <x:c r="A298" s="20" t="str">
        <x:v>SCN-0295</x:v>
      </x:c>
      <x:c r="B298" s="23" t="n">
        <x:v>46665</x:v>
      </x:c>
      <x:c r="C298" s="20" t="str">
        <x:v>scn-0295-rent-payment-l032-20271005.pdf</x:v>
      </x:c>
      <x:c r="D298" s="20" t="str">
        <x:v>Rent check</x:v>
      </x:c>
      <x:c r="E298" s="20" t="str">
        <x:v>Payment</x:v>
      </x:c>
      <x:c r="F298" s="35" t="str">
        <x:v>Direct scan draft matched to tenant account and charge</x:v>
      </x:c>
      <x:c r="G298" s="20" t="str">
        <x:v>PDF</x:v>
      </x:c>
      <x:c r="H298" s="20" t="str">
        <x:v>1 image</x:v>
      </x:c>
      <x:c r="I298" s="35" t="str">
        <x:v>phone camera; amount box, written amount, memo, and endorsement visible</x:v>
      </x:c>
      <x:c r="J298" s="20" t="str">
        <x:v>P026</x:v>
      </x:c>
      <x:c r="K298" s="20" t="str">
        <x:v>U032</x:v>
      </x:c>
      <x:c r="L298" s="20" t="str">
        <x:v>L032</x:v>
      </x:c>
      <x:c r="M298" s="20" t="str">
        <x:v>FIN-00824</x:v>
      </x:c>
      <x:c r="N298" s="35" t="str">
        <x:v>payer; amount; date; check/money-order number; memo; property; unit; lease match</x:v>
      </x:c>
      <x:c r="O298" s="35" t="str"/>
      <x:c r="P298" s="35" t="str">
        <x:v>Use a different receipt on the other client to exercise the manual payment form.</x:v>
      </x:c>
      <x:c r="Q298" s="35" t="str">
        <x:v>Synthetic QA only; no real people, accounts, signatures, or properties</x:v>
      </x:c>
    </x:row>
    <x:row r="299">
      <x:c r="A299" s="20" t="str">
        <x:v>SCN-0296</x:v>
      </x:c>
      <x:c r="B299" s="23" t="n">
        <x:v>46663</x:v>
      </x:c>
      <x:c r="C299" s="20" t="str">
        <x:v>scn-0296-rent-payment-l033-20271003.jpg</x:v>
      </x:c>
      <x:c r="D299" s="20" t="str">
        <x:v>Money order</x:v>
      </x:c>
      <x:c r="E299" s="20" t="str">
        <x:v>Payment</x:v>
      </x:c>
      <x:c r="F299" s="35" t="str">
        <x:v>Direct scan draft matched to tenant account and charge</x:v>
      </x:c>
      <x:c r="G299" s="20" t="str">
        <x:v>Camera JPEG</x:v>
      </x:c>
      <x:c r="H299" s="20" t="str">
        <x:v>1 image</x:v>
      </x:c>
      <x:c r="I299" s="35" t="str">
        <x:v>phone camera; amount box, written amount, memo, and endorsement visible</x:v>
      </x:c>
      <x:c r="J299" s="20" t="str">
        <x:v>P027</x:v>
      </x:c>
      <x:c r="K299" s="20" t="str">
        <x:v>U033</x:v>
      </x:c>
      <x:c r="L299" s="20" t="str">
        <x:v>L033</x:v>
      </x:c>
      <x:c r="M299" s="20" t="str">
        <x:v>FIN-00826</x:v>
      </x:c>
      <x:c r="N299" s="35" t="str">
        <x:v>payer; amount; date; check/money-order number; memo; property; unit; lease match</x:v>
      </x:c>
      <x:c r="O299" s="35" t="str"/>
      <x:c r="P299" s="35" t="str">
        <x:v>Use a different receipt on the other client to exercise the manual payment form.</x:v>
      </x:c>
      <x:c r="Q299" s="35" t="str">
        <x:v>Synthetic QA only; no real people, accounts, signatures, or properties</x:v>
      </x:c>
    </x:row>
    <x:row r="300">
      <x:c r="A300" s="20" t="str">
        <x:v>SCN-0297</x:v>
      </x:c>
      <x:c r="B300" s="23" t="n">
        <x:v>46663</x:v>
      </x:c>
      <x:c r="C300" s="20" t="str">
        <x:v>scn-0297-rent-payment-l036-20271003.pdf</x:v>
      </x:c>
      <x:c r="D300" s="20" t="str">
        <x:v>Rent check</x:v>
      </x:c>
      <x:c r="E300" s="20" t="str">
        <x:v>Payment</x:v>
      </x:c>
      <x:c r="F300" s="35" t="str">
        <x:v>Direct scan draft matched to tenant account and charge</x:v>
      </x:c>
      <x:c r="G300" s="20" t="str">
        <x:v>PDF</x:v>
      </x:c>
      <x:c r="H300" s="20" t="str">
        <x:v>1 image</x:v>
      </x:c>
      <x:c r="I300" s="35" t="str">
        <x:v>phone camera; amount box, written amount, memo, and endorsement visible</x:v>
      </x:c>
      <x:c r="J300" s="20" t="str">
        <x:v>P028</x:v>
      </x:c>
      <x:c r="K300" s="20" t="str">
        <x:v>U036</x:v>
      </x:c>
      <x:c r="L300" s="20" t="str">
        <x:v>L036</x:v>
      </x:c>
      <x:c r="M300" s="20" t="str">
        <x:v>FIN-00834</x:v>
      </x:c>
      <x:c r="N300" s="35" t="str">
        <x:v>payer; amount; date; check/money-order number; memo; property; unit; lease match</x:v>
      </x:c>
      <x:c r="O300" s="35" t="str"/>
      <x:c r="P300" s="35" t="str">
        <x:v>Use a different receipt on the other client to exercise the manual payment form.</x:v>
      </x:c>
      <x:c r="Q300" s="35" t="str">
        <x:v>Synthetic QA only; no real people, accounts, signatures, or properties</x:v>
      </x:c>
    </x:row>
    <x:row r="301">
      <x:c r="A301" s="20" t="str">
        <x:v>SCN-0298</x:v>
      </x:c>
      <x:c r="B301" s="23" t="n">
        <x:v>46664</x:v>
      </x:c>
      <x:c r="C301" s="20" t="str">
        <x:v>scn-0298-rent-payment-l037-20271004.jpg</x:v>
      </x:c>
      <x:c r="D301" s="20" t="str">
        <x:v>Money order</x:v>
      </x:c>
      <x:c r="E301" s="20" t="str">
        <x:v>Payment</x:v>
      </x:c>
      <x:c r="F301" s="35" t="str">
        <x:v>Direct scan draft matched to tenant account and charge</x:v>
      </x:c>
      <x:c r="G301" s="20" t="str">
        <x:v>Camera JPEG</x:v>
      </x:c>
      <x:c r="H301" s="20" t="str">
        <x:v>1 image</x:v>
      </x:c>
      <x:c r="I301" s="35" t="str">
        <x:v>phone camera; amount box, written amount, memo, and endorsement visible</x:v>
      </x:c>
      <x:c r="J301" s="20" t="str">
        <x:v>P005</x:v>
      </x:c>
      <x:c r="K301" s="20" t="str">
        <x:v>U005</x:v>
      </x:c>
      <x:c r="L301" s="20" t="str">
        <x:v>L037</x:v>
      </x:c>
      <x:c r="M301" s="20" t="str">
        <x:v>FIN-00836</x:v>
      </x:c>
      <x:c r="N301" s="35" t="str">
        <x:v>payer; amount; date; check/money-order number; memo; property; unit; lease match</x:v>
      </x:c>
      <x:c r="O301" s="35" t="str"/>
      <x:c r="P301" s="35" t="str">
        <x:v>Use a different receipt on the other client to exercise the manual payment form.</x:v>
      </x:c>
      <x:c r="Q301" s="35" t="str">
        <x:v>Synthetic QA only; no real people, accounts, signatures, or properties</x:v>
      </x:c>
    </x:row>
    <x:row r="302">
      <x:c r="A302" s="20" t="str">
        <x:v>SCN-0299</x:v>
      </x:c>
      <x:c r="B302" s="23" t="n">
        <x:v>46664</x:v>
      </x:c>
      <x:c r="C302" s="20" t="str">
        <x:v>scn-0299-rent-payment-l040-20271004.pdf</x:v>
      </x:c>
      <x:c r="D302" s="20" t="str">
        <x:v>Rent check</x:v>
      </x:c>
      <x:c r="E302" s="20" t="str">
        <x:v>Payment</x:v>
      </x:c>
      <x:c r="F302" s="35" t="str">
        <x:v>Direct scan draft matched to tenant account and charge</x:v>
      </x:c>
      <x:c r="G302" s="20" t="str">
        <x:v>PDF</x:v>
      </x:c>
      <x:c r="H302" s="20" t="str">
        <x:v>1 image</x:v>
      </x:c>
      <x:c r="I302" s="35" t="str">
        <x:v>phone camera; amount box, written amount, memo, and endorsement visible</x:v>
      </x:c>
      <x:c r="J302" s="20" t="str">
        <x:v>P021</x:v>
      </x:c>
      <x:c r="K302" s="20" t="str">
        <x:v>U022</x:v>
      </x:c>
      <x:c r="L302" s="20" t="str">
        <x:v>L040</x:v>
      </x:c>
      <x:c r="M302" s="20" t="str">
        <x:v>FIN-00843</x:v>
      </x:c>
      <x:c r="N302" s="35" t="str">
        <x:v>payer; amount; date; check/money-order number; memo; property; unit; lease match</x:v>
      </x:c>
      <x:c r="O302" s="35" t="str">
        <x:v>handwritten memo and similar tenant names</x:v>
      </x:c>
      <x:c r="P302" s="35" t="str">
        <x:v>Use a different receipt on the other client to exercise the manual payment form.</x:v>
      </x:c>
      <x:c r="Q302" s="35" t="str">
        <x:v>Synthetic QA only; no real people, accounts, signatures, or properties</x:v>
      </x:c>
    </x:row>
    <x:row r="303">
      <x:c r="A303" s="20" t="str">
        <x:v>SCN-0300</x:v>
      </x:c>
      <x:c r="B303" s="23" t="n">
        <x:v>46665</x:v>
      </x:c>
      <x:c r="C303" s="20" t="str">
        <x:v>scn-0300-rent-payment-l041-20271005.jpg</x:v>
      </x:c>
      <x:c r="D303" s="20" t="str">
        <x:v>Money order</x:v>
      </x:c>
      <x:c r="E303" s="20" t="str">
        <x:v>Payment</x:v>
      </x:c>
      <x:c r="F303" s="35" t="str">
        <x:v>Direct scan draft matched to tenant account and charge</x:v>
      </x:c>
      <x:c r="G303" s="20" t="str">
        <x:v>Camera JPEG</x:v>
      </x:c>
      <x:c r="H303" s="20" t="str">
        <x:v>1 image</x:v>
      </x:c>
      <x:c r="I303" s="35" t="str">
        <x:v>phone camera; amount box, written amount, memo, and endorsement visible</x:v>
      </x:c>
      <x:c r="J303" s="20" t="str">
        <x:v>P030</x:v>
      </x:c>
      <x:c r="K303" s="20" t="str">
        <x:v>U040</x:v>
      </x:c>
      <x:c r="L303" s="20" t="str">
        <x:v>L041</x:v>
      </x:c>
      <x:c r="M303" s="20" t="str">
        <x:v>FIN-00845</x:v>
      </x:c>
      <x:c r="N303" s="35" t="str">
        <x:v>payer; amount; date; check/money-order number; memo; property; unit; lease match</x:v>
      </x:c>
      <x:c r="O303" s="35" t="str"/>
      <x:c r="P303" s="35" t="str">
        <x:v>Use a different receipt on the other client to exercise the manual payment form.</x:v>
      </x:c>
      <x:c r="Q303" s="35" t="str">
        <x:v>Synthetic QA only; no real people, accounts, signatures, or properties</x:v>
      </x:c>
    </x:row>
    <x:row r="304">
      <x:c r="A304" s="20" t="str">
        <x:v>SCN-0301</x:v>
      </x:c>
      <x:c r="B304" s="23" t="n">
        <x:v>46663</x:v>
      </x:c>
      <x:c r="C304" s="20" t="str">
        <x:v>scn-0301-rent-payment-l044-20271003.pdf</x:v>
      </x:c>
      <x:c r="D304" s="20" t="str">
        <x:v>Rent check</x:v>
      </x:c>
      <x:c r="E304" s="20" t="str">
        <x:v>Payment</x:v>
      </x:c>
      <x:c r="F304" s="35" t="str">
        <x:v>Direct scan draft matched to tenant account and charge</x:v>
      </x:c>
      <x:c r="G304" s="20" t="str">
        <x:v>PDF</x:v>
      </x:c>
      <x:c r="H304" s="20" t="str">
        <x:v>1 image</x:v>
      </x:c>
      <x:c r="I304" s="35" t="str">
        <x:v>phone camera; amount box, written amount, memo, and endorsement visible</x:v>
      </x:c>
      <x:c r="J304" s="20" t="str">
        <x:v>P029</x:v>
      </x:c>
      <x:c r="K304" s="20" t="str">
        <x:v>U038</x:v>
      </x:c>
      <x:c r="L304" s="20" t="str">
        <x:v>L044</x:v>
      </x:c>
      <x:c r="M304" s="20" t="str">
        <x:v>FIN-00849</x:v>
      </x:c>
      <x:c r="N304" s="35" t="str">
        <x:v>payer; amount; date; check/money-order number; memo; property; unit; lease match</x:v>
      </x:c>
      <x:c r="O304" s="35" t="str"/>
      <x:c r="P304" s="35" t="str">
        <x:v>Use a different receipt on the other client to exercise the manual payment form.</x:v>
      </x:c>
      <x:c r="Q304" s="35" t="str">
        <x:v>Synthetic QA only; no real people, accounts, signatures, or properties</x:v>
      </x:c>
    </x:row>
    <x:row r="305">
      <x:c r="A305" s="20" t="str">
        <x:v>SCN-0302</x:v>
      </x:c>
      <x:c r="B305" s="23" t="n">
        <x:v>46663</x:v>
      </x:c>
      <x:c r="C305" s="20" t="str">
        <x:v>scn-0302-rent-payment-l045-20271003.jpg</x:v>
      </x:c>
      <x:c r="D305" s="20" t="str">
        <x:v>Money order</x:v>
      </x:c>
      <x:c r="E305" s="20" t="str">
        <x:v>Payment</x:v>
      </x:c>
      <x:c r="F305" s="35" t="str">
        <x:v>Direct scan draft matched to tenant account and charge</x:v>
      </x:c>
      <x:c r="G305" s="20" t="str">
        <x:v>Camera JPEG</x:v>
      </x:c>
      <x:c r="H305" s="20" t="str">
        <x:v>1 image</x:v>
      </x:c>
      <x:c r="I305" s="35" t="str">
        <x:v>phone camera; amount box, written amount, memo, and endorsement visible</x:v>
      </x:c>
      <x:c r="J305" s="20" t="str">
        <x:v>P030</x:v>
      </x:c>
      <x:c r="K305" s="20" t="str">
        <x:v>U039</x:v>
      </x:c>
      <x:c r="L305" s="20" t="str">
        <x:v>L045</x:v>
      </x:c>
      <x:c r="M305" s="20" t="str">
        <x:v>FIN-00853</x:v>
      </x:c>
      <x:c r="N305" s="35" t="str">
        <x:v>payer; amount; date; check/money-order number; memo; property; unit; lease match</x:v>
      </x:c>
      <x:c r="O305" s="35" t="str">
        <x:v>handwritten memo and similar tenant names</x:v>
      </x:c>
      <x:c r="P305" s="35" t="str">
        <x:v>Use a different receipt on the other client to exercise the manual payment form.</x:v>
      </x:c>
      <x:c r="Q305" s="35" t="str">
        <x:v>Synthetic QA only; no real people, accounts, signatures, or properties</x:v>
      </x:c>
    </x:row>
    <x:row r="306">
      <x:c r="A306" s="20" t="str">
        <x:v>SCN-0303</x:v>
      </x:c>
      <x:c r="B306" s="23" t="n">
        <x:v>46695</x:v>
      </x:c>
      <x:c r="C306" s="20" t="str">
        <x:v>scn-0303-rent-payment-l001-20271104.jpg</x:v>
      </x:c>
      <x:c r="D306" s="20" t="str">
        <x:v>Money order</x:v>
      </x:c>
      <x:c r="E306" s="20" t="str">
        <x:v>Payment</x:v>
      </x:c>
      <x:c r="F306" s="35" t="str">
        <x:v>Direct scan draft matched to tenant account and charge</x:v>
      </x:c>
      <x:c r="G306" s="20" t="str">
        <x:v>Camera JPEG</x:v>
      </x:c>
      <x:c r="H306" s="20" t="str">
        <x:v>1 image</x:v>
      </x:c>
      <x:c r="I306" s="35" t="str">
        <x:v>phone camera; amount box, written amount, memo, and endorsement visible</x:v>
      </x:c>
      <x:c r="J306" s="20" t="str">
        <x:v>P001</x:v>
      </x:c>
      <x:c r="K306" s="20" t="str">
        <x:v>U001</x:v>
      </x:c>
      <x:c r="L306" s="20" t="str">
        <x:v>L001</x:v>
      </x:c>
      <x:c r="M306" s="20" t="str">
        <x:v>FIN-00855</x:v>
      </x:c>
      <x:c r="N306" s="35" t="str">
        <x:v>payer; amount; date; check/money-order number; memo; property; unit; lease match</x:v>
      </x:c>
      <x:c r="O306" s="35" t="str"/>
      <x:c r="P306" s="35" t="str">
        <x:v>Use a different receipt on the other client to exercise the manual payment form.</x:v>
      </x:c>
      <x:c r="Q306" s="35" t="str">
        <x:v>Synthetic QA only; no real people, accounts, signatures, or properties</x:v>
      </x:c>
    </x:row>
    <x:row r="307">
      <x:c r="A307" s="20" t="str">
        <x:v>SCN-0304</x:v>
      </x:c>
      <x:c r="B307" s="23" t="n">
        <x:v>46695</x:v>
      </x:c>
      <x:c r="C307" s="20" t="str">
        <x:v>scn-0304-rent-payment-l004-20271104.pdf</x:v>
      </x:c>
      <x:c r="D307" s="20" t="str">
        <x:v>Rent check</x:v>
      </x:c>
      <x:c r="E307" s="20" t="str">
        <x:v>Payment</x:v>
      </x:c>
      <x:c r="F307" s="35" t="str">
        <x:v>Direct scan draft matched to tenant account and charge</x:v>
      </x:c>
      <x:c r="G307" s="20" t="str">
        <x:v>PDF</x:v>
      </x:c>
      <x:c r="H307" s="20" t="str">
        <x:v>1 image</x:v>
      </x:c>
      <x:c r="I307" s="35" t="str">
        <x:v>phone camera; amount box, written amount, memo, and endorsement visible</x:v>
      </x:c>
      <x:c r="J307" s="20" t="str">
        <x:v>P004</x:v>
      </x:c>
      <x:c r="K307" s="20" t="str">
        <x:v>U004</x:v>
      </x:c>
      <x:c r="L307" s="20" t="str">
        <x:v>L004</x:v>
      </x:c>
      <x:c r="M307" s="20" t="str">
        <x:v>FIN-00859</x:v>
      </x:c>
      <x:c r="N307" s="35" t="str">
        <x:v>payer; amount; date; check/money-order number; memo; property; unit; lease match</x:v>
      </x:c>
      <x:c r="O307" s="35" t="str"/>
      <x:c r="P307" s="35" t="str">
        <x:v>Use a different receipt on the other client to exercise the manual payment form.</x:v>
      </x:c>
      <x:c r="Q307" s="35" t="str">
        <x:v>Synthetic QA only; no real people, accounts, signatures, or properties</x:v>
      </x:c>
    </x:row>
    <x:row r="308">
      <x:c r="A308" s="20" t="str">
        <x:v>SCN-0305</x:v>
      </x:c>
      <x:c r="B308" s="23" t="n">
        <x:v>46694</x:v>
      </x:c>
      <x:c r="C308" s="20" t="str">
        <x:v>scn-0305-rent-payment-l009-20271103.jpg</x:v>
      </x:c>
      <x:c r="D308" s="20" t="str">
        <x:v>Money order</x:v>
      </x:c>
      <x:c r="E308" s="20" t="str">
        <x:v>Payment</x:v>
      </x:c>
      <x:c r="F308" s="35" t="str">
        <x:v>Direct scan draft matched to tenant account and charge</x:v>
      </x:c>
      <x:c r="G308" s="20" t="str">
        <x:v>Camera JPEG</x:v>
      </x:c>
      <x:c r="H308" s="20" t="str">
        <x:v>1 image</x:v>
      </x:c>
      <x:c r="I308" s="35" t="str">
        <x:v>phone camera; amount box, written amount, memo, and endorsement visible</x:v>
      </x:c>
      <x:c r="J308" s="20" t="str">
        <x:v>P009</x:v>
      </x:c>
      <x:c r="K308" s="20" t="str">
        <x:v>U009</x:v>
      </x:c>
      <x:c r="L308" s="20" t="str">
        <x:v>L009</x:v>
      </x:c>
      <x:c r="M308" s="20" t="str">
        <x:v>FIN-00865</x:v>
      </x:c>
      <x:c r="N308" s="35" t="str">
        <x:v>payer; amount; date; check/money-order number; memo; property; unit; lease match</x:v>
      </x:c>
      <x:c r="O308" s="35" t="str"/>
      <x:c r="P308" s="35" t="str">
        <x:v>Use a different receipt on the other client to exercise the manual payment form.</x:v>
      </x:c>
      <x:c r="Q308" s="35" t="str">
        <x:v>Synthetic QA only; no real people, accounts, signatures, or properties</x:v>
      </x:c>
    </x:row>
    <x:row r="309">
      <x:c r="A309" s="20" t="str">
        <x:v>SCN-0306</x:v>
      </x:c>
      <x:c r="B309" s="23" t="n">
        <x:v>46703</x:v>
      </x:c>
      <x:c r="C309" s="20" t="str">
        <x:v>scn-0306-rent-payment-l011-20271112.jpg</x:v>
      </x:c>
      <x:c r="D309" s="20" t="str">
        <x:v>Money order</x:v>
      </x:c>
      <x:c r="E309" s="20" t="str">
        <x:v>Payment</x:v>
      </x:c>
      <x:c r="F309" s="35" t="str">
        <x:v>Direct scan draft matched to tenant account and charge</x:v>
      </x:c>
      <x:c r="G309" s="20" t="str">
        <x:v>Camera JPEG</x:v>
      </x:c>
      <x:c r="H309" s="20" t="str">
        <x:v>1 image</x:v>
      </x:c>
      <x:c r="I309" s="35" t="str">
        <x:v>phone camera; amount box, written amount, memo, and endorsement visible</x:v>
      </x:c>
      <x:c r="J309" s="20" t="str">
        <x:v>P011</x:v>
      </x:c>
      <x:c r="K309" s="20" t="str">
        <x:v>U011</x:v>
      </x:c>
      <x:c r="L309" s="20" t="str">
        <x:v>L011</x:v>
      </x:c>
      <x:c r="M309" s="20" t="str">
        <x:v>FIN-00871</x:v>
      </x:c>
      <x:c r="N309" s="35" t="str">
        <x:v>payer; amount; date; check/money-order number; memo; property; unit; lease match</x:v>
      </x:c>
      <x:c r="O309" s="35" t="str"/>
      <x:c r="P309" s="35" t="str">
        <x:v>Use a different receipt on the other client to exercise the manual payment form.</x:v>
      </x:c>
      <x:c r="Q309" s="35" t="str">
        <x:v>Synthetic QA only; no real people, accounts, signatures, or properties</x:v>
      </x:c>
    </x:row>
    <x:row r="310">
      <x:c r="A310" s="20" t="str">
        <x:v>SCN-0307</x:v>
      </x:c>
      <x:c r="B310" s="23" t="n">
        <x:v>46694</x:v>
      </x:c>
      <x:c r="C310" s="20" t="str">
        <x:v>scn-0307-rent-payment-l012-20271103.pdf</x:v>
      </x:c>
      <x:c r="D310" s="20" t="str">
        <x:v>Rent check</x:v>
      </x:c>
      <x:c r="E310" s="20" t="str">
        <x:v>Payment</x:v>
      </x:c>
      <x:c r="F310" s="35" t="str">
        <x:v>Direct scan draft matched to tenant account and charge</x:v>
      </x:c>
      <x:c r="G310" s="20" t="str">
        <x:v>PDF</x:v>
      </x:c>
      <x:c r="H310" s="20" t="str">
        <x:v>1 image</x:v>
      </x:c>
      <x:c r="I310" s="35" t="str">
        <x:v>phone camera; amount box, written amount, memo, and endorsement visible</x:v>
      </x:c>
      <x:c r="J310" s="20" t="str">
        <x:v>P012</x:v>
      </x:c>
      <x:c r="K310" s="20" t="str">
        <x:v>U012</x:v>
      </x:c>
      <x:c r="L310" s="20" t="str">
        <x:v>L012</x:v>
      </x:c>
      <x:c r="M310" s="20" t="str">
        <x:v>FIN-00873</x:v>
      </x:c>
      <x:c r="N310" s="35" t="str">
        <x:v>payer; amount; date; check/money-order number; memo; property; unit; lease match</x:v>
      </x:c>
      <x:c r="O310" s="35" t="str"/>
      <x:c r="P310" s="35" t="str">
        <x:v>Use a different receipt on the other client to exercise the manual payment form.</x:v>
      </x:c>
      <x:c r="Q310" s="35" t="str">
        <x:v>Synthetic QA only; no real people, accounts, signatures, or properties</x:v>
      </x:c>
    </x:row>
    <x:row r="311">
      <x:c r="A311" s="20" t="str">
        <x:v>SCN-0308</x:v>
      </x:c>
      <x:c r="B311" s="23" t="n">
        <x:v>46699</x:v>
      </x:c>
      <x:c r="C311" s="20" t="str">
        <x:v>scn-0308-rent-payment-l013-20271108.pdf</x:v>
      </x:c>
      <x:c r="D311" s="20" t="str">
        <x:v>Rent check</x:v>
      </x:c>
      <x:c r="E311" s="20" t="str">
        <x:v>Payment</x:v>
      </x:c>
      <x:c r="F311" s="35" t="str">
        <x:v>Direct scan draft matched to tenant account and charge</x:v>
      </x:c>
      <x:c r="G311" s="20" t="str">
        <x:v>PDF</x:v>
      </x:c>
      <x:c r="H311" s="20" t="str">
        <x:v>1 image</x:v>
      </x:c>
      <x:c r="I311" s="35" t="str">
        <x:v>phone camera; amount box, written amount, memo, and endorsement visible</x:v>
      </x:c>
      <x:c r="J311" s="20" t="str">
        <x:v>P013</x:v>
      </x:c>
      <x:c r="K311" s="20" t="str">
        <x:v>U013</x:v>
      </x:c>
      <x:c r="L311" s="20" t="str">
        <x:v>L013</x:v>
      </x:c>
      <x:c r="M311" s="20" t="str">
        <x:v>FIN-00876</x:v>
      </x:c>
      <x:c r="N311" s="35" t="str">
        <x:v>payer; amount; date; check/money-order number; memo; property; unit; lease match</x:v>
      </x:c>
      <x:c r="O311" s="35" t="str"/>
      <x:c r="P311" s="35" t="str">
        <x:v>Use a different receipt on the other client to exercise the manual payment form.</x:v>
      </x:c>
      <x:c r="Q311" s="35" t="str">
        <x:v>Synthetic QA only; no real people, accounts, signatures, or properties</x:v>
      </x:c>
    </x:row>
    <x:row r="312">
      <x:c r="A312" s="20" t="str">
        <x:v>SCN-0309</x:v>
      </x:c>
      <x:c r="B312" s="23" t="n">
        <x:v>46695</x:v>
      </x:c>
      <x:c r="C312" s="20" t="str">
        <x:v>scn-0309-rent-payment-l016-20271104.pdf</x:v>
      </x:c>
      <x:c r="D312" s="20" t="str">
        <x:v>Rent check</x:v>
      </x:c>
      <x:c r="E312" s="20" t="str">
        <x:v>Payment</x:v>
      </x:c>
      <x:c r="F312" s="35" t="str">
        <x:v>Direct scan draft matched to tenant account and charge</x:v>
      </x:c>
      <x:c r="G312" s="20" t="str">
        <x:v>PDF</x:v>
      </x:c>
      <x:c r="H312" s="20" t="str">
        <x:v>1 image</x:v>
      </x:c>
      <x:c r="I312" s="35" t="str">
        <x:v>phone camera; amount box, written amount, memo, and endorsement visible</x:v>
      </x:c>
      <x:c r="J312" s="20" t="str">
        <x:v>P016</x:v>
      </x:c>
      <x:c r="K312" s="20" t="str">
        <x:v>U016</x:v>
      </x:c>
      <x:c r="L312" s="20" t="str">
        <x:v>L016</x:v>
      </x:c>
      <x:c r="M312" s="20" t="str">
        <x:v>FIN-00880</x:v>
      </x:c>
      <x:c r="N312" s="35" t="str">
        <x:v>payer; amount; date; check/money-order number; memo; property; unit; lease match</x:v>
      </x:c>
      <x:c r="O312" s="35" t="str"/>
      <x:c r="P312" s="35" t="str">
        <x:v>Use a different receipt on the other client to exercise the manual payment form.</x:v>
      </x:c>
      <x:c r="Q312" s="35" t="str">
        <x:v>Synthetic QA only; no real people, accounts, signatures, or properties</x:v>
      </x:c>
    </x:row>
    <x:row r="313">
      <x:c r="A313" s="20" t="str">
        <x:v>SCN-0310</x:v>
      </x:c>
      <x:c r="B313" s="23" t="n">
        <x:v>46696</x:v>
      </x:c>
      <x:c r="C313" s="20" t="str">
        <x:v>scn-0310-rent-payment-l020-20271105.pdf</x:v>
      </x:c>
      <x:c r="D313" s="20" t="str">
        <x:v>Rent check</x:v>
      </x:c>
      <x:c r="E313" s="20" t="str">
        <x:v>Payment</x:v>
      </x:c>
      <x:c r="F313" s="35" t="str">
        <x:v>Direct scan draft matched to tenant account and charge</x:v>
      </x:c>
      <x:c r="G313" s="20" t="str">
        <x:v>PDF</x:v>
      </x:c>
      <x:c r="H313" s="20" t="str">
        <x:v>1 image</x:v>
      </x:c>
      <x:c r="I313" s="35" t="str">
        <x:v>phone camera; amount box, written amount, memo, and endorsement visible</x:v>
      </x:c>
      <x:c r="J313" s="20" t="str">
        <x:v>P020</x:v>
      </x:c>
      <x:c r="K313" s="20" t="str">
        <x:v>U020</x:v>
      </x:c>
      <x:c r="L313" s="20" t="str">
        <x:v>L020</x:v>
      </x:c>
      <x:c r="M313" s="20" t="str">
        <x:v>FIN-00886</x:v>
      </x:c>
      <x:c r="N313" s="35" t="str">
        <x:v>payer; amount; date; check/money-order number; memo; property; unit; lease match</x:v>
      </x:c>
      <x:c r="O313" s="35" t="str">
        <x:v>handwritten memo and similar tenant names</x:v>
      </x:c>
      <x:c r="P313" s="35" t="str">
        <x:v>Use a different receipt on the other client to exercise the manual payment form.</x:v>
      </x:c>
      <x:c r="Q313" s="35" t="str">
        <x:v>Synthetic QA only; no real people, accounts, signatures, or properties</x:v>
      </x:c>
    </x:row>
    <x:row r="314">
      <x:c r="A314" s="20" t="str">
        <x:v>SCN-0311</x:v>
      </x:c>
      <x:c r="B314" s="23" t="n">
        <x:v>46694</x:v>
      </x:c>
      <x:c r="C314" s="20" t="str">
        <x:v>scn-0311-rent-payment-l021-20271103.jpg</x:v>
      </x:c>
      <x:c r="D314" s="20" t="str">
        <x:v>Money order</x:v>
      </x:c>
      <x:c r="E314" s="20" t="str">
        <x:v>Payment</x:v>
      </x:c>
      <x:c r="F314" s="35" t="str">
        <x:v>Direct scan draft matched to tenant account and charge</x:v>
      </x:c>
      <x:c r="G314" s="20" t="str">
        <x:v>Camera JPEG</x:v>
      </x:c>
      <x:c r="H314" s="20" t="str">
        <x:v>1 image</x:v>
      </x:c>
      <x:c r="I314" s="35" t="str">
        <x:v>phone camera; amount box, written amount, memo, and endorsement visible</x:v>
      </x:c>
      <x:c r="J314" s="20" t="str">
        <x:v>P021</x:v>
      </x:c>
      <x:c r="K314" s="20" t="str">
        <x:v>U021</x:v>
      </x:c>
      <x:c r="L314" s="20" t="str">
        <x:v>L021</x:v>
      </x:c>
      <x:c r="M314" s="20" t="str">
        <x:v>FIN-00888</x:v>
      </x:c>
      <x:c r="N314" s="35" t="str">
        <x:v>payer; amount; date; check/money-order number; memo; property; unit; lease match</x:v>
      </x:c>
      <x:c r="O314" s="35" t="str"/>
      <x:c r="P314" s="35" t="str">
        <x:v>Use a different receipt on the other client to exercise the manual payment form.</x:v>
      </x:c>
      <x:c r="Q314" s="35" t="str">
        <x:v>Synthetic QA only; no real people, accounts, signatures, or properties</x:v>
      </x:c>
    </x:row>
    <x:row r="315">
      <x:c r="A315" s="20" t="str">
        <x:v>SCN-0312</x:v>
      </x:c>
      <x:c r="B315" s="23" t="n">
        <x:v>46694</x:v>
      </x:c>
      <x:c r="C315" s="20" t="str">
        <x:v>scn-0312-rent-payment-l024-20271103.pdf</x:v>
      </x:c>
      <x:c r="D315" s="20" t="str">
        <x:v>Rent check</x:v>
      </x:c>
      <x:c r="E315" s="20" t="str">
        <x:v>Payment</x:v>
      </x:c>
      <x:c r="F315" s="35" t="str">
        <x:v>Direct scan draft matched to tenant account and charge</x:v>
      </x:c>
      <x:c r="G315" s="20" t="str">
        <x:v>PDF</x:v>
      </x:c>
      <x:c r="H315" s="20" t="str">
        <x:v>1 image</x:v>
      </x:c>
      <x:c r="I315" s="35" t="str">
        <x:v>phone camera; amount box, written amount, memo, and endorsement visible</x:v>
      </x:c>
      <x:c r="J315" s="20" t="str">
        <x:v>P022</x:v>
      </x:c>
      <x:c r="K315" s="20" t="str">
        <x:v>U024</x:v>
      </x:c>
      <x:c r="L315" s="20" t="str">
        <x:v>L024</x:v>
      </x:c>
      <x:c r="M315" s="20" t="str">
        <x:v>FIN-00892</x:v>
      </x:c>
      <x:c r="N315" s="35" t="str">
        <x:v>payer; amount; date; check/money-order number; memo; property; unit; lease match</x:v>
      </x:c>
      <x:c r="O315" s="35" t="str"/>
      <x:c r="P315" s="35" t="str">
        <x:v>Use a different receipt on the other client to exercise the manual payment form.</x:v>
      </x:c>
      <x:c r="Q315" s="35" t="str">
        <x:v>Synthetic QA only; no real people, accounts, signatures, or properties</x:v>
      </x:c>
    </x:row>
    <x:row r="316">
      <x:c r="A316" s="20" t="str">
        <x:v>SCN-0313</x:v>
      </x:c>
      <x:c r="B316" s="23" t="n">
        <x:v>46695</x:v>
      </x:c>
      <x:c r="C316" s="20" t="str">
        <x:v>scn-0313-rent-payment-l025-20271104.jpg</x:v>
      </x:c>
      <x:c r="D316" s="20" t="str">
        <x:v>Money order</x:v>
      </x:c>
      <x:c r="E316" s="20" t="str">
        <x:v>Payment</x:v>
      </x:c>
      <x:c r="F316" s="35" t="str">
        <x:v>Direct scan draft matched to tenant account and charge</x:v>
      </x:c>
      <x:c r="G316" s="20" t="str">
        <x:v>Camera JPEG</x:v>
      </x:c>
      <x:c r="H316" s="20" t="str">
        <x:v>1 image</x:v>
      </x:c>
      <x:c r="I316" s="35" t="str">
        <x:v>phone camera; amount box, written amount, memo, and endorsement visible</x:v>
      </x:c>
      <x:c r="J316" s="20" t="str">
        <x:v>P023</x:v>
      </x:c>
      <x:c r="K316" s="20" t="str">
        <x:v>U025</x:v>
      </x:c>
      <x:c r="L316" s="20" t="str">
        <x:v>L025</x:v>
      </x:c>
      <x:c r="M316" s="20" t="str">
        <x:v>FIN-00894</x:v>
      </x:c>
      <x:c r="N316" s="35" t="str">
        <x:v>payer; amount; date; check/money-order number; memo; property; unit; lease match</x:v>
      </x:c>
      <x:c r="O316" s="35" t="str">
        <x:v>handwritten memo and similar tenant names</x:v>
      </x:c>
      <x:c r="P316" s="35" t="str">
        <x:v>Use a different receipt on the other client to exercise the manual payment form.</x:v>
      </x:c>
      <x:c r="Q316" s="35" t="str">
        <x:v>Synthetic QA only; no real people, accounts, signatures, or properties</x:v>
      </x:c>
    </x:row>
    <x:row r="317">
      <x:c r="A317" s="20" t="str">
        <x:v>SCN-0314</x:v>
      </x:c>
      <x:c r="B317" s="23" t="n">
        <x:v>46699</x:v>
      </x:c>
      <x:c r="C317" s="20" t="str">
        <x:v>scn-0314-rent-payment-l026-20271108.jpg</x:v>
      </x:c>
      <x:c r="D317" s="20" t="str">
        <x:v>Money order</x:v>
      </x:c>
      <x:c r="E317" s="20" t="str">
        <x:v>Payment</x:v>
      </x:c>
      <x:c r="F317" s="35" t="str">
        <x:v>Direct scan draft matched to tenant account and charge</x:v>
      </x:c>
      <x:c r="G317" s="20" t="str">
        <x:v>Camera JPEG</x:v>
      </x:c>
      <x:c r="H317" s="20" t="str">
        <x:v>1 image</x:v>
      </x:c>
      <x:c r="I317" s="35" t="str">
        <x:v>phone camera; amount box, written amount, memo, and endorsement visible</x:v>
      </x:c>
      <x:c r="J317" s="20" t="str">
        <x:v>P023</x:v>
      </x:c>
      <x:c r="K317" s="20" t="str">
        <x:v>U026</x:v>
      </x:c>
      <x:c r="L317" s="20" t="str">
        <x:v>L026</x:v>
      </x:c>
      <x:c r="M317" s="20" t="str">
        <x:v>FIN-00897</x:v>
      </x:c>
      <x:c r="N317" s="35" t="str">
        <x:v>payer; amount; date; check/money-order number; memo; property; unit; lease match</x:v>
      </x:c>
      <x:c r="O317" s="35" t="str"/>
      <x:c r="P317" s="35" t="str">
        <x:v>Use a different receipt on the other client to exercise the manual payment form.</x:v>
      </x:c>
      <x:c r="Q317" s="35" t="str">
        <x:v>Synthetic QA only; no real people, accounts, signatures, or properties</x:v>
      </x:c>
    </x:row>
    <x:row r="318">
      <x:c r="A318" s="20" t="str">
        <x:v>SCN-0315</x:v>
      </x:c>
      <x:c r="B318" s="23" t="n">
        <x:v>46695</x:v>
      </x:c>
      <x:c r="C318" s="20" t="str">
        <x:v>scn-0315-rent-payment-l028-20271104.pdf</x:v>
      </x:c>
      <x:c r="D318" s="20" t="str">
        <x:v>Rent check</x:v>
      </x:c>
      <x:c r="E318" s="20" t="str">
        <x:v>Payment</x:v>
      </x:c>
      <x:c r="F318" s="35" t="str">
        <x:v>Direct scan draft matched to tenant account and charge</x:v>
      </x:c>
      <x:c r="G318" s="20" t="str">
        <x:v>PDF</x:v>
      </x:c>
      <x:c r="H318" s="20" t="str">
        <x:v>1 image</x:v>
      </x:c>
      <x:c r="I318" s="35" t="str">
        <x:v>phone camera; amount box, written amount, memo, and endorsement visible</x:v>
      </x:c>
      <x:c r="J318" s="20" t="str">
        <x:v>P024</x:v>
      </x:c>
      <x:c r="K318" s="20" t="str">
        <x:v>U028</x:v>
      </x:c>
      <x:c r="L318" s="20" t="str">
        <x:v>L028</x:v>
      </x:c>
      <x:c r="M318" s="20" t="str">
        <x:v>FIN-00901</x:v>
      </x:c>
      <x:c r="N318" s="35" t="str">
        <x:v>payer; amount; date; check/money-order number; memo; property; unit; lease match</x:v>
      </x:c>
      <x:c r="O318" s="35" t="str"/>
      <x:c r="P318" s="35" t="str">
        <x:v>Use a different receipt on the other client to exercise the manual payment form.</x:v>
      </x:c>
      <x:c r="Q318" s="35" t="str">
        <x:v>Synthetic QA only; no real people, accounts, signatures, or properties</x:v>
      </x:c>
    </x:row>
    <x:row r="319">
      <x:c r="A319" s="20" t="str">
        <x:v>SCN-0316</x:v>
      </x:c>
      <x:c r="B319" s="23" t="n">
        <x:v>46696</x:v>
      </x:c>
      <x:c r="C319" s="20" t="str">
        <x:v>scn-0316-rent-payment-l029-20271105.jpg</x:v>
      </x:c>
      <x:c r="D319" s="20" t="str">
        <x:v>Money order</x:v>
      </x:c>
      <x:c r="E319" s="20" t="str">
        <x:v>Payment</x:v>
      </x:c>
      <x:c r="F319" s="35" t="str">
        <x:v>Direct scan draft matched to tenant account and charge</x:v>
      </x:c>
      <x:c r="G319" s="20" t="str">
        <x:v>Camera JPEG</x:v>
      </x:c>
      <x:c r="H319" s="20" t="str">
        <x:v>1 image</x:v>
      </x:c>
      <x:c r="I319" s="35" t="str">
        <x:v>phone camera; amount box, written amount, memo, and endorsement visible</x:v>
      </x:c>
      <x:c r="J319" s="20" t="str">
        <x:v>P025</x:v>
      </x:c>
      <x:c r="K319" s="20" t="str">
        <x:v>U029</x:v>
      </x:c>
      <x:c r="L319" s="20" t="str">
        <x:v>L029</x:v>
      </x:c>
      <x:c r="M319" s="20" t="str">
        <x:v>FIN-00903</x:v>
      </x:c>
      <x:c r="N319" s="35" t="str">
        <x:v>payer; amount; date; check/money-order number; memo; property; unit; lease match</x:v>
      </x:c>
      <x:c r="O319" s="35" t="str"/>
      <x:c r="P319" s="35" t="str">
        <x:v>Use a different receipt on the other client to exercise the manual payment form.</x:v>
      </x:c>
      <x:c r="Q319" s="35" t="str">
        <x:v>Synthetic QA only; no real people, accounts, signatures, or properties</x:v>
      </x:c>
    </x:row>
    <x:row r="320">
      <x:c r="A320" s="20" t="str">
        <x:v>SCN-0317</x:v>
      </x:c>
      <x:c r="B320" s="23" t="n">
        <x:v>46696</x:v>
      </x:c>
      <x:c r="C320" s="20" t="str">
        <x:v>scn-0317-rent-payment-l032-20271105.pdf</x:v>
      </x:c>
      <x:c r="D320" s="20" t="str">
        <x:v>Rent check</x:v>
      </x:c>
      <x:c r="E320" s="20" t="str">
        <x:v>Payment</x:v>
      </x:c>
      <x:c r="F320" s="35" t="str">
        <x:v>Direct scan draft matched to tenant account and charge</x:v>
      </x:c>
      <x:c r="G320" s="20" t="str">
        <x:v>PDF</x:v>
      </x:c>
      <x:c r="H320" s="20" t="str">
        <x:v>1 image</x:v>
      </x:c>
      <x:c r="I320" s="35" t="str">
        <x:v>phone camera; amount box, written amount, memo, and endorsement visible</x:v>
      </x:c>
      <x:c r="J320" s="20" t="str">
        <x:v>P026</x:v>
      </x:c>
      <x:c r="K320" s="20" t="str">
        <x:v>U032</x:v>
      </x:c>
      <x:c r="L320" s="20" t="str">
        <x:v>L032</x:v>
      </x:c>
      <x:c r="M320" s="20" t="str">
        <x:v>FIN-00909</x:v>
      </x:c>
      <x:c r="N320" s="35" t="str">
        <x:v>payer; amount; date; check/money-order number; memo; property; unit; lease match</x:v>
      </x:c>
      <x:c r="O320" s="35" t="str"/>
      <x:c r="P320" s="35" t="str">
        <x:v>Use a different receipt on the other client to exercise the manual payment form.</x:v>
      </x:c>
      <x:c r="Q320" s="35" t="str">
        <x:v>Synthetic QA only; no real people, accounts, signatures, or properties</x:v>
      </x:c>
    </x:row>
    <x:row r="321">
      <x:c r="A321" s="20" t="str">
        <x:v>SCN-0318</x:v>
      </x:c>
      <x:c r="B321" s="23" t="n">
        <x:v>46694</x:v>
      </x:c>
      <x:c r="C321" s="20" t="str">
        <x:v>scn-0318-rent-payment-l033-20271103.jpg</x:v>
      </x:c>
      <x:c r="D321" s="20" t="str">
        <x:v>Money order</x:v>
      </x:c>
      <x:c r="E321" s="20" t="str">
        <x:v>Payment</x:v>
      </x:c>
      <x:c r="F321" s="35" t="str">
        <x:v>Direct scan draft matched to tenant account and charge</x:v>
      </x:c>
      <x:c r="G321" s="20" t="str">
        <x:v>Camera JPEG</x:v>
      </x:c>
      <x:c r="H321" s="20" t="str">
        <x:v>1 image</x:v>
      </x:c>
      <x:c r="I321" s="35" t="str">
        <x:v>phone camera; amount box, written amount, memo, and endorsement visible</x:v>
      </x:c>
      <x:c r="J321" s="20" t="str">
        <x:v>P027</x:v>
      </x:c>
      <x:c r="K321" s="20" t="str">
        <x:v>U033</x:v>
      </x:c>
      <x:c r="L321" s="20" t="str">
        <x:v>L033</x:v>
      </x:c>
      <x:c r="M321" s="20" t="str">
        <x:v>FIN-00911</x:v>
      </x:c>
      <x:c r="N321" s="35" t="str">
        <x:v>payer; amount; date; check/money-order number; memo; property; unit; lease match</x:v>
      </x:c>
      <x:c r="O321" s="35" t="str"/>
      <x:c r="P321" s="35" t="str">
        <x:v>Use a different receipt on the other client to exercise the manual payment form.</x:v>
      </x:c>
      <x:c r="Q321" s="35" t="str">
        <x:v>Synthetic QA only; no real people, accounts, signatures, or properties</x:v>
      </x:c>
    </x:row>
    <x:row r="322">
      <x:c r="A322" s="20" t="str">
        <x:v>SCN-0319</x:v>
      </x:c>
      <x:c r="B322" s="23" t="n">
        <x:v>46694</x:v>
      </x:c>
      <x:c r="C322" s="20" t="str">
        <x:v>scn-0319-rent-payment-l036-20271103.pdf</x:v>
      </x:c>
      <x:c r="D322" s="20" t="str">
        <x:v>Rent check</x:v>
      </x:c>
      <x:c r="E322" s="20" t="str">
        <x:v>Payment</x:v>
      </x:c>
      <x:c r="F322" s="35" t="str">
        <x:v>Direct scan draft matched to tenant account and charge</x:v>
      </x:c>
      <x:c r="G322" s="20" t="str">
        <x:v>PDF</x:v>
      </x:c>
      <x:c r="H322" s="20" t="str">
        <x:v>1 image</x:v>
      </x:c>
      <x:c r="I322" s="35" t="str">
        <x:v>phone camera; amount box, written amount, memo, and endorsement visible</x:v>
      </x:c>
      <x:c r="J322" s="20" t="str">
        <x:v>P028</x:v>
      </x:c>
      <x:c r="K322" s="20" t="str">
        <x:v>U036</x:v>
      </x:c>
      <x:c r="L322" s="20" t="str">
        <x:v>L036</x:v>
      </x:c>
      <x:c r="M322" s="20" t="str">
        <x:v>FIN-00919</x:v>
      </x:c>
      <x:c r="N322" s="35" t="str">
        <x:v>payer; amount; date; check/money-order number; memo; property; unit; lease match</x:v>
      </x:c>
      <x:c r="O322" s="35" t="str"/>
      <x:c r="P322" s="35" t="str">
        <x:v>Use a different receipt on the other client to exercise the manual payment form.</x:v>
      </x:c>
      <x:c r="Q322" s="35" t="str">
        <x:v>Synthetic QA only; no real people, accounts, signatures, or properties</x:v>
      </x:c>
    </x:row>
    <x:row r="323">
      <x:c r="A323" s="20" t="str">
        <x:v>SCN-0320</x:v>
      </x:c>
      <x:c r="B323" s="23" t="n">
        <x:v>46695</x:v>
      </x:c>
      <x:c r="C323" s="20" t="str">
        <x:v>scn-0320-rent-payment-l037-20271104.jpg</x:v>
      </x:c>
      <x:c r="D323" s="20" t="str">
        <x:v>Money order</x:v>
      </x:c>
      <x:c r="E323" s="20" t="str">
        <x:v>Payment</x:v>
      </x:c>
      <x:c r="F323" s="35" t="str">
        <x:v>Direct scan draft matched to tenant account and charge</x:v>
      </x:c>
      <x:c r="G323" s="20" t="str">
        <x:v>Camera JPEG</x:v>
      </x:c>
      <x:c r="H323" s="20" t="str">
        <x:v>1 image</x:v>
      </x:c>
      <x:c r="I323" s="35" t="str">
        <x:v>phone camera; amount box, written amount, memo, and endorsement visible</x:v>
      </x:c>
      <x:c r="J323" s="20" t="str">
        <x:v>P005</x:v>
      </x:c>
      <x:c r="K323" s="20" t="str">
        <x:v>U005</x:v>
      </x:c>
      <x:c r="L323" s="20" t="str">
        <x:v>L037</x:v>
      </x:c>
      <x:c r="M323" s="20" t="str">
        <x:v>FIN-00921</x:v>
      </x:c>
      <x:c r="N323" s="35" t="str">
        <x:v>payer; amount; date; check/money-order number; memo; property; unit; lease match</x:v>
      </x:c>
      <x:c r="O323" s="35" t="str"/>
      <x:c r="P323" s="35" t="str">
        <x:v>Use a different receipt on the other client to exercise the manual payment form.</x:v>
      </x:c>
      <x:c r="Q323" s="35" t="str">
        <x:v>Synthetic QA only; no real people, accounts, signatures, or properties</x:v>
      </x:c>
    </x:row>
    <x:row r="324">
      <x:c r="A324" s="20" t="str">
        <x:v>SCN-0321</x:v>
      </x:c>
      <x:c r="B324" s="23" t="n">
        <x:v>46695</x:v>
      </x:c>
      <x:c r="C324" s="20" t="str">
        <x:v>scn-0321-rent-payment-l040-20271104.pdf</x:v>
      </x:c>
      <x:c r="D324" s="20" t="str">
        <x:v>Rent check</x:v>
      </x:c>
      <x:c r="E324" s="20" t="str">
        <x:v>Payment</x:v>
      </x:c>
      <x:c r="F324" s="35" t="str">
        <x:v>Direct scan draft matched to tenant account and charge</x:v>
      </x:c>
      <x:c r="G324" s="20" t="str">
        <x:v>PDF</x:v>
      </x:c>
      <x:c r="H324" s="20" t="str">
        <x:v>1 image</x:v>
      </x:c>
      <x:c r="I324" s="35" t="str">
        <x:v>phone camera; amount box, written amount, memo, and endorsement visible</x:v>
      </x:c>
      <x:c r="J324" s="20" t="str">
        <x:v>P021</x:v>
      </x:c>
      <x:c r="K324" s="20" t="str">
        <x:v>U022</x:v>
      </x:c>
      <x:c r="L324" s="20" t="str">
        <x:v>L040</x:v>
      </x:c>
      <x:c r="M324" s="20" t="str">
        <x:v>FIN-00928</x:v>
      </x:c>
      <x:c r="N324" s="35" t="str">
        <x:v>payer; amount; date; check/money-order number; memo; property; unit; lease match</x:v>
      </x:c>
      <x:c r="O324" s="35" t="str">
        <x:v>handwritten memo and similar tenant names</x:v>
      </x:c>
      <x:c r="P324" s="35" t="str">
        <x:v>Use a different receipt on the other client to exercise the manual payment form.</x:v>
      </x:c>
      <x:c r="Q324" s="35" t="str">
        <x:v>Synthetic QA only; no real people, accounts, signatures, or properties</x:v>
      </x:c>
    </x:row>
    <x:row r="325">
      <x:c r="A325" s="20" t="str">
        <x:v>SCN-0322</x:v>
      </x:c>
      <x:c r="B325" s="23" t="n">
        <x:v>46696</x:v>
      </x:c>
      <x:c r="C325" s="20" t="str">
        <x:v>scn-0322-rent-payment-l041-20271105.jpg</x:v>
      </x:c>
      <x:c r="D325" s="20" t="str">
        <x:v>Money order</x:v>
      </x:c>
      <x:c r="E325" s="20" t="str">
        <x:v>Payment</x:v>
      </x:c>
      <x:c r="F325" s="35" t="str">
        <x:v>Direct scan draft matched to tenant account and charge</x:v>
      </x:c>
      <x:c r="G325" s="20" t="str">
        <x:v>Camera JPEG</x:v>
      </x:c>
      <x:c r="H325" s="20" t="str">
        <x:v>1 image</x:v>
      </x:c>
      <x:c r="I325" s="35" t="str">
        <x:v>phone camera; amount box, written amount, memo, and endorsement visible</x:v>
      </x:c>
      <x:c r="J325" s="20" t="str">
        <x:v>P030</x:v>
      </x:c>
      <x:c r="K325" s="20" t="str">
        <x:v>U040</x:v>
      </x:c>
      <x:c r="L325" s="20" t="str">
        <x:v>L041</x:v>
      </x:c>
      <x:c r="M325" s="20" t="str">
        <x:v>FIN-00930</x:v>
      </x:c>
      <x:c r="N325" s="35" t="str">
        <x:v>payer; amount; date; check/money-order number; memo; property; unit; lease match</x:v>
      </x:c>
      <x:c r="O325" s="35" t="str"/>
      <x:c r="P325" s="35" t="str">
        <x:v>Use a different receipt on the other client to exercise the manual payment form.</x:v>
      </x:c>
      <x:c r="Q325" s="35" t="str">
        <x:v>Synthetic QA only; no real people, accounts, signatures, or properties</x:v>
      </x:c>
    </x:row>
    <x:row r="326">
      <x:c r="A326" s="20" t="str">
        <x:v>SCN-0323</x:v>
      </x:c>
      <x:c r="B326" s="23" t="n">
        <x:v>46694</x:v>
      </x:c>
      <x:c r="C326" s="20" t="str">
        <x:v>scn-0323-rent-payment-l044-20271103.pdf</x:v>
      </x:c>
      <x:c r="D326" s="20" t="str">
        <x:v>Rent check</x:v>
      </x:c>
      <x:c r="E326" s="20" t="str">
        <x:v>Payment</x:v>
      </x:c>
      <x:c r="F326" s="35" t="str">
        <x:v>Direct scan draft matched to tenant account and charge</x:v>
      </x:c>
      <x:c r="G326" s="20" t="str">
        <x:v>PDF</x:v>
      </x:c>
      <x:c r="H326" s="20" t="str">
        <x:v>1 image</x:v>
      </x:c>
      <x:c r="I326" s="35" t="str">
        <x:v>phone camera; amount box, written amount, memo, and endorsement visible</x:v>
      </x:c>
      <x:c r="J326" s="20" t="str">
        <x:v>P029</x:v>
      </x:c>
      <x:c r="K326" s="20" t="str">
        <x:v>U038</x:v>
      </x:c>
      <x:c r="L326" s="20" t="str">
        <x:v>L044</x:v>
      </x:c>
      <x:c r="M326" s="20" t="str">
        <x:v>FIN-00934</x:v>
      </x:c>
      <x:c r="N326" s="35" t="str">
        <x:v>payer; amount; date; check/money-order number; memo; property; unit; lease match</x:v>
      </x:c>
      <x:c r="O326" s="35" t="str"/>
      <x:c r="P326" s="35" t="str">
        <x:v>Use a different receipt on the other client to exercise the manual payment form.</x:v>
      </x:c>
      <x:c r="Q326" s="35" t="str">
        <x:v>Synthetic QA only; no real people, accounts, signatures, or properties</x:v>
      </x:c>
    </x:row>
    <x:row r="327">
      <x:c r="A327" s="20" t="str">
        <x:v>SCN-0324</x:v>
      </x:c>
      <x:c r="B327" s="23" t="n">
        <x:v>46694</x:v>
      </x:c>
      <x:c r="C327" s="20" t="str">
        <x:v>scn-0324-rent-payment-l045-20271103.jpg</x:v>
      </x:c>
      <x:c r="D327" s="20" t="str">
        <x:v>Money order</x:v>
      </x:c>
      <x:c r="E327" s="20" t="str">
        <x:v>Payment</x:v>
      </x:c>
      <x:c r="F327" s="35" t="str">
        <x:v>Direct scan draft matched to tenant account and charge</x:v>
      </x:c>
      <x:c r="G327" s="20" t="str">
        <x:v>Camera JPEG</x:v>
      </x:c>
      <x:c r="H327" s="20" t="str">
        <x:v>1 image</x:v>
      </x:c>
      <x:c r="I327" s="35" t="str">
        <x:v>phone camera; amount box, written amount, memo, and endorsement visible</x:v>
      </x:c>
      <x:c r="J327" s="20" t="str">
        <x:v>P030</x:v>
      </x:c>
      <x:c r="K327" s="20" t="str">
        <x:v>U039</x:v>
      </x:c>
      <x:c r="L327" s="20" t="str">
        <x:v>L045</x:v>
      </x:c>
      <x:c r="M327" s="20" t="str">
        <x:v>FIN-00938</x:v>
      </x:c>
      <x:c r="N327" s="35" t="str">
        <x:v>payer; amount; date; check/money-order number; memo; property; unit; lease match</x:v>
      </x:c>
      <x:c r="O327" s="35" t="str">
        <x:v>handwritten memo and similar tenant names</x:v>
      </x:c>
      <x:c r="P327" s="35" t="str">
        <x:v>Use a different receipt on the other client to exercise the manual payment form.</x:v>
      </x:c>
      <x:c r="Q327" s="35" t="str">
        <x:v>Synthetic QA only; no real people, accounts, signatures, or properties</x:v>
      </x:c>
    </x:row>
    <x:row r="328">
      <x:c r="A328" s="20" t="str">
        <x:v>SCN-0325</x:v>
      </x:c>
      <x:c r="B328" s="23" t="n">
        <x:v>46725</x:v>
      </x:c>
      <x:c r="C328" s="20" t="str">
        <x:v>scn-0325-rent-payment-l001-20271204.jpg</x:v>
      </x:c>
      <x:c r="D328" s="20" t="str">
        <x:v>Money order</x:v>
      </x:c>
      <x:c r="E328" s="20" t="str">
        <x:v>Payment</x:v>
      </x:c>
      <x:c r="F328" s="35" t="str">
        <x:v>Direct scan draft matched to tenant account and charge</x:v>
      </x:c>
      <x:c r="G328" s="20" t="str">
        <x:v>Camera JPEG</x:v>
      </x:c>
      <x:c r="H328" s="20" t="str">
        <x:v>1 image</x:v>
      </x:c>
      <x:c r="I328" s="35" t="str">
        <x:v>phone camera; amount box, written amount, memo, and endorsement visible</x:v>
      </x:c>
      <x:c r="J328" s="20" t="str">
        <x:v>P001</x:v>
      </x:c>
      <x:c r="K328" s="20" t="str">
        <x:v>U001</x:v>
      </x:c>
      <x:c r="L328" s="20" t="str">
        <x:v>L001</x:v>
      </x:c>
      <x:c r="M328" s="20" t="str">
        <x:v>FIN-00940</x:v>
      </x:c>
      <x:c r="N328" s="35" t="str">
        <x:v>payer; amount; date; check/money-order number; memo; property; unit; lease match</x:v>
      </x:c>
      <x:c r="O328" s="35" t="str"/>
      <x:c r="P328" s="35" t="str">
        <x:v>Use a different receipt on the other client to exercise the manual payment form.</x:v>
      </x:c>
      <x:c r="Q328" s="35" t="str">
        <x:v>Synthetic QA only; no real people, accounts, signatures, or properties</x:v>
      </x:c>
    </x:row>
    <x:row r="329">
      <x:c r="A329" s="20" t="str">
        <x:v>SCN-0326</x:v>
      </x:c>
      <x:c r="B329" s="23" t="n">
        <x:v>46725</x:v>
      </x:c>
      <x:c r="C329" s="20" t="str">
        <x:v>scn-0326-rent-payment-l004-20271204.pdf</x:v>
      </x:c>
      <x:c r="D329" s="20" t="str">
        <x:v>Rent check</x:v>
      </x:c>
      <x:c r="E329" s="20" t="str">
        <x:v>Payment</x:v>
      </x:c>
      <x:c r="F329" s="35" t="str">
        <x:v>Direct scan draft matched to tenant account and charge</x:v>
      </x:c>
      <x:c r="G329" s="20" t="str">
        <x:v>PDF</x:v>
      </x:c>
      <x:c r="H329" s="20" t="str">
        <x:v>1 image</x:v>
      </x:c>
      <x:c r="I329" s="35" t="str">
        <x:v>phone camera; amount box, written amount, memo, and endorsement visible</x:v>
      </x:c>
      <x:c r="J329" s="20" t="str">
        <x:v>P004</x:v>
      </x:c>
      <x:c r="K329" s="20" t="str">
        <x:v>U004</x:v>
      </x:c>
      <x:c r="L329" s="20" t="str">
        <x:v>L004</x:v>
      </x:c>
      <x:c r="M329" s="20" t="str">
        <x:v>FIN-00944</x:v>
      </x:c>
      <x:c r="N329" s="35" t="str">
        <x:v>payer; amount; date; check/money-order number; memo; property; unit; lease match</x:v>
      </x:c>
      <x:c r="O329" s="35" t="str"/>
      <x:c r="P329" s="35" t="str">
        <x:v>Use a different receipt on the other client to exercise the manual payment form.</x:v>
      </x:c>
      <x:c r="Q329" s="35" t="str">
        <x:v>Synthetic QA only; no real people, accounts, signatures, or properties</x:v>
      </x:c>
    </x:row>
    <x:row r="330">
      <x:c r="A330" s="20" t="str">
        <x:v>SCN-0327</x:v>
      </x:c>
      <x:c r="B330" s="23" t="n">
        <x:v>46724</x:v>
      </x:c>
      <x:c r="C330" s="20" t="str">
        <x:v>scn-0327-rent-payment-l009-20271203.jpg</x:v>
      </x:c>
      <x:c r="D330" s="20" t="str">
        <x:v>Money order</x:v>
      </x:c>
      <x:c r="E330" s="20" t="str">
        <x:v>Payment</x:v>
      </x:c>
      <x:c r="F330" s="35" t="str">
        <x:v>Direct scan draft matched to tenant account and charge</x:v>
      </x:c>
      <x:c r="G330" s="20" t="str">
        <x:v>Camera JPEG</x:v>
      </x:c>
      <x:c r="H330" s="20" t="str">
        <x:v>1 image</x:v>
      </x:c>
      <x:c r="I330" s="35" t="str">
        <x:v>phone camera; amount box, written amount, memo, and endorsement visible</x:v>
      </x:c>
      <x:c r="J330" s="20" t="str">
        <x:v>P009</x:v>
      </x:c>
      <x:c r="K330" s="20" t="str">
        <x:v>U009</x:v>
      </x:c>
      <x:c r="L330" s="20" t="str">
        <x:v>L009</x:v>
      </x:c>
      <x:c r="M330" s="20" t="str">
        <x:v>FIN-00950</x:v>
      </x:c>
      <x:c r="N330" s="35" t="str">
        <x:v>payer; amount; date; check/money-order number; memo; property; unit; lease match</x:v>
      </x:c>
      <x:c r="O330" s="35" t="str"/>
      <x:c r="P330" s="35" t="str">
        <x:v>Use a different receipt on the other client to exercise the manual payment form.</x:v>
      </x:c>
      <x:c r="Q330" s="35" t="str">
        <x:v>Synthetic QA only; no real people, accounts, signatures, or properties</x:v>
      </x:c>
    </x:row>
    <x:row r="331">
      <x:c r="A331" s="20" t="str">
        <x:v>SCN-0328</x:v>
      </x:c>
      <x:c r="B331" s="23" t="n">
        <x:v>46733</x:v>
      </x:c>
      <x:c r="C331" s="20" t="str">
        <x:v>scn-0328-rent-payment-l011-20271212.jpg</x:v>
      </x:c>
      <x:c r="D331" s="20" t="str">
        <x:v>Money order</x:v>
      </x:c>
      <x:c r="E331" s="20" t="str">
        <x:v>Payment</x:v>
      </x:c>
      <x:c r="F331" s="35" t="str">
        <x:v>Direct scan draft matched to tenant account and charge</x:v>
      </x:c>
      <x:c r="G331" s="20" t="str">
        <x:v>Camera JPEG</x:v>
      </x:c>
      <x:c r="H331" s="20" t="str">
        <x:v>1 image</x:v>
      </x:c>
      <x:c r="I331" s="35" t="str">
        <x:v>phone camera; amount box, written amount, memo, and endorsement visible</x:v>
      </x:c>
      <x:c r="J331" s="20" t="str">
        <x:v>P011</x:v>
      </x:c>
      <x:c r="K331" s="20" t="str">
        <x:v>U011</x:v>
      </x:c>
      <x:c r="L331" s="20" t="str">
        <x:v>L011</x:v>
      </x:c>
      <x:c r="M331" s="20" t="str">
        <x:v>FIN-00956</x:v>
      </x:c>
      <x:c r="N331" s="35" t="str">
        <x:v>payer; amount; date; check/money-order number; memo; property; unit; lease match</x:v>
      </x:c>
      <x:c r="O331" s="35" t="str"/>
      <x:c r="P331" s="35" t="str">
        <x:v>Use a different receipt on the other client to exercise the manual payment form.</x:v>
      </x:c>
      <x:c r="Q331" s="35" t="str">
        <x:v>Synthetic QA only; no real people, accounts, signatures, or properties</x:v>
      </x:c>
    </x:row>
    <x:row r="332">
      <x:c r="A332" s="20" t="str">
        <x:v>SCN-0329</x:v>
      </x:c>
      <x:c r="B332" s="23" t="n">
        <x:v>46724</x:v>
      </x:c>
      <x:c r="C332" s="20" t="str">
        <x:v>scn-0329-rent-payment-l012-20271203.pdf</x:v>
      </x:c>
      <x:c r="D332" s="20" t="str">
        <x:v>Rent check</x:v>
      </x:c>
      <x:c r="E332" s="20" t="str">
        <x:v>Payment</x:v>
      </x:c>
      <x:c r="F332" s="35" t="str">
        <x:v>Direct scan draft matched to tenant account and charge</x:v>
      </x:c>
      <x:c r="G332" s="20" t="str">
        <x:v>PDF</x:v>
      </x:c>
      <x:c r="H332" s="20" t="str">
        <x:v>1 image</x:v>
      </x:c>
      <x:c r="I332" s="35" t="str">
        <x:v>phone camera; amount box, written amount, memo, and endorsement visible</x:v>
      </x:c>
      <x:c r="J332" s="20" t="str">
        <x:v>P012</x:v>
      </x:c>
      <x:c r="K332" s="20" t="str">
        <x:v>U012</x:v>
      </x:c>
      <x:c r="L332" s="20" t="str">
        <x:v>L012</x:v>
      </x:c>
      <x:c r="M332" s="20" t="str">
        <x:v>FIN-00958</x:v>
      </x:c>
      <x:c r="N332" s="35" t="str">
        <x:v>payer; amount; date; check/money-order number; memo; property; unit; lease match</x:v>
      </x:c>
      <x:c r="O332" s="35" t="str"/>
      <x:c r="P332" s="35" t="str">
        <x:v>Use a different receipt on the other client to exercise the manual payment form.</x:v>
      </x:c>
      <x:c r="Q332" s="35" t="str">
        <x:v>Synthetic QA only; no real people, accounts, signatures, or properties</x:v>
      </x:c>
    </x:row>
    <x:row r="333">
      <x:c r="A333" s="20" t="str">
        <x:v>SCN-0330</x:v>
      </x:c>
      <x:c r="B333" s="23" t="n">
        <x:v>46729</x:v>
      </x:c>
      <x:c r="C333" s="20" t="str">
        <x:v>scn-0330-rent-payment-l013-20271208.pdf</x:v>
      </x:c>
      <x:c r="D333" s="20" t="str">
        <x:v>Rent check</x:v>
      </x:c>
      <x:c r="E333" s="20" t="str">
        <x:v>Payment</x:v>
      </x:c>
      <x:c r="F333" s="35" t="str">
        <x:v>Direct scan draft matched to tenant account and charge</x:v>
      </x:c>
      <x:c r="G333" s="20" t="str">
        <x:v>PDF</x:v>
      </x:c>
      <x:c r="H333" s="20" t="str">
        <x:v>1 image</x:v>
      </x:c>
      <x:c r="I333" s="35" t="str">
        <x:v>phone camera; amount box, written amount, memo, and endorsement visible</x:v>
      </x:c>
      <x:c r="J333" s="20" t="str">
        <x:v>P013</x:v>
      </x:c>
      <x:c r="K333" s="20" t="str">
        <x:v>U013</x:v>
      </x:c>
      <x:c r="L333" s="20" t="str">
        <x:v>L013</x:v>
      </x:c>
      <x:c r="M333" s="20" t="str">
        <x:v>FIN-00961</x:v>
      </x:c>
      <x:c r="N333" s="35" t="str">
        <x:v>payer; amount; date; check/money-order number; memo; property; unit; lease match</x:v>
      </x:c>
      <x:c r="O333" s="35" t="str"/>
      <x:c r="P333" s="35" t="str">
        <x:v>Use a different receipt on the other client to exercise the manual payment form.</x:v>
      </x:c>
      <x:c r="Q333" s="35" t="str">
        <x:v>Synthetic QA only; no real people, accounts, signatures, or properties</x:v>
      </x:c>
    </x:row>
    <x:row r="334">
      <x:c r="A334" s="20" t="str">
        <x:v>SCN-0331</x:v>
      </x:c>
      <x:c r="B334" s="23" t="n">
        <x:v>46725</x:v>
      </x:c>
      <x:c r="C334" s="20" t="str">
        <x:v>scn-0331-rent-payment-l016-20271204.pdf</x:v>
      </x:c>
      <x:c r="D334" s="20" t="str">
        <x:v>Rent check</x:v>
      </x:c>
      <x:c r="E334" s="20" t="str">
        <x:v>Payment</x:v>
      </x:c>
      <x:c r="F334" s="35" t="str">
        <x:v>Direct scan draft matched to tenant account and charge</x:v>
      </x:c>
      <x:c r="G334" s="20" t="str">
        <x:v>PDF</x:v>
      </x:c>
      <x:c r="H334" s="20" t="str">
        <x:v>1 image</x:v>
      </x:c>
      <x:c r="I334" s="35" t="str">
        <x:v>phone camera; amount box, written amount, memo, and endorsement visible</x:v>
      </x:c>
      <x:c r="J334" s="20" t="str">
        <x:v>P016</x:v>
      </x:c>
      <x:c r="K334" s="20" t="str">
        <x:v>U016</x:v>
      </x:c>
      <x:c r="L334" s="20" t="str">
        <x:v>L016</x:v>
      </x:c>
      <x:c r="M334" s="20" t="str">
        <x:v>FIN-00965</x:v>
      </x:c>
      <x:c r="N334" s="35" t="str">
        <x:v>payer; amount; date; check/money-order number; memo; property; unit; lease match</x:v>
      </x:c>
      <x:c r="O334" s="35" t="str"/>
      <x:c r="P334" s="35" t="str">
        <x:v>Use a different receipt on the other client to exercise the manual payment form.</x:v>
      </x:c>
      <x:c r="Q334" s="35" t="str">
        <x:v>Synthetic QA only; no real people, accounts, signatures, or properties</x:v>
      </x:c>
    </x:row>
    <x:row r="335">
      <x:c r="A335" s="20" t="str">
        <x:v>SCN-0332</x:v>
      </x:c>
      <x:c r="B335" s="23" t="n">
        <x:v>46726</x:v>
      </x:c>
      <x:c r="C335" s="20" t="str">
        <x:v>scn-0332-rent-payment-l020-20271205.pdf</x:v>
      </x:c>
      <x:c r="D335" s="20" t="str">
        <x:v>Rent check</x:v>
      </x:c>
      <x:c r="E335" s="20" t="str">
        <x:v>Payment</x:v>
      </x:c>
      <x:c r="F335" s="35" t="str">
        <x:v>Direct scan draft matched to tenant account and charge</x:v>
      </x:c>
      <x:c r="G335" s="20" t="str">
        <x:v>PDF</x:v>
      </x:c>
      <x:c r="H335" s="20" t="str">
        <x:v>1 image</x:v>
      </x:c>
      <x:c r="I335" s="35" t="str">
        <x:v>phone camera; amount box, written amount, memo, and endorsement visible</x:v>
      </x:c>
      <x:c r="J335" s="20" t="str">
        <x:v>P020</x:v>
      </x:c>
      <x:c r="K335" s="20" t="str">
        <x:v>U020</x:v>
      </x:c>
      <x:c r="L335" s="20" t="str">
        <x:v>L020</x:v>
      </x:c>
      <x:c r="M335" s="20" t="str">
        <x:v>FIN-00971</x:v>
      </x:c>
      <x:c r="N335" s="35" t="str">
        <x:v>payer; amount; date; check/money-order number; memo; property; unit; lease match</x:v>
      </x:c>
      <x:c r="O335" s="35" t="str">
        <x:v>handwritten memo and similar tenant names</x:v>
      </x:c>
      <x:c r="P335" s="35" t="str">
        <x:v>Use a different receipt on the other client to exercise the manual payment form.</x:v>
      </x:c>
      <x:c r="Q335" s="35" t="str">
        <x:v>Synthetic QA only; no real people, accounts, signatures, or properties</x:v>
      </x:c>
    </x:row>
    <x:row r="336">
      <x:c r="A336" s="20" t="str">
        <x:v>SCN-0333</x:v>
      </x:c>
      <x:c r="B336" s="23" t="n">
        <x:v>46724</x:v>
      </x:c>
      <x:c r="C336" s="20" t="str">
        <x:v>scn-0333-rent-payment-l021-20271203.jpg</x:v>
      </x:c>
      <x:c r="D336" s="20" t="str">
        <x:v>Money order</x:v>
      </x:c>
      <x:c r="E336" s="20" t="str">
        <x:v>Payment</x:v>
      </x:c>
      <x:c r="F336" s="35" t="str">
        <x:v>Direct scan draft matched to tenant account and charge</x:v>
      </x:c>
      <x:c r="G336" s="20" t="str">
        <x:v>Camera JPEG</x:v>
      </x:c>
      <x:c r="H336" s="20" t="str">
        <x:v>1 image</x:v>
      </x:c>
      <x:c r="I336" s="35" t="str">
        <x:v>phone camera; amount box, written amount, memo, and endorsement visible</x:v>
      </x:c>
      <x:c r="J336" s="20" t="str">
        <x:v>P021</x:v>
      </x:c>
      <x:c r="K336" s="20" t="str">
        <x:v>U021</x:v>
      </x:c>
      <x:c r="L336" s="20" t="str">
        <x:v>L021</x:v>
      </x:c>
      <x:c r="M336" s="20" t="str">
        <x:v>FIN-00973</x:v>
      </x:c>
      <x:c r="N336" s="35" t="str">
        <x:v>payer; amount; date; check/money-order number; memo; property; unit; lease match</x:v>
      </x:c>
      <x:c r="O336" s="35" t="str"/>
      <x:c r="P336" s="35" t="str">
        <x:v>Use a different receipt on the other client to exercise the manual payment form.</x:v>
      </x:c>
      <x:c r="Q336" s="35" t="str">
        <x:v>Synthetic QA only; no real people, accounts, signatures, or properties</x:v>
      </x:c>
    </x:row>
    <x:row r="337">
      <x:c r="A337" s="20" t="str">
        <x:v>SCN-0334</x:v>
      </x:c>
      <x:c r="B337" s="23" t="n">
        <x:v>46724</x:v>
      </x:c>
      <x:c r="C337" s="20" t="str">
        <x:v>scn-0334-rent-payment-l024-20271203.pdf</x:v>
      </x:c>
      <x:c r="D337" s="20" t="str">
        <x:v>Rent check</x:v>
      </x:c>
      <x:c r="E337" s="20" t="str">
        <x:v>Payment</x:v>
      </x:c>
      <x:c r="F337" s="35" t="str">
        <x:v>Direct scan draft matched to tenant account and charge</x:v>
      </x:c>
      <x:c r="G337" s="20" t="str">
        <x:v>PDF</x:v>
      </x:c>
      <x:c r="H337" s="20" t="str">
        <x:v>1 image</x:v>
      </x:c>
      <x:c r="I337" s="35" t="str">
        <x:v>phone camera; amount box, written amount, memo, and endorsement visible</x:v>
      </x:c>
      <x:c r="J337" s="20" t="str">
        <x:v>P022</x:v>
      </x:c>
      <x:c r="K337" s="20" t="str">
        <x:v>U024</x:v>
      </x:c>
      <x:c r="L337" s="20" t="str">
        <x:v>L024</x:v>
      </x:c>
      <x:c r="M337" s="20" t="str">
        <x:v>FIN-00977</x:v>
      </x:c>
      <x:c r="N337" s="35" t="str">
        <x:v>payer; amount; date; check/money-order number; memo; property; unit; lease match</x:v>
      </x:c>
      <x:c r="O337" s="35" t="str"/>
      <x:c r="P337" s="35" t="str">
        <x:v>Use a different receipt on the other client to exercise the manual payment form.</x:v>
      </x:c>
      <x:c r="Q337" s="35" t="str">
        <x:v>Synthetic QA only; no real people, accounts, signatures, or properties</x:v>
      </x:c>
    </x:row>
    <x:row r="338">
      <x:c r="A338" s="20" t="str">
        <x:v>SCN-0335</x:v>
      </x:c>
      <x:c r="B338" s="23" t="n">
        <x:v>46725</x:v>
      </x:c>
      <x:c r="C338" s="20" t="str">
        <x:v>scn-0335-rent-payment-l025-20271204.jpg</x:v>
      </x:c>
      <x:c r="D338" s="20" t="str">
        <x:v>Money order</x:v>
      </x:c>
      <x:c r="E338" s="20" t="str">
        <x:v>Payment</x:v>
      </x:c>
      <x:c r="F338" s="35" t="str">
        <x:v>Direct scan draft matched to tenant account and charge</x:v>
      </x:c>
      <x:c r="G338" s="20" t="str">
        <x:v>Camera JPEG</x:v>
      </x:c>
      <x:c r="H338" s="20" t="str">
        <x:v>1 image</x:v>
      </x:c>
      <x:c r="I338" s="35" t="str">
        <x:v>phone camera; amount box, written amount, memo, and endorsement visible</x:v>
      </x:c>
      <x:c r="J338" s="20" t="str">
        <x:v>P023</x:v>
      </x:c>
      <x:c r="K338" s="20" t="str">
        <x:v>U025</x:v>
      </x:c>
      <x:c r="L338" s="20" t="str">
        <x:v>L025</x:v>
      </x:c>
      <x:c r="M338" s="20" t="str">
        <x:v>FIN-00979</x:v>
      </x:c>
      <x:c r="N338" s="35" t="str">
        <x:v>payer; amount; date; check/money-order number; memo; property; unit; lease match</x:v>
      </x:c>
      <x:c r="O338" s="35" t="str">
        <x:v>handwritten memo and similar tenant names</x:v>
      </x:c>
      <x:c r="P338" s="35" t="str">
        <x:v>Use a different receipt on the other client to exercise the manual payment form.</x:v>
      </x:c>
      <x:c r="Q338" s="35" t="str">
        <x:v>Synthetic QA only; no real people, accounts, signatures, or properties</x:v>
      </x:c>
    </x:row>
    <x:row r="339">
      <x:c r="A339" s="20" t="str">
        <x:v>SCN-0336</x:v>
      </x:c>
      <x:c r="B339" s="23" t="n">
        <x:v>46729</x:v>
      </x:c>
      <x:c r="C339" s="20" t="str">
        <x:v>scn-0336-rent-payment-l026-20271208.jpg</x:v>
      </x:c>
      <x:c r="D339" s="20" t="str">
        <x:v>Money order</x:v>
      </x:c>
      <x:c r="E339" s="20" t="str">
        <x:v>Payment</x:v>
      </x:c>
      <x:c r="F339" s="35" t="str">
        <x:v>Direct scan draft matched to tenant account and charge</x:v>
      </x:c>
      <x:c r="G339" s="20" t="str">
        <x:v>Camera JPEG</x:v>
      </x:c>
      <x:c r="H339" s="20" t="str">
        <x:v>1 image</x:v>
      </x:c>
      <x:c r="I339" s="35" t="str">
        <x:v>phone camera; amount box, written amount, memo, and endorsement visible</x:v>
      </x:c>
      <x:c r="J339" s="20" t="str">
        <x:v>P023</x:v>
      </x:c>
      <x:c r="K339" s="20" t="str">
        <x:v>U026</x:v>
      </x:c>
      <x:c r="L339" s="20" t="str">
        <x:v>L026</x:v>
      </x:c>
      <x:c r="M339" s="20" t="str">
        <x:v>FIN-00982</x:v>
      </x:c>
      <x:c r="N339" s="35" t="str">
        <x:v>payer; amount; date; check/money-order number; memo; property; unit; lease match</x:v>
      </x:c>
      <x:c r="O339" s="35" t="str"/>
      <x:c r="P339" s="35" t="str">
        <x:v>Use a different receipt on the other client to exercise the manual payment form.</x:v>
      </x:c>
      <x:c r="Q339" s="35" t="str">
        <x:v>Synthetic QA only; no real people, accounts, signatures, or properties</x:v>
      </x:c>
    </x:row>
    <x:row r="340">
      <x:c r="A340" s="20" t="str">
        <x:v>SCN-0337</x:v>
      </x:c>
      <x:c r="B340" s="23" t="n">
        <x:v>46725</x:v>
      </x:c>
      <x:c r="C340" s="20" t="str">
        <x:v>scn-0337-rent-payment-l028-20271204.pdf</x:v>
      </x:c>
      <x:c r="D340" s="20" t="str">
        <x:v>Rent check</x:v>
      </x:c>
      <x:c r="E340" s="20" t="str">
        <x:v>Payment</x:v>
      </x:c>
      <x:c r="F340" s="35" t="str">
        <x:v>Direct scan draft matched to tenant account and charge</x:v>
      </x:c>
      <x:c r="G340" s="20" t="str">
        <x:v>PDF</x:v>
      </x:c>
      <x:c r="H340" s="20" t="str">
        <x:v>1 image</x:v>
      </x:c>
      <x:c r="I340" s="35" t="str">
        <x:v>phone camera; amount box, written amount, memo, and endorsement visible</x:v>
      </x:c>
      <x:c r="J340" s="20" t="str">
        <x:v>P024</x:v>
      </x:c>
      <x:c r="K340" s="20" t="str">
        <x:v>U028</x:v>
      </x:c>
      <x:c r="L340" s="20" t="str">
        <x:v>L028</x:v>
      </x:c>
      <x:c r="M340" s="20" t="str">
        <x:v>FIN-00986</x:v>
      </x:c>
      <x:c r="N340" s="35" t="str">
        <x:v>payer; amount; date; check/money-order number; memo; property; unit; lease match</x:v>
      </x:c>
      <x:c r="O340" s="35" t="str"/>
      <x:c r="P340" s="35" t="str">
        <x:v>Use a different receipt on the other client to exercise the manual payment form.</x:v>
      </x:c>
      <x:c r="Q340" s="35" t="str">
        <x:v>Synthetic QA only; no real people, accounts, signatures, or properties</x:v>
      </x:c>
    </x:row>
    <x:row r="341">
      <x:c r="A341" s="20" t="str">
        <x:v>SCN-0338</x:v>
      </x:c>
      <x:c r="B341" s="23" t="n">
        <x:v>46726</x:v>
      </x:c>
      <x:c r="C341" s="20" t="str">
        <x:v>scn-0338-rent-payment-l029-20271205.jpg</x:v>
      </x:c>
      <x:c r="D341" s="20" t="str">
        <x:v>Money order</x:v>
      </x:c>
      <x:c r="E341" s="20" t="str">
        <x:v>Payment</x:v>
      </x:c>
      <x:c r="F341" s="35" t="str">
        <x:v>Direct scan draft matched to tenant account and charge</x:v>
      </x:c>
      <x:c r="G341" s="20" t="str">
        <x:v>Camera JPEG</x:v>
      </x:c>
      <x:c r="H341" s="20" t="str">
        <x:v>1 image</x:v>
      </x:c>
      <x:c r="I341" s="35" t="str">
        <x:v>phone camera; amount box, written amount, memo, and endorsement visible</x:v>
      </x:c>
      <x:c r="J341" s="20" t="str">
        <x:v>P025</x:v>
      </x:c>
      <x:c r="K341" s="20" t="str">
        <x:v>U029</x:v>
      </x:c>
      <x:c r="L341" s="20" t="str">
        <x:v>L029</x:v>
      </x:c>
      <x:c r="M341" s="20" t="str">
        <x:v>FIN-00988</x:v>
      </x:c>
      <x:c r="N341" s="35" t="str">
        <x:v>payer; amount; date; check/money-order number; memo; property; unit; lease match</x:v>
      </x:c>
      <x:c r="O341" s="35" t="str"/>
      <x:c r="P341" s="35" t="str">
        <x:v>Use a different receipt on the other client to exercise the manual payment form.</x:v>
      </x:c>
      <x:c r="Q341" s="35" t="str">
        <x:v>Synthetic QA only; no real people, accounts, signatures, or properties</x:v>
      </x:c>
    </x:row>
    <x:row r="342">
      <x:c r="A342" s="20" t="str">
        <x:v>SCN-0339</x:v>
      </x:c>
      <x:c r="B342" s="23" t="n">
        <x:v>46726</x:v>
      </x:c>
      <x:c r="C342" s="20" t="str">
        <x:v>scn-0339-rent-payment-l032-20271205.pdf</x:v>
      </x:c>
      <x:c r="D342" s="20" t="str">
        <x:v>Rent check</x:v>
      </x:c>
      <x:c r="E342" s="20" t="str">
        <x:v>Payment</x:v>
      </x:c>
      <x:c r="F342" s="35" t="str">
        <x:v>Direct scan draft matched to tenant account and charge</x:v>
      </x:c>
      <x:c r="G342" s="20" t="str">
        <x:v>PDF</x:v>
      </x:c>
      <x:c r="H342" s="20" t="str">
        <x:v>1 image</x:v>
      </x:c>
      <x:c r="I342" s="35" t="str">
        <x:v>phone camera; amount box, written amount, memo, and endorsement visible</x:v>
      </x:c>
      <x:c r="J342" s="20" t="str">
        <x:v>P026</x:v>
      </x:c>
      <x:c r="K342" s="20" t="str">
        <x:v>U032</x:v>
      </x:c>
      <x:c r="L342" s="20" t="str">
        <x:v>L032</x:v>
      </x:c>
      <x:c r="M342" s="20" t="str">
        <x:v>FIN-00994</x:v>
      </x:c>
      <x:c r="N342" s="35" t="str">
        <x:v>payer; amount; date; check/money-order number; memo; property; unit; lease match</x:v>
      </x:c>
      <x:c r="O342" s="35" t="str"/>
      <x:c r="P342" s="35" t="str">
        <x:v>Use a different receipt on the other client to exercise the manual payment form.</x:v>
      </x:c>
      <x:c r="Q342" s="35" t="str">
        <x:v>Synthetic QA only; no real people, accounts, signatures, or properties</x:v>
      </x:c>
    </x:row>
    <x:row r="343">
      <x:c r="A343" s="20" t="str">
        <x:v>SCN-0340</x:v>
      </x:c>
      <x:c r="B343" s="23" t="n">
        <x:v>46724</x:v>
      </x:c>
      <x:c r="C343" s="20" t="str">
        <x:v>scn-0340-rent-payment-l033-20271203.jpg</x:v>
      </x:c>
      <x:c r="D343" s="20" t="str">
        <x:v>Money order</x:v>
      </x:c>
      <x:c r="E343" s="20" t="str">
        <x:v>Payment</x:v>
      </x:c>
      <x:c r="F343" s="35" t="str">
        <x:v>Direct scan draft matched to tenant account and charge</x:v>
      </x:c>
      <x:c r="G343" s="20" t="str">
        <x:v>Camera JPEG</x:v>
      </x:c>
      <x:c r="H343" s="20" t="str">
        <x:v>1 image</x:v>
      </x:c>
      <x:c r="I343" s="35" t="str">
        <x:v>phone camera; amount box, written amount, memo, and endorsement visible</x:v>
      </x:c>
      <x:c r="J343" s="20" t="str">
        <x:v>P027</x:v>
      </x:c>
      <x:c r="K343" s="20" t="str">
        <x:v>U033</x:v>
      </x:c>
      <x:c r="L343" s="20" t="str">
        <x:v>L033</x:v>
      </x:c>
      <x:c r="M343" s="20" t="str">
        <x:v>FIN-00996</x:v>
      </x:c>
      <x:c r="N343" s="35" t="str">
        <x:v>payer; amount; date; check/money-order number; memo; property; unit; lease match</x:v>
      </x:c>
      <x:c r="O343" s="35" t="str"/>
      <x:c r="P343" s="35" t="str">
        <x:v>Use a different receipt on the other client to exercise the manual payment form.</x:v>
      </x:c>
      <x:c r="Q343" s="35" t="str">
        <x:v>Synthetic QA only; no real people, accounts, signatures, or properties</x:v>
      </x:c>
    </x:row>
    <x:row r="344">
      <x:c r="A344" s="20" t="str">
        <x:v>SCN-0341</x:v>
      </x:c>
      <x:c r="B344" s="23" t="n">
        <x:v>46724</x:v>
      </x:c>
      <x:c r="C344" s="20" t="str">
        <x:v>scn-0341-rent-payment-l036-20271203.pdf</x:v>
      </x:c>
      <x:c r="D344" s="20" t="str">
        <x:v>Rent check</x:v>
      </x:c>
      <x:c r="E344" s="20" t="str">
        <x:v>Payment</x:v>
      </x:c>
      <x:c r="F344" s="35" t="str">
        <x:v>Direct scan draft matched to tenant account and charge</x:v>
      </x:c>
      <x:c r="G344" s="20" t="str">
        <x:v>PDF</x:v>
      </x:c>
      <x:c r="H344" s="20" t="str">
        <x:v>1 image</x:v>
      </x:c>
      <x:c r="I344" s="35" t="str">
        <x:v>phone camera; amount box, written amount, memo, and endorsement visible</x:v>
      </x:c>
      <x:c r="J344" s="20" t="str">
        <x:v>P028</x:v>
      </x:c>
      <x:c r="K344" s="20" t="str">
        <x:v>U036</x:v>
      </x:c>
      <x:c r="L344" s="20" t="str">
        <x:v>L036</x:v>
      </x:c>
      <x:c r="M344" s="20" t="str">
        <x:v>FIN-01002</x:v>
      </x:c>
      <x:c r="N344" s="35" t="str">
        <x:v>payer; amount; date; check/money-order number; memo; property; unit; lease match</x:v>
      </x:c>
      <x:c r="O344" s="35" t="str"/>
      <x:c r="P344" s="35" t="str">
        <x:v>Use a different receipt on the other client to exercise the manual payment form.</x:v>
      </x:c>
      <x:c r="Q344" s="35" t="str">
        <x:v>Synthetic QA only; no real people, accounts, signatures, or properties</x:v>
      </x:c>
    </x:row>
    <x:row r="345">
      <x:c r="A345" s="20" t="str">
        <x:v>SCN-0342</x:v>
      </x:c>
      <x:c r="B345" s="23" t="n">
        <x:v>46725</x:v>
      </x:c>
      <x:c r="C345" s="20" t="str">
        <x:v>scn-0342-rent-payment-l037-20271204.jpg</x:v>
      </x:c>
      <x:c r="D345" s="20" t="str">
        <x:v>Money order</x:v>
      </x:c>
      <x:c r="E345" s="20" t="str">
        <x:v>Payment</x:v>
      </x:c>
      <x:c r="F345" s="35" t="str">
        <x:v>Direct scan draft matched to tenant account and charge</x:v>
      </x:c>
      <x:c r="G345" s="20" t="str">
        <x:v>Camera JPEG</x:v>
      </x:c>
      <x:c r="H345" s="20" t="str">
        <x:v>1 image</x:v>
      </x:c>
      <x:c r="I345" s="35" t="str">
        <x:v>phone camera; amount box, written amount, memo, and endorsement visible</x:v>
      </x:c>
      <x:c r="J345" s="20" t="str">
        <x:v>P005</x:v>
      </x:c>
      <x:c r="K345" s="20" t="str">
        <x:v>U005</x:v>
      </x:c>
      <x:c r="L345" s="20" t="str">
        <x:v>L037</x:v>
      </x:c>
      <x:c r="M345" s="20" t="str">
        <x:v>FIN-01004</x:v>
      </x:c>
      <x:c r="N345" s="35" t="str">
        <x:v>payer; amount; date; check/money-order number; memo; property; unit; lease match</x:v>
      </x:c>
      <x:c r="O345" s="35" t="str"/>
      <x:c r="P345" s="35" t="str">
        <x:v>Use a different receipt on the other client to exercise the manual payment form.</x:v>
      </x:c>
      <x:c r="Q345" s="35" t="str">
        <x:v>Synthetic QA only; no real people, accounts, signatures, or properties</x:v>
      </x:c>
    </x:row>
    <x:row r="346">
      <x:c r="A346" s="20" t="str">
        <x:v>SCN-0343</x:v>
      </x:c>
      <x:c r="B346" s="23" t="n">
        <x:v>46725</x:v>
      </x:c>
      <x:c r="C346" s="20" t="str">
        <x:v>scn-0343-rent-payment-l040-20271204.pdf</x:v>
      </x:c>
      <x:c r="D346" s="20" t="str">
        <x:v>Rent check</x:v>
      </x:c>
      <x:c r="E346" s="20" t="str">
        <x:v>Payment</x:v>
      </x:c>
      <x:c r="F346" s="35" t="str">
        <x:v>Direct scan draft matched to tenant account and charge</x:v>
      </x:c>
      <x:c r="G346" s="20" t="str">
        <x:v>PDF</x:v>
      </x:c>
      <x:c r="H346" s="20" t="str">
        <x:v>1 image</x:v>
      </x:c>
      <x:c r="I346" s="35" t="str">
        <x:v>phone camera; amount box, written amount, memo, and endorsement visible</x:v>
      </x:c>
      <x:c r="J346" s="20" t="str">
        <x:v>P021</x:v>
      </x:c>
      <x:c r="K346" s="20" t="str">
        <x:v>U022</x:v>
      </x:c>
      <x:c r="L346" s="20" t="str">
        <x:v>L040</x:v>
      </x:c>
      <x:c r="M346" s="20" t="str">
        <x:v>FIN-01011</x:v>
      </x:c>
      <x:c r="N346" s="35" t="str">
        <x:v>payer; amount; date; check/money-order number; memo; property; unit; lease match</x:v>
      </x:c>
      <x:c r="O346" s="35" t="str">
        <x:v>handwritten memo and similar tenant names</x:v>
      </x:c>
      <x:c r="P346" s="35" t="str">
        <x:v>Use a different receipt on the other client to exercise the manual payment form.</x:v>
      </x:c>
      <x:c r="Q346" s="35" t="str">
        <x:v>Synthetic QA only; no real people, accounts, signatures, or properties</x:v>
      </x:c>
    </x:row>
    <x:row r="347">
      <x:c r="A347" s="20" t="str">
        <x:v>SCN-0344</x:v>
      </x:c>
      <x:c r="B347" s="23" t="n">
        <x:v>46726</x:v>
      </x:c>
      <x:c r="C347" s="20" t="str">
        <x:v>scn-0344-rent-payment-l041-20271205.jpg</x:v>
      </x:c>
      <x:c r="D347" s="20" t="str">
        <x:v>Money order</x:v>
      </x:c>
      <x:c r="E347" s="20" t="str">
        <x:v>Payment</x:v>
      </x:c>
      <x:c r="F347" s="35" t="str">
        <x:v>Direct scan draft matched to tenant account and charge</x:v>
      </x:c>
      <x:c r="G347" s="20" t="str">
        <x:v>Camera JPEG</x:v>
      </x:c>
      <x:c r="H347" s="20" t="str">
        <x:v>1 image</x:v>
      </x:c>
      <x:c r="I347" s="35" t="str">
        <x:v>phone camera; amount box, written amount, memo, and endorsement visible</x:v>
      </x:c>
      <x:c r="J347" s="20" t="str">
        <x:v>P030</x:v>
      </x:c>
      <x:c r="K347" s="20" t="str">
        <x:v>U040</x:v>
      </x:c>
      <x:c r="L347" s="20" t="str">
        <x:v>L041</x:v>
      </x:c>
      <x:c r="M347" s="20" t="str">
        <x:v>FIN-01013</x:v>
      </x:c>
      <x:c r="N347" s="35" t="str">
        <x:v>payer; amount; date; check/money-order number; memo; property; unit; lease match</x:v>
      </x:c>
      <x:c r="O347" s="35" t="str"/>
      <x:c r="P347" s="35" t="str">
        <x:v>Use a different receipt on the other client to exercise the manual payment form.</x:v>
      </x:c>
      <x:c r="Q347" s="35" t="str">
        <x:v>Synthetic QA only; no real people, accounts, signatures, or properties</x:v>
      </x:c>
    </x:row>
    <x:row r="348">
      <x:c r="A348" s="20" t="str">
        <x:v>SCN-0345</x:v>
      </x:c>
      <x:c r="B348" s="23" t="n">
        <x:v>46724</x:v>
      </x:c>
      <x:c r="C348" s="20" t="str">
        <x:v>scn-0345-rent-payment-l044-20271203.pdf</x:v>
      </x:c>
      <x:c r="D348" s="20" t="str">
        <x:v>Rent check</x:v>
      </x:c>
      <x:c r="E348" s="20" t="str">
        <x:v>Payment</x:v>
      </x:c>
      <x:c r="F348" s="35" t="str">
        <x:v>Direct scan draft matched to tenant account and charge</x:v>
      </x:c>
      <x:c r="G348" s="20" t="str">
        <x:v>PDF</x:v>
      </x:c>
      <x:c r="H348" s="20" t="str">
        <x:v>1 image</x:v>
      </x:c>
      <x:c r="I348" s="35" t="str">
        <x:v>phone camera; amount box, written amount, memo, and endorsement visible</x:v>
      </x:c>
      <x:c r="J348" s="20" t="str">
        <x:v>P029</x:v>
      </x:c>
      <x:c r="K348" s="20" t="str">
        <x:v>U038</x:v>
      </x:c>
      <x:c r="L348" s="20" t="str">
        <x:v>L044</x:v>
      </x:c>
      <x:c r="M348" s="20" t="str">
        <x:v>FIN-01019</x:v>
      </x:c>
      <x:c r="N348" s="35" t="str">
        <x:v>payer; amount; date; check/money-order number; memo; property; unit; lease match</x:v>
      </x:c>
      <x:c r="O348" s="35" t="str"/>
      <x:c r="P348" s="35" t="str">
        <x:v>Use a different receipt on the other client to exercise the manual payment form.</x:v>
      </x:c>
      <x:c r="Q348" s="35" t="str">
        <x:v>Synthetic QA only; no real people, accounts, signatures, or properties</x:v>
      </x:c>
    </x:row>
    <x:row r="349">
      <x:c r="A349" s="20" t="str">
        <x:v>SCN-0346</x:v>
      </x:c>
      <x:c r="B349" s="23" t="n">
        <x:v>46724</x:v>
      </x:c>
      <x:c r="C349" s="20" t="str">
        <x:v>scn-0346-rent-payment-l045-20271203.jpg</x:v>
      </x:c>
      <x:c r="D349" s="20" t="str">
        <x:v>Money order</x:v>
      </x:c>
      <x:c r="E349" s="20" t="str">
        <x:v>Payment</x:v>
      </x:c>
      <x:c r="F349" s="35" t="str">
        <x:v>Direct scan draft matched to tenant account and charge</x:v>
      </x:c>
      <x:c r="G349" s="20" t="str">
        <x:v>Camera JPEG</x:v>
      </x:c>
      <x:c r="H349" s="20" t="str">
        <x:v>1 image</x:v>
      </x:c>
      <x:c r="I349" s="35" t="str">
        <x:v>phone camera; amount box, written amount, memo, and endorsement visible</x:v>
      </x:c>
      <x:c r="J349" s="20" t="str">
        <x:v>P030</x:v>
      </x:c>
      <x:c r="K349" s="20" t="str">
        <x:v>U039</x:v>
      </x:c>
      <x:c r="L349" s="20" t="str">
        <x:v>L045</x:v>
      </x:c>
      <x:c r="M349" s="20" t="str">
        <x:v>FIN-01023</x:v>
      </x:c>
      <x:c r="N349" s="35" t="str">
        <x:v>payer; amount; date; check/money-order number; memo; property; unit; lease match</x:v>
      </x:c>
      <x:c r="O349" s="35" t="str">
        <x:v>handwritten memo and similar tenant names</x:v>
      </x:c>
      <x:c r="P349" s="35" t="str">
        <x:v>Use a different receipt on the other client to exercise the manual payment form.</x:v>
      </x:c>
      <x:c r="Q349" s="35" t="str">
        <x:v>Synthetic QA only; no real people, accounts, signatures, or properties</x:v>
      </x:c>
    </x:row>
    <x:row r="350">
      <x:c r="A350" s="20" t="str">
        <x:v>SCN-0347</x:v>
      </x:c>
      <x:c r="B350" s="23" t="n">
        <x:v>46391</x:v>
      </x:c>
      <x:c r="C350" s="20" t="str">
        <x:v>scn-0347-work-order-week-01.jpg</x:v>
      </x:c>
      <x:c r="D350" s="20" t="str">
        <x:v>Maintenance request with supporting photo</x:v>
      </x:c>
      <x:c r="E350" s="20" t="str">
        <x:v>WorkOrder</x:v>
      </x:c>
      <x:c r="F350" s="35" t="str">
        <x:v>Direct scan draft</x:v>
      </x:c>
      <x:c r="G350" s="20" t="str">
        <x:v>Camera JPEG</x:v>
      </x:c>
      <x:c r="H350" s="20" t="str">
        <x:v>2 images</x:v>
      </x:c>
      <x:c r="I350" s="35" t="str">
        <x:v>handwritten tenant note plus issue photo</x:v>
      </x:c>
      <x:c r="J350" s="20" t="str">
        <x:v>P008</x:v>
      </x:c>
      <x:c r="K350" s="20" t="str">
        <x:v>U008</x:v>
      </x:c>
      <x:c r="L350" s="20" t="str"/>
      <x:c r="M350" s="20" t="str"/>
      <x:c r="N350" s="35" t="str">
        <x:v>requester; property; unit; issue; priority; permission to enter; preferred window; notes</x:v>
      </x:c>
      <x:c r="O350" s="35" t="str"/>
      <x:c r="P350" s="35" t="str">
        <x:v>Create a different work order manually from the other client and compare field validation.</x:v>
      </x:c>
      <x:c r="Q350" s="35" t="str">
        <x:v>Synthetic QA only; no real people, accounts, signatures, or properties</x:v>
      </x:c>
    </x:row>
    <x:row r="351">
      <x:c r="A351" s="20" t="str">
        <x:v>SCN-0348</x:v>
      </x:c>
      <x:c r="B351" s="23" t="n">
        <x:v>46392</x:v>
      </x:c>
      <x:c r="C351" s="20" t="str">
        <x:v>scn-0348-expense-20270105-001.pdf</x:v>
      </x:c>
      <x:c r="D351" s="20" t="str">
        <x:v>Vendor invoice / receipt</x:v>
      </x:c>
      <x:c r="E351" s="20" t="str">
        <x:v>Expense</x:v>
      </x:c>
      <x:c r="F351" s="35" t="str">
        <x:v>Direct scan draft with property/unit/work-order context</x:v>
      </x:c>
      <x:c r="G351" s="20" t="str">
        <x:v>PDF</x:v>
      </x:c>
      <x:c r="H351" s="20" t="str">
        <x:v>1-3 pages</x:v>
      </x:c>
      <x:c r="I351" s="35" t="str">
        <x:v>crumpled thermal receipt</x:v>
      </x:c>
      <x:c r="J351" s="20" t="str">
        <x:v>P008</x:v>
      </x:c>
      <x:c r="K351" s="20" t="str">
        <x:v>U008</x:v>
      </x:c>
      <x:c r="L351" s="20" t="str"/>
      <x:c r="M351" s="20" t="str">
        <x:v>FIN-01024</x:v>
      </x:c>
      <x:c r="N351" s="35" t="str">
        <x:v>vendor; invoice number; date; subtotal; tax; total; category; property; unit; line items; payment method</x:v>
      </x:c>
      <x:c r="O351" s="35" t="str"/>
      <x:c r="P351" s="35" t="str">
        <x:v>Create a different expense of the same category through the equivalent manual form on the other client.</x:v>
      </x:c>
      <x:c r="Q351" s="35" t="str">
        <x:v>Synthetic QA only; no real people, accounts, signatures, or properties</x:v>
      </x:c>
    </x:row>
    <x:row r="352">
      <x:c r="A352" s="20" t="str">
        <x:v>SCN-0349</x:v>
      </x:c>
      <x:c r="B352" s="23" t="n">
        <x:v>46398</x:v>
      </x:c>
      <x:c r="C352" s="20" t="str">
        <x:v>scn-0349-work-order-week-02.jpg</x:v>
      </x:c>
      <x:c r="D352" s="20" t="str">
        <x:v>Maintenance request with supporting photo</x:v>
      </x:c>
      <x:c r="E352" s="20" t="str">
        <x:v>WorkOrder</x:v>
      </x:c>
      <x:c r="F352" s="35" t="str">
        <x:v>Direct scan draft</x:v>
      </x:c>
      <x:c r="G352" s="20" t="str">
        <x:v>Camera JPEG</x:v>
      </x:c>
      <x:c r="H352" s="20" t="str">
        <x:v>2 images</x:v>
      </x:c>
      <x:c r="I352" s="35" t="str">
        <x:v>handwritten tenant note plus issue photo</x:v>
      </x:c>
      <x:c r="J352" s="20" t="str">
        <x:v>P015</x:v>
      </x:c>
      <x:c r="K352" s="20" t="str">
        <x:v>U015</x:v>
      </x:c>
      <x:c r="L352" s="20" t="str"/>
      <x:c r="M352" s="20" t="str"/>
      <x:c r="N352" s="35" t="str">
        <x:v>requester; property; unit; issue; priority; permission to enter; preferred window; notes</x:v>
      </x:c>
      <x:c r="O352" s="35" t="str"/>
      <x:c r="P352" s="35" t="str">
        <x:v>Create a different work order manually from the other client and compare field validation.</x:v>
      </x:c>
      <x:c r="Q352" s="35" t="str">
        <x:v>Synthetic QA only; no real people, accounts, signatures, or properties</x:v>
      </x:c>
    </x:row>
    <x:row r="353">
      <x:c r="A353" s="20" t="str">
        <x:v>SCN-0350</x:v>
      </x:c>
      <x:c r="B353" s="23" t="n">
        <x:v>46399</x:v>
      </x:c>
      <x:c r="C353" s="20" t="str">
        <x:v>scn-0350-expense-20270112-002.pdf</x:v>
      </x:c>
      <x:c r="D353" s="20" t="str">
        <x:v>Vendor invoice / receipt</x:v>
      </x:c>
      <x:c r="E353" s="20" t="str">
        <x:v>Expense</x:v>
      </x:c>
      <x:c r="F353" s="35" t="str">
        <x:v>Direct scan draft with property/unit/work-order context</x:v>
      </x:c>
      <x:c r="G353" s="20" t="str">
        <x:v>PDF</x:v>
      </x:c>
      <x:c r="H353" s="20" t="str">
        <x:v>1-3 pages</x:v>
      </x:c>
      <x:c r="I353" s="35" t="str">
        <x:v>phone photo with shadow</x:v>
      </x:c>
      <x:c r="J353" s="20" t="str">
        <x:v>P015</x:v>
      </x:c>
      <x:c r="K353" s="20" t="str">
        <x:v>U015</x:v>
      </x:c>
      <x:c r="L353" s="20" t="str"/>
      <x:c r="M353" s="20" t="str">
        <x:v>FIN-01025</x:v>
      </x:c>
      <x:c r="N353" s="35" t="str">
        <x:v>vendor; invoice number; date; subtotal; tax; total; category; property; unit; line items; payment method</x:v>
      </x:c>
      <x:c r="O353" s="35" t="str"/>
      <x:c r="P353" s="35" t="str">
        <x:v>Create a different expense of the same category through the equivalent manual form on the other client.</x:v>
      </x:c>
      <x:c r="Q353" s="35" t="str">
        <x:v>Synthetic QA only; no real people, accounts, signatures, or properties</x:v>
      </x:c>
    </x:row>
    <x:row r="354">
      <x:c r="A354" s="20" t="str">
        <x:v>SCN-0351</x:v>
      </x:c>
      <x:c r="B354" s="23" t="n">
        <x:v>46405</x:v>
      </x:c>
      <x:c r="C354" s="20" t="str">
        <x:v>scn-0351-work-order-week-03.jpg</x:v>
      </x:c>
      <x:c r="D354" s="20" t="str">
        <x:v>Maintenance request with supporting photo</x:v>
      </x:c>
      <x:c r="E354" s="20" t="str">
        <x:v>WorkOrder</x:v>
      </x:c>
      <x:c r="F354" s="35" t="str">
        <x:v>Direct scan draft</x:v>
      </x:c>
      <x:c r="G354" s="20" t="str">
        <x:v>Camera JPEG</x:v>
      </x:c>
      <x:c r="H354" s="20" t="str">
        <x:v>2 images</x:v>
      </x:c>
      <x:c r="I354" s="35" t="str">
        <x:v>handwritten tenant note plus issue photo</x:v>
      </x:c>
      <x:c r="J354" s="20" t="str">
        <x:v>P021</x:v>
      </x:c>
      <x:c r="K354" s="20" t="str">
        <x:v>U022</x:v>
      </x:c>
      <x:c r="L354" s="20" t="str"/>
      <x:c r="M354" s="20" t="str"/>
      <x:c r="N354" s="35" t="str">
        <x:v>requester; property; unit; issue; priority; permission to enter; preferred window; notes</x:v>
      </x:c>
      <x:c r="O354" s="35" t="str"/>
      <x:c r="P354" s="35" t="str">
        <x:v>Create a different work order manually from the other client and compare field validation.</x:v>
      </x:c>
      <x:c r="Q354" s="35" t="str">
        <x:v>Synthetic QA only; no real people, accounts, signatures, or properties</x:v>
      </x:c>
    </x:row>
    <x:row r="355">
      <x:c r="A355" s="20" t="str">
        <x:v>SCN-0352</x:v>
      </x:c>
      <x:c r="B355" s="23" t="n">
        <x:v>46406</x:v>
      </x:c>
      <x:c r="C355" s="20" t="str">
        <x:v>scn-0352-expense-20270119-003.jpg</x:v>
      </x:c>
      <x:c r="D355" s="20" t="str">
        <x:v>Vendor invoice / receipt</x:v>
      </x:c>
      <x:c r="E355" s="20" t="str">
        <x:v>Expense</x:v>
      </x:c>
      <x:c r="F355" s="35" t="str">
        <x:v>Direct scan draft with property/unit/work-order context</x:v>
      </x:c>
      <x:c r="G355" s="20" t="str">
        <x:v>Camera JPEG</x:v>
      </x:c>
      <x:c r="H355" s="20" t="str">
        <x:v>1-3 pages</x:v>
      </x:c>
      <x:c r="I355" s="35" t="str">
        <x:v>clean emailed invoice</x:v>
      </x:c>
      <x:c r="J355" s="20" t="str">
        <x:v>P021</x:v>
      </x:c>
      <x:c r="K355" s="20" t="str">
        <x:v>U022</x:v>
      </x:c>
      <x:c r="L355" s="20" t="str"/>
      <x:c r="M355" s="20" t="str">
        <x:v>FIN-01026</x:v>
      </x:c>
      <x:c r="N355" s="35" t="str">
        <x:v>vendor; invoice number; date; subtotal; tax; total; category; property; unit; line items; payment method</x:v>
      </x:c>
      <x:c r="O355" s="35" t="str"/>
      <x:c r="P355" s="35" t="str">
        <x:v>Create a different expense of the same category through the equivalent manual form on the other client.</x:v>
      </x:c>
      <x:c r="Q355" s="35" t="str">
        <x:v>Synthetic QA only; no real people, accounts, signatures, or properties</x:v>
      </x:c>
    </x:row>
    <x:row r="356">
      <x:c r="A356" s="20" t="str">
        <x:v>SCN-0353</x:v>
      </x:c>
      <x:c r="B356" s="23" t="n">
        <x:v>46412</x:v>
      </x:c>
      <x:c r="C356" s="20" t="str">
        <x:v>scn-0353-work-order-week-04.jpg</x:v>
      </x:c>
      <x:c r="D356" s="20" t="str">
        <x:v>Maintenance request with supporting photo</x:v>
      </x:c>
      <x:c r="E356" s="20" t="str">
        <x:v>WorkOrder</x:v>
      </x:c>
      <x:c r="F356" s="35" t="str">
        <x:v>Direct scan draft</x:v>
      </x:c>
      <x:c r="G356" s="20" t="str">
        <x:v>Camera JPEG</x:v>
      </x:c>
      <x:c r="H356" s="20" t="str">
        <x:v>2 images</x:v>
      </x:c>
      <x:c r="I356" s="35" t="str">
        <x:v>handwritten tenant note plus issue photo</x:v>
      </x:c>
      <x:c r="J356" s="20" t="str">
        <x:v>P025</x:v>
      </x:c>
      <x:c r="K356" s="20" t="str">
        <x:v>U029</x:v>
      </x:c>
      <x:c r="L356" s="20" t="str"/>
      <x:c r="M356" s="20" t="str"/>
      <x:c r="N356" s="35" t="str">
        <x:v>requester; property; unit; issue; priority; permission to enter; preferred window; notes</x:v>
      </x:c>
      <x:c r="O356" s="35" t="str"/>
      <x:c r="P356" s="35" t="str">
        <x:v>Create a different work order manually from the other client and compare field validation.</x:v>
      </x:c>
      <x:c r="Q356" s="35" t="str">
        <x:v>Synthetic QA only; no real people, accounts, signatures, or properties</x:v>
      </x:c>
    </x:row>
    <x:row r="357">
      <x:c r="A357" s="20" t="str">
        <x:v>SCN-0354</x:v>
      </x:c>
      <x:c r="B357" s="23" t="n">
        <x:v>46413</x:v>
      </x:c>
      <x:c r="C357" s="20" t="str">
        <x:v>scn-0354-expense-20270126-004.pdf</x:v>
      </x:c>
      <x:c r="D357" s="20" t="str">
        <x:v>Vendor invoice / receipt</x:v>
      </x:c>
      <x:c r="E357" s="20" t="str">
        <x:v>Expense</x:v>
      </x:c>
      <x:c r="F357" s="35" t="str">
        <x:v>Direct scan draft with property/unit/work-order context</x:v>
      </x:c>
      <x:c r="G357" s="20" t="str">
        <x:v>PDF</x:v>
      </x:c>
      <x:c r="H357" s="20" t="str">
        <x:v>1-3 pages</x:v>
      </x:c>
      <x:c r="I357" s="35" t="str">
        <x:v>crumpled thermal receipt</x:v>
      </x:c>
      <x:c r="J357" s="20" t="str">
        <x:v>P025</x:v>
      </x:c>
      <x:c r="K357" s="20" t="str">
        <x:v>U029</x:v>
      </x:c>
      <x:c r="L357" s="20" t="str"/>
      <x:c r="M357" s="20" t="str">
        <x:v>FIN-01027</x:v>
      </x:c>
      <x:c r="N357" s="35" t="str">
        <x:v>vendor; invoice number; date; subtotal; tax; total; category; property; unit; line items; payment method</x:v>
      </x:c>
      <x:c r="O357" s="35" t="str"/>
      <x:c r="P357" s="35" t="str">
        <x:v>Create a different expense of the same category through the equivalent manual form on the other client.</x:v>
      </x:c>
      <x:c r="Q357" s="35" t="str">
        <x:v>Synthetic QA only; no real people, accounts, signatures, or properties</x:v>
      </x:c>
    </x:row>
    <x:row r="358">
      <x:c r="A358" s="20" t="str">
        <x:v>SCN-0355</x:v>
      </x:c>
      <x:c r="B358" s="23" t="n">
        <x:v>46419</x:v>
      </x:c>
      <x:c r="C358" s="20" t="str">
        <x:v>scn-0355-work-order-week-05.jpg</x:v>
      </x:c>
      <x:c r="D358" s="20" t="str">
        <x:v>Maintenance request with supporting photo</x:v>
      </x:c>
      <x:c r="E358" s="20" t="str">
        <x:v>WorkOrder</x:v>
      </x:c>
      <x:c r="F358" s="35" t="str">
        <x:v>Direct scan draft</x:v>
      </x:c>
      <x:c r="G358" s="20" t="str">
        <x:v>Camera JPEG</x:v>
      </x:c>
      <x:c r="H358" s="20" t="str">
        <x:v>2 images</x:v>
      </x:c>
      <x:c r="I358" s="35" t="str">
        <x:v>handwritten tenant note plus issue photo</x:v>
      </x:c>
      <x:c r="J358" s="20" t="str">
        <x:v>P028</x:v>
      </x:c>
      <x:c r="K358" s="20" t="str">
        <x:v>U036</x:v>
      </x:c>
      <x:c r="L358" s="20" t="str"/>
      <x:c r="M358" s="20" t="str"/>
      <x:c r="N358" s="35" t="str">
        <x:v>requester; property; unit; issue; priority; permission to enter; preferred window; notes</x:v>
      </x:c>
      <x:c r="O358" s="35" t="str"/>
      <x:c r="P358" s="35" t="str">
        <x:v>Create a different work order manually from the other client and compare field validation.</x:v>
      </x:c>
      <x:c r="Q358" s="35" t="str">
        <x:v>Synthetic QA only; no real people, accounts, signatures, or properties</x:v>
      </x:c>
    </x:row>
    <x:row r="359">
      <x:c r="A359" s="20" t="str">
        <x:v>SCN-0356</x:v>
      </x:c>
      <x:c r="B359" s="23" t="n">
        <x:v>46426</x:v>
      </x:c>
      <x:c r="C359" s="20" t="str">
        <x:v>scn-0356-work-order-week-06.jpg</x:v>
      </x:c>
      <x:c r="D359" s="20" t="str">
        <x:v>Maintenance request with supporting photo</x:v>
      </x:c>
      <x:c r="E359" s="20" t="str">
        <x:v>WorkOrder</x:v>
      </x:c>
      <x:c r="F359" s="35" t="str">
        <x:v>Direct scan draft</x:v>
      </x:c>
      <x:c r="G359" s="20" t="str">
        <x:v>Camera JPEG</x:v>
      </x:c>
      <x:c r="H359" s="20" t="str">
        <x:v>2 images</x:v>
      </x:c>
      <x:c r="I359" s="35" t="str">
        <x:v>handwritten tenant note plus issue photo</x:v>
      </x:c>
      <x:c r="J359" s="20" t="str">
        <x:v>P003</x:v>
      </x:c>
      <x:c r="K359" s="20" t="str">
        <x:v>U003</x:v>
      </x:c>
      <x:c r="L359" s="20" t="str"/>
      <x:c r="M359" s="20" t="str"/>
      <x:c r="N359" s="35" t="str">
        <x:v>requester; property; unit; issue; priority; permission to enter; preferred window; notes</x:v>
      </x:c>
      <x:c r="O359" s="35" t="str"/>
      <x:c r="P359" s="35" t="str">
        <x:v>Create a different work order manually from the other client and compare field validation.</x:v>
      </x:c>
      <x:c r="Q359" s="35" t="str">
        <x:v>Synthetic QA only; no real people, accounts, signatures, or properties</x:v>
      </x:c>
    </x:row>
    <x:row r="360">
      <x:c r="A360" s="20" t="str">
        <x:v>SCN-0357</x:v>
      </x:c>
      <x:c r="B360" s="23" t="n">
        <x:v>46427</x:v>
      </x:c>
      <x:c r="C360" s="20" t="str">
        <x:v>scn-0357-expense-20270209-006.jpg</x:v>
      </x:c>
      <x:c r="D360" s="20" t="str">
        <x:v>Vendor invoice / receipt</x:v>
      </x:c>
      <x:c r="E360" s="20" t="str">
        <x:v>Expense</x:v>
      </x:c>
      <x:c r="F360" s="35" t="str">
        <x:v>Direct scan draft with property/unit/work-order context</x:v>
      </x:c>
      <x:c r="G360" s="20" t="str">
        <x:v>Camera JPEG</x:v>
      </x:c>
      <x:c r="H360" s="20" t="str">
        <x:v>1-3 pages</x:v>
      </x:c>
      <x:c r="I360" s="35" t="str">
        <x:v>clean emailed invoice</x:v>
      </x:c>
      <x:c r="J360" s="20" t="str">
        <x:v>P003</x:v>
      </x:c>
      <x:c r="K360" s="20" t="str">
        <x:v>U003</x:v>
      </x:c>
      <x:c r="L360" s="20" t="str"/>
      <x:c r="M360" s="20" t="str">
        <x:v>FIN-01029</x:v>
      </x:c>
      <x:c r="N360" s="35" t="str">
        <x:v>vendor; invoice number; date; subtotal; tax; total; category; property; unit; line items; payment method</x:v>
      </x:c>
      <x:c r="O360" s="35" t="str"/>
      <x:c r="P360" s="35" t="str">
        <x:v>Create a different expense of the same category through the equivalent manual form on the other client.</x:v>
      </x:c>
      <x:c r="Q360" s="35" t="str">
        <x:v>Synthetic QA only; no real people, accounts, signatures, or properties</x:v>
      </x:c>
    </x:row>
    <x:row r="361">
      <x:c r="A361" s="20" t="str">
        <x:v>SCN-0358</x:v>
      </x:c>
      <x:c r="B361" s="23" t="n">
        <x:v>46433</x:v>
      </x:c>
      <x:c r="C361" s="20" t="str">
        <x:v>scn-0358-work-order-week-07.jpg</x:v>
      </x:c>
      <x:c r="D361" s="20" t="str">
        <x:v>Maintenance request with supporting photo</x:v>
      </x:c>
      <x:c r="E361" s="20" t="str">
        <x:v>WorkOrder</x:v>
      </x:c>
      <x:c r="F361" s="35" t="str">
        <x:v>Direct scan draft</x:v>
      </x:c>
      <x:c r="G361" s="20" t="str">
        <x:v>Camera JPEG</x:v>
      </x:c>
      <x:c r="H361" s="20" t="str">
        <x:v>2 images</x:v>
      </x:c>
      <x:c r="I361" s="35" t="str">
        <x:v>handwritten tenant note plus issue photo</x:v>
      </x:c>
      <x:c r="J361" s="20" t="str">
        <x:v>P010</x:v>
      </x:c>
      <x:c r="K361" s="20" t="str">
        <x:v>U010</x:v>
      </x:c>
      <x:c r="L361" s="20" t="str"/>
      <x:c r="M361" s="20" t="str"/>
      <x:c r="N361" s="35" t="str">
        <x:v>requester; property; unit; issue; priority; permission to enter; preferred window; notes</x:v>
      </x:c>
      <x:c r="O361" s="35" t="str"/>
      <x:c r="P361" s="35" t="str">
        <x:v>Create a different work order manually from the other client and compare field validation.</x:v>
      </x:c>
      <x:c r="Q361" s="35" t="str">
        <x:v>Synthetic QA only; no real people, accounts, signatures, or properties</x:v>
      </x:c>
    </x:row>
    <x:row r="362">
      <x:c r="A362" s="20" t="str">
        <x:v>SCN-0359</x:v>
      </x:c>
      <x:c r="B362" s="23" t="n">
        <x:v>46434</x:v>
      </x:c>
      <x:c r="C362" s="20" t="str">
        <x:v>scn-0359-expense-20270216-007.pdf</x:v>
      </x:c>
      <x:c r="D362" s="20" t="str">
        <x:v>Vendor invoice / receipt</x:v>
      </x:c>
      <x:c r="E362" s="20" t="str">
        <x:v>Expense</x:v>
      </x:c>
      <x:c r="F362" s="35" t="str">
        <x:v>Direct scan draft with property/unit/work-order context</x:v>
      </x:c>
      <x:c r="G362" s="20" t="str">
        <x:v>PDF</x:v>
      </x:c>
      <x:c r="H362" s="20" t="str">
        <x:v>1-3 pages</x:v>
      </x:c>
      <x:c r="I362" s="35" t="str">
        <x:v>crumpled thermal receipt</x:v>
      </x:c>
      <x:c r="J362" s="20" t="str">
        <x:v>P010</x:v>
      </x:c>
      <x:c r="K362" s="20" t="str">
        <x:v>U010</x:v>
      </x:c>
      <x:c r="L362" s="20" t="str"/>
      <x:c r="M362" s="20" t="str">
        <x:v>FIN-01030</x:v>
      </x:c>
      <x:c r="N362" s="35" t="str">
        <x:v>vendor; invoice number; date; subtotal; tax; total; category; property; unit; line items; payment method</x:v>
      </x:c>
      <x:c r="O362" s="35" t="str"/>
      <x:c r="P362" s="35" t="str">
        <x:v>Create a different expense of the same category through the equivalent manual form on the other client.</x:v>
      </x:c>
      <x:c r="Q362" s="35" t="str">
        <x:v>Synthetic QA only; no real people, accounts, signatures, or properties</x:v>
      </x:c>
    </x:row>
    <x:row r="363">
      <x:c r="A363" s="20" t="str">
        <x:v>SCN-0360</x:v>
      </x:c>
      <x:c r="B363" s="23" t="n">
        <x:v>46440</x:v>
      </x:c>
      <x:c r="C363" s="20" t="str">
        <x:v>scn-0360-work-order-week-08.jpg</x:v>
      </x:c>
      <x:c r="D363" s="20" t="str">
        <x:v>Maintenance request with supporting photo</x:v>
      </x:c>
      <x:c r="E363" s="20" t="str">
        <x:v>WorkOrder</x:v>
      </x:c>
      <x:c r="F363" s="35" t="str">
        <x:v>Direct scan draft</x:v>
      </x:c>
      <x:c r="G363" s="20" t="str">
        <x:v>Camera JPEG</x:v>
      </x:c>
      <x:c r="H363" s="20" t="str">
        <x:v>2 images</x:v>
      </x:c>
      <x:c r="I363" s="35" t="str">
        <x:v>handwritten tenant note plus issue photo</x:v>
      </x:c>
      <x:c r="J363" s="20" t="str">
        <x:v>P017</x:v>
      </x:c>
      <x:c r="K363" s="20" t="str">
        <x:v>U017</x:v>
      </x:c>
      <x:c r="L363" s="20" t="str"/>
      <x:c r="M363" s="20" t="str"/>
      <x:c r="N363" s="35" t="str">
        <x:v>requester; property; unit; issue; priority; permission to enter; preferred window; notes</x:v>
      </x:c>
      <x:c r="O363" s="35" t="str"/>
      <x:c r="P363" s="35" t="str">
        <x:v>Create a different work order manually from the other client and compare field validation.</x:v>
      </x:c>
      <x:c r="Q363" s="35" t="str">
        <x:v>Synthetic QA only; no real people, accounts, signatures, or properties</x:v>
      </x:c>
    </x:row>
    <x:row r="364">
      <x:c r="A364" s="20" t="str">
        <x:v>SCN-0361</x:v>
      </x:c>
      <x:c r="B364" s="23" t="n">
        <x:v>46441</x:v>
      </x:c>
      <x:c r="C364" s="20" t="str">
        <x:v>scn-0361-expense-20270223-008.pdf</x:v>
      </x:c>
      <x:c r="D364" s="20" t="str">
        <x:v>Vendor invoice / receipt</x:v>
      </x:c>
      <x:c r="E364" s="20" t="str">
        <x:v>Expense</x:v>
      </x:c>
      <x:c r="F364" s="35" t="str">
        <x:v>Direct scan draft with property/unit/work-order context</x:v>
      </x:c>
      <x:c r="G364" s="20" t="str">
        <x:v>PDF</x:v>
      </x:c>
      <x:c r="H364" s="20" t="str">
        <x:v>1-3 pages</x:v>
      </x:c>
      <x:c r="I364" s="35" t="str">
        <x:v>phone photo with shadow</x:v>
      </x:c>
      <x:c r="J364" s="20" t="str">
        <x:v>P017</x:v>
      </x:c>
      <x:c r="K364" s="20" t="str">
        <x:v>U017</x:v>
      </x:c>
      <x:c r="L364" s="20" t="str"/>
      <x:c r="M364" s="20" t="str">
        <x:v>FIN-01031</x:v>
      </x:c>
      <x:c r="N364" s="35" t="str">
        <x:v>vendor; invoice number; date; subtotal; tax; total; category; property; unit; line items; payment method</x:v>
      </x:c>
      <x:c r="O364" s="35" t="str"/>
      <x:c r="P364" s="35" t="str">
        <x:v>Create a different expense of the same category through the equivalent manual form on the other client.</x:v>
      </x:c>
      <x:c r="Q364" s="35" t="str">
        <x:v>Synthetic QA only; no real people, accounts, signatures, or properties</x:v>
      </x:c>
    </x:row>
    <x:row r="365">
      <x:c r="A365" s="20" t="str">
        <x:v>SCN-0362</x:v>
      </x:c>
      <x:c r="B365" s="23" t="n">
        <x:v>46447</x:v>
      </x:c>
      <x:c r="C365" s="20" t="str">
        <x:v>scn-0362-work-order-week-09.jpg</x:v>
      </x:c>
      <x:c r="D365" s="20" t="str">
        <x:v>Maintenance request with supporting photo</x:v>
      </x:c>
      <x:c r="E365" s="20" t="str">
        <x:v>WorkOrder</x:v>
      </x:c>
      <x:c r="F365" s="35" t="str">
        <x:v>Direct scan draft</x:v>
      </x:c>
      <x:c r="G365" s="20" t="str">
        <x:v>Camera JPEG</x:v>
      </x:c>
      <x:c r="H365" s="20" t="str">
        <x:v>2 images</x:v>
      </x:c>
      <x:c r="I365" s="35" t="str">
        <x:v>handwritten tenant note plus issue photo</x:v>
      </x:c>
      <x:c r="J365" s="20" t="str">
        <x:v>P022</x:v>
      </x:c>
      <x:c r="K365" s="20" t="str">
        <x:v>U024</x:v>
      </x:c>
      <x:c r="L365" s="20" t="str"/>
      <x:c r="M365" s="20" t="str"/>
      <x:c r="N365" s="35" t="str">
        <x:v>requester; property; unit; issue; priority; permission to enter; preferred window; notes</x:v>
      </x:c>
      <x:c r="O365" s="35" t="str">
        <x:v>handwriting and one irrelevant photo</x:v>
      </x:c>
      <x:c r="P365" s="35" t="str">
        <x:v>Create a different work order manually from the other client and compare field validation.</x:v>
      </x:c>
      <x:c r="Q365" s="35" t="str">
        <x:v>Synthetic QA only; no real people, accounts, signatures, or properties</x:v>
      </x:c>
    </x:row>
    <x:row r="366">
      <x:c r="A366" s="20" t="str">
        <x:v>SCN-0363</x:v>
      </x:c>
      <x:c r="B366" s="23" t="n">
        <x:v>46448</x:v>
      </x:c>
      <x:c r="C366" s="20" t="str">
        <x:v>scn-0363-expense-20270302-009.jpg</x:v>
      </x:c>
      <x:c r="D366" s="20" t="str">
        <x:v>Vendor invoice / receipt</x:v>
      </x:c>
      <x:c r="E366" s="20" t="str">
        <x:v>Expense</x:v>
      </x:c>
      <x:c r="F366" s="35" t="str">
        <x:v>Direct scan draft with property/unit/work-order context</x:v>
      </x:c>
      <x:c r="G366" s="20" t="str">
        <x:v>Camera JPEG</x:v>
      </x:c>
      <x:c r="H366" s="20" t="str">
        <x:v>1-3 pages</x:v>
      </x:c>
      <x:c r="I366" s="35" t="str">
        <x:v>clean emailed invoice</x:v>
      </x:c>
      <x:c r="J366" s="20" t="str">
        <x:v>P022</x:v>
      </x:c>
      <x:c r="K366" s="20" t="str">
        <x:v>U024</x:v>
      </x:c>
      <x:c r="L366" s="20" t="str"/>
      <x:c r="M366" s="20" t="str">
        <x:v>FIN-01032</x:v>
      </x:c>
      <x:c r="N366" s="35" t="str">
        <x:v>vendor; invoice number; date; subtotal; tax; total; category; property; unit; line items; payment method</x:v>
      </x:c>
      <x:c r="O366" s="35" t="str"/>
      <x:c r="P366" s="35" t="str">
        <x:v>Create a different expense of the same category through the equivalent manual form on the other client.</x:v>
      </x:c>
      <x:c r="Q366" s="35" t="str">
        <x:v>Synthetic QA only; no real people, accounts, signatures, or properties</x:v>
      </x:c>
    </x:row>
    <x:row r="367">
      <x:c r="A367" s="20" t="str">
        <x:v>SCN-0364</x:v>
      </x:c>
      <x:c r="B367" s="23" t="n">
        <x:v>46454</x:v>
      </x:c>
      <x:c r="C367" s="20" t="str">
        <x:v>scn-0364-work-order-week-10.jpg</x:v>
      </x:c>
      <x:c r="D367" s="20" t="str">
        <x:v>Maintenance request with supporting photo</x:v>
      </x:c>
      <x:c r="E367" s="20" t="str">
        <x:v>WorkOrder</x:v>
      </x:c>
      <x:c r="F367" s="35" t="str">
        <x:v>Direct scan draft</x:v>
      </x:c>
      <x:c r="G367" s="20" t="str">
        <x:v>Camera JPEG</x:v>
      </x:c>
      <x:c r="H367" s="20" t="str">
        <x:v>2 images</x:v>
      </x:c>
      <x:c r="I367" s="35" t="str">
        <x:v>handwritten tenant note plus issue photo</x:v>
      </x:c>
      <x:c r="J367" s="20" t="str">
        <x:v>P026</x:v>
      </x:c>
      <x:c r="K367" s="20" t="str">
        <x:v>U031</x:v>
      </x:c>
      <x:c r="L367" s="20" t="str"/>
      <x:c r="M367" s="20" t="str"/>
      <x:c r="N367" s="35" t="str">
        <x:v>requester; property; unit; issue; priority; permission to enter; preferred window; notes</x:v>
      </x:c>
      <x:c r="O367" s="35" t="str"/>
      <x:c r="P367" s="35" t="str">
        <x:v>Create a different work order manually from the other client and compare field validation.</x:v>
      </x:c>
      <x:c r="Q367" s="35" t="str">
        <x:v>Synthetic QA only; no real people, accounts, signatures, or properties</x:v>
      </x:c>
    </x:row>
    <x:row r="368">
      <x:c r="A368" s="20" t="str">
        <x:v>SCN-0365</x:v>
      </x:c>
      <x:c r="B368" s="23" t="n">
        <x:v>46461</x:v>
      </x:c>
      <x:c r="C368" s="20" t="str">
        <x:v>scn-0365-work-order-week-11.jpg</x:v>
      </x:c>
      <x:c r="D368" s="20" t="str">
        <x:v>Maintenance request with supporting photo</x:v>
      </x:c>
      <x:c r="E368" s="20" t="str">
        <x:v>WorkOrder</x:v>
      </x:c>
      <x:c r="F368" s="35" t="str">
        <x:v>Direct scan draft</x:v>
      </x:c>
      <x:c r="G368" s="20" t="str">
        <x:v>Camera JPEG</x:v>
      </x:c>
      <x:c r="H368" s="20" t="str">
        <x:v>2 images</x:v>
      </x:c>
      <x:c r="I368" s="35" t="str">
        <x:v>handwritten tenant note plus issue photo</x:v>
      </x:c>
      <x:c r="J368" s="20" t="str">
        <x:v>P029</x:v>
      </x:c>
      <x:c r="K368" s="20" t="str">
        <x:v>U038</x:v>
      </x:c>
      <x:c r="L368" s="20" t="str"/>
      <x:c r="M368" s="20" t="str"/>
      <x:c r="N368" s="35" t="str">
        <x:v>requester; property; unit; issue; priority; permission to enter; preferred window; notes</x:v>
      </x:c>
      <x:c r="O368" s="35" t="str"/>
      <x:c r="P368" s="35" t="str">
        <x:v>Create a different work order manually from the other client and compare field validation.</x:v>
      </x:c>
      <x:c r="Q368" s="35" t="str">
        <x:v>Synthetic QA only; no real people, accounts, signatures, or properties</x:v>
      </x:c>
    </x:row>
    <x:row r="369">
      <x:c r="A369" s="20" t="str">
        <x:v>SCN-0366</x:v>
      </x:c>
      <x:c r="B369" s="23" t="n">
        <x:v>46462</x:v>
      </x:c>
      <x:c r="C369" s="20" t="str">
        <x:v>scn-0366-expense-20270316-011.pdf</x:v>
      </x:c>
      <x:c r="D369" s="20" t="str">
        <x:v>Vendor invoice / receipt</x:v>
      </x:c>
      <x:c r="E369" s="20" t="str">
        <x:v>Expense</x:v>
      </x:c>
      <x:c r="F369" s="35" t="str">
        <x:v>Direct scan draft with property/unit/work-order context</x:v>
      </x:c>
      <x:c r="G369" s="20" t="str">
        <x:v>PDF</x:v>
      </x:c>
      <x:c r="H369" s="20" t="str">
        <x:v>1-3 pages</x:v>
      </x:c>
      <x:c r="I369" s="35" t="str">
        <x:v>phone photo with shadow</x:v>
      </x:c>
      <x:c r="J369" s="20" t="str">
        <x:v>P029</x:v>
      </x:c>
      <x:c r="K369" s="20" t="str">
        <x:v>U038</x:v>
      </x:c>
      <x:c r="L369" s="20" t="str"/>
      <x:c r="M369" s="20" t="str">
        <x:v>FIN-01034</x:v>
      </x:c>
      <x:c r="N369" s="35" t="str">
        <x:v>vendor; invoice number; date; subtotal; tax; total; category; property; unit; line items; payment method</x:v>
      </x:c>
      <x:c r="O369" s="35" t="str"/>
      <x:c r="P369" s="35" t="str">
        <x:v>Create a different expense of the same category through the equivalent manual form on the other client.</x:v>
      </x:c>
      <x:c r="Q369" s="35" t="str">
        <x:v>Synthetic QA only; no real people, accounts, signatures, or properties</x:v>
      </x:c>
    </x:row>
    <x:row r="370">
      <x:c r="A370" s="20" t="str">
        <x:v>SCN-0367</x:v>
      </x:c>
      <x:c r="B370" s="23" t="n">
        <x:v>46468</x:v>
      </x:c>
      <x:c r="C370" s="20" t="str">
        <x:v>scn-0367-work-order-week-12.jpg</x:v>
      </x:c>
      <x:c r="D370" s="20" t="str">
        <x:v>Maintenance request with supporting photo</x:v>
      </x:c>
      <x:c r="E370" s="20" t="str">
        <x:v>WorkOrder</x:v>
      </x:c>
      <x:c r="F370" s="35" t="str">
        <x:v>Direct scan draft</x:v>
      </x:c>
      <x:c r="G370" s="20" t="str">
        <x:v>Camera JPEG</x:v>
      </x:c>
      <x:c r="H370" s="20" t="str">
        <x:v>2 images</x:v>
      </x:c>
      <x:c r="I370" s="35" t="str">
        <x:v>handwritten tenant note plus issue photo</x:v>
      </x:c>
      <x:c r="J370" s="20" t="str">
        <x:v>P005</x:v>
      </x:c>
      <x:c r="K370" s="20" t="str">
        <x:v>U005</x:v>
      </x:c>
      <x:c r="L370" s="20" t="str"/>
      <x:c r="M370" s="20" t="str"/>
      <x:c r="N370" s="35" t="str">
        <x:v>requester; property; unit; issue; priority; permission to enter; preferred window; notes</x:v>
      </x:c>
      <x:c r="O370" s="35" t="str"/>
      <x:c r="P370" s="35" t="str">
        <x:v>Create a different work order manually from the other client and compare field validation.</x:v>
      </x:c>
      <x:c r="Q370" s="35" t="str">
        <x:v>Synthetic QA only; no real people, accounts, signatures, or properties</x:v>
      </x:c>
    </x:row>
    <x:row r="371">
      <x:c r="A371" s="20" t="str">
        <x:v>SCN-0368</x:v>
      </x:c>
      <x:c r="B371" s="23" t="n">
        <x:v>46469</x:v>
      </x:c>
      <x:c r="C371" s="20" t="str">
        <x:v>scn-0368-expense-20270323-012.jpg</x:v>
      </x:c>
      <x:c r="D371" s="20" t="str">
        <x:v>Vendor invoice / receipt</x:v>
      </x:c>
      <x:c r="E371" s="20" t="str">
        <x:v>Expense</x:v>
      </x:c>
      <x:c r="F371" s="35" t="str">
        <x:v>Direct scan draft with property/unit/work-order context</x:v>
      </x:c>
      <x:c r="G371" s="20" t="str">
        <x:v>Camera JPEG</x:v>
      </x:c>
      <x:c r="H371" s="20" t="str">
        <x:v>1-3 pages</x:v>
      </x:c>
      <x:c r="I371" s="35" t="str">
        <x:v>clean emailed invoice</x:v>
      </x:c>
      <x:c r="J371" s="20" t="str">
        <x:v>P005</x:v>
      </x:c>
      <x:c r="K371" s="20" t="str">
        <x:v>U005</x:v>
      </x:c>
      <x:c r="L371" s="20" t="str"/>
      <x:c r="M371" s="20" t="str">
        <x:v>FIN-01035</x:v>
      </x:c>
      <x:c r="N371" s="35" t="str">
        <x:v>vendor; invoice number; date; subtotal; tax; total; category; property; unit; line items; payment method</x:v>
      </x:c>
      <x:c r="O371" s="35" t="str"/>
      <x:c r="P371" s="35" t="str">
        <x:v>Create a different expense of the same category through the equivalent manual form on the other client.</x:v>
      </x:c>
      <x:c r="Q371" s="35" t="str">
        <x:v>Synthetic QA only; no real people, accounts, signatures, or properties</x:v>
      </x:c>
    </x:row>
    <x:row r="372">
      <x:c r="A372" s="20" t="str">
        <x:v>SCN-0369</x:v>
      </x:c>
      <x:c r="B372" s="23" t="n">
        <x:v>46475</x:v>
      </x:c>
      <x:c r="C372" s="20" t="str">
        <x:v>scn-0369-work-order-week-13.jpg</x:v>
      </x:c>
      <x:c r="D372" s="20" t="str">
        <x:v>Maintenance request with supporting photo</x:v>
      </x:c>
      <x:c r="E372" s="20" t="str">
        <x:v>WorkOrder</x:v>
      </x:c>
      <x:c r="F372" s="35" t="str">
        <x:v>Direct scan draft</x:v>
      </x:c>
      <x:c r="G372" s="20" t="str">
        <x:v>Camera JPEG</x:v>
      </x:c>
      <x:c r="H372" s="20" t="str">
        <x:v>2 images</x:v>
      </x:c>
      <x:c r="I372" s="35" t="str">
        <x:v>handwritten tenant note plus issue photo</x:v>
      </x:c>
      <x:c r="J372" s="20" t="str">
        <x:v>P012</x:v>
      </x:c>
      <x:c r="K372" s="20" t="str">
        <x:v>U012</x:v>
      </x:c>
      <x:c r="L372" s="20" t="str"/>
      <x:c r="M372" s="20" t="str"/>
      <x:c r="N372" s="35" t="str">
        <x:v>requester; property; unit; issue; priority; permission to enter; preferred window; notes</x:v>
      </x:c>
      <x:c r="O372" s="35" t="str"/>
      <x:c r="P372" s="35" t="str">
        <x:v>Create a different work order manually from the other client and compare field validation.</x:v>
      </x:c>
      <x:c r="Q372" s="35" t="str">
        <x:v>Synthetic QA only; no real people, accounts, signatures, or properties</x:v>
      </x:c>
    </x:row>
    <x:row r="373">
      <x:c r="A373" s="20" t="str">
        <x:v>SCN-0370</x:v>
      </x:c>
      <x:c r="B373" s="23" t="n">
        <x:v>46476</x:v>
      </x:c>
      <x:c r="C373" s="20" t="str">
        <x:v>scn-0370-expense-20270330-013.pdf</x:v>
      </x:c>
      <x:c r="D373" s="20" t="str">
        <x:v>Vendor invoice / receipt</x:v>
      </x:c>
      <x:c r="E373" s="20" t="str">
        <x:v>Expense</x:v>
      </x:c>
      <x:c r="F373" s="35" t="str">
        <x:v>Direct scan draft with property/unit/work-order context</x:v>
      </x:c>
      <x:c r="G373" s="20" t="str">
        <x:v>PDF</x:v>
      </x:c>
      <x:c r="H373" s="20" t="str">
        <x:v>1-3 pages</x:v>
      </x:c>
      <x:c r="I373" s="35" t="str">
        <x:v>crumpled thermal receipt</x:v>
      </x:c>
      <x:c r="J373" s="20" t="str">
        <x:v>P012</x:v>
      </x:c>
      <x:c r="K373" s="20" t="str">
        <x:v>U012</x:v>
      </x:c>
      <x:c r="L373" s="20" t="str"/>
      <x:c r="M373" s="20" t="str">
        <x:v>FIN-01036</x:v>
      </x:c>
      <x:c r="N373" s="35" t="str">
        <x:v>vendor; invoice number; date; subtotal; tax; total; category; property; unit; line items; payment method</x:v>
      </x:c>
      <x:c r="O373" s="35" t="str"/>
      <x:c r="P373" s="35" t="str">
        <x:v>Create a different expense of the same category through the equivalent manual form on the other client.</x:v>
      </x:c>
      <x:c r="Q373" s="35" t="str">
        <x:v>Synthetic QA only; no real people, accounts, signatures, or properties</x:v>
      </x:c>
    </x:row>
    <x:row r="374">
      <x:c r="A374" s="20" t="str">
        <x:v>SCN-0371</x:v>
      </x:c>
      <x:c r="B374" s="23" t="n">
        <x:v>46482</x:v>
      </x:c>
      <x:c r="C374" s="20" t="str">
        <x:v>scn-0371-work-order-week-14.jpg</x:v>
      </x:c>
      <x:c r="D374" s="20" t="str">
        <x:v>Maintenance request with supporting photo</x:v>
      </x:c>
      <x:c r="E374" s="20" t="str">
        <x:v>WorkOrder</x:v>
      </x:c>
      <x:c r="F374" s="35" t="str">
        <x:v>Direct scan draft</x:v>
      </x:c>
      <x:c r="G374" s="20" t="str">
        <x:v>Camera JPEG</x:v>
      </x:c>
      <x:c r="H374" s="20" t="str">
        <x:v>2 images</x:v>
      </x:c>
      <x:c r="I374" s="35" t="str">
        <x:v>handwritten tenant note plus issue photo</x:v>
      </x:c>
      <x:c r="J374" s="20" t="str">
        <x:v>P019</x:v>
      </x:c>
      <x:c r="K374" s="20" t="str">
        <x:v>U019</x:v>
      </x:c>
      <x:c r="L374" s="20" t="str"/>
      <x:c r="M374" s="20" t="str"/>
      <x:c r="N374" s="35" t="str">
        <x:v>requester; property; unit; issue; priority; permission to enter; preferred window; notes</x:v>
      </x:c>
      <x:c r="O374" s="35" t="str"/>
      <x:c r="P374" s="35" t="str">
        <x:v>Create a different work order manually from the other client and compare field validation.</x:v>
      </x:c>
      <x:c r="Q374" s="35" t="str">
        <x:v>Synthetic QA only; no real people, accounts, signatures, or properties</x:v>
      </x:c>
    </x:row>
    <x:row r="375">
      <x:c r="A375" s="20" t="str">
        <x:v>SCN-0372</x:v>
      </x:c>
      <x:c r="B375" s="23" t="n">
        <x:v>46483</x:v>
      </x:c>
      <x:c r="C375" s="20" t="str">
        <x:v>scn-0372-expense-20270406-014.pdf</x:v>
      </x:c>
      <x:c r="D375" s="20" t="str">
        <x:v>Vendor invoice / receipt</x:v>
      </x:c>
      <x:c r="E375" s="20" t="str">
        <x:v>Expense</x:v>
      </x:c>
      <x:c r="F375" s="35" t="str">
        <x:v>Direct scan draft with property/unit/work-order context</x:v>
      </x:c>
      <x:c r="G375" s="20" t="str">
        <x:v>PDF</x:v>
      </x:c>
      <x:c r="H375" s="20" t="str">
        <x:v>1-3 pages</x:v>
      </x:c>
      <x:c r="I375" s="35" t="str">
        <x:v>phone photo with shadow</x:v>
      </x:c>
      <x:c r="J375" s="20" t="str">
        <x:v>P019</x:v>
      </x:c>
      <x:c r="K375" s="20" t="str">
        <x:v>U019</x:v>
      </x:c>
      <x:c r="L375" s="20" t="str"/>
      <x:c r="M375" s="20" t="str">
        <x:v>FIN-01037</x:v>
      </x:c>
      <x:c r="N375" s="35" t="str">
        <x:v>vendor; invoice number; date; subtotal; tax; total; category; property; unit; line items; payment method</x:v>
      </x:c>
      <x:c r="O375" s="35" t="str"/>
      <x:c r="P375" s="35" t="str">
        <x:v>Create a different expense of the same category through the equivalent manual form on the other client.</x:v>
      </x:c>
      <x:c r="Q375" s="35" t="str">
        <x:v>Synthetic QA only; no real people, accounts, signatures, or properties</x:v>
      </x:c>
    </x:row>
    <x:row r="376">
      <x:c r="A376" s="20" t="str">
        <x:v>SCN-0373</x:v>
      </x:c>
      <x:c r="B376" s="23" t="n">
        <x:v>46489</x:v>
      </x:c>
      <x:c r="C376" s="20" t="str">
        <x:v>scn-0373-work-order-week-15.jpg</x:v>
      </x:c>
      <x:c r="D376" s="20" t="str">
        <x:v>Maintenance request with supporting photo</x:v>
      </x:c>
      <x:c r="E376" s="20" t="str">
        <x:v>WorkOrder</x:v>
      </x:c>
      <x:c r="F376" s="35" t="str">
        <x:v>Direct scan draft</x:v>
      </x:c>
      <x:c r="G376" s="20" t="str">
        <x:v>Camera JPEG</x:v>
      </x:c>
      <x:c r="H376" s="20" t="str">
        <x:v>2 images</x:v>
      </x:c>
      <x:c r="I376" s="35" t="str">
        <x:v>handwritten tenant note plus issue photo</x:v>
      </x:c>
      <x:c r="J376" s="20" t="str">
        <x:v>P023</x:v>
      </x:c>
      <x:c r="K376" s="20" t="str">
        <x:v>U026</x:v>
      </x:c>
      <x:c r="L376" s="20" t="str"/>
      <x:c r="M376" s="20" t="str"/>
      <x:c r="N376" s="35" t="str">
        <x:v>requester; property; unit; issue; priority; permission to enter; preferred window; notes</x:v>
      </x:c>
      <x:c r="O376" s="35" t="str"/>
      <x:c r="P376" s="35" t="str">
        <x:v>Create a different work order manually from the other client and compare field validation.</x:v>
      </x:c>
      <x:c r="Q376" s="35" t="str">
        <x:v>Synthetic QA only; no real people, accounts, signatures, or properties</x:v>
      </x:c>
    </x:row>
    <x:row r="377">
      <x:c r="A377" s="20" t="str">
        <x:v>SCN-0374</x:v>
      </x:c>
      <x:c r="B377" s="23" t="n">
        <x:v>46496</x:v>
      </x:c>
      <x:c r="C377" s="20" t="str">
        <x:v>scn-0374-work-order-week-16.jpg</x:v>
      </x:c>
      <x:c r="D377" s="20" t="str">
        <x:v>Maintenance request with supporting photo</x:v>
      </x:c>
      <x:c r="E377" s="20" t="str">
        <x:v>WorkOrder</x:v>
      </x:c>
      <x:c r="F377" s="35" t="str">
        <x:v>Direct scan draft</x:v>
      </x:c>
      <x:c r="G377" s="20" t="str">
        <x:v>Camera JPEG</x:v>
      </x:c>
      <x:c r="H377" s="20" t="str">
        <x:v>2 images</x:v>
      </x:c>
      <x:c r="I377" s="35" t="str">
        <x:v>handwritten tenant note plus issue photo</x:v>
      </x:c>
      <x:c r="J377" s="20" t="str">
        <x:v>P027</x:v>
      </x:c>
      <x:c r="K377" s="20" t="str">
        <x:v>U033</x:v>
      </x:c>
      <x:c r="L377" s="20" t="str"/>
      <x:c r="M377" s="20" t="str"/>
      <x:c r="N377" s="35" t="str">
        <x:v>requester; property; unit; issue; priority; permission to enter; preferred window; notes</x:v>
      </x:c>
      <x:c r="O377" s="35" t="str"/>
      <x:c r="P377" s="35" t="str">
        <x:v>Create a different work order manually from the other client and compare field validation.</x:v>
      </x:c>
      <x:c r="Q377" s="35" t="str">
        <x:v>Synthetic QA only; no real people, accounts, signatures, or properties</x:v>
      </x:c>
    </x:row>
    <x:row r="378">
      <x:c r="A378" s="20" t="str">
        <x:v>SCN-0375</x:v>
      </x:c>
      <x:c r="B378" s="23" t="n">
        <x:v>46497</x:v>
      </x:c>
      <x:c r="C378" s="20" t="str">
        <x:v>scn-0375-expense-20270420-016.pdf</x:v>
      </x:c>
      <x:c r="D378" s="20" t="str">
        <x:v>Vendor invoice / receipt</x:v>
      </x:c>
      <x:c r="E378" s="20" t="str">
        <x:v>Expense</x:v>
      </x:c>
      <x:c r="F378" s="35" t="str">
        <x:v>Direct scan draft with property/unit/work-order context</x:v>
      </x:c>
      <x:c r="G378" s="20" t="str">
        <x:v>PDF</x:v>
      </x:c>
      <x:c r="H378" s="20" t="str">
        <x:v>1-3 pages</x:v>
      </x:c>
      <x:c r="I378" s="35" t="str">
        <x:v>crumpled thermal receipt</x:v>
      </x:c>
      <x:c r="J378" s="20" t="str">
        <x:v>P027</x:v>
      </x:c>
      <x:c r="K378" s="20" t="str">
        <x:v>U033</x:v>
      </x:c>
      <x:c r="L378" s="20" t="str"/>
      <x:c r="M378" s="20" t="str">
        <x:v>FIN-01039</x:v>
      </x:c>
      <x:c r="N378" s="35" t="str">
        <x:v>vendor; invoice number; date; subtotal; tax; total; category; property; unit; line items; payment method</x:v>
      </x:c>
      <x:c r="O378" s="35" t="str"/>
      <x:c r="P378" s="35" t="str">
        <x:v>Create a different expense of the same category through the equivalent manual form on the other client.</x:v>
      </x:c>
      <x:c r="Q378" s="35" t="str">
        <x:v>Synthetic QA only; no real people, accounts, signatures, or properties</x:v>
      </x:c>
    </x:row>
    <x:row r="379">
      <x:c r="A379" s="20" t="str">
        <x:v>SCN-0376</x:v>
      </x:c>
      <x:c r="B379" s="23" t="n">
        <x:v>46503</x:v>
      </x:c>
      <x:c r="C379" s="20" t="str">
        <x:v>scn-0376-work-order-week-17.jpg</x:v>
      </x:c>
      <x:c r="D379" s="20" t="str">
        <x:v>Maintenance request with supporting photo</x:v>
      </x:c>
      <x:c r="E379" s="20" t="str">
        <x:v>WorkOrder</x:v>
      </x:c>
      <x:c r="F379" s="35" t="str">
        <x:v>Direct scan draft</x:v>
      </x:c>
      <x:c r="G379" s="20" t="str">
        <x:v>Camera JPEG</x:v>
      </x:c>
      <x:c r="H379" s="20" t="str">
        <x:v>2 images</x:v>
      </x:c>
      <x:c r="I379" s="35" t="str">
        <x:v>handwritten tenant note plus issue photo</x:v>
      </x:c>
      <x:c r="J379" s="20" t="str">
        <x:v>P030</x:v>
      </x:c>
      <x:c r="K379" s="20" t="str">
        <x:v>U040</x:v>
      </x:c>
      <x:c r="L379" s="20" t="str"/>
      <x:c r="M379" s="20" t="str"/>
      <x:c r="N379" s="35" t="str">
        <x:v>requester; property; unit; issue; priority; permission to enter; preferred window; notes</x:v>
      </x:c>
      <x:c r="O379" s="35" t="str"/>
      <x:c r="P379" s="35" t="str">
        <x:v>Create a different work order manually from the other client and compare field validation.</x:v>
      </x:c>
      <x:c r="Q379" s="35" t="str">
        <x:v>Synthetic QA only; no real people, accounts, signatures, or properties</x:v>
      </x:c>
    </x:row>
    <x:row r="380">
      <x:c r="A380" s="20" t="str">
        <x:v>SCN-0377</x:v>
      </x:c>
      <x:c r="B380" s="23" t="n">
        <x:v>46504</x:v>
      </x:c>
      <x:c r="C380" s="20" t="str">
        <x:v>scn-0377-expense-20270427-017.pdf</x:v>
      </x:c>
      <x:c r="D380" s="20" t="str">
        <x:v>Vendor invoice / receipt</x:v>
      </x:c>
      <x:c r="E380" s="20" t="str">
        <x:v>Expense</x:v>
      </x:c>
      <x:c r="F380" s="35" t="str">
        <x:v>Direct scan draft with property/unit/work-order context</x:v>
      </x:c>
      <x:c r="G380" s="20" t="str">
        <x:v>PDF</x:v>
      </x:c>
      <x:c r="H380" s="20" t="str">
        <x:v>1-3 pages</x:v>
      </x:c>
      <x:c r="I380" s="35" t="str">
        <x:v>phone photo with shadow</x:v>
      </x:c>
      <x:c r="J380" s="20" t="str">
        <x:v>P030</x:v>
      </x:c>
      <x:c r="K380" s="20" t="str">
        <x:v>U040</x:v>
      </x:c>
      <x:c r="L380" s="20" t="str"/>
      <x:c r="M380" s="20" t="str">
        <x:v>FIN-01040</x:v>
      </x:c>
      <x:c r="N380" s="35" t="str">
        <x:v>vendor; invoice number; date; subtotal; tax; total; category; property; unit; line items; payment method</x:v>
      </x:c>
      <x:c r="O380" s="35" t="str">
        <x:v>split tax/line items; duplicate invoice number</x:v>
      </x:c>
      <x:c r="P380" s="35" t="str">
        <x:v>Create a different expense of the same category through the equivalent manual form on the other client.</x:v>
      </x:c>
      <x:c r="Q380" s="35" t="str">
        <x:v>Synthetic QA only; no real people, accounts, signatures, or properties</x:v>
      </x:c>
    </x:row>
    <x:row r="381">
      <x:c r="A381" s="20" t="str">
        <x:v>SCN-0378</x:v>
      </x:c>
      <x:c r="B381" s="23" t="n">
        <x:v>46510</x:v>
      </x:c>
      <x:c r="C381" s="20" t="str">
        <x:v>scn-0378-work-order-week-18.jpg</x:v>
      </x:c>
      <x:c r="D381" s="20" t="str">
        <x:v>Maintenance request with supporting photo</x:v>
      </x:c>
      <x:c r="E381" s="20" t="str">
        <x:v>WorkOrder</x:v>
      </x:c>
      <x:c r="F381" s="35" t="str">
        <x:v>Direct scan draft</x:v>
      </x:c>
      <x:c r="G381" s="20" t="str">
        <x:v>Camera JPEG</x:v>
      </x:c>
      <x:c r="H381" s="20" t="str">
        <x:v>2 images</x:v>
      </x:c>
      <x:c r="I381" s="35" t="str">
        <x:v>handwritten tenant note plus issue photo</x:v>
      </x:c>
      <x:c r="J381" s="20" t="str">
        <x:v>P007</x:v>
      </x:c>
      <x:c r="K381" s="20" t="str">
        <x:v>U007</x:v>
      </x:c>
      <x:c r="L381" s="20" t="str"/>
      <x:c r="M381" s="20" t="str"/>
      <x:c r="N381" s="35" t="str">
        <x:v>requester; property; unit; issue; priority; permission to enter; preferred window; notes</x:v>
      </x:c>
      <x:c r="O381" s="35" t="str">
        <x:v>handwriting and one irrelevant photo</x:v>
      </x:c>
      <x:c r="P381" s="35" t="str">
        <x:v>Create a different work order manually from the other client and compare field validation.</x:v>
      </x:c>
      <x:c r="Q381" s="35" t="str">
        <x:v>Synthetic QA only; no real people, accounts, signatures, or properties</x:v>
      </x:c>
    </x:row>
    <x:row r="382">
      <x:c r="A382" s="20" t="str">
        <x:v>SCN-0379</x:v>
      </x:c>
      <x:c r="B382" s="23" t="n">
        <x:v>46511</x:v>
      </x:c>
      <x:c r="C382" s="20" t="str">
        <x:v>scn-0379-expense-20270504-018.jpg</x:v>
      </x:c>
      <x:c r="D382" s="20" t="str">
        <x:v>Vendor invoice / receipt</x:v>
      </x:c>
      <x:c r="E382" s="20" t="str">
        <x:v>Expense</x:v>
      </x:c>
      <x:c r="F382" s="35" t="str">
        <x:v>Direct scan draft with property/unit/work-order context</x:v>
      </x:c>
      <x:c r="G382" s="20" t="str">
        <x:v>Camera JPEG</x:v>
      </x:c>
      <x:c r="H382" s="20" t="str">
        <x:v>1-3 pages</x:v>
      </x:c>
      <x:c r="I382" s="35" t="str">
        <x:v>clean emailed invoice</x:v>
      </x:c>
      <x:c r="J382" s="20" t="str">
        <x:v>P007</x:v>
      </x:c>
      <x:c r="K382" s="20" t="str">
        <x:v>U007</x:v>
      </x:c>
      <x:c r="L382" s="20" t="str"/>
      <x:c r="M382" s="20" t="str">
        <x:v>FIN-01041</x:v>
      </x:c>
      <x:c r="N382" s="35" t="str">
        <x:v>vendor; invoice number; date; subtotal; tax; total; category; property; unit; line items; payment method</x:v>
      </x:c>
      <x:c r="O382" s="35" t="str"/>
      <x:c r="P382" s="35" t="str">
        <x:v>Create a different expense of the same category through the equivalent manual form on the other client.</x:v>
      </x:c>
      <x:c r="Q382" s="35" t="str">
        <x:v>Synthetic QA only; no real people, accounts, signatures, or properties</x:v>
      </x:c>
    </x:row>
    <x:row r="383">
      <x:c r="A383" s="20" t="str">
        <x:v>SCN-0380</x:v>
      </x:c>
      <x:c r="B383" s="23" t="n">
        <x:v>46517</x:v>
      </x:c>
      <x:c r="C383" s="20" t="str">
        <x:v>scn-0380-work-order-week-19.jpg</x:v>
      </x:c>
      <x:c r="D383" s="20" t="str">
        <x:v>Maintenance request with supporting photo</x:v>
      </x:c>
      <x:c r="E383" s="20" t="str">
        <x:v>WorkOrder</x:v>
      </x:c>
      <x:c r="F383" s="35" t="str">
        <x:v>Direct scan draft</x:v>
      </x:c>
      <x:c r="G383" s="20" t="str">
        <x:v>Camera JPEG</x:v>
      </x:c>
      <x:c r="H383" s="20" t="str">
        <x:v>2 images</x:v>
      </x:c>
      <x:c r="I383" s="35" t="str">
        <x:v>handwritten tenant note plus issue photo</x:v>
      </x:c>
      <x:c r="J383" s="20" t="str">
        <x:v>P014</x:v>
      </x:c>
      <x:c r="K383" s="20" t="str">
        <x:v>U014</x:v>
      </x:c>
      <x:c r="L383" s="20" t="str"/>
      <x:c r="M383" s="20" t="str"/>
      <x:c r="N383" s="35" t="str">
        <x:v>requester; property; unit; issue; priority; permission to enter; preferred window; notes</x:v>
      </x:c>
      <x:c r="O383" s="35" t="str"/>
      <x:c r="P383" s="35" t="str">
        <x:v>Create a different work order manually from the other client and compare field validation.</x:v>
      </x:c>
      <x:c r="Q383" s="35" t="str">
        <x:v>Synthetic QA only; no real people, accounts, signatures, or properties</x:v>
      </x:c>
    </x:row>
    <x:row r="384">
      <x:c r="A384" s="20" t="str">
        <x:v>SCN-0381</x:v>
      </x:c>
      <x:c r="B384" s="23" t="n">
        <x:v>46518</x:v>
      </x:c>
      <x:c r="C384" s="20" t="str">
        <x:v>scn-0381-expense-20270511-019.pdf</x:v>
      </x:c>
      <x:c r="D384" s="20" t="str">
        <x:v>Vendor invoice / receipt</x:v>
      </x:c>
      <x:c r="E384" s="20" t="str">
        <x:v>Expense</x:v>
      </x:c>
      <x:c r="F384" s="35" t="str">
        <x:v>Direct scan draft with property/unit/work-order context</x:v>
      </x:c>
      <x:c r="G384" s="20" t="str">
        <x:v>PDF</x:v>
      </x:c>
      <x:c r="H384" s="20" t="str">
        <x:v>1-3 pages</x:v>
      </x:c>
      <x:c r="I384" s="35" t="str">
        <x:v>crumpled thermal receipt</x:v>
      </x:c>
      <x:c r="J384" s="20" t="str">
        <x:v>P014</x:v>
      </x:c>
      <x:c r="K384" s="20" t="str">
        <x:v>U014</x:v>
      </x:c>
      <x:c r="L384" s="20" t="str"/>
      <x:c r="M384" s="20" t="str">
        <x:v>FIN-01042</x:v>
      </x:c>
      <x:c r="N384" s="35" t="str">
        <x:v>vendor; invoice number; date; subtotal; tax; total; category; property; unit; line items; payment method</x:v>
      </x:c>
      <x:c r="O384" s="35" t="str"/>
      <x:c r="P384" s="35" t="str">
        <x:v>Create a different expense of the same category through the equivalent manual form on the other client.</x:v>
      </x:c>
      <x:c r="Q384" s="35" t="str">
        <x:v>Synthetic QA only; no real people, accounts, signatures, or properties</x:v>
      </x:c>
    </x:row>
    <x:row r="385">
      <x:c r="A385" s="20" t="str">
        <x:v>SCN-0382</x:v>
      </x:c>
      <x:c r="B385" s="23" t="n">
        <x:v>46524</x:v>
      </x:c>
      <x:c r="C385" s="20" t="str">
        <x:v>scn-0382-work-order-week-20.jpg</x:v>
      </x:c>
      <x:c r="D385" s="20" t="str">
        <x:v>Maintenance request with supporting photo</x:v>
      </x:c>
      <x:c r="E385" s="20" t="str">
        <x:v>WorkOrder</x:v>
      </x:c>
      <x:c r="F385" s="35" t="str">
        <x:v>Direct scan draft</x:v>
      </x:c>
      <x:c r="G385" s="20" t="str">
        <x:v>Camera JPEG</x:v>
      </x:c>
      <x:c r="H385" s="20" t="str">
        <x:v>2 images</x:v>
      </x:c>
      <x:c r="I385" s="35" t="str">
        <x:v>handwritten tenant note plus issue photo</x:v>
      </x:c>
      <x:c r="J385" s="20" t="str">
        <x:v>P021</x:v>
      </x:c>
      <x:c r="K385" s="20" t="str">
        <x:v>U021</x:v>
      </x:c>
      <x:c r="L385" s="20" t="str"/>
      <x:c r="M385" s="20" t="str"/>
      <x:c r="N385" s="35" t="str">
        <x:v>requester; property; unit; issue; priority; permission to enter; preferred window; notes</x:v>
      </x:c>
      <x:c r="O385" s="35" t="str"/>
      <x:c r="P385" s="35" t="str">
        <x:v>Create a different work order manually from the other client and compare field validation.</x:v>
      </x:c>
      <x:c r="Q385" s="35" t="str">
        <x:v>Synthetic QA only; no real people, accounts, signatures, or properties</x:v>
      </x:c>
    </x:row>
    <x:row r="386">
      <x:c r="A386" s="20" t="str">
        <x:v>SCN-0383</x:v>
      </x:c>
      <x:c r="B386" s="23" t="n">
        <x:v>46531</x:v>
      </x:c>
      <x:c r="C386" s="20" t="str">
        <x:v>scn-0383-work-order-week-21.jpg</x:v>
      </x:c>
      <x:c r="D386" s="20" t="str">
        <x:v>Maintenance request with supporting photo</x:v>
      </x:c>
      <x:c r="E386" s="20" t="str">
        <x:v>WorkOrder</x:v>
      </x:c>
      <x:c r="F386" s="35" t="str">
        <x:v>Direct scan draft</x:v>
      </x:c>
      <x:c r="G386" s="20" t="str">
        <x:v>Camera JPEG</x:v>
      </x:c>
      <x:c r="H386" s="20" t="str">
        <x:v>2 images</x:v>
      </x:c>
      <x:c r="I386" s="35" t="str">
        <x:v>handwritten tenant note plus issue photo</x:v>
      </x:c>
      <x:c r="J386" s="20" t="str">
        <x:v>P024</x:v>
      </x:c>
      <x:c r="K386" s="20" t="str">
        <x:v>U028</x:v>
      </x:c>
      <x:c r="L386" s="20" t="str"/>
      <x:c r="M386" s="20" t="str"/>
      <x:c r="N386" s="35" t="str">
        <x:v>requester; property; unit; issue; priority; permission to enter; preferred window; notes</x:v>
      </x:c>
      <x:c r="O386" s="35" t="str"/>
      <x:c r="P386" s="35" t="str">
        <x:v>Create a different work order manually from the other client and compare field validation.</x:v>
      </x:c>
      <x:c r="Q386" s="35" t="str">
        <x:v>Synthetic QA only; no real people, accounts, signatures, or properties</x:v>
      </x:c>
    </x:row>
    <x:row r="387">
      <x:c r="A387" s="20" t="str">
        <x:v>SCN-0384</x:v>
      </x:c>
      <x:c r="B387" s="23" t="n">
        <x:v>46532</x:v>
      </x:c>
      <x:c r="C387" s="20" t="str">
        <x:v>scn-0384-expense-20270525-021.jpg</x:v>
      </x:c>
      <x:c r="D387" s="20" t="str">
        <x:v>Vendor invoice / receipt</x:v>
      </x:c>
      <x:c r="E387" s="20" t="str">
        <x:v>Expense</x:v>
      </x:c>
      <x:c r="F387" s="35" t="str">
        <x:v>Direct scan draft with property/unit/work-order context</x:v>
      </x:c>
      <x:c r="G387" s="20" t="str">
        <x:v>Camera JPEG</x:v>
      </x:c>
      <x:c r="H387" s="20" t="str">
        <x:v>1-3 pages</x:v>
      </x:c>
      <x:c r="I387" s="35" t="str">
        <x:v>clean emailed invoice</x:v>
      </x:c>
      <x:c r="J387" s="20" t="str">
        <x:v>P024</x:v>
      </x:c>
      <x:c r="K387" s="20" t="str">
        <x:v>U028</x:v>
      </x:c>
      <x:c r="L387" s="20" t="str"/>
      <x:c r="M387" s="20" t="str">
        <x:v>FIN-01044</x:v>
      </x:c>
      <x:c r="N387" s="35" t="str">
        <x:v>vendor; invoice number; date; subtotal; tax; total; category; property; unit; line items; payment method</x:v>
      </x:c>
      <x:c r="O387" s="35" t="str"/>
      <x:c r="P387" s="35" t="str">
        <x:v>Create a different expense of the same category through the equivalent manual form on the other client.</x:v>
      </x:c>
      <x:c r="Q387" s="35" t="str">
        <x:v>Synthetic QA only; no real people, accounts, signatures, or properties</x:v>
      </x:c>
    </x:row>
    <x:row r="388">
      <x:c r="A388" s="20" t="str">
        <x:v>SCN-0385</x:v>
      </x:c>
      <x:c r="B388" s="23" t="n">
        <x:v>46538</x:v>
      </x:c>
      <x:c r="C388" s="20" t="str">
        <x:v>scn-0385-work-order-week-22.jpg</x:v>
      </x:c>
      <x:c r="D388" s="20" t="str">
        <x:v>Maintenance request with supporting photo</x:v>
      </x:c>
      <x:c r="E388" s="20" t="str">
        <x:v>WorkOrder</x:v>
      </x:c>
      <x:c r="F388" s="35" t="str">
        <x:v>Direct scan draft</x:v>
      </x:c>
      <x:c r="G388" s="20" t="str">
        <x:v>Camera JPEG</x:v>
      </x:c>
      <x:c r="H388" s="20" t="str">
        <x:v>2 images</x:v>
      </x:c>
      <x:c r="I388" s="35" t="str">
        <x:v>handwritten tenant note plus issue photo</x:v>
      </x:c>
      <x:c r="J388" s="20" t="str">
        <x:v>P028</x:v>
      </x:c>
      <x:c r="K388" s="20" t="str">
        <x:v>U035</x:v>
      </x:c>
      <x:c r="L388" s="20" t="str"/>
      <x:c r="M388" s="20" t="str"/>
      <x:c r="N388" s="35" t="str">
        <x:v>requester; property; unit; issue; priority; permission to enter; preferred window; notes</x:v>
      </x:c>
      <x:c r="O388" s="35" t="str"/>
      <x:c r="P388" s="35" t="str">
        <x:v>Create a different work order manually from the other client and compare field validation.</x:v>
      </x:c>
      <x:c r="Q388" s="35" t="str">
        <x:v>Synthetic QA only; no real people, accounts, signatures, or properties</x:v>
      </x:c>
    </x:row>
    <x:row r="389">
      <x:c r="A389" s="20" t="str">
        <x:v>SCN-0386</x:v>
      </x:c>
      <x:c r="B389" s="23" t="n">
        <x:v>46539</x:v>
      </x:c>
      <x:c r="C389" s="20" t="str">
        <x:v>scn-0386-expense-20270601-022.pdf</x:v>
      </x:c>
      <x:c r="D389" s="20" t="str">
        <x:v>Vendor invoice / receipt</x:v>
      </x:c>
      <x:c r="E389" s="20" t="str">
        <x:v>Expense</x:v>
      </x:c>
      <x:c r="F389" s="35" t="str">
        <x:v>Direct scan draft with property/unit/work-order context</x:v>
      </x:c>
      <x:c r="G389" s="20" t="str">
        <x:v>PDF</x:v>
      </x:c>
      <x:c r="H389" s="20" t="str">
        <x:v>1-3 pages</x:v>
      </x:c>
      <x:c r="I389" s="35" t="str">
        <x:v>crumpled thermal receipt</x:v>
      </x:c>
      <x:c r="J389" s="20" t="str">
        <x:v>P028</x:v>
      </x:c>
      <x:c r="K389" s="20" t="str">
        <x:v>U035</x:v>
      </x:c>
      <x:c r="L389" s="20" t="str"/>
      <x:c r="M389" s="20" t="str">
        <x:v>FIN-01045</x:v>
      </x:c>
      <x:c r="N389" s="35" t="str">
        <x:v>vendor; invoice number; date; subtotal; tax; total; category; property; unit; line items; payment method</x:v>
      </x:c>
      <x:c r="O389" s="35" t="str"/>
      <x:c r="P389" s="35" t="str">
        <x:v>Create a different expense of the same category through the equivalent manual form on the other client.</x:v>
      </x:c>
      <x:c r="Q389" s="35" t="str">
        <x:v>Synthetic QA only; no real people, accounts, signatures, or properties</x:v>
      </x:c>
    </x:row>
    <x:row r="390">
      <x:c r="A390" s="20" t="str">
        <x:v>SCN-0387</x:v>
      </x:c>
      <x:c r="B390" s="23" t="n">
        <x:v>46545</x:v>
      </x:c>
      <x:c r="C390" s="20" t="str">
        <x:v>scn-0387-work-order-week-23.jpg</x:v>
      </x:c>
      <x:c r="D390" s="20" t="str">
        <x:v>Maintenance request with supporting photo</x:v>
      </x:c>
      <x:c r="E390" s="20" t="str">
        <x:v>WorkOrder</x:v>
      </x:c>
      <x:c r="F390" s="35" t="str">
        <x:v>Direct scan draft</x:v>
      </x:c>
      <x:c r="G390" s="20" t="str">
        <x:v>Camera JPEG</x:v>
      </x:c>
      <x:c r="H390" s="20" t="str">
        <x:v>2 images</x:v>
      </x:c>
      <x:c r="I390" s="35" t="str">
        <x:v>handwritten tenant note plus issue photo</x:v>
      </x:c>
      <x:c r="J390" s="20" t="str">
        <x:v>P002</x:v>
      </x:c>
      <x:c r="K390" s="20" t="str">
        <x:v>U002</x:v>
      </x:c>
      <x:c r="L390" s="20" t="str"/>
      <x:c r="M390" s="20" t="str"/>
      <x:c r="N390" s="35" t="str">
        <x:v>requester; property; unit; issue; priority; permission to enter; preferred window; notes</x:v>
      </x:c>
      <x:c r="O390" s="35" t="str"/>
      <x:c r="P390" s="35" t="str">
        <x:v>Create a different work order manually from the other client and compare field validation.</x:v>
      </x:c>
      <x:c r="Q390" s="35" t="str">
        <x:v>Synthetic QA only; no real people, accounts, signatures, or properties</x:v>
      </x:c>
    </x:row>
    <x:row r="391">
      <x:c r="A391" s="20" t="str">
        <x:v>SCN-0388</x:v>
      </x:c>
      <x:c r="B391" s="23" t="n">
        <x:v>46546</x:v>
      </x:c>
      <x:c r="C391" s="20" t="str">
        <x:v>scn-0388-expense-20270608-023.pdf</x:v>
      </x:c>
      <x:c r="D391" s="20" t="str">
        <x:v>Vendor invoice / receipt</x:v>
      </x:c>
      <x:c r="E391" s="20" t="str">
        <x:v>Expense</x:v>
      </x:c>
      <x:c r="F391" s="35" t="str">
        <x:v>Direct scan draft with property/unit/work-order context</x:v>
      </x:c>
      <x:c r="G391" s="20" t="str">
        <x:v>PDF</x:v>
      </x:c>
      <x:c r="H391" s="20" t="str">
        <x:v>1-3 pages</x:v>
      </x:c>
      <x:c r="I391" s="35" t="str">
        <x:v>phone photo with shadow</x:v>
      </x:c>
      <x:c r="J391" s="20" t="str">
        <x:v>P002</x:v>
      </x:c>
      <x:c r="K391" s="20" t="str">
        <x:v>U002</x:v>
      </x:c>
      <x:c r="L391" s="20" t="str"/>
      <x:c r="M391" s="20" t="str">
        <x:v>FIN-01046</x:v>
      </x:c>
      <x:c r="N391" s="35" t="str">
        <x:v>vendor; invoice number; date; subtotal; tax; total; category; property; unit; line items; payment method</x:v>
      </x:c>
      <x:c r="O391" s="35" t="str"/>
      <x:c r="P391" s="35" t="str">
        <x:v>Create a different expense of the same category through the equivalent manual form on the other client.</x:v>
      </x:c>
      <x:c r="Q391" s="35" t="str">
        <x:v>Synthetic QA only; no real people, accounts, signatures, or properties</x:v>
      </x:c>
    </x:row>
    <x:row r="392">
      <x:c r="A392" s="20" t="str">
        <x:v>SCN-0389</x:v>
      </x:c>
      <x:c r="B392" s="23" t="n">
        <x:v>46552</x:v>
      </x:c>
      <x:c r="C392" s="20" t="str">
        <x:v>scn-0389-work-order-week-24.jpg</x:v>
      </x:c>
      <x:c r="D392" s="20" t="str">
        <x:v>Maintenance request with supporting photo</x:v>
      </x:c>
      <x:c r="E392" s="20" t="str">
        <x:v>WorkOrder</x:v>
      </x:c>
      <x:c r="F392" s="35" t="str">
        <x:v>Direct scan draft</x:v>
      </x:c>
      <x:c r="G392" s="20" t="str">
        <x:v>Camera JPEG</x:v>
      </x:c>
      <x:c r="H392" s="20" t="str">
        <x:v>2 images</x:v>
      </x:c>
      <x:c r="I392" s="35" t="str">
        <x:v>handwritten tenant note plus issue photo</x:v>
      </x:c>
      <x:c r="J392" s="20" t="str">
        <x:v>P009</x:v>
      </x:c>
      <x:c r="K392" s="20" t="str">
        <x:v>U009</x:v>
      </x:c>
      <x:c r="L392" s="20" t="str"/>
      <x:c r="M392" s="20" t="str"/>
      <x:c r="N392" s="35" t="str">
        <x:v>requester; property; unit; issue; priority; permission to enter; preferred window; notes</x:v>
      </x:c>
      <x:c r="O392" s="35" t="str"/>
      <x:c r="P392" s="35" t="str">
        <x:v>Create a different work order manually from the other client and compare field validation.</x:v>
      </x:c>
      <x:c r="Q392" s="35" t="str">
        <x:v>Synthetic QA only; no real people, accounts, signatures, or properties</x:v>
      </x:c>
    </x:row>
    <x:row r="393">
      <x:c r="A393" s="20" t="str">
        <x:v>SCN-0390</x:v>
      </x:c>
      <x:c r="B393" s="23" t="n">
        <x:v>46553</x:v>
      </x:c>
      <x:c r="C393" s="20" t="str">
        <x:v>scn-0390-expense-20270615-024.jpg</x:v>
      </x:c>
      <x:c r="D393" s="20" t="str">
        <x:v>Vendor invoice / receipt</x:v>
      </x:c>
      <x:c r="E393" s="20" t="str">
        <x:v>Expense</x:v>
      </x:c>
      <x:c r="F393" s="35" t="str">
        <x:v>Direct scan draft with property/unit/work-order context</x:v>
      </x:c>
      <x:c r="G393" s="20" t="str">
        <x:v>Camera JPEG</x:v>
      </x:c>
      <x:c r="H393" s="20" t="str">
        <x:v>1-3 pages</x:v>
      </x:c>
      <x:c r="I393" s="35" t="str">
        <x:v>clean emailed invoice</x:v>
      </x:c>
      <x:c r="J393" s="20" t="str">
        <x:v>P009</x:v>
      </x:c>
      <x:c r="K393" s="20" t="str">
        <x:v>U009</x:v>
      </x:c>
      <x:c r="L393" s="20" t="str"/>
      <x:c r="M393" s="20" t="str">
        <x:v>FIN-01047</x:v>
      </x:c>
      <x:c r="N393" s="35" t="str">
        <x:v>vendor; invoice number; date; subtotal; tax; total; category; property; unit; line items; payment method</x:v>
      </x:c>
      <x:c r="O393" s="35" t="str"/>
      <x:c r="P393" s="35" t="str">
        <x:v>Create a different expense of the same category through the equivalent manual form on the other client.</x:v>
      </x:c>
      <x:c r="Q393" s="35" t="str">
        <x:v>Synthetic QA only; no real people, accounts, signatures, or properties</x:v>
      </x:c>
    </x:row>
    <x:row r="394">
      <x:c r="A394" s="20" t="str">
        <x:v>SCN-0391</x:v>
      </x:c>
      <x:c r="B394" s="23" t="n">
        <x:v>46559</x:v>
      </x:c>
      <x:c r="C394" s="20" t="str">
        <x:v>scn-0391-work-order-week-25.jpg</x:v>
      </x:c>
      <x:c r="D394" s="20" t="str">
        <x:v>Maintenance request with supporting photo</x:v>
      </x:c>
      <x:c r="E394" s="20" t="str">
        <x:v>WorkOrder</x:v>
      </x:c>
      <x:c r="F394" s="35" t="str">
        <x:v>Direct scan draft</x:v>
      </x:c>
      <x:c r="G394" s="20" t="str">
        <x:v>Camera JPEG</x:v>
      </x:c>
      <x:c r="H394" s="20" t="str">
        <x:v>2 images</x:v>
      </x:c>
      <x:c r="I394" s="35" t="str">
        <x:v>handwritten tenant note plus issue photo</x:v>
      </x:c>
      <x:c r="J394" s="20" t="str">
        <x:v>P016</x:v>
      </x:c>
      <x:c r="K394" s="20" t="str">
        <x:v>U016</x:v>
      </x:c>
      <x:c r="L394" s="20" t="str"/>
      <x:c r="M394" s="20" t="str"/>
      <x:c r="N394" s="35" t="str">
        <x:v>requester; property; unit; issue; priority; permission to enter; preferred window; notes</x:v>
      </x:c>
      <x:c r="O394" s="35" t="str"/>
      <x:c r="P394" s="35" t="str">
        <x:v>Create a different work order manually from the other client and compare field validation.</x:v>
      </x:c>
      <x:c r="Q394" s="35" t="str">
        <x:v>Synthetic QA only; no real people, accounts, signatures, or properties</x:v>
      </x:c>
    </x:row>
    <x:row r="395">
      <x:c r="A395" s="20" t="str">
        <x:v>SCN-0392</x:v>
      </x:c>
      <x:c r="B395" s="23" t="n">
        <x:v>46566</x:v>
      </x:c>
      <x:c r="C395" s="20" t="str">
        <x:v>scn-0392-work-order-week-26.jpg</x:v>
      </x:c>
      <x:c r="D395" s="20" t="str">
        <x:v>Maintenance request with supporting photo</x:v>
      </x:c>
      <x:c r="E395" s="20" t="str">
        <x:v>WorkOrder</x:v>
      </x:c>
      <x:c r="F395" s="35" t="str">
        <x:v>Direct scan draft</x:v>
      </x:c>
      <x:c r="G395" s="20" t="str">
        <x:v>Camera JPEG</x:v>
      </x:c>
      <x:c r="H395" s="20" t="str">
        <x:v>2 images</x:v>
      </x:c>
      <x:c r="I395" s="35" t="str">
        <x:v>handwritten tenant note plus issue photo</x:v>
      </x:c>
      <x:c r="J395" s="20" t="str">
        <x:v>P022</x:v>
      </x:c>
      <x:c r="K395" s="20" t="str">
        <x:v>U023</x:v>
      </x:c>
      <x:c r="L395" s="20" t="str"/>
      <x:c r="M395" s="20" t="str"/>
      <x:c r="N395" s="35" t="str">
        <x:v>requester; property; unit; issue; priority; permission to enter; preferred window; notes</x:v>
      </x:c>
      <x:c r="O395" s="35" t="str"/>
      <x:c r="P395" s="35" t="str">
        <x:v>Create a different work order manually from the other client and compare field validation.</x:v>
      </x:c>
      <x:c r="Q395" s="35" t="str">
        <x:v>Synthetic QA only; no real people, accounts, signatures, or properties</x:v>
      </x:c>
    </x:row>
    <x:row r="396">
      <x:c r="A396" s="20" t="str">
        <x:v>SCN-0393</x:v>
      </x:c>
      <x:c r="B396" s="23" t="n">
        <x:v>46567</x:v>
      </x:c>
      <x:c r="C396" s="20" t="str">
        <x:v>scn-0393-expense-20270629-026.pdf</x:v>
      </x:c>
      <x:c r="D396" s="20" t="str">
        <x:v>Vendor invoice / receipt</x:v>
      </x:c>
      <x:c r="E396" s="20" t="str">
        <x:v>Expense</x:v>
      </x:c>
      <x:c r="F396" s="35" t="str">
        <x:v>Direct scan draft with property/unit/work-order context</x:v>
      </x:c>
      <x:c r="G396" s="20" t="str">
        <x:v>PDF</x:v>
      </x:c>
      <x:c r="H396" s="20" t="str">
        <x:v>1-3 pages</x:v>
      </x:c>
      <x:c r="I396" s="35" t="str">
        <x:v>phone photo with shadow</x:v>
      </x:c>
      <x:c r="J396" s="20" t="str">
        <x:v>P022</x:v>
      </x:c>
      <x:c r="K396" s="20" t="str">
        <x:v>U023</x:v>
      </x:c>
      <x:c r="L396" s="20" t="str"/>
      <x:c r="M396" s="20" t="str">
        <x:v>FIN-01049</x:v>
      </x:c>
      <x:c r="N396" s="35" t="str">
        <x:v>vendor; invoice number; date; subtotal; tax; total; category; property; unit; line items; payment method</x:v>
      </x:c>
      <x:c r="O396" s="35" t="str"/>
      <x:c r="P396" s="35" t="str">
        <x:v>Create a different expense of the same category through the equivalent manual form on the other client.</x:v>
      </x:c>
      <x:c r="Q396" s="35" t="str">
        <x:v>Synthetic QA only; no real people, accounts, signatures, or properties</x:v>
      </x:c>
    </x:row>
    <x:row r="397">
      <x:c r="A397" s="20" t="str">
        <x:v>SCN-0394</x:v>
      </x:c>
      <x:c r="B397" s="23" t="n">
        <x:v>46573</x:v>
      </x:c>
      <x:c r="C397" s="20" t="str">
        <x:v>scn-0394-work-order-week-27.jpg</x:v>
      </x:c>
      <x:c r="D397" s="20" t="str">
        <x:v>Maintenance request with supporting photo</x:v>
      </x:c>
      <x:c r="E397" s="20" t="str">
        <x:v>WorkOrder</x:v>
      </x:c>
      <x:c r="F397" s="35" t="str">
        <x:v>Direct scan draft</x:v>
      </x:c>
      <x:c r="G397" s="20" t="str">
        <x:v>Camera JPEG</x:v>
      </x:c>
      <x:c r="H397" s="20" t="str">
        <x:v>2 images</x:v>
      </x:c>
      <x:c r="I397" s="35" t="str">
        <x:v>handwritten tenant note plus issue photo</x:v>
      </x:c>
      <x:c r="J397" s="20" t="str">
        <x:v>P025</x:v>
      </x:c>
      <x:c r="K397" s="20" t="str">
        <x:v>U030</x:v>
      </x:c>
      <x:c r="L397" s="20" t="str"/>
      <x:c r="M397" s="20" t="str"/>
      <x:c r="N397" s="35" t="str">
        <x:v>requester; property; unit; issue; priority; permission to enter; preferred window; notes</x:v>
      </x:c>
      <x:c r="O397" s="35" t="str">
        <x:v>handwriting and one irrelevant photo</x:v>
      </x:c>
      <x:c r="P397" s="35" t="str">
        <x:v>Create a different work order manually from the other client and compare field validation.</x:v>
      </x:c>
      <x:c r="Q397" s="35" t="str">
        <x:v>Synthetic QA only; no real people, accounts, signatures, or properties</x:v>
      </x:c>
    </x:row>
    <x:row r="398">
      <x:c r="A398" s="20" t="str">
        <x:v>SCN-0395</x:v>
      </x:c>
      <x:c r="B398" s="23" t="n">
        <x:v>46574</x:v>
      </x:c>
      <x:c r="C398" s="20" t="str">
        <x:v>scn-0395-expense-20270706-027.jpg</x:v>
      </x:c>
      <x:c r="D398" s="20" t="str">
        <x:v>Vendor invoice / receipt</x:v>
      </x:c>
      <x:c r="E398" s="20" t="str">
        <x:v>Expense</x:v>
      </x:c>
      <x:c r="F398" s="35" t="str">
        <x:v>Direct scan draft with property/unit/work-order context</x:v>
      </x:c>
      <x:c r="G398" s="20" t="str">
        <x:v>Camera JPEG</x:v>
      </x:c>
      <x:c r="H398" s="20" t="str">
        <x:v>1-3 pages</x:v>
      </x:c>
      <x:c r="I398" s="35" t="str">
        <x:v>clean emailed invoice</x:v>
      </x:c>
      <x:c r="J398" s="20" t="str">
        <x:v>P025</x:v>
      </x:c>
      <x:c r="K398" s="20" t="str">
        <x:v>U030</x:v>
      </x:c>
      <x:c r="L398" s="20" t="str"/>
      <x:c r="M398" s="20" t="str">
        <x:v>FIN-01050</x:v>
      </x:c>
      <x:c r="N398" s="35" t="str">
        <x:v>vendor; invoice number; date; subtotal; tax; total; category; property; unit; line items; payment method</x:v>
      </x:c>
      <x:c r="O398" s="35" t="str"/>
      <x:c r="P398" s="35" t="str">
        <x:v>Create a different expense of the same category through the equivalent manual form on the other client.</x:v>
      </x:c>
      <x:c r="Q398" s="35" t="str">
        <x:v>Synthetic QA only; no real people, accounts, signatures, or properties</x:v>
      </x:c>
    </x:row>
    <x:row r="399">
      <x:c r="A399" s="20" t="str">
        <x:v>SCN-0396</x:v>
      </x:c>
      <x:c r="B399" s="23" t="n">
        <x:v>46580</x:v>
      </x:c>
      <x:c r="C399" s="20" t="str">
        <x:v>scn-0396-work-order-week-28.jpg</x:v>
      </x:c>
      <x:c r="D399" s="20" t="str">
        <x:v>Maintenance request with supporting photo</x:v>
      </x:c>
      <x:c r="E399" s="20" t="str">
        <x:v>WorkOrder</x:v>
      </x:c>
      <x:c r="F399" s="35" t="str">
        <x:v>Direct scan draft</x:v>
      </x:c>
      <x:c r="G399" s="20" t="str">
        <x:v>Camera JPEG</x:v>
      </x:c>
      <x:c r="H399" s="20" t="str">
        <x:v>2 images</x:v>
      </x:c>
      <x:c r="I399" s="35" t="str">
        <x:v>handwritten tenant note plus issue photo</x:v>
      </x:c>
      <x:c r="J399" s="20" t="str">
        <x:v>P029</x:v>
      </x:c>
      <x:c r="K399" s="20" t="str">
        <x:v>U037</x:v>
      </x:c>
      <x:c r="L399" s="20" t="str"/>
      <x:c r="M399" s="20" t="str"/>
      <x:c r="N399" s="35" t="str">
        <x:v>requester; property; unit; issue; priority; permission to enter; preferred window; notes</x:v>
      </x:c>
      <x:c r="O399" s="35" t="str"/>
      <x:c r="P399" s="35" t="str">
        <x:v>Create a different work order manually from the other client and compare field validation.</x:v>
      </x:c>
      <x:c r="Q399" s="35" t="str">
        <x:v>Synthetic QA only; no real people, accounts, signatures, or properties</x:v>
      </x:c>
    </x:row>
    <x:row r="400">
      <x:c r="A400" s="20" t="str">
        <x:v>SCN-0397</x:v>
      </x:c>
      <x:c r="B400" s="23" t="n">
        <x:v>46581</x:v>
      </x:c>
      <x:c r="C400" s="20" t="str">
        <x:v>scn-0397-expense-20270713-028.pdf</x:v>
      </x:c>
      <x:c r="D400" s="20" t="str">
        <x:v>Vendor invoice / receipt</x:v>
      </x:c>
      <x:c r="E400" s="20" t="str">
        <x:v>Expense</x:v>
      </x:c>
      <x:c r="F400" s="35" t="str">
        <x:v>Direct scan draft with property/unit/work-order context</x:v>
      </x:c>
      <x:c r="G400" s="20" t="str">
        <x:v>PDF</x:v>
      </x:c>
      <x:c r="H400" s="20" t="str">
        <x:v>1-3 pages</x:v>
      </x:c>
      <x:c r="I400" s="35" t="str">
        <x:v>crumpled thermal receipt</x:v>
      </x:c>
      <x:c r="J400" s="20" t="str">
        <x:v>P029</x:v>
      </x:c>
      <x:c r="K400" s="20" t="str">
        <x:v>U037</x:v>
      </x:c>
      <x:c r="L400" s="20" t="str"/>
      <x:c r="M400" s="20" t="str">
        <x:v>FIN-01051</x:v>
      </x:c>
      <x:c r="N400" s="35" t="str">
        <x:v>vendor; invoice number; date; subtotal; tax; total; category; property; unit; line items; payment method</x:v>
      </x:c>
      <x:c r="O400" s="35" t="str"/>
      <x:c r="P400" s="35" t="str">
        <x:v>Create a different expense of the same category through the equivalent manual form on the other client.</x:v>
      </x:c>
      <x:c r="Q400" s="35" t="str">
        <x:v>Synthetic QA only; no real people, accounts, signatures, or properties</x:v>
      </x:c>
    </x:row>
    <x:row r="401">
      <x:c r="A401" s="20" t="str">
        <x:v>SCN-0398</x:v>
      </x:c>
      <x:c r="B401" s="23" t="n">
        <x:v>46587</x:v>
      </x:c>
      <x:c r="C401" s="20" t="str">
        <x:v>scn-0398-work-order-week-29.jpg</x:v>
      </x:c>
      <x:c r="D401" s="20" t="str">
        <x:v>Maintenance request with supporting photo</x:v>
      </x:c>
      <x:c r="E401" s="20" t="str">
        <x:v>WorkOrder</x:v>
      </x:c>
      <x:c r="F401" s="35" t="str">
        <x:v>Direct scan draft</x:v>
      </x:c>
      <x:c r="G401" s="20" t="str">
        <x:v>Camera JPEG</x:v>
      </x:c>
      <x:c r="H401" s="20" t="str">
        <x:v>2 images</x:v>
      </x:c>
      <x:c r="I401" s="35" t="str">
        <x:v>handwritten tenant note plus issue photo</x:v>
      </x:c>
      <x:c r="J401" s="20" t="str">
        <x:v>P004</x:v>
      </x:c>
      <x:c r="K401" s="20" t="str">
        <x:v>U004</x:v>
      </x:c>
      <x:c r="L401" s="20" t="str"/>
      <x:c r="M401" s="20" t="str"/>
      <x:c r="N401" s="35" t="str">
        <x:v>requester; property; unit; issue; priority; permission to enter; preferred window; notes</x:v>
      </x:c>
      <x:c r="O401" s="35" t="str"/>
      <x:c r="P401" s="35" t="str">
        <x:v>Create a different work order manually from the other client and compare field validation.</x:v>
      </x:c>
      <x:c r="Q401" s="35" t="str">
        <x:v>Synthetic QA only; no real people, accounts, signatures, or properties</x:v>
      </x:c>
    </x:row>
    <x:row r="402">
      <x:c r="A402" s="20" t="str">
        <x:v>SCN-0399</x:v>
      </x:c>
      <x:c r="B402" s="23" t="n">
        <x:v>46588</x:v>
      </x:c>
      <x:c r="C402" s="20" t="str">
        <x:v>scn-0399-expense-20270720-029.pdf</x:v>
      </x:c>
      <x:c r="D402" s="20" t="str">
        <x:v>Vendor invoice / receipt</x:v>
      </x:c>
      <x:c r="E402" s="20" t="str">
        <x:v>Expense</x:v>
      </x:c>
      <x:c r="F402" s="35" t="str">
        <x:v>Direct scan draft with property/unit/work-order context</x:v>
      </x:c>
      <x:c r="G402" s="20" t="str">
        <x:v>PDF</x:v>
      </x:c>
      <x:c r="H402" s="20" t="str">
        <x:v>1-3 pages</x:v>
      </x:c>
      <x:c r="I402" s="35" t="str">
        <x:v>phone photo with shadow</x:v>
      </x:c>
      <x:c r="J402" s="20" t="str">
        <x:v>P004</x:v>
      </x:c>
      <x:c r="K402" s="20" t="str">
        <x:v>U004</x:v>
      </x:c>
      <x:c r="L402" s="20" t="str"/>
      <x:c r="M402" s="20" t="str">
        <x:v>FIN-01052</x:v>
      </x:c>
      <x:c r="N402" s="35" t="str">
        <x:v>vendor; invoice number; date; subtotal; tax; total; category; property; unit; line items; payment method</x:v>
      </x:c>
      <x:c r="O402" s="35" t="str"/>
      <x:c r="P402" s="35" t="str">
        <x:v>Create a different expense of the same category through the equivalent manual form on the other client.</x:v>
      </x:c>
      <x:c r="Q402" s="35" t="str">
        <x:v>Synthetic QA only; no real people, accounts, signatures, or properties</x:v>
      </x:c>
    </x:row>
    <x:row r="403">
      <x:c r="A403" s="20" t="str">
        <x:v>SCN-0400</x:v>
      </x:c>
      <x:c r="B403" s="23" t="n">
        <x:v>46594</x:v>
      </x:c>
      <x:c r="C403" s="20" t="str">
        <x:v>scn-0400-work-order-week-30.jpg</x:v>
      </x:c>
      <x:c r="D403" s="20" t="str">
        <x:v>Maintenance request with supporting photo</x:v>
      </x:c>
      <x:c r="E403" s="20" t="str">
        <x:v>WorkOrder</x:v>
      </x:c>
      <x:c r="F403" s="35" t="str">
        <x:v>Direct scan draft</x:v>
      </x:c>
      <x:c r="G403" s="20" t="str">
        <x:v>Camera JPEG</x:v>
      </x:c>
      <x:c r="H403" s="20" t="str">
        <x:v>2 images</x:v>
      </x:c>
      <x:c r="I403" s="35" t="str">
        <x:v>handwritten tenant note plus issue photo</x:v>
      </x:c>
      <x:c r="J403" s="20" t="str">
        <x:v>P011</x:v>
      </x:c>
      <x:c r="K403" s="20" t="str">
        <x:v>U011</x:v>
      </x:c>
      <x:c r="L403" s="20" t="str"/>
      <x:c r="M403" s="20" t="str"/>
      <x:c r="N403" s="35" t="str">
        <x:v>requester; property; unit; issue; priority; permission to enter; preferred window; notes</x:v>
      </x:c>
      <x:c r="O403" s="35" t="str"/>
      <x:c r="P403" s="35" t="str">
        <x:v>Create a different work order manually from the other client and compare field validation.</x:v>
      </x:c>
      <x:c r="Q403" s="35" t="str">
        <x:v>Synthetic QA only; no real people, accounts, signatures, or properties</x:v>
      </x:c>
    </x:row>
    <x:row r="404">
      <x:c r="A404" s="20" t="str">
        <x:v>SCN-0401</x:v>
      </x:c>
      <x:c r="B404" s="23" t="n">
        <x:v>46601</x:v>
      </x:c>
      <x:c r="C404" s="20" t="str">
        <x:v>scn-0401-work-order-week-31.jpg</x:v>
      </x:c>
      <x:c r="D404" s="20" t="str">
        <x:v>Maintenance request with supporting photo</x:v>
      </x:c>
      <x:c r="E404" s="20" t="str">
        <x:v>WorkOrder</x:v>
      </x:c>
      <x:c r="F404" s="35" t="str">
        <x:v>Direct scan draft</x:v>
      </x:c>
      <x:c r="G404" s="20" t="str">
        <x:v>Camera JPEG</x:v>
      </x:c>
      <x:c r="H404" s="20" t="str">
        <x:v>2 images</x:v>
      </x:c>
      <x:c r="I404" s="35" t="str">
        <x:v>handwritten tenant note plus issue photo</x:v>
      </x:c>
      <x:c r="J404" s="20" t="str">
        <x:v>P018</x:v>
      </x:c>
      <x:c r="K404" s="20" t="str">
        <x:v>U018</x:v>
      </x:c>
      <x:c r="L404" s="20" t="str"/>
      <x:c r="M404" s="20" t="str"/>
      <x:c r="N404" s="35" t="str">
        <x:v>requester; property; unit; issue; priority; permission to enter; preferred window; notes</x:v>
      </x:c>
      <x:c r="O404" s="35" t="str"/>
      <x:c r="P404" s="35" t="str">
        <x:v>Create a different work order manually from the other client and compare field validation.</x:v>
      </x:c>
      <x:c r="Q404" s="35" t="str">
        <x:v>Synthetic QA only; no real people, accounts, signatures, or properties</x:v>
      </x:c>
    </x:row>
    <x:row r="405">
      <x:c r="A405" s="20" t="str">
        <x:v>SCN-0402</x:v>
      </x:c>
      <x:c r="B405" s="23" t="n">
        <x:v>46602</x:v>
      </x:c>
      <x:c r="C405" s="20" t="str">
        <x:v>scn-0402-expense-20270803-031.pdf</x:v>
      </x:c>
      <x:c r="D405" s="20" t="str">
        <x:v>Vendor invoice / receipt</x:v>
      </x:c>
      <x:c r="E405" s="20" t="str">
        <x:v>Expense</x:v>
      </x:c>
      <x:c r="F405" s="35" t="str">
        <x:v>Direct scan draft with property/unit/work-order context</x:v>
      </x:c>
      <x:c r="G405" s="20" t="str">
        <x:v>PDF</x:v>
      </x:c>
      <x:c r="H405" s="20" t="str">
        <x:v>1-3 pages</x:v>
      </x:c>
      <x:c r="I405" s="35" t="str">
        <x:v>crumpled thermal receipt</x:v>
      </x:c>
      <x:c r="J405" s="20" t="str">
        <x:v>P018</x:v>
      </x:c>
      <x:c r="K405" s="20" t="str">
        <x:v>U018</x:v>
      </x:c>
      <x:c r="L405" s="20" t="str"/>
      <x:c r="M405" s="20" t="str">
        <x:v>FIN-01054</x:v>
      </x:c>
      <x:c r="N405" s="35" t="str">
        <x:v>vendor; invoice number; date; subtotal; tax; total; category; property; unit; line items; payment method</x:v>
      </x:c>
      <x:c r="O405" s="35" t="str"/>
      <x:c r="P405" s="35" t="str">
        <x:v>Create a different expense of the same category through the equivalent manual form on the other client.</x:v>
      </x:c>
      <x:c r="Q405" s="35" t="str">
        <x:v>Synthetic QA only; no real people, accounts, signatures, or properties</x:v>
      </x:c>
    </x:row>
    <x:row r="406">
      <x:c r="A406" s="20" t="str">
        <x:v>SCN-0403</x:v>
      </x:c>
      <x:c r="B406" s="23" t="n">
        <x:v>46608</x:v>
      </x:c>
      <x:c r="C406" s="20" t="str">
        <x:v>scn-0403-work-order-week-32.jpg</x:v>
      </x:c>
      <x:c r="D406" s="20" t="str">
        <x:v>Maintenance request with supporting photo</x:v>
      </x:c>
      <x:c r="E406" s="20" t="str">
        <x:v>WorkOrder</x:v>
      </x:c>
      <x:c r="F406" s="35" t="str">
        <x:v>Direct scan draft</x:v>
      </x:c>
      <x:c r="G406" s="20" t="str">
        <x:v>Camera JPEG</x:v>
      </x:c>
      <x:c r="H406" s="20" t="str">
        <x:v>2 images</x:v>
      </x:c>
      <x:c r="I406" s="35" t="str">
        <x:v>handwritten tenant note plus issue photo</x:v>
      </x:c>
      <x:c r="J406" s="20" t="str">
        <x:v>P023</x:v>
      </x:c>
      <x:c r="K406" s="20" t="str">
        <x:v>U025</x:v>
      </x:c>
      <x:c r="L406" s="20" t="str"/>
      <x:c r="M406" s="20" t="str"/>
      <x:c r="N406" s="35" t="str">
        <x:v>requester; property; unit; issue; priority; permission to enter; preferred window; notes</x:v>
      </x:c>
      <x:c r="O406" s="35" t="str"/>
      <x:c r="P406" s="35" t="str">
        <x:v>Create a different work order manually from the other client and compare field validation.</x:v>
      </x:c>
      <x:c r="Q406" s="35" t="str">
        <x:v>Synthetic QA only; no real people, accounts, signatures, or properties</x:v>
      </x:c>
    </x:row>
    <x:row r="407">
      <x:c r="A407" s="20" t="str">
        <x:v>SCN-0404</x:v>
      </x:c>
      <x:c r="B407" s="23" t="n">
        <x:v>46609</x:v>
      </x:c>
      <x:c r="C407" s="20" t="str">
        <x:v>scn-0404-expense-20270810-032.pdf</x:v>
      </x:c>
      <x:c r="D407" s="20" t="str">
        <x:v>Vendor invoice / receipt</x:v>
      </x:c>
      <x:c r="E407" s="20" t="str">
        <x:v>Expense</x:v>
      </x:c>
      <x:c r="F407" s="35" t="str">
        <x:v>Direct scan draft with property/unit/work-order context</x:v>
      </x:c>
      <x:c r="G407" s="20" t="str">
        <x:v>PDF</x:v>
      </x:c>
      <x:c r="H407" s="20" t="str">
        <x:v>1-3 pages</x:v>
      </x:c>
      <x:c r="I407" s="35" t="str">
        <x:v>phone photo with shadow</x:v>
      </x:c>
      <x:c r="J407" s="20" t="str">
        <x:v>P023</x:v>
      </x:c>
      <x:c r="K407" s="20" t="str">
        <x:v>U025</x:v>
      </x:c>
      <x:c r="L407" s="20" t="str"/>
      <x:c r="M407" s="20" t="str">
        <x:v>FIN-01055</x:v>
      </x:c>
      <x:c r="N407" s="35" t="str">
        <x:v>vendor; invoice number; date; subtotal; tax; total; category; property; unit; line items; payment method</x:v>
      </x:c>
      <x:c r="O407" s="35" t="str"/>
      <x:c r="P407" s="35" t="str">
        <x:v>Create a different expense of the same category through the equivalent manual form on the other client.</x:v>
      </x:c>
      <x:c r="Q407" s="35" t="str">
        <x:v>Synthetic QA only; no real people, accounts, signatures, or properties</x:v>
      </x:c>
    </x:row>
    <x:row r="408">
      <x:c r="A408" s="20" t="str">
        <x:v>SCN-0405</x:v>
      </x:c>
      <x:c r="B408" s="23" t="n">
        <x:v>46615</x:v>
      </x:c>
      <x:c r="C408" s="20" t="str">
        <x:v>scn-0405-work-order-week-33.jpg</x:v>
      </x:c>
      <x:c r="D408" s="20" t="str">
        <x:v>Maintenance request with supporting photo</x:v>
      </x:c>
      <x:c r="E408" s="20" t="str">
        <x:v>WorkOrder</x:v>
      </x:c>
      <x:c r="F408" s="35" t="str">
        <x:v>Direct scan draft</x:v>
      </x:c>
      <x:c r="G408" s="20" t="str">
        <x:v>Camera JPEG</x:v>
      </x:c>
      <x:c r="H408" s="20" t="str">
        <x:v>2 images</x:v>
      </x:c>
      <x:c r="I408" s="35" t="str">
        <x:v>handwritten tenant note plus issue photo</x:v>
      </x:c>
      <x:c r="J408" s="20" t="str">
        <x:v>P026</x:v>
      </x:c>
      <x:c r="K408" s="20" t="str">
        <x:v>U032</x:v>
      </x:c>
      <x:c r="L408" s="20" t="str"/>
      <x:c r="M408" s="20" t="str"/>
      <x:c r="N408" s="35" t="str">
        <x:v>requester; property; unit; issue; priority; permission to enter; preferred window; notes</x:v>
      </x:c>
      <x:c r="O408" s="35" t="str"/>
      <x:c r="P408" s="35" t="str">
        <x:v>Create a different work order manually from the other client and compare field validation.</x:v>
      </x:c>
      <x:c r="Q408" s="35" t="str">
        <x:v>Synthetic QA only; no real people, accounts, signatures, or properties</x:v>
      </x:c>
    </x:row>
    <x:row r="409">
      <x:c r="A409" s="20" t="str">
        <x:v>SCN-0406</x:v>
      </x:c>
      <x:c r="B409" s="23" t="n">
        <x:v>46616</x:v>
      </x:c>
      <x:c r="C409" s="20" t="str">
        <x:v>scn-0406-expense-20270817-033.jpg</x:v>
      </x:c>
      <x:c r="D409" s="20" t="str">
        <x:v>Vendor invoice / receipt</x:v>
      </x:c>
      <x:c r="E409" s="20" t="str">
        <x:v>Expense</x:v>
      </x:c>
      <x:c r="F409" s="35" t="str">
        <x:v>Direct scan draft with property/unit/work-order context</x:v>
      </x:c>
      <x:c r="G409" s="20" t="str">
        <x:v>Camera JPEG</x:v>
      </x:c>
      <x:c r="H409" s="20" t="str">
        <x:v>1-3 pages</x:v>
      </x:c>
      <x:c r="I409" s="35" t="str">
        <x:v>clean emailed invoice</x:v>
      </x:c>
      <x:c r="J409" s="20" t="str">
        <x:v>P026</x:v>
      </x:c>
      <x:c r="K409" s="20" t="str">
        <x:v>U032</x:v>
      </x:c>
      <x:c r="L409" s="20" t="str"/>
      <x:c r="M409" s="20" t="str">
        <x:v>FIN-01056</x:v>
      </x:c>
      <x:c r="N409" s="35" t="str">
        <x:v>vendor; invoice number; date; subtotal; tax; total; category; property; unit; line items; payment method</x:v>
      </x:c>
      <x:c r="O409" s="35" t="str"/>
      <x:c r="P409" s="35" t="str">
        <x:v>Create a different expense of the same category through the equivalent manual form on the other client.</x:v>
      </x:c>
      <x:c r="Q409" s="35" t="str">
        <x:v>Synthetic QA only; no real people, accounts, signatures, or properties</x:v>
      </x:c>
    </x:row>
    <x:row r="410">
      <x:c r="A410" s="20" t="str">
        <x:v>SCN-0407</x:v>
      </x:c>
      <x:c r="B410" s="23" t="n">
        <x:v>46622</x:v>
      </x:c>
      <x:c r="C410" s="20" t="str">
        <x:v>scn-0407-work-order-week-34.jpg</x:v>
      </x:c>
      <x:c r="D410" s="20" t="str">
        <x:v>Maintenance request with supporting photo</x:v>
      </x:c>
      <x:c r="E410" s="20" t="str">
        <x:v>WorkOrder</x:v>
      </x:c>
      <x:c r="F410" s="35" t="str">
        <x:v>Direct scan draft</x:v>
      </x:c>
      <x:c r="G410" s="20" t="str">
        <x:v>Camera JPEG</x:v>
      </x:c>
      <x:c r="H410" s="20" t="str">
        <x:v>2 images</x:v>
      </x:c>
      <x:c r="I410" s="35" t="str">
        <x:v>handwritten tenant note plus issue photo</x:v>
      </x:c>
      <x:c r="J410" s="20" t="str">
        <x:v>P030</x:v>
      </x:c>
      <x:c r="K410" s="20" t="str">
        <x:v>U039</x:v>
      </x:c>
      <x:c r="L410" s="20" t="str"/>
      <x:c r="M410" s="20" t="str"/>
      <x:c r="N410" s="35" t="str">
        <x:v>requester; property; unit; issue; priority; permission to enter; preferred window; notes</x:v>
      </x:c>
      <x:c r="O410" s="35" t="str"/>
      <x:c r="P410" s="35" t="str">
        <x:v>Create a different work order manually from the other client and compare field validation.</x:v>
      </x:c>
      <x:c r="Q410" s="35" t="str">
        <x:v>Synthetic QA only; no real people, accounts, signatures, or properties</x:v>
      </x:c>
    </x:row>
    <x:row r="411">
      <x:c r="A411" s="20" t="str">
        <x:v>SCN-0408</x:v>
      </x:c>
      <x:c r="B411" s="23" t="n">
        <x:v>46623</x:v>
      </x:c>
      <x:c r="C411" s="20" t="str">
        <x:v>scn-0408-expense-20270824-034.pdf</x:v>
      </x:c>
      <x:c r="D411" s="20" t="str">
        <x:v>Vendor invoice / receipt</x:v>
      </x:c>
      <x:c r="E411" s="20" t="str">
        <x:v>Expense</x:v>
      </x:c>
      <x:c r="F411" s="35" t="str">
        <x:v>Direct scan draft with property/unit/work-order context</x:v>
      </x:c>
      <x:c r="G411" s="20" t="str">
        <x:v>PDF</x:v>
      </x:c>
      <x:c r="H411" s="20" t="str">
        <x:v>1-3 pages</x:v>
      </x:c>
      <x:c r="I411" s="35" t="str">
        <x:v>crumpled thermal receipt</x:v>
      </x:c>
      <x:c r="J411" s="20" t="str">
        <x:v>P030</x:v>
      </x:c>
      <x:c r="K411" s="20" t="str">
        <x:v>U039</x:v>
      </x:c>
      <x:c r="L411" s="20" t="str"/>
      <x:c r="M411" s="20" t="str">
        <x:v>FIN-01057</x:v>
      </x:c>
      <x:c r="N411" s="35" t="str">
        <x:v>vendor; invoice number; date; subtotal; tax; total; category; property; unit; line items; payment method</x:v>
      </x:c>
      <x:c r="O411" s="35" t="str">
        <x:v>split tax/line items; duplicate invoice number</x:v>
      </x:c>
      <x:c r="P411" s="35" t="str">
        <x:v>Create a different expense of the same category through the equivalent manual form on the other client.</x:v>
      </x:c>
      <x:c r="Q411" s="35" t="str">
        <x:v>Synthetic QA only; no real people, accounts, signatures, or properties</x:v>
      </x:c>
    </x:row>
    <x:row r="412">
      <x:c r="A412" s="20" t="str">
        <x:v>SCN-0409</x:v>
      </x:c>
      <x:c r="B412" s="23" t="n">
        <x:v>46629</x:v>
      </x:c>
      <x:c r="C412" s="20" t="str">
        <x:v>scn-0409-work-order-week-35.jpg</x:v>
      </x:c>
      <x:c r="D412" s="20" t="str">
        <x:v>Maintenance request with supporting photo</x:v>
      </x:c>
      <x:c r="E412" s="20" t="str">
        <x:v>WorkOrder</x:v>
      </x:c>
      <x:c r="F412" s="35" t="str">
        <x:v>Direct scan draft</x:v>
      </x:c>
      <x:c r="G412" s="20" t="str">
        <x:v>Camera JPEG</x:v>
      </x:c>
      <x:c r="H412" s="20" t="str">
        <x:v>2 images</x:v>
      </x:c>
      <x:c r="I412" s="35" t="str">
        <x:v>handwritten tenant note plus issue photo</x:v>
      </x:c>
      <x:c r="J412" s="20" t="str">
        <x:v>P006</x:v>
      </x:c>
      <x:c r="K412" s="20" t="str">
        <x:v>U006</x:v>
      </x:c>
      <x:c r="L412" s="20" t="str"/>
      <x:c r="M412" s="20" t="str"/>
      <x:c r="N412" s="35" t="str">
        <x:v>requester; property; unit; issue; priority; permission to enter; preferred window; notes</x:v>
      </x:c>
      <x:c r="O412" s="35" t="str"/>
      <x:c r="P412" s="35" t="str">
        <x:v>Create a different work order manually from the other client and compare field validation.</x:v>
      </x:c>
      <x:c r="Q412" s="35" t="str">
        <x:v>Synthetic QA only; no real people, accounts, signatures, or properties</x:v>
      </x:c>
    </x:row>
    <x:row r="413">
      <x:c r="A413" s="20" t="str">
        <x:v>SCN-0410</x:v>
      </x:c>
      <x:c r="B413" s="23" t="n">
        <x:v>46636</x:v>
      </x:c>
      <x:c r="C413" s="20" t="str">
        <x:v>scn-0410-work-order-week-36.jpg</x:v>
      </x:c>
      <x:c r="D413" s="20" t="str">
        <x:v>Maintenance request with supporting photo</x:v>
      </x:c>
      <x:c r="E413" s="20" t="str">
        <x:v>WorkOrder</x:v>
      </x:c>
      <x:c r="F413" s="35" t="str">
        <x:v>Direct scan draft</x:v>
      </x:c>
      <x:c r="G413" s="20" t="str">
        <x:v>Camera JPEG</x:v>
      </x:c>
      <x:c r="H413" s="20" t="str">
        <x:v>2 images</x:v>
      </x:c>
      <x:c r="I413" s="35" t="str">
        <x:v>handwritten tenant note plus issue photo</x:v>
      </x:c>
      <x:c r="J413" s="20" t="str">
        <x:v>P013</x:v>
      </x:c>
      <x:c r="K413" s="20" t="str">
        <x:v>U013</x:v>
      </x:c>
      <x:c r="L413" s="20" t="str"/>
      <x:c r="M413" s="20" t="str"/>
      <x:c r="N413" s="35" t="str">
        <x:v>requester; property; unit; issue; priority; permission to enter; preferred window; notes</x:v>
      </x:c>
      <x:c r="O413" s="35" t="str">
        <x:v>handwriting and one irrelevant photo</x:v>
      </x:c>
      <x:c r="P413" s="35" t="str">
        <x:v>Create a different work order manually from the other client and compare field validation.</x:v>
      </x:c>
      <x:c r="Q413" s="35" t="str">
        <x:v>Synthetic QA only; no real people, accounts, signatures, or properties</x:v>
      </x:c>
    </x:row>
    <x:row r="414">
      <x:c r="A414" s="20" t="str">
        <x:v>SCN-0411</x:v>
      </x:c>
      <x:c r="B414" s="23" t="n">
        <x:v>46637</x:v>
      </x:c>
      <x:c r="C414" s="20" t="str">
        <x:v>scn-0411-expense-20270907-036.jpg</x:v>
      </x:c>
      <x:c r="D414" s="20" t="str">
        <x:v>Vendor invoice / receipt</x:v>
      </x:c>
      <x:c r="E414" s="20" t="str">
        <x:v>Expense</x:v>
      </x:c>
      <x:c r="F414" s="35" t="str">
        <x:v>Direct scan draft with property/unit/work-order context</x:v>
      </x:c>
      <x:c r="G414" s="20" t="str">
        <x:v>Camera JPEG</x:v>
      </x:c>
      <x:c r="H414" s="20" t="str">
        <x:v>1-3 pages</x:v>
      </x:c>
      <x:c r="I414" s="35" t="str">
        <x:v>clean emailed invoice</x:v>
      </x:c>
      <x:c r="J414" s="20" t="str">
        <x:v>P013</x:v>
      </x:c>
      <x:c r="K414" s="20" t="str">
        <x:v>U013</x:v>
      </x:c>
      <x:c r="L414" s="20" t="str"/>
      <x:c r="M414" s="20" t="str">
        <x:v>FIN-01059</x:v>
      </x:c>
      <x:c r="N414" s="35" t="str">
        <x:v>vendor; invoice number; date; subtotal; tax; total; category; property; unit; line items; payment method</x:v>
      </x:c>
      <x:c r="O414" s="35" t="str"/>
      <x:c r="P414" s="35" t="str">
        <x:v>Create a different expense of the same category through the equivalent manual form on the other client.</x:v>
      </x:c>
      <x:c r="Q414" s="35" t="str">
        <x:v>Synthetic QA only; no real people, accounts, signatures, or properties</x:v>
      </x:c>
    </x:row>
    <x:row r="415">
      <x:c r="A415" s="20" t="str">
        <x:v>SCN-0412</x:v>
      </x:c>
      <x:c r="B415" s="23" t="n">
        <x:v>46643</x:v>
      </x:c>
      <x:c r="C415" s="20" t="str">
        <x:v>scn-0412-work-order-week-37.jpg</x:v>
      </x:c>
      <x:c r="D415" s="20" t="str">
        <x:v>Maintenance request with supporting photo</x:v>
      </x:c>
      <x:c r="E415" s="20" t="str">
        <x:v>WorkOrder</x:v>
      </x:c>
      <x:c r="F415" s="35" t="str">
        <x:v>Direct scan draft</x:v>
      </x:c>
      <x:c r="G415" s="20" t="str">
        <x:v>Camera JPEG</x:v>
      </x:c>
      <x:c r="H415" s="20" t="str">
        <x:v>2 images</x:v>
      </x:c>
      <x:c r="I415" s="35" t="str">
        <x:v>handwritten tenant note plus issue photo</x:v>
      </x:c>
      <x:c r="J415" s="20" t="str">
        <x:v>P020</x:v>
      </x:c>
      <x:c r="K415" s="20" t="str">
        <x:v>U020</x:v>
      </x:c>
      <x:c r="L415" s="20" t="str"/>
      <x:c r="M415" s="20" t="str"/>
      <x:c r="N415" s="35" t="str">
        <x:v>requester; property; unit; issue; priority; permission to enter; preferred window; notes</x:v>
      </x:c>
      <x:c r="O415" s="35" t="str"/>
      <x:c r="P415" s="35" t="str">
        <x:v>Create a different work order manually from the other client and compare field validation.</x:v>
      </x:c>
      <x:c r="Q415" s="35" t="str">
        <x:v>Synthetic QA only; no real people, accounts, signatures, or properties</x:v>
      </x:c>
    </x:row>
    <x:row r="416">
      <x:c r="A416" s="20" t="str">
        <x:v>SCN-0413</x:v>
      </x:c>
      <x:c r="B416" s="23" t="n">
        <x:v>46644</x:v>
      </x:c>
      <x:c r="C416" s="20" t="str">
        <x:v>scn-0413-expense-20270914-037.pdf</x:v>
      </x:c>
      <x:c r="D416" s="20" t="str">
        <x:v>Vendor invoice / receipt</x:v>
      </x:c>
      <x:c r="E416" s="20" t="str">
        <x:v>Expense</x:v>
      </x:c>
      <x:c r="F416" s="35" t="str">
        <x:v>Direct scan draft with property/unit/work-order context</x:v>
      </x:c>
      <x:c r="G416" s="20" t="str">
        <x:v>PDF</x:v>
      </x:c>
      <x:c r="H416" s="20" t="str">
        <x:v>1-3 pages</x:v>
      </x:c>
      <x:c r="I416" s="35" t="str">
        <x:v>crumpled thermal receipt</x:v>
      </x:c>
      <x:c r="J416" s="20" t="str">
        <x:v>P020</x:v>
      </x:c>
      <x:c r="K416" s="20" t="str">
        <x:v>U020</x:v>
      </x:c>
      <x:c r="L416" s="20" t="str"/>
      <x:c r="M416" s="20" t="str">
        <x:v>FIN-01060</x:v>
      </x:c>
      <x:c r="N416" s="35" t="str">
        <x:v>vendor; invoice number; date; subtotal; tax; total; category; property; unit; line items; payment method</x:v>
      </x:c>
      <x:c r="O416" s="35" t="str"/>
      <x:c r="P416" s="35" t="str">
        <x:v>Create a different expense of the same category through the equivalent manual form on the other client.</x:v>
      </x:c>
      <x:c r="Q416" s="35" t="str">
        <x:v>Synthetic QA only; no real people, accounts, signatures, or properties</x:v>
      </x:c>
    </x:row>
    <x:row r="417">
      <x:c r="A417" s="20" t="str">
        <x:v>SCN-0414</x:v>
      </x:c>
      <x:c r="B417" s="23" t="n">
        <x:v>46650</x:v>
      </x:c>
      <x:c r="C417" s="20" t="str">
        <x:v>scn-0414-work-order-week-38.jpg</x:v>
      </x:c>
      <x:c r="D417" s="20" t="str">
        <x:v>Maintenance request with supporting photo</x:v>
      </x:c>
      <x:c r="E417" s="20" t="str">
        <x:v>WorkOrder</x:v>
      </x:c>
      <x:c r="F417" s="35" t="str">
        <x:v>Direct scan draft</x:v>
      </x:c>
      <x:c r="G417" s="20" t="str">
        <x:v>Camera JPEG</x:v>
      </x:c>
      <x:c r="H417" s="20" t="str">
        <x:v>2 images</x:v>
      </x:c>
      <x:c r="I417" s="35" t="str">
        <x:v>handwritten tenant note plus issue photo</x:v>
      </x:c>
      <x:c r="J417" s="20" t="str">
        <x:v>P024</x:v>
      </x:c>
      <x:c r="K417" s="20" t="str">
        <x:v>U027</x:v>
      </x:c>
      <x:c r="L417" s="20" t="str"/>
      <x:c r="M417" s="20" t="str"/>
      <x:c r="N417" s="35" t="str">
        <x:v>requester; property; unit; issue; priority; permission to enter; preferred window; notes</x:v>
      </x:c>
      <x:c r="O417" s="35" t="str"/>
      <x:c r="P417" s="35" t="str">
        <x:v>Create a different work order manually from the other client and compare field validation.</x:v>
      </x:c>
      <x:c r="Q417" s="35" t="str">
        <x:v>Synthetic QA only; no real people, accounts, signatures, or properties</x:v>
      </x:c>
    </x:row>
    <x:row r="418">
      <x:c r="A418" s="20" t="str">
        <x:v>SCN-0415</x:v>
      </x:c>
      <x:c r="B418" s="23" t="n">
        <x:v>46651</x:v>
      </x:c>
      <x:c r="C418" s="20" t="str">
        <x:v>scn-0415-expense-20270921-038.pdf</x:v>
      </x:c>
      <x:c r="D418" s="20" t="str">
        <x:v>Vendor invoice / receipt</x:v>
      </x:c>
      <x:c r="E418" s="20" t="str">
        <x:v>Expense</x:v>
      </x:c>
      <x:c r="F418" s="35" t="str">
        <x:v>Direct scan draft with property/unit/work-order context</x:v>
      </x:c>
      <x:c r="G418" s="20" t="str">
        <x:v>PDF</x:v>
      </x:c>
      <x:c r="H418" s="20" t="str">
        <x:v>1-3 pages</x:v>
      </x:c>
      <x:c r="I418" s="35" t="str">
        <x:v>phone photo with shadow</x:v>
      </x:c>
      <x:c r="J418" s="20" t="str">
        <x:v>P024</x:v>
      </x:c>
      <x:c r="K418" s="20" t="str">
        <x:v>U027</x:v>
      </x:c>
      <x:c r="L418" s="20" t="str"/>
      <x:c r="M418" s="20" t="str">
        <x:v>FIN-01061</x:v>
      </x:c>
      <x:c r="N418" s="35" t="str">
        <x:v>vendor; invoice number; date; subtotal; tax; total; category; property; unit; line items; payment method</x:v>
      </x:c>
      <x:c r="O418" s="35" t="str"/>
      <x:c r="P418" s="35" t="str">
        <x:v>Create a different expense of the same category through the equivalent manual form on the other client.</x:v>
      </x:c>
      <x:c r="Q418" s="35" t="str">
        <x:v>Synthetic QA only; no real people, accounts, signatures, or properties</x:v>
      </x:c>
    </x:row>
    <x:row r="419">
      <x:c r="A419" s="20" t="str">
        <x:v>SCN-0416</x:v>
      </x:c>
      <x:c r="B419" s="23" t="n">
        <x:v>46657</x:v>
      </x:c>
      <x:c r="C419" s="20" t="str">
        <x:v>scn-0416-work-order-week-39.jpg</x:v>
      </x:c>
      <x:c r="D419" s="20" t="str">
        <x:v>Maintenance request with supporting photo</x:v>
      </x:c>
      <x:c r="E419" s="20" t="str">
        <x:v>WorkOrder</x:v>
      </x:c>
      <x:c r="F419" s="35" t="str">
        <x:v>Direct scan draft</x:v>
      </x:c>
      <x:c r="G419" s="20" t="str">
        <x:v>Camera JPEG</x:v>
      </x:c>
      <x:c r="H419" s="20" t="str">
        <x:v>2 images</x:v>
      </x:c>
      <x:c r="I419" s="35" t="str">
        <x:v>handwritten tenant note plus issue photo</x:v>
      </x:c>
      <x:c r="J419" s="20" t="str">
        <x:v>P027</x:v>
      </x:c>
      <x:c r="K419" s="20" t="str">
        <x:v>U034</x:v>
      </x:c>
      <x:c r="L419" s="20" t="str"/>
      <x:c r="M419" s="20" t="str"/>
      <x:c r="N419" s="35" t="str">
        <x:v>requester; property; unit; issue; priority; permission to enter; preferred window; notes</x:v>
      </x:c>
      <x:c r="O419" s="35" t="str"/>
      <x:c r="P419" s="35" t="str">
        <x:v>Create a different work order manually from the other client and compare field validation.</x:v>
      </x:c>
      <x:c r="Q419" s="35" t="str">
        <x:v>Synthetic QA only; no real people, accounts, signatures, or properties</x:v>
      </x:c>
    </x:row>
    <x:row r="420">
      <x:c r="A420" s="20" t="str">
        <x:v>SCN-0417</x:v>
      </x:c>
      <x:c r="B420" s="23" t="n">
        <x:v>46658</x:v>
      </x:c>
      <x:c r="C420" s="20" t="str">
        <x:v>scn-0417-expense-20270928-039.jpg</x:v>
      </x:c>
      <x:c r="D420" s="20" t="str">
        <x:v>Vendor invoice / receipt</x:v>
      </x:c>
      <x:c r="E420" s="20" t="str">
        <x:v>Expense</x:v>
      </x:c>
      <x:c r="F420" s="35" t="str">
        <x:v>Direct scan draft with property/unit/work-order context</x:v>
      </x:c>
      <x:c r="G420" s="20" t="str">
        <x:v>Camera JPEG</x:v>
      </x:c>
      <x:c r="H420" s="20" t="str">
        <x:v>1-3 pages</x:v>
      </x:c>
      <x:c r="I420" s="35" t="str">
        <x:v>clean emailed invoice</x:v>
      </x:c>
      <x:c r="J420" s="20" t="str">
        <x:v>P027</x:v>
      </x:c>
      <x:c r="K420" s="20" t="str">
        <x:v>U034</x:v>
      </x:c>
      <x:c r="L420" s="20" t="str"/>
      <x:c r="M420" s="20" t="str">
        <x:v>FIN-01062</x:v>
      </x:c>
      <x:c r="N420" s="35" t="str">
        <x:v>vendor; invoice number; date; subtotal; tax; total; category; property; unit; line items; payment method</x:v>
      </x:c>
      <x:c r="O420" s="35" t="str"/>
      <x:c r="P420" s="35" t="str">
        <x:v>Create a different expense of the same category through the equivalent manual form on the other client.</x:v>
      </x:c>
      <x:c r="Q420" s="35" t="str">
        <x:v>Synthetic QA only; no real people, accounts, signatures, or properties</x:v>
      </x:c>
    </x:row>
    <x:row r="421">
      <x:c r="A421" s="20" t="str">
        <x:v>SCN-0418</x:v>
      </x:c>
      <x:c r="B421" s="23" t="n">
        <x:v>46664</x:v>
      </x:c>
      <x:c r="C421" s="20" t="str">
        <x:v>scn-0418-work-order-week-40.jpg</x:v>
      </x:c>
      <x:c r="D421" s="20" t="str">
        <x:v>Maintenance request with supporting photo</x:v>
      </x:c>
      <x:c r="E421" s="20" t="str">
        <x:v>WorkOrder</x:v>
      </x:c>
      <x:c r="F421" s="35" t="str">
        <x:v>Direct scan draft</x:v>
      </x:c>
      <x:c r="G421" s="20" t="str">
        <x:v>Camera JPEG</x:v>
      </x:c>
      <x:c r="H421" s="20" t="str">
        <x:v>2 images</x:v>
      </x:c>
      <x:c r="I421" s="35" t="str">
        <x:v>handwritten tenant note plus issue photo</x:v>
      </x:c>
      <x:c r="J421" s="20" t="str">
        <x:v>P001</x:v>
      </x:c>
      <x:c r="K421" s="20" t="str">
        <x:v>U001</x:v>
      </x:c>
      <x:c r="L421" s="20" t="str"/>
      <x:c r="M421" s="20" t="str"/>
      <x:c r="N421" s="35" t="str">
        <x:v>requester; property; unit; issue; priority; permission to enter; preferred window; notes</x:v>
      </x:c>
      <x:c r="O421" s="35" t="str"/>
      <x:c r="P421" s="35" t="str">
        <x:v>Create a different work order manually from the other client and compare field validation.</x:v>
      </x:c>
      <x:c r="Q421" s="35" t="str">
        <x:v>Synthetic QA only; no real people, accounts, signatures, or properties</x:v>
      </x:c>
    </x:row>
    <x:row r="422">
      <x:c r="A422" s="20" t="str">
        <x:v>SCN-0419</x:v>
      </x:c>
      <x:c r="B422" s="23" t="n">
        <x:v>46671</x:v>
      </x:c>
      <x:c r="C422" s="20" t="str">
        <x:v>scn-0419-work-order-week-41.jpg</x:v>
      </x:c>
      <x:c r="D422" s="20" t="str">
        <x:v>Maintenance request with supporting photo</x:v>
      </x:c>
      <x:c r="E422" s="20" t="str">
        <x:v>WorkOrder</x:v>
      </x:c>
      <x:c r="F422" s="35" t="str">
        <x:v>Direct scan draft</x:v>
      </x:c>
      <x:c r="G422" s="20" t="str">
        <x:v>Camera JPEG</x:v>
      </x:c>
      <x:c r="H422" s="20" t="str">
        <x:v>2 images</x:v>
      </x:c>
      <x:c r="I422" s="35" t="str">
        <x:v>handwritten tenant note plus issue photo</x:v>
      </x:c>
      <x:c r="J422" s="20" t="str">
        <x:v>P008</x:v>
      </x:c>
      <x:c r="K422" s="20" t="str">
        <x:v>U008</x:v>
      </x:c>
      <x:c r="L422" s="20" t="str"/>
      <x:c r="M422" s="20" t="str"/>
      <x:c r="N422" s="35" t="str">
        <x:v>requester; property; unit; issue; priority; permission to enter; preferred window; notes</x:v>
      </x:c>
      <x:c r="O422" s="35" t="str"/>
      <x:c r="P422" s="35" t="str">
        <x:v>Create a different work order manually from the other client and compare field validation.</x:v>
      </x:c>
      <x:c r="Q422" s="35" t="str">
        <x:v>Synthetic QA only; no real people, accounts, signatures, or properties</x:v>
      </x:c>
    </x:row>
    <x:row r="423">
      <x:c r="A423" s="20" t="str">
        <x:v>SCN-0420</x:v>
      </x:c>
      <x:c r="B423" s="23" t="n">
        <x:v>46672</x:v>
      </x:c>
      <x:c r="C423" s="20" t="str">
        <x:v>scn-0420-expense-20271012-041.pdf</x:v>
      </x:c>
      <x:c r="D423" s="20" t="str">
        <x:v>Vendor invoice / receipt</x:v>
      </x:c>
      <x:c r="E423" s="20" t="str">
        <x:v>Expense</x:v>
      </x:c>
      <x:c r="F423" s="35" t="str">
        <x:v>Direct scan draft with property/unit/work-order context</x:v>
      </x:c>
      <x:c r="G423" s="20" t="str">
        <x:v>PDF</x:v>
      </x:c>
      <x:c r="H423" s="20" t="str">
        <x:v>1-3 pages</x:v>
      </x:c>
      <x:c r="I423" s="35" t="str">
        <x:v>phone photo with shadow</x:v>
      </x:c>
      <x:c r="J423" s="20" t="str">
        <x:v>P008</x:v>
      </x:c>
      <x:c r="K423" s="20" t="str">
        <x:v>U008</x:v>
      </x:c>
      <x:c r="L423" s="20" t="str"/>
      <x:c r="M423" s="20" t="str">
        <x:v>FIN-01064</x:v>
      </x:c>
      <x:c r="N423" s="35" t="str">
        <x:v>vendor; invoice number; date; subtotal; tax; total; category; property; unit; line items; payment method</x:v>
      </x:c>
      <x:c r="O423" s="35" t="str"/>
      <x:c r="P423" s="35" t="str">
        <x:v>Create a different expense of the same category through the equivalent manual form on the other client.</x:v>
      </x:c>
      <x:c r="Q423" s="35" t="str">
        <x:v>Synthetic QA only; no real people, accounts, signatures, or properties</x:v>
      </x:c>
    </x:row>
    <x:row r="424">
      <x:c r="A424" s="20" t="str">
        <x:v>SCN-0421</x:v>
      </x:c>
      <x:c r="B424" s="23" t="n">
        <x:v>46678</x:v>
      </x:c>
      <x:c r="C424" s="20" t="str">
        <x:v>scn-0421-work-order-week-42.jpg</x:v>
      </x:c>
      <x:c r="D424" s="20" t="str">
        <x:v>Maintenance request with supporting photo</x:v>
      </x:c>
      <x:c r="E424" s="20" t="str">
        <x:v>WorkOrder</x:v>
      </x:c>
      <x:c r="F424" s="35" t="str">
        <x:v>Direct scan draft</x:v>
      </x:c>
      <x:c r="G424" s="20" t="str">
        <x:v>Camera JPEG</x:v>
      </x:c>
      <x:c r="H424" s="20" t="str">
        <x:v>2 images</x:v>
      </x:c>
      <x:c r="I424" s="35" t="str">
        <x:v>handwritten tenant note plus issue photo</x:v>
      </x:c>
      <x:c r="J424" s="20" t="str">
        <x:v>P015</x:v>
      </x:c>
      <x:c r="K424" s="20" t="str">
        <x:v>U015</x:v>
      </x:c>
      <x:c r="L424" s="20" t="str"/>
      <x:c r="M424" s="20" t="str"/>
      <x:c r="N424" s="35" t="str">
        <x:v>requester; property; unit; issue; priority; permission to enter; preferred window; notes</x:v>
      </x:c>
      <x:c r="O424" s="35" t="str"/>
      <x:c r="P424" s="35" t="str">
        <x:v>Create a different work order manually from the other client and compare field validation.</x:v>
      </x:c>
      <x:c r="Q424" s="35" t="str">
        <x:v>Synthetic QA only; no real people, accounts, signatures, or properties</x:v>
      </x:c>
    </x:row>
    <x:row r="425">
      <x:c r="A425" s="20" t="str">
        <x:v>SCN-0422</x:v>
      </x:c>
      <x:c r="B425" s="23" t="n">
        <x:v>46679</x:v>
      </x:c>
      <x:c r="C425" s="20" t="str">
        <x:v>scn-0422-expense-20271019-042.jpg</x:v>
      </x:c>
      <x:c r="D425" s="20" t="str">
        <x:v>Vendor invoice / receipt</x:v>
      </x:c>
      <x:c r="E425" s="20" t="str">
        <x:v>Expense</x:v>
      </x:c>
      <x:c r="F425" s="35" t="str">
        <x:v>Direct scan draft with property/unit/work-order context</x:v>
      </x:c>
      <x:c r="G425" s="20" t="str">
        <x:v>Camera JPEG</x:v>
      </x:c>
      <x:c r="H425" s="20" t="str">
        <x:v>1-3 pages</x:v>
      </x:c>
      <x:c r="I425" s="35" t="str">
        <x:v>clean emailed invoice</x:v>
      </x:c>
      <x:c r="J425" s="20" t="str">
        <x:v>P015</x:v>
      </x:c>
      <x:c r="K425" s="20" t="str">
        <x:v>U015</x:v>
      </x:c>
      <x:c r="L425" s="20" t="str"/>
      <x:c r="M425" s="20" t="str">
        <x:v>FIN-01065</x:v>
      </x:c>
      <x:c r="N425" s="35" t="str">
        <x:v>vendor; invoice number; date; subtotal; tax; total; category; property; unit; line items; payment method</x:v>
      </x:c>
      <x:c r="O425" s="35" t="str"/>
      <x:c r="P425" s="35" t="str">
        <x:v>Create a different expense of the same category through the equivalent manual form on the other client.</x:v>
      </x:c>
      <x:c r="Q425" s="35" t="str">
        <x:v>Synthetic QA only; no real people, accounts, signatures, or properties</x:v>
      </x:c>
    </x:row>
    <x:row r="426">
      <x:c r="A426" s="20" t="str">
        <x:v>SCN-0423</x:v>
      </x:c>
      <x:c r="B426" s="23" t="n">
        <x:v>46685</x:v>
      </x:c>
      <x:c r="C426" s="20" t="str">
        <x:v>scn-0423-work-order-week-43.jpg</x:v>
      </x:c>
      <x:c r="D426" s="20" t="str">
        <x:v>Maintenance request with supporting photo</x:v>
      </x:c>
      <x:c r="E426" s="20" t="str">
        <x:v>WorkOrder</x:v>
      </x:c>
      <x:c r="F426" s="35" t="str">
        <x:v>Direct scan draft</x:v>
      </x:c>
      <x:c r="G426" s="20" t="str">
        <x:v>Camera JPEG</x:v>
      </x:c>
      <x:c r="H426" s="20" t="str">
        <x:v>2 images</x:v>
      </x:c>
      <x:c r="I426" s="35" t="str">
        <x:v>handwritten tenant note plus issue photo</x:v>
      </x:c>
      <x:c r="J426" s="20" t="str">
        <x:v>P021</x:v>
      </x:c>
      <x:c r="K426" s="20" t="str">
        <x:v>U022</x:v>
      </x:c>
      <x:c r="L426" s="20" t="str"/>
      <x:c r="M426" s="20" t="str"/>
      <x:c r="N426" s="35" t="str">
        <x:v>requester; property; unit; issue; priority; permission to enter; preferred window; notes</x:v>
      </x:c>
      <x:c r="O426" s="35" t="str"/>
      <x:c r="P426" s="35" t="str">
        <x:v>Create a different work order manually from the other client and compare field validation.</x:v>
      </x:c>
      <x:c r="Q426" s="35" t="str">
        <x:v>Synthetic QA only; no real people, accounts, signatures, or properties</x:v>
      </x:c>
    </x:row>
    <x:row r="427">
      <x:c r="A427" s="20" t="str">
        <x:v>SCN-0424</x:v>
      </x:c>
      <x:c r="B427" s="23" t="n">
        <x:v>46686</x:v>
      </x:c>
      <x:c r="C427" s="20" t="str">
        <x:v>scn-0424-expense-20271026-043.pdf</x:v>
      </x:c>
      <x:c r="D427" s="20" t="str">
        <x:v>Vendor invoice / receipt</x:v>
      </x:c>
      <x:c r="E427" s="20" t="str">
        <x:v>Expense</x:v>
      </x:c>
      <x:c r="F427" s="35" t="str">
        <x:v>Direct scan draft with property/unit/work-order context</x:v>
      </x:c>
      <x:c r="G427" s="20" t="str">
        <x:v>PDF</x:v>
      </x:c>
      <x:c r="H427" s="20" t="str">
        <x:v>1-3 pages</x:v>
      </x:c>
      <x:c r="I427" s="35" t="str">
        <x:v>crumpled thermal receipt</x:v>
      </x:c>
      <x:c r="J427" s="20" t="str">
        <x:v>P021</x:v>
      </x:c>
      <x:c r="K427" s="20" t="str">
        <x:v>U022</x:v>
      </x:c>
      <x:c r="L427" s="20" t="str"/>
      <x:c r="M427" s="20" t="str">
        <x:v>FIN-01066</x:v>
      </x:c>
      <x:c r="N427" s="35" t="str">
        <x:v>vendor; invoice number; date; subtotal; tax; total; category; property; unit; line items; payment method</x:v>
      </x:c>
      <x:c r="O427" s="35" t="str"/>
      <x:c r="P427" s="35" t="str">
        <x:v>Create a different expense of the same category through the equivalent manual form on the other client.</x:v>
      </x:c>
      <x:c r="Q427" s="35" t="str">
        <x:v>Synthetic QA only; no real people, accounts, signatures, or properties</x:v>
      </x:c>
    </x:row>
    <x:row r="428">
      <x:c r="A428" s="20" t="str">
        <x:v>SCN-0425</x:v>
      </x:c>
      <x:c r="B428" s="23" t="n">
        <x:v>46692</x:v>
      </x:c>
      <x:c r="C428" s="20" t="str">
        <x:v>scn-0425-work-order-week-44.jpg</x:v>
      </x:c>
      <x:c r="D428" s="20" t="str">
        <x:v>Maintenance request with supporting photo</x:v>
      </x:c>
      <x:c r="E428" s="20" t="str">
        <x:v>WorkOrder</x:v>
      </x:c>
      <x:c r="F428" s="35" t="str">
        <x:v>Direct scan draft</x:v>
      </x:c>
      <x:c r="G428" s="20" t="str">
        <x:v>Camera JPEG</x:v>
      </x:c>
      <x:c r="H428" s="20" t="str">
        <x:v>2 images</x:v>
      </x:c>
      <x:c r="I428" s="35" t="str">
        <x:v>handwritten tenant note plus issue photo</x:v>
      </x:c>
      <x:c r="J428" s="20" t="str">
        <x:v>P025</x:v>
      </x:c>
      <x:c r="K428" s="20" t="str">
        <x:v>U029</x:v>
      </x:c>
      <x:c r="L428" s="20" t="str"/>
      <x:c r="M428" s="20" t="str"/>
      <x:c r="N428" s="35" t="str">
        <x:v>requester; property; unit; issue; priority; permission to enter; preferred window; notes</x:v>
      </x:c>
      <x:c r="O428" s="35" t="str"/>
      <x:c r="P428" s="35" t="str">
        <x:v>Create a different work order manually from the other client and compare field validation.</x:v>
      </x:c>
      <x:c r="Q428" s="35" t="str">
        <x:v>Synthetic QA only; no real people, accounts, signatures, or properties</x:v>
      </x:c>
    </x:row>
    <x:row r="429">
      <x:c r="A429" s="20" t="str">
        <x:v>SCN-0426</x:v>
      </x:c>
      <x:c r="B429" s="23" t="n">
        <x:v>46693</x:v>
      </x:c>
      <x:c r="C429" s="20" t="str">
        <x:v>scn-0426-expense-20271102-044.pdf</x:v>
      </x:c>
      <x:c r="D429" s="20" t="str">
        <x:v>Vendor invoice / receipt</x:v>
      </x:c>
      <x:c r="E429" s="20" t="str">
        <x:v>Expense</x:v>
      </x:c>
      <x:c r="F429" s="35" t="str">
        <x:v>Direct scan draft with property/unit/work-order context</x:v>
      </x:c>
      <x:c r="G429" s="20" t="str">
        <x:v>PDF</x:v>
      </x:c>
      <x:c r="H429" s="20" t="str">
        <x:v>1-3 pages</x:v>
      </x:c>
      <x:c r="I429" s="35" t="str">
        <x:v>phone photo with shadow</x:v>
      </x:c>
      <x:c r="J429" s="20" t="str">
        <x:v>P025</x:v>
      </x:c>
      <x:c r="K429" s="20" t="str">
        <x:v>U029</x:v>
      </x:c>
      <x:c r="L429" s="20" t="str"/>
      <x:c r="M429" s="20" t="str">
        <x:v>FIN-01067</x:v>
      </x:c>
      <x:c r="N429" s="35" t="str">
        <x:v>vendor; invoice number; date; subtotal; tax; total; category; property; unit; line items; payment method</x:v>
      </x:c>
      <x:c r="O429" s="35" t="str"/>
      <x:c r="P429" s="35" t="str">
        <x:v>Create a different expense of the same category through the equivalent manual form on the other client.</x:v>
      </x:c>
      <x:c r="Q429" s="35" t="str">
        <x:v>Synthetic QA only; no real people, accounts, signatures, or properties</x:v>
      </x:c>
    </x:row>
    <x:row r="430">
      <x:c r="A430" s="20" t="str">
        <x:v>SCN-0427</x:v>
      </x:c>
      <x:c r="B430" s="23" t="n">
        <x:v>46699</x:v>
      </x:c>
      <x:c r="C430" s="20" t="str">
        <x:v>scn-0427-work-order-week-45.jpg</x:v>
      </x:c>
      <x:c r="D430" s="20" t="str">
        <x:v>Maintenance request with supporting photo</x:v>
      </x:c>
      <x:c r="E430" s="20" t="str">
        <x:v>WorkOrder</x:v>
      </x:c>
      <x:c r="F430" s="35" t="str">
        <x:v>Direct scan draft</x:v>
      </x:c>
      <x:c r="G430" s="20" t="str">
        <x:v>Camera JPEG</x:v>
      </x:c>
      <x:c r="H430" s="20" t="str">
        <x:v>2 images</x:v>
      </x:c>
      <x:c r="I430" s="35" t="str">
        <x:v>handwritten tenant note plus issue photo</x:v>
      </x:c>
      <x:c r="J430" s="20" t="str">
        <x:v>P028</x:v>
      </x:c>
      <x:c r="K430" s="20" t="str">
        <x:v>U036</x:v>
      </x:c>
      <x:c r="L430" s="20" t="str"/>
      <x:c r="M430" s="20" t="str"/>
      <x:c r="N430" s="35" t="str">
        <x:v>requester; property; unit; issue; priority; permission to enter; preferred window; notes</x:v>
      </x:c>
      <x:c r="O430" s="35" t="str">
        <x:v>handwriting and one irrelevant photo</x:v>
      </x:c>
      <x:c r="P430" s="35" t="str">
        <x:v>Create a different work order manually from the other client and compare field validation.</x:v>
      </x:c>
      <x:c r="Q430" s="35" t="str">
        <x:v>Synthetic QA only; no real people, accounts, signatures, or properties</x:v>
      </x:c>
    </x:row>
    <x:row r="431">
      <x:c r="A431" s="20" t="str">
        <x:v>SCN-0428</x:v>
      </x:c>
      <x:c r="B431" s="23" t="n">
        <x:v>46706</x:v>
      </x:c>
      <x:c r="C431" s="20" t="str">
        <x:v>scn-0428-work-order-week-46.jpg</x:v>
      </x:c>
      <x:c r="D431" s="20" t="str">
        <x:v>Maintenance request with supporting photo</x:v>
      </x:c>
      <x:c r="E431" s="20" t="str">
        <x:v>WorkOrder</x:v>
      </x:c>
      <x:c r="F431" s="35" t="str">
        <x:v>Direct scan draft</x:v>
      </x:c>
      <x:c r="G431" s="20" t="str">
        <x:v>Camera JPEG</x:v>
      </x:c>
      <x:c r="H431" s="20" t="str">
        <x:v>2 images</x:v>
      </x:c>
      <x:c r="I431" s="35" t="str">
        <x:v>handwritten tenant note plus issue photo</x:v>
      </x:c>
      <x:c r="J431" s="20" t="str">
        <x:v>P003</x:v>
      </x:c>
      <x:c r="K431" s="20" t="str">
        <x:v>U003</x:v>
      </x:c>
      <x:c r="L431" s="20" t="str"/>
      <x:c r="M431" s="20" t="str"/>
      <x:c r="N431" s="35" t="str">
        <x:v>requester; property; unit; issue; priority; permission to enter; preferred window; notes</x:v>
      </x:c>
      <x:c r="O431" s="35" t="str"/>
      <x:c r="P431" s="35" t="str">
        <x:v>Create a different work order manually from the other client and compare field validation.</x:v>
      </x:c>
      <x:c r="Q431" s="35" t="str">
        <x:v>Synthetic QA only; no real people, accounts, signatures, or properties</x:v>
      </x:c>
    </x:row>
    <x:row r="432">
      <x:c r="A432" s="20" t="str">
        <x:v>SCN-0429</x:v>
      </x:c>
      <x:c r="B432" s="23" t="n">
        <x:v>46707</x:v>
      </x:c>
      <x:c r="C432" s="20" t="str">
        <x:v>scn-0429-expense-20271116-046.pdf</x:v>
      </x:c>
      <x:c r="D432" s="20" t="str">
        <x:v>Vendor invoice / receipt</x:v>
      </x:c>
      <x:c r="E432" s="20" t="str">
        <x:v>Expense</x:v>
      </x:c>
      <x:c r="F432" s="35" t="str">
        <x:v>Direct scan draft with property/unit/work-order context</x:v>
      </x:c>
      <x:c r="G432" s="20" t="str">
        <x:v>PDF</x:v>
      </x:c>
      <x:c r="H432" s="20" t="str">
        <x:v>1-3 pages</x:v>
      </x:c>
      <x:c r="I432" s="35" t="str">
        <x:v>crumpled thermal receipt</x:v>
      </x:c>
      <x:c r="J432" s="20" t="str">
        <x:v>P003</x:v>
      </x:c>
      <x:c r="K432" s="20" t="str">
        <x:v>U003</x:v>
      </x:c>
      <x:c r="L432" s="20" t="str"/>
      <x:c r="M432" s="20" t="str">
        <x:v>FIN-01069</x:v>
      </x:c>
      <x:c r="N432" s="35" t="str">
        <x:v>vendor; invoice number; date; subtotal; tax; total; category; property; unit; line items; payment method</x:v>
      </x:c>
      <x:c r="O432" s="35" t="str"/>
      <x:c r="P432" s="35" t="str">
        <x:v>Create a different expense of the same category through the equivalent manual form on the other client.</x:v>
      </x:c>
      <x:c r="Q432" s="35" t="str">
        <x:v>Synthetic QA only; no real people, accounts, signatures, or properties</x:v>
      </x:c>
    </x:row>
    <x:row r="433">
      <x:c r="A433" s="20" t="str">
        <x:v>SCN-0430</x:v>
      </x:c>
      <x:c r="B433" s="23" t="n">
        <x:v>46713</x:v>
      </x:c>
      <x:c r="C433" s="20" t="str">
        <x:v>scn-0430-work-order-week-47.jpg</x:v>
      </x:c>
      <x:c r="D433" s="20" t="str">
        <x:v>Maintenance request with supporting photo</x:v>
      </x:c>
      <x:c r="E433" s="20" t="str">
        <x:v>WorkOrder</x:v>
      </x:c>
      <x:c r="F433" s="35" t="str">
        <x:v>Direct scan draft</x:v>
      </x:c>
      <x:c r="G433" s="20" t="str">
        <x:v>Camera JPEG</x:v>
      </x:c>
      <x:c r="H433" s="20" t="str">
        <x:v>2 images</x:v>
      </x:c>
      <x:c r="I433" s="35" t="str">
        <x:v>handwritten tenant note plus issue photo</x:v>
      </x:c>
      <x:c r="J433" s="20" t="str">
        <x:v>P010</x:v>
      </x:c>
      <x:c r="K433" s="20" t="str">
        <x:v>U010</x:v>
      </x:c>
      <x:c r="L433" s="20" t="str"/>
      <x:c r="M433" s="20" t="str"/>
      <x:c r="N433" s="35" t="str">
        <x:v>requester; property; unit; issue; priority; permission to enter; preferred window; notes</x:v>
      </x:c>
      <x:c r="O433" s="35" t="str"/>
      <x:c r="P433" s="35" t="str">
        <x:v>Create a different work order manually from the other client and compare field validation.</x:v>
      </x:c>
      <x:c r="Q433" s="35" t="str">
        <x:v>Synthetic QA only; no real people, accounts, signatures, or properties</x:v>
      </x:c>
    </x:row>
    <x:row r="434">
      <x:c r="A434" s="20" t="str">
        <x:v>SCN-0431</x:v>
      </x:c>
      <x:c r="B434" s="23" t="n">
        <x:v>46714</x:v>
      </x:c>
      <x:c r="C434" s="20" t="str">
        <x:v>scn-0431-expense-20271123-047.pdf</x:v>
      </x:c>
      <x:c r="D434" s="20" t="str">
        <x:v>Vendor invoice / receipt</x:v>
      </x:c>
      <x:c r="E434" s="20" t="str">
        <x:v>Expense</x:v>
      </x:c>
      <x:c r="F434" s="35" t="str">
        <x:v>Direct scan draft with property/unit/work-order context</x:v>
      </x:c>
      <x:c r="G434" s="20" t="str">
        <x:v>PDF</x:v>
      </x:c>
      <x:c r="H434" s="20" t="str">
        <x:v>1-3 pages</x:v>
      </x:c>
      <x:c r="I434" s="35" t="str">
        <x:v>phone photo with shadow</x:v>
      </x:c>
      <x:c r="J434" s="20" t="str">
        <x:v>P010</x:v>
      </x:c>
      <x:c r="K434" s="20" t="str">
        <x:v>U010</x:v>
      </x:c>
      <x:c r="L434" s="20" t="str"/>
      <x:c r="M434" s="20" t="str">
        <x:v>FIN-01070</x:v>
      </x:c>
      <x:c r="N434" s="35" t="str">
        <x:v>vendor; invoice number; date; subtotal; tax; total; category; property; unit; line items; payment method</x:v>
      </x:c>
      <x:c r="O434" s="35" t="str"/>
      <x:c r="P434" s="35" t="str">
        <x:v>Create a different expense of the same category through the equivalent manual form on the other client.</x:v>
      </x:c>
      <x:c r="Q434" s="35" t="str">
        <x:v>Synthetic QA only; no real people, accounts, signatures, or properties</x:v>
      </x:c>
    </x:row>
    <x:row r="435">
      <x:c r="A435" s="20" t="str">
        <x:v>SCN-0432</x:v>
      </x:c>
      <x:c r="B435" s="23" t="n">
        <x:v>46720</x:v>
      </x:c>
      <x:c r="C435" s="20" t="str">
        <x:v>scn-0432-work-order-week-48.jpg</x:v>
      </x:c>
      <x:c r="D435" s="20" t="str">
        <x:v>Maintenance request with supporting photo</x:v>
      </x:c>
      <x:c r="E435" s="20" t="str">
        <x:v>WorkOrder</x:v>
      </x:c>
      <x:c r="F435" s="35" t="str">
        <x:v>Direct scan draft</x:v>
      </x:c>
      <x:c r="G435" s="20" t="str">
        <x:v>Camera JPEG</x:v>
      </x:c>
      <x:c r="H435" s="20" t="str">
        <x:v>2 images</x:v>
      </x:c>
      <x:c r="I435" s="35" t="str">
        <x:v>handwritten tenant note plus issue photo</x:v>
      </x:c>
      <x:c r="J435" s="20" t="str">
        <x:v>P017</x:v>
      </x:c>
      <x:c r="K435" s="20" t="str">
        <x:v>U017</x:v>
      </x:c>
      <x:c r="L435" s="20" t="str"/>
      <x:c r="M435" s="20" t="str"/>
      <x:c r="N435" s="35" t="str">
        <x:v>requester; property; unit; issue; priority; permission to enter; preferred window; notes</x:v>
      </x:c>
      <x:c r="O435" s="35" t="str"/>
      <x:c r="P435" s="35" t="str">
        <x:v>Create a different work order manually from the other client and compare field validation.</x:v>
      </x:c>
      <x:c r="Q435" s="35" t="str">
        <x:v>Synthetic QA only; no real people, accounts, signatures, or properties</x:v>
      </x:c>
    </x:row>
    <x:row r="436">
      <x:c r="A436" s="20" t="str">
        <x:v>SCN-0433</x:v>
      </x:c>
      <x:c r="B436" s="23" t="n">
        <x:v>46721</x:v>
      </x:c>
      <x:c r="C436" s="20" t="str">
        <x:v>scn-0433-expense-20271130-048.jpg</x:v>
      </x:c>
      <x:c r="D436" s="20" t="str">
        <x:v>Vendor invoice / receipt</x:v>
      </x:c>
      <x:c r="E436" s="20" t="str">
        <x:v>Expense</x:v>
      </x:c>
      <x:c r="F436" s="35" t="str">
        <x:v>Direct scan draft with property/unit/work-order context</x:v>
      </x:c>
      <x:c r="G436" s="20" t="str">
        <x:v>Camera JPEG</x:v>
      </x:c>
      <x:c r="H436" s="20" t="str">
        <x:v>1-3 pages</x:v>
      </x:c>
      <x:c r="I436" s="35" t="str">
        <x:v>clean emailed invoice</x:v>
      </x:c>
      <x:c r="J436" s="20" t="str">
        <x:v>P017</x:v>
      </x:c>
      <x:c r="K436" s="20" t="str">
        <x:v>U017</x:v>
      </x:c>
      <x:c r="L436" s="20" t="str"/>
      <x:c r="M436" s="20" t="str">
        <x:v>FIN-01071</x:v>
      </x:c>
      <x:c r="N436" s="35" t="str">
        <x:v>vendor; invoice number; date; subtotal; tax; total; category; property; unit; line items; payment method</x:v>
      </x:c>
      <x:c r="O436" s="35" t="str"/>
      <x:c r="P436" s="35" t="str">
        <x:v>Create a different expense of the same category through the equivalent manual form on the other client.</x:v>
      </x:c>
      <x:c r="Q436" s="35" t="str">
        <x:v>Synthetic QA only; no real people, accounts, signatures, or properties</x:v>
      </x:c>
    </x:row>
    <x:row r="437">
      <x:c r="A437" s="20" t="str">
        <x:v>SCN-0434</x:v>
      </x:c>
      <x:c r="B437" s="23" t="n">
        <x:v>46727</x:v>
      </x:c>
      <x:c r="C437" s="20" t="str">
        <x:v>scn-0434-work-order-week-49.jpg</x:v>
      </x:c>
      <x:c r="D437" s="20" t="str">
        <x:v>Maintenance request with supporting photo</x:v>
      </x:c>
      <x:c r="E437" s="20" t="str">
        <x:v>WorkOrder</x:v>
      </x:c>
      <x:c r="F437" s="35" t="str">
        <x:v>Direct scan draft</x:v>
      </x:c>
      <x:c r="G437" s="20" t="str">
        <x:v>Camera JPEG</x:v>
      </x:c>
      <x:c r="H437" s="20" t="str">
        <x:v>2 images</x:v>
      </x:c>
      <x:c r="I437" s="35" t="str">
        <x:v>handwritten tenant note plus issue photo</x:v>
      </x:c>
      <x:c r="J437" s="20" t="str">
        <x:v>P022</x:v>
      </x:c>
      <x:c r="K437" s="20" t="str">
        <x:v>U024</x:v>
      </x:c>
      <x:c r="L437" s="20" t="str"/>
      <x:c r="M437" s="20" t="str"/>
      <x:c r="N437" s="35" t="str">
        <x:v>requester; property; unit; issue; priority; permission to enter; preferred window; notes</x:v>
      </x:c>
      <x:c r="O437" s="35" t="str"/>
      <x:c r="P437" s="35" t="str">
        <x:v>Create a different work order manually from the other client and compare field validation.</x:v>
      </x:c>
      <x:c r="Q437" s="35" t="str">
        <x:v>Synthetic QA only; no real people, accounts, signatures, or properties</x:v>
      </x:c>
    </x:row>
    <x:row r="438">
      <x:c r="A438" s="20" t="str">
        <x:v>SCN-0435</x:v>
      </x:c>
      <x:c r="B438" s="23" t="n">
        <x:v>46728</x:v>
      </x:c>
      <x:c r="C438" s="20" t="str">
        <x:v>scn-0435-expense-20271207-049.pdf</x:v>
      </x:c>
      <x:c r="D438" s="20" t="str">
        <x:v>Vendor invoice / receipt</x:v>
      </x:c>
      <x:c r="E438" s="20" t="str">
        <x:v>Expense</x:v>
      </x:c>
      <x:c r="F438" s="35" t="str">
        <x:v>Direct scan draft with property/unit/work-order context</x:v>
      </x:c>
      <x:c r="G438" s="20" t="str">
        <x:v>PDF</x:v>
      </x:c>
      <x:c r="H438" s="20" t="str">
        <x:v>1-3 pages</x:v>
      </x:c>
      <x:c r="I438" s="35" t="str">
        <x:v>crumpled thermal receipt</x:v>
      </x:c>
      <x:c r="J438" s="20" t="str">
        <x:v>P022</x:v>
      </x:c>
      <x:c r="K438" s="20" t="str">
        <x:v>U024</x:v>
      </x:c>
      <x:c r="L438" s="20" t="str"/>
      <x:c r="M438" s="20" t="str">
        <x:v>FIN-01072</x:v>
      </x:c>
      <x:c r="N438" s="35" t="str">
        <x:v>vendor; invoice number; date; subtotal; tax; total; category; property; unit; line items; payment method</x:v>
      </x:c>
      <x:c r="O438" s="35" t="str"/>
      <x:c r="P438" s="35" t="str">
        <x:v>Create a different expense of the same category through the equivalent manual form on the other client.</x:v>
      </x:c>
      <x:c r="Q438" s="35" t="str">
        <x:v>Synthetic QA only; no real people, accounts, signatures, or properties</x:v>
      </x:c>
    </x:row>
    <x:row r="439">
      <x:c r="A439" s="20" t="str">
        <x:v>SCN-0436</x:v>
      </x:c>
      <x:c r="B439" s="23" t="n">
        <x:v>46734</x:v>
      </x:c>
      <x:c r="C439" s="20" t="str">
        <x:v>scn-0436-work-order-week-50.jpg</x:v>
      </x:c>
      <x:c r="D439" s="20" t="str">
        <x:v>Maintenance request with supporting photo</x:v>
      </x:c>
      <x:c r="E439" s="20" t="str">
        <x:v>WorkOrder</x:v>
      </x:c>
      <x:c r="F439" s="35" t="str">
        <x:v>Direct scan draft</x:v>
      </x:c>
      <x:c r="G439" s="20" t="str">
        <x:v>Camera JPEG</x:v>
      </x:c>
      <x:c r="H439" s="20" t="str">
        <x:v>2 images</x:v>
      </x:c>
      <x:c r="I439" s="35" t="str">
        <x:v>handwritten tenant note plus issue photo</x:v>
      </x:c>
      <x:c r="J439" s="20" t="str">
        <x:v>P026</x:v>
      </x:c>
      <x:c r="K439" s="20" t="str">
        <x:v>U031</x:v>
      </x:c>
      <x:c r="L439" s="20" t="str"/>
      <x:c r="M439" s="20" t="str"/>
      <x:c r="N439" s="35" t="str">
        <x:v>requester; property; unit; issue; priority; permission to enter; preferred window; notes</x:v>
      </x:c>
      <x:c r="O439" s="35" t="str"/>
      <x:c r="P439" s="35" t="str">
        <x:v>Create a different work order manually from the other client and compare field validation.</x:v>
      </x:c>
      <x:c r="Q439" s="35" t="str">
        <x:v>Synthetic QA only; no real people, accounts, signatures, or properties</x:v>
      </x:c>
    </x:row>
    <x:row r="440">
      <x:c r="A440" s="20" t="str">
        <x:v>SCN-0437</x:v>
      </x:c>
      <x:c r="B440" s="23" t="n">
        <x:v>46741</x:v>
      </x:c>
      <x:c r="C440" s="20" t="str">
        <x:v>scn-0437-work-order-week-51.jpg</x:v>
      </x:c>
      <x:c r="D440" s="20" t="str">
        <x:v>Maintenance request with supporting photo</x:v>
      </x:c>
      <x:c r="E440" s="20" t="str">
        <x:v>WorkOrder</x:v>
      </x:c>
      <x:c r="F440" s="35" t="str">
        <x:v>Direct scan draft</x:v>
      </x:c>
      <x:c r="G440" s="20" t="str">
        <x:v>Camera JPEG</x:v>
      </x:c>
      <x:c r="H440" s="20" t="str">
        <x:v>2 images</x:v>
      </x:c>
      <x:c r="I440" s="35" t="str">
        <x:v>handwritten tenant note plus issue photo</x:v>
      </x:c>
      <x:c r="J440" s="20" t="str">
        <x:v>P029</x:v>
      </x:c>
      <x:c r="K440" s="20" t="str">
        <x:v>U038</x:v>
      </x:c>
      <x:c r="L440" s="20" t="str"/>
      <x:c r="M440" s="20" t="str"/>
      <x:c r="N440" s="35" t="str">
        <x:v>requester; property; unit; issue; priority; permission to enter; preferred window; notes</x:v>
      </x:c>
      <x:c r="O440" s="35" t="str"/>
      <x:c r="P440" s="35" t="str">
        <x:v>Create a different work order manually from the other client and compare field validation.</x:v>
      </x:c>
      <x:c r="Q440" s="35" t="str">
        <x:v>Synthetic QA only; no real people, accounts, signatures, or properties</x:v>
      </x:c>
    </x:row>
    <x:row r="441">
      <x:c r="A441" s="20" t="str">
        <x:v>SCN-0438</x:v>
      </x:c>
      <x:c r="B441" s="23" t="n">
        <x:v>46742</x:v>
      </x:c>
      <x:c r="C441" s="20" t="str">
        <x:v>scn-0438-expense-20271221-051.jpg</x:v>
      </x:c>
      <x:c r="D441" s="20" t="str">
        <x:v>Vendor invoice / receipt</x:v>
      </x:c>
      <x:c r="E441" s="20" t="str">
        <x:v>Expense</x:v>
      </x:c>
      <x:c r="F441" s="35" t="str">
        <x:v>Direct scan draft with property/unit/work-order context</x:v>
      </x:c>
      <x:c r="G441" s="20" t="str">
        <x:v>Camera JPEG</x:v>
      </x:c>
      <x:c r="H441" s="20" t="str">
        <x:v>1-3 pages</x:v>
      </x:c>
      <x:c r="I441" s="35" t="str">
        <x:v>clean emailed invoice</x:v>
      </x:c>
      <x:c r="J441" s="20" t="str">
        <x:v>P029</x:v>
      </x:c>
      <x:c r="K441" s="20" t="str">
        <x:v>U038</x:v>
      </x:c>
      <x:c r="L441" s="20" t="str"/>
      <x:c r="M441" s="20" t="str">
        <x:v>FIN-01074</x:v>
      </x:c>
      <x:c r="N441" s="35" t="str">
        <x:v>vendor; invoice number; date; subtotal; tax; total; category; property; unit; line items; payment method</x:v>
      </x:c>
      <x:c r="O441" s="35" t="str">
        <x:v>split tax/line items; duplicate invoice number</x:v>
      </x:c>
      <x:c r="P441" s="35" t="str">
        <x:v>Create a different expense of the same category through the equivalent manual form on the other client.</x:v>
      </x:c>
      <x:c r="Q441" s="35" t="str">
        <x:v>Synthetic QA only; no real people, accounts, signatures, or properties</x:v>
      </x:c>
    </x:row>
    <x:row r="442">
      <x:c r="A442" s="20" t="str">
        <x:v>SCN-0439</x:v>
      </x:c>
      <x:c r="B442" s="23" t="n">
        <x:v>46748</x:v>
      </x:c>
      <x:c r="C442" s="20" t="str">
        <x:v>scn-0439-work-order-week-52.jpg</x:v>
      </x:c>
      <x:c r="D442" s="20" t="str">
        <x:v>Maintenance request with supporting photo</x:v>
      </x:c>
      <x:c r="E442" s="20" t="str">
        <x:v>WorkOrder</x:v>
      </x:c>
      <x:c r="F442" s="35" t="str">
        <x:v>Direct scan draft</x:v>
      </x:c>
      <x:c r="G442" s="20" t="str">
        <x:v>Camera JPEG</x:v>
      </x:c>
      <x:c r="H442" s="20" t="str">
        <x:v>2 images</x:v>
      </x:c>
      <x:c r="I442" s="35" t="str">
        <x:v>handwritten tenant note plus issue photo</x:v>
      </x:c>
      <x:c r="J442" s="20" t="str">
        <x:v>P005</x:v>
      </x:c>
      <x:c r="K442" s="20" t="str">
        <x:v>U005</x:v>
      </x:c>
      <x:c r="L442" s="20" t="str"/>
      <x:c r="M442" s="20" t="str"/>
      <x:c r="N442" s="35" t="str">
        <x:v>requester; property; unit; issue; priority; permission to enter; preferred window; notes</x:v>
      </x:c>
      <x:c r="O442" s="35" t="str"/>
      <x:c r="P442" s="35" t="str">
        <x:v>Create a different work order manually from the other client and compare field validation.</x:v>
      </x:c>
      <x:c r="Q442" s="35" t="str">
        <x:v>Synthetic QA only; no real people, accounts, signatures, or properties</x:v>
      </x:c>
    </x:row>
    <x:row r="443">
      <x:c r="A443" s="20" t="str">
        <x:v>SCN-0440</x:v>
      </x:c>
      <x:c r="B443" s="23" t="n">
        <x:v>46749</x:v>
      </x:c>
      <x:c r="C443" s="20" t="str">
        <x:v>scn-0440-expense-20271228-052.pdf</x:v>
      </x:c>
      <x:c r="D443" s="20" t="str">
        <x:v>Vendor invoice / receipt</x:v>
      </x:c>
      <x:c r="E443" s="20" t="str">
        <x:v>Expense</x:v>
      </x:c>
      <x:c r="F443" s="35" t="str">
        <x:v>Direct scan draft with property/unit/work-order context</x:v>
      </x:c>
      <x:c r="G443" s="20" t="str">
        <x:v>PDF</x:v>
      </x:c>
      <x:c r="H443" s="20" t="str">
        <x:v>1-3 pages</x:v>
      </x:c>
      <x:c r="I443" s="35" t="str">
        <x:v>crumpled thermal receipt</x:v>
      </x:c>
      <x:c r="J443" s="20" t="str">
        <x:v>P005</x:v>
      </x:c>
      <x:c r="K443" s="20" t="str">
        <x:v>U005</x:v>
      </x:c>
      <x:c r="L443" s="20" t="str"/>
      <x:c r="M443" s="20" t="str">
        <x:v>FIN-01075</x:v>
      </x:c>
      <x:c r="N443" s="35" t="str">
        <x:v>vendor; invoice number; date; subtotal; tax; total; category; property; unit; line items; payment method</x:v>
      </x:c>
      <x:c r="O443" s="35" t="str"/>
      <x:c r="P443" s="35" t="str">
        <x:v>Create a different expense of the same category through the equivalent manual form on the other client.</x:v>
      </x:c>
      <x:c r="Q443" s="35" t="str">
        <x:v>Synthetic QA only; no real people, accounts, signatures, or properties</x:v>
      </x:c>
    </x:row>
    <x:row r="444">
      <x:c r="A444" s="20" t="str">
        <x:v>SCN-0441</x:v>
      </x:c>
      <x:c r="B444" s="23" t="n">
        <x:v>46402</x:v>
      </x:c>
      <x:c r="C444" s="20" t="str">
        <x:v>scn-0441-expense-20270115-1021.pdf</x:v>
      </x:c>
      <x:c r="D444" s="20" t="str">
        <x:v>Vendor invoice / receipt</x:v>
      </x:c>
      <x:c r="E444" s="20" t="str">
        <x:v>Expense</x:v>
      </x:c>
      <x:c r="F444" s="35" t="str">
        <x:v>Direct scan draft with property/unit/work-order context</x:v>
      </x:c>
      <x:c r="G444" s="20" t="str">
        <x:v>PDF</x:v>
      </x:c>
      <x:c r="H444" s="20" t="str">
        <x:v>1-3 pages</x:v>
      </x:c>
      <x:c r="I444" s="35" t="str">
        <x:v>crumpled thermal receipt</x:v>
      </x:c>
      <x:c r="J444" s="20" t="str">
        <x:v>P021</x:v>
      </x:c>
      <x:c r="K444" s="20" t="str"/>
      <x:c r="L444" s="20" t="str"/>
      <x:c r="M444" s="20" t="str">
        <x:v>FIN-01076</x:v>
      </x:c>
      <x:c r="N444" s="35" t="str">
        <x:v>vendor; invoice number; date; subtotal; tax; total; category; property; unit; line items; payment method</x:v>
      </x:c>
      <x:c r="O444" s="35" t="str"/>
      <x:c r="P444" s="35" t="str">
        <x:v>Create a different expense of the same category through the equivalent manual form on the other client.</x:v>
      </x:c>
      <x:c r="Q444" s="35" t="str">
        <x:v>Synthetic QA only; no real people, accounts, signatures, or properties</x:v>
      </x:c>
    </x:row>
    <x:row r="445">
      <x:c r="A445" s="20" t="str">
        <x:v>SCN-0442</x:v>
      </x:c>
      <x:c r="B445" s="23" t="n">
        <x:v>46402</x:v>
      </x:c>
      <x:c r="C445" s="20" t="str">
        <x:v>scn-0442-expense-20270115-1022.pdf</x:v>
      </x:c>
      <x:c r="D445" s="20" t="str">
        <x:v>Vendor invoice / receipt</x:v>
      </x:c>
      <x:c r="E445" s="20" t="str">
        <x:v>Expense</x:v>
      </x:c>
      <x:c r="F445" s="35" t="str">
        <x:v>Direct scan draft with property/unit/work-order context</x:v>
      </x:c>
      <x:c r="G445" s="20" t="str">
        <x:v>PDF</x:v>
      </x:c>
      <x:c r="H445" s="20" t="str">
        <x:v>1-3 pages</x:v>
      </x:c>
      <x:c r="I445" s="35" t="str">
        <x:v>phone photo with shadow</x:v>
      </x:c>
      <x:c r="J445" s="20" t="str">
        <x:v>P022</x:v>
      </x:c>
      <x:c r="K445" s="20" t="str"/>
      <x:c r="L445" s="20" t="str"/>
      <x:c r="M445" s="20" t="str">
        <x:v>FIN-01077</x:v>
      </x:c>
      <x:c r="N445" s="35" t="str">
        <x:v>vendor; invoice number; date; subtotal; tax; total; category; property; unit; line items; payment method</x:v>
      </x:c>
      <x:c r="O445" s="35" t="str"/>
      <x:c r="P445" s="35" t="str">
        <x:v>Create a different expense of the same category through the equivalent manual form on the other client.</x:v>
      </x:c>
      <x:c r="Q445" s="35" t="str">
        <x:v>Synthetic QA only; no real people, accounts, signatures, or properties</x:v>
      </x:c>
    </x:row>
    <x:row r="446">
      <x:c r="A446" s="20" t="str">
        <x:v>SCN-0443</x:v>
      </x:c>
      <x:c r="B446" s="23" t="n">
        <x:v>46402</x:v>
      </x:c>
      <x:c r="C446" s="20" t="str">
        <x:v>scn-0443-expense-20270115-1023.jpg</x:v>
      </x:c>
      <x:c r="D446" s="20" t="str">
        <x:v>Vendor invoice / receipt</x:v>
      </x:c>
      <x:c r="E446" s="20" t="str">
        <x:v>Expense</x:v>
      </x:c>
      <x:c r="F446" s="35" t="str">
        <x:v>Direct scan draft with property/unit/work-order context</x:v>
      </x:c>
      <x:c r="G446" s="20" t="str">
        <x:v>Camera JPEG</x:v>
      </x:c>
      <x:c r="H446" s="20" t="str">
        <x:v>1-3 pages</x:v>
      </x:c>
      <x:c r="I446" s="35" t="str">
        <x:v>clean emailed invoice</x:v>
      </x:c>
      <x:c r="J446" s="20" t="str">
        <x:v>P023</x:v>
      </x:c>
      <x:c r="K446" s="20" t="str"/>
      <x:c r="L446" s="20" t="str"/>
      <x:c r="M446" s="20" t="str">
        <x:v>FIN-01078</x:v>
      </x:c>
      <x:c r="N446" s="35" t="str">
        <x:v>vendor; invoice number; date; subtotal; tax; total; category; property; unit; line items; payment method</x:v>
      </x:c>
      <x:c r="O446" s="35" t="str"/>
      <x:c r="P446" s="35" t="str">
        <x:v>Create a different expense of the same category through the equivalent manual form on the other client.</x:v>
      </x:c>
      <x:c r="Q446" s="35" t="str">
        <x:v>Synthetic QA only; no real people, accounts, signatures, or properties</x:v>
      </x:c>
    </x:row>
    <x:row r="447">
      <x:c r="A447" s="20" t="str">
        <x:v>SCN-0444</x:v>
      </x:c>
      <x:c r="B447" s="23" t="n">
        <x:v>46402</x:v>
      </x:c>
      <x:c r="C447" s="20" t="str">
        <x:v>scn-0444-expense-20270115-1024.pdf</x:v>
      </x:c>
      <x:c r="D447" s="20" t="str">
        <x:v>Vendor invoice / receipt</x:v>
      </x:c>
      <x:c r="E447" s="20" t="str">
        <x:v>Expense</x:v>
      </x:c>
      <x:c r="F447" s="35" t="str">
        <x:v>Direct scan draft with property/unit/work-order context</x:v>
      </x:c>
      <x:c r="G447" s="20" t="str">
        <x:v>PDF</x:v>
      </x:c>
      <x:c r="H447" s="20" t="str">
        <x:v>1-3 pages</x:v>
      </x:c>
      <x:c r="I447" s="35" t="str">
        <x:v>crumpled thermal receipt</x:v>
      </x:c>
      <x:c r="J447" s="20" t="str">
        <x:v>P024</x:v>
      </x:c>
      <x:c r="K447" s="20" t="str"/>
      <x:c r="L447" s="20" t="str"/>
      <x:c r="M447" s="20" t="str">
        <x:v>FIN-01079</x:v>
      </x:c>
      <x:c r="N447" s="35" t="str">
        <x:v>vendor; invoice number; date; subtotal; tax; total; category; property; unit; line items; payment method</x:v>
      </x:c>
      <x:c r="O447" s="35" t="str"/>
      <x:c r="P447" s="35" t="str">
        <x:v>Create a different expense of the same category through the equivalent manual form on the other client.</x:v>
      </x:c>
      <x:c r="Q447" s="35" t="str">
        <x:v>Synthetic QA only; no real people, accounts, signatures, or properties</x:v>
      </x:c>
    </x:row>
    <x:row r="448">
      <x:c r="A448" s="20" t="str">
        <x:v>SCN-0445</x:v>
      </x:c>
      <x:c r="B448" s="23" t="n">
        <x:v>46402</x:v>
      </x:c>
      <x:c r="C448" s="20" t="str">
        <x:v>scn-0445-expense-20270115-1026.jpg</x:v>
      </x:c>
      <x:c r="D448" s="20" t="str">
        <x:v>Vendor invoice / receipt</x:v>
      </x:c>
      <x:c r="E448" s="20" t="str">
        <x:v>Expense</x:v>
      </x:c>
      <x:c r="F448" s="35" t="str">
        <x:v>Direct scan draft with property/unit/work-order context</x:v>
      </x:c>
      <x:c r="G448" s="20" t="str">
        <x:v>Camera JPEG</x:v>
      </x:c>
      <x:c r="H448" s="20" t="str">
        <x:v>1-3 pages</x:v>
      </x:c>
      <x:c r="I448" s="35" t="str">
        <x:v>clean emailed invoice</x:v>
      </x:c>
      <x:c r="J448" s="20" t="str">
        <x:v>P026</x:v>
      </x:c>
      <x:c r="K448" s="20" t="str"/>
      <x:c r="L448" s="20" t="str"/>
      <x:c r="M448" s="20" t="str">
        <x:v>FIN-01081</x:v>
      </x:c>
      <x:c r="N448" s="35" t="str">
        <x:v>vendor; invoice number; date; subtotal; tax; total; category; property; unit; line items; payment method</x:v>
      </x:c>
      <x:c r="O448" s="35" t="str"/>
      <x:c r="P448" s="35" t="str">
        <x:v>Create a different expense of the same category through the equivalent manual form on the other client.</x:v>
      </x:c>
      <x:c r="Q448" s="35" t="str">
        <x:v>Synthetic QA only; no real people, accounts, signatures, or properties</x:v>
      </x:c>
    </x:row>
    <x:row r="449">
      <x:c r="A449" s="20" t="str">
        <x:v>SCN-0446</x:v>
      </x:c>
      <x:c r="B449" s="23" t="n">
        <x:v>46402</x:v>
      </x:c>
      <x:c r="C449" s="20" t="str">
        <x:v>scn-0446-expense-20270115-1027.pdf</x:v>
      </x:c>
      <x:c r="D449" s="20" t="str">
        <x:v>Vendor invoice / receipt</x:v>
      </x:c>
      <x:c r="E449" s="20" t="str">
        <x:v>Expense</x:v>
      </x:c>
      <x:c r="F449" s="35" t="str">
        <x:v>Direct scan draft with property/unit/work-order context</x:v>
      </x:c>
      <x:c r="G449" s="20" t="str">
        <x:v>PDF</x:v>
      </x:c>
      <x:c r="H449" s="20" t="str">
        <x:v>1-3 pages</x:v>
      </x:c>
      <x:c r="I449" s="35" t="str">
        <x:v>crumpled thermal receipt</x:v>
      </x:c>
      <x:c r="J449" s="20" t="str">
        <x:v>P027</x:v>
      </x:c>
      <x:c r="K449" s="20" t="str"/>
      <x:c r="L449" s="20" t="str"/>
      <x:c r="M449" s="20" t="str">
        <x:v>FIN-01082</x:v>
      </x:c>
      <x:c r="N449" s="35" t="str">
        <x:v>vendor; invoice number; date; subtotal; tax; total; category; property; unit; line items; payment method</x:v>
      </x:c>
      <x:c r="O449" s="35" t="str"/>
      <x:c r="P449" s="35" t="str">
        <x:v>Create a different expense of the same category through the equivalent manual form on the other client.</x:v>
      </x:c>
      <x:c r="Q449" s="35" t="str">
        <x:v>Synthetic QA only; no real people, accounts, signatures, or properties</x:v>
      </x:c>
    </x:row>
    <x:row r="450">
      <x:c r="A450" s="20" t="str">
        <x:v>SCN-0447</x:v>
      </x:c>
      <x:c r="B450" s="23" t="n">
        <x:v>46402</x:v>
      </x:c>
      <x:c r="C450" s="20" t="str">
        <x:v>scn-0447-expense-20270115-1028.pdf</x:v>
      </x:c>
      <x:c r="D450" s="20" t="str">
        <x:v>Vendor invoice / receipt</x:v>
      </x:c>
      <x:c r="E450" s="20" t="str">
        <x:v>Expense</x:v>
      </x:c>
      <x:c r="F450" s="35" t="str">
        <x:v>Direct scan draft with property/unit/work-order context</x:v>
      </x:c>
      <x:c r="G450" s="20" t="str">
        <x:v>PDF</x:v>
      </x:c>
      <x:c r="H450" s="20" t="str">
        <x:v>1-3 pages</x:v>
      </x:c>
      <x:c r="I450" s="35" t="str">
        <x:v>phone photo with shadow</x:v>
      </x:c>
      <x:c r="J450" s="20" t="str">
        <x:v>P028</x:v>
      </x:c>
      <x:c r="K450" s="20" t="str"/>
      <x:c r="L450" s="20" t="str"/>
      <x:c r="M450" s="20" t="str">
        <x:v>FIN-01083</x:v>
      </x:c>
      <x:c r="N450" s="35" t="str">
        <x:v>vendor; invoice number; date; subtotal; tax; total; category; property; unit; line items; payment method</x:v>
      </x:c>
      <x:c r="O450" s="35" t="str"/>
      <x:c r="P450" s="35" t="str">
        <x:v>Create a different expense of the same category through the equivalent manual form on the other client.</x:v>
      </x:c>
      <x:c r="Q450" s="35" t="str">
        <x:v>Synthetic QA only; no real people, accounts, signatures, or properties</x:v>
      </x:c>
    </x:row>
    <x:row r="451">
      <x:c r="A451" s="20" t="str">
        <x:v>SCN-0448</x:v>
      </x:c>
      <x:c r="B451" s="23" t="n">
        <x:v>46402</x:v>
      </x:c>
      <x:c r="C451" s="20" t="str">
        <x:v>scn-0448-expense-20270115-1029.jpg</x:v>
      </x:c>
      <x:c r="D451" s="20" t="str">
        <x:v>Vendor invoice / receipt</x:v>
      </x:c>
      <x:c r="E451" s="20" t="str">
        <x:v>Expense</x:v>
      </x:c>
      <x:c r="F451" s="35" t="str">
        <x:v>Direct scan draft with property/unit/work-order context</x:v>
      </x:c>
      <x:c r="G451" s="20" t="str">
        <x:v>Camera JPEG</x:v>
      </x:c>
      <x:c r="H451" s="20" t="str">
        <x:v>1-3 pages</x:v>
      </x:c>
      <x:c r="I451" s="35" t="str">
        <x:v>clean emailed invoice</x:v>
      </x:c>
      <x:c r="J451" s="20" t="str">
        <x:v>P029</x:v>
      </x:c>
      <x:c r="K451" s="20" t="str"/>
      <x:c r="L451" s="20" t="str"/>
      <x:c r="M451" s="20" t="str">
        <x:v>FIN-01084</x:v>
      </x:c>
      <x:c r="N451" s="35" t="str">
        <x:v>vendor; invoice number; date; subtotal; tax; total; category; property; unit; line items; payment method</x:v>
      </x:c>
      <x:c r="O451" s="35" t="str"/>
      <x:c r="P451" s="35" t="str">
        <x:v>Create a different expense of the same category through the equivalent manual form on the other client.</x:v>
      </x:c>
      <x:c r="Q451" s="35" t="str">
        <x:v>Synthetic QA only; no real people, accounts, signatures, or properties</x:v>
      </x:c>
    </x:row>
    <x:row r="452">
      <x:c r="A452" s="20" t="str">
        <x:v>SCN-0449</x:v>
      </x:c>
      <x:c r="B452" s="23" t="n">
        <x:v>46407</x:v>
      </x:c>
      <x:c r="C452" s="20" t="str">
        <x:v>scn-0449-loan-payment-ln001-202701.pdf</x:v>
      </x:c>
      <x:c r="D452" s="20" t="str">
        <x:v>Monthly mortgage statement</x:v>
      </x:c>
      <x:c r="E452" s="20" t="str">
        <x:v>Loan payment / Property document</x:v>
      </x:c>
      <x:c r="F452" s="35" t="str">
        <x:v>Attach and match to existing loan; probe typed extraction of principal/interest</x:v>
      </x:c>
      <x:c r="G452" s="20" t="str">
        <x:v>PDF</x:v>
      </x:c>
      <x:c r="H452" s="20" t="str">
        <x:v>3 pages</x:v>
      </x:c>
      <x:c r="I452" s="35" t="str">
        <x:v>clean lender PDF</x:v>
      </x:c>
      <x:c r="J452" s="20" t="str">
        <x:v>P001</x:v>
      </x:c>
      <x:c r="K452" s="20" t="str"/>
      <x:c r="L452" s="20" t="str"/>
      <x:c r="M452" s="20" t="str">
        <x:v>FIN-01086</x:v>
      </x:c>
      <x:c r="N452" s="35" t="str">
        <x:v>loan; due date; payment; principal; interest; escrow; ending principal balance</x:v>
      </x:c>
      <x:c r="O452" s="35" t="str">
        <x:v>principal/interest changes monthly</x:v>
      </x:c>
      <x:c r="P452" s="35" t="str">
        <x:v>Verify or enter a different loan payment manually from the other client.</x:v>
      </x:c>
      <x:c r="Q452" s="35" t="str">
        <x:v>Synthetic QA only; no real people, accounts, signatures, or properties</x:v>
      </x:c>
    </x:row>
    <x:row r="453">
      <x:c r="A453" s="20" t="str">
        <x:v>SCN-0450</x:v>
      </x:c>
      <x:c r="B453" s="23" t="n">
        <x:v>46407</x:v>
      </x:c>
      <x:c r="C453" s="20" t="str">
        <x:v>scn-0450-loan-payment-ln002-202701.pdf</x:v>
      </x:c>
      <x:c r="D453" s="20" t="str">
        <x:v>Monthly mortgage statement</x:v>
      </x:c>
      <x:c r="E453" s="20" t="str">
        <x:v>Loan payment / Property document</x:v>
      </x:c>
      <x:c r="F453" s="35" t="str">
        <x:v>Attach and match to existing loan; probe typed extraction of principal/interest</x:v>
      </x:c>
      <x:c r="G453" s="20" t="str">
        <x:v>PDF</x:v>
      </x:c>
      <x:c r="H453" s="20" t="str">
        <x:v>3 pages</x:v>
      </x:c>
      <x:c r="I453" s="35" t="str">
        <x:v>clean lender PDF</x:v>
      </x:c>
      <x:c r="J453" s="20" t="str">
        <x:v>P002</x:v>
      </x:c>
      <x:c r="K453" s="20" t="str"/>
      <x:c r="L453" s="20" t="str"/>
      <x:c r="M453" s="20" t="str">
        <x:v>FIN-01087</x:v>
      </x:c>
      <x:c r="N453" s="35" t="str">
        <x:v>loan; due date; payment; principal; interest; escrow; ending principal balance</x:v>
      </x:c>
      <x:c r="O453" s="35" t="str">
        <x:v>principal/interest changes monthly</x:v>
      </x:c>
      <x:c r="P453" s="35" t="str">
        <x:v>Verify or enter a different loan payment manually from the other client.</x:v>
      </x:c>
      <x:c r="Q453" s="35" t="str">
        <x:v>Synthetic QA only; no real people, accounts, signatures, or properties</x:v>
      </x:c>
    </x:row>
    <x:row r="454">
      <x:c r="A454" s="20" t="str">
        <x:v>SCN-0451</x:v>
      </x:c>
      <x:c r="B454" s="23" t="n">
        <x:v>46407</x:v>
      </x:c>
      <x:c r="C454" s="20" t="str">
        <x:v>scn-0451-loan-payment-ln004-202701.pdf</x:v>
      </x:c>
      <x:c r="D454" s="20" t="str">
        <x:v>Monthly mortgage statement</x:v>
      </x:c>
      <x:c r="E454" s="20" t="str">
        <x:v>Loan payment / Property document</x:v>
      </x:c>
      <x:c r="F454" s="35" t="str">
        <x:v>Attach and match to existing loan; probe typed extraction of principal/interest</x:v>
      </x:c>
      <x:c r="G454" s="20" t="str">
        <x:v>PDF</x:v>
      </x:c>
      <x:c r="H454" s="20" t="str">
        <x:v>3 pages</x:v>
      </x:c>
      <x:c r="I454" s="35" t="str">
        <x:v>clean lender PDF</x:v>
      </x:c>
      <x:c r="J454" s="20" t="str">
        <x:v>P004</x:v>
      </x:c>
      <x:c r="K454" s="20" t="str"/>
      <x:c r="L454" s="20" t="str"/>
      <x:c r="M454" s="20" t="str">
        <x:v>FIN-01088</x:v>
      </x:c>
      <x:c r="N454" s="35" t="str">
        <x:v>loan; due date; payment; principal; interest; escrow; ending principal balance</x:v>
      </x:c>
      <x:c r="O454" s="35" t="str">
        <x:v>principal/interest changes monthly</x:v>
      </x:c>
      <x:c r="P454" s="35" t="str">
        <x:v>Verify or enter a different loan payment manually from the other client.</x:v>
      </x:c>
      <x:c r="Q454" s="35" t="str">
        <x:v>Synthetic QA only; no real people, accounts, signatures, or properties</x:v>
      </x:c>
    </x:row>
    <x:row r="455">
      <x:c r="A455" s="20" t="str">
        <x:v>SCN-0452</x:v>
      </x:c>
      <x:c r="B455" s="23" t="n">
        <x:v>46407</x:v>
      </x:c>
      <x:c r="C455" s="20" t="str">
        <x:v>scn-0452-loan-payment-ln005-202701.pdf</x:v>
      </x:c>
      <x:c r="D455" s="20" t="str">
        <x:v>Monthly mortgage statement</x:v>
      </x:c>
      <x:c r="E455" s="20" t="str">
        <x:v>Loan payment / Property document</x:v>
      </x:c>
      <x:c r="F455" s="35" t="str">
        <x:v>Attach and match to existing loan; probe typed extraction of principal/interest</x:v>
      </x:c>
      <x:c r="G455" s="20" t="str">
        <x:v>PDF</x:v>
      </x:c>
      <x:c r="H455" s="20" t="str">
        <x:v>3 pages</x:v>
      </x:c>
      <x:c r="I455" s="35" t="str">
        <x:v>clean lender PDF</x:v>
      </x:c>
      <x:c r="J455" s="20" t="str">
        <x:v>P005</x:v>
      </x:c>
      <x:c r="K455" s="20" t="str"/>
      <x:c r="L455" s="20" t="str"/>
      <x:c r="M455" s="20" t="str">
        <x:v>FIN-01089</x:v>
      </x:c>
      <x:c r="N455" s="35" t="str">
        <x:v>loan; due date; payment; principal; interest; escrow; ending principal balance</x:v>
      </x:c>
      <x:c r="O455" s="35" t="str">
        <x:v>principal/interest changes monthly</x:v>
      </x:c>
      <x:c r="P455" s="35" t="str">
        <x:v>Verify or enter a different loan payment manually from the other client.</x:v>
      </x:c>
      <x:c r="Q455" s="35" t="str">
        <x:v>Synthetic QA only; no real people, accounts, signatures, or properties</x:v>
      </x:c>
    </x:row>
    <x:row r="456">
      <x:c r="A456" s="20" t="str">
        <x:v>SCN-0453</x:v>
      </x:c>
      <x:c r="B456" s="23" t="n">
        <x:v>46407</x:v>
      </x:c>
      <x:c r="C456" s="20" t="str">
        <x:v>scn-0453-loan-payment-ln007-202701.pdf</x:v>
      </x:c>
      <x:c r="D456" s="20" t="str">
        <x:v>Monthly mortgage statement</x:v>
      </x:c>
      <x:c r="E456" s="20" t="str">
        <x:v>Loan payment / Property document</x:v>
      </x:c>
      <x:c r="F456" s="35" t="str">
        <x:v>Attach and match to existing loan; probe typed extraction of principal/interest</x:v>
      </x:c>
      <x:c r="G456" s="20" t="str">
        <x:v>PDF</x:v>
      </x:c>
      <x:c r="H456" s="20" t="str">
        <x:v>3 pages</x:v>
      </x:c>
      <x:c r="I456" s="35" t="str">
        <x:v>clean lender PDF</x:v>
      </x:c>
      <x:c r="J456" s="20" t="str">
        <x:v>P007</x:v>
      </x:c>
      <x:c r="K456" s="20" t="str"/>
      <x:c r="L456" s="20" t="str"/>
      <x:c r="M456" s="20" t="str">
        <x:v>FIN-01090</x:v>
      </x:c>
      <x:c r="N456" s="35" t="str">
        <x:v>loan; due date; payment; principal; interest; escrow; ending principal balance</x:v>
      </x:c>
      <x:c r="O456" s="35" t="str">
        <x:v>principal/interest changes monthly</x:v>
      </x:c>
      <x:c r="P456" s="35" t="str">
        <x:v>Verify or enter a different loan payment manually from the other client.</x:v>
      </x:c>
      <x:c r="Q456" s="35" t="str">
        <x:v>Synthetic QA only; no real people, accounts, signatures, or properties</x:v>
      </x:c>
    </x:row>
    <x:row r="457">
      <x:c r="A457" s="20" t="str">
        <x:v>SCN-0454</x:v>
      </x:c>
      <x:c r="B457" s="23" t="n">
        <x:v>46407</x:v>
      </x:c>
      <x:c r="C457" s="20" t="str">
        <x:v>scn-0454-loan-payment-ln008-202701.pdf</x:v>
      </x:c>
      <x:c r="D457" s="20" t="str">
        <x:v>Monthly mortgage statement</x:v>
      </x:c>
      <x:c r="E457" s="20" t="str">
        <x:v>Loan payment / Property document</x:v>
      </x:c>
      <x:c r="F457" s="35" t="str">
        <x:v>Attach and match to existing loan; probe typed extraction of principal/interest</x:v>
      </x:c>
      <x:c r="G457" s="20" t="str">
        <x:v>PDF</x:v>
      </x:c>
      <x:c r="H457" s="20" t="str">
        <x:v>3 pages</x:v>
      </x:c>
      <x:c r="I457" s="35" t="str">
        <x:v>clean lender PDF</x:v>
      </x:c>
      <x:c r="J457" s="20" t="str">
        <x:v>P008</x:v>
      </x:c>
      <x:c r="K457" s="20" t="str"/>
      <x:c r="L457" s="20" t="str"/>
      <x:c r="M457" s="20" t="str">
        <x:v>FIN-01091</x:v>
      </x:c>
      <x:c r="N457" s="35" t="str">
        <x:v>loan; due date; payment; principal; interest; escrow; ending principal balance</x:v>
      </x:c>
      <x:c r="O457" s="35" t="str">
        <x:v>principal/interest changes monthly</x:v>
      </x:c>
      <x:c r="P457" s="35" t="str">
        <x:v>Verify or enter a different loan payment manually from the other client.</x:v>
      </x:c>
      <x:c r="Q457" s="35" t="str">
        <x:v>Synthetic QA only; no real people, accounts, signatures, or properties</x:v>
      </x:c>
    </x:row>
    <x:row r="458">
      <x:c r="A458" s="20" t="str">
        <x:v>SCN-0455</x:v>
      </x:c>
      <x:c r="B458" s="23" t="n">
        <x:v>46407</x:v>
      </x:c>
      <x:c r="C458" s="20" t="str">
        <x:v>scn-0455-loan-payment-ln010-202701.pdf</x:v>
      </x:c>
      <x:c r="D458" s="20" t="str">
        <x:v>Monthly mortgage statement</x:v>
      </x:c>
      <x:c r="E458" s="20" t="str">
        <x:v>Loan payment / Property document</x:v>
      </x:c>
      <x:c r="F458" s="35" t="str">
        <x:v>Attach and match to existing loan; probe typed extraction of principal/interest</x:v>
      </x:c>
      <x:c r="G458" s="20" t="str">
        <x:v>PDF</x:v>
      </x:c>
      <x:c r="H458" s="20" t="str">
        <x:v>3 pages</x:v>
      </x:c>
      <x:c r="I458" s="35" t="str">
        <x:v>clean lender PDF</x:v>
      </x:c>
      <x:c r="J458" s="20" t="str">
        <x:v>P010</x:v>
      </x:c>
      <x:c r="K458" s="20" t="str"/>
      <x:c r="L458" s="20" t="str"/>
      <x:c r="M458" s="20" t="str">
        <x:v>FIN-01092</x:v>
      </x:c>
      <x:c r="N458" s="35" t="str">
        <x:v>loan; due date; payment; principal; interest; escrow; ending principal balance</x:v>
      </x:c>
      <x:c r="O458" s="35" t="str">
        <x:v>principal/interest changes monthly</x:v>
      </x:c>
      <x:c r="P458" s="35" t="str">
        <x:v>Verify or enter a different loan payment manually from the other client.</x:v>
      </x:c>
      <x:c r="Q458" s="35" t="str">
        <x:v>Synthetic QA only; no real people, accounts, signatures, or properties</x:v>
      </x:c>
    </x:row>
    <x:row r="459">
      <x:c r="A459" s="20" t="str">
        <x:v>SCN-0456</x:v>
      </x:c>
      <x:c r="B459" s="23" t="n">
        <x:v>46407</x:v>
      </x:c>
      <x:c r="C459" s="20" t="str">
        <x:v>scn-0456-loan-payment-ln011-202701.pdf</x:v>
      </x:c>
      <x:c r="D459" s="20" t="str">
        <x:v>Monthly mortgage statement</x:v>
      </x:c>
      <x:c r="E459" s="20" t="str">
        <x:v>Loan payment / Property document</x:v>
      </x:c>
      <x:c r="F459" s="35" t="str">
        <x:v>Attach and match to existing loan; probe typed extraction of principal/interest</x:v>
      </x:c>
      <x:c r="G459" s="20" t="str">
        <x:v>PDF</x:v>
      </x:c>
      <x:c r="H459" s="20" t="str">
        <x:v>3 pages</x:v>
      </x:c>
      <x:c r="I459" s="35" t="str">
        <x:v>clean lender PDF</x:v>
      </x:c>
      <x:c r="J459" s="20" t="str">
        <x:v>P011</x:v>
      </x:c>
      <x:c r="K459" s="20" t="str"/>
      <x:c r="L459" s="20" t="str"/>
      <x:c r="M459" s="20" t="str">
        <x:v>FIN-01093</x:v>
      </x:c>
      <x:c r="N459" s="35" t="str">
        <x:v>loan; due date; payment; principal; interest; escrow; ending principal balance</x:v>
      </x:c>
      <x:c r="O459" s="35" t="str">
        <x:v>principal/interest changes monthly</x:v>
      </x:c>
      <x:c r="P459" s="35" t="str">
        <x:v>Verify or enter a different loan payment manually from the other client.</x:v>
      </x:c>
      <x:c r="Q459" s="35" t="str">
        <x:v>Synthetic QA only; no real people, accounts, signatures, or properties</x:v>
      </x:c>
    </x:row>
    <x:row r="460">
      <x:c r="A460" s="20" t="str">
        <x:v>SCN-0457</x:v>
      </x:c>
      <x:c r="B460" s="23" t="n">
        <x:v>46407</x:v>
      </x:c>
      <x:c r="C460" s="20" t="str">
        <x:v>scn-0457-loan-payment-ln013-202701.pdf</x:v>
      </x:c>
      <x:c r="D460" s="20" t="str">
        <x:v>Monthly mortgage statement</x:v>
      </x:c>
      <x:c r="E460" s="20" t="str">
        <x:v>Loan payment / Property document</x:v>
      </x:c>
      <x:c r="F460" s="35" t="str">
        <x:v>Attach and match to existing loan; probe typed extraction of principal/interest</x:v>
      </x:c>
      <x:c r="G460" s="20" t="str">
        <x:v>PDF</x:v>
      </x:c>
      <x:c r="H460" s="20" t="str">
        <x:v>3 pages</x:v>
      </x:c>
      <x:c r="I460" s="35" t="str">
        <x:v>clean lender PDF</x:v>
      </x:c>
      <x:c r="J460" s="20" t="str">
        <x:v>P013</x:v>
      </x:c>
      <x:c r="K460" s="20" t="str"/>
      <x:c r="L460" s="20" t="str"/>
      <x:c r="M460" s="20" t="str">
        <x:v>FIN-01094</x:v>
      </x:c>
      <x:c r="N460" s="35" t="str">
        <x:v>loan; due date; payment; principal; interest; escrow; ending principal balance</x:v>
      </x:c>
      <x:c r="O460" s="35" t="str">
        <x:v>principal/interest changes monthly</x:v>
      </x:c>
      <x:c r="P460" s="35" t="str">
        <x:v>Verify or enter a different loan payment manually from the other client.</x:v>
      </x:c>
      <x:c r="Q460" s="35" t="str">
        <x:v>Synthetic QA only; no real people, accounts, signatures, or properties</x:v>
      </x:c>
    </x:row>
    <x:row r="461">
      <x:c r="A461" s="20" t="str">
        <x:v>SCN-0458</x:v>
      </x:c>
      <x:c r="B461" s="23" t="n">
        <x:v>46407</x:v>
      </x:c>
      <x:c r="C461" s="20" t="str">
        <x:v>scn-0458-loan-payment-ln014-202701.pdf</x:v>
      </x:c>
      <x:c r="D461" s="20" t="str">
        <x:v>Monthly mortgage statement</x:v>
      </x:c>
      <x:c r="E461" s="20" t="str">
        <x:v>Loan payment / Property document</x:v>
      </x:c>
      <x:c r="F461" s="35" t="str">
        <x:v>Attach and match to existing loan; probe typed extraction of principal/interest</x:v>
      </x:c>
      <x:c r="G461" s="20" t="str">
        <x:v>PDF</x:v>
      </x:c>
      <x:c r="H461" s="20" t="str">
        <x:v>3 pages</x:v>
      </x:c>
      <x:c r="I461" s="35" t="str">
        <x:v>clean lender PDF</x:v>
      </x:c>
      <x:c r="J461" s="20" t="str">
        <x:v>P014</x:v>
      </x:c>
      <x:c r="K461" s="20" t="str"/>
      <x:c r="L461" s="20" t="str"/>
      <x:c r="M461" s="20" t="str">
        <x:v>FIN-01095</x:v>
      </x:c>
      <x:c r="N461" s="35" t="str">
        <x:v>loan; due date; payment; principal; interest; escrow; ending principal balance</x:v>
      </x:c>
      <x:c r="O461" s="35" t="str">
        <x:v>principal/interest changes monthly</x:v>
      </x:c>
      <x:c r="P461" s="35" t="str">
        <x:v>Verify or enter a different loan payment manually from the other client.</x:v>
      </x:c>
      <x:c r="Q461" s="35" t="str">
        <x:v>Synthetic QA only; no real people, accounts, signatures, or properties</x:v>
      </x:c>
    </x:row>
    <x:row r="462">
      <x:c r="A462" s="20" t="str">
        <x:v>SCN-0459</x:v>
      </x:c>
      <x:c r="B462" s="23" t="n">
        <x:v>46407</x:v>
      </x:c>
      <x:c r="C462" s="20" t="str">
        <x:v>scn-0459-loan-payment-ln016-202701.pdf</x:v>
      </x:c>
      <x:c r="D462" s="20" t="str">
        <x:v>Monthly mortgage statement</x:v>
      </x:c>
      <x:c r="E462" s="20" t="str">
        <x:v>Loan payment / Property document</x:v>
      </x:c>
      <x:c r="F462" s="35" t="str">
        <x:v>Attach and match to existing loan; probe typed extraction of principal/interest</x:v>
      </x:c>
      <x:c r="G462" s="20" t="str">
        <x:v>PDF</x:v>
      </x:c>
      <x:c r="H462" s="20" t="str">
        <x:v>3 pages</x:v>
      </x:c>
      <x:c r="I462" s="35" t="str">
        <x:v>clean lender PDF</x:v>
      </x:c>
      <x:c r="J462" s="20" t="str">
        <x:v>P016</x:v>
      </x:c>
      <x:c r="K462" s="20" t="str"/>
      <x:c r="L462" s="20" t="str"/>
      <x:c r="M462" s="20" t="str">
        <x:v>FIN-01096</x:v>
      </x:c>
      <x:c r="N462" s="35" t="str">
        <x:v>loan; due date; payment; principal; interest; escrow; ending principal balance</x:v>
      </x:c>
      <x:c r="O462" s="35" t="str">
        <x:v>principal/interest changes monthly</x:v>
      </x:c>
      <x:c r="P462" s="35" t="str">
        <x:v>Verify or enter a different loan payment manually from the other client.</x:v>
      </x:c>
      <x:c r="Q462" s="35" t="str">
        <x:v>Synthetic QA only; no real people, accounts, signatures, or properties</x:v>
      </x:c>
    </x:row>
    <x:row r="463">
      <x:c r="A463" s="20" t="str">
        <x:v>SCN-0460</x:v>
      </x:c>
      <x:c r="B463" s="23" t="n">
        <x:v>46407</x:v>
      </x:c>
      <x:c r="C463" s="20" t="str">
        <x:v>scn-0460-loan-payment-ln017-202701.pdf</x:v>
      </x:c>
      <x:c r="D463" s="20" t="str">
        <x:v>Monthly mortgage statement</x:v>
      </x:c>
      <x:c r="E463" s="20" t="str">
        <x:v>Loan payment / Property document</x:v>
      </x:c>
      <x:c r="F463" s="35" t="str">
        <x:v>Attach and match to existing loan; probe typed extraction of principal/interest</x:v>
      </x:c>
      <x:c r="G463" s="20" t="str">
        <x:v>PDF</x:v>
      </x:c>
      <x:c r="H463" s="20" t="str">
        <x:v>3 pages</x:v>
      </x:c>
      <x:c r="I463" s="35" t="str">
        <x:v>clean lender PDF</x:v>
      </x:c>
      <x:c r="J463" s="20" t="str">
        <x:v>P017</x:v>
      </x:c>
      <x:c r="K463" s="20" t="str"/>
      <x:c r="L463" s="20" t="str"/>
      <x:c r="M463" s="20" t="str">
        <x:v>FIN-01097</x:v>
      </x:c>
      <x:c r="N463" s="35" t="str">
        <x:v>loan; due date; payment; principal; interest; escrow; ending principal balance</x:v>
      </x:c>
      <x:c r="O463" s="35" t="str">
        <x:v>principal/interest changes monthly</x:v>
      </x:c>
      <x:c r="P463" s="35" t="str">
        <x:v>Verify or enter a different loan payment manually from the other client.</x:v>
      </x:c>
      <x:c r="Q463" s="35" t="str">
        <x:v>Synthetic QA only; no real people, accounts, signatures, or properties</x:v>
      </x:c>
    </x:row>
    <x:row r="464">
      <x:c r="A464" s="20" t="str">
        <x:v>SCN-0461</x:v>
      </x:c>
      <x:c r="B464" s="23" t="n">
        <x:v>46407</x:v>
      </x:c>
      <x:c r="C464" s="20" t="str">
        <x:v>scn-0461-loan-payment-ln019-202701.pdf</x:v>
      </x:c>
      <x:c r="D464" s="20" t="str">
        <x:v>Monthly mortgage statement</x:v>
      </x:c>
      <x:c r="E464" s="20" t="str">
        <x:v>Loan payment / Property document</x:v>
      </x:c>
      <x:c r="F464" s="35" t="str">
        <x:v>Attach and match to existing loan; probe typed extraction of principal/interest</x:v>
      </x:c>
      <x:c r="G464" s="20" t="str">
        <x:v>PDF</x:v>
      </x:c>
      <x:c r="H464" s="20" t="str">
        <x:v>3 pages</x:v>
      </x:c>
      <x:c r="I464" s="35" t="str">
        <x:v>clean lender PDF</x:v>
      </x:c>
      <x:c r="J464" s="20" t="str">
        <x:v>P019</x:v>
      </x:c>
      <x:c r="K464" s="20" t="str"/>
      <x:c r="L464" s="20" t="str"/>
      <x:c r="M464" s="20" t="str">
        <x:v>FIN-01098</x:v>
      </x:c>
      <x:c r="N464" s="35" t="str">
        <x:v>loan; due date; payment; principal; interest; escrow; ending principal balance</x:v>
      </x:c>
      <x:c r="O464" s="35" t="str">
        <x:v>principal/interest changes monthly</x:v>
      </x:c>
      <x:c r="P464" s="35" t="str">
        <x:v>Verify or enter a different loan payment manually from the other client.</x:v>
      </x:c>
      <x:c r="Q464" s="35" t="str">
        <x:v>Synthetic QA only; no real people, accounts, signatures, or properties</x:v>
      </x:c>
    </x:row>
    <x:row r="465">
      <x:c r="A465" s="20" t="str">
        <x:v>SCN-0462</x:v>
      </x:c>
      <x:c r="B465" s="23" t="n">
        <x:v>46407</x:v>
      </x:c>
      <x:c r="C465" s="20" t="str">
        <x:v>scn-0462-loan-payment-ln020-202701.pdf</x:v>
      </x:c>
      <x:c r="D465" s="20" t="str">
        <x:v>Monthly mortgage statement</x:v>
      </x:c>
      <x:c r="E465" s="20" t="str">
        <x:v>Loan payment / Property document</x:v>
      </x:c>
      <x:c r="F465" s="35" t="str">
        <x:v>Attach and match to existing loan; probe typed extraction of principal/interest</x:v>
      </x:c>
      <x:c r="G465" s="20" t="str">
        <x:v>PDF</x:v>
      </x:c>
      <x:c r="H465" s="20" t="str">
        <x:v>3 pages</x:v>
      </x:c>
      <x:c r="I465" s="35" t="str">
        <x:v>clean lender PDF</x:v>
      </x:c>
      <x:c r="J465" s="20" t="str">
        <x:v>P020</x:v>
      </x:c>
      <x:c r="K465" s="20" t="str"/>
      <x:c r="L465" s="20" t="str"/>
      <x:c r="M465" s="20" t="str">
        <x:v>FIN-01099</x:v>
      </x:c>
      <x:c r="N465" s="35" t="str">
        <x:v>loan; due date; payment; principal; interest; escrow; ending principal balance</x:v>
      </x:c>
      <x:c r="O465" s="35" t="str">
        <x:v>principal/interest changes monthly</x:v>
      </x:c>
      <x:c r="P465" s="35" t="str">
        <x:v>Verify or enter a different loan payment manually from the other client.</x:v>
      </x:c>
      <x:c r="Q465" s="35" t="str">
        <x:v>Synthetic QA only; no real people, accounts, signatures, or properties</x:v>
      </x:c>
    </x:row>
    <x:row r="466">
      <x:c r="A466" s="20" t="str">
        <x:v>SCN-0463</x:v>
      </x:c>
      <x:c r="B466" s="23" t="n">
        <x:v>46407</x:v>
      </x:c>
      <x:c r="C466" s="20" t="str">
        <x:v>scn-0463-loan-payment-ln022-202701.pdf</x:v>
      </x:c>
      <x:c r="D466" s="20" t="str">
        <x:v>Monthly mortgage statement</x:v>
      </x:c>
      <x:c r="E466" s="20" t="str">
        <x:v>Loan payment / Property document</x:v>
      </x:c>
      <x:c r="F466" s="35" t="str">
        <x:v>Attach and match to existing loan; probe typed extraction of principal/interest</x:v>
      </x:c>
      <x:c r="G466" s="20" t="str">
        <x:v>PDF</x:v>
      </x:c>
      <x:c r="H466" s="20" t="str">
        <x:v>3 pages</x:v>
      </x:c>
      <x:c r="I466" s="35" t="str">
        <x:v>clean lender PDF</x:v>
      </x:c>
      <x:c r="J466" s="20" t="str">
        <x:v>P022</x:v>
      </x:c>
      <x:c r="K466" s="20" t="str"/>
      <x:c r="L466" s="20" t="str"/>
      <x:c r="M466" s="20" t="str">
        <x:v>FIN-01100</x:v>
      </x:c>
      <x:c r="N466" s="35" t="str">
        <x:v>loan; due date; payment; principal; interest; escrow; ending principal balance</x:v>
      </x:c>
      <x:c r="O466" s="35" t="str">
        <x:v>principal/interest changes monthly</x:v>
      </x:c>
      <x:c r="P466" s="35" t="str">
        <x:v>Verify or enter a different loan payment manually from the other client.</x:v>
      </x:c>
      <x:c r="Q466" s="35" t="str">
        <x:v>Synthetic QA only; no real people, accounts, signatures, or properties</x:v>
      </x:c>
    </x:row>
    <x:row r="467">
      <x:c r="A467" s="20" t="str">
        <x:v>SCN-0464</x:v>
      </x:c>
      <x:c r="B467" s="23" t="n">
        <x:v>46407</x:v>
      </x:c>
      <x:c r="C467" s="20" t="str">
        <x:v>scn-0464-loan-payment-ln023-202701.pdf</x:v>
      </x:c>
      <x:c r="D467" s="20" t="str">
        <x:v>Monthly mortgage statement</x:v>
      </x:c>
      <x:c r="E467" s="20" t="str">
        <x:v>Loan payment / Property document</x:v>
      </x:c>
      <x:c r="F467" s="35" t="str">
        <x:v>Attach and match to existing loan; probe typed extraction of principal/interest</x:v>
      </x:c>
      <x:c r="G467" s="20" t="str">
        <x:v>PDF</x:v>
      </x:c>
      <x:c r="H467" s="20" t="str">
        <x:v>3 pages</x:v>
      </x:c>
      <x:c r="I467" s="35" t="str">
        <x:v>clean lender PDF</x:v>
      </x:c>
      <x:c r="J467" s="20" t="str">
        <x:v>P023</x:v>
      </x:c>
      <x:c r="K467" s="20" t="str"/>
      <x:c r="L467" s="20" t="str"/>
      <x:c r="M467" s="20" t="str">
        <x:v>FIN-01101</x:v>
      </x:c>
      <x:c r="N467" s="35" t="str">
        <x:v>loan; due date; payment; principal; interest; escrow; ending principal balance</x:v>
      </x:c>
      <x:c r="O467" s="35" t="str">
        <x:v>principal/interest changes monthly</x:v>
      </x:c>
      <x:c r="P467" s="35" t="str">
        <x:v>Verify or enter a different loan payment manually from the other client.</x:v>
      </x:c>
      <x:c r="Q467" s="35" t="str">
        <x:v>Synthetic QA only; no real people, accounts, signatures, or properties</x:v>
      </x:c>
    </x:row>
    <x:row r="468">
      <x:c r="A468" s="20" t="str">
        <x:v>SCN-0465</x:v>
      </x:c>
      <x:c r="B468" s="23" t="n">
        <x:v>46407</x:v>
      </x:c>
      <x:c r="C468" s="20" t="str">
        <x:v>scn-0465-loan-payment-ln025-202701.pdf</x:v>
      </x:c>
      <x:c r="D468" s="20" t="str">
        <x:v>Monthly mortgage statement</x:v>
      </x:c>
      <x:c r="E468" s="20" t="str">
        <x:v>Loan payment / Property document</x:v>
      </x:c>
      <x:c r="F468" s="35" t="str">
        <x:v>Attach and match to existing loan; probe typed extraction of principal/interest</x:v>
      </x:c>
      <x:c r="G468" s="20" t="str">
        <x:v>PDF</x:v>
      </x:c>
      <x:c r="H468" s="20" t="str">
        <x:v>3 pages</x:v>
      </x:c>
      <x:c r="I468" s="35" t="str">
        <x:v>clean lender PDF</x:v>
      </x:c>
      <x:c r="J468" s="20" t="str">
        <x:v>P025</x:v>
      </x:c>
      <x:c r="K468" s="20" t="str"/>
      <x:c r="L468" s="20" t="str"/>
      <x:c r="M468" s="20" t="str">
        <x:v>FIN-01102</x:v>
      </x:c>
      <x:c r="N468" s="35" t="str">
        <x:v>loan; due date; payment; principal; interest; escrow; ending principal balance</x:v>
      </x:c>
      <x:c r="O468" s="35" t="str">
        <x:v>principal/interest changes monthly</x:v>
      </x:c>
      <x:c r="P468" s="35" t="str">
        <x:v>Verify or enter a different loan payment manually from the other client.</x:v>
      </x:c>
      <x:c r="Q468" s="35" t="str">
        <x:v>Synthetic QA only; no real people, accounts, signatures, or properties</x:v>
      </x:c>
    </x:row>
    <x:row r="469">
      <x:c r="A469" s="20" t="str">
        <x:v>SCN-0466</x:v>
      </x:c>
      <x:c r="B469" s="23" t="n">
        <x:v>46407</x:v>
      </x:c>
      <x:c r="C469" s="20" t="str">
        <x:v>scn-0466-loan-payment-ln026-202701.pdf</x:v>
      </x:c>
      <x:c r="D469" s="20" t="str">
        <x:v>Monthly mortgage statement</x:v>
      </x:c>
      <x:c r="E469" s="20" t="str">
        <x:v>Loan payment / Property document</x:v>
      </x:c>
      <x:c r="F469" s="35" t="str">
        <x:v>Attach and match to existing loan; probe typed extraction of principal/interest</x:v>
      </x:c>
      <x:c r="G469" s="20" t="str">
        <x:v>PDF</x:v>
      </x:c>
      <x:c r="H469" s="20" t="str">
        <x:v>3 pages</x:v>
      </x:c>
      <x:c r="I469" s="35" t="str">
        <x:v>clean lender PDF</x:v>
      </x:c>
      <x:c r="J469" s="20" t="str">
        <x:v>P026</x:v>
      </x:c>
      <x:c r="K469" s="20" t="str"/>
      <x:c r="L469" s="20" t="str"/>
      <x:c r="M469" s="20" t="str">
        <x:v>FIN-01103</x:v>
      </x:c>
      <x:c r="N469" s="35" t="str">
        <x:v>loan; due date; payment; principal; interest; escrow; ending principal balance</x:v>
      </x:c>
      <x:c r="O469" s="35" t="str">
        <x:v>principal/interest changes monthly</x:v>
      </x:c>
      <x:c r="P469" s="35" t="str">
        <x:v>Verify or enter a different loan payment manually from the other client.</x:v>
      </x:c>
      <x:c r="Q469" s="35" t="str">
        <x:v>Synthetic QA only; no real people, accounts, signatures, or properties</x:v>
      </x:c>
    </x:row>
    <x:row r="470">
      <x:c r="A470" s="20" t="str">
        <x:v>SCN-0467</x:v>
      </x:c>
      <x:c r="B470" s="23" t="n">
        <x:v>46407</x:v>
      </x:c>
      <x:c r="C470" s="20" t="str">
        <x:v>scn-0467-loan-payment-ln028-202701.pdf</x:v>
      </x:c>
      <x:c r="D470" s="20" t="str">
        <x:v>Monthly mortgage statement</x:v>
      </x:c>
      <x:c r="E470" s="20" t="str">
        <x:v>Loan payment / Property document</x:v>
      </x:c>
      <x:c r="F470" s="35" t="str">
        <x:v>Attach and match to existing loan; probe typed extraction of principal/interest</x:v>
      </x:c>
      <x:c r="G470" s="20" t="str">
        <x:v>PDF</x:v>
      </x:c>
      <x:c r="H470" s="20" t="str">
        <x:v>3 pages</x:v>
      </x:c>
      <x:c r="I470" s="35" t="str">
        <x:v>clean lender PDF</x:v>
      </x:c>
      <x:c r="J470" s="20" t="str">
        <x:v>P028</x:v>
      </x:c>
      <x:c r="K470" s="20" t="str"/>
      <x:c r="L470" s="20" t="str"/>
      <x:c r="M470" s="20" t="str">
        <x:v>FIN-01104</x:v>
      </x:c>
      <x:c r="N470" s="35" t="str">
        <x:v>loan; due date; payment; principal; interest; escrow; ending principal balance</x:v>
      </x:c>
      <x:c r="O470" s="35" t="str">
        <x:v>principal/interest changes monthly</x:v>
      </x:c>
      <x:c r="P470" s="35" t="str">
        <x:v>Verify or enter a different loan payment manually from the other client.</x:v>
      </x:c>
      <x:c r="Q470" s="35" t="str">
        <x:v>Synthetic QA only; no real people, accounts, signatures, or properties</x:v>
      </x:c>
    </x:row>
    <x:row r="471">
      <x:c r="A471" s="20" t="str">
        <x:v>SCN-0468</x:v>
      </x:c>
      <x:c r="B471" s="23" t="n">
        <x:v>46407</x:v>
      </x:c>
      <x:c r="C471" s="20" t="str">
        <x:v>scn-0468-loan-payment-ln029-202701.pdf</x:v>
      </x:c>
      <x:c r="D471" s="20" t="str">
        <x:v>Monthly mortgage statement</x:v>
      </x:c>
      <x:c r="E471" s="20" t="str">
        <x:v>Loan payment / Property document</x:v>
      </x:c>
      <x:c r="F471" s="35" t="str">
        <x:v>Attach and match to existing loan; probe typed extraction of principal/interest</x:v>
      </x:c>
      <x:c r="G471" s="20" t="str">
        <x:v>PDF</x:v>
      </x:c>
      <x:c r="H471" s="20" t="str">
        <x:v>3 pages</x:v>
      </x:c>
      <x:c r="I471" s="35" t="str">
        <x:v>clean lender PDF</x:v>
      </x:c>
      <x:c r="J471" s="20" t="str">
        <x:v>P029</x:v>
      </x:c>
      <x:c r="K471" s="20" t="str"/>
      <x:c r="L471" s="20" t="str"/>
      <x:c r="M471" s="20" t="str">
        <x:v>FIN-01105</x:v>
      </x:c>
      <x:c r="N471" s="35" t="str">
        <x:v>loan; due date; payment; principal; interest; escrow; ending principal balance</x:v>
      </x:c>
      <x:c r="O471" s="35" t="str">
        <x:v>principal/interest changes monthly</x:v>
      </x:c>
      <x:c r="P471" s="35" t="str">
        <x:v>Verify or enter a different loan payment manually from the other client.</x:v>
      </x:c>
      <x:c r="Q471" s="35" t="str">
        <x:v>Synthetic QA only; no real people, accounts, signatures, or properties</x:v>
      </x:c>
    </x:row>
    <x:row r="472">
      <x:c r="A472" s="20" t="str">
        <x:v>SCN-0469</x:v>
      </x:c>
      <x:c r="B472" s="23" t="n">
        <x:v>46418</x:v>
      </x:c>
      <x:c r="C472" s="20" t="str">
        <x:v>scn-0469-bank-statement-2027-01.pdf</x:v>
      </x:c>
      <x:c r="D472" s="20" t="str">
        <x:v>Operating bank statement</x:v>
      </x:c>
      <x:c r="E472" s="20" t="str">
        <x:v>Banking import</x:v>
      </x:c>
      <x:c r="F472" s="35" t="str">
        <x:v>Bank statement/import candidate; manually import structured transactions if PDF scan is unsupported</x:v>
      </x:c>
      <x:c r="G472" s="20" t="str">
        <x:v>PDF</x:v>
      </x:c>
      <x:c r="H472" s="20" t="str">
        <x:v>8-12 pages</x:v>
      </x:c>
      <x:c r="I472" s="35" t="str">
        <x:v>clean bank PDF with synthetic account ending 4242</x:v>
      </x:c>
      <x:c r="J472" s="20" t="str"/>
      <x:c r="K472" s="20" t="str"/>
      <x:c r="L472" s="20" t="str"/>
      <x:c r="M472" s="20" t="str"/>
      <x:c r="N472" s="35" t="str">
        <x:v>statement period; opening balance; deposits; withdrawals; fees; ending balance; transaction references</x:v>
      </x:c>
      <x:c r="O472" s="35" t="str">
        <x:v>one pending item in March and one duplicate feed row in September</x:v>
      </x:c>
      <x:c r="P472" s="35" t="str">
        <x:v>Use Banking review/match on web and mobile; manually enter one unmatched bank fee.</x:v>
      </x:c>
      <x:c r="Q472" s="35" t="str">
        <x:v>Synthetic QA only; no real people, accounts, signatures, or properties</x:v>
      </x:c>
    </x:row>
    <x:row r="473">
      <x:c r="A473" s="20" t="str">
        <x:v>SCN-0470</x:v>
      </x:c>
      <x:c r="B473" s="23" t="n">
        <x:v>46433</x:v>
      </x:c>
      <x:c r="C473" s="20" t="str">
        <x:v>scn-0470-expense-20270215-1041.jpg</x:v>
      </x:c>
      <x:c r="D473" s="20" t="str">
        <x:v>Vendor invoice / receipt</x:v>
      </x:c>
      <x:c r="E473" s="20" t="str">
        <x:v>Expense</x:v>
      </x:c>
      <x:c r="F473" s="35" t="str">
        <x:v>Direct scan draft with property/unit/work-order context</x:v>
      </x:c>
      <x:c r="G473" s="20" t="str">
        <x:v>Camera JPEG</x:v>
      </x:c>
      <x:c r="H473" s="20" t="str">
        <x:v>1-3 pages</x:v>
      </x:c>
      <x:c r="I473" s="35" t="str">
        <x:v>clean emailed invoice</x:v>
      </x:c>
      <x:c r="J473" s="20" t="str">
        <x:v>P021</x:v>
      </x:c>
      <x:c r="K473" s="20" t="str"/>
      <x:c r="L473" s="20" t="str"/>
      <x:c r="M473" s="20" t="str">
        <x:v>FIN-01111</x:v>
      </x:c>
      <x:c r="N473" s="35" t="str">
        <x:v>vendor; invoice number; date; subtotal; tax; total; category; property; unit; line items; payment method</x:v>
      </x:c>
      <x:c r="O473" s="35" t="str"/>
      <x:c r="P473" s="35" t="str">
        <x:v>Create a different expense of the same category through the equivalent manual form on the other client.</x:v>
      </x:c>
      <x:c r="Q473" s="35" t="str">
        <x:v>Synthetic QA only; no real people, accounts, signatures, or properties</x:v>
      </x:c>
    </x:row>
    <x:row r="474">
      <x:c r="A474" s="20" t="str">
        <x:v>SCN-0471</x:v>
      </x:c>
      <x:c r="B474" s="23" t="n">
        <x:v>46433</x:v>
      </x:c>
      <x:c r="C474" s="20" t="str">
        <x:v>scn-0471-expense-20270215-1042.pdf</x:v>
      </x:c>
      <x:c r="D474" s="20" t="str">
        <x:v>Vendor invoice / receipt</x:v>
      </x:c>
      <x:c r="E474" s="20" t="str">
        <x:v>Expense</x:v>
      </x:c>
      <x:c r="F474" s="35" t="str">
        <x:v>Direct scan draft with property/unit/work-order context</x:v>
      </x:c>
      <x:c r="G474" s="20" t="str">
        <x:v>PDF</x:v>
      </x:c>
      <x:c r="H474" s="20" t="str">
        <x:v>1-3 pages</x:v>
      </x:c>
      <x:c r="I474" s="35" t="str">
        <x:v>crumpled thermal receipt</x:v>
      </x:c>
      <x:c r="J474" s="20" t="str">
        <x:v>P022</x:v>
      </x:c>
      <x:c r="K474" s="20" t="str"/>
      <x:c r="L474" s="20" t="str"/>
      <x:c r="M474" s="20" t="str">
        <x:v>FIN-01112</x:v>
      </x:c>
      <x:c r="N474" s="35" t="str">
        <x:v>vendor; invoice number; date; subtotal; tax; total; category; property; unit; line items; payment method</x:v>
      </x:c>
      <x:c r="O474" s="35" t="str"/>
      <x:c r="P474" s="35" t="str">
        <x:v>Create a different expense of the same category through the equivalent manual form on the other client.</x:v>
      </x:c>
      <x:c r="Q474" s="35" t="str">
        <x:v>Synthetic QA only; no real people, accounts, signatures, or properties</x:v>
      </x:c>
    </x:row>
    <x:row r="475">
      <x:c r="A475" s="20" t="str">
        <x:v>SCN-0472</x:v>
      </x:c>
      <x:c r="B475" s="23" t="n">
        <x:v>46433</x:v>
      </x:c>
      <x:c r="C475" s="20" t="str">
        <x:v>scn-0472-expense-20270215-1043.pdf</x:v>
      </x:c>
      <x:c r="D475" s="20" t="str">
        <x:v>Vendor invoice / receipt</x:v>
      </x:c>
      <x:c r="E475" s="20" t="str">
        <x:v>Expense</x:v>
      </x:c>
      <x:c r="F475" s="35" t="str">
        <x:v>Direct scan draft with property/unit/work-order context</x:v>
      </x:c>
      <x:c r="G475" s="20" t="str">
        <x:v>PDF</x:v>
      </x:c>
      <x:c r="H475" s="20" t="str">
        <x:v>1-3 pages</x:v>
      </x:c>
      <x:c r="I475" s="35" t="str">
        <x:v>phone photo with shadow</x:v>
      </x:c>
      <x:c r="J475" s="20" t="str">
        <x:v>P023</x:v>
      </x:c>
      <x:c r="K475" s="20" t="str"/>
      <x:c r="L475" s="20" t="str"/>
      <x:c r="M475" s="20" t="str">
        <x:v>FIN-01113</x:v>
      </x:c>
      <x:c r="N475" s="35" t="str">
        <x:v>vendor; invoice number; date; subtotal; tax; total; category; property; unit; line items; payment method</x:v>
      </x:c>
      <x:c r="O475" s="35" t="str"/>
      <x:c r="P475" s="35" t="str">
        <x:v>Create a different expense of the same category through the equivalent manual form on the other client.</x:v>
      </x:c>
      <x:c r="Q475" s="35" t="str">
        <x:v>Synthetic QA only; no real people, accounts, signatures, or properties</x:v>
      </x:c>
    </x:row>
    <x:row r="476">
      <x:c r="A476" s="20" t="str">
        <x:v>SCN-0473</x:v>
      </x:c>
      <x:c r="B476" s="23" t="n">
        <x:v>46433</x:v>
      </x:c>
      <x:c r="C476" s="20" t="str">
        <x:v>scn-0473-expense-20270215-1044.jpg</x:v>
      </x:c>
      <x:c r="D476" s="20" t="str">
        <x:v>Vendor invoice / receipt</x:v>
      </x:c>
      <x:c r="E476" s="20" t="str">
        <x:v>Expense</x:v>
      </x:c>
      <x:c r="F476" s="35" t="str">
        <x:v>Direct scan draft with property/unit/work-order context</x:v>
      </x:c>
      <x:c r="G476" s="20" t="str">
        <x:v>Camera JPEG</x:v>
      </x:c>
      <x:c r="H476" s="20" t="str">
        <x:v>1-3 pages</x:v>
      </x:c>
      <x:c r="I476" s="35" t="str">
        <x:v>clean emailed invoice</x:v>
      </x:c>
      <x:c r="J476" s="20" t="str">
        <x:v>P024</x:v>
      </x:c>
      <x:c r="K476" s="20" t="str"/>
      <x:c r="L476" s="20" t="str"/>
      <x:c r="M476" s="20" t="str">
        <x:v>FIN-01114</x:v>
      </x:c>
      <x:c r="N476" s="35" t="str">
        <x:v>vendor; invoice number; date; subtotal; tax; total; category; property; unit; line items; payment method</x:v>
      </x:c>
      <x:c r="O476" s="35" t="str"/>
      <x:c r="P476" s="35" t="str">
        <x:v>Create a different expense of the same category through the equivalent manual form on the other client.</x:v>
      </x:c>
      <x:c r="Q476" s="35" t="str">
        <x:v>Synthetic QA only; no real people, accounts, signatures, or properties</x:v>
      </x:c>
    </x:row>
    <x:row r="477">
      <x:c r="A477" s="20" t="str">
        <x:v>SCN-0474</x:v>
      </x:c>
      <x:c r="B477" s="23" t="n">
        <x:v>46433</x:v>
      </x:c>
      <x:c r="C477" s="20" t="str">
        <x:v>scn-0474-expense-20270215-1046.pdf</x:v>
      </x:c>
      <x:c r="D477" s="20" t="str">
        <x:v>Vendor invoice / receipt</x:v>
      </x:c>
      <x:c r="E477" s="20" t="str">
        <x:v>Expense</x:v>
      </x:c>
      <x:c r="F477" s="35" t="str">
        <x:v>Direct scan draft with property/unit/work-order context</x:v>
      </x:c>
      <x:c r="G477" s="20" t="str">
        <x:v>PDF</x:v>
      </x:c>
      <x:c r="H477" s="20" t="str">
        <x:v>1-3 pages</x:v>
      </x:c>
      <x:c r="I477" s="35" t="str">
        <x:v>phone photo with shadow</x:v>
      </x:c>
      <x:c r="J477" s="20" t="str">
        <x:v>P026</x:v>
      </x:c>
      <x:c r="K477" s="20" t="str"/>
      <x:c r="L477" s="20" t="str"/>
      <x:c r="M477" s="20" t="str">
        <x:v>FIN-01116</x:v>
      </x:c>
      <x:c r="N477" s="35" t="str">
        <x:v>vendor; invoice number; date; subtotal; tax; total; category; property; unit; line items; payment method</x:v>
      </x:c>
      <x:c r="O477" s="35" t="str"/>
      <x:c r="P477" s="35" t="str">
        <x:v>Create a different expense of the same category through the equivalent manual form on the other client.</x:v>
      </x:c>
      <x:c r="Q477" s="35" t="str">
        <x:v>Synthetic QA only; no real people, accounts, signatures, or properties</x:v>
      </x:c>
    </x:row>
    <x:row r="478">
      <x:c r="A478" s="20" t="str">
        <x:v>SCN-0475</x:v>
      </x:c>
      <x:c r="B478" s="23" t="n">
        <x:v>46433</x:v>
      </x:c>
      <x:c r="C478" s="20" t="str">
        <x:v>scn-0475-expense-20270215-1047.jpg</x:v>
      </x:c>
      <x:c r="D478" s="20" t="str">
        <x:v>Vendor invoice / receipt</x:v>
      </x:c>
      <x:c r="E478" s="20" t="str">
        <x:v>Expense</x:v>
      </x:c>
      <x:c r="F478" s="35" t="str">
        <x:v>Direct scan draft with property/unit/work-order context</x:v>
      </x:c>
      <x:c r="G478" s="20" t="str">
        <x:v>Camera JPEG</x:v>
      </x:c>
      <x:c r="H478" s="20" t="str">
        <x:v>1-3 pages</x:v>
      </x:c>
      <x:c r="I478" s="35" t="str">
        <x:v>clean emailed invoice</x:v>
      </x:c>
      <x:c r="J478" s="20" t="str">
        <x:v>P027</x:v>
      </x:c>
      <x:c r="K478" s="20" t="str"/>
      <x:c r="L478" s="20" t="str"/>
      <x:c r="M478" s="20" t="str">
        <x:v>FIN-01117</x:v>
      </x:c>
      <x:c r="N478" s="35" t="str">
        <x:v>vendor; invoice number; date; subtotal; tax; total; category; property; unit; line items; payment method</x:v>
      </x:c>
      <x:c r="O478" s="35" t="str"/>
      <x:c r="P478" s="35" t="str">
        <x:v>Create a different expense of the same category through the equivalent manual form on the other client.</x:v>
      </x:c>
      <x:c r="Q478" s="35" t="str">
        <x:v>Synthetic QA only; no real people, accounts, signatures, or properties</x:v>
      </x:c>
    </x:row>
    <x:row r="479">
      <x:c r="A479" s="20" t="str">
        <x:v>SCN-0476</x:v>
      </x:c>
      <x:c r="B479" s="23" t="n">
        <x:v>46433</x:v>
      </x:c>
      <x:c r="C479" s="20" t="str">
        <x:v>scn-0476-expense-20270215-1048.pdf</x:v>
      </x:c>
      <x:c r="D479" s="20" t="str">
        <x:v>Vendor invoice / receipt</x:v>
      </x:c>
      <x:c r="E479" s="20" t="str">
        <x:v>Expense</x:v>
      </x:c>
      <x:c r="F479" s="35" t="str">
        <x:v>Direct scan draft with property/unit/work-order context</x:v>
      </x:c>
      <x:c r="G479" s="20" t="str">
        <x:v>PDF</x:v>
      </x:c>
      <x:c r="H479" s="20" t="str">
        <x:v>1-3 pages</x:v>
      </x:c>
      <x:c r="I479" s="35" t="str">
        <x:v>crumpled thermal receipt</x:v>
      </x:c>
      <x:c r="J479" s="20" t="str">
        <x:v>P028</x:v>
      </x:c>
      <x:c r="K479" s="20" t="str"/>
      <x:c r="L479" s="20" t="str"/>
      <x:c r="M479" s="20" t="str">
        <x:v>FIN-01118</x:v>
      </x:c>
      <x:c r="N479" s="35" t="str">
        <x:v>vendor; invoice number; date; subtotal; tax; total; category; property; unit; line items; payment method</x:v>
      </x:c>
      <x:c r="O479" s="35" t="str"/>
      <x:c r="P479" s="35" t="str">
        <x:v>Create a different expense of the same category through the equivalent manual form on the other client.</x:v>
      </x:c>
      <x:c r="Q479" s="35" t="str">
        <x:v>Synthetic QA only; no real people, accounts, signatures, or properties</x:v>
      </x:c>
    </x:row>
    <x:row r="480">
      <x:c r="A480" s="20" t="str">
        <x:v>SCN-0477</x:v>
      </x:c>
      <x:c r="B480" s="23" t="n">
        <x:v>46433</x:v>
      </x:c>
      <x:c r="C480" s="20" t="str">
        <x:v>scn-0477-expense-20270215-1049.pdf</x:v>
      </x:c>
      <x:c r="D480" s="20" t="str">
        <x:v>Vendor invoice / receipt</x:v>
      </x:c>
      <x:c r="E480" s="20" t="str">
        <x:v>Expense</x:v>
      </x:c>
      <x:c r="F480" s="35" t="str">
        <x:v>Direct scan draft with property/unit/work-order context</x:v>
      </x:c>
      <x:c r="G480" s="20" t="str">
        <x:v>PDF</x:v>
      </x:c>
      <x:c r="H480" s="20" t="str">
        <x:v>1-3 pages</x:v>
      </x:c>
      <x:c r="I480" s="35" t="str">
        <x:v>phone photo with shadow</x:v>
      </x:c>
      <x:c r="J480" s="20" t="str">
        <x:v>P029</x:v>
      </x:c>
      <x:c r="K480" s="20" t="str"/>
      <x:c r="L480" s="20" t="str"/>
      <x:c r="M480" s="20" t="str">
        <x:v>FIN-01119</x:v>
      </x:c>
      <x:c r="N480" s="35" t="str">
        <x:v>vendor; invoice number; date; subtotal; tax; total; category; property; unit; line items; payment method</x:v>
      </x:c>
      <x:c r="O480" s="35" t="str"/>
      <x:c r="P480" s="35" t="str">
        <x:v>Create a different expense of the same category through the equivalent manual form on the other client.</x:v>
      </x:c>
      <x:c r="Q480" s="35" t="str">
        <x:v>Synthetic QA only; no real people, accounts, signatures, or properties</x:v>
      </x:c>
    </x:row>
    <x:row r="481">
      <x:c r="A481" s="20" t="str">
        <x:v>SCN-0478</x:v>
      </x:c>
      <x:c r="B481" s="23" t="n">
        <x:v>46438</x:v>
      </x:c>
      <x:c r="C481" s="20" t="str">
        <x:v>scn-0478-loan-payment-ln001-202702.pdf</x:v>
      </x:c>
      <x:c r="D481" s="20" t="str">
        <x:v>Monthly mortgage statement</x:v>
      </x:c>
      <x:c r="E481" s="20" t="str">
        <x:v>Loan payment / Property document</x:v>
      </x:c>
      <x:c r="F481" s="35" t="str">
        <x:v>Attach and match to existing loan; probe typed extraction of principal/interest</x:v>
      </x:c>
      <x:c r="G481" s="20" t="str">
        <x:v>PDF</x:v>
      </x:c>
      <x:c r="H481" s="20" t="str">
        <x:v>3 pages</x:v>
      </x:c>
      <x:c r="I481" s="35" t="str">
        <x:v>clean lender PDF</x:v>
      </x:c>
      <x:c r="J481" s="20" t="str">
        <x:v>P001</x:v>
      </x:c>
      <x:c r="K481" s="20" t="str"/>
      <x:c r="L481" s="20" t="str"/>
      <x:c r="M481" s="20" t="str">
        <x:v>FIN-01121</x:v>
      </x:c>
      <x:c r="N481" s="35" t="str">
        <x:v>loan; due date; payment; principal; interest; escrow; ending principal balance</x:v>
      </x:c>
      <x:c r="O481" s="35" t="str">
        <x:v>principal/interest changes monthly</x:v>
      </x:c>
      <x:c r="P481" s="35" t="str">
        <x:v>Verify or enter a different loan payment manually from the other client.</x:v>
      </x:c>
      <x:c r="Q481" s="35" t="str">
        <x:v>Synthetic QA only; no real people, accounts, signatures, or properties</x:v>
      </x:c>
    </x:row>
    <x:row r="482">
      <x:c r="A482" s="20" t="str">
        <x:v>SCN-0479</x:v>
      </x:c>
      <x:c r="B482" s="23" t="n">
        <x:v>46438</x:v>
      </x:c>
      <x:c r="C482" s="20" t="str">
        <x:v>scn-0479-loan-payment-ln002-202702.pdf</x:v>
      </x:c>
      <x:c r="D482" s="20" t="str">
        <x:v>Monthly mortgage statement</x:v>
      </x:c>
      <x:c r="E482" s="20" t="str">
        <x:v>Loan payment / Property document</x:v>
      </x:c>
      <x:c r="F482" s="35" t="str">
        <x:v>Attach and match to existing loan; probe typed extraction of principal/interest</x:v>
      </x:c>
      <x:c r="G482" s="20" t="str">
        <x:v>PDF</x:v>
      </x:c>
      <x:c r="H482" s="20" t="str">
        <x:v>3 pages</x:v>
      </x:c>
      <x:c r="I482" s="35" t="str">
        <x:v>clean lender PDF</x:v>
      </x:c>
      <x:c r="J482" s="20" t="str">
        <x:v>P002</x:v>
      </x:c>
      <x:c r="K482" s="20" t="str"/>
      <x:c r="L482" s="20" t="str"/>
      <x:c r="M482" s="20" t="str">
        <x:v>FIN-01122</x:v>
      </x:c>
      <x:c r="N482" s="35" t="str">
        <x:v>loan; due date; payment; principal; interest; escrow; ending principal balance</x:v>
      </x:c>
      <x:c r="O482" s="35" t="str">
        <x:v>principal/interest changes monthly</x:v>
      </x:c>
      <x:c r="P482" s="35" t="str">
        <x:v>Verify or enter a different loan payment manually from the other client.</x:v>
      </x:c>
      <x:c r="Q482" s="35" t="str">
        <x:v>Synthetic QA only; no real people, accounts, signatures, or properties</x:v>
      </x:c>
    </x:row>
    <x:row r="483">
      <x:c r="A483" s="20" t="str">
        <x:v>SCN-0480</x:v>
      </x:c>
      <x:c r="B483" s="23" t="n">
        <x:v>46438</x:v>
      </x:c>
      <x:c r="C483" s="20" t="str">
        <x:v>scn-0480-loan-payment-ln004-202702.pdf</x:v>
      </x:c>
      <x:c r="D483" s="20" t="str">
        <x:v>Monthly mortgage statement</x:v>
      </x:c>
      <x:c r="E483" s="20" t="str">
        <x:v>Loan payment / Property document</x:v>
      </x:c>
      <x:c r="F483" s="35" t="str">
        <x:v>Attach and match to existing loan; probe typed extraction of principal/interest</x:v>
      </x:c>
      <x:c r="G483" s="20" t="str">
        <x:v>PDF</x:v>
      </x:c>
      <x:c r="H483" s="20" t="str">
        <x:v>3 pages</x:v>
      </x:c>
      <x:c r="I483" s="35" t="str">
        <x:v>clean lender PDF</x:v>
      </x:c>
      <x:c r="J483" s="20" t="str">
        <x:v>P004</x:v>
      </x:c>
      <x:c r="K483" s="20" t="str"/>
      <x:c r="L483" s="20" t="str"/>
      <x:c r="M483" s="20" t="str">
        <x:v>FIN-01123</x:v>
      </x:c>
      <x:c r="N483" s="35" t="str">
        <x:v>loan; due date; payment; principal; interest; escrow; ending principal balance</x:v>
      </x:c>
      <x:c r="O483" s="35" t="str">
        <x:v>principal/interest changes monthly</x:v>
      </x:c>
      <x:c r="P483" s="35" t="str">
        <x:v>Verify or enter a different loan payment manually from the other client.</x:v>
      </x:c>
      <x:c r="Q483" s="35" t="str">
        <x:v>Synthetic QA only; no real people, accounts, signatures, or properties</x:v>
      </x:c>
    </x:row>
    <x:row r="484">
      <x:c r="A484" s="20" t="str">
        <x:v>SCN-0481</x:v>
      </x:c>
      <x:c r="B484" s="23" t="n">
        <x:v>46438</x:v>
      </x:c>
      <x:c r="C484" s="20" t="str">
        <x:v>scn-0481-loan-payment-ln005-202702.pdf</x:v>
      </x:c>
      <x:c r="D484" s="20" t="str">
        <x:v>Monthly mortgage statement</x:v>
      </x:c>
      <x:c r="E484" s="20" t="str">
        <x:v>Loan payment / Property document</x:v>
      </x:c>
      <x:c r="F484" s="35" t="str">
        <x:v>Attach and match to existing loan; probe typed extraction of principal/interest</x:v>
      </x:c>
      <x:c r="G484" s="20" t="str">
        <x:v>PDF</x:v>
      </x:c>
      <x:c r="H484" s="20" t="str">
        <x:v>3 pages</x:v>
      </x:c>
      <x:c r="I484" s="35" t="str">
        <x:v>clean lender PDF</x:v>
      </x:c>
      <x:c r="J484" s="20" t="str">
        <x:v>P005</x:v>
      </x:c>
      <x:c r="K484" s="20" t="str"/>
      <x:c r="L484" s="20" t="str"/>
      <x:c r="M484" s="20" t="str">
        <x:v>FIN-01124</x:v>
      </x:c>
      <x:c r="N484" s="35" t="str">
        <x:v>loan; due date; payment; principal; interest; escrow; ending principal balance</x:v>
      </x:c>
      <x:c r="O484" s="35" t="str">
        <x:v>principal/interest changes monthly</x:v>
      </x:c>
      <x:c r="P484" s="35" t="str">
        <x:v>Verify or enter a different loan payment manually from the other client.</x:v>
      </x:c>
      <x:c r="Q484" s="35" t="str">
        <x:v>Synthetic QA only; no real people, accounts, signatures, or properties</x:v>
      </x:c>
    </x:row>
    <x:row r="485">
      <x:c r="A485" s="20" t="str">
        <x:v>SCN-0482</x:v>
      </x:c>
      <x:c r="B485" s="23" t="n">
        <x:v>46438</x:v>
      </x:c>
      <x:c r="C485" s="20" t="str">
        <x:v>scn-0482-loan-payment-ln007-202702.pdf</x:v>
      </x:c>
      <x:c r="D485" s="20" t="str">
        <x:v>Monthly mortgage statement</x:v>
      </x:c>
      <x:c r="E485" s="20" t="str">
        <x:v>Loan payment / Property document</x:v>
      </x:c>
      <x:c r="F485" s="35" t="str">
        <x:v>Attach and match to existing loan; probe typed extraction of principal/interest</x:v>
      </x:c>
      <x:c r="G485" s="20" t="str">
        <x:v>PDF</x:v>
      </x:c>
      <x:c r="H485" s="20" t="str">
        <x:v>3 pages</x:v>
      </x:c>
      <x:c r="I485" s="35" t="str">
        <x:v>clean lender PDF</x:v>
      </x:c>
      <x:c r="J485" s="20" t="str">
        <x:v>P007</x:v>
      </x:c>
      <x:c r="K485" s="20" t="str"/>
      <x:c r="L485" s="20" t="str"/>
      <x:c r="M485" s="20" t="str">
        <x:v>FIN-01125</x:v>
      </x:c>
      <x:c r="N485" s="35" t="str">
        <x:v>loan; due date; payment; principal; interest; escrow; ending principal balance</x:v>
      </x:c>
      <x:c r="O485" s="35" t="str">
        <x:v>principal/interest changes monthly</x:v>
      </x:c>
      <x:c r="P485" s="35" t="str">
        <x:v>Verify or enter a different loan payment manually from the other client.</x:v>
      </x:c>
      <x:c r="Q485" s="35" t="str">
        <x:v>Synthetic QA only; no real people, accounts, signatures, or properties</x:v>
      </x:c>
    </x:row>
    <x:row r="486">
      <x:c r="A486" s="20" t="str">
        <x:v>SCN-0483</x:v>
      </x:c>
      <x:c r="B486" s="23" t="n">
        <x:v>46438</x:v>
      </x:c>
      <x:c r="C486" s="20" t="str">
        <x:v>scn-0483-loan-payment-ln008-202702.pdf</x:v>
      </x:c>
      <x:c r="D486" s="20" t="str">
        <x:v>Monthly mortgage statement</x:v>
      </x:c>
      <x:c r="E486" s="20" t="str">
        <x:v>Loan payment / Property document</x:v>
      </x:c>
      <x:c r="F486" s="35" t="str">
        <x:v>Attach and match to existing loan; probe typed extraction of principal/interest</x:v>
      </x:c>
      <x:c r="G486" s="20" t="str">
        <x:v>PDF</x:v>
      </x:c>
      <x:c r="H486" s="20" t="str">
        <x:v>3 pages</x:v>
      </x:c>
      <x:c r="I486" s="35" t="str">
        <x:v>clean lender PDF</x:v>
      </x:c>
      <x:c r="J486" s="20" t="str">
        <x:v>P008</x:v>
      </x:c>
      <x:c r="K486" s="20" t="str"/>
      <x:c r="L486" s="20" t="str"/>
      <x:c r="M486" s="20" t="str">
        <x:v>FIN-01126</x:v>
      </x:c>
      <x:c r="N486" s="35" t="str">
        <x:v>loan; due date; payment; principal; interest; escrow; ending principal balance</x:v>
      </x:c>
      <x:c r="O486" s="35" t="str">
        <x:v>principal/interest changes monthly</x:v>
      </x:c>
      <x:c r="P486" s="35" t="str">
        <x:v>Verify or enter a different loan payment manually from the other client.</x:v>
      </x:c>
      <x:c r="Q486" s="35" t="str">
        <x:v>Synthetic QA only; no real people, accounts, signatures, or properties</x:v>
      </x:c>
    </x:row>
    <x:row r="487">
      <x:c r="A487" s="20" t="str">
        <x:v>SCN-0484</x:v>
      </x:c>
      <x:c r="B487" s="23" t="n">
        <x:v>46438</x:v>
      </x:c>
      <x:c r="C487" s="20" t="str">
        <x:v>scn-0484-loan-payment-ln010-202702.pdf</x:v>
      </x:c>
      <x:c r="D487" s="20" t="str">
        <x:v>Monthly mortgage statement</x:v>
      </x:c>
      <x:c r="E487" s="20" t="str">
        <x:v>Loan payment / Property document</x:v>
      </x:c>
      <x:c r="F487" s="35" t="str">
        <x:v>Attach and match to existing loan; probe typed extraction of principal/interest</x:v>
      </x:c>
      <x:c r="G487" s="20" t="str">
        <x:v>PDF</x:v>
      </x:c>
      <x:c r="H487" s="20" t="str">
        <x:v>3 pages</x:v>
      </x:c>
      <x:c r="I487" s="35" t="str">
        <x:v>clean lender PDF</x:v>
      </x:c>
      <x:c r="J487" s="20" t="str">
        <x:v>P010</x:v>
      </x:c>
      <x:c r="K487" s="20" t="str"/>
      <x:c r="L487" s="20" t="str"/>
      <x:c r="M487" s="20" t="str">
        <x:v>FIN-01127</x:v>
      </x:c>
      <x:c r="N487" s="35" t="str">
        <x:v>loan; due date; payment; principal; interest; escrow; ending principal balance</x:v>
      </x:c>
      <x:c r="O487" s="35" t="str">
        <x:v>principal/interest changes monthly</x:v>
      </x:c>
      <x:c r="P487" s="35" t="str">
        <x:v>Verify or enter a different loan payment manually from the other client.</x:v>
      </x:c>
      <x:c r="Q487" s="35" t="str">
        <x:v>Synthetic QA only; no real people, accounts, signatures, or properties</x:v>
      </x:c>
    </x:row>
    <x:row r="488">
      <x:c r="A488" s="20" t="str">
        <x:v>SCN-0485</x:v>
      </x:c>
      <x:c r="B488" s="23" t="n">
        <x:v>46438</x:v>
      </x:c>
      <x:c r="C488" s="20" t="str">
        <x:v>scn-0485-loan-payment-ln011-202702.pdf</x:v>
      </x:c>
      <x:c r="D488" s="20" t="str">
        <x:v>Monthly mortgage statement</x:v>
      </x:c>
      <x:c r="E488" s="20" t="str">
        <x:v>Loan payment / Property document</x:v>
      </x:c>
      <x:c r="F488" s="35" t="str">
        <x:v>Attach and match to existing loan; probe typed extraction of principal/interest</x:v>
      </x:c>
      <x:c r="G488" s="20" t="str">
        <x:v>PDF</x:v>
      </x:c>
      <x:c r="H488" s="20" t="str">
        <x:v>3 pages</x:v>
      </x:c>
      <x:c r="I488" s="35" t="str">
        <x:v>clean lender PDF</x:v>
      </x:c>
      <x:c r="J488" s="20" t="str">
        <x:v>P011</x:v>
      </x:c>
      <x:c r="K488" s="20" t="str"/>
      <x:c r="L488" s="20" t="str"/>
      <x:c r="M488" s="20" t="str">
        <x:v>FIN-01128</x:v>
      </x:c>
      <x:c r="N488" s="35" t="str">
        <x:v>loan; due date; payment; principal; interest; escrow; ending principal balance</x:v>
      </x:c>
      <x:c r="O488" s="35" t="str">
        <x:v>principal/interest changes monthly</x:v>
      </x:c>
      <x:c r="P488" s="35" t="str">
        <x:v>Verify or enter a different loan payment manually from the other client.</x:v>
      </x:c>
      <x:c r="Q488" s="35" t="str">
        <x:v>Synthetic QA only; no real people, accounts, signatures, or properties</x:v>
      </x:c>
    </x:row>
    <x:row r="489">
      <x:c r="A489" s="20" t="str">
        <x:v>SCN-0486</x:v>
      </x:c>
      <x:c r="B489" s="23" t="n">
        <x:v>46438</x:v>
      </x:c>
      <x:c r="C489" s="20" t="str">
        <x:v>scn-0486-loan-payment-ln013-202702.pdf</x:v>
      </x:c>
      <x:c r="D489" s="20" t="str">
        <x:v>Monthly mortgage statement</x:v>
      </x:c>
      <x:c r="E489" s="20" t="str">
        <x:v>Loan payment / Property document</x:v>
      </x:c>
      <x:c r="F489" s="35" t="str">
        <x:v>Attach and match to existing loan; probe typed extraction of principal/interest</x:v>
      </x:c>
      <x:c r="G489" s="20" t="str">
        <x:v>PDF</x:v>
      </x:c>
      <x:c r="H489" s="20" t="str">
        <x:v>3 pages</x:v>
      </x:c>
      <x:c r="I489" s="35" t="str">
        <x:v>clean lender PDF</x:v>
      </x:c>
      <x:c r="J489" s="20" t="str">
        <x:v>P013</x:v>
      </x:c>
      <x:c r="K489" s="20" t="str"/>
      <x:c r="L489" s="20" t="str"/>
      <x:c r="M489" s="20" t="str">
        <x:v>FIN-01129</x:v>
      </x:c>
      <x:c r="N489" s="35" t="str">
        <x:v>loan; due date; payment; principal; interest; escrow; ending principal balance</x:v>
      </x:c>
      <x:c r="O489" s="35" t="str">
        <x:v>principal/interest changes monthly</x:v>
      </x:c>
      <x:c r="P489" s="35" t="str">
        <x:v>Verify or enter a different loan payment manually from the other client.</x:v>
      </x:c>
      <x:c r="Q489" s="35" t="str">
        <x:v>Synthetic QA only; no real people, accounts, signatures, or properties</x:v>
      </x:c>
    </x:row>
    <x:row r="490">
      <x:c r="A490" s="20" t="str">
        <x:v>SCN-0487</x:v>
      </x:c>
      <x:c r="B490" s="23" t="n">
        <x:v>46438</x:v>
      </x:c>
      <x:c r="C490" s="20" t="str">
        <x:v>scn-0487-loan-payment-ln014-202702.pdf</x:v>
      </x:c>
      <x:c r="D490" s="20" t="str">
        <x:v>Monthly mortgage statement</x:v>
      </x:c>
      <x:c r="E490" s="20" t="str">
        <x:v>Loan payment / Property document</x:v>
      </x:c>
      <x:c r="F490" s="35" t="str">
        <x:v>Attach and match to existing loan; probe typed extraction of principal/interest</x:v>
      </x:c>
      <x:c r="G490" s="20" t="str">
        <x:v>PDF</x:v>
      </x:c>
      <x:c r="H490" s="20" t="str">
        <x:v>3 pages</x:v>
      </x:c>
      <x:c r="I490" s="35" t="str">
        <x:v>clean lender PDF</x:v>
      </x:c>
      <x:c r="J490" s="20" t="str">
        <x:v>P014</x:v>
      </x:c>
      <x:c r="K490" s="20" t="str"/>
      <x:c r="L490" s="20" t="str"/>
      <x:c r="M490" s="20" t="str">
        <x:v>FIN-01130</x:v>
      </x:c>
      <x:c r="N490" s="35" t="str">
        <x:v>loan; due date; payment; principal; interest; escrow; ending principal balance</x:v>
      </x:c>
      <x:c r="O490" s="35" t="str">
        <x:v>principal/interest changes monthly</x:v>
      </x:c>
      <x:c r="P490" s="35" t="str">
        <x:v>Verify or enter a different loan payment manually from the other client.</x:v>
      </x:c>
      <x:c r="Q490" s="35" t="str">
        <x:v>Synthetic QA only; no real people, accounts, signatures, or properties</x:v>
      </x:c>
    </x:row>
    <x:row r="491">
      <x:c r="A491" s="20" t="str">
        <x:v>SCN-0488</x:v>
      </x:c>
      <x:c r="B491" s="23" t="n">
        <x:v>46438</x:v>
      </x:c>
      <x:c r="C491" s="20" t="str">
        <x:v>scn-0488-loan-payment-ln016-202702.pdf</x:v>
      </x:c>
      <x:c r="D491" s="20" t="str">
        <x:v>Monthly mortgage statement</x:v>
      </x:c>
      <x:c r="E491" s="20" t="str">
        <x:v>Loan payment / Property document</x:v>
      </x:c>
      <x:c r="F491" s="35" t="str">
        <x:v>Attach and match to existing loan; probe typed extraction of principal/interest</x:v>
      </x:c>
      <x:c r="G491" s="20" t="str">
        <x:v>PDF</x:v>
      </x:c>
      <x:c r="H491" s="20" t="str">
        <x:v>3 pages</x:v>
      </x:c>
      <x:c r="I491" s="35" t="str">
        <x:v>clean lender PDF</x:v>
      </x:c>
      <x:c r="J491" s="20" t="str">
        <x:v>P016</x:v>
      </x:c>
      <x:c r="K491" s="20" t="str"/>
      <x:c r="L491" s="20" t="str"/>
      <x:c r="M491" s="20" t="str">
        <x:v>FIN-01131</x:v>
      </x:c>
      <x:c r="N491" s="35" t="str">
        <x:v>loan; due date; payment; principal; interest; escrow; ending principal balance</x:v>
      </x:c>
      <x:c r="O491" s="35" t="str">
        <x:v>principal/interest changes monthly</x:v>
      </x:c>
      <x:c r="P491" s="35" t="str">
        <x:v>Verify or enter a different loan payment manually from the other client.</x:v>
      </x:c>
      <x:c r="Q491" s="35" t="str">
        <x:v>Synthetic QA only; no real people, accounts, signatures, or properties</x:v>
      </x:c>
    </x:row>
    <x:row r="492">
      <x:c r="A492" s="20" t="str">
        <x:v>SCN-0489</x:v>
      </x:c>
      <x:c r="B492" s="23" t="n">
        <x:v>46438</x:v>
      </x:c>
      <x:c r="C492" s="20" t="str">
        <x:v>scn-0489-loan-payment-ln017-202702.pdf</x:v>
      </x:c>
      <x:c r="D492" s="20" t="str">
        <x:v>Monthly mortgage statement</x:v>
      </x:c>
      <x:c r="E492" s="20" t="str">
        <x:v>Loan payment / Property document</x:v>
      </x:c>
      <x:c r="F492" s="35" t="str">
        <x:v>Attach and match to existing loan; probe typed extraction of principal/interest</x:v>
      </x:c>
      <x:c r="G492" s="20" t="str">
        <x:v>PDF</x:v>
      </x:c>
      <x:c r="H492" s="20" t="str">
        <x:v>3 pages</x:v>
      </x:c>
      <x:c r="I492" s="35" t="str">
        <x:v>clean lender PDF</x:v>
      </x:c>
      <x:c r="J492" s="20" t="str">
        <x:v>P017</x:v>
      </x:c>
      <x:c r="K492" s="20" t="str"/>
      <x:c r="L492" s="20" t="str"/>
      <x:c r="M492" s="20" t="str">
        <x:v>FIN-01132</x:v>
      </x:c>
      <x:c r="N492" s="35" t="str">
        <x:v>loan; due date; payment; principal; interest; escrow; ending principal balance</x:v>
      </x:c>
      <x:c r="O492" s="35" t="str">
        <x:v>principal/interest changes monthly</x:v>
      </x:c>
      <x:c r="P492" s="35" t="str">
        <x:v>Verify or enter a different loan payment manually from the other client.</x:v>
      </x:c>
      <x:c r="Q492" s="35" t="str">
        <x:v>Synthetic QA only; no real people, accounts, signatures, or properties</x:v>
      </x:c>
    </x:row>
    <x:row r="493">
      <x:c r="A493" s="20" t="str">
        <x:v>SCN-0490</x:v>
      </x:c>
      <x:c r="B493" s="23" t="n">
        <x:v>46438</x:v>
      </x:c>
      <x:c r="C493" s="20" t="str">
        <x:v>scn-0490-loan-payment-ln019-202702.pdf</x:v>
      </x:c>
      <x:c r="D493" s="20" t="str">
        <x:v>Monthly mortgage statement</x:v>
      </x:c>
      <x:c r="E493" s="20" t="str">
        <x:v>Loan payment / Property document</x:v>
      </x:c>
      <x:c r="F493" s="35" t="str">
        <x:v>Attach and match to existing loan; probe typed extraction of principal/interest</x:v>
      </x:c>
      <x:c r="G493" s="20" t="str">
        <x:v>PDF</x:v>
      </x:c>
      <x:c r="H493" s="20" t="str">
        <x:v>3 pages</x:v>
      </x:c>
      <x:c r="I493" s="35" t="str">
        <x:v>clean lender PDF</x:v>
      </x:c>
      <x:c r="J493" s="20" t="str">
        <x:v>P019</x:v>
      </x:c>
      <x:c r="K493" s="20" t="str"/>
      <x:c r="L493" s="20" t="str"/>
      <x:c r="M493" s="20" t="str">
        <x:v>FIN-01133</x:v>
      </x:c>
      <x:c r="N493" s="35" t="str">
        <x:v>loan; due date; payment; principal; interest; escrow; ending principal balance</x:v>
      </x:c>
      <x:c r="O493" s="35" t="str">
        <x:v>principal/interest changes monthly</x:v>
      </x:c>
      <x:c r="P493" s="35" t="str">
        <x:v>Verify or enter a different loan payment manually from the other client.</x:v>
      </x:c>
      <x:c r="Q493" s="35" t="str">
        <x:v>Synthetic QA only; no real people, accounts, signatures, or properties</x:v>
      </x:c>
    </x:row>
    <x:row r="494">
      <x:c r="A494" s="20" t="str">
        <x:v>SCN-0491</x:v>
      </x:c>
      <x:c r="B494" s="23" t="n">
        <x:v>46438</x:v>
      </x:c>
      <x:c r="C494" s="20" t="str">
        <x:v>scn-0491-loan-payment-ln020-202702.pdf</x:v>
      </x:c>
      <x:c r="D494" s="20" t="str">
        <x:v>Monthly mortgage statement</x:v>
      </x:c>
      <x:c r="E494" s="20" t="str">
        <x:v>Loan payment / Property document</x:v>
      </x:c>
      <x:c r="F494" s="35" t="str">
        <x:v>Attach and match to existing loan; probe typed extraction of principal/interest</x:v>
      </x:c>
      <x:c r="G494" s="20" t="str">
        <x:v>PDF</x:v>
      </x:c>
      <x:c r="H494" s="20" t="str">
        <x:v>3 pages</x:v>
      </x:c>
      <x:c r="I494" s="35" t="str">
        <x:v>clean lender PDF</x:v>
      </x:c>
      <x:c r="J494" s="20" t="str">
        <x:v>P020</x:v>
      </x:c>
      <x:c r="K494" s="20" t="str"/>
      <x:c r="L494" s="20" t="str"/>
      <x:c r="M494" s="20" t="str">
        <x:v>FIN-01134</x:v>
      </x:c>
      <x:c r="N494" s="35" t="str">
        <x:v>loan; due date; payment; principal; interest; escrow; ending principal balance</x:v>
      </x:c>
      <x:c r="O494" s="35" t="str">
        <x:v>principal/interest changes monthly</x:v>
      </x:c>
      <x:c r="P494" s="35" t="str">
        <x:v>Verify or enter a different loan payment manually from the other client.</x:v>
      </x:c>
      <x:c r="Q494" s="35" t="str">
        <x:v>Synthetic QA only; no real people, accounts, signatures, or properties</x:v>
      </x:c>
    </x:row>
    <x:row r="495">
      <x:c r="A495" s="20" t="str">
        <x:v>SCN-0492</x:v>
      </x:c>
      <x:c r="B495" s="23" t="n">
        <x:v>46438</x:v>
      </x:c>
      <x:c r="C495" s="20" t="str">
        <x:v>scn-0492-loan-payment-ln022-202702.pdf</x:v>
      </x:c>
      <x:c r="D495" s="20" t="str">
        <x:v>Monthly mortgage statement</x:v>
      </x:c>
      <x:c r="E495" s="20" t="str">
        <x:v>Loan payment / Property document</x:v>
      </x:c>
      <x:c r="F495" s="35" t="str">
        <x:v>Attach and match to existing loan; probe typed extraction of principal/interest</x:v>
      </x:c>
      <x:c r="G495" s="20" t="str">
        <x:v>PDF</x:v>
      </x:c>
      <x:c r="H495" s="20" t="str">
        <x:v>3 pages</x:v>
      </x:c>
      <x:c r="I495" s="35" t="str">
        <x:v>clean lender PDF</x:v>
      </x:c>
      <x:c r="J495" s="20" t="str">
        <x:v>P022</x:v>
      </x:c>
      <x:c r="K495" s="20" t="str"/>
      <x:c r="L495" s="20" t="str"/>
      <x:c r="M495" s="20" t="str">
        <x:v>FIN-01135</x:v>
      </x:c>
      <x:c r="N495" s="35" t="str">
        <x:v>loan; due date; payment; principal; interest; escrow; ending principal balance</x:v>
      </x:c>
      <x:c r="O495" s="35" t="str">
        <x:v>principal/interest changes monthly</x:v>
      </x:c>
      <x:c r="P495" s="35" t="str">
        <x:v>Verify or enter a different loan payment manually from the other client.</x:v>
      </x:c>
      <x:c r="Q495" s="35" t="str">
        <x:v>Synthetic QA only; no real people, accounts, signatures, or properties</x:v>
      </x:c>
    </x:row>
    <x:row r="496">
      <x:c r="A496" s="20" t="str">
        <x:v>SCN-0493</x:v>
      </x:c>
      <x:c r="B496" s="23" t="n">
        <x:v>46438</x:v>
      </x:c>
      <x:c r="C496" s="20" t="str">
        <x:v>scn-0493-loan-payment-ln023-202702.pdf</x:v>
      </x:c>
      <x:c r="D496" s="20" t="str">
        <x:v>Monthly mortgage statement</x:v>
      </x:c>
      <x:c r="E496" s="20" t="str">
        <x:v>Loan payment / Property document</x:v>
      </x:c>
      <x:c r="F496" s="35" t="str">
        <x:v>Attach and match to existing loan; probe typed extraction of principal/interest</x:v>
      </x:c>
      <x:c r="G496" s="20" t="str">
        <x:v>PDF</x:v>
      </x:c>
      <x:c r="H496" s="20" t="str">
        <x:v>3 pages</x:v>
      </x:c>
      <x:c r="I496" s="35" t="str">
        <x:v>clean lender PDF</x:v>
      </x:c>
      <x:c r="J496" s="20" t="str">
        <x:v>P023</x:v>
      </x:c>
      <x:c r="K496" s="20" t="str"/>
      <x:c r="L496" s="20" t="str"/>
      <x:c r="M496" s="20" t="str">
        <x:v>FIN-01136</x:v>
      </x:c>
      <x:c r="N496" s="35" t="str">
        <x:v>loan; due date; payment; principal; interest; escrow; ending principal balance</x:v>
      </x:c>
      <x:c r="O496" s="35" t="str">
        <x:v>principal/interest changes monthly</x:v>
      </x:c>
      <x:c r="P496" s="35" t="str">
        <x:v>Verify or enter a different loan payment manually from the other client.</x:v>
      </x:c>
      <x:c r="Q496" s="35" t="str">
        <x:v>Synthetic QA only; no real people, accounts, signatures, or properties</x:v>
      </x:c>
    </x:row>
    <x:row r="497">
      <x:c r="A497" s="20" t="str">
        <x:v>SCN-0494</x:v>
      </x:c>
      <x:c r="B497" s="23" t="n">
        <x:v>46438</x:v>
      </x:c>
      <x:c r="C497" s="20" t="str">
        <x:v>scn-0494-loan-payment-ln025-202702.pdf</x:v>
      </x:c>
      <x:c r="D497" s="20" t="str">
        <x:v>Monthly mortgage statement</x:v>
      </x:c>
      <x:c r="E497" s="20" t="str">
        <x:v>Loan payment / Property document</x:v>
      </x:c>
      <x:c r="F497" s="35" t="str">
        <x:v>Attach and match to existing loan; probe typed extraction of principal/interest</x:v>
      </x:c>
      <x:c r="G497" s="20" t="str">
        <x:v>PDF</x:v>
      </x:c>
      <x:c r="H497" s="20" t="str">
        <x:v>3 pages</x:v>
      </x:c>
      <x:c r="I497" s="35" t="str">
        <x:v>clean lender PDF</x:v>
      </x:c>
      <x:c r="J497" s="20" t="str">
        <x:v>P025</x:v>
      </x:c>
      <x:c r="K497" s="20" t="str"/>
      <x:c r="L497" s="20" t="str"/>
      <x:c r="M497" s="20" t="str">
        <x:v>FIN-01137</x:v>
      </x:c>
      <x:c r="N497" s="35" t="str">
        <x:v>loan; due date; payment; principal; interest; escrow; ending principal balance</x:v>
      </x:c>
      <x:c r="O497" s="35" t="str">
        <x:v>principal/interest changes monthly</x:v>
      </x:c>
      <x:c r="P497" s="35" t="str">
        <x:v>Verify or enter a different loan payment manually from the other client.</x:v>
      </x:c>
      <x:c r="Q497" s="35" t="str">
        <x:v>Synthetic QA only; no real people, accounts, signatures, or properties</x:v>
      </x:c>
    </x:row>
    <x:row r="498">
      <x:c r="A498" s="20" t="str">
        <x:v>SCN-0495</x:v>
      </x:c>
      <x:c r="B498" s="23" t="n">
        <x:v>46438</x:v>
      </x:c>
      <x:c r="C498" s="20" t="str">
        <x:v>scn-0495-loan-payment-ln026-202702.pdf</x:v>
      </x:c>
      <x:c r="D498" s="20" t="str">
        <x:v>Monthly mortgage statement</x:v>
      </x:c>
      <x:c r="E498" s="20" t="str">
        <x:v>Loan payment / Property document</x:v>
      </x:c>
      <x:c r="F498" s="35" t="str">
        <x:v>Attach and match to existing loan; probe typed extraction of principal/interest</x:v>
      </x:c>
      <x:c r="G498" s="20" t="str">
        <x:v>PDF</x:v>
      </x:c>
      <x:c r="H498" s="20" t="str">
        <x:v>3 pages</x:v>
      </x:c>
      <x:c r="I498" s="35" t="str">
        <x:v>clean lender PDF</x:v>
      </x:c>
      <x:c r="J498" s="20" t="str">
        <x:v>P026</x:v>
      </x:c>
      <x:c r="K498" s="20" t="str"/>
      <x:c r="L498" s="20" t="str"/>
      <x:c r="M498" s="20" t="str">
        <x:v>FIN-01138</x:v>
      </x:c>
      <x:c r="N498" s="35" t="str">
        <x:v>loan; due date; payment; principal; interest; escrow; ending principal balance</x:v>
      </x:c>
      <x:c r="O498" s="35" t="str">
        <x:v>principal/interest changes monthly</x:v>
      </x:c>
      <x:c r="P498" s="35" t="str">
        <x:v>Verify or enter a different loan payment manually from the other client.</x:v>
      </x:c>
      <x:c r="Q498" s="35" t="str">
        <x:v>Synthetic QA only; no real people, accounts, signatures, or properties</x:v>
      </x:c>
    </x:row>
    <x:row r="499">
      <x:c r="A499" s="20" t="str">
        <x:v>SCN-0496</x:v>
      </x:c>
      <x:c r="B499" s="23" t="n">
        <x:v>46438</x:v>
      </x:c>
      <x:c r="C499" s="20" t="str">
        <x:v>scn-0496-loan-payment-ln028-202702.pdf</x:v>
      </x:c>
      <x:c r="D499" s="20" t="str">
        <x:v>Monthly mortgage statement</x:v>
      </x:c>
      <x:c r="E499" s="20" t="str">
        <x:v>Loan payment / Property document</x:v>
      </x:c>
      <x:c r="F499" s="35" t="str">
        <x:v>Attach and match to existing loan; probe typed extraction of principal/interest</x:v>
      </x:c>
      <x:c r="G499" s="20" t="str">
        <x:v>PDF</x:v>
      </x:c>
      <x:c r="H499" s="20" t="str">
        <x:v>3 pages</x:v>
      </x:c>
      <x:c r="I499" s="35" t="str">
        <x:v>clean lender PDF</x:v>
      </x:c>
      <x:c r="J499" s="20" t="str">
        <x:v>P028</x:v>
      </x:c>
      <x:c r="K499" s="20" t="str"/>
      <x:c r="L499" s="20" t="str"/>
      <x:c r="M499" s="20" t="str">
        <x:v>FIN-01139</x:v>
      </x:c>
      <x:c r="N499" s="35" t="str">
        <x:v>loan; due date; payment; principal; interest; escrow; ending principal balance</x:v>
      </x:c>
      <x:c r="O499" s="35" t="str">
        <x:v>principal/interest changes monthly</x:v>
      </x:c>
      <x:c r="P499" s="35" t="str">
        <x:v>Verify or enter a different loan payment manually from the other client.</x:v>
      </x:c>
      <x:c r="Q499" s="35" t="str">
        <x:v>Synthetic QA only; no real people, accounts, signatures, or properties</x:v>
      </x:c>
    </x:row>
    <x:row r="500">
      <x:c r="A500" s="20" t="str">
        <x:v>SCN-0497</x:v>
      </x:c>
      <x:c r="B500" s="23" t="n">
        <x:v>46438</x:v>
      </x:c>
      <x:c r="C500" s="20" t="str">
        <x:v>scn-0497-loan-payment-ln029-202702.pdf</x:v>
      </x:c>
      <x:c r="D500" s="20" t="str">
        <x:v>Monthly mortgage statement</x:v>
      </x:c>
      <x:c r="E500" s="20" t="str">
        <x:v>Loan payment / Property document</x:v>
      </x:c>
      <x:c r="F500" s="35" t="str">
        <x:v>Attach and match to existing loan; probe typed extraction of principal/interest</x:v>
      </x:c>
      <x:c r="G500" s="20" t="str">
        <x:v>PDF</x:v>
      </x:c>
      <x:c r="H500" s="20" t="str">
        <x:v>3 pages</x:v>
      </x:c>
      <x:c r="I500" s="35" t="str">
        <x:v>clean lender PDF</x:v>
      </x:c>
      <x:c r="J500" s="20" t="str">
        <x:v>P029</x:v>
      </x:c>
      <x:c r="K500" s="20" t="str"/>
      <x:c r="L500" s="20" t="str"/>
      <x:c r="M500" s="20" t="str">
        <x:v>FIN-01140</x:v>
      </x:c>
      <x:c r="N500" s="35" t="str">
        <x:v>loan; due date; payment; principal; interest; escrow; ending principal balance</x:v>
      </x:c>
      <x:c r="O500" s="35" t="str">
        <x:v>principal/interest changes monthly</x:v>
      </x:c>
      <x:c r="P500" s="35" t="str">
        <x:v>Verify or enter a different loan payment manually from the other client.</x:v>
      </x:c>
      <x:c r="Q500" s="35" t="str">
        <x:v>Synthetic QA only; no real people, accounts, signatures, or properties</x:v>
      </x:c>
    </x:row>
    <x:row r="501">
      <x:c r="A501" s="20" t="str">
        <x:v>SCN-0498</x:v>
      </x:c>
      <x:c r="B501" s="23" t="n">
        <x:v>46446</x:v>
      </x:c>
      <x:c r="C501" s="20" t="str">
        <x:v>scn-0498-bank-statement-2027-02.pdf</x:v>
      </x:c>
      <x:c r="D501" s="20" t="str">
        <x:v>Operating bank statement</x:v>
      </x:c>
      <x:c r="E501" s="20" t="str">
        <x:v>Banking import</x:v>
      </x:c>
      <x:c r="F501" s="35" t="str">
        <x:v>Bank statement/import candidate; manually import structured transactions if PDF scan is unsupported</x:v>
      </x:c>
      <x:c r="G501" s="20" t="str">
        <x:v>PDF</x:v>
      </x:c>
      <x:c r="H501" s="20" t="str">
        <x:v>8-12 pages</x:v>
      </x:c>
      <x:c r="I501" s="35" t="str">
        <x:v>clean bank PDF with synthetic account ending 4242</x:v>
      </x:c>
      <x:c r="J501" s="20" t="str"/>
      <x:c r="K501" s="20" t="str"/>
      <x:c r="L501" s="20" t="str"/>
      <x:c r="M501" s="20" t="str"/>
      <x:c r="N501" s="35" t="str">
        <x:v>statement period; opening balance; deposits; withdrawals; fees; ending balance; transaction references</x:v>
      </x:c>
      <x:c r="O501" s="35" t="str">
        <x:v>one pending item in March and one duplicate feed row in September</x:v>
      </x:c>
      <x:c r="P501" s="35" t="str">
        <x:v>Use Banking review/match on web and mobile; manually enter one unmatched bank fee.</x:v>
      </x:c>
      <x:c r="Q501" s="35" t="str">
        <x:v>Synthetic QA only; no real people, accounts, signatures, or properties</x:v>
      </x:c>
    </x:row>
    <x:row r="502">
      <x:c r="A502" s="20" t="str">
        <x:v>SCN-0499</x:v>
      </x:c>
      <x:c r="B502" s="23" t="n">
        <x:v>46461</x:v>
      </x:c>
      <x:c r="C502" s="20" t="str">
        <x:v>scn-0499-expense-20270315-1061.pdf</x:v>
      </x:c>
      <x:c r="D502" s="20" t="str">
        <x:v>Vendor invoice / receipt</x:v>
      </x:c>
      <x:c r="E502" s="20" t="str">
        <x:v>Expense</x:v>
      </x:c>
      <x:c r="F502" s="35" t="str">
        <x:v>Direct scan draft with property/unit/work-order context</x:v>
      </x:c>
      <x:c r="G502" s="20" t="str">
        <x:v>PDF</x:v>
      </x:c>
      <x:c r="H502" s="20" t="str">
        <x:v>1-3 pages</x:v>
      </x:c>
      <x:c r="I502" s="35" t="str">
        <x:v>phone photo with shadow</x:v>
      </x:c>
      <x:c r="J502" s="20" t="str">
        <x:v>P021</x:v>
      </x:c>
      <x:c r="K502" s="20" t="str"/>
      <x:c r="L502" s="20" t="str"/>
      <x:c r="M502" s="20" t="str">
        <x:v>FIN-01146</x:v>
      </x:c>
      <x:c r="N502" s="35" t="str">
        <x:v>vendor; invoice number; date; subtotal; tax; total; category; property; unit; line items; payment method</x:v>
      </x:c>
      <x:c r="O502" s="35" t="str"/>
      <x:c r="P502" s="35" t="str">
        <x:v>Create a different expense of the same category through the equivalent manual form on the other client.</x:v>
      </x:c>
      <x:c r="Q502" s="35" t="str">
        <x:v>Synthetic QA only; no real people, accounts, signatures, or properties</x:v>
      </x:c>
    </x:row>
    <x:row r="503">
      <x:c r="A503" s="20" t="str">
        <x:v>SCN-0500</x:v>
      </x:c>
      <x:c r="B503" s="23" t="n">
        <x:v>46461</x:v>
      </x:c>
      <x:c r="C503" s="20" t="str">
        <x:v>scn-0500-expense-20270315-1062.jpg</x:v>
      </x:c>
      <x:c r="D503" s="20" t="str">
        <x:v>Vendor invoice / receipt</x:v>
      </x:c>
      <x:c r="E503" s="20" t="str">
        <x:v>Expense</x:v>
      </x:c>
      <x:c r="F503" s="35" t="str">
        <x:v>Direct scan draft with property/unit/work-order context</x:v>
      </x:c>
      <x:c r="G503" s="20" t="str">
        <x:v>Camera JPEG</x:v>
      </x:c>
      <x:c r="H503" s="20" t="str">
        <x:v>1-3 pages</x:v>
      </x:c>
      <x:c r="I503" s="35" t="str">
        <x:v>clean emailed invoice</x:v>
      </x:c>
      <x:c r="J503" s="20" t="str">
        <x:v>P022</x:v>
      </x:c>
      <x:c r="K503" s="20" t="str"/>
      <x:c r="L503" s="20" t="str"/>
      <x:c r="M503" s="20" t="str">
        <x:v>FIN-01147</x:v>
      </x:c>
      <x:c r="N503" s="35" t="str">
        <x:v>vendor; invoice number; date; subtotal; tax; total; category; property; unit; line items; payment method</x:v>
      </x:c>
      <x:c r="O503" s="35" t="str"/>
      <x:c r="P503" s="35" t="str">
        <x:v>Create a different expense of the same category through the equivalent manual form on the other client.</x:v>
      </x:c>
      <x:c r="Q503" s="35" t="str">
        <x:v>Synthetic QA only; no real people, accounts, signatures, or properties</x:v>
      </x:c>
    </x:row>
    <x:row r="504">
      <x:c r="A504" s="20" t="str">
        <x:v>SCN-0501</x:v>
      </x:c>
      <x:c r="B504" s="23" t="n">
        <x:v>46461</x:v>
      </x:c>
      <x:c r="C504" s="20" t="str">
        <x:v>scn-0501-expense-20270315-1063.pdf</x:v>
      </x:c>
      <x:c r="D504" s="20" t="str">
        <x:v>Vendor invoice / receipt</x:v>
      </x:c>
      <x:c r="E504" s="20" t="str">
        <x:v>Expense</x:v>
      </x:c>
      <x:c r="F504" s="35" t="str">
        <x:v>Direct scan draft with property/unit/work-order context</x:v>
      </x:c>
      <x:c r="G504" s="20" t="str">
        <x:v>PDF</x:v>
      </x:c>
      <x:c r="H504" s="20" t="str">
        <x:v>1-3 pages</x:v>
      </x:c>
      <x:c r="I504" s="35" t="str">
        <x:v>crumpled thermal receipt</x:v>
      </x:c>
      <x:c r="J504" s="20" t="str">
        <x:v>P023</x:v>
      </x:c>
      <x:c r="K504" s="20" t="str"/>
      <x:c r="L504" s="20" t="str"/>
      <x:c r="M504" s="20" t="str">
        <x:v>FIN-01148</x:v>
      </x:c>
      <x:c r="N504" s="35" t="str">
        <x:v>vendor; invoice number; date; subtotal; tax; total; category; property; unit; line items; payment method</x:v>
      </x:c>
      <x:c r="O504" s="35" t="str"/>
      <x:c r="P504" s="35" t="str">
        <x:v>Create a different expense of the same category through the equivalent manual form on the other client.</x:v>
      </x:c>
      <x:c r="Q504" s="35" t="str">
        <x:v>Synthetic QA only; no real people, accounts, signatures, or properties</x:v>
      </x:c>
    </x:row>
    <x:row r="505">
      <x:c r="A505" s="20" t="str">
        <x:v>SCN-0502</x:v>
      </x:c>
      <x:c r="B505" s="23" t="n">
        <x:v>46461</x:v>
      </x:c>
      <x:c r="C505" s="20" t="str">
        <x:v>scn-0502-expense-20270315-1064.pdf</x:v>
      </x:c>
      <x:c r="D505" s="20" t="str">
        <x:v>Vendor invoice / receipt</x:v>
      </x:c>
      <x:c r="E505" s="20" t="str">
        <x:v>Expense</x:v>
      </x:c>
      <x:c r="F505" s="35" t="str">
        <x:v>Direct scan draft with property/unit/work-order context</x:v>
      </x:c>
      <x:c r="G505" s="20" t="str">
        <x:v>PDF</x:v>
      </x:c>
      <x:c r="H505" s="20" t="str">
        <x:v>1-3 pages</x:v>
      </x:c>
      <x:c r="I505" s="35" t="str">
        <x:v>phone photo with shadow</x:v>
      </x:c>
      <x:c r="J505" s="20" t="str">
        <x:v>P024</x:v>
      </x:c>
      <x:c r="K505" s="20" t="str"/>
      <x:c r="L505" s="20" t="str"/>
      <x:c r="M505" s="20" t="str">
        <x:v>FIN-01149</x:v>
      </x:c>
      <x:c r="N505" s="35" t="str">
        <x:v>vendor; invoice number; date; subtotal; tax; total; category; property; unit; line items; payment method</x:v>
      </x:c>
      <x:c r="O505" s="35" t="str"/>
      <x:c r="P505" s="35" t="str">
        <x:v>Create a different expense of the same category through the equivalent manual form on the other client.</x:v>
      </x:c>
      <x:c r="Q505" s="35" t="str">
        <x:v>Synthetic QA only; no real people, accounts, signatures, or properties</x:v>
      </x:c>
    </x:row>
    <x:row r="506">
      <x:c r="A506" s="20" t="str">
        <x:v>SCN-0503</x:v>
      </x:c>
      <x:c r="B506" s="23" t="n">
        <x:v>46461</x:v>
      </x:c>
      <x:c r="C506" s="20" t="str">
        <x:v>scn-0503-expense-20270315-1066.pdf</x:v>
      </x:c>
      <x:c r="D506" s="20" t="str">
        <x:v>Vendor invoice / receipt</x:v>
      </x:c>
      <x:c r="E506" s="20" t="str">
        <x:v>Expense</x:v>
      </x:c>
      <x:c r="F506" s="35" t="str">
        <x:v>Direct scan draft with property/unit/work-order context</x:v>
      </x:c>
      <x:c r="G506" s="20" t="str">
        <x:v>PDF</x:v>
      </x:c>
      <x:c r="H506" s="20" t="str">
        <x:v>1-3 pages</x:v>
      </x:c>
      <x:c r="I506" s="35" t="str">
        <x:v>crumpled thermal receipt</x:v>
      </x:c>
      <x:c r="J506" s="20" t="str">
        <x:v>P026</x:v>
      </x:c>
      <x:c r="K506" s="20" t="str"/>
      <x:c r="L506" s="20" t="str"/>
      <x:c r="M506" s="20" t="str">
        <x:v>FIN-01151</x:v>
      </x:c>
      <x:c r="N506" s="35" t="str">
        <x:v>vendor; invoice number; date; subtotal; tax; total; category; property; unit; line items; payment method</x:v>
      </x:c>
      <x:c r="O506" s="35" t="str"/>
      <x:c r="P506" s="35" t="str">
        <x:v>Create a different expense of the same category through the equivalent manual form on the other client.</x:v>
      </x:c>
      <x:c r="Q506" s="35" t="str">
        <x:v>Synthetic QA only; no real people, accounts, signatures, or properties</x:v>
      </x:c>
    </x:row>
    <x:row r="507">
      <x:c r="A507" s="20" t="str">
        <x:v>SCN-0504</x:v>
      </x:c>
      <x:c r="B507" s="23" t="n">
        <x:v>46461</x:v>
      </x:c>
      <x:c r="C507" s="20" t="str">
        <x:v>scn-0504-expense-20270315-1067.pdf</x:v>
      </x:c>
      <x:c r="D507" s="20" t="str">
        <x:v>Vendor invoice / receipt</x:v>
      </x:c>
      <x:c r="E507" s="20" t="str">
        <x:v>Expense</x:v>
      </x:c>
      <x:c r="F507" s="35" t="str">
        <x:v>Direct scan draft with property/unit/work-order context</x:v>
      </x:c>
      <x:c r="G507" s="20" t="str">
        <x:v>PDF</x:v>
      </x:c>
      <x:c r="H507" s="20" t="str">
        <x:v>1-3 pages</x:v>
      </x:c>
      <x:c r="I507" s="35" t="str">
        <x:v>phone photo with shadow</x:v>
      </x:c>
      <x:c r="J507" s="20" t="str">
        <x:v>P027</x:v>
      </x:c>
      <x:c r="K507" s="20" t="str"/>
      <x:c r="L507" s="20" t="str"/>
      <x:c r="M507" s="20" t="str">
        <x:v>FIN-01152</x:v>
      </x:c>
      <x:c r="N507" s="35" t="str">
        <x:v>vendor; invoice number; date; subtotal; tax; total; category; property; unit; line items; payment method</x:v>
      </x:c>
      <x:c r="O507" s="35" t="str"/>
      <x:c r="P507" s="35" t="str">
        <x:v>Create a different expense of the same category through the equivalent manual form on the other client.</x:v>
      </x:c>
      <x:c r="Q507" s="35" t="str">
        <x:v>Synthetic QA only; no real people, accounts, signatures, or properties</x:v>
      </x:c>
    </x:row>
    <x:row r="508">
      <x:c r="A508" s="20" t="str">
        <x:v>SCN-0505</x:v>
      </x:c>
      <x:c r="B508" s="23" t="n">
        <x:v>46461</x:v>
      </x:c>
      <x:c r="C508" s="20" t="str">
        <x:v>scn-0505-expense-20270315-1068.jpg</x:v>
      </x:c>
      <x:c r="D508" s="20" t="str">
        <x:v>Vendor invoice / receipt</x:v>
      </x:c>
      <x:c r="E508" s="20" t="str">
        <x:v>Expense</x:v>
      </x:c>
      <x:c r="F508" s="35" t="str">
        <x:v>Direct scan draft with property/unit/work-order context</x:v>
      </x:c>
      <x:c r="G508" s="20" t="str">
        <x:v>Camera JPEG</x:v>
      </x:c>
      <x:c r="H508" s="20" t="str">
        <x:v>1-3 pages</x:v>
      </x:c>
      <x:c r="I508" s="35" t="str">
        <x:v>clean emailed invoice</x:v>
      </x:c>
      <x:c r="J508" s="20" t="str">
        <x:v>P028</x:v>
      </x:c>
      <x:c r="K508" s="20" t="str"/>
      <x:c r="L508" s="20" t="str"/>
      <x:c r="M508" s="20" t="str">
        <x:v>FIN-01153</x:v>
      </x:c>
      <x:c r="N508" s="35" t="str">
        <x:v>vendor; invoice number; date; subtotal; tax; total; category; property; unit; line items; payment method</x:v>
      </x:c>
      <x:c r="O508" s="35" t="str"/>
      <x:c r="P508" s="35" t="str">
        <x:v>Create a different expense of the same category through the equivalent manual form on the other client.</x:v>
      </x:c>
      <x:c r="Q508" s="35" t="str">
        <x:v>Synthetic QA only; no real people, accounts, signatures, or properties</x:v>
      </x:c>
    </x:row>
    <x:row r="509">
      <x:c r="A509" s="20" t="str">
        <x:v>SCN-0506</x:v>
      </x:c>
      <x:c r="B509" s="23" t="n">
        <x:v>46461</x:v>
      </x:c>
      <x:c r="C509" s="20" t="str">
        <x:v>scn-0506-expense-20270315-1069.pdf</x:v>
      </x:c>
      <x:c r="D509" s="20" t="str">
        <x:v>Vendor invoice / receipt</x:v>
      </x:c>
      <x:c r="E509" s="20" t="str">
        <x:v>Expense</x:v>
      </x:c>
      <x:c r="F509" s="35" t="str">
        <x:v>Direct scan draft with property/unit/work-order context</x:v>
      </x:c>
      <x:c r="G509" s="20" t="str">
        <x:v>PDF</x:v>
      </x:c>
      <x:c r="H509" s="20" t="str">
        <x:v>1-3 pages</x:v>
      </x:c>
      <x:c r="I509" s="35" t="str">
        <x:v>crumpled thermal receipt</x:v>
      </x:c>
      <x:c r="J509" s="20" t="str">
        <x:v>P029</x:v>
      </x:c>
      <x:c r="K509" s="20" t="str"/>
      <x:c r="L509" s="20" t="str"/>
      <x:c r="M509" s="20" t="str">
        <x:v>FIN-01154</x:v>
      </x:c>
      <x:c r="N509" s="35" t="str">
        <x:v>vendor; invoice number; date; subtotal; tax; total; category; property; unit; line items; payment method</x:v>
      </x:c>
      <x:c r="O509" s="35" t="str"/>
      <x:c r="P509" s="35" t="str">
        <x:v>Create a different expense of the same category through the equivalent manual form on the other client.</x:v>
      </x:c>
      <x:c r="Q509" s="35" t="str">
        <x:v>Synthetic QA only; no real people, accounts, signatures, or properties</x:v>
      </x:c>
    </x:row>
    <x:row r="510">
      <x:c r="A510" s="20" t="str">
        <x:v>SCN-0507</x:v>
      </x:c>
      <x:c r="B510" s="23" t="n">
        <x:v>46466</x:v>
      </x:c>
      <x:c r="C510" s="20" t="str">
        <x:v>scn-0507-loan-payment-ln001-202703.pdf</x:v>
      </x:c>
      <x:c r="D510" s="20" t="str">
        <x:v>Monthly mortgage statement</x:v>
      </x:c>
      <x:c r="E510" s="20" t="str">
        <x:v>Loan payment / Property document</x:v>
      </x:c>
      <x:c r="F510" s="35" t="str">
        <x:v>Attach and match to existing loan; probe typed extraction of principal/interest</x:v>
      </x:c>
      <x:c r="G510" s="20" t="str">
        <x:v>PDF</x:v>
      </x:c>
      <x:c r="H510" s="20" t="str">
        <x:v>3 pages</x:v>
      </x:c>
      <x:c r="I510" s="35" t="str">
        <x:v>clean lender PDF</x:v>
      </x:c>
      <x:c r="J510" s="20" t="str">
        <x:v>P001</x:v>
      </x:c>
      <x:c r="K510" s="20" t="str"/>
      <x:c r="L510" s="20" t="str"/>
      <x:c r="M510" s="20" t="str">
        <x:v>FIN-01156</x:v>
      </x:c>
      <x:c r="N510" s="35" t="str">
        <x:v>loan; due date; payment; principal; interest; escrow; ending principal balance</x:v>
      </x:c>
      <x:c r="O510" s="35" t="str">
        <x:v>principal/interest changes monthly</x:v>
      </x:c>
      <x:c r="P510" s="35" t="str">
        <x:v>Verify or enter a different loan payment manually from the other client.</x:v>
      </x:c>
      <x:c r="Q510" s="35" t="str">
        <x:v>Synthetic QA only; no real people, accounts, signatures, or properties</x:v>
      </x:c>
    </x:row>
    <x:row r="511">
      <x:c r="A511" s="20" t="str">
        <x:v>SCN-0508</x:v>
      </x:c>
      <x:c r="B511" s="23" t="n">
        <x:v>46466</x:v>
      </x:c>
      <x:c r="C511" s="20" t="str">
        <x:v>scn-0508-loan-payment-ln002-202703.pdf</x:v>
      </x:c>
      <x:c r="D511" s="20" t="str">
        <x:v>Monthly mortgage statement</x:v>
      </x:c>
      <x:c r="E511" s="20" t="str">
        <x:v>Loan payment / Property document</x:v>
      </x:c>
      <x:c r="F511" s="35" t="str">
        <x:v>Attach and match to existing loan; probe typed extraction of principal/interest</x:v>
      </x:c>
      <x:c r="G511" s="20" t="str">
        <x:v>PDF</x:v>
      </x:c>
      <x:c r="H511" s="20" t="str">
        <x:v>3 pages</x:v>
      </x:c>
      <x:c r="I511" s="35" t="str">
        <x:v>clean lender PDF</x:v>
      </x:c>
      <x:c r="J511" s="20" t="str">
        <x:v>P002</x:v>
      </x:c>
      <x:c r="K511" s="20" t="str"/>
      <x:c r="L511" s="20" t="str"/>
      <x:c r="M511" s="20" t="str">
        <x:v>FIN-01157</x:v>
      </x:c>
      <x:c r="N511" s="35" t="str">
        <x:v>loan; due date; payment; principal; interest; escrow; ending principal balance</x:v>
      </x:c>
      <x:c r="O511" s="35" t="str">
        <x:v>principal/interest changes monthly</x:v>
      </x:c>
      <x:c r="P511" s="35" t="str">
        <x:v>Verify or enter a different loan payment manually from the other client.</x:v>
      </x:c>
      <x:c r="Q511" s="35" t="str">
        <x:v>Synthetic QA only; no real people, accounts, signatures, or properties</x:v>
      </x:c>
    </x:row>
    <x:row r="512">
      <x:c r="A512" s="20" t="str">
        <x:v>SCN-0509</x:v>
      </x:c>
      <x:c r="B512" s="23" t="n">
        <x:v>46466</x:v>
      </x:c>
      <x:c r="C512" s="20" t="str">
        <x:v>scn-0509-loan-payment-ln004-202703.pdf</x:v>
      </x:c>
      <x:c r="D512" s="20" t="str">
        <x:v>Monthly mortgage statement</x:v>
      </x:c>
      <x:c r="E512" s="20" t="str">
        <x:v>Loan payment / Property document</x:v>
      </x:c>
      <x:c r="F512" s="35" t="str">
        <x:v>Attach and match to existing loan; probe typed extraction of principal/interest</x:v>
      </x:c>
      <x:c r="G512" s="20" t="str">
        <x:v>PDF</x:v>
      </x:c>
      <x:c r="H512" s="20" t="str">
        <x:v>3 pages</x:v>
      </x:c>
      <x:c r="I512" s="35" t="str">
        <x:v>clean lender PDF</x:v>
      </x:c>
      <x:c r="J512" s="20" t="str">
        <x:v>P004</x:v>
      </x:c>
      <x:c r="K512" s="20" t="str"/>
      <x:c r="L512" s="20" t="str"/>
      <x:c r="M512" s="20" t="str">
        <x:v>FIN-01158</x:v>
      </x:c>
      <x:c r="N512" s="35" t="str">
        <x:v>loan; due date; payment; principal; interest; escrow; ending principal balance</x:v>
      </x:c>
      <x:c r="O512" s="35" t="str">
        <x:v>principal/interest changes monthly</x:v>
      </x:c>
      <x:c r="P512" s="35" t="str">
        <x:v>Verify or enter a different loan payment manually from the other client.</x:v>
      </x:c>
      <x:c r="Q512" s="35" t="str">
        <x:v>Synthetic QA only; no real people, accounts, signatures, or properties</x:v>
      </x:c>
    </x:row>
    <x:row r="513">
      <x:c r="A513" s="20" t="str">
        <x:v>SCN-0510</x:v>
      </x:c>
      <x:c r="B513" s="23" t="n">
        <x:v>46466</x:v>
      </x:c>
      <x:c r="C513" s="20" t="str">
        <x:v>scn-0510-loan-payment-ln005-202703.pdf</x:v>
      </x:c>
      <x:c r="D513" s="20" t="str">
        <x:v>Monthly mortgage statement</x:v>
      </x:c>
      <x:c r="E513" s="20" t="str">
        <x:v>Loan payment / Property document</x:v>
      </x:c>
      <x:c r="F513" s="35" t="str">
        <x:v>Attach and match to existing loan; probe typed extraction of principal/interest</x:v>
      </x:c>
      <x:c r="G513" s="20" t="str">
        <x:v>PDF</x:v>
      </x:c>
      <x:c r="H513" s="20" t="str">
        <x:v>3 pages</x:v>
      </x:c>
      <x:c r="I513" s="35" t="str">
        <x:v>clean lender PDF</x:v>
      </x:c>
      <x:c r="J513" s="20" t="str">
        <x:v>P005</x:v>
      </x:c>
      <x:c r="K513" s="20" t="str"/>
      <x:c r="L513" s="20" t="str"/>
      <x:c r="M513" s="20" t="str">
        <x:v>FIN-01159</x:v>
      </x:c>
      <x:c r="N513" s="35" t="str">
        <x:v>loan; due date; payment; principal; interest; escrow; ending principal balance</x:v>
      </x:c>
      <x:c r="O513" s="35" t="str">
        <x:v>principal/interest changes monthly</x:v>
      </x:c>
      <x:c r="P513" s="35" t="str">
        <x:v>Verify or enter a different loan payment manually from the other client.</x:v>
      </x:c>
      <x:c r="Q513" s="35" t="str">
        <x:v>Synthetic QA only; no real people, accounts, signatures, or properties</x:v>
      </x:c>
    </x:row>
    <x:row r="514">
      <x:c r="A514" s="20" t="str">
        <x:v>SCN-0511</x:v>
      </x:c>
      <x:c r="B514" s="23" t="n">
        <x:v>46466</x:v>
      </x:c>
      <x:c r="C514" s="20" t="str">
        <x:v>scn-0511-loan-payment-ln007-202703.pdf</x:v>
      </x:c>
      <x:c r="D514" s="20" t="str">
        <x:v>Monthly mortgage statement</x:v>
      </x:c>
      <x:c r="E514" s="20" t="str">
        <x:v>Loan payment / Property document</x:v>
      </x:c>
      <x:c r="F514" s="35" t="str">
        <x:v>Attach and match to existing loan; probe typed extraction of principal/interest</x:v>
      </x:c>
      <x:c r="G514" s="20" t="str">
        <x:v>PDF</x:v>
      </x:c>
      <x:c r="H514" s="20" t="str">
        <x:v>3 pages</x:v>
      </x:c>
      <x:c r="I514" s="35" t="str">
        <x:v>clean lender PDF</x:v>
      </x:c>
      <x:c r="J514" s="20" t="str">
        <x:v>P007</x:v>
      </x:c>
      <x:c r="K514" s="20" t="str"/>
      <x:c r="L514" s="20" t="str"/>
      <x:c r="M514" s="20" t="str">
        <x:v>FIN-01160</x:v>
      </x:c>
      <x:c r="N514" s="35" t="str">
        <x:v>loan; due date; payment; principal; interest; escrow; ending principal balance</x:v>
      </x:c>
      <x:c r="O514" s="35" t="str">
        <x:v>principal/interest changes monthly</x:v>
      </x:c>
      <x:c r="P514" s="35" t="str">
        <x:v>Verify or enter a different loan payment manually from the other client.</x:v>
      </x:c>
      <x:c r="Q514" s="35" t="str">
        <x:v>Synthetic QA only; no real people, accounts, signatures, or properties</x:v>
      </x:c>
    </x:row>
    <x:row r="515">
      <x:c r="A515" s="20" t="str">
        <x:v>SCN-0512</x:v>
      </x:c>
      <x:c r="B515" s="23" t="n">
        <x:v>46466</x:v>
      </x:c>
      <x:c r="C515" s="20" t="str">
        <x:v>scn-0512-loan-payment-ln008-202703.pdf</x:v>
      </x:c>
      <x:c r="D515" s="20" t="str">
        <x:v>Monthly mortgage statement</x:v>
      </x:c>
      <x:c r="E515" s="20" t="str">
        <x:v>Loan payment / Property document</x:v>
      </x:c>
      <x:c r="F515" s="35" t="str">
        <x:v>Attach and match to existing loan; probe typed extraction of principal/interest</x:v>
      </x:c>
      <x:c r="G515" s="20" t="str">
        <x:v>PDF</x:v>
      </x:c>
      <x:c r="H515" s="20" t="str">
        <x:v>3 pages</x:v>
      </x:c>
      <x:c r="I515" s="35" t="str">
        <x:v>clean lender PDF</x:v>
      </x:c>
      <x:c r="J515" s="20" t="str">
        <x:v>P008</x:v>
      </x:c>
      <x:c r="K515" s="20" t="str"/>
      <x:c r="L515" s="20" t="str"/>
      <x:c r="M515" s="20" t="str">
        <x:v>FIN-01161</x:v>
      </x:c>
      <x:c r="N515" s="35" t="str">
        <x:v>loan; due date; payment; principal; interest; escrow; ending principal balance</x:v>
      </x:c>
      <x:c r="O515" s="35" t="str">
        <x:v>principal/interest changes monthly</x:v>
      </x:c>
      <x:c r="P515" s="35" t="str">
        <x:v>Verify or enter a different loan payment manually from the other client.</x:v>
      </x:c>
      <x:c r="Q515" s="35" t="str">
        <x:v>Synthetic QA only; no real people, accounts, signatures, or properties</x:v>
      </x:c>
    </x:row>
    <x:row r="516">
      <x:c r="A516" s="20" t="str">
        <x:v>SCN-0513</x:v>
      </x:c>
      <x:c r="B516" s="23" t="n">
        <x:v>46466</x:v>
      </x:c>
      <x:c r="C516" s="20" t="str">
        <x:v>scn-0513-loan-payment-ln010-202703.pdf</x:v>
      </x:c>
      <x:c r="D516" s="20" t="str">
        <x:v>Monthly mortgage statement</x:v>
      </x:c>
      <x:c r="E516" s="20" t="str">
        <x:v>Loan payment / Property document</x:v>
      </x:c>
      <x:c r="F516" s="35" t="str">
        <x:v>Attach and match to existing loan; probe typed extraction of principal/interest</x:v>
      </x:c>
      <x:c r="G516" s="20" t="str">
        <x:v>PDF</x:v>
      </x:c>
      <x:c r="H516" s="20" t="str">
        <x:v>3 pages</x:v>
      </x:c>
      <x:c r="I516" s="35" t="str">
        <x:v>clean lender PDF</x:v>
      </x:c>
      <x:c r="J516" s="20" t="str">
        <x:v>P010</x:v>
      </x:c>
      <x:c r="K516" s="20" t="str"/>
      <x:c r="L516" s="20" t="str"/>
      <x:c r="M516" s="20" t="str">
        <x:v>FIN-01162</x:v>
      </x:c>
      <x:c r="N516" s="35" t="str">
        <x:v>loan; due date; payment; principal; interest; escrow; ending principal balance</x:v>
      </x:c>
      <x:c r="O516" s="35" t="str">
        <x:v>principal/interest changes monthly</x:v>
      </x:c>
      <x:c r="P516" s="35" t="str">
        <x:v>Verify or enter a different loan payment manually from the other client.</x:v>
      </x:c>
      <x:c r="Q516" s="35" t="str">
        <x:v>Synthetic QA only; no real people, accounts, signatures, or properties</x:v>
      </x:c>
    </x:row>
    <x:row r="517">
      <x:c r="A517" s="20" t="str">
        <x:v>SCN-0514</x:v>
      </x:c>
      <x:c r="B517" s="23" t="n">
        <x:v>46466</x:v>
      </x:c>
      <x:c r="C517" s="20" t="str">
        <x:v>scn-0514-loan-payment-ln011-202703.pdf</x:v>
      </x:c>
      <x:c r="D517" s="20" t="str">
        <x:v>Monthly mortgage statement</x:v>
      </x:c>
      <x:c r="E517" s="20" t="str">
        <x:v>Loan payment / Property document</x:v>
      </x:c>
      <x:c r="F517" s="35" t="str">
        <x:v>Attach and match to existing loan; probe typed extraction of principal/interest</x:v>
      </x:c>
      <x:c r="G517" s="20" t="str">
        <x:v>PDF</x:v>
      </x:c>
      <x:c r="H517" s="20" t="str">
        <x:v>3 pages</x:v>
      </x:c>
      <x:c r="I517" s="35" t="str">
        <x:v>clean lender PDF</x:v>
      </x:c>
      <x:c r="J517" s="20" t="str">
        <x:v>P011</x:v>
      </x:c>
      <x:c r="K517" s="20" t="str"/>
      <x:c r="L517" s="20" t="str"/>
      <x:c r="M517" s="20" t="str">
        <x:v>FIN-01163</x:v>
      </x:c>
      <x:c r="N517" s="35" t="str">
        <x:v>loan; due date; payment; principal; interest; escrow; ending principal balance</x:v>
      </x:c>
      <x:c r="O517" s="35" t="str">
        <x:v>principal/interest changes monthly</x:v>
      </x:c>
      <x:c r="P517" s="35" t="str">
        <x:v>Verify or enter a different loan payment manually from the other client.</x:v>
      </x:c>
      <x:c r="Q517" s="35" t="str">
        <x:v>Synthetic QA only; no real people, accounts, signatures, or properties</x:v>
      </x:c>
    </x:row>
    <x:row r="518">
      <x:c r="A518" s="20" t="str">
        <x:v>SCN-0515</x:v>
      </x:c>
      <x:c r="B518" s="23" t="n">
        <x:v>46466</x:v>
      </x:c>
      <x:c r="C518" s="20" t="str">
        <x:v>scn-0515-loan-payment-ln013-202703.pdf</x:v>
      </x:c>
      <x:c r="D518" s="20" t="str">
        <x:v>Monthly mortgage statement</x:v>
      </x:c>
      <x:c r="E518" s="20" t="str">
        <x:v>Loan payment / Property document</x:v>
      </x:c>
      <x:c r="F518" s="35" t="str">
        <x:v>Attach and match to existing loan; probe typed extraction of principal/interest</x:v>
      </x:c>
      <x:c r="G518" s="20" t="str">
        <x:v>PDF</x:v>
      </x:c>
      <x:c r="H518" s="20" t="str">
        <x:v>3 pages</x:v>
      </x:c>
      <x:c r="I518" s="35" t="str">
        <x:v>clean lender PDF</x:v>
      </x:c>
      <x:c r="J518" s="20" t="str">
        <x:v>P013</x:v>
      </x:c>
      <x:c r="K518" s="20" t="str"/>
      <x:c r="L518" s="20" t="str"/>
      <x:c r="M518" s="20" t="str">
        <x:v>FIN-01164</x:v>
      </x:c>
      <x:c r="N518" s="35" t="str">
        <x:v>loan; due date; payment; principal; interest; escrow; ending principal balance</x:v>
      </x:c>
      <x:c r="O518" s="35" t="str">
        <x:v>principal/interest changes monthly</x:v>
      </x:c>
      <x:c r="P518" s="35" t="str">
        <x:v>Verify or enter a different loan payment manually from the other client.</x:v>
      </x:c>
      <x:c r="Q518" s="35" t="str">
        <x:v>Synthetic QA only; no real people, accounts, signatures, or properties</x:v>
      </x:c>
    </x:row>
    <x:row r="519">
      <x:c r="A519" s="20" t="str">
        <x:v>SCN-0516</x:v>
      </x:c>
      <x:c r="B519" s="23" t="n">
        <x:v>46466</x:v>
      </x:c>
      <x:c r="C519" s="20" t="str">
        <x:v>scn-0516-loan-payment-ln014-202703.pdf</x:v>
      </x:c>
      <x:c r="D519" s="20" t="str">
        <x:v>Monthly mortgage statement</x:v>
      </x:c>
      <x:c r="E519" s="20" t="str">
        <x:v>Loan payment / Property document</x:v>
      </x:c>
      <x:c r="F519" s="35" t="str">
        <x:v>Attach and match to existing loan; probe typed extraction of principal/interest</x:v>
      </x:c>
      <x:c r="G519" s="20" t="str">
        <x:v>PDF</x:v>
      </x:c>
      <x:c r="H519" s="20" t="str">
        <x:v>3 pages</x:v>
      </x:c>
      <x:c r="I519" s="35" t="str">
        <x:v>clean lender PDF</x:v>
      </x:c>
      <x:c r="J519" s="20" t="str">
        <x:v>P014</x:v>
      </x:c>
      <x:c r="K519" s="20" t="str"/>
      <x:c r="L519" s="20" t="str"/>
      <x:c r="M519" s="20" t="str">
        <x:v>FIN-01165</x:v>
      </x:c>
      <x:c r="N519" s="35" t="str">
        <x:v>loan; due date; payment; principal; interest; escrow; ending principal balance</x:v>
      </x:c>
      <x:c r="O519" s="35" t="str">
        <x:v>principal/interest changes monthly</x:v>
      </x:c>
      <x:c r="P519" s="35" t="str">
        <x:v>Verify or enter a different loan payment manually from the other client.</x:v>
      </x:c>
      <x:c r="Q519" s="35" t="str">
        <x:v>Synthetic QA only; no real people, accounts, signatures, or properties</x:v>
      </x:c>
    </x:row>
    <x:row r="520">
      <x:c r="A520" s="20" t="str">
        <x:v>SCN-0517</x:v>
      </x:c>
      <x:c r="B520" s="23" t="n">
        <x:v>46466</x:v>
      </x:c>
      <x:c r="C520" s="20" t="str">
        <x:v>scn-0517-loan-payment-ln016-202703.pdf</x:v>
      </x:c>
      <x:c r="D520" s="20" t="str">
        <x:v>Monthly mortgage statement</x:v>
      </x:c>
      <x:c r="E520" s="20" t="str">
        <x:v>Loan payment / Property document</x:v>
      </x:c>
      <x:c r="F520" s="35" t="str">
        <x:v>Attach and match to existing loan; probe typed extraction of principal/interest</x:v>
      </x:c>
      <x:c r="G520" s="20" t="str">
        <x:v>PDF</x:v>
      </x:c>
      <x:c r="H520" s="20" t="str">
        <x:v>3 pages</x:v>
      </x:c>
      <x:c r="I520" s="35" t="str">
        <x:v>clean lender PDF</x:v>
      </x:c>
      <x:c r="J520" s="20" t="str">
        <x:v>P016</x:v>
      </x:c>
      <x:c r="K520" s="20" t="str"/>
      <x:c r="L520" s="20" t="str"/>
      <x:c r="M520" s="20" t="str">
        <x:v>FIN-01166</x:v>
      </x:c>
      <x:c r="N520" s="35" t="str">
        <x:v>loan; due date; payment; principal; interest; escrow; ending principal balance</x:v>
      </x:c>
      <x:c r="O520" s="35" t="str">
        <x:v>principal/interest changes monthly</x:v>
      </x:c>
      <x:c r="P520" s="35" t="str">
        <x:v>Verify or enter a different loan payment manually from the other client.</x:v>
      </x:c>
      <x:c r="Q520" s="35" t="str">
        <x:v>Synthetic QA only; no real people, accounts, signatures, or properties</x:v>
      </x:c>
    </x:row>
    <x:row r="521">
      <x:c r="A521" s="20" t="str">
        <x:v>SCN-0518</x:v>
      </x:c>
      <x:c r="B521" s="23" t="n">
        <x:v>46466</x:v>
      </x:c>
      <x:c r="C521" s="20" t="str">
        <x:v>scn-0518-loan-payment-ln017-202703.pdf</x:v>
      </x:c>
      <x:c r="D521" s="20" t="str">
        <x:v>Monthly mortgage statement</x:v>
      </x:c>
      <x:c r="E521" s="20" t="str">
        <x:v>Loan payment / Property document</x:v>
      </x:c>
      <x:c r="F521" s="35" t="str">
        <x:v>Attach and match to existing loan; probe typed extraction of principal/interest</x:v>
      </x:c>
      <x:c r="G521" s="20" t="str">
        <x:v>PDF</x:v>
      </x:c>
      <x:c r="H521" s="20" t="str">
        <x:v>3 pages</x:v>
      </x:c>
      <x:c r="I521" s="35" t="str">
        <x:v>clean lender PDF</x:v>
      </x:c>
      <x:c r="J521" s="20" t="str">
        <x:v>P017</x:v>
      </x:c>
      <x:c r="K521" s="20" t="str"/>
      <x:c r="L521" s="20" t="str"/>
      <x:c r="M521" s="20" t="str">
        <x:v>FIN-01167</x:v>
      </x:c>
      <x:c r="N521" s="35" t="str">
        <x:v>loan; due date; payment; principal; interest; escrow; ending principal balance</x:v>
      </x:c>
      <x:c r="O521" s="35" t="str">
        <x:v>principal/interest changes monthly</x:v>
      </x:c>
      <x:c r="P521" s="35" t="str">
        <x:v>Verify or enter a different loan payment manually from the other client.</x:v>
      </x:c>
      <x:c r="Q521" s="35" t="str">
        <x:v>Synthetic QA only; no real people, accounts, signatures, or properties</x:v>
      </x:c>
    </x:row>
    <x:row r="522">
      <x:c r="A522" s="20" t="str">
        <x:v>SCN-0519</x:v>
      </x:c>
      <x:c r="B522" s="23" t="n">
        <x:v>46466</x:v>
      </x:c>
      <x:c r="C522" s="20" t="str">
        <x:v>scn-0519-loan-payment-ln019-202703.pdf</x:v>
      </x:c>
      <x:c r="D522" s="20" t="str">
        <x:v>Monthly mortgage statement</x:v>
      </x:c>
      <x:c r="E522" s="20" t="str">
        <x:v>Loan payment / Property document</x:v>
      </x:c>
      <x:c r="F522" s="35" t="str">
        <x:v>Attach and match to existing loan; probe typed extraction of principal/interest</x:v>
      </x:c>
      <x:c r="G522" s="20" t="str">
        <x:v>PDF</x:v>
      </x:c>
      <x:c r="H522" s="20" t="str">
        <x:v>3 pages</x:v>
      </x:c>
      <x:c r="I522" s="35" t="str">
        <x:v>clean lender PDF</x:v>
      </x:c>
      <x:c r="J522" s="20" t="str">
        <x:v>P019</x:v>
      </x:c>
      <x:c r="K522" s="20" t="str"/>
      <x:c r="L522" s="20" t="str"/>
      <x:c r="M522" s="20" t="str">
        <x:v>FIN-01168</x:v>
      </x:c>
      <x:c r="N522" s="35" t="str">
        <x:v>loan; due date; payment; principal; interest; escrow; ending principal balance</x:v>
      </x:c>
      <x:c r="O522" s="35" t="str">
        <x:v>principal/interest changes monthly</x:v>
      </x:c>
      <x:c r="P522" s="35" t="str">
        <x:v>Verify or enter a different loan payment manually from the other client.</x:v>
      </x:c>
      <x:c r="Q522" s="35" t="str">
        <x:v>Synthetic QA only; no real people, accounts, signatures, or properties</x:v>
      </x:c>
    </x:row>
    <x:row r="523">
      <x:c r="A523" s="20" t="str">
        <x:v>SCN-0520</x:v>
      </x:c>
      <x:c r="B523" s="23" t="n">
        <x:v>46466</x:v>
      </x:c>
      <x:c r="C523" s="20" t="str">
        <x:v>scn-0520-loan-payment-ln020-202703.pdf</x:v>
      </x:c>
      <x:c r="D523" s="20" t="str">
        <x:v>Monthly mortgage statement</x:v>
      </x:c>
      <x:c r="E523" s="20" t="str">
        <x:v>Loan payment / Property document</x:v>
      </x:c>
      <x:c r="F523" s="35" t="str">
        <x:v>Attach and match to existing loan; probe typed extraction of principal/interest</x:v>
      </x:c>
      <x:c r="G523" s="20" t="str">
        <x:v>PDF</x:v>
      </x:c>
      <x:c r="H523" s="20" t="str">
        <x:v>3 pages</x:v>
      </x:c>
      <x:c r="I523" s="35" t="str">
        <x:v>clean lender PDF</x:v>
      </x:c>
      <x:c r="J523" s="20" t="str">
        <x:v>P020</x:v>
      </x:c>
      <x:c r="K523" s="20" t="str"/>
      <x:c r="L523" s="20" t="str"/>
      <x:c r="M523" s="20" t="str">
        <x:v>FIN-01169</x:v>
      </x:c>
      <x:c r="N523" s="35" t="str">
        <x:v>loan; due date; payment; principal; interest; escrow; ending principal balance</x:v>
      </x:c>
      <x:c r="O523" s="35" t="str">
        <x:v>principal/interest changes monthly</x:v>
      </x:c>
      <x:c r="P523" s="35" t="str">
        <x:v>Verify or enter a different loan payment manually from the other client.</x:v>
      </x:c>
      <x:c r="Q523" s="35" t="str">
        <x:v>Synthetic QA only; no real people, accounts, signatures, or properties</x:v>
      </x:c>
    </x:row>
    <x:row r="524">
      <x:c r="A524" s="20" t="str">
        <x:v>SCN-0521</x:v>
      </x:c>
      <x:c r="B524" s="23" t="n">
        <x:v>46466</x:v>
      </x:c>
      <x:c r="C524" s="20" t="str">
        <x:v>scn-0521-loan-payment-ln022-202703.pdf</x:v>
      </x:c>
      <x:c r="D524" s="20" t="str">
        <x:v>Monthly mortgage statement</x:v>
      </x:c>
      <x:c r="E524" s="20" t="str">
        <x:v>Loan payment / Property document</x:v>
      </x:c>
      <x:c r="F524" s="35" t="str">
        <x:v>Attach and match to existing loan; probe typed extraction of principal/interest</x:v>
      </x:c>
      <x:c r="G524" s="20" t="str">
        <x:v>PDF</x:v>
      </x:c>
      <x:c r="H524" s="20" t="str">
        <x:v>3 pages</x:v>
      </x:c>
      <x:c r="I524" s="35" t="str">
        <x:v>clean lender PDF</x:v>
      </x:c>
      <x:c r="J524" s="20" t="str">
        <x:v>P022</x:v>
      </x:c>
      <x:c r="K524" s="20" t="str"/>
      <x:c r="L524" s="20" t="str"/>
      <x:c r="M524" s="20" t="str">
        <x:v>FIN-01170</x:v>
      </x:c>
      <x:c r="N524" s="35" t="str">
        <x:v>loan; due date; payment; principal; interest; escrow; ending principal balance</x:v>
      </x:c>
      <x:c r="O524" s="35" t="str">
        <x:v>principal/interest changes monthly</x:v>
      </x:c>
      <x:c r="P524" s="35" t="str">
        <x:v>Verify or enter a different loan payment manually from the other client.</x:v>
      </x:c>
      <x:c r="Q524" s="35" t="str">
        <x:v>Synthetic QA only; no real people, accounts, signatures, or properties</x:v>
      </x:c>
    </x:row>
    <x:row r="525">
      <x:c r="A525" s="20" t="str">
        <x:v>SCN-0522</x:v>
      </x:c>
      <x:c r="B525" s="23" t="n">
        <x:v>46466</x:v>
      </x:c>
      <x:c r="C525" s="20" t="str">
        <x:v>scn-0522-loan-payment-ln023-202703.pdf</x:v>
      </x:c>
      <x:c r="D525" s="20" t="str">
        <x:v>Monthly mortgage statement</x:v>
      </x:c>
      <x:c r="E525" s="20" t="str">
        <x:v>Loan payment / Property document</x:v>
      </x:c>
      <x:c r="F525" s="35" t="str">
        <x:v>Attach and match to existing loan; probe typed extraction of principal/interest</x:v>
      </x:c>
      <x:c r="G525" s="20" t="str">
        <x:v>PDF</x:v>
      </x:c>
      <x:c r="H525" s="20" t="str">
        <x:v>3 pages</x:v>
      </x:c>
      <x:c r="I525" s="35" t="str">
        <x:v>clean lender PDF</x:v>
      </x:c>
      <x:c r="J525" s="20" t="str">
        <x:v>P023</x:v>
      </x:c>
      <x:c r="K525" s="20" t="str"/>
      <x:c r="L525" s="20" t="str"/>
      <x:c r="M525" s="20" t="str">
        <x:v>FIN-01171</x:v>
      </x:c>
      <x:c r="N525" s="35" t="str">
        <x:v>loan; due date; payment; principal; interest; escrow; ending principal balance</x:v>
      </x:c>
      <x:c r="O525" s="35" t="str">
        <x:v>principal/interest changes monthly</x:v>
      </x:c>
      <x:c r="P525" s="35" t="str">
        <x:v>Verify or enter a different loan payment manually from the other client.</x:v>
      </x:c>
      <x:c r="Q525" s="35" t="str">
        <x:v>Synthetic QA only; no real people, accounts, signatures, or properties</x:v>
      </x:c>
    </x:row>
    <x:row r="526">
      <x:c r="A526" s="20" t="str">
        <x:v>SCN-0523</x:v>
      </x:c>
      <x:c r="B526" s="23" t="n">
        <x:v>46466</x:v>
      </x:c>
      <x:c r="C526" s="20" t="str">
        <x:v>scn-0523-loan-payment-ln025-202703.pdf</x:v>
      </x:c>
      <x:c r="D526" s="20" t="str">
        <x:v>Monthly mortgage statement</x:v>
      </x:c>
      <x:c r="E526" s="20" t="str">
        <x:v>Loan payment / Property document</x:v>
      </x:c>
      <x:c r="F526" s="35" t="str">
        <x:v>Attach and match to existing loan; probe typed extraction of principal/interest</x:v>
      </x:c>
      <x:c r="G526" s="20" t="str">
        <x:v>PDF</x:v>
      </x:c>
      <x:c r="H526" s="20" t="str">
        <x:v>3 pages</x:v>
      </x:c>
      <x:c r="I526" s="35" t="str">
        <x:v>clean lender PDF</x:v>
      </x:c>
      <x:c r="J526" s="20" t="str">
        <x:v>P025</x:v>
      </x:c>
      <x:c r="K526" s="20" t="str"/>
      <x:c r="L526" s="20" t="str"/>
      <x:c r="M526" s="20" t="str">
        <x:v>FIN-01172</x:v>
      </x:c>
      <x:c r="N526" s="35" t="str">
        <x:v>loan; due date; payment; principal; interest; escrow; ending principal balance</x:v>
      </x:c>
      <x:c r="O526" s="35" t="str">
        <x:v>principal/interest changes monthly</x:v>
      </x:c>
      <x:c r="P526" s="35" t="str">
        <x:v>Verify or enter a different loan payment manually from the other client.</x:v>
      </x:c>
      <x:c r="Q526" s="35" t="str">
        <x:v>Synthetic QA only; no real people, accounts, signatures, or properties</x:v>
      </x:c>
    </x:row>
    <x:row r="527">
      <x:c r="A527" s="20" t="str">
        <x:v>SCN-0524</x:v>
      </x:c>
      <x:c r="B527" s="23" t="n">
        <x:v>46466</x:v>
      </x:c>
      <x:c r="C527" s="20" t="str">
        <x:v>scn-0524-loan-payment-ln026-202703.pdf</x:v>
      </x:c>
      <x:c r="D527" s="20" t="str">
        <x:v>Monthly mortgage statement</x:v>
      </x:c>
      <x:c r="E527" s="20" t="str">
        <x:v>Loan payment / Property document</x:v>
      </x:c>
      <x:c r="F527" s="35" t="str">
        <x:v>Attach and match to existing loan; probe typed extraction of principal/interest</x:v>
      </x:c>
      <x:c r="G527" s="20" t="str">
        <x:v>PDF</x:v>
      </x:c>
      <x:c r="H527" s="20" t="str">
        <x:v>3 pages</x:v>
      </x:c>
      <x:c r="I527" s="35" t="str">
        <x:v>clean lender PDF</x:v>
      </x:c>
      <x:c r="J527" s="20" t="str">
        <x:v>P026</x:v>
      </x:c>
      <x:c r="K527" s="20" t="str"/>
      <x:c r="L527" s="20" t="str"/>
      <x:c r="M527" s="20" t="str">
        <x:v>FIN-01173</x:v>
      </x:c>
      <x:c r="N527" s="35" t="str">
        <x:v>loan; due date; payment; principal; interest; escrow; ending principal balance</x:v>
      </x:c>
      <x:c r="O527" s="35" t="str">
        <x:v>principal/interest changes monthly</x:v>
      </x:c>
      <x:c r="P527" s="35" t="str">
        <x:v>Verify or enter a different loan payment manually from the other client.</x:v>
      </x:c>
      <x:c r="Q527" s="35" t="str">
        <x:v>Synthetic QA only; no real people, accounts, signatures, or properties</x:v>
      </x:c>
    </x:row>
    <x:row r="528">
      <x:c r="A528" s="20" t="str">
        <x:v>SCN-0525</x:v>
      </x:c>
      <x:c r="B528" s="23" t="n">
        <x:v>46466</x:v>
      </x:c>
      <x:c r="C528" s="20" t="str">
        <x:v>scn-0525-loan-payment-ln028-202703.pdf</x:v>
      </x:c>
      <x:c r="D528" s="20" t="str">
        <x:v>Monthly mortgage statement</x:v>
      </x:c>
      <x:c r="E528" s="20" t="str">
        <x:v>Loan payment / Property document</x:v>
      </x:c>
      <x:c r="F528" s="35" t="str">
        <x:v>Attach and match to existing loan; probe typed extraction of principal/interest</x:v>
      </x:c>
      <x:c r="G528" s="20" t="str">
        <x:v>PDF</x:v>
      </x:c>
      <x:c r="H528" s="20" t="str">
        <x:v>3 pages</x:v>
      </x:c>
      <x:c r="I528" s="35" t="str">
        <x:v>clean lender PDF</x:v>
      </x:c>
      <x:c r="J528" s="20" t="str">
        <x:v>P028</x:v>
      </x:c>
      <x:c r="K528" s="20" t="str"/>
      <x:c r="L528" s="20" t="str"/>
      <x:c r="M528" s="20" t="str">
        <x:v>FIN-01174</x:v>
      </x:c>
      <x:c r="N528" s="35" t="str">
        <x:v>loan; due date; payment; principal; interest; escrow; ending principal balance</x:v>
      </x:c>
      <x:c r="O528" s="35" t="str">
        <x:v>principal/interest changes monthly</x:v>
      </x:c>
      <x:c r="P528" s="35" t="str">
        <x:v>Verify or enter a different loan payment manually from the other client.</x:v>
      </x:c>
      <x:c r="Q528" s="35" t="str">
        <x:v>Synthetic QA only; no real people, accounts, signatures, or properties</x:v>
      </x:c>
    </x:row>
    <x:row r="529">
      <x:c r="A529" s="20" t="str">
        <x:v>SCN-0526</x:v>
      </x:c>
      <x:c r="B529" s="23" t="n">
        <x:v>46466</x:v>
      </x:c>
      <x:c r="C529" s="20" t="str">
        <x:v>scn-0526-loan-payment-ln029-202703.pdf</x:v>
      </x:c>
      <x:c r="D529" s="20" t="str">
        <x:v>Monthly mortgage statement</x:v>
      </x:c>
      <x:c r="E529" s="20" t="str">
        <x:v>Loan payment / Property document</x:v>
      </x:c>
      <x:c r="F529" s="35" t="str">
        <x:v>Attach and match to existing loan; probe typed extraction of principal/interest</x:v>
      </x:c>
      <x:c r="G529" s="20" t="str">
        <x:v>PDF</x:v>
      </x:c>
      <x:c r="H529" s="20" t="str">
        <x:v>3 pages</x:v>
      </x:c>
      <x:c r="I529" s="35" t="str">
        <x:v>clean lender PDF</x:v>
      </x:c>
      <x:c r="J529" s="20" t="str">
        <x:v>P029</x:v>
      </x:c>
      <x:c r="K529" s="20" t="str"/>
      <x:c r="L529" s="20" t="str"/>
      <x:c r="M529" s="20" t="str">
        <x:v>FIN-01175</x:v>
      </x:c>
      <x:c r="N529" s="35" t="str">
        <x:v>loan; due date; payment; principal; interest; escrow; ending principal balance</x:v>
      </x:c>
      <x:c r="O529" s="35" t="str">
        <x:v>principal/interest changes monthly</x:v>
      </x:c>
      <x:c r="P529" s="35" t="str">
        <x:v>Verify or enter a different loan payment manually from the other client.</x:v>
      </x:c>
      <x:c r="Q529" s="35" t="str">
        <x:v>Synthetic QA only; no real people, accounts, signatures, or properties</x:v>
      </x:c>
    </x:row>
    <x:row r="530">
      <x:c r="A530" s="20" t="str">
        <x:v>SCN-0527</x:v>
      </x:c>
      <x:c r="B530" s="23" t="n">
        <x:v>46477</x:v>
      </x:c>
      <x:c r="C530" s="20" t="str">
        <x:v>scn-0527-bank-statement-2027-03.pdf</x:v>
      </x:c>
      <x:c r="D530" s="20" t="str">
        <x:v>Operating bank statement</x:v>
      </x:c>
      <x:c r="E530" s="20" t="str">
        <x:v>Banking import</x:v>
      </x:c>
      <x:c r="F530" s="35" t="str">
        <x:v>Bank statement/import candidate; manually import structured transactions if PDF scan is unsupported</x:v>
      </x:c>
      <x:c r="G530" s="20" t="str">
        <x:v>PDF</x:v>
      </x:c>
      <x:c r="H530" s="20" t="str">
        <x:v>8-12 pages</x:v>
      </x:c>
      <x:c r="I530" s="35" t="str">
        <x:v>clean bank PDF with synthetic account ending 4242</x:v>
      </x:c>
      <x:c r="J530" s="20" t="str"/>
      <x:c r="K530" s="20" t="str"/>
      <x:c r="L530" s="20" t="str"/>
      <x:c r="M530" s="20" t="str"/>
      <x:c r="N530" s="35" t="str">
        <x:v>statement period; opening balance; deposits; withdrawals; fees; ending balance; transaction references</x:v>
      </x:c>
      <x:c r="O530" s="35" t="str">
        <x:v>one pending item in March and one duplicate feed row in September</x:v>
      </x:c>
      <x:c r="P530" s="35" t="str">
        <x:v>Use Banking review/match on web and mobile; manually enter one unmatched bank fee.</x:v>
      </x:c>
      <x:c r="Q530" s="35" t="str">
        <x:v>Synthetic QA only; no real people, accounts, signatures, or properties</x:v>
      </x:c>
    </x:row>
    <x:row r="531">
      <x:c r="A531" s="20" t="str">
        <x:v>SCN-0528</x:v>
      </x:c>
      <x:c r="B531" s="23" t="n">
        <x:v>46492</x:v>
      </x:c>
      <x:c r="C531" s="20" t="str">
        <x:v>scn-0528-expense-20270415-1081.pdf</x:v>
      </x:c>
      <x:c r="D531" s="20" t="str">
        <x:v>Vendor invoice / receipt</x:v>
      </x:c>
      <x:c r="E531" s="20" t="str">
        <x:v>Expense</x:v>
      </x:c>
      <x:c r="F531" s="35" t="str">
        <x:v>Direct scan draft with property/unit/work-order context</x:v>
      </x:c>
      <x:c r="G531" s="20" t="str">
        <x:v>PDF</x:v>
      </x:c>
      <x:c r="H531" s="20" t="str">
        <x:v>1-3 pages</x:v>
      </x:c>
      <x:c r="I531" s="35" t="str">
        <x:v>crumpled thermal receipt</x:v>
      </x:c>
      <x:c r="J531" s="20" t="str">
        <x:v>P021</x:v>
      </x:c>
      <x:c r="K531" s="20" t="str"/>
      <x:c r="L531" s="20" t="str"/>
      <x:c r="M531" s="20" t="str">
        <x:v>FIN-01182</x:v>
      </x:c>
      <x:c r="N531" s="35" t="str">
        <x:v>vendor; invoice number; date; subtotal; tax; total; category; property; unit; line items; payment method</x:v>
      </x:c>
      <x:c r="O531" s="35" t="str"/>
      <x:c r="P531" s="35" t="str">
        <x:v>Create a different expense of the same category through the equivalent manual form on the other client.</x:v>
      </x:c>
      <x:c r="Q531" s="35" t="str">
        <x:v>Synthetic QA only; no real people, accounts, signatures, or properties</x:v>
      </x:c>
    </x:row>
    <x:row r="532">
      <x:c r="A532" s="20" t="str">
        <x:v>SCN-0529</x:v>
      </x:c>
      <x:c r="B532" s="23" t="n">
        <x:v>46492</x:v>
      </x:c>
      <x:c r="C532" s="20" t="str">
        <x:v>scn-0529-expense-20270415-1082.pdf</x:v>
      </x:c>
      <x:c r="D532" s="20" t="str">
        <x:v>Vendor invoice / receipt</x:v>
      </x:c>
      <x:c r="E532" s="20" t="str">
        <x:v>Expense</x:v>
      </x:c>
      <x:c r="F532" s="35" t="str">
        <x:v>Direct scan draft with property/unit/work-order context</x:v>
      </x:c>
      <x:c r="G532" s="20" t="str">
        <x:v>PDF</x:v>
      </x:c>
      <x:c r="H532" s="20" t="str">
        <x:v>1-3 pages</x:v>
      </x:c>
      <x:c r="I532" s="35" t="str">
        <x:v>phone photo with shadow</x:v>
      </x:c>
      <x:c r="J532" s="20" t="str">
        <x:v>P022</x:v>
      </x:c>
      <x:c r="K532" s="20" t="str"/>
      <x:c r="L532" s="20" t="str"/>
      <x:c r="M532" s="20" t="str">
        <x:v>FIN-01183</x:v>
      </x:c>
      <x:c r="N532" s="35" t="str">
        <x:v>vendor; invoice number; date; subtotal; tax; total; category; property; unit; line items; payment method</x:v>
      </x:c>
      <x:c r="O532" s="35" t="str"/>
      <x:c r="P532" s="35" t="str">
        <x:v>Create a different expense of the same category through the equivalent manual form on the other client.</x:v>
      </x:c>
      <x:c r="Q532" s="35" t="str">
        <x:v>Synthetic QA only; no real people, accounts, signatures, or properties</x:v>
      </x:c>
    </x:row>
    <x:row r="533">
      <x:c r="A533" s="20" t="str">
        <x:v>SCN-0530</x:v>
      </x:c>
      <x:c r="B533" s="23" t="n">
        <x:v>46492</x:v>
      </x:c>
      <x:c r="C533" s="20" t="str">
        <x:v>scn-0530-expense-20270415-1083.jpg</x:v>
      </x:c>
      <x:c r="D533" s="20" t="str">
        <x:v>Vendor invoice / receipt</x:v>
      </x:c>
      <x:c r="E533" s="20" t="str">
        <x:v>Expense</x:v>
      </x:c>
      <x:c r="F533" s="35" t="str">
        <x:v>Direct scan draft with property/unit/work-order context</x:v>
      </x:c>
      <x:c r="G533" s="20" t="str">
        <x:v>Camera JPEG</x:v>
      </x:c>
      <x:c r="H533" s="20" t="str">
        <x:v>1-3 pages</x:v>
      </x:c>
      <x:c r="I533" s="35" t="str">
        <x:v>clean emailed invoice</x:v>
      </x:c>
      <x:c r="J533" s="20" t="str">
        <x:v>P023</x:v>
      </x:c>
      <x:c r="K533" s="20" t="str"/>
      <x:c r="L533" s="20" t="str"/>
      <x:c r="M533" s="20" t="str">
        <x:v>FIN-01184</x:v>
      </x:c>
      <x:c r="N533" s="35" t="str">
        <x:v>vendor; invoice number; date; subtotal; tax; total; category; property; unit; line items; payment method</x:v>
      </x:c>
      <x:c r="O533" s="35" t="str"/>
      <x:c r="P533" s="35" t="str">
        <x:v>Create a different expense of the same category through the equivalent manual form on the other client.</x:v>
      </x:c>
      <x:c r="Q533" s="35" t="str">
        <x:v>Synthetic QA only; no real people, accounts, signatures, or properties</x:v>
      </x:c>
    </x:row>
    <x:row r="534">
      <x:c r="A534" s="20" t="str">
        <x:v>SCN-0531</x:v>
      </x:c>
      <x:c r="B534" s="23" t="n">
        <x:v>46492</x:v>
      </x:c>
      <x:c r="C534" s="20" t="str">
        <x:v>scn-0531-expense-20270415-1084.pdf</x:v>
      </x:c>
      <x:c r="D534" s="20" t="str">
        <x:v>Vendor invoice / receipt</x:v>
      </x:c>
      <x:c r="E534" s="20" t="str">
        <x:v>Expense</x:v>
      </x:c>
      <x:c r="F534" s="35" t="str">
        <x:v>Direct scan draft with property/unit/work-order context</x:v>
      </x:c>
      <x:c r="G534" s="20" t="str">
        <x:v>PDF</x:v>
      </x:c>
      <x:c r="H534" s="20" t="str">
        <x:v>1-3 pages</x:v>
      </x:c>
      <x:c r="I534" s="35" t="str">
        <x:v>crumpled thermal receipt</x:v>
      </x:c>
      <x:c r="J534" s="20" t="str">
        <x:v>P024</x:v>
      </x:c>
      <x:c r="K534" s="20" t="str"/>
      <x:c r="L534" s="20" t="str"/>
      <x:c r="M534" s="20" t="str">
        <x:v>FIN-01185</x:v>
      </x:c>
      <x:c r="N534" s="35" t="str">
        <x:v>vendor; invoice number; date; subtotal; tax; total; category; property; unit; line items; payment method</x:v>
      </x:c>
      <x:c r="O534" s="35" t="str"/>
      <x:c r="P534" s="35" t="str">
        <x:v>Create a different expense of the same category through the equivalent manual form on the other client.</x:v>
      </x:c>
      <x:c r="Q534" s="35" t="str">
        <x:v>Synthetic QA only; no real people, accounts, signatures, or properties</x:v>
      </x:c>
    </x:row>
    <x:row r="535">
      <x:c r="A535" s="20" t="str">
        <x:v>SCN-0532</x:v>
      </x:c>
      <x:c r="B535" s="23" t="n">
        <x:v>46492</x:v>
      </x:c>
      <x:c r="C535" s="20" t="str">
        <x:v>scn-0532-expense-20270415-1086.jpg</x:v>
      </x:c>
      <x:c r="D535" s="20" t="str">
        <x:v>Vendor invoice / receipt</x:v>
      </x:c>
      <x:c r="E535" s="20" t="str">
        <x:v>Expense</x:v>
      </x:c>
      <x:c r="F535" s="35" t="str">
        <x:v>Direct scan draft with property/unit/work-order context</x:v>
      </x:c>
      <x:c r="G535" s="20" t="str">
        <x:v>Camera JPEG</x:v>
      </x:c>
      <x:c r="H535" s="20" t="str">
        <x:v>1-3 pages</x:v>
      </x:c>
      <x:c r="I535" s="35" t="str">
        <x:v>clean emailed invoice</x:v>
      </x:c>
      <x:c r="J535" s="20" t="str">
        <x:v>P026</x:v>
      </x:c>
      <x:c r="K535" s="20" t="str"/>
      <x:c r="L535" s="20" t="str"/>
      <x:c r="M535" s="20" t="str">
        <x:v>FIN-01187</x:v>
      </x:c>
      <x:c r="N535" s="35" t="str">
        <x:v>vendor; invoice number; date; subtotal; tax; total; category; property; unit; line items; payment method</x:v>
      </x:c>
      <x:c r="O535" s="35" t="str"/>
      <x:c r="P535" s="35" t="str">
        <x:v>Create a different expense of the same category through the equivalent manual form on the other client.</x:v>
      </x:c>
      <x:c r="Q535" s="35" t="str">
        <x:v>Synthetic QA only; no real people, accounts, signatures, or properties</x:v>
      </x:c>
    </x:row>
    <x:row r="536">
      <x:c r="A536" s="20" t="str">
        <x:v>SCN-0533</x:v>
      </x:c>
      <x:c r="B536" s="23" t="n">
        <x:v>46492</x:v>
      </x:c>
      <x:c r="C536" s="20" t="str">
        <x:v>scn-0533-expense-20270415-1087.pdf</x:v>
      </x:c>
      <x:c r="D536" s="20" t="str">
        <x:v>Vendor invoice / receipt</x:v>
      </x:c>
      <x:c r="E536" s="20" t="str">
        <x:v>Expense</x:v>
      </x:c>
      <x:c r="F536" s="35" t="str">
        <x:v>Direct scan draft with property/unit/work-order context</x:v>
      </x:c>
      <x:c r="G536" s="20" t="str">
        <x:v>PDF</x:v>
      </x:c>
      <x:c r="H536" s="20" t="str">
        <x:v>1-3 pages</x:v>
      </x:c>
      <x:c r="I536" s="35" t="str">
        <x:v>crumpled thermal receipt</x:v>
      </x:c>
      <x:c r="J536" s="20" t="str">
        <x:v>P027</x:v>
      </x:c>
      <x:c r="K536" s="20" t="str"/>
      <x:c r="L536" s="20" t="str"/>
      <x:c r="M536" s="20" t="str">
        <x:v>FIN-01188</x:v>
      </x:c>
      <x:c r="N536" s="35" t="str">
        <x:v>vendor; invoice number; date; subtotal; tax; total; category; property; unit; line items; payment method</x:v>
      </x:c>
      <x:c r="O536" s="35" t="str"/>
      <x:c r="P536" s="35" t="str">
        <x:v>Create a different expense of the same category through the equivalent manual form on the other client.</x:v>
      </x:c>
      <x:c r="Q536" s="35" t="str">
        <x:v>Synthetic QA only; no real people, accounts, signatures, or properties</x:v>
      </x:c>
    </x:row>
    <x:row r="537">
      <x:c r="A537" s="20" t="str">
        <x:v>SCN-0534</x:v>
      </x:c>
      <x:c r="B537" s="23" t="n">
        <x:v>46492</x:v>
      </x:c>
      <x:c r="C537" s="20" t="str">
        <x:v>scn-0534-expense-20270415-1088.pdf</x:v>
      </x:c>
      <x:c r="D537" s="20" t="str">
        <x:v>Vendor invoice / receipt</x:v>
      </x:c>
      <x:c r="E537" s="20" t="str">
        <x:v>Expense</x:v>
      </x:c>
      <x:c r="F537" s="35" t="str">
        <x:v>Direct scan draft with property/unit/work-order context</x:v>
      </x:c>
      <x:c r="G537" s="20" t="str">
        <x:v>PDF</x:v>
      </x:c>
      <x:c r="H537" s="20" t="str">
        <x:v>1-3 pages</x:v>
      </x:c>
      <x:c r="I537" s="35" t="str">
        <x:v>phone photo with shadow</x:v>
      </x:c>
      <x:c r="J537" s="20" t="str">
        <x:v>P028</x:v>
      </x:c>
      <x:c r="K537" s="20" t="str"/>
      <x:c r="L537" s="20" t="str"/>
      <x:c r="M537" s="20" t="str">
        <x:v>FIN-01189</x:v>
      </x:c>
      <x:c r="N537" s="35" t="str">
        <x:v>vendor; invoice number; date; subtotal; tax; total; category; property; unit; line items; payment method</x:v>
      </x:c>
      <x:c r="O537" s="35" t="str">
        <x:v>split tax/line items; duplicate invoice number</x:v>
      </x:c>
      <x:c r="P537" s="35" t="str">
        <x:v>Create a different expense of the same category through the equivalent manual form on the other client.</x:v>
      </x:c>
      <x:c r="Q537" s="35" t="str">
        <x:v>Synthetic QA only; no real people, accounts, signatures, or properties</x:v>
      </x:c>
    </x:row>
    <x:row r="538">
      <x:c r="A538" s="20" t="str">
        <x:v>SCN-0535</x:v>
      </x:c>
      <x:c r="B538" s="23" t="n">
        <x:v>46492</x:v>
      </x:c>
      <x:c r="C538" s="20" t="str">
        <x:v>scn-0535-expense-20270415-1089.jpg</x:v>
      </x:c>
      <x:c r="D538" s="20" t="str">
        <x:v>Vendor invoice / receipt</x:v>
      </x:c>
      <x:c r="E538" s="20" t="str">
        <x:v>Expense</x:v>
      </x:c>
      <x:c r="F538" s="35" t="str">
        <x:v>Direct scan draft with property/unit/work-order context</x:v>
      </x:c>
      <x:c r="G538" s="20" t="str">
        <x:v>Camera JPEG</x:v>
      </x:c>
      <x:c r="H538" s="20" t="str">
        <x:v>1-3 pages</x:v>
      </x:c>
      <x:c r="I538" s="35" t="str">
        <x:v>clean emailed invoice</x:v>
      </x:c>
      <x:c r="J538" s="20" t="str">
        <x:v>P029</x:v>
      </x:c>
      <x:c r="K538" s="20" t="str"/>
      <x:c r="L538" s="20" t="str"/>
      <x:c r="M538" s="20" t="str">
        <x:v>FIN-01190</x:v>
      </x:c>
      <x:c r="N538" s="35" t="str">
        <x:v>vendor; invoice number; date; subtotal; tax; total; category; property; unit; line items; payment method</x:v>
      </x:c>
      <x:c r="O538" s="35" t="str"/>
      <x:c r="P538" s="35" t="str">
        <x:v>Create a different expense of the same category through the equivalent manual form on the other client.</x:v>
      </x:c>
      <x:c r="Q538" s="35" t="str">
        <x:v>Synthetic QA only; no real people, accounts, signatures, or properties</x:v>
      </x:c>
    </x:row>
    <x:row r="539">
      <x:c r="A539" s="20" t="str">
        <x:v>SCN-0536</x:v>
      </x:c>
      <x:c r="B539" s="23" t="n">
        <x:v>46497</x:v>
      </x:c>
      <x:c r="C539" s="20" t="str">
        <x:v>scn-0536-loan-payment-ln001-202704.pdf</x:v>
      </x:c>
      <x:c r="D539" s="20" t="str">
        <x:v>Monthly mortgage statement</x:v>
      </x:c>
      <x:c r="E539" s="20" t="str">
        <x:v>Loan payment / Property document</x:v>
      </x:c>
      <x:c r="F539" s="35" t="str">
        <x:v>Attach and match to existing loan; probe typed extraction of principal/interest</x:v>
      </x:c>
      <x:c r="G539" s="20" t="str">
        <x:v>PDF</x:v>
      </x:c>
      <x:c r="H539" s="20" t="str">
        <x:v>3 pages</x:v>
      </x:c>
      <x:c r="I539" s="35" t="str">
        <x:v>clean lender PDF</x:v>
      </x:c>
      <x:c r="J539" s="20" t="str">
        <x:v>P001</x:v>
      </x:c>
      <x:c r="K539" s="20" t="str"/>
      <x:c r="L539" s="20" t="str"/>
      <x:c r="M539" s="20" t="str">
        <x:v>FIN-01192</x:v>
      </x:c>
      <x:c r="N539" s="35" t="str">
        <x:v>loan; due date; payment; principal; interest; escrow; ending principal balance</x:v>
      </x:c>
      <x:c r="O539" s="35" t="str">
        <x:v>principal/interest changes monthly</x:v>
      </x:c>
      <x:c r="P539" s="35" t="str">
        <x:v>Verify or enter a different loan payment manually from the other client.</x:v>
      </x:c>
      <x:c r="Q539" s="35" t="str">
        <x:v>Synthetic QA only; no real people, accounts, signatures, or properties</x:v>
      </x:c>
    </x:row>
    <x:row r="540">
      <x:c r="A540" s="20" t="str">
        <x:v>SCN-0537</x:v>
      </x:c>
      <x:c r="B540" s="23" t="n">
        <x:v>46497</x:v>
      </x:c>
      <x:c r="C540" s="20" t="str">
        <x:v>scn-0537-loan-payment-ln002-202704.pdf</x:v>
      </x:c>
      <x:c r="D540" s="20" t="str">
        <x:v>Monthly mortgage statement</x:v>
      </x:c>
      <x:c r="E540" s="20" t="str">
        <x:v>Loan payment / Property document</x:v>
      </x:c>
      <x:c r="F540" s="35" t="str">
        <x:v>Attach and match to existing loan; probe typed extraction of principal/interest</x:v>
      </x:c>
      <x:c r="G540" s="20" t="str">
        <x:v>PDF</x:v>
      </x:c>
      <x:c r="H540" s="20" t="str">
        <x:v>3 pages</x:v>
      </x:c>
      <x:c r="I540" s="35" t="str">
        <x:v>clean lender PDF</x:v>
      </x:c>
      <x:c r="J540" s="20" t="str">
        <x:v>P002</x:v>
      </x:c>
      <x:c r="K540" s="20" t="str"/>
      <x:c r="L540" s="20" t="str"/>
      <x:c r="M540" s="20" t="str">
        <x:v>FIN-01193</x:v>
      </x:c>
      <x:c r="N540" s="35" t="str">
        <x:v>loan; due date; payment; principal; interest; escrow; ending principal balance</x:v>
      </x:c>
      <x:c r="O540" s="35" t="str">
        <x:v>principal/interest changes monthly</x:v>
      </x:c>
      <x:c r="P540" s="35" t="str">
        <x:v>Verify or enter a different loan payment manually from the other client.</x:v>
      </x:c>
      <x:c r="Q540" s="35" t="str">
        <x:v>Synthetic QA only; no real people, accounts, signatures, or properties</x:v>
      </x:c>
    </x:row>
    <x:row r="541">
      <x:c r="A541" s="20" t="str">
        <x:v>SCN-0538</x:v>
      </x:c>
      <x:c r="B541" s="23" t="n">
        <x:v>46497</x:v>
      </x:c>
      <x:c r="C541" s="20" t="str">
        <x:v>scn-0538-loan-payment-ln004-202704.pdf</x:v>
      </x:c>
      <x:c r="D541" s="20" t="str">
        <x:v>Monthly mortgage statement</x:v>
      </x:c>
      <x:c r="E541" s="20" t="str">
        <x:v>Loan payment / Property document</x:v>
      </x:c>
      <x:c r="F541" s="35" t="str">
        <x:v>Attach and match to existing loan; probe typed extraction of principal/interest</x:v>
      </x:c>
      <x:c r="G541" s="20" t="str">
        <x:v>PDF</x:v>
      </x:c>
      <x:c r="H541" s="20" t="str">
        <x:v>3 pages</x:v>
      </x:c>
      <x:c r="I541" s="35" t="str">
        <x:v>clean lender PDF</x:v>
      </x:c>
      <x:c r="J541" s="20" t="str">
        <x:v>P004</x:v>
      </x:c>
      <x:c r="K541" s="20" t="str"/>
      <x:c r="L541" s="20" t="str"/>
      <x:c r="M541" s="20" t="str">
        <x:v>FIN-01194</x:v>
      </x:c>
      <x:c r="N541" s="35" t="str">
        <x:v>loan; due date; payment; principal; interest; escrow; ending principal balance</x:v>
      </x:c>
      <x:c r="O541" s="35" t="str">
        <x:v>principal/interest changes monthly</x:v>
      </x:c>
      <x:c r="P541" s="35" t="str">
        <x:v>Verify or enter a different loan payment manually from the other client.</x:v>
      </x:c>
      <x:c r="Q541" s="35" t="str">
        <x:v>Synthetic QA only; no real people, accounts, signatures, or properties</x:v>
      </x:c>
    </x:row>
    <x:row r="542">
      <x:c r="A542" s="20" t="str">
        <x:v>SCN-0539</x:v>
      </x:c>
      <x:c r="B542" s="23" t="n">
        <x:v>46497</x:v>
      </x:c>
      <x:c r="C542" s="20" t="str">
        <x:v>scn-0539-loan-payment-ln005-202704.pdf</x:v>
      </x:c>
      <x:c r="D542" s="20" t="str">
        <x:v>Monthly mortgage statement</x:v>
      </x:c>
      <x:c r="E542" s="20" t="str">
        <x:v>Loan payment / Property document</x:v>
      </x:c>
      <x:c r="F542" s="35" t="str">
        <x:v>Attach and match to existing loan; probe typed extraction of principal/interest</x:v>
      </x:c>
      <x:c r="G542" s="20" t="str">
        <x:v>PDF</x:v>
      </x:c>
      <x:c r="H542" s="20" t="str">
        <x:v>3 pages</x:v>
      </x:c>
      <x:c r="I542" s="35" t="str">
        <x:v>clean lender PDF</x:v>
      </x:c>
      <x:c r="J542" s="20" t="str">
        <x:v>P005</x:v>
      </x:c>
      <x:c r="K542" s="20" t="str"/>
      <x:c r="L542" s="20" t="str"/>
      <x:c r="M542" s="20" t="str">
        <x:v>FIN-01195</x:v>
      </x:c>
      <x:c r="N542" s="35" t="str">
        <x:v>loan; due date; payment; principal; interest; escrow; ending principal balance</x:v>
      </x:c>
      <x:c r="O542" s="35" t="str">
        <x:v>principal/interest changes monthly</x:v>
      </x:c>
      <x:c r="P542" s="35" t="str">
        <x:v>Verify or enter a different loan payment manually from the other client.</x:v>
      </x:c>
      <x:c r="Q542" s="35" t="str">
        <x:v>Synthetic QA only; no real people, accounts, signatures, or properties</x:v>
      </x:c>
    </x:row>
    <x:row r="543">
      <x:c r="A543" s="20" t="str">
        <x:v>SCN-0540</x:v>
      </x:c>
      <x:c r="B543" s="23" t="n">
        <x:v>46497</x:v>
      </x:c>
      <x:c r="C543" s="20" t="str">
        <x:v>scn-0540-loan-payment-ln007-202704.pdf</x:v>
      </x:c>
      <x:c r="D543" s="20" t="str">
        <x:v>Monthly mortgage statement</x:v>
      </x:c>
      <x:c r="E543" s="20" t="str">
        <x:v>Loan payment / Property document</x:v>
      </x:c>
      <x:c r="F543" s="35" t="str">
        <x:v>Attach and match to existing loan; probe typed extraction of principal/interest</x:v>
      </x:c>
      <x:c r="G543" s="20" t="str">
        <x:v>PDF</x:v>
      </x:c>
      <x:c r="H543" s="20" t="str">
        <x:v>3 pages</x:v>
      </x:c>
      <x:c r="I543" s="35" t="str">
        <x:v>clean lender PDF</x:v>
      </x:c>
      <x:c r="J543" s="20" t="str">
        <x:v>P007</x:v>
      </x:c>
      <x:c r="K543" s="20" t="str"/>
      <x:c r="L543" s="20" t="str"/>
      <x:c r="M543" s="20" t="str">
        <x:v>FIN-01196</x:v>
      </x:c>
      <x:c r="N543" s="35" t="str">
        <x:v>loan; due date; payment; principal; interest; escrow; ending principal balance</x:v>
      </x:c>
      <x:c r="O543" s="35" t="str">
        <x:v>principal/interest changes monthly</x:v>
      </x:c>
      <x:c r="P543" s="35" t="str">
        <x:v>Verify or enter a different loan payment manually from the other client.</x:v>
      </x:c>
      <x:c r="Q543" s="35" t="str">
        <x:v>Synthetic QA only; no real people, accounts, signatures, or properties</x:v>
      </x:c>
    </x:row>
    <x:row r="544">
      <x:c r="A544" s="20" t="str">
        <x:v>SCN-0541</x:v>
      </x:c>
      <x:c r="B544" s="23" t="n">
        <x:v>46497</x:v>
      </x:c>
      <x:c r="C544" s="20" t="str">
        <x:v>scn-0541-loan-payment-ln008-202704.pdf</x:v>
      </x:c>
      <x:c r="D544" s="20" t="str">
        <x:v>Monthly mortgage statement</x:v>
      </x:c>
      <x:c r="E544" s="20" t="str">
        <x:v>Loan payment / Property document</x:v>
      </x:c>
      <x:c r="F544" s="35" t="str">
        <x:v>Attach and match to existing loan; probe typed extraction of principal/interest</x:v>
      </x:c>
      <x:c r="G544" s="20" t="str">
        <x:v>PDF</x:v>
      </x:c>
      <x:c r="H544" s="20" t="str">
        <x:v>3 pages</x:v>
      </x:c>
      <x:c r="I544" s="35" t="str">
        <x:v>clean lender PDF</x:v>
      </x:c>
      <x:c r="J544" s="20" t="str">
        <x:v>P008</x:v>
      </x:c>
      <x:c r="K544" s="20" t="str"/>
      <x:c r="L544" s="20" t="str"/>
      <x:c r="M544" s="20" t="str">
        <x:v>FIN-01197</x:v>
      </x:c>
      <x:c r="N544" s="35" t="str">
        <x:v>loan; due date; payment; principal; interest; escrow; ending principal balance</x:v>
      </x:c>
      <x:c r="O544" s="35" t="str">
        <x:v>principal/interest changes monthly</x:v>
      </x:c>
      <x:c r="P544" s="35" t="str">
        <x:v>Verify or enter a different loan payment manually from the other client.</x:v>
      </x:c>
      <x:c r="Q544" s="35" t="str">
        <x:v>Synthetic QA only; no real people, accounts, signatures, or properties</x:v>
      </x:c>
    </x:row>
    <x:row r="545">
      <x:c r="A545" s="20" t="str">
        <x:v>SCN-0542</x:v>
      </x:c>
      <x:c r="B545" s="23" t="n">
        <x:v>46497</x:v>
      </x:c>
      <x:c r="C545" s="20" t="str">
        <x:v>scn-0542-loan-payment-ln010-202704.pdf</x:v>
      </x:c>
      <x:c r="D545" s="20" t="str">
        <x:v>Monthly mortgage statement</x:v>
      </x:c>
      <x:c r="E545" s="20" t="str">
        <x:v>Loan payment / Property document</x:v>
      </x:c>
      <x:c r="F545" s="35" t="str">
        <x:v>Attach and match to existing loan; probe typed extraction of principal/interest</x:v>
      </x:c>
      <x:c r="G545" s="20" t="str">
        <x:v>PDF</x:v>
      </x:c>
      <x:c r="H545" s="20" t="str">
        <x:v>3 pages</x:v>
      </x:c>
      <x:c r="I545" s="35" t="str">
        <x:v>clean lender PDF</x:v>
      </x:c>
      <x:c r="J545" s="20" t="str">
        <x:v>P010</x:v>
      </x:c>
      <x:c r="K545" s="20" t="str"/>
      <x:c r="L545" s="20" t="str"/>
      <x:c r="M545" s="20" t="str">
        <x:v>FIN-01198</x:v>
      </x:c>
      <x:c r="N545" s="35" t="str">
        <x:v>loan; due date; payment; principal; interest; escrow; ending principal balance</x:v>
      </x:c>
      <x:c r="O545" s="35" t="str">
        <x:v>principal/interest changes monthly</x:v>
      </x:c>
      <x:c r="P545" s="35" t="str">
        <x:v>Verify or enter a different loan payment manually from the other client.</x:v>
      </x:c>
      <x:c r="Q545" s="35" t="str">
        <x:v>Synthetic QA only; no real people, accounts, signatures, or properties</x:v>
      </x:c>
    </x:row>
    <x:row r="546">
      <x:c r="A546" s="20" t="str">
        <x:v>SCN-0543</x:v>
      </x:c>
      <x:c r="B546" s="23" t="n">
        <x:v>46497</x:v>
      </x:c>
      <x:c r="C546" s="20" t="str">
        <x:v>scn-0543-loan-payment-ln011-202704.pdf</x:v>
      </x:c>
      <x:c r="D546" s="20" t="str">
        <x:v>Monthly mortgage statement</x:v>
      </x:c>
      <x:c r="E546" s="20" t="str">
        <x:v>Loan payment / Property document</x:v>
      </x:c>
      <x:c r="F546" s="35" t="str">
        <x:v>Attach and match to existing loan; probe typed extraction of principal/interest</x:v>
      </x:c>
      <x:c r="G546" s="20" t="str">
        <x:v>PDF</x:v>
      </x:c>
      <x:c r="H546" s="20" t="str">
        <x:v>3 pages</x:v>
      </x:c>
      <x:c r="I546" s="35" t="str">
        <x:v>clean lender PDF</x:v>
      </x:c>
      <x:c r="J546" s="20" t="str">
        <x:v>P011</x:v>
      </x:c>
      <x:c r="K546" s="20" t="str"/>
      <x:c r="L546" s="20" t="str"/>
      <x:c r="M546" s="20" t="str">
        <x:v>FIN-01199</x:v>
      </x:c>
      <x:c r="N546" s="35" t="str">
        <x:v>loan; due date; payment; principal; interest; escrow; ending principal balance</x:v>
      </x:c>
      <x:c r="O546" s="35" t="str">
        <x:v>principal/interest changes monthly</x:v>
      </x:c>
      <x:c r="P546" s="35" t="str">
        <x:v>Verify or enter a different loan payment manually from the other client.</x:v>
      </x:c>
      <x:c r="Q546" s="35" t="str">
        <x:v>Synthetic QA only; no real people, accounts, signatures, or properties</x:v>
      </x:c>
    </x:row>
    <x:row r="547">
      <x:c r="A547" s="20" t="str">
        <x:v>SCN-0544</x:v>
      </x:c>
      <x:c r="B547" s="23" t="n">
        <x:v>46497</x:v>
      </x:c>
      <x:c r="C547" s="20" t="str">
        <x:v>scn-0544-loan-payment-ln013-202704.pdf</x:v>
      </x:c>
      <x:c r="D547" s="20" t="str">
        <x:v>Monthly mortgage statement</x:v>
      </x:c>
      <x:c r="E547" s="20" t="str">
        <x:v>Loan payment / Property document</x:v>
      </x:c>
      <x:c r="F547" s="35" t="str">
        <x:v>Attach and match to existing loan; probe typed extraction of principal/interest</x:v>
      </x:c>
      <x:c r="G547" s="20" t="str">
        <x:v>PDF</x:v>
      </x:c>
      <x:c r="H547" s="20" t="str">
        <x:v>3 pages</x:v>
      </x:c>
      <x:c r="I547" s="35" t="str">
        <x:v>clean lender PDF</x:v>
      </x:c>
      <x:c r="J547" s="20" t="str">
        <x:v>P013</x:v>
      </x:c>
      <x:c r="K547" s="20" t="str"/>
      <x:c r="L547" s="20" t="str"/>
      <x:c r="M547" s="20" t="str">
        <x:v>FIN-01200</x:v>
      </x:c>
      <x:c r="N547" s="35" t="str">
        <x:v>loan; due date; payment; principal; interest; escrow; ending principal balance</x:v>
      </x:c>
      <x:c r="O547" s="35" t="str">
        <x:v>principal/interest changes monthly</x:v>
      </x:c>
      <x:c r="P547" s="35" t="str">
        <x:v>Verify or enter a different loan payment manually from the other client.</x:v>
      </x:c>
      <x:c r="Q547" s="35" t="str">
        <x:v>Synthetic QA only; no real people, accounts, signatures, or properties</x:v>
      </x:c>
    </x:row>
    <x:row r="548">
      <x:c r="A548" s="20" t="str">
        <x:v>SCN-0545</x:v>
      </x:c>
      <x:c r="B548" s="23" t="n">
        <x:v>46497</x:v>
      </x:c>
      <x:c r="C548" s="20" t="str">
        <x:v>scn-0545-loan-payment-ln014-202704.pdf</x:v>
      </x:c>
      <x:c r="D548" s="20" t="str">
        <x:v>Monthly mortgage statement</x:v>
      </x:c>
      <x:c r="E548" s="20" t="str">
        <x:v>Loan payment / Property document</x:v>
      </x:c>
      <x:c r="F548" s="35" t="str">
        <x:v>Attach and match to existing loan; probe typed extraction of principal/interest</x:v>
      </x:c>
      <x:c r="G548" s="20" t="str">
        <x:v>PDF</x:v>
      </x:c>
      <x:c r="H548" s="20" t="str">
        <x:v>3 pages</x:v>
      </x:c>
      <x:c r="I548" s="35" t="str">
        <x:v>clean lender PDF</x:v>
      </x:c>
      <x:c r="J548" s="20" t="str">
        <x:v>P014</x:v>
      </x:c>
      <x:c r="K548" s="20" t="str"/>
      <x:c r="L548" s="20" t="str"/>
      <x:c r="M548" s="20" t="str">
        <x:v>FIN-01201</x:v>
      </x:c>
      <x:c r="N548" s="35" t="str">
        <x:v>loan; due date; payment; principal; interest; escrow; ending principal balance</x:v>
      </x:c>
      <x:c r="O548" s="35" t="str">
        <x:v>principal/interest changes monthly</x:v>
      </x:c>
      <x:c r="P548" s="35" t="str">
        <x:v>Verify or enter a different loan payment manually from the other client.</x:v>
      </x:c>
      <x:c r="Q548" s="35" t="str">
        <x:v>Synthetic QA only; no real people, accounts, signatures, or properties</x:v>
      </x:c>
    </x:row>
    <x:row r="549">
      <x:c r="A549" s="20" t="str">
        <x:v>SCN-0546</x:v>
      </x:c>
      <x:c r="B549" s="23" t="n">
        <x:v>46497</x:v>
      </x:c>
      <x:c r="C549" s="20" t="str">
        <x:v>scn-0546-loan-payment-ln016-202704.pdf</x:v>
      </x:c>
      <x:c r="D549" s="20" t="str">
        <x:v>Monthly mortgage statement</x:v>
      </x:c>
      <x:c r="E549" s="20" t="str">
        <x:v>Loan payment / Property document</x:v>
      </x:c>
      <x:c r="F549" s="35" t="str">
        <x:v>Attach and match to existing loan; probe typed extraction of principal/interest</x:v>
      </x:c>
      <x:c r="G549" s="20" t="str">
        <x:v>PDF</x:v>
      </x:c>
      <x:c r="H549" s="20" t="str">
        <x:v>3 pages</x:v>
      </x:c>
      <x:c r="I549" s="35" t="str">
        <x:v>clean lender PDF</x:v>
      </x:c>
      <x:c r="J549" s="20" t="str">
        <x:v>P016</x:v>
      </x:c>
      <x:c r="K549" s="20" t="str"/>
      <x:c r="L549" s="20" t="str"/>
      <x:c r="M549" s="20" t="str">
        <x:v>FIN-01202</x:v>
      </x:c>
      <x:c r="N549" s="35" t="str">
        <x:v>loan; due date; payment; principal; interest; escrow; ending principal balance</x:v>
      </x:c>
      <x:c r="O549" s="35" t="str">
        <x:v>principal/interest changes monthly</x:v>
      </x:c>
      <x:c r="P549" s="35" t="str">
        <x:v>Verify or enter a different loan payment manually from the other client.</x:v>
      </x:c>
      <x:c r="Q549" s="35" t="str">
        <x:v>Synthetic QA only; no real people, accounts, signatures, or properties</x:v>
      </x:c>
    </x:row>
    <x:row r="550">
      <x:c r="A550" s="20" t="str">
        <x:v>SCN-0547</x:v>
      </x:c>
      <x:c r="B550" s="23" t="n">
        <x:v>46497</x:v>
      </x:c>
      <x:c r="C550" s="20" t="str">
        <x:v>scn-0547-loan-payment-ln017-202704.pdf</x:v>
      </x:c>
      <x:c r="D550" s="20" t="str">
        <x:v>Monthly mortgage statement</x:v>
      </x:c>
      <x:c r="E550" s="20" t="str">
        <x:v>Loan payment / Property document</x:v>
      </x:c>
      <x:c r="F550" s="35" t="str">
        <x:v>Attach and match to existing loan; probe typed extraction of principal/interest</x:v>
      </x:c>
      <x:c r="G550" s="20" t="str">
        <x:v>PDF</x:v>
      </x:c>
      <x:c r="H550" s="20" t="str">
        <x:v>3 pages</x:v>
      </x:c>
      <x:c r="I550" s="35" t="str">
        <x:v>clean lender PDF</x:v>
      </x:c>
      <x:c r="J550" s="20" t="str">
        <x:v>P017</x:v>
      </x:c>
      <x:c r="K550" s="20" t="str"/>
      <x:c r="L550" s="20" t="str"/>
      <x:c r="M550" s="20" t="str">
        <x:v>FIN-01203</x:v>
      </x:c>
      <x:c r="N550" s="35" t="str">
        <x:v>loan; due date; payment; principal; interest; escrow; ending principal balance</x:v>
      </x:c>
      <x:c r="O550" s="35" t="str">
        <x:v>principal/interest changes monthly</x:v>
      </x:c>
      <x:c r="P550" s="35" t="str">
        <x:v>Verify or enter a different loan payment manually from the other client.</x:v>
      </x:c>
      <x:c r="Q550" s="35" t="str">
        <x:v>Synthetic QA only; no real people, accounts, signatures, or properties</x:v>
      </x:c>
    </x:row>
    <x:row r="551">
      <x:c r="A551" s="20" t="str">
        <x:v>SCN-0548</x:v>
      </x:c>
      <x:c r="B551" s="23" t="n">
        <x:v>46497</x:v>
      </x:c>
      <x:c r="C551" s="20" t="str">
        <x:v>scn-0548-loan-payment-ln019-202704.pdf</x:v>
      </x:c>
      <x:c r="D551" s="20" t="str">
        <x:v>Monthly mortgage statement</x:v>
      </x:c>
      <x:c r="E551" s="20" t="str">
        <x:v>Loan payment / Property document</x:v>
      </x:c>
      <x:c r="F551" s="35" t="str">
        <x:v>Attach and match to existing loan; probe typed extraction of principal/interest</x:v>
      </x:c>
      <x:c r="G551" s="20" t="str">
        <x:v>PDF</x:v>
      </x:c>
      <x:c r="H551" s="20" t="str">
        <x:v>3 pages</x:v>
      </x:c>
      <x:c r="I551" s="35" t="str">
        <x:v>clean lender PDF</x:v>
      </x:c>
      <x:c r="J551" s="20" t="str">
        <x:v>P019</x:v>
      </x:c>
      <x:c r="K551" s="20" t="str"/>
      <x:c r="L551" s="20" t="str"/>
      <x:c r="M551" s="20" t="str">
        <x:v>FIN-01204</x:v>
      </x:c>
      <x:c r="N551" s="35" t="str">
        <x:v>loan; due date; payment; principal; interest; escrow; ending principal balance</x:v>
      </x:c>
      <x:c r="O551" s="35" t="str">
        <x:v>principal/interest changes monthly</x:v>
      </x:c>
      <x:c r="P551" s="35" t="str">
        <x:v>Verify or enter a different loan payment manually from the other client.</x:v>
      </x:c>
      <x:c r="Q551" s="35" t="str">
        <x:v>Synthetic QA only; no real people, accounts, signatures, or properties</x:v>
      </x:c>
    </x:row>
    <x:row r="552">
      <x:c r="A552" s="20" t="str">
        <x:v>SCN-0549</x:v>
      </x:c>
      <x:c r="B552" s="23" t="n">
        <x:v>46497</x:v>
      </x:c>
      <x:c r="C552" s="20" t="str">
        <x:v>scn-0549-loan-payment-ln020-202704.pdf</x:v>
      </x:c>
      <x:c r="D552" s="20" t="str">
        <x:v>Monthly mortgage statement</x:v>
      </x:c>
      <x:c r="E552" s="20" t="str">
        <x:v>Loan payment / Property document</x:v>
      </x:c>
      <x:c r="F552" s="35" t="str">
        <x:v>Attach and match to existing loan; probe typed extraction of principal/interest</x:v>
      </x:c>
      <x:c r="G552" s="20" t="str">
        <x:v>PDF</x:v>
      </x:c>
      <x:c r="H552" s="20" t="str">
        <x:v>3 pages</x:v>
      </x:c>
      <x:c r="I552" s="35" t="str">
        <x:v>clean lender PDF</x:v>
      </x:c>
      <x:c r="J552" s="20" t="str">
        <x:v>P020</x:v>
      </x:c>
      <x:c r="K552" s="20" t="str"/>
      <x:c r="L552" s="20" t="str"/>
      <x:c r="M552" s="20" t="str">
        <x:v>FIN-01205</x:v>
      </x:c>
      <x:c r="N552" s="35" t="str">
        <x:v>loan; due date; payment; principal; interest; escrow; ending principal balance</x:v>
      </x:c>
      <x:c r="O552" s="35" t="str">
        <x:v>principal/interest changes monthly</x:v>
      </x:c>
      <x:c r="P552" s="35" t="str">
        <x:v>Verify or enter a different loan payment manually from the other client.</x:v>
      </x:c>
      <x:c r="Q552" s="35" t="str">
        <x:v>Synthetic QA only; no real people, accounts, signatures, or properties</x:v>
      </x:c>
    </x:row>
    <x:row r="553">
      <x:c r="A553" s="20" t="str">
        <x:v>SCN-0550</x:v>
      </x:c>
      <x:c r="B553" s="23" t="n">
        <x:v>46497</x:v>
      </x:c>
      <x:c r="C553" s="20" t="str">
        <x:v>scn-0550-loan-payment-ln022-202704.pdf</x:v>
      </x:c>
      <x:c r="D553" s="20" t="str">
        <x:v>Monthly mortgage statement</x:v>
      </x:c>
      <x:c r="E553" s="20" t="str">
        <x:v>Loan payment / Property document</x:v>
      </x:c>
      <x:c r="F553" s="35" t="str">
        <x:v>Attach and match to existing loan; probe typed extraction of principal/interest</x:v>
      </x:c>
      <x:c r="G553" s="20" t="str">
        <x:v>PDF</x:v>
      </x:c>
      <x:c r="H553" s="20" t="str">
        <x:v>3 pages</x:v>
      </x:c>
      <x:c r="I553" s="35" t="str">
        <x:v>clean lender PDF</x:v>
      </x:c>
      <x:c r="J553" s="20" t="str">
        <x:v>P022</x:v>
      </x:c>
      <x:c r="K553" s="20" t="str"/>
      <x:c r="L553" s="20" t="str"/>
      <x:c r="M553" s="20" t="str">
        <x:v>FIN-01206</x:v>
      </x:c>
      <x:c r="N553" s="35" t="str">
        <x:v>loan; due date; payment; principal; interest; escrow; ending principal balance</x:v>
      </x:c>
      <x:c r="O553" s="35" t="str">
        <x:v>principal/interest changes monthly</x:v>
      </x:c>
      <x:c r="P553" s="35" t="str">
        <x:v>Verify or enter a different loan payment manually from the other client.</x:v>
      </x:c>
      <x:c r="Q553" s="35" t="str">
        <x:v>Synthetic QA only; no real people, accounts, signatures, or properties</x:v>
      </x:c>
    </x:row>
    <x:row r="554">
      <x:c r="A554" s="20" t="str">
        <x:v>SCN-0551</x:v>
      </x:c>
      <x:c r="B554" s="23" t="n">
        <x:v>46497</x:v>
      </x:c>
      <x:c r="C554" s="20" t="str">
        <x:v>scn-0551-loan-payment-ln023-202704.pdf</x:v>
      </x:c>
      <x:c r="D554" s="20" t="str">
        <x:v>Monthly mortgage statement</x:v>
      </x:c>
      <x:c r="E554" s="20" t="str">
        <x:v>Loan payment / Property document</x:v>
      </x:c>
      <x:c r="F554" s="35" t="str">
        <x:v>Attach and match to existing loan; probe typed extraction of principal/interest</x:v>
      </x:c>
      <x:c r="G554" s="20" t="str">
        <x:v>PDF</x:v>
      </x:c>
      <x:c r="H554" s="20" t="str">
        <x:v>3 pages</x:v>
      </x:c>
      <x:c r="I554" s="35" t="str">
        <x:v>clean lender PDF</x:v>
      </x:c>
      <x:c r="J554" s="20" t="str">
        <x:v>P023</x:v>
      </x:c>
      <x:c r="K554" s="20" t="str"/>
      <x:c r="L554" s="20" t="str"/>
      <x:c r="M554" s="20" t="str">
        <x:v>FIN-01207</x:v>
      </x:c>
      <x:c r="N554" s="35" t="str">
        <x:v>loan; due date; payment; principal; interest; escrow; ending principal balance</x:v>
      </x:c>
      <x:c r="O554" s="35" t="str">
        <x:v>principal/interest changes monthly</x:v>
      </x:c>
      <x:c r="P554" s="35" t="str">
        <x:v>Verify or enter a different loan payment manually from the other client.</x:v>
      </x:c>
      <x:c r="Q554" s="35" t="str">
        <x:v>Synthetic QA only; no real people, accounts, signatures, or properties</x:v>
      </x:c>
    </x:row>
    <x:row r="555">
      <x:c r="A555" s="20" t="str">
        <x:v>SCN-0552</x:v>
      </x:c>
      <x:c r="B555" s="23" t="n">
        <x:v>46497</x:v>
      </x:c>
      <x:c r="C555" s="20" t="str">
        <x:v>scn-0552-loan-payment-ln025-202704.pdf</x:v>
      </x:c>
      <x:c r="D555" s="20" t="str">
        <x:v>Monthly mortgage statement</x:v>
      </x:c>
      <x:c r="E555" s="20" t="str">
        <x:v>Loan payment / Property document</x:v>
      </x:c>
      <x:c r="F555" s="35" t="str">
        <x:v>Attach and match to existing loan; probe typed extraction of principal/interest</x:v>
      </x:c>
      <x:c r="G555" s="20" t="str">
        <x:v>PDF</x:v>
      </x:c>
      <x:c r="H555" s="20" t="str">
        <x:v>3 pages</x:v>
      </x:c>
      <x:c r="I555" s="35" t="str">
        <x:v>clean lender PDF</x:v>
      </x:c>
      <x:c r="J555" s="20" t="str">
        <x:v>P025</x:v>
      </x:c>
      <x:c r="K555" s="20" t="str"/>
      <x:c r="L555" s="20" t="str"/>
      <x:c r="M555" s="20" t="str">
        <x:v>FIN-01208</x:v>
      </x:c>
      <x:c r="N555" s="35" t="str">
        <x:v>loan; due date; payment; principal; interest; escrow; ending principal balance</x:v>
      </x:c>
      <x:c r="O555" s="35" t="str">
        <x:v>principal/interest changes monthly</x:v>
      </x:c>
      <x:c r="P555" s="35" t="str">
        <x:v>Verify or enter a different loan payment manually from the other client.</x:v>
      </x:c>
      <x:c r="Q555" s="35" t="str">
        <x:v>Synthetic QA only; no real people, accounts, signatures, or properties</x:v>
      </x:c>
    </x:row>
    <x:row r="556">
      <x:c r="A556" s="20" t="str">
        <x:v>SCN-0553</x:v>
      </x:c>
      <x:c r="B556" s="23" t="n">
        <x:v>46497</x:v>
      </x:c>
      <x:c r="C556" s="20" t="str">
        <x:v>scn-0553-loan-payment-ln026-202704.pdf</x:v>
      </x:c>
      <x:c r="D556" s="20" t="str">
        <x:v>Monthly mortgage statement</x:v>
      </x:c>
      <x:c r="E556" s="20" t="str">
        <x:v>Loan payment / Property document</x:v>
      </x:c>
      <x:c r="F556" s="35" t="str">
        <x:v>Attach and match to existing loan; probe typed extraction of principal/interest</x:v>
      </x:c>
      <x:c r="G556" s="20" t="str">
        <x:v>PDF</x:v>
      </x:c>
      <x:c r="H556" s="20" t="str">
        <x:v>3 pages</x:v>
      </x:c>
      <x:c r="I556" s="35" t="str">
        <x:v>clean lender PDF</x:v>
      </x:c>
      <x:c r="J556" s="20" t="str">
        <x:v>P026</x:v>
      </x:c>
      <x:c r="K556" s="20" t="str"/>
      <x:c r="L556" s="20" t="str"/>
      <x:c r="M556" s="20" t="str">
        <x:v>FIN-01209</x:v>
      </x:c>
      <x:c r="N556" s="35" t="str">
        <x:v>loan; due date; payment; principal; interest; escrow; ending principal balance</x:v>
      </x:c>
      <x:c r="O556" s="35" t="str">
        <x:v>principal/interest changes monthly</x:v>
      </x:c>
      <x:c r="P556" s="35" t="str">
        <x:v>Verify or enter a different loan payment manually from the other client.</x:v>
      </x:c>
      <x:c r="Q556" s="35" t="str">
        <x:v>Synthetic QA only; no real people, accounts, signatures, or properties</x:v>
      </x:c>
    </x:row>
    <x:row r="557">
      <x:c r="A557" s="20" t="str">
        <x:v>SCN-0554</x:v>
      </x:c>
      <x:c r="B557" s="23" t="n">
        <x:v>46497</x:v>
      </x:c>
      <x:c r="C557" s="20" t="str">
        <x:v>scn-0554-loan-payment-ln028-202704.pdf</x:v>
      </x:c>
      <x:c r="D557" s="20" t="str">
        <x:v>Monthly mortgage statement</x:v>
      </x:c>
      <x:c r="E557" s="20" t="str">
        <x:v>Loan payment / Property document</x:v>
      </x:c>
      <x:c r="F557" s="35" t="str">
        <x:v>Attach and match to existing loan; probe typed extraction of principal/interest</x:v>
      </x:c>
      <x:c r="G557" s="20" t="str">
        <x:v>PDF</x:v>
      </x:c>
      <x:c r="H557" s="20" t="str">
        <x:v>3 pages</x:v>
      </x:c>
      <x:c r="I557" s="35" t="str">
        <x:v>clean lender PDF</x:v>
      </x:c>
      <x:c r="J557" s="20" t="str">
        <x:v>P028</x:v>
      </x:c>
      <x:c r="K557" s="20" t="str"/>
      <x:c r="L557" s="20" t="str"/>
      <x:c r="M557" s="20" t="str">
        <x:v>FIN-01210</x:v>
      </x:c>
      <x:c r="N557" s="35" t="str">
        <x:v>loan; due date; payment; principal; interest; escrow; ending principal balance</x:v>
      </x:c>
      <x:c r="O557" s="35" t="str">
        <x:v>principal/interest changes monthly</x:v>
      </x:c>
      <x:c r="P557" s="35" t="str">
        <x:v>Verify or enter a different loan payment manually from the other client.</x:v>
      </x:c>
      <x:c r="Q557" s="35" t="str">
        <x:v>Synthetic QA only; no real people, accounts, signatures, or properties</x:v>
      </x:c>
    </x:row>
    <x:row r="558">
      <x:c r="A558" s="20" t="str">
        <x:v>SCN-0555</x:v>
      </x:c>
      <x:c r="B558" s="23" t="n">
        <x:v>46497</x:v>
      </x:c>
      <x:c r="C558" s="20" t="str">
        <x:v>scn-0555-loan-payment-ln029-202704.pdf</x:v>
      </x:c>
      <x:c r="D558" s="20" t="str">
        <x:v>Monthly mortgage statement</x:v>
      </x:c>
      <x:c r="E558" s="20" t="str">
        <x:v>Loan payment / Property document</x:v>
      </x:c>
      <x:c r="F558" s="35" t="str">
        <x:v>Attach and match to existing loan; probe typed extraction of principal/interest</x:v>
      </x:c>
      <x:c r="G558" s="20" t="str">
        <x:v>PDF</x:v>
      </x:c>
      <x:c r="H558" s="20" t="str">
        <x:v>3 pages</x:v>
      </x:c>
      <x:c r="I558" s="35" t="str">
        <x:v>clean lender PDF</x:v>
      </x:c>
      <x:c r="J558" s="20" t="str">
        <x:v>P029</x:v>
      </x:c>
      <x:c r="K558" s="20" t="str"/>
      <x:c r="L558" s="20" t="str"/>
      <x:c r="M558" s="20" t="str">
        <x:v>FIN-01211</x:v>
      </x:c>
      <x:c r="N558" s="35" t="str">
        <x:v>loan; due date; payment; principal; interest; escrow; ending principal balance</x:v>
      </x:c>
      <x:c r="O558" s="35" t="str">
        <x:v>principal/interest changes monthly</x:v>
      </x:c>
      <x:c r="P558" s="35" t="str">
        <x:v>Verify or enter a different loan payment manually from the other client.</x:v>
      </x:c>
      <x:c r="Q558" s="35" t="str">
        <x:v>Synthetic QA only; no real people, accounts, signatures, or properties</x:v>
      </x:c>
    </x:row>
    <x:row r="559">
      <x:c r="A559" s="20" t="str">
        <x:v>SCN-0556</x:v>
      </x:c>
      <x:c r="B559" s="23" t="n">
        <x:v>46507</x:v>
      </x:c>
      <x:c r="C559" s="20" t="str">
        <x:v>scn-0556-bank-statement-2027-04.pdf</x:v>
      </x:c>
      <x:c r="D559" s="20" t="str">
        <x:v>Operating bank statement</x:v>
      </x:c>
      <x:c r="E559" s="20" t="str">
        <x:v>Banking import</x:v>
      </x:c>
      <x:c r="F559" s="35" t="str">
        <x:v>Bank statement/import candidate; manually import structured transactions if PDF scan is unsupported</x:v>
      </x:c>
      <x:c r="G559" s="20" t="str">
        <x:v>PDF</x:v>
      </x:c>
      <x:c r="H559" s="20" t="str">
        <x:v>8-12 pages</x:v>
      </x:c>
      <x:c r="I559" s="35" t="str">
        <x:v>clean bank PDF with synthetic account ending 4242</x:v>
      </x:c>
      <x:c r="J559" s="20" t="str"/>
      <x:c r="K559" s="20" t="str"/>
      <x:c r="L559" s="20" t="str"/>
      <x:c r="M559" s="20" t="str"/>
      <x:c r="N559" s="35" t="str">
        <x:v>statement period; opening balance; deposits; withdrawals; fees; ending balance; transaction references</x:v>
      </x:c>
      <x:c r="O559" s="35" t="str">
        <x:v>one pending item in March and one duplicate feed row in September</x:v>
      </x:c>
      <x:c r="P559" s="35" t="str">
        <x:v>Use Banking review/match on web and mobile; manually enter one unmatched bank fee.</x:v>
      </x:c>
      <x:c r="Q559" s="35" t="str">
        <x:v>Synthetic QA only; no real people, accounts, signatures, or properties</x:v>
      </x:c>
    </x:row>
    <x:row r="560">
      <x:c r="A560" s="20" t="str">
        <x:v>SCN-0557</x:v>
      </x:c>
      <x:c r="B560" s="23" t="n">
        <x:v>46522</x:v>
      </x:c>
      <x:c r="C560" s="20" t="str">
        <x:v>scn-0557-expense-20270515-1101.jpg</x:v>
      </x:c>
      <x:c r="D560" s="20" t="str">
        <x:v>Vendor invoice / receipt</x:v>
      </x:c>
      <x:c r="E560" s="20" t="str">
        <x:v>Expense</x:v>
      </x:c>
      <x:c r="F560" s="35" t="str">
        <x:v>Direct scan draft with property/unit/work-order context</x:v>
      </x:c>
      <x:c r="G560" s="20" t="str">
        <x:v>Camera JPEG</x:v>
      </x:c>
      <x:c r="H560" s="20" t="str">
        <x:v>1-3 pages</x:v>
      </x:c>
      <x:c r="I560" s="35" t="str">
        <x:v>clean emailed invoice</x:v>
      </x:c>
      <x:c r="J560" s="20" t="str">
        <x:v>P021</x:v>
      </x:c>
      <x:c r="K560" s="20" t="str"/>
      <x:c r="L560" s="20" t="str"/>
      <x:c r="M560" s="20" t="str">
        <x:v>FIN-01217</x:v>
      </x:c>
      <x:c r="N560" s="35" t="str">
        <x:v>vendor; invoice number; date; subtotal; tax; total; category; property; unit; line items; payment method</x:v>
      </x:c>
      <x:c r="O560" s="35" t="str"/>
      <x:c r="P560" s="35" t="str">
        <x:v>Create a different expense of the same category through the equivalent manual form on the other client.</x:v>
      </x:c>
      <x:c r="Q560" s="35" t="str">
        <x:v>Synthetic QA only; no real people, accounts, signatures, or properties</x:v>
      </x:c>
    </x:row>
    <x:row r="561">
      <x:c r="A561" s="20" t="str">
        <x:v>SCN-0558</x:v>
      </x:c>
      <x:c r="B561" s="23" t="n">
        <x:v>46522</x:v>
      </x:c>
      <x:c r="C561" s="20" t="str">
        <x:v>scn-0558-expense-20270515-1102.pdf</x:v>
      </x:c>
      <x:c r="D561" s="20" t="str">
        <x:v>Vendor invoice / receipt</x:v>
      </x:c>
      <x:c r="E561" s="20" t="str">
        <x:v>Expense</x:v>
      </x:c>
      <x:c r="F561" s="35" t="str">
        <x:v>Direct scan draft with property/unit/work-order context</x:v>
      </x:c>
      <x:c r="G561" s="20" t="str">
        <x:v>PDF</x:v>
      </x:c>
      <x:c r="H561" s="20" t="str">
        <x:v>1-3 pages</x:v>
      </x:c>
      <x:c r="I561" s="35" t="str">
        <x:v>crumpled thermal receipt</x:v>
      </x:c>
      <x:c r="J561" s="20" t="str">
        <x:v>P022</x:v>
      </x:c>
      <x:c r="K561" s="20" t="str"/>
      <x:c r="L561" s="20" t="str"/>
      <x:c r="M561" s="20" t="str">
        <x:v>FIN-01218</x:v>
      </x:c>
      <x:c r="N561" s="35" t="str">
        <x:v>vendor; invoice number; date; subtotal; tax; total; category; property; unit; line items; payment method</x:v>
      </x:c>
      <x:c r="O561" s="35" t="str"/>
      <x:c r="P561" s="35" t="str">
        <x:v>Create a different expense of the same category through the equivalent manual form on the other client.</x:v>
      </x:c>
      <x:c r="Q561" s="35" t="str">
        <x:v>Synthetic QA only; no real people, accounts, signatures, or properties</x:v>
      </x:c>
    </x:row>
    <x:row r="562">
      <x:c r="A562" s="20" t="str">
        <x:v>SCN-0559</x:v>
      </x:c>
      <x:c r="B562" s="23" t="n">
        <x:v>46522</x:v>
      </x:c>
      <x:c r="C562" s="20" t="str">
        <x:v>scn-0559-expense-20270515-1103.pdf</x:v>
      </x:c>
      <x:c r="D562" s="20" t="str">
        <x:v>Vendor invoice / receipt</x:v>
      </x:c>
      <x:c r="E562" s="20" t="str">
        <x:v>Expense</x:v>
      </x:c>
      <x:c r="F562" s="35" t="str">
        <x:v>Direct scan draft with property/unit/work-order context</x:v>
      </x:c>
      <x:c r="G562" s="20" t="str">
        <x:v>PDF</x:v>
      </x:c>
      <x:c r="H562" s="20" t="str">
        <x:v>1-3 pages</x:v>
      </x:c>
      <x:c r="I562" s="35" t="str">
        <x:v>phone photo with shadow</x:v>
      </x:c>
      <x:c r="J562" s="20" t="str">
        <x:v>P023</x:v>
      </x:c>
      <x:c r="K562" s="20" t="str"/>
      <x:c r="L562" s="20" t="str"/>
      <x:c r="M562" s="20" t="str">
        <x:v>FIN-01219</x:v>
      </x:c>
      <x:c r="N562" s="35" t="str">
        <x:v>vendor; invoice number; date; subtotal; tax; total; category; property; unit; line items; payment method</x:v>
      </x:c>
      <x:c r="O562" s="35" t="str"/>
      <x:c r="P562" s="35" t="str">
        <x:v>Create a different expense of the same category through the equivalent manual form on the other client.</x:v>
      </x:c>
      <x:c r="Q562" s="35" t="str">
        <x:v>Synthetic QA only; no real people, accounts, signatures, or properties</x:v>
      </x:c>
    </x:row>
    <x:row r="563">
      <x:c r="A563" s="20" t="str">
        <x:v>SCN-0560</x:v>
      </x:c>
      <x:c r="B563" s="23" t="n">
        <x:v>46522</x:v>
      </x:c>
      <x:c r="C563" s="20" t="str">
        <x:v>scn-0560-expense-20270515-1104.jpg</x:v>
      </x:c>
      <x:c r="D563" s="20" t="str">
        <x:v>Vendor invoice / receipt</x:v>
      </x:c>
      <x:c r="E563" s="20" t="str">
        <x:v>Expense</x:v>
      </x:c>
      <x:c r="F563" s="35" t="str">
        <x:v>Direct scan draft with property/unit/work-order context</x:v>
      </x:c>
      <x:c r="G563" s="20" t="str">
        <x:v>Camera JPEG</x:v>
      </x:c>
      <x:c r="H563" s="20" t="str">
        <x:v>1-3 pages</x:v>
      </x:c>
      <x:c r="I563" s="35" t="str">
        <x:v>clean emailed invoice</x:v>
      </x:c>
      <x:c r="J563" s="20" t="str">
        <x:v>P024</x:v>
      </x:c>
      <x:c r="K563" s="20" t="str"/>
      <x:c r="L563" s="20" t="str"/>
      <x:c r="M563" s="20" t="str">
        <x:v>FIN-01220</x:v>
      </x:c>
      <x:c r="N563" s="35" t="str">
        <x:v>vendor; invoice number; date; subtotal; tax; total; category; property; unit; line items; payment method</x:v>
      </x:c>
      <x:c r="O563" s="35" t="str"/>
      <x:c r="P563" s="35" t="str">
        <x:v>Create a different expense of the same category through the equivalent manual form on the other client.</x:v>
      </x:c>
      <x:c r="Q563" s="35" t="str">
        <x:v>Synthetic QA only; no real people, accounts, signatures, or properties</x:v>
      </x:c>
    </x:row>
    <x:row r="564">
      <x:c r="A564" s="20" t="str">
        <x:v>SCN-0561</x:v>
      </x:c>
      <x:c r="B564" s="23" t="n">
        <x:v>46522</x:v>
      </x:c>
      <x:c r="C564" s="20" t="str">
        <x:v>scn-0561-expense-20270515-1106.pdf</x:v>
      </x:c>
      <x:c r="D564" s="20" t="str">
        <x:v>Vendor invoice / receipt</x:v>
      </x:c>
      <x:c r="E564" s="20" t="str">
        <x:v>Expense</x:v>
      </x:c>
      <x:c r="F564" s="35" t="str">
        <x:v>Direct scan draft with property/unit/work-order context</x:v>
      </x:c>
      <x:c r="G564" s="20" t="str">
        <x:v>PDF</x:v>
      </x:c>
      <x:c r="H564" s="20" t="str">
        <x:v>1-3 pages</x:v>
      </x:c>
      <x:c r="I564" s="35" t="str">
        <x:v>phone photo with shadow</x:v>
      </x:c>
      <x:c r="J564" s="20" t="str">
        <x:v>P026</x:v>
      </x:c>
      <x:c r="K564" s="20" t="str"/>
      <x:c r="L564" s="20" t="str"/>
      <x:c r="M564" s="20" t="str">
        <x:v>FIN-01222</x:v>
      </x:c>
      <x:c r="N564" s="35" t="str">
        <x:v>vendor; invoice number; date; subtotal; tax; total; category; property; unit; line items; payment method</x:v>
      </x:c>
      <x:c r="O564" s="35" t="str"/>
      <x:c r="P564" s="35" t="str">
        <x:v>Create a different expense of the same category through the equivalent manual form on the other client.</x:v>
      </x:c>
      <x:c r="Q564" s="35" t="str">
        <x:v>Synthetic QA only; no real people, accounts, signatures, or properties</x:v>
      </x:c>
    </x:row>
    <x:row r="565">
      <x:c r="A565" s="20" t="str">
        <x:v>SCN-0562</x:v>
      </x:c>
      <x:c r="B565" s="23" t="n">
        <x:v>46522</x:v>
      </x:c>
      <x:c r="C565" s="20" t="str">
        <x:v>scn-0562-expense-20270515-1107.jpg</x:v>
      </x:c>
      <x:c r="D565" s="20" t="str">
        <x:v>Vendor invoice / receipt</x:v>
      </x:c>
      <x:c r="E565" s="20" t="str">
        <x:v>Expense</x:v>
      </x:c>
      <x:c r="F565" s="35" t="str">
        <x:v>Direct scan draft with property/unit/work-order context</x:v>
      </x:c>
      <x:c r="G565" s="20" t="str">
        <x:v>Camera JPEG</x:v>
      </x:c>
      <x:c r="H565" s="20" t="str">
        <x:v>1-3 pages</x:v>
      </x:c>
      <x:c r="I565" s="35" t="str">
        <x:v>clean emailed invoice</x:v>
      </x:c>
      <x:c r="J565" s="20" t="str">
        <x:v>P027</x:v>
      </x:c>
      <x:c r="K565" s="20" t="str"/>
      <x:c r="L565" s="20" t="str"/>
      <x:c r="M565" s="20" t="str">
        <x:v>FIN-01223</x:v>
      </x:c>
      <x:c r="N565" s="35" t="str">
        <x:v>vendor; invoice number; date; subtotal; tax; total; category; property; unit; line items; payment method</x:v>
      </x:c>
      <x:c r="O565" s="35" t="str"/>
      <x:c r="P565" s="35" t="str">
        <x:v>Create a different expense of the same category through the equivalent manual form on the other client.</x:v>
      </x:c>
      <x:c r="Q565" s="35" t="str">
        <x:v>Synthetic QA only; no real people, accounts, signatures, or properties</x:v>
      </x:c>
    </x:row>
    <x:row r="566">
      <x:c r="A566" s="20" t="str">
        <x:v>SCN-0563</x:v>
      </x:c>
      <x:c r="B566" s="23" t="n">
        <x:v>46522</x:v>
      </x:c>
      <x:c r="C566" s="20" t="str">
        <x:v>scn-0563-expense-20270515-1108.pdf</x:v>
      </x:c>
      <x:c r="D566" s="20" t="str">
        <x:v>Vendor invoice / receipt</x:v>
      </x:c>
      <x:c r="E566" s="20" t="str">
        <x:v>Expense</x:v>
      </x:c>
      <x:c r="F566" s="35" t="str">
        <x:v>Direct scan draft with property/unit/work-order context</x:v>
      </x:c>
      <x:c r="G566" s="20" t="str">
        <x:v>PDF</x:v>
      </x:c>
      <x:c r="H566" s="20" t="str">
        <x:v>1-3 pages</x:v>
      </x:c>
      <x:c r="I566" s="35" t="str">
        <x:v>crumpled thermal receipt</x:v>
      </x:c>
      <x:c r="J566" s="20" t="str">
        <x:v>P028</x:v>
      </x:c>
      <x:c r="K566" s="20" t="str"/>
      <x:c r="L566" s="20" t="str"/>
      <x:c r="M566" s="20" t="str">
        <x:v>FIN-01224</x:v>
      </x:c>
      <x:c r="N566" s="35" t="str">
        <x:v>vendor; invoice number; date; subtotal; tax; total; category; property; unit; line items; payment method</x:v>
      </x:c>
      <x:c r="O566" s="35" t="str"/>
      <x:c r="P566" s="35" t="str">
        <x:v>Create a different expense of the same category through the equivalent manual form on the other client.</x:v>
      </x:c>
      <x:c r="Q566" s="35" t="str">
        <x:v>Synthetic QA only; no real people, accounts, signatures, or properties</x:v>
      </x:c>
    </x:row>
    <x:row r="567">
      <x:c r="A567" s="20" t="str">
        <x:v>SCN-0564</x:v>
      </x:c>
      <x:c r="B567" s="23" t="n">
        <x:v>46522</x:v>
      </x:c>
      <x:c r="C567" s="20" t="str">
        <x:v>scn-0564-expense-20270515-1109.pdf</x:v>
      </x:c>
      <x:c r="D567" s="20" t="str">
        <x:v>Vendor invoice / receipt</x:v>
      </x:c>
      <x:c r="E567" s="20" t="str">
        <x:v>Expense</x:v>
      </x:c>
      <x:c r="F567" s="35" t="str">
        <x:v>Direct scan draft with property/unit/work-order context</x:v>
      </x:c>
      <x:c r="G567" s="20" t="str">
        <x:v>PDF</x:v>
      </x:c>
      <x:c r="H567" s="20" t="str">
        <x:v>1-3 pages</x:v>
      </x:c>
      <x:c r="I567" s="35" t="str">
        <x:v>phone photo with shadow</x:v>
      </x:c>
      <x:c r="J567" s="20" t="str">
        <x:v>P029</x:v>
      </x:c>
      <x:c r="K567" s="20" t="str"/>
      <x:c r="L567" s="20" t="str"/>
      <x:c r="M567" s="20" t="str">
        <x:v>FIN-01225</x:v>
      </x:c>
      <x:c r="N567" s="35" t="str">
        <x:v>vendor; invoice number; date; subtotal; tax; total; category; property; unit; line items; payment method</x:v>
      </x:c>
      <x:c r="O567" s="35" t="str"/>
      <x:c r="P567" s="35" t="str">
        <x:v>Create a different expense of the same category through the equivalent manual form on the other client.</x:v>
      </x:c>
      <x:c r="Q567" s="35" t="str">
        <x:v>Synthetic QA only; no real people, accounts, signatures, or properties</x:v>
      </x:c>
    </x:row>
    <x:row r="568">
      <x:c r="A568" s="20" t="str">
        <x:v>SCN-0565</x:v>
      </x:c>
      <x:c r="B568" s="23" t="n">
        <x:v>46527</x:v>
      </x:c>
      <x:c r="C568" s="20" t="str">
        <x:v>scn-0565-loan-payment-ln001-202705.pdf</x:v>
      </x:c>
      <x:c r="D568" s="20" t="str">
        <x:v>Monthly mortgage statement</x:v>
      </x:c>
      <x:c r="E568" s="20" t="str">
        <x:v>Loan payment / Property document</x:v>
      </x:c>
      <x:c r="F568" s="35" t="str">
        <x:v>Attach and match to existing loan; probe typed extraction of principal/interest</x:v>
      </x:c>
      <x:c r="G568" s="20" t="str">
        <x:v>PDF</x:v>
      </x:c>
      <x:c r="H568" s="20" t="str">
        <x:v>3 pages</x:v>
      </x:c>
      <x:c r="I568" s="35" t="str">
        <x:v>clean lender PDF</x:v>
      </x:c>
      <x:c r="J568" s="20" t="str">
        <x:v>P001</x:v>
      </x:c>
      <x:c r="K568" s="20" t="str"/>
      <x:c r="L568" s="20" t="str"/>
      <x:c r="M568" s="20" t="str">
        <x:v>FIN-01227</x:v>
      </x:c>
      <x:c r="N568" s="35" t="str">
        <x:v>loan; due date; payment; principal; interest; escrow; ending principal balance</x:v>
      </x:c>
      <x:c r="O568" s="35" t="str">
        <x:v>principal/interest changes monthly</x:v>
      </x:c>
      <x:c r="P568" s="35" t="str">
        <x:v>Verify or enter a different loan payment manually from the other client.</x:v>
      </x:c>
      <x:c r="Q568" s="35" t="str">
        <x:v>Synthetic QA only; no real people, accounts, signatures, or properties</x:v>
      </x:c>
    </x:row>
    <x:row r="569">
      <x:c r="A569" s="20" t="str">
        <x:v>SCN-0566</x:v>
      </x:c>
      <x:c r="B569" s="23" t="n">
        <x:v>46527</x:v>
      </x:c>
      <x:c r="C569" s="20" t="str">
        <x:v>scn-0566-loan-payment-ln002-202705.pdf</x:v>
      </x:c>
      <x:c r="D569" s="20" t="str">
        <x:v>Monthly mortgage statement</x:v>
      </x:c>
      <x:c r="E569" s="20" t="str">
        <x:v>Loan payment / Property document</x:v>
      </x:c>
      <x:c r="F569" s="35" t="str">
        <x:v>Attach and match to existing loan; probe typed extraction of principal/interest</x:v>
      </x:c>
      <x:c r="G569" s="20" t="str">
        <x:v>PDF</x:v>
      </x:c>
      <x:c r="H569" s="20" t="str">
        <x:v>3 pages</x:v>
      </x:c>
      <x:c r="I569" s="35" t="str">
        <x:v>clean lender PDF</x:v>
      </x:c>
      <x:c r="J569" s="20" t="str">
        <x:v>P002</x:v>
      </x:c>
      <x:c r="K569" s="20" t="str"/>
      <x:c r="L569" s="20" t="str"/>
      <x:c r="M569" s="20" t="str">
        <x:v>FIN-01228</x:v>
      </x:c>
      <x:c r="N569" s="35" t="str">
        <x:v>loan; due date; payment; principal; interest; escrow; ending principal balance</x:v>
      </x:c>
      <x:c r="O569" s="35" t="str">
        <x:v>principal/interest changes monthly</x:v>
      </x:c>
      <x:c r="P569" s="35" t="str">
        <x:v>Verify or enter a different loan payment manually from the other client.</x:v>
      </x:c>
      <x:c r="Q569" s="35" t="str">
        <x:v>Synthetic QA only; no real people, accounts, signatures, or properties</x:v>
      </x:c>
    </x:row>
    <x:row r="570">
      <x:c r="A570" s="20" t="str">
        <x:v>SCN-0567</x:v>
      </x:c>
      <x:c r="B570" s="23" t="n">
        <x:v>46527</x:v>
      </x:c>
      <x:c r="C570" s="20" t="str">
        <x:v>scn-0567-loan-payment-ln004-202705.pdf</x:v>
      </x:c>
      <x:c r="D570" s="20" t="str">
        <x:v>Monthly mortgage statement</x:v>
      </x:c>
      <x:c r="E570" s="20" t="str">
        <x:v>Loan payment / Property document</x:v>
      </x:c>
      <x:c r="F570" s="35" t="str">
        <x:v>Attach and match to existing loan; probe typed extraction of principal/interest</x:v>
      </x:c>
      <x:c r="G570" s="20" t="str">
        <x:v>PDF</x:v>
      </x:c>
      <x:c r="H570" s="20" t="str">
        <x:v>3 pages</x:v>
      </x:c>
      <x:c r="I570" s="35" t="str">
        <x:v>clean lender PDF</x:v>
      </x:c>
      <x:c r="J570" s="20" t="str">
        <x:v>P004</x:v>
      </x:c>
      <x:c r="K570" s="20" t="str"/>
      <x:c r="L570" s="20" t="str"/>
      <x:c r="M570" s="20" t="str">
        <x:v>FIN-01229</x:v>
      </x:c>
      <x:c r="N570" s="35" t="str">
        <x:v>loan; due date; payment; principal; interest; escrow; ending principal balance</x:v>
      </x:c>
      <x:c r="O570" s="35" t="str">
        <x:v>principal/interest changes monthly</x:v>
      </x:c>
      <x:c r="P570" s="35" t="str">
        <x:v>Verify or enter a different loan payment manually from the other client.</x:v>
      </x:c>
      <x:c r="Q570" s="35" t="str">
        <x:v>Synthetic QA only; no real people, accounts, signatures, or properties</x:v>
      </x:c>
    </x:row>
    <x:row r="571">
      <x:c r="A571" s="20" t="str">
        <x:v>SCN-0568</x:v>
      </x:c>
      <x:c r="B571" s="23" t="n">
        <x:v>46527</x:v>
      </x:c>
      <x:c r="C571" s="20" t="str">
        <x:v>scn-0568-loan-payment-ln005-202705.pdf</x:v>
      </x:c>
      <x:c r="D571" s="20" t="str">
        <x:v>Monthly mortgage statement</x:v>
      </x:c>
      <x:c r="E571" s="20" t="str">
        <x:v>Loan payment / Property document</x:v>
      </x:c>
      <x:c r="F571" s="35" t="str">
        <x:v>Attach and match to existing loan; probe typed extraction of principal/interest</x:v>
      </x:c>
      <x:c r="G571" s="20" t="str">
        <x:v>PDF</x:v>
      </x:c>
      <x:c r="H571" s="20" t="str">
        <x:v>3 pages</x:v>
      </x:c>
      <x:c r="I571" s="35" t="str">
        <x:v>clean lender PDF</x:v>
      </x:c>
      <x:c r="J571" s="20" t="str">
        <x:v>P005</x:v>
      </x:c>
      <x:c r="K571" s="20" t="str"/>
      <x:c r="L571" s="20" t="str"/>
      <x:c r="M571" s="20" t="str">
        <x:v>FIN-01230</x:v>
      </x:c>
      <x:c r="N571" s="35" t="str">
        <x:v>loan; due date; payment; principal; interest; escrow; ending principal balance</x:v>
      </x:c>
      <x:c r="O571" s="35" t="str">
        <x:v>principal/interest changes monthly</x:v>
      </x:c>
      <x:c r="P571" s="35" t="str">
        <x:v>Verify or enter a different loan payment manually from the other client.</x:v>
      </x:c>
      <x:c r="Q571" s="35" t="str">
        <x:v>Synthetic QA only; no real people, accounts, signatures, or properties</x:v>
      </x:c>
    </x:row>
    <x:row r="572">
      <x:c r="A572" s="20" t="str">
        <x:v>SCN-0569</x:v>
      </x:c>
      <x:c r="B572" s="23" t="n">
        <x:v>46527</x:v>
      </x:c>
      <x:c r="C572" s="20" t="str">
        <x:v>scn-0569-loan-payment-ln007-202705.pdf</x:v>
      </x:c>
      <x:c r="D572" s="20" t="str">
        <x:v>Monthly mortgage statement</x:v>
      </x:c>
      <x:c r="E572" s="20" t="str">
        <x:v>Loan payment / Property document</x:v>
      </x:c>
      <x:c r="F572" s="35" t="str">
        <x:v>Attach and match to existing loan; probe typed extraction of principal/interest</x:v>
      </x:c>
      <x:c r="G572" s="20" t="str">
        <x:v>PDF</x:v>
      </x:c>
      <x:c r="H572" s="20" t="str">
        <x:v>3 pages</x:v>
      </x:c>
      <x:c r="I572" s="35" t="str">
        <x:v>clean lender PDF</x:v>
      </x:c>
      <x:c r="J572" s="20" t="str">
        <x:v>P007</x:v>
      </x:c>
      <x:c r="K572" s="20" t="str"/>
      <x:c r="L572" s="20" t="str"/>
      <x:c r="M572" s="20" t="str">
        <x:v>FIN-01231</x:v>
      </x:c>
      <x:c r="N572" s="35" t="str">
        <x:v>loan; due date; payment; principal; interest; escrow; ending principal balance</x:v>
      </x:c>
      <x:c r="O572" s="35" t="str">
        <x:v>principal/interest changes monthly</x:v>
      </x:c>
      <x:c r="P572" s="35" t="str">
        <x:v>Verify or enter a different loan payment manually from the other client.</x:v>
      </x:c>
      <x:c r="Q572" s="35" t="str">
        <x:v>Synthetic QA only; no real people, accounts, signatures, or properties</x:v>
      </x:c>
    </x:row>
    <x:row r="573">
      <x:c r="A573" s="20" t="str">
        <x:v>SCN-0570</x:v>
      </x:c>
      <x:c r="B573" s="23" t="n">
        <x:v>46527</x:v>
      </x:c>
      <x:c r="C573" s="20" t="str">
        <x:v>scn-0570-loan-payment-ln008-202705.pdf</x:v>
      </x:c>
      <x:c r="D573" s="20" t="str">
        <x:v>Monthly mortgage statement</x:v>
      </x:c>
      <x:c r="E573" s="20" t="str">
        <x:v>Loan payment / Property document</x:v>
      </x:c>
      <x:c r="F573" s="35" t="str">
        <x:v>Attach and match to existing loan; probe typed extraction of principal/interest</x:v>
      </x:c>
      <x:c r="G573" s="20" t="str">
        <x:v>PDF</x:v>
      </x:c>
      <x:c r="H573" s="20" t="str">
        <x:v>3 pages</x:v>
      </x:c>
      <x:c r="I573" s="35" t="str">
        <x:v>clean lender PDF</x:v>
      </x:c>
      <x:c r="J573" s="20" t="str">
        <x:v>P008</x:v>
      </x:c>
      <x:c r="K573" s="20" t="str"/>
      <x:c r="L573" s="20" t="str"/>
      <x:c r="M573" s="20" t="str">
        <x:v>FIN-01232</x:v>
      </x:c>
      <x:c r="N573" s="35" t="str">
        <x:v>loan; due date; payment; principal; interest; escrow; ending principal balance</x:v>
      </x:c>
      <x:c r="O573" s="35" t="str">
        <x:v>principal/interest changes monthly</x:v>
      </x:c>
      <x:c r="P573" s="35" t="str">
        <x:v>Verify or enter a different loan payment manually from the other client.</x:v>
      </x:c>
      <x:c r="Q573" s="35" t="str">
        <x:v>Synthetic QA only; no real people, accounts, signatures, or properties</x:v>
      </x:c>
    </x:row>
    <x:row r="574">
      <x:c r="A574" s="20" t="str">
        <x:v>SCN-0571</x:v>
      </x:c>
      <x:c r="B574" s="23" t="n">
        <x:v>46527</x:v>
      </x:c>
      <x:c r="C574" s="20" t="str">
        <x:v>scn-0571-loan-payment-ln010-202705.pdf</x:v>
      </x:c>
      <x:c r="D574" s="20" t="str">
        <x:v>Monthly mortgage statement</x:v>
      </x:c>
      <x:c r="E574" s="20" t="str">
        <x:v>Loan payment / Property document</x:v>
      </x:c>
      <x:c r="F574" s="35" t="str">
        <x:v>Attach and match to existing loan; probe typed extraction of principal/interest</x:v>
      </x:c>
      <x:c r="G574" s="20" t="str">
        <x:v>PDF</x:v>
      </x:c>
      <x:c r="H574" s="20" t="str">
        <x:v>3 pages</x:v>
      </x:c>
      <x:c r="I574" s="35" t="str">
        <x:v>clean lender PDF</x:v>
      </x:c>
      <x:c r="J574" s="20" t="str">
        <x:v>P010</x:v>
      </x:c>
      <x:c r="K574" s="20" t="str"/>
      <x:c r="L574" s="20" t="str"/>
      <x:c r="M574" s="20" t="str">
        <x:v>FIN-01233</x:v>
      </x:c>
      <x:c r="N574" s="35" t="str">
        <x:v>loan; due date; payment; principal; interest; escrow; ending principal balance</x:v>
      </x:c>
      <x:c r="O574" s="35" t="str">
        <x:v>principal/interest changes monthly</x:v>
      </x:c>
      <x:c r="P574" s="35" t="str">
        <x:v>Verify or enter a different loan payment manually from the other client.</x:v>
      </x:c>
      <x:c r="Q574" s="35" t="str">
        <x:v>Synthetic QA only; no real people, accounts, signatures, or properties</x:v>
      </x:c>
    </x:row>
    <x:row r="575">
      <x:c r="A575" s="20" t="str">
        <x:v>SCN-0572</x:v>
      </x:c>
      <x:c r="B575" s="23" t="n">
        <x:v>46527</x:v>
      </x:c>
      <x:c r="C575" s="20" t="str">
        <x:v>scn-0572-loan-payment-ln011-202705.pdf</x:v>
      </x:c>
      <x:c r="D575" s="20" t="str">
        <x:v>Monthly mortgage statement</x:v>
      </x:c>
      <x:c r="E575" s="20" t="str">
        <x:v>Loan payment / Property document</x:v>
      </x:c>
      <x:c r="F575" s="35" t="str">
        <x:v>Attach and match to existing loan; probe typed extraction of principal/interest</x:v>
      </x:c>
      <x:c r="G575" s="20" t="str">
        <x:v>PDF</x:v>
      </x:c>
      <x:c r="H575" s="20" t="str">
        <x:v>3 pages</x:v>
      </x:c>
      <x:c r="I575" s="35" t="str">
        <x:v>clean lender PDF</x:v>
      </x:c>
      <x:c r="J575" s="20" t="str">
        <x:v>P011</x:v>
      </x:c>
      <x:c r="K575" s="20" t="str"/>
      <x:c r="L575" s="20" t="str"/>
      <x:c r="M575" s="20" t="str">
        <x:v>FIN-01234</x:v>
      </x:c>
      <x:c r="N575" s="35" t="str">
        <x:v>loan; due date; payment; principal; interest; escrow; ending principal balance</x:v>
      </x:c>
      <x:c r="O575" s="35" t="str">
        <x:v>principal/interest changes monthly</x:v>
      </x:c>
      <x:c r="P575" s="35" t="str">
        <x:v>Verify or enter a different loan payment manually from the other client.</x:v>
      </x:c>
      <x:c r="Q575" s="35" t="str">
        <x:v>Synthetic QA only; no real people, accounts, signatures, or properties</x:v>
      </x:c>
    </x:row>
    <x:row r="576">
      <x:c r="A576" s="20" t="str">
        <x:v>SCN-0573</x:v>
      </x:c>
      <x:c r="B576" s="23" t="n">
        <x:v>46527</x:v>
      </x:c>
      <x:c r="C576" s="20" t="str">
        <x:v>scn-0573-loan-payment-ln013-202705.pdf</x:v>
      </x:c>
      <x:c r="D576" s="20" t="str">
        <x:v>Monthly mortgage statement</x:v>
      </x:c>
      <x:c r="E576" s="20" t="str">
        <x:v>Loan payment / Property document</x:v>
      </x:c>
      <x:c r="F576" s="35" t="str">
        <x:v>Attach and match to existing loan; probe typed extraction of principal/interest</x:v>
      </x:c>
      <x:c r="G576" s="20" t="str">
        <x:v>PDF</x:v>
      </x:c>
      <x:c r="H576" s="20" t="str">
        <x:v>3 pages</x:v>
      </x:c>
      <x:c r="I576" s="35" t="str">
        <x:v>clean lender PDF</x:v>
      </x:c>
      <x:c r="J576" s="20" t="str">
        <x:v>P013</x:v>
      </x:c>
      <x:c r="K576" s="20" t="str"/>
      <x:c r="L576" s="20" t="str"/>
      <x:c r="M576" s="20" t="str">
        <x:v>FIN-01235</x:v>
      </x:c>
      <x:c r="N576" s="35" t="str">
        <x:v>loan; due date; payment; principal; interest; escrow; ending principal balance</x:v>
      </x:c>
      <x:c r="O576" s="35" t="str">
        <x:v>principal/interest changes monthly</x:v>
      </x:c>
      <x:c r="P576" s="35" t="str">
        <x:v>Verify or enter a different loan payment manually from the other client.</x:v>
      </x:c>
      <x:c r="Q576" s="35" t="str">
        <x:v>Synthetic QA only; no real people, accounts, signatures, or properties</x:v>
      </x:c>
    </x:row>
    <x:row r="577">
      <x:c r="A577" s="20" t="str">
        <x:v>SCN-0574</x:v>
      </x:c>
      <x:c r="B577" s="23" t="n">
        <x:v>46527</x:v>
      </x:c>
      <x:c r="C577" s="20" t="str">
        <x:v>scn-0574-loan-payment-ln014-202705.pdf</x:v>
      </x:c>
      <x:c r="D577" s="20" t="str">
        <x:v>Monthly mortgage statement</x:v>
      </x:c>
      <x:c r="E577" s="20" t="str">
        <x:v>Loan payment / Property document</x:v>
      </x:c>
      <x:c r="F577" s="35" t="str">
        <x:v>Attach and match to existing loan; probe typed extraction of principal/interest</x:v>
      </x:c>
      <x:c r="G577" s="20" t="str">
        <x:v>PDF</x:v>
      </x:c>
      <x:c r="H577" s="20" t="str">
        <x:v>3 pages</x:v>
      </x:c>
      <x:c r="I577" s="35" t="str">
        <x:v>clean lender PDF</x:v>
      </x:c>
      <x:c r="J577" s="20" t="str">
        <x:v>P014</x:v>
      </x:c>
      <x:c r="K577" s="20" t="str"/>
      <x:c r="L577" s="20" t="str"/>
      <x:c r="M577" s="20" t="str">
        <x:v>FIN-01236</x:v>
      </x:c>
      <x:c r="N577" s="35" t="str">
        <x:v>loan; due date; payment; principal; interest; escrow; ending principal balance</x:v>
      </x:c>
      <x:c r="O577" s="35" t="str">
        <x:v>principal/interest changes monthly</x:v>
      </x:c>
      <x:c r="P577" s="35" t="str">
        <x:v>Verify or enter a different loan payment manually from the other client.</x:v>
      </x:c>
      <x:c r="Q577" s="35" t="str">
        <x:v>Synthetic QA only; no real people, accounts, signatures, or properties</x:v>
      </x:c>
    </x:row>
    <x:row r="578">
      <x:c r="A578" s="20" t="str">
        <x:v>SCN-0575</x:v>
      </x:c>
      <x:c r="B578" s="23" t="n">
        <x:v>46527</x:v>
      </x:c>
      <x:c r="C578" s="20" t="str">
        <x:v>scn-0575-loan-payment-ln016-202705.pdf</x:v>
      </x:c>
      <x:c r="D578" s="20" t="str">
        <x:v>Monthly mortgage statement</x:v>
      </x:c>
      <x:c r="E578" s="20" t="str">
        <x:v>Loan payment / Property document</x:v>
      </x:c>
      <x:c r="F578" s="35" t="str">
        <x:v>Attach and match to existing loan; probe typed extraction of principal/interest</x:v>
      </x:c>
      <x:c r="G578" s="20" t="str">
        <x:v>PDF</x:v>
      </x:c>
      <x:c r="H578" s="20" t="str">
        <x:v>3 pages</x:v>
      </x:c>
      <x:c r="I578" s="35" t="str">
        <x:v>clean lender PDF</x:v>
      </x:c>
      <x:c r="J578" s="20" t="str">
        <x:v>P016</x:v>
      </x:c>
      <x:c r="K578" s="20" t="str"/>
      <x:c r="L578" s="20" t="str"/>
      <x:c r="M578" s="20" t="str">
        <x:v>FIN-01237</x:v>
      </x:c>
      <x:c r="N578" s="35" t="str">
        <x:v>loan; due date; payment; principal; interest; escrow; ending principal balance</x:v>
      </x:c>
      <x:c r="O578" s="35" t="str">
        <x:v>principal/interest changes monthly</x:v>
      </x:c>
      <x:c r="P578" s="35" t="str">
        <x:v>Verify or enter a different loan payment manually from the other client.</x:v>
      </x:c>
      <x:c r="Q578" s="35" t="str">
        <x:v>Synthetic QA only; no real people, accounts, signatures, or properties</x:v>
      </x:c>
    </x:row>
    <x:row r="579">
      <x:c r="A579" s="20" t="str">
        <x:v>SCN-0576</x:v>
      </x:c>
      <x:c r="B579" s="23" t="n">
        <x:v>46527</x:v>
      </x:c>
      <x:c r="C579" s="20" t="str">
        <x:v>scn-0576-loan-payment-ln017-202705.pdf</x:v>
      </x:c>
      <x:c r="D579" s="20" t="str">
        <x:v>Monthly mortgage statement</x:v>
      </x:c>
      <x:c r="E579" s="20" t="str">
        <x:v>Loan payment / Property document</x:v>
      </x:c>
      <x:c r="F579" s="35" t="str">
        <x:v>Attach and match to existing loan; probe typed extraction of principal/interest</x:v>
      </x:c>
      <x:c r="G579" s="20" t="str">
        <x:v>PDF</x:v>
      </x:c>
      <x:c r="H579" s="20" t="str">
        <x:v>3 pages</x:v>
      </x:c>
      <x:c r="I579" s="35" t="str">
        <x:v>clean lender PDF</x:v>
      </x:c>
      <x:c r="J579" s="20" t="str">
        <x:v>P017</x:v>
      </x:c>
      <x:c r="K579" s="20" t="str"/>
      <x:c r="L579" s="20" t="str"/>
      <x:c r="M579" s="20" t="str">
        <x:v>FIN-01238</x:v>
      </x:c>
      <x:c r="N579" s="35" t="str">
        <x:v>loan; due date; payment; principal; interest; escrow; ending principal balance</x:v>
      </x:c>
      <x:c r="O579" s="35" t="str">
        <x:v>principal/interest changes monthly</x:v>
      </x:c>
      <x:c r="P579" s="35" t="str">
        <x:v>Verify or enter a different loan payment manually from the other client.</x:v>
      </x:c>
      <x:c r="Q579" s="35" t="str">
        <x:v>Synthetic QA only; no real people, accounts, signatures, or properties</x:v>
      </x:c>
    </x:row>
    <x:row r="580">
      <x:c r="A580" s="20" t="str">
        <x:v>SCN-0577</x:v>
      </x:c>
      <x:c r="B580" s="23" t="n">
        <x:v>46527</x:v>
      </x:c>
      <x:c r="C580" s="20" t="str">
        <x:v>scn-0577-loan-payment-ln019-202705.pdf</x:v>
      </x:c>
      <x:c r="D580" s="20" t="str">
        <x:v>Monthly mortgage statement</x:v>
      </x:c>
      <x:c r="E580" s="20" t="str">
        <x:v>Loan payment / Property document</x:v>
      </x:c>
      <x:c r="F580" s="35" t="str">
        <x:v>Attach and match to existing loan; probe typed extraction of principal/interest</x:v>
      </x:c>
      <x:c r="G580" s="20" t="str">
        <x:v>PDF</x:v>
      </x:c>
      <x:c r="H580" s="20" t="str">
        <x:v>3 pages</x:v>
      </x:c>
      <x:c r="I580" s="35" t="str">
        <x:v>clean lender PDF</x:v>
      </x:c>
      <x:c r="J580" s="20" t="str">
        <x:v>P019</x:v>
      </x:c>
      <x:c r="K580" s="20" t="str"/>
      <x:c r="L580" s="20" t="str"/>
      <x:c r="M580" s="20" t="str">
        <x:v>FIN-01239</x:v>
      </x:c>
      <x:c r="N580" s="35" t="str">
        <x:v>loan; due date; payment; principal; interest; escrow; ending principal balance</x:v>
      </x:c>
      <x:c r="O580" s="35" t="str">
        <x:v>principal/interest changes monthly</x:v>
      </x:c>
      <x:c r="P580" s="35" t="str">
        <x:v>Verify or enter a different loan payment manually from the other client.</x:v>
      </x:c>
      <x:c r="Q580" s="35" t="str">
        <x:v>Synthetic QA only; no real people, accounts, signatures, or properties</x:v>
      </x:c>
    </x:row>
    <x:row r="581">
      <x:c r="A581" s="20" t="str">
        <x:v>SCN-0578</x:v>
      </x:c>
      <x:c r="B581" s="23" t="n">
        <x:v>46527</x:v>
      </x:c>
      <x:c r="C581" s="20" t="str">
        <x:v>scn-0578-loan-payment-ln020-202705.pdf</x:v>
      </x:c>
      <x:c r="D581" s="20" t="str">
        <x:v>Monthly mortgage statement</x:v>
      </x:c>
      <x:c r="E581" s="20" t="str">
        <x:v>Loan payment / Property document</x:v>
      </x:c>
      <x:c r="F581" s="35" t="str">
        <x:v>Attach and match to existing loan; probe typed extraction of principal/interest</x:v>
      </x:c>
      <x:c r="G581" s="20" t="str">
        <x:v>PDF</x:v>
      </x:c>
      <x:c r="H581" s="20" t="str">
        <x:v>3 pages</x:v>
      </x:c>
      <x:c r="I581" s="35" t="str">
        <x:v>clean lender PDF</x:v>
      </x:c>
      <x:c r="J581" s="20" t="str">
        <x:v>P020</x:v>
      </x:c>
      <x:c r="K581" s="20" t="str"/>
      <x:c r="L581" s="20" t="str"/>
      <x:c r="M581" s="20" t="str">
        <x:v>FIN-01240</x:v>
      </x:c>
      <x:c r="N581" s="35" t="str">
        <x:v>loan; due date; payment; principal; interest; escrow; ending principal balance</x:v>
      </x:c>
      <x:c r="O581" s="35" t="str">
        <x:v>principal/interest changes monthly</x:v>
      </x:c>
      <x:c r="P581" s="35" t="str">
        <x:v>Verify or enter a different loan payment manually from the other client.</x:v>
      </x:c>
      <x:c r="Q581" s="35" t="str">
        <x:v>Synthetic QA only; no real people, accounts, signatures, or properties</x:v>
      </x:c>
    </x:row>
    <x:row r="582">
      <x:c r="A582" s="20" t="str">
        <x:v>SCN-0579</x:v>
      </x:c>
      <x:c r="B582" s="23" t="n">
        <x:v>46527</x:v>
      </x:c>
      <x:c r="C582" s="20" t="str">
        <x:v>scn-0579-loan-payment-ln022-202705.pdf</x:v>
      </x:c>
      <x:c r="D582" s="20" t="str">
        <x:v>Monthly mortgage statement</x:v>
      </x:c>
      <x:c r="E582" s="20" t="str">
        <x:v>Loan payment / Property document</x:v>
      </x:c>
      <x:c r="F582" s="35" t="str">
        <x:v>Attach and match to existing loan; probe typed extraction of principal/interest</x:v>
      </x:c>
      <x:c r="G582" s="20" t="str">
        <x:v>PDF</x:v>
      </x:c>
      <x:c r="H582" s="20" t="str">
        <x:v>3 pages</x:v>
      </x:c>
      <x:c r="I582" s="35" t="str">
        <x:v>clean lender PDF</x:v>
      </x:c>
      <x:c r="J582" s="20" t="str">
        <x:v>P022</x:v>
      </x:c>
      <x:c r="K582" s="20" t="str"/>
      <x:c r="L582" s="20" t="str"/>
      <x:c r="M582" s="20" t="str">
        <x:v>FIN-01241</x:v>
      </x:c>
      <x:c r="N582" s="35" t="str">
        <x:v>loan; due date; payment; principal; interest; escrow; ending principal balance</x:v>
      </x:c>
      <x:c r="O582" s="35" t="str">
        <x:v>principal/interest changes monthly</x:v>
      </x:c>
      <x:c r="P582" s="35" t="str">
        <x:v>Verify or enter a different loan payment manually from the other client.</x:v>
      </x:c>
      <x:c r="Q582" s="35" t="str">
        <x:v>Synthetic QA only; no real people, accounts, signatures, or properties</x:v>
      </x:c>
    </x:row>
    <x:row r="583">
      <x:c r="A583" s="20" t="str">
        <x:v>SCN-0580</x:v>
      </x:c>
      <x:c r="B583" s="23" t="n">
        <x:v>46527</x:v>
      </x:c>
      <x:c r="C583" s="20" t="str">
        <x:v>scn-0580-loan-payment-ln023-202705.pdf</x:v>
      </x:c>
      <x:c r="D583" s="20" t="str">
        <x:v>Monthly mortgage statement</x:v>
      </x:c>
      <x:c r="E583" s="20" t="str">
        <x:v>Loan payment / Property document</x:v>
      </x:c>
      <x:c r="F583" s="35" t="str">
        <x:v>Attach and match to existing loan; probe typed extraction of principal/interest</x:v>
      </x:c>
      <x:c r="G583" s="20" t="str">
        <x:v>PDF</x:v>
      </x:c>
      <x:c r="H583" s="20" t="str">
        <x:v>3 pages</x:v>
      </x:c>
      <x:c r="I583" s="35" t="str">
        <x:v>clean lender PDF</x:v>
      </x:c>
      <x:c r="J583" s="20" t="str">
        <x:v>P023</x:v>
      </x:c>
      <x:c r="K583" s="20" t="str"/>
      <x:c r="L583" s="20" t="str"/>
      <x:c r="M583" s="20" t="str">
        <x:v>FIN-01242</x:v>
      </x:c>
      <x:c r="N583" s="35" t="str">
        <x:v>loan; due date; payment; principal; interest; escrow; ending principal balance</x:v>
      </x:c>
      <x:c r="O583" s="35" t="str">
        <x:v>principal/interest changes monthly</x:v>
      </x:c>
      <x:c r="P583" s="35" t="str">
        <x:v>Verify or enter a different loan payment manually from the other client.</x:v>
      </x:c>
      <x:c r="Q583" s="35" t="str">
        <x:v>Synthetic QA only; no real people, accounts, signatures, or properties</x:v>
      </x:c>
    </x:row>
    <x:row r="584">
      <x:c r="A584" s="20" t="str">
        <x:v>SCN-0581</x:v>
      </x:c>
      <x:c r="B584" s="23" t="n">
        <x:v>46527</x:v>
      </x:c>
      <x:c r="C584" s="20" t="str">
        <x:v>scn-0581-loan-payment-ln025-202705.pdf</x:v>
      </x:c>
      <x:c r="D584" s="20" t="str">
        <x:v>Monthly mortgage statement</x:v>
      </x:c>
      <x:c r="E584" s="20" t="str">
        <x:v>Loan payment / Property document</x:v>
      </x:c>
      <x:c r="F584" s="35" t="str">
        <x:v>Attach and match to existing loan; probe typed extraction of principal/interest</x:v>
      </x:c>
      <x:c r="G584" s="20" t="str">
        <x:v>PDF</x:v>
      </x:c>
      <x:c r="H584" s="20" t="str">
        <x:v>3 pages</x:v>
      </x:c>
      <x:c r="I584" s="35" t="str">
        <x:v>clean lender PDF</x:v>
      </x:c>
      <x:c r="J584" s="20" t="str">
        <x:v>P025</x:v>
      </x:c>
      <x:c r="K584" s="20" t="str"/>
      <x:c r="L584" s="20" t="str"/>
      <x:c r="M584" s="20" t="str">
        <x:v>FIN-01243</x:v>
      </x:c>
      <x:c r="N584" s="35" t="str">
        <x:v>loan; due date; payment; principal; interest; escrow; ending principal balance</x:v>
      </x:c>
      <x:c r="O584" s="35" t="str">
        <x:v>principal/interest changes monthly</x:v>
      </x:c>
      <x:c r="P584" s="35" t="str">
        <x:v>Verify or enter a different loan payment manually from the other client.</x:v>
      </x:c>
      <x:c r="Q584" s="35" t="str">
        <x:v>Synthetic QA only; no real people, accounts, signatures, or properties</x:v>
      </x:c>
    </x:row>
    <x:row r="585">
      <x:c r="A585" s="20" t="str">
        <x:v>SCN-0582</x:v>
      </x:c>
      <x:c r="B585" s="23" t="n">
        <x:v>46527</x:v>
      </x:c>
      <x:c r="C585" s="20" t="str">
        <x:v>scn-0582-loan-payment-ln026-202705.pdf</x:v>
      </x:c>
      <x:c r="D585" s="20" t="str">
        <x:v>Monthly mortgage statement</x:v>
      </x:c>
      <x:c r="E585" s="20" t="str">
        <x:v>Loan payment / Property document</x:v>
      </x:c>
      <x:c r="F585" s="35" t="str">
        <x:v>Attach and match to existing loan; probe typed extraction of principal/interest</x:v>
      </x:c>
      <x:c r="G585" s="20" t="str">
        <x:v>PDF</x:v>
      </x:c>
      <x:c r="H585" s="20" t="str">
        <x:v>3 pages</x:v>
      </x:c>
      <x:c r="I585" s="35" t="str">
        <x:v>clean lender PDF</x:v>
      </x:c>
      <x:c r="J585" s="20" t="str">
        <x:v>P026</x:v>
      </x:c>
      <x:c r="K585" s="20" t="str"/>
      <x:c r="L585" s="20" t="str"/>
      <x:c r="M585" s="20" t="str">
        <x:v>FIN-01244</x:v>
      </x:c>
      <x:c r="N585" s="35" t="str">
        <x:v>loan; due date; payment; principal; interest; escrow; ending principal balance</x:v>
      </x:c>
      <x:c r="O585" s="35" t="str">
        <x:v>principal/interest changes monthly</x:v>
      </x:c>
      <x:c r="P585" s="35" t="str">
        <x:v>Verify or enter a different loan payment manually from the other client.</x:v>
      </x:c>
      <x:c r="Q585" s="35" t="str">
        <x:v>Synthetic QA only; no real people, accounts, signatures, or properties</x:v>
      </x:c>
    </x:row>
    <x:row r="586">
      <x:c r="A586" s="20" t="str">
        <x:v>SCN-0583</x:v>
      </x:c>
      <x:c r="B586" s="23" t="n">
        <x:v>46527</x:v>
      </x:c>
      <x:c r="C586" s="20" t="str">
        <x:v>scn-0583-loan-payment-ln028-202705.pdf</x:v>
      </x:c>
      <x:c r="D586" s="20" t="str">
        <x:v>Monthly mortgage statement</x:v>
      </x:c>
      <x:c r="E586" s="20" t="str">
        <x:v>Loan payment / Property document</x:v>
      </x:c>
      <x:c r="F586" s="35" t="str">
        <x:v>Attach and match to existing loan; probe typed extraction of principal/interest</x:v>
      </x:c>
      <x:c r="G586" s="20" t="str">
        <x:v>PDF</x:v>
      </x:c>
      <x:c r="H586" s="20" t="str">
        <x:v>3 pages</x:v>
      </x:c>
      <x:c r="I586" s="35" t="str">
        <x:v>clean lender PDF</x:v>
      </x:c>
      <x:c r="J586" s="20" t="str">
        <x:v>P028</x:v>
      </x:c>
      <x:c r="K586" s="20" t="str"/>
      <x:c r="L586" s="20" t="str"/>
      <x:c r="M586" s="20" t="str">
        <x:v>FIN-01245</x:v>
      </x:c>
      <x:c r="N586" s="35" t="str">
        <x:v>loan; due date; payment; principal; interest; escrow; ending principal balance</x:v>
      </x:c>
      <x:c r="O586" s="35" t="str">
        <x:v>principal/interest changes monthly</x:v>
      </x:c>
      <x:c r="P586" s="35" t="str">
        <x:v>Verify or enter a different loan payment manually from the other client.</x:v>
      </x:c>
      <x:c r="Q586" s="35" t="str">
        <x:v>Synthetic QA only; no real people, accounts, signatures, or properties</x:v>
      </x:c>
    </x:row>
    <x:row r="587">
      <x:c r="A587" s="20" t="str">
        <x:v>SCN-0584</x:v>
      </x:c>
      <x:c r="B587" s="23" t="n">
        <x:v>46527</x:v>
      </x:c>
      <x:c r="C587" s="20" t="str">
        <x:v>scn-0584-loan-payment-ln029-202705.pdf</x:v>
      </x:c>
      <x:c r="D587" s="20" t="str">
        <x:v>Monthly mortgage statement</x:v>
      </x:c>
      <x:c r="E587" s="20" t="str">
        <x:v>Loan payment / Property document</x:v>
      </x:c>
      <x:c r="F587" s="35" t="str">
        <x:v>Attach and match to existing loan; probe typed extraction of principal/interest</x:v>
      </x:c>
      <x:c r="G587" s="20" t="str">
        <x:v>PDF</x:v>
      </x:c>
      <x:c r="H587" s="20" t="str">
        <x:v>3 pages</x:v>
      </x:c>
      <x:c r="I587" s="35" t="str">
        <x:v>clean lender PDF</x:v>
      </x:c>
      <x:c r="J587" s="20" t="str">
        <x:v>P029</x:v>
      </x:c>
      <x:c r="K587" s="20" t="str"/>
      <x:c r="L587" s="20" t="str"/>
      <x:c r="M587" s="20" t="str">
        <x:v>FIN-01246</x:v>
      </x:c>
      <x:c r="N587" s="35" t="str">
        <x:v>loan; due date; payment; principal; interest; escrow; ending principal balance</x:v>
      </x:c>
      <x:c r="O587" s="35" t="str">
        <x:v>principal/interest changes monthly</x:v>
      </x:c>
      <x:c r="P587" s="35" t="str">
        <x:v>Verify or enter a different loan payment manually from the other client.</x:v>
      </x:c>
      <x:c r="Q587" s="35" t="str">
        <x:v>Synthetic QA only; no real people, accounts, signatures, or properties</x:v>
      </x:c>
    </x:row>
    <x:row r="588">
      <x:c r="A588" s="20" t="str">
        <x:v>SCN-0585</x:v>
      </x:c>
      <x:c r="B588" s="23" t="n">
        <x:v>46538</x:v>
      </x:c>
      <x:c r="C588" s="20" t="str">
        <x:v>scn-0585-bank-statement-2027-05.pdf</x:v>
      </x:c>
      <x:c r="D588" s="20" t="str">
        <x:v>Operating bank statement</x:v>
      </x:c>
      <x:c r="E588" s="20" t="str">
        <x:v>Banking import</x:v>
      </x:c>
      <x:c r="F588" s="35" t="str">
        <x:v>Bank statement/import candidate; manually import structured transactions if PDF scan is unsupported</x:v>
      </x:c>
      <x:c r="G588" s="20" t="str">
        <x:v>PDF</x:v>
      </x:c>
      <x:c r="H588" s="20" t="str">
        <x:v>8-12 pages</x:v>
      </x:c>
      <x:c r="I588" s="35" t="str">
        <x:v>clean bank PDF with synthetic account ending 4242</x:v>
      </x:c>
      <x:c r="J588" s="20" t="str"/>
      <x:c r="K588" s="20" t="str"/>
      <x:c r="L588" s="20" t="str"/>
      <x:c r="M588" s="20" t="str"/>
      <x:c r="N588" s="35" t="str">
        <x:v>statement period; opening balance; deposits; withdrawals; fees; ending balance; transaction references</x:v>
      </x:c>
      <x:c r="O588" s="35" t="str">
        <x:v>one pending item in March and one duplicate feed row in September</x:v>
      </x:c>
      <x:c r="P588" s="35" t="str">
        <x:v>Use Banking review/match on web and mobile; manually enter one unmatched bank fee.</x:v>
      </x:c>
      <x:c r="Q588" s="35" t="str">
        <x:v>Synthetic QA only; no real people, accounts, signatures, or properties</x:v>
      </x:c>
    </x:row>
    <x:row r="589">
      <x:c r="A589" s="20" t="str">
        <x:v>SCN-0586</x:v>
      </x:c>
      <x:c r="B589" s="23" t="n">
        <x:v>46553</x:v>
      </x:c>
      <x:c r="C589" s="20" t="str">
        <x:v>scn-0586-expense-20270615-1121.pdf</x:v>
      </x:c>
      <x:c r="D589" s="20" t="str">
        <x:v>Vendor invoice / receipt</x:v>
      </x:c>
      <x:c r="E589" s="20" t="str">
        <x:v>Expense</x:v>
      </x:c>
      <x:c r="F589" s="35" t="str">
        <x:v>Direct scan draft with property/unit/work-order context</x:v>
      </x:c>
      <x:c r="G589" s="20" t="str">
        <x:v>PDF</x:v>
      </x:c>
      <x:c r="H589" s="20" t="str">
        <x:v>1-3 pages</x:v>
      </x:c>
      <x:c r="I589" s="35" t="str">
        <x:v>phone photo with shadow</x:v>
      </x:c>
      <x:c r="J589" s="20" t="str">
        <x:v>P021</x:v>
      </x:c>
      <x:c r="K589" s="20" t="str"/>
      <x:c r="L589" s="20" t="str"/>
      <x:c r="M589" s="20" t="str">
        <x:v>FIN-01252</x:v>
      </x:c>
      <x:c r="N589" s="35" t="str">
        <x:v>vendor; invoice number; date; subtotal; tax; total; category; property; unit; line items; payment method</x:v>
      </x:c>
      <x:c r="O589" s="35" t="str"/>
      <x:c r="P589" s="35" t="str">
        <x:v>Create a different expense of the same category through the equivalent manual form on the other client.</x:v>
      </x:c>
      <x:c r="Q589" s="35" t="str">
        <x:v>Synthetic QA only; no real people, accounts, signatures, or properties</x:v>
      </x:c>
    </x:row>
    <x:row r="590">
      <x:c r="A590" s="20" t="str">
        <x:v>SCN-0587</x:v>
      </x:c>
      <x:c r="B590" s="23" t="n">
        <x:v>46553</x:v>
      </x:c>
      <x:c r="C590" s="20" t="str">
        <x:v>scn-0587-expense-20270615-1122.jpg</x:v>
      </x:c>
      <x:c r="D590" s="20" t="str">
        <x:v>Vendor invoice / receipt</x:v>
      </x:c>
      <x:c r="E590" s="20" t="str">
        <x:v>Expense</x:v>
      </x:c>
      <x:c r="F590" s="35" t="str">
        <x:v>Direct scan draft with property/unit/work-order context</x:v>
      </x:c>
      <x:c r="G590" s="20" t="str">
        <x:v>Camera JPEG</x:v>
      </x:c>
      <x:c r="H590" s="20" t="str">
        <x:v>1-3 pages</x:v>
      </x:c>
      <x:c r="I590" s="35" t="str">
        <x:v>clean emailed invoice</x:v>
      </x:c>
      <x:c r="J590" s="20" t="str">
        <x:v>P022</x:v>
      </x:c>
      <x:c r="K590" s="20" t="str"/>
      <x:c r="L590" s="20" t="str"/>
      <x:c r="M590" s="20" t="str">
        <x:v>FIN-01253</x:v>
      </x:c>
      <x:c r="N590" s="35" t="str">
        <x:v>vendor; invoice number; date; subtotal; tax; total; category; property; unit; line items; payment method</x:v>
      </x:c>
      <x:c r="O590" s="35" t="str">
        <x:v>split tax/line items; duplicate invoice number</x:v>
      </x:c>
      <x:c r="P590" s="35" t="str">
        <x:v>Create a different expense of the same category through the equivalent manual form on the other client.</x:v>
      </x:c>
      <x:c r="Q590" s="35" t="str">
        <x:v>Synthetic QA only; no real people, accounts, signatures, or properties</x:v>
      </x:c>
    </x:row>
    <x:row r="591">
      <x:c r="A591" s="20" t="str">
        <x:v>SCN-0588</x:v>
      </x:c>
      <x:c r="B591" s="23" t="n">
        <x:v>46553</x:v>
      </x:c>
      <x:c r="C591" s="20" t="str">
        <x:v>scn-0588-expense-20270615-1123.pdf</x:v>
      </x:c>
      <x:c r="D591" s="20" t="str">
        <x:v>Vendor invoice / receipt</x:v>
      </x:c>
      <x:c r="E591" s="20" t="str">
        <x:v>Expense</x:v>
      </x:c>
      <x:c r="F591" s="35" t="str">
        <x:v>Direct scan draft with property/unit/work-order context</x:v>
      </x:c>
      <x:c r="G591" s="20" t="str">
        <x:v>PDF</x:v>
      </x:c>
      <x:c r="H591" s="20" t="str">
        <x:v>1-3 pages</x:v>
      </x:c>
      <x:c r="I591" s="35" t="str">
        <x:v>crumpled thermal receipt</x:v>
      </x:c>
      <x:c r="J591" s="20" t="str">
        <x:v>P023</x:v>
      </x:c>
      <x:c r="K591" s="20" t="str"/>
      <x:c r="L591" s="20" t="str"/>
      <x:c r="M591" s="20" t="str">
        <x:v>FIN-01254</x:v>
      </x:c>
      <x:c r="N591" s="35" t="str">
        <x:v>vendor; invoice number; date; subtotal; tax; total; category; property; unit; line items; payment method</x:v>
      </x:c>
      <x:c r="O591" s="35" t="str"/>
      <x:c r="P591" s="35" t="str">
        <x:v>Create a different expense of the same category through the equivalent manual form on the other client.</x:v>
      </x:c>
      <x:c r="Q591" s="35" t="str">
        <x:v>Synthetic QA only; no real people, accounts, signatures, or properties</x:v>
      </x:c>
    </x:row>
    <x:row r="592">
      <x:c r="A592" s="20" t="str">
        <x:v>SCN-0589</x:v>
      </x:c>
      <x:c r="B592" s="23" t="n">
        <x:v>46553</x:v>
      </x:c>
      <x:c r="C592" s="20" t="str">
        <x:v>scn-0589-expense-20270615-1124.pdf</x:v>
      </x:c>
      <x:c r="D592" s="20" t="str">
        <x:v>Vendor invoice / receipt</x:v>
      </x:c>
      <x:c r="E592" s="20" t="str">
        <x:v>Expense</x:v>
      </x:c>
      <x:c r="F592" s="35" t="str">
        <x:v>Direct scan draft with property/unit/work-order context</x:v>
      </x:c>
      <x:c r="G592" s="20" t="str">
        <x:v>PDF</x:v>
      </x:c>
      <x:c r="H592" s="20" t="str">
        <x:v>1-3 pages</x:v>
      </x:c>
      <x:c r="I592" s="35" t="str">
        <x:v>phone photo with shadow</x:v>
      </x:c>
      <x:c r="J592" s="20" t="str">
        <x:v>P024</x:v>
      </x:c>
      <x:c r="K592" s="20" t="str"/>
      <x:c r="L592" s="20" t="str"/>
      <x:c r="M592" s="20" t="str">
        <x:v>FIN-01255</x:v>
      </x:c>
      <x:c r="N592" s="35" t="str">
        <x:v>vendor; invoice number; date; subtotal; tax; total; category; property; unit; line items; payment method</x:v>
      </x:c>
      <x:c r="O592" s="35" t="str"/>
      <x:c r="P592" s="35" t="str">
        <x:v>Create a different expense of the same category through the equivalent manual form on the other client.</x:v>
      </x:c>
      <x:c r="Q592" s="35" t="str">
        <x:v>Synthetic QA only; no real people, accounts, signatures, or properties</x:v>
      </x:c>
    </x:row>
    <x:row r="593">
      <x:c r="A593" s="20" t="str">
        <x:v>SCN-0590</x:v>
      </x:c>
      <x:c r="B593" s="23" t="n">
        <x:v>46553</x:v>
      </x:c>
      <x:c r="C593" s="20" t="str">
        <x:v>scn-0590-expense-20270615-1126.pdf</x:v>
      </x:c>
      <x:c r="D593" s="20" t="str">
        <x:v>Vendor invoice / receipt</x:v>
      </x:c>
      <x:c r="E593" s="20" t="str">
        <x:v>Expense</x:v>
      </x:c>
      <x:c r="F593" s="35" t="str">
        <x:v>Direct scan draft with property/unit/work-order context</x:v>
      </x:c>
      <x:c r="G593" s="20" t="str">
        <x:v>PDF</x:v>
      </x:c>
      <x:c r="H593" s="20" t="str">
        <x:v>1-3 pages</x:v>
      </x:c>
      <x:c r="I593" s="35" t="str">
        <x:v>crumpled thermal receipt</x:v>
      </x:c>
      <x:c r="J593" s="20" t="str">
        <x:v>P026</x:v>
      </x:c>
      <x:c r="K593" s="20" t="str"/>
      <x:c r="L593" s="20" t="str"/>
      <x:c r="M593" s="20" t="str">
        <x:v>FIN-01257</x:v>
      </x:c>
      <x:c r="N593" s="35" t="str">
        <x:v>vendor; invoice number; date; subtotal; tax; total; category; property; unit; line items; payment method</x:v>
      </x:c>
      <x:c r="O593" s="35" t="str"/>
      <x:c r="P593" s="35" t="str">
        <x:v>Create a different expense of the same category through the equivalent manual form on the other client.</x:v>
      </x:c>
      <x:c r="Q593" s="35" t="str">
        <x:v>Synthetic QA only; no real people, accounts, signatures, or properties</x:v>
      </x:c>
    </x:row>
    <x:row r="594">
      <x:c r="A594" s="20" t="str">
        <x:v>SCN-0591</x:v>
      </x:c>
      <x:c r="B594" s="23" t="n">
        <x:v>46553</x:v>
      </x:c>
      <x:c r="C594" s="20" t="str">
        <x:v>scn-0591-expense-20270615-1127.pdf</x:v>
      </x:c>
      <x:c r="D594" s="20" t="str">
        <x:v>Vendor invoice / receipt</x:v>
      </x:c>
      <x:c r="E594" s="20" t="str">
        <x:v>Expense</x:v>
      </x:c>
      <x:c r="F594" s="35" t="str">
        <x:v>Direct scan draft with property/unit/work-order context</x:v>
      </x:c>
      <x:c r="G594" s="20" t="str">
        <x:v>PDF</x:v>
      </x:c>
      <x:c r="H594" s="20" t="str">
        <x:v>1-3 pages</x:v>
      </x:c>
      <x:c r="I594" s="35" t="str">
        <x:v>phone photo with shadow</x:v>
      </x:c>
      <x:c r="J594" s="20" t="str">
        <x:v>P027</x:v>
      </x:c>
      <x:c r="K594" s="20" t="str"/>
      <x:c r="L594" s="20" t="str"/>
      <x:c r="M594" s="20" t="str">
        <x:v>FIN-01258</x:v>
      </x:c>
      <x:c r="N594" s="35" t="str">
        <x:v>vendor; invoice number; date; subtotal; tax; total; category; property; unit; line items; payment method</x:v>
      </x:c>
      <x:c r="O594" s="35" t="str"/>
      <x:c r="P594" s="35" t="str">
        <x:v>Create a different expense of the same category through the equivalent manual form on the other client.</x:v>
      </x:c>
      <x:c r="Q594" s="35" t="str">
        <x:v>Synthetic QA only; no real people, accounts, signatures, or properties</x:v>
      </x:c>
    </x:row>
    <x:row r="595">
      <x:c r="A595" s="20" t="str">
        <x:v>SCN-0592</x:v>
      </x:c>
      <x:c r="B595" s="23" t="n">
        <x:v>46553</x:v>
      </x:c>
      <x:c r="C595" s="20" t="str">
        <x:v>scn-0592-expense-20270615-1128.jpg</x:v>
      </x:c>
      <x:c r="D595" s="20" t="str">
        <x:v>Vendor invoice / receipt</x:v>
      </x:c>
      <x:c r="E595" s="20" t="str">
        <x:v>Expense</x:v>
      </x:c>
      <x:c r="F595" s="35" t="str">
        <x:v>Direct scan draft with property/unit/work-order context</x:v>
      </x:c>
      <x:c r="G595" s="20" t="str">
        <x:v>Camera JPEG</x:v>
      </x:c>
      <x:c r="H595" s="20" t="str">
        <x:v>1-3 pages</x:v>
      </x:c>
      <x:c r="I595" s="35" t="str">
        <x:v>clean emailed invoice</x:v>
      </x:c>
      <x:c r="J595" s="20" t="str">
        <x:v>P028</x:v>
      </x:c>
      <x:c r="K595" s="20" t="str"/>
      <x:c r="L595" s="20" t="str"/>
      <x:c r="M595" s="20" t="str">
        <x:v>FIN-01259</x:v>
      </x:c>
      <x:c r="N595" s="35" t="str">
        <x:v>vendor; invoice number; date; subtotal; tax; total; category; property; unit; line items; payment method</x:v>
      </x:c>
      <x:c r="O595" s="35" t="str"/>
      <x:c r="P595" s="35" t="str">
        <x:v>Create a different expense of the same category through the equivalent manual form on the other client.</x:v>
      </x:c>
      <x:c r="Q595" s="35" t="str">
        <x:v>Synthetic QA only; no real people, accounts, signatures, or properties</x:v>
      </x:c>
    </x:row>
    <x:row r="596">
      <x:c r="A596" s="20" t="str">
        <x:v>SCN-0593</x:v>
      </x:c>
      <x:c r="B596" s="23" t="n">
        <x:v>46553</x:v>
      </x:c>
      <x:c r="C596" s="20" t="str">
        <x:v>scn-0593-expense-20270615-1129.pdf</x:v>
      </x:c>
      <x:c r="D596" s="20" t="str">
        <x:v>Vendor invoice / receipt</x:v>
      </x:c>
      <x:c r="E596" s="20" t="str">
        <x:v>Expense</x:v>
      </x:c>
      <x:c r="F596" s="35" t="str">
        <x:v>Direct scan draft with property/unit/work-order context</x:v>
      </x:c>
      <x:c r="G596" s="20" t="str">
        <x:v>PDF</x:v>
      </x:c>
      <x:c r="H596" s="20" t="str">
        <x:v>1-3 pages</x:v>
      </x:c>
      <x:c r="I596" s="35" t="str">
        <x:v>crumpled thermal receipt</x:v>
      </x:c>
      <x:c r="J596" s="20" t="str">
        <x:v>P029</x:v>
      </x:c>
      <x:c r="K596" s="20" t="str"/>
      <x:c r="L596" s="20" t="str"/>
      <x:c r="M596" s="20" t="str">
        <x:v>FIN-01260</x:v>
      </x:c>
      <x:c r="N596" s="35" t="str">
        <x:v>vendor; invoice number; date; subtotal; tax; total; category; property; unit; line items; payment method</x:v>
      </x:c>
      <x:c r="O596" s="35" t="str"/>
      <x:c r="P596" s="35" t="str">
        <x:v>Create a different expense of the same category through the equivalent manual form on the other client.</x:v>
      </x:c>
      <x:c r="Q596" s="35" t="str">
        <x:v>Synthetic QA only; no real people, accounts, signatures, or properties</x:v>
      </x:c>
    </x:row>
    <x:row r="597">
      <x:c r="A597" s="20" t="str">
        <x:v>SCN-0594</x:v>
      </x:c>
      <x:c r="B597" s="23" t="n">
        <x:v>46558</x:v>
      </x:c>
      <x:c r="C597" s="20" t="str">
        <x:v>scn-0594-loan-payment-ln001-202706.pdf</x:v>
      </x:c>
      <x:c r="D597" s="20" t="str">
        <x:v>Monthly mortgage statement</x:v>
      </x:c>
      <x:c r="E597" s="20" t="str">
        <x:v>Loan payment / Property document</x:v>
      </x:c>
      <x:c r="F597" s="35" t="str">
        <x:v>Attach and match to existing loan; probe typed extraction of principal/interest</x:v>
      </x:c>
      <x:c r="G597" s="20" t="str">
        <x:v>PDF</x:v>
      </x:c>
      <x:c r="H597" s="20" t="str">
        <x:v>3 pages</x:v>
      </x:c>
      <x:c r="I597" s="35" t="str">
        <x:v>clean lender PDF</x:v>
      </x:c>
      <x:c r="J597" s="20" t="str">
        <x:v>P001</x:v>
      </x:c>
      <x:c r="K597" s="20" t="str"/>
      <x:c r="L597" s="20" t="str"/>
      <x:c r="M597" s="20" t="str">
        <x:v>FIN-01262</x:v>
      </x:c>
      <x:c r="N597" s="35" t="str">
        <x:v>loan; due date; payment; principal; interest; escrow; ending principal balance</x:v>
      </x:c>
      <x:c r="O597" s="35" t="str">
        <x:v>principal/interest changes monthly</x:v>
      </x:c>
      <x:c r="P597" s="35" t="str">
        <x:v>Verify or enter a different loan payment manually from the other client.</x:v>
      </x:c>
      <x:c r="Q597" s="35" t="str">
        <x:v>Synthetic QA only; no real people, accounts, signatures, or properties</x:v>
      </x:c>
    </x:row>
    <x:row r="598">
      <x:c r="A598" s="20" t="str">
        <x:v>SCN-0595</x:v>
      </x:c>
      <x:c r="B598" s="23" t="n">
        <x:v>46558</x:v>
      </x:c>
      <x:c r="C598" s="20" t="str">
        <x:v>scn-0595-loan-payment-ln002-202706.pdf</x:v>
      </x:c>
      <x:c r="D598" s="20" t="str">
        <x:v>Monthly mortgage statement</x:v>
      </x:c>
      <x:c r="E598" s="20" t="str">
        <x:v>Loan payment / Property document</x:v>
      </x:c>
      <x:c r="F598" s="35" t="str">
        <x:v>Attach and match to existing loan; probe typed extraction of principal/interest</x:v>
      </x:c>
      <x:c r="G598" s="20" t="str">
        <x:v>PDF</x:v>
      </x:c>
      <x:c r="H598" s="20" t="str">
        <x:v>3 pages</x:v>
      </x:c>
      <x:c r="I598" s="35" t="str">
        <x:v>clean lender PDF</x:v>
      </x:c>
      <x:c r="J598" s="20" t="str">
        <x:v>P002</x:v>
      </x:c>
      <x:c r="K598" s="20" t="str"/>
      <x:c r="L598" s="20" t="str"/>
      <x:c r="M598" s="20" t="str">
        <x:v>FIN-01263</x:v>
      </x:c>
      <x:c r="N598" s="35" t="str">
        <x:v>loan; due date; payment; principal; interest; escrow; ending principal balance</x:v>
      </x:c>
      <x:c r="O598" s="35" t="str">
        <x:v>principal/interest changes monthly</x:v>
      </x:c>
      <x:c r="P598" s="35" t="str">
        <x:v>Verify or enter a different loan payment manually from the other client.</x:v>
      </x:c>
      <x:c r="Q598" s="35" t="str">
        <x:v>Synthetic QA only; no real people, accounts, signatures, or properties</x:v>
      </x:c>
    </x:row>
    <x:row r="599">
      <x:c r="A599" s="20" t="str">
        <x:v>SCN-0596</x:v>
      </x:c>
      <x:c r="B599" s="23" t="n">
        <x:v>46558</x:v>
      </x:c>
      <x:c r="C599" s="20" t="str">
        <x:v>scn-0596-loan-payment-ln004-202706.pdf</x:v>
      </x:c>
      <x:c r="D599" s="20" t="str">
        <x:v>Monthly mortgage statement</x:v>
      </x:c>
      <x:c r="E599" s="20" t="str">
        <x:v>Loan payment / Property document</x:v>
      </x:c>
      <x:c r="F599" s="35" t="str">
        <x:v>Attach and match to existing loan; probe typed extraction of principal/interest</x:v>
      </x:c>
      <x:c r="G599" s="20" t="str">
        <x:v>PDF</x:v>
      </x:c>
      <x:c r="H599" s="20" t="str">
        <x:v>3 pages</x:v>
      </x:c>
      <x:c r="I599" s="35" t="str">
        <x:v>clean lender PDF</x:v>
      </x:c>
      <x:c r="J599" s="20" t="str">
        <x:v>P004</x:v>
      </x:c>
      <x:c r="K599" s="20" t="str"/>
      <x:c r="L599" s="20" t="str"/>
      <x:c r="M599" s="20" t="str">
        <x:v>FIN-01264</x:v>
      </x:c>
      <x:c r="N599" s="35" t="str">
        <x:v>loan; due date; payment; principal; interest; escrow; ending principal balance</x:v>
      </x:c>
      <x:c r="O599" s="35" t="str">
        <x:v>principal/interest changes monthly</x:v>
      </x:c>
      <x:c r="P599" s="35" t="str">
        <x:v>Verify or enter a different loan payment manually from the other client.</x:v>
      </x:c>
      <x:c r="Q599" s="35" t="str">
        <x:v>Synthetic QA only; no real people, accounts, signatures, or properties</x:v>
      </x:c>
    </x:row>
    <x:row r="600">
      <x:c r="A600" s="20" t="str">
        <x:v>SCN-0597</x:v>
      </x:c>
      <x:c r="B600" s="23" t="n">
        <x:v>46558</x:v>
      </x:c>
      <x:c r="C600" s="20" t="str">
        <x:v>scn-0597-loan-payment-ln005-202706.pdf</x:v>
      </x:c>
      <x:c r="D600" s="20" t="str">
        <x:v>Monthly mortgage statement</x:v>
      </x:c>
      <x:c r="E600" s="20" t="str">
        <x:v>Loan payment / Property document</x:v>
      </x:c>
      <x:c r="F600" s="35" t="str">
        <x:v>Attach and match to existing loan; probe typed extraction of principal/interest</x:v>
      </x:c>
      <x:c r="G600" s="20" t="str">
        <x:v>PDF</x:v>
      </x:c>
      <x:c r="H600" s="20" t="str">
        <x:v>3 pages</x:v>
      </x:c>
      <x:c r="I600" s="35" t="str">
        <x:v>clean lender PDF</x:v>
      </x:c>
      <x:c r="J600" s="20" t="str">
        <x:v>P005</x:v>
      </x:c>
      <x:c r="K600" s="20" t="str"/>
      <x:c r="L600" s="20" t="str"/>
      <x:c r="M600" s="20" t="str">
        <x:v>FIN-01265</x:v>
      </x:c>
      <x:c r="N600" s="35" t="str">
        <x:v>loan; due date; payment; principal; interest; escrow; ending principal balance</x:v>
      </x:c>
      <x:c r="O600" s="35" t="str">
        <x:v>principal/interest changes monthly</x:v>
      </x:c>
      <x:c r="P600" s="35" t="str">
        <x:v>Verify or enter a different loan payment manually from the other client.</x:v>
      </x:c>
      <x:c r="Q600" s="35" t="str">
        <x:v>Synthetic QA only; no real people, accounts, signatures, or properties</x:v>
      </x:c>
    </x:row>
    <x:row r="601">
      <x:c r="A601" s="20" t="str">
        <x:v>SCN-0598</x:v>
      </x:c>
      <x:c r="B601" s="23" t="n">
        <x:v>46558</x:v>
      </x:c>
      <x:c r="C601" s="20" t="str">
        <x:v>scn-0598-loan-payment-ln007-202706.pdf</x:v>
      </x:c>
      <x:c r="D601" s="20" t="str">
        <x:v>Monthly mortgage statement</x:v>
      </x:c>
      <x:c r="E601" s="20" t="str">
        <x:v>Loan payment / Property document</x:v>
      </x:c>
      <x:c r="F601" s="35" t="str">
        <x:v>Attach and match to existing loan; probe typed extraction of principal/interest</x:v>
      </x:c>
      <x:c r="G601" s="20" t="str">
        <x:v>PDF</x:v>
      </x:c>
      <x:c r="H601" s="20" t="str">
        <x:v>3 pages</x:v>
      </x:c>
      <x:c r="I601" s="35" t="str">
        <x:v>clean lender PDF</x:v>
      </x:c>
      <x:c r="J601" s="20" t="str">
        <x:v>P007</x:v>
      </x:c>
      <x:c r="K601" s="20" t="str"/>
      <x:c r="L601" s="20" t="str"/>
      <x:c r="M601" s="20" t="str">
        <x:v>FIN-01266</x:v>
      </x:c>
      <x:c r="N601" s="35" t="str">
        <x:v>loan; due date; payment; principal; interest; escrow; ending principal balance</x:v>
      </x:c>
      <x:c r="O601" s="35" t="str">
        <x:v>principal/interest changes monthly</x:v>
      </x:c>
      <x:c r="P601" s="35" t="str">
        <x:v>Verify or enter a different loan payment manually from the other client.</x:v>
      </x:c>
      <x:c r="Q601" s="35" t="str">
        <x:v>Synthetic QA only; no real people, accounts, signatures, or properties</x:v>
      </x:c>
    </x:row>
    <x:row r="602">
      <x:c r="A602" s="20" t="str">
        <x:v>SCN-0599</x:v>
      </x:c>
      <x:c r="B602" s="23" t="n">
        <x:v>46558</x:v>
      </x:c>
      <x:c r="C602" s="20" t="str">
        <x:v>scn-0599-loan-payment-ln008-202706.pdf</x:v>
      </x:c>
      <x:c r="D602" s="20" t="str">
        <x:v>Monthly mortgage statement</x:v>
      </x:c>
      <x:c r="E602" s="20" t="str">
        <x:v>Loan payment / Property document</x:v>
      </x:c>
      <x:c r="F602" s="35" t="str">
        <x:v>Attach and match to existing loan; probe typed extraction of principal/interest</x:v>
      </x:c>
      <x:c r="G602" s="20" t="str">
        <x:v>PDF</x:v>
      </x:c>
      <x:c r="H602" s="20" t="str">
        <x:v>3 pages</x:v>
      </x:c>
      <x:c r="I602" s="35" t="str">
        <x:v>clean lender PDF</x:v>
      </x:c>
      <x:c r="J602" s="20" t="str">
        <x:v>P008</x:v>
      </x:c>
      <x:c r="K602" s="20" t="str"/>
      <x:c r="L602" s="20" t="str"/>
      <x:c r="M602" s="20" t="str">
        <x:v>FIN-01267</x:v>
      </x:c>
      <x:c r="N602" s="35" t="str">
        <x:v>loan; due date; payment; principal; interest; escrow; ending principal balance</x:v>
      </x:c>
      <x:c r="O602" s="35" t="str">
        <x:v>principal/interest changes monthly</x:v>
      </x:c>
      <x:c r="P602" s="35" t="str">
        <x:v>Verify or enter a different loan payment manually from the other client.</x:v>
      </x:c>
      <x:c r="Q602" s="35" t="str">
        <x:v>Synthetic QA only; no real people, accounts, signatures, or properties</x:v>
      </x:c>
    </x:row>
    <x:row r="603">
      <x:c r="A603" s="20" t="str">
        <x:v>SCN-0600</x:v>
      </x:c>
      <x:c r="B603" s="23" t="n">
        <x:v>46558</x:v>
      </x:c>
      <x:c r="C603" s="20" t="str">
        <x:v>scn-0600-loan-payment-ln010-202706.pdf</x:v>
      </x:c>
      <x:c r="D603" s="20" t="str">
        <x:v>Monthly mortgage statement</x:v>
      </x:c>
      <x:c r="E603" s="20" t="str">
        <x:v>Loan payment / Property document</x:v>
      </x:c>
      <x:c r="F603" s="35" t="str">
        <x:v>Attach and match to existing loan; probe typed extraction of principal/interest</x:v>
      </x:c>
      <x:c r="G603" s="20" t="str">
        <x:v>PDF</x:v>
      </x:c>
      <x:c r="H603" s="20" t="str">
        <x:v>3 pages</x:v>
      </x:c>
      <x:c r="I603" s="35" t="str">
        <x:v>clean lender PDF</x:v>
      </x:c>
      <x:c r="J603" s="20" t="str">
        <x:v>P010</x:v>
      </x:c>
      <x:c r="K603" s="20" t="str"/>
      <x:c r="L603" s="20" t="str"/>
      <x:c r="M603" s="20" t="str">
        <x:v>FIN-01268</x:v>
      </x:c>
      <x:c r="N603" s="35" t="str">
        <x:v>loan; due date; payment; principal; interest; escrow; ending principal balance</x:v>
      </x:c>
      <x:c r="O603" s="35" t="str">
        <x:v>principal/interest changes monthly</x:v>
      </x:c>
      <x:c r="P603" s="35" t="str">
        <x:v>Verify or enter a different loan payment manually from the other client.</x:v>
      </x:c>
      <x:c r="Q603" s="35" t="str">
        <x:v>Synthetic QA only; no real people, accounts, signatures, or properties</x:v>
      </x:c>
    </x:row>
    <x:row r="604">
      <x:c r="A604" s="20" t="str">
        <x:v>SCN-0601</x:v>
      </x:c>
      <x:c r="B604" s="23" t="n">
        <x:v>46558</x:v>
      </x:c>
      <x:c r="C604" s="20" t="str">
        <x:v>scn-0601-loan-payment-ln011-202706.pdf</x:v>
      </x:c>
      <x:c r="D604" s="20" t="str">
        <x:v>Monthly mortgage statement</x:v>
      </x:c>
      <x:c r="E604" s="20" t="str">
        <x:v>Loan payment / Property document</x:v>
      </x:c>
      <x:c r="F604" s="35" t="str">
        <x:v>Attach and match to existing loan; probe typed extraction of principal/interest</x:v>
      </x:c>
      <x:c r="G604" s="20" t="str">
        <x:v>PDF</x:v>
      </x:c>
      <x:c r="H604" s="20" t="str">
        <x:v>3 pages</x:v>
      </x:c>
      <x:c r="I604" s="35" t="str">
        <x:v>clean lender PDF</x:v>
      </x:c>
      <x:c r="J604" s="20" t="str">
        <x:v>P011</x:v>
      </x:c>
      <x:c r="K604" s="20" t="str"/>
      <x:c r="L604" s="20" t="str"/>
      <x:c r="M604" s="20" t="str">
        <x:v>FIN-01269</x:v>
      </x:c>
      <x:c r="N604" s="35" t="str">
        <x:v>loan; due date; payment; principal; interest; escrow; ending principal balance</x:v>
      </x:c>
      <x:c r="O604" s="35" t="str">
        <x:v>principal/interest changes monthly</x:v>
      </x:c>
      <x:c r="P604" s="35" t="str">
        <x:v>Verify or enter a different loan payment manually from the other client.</x:v>
      </x:c>
      <x:c r="Q604" s="35" t="str">
        <x:v>Synthetic QA only; no real people, accounts, signatures, or properties</x:v>
      </x:c>
    </x:row>
    <x:row r="605">
      <x:c r="A605" s="20" t="str">
        <x:v>SCN-0602</x:v>
      </x:c>
      <x:c r="B605" s="23" t="n">
        <x:v>46558</x:v>
      </x:c>
      <x:c r="C605" s="20" t="str">
        <x:v>scn-0602-loan-payment-ln013-202706.pdf</x:v>
      </x:c>
      <x:c r="D605" s="20" t="str">
        <x:v>Monthly mortgage statement</x:v>
      </x:c>
      <x:c r="E605" s="20" t="str">
        <x:v>Loan payment / Property document</x:v>
      </x:c>
      <x:c r="F605" s="35" t="str">
        <x:v>Attach and match to existing loan; probe typed extraction of principal/interest</x:v>
      </x:c>
      <x:c r="G605" s="20" t="str">
        <x:v>PDF</x:v>
      </x:c>
      <x:c r="H605" s="20" t="str">
        <x:v>3 pages</x:v>
      </x:c>
      <x:c r="I605" s="35" t="str">
        <x:v>clean lender PDF</x:v>
      </x:c>
      <x:c r="J605" s="20" t="str">
        <x:v>P013</x:v>
      </x:c>
      <x:c r="K605" s="20" t="str"/>
      <x:c r="L605" s="20" t="str"/>
      <x:c r="M605" s="20" t="str">
        <x:v>FIN-01270</x:v>
      </x:c>
      <x:c r="N605" s="35" t="str">
        <x:v>loan; due date; payment; principal; interest; escrow; ending principal balance</x:v>
      </x:c>
      <x:c r="O605" s="35" t="str">
        <x:v>principal/interest changes monthly</x:v>
      </x:c>
      <x:c r="P605" s="35" t="str">
        <x:v>Verify or enter a different loan payment manually from the other client.</x:v>
      </x:c>
      <x:c r="Q605" s="35" t="str">
        <x:v>Synthetic QA only; no real people, accounts, signatures, or properties</x:v>
      </x:c>
    </x:row>
    <x:row r="606">
      <x:c r="A606" s="20" t="str">
        <x:v>SCN-0603</x:v>
      </x:c>
      <x:c r="B606" s="23" t="n">
        <x:v>46558</x:v>
      </x:c>
      <x:c r="C606" s="20" t="str">
        <x:v>scn-0603-loan-payment-ln014-202706.pdf</x:v>
      </x:c>
      <x:c r="D606" s="20" t="str">
        <x:v>Monthly mortgage statement</x:v>
      </x:c>
      <x:c r="E606" s="20" t="str">
        <x:v>Loan payment / Property document</x:v>
      </x:c>
      <x:c r="F606" s="35" t="str">
        <x:v>Attach and match to existing loan; probe typed extraction of principal/interest</x:v>
      </x:c>
      <x:c r="G606" s="20" t="str">
        <x:v>PDF</x:v>
      </x:c>
      <x:c r="H606" s="20" t="str">
        <x:v>3 pages</x:v>
      </x:c>
      <x:c r="I606" s="35" t="str">
        <x:v>clean lender PDF</x:v>
      </x:c>
      <x:c r="J606" s="20" t="str">
        <x:v>P014</x:v>
      </x:c>
      <x:c r="K606" s="20" t="str"/>
      <x:c r="L606" s="20" t="str"/>
      <x:c r="M606" s="20" t="str">
        <x:v>FIN-01271</x:v>
      </x:c>
      <x:c r="N606" s="35" t="str">
        <x:v>loan; due date; payment; principal; interest; escrow; ending principal balance</x:v>
      </x:c>
      <x:c r="O606" s="35" t="str">
        <x:v>principal/interest changes monthly</x:v>
      </x:c>
      <x:c r="P606" s="35" t="str">
        <x:v>Verify or enter a different loan payment manually from the other client.</x:v>
      </x:c>
      <x:c r="Q606" s="35" t="str">
        <x:v>Synthetic QA only; no real people, accounts, signatures, or properties</x:v>
      </x:c>
    </x:row>
    <x:row r="607">
      <x:c r="A607" s="20" t="str">
        <x:v>SCN-0604</x:v>
      </x:c>
      <x:c r="B607" s="23" t="n">
        <x:v>46558</x:v>
      </x:c>
      <x:c r="C607" s="20" t="str">
        <x:v>scn-0604-loan-payment-ln016-202706.pdf</x:v>
      </x:c>
      <x:c r="D607" s="20" t="str">
        <x:v>Monthly mortgage statement</x:v>
      </x:c>
      <x:c r="E607" s="20" t="str">
        <x:v>Loan payment / Property document</x:v>
      </x:c>
      <x:c r="F607" s="35" t="str">
        <x:v>Attach and match to existing loan; probe typed extraction of principal/interest</x:v>
      </x:c>
      <x:c r="G607" s="20" t="str">
        <x:v>PDF</x:v>
      </x:c>
      <x:c r="H607" s="20" t="str">
        <x:v>3 pages</x:v>
      </x:c>
      <x:c r="I607" s="35" t="str">
        <x:v>clean lender PDF</x:v>
      </x:c>
      <x:c r="J607" s="20" t="str">
        <x:v>P016</x:v>
      </x:c>
      <x:c r="K607" s="20" t="str"/>
      <x:c r="L607" s="20" t="str"/>
      <x:c r="M607" s="20" t="str">
        <x:v>FIN-01272</x:v>
      </x:c>
      <x:c r="N607" s="35" t="str">
        <x:v>loan; due date; payment; principal; interest; escrow; ending principal balance</x:v>
      </x:c>
      <x:c r="O607" s="35" t="str">
        <x:v>principal/interest changes monthly</x:v>
      </x:c>
      <x:c r="P607" s="35" t="str">
        <x:v>Verify or enter a different loan payment manually from the other client.</x:v>
      </x:c>
      <x:c r="Q607" s="35" t="str">
        <x:v>Synthetic QA only; no real people, accounts, signatures, or properties</x:v>
      </x:c>
    </x:row>
    <x:row r="608">
      <x:c r="A608" s="20" t="str">
        <x:v>SCN-0605</x:v>
      </x:c>
      <x:c r="B608" s="23" t="n">
        <x:v>46558</x:v>
      </x:c>
      <x:c r="C608" s="20" t="str">
        <x:v>scn-0605-loan-payment-ln017-202706.pdf</x:v>
      </x:c>
      <x:c r="D608" s="20" t="str">
        <x:v>Monthly mortgage statement</x:v>
      </x:c>
      <x:c r="E608" s="20" t="str">
        <x:v>Loan payment / Property document</x:v>
      </x:c>
      <x:c r="F608" s="35" t="str">
        <x:v>Attach and match to existing loan; probe typed extraction of principal/interest</x:v>
      </x:c>
      <x:c r="G608" s="20" t="str">
        <x:v>PDF</x:v>
      </x:c>
      <x:c r="H608" s="20" t="str">
        <x:v>3 pages</x:v>
      </x:c>
      <x:c r="I608" s="35" t="str">
        <x:v>clean lender PDF</x:v>
      </x:c>
      <x:c r="J608" s="20" t="str">
        <x:v>P017</x:v>
      </x:c>
      <x:c r="K608" s="20" t="str"/>
      <x:c r="L608" s="20" t="str"/>
      <x:c r="M608" s="20" t="str">
        <x:v>FIN-01273</x:v>
      </x:c>
      <x:c r="N608" s="35" t="str">
        <x:v>loan; due date; payment; principal; interest; escrow; ending principal balance</x:v>
      </x:c>
      <x:c r="O608" s="35" t="str">
        <x:v>principal/interest changes monthly</x:v>
      </x:c>
      <x:c r="P608" s="35" t="str">
        <x:v>Verify or enter a different loan payment manually from the other client.</x:v>
      </x:c>
      <x:c r="Q608" s="35" t="str">
        <x:v>Synthetic QA only; no real people, accounts, signatures, or properties</x:v>
      </x:c>
    </x:row>
    <x:row r="609">
      <x:c r="A609" s="20" t="str">
        <x:v>SCN-0606</x:v>
      </x:c>
      <x:c r="B609" s="23" t="n">
        <x:v>46558</x:v>
      </x:c>
      <x:c r="C609" s="20" t="str">
        <x:v>scn-0606-loan-payment-ln019-202706.pdf</x:v>
      </x:c>
      <x:c r="D609" s="20" t="str">
        <x:v>Monthly mortgage statement</x:v>
      </x:c>
      <x:c r="E609" s="20" t="str">
        <x:v>Loan payment / Property document</x:v>
      </x:c>
      <x:c r="F609" s="35" t="str">
        <x:v>Attach and match to existing loan; probe typed extraction of principal/interest</x:v>
      </x:c>
      <x:c r="G609" s="20" t="str">
        <x:v>PDF</x:v>
      </x:c>
      <x:c r="H609" s="20" t="str">
        <x:v>3 pages</x:v>
      </x:c>
      <x:c r="I609" s="35" t="str">
        <x:v>clean lender PDF</x:v>
      </x:c>
      <x:c r="J609" s="20" t="str">
        <x:v>P019</x:v>
      </x:c>
      <x:c r="K609" s="20" t="str"/>
      <x:c r="L609" s="20" t="str"/>
      <x:c r="M609" s="20" t="str">
        <x:v>FIN-01274</x:v>
      </x:c>
      <x:c r="N609" s="35" t="str">
        <x:v>loan; due date; payment; principal; interest; escrow; ending principal balance</x:v>
      </x:c>
      <x:c r="O609" s="35" t="str">
        <x:v>principal/interest changes monthly</x:v>
      </x:c>
      <x:c r="P609" s="35" t="str">
        <x:v>Verify or enter a different loan payment manually from the other client.</x:v>
      </x:c>
      <x:c r="Q609" s="35" t="str">
        <x:v>Synthetic QA only; no real people, accounts, signatures, or properties</x:v>
      </x:c>
    </x:row>
    <x:row r="610">
      <x:c r="A610" s="20" t="str">
        <x:v>SCN-0607</x:v>
      </x:c>
      <x:c r="B610" s="23" t="n">
        <x:v>46558</x:v>
      </x:c>
      <x:c r="C610" s="20" t="str">
        <x:v>scn-0607-loan-payment-ln020-202706.pdf</x:v>
      </x:c>
      <x:c r="D610" s="20" t="str">
        <x:v>Monthly mortgage statement</x:v>
      </x:c>
      <x:c r="E610" s="20" t="str">
        <x:v>Loan payment / Property document</x:v>
      </x:c>
      <x:c r="F610" s="35" t="str">
        <x:v>Attach and match to existing loan; probe typed extraction of principal/interest</x:v>
      </x:c>
      <x:c r="G610" s="20" t="str">
        <x:v>PDF</x:v>
      </x:c>
      <x:c r="H610" s="20" t="str">
        <x:v>3 pages</x:v>
      </x:c>
      <x:c r="I610" s="35" t="str">
        <x:v>clean lender PDF</x:v>
      </x:c>
      <x:c r="J610" s="20" t="str">
        <x:v>P020</x:v>
      </x:c>
      <x:c r="K610" s="20" t="str"/>
      <x:c r="L610" s="20" t="str"/>
      <x:c r="M610" s="20" t="str">
        <x:v>FIN-01275</x:v>
      </x:c>
      <x:c r="N610" s="35" t="str">
        <x:v>loan; due date; payment; principal; interest; escrow; ending principal balance</x:v>
      </x:c>
      <x:c r="O610" s="35" t="str">
        <x:v>principal/interest changes monthly</x:v>
      </x:c>
      <x:c r="P610" s="35" t="str">
        <x:v>Verify or enter a different loan payment manually from the other client.</x:v>
      </x:c>
      <x:c r="Q610" s="35" t="str">
        <x:v>Synthetic QA only; no real people, accounts, signatures, or properties</x:v>
      </x:c>
    </x:row>
    <x:row r="611">
      <x:c r="A611" s="20" t="str">
        <x:v>SCN-0608</x:v>
      </x:c>
      <x:c r="B611" s="23" t="n">
        <x:v>46558</x:v>
      </x:c>
      <x:c r="C611" s="20" t="str">
        <x:v>scn-0608-loan-payment-ln022-202706.pdf</x:v>
      </x:c>
      <x:c r="D611" s="20" t="str">
        <x:v>Monthly mortgage statement</x:v>
      </x:c>
      <x:c r="E611" s="20" t="str">
        <x:v>Loan payment / Property document</x:v>
      </x:c>
      <x:c r="F611" s="35" t="str">
        <x:v>Attach and match to existing loan; probe typed extraction of principal/interest</x:v>
      </x:c>
      <x:c r="G611" s="20" t="str">
        <x:v>PDF</x:v>
      </x:c>
      <x:c r="H611" s="20" t="str">
        <x:v>3 pages</x:v>
      </x:c>
      <x:c r="I611" s="35" t="str">
        <x:v>clean lender PDF</x:v>
      </x:c>
      <x:c r="J611" s="20" t="str">
        <x:v>P022</x:v>
      </x:c>
      <x:c r="K611" s="20" t="str"/>
      <x:c r="L611" s="20" t="str"/>
      <x:c r="M611" s="20" t="str">
        <x:v>FIN-01276</x:v>
      </x:c>
      <x:c r="N611" s="35" t="str">
        <x:v>loan; due date; payment; principal; interest; escrow; ending principal balance</x:v>
      </x:c>
      <x:c r="O611" s="35" t="str">
        <x:v>principal/interest changes monthly</x:v>
      </x:c>
      <x:c r="P611" s="35" t="str">
        <x:v>Verify or enter a different loan payment manually from the other client.</x:v>
      </x:c>
      <x:c r="Q611" s="35" t="str">
        <x:v>Synthetic QA only; no real people, accounts, signatures, or properties</x:v>
      </x:c>
    </x:row>
    <x:row r="612">
      <x:c r="A612" s="20" t="str">
        <x:v>SCN-0609</x:v>
      </x:c>
      <x:c r="B612" s="23" t="n">
        <x:v>46558</x:v>
      </x:c>
      <x:c r="C612" s="20" t="str">
        <x:v>scn-0609-loan-payment-ln023-202706.pdf</x:v>
      </x:c>
      <x:c r="D612" s="20" t="str">
        <x:v>Monthly mortgage statement</x:v>
      </x:c>
      <x:c r="E612" s="20" t="str">
        <x:v>Loan payment / Property document</x:v>
      </x:c>
      <x:c r="F612" s="35" t="str">
        <x:v>Attach and match to existing loan; probe typed extraction of principal/interest</x:v>
      </x:c>
      <x:c r="G612" s="20" t="str">
        <x:v>PDF</x:v>
      </x:c>
      <x:c r="H612" s="20" t="str">
        <x:v>3 pages</x:v>
      </x:c>
      <x:c r="I612" s="35" t="str">
        <x:v>clean lender PDF</x:v>
      </x:c>
      <x:c r="J612" s="20" t="str">
        <x:v>P023</x:v>
      </x:c>
      <x:c r="K612" s="20" t="str"/>
      <x:c r="L612" s="20" t="str"/>
      <x:c r="M612" s="20" t="str">
        <x:v>FIN-01277</x:v>
      </x:c>
      <x:c r="N612" s="35" t="str">
        <x:v>loan; due date; payment; principal; interest; escrow; ending principal balance</x:v>
      </x:c>
      <x:c r="O612" s="35" t="str">
        <x:v>principal/interest changes monthly</x:v>
      </x:c>
      <x:c r="P612" s="35" t="str">
        <x:v>Verify or enter a different loan payment manually from the other client.</x:v>
      </x:c>
      <x:c r="Q612" s="35" t="str">
        <x:v>Synthetic QA only; no real people, accounts, signatures, or properties</x:v>
      </x:c>
    </x:row>
    <x:row r="613">
      <x:c r="A613" s="20" t="str">
        <x:v>SCN-0610</x:v>
      </x:c>
      <x:c r="B613" s="23" t="n">
        <x:v>46558</x:v>
      </x:c>
      <x:c r="C613" s="20" t="str">
        <x:v>scn-0610-loan-payment-ln025-202706.pdf</x:v>
      </x:c>
      <x:c r="D613" s="20" t="str">
        <x:v>Monthly mortgage statement</x:v>
      </x:c>
      <x:c r="E613" s="20" t="str">
        <x:v>Loan payment / Property document</x:v>
      </x:c>
      <x:c r="F613" s="35" t="str">
        <x:v>Attach and match to existing loan; probe typed extraction of principal/interest</x:v>
      </x:c>
      <x:c r="G613" s="20" t="str">
        <x:v>PDF</x:v>
      </x:c>
      <x:c r="H613" s="20" t="str">
        <x:v>3 pages</x:v>
      </x:c>
      <x:c r="I613" s="35" t="str">
        <x:v>clean lender PDF</x:v>
      </x:c>
      <x:c r="J613" s="20" t="str">
        <x:v>P025</x:v>
      </x:c>
      <x:c r="K613" s="20" t="str"/>
      <x:c r="L613" s="20" t="str"/>
      <x:c r="M613" s="20" t="str">
        <x:v>FIN-01278</x:v>
      </x:c>
      <x:c r="N613" s="35" t="str">
        <x:v>loan; due date; payment; principal; interest; escrow; ending principal balance</x:v>
      </x:c>
      <x:c r="O613" s="35" t="str">
        <x:v>principal/interest changes monthly</x:v>
      </x:c>
      <x:c r="P613" s="35" t="str">
        <x:v>Verify or enter a different loan payment manually from the other client.</x:v>
      </x:c>
      <x:c r="Q613" s="35" t="str">
        <x:v>Synthetic QA only; no real people, accounts, signatures, or properties</x:v>
      </x:c>
    </x:row>
    <x:row r="614">
      <x:c r="A614" s="20" t="str">
        <x:v>SCN-0611</x:v>
      </x:c>
      <x:c r="B614" s="23" t="n">
        <x:v>46558</x:v>
      </x:c>
      <x:c r="C614" s="20" t="str">
        <x:v>scn-0611-loan-payment-ln026-202706.pdf</x:v>
      </x:c>
      <x:c r="D614" s="20" t="str">
        <x:v>Monthly mortgage statement</x:v>
      </x:c>
      <x:c r="E614" s="20" t="str">
        <x:v>Loan payment / Property document</x:v>
      </x:c>
      <x:c r="F614" s="35" t="str">
        <x:v>Attach and match to existing loan; probe typed extraction of principal/interest</x:v>
      </x:c>
      <x:c r="G614" s="20" t="str">
        <x:v>PDF</x:v>
      </x:c>
      <x:c r="H614" s="20" t="str">
        <x:v>3 pages</x:v>
      </x:c>
      <x:c r="I614" s="35" t="str">
        <x:v>clean lender PDF</x:v>
      </x:c>
      <x:c r="J614" s="20" t="str">
        <x:v>P026</x:v>
      </x:c>
      <x:c r="K614" s="20" t="str"/>
      <x:c r="L614" s="20" t="str"/>
      <x:c r="M614" s="20" t="str">
        <x:v>FIN-01279</x:v>
      </x:c>
      <x:c r="N614" s="35" t="str">
        <x:v>loan; due date; payment; principal; interest; escrow; ending principal balance</x:v>
      </x:c>
      <x:c r="O614" s="35" t="str">
        <x:v>principal/interest changes monthly</x:v>
      </x:c>
      <x:c r="P614" s="35" t="str">
        <x:v>Verify or enter a different loan payment manually from the other client.</x:v>
      </x:c>
      <x:c r="Q614" s="35" t="str">
        <x:v>Synthetic QA only; no real people, accounts, signatures, or properties</x:v>
      </x:c>
    </x:row>
    <x:row r="615">
      <x:c r="A615" s="20" t="str">
        <x:v>SCN-0612</x:v>
      </x:c>
      <x:c r="B615" s="23" t="n">
        <x:v>46558</x:v>
      </x:c>
      <x:c r="C615" s="20" t="str">
        <x:v>scn-0612-loan-payment-ln028-202706.pdf</x:v>
      </x:c>
      <x:c r="D615" s="20" t="str">
        <x:v>Monthly mortgage statement</x:v>
      </x:c>
      <x:c r="E615" s="20" t="str">
        <x:v>Loan payment / Property document</x:v>
      </x:c>
      <x:c r="F615" s="35" t="str">
        <x:v>Attach and match to existing loan; probe typed extraction of principal/interest</x:v>
      </x:c>
      <x:c r="G615" s="20" t="str">
        <x:v>PDF</x:v>
      </x:c>
      <x:c r="H615" s="20" t="str">
        <x:v>3 pages</x:v>
      </x:c>
      <x:c r="I615" s="35" t="str">
        <x:v>clean lender PDF</x:v>
      </x:c>
      <x:c r="J615" s="20" t="str">
        <x:v>P028</x:v>
      </x:c>
      <x:c r="K615" s="20" t="str"/>
      <x:c r="L615" s="20" t="str"/>
      <x:c r="M615" s="20" t="str">
        <x:v>FIN-01280</x:v>
      </x:c>
      <x:c r="N615" s="35" t="str">
        <x:v>loan; due date; payment; principal; interest; escrow; ending principal balance</x:v>
      </x:c>
      <x:c r="O615" s="35" t="str">
        <x:v>principal/interest changes monthly</x:v>
      </x:c>
      <x:c r="P615" s="35" t="str">
        <x:v>Verify or enter a different loan payment manually from the other client.</x:v>
      </x:c>
      <x:c r="Q615" s="35" t="str">
        <x:v>Synthetic QA only; no real people, accounts, signatures, or properties</x:v>
      </x:c>
    </x:row>
    <x:row r="616">
      <x:c r="A616" s="20" t="str">
        <x:v>SCN-0613</x:v>
      </x:c>
      <x:c r="B616" s="23" t="n">
        <x:v>46558</x:v>
      </x:c>
      <x:c r="C616" s="20" t="str">
        <x:v>scn-0613-loan-payment-ln029-202706.pdf</x:v>
      </x:c>
      <x:c r="D616" s="20" t="str">
        <x:v>Monthly mortgage statement</x:v>
      </x:c>
      <x:c r="E616" s="20" t="str">
        <x:v>Loan payment / Property document</x:v>
      </x:c>
      <x:c r="F616" s="35" t="str">
        <x:v>Attach and match to existing loan; probe typed extraction of principal/interest</x:v>
      </x:c>
      <x:c r="G616" s="20" t="str">
        <x:v>PDF</x:v>
      </x:c>
      <x:c r="H616" s="20" t="str">
        <x:v>3 pages</x:v>
      </x:c>
      <x:c r="I616" s="35" t="str">
        <x:v>clean lender PDF</x:v>
      </x:c>
      <x:c r="J616" s="20" t="str">
        <x:v>P029</x:v>
      </x:c>
      <x:c r="K616" s="20" t="str"/>
      <x:c r="L616" s="20" t="str"/>
      <x:c r="M616" s="20" t="str">
        <x:v>FIN-01281</x:v>
      </x:c>
      <x:c r="N616" s="35" t="str">
        <x:v>loan; due date; payment; principal; interest; escrow; ending principal balance</x:v>
      </x:c>
      <x:c r="O616" s="35" t="str">
        <x:v>principal/interest changes monthly</x:v>
      </x:c>
      <x:c r="P616" s="35" t="str">
        <x:v>Verify or enter a different loan payment manually from the other client.</x:v>
      </x:c>
      <x:c r="Q616" s="35" t="str">
        <x:v>Synthetic QA only; no real people, accounts, signatures, or properties</x:v>
      </x:c>
    </x:row>
    <x:row r="617">
      <x:c r="A617" s="20" t="str">
        <x:v>SCN-0614</x:v>
      </x:c>
      <x:c r="B617" s="23" t="n">
        <x:v>46568</x:v>
      </x:c>
      <x:c r="C617" s="20" t="str">
        <x:v>scn-0614-bank-statement-2027-06.pdf</x:v>
      </x:c>
      <x:c r="D617" s="20" t="str">
        <x:v>Operating bank statement</x:v>
      </x:c>
      <x:c r="E617" s="20" t="str">
        <x:v>Banking import</x:v>
      </x:c>
      <x:c r="F617" s="35" t="str">
        <x:v>Bank statement/import candidate; manually import structured transactions if PDF scan is unsupported</x:v>
      </x:c>
      <x:c r="G617" s="20" t="str">
        <x:v>PDF</x:v>
      </x:c>
      <x:c r="H617" s="20" t="str">
        <x:v>8-12 pages</x:v>
      </x:c>
      <x:c r="I617" s="35" t="str">
        <x:v>clean bank PDF with synthetic account ending 4242</x:v>
      </x:c>
      <x:c r="J617" s="20" t="str"/>
      <x:c r="K617" s="20" t="str"/>
      <x:c r="L617" s="20" t="str"/>
      <x:c r="M617" s="20" t="str"/>
      <x:c r="N617" s="35" t="str">
        <x:v>statement period; opening balance; deposits; withdrawals; fees; ending balance; transaction references</x:v>
      </x:c>
      <x:c r="O617" s="35" t="str">
        <x:v>one pending item in March and one duplicate feed row in September</x:v>
      </x:c>
      <x:c r="P617" s="35" t="str">
        <x:v>Use Banking review/match on web and mobile; manually enter one unmatched bank fee.</x:v>
      </x:c>
      <x:c r="Q617" s="35" t="str">
        <x:v>Synthetic QA only; no real people, accounts, signatures, or properties</x:v>
      </x:c>
    </x:row>
    <x:row r="618">
      <x:c r="A618" s="20" t="str">
        <x:v>SCN-0615</x:v>
      </x:c>
      <x:c r="B618" s="23" t="n">
        <x:v>46583</x:v>
      </x:c>
      <x:c r="C618" s="20" t="str">
        <x:v>scn-0615-expense-20270715-1141.pdf</x:v>
      </x:c>
      <x:c r="D618" s="20" t="str">
        <x:v>Vendor invoice / receipt</x:v>
      </x:c>
      <x:c r="E618" s="20" t="str">
        <x:v>Expense</x:v>
      </x:c>
      <x:c r="F618" s="35" t="str">
        <x:v>Direct scan draft with property/unit/work-order context</x:v>
      </x:c>
      <x:c r="G618" s="20" t="str">
        <x:v>PDF</x:v>
      </x:c>
      <x:c r="H618" s="20" t="str">
        <x:v>1-3 pages</x:v>
      </x:c>
      <x:c r="I618" s="35" t="str">
        <x:v>crumpled thermal receipt</x:v>
      </x:c>
      <x:c r="J618" s="20" t="str">
        <x:v>P021</x:v>
      </x:c>
      <x:c r="K618" s="20" t="str"/>
      <x:c r="L618" s="20" t="str"/>
      <x:c r="M618" s="20" t="str">
        <x:v>FIN-01288</x:v>
      </x:c>
      <x:c r="N618" s="35" t="str">
        <x:v>vendor; invoice number; date; subtotal; tax; total; category; property; unit; line items; payment method</x:v>
      </x:c>
      <x:c r="O618" s="35" t="str"/>
      <x:c r="P618" s="35" t="str">
        <x:v>Create a different expense of the same category through the equivalent manual form on the other client.</x:v>
      </x:c>
      <x:c r="Q618" s="35" t="str">
        <x:v>Synthetic QA only; no real people, accounts, signatures, or properties</x:v>
      </x:c>
    </x:row>
    <x:row r="619">
      <x:c r="A619" s="20" t="str">
        <x:v>SCN-0616</x:v>
      </x:c>
      <x:c r="B619" s="23" t="n">
        <x:v>46583</x:v>
      </x:c>
      <x:c r="C619" s="20" t="str">
        <x:v>scn-0616-expense-20270715-1142.pdf</x:v>
      </x:c>
      <x:c r="D619" s="20" t="str">
        <x:v>Vendor invoice / receipt</x:v>
      </x:c>
      <x:c r="E619" s="20" t="str">
        <x:v>Expense</x:v>
      </x:c>
      <x:c r="F619" s="35" t="str">
        <x:v>Direct scan draft with property/unit/work-order context</x:v>
      </x:c>
      <x:c r="G619" s="20" t="str">
        <x:v>PDF</x:v>
      </x:c>
      <x:c r="H619" s="20" t="str">
        <x:v>1-3 pages</x:v>
      </x:c>
      <x:c r="I619" s="35" t="str">
        <x:v>phone photo with shadow</x:v>
      </x:c>
      <x:c r="J619" s="20" t="str">
        <x:v>P022</x:v>
      </x:c>
      <x:c r="K619" s="20" t="str"/>
      <x:c r="L619" s="20" t="str"/>
      <x:c r="M619" s="20" t="str">
        <x:v>FIN-01289</x:v>
      </x:c>
      <x:c r="N619" s="35" t="str">
        <x:v>vendor; invoice number; date; subtotal; tax; total; category; property; unit; line items; payment method</x:v>
      </x:c>
      <x:c r="O619" s="35" t="str"/>
      <x:c r="P619" s="35" t="str">
        <x:v>Create a different expense of the same category through the equivalent manual form on the other client.</x:v>
      </x:c>
      <x:c r="Q619" s="35" t="str">
        <x:v>Synthetic QA only; no real people, accounts, signatures, or properties</x:v>
      </x:c>
    </x:row>
    <x:row r="620">
      <x:c r="A620" s="20" t="str">
        <x:v>SCN-0617</x:v>
      </x:c>
      <x:c r="B620" s="23" t="n">
        <x:v>46583</x:v>
      </x:c>
      <x:c r="C620" s="20" t="str">
        <x:v>scn-0617-expense-20270715-1143.jpg</x:v>
      </x:c>
      <x:c r="D620" s="20" t="str">
        <x:v>Vendor invoice / receipt</x:v>
      </x:c>
      <x:c r="E620" s="20" t="str">
        <x:v>Expense</x:v>
      </x:c>
      <x:c r="F620" s="35" t="str">
        <x:v>Direct scan draft with property/unit/work-order context</x:v>
      </x:c>
      <x:c r="G620" s="20" t="str">
        <x:v>Camera JPEG</x:v>
      </x:c>
      <x:c r="H620" s="20" t="str">
        <x:v>1-3 pages</x:v>
      </x:c>
      <x:c r="I620" s="35" t="str">
        <x:v>clean emailed invoice</x:v>
      </x:c>
      <x:c r="J620" s="20" t="str">
        <x:v>P023</x:v>
      </x:c>
      <x:c r="K620" s="20" t="str"/>
      <x:c r="L620" s="20" t="str"/>
      <x:c r="M620" s="20" t="str">
        <x:v>FIN-01290</x:v>
      </x:c>
      <x:c r="N620" s="35" t="str">
        <x:v>vendor; invoice number; date; subtotal; tax; total; category; property; unit; line items; payment method</x:v>
      </x:c>
      <x:c r="O620" s="35" t="str"/>
      <x:c r="P620" s="35" t="str">
        <x:v>Create a different expense of the same category through the equivalent manual form on the other client.</x:v>
      </x:c>
      <x:c r="Q620" s="35" t="str">
        <x:v>Synthetic QA only; no real people, accounts, signatures, or properties</x:v>
      </x:c>
    </x:row>
    <x:row r="621">
      <x:c r="A621" s="20" t="str">
        <x:v>SCN-0618</x:v>
      </x:c>
      <x:c r="B621" s="23" t="n">
        <x:v>46583</x:v>
      </x:c>
      <x:c r="C621" s="20" t="str">
        <x:v>scn-0618-expense-20270715-1144.pdf</x:v>
      </x:c>
      <x:c r="D621" s="20" t="str">
        <x:v>Vendor invoice / receipt</x:v>
      </x:c>
      <x:c r="E621" s="20" t="str">
        <x:v>Expense</x:v>
      </x:c>
      <x:c r="F621" s="35" t="str">
        <x:v>Direct scan draft with property/unit/work-order context</x:v>
      </x:c>
      <x:c r="G621" s="20" t="str">
        <x:v>PDF</x:v>
      </x:c>
      <x:c r="H621" s="20" t="str">
        <x:v>1-3 pages</x:v>
      </x:c>
      <x:c r="I621" s="35" t="str">
        <x:v>crumpled thermal receipt</x:v>
      </x:c>
      <x:c r="J621" s="20" t="str">
        <x:v>P024</x:v>
      </x:c>
      <x:c r="K621" s="20" t="str"/>
      <x:c r="L621" s="20" t="str"/>
      <x:c r="M621" s="20" t="str">
        <x:v>FIN-01291</x:v>
      </x:c>
      <x:c r="N621" s="35" t="str">
        <x:v>vendor; invoice number; date; subtotal; tax; total; category; property; unit; line items; payment method</x:v>
      </x:c>
      <x:c r="O621" s="35" t="str"/>
      <x:c r="P621" s="35" t="str">
        <x:v>Create a different expense of the same category through the equivalent manual form on the other client.</x:v>
      </x:c>
      <x:c r="Q621" s="35" t="str">
        <x:v>Synthetic QA only; no real people, accounts, signatures, or properties</x:v>
      </x:c>
    </x:row>
    <x:row r="622">
      <x:c r="A622" s="20" t="str">
        <x:v>SCN-0619</x:v>
      </x:c>
      <x:c r="B622" s="23" t="n">
        <x:v>46583</x:v>
      </x:c>
      <x:c r="C622" s="20" t="str">
        <x:v>scn-0619-expense-20270715-1146.jpg</x:v>
      </x:c>
      <x:c r="D622" s="20" t="str">
        <x:v>Vendor invoice / receipt</x:v>
      </x:c>
      <x:c r="E622" s="20" t="str">
        <x:v>Expense</x:v>
      </x:c>
      <x:c r="F622" s="35" t="str">
        <x:v>Direct scan draft with property/unit/work-order context</x:v>
      </x:c>
      <x:c r="G622" s="20" t="str">
        <x:v>Camera JPEG</x:v>
      </x:c>
      <x:c r="H622" s="20" t="str">
        <x:v>1-3 pages</x:v>
      </x:c>
      <x:c r="I622" s="35" t="str">
        <x:v>clean emailed invoice</x:v>
      </x:c>
      <x:c r="J622" s="20" t="str">
        <x:v>P026</x:v>
      </x:c>
      <x:c r="K622" s="20" t="str"/>
      <x:c r="L622" s="20" t="str"/>
      <x:c r="M622" s="20" t="str">
        <x:v>FIN-01293</x:v>
      </x:c>
      <x:c r="N622" s="35" t="str">
        <x:v>vendor; invoice number; date; subtotal; tax; total; category; property; unit; line items; payment method</x:v>
      </x:c>
      <x:c r="O622" s="35" t="str"/>
      <x:c r="P622" s="35" t="str">
        <x:v>Create a different expense of the same category through the equivalent manual form on the other client.</x:v>
      </x:c>
      <x:c r="Q622" s="35" t="str">
        <x:v>Synthetic QA only; no real people, accounts, signatures, or properties</x:v>
      </x:c>
    </x:row>
    <x:row r="623">
      <x:c r="A623" s="20" t="str">
        <x:v>SCN-0620</x:v>
      </x:c>
      <x:c r="B623" s="23" t="n">
        <x:v>46583</x:v>
      </x:c>
      <x:c r="C623" s="20" t="str">
        <x:v>scn-0620-expense-20270715-1147.pdf</x:v>
      </x:c>
      <x:c r="D623" s="20" t="str">
        <x:v>Vendor invoice / receipt</x:v>
      </x:c>
      <x:c r="E623" s="20" t="str">
        <x:v>Expense</x:v>
      </x:c>
      <x:c r="F623" s="35" t="str">
        <x:v>Direct scan draft with property/unit/work-order context</x:v>
      </x:c>
      <x:c r="G623" s="20" t="str">
        <x:v>PDF</x:v>
      </x:c>
      <x:c r="H623" s="20" t="str">
        <x:v>1-3 pages</x:v>
      </x:c>
      <x:c r="I623" s="35" t="str">
        <x:v>crumpled thermal receipt</x:v>
      </x:c>
      <x:c r="J623" s="20" t="str">
        <x:v>P027</x:v>
      </x:c>
      <x:c r="K623" s="20" t="str"/>
      <x:c r="L623" s="20" t="str"/>
      <x:c r="M623" s="20" t="str">
        <x:v>FIN-01294</x:v>
      </x:c>
      <x:c r="N623" s="35" t="str">
        <x:v>vendor; invoice number; date; subtotal; tax; total; category; property; unit; line items; payment method</x:v>
      </x:c>
      <x:c r="O623" s="35" t="str"/>
      <x:c r="P623" s="35" t="str">
        <x:v>Create a different expense of the same category through the equivalent manual form on the other client.</x:v>
      </x:c>
      <x:c r="Q623" s="35" t="str">
        <x:v>Synthetic QA only; no real people, accounts, signatures, or properties</x:v>
      </x:c>
    </x:row>
    <x:row r="624">
      <x:c r="A624" s="20" t="str">
        <x:v>SCN-0621</x:v>
      </x:c>
      <x:c r="B624" s="23" t="n">
        <x:v>46583</x:v>
      </x:c>
      <x:c r="C624" s="20" t="str">
        <x:v>scn-0621-expense-20270715-1148.pdf</x:v>
      </x:c>
      <x:c r="D624" s="20" t="str">
        <x:v>Vendor invoice / receipt</x:v>
      </x:c>
      <x:c r="E624" s="20" t="str">
        <x:v>Expense</x:v>
      </x:c>
      <x:c r="F624" s="35" t="str">
        <x:v>Direct scan draft with property/unit/work-order context</x:v>
      </x:c>
      <x:c r="G624" s="20" t="str">
        <x:v>PDF</x:v>
      </x:c>
      <x:c r="H624" s="20" t="str">
        <x:v>1-3 pages</x:v>
      </x:c>
      <x:c r="I624" s="35" t="str">
        <x:v>phone photo with shadow</x:v>
      </x:c>
      <x:c r="J624" s="20" t="str">
        <x:v>P028</x:v>
      </x:c>
      <x:c r="K624" s="20" t="str"/>
      <x:c r="L624" s="20" t="str"/>
      <x:c r="M624" s="20" t="str">
        <x:v>FIN-01295</x:v>
      </x:c>
      <x:c r="N624" s="35" t="str">
        <x:v>vendor; invoice number; date; subtotal; tax; total; category; property; unit; line items; payment method</x:v>
      </x:c>
      <x:c r="O624" s="35" t="str"/>
      <x:c r="P624" s="35" t="str">
        <x:v>Create a different expense of the same category through the equivalent manual form on the other client.</x:v>
      </x:c>
      <x:c r="Q624" s="35" t="str">
        <x:v>Synthetic QA only; no real people, accounts, signatures, or properties</x:v>
      </x:c>
    </x:row>
    <x:row r="625">
      <x:c r="A625" s="20" t="str">
        <x:v>SCN-0622</x:v>
      </x:c>
      <x:c r="B625" s="23" t="n">
        <x:v>46583</x:v>
      </x:c>
      <x:c r="C625" s="20" t="str">
        <x:v>scn-0622-expense-20270715-1149.jpg</x:v>
      </x:c>
      <x:c r="D625" s="20" t="str">
        <x:v>Vendor invoice / receipt</x:v>
      </x:c>
      <x:c r="E625" s="20" t="str">
        <x:v>Expense</x:v>
      </x:c>
      <x:c r="F625" s="35" t="str">
        <x:v>Direct scan draft with property/unit/work-order context</x:v>
      </x:c>
      <x:c r="G625" s="20" t="str">
        <x:v>Camera JPEG</x:v>
      </x:c>
      <x:c r="H625" s="20" t="str">
        <x:v>1-3 pages</x:v>
      </x:c>
      <x:c r="I625" s="35" t="str">
        <x:v>clean emailed invoice</x:v>
      </x:c>
      <x:c r="J625" s="20" t="str">
        <x:v>P029</x:v>
      </x:c>
      <x:c r="K625" s="20" t="str"/>
      <x:c r="L625" s="20" t="str"/>
      <x:c r="M625" s="20" t="str">
        <x:v>FIN-01296</x:v>
      </x:c>
      <x:c r="N625" s="35" t="str">
        <x:v>vendor; invoice number; date; subtotal; tax; total; category; property; unit; line items; payment method</x:v>
      </x:c>
      <x:c r="O625" s="35" t="str"/>
      <x:c r="P625" s="35" t="str">
        <x:v>Create a different expense of the same category through the equivalent manual form on the other client.</x:v>
      </x:c>
      <x:c r="Q625" s="35" t="str">
        <x:v>Synthetic QA only; no real people, accounts, signatures, or properties</x:v>
      </x:c>
    </x:row>
    <x:row r="626">
      <x:c r="A626" s="20" t="str">
        <x:v>SCN-0623</x:v>
      </x:c>
      <x:c r="B626" s="23" t="n">
        <x:v>46588</x:v>
      </x:c>
      <x:c r="C626" s="20" t="str">
        <x:v>scn-0623-loan-payment-ln001-202707.pdf</x:v>
      </x:c>
      <x:c r="D626" s="20" t="str">
        <x:v>Monthly mortgage statement</x:v>
      </x:c>
      <x:c r="E626" s="20" t="str">
        <x:v>Loan payment / Property document</x:v>
      </x:c>
      <x:c r="F626" s="35" t="str">
        <x:v>Attach and match to existing loan; probe typed extraction of principal/interest</x:v>
      </x:c>
      <x:c r="G626" s="20" t="str">
        <x:v>PDF</x:v>
      </x:c>
      <x:c r="H626" s="20" t="str">
        <x:v>3 pages</x:v>
      </x:c>
      <x:c r="I626" s="35" t="str">
        <x:v>clean lender PDF</x:v>
      </x:c>
      <x:c r="J626" s="20" t="str">
        <x:v>P001</x:v>
      </x:c>
      <x:c r="K626" s="20" t="str"/>
      <x:c r="L626" s="20" t="str"/>
      <x:c r="M626" s="20" t="str">
        <x:v>FIN-01298</x:v>
      </x:c>
      <x:c r="N626" s="35" t="str">
        <x:v>loan; due date; payment; principal; interest; escrow; ending principal balance</x:v>
      </x:c>
      <x:c r="O626" s="35" t="str">
        <x:v>principal/interest changes monthly</x:v>
      </x:c>
      <x:c r="P626" s="35" t="str">
        <x:v>Verify or enter a different loan payment manually from the other client.</x:v>
      </x:c>
      <x:c r="Q626" s="35" t="str">
        <x:v>Synthetic QA only; no real people, accounts, signatures, or properties</x:v>
      </x:c>
    </x:row>
    <x:row r="627">
      <x:c r="A627" s="20" t="str">
        <x:v>SCN-0624</x:v>
      </x:c>
      <x:c r="B627" s="23" t="n">
        <x:v>46588</x:v>
      </x:c>
      <x:c r="C627" s="20" t="str">
        <x:v>scn-0624-loan-payment-ln002-202707.pdf</x:v>
      </x:c>
      <x:c r="D627" s="20" t="str">
        <x:v>Monthly mortgage statement</x:v>
      </x:c>
      <x:c r="E627" s="20" t="str">
        <x:v>Loan payment / Property document</x:v>
      </x:c>
      <x:c r="F627" s="35" t="str">
        <x:v>Attach and match to existing loan; probe typed extraction of principal/interest</x:v>
      </x:c>
      <x:c r="G627" s="20" t="str">
        <x:v>PDF</x:v>
      </x:c>
      <x:c r="H627" s="20" t="str">
        <x:v>3 pages</x:v>
      </x:c>
      <x:c r="I627" s="35" t="str">
        <x:v>clean lender PDF</x:v>
      </x:c>
      <x:c r="J627" s="20" t="str">
        <x:v>P002</x:v>
      </x:c>
      <x:c r="K627" s="20" t="str"/>
      <x:c r="L627" s="20" t="str"/>
      <x:c r="M627" s="20" t="str">
        <x:v>FIN-01299</x:v>
      </x:c>
      <x:c r="N627" s="35" t="str">
        <x:v>loan; due date; payment; principal; interest; escrow; ending principal balance</x:v>
      </x:c>
      <x:c r="O627" s="35" t="str">
        <x:v>principal/interest changes monthly</x:v>
      </x:c>
      <x:c r="P627" s="35" t="str">
        <x:v>Verify or enter a different loan payment manually from the other client.</x:v>
      </x:c>
      <x:c r="Q627" s="35" t="str">
        <x:v>Synthetic QA only; no real people, accounts, signatures, or properties</x:v>
      </x:c>
    </x:row>
    <x:row r="628">
      <x:c r="A628" s="20" t="str">
        <x:v>SCN-0625</x:v>
      </x:c>
      <x:c r="B628" s="23" t="n">
        <x:v>46588</x:v>
      </x:c>
      <x:c r="C628" s="20" t="str">
        <x:v>scn-0625-loan-payment-ln004-202707.pdf</x:v>
      </x:c>
      <x:c r="D628" s="20" t="str">
        <x:v>Monthly mortgage statement</x:v>
      </x:c>
      <x:c r="E628" s="20" t="str">
        <x:v>Loan payment / Property document</x:v>
      </x:c>
      <x:c r="F628" s="35" t="str">
        <x:v>Attach and match to existing loan; probe typed extraction of principal/interest</x:v>
      </x:c>
      <x:c r="G628" s="20" t="str">
        <x:v>PDF</x:v>
      </x:c>
      <x:c r="H628" s="20" t="str">
        <x:v>3 pages</x:v>
      </x:c>
      <x:c r="I628" s="35" t="str">
        <x:v>clean lender PDF</x:v>
      </x:c>
      <x:c r="J628" s="20" t="str">
        <x:v>P004</x:v>
      </x:c>
      <x:c r="K628" s="20" t="str"/>
      <x:c r="L628" s="20" t="str"/>
      <x:c r="M628" s="20" t="str">
        <x:v>FIN-01300</x:v>
      </x:c>
      <x:c r="N628" s="35" t="str">
        <x:v>loan; due date; payment; principal; interest; escrow; ending principal balance</x:v>
      </x:c>
      <x:c r="O628" s="35" t="str">
        <x:v>principal/interest changes monthly</x:v>
      </x:c>
      <x:c r="P628" s="35" t="str">
        <x:v>Verify or enter a different loan payment manually from the other client.</x:v>
      </x:c>
      <x:c r="Q628" s="35" t="str">
        <x:v>Synthetic QA only; no real people, accounts, signatures, or properties</x:v>
      </x:c>
    </x:row>
    <x:row r="629">
      <x:c r="A629" s="20" t="str">
        <x:v>SCN-0626</x:v>
      </x:c>
      <x:c r="B629" s="23" t="n">
        <x:v>46588</x:v>
      </x:c>
      <x:c r="C629" s="20" t="str">
        <x:v>scn-0626-loan-payment-ln005-202707.pdf</x:v>
      </x:c>
      <x:c r="D629" s="20" t="str">
        <x:v>Monthly mortgage statement</x:v>
      </x:c>
      <x:c r="E629" s="20" t="str">
        <x:v>Loan payment / Property document</x:v>
      </x:c>
      <x:c r="F629" s="35" t="str">
        <x:v>Attach and match to existing loan; probe typed extraction of principal/interest</x:v>
      </x:c>
      <x:c r="G629" s="20" t="str">
        <x:v>PDF</x:v>
      </x:c>
      <x:c r="H629" s="20" t="str">
        <x:v>3 pages</x:v>
      </x:c>
      <x:c r="I629" s="35" t="str">
        <x:v>clean lender PDF</x:v>
      </x:c>
      <x:c r="J629" s="20" t="str">
        <x:v>P005</x:v>
      </x:c>
      <x:c r="K629" s="20" t="str"/>
      <x:c r="L629" s="20" t="str"/>
      <x:c r="M629" s="20" t="str">
        <x:v>FIN-01301</x:v>
      </x:c>
      <x:c r="N629" s="35" t="str">
        <x:v>loan; due date; payment; principal; interest; escrow; ending principal balance</x:v>
      </x:c>
      <x:c r="O629" s="35" t="str">
        <x:v>principal/interest changes monthly</x:v>
      </x:c>
      <x:c r="P629" s="35" t="str">
        <x:v>Verify or enter a different loan payment manually from the other client.</x:v>
      </x:c>
      <x:c r="Q629" s="35" t="str">
        <x:v>Synthetic QA only; no real people, accounts, signatures, or properties</x:v>
      </x:c>
    </x:row>
    <x:row r="630">
      <x:c r="A630" s="20" t="str">
        <x:v>SCN-0627</x:v>
      </x:c>
      <x:c r="B630" s="23" t="n">
        <x:v>46588</x:v>
      </x:c>
      <x:c r="C630" s="20" t="str">
        <x:v>scn-0627-loan-payment-ln007-202707.pdf</x:v>
      </x:c>
      <x:c r="D630" s="20" t="str">
        <x:v>Monthly mortgage statement</x:v>
      </x:c>
      <x:c r="E630" s="20" t="str">
        <x:v>Loan payment / Property document</x:v>
      </x:c>
      <x:c r="F630" s="35" t="str">
        <x:v>Attach and match to existing loan; probe typed extraction of principal/interest</x:v>
      </x:c>
      <x:c r="G630" s="20" t="str">
        <x:v>PDF</x:v>
      </x:c>
      <x:c r="H630" s="20" t="str">
        <x:v>3 pages</x:v>
      </x:c>
      <x:c r="I630" s="35" t="str">
        <x:v>clean lender PDF</x:v>
      </x:c>
      <x:c r="J630" s="20" t="str">
        <x:v>P007</x:v>
      </x:c>
      <x:c r="K630" s="20" t="str"/>
      <x:c r="L630" s="20" t="str"/>
      <x:c r="M630" s="20" t="str">
        <x:v>FIN-01302</x:v>
      </x:c>
      <x:c r="N630" s="35" t="str">
        <x:v>loan; due date; payment; principal; interest; escrow; ending principal balance</x:v>
      </x:c>
      <x:c r="O630" s="35" t="str">
        <x:v>principal/interest changes monthly</x:v>
      </x:c>
      <x:c r="P630" s="35" t="str">
        <x:v>Verify or enter a different loan payment manually from the other client.</x:v>
      </x:c>
      <x:c r="Q630" s="35" t="str">
        <x:v>Synthetic QA only; no real people, accounts, signatures, or properties</x:v>
      </x:c>
    </x:row>
    <x:row r="631">
      <x:c r="A631" s="20" t="str">
        <x:v>SCN-0628</x:v>
      </x:c>
      <x:c r="B631" s="23" t="n">
        <x:v>46588</x:v>
      </x:c>
      <x:c r="C631" s="20" t="str">
        <x:v>scn-0628-loan-payment-ln008-202707.pdf</x:v>
      </x:c>
      <x:c r="D631" s="20" t="str">
        <x:v>Monthly mortgage statement</x:v>
      </x:c>
      <x:c r="E631" s="20" t="str">
        <x:v>Loan payment / Property document</x:v>
      </x:c>
      <x:c r="F631" s="35" t="str">
        <x:v>Attach and match to existing loan; probe typed extraction of principal/interest</x:v>
      </x:c>
      <x:c r="G631" s="20" t="str">
        <x:v>PDF</x:v>
      </x:c>
      <x:c r="H631" s="20" t="str">
        <x:v>3 pages</x:v>
      </x:c>
      <x:c r="I631" s="35" t="str">
        <x:v>clean lender PDF</x:v>
      </x:c>
      <x:c r="J631" s="20" t="str">
        <x:v>P008</x:v>
      </x:c>
      <x:c r="K631" s="20" t="str"/>
      <x:c r="L631" s="20" t="str"/>
      <x:c r="M631" s="20" t="str">
        <x:v>FIN-01303</x:v>
      </x:c>
      <x:c r="N631" s="35" t="str">
        <x:v>loan; due date; payment; principal; interest; escrow; ending principal balance</x:v>
      </x:c>
      <x:c r="O631" s="35" t="str">
        <x:v>principal/interest changes monthly</x:v>
      </x:c>
      <x:c r="P631" s="35" t="str">
        <x:v>Verify or enter a different loan payment manually from the other client.</x:v>
      </x:c>
      <x:c r="Q631" s="35" t="str">
        <x:v>Synthetic QA only; no real people, accounts, signatures, or properties</x:v>
      </x:c>
    </x:row>
    <x:row r="632">
      <x:c r="A632" s="20" t="str">
        <x:v>SCN-0629</x:v>
      </x:c>
      <x:c r="B632" s="23" t="n">
        <x:v>46588</x:v>
      </x:c>
      <x:c r="C632" s="20" t="str">
        <x:v>scn-0629-loan-payment-ln010-202707.pdf</x:v>
      </x:c>
      <x:c r="D632" s="20" t="str">
        <x:v>Monthly mortgage statement</x:v>
      </x:c>
      <x:c r="E632" s="20" t="str">
        <x:v>Loan payment / Property document</x:v>
      </x:c>
      <x:c r="F632" s="35" t="str">
        <x:v>Attach and match to existing loan; probe typed extraction of principal/interest</x:v>
      </x:c>
      <x:c r="G632" s="20" t="str">
        <x:v>PDF</x:v>
      </x:c>
      <x:c r="H632" s="20" t="str">
        <x:v>3 pages</x:v>
      </x:c>
      <x:c r="I632" s="35" t="str">
        <x:v>clean lender PDF</x:v>
      </x:c>
      <x:c r="J632" s="20" t="str">
        <x:v>P010</x:v>
      </x:c>
      <x:c r="K632" s="20" t="str"/>
      <x:c r="L632" s="20" t="str"/>
      <x:c r="M632" s="20" t="str">
        <x:v>FIN-01304</x:v>
      </x:c>
      <x:c r="N632" s="35" t="str">
        <x:v>loan; due date; payment; principal; interest; escrow; ending principal balance</x:v>
      </x:c>
      <x:c r="O632" s="35" t="str">
        <x:v>principal/interest changes monthly</x:v>
      </x:c>
      <x:c r="P632" s="35" t="str">
        <x:v>Verify or enter a different loan payment manually from the other client.</x:v>
      </x:c>
      <x:c r="Q632" s="35" t="str">
        <x:v>Synthetic QA only; no real people, accounts, signatures, or properties</x:v>
      </x:c>
    </x:row>
    <x:row r="633">
      <x:c r="A633" s="20" t="str">
        <x:v>SCN-0630</x:v>
      </x:c>
      <x:c r="B633" s="23" t="n">
        <x:v>46588</x:v>
      </x:c>
      <x:c r="C633" s="20" t="str">
        <x:v>scn-0630-loan-payment-ln011-202707.pdf</x:v>
      </x:c>
      <x:c r="D633" s="20" t="str">
        <x:v>Monthly mortgage statement</x:v>
      </x:c>
      <x:c r="E633" s="20" t="str">
        <x:v>Loan payment / Property document</x:v>
      </x:c>
      <x:c r="F633" s="35" t="str">
        <x:v>Attach and match to existing loan; probe typed extraction of principal/interest</x:v>
      </x:c>
      <x:c r="G633" s="20" t="str">
        <x:v>PDF</x:v>
      </x:c>
      <x:c r="H633" s="20" t="str">
        <x:v>3 pages</x:v>
      </x:c>
      <x:c r="I633" s="35" t="str">
        <x:v>clean lender PDF</x:v>
      </x:c>
      <x:c r="J633" s="20" t="str">
        <x:v>P011</x:v>
      </x:c>
      <x:c r="K633" s="20" t="str"/>
      <x:c r="L633" s="20" t="str"/>
      <x:c r="M633" s="20" t="str">
        <x:v>FIN-01305</x:v>
      </x:c>
      <x:c r="N633" s="35" t="str">
        <x:v>loan; due date; payment; principal; interest; escrow; ending principal balance</x:v>
      </x:c>
      <x:c r="O633" s="35" t="str">
        <x:v>principal/interest changes monthly</x:v>
      </x:c>
      <x:c r="P633" s="35" t="str">
        <x:v>Verify or enter a different loan payment manually from the other client.</x:v>
      </x:c>
      <x:c r="Q633" s="35" t="str">
        <x:v>Synthetic QA only; no real people, accounts, signatures, or properties</x:v>
      </x:c>
    </x:row>
    <x:row r="634">
      <x:c r="A634" s="20" t="str">
        <x:v>SCN-0631</x:v>
      </x:c>
      <x:c r="B634" s="23" t="n">
        <x:v>46588</x:v>
      </x:c>
      <x:c r="C634" s="20" t="str">
        <x:v>scn-0631-loan-payment-ln013-202707.pdf</x:v>
      </x:c>
      <x:c r="D634" s="20" t="str">
        <x:v>Monthly mortgage statement</x:v>
      </x:c>
      <x:c r="E634" s="20" t="str">
        <x:v>Loan payment / Property document</x:v>
      </x:c>
      <x:c r="F634" s="35" t="str">
        <x:v>Attach and match to existing loan; probe typed extraction of principal/interest</x:v>
      </x:c>
      <x:c r="G634" s="20" t="str">
        <x:v>PDF</x:v>
      </x:c>
      <x:c r="H634" s="20" t="str">
        <x:v>3 pages</x:v>
      </x:c>
      <x:c r="I634" s="35" t="str">
        <x:v>clean lender PDF</x:v>
      </x:c>
      <x:c r="J634" s="20" t="str">
        <x:v>P013</x:v>
      </x:c>
      <x:c r="K634" s="20" t="str"/>
      <x:c r="L634" s="20" t="str"/>
      <x:c r="M634" s="20" t="str">
        <x:v>FIN-01306</x:v>
      </x:c>
      <x:c r="N634" s="35" t="str">
        <x:v>loan; due date; payment; principal; interest; escrow; ending principal balance</x:v>
      </x:c>
      <x:c r="O634" s="35" t="str">
        <x:v>principal/interest changes monthly</x:v>
      </x:c>
      <x:c r="P634" s="35" t="str">
        <x:v>Verify or enter a different loan payment manually from the other client.</x:v>
      </x:c>
      <x:c r="Q634" s="35" t="str">
        <x:v>Synthetic QA only; no real people, accounts, signatures, or properties</x:v>
      </x:c>
    </x:row>
    <x:row r="635">
      <x:c r="A635" s="20" t="str">
        <x:v>SCN-0632</x:v>
      </x:c>
      <x:c r="B635" s="23" t="n">
        <x:v>46588</x:v>
      </x:c>
      <x:c r="C635" s="20" t="str">
        <x:v>scn-0632-loan-payment-ln014-202707.pdf</x:v>
      </x:c>
      <x:c r="D635" s="20" t="str">
        <x:v>Monthly mortgage statement</x:v>
      </x:c>
      <x:c r="E635" s="20" t="str">
        <x:v>Loan payment / Property document</x:v>
      </x:c>
      <x:c r="F635" s="35" t="str">
        <x:v>Attach and match to existing loan; probe typed extraction of principal/interest</x:v>
      </x:c>
      <x:c r="G635" s="20" t="str">
        <x:v>PDF</x:v>
      </x:c>
      <x:c r="H635" s="20" t="str">
        <x:v>3 pages</x:v>
      </x:c>
      <x:c r="I635" s="35" t="str">
        <x:v>clean lender PDF</x:v>
      </x:c>
      <x:c r="J635" s="20" t="str">
        <x:v>P014</x:v>
      </x:c>
      <x:c r="K635" s="20" t="str"/>
      <x:c r="L635" s="20" t="str"/>
      <x:c r="M635" s="20" t="str">
        <x:v>FIN-01307</x:v>
      </x:c>
      <x:c r="N635" s="35" t="str">
        <x:v>loan; due date; payment; principal; interest; escrow; ending principal balance</x:v>
      </x:c>
      <x:c r="O635" s="35" t="str">
        <x:v>principal/interest changes monthly</x:v>
      </x:c>
      <x:c r="P635" s="35" t="str">
        <x:v>Verify or enter a different loan payment manually from the other client.</x:v>
      </x:c>
      <x:c r="Q635" s="35" t="str">
        <x:v>Synthetic QA only; no real people, accounts, signatures, or properties</x:v>
      </x:c>
    </x:row>
    <x:row r="636">
      <x:c r="A636" s="20" t="str">
        <x:v>SCN-0633</x:v>
      </x:c>
      <x:c r="B636" s="23" t="n">
        <x:v>46588</x:v>
      </x:c>
      <x:c r="C636" s="20" t="str">
        <x:v>scn-0633-loan-payment-ln016-202707.pdf</x:v>
      </x:c>
      <x:c r="D636" s="20" t="str">
        <x:v>Monthly mortgage statement</x:v>
      </x:c>
      <x:c r="E636" s="20" t="str">
        <x:v>Loan payment / Property document</x:v>
      </x:c>
      <x:c r="F636" s="35" t="str">
        <x:v>Attach and match to existing loan; probe typed extraction of principal/interest</x:v>
      </x:c>
      <x:c r="G636" s="20" t="str">
        <x:v>PDF</x:v>
      </x:c>
      <x:c r="H636" s="20" t="str">
        <x:v>3 pages</x:v>
      </x:c>
      <x:c r="I636" s="35" t="str">
        <x:v>clean lender PDF</x:v>
      </x:c>
      <x:c r="J636" s="20" t="str">
        <x:v>P016</x:v>
      </x:c>
      <x:c r="K636" s="20" t="str"/>
      <x:c r="L636" s="20" t="str"/>
      <x:c r="M636" s="20" t="str">
        <x:v>FIN-01308</x:v>
      </x:c>
      <x:c r="N636" s="35" t="str">
        <x:v>loan; due date; payment; principal; interest; escrow; ending principal balance</x:v>
      </x:c>
      <x:c r="O636" s="35" t="str">
        <x:v>principal/interest changes monthly</x:v>
      </x:c>
      <x:c r="P636" s="35" t="str">
        <x:v>Verify or enter a different loan payment manually from the other client.</x:v>
      </x:c>
      <x:c r="Q636" s="35" t="str">
        <x:v>Synthetic QA only; no real people, accounts, signatures, or properties</x:v>
      </x:c>
    </x:row>
    <x:row r="637">
      <x:c r="A637" s="20" t="str">
        <x:v>SCN-0634</x:v>
      </x:c>
      <x:c r="B637" s="23" t="n">
        <x:v>46588</x:v>
      </x:c>
      <x:c r="C637" s="20" t="str">
        <x:v>scn-0634-loan-payment-ln017-202707.pdf</x:v>
      </x:c>
      <x:c r="D637" s="20" t="str">
        <x:v>Monthly mortgage statement</x:v>
      </x:c>
      <x:c r="E637" s="20" t="str">
        <x:v>Loan payment / Property document</x:v>
      </x:c>
      <x:c r="F637" s="35" t="str">
        <x:v>Attach and match to existing loan; probe typed extraction of principal/interest</x:v>
      </x:c>
      <x:c r="G637" s="20" t="str">
        <x:v>PDF</x:v>
      </x:c>
      <x:c r="H637" s="20" t="str">
        <x:v>3 pages</x:v>
      </x:c>
      <x:c r="I637" s="35" t="str">
        <x:v>clean lender PDF</x:v>
      </x:c>
      <x:c r="J637" s="20" t="str">
        <x:v>P017</x:v>
      </x:c>
      <x:c r="K637" s="20" t="str"/>
      <x:c r="L637" s="20" t="str"/>
      <x:c r="M637" s="20" t="str">
        <x:v>FIN-01309</x:v>
      </x:c>
      <x:c r="N637" s="35" t="str">
        <x:v>loan; due date; payment; principal; interest; escrow; ending principal balance</x:v>
      </x:c>
      <x:c r="O637" s="35" t="str">
        <x:v>principal/interest changes monthly</x:v>
      </x:c>
      <x:c r="P637" s="35" t="str">
        <x:v>Verify or enter a different loan payment manually from the other client.</x:v>
      </x:c>
      <x:c r="Q637" s="35" t="str">
        <x:v>Synthetic QA only; no real people, accounts, signatures, or properties</x:v>
      </x:c>
    </x:row>
    <x:row r="638">
      <x:c r="A638" s="20" t="str">
        <x:v>SCN-0635</x:v>
      </x:c>
      <x:c r="B638" s="23" t="n">
        <x:v>46588</x:v>
      </x:c>
      <x:c r="C638" s="20" t="str">
        <x:v>scn-0635-loan-payment-ln019-202707.pdf</x:v>
      </x:c>
      <x:c r="D638" s="20" t="str">
        <x:v>Monthly mortgage statement</x:v>
      </x:c>
      <x:c r="E638" s="20" t="str">
        <x:v>Loan payment / Property document</x:v>
      </x:c>
      <x:c r="F638" s="35" t="str">
        <x:v>Attach and match to existing loan; probe typed extraction of principal/interest</x:v>
      </x:c>
      <x:c r="G638" s="20" t="str">
        <x:v>PDF</x:v>
      </x:c>
      <x:c r="H638" s="20" t="str">
        <x:v>3 pages</x:v>
      </x:c>
      <x:c r="I638" s="35" t="str">
        <x:v>clean lender PDF</x:v>
      </x:c>
      <x:c r="J638" s="20" t="str">
        <x:v>P019</x:v>
      </x:c>
      <x:c r="K638" s="20" t="str"/>
      <x:c r="L638" s="20" t="str"/>
      <x:c r="M638" s="20" t="str">
        <x:v>FIN-01310</x:v>
      </x:c>
      <x:c r="N638" s="35" t="str">
        <x:v>loan; due date; payment; principal; interest; escrow; ending principal balance</x:v>
      </x:c>
      <x:c r="O638" s="35" t="str">
        <x:v>principal/interest changes monthly</x:v>
      </x:c>
      <x:c r="P638" s="35" t="str">
        <x:v>Verify or enter a different loan payment manually from the other client.</x:v>
      </x:c>
      <x:c r="Q638" s="35" t="str">
        <x:v>Synthetic QA only; no real people, accounts, signatures, or properties</x:v>
      </x:c>
    </x:row>
    <x:row r="639">
      <x:c r="A639" s="20" t="str">
        <x:v>SCN-0636</x:v>
      </x:c>
      <x:c r="B639" s="23" t="n">
        <x:v>46588</x:v>
      </x:c>
      <x:c r="C639" s="20" t="str">
        <x:v>scn-0636-loan-payment-ln020-202707.pdf</x:v>
      </x:c>
      <x:c r="D639" s="20" t="str">
        <x:v>Monthly mortgage statement</x:v>
      </x:c>
      <x:c r="E639" s="20" t="str">
        <x:v>Loan payment / Property document</x:v>
      </x:c>
      <x:c r="F639" s="35" t="str">
        <x:v>Attach and match to existing loan; probe typed extraction of principal/interest</x:v>
      </x:c>
      <x:c r="G639" s="20" t="str">
        <x:v>PDF</x:v>
      </x:c>
      <x:c r="H639" s="20" t="str">
        <x:v>3 pages</x:v>
      </x:c>
      <x:c r="I639" s="35" t="str">
        <x:v>clean lender PDF</x:v>
      </x:c>
      <x:c r="J639" s="20" t="str">
        <x:v>P020</x:v>
      </x:c>
      <x:c r="K639" s="20" t="str"/>
      <x:c r="L639" s="20" t="str"/>
      <x:c r="M639" s="20" t="str">
        <x:v>FIN-01311</x:v>
      </x:c>
      <x:c r="N639" s="35" t="str">
        <x:v>loan; due date; payment; principal; interest; escrow; ending principal balance</x:v>
      </x:c>
      <x:c r="O639" s="35" t="str">
        <x:v>principal/interest changes monthly</x:v>
      </x:c>
      <x:c r="P639" s="35" t="str">
        <x:v>Verify or enter a different loan payment manually from the other client.</x:v>
      </x:c>
      <x:c r="Q639" s="35" t="str">
        <x:v>Synthetic QA only; no real people, accounts, signatures, or properties</x:v>
      </x:c>
    </x:row>
    <x:row r="640">
      <x:c r="A640" s="20" t="str">
        <x:v>SCN-0637</x:v>
      </x:c>
      <x:c r="B640" s="23" t="n">
        <x:v>46588</x:v>
      </x:c>
      <x:c r="C640" s="20" t="str">
        <x:v>scn-0637-loan-payment-ln022-202707.pdf</x:v>
      </x:c>
      <x:c r="D640" s="20" t="str">
        <x:v>Monthly mortgage statement</x:v>
      </x:c>
      <x:c r="E640" s="20" t="str">
        <x:v>Loan payment / Property document</x:v>
      </x:c>
      <x:c r="F640" s="35" t="str">
        <x:v>Attach and match to existing loan; probe typed extraction of principal/interest</x:v>
      </x:c>
      <x:c r="G640" s="20" t="str">
        <x:v>PDF</x:v>
      </x:c>
      <x:c r="H640" s="20" t="str">
        <x:v>3 pages</x:v>
      </x:c>
      <x:c r="I640" s="35" t="str">
        <x:v>clean lender PDF</x:v>
      </x:c>
      <x:c r="J640" s="20" t="str">
        <x:v>P022</x:v>
      </x:c>
      <x:c r="K640" s="20" t="str"/>
      <x:c r="L640" s="20" t="str"/>
      <x:c r="M640" s="20" t="str">
        <x:v>FIN-01312</x:v>
      </x:c>
      <x:c r="N640" s="35" t="str">
        <x:v>loan; due date; payment; principal; interest; escrow; ending principal balance</x:v>
      </x:c>
      <x:c r="O640" s="35" t="str">
        <x:v>principal/interest changes monthly</x:v>
      </x:c>
      <x:c r="P640" s="35" t="str">
        <x:v>Verify or enter a different loan payment manually from the other client.</x:v>
      </x:c>
      <x:c r="Q640" s="35" t="str">
        <x:v>Synthetic QA only; no real people, accounts, signatures, or properties</x:v>
      </x:c>
    </x:row>
    <x:row r="641">
      <x:c r="A641" s="20" t="str">
        <x:v>SCN-0638</x:v>
      </x:c>
      <x:c r="B641" s="23" t="n">
        <x:v>46588</x:v>
      </x:c>
      <x:c r="C641" s="20" t="str">
        <x:v>scn-0638-loan-payment-ln023-202707.pdf</x:v>
      </x:c>
      <x:c r="D641" s="20" t="str">
        <x:v>Monthly mortgage statement</x:v>
      </x:c>
      <x:c r="E641" s="20" t="str">
        <x:v>Loan payment / Property document</x:v>
      </x:c>
      <x:c r="F641" s="35" t="str">
        <x:v>Attach and match to existing loan; probe typed extraction of principal/interest</x:v>
      </x:c>
      <x:c r="G641" s="20" t="str">
        <x:v>PDF</x:v>
      </x:c>
      <x:c r="H641" s="20" t="str">
        <x:v>3 pages</x:v>
      </x:c>
      <x:c r="I641" s="35" t="str">
        <x:v>clean lender PDF</x:v>
      </x:c>
      <x:c r="J641" s="20" t="str">
        <x:v>P023</x:v>
      </x:c>
      <x:c r="K641" s="20" t="str"/>
      <x:c r="L641" s="20" t="str"/>
      <x:c r="M641" s="20" t="str">
        <x:v>FIN-01313</x:v>
      </x:c>
      <x:c r="N641" s="35" t="str">
        <x:v>loan; due date; payment; principal; interest; escrow; ending principal balance</x:v>
      </x:c>
      <x:c r="O641" s="35" t="str">
        <x:v>principal/interest changes monthly</x:v>
      </x:c>
      <x:c r="P641" s="35" t="str">
        <x:v>Verify or enter a different loan payment manually from the other client.</x:v>
      </x:c>
      <x:c r="Q641" s="35" t="str">
        <x:v>Synthetic QA only; no real people, accounts, signatures, or properties</x:v>
      </x:c>
    </x:row>
    <x:row r="642">
      <x:c r="A642" s="20" t="str">
        <x:v>SCN-0639</x:v>
      </x:c>
      <x:c r="B642" s="23" t="n">
        <x:v>46588</x:v>
      </x:c>
      <x:c r="C642" s="20" t="str">
        <x:v>scn-0639-loan-payment-ln025-202707.pdf</x:v>
      </x:c>
      <x:c r="D642" s="20" t="str">
        <x:v>Monthly mortgage statement</x:v>
      </x:c>
      <x:c r="E642" s="20" t="str">
        <x:v>Loan payment / Property document</x:v>
      </x:c>
      <x:c r="F642" s="35" t="str">
        <x:v>Attach and match to existing loan; probe typed extraction of principal/interest</x:v>
      </x:c>
      <x:c r="G642" s="20" t="str">
        <x:v>PDF</x:v>
      </x:c>
      <x:c r="H642" s="20" t="str">
        <x:v>3 pages</x:v>
      </x:c>
      <x:c r="I642" s="35" t="str">
        <x:v>clean lender PDF</x:v>
      </x:c>
      <x:c r="J642" s="20" t="str">
        <x:v>P025</x:v>
      </x:c>
      <x:c r="K642" s="20" t="str"/>
      <x:c r="L642" s="20" t="str"/>
      <x:c r="M642" s="20" t="str">
        <x:v>FIN-01314</x:v>
      </x:c>
      <x:c r="N642" s="35" t="str">
        <x:v>loan; due date; payment; principal; interest; escrow; ending principal balance</x:v>
      </x:c>
      <x:c r="O642" s="35" t="str">
        <x:v>principal/interest changes monthly</x:v>
      </x:c>
      <x:c r="P642" s="35" t="str">
        <x:v>Verify or enter a different loan payment manually from the other client.</x:v>
      </x:c>
      <x:c r="Q642" s="35" t="str">
        <x:v>Synthetic QA only; no real people, accounts, signatures, or properties</x:v>
      </x:c>
    </x:row>
    <x:row r="643">
      <x:c r="A643" s="20" t="str">
        <x:v>SCN-0640</x:v>
      </x:c>
      <x:c r="B643" s="23" t="n">
        <x:v>46588</x:v>
      </x:c>
      <x:c r="C643" s="20" t="str">
        <x:v>scn-0640-loan-payment-ln026-202707.pdf</x:v>
      </x:c>
      <x:c r="D643" s="20" t="str">
        <x:v>Monthly mortgage statement</x:v>
      </x:c>
      <x:c r="E643" s="20" t="str">
        <x:v>Loan payment / Property document</x:v>
      </x:c>
      <x:c r="F643" s="35" t="str">
        <x:v>Attach and match to existing loan; probe typed extraction of principal/interest</x:v>
      </x:c>
      <x:c r="G643" s="20" t="str">
        <x:v>PDF</x:v>
      </x:c>
      <x:c r="H643" s="20" t="str">
        <x:v>3 pages</x:v>
      </x:c>
      <x:c r="I643" s="35" t="str">
        <x:v>clean lender PDF</x:v>
      </x:c>
      <x:c r="J643" s="20" t="str">
        <x:v>P026</x:v>
      </x:c>
      <x:c r="K643" s="20" t="str"/>
      <x:c r="L643" s="20" t="str"/>
      <x:c r="M643" s="20" t="str">
        <x:v>FIN-01315</x:v>
      </x:c>
      <x:c r="N643" s="35" t="str">
        <x:v>loan; due date; payment; principal; interest; escrow; ending principal balance</x:v>
      </x:c>
      <x:c r="O643" s="35" t="str">
        <x:v>principal/interest changes monthly</x:v>
      </x:c>
      <x:c r="P643" s="35" t="str">
        <x:v>Verify or enter a different loan payment manually from the other client.</x:v>
      </x:c>
      <x:c r="Q643" s="35" t="str">
        <x:v>Synthetic QA only; no real people, accounts, signatures, or properties</x:v>
      </x:c>
    </x:row>
    <x:row r="644">
      <x:c r="A644" s="20" t="str">
        <x:v>SCN-0641</x:v>
      </x:c>
      <x:c r="B644" s="23" t="n">
        <x:v>46588</x:v>
      </x:c>
      <x:c r="C644" s="20" t="str">
        <x:v>scn-0641-loan-payment-ln028-202707.pdf</x:v>
      </x:c>
      <x:c r="D644" s="20" t="str">
        <x:v>Monthly mortgage statement</x:v>
      </x:c>
      <x:c r="E644" s="20" t="str">
        <x:v>Loan payment / Property document</x:v>
      </x:c>
      <x:c r="F644" s="35" t="str">
        <x:v>Attach and match to existing loan; probe typed extraction of principal/interest</x:v>
      </x:c>
      <x:c r="G644" s="20" t="str">
        <x:v>PDF</x:v>
      </x:c>
      <x:c r="H644" s="20" t="str">
        <x:v>3 pages</x:v>
      </x:c>
      <x:c r="I644" s="35" t="str">
        <x:v>clean lender PDF</x:v>
      </x:c>
      <x:c r="J644" s="20" t="str">
        <x:v>P028</x:v>
      </x:c>
      <x:c r="K644" s="20" t="str"/>
      <x:c r="L644" s="20" t="str"/>
      <x:c r="M644" s="20" t="str">
        <x:v>FIN-01316</x:v>
      </x:c>
      <x:c r="N644" s="35" t="str">
        <x:v>loan; due date; payment; principal; interest; escrow; ending principal balance</x:v>
      </x:c>
      <x:c r="O644" s="35" t="str">
        <x:v>principal/interest changes monthly</x:v>
      </x:c>
      <x:c r="P644" s="35" t="str">
        <x:v>Verify or enter a different loan payment manually from the other client.</x:v>
      </x:c>
      <x:c r="Q644" s="35" t="str">
        <x:v>Synthetic QA only; no real people, accounts, signatures, or properties</x:v>
      </x:c>
    </x:row>
    <x:row r="645">
      <x:c r="A645" s="20" t="str">
        <x:v>SCN-0642</x:v>
      </x:c>
      <x:c r="B645" s="23" t="n">
        <x:v>46588</x:v>
      </x:c>
      <x:c r="C645" s="20" t="str">
        <x:v>scn-0642-loan-payment-ln029-202707.pdf</x:v>
      </x:c>
      <x:c r="D645" s="20" t="str">
        <x:v>Monthly mortgage statement</x:v>
      </x:c>
      <x:c r="E645" s="20" t="str">
        <x:v>Loan payment / Property document</x:v>
      </x:c>
      <x:c r="F645" s="35" t="str">
        <x:v>Attach and match to existing loan; probe typed extraction of principal/interest</x:v>
      </x:c>
      <x:c r="G645" s="20" t="str">
        <x:v>PDF</x:v>
      </x:c>
      <x:c r="H645" s="20" t="str">
        <x:v>3 pages</x:v>
      </x:c>
      <x:c r="I645" s="35" t="str">
        <x:v>clean lender PDF</x:v>
      </x:c>
      <x:c r="J645" s="20" t="str">
        <x:v>P029</x:v>
      </x:c>
      <x:c r="K645" s="20" t="str"/>
      <x:c r="L645" s="20" t="str"/>
      <x:c r="M645" s="20" t="str">
        <x:v>FIN-01317</x:v>
      </x:c>
      <x:c r="N645" s="35" t="str">
        <x:v>loan; due date; payment; principal; interest; escrow; ending principal balance</x:v>
      </x:c>
      <x:c r="O645" s="35" t="str">
        <x:v>principal/interest changes monthly</x:v>
      </x:c>
      <x:c r="P645" s="35" t="str">
        <x:v>Verify or enter a different loan payment manually from the other client.</x:v>
      </x:c>
      <x:c r="Q645" s="35" t="str">
        <x:v>Synthetic QA only; no real people, accounts, signatures, or properties</x:v>
      </x:c>
    </x:row>
    <x:row r="646">
      <x:c r="A646" s="20" t="str">
        <x:v>SCN-0643</x:v>
      </x:c>
      <x:c r="B646" s="23" t="n">
        <x:v>46599</x:v>
      </x:c>
      <x:c r="C646" s="20" t="str">
        <x:v>scn-0643-bank-statement-2027-07.pdf</x:v>
      </x:c>
      <x:c r="D646" s="20" t="str">
        <x:v>Operating bank statement</x:v>
      </x:c>
      <x:c r="E646" s="20" t="str">
        <x:v>Banking import</x:v>
      </x:c>
      <x:c r="F646" s="35" t="str">
        <x:v>Bank statement/import candidate; manually import structured transactions if PDF scan is unsupported</x:v>
      </x:c>
      <x:c r="G646" s="20" t="str">
        <x:v>PDF</x:v>
      </x:c>
      <x:c r="H646" s="20" t="str">
        <x:v>8-12 pages</x:v>
      </x:c>
      <x:c r="I646" s="35" t="str">
        <x:v>clean bank PDF with synthetic account ending 4242</x:v>
      </x:c>
      <x:c r="J646" s="20" t="str"/>
      <x:c r="K646" s="20" t="str"/>
      <x:c r="L646" s="20" t="str"/>
      <x:c r="M646" s="20" t="str"/>
      <x:c r="N646" s="35" t="str">
        <x:v>statement period; opening balance; deposits; withdrawals; fees; ending balance; transaction references</x:v>
      </x:c>
      <x:c r="O646" s="35" t="str">
        <x:v>one pending item in March and one duplicate feed row in September</x:v>
      </x:c>
      <x:c r="P646" s="35" t="str">
        <x:v>Use Banking review/match on web and mobile; manually enter one unmatched bank fee.</x:v>
      </x:c>
      <x:c r="Q646" s="35" t="str">
        <x:v>Synthetic QA only; no real people, accounts, signatures, or properties</x:v>
      </x:c>
    </x:row>
    <x:row r="647">
      <x:c r="A647" s="20" t="str">
        <x:v>SCN-0644</x:v>
      </x:c>
      <x:c r="B647" s="23" t="n">
        <x:v>46614</x:v>
      </x:c>
      <x:c r="C647" s="20" t="str">
        <x:v>scn-0644-expense-20270815-1161.jpg</x:v>
      </x:c>
      <x:c r="D647" s="20" t="str">
        <x:v>Vendor invoice / receipt</x:v>
      </x:c>
      <x:c r="E647" s="20" t="str">
        <x:v>Expense</x:v>
      </x:c>
      <x:c r="F647" s="35" t="str">
        <x:v>Direct scan draft with property/unit/work-order context</x:v>
      </x:c>
      <x:c r="G647" s="20" t="str">
        <x:v>Camera JPEG</x:v>
      </x:c>
      <x:c r="H647" s="20" t="str">
        <x:v>1-3 pages</x:v>
      </x:c>
      <x:c r="I647" s="35" t="str">
        <x:v>clean emailed invoice</x:v>
      </x:c>
      <x:c r="J647" s="20" t="str">
        <x:v>P021</x:v>
      </x:c>
      <x:c r="K647" s="20" t="str"/>
      <x:c r="L647" s="20" t="str"/>
      <x:c r="M647" s="20" t="str">
        <x:v>FIN-01323</x:v>
      </x:c>
      <x:c r="N647" s="35" t="str">
        <x:v>vendor; invoice number; date; subtotal; tax; total; category; property; unit; line items; payment method</x:v>
      </x:c>
      <x:c r="O647" s="35" t="str"/>
      <x:c r="P647" s="35" t="str">
        <x:v>Create a different expense of the same category through the equivalent manual form on the other client.</x:v>
      </x:c>
      <x:c r="Q647" s="35" t="str">
        <x:v>Synthetic QA only; no real people, accounts, signatures, or properties</x:v>
      </x:c>
    </x:row>
    <x:row r="648">
      <x:c r="A648" s="20" t="str">
        <x:v>SCN-0645</x:v>
      </x:c>
      <x:c r="B648" s="23" t="n">
        <x:v>46614</x:v>
      </x:c>
      <x:c r="C648" s="20" t="str">
        <x:v>scn-0645-expense-20270815-1162.pdf</x:v>
      </x:c>
      <x:c r="D648" s="20" t="str">
        <x:v>Vendor invoice / receipt</x:v>
      </x:c>
      <x:c r="E648" s="20" t="str">
        <x:v>Expense</x:v>
      </x:c>
      <x:c r="F648" s="35" t="str">
        <x:v>Direct scan draft with property/unit/work-order context</x:v>
      </x:c>
      <x:c r="G648" s="20" t="str">
        <x:v>PDF</x:v>
      </x:c>
      <x:c r="H648" s="20" t="str">
        <x:v>1-3 pages</x:v>
      </x:c>
      <x:c r="I648" s="35" t="str">
        <x:v>crumpled thermal receipt</x:v>
      </x:c>
      <x:c r="J648" s="20" t="str">
        <x:v>P022</x:v>
      </x:c>
      <x:c r="K648" s="20" t="str"/>
      <x:c r="L648" s="20" t="str"/>
      <x:c r="M648" s="20" t="str">
        <x:v>FIN-01324</x:v>
      </x:c>
      <x:c r="N648" s="35" t="str">
        <x:v>vendor; invoice number; date; subtotal; tax; total; category; property; unit; line items; payment method</x:v>
      </x:c>
      <x:c r="O648" s="35" t="str"/>
      <x:c r="P648" s="35" t="str">
        <x:v>Create a different expense of the same category through the equivalent manual form on the other client.</x:v>
      </x:c>
      <x:c r="Q648" s="35" t="str">
        <x:v>Synthetic QA only; no real people, accounts, signatures, or properties</x:v>
      </x:c>
    </x:row>
    <x:row r="649">
      <x:c r="A649" s="20" t="str">
        <x:v>SCN-0646</x:v>
      </x:c>
      <x:c r="B649" s="23" t="n">
        <x:v>46614</x:v>
      </x:c>
      <x:c r="C649" s="20" t="str">
        <x:v>scn-0646-expense-20270815-1163.pdf</x:v>
      </x:c>
      <x:c r="D649" s="20" t="str">
        <x:v>Vendor invoice / receipt</x:v>
      </x:c>
      <x:c r="E649" s="20" t="str">
        <x:v>Expense</x:v>
      </x:c>
      <x:c r="F649" s="35" t="str">
        <x:v>Direct scan draft with property/unit/work-order context</x:v>
      </x:c>
      <x:c r="G649" s="20" t="str">
        <x:v>PDF</x:v>
      </x:c>
      <x:c r="H649" s="20" t="str">
        <x:v>1-3 pages</x:v>
      </x:c>
      <x:c r="I649" s="35" t="str">
        <x:v>phone photo with shadow</x:v>
      </x:c>
      <x:c r="J649" s="20" t="str">
        <x:v>P023</x:v>
      </x:c>
      <x:c r="K649" s="20" t="str"/>
      <x:c r="L649" s="20" t="str"/>
      <x:c r="M649" s="20" t="str">
        <x:v>FIN-01325</x:v>
      </x:c>
      <x:c r="N649" s="35" t="str">
        <x:v>vendor; invoice number; date; subtotal; tax; total; category; property; unit; line items; payment method</x:v>
      </x:c>
      <x:c r="O649" s="35" t="str"/>
      <x:c r="P649" s="35" t="str">
        <x:v>Create a different expense of the same category through the equivalent manual form on the other client.</x:v>
      </x:c>
      <x:c r="Q649" s="35" t="str">
        <x:v>Synthetic QA only; no real people, accounts, signatures, or properties</x:v>
      </x:c>
    </x:row>
    <x:row r="650">
      <x:c r="A650" s="20" t="str">
        <x:v>SCN-0647</x:v>
      </x:c>
      <x:c r="B650" s="23" t="n">
        <x:v>46614</x:v>
      </x:c>
      <x:c r="C650" s="20" t="str">
        <x:v>scn-0647-expense-20270815-1164.jpg</x:v>
      </x:c>
      <x:c r="D650" s="20" t="str">
        <x:v>Vendor invoice / receipt</x:v>
      </x:c>
      <x:c r="E650" s="20" t="str">
        <x:v>Expense</x:v>
      </x:c>
      <x:c r="F650" s="35" t="str">
        <x:v>Direct scan draft with property/unit/work-order context</x:v>
      </x:c>
      <x:c r="G650" s="20" t="str">
        <x:v>Camera JPEG</x:v>
      </x:c>
      <x:c r="H650" s="20" t="str">
        <x:v>1-3 pages</x:v>
      </x:c>
      <x:c r="I650" s="35" t="str">
        <x:v>clean emailed invoice</x:v>
      </x:c>
      <x:c r="J650" s="20" t="str">
        <x:v>P024</x:v>
      </x:c>
      <x:c r="K650" s="20" t="str"/>
      <x:c r="L650" s="20" t="str"/>
      <x:c r="M650" s="20" t="str">
        <x:v>FIN-01326</x:v>
      </x:c>
      <x:c r="N650" s="35" t="str">
        <x:v>vendor; invoice number; date; subtotal; tax; total; category; property; unit; line items; payment method</x:v>
      </x:c>
      <x:c r="O650" s="35" t="str"/>
      <x:c r="P650" s="35" t="str">
        <x:v>Create a different expense of the same category through the equivalent manual form on the other client.</x:v>
      </x:c>
      <x:c r="Q650" s="35" t="str">
        <x:v>Synthetic QA only; no real people, accounts, signatures, or properties</x:v>
      </x:c>
    </x:row>
    <x:row r="651">
      <x:c r="A651" s="20" t="str">
        <x:v>SCN-0648</x:v>
      </x:c>
      <x:c r="B651" s="23" t="n">
        <x:v>46614</x:v>
      </x:c>
      <x:c r="C651" s="20" t="str">
        <x:v>scn-0648-expense-20270815-1166.pdf</x:v>
      </x:c>
      <x:c r="D651" s="20" t="str">
        <x:v>Vendor invoice / receipt</x:v>
      </x:c>
      <x:c r="E651" s="20" t="str">
        <x:v>Expense</x:v>
      </x:c>
      <x:c r="F651" s="35" t="str">
        <x:v>Direct scan draft with property/unit/work-order context</x:v>
      </x:c>
      <x:c r="G651" s="20" t="str">
        <x:v>PDF</x:v>
      </x:c>
      <x:c r="H651" s="20" t="str">
        <x:v>1-3 pages</x:v>
      </x:c>
      <x:c r="I651" s="35" t="str">
        <x:v>phone photo with shadow</x:v>
      </x:c>
      <x:c r="J651" s="20" t="str">
        <x:v>P026</x:v>
      </x:c>
      <x:c r="K651" s="20" t="str"/>
      <x:c r="L651" s="20" t="str"/>
      <x:c r="M651" s="20" t="str">
        <x:v>FIN-01328</x:v>
      </x:c>
      <x:c r="N651" s="35" t="str">
        <x:v>vendor; invoice number; date; subtotal; tax; total; category; property; unit; line items; payment method</x:v>
      </x:c>
      <x:c r="O651" s="35" t="str"/>
      <x:c r="P651" s="35" t="str">
        <x:v>Create a different expense of the same category through the equivalent manual form on the other client.</x:v>
      </x:c>
      <x:c r="Q651" s="35" t="str">
        <x:v>Synthetic QA only; no real people, accounts, signatures, or properties</x:v>
      </x:c>
    </x:row>
    <x:row r="652">
      <x:c r="A652" s="20" t="str">
        <x:v>SCN-0649</x:v>
      </x:c>
      <x:c r="B652" s="23" t="n">
        <x:v>46614</x:v>
      </x:c>
      <x:c r="C652" s="20" t="str">
        <x:v>scn-0649-expense-20270815-1167.jpg</x:v>
      </x:c>
      <x:c r="D652" s="20" t="str">
        <x:v>Vendor invoice / receipt</x:v>
      </x:c>
      <x:c r="E652" s="20" t="str">
        <x:v>Expense</x:v>
      </x:c>
      <x:c r="F652" s="35" t="str">
        <x:v>Direct scan draft with property/unit/work-order context</x:v>
      </x:c>
      <x:c r="G652" s="20" t="str">
        <x:v>Camera JPEG</x:v>
      </x:c>
      <x:c r="H652" s="20" t="str">
        <x:v>1-3 pages</x:v>
      </x:c>
      <x:c r="I652" s="35" t="str">
        <x:v>clean emailed invoice</x:v>
      </x:c>
      <x:c r="J652" s="20" t="str">
        <x:v>P027</x:v>
      </x:c>
      <x:c r="K652" s="20" t="str"/>
      <x:c r="L652" s="20" t="str"/>
      <x:c r="M652" s="20" t="str">
        <x:v>FIN-01329</x:v>
      </x:c>
      <x:c r="N652" s="35" t="str">
        <x:v>vendor; invoice number; date; subtotal; tax; total; category; property; unit; line items; payment method</x:v>
      </x:c>
      <x:c r="O652" s="35" t="str"/>
      <x:c r="P652" s="35" t="str">
        <x:v>Create a different expense of the same category through the equivalent manual form on the other client.</x:v>
      </x:c>
      <x:c r="Q652" s="35" t="str">
        <x:v>Synthetic QA only; no real people, accounts, signatures, or properties</x:v>
      </x:c>
    </x:row>
    <x:row r="653">
      <x:c r="A653" s="20" t="str">
        <x:v>SCN-0650</x:v>
      </x:c>
      <x:c r="B653" s="23" t="n">
        <x:v>46614</x:v>
      </x:c>
      <x:c r="C653" s="20" t="str">
        <x:v>scn-0650-expense-20270815-1168.pdf</x:v>
      </x:c>
      <x:c r="D653" s="20" t="str">
        <x:v>Vendor invoice / receipt</x:v>
      </x:c>
      <x:c r="E653" s="20" t="str">
        <x:v>Expense</x:v>
      </x:c>
      <x:c r="F653" s="35" t="str">
        <x:v>Direct scan draft with property/unit/work-order context</x:v>
      </x:c>
      <x:c r="G653" s="20" t="str">
        <x:v>PDF</x:v>
      </x:c>
      <x:c r="H653" s="20" t="str">
        <x:v>1-3 pages</x:v>
      </x:c>
      <x:c r="I653" s="35" t="str">
        <x:v>crumpled thermal receipt</x:v>
      </x:c>
      <x:c r="J653" s="20" t="str">
        <x:v>P028</x:v>
      </x:c>
      <x:c r="K653" s="20" t="str"/>
      <x:c r="L653" s="20" t="str"/>
      <x:c r="M653" s="20" t="str">
        <x:v>FIN-01330</x:v>
      </x:c>
      <x:c r="N653" s="35" t="str">
        <x:v>vendor; invoice number; date; subtotal; tax; total; category; property; unit; line items; payment method</x:v>
      </x:c>
      <x:c r="O653" s="35" t="str"/>
      <x:c r="P653" s="35" t="str">
        <x:v>Create a different expense of the same category through the equivalent manual form on the other client.</x:v>
      </x:c>
      <x:c r="Q653" s="35" t="str">
        <x:v>Synthetic QA only; no real people, accounts, signatures, or properties</x:v>
      </x:c>
    </x:row>
    <x:row r="654">
      <x:c r="A654" s="20" t="str">
        <x:v>SCN-0651</x:v>
      </x:c>
      <x:c r="B654" s="23" t="n">
        <x:v>46614</x:v>
      </x:c>
      <x:c r="C654" s="20" t="str">
        <x:v>scn-0651-expense-20270815-1169.pdf</x:v>
      </x:c>
      <x:c r="D654" s="20" t="str">
        <x:v>Vendor invoice / receipt</x:v>
      </x:c>
      <x:c r="E654" s="20" t="str">
        <x:v>Expense</x:v>
      </x:c>
      <x:c r="F654" s="35" t="str">
        <x:v>Direct scan draft with property/unit/work-order context</x:v>
      </x:c>
      <x:c r="G654" s="20" t="str">
        <x:v>PDF</x:v>
      </x:c>
      <x:c r="H654" s="20" t="str">
        <x:v>1-3 pages</x:v>
      </x:c>
      <x:c r="I654" s="35" t="str">
        <x:v>phone photo with shadow</x:v>
      </x:c>
      <x:c r="J654" s="20" t="str">
        <x:v>P029</x:v>
      </x:c>
      <x:c r="K654" s="20" t="str"/>
      <x:c r="L654" s="20" t="str"/>
      <x:c r="M654" s="20" t="str">
        <x:v>FIN-01331</x:v>
      </x:c>
      <x:c r="N654" s="35" t="str">
        <x:v>vendor; invoice number; date; subtotal; tax; total; category; property; unit; line items; payment method</x:v>
      </x:c>
      <x:c r="O654" s="35" t="str"/>
      <x:c r="P654" s="35" t="str">
        <x:v>Create a different expense of the same category through the equivalent manual form on the other client.</x:v>
      </x:c>
      <x:c r="Q654" s="35" t="str">
        <x:v>Synthetic QA only; no real people, accounts, signatures, or properties</x:v>
      </x:c>
    </x:row>
    <x:row r="655">
      <x:c r="A655" s="20" t="str">
        <x:v>SCN-0652</x:v>
      </x:c>
      <x:c r="B655" s="23" t="n">
        <x:v>46619</x:v>
      </x:c>
      <x:c r="C655" s="20" t="str">
        <x:v>scn-0652-loan-payment-ln001-202708.pdf</x:v>
      </x:c>
      <x:c r="D655" s="20" t="str">
        <x:v>Monthly mortgage statement</x:v>
      </x:c>
      <x:c r="E655" s="20" t="str">
        <x:v>Loan payment / Property document</x:v>
      </x:c>
      <x:c r="F655" s="35" t="str">
        <x:v>Attach and match to existing loan; probe typed extraction of principal/interest</x:v>
      </x:c>
      <x:c r="G655" s="20" t="str">
        <x:v>PDF</x:v>
      </x:c>
      <x:c r="H655" s="20" t="str">
        <x:v>3 pages</x:v>
      </x:c>
      <x:c r="I655" s="35" t="str">
        <x:v>clean lender PDF</x:v>
      </x:c>
      <x:c r="J655" s="20" t="str">
        <x:v>P001</x:v>
      </x:c>
      <x:c r="K655" s="20" t="str"/>
      <x:c r="L655" s="20" t="str"/>
      <x:c r="M655" s="20" t="str">
        <x:v>FIN-01333</x:v>
      </x:c>
      <x:c r="N655" s="35" t="str">
        <x:v>loan; due date; payment; principal; interest; escrow; ending principal balance</x:v>
      </x:c>
      <x:c r="O655" s="35" t="str">
        <x:v>principal/interest changes monthly</x:v>
      </x:c>
      <x:c r="P655" s="35" t="str">
        <x:v>Verify or enter a different loan payment manually from the other client.</x:v>
      </x:c>
      <x:c r="Q655" s="35" t="str">
        <x:v>Synthetic QA only; no real people, accounts, signatures, or properties</x:v>
      </x:c>
    </x:row>
    <x:row r="656">
      <x:c r="A656" s="20" t="str">
        <x:v>SCN-0653</x:v>
      </x:c>
      <x:c r="B656" s="23" t="n">
        <x:v>46619</x:v>
      </x:c>
      <x:c r="C656" s="20" t="str">
        <x:v>scn-0653-loan-payment-ln002-202708.pdf</x:v>
      </x:c>
      <x:c r="D656" s="20" t="str">
        <x:v>Monthly mortgage statement</x:v>
      </x:c>
      <x:c r="E656" s="20" t="str">
        <x:v>Loan payment / Property document</x:v>
      </x:c>
      <x:c r="F656" s="35" t="str">
        <x:v>Attach and match to existing loan; probe typed extraction of principal/interest</x:v>
      </x:c>
      <x:c r="G656" s="20" t="str">
        <x:v>PDF</x:v>
      </x:c>
      <x:c r="H656" s="20" t="str">
        <x:v>3 pages</x:v>
      </x:c>
      <x:c r="I656" s="35" t="str">
        <x:v>clean lender PDF</x:v>
      </x:c>
      <x:c r="J656" s="20" t="str">
        <x:v>P002</x:v>
      </x:c>
      <x:c r="K656" s="20" t="str"/>
      <x:c r="L656" s="20" t="str"/>
      <x:c r="M656" s="20" t="str">
        <x:v>FIN-01334</x:v>
      </x:c>
      <x:c r="N656" s="35" t="str">
        <x:v>loan; due date; payment; principal; interest; escrow; ending principal balance</x:v>
      </x:c>
      <x:c r="O656" s="35" t="str">
        <x:v>principal/interest changes monthly</x:v>
      </x:c>
      <x:c r="P656" s="35" t="str">
        <x:v>Verify or enter a different loan payment manually from the other client.</x:v>
      </x:c>
      <x:c r="Q656" s="35" t="str">
        <x:v>Synthetic QA only; no real people, accounts, signatures, or properties</x:v>
      </x:c>
    </x:row>
    <x:row r="657">
      <x:c r="A657" s="20" t="str">
        <x:v>SCN-0654</x:v>
      </x:c>
      <x:c r="B657" s="23" t="n">
        <x:v>46619</x:v>
      </x:c>
      <x:c r="C657" s="20" t="str">
        <x:v>scn-0654-loan-payment-ln004-202708.pdf</x:v>
      </x:c>
      <x:c r="D657" s="20" t="str">
        <x:v>Monthly mortgage statement</x:v>
      </x:c>
      <x:c r="E657" s="20" t="str">
        <x:v>Loan payment / Property document</x:v>
      </x:c>
      <x:c r="F657" s="35" t="str">
        <x:v>Attach and match to existing loan; probe typed extraction of principal/interest</x:v>
      </x:c>
      <x:c r="G657" s="20" t="str">
        <x:v>PDF</x:v>
      </x:c>
      <x:c r="H657" s="20" t="str">
        <x:v>3 pages</x:v>
      </x:c>
      <x:c r="I657" s="35" t="str">
        <x:v>clean lender PDF</x:v>
      </x:c>
      <x:c r="J657" s="20" t="str">
        <x:v>P004</x:v>
      </x:c>
      <x:c r="K657" s="20" t="str"/>
      <x:c r="L657" s="20" t="str"/>
      <x:c r="M657" s="20" t="str">
        <x:v>FIN-01335</x:v>
      </x:c>
      <x:c r="N657" s="35" t="str">
        <x:v>loan; due date; payment; principal; interest; escrow; ending principal balance</x:v>
      </x:c>
      <x:c r="O657" s="35" t="str">
        <x:v>principal/interest changes monthly</x:v>
      </x:c>
      <x:c r="P657" s="35" t="str">
        <x:v>Verify or enter a different loan payment manually from the other client.</x:v>
      </x:c>
      <x:c r="Q657" s="35" t="str">
        <x:v>Synthetic QA only; no real people, accounts, signatures, or properties</x:v>
      </x:c>
    </x:row>
    <x:row r="658">
      <x:c r="A658" s="20" t="str">
        <x:v>SCN-0655</x:v>
      </x:c>
      <x:c r="B658" s="23" t="n">
        <x:v>46619</x:v>
      </x:c>
      <x:c r="C658" s="20" t="str">
        <x:v>scn-0655-loan-payment-ln005-202708.pdf</x:v>
      </x:c>
      <x:c r="D658" s="20" t="str">
        <x:v>Monthly mortgage statement</x:v>
      </x:c>
      <x:c r="E658" s="20" t="str">
        <x:v>Loan payment / Property document</x:v>
      </x:c>
      <x:c r="F658" s="35" t="str">
        <x:v>Attach and match to existing loan; probe typed extraction of principal/interest</x:v>
      </x:c>
      <x:c r="G658" s="20" t="str">
        <x:v>PDF</x:v>
      </x:c>
      <x:c r="H658" s="20" t="str">
        <x:v>3 pages</x:v>
      </x:c>
      <x:c r="I658" s="35" t="str">
        <x:v>clean lender PDF</x:v>
      </x:c>
      <x:c r="J658" s="20" t="str">
        <x:v>P005</x:v>
      </x:c>
      <x:c r="K658" s="20" t="str"/>
      <x:c r="L658" s="20" t="str"/>
      <x:c r="M658" s="20" t="str">
        <x:v>FIN-01336</x:v>
      </x:c>
      <x:c r="N658" s="35" t="str">
        <x:v>loan; due date; payment; principal; interest; escrow; ending principal balance</x:v>
      </x:c>
      <x:c r="O658" s="35" t="str">
        <x:v>principal/interest changes monthly</x:v>
      </x:c>
      <x:c r="P658" s="35" t="str">
        <x:v>Verify or enter a different loan payment manually from the other client.</x:v>
      </x:c>
      <x:c r="Q658" s="35" t="str">
        <x:v>Synthetic QA only; no real people, accounts, signatures, or properties</x:v>
      </x:c>
    </x:row>
    <x:row r="659">
      <x:c r="A659" s="20" t="str">
        <x:v>SCN-0656</x:v>
      </x:c>
      <x:c r="B659" s="23" t="n">
        <x:v>46619</x:v>
      </x:c>
      <x:c r="C659" s="20" t="str">
        <x:v>scn-0656-loan-payment-ln007-202708.pdf</x:v>
      </x:c>
      <x:c r="D659" s="20" t="str">
        <x:v>Monthly mortgage statement</x:v>
      </x:c>
      <x:c r="E659" s="20" t="str">
        <x:v>Loan payment / Property document</x:v>
      </x:c>
      <x:c r="F659" s="35" t="str">
        <x:v>Attach and match to existing loan; probe typed extraction of principal/interest</x:v>
      </x:c>
      <x:c r="G659" s="20" t="str">
        <x:v>PDF</x:v>
      </x:c>
      <x:c r="H659" s="20" t="str">
        <x:v>3 pages</x:v>
      </x:c>
      <x:c r="I659" s="35" t="str">
        <x:v>clean lender PDF</x:v>
      </x:c>
      <x:c r="J659" s="20" t="str">
        <x:v>P007</x:v>
      </x:c>
      <x:c r="K659" s="20" t="str"/>
      <x:c r="L659" s="20" t="str"/>
      <x:c r="M659" s="20" t="str">
        <x:v>FIN-01337</x:v>
      </x:c>
      <x:c r="N659" s="35" t="str">
        <x:v>loan; due date; payment; principal; interest; escrow; ending principal balance</x:v>
      </x:c>
      <x:c r="O659" s="35" t="str">
        <x:v>principal/interest changes monthly</x:v>
      </x:c>
      <x:c r="P659" s="35" t="str">
        <x:v>Verify or enter a different loan payment manually from the other client.</x:v>
      </x:c>
      <x:c r="Q659" s="35" t="str">
        <x:v>Synthetic QA only; no real people, accounts, signatures, or properties</x:v>
      </x:c>
    </x:row>
    <x:row r="660">
      <x:c r="A660" s="20" t="str">
        <x:v>SCN-0657</x:v>
      </x:c>
      <x:c r="B660" s="23" t="n">
        <x:v>46619</x:v>
      </x:c>
      <x:c r="C660" s="20" t="str">
        <x:v>scn-0657-loan-payment-ln008-202708.pdf</x:v>
      </x:c>
      <x:c r="D660" s="20" t="str">
        <x:v>Monthly mortgage statement</x:v>
      </x:c>
      <x:c r="E660" s="20" t="str">
        <x:v>Loan payment / Property document</x:v>
      </x:c>
      <x:c r="F660" s="35" t="str">
        <x:v>Attach and match to existing loan; probe typed extraction of principal/interest</x:v>
      </x:c>
      <x:c r="G660" s="20" t="str">
        <x:v>PDF</x:v>
      </x:c>
      <x:c r="H660" s="20" t="str">
        <x:v>3 pages</x:v>
      </x:c>
      <x:c r="I660" s="35" t="str">
        <x:v>clean lender PDF</x:v>
      </x:c>
      <x:c r="J660" s="20" t="str">
        <x:v>P008</x:v>
      </x:c>
      <x:c r="K660" s="20" t="str"/>
      <x:c r="L660" s="20" t="str"/>
      <x:c r="M660" s="20" t="str">
        <x:v>FIN-01338</x:v>
      </x:c>
      <x:c r="N660" s="35" t="str">
        <x:v>loan; due date; payment; principal; interest; escrow; ending principal balance</x:v>
      </x:c>
      <x:c r="O660" s="35" t="str">
        <x:v>principal/interest changes monthly</x:v>
      </x:c>
      <x:c r="P660" s="35" t="str">
        <x:v>Verify or enter a different loan payment manually from the other client.</x:v>
      </x:c>
      <x:c r="Q660" s="35" t="str">
        <x:v>Synthetic QA only; no real people, accounts, signatures, or properties</x:v>
      </x:c>
    </x:row>
    <x:row r="661">
      <x:c r="A661" s="20" t="str">
        <x:v>SCN-0658</x:v>
      </x:c>
      <x:c r="B661" s="23" t="n">
        <x:v>46619</x:v>
      </x:c>
      <x:c r="C661" s="20" t="str">
        <x:v>scn-0658-loan-payment-ln010-202708.pdf</x:v>
      </x:c>
      <x:c r="D661" s="20" t="str">
        <x:v>Monthly mortgage statement</x:v>
      </x:c>
      <x:c r="E661" s="20" t="str">
        <x:v>Loan payment / Property document</x:v>
      </x:c>
      <x:c r="F661" s="35" t="str">
        <x:v>Attach and match to existing loan; probe typed extraction of principal/interest</x:v>
      </x:c>
      <x:c r="G661" s="20" t="str">
        <x:v>PDF</x:v>
      </x:c>
      <x:c r="H661" s="20" t="str">
        <x:v>3 pages</x:v>
      </x:c>
      <x:c r="I661" s="35" t="str">
        <x:v>clean lender PDF</x:v>
      </x:c>
      <x:c r="J661" s="20" t="str">
        <x:v>P010</x:v>
      </x:c>
      <x:c r="K661" s="20" t="str"/>
      <x:c r="L661" s="20" t="str"/>
      <x:c r="M661" s="20" t="str">
        <x:v>FIN-01339</x:v>
      </x:c>
      <x:c r="N661" s="35" t="str">
        <x:v>loan; due date; payment; principal; interest; escrow; ending principal balance</x:v>
      </x:c>
      <x:c r="O661" s="35" t="str">
        <x:v>principal/interest changes monthly</x:v>
      </x:c>
      <x:c r="P661" s="35" t="str">
        <x:v>Verify or enter a different loan payment manually from the other client.</x:v>
      </x:c>
      <x:c r="Q661" s="35" t="str">
        <x:v>Synthetic QA only; no real people, accounts, signatures, or properties</x:v>
      </x:c>
    </x:row>
    <x:row r="662">
      <x:c r="A662" s="20" t="str">
        <x:v>SCN-0659</x:v>
      </x:c>
      <x:c r="B662" s="23" t="n">
        <x:v>46619</x:v>
      </x:c>
      <x:c r="C662" s="20" t="str">
        <x:v>scn-0659-loan-payment-ln011-202708.pdf</x:v>
      </x:c>
      <x:c r="D662" s="20" t="str">
        <x:v>Monthly mortgage statement</x:v>
      </x:c>
      <x:c r="E662" s="20" t="str">
        <x:v>Loan payment / Property document</x:v>
      </x:c>
      <x:c r="F662" s="35" t="str">
        <x:v>Attach and match to existing loan; probe typed extraction of principal/interest</x:v>
      </x:c>
      <x:c r="G662" s="20" t="str">
        <x:v>PDF</x:v>
      </x:c>
      <x:c r="H662" s="20" t="str">
        <x:v>3 pages</x:v>
      </x:c>
      <x:c r="I662" s="35" t="str">
        <x:v>clean lender PDF</x:v>
      </x:c>
      <x:c r="J662" s="20" t="str">
        <x:v>P011</x:v>
      </x:c>
      <x:c r="K662" s="20" t="str"/>
      <x:c r="L662" s="20" t="str"/>
      <x:c r="M662" s="20" t="str">
        <x:v>FIN-01340</x:v>
      </x:c>
      <x:c r="N662" s="35" t="str">
        <x:v>loan; due date; payment; principal; interest; escrow; ending principal balance</x:v>
      </x:c>
      <x:c r="O662" s="35" t="str">
        <x:v>principal/interest changes monthly</x:v>
      </x:c>
      <x:c r="P662" s="35" t="str">
        <x:v>Verify or enter a different loan payment manually from the other client.</x:v>
      </x:c>
      <x:c r="Q662" s="35" t="str">
        <x:v>Synthetic QA only; no real people, accounts, signatures, or properties</x:v>
      </x:c>
    </x:row>
    <x:row r="663">
      <x:c r="A663" s="20" t="str">
        <x:v>SCN-0660</x:v>
      </x:c>
      <x:c r="B663" s="23" t="n">
        <x:v>46619</x:v>
      </x:c>
      <x:c r="C663" s="20" t="str">
        <x:v>scn-0660-loan-payment-ln013-202708.pdf</x:v>
      </x:c>
      <x:c r="D663" s="20" t="str">
        <x:v>Monthly mortgage statement</x:v>
      </x:c>
      <x:c r="E663" s="20" t="str">
        <x:v>Loan payment / Property document</x:v>
      </x:c>
      <x:c r="F663" s="35" t="str">
        <x:v>Attach and match to existing loan; probe typed extraction of principal/interest</x:v>
      </x:c>
      <x:c r="G663" s="20" t="str">
        <x:v>PDF</x:v>
      </x:c>
      <x:c r="H663" s="20" t="str">
        <x:v>3 pages</x:v>
      </x:c>
      <x:c r="I663" s="35" t="str">
        <x:v>clean lender PDF</x:v>
      </x:c>
      <x:c r="J663" s="20" t="str">
        <x:v>P013</x:v>
      </x:c>
      <x:c r="K663" s="20" t="str"/>
      <x:c r="L663" s="20" t="str"/>
      <x:c r="M663" s="20" t="str">
        <x:v>FIN-01341</x:v>
      </x:c>
      <x:c r="N663" s="35" t="str">
        <x:v>loan; due date; payment; principal; interest; escrow; ending principal balance</x:v>
      </x:c>
      <x:c r="O663" s="35" t="str">
        <x:v>principal/interest changes monthly</x:v>
      </x:c>
      <x:c r="P663" s="35" t="str">
        <x:v>Verify or enter a different loan payment manually from the other client.</x:v>
      </x:c>
      <x:c r="Q663" s="35" t="str">
        <x:v>Synthetic QA only; no real people, accounts, signatures, or properties</x:v>
      </x:c>
    </x:row>
    <x:row r="664">
      <x:c r="A664" s="20" t="str">
        <x:v>SCN-0661</x:v>
      </x:c>
      <x:c r="B664" s="23" t="n">
        <x:v>46619</x:v>
      </x:c>
      <x:c r="C664" s="20" t="str">
        <x:v>scn-0661-loan-payment-ln014-202708.pdf</x:v>
      </x:c>
      <x:c r="D664" s="20" t="str">
        <x:v>Monthly mortgage statement</x:v>
      </x:c>
      <x:c r="E664" s="20" t="str">
        <x:v>Loan payment / Property document</x:v>
      </x:c>
      <x:c r="F664" s="35" t="str">
        <x:v>Attach and match to existing loan; probe typed extraction of principal/interest</x:v>
      </x:c>
      <x:c r="G664" s="20" t="str">
        <x:v>PDF</x:v>
      </x:c>
      <x:c r="H664" s="20" t="str">
        <x:v>3 pages</x:v>
      </x:c>
      <x:c r="I664" s="35" t="str">
        <x:v>clean lender PDF</x:v>
      </x:c>
      <x:c r="J664" s="20" t="str">
        <x:v>P014</x:v>
      </x:c>
      <x:c r="K664" s="20" t="str"/>
      <x:c r="L664" s="20" t="str"/>
      <x:c r="M664" s="20" t="str">
        <x:v>FIN-01342</x:v>
      </x:c>
      <x:c r="N664" s="35" t="str">
        <x:v>loan; due date; payment; principal; interest; escrow; ending principal balance</x:v>
      </x:c>
      <x:c r="O664" s="35" t="str">
        <x:v>principal/interest changes monthly</x:v>
      </x:c>
      <x:c r="P664" s="35" t="str">
        <x:v>Verify or enter a different loan payment manually from the other client.</x:v>
      </x:c>
      <x:c r="Q664" s="35" t="str">
        <x:v>Synthetic QA only; no real people, accounts, signatures, or properties</x:v>
      </x:c>
    </x:row>
    <x:row r="665">
      <x:c r="A665" s="20" t="str">
        <x:v>SCN-0662</x:v>
      </x:c>
      <x:c r="B665" s="23" t="n">
        <x:v>46619</x:v>
      </x:c>
      <x:c r="C665" s="20" t="str">
        <x:v>scn-0662-loan-payment-ln016-202708.pdf</x:v>
      </x:c>
      <x:c r="D665" s="20" t="str">
        <x:v>Monthly mortgage statement</x:v>
      </x:c>
      <x:c r="E665" s="20" t="str">
        <x:v>Loan payment / Property document</x:v>
      </x:c>
      <x:c r="F665" s="35" t="str">
        <x:v>Attach and match to existing loan; probe typed extraction of principal/interest</x:v>
      </x:c>
      <x:c r="G665" s="20" t="str">
        <x:v>PDF</x:v>
      </x:c>
      <x:c r="H665" s="20" t="str">
        <x:v>3 pages</x:v>
      </x:c>
      <x:c r="I665" s="35" t="str">
        <x:v>clean lender PDF</x:v>
      </x:c>
      <x:c r="J665" s="20" t="str">
        <x:v>P016</x:v>
      </x:c>
      <x:c r="K665" s="20" t="str"/>
      <x:c r="L665" s="20" t="str"/>
      <x:c r="M665" s="20" t="str">
        <x:v>FIN-01343</x:v>
      </x:c>
      <x:c r="N665" s="35" t="str">
        <x:v>loan; due date; payment; principal; interest; escrow; ending principal balance</x:v>
      </x:c>
      <x:c r="O665" s="35" t="str">
        <x:v>principal/interest changes monthly</x:v>
      </x:c>
      <x:c r="P665" s="35" t="str">
        <x:v>Verify or enter a different loan payment manually from the other client.</x:v>
      </x:c>
      <x:c r="Q665" s="35" t="str">
        <x:v>Synthetic QA only; no real people, accounts, signatures, or properties</x:v>
      </x:c>
    </x:row>
    <x:row r="666">
      <x:c r="A666" s="20" t="str">
        <x:v>SCN-0663</x:v>
      </x:c>
      <x:c r="B666" s="23" t="n">
        <x:v>46619</x:v>
      </x:c>
      <x:c r="C666" s="20" t="str">
        <x:v>scn-0663-loan-payment-ln017-202708.pdf</x:v>
      </x:c>
      <x:c r="D666" s="20" t="str">
        <x:v>Monthly mortgage statement</x:v>
      </x:c>
      <x:c r="E666" s="20" t="str">
        <x:v>Loan payment / Property document</x:v>
      </x:c>
      <x:c r="F666" s="35" t="str">
        <x:v>Attach and match to existing loan; probe typed extraction of principal/interest</x:v>
      </x:c>
      <x:c r="G666" s="20" t="str">
        <x:v>PDF</x:v>
      </x:c>
      <x:c r="H666" s="20" t="str">
        <x:v>3 pages</x:v>
      </x:c>
      <x:c r="I666" s="35" t="str">
        <x:v>clean lender PDF</x:v>
      </x:c>
      <x:c r="J666" s="20" t="str">
        <x:v>P017</x:v>
      </x:c>
      <x:c r="K666" s="20" t="str"/>
      <x:c r="L666" s="20" t="str"/>
      <x:c r="M666" s="20" t="str">
        <x:v>FIN-01344</x:v>
      </x:c>
      <x:c r="N666" s="35" t="str">
        <x:v>loan; due date; payment; principal; interest; escrow; ending principal balance</x:v>
      </x:c>
      <x:c r="O666" s="35" t="str">
        <x:v>principal/interest changes monthly</x:v>
      </x:c>
      <x:c r="P666" s="35" t="str">
        <x:v>Verify or enter a different loan payment manually from the other client.</x:v>
      </x:c>
      <x:c r="Q666" s="35" t="str">
        <x:v>Synthetic QA only; no real people, accounts, signatures, or properties</x:v>
      </x:c>
    </x:row>
    <x:row r="667">
      <x:c r="A667" s="20" t="str">
        <x:v>SCN-0664</x:v>
      </x:c>
      <x:c r="B667" s="23" t="n">
        <x:v>46619</x:v>
      </x:c>
      <x:c r="C667" s="20" t="str">
        <x:v>scn-0664-loan-payment-ln019-202708.pdf</x:v>
      </x:c>
      <x:c r="D667" s="20" t="str">
        <x:v>Monthly mortgage statement</x:v>
      </x:c>
      <x:c r="E667" s="20" t="str">
        <x:v>Loan payment / Property document</x:v>
      </x:c>
      <x:c r="F667" s="35" t="str">
        <x:v>Attach and match to existing loan; probe typed extraction of principal/interest</x:v>
      </x:c>
      <x:c r="G667" s="20" t="str">
        <x:v>PDF</x:v>
      </x:c>
      <x:c r="H667" s="20" t="str">
        <x:v>3 pages</x:v>
      </x:c>
      <x:c r="I667" s="35" t="str">
        <x:v>clean lender PDF</x:v>
      </x:c>
      <x:c r="J667" s="20" t="str">
        <x:v>P019</x:v>
      </x:c>
      <x:c r="K667" s="20" t="str"/>
      <x:c r="L667" s="20" t="str"/>
      <x:c r="M667" s="20" t="str">
        <x:v>FIN-01345</x:v>
      </x:c>
      <x:c r="N667" s="35" t="str">
        <x:v>loan; due date; payment; principal; interest; escrow; ending principal balance</x:v>
      </x:c>
      <x:c r="O667" s="35" t="str">
        <x:v>principal/interest changes monthly</x:v>
      </x:c>
      <x:c r="P667" s="35" t="str">
        <x:v>Verify or enter a different loan payment manually from the other client.</x:v>
      </x:c>
      <x:c r="Q667" s="35" t="str">
        <x:v>Synthetic QA only; no real people, accounts, signatures, or properties</x:v>
      </x:c>
    </x:row>
    <x:row r="668">
      <x:c r="A668" s="20" t="str">
        <x:v>SCN-0665</x:v>
      </x:c>
      <x:c r="B668" s="23" t="n">
        <x:v>46619</x:v>
      </x:c>
      <x:c r="C668" s="20" t="str">
        <x:v>scn-0665-loan-payment-ln020-202708.pdf</x:v>
      </x:c>
      <x:c r="D668" s="20" t="str">
        <x:v>Monthly mortgage statement</x:v>
      </x:c>
      <x:c r="E668" s="20" t="str">
        <x:v>Loan payment / Property document</x:v>
      </x:c>
      <x:c r="F668" s="35" t="str">
        <x:v>Attach and match to existing loan; probe typed extraction of principal/interest</x:v>
      </x:c>
      <x:c r="G668" s="20" t="str">
        <x:v>PDF</x:v>
      </x:c>
      <x:c r="H668" s="20" t="str">
        <x:v>3 pages</x:v>
      </x:c>
      <x:c r="I668" s="35" t="str">
        <x:v>clean lender PDF</x:v>
      </x:c>
      <x:c r="J668" s="20" t="str">
        <x:v>P020</x:v>
      </x:c>
      <x:c r="K668" s="20" t="str"/>
      <x:c r="L668" s="20" t="str"/>
      <x:c r="M668" s="20" t="str">
        <x:v>FIN-01346</x:v>
      </x:c>
      <x:c r="N668" s="35" t="str">
        <x:v>loan; due date; payment; principal; interest; escrow; ending principal balance</x:v>
      </x:c>
      <x:c r="O668" s="35" t="str">
        <x:v>principal/interest changes monthly</x:v>
      </x:c>
      <x:c r="P668" s="35" t="str">
        <x:v>Verify or enter a different loan payment manually from the other client.</x:v>
      </x:c>
      <x:c r="Q668" s="35" t="str">
        <x:v>Synthetic QA only; no real people, accounts, signatures, or properties</x:v>
      </x:c>
    </x:row>
    <x:row r="669">
      <x:c r="A669" s="20" t="str">
        <x:v>SCN-0666</x:v>
      </x:c>
      <x:c r="B669" s="23" t="n">
        <x:v>46619</x:v>
      </x:c>
      <x:c r="C669" s="20" t="str">
        <x:v>scn-0666-loan-payment-ln022-202708.pdf</x:v>
      </x:c>
      <x:c r="D669" s="20" t="str">
        <x:v>Monthly mortgage statement</x:v>
      </x:c>
      <x:c r="E669" s="20" t="str">
        <x:v>Loan payment / Property document</x:v>
      </x:c>
      <x:c r="F669" s="35" t="str">
        <x:v>Attach and match to existing loan; probe typed extraction of principal/interest</x:v>
      </x:c>
      <x:c r="G669" s="20" t="str">
        <x:v>PDF</x:v>
      </x:c>
      <x:c r="H669" s="20" t="str">
        <x:v>3 pages</x:v>
      </x:c>
      <x:c r="I669" s="35" t="str">
        <x:v>clean lender PDF</x:v>
      </x:c>
      <x:c r="J669" s="20" t="str">
        <x:v>P022</x:v>
      </x:c>
      <x:c r="K669" s="20" t="str"/>
      <x:c r="L669" s="20" t="str"/>
      <x:c r="M669" s="20" t="str">
        <x:v>FIN-01347</x:v>
      </x:c>
      <x:c r="N669" s="35" t="str">
        <x:v>loan; due date; payment; principal; interest; escrow; ending principal balance</x:v>
      </x:c>
      <x:c r="O669" s="35" t="str">
        <x:v>principal/interest changes monthly</x:v>
      </x:c>
      <x:c r="P669" s="35" t="str">
        <x:v>Verify or enter a different loan payment manually from the other client.</x:v>
      </x:c>
      <x:c r="Q669" s="35" t="str">
        <x:v>Synthetic QA only; no real people, accounts, signatures, or properties</x:v>
      </x:c>
    </x:row>
    <x:row r="670">
      <x:c r="A670" s="20" t="str">
        <x:v>SCN-0667</x:v>
      </x:c>
      <x:c r="B670" s="23" t="n">
        <x:v>46619</x:v>
      </x:c>
      <x:c r="C670" s="20" t="str">
        <x:v>scn-0667-loan-payment-ln023-202708.pdf</x:v>
      </x:c>
      <x:c r="D670" s="20" t="str">
        <x:v>Monthly mortgage statement</x:v>
      </x:c>
      <x:c r="E670" s="20" t="str">
        <x:v>Loan payment / Property document</x:v>
      </x:c>
      <x:c r="F670" s="35" t="str">
        <x:v>Attach and match to existing loan; probe typed extraction of principal/interest</x:v>
      </x:c>
      <x:c r="G670" s="20" t="str">
        <x:v>PDF</x:v>
      </x:c>
      <x:c r="H670" s="20" t="str">
        <x:v>3 pages</x:v>
      </x:c>
      <x:c r="I670" s="35" t="str">
        <x:v>clean lender PDF</x:v>
      </x:c>
      <x:c r="J670" s="20" t="str">
        <x:v>P023</x:v>
      </x:c>
      <x:c r="K670" s="20" t="str"/>
      <x:c r="L670" s="20" t="str"/>
      <x:c r="M670" s="20" t="str">
        <x:v>FIN-01348</x:v>
      </x:c>
      <x:c r="N670" s="35" t="str">
        <x:v>loan; due date; payment; principal; interest; escrow; ending principal balance</x:v>
      </x:c>
      <x:c r="O670" s="35" t="str">
        <x:v>principal/interest changes monthly</x:v>
      </x:c>
      <x:c r="P670" s="35" t="str">
        <x:v>Verify or enter a different loan payment manually from the other client.</x:v>
      </x:c>
      <x:c r="Q670" s="35" t="str">
        <x:v>Synthetic QA only; no real people, accounts, signatures, or properties</x:v>
      </x:c>
    </x:row>
    <x:row r="671">
      <x:c r="A671" s="20" t="str">
        <x:v>SCN-0668</x:v>
      </x:c>
      <x:c r="B671" s="23" t="n">
        <x:v>46619</x:v>
      </x:c>
      <x:c r="C671" s="20" t="str">
        <x:v>scn-0668-loan-payment-ln025-202708.pdf</x:v>
      </x:c>
      <x:c r="D671" s="20" t="str">
        <x:v>Monthly mortgage statement</x:v>
      </x:c>
      <x:c r="E671" s="20" t="str">
        <x:v>Loan payment / Property document</x:v>
      </x:c>
      <x:c r="F671" s="35" t="str">
        <x:v>Attach and match to existing loan; probe typed extraction of principal/interest</x:v>
      </x:c>
      <x:c r="G671" s="20" t="str">
        <x:v>PDF</x:v>
      </x:c>
      <x:c r="H671" s="20" t="str">
        <x:v>3 pages</x:v>
      </x:c>
      <x:c r="I671" s="35" t="str">
        <x:v>clean lender PDF</x:v>
      </x:c>
      <x:c r="J671" s="20" t="str">
        <x:v>P025</x:v>
      </x:c>
      <x:c r="K671" s="20" t="str"/>
      <x:c r="L671" s="20" t="str"/>
      <x:c r="M671" s="20" t="str">
        <x:v>FIN-01349</x:v>
      </x:c>
      <x:c r="N671" s="35" t="str">
        <x:v>loan; due date; payment; principal; interest; escrow; ending principal balance</x:v>
      </x:c>
      <x:c r="O671" s="35" t="str">
        <x:v>principal/interest changes monthly</x:v>
      </x:c>
      <x:c r="P671" s="35" t="str">
        <x:v>Verify or enter a different loan payment manually from the other client.</x:v>
      </x:c>
      <x:c r="Q671" s="35" t="str">
        <x:v>Synthetic QA only; no real people, accounts, signatures, or properties</x:v>
      </x:c>
    </x:row>
    <x:row r="672">
      <x:c r="A672" s="20" t="str">
        <x:v>SCN-0669</x:v>
      </x:c>
      <x:c r="B672" s="23" t="n">
        <x:v>46619</x:v>
      </x:c>
      <x:c r="C672" s="20" t="str">
        <x:v>scn-0669-loan-payment-ln026-202708.pdf</x:v>
      </x:c>
      <x:c r="D672" s="20" t="str">
        <x:v>Monthly mortgage statement</x:v>
      </x:c>
      <x:c r="E672" s="20" t="str">
        <x:v>Loan payment / Property document</x:v>
      </x:c>
      <x:c r="F672" s="35" t="str">
        <x:v>Attach and match to existing loan; probe typed extraction of principal/interest</x:v>
      </x:c>
      <x:c r="G672" s="20" t="str">
        <x:v>PDF</x:v>
      </x:c>
      <x:c r="H672" s="20" t="str">
        <x:v>3 pages</x:v>
      </x:c>
      <x:c r="I672" s="35" t="str">
        <x:v>clean lender PDF</x:v>
      </x:c>
      <x:c r="J672" s="20" t="str">
        <x:v>P026</x:v>
      </x:c>
      <x:c r="K672" s="20" t="str"/>
      <x:c r="L672" s="20" t="str"/>
      <x:c r="M672" s="20" t="str">
        <x:v>FIN-01350</x:v>
      </x:c>
      <x:c r="N672" s="35" t="str">
        <x:v>loan; due date; payment; principal; interest; escrow; ending principal balance</x:v>
      </x:c>
      <x:c r="O672" s="35" t="str">
        <x:v>principal/interest changes monthly</x:v>
      </x:c>
      <x:c r="P672" s="35" t="str">
        <x:v>Verify or enter a different loan payment manually from the other client.</x:v>
      </x:c>
      <x:c r="Q672" s="35" t="str">
        <x:v>Synthetic QA only; no real people, accounts, signatures, or properties</x:v>
      </x:c>
    </x:row>
    <x:row r="673">
      <x:c r="A673" s="20" t="str">
        <x:v>SCN-0670</x:v>
      </x:c>
      <x:c r="B673" s="23" t="n">
        <x:v>46619</x:v>
      </x:c>
      <x:c r="C673" s="20" t="str">
        <x:v>scn-0670-loan-payment-ln028-202708.pdf</x:v>
      </x:c>
      <x:c r="D673" s="20" t="str">
        <x:v>Monthly mortgage statement</x:v>
      </x:c>
      <x:c r="E673" s="20" t="str">
        <x:v>Loan payment / Property document</x:v>
      </x:c>
      <x:c r="F673" s="35" t="str">
        <x:v>Attach and match to existing loan; probe typed extraction of principal/interest</x:v>
      </x:c>
      <x:c r="G673" s="20" t="str">
        <x:v>PDF</x:v>
      </x:c>
      <x:c r="H673" s="20" t="str">
        <x:v>3 pages</x:v>
      </x:c>
      <x:c r="I673" s="35" t="str">
        <x:v>clean lender PDF</x:v>
      </x:c>
      <x:c r="J673" s="20" t="str">
        <x:v>P028</x:v>
      </x:c>
      <x:c r="K673" s="20" t="str"/>
      <x:c r="L673" s="20" t="str"/>
      <x:c r="M673" s="20" t="str">
        <x:v>FIN-01351</x:v>
      </x:c>
      <x:c r="N673" s="35" t="str">
        <x:v>loan; due date; payment; principal; interest; escrow; ending principal balance</x:v>
      </x:c>
      <x:c r="O673" s="35" t="str">
        <x:v>principal/interest changes monthly</x:v>
      </x:c>
      <x:c r="P673" s="35" t="str">
        <x:v>Verify or enter a different loan payment manually from the other client.</x:v>
      </x:c>
      <x:c r="Q673" s="35" t="str">
        <x:v>Synthetic QA only; no real people, accounts, signatures, or properties</x:v>
      </x:c>
    </x:row>
    <x:row r="674">
      <x:c r="A674" s="20" t="str">
        <x:v>SCN-0671</x:v>
      </x:c>
      <x:c r="B674" s="23" t="n">
        <x:v>46619</x:v>
      </x:c>
      <x:c r="C674" s="20" t="str">
        <x:v>scn-0671-loan-payment-ln029-202708.pdf</x:v>
      </x:c>
      <x:c r="D674" s="20" t="str">
        <x:v>Monthly mortgage statement</x:v>
      </x:c>
      <x:c r="E674" s="20" t="str">
        <x:v>Loan payment / Property document</x:v>
      </x:c>
      <x:c r="F674" s="35" t="str">
        <x:v>Attach and match to existing loan; probe typed extraction of principal/interest</x:v>
      </x:c>
      <x:c r="G674" s="20" t="str">
        <x:v>PDF</x:v>
      </x:c>
      <x:c r="H674" s="20" t="str">
        <x:v>3 pages</x:v>
      </x:c>
      <x:c r="I674" s="35" t="str">
        <x:v>clean lender PDF</x:v>
      </x:c>
      <x:c r="J674" s="20" t="str">
        <x:v>P029</x:v>
      </x:c>
      <x:c r="K674" s="20" t="str"/>
      <x:c r="L674" s="20" t="str"/>
      <x:c r="M674" s="20" t="str">
        <x:v>FIN-01352</x:v>
      </x:c>
      <x:c r="N674" s="35" t="str">
        <x:v>loan; due date; payment; principal; interest; escrow; ending principal balance</x:v>
      </x:c>
      <x:c r="O674" s="35" t="str">
        <x:v>principal/interest changes monthly</x:v>
      </x:c>
      <x:c r="P674" s="35" t="str">
        <x:v>Verify or enter a different loan payment manually from the other client.</x:v>
      </x:c>
      <x:c r="Q674" s="35" t="str">
        <x:v>Synthetic QA only; no real people, accounts, signatures, or properties</x:v>
      </x:c>
    </x:row>
    <x:row r="675">
      <x:c r="A675" s="20" t="str">
        <x:v>SCN-0672</x:v>
      </x:c>
      <x:c r="B675" s="23" t="n">
        <x:v>46630</x:v>
      </x:c>
      <x:c r="C675" s="20" t="str">
        <x:v>scn-0672-bank-statement-2027-08.pdf</x:v>
      </x:c>
      <x:c r="D675" s="20" t="str">
        <x:v>Operating bank statement</x:v>
      </x:c>
      <x:c r="E675" s="20" t="str">
        <x:v>Banking import</x:v>
      </x:c>
      <x:c r="F675" s="35" t="str">
        <x:v>Bank statement/import candidate; manually import structured transactions if PDF scan is unsupported</x:v>
      </x:c>
      <x:c r="G675" s="20" t="str">
        <x:v>PDF</x:v>
      </x:c>
      <x:c r="H675" s="20" t="str">
        <x:v>8-12 pages</x:v>
      </x:c>
      <x:c r="I675" s="35" t="str">
        <x:v>clean bank PDF with synthetic account ending 4242</x:v>
      </x:c>
      <x:c r="J675" s="20" t="str"/>
      <x:c r="K675" s="20" t="str"/>
      <x:c r="L675" s="20" t="str"/>
      <x:c r="M675" s="20" t="str"/>
      <x:c r="N675" s="35" t="str">
        <x:v>statement period; opening balance; deposits; withdrawals; fees; ending balance; transaction references</x:v>
      </x:c>
      <x:c r="O675" s="35" t="str">
        <x:v>one pending item in March and one duplicate feed row in September</x:v>
      </x:c>
      <x:c r="P675" s="35" t="str">
        <x:v>Use Banking review/match on web and mobile; manually enter one unmatched bank fee.</x:v>
      </x:c>
      <x:c r="Q675" s="35" t="str">
        <x:v>Synthetic QA only; no real people, accounts, signatures, or properties</x:v>
      </x:c>
    </x:row>
    <x:row r="676">
      <x:c r="A676" s="20" t="str">
        <x:v>SCN-0673</x:v>
      </x:c>
      <x:c r="B676" s="23" t="n">
        <x:v>46645</x:v>
      </x:c>
      <x:c r="C676" s="20" t="str">
        <x:v>scn-0673-expense-20270915-1181.pdf</x:v>
      </x:c>
      <x:c r="D676" s="20" t="str">
        <x:v>Vendor invoice / receipt</x:v>
      </x:c>
      <x:c r="E676" s="20" t="str">
        <x:v>Expense</x:v>
      </x:c>
      <x:c r="F676" s="35" t="str">
        <x:v>Direct scan draft with property/unit/work-order context</x:v>
      </x:c>
      <x:c r="G676" s="20" t="str">
        <x:v>PDF</x:v>
      </x:c>
      <x:c r="H676" s="20" t="str">
        <x:v>1-3 pages</x:v>
      </x:c>
      <x:c r="I676" s="35" t="str">
        <x:v>phone photo with shadow</x:v>
      </x:c>
      <x:c r="J676" s="20" t="str">
        <x:v>P021</x:v>
      </x:c>
      <x:c r="K676" s="20" t="str"/>
      <x:c r="L676" s="20" t="str"/>
      <x:c r="M676" s="20" t="str">
        <x:v>FIN-01358</x:v>
      </x:c>
      <x:c r="N676" s="35" t="str">
        <x:v>vendor; invoice number; date; subtotal; tax; total; category; property; unit; line items; payment method</x:v>
      </x:c>
      <x:c r="O676" s="35" t="str"/>
      <x:c r="P676" s="35" t="str">
        <x:v>Create a different expense of the same category through the equivalent manual form on the other client.</x:v>
      </x:c>
      <x:c r="Q676" s="35" t="str">
        <x:v>Synthetic QA only; no real people, accounts, signatures, or properties</x:v>
      </x:c>
    </x:row>
    <x:row r="677">
      <x:c r="A677" s="20" t="str">
        <x:v>SCN-0674</x:v>
      </x:c>
      <x:c r="B677" s="23" t="n">
        <x:v>46645</x:v>
      </x:c>
      <x:c r="C677" s="20" t="str">
        <x:v>scn-0674-expense-20270915-1182.jpg</x:v>
      </x:c>
      <x:c r="D677" s="20" t="str">
        <x:v>Vendor invoice / receipt</x:v>
      </x:c>
      <x:c r="E677" s="20" t="str">
        <x:v>Expense</x:v>
      </x:c>
      <x:c r="F677" s="35" t="str">
        <x:v>Direct scan draft with property/unit/work-order context</x:v>
      </x:c>
      <x:c r="G677" s="20" t="str">
        <x:v>Camera JPEG</x:v>
      </x:c>
      <x:c r="H677" s="20" t="str">
        <x:v>1-3 pages</x:v>
      </x:c>
      <x:c r="I677" s="35" t="str">
        <x:v>clean emailed invoice</x:v>
      </x:c>
      <x:c r="J677" s="20" t="str">
        <x:v>P022</x:v>
      </x:c>
      <x:c r="K677" s="20" t="str"/>
      <x:c r="L677" s="20" t="str"/>
      <x:c r="M677" s="20" t="str">
        <x:v>FIN-01359</x:v>
      </x:c>
      <x:c r="N677" s="35" t="str">
        <x:v>vendor; invoice number; date; subtotal; tax; total; category; property; unit; line items; payment method</x:v>
      </x:c>
      <x:c r="O677" s="35" t="str"/>
      <x:c r="P677" s="35" t="str">
        <x:v>Create a different expense of the same category through the equivalent manual form on the other client.</x:v>
      </x:c>
      <x:c r="Q677" s="35" t="str">
        <x:v>Synthetic QA only; no real people, accounts, signatures, or properties</x:v>
      </x:c>
    </x:row>
    <x:row r="678">
      <x:c r="A678" s="20" t="str">
        <x:v>SCN-0675</x:v>
      </x:c>
      <x:c r="B678" s="23" t="n">
        <x:v>46645</x:v>
      </x:c>
      <x:c r="C678" s="20" t="str">
        <x:v>scn-0675-expense-20270915-1183.pdf</x:v>
      </x:c>
      <x:c r="D678" s="20" t="str">
        <x:v>Vendor invoice / receipt</x:v>
      </x:c>
      <x:c r="E678" s="20" t="str">
        <x:v>Expense</x:v>
      </x:c>
      <x:c r="F678" s="35" t="str">
        <x:v>Direct scan draft with property/unit/work-order context</x:v>
      </x:c>
      <x:c r="G678" s="20" t="str">
        <x:v>PDF</x:v>
      </x:c>
      <x:c r="H678" s="20" t="str">
        <x:v>1-3 pages</x:v>
      </x:c>
      <x:c r="I678" s="35" t="str">
        <x:v>crumpled thermal receipt</x:v>
      </x:c>
      <x:c r="J678" s="20" t="str">
        <x:v>P023</x:v>
      </x:c>
      <x:c r="K678" s="20" t="str"/>
      <x:c r="L678" s="20" t="str"/>
      <x:c r="M678" s="20" t="str">
        <x:v>FIN-01360</x:v>
      </x:c>
      <x:c r="N678" s="35" t="str">
        <x:v>vendor; invoice number; date; subtotal; tax; total; category; property; unit; line items; payment method</x:v>
      </x:c>
      <x:c r="O678" s="35" t="str"/>
      <x:c r="P678" s="35" t="str">
        <x:v>Create a different expense of the same category through the equivalent manual form on the other client.</x:v>
      </x:c>
      <x:c r="Q678" s="35" t="str">
        <x:v>Synthetic QA only; no real people, accounts, signatures, or properties</x:v>
      </x:c>
    </x:row>
    <x:row r="679">
      <x:c r="A679" s="20" t="str">
        <x:v>SCN-0676</x:v>
      </x:c>
      <x:c r="B679" s="23" t="n">
        <x:v>46645</x:v>
      </x:c>
      <x:c r="C679" s="20" t="str">
        <x:v>scn-0676-expense-20270915-1184.pdf</x:v>
      </x:c>
      <x:c r="D679" s="20" t="str">
        <x:v>Vendor invoice / receipt</x:v>
      </x:c>
      <x:c r="E679" s="20" t="str">
        <x:v>Expense</x:v>
      </x:c>
      <x:c r="F679" s="35" t="str">
        <x:v>Direct scan draft with property/unit/work-order context</x:v>
      </x:c>
      <x:c r="G679" s="20" t="str">
        <x:v>PDF</x:v>
      </x:c>
      <x:c r="H679" s="20" t="str">
        <x:v>1-3 pages</x:v>
      </x:c>
      <x:c r="I679" s="35" t="str">
        <x:v>phone photo with shadow</x:v>
      </x:c>
      <x:c r="J679" s="20" t="str">
        <x:v>P024</x:v>
      </x:c>
      <x:c r="K679" s="20" t="str"/>
      <x:c r="L679" s="20" t="str"/>
      <x:c r="M679" s="20" t="str">
        <x:v>FIN-01361</x:v>
      </x:c>
      <x:c r="N679" s="35" t="str">
        <x:v>vendor; invoice number; date; subtotal; tax; total; category; property; unit; line items; payment method</x:v>
      </x:c>
      <x:c r="O679" s="35" t="str"/>
      <x:c r="P679" s="35" t="str">
        <x:v>Create a different expense of the same category through the equivalent manual form on the other client.</x:v>
      </x:c>
      <x:c r="Q679" s="35" t="str">
        <x:v>Synthetic QA only; no real people, accounts, signatures, or properties</x:v>
      </x:c>
    </x:row>
    <x:row r="680">
      <x:c r="A680" s="20" t="str">
        <x:v>SCN-0677</x:v>
      </x:c>
      <x:c r="B680" s="23" t="n">
        <x:v>46645</x:v>
      </x:c>
      <x:c r="C680" s="20" t="str">
        <x:v>scn-0677-expense-20270915-1186.pdf</x:v>
      </x:c>
      <x:c r="D680" s="20" t="str">
        <x:v>Vendor invoice / receipt</x:v>
      </x:c>
      <x:c r="E680" s="20" t="str">
        <x:v>Expense</x:v>
      </x:c>
      <x:c r="F680" s="35" t="str">
        <x:v>Direct scan draft with property/unit/work-order context</x:v>
      </x:c>
      <x:c r="G680" s="20" t="str">
        <x:v>PDF</x:v>
      </x:c>
      <x:c r="H680" s="20" t="str">
        <x:v>1-3 pages</x:v>
      </x:c>
      <x:c r="I680" s="35" t="str">
        <x:v>crumpled thermal receipt</x:v>
      </x:c>
      <x:c r="J680" s="20" t="str">
        <x:v>P026</x:v>
      </x:c>
      <x:c r="K680" s="20" t="str"/>
      <x:c r="L680" s="20" t="str"/>
      <x:c r="M680" s="20" t="str">
        <x:v>FIN-01363</x:v>
      </x:c>
      <x:c r="N680" s="35" t="str">
        <x:v>vendor; invoice number; date; subtotal; tax; total; category; property; unit; line items; payment method</x:v>
      </x:c>
      <x:c r="O680" s="35" t="str"/>
      <x:c r="P680" s="35" t="str">
        <x:v>Create a different expense of the same category through the equivalent manual form on the other client.</x:v>
      </x:c>
      <x:c r="Q680" s="35" t="str">
        <x:v>Synthetic QA only; no real people, accounts, signatures, or properties</x:v>
      </x:c>
    </x:row>
    <x:row r="681">
      <x:c r="A681" s="20" t="str">
        <x:v>SCN-0678</x:v>
      </x:c>
      <x:c r="B681" s="23" t="n">
        <x:v>46645</x:v>
      </x:c>
      <x:c r="C681" s="20" t="str">
        <x:v>scn-0678-expense-20270915-1187.pdf</x:v>
      </x:c>
      <x:c r="D681" s="20" t="str">
        <x:v>Vendor invoice / receipt</x:v>
      </x:c>
      <x:c r="E681" s="20" t="str">
        <x:v>Expense</x:v>
      </x:c>
      <x:c r="F681" s="35" t="str">
        <x:v>Direct scan draft with property/unit/work-order context</x:v>
      </x:c>
      <x:c r="G681" s="20" t="str">
        <x:v>PDF</x:v>
      </x:c>
      <x:c r="H681" s="20" t="str">
        <x:v>1-3 pages</x:v>
      </x:c>
      <x:c r="I681" s="35" t="str">
        <x:v>phone photo with shadow</x:v>
      </x:c>
      <x:c r="J681" s="20" t="str">
        <x:v>P027</x:v>
      </x:c>
      <x:c r="K681" s="20" t="str"/>
      <x:c r="L681" s="20" t="str"/>
      <x:c r="M681" s="20" t="str">
        <x:v>FIN-01364</x:v>
      </x:c>
      <x:c r="N681" s="35" t="str">
        <x:v>vendor; invoice number; date; subtotal; tax; total; category; property; unit; line items; payment method</x:v>
      </x:c>
      <x:c r="O681" s="35" t="str"/>
      <x:c r="P681" s="35" t="str">
        <x:v>Create a different expense of the same category through the equivalent manual form on the other client.</x:v>
      </x:c>
      <x:c r="Q681" s="35" t="str">
        <x:v>Synthetic QA only; no real people, accounts, signatures, or properties</x:v>
      </x:c>
    </x:row>
    <x:row r="682">
      <x:c r="A682" s="20" t="str">
        <x:v>SCN-0679</x:v>
      </x:c>
      <x:c r="B682" s="23" t="n">
        <x:v>46645</x:v>
      </x:c>
      <x:c r="C682" s="20" t="str">
        <x:v>scn-0679-expense-20270915-1188.jpg</x:v>
      </x:c>
      <x:c r="D682" s="20" t="str">
        <x:v>Vendor invoice / receipt</x:v>
      </x:c>
      <x:c r="E682" s="20" t="str">
        <x:v>Expense</x:v>
      </x:c>
      <x:c r="F682" s="35" t="str">
        <x:v>Direct scan draft with property/unit/work-order context</x:v>
      </x:c>
      <x:c r="G682" s="20" t="str">
        <x:v>Camera JPEG</x:v>
      </x:c>
      <x:c r="H682" s="20" t="str">
        <x:v>1-3 pages</x:v>
      </x:c>
      <x:c r="I682" s="35" t="str">
        <x:v>clean emailed invoice</x:v>
      </x:c>
      <x:c r="J682" s="20" t="str">
        <x:v>P028</x:v>
      </x:c>
      <x:c r="K682" s="20" t="str"/>
      <x:c r="L682" s="20" t="str"/>
      <x:c r="M682" s="20" t="str">
        <x:v>FIN-01365</x:v>
      </x:c>
      <x:c r="N682" s="35" t="str">
        <x:v>vendor; invoice number; date; subtotal; tax; total; category; property; unit; line items; payment method</x:v>
      </x:c>
      <x:c r="O682" s="35" t="str"/>
      <x:c r="P682" s="35" t="str">
        <x:v>Create a different expense of the same category through the equivalent manual form on the other client.</x:v>
      </x:c>
      <x:c r="Q682" s="35" t="str">
        <x:v>Synthetic QA only; no real people, accounts, signatures, or properties</x:v>
      </x:c>
    </x:row>
    <x:row r="683">
      <x:c r="A683" s="20" t="str">
        <x:v>SCN-0680</x:v>
      </x:c>
      <x:c r="B683" s="23" t="n">
        <x:v>46645</x:v>
      </x:c>
      <x:c r="C683" s="20" t="str">
        <x:v>scn-0680-expense-20270915-1189.pdf</x:v>
      </x:c>
      <x:c r="D683" s="20" t="str">
        <x:v>Vendor invoice / receipt</x:v>
      </x:c>
      <x:c r="E683" s="20" t="str">
        <x:v>Expense</x:v>
      </x:c>
      <x:c r="F683" s="35" t="str">
        <x:v>Direct scan draft with property/unit/work-order context</x:v>
      </x:c>
      <x:c r="G683" s="20" t="str">
        <x:v>PDF</x:v>
      </x:c>
      <x:c r="H683" s="20" t="str">
        <x:v>1-3 pages</x:v>
      </x:c>
      <x:c r="I683" s="35" t="str">
        <x:v>crumpled thermal receipt</x:v>
      </x:c>
      <x:c r="J683" s="20" t="str">
        <x:v>P029</x:v>
      </x:c>
      <x:c r="K683" s="20" t="str"/>
      <x:c r="L683" s="20" t="str"/>
      <x:c r="M683" s="20" t="str">
        <x:v>FIN-01366</x:v>
      </x:c>
      <x:c r="N683" s="35" t="str">
        <x:v>vendor; invoice number; date; subtotal; tax; total; category; property; unit; line items; payment method</x:v>
      </x:c>
      <x:c r="O683" s="35" t="str"/>
      <x:c r="P683" s="35" t="str">
        <x:v>Create a different expense of the same category through the equivalent manual form on the other client.</x:v>
      </x:c>
      <x:c r="Q683" s="35" t="str">
        <x:v>Synthetic QA only; no real people, accounts, signatures, or properties</x:v>
      </x:c>
    </x:row>
    <x:row r="684">
      <x:c r="A684" s="20" t="str">
        <x:v>SCN-0681</x:v>
      </x:c>
      <x:c r="B684" s="23" t="n">
        <x:v>46650</x:v>
      </x:c>
      <x:c r="C684" s="20" t="str">
        <x:v>scn-0681-loan-payment-ln001-202709.pdf</x:v>
      </x:c>
      <x:c r="D684" s="20" t="str">
        <x:v>Monthly mortgage statement</x:v>
      </x:c>
      <x:c r="E684" s="20" t="str">
        <x:v>Loan payment / Property document</x:v>
      </x:c>
      <x:c r="F684" s="35" t="str">
        <x:v>Attach and match to existing loan; probe typed extraction of principal/interest</x:v>
      </x:c>
      <x:c r="G684" s="20" t="str">
        <x:v>PDF</x:v>
      </x:c>
      <x:c r="H684" s="20" t="str">
        <x:v>3 pages</x:v>
      </x:c>
      <x:c r="I684" s="35" t="str">
        <x:v>clean lender PDF</x:v>
      </x:c>
      <x:c r="J684" s="20" t="str">
        <x:v>P001</x:v>
      </x:c>
      <x:c r="K684" s="20" t="str"/>
      <x:c r="L684" s="20" t="str"/>
      <x:c r="M684" s="20" t="str">
        <x:v>FIN-01368</x:v>
      </x:c>
      <x:c r="N684" s="35" t="str">
        <x:v>loan; due date; payment; principal; interest; escrow; ending principal balance</x:v>
      </x:c>
      <x:c r="O684" s="35" t="str">
        <x:v>principal/interest changes monthly</x:v>
      </x:c>
      <x:c r="P684" s="35" t="str">
        <x:v>Verify or enter a different loan payment manually from the other client.</x:v>
      </x:c>
      <x:c r="Q684" s="35" t="str">
        <x:v>Synthetic QA only; no real people, accounts, signatures, or properties</x:v>
      </x:c>
    </x:row>
    <x:row r="685">
      <x:c r="A685" s="20" t="str">
        <x:v>SCN-0682</x:v>
      </x:c>
      <x:c r="B685" s="23" t="n">
        <x:v>46650</x:v>
      </x:c>
      <x:c r="C685" s="20" t="str">
        <x:v>scn-0682-loan-payment-ln002-202709.pdf</x:v>
      </x:c>
      <x:c r="D685" s="20" t="str">
        <x:v>Monthly mortgage statement</x:v>
      </x:c>
      <x:c r="E685" s="20" t="str">
        <x:v>Loan payment / Property document</x:v>
      </x:c>
      <x:c r="F685" s="35" t="str">
        <x:v>Attach and match to existing loan; probe typed extraction of principal/interest</x:v>
      </x:c>
      <x:c r="G685" s="20" t="str">
        <x:v>PDF</x:v>
      </x:c>
      <x:c r="H685" s="20" t="str">
        <x:v>3 pages</x:v>
      </x:c>
      <x:c r="I685" s="35" t="str">
        <x:v>clean lender PDF</x:v>
      </x:c>
      <x:c r="J685" s="20" t="str">
        <x:v>P002</x:v>
      </x:c>
      <x:c r="K685" s="20" t="str"/>
      <x:c r="L685" s="20" t="str"/>
      <x:c r="M685" s="20" t="str">
        <x:v>FIN-01369</x:v>
      </x:c>
      <x:c r="N685" s="35" t="str">
        <x:v>loan; due date; payment; principal; interest; escrow; ending principal balance</x:v>
      </x:c>
      <x:c r="O685" s="35" t="str">
        <x:v>principal/interest changes monthly</x:v>
      </x:c>
      <x:c r="P685" s="35" t="str">
        <x:v>Verify or enter a different loan payment manually from the other client.</x:v>
      </x:c>
      <x:c r="Q685" s="35" t="str">
        <x:v>Synthetic QA only; no real people, accounts, signatures, or properties</x:v>
      </x:c>
    </x:row>
    <x:row r="686">
      <x:c r="A686" s="20" t="str">
        <x:v>SCN-0683</x:v>
      </x:c>
      <x:c r="B686" s="23" t="n">
        <x:v>46650</x:v>
      </x:c>
      <x:c r="C686" s="20" t="str">
        <x:v>scn-0683-loan-payment-ln004-202709.pdf</x:v>
      </x:c>
      <x:c r="D686" s="20" t="str">
        <x:v>Monthly mortgage statement</x:v>
      </x:c>
      <x:c r="E686" s="20" t="str">
        <x:v>Loan payment / Property document</x:v>
      </x:c>
      <x:c r="F686" s="35" t="str">
        <x:v>Attach and match to existing loan; probe typed extraction of principal/interest</x:v>
      </x:c>
      <x:c r="G686" s="20" t="str">
        <x:v>PDF</x:v>
      </x:c>
      <x:c r="H686" s="20" t="str">
        <x:v>3 pages</x:v>
      </x:c>
      <x:c r="I686" s="35" t="str">
        <x:v>clean lender PDF</x:v>
      </x:c>
      <x:c r="J686" s="20" t="str">
        <x:v>P004</x:v>
      </x:c>
      <x:c r="K686" s="20" t="str"/>
      <x:c r="L686" s="20" t="str"/>
      <x:c r="M686" s="20" t="str">
        <x:v>FIN-01370</x:v>
      </x:c>
      <x:c r="N686" s="35" t="str">
        <x:v>loan; due date; payment; principal; interest; escrow; ending principal balance</x:v>
      </x:c>
      <x:c r="O686" s="35" t="str">
        <x:v>principal/interest changes monthly</x:v>
      </x:c>
      <x:c r="P686" s="35" t="str">
        <x:v>Verify or enter a different loan payment manually from the other client.</x:v>
      </x:c>
      <x:c r="Q686" s="35" t="str">
        <x:v>Synthetic QA only; no real people, accounts, signatures, or properties</x:v>
      </x:c>
    </x:row>
    <x:row r="687">
      <x:c r="A687" s="20" t="str">
        <x:v>SCN-0684</x:v>
      </x:c>
      <x:c r="B687" s="23" t="n">
        <x:v>46650</x:v>
      </x:c>
      <x:c r="C687" s="20" t="str">
        <x:v>scn-0684-loan-payment-ln005-202709.pdf</x:v>
      </x:c>
      <x:c r="D687" s="20" t="str">
        <x:v>Monthly mortgage statement</x:v>
      </x:c>
      <x:c r="E687" s="20" t="str">
        <x:v>Loan payment / Property document</x:v>
      </x:c>
      <x:c r="F687" s="35" t="str">
        <x:v>Attach and match to existing loan; probe typed extraction of principal/interest</x:v>
      </x:c>
      <x:c r="G687" s="20" t="str">
        <x:v>PDF</x:v>
      </x:c>
      <x:c r="H687" s="20" t="str">
        <x:v>3 pages</x:v>
      </x:c>
      <x:c r="I687" s="35" t="str">
        <x:v>clean lender PDF</x:v>
      </x:c>
      <x:c r="J687" s="20" t="str">
        <x:v>P005</x:v>
      </x:c>
      <x:c r="K687" s="20" t="str"/>
      <x:c r="L687" s="20" t="str"/>
      <x:c r="M687" s="20" t="str">
        <x:v>FIN-01371</x:v>
      </x:c>
      <x:c r="N687" s="35" t="str">
        <x:v>loan; due date; payment; principal; interest; escrow; ending principal balance</x:v>
      </x:c>
      <x:c r="O687" s="35" t="str">
        <x:v>principal/interest changes monthly</x:v>
      </x:c>
      <x:c r="P687" s="35" t="str">
        <x:v>Verify or enter a different loan payment manually from the other client.</x:v>
      </x:c>
      <x:c r="Q687" s="35" t="str">
        <x:v>Synthetic QA only; no real people, accounts, signatures, or properties</x:v>
      </x:c>
    </x:row>
    <x:row r="688">
      <x:c r="A688" s="20" t="str">
        <x:v>SCN-0685</x:v>
      </x:c>
      <x:c r="B688" s="23" t="n">
        <x:v>46650</x:v>
      </x:c>
      <x:c r="C688" s="20" t="str">
        <x:v>scn-0685-loan-payment-ln007-202709.pdf</x:v>
      </x:c>
      <x:c r="D688" s="20" t="str">
        <x:v>Monthly mortgage statement</x:v>
      </x:c>
      <x:c r="E688" s="20" t="str">
        <x:v>Loan payment / Property document</x:v>
      </x:c>
      <x:c r="F688" s="35" t="str">
        <x:v>Attach and match to existing loan; probe typed extraction of principal/interest</x:v>
      </x:c>
      <x:c r="G688" s="20" t="str">
        <x:v>PDF</x:v>
      </x:c>
      <x:c r="H688" s="20" t="str">
        <x:v>3 pages</x:v>
      </x:c>
      <x:c r="I688" s="35" t="str">
        <x:v>clean lender PDF</x:v>
      </x:c>
      <x:c r="J688" s="20" t="str">
        <x:v>P007</x:v>
      </x:c>
      <x:c r="K688" s="20" t="str"/>
      <x:c r="L688" s="20" t="str"/>
      <x:c r="M688" s="20" t="str">
        <x:v>FIN-01372</x:v>
      </x:c>
      <x:c r="N688" s="35" t="str">
        <x:v>loan; due date; payment; principal; interest; escrow; ending principal balance</x:v>
      </x:c>
      <x:c r="O688" s="35" t="str">
        <x:v>principal/interest changes monthly</x:v>
      </x:c>
      <x:c r="P688" s="35" t="str">
        <x:v>Verify or enter a different loan payment manually from the other client.</x:v>
      </x:c>
      <x:c r="Q688" s="35" t="str">
        <x:v>Synthetic QA only; no real people, accounts, signatures, or properties</x:v>
      </x:c>
    </x:row>
    <x:row r="689">
      <x:c r="A689" s="20" t="str">
        <x:v>SCN-0686</x:v>
      </x:c>
      <x:c r="B689" s="23" t="n">
        <x:v>46650</x:v>
      </x:c>
      <x:c r="C689" s="20" t="str">
        <x:v>scn-0686-loan-payment-ln008-202709.pdf</x:v>
      </x:c>
      <x:c r="D689" s="20" t="str">
        <x:v>Monthly mortgage statement</x:v>
      </x:c>
      <x:c r="E689" s="20" t="str">
        <x:v>Loan payment / Property document</x:v>
      </x:c>
      <x:c r="F689" s="35" t="str">
        <x:v>Attach and match to existing loan; probe typed extraction of principal/interest</x:v>
      </x:c>
      <x:c r="G689" s="20" t="str">
        <x:v>PDF</x:v>
      </x:c>
      <x:c r="H689" s="20" t="str">
        <x:v>3 pages</x:v>
      </x:c>
      <x:c r="I689" s="35" t="str">
        <x:v>clean lender PDF</x:v>
      </x:c>
      <x:c r="J689" s="20" t="str">
        <x:v>P008</x:v>
      </x:c>
      <x:c r="K689" s="20" t="str"/>
      <x:c r="L689" s="20" t="str"/>
      <x:c r="M689" s="20" t="str">
        <x:v>FIN-01373</x:v>
      </x:c>
      <x:c r="N689" s="35" t="str">
        <x:v>loan; due date; payment; principal; interest; escrow; ending principal balance</x:v>
      </x:c>
      <x:c r="O689" s="35" t="str">
        <x:v>principal/interest changes monthly</x:v>
      </x:c>
      <x:c r="P689" s="35" t="str">
        <x:v>Verify or enter a different loan payment manually from the other client.</x:v>
      </x:c>
      <x:c r="Q689" s="35" t="str">
        <x:v>Synthetic QA only; no real people, accounts, signatures, or properties</x:v>
      </x:c>
    </x:row>
    <x:row r="690">
      <x:c r="A690" s="20" t="str">
        <x:v>SCN-0687</x:v>
      </x:c>
      <x:c r="B690" s="23" t="n">
        <x:v>46650</x:v>
      </x:c>
      <x:c r="C690" s="20" t="str">
        <x:v>scn-0687-loan-payment-ln010-202709.pdf</x:v>
      </x:c>
      <x:c r="D690" s="20" t="str">
        <x:v>Monthly mortgage statement</x:v>
      </x:c>
      <x:c r="E690" s="20" t="str">
        <x:v>Loan payment / Property document</x:v>
      </x:c>
      <x:c r="F690" s="35" t="str">
        <x:v>Attach and match to existing loan; probe typed extraction of principal/interest</x:v>
      </x:c>
      <x:c r="G690" s="20" t="str">
        <x:v>PDF</x:v>
      </x:c>
      <x:c r="H690" s="20" t="str">
        <x:v>3 pages</x:v>
      </x:c>
      <x:c r="I690" s="35" t="str">
        <x:v>clean lender PDF</x:v>
      </x:c>
      <x:c r="J690" s="20" t="str">
        <x:v>P010</x:v>
      </x:c>
      <x:c r="K690" s="20" t="str"/>
      <x:c r="L690" s="20" t="str"/>
      <x:c r="M690" s="20" t="str">
        <x:v>FIN-01374</x:v>
      </x:c>
      <x:c r="N690" s="35" t="str">
        <x:v>loan; due date; payment; principal; interest; escrow; ending principal balance</x:v>
      </x:c>
      <x:c r="O690" s="35" t="str">
        <x:v>principal/interest changes monthly</x:v>
      </x:c>
      <x:c r="P690" s="35" t="str">
        <x:v>Verify or enter a different loan payment manually from the other client.</x:v>
      </x:c>
      <x:c r="Q690" s="35" t="str">
        <x:v>Synthetic QA only; no real people, accounts, signatures, or properties</x:v>
      </x:c>
    </x:row>
    <x:row r="691">
      <x:c r="A691" s="20" t="str">
        <x:v>SCN-0688</x:v>
      </x:c>
      <x:c r="B691" s="23" t="n">
        <x:v>46650</x:v>
      </x:c>
      <x:c r="C691" s="20" t="str">
        <x:v>scn-0688-loan-payment-ln011-202709.pdf</x:v>
      </x:c>
      <x:c r="D691" s="20" t="str">
        <x:v>Monthly mortgage statement</x:v>
      </x:c>
      <x:c r="E691" s="20" t="str">
        <x:v>Loan payment / Property document</x:v>
      </x:c>
      <x:c r="F691" s="35" t="str">
        <x:v>Attach and match to existing loan; probe typed extraction of principal/interest</x:v>
      </x:c>
      <x:c r="G691" s="20" t="str">
        <x:v>PDF</x:v>
      </x:c>
      <x:c r="H691" s="20" t="str">
        <x:v>3 pages</x:v>
      </x:c>
      <x:c r="I691" s="35" t="str">
        <x:v>clean lender PDF</x:v>
      </x:c>
      <x:c r="J691" s="20" t="str">
        <x:v>P011</x:v>
      </x:c>
      <x:c r="K691" s="20" t="str"/>
      <x:c r="L691" s="20" t="str"/>
      <x:c r="M691" s="20" t="str">
        <x:v>FIN-01375</x:v>
      </x:c>
      <x:c r="N691" s="35" t="str">
        <x:v>loan; due date; payment; principal; interest; escrow; ending principal balance</x:v>
      </x:c>
      <x:c r="O691" s="35" t="str">
        <x:v>principal/interest changes monthly</x:v>
      </x:c>
      <x:c r="P691" s="35" t="str">
        <x:v>Verify or enter a different loan payment manually from the other client.</x:v>
      </x:c>
      <x:c r="Q691" s="35" t="str">
        <x:v>Synthetic QA only; no real people, accounts, signatures, or properties</x:v>
      </x:c>
    </x:row>
    <x:row r="692">
      <x:c r="A692" s="20" t="str">
        <x:v>SCN-0689</x:v>
      </x:c>
      <x:c r="B692" s="23" t="n">
        <x:v>46650</x:v>
      </x:c>
      <x:c r="C692" s="20" t="str">
        <x:v>scn-0689-loan-payment-ln013-202709.pdf</x:v>
      </x:c>
      <x:c r="D692" s="20" t="str">
        <x:v>Monthly mortgage statement</x:v>
      </x:c>
      <x:c r="E692" s="20" t="str">
        <x:v>Loan payment / Property document</x:v>
      </x:c>
      <x:c r="F692" s="35" t="str">
        <x:v>Attach and match to existing loan; probe typed extraction of principal/interest</x:v>
      </x:c>
      <x:c r="G692" s="20" t="str">
        <x:v>PDF</x:v>
      </x:c>
      <x:c r="H692" s="20" t="str">
        <x:v>3 pages</x:v>
      </x:c>
      <x:c r="I692" s="35" t="str">
        <x:v>clean lender PDF</x:v>
      </x:c>
      <x:c r="J692" s="20" t="str">
        <x:v>P013</x:v>
      </x:c>
      <x:c r="K692" s="20" t="str"/>
      <x:c r="L692" s="20" t="str"/>
      <x:c r="M692" s="20" t="str">
        <x:v>FIN-01376</x:v>
      </x:c>
      <x:c r="N692" s="35" t="str">
        <x:v>loan; due date; payment; principal; interest; escrow; ending principal balance</x:v>
      </x:c>
      <x:c r="O692" s="35" t="str">
        <x:v>principal/interest changes monthly</x:v>
      </x:c>
      <x:c r="P692" s="35" t="str">
        <x:v>Verify or enter a different loan payment manually from the other client.</x:v>
      </x:c>
      <x:c r="Q692" s="35" t="str">
        <x:v>Synthetic QA only; no real people, accounts, signatures, or properties</x:v>
      </x:c>
    </x:row>
    <x:row r="693">
      <x:c r="A693" s="20" t="str">
        <x:v>SCN-0690</x:v>
      </x:c>
      <x:c r="B693" s="23" t="n">
        <x:v>46650</x:v>
      </x:c>
      <x:c r="C693" s="20" t="str">
        <x:v>scn-0690-loan-payment-ln014-202709.pdf</x:v>
      </x:c>
      <x:c r="D693" s="20" t="str">
        <x:v>Monthly mortgage statement</x:v>
      </x:c>
      <x:c r="E693" s="20" t="str">
        <x:v>Loan payment / Property document</x:v>
      </x:c>
      <x:c r="F693" s="35" t="str">
        <x:v>Attach and match to existing loan; probe typed extraction of principal/interest</x:v>
      </x:c>
      <x:c r="G693" s="20" t="str">
        <x:v>PDF</x:v>
      </x:c>
      <x:c r="H693" s="20" t="str">
        <x:v>3 pages</x:v>
      </x:c>
      <x:c r="I693" s="35" t="str">
        <x:v>clean lender PDF</x:v>
      </x:c>
      <x:c r="J693" s="20" t="str">
        <x:v>P014</x:v>
      </x:c>
      <x:c r="K693" s="20" t="str"/>
      <x:c r="L693" s="20" t="str"/>
      <x:c r="M693" s="20" t="str">
        <x:v>FIN-01377</x:v>
      </x:c>
      <x:c r="N693" s="35" t="str">
        <x:v>loan; due date; payment; principal; interest; escrow; ending principal balance</x:v>
      </x:c>
      <x:c r="O693" s="35" t="str">
        <x:v>principal/interest changes monthly</x:v>
      </x:c>
      <x:c r="P693" s="35" t="str">
        <x:v>Verify or enter a different loan payment manually from the other client.</x:v>
      </x:c>
      <x:c r="Q693" s="35" t="str">
        <x:v>Synthetic QA only; no real people, accounts, signatures, or properties</x:v>
      </x:c>
    </x:row>
    <x:row r="694">
      <x:c r="A694" s="20" t="str">
        <x:v>SCN-0691</x:v>
      </x:c>
      <x:c r="B694" s="23" t="n">
        <x:v>46650</x:v>
      </x:c>
      <x:c r="C694" s="20" t="str">
        <x:v>scn-0691-loan-payment-ln016-202709.pdf</x:v>
      </x:c>
      <x:c r="D694" s="20" t="str">
        <x:v>Monthly mortgage statement</x:v>
      </x:c>
      <x:c r="E694" s="20" t="str">
        <x:v>Loan payment / Property document</x:v>
      </x:c>
      <x:c r="F694" s="35" t="str">
        <x:v>Attach and match to existing loan; probe typed extraction of principal/interest</x:v>
      </x:c>
      <x:c r="G694" s="20" t="str">
        <x:v>PDF</x:v>
      </x:c>
      <x:c r="H694" s="20" t="str">
        <x:v>3 pages</x:v>
      </x:c>
      <x:c r="I694" s="35" t="str">
        <x:v>clean lender PDF</x:v>
      </x:c>
      <x:c r="J694" s="20" t="str">
        <x:v>P016</x:v>
      </x:c>
      <x:c r="K694" s="20" t="str"/>
      <x:c r="L694" s="20" t="str"/>
      <x:c r="M694" s="20" t="str">
        <x:v>FIN-01378</x:v>
      </x:c>
      <x:c r="N694" s="35" t="str">
        <x:v>loan; due date; payment; principal; interest; escrow; ending principal balance</x:v>
      </x:c>
      <x:c r="O694" s="35" t="str">
        <x:v>principal/interest changes monthly</x:v>
      </x:c>
      <x:c r="P694" s="35" t="str">
        <x:v>Verify or enter a different loan payment manually from the other client.</x:v>
      </x:c>
      <x:c r="Q694" s="35" t="str">
        <x:v>Synthetic QA only; no real people, accounts, signatures, or properties</x:v>
      </x:c>
    </x:row>
    <x:row r="695">
      <x:c r="A695" s="20" t="str">
        <x:v>SCN-0692</x:v>
      </x:c>
      <x:c r="B695" s="23" t="n">
        <x:v>46650</x:v>
      </x:c>
      <x:c r="C695" s="20" t="str">
        <x:v>scn-0692-loan-payment-ln017-202709.pdf</x:v>
      </x:c>
      <x:c r="D695" s="20" t="str">
        <x:v>Monthly mortgage statement</x:v>
      </x:c>
      <x:c r="E695" s="20" t="str">
        <x:v>Loan payment / Property document</x:v>
      </x:c>
      <x:c r="F695" s="35" t="str">
        <x:v>Attach and match to existing loan; probe typed extraction of principal/interest</x:v>
      </x:c>
      <x:c r="G695" s="20" t="str">
        <x:v>PDF</x:v>
      </x:c>
      <x:c r="H695" s="20" t="str">
        <x:v>3 pages</x:v>
      </x:c>
      <x:c r="I695" s="35" t="str">
        <x:v>clean lender PDF</x:v>
      </x:c>
      <x:c r="J695" s="20" t="str">
        <x:v>P017</x:v>
      </x:c>
      <x:c r="K695" s="20" t="str"/>
      <x:c r="L695" s="20" t="str"/>
      <x:c r="M695" s="20" t="str">
        <x:v>FIN-01379</x:v>
      </x:c>
      <x:c r="N695" s="35" t="str">
        <x:v>loan; due date; payment; principal; interest; escrow; ending principal balance</x:v>
      </x:c>
      <x:c r="O695" s="35" t="str">
        <x:v>principal/interest changes monthly</x:v>
      </x:c>
      <x:c r="P695" s="35" t="str">
        <x:v>Verify or enter a different loan payment manually from the other client.</x:v>
      </x:c>
      <x:c r="Q695" s="35" t="str">
        <x:v>Synthetic QA only; no real people, accounts, signatures, or properties</x:v>
      </x:c>
    </x:row>
    <x:row r="696">
      <x:c r="A696" s="20" t="str">
        <x:v>SCN-0693</x:v>
      </x:c>
      <x:c r="B696" s="23" t="n">
        <x:v>46650</x:v>
      </x:c>
      <x:c r="C696" s="20" t="str">
        <x:v>scn-0693-loan-payment-ln019-202709.pdf</x:v>
      </x:c>
      <x:c r="D696" s="20" t="str">
        <x:v>Monthly mortgage statement</x:v>
      </x:c>
      <x:c r="E696" s="20" t="str">
        <x:v>Loan payment / Property document</x:v>
      </x:c>
      <x:c r="F696" s="35" t="str">
        <x:v>Attach and match to existing loan; probe typed extraction of principal/interest</x:v>
      </x:c>
      <x:c r="G696" s="20" t="str">
        <x:v>PDF</x:v>
      </x:c>
      <x:c r="H696" s="20" t="str">
        <x:v>3 pages</x:v>
      </x:c>
      <x:c r="I696" s="35" t="str">
        <x:v>clean lender PDF</x:v>
      </x:c>
      <x:c r="J696" s="20" t="str">
        <x:v>P019</x:v>
      </x:c>
      <x:c r="K696" s="20" t="str"/>
      <x:c r="L696" s="20" t="str"/>
      <x:c r="M696" s="20" t="str">
        <x:v>FIN-01380</x:v>
      </x:c>
      <x:c r="N696" s="35" t="str">
        <x:v>loan; due date; payment; principal; interest; escrow; ending principal balance</x:v>
      </x:c>
      <x:c r="O696" s="35" t="str">
        <x:v>principal/interest changes monthly</x:v>
      </x:c>
      <x:c r="P696" s="35" t="str">
        <x:v>Verify or enter a different loan payment manually from the other client.</x:v>
      </x:c>
      <x:c r="Q696" s="35" t="str">
        <x:v>Synthetic QA only; no real people, accounts, signatures, or properties</x:v>
      </x:c>
    </x:row>
    <x:row r="697">
      <x:c r="A697" s="20" t="str">
        <x:v>SCN-0694</x:v>
      </x:c>
      <x:c r="B697" s="23" t="n">
        <x:v>46650</x:v>
      </x:c>
      <x:c r="C697" s="20" t="str">
        <x:v>scn-0694-loan-payment-ln020-202709.pdf</x:v>
      </x:c>
      <x:c r="D697" s="20" t="str">
        <x:v>Monthly mortgage statement</x:v>
      </x:c>
      <x:c r="E697" s="20" t="str">
        <x:v>Loan payment / Property document</x:v>
      </x:c>
      <x:c r="F697" s="35" t="str">
        <x:v>Attach and match to existing loan; probe typed extraction of principal/interest</x:v>
      </x:c>
      <x:c r="G697" s="20" t="str">
        <x:v>PDF</x:v>
      </x:c>
      <x:c r="H697" s="20" t="str">
        <x:v>3 pages</x:v>
      </x:c>
      <x:c r="I697" s="35" t="str">
        <x:v>clean lender PDF</x:v>
      </x:c>
      <x:c r="J697" s="20" t="str">
        <x:v>P020</x:v>
      </x:c>
      <x:c r="K697" s="20" t="str"/>
      <x:c r="L697" s="20" t="str"/>
      <x:c r="M697" s="20" t="str">
        <x:v>FIN-01381</x:v>
      </x:c>
      <x:c r="N697" s="35" t="str">
        <x:v>loan; due date; payment; principal; interest; escrow; ending principal balance</x:v>
      </x:c>
      <x:c r="O697" s="35" t="str">
        <x:v>principal/interest changes monthly</x:v>
      </x:c>
      <x:c r="P697" s="35" t="str">
        <x:v>Verify or enter a different loan payment manually from the other client.</x:v>
      </x:c>
      <x:c r="Q697" s="35" t="str">
        <x:v>Synthetic QA only; no real people, accounts, signatures, or properties</x:v>
      </x:c>
    </x:row>
    <x:row r="698">
      <x:c r="A698" s="20" t="str">
        <x:v>SCN-0695</x:v>
      </x:c>
      <x:c r="B698" s="23" t="n">
        <x:v>46650</x:v>
      </x:c>
      <x:c r="C698" s="20" t="str">
        <x:v>scn-0695-loan-payment-ln022-202709.pdf</x:v>
      </x:c>
      <x:c r="D698" s="20" t="str">
        <x:v>Monthly mortgage statement</x:v>
      </x:c>
      <x:c r="E698" s="20" t="str">
        <x:v>Loan payment / Property document</x:v>
      </x:c>
      <x:c r="F698" s="35" t="str">
        <x:v>Attach and match to existing loan; probe typed extraction of principal/interest</x:v>
      </x:c>
      <x:c r="G698" s="20" t="str">
        <x:v>PDF</x:v>
      </x:c>
      <x:c r="H698" s="20" t="str">
        <x:v>3 pages</x:v>
      </x:c>
      <x:c r="I698" s="35" t="str">
        <x:v>clean lender PDF</x:v>
      </x:c>
      <x:c r="J698" s="20" t="str">
        <x:v>P022</x:v>
      </x:c>
      <x:c r="K698" s="20" t="str"/>
      <x:c r="L698" s="20" t="str"/>
      <x:c r="M698" s="20" t="str">
        <x:v>FIN-01382</x:v>
      </x:c>
      <x:c r="N698" s="35" t="str">
        <x:v>loan; due date; payment; principal; interest; escrow; ending principal balance</x:v>
      </x:c>
      <x:c r="O698" s="35" t="str">
        <x:v>principal/interest changes monthly</x:v>
      </x:c>
      <x:c r="P698" s="35" t="str">
        <x:v>Verify or enter a different loan payment manually from the other client.</x:v>
      </x:c>
      <x:c r="Q698" s="35" t="str">
        <x:v>Synthetic QA only; no real people, accounts, signatures, or properties</x:v>
      </x:c>
    </x:row>
    <x:row r="699">
      <x:c r="A699" s="20" t="str">
        <x:v>SCN-0696</x:v>
      </x:c>
      <x:c r="B699" s="23" t="n">
        <x:v>46650</x:v>
      </x:c>
      <x:c r="C699" s="20" t="str">
        <x:v>scn-0696-loan-payment-ln023-202709.pdf</x:v>
      </x:c>
      <x:c r="D699" s="20" t="str">
        <x:v>Monthly mortgage statement</x:v>
      </x:c>
      <x:c r="E699" s="20" t="str">
        <x:v>Loan payment / Property document</x:v>
      </x:c>
      <x:c r="F699" s="35" t="str">
        <x:v>Attach and match to existing loan; probe typed extraction of principal/interest</x:v>
      </x:c>
      <x:c r="G699" s="20" t="str">
        <x:v>PDF</x:v>
      </x:c>
      <x:c r="H699" s="20" t="str">
        <x:v>3 pages</x:v>
      </x:c>
      <x:c r="I699" s="35" t="str">
        <x:v>clean lender PDF</x:v>
      </x:c>
      <x:c r="J699" s="20" t="str">
        <x:v>P023</x:v>
      </x:c>
      <x:c r="K699" s="20" t="str"/>
      <x:c r="L699" s="20" t="str"/>
      <x:c r="M699" s="20" t="str">
        <x:v>FIN-01383</x:v>
      </x:c>
      <x:c r="N699" s="35" t="str">
        <x:v>loan; due date; payment; principal; interest; escrow; ending principal balance</x:v>
      </x:c>
      <x:c r="O699" s="35" t="str">
        <x:v>principal/interest changes monthly</x:v>
      </x:c>
      <x:c r="P699" s="35" t="str">
        <x:v>Verify or enter a different loan payment manually from the other client.</x:v>
      </x:c>
      <x:c r="Q699" s="35" t="str">
        <x:v>Synthetic QA only; no real people, accounts, signatures, or properties</x:v>
      </x:c>
    </x:row>
    <x:row r="700">
      <x:c r="A700" s="20" t="str">
        <x:v>SCN-0697</x:v>
      </x:c>
      <x:c r="B700" s="23" t="n">
        <x:v>46650</x:v>
      </x:c>
      <x:c r="C700" s="20" t="str">
        <x:v>scn-0697-loan-payment-ln025-202709.pdf</x:v>
      </x:c>
      <x:c r="D700" s="20" t="str">
        <x:v>Monthly mortgage statement</x:v>
      </x:c>
      <x:c r="E700" s="20" t="str">
        <x:v>Loan payment / Property document</x:v>
      </x:c>
      <x:c r="F700" s="35" t="str">
        <x:v>Attach and match to existing loan; probe typed extraction of principal/interest</x:v>
      </x:c>
      <x:c r="G700" s="20" t="str">
        <x:v>PDF</x:v>
      </x:c>
      <x:c r="H700" s="20" t="str">
        <x:v>3 pages</x:v>
      </x:c>
      <x:c r="I700" s="35" t="str">
        <x:v>clean lender PDF</x:v>
      </x:c>
      <x:c r="J700" s="20" t="str">
        <x:v>P025</x:v>
      </x:c>
      <x:c r="K700" s="20" t="str"/>
      <x:c r="L700" s="20" t="str"/>
      <x:c r="M700" s="20" t="str">
        <x:v>FIN-01384</x:v>
      </x:c>
      <x:c r="N700" s="35" t="str">
        <x:v>loan; due date; payment; principal; interest; escrow; ending principal balance</x:v>
      </x:c>
      <x:c r="O700" s="35" t="str">
        <x:v>principal/interest changes monthly</x:v>
      </x:c>
      <x:c r="P700" s="35" t="str">
        <x:v>Verify or enter a different loan payment manually from the other client.</x:v>
      </x:c>
      <x:c r="Q700" s="35" t="str">
        <x:v>Synthetic QA only; no real people, accounts, signatures, or properties</x:v>
      </x:c>
    </x:row>
    <x:row r="701">
      <x:c r="A701" s="20" t="str">
        <x:v>SCN-0698</x:v>
      </x:c>
      <x:c r="B701" s="23" t="n">
        <x:v>46650</x:v>
      </x:c>
      <x:c r="C701" s="20" t="str">
        <x:v>scn-0698-loan-payment-ln026-202709.pdf</x:v>
      </x:c>
      <x:c r="D701" s="20" t="str">
        <x:v>Monthly mortgage statement</x:v>
      </x:c>
      <x:c r="E701" s="20" t="str">
        <x:v>Loan payment / Property document</x:v>
      </x:c>
      <x:c r="F701" s="35" t="str">
        <x:v>Attach and match to existing loan; probe typed extraction of principal/interest</x:v>
      </x:c>
      <x:c r="G701" s="20" t="str">
        <x:v>PDF</x:v>
      </x:c>
      <x:c r="H701" s="20" t="str">
        <x:v>3 pages</x:v>
      </x:c>
      <x:c r="I701" s="35" t="str">
        <x:v>clean lender PDF</x:v>
      </x:c>
      <x:c r="J701" s="20" t="str">
        <x:v>P026</x:v>
      </x:c>
      <x:c r="K701" s="20" t="str"/>
      <x:c r="L701" s="20" t="str"/>
      <x:c r="M701" s="20" t="str">
        <x:v>FIN-01385</x:v>
      </x:c>
      <x:c r="N701" s="35" t="str">
        <x:v>loan; due date; payment; principal; interest; escrow; ending principal balance</x:v>
      </x:c>
      <x:c r="O701" s="35" t="str">
        <x:v>principal/interest changes monthly</x:v>
      </x:c>
      <x:c r="P701" s="35" t="str">
        <x:v>Verify or enter a different loan payment manually from the other client.</x:v>
      </x:c>
      <x:c r="Q701" s="35" t="str">
        <x:v>Synthetic QA only; no real people, accounts, signatures, or properties</x:v>
      </x:c>
    </x:row>
    <x:row r="702">
      <x:c r="A702" s="20" t="str">
        <x:v>SCN-0699</x:v>
      </x:c>
      <x:c r="B702" s="23" t="n">
        <x:v>46650</x:v>
      </x:c>
      <x:c r="C702" s="20" t="str">
        <x:v>scn-0699-loan-payment-ln028-202709.pdf</x:v>
      </x:c>
      <x:c r="D702" s="20" t="str">
        <x:v>Monthly mortgage statement</x:v>
      </x:c>
      <x:c r="E702" s="20" t="str">
        <x:v>Loan payment / Property document</x:v>
      </x:c>
      <x:c r="F702" s="35" t="str">
        <x:v>Attach and match to existing loan; probe typed extraction of principal/interest</x:v>
      </x:c>
      <x:c r="G702" s="20" t="str">
        <x:v>PDF</x:v>
      </x:c>
      <x:c r="H702" s="20" t="str">
        <x:v>3 pages</x:v>
      </x:c>
      <x:c r="I702" s="35" t="str">
        <x:v>clean lender PDF</x:v>
      </x:c>
      <x:c r="J702" s="20" t="str">
        <x:v>P028</x:v>
      </x:c>
      <x:c r="K702" s="20" t="str"/>
      <x:c r="L702" s="20" t="str"/>
      <x:c r="M702" s="20" t="str">
        <x:v>FIN-01386</x:v>
      </x:c>
      <x:c r="N702" s="35" t="str">
        <x:v>loan; due date; payment; principal; interest; escrow; ending principal balance</x:v>
      </x:c>
      <x:c r="O702" s="35" t="str">
        <x:v>principal/interest changes monthly</x:v>
      </x:c>
      <x:c r="P702" s="35" t="str">
        <x:v>Verify or enter a different loan payment manually from the other client.</x:v>
      </x:c>
      <x:c r="Q702" s="35" t="str">
        <x:v>Synthetic QA only; no real people, accounts, signatures, or properties</x:v>
      </x:c>
    </x:row>
    <x:row r="703">
      <x:c r="A703" s="20" t="str">
        <x:v>SCN-0700</x:v>
      </x:c>
      <x:c r="B703" s="23" t="n">
        <x:v>46650</x:v>
      </x:c>
      <x:c r="C703" s="20" t="str">
        <x:v>scn-0700-loan-payment-ln029-202709.pdf</x:v>
      </x:c>
      <x:c r="D703" s="20" t="str">
        <x:v>Monthly mortgage statement</x:v>
      </x:c>
      <x:c r="E703" s="20" t="str">
        <x:v>Loan payment / Property document</x:v>
      </x:c>
      <x:c r="F703" s="35" t="str">
        <x:v>Attach and match to existing loan; probe typed extraction of principal/interest</x:v>
      </x:c>
      <x:c r="G703" s="20" t="str">
        <x:v>PDF</x:v>
      </x:c>
      <x:c r="H703" s="20" t="str">
        <x:v>3 pages</x:v>
      </x:c>
      <x:c r="I703" s="35" t="str">
        <x:v>clean lender PDF</x:v>
      </x:c>
      <x:c r="J703" s="20" t="str">
        <x:v>P029</x:v>
      </x:c>
      <x:c r="K703" s="20" t="str"/>
      <x:c r="L703" s="20" t="str"/>
      <x:c r="M703" s="20" t="str">
        <x:v>FIN-01387</x:v>
      </x:c>
      <x:c r="N703" s="35" t="str">
        <x:v>loan; due date; payment; principal; interest; escrow; ending principal balance</x:v>
      </x:c>
      <x:c r="O703" s="35" t="str">
        <x:v>principal/interest changes monthly</x:v>
      </x:c>
      <x:c r="P703" s="35" t="str">
        <x:v>Verify or enter a different loan payment manually from the other client.</x:v>
      </x:c>
      <x:c r="Q703" s="35" t="str">
        <x:v>Synthetic QA only; no real people, accounts, signatures, or properties</x:v>
      </x:c>
    </x:row>
    <x:row r="704">
      <x:c r="A704" s="20" t="str">
        <x:v>SCN-0701</x:v>
      </x:c>
      <x:c r="B704" s="23" t="n">
        <x:v>46660</x:v>
      </x:c>
      <x:c r="C704" s="20" t="str">
        <x:v>scn-0701-bank-statement-2027-09.pdf</x:v>
      </x:c>
      <x:c r="D704" s="20" t="str">
        <x:v>Operating bank statement</x:v>
      </x:c>
      <x:c r="E704" s="20" t="str">
        <x:v>Banking import</x:v>
      </x:c>
      <x:c r="F704" s="35" t="str">
        <x:v>Bank statement/import candidate; manually import structured transactions if PDF scan is unsupported</x:v>
      </x:c>
      <x:c r="G704" s="20" t="str">
        <x:v>PDF</x:v>
      </x:c>
      <x:c r="H704" s="20" t="str">
        <x:v>8-12 pages</x:v>
      </x:c>
      <x:c r="I704" s="35" t="str">
        <x:v>clean bank PDF with synthetic account ending 4242</x:v>
      </x:c>
      <x:c r="J704" s="20" t="str"/>
      <x:c r="K704" s="20" t="str"/>
      <x:c r="L704" s="20" t="str"/>
      <x:c r="M704" s="20" t="str"/>
      <x:c r="N704" s="35" t="str">
        <x:v>statement period; opening balance; deposits; withdrawals; fees; ending balance; transaction references</x:v>
      </x:c>
      <x:c r="O704" s="35" t="str">
        <x:v>one pending item in March and one duplicate feed row in September</x:v>
      </x:c>
      <x:c r="P704" s="35" t="str">
        <x:v>Use Banking review/match on web and mobile; manually enter one unmatched bank fee.</x:v>
      </x:c>
      <x:c r="Q704" s="35" t="str">
        <x:v>Synthetic QA only; no real people, accounts, signatures, or properties</x:v>
      </x:c>
    </x:row>
    <x:row r="705">
      <x:c r="A705" s="20" t="str">
        <x:v>SCN-0702</x:v>
      </x:c>
      <x:c r="B705" s="23" t="n">
        <x:v>46675</x:v>
      </x:c>
      <x:c r="C705" s="20" t="str">
        <x:v>scn-0702-expense-20271015-1201.pdf</x:v>
      </x:c>
      <x:c r="D705" s="20" t="str">
        <x:v>Vendor invoice / receipt</x:v>
      </x:c>
      <x:c r="E705" s="20" t="str">
        <x:v>Expense</x:v>
      </x:c>
      <x:c r="F705" s="35" t="str">
        <x:v>Direct scan draft with property/unit/work-order context</x:v>
      </x:c>
      <x:c r="G705" s="20" t="str">
        <x:v>PDF</x:v>
      </x:c>
      <x:c r="H705" s="20" t="str">
        <x:v>1-3 pages</x:v>
      </x:c>
      <x:c r="I705" s="35" t="str">
        <x:v>crumpled thermal receipt</x:v>
      </x:c>
      <x:c r="J705" s="20" t="str">
        <x:v>P021</x:v>
      </x:c>
      <x:c r="K705" s="20" t="str"/>
      <x:c r="L705" s="20" t="str"/>
      <x:c r="M705" s="20" t="str">
        <x:v>FIN-01394</x:v>
      </x:c>
      <x:c r="N705" s="35" t="str">
        <x:v>vendor; invoice number; date; subtotal; tax; total; category; property; unit; line items; payment method</x:v>
      </x:c>
      <x:c r="O705" s="35" t="str"/>
      <x:c r="P705" s="35" t="str">
        <x:v>Create a different expense of the same category through the equivalent manual form on the other client.</x:v>
      </x:c>
      <x:c r="Q705" s="35" t="str">
        <x:v>Synthetic QA only; no real people, accounts, signatures, or properties</x:v>
      </x:c>
    </x:row>
    <x:row r="706">
      <x:c r="A706" s="20" t="str">
        <x:v>SCN-0703</x:v>
      </x:c>
      <x:c r="B706" s="23" t="n">
        <x:v>46675</x:v>
      </x:c>
      <x:c r="C706" s="20" t="str">
        <x:v>scn-0703-expense-20271015-1202.pdf</x:v>
      </x:c>
      <x:c r="D706" s="20" t="str">
        <x:v>Vendor invoice / receipt</x:v>
      </x:c>
      <x:c r="E706" s="20" t="str">
        <x:v>Expense</x:v>
      </x:c>
      <x:c r="F706" s="35" t="str">
        <x:v>Direct scan draft with property/unit/work-order context</x:v>
      </x:c>
      <x:c r="G706" s="20" t="str">
        <x:v>PDF</x:v>
      </x:c>
      <x:c r="H706" s="20" t="str">
        <x:v>1-3 pages</x:v>
      </x:c>
      <x:c r="I706" s="35" t="str">
        <x:v>phone photo with shadow</x:v>
      </x:c>
      <x:c r="J706" s="20" t="str">
        <x:v>P022</x:v>
      </x:c>
      <x:c r="K706" s="20" t="str"/>
      <x:c r="L706" s="20" t="str"/>
      <x:c r="M706" s="20" t="str">
        <x:v>FIN-01395</x:v>
      </x:c>
      <x:c r="N706" s="35" t="str">
        <x:v>vendor; invoice number; date; subtotal; tax; total; category; property; unit; line items; payment method</x:v>
      </x:c>
      <x:c r="O706" s="35" t="str"/>
      <x:c r="P706" s="35" t="str">
        <x:v>Create a different expense of the same category through the equivalent manual form on the other client.</x:v>
      </x:c>
      <x:c r="Q706" s="35" t="str">
        <x:v>Synthetic QA only; no real people, accounts, signatures, or properties</x:v>
      </x:c>
    </x:row>
    <x:row r="707">
      <x:c r="A707" s="20" t="str">
        <x:v>SCN-0704</x:v>
      </x:c>
      <x:c r="B707" s="23" t="n">
        <x:v>46675</x:v>
      </x:c>
      <x:c r="C707" s="20" t="str">
        <x:v>scn-0704-expense-20271015-1203.jpg</x:v>
      </x:c>
      <x:c r="D707" s="20" t="str">
        <x:v>Vendor invoice / receipt</x:v>
      </x:c>
      <x:c r="E707" s="20" t="str">
        <x:v>Expense</x:v>
      </x:c>
      <x:c r="F707" s="35" t="str">
        <x:v>Direct scan draft with property/unit/work-order context</x:v>
      </x:c>
      <x:c r="G707" s="20" t="str">
        <x:v>Camera JPEG</x:v>
      </x:c>
      <x:c r="H707" s="20" t="str">
        <x:v>1-3 pages</x:v>
      </x:c>
      <x:c r="I707" s="35" t="str">
        <x:v>clean emailed invoice</x:v>
      </x:c>
      <x:c r="J707" s="20" t="str">
        <x:v>P023</x:v>
      </x:c>
      <x:c r="K707" s="20" t="str"/>
      <x:c r="L707" s="20" t="str"/>
      <x:c r="M707" s="20" t="str">
        <x:v>FIN-01396</x:v>
      </x:c>
      <x:c r="N707" s="35" t="str">
        <x:v>vendor; invoice number; date; subtotal; tax; total; category; property; unit; line items; payment method</x:v>
      </x:c>
      <x:c r="O707" s="35" t="str"/>
      <x:c r="P707" s="35" t="str">
        <x:v>Create a different expense of the same category through the equivalent manual form on the other client.</x:v>
      </x:c>
      <x:c r="Q707" s="35" t="str">
        <x:v>Synthetic QA only; no real people, accounts, signatures, or properties</x:v>
      </x:c>
    </x:row>
    <x:row r="708">
      <x:c r="A708" s="20" t="str">
        <x:v>SCN-0705</x:v>
      </x:c>
      <x:c r="B708" s="23" t="n">
        <x:v>46675</x:v>
      </x:c>
      <x:c r="C708" s="20" t="str">
        <x:v>scn-0705-expense-20271015-1204.pdf</x:v>
      </x:c>
      <x:c r="D708" s="20" t="str">
        <x:v>Vendor invoice / receipt</x:v>
      </x:c>
      <x:c r="E708" s="20" t="str">
        <x:v>Expense</x:v>
      </x:c>
      <x:c r="F708" s="35" t="str">
        <x:v>Direct scan draft with property/unit/work-order context</x:v>
      </x:c>
      <x:c r="G708" s="20" t="str">
        <x:v>PDF</x:v>
      </x:c>
      <x:c r="H708" s="20" t="str">
        <x:v>1-3 pages</x:v>
      </x:c>
      <x:c r="I708" s="35" t="str">
        <x:v>crumpled thermal receipt</x:v>
      </x:c>
      <x:c r="J708" s="20" t="str">
        <x:v>P024</x:v>
      </x:c>
      <x:c r="K708" s="20" t="str"/>
      <x:c r="L708" s="20" t="str"/>
      <x:c r="M708" s="20" t="str">
        <x:v>FIN-01397</x:v>
      </x:c>
      <x:c r="N708" s="35" t="str">
        <x:v>vendor; invoice number; date; subtotal; tax; total; category; property; unit; line items; payment method</x:v>
      </x:c>
      <x:c r="O708" s="35" t="str"/>
      <x:c r="P708" s="35" t="str">
        <x:v>Create a different expense of the same category through the equivalent manual form on the other client.</x:v>
      </x:c>
      <x:c r="Q708" s="35" t="str">
        <x:v>Synthetic QA only; no real people, accounts, signatures, or properties</x:v>
      </x:c>
    </x:row>
    <x:row r="709">
      <x:c r="A709" s="20" t="str">
        <x:v>SCN-0706</x:v>
      </x:c>
      <x:c r="B709" s="23" t="n">
        <x:v>46675</x:v>
      </x:c>
      <x:c r="C709" s="20" t="str">
        <x:v>scn-0706-expense-20271015-1206.jpg</x:v>
      </x:c>
      <x:c r="D709" s="20" t="str">
        <x:v>Vendor invoice / receipt</x:v>
      </x:c>
      <x:c r="E709" s="20" t="str">
        <x:v>Expense</x:v>
      </x:c>
      <x:c r="F709" s="35" t="str">
        <x:v>Direct scan draft with property/unit/work-order context</x:v>
      </x:c>
      <x:c r="G709" s="20" t="str">
        <x:v>Camera JPEG</x:v>
      </x:c>
      <x:c r="H709" s="20" t="str">
        <x:v>1-3 pages</x:v>
      </x:c>
      <x:c r="I709" s="35" t="str">
        <x:v>clean emailed invoice</x:v>
      </x:c>
      <x:c r="J709" s="20" t="str">
        <x:v>P026</x:v>
      </x:c>
      <x:c r="K709" s="20" t="str"/>
      <x:c r="L709" s="20" t="str"/>
      <x:c r="M709" s="20" t="str">
        <x:v>FIN-01399</x:v>
      </x:c>
      <x:c r="N709" s="35" t="str">
        <x:v>vendor; invoice number; date; subtotal; tax; total; category; property; unit; line items; payment method</x:v>
      </x:c>
      <x:c r="O709" s="35" t="str"/>
      <x:c r="P709" s="35" t="str">
        <x:v>Create a different expense of the same category through the equivalent manual form on the other client.</x:v>
      </x:c>
      <x:c r="Q709" s="35" t="str">
        <x:v>Synthetic QA only; no real people, accounts, signatures, or properties</x:v>
      </x:c>
    </x:row>
    <x:row r="710">
      <x:c r="A710" s="20" t="str">
        <x:v>SCN-0707</x:v>
      </x:c>
      <x:c r="B710" s="23" t="n">
        <x:v>46675</x:v>
      </x:c>
      <x:c r="C710" s="20" t="str">
        <x:v>scn-0707-expense-20271015-1207.pdf</x:v>
      </x:c>
      <x:c r="D710" s="20" t="str">
        <x:v>Vendor invoice / receipt</x:v>
      </x:c>
      <x:c r="E710" s="20" t="str">
        <x:v>Expense</x:v>
      </x:c>
      <x:c r="F710" s="35" t="str">
        <x:v>Direct scan draft with property/unit/work-order context</x:v>
      </x:c>
      <x:c r="G710" s="20" t="str">
        <x:v>PDF</x:v>
      </x:c>
      <x:c r="H710" s="20" t="str">
        <x:v>1-3 pages</x:v>
      </x:c>
      <x:c r="I710" s="35" t="str">
        <x:v>crumpled thermal receipt</x:v>
      </x:c>
      <x:c r="J710" s="20" t="str">
        <x:v>P027</x:v>
      </x:c>
      <x:c r="K710" s="20" t="str"/>
      <x:c r="L710" s="20" t="str"/>
      <x:c r="M710" s="20" t="str">
        <x:v>FIN-01400</x:v>
      </x:c>
      <x:c r="N710" s="35" t="str">
        <x:v>vendor; invoice number; date; subtotal; tax; total; category; property; unit; line items; payment method</x:v>
      </x:c>
      <x:c r="O710" s="35" t="str">
        <x:v>split tax/line items; duplicate invoice number</x:v>
      </x:c>
      <x:c r="P710" s="35" t="str">
        <x:v>Create a different expense of the same category through the equivalent manual form on the other client.</x:v>
      </x:c>
      <x:c r="Q710" s="35" t="str">
        <x:v>Synthetic QA only; no real people, accounts, signatures, or properties</x:v>
      </x:c>
    </x:row>
    <x:row r="711">
      <x:c r="A711" s="20" t="str">
        <x:v>SCN-0708</x:v>
      </x:c>
      <x:c r="B711" s="23" t="n">
        <x:v>46675</x:v>
      </x:c>
      <x:c r="C711" s="20" t="str">
        <x:v>scn-0708-expense-20271015-1208.pdf</x:v>
      </x:c>
      <x:c r="D711" s="20" t="str">
        <x:v>Vendor invoice / receipt</x:v>
      </x:c>
      <x:c r="E711" s="20" t="str">
        <x:v>Expense</x:v>
      </x:c>
      <x:c r="F711" s="35" t="str">
        <x:v>Direct scan draft with property/unit/work-order context</x:v>
      </x:c>
      <x:c r="G711" s="20" t="str">
        <x:v>PDF</x:v>
      </x:c>
      <x:c r="H711" s="20" t="str">
        <x:v>1-3 pages</x:v>
      </x:c>
      <x:c r="I711" s="35" t="str">
        <x:v>phone photo with shadow</x:v>
      </x:c>
      <x:c r="J711" s="20" t="str">
        <x:v>P028</x:v>
      </x:c>
      <x:c r="K711" s="20" t="str"/>
      <x:c r="L711" s="20" t="str"/>
      <x:c r="M711" s="20" t="str">
        <x:v>FIN-01401</x:v>
      </x:c>
      <x:c r="N711" s="35" t="str">
        <x:v>vendor; invoice number; date; subtotal; tax; total; category; property; unit; line items; payment method</x:v>
      </x:c>
      <x:c r="O711" s="35" t="str"/>
      <x:c r="P711" s="35" t="str">
        <x:v>Create a different expense of the same category through the equivalent manual form on the other client.</x:v>
      </x:c>
      <x:c r="Q711" s="35" t="str">
        <x:v>Synthetic QA only; no real people, accounts, signatures, or properties</x:v>
      </x:c>
    </x:row>
    <x:row r="712">
      <x:c r="A712" s="20" t="str">
        <x:v>SCN-0709</x:v>
      </x:c>
      <x:c r="B712" s="23" t="n">
        <x:v>46675</x:v>
      </x:c>
      <x:c r="C712" s="20" t="str">
        <x:v>scn-0709-expense-20271015-1209.jpg</x:v>
      </x:c>
      <x:c r="D712" s="20" t="str">
        <x:v>Vendor invoice / receipt</x:v>
      </x:c>
      <x:c r="E712" s="20" t="str">
        <x:v>Expense</x:v>
      </x:c>
      <x:c r="F712" s="35" t="str">
        <x:v>Direct scan draft with property/unit/work-order context</x:v>
      </x:c>
      <x:c r="G712" s="20" t="str">
        <x:v>Camera JPEG</x:v>
      </x:c>
      <x:c r="H712" s="20" t="str">
        <x:v>1-3 pages</x:v>
      </x:c>
      <x:c r="I712" s="35" t="str">
        <x:v>clean emailed invoice</x:v>
      </x:c>
      <x:c r="J712" s="20" t="str">
        <x:v>P029</x:v>
      </x:c>
      <x:c r="K712" s="20" t="str"/>
      <x:c r="L712" s="20" t="str"/>
      <x:c r="M712" s="20" t="str">
        <x:v>FIN-01402</x:v>
      </x:c>
      <x:c r="N712" s="35" t="str">
        <x:v>vendor; invoice number; date; subtotal; tax; total; category; property; unit; line items; payment method</x:v>
      </x:c>
      <x:c r="O712" s="35" t="str"/>
      <x:c r="P712" s="35" t="str">
        <x:v>Create a different expense of the same category through the equivalent manual form on the other client.</x:v>
      </x:c>
      <x:c r="Q712" s="35" t="str">
        <x:v>Synthetic QA only; no real people, accounts, signatures, or properties</x:v>
      </x:c>
    </x:row>
    <x:row r="713">
      <x:c r="A713" s="20" t="str">
        <x:v>SCN-0710</x:v>
      </x:c>
      <x:c r="B713" s="23" t="n">
        <x:v>46680</x:v>
      </x:c>
      <x:c r="C713" s="20" t="str">
        <x:v>scn-0710-loan-payment-ln001-202710.pdf</x:v>
      </x:c>
      <x:c r="D713" s="20" t="str">
        <x:v>Monthly mortgage statement</x:v>
      </x:c>
      <x:c r="E713" s="20" t="str">
        <x:v>Loan payment / Property document</x:v>
      </x:c>
      <x:c r="F713" s="35" t="str">
        <x:v>Attach and match to existing loan; probe typed extraction of principal/interest</x:v>
      </x:c>
      <x:c r="G713" s="20" t="str">
        <x:v>PDF</x:v>
      </x:c>
      <x:c r="H713" s="20" t="str">
        <x:v>3 pages</x:v>
      </x:c>
      <x:c r="I713" s="35" t="str">
        <x:v>clean lender PDF</x:v>
      </x:c>
      <x:c r="J713" s="20" t="str">
        <x:v>P001</x:v>
      </x:c>
      <x:c r="K713" s="20" t="str"/>
      <x:c r="L713" s="20" t="str"/>
      <x:c r="M713" s="20" t="str">
        <x:v>FIN-01404</x:v>
      </x:c>
      <x:c r="N713" s="35" t="str">
        <x:v>loan; due date; payment; principal; interest; escrow; ending principal balance</x:v>
      </x:c>
      <x:c r="O713" s="35" t="str">
        <x:v>principal/interest changes monthly</x:v>
      </x:c>
      <x:c r="P713" s="35" t="str">
        <x:v>Verify or enter a different loan payment manually from the other client.</x:v>
      </x:c>
      <x:c r="Q713" s="35" t="str">
        <x:v>Synthetic QA only; no real people, accounts, signatures, or properties</x:v>
      </x:c>
    </x:row>
    <x:row r="714">
      <x:c r="A714" s="20" t="str">
        <x:v>SCN-0711</x:v>
      </x:c>
      <x:c r="B714" s="23" t="n">
        <x:v>46680</x:v>
      </x:c>
      <x:c r="C714" s="20" t="str">
        <x:v>scn-0711-loan-payment-ln002-202710.pdf</x:v>
      </x:c>
      <x:c r="D714" s="20" t="str">
        <x:v>Monthly mortgage statement</x:v>
      </x:c>
      <x:c r="E714" s="20" t="str">
        <x:v>Loan payment / Property document</x:v>
      </x:c>
      <x:c r="F714" s="35" t="str">
        <x:v>Attach and match to existing loan; probe typed extraction of principal/interest</x:v>
      </x:c>
      <x:c r="G714" s="20" t="str">
        <x:v>PDF</x:v>
      </x:c>
      <x:c r="H714" s="20" t="str">
        <x:v>3 pages</x:v>
      </x:c>
      <x:c r="I714" s="35" t="str">
        <x:v>clean lender PDF</x:v>
      </x:c>
      <x:c r="J714" s="20" t="str">
        <x:v>P002</x:v>
      </x:c>
      <x:c r="K714" s="20" t="str"/>
      <x:c r="L714" s="20" t="str"/>
      <x:c r="M714" s="20" t="str">
        <x:v>FIN-01405</x:v>
      </x:c>
      <x:c r="N714" s="35" t="str">
        <x:v>loan; due date; payment; principal; interest; escrow; ending principal balance</x:v>
      </x:c>
      <x:c r="O714" s="35" t="str">
        <x:v>principal/interest changes monthly</x:v>
      </x:c>
      <x:c r="P714" s="35" t="str">
        <x:v>Verify or enter a different loan payment manually from the other client.</x:v>
      </x:c>
      <x:c r="Q714" s="35" t="str">
        <x:v>Synthetic QA only; no real people, accounts, signatures, or properties</x:v>
      </x:c>
    </x:row>
    <x:row r="715">
      <x:c r="A715" s="20" t="str">
        <x:v>SCN-0712</x:v>
      </x:c>
      <x:c r="B715" s="23" t="n">
        <x:v>46680</x:v>
      </x:c>
      <x:c r="C715" s="20" t="str">
        <x:v>scn-0712-loan-payment-ln004-202710.pdf</x:v>
      </x:c>
      <x:c r="D715" s="20" t="str">
        <x:v>Monthly mortgage statement</x:v>
      </x:c>
      <x:c r="E715" s="20" t="str">
        <x:v>Loan payment / Property document</x:v>
      </x:c>
      <x:c r="F715" s="35" t="str">
        <x:v>Attach and match to existing loan; probe typed extraction of principal/interest</x:v>
      </x:c>
      <x:c r="G715" s="20" t="str">
        <x:v>PDF</x:v>
      </x:c>
      <x:c r="H715" s="20" t="str">
        <x:v>3 pages</x:v>
      </x:c>
      <x:c r="I715" s="35" t="str">
        <x:v>clean lender PDF</x:v>
      </x:c>
      <x:c r="J715" s="20" t="str">
        <x:v>P004</x:v>
      </x:c>
      <x:c r="K715" s="20" t="str"/>
      <x:c r="L715" s="20" t="str"/>
      <x:c r="M715" s="20" t="str">
        <x:v>FIN-01406</x:v>
      </x:c>
      <x:c r="N715" s="35" t="str">
        <x:v>loan; due date; payment; principal; interest; escrow; ending principal balance</x:v>
      </x:c>
      <x:c r="O715" s="35" t="str">
        <x:v>principal/interest changes monthly</x:v>
      </x:c>
      <x:c r="P715" s="35" t="str">
        <x:v>Verify or enter a different loan payment manually from the other client.</x:v>
      </x:c>
      <x:c r="Q715" s="35" t="str">
        <x:v>Synthetic QA only; no real people, accounts, signatures, or properties</x:v>
      </x:c>
    </x:row>
    <x:row r="716">
      <x:c r="A716" s="20" t="str">
        <x:v>SCN-0713</x:v>
      </x:c>
      <x:c r="B716" s="23" t="n">
        <x:v>46680</x:v>
      </x:c>
      <x:c r="C716" s="20" t="str">
        <x:v>scn-0713-loan-payment-ln005-202710.pdf</x:v>
      </x:c>
      <x:c r="D716" s="20" t="str">
        <x:v>Monthly mortgage statement</x:v>
      </x:c>
      <x:c r="E716" s="20" t="str">
        <x:v>Loan payment / Property document</x:v>
      </x:c>
      <x:c r="F716" s="35" t="str">
        <x:v>Attach and match to existing loan; probe typed extraction of principal/interest</x:v>
      </x:c>
      <x:c r="G716" s="20" t="str">
        <x:v>PDF</x:v>
      </x:c>
      <x:c r="H716" s="20" t="str">
        <x:v>3 pages</x:v>
      </x:c>
      <x:c r="I716" s="35" t="str">
        <x:v>clean lender PDF</x:v>
      </x:c>
      <x:c r="J716" s="20" t="str">
        <x:v>P005</x:v>
      </x:c>
      <x:c r="K716" s="20" t="str"/>
      <x:c r="L716" s="20" t="str"/>
      <x:c r="M716" s="20" t="str">
        <x:v>FIN-01407</x:v>
      </x:c>
      <x:c r="N716" s="35" t="str">
        <x:v>loan; due date; payment; principal; interest; escrow; ending principal balance</x:v>
      </x:c>
      <x:c r="O716" s="35" t="str">
        <x:v>principal/interest changes monthly</x:v>
      </x:c>
      <x:c r="P716" s="35" t="str">
        <x:v>Verify or enter a different loan payment manually from the other client.</x:v>
      </x:c>
      <x:c r="Q716" s="35" t="str">
        <x:v>Synthetic QA only; no real people, accounts, signatures, or properties</x:v>
      </x:c>
    </x:row>
    <x:row r="717">
      <x:c r="A717" s="20" t="str">
        <x:v>SCN-0714</x:v>
      </x:c>
      <x:c r="B717" s="23" t="n">
        <x:v>46680</x:v>
      </x:c>
      <x:c r="C717" s="20" t="str">
        <x:v>scn-0714-loan-payment-ln007-202710.pdf</x:v>
      </x:c>
      <x:c r="D717" s="20" t="str">
        <x:v>Monthly mortgage statement</x:v>
      </x:c>
      <x:c r="E717" s="20" t="str">
        <x:v>Loan payment / Property document</x:v>
      </x:c>
      <x:c r="F717" s="35" t="str">
        <x:v>Attach and match to existing loan; probe typed extraction of principal/interest</x:v>
      </x:c>
      <x:c r="G717" s="20" t="str">
        <x:v>PDF</x:v>
      </x:c>
      <x:c r="H717" s="20" t="str">
        <x:v>3 pages</x:v>
      </x:c>
      <x:c r="I717" s="35" t="str">
        <x:v>clean lender PDF</x:v>
      </x:c>
      <x:c r="J717" s="20" t="str">
        <x:v>P007</x:v>
      </x:c>
      <x:c r="K717" s="20" t="str"/>
      <x:c r="L717" s="20" t="str"/>
      <x:c r="M717" s="20" t="str">
        <x:v>FIN-01408</x:v>
      </x:c>
      <x:c r="N717" s="35" t="str">
        <x:v>loan; due date; payment; principal; interest; escrow; ending principal balance</x:v>
      </x:c>
      <x:c r="O717" s="35" t="str">
        <x:v>principal/interest changes monthly</x:v>
      </x:c>
      <x:c r="P717" s="35" t="str">
        <x:v>Verify or enter a different loan payment manually from the other client.</x:v>
      </x:c>
      <x:c r="Q717" s="35" t="str">
        <x:v>Synthetic QA only; no real people, accounts, signatures, or properties</x:v>
      </x:c>
    </x:row>
    <x:row r="718">
      <x:c r="A718" s="20" t="str">
        <x:v>SCN-0715</x:v>
      </x:c>
      <x:c r="B718" s="23" t="n">
        <x:v>46680</x:v>
      </x:c>
      <x:c r="C718" s="20" t="str">
        <x:v>scn-0715-loan-payment-ln008-202710.pdf</x:v>
      </x:c>
      <x:c r="D718" s="20" t="str">
        <x:v>Monthly mortgage statement</x:v>
      </x:c>
      <x:c r="E718" s="20" t="str">
        <x:v>Loan payment / Property document</x:v>
      </x:c>
      <x:c r="F718" s="35" t="str">
        <x:v>Attach and match to existing loan; probe typed extraction of principal/interest</x:v>
      </x:c>
      <x:c r="G718" s="20" t="str">
        <x:v>PDF</x:v>
      </x:c>
      <x:c r="H718" s="20" t="str">
        <x:v>3 pages</x:v>
      </x:c>
      <x:c r="I718" s="35" t="str">
        <x:v>clean lender PDF</x:v>
      </x:c>
      <x:c r="J718" s="20" t="str">
        <x:v>P008</x:v>
      </x:c>
      <x:c r="K718" s="20" t="str"/>
      <x:c r="L718" s="20" t="str"/>
      <x:c r="M718" s="20" t="str">
        <x:v>FIN-01409</x:v>
      </x:c>
      <x:c r="N718" s="35" t="str">
        <x:v>loan; due date; payment; principal; interest; escrow; ending principal balance</x:v>
      </x:c>
      <x:c r="O718" s="35" t="str">
        <x:v>principal/interest changes monthly</x:v>
      </x:c>
      <x:c r="P718" s="35" t="str">
        <x:v>Verify or enter a different loan payment manually from the other client.</x:v>
      </x:c>
      <x:c r="Q718" s="35" t="str">
        <x:v>Synthetic QA only; no real people, accounts, signatures, or properties</x:v>
      </x:c>
    </x:row>
    <x:row r="719">
      <x:c r="A719" s="20" t="str">
        <x:v>SCN-0716</x:v>
      </x:c>
      <x:c r="B719" s="23" t="n">
        <x:v>46680</x:v>
      </x:c>
      <x:c r="C719" s="20" t="str">
        <x:v>scn-0716-loan-payment-ln010-202710.pdf</x:v>
      </x:c>
      <x:c r="D719" s="20" t="str">
        <x:v>Monthly mortgage statement</x:v>
      </x:c>
      <x:c r="E719" s="20" t="str">
        <x:v>Loan payment / Property document</x:v>
      </x:c>
      <x:c r="F719" s="35" t="str">
        <x:v>Attach and match to existing loan; probe typed extraction of principal/interest</x:v>
      </x:c>
      <x:c r="G719" s="20" t="str">
        <x:v>PDF</x:v>
      </x:c>
      <x:c r="H719" s="20" t="str">
        <x:v>3 pages</x:v>
      </x:c>
      <x:c r="I719" s="35" t="str">
        <x:v>clean lender PDF</x:v>
      </x:c>
      <x:c r="J719" s="20" t="str">
        <x:v>P010</x:v>
      </x:c>
      <x:c r="K719" s="20" t="str"/>
      <x:c r="L719" s="20" t="str"/>
      <x:c r="M719" s="20" t="str">
        <x:v>FIN-01410</x:v>
      </x:c>
      <x:c r="N719" s="35" t="str">
        <x:v>loan; due date; payment; principal; interest; escrow; ending principal balance</x:v>
      </x:c>
      <x:c r="O719" s="35" t="str">
        <x:v>principal/interest changes monthly</x:v>
      </x:c>
      <x:c r="P719" s="35" t="str">
        <x:v>Verify or enter a different loan payment manually from the other client.</x:v>
      </x:c>
      <x:c r="Q719" s="35" t="str">
        <x:v>Synthetic QA only; no real people, accounts, signatures, or properties</x:v>
      </x:c>
    </x:row>
    <x:row r="720">
      <x:c r="A720" s="20" t="str">
        <x:v>SCN-0717</x:v>
      </x:c>
      <x:c r="B720" s="23" t="n">
        <x:v>46680</x:v>
      </x:c>
      <x:c r="C720" s="20" t="str">
        <x:v>scn-0717-loan-payment-ln011-202710.pdf</x:v>
      </x:c>
      <x:c r="D720" s="20" t="str">
        <x:v>Monthly mortgage statement</x:v>
      </x:c>
      <x:c r="E720" s="20" t="str">
        <x:v>Loan payment / Property document</x:v>
      </x:c>
      <x:c r="F720" s="35" t="str">
        <x:v>Attach and match to existing loan; probe typed extraction of principal/interest</x:v>
      </x:c>
      <x:c r="G720" s="20" t="str">
        <x:v>PDF</x:v>
      </x:c>
      <x:c r="H720" s="20" t="str">
        <x:v>3 pages</x:v>
      </x:c>
      <x:c r="I720" s="35" t="str">
        <x:v>clean lender PDF</x:v>
      </x:c>
      <x:c r="J720" s="20" t="str">
        <x:v>P011</x:v>
      </x:c>
      <x:c r="K720" s="20" t="str"/>
      <x:c r="L720" s="20" t="str"/>
      <x:c r="M720" s="20" t="str">
        <x:v>FIN-01411</x:v>
      </x:c>
      <x:c r="N720" s="35" t="str">
        <x:v>loan; due date; payment; principal; interest; escrow; ending principal balance</x:v>
      </x:c>
      <x:c r="O720" s="35" t="str">
        <x:v>principal/interest changes monthly</x:v>
      </x:c>
      <x:c r="P720" s="35" t="str">
        <x:v>Verify or enter a different loan payment manually from the other client.</x:v>
      </x:c>
      <x:c r="Q720" s="35" t="str">
        <x:v>Synthetic QA only; no real people, accounts, signatures, or properties</x:v>
      </x:c>
    </x:row>
    <x:row r="721">
      <x:c r="A721" s="20" t="str">
        <x:v>SCN-0718</x:v>
      </x:c>
      <x:c r="B721" s="23" t="n">
        <x:v>46680</x:v>
      </x:c>
      <x:c r="C721" s="20" t="str">
        <x:v>scn-0718-loan-payment-ln013-202710.pdf</x:v>
      </x:c>
      <x:c r="D721" s="20" t="str">
        <x:v>Monthly mortgage statement</x:v>
      </x:c>
      <x:c r="E721" s="20" t="str">
        <x:v>Loan payment / Property document</x:v>
      </x:c>
      <x:c r="F721" s="35" t="str">
        <x:v>Attach and match to existing loan; probe typed extraction of principal/interest</x:v>
      </x:c>
      <x:c r="G721" s="20" t="str">
        <x:v>PDF</x:v>
      </x:c>
      <x:c r="H721" s="20" t="str">
        <x:v>3 pages</x:v>
      </x:c>
      <x:c r="I721" s="35" t="str">
        <x:v>clean lender PDF</x:v>
      </x:c>
      <x:c r="J721" s="20" t="str">
        <x:v>P013</x:v>
      </x:c>
      <x:c r="K721" s="20" t="str"/>
      <x:c r="L721" s="20" t="str"/>
      <x:c r="M721" s="20" t="str">
        <x:v>FIN-01412</x:v>
      </x:c>
      <x:c r="N721" s="35" t="str">
        <x:v>loan; due date; payment; principal; interest; escrow; ending principal balance</x:v>
      </x:c>
      <x:c r="O721" s="35" t="str">
        <x:v>principal/interest changes monthly</x:v>
      </x:c>
      <x:c r="P721" s="35" t="str">
        <x:v>Verify or enter a different loan payment manually from the other client.</x:v>
      </x:c>
      <x:c r="Q721" s="35" t="str">
        <x:v>Synthetic QA only; no real people, accounts, signatures, or properties</x:v>
      </x:c>
    </x:row>
    <x:row r="722">
      <x:c r="A722" s="20" t="str">
        <x:v>SCN-0719</x:v>
      </x:c>
      <x:c r="B722" s="23" t="n">
        <x:v>46680</x:v>
      </x:c>
      <x:c r="C722" s="20" t="str">
        <x:v>scn-0719-loan-payment-ln014-202710.pdf</x:v>
      </x:c>
      <x:c r="D722" s="20" t="str">
        <x:v>Monthly mortgage statement</x:v>
      </x:c>
      <x:c r="E722" s="20" t="str">
        <x:v>Loan payment / Property document</x:v>
      </x:c>
      <x:c r="F722" s="35" t="str">
        <x:v>Attach and match to existing loan; probe typed extraction of principal/interest</x:v>
      </x:c>
      <x:c r="G722" s="20" t="str">
        <x:v>PDF</x:v>
      </x:c>
      <x:c r="H722" s="20" t="str">
        <x:v>3 pages</x:v>
      </x:c>
      <x:c r="I722" s="35" t="str">
        <x:v>clean lender PDF</x:v>
      </x:c>
      <x:c r="J722" s="20" t="str">
        <x:v>P014</x:v>
      </x:c>
      <x:c r="K722" s="20" t="str"/>
      <x:c r="L722" s="20" t="str"/>
      <x:c r="M722" s="20" t="str">
        <x:v>FIN-01413</x:v>
      </x:c>
      <x:c r="N722" s="35" t="str">
        <x:v>loan; due date; payment; principal; interest; escrow; ending principal balance</x:v>
      </x:c>
      <x:c r="O722" s="35" t="str">
        <x:v>principal/interest changes monthly</x:v>
      </x:c>
      <x:c r="P722" s="35" t="str">
        <x:v>Verify or enter a different loan payment manually from the other client.</x:v>
      </x:c>
      <x:c r="Q722" s="35" t="str">
        <x:v>Synthetic QA only; no real people, accounts, signatures, or properties</x:v>
      </x:c>
    </x:row>
    <x:row r="723">
      <x:c r="A723" s="20" t="str">
        <x:v>SCN-0720</x:v>
      </x:c>
      <x:c r="B723" s="23" t="n">
        <x:v>46680</x:v>
      </x:c>
      <x:c r="C723" s="20" t="str">
        <x:v>scn-0720-loan-payment-ln016-202710.pdf</x:v>
      </x:c>
      <x:c r="D723" s="20" t="str">
        <x:v>Monthly mortgage statement</x:v>
      </x:c>
      <x:c r="E723" s="20" t="str">
        <x:v>Loan payment / Property document</x:v>
      </x:c>
      <x:c r="F723" s="35" t="str">
        <x:v>Attach and match to existing loan; probe typed extraction of principal/interest</x:v>
      </x:c>
      <x:c r="G723" s="20" t="str">
        <x:v>PDF</x:v>
      </x:c>
      <x:c r="H723" s="20" t="str">
        <x:v>3 pages</x:v>
      </x:c>
      <x:c r="I723" s="35" t="str">
        <x:v>clean lender PDF</x:v>
      </x:c>
      <x:c r="J723" s="20" t="str">
        <x:v>P016</x:v>
      </x:c>
      <x:c r="K723" s="20" t="str"/>
      <x:c r="L723" s="20" t="str"/>
      <x:c r="M723" s="20" t="str">
        <x:v>FIN-01414</x:v>
      </x:c>
      <x:c r="N723" s="35" t="str">
        <x:v>loan; due date; payment; principal; interest; escrow; ending principal balance</x:v>
      </x:c>
      <x:c r="O723" s="35" t="str">
        <x:v>principal/interest changes monthly</x:v>
      </x:c>
      <x:c r="P723" s="35" t="str">
        <x:v>Verify or enter a different loan payment manually from the other client.</x:v>
      </x:c>
      <x:c r="Q723" s="35" t="str">
        <x:v>Synthetic QA only; no real people, accounts, signatures, or properties</x:v>
      </x:c>
    </x:row>
    <x:row r="724">
      <x:c r="A724" s="20" t="str">
        <x:v>SCN-0721</x:v>
      </x:c>
      <x:c r="B724" s="23" t="n">
        <x:v>46680</x:v>
      </x:c>
      <x:c r="C724" s="20" t="str">
        <x:v>scn-0721-loan-payment-ln017-202710.pdf</x:v>
      </x:c>
      <x:c r="D724" s="20" t="str">
        <x:v>Monthly mortgage statement</x:v>
      </x:c>
      <x:c r="E724" s="20" t="str">
        <x:v>Loan payment / Property document</x:v>
      </x:c>
      <x:c r="F724" s="35" t="str">
        <x:v>Attach and match to existing loan; probe typed extraction of principal/interest</x:v>
      </x:c>
      <x:c r="G724" s="20" t="str">
        <x:v>PDF</x:v>
      </x:c>
      <x:c r="H724" s="20" t="str">
        <x:v>3 pages</x:v>
      </x:c>
      <x:c r="I724" s="35" t="str">
        <x:v>clean lender PDF</x:v>
      </x:c>
      <x:c r="J724" s="20" t="str">
        <x:v>P017</x:v>
      </x:c>
      <x:c r="K724" s="20" t="str"/>
      <x:c r="L724" s="20" t="str"/>
      <x:c r="M724" s="20" t="str">
        <x:v>FIN-01415</x:v>
      </x:c>
      <x:c r="N724" s="35" t="str">
        <x:v>loan; due date; payment; principal; interest; escrow; ending principal balance</x:v>
      </x:c>
      <x:c r="O724" s="35" t="str">
        <x:v>principal/interest changes monthly</x:v>
      </x:c>
      <x:c r="P724" s="35" t="str">
        <x:v>Verify or enter a different loan payment manually from the other client.</x:v>
      </x:c>
      <x:c r="Q724" s="35" t="str">
        <x:v>Synthetic QA only; no real people, accounts, signatures, or properties</x:v>
      </x:c>
    </x:row>
    <x:row r="725">
      <x:c r="A725" s="20" t="str">
        <x:v>SCN-0722</x:v>
      </x:c>
      <x:c r="B725" s="23" t="n">
        <x:v>46680</x:v>
      </x:c>
      <x:c r="C725" s="20" t="str">
        <x:v>scn-0722-loan-payment-ln019-202710.pdf</x:v>
      </x:c>
      <x:c r="D725" s="20" t="str">
        <x:v>Monthly mortgage statement</x:v>
      </x:c>
      <x:c r="E725" s="20" t="str">
        <x:v>Loan payment / Property document</x:v>
      </x:c>
      <x:c r="F725" s="35" t="str">
        <x:v>Attach and match to existing loan; probe typed extraction of principal/interest</x:v>
      </x:c>
      <x:c r="G725" s="20" t="str">
        <x:v>PDF</x:v>
      </x:c>
      <x:c r="H725" s="20" t="str">
        <x:v>3 pages</x:v>
      </x:c>
      <x:c r="I725" s="35" t="str">
        <x:v>clean lender PDF</x:v>
      </x:c>
      <x:c r="J725" s="20" t="str">
        <x:v>P019</x:v>
      </x:c>
      <x:c r="K725" s="20" t="str"/>
      <x:c r="L725" s="20" t="str"/>
      <x:c r="M725" s="20" t="str">
        <x:v>FIN-01416</x:v>
      </x:c>
      <x:c r="N725" s="35" t="str">
        <x:v>loan; due date; payment; principal; interest; escrow; ending principal balance</x:v>
      </x:c>
      <x:c r="O725" s="35" t="str">
        <x:v>principal/interest changes monthly</x:v>
      </x:c>
      <x:c r="P725" s="35" t="str">
        <x:v>Verify or enter a different loan payment manually from the other client.</x:v>
      </x:c>
      <x:c r="Q725" s="35" t="str">
        <x:v>Synthetic QA only; no real people, accounts, signatures, or properties</x:v>
      </x:c>
    </x:row>
    <x:row r="726">
      <x:c r="A726" s="20" t="str">
        <x:v>SCN-0723</x:v>
      </x:c>
      <x:c r="B726" s="23" t="n">
        <x:v>46680</x:v>
      </x:c>
      <x:c r="C726" s="20" t="str">
        <x:v>scn-0723-loan-payment-ln020-202710.pdf</x:v>
      </x:c>
      <x:c r="D726" s="20" t="str">
        <x:v>Monthly mortgage statement</x:v>
      </x:c>
      <x:c r="E726" s="20" t="str">
        <x:v>Loan payment / Property document</x:v>
      </x:c>
      <x:c r="F726" s="35" t="str">
        <x:v>Attach and match to existing loan; probe typed extraction of principal/interest</x:v>
      </x:c>
      <x:c r="G726" s="20" t="str">
        <x:v>PDF</x:v>
      </x:c>
      <x:c r="H726" s="20" t="str">
        <x:v>3 pages</x:v>
      </x:c>
      <x:c r="I726" s="35" t="str">
        <x:v>clean lender PDF</x:v>
      </x:c>
      <x:c r="J726" s="20" t="str">
        <x:v>P020</x:v>
      </x:c>
      <x:c r="K726" s="20" t="str"/>
      <x:c r="L726" s="20" t="str"/>
      <x:c r="M726" s="20" t="str">
        <x:v>FIN-01417</x:v>
      </x:c>
      <x:c r="N726" s="35" t="str">
        <x:v>loan; due date; payment; principal; interest; escrow; ending principal balance</x:v>
      </x:c>
      <x:c r="O726" s="35" t="str">
        <x:v>principal/interest changes monthly</x:v>
      </x:c>
      <x:c r="P726" s="35" t="str">
        <x:v>Verify or enter a different loan payment manually from the other client.</x:v>
      </x:c>
      <x:c r="Q726" s="35" t="str">
        <x:v>Synthetic QA only; no real people, accounts, signatures, or properties</x:v>
      </x:c>
    </x:row>
    <x:row r="727">
      <x:c r="A727" s="20" t="str">
        <x:v>SCN-0724</x:v>
      </x:c>
      <x:c r="B727" s="23" t="n">
        <x:v>46680</x:v>
      </x:c>
      <x:c r="C727" s="20" t="str">
        <x:v>scn-0724-loan-payment-ln022-202710.pdf</x:v>
      </x:c>
      <x:c r="D727" s="20" t="str">
        <x:v>Monthly mortgage statement</x:v>
      </x:c>
      <x:c r="E727" s="20" t="str">
        <x:v>Loan payment / Property document</x:v>
      </x:c>
      <x:c r="F727" s="35" t="str">
        <x:v>Attach and match to existing loan; probe typed extraction of principal/interest</x:v>
      </x:c>
      <x:c r="G727" s="20" t="str">
        <x:v>PDF</x:v>
      </x:c>
      <x:c r="H727" s="20" t="str">
        <x:v>3 pages</x:v>
      </x:c>
      <x:c r="I727" s="35" t="str">
        <x:v>clean lender PDF</x:v>
      </x:c>
      <x:c r="J727" s="20" t="str">
        <x:v>P022</x:v>
      </x:c>
      <x:c r="K727" s="20" t="str"/>
      <x:c r="L727" s="20" t="str"/>
      <x:c r="M727" s="20" t="str">
        <x:v>FIN-01418</x:v>
      </x:c>
      <x:c r="N727" s="35" t="str">
        <x:v>loan; due date; payment; principal; interest; escrow; ending principal balance</x:v>
      </x:c>
      <x:c r="O727" s="35" t="str">
        <x:v>principal/interest changes monthly</x:v>
      </x:c>
      <x:c r="P727" s="35" t="str">
        <x:v>Verify or enter a different loan payment manually from the other client.</x:v>
      </x:c>
      <x:c r="Q727" s="35" t="str">
        <x:v>Synthetic QA only; no real people, accounts, signatures, or properties</x:v>
      </x:c>
    </x:row>
    <x:row r="728">
      <x:c r="A728" s="20" t="str">
        <x:v>SCN-0725</x:v>
      </x:c>
      <x:c r="B728" s="23" t="n">
        <x:v>46680</x:v>
      </x:c>
      <x:c r="C728" s="20" t="str">
        <x:v>scn-0725-loan-payment-ln023-202710.pdf</x:v>
      </x:c>
      <x:c r="D728" s="20" t="str">
        <x:v>Monthly mortgage statement</x:v>
      </x:c>
      <x:c r="E728" s="20" t="str">
        <x:v>Loan payment / Property document</x:v>
      </x:c>
      <x:c r="F728" s="35" t="str">
        <x:v>Attach and match to existing loan; probe typed extraction of principal/interest</x:v>
      </x:c>
      <x:c r="G728" s="20" t="str">
        <x:v>PDF</x:v>
      </x:c>
      <x:c r="H728" s="20" t="str">
        <x:v>3 pages</x:v>
      </x:c>
      <x:c r="I728" s="35" t="str">
        <x:v>clean lender PDF</x:v>
      </x:c>
      <x:c r="J728" s="20" t="str">
        <x:v>P023</x:v>
      </x:c>
      <x:c r="K728" s="20" t="str"/>
      <x:c r="L728" s="20" t="str"/>
      <x:c r="M728" s="20" t="str">
        <x:v>FIN-01419</x:v>
      </x:c>
      <x:c r="N728" s="35" t="str">
        <x:v>loan; due date; payment; principal; interest; escrow; ending principal balance</x:v>
      </x:c>
      <x:c r="O728" s="35" t="str">
        <x:v>principal/interest changes monthly</x:v>
      </x:c>
      <x:c r="P728" s="35" t="str">
        <x:v>Verify or enter a different loan payment manually from the other client.</x:v>
      </x:c>
      <x:c r="Q728" s="35" t="str">
        <x:v>Synthetic QA only; no real people, accounts, signatures, or properties</x:v>
      </x:c>
    </x:row>
    <x:row r="729">
      <x:c r="A729" s="20" t="str">
        <x:v>SCN-0726</x:v>
      </x:c>
      <x:c r="B729" s="23" t="n">
        <x:v>46680</x:v>
      </x:c>
      <x:c r="C729" s="20" t="str">
        <x:v>scn-0726-loan-payment-ln025-202710.pdf</x:v>
      </x:c>
      <x:c r="D729" s="20" t="str">
        <x:v>Monthly mortgage statement</x:v>
      </x:c>
      <x:c r="E729" s="20" t="str">
        <x:v>Loan payment / Property document</x:v>
      </x:c>
      <x:c r="F729" s="35" t="str">
        <x:v>Attach and match to existing loan; probe typed extraction of principal/interest</x:v>
      </x:c>
      <x:c r="G729" s="20" t="str">
        <x:v>PDF</x:v>
      </x:c>
      <x:c r="H729" s="20" t="str">
        <x:v>3 pages</x:v>
      </x:c>
      <x:c r="I729" s="35" t="str">
        <x:v>clean lender PDF</x:v>
      </x:c>
      <x:c r="J729" s="20" t="str">
        <x:v>P025</x:v>
      </x:c>
      <x:c r="K729" s="20" t="str"/>
      <x:c r="L729" s="20" t="str"/>
      <x:c r="M729" s="20" t="str">
        <x:v>FIN-01420</x:v>
      </x:c>
      <x:c r="N729" s="35" t="str">
        <x:v>loan; due date; payment; principal; interest; escrow; ending principal balance</x:v>
      </x:c>
      <x:c r="O729" s="35" t="str">
        <x:v>principal/interest changes monthly</x:v>
      </x:c>
      <x:c r="P729" s="35" t="str">
        <x:v>Verify or enter a different loan payment manually from the other client.</x:v>
      </x:c>
      <x:c r="Q729" s="35" t="str">
        <x:v>Synthetic QA only; no real people, accounts, signatures, or properties</x:v>
      </x:c>
    </x:row>
    <x:row r="730">
      <x:c r="A730" s="20" t="str">
        <x:v>SCN-0727</x:v>
      </x:c>
      <x:c r="B730" s="23" t="n">
        <x:v>46680</x:v>
      </x:c>
      <x:c r="C730" s="20" t="str">
        <x:v>scn-0727-loan-payment-ln026-202710.pdf</x:v>
      </x:c>
      <x:c r="D730" s="20" t="str">
        <x:v>Monthly mortgage statement</x:v>
      </x:c>
      <x:c r="E730" s="20" t="str">
        <x:v>Loan payment / Property document</x:v>
      </x:c>
      <x:c r="F730" s="35" t="str">
        <x:v>Attach and match to existing loan; probe typed extraction of principal/interest</x:v>
      </x:c>
      <x:c r="G730" s="20" t="str">
        <x:v>PDF</x:v>
      </x:c>
      <x:c r="H730" s="20" t="str">
        <x:v>3 pages</x:v>
      </x:c>
      <x:c r="I730" s="35" t="str">
        <x:v>clean lender PDF</x:v>
      </x:c>
      <x:c r="J730" s="20" t="str">
        <x:v>P026</x:v>
      </x:c>
      <x:c r="K730" s="20" t="str"/>
      <x:c r="L730" s="20" t="str"/>
      <x:c r="M730" s="20" t="str">
        <x:v>FIN-01421</x:v>
      </x:c>
      <x:c r="N730" s="35" t="str">
        <x:v>loan; due date; payment; principal; interest; escrow; ending principal balance</x:v>
      </x:c>
      <x:c r="O730" s="35" t="str">
        <x:v>principal/interest changes monthly</x:v>
      </x:c>
      <x:c r="P730" s="35" t="str">
        <x:v>Verify or enter a different loan payment manually from the other client.</x:v>
      </x:c>
      <x:c r="Q730" s="35" t="str">
        <x:v>Synthetic QA only; no real people, accounts, signatures, or properties</x:v>
      </x:c>
    </x:row>
    <x:row r="731">
      <x:c r="A731" s="20" t="str">
        <x:v>SCN-0728</x:v>
      </x:c>
      <x:c r="B731" s="23" t="n">
        <x:v>46680</x:v>
      </x:c>
      <x:c r="C731" s="20" t="str">
        <x:v>scn-0728-loan-payment-ln028-202710.pdf</x:v>
      </x:c>
      <x:c r="D731" s="20" t="str">
        <x:v>Monthly mortgage statement</x:v>
      </x:c>
      <x:c r="E731" s="20" t="str">
        <x:v>Loan payment / Property document</x:v>
      </x:c>
      <x:c r="F731" s="35" t="str">
        <x:v>Attach and match to existing loan; probe typed extraction of principal/interest</x:v>
      </x:c>
      <x:c r="G731" s="20" t="str">
        <x:v>PDF</x:v>
      </x:c>
      <x:c r="H731" s="20" t="str">
        <x:v>3 pages</x:v>
      </x:c>
      <x:c r="I731" s="35" t="str">
        <x:v>clean lender PDF</x:v>
      </x:c>
      <x:c r="J731" s="20" t="str">
        <x:v>P028</x:v>
      </x:c>
      <x:c r="K731" s="20" t="str"/>
      <x:c r="L731" s="20" t="str"/>
      <x:c r="M731" s="20" t="str">
        <x:v>FIN-01422</x:v>
      </x:c>
      <x:c r="N731" s="35" t="str">
        <x:v>loan; due date; payment; principal; interest; escrow; ending principal balance</x:v>
      </x:c>
      <x:c r="O731" s="35" t="str">
        <x:v>principal/interest changes monthly</x:v>
      </x:c>
      <x:c r="P731" s="35" t="str">
        <x:v>Verify or enter a different loan payment manually from the other client.</x:v>
      </x:c>
      <x:c r="Q731" s="35" t="str">
        <x:v>Synthetic QA only; no real people, accounts, signatures, or properties</x:v>
      </x:c>
    </x:row>
    <x:row r="732">
      <x:c r="A732" s="20" t="str">
        <x:v>SCN-0729</x:v>
      </x:c>
      <x:c r="B732" s="23" t="n">
        <x:v>46680</x:v>
      </x:c>
      <x:c r="C732" s="20" t="str">
        <x:v>scn-0729-loan-payment-ln029-202710.pdf</x:v>
      </x:c>
      <x:c r="D732" s="20" t="str">
        <x:v>Monthly mortgage statement</x:v>
      </x:c>
      <x:c r="E732" s="20" t="str">
        <x:v>Loan payment / Property document</x:v>
      </x:c>
      <x:c r="F732" s="35" t="str">
        <x:v>Attach and match to existing loan; probe typed extraction of principal/interest</x:v>
      </x:c>
      <x:c r="G732" s="20" t="str">
        <x:v>PDF</x:v>
      </x:c>
      <x:c r="H732" s="20" t="str">
        <x:v>3 pages</x:v>
      </x:c>
      <x:c r="I732" s="35" t="str">
        <x:v>clean lender PDF</x:v>
      </x:c>
      <x:c r="J732" s="20" t="str">
        <x:v>P029</x:v>
      </x:c>
      <x:c r="K732" s="20" t="str"/>
      <x:c r="L732" s="20" t="str"/>
      <x:c r="M732" s="20" t="str">
        <x:v>FIN-01423</x:v>
      </x:c>
      <x:c r="N732" s="35" t="str">
        <x:v>loan; due date; payment; principal; interest; escrow; ending principal balance</x:v>
      </x:c>
      <x:c r="O732" s="35" t="str">
        <x:v>principal/interest changes monthly</x:v>
      </x:c>
      <x:c r="P732" s="35" t="str">
        <x:v>Verify or enter a different loan payment manually from the other client.</x:v>
      </x:c>
      <x:c r="Q732" s="35" t="str">
        <x:v>Synthetic QA only; no real people, accounts, signatures, or properties</x:v>
      </x:c>
    </x:row>
    <x:row r="733">
      <x:c r="A733" s="20" t="str">
        <x:v>SCN-0730</x:v>
      </x:c>
      <x:c r="B733" s="23" t="n">
        <x:v>46691</x:v>
      </x:c>
      <x:c r="C733" s="20" t="str">
        <x:v>scn-0730-bank-statement-2027-10.pdf</x:v>
      </x:c>
      <x:c r="D733" s="20" t="str">
        <x:v>Operating bank statement</x:v>
      </x:c>
      <x:c r="E733" s="20" t="str">
        <x:v>Banking import</x:v>
      </x:c>
      <x:c r="F733" s="35" t="str">
        <x:v>Bank statement/import candidate; manually import structured transactions if PDF scan is unsupported</x:v>
      </x:c>
      <x:c r="G733" s="20" t="str">
        <x:v>PDF</x:v>
      </x:c>
      <x:c r="H733" s="20" t="str">
        <x:v>8-12 pages</x:v>
      </x:c>
      <x:c r="I733" s="35" t="str">
        <x:v>clean bank PDF with synthetic account ending 4242</x:v>
      </x:c>
      <x:c r="J733" s="20" t="str"/>
      <x:c r="K733" s="20" t="str"/>
      <x:c r="L733" s="20" t="str"/>
      <x:c r="M733" s="20" t="str"/>
      <x:c r="N733" s="35" t="str">
        <x:v>statement period; opening balance; deposits; withdrawals; fees; ending balance; transaction references</x:v>
      </x:c>
      <x:c r="O733" s="35" t="str">
        <x:v>one pending item in March and one duplicate feed row in September</x:v>
      </x:c>
      <x:c r="P733" s="35" t="str">
        <x:v>Use Banking review/match on web and mobile; manually enter one unmatched bank fee.</x:v>
      </x:c>
      <x:c r="Q733" s="35" t="str">
        <x:v>Synthetic QA only; no real people, accounts, signatures, or properties</x:v>
      </x:c>
    </x:row>
    <x:row r="734">
      <x:c r="A734" s="20" t="str">
        <x:v>SCN-0731</x:v>
      </x:c>
      <x:c r="B734" s="23" t="n">
        <x:v>46706</x:v>
      </x:c>
      <x:c r="C734" s="20" t="str">
        <x:v>scn-0731-expense-20271115-1221.jpg</x:v>
      </x:c>
      <x:c r="D734" s="20" t="str">
        <x:v>Vendor invoice / receipt</x:v>
      </x:c>
      <x:c r="E734" s="20" t="str">
        <x:v>Expense</x:v>
      </x:c>
      <x:c r="F734" s="35" t="str">
        <x:v>Direct scan draft with property/unit/work-order context</x:v>
      </x:c>
      <x:c r="G734" s="20" t="str">
        <x:v>Camera JPEG</x:v>
      </x:c>
      <x:c r="H734" s="20" t="str">
        <x:v>1-3 pages</x:v>
      </x:c>
      <x:c r="I734" s="35" t="str">
        <x:v>clean emailed invoice</x:v>
      </x:c>
      <x:c r="J734" s="20" t="str">
        <x:v>P021</x:v>
      </x:c>
      <x:c r="K734" s="20" t="str"/>
      <x:c r="L734" s="20" t="str"/>
      <x:c r="M734" s="20" t="str">
        <x:v>FIN-01429</x:v>
      </x:c>
      <x:c r="N734" s="35" t="str">
        <x:v>vendor; invoice number; date; subtotal; tax; total; category; property; unit; line items; payment method</x:v>
      </x:c>
      <x:c r="O734" s="35" t="str"/>
      <x:c r="P734" s="35" t="str">
        <x:v>Create a different expense of the same category through the equivalent manual form on the other client.</x:v>
      </x:c>
      <x:c r="Q734" s="35" t="str">
        <x:v>Synthetic QA only; no real people, accounts, signatures, or properties</x:v>
      </x:c>
    </x:row>
    <x:row r="735">
      <x:c r="A735" s="20" t="str">
        <x:v>SCN-0732</x:v>
      </x:c>
      <x:c r="B735" s="23" t="n">
        <x:v>46706</x:v>
      </x:c>
      <x:c r="C735" s="20" t="str">
        <x:v>scn-0732-expense-20271115-1222.pdf</x:v>
      </x:c>
      <x:c r="D735" s="20" t="str">
        <x:v>Vendor invoice / receipt</x:v>
      </x:c>
      <x:c r="E735" s="20" t="str">
        <x:v>Expense</x:v>
      </x:c>
      <x:c r="F735" s="35" t="str">
        <x:v>Direct scan draft with property/unit/work-order context</x:v>
      </x:c>
      <x:c r="G735" s="20" t="str">
        <x:v>PDF</x:v>
      </x:c>
      <x:c r="H735" s="20" t="str">
        <x:v>1-3 pages</x:v>
      </x:c>
      <x:c r="I735" s="35" t="str">
        <x:v>crumpled thermal receipt</x:v>
      </x:c>
      <x:c r="J735" s="20" t="str">
        <x:v>P022</x:v>
      </x:c>
      <x:c r="K735" s="20" t="str"/>
      <x:c r="L735" s="20" t="str"/>
      <x:c r="M735" s="20" t="str">
        <x:v>FIN-01430</x:v>
      </x:c>
      <x:c r="N735" s="35" t="str">
        <x:v>vendor; invoice number; date; subtotal; tax; total; category; property; unit; line items; payment method</x:v>
      </x:c>
      <x:c r="O735" s="35" t="str"/>
      <x:c r="P735" s="35" t="str">
        <x:v>Create a different expense of the same category through the equivalent manual form on the other client.</x:v>
      </x:c>
      <x:c r="Q735" s="35" t="str">
        <x:v>Synthetic QA only; no real people, accounts, signatures, or properties</x:v>
      </x:c>
    </x:row>
    <x:row r="736">
      <x:c r="A736" s="20" t="str">
        <x:v>SCN-0733</x:v>
      </x:c>
      <x:c r="B736" s="23" t="n">
        <x:v>46706</x:v>
      </x:c>
      <x:c r="C736" s="20" t="str">
        <x:v>scn-0733-expense-20271115-1223.pdf</x:v>
      </x:c>
      <x:c r="D736" s="20" t="str">
        <x:v>Vendor invoice / receipt</x:v>
      </x:c>
      <x:c r="E736" s="20" t="str">
        <x:v>Expense</x:v>
      </x:c>
      <x:c r="F736" s="35" t="str">
        <x:v>Direct scan draft with property/unit/work-order context</x:v>
      </x:c>
      <x:c r="G736" s="20" t="str">
        <x:v>PDF</x:v>
      </x:c>
      <x:c r="H736" s="20" t="str">
        <x:v>1-3 pages</x:v>
      </x:c>
      <x:c r="I736" s="35" t="str">
        <x:v>phone photo with shadow</x:v>
      </x:c>
      <x:c r="J736" s="20" t="str">
        <x:v>P023</x:v>
      </x:c>
      <x:c r="K736" s="20" t="str"/>
      <x:c r="L736" s="20" t="str"/>
      <x:c r="M736" s="20" t="str">
        <x:v>FIN-01431</x:v>
      </x:c>
      <x:c r="N736" s="35" t="str">
        <x:v>vendor; invoice number; date; subtotal; tax; total; category; property; unit; line items; payment method</x:v>
      </x:c>
      <x:c r="O736" s="35" t="str"/>
      <x:c r="P736" s="35" t="str">
        <x:v>Create a different expense of the same category through the equivalent manual form on the other client.</x:v>
      </x:c>
      <x:c r="Q736" s="35" t="str">
        <x:v>Synthetic QA only; no real people, accounts, signatures, or properties</x:v>
      </x:c>
    </x:row>
    <x:row r="737">
      <x:c r="A737" s="20" t="str">
        <x:v>SCN-0734</x:v>
      </x:c>
      <x:c r="B737" s="23" t="n">
        <x:v>46706</x:v>
      </x:c>
      <x:c r="C737" s="20" t="str">
        <x:v>scn-0734-expense-20271115-1224.jpg</x:v>
      </x:c>
      <x:c r="D737" s="20" t="str">
        <x:v>Vendor invoice / receipt</x:v>
      </x:c>
      <x:c r="E737" s="20" t="str">
        <x:v>Expense</x:v>
      </x:c>
      <x:c r="F737" s="35" t="str">
        <x:v>Direct scan draft with property/unit/work-order context</x:v>
      </x:c>
      <x:c r="G737" s="20" t="str">
        <x:v>Camera JPEG</x:v>
      </x:c>
      <x:c r="H737" s="20" t="str">
        <x:v>1-3 pages</x:v>
      </x:c>
      <x:c r="I737" s="35" t="str">
        <x:v>clean emailed invoice</x:v>
      </x:c>
      <x:c r="J737" s="20" t="str">
        <x:v>P024</x:v>
      </x:c>
      <x:c r="K737" s="20" t="str"/>
      <x:c r="L737" s="20" t="str"/>
      <x:c r="M737" s="20" t="str">
        <x:v>FIN-01432</x:v>
      </x:c>
      <x:c r="N737" s="35" t="str">
        <x:v>vendor; invoice number; date; subtotal; tax; total; category; property; unit; line items; payment method</x:v>
      </x:c>
      <x:c r="O737" s="35" t="str">
        <x:v>split tax/line items; duplicate invoice number</x:v>
      </x:c>
      <x:c r="P737" s="35" t="str">
        <x:v>Create a different expense of the same category through the equivalent manual form on the other client.</x:v>
      </x:c>
      <x:c r="Q737" s="35" t="str">
        <x:v>Synthetic QA only; no real people, accounts, signatures, or properties</x:v>
      </x:c>
    </x:row>
    <x:row r="738">
      <x:c r="A738" s="20" t="str">
        <x:v>SCN-0735</x:v>
      </x:c>
      <x:c r="B738" s="23" t="n">
        <x:v>46706</x:v>
      </x:c>
      <x:c r="C738" s="20" t="str">
        <x:v>scn-0735-expense-20271115-1226.pdf</x:v>
      </x:c>
      <x:c r="D738" s="20" t="str">
        <x:v>Vendor invoice / receipt</x:v>
      </x:c>
      <x:c r="E738" s="20" t="str">
        <x:v>Expense</x:v>
      </x:c>
      <x:c r="F738" s="35" t="str">
        <x:v>Direct scan draft with property/unit/work-order context</x:v>
      </x:c>
      <x:c r="G738" s="20" t="str">
        <x:v>PDF</x:v>
      </x:c>
      <x:c r="H738" s="20" t="str">
        <x:v>1-3 pages</x:v>
      </x:c>
      <x:c r="I738" s="35" t="str">
        <x:v>phone photo with shadow</x:v>
      </x:c>
      <x:c r="J738" s="20" t="str">
        <x:v>P026</x:v>
      </x:c>
      <x:c r="K738" s="20" t="str"/>
      <x:c r="L738" s="20" t="str"/>
      <x:c r="M738" s="20" t="str">
        <x:v>FIN-01434</x:v>
      </x:c>
      <x:c r="N738" s="35" t="str">
        <x:v>vendor; invoice number; date; subtotal; tax; total; category; property; unit; line items; payment method</x:v>
      </x:c>
      <x:c r="O738" s="35" t="str"/>
      <x:c r="P738" s="35" t="str">
        <x:v>Create a different expense of the same category through the equivalent manual form on the other client.</x:v>
      </x:c>
      <x:c r="Q738" s="35" t="str">
        <x:v>Synthetic QA only; no real people, accounts, signatures, or properties</x:v>
      </x:c>
    </x:row>
    <x:row r="739">
      <x:c r="A739" s="20" t="str">
        <x:v>SCN-0736</x:v>
      </x:c>
      <x:c r="B739" s="23" t="n">
        <x:v>46706</x:v>
      </x:c>
      <x:c r="C739" s="20" t="str">
        <x:v>scn-0736-expense-20271115-1227.jpg</x:v>
      </x:c>
      <x:c r="D739" s="20" t="str">
        <x:v>Vendor invoice / receipt</x:v>
      </x:c>
      <x:c r="E739" s="20" t="str">
        <x:v>Expense</x:v>
      </x:c>
      <x:c r="F739" s="35" t="str">
        <x:v>Direct scan draft with property/unit/work-order context</x:v>
      </x:c>
      <x:c r="G739" s="20" t="str">
        <x:v>Camera JPEG</x:v>
      </x:c>
      <x:c r="H739" s="20" t="str">
        <x:v>1-3 pages</x:v>
      </x:c>
      <x:c r="I739" s="35" t="str">
        <x:v>clean emailed invoice</x:v>
      </x:c>
      <x:c r="J739" s="20" t="str">
        <x:v>P027</x:v>
      </x:c>
      <x:c r="K739" s="20" t="str"/>
      <x:c r="L739" s="20" t="str"/>
      <x:c r="M739" s="20" t="str">
        <x:v>FIN-01435</x:v>
      </x:c>
      <x:c r="N739" s="35" t="str">
        <x:v>vendor; invoice number; date; subtotal; tax; total; category; property; unit; line items; payment method</x:v>
      </x:c>
      <x:c r="O739" s="35" t="str"/>
      <x:c r="P739" s="35" t="str">
        <x:v>Create a different expense of the same category through the equivalent manual form on the other client.</x:v>
      </x:c>
      <x:c r="Q739" s="35" t="str">
        <x:v>Synthetic QA only; no real people, accounts, signatures, or properties</x:v>
      </x:c>
    </x:row>
    <x:row r="740">
      <x:c r="A740" s="20" t="str">
        <x:v>SCN-0737</x:v>
      </x:c>
      <x:c r="B740" s="23" t="n">
        <x:v>46706</x:v>
      </x:c>
      <x:c r="C740" s="20" t="str">
        <x:v>scn-0737-expense-20271115-1228.pdf</x:v>
      </x:c>
      <x:c r="D740" s="20" t="str">
        <x:v>Vendor invoice / receipt</x:v>
      </x:c>
      <x:c r="E740" s="20" t="str">
        <x:v>Expense</x:v>
      </x:c>
      <x:c r="F740" s="35" t="str">
        <x:v>Direct scan draft with property/unit/work-order context</x:v>
      </x:c>
      <x:c r="G740" s="20" t="str">
        <x:v>PDF</x:v>
      </x:c>
      <x:c r="H740" s="20" t="str">
        <x:v>1-3 pages</x:v>
      </x:c>
      <x:c r="I740" s="35" t="str">
        <x:v>crumpled thermal receipt</x:v>
      </x:c>
      <x:c r="J740" s="20" t="str">
        <x:v>P028</x:v>
      </x:c>
      <x:c r="K740" s="20" t="str"/>
      <x:c r="L740" s="20" t="str"/>
      <x:c r="M740" s="20" t="str">
        <x:v>FIN-01436</x:v>
      </x:c>
      <x:c r="N740" s="35" t="str">
        <x:v>vendor; invoice number; date; subtotal; tax; total; category; property; unit; line items; payment method</x:v>
      </x:c>
      <x:c r="O740" s="35" t="str"/>
      <x:c r="P740" s="35" t="str">
        <x:v>Create a different expense of the same category through the equivalent manual form on the other client.</x:v>
      </x:c>
      <x:c r="Q740" s="35" t="str">
        <x:v>Synthetic QA only; no real people, accounts, signatures, or properties</x:v>
      </x:c>
    </x:row>
    <x:row r="741">
      <x:c r="A741" s="20" t="str">
        <x:v>SCN-0738</x:v>
      </x:c>
      <x:c r="B741" s="23" t="n">
        <x:v>46706</x:v>
      </x:c>
      <x:c r="C741" s="20" t="str">
        <x:v>scn-0738-expense-20271115-1229.pdf</x:v>
      </x:c>
      <x:c r="D741" s="20" t="str">
        <x:v>Vendor invoice / receipt</x:v>
      </x:c>
      <x:c r="E741" s="20" t="str">
        <x:v>Expense</x:v>
      </x:c>
      <x:c r="F741" s="35" t="str">
        <x:v>Direct scan draft with property/unit/work-order context</x:v>
      </x:c>
      <x:c r="G741" s="20" t="str">
        <x:v>PDF</x:v>
      </x:c>
      <x:c r="H741" s="20" t="str">
        <x:v>1-3 pages</x:v>
      </x:c>
      <x:c r="I741" s="35" t="str">
        <x:v>phone photo with shadow</x:v>
      </x:c>
      <x:c r="J741" s="20" t="str">
        <x:v>P029</x:v>
      </x:c>
      <x:c r="K741" s="20" t="str"/>
      <x:c r="L741" s="20" t="str"/>
      <x:c r="M741" s="20" t="str">
        <x:v>FIN-01437</x:v>
      </x:c>
      <x:c r="N741" s="35" t="str">
        <x:v>vendor; invoice number; date; subtotal; tax; total; category; property; unit; line items; payment method</x:v>
      </x:c>
      <x:c r="O741" s="35" t="str"/>
      <x:c r="P741" s="35" t="str">
        <x:v>Create a different expense of the same category through the equivalent manual form on the other client.</x:v>
      </x:c>
      <x:c r="Q741" s="35" t="str">
        <x:v>Synthetic QA only; no real people, accounts, signatures, or properties</x:v>
      </x:c>
    </x:row>
    <x:row r="742">
      <x:c r="A742" s="20" t="str">
        <x:v>SCN-0739</x:v>
      </x:c>
      <x:c r="B742" s="23" t="n">
        <x:v>46711</x:v>
      </x:c>
      <x:c r="C742" s="20" t="str">
        <x:v>scn-0739-loan-payment-ln001-202711.pdf</x:v>
      </x:c>
      <x:c r="D742" s="20" t="str">
        <x:v>Monthly mortgage statement</x:v>
      </x:c>
      <x:c r="E742" s="20" t="str">
        <x:v>Loan payment / Property document</x:v>
      </x:c>
      <x:c r="F742" s="35" t="str">
        <x:v>Attach and match to existing loan; probe typed extraction of principal/interest</x:v>
      </x:c>
      <x:c r="G742" s="20" t="str">
        <x:v>PDF</x:v>
      </x:c>
      <x:c r="H742" s="20" t="str">
        <x:v>3 pages</x:v>
      </x:c>
      <x:c r="I742" s="35" t="str">
        <x:v>clean lender PDF</x:v>
      </x:c>
      <x:c r="J742" s="20" t="str">
        <x:v>P001</x:v>
      </x:c>
      <x:c r="K742" s="20" t="str"/>
      <x:c r="L742" s="20" t="str"/>
      <x:c r="M742" s="20" t="str">
        <x:v>FIN-01439</x:v>
      </x:c>
      <x:c r="N742" s="35" t="str">
        <x:v>loan; due date; payment; principal; interest; escrow; ending principal balance</x:v>
      </x:c>
      <x:c r="O742" s="35" t="str">
        <x:v>principal/interest changes monthly</x:v>
      </x:c>
      <x:c r="P742" s="35" t="str">
        <x:v>Verify or enter a different loan payment manually from the other client.</x:v>
      </x:c>
      <x:c r="Q742" s="35" t="str">
        <x:v>Synthetic QA only; no real people, accounts, signatures, or properties</x:v>
      </x:c>
    </x:row>
    <x:row r="743">
      <x:c r="A743" s="20" t="str">
        <x:v>SCN-0740</x:v>
      </x:c>
      <x:c r="B743" s="23" t="n">
        <x:v>46711</x:v>
      </x:c>
      <x:c r="C743" s="20" t="str">
        <x:v>scn-0740-loan-payment-ln002-202711.pdf</x:v>
      </x:c>
      <x:c r="D743" s="20" t="str">
        <x:v>Monthly mortgage statement</x:v>
      </x:c>
      <x:c r="E743" s="20" t="str">
        <x:v>Loan payment / Property document</x:v>
      </x:c>
      <x:c r="F743" s="35" t="str">
        <x:v>Attach and match to existing loan; probe typed extraction of principal/interest</x:v>
      </x:c>
      <x:c r="G743" s="20" t="str">
        <x:v>PDF</x:v>
      </x:c>
      <x:c r="H743" s="20" t="str">
        <x:v>3 pages</x:v>
      </x:c>
      <x:c r="I743" s="35" t="str">
        <x:v>clean lender PDF</x:v>
      </x:c>
      <x:c r="J743" s="20" t="str">
        <x:v>P002</x:v>
      </x:c>
      <x:c r="K743" s="20" t="str"/>
      <x:c r="L743" s="20" t="str"/>
      <x:c r="M743" s="20" t="str">
        <x:v>FIN-01440</x:v>
      </x:c>
      <x:c r="N743" s="35" t="str">
        <x:v>loan; due date; payment; principal; interest; escrow; ending principal balance</x:v>
      </x:c>
      <x:c r="O743" s="35" t="str">
        <x:v>principal/interest changes monthly</x:v>
      </x:c>
      <x:c r="P743" s="35" t="str">
        <x:v>Verify or enter a different loan payment manually from the other client.</x:v>
      </x:c>
      <x:c r="Q743" s="35" t="str">
        <x:v>Synthetic QA only; no real people, accounts, signatures, or properties</x:v>
      </x:c>
    </x:row>
    <x:row r="744">
      <x:c r="A744" s="20" t="str">
        <x:v>SCN-0741</x:v>
      </x:c>
      <x:c r="B744" s="23" t="n">
        <x:v>46711</x:v>
      </x:c>
      <x:c r="C744" s="20" t="str">
        <x:v>scn-0741-loan-payment-ln004-202711.pdf</x:v>
      </x:c>
      <x:c r="D744" s="20" t="str">
        <x:v>Monthly mortgage statement</x:v>
      </x:c>
      <x:c r="E744" s="20" t="str">
        <x:v>Loan payment / Property document</x:v>
      </x:c>
      <x:c r="F744" s="35" t="str">
        <x:v>Attach and match to existing loan; probe typed extraction of principal/interest</x:v>
      </x:c>
      <x:c r="G744" s="20" t="str">
        <x:v>PDF</x:v>
      </x:c>
      <x:c r="H744" s="20" t="str">
        <x:v>3 pages</x:v>
      </x:c>
      <x:c r="I744" s="35" t="str">
        <x:v>clean lender PDF</x:v>
      </x:c>
      <x:c r="J744" s="20" t="str">
        <x:v>P004</x:v>
      </x:c>
      <x:c r="K744" s="20" t="str"/>
      <x:c r="L744" s="20" t="str"/>
      <x:c r="M744" s="20" t="str">
        <x:v>FIN-01441</x:v>
      </x:c>
      <x:c r="N744" s="35" t="str">
        <x:v>loan; due date; payment; principal; interest; escrow; ending principal balance</x:v>
      </x:c>
      <x:c r="O744" s="35" t="str">
        <x:v>principal/interest changes monthly</x:v>
      </x:c>
      <x:c r="P744" s="35" t="str">
        <x:v>Verify or enter a different loan payment manually from the other client.</x:v>
      </x:c>
      <x:c r="Q744" s="35" t="str">
        <x:v>Synthetic QA only; no real people, accounts, signatures, or properties</x:v>
      </x:c>
    </x:row>
    <x:row r="745">
      <x:c r="A745" s="20" t="str">
        <x:v>SCN-0742</x:v>
      </x:c>
      <x:c r="B745" s="23" t="n">
        <x:v>46711</x:v>
      </x:c>
      <x:c r="C745" s="20" t="str">
        <x:v>scn-0742-loan-payment-ln005-202711.pdf</x:v>
      </x:c>
      <x:c r="D745" s="20" t="str">
        <x:v>Monthly mortgage statement</x:v>
      </x:c>
      <x:c r="E745" s="20" t="str">
        <x:v>Loan payment / Property document</x:v>
      </x:c>
      <x:c r="F745" s="35" t="str">
        <x:v>Attach and match to existing loan; probe typed extraction of principal/interest</x:v>
      </x:c>
      <x:c r="G745" s="20" t="str">
        <x:v>PDF</x:v>
      </x:c>
      <x:c r="H745" s="20" t="str">
        <x:v>3 pages</x:v>
      </x:c>
      <x:c r="I745" s="35" t="str">
        <x:v>clean lender PDF</x:v>
      </x:c>
      <x:c r="J745" s="20" t="str">
        <x:v>P005</x:v>
      </x:c>
      <x:c r="K745" s="20" t="str"/>
      <x:c r="L745" s="20" t="str"/>
      <x:c r="M745" s="20" t="str">
        <x:v>FIN-01442</x:v>
      </x:c>
      <x:c r="N745" s="35" t="str">
        <x:v>loan; due date; payment; principal; interest; escrow; ending principal balance</x:v>
      </x:c>
      <x:c r="O745" s="35" t="str">
        <x:v>principal/interest changes monthly</x:v>
      </x:c>
      <x:c r="P745" s="35" t="str">
        <x:v>Verify or enter a different loan payment manually from the other client.</x:v>
      </x:c>
      <x:c r="Q745" s="35" t="str">
        <x:v>Synthetic QA only; no real people, accounts, signatures, or properties</x:v>
      </x:c>
    </x:row>
    <x:row r="746">
      <x:c r="A746" s="20" t="str">
        <x:v>SCN-0743</x:v>
      </x:c>
      <x:c r="B746" s="23" t="n">
        <x:v>46711</x:v>
      </x:c>
      <x:c r="C746" s="20" t="str">
        <x:v>scn-0743-loan-payment-ln007-202711.pdf</x:v>
      </x:c>
      <x:c r="D746" s="20" t="str">
        <x:v>Monthly mortgage statement</x:v>
      </x:c>
      <x:c r="E746" s="20" t="str">
        <x:v>Loan payment / Property document</x:v>
      </x:c>
      <x:c r="F746" s="35" t="str">
        <x:v>Attach and match to existing loan; probe typed extraction of principal/interest</x:v>
      </x:c>
      <x:c r="G746" s="20" t="str">
        <x:v>PDF</x:v>
      </x:c>
      <x:c r="H746" s="20" t="str">
        <x:v>3 pages</x:v>
      </x:c>
      <x:c r="I746" s="35" t="str">
        <x:v>clean lender PDF</x:v>
      </x:c>
      <x:c r="J746" s="20" t="str">
        <x:v>P007</x:v>
      </x:c>
      <x:c r="K746" s="20" t="str"/>
      <x:c r="L746" s="20" t="str"/>
      <x:c r="M746" s="20" t="str">
        <x:v>FIN-01443</x:v>
      </x:c>
      <x:c r="N746" s="35" t="str">
        <x:v>loan; due date; payment; principal; interest; escrow; ending principal balance</x:v>
      </x:c>
      <x:c r="O746" s="35" t="str">
        <x:v>principal/interest changes monthly</x:v>
      </x:c>
      <x:c r="P746" s="35" t="str">
        <x:v>Verify or enter a different loan payment manually from the other client.</x:v>
      </x:c>
      <x:c r="Q746" s="35" t="str">
        <x:v>Synthetic QA only; no real people, accounts, signatures, or properties</x:v>
      </x:c>
    </x:row>
    <x:row r="747">
      <x:c r="A747" s="20" t="str">
        <x:v>SCN-0744</x:v>
      </x:c>
      <x:c r="B747" s="23" t="n">
        <x:v>46711</x:v>
      </x:c>
      <x:c r="C747" s="20" t="str">
        <x:v>scn-0744-loan-payment-ln008-202711.pdf</x:v>
      </x:c>
      <x:c r="D747" s="20" t="str">
        <x:v>Monthly mortgage statement</x:v>
      </x:c>
      <x:c r="E747" s="20" t="str">
        <x:v>Loan payment / Property document</x:v>
      </x:c>
      <x:c r="F747" s="35" t="str">
        <x:v>Attach and match to existing loan; probe typed extraction of principal/interest</x:v>
      </x:c>
      <x:c r="G747" s="20" t="str">
        <x:v>PDF</x:v>
      </x:c>
      <x:c r="H747" s="20" t="str">
        <x:v>3 pages</x:v>
      </x:c>
      <x:c r="I747" s="35" t="str">
        <x:v>clean lender PDF</x:v>
      </x:c>
      <x:c r="J747" s="20" t="str">
        <x:v>P008</x:v>
      </x:c>
      <x:c r="K747" s="20" t="str"/>
      <x:c r="L747" s="20" t="str"/>
      <x:c r="M747" s="20" t="str">
        <x:v>FIN-01444</x:v>
      </x:c>
      <x:c r="N747" s="35" t="str">
        <x:v>loan; due date; payment; principal; interest; escrow; ending principal balance</x:v>
      </x:c>
      <x:c r="O747" s="35" t="str">
        <x:v>principal/interest changes monthly</x:v>
      </x:c>
      <x:c r="P747" s="35" t="str">
        <x:v>Verify or enter a different loan payment manually from the other client.</x:v>
      </x:c>
      <x:c r="Q747" s="35" t="str">
        <x:v>Synthetic QA only; no real people, accounts, signatures, or properties</x:v>
      </x:c>
    </x:row>
    <x:row r="748">
      <x:c r="A748" s="20" t="str">
        <x:v>SCN-0745</x:v>
      </x:c>
      <x:c r="B748" s="23" t="n">
        <x:v>46711</x:v>
      </x:c>
      <x:c r="C748" s="20" t="str">
        <x:v>scn-0745-loan-payment-ln010-202711.pdf</x:v>
      </x:c>
      <x:c r="D748" s="20" t="str">
        <x:v>Monthly mortgage statement</x:v>
      </x:c>
      <x:c r="E748" s="20" t="str">
        <x:v>Loan payment / Property document</x:v>
      </x:c>
      <x:c r="F748" s="35" t="str">
        <x:v>Attach and match to existing loan; probe typed extraction of principal/interest</x:v>
      </x:c>
      <x:c r="G748" s="20" t="str">
        <x:v>PDF</x:v>
      </x:c>
      <x:c r="H748" s="20" t="str">
        <x:v>3 pages</x:v>
      </x:c>
      <x:c r="I748" s="35" t="str">
        <x:v>clean lender PDF</x:v>
      </x:c>
      <x:c r="J748" s="20" t="str">
        <x:v>P010</x:v>
      </x:c>
      <x:c r="K748" s="20" t="str"/>
      <x:c r="L748" s="20" t="str"/>
      <x:c r="M748" s="20" t="str">
        <x:v>FIN-01445</x:v>
      </x:c>
      <x:c r="N748" s="35" t="str">
        <x:v>loan; due date; payment; principal; interest; escrow; ending principal balance</x:v>
      </x:c>
      <x:c r="O748" s="35" t="str">
        <x:v>principal/interest changes monthly</x:v>
      </x:c>
      <x:c r="P748" s="35" t="str">
        <x:v>Verify or enter a different loan payment manually from the other client.</x:v>
      </x:c>
      <x:c r="Q748" s="35" t="str">
        <x:v>Synthetic QA only; no real people, accounts, signatures, or properties</x:v>
      </x:c>
    </x:row>
    <x:row r="749">
      <x:c r="A749" s="20" t="str">
        <x:v>SCN-0746</x:v>
      </x:c>
      <x:c r="B749" s="23" t="n">
        <x:v>46711</x:v>
      </x:c>
      <x:c r="C749" s="20" t="str">
        <x:v>scn-0746-loan-payment-ln011-202711.pdf</x:v>
      </x:c>
      <x:c r="D749" s="20" t="str">
        <x:v>Monthly mortgage statement</x:v>
      </x:c>
      <x:c r="E749" s="20" t="str">
        <x:v>Loan payment / Property document</x:v>
      </x:c>
      <x:c r="F749" s="35" t="str">
        <x:v>Attach and match to existing loan; probe typed extraction of principal/interest</x:v>
      </x:c>
      <x:c r="G749" s="20" t="str">
        <x:v>PDF</x:v>
      </x:c>
      <x:c r="H749" s="20" t="str">
        <x:v>3 pages</x:v>
      </x:c>
      <x:c r="I749" s="35" t="str">
        <x:v>clean lender PDF</x:v>
      </x:c>
      <x:c r="J749" s="20" t="str">
        <x:v>P011</x:v>
      </x:c>
      <x:c r="K749" s="20" t="str"/>
      <x:c r="L749" s="20" t="str"/>
      <x:c r="M749" s="20" t="str">
        <x:v>FIN-01446</x:v>
      </x:c>
      <x:c r="N749" s="35" t="str">
        <x:v>loan; due date; payment; principal; interest; escrow; ending principal balance</x:v>
      </x:c>
      <x:c r="O749" s="35" t="str">
        <x:v>principal/interest changes monthly</x:v>
      </x:c>
      <x:c r="P749" s="35" t="str">
        <x:v>Verify or enter a different loan payment manually from the other client.</x:v>
      </x:c>
      <x:c r="Q749" s="35" t="str">
        <x:v>Synthetic QA only; no real people, accounts, signatures, or properties</x:v>
      </x:c>
    </x:row>
    <x:row r="750">
      <x:c r="A750" s="20" t="str">
        <x:v>SCN-0747</x:v>
      </x:c>
      <x:c r="B750" s="23" t="n">
        <x:v>46711</x:v>
      </x:c>
      <x:c r="C750" s="20" t="str">
        <x:v>scn-0747-loan-payment-ln013-202711.pdf</x:v>
      </x:c>
      <x:c r="D750" s="20" t="str">
        <x:v>Monthly mortgage statement</x:v>
      </x:c>
      <x:c r="E750" s="20" t="str">
        <x:v>Loan payment / Property document</x:v>
      </x:c>
      <x:c r="F750" s="35" t="str">
        <x:v>Attach and match to existing loan; probe typed extraction of principal/interest</x:v>
      </x:c>
      <x:c r="G750" s="20" t="str">
        <x:v>PDF</x:v>
      </x:c>
      <x:c r="H750" s="20" t="str">
        <x:v>3 pages</x:v>
      </x:c>
      <x:c r="I750" s="35" t="str">
        <x:v>clean lender PDF</x:v>
      </x:c>
      <x:c r="J750" s="20" t="str">
        <x:v>P013</x:v>
      </x:c>
      <x:c r="K750" s="20" t="str"/>
      <x:c r="L750" s="20" t="str"/>
      <x:c r="M750" s="20" t="str">
        <x:v>FIN-01447</x:v>
      </x:c>
      <x:c r="N750" s="35" t="str">
        <x:v>loan; due date; payment; principal; interest; escrow; ending principal balance</x:v>
      </x:c>
      <x:c r="O750" s="35" t="str">
        <x:v>principal/interest changes monthly</x:v>
      </x:c>
      <x:c r="P750" s="35" t="str">
        <x:v>Verify or enter a different loan payment manually from the other client.</x:v>
      </x:c>
      <x:c r="Q750" s="35" t="str">
        <x:v>Synthetic QA only; no real people, accounts, signatures, or properties</x:v>
      </x:c>
    </x:row>
    <x:row r="751">
      <x:c r="A751" s="20" t="str">
        <x:v>SCN-0748</x:v>
      </x:c>
      <x:c r="B751" s="23" t="n">
        <x:v>46711</x:v>
      </x:c>
      <x:c r="C751" s="20" t="str">
        <x:v>scn-0748-loan-payment-ln014-202711.pdf</x:v>
      </x:c>
      <x:c r="D751" s="20" t="str">
        <x:v>Monthly mortgage statement</x:v>
      </x:c>
      <x:c r="E751" s="20" t="str">
        <x:v>Loan payment / Property document</x:v>
      </x:c>
      <x:c r="F751" s="35" t="str">
        <x:v>Attach and match to existing loan; probe typed extraction of principal/interest</x:v>
      </x:c>
      <x:c r="G751" s="20" t="str">
        <x:v>PDF</x:v>
      </x:c>
      <x:c r="H751" s="20" t="str">
        <x:v>3 pages</x:v>
      </x:c>
      <x:c r="I751" s="35" t="str">
        <x:v>clean lender PDF</x:v>
      </x:c>
      <x:c r="J751" s="20" t="str">
        <x:v>P014</x:v>
      </x:c>
      <x:c r="K751" s="20" t="str"/>
      <x:c r="L751" s="20" t="str"/>
      <x:c r="M751" s="20" t="str">
        <x:v>FIN-01448</x:v>
      </x:c>
      <x:c r="N751" s="35" t="str">
        <x:v>loan; due date; payment; principal; interest; escrow; ending principal balance</x:v>
      </x:c>
      <x:c r="O751" s="35" t="str">
        <x:v>principal/interest changes monthly</x:v>
      </x:c>
      <x:c r="P751" s="35" t="str">
        <x:v>Verify or enter a different loan payment manually from the other client.</x:v>
      </x:c>
      <x:c r="Q751" s="35" t="str">
        <x:v>Synthetic QA only; no real people, accounts, signatures, or properties</x:v>
      </x:c>
    </x:row>
    <x:row r="752">
      <x:c r="A752" s="20" t="str">
        <x:v>SCN-0749</x:v>
      </x:c>
      <x:c r="B752" s="23" t="n">
        <x:v>46711</x:v>
      </x:c>
      <x:c r="C752" s="20" t="str">
        <x:v>scn-0749-loan-payment-ln016-202711.pdf</x:v>
      </x:c>
      <x:c r="D752" s="20" t="str">
        <x:v>Monthly mortgage statement</x:v>
      </x:c>
      <x:c r="E752" s="20" t="str">
        <x:v>Loan payment / Property document</x:v>
      </x:c>
      <x:c r="F752" s="35" t="str">
        <x:v>Attach and match to existing loan; probe typed extraction of principal/interest</x:v>
      </x:c>
      <x:c r="G752" s="20" t="str">
        <x:v>PDF</x:v>
      </x:c>
      <x:c r="H752" s="20" t="str">
        <x:v>3 pages</x:v>
      </x:c>
      <x:c r="I752" s="35" t="str">
        <x:v>clean lender PDF</x:v>
      </x:c>
      <x:c r="J752" s="20" t="str">
        <x:v>P016</x:v>
      </x:c>
      <x:c r="K752" s="20" t="str"/>
      <x:c r="L752" s="20" t="str"/>
      <x:c r="M752" s="20" t="str">
        <x:v>FIN-01449</x:v>
      </x:c>
      <x:c r="N752" s="35" t="str">
        <x:v>loan; due date; payment; principal; interest; escrow; ending principal balance</x:v>
      </x:c>
      <x:c r="O752" s="35" t="str">
        <x:v>principal/interest changes monthly</x:v>
      </x:c>
      <x:c r="P752" s="35" t="str">
        <x:v>Verify or enter a different loan payment manually from the other client.</x:v>
      </x:c>
      <x:c r="Q752" s="35" t="str">
        <x:v>Synthetic QA only; no real people, accounts, signatures, or properties</x:v>
      </x:c>
    </x:row>
    <x:row r="753">
      <x:c r="A753" s="20" t="str">
        <x:v>SCN-0750</x:v>
      </x:c>
      <x:c r="B753" s="23" t="n">
        <x:v>46711</x:v>
      </x:c>
      <x:c r="C753" s="20" t="str">
        <x:v>scn-0750-loan-payment-ln017-202711.pdf</x:v>
      </x:c>
      <x:c r="D753" s="20" t="str">
        <x:v>Monthly mortgage statement</x:v>
      </x:c>
      <x:c r="E753" s="20" t="str">
        <x:v>Loan payment / Property document</x:v>
      </x:c>
      <x:c r="F753" s="35" t="str">
        <x:v>Attach and match to existing loan; probe typed extraction of principal/interest</x:v>
      </x:c>
      <x:c r="G753" s="20" t="str">
        <x:v>PDF</x:v>
      </x:c>
      <x:c r="H753" s="20" t="str">
        <x:v>3 pages</x:v>
      </x:c>
      <x:c r="I753" s="35" t="str">
        <x:v>clean lender PDF</x:v>
      </x:c>
      <x:c r="J753" s="20" t="str">
        <x:v>P017</x:v>
      </x:c>
      <x:c r="K753" s="20" t="str"/>
      <x:c r="L753" s="20" t="str"/>
      <x:c r="M753" s="20" t="str">
        <x:v>FIN-01450</x:v>
      </x:c>
      <x:c r="N753" s="35" t="str">
        <x:v>loan; due date; payment; principal; interest; escrow; ending principal balance</x:v>
      </x:c>
      <x:c r="O753" s="35" t="str">
        <x:v>principal/interest changes monthly</x:v>
      </x:c>
      <x:c r="P753" s="35" t="str">
        <x:v>Verify or enter a different loan payment manually from the other client.</x:v>
      </x:c>
      <x:c r="Q753" s="35" t="str">
        <x:v>Synthetic QA only; no real people, accounts, signatures, or properties</x:v>
      </x:c>
    </x:row>
    <x:row r="754">
      <x:c r="A754" s="20" t="str">
        <x:v>SCN-0751</x:v>
      </x:c>
      <x:c r="B754" s="23" t="n">
        <x:v>46711</x:v>
      </x:c>
      <x:c r="C754" s="20" t="str">
        <x:v>scn-0751-loan-payment-ln019-202711.pdf</x:v>
      </x:c>
      <x:c r="D754" s="20" t="str">
        <x:v>Monthly mortgage statement</x:v>
      </x:c>
      <x:c r="E754" s="20" t="str">
        <x:v>Loan payment / Property document</x:v>
      </x:c>
      <x:c r="F754" s="35" t="str">
        <x:v>Attach and match to existing loan; probe typed extraction of principal/interest</x:v>
      </x:c>
      <x:c r="G754" s="20" t="str">
        <x:v>PDF</x:v>
      </x:c>
      <x:c r="H754" s="20" t="str">
        <x:v>3 pages</x:v>
      </x:c>
      <x:c r="I754" s="35" t="str">
        <x:v>clean lender PDF</x:v>
      </x:c>
      <x:c r="J754" s="20" t="str">
        <x:v>P019</x:v>
      </x:c>
      <x:c r="K754" s="20" t="str"/>
      <x:c r="L754" s="20" t="str"/>
      <x:c r="M754" s="20" t="str">
        <x:v>FIN-01451</x:v>
      </x:c>
      <x:c r="N754" s="35" t="str">
        <x:v>loan; due date; payment; principal; interest; escrow; ending principal balance</x:v>
      </x:c>
      <x:c r="O754" s="35" t="str">
        <x:v>principal/interest changes monthly</x:v>
      </x:c>
      <x:c r="P754" s="35" t="str">
        <x:v>Verify or enter a different loan payment manually from the other client.</x:v>
      </x:c>
      <x:c r="Q754" s="35" t="str">
        <x:v>Synthetic QA only; no real people, accounts, signatures, or properties</x:v>
      </x:c>
    </x:row>
    <x:row r="755">
      <x:c r="A755" s="20" t="str">
        <x:v>SCN-0752</x:v>
      </x:c>
      <x:c r="B755" s="23" t="n">
        <x:v>46711</x:v>
      </x:c>
      <x:c r="C755" s="20" t="str">
        <x:v>scn-0752-loan-payment-ln020-202711.pdf</x:v>
      </x:c>
      <x:c r="D755" s="20" t="str">
        <x:v>Monthly mortgage statement</x:v>
      </x:c>
      <x:c r="E755" s="20" t="str">
        <x:v>Loan payment / Property document</x:v>
      </x:c>
      <x:c r="F755" s="35" t="str">
        <x:v>Attach and match to existing loan; probe typed extraction of principal/interest</x:v>
      </x:c>
      <x:c r="G755" s="20" t="str">
        <x:v>PDF</x:v>
      </x:c>
      <x:c r="H755" s="20" t="str">
        <x:v>3 pages</x:v>
      </x:c>
      <x:c r="I755" s="35" t="str">
        <x:v>clean lender PDF</x:v>
      </x:c>
      <x:c r="J755" s="20" t="str">
        <x:v>P020</x:v>
      </x:c>
      <x:c r="K755" s="20" t="str"/>
      <x:c r="L755" s="20" t="str"/>
      <x:c r="M755" s="20" t="str">
        <x:v>FIN-01452</x:v>
      </x:c>
      <x:c r="N755" s="35" t="str">
        <x:v>loan; due date; payment; principal; interest; escrow; ending principal balance</x:v>
      </x:c>
      <x:c r="O755" s="35" t="str">
        <x:v>principal/interest changes monthly</x:v>
      </x:c>
      <x:c r="P755" s="35" t="str">
        <x:v>Verify or enter a different loan payment manually from the other client.</x:v>
      </x:c>
      <x:c r="Q755" s="35" t="str">
        <x:v>Synthetic QA only; no real people, accounts, signatures, or properties</x:v>
      </x:c>
    </x:row>
    <x:row r="756">
      <x:c r="A756" s="20" t="str">
        <x:v>SCN-0753</x:v>
      </x:c>
      <x:c r="B756" s="23" t="n">
        <x:v>46711</x:v>
      </x:c>
      <x:c r="C756" s="20" t="str">
        <x:v>scn-0753-loan-payment-ln022-202711.pdf</x:v>
      </x:c>
      <x:c r="D756" s="20" t="str">
        <x:v>Monthly mortgage statement</x:v>
      </x:c>
      <x:c r="E756" s="20" t="str">
        <x:v>Loan payment / Property document</x:v>
      </x:c>
      <x:c r="F756" s="35" t="str">
        <x:v>Attach and match to existing loan; probe typed extraction of principal/interest</x:v>
      </x:c>
      <x:c r="G756" s="20" t="str">
        <x:v>PDF</x:v>
      </x:c>
      <x:c r="H756" s="20" t="str">
        <x:v>3 pages</x:v>
      </x:c>
      <x:c r="I756" s="35" t="str">
        <x:v>clean lender PDF</x:v>
      </x:c>
      <x:c r="J756" s="20" t="str">
        <x:v>P022</x:v>
      </x:c>
      <x:c r="K756" s="20" t="str"/>
      <x:c r="L756" s="20" t="str"/>
      <x:c r="M756" s="20" t="str">
        <x:v>FIN-01453</x:v>
      </x:c>
      <x:c r="N756" s="35" t="str">
        <x:v>loan; due date; payment; principal; interest; escrow; ending principal balance</x:v>
      </x:c>
      <x:c r="O756" s="35" t="str">
        <x:v>principal/interest changes monthly</x:v>
      </x:c>
      <x:c r="P756" s="35" t="str">
        <x:v>Verify or enter a different loan payment manually from the other client.</x:v>
      </x:c>
      <x:c r="Q756" s="35" t="str">
        <x:v>Synthetic QA only; no real people, accounts, signatures, or properties</x:v>
      </x:c>
    </x:row>
    <x:row r="757">
      <x:c r="A757" s="20" t="str">
        <x:v>SCN-0754</x:v>
      </x:c>
      <x:c r="B757" s="23" t="n">
        <x:v>46711</x:v>
      </x:c>
      <x:c r="C757" s="20" t="str">
        <x:v>scn-0754-loan-payment-ln023-202711.pdf</x:v>
      </x:c>
      <x:c r="D757" s="20" t="str">
        <x:v>Monthly mortgage statement</x:v>
      </x:c>
      <x:c r="E757" s="20" t="str">
        <x:v>Loan payment / Property document</x:v>
      </x:c>
      <x:c r="F757" s="35" t="str">
        <x:v>Attach and match to existing loan; probe typed extraction of principal/interest</x:v>
      </x:c>
      <x:c r="G757" s="20" t="str">
        <x:v>PDF</x:v>
      </x:c>
      <x:c r="H757" s="20" t="str">
        <x:v>3 pages</x:v>
      </x:c>
      <x:c r="I757" s="35" t="str">
        <x:v>clean lender PDF</x:v>
      </x:c>
      <x:c r="J757" s="20" t="str">
        <x:v>P023</x:v>
      </x:c>
      <x:c r="K757" s="20" t="str"/>
      <x:c r="L757" s="20" t="str"/>
      <x:c r="M757" s="20" t="str">
        <x:v>FIN-01454</x:v>
      </x:c>
      <x:c r="N757" s="35" t="str">
        <x:v>loan; due date; payment; principal; interest; escrow; ending principal balance</x:v>
      </x:c>
      <x:c r="O757" s="35" t="str">
        <x:v>principal/interest changes monthly</x:v>
      </x:c>
      <x:c r="P757" s="35" t="str">
        <x:v>Verify or enter a different loan payment manually from the other client.</x:v>
      </x:c>
      <x:c r="Q757" s="35" t="str">
        <x:v>Synthetic QA only; no real people, accounts, signatures, or properties</x:v>
      </x:c>
    </x:row>
    <x:row r="758">
      <x:c r="A758" s="20" t="str">
        <x:v>SCN-0755</x:v>
      </x:c>
      <x:c r="B758" s="23" t="n">
        <x:v>46711</x:v>
      </x:c>
      <x:c r="C758" s="20" t="str">
        <x:v>scn-0755-loan-payment-ln025-202711.pdf</x:v>
      </x:c>
      <x:c r="D758" s="20" t="str">
        <x:v>Monthly mortgage statement</x:v>
      </x:c>
      <x:c r="E758" s="20" t="str">
        <x:v>Loan payment / Property document</x:v>
      </x:c>
      <x:c r="F758" s="35" t="str">
        <x:v>Attach and match to existing loan; probe typed extraction of principal/interest</x:v>
      </x:c>
      <x:c r="G758" s="20" t="str">
        <x:v>PDF</x:v>
      </x:c>
      <x:c r="H758" s="20" t="str">
        <x:v>3 pages</x:v>
      </x:c>
      <x:c r="I758" s="35" t="str">
        <x:v>clean lender PDF</x:v>
      </x:c>
      <x:c r="J758" s="20" t="str">
        <x:v>P025</x:v>
      </x:c>
      <x:c r="K758" s="20" t="str"/>
      <x:c r="L758" s="20" t="str"/>
      <x:c r="M758" s="20" t="str">
        <x:v>FIN-01455</x:v>
      </x:c>
      <x:c r="N758" s="35" t="str">
        <x:v>loan; due date; payment; principal; interest; escrow; ending principal balance</x:v>
      </x:c>
      <x:c r="O758" s="35" t="str">
        <x:v>principal/interest changes monthly</x:v>
      </x:c>
      <x:c r="P758" s="35" t="str">
        <x:v>Verify or enter a different loan payment manually from the other client.</x:v>
      </x:c>
      <x:c r="Q758" s="35" t="str">
        <x:v>Synthetic QA only; no real people, accounts, signatures, or properties</x:v>
      </x:c>
    </x:row>
    <x:row r="759">
      <x:c r="A759" s="20" t="str">
        <x:v>SCN-0756</x:v>
      </x:c>
      <x:c r="B759" s="23" t="n">
        <x:v>46711</x:v>
      </x:c>
      <x:c r="C759" s="20" t="str">
        <x:v>scn-0756-loan-payment-ln026-202711.pdf</x:v>
      </x:c>
      <x:c r="D759" s="20" t="str">
        <x:v>Monthly mortgage statement</x:v>
      </x:c>
      <x:c r="E759" s="20" t="str">
        <x:v>Loan payment / Property document</x:v>
      </x:c>
      <x:c r="F759" s="35" t="str">
        <x:v>Attach and match to existing loan; probe typed extraction of principal/interest</x:v>
      </x:c>
      <x:c r="G759" s="20" t="str">
        <x:v>PDF</x:v>
      </x:c>
      <x:c r="H759" s="20" t="str">
        <x:v>3 pages</x:v>
      </x:c>
      <x:c r="I759" s="35" t="str">
        <x:v>clean lender PDF</x:v>
      </x:c>
      <x:c r="J759" s="20" t="str">
        <x:v>P026</x:v>
      </x:c>
      <x:c r="K759" s="20" t="str"/>
      <x:c r="L759" s="20" t="str"/>
      <x:c r="M759" s="20" t="str">
        <x:v>FIN-01456</x:v>
      </x:c>
      <x:c r="N759" s="35" t="str">
        <x:v>loan; due date; payment; principal; interest; escrow; ending principal balance</x:v>
      </x:c>
      <x:c r="O759" s="35" t="str">
        <x:v>principal/interest changes monthly</x:v>
      </x:c>
      <x:c r="P759" s="35" t="str">
        <x:v>Verify or enter a different loan payment manually from the other client.</x:v>
      </x:c>
      <x:c r="Q759" s="35" t="str">
        <x:v>Synthetic QA only; no real people, accounts, signatures, or properties</x:v>
      </x:c>
    </x:row>
    <x:row r="760">
      <x:c r="A760" s="20" t="str">
        <x:v>SCN-0757</x:v>
      </x:c>
      <x:c r="B760" s="23" t="n">
        <x:v>46711</x:v>
      </x:c>
      <x:c r="C760" s="20" t="str">
        <x:v>scn-0757-loan-payment-ln028-202711.pdf</x:v>
      </x:c>
      <x:c r="D760" s="20" t="str">
        <x:v>Monthly mortgage statement</x:v>
      </x:c>
      <x:c r="E760" s="20" t="str">
        <x:v>Loan payment / Property document</x:v>
      </x:c>
      <x:c r="F760" s="35" t="str">
        <x:v>Attach and match to existing loan; probe typed extraction of principal/interest</x:v>
      </x:c>
      <x:c r="G760" s="20" t="str">
        <x:v>PDF</x:v>
      </x:c>
      <x:c r="H760" s="20" t="str">
        <x:v>3 pages</x:v>
      </x:c>
      <x:c r="I760" s="35" t="str">
        <x:v>clean lender PDF</x:v>
      </x:c>
      <x:c r="J760" s="20" t="str">
        <x:v>P028</x:v>
      </x:c>
      <x:c r="K760" s="20" t="str"/>
      <x:c r="L760" s="20" t="str"/>
      <x:c r="M760" s="20" t="str">
        <x:v>FIN-01457</x:v>
      </x:c>
      <x:c r="N760" s="35" t="str">
        <x:v>loan; due date; payment; principal; interest; escrow; ending principal balance</x:v>
      </x:c>
      <x:c r="O760" s="35" t="str">
        <x:v>principal/interest changes monthly</x:v>
      </x:c>
      <x:c r="P760" s="35" t="str">
        <x:v>Verify or enter a different loan payment manually from the other client.</x:v>
      </x:c>
      <x:c r="Q760" s="35" t="str">
        <x:v>Synthetic QA only; no real people, accounts, signatures, or properties</x:v>
      </x:c>
    </x:row>
    <x:row r="761">
      <x:c r="A761" s="20" t="str">
        <x:v>SCN-0758</x:v>
      </x:c>
      <x:c r="B761" s="23" t="n">
        <x:v>46711</x:v>
      </x:c>
      <x:c r="C761" s="20" t="str">
        <x:v>scn-0758-loan-payment-ln029-202711.pdf</x:v>
      </x:c>
      <x:c r="D761" s="20" t="str">
        <x:v>Monthly mortgage statement</x:v>
      </x:c>
      <x:c r="E761" s="20" t="str">
        <x:v>Loan payment / Property document</x:v>
      </x:c>
      <x:c r="F761" s="35" t="str">
        <x:v>Attach and match to existing loan; probe typed extraction of principal/interest</x:v>
      </x:c>
      <x:c r="G761" s="20" t="str">
        <x:v>PDF</x:v>
      </x:c>
      <x:c r="H761" s="20" t="str">
        <x:v>3 pages</x:v>
      </x:c>
      <x:c r="I761" s="35" t="str">
        <x:v>clean lender PDF</x:v>
      </x:c>
      <x:c r="J761" s="20" t="str">
        <x:v>P029</x:v>
      </x:c>
      <x:c r="K761" s="20" t="str"/>
      <x:c r="L761" s="20" t="str"/>
      <x:c r="M761" s="20" t="str">
        <x:v>FIN-01458</x:v>
      </x:c>
      <x:c r="N761" s="35" t="str">
        <x:v>loan; due date; payment; principal; interest; escrow; ending principal balance</x:v>
      </x:c>
      <x:c r="O761" s="35" t="str">
        <x:v>principal/interest changes monthly</x:v>
      </x:c>
      <x:c r="P761" s="35" t="str">
        <x:v>Verify or enter a different loan payment manually from the other client.</x:v>
      </x:c>
      <x:c r="Q761" s="35" t="str">
        <x:v>Synthetic QA only; no real people, accounts, signatures, or properties</x:v>
      </x:c>
    </x:row>
    <x:row r="762">
      <x:c r="A762" s="20" t="str">
        <x:v>SCN-0759</x:v>
      </x:c>
      <x:c r="B762" s="23" t="n">
        <x:v>46721</x:v>
      </x:c>
      <x:c r="C762" s="20" t="str">
        <x:v>scn-0759-bank-statement-2027-11.pdf</x:v>
      </x:c>
      <x:c r="D762" s="20" t="str">
        <x:v>Operating bank statement</x:v>
      </x:c>
      <x:c r="E762" s="20" t="str">
        <x:v>Banking import</x:v>
      </x:c>
      <x:c r="F762" s="35" t="str">
        <x:v>Bank statement/import candidate; manually import structured transactions if PDF scan is unsupported</x:v>
      </x:c>
      <x:c r="G762" s="20" t="str">
        <x:v>PDF</x:v>
      </x:c>
      <x:c r="H762" s="20" t="str">
        <x:v>8-12 pages</x:v>
      </x:c>
      <x:c r="I762" s="35" t="str">
        <x:v>clean bank PDF with synthetic account ending 4242</x:v>
      </x:c>
      <x:c r="J762" s="20" t="str"/>
      <x:c r="K762" s="20" t="str"/>
      <x:c r="L762" s="20" t="str"/>
      <x:c r="M762" s="20" t="str"/>
      <x:c r="N762" s="35" t="str">
        <x:v>statement period; opening balance; deposits; withdrawals; fees; ending balance; transaction references</x:v>
      </x:c>
      <x:c r="O762" s="35" t="str">
        <x:v>one pending item in March and one duplicate feed row in September</x:v>
      </x:c>
      <x:c r="P762" s="35" t="str">
        <x:v>Use Banking review/match on web and mobile; manually enter one unmatched bank fee.</x:v>
      </x:c>
      <x:c r="Q762" s="35" t="str">
        <x:v>Synthetic QA only; no real people, accounts, signatures, or properties</x:v>
      </x:c>
    </x:row>
    <x:row r="763">
      <x:c r="A763" s="20" t="str">
        <x:v>SCN-0760</x:v>
      </x:c>
      <x:c r="B763" s="23" t="n">
        <x:v>46736</x:v>
      </x:c>
      <x:c r="C763" s="20" t="str">
        <x:v>scn-0760-expense-20271215-1241.pdf</x:v>
      </x:c>
      <x:c r="D763" s="20" t="str">
        <x:v>Vendor invoice / receipt</x:v>
      </x:c>
      <x:c r="E763" s="20" t="str">
        <x:v>Expense</x:v>
      </x:c>
      <x:c r="F763" s="35" t="str">
        <x:v>Direct scan draft with property/unit/work-order context</x:v>
      </x:c>
      <x:c r="G763" s="20" t="str">
        <x:v>PDF</x:v>
      </x:c>
      <x:c r="H763" s="20" t="str">
        <x:v>1-3 pages</x:v>
      </x:c>
      <x:c r="I763" s="35" t="str">
        <x:v>phone photo with shadow</x:v>
      </x:c>
      <x:c r="J763" s="20" t="str">
        <x:v>P021</x:v>
      </x:c>
      <x:c r="K763" s="20" t="str"/>
      <x:c r="L763" s="20" t="str"/>
      <x:c r="M763" s="20" t="str">
        <x:v>FIN-01464</x:v>
      </x:c>
      <x:c r="N763" s="35" t="str">
        <x:v>vendor; invoice number; date; subtotal; tax; total; category; property; unit; line items; payment method</x:v>
      </x:c>
      <x:c r="O763" s="35" t="str">
        <x:v>split tax/line items; duplicate invoice number</x:v>
      </x:c>
      <x:c r="P763" s="35" t="str">
        <x:v>Create a different expense of the same category through the equivalent manual form on the other client.</x:v>
      </x:c>
      <x:c r="Q763" s="35" t="str">
        <x:v>Synthetic QA only; no real people, accounts, signatures, or properties</x:v>
      </x:c>
    </x:row>
    <x:row r="764">
      <x:c r="A764" s="20" t="str">
        <x:v>SCN-0761</x:v>
      </x:c>
      <x:c r="B764" s="23" t="n">
        <x:v>46736</x:v>
      </x:c>
      <x:c r="C764" s="20" t="str">
        <x:v>scn-0761-expense-20271215-1242.jpg</x:v>
      </x:c>
      <x:c r="D764" s="20" t="str">
        <x:v>Vendor invoice / receipt</x:v>
      </x:c>
      <x:c r="E764" s="20" t="str">
        <x:v>Expense</x:v>
      </x:c>
      <x:c r="F764" s="35" t="str">
        <x:v>Direct scan draft with property/unit/work-order context</x:v>
      </x:c>
      <x:c r="G764" s="20" t="str">
        <x:v>Camera JPEG</x:v>
      </x:c>
      <x:c r="H764" s="20" t="str">
        <x:v>1-3 pages</x:v>
      </x:c>
      <x:c r="I764" s="35" t="str">
        <x:v>clean emailed invoice</x:v>
      </x:c>
      <x:c r="J764" s="20" t="str">
        <x:v>P022</x:v>
      </x:c>
      <x:c r="K764" s="20" t="str"/>
      <x:c r="L764" s="20" t="str"/>
      <x:c r="M764" s="20" t="str">
        <x:v>FIN-01465</x:v>
      </x:c>
      <x:c r="N764" s="35" t="str">
        <x:v>vendor; invoice number; date; subtotal; tax; total; category; property; unit; line items; payment method</x:v>
      </x:c>
      <x:c r="O764" s="35" t="str"/>
      <x:c r="P764" s="35" t="str">
        <x:v>Create a different expense of the same category through the equivalent manual form on the other client.</x:v>
      </x:c>
      <x:c r="Q764" s="35" t="str">
        <x:v>Synthetic QA only; no real people, accounts, signatures, or properties</x:v>
      </x:c>
    </x:row>
    <x:row r="765">
      <x:c r="A765" s="20" t="str">
        <x:v>SCN-0762</x:v>
      </x:c>
      <x:c r="B765" s="23" t="n">
        <x:v>46736</x:v>
      </x:c>
      <x:c r="C765" s="20" t="str">
        <x:v>scn-0762-expense-20271215-1243.pdf</x:v>
      </x:c>
      <x:c r="D765" s="20" t="str">
        <x:v>Vendor invoice / receipt</x:v>
      </x:c>
      <x:c r="E765" s="20" t="str">
        <x:v>Expense</x:v>
      </x:c>
      <x:c r="F765" s="35" t="str">
        <x:v>Direct scan draft with property/unit/work-order context</x:v>
      </x:c>
      <x:c r="G765" s="20" t="str">
        <x:v>PDF</x:v>
      </x:c>
      <x:c r="H765" s="20" t="str">
        <x:v>1-3 pages</x:v>
      </x:c>
      <x:c r="I765" s="35" t="str">
        <x:v>crumpled thermal receipt</x:v>
      </x:c>
      <x:c r="J765" s="20" t="str">
        <x:v>P023</x:v>
      </x:c>
      <x:c r="K765" s="20" t="str"/>
      <x:c r="L765" s="20" t="str"/>
      <x:c r="M765" s="20" t="str">
        <x:v>FIN-01466</x:v>
      </x:c>
      <x:c r="N765" s="35" t="str">
        <x:v>vendor; invoice number; date; subtotal; tax; total; category; property; unit; line items; payment method</x:v>
      </x:c>
      <x:c r="O765" s="35" t="str"/>
      <x:c r="P765" s="35" t="str">
        <x:v>Create a different expense of the same category through the equivalent manual form on the other client.</x:v>
      </x:c>
      <x:c r="Q765" s="35" t="str">
        <x:v>Synthetic QA only; no real people, accounts, signatures, or properties</x:v>
      </x:c>
    </x:row>
    <x:row r="766">
      <x:c r="A766" s="20" t="str">
        <x:v>SCN-0763</x:v>
      </x:c>
      <x:c r="B766" s="23" t="n">
        <x:v>46736</x:v>
      </x:c>
      <x:c r="C766" s="20" t="str">
        <x:v>scn-0763-expense-20271215-1244.pdf</x:v>
      </x:c>
      <x:c r="D766" s="20" t="str">
        <x:v>Vendor invoice / receipt</x:v>
      </x:c>
      <x:c r="E766" s="20" t="str">
        <x:v>Expense</x:v>
      </x:c>
      <x:c r="F766" s="35" t="str">
        <x:v>Direct scan draft with property/unit/work-order context</x:v>
      </x:c>
      <x:c r="G766" s="20" t="str">
        <x:v>PDF</x:v>
      </x:c>
      <x:c r="H766" s="20" t="str">
        <x:v>1-3 pages</x:v>
      </x:c>
      <x:c r="I766" s="35" t="str">
        <x:v>phone photo with shadow</x:v>
      </x:c>
      <x:c r="J766" s="20" t="str">
        <x:v>P024</x:v>
      </x:c>
      <x:c r="K766" s="20" t="str"/>
      <x:c r="L766" s="20" t="str"/>
      <x:c r="M766" s="20" t="str">
        <x:v>FIN-01467</x:v>
      </x:c>
      <x:c r="N766" s="35" t="str">
        <x:v>vendor; invoice number; date; subtotal; tax; total; category; property; unit; line items; payment method</x:v>
      </x:c>
      <x:c r="O766" s="35" t="str"/>
      <x:c r="P766" s="35" t="str">
        <x:v>Create a different expense of the same category through the equivalent manual form on the other client.</x:v>
      </x:c>
      <x:c r="Q766" s="35" t="str">
        <x:v>Synthetic QA only; no real people, accounts, signatures, or properties</x:v>
      </x:c>
    </x:row>
    <x:row r="767">
      <x:c r="A767" s="20" t="str">
        <x:v>SCN-0764</x:v>
      </x:c>
      <x:c r="B767" s="23" t="n">
        <x:v>46736</x:v>
      </x:c>
      <x:c r="C767" s="20" t="str">
        <x:v>scn-0764-expense-20271215-1246.pdf</x:v>
      </x:c>
      <x:c r="D767" s="20" t="str">
        <x:v>Vendor invoice / receipt</x:v>
      </x:c>
      <x:c r="E767" s="20" t="str">
        <x:v>Expense</x:v>
      </x:c>
      <x:c r="F767" s="35" t="str">
        <x:v>Direct scan draft with property/unit/work-order context</x:v>
      </x:c>
      <x:c r="G767" s="20" t="str">
        <x:v>PDF</x:v>
      </x:c>
      <x:c r="H767" s="20" t="str">
        <x:v>1-3 pages</x:v>
      </x:c>
      <x:c r="I767" s="35" t="str">
        <x:v>crumpled thermal receipt</x:v>
      </x:c>
      <x:c r="J767" s="20" t="str">
        <x:v>P026</x:v>
      </x:c>
      <x:c r="K767" s="20" t="str"/>
      <x:c r="L767" s="20" t="str"/>
      <x:c r="M767" s="20" t="str">
        <x:v>FIN-01469</x:v>
      </x:c>
      <x:c r="N767" s="35" t="str">
        <x:v>vendor; invoice number; date; subtotal; tax; total; category; property; unit; line items; payment method</x:v>
      </x:c>
      <x:c r="O767" s="35" t="str"/>
      <x:c r="P767" s="35" t="str">
        <x:v>Create a different expense of the same category through the equivalent manual form on the other client.</x:v>
      </x:c>
      <x:c r="Q767" s="35" t="str">
        <x:v>Synthetic QA only; no real people, accounts, signatures, or properties</x:v>
      </x:c>
    </x:row>
    <x:row r="768">
      <x:c r="A768" s="20" t="str">
        <x:v>SCN-0765</x:v>
      </x:c>
      <x:c r="B768" s="23" t="n">
        <x:v>46736</x:v>
      </x:c>
      <x:c r="C768" s="20" t="str">
        <x:v>scn-0765-expense-20271215-1247.pdf</x:v>
      </x:c>
      <x:c r="D768" s="20" t="str">
        <x:v>Vendor invoice / receipt</x:v>
      </x:c>
      <x:c r="E768" s="20" t="str">
        <x:v>Expense</x:v>
      </x:c>
      <x:c r="F768" s="35" t="str">
        <x:v>Direct scan draft with property/unit/work-order context</x:v>
      </x:c>
      <x:c r="G768" s="20" t="str">
        <x:v>PDF</x:v>
      </x:c>
      <x:c r="H768" s="20" t="str">
        <x:v>1-3 pages</x:v>
      </x:c>
      <x:c r="I768" s="35" t="str">
        <x:v>phone photo with shadow</x:v>
      </x:c>
      <x:c r="J768" s="20" t="str">
        <x:v>P027</x:v>
      </x:c>
      <x:c r="K768" s="20" t="str"/>
      <x:c r="L768" s="20" t="str"/>
      <x:c r="M768" s="20" t="str">
        <x:v>FIN-01470</x:v>
      </x:c>
      <x:c r="N768" s="35" t="str">
        <x:v>vendor; invoice number; date; subtotal; tax; total; category; property; unit; line items; payment method</x:v>
      </x:c>
      <x:c r="O768" s="35" t="str"/>
      <x:c r="P768" s="35" t="str">
        <x:v>Create a different expense of the same category through the equivalent manual form on the other client.</x:v>
      </x:c>
      <x:c r="Q768" s="35" t="str">
        <x:v>Synthetic QA only; no real people, accounts, signatures, or properties</x:v>
      </x:c>
    </x:row>
    <x:row r="769">
      <x:c r="A769" s="20" t="str">
        <x:v>SCN-0766</x:v>
      </x:c>
      <x:c r="B769" s="23" t="n">
        <x:v>46736</x:v>
      </x:c>
      <x:c r="C769" s="20" t="str">
        <x:v>scn-0766-expense-20271215-1248.jpg</x:v>
      </x:c>
      <x:c r="D769" s="20" t="str">
        <x:v>Vendor invoice / receipt</x:v>
      </x:c>
      <x:c r="E769" s="20" t="str">
        <x:v>Expense</x:v>
      </x:c>
      <x:c r="F769" s="35" t="str">
        <x:v>Direct scan draft with property/unit/work-order context</x:v>
      </x:c>
      <x:c r="G769" s="20" t="str">
        <x:v>Camera JPEG</x:v>
      </x:c>
      <x:c r="H769" s="20" t="str">
        <x:v>1-3 pages</x:v>
      </x:c>
      <x:c r="I769" s="35" t="str">
        <x:v>clean emailed invoice</x:v>
      </x:c>
      <x:c r="J769" s="20" t="str">
        <x:v>P028</x:v>
      </x:c>
      <x:c r="K769" s="20" t="str"/>
      <x:c r="L769" s="20" t="str"/>
      <x:c r="M769" s="20" t="str">
        <x:v>FIN-01471</x:v>
      </x:c>
      <x:c r="N769" s="35" t="str">
        <x:v>vendor; invoice number; date; subtotal; tax; total; category; property; unit; line items; payment method</x:v>
      </x:c>
      <x:c r="O769" s="35" t="str"/>
      <x:c r="P769" s="35" t="str">
        <x:v>Create a different expense of the same category through the equivalent manual form on the other client.</x:v>
      </x:c>
      <x:c r="Q769" s="35" t="str">
        <x:v>Synthetic QA only; no real people, accounts, signatures, or properties</x:v>
      </x:c>
    </x:row>
    <x:row r="770">
      <x:c r="A770" s="20" t="str">
        <x:v>SCN-0767</x:v>
      </x:c>
      <x:c r="B770" s="23" t="n">
        <x:v>46736</x:v>
      </x:c>
      <x:c r="C770" s="20" t="str">
        <x:v>scn-0767-expense-20271215-1249.pdf</x:v>
      </x:c>
      <x:c r="D770" s="20" t="str">
        <x:v>Vendor invoice / receipt</x:v>
      </x:c>
      <x:c r="E770" s="20" t="str">
        <x:v>Expense</x:v>
      </x:c>
      <x:c r="F770" s="35" t="str">
        <x:v>Direct scan draft with property/unit/work-order context</x:v>
      </x:c>
      <x:c r="G770" s="20" t="str">
        <x:v>PDF</x:v>
      </x:c>
      <x:c r="H770" s="20" t="str">
        <x:v>1-3 pages</x:v>
      </x:c>
      <x:c r="I770" s="35" t="str">
        <x:v>crumpled thermal receipt</x:v>
      </x:c>
      <x:c r="J770" s="20" t="str">
        <x:v>P029</x:v>
      </x:c>
      <x:c r="K770" s="20" t="str"/>
      <x:c r="L770" s="20" t="str"/>
      <x:c r="M770" s="20" t="str">
        <x:v>FIN-01472</x:v>
      </x:c>
      <x:c r="N770" s="35" t="str">
        <x:v>vendor; invoice number; date; subtotal; tax; total; category; property; unit; line items; payment method</x:v>
      </x:c>
      <x:c r="O770" s="35" t="str"/>
      <x:c r="P770" s="35" t="str">
        <x:v>Create a different expense of the same category through the equivalent manual form on the other client.</x:v>
      </x:c>
      <x:c r="Q770" s="35" t="str">
        <x:v>Synthetic QA only; no real people, accounts, signatures, or properties</x:v>
      </x:c>
    </x:row>
    <x:row r="771">
      <x:c r="A771" s="20" t="str">
        <x:v>SCN-0768</x:v>
      </x:c>
      <x:c r="B771" s="23" t="n">
        <x:v>46741</x:v>
      </x:c>
      <x:c r="C771" s="20" t="str">
        <x:v>scn-0768-loan-payment-ln001-202712.pdf</x:v>
      </x:c>
      <x:c r="D771" s="20" t="str">
        <x:v>Monthly mortgage statement</x:v>
      </x:c>
      <x:c r="E771" s="20" t="str">
        <x:v>Loan payment / Property document</x:v>
      </x:c>
      <x:c r="F771" s="35" t="str">
        <x:v>Attach and match to existing loan; probe typed extraction of principal/interest</x:v>
      </x:c>
      <x:c r="G771" s="20" t="str">
        <x:v>PDF</x:v>
      </x:c>
      <x:c r="H771" s="20" t="str">
        <x:v>3 pages</x:v>
      </x:c>
      <x:c r="I771" s="35" t="str">
        <x:v>clean lender PDF</x:v>
      </x:c>
      <x:c r="J771" s="20" t="str">
        <x:v>P001</x:v>
      </x:c>
      <x:c r="K771" s="20" t="str"/>
      <x:c r="L771" s="20" t="str"/>
      <x:c r="M771" s="20" t="str">
        <x:v>FIN-01474</x:v>
      </x:c>
      <x:c r="N771" s="35" t="str">
        <x:v>loan; due date; payment; principal; interest; escrow; ending principal balance</x:v>
      </x:c>
      <x:c r="O771" s="35" t="str">
        <x:v>principal/interest changes monthly</x:v>
      </x:c>
      <x:c r="P771" s="35" t="str">
        <x:v>Verify or enter a different loan payment manually from the other client.</x:v>
      </x:c>
      <x:c r="Q771" s="35" t="str">
        <x:v>Synthetic QA only; no real people, accounts, signatures, or properties</x:v>
      </x:c>
    </x:row>
    <x:row r="772">
      <x:c r="A772" s="20" t="str">
        <x:v>SCN-0769</x:v>
      </x:c>
      <x:c r="B772" s="23" t="n">
        <x:v>46741</x:v>
      </x:c>
      <x:c r="C772" s="20" t="str">
        <x:v>scn-0769-loan-payment-ln002-202712.pdf</x:v>
      </x:c>
      <x:c r="D772" s="20" t="str">
        <x:v>Monthly mortgage statement</x:v>
      </x:c>
      <x:c r="E772" s="20" t="str">
        <x:v>Loan payment / Property document</x:v>
      </x:c>
      <x:c r="F772" s="35" t="str">
        <x:v>Attach and match to existing loan; probe typed extraction of principal/interest</x:v>
      </x:c>
      <x:c r="G772" s="20" t="str">
        <x:v>PDF</x:v>
      </x:c>
      <x:c r="H772" s="20" t="str">
        <x:v>3 pages</x:v>
      </x:c>
      <x:c r="I772" s="35" t="str">
        <x:v>clean lender PDF</x:v>
      </x:c>
      <x:c r="J772" s="20" t="str">
        <x:v>P002</x:v>
      </x:c>
      <x:c r="K772" s="20" t="str"/>
      <x:c r="L772" s="20" t="str"/>
      <x:c r="M772" s="20" t="str">
        <x:v>FIN-01475</x:v>
      </x:c>
      <x:c r="N772" s="35" t="str">
        <x:v>loan; due date; payment; principal; interest; escrow; ending principal balance</x:v>
      </x:c>
      <x:c r="O772" s="35" t="str">
        <x:v>principal/interest changes monthly</x:v>
      </x:c>
      <x:c r="P772" s="35" t="str">
        <x:v>Verify or enter a different loan payment manually from the other client.</x:v>
      </x:c>
      <x:c r="Q772" s="35" t="str">
        <x:v>Synthetic QA only; no real people, accounts, signatures, or properties</x:v>
      </x:c>
    </x:row>
    <x:row r="773">
      <x:c r="A773" s="20" t="str">
        <x:v>SCN-0770</x:v>
      </x:c>
      <x:c r="B773" s="23" t="n">
        <x:v>46741</x:v>
      </x:c>
      <x:c r="C773" s="20" t="str">
        <x:v>scn-0770-loan-payment-ln004-202712.pdf</x:v>
      </x:c>
      <x:c r="D773" s="20" t="str">
        <x:v>Monthly mortgage statement</x:v>
      </x:c>
      <x:c r="E773" s="20" t="str">
        <x:v>Loan payment / Property document</x:v>
      </x:c>
      <x:c r="F773" s="35" t="str">
        <x:v>Attach and match to existing loan; probe typed extraction of principal/interest</x:v>
      </x:c>
      <x:c r="G773" s="20" t="str">
        <x:v>PDF</x:v>
      </x:c>
      <x:c r="H773" s="20" t="str">
        <x:v>3 pages</x:v>
      </x:c>
      <x:c r="I773" s="35" t="str">
        <x:v>clean lender PDF</x:v>
      </x:c>
      <x:c r="J773" s="20" t="str">
        <x:v>P004</x:v>
      </x:c>
      <x:c r="K773" s="20" t="str"/>
      <x:c r="L773" s="20" t="str"/>
      <x:c r="M773" s="20" t="str">
        <x:v>FIN-01476</x:v>
      </x:c>
      <x:c r="N773" s="35" t="str">
        <x:v>loan; due date; payment; principal; interest; escrow; ending principal balance</x:v>
      </x:c>
      <x:c r="O773" s="35" t="str">
        <x:v>principal/interest changes monthly</x:v>
      </x:c>
      <x:c r="P773" s="35" t="str">
        <x:v>Verify or enter a different loan payment manually from the other client.</x:v>
      </x:c>
      <x:c r="Q773" s="35" t="str">
        <x:v>Synthetic QA only; no real people, accounts, signatures, or properties</x:v>
      </x:c>
    </x:row>
    <x:row r="774">
      <x:c r="A774" s="20" t="str">
        <x:v>SCN-0771</x:v>
      </x:c>
      <x:c r="B774" s="23" t="n">
        <x:v>46741</x:v>
      </x:c>
      <x:c r="C774" s="20" t="str">
        <x:v>scn-0771-loan-payment-ln005-202712.pdf</x:v>
      </x:c>
      <x:c r="D774" s="20" t="str">
        <x:v>Monthly mortgage statement</x:v>
      </x:c>
      <x:c r="E774" s="20" t="str">
        <x:v>Loan payment / Property document</x:v>
      </x:c>
      <x:c r="F774" s="35" t="str">
        <x:v>Attach and match to existing loan; probe typed extraction of principal/interest</x:v>
      </x:c>
      <x:c r="G774" s="20" t="str">
        <x:v>PDF</x:v>
      </x:c>
      <x:c r="H774" s="20" t="str">
        <x:v>3 pages</x:v>
      </x:c>
      <x:c r="I774" s="35" t="str">
        <x:v>clean lender PDF</x:v>
      </x:c>
      <x:c r="J774" s="20" t="str">
        <x:v>P005</x:v>
      </x:c>
      <x:c r="K774" s="20" t="str"/>
      <x:c r="L774" s="20" t="str"/>
      <x:c r="M774" s="20" t="str">
        <x:v>FIN-01477</x:v>
      </x:c>
      <x:c r="N774" s="35" t="str">
        <x:v>loan; due date; payment; principal; interest; escrow; ending principal balance</x:v>
      </x:c>
      <x:c r="O774" s="35" t="str">
        <x:v>principal/interest changes monthly</x:v>
      </x:c>
      <x:c r="P774" s="35" t="str">
        <x:v>Verify or enter a different loan payment manually from the other client.</x:v>
      </x:c>
      <x:c r="Q774" s="35" t="str">
        <x:v>Synthetic QA only; no real people, accounts, signatures, or properties</x:v>
      </x:c>
    </x:row>
    <x:row r="775">
      <x:c r="A775" s="20" t="str">
        <x:v>SCN-0772</x:v>
      </x:c>
      <x:c r="B775" s="23" t="n">
        <x:v>46741</x:v>
      </x:c>
      <x:c r="C775" s="20" t="str">
        <x:v>scn-0772-loan-payment-ln007-202712.pdf</x:v>
      </x:c>
      <x:c r="D775" s="20" t="str">
        <x:v>Monthly mortgage statement</x:v>
      </x:c>
      <x:c r="E775" s="20" t="str">
        <x:v>Loan payment / Property document</x:v>
      </x:c>
      <x:c r="F775" s="35" t="str">
        <x:v>Attach and match to existing loan; probe typed extraction of principal/interest</x:v>
      </x:c>
      <x:c r="G775" s="20" t="str">
        <x:v>PDF</x:v>
      </x:c>
      <x:c r="H775" s="20" t="str">
        <x:v>3 pages</x:v>
      </x:c>
      <x:c r="I775" s="35" t="str">
        <x:v>clean lender PDF</x:v>
      </x:c>
      <x:c r="J775" s="20" t="str">
        <x:v>P007</x:v>
      </x:c>
      <x:c r="K775" s="20" t="str"/>
      <x:c r="L775" s="20" t="str"/>
      <x:c r="M775" s="20" t="str">
        <x:v>FIN-01478</x:v>
      </x:c>
      <x:c r="N775" s="35" t="str">
        <x:v>loan; due date; payment; principal; interest; escrow; ending principal balance</x:v>
      </x:c>
      <x:c r="O775" s="35" t="str">
        <x:v>principal/interest changes monthly</x:v>
      </x:c>
      <x:c r="P775" s="35" t="str">
        <x:v>Verify or enter a different loan payment manually from the other client.</x:v>
      </x:c>
      <x:c r="Q775" s="35" t="str">
        <x:v>Synthetic QA only; no real people, accounts, signatures, or properties</x:v>
      </x:c>
    </x:row>
    <x:row r="776">
      <x:c r="A776" s="20" t="str">
        <x:v>SCN-0773</x:v>
      </x:c>
      <x:c r="B776" s="23" t="n">
        <x:v>46741</x:v>
      </x:c>
      <x:c r="C776" s="20" t="str">
        <x:v>scn-0773-loan-payment-ln008-202712.pdf</x:v>
      </x:c>
      <x:c r="D776" s="20" t="str">
        <x:v>Monthly mortgage statement</x:v>
      </x:c>
      <x:c r="E776" s="20" t="str">
        <x:v>Loan payment / Property document</x:v>
      </x:c>
      <x:c r="F776" s="35" t="str">
        <x:v>Attach and match to existing loan; probe typed extraction of principal/interest</x:v>
      </x:c>
      <x:c r="G776" s="20" t="str">
        <x:v>PDF</x:v>
      </x:c>
      <x:c r="H776" s="20" t="str">
        <x:v>3 pages</x:v>
      </x:c>
      <x:c r="I776" s="35" t="str">
        <x:v>clean lender PDF</x:v>
      </x:c>
      <x:c r="J776" s="20" t="str">
        <x:v>P008</x:v>
      </x:c>
      <x:c r="K776" s="20" t="str"/>
      <x:c r="L776" s="20" t="str"/>
      <x:c r="M776" s="20" t="str">
        <x:v>FIN-01479</x:v>
      </x:c>
      <x:c r="N776" s="35" t="str">
        <x:v>loan; due date; payment; principal; interest; escrow; ending principal balance</x:v>
      </x:c>
      <x:c r="O776" s="35" t="str">
        <x:v>principal/interest changes monthly</x:v>
      </x:c>
      <x:c r="P776" s="35" t="str">
        <x:v>Verify or enter a different loan payment manually from the other client.</x:v>
      </x:c>
      <x:c r="Q776" s="35" t="str">
        <x:v>Synthetic QA only; no real people, accounts, signatures, or properties</x:v>
      </x:c>
    </x:row>
    <x:row r="777">
      <x:c r="A777" s="20" t="str">
        <x:v>SCN-0774</x:v>
      </x:c>
      <x:c r="B777" s="23" t="n">
        <x:v>46741</x:v>
      </x:c>
      <x:c r="C777" s="20" t="str">
        <x:v>scn-0774-loan-payment-ln010-202712.pdf</x:v>
      </x:c>
      <x:c r="D777" s="20" t="str">
        <x:v>Monthly mortgage statement</x:v>
      </x:c>
      <x:c r="E777" s="20" t="str">
        <x:v>Loan payment / Property document</x:v>
      </x:c>
      <x:c r="F777" s="35" t="str">
        <x:v>Attach and match to existing loan; probe typed extraction of principal/interest</x:v>
      </x:c>
      <x:c r="G777" s="20" t="str">
        <x:v>PDF</x:v>
      </x:c>
      <x:c r="H777" s="20" t="str">
        <x:v>3 pages</x:v>
      </x:c>
      <x:c r="I777" s="35" t="str">
        <x:v>clean lender PDF</x:v>
      </x:c>
      <x:c r="J777" s="20" t="str">
        <x:v>P010</x:v>
      </x:c>
      <x:c r="K777" s="20" t="str"/>
      <x:c r="L777" s="20" t="str"/>
      <x:c r="M777" s="20" t="str">
        <x:v>FIN-01480</x:v>
      </x:c>
      <x:c r="N777" s="35" t="str">
        <x:v>loan; due date; payment; principal; interest; escrow; ending principal balance</x:v>
      </x:c>
      <x:c r="O777" s="35" t="str">
        <x:v>principal/interest changes monthly</x:v>
      </x:c>
      <x:c r="P777" s="35" t="str">
        <x:v>Verify or enter a different loan payment manually from the other client.</x:v>
      </x:c>
      <x:c r="Q777" s="35" t="str">
        <x:v>Synthetic QA only; no real people, accounts, signatures, or properties</x:v>
      </x:c>
    </x:row>
    <x:row r="778">
      <x:c r="A778" s="20" t="str">
        <x:v>SCN-0775</x:v>
      </x:c>
      <x:c r="B778" s="23" t="n">
        <x:v>46741</x:v>
      </x:c>
      <x:c r="C778" s="20" t="str">
        <x:v>scn-0775-loan-payment-ln011-202712.pdf</x:v>
      </x:c>
      <x:c r="D778" s="20" t="str">
        <x:v>Monthly mortgage statement</x:v>
      </x:c>
      <x:c r="E778" s="20" t="str">
        <x:v>Loan payment / Property document</x:v>
      </x:c>
      <x:c r="F778" s="35" t="str">
        <x:v>Attach and match to existing loan; probe typed extraction of principal/interest</x:v>
      </x:c>
      <x:c r="G778" s="20" t="str">
        <x:v>PDF</x:v>
      </x:c>
      <x:c r="H778" s="20" t="str">
        <x:v>3 pages</x:v>
      </x:c>
      <x:c r="I778" s="35" t="str">
        <x:v>clean lender PDF</x:v>
      </x:c>
      <x:c r="J778" s="20" t="str">
        <x:v>P011</x:v>
      </x:c>
      <x:c r="K778" s="20" t="str"/>
      <x:c r="L778" s="20" t="str"/>
      <x:c r="M778" s="20" t="str">
        <x:v>FIN-01481</x:v>
      </x:c>
      <x:c r="N778" s="35" t="str">
        <x:v>loan; due date; payment; principal; interest; escrow; ending principal balance</x:v>
      </x:c>
      <x:c r="O778" s="35" t="str">
        <x:v>principal/interest changes monthly</x:v>
      </x:c>
      <x:c r="P778" s="35" t="str">
        <x:v>Verify or enter a different loan payment manually from the other client.</x:v>
      </x:c>
      <x:c r="Q778" s="35" t="str">
        <x:v>Synthetic QA only; no real people, accounts, signatures, or properties</x:v>
      </x:c>
    </x:row>
    <x:row r="779">
      <x:c r="A779" s="20" t="str">
        <x:v>SCN-0776</x:v>
      </x:c>
      <x:c r="B779" s="23" t="n">
        <x:v>46741</x:v>
      </x:c>
      <x:c r="C779" s="20" t="str">
        <x:v>scn-0776-loan-payment-ln013-202712.pdf</x:v>
      </x:c>
      <x:c r="D779" s="20" t="str">
        <x:v>Monthly mortgage statement</x:v>
      </x:c>
      <x:c r="E779" s="20" t="str">
        <x:v>Loan payment / Property document</x:v>
      </x:c>
      <x:c r="F779" s="35" t="str">
        <x:v>Attach and match to existing loan; probe typed extraction of principal/interest</x:v>
      </x:c>
      <x:c r="G779" s="20" t="str">
        <x:v>PDF</x:v>
      </x:c>
      <x:c r="H779" s="20" t="str">
        <x:v>3 pages</x:v>
      </x:c>
      <x:c r="I779" s="35" t="str">
        <x:v>clean lender PDF</x:v>
      </x:c>
      <x:c r="J779" s="20" t="str">
        <x:v>P013</x:v>
      </x:c>
      <x:c r="K779" s="20" t="str"/>
      <x:c r="L779" s="20" t="str"/>
      <x:c r="M779" s="20" t="str">
        <x:v>FIN-01482</x:v>
      </x:c>
      <x:c r="N779" s="35" t="str">
        <x:v>loan; due date; payment; principal; interest; escrow; ending principal balance</x:v>
      </x:c>
      <x:c r="O779" s="35" t="str">
        <x:v>principal/interest changes monthly</x:v>
      </x:c>
      <x:c r="P779" s="35" t="str">
        <x:v>Verify or enter a different loan payment manually from the other client.</x:v>
      </x:c>
      <x:c r="Q779" s="35" t="str">
        <x:v>Synthetic QA only; no real people, accounts, signatures, or properties</x:v>
      </x:c>
    </x:row>
    <x:row r="780">
      <x:c r="A780" s="20" t="str">
        <x:v>SCN-0777</x:v>
      </x:c>
      <x:c r="B780" s="23" t="n">
        <x:v>46741</x:v>
      </x:c>
      <x:c r="C780" s="20" t="str">
        <x:v>scn-0777-loan-payment-ln014-202712.pdf</x:v>
      </x:c>
      <x:c r="D780" s="20" t="str">
        <x:v>Monthly mortgage statement</x:v>
      </x:c>
      <x:c r="E780" s="20" t="str">
        <x:v>Loan payment / Property document</x:v>
      </x:c>
      <x:c r="F780" s="35" t="str">
        <x:v>Attach and match to existing loan; probe typed extraction of principal/interest</x:v>
      </x:c>
      <x:c r="G780" s="20" t="str">
        <x:v>PDF</x:v>
      </x:c>
      <x:c r="H780" s="20" t="str">
        <x:v>3 pages</x:v>
      </x:c>
      <x:c r="I780" s="35" t="str">
        <x:v>clean lender PDF</x:v>
      </x:c>
      <x:c r="J780" s="20" t="str">
        <x:v>P014</x:v>
      </x:c>
      <x:c r="K780" s="20" t="str"/>
      <x:c r="L780" s="20" t="str"/>
      <x:c r="M780" s="20" t="str">
        <x:v>FIN-01483</x:v>
      </x:c>
      <x:c r="N780" s="35" t="str">
        <x:v>loan; due date; payment; principal; interest; escrow; ending principal balance</x:v>
      </x:c>
      <x:c r="O780" s="35" t="str">
        <x:v>principal/interest changes monthly</x:v>
      </x:c>
      <x:c r="P780" s="35" t="str">
        <x:v>Verify or enter a different loan payment manually from the other client.</x:v>
      </x:c>
      <x:c r="Q780" s="35" t="str">
        <x:v>Synthetic QA only; no real people, accounts, signatures, or properties</x:v>
      </x:c>
    </x:row>
    <x:row r="781">
      <x:c r="A781" s="20" t="str">
        <x:v>SCN-0778</x:v>
      </x:c>
      <x:c r="B781" s="23" t="n">
        <x:v>46741</x:v>
      </x:c>
      <x:c r="C781" s="20" t="str">
        <x:v>scn-0778-loan-payment-ln016-202712.pdf</x:v>
      </x:c>
      <x:c r="D781" s="20" t="str">
        <x:v>Monthly mortgage statement</x:v>
      </x:c>
      <x:c r="E781" s="20" t="str">
        <x:v>Loan payment / Property document</x:v>
      </x:c>
      <x:c r="F781" s="35" t="str">
        <x:v>Attach and match to existing loan; probe typed extraction of principal/interest</x:v>
      </x:c>
      <x:c r="G781" s="20" t="str">
        <x:v>PDF</x:v>
      </x:c>
      <x:c r="H781" s="20" t="str">
        <x:v>3 pages</x:v>
      </x:c>
      <x:c r="I781" s="35" t="str">
        <x:v>clean lender PDF</x:v>
      </x:c>
      <x:c r="J781" s="20" t="str">
        <x:v>P016</x:v>
      </x:c>
      <x:c r="K781" s="20" t="str"/>
      <x:c r="L781" s="20" t="str"/>
      <x:c r="M781" s="20" t="str">
        <x:v>FIN-01484</x:v>
      </x:c>
      <x:c r="N781" s="35" t="str">
        <x:v>loan; due date; payment; principal; interest; escrow; ending principal balance</x:v>
      </x:c>
      <x:c r="O781" s="35" t="str">
        <x:v>principal/interest changes monthly</x:v>
      </x:c>
      <x:c r="P781" s="35" t="str">
        <x:v>Verify or enter a different loan payment manually from the other client.</x:v>
      </x:c>
      <x:c r="Q781" s="35" t="str">
        <x:v>Synthetic QA only; no real people, accounts, signatures, or properties</x:v>
      </x:c>
    </x:row>
    <x:row r="782">
      <x:c r="A782" s="20" t="str">
        <x:v>SCN-0779</x:v>
      </x:c>
      <x:c r="B782" s="23" t="n">
        <x:v>46741</x:v>
      </x:c>
      <x:c r="C782" s="20" t="str">
        <x:v>scn-0779-loan-payment-ln017-202712.pdf</x:v>
      </x:c>
      <x:c r="D782" s="20" t="str">
        <x:v>Monthly mortgage statement</x:v>
      </x:c>
      <x:c r="E782" s="20" t="str">
        <x:v>Loan payment / Property document</x:v>
      </x:c>
      <x:c r="F782" s="35" t="str">
        <x:v>Attach and match to existing loan; probe typed extraction of principal/interest</x:v>
      </x:c>
      <x:c r="G782" s="20" t="str">
        <x:v>PDF</x:v>
      </x:c>
      <x:c r="H782" s="20" t="str">
        <x:v>3 pages</x:v>
      </x:c>
      <x:c r="I782" s="35" t="str">
        <x:v>clean lender PDF</x:v>
      </x:c>
      <x:c r="J782" s="20" t="str">
        <x:v>P017</x:v>
      </x:c>
      <x:c r="K782" s="20" t="str"/>
      <x:c r="L782" s="20" t="str"/>
      <x:c r="M782" s="20" t="str">
        <x:v>FIN-01485</x:v>
      </x:c>
      <x:c r="N782" s="35" t="str">
        <x:v>loan; due date; payment; principal; interest; escrow; ending principal balance</x:v>
      </x:c>
      <x:c r="O782" s="35" t="str">
        <x:v>principal/interest changes monthly</x:v>
      </x:c>
      <x:c r="P782" s="35" t="str">
        <x:v>Verify or enter a different loan payment manually from the other client.</x:v>
      </x:c>
      <x:c r="Q782" s="35" t="str">
        <x:v>Synthetic QA only; no real people, accounts, signatures, or properties</x:v>
      </x:c>
    </x:row>
    <x:row r="783">
      <x:c r="A783" s="20" t="str">
        <x:v>SCN-0780</x:v>
      </x:c>
      <x:c r="B783" s="23" t="n">
        <x:v>46741</x:v>
      </x:c>
      <x:c r="C783" s="20" t="str">
        <x:v>scn-0780-loan-payment-ln019-202712.pdf</x:v>
      </x:c>
      <x:c r="D783" s="20" t="str">
        <x:v>Monthly mortgage statement</x:v>
      </x:c>
      <x:c r="E783" s="20" t="str">
        <x:v>Loan payment / Property document</x:v>
      </x:c>
      <x:c r="F783" s="35" t="str">
        <x:v>Attach and match to existing loan; probe typed extraction of principal/interest</x:v>
      </x:c>
      <x:c r="G783" s="20" t="str">
        <x:v>PDF</x:v>
      </x:c>
      <x:c r="H783" s="20" t="str">
        <x:v>3 pages</x:v>
      </x:c>
      <x:c r="I783" s="35" t="str">
        <x:v>clean lender PDF</x:v>
      </x:c>
      <x:c r="J783" s="20" t="str">
        <x:v>P019</x:v>
      </x:c>
      <x:c r="K783" s="20" t="str"/>
      <x:c r="L783" s="20" t="str"/>
      <x:c r="M783" s="20" t="str">
        <x:v>FIN-01486</x:v>
      </x:c>
      <x:c r="N783" s="35" t="str">
        <x:v>loan; due date; payment; principal; interest; escrow; ending principal balance</x:v>
      </x:c>
      <x:c r="O783" s="35" t="str">
        <x:v>principal/interest changes monthly</x:v>
      </x:c>
      <x:c r="P783" s="35" t="str">
        <x:v>Verify or enter a different loan payment manually from the other client.</x:v>
      </x:c>
      <x:c r="Q783" s="35" t="str">
        <x:v>Synthetic QA only; no real people, accounts, signatures, or properties</x:v>
      </x:c>
    </x:row>
    <x:row r="784">
      <x:c r="A784" s="20" t="str">
        <x:v>SCN-0781</x:v>
      </x:c>
      <x:c r="B784" s="23" t="n">
        <x:v>46741</x:v>
      </x:c>
      <x:c r="C784" s="20" t="str">
        <x:v>scn-0781-loan-payment-ln020-202712.pdf</x:v>
      </x:c>
      <x:c r="D784" s="20" t="str">
        <x:v>Monthly mortgage statement</x:v>
      </x:c>
      <x:c r="E784" s="20" t="str">
        <x:v>Loan payment / Property document</x:v>
      </x:c>
      <x:c r="F784" s="35" t="str">
        <x:v>Attach and match to existing loan; probe typed extraction of principal/interest</x:v>
      </x:c>
      <x:c r="G784" s="20" t="str">
        <x:v>PDF</x:v>
      </x:c>
      <x:c r="H784" s="20" t="str">
        <x:v>3 pages</x:v>
      </x:c>
      <x:c r="I784" s="35" t="str">
        <x:v>clean lender PDF</x:v>
      </x:c>
      <x:c r="J784" s="20" t="str">
        <x:v>P020</x:v>
      </x:c>
      <x:c r="K784" s="20" t="str"/>
      <x:c r="L784" s="20" t="str"/>
      <x:c r="M784" s="20" t="str">
        <x:v>FIN-01487</x:v>
      </x:c>
      <x:c r="N784" s="35" t="str">
        <x:v>loan; due date; payment; principal; interest; escrow; ending principal balance</x:v>
      </x:c>
      <x:c r="O784" s="35" t="str">
        <x:v>principal/interest changes monthly</x:v>
      </x:c>
      <x:c r="P784" s="35" t="str">
        <x:v>Verify or enter a different loan payment manually from the other client.</x:v>
      </x:c>
      <x:c r="Q784" s="35" t="str">
        <x:v>Synthetic QA only; no real people, accounts, signatures, or properties</x:v>
      </x:c>
    </x:row>
    <x:row r="785">
      <x:c r="A785" s="20" t="str">
        <x:v>SCN-0782</x:v>
      </x:c>
      <x:c r="B785" s="23" t="n">
        <x:v>46741</x:v>
      </x:c>
      <x:c r="C785" s="20" t="str">
        <x:v>scn-0782-loan-payment-ln022-202712.pdf</x:v>
      </x:c>
      <x:c r="D785" s="20" t="str">
        <x:v>Monthly mortgage statement</x:v>
      </x:c>
      <x:c r="E785" s="20" t="str">
        <x:v>Loan payment / Property document</x:v>
      </x:c>
      <x:c r="F785" s="35" t="str">
        <x:v>Attach and match to existing loan; probe typed extraction of principal/interest</x:v>
      </x:c>
      <x:c r="G785" s="20" t="str">
        <x:v>PDF</x:v>
      </x:c>
      <x:c r="H785" s="20" t="str">
        <x:v>3 pages</x:v>
      </x:c>
      <x:c r="I785" s="35" t="str">
        <x:v>clean lender PDF</x:v>
      </x:c>
      <x:c r="J785" s="20" t="str">
        <x:v>P022</x:v>
      </x:c>
      <x:c r="K785" s="20" t="str"/>
      <x:c r="L785" s="20" t="str"/>
      <x:c r="M785" s="20" t="str">
        <x:v>FIN-01488</x:v>
      </x:c>
      <x:c r="N785" s="35" t="str">
        <x:v>loan; due date; payment; principal; interest; escrow; ending principal balance</x:v>
      </x:c>
      <x:c r="O785" s="35" t="str">
        <x:v>principal/interest changes monthly</x:v>
      </x:c>
      <x:c r="P785" s="35" t="str">
        <x:v>Verify or enter a different loan payment manually from the other client.</x:v>
      </x:c>
      <x:c r="Q785" s="35" t="str">
        <x:v>Synthetic QA only; no real people, accounts, signatures, or properties</x:v>
      </x:c>
    </x:row>
    <x:row r="786">
      <x:c r="A786" s="20" t="str">
        <x:v>SCN-0783</x:v>
      </x:c>
      <x:c r="B786" s="23" t="n">
        <x:v>46741</x:v>
      </x:c>
      <x:c r="C786" s="20" t="str">
        <x:v>scn-0783-loan-payment-ln023-202712.pdf</x:v>
      </x:c>
      <x:c r="D786" s="20" t="str">
        <x:v>Monthly mortgage statement</x:v>
      </x:c>
      <x:c r="E786" s="20" t="str">
        <x:v>Loan payment / Property document</x:v>
      </x:c>
      <x:c r="F786" s="35" t="str">
        <x:v>Attach and match to existing loan; probe typed extraction of principal/interest</x:v>
      </x:c>
      <x:c r="G786" s="20" t="str">
        <x:v>PDF</x:v>
      </x:c>
      <x:c r="H786" s="20" t="str">
        <x:v>3 pages</x:v>
      </x:c>
      <x:c r="I786" s="35" t="str">
        <x:v>clean lender PDF</x:v>
      </x:c>
      <x:c r="J786" s="20" t="str">
        <x:v>P023</x:v>
      </x:c>
      <x:c r="K786" s="20" t="str"/>
      <x:c r="L786" s="20" t="str"/>
      <x:c r="M786" s="20" t="str">
        <x:v>FIN-01489</x:v>
      </x:c>
      <x:c r="N786" s="35" t="str">
        <x:v>loan; due date; payment; principal; interest; escrow; ending principal balance</x:v>
      </x:c>
      <x:c r="O786" s="35" t="str">
        <x:v>principal/interest changes monthly</x:v>
      </x:c>
      <x:c r="P786" s="35" t="str">
        <x:v>Verify or enter a different loan payment manually from the other client.</x:v>
      </x:c>
      <x:c r="Q786" s="35" t="str">
        <x:v>Synthetic QA only; no real people, accounts, signatures, or properties</x:v>
      </x:c>
    </x:row>
    <x:row r="787">
      <x:c r="A787" s="20" t="str">
        <x:v>SCN-0784</x:v>
      </x:c>
      <x:c r="B787" s="23" t="n">
        <x:v>46741</x:v>
      </x:c>
      <x:c r="C787" s="20" t="str">
        <x:v>scn-0784-loan-payment-ln025-202712.pdf</x:v>
      </x:c>
      <x:c r="D787" s="20" t="str">
        <x:v>Monthly mortgage statement</x:v>
      </x:c>
      <x:c r="E787" s="20" t="str">
        <x:v>Loan payment / Property document</x:v>
      </x:c>
      <x:c r="F787" s="35" t="str">
        <x:v>Attach and match to existing loan; probe typed extraction of principal/interest</x:v>
      </x:c>
      <x:c r="G787" s="20" t="str">
        <x:v>PDF</x:v>
      </x:c>
      <x:c r="H787" s="20" t="str">
        <x:v>3 pages</x:v>
      </x:c>
      <x:c r="I787" s="35" t="str">
        <x:v>clean lender PDF</x:v>
      </x:c>
      <x:c r="J787" s="20" t="str">
        <x:v>P025</x:v>
      </x:c>
      <x:c r="K787" s="20" t="str"/>
      <x:c r="L787" s="20" t="str"/>
      <x:c r="M787" s="20" t="str">
        <x:v>FIN-01490</x:v>
      </x:c>
      <x:c r="N787" s="35" t="str">
        <x:v>loan; due date; payment; principal; interest; escrow; ending principal balance</x:v>
      </x:c>
      <x:c r="O787" s="35" t="str">
        <x:v>principal/interest changes monthly</x:v>
      </x:c>
      <x:c r="P787" s="35" t="str">
        <x:v>Verify or enter a different loan payment manually from the other client.</x:v>
      </x:c>
      <x:c r="Q787" s="35" t="str">
        <x:v>Synthetic QA only; no real people, accounts, signatures, or properties</x:v>
      </x:c>
    </x:row>
    <x:row r="788">
      <x:c r="A788" s="20" t="str">
        <x:v>SCN-0785</x:v>
      </x:c>
      <x:c r="B788" s="23" t="n">
        <x:v>46741</x:v>
      </x:c>
      <x:c r="C788" s="20" t="str">
        <x:v>scn-0785-loan-payment-ln026-202712.pdf</x:v>
      </x:c>
      <x:c r="D788" s="20" t="str">
        <x:v>Monthly mortgage statement</x:v>
      </x:c>
      <x:c r="E788" s="20" t="str">
        <x:v>Loan payment / Property document</x:v>
      </x:c>
      <x:c r="F788" s="35" t="str">
        <x:v>Attach and match to existing loan; probe typed extraction of principal/interest</x:v>
      </x:c>
      <x:c r="G788" s="20" t="str">
        <x:v>PDF</x:v>
      </x:c>
      <x:c r="H788" s="20" t="str">
        <x:v>3 pages</x:v>
      </x:c>
      <x:c r="I788" s="35" t="str">
        <x:v>clean lender PDF</x:v>
      </x:c>
      <x:c r="J788" s="20" t="str">
        <x:v>P026</x:v>
      </x:c>
      <x:c r="K788" s="20" t="str"/>
      <x:c r="L788" s="20" t="str"/>
      <x:c r="M788" s="20" t="str">
        <x:v>FIN-01491</x:v>
      </x:c>
      <x:c r="N788" s="35" t="str">
        <x:v>loan; due date; payment; principal; interest; escrow; ending principal balance</x:v>
      </x:c>
      <x:c r="O788" s="35" t="str">
        <x:v>principal/interest changes monthly</x:v>
      </x:c>
      <x:c r="P788" s="35" t="str">
        <x:v>Verify or enter a different loan payment manually from the other client.</x:v>
      </x:c>
      <x:c r="Q788" s="35" t="str">
        <x:v>Synthetic QA only; no real people, accounts, signatures, or properties</x:v>
      </x:c>
    </x:row>
    <x:row r="789">
      <x:c r="A789" s="20" t="str">
        <x:v>SCN-0786</x:v>
      </x:c>
      <x:c r="B789" s="23" t="n">
        <x:v>46741</x:v>
      </x:c>
      <x:c r="C789" s="20" t="str">
        <x:v>scn-0786-loan-payment-ln028-202712.pdf</x:v>
      </x:c>
      <x:c r="D789" s="20" t="str">
        <x:v>Monthly mortgage statement</x:v>
      </x:c>
      <x:c r="E789" s="20" t="str">
        <x:v>Loan payment / Property document</x:v>
      </x:c>
      <x:c r="F789" s="35" t="str">
        <x:v>Attach and match to existing loan; probe typed extraction of principal/interest</x:v>
      </x:c>
      <x:c r="G789" s="20" t="str">
        <x:v>PDF</x:v>
      </x:c>
      <x:c r="H789" s="20" t="str">
        <x:v>3 pages</x:v>
      </x:c>
      <x:c r="I789" s="35" t="str">
        <x:v>clean lender PDF</x:v>
      </x:c>
      <x:c r="J789" s="20" t="str">
        <x:v>P028</x:v>
      </x:c>
      <x:c r="K789" s="20" t="str"/>
      <x:c r="L789" s="20" t="str"/>
      <x:c r="M789" s="20" t="str">
        <x:v>FIN-01492</x:v>
      </x:c>
      <x:c r="N789" s="35" t="str">
        <x:v>loan; due date; payment; principal; interest; escrow; ending principal balance</x:v>
      </x:c>
      <x:c r="O789" s="35" t="str">
        <x:v>principal/interest changes monthly</x:v>
      </x:c>
      <x:c r="P789" s="35" t="str">
        <x:v>Verify or enter a different loan payment manually from the other client.</x:v>
      </x:c>
      <x:c r="Q789" s="35" t="str">
        <x:v>Synthetic QA only; no real people, accounts, signatures, or properties</x:v>
      </x:c>
    </x:row>
    <x:row r="790">
      <x:c r="A790" s="20" t="str">
        <x:v>SCN-0787</x:v>
      </x:c>
      <x:c r="B790" s="23" t="n">
        <x:v>46741</x:v>
      </x:c>
      <x:c r="C790" s="20" t="str">
        <x:v>scn-0787-loan-payment-ln029-202712.pdf</x:v>
      </x:c>
      <x:c r="D790" s="20" t="str">
        <x:v>Monthly mortgage statement</x:v>
      </x:c>
      <x:c r="E790" s="20" t="str">
        <x:v>Loan payment / Property document</x:v>
      </x:c>
      <x:c r="F790" s="35" t="str">
        <x:v>Attach and match to existing loan; probe typed extraction of principal/interest</x:v>
      </x:c>
      <x:c r="G790" s="20" t="str">
        <x:v>PDF</x:v>
      </x:c>
      <x:c r="H790" s="20" t="str">
        <x:v>3 pages</x:v>
      </x:c>
      <x:c r="I790" s="35" t="str">
        <x:v>clean lender PDF</x:v>
      </x:c>
      <x:c r="J790" s="20" t="str">
        <x:v>P029</x:v>
      </x:c>
      <x:c r="K790" s="20" t="str"/>
      <x:c r="L790" s="20" t="str"/>
      <x:c r="M790" s="20" t="str">
        <x:v>FIN-01493</x:v>
      </x:c>
      <x:c r="N790" s="35" t="str">
        <x:v>loan; due date; payment; principal; interest; escrow; ending principal balance</x:v>
      </x:c>
      <x:c r="O790" s="35" t="str">
        <x:v>principal/interest changes monthly</x:v>
      </x:c>
      <x:c r="P790" s="35" t="str">
        <x:v>Verify or enter a different loan payment manually from the other client.</x:v>
      </x:c>
      <x:c r="Q790" s="35" t="str">
        <x:v>Synthetic QA only; no real people, accounts, signatures, or properties</x:v>
      </x:c>
    </x:row>
    <x:row r="791">
      <x:c r="A791" s="20" t="str">
        <x:v>SCN-0788</x:v>
      </x:c>
      <x:c r="B791" s="23" t="n">
        <x:v>46752</x:v>
      </x:c>
      <x:c r="C791" s="20" t="str">
        <x:v>scn-0788-bank-statement-2027-12.pdf</x:v>
      </x:c>
      <x:c r="D791" s="20" t="str">
        <x:v>Operating bank statement</x:v>
      </x:c>
      <x:c r="E791" s="20" t="str">
        <x:v>Banking import</x:v>
      </x:c>
      <x:c r="F791" s="35" t="str">
        <x:v>Bank statement/import candidate; manually import structured transactions if PDF scan is unsupported</x:v>
      </x:c>
      <x:c r="G791" s="20" t="str">
        <x:v>PDF</x:v>
      </x:c>
      <x:c r="H791" s="20" t="str">
        <x:v>8-12 pages</x:v>
      </x:c>
      <x:c r="I791" s="35" t="str">
        <x:v>clean bank PDF with synthetic account ending 4242</x:v>
      </x:c>
      <x:c r="J791" s="20" t="str"/>
      <x:c r="K791" s="20" t="str"/>
      <x:c r="L791" s="20" t="str"/>
      <x:c r="M791" s="20" t="str"/>
      <x:c r="N791" s="35" t="str">
        <x:v>statement period; opening balance; deposits; withdrawals; fees; ending balance; transaction references</x:v>
      </x:c>
      <x:c r="O791" s="35" t="str">
        <x:v>one pending item in March and one duplicate feed row in September</x:v>
      </x:c>
      <x:c r="P791" s="35" t="str">
        <x:v>Use Banking review/match on web and mobile; manually enter one unmatched bank fee.</x:v>
      </x:c>
      <x:c r="Q791" s="35" t="str">
        <x:v>Synthetic QA only; no real people, accounts, signatures, or properties</x:v>
      </x:c>
    </x:row>
    <x:row r="792">
      <x:c r="A792" s="20" t="str">
        <x:v>SCN-0789</x:v>
      </x:c>
      <x:c r="B792" s="23" t="n">
        <x:v>46405</x:v>
      </x:c>
      <x:c r="C792" s="20" t="str">
        <x:v>scn-0789-expense-20270118-2001.jpg</x:v>
      </x:c>
      <x:c r="D792" s="20" t="str">
        <x:v>Vendor invoice / receipt</x:v>
      </x:c>
      <x:c r="E792" s="20" t="str">
        <x:v>Expense</x:v>
      </x:c>
      <x:c r="F792" s="35" t="str">
        <x:v>Direct scan draft with property/unit/work-order context</x:v>
      </x:c>
      <x:c r="G792" s="20" t="str">
        <x:v>Camera JPEG</x:v>
      </x:c>
      <x:c r="H792" s="20" t="str">
        <x:v>1-3 pages</x:v>
      </x:c>
      <x:c r="I792" s="35" t="str">
        <x:v>clean emailed invoice</x:v>
      </x:c>
      <x:c r="J792" s="20" t="str">
        <x:v>P001</x:v>
      </x:c>
      <x:c r="K792" s="20" t="str"/>
      <x:c r="L792" s="20" t="str"/>
      <x:c r="M792" s="20" t="str">
        <x:v>FIN-01500</x:v>
      </x:c>
      <x:c r="N792" s="35" t="str">
        <x:v>vendor; invoice number; date; subtotal; tax; total; category; property; unit; line items; payment method</x:v>
      </x:c>
      <x:c r="O792" s="35" t="str"/>
      <x:c r="P792" s="35" t="str">
        <x:v>Create a different expense of the same category through the equivalent manual form on the other client.</x:v>
      </x:c>
      <x:c r="Q792" s="35" t="str">
        <x:v>Synthetic QA only; no real people, accounts, signatures, or properties</x:v>
      </x:c>
    </x:row>
    <x:row r="793">
      <x:c r="A793" s="20" t="str">
        <x:v>SCN-0790</x:v>
      </x:c>
      <x:c r="B793" s="23" t="n">
        <x:v>46474</x:v>
      </x:c>
      <x:c r="C793" s="20" t="str">
        <x:v>scn-0790-expense-20270328-3101.pdf</x:v>
      </x:c>
      <x:c r="D793" s="20" t="str">
        <x:v>Vendor invoice / receipt</x:v>
      </x:c>
      <x:c r="E793" s="20" t="str">
        <x:v>Expense</x:v>
      </x:c>
      <x:c r="F793" s="35" t="str">
        <x:v>Direct scan draft with property/unit/work-order context</x:v>
      </x:c>
      <x:c r="G793" s="20" t="str">
        <x:v>PDF</x:v>
      </x:c>
      <x:c r="H793" s="20" t="str">
        <x:v>1-3 pages</x:v>
      </x:c>
      <x:c r="I793" s="35" t="str">
        <x:v>phone photo with shadow</x:v>
      </x:c>
      <x:c r="J793" s="20" t="str">
        <x:v>P001</x:v>
      </x:c>
      <x:c r="K793" s="20" t="str"/>
      <x:c r="L793" s="20" t="str"/>
      <x:c r="M793" s="20" t="str">
        <x:v>FIN-01501</x:v>
      </x:c>
      <x:c r="N793" s="35" t="str">
        <x:v>vendor; invoice number; date; subtotal; tax; total; category; property; unit; line items; payment method</x:v>
      </x:c>
      <x:c r="O793" s="35" t="str"/>
      <x:c r="P793" s="35" t="str">
        <x:v>Create a different expense of the same category through the equivalent manual form on the other client.</x:v>
      </x:c>
      <x:c r="Q793" s="35" t="str">
        <x:v>Synthetic QA only; no real people, accounts, signatures, or properties</x:v>
      </x:c>
    </x:row>
    <x:row r="794">
      <x:c r="A794" s="20" t="str">
        <x:v>SCN-0791</x:v>
      </x:c>
      <x:c r="B794" s="23" t="n">
        <x:v>46566</x:v>
      </x:c>
      <x:c r="C794" s="20" t="str">
        <x:v>scn-0791-expense-20270628-3201.jpg</x:v>
      </x:c>
      <x:c r="D794" s="20" t="str">
        <x:v>Vendor invoice / receipt</x:v>
      </x:c>
      <x:c r="E794" s="20" t="str">
        <x:v>Expense</x:v>
      </x:c>
      <x:c r="F794" s="35" t="str">
        <x:v>Direct scan draft with property/unit/work-order context</x:v>
      </x:c>
      <x:c r="G794" s="20" t="str">
        <x:v>Camera JPEG</x:v>
      </x:c>
      <x:c r="H794" s="20" t="str">
        <x:v>1-3 pages</x:v>
      </x:c>
      <x:c r="I794" s="35" t="str">
        <x:v>clean emailed invoice</x:v>
      </x:c>
      <x:c r="J794" s="20" t="str">
        <x:v>P001</x:v>
      </x:c>
      <x:c r="K794" s="20" t="str"/>
      <x:c r="L794" s="20" t="str"/>
      <x:c r="M794" s="20" t="str">
        <x:v>FIN-01502</x:v>
      </x:c>
      <x:c r="N794" s="35" t="str">
        <x:v>vendor; invoice number; date; subtotal; tax; total; category; property; unit; line items; payment method</x:v>
      </x:c>
      <x:c r="O794" s="35" t="str"/>
      <x:c r="P794" s="35" t="str">
        <x:v>Create a different expense of the same category through the equivalent manual form on the other client.</x:v>
      </x:c>
      <x:c r="Q794" s="35" t="str">
        <x:v>Synthetic QA only; no real people, accounts, signatures, or properties</x:v>
      </x:c>
    </x:row>
    <x:row r="795">
      <x:c r="A795" s="20" t="str">
        <x:v>SCN-0792</x:v>
      </x:c>
      <x:c r="B795" s="23" t="n">
        <x:v>46658</x:v>
      </x:c>
      <x:c r="C795" s="20" t="str">
        <x:v>scn-0792-expense-20270928-3301.pdf</x:v>
      </x:c>
      <x:c r="D795" s="20" t="str">
        <x:v>Vendor invoice / receipt</x:v>
      </x:c>
      <x:c r="E795" s="20" t="str">
        <x:v>Expense</x:v>
      </x:c>
      <x:c r="F795" s="35" t="str">
        <x:v>Direct scan draft with property/unit/work-order context</x:v>
      </x:c>
      <x:c r="G795" s="20" t="str">
        <x:v>PDF</x:v>
      </x:c>
      <x:c r="H795" s="20" t="str">
        <x:v>1-3 pages</x:v>
      </x:c>
      <x:c r="I795" s="35" t="str">
        <x:v>crumpled thermal receipt</x:v>
      </x:c>
      <x:c r="J795" s="20" t="str">
        <x:v>P001</x:v>
      </x:c>
      <x:c r="K795" s="20" t="str"/>
      <x:c r="L795" s="20" t="str"/>
      <x:c r="M795" s="20" t="str">
        <x:v>FIN-01503</x:v>
      </x:c>
      <x:c r="N795" s="35" t="str">
        <x:v>vendor; invoice number; date; subtotal; tax; total; category; property; unit; line items; payment method</x:v>
      </x:c>
      <x:c r="O795" s="35" t="str"/>
      <x:c r="P795" s="35" t="str">
        <x:v>Create a different expense of the same category through the equivalent manual form on the other client.</x:v>
      </x:c>
      <x:c r="Q795" s="35" t="str">
        <x:v>Synthetic QA only; no real people, accounts, signatures, or properties</x:v>
      </x:c>
    </x:row>
    <x:row r="796">
      <x:c r="A796" s="20" t="str">
        <x:v>SCN-0793</x:v>
      </x:c>
      <x:c r="B796" s="23" t="n">
        <x:v>46749</x:v>
      </x:c>
      <x:c r="C796" s="20" t="str">
        <x:v>scn-0793-expense-20271228-3401.pdf</x:v>
      </x:c>
      <x:c r="D796" s="20" t="str">
        <x:v>Vendor invoice / receipt</x:v>
      </x:c>
      <x:c r="E796" s="20" t="str">
        <x:v>Expense</x:v>
      </x:c>
      <x:c r="F796" s="35" t="str">
        <x:v>Direct scan draft with property/unit/work-order context</x:v>
      </x:c>
      <x:c r="G796" s="20" t="str">
        <x:v>PDF</x:v>
      </x:c>
      <x:c r="H796" s="20" t="str">
        <x:v>1-3 pages</x:v>
      </x:c>
      <x:c r="I796" s="35" t="str">
        <x:v>phone photo with shadow</x:v>
      </x:c>
      <x:c r="J796" s="20" t="str">
        <x:v>P001</x:v>
      </x:c>
      <x:c r="K796" s="20" t="str"/>
      <x:c r="L796" s="20" t="str"/>
      <x:c r="M796" s="20" t="str">
        <x:v>FIN-01504</x:v>
      </x:c>
      <x:c r="N796" s="35" t="str">
        <x:v>vendor; invoice number; date; subtotal; tax; total; category; property; unit; line items; payment method</x:v>
      </x:c>
      <x:c r="O796" s="35" t="str"/>
      <x:c r="P796" s="35" t="str">
        <x:v>Create a different expense of the same category through the equivalent manual form on the other client.</x:v>
      </x:c>
      <x:c r="Q796" s="35" t="str">
        <x:v>Synthetic QA only; no real people, accounts, signatures, or properties</x:v>
      </x:c>
    </x:row>
    <x:row r="797">
      <x:c r="A797" s="20" t="str">
        <x:v>SCN-0794</x:v>
      </x:c>
      <x:c r="B797" s="23" t="n">
        <x:v>46436</x:v>
      </x:c>
      <x:c r="C797" s="20" t="str">
        <x:v>scn-0794-expense-20270218-2002.pdf</x:v>
      </x:c>
      <x:c r="D797" s="20" t="str">
        <x:v>Vendor invoice / receipt</x:v>
      </x:c>
      <x:c r="E797" s="20" t="str">
        <x:v>Expense</x:v>
      </x:c>
      <x:c r="F797" s="35" t="str">
        <x:v>Direct scan draft with property/unit/work-order context</x:v>
      </x:c>
      <x:c r="G797" s="20" t="str">
        <x:v>PDF</x:v>
      </x:c>
      <x:c r="H797" s="20" t="str">
        <x:v>1-3 pages</x:v>
      </x:c>
      <x:c r="I797" s="35" t="str">
        <x:v>crumpled thermal receipt</x:v>
      </x:c>
      <x:c r="J797" s="20" t="str">
        <x:v>P002</x:v>
      </x:c>
      <x:c r="K797" s="20" t="str"/>
      <x:c r="L797" s="20" t="str"/>
      <x:c r="M797" s="20" t="str">
        <x:v>FIN-01505</x:v>
      </x:c>
      <x:c r="N797" s="35" t="str">
        <x:v>vendor; invoice number; date; subtotal; tax; total; category; property; unit; line items; payment method</x:v>
      </x:c>
      <x:c r="O797" s="35" t="str"/>
      <x:c r="P797" s="35" t="str">
        <x:v>Create a different expense of the same category through the equivalent manual form on the other client.</x:v>
      </x:c>
      <x:c r="Q797" s="35" t="str">
        <x:v>Synthetic QA only; no real people, accounts, signatures, or properties</x:v>
      </x:c>
    </x:row>
    <x:row r="798">
      <x:c r="A798" s="20" t="str">
        <x:v>SCN-0795</x:v>
      </x:c>
      <x:c r="B798" s="23" t="n">
        <x:v>46474</x:v>
      </x:c>
      <x:c r="C798" s="20" t="str">
        <x:v>scn-0795-expense-20270328-3102.jpg</x:v>
      </x:c>
      <x:c r="D798" s="20" t="str">
        <x:v>Vendor invoice / receipt</x:v>
      </x:c>
      <x:c r="E798" s="20" t="str">
        <x:v>Expense</x:v>
      </x:c>
      <x:c r="F798" s="35" t="str">
        <x:v>Direct scan draft with property/unit/work-order context</x:v>
      </x:c>
      <x:c r="G798" s="20" t="str">
        <x:v>Camera JPEG</x:v>
      </x:c>
      <x:c r="H798" s="20" t="str">
        <x:v>1-3 pages</x:v>
      </x:c>
      <x:c r="I798" s="35" t="str">
        <x:v>clean emailed invoice</x:v>
      </x:c>
      <x:c r="J798" s="20" t="str">
        <x:v>P002</x:v>
      </x:c>
      <x:c r="K798" s="20" t="str"/>
      <x:c r="L798" s="20" t="str"/>
      <x:c r="M798" s="20" t="str">
        <x:v>FIN-01506</x:v>
      </x:c>
      <x:c r="N798" s="35" t="str">
        <x:v>vendor; invoice number; date; subtotal; tax; total; category; property; unit; line items; payment method</x:v>
      </x:c>
      <x:c r="O798" s="35" t="str"/>
      <x:c r="P798" s="35" t="str">
        <x:v>Create a different expense of the same category through the equivalent manual form on the other client.</x:v>
      </x:c>
      <x:c r="Q798" s="35" t="str">
        <x:v>Synthetic QA only; no real people, accounts, signatures, or properties</x:v>
      </x:c>
    </x:row>
    <x:row r="799">
      <x:c r="A799" s="20" t="str">
        <x:v>SCN-0796</x:v>
      </x:c>
      <x:c r="B799" s="23" t="n">
        <x:v>46566</x:v>
      </x:c>
      <x:c r="C799" s="20" t="str">
        <x:v>scn-0796-expense-20270628-3202.pdf</x:v>
      </x:c>
      <x:c r="D799" s="20" t="str">
        <x:v>Vendor invoice / receipt</x:v>
      </x:c>
      <x:c r="E799" s="20" t="str">
        <x:v>Expense</x:v>
      </x:c>
      <x:c r="F799" s="35" t="str">
        <x:v>Direct scan draft with property/unit/work-order context</x:v>
      </x:c>
      <x:c r="G799" s="20" t="str">
        <x:v>PDF</x:v>
      </x:c>
      <x:c r="H799" s="20" t="str">
        <x:v>1-3 pages</x:v>
      </x:c>
      <x:c r="I799" s="35" t="str">
        <x:v>crumpled thermal receipt</x:v>
      </x:c>
      <x:c r="J799" s="20" t="str">
        <x:v>P002</x:v>
      </x:c>
      <x:c r="K799" s="20" t="str"/>
      <x:c r="L799" s="20" t="str"/>
      <x:c r="M799" s="20" t="str">
        <x:v>FIN-01507</x:v>
      </x:c>
      <x:c r="N799" s="35" t="str">
        <x:v>vendor; invoice number; date; subtotal; tax; total; category; property; unit; line items; payment method</x:v>
      </x:c>
      <x:c r="O799" s="35" t="str"/>
      <x:c r="P799" s="35" t="str">
        <x:v>Create a different expense of the same category through the equivalent manual form on the other client.</x:v>
      </x:c>
      <x:c r="Q799" s="35" t="str">
        <x:v>Synthetic QA only; no real people, accounts, signatures, or properties</x:v>
      </x:c>
    </x:row>
    <x:row r="800">
      <x:c r="A800" s="20" t="str">
        <x:v>SCN-0797</x:v>
      </x:c>
      <x:c r="B800" s="23" t="n">
        <x:v>46658</x:v>
      </x:c>
      <x:c r="C800" s="20" t="str">
        <x:v>scn-0797-expense-20270928-3302.pdf</x:v>
      </x:c>
      <x:c r="D800" s="20" t="str">
        <x:v>Vendor invoice / receipt</x:v>
      </x:c>
      <x:c r="E800" s="20" t="str">
        <x:v>Expense</x:v>
      </x:c>
      <x:c r="F800" s="35" t="str">
        <x:v>Direct scan draft with property/unit/work-order context</x:v>
      </x:c>
      <x:c r="G800" s="20" t="str">
        <x:v>PDF</x:v>
      </x:c>
      <x:c r="H800" s="20" t="str">
        <x:v>1-3 pages</x:v>
      </x:c>
      <x:c r="I800" s="35" t="str">
        <x:v>phone photo with shadow</x:v>
      </x:c>
      <x:c r="J800" s="20" t="str">
        <x:v>P002</x:v>
      </x:c>
      <x:c r="K800" s="20" t="str"/>
      <x:c r="L800" s="20" t="str"/>
      <x:c r="M800" s="20" t="str">
        <x:v>FIN-01508</x:v>
      </x:c>
      <x:c r="N800" s="35" t="str">
        <x:v>vendor; invoice number; date; subtotal; tax; total; category; property; unit; line items; payment method</x:v>
      </x:c>
      <x:c r="O800" s="35" t="str"/>
      <x:c r="P800" s="35" t="str">
        <x:v>Create a different expense of the same category through the equivalent manual form on the other client.</x:v>
      </x:c>
      <x:c r="Q800" s="35" t="str">
        <x:v>Synthetic QA only; no real people, accounts, signatures, or properties</x:v>
      </x:c>
    </x:row>
    <x:row r="801">
      <x:c r="A801" s="20" t="str">
        <x:v>SCN-0798</x:v>
      </x:c>
      <x:c r="B801" s="23" t="n">
        <x:v>46749</x:v>
      </x:c>
      <x:c r="C801" s="20" t="str">
        <x:v>scn-0798-expense-20271228-3402.jpg</x:v>
      </x:c>
      <x:c r="D801" s="20" t="str">
        <x:v>Vendor invoice / receipt</x:v>
      </x:c>
      <x:c r="E801" s="20" t="str">
        <x:v>Expense</x:v>
      </x:c>
      <x:c r="F801" s="35" t="str">
        <x:v>Direct scan draft with property/unit/work-order context</x:v>
      </x:c>
      <x:c r="G801" s="20" t="str">
        <x:v>Camera JPEG</x:v>
      </x:c>
      <x:c r="H801" s="20" t="str">
        <x:v>1-3 pages</x:v>
      </x:c>
      <x:c r="I801" s="35" t="str">
        <x:v>clean emailed invoice</x:v>
      </x:c>
      <x:c r="J801" s="20" t="str">
        <x:v>P002</x:v>
      </x:c>
      <x:c r="K801" s="20" t="str"/>
      <x:c r="L801" s="20" t="str"/>
      <x:c r="M801" s="20" t="str">
        <x:v>FIN-01509</x:v>
      </x:c>
      <x:c r="N801" s="35" t="str">
        <x:v>vendor; invoice number; date; subtotal; tax; total; category; property; unit; line items; payment method</x:v>
      </x:c>
      <x:c r="O801" s="35" t="str"/>
      <x:c r="P801" s="35" t="str">
        <x:v>Create a different expense of the same category through the equivalent manual form on the other client.</x:v>
      </x:c>
      <x:c r="Q801" s="35" t="str">
        <x:v>Synthetic QA only; no real people, accounts, signatures, or properties</x:v>
      </x:c>
    </x:row>
    <x:row r="802">
      <x:c r="A802" s="20" t="str">
        <x:v>SCN-0799</x:v>
      </x:c>
      <x:c r="B802" s="23" t="n">
        <x:v>46464</x:v>
      </x:c>
      <x:c r="C802" s="20" t="str">
        <x:v>scn-0799-expense-20270318-2003.pdf</x:v>
      </x:c>
      <x:c r="D802" s="20" t="str">
        <x:v>Vendor invoice / receipt</x:v>
      </x:c>
      <x:c r="E802" s="20" t="str">
        <x:v>Expense</x:v>
      </x:c>
      <x:c r="F802" s="35" t="str">
        <x:v>Direct scan draft with property/unit/work-order context</x:v>
      </x:c>
      <x:c r="G802" s="20" t="str">
        <x:v>PDF</x:v>
      </x:c>
      <x:c r="H802" s="20" t="str">
        <x:v>1-3 pages</x:v>
      </x:c>
      <x:c r="I802" s="35" t="str">
        <x:v>phone photo with shadow</x:v>
      </x:c>
      <x:c r="J802" s="20" t="str">
        <x:v>P003</x:v>
      </x:c>
      <x:c r="K802" s="20" t="str"/>
      <x:c r="L802" s="20" t="str"/>
      <x:c r="M802" s="20" t="str">
        <x:v>FIN-01510</x:v>
      </x:c>
      <x:c r="N802" s="35" t="str">
        <x:v>vendor; invoice number; date; subtotal; tax; total; category; property; unit; line items; payment method</x:v>
      </x:c>
      <x:c r="O802" s="35" t="str"/>
      <x:c r="P802" s="35" t="str">
        <x:v>Create a different expense of the same category through the equivalent manual form on the other client.</x:v>
      </x:c>
      <x:c r="Q802" s="35" t="str">
        <x:v>Synthetic QA only; no real people, accounts, signatures, or properties</x:v>
      </x:c>
    </x:row>
    <x:row r="803">
      <x:c r="A803" s="20" t="str">
        <x:v>SCN-0800</x:v>
      </x:c>
      <x:c r="B803" s="23" t="n">
        <x:v>46474</x:v>
      </x:c>
      <x:c r="C803" s="20" t="str">
        <x:v>scn-0800-expense-20270328-3103.pdf</x:v>
      </x:c>
      <x:c r="D803" s="20" t="str">
        <x:v>Vendor invoice / receipt</x:v>
      </x:c>
      <x:c r="E803" s="20" t="str">
        <x:v>Expense</x:v>
      </x:c>
      <x:c r="F803" s="35" t="str">
        <x:v>Direct scan draft with property/unit/work-order context</x:v>
      </x:c>
      <x:c r="G803" s="20" t="str">
        <x:v>PDF</x:v>
      </x:c>
      <x:c r="H803" s="20" t="str">
        <x:v>1-3 pages</x:v>
      </x:c>
      <x:c r="I803" s="35" t="str">
        <x:v>crumpled thermal receipt</x:v>
      </x:c>
      <x:c r="J803" s="20" t="str">
        <x:v>P003</x:v>
      </x:c>
      <x:c r="K803" s="20" t="str"/>
      <x:c r="L803" s="20" t="str"/>
      <x:c r="M803" s="20" t="str">
        <x:v>FIN-01511</x:v>
      </x:c>
      <x:c r="N803" s="35" t="str">
        <x:v>vendor; invoice number; date; subtotal; tax; total; category; property; unit; line items; payment method</x:v>
      </x:c>
      <x:c r="O803" s="35" t="str"/>
      <x:c r="P803" s="35" t="str">
        <x:v>Create a different expense of the same category through the equivalent manual form on the other client.</x:v>
      </x:c>
      <x:c r="Q803" s="35" t="str">
        <x:v>Synthetic QA only; no real people, accounts, signatures, or properties</x:v>
      </x:c>
    </x:row>
    <x:row r="804">
      <x:c r="A804" s="20" t="str">
        <x:v>SCN-0801</x:v>
      </x:c>
      <x:c r="B804" s="23" t="n">
        <x:v>46566</x:v>
      </x:c>
      <x:c r="C804" s="20" t="str">
        <x:v>scn-0801-expense-20270628-3203.pdf</x:v>
      </x:c>
      <x:c r="D804" s="20" t="str">
        <x:v>Vendor invoice / receipt</x:v>
      </x:c>
      <x:c r="E804" s="20" t="str">
        <x:v>Expense</x:v>
      </x:c>
      <x:c r="F804" s="35" t="str">
        <x:v>Direct scan draft with property/unit/work-order context</x:v>
      </x:c>
      <x:c r="G804" s="20" t="str">
        <x:v>PDF</x:v>
      </x:c>
      <x:c r="H804" s="20" t="str">
        <x:v>1-3 pages</x:v>
      </x:c>
      <x:c r="I804" s="35" t="str">
        <x:v>phone photo with shadow</x:v>
      </x:c>
      <x:c r="J804" s="20" t="str">
        <x:v>P003</x:v>
      </x:c>
      <x:c r="K804" s="20" t="str"/>
      <x:c r="L804" s="20" t="str"/>
      <x:c r="M804" s="20" t="str">
        <x:v>FIN-01512</x:v>
      </x:c>
      <x:c r="N804" s="35" t="str">
        <x:v>vendor; invoice number; date; subtotal; tax; total; category; property; unit; line items; payment method</x:v>
      </x:c>
      <x:c r="O804" s="35" t="str"/>
      <x:c r="P804" s="35" t="str">
        <x:v>Create a different expense of the same category through the equivalent manual form on the other client.</x:v>
      </x:c>
      <x:c r="Q804" s="35" t="str">
        <x:v>Synthetic QA only; no real people, accounts, signatures, or properties</x:v>
      </x:c>
    </x:row>
    <x:row r="805">
      <x:c r="A805" s="20" t="str">
        <x:v>SCN-0802</x:v>
      </x:c>
      <x:c r="B805" s="23" t="n">
        <x:v>46658</x:v>
      </x:c>
      <x:c r="C805" s="20" t="str">
        <x:v>scn-0802-expense-20270928-3303.jpg</x:v>
      </x:c>
      <x:c r="D805" s="20" t="str">
        <x:v>Vendor invoice / receipt</x:v>
      </x:c>
      <x:c r="E805" s="20" t="str">
        <x:v>Expense</x:v>
      </x:c>
      <x:c r="F805" s="35" t="str">
        <x:v>Direct scan draft with property/unit/work-order context</x:v>
      </x:c>
      <x:c r="G805" s="20" t="str">
        <x:v>Camera JPEG</x:v>
      </x:c>
      <x:c r="H805" s="20" t="str">
        <x:v>1-3 pages</x:v>
      </x:c>
      <x:c r="I805" s="35" t="str">
        <x:v>clean emailed invoice</x:v>
      </x:c>
      <x:c r="J805" s="20" t="str">
        <x:v>P003</x:v>
      </x:c>
      <x:c r="K805" s="20" t="str"/>
      <x:c r="L805" s="20" t="str"/>
      <x:c r="M805" s="20" t="str">
        <x:v>FIN-01513</x:v>
      </x:c>
      <x:c r="N805" s="35" t="str">
        <x:v>vendor; invoice number; date; subtotal; tax; total; category; property; unit; line items; payment method</x:v>
      </x:c>
      <x:c r="O805" s="35" t="str"/>
      <x:c r="P805" s="35" t="str">
        <x:v>Create a different expense of the same category through the equivalent manual form on the other client.</x:v>
      </x:c>
      <x:c r="Q805" s="35" t="str">
        <x:v>Synthetic QA only; no real people, accounts, signatures, or properties</x:v>
      </x:c>
    </x:row>
    <x:row r="806">
      <x:c r="A806" s="20" t="str">
        <x:v>SCN-0803</x:v>
      </x:c>
      <x:c r="B806" s="23" t="n">
        <x:v>46749</x:v>
      </x:c>
      <x:c r="C806" s="20" t="str">
        <x:v>scn-0803-expense-20271228-3403.pdf</x:v>
      </x:c>
      <x:c r="D806" s="20" t="str">
        <x:v>Vendor invoice / receipt</x:v>
      </x:c>
      <x:c r="E806" s="20" t="str">
        <x:v>Expense</x:v>
      </x:c>
      <x:c r="F806" s="35" t="str">
        <x:v>Direct scan draft with property/unit/work-order context</x:v>
      </x:c>
      <x:c r="G806" s="20" t="str">
        <x:v>PDF</x:v>
      </x:c>
      <x:c r="H806" s="20" t="str">
        <x:v>1-3 pages</x:v>
      </x:c>
      <x:c r="I806" s="35" t="str">
        <x:v>crumpled thermal receipt</x:v>
      </x:c>
      <x:c r="J806" s="20" t="str">
        <x:v>P003</x:v>
      </x:c>
      <x:c r="K806" s="20" t="str"/>
      <x:c r="L806" s="20" t="str"/>
      <x:c r="M806" s="20" t="str">
        <x:v>FIN-01514</x:v>
      </x:c>
      <x:c r="N806" s="35" t="str">
        <x:v>vendor; invoice number; date; subtotal; tax; total; category; property; unit; line items; payment method</x:v>
      </x:c>
      <x:c r="O806" s="35" t="str"/>
      <x:c r="P806" s="35" t="str">
        <x:v>Create a different expense of the same category through the equivalent manual form on the other client.</x:v>
      </x:c>
      <x:c r="Q806" s="35" t="str">
        <x:v>Synthetic QA only; no real people, accounts, signatures, or properties</x:v>
      </x:c>
    </x:row>
    <x:row r="807">
      <x:c r="A807" s="20" t="str">
        <x:v>SCN-0804</x:v>
      </x:c>
      <x:c r="B807" s="23" t="n">
        <x:v>46495</x:v>
      </x:c>
      <x:c r="C807" s="20" t="str">
        <x:v>scn-0804-expense-20270418-2004.jpg</x:v>
      </x:c>
      <x:c r="D807" s="20" t="str">
        <x:v>Vendor invoice / receipt</x:v>
      </x:c>
      <x:c r="E807" s="20" t="str">
        <x:v>Expense</x:v>
      </x:c>
      <x:c r="F807" s="35" t="str">
        <x:v>Direct scan draft with property/unit/work-order context</x:v>
      </x:c>
      <x:c r="G807" s="20" t="str">
        <x:v>Camera JPEG</x:v>
      </x:c>
      <x:c r="H807" s="20" t="str">
        <x:v>1-3 pages</x:v>
      </x:c>
      <x:c r="I807" s="35" t="str">
        <x:v>clean emailed invoice</x:v>
      </x:c>
      <x:c r="J807" s="20" t="str">
        <x:v>P004</x:v>
      </x:c>
      <x:c r="K807" s="20" t="str"/>
      <x:c r="L807" s="20" t="str"/>
      <x:c r="M807" s="20" t="str">
        <x:v>FIN-01515</x:v>
      </x:c>
      <x:c r="N807" s="35" t="str">
        <x:v>vendor; invoice number; date; subtotal; tax; total; category; property; unit; line items; payment method</x:v>
      </x:c>
      <x:c r="O807" s="35" t="str"/>
      <x:c r="P807" s="35" t="str">
        <x:v>Create a different expense of the same category through the equivalent manual form on the other client.</x:v>
      </x:c>
      <x:c r="Q807" s="35" t="str">
        <x:v>Synthetic QA only; no real people, accounts, signatures, or properties</x:v>
      </x:c>
    </x:row>
    <x:row r="808">
      <x:c r="A808" s="20" t="str">
        <x:v>SCN-0805</x:v>
      </x:c>
      <x:c r="B808" s="23" t="n">
        <x:v>46474</x:v>
      </x:c>
      <x:c r="C808" s="20" t="str">
        <x:v>scn-0805-expense-20270328-3104.pdf</x:v>
      </x:c>
      <x:c r="D808" s="20" t="str">
        <x:v>Vendor invoice / receipt</x:v>
      </x:c>
      <x:c r="E808" s="20" t="str">
        <x:v>Expense</x:v>
      </x:c>
      <x:c r="F808" s="35" t="str">
        <x:v>Direct scan draft with property/unit/work-order context</x:v>
      </x:c>
      <x:c r="G808" s="20" t="str">
        <x:v>PDF</x:v>
      </x:c>
      <x:c r="H808" s="20" t="str">
        <x:v>1-3 pages</x:v>
      </x:c>
      <x:c r="I808" s="35" t="str">
        <x:v>phone photo with shadow</x:v>
      </x:c>
      <x:c r="J808" s="20" t="str">
        <x:v>P004</x:v>
      </x:c>
      <x:c r="K808" s="20" t="str"/>
      <x:c r="L808" s="20" t="str"/>
      <x:c r="M808" s="20" t="str">
        <x:v>FIN-01516</x:v>
      </x:c>
      <x:c r="N808" s="35" t="str">
        <x:v>vendor; invoice number; date; subtotal; tax; total; category; property; unit; line items; payment method</x:v>
      </x:c>
      <x:c r="O808" s="35" t="str"/>
      <x:c r="P808" s="35" t="str">
        <x:v>Create a different expense of the same category through the equivalent manual form on the other client.</x:v>
      </x:c>
      <x:c r="Q808" s="35" t="str">
        <x:v>Synthetic QA only; no real people, accounts, signatures, or properties</x:v>
      </x:c>
    </x:row>
    <x:row r="809">
      <x:c r="A809" s="20" t="str">
        <x:v>SCN-0806</x:v>
      </x:c>
      <x:c r="B809" s="23" t="n">
        <x:v>46566</x:v>
      </x:c>
      <x:c r="C809" s="20" t="str">
        <x:v>scn-0806-expense-20270628-3204.jpg</x:v>
      </x:c>
      <x:c r="D809" s="20" t="str">
        <x:v>Vendor invoice / receipt</x:v>
      </x:c>
      <x:c r="E809" s="20" t="str">
        <x:v>Expense</x:v>
      </x:c>
      <x:c r="F809" s="35" t="str">
        <x:v>Direct scan draft with property/unit/work-order context</x:v>
      </x:c>
      <x:c r="G809" s="20" t="str">
        <x:v>Camera JPEG</x:v>
      </x:c>
      <x:c r="H809" s="20" t="str">
        <x:v>1-3 pages</x:v>
      </x:c>
      <x:c r="I809" s="35" t="str">
        <x:v>clean emailed invoice</x:v>
      </x:c>
      <x:c r="J809" s="20" t="str">
        <x:v>P004</x:v>
      </x:c>
      <x:c r="K809" s="20" t="str"/>
      <x:c r="L809" s="20" t="str"/>
      <x:c r="M809" s="20" t="str">
        <x:v>FIN-01517</x:v>
      </x:c>
      <x:c r="N809" s="35" t="str">
        <x:v>vendor; invoice number; date; subtotal; tax; total; category; property; unit; line items; payment method</x:v>
      </x:c>
      <x:c r="O809" s="35" t="str"/>
      <x:c r="P809" s="35" t="str">
        <x:v>Create a different expense of the same category through the equivalent manual form on the other client.</x:v>
      </x:c>
      <x:c r="Q809" s="35" t="str">
        <x:v>Synthetic QA only; no real people, accounts, signatures, or properties</x:v>
      </x:c>
    </x:row>
    <x:row r="810">
      <x:c r="A810" s="20" t="str">
        <x:v>SCN-0807</x:v>
      </x:c>
      <x:c r="B810" s="23" t="n">
        <x:v>46658</x:v>
      </x:c>
      <x:c r="C810" s="20" t="str">
        <x:v>scn-0807-expense-20270928-3304.pdf</x:v>
      </x:c>
      <x:c r="D810" s="20" t="str">
        <x:v>Vendor invoice / receipt</x:v>
      </x:c>
      <x:c r="E810" s="20" t="str">
        <x:v>Expense</x:v>
      </x:c>
      <x:c r="F810" s="35" t="str">
        <x:v>Direct scan draft with property/unit/work-order context</x:v>
      </x:c>
      <x:c r="G810" s="20" t="str">
        <x:v>PDF</x:v>
      </x:c>
      <x:c r="H810" s="20" t="str">
        <x:v>1-3 pages</x:v>
      </x:c>
      <x:c r="I810" s="35" t="str">
        <x:v>crumpled thermal receipt</x:v>
      </x:c>
      <x:c r="J810" s="20" t="str">
        <x:v>P004</x:v>
      </x:c>
      <x:c r="K810" s="20" t="str"/>
      <x:c r="L810" s="20" t="str"/>
      <x:c r="M810" s="20" t="str">
        <x:v>FIN-01518</x:v>
      </x:c>
      <x:c r="N810" s="35" t="str">
        <x:v>vendor; invoice number; date; subtotal; tax; total; category; property; unit; line items; payment method</x:v>
      </x:c>
      <x:c r="O810" s="35" t="str"/>
      <x:c r="P810" s="35" t="str">
        <x:v>Create a different expense of the same category through the equivalent manual form on the other client.</x:v>
      </x:c>
      <x:c r="Q810" s="35" t="str">
        <x:v>Synthetic QA only; no real people, accounts, signatures, or properties</x:v>
      </x:c>
    </x:row>
    <x:row r="811">
      <x:c r="A811" s="20" t="str">
        <x:v>SCN-0808</x:v>
      </x:c>
      <x:c r="B811" s="23" t="n">
        <x:v>46749</x:v>
      </x:c>
      <x:c r="C811" s="20" t="str">
        <x:v>scn-0808-expense-20271228-3404.pdf</x:v>
      </x:c>
      <x:c r="D811" s="20" t="str">
        <x:v>Vendor invoice / receipt</x:v>
      </x:c>
      <x:c r="E811" s="20" t="str">
        <x:v>Expense</x:v>
      </x:c>
      <x:c r="F811" s="35" t="str">
        <x:v>Direct scan draft with property/unit/work-order context</x:v>
      </x:c>
      <x:c r="G811" s="20" t="str">
        <x:v>PDF</x:v>
      </x:c>
      <x:c r="H811" s="20" t="str">
        <x:v>1-3 pages</x:v>
      </x:c>
      <x:c r="I811" s="35" t="str">
        <x:v>phone photo with shadow</x:v>
      </x:c>
      <x:c r="J811" s="20" t="str">
        <x:v>P004</x:v>
      </x:c>
      <x:c r="K811" s="20" t="str"/>
      <x:c r="L811" s="20" t="str"/>
      <x:c r="M811" s="20" t="str">
        <x:v>FIN-01519</x:v>
      </x:c>
      <x:c r="N811" s="35" t="str">
        <x:v>vendor; invoice number; date; subtotal; tax; total; category; property; unit; line items; payment method</x:v>
      </x:c>
      <x:c r="O811" s="35" t="str"/>
      <x:c r="P811" s="35" t="str">
        <x:v>Create a different expense of the same category through the equivalent manual form on the other client.</x:v>
      </x:c>
      <x:c r="Q811" s="35" t="str">
        <x:v>Synthetic QA only; no real people, accounts, signatures, or properties</x:v>
      </x:c>
    </x:row>
    <x:row r="812">
      <x:c r="A812" s="20" t="str">
        <x:v>SCN-0809</x:v>
      </x:c>
      <x:c r="B812" s="23" t="n">
        <x:v>46556</x:v>
      </x:c>
      <x:c r="C812" s="20" t="str">
        <x:v>scn-0809-expense-20270618-2006.pdf</x:v>
      </x:c>
      <x:c r="D812" s="20" t="str">
        <x:v>Vendor invoice / receipt</x:v>
      </x:c>
      <x:c r="E812" s="20" t="str">
        <x:v>Expense</x:v>
      </x:c>
      <x:c r="F812" s="35" t="str">
        <x:v>Direct scan draft with property/unit/work-order context</x:v>
      </x:c>
      <x:c r="G812" s="20" t="str">
        <x:v>PDF</x:v>
      </x:c>
      <x:c r="H812" s="20" t="str">
        <x:v>1-3 pages</x:v>
      </x:c>
      <x:c r="I812" s="35" t="str">
        <x:v>phone photo with shadow</x:v>
      </x:c>
      <x:c r="J812" s="20" t="str">
        <x:v>P006</x:v>
      </x:c>
      <x:c r="K812" s="20" t="str"/>
      <x:c r="L812" s="20" t="str"/>
      <x:c r="M812" s="20" t="str">
        <x:v>FIN-01525</x:v>
      </x:c>
      <x:c r="N812" s="35" t="str">
        <x:v>vendor; invoice number; date; subtotal; tax; total; category; property; unit; line items; payment method</x:v>
      </x:c>
      <x:c r="O812" s="35" t="str">
        <x:v>split tax/line items; duplicate invoice number</x:v>
      </x:c>
      <x:c r="P812" s="35" t="str">
        <x:v>Create a different expense of the same category through the equivalent manual form on the other client.</x:v>
      </x:c>
      <x:c r="Q812" s="35" t="str">
        <x:v>Synthetic QA only; no real people, accounts, signatures, or properties</x:v>
      </x:c>
    </x:row>
    <x:row r="813">
      <x:c r="A813" s="20" t="str">
        <x:v>SCN-0810</x:v>
      </x:c>
      <x:c r="B813" s="23" t="n">
        <x:v>46474</x:v>
      </x:c>
      <x:c r="C813" s="20" t="str">
        <x:v>scn-0810-expense-20270328-3106.pdf</x:v>
      </x:c>
      <x:c r="D813" s="20" t="str">
        <x:v>Vendor invoice / receipt</x:v>
      </x:c>
      <x:c r="E813" s="20" t="str">
        <x:v>Expense</x:v>
      </x:c>
      <x:c r="F813" s="35" t="str">
        <x:v>Direct scan draft with property/unit/work-order context</x:v>
      </x:c>
      <x:c r="G813" s="20" t="str">
        <x:v>PDF</x:v>
      </x:c>
      <x:c r="H813" s="20" t="str">
        <x:v>1-3 pages</x:v>
      </x:c>
      <x:c r="I813" s="35" t="str">
        <x:v>crumpled thermal receipt</x:v>
      </x:c>
      <x:c r="J813" s="20" t="str">
        <x:v>P006</x:v>
      </x:c>
      <x:c r="K813" s="20" t="str"/>
      <x:c r="L813" s="20" t="str"/>
      <x:c r="M813" s="20" t="str">
        <x:v>FIN-01526</x:v>
      </x:c>
      <x:c r="N813" s="35" t="str">
        <x:v>vendor; invoice number; date; subtotal; tax; total; category; property; unit; line items; payment method</x:v>
      </x:c>
      <x:c r="O813" s="35" t="str"/>
      <x:c r="P813" s="35" t="str">
        <x:v>Create a different expense of the same category through the equivalent manual form on the other client.</x:v>
      </x:c>
      <x:c r="Q813" s="35" t="str">
        <x:v>Synthetic QA only; no real people, accounts, signatures, or properties</x:v>
      </x:c>
    </x:row>
    <x:row r="814">
      <x:c r="A814" s="20" t="str">
        <x:v>SCN-0811</x:v>
      </x:c>
      <x:c r="B814" s="23" t="n">
        <x:v>46566</x:v>
      </x:c>
      <x:c r="C814" s="20" t="str">
        <x:v>scn-0811-expense-20270628-3206.pdf</x:v>
      </x:c>
      <x:c r="D814" s="20" t="str">
        <x:v>Vendor invoice / receipt</x:v>
      </x:c>
      <x:c r="E814" s="20" t="str">
        <x:v>Expense</x:v>
      </x:c>
      <x:c r="F814" s="35" t="str">
        <x:v>Direct scan draft with property/unit/work-order context</x:v>
      </x:c>
      <x:c r="G814" s="20" t="str">
        <x:v>PDF</x:v>
      </x:c>
      <x:c r="H814" s="20" t="str">
        <x:v>1-3 pages</x:v>
      </x:c>
      <x:c r="I814" s="35" t="str">
        <x:v>phone photo with shadow</x:v>
      </x:c>
      <x:c r="J814" s="20" t="str">
        <x:v>P006</x:v>
      </x:c>
      <x:c r="K814" s="20" t="str"/>
      <x:c r="L814" s="20" t="str"/>
      <x:c r="M814" s="20" t="str">
        <x:v>FIN-01527</x:v>
      </x:c>
      <x:c r="N814" s="35" t="str">
        <x:v>vendor; invoice number; date; subtotal; tax; total; category; property; unit; line items; payment method</x:v>
      </x:c>
      <x:c r="O814" s="35" t="str"/>
      <x:c r="P814" s="35" t="str">
        <x:v>Create a different expense of the same category through the equivalent manual form on the other client.</x:v>
      </x:c>
      <x:c r="Q814" s="35" t="str">
        <x:v>Synthetic QA only; no real people, accounts, signatures, or properties</x:v>
      </x:c>
    </x:row>
    <x:row r="815">
      <x:c r="A815" s="20" t="str">
        <x:v>SCN-0812</x:v>
      </x:c>
      <x:c r="B815" s="23" t="n">
        <x:v>46658</x:v>
      </x:c>
      <x:c r="C815" s="20" t="str">
        <x:v>scn-0812-expense-20270928-3306.jpg</x:v>
      </x:c>
      <x:c r="D815" s="20" t="str">
        <x:v>Vendor invoice / receipt</x:v>
      </x:c>
      <x:c r="E815" s="20" t="str">
        <x:v>Expense</x:v>
      </x:c>
      <x:c r="F815" s="35" t="str">
        <x:v>Direct scan draft with property/unit/work-order context</x:v>
      </x:c>
      <x:c r="G815" s="20" t="str">
        <x:v>Camera JPEG</x:v>
      </x:c>
      <x:c r="H815" s="20" t="str">
        <x:v>1-3 pages</x:v>
      </x:c>
      <x:c r="I815" s="35" t="str">
        <x:v>clean emailed invoice</x:v>
      </x:c>
      <x:c r="J815" s="20" t="str">
        <x:v>P006</x:v>
      </x:c>
      <x:c r="K815" s="20" t="str"/>
      <x:c r="L815" s="20" t="str"/>
      <x:c r="M815" s="20" t="str">
        <x:v>FIN-01528</x:v>
      </x:c>
      <x:c r="N815" s="35" t="str">
        <x:v>vendor; invoice number; date; subtotal; tax; total; category; property; unit; line items; payment method</x:v>
      </x:c>
      <x:c r="O815" s="35" t="str"/>
      <x:c r="P815" s="35" t="str">
        <x:v>Create a different expense of the same category through the equivalent manual form on the other client.</x:v>
      </x:c>
      <x:c r="Q815" s="35" t="str">
        <x:v>Synthetic QA only; no real people, accounts, signatures, or properties</x:v>
      </x:c>
    </x:row>
    <x:row r="816">
      <x:c r="A816" s="20" t="str">
        <x:v>SCN-0813</x:v>
      </x:c>
      <x:c r="B816" s="23" t="n">
        <x:v>46749</x:v>
      </x:c>
      <x:c r="C816" s="20" t="str">
        <x:v>scn-0813-expense-20271228-3406.pdf</x:v>
      </x:c>
      <x:c r="D816" s="20" t="str">
        <x:v>Vendor invoice / receipt</x:v>
      </x:c>
      <x:c r="E816" s="20" t="str">
        <x:v>Expense</x:v>
      </x:c>
      <x:c r="F816" s="35" t="str">
        <x:v>Direct scan draft with property/unit/work-order context</x:v>
      </x:c>
      <x:c r="G816" s="20" t="str">
        <x:v>PDF</x:v>
      </x:c>
      <x:c r="H816" s="20" t="str">
        <x:v>1-3 pages</x:v>
      </x:c>
      <x:c r="I816" s="35" t="str">
        <x:v>crumpled thermal receipt</x:v>
      </x:c>
      <x:c r="J816" s="20" t="str">
        <x:v>P006</x:v>
      </x:c>
      <x:c r="K816" s="20" t="str"/>
      <x:c r="L816" s="20" t="str"/>
      <x:c r="M816" s="20" t="str">
        <x:v>FIN-01529</x:v>
      </x:c>
      <x:c r="N816" s="35" t="str">
        <x:v>vendor; invoice number; date; subtotal; tax; total; category; property; unit; line items; payment method</x:v>
      </x:c>
      <x:c r="O816" s="35" t="str"/>
      <x:c r="P816" s="35" t="str">
        <x:v>Create a different expense of the same category through the equivalent manual form on the other client.</x:v>
      </x:c>
      <x:c r="Q816" s="35" t="str">
        <x:v>Synthetic QA only; no real people, accounts, signatures, or properties</x:v>
      </x:c>
    </x:row>
    <x:row r="817">
      <x:c r="A817" s="20" t="str">
        <x:v>SCN-0814</x:v>
      </x:c>
      <x:c r="B817" s="23" t="n">
        <x:v>46586</x:v>
      </x:c>
      <x:c r="C817" s="20" t="str">
        <x:v>scn-0814-expense-20270718-2007.jpg</x:v>
      </x:c>
      <x:c r="D817" s="20" t="str">
        <x:v>Vendor invoice / receipt</x:v>
      </x:c>
      <x:c r="E817" s="20" t="str">
        <x:v>Expense</x:v>
      </x:c>
      <x:c r="F817" s="35" t="str">
        <x:v>Direct scan draft with property/unit/work-order context</x:v>
      </x:c>
      <x:c r="G817" s="20" t="str">
        <x:v>Camera JPEG</x:v>
      </x:c>
      <x:c r="H817" s="20" t="str">
        <x:v>1-3 pages</x:v>
      </x:c>
      <x:c r="I817" s="35" t="str">
        <x:v>clean emailed invoice</x:v>
      </x:c>
      <x:c r="J817" s="20" t="str">
        <x:v>P007</x:v>
      </x:c>
      <x:c r="K817" s="20" t="str"/>
      <x:c r="L817" s="20" t="str"/>
      <x:c r="M817" s="20" t="str">
        <x:v>FIN-01530</x:v>
      </x:c>
      <x:c r="N817" s="35" t="str">
        <x:v>vendor; invoice number; date; subtotal; tax; total; category; property; unit; line items; payment method</x:v>
      </x:c>
      <x:c r="O817" s="35" t="str"/>
      <x:c r="P817" s="35" t="str">
        <x:v>Create a different expense of the same category through the equivalent manual form on the other client.</x:v>
      </x:c>
      <x:c r="Q817" s="35" t="str">
        <x:v>Synthetic QA only; no real people, accounts, signatures, or properties</x:v>
      </x:c>
    </x:row>
    <x:row r="818">
      <x:c r="A818" s="20" t="str">
        <x:v>SCN-0815</x:v>
      </x:c>
      <x:c r="B818" s="23" t="n">
        <x:v>46474</x:v>
      </x:c>
      <x:c r="C818" s="20" t="str">
        <x:v>scn-0815-expense-20270328-3107.pdf</x:v>
      </x:c>
      <x:c r="D818" s="20" t="str">
        <x:v>Vendor invoice / receipt</x:v>
      </x:c>
      <x:c r="E818" s="20" t="str">
        <x:v>Expense</x:v>
      </x:c>
      <x:c r="F818" s="35" t="str">
        <x:v>Direct scan draft with property/unit/work-order context</x:v>
      </x:c>
      <x:c r="G818" s="20" t="str">
        <x:v>PDF</x:v>
      </x:c>
      <x:c r="H818" s="20" t="str">
        <x:v>1-3 pages</x:v>
      </x:c>
      <x:c r="I818" s="35" t="str">
        <x:v>phone photo with shadow</x:v>
      </x:c>
      <x:c r="J818" s="20" t="str">
        <x:v>P007</x:v>
      </x:c>
      <x:c r="K818" s="20" t="str"/>
      <x:c r="L818" s="20" t="str"/>
      <x:c r="M818" s="20" t="str">
        <x:v>FIN-01531</x:v>
      </x:c>
      <x:c r="N818" s="35" t="str">
        <x:v>vendor; invoice number; date; subtotal; tax; total; category; property; unit; line items; payment method</x:v>
      </x:c>
      <x:c r="O818" s="35" t="str"/>
      <x:c r="P818" s="35" t="str">
        <x:v>Create a different expense of the same category through the equivalent manual form on the other client.</x:v>
      </x:c>
      <x:c r="Q818" s="35" t="str">
        <x:v>Synthetic QA only; no real people, accounts, signatures, or properties</x:v>
      </x:c>
    </x:row>
    <x:row r="819">
      <x:c r="A819" s="20" t="str">
        <x:v>SCN-0816</x:v>
      </x:c>
      <x:c r="B819" s="23" t="n">
        <x:v>46566</x:v>
      </x:c>
      <x:c r="C819" s="20" t="str">
        <x:v>scn-0816-expense-20270628-3207.jpg</x:v>
      </x:c>
      <x:c r="D819" s="20" t="str">
        <x:v>Vendor invoice / receipt</x:v>
      </x:c>
      <x:c r="E819" s="20" t="str">
        <x:v>Expense</x:v>
      </x:c>
      <x:c r="F819" s="35" t="str">
        <x:v>Direct scan draft with property/unit/work-order context</x:v>
      </x:c>
      <x:c r="G819" s="20" t="str">
        <x:v>Camera JPEG</x:v>
      </x:c>
      <x:c r="H819" s="20" t="str">
        <x:v>1-3 pages</x:v>
      </x:c>
      <x:c r="I819" s="35" t="str">
        <x:v>clean emailed invoice</x:v>
      </x:c>
      <x:c r="J819" s="20" t="str">
        <x:v>P007</x:v>
      </x:c>
      <x:c r="K819" s="20" t="str"/>
      <x:c r="L819" s="20" t="str"/>
      <x:c r="M819" s="20" t="str">
        <x:v>FIN-01532</x:v>
      </x:c>
      <x:c r="N819" s="35" t="str">
        <x:v>vendor; invoice number; date; subtotal; tax; total; category; property; unit; line items; payment method</x:v>
      </x:c>
      <x:c r="O819" s="35" t="str"/>
      <x:c r="P819" s="35" t="str">
        <x:v>Create a different expense of the same category through the equivalent manual form on the other client.</x:v>
      </x:c>
      <x:c r="Q819" s="35" t="str">
        <x:v>Synthetic QA only; no real people, accounts, signatures, or properties</x:v>
      </x:c>
    </x:row>
    <x:row r="820">
      <x:c r="A820" s="20" t="str">
        <x:v>SCN-0817</x:v>
      </x:c>
      <x:c r="B820" s="23" t="n">
        <x:v>46658</x:v>
      </x:c>
      <x:c r="C820" s="20" t="str">
        <x:v>scn-0817-expense-20270928-3307.pdf</x:v>
      </x:c>
      <x:c r="D820" s="20" t="str">
        <x:v>Vendor invoice / receipt</x:v>
      </x:c>
      <x:c r="E820" s="20" t="str">
        <x:v>Expense</x:v>
      </x:c>
      <x:c r="F820" s="35" t="str">
        <x:v>Direct scan draft with property/unit/work-order context</x:v>
      </x:c>
      <x:c r="G820" s="20" t="str">
        <x:v>PDF</x:v>
      </x:c>
      <x:c r="H820" s="20" t="str">
        <x:v>1-3 pages</x:v>
      </x:c>
      <x:c r="I820" s="35" t="str">
        <x:v>crumpled thermal receipt</x:v>
      </x:c>
      <x:c r="J820" s="20" t="str">
        <x:v>P007</x:v>
      </x:c>
      <x:c r="K820" s="20" t="str"/>
      <x:c r="L820" s="20" t="str"/>
      <x:c r="M820" s="20" t="str">
        <x:v>FIN-01533</x:v>
      </x:c>
      <x:c r="N820" s="35" t="str">
        <x:v>vendor; invoice number; date; subtotal; tax; total; category; property; unit; line items; payment method</x:v>
      </x:c>
      <x:c r="O820" s="35" t="str"/>
      <x:c r="P820" s="35" t="str">
        <x:v>Create a different expense of the same category through the equivalent manual form on the other client.</x:v>
      </x:c>
      <x:c r="Q820" s="35" t="str">
        <x:v>Synthetic QA only; no real people, accounts, signatures, or properties</x:v>
      </x:c>
    </x:row>
    <x:row r="821">
      <x:c r="A821" s="20" t="str">
        <x:v>SCN-0818</x:v>
      </x:c>
      <x:c r="B821" s="23" t="n">
        <x:v>46749</x:v>
      </x:c>
      <x:c r="C821" s="20" t="str">
        <x:v>scn-0818-expense-20271228-3407.pdf</x:v>
      </x:c>
      <x:c r="D821" s="20" t="str">
        <x:v>Vendor invoice / receipt</x:v>
      </x:c>
      <x:c r="E821" s="20" t="str">
        <x:v>Expense</x:v>
      </x:c>
      <x:c r="F821" s="35" t="str">
        <x:v>Direct scan draft with property/unit/work-order context</x:v>
      </x:c>
      <x:c r="G821" s="20" t="str">
        <x:v>PDF</x:v>
      </x:c>
      <x:c r="H821" s="20" t="str">
        <x:v>1-3 pages</x:v>
      </x:c>
      <x:c r="I821" s="35" t="str">
        <x:v>phone photo with shadow</x:v>
      </x:c>
      <x:c r="J821" s="20" t="str">
        <x:v>P007</x:v>
      </x:c>
      <x:c r="K821" s="20" t="str"/>
      <x:c r="L821" s="20" t="str"/>
      <x:c r="M821" s="20" t="str">
        <x:v>FIN-01534</x:v>
      </x:c>
      <x:c r="N821" s="35" t="str">
        <x:v>vendor; invoice number; date; subtotal; tax; total; category; property; unit; line items; payment method</x:v>
      </x:c>
      <x:c r="O821" s="35" t="str"/>
      <x:c r="P821" s="35" t="str">
        <x:v>Create a different expense of the same category through the equivalent manual form on the other client.</x:v>
      </x:c>
      <x:c r="Q821" s="35" t="str">
        <x:v>Synthetic QA only; no real people, accounts, signatures, or properties</x:v>
      </x:c>
    </x:row>
    <x:row r="822">
      <x:c r="A822" s="20" t="str">
        <x:v>SCN-0819</x:v>
      </x:c>
      <x:c r="B822" s="23" t="n">
        <x:v>46617</x:v>
      </x:c>
      <x:c r="C822" s="20" t="str">
        <x:v>scn-0819-expense-20270818-2008.pdf</x:v>
      </x:c>
      <x:c r="D822" s="20" t="str">
        <x:v>Vendor invoice / receipt</x:v>
      </x:c>
      <x:c r="E822" s="20" t="str">
        <x:v>Expense</x:v>
      </x:c>
      <x:c r="F822" s="35" t="str">
        <x:v>Direct scan draft with property/unit/work-order context</x:v>
      </x:c>
      <x:c r="G822" s="20" t="str">
        <x:v>PDF</x:v>
      </x:c>
      <x:c r="H822" s="20" t="str">
        <x:v>1-3 pages</x:v>
      </x:c>
      <x:c r="I822" s="35" t="str">
        <x:v>crumpled thermal receipt</x:v>
      </x:c>
      <x:c r="J822" s="20" t="str">
        <x:v>P008</x:v>
      </x:c>
      <x:c r="K822" s="20" t="str"/>
      <x:c r="L822" s="20" t="str"/>
      <x:c r="M822" s="20" t="str">
        <x:v>FIN-01535</x:v>
      </x:c>
      <x:c r="N822" s="35" t="str">
        <x:v>vendor; invoice number; date; subtotal; tax; total; category; property; unit; line items; payment method</x:v>
      </x:c>
      <x:c r="O822" s="35" t="str"/>
      <x:c r="P822" s="35" t="str">
        <x:v>Create a different expense of the same category through the equivalent manual form on the other client.</x:v>
      </x:c>
      <x:c r="Q822" s="35" t="str">
        <x:v>Synthetic QA only; no real people, accounts, signatures, or properties</x:v>
      </x:c>
    </x:row>
    <x:row r="823">
      <x:c r="A823" s="20" t="str">
        <x:v>SCN-0820</x:v>
      </x:c>
      <x:c r="B823" s="23" t="n">
        <x:v>46474</x:v>
      </x:c>
      <x:c r="C823" s="20" t="str">
        <x:v>scn-0820-expense-20270328-3108.jpg</x:v>
      </x:c>
      <x:c r="D823" s="20" t="str">
        <x:v>Vendor invoice / receipt</x:v>
      </x:c>
      <x:c r="E823" s="20" t="str">
        <x:v>Expense</x:v>
      </x:c>
      <x:c r="F823" s="35" t="str">
        <x:v>Direct scan draft with property/unit/work-order context</x:v>
      </x:c>
      <x:c r="G823" s="20" t="str">
        <x:v>Camera JPEG</x:v>
      </x:c>
      <x:c r="H823" s="20" t="str">
        <x:v>1-3 pages</x:v>
      </x:c>
      <x:c r="I823" s="35" t="str">
        <x:v>clean emailed invoice</x:v>
      </x:c>
      <x:c r="J823" s="20" t="str">
        <x:v>P008</x:v>
      </x:c>
      <x:c r="K823" s="20" t="str"/>
      <x:c r="L823" s="20" t="str"/>
      <x:c r="M823" s="20" t="str">
        <x:v>FIN-01536</x:v>
      </x:c>
      <x:c r="N823" s="35" t="str">
        <x:v>vendor; invoice number; date; subtotal; tax; total; category; property; unit; line items; payment method</x:v>
      </x:c>
      <x:c r="O823" s="35" t="str"/>
      <x:c r="P823" s="35" t="str">
        <x:v>Create a different expense of the same category through the equivalent manual form on the other client.</x:v>
      </x:c>
      <x:c r="Q823" s="35" t="str">
        <x:v>Synthetic QA only; no real people, accounts, signatures, or properties</x:v>
      </x:c>
    </x:row>
    <x:row r="824">
      <x:c r="A824" s="20" t="str">
        <x:v>SCN-0821</x:v>
      </x:c>
      <x:c r="B824" s="23" t="n">
        <x:v>46566</x:v>
      </x:c>
      <x:c r="C824" s="20" t="str">
        <x:v>scn-0821-expense-20270628-3208.pdf</x:v>
      </x:c>
      <x:c r="D824" s="20" t="str">
        <x:v>Vendor invoice / receipt</x:v>
      </x:c>
      <x:c r="E824" s="20" t="str">
        <x:v>Expense</x:v>
      </x:c>
      <x:c r="F824" s="35" t="str">
        <x:v>Direct scan draft with property/unit/work-order context</x:v>
      </x:c>
      <x:c r="G824" s="20" t="str">
        <x:v>PDF</x:v>
      </x:c>
      <x:c r="H824" s="20" t="str">
        <x:v>1-3 pages</x:v>
      </x:c>
      <x:c r="I824" s="35" t="str">
        <x:v>crumpled thermal receipt</x:v>
      </x:c>
      <x:c r="J824" s="20" t="str">
        <x:v>P008</x:v>
      </x:c>
      <x:c r="K824" s="20" t="str"/>
      <x:c r="L824" s="20" t="str"/>
      <x:c r="M824" s="20" t="str">
        <x:v>FIN-01537</x:v>
      </x:c>
      <x:c r="N824" s="35" t="str">
        <x:v>vendor; invoice number; date; subtotal; tax; total; category; property; unit; line items; payment method</x:v>
      </x:c>
      <x:c r="O824" s="35" t="str"/>
      <x:c r="P824" s="35" t="str">
        <x:v>Create a different expense of the same category through the equivalent manual form on the other client.</x:v>
      </x:c>
      <x:c r="Q824" s="35" t="str">
        <x:v>Synthetic QA only; no real people, accounts, signatures, or properties</x:v>
      </x:c>
    </x:row>
    <x:row r="825">
      <x:c r="A825" s="20" t="str">
        <x:v>SCN-0822</x:v>
      </x:c>
      <x:c r="B825" s="23" t="n">
        <x:v>46658</x:v>
      </x:c>
      <x:c r="C825" s="20" t="str">
        <x:v>scn-0822-expense-20270928-3308.pdf</x:v>
      </x:c>
      <x:c r="D825" s="20" t="str">
        <x:v>Vendor invoice / receipt</x:v>
      </x:c>
      <x:c r="E825" s="20" t="str">
        <x:v>Expense</x:v>
      </x:c>
      <x:c r="F825" s="35" t="str">
        <x:v>Direct scan draft with property/unit/work-order context</x:v>
      </x:c>
      <x:c r="G825" s="20" t="str">
        <x:v>PDF</x:v>
      </x:c>
      <x:c r="H825" s="20" t="str">
        <x:v>1-3 pages</x:v>
      </x:c>
      <x:c r="I825" s="35" t="str">
        <x:v>phone photo with shadow</x:v>
      </x:c>
      <x:c r="J825" s="20" t="str">
        <x:v>P008</x:v>
      </x:c>
      <x:c r="K825" s="20" t="str"/>
      <x:c r="L825" s="20" t="str"/>
      <x:c r="M825" s="20" t="str">
        <x:v>FIN-01538</x:v>
      </x:c>
      <x:c r="N825" s="35" t="str">
        <x:v>vendor; invoice number; date; subtotal; tax; total; category; property; unit; line items; payment method</x:v>
      </x:c>
      <x:c r="O825" s="35" t="str"/>
      <x:c r="P825" s="35" t="str">
        <x:v>Create a different expense of the same category through the equivalent manual form on the other client.</x:v>
      </x:c>
      <x:c r="Q825" s="35" t="str">
        <x:v>Synthetic QA only; no real people, accounts, signatures, or properties</x:v>
      </x:c>
    </x:row>
    <x:row r="826">
      <x:c r="A826" s="20" t="str">
        <x:v>SCN-0823</x:v>
      </x:c>
      <x:c r="B826" s="23" t="n">
        <x:v>46749</x:v>
      </x:c>
      <x:c r="C826" s="20" t="str">
        <x:v>scn-0823-expense-20271228-3408.jpg</x:v>
      </x:c>
      <x:c r="D826" s="20" t="str">
        <x:v>Vendor invoice / receipt</x:v>
      </x:c>
      <x:c r="E826" s="20" t="str">
        <x:v>Expense</x:v>
      </x:c>
      <x:c r="F826" s="35" t="str">
        <x:v>Direct scan draft with property/unit/work-order context</x:v>
      </x:c>
      <x:c r="G826" s="20" t="str">
        <x:v>Camera JPEG</x:v>
      </x:c>
      <x:c r="H826" s="20" t="str">
        <x:v>1-3 pages</x:v>
      </x:c>
      <x:c r="I826" s="35" t="str">
        <x:v>clean emailed invoice</x:v>
      </x:c>
      <x:c r="J826" s="20" t="str">
        <x:v>P008</x:v>
      </x:c>
      <x:c r="K826" s="20" t="str"/>
      <x:c r="L826" s="20" t="str"/>
      <x:c r="M826" s="20" t="str">
        <x:v>FIN-01539</x:v>
      </x:c>
      <x:c r="N826" s="35" t="str">
        <x:v>vendor; invoice number; date; subtotal; tax; total; category; property; unit; line items; payment method</x:v>
      </x:c>
      <x:c r="O826" s="35" t="str"/>
      <x:c r="P826" s="35" t="str">
        <x:v>Create a different expense of the same category through the equivalent manual form on the other client.</x:v>
      </x:c>
      <x:c r="Q826" s="35" t="str">
        <x:v>Synthetic QA only; no real people, accounts, signatures, or properties</x:v>
      </x:c>
    </x:row>
    <x:row r="827">
      <x:c r="A827" s="20" t="str">
        <x:v>SCN-0824</x:v>
      </x:c>
      <x:c r="B827" s="23" t="n">
        <x:v>46648</x:v>
      </x:c>
      <x:c r="C827" s="20" t="str">
        <x:v>scn-0824-expense-20270918-2009.pdf</x:v>
      </x:c>
      <x:c r="D827" s="20" t="str">
        <x:v>Vendor invoice / receipt</x:v>
      </x:c>
      <x:c r="E827" s="20" t="str">
        <x:v>Expense</x:v>
      </x:c>
      <x:c r="F827" s="35" t="str">
        <x:v>Direct scan draft with property/unit/work-order context</x:v>
      </x:c>
      <x:c r="G827" s="20" t="str">
        <x:v>PDF</x:v>
      </x:c>
      <x:c r="H827" s="20" t="str">
        <x:v>1-3 pages</x:v>
      </x:c>
      <x:c r="I827" s="35" t="str">
        <x:v>phone photo with shadow</x:v>
      </x:c>
      <x:c r="J827" s="20" t="str">
        <x:v>P009</x:v>
      </x:c>
      <x:c r="K827" s="20" t="str"/>
      <x:c r="L827" s="20" t="str"/>
      <x:c r="M827" s="20" t="str">
        <x:v>FIN-01540</x:v>
      </x:c>
      <x:c r="N827" s="35" t="str">
        <x:v>vendor; invoice number; date; subtotal; tax; total; category; property; unit; line items; payment method</x:v>
      </x:c>
      <x:c r="O827" s="35" t="str"/>
      <x:c r="P827" s="35" t="str">
        <x:v>Create a different expense of the same category through the equivalent manual form on the other client.</x:v>
      </x:c>
      <x:c r="Q827" s="35" t="str">
        <x:v>Synthetic QA only; no real people, accounts, signatures, or properties</x:v>
      </x:c>
    </x:row>
    <x:row r="828">
      <x:c r="A828" s="20" t="str">
        <x:v>SCN-0825</x:v>
      </x:c>
      <x:c r="B828" s="23" t="n">
        <x:v>46474</x:v>
      </x:c>
      <x:c r="C828" s="20" t="str">
        <x:v>scn-0825-expense-20270328-3109.pdf</x:v>
      </x:c>
      <x:c r="D828" s="20" t="str">
        <x:v>Vendor invoice / receipt</x:v>
      </x:c>
      <x:c r="E828" s="20" t="str">
        <x:v>Expense</x:v>
      </x:c>
      <x:c r="F828" s="35" t="str">
        <x:v>Direct scan draft with property/unit/work-order context</x:v>
      </x:c>
      <x:c r="G828" s="20" t="str">
        <x:v>PDF</x:v>
      </x:c>
      <x:c r="H828" s="20" t="str">
        <x:v>1-3 pages</x:v>
      </x:c>
      <x:c r="I828" s="35" t="str">
        <x:v>crumpled thermal receipt</x:v>
      </x:c>
      <x:c r="J828" s="20" t="str">
        <x:v>P009</x:v>
      </x:c>
      <x:c r="K828" s="20" t="str"/>
      <x:c r="L828" s="20" t="str"/>
      <x:c r="M828" s="20" t="str">
        <x:v>FIN-01541</x:v>
      </x:c>
      <x:c r="N828" s="35" t="str">
        <x:v>vendor; invoice number; date; subtotal; tax; total; category; property; unit; line items; payment method</x:v>
      </x:c>
      <x:c r="O828" s="35" t="str"/>
      <x:c r="P828" s="35" t="str">
        <x:v>Create a different expense of the same category through the equivalent manual form on the other client.</x:v>
      </x:c>
      <x:c r="Q828" s="35" t="str">
        <x:v>Synthetic QA only; no real people, accounts, signatures, or properties</x:v>
      </x:c>
    </x:row>
    <x:row r="829">
      <x:c r="A829" s="20" t="str">
        <x:v>SCN-0826</x:v>
      </x:c>
      <x:c r="B829" s="23" t="n">
        <x:v>46566</x:v>
      </x:c>
      <x:c r="C829" s="20" t="str">
        <x:v>scn-0826-expense-20270628-3209.pdf</x:v>
      </x:c>
      <x:c r="D829" s="20" t="str">
        <x:v>Vendor invoice / receipt</x:v>
      </x:c>
      <x:c r="E829" s="20" t="str">
        <x:v>Expense</x:v>
      </x:c>
      <x:c r="F829" s="35" t="str">
        <x:v>Direct scan draft with property/unit/work-order context</x:v>
      </x:c>
      <x:c r="G829" s="20" t="str">
        <x:v>PDF</x:v>
      </x:c>
      <x:c r="H829" s="20" t="str">
        <x:v>1-3 pages</x:v>
      </x:c>
      <x:c r="I829" s="35" t="str">
        <x:v>phone photo with shadow</x:v>
      </x:c>
      <x:c r="J829" s="20" t="str">
        <x:v>P009</x:v>
      </x:c>
      <x:c r="K829" s="20" t="str"/>
      <x:c r="L829" s="20" t="str"/>
      <x:c r="M829" s="20" t="str">
        <x:v>FIN-01542</x:v>
      </x:c>
      <x:c r="N829" s="35" t="str">
        <x:v>vendor; invoice number; date; subtotal; tax; total; category; property; unit; line items; payment method</x:v>
      </x:c>
      <x:c r="O829" s="35" t="str"/>
      <x:c r="P829" s="35" t="str">
        <x:v>Create a different expense of the same category through the equivalent manual form on the other client.</x:v>
      </x:c>
      <x:c r="Q829" s="35" t="str">
        <x:v>Synthetic QA only; no real people, accounts, signatures, or properties</x:v>
      </x:c>
    </x:row>
    <x:row r="830">
      <x:c r="A830" s="20" t="str">
        <x:v>SCN-0827</x:v>
      </x:c>
      <x:c r="B830" s="23" t="n">
        <x:v>46658</x:v>
      </x:c>
      <x:c r="C830" s="20" t="str">
        <x:v>scn-0827-expense-20270928-3309.jpg</x:v>
      </x:c>
      <x:c r="D830" s="20" t="str">
        <x:v>Vendor invoice / receipt</x:v>
      </x:c>
      <x:c r="E830" s="20" t="str">
        <x:v>Expense</x:v>
      </x:c>
      <x:c r="F830" s="35" t="str">
        <x:v>Direct scan draft with property/unit/work-order context</x:v>
      </x:c>
      <x:c r="G830" s="20" t="str">
        <x:v>Camera JPEG</x:v>
      </x:c>
      <x:c r="H830" s="20" t="str">
        <x:v>1-3 pages</x:v>
      </x:c>
      <x:c r="I830" s="35" t="str">
        <x:v>clean emailed invoice</x:v>
      </x:c>
      <x:c r="J830" s="20" t="str">
        <x:v>P009</x:v>
      </x:c>
      <x:c r="K830" s="20" t="str"/>
      <x:c r="L830" s="20" t="str"/>
      <x:c r="M830" s="20" t="str">
        <x:v>FIN-01543</x:v>
      </x:c>
      <x:c r="N830" s="35" t="str">
        <x:v>vendor; invoice number; date; subtotal; tax; total; category; property; unit; line items; payment method</x:v>
      </x:c>
      <x:c r="O830" s="35" t="str"/>
      <x:c r="P830" s="35" t="str">
        <x:v>Create a different expense of the same category through the equivalent manual form on the other client.</x:v>
      </x:c>
      <x:c r="Q830" s="35" t="str">
        <x:v>Synthetic QA only; no real people, accounts, signatures, or properties</x:v>
      </x:c>
    </x:row>
    <x:row r="831">
      <x:c r="A831" s="20" t="str">
        <x:v>SCN-0828</x:v>
      </x:c>
      <x:c r="B831" s="23" t="n">
        <x:v>46749</x:v>
      </x:c>
      <x:c r="C831" s="20" t="str">
        <x:v>scn-0828-expense-20271228-3409.pdf</x:v>
      </x:c>
      <x:c r="D831" s="20" t="str">
        <x:v>Vendor invoice / receipt</x:v>
      </x:c>
      <x:c r="E831" s="20" t="str">
        <x:v>Expense</x:v>
      </x:c>
      <x:c r="F831" s="35" t="str">
        <x:v>Direct scan draft with property/unit/work-order context</x:v>
      </x:c>
      <x:c r="G831" s="20" t="str">
        <x:v>PDF</x:v>
      </x:c>
      <x:c r="H831" s="20" t="str">
        <x:v>1-3 pages</x:v>
      </x:c>
      <x:c r="I831" s="35" t="str">
        <x:v>crumpled thermal receipt</x:v>
      </x:c>
      <x:c r="J831" s="20" t="str">
        <x:v>P009</x:v>
      </x:c>
      <x:c r="K831" s="20" t="str"/>
      <x:c r="L831" s="20" t="str"/>
      <x:c r="M831" s="20" t="str">
        <x:v>FIN-01544</x:v>
      </x:c>
      <x:c r="N831" s="35" t="str">
        <x:v>vendor; invoice number; date; subtotal; tax; total; category; property; unit; line items; payment method</x:v>
      </x:c>
      <x:c r="O831" s="35" t="str"/>
      <x:c r="P831" s="35" t="str">
        <x:v>Create a different expense of the same category through the equivalent manual form on the other client.</x:v>
      </x:c>
      <x:c r="Q831" s="35" t="str">
        <x:v>Synthetic QA only; no real people, accounts, signatures, or properties</x:v>
      </x:c>
    </x:row>
    <x:row r="832">
      <x:c r="A832" s="20" t="str">
        <x:v>SCN-0829</x:v>
      </x:c>
      <x:c r="B832" s="23" t="n">
        <x:v>46709</x:v>
      </x:c>
      <x:c r="C832" s="20" t="str">
        <x:v>scn-0829-expense-20271118-2011.pdf</x:v>
      </x:c>
      <x:c r="D832" s="20" t="str">
        <x:v>Vendor invoice / receipt</x:v>
      </x:c>
      <x:c r="E832" s="20" t="str">
        <x:v>Expense</x:v>
      </x:c>
      <x:c r="F832" s="35" t="str">
        <x:v>Direct scan draft with property/unit/work-order context</x:v>
      </x:c>
      <x:c r="G832" s="20" t="str">
        <x:v>PDF</x:v>
      </x:c>
      <x:c r="H832" s="20" t="str">
        <x:v>1-3 pages</x:v>
      </x:c>
      <x:c r="I832" s="35" t="str">
        <x:v>crumpled thermal receipt</x:v>
      </x:c>
      <x:c r="J832" s="20" t="str">
        <x:v>P011</x:v>
      </x:c>
      <x:c r="K832" s="20" t="str"/>
      <x:c r="L832" s="20" t="str"/>
      <x:c r="M832" s="20" t="str">
        <x:v>FIN-01550</x:v>
      </x:c>
      <x:c r="N832" s="35" t="str">
        <x:v>vendor; invoice number; date; subtotal; tax; total; category; property; unit; line items; payment method</x:v>
      </x:c>
      <x:c r="O832" s="35" t="str"/>
      <x:c r="P832" s="35" t="str">
        <x:v>Create a different expense of the same category through the equivalent manual form on the other client.</x:v>
      </x:c>
      <x:c r="Q832" s="35" t="str">
        <x:v>Synthetic QA only; no real people, accounts, signatures, or properties</x:v>
      </x:c>
    </x:row>
    <x:row r="833">
      <x:c r="A833" s="20" t="str">
        <x:v>SCN-0830</x:v>
      </x:c>
      <x:c r="B833" s="23" t="n">
        <x:v>46474</x:v>
      </x:c>
      <x:c r="C833" s="20" t="str">
        <x:v>scn-0830-expense-20270328-3111.jpg</x:v>
      </x:c>
      <x:c r="D833" s="20" t="str">
        <x:v>Vendor invoice / receipt</x:v>
      </x:c>
      <x:c r="E833" s="20" t="str">
        <x:v>Expense</x:v>
      </x:c>
      <x:c r="F833" s="35" t="str">
        <x:v>Direct scan draft with property/unit/work-order context</x:v>
      </x:c>
      <x:c r="G833" s="20" t="str">
        <x:v>Camera JPEG</x:v>
      </x:c>
      <x:c r="H833" s="20" t="str">
        <x:v>1-3 pages</x:v>
      </x:c>
      <x:c r="I833" s="35" t="str">
        <x:v>clean emailed invoice</x:v>
      </x:c>
      <x:c r="J833" s="20" t="str">
        <x:v>P011</x:v>
      </x:c>
      <x:c r="K833" s="20" t="str"/>
      <x:c r="L833" s="20" t="str"/>
      <x:c r="M833" s="20" t="str">
        <x:v>FIN-01551</x:v>
      </x:c>
      <x:c r="N833" s="35" t="str">
        <x:v>vendor; invoice number; date; subtotal; tax; total; category; property; unit; line items; payment method</x:v>
      </x:c>
      <x:c r="O833" s="35" t="str">
        <x:v>split tax/line items; duplicate invoice number</x:v>
      </x:c>
      <x:c r="P833" s="35" t="str">
        <x:v>Create a different expense of the same category through the equivalent manual form on the other client.</x:v>
      </x:c>
      <x:c r="Q833" s="35" t="str">
        <x:v>Synthetic QA only; no real people, accounts, signatures, or properties</x:v>
      </x:c>
    </x:row>
    <x:row r="834">
      <x:c r="A834" s="20" t="str">
        <x:v>SCN-0831</x:v>
      </x:c>
      <x:c r="B834" s="23" t="n">
        <x:v>46566</x:v>
      </x:c>
      <x:c r="C834" s="20" t="str">
        <x:v>scn-0831-expense-20270628-3211.pdf</x:v>
      </x:c>
      <x:c r="D834" s="20" t="str">
        <x:v>Vendor invoice / receipt</x:v>
      </x:c>
      <x:c r="E834" s="20" t="str">
        <x:v>Expense</x:v>
      </x:c>
      <x:c r="F834" s="35" t="str">
        <x:v>Direct scan draft with property/unit/work-order context</x:v>
      </x:c>
      <x:c r="G834" s="20" t="str">
        <x:v>PDF</x:v>
      </x:c>
      <x:c r="H834" s="20" t="str">
        <x:v>1-3 pages</x:v>
      </x:c>
      <x:c r="I834" s="35" t="str">
        <x:v>crumpled thermal receipt</x:v>
      </x:c>
      <x:c r="J834" s="20" t="str">
        <x:v>P011</x:v>
      </x:c>
      <x:c r="K834" s="20" t="str"/>
      <x:c r="L834" s="20" t="str"/>
      <x:c r="M834" s="20" t="str">
        <x:v>FIN-01552</x:v>
      </x:c>
      <x:c r="N834" s="35" t="str">
        <x:v>vendor; invoice number; date; subtotal; tax; total; category; property; unit; line items; payment method</x:v>
      </x:c>
      <x:c r="O834" s="35" t="str"/>
      <x:c r="P834" s="35" t="str">
        <x:v>Create a different expense of the same category through the equivalent manual form on the other client.</x:v>
      </x:c>
      <x:c r="Q834" s="35" t="str">
        <x:v>Synthetic QA only; no real people, accounts, signatures, or properties</x:v>
      </x:c>
    </x:row>
    <x:row r="835">
      <x:c r="A835" s="20" t="str">
        <x:v>SCN-0832</x:v>
      </x:c>
      <x:c r="B835" s="23" t="n">
        <x:v>46658</x:v>
      </x:c>
      <x:c r="C835" s="20" t="str">
        <x:v>scn-0832-expense-20270928-3311.pdf</x:v>
      </x:c>
      <x:c r="D835" s="20" t="str">
        <x:v>Vendor invoice / receipt</x:v>
      </x:c>
      <x:c r="E835" s="20" t="str">
        <x:v>Expense</x:v>
      </x:c>
      <x:c r="F835" s="35" t="str">
        <x:v>Direct scan draft with property/unit/work-order context</x:v>
      </x:c>
      <x:c r="G835" s="20" t="str">
        <x:v>PDF</x:v>
      </x:c>
      <x:c r="H835" s="20" t="str">
        <x:v>1-3 pages</x:v>
      </x:c>
      <x:c r="I835" s="35" t="str">
        <x:v>phone photo with shadow</x:v>
      </x:c>
      <x:c r="J835" s="20" t="str">
        <x:v>P011</x:v>
      </x:c>
      <x:c r="K835" s="20" t="str"/>
      <x:c r="L835" s="20" t="str"/>
      <x:c r="M835" s="20" t="str">
        <x:v>FIN-01553</x:v>
      </x:c>
      <x:c r="N835" s="35" t="str">
        <x:v>vendor; invoice number; date; subtotal; tax; total; category; property; unit; line items; payment method</x:v>
      </x:c>
      <x:c r="O835" s="35" t="str"/>
      <x:c r="P835" s="35" t="str">
        <x:v>Create a different expense of the same category through the equivalent manual form on the other client.</x:v>
      </x:c>
      <x:c r="Q835" s="35" t="str">
        <x:v>Synthetic QA only; no real people, accounts, signatures, or properties</x:v>
      </x:c>
    </x:row>
    <x:row r="836">
      <x:c r="A836" s="20" t="str">
        <x:v>SCN-0833</x:v>
      </x:c>
      <x:c r="B836" s="23" t="n">
        <x:v>46749</x:v>
      </x:c>
      <x:c r="C836" s="20" t="str">
        <x:v>scn-0833-expense-20271228-3411.jpg</x:v>
      </x:c>
      <x:c r="D836" s="20" t="str">
        <x:v>Vendor invoice / receipt</x:v>
      </x:c>
      <x:c r="E836" s="20" t="str">
        <x:v>Expense</x:v>
      </x:c>
      <x:c r="F836" s="35" t="str">
        <x:v>Direct scan draft with property/unit/work-order context</x:v>
      </x:c>
      <x:c r="G836" s="20" t="str">
        <x:v>Camera JPEG</x:v>
      </x:c>
      <x:c r="H836" s="20" t="str">
        <x:v>1-3 pages</x:v>
      </x:c>
      <x:c r="I836" s="35" t="str">
        <x:v>clean emailed invoice</x:v>
      </x:c>
      <x:c r="J836" s="20" t="str">
        <x:v>P011</x:v>
      </x:c>
      <x:c r="K836" s="20" t="str"/>
      <x:c r="L836" s="20" t="str"/>
      <x:c r="M836" s="20" t="str">
        <x:v>FIN-01554</x:v>
      </x:c>
      <x:c r="N836" s="35" t="str">
        <x:v>vendor; invoice number; date; subtotal; tax; total; category; property; unit; line items; payment method</x:v>
      </x:c>
      <x:c r="O836" s="35" t="str"/>
      <x:c r="P836" s="35" t="str">
        <x:v>Create a different expense of the same category through the equivalent manual form on the other client.</x:v>
      </x:c>
      <x:c r="Q836" s="35" t="str">
        <x:v>Synthetic QA only; no real people, accounts, signatures, or properties</x:v>
      </x:c>
    </x:row>
    <x:row r="837">
      <x:c r="A837" s="20" t="str">
        <x:v>SCN-0834</x:v>
      </x:c>
      <x:c r="B837" s="23" t="n">
        <x:v>46739</x:v>
      </x:c>
      <x:c r="C837" s="20" t="str">
        <x:v>scn-0834-expense-20271218-2012.pdf</x:v>
      </x:c>
      <x:c r="D837" s="20" t="str">
        <x:v>Vendor invoice / receipt</x:v>
      </x:c>
      <x:c r="E837" s="20" t="str">
        <x:v>Expense</x:v>
      </x:c>
      <x:c r="F837" s="35" t="str">
        <x:v>Direct scan draft with property/unit/work-order context</x:v>
      </x:c>
      <x:c r="G837" s="20" t="str">
        <x:v>PDF</x:v>
      </x:c>
      <x:c r="H837" s="20" t="str">
        <x:v>1-3 pages</x:v>
      </x:c>
      <x:c r="I837" s="35" t="str">
        <x:v>phone photo with shadow</x:v>
      </x:c>
      <x:c r="J837" s="20" t="str">
        <x:v>P012</x:v>
      </x:c>
      <x:c r="K837" s="20" t="str"/>
      <x:c r="L837" s="20" t="str"/>
      <x:c r="M837" s="20" t="str">
        <x:v>FIN-01555</x:v>
      </x:c>
      <x:c r="N837" s="35" t="str">
        <x:v>vendor; invoice number; date; subtotal; tax; total; category; property; unit; line items; payment method</x:v>
      </x:c>
      <x:c r="O837" s="35" t="str"/>
      <x:c r="P837" s="35" t="str">
        <x:v>Create a different expense of the same category through the equivalent manual form on the other client.</x:v>
      </x:c>
      <x:c r="Q837" s="35" t="str">
        <x:v>Synthetic QA only; no real people, accounts, signatures, or properties</x:v>
      </x:c>
    </x:row>
    <x:row r="838">
      <x:c r="A838" s="20" t="str">
        <x:v>SCN-0835</x:v>
      </x:c>
      <x:c r="B838" s="23" t="n">
        <x:v>46474</x:v>
      </x:c>
      <x:c r="C838" s="20" t="str">
        <x:v>scn-0835-expense-20270328-3112.pdf</x:v>
      </x:c>
      <x:c r="D838" s="20" t="str">
        <x:v>Vendor invoice / receipt</x:v>
      </x:c>
      <x:c r="E838" s="20" t="str">
        <x:v>Expense</x:v>
      </x:c>
      <x:c r="F838" s="35" t="str">
        <x:v>Direct scan draft with property/unit/work-order context</x:v>
      </x:c>
      <x:c r="G838" s="20" t="str">
        <x:v>PDF</x:v>
      </x:c>
      <x:c r="H838" s="20" t="str">
        <x:v>1-3 pages</x:v>
      </x:c>
      <x:c r="I838" s="35" t="str">
        <x:v>crumpled thermal receipt</x:v>
      </x:c>
      <x:c r="J838" s="20" t="str">
        <x:v>P012</x:v>
      </x:c>
      <x:c r="K838" s="20" t="str"/>
      <x:c r="L838" s="20" t="str"/>
      <x:c r="M838" s="20" t="str">
        <x:v>FIN-01556</x:v>
      </x:c>
      <x:c r="N838" s="35" t="str">
        <x:v>vendor; invoice number; date; subtotal; tax; total; category; property; unit; line items; payment method</x:v>
      </x:c>
      <x:c r="O838" s="35" t="str"/>
      <x:c r="P838" s="35" t="str">
        <x:v>Create a different expense of the same category through the equivalent manual form on the other client.</x:v>
      </x:c>
      <x:c r="Q838" s="35" t="str">
        <x:v>Synthetic QA only; no real people, accounts, signatures, or properties</x:v>
      </x:c>
    </x:row>
    <x:row r="839">
      <x:c r="A839" s="20" t="str">
        <x:v>SCN-0836</x:v>
      </x:c>
      <x:c r="B839" s="23" t="n">
        <x:v>46566</x:v>
      </x:c>
      <x:c r="C839" s="20" t="str">
        <x:v>scn-0836-expense-20270628-3212.pdf</x:v>
      </x:c>
      <x:c r="D839" s="20" t="str">
        <x:v>Vendor invoice / receipt</x:v>
      </x:c>
      <x:c r="E839" s="20" t="str">
        <x:v>Expense</x:v>
      </x:c>
      <x:c r="F839" s="35" t="str">
        <x:v>Direct scan draft with property/unit/work-order context</x:v>
      </x:c>
      <x:c r="G839" s="20" t="str">
        <x:v>PDF</x:v>
      </x:c>
      <x:c r="H839" s="20" t="str">
        <x:v>1-3 pages</x:v>
      </x:c>
      <x:c r="I839" s="35" t="str">
        <x:v>phone photo with shadow</x:v>
      </x:c>
      <x:c r="J839" s="20" t="str">
        <x:v>P012</x:v>
      </x:c>
      <x:c r="K839" s="20" t="str"/>
      <x:c r="L839" s="20" t="str"/>
      <x:c r="M839" s="20" t="str">
        <x:v>FIN-01557</x:v>
      </x:c>
      <x:c r="N839" s="35" t="str">
        <x:v>vendor; invoice number; date; subtotal; tax; total; category; property; unit; line items; payment method</x:v>
      </x:c>
      <x:c r="O839" s="35" t="str"/>
      <x:c r="P839" s="35" t="str">
        <x:v>Create a different expense of the same category through the equivalent manual form on the other client.</x:v>
      </x:c>
      <x:c r="Q839" s="35" t="str">
        <x:v>Synthetic QA only; no real people, accounts, signatures, or properties</x:v>
      </x:c>
    </x:row>
    <x:row r="840">
      <x:c r="A840" s="20" t="str">
        <x:v>SCN-0837</x:v>
      </x:c>
      <x:c r="B840" s="23" t="n">
        <x:v>46658</x:v>
      </x:c>
      <x:c r="C840" s="20" t="str">
        <x:v>scn-0837-expense-20270928-3312.jpg</x:v>
      </x:c>
      <x:c r="D840" s="20" t="str">
        <x:v>Vendor invoice / receipt</x:v>
      </x:c>
      <x:c r="E840" s="20" t="str">
        <x:v>Expense</x:v>
      </x:c>
      <x:c r="F840" s="35" t="str">
        <x:v>Direct scan draft with property/unit/work-order context</x:v>
      </x:c>
      <x:c r="G840" s="20" t="str">
        <x:v>Camera JPEG</x:v>
      </x:c>
      <x:c r="H840" s="20" t="str">
        <x:v>1-3 pages</x:v>
      </x:c>
      <x:c r="I840" s="35" t="str">
        <x:v>clean emailed invoice</x:v>
      </x:c>
      <x:c r="J840" s="20" t="str">
        <x:v>P012</x:v>
      </x:c>
      <x:c r="K840" s="20" t="str"/>
      <x:c r="L840" s="20" t="str"/>
      <x:c r="M840" s="20" t="str">
        <x:v>FIN-01558</x:v>
      </x:c>
      <x:c r="N840" s="35" t="str">
        <x:v>vendor; invoice number; date; subtotal; tax; total; category; property; unit; line items; payment method</x:v>
      </x:c>
      <x:c r="O840" s="35" t="str"/>
      <x:c r="P840" s="35" t="str">
        <x:v>Create a different expense of the same category through the equivalent manual form on the other client.</x:v>
      </x:c>
      <x:c r="Q840" s="35" t="str">
        <x:v>Synthetic QA only; no real people, accounts, signatures, or properties</x:v>
      </x:c>
    </x:row>
    <x:row r="841">
      <x:c r="A841" s="20" t="str">
        <x:v>SCN-0838</x:v>
      </x:c>
      <x:c r="B841" s="23" t="n">
        <x:v>46749</x:v>
      </x:c>
      <x:c r="C841" s="20" t="str">
        <x:v>scn-0838-expense-20271228-3412.pdf</x:v>
      </x:c>
      <x:c r="D841" s="20" t="str">
        <x:v>Vendor invoice / receipt</x:v>
      </x:c>
      <x:c r="E841" s="20" t="str">
        <x:v>Expense</x:v>
      </x:c>
      <x:c r="F841" s="35" t="str">
        <x:v>Direct scan draft with property/unit/work-order context</x:v>
      </x:c>
      <x:c r="G841" s="20" t="str">
        <x:v>PDF</x:v>
      </x:c>
      <x:c r="H841" s="20" t="str">
        <x:v>1-3 pages</x:v>
      </x:c>
      <x:c r="I841" s="35" t="str">
        <x:v>crumpled thermal receipt</x:v>
      </x:c>
      <x:c r="J841" s="20" t="str">
        <x:v>P012</x:v>
      </x:c>
      <x:c r="K841" s="20" t="str"/>
      <x:c r="L841" s="20" t="str"/>
      <x:c r="M841" s="20" t="str">
        <x:v>FIN-01559</x:v>
      </x:c>
      <x:c r="N841" s="35" t="str">
        <x:v>vendor; invoice number; date; subtotal; tax; total; category; property; unit; line items; payment method</x:v>
      </x:c>
      <x:c r="O841" s="35" t="str"/>
      <x:c r="P841" s="35" t="str">
        <x:v>Create a different expense of the same category through the equivalent manual form on the other client.</x:v>
      </x:c>
      <x:c r="Q841" s="35" t="str">
        <x:v>Synthetic QA only; no real people, accounts, signatures, or properties</x:v>
      </x:c>
    </x:row>
    <x:row r="842">
      <x:c r="A842" s="20" t="str">
        <x:v>SCN-0839</x:v>
      </x:c>
      <x:c r="B842" s="23" t="n">
        <x:v>46405</x:v>
      </x:c>
      <x:c r="C842" s="20" t="str">
        <x:v>scn-0839-expense-20270118-2013.jpg</x:v>
      </x:c>
      <x:c r="D842" s="20" t="str">
        <x:v>Vendor invoice / receipt</x:v>
      </x:c>
      <x:c r="E842" s="20" t="str">
        <x:v>Expense</x:v>
      </x:c>
      <x:c r="F842" s="35" t="str">
        <x:v>Direct scan draft with property/unit/work-order context</x:v>
      </x:c>
      <x:c r="G842" s="20" t="str">
        <x:v>Camera JPEG</x:v>
      </x:c>
      <x:c r="H842" s="20" t="str">
        <x:v>1-3 pages</x:v>
      </x:c>
      <x:c r="I842" s="35" t="str">
        <x:v>clean emailed invoice</x:v>
      </x:c>
      <x:c r="J842" s="20" t="str">
        <x:v>P013</x:v>
      </x:c>
      <x:c r="K842" s="20" t="str"/>
      <x:c r="L842" s="20" t="str"/>
      <x:c r="M842" s="20" t="str">
        <x:v>FIN-01560</x:v>
      </x:c>
      <x:c r="N842" s="35" t="str">
        <x:v>vendor; invoice number; date; subtotal; tax; total; category; property; unit; line items; payment method</x:v>
      </x:c>
      <x:c r="O842" s="35" t="str"/>
      <x:c r="P842" s="35" t="str">
        <x:v>Create a different expense of the same category through the equivalent manual form on the other client.</x:v>
      </x:c>
      <x:c r="Q842" s="35" t="str">
        <x:v>Synthetic QA only; no real people, accounts, signatures, or properties</x:v>
      </x:c>
    </x:row>
    <x:row r="843">
      <x:c r="A843" s="20" t="str">
        <x:v>SCN-0840</x:v>
      </x:c>
      <x:c r="B843" s="23" t="n">
        <x:v>46474</x:v>
      </x:c>
      <x:c r="C843" s="20" t="str">
        <x:v>scn-0840-expense-20270328-3113.pdf</x:v>
      </x:c>
      <x:c r="D843" s="20" t="str">
        <x:v>Vendor invoice / receipt</x:v>
      </x:c>
      <x:c r="E843" s="20" t="str">
        <x:v>Expense</x:v>
      </x:c>
      <x:c r="F843" s="35" t="str">
        <x:v>Direct scan draft with property/unit/work-order context</x:v>
      </x:c>
      <x:c r="G843" s="20" t="str">
        <x:v>PDF</x:v>
      </x:c>
      <x:c r="H843" s="20" t="str">
        <x:v>1-3 pages</x:v>
      </x:c>
      <x:c r="I843" s="35" t="str">
        <x:v>phone photo with shadow</x:v>
      </x:c>
      <x:c r="J843" s="20" t="str">
        <x:v>P013</x:v>
      </x:c>
      <x:c r="K843" s="20" t="str"/>
      <x:c r="L843" s="20" t="str"/>
      <x:c r="M843" s="20" t="str">
        <x:v>FIN-01561</x:v>
      </x:c>
      <x:c r="N843" s="35" t="str">
        <x:v>vendor; invoice number; date; subtotal; tax; total; category; property; unit; line items; payment method</x:v>
      </x:c>
      <x:c r="O843" s="35" t="str"/>
      <x:c r="P843" s="35" t="str">
        <x:v>Create a different expense of the same category through the equivalent manual form on the other client.</x:v>
      </x:c>
      <x:c r="Q843" s="35" t="str">
        <x:v>Synthetic QA only; no real people, accounts, signatures, or properties</x:v>
      </x:c>
    </x:row>
    <x:row r="844">
      <x:c r="A844" s="20" t="str">
        <x:v>SCN-0841</x:v>
      </x:c>
      <x:c r="B844" s="23" t="n">
        <x:v>46566</x:v>
      </x:c>
      <x:c r="C844" s="20" t="str">
        <x:v>scn-0841-expense-20270628-3213.jpg</x:v>
      </x:c>
      <x:c r="D844" s="20" t="str">
        <x:v>Vendor invoice / receipt</x:v>
      </x:c>
      <x:c r="E844" s="20" t="str">
        <x:v>Expense</x:v>
      </x:c>
      <x:c r="F844" s="35" t="str">
        <x:v>Direct scan draft with property/unit/work-order context</x:v>
      </x:c>
      <x:c r="G844" s="20" t="str">
        <x:v>Camera JPEG</x:v>
      </x:c>
      <x:c r="H844" s="20" t="str">
        <x:v>1-3 pages</x:v>
      </x:c>
      <x:c r="I844" s="35" t="str">
        <x:v>clean emailed invoice</x:v>
      </x:c>
      <x:c r="J844" s="20" t="str">
        <x:v>P013</x:v>
      </x:c>
      <x:c r="K844" s="20" t="str"/>
      <x:c r="L844" s="20" t="str"/>
      <x:c r="M844" s="20" t="str">
        <x:v>FIN-01562</x:v>
      </x:c>
      <x:c r="N844" s="35" t="str">
        <x:v>vendor; invoice number; date; subtotal; tax; total; category; property; unit; line items; payment method</x:v>
      </x:c>
      <x:c r="O844" s="35" t="str">
        <x:v>split tax/line items; duplicate invoice number</x:v>
      </x:c>
      <x:c r="P844" s="35" t="str">
        <x:v>Create a different expense of the same category through the equivalent manual form on the other client.</x:v>
      </x:c>
      <x:c r="Q844" s="35" t="str">
        <x:v>Synthetic QA only; no real people, accounts, signatures, or properties</x:v>
      </x:c>
    </x:row>
    <x:row r="845">
      <x:c r="A845" s="20" t="str">
        <x:v>SCN-0842</x:v>
      </x:c>
      <x:c r="B845" s="23" t="n">
        <x:v>46658</x:v>
      </x:c>
      <x:c r="C845" s="20" t="str">
        <x:v>scn-0842-expense-20270928-3313.pdf</x:v>
      </x:c>
      <x:c r="D845" s="20" t="str">
        <x:v>Vendor invoice / receipt</x:v>
      </x:c>
      <x:c r="E845" s="20" t="str">
        <x:v>Expense</x:v>
      </x:c>
      <x:c r="F845" s="35" t="str">
        <x:v>Direct scan draft with property/unit/work-order context</x:v>
      </x:c>
      <x:c r="G845" s="20" t="str">
        <x:v>PDF</x:v>
      </x:c>
      <x:c r="H845" s="20" t="str">
        <x:v>1-3 pages</x:v>
      </x:c>
      <x:c r="I845" s="35" t="str">
        <x:v>crumpled thermal receipt</x:v>
      </x:c>
      <x:c r="J845" s="20" t="str">
        <x:v>P013</x:v>
      </x:c>
      <x:c r="K845" s="20" t="str"/>
      <x:c r="L845" s="20" t="str"/>
      <x:c r="M845" s="20" t="str">
        <x:v>FIN-01563</x:v>
      </x:c>
      <x:c r="N845" s="35" t="str">
        <x:v>vendor; invoice number; date; subtotal; tax; total; category; property; unit; line items; payment method</x:v>
      </x:c>
      <x:c r="O845" s="35" t="str"/>
      <x:c r="P845" s="35" t="str">
        <x:v>Create a different expense of the same category through the equivalent manual form on the other client.</x:v>
      </x:c>
      <x:c r="Q845" s="35" t="str">
        <x:v>Synthetic QA only; no real people, accounts, signatures, or properties</x:v>
      </x:c>
    </x:row>
    <x:row r="846">
      <x:c r="A846" s="20" t="str">
        <x:v>SCN-0843</x:v>
      </x:c>
      <x:c r="B846" s="23" t="n">
        <x:v>46749</x:v>
      </x:c>
      <x:c r="C846" s="20" t="str">
        <x:v>scn-0843-expense-20271228-3413.pdf</x:v>
      </x:c>
      <x:c r="D846" s="20" t="str">
        <x:v>Vendor invoice / receipt</x:v>
      </x:c>
      <x:c r="E846" s="20" t="str">
        <x:v>Expense</x:v>
      </x:c>
      <x:c r="F846" s="35" t="str">
        <x:v>Direct scan draft with property/unit/work-order context</x:v>
      </x:c>
      <x:c r="G846" s="20" t="str">
        <x:v>PDF</x:v>
      </x:c>
      <x:c r="H846" s="20" t="str">
        <x:v>1-3 pages</x:v>
      </x:c>
      <x:c r="I846" s="35" t="str">
        <x:v>phone photo with shadow</x:v>
      </x:c>
      <x:c r="J846" s="20" t="str">
        <x:v>P013</x:v>
      </x:c>
      <x:c r="K846" s="20" t="str"/>
      <x:c r="L846" s="20" t="str"/>
      <x:c r="M846" s="20" t="str">
        <x:v>FIN-01564</x:v>
      </x:c>
      <x:c r="N846" s="35" t="str">
        <x:v>vendor; invoice number; date; subtotal; tax; total; category; property; unit; line items; payment method</x:v>
      </x:c>
      <x:c r="O846" s="35" t="str"/>
      <x:c r="P846" s="35" t="str">
        <x:v>Create a different expense of the same category through the equivalent manual form on the other client.</x:v>
      </x:c>
      <x:c r="Q846" s="35" t="str">
        <x:v>Synthetic QA only; no real people, accounts, signatures, or properties</x:v>
      </x:c>
    </x:row>
    <x:row r="847">
      <x:c r="A847" s="20" t="str">
        <x:v>SCN-0844</x:v>
      </x:c>
      <x:c r="B847" s="23" t="n">
        <x:v>46436</x:v>
      </x:c>
      <x:c r="C847" s="20" t="str">
        <x:v>scn-0844-expense-20270218-2014.pdf</x:v>
      </x:c>
      <x:c r="D847" s="20" t="str">
        <x:v>Vendor invoice / receipt</x:v>
      </x:c>
      <x:c r="E847" s="20" t="str">
        <x:v>Expense</x:v>
      </x:c>
      <x:c r="F847" s="35" t="str">
        <x:v>Direct scan draft with property/unit/work-order context</x:v>
      </x:c>
      <x:c r="G847" s="20" t="str">
        <x:v>PDF</x:v>
      </x:c>
      <x:c r="H847" s="20" t="str">
        <x:v>1-3 pages</x:v>
      </x:c>
      <x:c r="I847" s="35" t="str">
        <x:v>crumpled thermal receipt</x:v>
      </x:c>
      <x:c r="J847" s="20" t="str">
        <x:v>P014</x:v>
      </x:c>
      <x:c r="K847" s="20" t="str"/>
      <x:c r="L847" s="20" t="str"/>
      <x:c r="M847" s="20" t="str">
        <x:v>FIN-01565</x:v>
      </x:c>
      <x:c r="N847" s="35" t="str">
        <x:v>vendor; invoice number; date; subtotal; tax; total; category; property; unit; line items; payment method</x:v>
      </x:c>
      <x:c r="O847" s="35" t="str"/>
      <x:c r="P847" s="35" t="str">
        <x:v>Create a different expense of the same category through the equivalent manual form on the other client.</x:v>
      </x:c>
      <x:c r="Q847" s="35" t="str">
        <x:v>Synthetic QA only; no real people, accounts, signatures, or properties</x:v>
      </x:c>
    </x:row>
    <x:row r="848">
      <x:c r="A848" s="20" t="str">
        <x:v>SCN-0845</x:v>
      </x:c>
      <x:c r="B848" s="23" t="n">
        <x:v>46474</x:v>
      </x:c>
      <x:c r="C848" s="20" t="str">
        <x:v>scn-0845-expense-20270328-3114.jpg</x:v>
      </x:c>
      <x:c r="D848" s="20" t="str">
        <x:v>Vendor invoice / receipt</x:v>
      </x:c>
      <x:c r="E848" s="20" t="str">
        <x:v>Expense</x:v>
      </x:c>
      <x:c r="F848" s="35" t="str">
        <x:v>Direct scan draft with property/unit/work-order context</x:v>
      </x:c>
      <x:c r="G848" s="20" t="str">
        <x:v>Camera JPEG</x:v>
      </x:c>
      <x:c r="H848" s="20" t="str">
        <x:v>1-3 pages</x:v>
      </x:c>
      <x:c r="I848" s="35" t="str">
        <x:v>clean emailed invoice</x:v>
      </x:c>
      <x:c r="J848" s="20" t="str">
        <x:v>P014</x:v>
      </x:c>
      <x:c r="K848" s="20" t="str"/>
      <x:c r="L848" s="20" t="str"/>
      <x:c r="M848" s="20" t="str">
        <x:v>FIN-01566</x:v>
      </x:c>
      <x:c r="N848" s="35" t="str">
        <x:v>vendor; invoice number; date; subtotal; tax; total; category; property; unit; line items; payment method</x:v>
      </x:c>
      <x:c r="O848" s="35" t="str"/>
      <x:c r="P848" s="35" t="str">
        <x:v>Create a different expense of the same category through the equivalent manual form on the other client.</x:v>
      </x:c>
      <x:c r="Q848" s="35" t="str">
        <x:v>Synthetic QA only; no real people, accounts, signatures, or properties</x:v>
      </x:c>
    </x:row>
    <x:row r="849">
      <x:c r="A849" s="20" t="str">
        <x:v>SCN-0846</x:v>
      </x:c>
      <x:c r="B849" s="23" t="n">
        <x:v>46566</x:v>
      </x:c>
      <x:c r="C849" s="20" t="str">
        <x:v>scn-0846-expense-20270628-3214.pdf</x:v>
      </x:c>
      <x:c r="D849" s="20" t="str">
        <x:v>Vendor invoice / receipt</x:v>
      </x:c>
      <x:c r="E849" s="20" t="str">
        <x:v>Expense</x:v>
      </x:c>
      <x:c r="F849" s="35" t="str">
        <x:v>Direct scan draft with property/unit/work-order context</x:v>
      </x:c>
      <x:c r="G849" s="20" t="str">
        <x:v>PDF</x:v>
      </x:c>
      <x:c r="H849" s="20" t="str">
        <x:v>1-3 pages</x:v>
      </x:c>
      <x:c r="I849" s="35" t="str">
        <x:v>crumpled thermal receipt</x:v>
      </x:c>
      <x:c r="J849" s="20" t="str">
        <x:v>P014</x:v>
      </x:c>
      <x:c r="K849" s="20" t="str"/>
      <x:c r="L849" s="20" t="str"/>
      <x:c r="M849" s="20" t="str">
        <x:v>FIN-01567</x:v>
      </x:c>
      <x:c r="N849" s="35" t="str">
        <x:v>vendor; invoice number; date; subtotal; tax; total; category; property; unit; line items; payment method</x:v>
      </x:c>
      <x:c r="O849" s="35" t="str"/>
      <x:c r="P849" s="35" t="str">
        <x:v>Create a different expense of the same category through the equivalent manual form on the other client.</x:v>
      </x:c>
      <x:c r="Q849" s="35" t="str">
        <x:v>Synthetic QA only; no real people, accounts, signatures, or properties</x:v>
      </x:c>
    </x:row>
    <x:row r="850">
      <x:c r="A850" s="20" t="str">
        <x:v>SCN-0847</x:v>
      </x:c>
      <x:c r="B850" s="23" t="n">
        <x:v>46658</x:v>
      </x:c>
      <x:c r="C850" s="20" t="str">
        <x:v>scn-0847-expense-20270928-3314.pdf</x:v>
      </x:c>
      <x:c r="D850" s="20" t="str">
        <x:v>Vendor invoice / receipt</x:v>
      </x:c>
      <x:c r="E850" s="20" t="str">
        <x:v>Expense</x:v>
      </x:c>
      <x:c r="F850" s="35" t="str">
        <x:v>Direct scan draft with property/unit/work-order context</x:v>
      </x:c>
      <x:c r="G850" s="20" t="str">
        <x:v>PDF</x:v>
      </x:c>
      <x:c r="H850" s="20" t="str">
        <x:v>1-3 pages</x:v>
      </x:c>
      <x:c r="I850" s="35" t="str">
        <x:v>phone photo with shadow</x:v>
      </x:c>
      <x:c r="J850" s="20" t="str">
        <x:v>P014</x:v>
      </x:c>
      <x:c r="K850" s="20" t="str"/>
      <x:c r="L850" s="20" t="str"/>
      <x:c r="M850" s="20" t="str">
        <x:v>FIN-01568</x:v>
      </x:c>
      <x:c r="N850" s="35" t="str">
        <x:v>vendor; invoice number; date; subtotal; tax; total; category; property; unit; line items; payment method</x:v>
      </x:c>
      <x:c r="O850" s="35" t="str"/>
      <x:c r="P850" s="35" t="str">
        <x:v>Create a different expense of the same category through the equivalent manual form on the other client.</x:v>
      </x:c>
      <x:c r="Q850" s="35" t="str">
        <x:v>Synthetic QA only; no real people, accounts, signatures, or properties</x:v>
      </x:c>
    </x:row>
    <x:row r="851">
      <x:c r="A851" s="20" t="str">
        <x:v>SCN-0848</x:v>
      </x:c>
      <x:c r="B851" s="23" t="n">
        <x:v>46749</x:v>
      </x:c>
      <x:c r="C851" s="20" t="str">
        <x:v>scn-0848-expense-20271228-3414.jpg</x:v>
      </x:c>
      <x:c r="D851" s="20" t="str">
        <x:v>Vendor invoice / receipt</x:v>
      </x:c>
      <x:c r="E851" s="20" t="str">
        <x:v>Expense</x:v>
      </x:c>
      <x:c r="F851" s="35" t="str">
        <x:v>Direct scan draft with property/unit/work-order context</x:v>
      </x:c>
      <x:c r="G851" s="20" t="str">
        <x:v>Camera JPEG</x:v>
      </x:c>
      <x:c r="H851" s="20" t="str">
        <x:v>1-3 pages</x:v>
      </x:c>
      <x:c r="I851" s="35" t="str">
        <x:v>clean emailed invoice</x:v>
      </x:c>
      <x:c r="J851" s="20" t="str">
        <x:v>P014</x:v>
      </x:c>
      <x:c r="K851" s="20" t="str"/>
      <x:c r="L851" s="20" t="str"/>
      <x:c r="M851" s="20" t="str">
        <x:v>FIN-01569</x:v>
      </x:c>
      <x:c r="N851" s="35" t="str">
        <x:v>vendor; invoice number; date; subtotal; tax; total; category; property; unit; line items; payment method</x:v>
      </x:c>
      <x:c r="O851" s="35" t="str"/>
      <x:c r="P851" s="35" t="str">
        <x:v>Create a different expense of the same category through the equivalent manual form on the other client.</x:v>
      </x:c>
      <x:c r="Q851" s="35" t="str">
        <x:v>Synthetic QA only; no real people, accounts, signatures, or properties</x:v>
      </x:c>
    </x:row>
    <x:row r="852">
      <x:c r="A852" s="20" t="str">
        <x:v>SCN-0849</x:v>
      </x:c>
      <x:c r="B852" s="23" t="n">
        <x:v>46495</x:v>
      </x:c>
      <x:c r="C852" s="20" t="str">
        <x:v>scn-0849-expense-20270418-2016.jpg</x:v>
      </x:c>
      <x:c r="D852" s="20" t="str">
        <x:v>Vendor invoice / receipt</x:v>
      </x:c>
      <x:c r="E852" s="20" t="str">
        <x:v>Expense</x:v>
      </x:c>
      <x:c r="F852" s="35" t="str">
        <x:v>Direct scan draft with property/unit/work-order context</x:v>
      </x:c>
      <x:c r="G852" s="20" t="str">
        <x:v>Camera JPEG</x:v>
      </x:c>
      <x:c r="H852" s="20" t="str">
        <x:v>1-3 pages</x:v>
      </x:c>
      <x:c r="I852" s="35" t="str">
        <x:v>clean emailed invoice</x:v>
      </x:c>
      <x:c r="J852" s="20" t="str">
        <x:v>P016</x:v>
      </x:c>
      <x:c r="K852" s="20" t="str"/>
      <x:c r="L852" s="20" t="str"/>
      <x:c r="M852" s="20" t="str">
        <x:v>FIN-01575</x:v>
      </x:c>
      <x:c r="N852" s="35" t="str">
        <x:v>vendor; invoice number; date; subtotal; tax; total; category; property; unit; line items; payment method</x:v>
      </x:c>
      <x:c r="O852" s="35" t="str"/>
      <x:c r="P852" s="35" t="str">
        <x:v>Create a different expense of the same category through the equivalent manual form on the other client.</x:v>
      </x:c>
      <x:c r="Q852" s="35" t="str">
        <x:v>Synthetic QA only; no real people, accounts, signatures, or properties</x:v>
      </x:c>
    </x:row>
    <x:row r="853">
      <x:c r="A853" s="20" t="str">
        <x:v>SCN-0850</x:v>
      </x:c>
      <x:c r="B853" s="23" t="n">
        <x:v>46474</x:v>
      </x:c>
      <x:c r="C853" s="20" t="str">
        <x:v>scn-0850-expense-20270328-3116.pdf</x:v>
      </x:c>
      <x:c r="D853" s="20" t="str">
        <x:v>Vendor invoice / receipt</x:v>
      </x:c>
      <x:c r="E853" s="20" t="str">
        <x:v>Expense</x:v>
      </x:c>
      <x:c r="F853" s="35" t="str">
        <x:v>Direct scan draft with property/unit/work-order context</x:v>
      </x:c>
      <x:c r="G853" s="20" t="str">
        <x:v>PDF</x:v>
      </x:c>
      <x:c r="H853" s="20" t="str">
        <x:v>1-3 pages</x:v>
      </x:c>
      <x:c r="I853" s="35" t="str">
        <x:v>phone photo with shadow</x:v>
      </x:c>
      <x:c r="J853" s="20" t="str">
        <x:v>P016</x:v>
      </x:c>
      <x:c r="K853" s="20" t="str"/>
      <x:c r="L853" s="20" t="str"/>
      <x:c r="M853" s="20" t="str">
        <x:v>FIN-01576</x:v>
      </x:c>
      <x:c r="N853" s="35" t="str">
        <x:v>vendor; invoice number; date; subtotal; tax; total; category; property; unit; line items; payment method</x:v>
      </x:c>
      <x:c r="O853" s="35" t="str"/>
      <x:c r="P853" s="35" t="str">
        <x:v>Create a different expense of the same category through the equivalent manual form on the other client.</x:v>
      </x:c>
      <x:c r="Q853" s="35" t="str">
        <x:v>Synthetic QA only; no real people, accounts, signatures, or properties</x:v>
      </x:c>
    </x:row>
    <x:row r="854">
      <x:c r="A854" s="20" t="str">
        <x:v>SCN-0851</x:v>
      </x:c>
      <x:c r="B854" s="23" t="n">
        <x:v>46566</x:v>
      </x:c>
      <x:c r="C854" s="20" t="str">
        <x:v>scn-0851-expense-20270628-3216.jpg</x:v>
      </x:c>
      <x:c r="D854" s="20" t="str">
        <x:v>Vendor invoice / receipt</x:v>
      </x:c>
      <x:c r="E854" s="20" t="str">
        <x:v>Expense</x:v>
      </x:c>
      <x:c r="F854" s="35" t="str">
        <x:v>Direct scan draft with property/unit/work-order context</x:v>
      </x:c>
      <x:c r="G854" s="20" t="str">
        <x:v>Camera JPEG</x:v>
      </x:c>
      <x:c r="H854" s="20" t="str">
        <x:v>1-3 pages</x:v>
      </x:c>
      <x:c r="I854" s="35" t="str">
        <x:v>clean emailed invoice</x:v>
      </x:c>
      <x:c r="J854" s="20" t="str">
        <x:v>P016</x:v>
      </x:c>
      <x:c r="K854" s="20" t="str"/>
      <x:c r="L854" s="20" t="str"/>
      <x:c r="M854" s="20" t="str">
        <x:v>FIN-01577</x:v>
      </x:c>
      <x:c r="N854" s="35" t="str">
        <x:v>vendor; invoice number; date; subtotal; tax; total; category; property; unit; line items; payment method</x:v>
      </x:c>
      <x:c r="O854" s="35" t="str"/>
      <x:c r="P854" s="35" t="str">
        <x:v>Create a different expense of the same category through the equivalent manual form on the other client.</x:v>
      </x:c>
      <x:c r="Q854" s="35" t="str">
        <x:v>Synthetic QA only; no real people, accounts, signatures, or properties</x:v>
      </x:c>
    </x:row>
    <x:row r="855">
      <x:c r="A855" s="20" t="str">
        <x:v>SCN-0852</x:v>
      </x:c>
      <x:c r="B855" s="23" t="n">
        <x:v>46658</x:v>
      </x:c>
      <x:c r="C855" s="20" t="str">
        <x:v>scn-0852-expense-20270928-3316.pdf</x:v>
      </x:c>
      <x:c r="D855" s="20" t="str">
        <x:v>Vendor invoice / receipt</x:v>
      </x:c>
      <x:c r="E855" s="20" t="str">
        <x:v>Expense</x:v>
      </x:c>
      <x:c r="F855" s="35" t="str">
        <x:v>Direct scan draft with property/unit/work-order context</x:v>
      </x:c>
      <x:c r="G855" s="20" t="str">
        <x:v>PDF</x:v>
      </x:c>
      <x:c r="H855" s="20" t="str">
        <x:v>1-3 pages</x:v>
      </x:c>
      <x:c r="I855" s="35" t="str">
        <x:v>crumpled thermal receipt</x:v>
      </x:c>
      <x:c r="J855" s="20" t="str">
        <x:v>P016</x:v>
      </x:c>
      <x:c r="K855" s="20" t="str"/>
      <x:c r="L855" s="20" t="str"/>
      <x:c r="M855" s="20" t="str">
        <x:v>FIN-01578</x:v>
      </x:c>
      <x:c r="N855" s="35" t="str">
        <x:v>vendor; invoice number; date; subtotal; tax; total; category; property; unit; line items; payment method</x:v>
      </x:c>
      <x:c r="O855" s="35" t="str"/>
      <x:c r="P855" s="35" t="str">
        <x:v>Create a different expense of the same category through the equivalent manual form on the other client.</x:v>
      </x:c>
      <x:c r="Q855" s="35" t="str">
        <x:v>Synthetic QA only; no real people, accounts, signatures, or properties</x:v>
      </x:c>
    </x:row>
    <x:row r="856">
      <x:c r="A856" s="20" t="str">
        <x:v>SCN-0853</x:v>
      </x:c>
      <x:c r="B856" s="23" t="n">
        <x:v>46749</x:v>
      </x:c>
      <x:c r="C856" s="20" t="str">
        <x:v>scn-0853-expense-20271228-3416.pdf</x:v>
      </x:c>
      <x:c r="D856" s="20" t="str">
        <x:v>Vendor invoice / receipt</x:v>
      </x:c>
      <x:c r="E856" s="20" t="str">
        <x:v>Expense</x:v>
      </x:c>
      <x:c r="F856" s="35" t="str">
        <x:v>Direct scan draft with property/unit/work-order context</x:v>
      </x:c>
      <x:c r="G856" s="20" t="str">
        <x:v>PDF</x:v>
      </x:c>
      <x:c r="H856" s="20" t="str">
        <x:v>1-3 pages</x:v>
      </x:c>
      <x:c r="I856" s="35" t="str">
        <x:v>phone photo with shadow</x:v>
      </x:c>
      <x:c r="J856" s="20" t="str">
        <x:v>P016</x:v>
      </x:c>
      <x:c r="K856" s="20" t="str"/>
      <x:c r="L856" s="20" t="str"/>
      <x:c r="M856" s="20" t="str">
        <x:v>FIN-01579</x:v>
      </x:c>
      <x:c r="N856" s="35" t="str">
        <x:v>vendor; invoice number; date; subtotal; tax; total; category; property; unit; line items; payment method</x:v>
      </x:c>
      <x:c r="O856" s="35" t="str"/>
      <x:c r="P856" s="35" t="str">
        <x:v>Create a different expense of the same category through the equivalent manual form on the other client.</x:v>
      </x:c>
      <x:c r="Q856" s="35" t="str">
        <x:v>Synthetic QA only; no real people, accounts, signatures, or properties</x:v>
      </x:c>
    </x:row>
    <x:row r="857">
      <x:c r="A857" s="20" t="str">
        <x:v>SCN-0854</x:v>
      </x:c>
      <x:c r="B857" s="23" t="n">
        <x:v>46525</x:v>
      </x:c>
      <x:c r="C857" s="20" t="str">
        <x:v>scn-0854-expense-20270518-2017.pdf</x:v>
      </x:c>
      <x:c r="D857" s="20" t="str">
        <x:v>Vendor invoice / receipt</x:v>
      </x:c>
      <x:c r="E857" s="20" t="str">
        <x:v>Expense</x:v>
      </x:c>
      <x:c r="F857" s="35" t="str">
        <x:v>Direct scan draft with property/unit/work-order context</x:v>
      </x:c>
      <x:c r="G857" s="20" t="str">
        <x:v>PDF</x:v>
      </x:c>
      <x:c r="H857" s="20" t="str">
        <x:v>1-3 pages</x:v>
      </x:c>
      <x:c r="I857" s="35" t="str">
        <x:v>crumpled thermal receipt</x:v>
      </x:c>
      <x:c r="J857" s="20" t="str">
        <x:v>P017</x:v>
      </x:c>
      <x:c r="K857" s="20" t="str"/>
      <x:c r="L857" s="20" t="str"/>
      <x:c r="M857" s="20" t="str">
        <x:v>FIN-01580</x:v>
      </x:c>
      <x:c r="N857" s="35" t="str">
        <x:v>vendor; invoice number; date; subtotal; tax; total; category; property; unit; line items; payment method</x:v>
      </x:c>
      <x:c r="O857" s="35" t="str"/>
      <x:c r="P857" s="35" t="str">
        <x:v>Create a different expense of the same category through the equivalent manual form on the other client.</x:v>
      </x:c>
      <x:c r="Q857" s="35" t="str">
        <x:v>Synthetic QA only; no real people, accounts, signatures, or properties</x:v>
      </x:c>
    </x:row>
    <x:row r="858">
      <x:c r="A858" s="20" t="str">
        <x:v>SCN-0855</x:v>
      </x:c>
      <x:c r="B858" s="23" t="n">
        <x:v>46474</x:v>
      </x:c>
      <x:c r="C858" s="20" t="str">
        <x:v>scn-0855-expense-20270328-3117.jpg</x:v>
      </x:c>
      <x:c r="D858" s="20" t="str">
        <x:v>Vendor invoice / receipt</x:v>
      </x:c>
      <x:c r="E858" s="20" t="str">
        <x:v>Expense</x:v>
      </x:c>
      <x:c r="F858" s="35" t="str">
        <x:v>Direct scan draft with property/unit/work-order context</x:v>
      </x:c>
      <x:c r="G858" s="20" t="str">
        <x:v>Camera JPEG</x:v>
      </x:c>
      <x:c r="H858" s="20" t="str">
        <x:v>1-3 pages</x:v>
      </x:c>
      <x:c r="I858" s="35" t="str">
        <x:v>clean emailed invoice</x:v>
      </x:c>
      <x:c r="J858" s="20" t="str">
        <x:v>P017</x:v>
      </x:c>
      <x:c r="K858" s="20" t="str"/>
      <x:c r="L858" s="20" t="str"/>
      <x:c r="M858" s="20" t="str">
        <x:v>FIN-01581</x:v>
      </x:c>
      <x:c r="N858" s="35" t="str">
        <x:v>vendor; invoice number; date; subtotal; tax; total; category; property; unit; line items; payment method</x:v>
      </x:c>
      <x:c r="O858" s="35" t="str"/>
      <x:c r="P858" s="35" t="str">
        <x:v>Create a different expense of the same category through the equivalent manual form on the other client.</x:v>
      </x:c>
      <x:c r="Q858" s="35" t="str">
        <x:v>Synthetic QA only; no real people, accounts, signatures, or properties</x:v>
      </x:c>
    </x:row>
    <x:row r="859">
      <x:c r="A859" s="20" t="str">
        <x:v>SCN-0856</x:v>
      </x:c>
      <x:c r="B859" s="23" t="n">
        <x:v>46566</x:v>
      </x:c>
      <x:c r="C859" s="20" t="str">
        <x:v>scn-0856-expense-20270628-3217.pdf</x:v>
      </x:c>
      <x:c r="D859" s="20" t="str">
        <x:v>Vendor invoice / receipt</x:v>
      </x:c>
      <x:c r="E859" s="20" t="str">
        <x:v>Expense</x:v>
      </x:c>
      <x:c r="F859" s="35" t="str">
        <x:v>Direct scan draft with property/unit/work-order context</x:v>
      </x:c>
      <x:c r="G859" s="20" t="str">
        <x:v>PDF</x:v>
      </x:c>
      <x:c r="H859" s="20" t="str">
        <x:v>1-3 pages</x:v>
      </x:c>
      <x:c r="I859" s="35" t="str">
        <x:v>crumpled thermal receipt</x:v>
      </x:c>
      <x:c r="J859" s="20" t="str">
        <x:v>P017</x:v>
      </x:c>
      <x:c r="K859" s="20" t="str"/>
      <x:c r="L859" s="20" t="str"/>
      <x:c r="M859" s="20" t="str">
        <x:v>FIN-01582</x:v>
      </x:c>
      <x:c r="N859" s="35" t="str">
        <x:v>vendor; invoice number; date; subtotal; tax; total; category; property; unit; line items; payment method</x:v>
      </x:c>
      <x:c r="O859" s="35" t="str"/>
      <x:c r="P859" s="35" t="str">
        <x:v>Create a different expense of the same category through the equivalent manual form on the other client.</x:v>
      </x:c>
      <x:c r="Q859" s="35" t="str">
        <x:v>Synthetic QA only; no real people, accounts, signatures, or properties</x:v>
      </x:c>
    </x:row>
    <x:row r="860">
      <x:c r="A860" s="20" t="str">
        <x:v>SCN-0857</x:v>
      </x:c>
      <x:c r="B860" s="23" t="n">
        <x:v>46658</x:v>
      </x:c>
      <x:c r="C860" s="20" t="str">
        <x:v>scn-0857-expense-20270928-3317.pdf</x:v>
      </x:c>
      <x:c r="D860" s="20" t="str">
        <x:v>Vendor invoice / receipt</x:v>
      </x:c>
      <x:c r="E860" s="20" t="str">
        <x:v>Expense</x:v>
      </x:c>
      <x:c r="F860" s="35" t="str">
        <x:v>Direct scan draft with property/unit/work-order context</x:v>
      </x:c>
      <x:c r="G860" s="20" t="str">
        <x:v>PDF</x:v>
      </x:c>
      <x:c r="H860" s="20" t="str">
        <x:v>1-3 pages</x:v>
      </x:c>
      <x:c r="I860" s="35" t="str">
        <x:v>phone photo with shadow</x:v>
      </x:c>
      <x:c r="J860" s="20" t="str">
        <x:v>P017</x:v>
      </x:c>
      <x:c r="K860" s="20" t="str"/>
      <x:c r="L860" s="20" t="str"/>
      <x:c r="M860" s="20" t="str">
        <x:v>FIN-01583</x:v>
      </x:c>
      <x:c r="N860" s="35" t="str">
        <x:v>vendor; invoice number; date; subtotal; tax; total; category; property; unit; line items; payment method</x:v>
      </x:c>
      <x:c r="O860" s="35" t="str"/>
      <x:c r="P860" s="35" t="str">
        <x:v>Create a different expense of the same category through the equivalent manual form on the other client.</x:v>
      </x:c>
      <x:c r="Q860" s="35" t="str">
        <x:v>Synthetic QA only; no real people, accounts, signatures, or properties</x:v>
      </x:c>
    </x:row>
    <x:row r="861">
      <x:c r="A861" s="20" t="str">
        <x:v>SCN-0858</x:v>
      </x:c>
      <x:c r="B861" s="23" t="n">
        <x:v>46749</x:v>
      </x:c>
      <x:c r="C861" s="20" t="str">
        <x:v>scn-0858-expense-20271228-3417.jpg</x:v>
      </x:c>
      <x:c r="D861" s="20" t="str">
        <x:v>Vendor invoice / receipt</x:v>
      </x:c>
      <x:c r="E861" s="20" t="str">
        <x:v>Expense</x:v>
      </x:c>
      <x:c r="F861" s="35" t="str">
        <x:v>Direct scan draft with property/unit/work-order context</x:v>
      </x:c>
      <x:c r="G861" s="20" t="str">
        <x:v>Camera JPEG</x:v>
      </x:c>
      <x:c r="H861" s="20" t="str">
        <x:v>1-3 pages</x:v>
      </x:c>
      <x:c r="I861" s="35" t="str">
        <x:v>clean emailed invoice</x:v>
      </x:c>
      <x:c r="J861" s="20" t="str">
        <x:v>P017</x:v>
      </x:c>
      <x:c r="K861" s="20" t="str"/>
      <x:c r="L861" s="20" t="str"/>
      <x:c r="M861" s="20" t="str">
        <x:v>FIN-01584</x:v>
      </x:c>
      <x:c r="N861" s="35" t="str">
        <x:v>vendor; invoice number; date; subtotal; tax; total; category; property; unit; line items; payment method</x:v>
      </x:c>
      <x:c r="O861" s="35" t="str">
        <x:v>split tax/line items; duplicate invoice number</x:v>
      </x:c>
      <x:c r="P861" s="35" t="str">
        <x:v>Create a different expense of the same category through the equivalent manual form on the other client.</x:v>
      </x:c>
      <x:c r="Q861" s="35" t="str">
        <x:v>Synthetic QA only; no real people, accounts, signatures, or properties</x:v>
      </x:c>
    </x:row>
    <x:row r="862">
      <x:c r="A862" s="20" t="str">
        <x:v>SCN-0859</x:v>
      </x:c>
      <x:c r="B862" s="23" t="n">
        <x:v>46556</x:v>
      </x:c>
      <x:c r="C862" s="20" t="str">
        <x:v>scn-0859-expense-20270618-2018.pdf</x:v>
      </x:c>
      <x:c r="D862" s="20" t="str">
        <x:v>Vendor invoice / receipt</x:v>
      </x:c>
      <x:c r="E862" s="20" t="str">
        <x:v>Expense</x:v>
      </x:c>
      <x:c r="F862" s="35" t="str">
        <x:v>Direct scan draft with property/unit/work-order context</x:v>
      </x:c>
      <x:c r="G862" s="20" t="str">
        <x:v>PDF</x:v>
      </x:c>
      <x:c r="H862" s="20" t="str">
        <x:v>1-3 pages</x:v>
      </x:c>
      <x:c r="I862" s="35" t="str">
        <x:v>phone photo with shadow</x:v>
      </x:c>
      <x:c r="J862" s="20" t="str">
        <x:v>P018</x:v>
      </x:c>
      <x:c r="K862" s="20" t="str"/>
      <x:c r="L862" s="20" t="str"/>
      <x:c r="M862" s="20" t="str">
        <x:v>FIN-01585</x:v>
      </x:c>
      <x:c r="N862" s="35" t="str">
        <x:v>vendor; invoice number; date; subtotal; tax; total; category; property; unit; line items; payment method</x:v>
      </x:c>
      <x:c r="O862" s="35" t="str"/>
      <x:c r="P862" s="35" t="str">
        <x:v>Create a different expense of the same category through the equivalent manual form on the other client.</x:v>
      </x:c>
      <x:c r="Q862" s="35" t="str">
        <x:v>Synthetic QA only; no real people, accounts, signatures, or properties</x:v>
      </x:c>
    </x:row>
    <x:row r="863">
      <x:c r="A863" s="20" t="str">
        <x:v>SCN-0860</x:v>
      </x:c>
      <x:c r="B863" s="23" t="n">
        <x:v>46474</x:v>
      </x:c>
      <x:c r="C863" s="20" t="str">
        <x:v>scn-0860-expense-20270328-3118.pdf</x:v>
      </x:c>
      <x:c r="D863" s="20" t="str">
        <x:v>Vendor invoice / receipt</x:v>
      </x:c>
      <x:c r="E863" s="20" t="str">
        <x:v>Expense</x:v>
      </x:c>
      <x:c r="F863" s="35" t="str">
        <x:v>Direct scan draft with property/unit/work-order context</x:v>
      </x:c>
      <x:c r="G863" s="20" t="str">
        <x:v>PDF</x:v>
      </x:c>
      <x:c r="H863" s="20" t="str">
        <x:v>1-3 pages</x:v>
      </x:c>
      <x:c r="I863" s="35" t="str">
        <x:v>crumpled thermal receipt</x:v>
      </x:c>
      <x:c r="J863" s="20" t="str">
        <x:v>P018</x:v>
      </x:c>
      <x:c r="K863" s="20" t="str"/>
      <x:c r="L863" s="20" t="str"/>
      <x:c r="M863" s="20" t="str">
        <x:v>FIN-01586</x:v>
      </x:c>
      <x:c r="N863" s="35" t="str">
        <x:v>vendor; invoice number; date; subtotal; tax; total; category; property; unit; line items; payment method</x:v>
      </x:c>
      <x:c r="O863" s="35" t="str"/>
      <x:c r="P863" s="35" t="str">
        <x:v>Create a different expense of the same category through the equivalent manual form on the other client.</x:v>
      </x:c>
      <x:c r="Q863" s="35" t="str">
        <x:v>Synthetic QA only; no real people, accounts, signatures, or properties</x:v>
      </x:c>
    </x:row>
    <x:row r="864">
      <x:c r="A864" s="20" t="str">
        <x:v>SCN-0861</x:v>
      </x:c>
      <x:c r="B864" s="23" t="n">
        <x:v>46566</x:v>
      </x:c>
      <x:c r="C864" s="20" t="str">
        <x:v>scn-0861-expense-20270628-3218.pdf</x:v>
      </x:c>
      <x:c r="D864" s="20" t="str">
        <x:v>Vendor invoice / receipt</x:v>
      </x:c>
      <x:c r="E864" s="20" t="str">
        <x:v>Expense</x:v>
      </x:c>
      <x:c r="F864" s="35" t="str">
        <x:v>Direct scan draft with property/unit/work-order context</x:v>
      </x:c>
      <x:c r="G864" s="20" t="str">
        <x:v>PDF</x:v>
      </x:c>
      <x:c r="H864" s="20" t="str">
        <x:v>1-3 pages</x:v>
      </x:c>
      <x:c r="I864" s="35" t="str">
        <x:v>phone photo with shadow</x:v>
      </x:c>
      <x:c r="J864" s="20" t="str">
        <x:v>P018</x:v>
      </x:c>
      <x:c r="K864" s="20" t="str"/>
      <x:c r="L864" s="20" t="str"/>
      <x:c r="M864" s="20" t="str">
        <x:v>FIN-01587</x:v>
      </x:c>
      <x:c r="N864" s="35" t="str">
        <x:v>vendor; invoice number; date; subtotal; tax; total; category; property; unit; line items; payment method</x:v>
      </x:c>
      <x:c r="O864" s="35" t="str"/>
      <x:c r="P864" s="35" t="str">
        <x:v>Create a different expense of the same category through the equivalent manual form on the other client.</x:v>
      </x:c>
      <x:c r="Q864" s="35" t="str">
        <x:v>Synthetic QA only; no real people, accounts, signatures, or properties</x:v>
      </x:c>
    </x:row>
    <x:row r="865">
      <x:c r="A865" s="20" t="str">
        <x:v>SCN-0862</x:v>
      </x:c>
      <x:c r="B865" s="23" t="n">
        <x:v>46658</x:v>
      </x:c>
      <x:c r="C865" s="20" t="str">
        <x:v>scn-0862-expense-20270928-3318.jpg</x:v>
      </x:c>
      <x:c r="D865" s="20" t="str">
        <x:v>Vendor invoice / receipt</x:v>
      </x:c>
      <x:c r="E865" s="20" t="str">
        <x:v>Expense</x:v>
      </x:c>
      <x:c r="F865" s="35" t="str">
        <x:v>Direct scan draft with property/unit/work-order context</x:v>
      </x:c>
      <x:c r="G865" s="20" t="str">
        <x:v>Camera JPEG</x:v>
      </x:c>
      <x:c r="H865" s="20" t="str">
        <x:v>1-3 pages</x:v>
      </x:c>
      <x:c r="I865" s="35" t="str">
        <x:v>clean emailed invoice</x:v>
      </x:c>
      <x:c r="J865" s="20" t="str">
        <x:v>P018</x:v>
      </x:c>
      <x:c r="K865" s="20" t="str"/>
      <x:c r="L865" s="20" t="str"/>
      <x:c r="M865" s="20" t="str">
        <x:v>FIN-01588</x:v>
      </x:c>
      <x:c r="N865" s="35" t="str">
        <x:v>vendor; invoice number; date; subtotal; tax; total; category; property; unit; line items; payment method</x:v>
      </x:c>
      <x:c r="O865" s="35" t="str"/>
      <x:c r="P865" s="35" t="str">
        <x:v>Create a different expense of the same category through the equivalent manual form on the other client.</x:v>
      </x:c>
      <x:c r="Q865" s="35" t="str">
        <x:v>Synthetic QA only; no real people, accounts, signatures, or properties</x:v>
      </x:c>
    </x:row>
    <x:row r="866">
      <x:c r="A866" s="20" t="str">
        <x:v>SCN-0863</x:v>
      </x:c>
      <x:c r="B866" s="23" t="n">
        <x:v>46749</x:v>
      </x:c>
      <x:c r="C866" s="20" t="str">
        <x:v>scn-0863-expense-20271228-3418.pdf</x:v>
      </x:c>
      <x:c r="D866" s="20" t="str">
        <x:v>Vendor invoice / receipt</x:v>
      </x:c>
      <x:c r="E866" s="20" t="str">
        <x:v>Expense</x:v>
      </x:c>
      <x:c r="F866" s="35" t="str">
        <x:v>Direct scan draft with property/unit/work-order context</x:v>
      </x:c>
      <x:c r="G866" s="20" t="str">
        <x:v>PDF</x:v>
      </x:c>
      <x:c r="H866" s="20" t="str">
        <x:v>1-3 pages</x:v>
      </x:c>
      <x:c r="I866" s="35" t="str">
        <x:v>crumpled thermal receipt</x:v>
      </x:c>
      <x:c r="J866" s="20" t="str">
        <x:v>P018</x:v>
      </x:c>
      <x:c r="K866" s="20" t="str"/>
      <x:c r="L866" s="20" t="str"/>
      <x:c r="M866" s="20" t="str">
        <x:v>FIN-01589</x:v>
      </x:c>
      <x:c r="N866" s="35" t="str">
        <x:v>vendor; invoice number; date; subtotal; tax; total; category; property; unit; line items; payment method</x:v>
      </x:c>
      <x:c r="O866" s="35" t="str"/>
      <x:c r="P866" s="35" t="str">
        <x:v>Create a different expense of the same category through the equivalent manual form on the other client.</x:v>
      </x:c>
      <x:c r="Q866" s="35" t="str">
        <x:v>Synthetic QA only; no real people, accounts, signatures, or properties</x:v>
      </x:c>
    </x:row>
    <x:row r="867">
      <x:c r="A867" s="20" t="str">
        <x:v>SCN-0864</x:v>
      </x:c>
      <x:c r="B867" s="23" t="n">
        <x:v>46586</x:v>
      </x:c>
      <x:c r="C867" s="20" t="str">
        <x:v>scn-0864-expense-20270718-2019.jpg</x:v>
      </x:c>
      <x:c r="D867" s="20" t="str">
        <x:v>Vendor invoice / receipt</x:v>
      </x:c>
      <x:c r="E867" s="20" t="str">
        <x:v>Expense</x:v>
      </x:c>
      <x:c r="F867" s="35" t="str">
        <x:v>Direct scan draft with property/unit/work-order context</x:v>
      </x:c>
      <x:c r="G867" s="20" t="str">
        <x:v>Camera JPEG</x:v>
      </x:c>
      <x:c r="H867" s="20" t="str">
        <x:v>1-3 pages</x:v>
      </x:c>
      <x:c r="I867" s="35" t="str">
        <x:v>clean emailed invoice</x:v>
      </x:c>
      <x:c r="J867" s="20" t="str">
        <x:v>P019</x:v>
      </x:c>
      <x:c r="K867" s="20" t="str"/>
      <x:c r="L867" s="20" t="str"/>
      <x:c r="M867" s="20" t="str">
        <x:v>FIN-01590</x:v>
      </x:c>
      <x:c r="N867" s="35" t="str">
        <x:v>vendor; invoice number; date; subtotal; tax; total; category; property; unit; line items; payment method</x:v>
      </x:c>
      <x:c r="O867" s="35" t="str"/>
      <x:c r="P867" s="35" t="str">
        <x:v>Create a different expense of the same category through the equivalent manual form on the other client.</x:v>
      </x:c>
      <x:c r="Q867" s="35" t="str">
        <x:v>Synthetic QA only; no real people, accounts, signatures, or properties</x:v>
      </x:c>
    </x:row>
    <x:row r="868">
      <x:c r="A868" s="20" t="str">
        <x:v>SCN-0865</x:v>
      </x:c>
      <x:c r="B868" s="23" t="n">
        <x:v>46474</x:v>
      </x:c>
      <x:c r="C868" s="20" t="str">
        <x:v>scn-0865-expense-20270328-3119.pdf</x:v>
      </x:c>
      <x:c r="D868" s="20" t="str">
        <x:v>Vendor invoice / receipt</x:v>
      </x:c>
      <x:c r="E868" s="20" t="str">
        <x:v>Expense</x:v>
      </x:c>
      <x:c r="F868" s="35" t="str">
        <x:v>Direct scan draft with property/unit/work-order context</x:v>
      </x:c>
      <x:c r="G868" s="20" t="str">
        <x:v>PDF</x:v>
      </x:c>
      <x:c r="H868" s="20" t="str">
        <x:v>1-3 pages</x:v>
      </x:c>
      <x:c r="I868" s="35" t="str">
        <x:v>phone photo with shadow</x:v>
      </x:c>
      <x:c r="J868" s="20" t="str">
        <x:v>P019</x:v>
      </x:c>
      <x:c r="K868" s="20" t="str"/>
      <x:c r="L868" s="20" t="str"/>
      <x:c r="M868" s="20" t="str">
        <x:v>FIN-01591</x:v>
      </x:c>
      <x:c r="N868" s="35" t="str">
        <x:v>vendor; invoice number; date; subtotal; tax; total; category; property; unit; line items; payment method</x:v>
      </x:c>
      <x:c r="O868" s="35" t="str"/>
      <x:c r="P868" s="35" t="str">
        <x:v>Create a different expense of the same category through the equivalent manual form on the other client.</x:v>
      </x:c>
      <x:c r="Q868" s="35" t="str">
        <x:v>Synthetic QA only; no real people, accounts, signatures, or properties</x:v>
      </x:c>
    </x:row>
    <x:row r="869">
      <x:c r="A869" s="20" t="str">
        <x:v>SCN-0866</x:v>
      </x:c>
      <x:c r="B869" s="23" t="n">
        <x:v>46566</x:v>
      </x:c>
      <x:c r="C869" s="20" t="str">
        <x:v>scn-0866-expense-20270628-3219.jpg</x:v>
      </x:c>
      <x:c r="D869" s="20" t="str">
        <x:v>Vendor invoice / receipt</x:v>
      </x:c>
      <x:c r="E869" s="20" t="str">
        <x:v>Expense</x:v>
      </x:c>
      <x:c r="F869" s="35" t="str">
        <x:v>Direct scan draft with property/unit/work-order context</x:v>
      </x:c>
      <x:c r="G869" s="20" t="str">
        <x:v>Camera JPEG</x:v>
      </x:c>
      <x:c r="H869" s="20" t="str">
        <x:v>1-3 pages</x:v>
      </x:c>
      <x:c r="I869" s="35" t="str">
        <x:v>clean emailed invoice</x:v>
      </x:c>
      <x:c r="J869" s="20" t="str">
        <x:v>P019</x:v>
      </x:c>
      <x:c r="K869" s="20" t="str"/>
      <x:c r="L869" s="20" t="str"/>
      <x:c r="M869" s="20" t="str">
        <x:v>FIN-01592</x:v>
      </x:c>
      <x:c r="N869" s="35" t="str">
        <x:v>vendor; invoice number; date; subtotal; tax; total; category; property; unit; line items; payment method</x:v>
      </x:c>
      <x:c r="O869" s="35" t="str"/>
      <x:c r="P869" s="35" t="str">
        <x:v>Create a different expense of the same category through the equivalent manual form on the other client.</x:v>
      </x:c>
      <x:c r="Q869" s="35" t="str">
        <x:v>Synthetic QA only; no real people, accounts, signatures, or properties</x:v>
      </x:c>
    </x:row>
    <x:row r="870">
      <x:c r="A870" s="20" t="str">
        <x:v>SCN-0867</x:v>
      </x:c>
      <x:c r="B870" s="23" t="n">
        <x:v>46658</x:v>
      </x:c>
      <x:c r="C870" s="20" t="str">
        <x:v>scn-0867-expense-20270928-3319.pdf</x:v>
      </x:c>
      <x:c r="D870" s="20" t="str">
        <x:v>Vendor invoice / receipt</x:v>
      </x:c>
      <x:c r="E870" s="20" t="str">
        <x:v>Expense</x:v>
      </x:c>
      <x:c r="F870" s="35" t="str">
        <x:v>Direct scan draft with property/unit/work-order context</x:v>
      </x:c>
      <x:c r="G870" s="20" t="str">
        <x:v>PDF</x:v>
      </x:c>
      <x:c r="H870" s="20" t="str">
        <x:v>1-3 pages</x:v>
      </x:c>
      <x:c r="I870" s="35" t="str">
        <x:v>crumpled thermal receipt</x:v>
      </x:c>
      <x:c r="J870" s="20" t="str">
        <x:v>P019</x:v>
      </x:c>
      <x:c r="K870" s="20" t="str"/>
      <x:c r="L870" s="20" t="str"/>
      <x:c r="M870" s="20" t="str">
        <x:v>FIN-01593</x:v>
      </x:c>
      <x:c r="N870" s="35" t="str">
        <x:v>vendor; invoice number; date; subtotal; tax; total; category; property; unit; line items; payment method</x:v>
      </x:c>
      <x:c r="O870" s="35" t="str"/>
      <x:c r="P870" s="35" t="str">
        <x:v>Create a different expense of the same category through the equivalent manual form on the other client.</x:v>
      </x:c>
      <x:c r="Q870" s="35" t="str">
        <x:v>Synthetic QA only; no real people, accounts, signatures, or properties</x:v>
      </x:c>
    </x:row>
    <x:row r="871">
      <x:c r="A871" s="20" t="str">
        <x:v>SCN-0868</x:v>
      </x:c>
      <x:c r="B871" s="23" t="n">
        <x:v>46749</x:v>
      </x:c>
      <x:c r="C871" s="20" t="str">
        <x:v>scn-0868-expense-20271228-3419.pdf</x:v>
      </x:c>
      <x:c r="D871" s="20" t="str">
        <x:v>Vendor invoice / receipt</x:v>
      </x:c>
      <x:c r="E871" s="20" t="str">
        <x:v>Expense</x:v>
      </x:c>
      <x:c r="F871" s="35" t="str">
        <x:v>Direct scan draft with property/unit/work-order context</x:v>
      </x:c>
      <x:c r="G871" s="20" t="str">
        <x:v>PDF</x:v>
      </x:c>
      <x:c r="H871" s="20" t="str">
        <x:v>1-3 pages</x:v>
      </x:c>
      <x:c r="I871" s="35" t="str">
        <x:v>phone photo with shadow</x:v>
      </x:c>
      <x:c r="J871" s="20" t="str">
        <x:v>P019</x:v>
      </x:c>
      <x:c r="K871" s="20" t="str"/>
      <x:c r="L871" s="20" t="str"/>
      <x:c r="M871" s="20" t="str">
        <x:v>FIN-01594</x:v>
      </x:c>
      <x:c r="N871" s="35" t="str">
        <x:v>vendor; invoice number; date; subtotal; tax; total; category; property; unit; line items; payment method</x:v>
      </x:c>
      <x:c r="O871" s="35" t="str"/>
      <x:c r="P871" s="35" t="str">
        <x:v>Create a different expense of the same category through the equivalent manual form on the other client.</x:v>
      </x:c>
      <x:c r="Q871" s="35" t="str">
        <x:v>Synthetic QA only; no real people, accounts, signatures, or properties</x:v>
      </x:c>
    </x:row>
    <x:row r="872">
      <x:c r="A872" s="20" t="str">
        <x:v>SCN-0869</x:v>
      </x:c>
      <x:c r="B872" s="23" t="n">
        <x:v>46648</x:v>
      </x:c>
      <x:c r="C872" s="20" t="str">
        <x:v>scn-0869-expense-20270918-2021.pdf</x:v>
      </x:c>
      <x:c r="D872" s="20" t="str">
        <x:v>Vendor invoice / receipt</x:v>
      </x:c>
      <x:c r="E872" s="20" t="str">
        <x:v>Expense</x:v>
      </x:c>
      <x:c r="F872" s="35" t="str">
        <x:v>Direct scan draft with property/unit/work-order context</x:v>
      </x:c>
      <x:c r="G872" s="20" t="str">
        <x:v>PDF</x:v>
      </x:c>
      <x:c r="H872" s="20" t="str">
        <x:v>1-3 pages</x:v>
      </x:c>
      <x:c r="I872" s="35" t="str">
        <x:v>phone photo with shadow</x:v>
      </x:c>
      <x:c r="J872" s="20" t="str">
        <x:v>P021</x:v>
      </x:c>
      <x:c r="K872" s="20" t="str"/>
      <x:c r="L872" s="20" t="str"/>
      <x:c r="M872" s="20" t="str">
        <x:v>FIN-01600</x:v>
      </x:c>
      <x:c r="N872" s="35" t="str">
        <x:v>vendor; invoice number; date; subtotal; tax; total; category; property; unit; line items; payment method</x:v>
      </x:c>
      <x:c r="O872" s="35" t="str"/>
      <x:c r="P872" s="35" t="str">
        <x:v>Create a different expense of the same category through the equivalent manual form on the other client.</x:v>
      </x:c>
      <x:c r="Q872" s="35" t="str">
        <x:v>Synthetic QA only; no real people, accounts, signatures, or properties</x:v>
      </x:c>
    </x:row>
    <x:row r="873">
      <x:c r="A873" s="20" t="str">
        <x:v>SCN-0870</x:v>
      </x:c>
      <x:c r="B873" s="23" t="n">
        <x:v>46474</x:v>
      </x:c>
      <x:c r="C873" s="20" t="str">
        <x:v>scn-0870-expense-20270328-3121.pdf</x:v>
      </x:c>
      <x:c r="D873" s="20" t="str">
        <x:v>Vendor invoice / receipt</x:v>
      </x:c>
      <x:c r="E873" s="20" t="str">
        <x:v>Expense</x:v>
      </x:c>
      <x:c r="F873" s="35" t="str">
        <x:v>Direct scan draft with property/unit/work-order context</x:v>
      </x:c>
      <x:c r="G873" s="20" t="str">
        <x:v>PDF</x:v>
      </x:c>
      <x:c r="H873" s="20" t="str">
        <x:v>1-3 pages</x:v>
      </x:c>
      <x:c r="I873" s="35" t="str">
        <x:v>crumpled thermal receipt</x:v>
      </x:c>
      <x:c r="J873" s="20" t="str">
        <x:v>P021</x:v>
      </x:c>
      <x:c r="K873" s="20" t="str"/>
      <x:c r="L873" s="20" t="str"/>
      <x:c r="M873" s="20" t="str">
        <x:v>FIN-01601</x:v>
      </x:c>
      <x:c r="N873" s="35" t="str">
        <x:v>vendor; invoice number; date; subtotal; tax; total; category; property; unit; line items; payment method</x:v>
      </x:c>
      <x:c r="O873" s="35" t="str"/>
      <x:c r="P873" s="35" t="str">
        <x:v>Create a different expense of the same category through the equivalent manual form on the other client.</x:v>
      </x:c>
      <x:c r="Q873" s="35" t="str">
        <x:v>Synthetic QA only; no real people, accounts, signatures, or properties</x:v>
      </x:c>
    </x:row>
    <x:row r="874">
      <x:c r="A874" s="20" t="str">
        <x:v>SCN-0871</x:v>
      </x:c>
      <x:c r="B874" s="23" t="n">
        <x:v>46566</x:v>
      </x:c>
      <x:c r="C874" s="20" t="str">
        <x:v>scn-0871-expense-20270628-3221.pdf</x:v>
      </x:c>
      <x:c r="D874" s="20" t="str">
        <x:v>Vendor invoice / receipt</x:v>
      </x:c>
      <x:c r="E874" s="20" t="str">
        <x:v>Expense</x:v>
      </x:c>
      <x:c r="F874" s="35" t="str">
        <x:v>Direct scan draft with property/unit/work-order context</x:v>
      </x:c>
      <x:c r="G874" s="20" t="str">
        <x:v>PDF</x:v>
      </x:c>
      <x:c r="H874" s="20" t="str">
        <x:v>1-3 pages</x:v>
      </x:c>
      <x:c r="I874" s="35" t="str">
        <x:v>phone photo with shadow</x:v>
      </x:c>
      <x:c r="J874" s="20" t="str">
        <x:v>P021</x:v>
      </x:c>
      <x:c r="K874" s="20" t="str"/>
      <x:c r="L874" s="20" t="str"/>
      <x:c r="M874" s="20" t="str">
        <x:v>FIN-01602</x:v>
      </x:c>
      <x:c r="N874" s="35" t="str">
        <x:v>vendor; invoice number; date; subtotal; tax; total; category; property; unit; line items; payment method</x:v>
      </x:c>
      <x:c r="O874" s="35" t="str"/>
      <x:c r="P874" s="35" t="str">
        <x:v>Create a different expense of the same category through the equivalent manual form on the other client.</x:v>
      </x:c>
      <x:c r="Q874" s="35" t="str">
        <x:v>Synthetic QA only; no real people, accounts, signatures, or properties</x:v>
      </x:c>
    </x:row>
    <x:row r="875">
      <x:c r="A875" s="20" t="str">
        <x:v>SCN-0872</x:v>
      </x:c>
      <x:c r="B875" s="23" t="n">
        <x:v>46658</x:v>
      </x:c>
      <x:c r="C875" s="20" t="str">
        <x:v>scn-0872-expense-20270928-3321.jpg</x:v>
      </x:c>
      <x:c r="D875" s="20" t="str">
        <x:v>Vendor invoice / receipt</x:v>
      </x:c>
      <x:c r="E875" s="20" t="str">
        <x:v>Expense</x:v>
      </x:c>
      <x:c r="F875" s="35" t="str">
        <x:v>Direct scan draft with property/unit/work-order context</x:v>
      </x:c>
      <x:c r="G875" s="20" t="str">
        <x:v>Camera JPEG</x:v>
      </x:c>
      <x:c r="H875" s="20" t="str">
        <x:v>1-3 pages</x:v>
      </x:c>
      <x:c r="I875" s="35" t="str">
        <x:v>clean emailed invoice</x:v>
      </x:c>
      <x:c r="J875" s="20" t="str">
        <x:v>P021</x:v>
      </x:c>
      <x:c r="K875" s="20" t="str"/>
      <x:c r="L875" s="20" t="str"/>
      <x:c r="M875" s="20" t="str">
        <x:v>FIN-01603</x:v>
      </x:c>
      <x:c r="N875" s="35" t="str">
        <x:v>vendor; invoice number; date; subtotal; tax; total; category; property; unit; line items; payment method</x:v>
      </x:c>
      <x:c r="O875" s="35" t="str"/>
      <x:c r="P875" s="35" t="str">
        <x:v>Create a different expense of the same category through the equivalent manual form on the other client.</x:v>
      </x:c>
      <x:c r="Q875" s="35" t="str">
        <x:v>Synthetic QA only; no real people, accounts, signatures, or properties</x:v>
      </x:c>
    </x:row>
    <x:row r="876">
      <x:c r="A876" s="20" t="str">
        <x:v>SCN-0873</x:v>
      </x:c>
      <x:c r="B876" s="23" t="n">
        <x:v>46749</x:v>
      </x:c>
      <x:c r="C876" s="20" t="str">
        <x:v>scn-0873-expense-20271228-3421.pdf</x:v>
      </x:c>
      <x:c r="D876" s="20" t="str">
        <x:v>Vendor invoice / receipt</x:v>
      </x:c>
      <x:c r="E876" s="20" t="str">
        <x:v>Expense</x:v>
      </x:c>
      <x:c r="F876" s="35" t="str">
        <x:v>Direct scan draft with property/unit/work-order context</x:v>
      </x:c>
      <x:c r="G876" s="20" t="str">
        <x:v>PDF</x:v>
      </x:c>
      <x:c r="H876" s="20" t="str">
        <x:v>1-3 pages</x:v>
      </x:c>
      <x:c r="I876" s="35" t="str">
        <x:v>crumpled thermal receipt</x:v>
      </x:c>
      <x:c r="J876" s="20" t="str">
        <x:v>P021</x:v>
      </x:c>
      <x:c r="K876" s="20" t="str"/>
      <x:c r="L876" s="20" t="str"/>
      <x:c r="M876" s="20" t="str">
        <x:v>FIN-01604</x:v>
      </x:c>
      <x:c r="N876" s="35" t="str">
        <x:v>vendor; invoice number; date; subtotal; tax; total; category; property; unit; line items; payment method</x:v>
      </x:c>
      <x:c r="O876" s="35" t="str"/>
      <x:c r="P876" s="35" t="str">
        <x:v>Create a different expense of the same category through the equivalent manual form on the other client.</x:v>
      </x:c>
      <x:c r="Q876" s="35" t="str">
        <x:v>Synthetic QA only; no real people, accounts, signatures, or properties</x:v>
      </x:c>
    </x:row>
    <x:row r="877">
      <x:c r="A877" s="20" t="str">
        <x:v>SCN-0874</x:v>
      </x:c>
      <x:c r="B877" s="23" t="n">
        <x:v>46678</x:v>
      </x:c>
      <x:c r="C877" s="20" t="str">
        <x:v>scn-0874-expense-20271018-2022.jpg</x:v>
      </x:c>
      <x:c r="D877" s="20" t="str">
        <x:v>Vendor invoice / receipt</x:v>
      </x:c>
      <x:c r="E877" s="20" t="str">
        <x:v>Expense</x:v>
      </x:c>
      <x:c r="F877" s="35" t="str">
        <x:v>Direct scan draft with property/unit/work-order context</x:v>
      </x:c>
      <x:c r="G877" s="20" t="str">
        <x:v>Camera JPEG</x:v>
      </x:c>
      <x:c r="H877" s="20" t="str">
        <x:v>1-3 pages</x:v>
      </x:c>
      <x:c r="I877" s="35" t="str">
        <x:v>clean emailed invoice</x:v>
      </x:c>
      <x:c r="J877" s="20" t="str">
        <x:v>P022</x:v>
      </x:c>
      <x:c r="K877" s="20" t="str"/>
      <x:c r="L877" s="20" t="str"/>
      <x:c r="M877" s="20" t="str">
        <x:v>FIN-01605</x:v>
      </x:c>
      <x:c r="N877" s="35" t="str">
        <x:v>vendor; invoice number; date; subtotal; tax; total; category; property; unit; line items; payment method</x:v>
      </x:c>
      <x:c r="O877" s="35" t="str"/>
      <x:c r="P877" s="35" t="str">
        <x:v>Create a different expense of the same category through the equivalent manual form on the other client.</x:v>
      </x:c>
      <x:c r="Q877" s="35" t="str">
        <x:v>Synthetic QA only; no real people, accounts, signatures, or properties</x:v>
      </x:c>
    </x:row>
    <x:row r="878">
      <x:c r="A878" s="20" t="str">
        <x:v>SCN-0875</x:v>
      </x:c>
      <x:c r="B878" s="23" t="n">
        <x:v>46474</x:v>
      </x:c>
      <x:c r="C878" s="20" t="str">
        <x:v>scn-0875-expense-20270328-3122.pdf</x:v>
      </x:c>
      <x:c r="D878" s="20" t="str">
        <x:v>Vendor invoice / receipt</x:v>
      </x:c>
      <x:c r="E878" s="20" t="str">
        <x:v>Expense</x:v>
      </x:c>
      <x:c r="F878" s="35" t="str">
        <x:v>Direct scan draft with property/unit/work-order context</x:v>
      </x:c>
      <x:c r="G878" s="20" t="str">
        <x:v>PDF</x:v>
      </x:c>
      <x:c r="H878" s="20" t="str">
        <x:v>1-3 pages</x:v>
      </x:c>
      <x:c r="I878" s="35" t="str">
        <x:v>phone photo with shadow</x:v>
      </x:c>
      <x:c r="J878" s="20" t="str">
        <x:v>P022</x:v>
      </x:c>
      <x:c r="K878" s="20" t="str"/>
      <x:c r="L878" s="20" t="str"/>
      <x:c r="M878" s="20" t="str">
        <x:v>FIN-01606</x:v>
      </x:c>
      <x:c r="N878" s="35" t="str">
        <x:v>vendor; invoice number; date; subtotal; tax; total; category; property; unit; line items; payment method</x:v>
      </x:c>
      <x:c r="O878" s="35" t="str"/>
      <x:c r="P878" s="35" t="str">
        <x:v>Create a different expense of the same category through the equivalent manual form on the other client.</x:v>
      </x:c>
      <x:c r="Q878" s="35" t="str">
        <x:v>Synthetic QA only; no real people, accounts, signatures, or properties</x:v>
      </x:c>
    </x:row>
    <x:row r="879">
      <x:c r="A879" s="20" t="str">
        <x:v>SCN-0876</x:v>
      </x:c>
      <x:c r="B879" s="23" t="n">
        <x:v>46566</x:v>
      </x:c>
      <x:c r="C879" s="20" t="str">
        <x:v>scn-0876-expense-20270628-3222.jpg</x:v>
      </x:c>
      <x:c r="D879" s="20" t="str">
        <x:v>Vendor invoice / receipt</x:v>
      </x:c>
      <x:c r="E879" s="20" t="str">
        <x:v>Expense</x:v>
      </x:c>
      <x:c r="F879" s="35" t="str">
        <x:v>Direct scan draft with property/unit/work-order context</x:v>
      </x:c>
      <x:c r="G879" s="20" t="str">
        <x:v>Camera JPEG</x:v>
      </x:c>
      <x:c r="H879" s="20" t="str">
        <x:v>1-3 pages</x:v>
      </x:c>
      <x:c r="I879" s="35" t="str">
        <x:v>clean emailed invoice</x:v>
      </x:c>
      <x:c r="J879" s="20" t="str">
        <x:v>P022</x:v>
      </x:c>
      <x:c r="K879" s="20" t="str"/>
      <x:c r="L879" s="20" t="str"/>
      <x:c r="M879" s="20" t="str">
        <x:v>FIN-01607</x:v>
      </x:c>
      <x:c r="N879" s="35" t="str">
        <x:v>vendor; invoice number; date; subtotal; tax; total; category; property; unit; line items; payment method</x:v>
      </x:c>
      <x:c r="O879" s="35" t="str"/>
      <x:c r="P879" s="35" t="str">
        <x:v>Create a different expense of the same category through the equivalent manual form on the other client.</x:v>
      </x:c>
      <x:c r="Q879" s="35" t="str">
        <x:v>Synthetic QA only; no real people, accounts, signatures, or properties</x:v>
      </x:c>
    </x:row>
    <x:row r="880">
      <x:c r="A880" s="20" t="str">
        <x:v>SCN-0877</x:v>
      </x:c>
      <x:c r="B880" s="23" t="n">
        <x:v>46658</x:v>
      </x:c>
      <x:c r="C880" s="20" t="str">
        <x:v>scn-0877-expense-20270928-3322.pdf</x:v>
      </x:c>
      <x:c r="D880" s="20" t="str">
        <x:v>Vendor invoice / receipt</x:v>
      </x:c>
      <x:c r="E880" s="20" t="str">
        <x:v>Expense</x:v>
      </x:c>
      <x:c r="F880" s="35" t="str">
        <x:v>Direct scan draft with property/unit/work-order context</x:v>
      </x:c>
      <x:c r="G880" s="20" t="str">
        <x:v>PDF</x:v>
      </x:c>
      <x:c r="H880" s="20" t="str">
        <x:v>1-3 pages</x:v>
      </x:c>
      <x:c r="I880" s="35" t="str">
        <x:v>crumpled thermal receipt</x:v>
      </x:c>
      <x:c r="J880" s="20" t="str">
        <x:v>P022</x:v>
      </x:c>
      <x:c r="K880" s="20" t="str"/>
      <x:c r="L880" s="20" t="str"/>
      <x:c r="M880" s="20" t="str">
        <x:v>FIN-01608</x:v>
      </x:c>
      <x:c r="N880" s="35" t="str">
        <x:v>vendor; invoice number; date; subtotal; tax; total; category; property; unit; line items; payment method</x:v>
      </x:c>
      <x:c r="O880" s="35" t="str"/>
      <x:c r="P880" s="35" t="str">
        <x:v>Create a different expense of the same category through the equivalent manual form on the other client.</x:v>
      </x:c>
      <x:c r="Q880" s="35" t="str">
        <x:v>Synthetic QA only; no real people, accounts, signatures, or properties</x:v>
      </x:c>
    </x:row>
    <x:row r="881">
      <x:c r="A881" s="20" t="str">
        <x:v>SCN-0878</x:v>
      </x:c>
      <x:c r="B881" s="23" t="n">
        <x:v>46749</x:v>
      </x:c>
      <x:c r="C881" s="20" t="str">
        <x:v>scn-0878-expense-20271228-3422.pdf</x:v>
      </x:c>
      <x:c r="D881" s="20" t="str">
        <x:v>Vendor invoice / receipt</x:v>
      </x:c>
      <x:c r="E881" s="20" t="str">
        <x:v>Expense</x:v>
      </x:c>
      <x:c r="F881" s="35" t="str">
        <x:v>Direct scan draft with property/unit/work-order context</x:v>
      </x:c>
      <x:c r="G881" s="20" t="str">
        <x:v>PDF</x:v>
      </x:c>
      <x:c r="H881" s="20" t="str">
        <x:v>1-3 pages</x:v>
      </x:c>
      <x:c r="I881" s="35" t="str">
        <x:v>phone photo with shadow</x:v>
      </x:c>
      <x:c r="J881" s="20" t="str">
        <x:v>P022</x:v>
      </x:c>
      <x:c r="K881" s="20" t="str"/>
      <x:c r="L881" s="20" t="str"/>
      <x:c r="M881" s="20" t="str">
        <x:v>FIN-01609</x:v>
      </x:c>
      <x:c r="N881" s="35" t="str">
        <x:v>vendor; invoice number; date; subtotal; tax; total; category; property; unit; line items; payment method</x:v>
      </x:c>
      <x:c r="O881" s="35" t="str"/>
      <x:c r="P881" s="35" t="str">
        <x:v>Create a different expense of the same category through the equivalent manual form on the other client.</x:v>
      </x:c>
      <x:c r="Q881" s="35" t="str">
        <x:v>Synthetic QA only; no real people, accounts, signatures, or properties</x:v>
      </x:c>
    </x:row>
    <x:row r="882">
      <x:c r="A882" s="20" t="str">
        <x:v>SCN-0879</x:v>
      </x:c>
      <x:c r="B882" s="23" t="n">
        <x:v>46709</x:v>
      </x:c>
      <x:c r="C882" s="20" t="str">
        <x:v>scn-0879-expense-20271118-2023.pdf</x:v>
      </x:c>
      <x:c r="D882" s="20" t="str">
        <x:v>Vendor invoice / receipt</x:v>
      </x:c>
      <x:c r="E882" s="20" t="str">
        <x:v>Expense</x:v>
      </x:c>
      <x:c r="F882" s="35" t="str">
        <x:v>Direct scan draft with property/unit/work-order context</x:v>
      </x:c>
      <x:c r="G882" s="20" t="str">
        <x:v>PDF</x:v>
      </x:c>
      <x:c r="H882" s="20" t="str">
        <x:v>1-3 pages</x:v>
      </x:c>
      <x:c r="I882" s="35" t="str">
        <x:v>crumpled thermal receipt</x:v>
      </x:c>
      <x:c r="J882" s="20" t="str">
        <x:v>P023</x:v>
      </x:c>
      <x:c r="K882" s="20" t="str"/>
      <x:c r="L882" s="20" t="str"/>
      <x:c r="M882" s="20" t="str">
        <x:v>FIN-01610</x:v>
      </x:c>
      <x:c r="N882" s="35" t="str">
        <x:v>vendor; invoice number; date; subtotal; tax; total; category; property; unit; line items; payment method</x:v>
      </x:c>
      <x:c r="O882" s="35" t="str">
        <x:v>split tax/line items; duplicate invoice number</x:v>
      </x:c>
      <x:c r="P882" s="35" t="str">
        <x:v>Create a different expense of the same category through the equivalent manual form on the other client.</x:v>
      </x:c>
      <x:c r="Q882" s="35" t="str">
        <x:v>Synthetic QA only; no real people, accounts, signatures, or properties</x:v>
      </x:c>
    </x:row>
    <x:row r="883">
      <x:c r="A883" s="20" t="str">
        <x:v>SCN-0880</x:v>
      </x:c>
      <x:c r="B883" s="23" t="n">
        <x:v>46474</x:v>
      </x:c>
      <x:c r="C883" s="20" t="str">
        <x:v>scn-0880-expense-20270328-3123.jpg</x:v>
      </x:c>
      <x:c r="D883" s="20" t="str">
        <x:v>Vendor invoice / receipt</x:v>
      </x:c>
      <x:c r="E883" s="20" t="str">
        <x:v>Expense</x:v>
      </x:c>
      <x:c r="F883" s="35" t="str">
        <x:v>Direct scan draft with property/unit/work-order context</x:v>
      </x:c>
      <x:c r="G883" s="20" t="str">
        <x:v>Camera JPEG</x:v>
      </x:c>
      <x:c r="H883" s="20" t="str">
        <x:v>1-3 pages</x:v>
      </x:c>
      <x:c r="I883" s="35" t="str">
        <x:v>clean emailed invoice</x:v>
      </x:c>
      <x:c r="J883" s="20" t="str">
        <x:v>P023</x:v>
      </x:c>
      <x:c r="K883" s="20" t="str"/>
      <x:c r="L883" s="20" t="str"/>
      <x:c r="M883" s="20" t="str">
        <x:v>FIN-01611</x:v>
      </x:c>
      <x:c r="N883" s="35" t="str">
        <x:v>vendor; invoice number; date; subtotal; tax; total; category; property; unit; line items; payment method</x:v>
      </x:c>
      <x:c r="O883" s="35" t="str"/>
      <x:c r="P883" s="35" t="str">
        <x:v>Create a different expense of the same category through the equivalent manual form on the other client.</x:v>
      </x:c>
      <x:c r="Q883" s="35" t="str">
        <x:v>Synthetic QA only; no real people, accounts, signatures, or properties</x:v>
      </x:c>
    </x:row>
    <x:row r="884">
      <x:c r="A884" s="20" t="str">
        <x:v>SCN-0881</x:v>
      </x:c>
      <x:c r="B884" s="23" t="n">
        <x:v>46566</x:v>
      </x:c>
      <x:c r="C884" s="20" t="str">
        <x:v>scn-0881-expense-20270628-3223.pdf</x:v>
      </x:c>
      <x:c r="D884" s="20" t="str">
        <x:v>Vendor invoice / receipt</x:v>
      </x:c>
      <x:c r="E884" s="20" t="str">
        <x:v>Expense</x:v>
      </x:c>
      <x:c r="F884" s="35" t="str">
        <x:v>Direct scan draft with property/unit/work-order context</x:v>
      </x:c>
      <x:c r="G884" s="20" t="str">
        <x:v>PDF</x:v>
      </x:c>
      <x:c r="H884" s="20" t="str">
        <x:v>1-3 pages</x:v>
      </x:c>
      <x:c r="I884" s="35" t="str">
        <x:v>crumpled thermal receipt</x:v>
      </x:c>
      <x:c r="J884" s="20" t="str">
        <x:v>P023</x:v>
      </x:c>
      <x:c r="K884" s="20" t="str"/>
      <x:c r="L884" s="20" t="str"/>
      <x:c r="M884" s="20" t="str">
        <x:v>FIN-01612</x:v>
      </x:c>
      <x:c r="N884" s="35" t="str">
        <x:v>vendor; invoice number; date; subtotal; tax; total; category; property; unit; line items; payment method</x:v>
      </x:c>
      <x:c r="O884" s="35" t="str"/>
      <x:c r="P884" s="35" t="str">
        <x:v>Create a different expense of the same category through the equivalent manual form on the other client.</x:v>
      </x:c>
      <x:c r="Q884" s="35" t="str">
        <x:v>Synthetic QA only; no real people, accounts, signatures, or properties</x:v>
      </x:c>
    </x:row>
    <x:row r="885">
      <x:c r="A885" s="20" t="str">
        <x:v>SCN-0882</x:v>
      </x:c>
      <x:c r="B885" s="23" t="n">
        <x:v>46658</x:v>
      </x:c>
      <x:c r="C885" s="20" t="str">
        <x:v>scn-0882-expense-20270928-3323.pdf</x:v>
      </x:c>
      <x:c r="D885" s="20" t="str">
        <x:v>Vendor invoice / receipt</x:v>
      </x:c>
      <x:c r="E885" s="20" t="str">
        <x:v>Expense</x:v>
      </x:c>
      <x:c r="F885" s="35" t="str">
        <x:v>Direct scan draft with property/unit/work-order context</x:v>
      </x:c>
      <x:c r="G885" s="20" t="str">
        <x:v>PDF</x:v>
      </x:c>
      <x:c r="H885" s="20" t="str">
        <x:v>1-3 pages</x:v>
      </x:c>
      <x:c r="I885" s="35" t="str">
        <x:v>phone photo with shadow</x:v>
      </x:c>
      <x:c r="J885" s="20" t="str">
        <x:v>P023</x:v>
      </x:c>
      <x:c r="K885" s="20" t="str"/>
      <x:c r="L885" s="20" t="str"/>
      <x:c r="M885" s="20" t="str">
        <x:v>FIN-01613</x:v>
      </x:c>
      <x:c r="N885" s="35" t="str">
        <x:v>vendor; invoice number; date; subtotal; tax; total; category; property; unit; line items; payment method</x:v>
      </x:c>
      <x:c r="O885" s="35" t="str"/>
      <x:c r="P885" s="35" t="str">
        <x:v>Create a different expense of the same category through the equivalent manual form on the other client.</x:v>
      </x:c>
      <x:c r="Q885" s="35" t="str">
        <x:v>Synthetic QA only; no real people, accounts, signatures, or properties</x:v>
      </x:c>
    </x:row>
    <x:row r="886">
      <x:c r="A886" s="20" t="str">
        <x:v>SCN-0883</x:v>
      </x:c>
      <x:c r="B886" s="23" t="n">
        <x:v>46749</x:v>
      </x:c>
      <x:c r="C886" s="20" t="str">
        <x:v>scn-0883-expense-20271228-3423.jpg</x:v>
      </x:c>
      <x:c r="D886" s="20" t="str">
        <x:v>Vendor invoice / receipt</x:v>
      </x:c>
      <x:c r="E886" s="20" t="str">
        <x:v>Expense</x:v>
      </x:c>
      <x:c r="F886" s="35" t="str">
        <x:v>Direct scan draft with property/unit/work-order context</x:v>
      </x:c>
      <x:c r="G886" s="20" t="str">
        <x:v>Camera JPEG</x:v>
      </x:c>
      <x:c r="H886" s="20" t="str">
        <x:v>1-3 pages</x:v>
      </x:c>
      <x:c r="I886" s="35" t="str">
        <x:v>clean emailed invoice</x:v>
      </x:c>
      <x:c r="J886" s="20" t="str">
        <x:v>P023</x:v>
      </x:c>
      <x:c r="K886" s="20" t="str"/>
      <x:c r="L886" s="20" t="str"/>
      <x:c r="M886" s="20" t="str">
        <x:v>FIN-01614</x:v>
      </x:c>
      <x:c r="N886" s="35" t="str">
        <x:v>vendor; invoice number; date; subtotal; tax; total; category; property; unit; line items; payment method</x:v>
      </x:c>
      <x:c r="O886" s="35" t="str"/>
      <x:c r="P886" s="35" t="str">
        <x:v>Create a different expense of the same category through the equivalent manual form on the other client.</x:v>
      </x:c>
      <x:c r="Q886" s="35" t="str">
        <x:v>Synthetic QA only; no real people, accounts, signatures, or properties</x:v>
      </x:c>
    </x:row>
    <x:row r="887">
      <x:c r="A887" s="20" t="str">
        <x:v>SCN-0884</x:v>
      </x:c>
      <x:c r="B887" s="23" t="n">
        <x:v>46739</x:v>
      </x:c>
      <x:c r="C887" s="20" t="str">
        <x:v>scn-0884-expense-20271218-2024.pdf</x:v>
      </x:c>
      <x:c r="D887" s="20" t="str">
        <x:v>Vendor invoice / receipt</x:v>
      </x:c>
      <x:c r="E887" s="20" t="str">
        <x:v>Expense</x:v>
      </x:c>
      <x:c r="F887" s="35" t="str">
        <x:v>Direct scan draft with property/unit/work-order context</x:v>
      </x:c>
      <x:c r="G887" s="20" t="str">
        <x:v>PDF</x:v>
      </x:c>
      <x:c r="H887" s="20" t="str">
        <x:v>1-3 pages</x:v>
      </x:c>
      <x:c r="I887" s="35" t="str">
        <x:v>phone photo with shadow</x:v>
      </x:c>
      <x:c r="J887" s="20" t="str">
        <x:v>P024</x:v>
      </x:c>
      <x:c r="K887" s="20" t="str"/>
      <x:c r="L887" s="20" t="str"/>
      <x:c r="M887" s="20" t="str">
        <x:v>FIN-01615</x:v>
      </x:c>
      <x:c r="N887" s="35" t="str">
        <x:v>vendor; invoice number; date; subtotal; tax; total; category; property; unit; line items; payment method</x:v>
      </x:c>
      <x:c r="O887" s="35" t="str"/>
      <x:c r="P887" s="35" t="str">
        <x:v>Create a different expense of the same category through the equivalent manual form on the other client.</x:v>
      </x:c>
      <x:c r="Q887" s="35" t="str">
        <x:v>Synthetic QA only; no real people, accounts, signatures, or properties</x:v>
      </x:c>
    </x:row>
    <x:row r="888">
      <x:c r="A888" s="20" t="str">
        <x:v>SCN-0885</x:v>
      </x:c>
      <x:c r="B888" s="23" t="n">
        <x:v>46474</x:v>
      </x:c>
      <x:c r="C888" s="20" t="str">
        <x:v>scn-0885-expense-20270328-3124.pdf</x:v>
      </x:c>
      <x:c r="D888" s="20" t="str">
        <x:v>Vendor invoice / receipt</x:v>
      </x:c>
      <x:c r="E888" s="20" t="str">
        <x:v>Expense</x:v>
      </x:c>
      <x:c r="F888" s="35" t="str">
        <x:v>Direct scan draft with property/unit/work-order context</x:v>
      </x:c>
      <x:c r="G888" s="20" t="str">
        <x:v>PDF</x:v>
      </x:c>
      <x:c r="H888" s="20" t="str">
        <x:v>1-3 pages</x:v>
      </x:c>
      <x:c r="I888" s="35" t="str">
        <x:v>crumpled thermal receipt</x:v>
      </x:c>
      <x:c r="J888" s="20" t="str">
        <x:v>P024</x:v>
      </x:c>
      <x:c r="K888" s="20" t="str"/>
      <x:c r="L888" s="20" t="str"/>
      <x:c r="M888" s="20" t="str">
        <x:v>FIN-01616</x:v>
      </x:c>
      <x:c r="N888" s="35" t="str">
        <x:v>vendor; invoice number; date; subtotal; tax; total; category; property; unit; line items; payment method</x:v>
      </x:c>
      <x:c r="O888" s="35" t="str"/>
      <x:c r="P888" s="35" t="str">
        <x:v>Create a different expense of the same category through the equivalent manual form on the other client.</x:v>
      </x:c>
      <x:c r="Q888" s="35" t="str">
        <x:v>Synthetic QA only; no real people, accounts, signatures, or properties</x:v>
      </x:c>
    </x:row>
    <x:row r="889">
      <x:c r="A889" s="20" t="str">
        <x:v>SCN-0886</x:v>
      </x:c>
      <x:c r="B889" s="23" t="n">
        <x:v>46566</x:v>
      </x:c>
      <x:c r="C889" s="20" t="str">
        <x:v>scn-0886-expense-20270628-3224.pdf</x:v>
      </x:c>
      <x:c r="D889" s="20" t="str">
        <x:v>Vendor invoice / receipt</x:v>
      </x:c>
      <x:c r="E889" s="20" t="str">
        <x:v>Expense</x:v>
      </x:c>
      <x:c r="F889" s="35" t="str">
        <x:v>Direct scan draft with property/unit/work-order context</x:v>
      </x:c>
      <x:c r="G889" s="20" t="str">
        <x:v>PDF</x:v>
      </x:c>
      <x:c r="H889" s="20" t="str">
        <x:v>1-3 pages</x:v>
      </x:c>
      <x:c r="I889" s="35" t="str">
        <x:v>phone photo with shadow</x:v>
      </x:c>
      <x:c r="J889" s="20" t="str">
        <x:v>P024</x:v>
      </x:c>
      <x:c r="K889" s="20" t="str"/>
      <x:c r="L889" s="20" t="str"/>
      <x:c r="M889" s="20" t="str">
        <x:v>FIN-01617</x:v>
      </x:c>
      <x:c r="N889" s="35" t="str">
        <x:v>vendor; invoice number; date; subtotal; tax; total; category; property; unit; line items; payment method</x:v>
      </x:c>
      <x:c r="O889" s="35" t="str"/>
      <x:c r="P889" s="35" t="str">
        <x:v>Create a different expense of the same category through the equivalent manual form on the other client.</x:v>
      </x:c>
      <x:c r="Q889" s="35" t="str">
        <x:v>Synthetic QA only; no real people, accounts, signatures, or properties</x:v>
      </x:c>
    </x:row>
    <x:row r="890">
      <x:c r="A890" s="20" t="str">
        <x:v>SCN-0887</x:v>
      </x:c>
      <x:c r="B890" s="23" t="n">
        <x:v>46658</x:v>
      </x:c>
      <x:c r="C890" s="20" t="str">
        <x:v>scn-0887-expense-20270928-3324.jpg</x:v>
      </x:c>
      <x:c r="D890" s="20" t="str">
        <x:v>Vendor invoice / receipt</x:v>
      </x:c>
      <x:c r="E890" s="20" t="str">
        <x:v>Expense</x:v>
      </x:c>
      <x:c r="F890" s="35" t="str">
        <x:v>Direct scan draft with property/unit/work-order context</x:v>
      </x:c>
      <x:c r="G890" s="20" t="str">
        <x:v>Camera JPEG</x:v>
      </x:c>
      <x:c r="H890" s="20" t="str">
        <x:v>1-3 pages</x:v>
      </x:c>
      <x:c r="I890" s="35" t="str">
        <x:v>clean emailed invoice</x:v>
      </x:c>
      <x:c r="J890" s="20" t="str">
        <x:v>P024</x:v>
      </x:c>
      <x:c r="K890" s="20" t="str"/>
      <x:c r="L890" s="20" t="str"/>
      <x:c r="M890" s="20" t="str">
        <x:v>FIN-01618</x:v>
      </x:c>
      <x:c r="N890" s="35" t="str">
        <x:v>vendor; invoice number; date; subtotal; tax; total; category; property; unit; line items; payment method</x:v>
      </x:c>
      <x:c r="O890" s="35" t="str"/>
      <x:c r="P890" s="35" t="str">
        <x:v>Create a different expense of the same category through the equivalent manual form on the other client.</x:v>
      </x:c>
      <x:c r="Q890" s="35" t="str">
        <x:v>Synthetic QA only; no real people, accounts, signatures, or properties</x:v>
      </x:c>
    </x:row>
    <x:row r="891">
      <x:c r="A891" s="20" t="str">
        <x:v>SCN-0888</x:v>
      </x:c>
      <x:c r="B891" s="23" t="n">
        <x:v>46749</x:v>
      </x:c>
      <x:c r="C891" s="20" t="str">
        <x:v>scn-0888-expense-20271228-3424.pdf</x:v>
      </x:c>
      <x:c r="D891" s="20" t="str">
        <x:v>Vendor invoice / receipt</x:v>
      </x:c>
      <x:c r="E891" s="20" t="str">
        <x:v>Expense</x:v>
      </x:c>
      <x:c r="F891" s="35" t="str">
        <x:v>Direct scan draft with property/unit/work-order context</x:v>
      </x:c>
      <x:c r="G891" s="20" t="str">
        <x:v>PDF</x:v>
      </x:c>
      <x:c r="H891" s="20" t="str">
        <x:v>1-3 pages</x:v>
      </x:c>
      <x:c r="I891" s="35" t="str">
        <x:v>crumpled thermal receipt</x:v>
      </x:c>
      <x:c r="J891" s="20" t="str">
        <x:v>P024</x:v>
      </x:c>
      <x:c r="K891" s="20" t="str"/>
      <x:c r="L891" s="20" t="str"/>
      <x:c r="M891" s="20" t="str">
        <x:v>FIN-01619</x:v>
      </x:c>
      <x:c r="N891" s="35" t="str">
        <x:v>vendor; invoice number; date; subtotal; tax; total; category; property; unit; line items; payment method</x:v>
      </x:c>
      <x:c r="O891" s="35" t="str"/>
      <x:c r="P891" s="35" t="str">
        <x:v>Create a different expense of the same category through the equivalent manual form on the other client.</x:v>
      </x:c>
      <x:c r="Q891" s="35" t="str">
        <x:v>Synthetic QA only; no real people, accounts, signatures, or properties</x:v>
      </x:c>
    </x:row>
    <x:row r="892">
      <x:c r="A892" s="20" t="str">
        <x:v>SCN-0889</x:v>
      </x:c>
      <x:c r="B892" s="23" t="n">
        <x:v>46436</x:v>
      </x:c>
      <x:c r="C892" s="20" t="str">
        <x:v>scn-0889-expense-20270218-2026.pdf</x:v>
      </x:c>
      <x:c r="D892" s="20" t="str">
        <x:v>Vendor invoice / receipt</x:v>
      </x:c>
      <x:c r="E892" s="20" t="str">
        <x:v>Expense</x:v>
      </x:c>
      <x:c r="F892" s="35" t="str">
        <x:v>Direct scan draft with property/unit/work-order context</x:v>
      </x:c>
      <x:c r="G892" s="20" t="str">
        <x:v>PDF</x:v>
      </x:c>
      <x:c r="H892" s="20" t="str">
        <x:v>1-3 pages</x:v>
      </x:c>
      <x:c r="I892" s="35" t="str">
        <x:v>crumpled thermal receipt</x:v>
      </x:c>
      <x:c r="J892" s="20" t="str">
        <x:v>P026</x:v>
      </x:c>
      <x:c r="K892" s="20" t="str"/>
      <x:c r="L892" s="20" t="str"/>
      <x:c r="M892" s="20" t="str">
        <x:v>FIN-01625</x:v>
      </x:c>
      <x:c r="N892" s="35" t="str">
        <x:v>vendor; invoice number; date; subtotal; tax; total; category; property; unit; line items; payment method</x:v>
      </x:c>
      <x:c r="O892" s="35" t="str"/>
      <x:c r="P892" s="35" t="str">
        <x:v>Create a different expense of the same category through the equivalent manual form on the other client.</x:v>
      </x:c>
      <x:c r="Q892" s="35" t="str">
        <x:v>Synthetic QA only; no real people, accounts, signatures, or properties</x:v>
      </x:c>
    </x:row>
    <x:row r="893">
      <x:c r="A893" s="20" t="str">
        <x:v>SCN-0890</x:v>
      </x:c>
      <x:c r="B893" s="23" t="n">
        <x:v>46474</x:v>
      </x:c>
      <x:c r="C893" s="20" t="str">
        <x:v>scn-0890-expense-20270328-3126.jpg</x:v>
      </x:c>
      <x:c r="D893" s="20" t="str">
        <x:v>Vendor invoice / receipt</x:v>
      </x:c>
      <x:c r="E893" s="20" t="str">
        <x:v>Expense</x:v>
      </x:c>
      <x:c r="F893" s="35" t="str">
        <x:v>Direct scan draft with property/unit/work-order context</x:v>
      </x:c>
      <x:c r="G893" s="20" t="str">
        <x:v>Camera JPEG</x:v>
      </x:c>
      <x:c r="H893" s="20" t="str">
        <x:v>1-3 pages</x:v>
      </x:c>
      <x:c r="I893" s="35" t="str">
        <x:v>clean emailed invoice</x:v>
      </x:c>
      <x:c r="J893" s="20" t="str">
        <x:v>P026</x:v>
      </x:c>
      <x:c r="K893" s="20" t="str"/>
      <x:c r="L893" s="20" t="str"/>
      <x:c r="M893" s="20" t="str">
        <x:v>FIN-01626</x:v>
      </x:c>
      <x:c r="N893" s="35" t="str">
        <x:v>vendor; invoice number; date; subtotal; tax; total; category; property; unit; line items; payment method</x:v>
      </x:c>
      <x:c r="O893" s="35" t="str"/>
      <x:c r="P893" s="35" t="str">
        <x:v>Create a different expense of the same category through the equivalent manual form on the other client.</x:v>
      </x:c>
      <x:c r="Q893" s="35" t="str">
        <x:v>Synthetic QA only; no real people, accounts, signatures, or properties</x:v>
      </x:c>
    </x:row>
    <x:row r="894">
      <x:c r="A894" s="20" t="str">
        <x:v>SCN-0891</x:v>
      </x:c>
      <x:c r="B894" s="23" t="n">
        <x:v>46566</x:v>
      </x:c>
      <x:c r="C894" s="20" t="str">
        <x:v>scn-0891-expense-20270628-3226.pdf</x:v>
      </x:c>
      <x:c r="D894" s="20" t="str">
        <x:v>Vendor invoice / receipt</x:v>
      </x:c>
      <x:c r="E894" s="20" t="str">
        <x:v>Expense</x:v>
      </x:c>
      <x:c r="F894" s="35" t="str">
        <x:v>Direct scan draft with property/unit/work-order context</x:v>
      </x:c>
      <x:c r="G894" s="20" t="str">
        <x:v>PDF</x:v>
      </x:c>
      <x:c r="H894" s="20" t="str">
        <x:v>1-3 pages</x:v>
      </x:c>
      <x:c r="I894" s="35" t="str">
        <x:v>crumpled thermal receipt</x:v>
      </x:c>
      <x:c r="J894" s="20" t="str">
        <x:v>P026</x:v>
      </x:c>
      <x:c r="K894" s="20" t="str"/>
      <x:c r="L894" s="20" t="str"/>
      <x:c r="M894" s="20" t="str">
        <x:v>FIN-01627</x:v>
      </x:c>
      <x:c r="N894" s="35" t="str">
        <x:v>vendor; invoice number; date; subtotal; tax; total; category; property; unit; line items; payment method</x:v>
      </x:c>
      <x:c r="O894" s="35" t="str"/>
      <x:c r="P894" s="35" t="str">
        <x:v>Create a different expense of the same category through the equivalent manual form on the other client.</x:v>
      </x:c>
      <x:c r="Q894" s="35" t="str">
        <x:v>Synthetic QA only; no real people, accounts, signatures, or properties</x:v>
      </x:c>
    </x:row>
    <x:row r="895">
      <x:c r="A895" s="20" t="str">
        <x:v>SCN-0892</x:v>
      </x:c>
      <x:c r="B895" s="23" t="n">
        <x:v>46658</x:v>
      </x:c>
      <x:c r="C895" s="20" t="str">
        <x:v>scn-0892-expense-20270928-3326.pdf</x:v>
      </x:c>
      <x:c r="D895" s="20" t="str">
        <x:v>Vendor invoice / receipt</x:v>
      </x:c>
      <x:c r="E895" s="20" t="str">
        <x:v>Expense</x:v>
      </x:c>
      <x:c r="F895" s="35" t="str">
        <x:v>Direct scan draft with property/unit/work-order context</x:v>
      </x:c>
      <x:c r="G895" s="20" t="str">
        <x:v>PDF</x:v>
      </x:c>
      <x:c r="H895" s="20" t="str">
        <x:v>1-3 pages</x:v>
      </x:c>
      <x:c r="I895" s="35" t="str">
        <x:v>phone photo with shadow</x:v>
      </x:c>
      <x:c r="J895" s="20" t="str">
        <x:v>P026</x:v>
      </x:c>
      <x:c r="K895" s="20" t="str"/>
      <x:c r="L895" s="20" t="str"/>
      <x:c r="M895" s="20" t="str">
        <x:v>FIN-01628</x:v>
      </x:c>
      <x:c r="N895" s="35" t="str">
        <x:v>vendor; invoice number; date; subtotal; tax; total; category; property; unit; line items; payment method</x:v>
      </x:c>
      <x:c r="O895" s="35" t="str"/>
      <x:c r="P895" s="35" t="str">
        <x:v>Create a different expense of the same category through the equivalent manual form on the other client.</x:v>
      </x:c>
      <x:c r="Q895" s="35" t="str">
        <x:v>Synthetic QA only; no real people, accounts, signatures, or properties</x:v>
      </x:c>
    </x:row>
    <x:row r="896">
      <x:c r="A896" s="20" t="str">
        <x:v>SCN-0893</x:v>
      </x:c>
      <x:c r="B896" s="23" t="n">
        <x:v>46749</x:v>
      </x:c>
      <x:c r="C896" s="20" t="str">
        <x:v>scn-0893-expense-20271228-3426.jpg</x:v>
      </x:c>
      <x:c r="D896" s="20" t="str">
        <x:v>Vendor invoice / receipt</x:v>
      </x:c>
      <x:c r="E896" s="20" t="str">
        <x:v>Expense</x:v>
      </x:c>
      <x:c r="F896" s="35" t="str">
        <x:v>Direct scan draft with property/unit/work-order context</x:v>
      </x:c>
      <x:c r="G896" s="20" t="str">
        <x:v>Camera JPEG</x:v>
      </x:c>
      <x:c r="H896" s="20" t="str">
        <x:v>1-3 pages</x:v>
      </x:c>
      <x:c r="I896" s="35" t="str">
        <x:v>clean emailed invoice</x:v>
      </x:c>
      <x:c r="J896" s="20" t="str">
        <x:v>P026</x:v>
      </x:c>
      <x:c r="K896" s="20" t="str"/>
      <x:c r="L896" s="20" t="str"/>
      <x:c r="M896" s="20" t="str">
        <x:v>FIN-01629</x:v>
      </x:c>
      <x:c r="N896" s="35" t="str">
        <x:v>vendor; invoice number; date; subtotal; tax; total; category; property; unit; line items; payment method</x:v>
      </x:c>
      <x:c r="O896" s="35" t="str"/>
      <x:c r="P896" s="35" t="str">
        <x:v>Create a different expense of the same category through the equivalent manual form on the other client.</x:v>
      </x:c>
      <x:c r="Q896" s="35" t="str">
        <x:v>Synthetic QA only; no real people, accounts, signatures, or properties</x:v>
      </x:c>
    </x:row>
    <x:row r="897">
      <x:c r="A897" s="20" t="str">
        <x:v>SCN-0894</x:v>
      </x:c>
      <x:c r="B897" s="23" t="n">
        <x:v>46464</x:v>
      </x:c>
      <x:c r="C897" s="20" t="str">
        <x:v>scn-0894-expense-20270318-2027.pdf</x:v>
      </x:c>
      <x:c r="D897" s="20" t="str">
        <x:v>Vendor invoice / receipt</x:v>
      </x:c>
      <x:c r="E897" s="20" t="str">
        <x:v>Expense</x:v>
      </x:c>
      <x:c r="F897" s="35" t="str">
        <x:v>Direct scan draft with property/unit/work-order context</x:v>
      </x:c>
      <x:c r="G897" s="20" t="str">
        <x:v>PDF</x:v>
      </x:c>
      <x:c r="H897" s="20" t="str">
        <x:v>1-3 pages</x:v>
      </x:c>
      <x:c r="I897" s="35" t="str">
        <x:v>phone photo with shadow</x:v>
      </x:c>
      <x:c r="J897" s="20" t="str">
        <x:v>P027</x:v>
      </x:c>
      <x:c r="K897" s="20" t="str"/>
      <x:c r="L897" s="20" t="str"/>
      <x:c r="M897" s="20" t="str">
        <x:v>FIN-01630</x:v>
      </x:c>
      <x:c r="N897" s="35" t="str">
        <x:v>vendor; invoice number; date; subtotal; tax; total; category; property; unit; line items; payment method</x:v>
      </x:c>
      <x:c r="O897" s="35" t="str"/>
      <x:c r="P897" s="35" t="str">
        <x:v>Create a different expense of the same category through the equivalent manual form on the other client.</x:v>
      </x:c>
      <x:c r="Q897" s="35" t="str">
        <x:v>Synthetic QA only; no real people, accounts, signatures, or properties</x:v>
      </x:c>
    </x:row>
    <x:row r="898">
      <x:c r="A898" s="20" t="str">
        <x:v>SCN-0895</x:v>
      </x:c>
      <x:c r="B898" s="23" t="n">
        <x:v>46474</x:v>
      </x:c>
      <x:c r="C898" s="20" t="str">
        <x:v>scn-0895-expense-20270328-3127.pdf</x:v>
      </x:c>
      <x:c r="D898" s="20" t="str">
        <x:v>Vendor invoice / receipt</x:v>
      </x:c>
      <x:c r="E898" s="20" t="str">
        <x:v>Expense</x:v>
      </x:c>
      <x:c r="F898" s="35" t="str">
        <x:v>Direct scan draft with property/unit/work-order context</x:v>
      </x:c>
      <x:c r="G898" s="20" t="str">
        <x:v>PDF</x:v>
      </x:c>
      <x:c r="H898" s="20" t="str">
        <x:v>1-3 pages</x:v>
      </x:c>
      <x:c r="I898" s="35" t="str">
        <x:v>crumpled thermal receipt</x:v>
      </x:c>
      <x:c r="J898" s="20" t="str">
        <x:v>P027</x:v>
      </x:c>
      <x:c r="K898" s="20" t="str"/>
      <x:c r="L898" s="20" t="str"/>
      <x:c r="M898" s="20" t="str">
        <x:v>FIN-01631</x:v>
      </x:c>
      <x:c r="N898" s="35" t="str">
        <x:v>vendor; invoice number; date; subtotal; tax; total; category; property; unit; line items; payment method</x:v>
      </x:c>
      <x:c r="O898" s="35" t="str"/>
      <x:c r="P898" s="35" t="str">
        <x:v>Create a different expense of the same category through the equivalent manual form on the other client.</x:v>
      </x:c>
      <x:c r="Q898" s="35" t="str">
        <x:v>Synthetic QA only; no real people, accounts, signatures, or properties</x:v>
      </x:c>
    </x:row>
    <x:row r="899">
      <x:c r="A899" s="20" t="str">
        <x:v>SCN-0896</x:v>
      </x:c>
      <x:c r="B899" s="23" t="n">
        <x:v>46566</x:v>
      </x:c>
      <x:c r="C899" s="20" t="str">
        <x:v>scn-0896-expense-20270628-3227.pdf</x:v>
      </x:c>
      <x:c r="D899" s="20" t="str">
        <x:v>Vendor invoice / receipt</x:v>
      </x:c>
      <x:c r="E899" s="20" t="str">
        <x:v>Expense</x:v>
      </x:c>
      <x:c r="F899" s="35" t="str">
        <x:v>Direct scan draft with property/unit/work-order context</x:v>
      </x:c>
      <x:c r="G899" s="20" t="str">
        <x:v>PDF</x:v>
      </x:c>
      <x:c r="H899" s="20" t="str">
        <x:v>1-3 pages</x:v>
      </x:c>
      <x:c r="I899" s="35" t="str">
        <x:v>phone photo with shadow</x:v>
      </x:c>
      <x:c r="J899" s="20" t="str">
        <x:v>P027</x:v>
      </x:c>
      <x:c r="K899" s="20" t="str"/>
      <x:c r="L899" s="20" t="str"/>
      <x:c r="M899" s="20" t="str">
        <x:v>FIN-01632</x:v>
      </x:c>
      <x:c r="N899" s="35" t="str">
        <x:v>vendor; invoice number; date; subtotal; tax; total; category; property; unit; line items; payment method</x:v>
      </x:c>
      <x:c r="O899" s="35" t="str"/>
      <x:c r="P899" s="35" t="str">
        <x:v>Create a different expense of the same category through the equivalent manual form on the other client.</x:v>
      </x:c>
      <x:c r="Q899" s="35" t="str">
        <x:v>Synthetic QA only; no real people, accounts, signatures, or properties</x:v>
      </x:c>
    </x:row>
    <x:row r="900">
      <x:c r="A900" s="20" t="str">
        <x:v>SCN-0897</x:v>
      </x:c>
      <x:c r="B900" s="23" t="n">
        <x:v>46658</x:v>
      </x:c>
      <x:c r="C900" s="20" t="str">
        <x:v>scn-0897-expense-20270928-3327.jpg</x:v>
      </x:c>
      <x:c r="D900" s="20" t="str">
        <x:v>Vendor invoice / receipt</x:v>
      </x:c>
      <x:c r="E900" s="20" t="str">
        <x:v>Expense</x:v>
      </x:c>
      <x:c r="F900" s="35" t="str">
        <x:v>Direct scan draft with property/unit/work-order context</x:v>
      </x:c>
      <x:c r="G900" s="20" t="str">
        <x:v>Camera JPEG</x:v>
      </x:c>
      <x:c r="H900" s="20" t="str">
        <x:v>1-3 pages</x:v>
      </x:c>
      <x:c r="I900" s="35" t="str">
        <x:v>clean emailed invoice</x:v>
      </x:c>
      <x:c r="J900" s="20" t="str">
        <x:v>P027</x:v>
      </x:c>
      <x:c r="K900" s="20" t="str"/>
      <x:c r="L900" s="20" t="str"/>
      <x:c r="M900" s="20" t="str">
        <x:v>FIN-01633</x:v>
      </x:c>
      <x:c r="N900" s="35" t="str">
        <x:v>vendor; invoice number; date; subtotal; tax; total; category; property; unit; line items; payment method</x:v>
      </x:c>
      <x:c r="O900" s="35" t="str"/>
      <x:c r="P900" s="35" t="str">
        <x:v>Create a different expense of the same category through the equivalent manual form on the other client.</x:v>
      </x:c>
      <x:c r="Q900" s="35" t="str">
        <x:v>Synthetic QA only; no real people, accounts, signatures, or properties</x:v>
      </x:c>
    </x:row>
    <x:row r="901">
      <x:c r="A901" s="20" t="str">
        <x:v>SCN-0898</x:v>
      </x:c>
      <x:c r="B901" s="23" t="n">
        <x:v>46749</x:v>
      </x:c>
      <x:c r="C901" s="20" t="str">
        <x:v>scn-0898-expense-20271228-3427.pdf</x:v>
      </x:c>
      <x:c r="D901" s="20" t="str">
        <x:v>Vendor invoice / receipt</x:v>
      </x:c>
      <x:c r="E901" s="20" t="str">
        <x:v>Expense</x:v>
      </x:c>
      <x:c r="F901" s="35" t="str">
        <x:v>Direct scan draft with property/unit/work-order context</x:v>
      </x:c>
      <x:c r="G901" s="20" t="str">
        <x:v>PDF</x:v>
      </x:c>
      <x:c r="H901" s="20" t="str">
        <x:v>1-3 pages</x:v>
      </x:c>
      <x:c r="I901" s="35" t="str">
        <x:v>crumpled thermal receipt</x:v>
      </x:c>
      <x:c r="J901" s="20" t="str">
        <x:v>P027</x:v>
      </x:c>
      <x:c r="K901" s="20" t="str"/>
      <x:c r="L901" s="20" t="str"/>
      <x:c r="M901" s="20" t="str">
        <x:v>FIN-01634</x:v>
      </x:c>
      <x:c r="N901" s="35" t="str">
        <x:v>vendor; invoice number; date; subtotal; tax; total; category; property; unit; line items; payment method</x:v>
      </x:c>
      <x:c r="O901" s="35" t="str"/>
      <x:c r="P901" s="35" t="str">
        <x:v>Create a different expense of the same category through the equivalent manual form on the other client.</x:v>
      </x:c>
      <x:c r="Q901" s="35" t="str">
        <x:v>Synthetic QA only; no real people, accounts, signatures, or properties</x:v>
      </x:c>
    </x:row>
    <x:row r="902">
      <x:c r="A902" s="20" t="str">
        <x:v>SCN-0899</x:v>
      </x:c>
      <x:c r="B902" s="23" t="n">
        <x:v>46495</x:v>
      </x:c>
      <x:c r="C902" s="20" t="str">
        <x:v>scn-0899-expense-20270418-2028.jpg</x:v>
      </x:c>
      <x:c r="D902" s="20" t="str">
        <x:v>Vendor invoice / receipt</x:v>
      </x:c>
      <x:c r="E902" s="20" t="str">
        <x:v>Expense</x:v>
      </x:c>
      <x:c r="F902" s="35" t="str">
        <x:v>Direct scan draft with property/unit/work-order context</x:v>
      </x:c>
      <x:c r="G902" s="20" t="str">
        <x:v>Camera JPEG</x:v>
      </x:c>
      <x:c r="H902" s="20" t="str">
        <x:v>1-3 pages</x:v>
      </x:c>
      <x:c r="I902" s="35" t="str">
        <x:v>clean emailed invoice</x:v>
      </x:c>
      <x:c r="J902" s="20" t="str">
        <x:v>P028</x:v>
      </x:c>
      <x:c r="K902" s="20" t="str"/>
      <x:c r="L902" s="20" t="str"/>
      <x:c r="M902" s="20" t="str">
        <x:v>FIN-01635</x:v>
      </x:c>
      <x:c r="N902" s="35" t="str">
        <x:v>vendor; invoice number; date; subtotal; tax; total; category; property; unit; line items; payment method</x:v>
      </x:c>
      <x:c r="O902" s="35" t="str"/>
      <x:c r="P902" s="35" t="str">
        <x:v>Create a different expense of the same category through the equivalent manual form on the other client.</x:v>
      </x:c>
      <x:c r="Q902" s="35" t="str">
        <x:v>Synthetic QA only; no real people, accounts, signatures, or properties</x:v>
      </x:c>
    </x:row>
    <x:row r="903">
      <x:c r="A903" s="20" t="str">
        <x:v>SCN-0900</x:v>
      </x:c>
      <x:c r="B903" s="23" t="n">
        <x:v>46474</x:v>
      </x:c>
      <x:c r="C903" s="20" t="str">
        <x:v>scn-0900-expense-20270328-3128.pdf</x:v>
      </x:c>
      <x:c r="D903" s="20" t="str">
        <x:v>Vendor invoice / receipt</x:v>
      </x:c>
      <x:c r="E903" s="20" t="str">
        <x:v>Expense</x:v>
      </x:c>
      <x:c r="F903" s="35" t="str">
        <x:v>Direct scan draft with property/unit/work-order context</x:v>
      </x:c>
      <x:c r="G903" s="20" t="str">
        <x:v>PDF</x:v>
      </x:c>
      <x:c r="H903" s="20" t="str">
        <x:v>1-3 pages</x:v>
      </x:c>
      <x:c r="I903" s="35" t="str">
        <x:v>phone photo with shadow</x:v>
      </x:c>
      <x:c r="J903" s="20" t="str">
        <x:v>P028</x:v>
      </x:c>
      <x:c r="K903" s="20" t="str"/>
      <x:c r="L903" s="20" t="str"/>
      <x:c r="M903" s="20" t="str">
        <x:v>FIN-01636</x:v>
      </x:c>
      <x:c r="N903" s="35" t="str">
        <x:v>vendor; invoice number; date; subtotal; tax; total; category; property; unit; line items; payment method</x:v>
      </x:c>
      <x:c r="O903" s="35" t="str">
        <x:v>split tax/line items; duplicate invoice number</x:v>
      </x:c>
      <x:c r="P903" s="35" t="str">
        <x:v>Create a different expense of the same category through the equivalent manual form on the other client.</x:v>
      </x:c>
      <x:c r="Q903" s="35" t="str">
        <x:v>Synthetic QA only; no real people, accounts, signatures, or properties</x:v>
      </x:c>
    </x:row>
    <x:row r="904">
      <x:c r="A904" s="20" t="str">
        <x:v>SCN-0901</x:v>
      </x:c>
      <x:c r="B904" s="23" t="n">
        <x:v>46566</x:v>
      </x:c>
      <x:c r="C904" s="20" t="str">
        <x:v>scn-0901-expense-20270628-3228.jpg</x:v>
      </x:c>
      <x:c r="D904" s="20" t="str">
        <x:v>Vendor invoice / receipt</x:v>
      </x:c>
      <x:c r="E904" s="20" t="str">
        <x:v>Expense</x:v>
      </x:c>
      <x:c r="F904" s="35" t="str">
        <x:v>Direct scan draft with property/unit/work-order context</x:v>
      </x:c>
      <x:c r="G904" s="20" t="str">
        <x:v>Camera JPEG</x:v>
      </x:c>
      <x:c r="H904" s="20" t="str">
        <x:v>1-3 pages</x:v>
      </x:c>
      <x:c r="I904" s="35" t="str">
        <x:v>clean emailed invoice</x:v>
      </x:c>
      <x:c r="J904" s="20" t="str">
        <x:v>P028</x:v>
      </x:c>
      <x:c r="K904" s="20" t="str"/>
      <x:c r="L904" s="20" t="str"/>
      <x:c r="M904" s="20" t="str">
        <x:v>FIN-01637</x:v>
      </x:c>
      <x:c r="N904" s="35" t="str">
        <x:v>vendor; invoice number; date; subtotal; tax; total; category; property; unit; line items; payment method</x:v>
      </x:c>
      <x:c r="O904" s="35" t="str"/>
      <x:c r="P904" s="35" t="str">
        <x:v>Create a different expense of the same category through the equivalent manual form on the other client.</x:v>
      </x:c>
      <x:c r="Q904" s="35" t="str">
        <x:v>Synthetic QA only; no real people, accounts, signatures, or properties</x:v>
      </x:c>
    </x:row>
    <x:row r="905">
      <x:c r="A905" s="20" t="str">
        <x:v>SCN-0902</x:v>
      </x:c>
      <x:c r="B905" s="23" t="n">
        <x:v>46658</x:v>
      </x:c>
      <x:c r="C905" s="20" t="str">
        <x:v>scn-0902-expense-20270928-3328.pdf</x:v>
      </x:c>
      <x:c r="D905" s="20" t="str">
        <x:v>Vendor invoice / receipt</x:v>
      </x:c>
      <x:c r="E905" s="20" t="str">
        <x:v>Expense</x:v>
      </x:c>
      <x:c r="F905" s="35" t="str">
        <x:v>Direct scan draft with property/unit/work-order context</x:v>
      </x:c>
      <x:c r="G905" s="20" t="str">
        <x:v>PDF</x:v>
      </x:c>
      <x:c r="H905" s="20" t="str">
        <x:v>1-3 pages</x:v>
      </x:c>
      <x:c r="I905" s="35" t="str">
        <x:v>crumpled thermal receipt</x:v>
      </x:c>
      <x:c r="J905" s="20" t="str">
        <x:v>P028</x:v>
      </x:c>
      <x:c r="K905" s="20" t="str"/>
      <x:c r="L905" s="20" t="str"/>
      <x:c r="M905" s="20" t="str">
        <x:v>FIN-01638</x:v>
      </x:c>
      <x:c r="N905" s="35" t="str">
        <x:v>vendor; invoice number; date; subtotal; tax; total; category; property; unit; line items; payment method</x:v>
      </x:c>
      <x:c r="O905" s="35" t="str"/>
      <x:c r="P905" s="35" t="str">
        <x:v>Create a different expense of the same category through the equivalent manual form on the other client.</x:v>
      </x:c>
      <x:c r="Q905" s="35" t="str">
        <x:v>Synthetic QA only; no real people, accounts, signatures, or properties</x:v>
      </x:c>
    </x:row>
    <x:row r="906">
      <x:c r="A906" s="20" t="str">
        <x:v>SCN-0903</x:v>
      </x:c>
      <x:c r="B906" s="23" t="n">
        <x:v>46749</x:v>
      </x:c>
      <x:c r="C906" s="20" t="str">
        <x:v>scn-0903-expense-20271228-3428.pdf</x:v>
      </x:c>
      <x:c r="D906" s="20" t="str">
        <x:v>Vendor invoice / receipt</x:v>
      </x:c>
      <x:c r="E906" s="20" t="str">
        <x:v>Expense</x:v>
      </x:c>
      <x:c r="F906" s="35" t="str">
        <x:v>Direct scan draft with property/unit/work-order context</x:v>
      </x:c>
      <x:c r="G906" s="20" t="str">
        <x:v>PDF</x:v>
      </x:c>
      <x:c r="H906" s="20" t="str">
        <x:v>1-3 pages</x:v>
      </x:c>
      <x:c r="I906" s="35" t="str">
        <x:v>phone photo with shadow</x:v>
      </x:c>
      <x:c r="J906" s="20" t="str">
        <x:v>P028</x:v>
      </x:c>
      <x:c r="K906" s="20" t="str"/>
      <x:c r="L906" s="20" t="str"/>
      <x:c r="M906" s="20" t="str">
        <x:v>FIN-01639</x:v>
      </x:c>
      <x:c r="N906" s="35" t="str">
        <x:v>vendor; invoice number; date; subtotal; tax; total; category; property; unit; line items; payment method</x:v>
      </x:c>
      <x:c r="O906" s="35" t="str"/>
      <x:c r="P906" s="35" t="str">
        <x:v>Create a different expense of the same category through the equivalent manual form on the other client.</x:v>
      </x:c>
      <x:c r="Q906" s="35" t="str">
        <x:v>Synthetic QA only; no real people, accounts, signatures, or properties</x:v>
      </x:c>
    </x:row>
    <x:row r="907">
      <x:c r="A907" s="20" t="str">
        <x:v>SCN-0904</x:v>
      </x:c>
      <x:c r="B907" s="23" t="n">
        <x:v>46525</x:v>
      </x:c>
      <x:c r="C907" s="20" t="str">
        <x:v>scn-0904-expense-20270518-2029.pdf</x:v>
      </x:c>
      <x:c r="D907" s="20" t="str">
        <x:v>Vendor invoice / receipt</x:v>
      </x:c>
      <x:c r="E907" s="20" t="str">
        <x:v>Expense</x:v>
      </x:c>
      <x:c r="F907" s="35" t="str">
        <x:v>Direct scan draft with property/unit/work-order context</x:v>
      </x:c>
      <x:c r="G907" s="20" t="str">
        <x:v>PDF</x:v>
      </x:c>
      <x:c r="H907" s="20" t="str">
        <x:v>1-3 pages</x:v>
      </x:c>
      <x:c r="I907" s="35" t="str">
        <x:v>crumpled thermal receipt</x:v>
      </x:c>
      <x:c r="J907" s="20" t="str">
        <x:v>P029</x:v>
      </x:c>
      <x:c r="K907" s="20" t="str"/>
      <x:c r="L907" s="20" t="str"/>
      <x:c r="M907" s="20" t="str">
        <x:v>FIN-01640</x:v>
      </x:c>
      <x:c r="N907" s="35" t="str">
        <x:v>vendor; invoice number; date; subtotal; tax; total; category; property; unit; line items; payment method</x:v>
      </x:c>
      <x:c r="O907" s="35" t="str"/>
      <x:c r="P907" s="35" t="str">
        <x:v>Create a different expense of the same category through the equivalent manual form on the other client.</x:v>
      </x:c>
      <x:c r="Q907" s="35" t="str">
        <x:v>Synthetic QA only; no real people, accounts, signatures, or properties</x:v>
      </x:c>
    </x:row>
    <x:row r="908">
      <x:c r="A908" s="20" t="str">
        <x:v>SCN-0905</x:v>
      </x:c>
      <x:c r="B908" s="23" t="n">
        <x:v>46474</x:v>
      </x:c>
      <x:c r="C908" s="20" t="str">
        <x:v>scn-0905-expense-20270328-3129.jpg</x:v>
      </x:c>
      <x:c r="D908" s="20" t="str">
        <x:v>Vendor invoice / receipt</x:v>
      </x:c>
      <x:c r="E908" s="20" t="str">
        <x:v>Expense</x:v>
      </x:c>
      <x:c r="F908" s="35" t="str">
        <x:v>Direct scan draft with property/unit/work-order context</x:v>
      </x:c>
      <x:c r="G908" s="20" t="str">
        <x:v>Camera JPEG</x:v>
      </x:c>
      <x:c r="H908" s="20" t="str">
        <x:v>1-3 pages</x:v>
      </x:c>
      <x:c r="I908" s="35" t="str">
        <x:v>clean emailed invoice</x:v>
      </x:c>
      <x:c r="J908" s="20" t="str">
        <x:v>P029</x:v>
      </x:c>
      <x:c r="K908" s="20" t="str"/>
      <x:c r="L908" s="20" t="str"/>
      <x:c r="M908" s="20" t="str">
        <x:v>FIN-01641</x:v>
      </x:c>
      <x:c r="N908" s="35" t="str">
        <x:v>vendor; invoice number; date; subtotal; tax; total; category; property; unit; line items; payment method</x:v>
      </x:c>
      <x:c r="O908" s="35" t="str"/>
      <x:c r="P908" s="35" t="str">
        <x:v>Create a different expense of the same category through the equivalent manual form on the other client.</x:v>
      </x:c>
      <x:c r="Q908" s="35" t="str">
        <x:v>Synthetic QA only; no real people, accounts, signatures, or properties</x:v>
      </x:c>
    </x:row>
    <x:row r="909">
      <x:c r="A909" s="20" t="str">
        <x:v>SCN-0906</x:v>
      </x:c>
      <x:c r="B909" s="23" t="n">
        <x:v>46566</x:v>
      </x:c>
      <x:c r="C909" s="20" t="str">
        <x:v>scn-0906-expense-20270628-3229.pdf</x:v>
      </x:c>
      <x:c r="D909" s="20" t="str">
        <x:v>Vendor invoice / receipt</x:v>
      </x:c>
      <x:c r="E909" s="20" t="str">
        <x:v>Expense</x:v>
      </x:c>
      <x:c r="F909" s="35" t="str">
        <x:v>Direct scan draft with property/unit/work-order context</x:v>
      </x:c>
      <x:c r="G909" s="20" t="str">
        <x:v>PDF</x:v>
      </x:c>
      <x:c r="H909" s="20" t="str">
        <x:v>1-3 pages</x:v>
      </x:c>
      <x:c r="I909" s="35" t="str">
        <x:v>crumpled thermal receipt</x:v>
      </x:c>
      <x:c r="J909" s="20" t="str">
        <x:v>P029</x:v>
      </x:c>
      <x:c r="K909" s="20" t="str"/>
      <x:c r="L909" s="20" t="str"/>
      <x:c r="M909" s="20" t="str">
        <x:v>FIN-01642</x:v>
      </x:c>
      <x:c r="N909" s="35" t="str">
        <x:v>vendor; invoice number; date; subtotal; tax; total; category; property; unit; line items; payment method</x:v>
      </x:c>
      <x:c r="O909" s="35" t="str"/>
      <x:c r="P909" s="35" t="str">
        <x:v>Create a different expense of the same category through the equivalent manual form on the other client.</x:v>
      </x:c>
      <x:c r="Q909" s="35" t="str">
        <x:v>Synthetic QA only; no real people, accounts, signatures, or properties</x:v>
      </x:c>
    </x:row>
    <x:row r="910">
      <x:c r="A910" s="20" t="str">
        <x:v>SCN-0907</x:v>
      </x:c>
      <x:c r="B910" s="23" t="n">
        <x:v>46658</x:v>
      </x:c>
      <x:c r="C910" s="20" t="str">
        <x:v>scn-0907-expense-20270928-3329.pdf</x:v>
      </x:c>
      <x:c r="D910" s="20" t="str">
        <x:v>Vendor invoice / receipt</x:v>
      </x:c>
      <x:c r="E910" s="20" t="str">
        <x:v>Expense</x:v>
      </x:c>
      <x:c r="F910" s="35" t="str">
        <x:v>Direct scan draft with property/unit/work-order context</x:v>
      </x:c>
      <x:c r="G910" s="20" t="str">
        <x:v>PDF</x:v>
      </x:c>
      <x:c r="H910" s="20" t="str">
        <x:v>1-3 pages</x:v>
      </x:c>
      <x:c r="I910" s="35" t="str">
        <x:v>phone photo with shadow</x:v>
      </x:c>
      <x:c r="J910" s="20" t="str">
        <x:v>P029</x:v>
      </x:c>
      <x:c r="K910" s="20" t="str"/>
      <x:c r="L910" s="20" t="str"/>
      <x:c r="M910" s="20" t="str">
        <x:v>FIN-01643</x:v>
      </x:c>
      <x:c r="N910" s="35" t="str">
        <x:v>vendor; invoice number; date; subtotal; tax; total; category; property; unit; line items; payment method</x:v>
      </x:c>
      <x:c r="O910" s="35" t="str"/>
      <x:c r="P910" s="35" t="str">
        <x:v>Create a different expense of the same category through the equivalent manual form on the other client.</x:v>
      </x:c>
      <x:c r="Q910" s="35" t="str">
        <x:v>Synthetic QA only; no real people, accounts, signatures, or properties</x:v>
      </x:c>
    </x:row>
    <x:row r="911">
      <x:c r="A911" s="20" t="str">
        <x:v>SCN-0908</x:v>
      </x:c>
      <x:c r="B911" s="23" t="n">
        <x:v>46749</x:v>
      </x:c>
      <x:c r="C911" s="20" t="str">
        <x:v>scn-0908-expense-20271228-3429.jpg</x:v>
      </x:c>
      <x:c r="D911" s="20" t="str">
        <x:v>Vendor invoice / receipt</x:v>
      </x:c>
      <x:c r="E911" s="20" t="str">
        <x:v>Expense</x:v>
      </x:c>
      <x:c r="F911" s="35" t="str">
        <x:v>Direct scan draft with property/unit/work-order context</x:v>
      </x:c>
      <x:c r="G911" s="20" t="str">
        <x:v>Camera JPEG</x:v>
      </x:c>
      <x:c r="H911" s="20" t="str">
        <x:v>1-3 pages</x:v>
      </x:c>
      <x:c r="I911" s="35" t="str">
        <x:v>clean emailed invoice</x:v>
      </x:c>
      <x:c r="J911" s="20" t="str">
        <x:v>P029</x:v>
      </x:c>
      <x:c r="K911" s="20" t="str"/>
      <x:c r="L911" s="20" t="str"/>
      <x:c r="M911" s="20" t="str">
        <x:v>FIN-01644</x:v>
      </x:c>
      <x:c r="N911" s="35" t="str">
        <x:v>vendor; invoice number; date; subtotal; tax; total; category; property; unit; line items; payment method</x:v>
      </x:c>
      <x:c r="O911" s="35" t="str"/>
      <x:c r="P911" s="35" t="str">
        <x:v>Create a different expense of the same category through the equivalent manual form on the other client.</x:v>
      </x:c>
      <x:c r="Q911" s="35" t="str">
        <x:v>Synthetic QA only; no real people, accounts, signatures, or properties</x:v>
      </x:c>
    </x:row>
    <x:row r="912">
      <x:c r="A912" s="20" t="str">
        <x:v>SCN-0909</x:v>
      </x:c>
      <x:c r="B912" s="23" t="n">
        <x:v>46443</x:v>
      </x:c>
      <x:c r="C912" s="20" t="str">
        <x:v>scn-0909-application-l037.pdf</x:v>
      </x:c>
      <x:c r="D912" s="20" t="str">
        <x:v>Rental application packet</x:v>
      </x:c>
      <x:c r="E912" s="20" t="str">
        <x:v>Application</x:v>
      </x:c>
      <x:c r="F912" s="35" t="str">
        <x:v>Direct scan draft</x:v>
      </x:c>
      <x:c r="G912" s="20" t="str">
        <x:v>PDF</x:v>
      </x:c>
      <x:c r="H912" s="20" t="str">
        <x:v>6 pages</x:v>
      </x:c>
      <x:c r="I912" s="35" t="str">
        <x:v>completed paper form with pay-stub and ID placeholders</x:v>
      </x:c>
      <x:c r="J912" s="20" t="str">
        <x:v>P005</x:v>
      </x:c>
      <x:c r="K912" s="20" t="str">
        <x:v>U005</x:v>
      </x:c>
      <x:c r="L912" s="20" t="str">
        <x:v>L037</x:v>
      </x:c>
      <x:c r="M912" s="20" t="str"/>
      <x:c r="N912" s="35" t="str">
        <x:v>applicant; contact; desired unit; income; employer; household; pets; references; consent</x:v>
      </x:c>
      <x:c r="O912" s="35" t="str">
        <x:v>co-applicant on every third case; one blank optional field</x:v>
      </x:c>
      <x:c r="P912" s="35" t="str">
        <x:v>Enter a separate applicant manually on the other client, reject it with a non-discriminatory synthetic reason, and preserve audit.</x:v>
      </x:c>
      <x:c r="Q912" s="35" t="str">
        <x:v>Synthetic QA only; no real people, accounts, signatures, or properties</x:v>
      </x:c>
    </x:row>
    <x:row r="913">
      <x:c r="A913" s="20" t="str">
        <x:v>SCN-0910</x:v>
      </x:c>
      <x:c r="B913" s="23" t="n">
        <x:v>46452</x:v>
      </x:c>
      <x:c r="C913" s="20" t="str">
        <x:v>scn-0910-new-lease-l037.pdf</x:v>
      </x:c>
      <x:c r="D913" s="20" t="str">
        <x:v>Residential lease agreement</x:v>
      </x:c>
      <x:c r="E913" s="20" t="str">
        <x:v>Lease</x:v>
      </x:c>
      <x:c r="F913" s="35" t="str">
        <x:v>Direct scan draft or native agreement upload</x:v>
      </x:c>
      <x:c r="G913" s="20" t="str">
        <x:v>PDF</x:v>
      </x:c>
      <x:c r="H913" s="20" t="str">
        <x:v>11 pages</x:v>
      </x:c>
      <x:c r="I913" s="35" t="str">
        <x:v>clean lease PDF with e-sign placeholders</x:v>
      </x:c>
      <x:c r="J913" s="20" t="str">
        <x:v>P005</x:v>
      </x:c>
      <x:c r="K913" s="20" t="str">
        <x:v>U005</x:v>
      </x:c>
      <x:c r="L913" s="20" t="str">
        <x:v>L037</x:v>
      </x:c>
      <x:c r="M913" s="20" t="str"/>
      <x:c r="N913" s="35" t="str">
        <x:v>agreement version; parties; unit; term; rent; deposit; due day; late fee; utilities; signatures</x:v>
      </x:c>
      <x:c r="O913" s="35" t="str">
        <x:v>future start; co-signer on L039; mid-month proration on L042</x:v>
      </x:c>
      <x:c r="P913" s="35" t="str">
        <x:v>Build a separate draft manually from the other client and cancel it before issuance.</x:v>
      </x:c>
      <x:c r="Q913" s="35" t="str">
        <x:v>Synthetic QA only; no real people, accounts, signatures, or properties</x:v>
      </x:c>
    </x:row>
    <x:row r="914">
      <x:c r="A914" s="20" t="str">
        <x:v>SCN-0911</x:v>
      </x:c>
      <x:c r="B914" s="23" t="n">
        <x:v>46471</x:v>
      </x:c>
      <x:c r="C914" s="20" t="str">
        <x:v>scn-0911-security-deposit-l037.jpg</x:v>
      </x:c>
      <x:c r="D914" s="20" t="str">
        <x:v>Security deposit receipt</x:v>
      </x:c>
      <x:c r="E914" s="20" t="str">
        <x:v>Security deposit / Payment</x:v>
      </x:c>
      <x:c r="F914" s="35" t="str">
        <x:v>Payment draft plus deposit-register confirmation; log typed-deposit intake gap if not routed automatically</x:v>
      </x:c>
      <x:c r="G914" s="20" t="str">
        <x:v>Camera JPEG</x:v>
      </x:c>
      <x:c r="H914" s="20" t="str">
        <x:v>1 image</x:v>
      </x:c>
      <x:c r="I914" s="35" t="str">
        <x:v>money order receipt photographed on phone</x:v>
      </x:c>
      <x:c r="J914" s="20" t="str">
        <x:v>P005</x:v>
      </x:c>
      <x:c r="K914" s="20" t="str">
        <x:v>U005</x:v>
      </x:c>
      <x:c r="L914" s="20" t="str">
        <x:v>L037</x:v>
      </x:c>
      <x:c r="M914" s="20" t="str">
        <x:v>FIN-01650</x:v>
      </x:c>
      <x:c r="N914" s="35" t="str">
        <x:v>payer; amount; date; receipt number; property; unit; lease; deposit purpose</x:v>
      </x:c>
      <x:c r="O914" s="35" t="str">
        <x:v>deposit must not become rent income</x:v>
      </x:c>
      <x:c r="P914" s="35" t="str">
        <x:v>Post a different deposit manually on the other client and verify trust/liability treatment.</x:v>
      </x:c>
      <x:c r="Q914" s="35" t="str">
        <x:v>Synthetic QA only; no real people, accounts, signatures, or properties</x:v>
      </x:c>
    </x:row>
    <x:row r="915">
      <x:c r="A915" s="20" t="str">
        <x:v>SCN-0912</x:v>
      </x:c>
      <x:c r="B915" s="23" t="n">
        <x:v>46534</x:v>
      </x:c>
      <x:c r="C915" s="20" t="str">
        <x:v>scn-0912-application-l038.jpg</x:v>
      </x:c>
      <x:c r="D915" s="20" t="str">
        <x:v>Rental application packet</x:v>
      </x:c>
      <x:c r="E915" s="20" t="str">
        <x:v>Application</x:v>
      </x:c>
      <x:c r="F915" s="35" t="str">
        <x:v>Direct scan draft</x:v>
      </x:c>
      <x:c r="G915" s="20" t="str">
        <x:v>Camera JPEG</x:v>
      </x:c>
      <x:c r="H915" s="20" t="str">
        <x:v>6 pages</x:v>
      </x:c>
      <x:c r="I915" s="35" t="str">
        <x:v>completed paper form with pay-stub and ID placeholders</x:v>
      </x:c>
      <x:c r="J915" s="20" t="str">
        <x:v>P014</x:v>
      </x:c>
      <x:c r="K915" s="20" t="str">
        <x:v>U014</x:v>
      </x:c>
      <x:c r="L915" s="20" t="str">
        <x:v>L038</x:v>
      </x:c>
      <x:c r="M915" s="20" t="str"/>
      <x:c r="N915" s="35" t="str">
        <x:v>applicant; contact; desired unit; income; employer; household; pets; references; consent</x:v>
      </x:c>
      <x:c r="O915" s="35" t="str">
        <x:v>co-applicant on every third case; one blank optional field</x:v>
      </x:c>
      <x:c r="P915" s="35" t="str">
        <x:v>Enter a separate applicant manually on the other client, reject it with a non-discriminatory synthetic reason, and preserve audit.</x:v>
      </x:c>
      <x:c r="Q915" s="35" t="str">
        <x:v>Synthetic QA only; no real people, accounts, signatures, or properties</x:v>
      </x:c>
    </x:row>
    <x:row r="916">
      <x:c r="A916" s="20" t="str">
        <x:v>SCN-0913</x:v>
      </x:c>
      <x:c r="B916" s="23" t="n">
        <x:v>46543</x:v>
      </x:c>
      <x:c r="C916" s="20" t="str">
        <x:v>scn-0913-new-lease-l038.pdf</x:v>
      </x:c>
      <x:c r="D916" s="20" t="str">
        <x:v>Residential lease agreement</x:v>
      </x:c>
      <x:c r="E916" s="20" t="str">
        <x:v>Lease</x:v>
      </x:c>
      <x:c r="F916" s="35" t="str">
        <x:v>Direct scan draft or native agreement upload</x:v>
      </x:c>
      <x:c r="G916" s="20" t="str">
        <x:v>PDF</x:v>
      </x:c>
      <x:c r="H916" s="20" t="str">
        <x:v>11 pages</x:v>
      </x:c>
      <x:c r="I916" s="35" t="str">
        <x:v>clean lease PDF with e-sign placeholders</x:v>
      </x:c>
      <x:c r="J916" s="20" t="str">
        <x:v>P014</x:v>
      </x:c>
      <x:c r="K916" s="20" t="str">
        <x:v>U014</x:v>
      </x:c>
      <x:c r="L916" s="20" t="str">
        <x:v>L038</x:v>
      </x:c>
      <x:c r="M916" s="20" t="str"/>
      <x:c r="N916" s="35" t="str">
        <x:v>agreement version; parties; unit; term; rent; deposit; due day; late fee; utilities; signatures</x:v>
      </x:c>
      <x:c r="O916" s="35" t="str">
        <x:v>future start; co-signer on L039; mid-month proration on L042</x:v>
      </x:c>
      <x:c r="P916" s="35" t="str">
        <x:v>Build a separate draft manually from the other client and cancel it before issuance.</x:v>
      </x:c>
      <x:c r="Q916" s="35" t="str">
        <x:v>Synthetic QA only; no real people, accounts, signatures, or properties</x:v>
      </x:c>
    </x:row>
    <x:row r="917">
      <x:c r="A917" s="20" t="str">
        <x:v>SCN-0914</x:v>
      </x:c>
      <x:c r="B917" s="23" t="n">
        <x:v>46562</x:v>
      </x:c>
      <x:c r="C917" s="20" t="str">
        <x:v>scn-0914-security-deposit-l038.jpg</x:v>
      </x:c>
      <x:c r="D917" s="20" t="str">
        <x:v>Security deposit receipt</x:v>
      </x:c>
      <x:c r="E917" s="20" t="str">
        <x:v>Security deposit / Payment</x:v>
      </x:c>
      <x:c r="F917" s="35" t="str">
        <x:v>Payment draft plus deposit-register confirmation; log typed-deposit intake gap if not routed automatically</x:v>
      </x:c>
      <x:c r="G917" s="20" t="str">
        <x:v>Camera JPEG</x:v>
      </x:c>
      <x:c r="H917" s="20" t="str">
        <x:v>1 image</x:v>
      </x:c>
      <x:c r="I917" s="35" t="str">
        <x:v>money order receipt photographed on phone</x:v>
      </x:c>
      <x:c r="J917" s="20" t="str">
        <x:v>P014</x:v>
      </x:c>
      <x:c r="K917" s="20" t="str">
        <x:v>U014</x:v>
      </x:c>
      <x:c r="L917" s="20" t="str">
        <x:v>L038</x:v>
      </x:c>
      <x:c r="M917" s="20" t="str">
        <x:v>FIN-01651</x:v>
      </x:c>
      <x:c r="N917" s="35" t="str">
        <x:v>payer; amount; date; receipt number; property; unit; lease; deposit purpose</x:v>
      </x:c>
      <x:c r="O917" s="35" t="str">
        <x:v>deposit must not become rent income</x:v>
      </x:c>
      <x:c r="P917" s="35" t="str">
        <x:v>Post a different deposit manually on the other client and verify trust/liability treatment.</x:v>
      </x:c>
      <x:c r="Q917" s="35" t="str">
        <x:v>Synthetic QA only; no real people, accounts, signatures, or properties</x:v>
      </x:c>
    </x:row>
    <x:row r="918">
      <x:c r="A918" s="20" t="str">
        <x:v>SCN-0915</x:v>
      </x:c>
      <x:c r="B918" s="23" t="n">
        <x:v>46565</x:v>
      </x:c>
      <x:c r="C918" s="20" t="str">
        <x:v>scn-0915-application-l039.pdf</x:v>
      </x:c>
      <x:c r="D918" s="20" t="str">
        <x:v>Rental application packet</x:v>
      </x:c>
      <x:c r="E918" s="20" t="str">
        <x:v>Application</x:v>
      </x:c>
      <x:c r="F918" s="35" t="str">
        <x:v>Direct scan draft</x:v>
      </x:c>
      <x:c r="G918" s="20" t="str">
        <x:v>PDF</x:v>
      </x:c>
      <x:c r="H918" s="20" t="str">
        <x:v>6 pages</x:v>
      </x:c>
      <x:c r="I918" s="35" t="str">
        <x:v>completed paper form with pay-stub and ID placeholders</x:v>
      </x:c>
      <x:c r="J918" s="20" t="str">
        <x:v>P017</x:v>
      </x:c>
      <x:c r="K918" s="20" t="str">
        <x:v>U017</x:v>
      </x:c>
      <x:c r="L918" s="20" t="str">
        <x:v>L039</x:v>
      </x:c>
      <x:c r="M918" s="20" t="str"/>
      <x:c r="N918" s="35" t="str">
        <x:v>applicant; contact; desired unit; income; employer; household; pets; references; consent</x:v>
      </x:c>
      <x:c r="O918" s="35" t="str">
        <x:v>co-applicant on every third case; one blank optional field</x:v>
      </x:c>
      <x:c r="P918" s="35" t="str">
        <x:v>Enter a separate applicant manually on the other client, reject it with a non-discriminatory synthetic reason, and preserve audit.</x:v>
      </x:c>
      <x:c r="Q918" s="35" t="str">
        <x:v>Synthetic QA only; no real people, accounts, signatures, or properties</x:v>
      </x:c>
    </x:row>
    <x:row r="919">
      <x:c r="A919" s="20" t="str">
        <x:v>SCN-0916</x:v>
      </x:c>
      <x:c r="B919" s="23" t="n">
        <x:v>46574</x:v>
      </x:c>
      <x:c r="C919" s="20" t="str">
        <x:v>scn-0916-new-lease-l039.pdf</x:v>
      </x:c>
      <x:c r="D919" s="20" t="str">
        <x:v>Residential lease agreement</x:v>
      </x:c>
      <x:c r="E919" s="20" t="str">
        <x:v>Lease</x:v>
      </x:c>
      <x:c r="F919" s="35" t="str">
        <x:v>Direct scan draft or native agreement upload</x:v>
      </x:c>
      <x:c r="G919" s="20" t="str">
        <x:v>PDF</x:v>
      </x:c>
      <x:c r="H919" s="20" t="str">
        <x:v>11 pages</x:v>
      </x:c>
      <x:c r="I919" s="35" t="str">
        <x:v>clean lease PDF with e-sign placeholders</x:v>
      </x:c>
      <x:c r="J919" s="20" t="str">
        <x:v>P017</x:v>
      </x:c>
      <x:c r="K919" s="20" t="str">
        <x:v>U017</x:v>
      </x:c>
      <x:c r="L919" s="20" t="str">
        <x:v>L039</x:v>
      </x:c>
      <x:c r="M919" s="20" t="str"/>
      <x:c r="N919" s="35" t="str">
        <x:v>agreement version; parties; unit; term; rent; deposit; due day; late fee; utilities; signatures</x:v>
      </x:c>
      <x:c r="O919" s="35" t="str">
        <x:v>future start; co-signer on L039; mid-month proration on L042</x:v>
      </x:c>
      <x:c r="P919" s="35" t="str">
        <x:v>Build a separate draft manually from the other client and cancel it before issuance.</x:v>
      </x:c>
      <x:c r="Q919" s="35" t="str">
        <x:v>Synthetic QA only; no real people, accounts, signatures, or properties</x:v>
      </x:c>
    </x:row>
    <x:row r="920">
      <x:c r="A920" s="20" t="str">
        <x:v>SCN-0917</x:v>
      </x:c>
      <x:c r="B920" s="23" t="n">
        <x:v>46593</x:v>
      </x:c>
      <x:c r="C920" s="20" t="str">
        <x:v>scn-0917-security-deposit-l039.jpg</x:v>
      </x:c>
      <x:c r="D920" s="20" t="str">
        <x:v>Security deposit receipt</x:v>
      </x:c>
      <x:c r="E920" s="20" t="str">
        <x:v>Security deposit / Payment</x:v>
      </x:c>
      <x:c r="F920" s="35" t="str">
        <x:v>Payment draft plus deposit-register confirmation; log typed-deposit intake gap if not routed automatically</x:v>
      </x:c>
      <x:c r="G920" s="20" t="str">
        <x:v>Camera JPEG</x:v>
      </x:c>
      <x:c r="H920" s="20" t="str">
        <x:v>1 image</x:v>
      </x:c>
      <x:c r="I920" s="35" t="str">
        <x:v>money order receipt photographed on phone</x:v>
      </x:c>
      <x:c r="J920" s="20" t="str">
        <x:v>P017</x:v>
      </x:c>
      <x:c r="K920" s="20" t="str">
        <x:v>U017</x:v>
      </x:c>
      <x:c r="L920" s="20" t="str">
        <x:v>L039</x:v>
      </x:c>
      <x:c r="M920" s="20" t="str">
        <x:v>FIN-01652</x:v>
      </x:c>
      <x:c r="N920" s="35" t="str">
        <x:v>payer; amount; date; receipt number; property; unit; lease; deposit purpose</x:v>
      </x:c>
      <x:c r="O920" s="35" t="str">
        <x:v>deposit must not become rent income</x:v>
      </x:c>
      <x:c r="P920" s="35" t="str">
        <x:v>Post a different deposit manually on the other client and verify trust/liability treatment.</x:v>
      </x:c>
      <x:c r="Q920" s="35" t="str">
        <x:v>Synthetic QA only; no real people, accounts, signatures, or properties</x:v>
      </x:c>
    </x:row>
    <x:row r="921">
      <x:c r="A921" s="20" t="str">
        <x:v>SCN-0918</x:v>
      </x:c>
      <x:c r="B921" s="23" t="n">
        <x:v>46626</x:v>
      </x:c>
      <x:c r="C921" s="20" t="str">
        <x:v>scn-0918-application-l040.jpg</x:v>
      </x:c>
      <x:c r="D921" s="20" t="str">
        <x:v>Rental application packet</x:v>
      </x:c>
      <x:c r="E921" s="20" t="str">
        <x:v>Application</x:v>
      </x:c>
      <x:c r="F921" s="35" t="str">
        <x:v>Direct scan draft</x:v>
      </x:c>
      <x:c r="G921" s="20" t="str">
        <x:v>Camera JPEG</x:v>
      </x:c>
      <x:c r="H921" s="20" t="str">
        <x:v>6 pages</x:v>
      </x:c>
      <x:c r="I921" s="35" t="str">
        <x:v>completed paper form with pay-stub and ID placeholders</x:v>
      </x:c>
      <x:c r="J921" s="20" t="str">
        <x:v>P021</x:v>
      </x:c>
      <x:c r="K921" s="20" t="str">
        <x:v>U022</x:v>
      </x:c>
      <x:c r="L921" s="20" t="str">
        <x:v>L040</x:v>
      </x:c>
      <x:c r="M921" s="20" t="str"/>
      <x:c r="N921" s="35" t="str">
        <x:v>applicant; contact; desired unit; income; employer; household; pets; references; consent</x:v>
      </x:c>
      <x:c r="O921" s="35" t="str">
        <x:v>co-applicant on every third case; one blank optional field</x:v>
      </x:c>
      <x:c r="P921" s="35" t="str">
        <x:v>Enter a separate applicant manually on the other client, reject it with a non-discriminatory synthetic reason, and preserve audit.</x:v>
      </x:c>
      <x:c r="Q921" s="35" t="str">
        <x:v>Synthetic QA only; no real people, accounts, signatures, or properties</x:v>
      </x:c>
    </x:row>
    <x:row r="922">
      <x:c r="A922" s="20" t="str">
        <x:v>SCN-0919</x:v>
      </x:c>
      <x:c r="B922" s="23" t="n">
        <x:v>46635</x:v>
      </x:c>
      <x:c r="C922" s="20" t="str">
        <x:v>scn-0919-new-lease-l040.pdf</x:v>
      </x:c>
      <x:c r="D922" s="20" t="str">
        <x:v>Residential lease agreement</x:v>
      </x:c>
      <x:c r="E922" s="20" t="str">
        <x:v>Lease</x:v>
      </x:c>
      <x:c r="F922" s="35" t="str">
        <x:v>Direct scan draft or native agreement upload</x:v>
      </x:c>
      <x:c r="G922" s="20" t="str">
        <x:v>PDF</x:v>
      </x:c>
      <x:c r="H922" s="20" t="str">
        <x:v>11 pages</x:v>
      </x:c>
      <x:c r="I922" s="35" t="str">
        <x:v>clean lease PDF with e-sign placeholders</x:v>
      </x:c>
      <x:c r="J922" s="20" t="str">
        <x:v>P021</x:v>
      </x:c>
      <x:c r="K922" s="20" t="str">
        <x:v>U022</x:v>
      </x:c>
      <x:c r="L922" s="20" t="str">
        <x:v>L040</x:v>
      </x:c>
      <x:c r="M922" s="20" t="str"/>
      <x:c r="N922" s="35" t="str">
        <x:v>agreement version; parties; unit; term; rent; deposit; due day; late fee; utilities; signatures</x:v>
      </x:c>
      <x:c r="O922" s="35" t="str">
        <x:v>future start; co-signer on L039; mid-month proration on L042</x:v>
      </x:c>
      <x:c r="P922" s="35" t="str">
        <x:v>Build a separate draft manually from the other client and cancel it before issuance.</x:v>
      </x:c>
      <x:c r="Q922" s="35" t="str">
        <x:v>Synthetic QA only; no real people, accounts, signatures, or properties</x:v>
      </x:c>
    </x:row>
    <x:row r="923">
      <x:c r="A923" s="20" t="str">
        <x:v>SCN-0920</x:v>
      </x:c>
      <x:c r="B923" s="23" t="n">
        <x:v>46654</x:v>
      </x:c>
      <x:c r="C923" s="20" t="str">
        <x:v>scn-0920-security-deposit-l040.jpg</x:v>
      </x:c>
      <x:c r="D923" s="20" t="str">
        <x:v>Security deposit receipt</x:v>
      </x:c>
      <x:c r="E923" s="20" t="str">
        <x:v>Security deposit / Payment</x:v>
      </x:c>
      <x:c r="F923" s="35" t="str">
        <x:v>Payment draft plus deposit-register confirmation; log typed-deposit intake gap if not routed automatically</x:v>
      </x:c>
      <x:c r="G923" s="20" t="str">
        <x:v>Camera JPEG</x:v>
      </x:c>
      <x:c r="H923" s="20" t="str">
        <x:v>1 image</x:v>
      </x:c>
      <x:c r="I923" s="35" t="str">
        <x:v>money order receipt photographed on phone</x:v>
      </x:c>
      <x:c r="J923" s="20" t="str">
        <x:v>P021</x:v>
      </x:c>
      <x:c r="K923" s="20" t="str">
        <x:v>U022</x:v>
      </x:c>
      <x:c r="L923" s="20" t="str">
        <x:v>L040</x:v>
      </x:c>
      <x:c r="M923" s="20" t="str">
        <x:v>FIN-01653</x:v>
      </x:c>
      <x:c r="N923" s="35" t="str">
        <x:v>payer; amount; date; receipt number; property; unit; lease; deposit purpose</x:v>
      </x:c>
      <x:c r="O923" s="35" t="str">
        <x:v>deposit must not become rent income</x:v>
      </x:c>
      <x:c r="P923" s="35" t="str">
        <x:v>Post a different deposit manually on the other client and verify trust/liability treatment.</x:v>
      </x:c>
      <x:c r="Q923" s="35" t="str">
        <x:v>Synthetic QA only; no real people, accounts, signatures, or properties</x:v>
      </x:c>
    </x:row>
    <x:row r="924">
      <x:c r="A924" s="20" t="str">
        <x:v>SCN-0921</x:v>
      </x:c>
      <x:c r="B924" s="23" t="n">
        <x:v>46708</x:v>
      </x:c>
      <x:c r="C924" s="20" t="str">
        <x:v>scn-0921-application-l042.pdf</x:v>
      </x:c>
      <x:c r="D924" s="20" t="str">
        <x:v>Rental application packet</x:v>
      </x:c>
      <x:c r="E924" s="20" t="str">
        <x:v>Application</x:v>
      </x:c>
      <x:c r="F924" s="35" t="str">
        <x:v>Direct scan draft</x:v>
      </x:c>
      <x:c r="G924" s="20" t="str">
        <x:v>PDF</x:v>
      </x:c>
      <x:c r="H924" s="20" t="str">
        <x:v>6 pages</x:v>
      </x:c>
      <x:c r="I924" s="35" t="str">
        <x:v>completed paper form with pay-stub and ID placeholders</x:v>
      </x:c>
      <x:c r="J924" s="20" t="str">
        <x:v>P027</x:v>
      </x:c>
      <x:c r="K924" s="20" t="str">
        <x:v>U034</x:v>
      </x:c>
      <x:c r="L924" s="20" t="str">
        <x:v>L042</x:v>
      </x:c>
      <x:c r="M924" s="20" t="str"/>
      <x:c r="N924" s="35" t="str">
        <x:v>applicant; contact; desired unit; income; employer; household; pets; references; consent</x:v>
      </x:c>
      <x:c r="O924" s="35" t="str">
        <x:v>co-applicant on every third case; one blank optional field</x:v>
      </x:c>
      <x:c r="P924" s="35" t="str">
        <x:v>Enter a separate applicant manually on the other client, reject it with a non-discriminatory synthetic reason, and preserve audit.</x:v>
      </x:c>
      <x:c r="Q924" s="35" t="str">
        <x:v>Synthetic QA only; no real people, accounts, signatures, or properties</x:v>
      </x:c>
    </x:row>
    <x:row r="925">
      <x:c r="A925" s="20" t="str">
        <x:v>SCN-0922</x:v>
      </x:c>
      <x:c r="B925" s="23" t="n">
        <x:v>46717</x:v>
      </x:c>
      <x:c r="C925" s="20" t="str">
        <x:v>scn-0922-new-lease-l042.pdf</x:v>
      </x:c>
      <x:c r="D925" s="20" t="str">
        <x:v>Residential lease agreement</x:v>
      </x:c>
      <x:c r="E925" s="20" t="str">
        <x:v>Lease</x:v>
      </x:c>
      <x:c r="F925" s="35" t="str">
        <x:v>Direct scan draft or native agreement upload</x:v>
      </x:c>
      <x:c r="G925" s="20" t="str">
        <x:v>PDF</x:v>
      </x:c>
      <x:c r="H925" s="20" t="str">
        <x:v>11 pages</x:v>
      </x:c>
      <x:c r="I925" s="35" t="str">
        <x:v>clean lease PDF with e-sign placeholders</x:v>
      </x:c>
      <x:c r="J925" s="20" t="str">
        <x:v>P027</x:v>
      </x:c>
      <x:c r="K925" s="20" t="str">
        <x:v>U034</x:v>
      </x:c>
      <x:c r="L925" s="20" t="str">
        <x:v>L042</x:v>
      </x:c>
      <x:c r="M925" s="20" t="str"/>
      <x:c r="N925" s="35" t="str">
        <x:v>agreement version; parties; unit; term; rent; deposit; due day; late fee; utilities; signatures</x:v>
      </x:c>
      <x:c r="O925" s="35" t="str">
        <x:v>future start; co-signer on L039; mid-month proration on L042</x:v>
      </x:c>
      <x:c r="P925" s="35" t="str">
        <x:v>Build a separate draft manually from the other client and cancel it before issuance.</x:v>
      </x:c>
      <x:c r="Q925" s="35" t="str">
        <x:v>Synthetic QA only; no real people, accounts, signatures, or properties</x:v>
      </x:c>
    </x:row>
    <x:row r="926">
      <x:c r="A926" s="20" t="str">
        <x:v>SCN-0923</x:v>
      </x:c>
      <x:c r="B926" s="23" t="n">
        <x:v>46729</x:v>
      </x:c>
      <x:c r="C926" s="20" t="str">
        <x:v>scn-0923-security-deposit-l042.jpg</x:v>
      </x:c>
      <x:c r="D926" s="20" t="str">
        <x:v>Security deposit receipt</x:v>
      </x:c>
      <x:c r="E926" s="20" t="str">
        <x:v>Security deposit / Payment</x:v>
      </x:c>
      <x:c r="F926" s="35" t="str">
        <x:v>Payment draft plus deposit-register confirmation; log typed-deposit intake gap if not routed automatically</x:v>
      </x:c>
      <x:c r="G926" s="20" t="str">
        <x:v>Camera JPEG</x:v>
      </x:c>
      <x:c r="H926" s="20" t="str">
        <x:v>1 image</x:v>
      </x:c>
      <x:c r="I926" s="35" t="str">
        <x:v>money order receipt photographed on phone</x:v>
      </x:c>
      <x:c r="J926" s="20" t="str">
        <x:v>P027</x:v>
      </x:c>
      <x:c r="K926" s="20" t="str">
        <x:v>U034</x:v>
      </x:c>
      <x:c r="L926" s="20" t="str">
        <x:v>L042</x:v>
      </x:c>
      <x:c r="M926" s="20" t="str">
        <x:v>FIN-01654</x:v>
      </x:c>
      <x:c r="N926" s="35" t="str">
        <x:v>payer; amount; date; receipt number; property; unit; lease; deposit purpose</x:v>
      </x:c>
      <x:c r="O926" s="35" t="str">
        <x:v>deposit must not become rent income</x:v>
      </x:c>
      <x:c r="P926" s="35" t="str">
        <x:v>Post a different deposit manually on the other client and verify trust/liability treatment.</x:v>
      </x:c>
      <x:c r="Q926" s="35" t="str">
        <x:v>Synthetic QA only; no real people, accounts, signatures, or properties</x:v>
      </x:c>
    </x:row>
    <x:row r="927">
      <x:c r="A927" s="20" t="str">
        <x:v>SCN-0924</x:v>
      </x:c>
      <x:c r="B927" s="23" t="n">
        <x:v>46389</x:v>
      </x:c>
      <x:c r="C927" s="20" t="str">
        <x:v>scn-0924-application-l043.jpg</x:v>
      </x:c>
      <x:c r="D927" s="20" t="str">
        <x:v>Rental application packet</x:v>
      </x:c>
      <x:c r="E927" s="20" t="str">
        <x:v>Application</x:v>
      </x:c>
      <x:c r="F927" s="35" t="str">
        <x:v>Direct scan draft</x:v>
      </x:c>
      <x:c r="G927" s="20" t="str">
        <x:v>Camera JPEG</x:v>
      </x:c>
      <x:c r="H927" s="20" t="str">
        <x:v>6 pages</x:v>
      </x:c>
      <x:c r="I927" s="35" t="str">
        <x:v>completed paper form with pay-stub and ID placeholders</x:v>
      </x:c>
      <x:c r="J927" s="20" t="str">
        <x:v>P029</x:v>
      </x:c>
      <x:c r="K927" s="20" t="str">
        <x:v>U037</x:v>
      </x:c>
      <x:c r="L927" s="20" t="str">
        <x:v>L043</x:v>
      </x:c>
      <x:c r="M927" s="20" t="str"/>
      <x:c r="N927" s="35" t="str">
        <x:v>applicant; contact; desired unit; income; employer; household; pets; references; consent</x:v>
      </x:c>
      <x:c r="O927" s="35" t="str">
        <x:v>co-applicant on every third case; one blank optional field</x:v>
      </x:c>
      <x:c r="P927" s="35" t="str">
        <x:v>Enter a separate applicant manually on the other client, reject it with a non-discriminatory synthetic reason, and preserve audit.</x:v>
      </x:c>
      <x:c r="Q927" s="35" t="str">
        <x:v>Synthetic QA only; no real people, accounts, signatures, or properties</x:v>
      </x:c>
    </x:row>
    <x:row r="928">
      <x:c r="A928" s="20" t="str">
        <x:v>SCN-0925</x:v>
      </x:c>
      <x:c r="B928" s="23" t="n">
        <x:v>46398</x:v>
      </x:c>
      <x:c r="C928" s="20" t="str">
        <x:v>scn-0925-new-lease-l043.pdf</x:v>
      </x:c>
      <x:c r="D928" s="20" t="str">
        <x:v>Residential lease agreement</x:v>
      </x:c>
      <x:c r="E928" s="20" t="str">
        <x:v>Lease</x:v>
      </x:c>
      <x:c r="F928" s="35" t="str">
        <x:v>Direct scan draft or native agreement upload</x:v>
      </x:c>
      <x:c r="G928" s="20" t="str">
        <x:v>PDF</x:v>
      </x:c>
      <x:c r="H928" s="20" t="str">
        <x:v>11 pages</x:v>
      </x:c>
      <x:c r="I928" s="35" t="str">
        <x:v>clean lease PDF with e-sign placeholders</x:v>
      </x:c>
      <x:c r="J928" s="20" t="str">
        <x:v>P029</x:v>
      </x:c>
      <x:c r="K928" s="20" t="str">
        <x:v>U037</x:v>
      </x:c>
      <x:c r="L928" s="20" t="str">
        <x:v>L043</x:v>
      </x:c>
      <x:c r="M928" s="20" t="str"/>
      <x:c r="N928" s="35" t="str">
        <x:v>agreement version; parties; unit; term; rent; deposit; due day; late fee; utilities; signatures</x:v>
      </x:c>
      <x:c r="O928" s="35" t="str">
        <x:v>future start; co-signer on L039; mid-month proration on L042</x:v>
      </x:c>
      <x:c r="P928" s="35" t="str">
        <x:v>Build a separate draft manually from the other client and cancel it before issuance.</x:v>
      </x:c>
      <x:c r="Q928" s="35" t="str">
        <x:v>Synthetic QA only; no real people, accounts, signatures, or properties</x:v>
      </x:c>
    </x:row>
    <x:row r="929">
      <x:c r="A929" s="20" t="str">
        <x:v>SCN-0926</x:v>
      </x:c>
      <x:c r="B929" s="23" t="n">
        <x:v>46412</x:v>
      </x:c>
      <x:c r="C929" s="20" t="str">
        <x:v>scn-0926-security-deposit-l043.jpg</x:v>
      </x:c>
      <x:c r="D929" s="20" t="str">
        <x:v>Security deposit receipt</x:v>
      </x:c>
      <x:c r="E929" s="20" t="str">
        <x:v>Security deposit / Payment</x:v>
      </x:c>
      <x:c r="F929" s="35" t="str">
        <x:v>Payment draft plus deposit-register confirmation; log typed-deposit intake gap if not routed automatically</x:v>
      </x:c>
      <x:c r="G929" s="20" t="str">
        <x:v>Camera JPEG</x:v>
      </x:c>
      <x:c r="H929" s="20" t="str">
        <x:v>1 image</x:v>
      </x:c>
      <x:c r="I929" s="35" t="str">
        <x:v>money order receipt photographed on phone</x:v>
      </x:c>
      <x:c r="J929" s="20" t="str">
        <x:v>P029</x:v>
      </x:c>
      <x:c r="K929" s="20" t="str">
        <x:v>U037</x:v>
      </x:c>
      <x:c r="L929" s="20" t="str">
        <x:v>L043</x:v>
      </x:c>
      <x:c r="M929" s="20" t="str">
        <x:v>FIN-01655</x:v>
      </x:c>
      <x:c r="N929" s="35" t="str">
        <x:v>payer; amount; date; receipt number; property; unit; lease; deposit purpose</x:v>
      </x:c>
      <x:c r="O929" s="35" t="str">
        <x:v>deposit must not become rent income</x:v>
      </x:c>
      <x:c r="P929" s="35" t="str">
        <x:v>Post a different deposit manually on the other client and verify trust/liability treatment.</x:v>
      </x:c>
      <x:c r="Q929" s="35" t="str">
        <x:v>Synthetic QA only; no real people, accounts, signatures, or properties</x:v>
      </x:c>
    </x:row>
    <x:row r="930">
      <x:c r="A930" s="20" t="str">
        <x:v>SCN-0927</x:v>
      </x:c>
      <x:c r="B930" s="23" t="n">
        <x:v>46433</x:v>
      </x:c>
      <x:c r="C930" s="20" t="str">
        <x:v>scn-0927-application-l044.pdf</x:v>
      </x:c>
      <x:c r="D930" s="20" t="str">
        <x:v>Rental application packet</x:v>
      </x:c>
      <x:c r="E930" s="20" t="str">
        <x:v>Application</x:v>
      </x:c>
      <x:c r="F930" s="35" t="str">
        <x:v>Direct scan draft</x:v>
      </x:c>
      <x:c r="G930" s="20" t="str">
        <x:v>PDF</x:v>
      </x:c>
      <x:c r="H930" s="20" t="str">
        <x:v>6 pages</x:v>
      </x:c>
      <x:c r="I930" s="35" t="str">
        <x:v>completed paper form with pay-stub and ID placeholders</x:v>
      </x:c>
      <x:c r="J930" s="20" t="str">
        <x:v>P029</x:v>
      </x:c>
      <x:c r="K930" s="20" t="str">
        <x:v>U038</x:v>
      </x:c>
      <x:c r="L930" s="20" t="str">
        <x:v>L044</x:v>
      </x:c>
      <x:c r="M930" s="20" t="str"/>
      <x:c r="N930" s="35" t="str">
        <x:v>applicant; contact; desired unit; income; employer; household; pets; references; consent</x:v>
      </x:c>
      <x:c r="O930" s="35" t="str">
        <x:v>co-applicant on every third case; one blank optional field</x:v>
      </x:c>
      <x:c r="P930" s="35" t="str">
        <x:v>Enter a separate applicant manually on the other client, reject it with a non-discriminatory synthetic reason, and preserve audit.</x:v>
      </x:c>
      <x:c r="Q930" s="35" t="str">
        <x:v>Synthetic QA only; no real people, accounts, signatures, or properties</x:v>
      </x:c>
    </x:row>
    <x:row r="931">
      <x:c r="A931" s="20" t="str">
        <x:v>SCN-0928</x:v>
      </x:c>
      <x:c r="B931" s="23" t="n">
        <x:v>46442</x:v>
      </x:c>
      <x:c r="C931" s="20" t="str">
        <x:v>scn-0928-new-lease-l044.pdf</x:v>
      </x:c>
      <x:c r="D931" s="20" t="str">
        <x:v>Residential lease agreement</x:v>
      </x:c>
      <x:c r="E931" s="20" t="str">
        <x:v>Lease</x:v>
      </x:c>
      <x:c r="F931" s="35" t="str">
        <x:v>Direct scan draft or native agreement upload</x:v>
      </x:c>
      <x:c r="G931" s="20" t="str">
        <x:v>PDF</x:v>
      </x:c>
      <x:c r="H931" s="20" t="str">
        <x:v>11 pages</x:v>
      </x:c>
      <x:c r="I931" s="35" t="str">
        <x:v>clean lease PDF with e-sign placeholders</x:v>
      </x:c>
      <x:c r="J931" s="20" t="str">
        <x:v>P029</x:v>
      </x:c>
      <x:c r="K931" s="20" t="str">
        <x:v>U038</x:v>
      </x:c>
      <x:c r="L931" s="20" t="str">
        <x:v>L044</x:v>
      </x:c>
      <x:c r="M931" s="20" t="str"/>
      <x:c r="N931" s="35" t="str">
        <x:v>agreement version; parties; unit; term; rent; deposit; due day; late fee; utilities; signatures</x:v>
      </x:c>
      <x:c r="O931" s="35" t="str">
        <x:v>future start; co-signer on L039; mid-month proration on L042</x:v>
      </x:c>
      <x:c r="P931" s="35" t="str">
        <x:v>Build a separate draft manually from the other client and cancel it before issuance.</x:v>
      </x:c>
      <x:c r="Q931" s="35" t="str">
        <x:v>Synthetic QA only; no real people, accounts, signatures, or properties</x:v>
      </x:c>
    </x:row>
    <x:row r="932">
      <x:c r="A932" s="20" t="str">
        <x:v>SCN-0929</x:v>
      </x:c>
      <x:c r="B932" s="23" t="n">
        <x:v>46454</x:v>
      </x:c>
      <x:c r="C932" s="20" t="str">
        <x:v>scn-0929-security-deposit-l044.jpg</x:v>
      </x:c>
      <x:c r="D932" s="20" t="str">
        <x:v>Security deposit receipt</x:v>
      </x:c>
      <x:c r="E932" s="20" t="str">
        <x:v>Security deposit / Payment</x:v>
      </x:c>
      <x:c r="F932" s="35" t="str">
        <x:v>Payment draft plus deposit-register confirmation; log typed-deposit intake gap if not routed automatically</x:v>
      </x:c>
      <x:c r="G932" s="20" t="str">
        <x:v>Camera JPEG</x:v>
      </x:c>
      <x:c r="H932" s="20" t="str">
        <x:v>1 image</x:v>
      </x:c>
      <x:c r="I932" s="35" t="str">
        <x:v>money order receipt photographed on phone</x:v>
      </x:c>
      <x:c r="J932" s="20" t="str">
        <x:v>P029</x:v>
      </x:c>
      <x:c r="K932" s="20" t="str">
        <x:v>U038</x:v>
      </x:c>
      <x:c r="L932" s="20" t="str">
        <x:v>L044</x:v>
      </x:c>
      <x:c r="M932" s="20" t="str">
        <x:v>FIN-01656</x:v>
      </x:c>
      <x:c r="N932" s="35" t="str">
        <x:v>payer; amount; date; receipt number; property; unit; lease; deposit purpose</x:v>
      </x:c>
      <x:c r="O932" s="35" t="str">
        <x:v>deposit must not become rent income</x:v>
      </x:c>
      <x:c r="P932" s="35" t="str">
        <x:v>Post a different deposit manually on the other client and verify trust/liability treatment.</x:v>
      </x:c>
      <x:c r="Q932" s="35" t="str">
        <x:v>Synthetic QA only; no real people, accounts, signatures, or properties</x:v>
      </x:c>
    </x:row>
    <x:row r="933">
      <x:c r="A933" s="20" t="str">
        <x:v>SCN-0930</x:v>
      </x:c>
      <x:c r="B933" s="23" t="n">
        <x:v>46504</x:v>
      </x:c>
      <x:c r="C933" s="20" t="str">
        <x:v>scn-0930-application-l045.jpg</x:v>
      </x:c>
      <x:c r="D933" s="20" t="str">
        <x:v>Rental application packet</x:v>
      </x:c>
      <x:c r="E933" s="20" t="str">
        <x:v>Application</x:v>
      </x:c>
      <x:c r="F933" s="35" t="str">
        <x:v>Direct scan draft</x:v>
      </x:c>
      <x:c r="G933" s="20" t="str">
        <x:v>Camera JPEG</x:v>
      </x:c>
      <x:c r="H933" s="20" t="str">
        <x:v>6 pages</x:v>
      </x:c>
      <x:c r="I933" s="35" t="str">
        <x:v>completed paper form with pay-stub and ID placeholders</x:v>
      </x:c>
      <x:c r="J933" s="20" t="str">
        <x:v>P030</x:v>
      </x:c>
      <x:c r="K933" s="20" t="str">
        <x:v>U039</x:v>
      </x:c>
      <x:c r="L933" s="20" t="str">
        <x:v>L045</x:v>
      </x:c>
      <x:c r="M933" s="20" t="str"/>
      <x:c r="N933" s="35" t="str">
        <x:v>applicant; contact; desired unit; income; employer; household; pets; references; consent</x:v>
      </x:c>
      <x:c r="O933" s="35" t="str">
        <x:v>co-applicant on every third case; one blank optional field</x:v>
      </x:c>
      <x:c r="P933" s="35" t="str">
        <x:v>Enter a separate applicant manually on the other client, reject it with a non-discriminatory synthetic reason, and preserve audit.</x:v>
      </x:c>
      <x:c r="Q933" s="35" t="str">
        <x:v>Synthetic QA only; no real people, accounts, signatures, or properties</x:v>
      </x:c>
    </x:row>
    <x:row r="934">
      <x:c r="A934" s="20" t="str">
        <x:v>SCN-0931</x:v>
      </x:c>
      <x:c r="B934" s="23" t="n">
        <x:v>46513</x:v>
      </x:c>
      <x:c r="C934" s="20" t="str">
        <x:v>scn-0931-new-lease-l045.pdf</x:v>
      </x:c>
      <x:c r="D934" s="20" t="str">
        <x:v>Residential lease agreement</x:v>
      </x:c>
      <x:c r="E934" s="20" t="str">
        <x:v>Lease</x:v>
      </x:c>
      <x:c r="F934" s="35" t="str">
        <x:v>Direct scan draft or native agreement upload</x:v>
      </x:c>
      <x:c r="G934" s="20" t="str">
        <x:v>PDF</x:v>
      </x:c>
      <x:c r="H934" s="20" t="str">
        <x:v>11 pages</x:v>
      </x:c>
      <x:c r="I934" s="35" t="str">
        <x:v>clean lease PDF with e-sign placeholders</x:v>
      </x:c>
      <x:c r="J934" s="20" t="str">
        <x:v>P030</x:v>
      </x:c>
      <x:c r="K934" s="20" t="str">
        <x:v>U039</x:v>
      </x:c>
      <x:c r="L934" s="20" t="str">
        <x:v>L045</x:v>
      </x:c>
      <x:c r="M934" s="20" t="str"/>
      <x:c r="N934" s="35" t="str">
        <x:v>agreement version; parties; unit; term; rent; deposit; due day; late fee; utilities; signatures</x:v>
      </x:c>
      <x:c r="O934" s="35" t="str">
        <x:v>future start; co-signer on L039; mid-month proration on L042</x:v>
      </x:c>
      <x:c r="P934" s="35" t="str">
        <x:v>Build a separate draft manually from the other client and cancel it before issuance.</x:v>
      </x:c>
      <x:c r="Q934" s="35" t="str">
        <x:v>Synthetic QA only; no real people, accounts, signatures, or properties</x:v>
      </x:c>
    </x:row>
    <x:row r="935">
      <x:c r="A935" s="20" t="str">
        <x:v>SCN-0932</x:v>
      </x:c>
      <x:c r="B935" s="23" t="n">
        <x:v>46532</x:v>
      </x:c>
      <x:c r="C935" s="20" t="str">
        <x:v>scn-0932-security-deposit-l045.jpg</x:v>
      </x:c>
      <x:c r="D935" s="20" t="str">
        <x:v>Security deposit receipt</x:v>
      </x:c>
      <x:c r="E935" s="20" t="str">
        <x:v>Security deposit / Payment</x:v>
      </x:c>
      <x:c r="F935" s="35" t="str">
        <x:v>Payment draft plus deposit-register confirmation; log typed-deposit intake gap if not routed automatically</x:v>
      </x:c>
      <x:c r="G935" s="20" t="str">
        <x:v>Camera JPEG</x:v>
      </x:c>
      <x:c r="H935" s="20" t="str">
        <x:v>1 image</x:v>
      </x:c>
      <x:c r="I935" s="35" t="str">
        <x:v>money order receipt photographed on phone</x:v>
      </x:c>
      <x:c r="J935" s="20" t="str">
        <x:v>P030</x:v>
      </x:c>
      <x:c r="K935" s="20" t="str">
        <x:v>U039</x:v>
      </x:c>
      <x:c r="L935" s="20" t="str">
        <x:v>L045</x:v>
      </x:c>
      <x:c r="M935" s="20" t="str">
        <x:v>FIN-01657</x:v>
      </x:c>
      <x:c r="N935" s="35" t="str">
        <x:v>payer; amount; date; receipt number; property; unit; lease; deposit purpose</x:v>
      </x:c>
      <x:c r="O935" s="35" t="str">
        <x:v>deposit must not become rent income</x:v>
      </x:c>
      <x:c r="P935" s="35" t="str">
        <x:v>Post a different deposit manually on the other client and verify trust/liability treatment.</x:v>
      </x:c>
      <x:c r="Q935" s="35" t="str">
        <x:v>Synthetic QA only; no real people, accounts, signatures, or properties</x:v>
      </x:c>
    </x:row>
    <x:row r="936">
      <x:c r="A936" s="20" t="str">
        <x:v>SCN-0933</x:v>
      </x:c>
      <x:c r="B936" s="23" t="n">
        <x:v>46646</x:v>
      </x:c>
      <x:c r="C936" s="20" t="str">
        <x:v>scn-0933-move-out-notice-l003.pdf</x:v>
      </x:c>
      <x:c r="D936" s="20" t="str">
        <x:v>Move-out / non-renewal notice</x:v>
      </x:c>
      <x:c r="E936" s="20" t="str">
        <x:v>Notice / Lease document</x:v>
      </x:c>
      <x:c r="F936" s="35" t="str">
        <x:v>Document attachment and notice-draft comparison</x:v>
      </x:c>
      <x:c r="G936" s="20" t="str">
        <x:v>PDF</x:v>
      </x:c>
      <x:c r="H936" s="20" t="str">
        <x:v>2 pages</x:v>
      </x:c>
      <x:c r="I936" s="35" t="str">
        <x:v>signed tenant notice</x:v>
      </x:c>
      <x:c r="J936" s="20" t="str">
        <x:v>P003</x:v>
      </x:c>
      <x:c r="K936" s="20" t="str">
        <x:v>U003</x:v>
      </x:c>
      <x:c r="L936" s="20" t="str">
        <x:v>L003</x:v>
      </x:c>
      <x:c r="M936" s="20" t="str"/>
      <x:c r="N936" s="35" t="str">
        <x:v>tenant; unit; notice date; planned move-out; forwarding-address placeholder; signature</x:v>
      </x:c>
      <x:c r="O936" s="35" t="str">
        <x:v>date on source differs from upload date</x:v>
      </x:c>
      <x:c r="P936" s="35" t="str">
        <x:v>Create a separate notice from template manually on the other client.</x:v>
      </x:c>
      <x:c r="Q936" s="35" t="str">
        <x:v>Synthetic QA only; no real people, accounts, signatures, or properties</x:v>
      </x:c>
    </x:row>
    <x:row r="937">
      <x:c r="A937" s="20" t="str">
        <x:v>SCN-0934</x:v>
      </x:c>
      <x:c r="B937" s="23" t="n">
        <x:v>46691</x:v>
      </x:c>
      <x:c r="C937" s="20" t="str">
        <x:v>scn-0934-move-out-inspection-l003.pdf</x:v>
      </x:c>
      <x:c r="D937" s="20" t="str">
        <x:v>Move-out inspection report</x:v>
      </x:c>
      <x:c r="E937" s="20" t="str">
        <x:v>Inspection / Property document</x:v>
      </x:c>
      <x:c r="F937" s="35" t="str">
        <x:v>Photo/report attachment; typed inspection items are confirmed manually</x:v>
      </x:c>
      <x:c r="G937" s="20" t="str">
        <x:v>PDF</x:v>
      </x:c>
      <x:c r="H937" s="20" t="str">
        <x:v>10 pages</x:v>
      </x:c>
      <x:c r="I937" s="35" t="str">
        <x:v>generated report with room photos</x:v>
      </x:c>
      <x:c r="J937" s="20" t="str">
        <x:v>P003</x:v>
      </x:c>
      <x:c r="K937" s="20" t="str">
        <x:v>U003</x:v>
      </x:c>
      <x:c r="L937" s="20" t="str">
        <x:v>L003</x:v>
      </x:c>
      <x:c r="M937" s="20" t="str"/>
      <x:c r="N937" s="35" t="str">
        <x:v>inspection date; inspector; unit; checklist results; notes; photos; damage estimate</x:v>
      </x:c>
      <x:c r="O937" s="35" t="str">
        <x:v>normal wear vs chargeable damage</x:v>
      </x:c>
      <x:c r="P937" s="35" t="str">
        <x:v>Run the actual checklist manually on mobile and review/edit-before-complete on web.</x:v>
      </x:c>
      <x:c r="Q937" s="35" t="str">
        <x:v>Synthetic QA only; no real people, accounts, signatures, or properties</x:v>
      </x:c>
    </x:row>
    <x:row r="938">
      <x:c r="A938" s="20" t="str">
        <x:v>SCN-0935</x:v>
      </x:c>
      <x:c r="B938" s="23" t="n">
        <x:v>46401</x:v>
      </x:c>
      <x:c r="C938" s="20" t="str">
        <x:v>scn-0935-move-out-notice-l005.jpg</x:v>
      </x:c>
      <x:c r="D938" s="20" t="str">
        <x:v>Move-out / non-renewal notice</x:v>
      </x:c>
      <x:c r="E938" s="20" t="str">
        <x:v>Notice / Lease document</x:v>
      </x:c>
      <x:c r="F938" s="35" t="str">
        <x:v>Document attachment and notice-draft comparison</x:v>
      </x:c>
      <x:c r="G938" s="20" t="str">
        <x:v>Camera JPEG</x:v>
      </x:c>
      <x:c r="H938" s="20" t="str">
        <x:v>2 pages</x:v>
      </x:c>
      <x:c r="I938" s="35" t="str">
        <x:v>signed tenant notice</x:v>
      </x:c>
      <x:c r="J938" s="20" t="str">
        <x:v>P005</x:v>
      </x:c>
      <x:c r="K938" s="20" t="str">
        <x:v>U005</x:v>
      </x:c>
      <x:c r="L938" s="20" t="str">
        <x:v>L005</x:v>
      </x:c>
      <x:c r="M938" s="20" t="str"/>
      <x:c r="N938" s="35" t="str">
        <x:v>tenant; unit; notice date; planned move-out; forwarding-address placeholder; signature</x:v>
      </x:c>
      <x:c r="O938" s="35" t="str">
        <x:v>date on source differs from upload date</x:v>
      </x:c>
      <x:c r="P938" s="35" t="str">
        <x:v>Create a separate notice from template manually on the other client.</x:v>
      </x:c>
      <x:c r="Q938" s="35" t="str">
        <x:v>Synthetic QA only; no real people, accounts, signatures, or properties</x:v>
      </x:c>
    </x:row>
    <x:row r="939">
      <x:c r="A939" s="20" t="str">
        <x:v>SCN-0936</x:v>
      </x:c>
      <x:c r="B939" s="23" t="n">
        <x:v>46446</x:v>
      </x:c>
      <x:c r="C939" s="20" t="str">
        <x:v>scn-0936-move-out-inspection-l005.pdf</x:v>
      </x:c>
      <x:c r="D939" s="20" t="str">
        <x:v>Move-out inspection report</x:v>
      </x:c>
      <x:c r="E939" s="20" t="str">
        <x:v>Inspection / Property document</x:v>
      </x:c>
      <x:c r="F939" s="35" t="str">
        <x:v>Photo/report attachment; typed inspection items are confirmed manually</x:v>
      </x:c>
      <x:c r="G939" s="20" t="str">
        <x:v>PDF</x:v>
      </x:c>
      <x:c r="H939" s="20" t="str">
        <x:v>10 pages</x:v>
      </x:c>
      <x:c r="I939" s="35" t="str">
        <x:v>generated report with room photos</x:v>
      </x:c>
      <x:c r="J939" s="20" t="str">
        <x:v>P005</x:v>
      </x:c>
      <x:c r="K939" s="20" t="str">
        <x:v>U005</x:v>
      </x:c>
      <x:c r="L939" s="20" t="str">
        <x:v>L005</x:v>
      </x:c>
      <x:c r="M939" s="20" t="str"/>
      <x:c r="N939" s="35" t="str">
        <x:v>inspection date; inspector; unit; checklist results; notes; photos; damage estimate</x:v>
      </x:c>
      <x:c r="O939" s="35" t="str">
        <x:v>normal wear vs chargeable damage</x:v>
      </x:c>
      <x:c r="P939" s="35" t="str">
        <x:v>Run the actual checklist manually on mobile and review/edit-before-complete on web.</x:v>
      </x:c>
      <x:c r="Q939" s="35" t="str">
        <x:v>Synthetic QA only; no real people, accounts, signatures, or properties</x:v>
      </x:c>
    </x:row>
    <x:row r="940">
      <x:c r="A940" s="20" t="str">
        <x:v>SCN-0937</x:v>
      </x:c>
      <x:c r="B940" s="23" t="n">
        <x:v>46585</x:v>
      </x:c>
      <x:c r="C940" s="20" t="str">
        <x:v>scn-0937-move-out-notice-l008.pdf</x:v>
      </x:c>
      <x:c r="D940" s="20" t="str">
        <x:v>Move-out / non-renewal notice</x:v>
      </x:c>
      <x:c r="E940" s="20" t="str">
        <x:v>Notice / Lease document</x:v>
      </x:c>
      <x:c r="F940" s="35" t="str">
        <x:v>Document attachment and notice-draft comparison</x:v>
      </x:c>
      <x:c r="G940" s="20" t="str">
        <x:v>PDF</x:v>
      </x:c>
      <x:c r="H940" s="20" t="str">
        <x:v>2 pages</x:v>
      </x:c>
      <x:c r="I940" s="35" t="str">
        <x:v>signed tenant notice</x:v>
      </x:c>
      <x:c r="J940" s="20" t="str">
        <x:v>P008</x:v>
      </x:c>
      <x:c r="K940" s="20" t="str">
        <x:v>U008</x:v>
      </x:c>
      <x:c r="L940" s="20" t="str">
        <x:v>L008</x:v>
      </x:c>
      <x:c r="M940" s="20" t="str"/>
      <x:c r="N940" s="35" t="str">
        <x:v>tenant; unit; notice date; planned move-out; forwarding-address placeholder; signature</x:v>
      </x:c>
      <x:c r="O940" s="35" t="str">
        <x:v>date on source differs from upload date</x:v>
      </x:c>
      <x:c r="P940" s="35" t="str">
        <x:v>Create a separate notice from template manually on the other client.</x:v>
      </x:c>
      <x:c r="Q940" s="35" t="str">
        <x:v>Synthetic QA only; no real people, accounts, signatures, or properties</x:v>
      </x:c>
    </x:row>
    <x:row r="941">
      <x:c r="A941" s="20" t="str">
        <x:v>SCN-0938</x:v>
      </x:c>
      <x:c r="B941" s="23" t="n">
        <x:v>46630</x:v>
      </x:c>
      <x:c r="C941" s="20" t="str">
        <x:v>scn-0938-move-out-inspection-l008.pdf</x:v>
      </x:c>
      <x:c r="D941" s="20" t="str">
        <x:v>Move-out inspection report</x:v>
      </x:c>
      <x:c r="E941" s="20" t="str">
        <x:v>Inspection / Property document</x:v>
      </x:c>
      <x:c r="F941" s="35" t="str">
        <x:v>Photo/report attachment; typed inspection items are confirmed manually</x:v>
      </x:c>
      <x:c r="G941" s="20" t="str">
        <x:v>PDF</x:v>
      </x:c>
      <x:c r="H941" s="20" t="str">
        <x:v>10 pages</x:v>
      </x:c>
      <x:c r="I941" s="35" t="str">
        <x:v>generated report with room photos</x:v>
      </x:c>
      <x:c r="J941" s="20" t="str">
        <x:v>P008</x:v>
      </x:c>
      <x:c r="K941" s="20" t="str">
        <x:v>U008</x:v>
      </x:c>
      <x:c r="L941" s="20" t="str">
        <x:v>L008</x:v>
      </x:c>
      <x:c r="M941" s="20" t="str"/>
      <x:c r="N941" s="35" t="str">
        <x:v>inspection date; inspector; unit; checklist results; notes; photos; damage estimate</x:v>
      </x:c>
      <x:c r="O941" s="35" t="str">
        <x:v>normal wear vs chargeable damage</x:v>
      </x:c>
      <x:c r="P941" s="35" t="str">
        <x:v>Run the actual checklist manually on mobile and review/edit-before-complete on web.</x:v>
      </x:c>
      <x:c r="Q941" s="35" t="str">
        <x:v>Synthetic QA only; no real people, accounts, signatures, or properties</x:v>
      </x:c>
    </x:row>
    <x:row r="942">
      <x:c r="A942" s="20" t="str">
        <x:v>SCN-0939</x:v>
      </x:c>
      <x:c r="B942" s="23" t="n">
        <x:v>46493</x:v>
      </x:c>
      <x:c r="C942" s="20" t="str">
        <x:v>scn-0939-move-out-notice-l014.jpg</x:v>
      </x:c>
      <x:c r="D942" s="20" t="str">
        <x:v>Move-out / non-renewal notice</x:v>
      </x:c>
      <x:c r="E942" s="20" t="str">
        <x:v>Notice / Lease document</x:v>
      </x:c>
      <x:c r="F942" s="35" t="str">
        <x:v>Document attachment and notice-draft comparison</x:v>
      </x:c>
      <x:c r="G942" s="20" t="str">
        <x:v>Camera JPEG</x:v>
      </x:c>
      <x:c r="H942" s="20" t="str">
        <x:v>2 pages</x:v>
      </x:c>
      <x:c r="I942" s="35" t="str">
        <x:v>signed tenant notice</x:v>
      </x:c>
      <x:c r="J942" s="20" t="str">
        <x:v>P014</x:v>
      </x:c>
      <x:c r="K942" s="20" t="str">
        <x:v>U014</x:v>
      </x:c>
      <x:c r="L942" s="20" t="str">
        <x:v>L014</x:v>
      </x:c>
      <x:c r="M942" s="20" t="str"/>
      <x:c r="N942" s="35" t="str">
        <x:v>tenant; unit; notice date; planned move-out; forwarding-address placeholder; signature</x:v>
      </x:c>
      <x:c r="O942" s="35" t="str">
        <x:v>date on source differs from upload date</x:v>
      </x:c>
      <x:c r="P942" s="35" t="str">
        <x:v>Create a separate notice from template manually on the other client.</x:v>
      </x:c>
      <x:c r="Q942" s="35" t="str">
        <x:v>Synthetic QA only; no real people, accounts, signatures, or properties</x:v>
      </x:c>
    </x:row>
    <x:row r="943">
      <x:c r="A943" s="20" t="str">
        <x:v>SCN-0940</x:v>
      </x:c>
      <x:c r="B943" s="23" t="n">
        <x:v>46538</x:v>
      </x:c>
      <x:c r="C943" s="20" t="str">
        <x:v>scn-0940-move-out-inspection-l014.pdf</x:v>
      </x:c>
      <x:c r="D943" s="20" t="str">
        <x:v>Move-out inspection report</x:v>
      </x:c>
      <x:c r="E943" s="20" t="str">
        <x:v>Inspection / Property document</x:v>
      </x:c>
      <x:c r="F943" s="35" t="str">
        <x:v>Photo/report attachment; typed inspection items are confirmed manually</x:v>
      </x:c>
      <x:c r="G943" s="20" t="str">
        <x:v>PDF</x:v>
      </x:c>
      <x:c r="H943" s="20" t="str">
        <x:v>10 pages</x:v>
      </x:c>
      <x:c r="I943" s="35" t="str">
        <x:v>generated report with room photos</x:v>
      </x:c>
      <x:c r="J943" s="20" t="str">
        <x:v>P014</x:v>
      </x:c>
      <x:c r="K943" s="20" t="str">
        <x:v>U014</x:v>
      </x:c>
      <x:c r="L943" s="20" t="str">
        <x:v>L014</x:v>
      </x:c>
      <x:c r="M943" s="20" t="str"/>
      <x:c r="N943" s="35" t="str">
        <x:v>inspection date; inspector; unit; checklist results; notes; photos; damage estimate</x:v>
      </x:c>
      <x:c r="O943" s="35" t="str">
        <x:v>normal wear vs chargeable damage</x:v>
      </x:c>
      <x:c r="P943" s="35" t="str">
        <x:v>Run the actual checklist manually on mobile and review/edit-before-complete on web.</x:v>
      </x:c>
      <x:c r="Q943" s="35" t="str">
        <x:v>Synthetic QA only; no real people, accounts, signatures, or properties</x:v>
      </x:c>
    </x:row>
    <x:row r="944">
      <x:c r="A944" s="20" t="str">
        <x:v>SCN-0941</x:v>
      </x:c>
      <x:c r="B944" s="23" t="n">
        <x:v>46513</x:v>
      </x:c>
      <x:c r="C944" s="20" t="str">
        <x:v>scn-0941-move-out-notice-l017.pdf</x:v>
      </x:c>
      <x:c r="D944" s="20" t="str">
        <x:v>Move-out / non-renewal notice</x:v>
      </x:c>
      <x:c r="E944" s="20" t="str">
        <x:v>Notice / Lease document</x:v>
      </x:c>
      <x:c r="F944" s="35" t="str">
        <x:v>Document attachment and notice-draft comparison</x:v>
      </x:c>
      <x:c r="G944" s="20" t="str">
        <x:v>PDF</x:v>
      </x:c>
      <x:c r="H944" s="20" t="str">
        <x:v>2 pages</x:v>
      </x:c>
      <x:c r="I944" s="35" t="str">
        <x:v>signed tenant notice</x:v>
      </x:c>
      <x:c r="J944" s="20" t="str">
        <x:v>P017</x:v>
      </x:c>
      <x:c r="K944" s="20" t="str">
        <x:v>U017</x:v>
      </x:c>
      <x:c r="L944" s="20" t="str">
        <x:v>L017</x:v>
      </x:c>
      <x:c r="M944" s="20" t="str"/>
      <x:c r="N944" s="35" t="str">
        <x:v>tenant; unit; notice date; planned move-out; forwarding-address placeholder; signature</x:v>
      </x:c>
      <x:c r="O944" s="35" t="str">
        <x:v>date on source differs from upload date</x:v>
      </x:c>
      <x:c r="P944" s="35" t="str">
        <x:v>Create a separate notice from template manually on the other client.</x:v>
      </x:c>
      <x:c r="Q944" s="35" t="str">
        <x:v>Synthetic QA only; no real people, accounts, signatures, or properties</x:v>
      </x:c>
    </x:row>
    <x:row r="945">
      <x:c r="A945" s="20" t="str">
        <x:v>SCN-0942</x:v>
      </x:c>
      <x:c r="B945" s="23" t="n">
        <x:v>46558</x:v>
      </x:c>
      <x:c r="C945" s="20" t="str">
        <x:v>scn-0942-move-out-inspection-l017.pdf</x:v>
      </x:c>
      <x:c r="D945" s="20" t="str">
        <x:v>Move-out inspection report</x:v>
      </x:c>
      <x:c r="E945" s="20" t="str">
        <x:v>Inspection / Property document</x:v>
      </x:c>
      <x:c r="F945" s="35" t="str">
        <x:v>Photo/report attachment; typed inspection items are confirmed manually</x:v>
      </x:c>
      <x:c r="G945" s="20" t="str">
        <x:v>PDF</x:v>
      </x:c>
      <x:c r="H945" s="20" t="str">
        <x:v>10 pages</x:v>
      </x:c>
      <x:c r="I945" s="35" t="str">
        <x:v>generated report with room photos</x:v>
      </x:c>
      <x:c r="J945" s="20" t="str">
        <x:v>P017</x:v>
      </x:c>
      <x:c r="K945" s="20" t="str">
        <x:v>U017</x:v>
      </x:c>
      <x:c r="L945" s="20" t="str">
        <x:v>L017</x:v>
      </x:c>
      <x:c r="M945" s="20" t="str"/>
      <x:c r="N945" s="35" t="str">
        <x:v>inspection date; inspector; unit; checklist results; notes; photos; damage estimate</x:v>
      </x:c>
      <x:c r="O945" s="35" t="str">
        <x:v>normal wear vs chargeable damage</x:v>
      </x:c>
      <x:c r="P945" s="35" t="str">
        <x:v>Run the actual checklist manually on mobile and review/edit-before-complete on web.</x:v>
      </x:c>
      <x:c r="Q945" s="35" t="str">
        <x:v>Synthetic QA only; no real people, accounts, signatures, or properties</x:v>
      </x:c>
    </x:row>
    <x:row r="946">
      <x:c r="A946" s="20" t="str">
        <x:v>SCN-0943</x:v>
      </x:c>
      <x:c r="B946" s="23" t="n">
        <x:v>46585</x:v>
      </x:c>
      <x:c r="C946" s="20" t="str">
        <x:v>scn-0943-move-out-notice-l022.jpg</x:v>
      </x:c>
      <x:c r="D946" s="20" t="str">
        <x:v>Move-out / non-renewal notice</x:v>
      </x:c>
      <x:c r="E946" s="20" t="str">
        <x:v>Notice / Lease document</x:v>
      </x:c>
      <x:c r="F946" s="35" t="str">
        <x:v>Document attachment and notice-draft comparison</x:v>
      </x:c>
      <x:c r="G946" s="20" t="str">
        <x:v>Camera JPEG</x:v>
      </x:c>
      <x:c r="H946" s="20" t="str">
        <x:v>2 pages</x:v>
      </x:c>
      <x:c r="I946" s="35" t="str">
        <x:v>signed tenant notice</x:v>
      </x:c>
      <x:c r="J946" s="20" t="str">
        <x:v>P021</x:v>
      </x:c>
      <x:c r="K946" s="20" t="str">
        <x:v>U022</x:v>
      </x:c>
      <x:c r="L946" s="20" t="str">
        <x:v>L022</x:v>
      </x:c>
      <x:c r="M946" s="20" t="str"/>
      <x:c r="N946" s="35" t="str">
        <x:v>tenant; unit; notice date; planned move-out; forwarding-address placeholder; signature</x:v>
      </x:c>
      <x:c r="O946" s="35" t="str">
        <x:v>date on source differs from upload date</x:v>
      </x:c>
      <x:c r="P946" s="35" t="str">
        <x:v>Create a separate notice from template manually on the other client.</x:v>
      </x:c>
      <x:c r="Q946" s="35" t="str">
        <x:v>Synthetic QA only; no real people, accounts, signatures, or properties</x:v>
      </x:c>
    </x:row>
    <x:row r="947">
      <x:c r="A947" s="20" t="str">
        <x:v>SCN-0944</x:v>
      </x:c>
      <x:c r="B947" s="23" t="n">
        <x:v>46630</x:v>
      </x:c>
      <x:c r="C947" s="20" t="str">
        <x:v>scn-0944-move-out-inspection-l022.pdf</x:v>
      </x:c>
      <x:c r="D947" s="20" t="str">
        <x:v>Move-out inspection report</x:v>
      </x:c>
      <x:c r="E947" s="20" t="str">
        <x:v>Inspection / Property document</x:v>
      </x:c>
      <x:c r="F947" s="35" t="str">
        <x:v>Photo/report attachment; typed inspection items are confirmed manually</x:v>
      </x:c>
      <x:c r="G947" s="20" t="str">
        <x:v>PDF</x:v>
      </x:c>
      <x:c r="H947" s="20" t="str">
        <x:v>10 pages</x:v>
      </x:c>
      <x:c r="I947" s="35" t="str">
        <x:v>generated report with room photos</x:v>
      </x:c>
      <x:c r="J947" s="20" t="str">
        <x:v>P021</x:v>
      </x:c>
      <x:c r="K947" s="20" t="str">
        <x:v>U022</x:v>
      </x:c>
      <x:c r="L947" s="20" t="str">
        <x:v>L022</x:v>
      </x:c>
      <x:c r="M947" s="20" t="str"/>
      <x:c r="N947" s="35" t="str">
        <x:v>inspection date; inspector; unit; checklist results; notes; photos; damage estimate</x:v>
      </x:c>
      <x:c r="O947" s="35" t="str">
        <x:v>normal wear vs chargeable damage</x:v>
      </x:c>
      <x:c r="P947" s="35" t="str">
        <x:v>Run the actual checklist manually on mobile and review/edit-before-complete on web.</x:v>
      </x:c>
      <x:c r="Q947" s="35" t="str">
        <x:v>Synthetic QA only; no real people, accounts, signatures, or properties</x:v>
      </x:c>
    </x:row>
    <x:row r="948">
      <x:c r="A948" s="20" t="str">
        <x:v>SCN-0945</x:v>
      </x:c>
      <x:c r="B948" s="23" t="n">
        <x:v>46676</x:v>
      </x:c>
      <x:c r="C948" s="20" t="str">
        <x:v>scn-0945-move-out-notice-l034.pdf</x:v>
      </x:c>
      <x:c r="D948" s="20" t="str">
        <x:v>Move-out / non-renewal notice</x:v>
      </x:c>
      <x:c r="E948" s="20" t="str">
        <x:v>Notice / Lease document</x:v>
      </x:c>
      <x:c r="F948" s="35" t="str">
        <x:v>Document attachment and notice-draft comparison</x:v>
      </x:c>
      <x:c r="G948" s="20" t="str">
        <x:v>PDF</x:v>
      </x:c>
      <x:c r="H948" s="20" t="str">
        <x:v>2 pages</x:v>
      </x:c>
      <x:c r="I948" s="35" t="str">
        <x:v>signed tenant notice</x:v>
      </x:c>
      <x:c r="J948" s="20" t="str">
        <x:v>P027</x:v>
      </x:c>
      <x:c r="K948" s="20" t="str">
        <x:v>U034</x:v>
      </x:c>
      <x:c r="L948" s="20" t="str">
        <x:v>L034</x:v>
      </x:c>
      <x:c r="M948" s="20" t="str"/>
      <x:c r="N948" s="35" t="str">
        <x:v>tenant; unit; notice date; planned move-out; forwarding-address placeholder; signature</x:v>
      </x:c>
      <x:c r="O948" s="35" t="str">
        <x:v>date on source differs from upload date</x:v>
      </x:c>
      <x:c r="P948" s="35" t="str">
        <x:v>Create a separate notice from template manually on the other client.</x:v>
      </x:c>
      <x:c r="Q948" s="35" t="str">
        <x:v>Synthetic QA only; no real people, accounts, signatures, or properties</x:v>
      </x:c>
    </x:row>
    <x:row r="949">
      <x:c r="A949" s="20" t="str">
        <x:v>SCN-0946</x:v>
      </x:c>
      <x:c r="B949" s="23" t="n">
        <x:v>46721</x:v>
      </x:c>
      <x:c r="C949" s="20" t="str">
        <x:v>scn-0946-move-out-inspection-l034.pdf</x:v>
      </x:c>
      <x:c r="D949" s="20" t="str">
        <x:v>Move-out inspection report</x:v>
      </x:c>
      <x:c r="E949" s="20" t="str">
        <x:v>Inspection / Property document</x:v>
      </x:c>
      <x:c r="F949" s="35" t="str">
        <x:v>Photo/report attachment; typed inspection items are confirmed manually</x:v>
      </x:c>
      <x:c r="G949" s="20" t="str">
        <x:v>PDF</x:v>
      </x:c>
      <x:c r="H949" s="20" t="str">
        <x:v>10 pages</x:v>
      </x:c>
      <x:c r="I949" s="35" t="str">
        <x:v>generated report with room photos</x:v>
      </x:c>
      <x:c r="J949" s="20" t="str">
        <x:v>P027</x:v>
      </x:c>
      <x:c r="K949" s="20" t="str">
        <x:v>U034</x:v>
      </x:c>
      <x:c r="L949" s="20" t="str">
        <x:v>L034</x:v>
      </x:c>
      <x:c r="M949" s="20" t="str"/>
      <x:c r="N949" s="35" t="str">
        <x:v>inspection date; inspector; unit; checklist results; notes; photos; damage estimate</x:v>
      </x:c>
      <x:c r="O949" s="35" t="str">
        <x:v>normal wear vs chargeable damage</x:v>
      </x:c>
      <x:c r="P949" s="35" t="str">
        <x:v>Run the actual checklist manually on mobile and review/edit-before-complete on web.</x:v>
      </x:c>
      <x:c r="Q949" s="35" t="str">
        <x:v>Synthetic QA only; no real people, accounts, signatures, or properties</x:v>
      </x:c>
    </x:row>
    <x:row r="950">
      <x:c r="A950" s="20" t="str">
        <x:v>SCN-0947</x:v>
      </x:c>
      <x:c r="B950" s="23" t="n">
        <x:v>46544</x:v>
      </x:c>
      <x:c r="C950" s="20" t="str">
        <x:v>scn-0947-eviction-20270606.pdf</x:v>
      </x:c>
      <x:c r="D950" s="20" t="str">
        <x:v>Synthetic legal notice / court filing</x:v>
      </x:c>
      <x:c r="E950" s="20" t="str">
        <x:v>Notice or Eviction case document</x:v>
      </x:c>
      <x:c r="F950" s="35" t="str">
        <x:v>Attachment plus manual typed legal-event confirmation</x:v>
      </x:c>
      <x:c r="G950" s="20" t="str">
        <x:v>PDF</x:v>
      </x:c>
      <x:c r="H950" s="20" t="str">
        <x:v>2-5 pages</x:v>
      </x:c>
      <x:c r="I950" s="35" t="str">
        <x:v>synthetic court-style form with prominent QA watermark</x:v>
      </x:c>
      <x:c r="J950" s="20" t="str">
        <x:v>P017</x:v>
      </x:c>
      <x:c r="K950" s="20" t="str">
        <x:v>U017</x:v>
      </x:c>
      <x:c r="L950" s="20" t="str">
        <x:v>L017</x:v>
      </x:c>
      <x:c r="M950" s="20" t="str"/>
      <x:c r="N950" s="35" t="str">
        <x:v>case reference; parties; unit; event date; status; next date; amount</x:v>
      </x:c>
      <x:c r="O950" s="35" t="str">
        <x:v>not legal advice; synthetic acceptance artifact only</x:v>
      </x:c>
      <x:c r="P950" s="35" t="str">
        <x:v>Create the corresponding notice/case/event manually on the other client.</x:v>
      </x:c>
      <x:c r="Q950" s="35" t="str">
        <x:v>Synthetic QA only; no real people, accounts, signatures, or properties</x:v>
      </x:c>
    </x:row>
    <x:row r="951">
      <x:c r="A951" s="20" t="str">
        <x:v>SCN-0948</x:v>
      </x:c>
      <x:c r="B951" s="23" t="n">
        <x:v>46548</x:v>
      </x:c>
      <x:c r="C951" s="20" t="str">
        <x:v>scn-0948-eviction-20270610.pdf</x:v>
      </x:c>
      <x:c r="D951" s="20" t="str">
        <x:v>Synthetic legal notice / court filing</x:v>
      </x:c>
      <x:c r="E951" s="20" t="str">
        <x:v>Notice or Eviction case document</x:v>
      </x:c>
      <x:c r="F951" s="35" t="str">
        <x:v>Attachment plus manual typed legal-event confirmation</x:v>
      </x:c>
      <x:c r="G951" s="20" t="str">
        <x:v>PDF</x:v>
      </x:c>
      <x:c r="H951" s="20" t="str">
        <x:v>2-5 pages</x:v>
      </x:c>
      <x:c r="I951" s="35" t="str">
        <x:v>synthetic court-style form with prominent QA watermark</x:v>
      </x:c>
      <x:c r="J951" s="20" t="str">
        <x:v>P017</x:v>
      </x:c>
      <x:c r="K951" s="20" t="str">
        <x:v>U017</x:v>
      </x:c>
      <x:c r="L951" s="20" t="str">
        <x:v>L017</x:v>
      </x:c>
      <x:c r="M951" s="20" t="str"/>
      <x:c r="N951" s="35" t="str">
        <x:v>case reference; parties; unit; event date; status; next date; amount</x:v>
      </x:c>
      <x:c r="O951" s="35" t="str">
        <x:v>not legal advice; synthetic acceptance artifact only</x:v>
      </x:c>
      <x:c r="P951" s="35" t="str">
        <x:v>Create the corresponding notice/case/event manually on the other client.</x:v>
      </x:c>
      <x:c r="Q951" s="35" t="str">
        <x:v>Synthetic QA only; no real people, accounts, signatures, or properties</x:v>
      </x:c>
    </x:row>
    <x:row r="952">
      <x:c r="A952" s="20" t="str">
        <x:v>SCN-0949</x:v>
      </x:c>
      <x:c r="B952" s="23" t="n">
        <x:v>46552</x:v>
      </x:c>
      <x:c r="C952" s="20" t="str">
        <x:v>scn-0949-eviction-20270614.pdf</x:v>
      </x:c>
      <x:c r="D952" s="20" t="str">
        <x:v>Synthetic legal notice / court filing</x:v>
      </x:c>
      <x:c r="E952" s="20" t="str">
        <x:v>Notice or Eviction case document</x:v>
      </x:c>
      <x:c r="F952" s="35" t="str">
        <x:v>Attachment plus manual typed legal-event confirmation</x:v>
      </x:c>
      <x:c r="G952" s="20" t="str">
        <x:v>PDF</x:v>
      </x:c>
      <x:c r="H952" s="20" t="str">
        <x:v>2-5 pages</x:v>
      </x:c>
      <x:c r="I952" s="35" t="str">
        <x:v>synthetic court-style form with prominent QA watermark</x:v>
      </x:c>
      <x:c r="J952" s="20" t="str">
        <x:v>P017</x:v>
      </x:c>
      <x:c r="K952" s="20" t="str">
        <x:v>U017</x:v>
      </x:c>
      <x:c r="L952" s="20" t="str">
        <x:v>L017</x:v>
      </x:c>
      <x:c r="M952" s="20" t="str"/>
      <x:c r="N952" s="35" t="str">
        <x:v>case reference; parties; unit; event date; status; next date; amount</x:v>
      </x:c>
      <x:c r="O952" s="35" t="str">
        <x:v>not legal advice; synthetic acceptance artifact only</x:v>
      </x:c>
      <x:c r="P952" s="35" t="str">
        <x:v>Create the corresponding notice/case/event manually on the other client.</x:v>
      </x:c>
      <x:c r="Q952" s="35" t="str">
        <x:v>Synthetic QA only; no real people, accounts, signatures, or properties</x:v>
      </x:c>
    </x:row>
    <x:row r="953">
      <x:c r="A953" s="20" t="str">
        <x:v>SCN-0950</x:v>
      </x:c>
      <x:c r="B953" s="23" t="n">
        <x:v>46556</x:v>
      </x:c>
      <x:c r="C953" s="20" t="str">
        <x:v>scn-0950-eviction-20270618.pdf</x:v>
      </x:c>
      <x:c r="D953" s="20" t="str">
        <x:v>Synthetic legal notice / court filing</x:v>
      </x:c>
      <x:c r="E953" s="20" t="str">
        <x:v>Notice or Eviction case document</x:v>
      </x:c>
      <x:c r="F953" s="35" t="str">
        <x:v>Attachment plus manual typed legal-event confirmation</x:v>
      </x:c>
      <x:c r="G953" s="20" t="str">
        <x:v>PDF</x:v>
      </x:c>
      <x:c r="H953" s="20" t="str">
        <x:v>2-5 pages</x:v>
      </x:c>
      <x:c r="I953" s="35" t="str">
        <x:v>synthetic court-style form with prominent QA watermark</x:v>
      </x:c>
      <x:c r="J953" s="20" t="str">
        <x:v>P017</x:v>
      </x:c>
      <x:c r="K953" s="20" t="str">
        <x:v>U017</x:v>
      </x:c>
      <x:c r="L953" s="20" t="str">
        <x:v>L017</x:v>
      </x:c>
      <x:c r="M953" s="20" t="str"/>
      <x:c r="N953" s="35" t="str">
        <x:v>case reference; parties; unit; event date; status; next date; amount</x:v>
      </x:c>
      <x:c r="O953" s="35" t="str">
        <x:v>not legal advice; synthetic acceptance artifact only</x:v>
      </x:c>
      <x:c r="P953" s="35" t="str">
        <x:v>Create the corresponding notice/case/event manually on the other client.</x:v>
      </x:c>
      <x:c r="Q953" s="35" t="str">
        <x:v>Synthetic QA only; no real people, accounts, signatures, or properties</x:v>
      </x:c>
    </x:row>
    <x:row r="954">
      <x:c r="A954" s="20" t="str">
        <x:v>SCN-0951</x:v>
      </x:c>
      <x:c r="B954" s="23" t="n">
        <x:v>46556</x:v>
      </x:c>
      <x:c r="C954" s="20" t="str">
        <x:v>scn-0951-expense-20270618-4017.jpg</x:v>
      </x:c>
      <x:c r="D954" s="20" t="str">
        <x:v>Vendor invoice / receipt</x:v>
      </x:c>
      <x:c r="E954" s="20" t="str">
        <x:v>Expense</x:v>
      </x:c>
      <x:c r="F954" s="35" t="str">
        <x:v>Direct scan draft with property/unit/work-order context</x:v>
      </x:c>
      <x:c r="G954" s="20" t="str">
        <x:v>Camera JPEG</x:v>
      </x:c>
      <x:c r="H954" s="20" t="str">
        <x:v>1-3 pages</x:v>
      </x:c>
      <x:c r="I954" s="35" t="str">
        <x:v>clean emailed invoice</x:v>
      </x:c>
      <x:c r="J954" s="20" t="str">
        <x:v>P017</x:v>
      </x:c>
      <x:c r="K954" s="20" t="str">
        <x:v>U017</x:v>
      </x:c>
      <x:c r="L954" s="20" t="str"/>
      <x:c r="M954" s="20" t="str">
        <x:v>FIN-01674</x:v>
      </x:c>
      <x:c r="N954" s="35" t="str">
        <x:v>vendor; invoice number; date; subtotal; tax; total; category; property; unit; line items; payment method</x:v>
      </x:c>
      <x:c r="O954" s="35" t="str"/>
      <x:c r="P954" s="35" t="str">
        <x:v>Create a different expense of the same category through the equivalent manual form on the other client.</x:v>
      </x:c>
      <x:c r="Q954" s="35" t="str">
        <x:v>Synthetic QA only; no real people, accounts, signatures, or properties</x:v>
      </x:c>
    </x:row>
    <x:row r="955">
      <x:c r="A955" s="20" t="str">
        <x:v>SCN-0952</x:v>
      </x:c>
      <x:c r="B955" s="23" t="n">
        <x:v>46525</x:v>
      </x:c>
      <x:c r="C955" s="20" t="str">
        <x:v>scn-0952-water-heater-capital-improvement.pdf</x:v>
      </x:c>
      <x:c r="D955" s="20" t="str">
        <x:v>Capital improvement invoice</x:v>
      </x:c>
      <x:c r="E955" s="20" t="str">
        <x:v>Expense / Capital asset</x:v>
      </x:c>
      <x:c r="F955" s="35" t="str">
        <x:v>Expense scan draft followed by capitalization decision</x:v>
      </x:c>
      <x:c r="G955" s="20" t="str">
        <x:v>PDF</x:v>
      </x:c>
      <x:c r="H955" s="20" t="str">
        <x:v>4 pages</x:v>
      </x:c>
      <x:c r="I955" s="35" t="str">
        <x:v>contractor invoice with labor/material split and warranty</x:v>
      </x:c>
      <x:c r="J955" s="20" t="str">
        <x:v>P012</x:v>
      </x:c>
      <x:c r="K955" s="20" t="str">
        <x:v>U012</x:v>
      </x:c>
      <x:c r="L955" s="20" t="str"/>
      <x:c r="M955" s="20" t="str">
        <x:v>FIN-01675</x:v>
      </x:c>
      <x:c r="N955" s="35" t="str">
        <x:v>vendor; property; unit; placed-in-service date; description; amount; warranty; line items</x:v>
      </x:c>
      <x:c r="O955" s="35" t="str">
        <x:v>must not remain both expense and capital asset</x:v>
      </x:c>
      <x:c r="P955" s="35" t="str">
        <x:v>Enter a separate small asset manually on the other client.</x:v>
      </x:c>
      <x:c r="Q955" s="35" t="str">
        <x:v>Synthetic QA only; no real people, accounts, signatures, or properties</x:v>
      </x:c>
    </x:row>
    <x:row r="956">
      <x:c r="A956" s="21" t="str">
        <x:v>SCN-0953</x:v>
      </x:c>
      <x:c r="B956" s="24" t="n">
        <x:v>46706</x:v>
      </x:c>
      <x:c r="C956" s="21" t="str">
        <x:v>scn-0953-property-sale-p003.pdf</x:v>
      </x:c>
      <x:c r="D956" s="21" t="str">
        <x:v>Closing disclosure / settlement statement</x:v>
      </x:c>
      <x:c r="E956" s="21" t="str">
        <x:v>Property disposition</x:v>
      </x:c>
      <x:c r="F956" s="36" t="str">
        <x:v>Typed disposition candidate; attach and enter disposition manually if unsupported</x:v>
      </x:c>
      <x:c r="G956" s="21" t="str">
        <x:v>PDF</x:v>
      </x:c>
      <x:c r="H956" s="21" t="str">
        <x:v>7 pages</x:v>
      </x:c>
      <x:c r="I956" s="36" t="str">
        <x:v>clean closing packet</x:v>
      </x:c>
      <x:c r="J956" s="21" t="str">
        <x:v>P003</x:v>
      </x:c>
      <x:c r="K956" s="21" t="str"/>
      <x:c r="L956" s="21" t="str"/>
      <x:c r="M956" s="21" t="str">
        <x:v>FIN-01676</x:v>
      </x:c>
      <x:c r="N956" s="36" t="str">
        <x:v>property; sale date; gross proceeds; selling costs; loan payoff; net proceeds; buyer; closing reference</x:v>
      </x:c>
      <x:c r="O956" s="36" t="str">
        <x:v>sale price is not net cash and loan payoff is not an expense</x:v>
      </x:c>
      <x:c r="P956" s="36" t="str">
        <x:v>Enter/verify the disposition on both clients using different read/edit actions.</x:v>
      </x:c>
      <x:c r="Q956" s="36" t="str">
        <x:v>Synthetic QA only; no real people, accounts, signatures, or properties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0998098d91543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6" hidden="0" customWidth="1"/>
    <x:col min="4" max="4" width="36" hidden="0" customWidth="1"/>
    <x:col min="5" max="5" width="3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4" hidden="0" customWidth="1"/>
    <x:col min="12" max="12" width="58" hidden="0" customWidth="1"/>
    <x:col min="13" max="13" width="54" hidden="0" customWidth="1"/>
  </x:cols>
  <x:sheetData>
    <x:row r="1" ht="34" customHeight="1">
      <x:c r="A1" s="3" t="str">
        <x:v>Web / Mobile × Scan / Manual Coverage</x:v>
      </x:c>
      <x:c r="B1" s="3" t="str">
        <x:v>Web / Mobile × Scan / Manual Coverage</x:v>
      </x:c>
      <x:c r="C1" s="3" t="str">
        <x:v>Web / Mobile × Scan / Manual Coverage</x:v>
      </x:c>
      <x:c r="D1" s="3" t="str">
        <x:v>Web / Mobile × Scan / Manual Coverage</x:v>
      </x:c>
      <x:c r="E1" s="3" t="str">
        <x:v>Web / Mobile × Scan / Manual Coverage</x:v>
      </x:c>
      <x:c r="F1" s="3" t="str">
        <x:v>Web / Mobile × Scan / Manual Coverage</x:v>
      </x:c>
      <x:c r="G1" s="3" t="str">
        <x:v>Web / Mobile × Scan / Manual Coverage</x:v>
      </x:c>
      <x:c r="H1" s="3" t="str">
        <x:v>Web / Mobile × Scan / Manual Coverage</x:v>
      </x:c>
      <x:c r="I1" s="3" t="str">
        <x:v>Web / Mobile × Scan / Manual Coverage</x:v>
      </x:c>
      <x:c r="J1" s="3" t="str">
        <x:v>Web / Mobile × Scan / Manual Coverage</x:v>
      </x:c>
      <x:c r="K1" s="3" t="str">
        <x:v>Web / Mobile × Scan / Manual Coverage</x:v>
      </x:c>
      <x:c r="L1" s="3" t="str">
        <x:v>Web / Mobile × Scan / Manual Coverage</x:v>
      </x:c>
      <x:c r="M1" s="3" t="str">
        <x:v>Web / Mobile × Scan / Manual Coverage</x:v>
      </x:c>
    </x:row>
    <x:row r="3" ht="30" customHeight="1">
      <x:c r="A3" s="12" t="str">
        <x:v>Coverage ID</x:v>
      </x:c>
      <x:c r="B3" s="13" t="str">
        <x:v>Domain</x:v>
      </x:c>
      <x:c r="C3" s="13" t="str">
        <x:v>Surface</x:v>
      </x:c>
      <x:c r="D3" s="13" t="str">
        <x:v>Web Route</x:v>
      </x:c>
      <x:c r="E3" s="13" t="str">
        <x:v>Mobile Surface</x:v>
      </x:c>
      <x:c r="F3" s="13" t="str">
        <x:v>Scan / Attachment Path</x:v>
      </x:c>
      <x:c r="G3" s="13" t="str">
        <x:v>Manual Web</x:v>
      </x:c>
      <x:c r="H3" s="13" t="str">
        <x:v>Manual Mobile</x:v>
      </x:c>
      <x:c r="I3" s="13" t="str">
        <x:v>Scan Web</x:v>
      </x:c>
      <x:c r="J3" s="13" t="str">
        <x:v>Scan Mobile</x:v>
      </x:c>
      <x:c r="K3" s="13" t="str">
        <x:v>Mobile Gap Policy</x:v>
      </x:c>
      <x:c r="L3" s="13" t="str">
        <x:v>Acceptance Action</x:v>
      </x:c>
      <x:c r="M3" s="14" t="str">
        <x:v>Required Proof</x:v>
      </x:c>
    </x:row>
    <x:row r="4">
      <x:c r="A4" s="19" t="str">
        <x:v>COV-001</x:v>
      </x:c>
      <x:c r="B4" s="19" t="str">
        <x:v>Authentication</x:v>
      </x:c>
      <x:c r="C4" s="34" t="str">
        <x:v>Register, verify email, login, logout</x:v>
      </x:c>
      <x:c r="D4" s="34" t="str">
        <x:v>/register; /verify-email; /login; /logout</x:v>
      </x:c>
      <x:c r="E4" s="34" t="str">
        <x:v>Auth screens</x:v>
      </x:c>
      <x:c r="F4" s="34" t="str">
        <x:v>No</x:v>
      </x:c>
      <x:c r="G4" s="22" t="n">
        <x:v>46398</x:v>
      </x:c>
      <x:c r="H4" s="22" t="n">
        <x:v>46399</x:v>
      </x:c>
      <x:c r="I4" s="22" t="str">
        <x:v>N/A</x:v>
      </x:c>
      <x:c r="J4" s="22" t="str">
        <x:v>N/A</x:v>
      </x:c>
      <x:c r="K4" s="34" t="str">
        <x:v>Expected supported; failure is a bug</x:v>
      </x:c>
      <x:c r="L4" s="34" t="str">
        <x:v>Create a second staff identity; verify validation, refresh, logout, back navigation, and app-scoped cookies/tokens.</x:v>
      </x:c>
      <x:c r="M4" s="34" t="str">
        <x:v>Real UI state, submitted result, persisted read-back, other-client read-back, audit/history, role guard, and money tie-out when applicable.</x:v>
      </x:c>
    </x:row>
    <x:row r="5">
      <x:c r="A5" s="20" t="str">
        <x:v>COV-002</x:v>
      </x:c>
      <x:c r="B5" s="20" t="str">
        <x:v>Authentication</x:v>
      </x:c>
      <x:c r="C5" s="35" t="str">
        <x:v>Forgot/reset password and change password</x:v>
      </x:c>
      <x:c r="D5" s="35" t="str">
        <x:v>/forgot-password; /reset-password; /settings/security</x:v>
      </x:c>
      <x:c r="E5" s="35" t="str">
        <x:v>Forgot/reset/change password screens</x:v>
      </x:c>
      <x:c r="F5" s="35" t="str">
        <x:v>No</x:v>
      </x:c>
      <x:c r="G5" s="23" t="n">
        <x:v>46406</x:v>
      </x:c>
      <x:c r="H5" s="23" t="n">
        <x:v>46407</x:v>
      </x:c>
      <x:c r="I5" s="23" t="str">
        <x:v>N/A</x:v>
      </x:c>
      <x:c r="J5" s="23" t="str">
        <x:v>N/A</x:v>
      </x:c>
      <x:c r="K5" s="35" t="str">
        <x:v>Expected supported; failure is a bug</x:v>
      </x:c>
      <x:c r="L5" s="35" t="str">
        <x:v>Request reset for known/unknown user; use valid/invalid token; change password; revoke other sessions.</x:v>
      </x:c>
      <x:c r="M5" s="35" t="str">
        <x:v>Real UI state, submitted result, persisted read-back, other-client read-back, audit/history, role guard, and money tie-out when applicable.</x:v>
      </x:c>
    </x:row>
    <x:row r="6">
      <x:c r="A6" s="20" t="str">
        <x:v>COV-003</x:v>
      </x:c>
      <x:c r="B6" s="20" t="str">
        <x:v>Setup</x:v>
      </x:c>
      <x:c r="C6" s="35" t="str">
        <x:v>Choose live setup and Getting Started</x:v>
      </x:c>
      <x:c r="D6" s="35" t="str">
        <x:v>/choose-setup; /setting-up; /get-started; /onboarding</x:v>
      </x:c>
      <x:c r="E6" s="35" t="str">
        <x:v>Onboarding choice/live setup/getting started</x:v>
      </x:c>
      <x:c r="F6" s="35" t="str">
        <x:v>Lease</x:v>
      </x:c>
      <x:c r="G6" s="23" t="n">
        <x:v>46413</x:v>
      </x:c>
      <x:c r="H6" s="23" t="n">
        <x:v>46414</x:v>
      </x:c>
      <x:c r="I6" s="23" t="n">
        <x:v>46416</x:v>
      </x:c>
      <x:c r="J6" s="23" t="n">
        <x:v>46419</x:v>
      </x:c>
      <x:c r="K6" s="35" t="str">
        <x:v>Expected supported; failure is a bug</x:v>
      </x:c>
      <x:c r="L6" s="35" t="str">
        <x:v>Resume saved setup, scan one lease, complete one manual setup task, and verify go-live state.</x:v>
      </x:c>
      <x:c r="M6" s="35" t="str">
        <x:v>Real UI state, submitted result, persisted read-back, other-client read-back, audit/history, role guard, and money tie-out when applicable.</x:v>
      </x:c>
    </x:row>
    <x:row r="7">
      <x:c r="A7" s="20" t="str">
        <x:v>COV-004</x:v>
      </x:c>
      <x:c r="B7" s="20" t="str">
        <x:v>Rentals</x:v>
      </x:c>
      <x:c r="C7" s="35" t="str">
        <x:v>Property create/edit/detail/documents/history</x:v>
      </x:c>
      <x:c r="D7" s="35" t="str">
        <x:v>/properties; /properties/[id]</x:v>
      </x:c>
      <x:c r="E7" s="35" t="str">
        <x:v>Properties list/form/detail</x:v>
      </x:c>
      <x:c r="F7" s="35" t="str">
        <x:v>Attachment / candidate</x:v>
      </x:c>
      <x:c r="G7" s="23" t="n">
        <x:v>46421</x:v>
      </x:c>
      <x:c r="H7" s="23" t="n">
        <x:v>46422</x:v>
      </x:c>
      <x:c r="I7" s="23" t="n">
        <x:v>46423</x:v>
      </x:c>
      <x:c r="J7" s="23" t="n">
        <x:v>46427</x:v>
      </x:c>
      <x:c r="K7" s="35" t="str">
        <x:v>Expected supported; failure is a bug</x:v>
      </x:c>
      <x:c r="L7" s="35" t="str">
        <x:v>Create, edit, deactivate-safe, filter, sort, page, attach documents, and inspect history.</x:v>
      </x:c>
      <x:c r="M7" s="35" t="str">
        <x:v>Real UI state, submitted result, persisted read-back, other-client read-back, audit/history, role guard, and money tie-out when applicable.</x:v>
      </x:c>
    </x:row>
    <x:row r="8">
      <x:c r="A8" s="20" t="str">
        <x:v>COV-005</x:v>
      </x:c>
      <x:c r="B8" s="20" t="str">
        <x:v>Rentals</x:v>
      </x:c>
      <x:c r="C8" s="35" t="str">
        <x:v>Unit create/edit/Command Center</x:v>
      </x:c>
      <x:c r="D8" s="35" t="str">
        <x:v>/units; /units/[id]</x:v>
      </x:c>
      <x:c r="E8" s="35" t="str">
        <x:v>Units list/form/Command Center</x:v>
      </x:c>
      <x:c r="F8" s="35" t="str">
        <x:v>Lease context</x:v>
      </x:c>
      <x:c r="G8" s="23" t="n">
        <x:v>46428</x:v>
      </x:c>
      <x:c r="H8" s="23" t="n">
        <x:v>46430</x:v>
      </x:c>
      <x:c r="I8" s="23" t="n">
        <x:v>46433</x:v>
      </x:c>
      <x:c r="J8" s="23" t="n">
        <x:v>46434</x:v>
      </x:c>
      <x:c r="K8" s="35" t="str">
        <x:v>Expected supported; failure is a bug</x:v>
      </x:c>
      <x:c r="L8" s="35" t="str">
        <x:v>Create/edit unit, traverse Summary/Listing/Tenant &amp; lease/Money/Maintenance/Documents &amp; history, and restore navigation.</x:v>
      </x:c>
      <x:c r="M8" s="35" t="str">
        <x:v>Real UI state, submitted result, persisted read-back, other-client read-back, audit/history, role guard, and money tie-out when applicable.</x:v>
      </x:c>
    </x:row>
    <x:row r="9">
      <x:c r="A9" s="20" t="str">
        <x:v>COV-006</x:v>
      </x:c>
      <x:c r="B9" s="20" t="str">
        <x:v>Rentals</x:v>
      </x:c>
      <x:c r="C9" s="35" t="str">
        <x:v>Owner entity create/edit/detail/portal access</x:v>
      </x:c>
      <x:c r="D9" s="35" t="str">
        <x:v>/owners; /owners/[id]; /owner</x:v>
      </x:c>
      <x:c r="E9" s="35" t="str">
        <x:v>Owners list/form/detail/owner landing</x:v>
      </x:c>
      <x:c r="F9" s="35" t="str">
        <x:v>Attachment / candidate</x:v>
      </x:c>
      <x:c r="G9" s="23" t="n">
        <x:v>46436</x:v>
      </x:c>
      <x:c r="H9" s="23" t="n">
        <x:v>46437</x:v>
      </x:c>
      <x:c r="I9" s="23" t="n">
        <x:v>46441</x:v>
      </x:c>
      <x:c r="J9" s="23" t="n">
        <x:v>46442</x:v>
      </x:c>
      <x:c r="K9" s="35" t="str">
        <x:v>Expected supported; failure is a bug</x:v>
      </x:c>
      <x:c r="L9" s="35" t="str">
        <x:v>Create/edit owner, assign properties, invite owner, inspect statements, approvals, messages, security, and scoped properties.</x:v>
      </x:c>
      <x:c r="M9" s="35" t="str">
        <x:v>Real UI state, submitted result, persisted read-back, other-client read-back, audit/history, role guard, and money tie-out when applicable.</x:v>
      </x:c>
    </x:row>
    <x:row r="10">
      <x:c r="A10" s="20" t="str">
        <x:v>COV-007</x:v>
      </x:c>
      <x:c r="B10" s="20" t="str">
        <x:v>Rentals</x:v>
      </x:c>
      <x:c r="C10" s="35" t="str">
        <x:v>Tenant create/edit/detail/access lifecycle</x:v>
      </x:c>
      <x:c r="D10" s="35" t="str">
        <x:v>/tenants; /tenants/[id]</x:v>
      </x:c>
      <x:c r="E10" s="35" t="str">
        <x:v>Tenants list/detail</x:v>
      </x:c>
      <x:c r="F10" s="35" t="str">
        <x:v>Lease/Application</x:v>
      </x:c>
      <x:c r="G10" s="23" t="n">
        <x:v>46443</x:v>
      </x:c>
      <x:c r="H10" s="23" t="n">
        <x:v>46447</x:v>
      </x:c>
      <x:c r="I10" s="23" t="n">
        <x:v>46448</x:v>
      </x:c>
      <x:c r="J10" s="23" t="n">
        <x:v>46449</x:v>
      </x:c>
      <x:c r="K10" s="35" t="str">
        <x:v>Expected supported; failure is a bug</x:v>
      </x:c>
      <x:c r="L10" s="35" t="str">
        <x:v>Create/edit tenant, household membership, portal invite/revoke/reinvite, security link, current/historical lease.</x:v>
      </x:c>
      <x:c r="M10" s="35" t="str">
        <x:v>Real UI state, submitted result, persisted read-back, other-client read-back, audit/history, role guard, and money tie-out when applicable.</x:v>
      </x:c>
    </x:row>
    <x:row r="11">
      <x:c r="A11" s="20" t="str">
        <x:v>COV-008</x:v>
      </x:c>
      <x:c r="B11" s="20" t="str">
        <x:v>Rentals</x:v>
      </x:c>
      <x:c r="C11" s="35" t="str">
        <x:v>Vendor create/edit/W-9/detail</x:v>
      </x:c>
      <x:c r="D11" s="35" t="str">
        <x:v>/vendors; /vendors/[id]</x:v>
      </x:c>
      <x:c r="E11" s="35" t="str">
        <x:v>Vendors list/form/detail</x:v>
      </x:c>
      <x:c r="F11" s="35" t="str">
        <x:v>Attachment / candidate</x:v>
      </x:c>
      <x:c r="G11" s="23" t="n">
        <x:v>46451</x:v>
      </x:c>
      <x:c r="H11" s="23" t="n">
        <x:v>46454</x:v>
      </x:c>
      <x:c r="I11" s="23" t="n">
        <x:v>46456</x:v>
      </x:c>
      <x:c r="J11" s="23" t="n">
        <x:v>46457</x:v>
      </x:c>
      <x:c r="K11" s="35" t="str">
        <x:v>Expected supported; failure is a bug</x:v>
      </x:c>
      <x:c r="L11" s="35" t="str">
        <x:v>Create/edit vendor including address/tax/website, request W-9, filter, dispatch, rate, deactivate-safe.</x:v>
      </x:c>
      <x:c r="M11" s="35" t="str">
        <x:v>Real UI state, submitted result, persisted read-back, other-client read-back, audit/history, role guard, and money tie-out when applicable.</x:v>
      </x:c>
    </x:row>
    <x:row r="12">
      <x:c r="A12" s="20" t="str">
        <x:v>COV-009</x:v>
      </x:c>
      <x:c r="B12" s="20" t="str">
        <x:v>Leasing</x:v>
      </x:c>
      <x:c r="C12" s="35" t="str">
        <x:v>Application public form/intake/detail/pipeline</x:v>
      </x:c>
      <x:c r="D12" s="35" t="str">
        <x:v>/apply/[token]; /applications; /applications/[id]; /leasing/pipeline</x:v>
      </x:c>
      <x:c r="E12" s="35" t="str">
        <x:v>Applications list/detail/leasing</x:v>
      </x:c>
      <x:c r="F12" s="35" t="str">
        <x:v>Application</x:v>
      </x:c>
      <x:c r="G12" s="23" t="n">
        <x:v>46458</x:v>
      </x:c>
      <x:c r="H12" s="23" t="n">
        <x:v>46462</x:v>
      </x:c>
      <x:c r="I12" s="23" t="n">
        <x:v>46463</x:v>
      </x:c>
      <x:c r="J12" s="23" t="n">
        <x:v>46465</x:v>
      </x:c>
      <x:c r="K12" s="35" t="str">
        <x:v>Expected supported; failure is a bug</x:v>
      </x:c>
      <x:c r="L12" s="35" t="str">
        <x:v>Submit public and scanned applications; manually create/status one on each client; verify unit scope and fair-housing guard.</x:v>
      </x:c>
      <x:c r="M12" s="35" t="str">
        <x:v>Real UI state, submitted result, persisted read-back, other-client read-back, audit/history, role guard, and money tie-out when applicable.</x:v>
      </x:c>
    </x:row>
    <x:row r="13">
      <x:c r="A13" s="20" t="str">
        <x:v>COV-010</x:v>
      </x:c>
      <x:c r="B13" s="20" t="str">
        <x:v>Leasing</x:v>
      </x:c>
      <x:c r="C13" s="35" t="str">
        <x:v>Rental listing and Zillow manual handoff</x:v>
      </x:c>
      <x:c r="D13" s="35" t="str">
        <x:v>/leasing/rentals; /units/[id]?tab=listing</x:v>
      </x:c>
      <x:c r="E13" s="35" t="str">
        <x:v>Unit Listing tab</x:v>
      </x:c>
      <x:c r="F13" s="35" t="str">
        <x:v>Attachment only</x:v>
      </x:c>
      <x:c r="G13" s="23" t="n">
        <x:v>46468</x:v>
      </x:c>
      <x:c r="H13" s="23" t="n">
        <x:v>46469</x:v>
      </x:c>
      <x:c r="I13" s="23" t="n">
        <x:v>46471</x:v>
      </x:c>
      <x:c r="J13" s="23" t="n">
        <x:v>46472</x:v>
      </x:c>
      <x:c r="K13" s="35" t="str">
        <x:v>Expected supported; failure is a bug</x:v>
      </x:c>
      <x:c r="L13" s="35" t="str">
        <x:v>Create/edit listing, generate packet, save external URLs, copy content, and verify occupied-unit guard.</x:v>
      </x:c>
      <x:c r="M13" s="35" t="str">
        <x:v>Real UI state, submitted result, persisted read-back, other-client read-back, audit/history, role guard, and money tie-out when applicable.</x:v>
      </x:c>
    </x:row>
    <x:row r="14">
      <x:c r="A14" s="20" t="str">
        <x:v>COV-011</x:v>
      </x:c>
      <x:c r="B14" s="20" t="str">
        <x:v>Leasing</x:v>
      </x:c>
      <x:c r="C14" s="35" t="str">
        <x:v>Lease template upload/designer/default</x:v>
      </x:c>
      <x:c r="D14" s="35" t="str">
        <x:v>/lease-templates</x:v>
      </x:c>
      <x:c r="E14" s="35" t="str">
        <x:v>Gap probe: no full mobile designer expected</x:v>
      </x:c>
      <x:c r="F14" s="35" t="str">
        <x:v>Lease/template PDF</x:v>
      </x:c>
      <x:c r="G14" s="23" t="n">
        <x:v>46476</x:v>
      </x:c>
      <x:c r="H14" s="23" t="n">
        <x:v>46477</x:v>
      </x:c>
      <x:c r="I14" s="23" t="n">
        <x:v>46478</x:v>
      </x:c>
      <x:c r="J14" s="23" t="n">
        <x:v>46482</x:v>
      </x:c>
      <x:c r="K14" s="35" t="str">
        <x:v>Prove current gap and capture bug during execution; do not waive</x:v>
      </x:c>
      <x:c r="L14" s="35" t="str">
        <x:v>Upload template, map fields, preview, activate default, and prove issued packets freeze template version.</x:v>
      </x:c>
      <x:c r="M14" s="35" t="str">
        <x:v>Real UI state, submitted result, persisted read-back, other-client read-back, audit/history, role guard, and money tie-out when applicable.</x:v>
      </x:c>
    </x:row>
    <x:row r="15">
      <x:c r="A15" s="20" t="str">
        <x:v>COV-012</x:v>
      </x:c>
      <x:c r="B15" s="20" t="str">
        <x:v>Leasing</x:v>
      </x:c>
      <x:c r="C15" s="35" t="str">
        <x:v>Prepare move-in and lease agreement draft</x:v>
      </x:c>
      <x:c r="D15" s="35" t="str">
        <x:v>/leases; /leases/[id]; Unit Tenant &amp; lease</x:v>
      </x:c>
      <x:c r="E15" s="35" t="str">
        <x:v>Lease sheets/detail</x:v>
      </x:c>
      <x:c r="F15" s="35" t="str">
        <x:v>Lease</x:v>
      </x:c>
      <x:c r="G15" s="23" t="n">
        <x:v>46483</x:v>
      </x:c>
      <x:c r="H15" s="23" t="n">
        <x:v>46484</x:v>
      </x:c>
      <x:c r="I15" s="23" t="n">
        <x:v>46486</x:v>
      </x:c>
      <x:c r="J15" s="23" t="n">
        <x:v>46489</x:v>
      </x:c>
      <x:c r="K15" s="35" t="str">
        <x:v>Expected supported; failure is a bug</x:v>
      </x:c>
      <x:c r="L15" s="35" t="str">
        <x:v>Prepare planned relationship atomically; edit draft; add co-tenant/guarantor/occupant; cancel a planned relationship.</x:v>
      </x:c>
      <x:c r="M15" s="35" t="str">
        <x:v>Real UI state, submitted result, persisted read-back, other-client read-back, audit/history, role guard, and money tie-out when applicable.</x:v>
      </x:c>
    </x:row>
    <x:row r="16">
      <x:c r="A16" s="20" t="str">
        <x:v>COV-013</x:v>
      </x:c>
      <x:c r="B16" s="20" t="str">
        <x:v>Leasing</x:v>
      </x:c>
      <x:c r="C16" s="35" t="str">
        <x:v>Issue, sign, void, replace agreement</x:v>
      </x:c>
      <x:c r="D16" s="35" t="str">
        <x:v>/sign/[token]; /leases/[id]</x:v>
      </x:c>
      <x:c r="E16" s="35" t="str">
        <x:v>Lease detail and public signer flow</x:v>
      </x:c>
      <x:c r="F16" s="35" t="str">
        <x:v>Lease PDF</x:v>
      </x:c>
      <x:c r="G16" s="23" t="n">
        <x:v>46491</x:v>
      </x:c>
      <x:c r="H16" s="23" t="n">
        <x:v>46492</x:v>
      </x:c>
      <x:c r="I16" s="23" t="n">
        <x:v>46493</x:v>
      </x:c>
      <x:c r="J16" s="23" t="n">
        <x:v>46497</x:v>
      </x:c>
      <x:c r="K16" s="35" t="str">
        <x:v>Expected supported; failure is a bug</x:v>
      </x:c>
      <x:c r="L16" s="35" t="str">
        <x:v>Issue, view, sign, finalize, void mistaken packet, replace, and verify immutable artifacts/status.</x:v>
      </x:c>
      <x:c r="M16" s="35" t="str">
        <x:v>Real UI state, submitted result, persisted read-back, other-client read-back, audit/history, role guard, and money tie-out when applicable.</x:v>
      </x:c>
    </x:row>
    <x:row r="17">
      <x:c r="A17" s="20" t="str">
        <x:v>COV-014</x:v>
      </x:c>
      <x:c r="B17" s="20" t="str">
        <x:v>Leasing</x:v>
      </x:c>
      <x:c r="C17" s="35" t="str">
        <x:v>Addendum and financial effect</x:v>
      </x:c>
      <x:c r="D17" s="35" t="str">
        <x:v>/leases/[id]</x:v>
      </x:c>
      <x:c r="E17" s="35" t="str">
        <x:v>Addendum action sheets</x:v>
      </x:c>
      <x:c r="F17" s="35" t="str">
        <x:v>Addendum attachment / candidate</x:v>
      </x:c>
      <x:c r="G17" s="23" t="n">
        <x:v>46498</x:v>
      </x:c>
      <x:c r="H17" s="23" t="n">
        <x:v>46500</x:v>
      </x:c>
      <x:c r="I17" s="23" t="n">
        <x:v>46503</x:v>
      </x:c>
      <x:c r="J17" s="23" t="n">
        <x:v>46504</x:v>
      </x:c>
      <x:c r="K17" s="35" t="str">
        <x:v>Expected supported; failure is a bug</x:v>
      </x:c>
      <x:c r="L17" s="35" t="str">
        <x:v>Create pet addendum with recurring charge, issue/sign, verify effective billing, then supersede on renewal.</x:v>
      </x:c>
      <x:c r="M17" s="35" t="str">
        <x:v>Real UI state, submitted result, persisted read-back, other-client read-back, audit/history, role guard, and money tie-out when applicable.</x:v>
      </x:c>
    </x:row>
    <x:row r="18">
      <x:c r="A18" s="20" t="str">
        <x:v>COV-015</x:v>
      </x:c>
      <x:c r="B18" s="20" t="str">
        <x:v>Leasing</x:v>
      </x:c>
      <x:c r="C18" s="35" t="str">
        <x:v>Renewal, month-to-month, successor agreement</x:v>
      </x:c>
      <x:c r="D18" s="35" t="str">
        <x:v>/units/[id]; /leases/[id]</x:v>
      </x:c>
      <x:c r="E18" s="35" t="str">
        <x:v>Lease detail/action sheets</x:v>
      </x:c>
      <x:c r="F18" s="35" t="str">
        <x:v>Lease/addendum</x:v>
      </x:c>
      <x:c r="G18" s="23" t="n">
        <x:v>46506</x:v>
      </x:c>
      <x:c r="H18" s="23" t="n">
        <x:v>46507</x:v>
      </x:c>
      <x:c r="I18" s="23" t="n">
        <x:v>46511</x:v>
      </x:c>
      <x:c r="J18" s="23" t="n">
        <x:v>46512</x:v>
      </x:c>
      <x:c r="K18" s="35" t="str">
        <x:v>Expected supported; failure is a bug</x:v>
      </x:c>
      <x:c r="L18" s="35" t="str">
        <x:v>Create future renewal, preserve current governing agreement, test month-to-month and successor timing.</x:v>
      </x:c>
      <x:c r="M18" s="35" t="str">
        <x:v>Real UI state, submitted result, persisted read-back, other-client read-back, audit/history, role guard, and money tie-out when applicable.</x:v>
      </x:c>
    </x:row>
    <x:row r="19">
      <x:c r="A19" s="20" t="str">
        <x:v>COV-016</x:v>
      </x:c>
      <x:c r="B19" s="20" t="str">
        <x:v>Leasing</x:v>
      </x:c>
      <x:c r="C19" s="35" t="str">
        <x:v>Ending disposition, possession return, transfer</x:v>
      </x:c>
      <x:c r="D19" s="35" t="str">
        <x:v>/units/[id]; /leases/[id]</x:v>
      </x:c>
      <x:c r="E19" s="35" t="str">
        <x:v>Ending/return/transfer sheets</x:v>
      </x:c>
      <x:c r="F19" s="35" t="str">
        <x:v>Notice/inspection</x:v>
      </x:c>
      <x:c r="G19" s="23" t="n">
        <x:v>46513</x:v>
      </x:c>
      <x:c r="H19" s="23" t="n">
        <x:v>46517</x:v>
      </x:c>
      <x:c r="I19" s="23" t="n">
        <x:v>46518</x:v>
      </x:c>
      <x:c r="J19" s="23" t="n">
        <x:v>46519</x:v>
      </x:c>
      <x:c r="K19" s="35" t="str">
        <x:v>Expected supported; failure is a bug</x:v>
      </x:c>
      <x:c r="L19" s="35" t="str">
        <x:v>Record notice, plan move-out, return possession, transfer U008 to U040, and preserve historical accounts.</x:v>
      </x:c>
      <x:c r="M19" s="35" t="str">
        <x:v>Real UI state, submitted result, persisted read-back, other-client read-back, audit/history, role guard, and money tie-out when applicable.</x:v>
      </x:c>
    </x:row>
    <x:row r="20">
      <x:c r="A20" s="20" t="str">
        <x:v>COV-017</x:v>
      </x:c>
      <x:c r="B20" s="20" t="str">
        <x:v>Money</x:v>
      </x:c>
      <x:c r="C20" s="35" t="str">
        <x:v>Tenant charge, receipt, allocation, correction</x:v>
      </x:c>
      <x:c r="D20" s="35" t="str">
        <x:v>/leases/[id]; /tenant-accounts/...; /accounting</x:v>
      </x:c>
      <x:c r="E20" s="35" t="str">
        <x:v>Lease ledger/payment screens</x:v>
      </x:c>
      <x:c r="F20" s="35" t="str">
        <x:v>Payment</x:v>
      </x:c>
      <x:c r="G20" s="23" t="n">
        <x:v>46521</x:v>
      </x:c>
      <x:c r="H20" s="23" t="n">
        <x:v>46524</x:v>
      </x:c>
      <x:c r="I20" s="23" t="n">
        <x:v>46526</x:v>
      </x:c>
      <x:c r="J20" s="23" t="n">
        <x:v>46527</x:v>
      </x:c>
      <x:c r="K20" s="35" t="str">
        <x:v>Expected supported; failure is a bug</x:v>
      </x:c>
      <x:c r="L20" s="35" t="str">
        <x:v>Create charge/receipt on both clients, allocate, reverse/refund/adjust without editing posted rows, and reconcile.</x:v>
      </x:c>
      <x:c r="M20" s="35" t="str">
        <x:v>Real UI state, submitted result, persisted read-back, other-client read-back, audit/history, role guard, and money tie-out when applicable.</x:v>
      </x:c>
    </x:row>
    <x:row r="21">
      <x:c r="A21" s="20" t="str">
        <x:v>COV-018</x:v>
      </x:c>
      <x:c r="B21" s="20" t="str">
        <x:v>Money</x:v>
      </x:c>
      <x:c r="C21" s="35" t="str">
        <x:v>Expense create/edit/scan/receipt detail</x:v>
      </x:c>
      <x:c r="D21" s="35" t="str">
        <x:v>/accounting; /accounting/expenses/[id]</x:v>
      </x:c>
      <x:c r="E21" s="35" t="str">
        <x:v>Money/expense form/detail/receipt viewer</x:v>
      </x:c>
      <x:c r="F21" s="35" t="str">
        <x:v>Expense</x:v>
      </x:c>
      <x:c r="G21" s="23" t="n">
        <x:v>46528</x:v>
      </x:c>
      <x:c r="H21" s="23" t="n">
        <x:v>46532</x:v>
      </x:c>
      <x:c r="I21" s="23" t="n">
        <x:v>46533</x:v>
      </x:c>
      <x:c r="J21" s="23" t="n">
        <x:v>46535</x:v>
      </x:c>
      <x:c r="K21" s="35" t="str">
        <x:v>Expected supported; failure is a bug</x:v>
      </x:c>
      <x:c r="L21" s="35" t="str">
        <x:v>Scan and manually create expenses on both clients; edit draft facts; verify line items, attachment, allocation, and Schedule E.</x:v>
      </x:c>
      <x:c r="M21" s="35" t="str">
        <x:v>Real UI state, submitted result, persisted read-back, other-client read-back, audit/history, role guard, and money tie-out when applicable.</x:v>
      </x:c>
    </x:row>
    <x:row r="22">
      <x:c r="A22" s="20" t="str">
        <x:v>COV-019</x:v>
      </x:c>
      <x:c r="B22" s="20" t="str">
        <x:v>Money</x:v>
      </x:c>
      <x:c r="C22" s="35" t="str">
        <x:v>Security deposit register/disposition</x:v>
      </x:c>
      <x:c r="D22" s="35" t="str">
        <x:v>/deposits; /deposits/[id]</x:v>
      </x:c>
      <x:c r="E22" s="35" t="str">
        <x:v>Deposits list/detail</x:v>
      </x:c>
      <x:c r="F22" s="35" t="str">
        <x:v>Payment/receipt candidate</x:v>
      </x:c>
      <x:c r="G22" s="23" t="n">
        <x:v>46538</x:v>
      </x:c>
      <x:c r="H22" s="23" t="n">
        <x:v>46539</x:v>
      </x:c>
      <x:c r="I22" s="23" t="n">
        <x:v>46541</x:v>
      </x:c>
      <x:c r="J22" s="23" t="n">
        <x:v>46542</x:v>
      </x:c>
      <x:c r="K22" s="35" t="str">
        <x:v>Expected supported; failure is a bug</x:v>
      </x:c>
      <x:c r="L22" s="35" t="str">
        <x:v>Collect, hold, apply, transfer, refund, and reconcile trust cash/liability without treating it as income.</x:v>
      </x:c>
      <x:c r="M22" s="35" t="str">
        <x:v>Real UI state, submitted result, persisted read-back, other-client read-back, audit/history, role guard, and money tie-out when applicable.</x:v>
      </x:c>
    </x:row>
    <x:row r="23">
      <x:c r="A23" s="20" t="str">
        <x:v>COV-020</x:v>
      </x:c>
      <x:c r="B23" s="20" t="str">
        <x:v>Money</x:v>
      </x:c>
      <x:c r="C23" s="35" t="str">
        <x:v>Banking connect/import/review/match</x:v>
      </x:c>
      <x:c r="D23" s="35" t="str">
        <x:v>/banking; /plaid/auth</x:v>
      </x:c>
      <x:c r="E23" s="35" t="str">
        <x:v>Banking screen</x:v>
      </x:c>
      <x:c r="F23" s="35" t="str">
        <x:v>Bank statement/import</x:v>
      </x:c>
      <x:c r="G23" s="23" t="n">
        <x:v>46545</x:v>
      </x:c>
      <x:c r="H23" s="23" t="n">
        <x:v>46547</x:v>
      </x:c>
      <x:c r="I23" s="23" t="n">
        <x:v>46548</x:v>
      </x:c>
      <x:c r="J23" s="23" t="n">
        <x:v>46552</x:v>
      </x:c>
      <x:c r="K23" s="35" t="str">
        <x:v>Expected supported; failure is a bug</x:v>
      </x:c>
      <x:c r="L23" s="35" t="str">
        <x:v>Exercise not-configured state, manual connection/import, matching, duplicates, parked rows, and reconciliation.</x:v>
      </x:c>
      <x:c r="M23" s="35" t="str">
        <x:v>Real UI state, submitted result, persisted read-back, other-client read-back, audit/history, role guard, and money tie-out when applicable.</x:v>
      </x:c>
    </x:row>
    <x:row r="24">
      <x:c r="A24" s="20" t="str">
        <x:v>COV-021</x:v>
      </x:c>
      <x:c r="B24" s="20" t="str">
        <x:v>Money</x:v>
      </x:c>
      <x:c r="C24" s="35" t="str">
        <x:v>Recurring expenses and scheduled finance</x:v>
      </x:c>
      <x:c r="D24" s="35" t="str">
        <x:v>/accounting; property Money</x:v>
      </x:c>
      <x:c r="E24" s="35" t="str">
        <x:v>Money/property screens</x:v>
      </x:c>
      <x:c r="F24" s="35" t="str">
        <x:v>Invoice</x:v>
      </x:c>
      <x:c r="G24" s="23" t="n">
        <x:v>46553</x:v>
      </x:c>
      <x:c r="H24" s="23" t="n">
        <x:v>46554</x:v>
      </x:c>
      <x:c r="I24" s="23" t="n">
        <x:v>46556</x:v>
      </x:c>
      <x:c r="J24" s="23" t="n">
        <x:v>46559</x:v>
      </x:c>
      <x:c r="K24" s="35" t="str">
        <x:v>Expected supported; failure is a bug</x:v>
      </x:c>
      <x:c r="L24" s="35" t="str">
        <x:v>Create/edit/pause recurring expense; advance clock; prove one generated expense per period and idempotent rerun.</x:v>
      </x:c>
      <x:c r="M24" s="35" t="str">
        <x:v>Real UI state, submitted result, persisted read-back, other-client read-back, audit/history, role guard, and money tie-out when applicable.</x:v>
      </x:c>
    </x:row>
    <x:row r="25">
      <x:c r="A25" s="20" t="str">
        <x:v>COV-022</x:v>
      </x:c>
      <x:c r="B25" s="20" t="str">
        <x:v>Money</x:v>
      </x:c>
      <x:c r="C25" s="35" t="str">
        <x:v>Property loan and amortization</x:v>
      </x:c>
      <x:c r="D25" s="35" t="str">
        <x:v>/properties/[id]</x:v>
      </x:c>
      <x:c r="E25" s="35" t="str">
        <x:v>Property loan form/detail</x:v>
      </x:c>
      <x:c r="F25" s="35" t="str">
        <x:v>Mortgage statement</x:v>
      </x:c>
      <x:c r="G25" s="23" t="n">
        <x:v>46561</x:v>
      </x:c>
      <x:c r="H25" s="23" t="n">
        <x:v>46562</x:v>
      </x:c>
      <x:c r="I25" s="23" t="n">
        <x:v>46563</x:v>
      </x:c>
      <x:c r="J25" s="23" t="n">
        <x:v>46567</x:v>
      </x:c>
      <x:c r="K25" s="35" t="str">
        <x:v>Expected supported; failure is a bug</x:v>
      </x:c>
      <x:c r="L25" s="35" t="str">
        <x:v>Create/edit loan on both clients, match statements, verify amortization, principal/interest, and payoff.</x:v>
      </x:c>
      <x:c r="M25" s="35" t="str">
        <x:v>Real UI state, submitted result, persisted read-back, other-client read-back, audit/history, role guard, and money tie-out when applicable.</x:v>
      </x:c>
    </x:row>
    <x:row r="26">
      <x:c r="A26" s="20" t="str">
        <x:v>COV-023</x:v>
      </x:c>
      <x:c r="B26" s="20" t="str">
        <x:v>Money</x:v>
      </x:c>
      <x:c r="C26" s="35" t="str">
        <x:v>Capital asset, depreciation, disposition</x:v>
      </x:c>
      <x:c r="D26" s="35" t="str">
        <x:v>/properties/[id]; /tax; /accounting/year-end</x:v>
      </x:c>
      <x:c r="E26" s="35" t="str">
        <x:v>Property capital asset/disposition</x:v>
      </x:c>
      <x:c r="F26" s="35" t="str">
        <x:v>Invoice/closing packet</x:v>
      </x:c>
      <x:c r="G26" s="23" t="n">
        <x:v>46568</x:v>
      </x:c>
      <x:c r="H26" s="23" t="n">
        <x:v>46570</x:v>
      </x:c>
      <x:c r="I26" s="23" t="n">
        <x:v>46573</x:v>
      </x:c>
      <x:c r="J26" s="23" t="n">
        <x:v>46574</x:v>
      </x:c>
      <x:c r="K26" s="35" t="str">
        <x:v>Expected supported; failure is a bug</x:v>
      </x:c>
      <x:c r="L26" s="35" t="str">
        <x:v>Capitalize, depreciate, dispose, and prove no duplicate expense/basis and guarded preconditions.</x:v>
      </x:c>
      <x:c r="M26" s="35" t="str">
        <x:v>Real UI state, submitted result, persisted read-back, other-client read-back, audit/history, role guard, and money tie-out when applicable.</x:v>
      </x:c>
    </x:row>
    <x:row r="27">
      <x:c r="A27" s="20" t="str">
        <x:v>COV-024</x:v>
      </x:c>
      <x:c r="B27" s="20" t="str">
        <x:v>Money</x:v>
      </x:c>
      <x:c r="C27" s="35" t="str">
        <x:v>Owner statements/distributions/approvals</x:v>
      </x:c>
      <x:c r="D27" s="35" t="str">
        <x:v>/owner/statements; /owner/approvals; /owners-report</x:v>
      </x:c>
      <x:c r="E27" s="35" t="str">
        <x:v>Owner landing/reports</x:v>
      </x:c>
      <x:c r="F27" s="35" t="str">
        <x:v>Statement attachment</x:v>
      </x:c>
      <x:c r="G27" s="23" t="n">
        <x:v>46576</x:v>
      </x:c>
      <x:c r="H27" s="23" t="n">
        <x:v>46577</x:v>
      </x:c>
      <x:c r="I27" s="23" t="n">
        <x:v>46580</x:v>
      </x:c>
      <x:c r="J27" s="23" t="n">
        <x:v>46582</x:v>
      </x:c>
      <x:c r="K27" s="35" t="str">
        <x:v>Expected supported; failure is a bug</x:v>
      </x:c>
      <x:c r="L27" s="35" t="str">
        <x:v>Generate statement, owner review/approval, distribution, rejection, PDF open, and cross-owner isolation.</x:v>
      </x:c>
      <x:c r="M27" s="35" t="str">
        <x:v>Real UI state, submitted result, persisted read-back, other-client read-back, audit/history, role guard, and money tie-out when applicable.</x:v>
      </x:c>
    </x:row>
    <x:row r="28">
      <x:c r="A28" s="20" t="str">
        <x:v>COV-025</x:v>
      </x:c>
      <x:c r="B28" s="20" t="str">
        <x:v>Operations</x:v>
      </x:c>
      <x:c r="C28" s="35" t="str">
        <x:v>Work order create/edit/timeline/responsibility</x:v>
      </x:c>
      <x:c r="D28" s="35" t="str">
        <x:v>/maintenance; /maintenance/[id]; /my-work</x:v>
      </x:c>
      <x:c r="E28" s="35" t="str">
        <x:v>Work orders/detail/technician</x:v>
      </x:c>
      <x:c r="F28" s="35" t="str">
        <x:v>WorkOrder</x:v>
      </x:c>
      <x:c r="G28" s="23" t="n">
        <x:v>46583</x:v>
      </x:c>
      <x:c r="H28" s="23" t="n">
        <x:v>46587</x:v>
      </x:c>
      <x:c r="I28" s="23" t="n">
        <x:v>46588</x:v>
      </x:c>
      <x:c r="J28" s="23" t="n">
        <x:v>46589</x:v>
      </x:c>
      <x:c r="K28" s="35" t="str">
        <x:v>Expected supported; failure is a bug</x:v>
      </x:c>
      <x:c r="L28" s="35" t="str">
        <x:v>Scan and manually create work orders on both clients; edit, assign, status, notes, responsibility, and timeline.</x:v>
      </x:c>
      <x:c r="M28" s="35" t="str">
        <x:v>Real UI state, submitted result, persisted read-back, other-client read-back, audit/history, role guard, and money tie-out when applicable.</x:v>
      </x:c>
    </x:row>
    <x:row r="29">
      <x:c r="A29" s="20" t="str">
        <x:v>COV-026</x:v>
      </x:c>
      <x:c r="B29" s="20" t="str">
        <x:v>Operations</x:v>
      </x:c>
      <x:c r="C29" s="35" t="str">
        <x:v>Vendor dispatch, completion, rating</x:v>
      </x:c>
      <x:c r="D29" s="35" t="str">
        <x:v>/maintenance/[id]; /vendors/[id]</x:v>
      </x:c>
      <x:c r="E29" s="35" t="str">
        <x:v>Dispatch/rating sheets</x:v>
      </x:c>
      <x:c r="F29" s="35" t="str">
        <x:v>Invoice/dispatch response</x:v>
      </x:c>
      <x:c r="G29" s="23" t="n">
        <x:v>46591</x:v>
      </x:c>
      <x:c r="H29" s="23" t="n">
        <x:v>46594</x:v>
      </x:c>
      <x:c r="I29" s="23" t="n">
        <x:v>46596</x:v>
      </x:c>
      <x:c r="J29" s="23" t="n">
        <x:v>46597</x:v>
      </x:c>
      <x:c r="K29" s="35" t="str">
        <x:v>Expected supported; failure is a bug</x:v>
      </x:c>
      <x:c r="L29" s="35" t="str">
        <x:v>Dispatch, accept/decline, complete from inbound response, rate vendor, and preserve history.</x:v>
      </x:c>
      <x:c r="M29" s="35" t="str">
        <x:v>Real UI state, submitted result, persisted read-back, other-client read-back, audit/history, role guard, and money tie-out when applicable.</x:v>
      </x:c>
    </x:row>
    <x:row r="30">
      <x:c r="A30" s="20" t="str">
        <x:v>COV-027</x:v>
      </x:c>
      <x:c r="B30" s="20" t="str">
        <x:v>Operations</x:v>
      </x:c>
      <x:c r="C30" s="35" t="str">
        <x:v>Technician labor/material entries</x:v>
      </x:c>
      <x:c r="D30" s="35" t="str">
        <x:v>/my-work/[id]</x:v>
      </x:c>
      <x:c r="E30" s="35" t="str">
        <x:v>Technician assignment detail</x:v>
      </x:c>
      <x:c r="F30" s="35" t="str">
        <x:v>Receipt/photo attachment</x:v>
      </x:c>
      <x:c r="G30" s="23" t="n">
        <x:v>46598</x:v>
      </x:c>
      <x:c r="H30" s="23" t="n">
        <x:v>46602</x:v>
      </x:c>
      <x:c r="I30" s="23" t="n">
        <x:v>46603</x:v>
      </x:c>
      <x:c r="J30" s="23" t="n">
        <x:v>46605</x:v>
      </x:c>
      <x:c r="K30" s="35" t="str">
        <x:v>Expected supported; failure is a bug</x:v>
      </x:c>
      <x:c r="L30" s="35" t="str">
        <x:v>Start/stop labor, add material/receipt, complete assignment, and prove totals/role scoping.</x:v>
      </x:c>
      <x:c r="M30" s="35" t="str">
        <x:v>Real UI state, submitted result, persisted read-back, other-client read-back, audit/history, role guard, and money tie-out when applicable.</x:v>
      </x:c>
    </x:row>
    <x:row r="31">
      <x:c r="A31" s="20" t="str">
        <x:v>COV-028</x:v>
      </x:c>
      <x:c r="B31" s="20" t="str">
        <x:v>Operations</x:v>
      </x:c>
      <x:c r="C31" s="35" t="str">
        <x:v>Recurring maintenance</x:v>
      </x:c>
      <x:c r="D31" s="35" t="str">
        <x:v>/maintenance/recurring</x:v>
      </x:c>
      <x:c r="E31" s="35" t="str">
        <x:v>Recurring maintenance screens</x:v>
      </x:c>
      <x:c r="F31" s="35" t="str">
        <x:v>Service agreement</x:v>
      </x:c>
      <x:c r="G31" s="23" t="n">
        <x:v>46608</x:v>
      </x:c>
      <x:c r="H31" s="23" t="n">
        <x:v>46609</x:v>
      </x:c>
      <x:c r="I31" s="23" t="n">
        <x:v>46611</x:v>
      </x:c>
      <x:c r="J31" s="23" t="n">
        <x:v>46612</x:v>
      </x:c>
      <x:c r="K31" s="35" t="str">
        <x:v>Expected supported; failure is a bug</x:v>
      </x:c>
      <x:c r="L31" s="35" t="str">
        <x:v>Create/edit/pause schedule; advance clock; generate work order once; handle out-of-service unit.</x:v>
      </x:c>
      <x:c r="M31" s="35" t="str">
        <x:v>Real UI state, submitted result, persisted read-back, other-client read-back, audit/history, role guard, and money tie-out when applicable.</x:v>
      </x:c>
    </x:row>
    <x:row r="32">
      <x:c r="A32" s="20" t="str">
        <x:v>COV-029</x:v>
      </x:c>
      <x:c r="B32" s="20" t="str">
        <x:v>Operations</x:v>
      </x:c>
      <x:c r="C32" s="35" t="str">
        <x:v>Appointment create/edit/confirm/cancel</x:v>
      </x:c>
      <x:c r="D32" s="35" t="str">
        <x:v>/appointments; /appointments/[id]; /my-schedule</x:v>
      </x:c>
      <x:c r="E32" s="35" t="str">
        <x:v>Appointments and tenant appointments</x:v>
      </x:c>
      <x:c r="F32" s="35" t="str">
        <x:v>Attachment only</x:v>
      </x:c>
      <x:c r="G32" s="23" t="n">
        <x:v>46615</x:v>
      </x:c>
      <x:c r="H32" s="23" t="n">
        <x:v>46617</x:v>
      </x:c>
      <x:c r="I32" s="23" t="n">
        <x:v>46618</x:v>
      </x:c>
      <x:c r="J32" s="23" t="n">
        <x:v>46622</x:v>
      </x:c>
      <x:c r="K32" s="35" t="str">
        <x:v>Expected supported; failure is a bug</x:v>
      </x:c>
      <x:c r="L32" s="35" t="str">
        <x:v>Create on web/mobile, tenant confirm/cancel, staff reschedule, filters, reminders, and timezone boundaries.</x:v>
      </x:c>
      <x:c r="M32" s="35" t="str">
        <x:v>Real UI state, submitted result, persisted read-back, other-client read-back, audit/history, role guard, and money tie-out when applicable.</x:v>
      </x:c>
    </x:row>
    <x:row r="33">
      <x:c r="A33" s="20" t="str">
        <x:v>COV-030</x:v>
      </x:c>
      <x:c r="B33" s="20" t="str">
        <x:v>Operations</x:v>
      </x:c>
      <x:c r="C33" s="35" t="str">
        <x:v>Inspection create/run/complete/report</x:v>
      </x:c>
      <x:c r="D33" s="35" t="str">
        <x:v>/maintenance/inspections/[id]</x:v>
      </x:c>
      <x:c r="E33" s="35" t="str">
        <x:v>Inspection list/new/run</x:v>
      </x:c>
      <x:c r="F33" s="35" t="str">
        <x:v>Inspection report/photos</x:v>
      </x:c>
      <x:c r="G33" s="23" t="n">
        <x:v>46623</x:v>
      </x:c>
      <x:c r="H33" s="23" t="n">
        <x:v>46624</x:v>
      </x:c>
      <x:c r="I33" s="23" t="n">
        <x:v>46626</x:v>
      </x:c>
      <x:c r="J33" s="23" t="n">
        <x:v>46629</x:v>
      </x:c>
      <x:c r="K33" s="35" t="str">
        <x:v>Expected supported; failure is a bug</x:v>
      </x:c>
      <x:c r="L33" s="35" t="str">
        <x:v>Create on both clients, run checklist/photos, edit before complete, freeze after complete, and open report.</x:v>
      </x:c>
      <x:c r="M33" s="35" t="str">
        <x:v>Real UI state, submitted result, persisted read-back, other-client read-back, audit/history, role guard, and money tie-out when applicable.</x:v>
      </x:c>
    </x:row>
    <x:row r="34">
      <x:c r="A34" s="20" t="str">
        <x:v>COV-031</x:v>
      </x:c>
      <x:c r="B34" s="20" t="str">
        <x:v>Operations</x:v>
      </x:c>
      <x:c r="C34" s="35" t="str">
        <x:v>Turnover workspace and make-ready</x:v>
      </x:c>
      <x:c r="D34" s="35" t="str">
        <x:v>/units/[id]</x:v>
      </x:c>
      <x:c r="E34" s="35" t="str">
        <x:v>Unit Turnover tab</x:v>
      </x:c>
      <x:c r="F34" s="35" t="str">
        <x:v>Inspection/invoices</x:v>
      </x:c>
      <x:c r="G34" s="23" t="n">
        <x:v>46631</x:v>
      </x:c>
      <x:c r="H34" s="23" t="n">
        <x:v>46632</x:v>
      </x:c>
      <x:c r="I34" s="23" t="n">
        <x:v>46633</x:v>
      </x:c>
      <x:c r="J34" s="23" t="n">
        <x:v>46637</x:v>
      </x:c>
      <x:c r="K34" s="35" t="str">
        <x:v>Expected supported; failure is a bug</x:v>
      </x:c>
      <x:c r="L34" s="35" t="str">
        <x:v>Open turnover, create tasks/work orders, track ready date, close, and verify vacancy/marketing independence.</x:v>
      </x:c>
      <x:c r="M34" s="35" t="str">
        <x:v>Real UI state, submitted result, persisted read-back, other-client read-back, audit/history, role guard, and money tie-out when applicable.</x:v>
      </x:c>
    </x:row>
    <x:row r="35">
      <x:c r="A35" s="20" t="str">
        <x:v>COV-032</x:v>
      </x:c>
      <x:c r="B35" s="20" t="str">
        <x:v>Operations</x:v>
      </x:c>
      <x:c r="C35" s="35" t="str">
        <x:v>Notices and tenant notice policies</x:v>
      </x:c>
      <x:c r="D35" s="35" t="str">
        <x:v>/notices; /settings/notifications/tenant-notices</x:v>
      </x:c>
      <x:c r="E35" s="35" t="str">
        <x:v>Notices/settings</x:v>
      </x:c>
      <x:c r="F35" s="35" t="str">
        <x:v>Notice source</x:v>
      </x:c>
      <x:c r="G35" s="23" t="n">
        <x:v>46638</x:v>
      </x:c>
      <x:c r="H35" s="23" t="n">
        <x:v>46639</x:v>
      </x:c>
      <x:c r="I35" s="23" t="n">
        <x:v>46643</x:v>
      </x:c>
      <x:c r="J35" s="23" t="n">
        <x:v>46644</x:v>
      </x:c>
      <x:c r="K35" s="35" t="str">
        <x:v>Expected supported; failure is a bug</x:v>
      </x:c>
      <x:c r="L35" s="35" t="str">
        <x:v>Create/edit preview/send synthetic notice; policy preferences; automation candidate; no blank/legal surprise.</x:v>
      </x:c>
      <x:c r="M35" s="35" t="str">
        <x:v>Real UI state, submitted result, persisted read-back, other-client read-back, audit/history, role guard, and money tie-out when applicable.</x:v>
      </x:c>
    </x:row>
    <x:row r="36">
      <x:c r="A36" s="20" t="str">
        <x:v>COV-033</x:v>
      </x:c>
      <x:c r="B36" s="20" t="str">
        <x:v>Operations</x:v>
      </x:c>
      <x:c r="C36" s="35" t="str">
        <x:v>Eviction case and durable events</x:v>
      </x:c>
      <x:c r="D36" s="35" t="str">
        <x:v>Lease/Unit legal surfaces</x:v>
      </x:c>
      <x:c r="E36" s="35" t="str">
        <x:v>Gap probe or mobile legal surface</x:v>
      </x:c>
      <x:c r="F36" s="35" t="str">
        <x:v>Legal document</x:v>
      </x:c>
      <x:c r="G36" s="23" t="n">
        <x:v>46646</x:v>
      </x:c>
      <x:c r="H36" s="23" t="n">
        <x:v>46647</x:v>
      </x:c>
      <x:c r="I36" s="23" t="n">
        <x:v>46650</x:v>
      </x:c>
      <x:c r="J36" s="23" t="n">
        <x:v>46652</x:v>
      </x:c>
      <x:c r="K36" s="35" t="str">
        <x:v>Prove current gap and capture bug during execution; do not waive</x:v>
      </x:c>
      <x:c r="L36" s="35" t="str">
        <x:v>Open case, add respondent/event, advance status, preserve source, and prove legal state does not mutate occupancy.</x:v>
      </x:c>
      <x:c r="M36" s="35" t="str">
        <x:v>Real UI state, submitted result, persisted read-back, other-client read-back, audit/history, role guard, and money tie-out when applicable.</x:v>
      </x:c>
    </x:row>
    <x:row r="37">
      <x:c r="A37" s="20" t="str">
        <x:v>COV-034</x:v>
      </x:c>
      <x:c r="B37" s="20" t="str">
        <x:v>Communications</x:v>
      </x:c>
      <x:c r="C37" s="35" t="str">
        <x:v>Conversations and messages</x:v>
      </x:c>
      <x:c r="D37" s="35" t="str">
        <x:v>/messages; /messages/[id]; /owner/messages; /portal/messages</x:v>
      </x:c>
      <x:c r="E37" s="35" t="str">
        <x:v>Messages list/detail</x:v>
      </x:c>
      <x:c r="F37" s="35" t="str">
        <x:v>Attachment</x:v>
      </x:c>
      <x:c r="G37" s="23" t="n">
        <x:v>46653</x:v>
      </x:c>
      <x:c r="H37" s="23" t="n">
        <x:v>46657</x:v>
      </x:c>
      <x:c r="I37" s="23" t="n">
        <x:v>46658</x:v>
      </x:c>
      <x:c r="J37" s="23" t="n">
        <x:v>46659</x:v>
      </x:c>
      <x:c r="K37" s="35" t="str">
        <x:v>Expected supported; failure is a bug</x:v>
      </x:c>
      <x:c r="L37" s="35" t="str">
        <x:v>Create landlord-tenant, owner, and team conversations; send text/attachment; unread/read; deep link; role isolation.</x:v>
      </x:c>
      <x:c r="M37" s="35" t="str">
        <x:v>Real UI state, submitted result, persisted read-back, other-client read-back, audit/history, role guard, and money tie-out when applicable.</x:v>
      </x:c>
    </x:row>
    <x:row r="38">
      <x:c r="A38" s="20" t="str">
        <x:v>COV-035</x:v>
      </x:c>
      <x:c r="B38" s="20" t="str">
        <x:v>Communications</x:v>
      </x:c>
      <x:c r="C38" s="35" t="str">
        <x:v>Notifications, preferences, routing, alerts</x:v>
      </x:c>
      <x:c r="D38" s="35" t="str">
        <x:v>/portal/notifications; /settings/notifications/*</x:v>
      </x:c>
      <x:c r="E38" s="35" t="str">
        <x:v>Notifications inbox/settings/routing/alerts</x:v>
      </x:c>
      <x:c r="F38" s="35" t="str">
        <x:v>No</x:v>
      </x:c>
      <x:c r="G38" s="23" t="n">
        <x:v>46661</x:v>
      </x:c>
      <x:c r="H38" s="23" t="n">
        <x:v>46664</x:v>
      </x:c>
      <x:c r="I38" s="23" t="str">
        <x:v>N/A</x:v>
      </x:c>
      <x:c r="J38" s="23" t="str">
        <x:v>N/A</x:v>
      </x:c>
      <x:c r="K38" s="35" t="str">
        <x:v>Expected supported; failure is a bug</x:v>
      </x:c>
      <x:c r="L38" s="35" t="str">
        <x:v>Change preferences, route by team/property/event, mark read, deep link, retry provider failure, and verify safe local delivery.</x:v>
      </x:c>
      <x:c r="M38" s="35" t="str">
        <x:v>Real UI state, submitted result, persisted read-back, other-client read-back, audit/history, role guard, and money tie-out when applicable.</x:v>
      </x:c>
    </x:row>
    <x:row r="39">
      <x:c r="A39" s="20" t="str">
        <x:v>COV-036</x:v>
      </x:c>
      <x:c r="B39" s="20" t="str">
        <x:v>Communications</x:v>
      </x:c>
      <x:c r="C39" s="35" t="str">
        <x:v>Voice intake and assistant actions</x:v>
      </x:c>
      <x:c r="D39" s="35" t="str">
        <x:v>/ai</x:v>
      </x:c>
      <x:c r="E39" s="35" t="str">
        <x:v>Tell Me / voice / AI tab</x:v>
      </x:c>
      <x:c r="F39" s="35" t="str">
        <x:v>Audio capture</x:v>
      </x:c>
      <x:c r="G39" s="23" t="n">
        <x:v>46668</x:v>
      </x:c>
      <x:c r="H39" s="23" t="n">
        <x:v>46672</x:v>
      </x:c>
      <x:c r="I39" s="23" t="n">
        <x:v>46673</x:v>
      </x:c>
      <x:c r="J39" s="23" t="n">
        <x:v>46674</x:v>
      </x:c>
      <x:c r="K39" s="35" t="str">
        <x:v>Expected supported; failure is a bug</x:v>
      </x:c>
      <x:c r="L39" s="35" t="str">
        <x:v>Record maintenance/payment/expense intents, review proposed action, confirm/cancel, and verify no save before confirmation.</x:v>
      </x:c>
      <x:c r="M39" s="35" t="str">
        <x:v>Real UI state, submitted result, persisted read-back, other-client read-back, audit/history, role guard, and money tie-out when applicable.</x:v>
      </x:c>
    </x:row>
    <x:row r="40">
      <x:c r="A40" s="20" t="str">
        <x:v>COV-037</x:v>
      </x:c>
      <x:c r="B40" s="20" t="str">
        <x:v>Reporting</x:v>
      </x:c>
      <x:c r="C40" s="35" t="str">
        <x:v>Dashboard, analytics, daily briefing, Q&amp;A</x:v>
      </x:c>
      <x:c r="D40" s="35" t="str">
        <x:v>/; /analytics; /ai</x:v>
      </x:c>
      <x:c r="E40" s="35" t="str">
        <x:v>Home/Insights/Briefing/Q&amp;A</x:v>
      </x:c>
      <x:c r="F40" s="35" t="str">
        <x:v>No</x:v>
      </x:c>
      <x:c r="G40" s="23" t="n">
        <x:v>46678</x:v>
      </x:c>
      <x:c r="H40" s="23" t="n">
        <x:v>46679</x:v>
      </x:c>
      <x:c r="I40" s="23" t="str">
        <x:v>N/A</x:v>
      </x:c>
      <x:c r="J40" s="23" t="str">
        <x:v>N/A</x:v>
      </x:c>
      <x:c r="K40" s="35" t="str">
        <x:v>Expected supported; failure is a bug</x:v>
      </x:c>
      <x:c r="L40" s="35" t="str">
        <x:v>Check empty/populated/current/past-due/vacancy states, ask grounded questions, compare counts and money to DB-side reports.</x:v>
      </x:c>
      <x:c r="M40" s="35" t="str">
        <x:v>Real UI state, submitted result, persisted read-back, other-client read-back, audit/history, role guard, and money tie-out when applicable.</x:v>
      </x:c>
    </x:row>
    <x:row r="41">
      <x:c r="A41" s="20" t="str">
        <x:v>COV-038</x:v>
      </x:c>
      <x:c r="B41" s="20" t="str">
        <x:v>Reporting</x:v>
      </x:c>
      <x:c r="C41" s="35" t="str">
        <x:v>Accounting and all operational reports</x:v>
      </x:c>
      <x:c r="D41" s="35" t="str">
        <x:v>/accounting; /reports; /reports/[report]</x:v>
      </x:c>
      <x:c r="E41" s="35" t="str">
        <x:v>Money/owner reports; web-first full reports</x:v>
      </x:c>
      <x:c r="F41" s="35" t="str">
        <x:v>No</x:v>
      </x:c>
      <x:c r="G41" s="23" t="n">
        <x:v>46685</x:v>
      </x:c>
      <x:c r="H41" s="23" t="n">
        <x:v>46687</x:v>
      </x:c>
      <x:c r="I41" s="23" t="str">
        <x:v>N/A</x:v>
      </x:c>
      <x:c r="J41" s="23" t="str">
        <x:v>N/A</x:v>
      </x:c>
      <x:c r="K41" s="35" t="str">
        <x:v>Prove current gap and capture bug during execution; do not waive</x:v>
      </x:c>
      <x:c r="L41" s="35" t="str">
        <x:v>Run P&amp;L, GL, cash flow, rent roll, ledger, delinquency, occupancy, expirations, deposits, 1099, work orders, and filters.</x:v>
      </x:c>
      <x:c r="M41" s="35" t="str">
        <x:v>Real UI state, submitted result, persisted read-back, other-client read-back, audit/history, role guard, and money tie-out when applicable.</x:v>
      </x:c>
    </x:row>
    <x:row r="42">
      <x:c r="A42" s="20" t="str">
        <x:v>COV-039</x:v>
      </x:c>
      <x:c r="B42" s="20" t="str">
        <x:v>Reporting</x:v>
      </x:c>
      <x:c r="C42" s="35" t="str">
        <x:v>Tax and year-end packet</x:v>
      </x:c>
      <x:c r="D42" s="35" t="str">
        <x:v>/tax; /accounting/year-end</x:v>
      </x:c>
      <x:c r="E42" s="35" t="str">
        <x:v>Owner reports / PDF open</x:v>
      </x:c>
      <x:c r="F42" s="35" t="str">
        <x:v>Tax statements/invoices</x:v>
      </x:c>
      <x:c r="G42" s="23" t="n">
        <x:v>46693</x:v>
      </x:c>
      <x:c r="H42" s="23" t="n">
        <x:v>46694</x:v>
      </x:c>
      <x:c r="I42" s="23" t="n">
        <x:v>46696</x:v>
      </x:c>
      <x:c r="J42" s="23" t="n">
        <x:v>46699</x:v>
      </x:c>
      <x:c r="K42" s="35" t="str">
        <x:v>Expected supported; failure is a bug</x:v>
      </x:c>
      <x:c r="L42" s="35" t="str">
        <x:v>Run Schedule E, depreciation, vendor 1099 review, owner packets, and date/property/category filters.</x:v>
      </x:c>
      <x:c r="M42" s="35" t="str">
        <x:v>Real UI state, submitted result, persisted read-back, other-client read-back, audit/history, role guard, and money tie-out when applicable.</x:v>
      </x:c>
    </x:row>
    <x:row r="43">
      <x:c r="A43" s="20" t="str">
        <x:v>COV-040</x:v>
      </x:c>
      <x:c r="B43" s="20" t="str">
        <x:v>Administration</x:v>
      </x:c>
      <x:c r="C43" s="35" t="str">
        <x:v>Team invite, roles, scoped assignments</x:v>
      </x:c>
      <x:c r="D43" s="35" t="str">
        <x:v>/settings; /activate-team; /assignment-inbox</x:v>
      </x:c>
      <x:c r="E43" s="35" t="str">
        <x:v>Team/settings/assignment inbox</x:v>
      </x:c>
      <x:c r="F43" s="35" t="str">
        <x:v>Invitation attachment only</x:v>
      </x:c>
      <x:c r="G43" s="23" t="n">
        <x:v>46701</x:v>
      </x:c>
      <x:c r="H43" s="23" t="n">
        <x:v>46702</x:v>
      </x:c>
      <x:c r="I43" s="23" t="n">
        <x:v>46703</x:v>
      </x:c>
      <x:c r="J43" s="23" t="n">
        <x:v>46707</x:v>
      </x:c>
      <x:c r="K43" s="35" t="str">
        <x:v>Expected supported; failure is a bug</x:v>
      </x:c>
      <x:c r="L43" s="35" t="str">
        <x:v>Invite each role, activate, assign property scope, accept/decline work, change/revoke access, and prove authorization.</x:v>
      </x:c>
      <x:c r="M43" s="35" t="str">
        <x:v>Real UI state, submitted result, persisted read-back, other-client read-back, audit/history, role guard, and money tie-out when applicable.</x:v>
      </x:c>
    </x:row>
    <x:row r="44">
      <x:c r="A44" s="20" t="str">
        <x:v>COV-041</x:v>
      </x:c>
      <x:c r="B44" s="20" t="str">
        <x:v>Administration</x:v>
      </x:c>
      <x:c r="C44" s="35" t="str">
        <x:v>Profile/company/account/integrations/AI</x:v>
      </x:c>
      <x:c r="D44" s="35" t="str">
        <x:v>/profile; /settings; /settings/accounting; /settings/integrations/ai</x:v>
      </x:c>
      <x:c r="E44" s="35" t="str">
        <x:v>Settings/AI provider</x:v>
      </x:c>
      <x:c r="F44" s="35" t="str">
        <x:v>Provider statement candidate</x:v>
      </x:c>
      <x:c r="G44" s="23" t="n">
        <x:v>46708</x:v>
      </x:c>
      <x:c r="H44" s="23" t="n">
        <x:v>46709</x:v>
      </x:c>
      <x:c r="I44" s="23" t="n">
        <x:v>46713</x:v>
      </x:c>
      <x:c r="J44" s="23" t="n">
        <x:v>46714</x:v>
      </x:c>
      <x:c r="K44" s="35" t="str">
        <x:v>Expected supported; failure is a bug</x:v>
      </x:c>
      <x:c r="L44" s="35" t="str">
        <x:v>Edit profile/company, provider settings, accounting connection states, invalid credentials, disconnect, and re-auth.</x:v>
      </x:c>
      <x:c r="M44" s="35" t="str">
        <x:v>Real UI state, submitted result, persisted read-back, other-client read-back, audit/history, role guard, and money tie-out when applicable.</x:v>
      </x:c>
    </x:row>
    <x:row r="45">
      <x:c r="A45" s="20" t="str">
        <x:v>COV-042</x:v>
      </x:c>
      <x:c r="B45" s="20" t="str">
        <x:v>Administration</x:v>
      </x:c>
      <x:c r="C45" s="35" t="str">
        <x:v>Audit, activity, admin users, engine health</x:v>
      </x:c>
      <x:c r="D45" s="35" t="str">
        <x:v>/audit; /admin/audit; /admin/users; /superadmin/engine</x:v>
      </x:c>
      <x:c r="E45" s="35" t="str">
        <x:v>Activity/Admin surfaces or explicit gap proof</x:v>
      </x:c>
      <x:c r="F45" s="35" t="str">
        <x:v>No</x:v>
      </x:c>
      <x:c r="G45" s="23" t="n">
        <x:v>46716</x:v>
      </x:c>
      <x:c r="H45" s="23" t="n">
        <x:v>46717</x:v>
      </x:c>
      <x:c r="I45" s="23" t="str">
        <x:v>N/A</x:v>
      </x:c>
      <x:c r="J45" s="23" t="str">
        <x:v>N/A</x:v>
      </x:c>
      <x:c r="K45" s="35" t="str">
        <x:v>Expected supported; failure is a bug</x:v>
      </x:c>
      <x:c r="L45" s="35" t="str">
        <x:v>Filter/search/page audit DB-side; change roles; deactivate user; inspect worker/provider status; prove access guards.</x:v>
      </x:c>
      <x:c r="M45" s="35" t="str">
        <x:v>Real UI state, submitted result, persisted read-back, other-client read-back, audit/history, role guard, and money tie-out when applicable.</x:v>
      </x:c>
    </x:row>
    <x:row r="46">
      <x:c r="A46" s="20" t="str">
        <x:v>COV-043</x:v>
      </x:c>
      <x:c r="B46" s="20" t="str">
        <x:v>Tenant portal</x:v>
      </x:c>
      <x:c r="C46" s="35" t="str">
        <x:v>Tenant home/account/payments/lease</x:v>
      </x:c>
      <x:c r="D46" s="35" t="str">
        <x:v>/portal; /portal/account; /portal/payments; /portal/lease</x:v>
      </x:c>
      <x:c r="E46" s="35" t="str">
        <x:v>Tenant portal screens</x:v>
      </x:c>
      <x:c r="F46" s="35" t="str">
        <x:v>Payment/lease</x:v>
      </x:c>
      <x:c r="G46" s="23" t="n">
        <x:v>46723</x:v>
      </x:c>
      <x:c r="H46" s="23" t="n">
        <x:v>46727</x:v>
      </x:c>
      <x:c r="I46" s="23" t="n">
        <x:v>46728</x:v>
      </x:c>
      <x:c r="J46" s="23" t="n">
        <x:v>46729</x:v>
      </x:c>
      <x:c r="K46" s="35" t="str">
        <x:v>Expected supported; failure is a bug</x:v>
      </x:c>
      <x:c r="L46" s="35" t="str">
        <x:v>View balance/ledger/receipt, pay in test mode, view/sign/download lease, profile/account, and multiple/historical lease behavior.</x:v>
      </x:c>
      <x:c r="M46" s="35" t="str">
        <x:v>Real UI state, submitted result, persisted read-back, other-client read-back, audit/history, role guard, and money tie-out when applicable.</x:v>
      </x:c>
    </x:row>
    <x:row r="47">
      <x:c r="A47" s="20" t="str">
        <x:v>COV-044</x:v>
      </x:c>
      <x:c r="B47" s="20" t="str">
        <x:v>Tenant portal</x:v>
      </x:c>
      <x:c r="C47" s="35" t="str">
        <x:v>Tenant maintenance/messages/appointments/preferences/security</x:v>
      </x:c>
      <x:c r="D47" s="35" t="str">
        <x:v>/portal/maintenance; /portal/messages; /portal/appointments; /portal/notifications; /portal/security</x:v>
      </x:c>
      <x:c r="E47" s="35" t="str">
        <x:v>Tenant portal screens</x:v>
      </x:c>
      <x:c r="F47" s="35" t="str">
        <x:v>WorkOrder/attachment</x:v>
      </x:c>
      <x:c r="G47" s="23" t="n">
        <x:v>46731</x:v>
      </x:c>
      <x:c r="H47" s="23" t="n">
        <x:v>46734</x:v>
      </x:c>
      <x:c r="I47" s="23" t="n">
        <x:v>46736</x:v>
      </x:c>
      <x:c r="J47" s="23" t="n">
        <x:v>46737</x:v>
      </x:c>
      <x:c r="K47" s="35" t="str">
        <x:v>Expected supported; failure is a bug</x:v>
      </x:c>
      <x:c r="L47" s="35" t="str">
        <x:v>Submit request with photo, message, confirm appointment, change preferences/password, logout all sessions, and prove tenant-only scope.</x:v>
      </x:c>
      <x:c r="M47" s="35" t="str">
        <x:v>Real UI state, submitted result, persisted read-back, other-client read-back, audit/history, role guard, and money tie-out when applicable.</x:v>
      </x:c>
    </x:row>
    <x:row r="48">
      <x:c r="A48" s="20" t="str">
        <x:v>COV-045</x:v>
      </x:c>
      <x:c r="B48" s="20" t="str">
        <x:v>Owner portal</x:v>
      </x:c>
      <x:c r="C48" s="35" t="str">
        <x:v>Owner landing/properties/statements/approvals/messages/security</x:v>
      </x:c>
      <x:c r="D48" s="35" t="str">
        <x:v>/owner/*</x:v>
      </x:c>
      <x:c r="E48" s="35" t="str">
        <x:v>Owner portal screens</x:v>
      </x:c>
      <x:c r="F48" s="35" t="str">
        <x:v>Statement attachment</x:v>
      </x:c>
      <x:c r="G48" s="23" t="n">
        <x:v>46738</x:v>
      </x:c>
      <x:c r="H48" s="23" t="n">
        <x:v>46742</x:v>
      </x:c>
      <x:c r="I48" s="23" t="n">
        <x:v>46743</x:v>
      </x:c>
      <x:c r="J48" s="23" t="n">
        <x:v>46744</x:v>
      </x:c>
      <x:c r="K48" s="35" t="str">
        <x:v>Expected supported; failure is a bug</x:v>
      </x:c>
      <x:c r="L48" s="35" t="str">
        <x:v>Walk every owner portal surface on both clients; approve/reject; open PDF; message; change password; prove property scope.</x:v>
      </x:c>
      <x:c r="M48" s="35" t="str">
        <x:v>Real UI state, submitted result, persisted read-back, other-client read-back, audit/history, role guard, and money tie-out when applicable.</x:v>
      </x:c>
    </x:row>
    <x:row r="49">
      <x:c r="A49" s="21" t="str">
        <x:v>COV-046</x:v>
      </x:c>
      <x:c r="B49" s="21" t="str">
        <x:v>Public/help</x:v>
      </x:c>
      <x:c r="C49" s="36" t="str">
        <x:v>Docs, privacy, public apply/sign, deep links</x:v>
      </x:c>
      <x:c r="D49" s="36" t="str">
        <x:v>/docs; /privacy; /apply/[token]; /sign/[token]</x:v>
      </x:c>
      <x:c r="E49" s="36" t="str">
        <x:v>Public/auth/deep-link routes</x:v>
      </x:c>
      <x:c r="F49" s="36" t="str">
        <x:v>Application/lease</x:v>
      </x:c>
      <x:c r="G49" s="24" t="n">
        <x:v>46748</x:v>
      </x:c>
      <x:c r="H49" s="24" t="n">
        <x:v>46749</x:v>
      </x:c>
      <x:c r="I49" s="24" t="n">
        <x:v>46751</x:v>
      </x:c>
      <x:c r="J49" s="24" t="n">
        <x:v>46752</x:v>
      </x:c>
      <x:c r="K49" s="36" t="str">
        <x:v>Expected supported; failure is a bug</x:v>
      </x:c>
      <x:c r="L49" s="36" t="str">
        <x:v>Open help/privacy, invalid/expired public tokens, valid apply/sign links, Android app links, and browser/mobile back behavior.</x:v>
      </x:c>
      <x:c r="M49" s="36" t="str">
        <x:v>Real UI state, submitted result, persisted read-back, other-client read-back, audit/history, role guard, and money tie-out when applicable.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dcb618ffcd246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44" hidden="0" customWidth="1"/>
    <x:col min="4" max="4" width="52" hidden="0" customWidth="1"/>
    <x:col min="5" max="5" width="26" hidden="0" customWidth="1"/>
    <x:col min="6" max="6" width="38" hidden="0" customWidth="1"/>
    <x:col min="7" max="7" width="15" hidden="0" customWidth="1"/>
    <x:col min="8" max="8" width="54" hidden="0" customWidth="1"/>
    <x:col min="9" max="9" width="50" hidden="0" customWidth="1"/>
    <x:col min="10" max="10" width="46" hidden="0" customWidth="1"/>
  </x:cols>
  <x:sheetData>
    <x:row r="1" ht="34" customHeight="1">
      <x:c r="A1" s="3" t="str">
        <x:v>Every Current Web and Mobile Screen</x:v>
      </x:c>
      <x:c r="B1" s="3" t="str">
        <x:v>Every Current Web and Mobile Screen</x:v>
      </x:c>
      <x:c r="C1" s="3" t="str">
        <x:v>Every Current Web and Mobile Screen</x:v>
      </x:c>
      <x:c r="D1" s="3" t="str">
        <x:v>Every Current Web and Mobile Screen</x:v>
      </x:c>
      <x:c r="E1" s="3" t="str">
        <x:v>Every Current Web and Mobile Screen</x:v>
      </x:c>
      <x:c r="F1" s="3" t="str">
        <x:v>Every Current Web and Mobile Screen</x:v>
      </x:c>
      <x:c r="G1" s="3" t="str">
        <x:v>Every Current Web and Mobile Screen</x:v>
      </x:c>
      <x:c r="H1" s="3" t="str">
        <x:v>Every Current Web and Mobile Screen</x:v>
      </x:c>
      <x:c r="I1" s="3" t="str">
        <x:v>Every Current Web and Mobile Screen</x:v>
      </x:c>
      <x:c r="J1" s="3" t="str">
        <x:v>Every Current Web and Mobile Screen</x:v>
      </x:c>
    </x:row>
    <x:row r="3" ht="30" customHeight="1">
      <x:c r="A3" s="12" t="str">
        <x:v>Screen ID</x:v>
      </x:c>
      <x:c r="B3" s="13" t="str">
        <x:v>Client</x:v>
      </x:c>
      <x:c r="C3" s="13" t="str">
        <x:v>Route / Surface</x:v>
      </x:c>
      <x:c r="D3" s="13" t="str">
        <x:v>Source File</x:v>
      </x:c>
      <x:c r="E3" s="13" t="str">
        <x:v>Primary Role</x:v>
      </x:c>
      <x:c r="F3" s="13" t="str">
        <x:v>Allowed Roles</x:v>
      </x:c>
      <x:c r="G3" s="13" t="str">
        <x:v>Planned Date</x:v>
      </x:c>
      <x:c r="H3" s="13" t="str">
        <x:v>Allowed Proof</x:v>
      </x:c>
      <x:c r="I3" s="13" t="str">
        <x:v>Denied Proof</x:v>
      </x:c>
      <x:c r="J3" s="14" t="str">
        <x:v>Device / Responsive Proof</x:v>
      </x:c>
    </x:row>
    <x:row r="4">
      <x:c r="A4" s="19" t="str">
        <x:v>SCR-001</x:v>
      </x:c>
      <x:c r="B4" s="19" t="str">
        <x:v>Web</x:v>
      </x:c>
      <x:c r="C4" s="34" t="str">
        <x:v>/admin/audit</x:v>
      </x:c>
      <x:c r="D4" s="34" t="str">
        <x:v>web/src/routes/(admin)/admin/audit/+page.svelte</x:v>
      </x:c>
      <x:c r="E4" s="19" t="str">
        <x:v>Workspace Administrator</x:v>
      </x:c>
      <x:c r="F4" s="34" t="str">
        <x:v>Workspace Administrator; Property Manager</x:v>
      </x:c>
      <x:c r="G4" s="22" t="n">
        <x:v>46405</x:v>
      </x:c>
      <x:c r="H4" s="34" t="str">
        <x:v>Open through normal navigation; use every visible action; save; reload; verify persisted values and linked history.</x:v>
      </x:c>
      <x:c r="I4" s="34" t="str">
        <x:v>Attempt with one adjacent unauthorized persona; fail closed without data disclosure or mutation.</x:v>
      </x:c>
      <x:c r="J4" s="34" t="str">
        <x:v>Desktop browser + phone viewport</x:v>
      </x:c>
    </x:row>
    <x:row r="5">
      <x:c r="A5" s="20" t="str">
        <x:v>SCR-002</x:v>
      </x:c>
      <x:c r="B5" s="20" t="str">
        <x:v>Web</x:v>
      </x:c>
      <x:c r="C5" s="35" t="str">
        <x:v>/admin/users</x:v>
      </x:c>
      <x:c r="D5" s="35" t="str">
        <x:v>web/src/routes/(admin)/admin/users/+page.svelte</x:v>
      </x:c>
      <x:c r="E5" s="20" t="str">
        <x:v>Workspace Administrator</x:v>
      </x:c>
      <x:c r="F5" s="35" t="str">
        <x:v>Workspace Administrator</x:v>
      </x:c>
      <x:c r="G5" s="23" t="n">
        <x:v>46406</x:v>
      </x:c>
      <x:c r="H5" s="35" t="str">
        <x:v>Open through normal navigation; use every visible action; save; reload; verify persisted values and linked history.</x:v>
      </x:c>
      <x:c r="I5" s="35" t="str">
        <x:v>Attempt with one adjacent unauthorized persona; fail closed without data disclosure or mutation.</x:v>
      </x:c>
      <x:c r="J5" s="35" t="str">
        <x:v>Desktop browser + phone viewport</x:v>
      </x:c>
    </x:row>
    <x:row r="6">
      <x:c r="A6" s="20" t="str">
        <x:v>SCR-003</x:v>
      </x:c>
      <x:c r="B6" s="20" t="str">
        <x:v>Web</x:v>
      </x:c>
      <x:c r="C6" s="35" t="str">
        <x:v>/portal</x:v>
      </x:c>
      <x:c r="D6" s="35" t="str">
        <x:v>web/src/routes/(portal)/portal/+page.svelte</x:v>
      </x:c>
      <x:c r="E6" s="20" t="str">
        <x:v>Tenant</x:v>
      </x:c>
      <x:c r="F6" s="35" t="str">
        <x:v>Tenant</x:v>
      </x:c>
      <x:c r="G6" s="23" t="n">
        <x:v>46408</x:v>
      </x:c>
      <x:c r="H6" s="35" t="str">
        <x:v>Open through normal navigation; use every visible action; save; reload; verify persisted values and linked history.</x:v>
      </x:c>
      <x:c r="I6" s="35" t="str">
        <x:v>Attempt with one adjacent unauthorized persona; fail closed without data disclosure or mutation.</x:v>
      </x:c>
      <x:c r="J6" s="35" t="str">
        <x:v>Desktop browser + phone viewport</x:v>
      </x:c>
    </x:row>
    <x:row r="7">
      <x:c r="A7" s="20" t="str">
        <x:v>SCR-004</x:v>
      </x:c>
      <x:c r="B7" s="20" t="str">
        <x:v>Web</x:v>
      </x:c>
      <x:c r="C7" s="35" t="str">
        <x:v>/portal/account</x:v>
      </x:c>
      <x:c r="D7" s="35" t="str">
        <x:v>web/src/routes/(portal)/portal/account/+page.svelte</x:v>
      </x:c>
      <x:c r="E7" s="20" t="str">
        <x:v>Tenant</x:v>
      </x:c>
      <x:c r="F7" s="35" t="str">
        <x:v>Tenant</x:v>
      </x:c>
      <x:c r="G7" s="23" t="n">
        <x:v>46409</x:v>
      </x:c>
      <x:c r="H7" s="35" t="str">
        <x:v>Open through normal navigation; use every visible action; save; reload; verify persisted values and linked history.</x:v>
      </x:c>
      <x:c r="I7" s="35" t="str">
        <x:v>Attempt with one adjacent unauthorized persona; fail closed without data disclosure or mutation.</x:v>
      </x:c>
      <x:c r="J7" s="35" t="str">
        <x:v>Desktop browser + phone viewport</x:v>
      </x:c>
    </x:row>
    <x:row r="8">
      <x:c r="A8" s="20" t="str">
        <x:v>SCR-005</x:v>
      </x:c>
      <x:c r="B8" s="20" t="str">
        <x:v>Web</x:v>
      </x:c>
      <x:c r="C8" s="35" t="str">
        <x:v>/portal/appointments</x:v>
      </x:c>
      <x:c r="D8" s="35" t="str">
        <x:v>web/src/routes/(portal)/portal/appointments/+page.svelte</x:v>
      </x:c>
      <x:c r="E8" s="20" t="str">
        <x:v>Tenant</x:v>
      </x:c>
      <x:c r="F8" s="35" t="str">
        <x:v>Tenant</x:v>
      </x:c>
      <x:c r="G8" s="23" t="n">
        <x:v>46412</x:v>
      </x:c>
      <x:c r="H8" s="35" t="str">
        <x:v>Open through normal navigation; use every visible action; save; reload; verify persisted values and linked history.</x:v>
      </x:c>
      <x:c r="I8" s="35" t="str">
        <x:v>Attempt with one adjacent unauthorized persona; fail closed without data disclosure or mutation.</x:v>
      </x:c>
      <x:c r="J8" s="35" t="str">
        <x:v>Desktop browser + phone viewport</x:v>
      </x:c>
    </x:row>
    <x:row r="9">
      <x:c r="A9" s="20" t="str">
        <x:v>SCR-006</x:v>
      </x:c>
      <x:c r="B9" s="20" t="str">
        <x:v>Web</x:v>
      </x:c>
      <x:c r="C9" s="35" t="str">
        <x:v>/portal/lease</x:v>
      </x:c>
      <x:c r="D9" s="35" t="str">
        <x:v>web/src/routes/(portal)/portal/lease/+page.svelte</x:v>
      </x:c>
      <x:c r="E9" s="20" t="str">
        <x:v>Tenant</x:v>
      </x:c>
      <x:c r="F9" s="35" t="str">
        <x:v>Tenant</x:v>
      </x:c>
      <x:c r="G9" s="23" t="n">
        <x:v>46413</x:v>
      </x:c>
      <x:c r="H9" s="35" t="str">
        <x:v>Open through normal navigation; use every visible action; save; reload; verify persisted values and linked history.</x:v>
      </x:c>
      <x:c r="I9" s="35" t="str">
        <x:v>Attempt with one adjacent unauthorized persona; fail closed without data disclosure or mutation.</x:v>
      </x:c>
      <x:c r="J9" s="35" t="str">
        <x:v>Desktop browser + phone viewport</x:v>
      </x:c>
    </x:row>
    <x:row r="10">
      <x:c r="A10" s="20" t="str">
        <x:v>SCR-007</x:v>
      </x:c>
      <x:c r="B10" s="20" t="str">
        <x:v>Web</x:v>
      </x:c>
      <x:c r="C10" s="35" t="str">
        <x:v>/portal/maintenance</x:v>
      </x:c>
      <x:c r="D10" s="35" t="str">
        <x:v>web/src/routes/(portal)/portal/maintenance/+page.svelte</x:v>
      </x:c>
      <x:c r="E10" s="20" t="str">
        <x:v>Tenant</x:v>
      </x:c>
      <x:c r="F10" s="35" t="str">
        <x:v>Tenant</x:v>
      </x:c>
      <x:c r="G10" s="23" t="n">
        <x:v>46415</x:v>
      </x:c>
      <x:c r="H10" s="35" t="str">
        <x:v>Open through normal navigation; use every visible action; save; reload; verify persisted values and linked history.</x:v>
      </x:c>
      <x:c r="I10" s="35" t="str">
        <x:v>Attempt with one adjacent unauthorized persona; fail closed without data disclosure or mutation.</x:v>
      </x:c>
      <x:c r="J10" s="35" t="str">
        <x:v>Desktop browser + phone viewport</x:v>
      </x:c>
    </x:row>
    <x:row r="11">
      <x:c r="A11" s="20" t="str">
        <x:v>SCR-008</x:v>
      </x:c>
      <x:c r="B11" s="20" t="str">
        <x:v>Web</x:v>
      </x:c>
      <x:c r="C11" s="35" t="str">
        <x:v>/portal/messages</x:v>
      </x:c>
      <x:c r="D11" s="35" t="str">
        <x:v>web/src/routes/(portal)/portal/messages/+page.svelte</x:v>
      </x:c>
      <x:c r="E11" s="20" t="str">
        <x:v>Tenant</x:v>
      </x:c>
      <x:c r="F11" s="35" t="str">
        <x:v>Tenant</x:v>
      </x:c>
      <x:c r="G11" s="23" t="n">
        <x:v>46416</x:v>
      </x:c>
      <x:c r="H11" s="35" t="str">
        <x:v>Open through normal navigation; use every visible action; save; reload; verify persisted values and linked history.</x:v>
      </x:c>
      <x:c r="I11" s="35" t="str">
        <x:v>Attempt with one adjacent unauthorized persona; fail closed without data disclosure or mutation.</x:v>
      </x:c>
      <x:c r="J11" s="35" t="str">
        <x:v>Desktop browser + phone viewport</x:v>
      </x:c>
    </x:row>
    <x:row r="12">
      <x:c r="A12" s="20" t="str">
        <x:v>SCR-009</x:v>
      </x:c>
      <x:c r="B12" s="20" t="str">
        <x:v>Web</x:v>
      </x:c>
      <x:c r="C12" s="35" t="str">
        <x:v>/portal/notifications</x:v>
      </x:c>
      <x:c r="D12" s="35" t="str">
        <x:v>web/src/routes/(portal)/portal/notifications/+page.svelte</x:v>
      </x:c>
      <x:c r="E12" s="20" t="str">
        <x:v>Tenant</x:v>
      </x:c>
      <x:c r="F12" s="35" t="str">
        <x:v>Tenant</x:v>
      </x:c>
      <x:c r="G12" s="23" t="n">
        <x:v>46419</x:v>
      </x:c>
      <x:c r="H12" s="35" t="str">
        <x:v>Open through normal navigation; use every visible action; save; reload; verify persisted values and linked history.</x:v>
      </x:c>
      <x:c r="I12" s="35" t="str">
        <x:v>Attempt with one adjacent unauthorized persona; fail closed without data disclosure or mutation.</x:v>
      </x:c>
      <x:c r="J12" s="35" t="str">
        <x:v>Desktop browser + phone viewport</x:v>
      </x:c>
    </x:row>
    <x:row r="13">
      <x:c r="A13" s="20" t="str">
        <x:v>SCR-010</x:v>
      </x:c>
      <x:c r="B13" s="20" t="str">
        <x:v>Web</x:v>
      </x:c>
      <x:c r="C13" s="35" t="str">
        <x:v>/portal/payments</x:v>
      </x:c>
      <x:c r="D13" s="35" t="str">
        <x:v>web/src/routes/(portal)/portal/payments/+page.svelte</x:v>
      </x:c>
      <x:c r="E13" s="20" t="str">
        <x:v>Tenant</x:v>
      </x:c>
      <x:c r="F13" s="35" t="str">
        <x:v>Tenant</x:v>
      </x:c>
      <x:c r="G13" s="23" t="n">
        <x:v>46420</x:v>
      </x:c>
      <x:c r="H13" s="35" t="str">
        <x:v>Open through normal navigation; use every visible action; save; reload; verify persisted values and linked history.</x:v>
      </x:c>
      <x:c r="I13" s="35" t="str">
        <x:v>Attempt with one adjacent unauthorized persona; fail closed without data disclosure or mutation.</x:v>
      </x:c>
      <x:c r="J13" s="35" t="str">
        <x:v>Desktop browser + phone viewport</x:v>
      </x:c>
    </x:row>
    <x:row r="14">
      <x:c r="A14" s="20" t="str">
        <x:v>SCR-011</x:v>
      </x:c>
      <x:c r="B14" s="20" t="str">
        <x:v>Web</x:v>
      </x:c>
      <x:c r="C14" s="35" t="str">
        <x:v>/portal/profile</x:v>
      </x:c>
      <x:c r="D14" s="35" t="str">
        <x:v>web/src/routes/(portal)/portal/profile/+page.svelte</x:v>
      </x:c>
      <x:c r="E14" s="20" t="str">
        <x:v>Tenant</x:v>
      </x:c>
      <x:c r="F14" s="35" t="str">
        <x:v>Tenant</x:v>
      </x:c>
      <x:c r="G14" s="23" t="n">
        <x:v>46422</x:v>
      </x:c>
      <x:c r="H14" s="35" t="str">
        <x:v>Open through normal navigation; use every visible action; save; reload; verify persisted values and linked history.</x:v>
      </x:c>
      <x:c r="I14" s="35" t="str">
        <x:v>Attempt with one adjacent unauthorized persona; fail closed without data disclosure or mutation.</x:v>
      </x:c>
      <x:c r="J14" s="35" t="str">
        <x:v>Desktop browser + phone viewport</x:v>
      </x:c>
    </x:row>
    <x:row r="15">
      <x:c r="A15" s="20" t="str">
        <x:v>SCR-012</x:v>
      </x:c>
      <x:c r="B15" s="20" t="str">
        <x:v>Web</x:v>
      </x:c>
      <x:c r="C15" s="35" t="str">
        <x:v>/portal/security</x:v>
      </x:c>
      <x:c r="D15" s="35" t="str">
        <x:v>web/src/routes/(portal)/portal/security/+page.svelte</x:v>
      </x:c>
      <x:c r="E15" s="20" t="str">
        <x:v>Tenant</x:v>
      </x:c>
      <x:c r="F15" s="35" t="str">
        <x:v>Tenant</x:v>
      </x:c>
      <x:c r="G15" s="23" t="n">
        <x:v>46423</x:v>
      </x:c>
      <x:c r="H15" s="35" t="str">
        <x:v>Open through normal navigation; use every visible action; save; reload; verify persisted values and linked history.</x:v>
      </x:c>
      <x:c r="I15" s="35" t="str">
        <x:v>Attempt with one adjacent unauthorized persona; fail closed without data disclosure or mutation.</x:v>
      </x:c>
      <x:c r="J15" s="35" t="str">
        <x:v>Desktop browser + phone viewport</x:v>
      </x:c>
    </x:row>
    <x:row r="16">
      <x:c r="A16" s="20" t="str">
        <x:v>SCR-013</x:v>
      </x:c>
      <x:c r="B16" s="20" t="str">
        <x:v>Web</x:v>
      </x:c>
      <x:c r="C16" s="35" t="str">
        <x:v>/portal/unlinked</x:v>
      </x:c>
      <x:c r="D16" s="35" t="str">
        <x:v>web/src/routes/(portal)/portal/unlinked/+page.svelte</x:v>
      </x:c>
      <x:c r="E16" s="20" t="str">
        <x:v>Tenant</x:v>
      </x:c>
      <x:c r="F16" s="35" t="str">
        <x:v>Tenant</x:v>
      </x:c>
      <x:c r="G16" s="23" t="n">
        <x:v>46426</x:v>
      </x:c>
      <x:c r="H16" s="35" t="str">
        <x:v>Open through normal navigation; use every visible action; save; reload; verify persisted values and linked history.</x:v>
      </x:c>
      <x:c r="I16" s="35" t="str">
        <x:v>Attempt with one adjacent unauthorized persona; fail closed without data disclosure or mutation.</x:v>
      </x:c>
      <x:c r="J16" s="35" t="str">
        <x:v>Desktop browser + phone viewport</x:v>
      </x:c>
    </x:row>
    <x:row r="17">
      <x:c r="A17" s="20" t="str">
        <x:v>SCR-014</x:v>
      </x:c>
      <x:c r="B17" s="20" t="str">
        <x:v>Web</x:v>
      </x:c>
      <x:c r="C17" s="35" t="str">
        <x:v>/</x:v>
      </x:c>
      <x:c r="D17" s="35" t="str">
        <x:v>web/src/routes/(protected)/+page.svelte</x:v>
      </x:c>
      <x:c r="E17" s="20" t="str">
        <x:v>Property Manager</x:v>
      </x:c>
      <x:c r="F17" s="35" t="str">
        <x:v>Workspace Administrator; Property Manager</x:v>
      </x:c>
      <x:c r="G17" s="23" t="n">
        <x:v>46427</x:v>
      </x:c>
      <x:c r="H17" s="35" t="str">
        <x:v>Open through normal navigation; use every visible action; save; reload; verify persisted values and linked history.</x:v>
      </x:c>
      <x:c r="I17" s="35" t="str">
        <x:v>Attempt with one adjacent unauthorized persona; fail closed without data disclosure or mutation.</x:v>
      </x:c>
      <x:c r="J17" s="35" t="str">
        <x:v>Desktop browser + phone viewport</x:v>
      </x:c>
    </x:row>
    <x:row r="18">
      <x:c r="A18" s="20" t="str">
        <x:v>SCR-015</x:v>
      </x:c>
      <x:c r="B18" s="20" t="str">
        <x:v>Web</x:v>
      </x:c>
      <x:c r="C18" s="35" t="str">
        <x:v>/accounting</x:v>
      </x:c>
      <x:c r="D18" s="35" t="str">
        <x:v>web/src/routes/(protected)/accounting/+page.svelte</x:v>
      </x:c>
      <x:c r="E18" s="20" t="str">
        <x:v>Property Manager</x:v>
      </x:c>
      <x:c r="F18" s="35" t="str">
        <x:v>Workspace Administrator; Property Manager</x:v>
      </x:c>
      <x:c r="G18" s="23" t="n">
        <x:v>46429</x:v>
      </x:c>
      <x:c r="H18" s="35" t="str">
        <x:v>Open through normal navigation; use every visible action; save; reload; verify persisted values and linked history.</x:v>
      </x:c>
      <x:c r="I18" s="35" t="str">
        <x:v>Attempt with one adjacent unauthorized persona; fail closed without data disclosure or mutation.</x:v>
      </x:c>
      <x:c r="J18" s="35" t="str">
        <x:v>Desktop browser + phone viewport</x:v>
      </x:c>
    </x:row>
    <x:row r="19">
      <x:c r="A19" s="20" t="str">
        <x:v>SCR-016</x:v>
      </x:c>
      <x:c r="B19" s="20" t="str">
        <x:v>Web</x:v>
      </x:c>
      <x:c r="C19" s="35" t="str">
        <x:v>/accounting/expenses/[id]</x:v>
      </x:c>
      <x:c r="D19" s="35" t="str">
        <x:v>web/src/routes/(protected)/accounting/expenses/[id]/+page.svelte</x:v>
      </x:c>
      <x:c r="E19" s="20" t="str">
        <x:v>Property Manager</x:v>
      </x:c>
      <x:c r="F19" s="35" t="str">
        <x:v>Workspace Administrator; Property Manager</x:v>
      </x:c>
      <x:c r="G19" s="23" t="n">
        <x:v>46430</x:v>
      </x:c>
      <x:c r="H19" s="35" t="str">
        <x:v>Open through normal navigation; use every visible action; save; reload; verify persisted values and linked history.</x:v>
      </x:c>
      <x:c r="I19" s="35" t="str">
        <x:v>Attempt with one adjacent unauthorized persona; fail closed without data disclosure or mutation.</x:v>
      </x:c>
      <x:c r="J19" s="35" t="str">
        <x:v>Desktop browser + phone viewport</x:v>
      </x:c>
    </x:row>
    <x:row r="20">
      <x:c r="A20" s="20" t="str">
        <x:v>SCR-017</x:v>
      </x:c>
      <x:c r="B20" s="20" t="str">
        <x:v>Web</x:v>
      </x:c>
      <x:c r="C20" s="35" t="str">
        <x:v>/accounting/past-due</x:v>
      </x:c>
      <x:c r="D20" s="35" t="str">
        <x:v>web/src/routes/(protected)/accounting/past-due/+page.svelte</x:v>
      </x:c>
      <x:c r="E20" s="20" t="str">
        <x:v>Property Manager</x:v>
      </x:c>
      <x:c r="F20" s="35" t="str">
        <x:v>Workspace Administrator; Property Manager</x:v>
      </x:c>
      <x:c r="G20" s="23" t="n">
        <x:v>46433</x:v>
      </x:c>
      <x:c r="H20" s="35" t="str">
        <x:v>Open through normal navigation; use every visible action; save; reload; verify persisted values and linked history.</x:v>
      </x:c>
      <x:c r="I20" s="35" t="str">
        <x:v>Attempt with one adjacent unauthorized persona; fail closed without data disclosure or mutation.</x:v>
      </x:c>
      <x:c r="J20" s="35" t="str">
        <x:v>Desktop browser + phone viewport</x:v>
      </x:c>
    </x:row>
    <x:row r="21">
      <x:c r="A21" s="20" t="str">
        <x:v>SCR-018</x:v>
      </x:c>
      <x:c r="B21" s="20" t="str">
        <x:v>Web</x:v>
      </x:c>
      <x:c r="C21" s="35" t="str">
        <x:v>/accounting/year-end</x:v>
      </x:c>
      <x:c r="D21" s="35" t="str">
        <x:v>web/src/routes/(protected)/accounting/year-end/+page.svelte</x:v>
      </x:c>
      <x:c r="E21" s="20" t="str">
        <x:v>Property Manager</x:v>
      </x:c>
      <x:c r="F21" s="35" t="str">
        <x:v>Workspace Administrator; Property Manager</x:v>
      </x:c>
      <x:c r="G21" s="23" t="n">
        <x:v>46434</x:v>
      </x:c>
      <x:c r="H21" s="35" t="str">
        <x:v>Open through normal navigation; use every visible action; save; reload; verify persisted values and linked history.</x:v>
      </x:c>
      <x:c r="I21" s="35" t="str">
        <x:v>Attempt with one adjacent unauthorized persona; fail closed without data disclosure or mutation.</x:v>
      </x:c>
      <x:c r="J21" s="35" t="str">
        <x:v>Desktop browser + phone viewport</x:v>
      </x:c>
    </x:row>
    <x:row r="22">
      <x:c r="A22" s="20" t="str">
        <x:v>SCR-019</x:v>
      </x:c>
      <x:c r="B22" s="20" t="str">
        <x:v>Web</x:v>
      </x:c>
      <x:c r="C22" s="35" t="str">
        <x:v>/ai</x:v>
      </x:c>
      <x:c r="D22" s="35" t="str">
        <x:v>web/src/routes/(protected)/ai/+page.svelte</x:v>
      </x:c>
      <x:c r="E22" s="20" t="str">
        <x:v>Property Manager</x:v>
      </x:c>
      <x:c r="F22" s="35" t="str">
        <x:v>Workspace Administrator; Property Manager</x:v>
      </x:c>
      <x:c r="G22" s="23" t="n">
        <x:v>46436</x:v>
      </x:c>
      <x:c r="H22" s="35" t="str">
        <x:v>Open through normal navigation; use every visible action; save; reload; verify persisted values and linked history.</x:v>
      </x:c>
      <x:c r="I22" s="35" t="str">
        <x:v>Attempt with one adjacent unauthorized persona; fail closed without data disclosure or mutation.</x:v>
      </x:c>
      <x:c r="J22" s="35" t="str">
        <x:v>Desktop browser + phone viewport</x:v>
      </x:c>
    </x:row>
    <x:row r="23">
      <x:c r="A23" s="20" t="str">
        <x:v>SCR-020</x:v>
      </x:c>
      <x:c r="B23" s="20" t="str">
        <x:v>Web</x:v>
      </x:c>
      <x:c r="C23" s="35" t="str">
        <x:v>/applications</x:v>
      </x:c>
      <x:c r="D23" s="35" t="str">
        <x:v>web/src/routes/(protected)/applications/+page.svelte</x:v>
      </x:c>
      <x:c r="E23" s="20" t="str">
        <x:v>Leasing Agent</x:v>
      </x:c>
      <x:c r="F23" s="35" t="str">
        <x:v>Workspace Administrator</x:v>
      </x:c>
      <x:c r="G23" s="23" t="n">
        <x:v>46437</x:v>
      </x:c>
      <x:c r="H23" s="35" t="str">
        <x:v>Open through normal navigation; use every visible action; save; reload; verify persisted values and linked history.</x:v>
      </x:c>
      <x:c r="I23" s="35" t="str">
        <x:v>Attempt with one adjacent unauthorized persona; fail closed without data disclosure or mutation.</x:v>
      </x:c>
      <x:c r="J23" s="35" t="str">
        <x:v>Desktop browser + phone viewport</x:v>
      </x:c>
    </x:row>
    <x:row r="24">
      <x:c r="A24" s="20" t="str">
        <x:v>SCR-021</x:v>
      </x:c>
      <x:c r="B24" s="20" t="str">
        <x:v>Web</x:v>
      </x:c>
      <x:c r="C24" s="35" t="str">
        <x:v>/applications/[id]</x:v>
      </x:c>
      <x:c r="D24" s="35" t="str">
        <x:v>web/src/routes/(protected)/applications/[id]/+page.svelte</x:v>
      </x:c>
      <x:c r="E24" s="20" t="str">
        <x:v>Leasing Agent</x:v>
      </x:c>
      <x:c r="F24" s="35" t="str">
        <x:v>Workspace Administrator</x:v>
      </x:c>
      <x:c r="G24" s="23" t="n">
        <x:v>46440</x:v>
      </x:c>
      <x:c r="H24" s="35" t="str">
        <x:v>Open through normal navigation; use every visible action; save; reload; verify persisted values and linked history.</x:v>
      </x:c>
      <x:c r="I24" s="35" t="str">
        <x:v>Attempt with one adjacent unauthorized persona; fail closed without data disclosure or mutation.</x:v>
      </x:c>
      <x:c r="J24" s="35" t="str">
        <x:v>Desktop browser + phone viewport</x:v>
      </x:c>
    </x:row>
    <x:row r="25">
      <x:c r="A25" s="20" t="str">
        <x:v>SCR-022</x:v>
      </x:c>
      <x:c r="B25" s="20" t="str">
        <x:v>Web</x:v>
      </x:c>
      <x:c r="C25" s="35" t="str">
        <x:v>/appointments</x:v>
      </x:c>
      <x:c r="D25" s="35" t="str">
        <x:v>web/src/routes/(protected)/appointments/+page.svelte</x:v>
      </x:c>
      <x:c r="E25" s="20" t="str">
        <x:v>Property Manager</x:v>
      </x:c>
      <x:c r="F25" s="35" t="str">
        <x:v>Workspace Administrator; Property Manager</x:v>
      </x:c>
      <x:c r="G25" s="23" t="n">
        <x:v>46441</x:v>
      </x:c>
      <x:c r="H25" s="35" t="str">
        <x:v>Open through normal navigation; use every visible action; save; reload; verify persisted values and linked history.</x:v>
      </x:c>
      <x:c r="I25" s="35" t="str">
        <x:v>Attempt with one adjacent unauthorized persona; fail closed without data disclosure or mutation.</x:v>
      </x:c>
      <x:c r="J25" s="35" t="str">
        <x:v>Desktop browser + phone viewport</x:v>
      </x:c>
    </x:row>
    <x:row r="26">
      <x:c r="A26" s="20" t="str">
        <x:v>SCR-023</x:v>
      </x:c>
      <x:c r="B26" s="20" t="str">
        <x:v>Web</x:v>
      </x:c>
      <x:c r="C26" s="35" t="str">
        <x:v>/appointments/[id]</x:v>
      </x:c>
      <x:c r="D26" s="35" t="str">
        <x:v>web/src/routes/(protected)/appointments/[id]/+page.svelte</x:v>
      </x:c>
      <x:c r="E26" s="20" t="str">
        <x:v>Property Manager</x:v>
      </x:c>
      <x:c r="F26" s="35" t="str">
        <x:v>Workspace Administrator; Property Manager</x:v>
      </x:c>
      <x:c r="G26" s="23" t="n">
        <x:v>46443</x:v>
      </x:c>
      <x:c r="H26" s="35" t="str">
        <x:v>Open through normal navigation; use every visible action; save; reload; verify persisted values and linked history.</x:v>
      </x:c>
      <x:c r="I26" s="35" t="str">
        <x:v>Attempt with one adjacent unauthorized persona; fail closed without data disclosure or mutation.</x:v>
      </x:c>
      <x:c r="J26" s="35" t="str">
        <x:v>Desktop browser + phone viewport</x:v>
      </x:c>
    </x:row>
    <x:row r="27">
      <x:c r="A27" s="20" t="str">
        <x:v>SCR-024</x:v>
      </x:c>
      <x:c r="B27" s="20" t="str">
        <x:v>Web</x:v>
      </x:c>
      <x:c r="C27" s="35" t="str">
        <x:v>/assignment-inbox</x:v>
      </x:c>
      <x:c r="D27" s="35" t="str">
        <x:v>web/src/routes/(protected)/assignment-inbox/+page.svelte</x:v>
      </x:c>
      <x:c r="E27" s="20" t="str">
        <x:v>Property Manager</x:v>
      </x:c>
      <x:c r="F27" s="35" t="str">
        <x:v>Maintenance Technician</x:v>
      </x:c>
      <x:c r="G27" s="23" t="n">
        <x:v>46444</x:v>
      </x:c>
      <x:c r="H27" s="35" t="str">
        <x:v>Open through normal navigation; use every visible action; save; reload; verify persisted values and linked history.</x:v>
      </x:c>
      <x:c r="I27" s="35" t="str">
        <x:v>Attempt with one adjacent unauthorized persona; fail closed without data disclosure or mutation.</x:v>
      </x:c>
      <x:c r="J27" s="35" t="str">
        <x:v>Desktop browser + phone viewport</x:v>
      </x:c>
    </x:row>
    <x:row r="28">
      <x:c r="A28" s="20" t="str">
        <x:v>SCR-025</x:v>
      </x:c>
      <x:c r="B28" s="20" t="str">
        <x:v>Web</x:v>
      </x:c>
      <x:c r="C28" s="35" t="str">
        <x:v>/audit</x:v>
      </x:c>
      <x:c r="D28" s="35" t="str">
        <x:v>web/src/routes/(protected)/audit/+page.svelte</x:v>
      </x:c>
      <x:c r="E28" s="20" t="str">
        <x:v>Workspace Administrator</x:v>
      </x:c>
      <x:c r="F28" s="35" t="str">
        <x:v>Workspace Administrator</x:v>
      </x:c>
      <x:c r="G28" s="23" t="n">
        <x:v>46447</x:v>
      </x:c>
      <x:c r="H28" s="35" t="str">
        <x:v>Open through normal navigation; use every visible action; save; reload; verify persisted values and linked history.</x:v>
      </x:c>
      <x:c r="I28" s="35" t="str">
        <x:v>Attempt with one adjacent unauthorized persona; fail closed without data disclosure or mutation.</x:v>
      </x:c>
      <x:c r="J28" s="35" t="str">
        <x:v>Desktop browser + phone viewport</x:v>
      </x:c>
    </x:row>
    <x:row r="29">
      <x:c r="A29" s="20" t="str">
        <x:v>SCR-026</x:v>
      </x:c>
      <x:c r="B29" s="20" t="str">
        <x:v>Web</x:v>
      </x:c>
      <x:c r="C29" s="35" t="str">
        <x:v>/banking</x:v>
      </x:c>
      <x:c r="D29" s="35" t="str">
        <x:v>web/src/routes/(protected)/banking/+page.svelte</x:v>
      </x:c>
      <x:c r="E29" s="20" t="str">
        <x:v>Property Manager</x:v>
      </x:c>
      <x:c r="F29" s="35" t="str">
        <x:v>Workspace Administrator; Property Manager</x:v>
      </x:c>
      <x:c r="G29" s="23" t="n">
        <x:v>46448</x:v>
      </x:c>
      <x:c r="H29" s="35" t="str">
        <x:v>Open through normal navigation; use every visible action; save; reload; verify persisted values and linked history.</x:v>
      </x:c>
      <x:c r="I29" s="35" t="str">
        <x:v>Attempt with one adjacent unauthorized persona; fail closed without data disclosure or mutation.</x:v>
      </x:c>
      <x:c r="J29" s="35" t="str">
        <x:v>Desktop browser + phone viewport</x:v>
      </x:c>
    </x:row>
    <x:row r="30">
      <x:c r="A30" s="20" t="str">
        <x:v>SCR-027</x:v>
      </x:c>
      <x:c r="B30" s="20" t="str">
        <x:v>Web</x:v>
      </x:c>
      <x:c r="C30" s="35" t="str">
        <x:v>/deposits</x:v>
      </x:c>
      <x:c r="D30" s="35" t="str">
        <x:v>web/src/routes/(protected)/deposits/+page.svelte</x:v>
      </x:c>
      <x:c r="E30" s="20" t="str">
        <x:v>Property Manager</x:v>
      </x:c>
      <x:c r="F30" s="35" t="str">
        <x:v>Workspace Administrator; Property Manager</x:v>
      </x:c>
      <x:c r="G30" s="23" t="n">
        <x:v>46450</x:v>
      </x:c>
      <x:c r="H30" s="35" t="str">
        <x:v>Open through normal navigation; use every visible action; save; reload; verify persisted values and linked history.</x:v>
      </x:c>
      <x:c r="I30" s="35" t="str">
        <x:v>Attempt with one adjacent unauthorized persona; fail closed without data disclosure or mutation.</x:v>
      </x:c>
      <x:c r="J30" s="35" t="str">
        <x:v>Desktop browser + phone viewport</x:v>
      </x:c>
    </x:row>
    <x:row r="31">
      <x:c r="A31" s="20" t="str">
        <x:v>SCR-028</x:v>
      </x:c>
      <x:c r="B31" s="20" t="str">
        <x:v>Web</x:v>
      </x:c>
      <x:c r="C31" s="35" t="str">
        <x:v>/deposits/[id]</x:v>
      </x:c>
      <x:c r="D31" s="35" t="str">
        <x:v>web/src/routes/(protected)/deposits/[id]/+page.svelte</x:v>
      </x:c>
      <x:c r="E31" s="20" t="str">
        <x:v>Property Manager</x:v>
      </x:c>
      <x:c r="F31" s="35" t="str">
        <x:v>Workspace Administrator; Property Manager</x:v>
      </x:c>
      <x:c r="G31" s="23" t="n">
        <x:v>46451</x:v>
      </x:c>
      <x:c r="H31" s="35" t="str">
        <x:v>Open through normal navigation; use every visible action; save; reload; verify persisted values and linked history.</x:v>
      </x:c>
      <x:c r="I31" s="35" t="str">
        <x:v>Attempt with one adjacent unauthorized persona; fail closed without data disclosure or mutation.</x:v>
      </x:c>
      <x:c r="J31" s="35" t="str">
        <x:v>Desktop browser + phone viewport</x:v>
      </x:c>
    </x:row>
    <x:row r="32">
      <x:c r="A32" s="20" t="str">
        <x:v>SCR-029</x:v>
      </x:c>
      <x:c r="B32" s="20" t="str">
        <x:v>Web</x:v>
      </x:c>
      <x:c r="C32" s="35" t="str">
        <x:v>/get-started</x:v>
      </x:c>
      <x:c r="D32" s="35" t="str">
        <x:v>web/src/routes/(protected)/get-started/+page.svelte</x:v>
      </x:c>
      <x:c r="E32" s="20" t="str">
        <x:v>Property Manager</x:v>
      </x:c>
      <x:c r="F32" s="35" t="str">
        <x:v>Workspace Administrator</x:v>
      </x:c>
      <x:c r="G32" s="23" t="n">
        <x:v>46454</x:v>
      </x:c>
      <x:c r="H32" s="35" t="str">
        <x:v>Open through normal navigation; use every visible action; save; reload; verify persisted values and linked history.</x:v>
      </x:c>
      <x:c r="I32" s="35" t="str">
        <x:v>Attempt with one adjacent unauthorized persona; fail closed without data disclosure or mutation.</x:v>
      </x:c>
      <x:c r="J32" s="35" t="str">
        <x:v>Desktop browser + phone viewport</x:v>
      </x:c>
    </x:row>
    <x:row r="33">
      <x:c r="A33" s="20" t="str">
        <x:v>SCR-030</x:v>
      </x:c>
      <x:c r="B33" s="20" t="str">
        <x:v>Web</x:v>
      </x:c>
      <x:c r="C33" s="35" t="str">
        <x:v>/import</x:v>
      </x:c>
      <x:c r="D33" s="35" t="str">
        <x:v>web/src/routes/(protected)/import/+page.svelte</x:v>
      </x:c>
      <x:c r="E33" s="20" t="str">
        <x:v>Property Manager</x:v>
      </x:c>
      <x:c r="F33" s="35" t="str">
        <x:v>Workspace Administrator; Property Manager</x:v>
      </x:c>
      <x:c r="G33" s="23" t="n">
        <x:v>46455</x:v>
      </x:c>
      <x:c r="H33" s="35" t="str">
        <x:v>Open through normal navigation; use every visible action; save; reload; verify persisted values and linked history.</x:v>
      </x:c>
      <x:c r="I33" s="35" t="str">
        <x:v>Attempt with one adjacent unauthorized persona; fail closed without data disclosure or mutation.</x:v>
      </x:c>
      <x:c r="J33" s="35" t="str">
        <x:v>Desktop browser + phone viewport</x:v>
      </x:c>
    </x:row>
    <x:row r="34">
      <x:c r="A34" s="20" t="str">
        <x:v>SCR-031</x:v>
      </x:c>
      <x:c r="B34" s="20" t="str">
        <x:v>Web</x:v>
      </x:c>
      <x:c r="C34" s="35" t="str">
        <x:v>/lease-templates</x:v>
      </x:c>
      <x:c r="D34" s="35" t="str">
        <x:v>web/src/routes/(protected)/lease-templates/+page.svelte</x:v>
      </x:c>
      <x:c r="E34" s="20" t="str">
        <x:v>Property Manager</x:v>
      </x:c>
      <x:c r="F34" s="35" t="str">
        <x:v>Workspace Administrator; Property Manager; Leasing Agent</x:v>
      </x:c>
      <x:c r="G34" s="23" t="n">
        <x:v>46457</x:v>
      </x:c>
      <x:c r="H34" s="35" t="str">
        <x:v>Open through normal navigation; use every visible action; save; reload; verify persisted values and linked history.</x:v>
      </x:c>
      <x:c r="I34" s="35" t="str">
        <x:v>Attempt with one adjacent unauthorized persona; fail closed without data disclosure or mutation.</x:v>
      </x:c>
      <x:c r="J34" s="35" t="str">
        <x:v>Desktop browser + phone viewport</x:v>
      </x:c>
    </x:row>
    <x:row r="35">
      <x:c r="A35" s="20" t="str">
        <x:v>SCR-032</x:v>
      </x:c>
      <x:c r="B35" s="20" t="str">
        <x:v>Web</x:v>
      </x:c>
      <x:c r="C35" s="35" t="str">
        <x:v>/leases</x:v>
      </x:c>
      <x:c r="D35" s="35" t="str">
        <x:v>web/src/routes/(protected)/leases/+page.svelte</x:v>
      </x:c>
      <x:c r="E35" s="20" t="str">
        <x:v>Leasing Agent</x:v>
      </x:c>
      <x:c r="F35" s="35" t="str">
        <x:v>Leasing Agent</x:v>
      </x:c>
      <x:c r="G35" s="23" t="n">
        <x:v>46458</x:v>
      </x:c>
      <x:c r="H35" s="35" t="str">
        <x:v>Open through normal navigation; use every visible action; save; reload; verify persisted values and linked history.</x:v>
      </x:c>
      <x:c r="I35" s="35" t="str">
        <x:v>Attempt with one adjacent unauthorized persona; fail closed without data disclosure or mutation.</x:v>
      </x:c>
      <x:c r="J35" s="35" t="str">
        <x:v>Desktop browser + phone viewport</x:v>
      </x:c>
    </x:row>
    <x:row r="36">
      <x:c r="A36" s="20" t="str">
        <x:v>SCR-033</x:v>
      </x:c>
      <x:c r="B36" s="20" t="str">
        <x:v>Web</x:v>
      </x:c>
      <x:c r="C36" s="35" t="str">
        <x:v>/leases/[id]</x:v>
      </x:c>
      <x:c r="D36" s="35" t="str">
        <x:v>web/src/routes/(protected)/leases/[id]/+page.svelte</x:v>
      </x:c>
      <x:c r="E36" s="20" t="str">
        <x:v>Leasing Agent</x:v>
      </x:c>
      <x:c r="F36" s="35" t="str">
        <x:v>Leasing Agent</x:v>
      </x:c>
      <x:c r="G36" s="23" t="n">
        <x:v>46461</x:v>
      </x:c>
      <x:c r="H36" s="35" t="str">
        <x:v>Open through normal navigation; use every visible action; save; reload; verify persisted values and linked history.</x:v>
      </x:c>
      <x:c r="I36" s="35" t="str">
        <x:v>Attempt with one adjacent unauthorized persona; fail closed without data disclosure or mutation.</x:v>
      </x:c>
      <x:c r="J36" s="35" t="str">
        <x:v>Desktop browser + phone viewport</x:v>
      </x:c>
    </x:row>
    <x:row r="37">
      <x:c r="A37" s="20" t="str">
        <x:v>SCR-034</x:v>
      </x:c>
      <x:c r="B37" s="20" t="str">
        <x:v>Web</x:v>
      </x:c>
      <x:c r="C37" s="35" t="str">
        <x:v>/leasing</x:v>
      </x:c>
      <x:c r="D37" s="35" t="str">
        <x:v>web/src/routes/(protected)/leasing/+page.svelte</x:v>
      </x:c>
      <x:c r="E37" s="20" t="str">
        <x:v>Leasing Agent</x:v>
      </x:c>
      <x:c r="F37" s="35" t="str">
        <x:v>Leasing Agent</x:v>
      </x:c>
      <x:c r="G37" s="23" t="n">
        <x:v>46462</x:v>
      </x:c>
      <x:c r="H37" s="35" t="str">
        <x:v>Open through normal navigation; use every visible action; save; reload; verify persisted values and linked history.</x:v>
      </x:c>
      <x:c r="I37" s="35" t="str">
        <x:v>Attempt with one adjacent unauthorized persona; fail closed without data disclosure or mutation.</x:v>
      </x:c>
      <x:c r="J37" s="35" t="str">
        <x:v>Desktop browser + phone viewport</x:v>
      </x:c>
    </x:row>
    <x:row r="38">
      <x:c r="A38" s="20" t="str">
        <x:v>SCR-035</x:v>
      </x:c>
      <x:c r="B38" s="20" t="str">
        <x:v>Web</x:v>
      </x:c>
      <x:c r="C38" s="35" t="str">
        <x:v>/leasing/[record]/[id]</x:v>
      </x:c>
      <x:c r="D38" s="35" t="str">
        <x:v>web/src/routes/(protected)/leasing/[record]/[id]/+page.svelte</x:v>
      </x:c>
      <x:c r="E38" s="20" t="str">
        <x:v>Leasing Agent</x:v>
      </x:c>
      <x:c r="F38" s="35" t="str">
        <x:v>Leasing Agent</x:v>
      </x:c>
      <x:c r="G38" s="23" t="n">
        <x:v>46464</x:v>
      </x:c>
      <x:c r="H38" s="35" t="str">
        <x:v>Open through normal navigation; use every visible action; save; reload; verify persisted values and linked history.</x:v>
      </x:c>
      <x:c r="I38" s="35" t="str">
        <x:v>Attempt with one adjacent unauthorized persona; fail closed without data disclosure or mutation.</x:v>
      </x:c>
      <x:c r="J38" s="35" t="str">
        <x:v>Desktop browser + phone viewport</x:v>
      </x:c>
    </x:row>
    <x:row r="39">
      <x:c r="A39" s="20" t="str">
        <x:v>SCR-036</x:v>
      </x:c>
      <x:c r="B39" s="20" t="str">
        <x:v>Web</x:v>
      </x:c>
      <x:c r="C39" s="35" t="str">
        <x:v>/leasing/calendar</x:v>
      </x:c>
      <x:c r="D39" s="35" t="str">
        <x:v>web/src/routes/(protected)/leasing/calendar/+page.svelte</x:v>
      </x:c>
      <x:c r="E39" s="20" t="str">
        <x:v>Leasing Agent</x:v>
      </x:c>
      <x:c r="F39" s="35" t="str">
        <x:v>Leasing Agent</x:v>
      </x:c>
      <x:c r="G39" s="23" t="n">
        <x:v>46465</x:v>
      </x:c>
      <x:c r="H39" s="35" t="str">
        <x:v>Open through normal navigation; use every visible action; save; reload; verify persisted values and linked history.</x:v>
      </x:c>
      <x:c r="I39" s="35" t="str">
        <x:v>Attempt with one adjacent unauthorized persona; fail closed without data disclosure or mutation.</x:v>
      </x:c>
      <x:c r="J39" s="35" t="str">
        <x:v>Desktop browser + phone viewport</x:v>
      </x:c>
    </x:row>
    <x:row r="40">
      <x:c r="A40" s="20" t="str">
        <x:v>SCR-037</x:v>
      </x:c>
      <x:c r="B40" s="20" t="str">
        <x:v>Web</x:v>
      </x:c>
      <x:c r="C40" s="35" t="str">
        <x:v>/leasing/inbox</x:v>
      </x:c>
      <x:c r="D40" s="35" t="str">
        <x:v>web/src/routes/(protected)/leasing/inbox/+page.svelte</x:v>
      </x:c>
      <x:c r="E40" s="20" t="str">
        <x:v>Leasing Agent</x:v>
      </x:c>
      <x:c r="F40" s="35" t="str">
        <x:v>Leasing Agent</x:v>
      </x:c>
      <x:c r="G40" s="23" t="n">
        <x:v>46468</x:v>
      </x:c>
      <x:c r="H40" s="35" t="str">
        <x:v>Open through normal navigation; use every visible action; save; reload; verify persisted values and linked history.</x:v>
      </x:c>
      <x:c r="I40" s="35" t="str">
        <x:v>Attempt with one adjacent unauthorized persona; fail closed without data disclosure or mutation.</x:v>
      </x:c>
      <x:c r="J40" s="35" t="str">
        <x:v>Desktop browser + phone viewport</x:v>
      </x:c>
    </x:row>
    <x:row r="41">
      <x:c r="A41" s="20" t="str">
        <x:v>SCR-038</x:v>
      </x:c>
      <x:c r="B41" s="20" t="str">
        <x:v>Web</x:v>
      </x:c>
      <x:c r="C41" s="35" t="str">
        <x:v>/leasing/pipeline</x:v>
      </x:c>
      <x:c r="D41" s="35" t="str">
        <x:v>web/src/routes/(protected)/leasing/pipeline/+page.svelte</x:v>
      </x:c>
      <x:c r="E41" s="20" t="str">
        <x:v>Leasing Agent</x:v>
      </x:c>
      <x:c r="F41" s="35" t="str">
        <x:v>Leasing Agent</x:v>
      </x:c>
      <x:c r="G41" s="23" t="n">
        <x:v>46469</x:v>
      </x:c>
      <x:c r="H41" s="35" t="str">
        <x:v>Open through normal navigation; use every visible action; save; reload; verify persisted values and linked history.</x:v>
      </x:c>
      <x:c r="I41" s="35" t="str">
        <x:v>Attempt with one adjacent unauthorized persona; fail closed without data disclosure or mutation.</x:v>
      </x:c>
      <x:c r="J41" s="35" t="str">
        <x:v>Desktop browser + phone viewport</x:v>
      </x:c>
    </x:row>
    <x:row r="42">
      <x:c r="A42" s="20" t="str">
        <x:v>SCR-039</x:v>
      </x:c>
      <x:c r="B42" s="20" t="str">
        <x:v>Web</x:v>
      </x:c>
      <x:c r="C42" s="35" t="str">
        <x:v>/leasing/rentals</x:v>
      </x:c>
      <x:c r="D42" s="35" t="str">
        <x:v>web/src/routes/(protected)/leasing/rentals/+page.svelte</x:v>
      </x:c>
      <x:c r="E42" s="20" t="str">
        <x:v>Leasing Agent</x:v>
      </x:c>
      <x:c r="F42" s="35" t="str">
        <x:v>Leasing Agent</x:v>
      </x:c>
      <x:c r="G42" s="23" t="n">
        <x:v>46471</x:v>
      </x:c>
      <x:c r="H42" s="35" t="str">
        <x:v>Open through normal navigation; use every visible action; save; reload; verify persisted values and linked history.</x:v>
      </x:c>
      <x:c r="I42" s="35" t="str">
        <x:v>Attempt with one adjacent unauthorized persona; fail closed without data disclosure or mutation.</x:v>
      </x:c>
      <x:c r="J42" s="35" t="str">
        <x:v>Desktop browser + phone viewport</x:v>
      </x:c>
    </x:row>
    <x:row r="43">
      <x:c r="A43" s="20" t="str">
        <x:v>SCR-040</x:v>
      </x:c>
      <x:c r="B43" s="20" t="str">
        <x:v>Web</x:v>
      </x:c>
      <x:c r="C43" s="35" t="str">
        <x:v>/maintenance</x:v>
      </x:c>
      <x:c r="D43" s="35" t="str">
        <x:v>web/src/routes/(protected)/maintenance/+page.svelte</x:v>
      </x:c>
      <x:c r="E43" s="20" t="str">
        <x:v>Property Manager</x:v>
      </x:c>
      <x:c r="F43" s="35" t="str">
        <x:v>Workspace Administrator; Property Manager</x:v>
      </x:c>
      <x:c r="G43" s="23" t="n">
        <x:v>46472</x:v>
      </x:c>
      <x:c r="H43" s="35" t="str">
        <x:v>Open through normal navigation; use every visible action; save; reload; verify persisted values and linked history.</x:v>
      </x:c>
      <x:c r="I43" s="35" t="str">
        <x:v>Attempt with one adjacent unauthorized persona; fail closed without data disclosure or mutation.</x:v>
      </x:c>
      <x:c r="J43" s="35" t="str">
        <x:v>Desktop browser + phone viewport</x:v>
      </x:c>
    </x:row>
    <x:row r="44">
      <x:c r="A44" s="20" t="str">
        <x:v>SCR-041</x:v>
      </x:c>
      <x:c r="B44" s="20" t="str">
        <x:v>Web</x:v>
      </x:c>
      <x:c r="C44" s="35" t="str">
        <x:v>/maintenance/[id]</x:v>
      </x:c>
      <x:c r="D44" s="35" t="str">
        <x:v>web/src/routes/(protected)/maintenance/[id]/+page.svelte</x:v>
      </x:c>
      <x:c r="E44" s="20" t="str">
        <x:v>Property Manager</x:v>
      </x:c>
      <x:c r="F44" s="35" t="str">
        <x:v>Workspace Administrator; Property Manager</x:v>
      </x:c>
      <x:c r="G44" s="23" t="n">
        <x:v>46475</x:v>
      </x:c>
      <x:c r="H44" s="35" t="str">
        <x:v>Open through normal navigation; use every visible action; save; reload; verify persisted values and linked history.</x:v>
      </x:c>
      <x:c r="I44" s="35" t="str">
        <x:v>Attempt with one adjacent unauthorized persona; fail closed without data disclosure or mutation.</x:v>
      </x:c>
      <x:c r="J44" s="35" t="str">
        <x:v>Desktop browser + phone viewport</x:v>
      </x:c>
    </x:row>
    <x:row r="45">
      <x:c r="A45" s="20" t="str">
        <x:v>SCR-042</x:v>
      </x:c>
      <x:c r="B45" s="20" t="str">
        <x:v>Web</x:v>
      </x:c>
      <x:c r="C45" s="35" t="str">
        <x:v>/maintenance/inspections/[id]</x:v>
      </x:c>
      <x:c r="D45" s="35" t="str">
        <x:v>web/src/routes/(protected)/maintenance/inspections/[id]/+page.svelte</x:v>
      </x:c>
      <x:c r="E45" s="20" t="str">
        <x:v>Property Manager</x:v>
      </x:c>
      <x:c r="F45" s="35" t="str">
        <x:v>Workspace Administrator; Property Manager</x:v>
      </x:c>
      <x:c r="G45" s="23" t="n">
        <x:v>46476</x:v>
      </x:c>
      <x:c r="H45" s="35" t="str">
        <x:v>Open through normal navigation; use every visible action; save; reload; verify persisted values and linked history.</x:v>
      </x:c>
      <x:c r="I45" s="35" t="str">
        <x:v>Attempt with one adjacent unauthorized persona; fail closed without data disclosure or mutation.</x:v>
      </x:c>
      <x:c r="J45" s="35" t="str">
        <x:v>Desktop browser + phone viewport</x:v>
      </x:c>
    </x:row>
    <x:row r="46">
      <x:c r="A46" s="20" t="str">
        <x:v>SCR-043</x:v>
      </x:c>
      <x:c r="B46" s="20" t="str">
        <x:v>Web</x:v>
      </x:c>
      <x:c r="C46" s="35" t="str">
        <x:v>/maintenance/recurring</x:v>
      </x:c>
      <x:c r="D46" s="35" t="str">
        <x:v>web/src/routes/(protected)/maintenance/recurring/+page.svelte</x:v>
      </x:c>
      <x:c r="E46" s="20" t="str">
        <x:v>Property Manager</x:v>
      </x:c>
      <x:c r="F46" s="35" t="str">
        <x:v>Workspace Administrator; Property Manager</x:v>
      </x:c>
      <x:c r="G46" s="23" t="n">
        <x:v>46478</x:v>
      </x:c>
      <x:c r="H46" s="35" t="str">
        <x:v>Open through normal navigation; use every visible action; save; reload; verify persisted values and linked history.</x:v>
      </x:c>
      <x:c r="I46" s="35" t="str">
        <x:v>Attempt with one adjacent unauthorized persona; fail closed without data disclosure or mutation.</x:v>
      </x:c>
      <x:c r="J46" s="35" t="str">
        <x:v>Desktop browser + phone viewport</x:v>
      </x:c>
    </x:row>
    <x:row r="47">
      <x:c r="A47" s="20" t="str">
        <x:v>SCR-044</x:v>
      </x:c>
      <x:c r="B47" s="20" t="str">
        <x:v>Web</x:v>
      </x:c>
      <x:c r="C47" s="35" t="str">
        <x:v>/messages</x:v>
      </x:c>
      <x:c r="D47" s="35" t="str">
        <x:v>web/src/routes/(protected)/messages/+page.svelte</x:v>
      </x:c>
      <x:c r="E47" s="20" t="str">
        <x:v>Property Manager</x:v>
      </x:c>
      <x:c r="F47" s="35" t="str">
        <x:v>Workspace Administrator; Property Manager; Leasing Agent; Maintenance Technician</x:v>
      </x:c>
      <x:c r="G47" s="23" t="n">
        <x:v>46479</x:v>
      </x:c>
      <x:c r="H47" s="35" t="str">
        <x:v>Open through normal navigation; use every visible action; save; reload; verify persisted values and linked history.</x:v>
      </x:c>
      <x:c r="I47" s="35" t="str">
        <x:v>Attempt with one adjacent unauthorized persona; fail closed without data disclosure or mutation.</x:v>
      </x:c>
      <x:c r="J47" s="35" t="str">
        <x:v>Desktop browser + phone viewport</x:v>
      </x:c>
    </x:row>
    <x:row r="48">
      <x:c r="A48" s="20" t="str">
        <x:v>SCR-045</x:v>
      </x:c>
      <x:c r="B48" s="20" t="str">
        <x:v>Web</x:v>
      </x:c>
      <x:c r="C48" s="35" t="str">
        <x:v>/messages/[id]</x:v>
      </x:c>
      <x:c r="D48" s="35" t="str">
        <x:v>web/src/routes/(protected)/messages/[id]/+page.svelte</x:v>
      </x:c>
      <x:c r="E48" s="20" t="str">
        <x:v>Property Manager</x:v>
      </x:c>
      <x:c r="F48" s="35" t="str">
        <x:v>Workspace Administrator; Property Manager; Leasing Agent; Maintenance Technician</x:v>
      </x:c>
      <x:c r="G48" s="23" t="n">
        <x:v>46482</x:v>
      </x:c>
      <x:c r="H48" s="35" t="str">
        <x:v>Open through normal navigation; use every visible action; save; reload; verify persisted values and linked history.</x:v>
      </x:c>
      <x:c r="I48" s="35" t="str">
        <x:v>Attempt with one adjacent unauthorized persona; fail closed without data disclosure or mutation.</x:v>
      </x:c>
      <x:c r="J48" s="35" t="str">
        <x:v>Desktop browser + phone viewport</x:v>
      </x:c>
    </x:row>
    <x:row r="49">
      <x:c r="A49" s="20" t="str">
        <x:v>SCR-046</x:v>
      </x:c>
      <x:c r="B49" s="20" t="str">
        <x:v>Web</x:v>
      </x:c>
      <x:c r="C49" s="35" t="str">
        <x:v>/my-schedule</x:v>
      </x:c>
      <x:c r="D49" s="35" t="str">
        <x:v>web/src/routes/(protected)/my-schedule/+page.svelte</x:v>
      </x:c>
      <x:c r="E49" s="20" t="str">
        <x:v>Maintenance Technician</x:v>
      </x:c>
      <x:c r="F49" s="35" t="str">
        <x:v>Maintenance Technician</x:v>
      </x:c>
      <x:c r="G49" s="23" t="n">
        <x:v>46483</x:v>
      </x:c>
      <x:c r="H49" s="35" t="str">
        <x:v>Open through normal navigation; use every visible action; save; reload; verify persisted values and linked history.</x:v>
      </x:c>
      <x:c r="I49" s="35" t="str">
        <x:v>Attempt with one adjacent unauthorized persona; fail closed without data disclosure or mutation.</x:v>
      </x:c>
      <x:c r="J49" s="35" t="str">
        <x:v>Desktop browser + phone viewport</x:v>
      </x:c>
    </x:row>
    <x:row r="50">
      <x:c r="A50" s="20" t="str">
        <x:v>SCR-047</x:v>
      </x:c>
      <x:c r="B50" s="20" t="str">
        <x:v>Web</x:v>
      </x:c>
      <x:c r="C50" s="35" t="str">
        <x:v>/my-work</x:v>
      </x:c>
      <x:c r="D50" s="35" t="str">
        <x:v>web/src/routes/(protected)/my-work/+page.svelte</x:v>
      </x:c>
      <x:c r="E50" s="20" t="str">
        <x:v>Maintenance Technician</x:v>
      </x:c>
      <x:c r="F50" s="35" t="str">
        <x:v>Maintenance Technician</x:v>
      </x:c>
      <x:c r="G50" s="23" t="n">
        <x:v>46485</x:v>
      </x:c>
      <x:c r="H50" s="35" t="str">
        <x:v>Open through normal navigation; use every visible action; save; reload; verify persisted values and linked history.</x:v>
      </x:c>
      <x:c r="I50" s="35" t="str">
        <x:v>Attempt with one adjacent unauthorized persona; fail closed without data disclosure or mutation.</x:v>
      </x:c>
      <x:c r="J50" s="35" t="str">
        <x:v>Desktop browser + phone viewport</x:v>
      </x:c>
    </x:row>
    <x:row r="51">
      <x:c r="A51" s="20" t="str">
        <x:v>SCR-048</x:v>
      </x:c>
      <x:c r="B51" s="20" t="str">
        <x:v>Web</x:v>
      </x:c>
      <x:c r="C51" s="35" t="str">
        <x:v>/my-work/[id]</x:v>
      </x:c>
      <x:c r="D51" s="35" t="str">
        <x:v>web/src/routes/(protected)/my-work/[id]/+page.svelte</x:v>
      </x:c>
      <x:c r="E51" s="20" t="str">
        <x:v>Maintenance Technician</x:v>
      </x:c>
      <x:c r="F51" s="35" t="str">
        <x:v>Maintenance Technician</x:v>
      </x:c>
      <x:c r="G51" s="23" t="n">
        <x:v>46486</x:v>
      </x:c>
      <x:c r="H51" s="35" t="str">
        <x:v>Open through normal navigation; use every visible action; save; reload; verify persisted values and linked history.</x:v>
      </x:c>
      <x:c r="I51" s="35" t="str">
        <x:v>Attempt with one adjacent unauthorized persona; fail closed without data disclosure or mutation.</x:v>
      </x:c>
      <x:c r="J51" s="35" t="str">
        <x:v>Desktop browser + phone viewport</x:v>
      </x:c>
    </x:row>
    <x:row r="52">
      <x:c r="A52" s="20" t="str">
        <x:v>SCR-049</x:v>
      </x:c>
      <x:c r="B52" s="20" t="str">
        <x:v>Web</x:v>
      </x:c>
      <x:c r="C52" s="35" t="str">
        <x:v>/notices</x:v>
      </x:c>
      <x:c r="D52" s="35" t="str">
        <x:v>web/src/routes/(protected)/notices/+page.svelte</x:v>
      </x:c>
      <x:c r="E52" s="20" t="str">
        <x:v>Property Manager</x:v>
      </x:c>
      <x:c r="F52" s="35" t="str">
        <x:v>Workspace Administrator; Property Manager; Leasing Agent</x:v>
      </x:c>
      <x:c r="G52" s="23" t="n">
        <x:v>46489</x:v>
      </x:c>
      <x:c r="H52" s="35" t="str">
        <x:v>Open through normal navigation; use every visible action; save; reload; verify persisted values and linked history.</x:v>
      </x:c>
      <x:c r="I52" s="35" t="str">
        <x:v>Attempt with one adjacent unauthorized persona; fail closed without data disclosure or mutation.</x:v>
      </x:c>
      <x:c r="J52" s="35" t="str">
        <x:v>Desktop browser + phone viewport</x:v>
      </x:c>
    </x:row>
    <x:row r="53">
      <x:c r="A53" s="20" t="str">
        <x:v>SCR-050</x:v>
      </x:c>
      <x:c r="B53" s="20" t="str">
        <x:v>Web</x:v>
      </x:c>
      <x:c r="C53" s="35" t="str">
        <x:v>/onboarding</x:v>
      </x:c>
      <x:c r="D53" s="35" t="str">
        <x:v>web/src/routes/(protected)/onboarding/+page.svelte</x:v>
      </x:c>
      <x:c r="E53" s="20" t="str">
        <x:v>Property Manager</x:v>
      </x:c>
      <x:c r="F53" s="35" t="str">
        <x:v>Workspace Administrator</x:v>
      </x:c>
      <x:c r="G53" s="23" t="n">
        <x:v>46490</x:v>
      </x:c>
      <x:c r="H53" s="35" t="str">
        <x:v>Open through normal navigation; use every visible action; save; reload; verify persisted values and linked history.</x:v>
      </x:c>
      <x:c r="I53" s="35" t="str">
        <x:v>Attempt with one adjacent unauthorized persona; fail closed without data disclosure or mutation.</x:v>
      </x:c>
      <x:c r="J53" s="35" t="str">
        <x:v>Desktop browser + phone viewport</x:v>
      </x:c>
    </x:row>
    <x:row r="54">
      <x:c r="A54" s="20" t="str">
        <x:v>SCR-051</x:v>
      </x:c>
      <x:c r="B54" s="20" t="str">
        <x:v>Web</x:v>
      </x:c>
      <x:c r="C54" s="35" t="str">
        <x:v>/owner</x:v>
      </x:c>
      <x:c r="D54" s="35" t="str">
        <x:v>web/src/routes/(protected)/owner/+page.svelte</x:v>
      </x:c>
      <x:c r="E54" s="20" t="str">
        <x:v>Owner</x:v>
      </x:c>
      <x:c r="F54" s="35" t="str">
        <x:v>Owner</x:v>
      </x:c>
      <x:c r="G54" s="23" t="n">
        <x:v>46492</x:v>
      </x:c>
      <x:c r="H54" s="35" t="str">
        <x:v>Open through normal navigation; use every visible action; save; reload; verify persisted values and linked history.</x:v>
      </x:c>
      <x:c r="I54" s="35" t="str">
        <x:v>Attempt with one adjacent unauthorized persona; fail closed without data disclosure or mutation.</x:v>
      </x:c>
      <x:c r="J54" s="35" t="str">
        <x:v>Desktop browser + phone viewport</x:v>
      </x:c>
    </x:row>
    <x:row r="55">
      <x:c r="A55" s="20" t="str">
        <x:v>SCR-052</x:v>
      </x:c>
      <x:c r="B55" s="20" t="str">
        <x:v>Web</x:v>
      </x:c>
      <x:c r="C55" s="35" t="str">
        <x:v>/owner/approvals</x:v>
      </x:c>
      <x:c r="D55" s="35" t="str">
        <x:v>web/src/routes/(protected)/owner/approvals/+page.svelte</x:v>
      </x:c>
      <x:c r="E55" s="20" t="str">
        <x:v>Owner</x:v>
      </x:c>
      <x:c r="F55" s="35" t="str">
        <x:v>Owner</x:v>
      </x:c>
      <x:c r="G55" s="23" t="n">
        <x:v>46493</x:v>
      </x:c>
      <x:c r="H55" s="35" t="str">
        <x:v>Open through normal navigation; use every visible action; save; reload; verify persisted values and linked history.</x:v>
      </x:c>
      <x:c r="I55" s="35" t="str">
        <x:v>Attempt with one adjacent unauthorized persona; fail closed without data disclosure or mutation.</x:v>
      </x:c>
      <x:c r="J55" s="35" t="str">
        <x:v>Desktop browser + phone viewport</x:v>
      </x:c>
    </x:row>
    <x:row r="56">
      <x:c r="A56" s="20" t="str">
        <x:v>SCR-053</x:v>
      </x:c>
      <x:c r="B56" s="20" t="str">
        <x:v>Web</x:v>
      </x:c>
      <x:c r="C56" s="35" t="str">
        <x:v>/owner/messages</x:v>
      </x:c>
      <x:c r="D56" s="35" t="str">
        <x:v>web/src/routes/(protected)/owner/messages/+page.svelte</x:v>
      </x:c>
      <x:c r="E56" s="20" t="str">
        <x:v>Owner</x:v>
      </x:c>
      <x:c r="F56" s="35" t="str">
        <x:v>Owner</x:v>
      </x:c>
      <x:c r="G56" s="23" t="n">
        <x:v>46496</x:v>
      </x:c>
      <x:c r="H56" s="35" t="str">
        <x:v>Open through normal navigation; use every visible action; save; reload; verify persisted values and linked history.</x:v>
      </x:c>
      <x:c r="I56" s="35" t="str">
        <x:v>Attempt with one adjacent unauthorized persona; fail closed without data disclosure or mutation.</x:v>
      </x:c>
      <x:c r="J56" s="35" t="str">
        <x:v>Desktop browser + phone viewport</x:v>
      </x:c>
    </x:row>
    <x:row r="57">
      <x:c r="A57" s="20" t="str">
        <x:v>SCR-054</x:v>
      </x:c>
      <x:c r="B57" s="20" t="str">
        <x:v>Web</x:v>
      </x:c>
      <x:c r="C57" s="35" t="str">
        <x:v>/owner/properties</x:v>
      </x:c>
      <x:c r="D57" s="35" t="str">
        <x:v>web/src/routes/(protected)/owner/properties/+page.svelte</x:v>
      </x:c>
      <x:c r="E57" s="20" t="str">
        <x:v>Owner</x:v>
      </x:c>
      <x:c r="F57" s="35" t="str">
        <x:v>Owner</x:v>
      </x:c>
      <x:c r="G57" s="23" t="n">
        <x:v>46497</x:v>
      </x:c>
      <x:c r="H57" s="35" t="str">
        <x:v>Open through normal navigation; use every visible action; save; reload; verify persisted values and linked history.</x:v>
      </x:c>
      <x:c r="I57" s="35" t="str">
        <x:v>Attempt with one adjacent unauthorized persona; fail closed without data disclosure or mutation.</x:v>
      </x:c>
      <x:c r="J57" s="35" t="str">
        <x:v>Desktop browser + phone viewport</x:v>
      </x:c>
    </x:row>
    <x:row r="58">
      <x:c r="A58" s="20" t="str">
        <x:v>SCR-055</x:v>
      </x:c>
      <x:c r="B58" s="20" t="str">
        <x:v>Web</x:v>
      </x:c>
      <x:c r="C58" s="35" t="str">
        <x:v>/owner/security</x:v>
      </x:c>
      <x:c r="D58" s="35" t="str">
        <x:v>web/src/routes/(protected)/owner/security/+page.svelte</x:v>
      </x:c>
      <x:c r="E58" s="20" t="str">
        <x:v>Owner</x:v>
      </x:c>
      <x:c r="F58" s="35" t="str">
        <x:v>Owner</x:v>
      </x:c>
      <x:c r="G58" s="23" t="n">
        <x:v>46499</x:v>
      </x:c>
      <x:c r="H58" s="35" t="str">
        <x:v>Open through normal navigation; use every visible action; save; reload; verify persisted values and linked history.</x:v>
      </x:c>
      <x:c r="I58" s="35" t="str">
        <x:v>Attempt with one adjacent unauthorized persona; fail closed without data disclosure or mutation.</x:v>
      </x:c>
      <x:c r="J58" s="35" t="str">
        <x:v>Desktop browser + phone viewport</x:v>
      </x:c>
    </x:row>
    <x:row r="59">
      <x:c r="A59" s="20" t="str">
        <x:v>SCR-056</x:v>
      </x:c>
      <x:c r="B59" s="20" t="str">
        <x:v>Web</x:v>
      </x:c>
      <x:c r="C59" s="35" t="str">
        <x:v>/owner/statements</x:v>
      </x:c>
      <x:c r="D59" s="35" t="str">
        <x:v>web/src/routes/(protected)/owner/statements/+page.svelte</x:v>
      </x:c>
      <x:c r="E59" s="20" t="str">
        <x:v>Owner</x:v>
      </x:c>
      <x:c r="F59" s="35" t="str">
        <x:v>Owner</x:v>
      </x:c>
      <x:c r="G59" s="23" t="n">
        <x:v>46500</x:v>
      </x:c>
      <x:c r="H59" s="35" t="str">
        <x:v>Open through normal navigation; use every visible action; save; reload; verify persisted values and linked history.</x:v>
      </x:c>
      <x:c r="I59" s="35" t="str">
        <x:v>Attempt with one adjacent unauthorized persona; fail closed without data disclosure or mutation.</x:v>
      </x:c>
      <x:c r="J59" s="35" t="str">
        <x:v>Desktop browser + phone viewport</x:v>
      </x:c>
    </x:row>
    <x:row r="60">
      <x:c r="A60" s="20" t="str">
        <x:v>SCR-057</x:v>
      </x:c>
      <x:c r="B60" s="20" t="str">
        <x:v>Web</x:v>
      </x:c>
      <x:c r="C60" s="35" t="str">
        <x:v>/owners</x:v>
      </x:c>
      <x:c r="D60" s="35" t="str">
        <x:v>web/src/routes/(protected)/owners/+page.svelte</x:v>
      </x:c>
      <x:c r="E60" s="20" t="str">
        <x:v>Property Manager</x:v>
      </x:c>
      <x:c r="F60" s="35" t="str">
        <x:v>Workspace Administrator; Property Manager</x:v>
      </x:c>
      <x:c r="G60" s="23" t="n">
        <x:v>46503</x:v>
      </x:c>
      <x:c r="H60" s="35" t="str">
        <x:v>Open through normal navigation; use every visible action; save; reload; verify persisted values and linked history.</x:v>
      </x:c>
      <x:c r="I60" s="35" t="str">
        <x:v>Attempt with one adjacent unauthorized persona; fail closed without data disclosure or mutation.</x:v>
      </x:c>
      <x:c r="J60" s="35" t="str">
        <x:v>Desktop browser + phone viewport</x:v>
      </x:c>
    </x:row>
    <x:row r="61">
      <x:c r="A61" s="20" t="str">
        <x:v>SCR-058</x:v>
      </x:c>
      <x:c r="B61" s="20" t="str">
        <x:v>Web</x:v>
      </x:c>
      <x:c r="C61" s="35" t="str">
        <x:v>/owners/[id]</x:v>
      </x:c>
      <x:c r="D61" s="35" t="str">
        <x:v>web/src/routes/(protected)/owners/[id]/+page.svelte</x:v>
      </x:c>
      <x:c r="E61" s="20" t="str">
        <x:v>Property Manager</x:v>
      </x:c>
      <x:c r="F61" s="35" t="str">
        <x:v>Workspace Administrator; Property Manager</x:v>
      </x:c>
      <x:c r="G61" s="23" t="n">
        <x:v>46504</x:v>
      </x:c>
      <x:c r="H61" s="35" t="str">
        <x:v>Open through normal navigation; use every visible action; save; reload; verify persisted values and linked history.</x:v>
      </x:c>
      <x:c r="I61" s="35" t="str">
        <x:v>Attempt with one adjacent unauthorized persona; fail closed without data disclosure or mutation.</x:v>
      </x:c>
      <x:c r="J61" s="35" t="str">
        <x:v>Desktop browser + phone viewport</x:v>
      </x:c>
    </x:row>
    <x:row r="62">
      <x:c r="A62" s="20" t="str">
        <x:v>SCR-059</x:v>
      </x:c>
      <x:c r="B62" s="20" t="str">
        <x:v>Web</x:v>
      </x:c>
      <x:c r="C62" s="35" t="str">
        <x:v>/owners-report</x:v>
      </x:c>
      <x:c r="D62" s="35" t="str">
        <x:v>web/src/routes/(protected)/owners-report/+page.svelte</x:v>
      </x:c>
      <x:c r="E62" s="20" t="str">
        <x:v>Property Manager</x:v>
      </x:c>
      <x:c r="F62" s="35" t="str">
        <x:v>Workspace Administrator; Property Manager</x:v>
      </x:c>
      <x:c r="G62" s="23" t="n">
        <x:v>46506</x:v>
      </x:c>
      <x:c r="H62" s="35" t="str">
        <x:v>Open through normal navigation; use every visible action; save; reload; verify persisted values and linked history.</x:v>
      </x:c>
      <x:c r="I62" s="35" t="str">
        <x:v>Attempt with one adjacent unauthorized persona; fail closed without data disclosure or mutation.</x:v>
      </x:c>
      <x:c r="J62" s="35" t="str">
        <x:v>Desktop browser + phone viewport</x:v>
      </x:c>
    </x:row>
    <x:row r="63">
      <x:c r="A63" s="20" t="str">
        <x:v>SCR-060</x:v>
      </x:c>
      <x:c r="B63" s="20" t="str">
        <x:v>Web</x:v>
      </x:c>
      <x:c r="C63" s="35" t="str">
        <x:v>/plaid/auth</x:v>
      </x:c>
      <x:c r="D63" s="35" t="str">
        <x:v>web/src/routes/(protected)/plaid/auth/+page.svelte</x:v>
      </x:c>
      <x:c r="E63" s="20" t="str">
        <x:v>Property Manager</x:v>
      </x:c>
      <x:c r="F63" s="35" t="str">
        <x:v>Workspace Administrator</x:v>
      </x:c>
      <x:c r="G63" s="23" t="n">
        <x:v>46507</x:v>
      </x:c>
      <x:c r="H63" s="35" t="str">
        <x:v>Open through normal navigation; use every visible action; save; reload; verify persisted values and linked history.</x:v>
      </x:c>
      <x:c r="I63" s="35" t="str">
        <x:v>Attempt with one adjacent unauthorized persona; fail closed without data disclosure or mutation.</x:v>
      </x:c>
      <x:c r="J63" s="35" t="str">
        <x:v>Desktop browser + phone viewport</x:v>
      </x:c>
    </x:row>
    <x:row r="64">
      <x:c r="A64" s="20" t="str">
        <x:v>SCR-061</x:v>
      </x:c>
      <x:c r="B64" s="20" t="str">
        <x:v>Web</x:v>
      </x:c>
      <x:c r="C64" s="35" t="str">
        <x:v>/profile</x:v>
      </x:c>
      <x:c r="D64" s="35" t="str">
        <x:v>web/src/routes/(protected)/profile/+page.svelte</x:v>
      </x:c>
      <x:c r="E64" s="20" t="str">
        <x:v>Property Manager</x:v>
      </x:c>
      <x:c r="F64" s="35" t="str">
        <x:v>Leasing Agent; Maintenance Technician</x:v>
      </x:c>
      <x:c r="G64" s="23" t="n">
        <x:v>46510</x:v>
      </x:c>
      <x:c r="H64" s="35" t="str">
        <x:v>Open through normal navigation; use every visible action; save; reload; verify persisted values and linked history.</x:v>
      </x:c>
      <x:c r="I64" s="35" t="str">
        <x:v>Attempt with one adjacent unauthorized persona; fail closed without data disclosure or mutation.</x:v>
      </x:c>
      <x:c r="J64" s="35" t="str">
        <x:v>Desktop browser + phone viewport</x:v>
      </x:c>
    </x:row>
    <x:row r="65">
      <x:c r="A65" s="20" t="str">
        <x:v>SCR-062</x:v>
      </x:c>
      <x:c r="B65" s="20" t="str">
        <x:v>Web</x:v>
      </x:c>
      <x:c r="C65" s="35" t="str">
        <x:v>/properties</x:v>
      </x:c>
      <x:c r="D65" s="35" t="str">
        <x:v>web/src/routes/(protected)/properties/+page.svelte</x:v>
      </x:c>
      <x:c r="E65" s="20" t="str">
        <x:v>Property Manager</x:v>
      </x:c>
      <x:c r="F65" s="35" t="str">
        <x:v>Workspace Administrator; Property Manager</x:v>
      </x:c>
      <x:c r="G65" s="23" t="n">
        <x:v>46511</x:v>
      </x:c>
      <x:c r="H65" s="35" t="str">
        <x:v>Open through normal navigation; use every visible action; save; reload; verify persisted values and linked history.</x:v>
      </x:c>
      <x:c r="I65" s="35" t="str">
        <x:v>Attempt with one adjacent unauthorized persona; fail closed without data disclosure or mutation.</x:v>
      </x:c>
      <x:c r="J65" s="35" t="str">
        <x:v>Desktop browser + phone viewport</x:v>
      </x:c>
    </x:row>
    <x:row r="66">
      <x:c r="A66" s="20" t="str">
        <x:v>SCR-063</x:v>
      </x:c>
      <x:c r="B66" s="20" t="str">
        <x:v>Web</x:v>
      </x:c>
      <x:c r="C66" s="35" t="str">
        <x:v>/properties/[id]</x:v>
      </x:c>
      <x:c r="D66" s="35" t="str">
        <x:v>web/src/routes/(protected)/properties/[id]/+page.svelte</x:v>
      </x:c>
      <x:c r="E66" s="20" t="str">
        <x:v>Property Manager</x:v>
      </x:c>
      <x:c r="F66" s="35" t="str">
        <x:v>Workspace Administrator; Property Manager</x:v>
      </x:c>
      <x:c r="G66" s="23" t="n">
        <x:v>46513</x:v>
      </x:c>
      <x:c r="H66" s="35" t="str">
        <x:v>Open through normal navigation; use every visible action; save; reload; verify persisted values and linked history.</x:v>
      </x:c>
      <x:c r="I66" s="35" t="str">
        <x:v>Attempt with one adjacent unauthorized persona; fail closed without data disclosure or mutation.</x:v>
      </x:c>
      <x:c r="J66" s="35" t="str">
        <x:v>Desktop browser + phone viewport</x:v>
      </x:c>
    </x:row>
    <x:row r="67">
      <x:c r="A67" s="20" t="str">
        <x:v>SCR-064</x:v>
      </x:c>
      <x:c r="B67" s="20" t="str">
        <x:v>Web</x:v>
      </x:c>
      <x:c r="C67" s="35" t="str">
        <x:v>/reports</x:v>
      </x:c>
      <x:c r="D67" s="35" t="str">
        <x:v>web/src/routes/(protected)/reports/+page.svelte</x:v>
      </x:c>
      <x:c r="E67" s="20" t="str">
        <x:v>Property Manager</x:v>
      </x:c>
      <x:c r="F67" s="35" t="str">
        <x:v>Workspace Administrator; Property Manager</x:v>
      </x:c>
      <x:c r="G67" s="23" t="n">
        <x:v>46514</x:v>
      </x:c>
      <x:c r="H67" s="35" t="str">
        <x:v>Open through normal navigation; use every visible action; save; reload; verify persisted values and linked history.</x:v>
      </x:c>
      <x:c r="I67" s="35" t="str">
        <x:v>Attempt with one adjacent unauthorized persona; fail closed without data disclosure or mutation.</x:v>
      </x:c>
      <x:c r="J67" s="35" t="str">
        <x:v>Desktop browser + phone viewport</x:v>
      </x:c>
    </x:row>
    <x:row r="68">
      <x:c r="A68" s="20" t="str">
        <x:v>SCR-065</x:v>
      </x:c>
      <x:c r="B68" s="20" t="str">
        <x:v>Web</x:v>
      </x:c>
      <x:c r="C68" s="35" t="str">
        <x:v>/reports/[report]</x:v>
      </x:c>
      <x:c r="D68" s="35" t="str">
        <x:v>web/src/routes/(protected)/reports/[report]/+page.svelte</x:v>
      </x:c>
      <x:c r="E68" s="20" t="str">
        <x:v>Property Manager</x:v>
      </x:c>
      <x:c r="F68" s="35" t="str">
        <x:v>Workspace Administrator; Property Manager</x:v>
      </x:c>
      <x:c r="G68" s="23" t="n">
        <x:v>46517</x:v>
      </x:c>
      <x:c r="H68" s="35" t="str">
        <x:v>Open through normal navigation; use every visible action; save; reload; verify persisted values and linked history.</x:v>
      </x:c>
      <x:c r="I68" s="35" t="str">
        <x:v>Attempt with one adjacent unauthorized persona; fail closed without data disclosure or mutation.</x:v>
      </x:c>
      <x:c r="J68" s="35" t="str">
        <x:v>Desktop browser + phone viewport</x:v>
      </x:c>
    </x:row>
    <x:row r="69">
      <x:c r="A69" s="20" t="str">
        <x:v>SCR-066</x:v>
      </x:c>
      <x:c r="B69" s="20" t="str">
        <x:v>Web</x:v>
      </x:c>
      <x:c r="C69" s="35" t="str">
        <x:v>/scan</x:v>
      </x:c>
      <x:c r="D69" s="35" t="str">
        <x:v>web/src/routes/(protected)/scan/+page.svelte</x:v>
      </x:c>
      <x:c r="E69" s="20" t="str">
        <x:v>Property Manager</x:v>
      </x:c>
      <x:c r="F69" s="35" t="str">
        <x:v>Workspace Administrator; Property Manager; Leasing Agent; Maintenance Technician</x:v>
      </x:c>
      <x:c r="G69" s="23" t="n">
        <x:v>46518</x:v>
      </x:c>
      <x:c r="H69" s="35" t="str">
        <x:v>Open through normal navigation; use every visible action; save; reload; verify persisted values and linked history.</x:v>
      </x:c>
      <x:c r="I69" s="35" t="str">
        <x:v>Attempt with one adjacent unauthorized persona; fail closed without data disclosure or mutation.</x:v>
      </x:c>
      <x:c r="J69" s="35" t="str">
        <x:v>Desktop browser + phone viewport</x:v>
      </x:c>
    </x:row>
    <x:row r="70">
      <x:c r="A70" s="20" t="str">
        <x:v>SCR-067</x:v>
      </x:c>
      <x:c r="B70" s="20" t="str">
        <x:v>Web</x:v>
      </x:c>
      <x:c r="C70" s="35" t="str">
        <x:v>/scan/[draftId]</x:v>
      </x:c>
      <x:c r="D70" s="35" t="str">
        <x:v>web/src/routes/(protected)/scan/[draftId]/+page.svelte</x:v>
      </x:c>
      <x:c r="E70" s="20" t="str">
        <x:v>Property Manager</x:v>
      </x:c>
      <x:c r="F70" s="35" t="str">
        <x:v>Workspace Administrator; Property Manager; Leasing Agent; Maintenance Technician</x:v>
      </x:c>
      <x:c r="G70" s="23" t="n">
        <x:v>46520</x:v>
      </x:c>
      <x:c r="H70" s="35" t="str">
        <x:v>Open through normal navigation; use every visible action; save; reload; verify persisted values and linked history.</x:v>
      </x:c>
      <x:c r="I70" s="35" t="str">
        <x:v>Attempt with one adjacent unauthorized persona; fail closed without data disclosure or mutation.</x:v>
      </x:c>
      <x:c r="J70" s="35" t="str">
        <x:v>Desktop browser + phone viewport</x:v>
      </x:c>
    </x:row>
    <x:row r="71">
      <x:c r="A71" s="20" t="str">
        <x:v>SCR-068</x:v>
      </x:c>
      <x:c r="B71" s="20" t="str">
        <x:v>Web</x:v>
      </x:c>
      <x:c r="C71" s="35" t="str">
        <x:v>/scan/batch</x:v>
      </x:c>
      <x:c r="D71" s="35" t="str">
        <x:v>web/src/routes/(protected)/scan/batch/+page.svelte</x:v>
      </x:c>
      <x:c r="E71" s="20" t="str">
        <x:v>Property Manager</x:v>
      </x:c>
      <x:c r="F71" s="35" t="str">
        <x:v>Workspace Administrator; Property Manager; Leasing Agent; Maintenance Technician</x:v>
      </x:c>
      <x:c r="G71" s="23" t="n">
        <x:v>46521</x:v>
      </x:c>
      <x:c r="H71" s="35" t="str">
        <x:v>Open through normal navigation; use every visible action; save; reload; verify persisted values and linked history.</x:v>
      </x:c>
      <x:c r="I71" s="35" t="str">
        <x:v>Attempt with one adjacent unauthorized persona; fail closed without data disclosure or mutation.</x:v>
      </x:c>
      <x:c r="J71" s="35" t="str">
        <x:v>Desktop browser + phone viewport</x:v>
      </x:c>
    </x:row>
    <x:row r="72">
      <x:c r="A72" s="20" t="str">
        <x:v>SCR-069</x:v>
      </x:c>
      <x:c r="B72" s="20" t="str">
        <x:v>Web</x:v>
      </x:c>
      <x:c r="C72" s="35" t="str">
        <x:v>/scan/batch/[id]</x:v>
      </x:c>
      <x:c r="D72" s="35" t="str">
        <x:v>web/src/routes/(protected)/scan/batch/[id]/+page.svelte</x:v>
      </x:c>
      <x:c r="E72" s="20" t="str">
        <x:v>Property Manager</x:v>
      </x:c>
      <x:c r="F72" s="35" t="str">
        <x:v>Workspace Administrator; Property Manager; Leasing Agent; Maintenance Technician</x:v>
      </x:c>
      <x:c r="G72" s="23" t="n">
        <x:v>46524</x:v>
      </x:c>
      <x:c r="H72" s="35" t="str">
        <x:v>Open through normal navigation; use every visible action; save; reload; verify persisted values and linked history.</x:v>
      </x:c>
      <x:c r="I72" s="35" t="str">
        <x:v>Attempt with one adjacent unauthorized persona; fail closed without data disclosure or mutation.</x:v>
      </x:c>
      <x:c r="J72" s="35" t="str">
        <x:v>Desktop browser + phone viewport</x:v>
      </x:c>
    </x:row>
    <x:row r="73">
      <x:c r="A73" s="20" t="str">
        <x:v>SCR-070</x:v>
      </x:c>
      <x:c r="B73" s="20" t="str">
        <x:v>Web</x:v>
      </x:c>
      <x:c r="C73" s="35" t="str">
        <x:v>/scan/new-rental</x:v>
      </x:c>
      <x:c r="D73" s="35" t="str">
        <x:v>web/src/routes/(protected)/scan/new-rental/+page.svelte</x:v>
      </x:c>
      <x:c r="E73" s="20" t="str">
        <x:v>Property Manager</x:v>
      </x:c>
      <x:c r="F73" s="35" t="str">
        <x:v>Workspace Administrator; Property Manager; Leasing Agent; Maintenance Technician</x:v>
      </x:c>
      <x:c r="G73" s="23" t="n">
        <x:v>46525</x:v>
      </x:c>
      <x:c r="H73" s="35" t="str">
        <x:v>Open through normal navigation; use every visible action; save; reload; verify persisted values and linked history.</x:v>
      </x:c>
      <x:c r="I73" s="35" t="str">
        <x:v>Attempt with one adjacent unauthorized persona; fail closed without data disclosure or mutation.</x:v>
      </x:c>
      <x:c r="J73" s="35" t="str">
        <x:v>Desktop browser + phone viewport</x:v>
      </x:c>
    </x:row>
    <x:row r="74">
      <x:c r="A74" s="20" t="str">
        <x:v>SCR-071</x:v>
      </x:c>
      <x:c r="B74" s="20" t="str">
        <x:v>Web</x:v>
      </x:c>
      <x:c r="C74" s="35" t="str">
        <x:v>/settings</x:v>
      </x:c>
      <x:c r="D74" s="35" t="str">
        <x:v>web/src/routes/(protected)/settings/+page.svelte</x:v>
      </x:c>
      <x:c r="E74" s="20" t="str">
        <x:v>Workspace Administrator</x:v>
      </x:c>
      <x:c r="F74" s="35" t="str">
        <x:v>Workspace Administrator</x:v>
      </x:c>
      <x:c r="G74" s="23" t="n">
        <x:v>46527</x:v>
      </x:c>
      <x:c r="H74" s="35" t="str">
        <x:v>Open through normal navigation; use every visible action; save; reload; verify persisted values and linked history.</x:v>
      </x:c>
      <x:c r="I74" s="35" t="str">
        <x:v>Attempt with one adjacent unauthorized persona; fail closed without data disclosure or mutation.</x:v>
      </x:c>
      <x:c r="J74" s="35" t="str">
        <x:v>Desktop browser + phone viewport</x:v>
      </x:c>
    </x:row>
    <x:row r="75">
      <x:c r="A75" s="20" t="str">
        <x:v>SCR-072</x:v>
      </x:c>
      <x:c r="B75" s="20" t="str">
        <x:v>Web</x:v>
      </x:c>
      <x:c r="C75" s="35" t="str">
        <x:v>/settings/accounting</x:v>
      </x:c>
      <x:c r="D75" s="35" t="str">
        <x:v>web/src/routes/(protected)/settings/accounting/+page.svelte</x:v>
      </x:c>
      <x:c r="E75" s="20" t="str">
        <x:v>Workspace Administrator</x:v>
      </x:c>
      <x:c r="F75" s="35" t="str">
        <x:v>Workspace Administrator</x:v>
      </x:c>
      <x:c r="G75" s="23" t="n">
        <x:v>46528</x:v>
      </x:c>
      <x:c r="H75" s="35" t="str">
        <x:v>Open through normal navigation; use every visible action; save; reload; verify persisted values and linked history.</x:v>
      </x:c>
      <x:c r="I75" s="35" t="str">
        <x:v>Attempt with one adjacent unauthorized persona; fail closed without data disclosure or mutation.</x:v>
      </x:c>
      <x:c r="J75" s="35" t="str">
        <x:v>Desktop browser + phone viewport</x:v>
      </x:c>
    </x:row>
    <x:row r="76">
      <x:c r="A76" s="20" t="str">
        <x:v>SCR-073</x:v>
      </x:c>
      <x:c r="B76" s="20" t="str">
        <x:v>Web</x:v>
      </x:c>
      <x:c r="C76" s="35" t="str">
        <x:v>/settings/integrations/ai</x:v>
      </x:c>
      <x:c r="D76" s="35" t="str">
        <x:v>web/src/routes/(protected)/settings/integrations/ai/+page.svelte</x:v>
      </x:c>
      <x:c r="E76" s="20" t="str">
        <x:v>Workspace Administrator</x:v>
      </x:c>
      <x:c r="F76" s="35" t="str">
        <x:v>Workspace Administrator</x:v>
      </x:c>
      <x:c r="G76" s="23" t="n">
        <x:v>46531</x:v>
      </x:c>
      <x:c r="H76" s="35" t="str">
        <x:v>Open through normal navigation; use every visible action; save; reload; verify persisted values and linked history.</x:v>
      </x:c>
      <x:c r="I76" s="35" t="str">
        <x:v>Attempt with one adjacent unauthorized persona; fail closed without data disclosure or mutation.</x:v>
      </x:c>
      <x:c r="J76" s="35" t="str">
        <x:v>Desktop browser + phone viewport</x:v>
      </x:c>
    </x:row>
    <x:row r="77">
      <x:c r="A77" s="20" t="str">
        <x:v>SCR-074</x:v>
      </x:c>
      <x:c r="B77" s="20" t="str">
        <x:v>Web</x:v>
      </x:c>
      <x:c r="C77" s="35" t="str">
        <x:v>/settings/notifications/my-alerts</x:v>
      </x:c>
      <x:c r="D77" s="35" t="str">
        <x:v>web/src/routes/(protected)/settings/notifications/my-alerts/+page.svelte</x:v>
      </x:c>
      <x:c r="E77" s="20" t="str">
        <x:v>Workspace Administrator</x:v>
      </x:c>
      <x:c r="F77" s="35" t="str">
        <x:v>Workspace Administrator; Property Manager; Leasing Agent; Maintenance Technician; Owner; Tenant</x:v>
      </x:c>
      <x:c r="G77" s="23" t="n">
        <x:v>46532</x:v>
      </x:c>
      <x:c r="H77" s="35" t="str">
        <x:v>Open through normal navigation; use every visible action; save; reload; verify persisted values and linked history.</x:v>
      </x:c>
      <x:c r="I77" s="35" t="str">
        <x:v>Attempt with one adjacent unauthorized persona; fail closed without data disclosure or mutation.</x:v>
      </x:c>
      <x:c r="J77" s="35" t="str">
        <x:v>Desktop browser + phone viewport</x:v>
      </x:c>
    </x:row>
    <x:row r="78">
      <x:c r="A78" s="20" t="str">
        <x:v>SCR-075</x:v>
      </x:c>
      <x:c r="B78" s="20" t="str">
        <x:v>Web</x:v>
      </x:c>
      <x:c r="C78" s="35" t="str">
        <x:v>/settings/notifications/team-routing</x:v>
      </x:c>
      <x:c r="D78" s="35" t="str">
        <x:v>web/src/routes/(protected)/settings/notifications/team-routing/+page.svelte</x:v>
      </x:c>
      <x:c r="E78" s="20" t="str">
        <x:v>Workspace Administrator</x:v>
      </x:c>
      <x:c r="F78" s="35" t="str">
        <x:v>Workspace Administrator</x:v>
      </x:c>
      <x:c r="G78" s="23" t="n">
        <x:v>46534</x:v>
      </x:c>
      <x:c r="H78" s="35" t="str">
        <x:v>Open through normal navigation; use every visible action; save; reload; verify persisted values and linked history.</x:v>
      </x:c>
      <x:c r="I78" s="35" t="str">
        <x:v>Attempt with one adjacent unauthorized persona; fail closed without data disclosure or mutation.</x:v>
      </x:c>
      <x:c r="J78" s="35" t="str">
        <x:v>Desktop browser + phone viewport</x:v>
      </x:c>
    </x:row>
    <x:row r="79">
      <x:c r="A79" s="20" t="str">
        <x:v>SCR-076</x:v>
      </x:c>
      <x:c r="B79" s="20" t="str">
        <x:v>Web</x:v>
      </x:c>
      <x:c r="C79" s="35" t="str">
        <x:v>/settings/notifications/tenant-notices</x:v>
      </x:c>
      <x:c r="D79" s="35" t="str">
        <x:v>web/src/routes/(protected)/settings/notifications/tenant-notices/+page.svelte</x:v>
      </x:c>
      <x:c r="E79" s="20" t="str">
        <x:v>Workspace Administrator</x:v>
      </x:c>
      <x:c r="F79" s="35" t="str">
        <x:v>Workspace Administrator</x:v>
      </x:c>
      <x:c r="G79" s="23" t="n">
        <x:v>46535</x:v>
      </x:c>
      <x:c r="H79" s="35" t="str">
        <x:v>Open through normal navigation; use every visible action; save; reload; verify persisted values and linked history.</x:v>
      </x:c>
      <x:c r="I79" s="35" t="str">
        <x:v>Attempt with one adjacent unauthorized persona; fail closed without data disclosure or mutation.</x:v>
      </x:c>
      <x:c r="J79" s="35" t="str">
        <x:v>Desktop browser + phone viewport</x:v>
      </x:c>
    </x:row>
    <x:row r="80">
      <x:c r="A80" s="20" t="str">
        <x:v>SCR-077</x:v>
      </x:c>
      <x:c r="B80" s="20" t="str">
        <x:v>Web</x:v>
      </x:c>
      <x:c r="C80" s="35" t="str">
        <x:v>/settings/security</x:v>
      </x:c>
      <x:c r="D80" s="35" t="str">
        <x:v>web/src/routes/(protected)/settings/security/+page.svelte</x:v>
      </x:c>
      <x:c r="E80" s="20" t="str">
        <x:v>Workspace Administrator</x:v>
      </x:c>
      <x:c r="F80" s="35" t="str">
        <x:v>Workspace Administrator; Property Manager; Leasing Agent; Maintenance Technician</x:v>
      </x:c>
      <x:c r="G80" s="23" t="n">
        <x:v>46538</x:v>
      </x:c>
      <x:c r="H80" s="35" t="str">
        <x:v>Open through normal navigation; use every visible action; save; reload; verify persisted values and linked history.</x:v>
      </x:c>
      <x:c r="I80" s="35" t="str">
        <x:v>Attempt with one adjacent unauthorized persona; fail closed without data disclosure or mutation.</x:v>
      </x:c>
      <x:c r="J80" s="35" t="str">
        <x:v>Desktop browser + phone viewport</x:v>
      </x:c>
    </x:row>
    <x:row r="81">
      <x:c r="A81" s="20" t="str">
        <x:v>SCR-078</x:v>
      </x:c>
      <x:c r="B81" s="20" t="str">
        <x:v>Web</x:v>
      </x:c>
      <x:c r="C81" s="35" t="str">
        <x:v>/tax</x:v>
      </x:c>
      <x:c r="D81" s="35" t="str">
        <x:v>web/src/routes/(protected)/tax/+page.svelte</x:v>
      </x:c>
      <x:c r="E81" s="20" t="str">
        <x:v>Property Manager</x:v>
      </x:c>
      <x:c r="F81" s="35" t="str">
        <x:v>Workspace Administrator; Property Manager</x:v>
      </x:c>
      <x:c r="G81" s="23" t="n">
        <x:v>46539</x:v>
      </x:c>
      <x:c r="H81" s="35" t="str">
        <x:v>Open through normal navigation; use every visible action; save; reload; verify persisted values and linked history.</x:v>
      </x:c>
      <x:c r="I81" s="35" t="str">
        <x:v>Attempt with one adjacent unauthorized persona; fail closed without data disclosure or mutation.</x:v>
      </x:c>
      <x:c r="J81" s="35" t="str">
        <x:v>Desktop browser + phone viewport</x:v>
      </x:c>
    </x:row>
    <x:row r="82">
      <x:c r="A82" s="20" t="str">
        <x:v>SCR-079</x:v>
      </x:c>
      <x:c r="B82" s="20" t="str">
        <x:v>Web</x:v>
      </x:c>
      <x:c r="C82" s="35" t="str">
        <x:v>/tenant-accounts/[tenantAccountId]/entries/[tenantLedgerEntryId]</x:v>
      </x:c>
      <x:c r="D82" s="35" t="str">
        <x:v>web/src/routes/(protected)/tenant-accounts/[tenantAccountId]/entries/[tenantLedgerEntryId]/+page.svelte</x:v>
      </x:c>
      <x:c r="E82" s="20" t="str">
        <x:v>Property Manager</x:v>
      </x:c>
      <x:c r="F82" s="35" t="str">
        <x:v>Workspace Administrator; Property Manager</x:v>
      </x:c>
      <x:c r="G82" s="23" t="n">
        <x:v>46541</x:v>
      </x:c>
      <x:c r="H82" s="35" t="str">
        <x:v>Open through normal navigation; use every visible action; save; reload; verify persisted values and linked history.</x:v>
      </x:c>
      <x:c r="I82" s="35" t="str">
        <x:v>Attempt with one adjacent unauthorized persona; fail closed without data disclosure or mutation.</x:v>
      </x:c>
      <x:c r="J82" s="35" t="str">
        <x:v>Desktop browser + phone viewport</x:v>
      </x:c>
    </x:row>
    <x:row r="83">
      <x:c r="A83" s="20" t="str">
        <x:v>SCR-080</x:v>
      </x:c>
      <x:c r="B83" s="20" t="str">
        <x:v>Web</x:v>
      </x:c>
      <x:c r="C83" s="35" t="str">
        <x:v>/tenants</x:v>
      </x:c>
      <x:c r="D83" s="35" t="str">
        <x:v>web/src/routes/(protected)/tenants/+page.svelte</x:v>
      </x:c>
      <x:c r="E83" s="20" t="str">
        <x:v>Property Manager</x:v>
      </x:c>
      <x:c r="F83" s="35" t="str">
        <x:v>Workspace Administrator; Property Manager</x:v>
      </x:c>
      <x:c r="G83" s="23" t="n">
        <x:v>46542</x:v>
      </x:c>
      <x:c r="H83" s="35" t="str">
        <x:v>Open through normal navigation; use every visible action; save; reload; verify persisted values and linked history.</x:v>
      </x:c>
      <x:c r="I83" s="35" t="str">
        <x:v>Attempt with one adjacent unauthorized persona; fail closed without data disclosure or mutation.</x:v>
      </x:c>
      <x:c r="J83" s="35" t="str">
        <x:v>Desktop browser + phone viewport</x:v>
      </x:c>
    </x:row>
    <x:row r="84">
      <x:c r="A84" s="20" t="str">
        <x:v>SCR-081</x:v>
      </x:c>
      <x:c r="B84" s="20" t="str">
        <x:v>Web</x:v>
      </x:c>
      <x:c r="C84" s="35" t="str">
        <x:v>/tenants/[id]</x:v>
      </x:c>
      <x:c r="D84" s="35" t="str">
        <x:v>web/src/routes/(protected)/tenants/[id]/+page.svelte</x:v>
      </x:c>
      <x:c r="E84" s="20" t="str">
        <x:v>Property Manager</x:v>
      </x:c>
      <x:c r="F84" s="35" t="str">
        <x:v>Workspace Administrator; Property Manager</x:v>
      </x:c>
      <x:c r="G84" s="23" t="n">
        <x:v>46545</x:v>
      </x:c>
      <x:c r="H84" s="35" t="str">
        <x:v>Open through normal navigation; use every visible action; save; reload; verify persisted values and linked history.</x:v>
      </x:c>
      <x:c r="I84" s="35" t="str">
        <x:v>Attempt with one adjacent unauthorized persona; fail closed without data disclosure or mutation.</x:v>
      </x:c>
      <x:c r="J84" s="35" t="str">
        <x:v>Desktop browser + phone viewport</x:v>
      </x:c>
    </x:row>
    <x:row r="85">
      <x:c r="A85" s="20" t="str">
        <x:v>SCR-082</x:v>
      </x:c>
      <x:c r="B85" s="20" t="str">
        <x:v>Web</x:v>
      </x:c>
      <x:c r="C85" s="35" t="str">
        <x:v>/units</x:v>
      </x:c>
      <x:c r="D85" s="35" t="str">
        <x:v>web/src/routes/(protected)/units/+page.svelte</x:v>
      </x:c>
      <x:c r="E85" s="20" t="str">
        <x:v>Property Manager</x:v>
      </x:c>
      <x:c r="F85" s="35" t="str">
        <x:v>Workspace Administrator; Property Manager</x:v>
      </x:c>
      <x:c r="G85" s="23" t="n">
        <x:v>46546</x:v>
      </x:c>
      <x:c r="H85" s="35" t="str">
        <x:v>Open through normal navigation; use every visible action; save; reload; verify persisted values and linked history.</x:v>
      </x:c>
      <x:c r="I85" s="35" t="str">
        <x:v>Attempt with one adjacent unauthorized persona; fail closed without data disclosure or mutation.</x:v>
      </x:c>
      <x:c r="J85" s="35" t="str">
        <x:v>Desktop browser + phone viewport</x:v>
      </x:c>
    </x:row>
    <x:row r="86">
      <x:c r="A86" s="20" t="str">
        <x:v>SCR-083</x:v>
      </x:c>
      <x:c r="B86" s="20" t="str">
        <x:v>Web</x:v>
      </x:c>
      <x:c r="C86" s="35" t="str">
        <x:v>/units/[id]</x:v>
      </x:c>
      <x:c r="D86" s="35" t="str">
        <x:v>web/src/routes/(protected)/units/[id]/+page.svelte</x:v>
      </x:c>
      <x:c r="E86" s="20" t="str">
        <x:v>Property Manager</x:v>
      </x:c>
      <x:c r="F86" s="35" t="str">
        <x:v>Workspace Administrator; Property Manager</x:v>
      </x:c>
      <x:c r="G86" s="23" t="n">
        <x:v>46548</x:v>
      </x:c>
      <x:c r="H86" s="35" t="str">
        <x:v>Open through normal navigation; use every visible action; save; reload; verify persisted values and linked history.</x:v>
      </x:c>
      <x:c r="I86" s="35" t="str">
        <x:v>Attempt with one adjacent unauthorized persona; fail closed without data disclosure or mutation.</x:v>
      </x:c>
      <x:c r="J86" s="35" t="str">
        <x:v>Desktop browser + phone viewport</x:v>
      </x:c>
    </x:row>
    <x:row r="87">
      <x:c r="A87" s="20" t="str">
        <x:v>SCR-084</x:v>
      </x:c>
      <x:c r="B87" s="20" t="str">
        <x:v>Web</x:v>
      </x:c>
      <x:c r="C87" s="35" t="str">
        <x:v>/vendors</x:v>
      </x:c>
      <x:c r="D87" s="35" t="str">
        <x:v>web/src/routes/(protected)/vendors/+page.svelte</x:v>
      </x:c>
      <x:c r="E87" s="20" t="str">
        <x:v>Property Manager</x:v>
      </x:c>
      <x:c r="F87" s="35" t="str">
        <x:v>Workspace Administrator; Property Manager</x:v>
      </x:c>
      <x:c r="G87" s="23" t="n">
        <x:v>46549</x:v>
      </x:c>
      <x:c r="H87" s="35" t="str">
        <x:v>Open through normal navigation; use every visible action; save; reload; verify persisted values and linked history.</x:v>
      </x:c>
      <x:c r="I87" s="35" t="str">
        <x:v>Attempt with one adjacent unauthorized persona; fail closed without data disclosure or mutation.</x:v>
      </x:c>
      <x:c r="J87" s="35" t="str">
        <x:v>Desktop browser + phone viewport</x:v>
      </x:c>
    </x:row>
    <x:row r="88">
      <x:c r="A88" s="20" t="str">
        <x:v>SCR-085</x:v>
      </x:c>
      <x:c r="B88" s="20" t="str">
        <x:v>Web</x:v>
      </x:c>
      <x:c r="C88" s="35" t="str">
        <x:v>/vendors/[id]</x:v>
      </x:c>
      <x:c r="D88" s="35" t="str">
        <x:v>web/src/routes/(protected)/vendors/[id]/+page.svelte</x:v>
      </x:c>
      <x:c r="E88" s="20" t="str">
        <x:v>Property Manager</x:v>
      </x:c>
      <x:c r="F88" s="35" t="str">
        <x:v>Workspace Administrator; Property Manager</x:v>
      </x:c>
      <x:c r="G88" s="23" t="n">
        <x:v>46552</x:v>
      </x:c>
      <x:c r="H88" s="35" t="str">
        <x:v>Open through normal navigation; use every visible action; save; reload; verify persisted values and linked history.</x:v>
      </x:c>
      <x:c r="I88" s="35" t="str">
        <x:v>Attempt with one adjacent unauthorized persona; fail closed without data disclosure or mutation.</x:v>
      </x:c>
      <x:c r="J88" s="35" t="str">
        <x:v>Desktop browser + phone viewport</x:v>
      </x:c>
    </x:row>
    <x:row r="89">
      <x:c r="A89" s="20" t="str">
        <x:v>SCR-086</x:v>
      </x:c>
      <x:c r="B89" s="20" t="str">
        <x:v>Web</x:v>
      </x:c>
      <x:c r="C89" s="35" t="str">
        <x:v>/docs</x:v>
      </x:c>
      <x:c r="D89" s="35" t="str">
        <x:v>web/src/routes/(public)/docs/+page.svelte</x:v>
      </x:c>
      <x:c r="E89" s="20" t="str">
        <x:v>Applicant / public user</x:v>
      </x:c>
      <x:c r="F89" s="35" t="str">
        <x:v>Workspace Administrator; Property Manager; Leasing Agent; Maintenance Technician; Owner; Tenant; Applicant / public user</x:v>
      </x:c>
      <x:c r="G89" s="23" t="n">
        <x:v>46553</x:v>
      </x:c>
      <x:c r="H89" s="35" t="str">
        <x:v>Open through normal navigation; use every visible action; save; reload; verify persisted values and linked history.</x:v>
      </x:c>
      <x:c r="I89" s="35" t="str">
        <x:v>Attempt with one adjacent unauthorized persona; fail closed without data disclosure or mutation.</x:v>
      </x:c>
      <x:c r="J89" s="35" t="str">
        <x:v>Desktop browser + phone viewport</x:v>
      </x:c>
    </x:row>
    <x:row r="90">
      <x:c r="A90" s="20" t="str">
        <x:v>SCR-087</x:v>
      </x:c>
      <x:c r="B90" s="20" t="str">
        <x:v>Web</x:v>
      </x:c>
      <x:c r="C90" s="35" t="str">
        <x:v>/docs/[slug]</x:v>
      </x:c>
      <x:c r="D90" s="35" t="str">
        <x:v>web/src/routes/(public)/docs/[slug]/+page.svelte</x:v>
      </x:c>
      <x:c r="E90" s="20" t="str">
        <x:v>Applicant / public user</x:v>
      </x:c>
      <x:c r="F90" s="35" t="str">
        <x:v>Workspace Administrator; Property Manager; Leasing Agent; Maintenance Technician; Owner; Tenant; Applicant / public user</x:v>
      </x:c>
      <x:c r="G90" s="23" t="n">
        <x:v>46555</x:v>
      </x:c>
      <x:c r="H90" s="35" t="str">
        <x:v>Open through normal navigation; use every visible action; save; reload; verify persisted values and linked history.</x:v>
      </x:c>
      <x:c r="I90" s="35" t="str">
        <x:v>Attempt with one adjacent unauthorized persona; fail closed without data disclosure or mutation.</x:v>
      </x:c>
      <x:c r="J90" s="35" t="str">
        <x:v>Desktop browser + phone viewport</x:v>
      </x:c>
    </x:row>
    <x:row r="91">
      <x:c r="A91" s="20" t="str">
        <x:v>SCR-088</x:v>
      </x:c>
      <x:c r="B91" s="20" t="str">
        <x:v>Web</x:v>
      </x:c>
      <x:c r="C91" s="35" t="str">
        <x:v>/privacy</x:v>
      </x:c>
      <x:c r="D91" s="35" t="str">
        <x:v>web/src/routes/(public)/privacy/+page.svelte</x:v>
      </x:c>
      <x:c r="E91" s="20" t="str">
        <x:v>Applicant / public user</x:v>
      </x:c>
      <x:c r="F91" s="35" t="str">
        <x:v>Applicant / public user</x:v>
      </x:c>
      <x:c r="G91" s="23" t="n">
        <x:v>46556</x:v>
      </x:c>
      <x:c r="H91" s="35" t="str">
        <x:v>Open through normal navigation; use every visible action; save; reload; verify persisted values and linked history.</x:v>
      </x:c>
      <x:c r="I91" s="35" t="str">
        <x:v>Attempt with one adjacent unauthorized persona; fail closed without data disclosure or mutation.</x:v>
      </x:c>
      <x:c r="J91" s="35" t="str">
        <x:v>Desktop browser + phone viewport</x:v>
      </x:c>
    </x:row>
    <x:row r="92">
      <x:c r="A92" s="20" t="str">
        <x:v>SCR-089</x:v>
      </x:c>
      <x:c r="B92" s="20" t="str">
        <x:v>Web</x:v>
      </x:c>
      <x:c r="C92" s="35" t="str">
        <x:v>/sign/[token]</x:v>
      </x:c>
      <x:c r="D92" s="35" t="str">
        <x:v>web/src/routes/(public)/sign/[token]/+page.svelte</x:v>
      </x:c>
      <x:c r="E92" s="20" t="str">
        <x:v>Applicant / public user</x:v>
      </x:c>
      <x:c r="F92" s="35" t="str">
        <x:v>Applicant / public user</x:v>
      </x:c>
      <x:c r="G92" s="23" t="n">
        <x:v>46559</x:v>
      </x:c>
      <x:c r="H92" s="35" t="str">
        <x:v>Open through normal navigation; use every visible action; save; reload; verify persisted values and linked history.</x:v>
      </x:c>
      <x:c r="I92" s="35" t="str">
        <x:v>Attempt with one adjacent unauthorized persona; fail closed without data disclosure or mutation.</x:v>
      </x:c>
      <x:c r="J92" s="35" t="str">
        <x:v>Desktop browser + phone viewport</x:v>
      </x:c>
    </x:row>
    <x:row r="93">
      <x:c r="A93" s="20" t="str">
        <x:v>SCR-090</x:v>
      </x:c>
      <x:c r="B93" s="20" t="str">
        <x:v>Web</x:v>
      </x:c>
      <x:c r="C93" s="35" t="str">
        <x:v>/superadmin/engine</x:v>
      </x:c>
      <x:c r="D93" s="35" t="str">
        <x:v>web/src/routes/(superadmin)/superadmin/engine/+page.svelte</x:v>
      </x:c>
      <x:c r="E93" s="20" t="str">
        <x:v>Superadmin</x:v>
      </x:c>
      <x:c r="F93" s="35" t="str">
        <x:v>Superadmin</x:v>
      </x:c>
      <x:c r="G93" s="23" t="n">
        <x:v>46560</x:v>
      </x:c>
      <x:c r="H93" s="35" t="str">
        <x:v>Open through normal navigation; use every visible action; save; reload; verify persisted values and linked history.</x:v>
      </x:c>
      <x:c r="I93" s="35" t="str">
        <x:v>Attempt with one adjacent unauthorized persona; fail closed without data disclosure or mutation.</x:v>
      </x:c>
      <x:c r="J93" s="35" t="str">
        <x:v>Desktop browser + phone viewport</x:v>
      </x:c>
    </x:row>
    <x:row r="94">
      <x:c r="A94" s="20" t="str">
        <x:v>SCR-091</x:v>
      </x:c>
      <x:c r="B94" s="20" t="str">
        <x:v>Web</x:v>
      </x:c>
      <x:c r="C94" s="35" t="str">
        <x:v>/activate-team</x:v>
      </x:c>
      <x:c r="D94" s="35" t="str">
        <x:v>web/src/routes/activate-team/+page.svelte</x:v>
      </x:c>
      <x:c r="E94" s="20" t="str">
        <x:v>Property Manager</x:v>
      </x:c>
      <x:c r="F94" s="35" t="str">
        <x:v>Workspace Administrator; Property Manager</x:v>
      </x:c>
      <x:c r="G94" s="23" t="n">
        <x:v>46562</x:v>
      </x:c>
      <x:c r="H94" s="35" t="str">
        <x:v>Open through normal navigation; use every visible action; save; reload; verify persisted values and linked history.</x:v>
      </x:c>
      <x:c r="I94" s="35" t="str">
        <x:v>Attempt with one adjacent unauthorized persona; fail closed without data disclosure or mutation.</x:v>
      </x:c>
      <x:c r="J94" s="35" t="str">
        <x:v>Desktop browser + phone viewport</x:v>
      </x:c>
    </x:row>
    <x:row r="95">
      <x:c r="A95" s="20" t="str">
        <x:v>SCR-092</x:v>
      </x:c>
      <x:c r="B95" s="20" t="str">
        <x:v>Web</x:v>
      </x:c>
      <x:c r="C95" s="35" t="str">
        <x:v>/apply/[token]</x:v>
      </x:c>
      <x:c r="D95" s="35" t="str">
        <x:v>web/src/routes/apply/[token]/+page.svelte</x:v>
      </x:c>
      <x:c r="E95" s="20" t="str">
        <x:v>Applicant / public user</x:v>
      </x:c>
      <x:c r="F95" s="35" t="str">
        <x:v>Applicant / public user</x:v>
      </x:c>
      <x:c r="G95" s="23" t="n">
        <x:v>46563</x:v>
      </x:c>
      <x:c r="H95" s="35" t="str">
        <x:v>Open through normal navigation; use every visible action; save; reload; verify persisted values and linked history.</x:v>
      </x:c>
      <x:c r="I95" s="35" t="str">
        <x:v>Attempt with one adjacent unauthorized persona; fail closed without data disclosure or mutation.</x:v>
      </x:c>
      <x:c r="J95" s="35" t="str">
        <x:v>Desktop browser + phone viewport</x:v>
      </x:c>
    </x:row>
    <x:row r="96">
      <x:c r="A96" s="20" t="str">
        <x:v>SCR-093</x:v>
      </x:c>
      <x:c r="B96" s="20" t="str">
        <x:v>Web</x:v>
      </x:c>
      <x:c r="C96" s="35" t="str">
        <x:v>/choose-setup</x:v>
      </x:c>
      <x:c r="D96" s="35" t="str">
        <x:v>web/src/routes/choose-setup/+page.svelte</x:v>
      </x:c>
      <x:c r="E96" s="20" t="str">
        <x:v>Property Manager</x:v>
      </x:c>
      <x:c r="F96" s="35" t="str">
        <x:v>Workspace Administrator; Property Manager</x:v>
      </x:c>
      <x:c r="G96" s="23" t="n">
        <x:v>46566</x:v>
      </x:c>
      <x:c r="H96" s="35" t="str">
        <x:v>Open through normal navigation; use every visible action; save; reload; verify persisted values and linked history.</x:v>
      </x:c>
      <x:c r="I96" s="35" t="str">
        <x:v>Attempt with one adjacent unauthorized persona; fail closed without data disclosure or mutation.</x:v>
      </x:c>
      <x:c r="J96" s="35" t="str">
        <x:v>Desktop browser + phone viewport</x:v>
      </x:c>
    </x:row>
    <x:row r="97">
      <x:c r="A97" s="20" t="str">
        <x:v>SCR-094</x:v>
      </x:c>
      <x:c r="B97" s="20" t="str">
        <x:v>Web</x:v>
      </x:c>
      <x:c r="C97" s="35" t="str">
        <x:v>/features</x:v>
      </x:c>
      <x:c r="D97" s="35" t="str">
        <x:v>web/src/routes/features/+page.svelte</x:v>
      </x:c>
      <x:c r="E97" s="20" t="str">
        <x:v>Applicant / public user</x:v>
      </x:c>
      <x:c r="F97" s="35" t="str">
        <x:v>Applicant / public user</x:v>
      </x:c>
      <x:c r="G97" s="23" t="n">
        <x:v>46567</x:v>
      </x:c>
      <x:c r="H97" s="35" t="str">
        <x:v>Open through normal navigation; use every visible action; save; reload; verify persisted values and linked history.</x:v>
      </x:c>
      <x:c r="I97" s="35" t="str">
        <x:v>Attempt with one adjacent unauthorized persona; fail closed without data disclosure or mutation.</x:v>
      </x:c>
      <x:c r="J97" s="35" t="str">
        <x:v>Desktop browser + phone viewport</x:v>
      </x:c>
    </x:row>
    <x:row r="98">
      <x:c r="A98" s="20" t="str">
        <x:v>SCR-095</x:v>
      </x:c>
      <x:c r="B98" s="20" t="str">
        <x:v>Web</x:v>
      </x:c>
      <x:c r="C98" s="35" t="str">
        <x:v>/forgot-password</x:v>
      </x:c>
      <x:c r="D98" s="35" t="str">
        <x:v>web/src/routes/forgot-password/+page.svelte</x:v>
      </x:c>
      <x:c r="E98" s="20" t="str">
        <x:v>Applicant / public user</x:v>
      </x:c>
      <x:c r="F98" s="35" t="str">
        <x:v>Applicant / public user</x:v>
      </x:c>
      <x:c r="G98" s="23" t="n">
        <x:v>46569</x:v>
      </x:c>
      <x:c r="H98" s="35" t="str">
        <x:v>Open through normal navigation; use every visible action; save; reload; verify persisted values and linked history.</x:v>
      </x:c>
      <x:c r="I98" s="35" t="str">
        <x:v>Attempt with one adjacent unauthorized persona; fail closed without data disclosure or mutation.</x:v>
      </x:c>
      <x:c r="J98" s="35" t="str">
        <x:v>Desktop browser + phone viewport</x:v>
      </x:c>
    </x:row>
    <x:row r="99">
      <x:c r="A99" s="20" t="str">
        <x:v>SCR-096</x:v>
      </x:c>
      <x:c r="B99" s="20" t="str">
        <x:v>Web</x:v>
      </x:c>
      <x:c r="C99" s="35" t="str">
        <x:v>/login</x:v>
      </x:c>
      <x:c r="D99" s="35" t="str">
        <x:v>web/src/routes/login/+page.svelte</x:v>
      </x:c>
      <x:c r="E99" s="20" t="str">
        <x:v>Applicant / public user</x:v>
      </x:c>
      <x:c r="F99" s="35" t="str">
        <x:v>Applicant / public user</x:v>
      </x:c>
      <x:c r="G99" s="23" t="n">
        <x:v>46570</x:v>
      </x:c>
      <x:c r="H99" s="35" t="str">
        <x:v>Open through normal navigation; use every visible action; save; reload; verify persisted values and linked history.</x:v>
      </x:c>
      <x:c r="I99" s="35" t="str">
        <x:v>Attempt with one adjacent unauthorized persona; fail closed without data disclosure or mutation.</x:v>
      </x:c>
      <x:c r="J99" s="35" t="str">
        <x:v>Desktop browser + phone viewport</x:v>
      </x:c>
    </x:row>
    <x:row r="100">
      <x:c r="A100" s="20" t="str">
        <x:v>SCR-097</x:v>
      </x:c>
      <x:c r="B100" s="20" t="str">
        <x:v>Web</x:v>
      </x:c>
      <x:c r="C100" s="35" t="str">
        <x:v>/register</x:v>
      </x:c>
      <x:c r="D100" s="35" t="str">
        <x:v>web/src/routes/register/+page.svelte</x:v>
      </x:c>
      <x:c r="E100" s="20" t="str">
        <x:v>Applicant / public user</x:v>
      </x:c>
      <x:c r="F100" s="35" t="str">
        <x:v>Applicant / public user</x:v>
      </x:c>
      <x:c r="G100" s="23" t="n">
        <x:v>46573</x:v>
      </x:c>
      <x:c r="H100" s="35" t="str">
        <x:v>Open through normal navigation; use every visible action; save; reload; verify persisted values and linked history.</x:v>
      </x:c>
      <x:c r="I100" s="35" t="str">
        <x:v>Attempt with one adjacent unauthorized persona; fail closed without data disclosure or mutation.</x:v>
      </x:c>
      <x:c r="J100" s="35" t="str">
        <x:v>Desktop browser + phone viewport</x:v>
      </x:c>
    </x:row>
    <x:row r="101">
      <x:c r="A101" s="20" t="str">
        <x:v>SCR-098</x:v>
      </x:c>
      <x:c r="B101" s="20" t="str">
        <x:v>Web</x:v>
      </x:c>
      <x:c r="C101" s="35" t="str">
        <x:v>/reset-password</x:v>
      </x:c>
      <x:c r="D101" s="35" t="str">
        <x:v>web/src/routes/reset-password/+page.svelte</x:v>
      </x:c>
      <x:c r="E101" s="20" t="str">
        <x:v>Applicant / public user</x:v>
      </x:c>
      <x:c r="F101" s="35" t="str">
        <x:v>Applicant / public user</x:v>
      </x:c>
      <x:c r="G101" s="23" t="n">
        <x:v>46574</x:v>
      </x:c>
      <x:c r="H101" s="35" t="str">
        <x:v>Open through normal navigation; use every visible action; save; reload; verify persisted values and linked history.</x:v>
      </x:c>
      <x:c r="I101" s="35" t="str">
        <x:v>Attempt with one adjacent unauthorized persona; fail closed without data disclosure or mutation.</x:v>
      </x:c>
      <x:c r="J101" s="35" t="str">
        <x:v>Desktop browser + phone viewport</x:v>
      </x:c>
    </x:row>
    <x:row r="102">
      <x:c r="A102" s="20" t="str">
        <x:v>SCR-099</x:v>
      </x:c>
      <x:c r="B102" s="20" t="str">
        <x:v>Web</x:v>
      </x:c>
      <x:c r="C102" s="35" t="str">
        <x:v>/setting-up</x:v>
      </x:c>
      <x:c r="D102" s="35" t="str">
        <x:v>web/src/routes/setting-up/+page.svelte</x:v>
      </x:c>
      <x:c r="E102" s="20" t="str">
        <x:v>Property Manager</x:v>
      </x:c>
      <x:c r="F102" s="35" t="str">
        <x:v>Workspace Administrator; Property Manager</x:v>
      </x:c>
      <x:c r="G102" s="23" t="n">
        <x:v>46576</x:v>
      </x:c>
      <x:c r="H102" s="35" t="str">
        <x:v>Open through normal navigation; use every visible action; save; reload; verify persisted values and linked history.</x:v>
      </x:c>
      <x:c r="I102" s="35" t="str">
        <x:v>Attempt with one adjacent unauthorized persona; fail closed without data disclosure or mutation.</x:v>
      </x:c>
      <x:c r="J102" s="35" t="str">
        <x:v>Desktop browser + phone viewport</x:v>
      </x:c>
    </x:row>
    <x:row r="103">
      <x:c r="A103" s="20" t="str">
        <x:v>SCR-100</x:v>
      </x:c>
      <x:c r="B103" s="20" t="str">
        <x:v>Web</x:v>
      </x:c>
      <x:c r="C103" s="35" t="str">
        <x:v>/verify-email</x:v>
      </x:c>
      <x:c r="D103" s="35" t="str">
        <x:v>web/src/routes/verify-email/+page.svelte</x:v>
      </x:c>
      <x:c r="E103" s="20" t="str">
        <x:v>Property Manager</x:v>
      </x:c>
      <x:c r="F103" s="35" t="str">
        <x:v>Applicant / public user</x:v>
      </x:c>
      <x:c r="G103" s="23" t="n">
        <x:v>46577</x:v>
      </x:c>
      <x:c r="H103" s="35" t="str">
        <x:v>Open through normal navigation; use every visible action; save; reload; verify persisted values and linked history.</x:v>
      </x:c>
      <x:c r="I103" s="35" t="str">
        <x:v>Attempt with one adjacent unauthorized persona; fail closed without data disclosure or mutation.</x:v>
      </x:c>
      <x:c r="J103" s="35" t="str">
        <x:v>Desktop browser + phone viewport</x:v>
      </x:c>
    </x:row>
    <x:row r="104">
      <x:c r="A104" s="20" t="str">
        <x:v>SCR-101</x:v>
      </x:c>
      <x:c r="B104" s="20" t="str">
        <x:v>Web</x:v>
      </x:c>
      <x:c r="C104" s="35" t="str">
        <x:v>/welcome</x:v>
      </x:c>
      <x:c r="D104" s="35" t="str">
        <x:v>web/src/routes/welcome/+page.svelte</x:v>
      </x:c>
      <x:c r="E104" s="20" t="str">
        <x:v>Applicant / public user</x:v>
      </x:c>
      <x:c r="F104" s="35" t="str">
        <x:v>Applicant / public user</x:v>
      </x:c>
      <x:c r="G104" s="23" t="n">
        <x:v>46580</x:v>
      </x:c>
      <x:c r="H104" s="35" t="str">
        <x:v>Open through normal navigation; use every visible action; save; reload; verify persisted values and linked history.</x:v>
      </x:c>
      <x:c r="I104" s="35" t="str">
        <x:v>Attempt with one adjacent unauthorized persona; fail closed without data disclosure or mutation.</x:v>
      </x:c>
      <x:c r="J104" s="35" t="str">
        <x:v>Desktop browser + phone viewport</x:v>
      </x:c>
    </x:row>
    <x:row r="105">
      <x:c r="A105" s="20" t="str">
        <x:v>SCR-102</x:v>
      </x:c>
      <x:c r="B105" s="20" t="str">
        <x:v>Mobile</x:v>
      </x:c>
      <x:c r="C105" s="35" t="str">
        <x:v>core/router/mobile_access_denied_screen.dart</x:v>
      </x:c>
      <x:c r="D105" s="35" t="str">
        <x:v>mobile/lib/core/router/mobile_access_denied_screen.dart</x:v>
      </x:c>
      <x:c r="E105" s="20" t="str">
        <x:v>Property Manager</x:v>
      </x:c>
      <x:c r="F105" s="35" t="str">
        <x:v>Workspace Administrator; Property Manager</x:v>
      </x:c>
      <x:c r="G105" s="23" t="n">
        <x:v>46582</x:v>
      </x:c>
      <x:c r="H105" s="35" t="str">
        <x:v>Open through normal navigation; use every visible action; save; reload; verify persisted values and linked history.</x:v>
      </x:c>
      <x:c r="I105" s="35" t="str">
        <x:v>Attempt with one adjacent unauthorized persona; fail closed without data disclosure or mutation.</x:v>
      </x:c>
      <x:c r="J105" s="35" t="str">
        <x:v>Real Android target; phone and rotated layout where meaningful</x:v>
      </x:c>
    </x:row>
    <x:row r="106">
      <x:c r="A106" s="20" t="str">
        <x:v>SCR-103</x:v>
      </x:c>
      <x:c r="B106" s="20" t="str">
        <x:v>Mobile</x:v>
      </x:c>
      <x:c r="C106" s="35" t="str">
        <x:v>core/widgets/tabbed_form_sheet.dart</x:v>
      </x:c>
      <x:c r="D106" s="35" t="str">
        <x:v>mobile/lib/core/widgets/tabbed_form_sheet.dart</x:v>
      </x:c>
      <x:c r="E106" s="20" t="str">
        <x:v>Property Manager</x:v>
      </x:c>
      <x:c r="F106" s="35" t="str">
        <x:v>Workspace Administrator; Property Manager</x:v>
      </x:c>
      <x:c r="G106" s="23" t="n">
        <x:v>46583</x:v>
      </x:c>
      <x:c r="H106" s="35" t="str">
        <x:v>Open through normal navigation; use every visible action; save; reload; verify persisted values and linked history.</x:v>
      </x:c>
      <x:c r="I106" s="35" t="str">
        <x:v>Attempt with one adjacent unauthorized persona; fail closed without data disclosure or mutation.</x:v>
      </x:c>
      <x:c r="J106" s="35" t="str">
        <x:v>Real Android target; phone and rotated layout where meaningful</x:v>
      </x:c>
    </x:row>
    <x:row r="107">
      <x:c r="A107" s="20" t="str">
        <x:v>SCR-104</x:v>
      </x:c>
      <x:c r="B107" s="20" t="str">
        <x:v>Mobile</x:v>
      </x:c>
      <x:c r="C107" s="35" t="str">
        <x:v>features/activity/activity_history_screen.dart</x:v>
      </x:c>
      <x:c r="D107" s="35" t="str">
        <x:v>mobile/lib/features/activity/activity_history_screen.dart</x:v>
      </x:c>
      <x:c r="E107" s="20" t="str">
        <x:v>Applicant / public user</x:v>
      </x:c>
      <x:c r="F107" s="35" t="str">
        <x:v>Applicant / public user</x:v>
      </x:c>
      <x:c r="G107" s="23" t="n">
        <x:v>46584</x:v>
      </x:c>
      <x:c r="H107" s="35" t="str">
        <x:v>Open through normal navigation; use every visible action; save; reload; verify persisted values and linked history.</x:v>
      </x:c>
      <x:c r="I107" s="35" t="str">
        <x:v>Attempt with one adjacent unauthorized persona; fail closed without data disclosure or mutation.</x:v>
      </x:c>
      <x:c r="J107" s="35" t="str">
        <x:v>Real Android target; phone and rotated layout where meaningful</x:v>
      </x:c>
    </x:row>
    <x:row r="108">
      <x:c r="A108" s="20" t="str">
        <x:v>SCR-105</x:v>
      </x:c>
      <x:c r="B108" s="20" t="str">
        <x:v>Mobile</x:v>
      </x:c>
      <x:c r="C108" s="35" t="str">
        <x:v>features/ai/ai_tab.dart</x:v>
      </x:c>
      <x:c r="D108" s="35" t="str">
        <x:v>mobile/lib/features/ai/ai_tab.dart</x:v>
      </x:c>
      <x:c r="E108" s="20" t="str">
        <x:v>Applicant / public user</x:v>
      </x:c>
      <x:c r="F108" s="35" t="str">
        <x:v>Applicant / public user</x:v>
      </x:c>
      <x:c r="G108" s="23" t="n">
        <x:v>46587</x:v>
      </x:c>
      <x:c r="H108" s="35" t="str">
        <x:v>Open through normal navigation; use every visible action; save; reload; verify persisted values and linked history.</x:v>
      </x:c>
      <x:c r="I108" s="35" t="str">
        <x:v>Attempt with one adjacent unauthorized persona; fail closed without data disclosure or mutation.</x:v>
      </x:c>
      <x:c r="J108" s="35" t="str">
        <x:v>Real Android target; phone and rotated layout where meaningful</x:v>
      </x:c>
    </x:row>
    <x:row r="109">
      <x:c r="A109" s="20" t="str">
        <x:v>SCR-106</x:v>
      </x:c>
      <x:c r="B109" s="20" t="str">
        <x:v>Mobile</x:v>
      </x:c>
      <x:c r="C109" s="35" t="str">
        <x:v>features/ai/briefing_screen.dart</x:v>
      </x:c>
      <x:c r="D109" s="35" t="str">
        <x:v>mobile/lib/features/ai/briefing_screen.dart</x:v>
      </x:c>
      <x:c r="E109" s="20" t="str">
        <x:v>Applicant / public user</x:v>
      </x:c>
      <x:c r="F109" s="35" t="str">
        <x:v>Applicant / public user</x:v>
      </x:c>
      <x:c r="G109" s="23" t="n">
        <x:v>46589</x:v>
      </x:c>
      <x:c r="H109" s="35" t="str">
        <x:v>Open through normal navigation; use every visible action; save; reload; verify persisted values and linked history.</x:v>
      </x:c>
      <x:c r="I109" s="35" t="str">
        <x:v>Attempt with one adjacent unauthorized persona; fail closed without data disclosure or mutation.</x:v>
      </x:c>
      <x:c r="J109" s="35" t="str">
        <x:v>Real Android target; phone and rotated layout where meaningful</x:v>
      </x:c>
    </x:row>
    <x:row r="110">
      <x:c r="A110" s="20" t="str">
        <x:v>SCR-107</x:v>
      </x:c>
      <x:c r="B110" s="20" t="str">
        <x:v>Mobile</x:v>
      </x:c>
      <x:c r="C110" s="35" t="str">
        <x:v>features/ai/qa_screen.dart</x:v>
      </x:c>
      <x:c r="D110" s="35" t="str">
        <x:v>mobile/lib/features/ai/qa_screen.dart</x:v>
      </x:c>
      <x:c r="E110" s="20" t="str">
        <x:v>Applicant / public user</x:v>
      </x:c>
      <x:c r="F110" s="35" t="str">
        <x:v>Applicant / public user</x:v>
      </x:c>
      <x:c r="G110" s="23" t="n">
        <x:v>46590</x:v>
      </x:c>
      <x:c r="H110" s="35" t="str">
        <x:v>Open through normal navigation; use every visible action; save; reload; verify persisted values and linked history.</x:v>
      </x:c>
      <x:c r="I110" s="35" t="str">
        <x:v>Attempt with one adjacent unauthorized persona; fail closed without data disclosure or mutation.</x:v>
      </x:c>
      <x:c r="J110" s="35" t="str">
        <x:v>Real Android target; phone and rotated layout where meaningful</x:v>
      </x:c>
    </x:row>
    <x:row r="111">
      <x:c r="A111" s="20" t="str">
        <x:v>SCR-108</x:v>
      </x:c>
      <x:c r="B111" s="20" t="str">
        <x:v>Mobile</x:v>
      </x:c>
      <x:c r="C111" s="35" t="str">
        <x:v>features/analytics/insights_screen.dart</x:v>
      </x:c>
      <x:c r="D111" s="35" t="str">
        <x:v>mobile/lib/features/analytics/insights_screen.dart</x:v>
      </x:c>
      <x:c r="E111" s="20" t="str">
        <x:v>Applicant / public user</x:v>
      </x:c>
      <x:c r="F111" s="35" t="str">
        <x:v>Applicant / public user</x:v>
      </x:c>
      <x:c r="G111" s="23" t="n">
        <x:v>46591</x:v>
      </x:c>
      <x:c r="H111" s="35" t="str">
        <x:v>Open through normal navigation; use every visible action; save; reload; verify persisted values and linked history.</x:v>
      </x:c>
      <x:c r="I111" s="35" t="str">
        <x:v>Attempt with one adjacent unauthorized persona; fail closed without data disclosure or mutation.</x:v>
      </x:c>
      <x:c r="J111" s="35" t="str">
        <x:v>Real Android target; phone and rotated layout where meaningful</x:v>
      </x:c>
    </x:row>
    <x:row r="112">
      <x:c r="A112" s="20" t="str">
        <x:v>SCR-109</x:v>
      </x:c>
      <x:c r="B112" s="20" t="str">
        <x:v>Mobile</x:v>
      </x:c>
      <x:c r="C112" s="35" t="str">
        <x:v>features/applications/application_detail_screen.dart</x:v>
      </x:c>
      <x:c r="D112" s="35" t="str">
        <x:v>mobile/lib/features/applications/application_detail_screen.dart</x:v>
      </x:c>
      <x:c r="E112" s="20" t="str">
        <x:v>Applicant / public user</x:v>
      </x:c>
      <x:c r="F112" s="35" t="str">
        <x:v>Applicant / public user</x:v>
      </x:c>
      <x:c r="G112" s="23" t="n">
        <x:v>46594</x:v>
      </x:c>
      <x:c r="H112" s="35" t="str">
        <x:v>Open through normal navigation; use every visible action; save; reload; verify persisted values and linked history.</x:v>
      </x:c>
      <x:c r="I112" s="35" t="str">
        <x:v>Attempt with one adjacent unauthorized persona; fail closed without data disclosure or mutation.</x:v>
      </x:c>
      <x:c r="J112" s="35" t="str">
        <x:v>Real Android target; phone and rotated layout where meaningful</x:v>
      </x:c>
    </x:row>
    <x:row r="113">
      <x:c r="A113" s="20" t="str">
        <x:v>SCR-110</x:v>
      </x:c>
      <x:c r="B113" s="20" t="str">
        <x:v>Mobile</x:v>
      </x:c>
      <x:c r="C113" s="35" t="str">
        <x:v>features/applications/applications_list_screen.dart</x:v>
      </x:c>
      <x:c r="D113" s="35" t="str">
        <x:v>mobile/lib/features/applications/applications_list_screen.dart</x:v>
      </x:c>
      <x:c r="E113" s="20" t="str">
        <x:v>Applicant / public user</x:v>
      </x:c>
      <x:c r="F113" s="35" t="str">
        <x:v>Applicant / public user</x:v>
      </x:c>
      <x:c r="G113" s="23" t="n">
        <x:v>46596</x:v>
      </x:c>
      <x:c r="H113" s="35" t="str">
        <x:v>Open through normal navigation; use every visible action; save; reload; verify persisted values and linked history.</x:v>
      </x:c>
      <x:c r="I113" s="35" t="str">
        <x:v>Attempt with one adjacent unauthorized persona; fail closed without data disclosure or mutation.</x:v>
      </x:c>
      <x:c r="J113" s="35" t="str">
        <x:v>Real Android target; phone and rotated layout where meaningful</x:v>
      </x:c>
    </x:row>
    <x:row r="114">
      <x:c r="A114" s="20" t="str">
        <x:v>SCR-111</x:v>
      </x:c>
      <x:c r="B114" s="20" t="str">
        <x:v>Mobile</x:v>
      </x:c>
      <x:c r="C114" s="35" t="str">
        <x:v>features/appointments/appointment_detail_screen.dart</x:v>
      </x:c>
      <x:c r="D114" s="35" t="str">
        <x:v>mobile/lib/features/appointments/appointment_detail_screen.dart</x:v>
      </x:c>
      <x:c r="E114" s="20" t="str">
        <x:v>Applicant / public user</x:v>
      </x:c>
      <x:c r="F114" s="35" t="str">
        <x:v>Applicant / public user</x:v>
      </x:c>
      <x:c r="G114" s="23" t="n">
        <x:v>46597</x:v>
      </x:c>
      <x:c r="H114" s="35" t="str">
        <x:v>Open through normal navigation; use every visible action; save; reload; verify persisted values and linked history.</x:v>
      </x:c>
      <x:c r="I114" s="35" t="str">
        <x:v>Attempt with one adjacent unauthorized persona; fail closed without data disclosure or mutation.</x:v>
      </x:c>
      <x:c r="J114" s="35" t="str">
        <x:v>Real Android target; phone and rotated layout where meaningful</x:v>
      </x:c>
    </x:row>
    <x:row r="115">
      <x:c r="A115" s="20" t="str">
        <x:v>SCR-112</x:v>
      </x:c>
      <x:c r="B115" s="20" t="str">
        <x:v>Mobile</x:v>
      </x:c>
      <x:c r="C115" s="35" t="str">
        <x:v>features/appointments/appointments_screen.dart</x:v>
      </x:c>
      <x:c r="D115" s="35" t="str">
        <x:v>mobile/lib/features/appointments/appointments_screen.dart</x:v>
      </x:c>
      <x:c r="E115" s="20" t="str">
        <x:v>Applicant / public user</x:v>
      </x:c>
      <x:c r="F115" s="35" t="str">
        <x:v>Applicant / public user</x:v>
      </x:c>
      <x:c r="G115" s="23" t="n">
        <x:v>46598</x:v>
      </x:c>
      <x:c r="H115" s="35" t="str">
        <x:v>Open through normal navigation; use every visible action; save; reload; verify persisted values and linked history.</x:v>
      </x:c>
      <x:c r="I115" s="35" t="str">
        <x:v>Attempt with one adjacent unauthorized persona; fail closed without data disclosure or mutation.</x:v>
      </x:c>
      <x:c r="J115" s="35" t="str">
        <x:v>Real Android target; phone and rotated layout where meaningful</x:v>
      </x:c>
    </x:row>
    <x:row r="116">
      <x:c r="A116" s="20" t="str">
        <x:v>SCR-113</x:v>
      </x:c>
      <x:c r="B116" s="20" t="str">
        <x:v>Mobile</x:v>
      </x:c>
      <x:c r="C116" s="35" t="str">
        <x:v>features/appointments/tenant_appointments_screen.dart</x:v>
      </x:c>
      <x:c r="D116" s="35" t="str">
        <x:v>mobile/lib/features/appointments/tenant_appointments_screen.dart</x:v>
      </x:c>
      <x:c r="E116" s="20" t="str">
        <x:v>Tenant</x:v>
      </x:c>
      <x:c r="F116" s="35" t="str">
        <x:v>Tenant</x:v>
      </x:c>
      <x:c r="G116" s="23" t="n">
        <x:v>46601</x:v>
      </x:c>
      <x:c r="H116" s="35" t="str">
        <x:v>Open through normal navigation; use every visible action; save; reload; verify persisted values and linked history.</x:v>
      </x:c>
      <x:c r="I116" s="35" t="str">
        <x:v>Attempt with one adjacent unauthorized persona; fail closed without data disclosure or mutation.</x:v>
      </x:c>
      <x:c r="J116" s="35" t="str">
        <x:v>Real Android target; phone and rotated layout where meaningful</x:v>
      </x:c>
    </x:row>
    <x:row r="117">
      <x:c r="A117" s="20" t="str">
        <x:v>SCR-114</x:v>
      </x:c>
      <x:c r="B117" s="20" t="str">
        <x:v>Mobile</x:v>
      </x:c>
      <x:c r="C117" s="35" t="str">
        <x:v>features/auth/forgot_password_screen.dart</x:v>
      </x:c>
      <x:c r="D117" s="35" t="str">
        <x:v>mobile/lib/features/auth/forgot_password_screen.dart</x:v>
      </x:c>
      <x:c r="E117" s="20" t="str">
        <x:v>Applicant / public user</x:v>
      </x:c>
      <x:c r="F117" s="35" t="str">
        <x:v>Applicant / public user</x:v>
      </x:c>
      <x:c r="G117" s="23" t="n">
        <x:v>46603</x:v>
      </x:c>
      <x:c r="H117" s="35" t="str">
        <x:v>Open through normal navigation; use every visible action; save; reload; verify persisted values and linked history.</x:v>
      </x:c>
      <x:c r="I117" s="35" t="str">
        <x:v>Attempt with one adjacent unauthorized persona; fail closed without data disclosure or mutation.</x:v>
      </x:c>
      <x:c r="J117" s="35" t="str">
        <x:v>Real Android target; phone and rotated layout where meaningful</x:v>
      </x:c>
    </x:row>
    <x:row r="118">
      <x:c r="A118" s="20" t="str">
        <x:v>SCR-115</x:v>
      </x:c>
      <x:c r="B118" s="20" t="str">
        <x:v>Mobile</x:v>
      </x:c>
      <x:c r="C118" s="35" t="str">
        <x:v>features/auth/login_screen.dart</x:v>
      </x:c>
      <x:c r="D118" s="35" t="str">
        <x:v>mobile/lib/features/auth/login_screen.dart</x:v>
      </x:c>
      <x:c r="E118" s="20" t="str">
        <x:v>Applicant / public user</x:v>
      </x:c>
      <x:c r="F118" s="35" t="str">
        <x:v>Applicant / public user</x:v>
      </x:c>
      <x:c r="G118" s="23" t="n">
        <x:v>46604</x:v>
      </x:c>
      <x:c r="H118" s="35" t="str">
        <x:v>Open through normal navigation; use every visible action; save; reload; verify persisted values and linked history.</x:v>
      </x:c>
      <x:c r="I118" s="35" t="str">
        <x:v>Attempt with one adjacent unauthorized persona; fail closed without data disclosure or mutation.</x:v>
      </x:c>
      <x:c r="J118" s="35" t="str">
        <x:v>Real Android target; phone and rotated layout where meaningful</x:v>
      </x:c>
    </x:row>
    <x:row r="119">
      <x:c r="A119" s="20" t="str">
        <x:v>SCR-116</x:v>
      </x:c>
      <x:c r="B119" s="20" t="str">
        <x:v>Mobile</x:v>
      </x:c>
      <x:c r="C119" s="35" t="str">
        <x:v>features/auth/register_screen.dart</x:v>
      </x:c>
      <x:c r="D119" s="35" t="str">
        <x:v>mobile/lib/features/auth/register_screen.dart</x:v>
      </x:c>
      <x:c r="E119" s="20" t="str">
        <x:v>Applicant / public user</x:v>
      </x:c>
      <x:c r="F119" s="35" t="str">
        <x:v>Applicant / public user</x:v>
      </x:c>
      <x:c r="G119" s="23" t="n">
        <x:v>46605</x:v>
      </x:c>
      <x:c r="H119" s="35" t="str">
        <x:v>Open through normal navigation; use every visible action; save; reload; verify persisted values and linked history.</x:v>
      </x:c>
      <x:c r="I119" s="35" t="str">
        <x:v>Attempt with one adjacent unauthorized persona; fail closed without data disclosure or mutation.</x:v>
      </x:c>
      <x:c r="J119" s="35" t="str">
        <x:v>Real Android target; phone and rotated layout where meaningful</x:v>
      </x:c>
    </x:row>
    <x:row r="120">
      <x:c r="A120" s="20" t="str">
        <x:v>SCR-117</x:v>
      </x:c>
      <x:c r="B120" s="20" t="str">
        <x:v>Mobile</x:v>
      </x:c>
      <x:c r="C120" s="35" t="str">
        <x:v>features/auth/reset_password_screen.dart</x:v>
      </x:c>
      <x:c r="D120" s="35" t="str">
        <x:v>mobile/lib/features/auth/reset_password_screen.dart</x:v>
      </x:c>
      <x:c r="E120" s="20" t="str">
        <x:v>Applicant / public user</x:v>
      </x:c>
      <x:c r="F120" s="35" t="str">
        <x:v>Applicant / public user</x:v>
      </x:c>
      <x:c r="G120" s="23" t="n">
        <x:v>46608</x:v>
      </x:c>
      <x:c r="H120" s="35" t="str">
        <x:v>Open through normal navigation; use every visible action; save; reload; verify persisted values and linked history.</x:v>
      </x:c>
      <x:c r="I120" s="35" t="str">
        <x:v>Attempt with one adjacent unauthorized persona; fail closed without data disclosure or mutation.</x:v>
      </x:c>
      <x:c r="J120" s="35" t="str">
        <x:v>Real Android target; phone and rotated layout where meaningful</x:v>
      </x:c>
    </x:row>
    <x:row r="121">
      <x:c r="A121" s="20" t="str">
        <x:v>SCR-118</x:v>
      </x:c>
      <x:c r="B121" s="20" t="str">
        <x:v>Mobile</x:v>
      </x:c>
      <x:c r="C121" s="35" t="str">
        <x:v>features/auth/verify_email_screen.dart</x:v>
      </x:c>
      <x:c r="D121" s="35" t="str">
        <x:v>mobile/lib/features/auth/verify_email_screen.dart</x:v>
      </x:c>
      <x:c r="E121" s="20" t="str">
        <x:v>Applicant / public user</x:v>
      </x:c>
      <x:c r="F121" s="35" t="str">
        <x:v>Applicant / public user</x:v>
      </x:c>
      <x:c r="G121" s="23" t="n">
        <x:v>46610</x:v>
      </x:c>
      <x:c r="H121" s="35" t="str">
        <x:v>Open through normal navigation; use every visible action; save; reload; verify persisted values and linked history.</x:v>
      </x:c>
      <x:c r="I121" s="35" t="str">
        <x:v>Attempt with one adjacent unauthorized persona; fail closed without data disclosure or mutation.</x:v>
      </x:c>
      <x:c r="J121" s="35" t="str">
        <x:v>Real Android target; phone and rotated layout where meaningful</x:v>
      </x:c>
    </x:row>
    <x:row r="122">
      <x:c r="A122" s="20" t="str">
        <x:v>SCR-119</x:v>
      </x:c>
      <x:c r="B122" s="20" t="str">
        <x:v>Mobile</x:v>
      </x:c>
      <x:c r="C122" s="35" t="str">
        <x:v>features/banking/banking_screen.dart</x:v>
      </x:c>
      <x:c r="D122" s="35" t="str">
        <x:v>mobile/lib/features/banking/banking_screen.dart</x:v>
      </x:c>
      <x:c r="E122" s="20" t="str">
        <x:v>Applicant / public user</x:v>
      </x:c>
      <x:c r="F122" s="35" t="str">
        <x:v>Applicant / public user</x:v>
      </x:c>
      <x:c r="G122" s="23" t="n">
        <x:v>46611</x:v>
      </x:c>
      <x:c r="H122" s="35" t="str">
        <x:v>Open through normal navigation; use every visible action; save; reload; verify persisted values and linked history.</x:v>
      </x:c>
      <x:c r="I122" s="35" t="str">
        <x:v>Attempt with one adjacent unauthorized persona; fail closed without data disclosure or mutation.</x:v>
      </x:c>
      <x:c r="J122" s="35" t="str">
        <x:v>Real Android target; phone and rotated layout where meaningful</x:v>
      </x:c>
    </x:row>
    <x:row r="123">
      <x:c r="A123" s="20" t="str">
        <x:v>SCR-120</x:v>
      </x:c>
      <x:c r="B123" s="20" t="str">
        <x:v>Mobile</x:v>
      </x:c>
      <x:c r="C123" s="35" t="str">
        <x:v>features/deposits/deposits_screen.dart</x:v>
      </x:c>
      <x:c r="D123" s="35" t="str">
        <x:v>mobile/lib/features/deposits/deposits_screen.dart</x:v>
      </x:c>
      <x:c r="E123" s="20" t="str">
        <x:v>Applicant / public user</x:v>
      </x:c>
      <x:c r="F123" s="35" t="str">
        <x:v>Applicant / public user</x:v>
      </x:c>
      <x:c r="G123" s="23" t="n">
        <x:v>46612</x:v>
      </x:c>
      <x:c r="H123" s="35" t="str">
        <x:v>Open through normal navigation; use every visible action; save; reload; verify persisted values and linked history.</x:v>
      </x:c>
      <x:c r="I123" s="35" t="str">
        <x:v>Attempt with one adjacent unauthorized persona; fail closed without data disclosure or mutation.</x:v>
      </x:c>
      <x:c r="J123" s="35" t="str">
        <x:v>Real Android target; phone and rotated layout where meaningful</x:v>
      </x:c>
    </x:row>
    <x:row r="124">
      <x:c r="A124" s="20" t="str">
        <x:v>SCR-121</x:v>
      </x:c>
      <x:c r="B124" s="20" t="str">
        <x:v>Mobile</x:v>
      </x:c>
      <x:c r="C124" s="35" t="str">
        <x:v>features/home/more_tab.dart</x:v>
      </x:c>
      <x:c r="D124" s="35" t="str">
        <x:v>mobile/lib/features/home/more_tab.dart</x:v>
      </x:c>
      <x:c r="E124" s="20" t="str">
        <x:v>Applicant / public user</x:v>
      </x:c>
      <x:c r="F124" s="35" t="str">
        <x:v>Workspace Administrator; Property Manager; Leasing Agent; Maintenance Technician; Owner; Tenant</x:v>
      </x:c>
      <x:c r="G124" s="23" t="n">
        <x:v>46615</x:v>
      </x:c>
      <x:c r="H124" s="35" t="str">
        <x:v>Open through normal navigation; use every visible action; save; reload; verify persisted values and linked history.</x:v>
      </x:c>
      <x:c r="I124" s="35" t="str">
        <x:v>Attempt with one adjacent unauthorized persona; fail closed without data disclosure or mutation.</x:v>
      </x:c>
      <x:c r="J124" s="35" t="str">
        <x:v>Real Android target; phone and rotated layout where meaningful</x:v>
      </x:c>
    </x:row>
    <x:row r="125">
      <x:c r="A125" s="20" t="str">
        <x:v>SCR-122</x:v>
      </x:c>
      <x:c r="B125" s="20" t="str">
        <x:v>Mobile</x:v>
      </x:c>
      <x:c r="C125" s="35" t="str">
        <x:v>features/home/owner_landing_screen.dart</x:v>
      </x:c>
      <x:c r="D125" s="35" t="str">
        <x:v>mobile/lib/features/home/owner_landing_screen.dart</x:v>
      </x:c>
      <x:c r="E125" s="20" t="str">
        <x:v>Owner</x:v>
      </x:c>
      <x:c r="F125" s="35" t="str">
        <x:v>Workspace Administrator; Property Manager; Leasing Agent; Maintenance Technician; Owner; Tenant</x:v>
      </x:c>
      <x:c r="G125" s="23" t="n">
        <x:v>46617</x:v>
      </x:c>
      <x:c r="H125" s="35" t="str">
        <x:v>Open through normal navigation; use every visible action; save; reload; verify persisted values and linked history.</x:v>
      </x:c>
      <x:c r="I125" s="35" t="str">
        <x:v>Attempt with one adjacent unauthorized persona; fail closed without data disclosure or mutation.</x:v>
      </x:c>
      <x:c r="J125" s="35" t="str">
        <x:v>Real Android target; phone and rotated layout where meaningful</x:v>
      </x:c>
    </x:row>
    <x:row r="126">
      <x:c r="A126" s="20" t="str">
        <x:v>SCR-123</x:v>
      </x:c>
      <x:c r="B126" s="20" t="str">
        <x:v>Mobile</x:v>
      </x:c>
      <x:c r="C126" s="35" t="str">
        <x:v>features/inspections/inspection_run_screen.dart</x:v>
      </x:c>
      <x:c r="D126" s="35" t="str">
        <x:v>mobile/lib/features/inspections/inspection_run_screen.dart</x:v>
      </x:c>
      <x:c r="E126" s="20" t="str">
        <x:v>Applicant / public user</x:v>
      </x:c>
      <x:c r="F126" s="35" t="str">
        <x:v>Applicant / public user</x:v>
      </x:c>
      <x:c r="G126" s="23" t="n">
        <x:v>46618</x:v>
      </x:c>
      <x:c r="H126" s="35" t="str">
        <x:v>Open through normal navigation; use every visible action; save; reload; verify persisted values and linked history.</x:v>
      </x:c>
      <x:c r="I126" s="35" t="str">
        <x:v>Attempt with one adjacent unauthorized persona; fail closed without data disclosure or mutation.</x:v>
      </x:c>
      <x:c r="J126" s="35" t="str">
        <x:v>Real Android target; phone and rotated layout where meaningful</x:v>
      </x:c>
    </x:row>
    <x:row r="127">
      <x:c r="A127" s="20" t="str">
        <x:v>SCR-124</x:v>
      </x:c>
      <x:c r="B127" s="20" t="str">
        <x:v>Mobile</x:v>
      </x:c>
      <x:c r="C127" s="35" t="str">
        <x:v>features/inspections/inspections_list_screen.dart</x:v>
      </x:c>
      <x:c r="D127" s="35" t="str">
        <x:v>mobile/lib/features/inspections/inspections_list_screen.dart</x:v>
      </x:c>
      <x:c r="E127" s="20" t="str">
        <x:v>Applicant / public user</x:v>
      </x:c>
      <x:c r="F127" s="35" t="str">
        <x:v>Applicant / public user</x:v>
      </x:c>
      <x:c r="G127" s="23" t="n">
        <x:v>46619</x:v>
      </x:c>
      <x:c r="H127" s="35" t="str">
        <x:v>Open through normal navigation; use every visible action; save; reload; verify persisted values and linked history.</x:v>
      </x:c>
      <x:c r="I127" s="35" t="str">
        <x:v>Attempt with one adjacent unauthorized persona; fail closed without data disclosure or mutation.</x:v>
      </x:c>
      <x:c r="J127" s="35" t="str">
        <x:v>Real Android target; phone and rotated layout where meaningful</x:v>
      </x:c>
    </x:row>
    <x:row r="128">
      <x:c r="A128" s="20" t="str">
        <x:v>SCR-125</x:v>
      </x:c>
      <x:c r="B128" s="20" t="str">
        <x:v>Mobile</x:v>
      </x:c>
      <x:c r="C128" s="35" t="str">
        <x:v>features/inspections/new_inspection_screen.dart</x:v>
      </x:c>
      <x:c r="D128" s="35" t="str">
        <x:v>mobile/lib/features/inspections/new_inspection_screen.dart</x:v>
      </x:c>
      <x:c r="E128" s="20" t="str">
        <x:v>Applicant / public user</x:v>
      </x:c>
      <x:c r="F128" s="35" t="str">
        <x:v>Applicant / public user</x:v>
      </x:c>
      <x:c r="G128" s="23" t="n">
        <x:v>46622</x:v>
      </x:c>
      <x:c r="H128" s="35" t="str">
        <x:v>Open through normal navigation; use every visible action; save; reload; verify persisted values and linked history.</x:v>
      </x:c>
      <x:c r="I128" s="35" t="str">
        <x:v>Attempt with one adjacent unauthorized persona; fail closed without data disclosure or mutation.</x:v>
      </x:c>
      <x:c r="J128" s="35" t="str">
        <x:v>Real Android target; phone and rotated layout where meaningful</x:v>
      </x:c>
    </x:row>
    <x:row r="129">
      <x:c r="A129" s="20" t="str">
        <x:v>SCR-126</x:v>
      </x:c>
      <x:c r="B129" s="20" t="str">
        <x:v>Mobile</x:v>
      </x:c>
      <x:c r="C129" s="35" t="str">
        <x:v>features/leases/ending_disposition_sheet.dart</x:v>
      </x:c>
      <x:c r="D129" s="35" t="str">
        <x:v>mobile/lib/features/leases/ending_disposition_sheet.dart</x:v>
      </x:c>
      <x:c r="E129" s="20" t="str">
        <x:v>Applicant / public user</x:v>
      </x:c>
      <x:c r="F129" s="35" t="str">
        <x:v>Applicant / public user</x:v>
      </x:c>
      <x:c r="G129" s="23" t="n">
        <x:v>46624</x:v>
      </x:c>
      <x:c r="H129" s="35" t="str">
        <x:v>Open through normal navigation; use every visible action; save; reload; verify persisted values and linked history.</x:v>
      </x:c>
      <x:c r="I129" s="35" t="str">
        <x:v>Attempt with one adjacent unauthorized persona; fail closed without data disclosure or mutation.</x:v>
      </x:c>
      <x:c r="J129" s="35" t="str">
        <x:v>Real Android target; phone and rotated layout where meaningful</x:v>
      </x:c>
    </x:row>
    <x:row r="130">
      <x:c r="A130" s="20" t="str">
        <x:v>SCR-127</x:v>
      </x:c>
      <x:c r="B130" s="20" t="str">
        <x:v>Mobile</x:v>
      </x:c>
      <x:c r="C130" s="35" t="str">
        <x:v>features/leases/household_management_sheet.dart</x:v>
      </x:c>
      <x:c r="D130" s="35" t="str">
        <x:v>mobile/lib/features/leases/household_management_sheet.dart</x:v>
      </x:c>
      <x:c r="E130" s="20" t="str">
        <x:v>Applicant / public user</x:v>
      </x:c>
      <x:c r="F130" s="35" t="str">
        <x:v>Applicant / public user</x:v>
      </x:c>
      <x:c r="G130" s="23" t="n">
        <x:v>46625</x:v>
      </x:c>
      <x:c r="H130" s="35" t="str">
        <x:v>Open through normal navigation; use every visible action; save; reload; verify persisted values and linked history.</x:v>
      </x:c>
      <x:c r="I130" s="35" t="str">
        <x:v>Attempt with one adjacent unauthorized persona; fail closed without data disclosure or mutation.</x:v>
      </x:c>
      <x:c r="J130" s="35" t="str">
        <x:v>Real Android target; phone and rotated layout where meaningful</x:v>
      </x:c>
    </x:row>
    <x:row r="131">
      <x:c r="A131" s="20" t="str">
        <x:v>SCR-128</x:v>
      </x:c>
      <x:c r="B131" s="20" t="str">
        <x:v>Mobile</x:v>
      </x:c>
      <x:c r="C131" s="35" t="str">
        <x:v>features/leases/issued_agreement_recovery_sheet.dart</x:v>
      </x:c>
      <x:c r="D131" s="35" t="str">
        <x:v>mobile/lib/features/leases/issued_agreement_recovery_sheet.dart</x:v>
      </x:c>
      <x:c r="E131" s="20" t="str">
        <x:v>Applicant / public user</x:v>
      </x:c>
      <x:c r="F131" s="35" t="str">
        <x:v>Applicant / public user</x:v>
      </x:c>
      <x:c r="G131" s="23" t="n">
        <x:v>46626</x:v>
      </x:c>
      <x:c r="H131" s="35" t="str">
        <x:v>Open through normal navigation; use every visible action; save; reload; verify persisted values and linked history.</x:v>
      </x:c>
      <x:c r="I131" s="35" t="str">
        <x:v>Attempt with one adjacent unauthorized persona; fail closed without data disclosure or mutation.</x:v>
      </x:c>
      <x:c r="J131" s="35" t="str">
        <x:v>Real Android target; phone and rotated layout where meaningful</x:v>
      </x:c>
    </x:row>
    <x:row r="132">
      <x:c r="A132" s="20" t="str">
        <x:v>SCR-129</x:v>
      </x:c>
      <x:c r="B132" s="20" t="str">
        <x:v>Mobile</x:v>
      </x:c>
      <x:c r="C132" s="35" t="str">
        <x:v>features/leases/lease_detail_screen.dart</x:v>
      </x:c>
      <x:c r="D132" s="35" t="str">
        <x:v>mobile/lib/features/leases/lease_detail_screen.dart</x:v>
      </x:c>
      <x:c r="E132" s="20" t="str">
        <x:v>Applicant / public user</x:v>
      </x:c>
      <x:c r="F132" s="35" t="str">
        <x:v>Applicant / public user</x:v>
      </x:c>
      <x:c r="G132" s="23" t="n">
        <x:v>46629</x:v>
      </x:c>
      <x:c r="H132" s="35" t="str">
        <x:v>Open through normal navigation; use every visible action; save; reload; verify persisted values and linked history.</x:v>
      </x:c>
      <x:c r="I132" s="35" t="str">
        <x:v>Attempt with one adjacent unauthorized persona; fail closed without data disclosure or mutation.</x:v>
      </x:c>
      <x:c r="J132" s="35" t="str">
        <x:v>Real Android target; phone and rotated layout where meaningful</x:v>
      </x:c>
    </x:row>
    <x:row r="133">
      <x:c r="A133" s="20" t="str">
        <x:v>SCR-130</x:v>
      </x:c>
      <x:c r="B133" s="20" t="str">
        <x:v>Mobile</x:v>
      </x:c>
      <x:c r="C133" s="35" t="str">
        <x:v>features/leases/leases_list_screen.dart</x:v>
      </x:c>
      <x:c r="D133" s="35" t="str">
        <x:v>mobile/lib/features/leases/leases_list_screen.dart</x:v>
      </x:c>
      <x:c r="E133" s="20" t="str">
        <x:v>Applicant / public user</x:v>
      </x:c>
      <x:c r="F133" s="35" t="str">
        <x:v>Applicant / public user</x:v>
      </x:c>
      <x:c r="G133" s="23" t="n">
        <x:v>46631</x:v>
      </x:c>
      <x:c r="H133" s="35" t="str">
        <x:v>Open through normal navigation; use every visible action; save; reload; verify persisted values and linked history.</x:v>
      </x:c>
      <x:c r="I133" s="35" t="str">
        <x:v>Attempt with one adjacent unauthorized persona; fail closed without data disclosure or mutation.</x:v>
      </x:c>
      <x:c r="J133" s="35" t="str">
        <x:v>Real Android target; phone and rotated layout where meaningful</x:v>
      </x:c>
    </x:row>
    <x:row r="134">
      <x:c r="A134" s="20" t="str">
        <x:v>SCR-131</x:v>
      </x:c>
      <x:c r="B134" s="20" t="str">
        <x:v>Mobile</x:v>
      </x:c>
      <x:c r="C134" s="35" t="str">
        <x:v>features/leases/prepare_move_in_sheet.dart</x:v>
      </x:c>
      <x:c r="D134" s="35" t="str">
        <x:v>mobile/lib/features/leases/prepare_move_in_sheet.dart</x:v>
      </x:c>
      <x:c r="E134" s="20" t="str">
        <x:v>Applicant / public user</x:v>
      </x:c>
      <x:c r="F134" s="35" t="str">
        <x:v>Applicant / public user</x:v>
      </x:c>
      <x:c r="G134" s="23" t="n">
        <x:v>46632</x:v>
      </x:c>
      <x:c r="H134" s="35" t="str">
        <x:v>Open through normal navigation; use every visible action; save; reload; verify persisted values and linked history.</x:v>
      </x:c>
      <x:c r="I134" s="35" t="str">
        <x:v>Attempt with one adjacent unauthorized persona; fail closed without data disclosure or mutation.</x:v>
      </x:c>
      <x:c r="J134" s="35" t="str">
        <x:v>Real Android target; phone and rotated layout where meaningful</x:v>
      </x:c>
    </x:row>
    <x:row r="135">
      <x:c r="A135" s="20" t="str">
        <x:v>SCR-132</x:v>
      </x:c>
      <x:c r="B135" s="20" t="str">
        <x:v>Mobile</x:v>
      </x:c>
      <x:c r="C135" s="35" t="str">
        <x:v>features/leases/return_possession_sheet.dart</x:v>
      </x:c>
      <x:c r="D135" s="35" t="str">
        <x:v>mobile/lib/features/leases/return_possession_sheet.dart</x:v>
      </x:c>
      <x:c r="E135" s="20" t="str">
        <x:v>Applicant / public user</x:v>
      </x:c>
      <x:c r="F135" s="35" t="str">
        <x:v>Applicant / public user</x:v>
      </x:c>
      <x:c r="G135" s="23" t="n">
        <x:v>46633</x:v>
      </x:c>
      <x:c r="H135" s="35" t="str">
        <x:v>Open through normal navigation; use every visible action; save; reload; verify persisted values and linked history.</x:v>
      </x:c>
      <x:c r="I135" s="35" t="str">
        <x:v>Attempt with one adjacent unauthorized persona; fail closed without data disclosure or mutation.</x:v>
      </x:c>
      <x:c r="J135" s="35" t="str">
        <x:v>Real Android target; phone and rotated layout where meaningful</x:v>
      </x:c>
    </x:row>
    <x:row r="136">
      <x:c r="A136" s="20" t="str">
        <x:v>SCR-133</x:v>
      </x:c>
      <x:c r="B136" s="20" t="str">
        <x:v>Mobile</x:v>
      </x:c>
      <x:c r="C136" s="35" t="str">
        <x:v>features/leases/successor_agreement_sheet.dart</x:v>
      </x:c>
      <x:c r="D136" s="35" t="str">
        <x:v>mobile/lib/features/leases/successor_agreement_sheet.dart</x:v>
      </x:c>
      <x:c r="E136" s="20" t="str">
        <x:v>Applicant / public user</x:v>
      </x:c>
      <x:c r="F136" s="35" t="str">
        <x:v>Applicant / public user</x:v>
      </x:c>
      <x:c r="G136" s="23" t="n">
        <x:v>46636</x:v>
      </x:c>
      <x:c r="H136" s="35" t="str">
        <x:v>Open through normal navigation; use every visible action; save; reload; verify persisted values and linked history.</x:v>
      </x:c>
      <x:c r="I136" s="35" t="str">
        <x:v>Attempt with one adjacent unauthorized persona; fail closed without data disclosure or mutation.</x:v>
      </x:c>
      <x:c r="J136" s="35" t="str">
        <x:v>Real Android target; phone and rotated layout where meaningful</x:v>
      </x:c>
    </x:row>
    <x:row r="137">
      <x:c r="A137" s="20" t="str">
        <x:v>SCR-134</x:v>
      </x:c>
      <x:c r="B137" s="20" t="str">
        <x:v>Mobile</x:v>
      </x:c>
      <x:c r="C137" s="35" t="str">
        <x:v>features/leasing/leasing_landing_screen.dart</x:v>
      </x:c>
      <x:c r="D137" s="35" t="str">
        <x:v>mobile/lib/features/leasing/leasing_landing_screen.dart</x:v>
      </x:c>
      <x:c r="E137" s="20" t="str">
        <x:v>Applicant / public user</x:v>
      </x:c>
      <x:c r="F137" s="35" t="str">
        <x:v>Leasing Agent</x:v>
      </x:c>
      <x:c r="G137" s="23" t="n">
        <x:v>46638</x:v>
      </x:c>
      <x:c r="H137" s="35" t="str">
        <x:v>Open through normal navigation; use every visible action; save; reload; verify persisted values and linked history.</x:v>
      </x:c>
      <x:c r="I137" s="35" t="str">
        <x:v>Attempt with one adjacent unauthorized persona; fail closed without data disclosure or mutation.</x:v>
      </x:c>
      <x:c r="J137" s="35" t="str">
        <x:v>Real Android target; phone and rotated layout where meaningful</x:v>
      </x:c>
    </x:row>
    <x:row r="138">
      <x:c r="A138" s="20" t="str">
        <x:v>SCR-135</x:v>
      </x:c>
      <x:c r="B138" s="20" t="str">
        <x:v>Mobile</x:v>
      </x:c>
      <x:c r="C138" s="35" t="str">
        <x:v>features/maintenance/create_work_order_sheet.dart</x:v>
      </x:c>
      <x:c r="D138" s="35" t="str">
        <x:v>mobile/lib/features/maintenance/create_work_order_sheet.dart</x:v>
      </x:c>
      <x:c r="E138" s="20" t="str">
        <x:v>Applicant / public user</x:v>
      </x:c>
      <x:c r="F138" s="35" t="str">
        <x:v>Applicant / public user</x:v>
      </x:c>
      <x:c r="G138" s="23" t="n">
        <x:v>46639</x:v>
      </x:c>
      <x:c r="H138" s="35" t="str">
        <x:v>Open through normal navigation; use every visible action; save; reload; verify persisted values and linked history.</x:v>
      </x:c>
      <x:c r="I138" s="35" t="str">
        <x:v>Attempt with one adjacent unauthorized persona; fail closed without data disclosure or mutation.</x:v>
      </x:c>
      <x:c r="J138" s="35" t="str">
        <x:v>Real Android target; phone and rotated layout where meaningful</x:v>
      </x:c>
    </x:row>
    <x:row r="139">
      <x:c r="A139" s="20" t="str">
        <x:v>SCR-136</x:v>
      </x:c>
      <x:c r="B139" s="20" t="str">
        <x:v>Mobile</x:v>
      </x:c>
      <x:c r="C139" s="35" t="str">
        <x:v>features/maintenance/work_order_detail_screen.dart</x:v>
      </x:c>
      <x:c r="D139" s="35" t="str">
        <x:v>mobile/lib/features/maintenance/work_order_detail_screen.dart</x:v>
      </x:c>
      <x:c r="E139" s="20" t="str">
        <x:v>Applicant / public user</x:v>
      </x:c>
      <x:c r="F139" s="35" t="str">
        <x:v>Applicant / public user</x:v>
      </x:c>
      <x:c r="G139" s="23" t="n">
        <x:v>46640</x:v>
      </x:c>
      <x:c r="H139" s="35" t="str">
        <x:v>Open through normal navigation; use every visible action; save; reload; verify persisted values and linked history.</x:v>
      </x:c>
      <x:c r="I139" s="35" t="str">
        <x:v>Attempt with one adjacent unauthorized persona; fail closed without data disclosure or mutation.</x:v>
      </x:c>
      <x:c r="J139" s="35" t="str">
        <x:v>Real Android target; phone and rotated layout where meaningful</x:v>
      </x:c>
    </x:row>
    <x:row r="140">
      <x:c r="A140" s="20" t="str">
        <x:v>SCR-137</x:v>
      </x:c>
      <x:c r="B140" s="20" t="str">
        <x:v>Mobile</x:v>
      </x:c>
      <x:c r="C140" s="35" t="str">
        <x:v>features/maintenance/work_orders_screen.dart</x:v>
      </x:c>
      <x:c r="D140" s="35" t="str">
        <x:v>mobile/lib/features/maintenance/work_orders_screen.dart</x:v>
      </x:c>
      <x:c r="E140" s="20" t="str">
        <x:v>Applicant / public user</x:v>
      </x:c>
      <x:c r="F140" s="35" t="str">
        <x:v>Applicant / public user</x:v>
      </x:c>
      <x:c r="G140" s="23" t="n">
        <x:v>46643</x:v>
      </x:c>
      <x:c r="H140" s="35" t="str">
        <x:v>Open through normal navigation; use every visible action; save; reload; verify persisted values and linked history.</x:v>
      </x:c>
      <x:c r="I140" s="35" t="str">
        <x:v>Attempt with one adjacent unauthorized persona; fail closed without data disclosure or mutation.</x:v>
      </x:c>
      <x:c r="J140" s="35" t="str">
        <x:v>Real Android target; phone and rotated layout where meaningful</x:v>
      </x:c>
    </x:row>
    <x:row r="141">
      <x:c r="A141" s="20" t="str">
        <x:v>SCR-138</x:v>
      </x:c>
      <x:c r="B141" s="20" t="str">
        <x:v>Mobile</x:v>
      </x:c>
      <x:c r="C141" s="35" t="str">
        <x:v>features/messages/message_detail_screen.dart</x:v>
      </x:c>
      <x:c r="D141" s="35" t="str">
        <x:v>mobile/lib/features/messages/message_detail_screen.dart</x:v>
      </x:c>
      <x:c r="E141" s="20" t="str">
        <x:v>Applicant / public user</x:v>
      </x:c>
      <x:c r="F141" s="35" t="str">
        <x:v>Workspace Administrator; Property Manager; Leasing Agent; Maintenance Technician; Owner; Tenant</x:v>
      </x:c>
      <x:c r="G141" s="23" t="n">
        <x:v>46645</x:v>
      </x:c>
      <x:c r="H141" s="35" t="str">
        <x:v>Open through normal navigation; use every visible action; save; reload; verify persisted values and linked history.</x:v>
      </x:c>
      <x:c r="I141" s="35" t="str">
        <x:v>Attempt with one adjacent unauthorized persona; fail closed without data disclosure or mutation.</x:v>
      </x:c>
      <x:c r="J141" s="35" t="str">
        <x:v>Real Android target; phone and rotated layout where meaningful</x:v>
      </x:c>
    </x:row>
    <x:row r="142">
      <x:c r="A142" s="20" t="str">
        <x:v>SCR-139</x:v>
      </x:c>
      <x:c r="B142" s="20" t="str">
        <x:v>Mobile</x:v>
      </x:c>
      <x:c r="C142" s="35" t="str">
        <x:v>features/messages/messages_list_screen.dart</x:v>
      </x:c>
      <x:c r="D142" s="35" t="str">
        <x:v>mobile/lib/features/messages/messages_list_screen.dart</x:v>
      </x:c>
      <x:c r="E142" s="20" t="str">
        <x:v>Applicant / public user</x:v>
      </x:c>
      <x:c r="F142" s="35" t="str">
        <x:v>Workspace Administrator; Property Manager; Leasing Agent; Maintenance Technician; Owner; Tenant</x:v>
      </x:c>
      <x:c r="G142" s="23" t="n">
        <x:v>46646</x:v>
      </x:c>
      <x:c r="H142" s="35" t="str">
        <x:v>Open through normal navigation; use every visible action; save; reload; verify persisted values and linked history.</x:v>
      </x:c>
      <x:c r="I142" s="35" t="str">
        <x:v>Attempt with one adjacent unauthorized persona; fail closed without data disclosure or mutation.</x:v>
      </x:c>
      <x:c r="J142" s="35" t="str">
        <x:v>Real Android target; phone and rotated layout where meaningful</x:v>
      </x:c>
    </x:row>
    <x:row r="143">
      <x:c r="A143" s="20" t="str">
        <x:v>SCR-140</x:v>
      </x:c>
      <x:c r="B143" s="20" t="str">
        <x:v>Mobile</x:v>
      </x:c>
      <x:c r="C143" s="35" t="str">
        <x:v>features/money/expense_detail_screen.dart</x:v>
      </x:c>
      <x:c r="D143" s="35" t="str">
        <x:v>mobile/lib/features/money/expense_detail_screen.dart</x:v>
      </x:c>
      <x:c r="E143" s="20" t="str">
        <x:v>Applicant / public user</x:v>
      </x:c>
      <x:c r="F143" s="35" t="str">
        <x:v>Applicant / public user</x:v>
      </x:c>
      <x:c r="G143" s="23" t="n">
        <x:v>46647</x:v>
      </x:c>
      <x:c r="H143" s="35" t="str">
        <x:v>Open through normal navigation; use every visible action; save; reload; verify persisted values and linked history.</x:v>
      </x:c>
      <x:c r="I143" s="35" t="str">
        <x:v>Attempt with one adjacent unauthorized persona; fail closed without data disclosure or mutation.</x:v>
      </x:c>
      <x:c r="J143" s="35" t="str">
        <x:v>Real Android target; phone and rotated layout where meaningful</x:v>
      </x:c>
    </x:row>
    <x:row r="144">
      <x:c r="A144" s="20" t="str">
        <x:v>SCR-141</x:v>
      </x:c>
      <x:c r="B144" s="20" t="str">
        <x:v>Mobile</x:v>
      </x:c>
      <x:c r="C144" s="35" t="str">
        <x:v>features/money/expense_form_sheet.dart</x:v>
      </x:c>
      <x:c r="D144" s="35" t="str">
        <x:v>mobile/lib/features/money/expense_form_sheet.dart</x:v>
      </x:c>
      <x:c r="E144" s="20" t="str">
        <x:v>Applicant / public user</x:v>
      </x:c>
      <x:c r="F144" s="35" t="str">
        <x:v>Applicant / public user</x:v>
      </x:c>
      <x:c r="G144" s="23" t="n">
        <x:v>46650</x:v>
      </x:c>
      <x:c r="H144" s="35" t="str">
        <x:v>Open through normal navigation; use every visible action; save; reload; verify persisted values and linked history.</x:v>
      </x:c>
      <x:c r="I144" s="35" t="str">
        <x:v>Attempt with one adjacent unauthorized persona; fail closed without data disclosure or mutation.</x:v>
      </x:c>
      <x:c r="J144" s="35" t="str">
        <x:v>Real Android target; phone and rotated layout where meaningful</x:v>
      </x:c>
    </x:row>
    <x:row r="145">
      <x:c r="A145" s="20" t="str">
        <x:v>SCR-142</x:v>
      </x:c>
      <x:c r="B145" s="20" t="str">
        <x:v>Mobile</x:v>
      </x:c>
      <x:c r="C145" s="35" t="str">
        <x:v>features/money/expenses_list_screen.dart</x:v>
      </x:c>
      <x:c r="D145" s="35" t="str">
        <x:v>mobile/lib/features/money/expenses_list_screen.dart</x:v>
      </x:c>
      <x:c r="E145" s="20" t="str">
        <x:v>Applicant / public user</x:v>
      </x:c>
      <x:c r="F145" s="35" t="str">
        <x:v>Applicant / public user</x:v>
      </x:c>
      <x:c r="G145" s="23" t="n">
        <x:v>46652</x:v>
      </x:c>
      <x:c r="H145" s="35" t="str">
        <x:v>Open through normal navigation; use every visible action; save; reload; verify persisted values and linked history.</x:v>
      </x:c>
      <x:c r="I145" s="35" t="str">
        <x:v>Attempt with one adjacent unauthorized persona; fail closed without data disclosure or mutation.</x:v>
      </x:c>
      <x:c r="J145" s="35" t="str">
        <x:v>Real Android target; phone and rotated layout where meaningful</x:v>
      </x:c>
    </x:row>
    <x:row r="146">
      <x:c r="A146" s="20" t="str">
        <x:v>SCR-143</x:v>
      </x:c>
      <x:c r="B146" s="20" t="str">
        <x:v>Mobile</x:v>
      </x:c>
      <x:c r="C146" s="35" t="str">
        <x:v>features/money/money_screen.dart</x:v>
      </x:c>
      <x:c r="D146" s="35" t="str">
        <x:v>mobile/lib/features/money/money_screen.dart</x:v>
      </x:c>
      <x:c r="E146" s="20" t="str">
        <x:v>Applicant / public user</x:v>
      </x:c>
      <x:c r="F146" s="35" t="str">
        <x:v>Applicant / public user</x:v>
      </x:c>
      <x:c r="G146" s="23" t="n">
        <x:v>46653</x:v>
      </x:c>
      <x:c r="H146" s="35" t="str">
        <x:v>Open through normal navigation; use every visible action; save; reload; verify persisted values and linked history.</x:v>
      </x:c>
      <x:c r="I146" s="35" t="str">
        <x:v>Attempt with one adjacent unauthorized persona; fail closed without data disclosure or mutation.</x:v>
      </x:c>
      <x:c r="J146" s="35" t="str">
        <x:v>Real Android target; phone and rotated layout where meaningful</x:v>
      </x:c>
    </x:row>
    <x:row r="147">
      <x:c r="A147" s="20" t="str">
        <x:v>SCR-144</x:v>
      </x:c>
      <x:c r="B147" s="20" t="str">
        <x:v>Mobile</x:v>
      </x:c>
      <x:c r="C147" s="35" t="str">
        <x:v>features/money/overdue_screen.dart</x:v>
      </x:c>
      <x:c r="D147" s="35" t="str">
        <x:v>mobile/lib/features/money/overdue_screen.dart</x:v>
      </x:c>
      <x:c r="E147" s="20" t="str">
        <x:v>Applicant / public user</x:v>
      </x:c>
      <x:c r="F147" s="35" t="str">
        <x:v>Applicant / public user</x:v>
      </x:c>
      <x:c r="G147" s="23" t="n">
        <x:v>46654</x:v>
      </x:c>
      <x:c r="H147" s="35" t="str">
        <x:v>Open through normal navigation; use every visible action; save; reload; verify persisted values and linked history.</x:v>
      </x:c>
      <x:c r="I147" s="35" t="str">
        <x:v>Attempt with one adjacent unauthorized persona; fail closed without data disclosure or mutation.</x:v>
      </x:c>
      <x:c r="J147" s="35" t="str">
        <x:v>Real Android target; phone and rotated layout where meaningful</x:v>
      </x:c>
    </x:row>
    <x:row r="148">
      <x:c r="A148" s="20" t="str">
        <x:v>SCR-145</x:v>
      </x:c>
      <x:c r="B148" s="20" t="str">
        <x:v>Mobile</x:v>
      </x:c>
      <x:c r="C148" s="35" t="str">
        <x:v>features/money/receipt_upload_sheet.dart</x:v>
      </x:c>
      <x:c r="D148" s="35" t="str">
        <x:v>mobile/lib/features/money/receipt_upload_sheet.dart</x:v>
      </x:c>
      <x:c r="E148" s="20" t="str">
        <x:v>Applicant / public user</x:v>
      </x:c>
      <x:c r="F148" s="35" t="str">
        <x:v>Applicant / public user</x:v>
      </x:c>
      <x:c r="G148" s="23" t="n">
        <x:v>46657</x:v>
      </x:c>
      <x:c r="H148" s="35" t="str">
        <x:v>Open through normal navigation; use every visible action; save; reload; verify persisted values and linked history.</x:v>
      </x:c>
      <x:c r="I148" s="35" t="str">
        <x:v>Attempt with one adjacent unauthorized persona; fail closed without data disclosure or mutation.</x:v>
      </x:c>
      <x:c r="J148" s="35" t="str">
        <x:v>Real Android target; phone and rotated layout where meaningful</x:v>
      </x:c>
    </x:row>
    <x:row r="149">
      <x:c r="A149" s="20" t="str">
        <x:v>SCR-146</x:v>
      </x:c>
      <x:c r="B149" s="20" t="str">
        <x:v>Mobile</x:v>
      </x:c>
      <x:c r="C149" s="35" t="str">
        <x:v>features/money/receipt_viewer_screen.dart</x:v>
      </x:c>
      <x:c r="D149" s="35" t="str">
        <x:v>mobile/lib/features/money/receipt_viewer_screen.dart</x:v>
      </x:c>
      <x:c r="E149" s="20" t="str">
        <x:v>Applicant / public user</x:v>
      </x:c>
      <x:c r="F149" s="35" t="str">
        <x:v>Applicant / public user</x:v>
      </x:c>
      <x:c r="G149" s="23" t="n">
        <x:v>46659</x:v>
      </x:c>
      <x:c r="H149" s="35" t="str">
        <x:v>Open through normal navigation; use every visible action; save; reload; verify persisted values and linked history.</x:v>
      </x:c>
      <x:c r="I149" s="35" t="str">
        <x:v>Attempt with one adjacent unauthorized persona; fail closed without data disclosure or mutation.</x:v>
      </x:c>
      <x:c r="J149" s="35" t="str">
        <x:v>Real Android target; phone and rotated layout where meaningful</x:v>
      </x:c>
    </x:row>
    <x:row r="150">
      <x:c r="A150" s="20" t="str">
        <x:v>SCR-147</x:v>
      </x:c>
      <x:c r="B150" s="20" t="str">
        <x:v>Mobile</x:v>
      </x:c>
      <x:c r="C150" s="35" t="str">
        <x:v>features/notices/notices_screen.dart</x:v>
      </x:c>
      <x:c r="D150" s="35" t="str">
        <x:v>mobile/lib/features/notices/notices_screen.dart</x:v>
      </x:c>
      <x:c r="E150" s="20" t="str">
        <x:v>Applicant / public user</x:v>
      </x:c>
      <x:c r="F150" s="35" t="str">
        <x:v>Applicant / public user</x:v>
      </x:c>
      <x:c r="G150" s="23" t="n">
        <x:v>46660</x:v>
      </x:c>
      <x:c r="H150" s="35" t="str">
        <x:v>Open through normal navigation; use every visible action; save; reload; verify persisted values and linked history.</x:v>
      </x:c>
      <x:c r="I150" s="35" t="str">
        <x:v>Attempt with one adjacent unauthorized persona; fail closed without data disclosure or mutation.</x:v>
      </x:c>
      <x:c r="J150" s="35" t="str">
        <x:v>Real Android target; phone and rotated layout where meaningful</x:v>
      </x:c>
    </x:row>
    <x:row r="151">
      <x:c r="A151" s="20" t="str">
        <x:v>SCR-148</x:v>
      </x:c>
      <x:c r="B151" s="20" t="str">
        <x:v>Mobile</x:v>
      </x:c>
      <x:c r="C151" s="35" t="str">
        <x:v>features/notifications/notifications_inbox_screen.dart</x:v>
      </x:c>
      <x:c r="D151" s="35" t="str">
        <x:v>mobile/lib/features/notifications/notifications_inbox_screen.dart</x:v>
      </x:c>
      <x:c r="E151" s="20" t="str">
        <x:v>Applicant / public user</x:v>
      </x:c>
      <x:c r="F151" s="35" t="str">
        <x:v>Workspace Administrator; Property Manager; Leasing Agent; Maintenance Technician; Owner; Tenant</x:v>
      </x:c>
      <x:c r="G151" s="23" t="n">
        <x:v>46661</x:v>
      </x:c>
      <x:c r="H151" s="35" t="str">
        <x:v>Open through normal navigation; use every visible action; save; reload; verify persisted values and linked history.</x:v>
      </x:c>
      <x:c r="I151" s="35" t="str">
        <x:v>Attempt with one adjacent unauthorized persona; fail closed without data disclosure or mutation.</x:v>
      </x:c>
      <x:c r="J151" s="35" t="str">
        <x:v>Real Android target; phone and rotated layout where meaningful</x:v>
      </x:c>
    </x:row>
    <x:row r="152">
      <x:c r="A152" s="20" t="str">
        <x:v>SCR-149</x:v>
      </x:c>
      <x:c r="B152" s="20" t="str">
        <x:v>Mobile</x:v>
      </x:c>
      <x:c r="C152" s="35" t="str">
        <x:v>features/onboarding/getting_started_screen.dart</x:v>
      </x:c>
      <x:c r="D152" s="35" t="str">
        <x:v>mobile/lib/features/onboarding/getting_started_screen.dart</x:v>
      </x:c>
      <x:c r="E152" s="20" t="str">
        <x:v>Applicant / public user</x:v>
      </x:c>
      <x:c r="F152" s="35" t="str">
        <x:v>Workspace Administrator</x:v>
      </x:c>
      <x:c r="G152" s="23" t="n">
        <x:v>46664</x:v>
      </x:c>
      <x:c r="H152" s="35" t="str">
        <x:v>Open through normal navigation; use every visible action; save; reload; verify persisted values and linked history.</x:v>
      </x:c>
      <x:c r="I152" s="35" t="str">
        <x:v>Attempt with one adjacent unauthorized persona; fail closed without data disclosure or mutation.</x:v>
      </x:c>
      <x:c r="J152" s="35" t="str">
        <x:v>Real Android target; phone and rotated layout where meaningful</x:v>
      </x:c>
    </x:row>
    <x:row r="153">
      <x:c r="A153" s="20" t="str">
        <x:v>SCR-150</x:v>
      </x:c>
      <x:c r="B153" s="20" t="str">
        <x:v>Mobile</x:v>
      </x:c>
      <x:c r="C153" s="35" t="str">
        <x:v>features/onboarding/go_live_sheet.dart</x:v>
      </x:c>
      <x:c r="D153" s="35" t="str">
        <x:v>mobile/lib/features/onboarding/go_live_sheet.dart</x:v>
      </x:c>
      <x:c r="E153" s="20" t="str">
        <x:v>Applicant / public user</x:v>
      </x:c>
      <x:c r="F153" s="35" t="str">
        <x:v>Workspace Administrator</x:v>
      </x:c>
      <x:c r="G153" s="23" t="n">
        <x:v>46666</x:v>
      </x:c>
      <x:c r="H153" s="35" t="str">
        <x:v>Open through normal navigation; use every visible action; save; reload; verify persisted values and linked history.</x:v>
      </x:c>
      <x:c r="I153" s="35" t="str">
        <x:v>Attempt with one adjacent unauthorized persona; fail closed without data disclosure or mutation.</x:v>
      </x:c>
      <x:c r="J153" s="35" t="str">
        <x:v>Real Android target; phone and rotated layout where meaningful</x:v>
      </x:c>
    </x:row>
    <x:row r="154">
      <x:c r="A154" s="20" t="str">
        <x:v>SCR-151</x:v>
      </x:c>
      <x:c r="B154" s="20" t="str">
        <x:v>Mobile</x:v>
      </x:c>
      <x:c r="C154" s="35" t="str">
        <x:v>features/onboarding/onboarding_choice_screen.dart</x:v>
      </x:c>
      <x:c r="D154" s="35" t="str">
        <x:v>mobile/lib/features/onboarding/onboarding_choice_screen.dart</x:v>
      </x:c>
      <x:c r="E154" s="20" t="str">
        <x:v>Applicant / public user</x:v>
      </x:c>
      <x:c r="F154" s="35" t="str">
        <x:v>Workspace Administrator</x:v>
      </x:c>
      <x:c r="G154" s="23" t="n">
        <x:v>46667</x:v>
      </x:c>
      <x:c r="H154" s="35" t="str">
        <x:v>Open through normal navigation; use every visible action; save; reload; verify persisted values and linked history.</x:v>
      </x:c>
      <x:c r="I154" s="35" t="str">
        <x:v>Attempt with one adjacent unauthorized persona; fail closed without data disclosure or mutation.</x:v>
      </x:c>
      <x:c r="J154" s="35" t="str">
        <x:v>Real Android target; phone and rotated layout where meaningful</x:v>
      </x:c>
    </x:row>
    <x:row r="155">
      <x:c r="A155" s="20" t="str">
        <x:v>SCR-152</x:v>
      </x:c>
      <x:c r="B155" s="20" t="str">
        <x:v>Mobile</x:v>
      </x:c>
      <x:c r="C155" s="35" t="str">
        <x:v>features/onboarding/onboarding_live_setup_screen.dart</x:v>
      </x:c>
      <x:c r="D155" s="35" t="str">
        <x:v>mobile/lib/features/onboarding/onboarding_live_setup_screen.dart</x:v>
      </x:c>
      <x:c r="E155" s="20" t="str">
        <x:v>Applicant / public user</x:v>
      </x:c>
      <x:c r="F155" s="35" t="str">
        <x:v>Workspace Administrator</x:v>
      </x:c>
      <x:c r="G155" s="23" t="n">
        <x:v>46668</x:v>
      </x:c>
      <x:c r="H155" s="35" t="str">
        <x:v>Open through normal navigation; use every visible action; save; reload; verify persisted values and linked history.</x:v>
      </x:c>
      <x:c r="I155" s="35" t="str">
        <x:v>Attempt with one adjacent unauthorized persona; fail closed without data disclosure or mutation.</x:v>
      </x:c>
      <x:c r="J155" s="35" t="str">
        <x:v>Real Android target; phone and rotated layout where meaningful</x:v>
      </x:c>
    </x:row>
    <x:row r="156">
      <x:c r="A156" s="20" t="str">
        <x:v>SCR-153</x:v>
      </x:c>
      <x:c r="B156" s="20" t="str">
        <x:v>Mobile</x:v>
      </x:c>
      <x:c r="C156" s="35" t="str">
        <x:v>features/onboarding/onboarding_seeding_screen.dart</x:v>
      </x:c>
      <x:c r="D156" s="35" t="str">
        <x:v>mobile/lib/features/onboarding/onboarding_seeding_screen.dart</x:v>
      </x:c>
      <x:c r="E156" s="20" t="str">
        <x:v>Applicant / public user</x:v>
      </x:c>
      <x:c r="F156" s="35" t="str">
        <x:v>Workspace Administrator</x:v>
      </x:c>
      <x:c r="G156" s="23" t="n">
        <x:v>46671</x:v>
      </x:c>
      <x:c r="H156" s="35" t="str">
        <x:v>Open through normal navigation; use every visible action; save; reload; verify persisted values and linked history.</x:v>
      </x:c>
      <x:c r="I156" s="35" t="str">
        <x:v>Attempt with one adjacent unauthorized persona; fail closed without data disclosure or mutation.</x:v>
      </x:c>
      <x:c r="J156" s="35" t="str">
        <x:v>Real Android target; phone and rotated layout where meaningful</x:v>
      </x:c>
    </x:row>
    <x:row r="157">
      <x:c r="A157" s="20" t="str">
        <x:v>SCR-154</x:v>
      </x:c>
      <x:c r="B157" s="20" t="str">
        <x:v>Mobile</x:v>
      </x:c>
      <x:c r="C157" s="35" t="str">
        <x:v>features/owner_reports/owner_reports_screen.dart</x:v>
      </x:c>
      <x:c r="D157" s="35" t="str">
        <x:v>mobile/lib/features/owner_reports/owner_reports_screen.dart</x:v>
      </x:c>
      <x:c r="E157" s="20" t="str">
        <x:v>Applicant / public user</x:v>
      </x:c>
      <x:c r="F157" s="35" t="str">
        <x:v>Applicant / public user</x:v>
      </x:c>
      <x:c r="G157" s="23" t="n">
        <x:v>46673</x:v>
      </x:c>
      <x:c r="H157" s="35" t="str">
        <x:v>Open through normal navigation; use every visible action; save; reload; verify persisted values and linked history.</x:v>
      </x:c>
      <x:c r="I157" s="35" t="str">
        <x:v>Attempt with one adjacent unauthorized persona; fail closed without data disclosure or mutation.</x:v>
      </x:c>
      <x:c r="J157" s="35" t="str">
        <x:v>Real Android target; phone and rotated layout where meaningful</x:v>
      </x:c>
    </x:row>
    <x:row r="158">
      <x:c r="A158" s="20" t="str">
        <x:v>SCR-155</x:v>
      </x:c>
      <x:c r="B158" s="20" t="str">
        <x:v>Mobile</x:v>
      </x:c>
      <x:c r="C158" s="35" t="str">
        <x:v>features/owners/owner_detail_screen.dart</x:v>
      </x:c>
      <x:c r="D158" s="35" t="str">
        <x:v>mobile/lib/features/owners/owner_detail_screen.dart</x:v>
      </x:c>
      <x:c r="E158" s="20" t="str">
        <x:v>Applicant / public user</x:v>
      </x:c>
      <x:c r="F158" s="35" t="str">
        <x:v>Applicant / public user</x:v>
      </x:c>
      <x:c r="G158" s="23" t="n">
        <x:v>46674</x:v>
      </x:c>
      <x:c r="H158" s="35" t="str">
        <x:v>Open through normal navigation; use every visible action; save; reload; verify persisted values and linked history.</x:v>
      </x:c>
      <x:c r="I158" s="35" t="str">
        <x:v>Attempt with one adjacent unauthorized persona; fail closed without data disclosure or mutation.</x:v>
      </x:c>
      <x:c r="J158" s="35" t="str">
        <x:v>Real Android target; phone and rotated layout where meaningful</x:v>
      </x:c>
    </x:row>
    <x:row r="159">
      <x:c r="A159" s="20" t="str">
        <x:v>SCR-156</x:v>
      </x:c>
      <x:c r="B159" s="20" t="str">
        <x:v>Mobile</x:v>
      </x:c>
      <x:c r="C159" s="35" t="str">
        <x:v>features/owners/owner_form_sheet.dart</x:v>
      </x:c>
      <x:c r="D159" s="35" t="str">
        <x:v>mobile/lib/features/owners/owner_form_sheet.dart</x:v>
      </x:c>
      <x:c r="E159" s="20" t="str">
        <x:v>Applicant / public user</x:v>
      </x:c>
      <x:c r="F159" s="35" t="str">
        <x:v>Applicant / public user</x:v>
      </x:c>
      <x:c r="G159" s="23" t="n">
        <x:v>46675</x:v>
      </x:c>
      <x:c r="H159" s="35" t="str">
        <x:v>Open through normal navigation; use every visible action; save; reload; verify persisted values and linked history.</x:v>
      </x:c>
      <x:c r="I159" s="35" t="str">
        <x:v>Attempt with one adjacent unauthorized persona; fail closed without data disclosure or mutation.</x:v>
      </x:c>
      <x:c r="J159" s="35" t="str">
        <x:v>Real Android target; phone and rotated layout where meaningful</x:v>
      </x:c>
    </x:row>
    <x:row r="160">
      <x:c r="A160" s="20" t="str">
        <x:v>SCR-157</x:v>
      </x:c>
      <x:c r="B160" s="20" t="str">
        <x:v>Mobile</x:v>
      </x:c>
      <x:c r="C160" s="35" t="str">
        <x:v>features/owners/owners_list_screen.dart</x:v>
      </x:c>
      <x:c r="D160" s="35" t="str">
        <x:v>mobile/lib/features/owners/owners_list_screen.dart</x:v>
      </x:c>
      <x:c r="E160" s="20" t="str">
        <x:v>Applicant / public user</x:v>
      </x:c>
      <x:c r="F160" s="35" t="str">
        <x:v>Applicant / public user</x:v>
      </x:c>
      <x:c r="G160" s="23" t="n">
        <x:v>46678</x:v>
      </x:c>
      <x:c r="H160" s="35" t="str">
        <x:v>Open through normal navigation; use every visible action; save; reload; verify persisted values and linked history.</x:v>
      </x:c>
      <x:c r="I160" s="35" t="str">
        <x:v>Attempt with one adjacent unauthorized persona; fail closed without data disclosure or mutation.</x:v>
      </x:c>
      <x:c r="J160" s="35" t="str">
        <x:v>Real Android target; phone and rotated layout where meaningful</x:v>
      </x:c>
    </x:row>
    <x:row r="161">
      <x:c r="A161" s="20" t="str">
        <x:v>SCR-158</x:v>
      </x:c>
      <x:c r="B161" s="20" t="str">
        <x:v>Mobile</x:v>
      </x:c>
      <x:c r="C161" s="35" t="str">
        <x:v>features/payments/payment_detail_screen.dart</x:v>
      </x:c>
      <x:c r="D161" s="35" t="str">
        <x:v>mobile/lib/features/payments/payment_detail_screen.dart</x:v>
      </x:c>
      <x:c r="E161" s="20" t="str">
        <x:v>Applicant / public user</x:v>
      </x:c>
      <x:c r="F161" s="35" t="str">
        <x:v>Applicant / public user</x:v>
      </x:c>
      <x:c r="G161" s="23" t="n">
        <x:v>46680</x:v>
      </x:c>
      <x:c r="H161" s="35" t="str">
        <x:v>Open through normal navigation; use every visible action; save; reload; verify persisted values and linked history.</x:v>
      </x:c>
      <x:c r="I161" s="35" t="str">
        <x:v>Attempt with one adjacent unauthorized persona; fail closed without data disclosure or mutation.</x:v>
      </x:c>
      <x:c r="J161" s="35" t="str">
        <x:v>Real Android target; phone and rotated layout where meaningful</x:v>
      </x:c>
    </x:row>
    <x:row r="162">
      <x:c r="A162" s="20" t="str">
        <x:v>SCR-159</x:v>
      </x:c>
      <x:c r="B162" s="20" t="str">
        <x:v>Mobile</x:v>
      </x:c>
      <x:c r="C162" s="35" t="str">
        <x:v>features/payments/payments_screen.dart</x:v>
      </x:c>
      <x:c r="D162" s="35" t="str">
        <x:v>mobile/lib/features/payments/payments_screen.dart</x:v>
      </x:c>
      <x:c r="E162" s="20" t="str">
        <x:v>Applicant / public user</x:v>
      </x:c>
      <x:c r="F162" s="35" t="str">
        <x:v>Applicant / public user</x:v>
      </x:c>
      <x:c r="G162" s="23" t="n">
        <x:v>46681</x:v>
      </x:c>
      <x:c r="H162" s="35" t="str">
        <x:v>Open through normal navigation; use every visible action; save; reload; verify persisted values and linked history.</x:v>
      </x:c>
      <x:c r="I162" s="35" t="str">
        <x:v>Attempt with one adjacent unauthorized persona; fail closed without data disclosure or mutation.</x:v>
      </x:c>
      <x:c r="J162" s="35" t="str">
        <x:v>Real Android target; phone and rotated layout where meaningful</x:v>
      </x:c>
    </x:row>
    <x:row r="163">
      <x:c r="A163" s="20" t="str">
        <x:v>SCR-160</x:v>
      </x:c>
      <x:c r="B163" s="20" t="str">
        <x:v>Mobile</x:v>
      </x:c>
      <x:c r="C163" s="35" t="str">
        <x:v>features/payments/tenant_account_receipt_flow.dart</x:v>
      </x:c>
      <x:c r="D163" s="35" t="str">
        <x:v>mobile/lib/features/payments/tenant_account_receipt_flow.dart</x:v>
      </x:c>
      <x:c r="E163" s="20" t="str">
        <x:v>Tenant</x:v>
      </x:c>
      <x:c r="F163" s="35" t="str">
        <x:v>Tenant</x:v>
      </x:c>
      <x:c r="G163" s="23" t="n">
        <x:v>46682</x:v>
      </x:c>
      <x:c r="H163" s="35" t="str">
        <x:v>Open through normal navigation; use every visible action; save; reload; verify persisted values and linked history.</x:v>
      </x:c>
      <x:c r="I163" s="35" t="str">
        <x:v>Attempt with one adjacent unauthorized persona; fail closed without data disclosure or mutation.</x:v>
      </x:c>
      <x:c r="J163" s="35" t="str">
        <x:v>Real Android target; phone and rotated layout where meaningful</x:v>
      </x:c>
    </x:row>
    <x:row r="164">
      <x:c r="A164" s="20" t="str">
        <x:v>SCR-161</x:v>
      </x:c>
      <x:c r="B164" s="20" t="str">
        <x:v>Mobile</x:v>
      </x:c>
      <x:c r="C164" s="35" t="str">
        <x:v>features/portal/create_tenant_work_order_sheet.dart</x:v>
      </x:c>
      <x:c r="D164" s="35" t="str">
        <x:v>mobile/lib/features/portal/create_tenant_work_order_sheet.dart</x:v>
      </x:c>
      <x:c r="E164" s="20" t="str">
        <x:v>Tenant</x:v>
      </x:c>
      <x:c r="F164" s="35" t="str">
        <x:v>Tenant</x:v>
      </x:c>
      <x:c r="G164" s="23" t="n">
        <x:v>46685</x:v>
      </x:c>
      <x:c r="H164" s="35" t="str">
        <x:v>Open through normal navigation; use every visible action; save; reload; verify persisted values and linked history.</x:v>
      </x:c>
      <x:c r="I164" s="35" t="str">
        <x:v>Attempt with one adjacent unauthorized persona; fail closed without data disclosure or mutation.</x:v>
      </x:c>
      <x:c r="J164" s="35" t="str">
        <x:v>Real Android target; phone and rotated layout where meaningful</x:v>
      </x:c>
    </x:row>
    <x:row r="165">
      <x:c r="A165" s="20" t="str">
        <x:v>SCR-162</x:v>
      </x:c>
      <x:c r="B165" s="20" t="str">
        <x:v>Mobile</x:v>
      </x:c>
      <x:c r="C165" s="35" t="str">
        <x:v>features/portal/tenant_account_history_screen.dart</x:v>
      </x:c>
      <x:c r="D165" s="35" t="str">
        <x:v>mobile/lib/features/portal/tenant_account_history_screen.dart</x:v>
      </x:c>
      <x:c r="E165" s="20" t="str">
        <x:v>Tenant</x:v>
      </x:c>
      <x:c r="F165" s="35" t="str">
        <x:v>Tenant</x:v>
      </x:c>
      <x:c r="G165" s="23" t="n">
        <x:v>46687</x:v>
      </x:c>
      <x:c r="H165" s="35" t="str">
        <x:v>Open through normal navigation; use every visible action; save; reload; verify persisted values and linked history.</x:v>
      </x:c>
      <x:c r="I165" s="35" t="str">
        <x:v>Attempt with one adjacent unauthorized persona; fail closed without data disclosure or mutation.</x:v>
      </x:c>
      <x:c r="J165" s="35" t="str">
        <x:v>Real Android target; phone and rotated layout where meaningful</x:v>
      </x:c>
    </x:row>
    <x:row r="166">
      <x:c r="A166" s="20" t="str">
        <x:v>SCR-163</x:v>
      </x:c>
      <x:c r="B166" s="20" t="str">
        <x:v>Mobile</x:v>
      </x:c>
      <x:c r="C166" s="35" t="str">
        <x:v>features/portal/tenant_maintenance_screen.dart</x:v>
      </x:c>
      <x:c r="D166" s="35" t="str">
        <x:v>mobile/lib/features/portal/tenant_maintenance_screen.dart</x:v>
      </x:c>
      <x:c r="E166" s="20" t="str">
        <x:v>Tenant</x:v>
      </x:c>
      <x:c r="F166" s="35" t="str">
        <x:v>Tenant</x:v>
      </x:c>
      <x:c r="G166" s="23" t="n">
        <x:v>46688</x:v>
      </x:c>
      <x:c r="H166" s="35" t="str">
        <x:v>Open through normal navigation; use every visible action; save; reload; verify persisted values and linked history.</x:v>
      </x:c>
      <x:c r="I166" s="35" t="str">
        <x:v>Attempt with one adjacent unauthorized persona; fail closed without data disclosure or mutation.</x:v>
      </x:c>
      <x:c r="J166" s="35" t="str">
        <x:v>Real Android target; phone and rotated layout where meaningful</x:v>
      </x:c>
    </x:row>
    <x:row r="167">
      <x:c r="A167" s="20" t="str">
        <x:v>SCR-164</x:v>
      </x:c>
      <x:c r="B167" s="20" t="str">
        <x:v>Mobile</x:v>
      </x:c>
      <x:c r="C167" s="35" t="str">
        <x:v>features/portal/tenant_work_order_detail_screen.dart</x:v>
      </x:c>
      <x:c r="D167" s="35" t="str">
        <x:v>mobile/lib/features/portal/tenant_work_order_detail_screen.dart</x:v>
      </x:c>
      <x:c r="E167" s="20" t="str">
        <x:v>Tenant</x:v>
      </x:c>
      <x:c r="F167" s="35" t="str">
        <x:v>Tenant</x:v>
      </x:c>
      <x:c r="G167" s="23" t="n">
        <x:v>46689</x:v>
      </x:c>
      <x:c r="H167" s="35" t="str">
        <x:v>Open through normal navigation; use every visible action; save; reload; verify persisted values and linked history.</x:v>
      </x:c>
      <x:c r="I167" s="35" t="str">
        <x:v>Attempt with one adjacent unauthorized persona; fail closed without data disclosure or mutation.</x:v>
      </x:c>
      <x:c r="J167" s="35" t="str">
        <x:v>Real Android target; phone and rotated layout where meaningful</x:v>
      </x:c>
    </x:row>
    <x:row r="168">
      <x:c r="A168" s="20" t="str">
        <x:v>SCR-165</x:v>
      </x:c>
      <x:c r="B168" s="20" t="str">
        <x:v>Mobile</x:v>
      </x:c>
      <x:c r="C168" s="35" t="str">
        <x:v>features/properties/properties_list_screen.dart</x:v>
      </x:c>
      <x:c r="D168" s="35" t="str">
        <x:v>mobile/lib/features/properties/properties_list_screen.dart</x:v>
      </x:c>
      <x:c r="E168" s="20" t="str">
        <x:v>Applicant / public user</x:v>
      </x:c>
      <x:c r="F168" s="35" t="str">
        <x:v>Applicant / public user</x:v>
      </x:c>
      <x:c r="G168" s="23" t="n">
        <x:v>46692</x:v>
      </x:c>
      <x:c r="H168" s="35" t="str">
        <x:v>Open through normal navigation; use every visible action; save; reload; verify persisted values and linked history.</x:v>
      </x:c>
      <x:c r="I168" s="35" t="str">
        <x:v>Attempt with one adjacent unauthorized persona; fail closed without data disclosure or mutation.</x:v>
      </x:c>
      <x:c r="J168" s="35" t="str">
        <x:v>Real Android target; phone and rotated layout where meaningful</x:v>
      </x:c>
    </x:row>
    <x:row r="169">
      <x:c r="A169" s="20" t="str">
        <x:v>SCR-166</x:v>
      </x:c>
      <x:c r="B169" s="20" t="str">
        <x:v>Mobile</x:v>
      </x:c>
      <x:c r="C169" s="35" t="str">
        <x:v>features/properties/properties_tab.dart</x:v>
      </x:c>
      <x:c r="D169" s="35" t="str">
        <x:v>mobile/lib/features/properties/properties_tab.dart</x:v>
      </x:c>
      <x:c r="E169" s="20" t="str">
        <x:v>Applicant / public user</x:v>
      </x:c>
      <x:c r="F169" s="35" t="str">
        <x:v>Applicant / public user</x:v>
      </x:c>
      <x:c r="G169" s="23" t="n">
        <x:v>46694</x:v>
      </x:c>
      <x:c r="H169" s="35" t="str">
        <x:v>Open through normal navigation; use every visible action; save; reload; verify persisted values and linked history.</x:v>
      </x:c>
      <x:c r="I169" s="35" t="str">
        <x:v>Attempt with one adjacent unauthorized persona; fail closed without data disclosure or mutation.</x:v>
      </x:c>
      <x:c r="J169" s="35" t="str">
        <x:v>Real Android target; phone and rotated layout where meaningful</x:v>
      </x:c>
    </x:row>
    <x:row r="170">
      <x:c r="A170" s="20" t="str">
        <x:v>SCR-167</x:v>
      </x:c>
      <x:c r="B170" s="20" t="str">
        <x:v>Mobile</x:v>
      </x:c>
      <x:c r="C170" s="35" t="str">
        <x:v>features/properties/property_capital_asset_form_sheet.dart</x:v>
      </x:c>
      <x:c r="D170" s="35" t="str">
        <x:v>mobile/lib/features/properties/property_capital_asset_form_sheet.dart</x:v>
      </x:c>
      <x:c r="E170" s="20" t="str">
        <x:v>Applicant / public user</x:v>
      </x:c>
      <x:c r="F170" s="35" t="str">
        <x:v>Applicant / public user</x:v>
      </x:c>
      <x:c r="G170" s="23" t="n">
        <x:v>46695</x:v>
      </x:c>
      <x:c r="H170" s="35" t="str">
        <x:v>Open through normal navigation; use every visible action; save; reload; verify persisted values and linked history.</x:v>
      </x:c>
      <x:c r="I170" s="35" t="str">
        <x:v>Attempt with one adjacent unauthorized persona; fail closed without data disclosure or mutation.</x:v>
      </x:c>
      <x:c r="J170" s="35" t="str">
        <x:v>Real Android target; phone and rotated layout where meaningful</x:v>
      </x:c>
    </x:row>
    <x:row r="171">
      <x:c r="A171" s="20" t="str">
        <x:v>SCR-168</x:v>
      </x:c>
      <x:c r="B171" s="20" t="str">
        <x:v>Mobile</x:v>
      </x:c>
      <x:c r="C171" s="35" t="str">
        <x:v>features/properties/property_detail_screen.dart</x:v>
      </x:c>
      <x:c r="D171" s="35" t="str">
        <x:v>mobile/lib/features/properties/property_detail_screen.dart</x:v>
      </x:c>
      <x:c r="E171" s="20" t="str">
        <x:v>Applicant / public user</x:v>
      </x:c>
      <x:c r="F171" s="35" t="str">
        <x:v>Applicant / public user</x:v>
      </x:c>
      <x:c r="G171" s="23" t="n">
        <x:v>46696</x:v>
      </x:c>
      <x:c r="H171" s="35" t="str">
        <x:v>Open through normal navigation; use every visible action; save; reload; verify persisted values and linked history.</x:v>
      </x:c>
      <x:c r="I171" s="35" t="str">
        <x:v>Attempt with one adjacent unauthorized persona; fail closed without data disclosure or mutation.</x:v>
      </x:c>
      <x:c r="J171" s="35" t="str">
        <x:v>Real Android target; phone and rotated layout where meaningful</x:v>
      </x:c>
    </x:row>
    <x:row r="172">
      <x:c r="A172" s="20" t="str">
        <x:v>SCR-169</x:v>
      </x:c>
      <x:c r="B172" s="20" t="str">
        <x:v>Mobile</x:v>
      </x:c>
      <x:c r="C172" s="35" t="str">
        <x:v>features/properties/property_disposition_form_sheet.dart</x:v>
      </x:c>
      <x:c r="D172" s="35" t="str">
        <x:v>mobile/lib/features/properties/property_disposition_form_sheet.dart</x:v>
      </x:c>
      <x:c r="E172" s="20" t="str">
        <x:v>Applicant / public user</x:v>
      </x:c>
      <x:c r="F172" s="35" t="str">
        <x:v>Applicant / public user</x:v>
      </x:c>
      <x:c r="G172" s="23" t="n">
        <x:v>46699</x:v>
      </x:c>
      <x:c r="H172" s="35" t="str">
        <x:v>Open through normal navigation; use every visible action; save; reload; verify persisted values and linked history.</x:v>
      </x:c>
      <x:c r="I172" s="35" t="str">
        <x:v>Attempt with one adjacent unauthorized persona; fail closed without data disclosure or mutation.</x:v>
      </x:c>
      <x:c r="J172" s="35" t="str">
        <x:v>Real Android target; phone and rotated layout where meaningful</x:v>
      </x:c>
    </x:row>
    <x:row r="173">
      <x:c r="A173" s="20" t="str">
        <x:v>SCR-170</x:v>
      </x:c>
      <x:c r="B173" s="20" t="str">
        <x:v>Mobile</x:v>
      </x:c>
      <x:c r="C173" s="35" t="str">
        <x:v>features/properties/property_form_sheet.dart</x:v>
      </x:c>
      <x:c r="D173" s="35" t="str">
        <x:v>mobile/lib/features/properties/property_form_sheet.dart</x:v>
      </x:c>
      <x:c r="E173" s="20" t="str">
        <x:v>Applicant / public user</x:v>
      </x:c>
      <x:c r="F173" s="35" t="str">
        <x:v>Applicant / public user</x:v>
      </x:c>
      <x:c r="G173" s="23" t="n">
        <x:v>46701</x:v>
      </x:c>
      <x:c r="H173" s="35" t="str">
        <x:v>Open through normal navigation; use every visible action; save; reload; verify persisted values and linked history.</x:v>
      </x:c>
      <x:c r="I173" s="35" t="str">
        <x:v>Attempt with one adjacent unauthorized persona; fail closed without data disclosure or mutation.</x:v>
      </x:c>
      <x:c r="J173" s="35" t="str">
        <x:v>Real Android target; phone and rotated layout where meaningful</x:v>
      </x:c>
    </x:row>
    <x:row r="174">
      <x:c r="A174" s="20" t="str">
        <x:v>SCR-171</x:v>
      </x:c>
      <x:c r="B174" s="20" t="str">
        <x:v>Mobile</x:v>
      </x:c>
      <x:c r="C174" s="35" t="str">
        <x:v>features/properties/property_loan_form_sheet.dart</x:v>
      </x:c>
      <x:c r="D174" s="35" t="str">
        <x:v>mobile/lib/features/properties/property_loan_form_sheet.dart</x:v>
      </x:c>
      <x:c r="E174" s="20" t="str">
        <x:v>Applicant / public user</x:v>
      </x:c>
      <x:c r="F174" s="35" t="str">
        <x:v>Applicant / public user</x:v>
      </x:c>
      <x:c r="G174" s="23" t="n">
        <x:v>46702</x:v>
      </x:c>
      <x:c r="H174" s="35" t="str">
        <x:v>Open through normal navigation; use every visible action; save; reload; verify persisted values and linked history.</x:v>
      </x:c>
      <x:c r="I174" s="35" t="str">
        <x:v>Attempt with one adjacent unauthorized persona; fail closed without data disclosure or mutation.</x:v>
      </x:c>
      <x:c r="J174" s="35" t="str">
        <x:v>Real Android target; phone and rotated layout where meaningful</x:v>
      </x:c>
    </x:row>
    <x:row r="175">
      <x:c r="A175" s="20" t="str">
        <x:v>SCR-172</x:v>
      </x:c>
      <x:c r="B175" s="20" t="str">
        <x:v>Mobile</x:v>
      </x:c>
      <x:c r="C175" s="35" t="str">
        <x:v>features/recurring_maintenance/recurring_maintenance_form_screen.dart</x:v>
      </x:c>
      <x:c r="D175" s="35" t="str">
        <x:v>mobile/lib/features/recurring_maintenance/recurring_maintenance_form_screen.dart</x:v>
      </x:c>
      <x:c r="E175" s="20" t="str">
        <x:v>Applicant / public user</x:v>
      </x:c>
      <x:c r="F175" s="35" t="str">
        <x:v>Applicant / public user</x:v>
      </x:c>
      <x:c r="G175" s="23" t="n">
        <x:v>46703</x:v>
      </x:c>
      <x:c r="H175" s="35" t="str">
        <x:v>Open through normal navigation; use every visible action; save; reload; verify persisted values and linked history.</x:v>
      </x:c>
      <x:c r="I175" s="35" t="str">
        <x:v>Attempt with one adjacent unauthorized persona; fail closed without data disclosure or mutation.</x:v>
      </x:c>
      <x:c r="J175" s="35" t="str">
        <x:v>Real Android target; phone and rotated layout where meaningful</x:v>
      </x:c>
    </x:row>
    <x:row r="176">
      <x:c r="A176" s="20" t="str">
        <x:v>SCR-173</x:v>
      </x:c>
      <x:c r="B176" s="20" t="str">
        <x:v>Mobile</x:v>
      </x:c>
      <x:c r="C176" s="35" t="str">
        <x:v>features/recurring_maintenance/recurring_maintenance_list_screen.dart</x:v>
      </x:c>
      <x:c r="D176" s="35" t="str">
        <x:v>mobile/lib/features/recurring_maintenance/recurring_maintenance_list_screen.dart</x:v>
      </x:c>
      <x:c r="E176" s="20" t="str">
        <x:v>Applicant / public user</x:v>
      </x:c>
      <x:c r="F176" s="35" t="str">
        <x:v>Applicant / public user</x:v>
      </x:c>
      <x:c r="G176" s="23" t="n">
        <x:v>46706</x:v>
      </x:c>
      <x:c r="H176" s="35" t="str">
        <x:v>Open through normal navigation; use every visible action; save; reload; verify persisted values and linked history.</x:v>
      </x:c>
      <x:c r="I176" s="35" t="str">
        <x:v>Attempt with one adjacent unauthorized persona; fail closed without data disclosure or mutation.</x:v>
      </x:c>
      <x:c r="J176" s="35" t="str">
        <x:v>Real Android target; phone and rotated layout where meaningful</x:v>
      </x:c>
    </x:row>
    <x:row r="177">
      <x:c r="A177" s="20" t="str">
        <x:v>SCR-174</x:v>
      </x:c>
      <x:c r="B177" s="20" t="str">
        <x:v>Mobile</x:v>
      </x:c>
      <x:c r="C177" s="35" t="str">
        <x:v>features/scan/guided_rental_flow.dart</x:v>
      </x:c>
      <x:c r="D177" s="35" t="str">
        <x:v>mobile/lib/features/scan/guided_rental_flow.dart</x:v>
      </x:c>
      <x:c r="E177" s="20" t="str">
        <x:v>Applicant / public user</x:v>
      </x:c>
      <x:c r="F177" s="35" t="str">
        <x:v>Workspace Administrator; Property Manager; Leasing Agent; Maintenance Technician</x:v>
      </x:c>
      <x:c r="G177" s="23" t="n">
        <x:v>46708</x:v>
      </x:c>
      <x:c r="H177" s="35" t="str">
        <x:v>Open through normal navigation; use every visible action; save; reload; verify persisted values and linked history.</x:v>
      </x:c>
      <x:c r="I177" s="35" t="str">
        <x:v>Attempt with one adjacent unauthorized persona; fail closed without data disclosure or mutation.</x:v>
      </x:c>
      <x:c r="J177" s="35" t="str">
        <x:v>Real Android target; phone and rotated layout where meaningful</x:v>
      </x:c>
    </x:row>
    <x:row r="178">
      <x:c r="A178" s="20" t="str">
        <x:v>SCR-175</x:v>
      </x:c>
      <x:c r="B178" s="20" t="str">
        <x:v>Mobile</x:v>
      </x:c>
      <x:c r="C178" s="35" t="str">
        <x:v>features/scan/scan_list_screen.dart</x:v>
      </x:c>
      <x:c r="D178" s="35" t="str">
        <x:v>mobile/lib/features/scan/scan_list_screen.dart</x:v>
      </x:c>
      <x:c r="E178" s="20" t="str">
        <x:v>Applicant / public user</x:v>
      </x:c>
      <x:c r="F178" s="35" t="str">
        <x:v>Workspace Administrator; Property Manager; Leasing Agent; Maintenance Technician</x:v>
      </x:c>
      <x:c r="G178" s="23" t="n">
        <x:v>46709</x:v>
      </x:c>
      <x:c r="H178" s="35" t="str">
        <x:v>Open through normal navigation; use every visible action; save; reload; verify persisted values and linked history.</x:v>
      </x:c>
      <x:c r="I178" s="35" t="str">
        <x:v>Attempt with one adjacent unauthorized persona; fail closed without data disclosure or mutation.</x:v>
      </x:c>
      <x:c r="J178" s="35" t="str">
        <x:v>Real Android target; phone and rotated layout where meaningful</x:v>
      </x:c>
    </x:row>
    <x:row r="179">
      <x:c r="A179" s="20" t="str">
        <x:v>SCR-176</x:v>
      </x:c>
      <x:c r="B179" s="20" t="str">
        <x:v>Mobile</x:v>
      </x:c>
      <x:c r="C179" s="35" t="str">
        <x:v>features/scan/scan_review_screen.dart</x:v>
      </x:c>
      <x:c r="D179" s="35" t="str">
        <x:v>mobile/lib/features/scan/scan_review_screen.dart</x:v>
      </x:c>
      <x:c r="E179" s="20" t="str">
        <x:v>Applicant / public user</x:v>
      </x:c>
      <x:c r="F179" s="35" t="str">
        <x:v>Workspace Administrator; Property Manager; Leasing Agent; Maintenance Technician</x:v>
      </x:c>
      <x:c r="G179" s="23" t="n">
        <x:v>46710</x:v>
      </x:c>
      <x:c r="H179" s="35" t="str">
        <x:v>Open through normal navigation; use every visible action; save; reload; verify persisted values and linked history.</x:v>
      </x:c>
      <x:c r="I179" s="35" t="str">
        <x:v>Attempt with one adjacent unauthorized persona; fail closed without data disclosure or mutation.</x:v>
      </x:c>
      <x:c r="J179" s="35" t="str">
        <x:v>Real Android target; phone and rotated layout where meaningful</x:v>
      </x:c>
    </x:row>
    <x:row r="180">
      <x:c r="A180" s="20" t="str">
        <x:v>SCR-177</x:v>
      </x:c>
      <x:c r="B180" s="20" t="str">
        <x:v>Mobile</x:v>
      </x:c>
      <x:c r="C180" s="35" t="str">
        <x:v>features/scan/scan_tab.dart</x:v>
      </x:c>
      <x:c r="D180" s="35" t="str">
        <x:v>mobile/lib/features/scan/scan_tab.dart</x:v>
      </x:c>
      <x:c r="E180" s="20" t="str">
        <x:v>Applicant / public user</x:v>
      </x:c>
      <x:c r="F180" s="35" t="str">
        <x:v>Workspace Administrator; Property Manager; Leasing Agent; Maintenance Technician</x:v>
      </x:c>
      <x:c r="G180" s="23" t="n">
        <x:v>46713</x:v>
      </x:c>
      <x:c r="H180" s="35" t="str">
        <x:v>Open through normal navigation; use every visible action; save; reload; verify persisted values and linked history.</x:v>
      </x:c>
      <x:c r="I180" s="35" t="str">
        <x:v>Attempt with one adjacent unauthorized persona; fail closed without data disclosure or mutation.</x:v>
      </x:c>
      <x:c r="J180" s="35" t="str">
        <x:v>Real Android target; phone and rotated layout where meaningful</x:v>
      </x:c>
    </x:row>
    <x:row r="181">
      <x:c r="A181" s="20" t="str">
        <x:v>SCR-178</x:v>
      </x:c>
      <x:c r="B181" s="20" t="str">
        <x:v>Mobile</x:v>
      </x:c>
      <x:c r="C181" s="35" t="str">
        <x:v>features/settings/ai_provider_settings_screen.dart</x:v>
      </x:c>
      <x:c r="D181" s="35" t="str">
        <x:v>mobile/lib/features/settings/ai_provider_settings_screen.dart</x:v>
      </x:c>
      <x:c r="E181" s="20" t="str">
        <x:v>Applicant / public user</x:v>
      </x:c>
      <x:c r="F181" s="35" t="str">
        <x:v>Applicant / public user</x:v>
      </x:c>
      <x:c r="G181" s="23" t="n">
        <x:v>46715</x:v>
      </x:c>
      <x:c r="H181" s="35" t="str">
        <x:v>Open through normal navigation; use every visible action; save; reload; verify persisted values and linked history.</x:v>
      </x:c>
      <x:c r="I181" s="35" t="str">
        <x:v>Attempt with one adjacent unauthorized persona; fail closed without data disclosure or mutation.</x:v>
      </x:c>
      <x:c r="J181" s="35" t="str">
        <x:v>Real Android target; phone and rotated layout where meaningful</x:v>
      </x:c>
    </x:row>
    <x:row r="182">
      <x:c r="A182" s="20" t="str">
        <x:v>SCR-179</x:v>
      </x:c>
      <x:c r="B182" s="20" t="str">
        <x:v>Mobile</x:v>
      </x:c>
      <x:c r="C182" s="35" t="str">
        <x:v>features/settings/change_password_screen.dart</x:v>
      </x:c>
      <x:c r="D182" s="35" t="str">
        <x:v>mobile/lib/features/settings/change_password_screen.dart</x:v>
      </x:c>
      <x:c r="E182" s="20" t="str">
        <x:v>Applicant / public user</x:v>
      </x:c>
      <x:c r="F182" s="35" t="str">
        <x:v>Workspace Administrator; Property Manager; Leasing Agent; Maintenance Technician; Owner; Tenant</x:v>
      </x:c>
      <x:c r="G182" s="23" t="n">
        <x:v>46716</x:v>
      </x:c>
      <x:c r="H182" s="35" t="str">
        <x:v>Open through normal navigation; use every visible action; save; reload; verify persisted values and linked history.</x:v>
      </x:c>
      <x:c r="I182" s="35" t="str">
        <x:v>Attempt with one adjacent unauthorized persona; fail closed without data disclosure or mutation.</x:v>
      </x:c>
      <x:c r="J182" s="35" t="str">
        <x:v>Real Android target; phone and rotated layout where meaningful</x:v>
      </x:c>
    </x:row>
    <x:row r="183">
      <x:c r="A183" s="20" t="str">
        <x:v>SCR-180</x:v>
      </x:c>
      <x:c r="B183" s="20" t="str">
        <x:v>Mobile</x:v>
      </x:c>
      <x:c r="C183" s="35" t="str">
        <x:v>features/settings/my_alerts_screen.dart</x:v>
      </x:c>
      <x:c r="D183" s="35" t="str">
        <x:v>mobile/lib/features/settings/my_alerts_screen.dart</x:v>
      </x:c>
      <x:c r="E183" s="20" t="str">
        <x:v>Applicant / public user</x:v>
      </x:c>
      <x:c r="F183" s="35" t="str">
        <x:v>Workspace Administrator; Property Manager; Leasing Agent; Maintenance Technician; Owner; Tenant</x:v>
      </x:c>
      <x:c r="G183" s="23" t="n">
        <x:v>46717</x:v>
      </x:c>
      <x:c r="H183" s="35" t="str">
        <x:v>Open through normal navigation; use every visible action; save; reload; verify persisted values and linked history.</x:v>
      </x:c>
      <x:c r="I183" s="35" t="str">
        <x:v>Attempt with one adjacent unauthorized persona; fail closed without data disclosure or mutation.</x:v>
      </x:c>
      <x:c r="J183" s="35" t="str">
        <x:v>Real Android target; phone and rotated layout where meaningful</x:v>
      </x:c>
    </x:row>
    <x:row r="184">
      <x:c r="A184" s="20" t="str">
        <x:v>SCR-181</x:v>
      </x:c>
      <x:c r="B184" s="20" t="str">
        <x:v>Mobile</x:v>
      </x:c>
      <x:c r="C184" s="35" t="str">
        <x:v>features/settings/settings_screen.dart</x:v>
      </x:c>
      <x:c r="D184" s="35" t="str">
        <x:v>mobile/lib/features/settings/settings_screen.dart</x:v>
      </x:c>
      <x:c r="E184" s="20" t="str">
        <x:v>Applicant / public user</x:v>
      </x:c>
      <x:c r="F184" s="35" t="str">
        <x:v>Workspace Administrator; Property Manager; Leasing Agent; Maintenance Technician; Owner; Tenant</x:v>
      </x:c>
      <x:c r="G184" s="23" t="n">
        <x:v>46720</x:v>
      </x:c>
      <x:c r="H184" s="35" t="str">
        <x:v>Open through normal navigation; use every visible action; save; reload; verify persisted values and linked history.</x:v>
      </x:c>
      <x:c r="I184" s="35" t="str">
        <x:v>Attempt with one adjacent unauthorized persona; fail closed without data disclosure or mutation.</x:v>
      </x:c>
      <x:c r="J184" s="35" t="str">
        <x:v>Real Android target; phone and rotated layout where meaningful</x:v>
      </x:c>
    </x:row>
    <x:row r="185">
      <x:c r="A185" s="20" t="str">
        <x:v>SCR-182</x:v>
      </x:c>
      <x:c r="B185" s="20" t="str">
        <x:v>Mobile</x:v>
      </x:c>
      <x:c r="C185" s="35" t="str">
        <x:v>features/settings/team_routing_screen.dart</x:v>
      </x:c>
      <x:c r="D185" s="35" t="str">
        <x:v>mobile/lib/features/settings/team_routing_screen.dart</x:v>
      </x:c>
      <x:c r="E185" s="20" t="str">
        <x:v>Applicant / public user</x:v>
      </x:c>
      <x:c r="F185" s="35" t="str">
        <x:v>Workspace Administrator</x:v>
      </x:c>
      <x:c r="G185" s="23" t="n">
        <x:v>46722</x:v>
      </x:c>
      <x:c r="H185" s="35" t="str">
        <x:v>Open through normal navigation; use every visible action; save; reload; verify persisted values and linked history.</x:v>
      </x:c>
      <x:c r="I185" s="35" t="str">
        <x:v>Attempt with one adjacent unauthorized persona; fail closed without data disclosure or mutation.</x:v>
      </x:c>
      <x:c r="J185" s="35" t="str">
        <x:v>Real Android target; phone and rotated layout where meaningful</x:v>
      </x:c>
    </x:row>
    <x:row r="186">
      <x:c r="A186" s="20" t="str">
        <x:v>SCR-183</x:v>
      </x:c>
      <x:c r="B186" s="20" t="str">
        <x:v>Mobile</x:v>
      </x:c>
      <x:c r="C186" s="35" t="str">
        <x:v>features/settings/tenant_notices_screen.dart</x:v>
      </x:c>
      <x:c r="D186" s="35" t="str">
        <x:v>mobile/lib/features/settings/tenant_notices_screen.dart</x:v>
      </x:c>
      <x:c r="E186" s="20" t="str">
        <x:v>Tenant</x:v>
      </x:c>
      <x:c r="F186" s="35" t="str">
        <x:v>Workspace Administrator</x:v>
      </x:c>
      <x:c r="G186" s="23" t="n">
        <x:v>46723</x:v>
      </x:c>
      <x:c r="H186" s="35" t="str">
        <x:v>Open through normal navigation; use every visible action; save; reload; verify persisted values and linked history.</x:v>
      </x:c>
      <x:c r="I186" s="35" t="str">
        <x:v>Attempt with one adjacent unauthorized persona; fail closed without data disclosure or mutation.</x:v>
      </x:c>
      <x:c r="J186" s="35" t="str">
        <x:v>Real Android target; phone and rotated layout where meaningful</x:v>
      </x:c>
    </x:row>
    <x:row r="187">
      <x:c r="A187" s="20" t="str">
        <x:v>SCR-184</x:v>
      </x:c>
      <x:c r="B187" s="20" t="str">
        <x:v>Mobile</x:v>
      </x:c>
      <x:c r="C187" s="35" t="str">
        <x:v>features/team/team_screen.dart</x:v>
      </x:c>
      <x:c r="D187" s="35" t="str">
        <x:v>mobile/lib/features/team/team_screen.dart</x:v>
      </x:c>
      <x:c r="E187" s="20" t="str">
        <x:v>Applicant / public user</x:v>
      </x:c>
      <x:c r="F187" s="35" t="str">
        <x:v>Applicant / public user</x:v>
      </x:c>
      <x:c r="G187" s="23" t="n">
        <x:v>46724</x:v>
      </x:c>
      <x:c r="H187" s="35" t="str">
        <x:v>Open through normal navigation; use every visible action; save; reload; verify persisted values and linked history.</x:v>
      </x:c>
      <x:c r="I187" s="35" t="str">
        <x:v>Attempt with one adjacent unauthorized persona; fail closed without data disclosure or mutation.</x:v>
      </x:c>
      <x:c r="J187" s="35" t="str">
        <x:v>Real Android target; phone and rotated layout where meaningful</x:v>
      </x:c>
    </x:row>
    <x:row r="188">
      <x:c r="A188" s="20" t="str">
        <x:v>SCR-185</x:v>
      </x:c>
      <x:c r="B188" s="20" t="str">
        <x:v>Mobile</x:v>
      </x:c>
      <x:c r="C188" s="35" t="str">
        <x:v>features/technician/technician_assignment_detail_screen.dart</x:v>
      </x:c>
      <x:c r="D188" s="35" t="str">
        <x:v>mobile/lib/features/technician/technician_assignment_detail_screen.dart</x:v>
      </x:c>
      <x:c r="E188" s="20" t="str">
        <x:v>Applicant / public user</x:v>
      </x:c>
      <x:c r="F188" s="35" t="str">
        <x:v>Maintenance Technician</x:v>
      </x:c>
      <x:c r="G188" s="23" t="n">
        <x:v>46727</x:v>
      </x:c>
      <x:c r="H188" s="35" t="str">
        <x:v>Open through normal navigation; use every visible action; save; reload; verify persisted values and linked history.</x:v>
      </x:c>
      <x:c r="I188" s="35" t="str">
        <x:v>Attempt with one adjacent unauthorized persona; fail closed without data disclosure or mutation.</x:v>
      </x:c>
      <x:c r="J188" s="35" t="str">
        <x:v>Real Android target; phone and rotated layout where meaningful</x:v>
      </x:c>
    </x:row>
    <x:row r="189">
      <x:c r="A189" s="20" t="str">
        <x:v>SCR-186</x:v>
      </x:c>
      <x:c r="B189" s="20" t="str">
        <x:v>Mobile</x:v>
      </x:c>
      <x:c r="C189" s="35" t="str">
        <x:v>features/technician/technician_assignment_picker_sheet.dart</x:v>
      </x:c>
      <x:c r="D189" s="35" t="str">
        <x:v>mobile/lib/features/technician/technician_assignment_picker_sheet.dart</x:v>
      </x:c>
      <x:c r="E189" s="20" t="str">
        <x:v>Applicant / public user</x:v>
      </x:c>
      <x:c r="F189" s="35" t="str">
        <x:v>Maintenance Technician</x:v>
      </x:c>
      <x:c r="G189" s="23" t="n">
        <x:v>46729</x:v>
      </x:c>
      <x:c r="H189" s="35" t="str">
        <x:v>Open through normal navigation; use every visible action; save; reload; verify persisted values and linked history.</x:v>
      </x:c>
      <x:c r="I189" s="35" t="str">
        <x:v>Attempt with one adjacent unauthorized persona; fail closed without data disclosure or mutation.</x:v>
      </x:c>
      <x:c r="J189" s="35" t="str">
        <x:v>Real Android target; phone and rotated layout where meaningful</x:v>
      </x:c>
    </x:row>
    <x:row r="190">
      <x:c r="A190" s="20" t="str">
        <x:v>SCR-187</x:v>
      </x:c>
      <x:c r="B190" s="20" t="str">
        <x:v>Mobile</x:v>
      </x:c>
      <x:c r="C190" s="35" t="str">
        <x:v>features/technician/technician_landing_screen.dart</x:v>
      </x:c>
      <x:c r="D190" s="35" t="str">
        <x:v>mobile/lib/features/technician/technician_landing_screen.dart</x:v>
      </x:c>
      <x:c r="E190" s="20" t="str">
        <x:v>Applicant / public user</x:v>
      </x:c>
      <x:c r="F190" s="35" t="str">
        <x:v>Maintenance Technician</x:v>
      </x:c>
      <x:c r="G190" s="23" t="n">
        <x:v>46730</x:v>
      </x:c>
      <x:c r="H190" s="35" t="str">
        <x:v>Open through normal navigation; use every visible action; save; reload; verify persisted values and linked history.</x:v>
      </x:c>
      <x:c r="I190" s="35" t="str">
        <x:v>Attempt with one adjacent unauthorized persona; fail closed without data disclosure or mutation.</x:v>
      </x:c>
      <x:c r="J190" s="35" t="str">
        <x:v>Real Android target; phone and rotated layout where meaningful</x:v>
      </x:c>
    </x:row>
    <x:row r="191">
      <x:c r="A191" s="20" t="str">
        <x:v>SCR-188</x:v>
      </x:c>
      <x:c r="B191" s="20" t="str">
        <x:v>Mobile</x:v>
      </x:c>
      <x:c r="C191" s="35" t="str">
        <x:v>features/tenants/tenant_detail_screen.dart</x:v>
      </x:c>
      <x:c r="D191" s="35" t="str">
        <x:v>mobile/lib/features/tenants/tenant_detail_screen.dart</x:v>
      </x:c>
      <x:c r="E191" s="20" t="str">
        <x:v>Tenant</x:v>
      </x:c>
      <x:c r="F191" s="35" t="str">
        <x:v>Tenant</x:v>
      </x:c>
      <x:c r="G191" s="23" t="n">
        <x:v>46731</x:v>
      </x:c>
      <x:c r="H191" s="35" t="str">
        <x:v>Open through normal navigation; use every visible action; save; reload; verify persisted values and linked history.</x:v>
      </x:c>
      <x:c r="I191" s="35" t="str">
        <x:v>Attempt with one adjacent unauthorized persona; fail closed without data disclosure or mutation.</x:v>
      </x:c>
      <x:c r="J191" s="35" t="str">
        <x:v>Real Android target; phone and rotated layout where meaningful</x:v>
      </x:c>
    </x:row>
    <x:row r="192">
      <x:c r="A192" s="20" t="str">
        <x:v>SCR-189</x:v>
      </x:c>
      <x:c r="B192" s="20" t="str">
        <x:v>Mobile</x:v>
      </x:c>
      <x:c r="C192" s="35" t="str">
        <x:v>features/tenants/tenant_lease_screen.dart</x:v>
      </x:c>
      <x:c r="D192" s="35" t="str">
        <x:v>mobile/lib/features/tenants/tenant_lease_screen.dart</x:v>
      </x:c>
      <x:c r="E192" s="20" t="str">
        <x:v>Tenant</x:v>
      </x:c>
      <x:c r="F192" s="35" t="str">
        <x:v>Tenant</x:v>
      </x:c>
      <x:c r="G192" s="23" t="n">
        <x:v>46734</x:v>
      </x:c>
      <x:c r="H192" s="35" t="str">
        <x:v>Open through normal navigation; use every visible action; save; reload; verify persisted values and linked history.</x:v>
      </x:c>
      <x:c r="I192" s="35" t="str">
        <x:v>Attempt with one adjacent unauthorized persona; fail closed without data disclosure or mutation.</x:v>
      </x:c>
      <x:c r="J192" s="35" t="str">
        <x:v>Real Android target; phone and rotated layout where meaningful</x:v>
      </x:c>
    </x:row>
    <x:row r="193">
      <x:c r="A193" s="20" t="str">
        <x:v>SCR-190</x:v>
      </x:c>
      <x:c r="B193" s="20" t="str">
        <x:v>Mobile</x:v>
      </x:c>
      <x:c r="C193" s="35" t="str">
        <x:v>features/tenants/tenants_list_screen.dart</x:v>
      </x:c>
      <x:c r="D193" s="35" t="str">
        <x:v>mobile/lib/features/tenants/tenants_list_screen.dart</x:v>
      </x:c>
      <x:c r="E193" s="20" t="str">
        <x:v>Applicant / public user</x:v>
      </x:c>
      <x:c r="F193" s="35" t="str">
        <x:v>Applicant / public user</x:v>
      </x:c>
      <x:c r="G193" s="23" t="n">
        <x:v>46736</x:v>
      </x:c>
      <x:c r="H193" s="35" t="str">
        <x:v>Open through normal navigation; use every visible action; save; reload; verify persisted values and linked history.</x:v>
      </x:c>
      <x:c r="I193" s="35" t="str">
        <x:v>Attempt with one adjacent unauthorized persona; fail closed without data disclosure or mutation.</x:v>
      </x:c>
      <x:c r="J193" s="35" t="str">
        <x:v>Real Android target; phone and rotated layout where meaningful</x:v>
      </x:c>
    </x:row>
    <x:row r="194">
      <x:c r="A194" s="20" t="str">
        <x:v>SCR-191</x:v>
      </x:c>
      <x:c r="B194" s="20" t="str">
        <x:v>Mobile</x:v>
      </x:c>
      <x:c r="C194" s="35" t="str">
        <x:v>features/units/unit_command_center_screen.dart</x:v>
      </x:c>
      <x:c r="D194" s="35" t="str">
        <x:v>mobile/lib/features/units/unit_command_center_screen.dart</x:v>
      </x:c>
      <x:c r="E194" s="20" t="str">
        <x:v>Applicant / public user</x:v>
      </x:c>
      <x:c r="F194" s="35" t="str">
        <x:v>Applicant / public user</x:v>
      </x:c>
      <x:c r="G194" s="23" t="n">
        <x:v>46737</x:v>
      </x:c>
      <x:c r="H194" s="35" t="str">
        <x:v>Open through normal navigation; use every visible action; save; reload; verify persisted values and linked history.</x:v>
      </x:c>
      <x:c r="I194" s="35" t="str">
        <x:v>Attempt with one adjacent unauthorized persona; fail closed without data disclosure or mutation.</x:v>
      </x:c>
      <x:c r="J194" s="35" t="str">
        <x:v>Real Android target; phone and rotated layout where meaningful</x:v>
      </x:c>
    </x:row>
    <x:row r="195">
      <x:c r="A195" s="20" t="str">
        <x:v>SCR-192</x:v>
      </x:c>
      <x:c r="B195" s="20" t="str">
        <x:v>Mobile</x:v>
      </x:c>
      <x:c r="C195" s="35" t="str">
        <x:v>features/units/unit_form_sheet.dart</x:v>
      </x:c>
      <x:c r="D195" s="35" t="str">
        <x:v>mobile/lib/features/units/unit_form_sheet.dart</x:v>
      </x:c>
      <x:c r="E195" s="20" t="str">
        <x:v>Applicant / public user</x:v>
      </x:c>
      <x:c r="F195" s="35" t="str">
        <x:v>Applicant / public user</x:v>
      </x:c>
      <x:c r="G195" s="23" t="n">
        <x:v>46738</x:v>
      </x:c>
      <x:c r="H195" s="35" t="str">
        <x:v>Open through normal navigation; use every visible action; save; reload; verify persisted values and linked history.</x:v>
      </x:c>
      <x:c r="I195" s="35" t="str">
        <x:v>Attempt with one adjacent unauthorized persona; fail closed without data disclosure or mutation.</x:v>
      </x:c>
      <x:c r="J195" s="35" t="str">
        <x:v>Real Android target; phone and rotated layout where meaningful</x:v>
      </x:c>
    </x:row>
    <x:row r="196">
      <x:c r="A196" s="20" t="str">
        <x:v>SCR-193</x:v>
      </x:c>
      <x:c r="B196" s="20" t="str">
        <x:v>Mobile</x:v>
      </x:c>
      <x:c r="C196" s="35" t="str">
        <x:v>features/units/units_list_screen.dart</x:v>
      </x:c>
      <x:c r="D196" s="35" t="str">
        <x:v>mobile/lib/features/units/units_list_screen.dart</x:v>
      </x:c>
      <x:c r="E196" s="20" t="str">
        <x:v>Applicant / public user</x:v>
      </x:c>
      <x:c r="F196" s="35" t="str">
        <x:v>Applicant / public user</x:v>
      </x:c>
      <x:c r="G196" s="23" t="n">
        <x:v>46741</x:v>
      </x:c>
      <x:c r="H196" s="35" t="str">
        <x:v>Open through normal navigation; use every visible action; save; reload; verify persisted values and linked history.</x:v>
      </x:c>
      <x:c r="I196" s="35" t="str">
        <x:v>Attempt with one adjacent unauthorized persona; fail closed without data disclosure or mutation.</x:v>
      </x:c>
      <x:c r="J196" s="35" t="str">
        <x:v>Real Android target; phone and rotated layout where meaningful</x:v>
      </x:c>
    </x:row>
    <x:row r="197">
      <x:c r="A197" s="20" t="str">
        <x:v>SCR-194</x:v>
      </x:c>
      <x:c r="B197" s="20" t="str">
        <x:v>Mobile</x:v>
      </x:c>
      <x:c r="C197" s="35" t="str">
        <x:v>features/vendors/dispatch_vendor_sheet.dart</x:v>
      </x:c>
      <x:c r="D197" s="35" t="str">
        <x:v>mobile/lib/features/vendors/dispatch_vendor_sheet.dart</x:v>
      </x:c>
      <x:c r="E197" s="20" t="str">
        <x:v>Applicant / public user</x:v>
      </x:c>
      <x:c r="F197" s="35" t="str">
        <x:v>Applicant / public user</x:v>
      </x:c>
      <x:c r="G197" s="23" t="n">
        <x:v>46743</x:v>
      </x:c>
      <x:c r="H197" s="35" t="str">
        <x:v>Open through normal navigation; use every visible action; save; reload; verify persisted values and linked history.</x:v>
      </x:c>
      <x:c r="I197" s="35" t="str">
        <x:v>Attempt with one adjacent unauthorized persona; fail closed without data disclosure or mutation.</x:v>
      </x:c>
      <x:c r="J197" s="35" t="str">
        <x:v>Real Android target; phone and rotated layout where meaningful</x:v>
      </x:c>
    </x:row>
    <x:row r="198">
      <x:c r="A198" s="20" t="str">
        <x:v>SCR-195</x:v>
      </x:c>
      <x:c r="B198" s="20" t="str">
        <x:v>Mobile</x:v>
      </x:c>
      <x:c r="C198" s="35" t="str">
        <x:v>features/vendors/rate_vendor_sheet.dart</x:v>
      </x:c>
      <x:c r="D198" s="35" t="str">
        <x:v>mobile/lib/features/vendors/rate_vendor_sheet.dart</x:v>
      </x:c>
      <x:c r="E198" s="20" t="str">
        <x:v>Applicant / public user</x:v>
      </x:c>
      <x:c r="F198" s="35" t="str">
        <x:v>Applicant / public user</x:v>
      </x:c>
      <x:c r="G198" s="23" t="n">
        <x:v>46744</x:v>
      </x:c>
      <x:c r="H198" s="35" t="str">
        <x:v>Open through normal navigation; use every visible action; save; reload; verify persisted values and linked history.</x:v>
      </x:c>
      <x:c r="I198" s="35" t="str">
        <x:v>Attempt with one adjacent unauthorized persona; fail closed without data disclosure or mutation.</x:v>
      </x:c>
      <x:c r="J198" s="35" t="str">
        <x:v>Real Android target; phone and rotated layout where meaningful</x:v>
      </x:c>
    </x:row>
    <x:row r="199">
      <x:c r="A199" s="20" t="str">
        <x:v>SCR-196</x:v>
      </x:c>
      <x:c r="B199" s="20" t="str">
        <x:v>Mobile</x:v>
      </x:c>
      <x:c r="C199" s="35" t="str">
        <x:v>features/vendors/vendor_detail_screen.dart</x:v>
      </x:c>
      <x:c r="D199" s="35" t="str">
        <x:v>mobile/lib/features/vendors/vendor_detail_screen.dart</x:v>
      </x:c>
      <x:c r="E199" s="20" t="str">
        <x:v>Applicant / public user</x:v>
      </x:c>
      <x:c r="F199" s="35" t="str">
        <x:v>Applicant / public user</x:v>
      </x:c>
      <x:c r="G199" s="23" t="n">
        <x:v>46745</x:v>
      </x:c>
      <x:c r="H199" s="35" t="str">
        <x:v>Open through normal navigation; use every visible action; save; reload; verify persisted values and linked history.</x:v>
      </x:c>
      <x:c r="I199" s="35" t="str">
        <x:v>Attempt with one adjacent unauthorized persona; fail closed without data disclosure or mutation.</x:v>
      </x:c>
      <x:c r="J199" s="35" t="str">
        <x:v>Real Android target; phone and rotated layout where meaningful</x:v>
      </x:c>
    </x:row>
    <x:row r="200">
      <x:c r="A200" s="20" t="str">
        <x:v>SCR-197</x:v>
      </x:c>
      <x:c r="B200" s="20" t="str">
        <x:v>Mobile</x:v>
      </x:c>
      <x:c r="C200" s="35" t="str">
        <x:v>features/vendors/vendor_form_sheet.dart</x:v>
      </x:c>
      <x:c r="D200" s="35" t="str">
        <x:v>mobile/lib/features/vendors/vendor_form_sheet.dart</x:v>
      </x:c>
      <x:c r="E200" s="20" t="str">
        <x:v>Applicant / public user</x:v>
      </x:c>
      <x:c r="F200" s="35" t="str">
        <x:v>Applicant / public user</x:v>
      </x:c>
      <x:c r="G200" s="23" t="n">
        <x:v>46748</x:v>
      </x:c>
      <x:c r="H200" s="35" t="str">
        <x:v>Open through normal navigation; use every visible action; save; reload; verify persisted values and linked history.</x:v>
      </x:c>
      <x:c r="I200" s="35" t="str">
        <x:v>Attempt with one adjacent unauthorized persona; fail closed without data disclosure or mutation.</x:v>
      </x:c>
      <x:c r="J200" s="35" t="str">
        <x:v>Real Android target; phone and rotated layout where meaningful</x:v>
      </x:c>
    </x:row>
    <x:row r="201">
      <x:c r="A201" s="20" t="str">
        <x:v>SCR-198</x:v>
      </x:c>
      <x:c r="B201" s="20" t="str">
        <x:v>Mobile</x:v>
      </x:c>
      <x:c r="C201" s="35" t="str">
        <x:v>features/vendors/vendors_list_screen.dart</x:v>
      </x:c>
      <x:c r="D201" s="35" t="str">
        <x:v>mobile/lib/features/vendors/vendors_list_screen.dart</x:v>
      </x:c>
      <x:c r="E201" s="20" t="str">
        <x:v>Applicant / public user</x:v>
      </x:c>
      <x:c r="F201" s="35" t="str">
        <x:v>Applicant / public user</x:v>
      </x:c>
      <x:c r="G201" s="23" t="n">
        <x:v>46750</x:v>
      </x:c>
      <x:c r="H201" s="35" t="str">
        <x:v>Open through normal navigation; use every visible action; save; reload; verify persisted values and linked history.</x:v>
      </x:c>
      <x:c r="I201" s="35" t="str">
        <x:v>Attempt with one adjacent unauthorized persona; fail closed without data disclosure or mutation.</x:v>
      </x:c>
      <x:c r="J201" s="35" t="str">
        <x:v>Real Android target; phone and rotated layout where meaningful</x:v>
      </x:c>
    </x:row>
    <x:row r="202">
      <x:c r="A202" s="21" t="str">
        <x:v>SCR-199</x:v>
      </x:c>
      <x:c r="B202" s="21" t="str">
        <x:v>Mobile</x:v>
      </x:c>
      <x:c r="C202" s="36" t="str">
        <x:v>features/voice/tell_me_screen.dart</x:v>
      </x:c>
      <x:c r="D202" s="36" t="str">
        <x:v>mobile/lib/features/voice/tell_me_screen.dart</x:v>
      </x:c>
      <x:c r="E202" s="21" t="str">
        <x:v>Applicant / public user</x:v>
      </x:c>
      <x:c r="F202" s="36" t="str">
        <x:v>Applicant / public user</x:v>
      </x:c>
      <x:c r="G202" s="24" t="n">
        <x:v>46751</x:v>
      </x:c>
      <x:c r="H202" s="36" t="str">
        <x:v>Open through normal navigation; use every visible action; save; reload; verify persisted values and linked history.</x:v>
      </x:c>
      <x:c r="I202" s="36" t="str">
        <x:v>Attempt with one adjacent unauthorized persona; fail closed without data disclosure or mutation.</x:v>
      </x:c>
      <x:c r="J202" s="36" t="str">
        <x:v>Real Android target; phone and rotated layout where meaningful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53e289f40b04b6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44" hidden="0" customWidth="1"/>
    <x:col min="4" max="4" width="52" hidden="0" customWidth="1"/>
    <x:col min="5" max="5" width="9" hidden="0" customWidth="1"/>
    <x:col min="6" max="6" width="20" hidden="0" customWidth="1"/>
    <x:col min="7" max="7" width="30" hidden="0" customWidth="1"/>
    <x:col min="8" max="8" width="32" hidden="0" customWidth="1"/>
    <x:col min="9" max="9" width="28" hidden="0" customWidth="1"/>
    <x:col min="10" max="10" width="15" hidden="0" customWidth="1"/>
    <x:col min="11" max="11" width="50" hidden="0" customWidth="1"/>
    <x:col min="12" max="12" width="65" hidden="0" customWidth="1"/>
  </x:cols>
  <x:sheetData>
    <x:row r="1" ht="34" customHeight="1">
      <x:c r="A1" s="3" t="str">
        <x:v>Source-Derived Field-by-Field Persistence Ledger</x:v>
      </x:c>
      <x:c r="B1" s="3" t="str">
        <x:v>Source-Derived Field-by-Field Persistence Ledger</x:v>
      </x:c>
      <x:c r="C1" s="3" t="str">
        <x:v>Source-Derived Field-by-Field Persistence Ledger</x:v>
      </x:c>
      <x:c r="D1" s="3" t="str">
        <x:v>Source-Derived Field-by-Field Persistence Ledger</x:v>
      </x:c>
      <x:c r="E1" s="3" t="str">
        <x:v>Source-Derived Field-by-Field Persistence Ledger</x:v>
      </x:c>
      <x:c r="F1" s="3" t="str">
        <x:v>Source-Derived Field-by-Field Persistence Ledger</x:v>
      </x:c>
      <x:c r="G1" s="3" t="str">
        <x:v>Source-Derived Field-by-Field Persistence Ledger</x:v>
      </x:c>
      <x:c r="H1" s="3" t="str">
        <x:v>Source-Derived Field-by-Field Persistence Ledger</x:v>
      </x:c>
      <x:c r="I1" s="3" t="str">
        <x:v>Source-Derived Field-by-Field Persistence Ledger</x:v>
      </x:c>
      <x:c r="J1" s="3" t="str">
        <x:v>Source-Derived Field-by-Field Persistence Ledger</x:v>
      </x:c>
      <x:c r="K1" s="3" t="str">
        <x:v>Source-Derived Field-by-Field Persistence Ledger</x:v>
      </x:c>
      <x:c r="L1" s="3" t="str">
        <x:v>Source-Derived Field-by-Field Persistence Ledger</x:v>
      </x:c>
    </x:row>
    <x:row r="3" ht="30" customHeight="1">
      <x:c r="A3" s="12" t="str">
        <x:v>Field ID</x:v>
      </x:c>
      <x:c r="B3" s="13" t="str">
        <x:v>Client</x:v>
      </x:c>
      <x:c r="C3" s="13" t="str">
        <x:v>Screen / Component</x:v>
      </x:c>
      <x:c r="D3" s="13" t="str">
        <x:v>Source File</x:v>
      </x:c>
      <x:c r="E3" s="13" t="str">
        <x:v>Line</x:v>
      </x:c>
      <x:c r="F3" s="13" t="str">
        <x:v>Control</x:v>
      </x:c>
      <x:c r="G3" s="13" t="str">
        <x:v>Field Key</x:v>
      </x:c>
      <x:c r="H3" s="13" t="str">
        <x:v>Label / Hint</x:v>
      </x:c>
      <x:c r="I3" s="13" t="str">
        <x:v>Role</x:v>
      </x:c>
      <x:c r="J3" s="13" t="str">
        <x:v>Planned Date</x:v>
      </x:c>
      <x:c r="K3" s="13" t="str">
        <x:v>Value Set</x:v>
      </x:c>
      <x:c r="L3" s="14" t="str">
        <x:v>Required Proof</x:v>
      </x:c>
    </x:row>
    <x:row r="4">
      <x:c r="A4" s="19" t="str">
        <x:v>FLD-0001</x:v>
      </x:c>
      <x:c r="B4" s="19" t="str">
        <x:v>Web</x:v>
      </x:c>
      <x:c r="C4" s="34" t="str">
        <x:v>web/src/lib/components/FileDrop.svelte</x:v>
      </x:c>
      <x:c r="D4" s="34" t="str">
        <x:v>web/src/lib/components/FileDrop.svelte</x:v>
      </x:c>
      <x:c r="E4" s="31" t="n">
        <x:v>99</x:v>
      </x:c>
      <x:c r="F4" s="19" t="str">
        <x:v>file</x:v>
      </x:c>
      <x:c r="G4" s="34" t="str">
        <x:v>file-drop-input</x:v>
      </x:c>
      <x:c r="H4" s="34" t="str"/>
      <x:c r="I4" s="19" t="str">
        <x:v>Property Manager</x:v>
      </x:c>
      <x:c r="J4" s="22" t="n">
        <x:v>46407</x:v>
      </x:c>
      <x:c r="K4" s="34" t="str">
        <x:v>valid non-default; boundary/format value; blank/null when optional; invalid value when constrained</x:v>
      </x:c>
      <x:c r="L4" s="34" t="str">
        <x:v>Save succeeds; reload shows the exact normalized value; other client reads it where supported; edit persists; validation rejects invalid input without partial mutation.</x:v>
      </x:c>
    </x:row>
    <x:row r="5">
      <x:c r="A5" s="20" t="str">
        <x:v>FLD-0002</x:v>
      </x:c>
      <x:c r="B5" s="20" t="str">
        <x:v>Web</x:v>
      </x:c>
      <x:c r="C5" s="35" t="str">
        <x:v>web/src/lib/components/SandboxBanner.svelte</x:v>
      </x:c>
      <x:c r="D5" s="35" t="str">
        <x:v>web/src/lib/components/SandboxBanner.svelte</x:v>
      </x:c>
      <x:c r="E5" s="32" t="n">
        <x:v>169</x:v>
      </x:c>
      <x:c r="F5" s="20" t="str">
        <x:v>input</x:v>
      </x:c>
      <x:c r="G5" s="35" t="str">
        <x:v>go-live-confirm-input</x:v>
      </x:c>
      <x:c r="H5" s="35" t="str">
        <x:v>Type to confirm.</x:v>
      </x:c>
      <x:c r="I5" s="20" t="str">
        <x:v>Property Manager</x:v>
      </x:c>
      <x:c r="J5" s="23" t="n">
        <x:v>46407</x:v>
      </x:c>
      <x:c r="K5" s="35" t="str">
        <x:v>valid non-default; boundary/format value; blank/null when optional; invalid value when constrained</x:v>
      </x:c>
      <x:c r="L5" s="35" t="str">
        <x:v>Save succeeds; reload shows the exact normalized value; other client reads it where supported; edit persists; validation rejects invalid input without partial mutation.</x:v>
      </x:c>
    </x:row>
    <x:row r="6">
      <x:c r="A6" s="20" t="str">
        <x:v>FLD-0003</x:v>
      </x:c>
      <x:c r="B6" s="20" t="str">
        <x:v>Web</x:v>
      </x:c>
      <x:c r="C6" s="35" t="str">
        <x:v>web/src/lib/components/account/AccountSecurityPage.svelte</x:v>
      </x:c>
      <x:c r="D6" s="35" t="str">
        <x:v>web/src/lib/components/account/AccountSecurityPage.svelte</x:v>
      </x:c>
      <x:c r="E6" s="32" t="n">
        <x:v>109</x:v>
      </x:c>
      <x:c r="F6" s="20" t="str">
        <x:v>text</x:v>
      </x:c>
      <x:c r="G6" s="35" t="str">
        <x:v>username</x:v>
      </x:c>
      <x:c r="H6" s="35" t="str"/>
      <x:c r="I6" s="20" t="str">
        <x:v>Property Manager</x:v>
      </x:c>
      <x:c r="J6" s="23" t="n">
        <x:v>46407</x:v>
      </x:c>
      <x:c r="K6" s="35" t="str">
        <x:v>valid non-default; boundary/format value; blank/null when optional; invalid value when constrained</x:v>
      </x:c>
      <x:c r="L6" s="35" t="str">
        <x:v>Save succeeds; reload shows the exact normalized value; other client reads it where supported; edit persists; validation rejects invalid input without partial mutation.</x:v>
      </x:c>
    </x:row>
    <x:row r="7">
      <x:c r="A7" s="20" t="str">
        <x:v>FLD-0004</x:v>
      </x:c>
      <x:c r="B7" s="20" t="str">
        <x:v>Web</x:v>
      </x:c>
      <x:c r="C7" s="35" t="str">
        <x:v>web/src/lib/components/account/AccountSecurityPage.svelte</x:v>
      </x:c>
      <x:c r="D7" s="35" t="str">
        <x:v>web/src/lib/components/account/AccountSecurityPage.svelte</x:v>
      </x:c>
      <x:c r="E7" s="32" t="n">
        <x:v>125</x:v>
      </x:c>
      <x:c r="F7" s="20" t="str">
        <x:v>showCurrent ? 'text' : 'password'</x:v>
      </x:c>
      <x:c r="G7" s="35" t="str">
        <x:v>currentPassword</x:v>
      </x:c>
      <x:c r="H7" s="35" t="str">
        <x:v>Current password</x:v>
      </x:c>
      <x:c r="I7" s="20" t="str">
        <x:v>Property Manager</x:v>
      </x:c>
      <x:c r="J7" s="23" t="n">
        <x:v>46408</x:v>
      </x:c>
      <x:c r="K7" s="35" t="str">
        <x:v>valid non-default; boundary/format value; blank/null when optional; invalid value when constrained</x:v>
      </x:c>
      <x:c r="L7" s="35" t="str">
        <x:v>Save succeeds; reload shows the exact normalized value; other client reads it where supported; edit persists; validation rejects invalid input without partial mutation.</x:v>
      </x:c>
    </x:row>
    <x:row r="8">
      <x:c r="A8" s="20" t="str">
        <x:v>FLD-0005</x:v>
      </x:c>
      <x:c r="B8" s="20" t="str">
        <x:v>Web</x:v>
      </x:c>
      <x:c r="C8" s="35" t="str">
        <x:v>web/src/lib/components/account/AccountSecurityPage.svelte</x:v>
      </x:c>
      <x:c r="D8" s="35" t="str">
        <x:v>web/src/lib/components/account/AccountSecurityPage.svelte</x:v>
      </x:c>
      <x:c r="E8" s="32" t="n">
        <x:v>153</x:v>
      </x:c>
      <x:c r="F8" s="20" t="str">
        <x:v>showNew ? 'text' : 'password'</x:v>
      </x:c>
      <x:c r="G8" s="35" t="str">
        <x:v>newPassword</x:v>
      </x:c>
      <x:c r="H8" s="35" t="str">
        <x:v>New password</x:v>
      </x:c>
      <x:c r="I8" s="20" t="str">
        <x:v>Property Manager</x:v>
      </x:c>
      <x:c r="J8" s="23" t="n">
        <x:v>46408</x:v>
      </x:c>
      <x:c r="K8" s="35" t="str">
        <x:v>valid non-default; boundary/format value; blank/null when optional; invalid value when constrained</x:v>
      </x:c>
      <x:c r="L8" s="35" t="str">
        <x:v>Save succeeds; reload shows the exact normalized value; other client reads it where supported; edit persists; validation rejects invalid input without partial mutation.</x:v>
      </x:c>
    </x:row>
    <x:row r="9">
      <x:c r="A9" s="20" t="str">
        <x:v>FLD-0006</x:v>
      </x:c>
      <x:c r="B9" s="20" t="str">
        <x:v>Web</x:v>
      </x:c>
      <x:c r="C9" s="35" t="str">
        <x:v>web/src/lib/components/account/AccountSecurityPage.svelte</x:v>
      </x:c>
      <x:c r="D9" s="35" t="str">
        <x:v>web/src/lib/components/account/AccountSecurityPage.svelte</x:v>
      </x:c>
      <x:c r="E9" s="32" t="n">
        <x:v>202</x:v>
      </x:c>
      <x:c r="F9" s="20" t="str">
        <x:v>showConfirm ? 'text' : 'password'</x:v>
      </x:c>
      <x:c r="G9" s="35" t="str">
        <x:v>confirmPassword</x:v>
      </x:c>
      <x:c r="H9" s="35" t="str">
        <x:v>Confirm new password</x:v>
      </x:c>
      <x:c r="I9" s="20" t="str">
        <x:v>Property Manager</x:v>
      </x:c>
      <x:c r="J9" s="23" t="n">
        <x:v>46408</x:v>
      </x:c>
      <x:c r="K9" s="35" t="str">
        <x:v>valid non-default; boundary/format value; blank/null when optional; invalid value when constrained</x:v>
      </x:c>
      <x:c r="L9" s="35" t="str">
        <x:v>Save succeeds; reload shows the exact normalized value; other client reads it where supported; edit persists; validation rejects invalid input without partial mutation.</x:v>
      </x:c>
    </x:row>
    <x:row r="10">
      <x:c r="A10" s="20" t="str">
        <x:v>FLD-0007</x:v>
      </x:c>
      <x:c r="B10" s="20" t="str">
        <x:v>Web</x:v>
      </x:c>
      <x:c r="C10" s="35" t="str">
        <x:v>web/src/lib/components/applications/PrepareMoveInDialog.svelte</x:v>
      </x:c>
      <x:c r="D10" s="35" t="str">
        <x:v>web/src/lib/components/applications/PrepareMoveInDialog.svelte</x:v>
      </x:c>
      <x:c r="E10" s="32" t="n">
        <x:v>329</x:v>
      </x:c>
      <x:c r="F10" s="20" t="str">
        <x:v>input</x:v>
      </x:c>
      <x:c r="G10" s="35" t="str">
        <x:v>prepare-application-search</x:v>
      </x:c>
      <x:c r="H10" s="35" t="str">
        <x:v>Search applicant name, email, or rental</x:v>
      </x:c>
      <x:c r="I10" s="20" t="str">
        <x:v>Leasing Agent</x:v>
      </x:c>
      <x:c r="J10" s="23" t="n">
        <x:v>46408</x:v>
      </x:c>
      <x:c r="K10" s="35" t="str">
        <x:v>valid non-default; boundary/format value; blank/null when optional; invalid value when constrained</x:v>
      </x:c>
      <x:c r="L10" s="35" t="str">
        <x:v>Save succeeds; reload shows the exact normalized value; other client reads it where supported; edit persists; validation rejects invalid input without partial mutation.</x:v>
      </x:c>
    </x:row>
    <x:row r="11">
      <x:c r="A11" s="20" t="str">
        <x:v>FLD-0008</x:v>
      </x:c>
      <x:c r="B11" s="20" t="str">
        <x:v>Web</x:v>
      </x:c>
      <x:c r="C11" s="35" t="str">
        <x:v>web/src/lib/components/applications/PrepareMoveInDialog.svelte</x:v>
      </x:c>
      <x:c r="D11" s="35" t="str">
        <x:v>web/src/lib/components/applications/PrepareMoveInDialog.svelte</x:v>
      </x:c>
      <x:c r="E11" s="32" t="n">
        <x:v>335</x:v>
      </x:c>
      <x:c r="F11" s="20" t="str">
        <x:v>select</x:v>
      </x:c>
      <x:c r="G11" s="35" t="str">
        <x:v>prepare-application</x:v>
      </x:c>
      <x:c r="H11" s="35" t="str">
        <x:v>Approved application</x:v>
      </x:c>
      <x:c r="I11" s="20" t="str">
        <x:v>Leasing Agent</x:v>
      </x:c>
      <x:c r="J11" s="23" t="n">
        <x:v>46409</x:v>
      </x:c>
      <x:c r="K11" s="35" t="str">
        <x:v>valid non-default; boundary/format value; blank/null when optional; invalid value when constrained</x:v>
      </x:c>
      <x:c r="L11" s="35" t="str">
        <x:v>Save succeeds; reload shows the exact normalized value; other client reads it where supported; edit persists; validation rejects invalid input without partial mutation.</x:v>
      </x:c>
    </x:row>
    <x:row r="12">
      <x:c r="A12" s="20" t="str">
        <x:v>FLD-0009</x:v>
      </x:c>
      <x:c r="B12" s="20" t="str">
        <x:v>Web</x:v>
      </x:c>
      <x:c r="C12" s="35" t="str">
        <x:v>web/src/lib/components/applications/PrepareMoveInDialog.svelte</x:v>
      </x:c>
      <x:c r="D12" s="35" t="str">
        <x:v>web/src/lib/components/applications/PrepareMoveInDialog.svelte</x:v>
      </x:c>
      <x:c r="E12" s="32" t="n">
        <x:v>383</x:v>
      </x:c>
      <x:c r="F12" s="20" t="str">
        <x:v>input</x:v>
      </x:c>
      <x:c r="G12" s="35" t="str">
        <x:v>prepare-move-in-unit-search</x:v>
      </x:c>
      <x:c r="H12" s="35" t="str">
        <x:v>Search units in the requested property</x:v>
      </x:c>
      <x:c r="I12" s="20" t="str">
        <x:v>Leasing Agent</x:v>
      </x:c>
      <x:c r="J12" s="23" t="n">
        <x:v>46409</x:v>
      </x:c>
      <x:c r="K12" s="35" t="str">
        <x:v>valid non-default; boundary/format value; blank/null when optional; invalid value when constrained</x:v>
      </x:c>
      <x:c r="L12" s="35" t="str">
        <x:v>Save succeeds; reload shows the exact normalized value; other client reads it where supported; edit persists; validation rejects invalid input without partial mutation.</x:v>
      </x:c>
    </x:row>
    <x:row r="13">
      <x:c r="A13" s="20" t="str">
        <x:v>FLD-0010</x:v>
      </x:c>
      <x:c r="B13" s="20" t="str">
        <x:v>Web</x:v>
      </x:c>
      <x:c r="C13" s="35" t="str">
        <x:v>web/src/lib/components/applications/PrepareMoveInDialog.svelte</x:v>
      </x:c>
      <x:c r="D13" s="35" t="str">
        <x:v>web/src/lib/components/applications/PrepareMoveInDialog.svelte</x:v>
      </x:c>
      <x:c r="E13" s="32" t="n">
        <x:v>388</x:v>
      </x:c>
      <x:c r="F13" s="20" t="str">
        <x:v>select</x:v>
      </x:c>
      <x:c r="G13" s="35" t="str">
        <x:v>prepare-unit</x:v>
      </x:c>
      <x:c r="H13" s="35" t="str"/>
      <x:c r="I13" s="20" t="str">
        <x:v>Leasing Agent</x:v>
      </x:c>
      <x:c r="J13" s="23" t="n">
        <x:v>46409</x:v>
      </x:c>
      <x:c r="K13" s="35" t="str">
        <x:v>valid non-default; boundary/format value; blank/null when optional; invalid value when constrained</x:v>
      </x:c>
      <x:c r="L13" s="35" t="str">
        <x:v>Save succeeds; reload shows the exact normalized value; other client reads it where supported; edit persists; validation rejects invalid input without partial mutation.</x:v>
      </x:c>
    </x:row>
    <x:row r="14">
      <x:c r="A14" s="20" t="str">
        <x:v>FLD-0011</x:v>
      </x:c>
      <x:c r="B14" s="20" t="str">
        <x:v>Web</x:v>
      </x:c>
      <x:c r="C14" s="35" t="str">
        <x:v>web/src/lib/components/applications/PrepareMoveInDialog.svelte</x:v>
      </x:c>
      <x:c r="D14" s="35" t="str">
        <x:v>web/src/lib/components/applications/PrepareMoveInDialog.svelte</x:v>
      </x:c>
      <x:c r="E14" s="32" t="n">
        <x:v>473</x:v>
      </x:c>
      <x:c r="F14" s="20" t="str">
        <x:v>input</x:v>
      </x:c>
      <x:c r="G14" s="35" t="str">
        <x:v>prepare-template-search</x:v>
      </x:c>
      <x:c r="H14" s="35" t="str">
        <x:v>Search active lease templates</x:v>
      </x:c>
      <x:c r="I14" s="20" t="str">
        <x:v>Leasing Agent</x:v>
      </x:c>
      <x:c r="J14" s="23" t="n">
        <x:v>46409</x:v>
      </x:c>
      <x:c r="K14" s="35" t="str">
        <x:v>valid non-default; boundary/format value; blank/null when optional; invalid value when constrained</x:v>
      </x:c>
      <x:c r="L14" s="35" t="str">
        <x:v>Save succeeds; reload shows the exact normalized value; other client reads it where supported; edit persists; validation rejects invalid input without partial mutation.</x:v>
      </x:c>
    </x:row>
    <x:row r="15">
      <x:c r="A15" s="20" t="str">
        <x:v>FLD-0012</x:v>
      </x:c>
      <x:c r="B15" s="20" t="str">
        <x:v>Web</x:v>
      </x:c>
      <x:c r="C15" s="35" t="str">
        <x:v>web/src/lib/components/applications/PrepareMoveInDialog.svelte</x:v>
      </x:c>
      <x:c r="D15" s="35" t="str">
        <x:v>web/src/lib/components/applications/PrepareMoveInDialog.svelte</x:v>
      </x:c>
      <x:c r="E15" s="32" t="n">
        <x:v>480</x:v>
      </x:c>
      <x:c r="F15" s="20" t="str">
        <x:v>select</x:v>
      </x:c>
      <x:c r="G15" s="35" t="str">
        <x:v>prepare-template</x:v>
      </x:c>
      <x:c r="H15" s="35" t="str"/>
      <x:c r="I15" s="20" t="str">
        <x:v>Leasing Agent</x:v>
      </x:c>
      <x:c r="J15" s="23" t="n">
        <x:v>46409</x:v>
      </x:c>
      <x:c r="K15" s="35" t="str">
        <x:v>valid non-default; boundary/format value; blank/null when optional; invalid value when constrained</x:v>
      </x:c>
      <x:c r="L15" s="35" t="str">
        <x:v>Save succeeds; reload shows the exact normalized value; other client reads it where supported; edit persists; validation rejects invalid input without partial mutation.</x:v>
      </x:c>
    </x:row>
    <x:row r="16">
      <x:c r="A16" s="20" t="str">
        <x:v>FLD-0013</x:v>
      </x:c>
      <x:c r="B16" s="20" t="str">
        <x:v>Web</x:v>
      </x:c>
      <x:c r="C16" s="35" t="str">
        <x:v>web/src/lib/components/applications/PrepareMoveInDialog.svelte</x:v>
      </x:c>
      <x:c r="D16" s="35" t="str">
        <x:v>web/src/lib/components/applications/PrepareMoveInDialog.svelte</x:v>
      </x:c>
      <x:c r="E16" s="32" t="n">
        <x:v>512</x:v>
      </x:c>
      <x:c r="F16" s="20" t="str">
        <x:v>select</x:v>
      </x:c>
      <x:c r="G16" s="35" t="str">
        <x:v>prepare-term-type</x:v>
      </x:c>
      <x:c r="H16" s="35" t="str">
        <x:v>Term type</x:v>
      </x:c>
      <x:c r="I16" s="20" t="str">
        <x:v>Leasing Agent</x:v>
      </x:c>
      <x:c r="J16" s="23" t="n">
        <x:v>46412</x:v>
      </x:c>
      <x:c r="K16" s="35" t="str">
        <x:v>valid non-default; boundary/format value; blank/null when optional; invalid value when constrained</x:v>
      </x:c>
      <x:c r="L16" s="35" t="str">
        <x:v>Save succeeds; reload shows the exact normalized value; other client reads it where supported; edit persists; validation rejects invalid input without partial mutation.</x:v>
      </x:c>
    </x:row>
    <x:row r="17">
      <x:c r="A17" s="20" t="str">
        <x:v>FLD-0014</x:v>
      </x:c>
      <x:c r="B17" s="20" t="str">
        <x:v>Web</x:v>
      </x:c>
      <x:c r="C17" s="35" t="str">
        <x:v>web/src/lib/components/applications/PrepareMoveInDialog.svelte</x:v>
      </x:c>
      <x:c r="D17" s="35" t="str">
        <x:v>web/src/lib/components/applications/PrepareMoveInDialog.svelte</x:v>
      </x:c>
      <x:c r="E17" s="32" t="n">
        <x:v>563</x:v>
      </x:c>
      <x:c r="F17" s="20" t="str">
        <x:v>text</x:v>
      </x:c>
      <x:c r="G17" s="35" t="str">
        <x:v>prepare-rent</x:v>
      </x:c>
      <x:c r="H17" s="35" t="str"/>
      <x:c r="I17" s="20" t="str">
        <x:v>Leasing Agent</x:v>
      </x:c>
      <x:c r="J17" s="23" t="n">
        <x:v>46412</x:v>
      </x:c>
      <x:c r="K17" s="35" t="str">
        <x:v>valid non-default; boundary/format value; blank/null when optional; invalid value when constrained</x:v>
      </x:c>
      <x:c r="L17" s="35" t="str">
        <x:v>Save succeeds; reload shows the exact normalized value; other client reads it where supported; edit persists; validation rejects invalid input without partial mutation.</x:v>
      </x:c>
    </x:row>
    <x:row r="18">
      <x:c r="A18" s="20" t="str">
        <x:v>FLD-0015</x:v>
      </x:c>
      <x:c r="B18" s="20" t="str">
        <x:v>Web</x:v>
      </x:c>
      <x:c r="C18" s="35" t="str">
        <x:v>web/src/lib/components/applications/PrepareMoveInDialog.svelte</x:v>
      </x:c>
      <x:c r="D18" s="35" t="str">
        <x:v>web/src/lib/components/applications/PrepareMoveInDialog.svelte</x:v>
      </x:c>
      <x:c r="E18" s="32" t="n">
        <x:v>578</x:v>
      </x:c>
      <x:c r="F18" s="20" t="str">
        <x:v>text</x:v>
      </x:c>
      <x:c r="G18" s="35" t="str">
        <x:v>prepare-due-day</x:v>
      </x:c>
      <x:c r="H18" s="35" t="str"/>
      <x:c r="I18" s="20" t="str">
        <x:v>Leasing Agent</x:v>
      </x:c>
      <x:c r="J18" s="23" t="n">
        <x:v>46412</x:v>
      </x:c>
      <x:c r="K18" s="35" t="str">
        <x:v>valid non-default; boundary/format value; blank/null when optional; invalid value when constrained</x:v>
      </x:c>
      <x:c r="L18" s="35" t="str">
        <x:v>Save succeeds; reload shows the exact normalized value; other client reads it where supported; edit persists; validation rejects invalid input without partial mutation.</x:v>
      </x:c>
    </x:row>
    <x:row r="19">
      <x:c r="A19" s="20" t="str">
        <x:v>FLD-0016</x:v>
      </x:c>
      <x:c r="B19" s="20" t="str">
        <x:v>Web</x:v>
      </x:c>
      <x:c r="C19" s="35" t="str">
        <x:v>web/src/lib/components/applications/PrepareMoveInDialog.svelte</x:v>
      </x:c>
      <x:c r="D19" s="35" t="str">
        <x:v>web/src/lib/components/applications/PrepareMoveInDialog.svelte</x:v>
      </x:c>
      <x:c r="E19" s="32" t="n">
        <x:v>594</x:v>
      </x:c>
      <x:c r="F19" s="20" t="str">
        <x:v>text</x:v>
      </x:c>
      <x:c r="G19" s="35" t="str">
        <x:v>prepare-deposit</x:v>
      </x:c>
      <x:c r="H19" s="35" t="str"/>
      <x:c r="I19" s="20" t="str">
        <x:v>Leasing Agent</x:v>
      </x:c>
      <x:c r="J19" s="23" t="n">
        <x:v>46412</x:v>
      </x:c>
      <x:c r="K19" s="35" t="str">
        <x:v>valid non-default; boundary/format value; blank/null when optional; invalid value when constrained</x:v>
      </x:c>
      <x:c r="L19" s="35" t="str">
        <x:v>Save succeeds; reload shows the exact normalized value; other client reads it where supported; edit persists; validation rejects invalid input without partial mutation.</x:v>
      </x:c>
    </x:row>
    <x:row r="20">
      <x:c r="A20" s="20" t="str">
        <x:v>FLD-0017</x:v>
      </x:c>
      <x:c r="B20" s="20" t="str">
        <x:v>Web</x:v>
      </x:c>
      <x:c r="C20" s="35" t="str">
        <x:v>web/src/lib/components/applications/PrepareMoveInDialog.svelte</x:v>
      </x:c>
      <x:c r="D20" s="35" t="str">
        <x:v>web/src/lib/components/applications/PrepareMoveInDialog.svelte</x:v>
      </x:c>
      <x:c r="E20" s="32" t="n">
        <x:v>609</x:v>
      </x:c>
      <x:c r="F20" s="20" t="str">
        <x:v>text</x:v>
      </x:c>
      <x:c r="G20" s="35" t="str">
        <x:v>prepare-late-fee</x:v>
      </x:c>
      <x:c r="H20" s="35" t="str"/>
      <x:c r="I20" s="20" t="str">
        <x:v>Leasing Agent</x:v>
      </x:c>
      <x:c r="J20" s="23" t="n">
        <x:v>46413</x:v>
      </x:c>
      <x:c r="K20" s="35" t="str">
        <x:v>valid non-default; boundary/format value; blank/null when optional; invalid value when constrained</x:v>
      </x:c>
      <x:c r="L20" s="35" t="str">
        <x:v>Save succeeds; reload shows the exact normalized value; other client reads it where supported; edit persists; validation rejects invalid input without partial mutation.</x:v>
      </x:c>
    </x:row>
    <x:row r="21">
      <x:c r="A21" s="20" t="str">
        <x:v>FLD-0018</x:v>
      </x:c>
      <x:c r="B21" s="20" t="str">
        <x:v>Web</x:v>
      </x:c>
      <x:c r="C21" s="35" t="str">
        <x:v>web/src/lib/components/applications/PrepareMoveInDialog.svelte</x:v>
      </x:c>
      <x:c r="D21" s="35" t="str">
        <x:v>web/src/lib/components/applications/PrepareMoveInDialog.svelte</x:v>
      </x:c>
      <x:c r="E21" s="32" t="n">
        <x:v>625</x:v>
      </x:c>
      <x:c r="F21" s="20" t="str">
        <x:v>text</x:v>
      </x:c>
      <x:c r="G21" s="35" t="str">
        <x:v>prepare-grace</x:v>
      </x:c>
      <x:c r="H21" s="35" t="str"/>
      <x:c r="I21" s="20" t="str">
        <x:v>Leasing Agent</x:v>
      </x:c>
      <x:c r="J21" s="23" t="n">
        <x:v>46413</x:v>
      </x:c>
      <x:c r="K21" s="35" t="str">
        <x:v>valid non-default; boundary/format value; blank/null when optional; invalid value when constrained</x:v>
      </x:c>
      <x:c r="L21" s="35" t="str">
        <x:v>Save succeeds; reload shows the exact normalized value; other client reads it where supported; edit persists; validation rejects invalid input without partial mutation.</x:v>
      </x:c>
    </x:row>
    <x:row r="22">
      <x:c r="A22" s="20" t="str">
        <x:v>FLD-0019</x:v>
      </x:c>
      <x:c r="B22" s="20" t="str">
        <x:v>Web</x:v>
      </x:c>
      <x:c r="C22" s="35" t="str">
        <x:v>web/src/lib/components/applications/PrepareMoveInDialog.svelte</x:v>
      </x:c>
      <x:c r="D22" s="35" t="str">
        <x:v>web/src/lib/components/applications/PrepareMoveInDialog.svelte</x:v>
      </x:c>
      <x:c r="E22" s="32" t="n">
        <x:v>666</x:v>
      </x:c>
      <x:c r="F22" s="20" t="str">
        <x:v>text</x:v>
      </x:c>
      <x:c r="G22" s="35" t="str">
        <x:v>prepare-opening-amount</x:v>
      </x:c>
      <x:c r="H22" s="35" t="str"/>
      <x:c r="I22" s="20" t="str">
        <x:v>Leasing Agent</x:v>
      </x:c>
      <x:c r="J22" s="23" t="n">
        <x:v>46413</x:v>
      </x:c>
      <x:c r="K22" s="35" t="str">
        <x:v>valid non-default; boundary/format value; blank/null when optional; invalid value when constrained</x:v>
      </x:c>
      <x:c r="L22" s="35" t="str">
        <x:v>Save succeeds; reload shows the exact normalized value; other client reads it where supported; edit persists; validation rejects invalid input without partial mutation.</x:v>
      </x:c>
    </x:row>
    <x:row r="23">
      <x:c r="A23" s="20" t="str">
        <x:v>FLD-0020</x:v>
      </x:c>
      <x:c r="B23" s="20" t="str">
        <x:v>Web</x:v>
      </x:c>
      <x:c r="C23" s="35" t="str">
        <x:v>web/src/lib/components/applications/PrepareMoveInDialog.svelte</x:v>
      </x:c>
      <x:c r="D23" s="35" t="str">
        <x:v>web/src/lib/components/applications/PrepareMoveInDialog.svelte</x:v>
      </x:c>
      <x:c r="E23" s="32" t="n">
        <x:v>693</x:v>
      </x:c>
      <x:c r="F23" s="20" t="str">
        <x:v>input</x:v>
      </x:c>
      <x:c r="G23" s="35" t="str">
        <x:v>prepare-opening-note</x:v>
      </x:c>
      <x:c r="H23" s="35" t="str"/>
      <x:c r="I23" s="20" t="str">
        <x:v>Leasing Agent</x:v>
      </x:c>
      <x:c r="J23" s="23" t="n">
        <x:v>46413</x:v>
      </x:c>
      <x:c r="K23" s="35" t="str">
        <x:v>valid non-default; boundary/format value; blank/null when optional; invalid value when constrained</x:v>
      </x:c>
      <x:c r="L23" s="35" t="str">
        <x:v>Save succeeds; reload shows the exact normalized value; other client reads it where supported; edit persists; validation rejects invalid input without partial mutation.</x:v>
      </x:c>
    </x:row>
    <x:row r="24">
      <x:c r="A24" s="20" t="str">
        <x:v>FLD-0021</x:v>
      </x:c>
      <x:c r="B24" s="20" t="str">
        <x:v>Web</x:v>
      </x:c>
      <x:c r="C24" s="35" t="str">
        <x:v>web/src/lib/components/assistant/AssistantPanel.svelte</x:v>
      </x:c>
      <x:c r="D24" s="35" t="str">
        <x:v>web/src/lib/components/assistant/AssistantPanel.svelte</x:v>
      </x:c>
      <x:c r="E24" s="32" t="n">
        <x:v>98</x:v>
      </x:c>
      <x:c r="F24" s="20" t="str">
        <x:v>checkbox</x:v>
      </x:c>
      <x:c r="G24" s="35" t="str">
        <x:v>assistant-action-mode-toggle</x:v>
      </x:c>
      <x:c r="H24" s="35" t="str">
        <x:v>Enable assistant action mode</x:v>
      </x:c>
      <x:c r="I24" s="20" t="str">
        <x:v>Property Manager</x:v>
      </x:c>
      <x:c r="J24" s="23" t="n">
        <x:v>46414</x:v>
      </x:c>
      <x:c r="K24" s="35" t="str">
        <x:v>valid non-default; boundary/format value; blank/null when optional; invalid value when constrained</x:v>
      </x:c>
      <x:c r="L24" s="35" t="str">
        <x:v>Save succeeds; reload shows the exact normalized value; other client reads it where supported; edit persists; validation rejects invalid input without partial mutation.</x:v>
      </x:c>
    </x:row>
    <x:row r="25">
      <x:c r="A25" s="20" t="str">
        <x:v>FLD-0022</x:v>
      </x:c>
      <x:c r="B25" s="20" t="str">
        <x:v>Web</x:v>
      </x:c>
      <x:c r="C25" s="35" t="str">
        <x:v>web/src/lib/components/assistant/AssistantPanel.svelte</x:v>
      </x:c>
      <x:c r="D25" s="35" t="str">
        <x:v>web/src/lib/components/assistant/AssistantPanel.svelte</x:v>
      </x:c>
      <x:c r="E25" s="32" t="n">
        <x:v>108</x:v>
      </x:c>
      <x:c r="F25" s="20" t="str">
        <x:v>textarea</x:v>
      </x:c>
      <x:c r="G25" s="35" t="str">
        <x:v>assistant-input</x:v>
      </x:c>
      <x:c r="H25" s="35" t="str">
        <x:v>Ask a question...</x:v>
      </x:c>
      <x:c r="I25" s="20" t="str">
        <x:v>Property Manager</x:v>
      </x:c>
      <x:c r="J25" s="23" t="n">
        <x:v>46414</x:v>
      </x:c>
      <x:c r="K25" s="35" t="str">
        <x:v>valid non-default; boundary/format value; blank/null when optional; invalid value when constrained</x:v>
      </x:c>
      <x:c r="L25" s="35" t="str">
        <x:v>Save succeeds; reload shows the exact normalized value; other client reads it where supported; edit persists; validation rejects invalid input without partial mutation.</x:v>
      </x:c>
    </x:row>
    <x:row r="26">
      <x:c r="A26" s="20" t="str">
        <x:v>FLD-0023</x:v>
      </x:c>
      <x:c r="B26" s="20" t="str">
        <x:v>Web</x:v>
      </x:c>
      <x:c r="C26" s="35" t="str">
        <x:v>web/src/lib/components/document-templates/LeaseTemplateDesigner.svelte</x:v>
      </x:c>
      <x:c r="D26" s="35" t="str">
        <x:v>web/src/lib/components/document-templates/LeaseTemplateDesigner.svelte</x:v>
      </x:c>
      <x:c r="E26" s="32" t="n">
        <x:v>1095</x:v>
      </x:c>
      <x:c r="F26" s="20" t="str">
        <x:v>select</x:v>
      </x:c>
      <x:c r="G26" s="35" t="str">
        <x:v>lease-template-preview-lease-select</x:v>
      </x:c>
      <x:c r="H26" s="35" t="str"/>
      <x:c r="I26" s="20" t="str">
        <x:v>Property Manager</x:v>
      </x:c>
      <x:c r="J26" s="23" t="n">
        <x:v>46414</x:v>
      </x:c>
      <x:c r="K26" s="35" t="str">
        <x:v>valid non-default; boundary/format value; blank/null when optional; invalid value when constrained</x:v>
      </x:c>
      <x:c r="L26" s="35" t="str">
        <x:v>Save succeeds; reload shows the exact normalized value; other client reads it where supported; edit persists; validation rejects invalid input without partial mutation.</x:v>
      </x:c>
    </x:row>
    <x:row r="27">
      <x:c r="A27" s="20" t="str">
        <x:v>FLD-0024</x:v>
      </x:c>
      <x:c r="B27" s="20" t="str">
        <x:v>Web</x:v>
      </x:c>
      <x:c r="C27" s="35" t="str">
        <x:v>web/src/lib/components/document-templates/LeaseTemplateDesigner.svelte</x:v>
      </x:c>
      <x:c r="D27" s="35" t="str">
        <x:v>web/src/lib/components/document-templates/LeaseTemplateDesigner.svelte</x:v>
      </x:c>
      <x:c r="E27" s="32" t="n">
        <x:v>1309</x:v>
      </x:c>
      <x:c r="F27" s="20" t="str">
        <x:v>select</x:v>
      </x:c>
      <x:c r="G27" s="35" t="str">
        <x:v>lease-template-page-select</x:v>
      </x:c>
      <x:c r="H27" s="35" t="str"/>
      <x:c r="I27" s="20" t="str">
        <x:v>Property Manager</x:v>
      </x:c>
      <x:c r="J27" s="23" t="n">
        <x:v>46414</x:v>
      </x:c>
      <x:c r="K27" s="35" t="str">
        <x:v>valid non-default; boundary/format value; blank/null when optional; invalid value when constrained</x:v>
      </x:c>
      <x:c r="L27" s="35" t="str">
        <x:v>Save succeeds; reload shows the exact normalized value; other client reads it where supported; edit persists; validation rejects invalid input without partial mutation.</x:v>
      </x:c>
    </x:row>
    <x:row r="28">
      <x:c r="A28" s="20" t="str">
        <x:v>FLD-0025</x:v>
      </x:c>
      <x:c r="B28" s="20" t="str">
        <x:v>Web</x:v>
      </x:c>
      <x:c r="C28" s="35" t="str">
        <x:v>web/src/lib/components/document-templates/LeaseTemplateDesigner.svelte</x:v>
      </x:c>
      <x:c r="D28" s="35" t="str">
        <x:v>web/src/lib/components/document-templates/LeaseTemplateDesigner.svelte</x:v>
      </x:c>
      <x:c r="E28" s="32" t="n">
        <x:v>1409</x:v>
      </x:c>
      <x:c r="F28" s="20" t="str">
        <x:v>number</x:v>
      </x:c>
      <x:c r="G28" s="35" t="str">
        <x:v>input-3</x:v>
      </x:c>
      <x:c r="H28" s="35" t="str"/>
      <x:c r="I28" s="20" t="str">
        <x:v>Property Manager</x:v>
      </x:c>
      <x:c r="J28" s="23" t="n">
        <x:v>46414</x:v>
      </x:c>
      <x:c r="K28" s="35" t="str">
        <x:v>valid non-default; boundary/format value; blank/null when optional; invalid value when constrained</x:v>
      </x:c>
      <x:c r="L28" s="35" t="str">
        <x:v>Save succeeds; reload shows the exact normalized value; other client reads it where supported; edit persists; validation rejects invalid input without partial mutation.</x:v>
      </x:c>
    </x:row>
    <x:row r="29">
      <x:c r="A29" s="20" t="str">
        <x:v>FLD-0026</x:v>
      </x:c>
      <x:c r="B29" s="20" t="str">
        <x:v>Web</x:v>
      </x:c>
      <x:c r="C29" s="35" t="str">
        <x:v>web/src/lib/components/document-templates/LeaseTemplateDesigner.svelte</x:v>
      </x:c>
      <x:c r="D29" s="35" t="str">
        <x:v>web/src/lib/components/document-templates/LeaseTemplateDesigner.svelte</x:v>
      </x:c>
      <x:c r="E29" s="32" t="n">
        <x:v>1423</x:v>
      </x:c>
      <x:c r="F29" s="20" t="str">
        <x:v>number</x:v>
      </x:c>
      <x:c r="G29" s="35" t="str">
        <x:v>input-4</x:v>
      </x:c>
      <x:c r="H29" s="35" t="str"/>
      <x:c r="I29" s="20" t="str">
        <x:v>Property Manager</x:v>
      </x:c>
      <x:c r="J29" s="23" t="n">
        <x:v>46415</x:v>
      </x:c>
      <x:c r="K29" s="35" t="str">
        <x:v>valid non-default; boundary/format value; blank/null when optional; invalid value when constrained</x:v>
      </x:c>
      <x:c r="L29" s="35" t="str">
        <x:v>Save succeeds; reload shows the exact normalized value; other client reads it where supported; edit persists; validation rejects invalid input without partial mutation.</x:v>
      </x:c>
    </x:row>
    <x:row r="30">
      <x:c r="A30" s="20" t="str">
        <x:v>FLD-0027</x:v>
      </x:c>
      <x:c r="B30" s="20" t="str">
        <x:v>Web</x:v>
      </x:c>
      <x:c r="C30" s="35" t="str">
        <x:v>web/src/lib/components/forms/LeaseTermFields.svelte</x:v>
      </x:c>
      <x:c r="D30" s="35" t="str">
        <x:v>web/src/lib/components/forms/LeaseTermFields.svelte</x:v>
      </x:c>
      <x:c r="E30" s="32" t="n">
        <x:v>80</x:v>
      </x:c>
      <x:c r="F30" s="20" t="str">
        <x:v>input</x:v>
      </x:c>
      <x:c r="G30" s="35" t="str">
        <x:v>`${testidPrefix</x:v>
      </x:c>
      <x:c r="H30" s="35" t="str">
        <x:v>Lease number</x:v>
      </x:c>
      <x:c r="I30" s="20" t="str">
        <x:v>Property Manager</x:v>
      </x:c>
      <x:c r="J30" s="23" t="n">
        <x:v>46415</x:v>
      </x:c>
      <x:c r="K30" s="35" t="str">
        <x:v>valid non-default; boundary/format value; blank/null when optional; invalid value when constrained</x:v>
      </x:c>
      <x:c r="L30" s="35" t="str">
        <x:v>Save succeeds; reload shows the exact normalized value; other client reads it where supported; edit persists; validation rejects invalid input without partial mutation.</x:v>
      </x:c>
    </x:row>
    <x:row r="31">
      <x:c r="A31" s="20" t="str">
        <x:v>FLD-0028</x:v>
      </x:c>
      <x:c r="B31" s="20" t="str">
        <x:v>Web</x:v>
      </x:c>
      <x:c r="C31" s="35" t="str">
        <x:v>web/src/lib/components/forms/LeaseTermFields.svelte</x:v>
      </x:c>
      <x:c r="D31" s="35" t="str">
        <x:v>web/src/lib/components/forms/LeaseTermFields.svelte</x:v>
      </x:c>
      <x:c r="E31" s="32" t="n">
        <x:v>155</x:v>
      </x:c>
      <x:c r="F31" s="20" t="str">
        <x:v>single</x:v>
      </x:c>
      <x:c r="G31" s="35" t="str">
        <x:v>form.status</x:v>
      </x:c>
      <x:c r="H31" s="35" t="str"/>
      <x:c r="I31" s="20" t="str">
        <x:v>Property Manager</x:v>
      </x:c>
      <x:c r="J31" s="23" t="n">
        <x:v>46415</x:v>
      </x:c>
      <x:c r="K31" s="35" t="str">
        <x:v>valid non-default; boundary/format value; blank/null when optional; invalid value when constrained</x:v>
      </x:c>
      <x:c r="L31" s="35" t="str">
        <x:v>Save succeeds; reload shows the exact normalized value; other client reads it where supported; edit persists; validation rejects invalid input without partial mutation.</x:v>
      </x:c>
    </x:row>
    <x:row r="32">
      <x:c r="A32" s="20" t="str">
        <x:v>FLD-0029</x:v>
      </x:c>
      <x:c r="B32" s="20" t="str">
        <x:v>Web</x:v>
      </x:c>
      <x:c r="C32" s="35" t="str">
        <x:v>web/src/lib/components/forms/LeaseTermFields.svelte</x:v>
      </x:c>
      <x:c r="D32" s="35" t="str">
        <x:v>web/src/lib/components/forms/LeaseTermFields.svelte</x:v>
      </x:c>
      <x:c r="E32" s="32" t="n">
        <x:v>157</x:v>
      </x:c>
      <x:c r="F32" s="20" t="str">
        <x:v>select</x:v>
      </x:c>
      <x:c r="G32" s="35" t="str">
        <x:v>Select-8</x:v>
      </x:c>
      <x:c r="H32" s="35" t="str"/>
      <x:c r="I32" s="20" t="str">
        <x:v>Property Manager</x:v>
      </x:c>
      <x:c r="J32" s="23" t="n">
        <x:v>46415</x:v>
      </x:c>
      <x:c r="K32" s="35" t="str">
        <x:v>valid non-default; boundary/format value; blank/null when optional; invalid value when constrained</x:v>
      </x:c>
      <x:c r="L32" s="35" t="str">
        <x:v>Save succeeds; reload shows the exact normalized value; other client reads it where supported; edit persists; validation rejects invalid input without partial mutation.</x:v>
      </x:c>
    </x:row>
    <x:row r="33">
      <x:c r="A33" s="20" t="str">
        <x:v>FLD-0030</x:v>
      </x:c>
      <x:c r="B33" s="20" t="str">
        <x:v>Web</x:v>
      </x:c>
      <x:c r="C33" s="35" t="str">
        <x:v>web/src/lib/components/forms/LeaseTermFields.svelte</x:v>
      </x:c>
      <x:c r="D33" s="35" t="str">
        <x:v>web/src/lib/components/forms/LeaseTermFields.svelte</x:v>
      </x:c>
      <x:c r="E33" s="32" t="n">
        <x:v>159</x:v>
      </x:c>
      <x:c r="F33" s="20" t="str">
        <x:v>select</x:v>
      </x:c>
      <x:c r="G33" s="35" t="str">
        <x:v>Select-9</x:v>
      </x:c>
      <x:c r="H33" s="35" t="str"/>
      <x:c r="I33" s="20" t="str">
        <x:v>Property Manager</x:v>
      </x:c>
      <x:c r="J33" s="23" t="n">
        <x:v>46416</x:v>
      </x:c>
      <x:c r="K33" s="35" t="str">
        <x:v>valid non-default; boundary/format value; blank/null when optional; invalid value when constrained</x:v>
      </x:c>
      <x:c r="L33" s="35" t="str">
        <x:v>Save succeeds; reload shows the exact normalized value; other client reads it where supported; edit persists; validation rejects invalid input without partial mutation.</x:v>
      </x:c>
    </x:row>
    <x:row r="34">
      <x:c r="A34" s="20" t="str">
        <x:v>FLD-0031</x:v>
      </x:c>
      <x:c r="B34" s="20" t="str">
        <x:v>Web</x:v>
      </x:c>
      <x:c r="C34" s="35" t="str">
        <x:v>web/src/lib/components/forms/PropertyFields.svelte</x:v>
      </x:c>
      <x:c r="D34" s="35" t="str">
        <x:v>web/src/lib/components/forms/PropertyFields.svelte</x:v>
      </x:c>
      <x:c r="E34" s="32" t="n">
        <x:v>51</x:v>
      </x:c>
      <x:c r="F34" s="20" t="str">
        <x:v>radio</x:v>
      </x:c>
      <x:c r="G34" s="35" t="str">
        <x:v>`${testidPrefix</x:v>
      </x:c>
      <x:c r="H34" s="35" t="str"/>
      <x:c r="I34" s="20" t="str">
        <x:v>Property Manager</x:v>
      </x:c>
      <x:c r="J34" s="23" t="n">
        <x:v>46416</x:v>
      </x:c>
      <x:c r="K34" s="35" t="str">
        <x:v>valid non-default; boundary/format value; blank/null when optional; invalid value when constrained</x:v>
      </x:c>
      <x:c r="L34" s="35" t="str">
        <x:v>Save succeeds; reload shows the exact normalized value; other client reads it where supported; edit persists; validation rejects invalid input without partial mutation.</x:v>
      </x:c>
    </x:row>
    <x:row r="35">
      <x:c r="A35" s="20" t="str">
        <x:v>FLD-0032</x:v>
      </x:c>
      <x:c r="B35" s="20" t="str">
        <x:v>Web</x:v>
      </x:c>
      <x:c r="C35" s="35" t="str">
        <x:v>web/src/lib/components/forms/PropertyFields.svelte</x:v>
      </x:c>
      <x:c r="D35" s="35" t="str">
        <x:v>web/src/lib/components/forms/PropertyFields.svelte</x:v>
      </x:c>
      <x:c r="E35" s="32" t="n">
        <x:v>134</x:v>
      </x:c>
      <x:c r="F35" s="20" t="str">
        <x:v>single</x:v>
      </x:c>
      <x:c r="G35" s="35" t="str">
        <x:v>form.type</x:v>
      </x:c>
      <x:c r="H35" s="35" t="str"/>
      <x:c r="I35" s="20" t="str">
        <x:v>Property Manager</x:v>
      </x:c>
      <x:c r="J35" s="23" t="n">
        <x:v>46416</x:v>
      </x:c>
      <x:c r="K35" s="35" t="str">
        <x:v>valid non-default; boundary/format value; blank/null when optional; invalid value when constrained</x:v>
      </x:c>
      <x:c r="L35" s="35" t="str">
        <x:v>Save succeeds; reload shows the exact normalized value; other client reads it where supported; edit persists; validation rejects invalid input without partial mutation.</x:v>
      </x:c>
    </x:row>
    <x:row r="36">
      <x:c r="A36" s="20" t="str">
        <x:v>FLD-0033</x:v>
      </x:c>
      <x:c r="B36" s="20" t="str">
        <x:v>Web</x:v>
      </x:c>
      <x:c r="C36" s="35" t="str">
        <x:v>web/src/lib/components/forms/PropertyFields.svelte</x:v>
      </x:c>
      <x:c r="D36" s="35" t="str">
        <x:v>web/src/lib/components/forms/PropertyFields.svelte</x:v>
      </x:c>
      <x:c r="E36" s="32" t="n">
        <x:v>136</x:v>
      </x:c>
      <x:c r="F36" s="20" t="str">
        <x:v>select</x:v>
      </x:c>
      <x:c r="G36" s="35" t="str">
        <x:v>Select-8</x:v>
      </x:c>
      <x:c r="H36" s="35" t="str"/>
      <x:c r="I36" s="20" t="str">
        <x:v>Property Manager</x:v>
      </x:c>
      <x:c r="J36" s="23" t="n">
        <x:v>46416</x:v>
      </x:c>
      <x:c r="K36" s="35" t="str">
        <x:v>valid non-default; boundary/format value; blank/null when optional; invalid value when constrained</x:v>
      </x:c>
      <x:c r="L36" s="35" t="str">
        <x:v>Save succeeds; reload shows the exact normalized value; other client reads it where supported; edit persists; validation rejects invalid input without partial mutation.</x:v>
      </x:c>
    </x:row>
    <x:row r="37">
      <x:c r="A37" s="20" t="str">
        <x:v>FLD-0034</x:v>
      </x:c>
      <x:c r="B37" s="20" t="str">
        <x:v>Web</x:v>
      </x:c>
      <x:c r="C37" s="35" t="str">
        <x:v>web/src/lib/components/forms/PropertyFields.svelte</x:v>
      </x:c>
      <x:c r="D37" s="35" t="str">
        <x:v>web/src/lib/components/forms/PropertyFields.svelte</x:v>
      </x:c>
      <x:c r="E37" s="32" t="n">
        <x:v>138</x:v>
      </x:c>
      <x:c r="F37" s="20" t="str">
        <x:v>select</x:v>
      </x:c>
      <x:c r="G37" s="35" t="str">
        <x:v>Select-9</x:v>
      </x:c>
      <x:c r="H37" s="35" t="str"/>
      <x:c r="I37" s="20" t="str">
        <x:v>Property Manager</x:v>
      </x:c>
      <x:c r="J37" s="23" t="n">
        <x:v>46416</x:v>
      </x:c>
      <x:c r="K37" s="35" t="str">
        <x:v>valid non-default; boundary/format value; blank/null when optional; invalid value when constrained</x:v>
      </x:c>
      <x:c r="L37" s="35" t="str">
        <x:v>Save succeeds; reload shows the exact normalized value; other client reads it where supported; edit persists; validation rejects invalid input without partial mutation.</x:v>
      </x:c>
    </x:row>
    <x:row r="38">
      <x:c r="A38" s="20" t="str">
        <x:v>FLD-0035</x:v>
      </x:c>
      <x:c r="B38" s="20" t="str">
        <x:v>Web</x:v>
      </x:c>
      <x:c r="C38" s="35" t="str">
        <x:v>web/src/lib/components/forms/TenantFields.svelte</x:v>
      </x:c>
      <x:c r="D38" s="35" t="str">
        <x:v>web/src/lib/components/forms/TenantFields.svelte</x:v>
      </x:c>
      <x:c r="E38" s="32" t="n">
        <x:v>31</x:v>
      </x:c>
      <x:c r="F38" s="20" t="str">
        <x:v>input</x:v>
      </x:c>
      <x:c r="G38" s="35" t="str">
        <x:v>`${testidPrefix</x:v>
      </x:c>
      <x:c r="H38" s="35" t="str">
        <x:v>First name</x:v>
      </x:c>
      <x:c r="I38" s="20" t="str">
        <x:v>Property Manager</x:v>
      </x:c>
      <x:c r="J38" s="23" t="n">
        <x:v>46419</x:v>
      </x:c>
      <x:c r="K38" s="35" t="str">
        <x:v>valid non-default; boundary/format value; blank/null when optional; invalid value when constrained</x:v>
      </x:c>
      <x:c r="L38" s="35" t="str">
        <x:v>Save succeeds; reload shows the exact normalized value; other client reads it where supported; edit persists; validation rejects invalid input without partial mutation.</x:v>
      </x:c>
    </x:row>
    <x:row r="39">
      <x:c r="A39" s="20" t="str">
        <x:v>FLD-0036</x:v>
      </x:c>
      <x:c r="B39" s="20" t="str">
        <x:v>Web</x:v>
      </x:c>
      <x:c r="C39" s="35" t="str">
        <x:v>web/src/lib/components/forms/UnitFields.svelte</x:v>
      </x:c>
      <x:c r="D39" s="35" t="str">
        <x:v>web/src/lib/components/forms/UnitFields.svelte</x:v>
      </x:c>
      <x:c r="E39" s="32" t="n">
        <x:v>36</x:v>
      </x:c>
      <x:c r="F39" s="20" t="str">
        <x:v>input</x:v>
      </x:c>
      <x:c r="G39" s="35" t="str">
        <x:v>`${testidPrefix</x:v>
      </x:c>
      <x:c r="H39" s="35" t="str">
        <x:v>Unit number</x:v>
      </x:c>
      <x:c r="I39" s="20" t="str">
        <x:v>Property Manager</x:v>
      </x:c>
      <x:c r="J39" s="23" t="n">
        <x:v>46419</x:v>
      </x:c>
      <x:c r="K39" s="35" t="str">
        <x:v>valid non-default; boundary/format value; blank/null when optional; invalid value when constrained</x:v>
      </x:c>
      <x:c r="L39" s="35" t="str">
        <x:v>Save succeeds; reload shows the exact normalized value; other client reads it where supported; edit persists; validation rejects invalid input without partial mutation.</x:v>
      </x:c>
    </x:row>
    <x:row r="40">
      <x:c r="A40" s="20" t="str">
        <x:v>FLD-0037</x:v>
      </x:c>
      <x:c r="B40" s="20" t="str">
        <x:v>Web</x:v>
      </x:c>
      <x:c r="C40" s="35" t="str">
        <x:v>web/src/lib/components/leases/AddendumCorrectionDialog.svelte</x:v>
      </x:c>
      <x:c r="D40" s="35" t="str">
        <x:v>web/src/lib/components/leases/AddendumCorrectionDialog.svelte</x:v>
      </x:c>
      <x:c r="E40" s="32" t="n">
        <x:v>70</x:v>
      </x:c>
      <x:c r="F40" s="20" t="str">
        <x:v>date</x:v>
      </x:c>
      <x:c r="G40" s="35" t="str">
        <x:v>addendum-correction-effective-on</x:v>
      </x:c>
      <x:c r="H40" s="35" t="str"/>
      <x:c r="I40" s="20" t="str">
        <x:v>Leasing Agent</x:v>
      </x:c>
      <x:c r="J40" s="23" t="n">
        <x:v>46419</x:v>
      </x:c>
      <x:c r="K40" s="35" t="str">
        <x:v>valid non-default; boundary/format value; blank/null when optional; invalid value when constrained</x:v>
      </x:c>
      <x:c r="L40" s="35" t="str">
        <x:v>Save succeeds; reload shows the exact normalized value; other client reads it where supported; edit persists; validation rejects invalid input without partial mutation.</x:v>
      </x:c>
    </x:row>
    <x:row r="41">
      <x:c r="A41" s="20" t="str">
        <x:v>FLD-0038</x:v>
      </x:c>
      <x:c r="B41" s="20" t="str">
        <x:v>Web</x:v>
      </x:c>
      <x:c r="C41" s="35" t="str">
        <x:v>web/src/lib/components/leases/AddendumCreateDialog.svelte</x:v>
      </x:c>
      <x:c r="D41" s="35" t="str">
        <x:v>web/src/lib/components/leases/AddendumCreateDialog.svelte</x:v>
      </x:c>
      <x:c r="E41" s="32" t="n">
        <x:v>238</x:v>
      </x:c>
      <x:c r="F41" s="20" t="str">
        <x:v>input</x:v>
      </x:c>
      <x:c r="G41" s="35" t="str">
        <x:v>addendum-create-number</x:v>
      </x:c>
      <x:c r="H41" s="35" t="str"/>
      <x:c r="I41" s="20" t="str">
        <x:v>Leasing Agent</x:v>
      </x:c>
      <x:c r="J41" s="23" t="n">
        <x:v>46419</x:v>
      </x:c>
      <x:c r="K41" s="35" t="str">
        <x:v>valid non-default; boundary/format value; blank/null when optional; invalid value when constrained</x:v>
      </x:c>
      <x:c r="L41" s="35" t="str">
        <x:v>Save succeeds; reload shows the exact normalized value; other client reads it where supported; edit persists; validation rejects invalid input without partial mutation.</x:v>
      </x:c>
    </x:row>
    <x:row r="42">
      <x:c r="A42" s="20" t="str">
        <x:v>FLD-0039</x:v>
      </x:c>
      <x:c r="B42" s="20" t="str">
        <x:v>Web</x:v>
      </x:c>
      <x:c r="C42" s="35" t="str">
        <x:v>web/src/lib/components/leases/AddendumCreateDialog.svelte</x:v>
      </x:c>
      <x:c r="D42" s="35" t="str">
        <x:v>web/src/lib/components/leases/AddendumCreateDialog.svelte</x:v>
      </x:c>
      <x:c r="E42" s="32" t="n">
        <x:v>239</x:v>
      </x:c>
      <x:c r="F42" s="20" t="str">
        <x:v>select</x:v>
      </x:c>
      <x:c r="G42" s="35" t="str">
        <x:v>purpose</x:v>
      </x:c>
      <x:c r="H42" s="35" t="str">
        <x:v>Addendum number</x:v>
      </x:c>
      <x:c r="I42" s="20" t="str">
        <x:v>Leasing Agent</x:v>
      </x:c>
      <x:c r="J42" s="23" t="n">
        <x:v>46420</x:v>
      </x:c>
      <x:c r="K42" s="35" t="str">
        <x:v>valid non-default; boundary/format value; blank/null when optional; invalid value when constrained</x:v>
      </x:c>
      <x:c r="L42" s="35" t="str">
        <x:v>Save succeeds; reload shows the exact normalized value; other client reads it where supported; edit persists; validation rejects invalid input without partial mutation.</x:v>
      </x:c>
    </x:row>
    <x:row r="43">
      <x:c r="A43" s="20" t="str">
        <x:v>FLD-0040</x:v>
      </x:c>
      <x:c r="B43" s="20" t="str">
        <x:v>Web</x:v>
      </x:c>
      <x:c r="C43" s="35" t="str">
        <x:v>web/src/lib/components/leases/AddendumCreateDialog.svelte</x:v>
      </x:c>
      <x:c r="D43" s="35" t="str">
        <x:v>web/src/lib/components/leases/AddendumCreateDialog.svelte</x:v>
      </x:c>
      <x:c r="E43" s="32" t="n">
        <x:v>240</x:v>
      </x:c>
      <x:c r="F43" s="20" t="str">
        <x:v>select</x:v>
      </x:c>
      <x:c r="G43" s="35" t="str">
        <x:v>documentTemplateId</x:v>
      </x:c>
      <x:c r="H43" s="35" t="str">
        <x:v>Purpose</x:v>
      </x:c>
      <x:c r="I43" s="20" t="str">
        <x:v>Leasing Agent</x:v>
      </x:c>
      <x:c r="J43" s="23" t="n">
        <x:v>46420</x:v>
      </x:c>
      <x:c r="K43" s="35" t="str">
        <x:v>valid non-default; boundary/format value; blank/null when optional; invalid value when constrained</x:v>
      </x:c>
      <x:c r="L43" s="35" t="str">
        <x:v>Save succeeds; reload shows the exact normalized value; other client reads it where supported; edit persists; validation rejects invalid input without partial mutation.</x:v>
      </x:c>
    </x:row>
    <x:row r="44">
      <x:c r="A44" s="20" t="str">
        <x:v>FLD-0041</x:v>
      </x:c>
      <x:c r="B44" s="20" t="str">
        <x:v>Web</x:v>
      </x:c>
      <x:c r="C44" s="35" t="str">
        <x:v>web/src/lib/components/leases/AddendumCreateDialog.svelte</x:v>
      </x:c>
      <x:c r="D44" s="35" t="str">
        <x:v>web/src/lib/components/leases/AddendumCreateDialog.svelte</x:v>
      </x:c>
      <x:c r="E44" s="32" t="n">
        <x:v>241</x:v>
      </x:c>
      <x:c r="F44" s="20" t="str">
        <x:v>date</x:v>
      </x:c>
      <x:c r="G44" s="35" t="str">
        <x:v>effectiveFromOn</x:v>
      </x:c>
      <x:c r="H44" s="35" t="str"/>
      <x:c r="I44" s="20" t="str">
        <x:v>Leasing Agent</x:v>
      </x:c>
      <x:c r="J44" s="23" t="n">
        <x:v>46420</x:v>
      </x:c>
      <x:c r="K44" s="35" t="str">
        <x:v>valid non-default; boundary/format value; blank/null when optional; invalid value when constrained</x:v>
      </x:c>
      <x:c r="L44" s="35" t="str">
        <x:v>Save succeeds; reload shows the exact normalized value; other client reads it where supported; edit persists; validation rejects invalid input without partial mutation.</x:v>
      </x:c>
    </x:row>
    <x:row r="45">
      <x:c r="A45" s="20" t="str">
        <x:v>FLD-0042</x:v>
      </x:c>
      <x:c r="B45" s="20" t="str">
        <x:v>Web</x:v>
      </x:c>
      <x:c r="C45" s="35" t="str">
        <x:v>web/src/lib/components/leases/AddendumCreateDialog.svelte</x:v>
      </x:c>
      <x:c r="D45" s="35" t="str">
        <x:v>web/src/lib/components/leases/AddendumCreateDialog.svelte</x:v>
      </x:c>
      <x:c r="E45" s="32" t="n">
        <x:v>242</x:v>
      </x:c>
      <x:c r="F45" s="20" t="str">
        <x:v>date</x:v>
      </x:c>
      <x:c r="G45" s="35" t="str">
        <x:v>effectiveThroughOn</x:v>
      </x:c>
      <x:c r="H45" s="35" t="str">
        <x:v>Effective from</x:v>
      </x:c>
      <x:c r="I45" s="20" t="str">
        <x:v>Leasing Agent</x:v>
      </x:c>
      <x:c r="J45" s="23" t="n">
        <x:v>46420</x:v>
      </x:c>
      <x:c r="K45" s="35" t="str">
        <x:v>valid non-default; boundary/format value; blank/null when optional; invalid value when constrained</x:v>
      </x:c>
      <x:c r="L45" s="35" t="str">
        <x:v>Save succeeds; reload shows the exact normalized value; other client reads it where supported; edit persists; validation rejects invalid input without partial mutation.</x:v>
      </x:c>
    </x:row>
    <x:row r="46">
      <x:c r="A46" s="20" t="str">
        <x:v>FLD-0043</x:v>
      </x:c>
      <x:c r="B46" s="20" t="str">
        <x:v>Web</x:v>
      </x:c>
      <x:c r="C46" s="35" t="str">
        <x:v>web/src/lib/components/leases/AddendumCreateDialog.svelte</x:v>
      </x:c>
      <x:c r="D46" s="35" t="str">
        <x:v>web/src/lib/components/leases/AddendumCreateDialog.svelte</x:v>
      </x:c>
      <x:c r="E46" s="32" t="n">
        <x:v>251</x:v>
      </x:c>
      <x:c r="F46" s="20" t="str">
        <x:v>number</x:v>
      </x:c>
      <x:c r="G46" s="35" t="str">
        <x:v>signer.signingOrder</x:v>
      </x:c>
      <x:c r="H46" s="35" t="str"/>
      <x:c r="I46" s="20" t="str">
        <x:v>Leasing Agent</x:v>
      </x:c>
      <x:c r="J46" s="23" t="n">
        <x:v>46420</x:v>
      </x:c>
      <x:c r="K46" s="35" t="str">
        <x:v>valid non-default; boundary/format value; blank/null when optional; invalid value when constrained</x:v>
      </x:c>
      <x:c r="L46" s="35" t="str">
        <x:v>Save succeeds; reload shows the exact normalized value; other client reads it where supported; edit persists; validation rejects invalid input without partial mutation.</x:v>
      </x:c>
    </x:row>
    <x:row r="47">
      <x:c r="A47" s="20" t="str">
        <x:v>FLD-0044</x:v>
      </x:c>
      <x:c r="B47" s="20" t="str">
        <x:v>Web</x:v>
      </x:c>
      <x:c r="C47" s="35" t="str">
        <x:v>web/src/lib/components/leases/AddendumCreateDialog.svelte</x:v>
      </x:c>
      <x:c r="D47" s="35" t="str">
        <x:v>web/src/lib/components/leases/AddendumCreateDialog.svelte</x:v>
      </x:c>
      <x:c r="E47" s="32" t="n">
        <x:v>252</x:v>
      </x:c>
      <x:c r="F47" s="20" t="str">
        <x:v>input</x:v>
      </x:c>
      <x:c r="G47" s="35" t="str">
        <x:v>signer.nameSnapshot</x:v>
      </x:c>
      <x:c r="H47" s="35" t="str">
        <x:v>Order</x:v>
      </x:c>
      <x:c r="I47" s="20" t="str">
        <x:v>Leasing Agent</x:v>
      </x:c>
      <x:c r="J47" s="23" t="n">
        <x:v>46421</x:v>
      </x:c>
      <x:c r="K47" s="35" t="str">
        <x:v>valid non-default; boundary/format value; blank/null when optional; invalid value when constrained</x:v>
      </x:c>
      <x:c r="L47" s="35" t="str">
        <x:v>Save succeeds; reload shows the exact normalized value; other client reads it where supported; edit persists; validation rejects invalid input without partial mutation.</x:v>
      </x:c>
    </x:row>
    <x:row r="48">
      <x:c r="A48" s="20" t="str">
        <x:v>FLD-0045</x:v>
      </x:c>
      <x:c r="B48" s="20" t="str">
        <x:v>Web</x:v>
      </x:c>
      <x:c r="C48" s="35" t="str">
        <x:v>web/src/lib/components/leases/AddendumCreateDialog.svelte</x:v>
      </x:c>
      <x:c r="D48" s="35" t="str">
        <x:v>web/src/lib/components/leases/AddendumCreateDialog.svelte</x:v>
      </x:c>
      <x:c r="E48" s="32" t="n">
        <x:v>253</x:v>
      </x:c>
      <x:c r="F48" s="20" t="str">
        <x:v>email</x:v>
      </x:c>
      <x:c r="G48" s="35" t="str">
        <x:v>signer.emailSnapshot</x:v>
      </x:c>
      <x:c r="H48" s="35" t="str">
        <x:v>Name</x:v>
      </x:c>
      <x:c r="I48" s="20" t="str">
        <x:v>Leasing Agent</x:v>
      </x:c>
      <x:c r="J48" s="23" t="n">
        <x:v>46421</x:v>
      </x:c>
      <x:c r="K48" s="35" t="str">
        <x:v>valid non-default; boundary/format value; blank/null when optional; invalid value when constrained</x:v>
      </x:c>
      <x:c r="L48" s="35" t="str">
        <x:v>Save succeeds; reload shows the exact normalized value; other client reads it where supported; edit persists; validation rejects invalid input without partial mutation.</x:v>
      </x:c>
    </x:row>
    <x:row r="49">
      <x:c r="A49" s="20" t="str">
        <x:v>FLD-0046</x:v>
      </x:c>
      <x:c r="B49" s="20" t="str">
        <x:v>Web</x:v>
      </x:c>
      <x:c r="C49" s="35" t="str">
        <x:v>web/src/lib/components/leases/AddendumCreateDialog.svelte</x:v>
      </x:c>
      <x:c r="D49" s="35" t="str">
        <x:v>web/src/lib/components/leases/AddendumCreateDialog.svelte</x:v>
      </x:c>
      <x:c r="E49" s="32" t="n">
        <x:v>254</x:v>
      </x:c>
      <x:c r="F49" s="20" t="str">
        <x:v>select</x:v>
      </x:c>
      <x:c r="G49" s="35" t="str">
        <x:v>signer.signerRole</x:v>
      </x:c>
      <x:c r="H49" s="35" t="str">
        <x:v>Email</x:v>
      </x:c>
      <x:c r="I49" s="20" t="str">
        <x:v>Leasing Agent</x:v>
      </x:c>
      <x:c r="J49" s="23" t="n">
        <x:v>46421</x:v>
      </x:c>
      <x:c r="K49" s="35" t="str">
        <x:v>valid non-default; boundary/format value; blank/null when optional; invalid value when constrained</x:v>
      </x:c>
      <x:c r="L49" s="35" t="str">
        <x:v>Save succeeds; reload shows the exact normalized value; other client reads it where supported; edit persists; validation rejects invalid input without partial mutation.</x:v>
      </x:c>
    </x:row>
    <x:row r="50">
      <x:c r="A50" s="20" t="str">
        <x:v>FLD-0047</x:v>
      </x:c>
      <x:c r="B50" s="20" t="str">
        <x:v>Web</x:v>
      </x:c>
      <x:c r="C50" s="35" t="str">
        <x:v>web/src/lib/components/leases/AddendumCreateDialog.svelte</x:v>
      </x:c>
      <x:c r="D50" s="35" t="str">
        <x:v>web/src/lib/components/leases/AddendumCreateDialog.svelte</x:v>
      </x:c>
      <x:c r="E50" s="32" t="n">
        <x:v>266</x:v>
      </x:c>
      <x:c r="F50" s="20" t="str">
        <x:v>select</x:v>
      </x:c>
      <x:c r="G50" s="35" t="str">
        <x:v>effect.effectType</x:v>
      </x:c>
      <x:c r="H50" s="35" t="str"/>
      <x:c r="I50" s="20" t="str">
        <x:v>Leasing Agent</x:v>
      </x:c>
      <x:c r="J50" s="23" t="n">
        <x:v>46421</x:v>
      </x:c>
      <x:c r="K50" s="35" t="str">
        <x:v>valid non-default; boundary/format value; blank/null when optional; invalid value when constrained</x:v>
      </x:c>
      <x:c r="L50" s="35" t="str">
        <x:v>Save succeeds; reload shows the exact normalized value; other client reads it where supported; edit persists; validation rejects invalid input without partial mutation.</x:v>
      </x:c>
    </x:row>
    <x:row r="51">
      <x:c r="A51" s="20" t="str">
        <x:v>FLD-0048</x:v>
      </x:c>
      <x:c r="B51" s="20" t="str">
        <x:v>Web</x:v>
      </x:c>
      <x:c r="C51" s="35" t="str">
        <x:v>web/src/lib/components/leases/AddendumCreateDialog.svelte</x:v>
      </x:c>
      <x:c r="D51" s="35" t="str">
        <x:v>web/src/lib/components/leases/AddendumCreateDialog.svelte</x:v>
      </x:c>
      <x:c r="E51" s="32" t="n">
        <x:v>267</x:v>
      </x:c>
      <x:c r="F51" s="20" t="str">
        <x:v>number</x:v>
      </x:c>
      <x:c r="G51" s="35" t="str">
        <x:v>effect.amount</x:v>
      </x:c>
      <x:c r="H51" s="35" t="str">
        <x:v>Type</x:v>
      </x:c>
      <x:c r="I51" s="20" t="str">
        <x:v>Leasing Agent</x:v>
      </x:c>
      <x:c r="J51" s="23" t="n">
        <x:v>46422</x:v>
      </x:c>
      <x:c r="K51" s="35" t="str">
        <x:v>valid non-default; boundary/format value; blank/null when optional; invalid value when constrained</x:v>
      </x:c>
      <x:c r="L51" s="35" t="str">
        <x:v>Save succeeds; reload shows the exact normalized value; other client reads it where supported; edit persists; validation rejects invalid input without partial mutation.</x:v>
      </x:c>
    </x:row>
    <x:row r="52">
      <x:c r="A52" s="20" t="str">
        <x:v>FLD-0049</x:v>
      </x:c>
      <x:c r="B52" s="20" t="str">
        <x:v>Web</x:v>
      </x:c>
      <x:c r="C52" s="35" t="str">
        <x:v>web/src/lib/components/leases/AddendumCreateDialog.svelte</x:v>
      </x:c>
      <x:c r="D52" s="35" t="str">
        <x:v>web/src/lib/components/leases/AddendumCreateDialog.svelte</x:v>
      </x:c>
      <x:c r="E52" s="32" t="n">
        <x:v>268</x:v>
      </x:c>
      <x:c r="F52" s="20" t="str">
        <x:v>input</x:v>
      </x:c>
      <x:c r="G52" s="35" t="str">
        <x:v>effect.currency</x:v>
      </x:c>
      <x:c r="H52" s="35" t="str">
        <x:v>Amount</x:v>
      </x:c>
      <x:c r="I52" s="20" t="str">
        <x:v>Leasing Agent</x:v>
      </x:c>
      <x:c r="J52" s="23" t="n">
        <x:v>46422</x:v>
      </x:c>
      <x:c r="K52" s="35" t="str">
        <x:v>valid non-default; boundary/format value; blank/null when optional; invalid value when constrained</x:v>
      </x:c>
      <x:c r="L52" s="35" t="str">
        <x:v>Save succeeds; reload shows the exact normalized value; other client reads it where supported; edit persists; validation rejects invalid input without partial mutation.</x:v>
      </x:c>
    </x:row>
    <x:row r="53">
      <x:c r="A53" s="20" t="str">
        <x:v>FLD-0050</x:v>
      </x:c>
      <x:c r="B53" s="20" t="str">
        <x:v>Web</x:v>
      </x:c>
      <x:c r="C53" s="35" t="str">
        <x:v>web/src/lib/components/leases/AddendumCreateDialog.svelte</x:v>
      </x:c>
      <x:c r="D53" s="35" t="str">
        <x:v>web/src/lib/components/leases/AddendumCreateDialog.svelte</x:v>
      </x:c>
      <x:c r="E53" s="32" t="n">
        <x:v>269</x:v>
      </x:c>
      <x:c r="F53" s="20" t="str">
        <x:v>input</x:v>
      </x:c>
      <x:c r="G53" s="35" t="str">
        <x:v>effect.chargeCode</x:v>
      </x:c>
      <x:c r="H53" s="35" t="str">
        <x:v>Currency</x:v>
      </x:c>
      <x:c r="I53" s="20" t="str">
        <x:v>Leasing Agent</x:v>
      </x:c>
      <x:c r="J53" s="23" t="n">
        <x:v>46422</x:v>
      </x:c>
      <x:c r="K53" s="35" t="str">
        <x:v>valid non-default; boundary/format value; blank/null when optional; invalid value when constrained</x:v>
      </x:c>
      <x:c r="L53" s="35" t="str">
        <x:v>Save succeeds; reload shows the exact normalized value; other client reads it where supported; edit persists; validation rejects invalid input without partial mutation.</x:v>
      </x:c>
    </x:row>
    <x:row r="54">
      <x:c r="A54" s="20" t="str">
        <x:v>FLD-0051</x:v>
      </x:c>
      <x:c r="B54" s="20" t="str">
        <x:v>Web</x:v>
      </x:c>
      <x:c r="C54" s="35" t="str">
        <x:v>web/src/lib/components/leases/AddendumCreateDialog.svelte</x:v>
      </x:c>
      <x:c r="D54" s="35" t="str">
        <x:v>web/src/lib/components/leases/AddendumCreateDialog.svelte</x:v>
      </x:c>
      <x:c r="E54" s="32" t="n">
        <x:v>270</x:v>
      </x:c>
      <x:c r="F54" s="20" t="str">
        <x:v>date</x:v>
      </x:c>
      <x:c r="G54" s="35" t="str">
        <x:v>effect.dueOn</x:v>
      </x:c>
      <x:c r="H54" s="35" t="str">
        <x:v>Charge code</x:v>
      </x:c>
      <x:c r="I54" s="20" t="str">
        <x:v>Leasing Agent</x:v>
      </x:c>
      <x:c r="J54" s="23" t="n">
        <x:v>46422</x:v>
      </x:c>
      <x:c r="K54" s="35" t="str">
        <x:v>valid non-default; boundary/format value; blank/null when optional; invalid value when constrained</x:v>
      </x:c>
      <x:c r="L54" s="35" t="str">
        <x:v>Save succeeds; reload shows the exact normalized value; other client reads it where supported; edit persists; validation rejects invalid input without partial mutation.</x:v>
      </x:c>
    </x:row>
    <x:row r="55">
      <x:c r="A55" s="20" t="str">
        <x:v>FLD-0052</x:v>
      </x:c>
      <x:c r="B55" s="20" t="str">
        <x:v>Web</x:v>
      </x:c>
      <x:c r="C55" s="35" t="str">
        <x:v>web/src/lib/components/leases/AddendumCreateDialog.svelte</x:v>
      </x:c>
      <x:c r="D55" s="35" t="str">
        <x:v>web/src/lib/components/leases/AddendumCreateDialog.svelte</x:v>
      </x:c>
      <x:c r="E55" s="32" t="n">
        <x:v>270</x:v>
      </x:c>
      <x:c r="F55" s="20" t="str">
        <x:v>date</x:v>
      </x:c>
      <x:c r="G55" s="35" t="str">
        <x:v>effect.effectiveFromOn</x:v>
      </x:c>
      <x:c r="H55" s="35" t="str">
        <x:v>Due on</x:v>
      </x:c>
      <x:c r="I55" s="20" t="str">
        <x:v>Leasing Agent</x:v>
      </x:c>
      <x:c r="J55" s="23" t="n">
        <x:v>46422</x:v>
      </x:c>
      <x:c r="K55" s="35" t="str">
        <x:v>valid non-default; boundary/format value; blank/null when optional; invalid value when constrained</x:v>
      </x:c>
      <x:c r="L55" s="35" t="str">
        <x:v>Save succeeds; reload shows the exact normalized value; other client reads it where supported; edit persists; validation rejects invalid input without partial mutation.</x:v>
      </x:c>
    </x:row>
    <x:row r="56">
      <x:c r="A56" s="20" t="str">
        <x:v>FLD-0053</x:v>
      </x:c>
      <x:c r="B56" s="20" t="str">
        <x:v>Web</x:v>
      </x:c>
      <x:c r="C56" s="35" t="str">
        <x:v>web/src/lib/components/leases/AddendumCreateDialog.svelte</x:v>
      </x:c>
      <x:c r="D56" s="35" t="str">
        <x:v>web/src/lib/components/leases/AddendumCreateDialog.svelte</x:v>
      </x:c>
      <x:c r="E56" s="32" t="n">
        <x:v>270</x:v>
      </x:c>
      <x:c r="F56" s="20" t="str">
        <x:v>date</x:v>
      </x:c>
      <x:c r="G56" s="35" t="str">
        <x:v>effect.effectiveThroughOn</x:v>
      </x:c>
      <x:c r="H56" s="35" t="str">
        <x:v>Effective from</x:v>
      </x:c>
      <x:c r="I56" s="20" t="str">
        <x:v>Leasing Agent</x:v>
      </x:c>
      <x:c r="J56" s="23" t="n">
        <x:v>46423</x:v>
      </x:c>
      <x:c r="K56" s="35" t="str">
        <x:v>valid non-default; boundary/format value; blank/null when optional; invalid value when constrained</x:v>
      </x:c>
      <x:c r="L56" s="35" t="str">
        <x:v>Save succeeds; reload shows the exact normalized value; other client reads it where supported; edit persists; validation rejects invalid input without partial mutation.</x:v>
      </x:c>
    </x:row>
    <x:row r="57">
      <x:c r="A57" s="20" t="str">
        <x:v>FLD-0054</x:v>
      </x:c>
      <x:c r="B57" s="20" t="str">
        <x:v>Web</x:v>
      </x:c>
      <x:c r="C57" s="35" t="str">
        <x:v>web/src/lib/components/leases/AddendumCreateDialog.svelte</x:v>
      </x:c>
      <x:c r="D57" s="35" t="str">
        <x:v>web/src/lib/components/leases/AddendumCreateDialog.svelte</x:v>
      </x:c>
      <x:c r="E57" s="32" t="n">
        <x:v>271</x:v>
      </x:c>
      <x:c r="F57" s="20" t="str">
        <x:v>input</x:v>
      </x:c>
      <x:c r="G57" s="35" t="str">
        <x:v>effect.description</x:v>
      </x:c>
      <x:c r="H57" s="35" t="str">
        <x:v>Effective through</x:v>
      </x:c>
      <x:c r="I57" s="20" t="str">
        <x:v>Leasing Agent</x:v>
      </x:c>
      <x:c r="J57" s="23" t="n">
        <x:v>46423</x:v>
      </x:c>
      <x:c r="K57" s="35" t="str">
        <x:v>valid non-default; boundary/format value; blank/null when optional; invalid value when constrained</x:v>
      </x:c>
      <x:c r="L57" s="35" t="str">
        <x:v>Save succeeds; reload shows the exact normalized value; other client reads it where supported; edit persists; validation rejects invalid input without partial mutation.</x:v>
      </x:c>
    </x:row>
    <x:row r="58">
      <x:c r="A58" s="20" t="str">
        <x:v>FLD-0055</x:v>
      </x:c>
      <x:c r="B58" s="20" t="str">
        <x:v>Web</x:v>
      </x:c>
      <x:c r="C58" s="35" t="str">
        <x:v>web/src/lib/components/leases/AddendumDraftDialog.svelte</x:v>
      </x:c>
      <x:c r="D58" s="35" t="str">
        <x:v>web/src/lib/components/leases/AddendumDraftDialog.svelte</x:v>
      </x:c>
      <x:c r="E58" s="32" t="n">
        <x:v>319</x:v>
      </x:c>
      <x:c r="F58" s="20" t="str">
        <x:v>input</x:v>
      </x:c>
      <x:c r="G58" s="35" t="str">
        <x:v>addendum-draft-number</x:v>
      </x:c>
      <x:c r="H58" s="35" t="str"/>
      <x:c r="I58" s="20" t="str">
        <x:v>Leasing Agent</x:v>
      </x:c>
      <x:c r="J58" s="23" t="n">
        <x:v>46423</x:v>
      </x:c>
      <x:c r="K58" s="35" t="str">
        <x:v>valid non-default; boundary/format value; blank/null when optional; invalid value when constrained</x:v>
      </x:c>
      <x:c r="L58" s="35" t="str">
        <x:v>Save succeeds; reload shows the exact normalized value; other client reads it where supported; edit persists; validation rejects invalid input without partial mutation.</x:v>
      </x:c>
    </x:row>
    <x:row r="59">
      <x:c r="A59" s="20" t="str">
        <x:v>FLD-0056</x:v>
      </x:c>
      <x:c r="B59" s="20" t="str">
        <x:v>Web</x:v>
      </x:c>
      <x:c r="C59" s="35" t="str">
        <x:v>web/src/lib/components/leases/AddendumDraftDialog.svelte</x:v>
      </x:c>
      <x:c r="D59" s="35" t="str">
        <x:v>web/src/lib/components/leases/AddendumDraftDialog.svelte</x:v>
      </x:c>
      <x:c r="E59" s="32" t="n">
        <x:v>320</x:v>
      </x:c>
      <x:c r="F59" s="20" t="str">
        <x:v>select</x:v>
      </x:c>
      <x:c r="G59" s="35" t="str">
        <x:v>form.purpose</x:v>
      </x:c>
      <x:c r="H59" s="35" t="str">
        <x:v>Addendum number</x:v>
      </x:c>
      <x:c r="I59" s="20" t="str">
        <x:v>Leasing Agent</x:v>
      </x:c>
      <x:c r="J59" s="23" t="n">
        <x:v>46423</x:v>
      </x:c>
      <x:c r="K59" s="35" t="str">
        <x:v>valid non-default; boundary/format value; blank/null when optional; invalid value when constrained</x:v>
      </x:c>
      <x:c r="L59" s="35" t="str">
        <x:v>Save succeeds; reload shows the exact normalized value; other client reads it where supported; edit persists; validation rejects invalid input without partial mutation.</x:v>
      </x:c>
    </x:row>
    <x:row r="60">
      <x:c r="A60" s="20" t="str">
        <x:v>FLD-0057</x:v>
      </x:c>
      <x:c r="B60" s="20" t="str">
        <x:v>Web</x:v>
      </x:c>
      <x:c r="C60" s="35" t="str">
        <x:v>web/src/lib/components/leases/AddendumDraftDialog.svelte</x:v>
      </x:c>
      <x:c r="D60" s="35" t="str">
        <x:v>web/src/lib/components/leases/AddendumDraftDialog.svelte</x:v>
      </x:c>
      <x:c r="E60" s="32" t="n">
        <x:v>321</x:v>
      </x:c>
      <x:c r="F60" s="20" t="str">
        <x:v>date</x:v>
      </x:c>
      <x:c r="G60" s="35" t="str">
        <x:v>addendum-draft-effective-from</x:v>
      </x:c>
      <x:c r="H60" s="35" t="str">
        <x:v>Purpose</x:v>
      </x:c>
      <x:c r="I60" s="20" t="str">
        <x:v>Leasing Agent</x:v>
      </x:c>
      <x:c r="J60" s="23" t="n">
        <x:v>46426</x:v>
      </x:c>
      <x:c r="K60" s="35" t="str">
        <x:v>valid non-default; boundary/format value; blank/null when optional; invalid value when constrained</x:v>
      </x:c>
      <x:c r="L60" s="35" t="str">
        <x:v>Save succeeds; reload shows the exact normalized value; other client reads it where supported; edit persists; validation rejects invalid input without partial mutation.</x:v>
      </x:c>
    </x:row>
    <x:row r="61">
      <x:c r="A61" s="20" t="str">
        <x:v>FLD-0058</x:v>
      </x:c>
      <x:c r="B61" s="20" t="str">
        <x:v>Web</x:v>
      </x:c>
      <x:c r="C61" s="35" t="str">
        <x:v>web/src/lib/components/leases/AddendumDraftDialog.svelte</x:v>
      </x:c>
      <x:c r="D61" s="35" t="str">
        <x:v>web/src/lib/components/leases/AddendumDraftDialog.svelte</x:v>
      </x:c>
      <x:c r="E61" s="32" t="n">
        <x:v>322</x:v>
      </x:c>
      <x:c r="F61" s="20" t="str">
        <x:v>date</x:v>
      </x:c>
      <x:c r="G61" s="35" t="str">
        <x:v>form.effectiveThroughOn</x:v>
      </x:c>
      <x:c r="H61" s="35" t="str">
        <x:v>Effective from</x:v>
      </x:c>
      <x:c r="I61" s="20" t="str">
        <x:v>Leasing Agent</x:v>
      </x:c>
      <x:c r="J61" s="23" t="n">
        <x:v>46426</x:v>
      </x:c>
      <x:c r="K61" s="35" t="str">
        <x:v>valid non-default; boundary/format value; blank/null when optional; invalid value when constrained</x:v>
      </x:c>
      <x:c r="L61" s="35" t="str">
        <x:v>Save succeeds; reload shows the exact normalized value; other client reads it where supported; edit persists; validation rejects invalid input without partial mutation.</x:v>
      </x:c>
    </x:row>
    <x:row r="62">
      <x:c r="A62" s="20" t="str">
        <x:v>FLD-0059</x:v>
      </x:c>
      <x:c r="B62" s="20" t="str">
        <x:v>Web</x:v>
      </x:c>
      <x:c r="C62" s="35" t="str">
        <x:v>web/src/lib/components/leases/AddendumDraftDialog.svelte</x:v>
      </x:c>
      <x:c r="D62" s="35" t="str">
        <x:v>web/src/lib/components/leases/AddendumDraftDialog.svelte</x:v>
      </x:c>
      <x:c r="E62" s="32" t="n">
        <x:v>329</x:v>
      </x:c>
      <x:c r="F62" s="20" t="str">
        <x:v>number</x:v>
      </x:c>
      <x:c r="G62" s="35" t="str">
        <x:v>signer.signingOrder</x:v>
      </x:c>
      <x:c r="H62" s="35" t="str"/>
      <x:c r="I62" s="20" t="str">
        <x:v>Leasing Agent</x:v>
      </x:c>
      <x:c r="J62" s="23" t="n">
        <x:v>46426</x:v>
      </x:c>
      <x:c r="K62" s="35" t="str">
        <x:v>valid non-default; boundary/format value; blank/null when optional; invalid value when constrained</x:v>
      </x:c>
      <x:c r="L62" s="35" t="str">
        <x:v>Save succeeds; reload shows the exact normalized value; other client reads it where supported; edit persists; validation rejects invalid input without partial mutation.</x:v>
      </x:c>
    </x:row>
    <x:row r="63">
      <x:c r="A63" s="20" t="str">
        <x:v>FLD-0060</x:v>
      </x:c>
      <x:c r="B63" s="20" t="str">
        <x:v>Web</x:v>
      </x:c>
      <x:c r="C63" s="35" t="str">
        <x:v>web/src/lib/components/leases/AddendumDraftDialog.svelte</x:v>
      </x:c>
      <x:c r="D63" s="35" t="str">
        <x:v>web/src/lib/components/leases/AddendumDraftDialog.svelte</x:v>
      </x:c>
      <x:c r="E63" s="32" t="n">
        <x:v>330</x:v>
      </x:c>
      <x:c r="F63" s="20" t="str">
        <x:v>input</x:v>
      </x:c>
      <x:c r="G63" s="35" t="str">
        <x:v>signer.nameSnapshot</x:v>
      </x:c>
      <x:c r="H63" s="35" t="str">
        <x:v>Order</x:v>
      </x:c>
      <x:c r="I63" s="20" t="str">
        <x:v>Leasing Agent</x:v>
      </x:c>
      <x:c r="J63" s="23" t="n">
        <x:v>46426</x:v>
      </x:c>
      <x:c r="K63" s="35" t="str">
        <x:v>valid non-default; boundary/format value; blank/null when optional; invalid value when constrained</x:v>
      </x:c>
      <x:c r="L63" s="35" t="str">
        <x:v>Save succeeds; reload shows the exact normalized value; other client reads it where supported; edit persists; validation rejects invalid input without partial mutation.</x:v>
      </x:c>
    </x:row>
    <x:row r="64">
      <x:c r="A64" s="20" t="str">
        <x:v>FLD-0061</x:v>
      </x:c>
      <x:c r="B64" s="20" t="str">
        <x:v>Web</x:v>
      </x:c>
      <x:c r="C64" s="35" t="str">
        <x:v>web/src/lib/components/leases/AddendumDraftDialog.svelte</x:v>
      </x:c>
      <x:c r="D64" s="35" t="str">
        <x:v>web/src/lib/components/leases/AddendumDraftDialog.svelte</x:v>
      </x:c>
      <x:c r="E64" s="32" t="n">
        <x:v>331</x:v>
      </x:c>
      <x:c r="F64" s="20" t="str">
        <x:v>email</x:v>
      </x:c>
      <x:c r="G64" s="35" t="str">
        <x:v>signer.emailSnapshot</x:v>
      </x:c>
      <x:c r="H64" s="35" t="str">
        <x:v>Name</x:v>
      </x:c>
      <x:c r="I64" s="20" t="str">
        <x:v>Leasing Agent</x:v>
      </x:c>
      <x:c r="J64" s="23" t="n">
        <x:v>46427</x:v>
      </x:c>
      <x:c r="K64" s="35" t="str">
        <x:v>valid non-default; boundary/format value; blank/null when optional; invalid value when constrained</x:v>
      </x:c>
      <x:c r="L64" s="35" t="str">
        <x:v>Save succeeds; reload shows the exact normalized value; other client reads it where supported; edit persists; validation rejects invalid input without partial mutation.</x:v>
      </x:c>
    </x:row>
    <x:row r="65">
      <x:c r="A65" s="20" t="str">
        <x:v>FLD-0062</x:v>
      </x:c>
      <x:c r="B65" s="20" t="str">
        <x:v>Web</x:v>
      </x:c>
      <x:c r="C65" s="35" t="str">
        <x:v>web/src/lib/components/leases/AddendumDraftDialog.svelte</x:v>
      </x:c>
      <x:c r="D65" s="35" t="str">
        <x:v>web/src/lib/components/leases/AddendumDraftDialog.svelte</x:v>
      </x:c>
      <x:c r="E65" s="32" t="n">
        <x:v>332</x:v>
      </x:c>
      <x:c r="F65" s="20" t="str">
        <x:v>select</x:v>
      </x:c>
      <x:c r="G65" s="35" t="str">
        <x:v>signer.signerRole</x:v>
      </x:c>
      <x:c r="H65" s="35" t="str">
        <x:v>Email</x:v>
      </x:c>
      <x:c r="I65" s="20" t="str">
        <x:v>Leasing Agent</x:v>
      </x:c>
      <x:c r="J65" s="23" t="n">
        <x:v>46427</x:v>
      </x:c>
      <x:c r="K65" s="35" t="str">
        <x:v>valid non-default; boundary/format value; blank/null when optional; invalid value when constrained</x:v>
      </x:c>
      <x:c r="L65" s="35" t="str">
        <x:v>Save succeeds; reload shows the exact normalized value; other client reads it where supported; edit persists; validation rejects invalid input without partial mutation.</x:v>
      </x:c>
    </x:row>
    <x:row r="66">
      <x:c r="A66" s="20" t="str">
        <x:v>FLD-0063</x:v>
      </x:c>
      <x:c r="B66" s="20" t="str">
        <x:v>Web</x:v>
      </x:c>
      <x:c r="C66" s="35" t="str">
        <x:v>web/src/lib/components/leases/AddendumDraftDialog.svelte</x:v>
      </x:c>
      <x:c r="D66" s="35" t="str">
        <x:v>web/src/lib/components/leases/AddendumDraftDialog.svelte</x:v>
      </x:c>
      <x:c r="E66" s="32" t="n">
        <x:v>344</x:v>
      </x:c>
      <x:c r="F66" s="20" t="str">
        <x:v>select</x:v>
      </x:c>
      <x:c r="G66" s="35" t="str">
        <x:v>effect.effectType</x:v>
      </x:c>
      <x:c r="H66" s="35" t="str"/>
      <x:c r="I66" s="20" t="str">
        <x:v>Leasing Agent</x:v>
      </x:c>
      <x:c r="J66" s="23" t="n">
        <x:v>46427</x:v>
      </x:c>
      <x:c r="K66" s="35" t="str">
        <x:v>valid non-default; boundary/format value; blank/null when optional; invalid value when constrained</x:v>
      </x:c>
      <x:c r="L66" s="35" t="str">
        <x:v>Save succeeds; reload shows the exact normalized value; other client reads it where supported; edit persists; validation rejects invalid input without partial mutation.</x:v>
      </x:c>
    </x:row>
    <x:row r="67">
      <x:c r="A67" s="20" t="str">
        <x:v>FLD-0064</x:v>
      </x:c>
      <x:c r="B67" s="20" t="str">
        <x:v>Web</x:v>
      </x:c>
      <x:c r="C67" s="35" t="str">
        <x:v>web/src/lib/components/leases/AddendumDraftDialog.svelte</x:v>
      </x:c>
      <x:c r="D67" s="35" t="str">
        <x:v>web/src/lib/components/leases/AddendumDraftDialog.svelte</x:v>
      </x:c>
      <x:c r="E67" s="32" t="n">
        <x:v>345</x:v>
      </x:c>
      <x:c r="F67" s="20" t="str">
        <x:v>number</x:v>
      </x:c>
      <x:c r="G67" s="35" t="str">
        <x:v>effect.amount</x:v>
      </x:c>
      <x:c r="H67" s="35" t="str">
        <x:v>Type</x:v>
      </x:c>
      <x:c r="I67" s="20" t="str">
        <x:v>Leasing Agent</x:v>
      </x:c>
      <x:c r="J67" s="23" t="n">
        <x:v>46427</x:v>
      </x:c>
      <x:c r="K67" s="35" t="str">
        <x:v>valid non-default; boundary/format value; blank/null when optional; invalid value when constrained</x:v>
      </x:c>
      <x:c r="L67" s="35" t="str">
        <x:v>Save succeeds; reload shows the exact normalized value; other client reads it where supported; edit persists; validation rejects invalid input without partial mutation.</x:v>
      </x:c>
    </x:row>
    <x:row r="68">
      <x:c r="A68" s="20" t="str">
        <x:v>FLD-0065</x:v>
      </x:c>
      <x:c r="B68" s="20" t="str">
        <x:v>Web</x:v>
      </x:c>
      <x:c r="C68" s="35" t="str">
        <x:v>web/src/lib/components/leases/AddendumDraftDialog.svelte</x:v>
      </x:c>
      <x:c r="D68" s="35" t="str">
        <x:v>web/src/lib/components/leases/AddendumDraftDialog.svelte</x:v>
      </x:c>
      <x:c r="E68" s="32" t="n">
        <x:v>346</x:v>
      </x:c>
      <x:c r="F68" s="20" t="str">
        <x:v>input</x:v>
      </x:c>
      <x:c r="G68" s="35" t="str">
        <x:v>effect.currency</x:v>
      </x:c>
      <x:c r="H68" s="35" t="str">
        <x:v>Amount</x:v>
      </x:c>
      <x:c r="I68" s="20" t="str">
        <x:v>Leasing Agent</x:v>
      </x:c>
      <x:c r="J68" s="23" t="n">
        <x:v>46427</x:v>
      </x:c>
      <x:c r="K68" s="35" t="str">
        <x:v>valid non-default; boundary/format value; blank/null when optional; invalid value when constrained</x:v>
      </x:c>
      <x:c r="L68" s="35" t="str">
        <x:v>Save succeeds; reload shows the exact normalized value; other client reads it where supported; edit persists; validation rejects invalid input without partial mutation.</x:v>
      </x:c>
    </x:row>
    <x:row r="69">
      <x:c r="A69" s="20" t="str">
        <x:v>FLD-0066</x:v>
      </x:c>
      <x:c r="B69" s="20" t="str">
        <x:v>Web</x:v>
      </x:c>
      <x:c r="C69" s="35" t="str">
        <x:v>web/src/lib/components/leases/AddendumDraftDialog.svelte</x:v>
      </x:c>
      <x:c r="D69" s="35" t="str">
        <x:v>web/src/lib/components/leases/AddendumDraftDialog.svelte</x:v>
      </x:c>
      <x:c r="E69" s="32" t="n">
        <x:v>347</x:v>
      </x:c>
      <x:c r="F69" s="20" t="str">
        <x:v>input</x:v>
      </x:c>
      <x:c r="G69" s="35" t="str">
        <x:v>effect.chargeCode</x:v>
      </x:c>
      <x:c r="H69" s="35" t="str">
        <x:v>Currency</x:v>
      </x:c>
      <x:c r="I69" s="20" t="str">
        <x:v>Leasing Agent</x:v>
      </x:c>
      <x:c r="J69" s="23" t="n">
        <x:v>46428</x:v>
      </x:c>
      <x:c r="K69" s="35" t="str">
        <x:v>valid non-default; boundary/format value; blank/null when optional; invalid value when constrained</x:v>
      </x:c>
      <x:c r="L69" s="35" t="str">
        <x:v>Save succeeds; reload shows the exact normalized value; other client reads it where supported; edit persists; validation rejects invalid input without partial mutation.</x:v>
      </x:c>
    </x:row>
    <x:row r="70">
      <x:c r="A70" s="20" t="str">
        <x:v>FLD-0067</x:v>
      </x:c>
      <x:c r="B70" s="20" t="str">
        <x:v>Web</x:v>
      </x:c>
      <x:c r="C70" s="35" t="str">
        <x:v>web/src/lib/components/leases/AddendumDraftDialog.svelte</x:v>
      </x:c>
      <x:c r="D70" s="35" t="str">
        <x:v>web/src/lib/components/leases/AddendumDraftDialog.svelte</x:v>
      </x:c>
      <x:c r="E70" s="32" t="n">
        <x:v>349</x:v>
      </x:c>
      <x:c r="F70" s="20" t="str">
        <x:v>date</x:v>
      </x:c>
      <x:c r="G70" s="35" t="str">
        <x:v>effect.dueOn</x:v>
      </x:c>
      <x:c r="H70" s="35" t="str">
        <x:v>Charge code</x:v>
      </x:c>
      <x:c r="I70" s="20" t="str">
        <x:v>Leasing Agent</x:v>
      </x:c>
      <x:c r="J70" s="23" t="n">
        <x:v>46428</x:v>
      </x:c>
      <x:c r="K70" s="35" t="str">
        <x:v>valid non-default; boundary/format value; blank/null when optional; invalid value when constrained</x:v>
      </x:c>
      <x:c r="L70" s="35" t="str">
        <x:v>Save succeeds; reload shows the exact normalized value; other client reads it where supported; edit persists; validation rejects invalid input without partial mutation.</x:v>
      </x:c>
    </x:row>
    <x:row r="71">
      <x:c r="A71" s="20" t="str">
        <x:v>FLD-0068</x:v>
      </x:c>
      <x:c r="B71" s="20" t="str">
        <x:v>Web</x:v>
      </x:c>
      <x:c r="C71" s="35" t="str">
        <x:v>web/src/lib/components/leases/AddendumDraftDialog.svelte</x:v>
      </x:c>
      <x:c r="D71" s="35" t="str">
        <x:v>web/src/lib/components/leases/AddendumDraftDialog.svelte</x:v>
      </x:c>
      <x:c r="E71" s="32" t="n">
        <x:v>351</x:v>
      </x:c>
      <x:c r="F71" s="20" t="str">
        <x:v>date</x:v>
      </x:c>
      <x:c r="G71" s="35" t="str">
        <x:v>effect.effectiveFromOn</x:v>
      </x:c>
      <x:c r="H71" s="35" t="str">
        <x:v>Due on</x:v>
      </x:c>
      <x:c r="I71" s="20" t="str">
        <x:v>Leasing Agent</x:v>
      </x:c>
      <x:c r="J71" s="23" t="n">
        <x:v>46428</x:v>
      </x:c>
      <x:c r="K71" s="35" t="str">
        <x:v>valid non-default; boundary/format value; blank/null when optional; invalid value when constrained</x:v>
      </x:c>
      <x:c r="L71" s="35" t="str">
        <x:v>Save succeeds; reload shows the exact normalized value; other client reads it where supported; edit persists; validation rejects invalid input without partial mutation.</x:v>
      </x:c>
    </x:row>
    <x:row r="72">
      <x:c r="A72" s="20" t="str">
        <x:v>FLD-0069</x:v>
      </x:c>
      <x:c r="B72" s="20" t="str">
        <x:v>Web</x:v>
      </x:c>
      <x:c r="C72" s="35" t="str">
        <x:v>web/src/lib/components/leases/AddendumDraftDialog.svelte</x:v>
      </x:c>
      <x:c r="D72" s="35" t="str">
        <x:v>web/src/lib/components/leases/AddendumDraftDialog.svelte</x:v>
      </x:c>
      <x:c r="E72" s="32" t="n">
        <x:v>352</x:v>
      </x:c>
      <x:c r="F72" s="20" t="str">
        <x:v>date</x:v>
      </x:c>
      <x:c r="G72" s="35" t="str">
        <x:v>effect.effectiveThroughOn</x:v>
      </x:c>
      <x:c r="H72" s="35" t="str">
        <x:v>Effective from</x:v>
      </x:c>
      <x:c r="I72" s="20" t="str">
        <x:v>Leasing Agent</x:v>
      </x:c>
      <x:c r="J72" s="23" t="n">
        <x:v>46428</x:v>
      </x:c>
      <x:c r="K72" s="35" t="str">
        <x:v>valid non-default; boundary/format value; blank/null when optional; invalid value when constrained</x:v>
      </x:c>
      <x:c r="L72" s="35" t="str">
        <x:v>Save succeeds; reload shows the exact normalized value; other client reads it where supported; edit persists; validation rejects invalid input without partial mutation.</x:v>
      </x:c>
    </x:row>
    <x:row r="73">
      <x:c r="A73" s="20" t="str">
        <x:v>FLD-0070</x:v>
      </x:c>
      <x:c r="B73" s="20" t="str">
        <x:v>Web</x:v>
      </x:c>
      <x:c r="C73" s="35" t="str">
        <x:v>web/src/lib/components/leases/AddendumDraftDialog.svelte</x:v>
      </x:c>
      <x:c r="D73" s="35" t="str">
        <x:v>web/src/lib/components/leases/AddendumDraftDialog.svelte</x:v>
      </x:c>
      <x:c r="E73" s="32" t="n">
        <x:v>354</x:v>
      </x:c>
      <x:c r="F73" s="20" t="str">
        <x:v>input</x:v>
      </x:c>
      <x:c r="G73" s="35" t="str">
        <x:v>effect.description</x:v>
      </x:c>
      <x:c r="H73" s="35" t="str">
        <x:v>Effective through</x:v>
      </x:c>
      <x:c r="I73" s="20" t="str">
        <x:v>Leasing Agent</x:v>
      </x:c>
      <x:c r="J73" s="23" t="n">
        <x:v>46429</x:v>
      </x:c>
      <x:c r="K73" s="35" t="str">
        <x:v>valid non-default; boundary/format value; blank/null when optional; invalid value when constrained</x:v>
      </x:c>
      <x:c r="L73" s="35" t="str">
        <x:v>Save succeeds; reload shows the exact normalized value; other client reads it where supported; edit persists; validation rejects invalid input without partial mutation.</x:v>
      </x:c>
    </x:row>
    <x:row r="74">
      <x:c r="A74" s="20" t="str">
        <x:v>FLD-0071</x:v>
      </x:c>
      <x:c r="B74" s="20" t="str">
        <x:v>Web</x:v>
      </x:c>
      <x:c r="C74" s="35" t="str">
        <x:v>web/src/lib/components/leases/AddendumDraftDialog.svelte</x:v>
      </x:c>
      <x:c r="D74" s="35" t="str">
        <x:v>web/src/lib/components/leases/AddendumDraftDialog.svelte</x:v>
      </x:c>
      <x:c r="E74" s="32" t="n">
        <x:v>364</x:v>
      </x:c>
      <x:c r="F74" s="20" t="str">
        <x:v>input</x:v>
      </x:c>
      <x:c r="G74" s="35" t="str">
        <x:v>issueSubject</x:v>
      </x:c>
      <x:c r="H74" s="35" t="str"/>
      <x:c r="I74" s="20" t="str">
        <x:v>Leasing Agent</x:v>
      </x:c>
      <x:c r="J74" s="23" t="n">
        <x:v>46429</x:v>
      </x:c>
      <x:c r="K74" s="35" t="str">
        <x:v>valid non-default; boundary/format value; blank/null when optional; invalid value when constrained</x:v>
      </x:c>
      <x:c r="L74" s="35" t="str">
        <x:v>Save succeeds; reload shows the exact normalized value; other client reads it where supported; edit persists; validation rejects invalid input without partial mutation.</x:v>
      </x:c>
    </x:row>
    <x:row r="75">
      <x:c r="A75" s="20" t="str">
        <x:v>FLD-0072</x:v>
      </x:c>
      <x:c r="B75" s="20" t="str">
        <x:v>Web</x:v>
      </x:c>
      <x:c r="C75" s="35" t="str">
        <x:v>web/src/lib/components/leases/AgreementDraftDialog.svelte</x:v>
      </x:c>
      <x:c r="D75" s="35" t="str">
        <x:v>web/src/lib/components/leases/AgreementDraftDialog.svelte</x:v>
      </x:c>
      <x:c r="E75" s="32" t="n">
        <x:v>365</x:v>
      </x:c>
      <x:c r="F75" s="20" t="str">
        <x:v>select</x:v>
      </x:c>
      <x:c r="G75" s="35" t="str">
        <x:v>agreement-draft-template</x:v>
      </x:c>
      <x:c r="H75" s="35" t="str"/>
      <x:c r="I75" s="20" t="str">
        <x:v>Leasing Agent</x:v>
      </x:c>
      <x:c r="J75" s="23" t="n">
        <x:v>46429</x:v>
      </x:c>
      <x:c r="K75" s="35" t="str">
        <x:v>valid non-default; boundary/format value; blank/null when optional; invalid value when constrained</x:v>
      </x:c>
      <x:c r="L75" s="35" t="str">
        <x:v>Save succeeds; reload shows the exact normalized value; other client reads it where supported; edit persists; validation rejects invalid input without partial mutation.</x:v>
      </x:c>
    </x:row>
    <x:row r="76">
      <x:c r="A76" s="20" t="str">
        <x:v>FLD-0073</x:v>
      </x:c>
      <x:c r="B76" s="20" t="str">
        <x:v>Web</x:v>
      </x:c>
      <x:c r="C76" s="35" t="str">
        <x:v>web/src/lib/components/leases/AgreementDraftDialog.svelte</x:v>
      </x:c>
      <x:c r="D76" s="35" t="str">
        <x:v>web/src/lib/components/leases/AgreementDraftDialog.svelte</x:v>
      </x:c>
      <x:c r="E76" s="32" t="n">
        <x:v>377</x:v>
      </x:c>
      <x:c r="F76" s="20" t="str">
        <x:v>input</x:v>
      </x:c>
      <x:c r="G76" s="35" t="str">
        <x:v>agreement-draft-number</x:v>
      </x:c>
      <x:c r="H76" s="35" t="str"/>
      <x:c r="I76" s="20" t="str">
        <x:v>Leasing Agent</x:v>
      </x:c>
      <x:c r="J76" s="23" t="n">
        <x:v>46429</x:v>
      </x:c>
      <x:c r="K76" s="35" t="str">
        <x:v>valid non-default; boundary/format value; blank/null when optional; invalid value when constrained</x:v>
      </x:c>
      <x:c r="L76" s="35" t="str">
        <x:v>Save succeeds; reload shows the exact normalized value; other client reads it where supported; edit persists; validation rejects invalid input without partial mutation.</x:v>
      </x:c>
    </x:row>
    <x:row r="77">
      <x:c r="A77" s="20" t="str">
        <x:v>FLD-0074</x:v>
      </x:c>
      <x:c r="B77" s="20" t="str">
        <x:v>Web</x:v>
      </x:c>
      <x:c r="C77" s="35" t="str">
        <x:v>web/src/lib/components/leases/AgreementDraftDialog.svelte</x:v>
      </x:c>
      <x:c r="D77" s="35" t="str">
        <x:v>web/src/lib/components/leases/AgreementDraftDialog.svelte</x:v>
      </x:c>
      <x:c r="E77" s="32" t="n">
        <x:v>381</x:v>
      </x:c>
      <x:c r="F77" s="20" t="str">
        <x:v>select</x:v>
      </x:c>
      <x:c r="G77" s="35" t="str">
        <x:v>agreement-draft-term-type</x:v>
      </x:c>
      <x:c r="H77" s="35" t="str">
        <x:v>Agreement number</x:v>
      </x:c>
      <x:c r="I77" s="20" t="str">
        <x:v>Leasing Agent</x:v>
      </x:c>
      <x:c r="J77" s="23" t="n">
        <x:v>46429</x:v>
      </x:c>
      <x:c r="K77" s="35" t="str">
        <x:v>valid non-default; boundary/format value; blank/null when optional; invalid value when constrained</x:v>
      </x:c>
      <x:c r="L77" s="35" t="str">
        <x:v>Save succeeds; reload shows the exact normalized value; other client reads it where supported; edit persists; validation rejects invalid input without partial mutation.</x:v>
      </x:c>
    </x:row>
    <x:row r="78">
      <x:c r="A78" s="20" t="str">
        <x:v>FLD-0075</x:v>
      </x:c>
      <x:c r="B78" s="20" t="str">
        <x:v>Web</x:v>
      </x:c>
      <x:c r="C78" s="35" t="str">
        <x:v>web/src/lib/components/leases/AgreementDraftDialog.svelte</x:v>
      </x:c>
      <x:c r="D78" s="35" t="str">
        <x:v>web/src/lib/components/leases/AgreementDraftDialog.svelte</x:v>
      </x:c>
      <x:c r="E78" s="32" t="n">
        <x:v>388</x:v>
      </x:c>
      <x:c r="F78" s="20" t="str">
        <x:v>date</x:v>
      </x:c>
      <x:c r="G78" s="35" t="str">
        <x:v>agreement-draft-term-start</x:v>
      </x:c>
      <x:c r="H78" s="35" t="str">
        <x:v>Term type Fixed term Month to month</x:v>
      </x:c>
      <x:c r="I78" s="20" t="str">
        <x:v>Leasing Agent</x:v>
      </x:c>
      <x:c r="J78" s="23" t="n">
        <x:v>46430</x:v>
      </x:c>
      <x:c r="K78" s="35" t="str">
        <x:v>valid non-default; boundary/format value; blank/null when optional; invalid value when constrained</x:v>
      </x:c>
      <x:c r="L78" s="35" t="str">
        <x:v>Save succeeds; reload shows the exact normalized value; other client reads it where supported; edit persists; validation rejects invalid input without partial mutation.</x:v>
      </x:c>
    </x:row>
    <x:row r="79">
      <x:c r="A79" s="20" t="str">
        <x:v>FLD-0076</x:v>
      </x:c>
      <x:c r="B79" s="20" t="str">
        <x:v>Web</x:v>
      </x:c>
      <x:c r="C79" s="35" t="str">
        <x:v>web/src/lib/components/leases/AgreementDraftDialog.svelte</x:v>
      </x:c>
      <x:c r="D79" s="35" t="str">
        <x:v>web/src/lib/components/leases/AgreementDraftDialog.svelte</x:v>
      </x:c>
      <x:c r="E79" s="32" t="n">
        <x:v>393</x:v>
      </x:c>
      <x:c r="F79" s="20" t="str">
        <x:v>date</x:v>
      </x:c>
      <x:c r="G79" s="35" t="str">
        <x:v>agreement-draft-term-end</x:v>
      </x:c>
      <x:c r="H79" s="35" t="str">
        <x:v>Term starts</x:v>
      </x:c>
      <x:c r="I79" s="20" t="str">
        <x:v>Leasing Agent</x:v>
      </x:c>
      <x:c r="J79" s="23" t="n">
        <x:v>46430</x:v>
      </x:c>
      <x:c r="K79" s="35" t="str">
        <x:v>valid non-default; boundary/format value; blank/null when optional; invalid value when constrained</x:v>
      </x:c>
      <x:c r="L79" s="35" t="str">
        <x:v>Save succeeds; reload shows the exact normalized value; other client reads it where supported; edit persists; validation rejects invalid input without partial mutation.</x:v>
      </x:c>
    </x:row>
    <x:row r="80">
      <x:c r="A80" s="20" t="str">
        <x:v>FLD-0077</x:v>
      </x:c>
      <x:c r="B80" s="20" t="str">
        <x:v>Web</x:v>
      </x:c>
      <x:c r="C80" s="35" t="str">
        <x:v>web/src/lib/components/leases/AgreementDraftDialog.svelte</x:v>
      </x:c>
      <x:c r="D80" s="35" t="str">
        <x:v>web/src/lib/components/leases/AgreementDraftDialog.svelte</x:v>
      </x:c>
      <x:c r="E80" s="32" t="n">
        <x:v>398</x:v>
      </x:c>
      <x:c r="F80" s="20" t="str">
        <x:v>date</x:v>
      </x:c>
      <x:c r="G80" s="35" t="str">
        <x:v>agreement-draft-governing-from</x:v>
      </x:c>
      <x:c r="H80" s="35" t="str">
        <x:v>Term ends</x:v>
      </x:c>
      <x:c r="I80" s="20" t="str">
        <x:v>Leasing Agent</x:v>
      </x:c>
      <x:c r="J80" s="23" t="n">
        <x:v>46430</x:v>
      </x:c>
      <x:c r="K80" s="35" t="str">
        <x:v>valid non-default; boundary/format value; blank/null when optional; invalid value when constrained</x:v>
      </x:c>
      <x:c r="L80" s="35" t="str">
        <x:v>Save succeeds; reload shows the exact normalized value; other client reads it where supported; edit persists; validation rejects invalid input without partial mutation.</x:v>
      </x:c>
    </x:row>
    <x:row r="81">
      <x:c r="A81" s="20" t="str">
        <x:v>FLD-0078</x:v>
      </x:c>
      <x:c r="B81" s="20" t="str">
        <x:v>Web</x:v>
      </x:c>
      <x:c r="C81" s="35" t="str">
        <x:v>web/src/lib/components/leases/AgreementDraftDialog.svelte</x:v>
      </x:c>
      <x:c r="D81" s="35" t="str">
        <x:v>web/src/lib/components/leases/AgreementDraftDialog.svelte</x:v>
      </x:c>
      <x:c r="E81" s="32" t="n">
        <x:v>403</x:v>
      </x:c>
      <x:c r="F81" s="20" t="str">
        <x:v>number</x:v>
      </x:c>
      <x:c r="G81" s="35" t="str">
        <x:v>form.baseRentAmount</x:v>
      </x:c>
      <x:c r="H81" s="35" t="str">
        <x:v>Governs from</x:v>
      </x:c>
      <x:c r="I81" s="20" t="str">
        <x:v>Leasing Agent</x:v>
      </x:c>
      <x:c r="J81" s="23" t="n">
        <x:v>46430</x:v>
      </x:c>
      <x:c r="K81" s="35" t="str">
        <x:v>valid non-default; boundary/format value; blank/null when optional; invalid value when constrained</x:v>
      </x:c>
      <x:c r="L81" s="35" t="str">
        <x:v>Save succeeds; reload shows the exact normalized value; other client reads it where supported; edit persists; validation rejects invalid input without partial mutation.</x:v>
      </x:c>
    </x:row>
    <x:row r="82">
      <x:c r="A82" s="20" t="str">
        <x:v>FLD-0079</x:v>
      </x:c>
      <x:c r="B82" s="20" t="str">
        <x:v>Web</x:v>
      </x:c>
      <x:c r="C82" s="35" t="str">
        <x:v>web/src/lib/components/leases/AgreementDraftDialog.svelte</x:v>
      </x:c>
      <x:c r="D82" s="35" t="str">
        <x:v>web/src/lib/components/leases/AgreementDraftDialog.svelte</x:v>
      </x:c>
      <x:c r="E82" s="32" t="n">
        <x:v>404</x:v>
      </x:c>
      <x:c r="F82" s="20" t="str">
        <x:v>number</x:v>
      </x:c>
      <x:c r="G82" s="35" t="str">
        <x:v>form.rentDueDay</x:v>
      </x:c>
      <x:c r="H82" s="35" t="str">
        <x:v>Monthly rent</x:v>
      </x:c>
      <x:c r="I82" s="20" t="str">
        <x:v>Leasing Agent</x:v>
      </x:c>
      <x:c r="J82" s="23" t="n">
        <x:v>46433</x:v>
      </x:c>
      <x:c r="K82" s="35" t="str">
        <x:v>valid non-default; boundary/format value; blank/null when optional; invalid value when constrained</x:v>
      </x:c>
      <x:c r="L82" s="35" t="str">
        <x:v>Save succeeds; reload shows the exact normalized value; other client reads it where supported; edit persists; validation rejects invalid input without partial mutation.</x:v>
      </x:c>
    </x:row>
    <x:row r="83">
      <x:c r="A83" s="20" t="str">
        <x:v>FLD-0080</x:v>
      </x:c>
      <x:c r="B83" s="20" t="str">
        <x:v>Web</x:v>
      </x:c>
      <x:c r="C83" s="35" t="str">
        <x:v>web/src/lib/components/leases/AgreementDraftDialog.svelte</x:v>
      </x:c>
      <x:c r="D83" s="35" t="str">
        <x:v>web/src/lib/components/leases/AgreementDraftDialog.svelte</x:v>
      </x:c>
      <x:c r="E83" s="32" t="n">
        <x:v>405</x:v>
      </x:c>
      <x:c r="F83" s="20" t="str">
        <x:v>number</x:v>
      </x:c>
      <x:c r="G83" s="35" t="str">
        <x:v>form.securityDepositObligation</x:v>
      </x:c>
      <x:c r="H83" s="35" t="str">
        <x:v>Due day</x:v>
      </x:c>
      <x:c r="I83" s="20" t="str">
        <x:v>Leasing Agent</x:v>
      </x:c>
      <x:c r="J83" s="23" t="n">
        <x:v>46433</x:v>
      </x:c>
      <x:c r="K83" s="35" t="str">
        <x:v>valid non-default; boundary/format value; blank/null when optional; invalid value when constrained</x:v>
      </x:c>
      <x:c r="L83" s="35" t="str">
        <x:v>Save succeeds; reload shows the exact normalized value; other client reads it where supported; edit persists; validation rejects invalid input without partial mutation.</x:v>
      </x:c>
    </x:row>
    <x:row r="84">
      <x:c r="A84" s="20" t="str">
        <x:v>FLD-0081</x:v>
      </x:c>
      <x:c r="B84" s="20" t="str">
        <x:v>Web</x:v>
      </x:c>
      <x:c r="C84" s="35" t="str">
        <x:v>web/src/lib/components/leases/AgreementDraftDialog.svelte</x:v>
      </x:c>
      <x:c r="D84" s="35" t="str">
        <x:v>web/src/lib/components/leases/AgreementDraftDialog.svelte</x:v>
      </x:c>
      <x:c r="E84" s="32" t="n">
        <x:v>406</x:v>
      </x:c>
      <x:c r="F84" s="20" t="str">
        <x:v>number</x:v>
      </x:c>
      <x:c r="G84" s="35" t="str">
        <x:v>form.lateFeeAmount</x:v>
      </x:c>
      <x:c r="H84" s="35" t="str">
        <x:v>Deposit</x:v>
      </x:c>
      <x:c r="I84" s="20" t="str">
        <x:v>Leasing Agent</x:v>
      </x:c>
      <x:c r="J84" s="23" t="n">
        <x:v>46433</x:v>
      </x:c>
      <x:c r="K84" s="35" t="str">
        <x:v>valid non-default; boundary/format value; blank/null when optional; invalid value when constrained</x:v>
      </x:c>
      <x:c r="L84" s="35" t="str">
        <x:v>Save succeeds; reload shows the exact normalized value; other client reads it where supported; edit persists; validation rejects invalid input without partial mutation.</x:v>
      </x:c>
    </x:row>
    <x:row r="85">
      <x:c r="A85" s="20" t="str">
        <x:v>FLD-0082</x:v>
      </x:c>
      <x:c r="B85" s="20" t="str">
        <x:v>Web</x:v>
      </x:c>
      <x:c r="C85" s="35" t="str">
        <x:v>web/src/lib/components/leases/AgreementDraftDialog.svelte</x:v>
      </x:c>
      <x:c r="D85" s="35" t="str">
        <x:v>web/src/lib/components/leases/AgreementDraftDialog.svelte</x:v>
      </x:c>
      <x:c r="E85" s="32" t="n">
        <x:v>407</x:v>
      </x:c>
      <x:c r="F85" s="20" t="str">
        <x:v>number</x:v>
      </x:c>
      <x:c r="G85" s="35" t="str">
        <x:v>form.gracePeriodDays</x:v>
      </x:c>
      <x:c r="H85" s="35" t="str">
        <x:v>Late fee</x:v>
      </x:c>
      <x:c r="I85" s="20" t="str">
        <x:v>Leasing Agent</x:v>
      </x:c>
      <x:c r="J85" s="23" t="n">
        <x:v>46433</x:v>
      </x:c>
      <x:c r="K85" s="35" t="str">
        <x:v>valid non-default; boundary/format value; blank/null when optional; invalid value when constrained</x:v>
      </x:c>
      <x:c r="L85" s="35" t="str">
        <x:v>Save succeeds; reload shows the exact normalized value; other client reads it where supported; edit persists; validation rejects invalid input without partial mutation.</x:v>
      </x:c>
    </x:row>
    <x:row r="86">
      <x:c r="A86" s="20" t="str">
        <x:v>FLD-0083</x:v>
      </x:c>
      <x:c r="B86" s="20" t="str">
        <x:v>Web</x:v>
      </x:c>
      <x:c r="C86" s="35" t="str">
        <x:v>web/src/lib/components/leases/AgreementDraftDialog.svelte</x:v>
      </x:c>
      <x:c r="D86" s="35" t="str">
        <x:v>web/src/lib/components/leases/AgreementDraftDialog.svelte</x:v>
      </x:c>
      <x:c r="E86" s="32" t="n">
        <x:v>414</x:v>
      </x:c>
      <x:c r="F86" s="20" t="str">
        <x:v>number</x:v>
      </x:c>
      <x:c r="G86" s="35" t="str">
        <x:v>signer.signingOrder</x:v>
      </x:c>
      <x:c r="H86" s="35" t="str"/>
      <x:c r="I86" s="20" t="str">
        <x:v>Leasing Agent</x:v>
      </x:c>
      <x:c r="J86" s="23" t="n">
        <x:v>46433</x:v>
      </x:c>
      <x:c r="K86" s="35" t="str">
        <x:v>valid non-default; boundary/format value; blank/null when optional; invalid value when constrained</x:v>
      </x:c>
      <x:c r="L86" s="35" t="str">
        <x:v>Save succeeds; reload shows the exact normalized value; other client reads it where supported; edit persists; validation rejects invalid input without partial mutation.</x:v>
      </x:c>
    </x:row>
    <x:row r="87">
      <x:c r="A87" s="20" t="str">
        <x:v>FLD-0084</x:v>
      </x:c>
      <x:c r="B87" s="20" t="str">
        <x:v>Web</x:v>
      </x:c>
      <x:c r="C87" s="35" t="str">
        <x:v>web/src/lib/components/leases/AgreementDraftDialog.svelte</x:v>
      </x:c>
      <x:c r="D87" s="35" t="str">
        <x:v>web/src/lib/components/leases/AgreementDraftDialog.svelte</x:v>
      </x:c>
      <x:c r="E87" s="32" t="n">
        <x:v>415</x:v>
      </x:c>
      <x:c r="F87" s="20" t="str">
        <x:v>input</x:v>
      </x:c>
      <x:c r="G87" s="35" t="str">
        <x:v>agreement-draft-signer-name-{index}</x:v>
      </x:c>
      <x:c r="H87" s="35" t="str">
        <x:v>Order</x:v>
      </x:c>
      <x:c r="I87" s="20" t="str">
        <x:v>Leasing Agent</x:v>
      </x:c>
      <x:c r="J87" s="23" t="n">
        <x:v>46434</x:v>
      </x:c>
      <x:c r="K87" s="35" t="str">
        <x:v>valid non-default; boundary/format value; blank/null when optional; invalid value when constrained</x:v>
      </x:c>
      <x:c r="L87" s="35" t="str">
        <x:v>Save succeeds; reload shows the exact normalized value; other client reads it where supported; edit persists; validation rejects invalid input without partial mutation.</x:v>
      </x:c>
    </x:row>
    <x:row r="88">
      <x:c r="A88" s="20" t="str">
        <x:v>FLD-0085</x:v>
      </x:c>
      <x:c r="B88" s="20" t="str">
        <x:v>Web</x:v>
      </x:c>
      <x:c r="C88" s="35" t="str">
        <x:v>web/src/lib/components/leases/AgreementDraftDialog.svelte</x:v>
      </x:c>
      <x:c r="D88" s="35" t="str">
        <x:v>web/src/lib/components/leases/AgreementDraftDialog.svelte</x:v>
      </x:c>
      <x:c r="E88" s="32" t="n">
        <x:v>416</x:v>
      </x:c>
      <x:c r="F88" s="20" t="str">
        <x:v>email</x:v>
      </x:c>
      <x:c r="G88" s="35" t="str">
        <x:v>agreement-draft-signer-email-{index}</x:v>
      </x:c>
      <x:c r="H88" s="35" t="str">
        <x:v>Name</x:v>
      </x:c>
      <x:c r="I88" s="20" t="str">
        <x:v>Leasing Agent</x:v>
      </x:c>
      <x:c r="J88" s="23" t="n">
        <x:v>46434</x:v>
      </x:c>
      <x:c r="K88" s="35" t="str">
        <x:v>valid non-default; boundary/format value; blank/null when optional; invalid value when constrained</x:v>
      </x:c>
      <x:c r="L88" s="35" t="str">
        <x:v>Save succeeds; reload shows the exact normalized value; other client reads it where supported; edit persists; validation rejects invalid input without partial mutation.</x:v>
      </x:c>
    </x:row>
    <x:row r="89">
      <x:c r="A89" s="20" t="str">
        <x:v>FLD-0086</x:v>
      </x:c>
      <x:c r="B89" s="20" t="str">
        <x:v>Web</x:v>
      </x:c>
      <x:c r="C89" s="35" t="str">
        <x:v>web/src/lib/components/leases/AgreementDraftDialog.svelte</x:v>
      </x:c>
      <x:c r="D89" s="35" t="str">
        <x:v>web/src/lib/components/leases/AgreementDraftDialog.svelte</x:v>
      </x:c>
      <x:c r="E89" s="32" t="n">
        <x:v>417</x:v>
      </x:c>
      <x:c r="F89" s="20" t="str">
        <x:v>select</x:v>
      </x:c>
      <x:c r="G89" s="35" t="str">
        <x:v>signer.signerRole</x:v>
      </x:c>
      <x:c r="H89" s="35" t="str">
        <x:v>Email</x:v>
      </x:c>
      <x:c r="I89" s="20" t="str">
        <x:v>Leasing Agent</x:v>
      </x:c>
      <x:c r="J89" s="23" t="n">
        <x:v>46434</x:v>
      </x:c>
      <x:c r="K89" s="35" t="str">
        <x:v>valid non-default; boundary/format value; blank/null when optional; invalid value when constrained</x:v>
      </x:c>
      <x:c r="L89" s="35" t="str">
        <x:v>Save succeeds; reload shows the exact normalized value; other client reads it where supported; edit persists; validation rejects invalid input without partial mutation.</x:v>
      </x:c>
    </x:row>
    <x:row r="90">
      <x:c r="A90" s="20" t="str">
        <x:v>FLD-0087</x:v>
      </x:c>
      <x:c r="B90" s="20" t="str">
        <x:v>Web</x:v>
      </x:c>
      <x:c r="C90" s="35" t="str">
        <x:v>web/src/lib/components/leases/AgreementDraftDialog.svelte</x:v>
      </x:c>
      <x:c r="D90" s="35" t="str">
        <x:v>web/src/lib/components/leases/AgreementDraftDialog.svelte</x:v>
      </x:c>
      <x:c r="E90" s="32" t="n">
        <x:v>455</x:v>
      </x:c>
      <x:c r="F90" s="20" t="str">
        <x:v>input</x:v>
      </x:c>
      <x:c r="G90" s="35" t="str">
        <x:v>issueSubject</x:v>
      </x:c>
      <x:c r="H90" s="35" t="str"/>
      <x:c r="I90" s="20" t="str">
        <x:v>Leasing Agent</x:v>
      </x:c>
      <x:c r="J90" s="23" t="n">
        <x:v>46434</x:v>
      </x:c>
      <x:c r="K90" s="35" t="str">
        <x:v>valid non-default; boundary/format value; blank/null when optional; invalid value when constrained</x:v>
      </x:c>
      <x:c r="L90" s="35" t="str">
        <x:v>Save succeeds; reload shows the exact normalized value; other client reads it where supported; edit persists; validation rejects invalid input without partial mutation.</x:v>
      </x:c>
    </x:row>
    <x:row r="91">
      <x:c r="A91" s="20" t="str">
        <x:v>FLD-0088</x:v>
      </x:c>
      <x:c r="B91" s="20" t="str">
        <x:v>Web</x:v>
      </x:c>
      <x:c r="C91" s="35" t="str">
        <x:v>web/src/lib/components/leases/AgreementDraftDialog.svelte</x:v>
      </x:c>
      <x:c r="D91" s="35" t="str">
        <x:v>web/src/lib/components/leases/AgreementDraftDialog.svelte</x:v>
      </x:c>
      <x:c r="E91" s="32" t="n">
        <x:v>462</x:v>
      </x:c>
      <x:c r="F91" s="20" t="str">
        <x:v>textarea</x:v>
      </x:c>
      <x:c r="G91" s="35" t="str">
        <x:v>agreement-cancel-draft-reason</x:v>
      </x:c>
      <x:c r="H91" s="35" t="str"/>
      <x:c r="I91" s="20" t="str">
        <x:v>Leasing Agent</x:v>
      </x:c>
      <x:c r="J91" s="23" t="n">
        <x:v>46435</x:v>
      </x:c>
      <x:c r="K91" s="35" t="str">
        <x:v>valid non-default; boundary/format value; blank/null when optional; invalid value when constrained</x:v>
      </x:c>
      <x:c r="L91" s="35" t="str">
        <x:v>Save succeeds; reload shows the exact normalized value; other client reads it where supported; edit persists; validation rejects invalid input without partial mutation.</x:v>
      </x:c>
    </x:row>
    <x:row r="92">
      <x:c r="A92" s="20" t="str">
        <x:v>FLD-0089</x:v>
      </x:c>
      <x:c r="B92" s="20" t="str">
        <x:v>Web</x:v>
      </x:c>
      <x:c r="C92" s="35" t="str">
        <x:v>web/src/lib/components/leases/AgreementIssuedRecoveryDialog.svelte</x:v>
      </x:c>
      <x:c r="D92" s="35" t="str">
        <x:v>web/src/lib/components/leases/AgreementIssuedRecoveryDialog.svelte</x:v>
      </x:c>
      <x:c r="E92" s="32" t="n">
        <x:v>76</x:v>
      </x:c>
      <x:c r="F92" s="20" t="str">
        <x:v>textarea</x:v>
      </x:c>
      <x:c r="G92" s="35" t="str">
        <x:v>agreement-void-note</x:v>
      </x:c>
      <x:c r="H92" s="35" t="str"/>
      <x:c r="I92" s="20" t="str">
        <x:v>Leasing Agent</x:v>
      </x:c>
      <x:c r="J92" s="23" t="n">
        <x:v>46435</x:v>
      </x:c>
      <x:c r="K92" s="35" t="str">
        <x:v>valid non-default; boundary/format value; blank/null when optional; invalid value when constrained</x:v>
      </x:c>
      <x:c r="L92" s="35" t="str">
        <x:v>Save succeeds; reload shows the exact normalized value; other client reads it where supported; edit persists; validation rejects invalid input without partial mutation.</x:v>
      </x:c>
    </x:row>
    <x:row r="93">
      <x:c r="A93" s="20" t="str">
        <x:v>FLD-0090</x:v>
      </x:c>
      <x:c r="B93" s="20" t="str">
        <x:v>Web</x:v>
      </x:c>
      <x:c r="C93" s="35" t="str">
        <x:v>web/src/lib/components/leases/AgreementIssuedRecoveryDialog.svelte</x:v>
      </x:c>
      <x:c r="D93" s="35" t="str">
        <x:v>web/src/lib/components/leases/AgreementIssuedRecoveryDialog.svelte</x:v>
      </x:c>
      <x:c r="E93" s="32" t="n">
        <x:v>81</x:v>
      </x:c>
      <x:c r="F93" s="20" t="str">
        <x:v>textarea</x:v>
      </x:c>
      <x:c r="G93" s="35" t="str">
        <x:v>agreement-reissue-reason</x:v>
      </x:c>
      <x:c r="H93" s="35" t="str">
        <x:v>Void note</x:v>
      </x:c>
      <x:c r="I93" s="20" t="str">
        <x:v>Leasing Agent</x:v>
      </x:c>
      <x:c r="J93" s="23" t="n">
        <x:v>46435</x:v>
      </x:c>
      <x:c r="K93" s="35" t="str">
        <x:v>valid non-default; boundary/format value; blank/null when optional; invalid value when constrained</x:v>
      </x:c>
      <x:c r="L93" s="35" t="str">
        <x:v>Save succeeds; reload shows the exact normalized value; other client reads it where supported; edit persists; validation rejects invalid input without partial mutation.</x:v>
      </x:c>
    </x:row>
    <x:row r="94">
      <x:c r="A94" s="20" t="str">
        <x:v>FLD-0091</x:v>
      </x:c>
      <x:c r="B94" s="20" t="str">
        <x:v>Web</x:v>
      </x:c>
      <x:c r="C94" s="35" t="str">
        <x:v>web/src/lib/components/leases/AgreementSuccessorDialog.svelte</x:v>
      </x:c>
      <x:c r="D94" s="35" t="str">
        <x:v>web/src/lib/components/leases/AgreementSuccessorDialog.svelte</x:v>
      </x:c>
      <x:c r="E94" s="32" t="n">
        <x:v>230</x:v>
      </x:c>
      <x:c r="F94" s="20" t="str">
        <x:v>date</x:v>
      </x:c>
      <x:c r="G94" s="35" t="str">
        <x:v>agreement-successor-term-start</x:v>
      </x:c>
      <x:c r="H94" s="35" t="str"/>
      <x:c r="I94" s="20" t="str">
        <x:v>Leasing Agent</x:v>
      </x:c>
      <x:c r="J94" s="23" t="n">
        <x:v>46435</x:v>
      </x:c>
      <x:c r="K94" s="35" t="str">
        <x:v>valid non-default; boundary/format value; blank/null when optional; invalid value when constrained</x:v>
      </x:c>
      <x:c r="L94" s="35" t="str">
        <x:v>Save succeeds; reload shows the exact normalized value; other client reads it where supported; edit persists; validation rejects invalid input without partial mutation.</x:v>
      </x:c>
    </x:row>
    <x:row r="95">
      <x:c r="A95" s="20" t="str">
        <x:v>FLD-0092</x:v>
      </x:c>
      <x:c r="B95" s="20" t="str">
        <x:v>Web</x:v>
      </x:c>
      <x:c r="C95" s="35" t="str">
        <x:v>web/src/lib/components/leases/AgreementSuccessorDialog.svelte</x:v>
      </x:c>
      <x:c r="D95" s="35" t="str">
        <x:v>web/src/lib/components/leases/AgreementSuccessorDialog.svelte</x:v>
      </x:c>
      <x:c r="E95" s="32" t="n">
        <x:v>235</x:v>
      </x:c>
      <x:c r="F95" s="20" t="str">
        <x:v>date</x:v>
      </x:c>
      <x:c r="G95" s="35" t="str">
        <x:v>agreement-successor-term-end</x:v>
      </x:c>
      <x:c r="H95" s="35" t="str">
        <x:v>New term starts</x:v>
      </x:c>
      <x:c r="I95" s="20" t="str">
        <x:v>Leasing Agent</x:v>
      </x:c>
      <x:c r="J95" s="23" t="n">
        <x:v>46435</x:v>
      </x:c>
      <x:c r="K95" s="35" t="str">
        <x:v>valid non-default; boundary/format value; blank/null when optional; invalid value when constrained</x:v>
      </x:c>
      <x:c r="L95" s="35" t="str">
        <x:v>Save succeeds; reload shows the exact normalized value; other client reads it where supported; edit persists; validation rejects invalid input without partial mutation.</x:v>
      </x:c>
    </x:row>
    <x:row r="96">
      <x:c r="A96" s="20" t="str">
        <x:v>FLD-0093</x:v>
      </x:c>
      <x:c r="B96" s="20" t="str">
        <x:v>Web</x:v>
      </x:c>
      <x:c r="C96" s="35" t="str">
        <x:v>web/src/lib/components/leases/AgreementSuccessorDialog.svelte</x:v>
      </x:c>
      <x:c r="D96" s="35" t="str">
        <x:v>web/src/lib/components/leases/AgreementSuccessorDialog.svelte</x:v>
      </x:c>
      <x:c r="E96" s="32" t="n">
        <x:v>243</x:v>
      </x:c>
      <x:c r="F96" s="20" t="str">
        <x:v>textarea</x:v>
      </x:c>
      <x:c r="G96" s="35" t="str">
        <x:v>agreement-successor-correction-reason</x:v>
      </x:c>
      <x:c r="H96" s="35" t="str">
        <x:v>New term ends</x:v>
      </x:c>
      <x:c r="I96" s="20" t="str">
        <x:v>Leasing Agent</x:v>
      </x:c>
      <x:c r="J96" s="23" t="n">
        <x:v>46436</x:v>
      </x:c>
      <x:c r="K96" s="35" t="str">
        <x:v>valid non-default; boundary/format value; blank/null when optional; invalid value when constrained</x:v>
      </x:c>
      <x:c r="L96" s="35" t="str">
        <x:v>Save succeeds; reload shows the exact normalized value; other client reads it where supported; edit persists; validation rejects invalid input without partial mutation.</x:v>
      </x:c>
    </x:row>
    <x:row r="97">
      <x:c r="A97" s="20" t="str">
        <x:v>FLD-0094</x:v>
      </x:c>
      <x:c r="B97" s="20" t="str">
        <x:v>Web</x:v>
      </x:c>
      <x:c r="C97" s="35" t="str">
        <x:v>web/src/lib/components/leases/AgreementSuccessorDialog.svelte</x:v>
      </x:c>
      <x:c r="D97" s="35" t="str">
        <x:v>web/src/lib/components/leases/AgreementSuccessorDialog.svelte</x:v>
      </x:c>
      <x:c r="E97" s="32" t="n">
        <x:v>256</x:v>
      </x:c>
      <x:c r="F97" s="20" t="str">
        <x:v>date</x:v>
      </x:c>
      <x:c r="G97" s="35" t="str">
        <x:v>agreement-successor-governing-from</x:v>
      </x:c>
      <x:c r="H97" s="35" t="str"/>
      <x:c r="I97" s="20" t="str">
        <x:v>Leasing Agent</x:v>
      </x:c>
      <x:c r="J97" s="23" t="n">
        <x:v>46436</x:v>
      </x:c>
      <x:c r="K97" s="35" t="str">
        <x:v>valid non-default; boundary/format value; blank/null when optional; invalid value when constrained</x:v>
      </x:c>
      <x:c r="L97" s="35" t="str">
        <x:v>Save succeeds; reload shows the exact normalized value; other client reads it where supported; edit persists; validation rejects invalid input without partial mutation.</x:v>
      </x:c>
    </x:row>
    <x:row r="98">
      <x:c r="A98" s="20" t="str">
        <x:v>FLD-0095</x:v>
      </x:c>
      <x:c r="B98" s="20" t="str">
        <x:v>Web</x:v>
      </x:c>
      <x:c r="C98" s="35" t="str">
        <x:v>web/src/lib/components/leases/AgreementSuccessorDialog.svelte</x:v>
      </x:c>
      <x:c r="D98" s="35" t="str">
        <x:v>web/src/lib/components/leases/AgreementSuccessorDialog.svelte</x:v>
      </x:c>
      <x:c r="E98" s="32" t="n">
        <x:v>314</x:v>
      </x:c>
      <x:c r="F98" s="20" t="str">
        <x:v>select</x:v>
      </x:c>
      <x:c r="G98" s="35" t="str">
        <x:v>select-5</x:v>
      </x:c>
      <x:c r="H98" s="35" t="str"/>
      <x:c r="I98" s="20" t="str">
        <x:v>Leasing Agent</x:v>
      </x:c>
      <x:c r="J98" s="23" t="n">
        <x:v>46436</x:v>
      </x:c>
      <x:c r="K98" s="35" t="str">
        <x:v>valid non-default; boundary/format value; blank/null when optional; invalid value when constrained</x:v>
      </x:c>
      <x:c r="L98" s="35" t="str">
        <x:v>Save succeeds; reload shows the exact normalized value; other client reads it where supported; edit persists; validation rejects invalid input without partial mutation.</x:v>
      </x:c>
    </x:row>
    <x:row r="99">
      <x:c r="A99" s="20" t="str">
        <x:v>FLD-0096</x:v>
      </x:c>
      <x:c r="B99" s="20" t="str">
        <x:v>Web</x:v>
      </x:c>
      <x:c r="C99" s="35" t="str">
        <x:v>web/src/lib/components/leases/EndingDispositionDialog.svelte</x:v>
      </x:c>
      <x:c r="D99" s="35" t="str">
        <x:v>web/src/lib/components/leases/EndingDispositionDialog.svelte</x:v>
      </x:c>
      <x:c r="E99" s="32" t="n">
        <x:v>107</x:v>
      </x:c>
      <x:c r="F99" s="20" t="str">
        <x:v>select</x:v>
      </x:c>
      <x:c r="G99" s="35" t="str">
        <x:v>disposition</x:v>
      </x:c>
      <x:c r="H99" s="35" t="str"/>
      <x:c r="I99" s="20" t="str">
        <x:v>Leasing Agent</x:v>
      </x:c>
      <x:c r="J99" s="23" t="n">
        <x:v>46436</x:v>
      </x:c>
      <x:c r="K99" s="35" t="str">
        <x:v>valid non-default; boundary/format value; blank/null when optional; invalid value when constrained</x:v>
      </x:c>
      <x:c r="L99" s="35" t="str">
        <x:v>Save succeeds; reload shows the exact normalized value; other client reads it where supported; edit persists; validation rejects invalid input without partial mutation.</x:v>
      </x:c>
    </x:row>
    <x:row r="100">
      <x:c r="A100" s="20" t="str">
        <x:v>FLD-0097</x:v>
      </x:c>
      <x:c r="B100" s="20" t="str">
        <x:v>Web</x:v>
      </x:c>
      <x:c r="C100" s="35" t="str">
        <x:v>web/src/lib/components/leases/EndingDispositionDialog.svelte</x:v>
      </x:c>
      <x:c r="D100" s="35" t="str">
        <x:v>web/src/lib/components/leases/EndingDispositionDialog.svelte</x:v>
      </x:c>
      <x:c r="E100" s="32" t="n">
        <x:v>122</x:v>
      </x:c>
      <x:c r="F100" s="20" t="str">
        <x:v>date</x:v>
      </x:c>
      <x:c r="G100" s="35" t="str">
        <x:v>noticeDate</x:v>
      </x:c>
      <x:c r="H100" s="35" t="str"/>
      <x:c r="I100" s="20" t="str">
        <x:v>Leasing Agent</x:v>
      </x:c>
      <x:c r="J100" s="23" t="n">
        <x:v>46437</x:v>
      </x:c>
      <x:c r="K100" s="35" t="str">
        <x:v>valid non-default; boundary/format value; blank/null when optional; invalid value when constrained</x:v>
      </x:c>
      <x:c r="L100" s="35" t="str">
        <x:v>Save succeeds; reload shows the exact normalized value; other client reads it where supported; edit persists; validation rejects invalid input without partial mutation.</x:v>
      </x:c>
    </x:row>
    <x:row r="101">
      <x:c r="A101" s="20" t="str">
        <x:v>FLD-0098</x:v>
      </x:c>
      <x:c r="B101" s="20" t="str">
        <x:v>Web</x:v>
      </x:c>
      <x:c r="C101" s="35" t="str">
        <x:v>web/src/lib/components/leases/EndingDispositionDialog.svelte</x:v>
      </x:c>
      <x:c r="D101" s="35" t="str">
        <x:v>web/src/lib/components/leases/EndingDispositionDialog.svelte</x:v>
      </x:c>
      <x:c r="E101" s="32" t="n">
        <x:v>126</x:v>
      </x:c>
      <x:c r="F101" s="20" t="str">
        <x:v>date</x:v>
      </x:c>
      <x:c r="G101" s="35" t="str">
        <x:v>moveOutDate</x:v>
      </x:c>
      <x:c r="H101" s="35" t="str">
        <x:v>Notice date</x:v>
      </x:c>
      <x:c r="I101" s="20" t="str">
        <x:v>Leasing Agent</x:v>
      </x:c>
      <x:c r="J101" s="23" t="n">
        <x:v>46437</x:v>
      </x:c>
      <x:c r="K101" s="35" t="str">
        <x:v>valid non-default; boundary/format value; blank/null when optional; invalid value when constrained</x:v>
      </x:c>
      <x:c r="L101" s="35" t="str">
        <x:v>Save succeeds; reload shows the exact normalized value; other client reads it where supported; edit persists; validation rejects invalid input without partial mutation.</x:v>
      </x:c>
    </x:row>
    <x:row r="102">
      <x:c r="A102" s="20" t="str">
        <x:v>FLD-0099</x:v>
      </x:c>
      <x:c r="B102" s="20" t="str">
        <x:v>Web</x:v>
      </x:c>
      <x:c r="C102" s="35" t="str">
        <x:v>web/src/lib/components/leases/EndingDispositionDialog.svelte</x:v>
      </x:c>
      <x:c r="D102" s="35" t="str">
        <x:v>web/src/lib/components/leases/EndingDispositionDialog.svelte</x:v>
      </x:c>
      <x:c r="E102" s="32" t="n">
        <x:v>133</x:v>
      </x:c>
      <x:c r="F102" s="20" t="str">
        <x:v>textarea</x:v>
      </x:c>
      <x:c r="G102" s="35" t="str">
        <x:v>decisionReason</x:v>
      </x:c>
      <x:c r="H102" s="35" t="str">
        <x:v>Effective move-out date</x:v>
      </x:c>
      <x:c r="I102" s="20" t="str">
        <x:v>Leasing Agent</x:v>
      </x:c>
      <x:c r="J102" s="23" t="n">
        <x:v>46437</x:v>
      </x:c>
      <x:c r="K102" s="35" t="str">
        <x:v>valid non-default; boundary/format value; blank/null when optional; invalid value when constrained</x:v>
      </x:c>
      <x:c r="L102" s="35" t="str">
        <x:v>Save succeeds; reload shows the exact normalized value; other client reads it where supported; edit persists; validation rejects invalid input without partial mutation.</x:v>
      </x:c>
    </x:row>
    <x:row r="103">
      <x:c r="A103" s="20" t="str">
        <x:v>FLD-0100</x:v>
      </x:c>
      <x:c r="B103" s="20" t="str">
        <x:v>Web</x:v>
      </x:c>
      <x:c r="C103" s="35" t="str">
        <x:v>web/src/lib/components/leases/HouseholdManagementDialog.svelte</x:v>
      </x:c>
      <x:c r="D103" s="35" t="str">
        <x:v>web/src/lib/components/leases/HouseholdManagementDialog.svelte</x:v>
      </x:c>
      <x:c r="E103" s="32" t="n">
        <x:v>141</x:v>
      </x:c>
      <x:c r="F103" s="20" t="str">
        <x:v>input</x:v>
      </x:c>
      <x:c r="G103" s="35" t="str">
        <x:v>search</x:v>
      </x:c>
      <x:c r="H103" s="35" t="str">
        <x:v>Search name, email, or phone</x:v>
      </x:c>
      <x:c r="I103" s="20" t="str">
        <x:v>Leasing Agent</x:v>
      </x:c>
      <x:c r="J103" s="23" t="n">
        <x:v>46437</x:v>
      </x:c>
      <x:c r="K103" s="35" t="str">
        <x:v>valid non-default; boundary/format value; blank/null when optional; invalid value when constrained</x:v>
      </x:c>
      <x:c r="L103" s="35" t="str">
        <x:v>Save succeeds; reload shows the exact normalized value; other client reads it where supported; edit persists; validation rejects invalid input without partial mutation.</x:v>
      </x:c>
    </x:row>
    <x:row r="104">
      <x:c r="A104" s="20" t="str">
        <x:v>FLD-0101</x:v>
      </x:c>
      <x:c r="B104" s="20" t="str">
        <x:v>Web</x:v>
      </x:c>
      <x:c r="C104" s="35" t="str">
        <x:v>web/src/lib/components/leases/HouseholdManagementDialog.svelte</x:v>
      </x:c>
      <x:c r="D104" s="35" t="str">
        <x:v>web/src/lib/components/leases/HouseholdManagementDialog.svelte</x:v>
      </x:c>
      <x:c r="E104" s="32" t="n">
        <x:v>142</x:v>
      </x:c>
      <x:c r="F104" s="20" t="str">
        <x:v>select</x:v>
      </x:c>
      <x:c r="G104" s="35" t="str">
        <x:v>tenantId</x:v>
      </x:c>
      <x:c r="H104" s="35" t="str">
        <x:v>Find an existing person</x:v>
      </x:c>
      <x:c r="I104" s="20" t="str">
        <x:v>Leasing Agent</x:v>
      </x:c>
      <x:c r="J104" s="23" t="n">
        <x:v>46440</x:v>
      </x:c>
      <x:c r="K104" s="35" t="str">
        <x:v>valid non-default; boundary/format value; blank/null when optional; invalid value when constrained</x:v>
      </x:c>
      <x:c r="L104" s="35" t="str">
        <x:v>Save succeeds; reload shows the exact normalized value; other client reads it where supported; edit persists; validation rejects invalid input without partial mutation.</x:v>
      </x:c>
    </x:row>
    <x:row r="105">
      <x:c r="A105" s="20" t="str">
        <x:v>FLD-0102</x:v>
      </x:c>
      <x:c r="B105" s="20" t="str">
        <x:v>Web</x:v>
      </x:c>
      <x:c r="C105" s="35" t="str">
        <x:v>web/src/lib/components/leases/HouseholdManagementDialog.svelte</x:v>
      </x:c>
      <x:c r="D105" s="35" t="str">
        <x:v>web/src/lib/components/leases/HouseholdManagementDialog.svelte</x:v>
      </x:c>
      <x:c r="E105" s="32" t="n">
        <x:v>145</x:v>
      </x:c>
      <x:c r="F105" s="20" t="str">
        <x:v>select</x:v>
      </x:c>
      <x:c r="G105" s="35" t="str">
        <x:v>role</x:v>
      </x:c>
      <x:c r="H105" s="35" t="str"/>
      <x:c r="I105" s="20" t="str">
        <x:v>Leasing Agent</x:v>
      </x:c>
      <x:c r="J105" s="23" t="n">
        <x:v>46440</x:v>
      </x:c>
      <x:c r="K105" s="35" t="str">
        <x:v>valid non-default; boundary/format value; blank/null when optional; invalid value when constrained</x:v>
      </x:c>
      <x:c r="L105" s="35" t="str">
        <x:v>Save succeeds; reload shows the exact normalized value; other client reads it where supported; edit persists; validation rejects invalid input without partial mutation.</x:v>
      </x:c>
    </x:row>
    <x:row r="106">
      <x:c r="A106" s="20" t="str">
        <x:v>FLD-0103</x:v>
      </x:c>
      <x:c r="B106" s="20" t="str">
        <x:v>Web</x:v>
      </x:c>
      <x:c r="C106" s="35" t="str">
        <x:v>web/src/lib/components/leases/HouseholdManagementDialog.svelte</x:v>
      </x:c>
      <x:c r="D106" s="35" t="str">
        <x:v>web/src/lib/components/leases/HouseholdManagementDialog.svelte</x:v>
      </x:c>
      <x:c r="E106" s="32" t="n">
        <x:v>148</x:v>
      </x:c>
      <x:c r="F106" s="20" t="str">
        <x:v>date</x:v>
      </x:c>
      <x:c r="G106" s="35" t="str">
        <x:v>effectiveDate</x:v>
      </x:c>
      <x:c r="H106" s="35" t="str"/>
      <x:c r="I106" s="20" t="str">
        <x:v>Leasing Agent</x:v>
      </x:c>
      <x:c r="J106" s="23" t="n">
        <x:v>46440</x:v>
      </x:c>
      <x:c r="K106" s="35" t="str">
        <x:v>valid non-default; boundary/format value; blank/null when optional; invalid value when constrained</x:v>
      </x:c>
      <x:c r="L106" s="35" t="str">
        <x:v>Save succeeds; reload shows the exact normalized value; other client reads it where supported; edit persists; validation rejects invalid input without partial mutation.</x:v>
      </x:c>
    </x:row>
    <x:row r="107">
      <x:c r="A107" s="20" t="str">
        <x:v>FLD-0104</x:v>
      </x:c>
      <x:c r="B107" s="20" t="str">
        <x:v>Web</x:v>
      </x:c>
      <x:c r="C107" s="35" t="str">
        <x:v>web/src/lib/components/leases/HouseholdManagementDialog.svelte</x:v>
      </x:c>
      <x:c r="D107" s="35" t="str">
        <x:v>web/src/lib/components/leases/HouseholdManagementDialog.svelte</x:v>
      </x:c>
      <x:c r="E107" s="32" t="n">
        <x:v>151</x:v>
      </x:c>
      <x:c r="F107" s="20" t="str">
        <x:v>select</x:v>
      </x:c>
      <x:c r="G107" s="35" t="str">
        <x:v>successorPartyId</x:v>
      </x:c>
      <x:c r="H107" s="35" t="str"/>
      <x:c r="I107" s="20" t="str">
        <x:v>Leasing Agent</x:v>
      </x:c>
      <x:c r="J107" s="23" t="n">
        <x:v>46440</x:v>
      </x:c>
      <x:c r="K107" s="35" t="str">
        <x:v>valid non-default; boundary/format value; blank/null when optional; invalid value when constrained</x:v>
      </x:c>
      <x:c r="L107" s="35" t="str">
        <x:v>Save succeeds; reload shows the exact normalized value; other client reads it where supported; edit persists; validation rejects invalid input without partial mutation.</x:v>
      </x:c>
    </x:row>
    <x:row r="108">
      <x:c r="A108" s="20" t="str">
        <x:v>FLD-0105</x:v>
      </x:c>
      <x:c r="B108" s="20" t="str">
        <x:v>Web</x:v>
      </x:c>
      <x:c r="C108" s="35" t="str">
        <x:v>web/src/lib/components/leases/HouseholdManagementDialog.svelte</x:v>
      </x:c>
      <x:c r="D108" s="35" t="str">
        <x:v>web/src/lib/components/leases/HouseholdManagementDialog.svelte</x:v>
      </x:c>
      <x:c r="E108" s="32" t="n">
        <x:v>154</x:v>
      </x:c>
      <x:c r="F108" s="20" t="str">
        <x:v>select</x:v>
      </x:c>
      <x:c r="G108" s="35" t="str">
        <x:v>agreementId</x:v>
      </x:c>
      <x:c r="H108" s="35" t="str"/>
      <x:c r="I108" s="20" t="str">
        <x:v>Leasing Agent</x:v>
      </x:c>
      <x:c r="J108" s="23" t="n">
        <x:v>46440</x:v>
      </x:c>
      <x:c r="K108" s="35" t="str">
        <x:v>valid non-default; boundary/format value; blank/null when optional; invalid value when constrained</x:v>
      </x:c>
      <x:c r="L108" s="35" t="str">
        <x:v>Save succeeds; reload shows the exact normalized value; other client reads it where supported; edit persists; validation rejects invalid input without partial mutation.</x:v>
      </x:c>
    </x:row>
    <x:row r="109">
      <x:c r="A109" s="20" t="str">
        <x:v>FLD-0106</x:v>
      </x:c>
      <x:c r="B109" s="20" t="str">
        <x:v>Web</x:v>
      </x:c>
      <x:c r="C109" s="35" t="str">
        <x:v>web/src/lib/components/leases/HouseholdManagementDialog.svelte</x:v>
      </x:c>
      <x:c r="D109" s="35" t="str">
        <x:v>web/src/lib/components/leases/HouseholdManagementDialog.svelte</x:v>
      </x:c>
      <x:c r="E109" s="32" t="n">
        <x:v>156</x:v>
      </x:c>
      <x:c r="F109" s="20" t="str">
        <x:v>textarea</x:v>
      </x:c>
      <x:c r="G109" s="35" t="str">
        <x:v>reason</x:v>
      </x:c>
      <x:c r="H109" s="35" t="str">
        <x:v>mode === 'grant' ? 'Why this person needs resident access' : 'What changed and why'</x:v>
      </x:c>
      <x:c r="I109" s="20" t="str">
        <x:v>Leasing Agent</x:v>
      </x:c>
      <x:c r="J109" s="23" t="n">
        <x:v>46441</x:v>
      </x:c>
      <x:c r="K109" s="35" t="str">
        <x:v>valid non-default; boundary/format value; blank/null when optional; invalid value when constrained</x:v>
      </x:c>
      <x:c r="L109" s="35" t="str">
        <x:v>Save succeeds; reload shows the exact normalized value; other client reads it where supported; edit persists; validation rejects invalid input without partial mutation.</x:v>
      </x:c>
    </x:row>
    <x:row r="110">
      <x:c r="A110" s="20" t="str">
        <x:v>FLD-0107</x:v>
      </x:c>
      <x:c r="B110" s="20" t="str">
        <x:v>Web</x:v>
      </x:c>
      <x:c r="C110" s="35" t="str">
        <x:v>web/src/lib/components/leases/PossessionActions.svelte</x:v>
      </x:c>
      <x:c r="D110" s="35" t="str">
        <x:v>web/src/lib/components/leases/PossessionActions.svelte</x:v>
      </x:c>
      <x:c r="E110" s="32" t="n">
        <x:v>261</x:v>
      </x:c>
      <x:c r="F110" s="20" t="str">
        <x:v>select</x:v>
      </x:c>
      <x:c r="G110" s="35" t="str">
        <x:v>select-1</x:v>
      </x:c>
      <x:c r="H110" s="35" t="str"/>
      <x:c r="I110" s="20" t="str">
        <x:v>Leasing Agent</x:v>
      </x:c>
      <x:c r="J110" s="23" t="n">
        <x:v>46441</x:v>
      </x:c>
      <x:c r="K110" s="35" t="str">
        <x:v>valid non-default; boundary/format value; blank/null when optional; invalid value when constrained</x:v>
      </x:c>
      <x:c r="L110" s="35" t="str">
        <x:v>Save succeeds; reload shows the exact normalized value; other client reads it where supported; edit persists; validation rejects invalid input without partial mutation.</x:v>
      </x:c>
    </x:row>
    <x:row r="111">
      <x:c r="A111" s="20" t="str">
        <x:v>FLD-0108</x:v>
      </x:c>
      <x:c r="B111" s="20" t="str">
        <x:v>Web</x:v>
      </x:c>
      <x:c r="C111" s="35" t="str">
        <x:v>web/src/lib/components/leases/PossessionActions.svelte</x:v>
      </x:c>
      <x:c r="D111" s="35" t="str">
        <x:v>web/src/lib/components/leases/PossessionActions.svelte</x:v>
      </x:c>
      <x:c r="E111" s="32" t="n">
        <x:v>293</x:v>
      </x:c>
      <x:c r="F111" s="20" t="str">
        <x:v>select</x:v>
      </x:c>
      <x:c r="G111" s="35" t="str">
        <x:v>select-2</x:v>
      </x:c>
      <x:c r="H111" s="35" t="str"/>
      <x:c r="I111" s="20" t="str">
        <x:v>Leasing Agent</x:v>
      </x:c>
      <x:c r="J111" s="23" t="n">
        <x:v>46441</x:v>
      </x:c>
      <x:c r="K111" s="35" t="str">
        <x:v>valid non-default; boundary/format value; blank/null when optional; invalid value when constrained</x:v>
      </x:c>
      <x:c r="L111" s="35" t="str">
        <x:v>Save succeeds; reload shows the exact normalized value; other client reads it where supported; edit persists; validation rejects invalid input without partial mutation.</x:v>
      </x:c>
    </x:row>
    <x:row r="112">
      <x:c r="A112" s="20" t="str">
        <x:v>FLD-0109</x:v>
      </x:c>
      <x:c r="B112" s="20" t="str">
        <x:v>Web</x:v>
      </x:c>
      <x:c r="C112" s="35" t="str">
        <x:v>web/src/lib/components/leases/PossessionActions.svelte</x:v>
      </x:c>
      <x:c r="D112" s="35" t="str">
        <x:v>web/src/lib/components/leases/PossessionActions.svelte</x:v>
      </x:c>
      <x:c r="E112" s="32" t="n">
        <x:v>313</x:v>
      </x:c>
      <x:c r="F112" s="20" t="str">
        <x:v>input</x:v>
      </x:c>
      <x:c r="G112" s="35" t="str">
        <x:v>turnover-reason</x:v>
      </x:c>
      <x:c r="H112" s="35" t="str">
        <x:v>Turnover reason</x:v>
      </x:c>
      <x:c r="I112" s="20" t="str">
        <x:v>Leasing Agent</x:v>
      </x:c>
      <x:c r="J112" s="23" t="n">
        <x:v>46441</x:v>
      </x:c>
      <x:c r="K112" s="35" t="str">
        <x:v>valid non-default; boundary/format value; blank/null when optional; invalid value when constrained</x:v>
      </x:c>
      <x:c r="L112" s="35" t="str">
        <x:v>Save succeeds; reload shows the exact normalized value; other client reads it where supported; edit persists; validation rejects invalid input without partial mutation.</x:v>
      </x:c>
    </x:row>
    <x:row r="113">
      <x:c r="A113" s="20" t="str">
        <x:v>FLD-0110</x:v>
      </x:c>
      <x:c r="B113" s="20" t="str">
        <x:v>Web</x:v>
      </x:c>
      <x:c r="C113" s="35" t="str">
        <x:v>web/src/lib/components/leasing/LeasingListPage.svelte</x:v>
      </x:c>
      <x:c r="D113" s="35" t="str">
        <x:v>web/src/lib/components/leasing/LeasingListPage.svelte</x:v>
      </x:c>
      <x:c r="E113" s="32" t="n">
        <x:v>74</x:v>
      </x:c>
      <x:c r="F113" s="20" t="str">
        <x:v>input</x:v>
      </x:c>
      <x:c r="G113" s="35" t="str">
        <x:v>search</x:v>
      </x:c>
      <x:c r="H113" s="35" t="str">
        <x:v>`Search ${meta.title</x:v>
      </x:c>
      <x:c r="I113" s="20" t="str">
        <x:v>Leasing Agent</x:v>
      </x:c>
      <x:c r="J113" s="23" t="n">
        <x:v>46442</x:v>
      </x:c>
      <x:c r="K113" s="35" t="str">
        <x:v>valid non-default; boundary/format value; blank/null when optional; invalid value when constrained</x:v>
      </x:c>
      <x:c r="L113" s="35" t="str">
        <x:v>Save succeeds; reload shows the exact normalized value; other client reads it where supported; edit persists; validation rejects invalid input without partial mutation.</x:v>
      </x:c>
    </x:row>
    <x:row r="114">
      <x:c r="A114" s="20" t="str">
        <x:v>FLD-0111</x:v>
      </x:c>
      <x:c r="B114" s="20" t="str">
        <x:v>Web</x:v>
      </x:c>
      <x:c r="C114" s="35" t="str">
        <x:v>web/src/lib/components/notices/TenantNoticeDialog.svelte</x:v>
      </x:c>
      <x:c r="D114" s="35" t="str">
        <x:v>web/src/lib/components/notices/TenantNoticeDialog.svelte</x:v>
      </x:c>
      <x:c r="E114" s="32" t="n">
        <x:v>299</x:v>
      </x:c>
      <x:c r="F114" s="20" t="str">
        <x:v>input</x:v>
      </x:c>
      <x:c r="G114" s="35" t="str">
        <x:v>input-1</x:v>
      </x:c>
      <x:c r="H114" s="35" t="str"/>
      <x:c r="I114" s="20" t="str">
        <x:v>Property Manager</x:v>
      </x:c>
      <x:c r="J114" s="23" t="n">
        <x:v>46442</x:v>
      </x:c>
      <x:c r="K114" s="35" t="str">
        <x:v>valid non-default; boundary/format value; blank/null when optional; invalid value when constrained</x:v>
      </x:c>
      <x:c r="L114" s="35" t="str">
        <x:v>Save succeeds; reload shows the exact normalized value; other client reads it where supported; edit persists; validation rejects invalid input without partial mutation.</x:v>
      </x:c>
    </x:row>
    <x:row r="115">
      <x:c r="A115" s="20" t="str">
        <x:v>FLD-0112</x:v>
      </x:c>
      <x:c r="B115" s="20" t="str">
        <x:v>Web</x:v>
      </x:c>
      <x:c r="C115" s="35" t="str">
        <x:v>web/src/lib/components/notices/TenantNoticeDialog.svelte</x:v>
      </x:c>
      <x:c r="D115" s="35" t="str">
        <x:v>web/src/lib/components/notices/TenantNoticeDialog.svelte</x:v>
      </x:c>
      <x:c r="E115" s="32" t="n">
        <x:v>309</x:v>
      </x:c>
      <x:c r="F115" s="20" t="str">
        <x:v>textarea</x:v>
      </x:c>
      <x:c r="G115" s="35" t="str">
        <x:v>textarea-2</x:v>
      </x:c>
      <x:c r="H115" s="35" t="str"/>
      <x:c r="I115" s="20" t="str">
        <x:v>Property Manager</x:v>
      </x:c>
      <x:c r="J115" s="23" t="n">
        <x:v>46442</x:v>
      </x:c>
      <x:c r="K115" s="35" t="str">
        <x:v>valid non-default; boundary/format value; blank/null when optional; invalid value when constrained</x:v>
      </x:c>
      <x:c r="L115" s="35" t="str">
        <x:v>Save succeeds; reload shows the exact normalized value; other client reads it where supported; edit persists; validation rejects invalid input without partial mutation.</x:v>
      </x:c>
    </x:row>
    <x:row r="116">
      <x:c r="A116" s="20" t="str">
        <x:v>FLD-0113</x:v>
      </x:c>
      <x:c r="B116" s="20" t="str">
        <x:v>Web</x:v>
      </x:c>
      <x:c r="C116" s="35" t="str">
        <x:v>web/src/lib/components/notifications/NoticePreview.svelte</x:v>
      </x:c>
      <x:c r="D116" s="35" t="str">
        <x:v>web/src/lib/components/notifications/NoticePreview.svelte</x:v>
      </x:c>
      <x:c r="E116" s="32" t="n">
        <x:v>79</x:v>
      </x:c>
      <x:c r="F116" s="20" t="str">
        <x:v>email</x:v>
      </x:c>
      <x:c r="G116" s="35" t="str">
        <x:v>testDestination</x:v>
      </x:c>
      <x:c r="H116" s="35" t="str">
        <x:v>you+notice-test@example.com</x:v>
      </x:c>
      <x:c r="I116" s="20" t="str">
        <x:v>Property Manager</x:v>
      </x:c>
      <x:c r="J116" s="23" t="n">
        <x:v>46442</x:v>
      </x:c>
      <x:c r="K116" s="35" t="str">
        <x:v>valid non-default; boundary/format value; blank/null when optional; invalid value when constrained</x:v>
      </x:c>
      <x:c r="L116" s="35" t="str">
        <x:v>Save succeeds; reload shows the exact normalized value; other client reads it where supported; edit persists; validation rejects invalid input without partial mutation.</x:v>
      </x:c>
    </x:row>
    <x:row r="117">
      <x:c r="A117" s="20" t="str">
        <x:v>FLD-0114</x:v>
      </x:c>
      <x:c r="B117" s="20" t="str">
        <x:v>Web</x:v>
      </x:c>
      <x:c r="C117" s="35" t="str">
        <x:v>web/src/lib/components/onboarding/LeasePhotoPrefill.svelte</x:v>
      </x:c>
      <x:c r="D117" s="35" t="str">
        <x:v>web/src/lib/components/onboarding/LeasePhotoPrefill.svelte</x:v>
      </x:c>
      <x:c r="E117" s="32" t="n">
        <x:v>163</x:v>
      </x:c>
      <x:c r="F117" s="20" t="str">
        <x:v>checkbox</x:v>
      </x:c>
      <x:c r="G117" s="35" t="str">
        <x:v>`lease-prefill-include-${row.name</x:v>
      </x:c>
      <x:c r="H117" s="35" t="str"/>
      <x:c r="I117" s="20" t="str">
        <x:v>Property Manager</x:v>
      </x:c>
      <x:c r="J117" s="23" t="n">
        <x:v>46442</x:v>
      </x:c>
      <x:c r="K117" s="35" t="str">
        <x:v>valid non-default; boundary/format value; blank/null when optional; invalid value when constrained</x:v>
      </x:c>
      <x:c r="L117" s="35" t="str">
        <x:v>Save succeeds; reload shows the exact normalized value; other client reads it where supported; edit persists; validation rejects invalid input without partial mutation.</x:v>
      </x:c>
    </x:row>
    <x:row r="118">
      <x:c r="A118" s="20" t="str">
        <x:v>FLD-0115</x:v>
      </x:c>
      <x:c r="B118" s="20" t="str">
        <x:v>Web</x:v>
      </x:c>
      <x:c r="C118" s="35" t="str">
        <x:v>web/src/lib/components/property/PropertyLoansSection.svelte</x:v>
      </x:c>
      <x:c r="D118" s="35" t="str">
        <x:v>web/src/lib/components/property/PropertyLoansSection.svelte</x:v>
      </x:c>
      <x:c r="E118" s="32" t="n">
        <x:v>411</x:v>
      </x:c>
      <x:c r="F118" s="20" t="str">
        <x:v>checkbox</x:v>
      </x:c>
      <x:c r="G118" s="35" t="str">
        <x:v>loan-escrow-taxes</x:v>
      </x:c>
      <x:c r="H118" s="35" t="str"/>
      <x:c r="I118" s="20" t="str">
        <x:v>Property Manager</x:v>
      </x:c>
      <x:c r="J118" s="23" t="n">
        <x:v>46443</x:v>
      </x:c>
      <x:c r="K118" s="35" t="str">
        <x:v>valid non-default; boundary/format value; blank/null when optional; invalid value when constrained</x:v>
      </x:c>
      <x:c r="L118" s="35" t="str">
        <x:v>Save succeeds; reload shows the exact normalized value; other client reads it where supported; edit persists; validation rejects invalid input without partial mutation.</x:v>
      </x:c>
    </x:row>
    <x:row r="119">
      <x:c r="A119" s="20" t="str">
        <x:v>FLD-0116</x:v>
      </x:c>
      <x:c r="B119" s="20" t="str">
        <x:v>Web</x:v>
      </x:c>
      <x:c r="C119" s="35" t="str">
        <x:v>web/src/lib/components/property/PropertyLoansSection.svelte</x:v>
      </x:c>
      <x:c r="D119" s="35" t="str">
        <x:v>web/src/lib/components/property/PropertyLoansSection.svelte</x:v>
      </x:c>
      <x:c r="E119" s="32" t="n">
        <x:v>415</x:v>
      </x:c>
      <x:c r="F119" s="20" t="str">
        <x:v>checkbox</x:v>
      </x:c>
      <x:c r="G119" s="35" t="str">
        <x:v>loan-escrow-insurance</x:v>
      </x:c>
      <x:c r="H119" s="35" t="str">
        <x:v>Escrow covers property taxes</x:v>
      </x:c>
      <x:c r="I119" s="20" t="str">
        <x:v>Property Manager</x:v>
      </x:c>
      <x:c r="J119" s="23" t="n">
        <x:v>46443</x:v>
      </x:c>
      <x:c r="K119" s="35" t="str">
        <x:v>valid non-default; boundary/format value; blank/null when optional; invalid value when constrained</x:v>
      </x:c>
      <x:c r="L119" s="35" t="str">
        <x:v>Save succeeds; reload shows the exact normalized value; other client reads it where supported; edit persists; validation rejects invalid input without partial mutation.</x:v>
      </x:c>
    </x:row>
    <x:row r="120">
      <x:c r="A120" s="20" t="str">
        <x:v>FLD-0117</x:v>
      </x:c>
      <x:c r="B120" s="20" t="str">
        <x:v>Web</x:v>
      </x:c>
      <x:c r="C120" s="35" t="str">
        <x:v>web/src/lib/components/records/ApplicationDetail.svelte</x:v>
      </x:c>
      <x:c r="D120" s="35" t="str">
        <x:v>web/src/lib/components/records/ApplicationDetail.svelte</x:v>
      </x:c>
      <x:c r="E120" s="32" t="n">
        <x:v>817</x:v>
      </x:c>
      <x:c r="F120" s="20" t="str">
        <x:v>input</x:v>
      </x:c>
      <x:c r="G120" s="35" t="str">
        <x:v>externalProvider</x:v>
      </x:c>
      <x:c r="H120" s="35" t="str">
        <x:v>Zillow, another service, local agency…</x:v>
      </x:c>
      <x:c r="I120" s="20" t="str">
        <x:v>Property Manager</x:v>
      </x:c>
      <x:c r="J120" s="23" t="n">
        <x:v>46443</x:v>
      </x:c>
      <x:c r="K120" s="35" t="str">
        <x:v>valid non-default; boundary/format value; blank/null when optional; invalid value when constrained</x:v>
      </x:c>
      <x:c r="L120" s="35" t="str">
        <x:v>Save succeeds; reload shows the exact normalized value; other client reads it where supported; edit persists; validation rejects invalid input without partial mutation.</x:v>
      </x:c>
    </x:row>
    <x:row r="121">
      <x:c r="A121" s="20" t="str">
        <x:v>FLD-0118</x:v>
      </x:c>
      <x:c r="B121" s="20" t="str">
        <x:v>Web</x:v>
      </x:c>
      <x:c r="C121" s="35" t="str">
        <x:v>web/src/lib/components/records/ApplicationDetail.svelte</x:v>
      </x:c>
      <x:c r="D121" s="35" t="str">
        <x:v>web/src/lib/components/records/ApplicationDetail.svelte</x:v>
      </x:c>
      <x:c r="E121" s="32" t="n">
        <x:v>821</x:v>
      </x:c>
      <x:c r="F121" s="20" t="str">
        <x:v>input</x:v>
      </x:c>
      <x:c r="G121" s="35" t="str">
        <x:v>externalReference</x:v>
      </x:c>
      <x:c r="H121" s="35" t="str">
        <x:v>Screening service</x:v>
      </x:c>
      <x:c r="I121" s="20" t="str">
        <x:v>Property Manager</x:v>
      </x:c>
      <x:c r="J121" s="23" t="n">
        <x:v>46443</x:v>
      </x:c>
      <x:c r="K121" s="35" t="str">
        <x:v>valid non-default; boundary/format value; blank/null when optional; invalid value when constrained</x:v>
      </x:c>
      <x:c r="L121" s="35" t="str">
        <x:v>Save succeeds; reload shows the exact normalized value; other client reads it where supported; edit persists; validation rejects invalid input without partial mutation.</x:v>
      </x:c>
    </x:row>
    <x:row r="122">
      <x:c r="A122" s="20" t="str">
        <x:v>FLD-0119</x:v>
      </x:c>
      <x:c r="B122" s="20" t="str">
        <x:v>Web</x:v>
      </x:c>
      <x:c r="C122" s="35" t="str">
        <x:v>web/src/lib/components/records/ApplicationDetail.svelte</x:v>
      </x:c>
      <x:c r="D122" s="35" t="str">
        <x:v>web/src/lib/components/records/ApplicationDetail.svelte</x:v>
      </x:c>
      <x:c r="E122" s="32" t="n">
        <x:v>825</x:v>
      </x:c>
      <x:c r="F122" s="20" t="str">
        <x:v>url</x:v>
      </x:c>
      <x:c r="G122" s="35" t="str">
        <x:v>externalUrl</x:v>
      </x:c>
      <x:c r="H122" s="35" t="str">
        <x:v>Reference (optional)</x:v>
      </x:c>
      <x:c r="I122" s="20" t="str">
        <x:v>Property Manager</x:v>
      </x:c>
      <x:c r="J122" s="23" t="n">
        <x:v>46444</x:v>
      </x:c>
      <x:c r="K122" s="35" t="str">
        <x:v>valid non-default; boundary/format value; blank/null when optional; invalid value when constrained</x:v>
      </x:c>
      <x:c r="L122" s="35" t="str">
        <x:v>Save succeeds; reload shows the exact normalized value; other client reads it where supported; edit persists; validation rejects invalid input without partial mutation.</x:v>
      </x:c>
    </x:row>
    <x:row r="123">
      <x:c r="A123" s="20" t="str">
        <x:v>FLD-0120</x:v>
      </x:c>
      <x:c r="B123" s="20" t="str">
        <x:v>Web</x:v>
      </x:c>
      <x:c r="C123" s="35" t="str">
        <x:v>web/src/lib/components/records/ApplicationDetail.svelte</x:v>
      </x:c>
      <x:c r="D123" s="35" t="str">
        <x:v>web/src/lib/components/records/ApplicationDetail.svelte</x:v>
      </x:c>
      <x:c r="E123" s="32" t="n">
        <x:v>830</x:v>
      </x:c>
      <x:c r="F123" s="20" t="str">
        <x:v>input</x:v>
      </x:c>
      <x:c r="G123" s="35" t="str">
        <x:v>externalCraName</x:v>
      </x:c>
      <x:c r="H123" s="35" t="str">
        <x:v>Credit reporting agency name</x:v>
      </x:c>
      <x:c r="I123" s="20" t="str">
        <x:v>Property Manager</x:v>
      </x:c>
      <x:c r="J123" s="23" t="n">
        <x:v>46444</x:v>
      </x:c>
      <x:c r="K123" s="35" t="str">
        <x:v>valid non-default; boundary/format value; blank/null when optional; invalid value when constrained</x:v>
      </x:c>
      <x:c r="L123" s="35" t="str">
        <x:v>Save succeeds; reload shows the exact normalized value; other client reads it where supported; edit persists; validation rejects invalid input without partial mutation.</x:v>
      </x:c>
    </x:row>
    <x:row r="124">
      <x:c r="A124" s="20" t="str">
        <x:v>FLD-0121</x:v>
      </x:c>
      <x:c r="B124" s="20" t="str">
        <x:v>Web</x:v>
      </x:c>
      <x:c r="C124" s="35" t="str">
        <x:v>web/src/lib/components/records/ApplicationDetail.svelte</x:v>
      </x:c>
      <x:c r="D124" s="35" t="str">
        <x:v>web/src/lib/components/records/ApplicationDetail.svelte</x:v>
      </x:c>
      <x:c r="E124" s="32" t="n">
        <x:v>831</x:v>
      </x:c>
      <x:c r="F124" s="20" t="str">
        <x:v>input</x:v>
      </x:c>
      <x:c r="G124" s="35" t="str">
        <x:v>externalCraPhone</x:v>
      </x:c>
      <x:c r="H124" s="35" t="str">
        <x:v>Agency phone</x:v>
      </x:c>
      <x:c r="I124" s="20" t="str">
        <x:v>Property Manager</x:v>
      </x:c>
      <x:c r="J124" s="23" t="n">
        <x:v>46444</x:v>
      </x:c>
      <x:c r="K124" s="35" t="str">
        <x:v>valid non-default; boundary/format value; blank/null when optional; invalid value when constrained</x:v>
      </x:c>
      <x:c r="L124" s="35" t="str">
        <x:v>Save succeeds; reload shows the exact normalized value; other client reads it where supported; edit persists; validation rejects invalid input without partial mutation.</x:v>
      </x:c>
    </x:row>
    <x:row r="125">
      <x:c r="A125" s="20" t="str">
        <x:v>FLD-0122</x:v>
      </x:c>
      <x:c r="B125" s="20" t="str">
        <x:v>Web</x:v>
      </x:c>
      <x:c r="C125" s="35" t="str">
        <x:v>web/src/lib/components/records/ApplicationDetail.svelte</x:v>
      </x:c>
      <x:c r="D125" s="35" t="str">
        <x:v>web/src/lib/components/records/ApplicationDetail.svelte</x:v>
      </x:c>
      <x:c r="E125" s="32" t="n">
        <x:v>832</x:v>
      </x:c>
      <x:c r="F125" s="20" t="str">
        <x:v>input</x:v>
      </x:c>
      <x:c r="G125" s="35" t="str">
        <x:v>externalCraAddress</x:v>
      </x:c>
      <x:c r="H125" s="35" t="str">
        <x:v>Agency mailing address</x:v>
      </x:c>
      <x:c r="I125" s="20" t="str">
        <x:v>Property Manager</x:v>
      </x:c>
      <x:c r="J125" s="23" t="n">
        <x:v>46444</x:v>
      </x:c>
      <x:c r="K125" s="35" t="str">
        <x:v>valid non-default; boundary/format value; blank/null when optional; invalid value when constrained</x:v>
      </x:c>
      <x:c r="L125" s="35" t="str">
        <x:v>Save succeeds; reload shows the exact normalized value; other client reads it where supported; edit persists; validation rejects invalid input without partial mutation.</x:v>
      </x:c>
    </x:row>
    <x:row r="126">
      <x:c r="A126" s="20" t="str">
        <x:v>FLD-0123</x:v>
      </x:c>
      <x:c r="B126" s="20" t="str">
        <x:v>Web</x:v>
      </x:c>
      <x:c r="C126" s="35" t="str">
        <x:v>web/src/lib/components/records/ApplicationDetail.svelte</x:v>
      </x:c>
      <x:c r="D126" s="35" t="str">
        <x:v>web/src/lib/components/records/ApplicationDetail.svelte</x:v>
      </x:c>
      <x:c r="E126" s="32" t="n">
        <x:v>993</x:v>
      </x:c>
      <x:c r="F126" s="20" t="str">
        <x:v>input</x:v>
      </x:c>
      <x:c r="G126" s="35" t="str">
        <x:v>application-edit-first</x:v>
      </x:c>
      <x:c r="H126" s="35" t="str">
        <x:v>First name</x:v>
      </x:c>
      <x:c r="I126" s="20" t="str">
        <x:v>Property Manager</x:v>
      </x:c>
      <x:c r="J126" s="23" t="n">
        <x:v>46444</x:v>
      </x:c>
      <x:c r="K126" s="35" t="str">
        <x:v>valid non-default; boundary/format value; blank/null when optional; invalid value when constrained</x:v>
      </x:c>
      <x:c r="L126" s="35" t="str">
        <x:v>Save succeeds; reload shows the exact normalized value; other client reads it where supported; edit persists; validation rejects invalid input without partial mutation.</x:v>
      </x:c>
    </x:row>
    <x:row r="127">
      <x:c r="A127" s="20" t="str">
        <x:v>FLD-0124</x:v>
      </x:c>
      <x:c r="B127" s="20" t="str">
        <x:v>Web</x:v>
      </x:c>
      <x:c r="C127" s="35" t="str">
        <x:v>web/src/lib/components/records/ApplicationDetail.svelte</x:v>
      </x:c>
      <x:c r="D127" s="35" t="str">
        <x:v>web/src/lib/components/records/ApplicationDetail.svelte</x:v>
      </x:c>
      <x:c r="E127" s="32" t="n">
        <x:v>998</x:v>
      </x:c>
      <x:c r="F127" s="20" t="str">
        <x:v>input</x:v>
      </x:c>
      <x:c r="G127" s="35" t="str">
        <x:v>application-edit-last</x:v>
      </x:c>
      <x:c r="H127" s="35" t="str">
        <x:v>Last name</x:v>
      </x:c>
      <x:c r="I127" s="20" t="str">
        <x:v>Property Manager</x:v>
      </x:c>
      <x:c r="J127" s="23" t="n">
        <x:v>46447</x:v>
      </x:c>
      <x:c r="K127" s="35" t="str">
        <x:v>valid non-default; boundary/format value; blank/null when optional; invalid value when constrained</x:v>
      </x:c>
      <x:c r="L127" s="35" t="str">
        <x:v>Save succeeds; reload shows the exact normalized value; other client reads it where supported; edit persists; validation rejects invalid input without partial mutation.</x:v>
      </x:c>
    </x:row>
    <x:row r="128">
      <x:c r="A128" s="20" t="str">
        <x:v>FLD-0125</x:v>
      </x:c>
      <x:c r="B128" s="20" t="str">
        <x:v>Web</x:v>
      </x:c>
      <x:c r="C128" s="35" t="str">
        <x:v>web/src/lib/components/records/ApplicationDetail.svelte</x:v>
      </x:c>
      <x:c r="D128" s="35" t="str">
        <x:v>web/src/lib/components/records/ApplicationDetail.svelte</x:v>
      </x:c>
      <x:c r="E128" s="32" t="n">
        <x:v>1003</x:v>
      </x:c>
      <x:c r="F128" s="20" t="str">
        <x:v>email</x:v>
      </x:c>
      <x:c r="G128" s="35" t="str">
        <x:v>application-edit-email</x:v>
      </x:c>
      <x:c r="H128" s="35" t="str">
        <x:v>Email</x:v>
      </x:c>
      <x:c r="I128" s="20" t="str">
        <x:v>Property Manager</x:v>
      </x:c>
      <x:c r="J128" s="23" t="n">
        <x:v>46447</x:v>
      </x:c>
      <x:c r="K128" s="35" t="str">
        <x:v>valid non-default; boundary/format value; blank/null when optional; invalid value when constrained</x:v>
      </x:c>
      <x:c r="L128" s="35" t="str">
        <x:v>Save succeeds; reload shows the exact normalized value; other client reads it where supported; edit persists; validation rejects invalid input without partial mutation.</x:v>
      </x:c>
    </x:row>
    <x:row r="129">
      <x:c r="A129" s="20" t="str">
        <x:v>FLD-0126</x:v>
      </x:c>
      <x:c r="B129" s="20" t="str">
        <x:v>Web</x:v>
      </x:c>
      <x:c r="C129" s="35" t="str">
        <x:v>web/src/lib/components/records/ApplicationDetail.svelte</x:v>
      </x:c>
      <x:c r="D129" s="35" t="str">
        <x:v>web/src/lib/components/records/ApplicationDetail.svelte</x:v>
      </x:c>
      <x:c r="E129" s="32" t="n">
        <x:v>1007</x:v>
      </x:c>
      <x:c r="F129" s="20" t="str">
        <x:v>input</x:v>
      </x:c>
      <x:c r="G129" s="35" t="str">
        <x:v>application-edit-phone</x:v>
      </x:c>
      <x:c r="H129" s="35" t="str">
        <x:v>Phone</x:v>
      </x:c>
      <x:c r="I129" s="20" t="str">
        <x:v>Property Manager</x:v>
      </x:c>
      <x:c r="J129" s="23" t="n">
        <x:v>46447</x:v>
      </x:c>
      <x:c r="K129" s="35" t="str">
        <x:v>valid non-default; boundary/format value; blank/null when optional; invalid value when constrained</x:v>
      </x:c>
      <x:c r="L129" s="35" t="str">
        <x:v>Save succeeds; reload shows the exact normalized value; other client reads it where supported; edit persists; validation rejects invalid input without partial mutation.</x:v>
      </x:c>
    </x:row>
    <x:row r="130">
      <x:c r="A130" s="20" t="str">
        <x:v>FLD-0127</x:v>
      </x:c>
      <x:c r="B130" s="20" t="str">
        <x:v>Web</x:v>
      </x:c>
      <x:c r="C130" s="35" t="str">
        <x:v>web/src/lib/components/records/ApplicationDetail.svelte</x:v>
      </x:c>
      <x:c r="D130" s="35" t="str">
        <x:v>web/src/lib/components/records/ApplicationDetail.svelte</x:v>
      </x:c>
      <x:c r="E130" s="32" t="n">
        <x:v>1019</x:v>
      </x:c>
      <x:c r="F130" s="20" t="str">
        <x:v>input</x:v>
      </x:c>
      <x:c r="G130" s="35" t="str">
        <x:v>application-edit-employer</x:v>
      </x:c>
      <x:c r="H130" s="35" t="str">
        <x:v>Employer</x:v>
      </x:c>
      <x:c r="I130" s="20" t="str">
        <x:v>Property Manager</x:v>
      </x:c>
      <x:c r="J130" s="23" t="n">
        <x:v>46447</x:v>
      </x:c>
      <x:c r="K130" s="35" t="str">
        <x:v>valid non-default; boundary/format value; blank/null when optional; invalid value when constrained</x:v>
      </x:c>
      <x:c r="L130" s="35" t="str">
        <x:v>Save succeeds; reload shows the exact normalized value; other client reads it where supported; edit persists; validation rejects invalid input without partial mutation.</x:v>
      </x:c>
    </x:row>
    <x:row r="131">
      <x:c r="A131" s="20" t="str">
        <x:v>FLD-0128</x:v>
      </x:c>
      <x:c r="B131" s="20" t="str">
        <x:v>Web</x:v>
      </x:c>
      <x:c r="C131" s="35" t="str">
        <x:v>web/src/lib/components/records/ApplicationDetail.svelte</x:v>
      </x:c>
      <x:c r="D131" s="35" t="str">
        <x:v>web/src/lib/components/records/ApplicationDetail.svelte</x:v>
      </x:c>
      <x:c r="E131" s="32" t="n">
        <x:v>1023</x:v>
      </x:c>
      <x:c r="F131" s="20" t="str">
        <x:v>text</x:v>
      </x:c>
      <x:c r="G131" s="35" t="str">
        <x:v>application-edit-income</x:v>
      </x:c>
      <x:c r="H131" s="35" t="str">
        <x:v>Monthly income</x:v>
      </x:c>
      <x:c r="I131" s="20" t="str">
        <x:v>Property Manager</x:v>
      </x:c>
      <x:c r="J131" s="23" t="n">
        <x:v>46448</x:v>
      </x:c>
      <x:c r="K131" s="35" t="str">
        <x:v>valid non-default; boundary/format value; blank/null when optional; invalid value when constrained</x:v>
      </x:c>
      <x:c r="L131" s="35" t="str">
        <x:v>Save succeeds; reload shows the exact normalized value; other client reads it where supported; edit persists; validation rejects invalid input without partial mutation.</x:v>
      </x:c>
    </x:row>
    <x:row r="132">
      <x:c r="A132" s="20" t="str">
        <x:v>FLD-0129</x:v>
      </x:c>
      <x:c r="B132" s="20" t="str">
        <x:v>Web</x:v>
      </x:c>
      <x:c r="C132" s="35" t="str">
        <x:v>web/src/lib/components/records/ApplicationDetail.svelte</x:v>
      </x:c>
      <x:c r="D132" s="35" t="str">
        <x:v>web/src/lib/components/records/ApplicationDetail.svelte</x:v>
      </x:c>
      <x:c r="E132" s="32" t="n">
        <x:v>1028</x:v>
      </x:c>
      <x:c r="F132" s="20" t="str">
        <x:v>input</x:v>
      </x:c>
      <x:c r="G132" s="35" t="str">
        <x:v>application-edit-address</x:v>
      </x:c>
      <x:c r="H132" s="35" t="str">
        <x:v>Current address</x:v>
      </x:c>
      <x:c r="I132" s="20" t="str">
        <x:v>Property Manager</x:v>
      </x:c>
      <x:c r="J132" s="23" t="n">
        <x:v>46448</x:v>
      </x:c>
      <x:c r="K132" s="35" t="str">
        <x:v>valid non-default; boundary/format value; blank/null when optional; invalid value when constrained</x:v>
      </x:c>
      <x:c r="L132" s="35" t="str">
        <x:v>Save succeeds; reload shows the exact normalized value; other client reads it where supported; edit persists; validation rejects invalid input without partial mutation.</x:v>
      </x:c>
    </x:row>
    <x:row r="133">
      <x:c r="A133" s="20" t="str">
        <x:v>FLD-0130</x:v>
      </x:c>
      <x:c r="B133" s="20" t="str">
        <x:v>Web</x:v>
      </x:c>
      <x:c r="C133" s="35" t="str">
        <x:v>web/src/lib/components/records/ApplicationDetail.svelte</x:v>
      </x:c>
      <x:c r="D133" s="35" t="str">
        <x:v>web/src/lib/components/records/ApplicationDetail.svelte</x:v>
      </x:c>
      <x:c r="E133" s="32" t="n">
        <x:v>1032</x:v>
      </x:c>
      <x:c r="F133" s="20" t="str">
        <x:v>textarea</x:v>
      </x:c>
      <x:c r="G133" s="35" t="str">
        <x:v>application-edit-notes</x:v>
      </x:c>
      <x:c r="H133" s="35" t="str">
        <x:v>Notes</x:v>
      </x:c>
      <x:c r="I133" s="20" t="str">
        <x:v>Property Manager</x:v>
      </x:c>
      <x:c r="J133" s="23" t="n">
        <x:v>46448</x:v>
      </x:c>
      <x:c r="K133" s="35" t="str">
        <x:v>valid non-default; boundary/format value; blank/null when optional; invalid value when constrained</x:v>
      </x:c>
      <x:c r="L133" s="35" t="str">
        <x:v>Save succeeds; reload shows the exact normalized value; other client reads it where supported; edit persists; validation rejects invalid input without partial mutation.</x:v>
      </x:c>
    </x:row>
    <x:row r="134">
      <x:c r="A134" s="20" t="str">
        <x:v>FLD-0131</x:v>
      </x:c>
      <x:c r="B134" s="20" t="str">
        <x:v>Web</x:v>
      </x:c>
      <x:c r="C134" s="35" t="str">
        <x:v>web/src/lib/components/records/ApplicationDetail.svelte</x:v>
      </x:c>
      <x:c r="D134" s="35" t="str">
        <x:v>web/src/lib/components/records/ApplicationDetail.svelte</x:v>
      </x:c>
      <x:c r="E134" s="32" t="n">
        <x:v>1081</x:v>
      </x:c>
      <x:c r="F134" s="20" t="str">
        <x:v>textarea</x:v>
      </x:c>
      <x:c r="G134" s="35" t="str">
        <x:v>application-decline-reason-input</x:v>
      </x:c>
      <x:c r="H134" s="35" t="str">
        <x:v>Reason (optional)…</x:v>
      </x:c>
      <x:c r="I134" s="20" t="str">
        <x:v>Property Manager</x:v>
      </x:c>
      <x:c r="J134" s="23" t="n">
        <x:v>46448</x:v>
      </x:c>
      <x:c r="K134" s="35" t="str">
        <x:v>valid non-default; boundary/format value; blank/null when optional; invalid value when constrained</x:v>
      </x:c>
      <x:c r="L134" s="35" t="str">
        <x:v>Save succeeds; reload shows the exact normalized value; other client reads it where supported; edit persists; validation rejects invalid input without partial mutation.</x:v>
      </x:c>
    </x:row>
    <x:row r="135">
      <x:c r="A135" s="20" t="str">
        <x:v>FLD-0132</x:v>
      </x:c>
      <x:c r="B135" s="20" t="str">
        <x:v>Web</x:v>
      </x:c>
      <x:c r="C135" s="35" t="str">
        <x:v>web/src/lib/components/records/ApplicationDetail.svelte</x:v>
      </x:c>
      <x:c r="D135" s="35" t="str">
        <x:v>web/src/lib/components/records/ApplicationDetail.svelte</x:v>
      </x:c>
      <x:c r="E135" s="32" t="n">
        <x:v>1114</x:v>
      </x:c>
      <x:c r="F135" s="20" t="str">
        <x:v>input</x:v>
      </x:c>
      <x:c r="G135" s="35" t="str">
        <x:v>craName</x:v>
      </x:c>
      <x:c r="H135" s="35" t="str">
        <x:v>Consumer reporting agency</x:v>
      </x:c>
      <x:c r="I135" s="20" t="str">
        <x:v>Property Manager</x:v>
      </x:c>
      <x:c r="J135" s="23" t="n">
        <x:v>46449</x:v>
      </x:c>
      <x:c r="K135" s="35" t="str">
        <x:v>valid non-default; boundary/format value; blank/null when optional; invalid value when constrained</x:v>
      </x:c>
      <x:c r="L135" s="35" t="str">
        <x:v>Save succeeds; reload shows the exact normalized value; other client reads it where supported; edit persists; validation rejects invalid input without partial mutation.</x:v>
      </x:c>
    </x:row>
    <x:row r="136">
      <x:c r="A136" s="20" t="str">
        <x:v>FLD-0133</x:v>
      </x:c>
      <x:c r="B136" s="20" t="str">
        <x:v>Web</x:v>
      </x:c>
      <x:c r="C136" s="35" t="str">
        <x:v>web/src/lib/components/records/ApplicationDetail.svelte</x:v>
      </x:c>
      <x:c r="D136" s="35" t="str">
        <x:v>web/src/lib/components/records/ApplicationDetail.svelte</x:v>
      </x:c>
      <x:c r="E136" s="32" t="n">
        <x:v>1118</x:v>
      </x:c>
      <x:c r="F136" s="20" t="str">
        <x:v>input</x:v>
      </x:c>
      <x:c r="G136" s="35" t="str">
        <x:v>craAddress</x:v>
      </x:c>
      <x:c r="H136" s="35" t="str">
        <x:v>Agency name</x:v>
      </x:c>
      <x:c r="I136" s="20" t="str">
        <x:v>Property Manager</x:v>
      </x:c>
      <x:c r="J136" s="23" t="n">
        <x:v>46449</x:v>
      </x:c>
      <x:c r="K136" s="35" t="str">
        <x:v>valid non-default; boundary/format value; blank/null when optional; invalid value when constrained</x:v>
      </x:c>
      <x:c r="L136" s="35" t="str">
        <x:v>Save succeeds; reload shows the exact normalized value; other client reads it where supported; edit persists; validation rejects invalid input without partial mutation.</x:v>
      </x:c>
    </x:row>
    <x:row r="137">
      <x:c r="A137" s="20" t="str">
        <x:v>FLD-0134</x:v>
      </x:c>
      <x:c r="B137" s="20" t="str">
        <x:v>Web</x:v>
      </x:c>
      <x:c r="C137" s="35" t="str">
        <x:v>web/src/lib/components/records/ApplicationDetail.svelte</x:v>
      </x:c>
      <x:c r="D137" s="35" t="str">
        <x:v>web/src/lib/components/records/ApplicationDetail.svelte</x:v>
      </x:c>
      <x:c r="E137" s="32" t="n">
        <x:v>1122</x:v>
      </x:c>
      <x:c r="F137" s="20" t="str">
        <x:v>input</x:v>
      </x:c>
      <x:c r="G137" s="35" t="str">
        <x:v>craPhone</x:v>
      </x:c>
      <x:c r="H137" s="35" t="str">
        <x:v>Mailing address</x:v>
      </x:c>
      <x:c r="I137" s="20" t="str">
        <x:v>Property Manager</x:v>
      </x:c>
      <x:c r="J137" s="23" t="n">
        <x:v>46449</x:v>
      </x:c>
      <x:c r="K137" s="35" t="str">
        <x:v>valid non-default; boundary/format value; blank/null when optional; invalid value when constrained</x:v>
      </x:c>
      <x:c r="L137" s="35" t="str">
        <x:v>Save succeeds; reload shows the exact normalized value; other client reads it where supported; edit persists; validation rejects invalid input without partial mutation.</x:v>
      </x:c>
    </x:row>
    <x:row r="138">
      <x:c r="A138" s="20" t="str">
        <x:v>FLD-0135</x:v>
      </x:c>
      <x:c r="B138" s="20" t="str">
        <x:v>Web</x:v>
      </x:c>
      <x:c r="C138" s="35" t="str">
        <x:v>web/src/lib/components/records/ApplicationDetail.svelte</x:v>
      </x:c>
      <x:c r="D138" s="35" t="str">
        <x:v>web/src/lib/components/records/ApplicationDetail.svelte</x:v>
      </x:c>
      <x:c r="E138" s="32" t="n">
        <x:v>1149</x:v>
      </x:c>
      <x:c r="F138" s="20" t="str">
        <x:v>select</x:v>
      </x:c>
      <x:c r="G138" s="35" t="str">
        <x:v>screeningDecision</x:v>
      </x:c>
      <x:c r="H138" s="35" t="str"/>
      <x:c r="I138" s="20" t="str">
        <x:v>Property Manager</x:v>
      </x:c>
      <x:c r="J138" s="23" t="n">
        <x:v>46449</x:v>
      </x:c>
      <x:c r="K138" s="35" t="str">
        <x:v>valid non-default; boundary/format value; blank/null when optional; invalid value when constrained</x:v>
      </x:c>
      <x:c r="L138" s="35" t="str">
        <x:v>Save succeeds; reload shows the exact normalized value; other client reads it where supported; edit persists; validation rejects invalid input without partial mutation.</x:v>
      </x:c>
    </x:row>
    <x:row r="139">
      <x:c r="A139" s="20" t="str">
        <x:v>FLD-0136</x:v>
      </x:c>
      <x:c r="B139" s="20" t="str">
        <x:v>Web</x:v>
      </x:c>
      <x:c r="C139" s="35" t="str">
        <x:v>web/src/lib/components/records/ApplicationDetail.svelte</x:v>
      </x:c>
      <x:c r="D139" s="35" t="str">
        <x:v>web/src/lib/components/records/ApplicationDetail.svelte</x:v>
      </x:c>
      <x:c r="E139" s="32" t="n">
        <x:v>1157</x:v>
      </x:c>
      <x:c r="F139" s="20" t="str">
        <x:v>textarea</x:v>
      </x:c>
      <x:c r="G139" s="35" t="str">
        <x:v>screeningDecisionReason</x:v>
      </x:c>
      <x:c r="H139" s="35" t="str">
        <x:v>Decision Accept Conditional Decline</x:v>
      </x:c>
      <x:c r="I139" s="20" t="str">
        <x:v>Property Manager</x:v>
      </x:c>
      <x:c r="J139" s="23" t="n">
        <x:v>46449</x:v>
      </x:c>
      <x:c r="K139" s="35" t="str">
        <x:v>valid non-default; boundary/format value; blank/null when optional; invalid value when constrained</x:v>
      </x:c>
      <x:c r="L139" s="35" t="str">
        <x:v>Save succeeds; reload shows the exact normalized value; other client reads it where supported; edit persists; validation rejects invalid input without partial mutation.</x:v>
      </x:c>
    </x:row>
    <x:row r="140">
      <x:c r="A140" s="20" t="str">
        <x:v>FLD-0137</x:v>
      </x:c>
      <x:c r="B140" s="20" t="str">
        <x:v>Web</x:v>
      </x:c>
      <x:c r="C140" s="35" t="str">
        <x:v>web/src/lib/components/records/ApplicationDetail.svelte</x:v>
      </x:c>
      <x:c r="D140" s="35" t="str">
        <x:v>web/src/lib/components/records/ApplicationDetail.svelte</x:v>
      </x:c>
      <x:c r="E140" s="32" t="n">
        <x:v>1195</x:v>
      </x:c>
      <x:c r="F140" s="20" t="str">
        <x:v>textarea</x:v>
      </x:c>
      <x:c r="G140" s="35" t="str">
        <x:v>adverse-reason</x:v>
      </x:c>
      <x:c r="H140" s="35" t="str">
        <x:v>Reason</x:v>
      </x:c>
      <x:c r="I140" s="20" t="str">
        <x:v>Property Manager</x:v>
      </x:c>
      <x:c r="J140" s="23" t="n">
        <x:v>46450</x:v>
      </x:c>
      <x:c r="K140" s="35" t="str">
        <x:v>valid non-default; boundary/format value; blank/null when optional; invalid value when constrained</x:v>
      </x:c>
      <x:c r="L140" s="35" t="str">
        <x:v>Save succeeds; reload shows the exact normalized value; other client reads it where supported; edit persists; validation rejects invalid input without partial mutation.</x:v>
      </x:c>
    </x:row>
    <x:row r="141">
      <x:c r="A141" s="20" t="str">
        <x:v>FLD-0138</x:v>
      </x:c>
      <x:c r="B141" s="20" t="str">
        <x:v>Web</x:v>
      </x:c>
      <x:c r="C141" s="35" t="str">
        <x:v>web/src/lib/components/records/ApplicationDetail.svelte</x:v>
      </x:c>
      <x:c r="D141" s="35" t="str">
        <x:v>web/src/lib/components/records/ApplicationDetail.svelte</x:v>
      </x:c>
      <x:c r="E141" s="32" t="n">
        <x:v>1235</x:v>
      </x:c>
      <x:c r="F141" s="20" t="str">
        <x:v>text</x:v>
      </x:c>
      <x:c r="G141" s="35" t="str">
        <x:v>application-fee-amount-input</x:v>
      </x:c>
      <x:c r="H141" s="35" t="str">
        <x:v>0.00</x:v>
      </x:c>
      <x:c r="I141" s="20" t="str">
        <x:v>Property Manager</x:v>
      </x:c>
      <x:c r="J141" s="23" t="n">
        <x:v>46450</x:v>
      </x:c>
      <x:c r="K141" s="35" t="str">
        <x:v>valid non-default; boundary/format value; blank/null when optional; invalid value when constrained</x:v>
      </x:c>
      <x:c r="L141" s="35" t="str">
        <x:v>Save succeeds; reload shows the exact normalized value; other client reads it where supported; edit persists; validation rejects invalid input without partial mutation.</x:v>
      </x:c>
    </x:row>
    <x:row r="142">
      <x:c r="A142" s="20" t="str">
        <x:v>FLD-0139</x:v>
      </x:c>
      <x:c r="B142" s="20" t="str">
        <x:v>Web</x:v>
      </x:c>
      <x:c r="C142" s="35" t="str">
        <x:v>web/src/lib/components/records/ApplicationDetail.svelte</x:v>
      </x:c>
      <x:c r="D142" s="35" t="str">
        <x:v>web/src/lib/components/records/ApplicationDetail.svelte</x:v>
      </x:c>
      <x:c r="E142" s="32" t="n">
        <x:v>1247</x:v>
      </x:c>
      <x:c r="F142" s="20" t="str">
        <x:v>input</x:v>
      </x:c>
      <x:c r="G142" s="35" t="str">
        <x:v>application-fee-method-input</x:v>
      </x:c>
      <x:c r="H142" s="35" t="str">
        <x:v>e.g. Card, Cash, Check</x:v>
      </x:c>
      <x:c r="I142" s="20" t="str">
        <x:v>Property Manager</x:v>
      </x:c>
      <x:c r="J142" s="23" t="n">
        <x:v>46450</x:v>
      </x:c>
      <x:c r="K142" s="35" t="str">
        <x:v>valid non-default; boundary/format value; blank/null when optional; invalid value when constrained</x:v>
      </x:c>
      <x:c r="L142" s="35" t="str">
        <x:v>Save succeeds; reload shows the exact normalized value; other client reads it where supported; edit persists; validation rejects invalid input without partial mutation.</x:v>
      </x:c>
    </x:row>
    <x:row r="143">
      <x:c r="A143" s="20" t="str">
        <x:v>FLD-0140</x:v>
      </x:c>
      <x:c r="B143" s="20" t="str">
        <x:v>Web</x:v>
      </x:c>
      <x:c r="C143" s="35" t="str">
        <x:v>web/src/lib/components/records/ExpenseDetail.svelte</x:v>
      </x:c>
      <x:c r="D143" s="35" t="str">
        <x:v>web/src/lib/components/records/ExpenseDetail.svelte</x:v>
      </x:c>
      <x:c r="E143" s="32" t="n">
        <x:v>557</x:v>
      </x:c>
      <x:c r="F143" s="20" t="str">
        <x:v>checkbox</x:v>
      </x:c>
      <x:c r="G143" s="35" t="str">
        <x:v>expense-detail-billable-input</x:v>
      </x:c>
      <x:c r="H143" s="35" t="str">
        <x:v>Billable to owner</x:v>
      </x:c>
      <x:c r="I143" s="20" t="str">
        <x:v>Property Manager</x:v>
      </x:c>
      <x:c r="J143" s="23" t="n">
        <x:v>46450</x:v>
      </x:c>
      <x:c r="K143" s="35" t="str">
        <x:v>valid non-default; boundary/format value; blank/null when optional; invalid value when constrained</x:v>
      </x:c>
      <x:c r="L143" s="35" t="str">
        <x:v>Save succeeds; reload shows the exact normalized value; other client reads it where supported; edit persists; validation rejects invalid input without partial mutation.</x:v>
      </x:c>
    </x:row>
    <x:row r="144">
      <x:c r="A144" s="20" t="str">
        <x:v>FLD-0141</x:v>
      </x:c>
      <x:c r="B144" s="20" t="str">
        <x:v>Web</x:v>
      </x:c>
      <x:c r="C144" s="35" t="str">
        <x:v>web/src/lib/components/records/ExpenseDetail.svelte</x:v>
      </x:c>
      <x:c r="D144" s="35" t="str">
        <x:v>web/src/lib/components/records/ExpenseDetail.svelte</x:v>
      </x:c>
      <x:c r="E144" s="32" t="n">
        <x:v>662</x:v>
      </x:c>
      <x:c r="F144" s="20" t="str">
        <x:v>text</x:v>
      </x:c>
      <x:c r="G144" s="35" t="str">
        <x:v>expense-detail-line-item-description-{i}</x:v>
      </x:c>
      <x:c r="H144" s="35" t="str">
        <x:v>Description</x:v>
      </x:c>
      <x:c r="I144" s="20" t="str">
        <x:v>Property Manager</x:v>
      </x:c>
      <x:c r="J144" s="23" t="n">
        <x:v>46451</x:v>
      </x:c>
      <x:c r="K144" s="35" t="str">
        <x:v>valid non-default; boundary/format value; blank/null when optional; invalid value when constrained</x:v>
      </x:c>
      <x:c r="L144" s="35" t="str">
        <x:v>Save succeeds; reload shows the exact normalized value; other client reads it where supported; edit persists; validation rejects invalid input without partial mutation.</x:v>
      </x:c>
    </x:row>
    <x:row r="145">
      <x:c r="A145" s="20" t="str">
        <x:v>FLD-0142</x:v>
      </x:c>
      <x:c r="B145" s="20" t="str">
        <x:v>Web</x:v>
      </x:c>
      <x:c r="C145" s="35" t="str">
        <x:v>web/src/lib/components/records/ExpenseDetail.svelte</x:v>
      </x:c>
      <x:c r="D145" s="35" t="str">
        <x:v>web/src/lib/components/records/ExpenseDetail.svelte</x:v>
      </x:c>
      <x:c r="E145" s="32" t="n">
        <x:v>671</x:v>
      </x:c>
      <x:c r="F145" s="20" t="str">
        <x:v>text</x:v>
      </x:c>
      <x:c r="G145" s="35" t="str">
        <x:v>expense-detail-line-item-quantity-{i}</x:v>
      </x:c>
      <x:c r="H145" s="35" t="str"/>
      <x:c r="I145" s="20" t="str">
        <x:v>Property Manager</x:v>
      </x:c>
      <x:c r="J145" s="23" t="n">
        <x:v>46451</x:v>
      </x:c>
      <x:c r="K145" s="35" t="str">
        <x:v>valid non-default; boundary/format value; blank/null when optional; invalid value when constrained</x:v>
      </x:c>
      <x:c r="L145" s="35" t="str">
        <x:v>Save succeeds; reload shows the exact normalized value; other client reads it where supported; edit persists; validation rejects invalid input without partial mutation.</x:v>
      </x:c>
    </x:row>
    <x:row r="146">
      <x:c r="A146" s="20" t="str">
        <x:v>FLD-0143</x:v>
      </x:c>
      <x:c r="B146" s="20" t="str">
        <x:v>Web</x:v>
      </x:c>
      <x:c r="C146" s="35" t="str">
        <x:v>web/src/lib/components/records/ExpenseDetail.svelte</x:v>
      </x:c>
      <x:c r="D146" s="35" t="str">
        <x:v>web/src/lib/components/records/ExpenseDetail.svelte</x:v>
      </x:c>
      <x:c r="E146" s="32" t="n">
        <x:v>681</x:v>
      </x:c>
      <x:c r="F146" s="20" t="str">
        <x:v>text</x:v>
      </x:c>
      <x:c r="G146" s="35" t="str">
        <x:v>expense-detail-line-item-unit-price-{i}</x:v>
      </x:c>
      <x:c r="H146" s="35" t="str"/>
      <x:c r="I146" s="20" t="str">
        <x:v>Property Manager</x:v>
      </x:c>
      <x:c r="J146" s="23" t="n">
        <x:v>46451</x:v>
      </x:c>
      <x:c r="K146" s="35" t="str">
        <x:v>valid non-default; boundary/format value; blank/null when optional; invalid value when constrained</x:v>
      </x:c>
      <x:c r="L146" s="35" t="str">
        <x:v>Save succeeds; reload shows the exact normalized value; other client reads it where supported; edit persists; validation rejects invalid input without partial mutation.</x:v>
      </x:c>
    </x:row>
    <x:row r="147">
      <x:c r="A147" s="20" t="str">
        <x:v>FLD-0144</x:v>
      </x:c>
      <x:c r="B147" s="20" t="str">
        <x:v>Web</x:v>
      </x:c>
      <x:c r="C147" s="35" t="str">
        <x:v>web/src/lib/components/records/ExpenseDetail.svelte</x:v>
      </x:c>
      <x:c r="D147" s="35" t="str">
        <x:v>web/src/lib/components/records/ExpenseDetail.svelte</x:v>
      </x:c>
      <x:c r="E147" s="32" t="n">
        <x:v>691</x:v>
      </x:c>
      <x:c r="F147" s="20" t="str">
        <x:v>text</x:v>
      </x:c>
      <x:c r="G147" s="35" t="str">
        <x:v>expense-detail-line-item-amount-{i}</x:v>
      </x:c>
      <x:c r="H147" s="35" t="str"/>
      <x:c r="I147" s="20" t="str">
        <x:v>Property Manager</x:v>
      </x:c>
      <x:c r="J147" s="23" t="n">
        <x:v>46451</x:v>
      </x:c>
      <x:c r="K147" s="35" t="str">
        <x:v>valid non-default; boundary/format value; blank/null when optional; invalid value when constrained</x:v>
      </x:c>
      <x:c r="L147" s="35" t="str">
        <x:v>Save succeeds; reload shows the exact normalized value; other client reads it where supported; edit persists; validation rejects invalid input without partial mutation.</x:v>
      </x:c>
    </x:row>
    <x:row r="148">
      <x:c r="A148" s="20" t="str">
        <x:v>FLD-0145</x:v>
      </x:c>
      <x:c r="B148" s="20" t="str">
        <x:v>Web</x:v>
      </x:c>
      <x:c r="C148" s="35" t="str">
        <x:v>web/src/lib/components/records/PaymentDetail.svelte</x:v>
      </x:c>
      <x:c r="D148" s="35" t="str">
        <x:v>web/src/lib/components/records/PaymentDetail.svelte</x:v>
      </x:c>
      <x:c r="E148" s="32" t="n">
        <x:v>166</x:v>
      </x:c>
      <x:c r="F148" s="20" t="str">
        <x:v>input</x:v>
      </x:c>
      <x:c r="G148" s="35" t="str">
        <x:v>correction.paymentMethodSummary</x:v>
      </x:c>
      <x:c r="H148" s="35" t="str">
        <x:v>Correction date</x:v>
      </x:c>
      <x:c r="I148" s="20" t="str">
        <x:v>Property Manager</x:v>
      </x:c>
      <x:c r="J148" s="23" t="n">
        <x:v>46451</x:v>
      </x:c>
      <x:c r="K148" s="35" t="str">
        <x:v>valid non-default; boundary/format value; blank/null when optional; invalid value when constrained</x:v>
      </x:c>
      <x:c r="L148" s="35" t="str">
        <x:v>Save succeeds; reload shows the exact normalized value; other client reads it where supported; edit persists; validation rejects invalid input without partial mutation.</x:v>
      </x:c>
    </x:row>
    <x:row r="149">
      <x:c r="A149" s="20" t="str">
        <x:v>FLD-0146</x:v>
      </x:c>
      <x:c r="B149" s="20" t="str">
        <x:v>Web</x:v>
      </x:c>
      <x:c r="C149" s="35" t="str">
        <x:v>web/src/lib/components/records/PaymentDetail.svelte</x:v>
      </x:c>
      <x:c r="D149" s="35" t="str">
        <x:v>web/src/lib/components/records/PaymentDetail.svelte</x:v>
      </x:c>
      <x:c r="E149" s="32" t="n">
        <x:v>167</x:v>
      </x:c>
      <x:c r="F149" s="20" t="str">
        <x:v>input</x:v>
      </x:c>
      <x:c r="G149" s="35" t="str">
        <x:v>correction.reason</x:v>
      </x:c>
      <x:c r="H149" s="35" t="str">
        <x:v>Payment method</x:v>
      </x:c>
      <x:c r="I149" s="20" t="str">
        <x:v>Property Manager</x:v>
      </x:c>
      <x:c r="J149" s="23" t="n">
        <x:v>46454</x:v>
      </x:c>
      <x:c r="K149" s="35" t="str">
        <x:v>valid non-default; boundary/format value; blank/null when optional; invalid value when constrained</x:v>
      </x:c>
      <x:c r="L149" s="35" t="str">
        <x:v>Save succeeds; reload shows the exact normalized value; other client reads it where supported; edit persists; validation rejects invalid input without partial mutation.</x:v>
      </x:c>
    </x:row>
    <x:row r="150">
      <x:c r="A150" s="20" t="str">
        <x:v>FLD-0147</x:v>
      </x:c>
      <x:c r="B150" s="20" t="str">
        <x:v>Web</x:v>
      </x:c>
      <x:c r="C150" s="35" t="str">
        <x:v>web/src/lib/components/records/PaymentDetail.svelte</x:v>
      </x:c>
      <x:c r="D150" s="35" t="str">
        <x:v>web/src/lib/components/records/PaymentDetail.svelte</x:v>
      </x:c>
      <x:c r="E150" s="32" t="n">
        <x:v>168</x:v>
      </x:c>
      <x:c r="F150" s="20" t="str">
        <x:v>input</x:v>
      </x:c>
      <x:c r="G150" s="35" t="str">
        <x:v>correction.externalReference</x:v>
      </x:c>
      <x:c r="H150" s="35" t="str">
        <x:v>Reason</x:v>
      </x:c>
      <x:c r="I150" s="20" t="str">
        <x:v>Property Manager</x:v>
      </x:c>
      <x:c r="J150" s="23" t="n">
        <x:v>46454</x:v>
      </x:c>
      <x:c r="K150" s="35" t="str">
        <x:v>valid non-default; boundary/format value; blank/null when optional; invalid value when constrained</x:v>
      </x:c>
      <x:c r="L150" s="35" t="str">
        <x:v>Save succeeds; reload shows the exact normalized value; other client reads it where supported; edit persists; validation rejects invalid input without partial mutation.</x:v>
      </x:c>
    </x:row>
    <x:row r="151">
      <x:c r="A151" s="20" t="str">
        <x:v>FLD-0148</x:v>
      </x:c>
      <x:c r="B151" s="20" t="str">
        <x:v>Web</x:v>
      </x:c>
      <x:c r="C151" s="35" t="str">
        <x:v>web/src/lib/components/records/WorkOrderDetail.svelte</x:v>
      </x:c>
      <x:c r="D151" s="35" t="str">
        <x:v>web/src/lib/components/records/WorkOrderDetail.svelte</x:v>
      </x:c>
      <x:c r="E151" s="32" t="n">
        <x:v>461</x:v>
      </x:c>
      <x:c r="F151" s="20" t="str">
        <x:v>select</x:v>
      </x:c>
      <x:c r="G151" s="35" t="str">
        <x:v>selectedCandidateId</x:v>
      </x:c>
      <x:c r="H151" s="35" t="str"/>
      <x:c r="I151" s="20" t="str">
        <x:v>Property Manager</x:v>
      </x:c>
      <x:c r="J151" s="23" t="n">
        <x:v>46454</x:v>
      </x:c>
      <x:c r="K151" s="35" t="str">
        <x:v>valid non-default; boundary/format value; blank/null when optional; invalid value when constrained</x:v>
      </x:c>
      <x:c r="L151" s="35" t="str">
        <x:v>Save succeeds; reload shows the exact normalized value; other client reads it where supported; edit persists; validation rejects invalid input without partial mutation.</x:v>
      </x:c>
    </x:row>
    <x:row r="152">
      <x:c r="A152" s="20" t="str">
        <x:v>FLD-0149</x:v>
      </x:c>
      <x:c r="B152" s="20" t="str">
        <x:v>Web</x:v>
      </x:c>
      <x:c r="C152" s="35" t="str">
        <x:v>web/src/lib/components/records/WorkOrderDetail.svelte</x:v>
      </x:c>
      <x:c r="D152" s="35" t="str">
        <x:v>web/src/lib/components/records/WorkOrderDetail.svelte</x:v>
      </x:c>
      <x:c r="E152" s="32" t="n">
        <x:v>469</x:v>
      </x:c>
      <x:c r="F152" s="20" t="str">
        <x:v>input</x:v>
      </x:c>
      <x:c r="G152" s="35" t="str">
        <x:v>assignmentReason</x:v>
      </x:c>
      <x:c r="H152" s="35" t="str">
        <x:v>Technician Choose a technician</x:v>
      </x:c>
      <x:c r="I152" s="20" t="str">
        <x:v>Property Manager</x:v>
      </x:c>
      <x:c r="J152" s="23" t="n">
        <x:v>46454</x:v>
      </x:c>
      <x:c r="K152" s="35" t="str">
        <x:v>valid non-default; boundary/format value; blank/null when optional; invalid value when constrained</x:v>
      </x:c>
      <x:c r="L152" s="35" t="str">
        <x:v>Save succeeds; reload shows the exact normalized value; other client reads it where supported; edit persists; validation rejects invalid input without partial mutation.</x:v>
      </x:c>
    </x:row>
    <x:row r="153">
      <x:c r="A153" s="20" t="str">
        <x:v>FLD-0150</x:v>
      </x:c>
      <x:c r="B153" s="20" t="str">
        <x:v>Web</x:v>
      </x:c>
      <x:c r="C153" s="35" t="str">
        <x:v>web/src/lib/components/records/WorkOrderDetail.svelte</x:v>
      </x:c>
      <x:c r="D153" s="35" t="str">
        <x:v>web/src/lib/components/records/WorkOrderDetail.svelte</x:v>
      </x:c>
      <x:c r="E153" s="32" t="n">
        <x:v>725</x:v>
      </x:c>
      <x:c r="F153" s="20" t="str">
        <x:v>textarea</x:v>
      </x:c>
      <x:c r="G153" s="35" t="str">
        <x:v>status-note</x:v>
      </x:c>
      <x:c r="H153" s="35" t="str">
        <x:v>Note (optional)</x:v>
      </x:c>
      <x:c r="I153" s="20" t="str">
        <x:v>Property Manager</x:v>
      </x:c>
      <x:c r="J153" s="23" t="n">
        <x:v>46455</x:v>
      </x:c>
      <x:c r="K153" s="35" t="str">
        <x:v>valid non-default; boundary/format value; blank/null when optional; invalid value when constrained</x:v>
      </x:c>
      <x:c r="L153" s="35" t="str">
        <x:v>Save succeeds; reload shows the exact normalized value; other client reads it where supported; edit persists; validation rejects invalid input without partial mutation.</x:v>
      </x:c>
    </x:row>
    <x:row r="154">
      <x:c r="A154" s="20" t="str">
        <x:v>FLD-0151</x:v>
      </x:c>
      <x:c r="B154" s="20" t="str">
        <x:v>Web</x:v>
      </x:c>
      <x:c r="C154" s="35" t="str">
        <x:v>web/src/lib/components/records/WorkOrderDetail.svelte</x:v>
      </x:c>
      <x:c r="D154" s="35" t="str">
        <x:v>web/src/lib/components/records/WorkOrderDetail.svelte</x:v>
      </x:c>
      <x:c r="E154" s="32" t="n">
        <x:v>793</x:v>
      </x:c>
      <x:c r="F154" s="20" t="str">
        <x:v>textarea</x:v>
      </x:c>
      <x:c r="G154" s="35" t="str">
        <x:v>dispatch-note</x:v>
      </x:c>
      <x:c r="H154" s="35" t="str">
        <x:v>Note for the vendor (optional)</x:v>
      </x:c>
      <x:c r="I154" s="20" t="str">
        <x:v>Property Manager</x:v>
      </x:c>
      <x:c r="J154" s="23" t="n">
        <x:v>46455</x:v>
      </x:c>
      <x:c r="K154" s="35" t="str">
        <x:v>valid non-default; boundary/format value; blank/null when optional; invalid value when constrained</x:v>
      </x:c>
      <x:c r="L154" s="35" t="str">
        <x:v>Save succeeds; reload shows the exact normalized value; other client reads it where supported; edit persists; validation rejects invalid input without partial mutation.</x:v>
      </x:c>
    </x:row>
    <x:row r="155">
      <x:c r="A155" s="20" t="str">
        <x:v>FLD-0152</x:v>
      </x:c>
      <x:c r="B155" s="20" t="str">
        <x:v>Web</x:v>
      </x:c>
      <x:c r="C155" s="35" t="str">
        <x:v>web/src/lib/components/records/WorkOrderDetail.svelte</x:v>
      </x:c>
      <x:c r="D155" s="35" t="str">
        <x:v>web/src/lib/components/records/WorkOrderDetail.svelte</x:v>
      </x:c>
      <x:c r="E155" s="32" t="n">
        <x:v>836</x:v>
      </x:c>
      <x:c r="F155" s="20" t="str">
        <x:v>textarea</x:v>
      </x:c>
      <x:c r="G155" s="35" t="str">
        <x:v>rate-comment</x:v>
      </x:c>
      <x:c r="H155" s="35" t="str">
        <x:v>Comment (optional)</x:v>
      </x:c>
      <x:c r="I155" s="20" t="str">
        <x:v>Property Manager</x:v>
      </x:c>
      <x:c r="J155" s="23" t="n">
        <x:v>46455</x:v>
      </x:c>
      <x:c r="K155" s="35" t="str">
        <x:v>valid non-default; boundary/format value; blank/null when optional; invalid value when constrained</x:v>
      </x:c>
      <x:c r="L155" s="35" t="str">
        <x:v>Save succeeds; reload shows the exact normalized value; other client reads it where supported; edit persists; validation rejects invalid input without partial mutation.</x:v>
      </x:c>
    </x:row>
    <x:row r="156">
      <x:c r="A156" s="20" t="str">
        <x:v>FLD-0153</x:v>
      </x:c>
      <x:c r="B156" s="20" t="str">
        <x:v>Web</x:v>
      </x:c>
      <x:c r="C156" s="35" t="str">
        <x:v>web/src/lib/components/scan/LeaseScanSignatureChoice.svelte</x:v>
      </x:c>
      <x:c r="D156" s="35" t="str">
        <x:v>web/src/lib/components/scan/LeaseScanSignatureChoice.svelte</x:v>
      </x:c>
      <x:c r="E156" s="32" t="n">
        <x:v>106</x:v>
      </x:c>
      <x:c r="F156" s="20" t="str">
        <x:v>radio</x:v>
      </x:c>
      <x:c r="G156" s="35" t="str">
        <x:v>lease-scan-review-disposition</x:v>
      </x:c>
      <x:c r="H156" s="35" t="str"/>
      <x:c r="I156" s="20" t="str">
        <x:v>Leasing Agent</x:v>
      </x:c>
      <x:c r="J156" s="23" t="n">
        <x:v>46455</x:v>
      </x:c>
      <x:c r="K156" s="35" t="str">
        <x:v>valid non-default; boundary/format value; blank/null when optional; invalid value when constrained</x:v>
      </x:c>
      <x:c r="L156" s="35" t="str">
        <x:v>Save succeeds; reload shows the exact normalized value; other client reads it where supported; edit persists; validation rejects invalid input without partial mutation.</x:v>
      </x:c>
    </x:row>
    <x:row r="157">
      <x:c r="A157" s="20" t="str">
        <x:v>FLD-0154</x:v>
      </x:c>
      <x:c r="B157" s="20" t="str">
        <x:v>Web</x:v>
      </x:c>
      <x:c r="C157" s="35" t="str">
        <x:v>web/src/lib/components/scan/LeaseScanSignatureChoice.svelte</x:v>
      </x:c>
      <x:c r="D157" s="35" t="str">
        <x:v>web/src/lib/components/scan/LeaseScanSignatureChoice.svelte</x:v>
      </x:c>
      <x:c r="E157" s="32" t="n">
        <x:v>147</x:v>
      </x:c>
      <x:c r="F157" s="20" t="str">
        <x:v>radio</x:v>
      </x:c>
      <x:c r="G157" s="35" t="str">
        <x:v>lease-scan-template-source</x:v>
      </x:c>
      <x:c r="H157" s="35" t="str"/>
      <x:c r="I157" s="20" t="str">
        <x:v>Leasing Agent</x:v>
      </x:c>
      <x:c r="J157" s="23" t="n">
        <x:v>46455</x:v>
      </x:c>
      <x:c r="K157" s="35" t="str">
        <x:v>valid non-default; boundary/format value; blank/null when optional; invalid value when constrained</x:v>
      </x:c>
      <x:c r="L157" s="35" t="str">
        <x:v>Save succeeds; reload shows the exact normalized value; other client reads it where supported; edit persists; validation rejects invalid input without partial mutation.</x:v>
      </x:c>
    </x:row>
    <x:row r="158">
      <x:c r="A158" s="20" t="str">
        <x:v>FLD-0155</x:v>
      </x:c>
      <x:c r="B158" s="20" t="str">
        <x:v>Web</x:v>
      </x:c>
      <x:c r="C158" s="35" t="str">
        <x:v>web/src/lib/components/scan/LeaseScanSignatureChoice.svelte</x:v>
      </x:c>
      <x:c r="D158" s="35" t="str">
        <x:v>web/src/lib/components/scan/LeaseScanSignatureChoice.svelte</x:v>
      </x:c>
      <x:c r="E158" s="32" t="n">
        <x:v>159</x:v>
      </x:c>
      <x:c r="F158" s="20" t="str">
        <x:v>input</x:v>
      </x:c>
      <x:c r="G158" s="35" t="str">
        <x:v>lease-scan-template-search</x:v>
      </x:c>
      <x:c r="H158" s="35" t="str">
        <x:v>Search active lease templates</x:v>
      </x:c>
      <x:c r="I158" s="20" t="str">
        <x:v>Leasing Agent</x:v>
      </x:c>
      <x:c r="J158" s="23" t="n">
        <x:v>46456</x:v>
      </x:c>
      <x:c r="K158" s="35" t="str">
        <x:v>valid non-default; boundary/format value; blank/null when optional; invalid value when constrained</x:v>
      </x:c>
      <x:c r="L158" s="35" t="str">
        <x:v>Save succeeds; reload shows the exact normalized value; other client reads it where supported; edit persists; validation rejects invalid input without partial mutation.</x:v>
      </x:c>
    </x:row>
    <x:row r="159">
      <x:c r="A159" s="20" t="str">
        <x:v>FLD-0156</x:v>
      </x:c>
      <x:c r="B159" s="20" t="str">
        <x:v>Web</x:v>
      </x:c>
      <x:c r="C159" s="35" t="str">
        <x:v>web/src/lib/components/scan/LeaseScanSignatureChoice.svelte</x:v>
      </x:c>
      <x:c r="D159" s="35" t="str">
        <x:v>web/src/lib/components/scan/LeaseScanSignatureChoice.svelte</x:v>
      </x:c>
      <x:c r="E159" s="32" t="n">
        <x:v>170</x:v>
      </x:c>
      <x:c r="F159" s="20" t="str">
        <x:v>single</x:v>
      </x:c>
      <x:c r="G159" s="35" t="str">
        <x:v>documentTemplateId</x:v>
      </x:c>
      <x:c r="H159" s="35" t="str"/>
      <x:c r="I159" s="20" t="str">
        <x:v>Leasing Agent</x:v>
      </x:c>
      <x:c r="J159" s="23" t="n">
        <x:v>46456</x:v>
      </x:c>
      <x:c r="K159" s="35" t="str">
        <x:v>valid non-default; boundary/format value; blank/null when optional; invalid value when constrained</x:v>
      </x:c>
      <x:c r="L159" s="35" t="str">
        <x:v>Save succeeds; reload shows the exact normalized value; other client reads it where supported; edit persists; validation rejects invalid input without partial mutation.</x:v>
      </x:c>
    </x:row>
    <x:row r="160">
      <x:c r="A160" s="20" t="str">
        <x:v>FLD-0157</x:v>
      </x:c>
      <x:c r="B160" s="20" t="str">
        <x:v>Web</x:v>
      </x:c>
      <x:c r="C160" s="35" t="str">
        <x:v>web/src/lib/components/scan/LeaseScanSignatureChoice.svelte</x:v>
      </x:c>
      <x:c r="D160" s="35" t="str">
        <x:v>web/src/lib/components/scan/LeaseScanSignatureChoice.svelte</x:v>
      </x:c>
      <x:c r="E160" s="32" t="n">
        <x:v>171</x:v>
      </x:c>
      <x:c r="F160" s="20" t="str">
        <x:v>select</x:v>
      </x:c>
      <x:c r="G160" s="35" t="str">
        <x:v>lease-scan-template-select</x:v>
      </x:c>
      <x:c r="H160" s="35" t="str"/>
      <x:c r="I160" s="20" t="str">
        <x:v>Leasing Agent</x:v>
      </x:c>
      <x:c r="J160" s="23" t="n">
        <x:v>46456</x:v>
      </x:c>
      <x:c r="K160" s="35" t="str">
        <x:v>valid non-default; boundary/format value; blank/null when optional; invalid value when constrained</x:v>
      </x:c>
      <x:c r="L160" s="35" t="str">
        <x:v>Save succeeds; reload shows the exact normalized value; other client reads it where supported; edit persists; validation rejects invalid input without partial mutation.</x:v>
      </x:c>
    </x:row>
    <x:row r="161">
      <x:c r="A161" s="20" t="str">
        <x:v>FLD-0158</x:v>
      </x:c>
      <x:c r="B161" s="20" t="str">
        <x:v>Web</x:v>
      </x:c>
      <x:c r="C161" s="35" t="str">
        <x:v>web/src/lib/components/scan/LeaseScanSignatureChoice.svelte</x:v>
      </x:c>
      <x:c r="D161" s="35" t="str">
        <x:v>web/src/lib/components/scan/LeaseScanSignatureChoice.svelte</x:v>
      </x:c>
      <x:c r="E161" s="32" t="n">
        <x:v>174</x:v>
      </x:c>
      <x:c r="F161" s="20" t="str">
        <x:v>select</x:v>
      </x:c>
      <x:c r="G161" s="35" t="str">
        <x:v>Select-8</x:v>
      </x:c>
      <x:c r="H161" s="35" t="str"/>
      <x:c r="I161" s="20" t="str">
        <x:v>Leasing Agent</x:v>
      </x:c>
      <x:c r="J161" s="23" t="n">
        <x:v>46456</x:v>
      </x:c>
      <x:c r="K161" s="35" t="str">
        <x:v>valid non-default; boundary/format value; blank/null when optional; invalid value when constrained</x:v>
      </x:c>
      <x:c r="L161" s="35" t="str">
        <x:v>Save succeeds; reload shows the exact normalized value; other client reads it where supported; edit persists; validation rejects invalid input without partial mutation.</x:v>
      </x:c>
    </x:row>
    <x:row r="162">
      <x:c r="A162" s="20" t="str">
        <x:v>FLD-0159</x:v>
      </x:c>
      <x:c r="B162" s="20" t="str">
        <x:v>Web</x:v>
      </x:c>
      <x:c r="C162" s="35" t="str">
        <x:v>web/src/lib/components/scan/LeaseScanSignatureChoice.svelte</x:v>
      </x:c>
      <x:c r="D162" s="35" t="str">
        <x:v>web/src/lib/components/scan/LeaseScanSignatureChoice.svelte</x:v>
      </x:c>
      <x:c r="E162" s="32" t="n">
        <x:v>176</x:v>
      </x:c>
      <x:c r="F162" s="20" t="str">
        <x:v>select</x:v>
      </x:c>
      <x:c r="G162" s="35" t="str">
        <x:v>Select-9</x:v>
      </x:c>
      <x:c r="H162" s="35" t="str"/>
      <x:c r="I162" s="20" t="str">
        <x:v>Leasing Agent</x:v>
      </x:c>
      <x:c r="J162" s="23" t="n">
        <x:v>46457</x:v>
      </x:c>
      <x:c r="K162" s="35" t="str">
        <x:v>valid non-default; boundary/format value; blank/null when optional; invalid value when constrained</x:v>
      </x:c>
      <x:c r="L162" s="35" t="str">
        <x:v>Save succeeds; reload shows the exact normalized value; other client reads it where supported; edit persists; validation rejects invalid input without partial mutation.</x:v>
      </x:c>
    </x:row>
    <x:row r="163">
      <x:c r="A163" s="20" t="str">
        <x:v>FLD-0160</x:v>
      </x:c>
      <x:c r="B163" s="20" t="str">
        <x:v>Web</x:v>
      </x:c>
      <x:c r="C163" s="35" t="str">
        <x:v>web/src/lib/components/shared/AddressAutocomplete.svelte</x:v>
      </x:c>
      <x:c r="D163" s="35" t="str">
        <x:v>web/src/lib/components/shared/AddressAutocomplete.svelte</x:v>
      </x:c>
      <x:c r="E163" s="32" t="n">
        <x:v>222</x:v>
      </x:c>
      <x:c r="F163" s="20" t="str">
        <x:v>text</x:v>
      </x:c>
      <x:c r="G163" s="35" t="str">
        <x:v>testid</x:v>
      </x:c>
      <x:c r="H163" s="35" t="str">
        <x:v>placeholder</x:v>
      </x:c>
      <x:c r="I163" s="20" t="str">
        <x:v>Property Manager</x:v>
      </x:c>
      <x:c r="J163" s="23" t="n">
        <x:v>46457</x:v>
      </x:c>
      <x:c r="K163" s="35" t="str">
        <x:v>valid non-default; boundary/format value; blank/null when optional; invalid value when constrained</x:v>
      </x:c>
      <x:c r="L163" s="35" t="str">
        <x:v>Save succeeds; reload shows the exact normalized value; other client reads it where supported; edit persists; validation rejects invalid input without partial mutation.</x:v>
      </x:c>
    </x:row>
    <x:row r="164">
      <x:c r="A164" s="20" t="str">
        <x:v>FLD-0161</x:v>
      </x:c>
      <x:c r="B164" s="20" t="str">
        <x:v>Web</x:v>
      </x:c>
      <x:c r="C164" s="35" t="str">
        <x:v>web/src/lib/components/shared/DatePicker.svelte</x:v>
      </x:c>
      <x:c r="D164" s="35" t="str">
        <x:v>web/src/lib/components/shared/DatePicker.svelte</x:v>
      </x:c>
      <x:c r="E164" s="32" t="n">
        <x:v>4</x:v>
      </x:c>
      <x:c r="F164" s="20" t="str">
        <x:v>date</x:v>
      </x:c>
      <x:c r="G164" s="35" t="str">
        <x:v>input-1</x:v>
      </x:c>
      <x:c r="H164" s="35" t="str"/>
      <x:c r="I164" s="20" t="str">
        <x:v>Property Manager</x:v>
      </x:c>
      <x:c r="J164" s="23" t="n">
        <x:v>46457</x:v>
      </x:c>
      <x:c r="K164" s="35" t="str">
        <x:v>valid non-default; boundary/format value; blank/null when optional; invalid value when constrained</x:v>
      </x:c>
      <x:c r="L164" s="35" t="str">
        <x:v>Save succeeds; reload shows the exact normalized value; other client reads it where supported; edit persists; validation rejects invalid input without partial mutation.</x:v>
      </x:c>
    </x:row>
    <x:row r="165">
      <x:c r="A165" s="20" t="str">
        <x:v>FLD-0162</x:v>
      </x:c>
      <x:c r="B165" s="20" t="str">
        <x:v>Web</x:v>
      </x:c>
      <x:c r="C165" s="35" t="str">
        <x:v>web/src/lib/components/shared/DatePicker.svelte</x:v>
      </x:c>
      <x:c r="D165" s="35" t="str">
        <x:v>web/src/lib/components/shared/DatePicker.svelte</x:v>
      </x:c>
      <x:c r="E165" s="32" t="n">
        <x:v>206</x:v>
      </x:c>
      <x:c r="F165" s="20" t="str">
        <x:v>text</x:v>
      </x:c>
      <x:c r="G165" s="35" t="str">
        <x:v>testid</x:v>
      </x:c>
      <x:c r="H165" s="35" t="str"/>
      <x:c r="I165" s="20" t="str">
        <x:v>Property Manager</x:v>
      </x:c>
      <x:c r="J165" s="23" t="n">
        <x:v>46457</x:v>
      </x:c>
      <x:c r="K165" s="35" t="str">
        <x:v>valid non-default; boundary/format value; blank/null when optional; invalid value when constrained</x:v>
      </x:c>
      <x:c r="L165" s="35" t="str">
        <x:v>Save succeeds; reload shows the exact normalized value; other client reads it where supported; edit persists; validation rejects invalid input without partial mutation.</x:v>
      </x:c>
    </x:row>
    <x:row r="166">
      <x:c r="A166" s="20" t="str">
        <x:v>FLD-0163</x:v>
      </x:c>
      <x:c r="B166" s="20" t="str">
        <x:v>Web</x:v>
      </x:c>
      <x:c r="C166" s="35" t="str">
        <x:v>web/src/lib/components/shared/DateTimePicker.svelte</x:v>
      </x:c>
      <x:c r="D166" s="35" t="str">
        <x:v>web/src/lib/components/shared/DateTimePicker.svelte</x:v>
      </x:c>
      <x:c r="E166" s="32" t="n">
        <x:v>4</x:v>
      </x:c>
      <x:c r="F166" s="20" t="str">
        <x:v>time</x:v>
      </x:c>
      <x:c r="G166" s="35" t="str">
        <x:v>input-1</x:v>
      </x:c>
      <x:c r="H166" s="35" t="str"/>
      <x:c r="I166" s="20" t="str">
        <x:v>Property Manager</x:v>
      </x:c>
      <x:c r="J166" s="23" t="n">
        <x:v>46457</x:v>
      </x:c>
      <x:c r="K166" s="35" t="str">
        <x:v>valid non-default; boundary/format value; blank/null when optional; invalid value when constrained</x:v>
      </x:c>
      <x:c r="L166" s="35" t="str">
        <x:v>Save succeeds; reload shows the exact normalized value; other client reads it where supported; edit persists; validation rejects invalid input without partial mutation.</x:v>
      </x:c>
    </x:row>
    <x:row r="167">
      <x:c r="A167" s="20" t="str">
        <x:v>FLD-0164</x:v>
      </x:c>
      <x:c r="B167" s="20" t="str">
        <x:v>Web</x:v>
      </x:c>
      <x:c r="C167" s="35" t="str">
        <x:v>web/src/lib/components/shared/DateTimePicker.svelte</x:v>
      </x:c>
      <x:c r="D167" s="35" t="str">
        <x:v>web/src/lib/components/shared/DateTimePicker.svelte</x:v>
      </x:c>
      <x:c r="E167" s="32" t="n">
        <x:v>99</x:v>
      </x:c>
      <x:c r="F167" s="20" t="str">
        <x:v>time</x:v>
      </x:c>
      <x:c r="G167" s="35" t="str">
        <x:v>testid ? `${testid</x:v>
      </x:c>
      <x:c r="H167" s="35" t="str">
        <x:v>Time</x:v>
      </x:c>
      <x:c r="I167" s="20" t="str">
        <x:v>Property Manager</x:v>
      </x:c>
      <x:c r="J167" s="23" t="n">
        <x:v>46458</x:v>
      </x:c>
      <x:c r="K167" s="35" t="str">
        <x:v>valid non-default; boundary/format value; blank/null when optional; invalid value when constrained</x:v>
      </x:c>
      <x:c r="L167" s="35" t="str">
        <x:v>Save succeeds; reload shows the exact normalized value; other client reads it where supported; edit persists; validation rejects invalid input without partial mutation.</x:v>
      </x:c>
    </x:row>
    <x:row r="168">
      <x:c r="A168" s="20" t="str">
        <x:v>FLD-0165</x:v>
      </x:c>
      <x:c r="B168" s="20" t="str">
        <x:v>Web</x:v>
      </x:c>
      <x:c r="C168" s="35" t="str">
        <x:v>web/src/lib/components/shared/DocumentsPanel.svelte</x:v>
      </x:c>
      <x:c r="D168" s="35" t="str">
        <x:v>web/src/lib/components/shared/DocumentsPanel.svelte</x:v>
      </x:c>
      <x:c r="E168" s="32" t="n">
        <x:v>136</x:v>
      </x:c>
      <x:c r="F168" s="20" t="str">
        <x:v>file</x:v>
      </x:c>
      <x:c r="G168" s="35" t="str">
        <x:v>documents-file-input</x:v>
      </x:c>
      <x:c r="H168" s="35" t="str"/>
      <x:c r="I168" s="20" t="str">
        <x:v>Property Manager</x:v>
      </x:c>
      <x:c r="J168" s="23" t="n">
        <x:v>46458</x:v>
      </x:c>
      <x:c r="K168" s="35" t="str">
        <x:v>valid non-default; boundary/format value; blank/null when optional; invalid value when constrained</x:v>
      </x:c>
      <x:c r="L168" s="35" t="str">
        <x:v>Save succeeds; reload shows the exact normalized value; other client reads it where supported; edit persists; validation rejects invalid input without partial mutation.</x:v>
      </x:c>
    </x:row>
    <x:row r="169">
      <x:c r="A169" s="20" t="str">
        <x:v>FLD-0166</x:v>
      </x:c>
      <x:c r="B169" s="20" t="str">
        <x:v>Web</x:v>
      </x:c>
      <x:c r="C169" s="35" t="str">
        <x:v>web/src/lib/components/shared/InlineField.svelte</x:v>
      </x:c>
      <x:c r="D169" s="35" t="str">
        <x:v>web/src/lib/components/shared/InlineField.svelte</x:v>
      </x:c>
      <x:c r="E169" s="32" t="n">
        <x:v>144</x:v>
      </x:c>
      <x:c r="F169" s="20" t="str">
        <x:v>single</x:v>
      </x:c>
      <x:c r="G169" s="35" t="str">
        <x:v>Select-1</x:v>
      </x:c>
      <x:c r="H169" s="35" t="str"/>
      <x:c r="I169" s="20" t="str">
        <x:v>Property Manager</x:v>
      </x:c>
      <x:c r="J169" s="23" t="n">
        <x:v>46458</x:v>
      </x:c>
      <x:c r="K169" s="35" t="str">
        <x:v>valid non-default; boundary/format value; blank/null when optional; invalid value when constrained</x:v>
      </x:c>
      <x:c r="L169" s="35" t="str">
        <x:v>Save succeeds; reload shows the exact normalized value; other client reads it where supported; edit persists; validation rejects invalid input without partial mutation.</x:v>
      </x:c>
    </x:row>
    <x:row r="170">
      <x:c r="A170" s="20" t="str">
        <x:v>FLD-0167</x:v>
      </x:c>
      <x:c r="B170" s="20" t="str">
        <x:v>Web</x:v>
      </x:c>
      <x:c r="C170" s="35" t="str">
        <x:v>web/src/lib/components/shared/InlineField.svelte</x:v>
      </x:c>
      <x:c r="D170" s="35" t="str">
        <x:v>web/src/lib/components/shared/InlineField.svelte</x:v>
      </x:c>
      <x:c r="E170" s="32" t="n">
        <x:v>145</x:v>
      </x:c>
      <x:c r="F170" s="20" t="str">
        <x:v>select</x:v>
      </x:c>
      <x:c r="G170" s="35" t="str">
        <x:v>fieldId</x:v>
      </x:c>
      <x:c r="H170" s="35" t="str">
        <x:v>label</x:v>
      </x:c>
      <x:c r="I170" s="20" t="str">
        <x:v>Property Manager</x:v>
      </x:c>
      <x:c r="J170" s="23" t="n">
        <x:v>46458</x:v>
      </x:c>
      <x:c r="K170" s="35" t="str">
        <x:v>valid non-default; boundary/format value; blank/null when optional; invalid value when constrained</x:v>
      </x:c>
      <x:c r="L170" s="35" t="str">
        <x:v>Save succeeds; reload shows the exact normalized value; other client reads it where supported; edit persists; validation rejects invalid input without partial mutation.</x:v>
      </x:c>
    </x:row>
    <x:row r="171">
      <x:c r="A171" s="20" t="str">
        <x:v>FLD-0168</x:v>
      </x:c>
      <x:c r="B171" s="20" t="str">
        <x:v>Web</x:v>
      </x:c>
      <x:c r="C171" s="35" t="str">
        <x:v>web/src/lib/components/shared/InlineField.svelte</x:v>
      </x:c>
      <x:c r="D171" s="35" t="str">
        <x:v>web/src/lib/components/shared/InlineField.svelte</x:v>
      </x:c>
      <x:c r="E171" s="32" t="n">
        <x:v>153</x:v>
      </x:c>
      <x:c r="F171" s="20" t="str">
        <x:v>select</x:v>
      </x:c>
      <x:c r="G171" s="35" t="str">
        <x:v>Select-3</x:v>
      </x:c>
      <x:c r="H171" s="35" t="str"/>
      <x:c r="I171" s="20" t="str">
        <x:v>Property Manager</x:v>
      </x:c>
      <x:c r="J171" s="23" t="n">
        <x:v>46461</x:v>
      </x:c>
      <x:c r="K171" s="35" t="str">
        <x:v>valid non-default; boundary/format value; blank/null when optional; invalid value when constrained</x:v>
      </x:c>
      <x:c r="L171" s="35" t="str">
        <x:v>Save succeeds; reload shows the exact normalized value; other client reads it where supported; edit persists; validation rejects invalid input without partial mutation.</x:v>
      </x:c>
    </x:row>
    <x:row r="172">
      <x:c r="A172" s="20" t="str">
        <x:v>FLD-0169</x:v>
      </x:c>
      <x:c r="B172" s="20" t="str">
        <x:v>Web</x:v>
      </x:c>
      <x:c r="C172" s="35" t="str">
        <x:v>web/src/lib/components/shared/InlineField.svelte</x:v>
      </x:c>
      <x:c r="D172" s="35" t="str">
        <x:v>web/src/lib/components/shared/InlineField.svelte</x:v>
      </x:c>
      <x:c r="E172" s="32" t="n">
        <x:v>155</x:v>
      </x:c>
      <x:c r="F172" s="20" t="str">
        <x:v>select</x:v>
      </x:c>
      <x:c r="G172" s="35" t="str">
        <x:v>Select-4</x:v>
      </x:c>
      <x:c r="H172" s="35" t="str"/>
      <x:c r="I172" s="20" t="str">
        <x:v>Property Manager</x:v>
      </x:c>
      <x:c r="J172" s="23" t="n">
        <x:v>46461</x:v>
      </x:c>
      <x:c r="K172" s="35" t="str">
        <x:v>valid non-default; boundary/format value; blank/null when optional; invalid value when constrained</x:v>
      </x:c>
      <x:c r="L172" s="35" t="str">
        <x:v>Save succeeds; reload shows the exact normalized value; other client reads it where supported; edit persists; validation rejects invalid input without partial mutation.</x:v>
      </x:c>
    </x:row>
    <x:row r="173">
      <x:c r="A173" s="20" t="str">
        <x:v>FLD-0170</x:v>
      </x:c>
      <x:c r="B173" s="20" t="str">
        <x:v>Web</x:v>
      </x:c>
      <x:c r="C173" s="35" t="str">
        <x:v>web/src/lib/components/shared/PortfolioSelector.svelte</x:v>
      </x:c>
      <x:c r="D173" s="35" t="str">
        <x:v>web/src/lib/components/shared/PortfolioSelector.svelte</x:v>
      </x:c>
      <x:c r="E173" s="32" t="n">
        <x:v>149</x:v>
      </x:c>
      <x:c r="F173" s="20" t="str">
        <x:v>select</x:v>
      </x:c>
      <x:c r="G173" s="35" t="str">
        <x:v>active-experience</x:v>
      </x:c>
      <x:c r="H173" s="35" t="str">
        <x:v>Current work area</x:v>
      </x:c>
      <x:c r="I173" s="20" t="str">
        <x:v>Property Manager</x:v>
      </x:c>
      <x:c r="J173" s="23" t="n">
        <x:v>46461</x:v>
      </x:c>
      <x:c r="K173" s="35" t="str">
        <x:v>valid non-default; boundary/format value; blank/null when optional; invalid value when constrained</x:v>
      </x:c>
      <x:c r="L173" s="35" t="str">
        <x:v>Save succeeds; reload shows the exact normalized value; other client reads it where supported; edit persists; validation rejects invalid input without partial mutation.</x:v>
      </x:c>
    </x:row>
    <x:row r="174">
      <x:c r="A174" s="20" t="str">
        <x:v>FLD-0171</x:v>
      </x:c>
      <x:c r="B174" s="20" t="str">
        <x:v>Web</x:v>
      </x:c>
      <x:c r="C174" s="35" t="str">
        <x:v>web/src/lib/components/shared/RemoteRecordSelect.svelte</x:v>
      </x:c>
      <x:c r="D174" s="35" t="str">
        <x:v>web/src/lib/components/shared/RemoteRecordSelect.svelte</x:v>
      </x:c>
      <x:c r="E174" s="32" t="n">
        <x:v>168</x:v>
      </x:c>
      <x:c r="F174" s="20" t="str">
        <x:v>input</x:v>
      </x:c>
      <x:c r="G174" s="35" t="str">
        <x:v>{testid}-search</x:v>
      </x:c>
      <x:c r="H174" s="35" t="str">
        <x:v>searchPlaceholder</x:v>
      </x:c>
      <x:c r="I174" s="20" t="str">
        <x:v>Property Manager</x:v>
      </x:c>
      <x:c r="J174" s="23" t="n">
        <x:v>46461</x:v>
      </x:c>
      <x:c r="K174" s="35" t="str">
        <x:v>valid non-default; boundary/format value; blank/null when optional; invalid value when constrained</x:v>
      </x:c>
      <x:c r="L174" s="35" t="str">
        <x:v>Save succeeds; reload shows the exact normalized value; other client reads it where supported; edit persists; validation rejects invalid input without partial mutation.</x:v>
      </x:c>
    </x:row>
    <x:row r="175">
      <x:c r="A175" s="20" t="str">
        <x:v>FLD-0172</x:v>
      </x:c>
      <x:c r="B175" s="20" t="str">
        <x:v>Web</x:v>
      </x:c>
      <x:c r="C175" s="35" t="str">
        <x:v>web/src/lib/components/shared/SearchInput.svelte</x:v>
      </x:c>
      <x:c r="D175" s="35" t="str">
        <x:v>web/src/lib/components/shared/SearchInput.svelte</x:v>
      </x:c>
      <x:c r="E175" s="32" t="n">
        <x:v>17</x:v>
      </x:c>
      <x:c r="F175" s="20" t="str">
        <x:v>search</x:v>
      </x:c>
      <x:c r="G175" s="35" t="str">
        <x:v>{testid}-input</x:v>
      </x:c>
      <x:c r="H175" s="35" t="str"/>
      <x:c r="I175" s="20" t="str">
        <x:v>Property Manager</x:v>
      </x:c>
      <x:c r="J175" s="23" t="n">
        <x:v>46462</x:v>
      </x:c>
      <x:c r="K175" s="35" t="str">
        <x:v>valid non-default; boundary/format value; blank/null when optional; invalid value when constrained</x:v>
      </x:c>
      <x:c r="L175" s="35" t="str">
        <x:v>Save succeeds; reload shows the exact normalized value; other client reads it where supported; edit persists; validation rejects invalid input without partial mutation.</x:v>
      </x:c>
    </x:row>
    <x:row r="176">
      <x:c r="A176" s="20" t="str">
        <x:v>FLD-0173</x:v>
      </x:c>
      <x:c r="B176" s="20" t="str">
        <x:v>Web</x:v>
      </x:c>
      <x:c r="C176" s="35" t="str">
        <x:v>web/src/lib/components/shared/StateSelect.svelte</x:v>
      </x:c>
      <x:c r="D176" s="35" t="str">
        <x:v>web/src/lib/components/shared/StateSelect.svelte</x:v>
      </x:c>
      <x:c r="E176" s="32" t="n">
        <x:v>17</x:v>
      </x:c>
      <x:c r="F176" s="20" t="str">
        <x:v>input</x:v>
      </x:c>
      <x:c r="G176" s="35" t="str">
        <x:v>input-1</x:v>
      </x:c>
      <x:c r="H176" s="35" t="str"/>
      <x:c r="I176" s="20" t="str">
        <x:v>Property Manager</x:v>
      </x:c>
      <x:c r="J176" s="23" t="n">
        <x:v>46462</x:v>
      </x:c>
      <x:c r="K176" s="35" t="str">
        <x:v>valid non-default; boundary/format value; blank/null when optional; invalid value when constrained</x:v>
      </x:c>
      <x:c r="L176" s="35" t="str">
        <x:v>Save succeeds; reload shows the exact normalized value; other client reads it where supported; edit persists; validation rejects invalid input without partial mutation.</x:v>
      </x:c>
    </x:row>
    <x:row r="177">
      <x:c r="A177" s="20" t="str">
        <x:v>FLD-0174</x:v>
      </x:c>
      <x:c r="B177" s="20" t="str">
        <x:v>Web</x:v>
      </x:c>
      <x:c r="C177" s="35" t="str">
        <x:v>web/src/lib/components/shared/StateSelect.svelte</x:v>
      </x:c>
      <x:c r="D177" s="35" t="str">
        <x:v>web/src/lib/components/shared/StateSelect.svelte</x:v>
      </x:c>
      <x:c r="E177" s="32" t="n">
        <x:v>17</x:v>
      </x:c>
      <x:c r="F177" s="20" t="str">
        <x:v>select</x:v>
      </x:c>
      <x:c r="G177" s="35" t="str">
        <x:v>select-2</x:v>
      </x:c>
      <x:c r="H177" s="35" t="str"/>
      <x:c r="I177" s="20" t="str">
        <x:v>Property Manager</x:v>
      </x:c>
      <x:c r="J177" s="23" t="n">
        <x:v>46462</x:v>
      </x:c>
      <x:c r="K177" s="35" t="str">
        <x:v>valid non-default; boundary/format value; blank/null when optional; invalid value when constrained</x:v>
      </x:c>
      <x:c r="L177" s="35" t="str">
        <x:v>Save succeeds; reload shows the exact normalized value; other client reads it where supported; edit persists; validation rejects invalid input without partial mutation.</x:v>
      </x:c>
    </x:row>
    <x:row r="178">
      <x:c r="A178" s="20" t="str">
        <x:v>FLD-0175</x:v>
      </x:c>
      <x:c r="B178" s="20" t="str">
        <x:v>Web</x:v>
      </x:c>
      <x:c r="C178" s="35" t="str">
        <x:v>web/src/lib/components/shared/TimeZoneSelect.svelte</x:v>
      </x:c>
      <x:c r="D178" s="35" t="str">
        <x:v>web/src/lib/components/shared/TimeZoneSelect.svelte</x:v>
      </x:c>
      <x:c r="E178" s="32" t="n">
        <x:v>18</x:v>
      </x:c>
      <x:c r="F178" s="20" t="str">
        <x:v>input</x:v>
      </x:c>
      <x:c r="G178" s="35" t="str">
        <x:v>input-1</x:v>
      </x:c>
      <x:c r="H178" s="35" t="str"/>
      <x:c r="I178" s="20" t="str">
        <x:v>Property Manager</x:v>
      </x:c>
      <x:c r="J178" s="23" t="n">
        <x:v>46462</x:v>
      </x:c>
      <x:c r="K178" s="35" t="str">
        <x:v>valid non-default; boundary/format value; blank/null when optional; invalid value when constrained</x:v>
      </x:c>
      <x:c r="L178" s="35" t="str">
        <x:v>Save succeeds; reload shows the exact normalized value; other client reads it where supported; edit persists; validation rejects invalid input without partial mutation.</x:v>
      </x:c>
    </x:row>
    <x:row r="179">
      <x:c r="A179" s="20" t="str">
        <x:v>FLD-0176</x:v>
      </x:c>
      <x:c r="B179" s="20" t="str">
        <x:v>Web</x:v>
      </x:c>
      <x:c r="C179" s="35" t="str">
        <x:v>web/src/lib/components/technician/TechnicianAssignmentList.svelte</x:v>
      </x:c>
      <x:c r="D179" s="35" t="str">
        <x:v>web/src/lib/components/technician/TechnicianAssignmentList.svelte</x:v>
      </x:c>
      <x:c r="E179" s="32" t="n">
        <x:v>74</x:v>
      </x:c>
      <x:c r="F179" s="20" t="str">
        <x:v>select</x:v>
      </x:c>
      <x:c r="G179" s="35" t="str">
        <x:v>status</x:v>
      </x:c>
      <x:c r="H179" s="35" t="str">
        <x:v>Filter by status</x:v>
      </x:c>
      <x:c r="I179" s="20" t="str">
        <x:v>Property Manager</x:v>
      </x:c>
      <x:c r="J179" s="23" t="n">
        <x:v>46462</x:v>
      </x:c>
      <x:c r="K179" s="35" t="str">
        <x:v>valid non-default; boundary/format value; blank/null when optional; invalid value when constrained</x:v>
      </x:c>
      <x:c r="L179" s="35" t="str">
        <x:v>Save succeeds; reload shows the exact normalized value; other client reads it where supported; edit persists; validation rejects invalid input without partial mutation.</x:v>
      </x:c>
    </x:row>
    <x:row r="180">
      <x:c r="A180" s="20" t="str">
        <x:v>FLD-0177</x:v>
      </x:c>
      <x:c r="B180" s="20" t="str">
        <x:v>Web</x:v>
      </x:c>
      <x:c r="C180" s="35" t="str">
        <x:v>web/src/lib/components/technician/TechnicianAssignmentList.svelte</x:v>
      </x:c>
      <x:c r="D180" s="35" t="str">
        <x:v>web/src/lib/components/technician/TechnicianAssignmentList.svelte</x:v>
      </x:c>
      <x:c r="E180" s="32" t="n">
        <x:v>83</x:v>
      </x:c>
      <x:c r="F180" s="20" t="str">
        <x:v>date</x:v>
      </x:c>
      <x:c r="G180" s="35" t="str">
        <x:v>scheduledFrom</x:v>
      </x:c>
      <x:c r="H180" s="35" t="str">
        <x:v>Schedule from</x:v>
      </x:c>
      <x:c r="I180" s="20" t="str">
        <x:v>Property Manager</x:v>
      </x:c>
      <x:c r="J180" s="23" t="n">
        <x:v>46463</x:v>
      </x:c>
      <x:c r="K180" s="35" t="str">
        <x:v>valid non-default; boundary/format value; blank/null when optional; invalid value when constrained</x:v>
      </x:c>
      <x:c r="L180" s="35" t="str">
        <x:v>Save succeeds; reload shows the exact normalized value; other client reads it where supported; edit persists; validation rejects invalid input without partial mutation.</x:v>
      </x:c>
    </x:row>
    <x:row r="181">
      <x:c r="A181" s="20" t="str">
        <x:v>FLD-0178</x:v>
      </x:c>
      <x:c r="B181" s="20" t="str">
        <x:v>Web</x:v>
      </x:c>
      <x:c r="C181" s="35" t="str">
        <x:v>web/src/lib/components/technician/TechnicianAssignmentList.svelte</x:v>
      </x:c>
      <x:c r="D181" s="35" t="str">
        <x:v>web/src/lib/components/technician/TechnicianAssignmentList.svelte</x:v>
      </x:c>
      <x:c r="E181" s="32" t="n">
        <x:v>84</x:v>
      </x:c>
      <x:c r="F181" s="20" t="str">
        <x:v>date</x:v>
      </x:c>
      <x:c r="G181" s="35" t="str">
        <x:v>scheduledTo</x:v>
      </x:c>
      <x:c r="H181" s="35" t="str">
        <x:v>Schedule through</x:v>
      </x:c>
      <x:c r="I181" s="20" t="str">
        <x:v>Property Manager</x:v>
      </x:c>
      <x:c r="J181" s="23" t="n">
        <x:v>46463</x:v>
      </x:c>
      <x:c r="K181" s="35" t="str">
        <x:v>valid non-default; boundary/format value; blank/null when optional; invalid value when constrained</x:v>
      </x:c>
      <x:c r="L181" s="35" t="str">
        <x:v>Save succeeds; reload shows the exact normalized value; other client reads it where supported; edit persists; validation rejects invalid input without partial mutation.</x:v>
      </x:c>
    </x:row>
    <x:row r="182">
      <x:c r="A182" s="20" t="str">
        <x:v>FLD-0179</x:v>
      </x:c>
      <x:c r="B182" s="20" t="str">
        <x:v>Web</x:v>
      </x:c>
      <x:c r="C182" s="35" t="str">
        <x:v>web/src/lib/components/ui/calendar/calendar-month-select.svelte</x:v>
      </x:c>
      <x:c r="D182" s="35" t="str">
        <x:v>web/src/lib/components/ui/calendar/calendar-month-select.svelte</x:v>
      </x:c>
      <x:c r="E182" s="32" t="n">
        <x:v>27</x:v>
      </x:c>
      <x:c r="F182" s="20" t="str">
        <x:v>select</x:v>
      </x:c>
      <x:c r="G182" s="35" t="str">
        <x:v>select-1</x:v>
      </x:c>
      <x:c r="H182" s="35" t="str"/>
      <x:c r="I182" s="20" t="str">
        <x:v>Property Manager</x:v>
      </x:c>
      <x:c r="J182" s="23" t="n">
        <x:v>46463</x:v>
      </x:c>
      <x:c r="K182" s="35" t="str">
        <x:v>valid non-default; boundary/format value; blank/null when optional; invalid value when constrained</x:v>
      </x:c>
      <x:c r="L182" s="35" t="str">
        <x:v>Save succeeds; reload shows the exact normalized value; other client reads it where supported; edit persists; validation rejects invalid input without partial mutation.</x:v>
      </x:c>
    </x:row>
    <x:row r="183">
      <x:c r="A183" s="20" t="str">
        <x:v>FLD-0180</x:v>
      </x:c>
      <x:c r="B183" s="20" t="str">
        <x:v>Web</x:v>
      </x:c>
      <x:c r="C183" s="35" t="str">
        <x:v>web/src/lib/components/ui/calendar/calendar-year-select.svelte</x:v>
      </x:c>
      <x:c r="D183" s="35" t="str">
        <x:v>web/src/lib/components/ui/calendar/calendar-year-select.svelte</x:v>
      </x:c>
      <x:c r="E183" s="32" t="n">
        <x:v>26</x:v>
      </x:c>
      <x:c r="F183" s="20" t="str">
        <x:v>select</x:v>
      </x:c>
      <x:c r="G183" s="35" t="str">
        <x:v>select-1</x:v>
      </x:c>
      <x:c r="H183" s="35" t="str"/>
      <x:c r="I183" s="20" t="str">
        <x:v>Property Manager</x:v>
      </x:c>
      <x:c r="J183" s="23" t="n">
        <x:v>46463</x:v>
      </x:c>
      <x:c r="K183" s="35" t="str">
        <x:v>valid non-default; boundary/format value; blank/null when optional; invalid value when constrained</x:v>
      </x:c>
      <x:c r="L183" s="35" t="str">
        <x:v>Save succeeds; reload shows the exact normalized value; other client reads it where supported; edit persists; validation rejects invalid input without partial mutation.</x:v>
      </x:c>
    </x:row>
    <x:row r="184">
      <x:c r="A184" s="20" t="str">
        <x:v>FLD-0181</x:v>
      </x:c>
      <x:c r="B184" s="20" t="str">
        <x:v>Web</x:v>
      </x:c>
      <x:c r="C184" s="35" t="str">
        <x:v>web/src/lib/components/ui/input/input.svelte</x:v>
      </x:c>
      <x:c r="D184" s="35" t="str">
        <x:v>web/src/lib/components/ui/input/input.svelte</x:v>
      </x:c>
      <x:c r="E184" s="32" t="n">
        <x:v>45</x:v>
      </x:c>
      <x:c r="F184" s="20" t="str">
        <x:v>file</x:v>
      </x:c>
      <x:c r="G184" s="35" t="str">
        <x:v>input-1</x:v>
      </x:c>
      <x:c r="H184" s="35" t="str"/>
      <x:c r="I184" s="20" t="str">
        <x:v>Property Manager</x:v>
      </x:c>
      <x:c r="J184" s="23" t="n">
        <x:v>46464</x:v>
      </x:c>
      <x:c r="K184" s="35" t="str">
        <x:v>valid non-default; boundary/format value; blank/null when optional; invalid value when constrained</x:v>
      </x:c>
      <x:c r="L184" s="35" t="str">
        <x:v>Save succeeds; reload shows the exact normalized value; other client reads it where supported; edit persists; validation rejects invalid input without partial mutation.</x:v>
      </x:c>
    </x:row>
    <x:row r="185">
      <x:c r="A185" s="20" t="str">
        <x:v>FLD-0182</x:v>
      </x:c>
      <x:c r="B185" s="20" t="str">
        <x:v>Web</x:v>
      </x:c>
      <x:c r="C185" s="35" t="str">
        <x:v>web/src/lib/components/ui/input/input.svelte</x:v>
      </x:c>
      <x:c r="D185" s="35" t="str">
        <x:v>web/src/lib/components/ui/input/input.svelte</x:v>
      </x:c>
      <x:c r="E185" s="32" t="n">
        <x:v>61</x:v>
      </x:c>
      <x:c r="F185" s="20" t="str">
        <x:v>input</x:v>
      </x:c>
      <x:c r="G185" s="35" t="str">
        <x:v>input-2</x:v>
      </x:c>
      <x:c r="H185" s="35" t="str"/>
      <x:c r="I185" s="20" t="str">
        <x:v>Property Manager</x:v>
      </x:c>
      <x:c r="J185" s="23" t="n">
        <x:v>46464</x:v>
      </x:c>
      <x:c r="K185" s="35" t="str">
        <x:v>valid non-default; boundary/format value; blank/null when optional; invalid value when constrained</x:v>
      </x:c>
      <x:c r="L185" s="35" t="str">
        <x:v>Save succeeds; reload shows the exact normalized value; other client reads it where supported; edit persists; validation rejects invalid input without partial mutation.</x:v>
      </x:c>
    </x:row>
    <x:row r="186">
      <x:c r="A186" s="20" t="str">
        <x:v>FLD-0183</x:v>
      </x:c>
      <x:c r="B186" s="20" t="str">
        <x:v>Web</x:v>
      </x:c>
      <x:c r="C186" s="35" t="str">
        <x:v>web/src/lib/components/ui/range-calendar/range-calendar-month-select.svelte</x:v>
      </x:c>
      <x:c r="D186" s="35" t="str">
        <x:v>web/src/lib/components/ui/range-calendar/range-calendar-month-select.svelte</x:v>
      </x:c>
      <x:c r="E186" s="32" t="n">
        <x:v>23</x:v>
      </x:c>
      <x:c r="F186" s="20" t="str">
        <x:v>select</x:v>
      </x:c>
      <x:c r="G186" s="35" t="str">
        <x:v>select-1</x:v>
      </x:c>
      <x:c r="H186" s="35" t="str"/>
      <x:c r="I186" s="20" t="str">
        <x:v>Property Manager</x:v>
      </x:c>
      <x:c r="J186" s="23" t="n">
        <x:v>46464</x:v>
      </x:c>
      <x:c r="K186" s="35" t="str">
        <x:v>valid non-default; boundary/format value; blank/null when optional; invalid value when constrained</x:v>
      </x:c>
      <x:c r="L186" s="35" t="str">
        <x:v>Save succeeds; reload shows the exact normalized value; other client reads it where supported; edit persists; validation rejects invalid input without partial mutation.</x:v>
      </x:c>
    </x:row>
    <x:row r="187">
      <x:c r="A187" s="20" t="str">
        <x:v>FLD-0184</x:v>
      </x:c>
      <x:c r="B187" s="20" t="str">
        <x:v>Web</x:v>
      </x:c>
      <x:c r="C187" s="35" t="str">
        <x:v>web/src/lib/components/ui/range-calendar/range-calendar-year-select.svelte</x:v>
      </x:c>
      <x:c r="D187" s="35" t="str">
        <x:v>web/src/lib/components/ui/range-calendar/range-calendar-year-select.svelte</x:v>
      </x:c>
      <x:c r="E187" s="32" t="n">
        <x:v>22</x:v>
      </x:c>
      <x:c r="F187" s="20" t="str">
        <x:v>select</x:v>
      </x:c>
      <x:c r="G187" s="35" t="str">
        <x:v>select-1</x:v>
      </x:c>
      <x:c r="H187" s="35" t="str"/>
      <x:c r="I187" s="20" t="str">
        <x:v>Property Manager</x:v>
      </x:c>
      <x:c r="J187" s="23" t="n">
        <x:v>46464</x:v>
      </x:c>
      <x:c r="K187" s="35" t="str">
        <x:v>valid non-default; boundary/format value; blank/null when optional; invalid value when constrained</x:v>
      </x:c>
      <x:c r="L187" s="35" t="str">
        <x:v>Save succeeds; reload shows the exact normalized value; other client reads it where supported; edit persists; validation rejects invalid input without partial mutation.</x:v>
      </x:c>
    </x:row>
    <x:row r="188">
      <x:c r="A188" s="20" t="str">
        <x:v>FLD-0185</x:v>
      </x:c>
      <x:c r="B188" s="20" t="str">
        <x:v>Web</x:v>
      </x:c>
      <x:c r="C188" s="35" t="str">
        <x:v>web/src/lib/components/unit/tabs/ApplicationsTab.svelte</x:v>
      </x:c>
      <x:c r="D188" s="35" t="str">
        <x:v>web/src/lib/components/unit/tabs/ApplicationsTab.svelte</x:v>
      </x:c>
      <x:c r="E188" s="32" t="n">
        <x:v>190</x:v>
      </x:c>
      <x:c r="F188" s="20" t="str">
        <x:v>input</x:v>
      </x:c>
      <x:c r="G188" s="35" t="str">
        <x:v>unit-applications-search</x:v>
      </x:c>
      <x:c r="H188" s="35" t="str">
        <x:v>Name, email, or phone</x:v>
      </x:c>
      <x:c r="I188" s="20" t="str">
        <x:v>Leasing Agent</x:v>
      </x:c>
      <x:c r="J188" s="23" t="n">
        <x:v>46464</x:v>
      </x:c>
      <x:c r="K188" s="35" t="str">
        <x:v>valid non-default; boundary/format value; blank/null when optional; invalid value when constrained</x:v>
      </x:c>
      <x:c r="L188" s="35" t="str">
        <x:v>Save succeeds; reload shows the exact normalized value; other client reads it where supported; edit persists; validation rejects invalid input without partial mutation.</x:v>
      </x:c>
    </x:row>
    <x:row r="189">
      <x:c r="A189" s="20" t="str">
        <x:v>FLD-0186</x:v>
      </x:c>
      <x:c r="B189" s="20" t="str">
        <x:v>Web</x:v>
      </x:c>
      <x:c r="C189" s="35" t="str">
        <x:v>web/src/lib/components/unit/tabs/ApplicationsTab.svelte</x:v>
      </x:c>
      <x:c r="D189" s="35" t="str">
        <x:v>web/src/lib/components/unit/tabs/ApplicationsTab.svelte</x:v>
      </x:c>
      <x:c r="E189" s="32" t="n">
        <x:v>194</x:v>
      </x:c>
      <x:c r="F189" s="20" t="str">
        <x:v>select</x:v>
      </x:c>
      <x:c r="G189" s="35" t="str">
        <x:v>unit-applications-sort</x:v>
      </x:c>
      <x:c r="H189" s="35" t="str">
        <x:v>Search applications</x:v>
      </x:c>
      <x:c r="I189" s="20" t="str">
        <x:v>Leasing Agent</x:v>
      </x:c>
      <x:c r="J189" s="23" t="n">
        <x:v>46465</x:v>
      </x:c>
      <x:c r="K189" s="35" t="str">
        <x:v>valid non-default; boundary/format value; blank/null when optional; invalid value when constrained</x:v>
      </x:c>
      <x:c r="L189" s="35" t="str">
        <x:v>Save succeeds; reload shows the exact normalized value; other client reads it where supported; edit persists; validation rejects invalid input without partial mutation.</x:v>
      </x:c>
    </x:row>
    <x:row r="190">
      <x:c r="A190" s="20" t="str">
        <x:v>FLD-0187</x:v>
      </x:c>
      <x:c r="B190" s="20" t="str">
        <x:v>Web</x:v>
      </x:c>
      <x:c r="C190" s="35" t="str">
        <x:v>web/src/lib/components/unit/tabs/ApplicationsTab.svelte</x:v>
      </x:c>
      <x:c r="D190" s="35" t="str">
        <x:v>web/src/lib/components/unit/tabs/ApplicationsTab.svelte</x:v>
      </x:c>
      <x:c r="E190" s="32" t="n">
        <x:v>284</x:v>
      </x:c>
      <x:c r="F190" s="20" t="str">
        <x:v>input</x:v>
      </x:c>
      <x:c r="G190" s="35" t="str">
        <x:v>unit-application-link-url</x:v>
      </x:c>
      <x:c r="H190" s="35" t="str"/>
      <x:c r="I190" s="20" t="str">
        <x:v>Leasing Agent</x:v>
      </x:c>
      <x:c r="J190" s="23" t="n">
        <x:v>46465</x:v>
      </x:c>
      <x:c r="K190" s="35" t="str">
        <x:v>valid non-default; boundary/format value; blank/null when optional; invalid value when constrained</x:v>
      </x:c>
      <x:c r="L190" s="35" t="str">
        <x:v>Save succeeds; reload shows the exact normalized value; other client reads it where supported; edit persists; validation rejects invalid input without partial mutation.</x:v>
      </x:c>
    </x:row>
    <x:row r="191">
      <x:c r="A191" s="20" t="str">
        <x:v>FLD-0188</x:v>
      </x:c>
      <x:c r="B191" s="20" t="str">
        <x:v>Web</x:v>
      </x:c>
      <x:c r="C191" s="35" t="str">
        <x:v>web/src/lib/components/unit/tabs/ExpensesTab.svelte</x:v>
      </x:c>
      <x:c r="D191" s="35" t="str">
        <x:v>web/src/lib/components/unit/tabs/ExpensesTab.svelte</x:v>
      </x:c>
      <x:c r="E191" s="32" t="n">
        <x:v>274</x:v>
      </x:c>
      <x:c r="F191" s="20" t="str">
        <x:v>input</x:v>
      </x:c>
      <x:c r="G191" s="35" t="str">
        <x:v>exp-desc</x:v>
      </x:c>
      <x:c r="H191" s="35" t="str">
        <x:v>Description</x:v>
      </x:c>
      <x:c r="I191" s="20" t="str">
        <x:v>Property Manager</x:v>
      </x:c>
      <x:c r="J191" s="23" t="n">
        <x:v>46465</x:v>
      </x:c>
      <x:c r="K191" s="35" t="str">
        <x:v>valid non-default; boundary/format value; blank/null when optional; invalid value when constrained</x:v>
      </x:c>
      <x:c r="L191" s="35" t="str">
        <x:v>Save succeeds; reload shows the exact normalized value; other client reads it where supported; edit persists; validation rejects invalid input without partial mutation.</x:v>
      </x:c>
    </x:row>
    <x:row r="192">
      <x:c r="A192" s="20" t="str">
        <x:v>FLD-0189</x:v>
      </x:c>
      <x:c r="B192" s="20" t="str">
        <x:v>Web</x:v>
      </x:c>
      <x:c r="C192" s="35" t="str">
        <x:v>web/src/lib/components/unit/tabs/ExpensesTab.svelte</x:v>
      </x:c>
      <x:c r="D192" s="35" t="str">
        <x:v>web/src/lib/components/unit/tabs/ExpensesTab.svelte</x:v>
      </x:c>
      <x:c r="E192" s="32" t="n">
        <x:v>279</x:v>
      </x:c>
      <x:c r="F192" s="20" t="str">
        <x:v>text</x:v>
      </x:c>
      <x:c r="G192" s="35" t="str">
        <x:v>exp-amount</x:v>
      </x:c>
      <x:c r="H192" s="35" t="str">
        <x:v>Amount</x:v>
      </x:c>
      <x:c r="I192" s="20" t="str">
        <x:v>Property Manager</x:v>
      </x:c>
      <x:c r="J192" s="23" t="n">
        <x:v>46465</x:v>
      </x:c>
      <x:c r="K192" s="35" t="str">
        <x:v>valid non-default; boundary/format value; blank/null when optional; invalid value when constrained</x:v>
      </x:c>
      <x:c r="L192" s="35" t="str">
        <x:v>Save succeeds; reload shows the exact normalized value; other client reads it where supported; edit persists; validation rejects invalid input without partial mutation.</x:v>
      </x:c>
    </x:row>
    <x:row r="193">
      <x:c r="A193" s="20" t="str">
        <x:v>FLD-0190</x:v>
      </x:c>
      <x:c r="B193" s="20" t="str">
        <x:v>Web</x:v>
      </x:c>
      <x:c r="C193" s="35" t="str">
        <x:v>web/src/lib/components/unit/tabs/ExpensesTab.svelte</x:v>
      </x:c>
      <x:c r="D193" s="35" t="str">
        <x:v>web/src/lib/components/unit/tabs/ExpensesTab.svelte</x:v>
      </x:c>
      <x:c r="E193" s="32" t="n">
        <x:v>295</x:v>
      </x:c>
      <x:c r="F193" s="20" t="str">
        <x:v>single</x:v>
      </x:c>
      <x:c r="G193" s="35" t="str">
        <x:v>createForm.category</x:v>
      </x:c>
      <x:c r="H193" s="35" t="str">
        <x:v>Category</x:v>
      </x:c>
      <x:c r="I193" s="20" t="str">
        <x:v>Property Manager</x:v>
      </x:c>
      <x:c r="J193" s="23" t="n">
        <x:v>46468</x:v>
      </x:c>
      <x:c r="K193" s="35" t="str">
        <x:v>valid non-default; boundary/format value; blank/null when optional; invalid value when constrained</x:v>
      </x:c>
      <x:c r="L193" s="35" t="str">
        <x:v>Save succeeds; reload shows the exact normalized value; other client reads it where supported; edit persists; validation rejects invalid input without partial mutation.</x:v>
      </x:c>
    </x:row>
    <x:row r="194">
      <x:c r="A194" s="20" t="str">
        <x:v>FLD-0191</x:v>
      </x:c>
      <x:c r="B194" s="20" t="str">
        <x:v>Web</x:v>
      </x:c>
      <x:c r="C194" s="35" t="str">
        <x:v>web/src/lib/components/unit/tabs/ExpensesTab.svelte</x:v>
      </x:c>
      <x:c r="D194" s="35" t="str">
        <x:v>web/src/lib/components/unit/tabs/ExpensesTab.svelte</x:v>
      </x:c>
      <x:c r="E194" s="32" t="n">
        <x:v>296</x:v>
      </x:c>
      <x:c r="F194" s="20" t="str">
        <x:v>select</x:v>
      </x:c>
      <x:c r="G194" s="35" t="str">
        <x:v>exp-cat</x:v>
      </x:c>
      <x:c r="H194" s="35" t="str">
        <x:v>Category</x:v>
      </x:c>
      <x:c r="I194" s="20" t="str">
        <x:v>Property Manager</x:v>
      </x:c>
      <x:c r="J194" s="23" t="n">
        <x:v>46468</x:v>
      </x:c>
      <x:c r="K194" s="35" t="str">
        <x:v>valid non-default; boundary/format value; blank/null when optional; invalid value when constrained</x:v>
      </x:c>
      <x:c r="L194" s="35" t="str">
        <x:v>Save succeeds; reload shows the exact normalized value; other client reads it where supported; edit persists; validation rejects invalid input without partial mutation.</x:v>
      </x:c>
    </x:row>
    <x:row r="195">
      <x:c r="A195" s="20" t="str">
        <x:v>FLD-0192</x:v>
      </x:c>
      <x:c r="B195" s="20" t="str">
        <x:v>Web</x:v>
      </x:c>
      <x:c r="C195" s="35" t="str">
        <x:v>web/src/lib/components/unit/tabs/ExpensesTab.svelte</x:v>
      </x:c>
      <x:c r="D195" s="35" t="str">
        <x:v>web/src/lib/components/unit/tabs/ExpensesTab.svelte</x:v>
      </x:c>
      <x:c r="E195" s="32" t="n">
        <x:v>297</x:v>
      </x:c>
      <x:c r="F195" s="20" t="str">
        <x:v>select</x:v>
      </x:c>
      <x:c r="G195" s="35" t="str">
        <x:v>Select-5</x:v>
      </x:c>
      <x:c r="H195" s="35" t="str">
        <x:v>Category</x:v>
      </x:c>
      <x:c r="I195" s="20" t="str">
        <x:v>Property Manager</x:v>
      </x:c>
      <x:c r="J195" s="23" t="n">
        <x:v>46468</x:v>
      </x:c>
      <x:c r="K195" s="35" t="str">
        <x:v>valid non-default; boundary/format value; blank/null when optional; invalid value when constrained</x:v>
      </x:c>
      <x:c r="L195" s="35" t="str">
        <x:v>Save succeeds; reload shows the exact normalized value; other client reads it where supported; edit persists; validation rejects invalid input without partial mutation.</x:v>
      </x:c>
    </x:row>
    <x:row r="196">
      <x:c r="A196" s="20" t="str">
        <x:v>FLD-0193</x:v>
      </x:c>
      <x:c r="B196" s="20" t="str">
        <x:v>Web</x:v>
      </x:c>
      <x:c r="C196" s="35" t="str">
        <x:v>web/src/lib/components/unit/tabs/ExpensesTab.svelte</x:v>
      </x:c>
      <x:c r="D196" s="35" t="str">
        <x:v>web/src/lib/components/unit/tabs/ExpensesTab.svelte</x:v>
      </x:c>
      <x:c r="E196" s="32" t="n">
        <x:v>298</x:v>
      </x:c>
      <x:c r="F196" s="20" t="str">
        <x:v>select</x:v>
      </x:c>
      <x:c r="G196" s="35" t="str">
        <x:v>Select-6</x:v>
      </x:c>
      <x:c r="H196" s="35" t="str">
        <x:v>Category</x:v>
      </x:c>
      <x:c r="I196" s="20" t="str">
        <x:v>Property Manager</x:v>
      </x:c>
      <x:c r="J196" s="23" t="n">
        <x:v>46468</x:v>
      </x:c>
      <x:c r="K196" s="35" t="str">
        <x:v>valid non-default; boundary/format value; blank/null when optional; invalid value when constrained</x:v>
      </x:c>
      <x:c r="L196" s="35" t="str">
        <x:v>Save succeeds; reload shows the exact normalized value; other client reads it where supported; edit persists; validation rejects invalid input without partial mutation.</x:v>
      </x:c>
    </x:row>
    <x:row r="197">
      <x:c r="A197" s="20" t="str">
        <x:v>FLD-0194</x:v>
      </x:c>
      <x:c r="B197" s="20" t="str">
        <x:v>Web</x:v>
      </x:c>
      <x:c r="C197" s="35" t="str">
        <x:v>web/src/lib/components/unit/tabs/ExpensesTab.svelte</x:v>
      </x:c>
      <x:c r="D197" s="35" t="str">
        <x:v>web/src/lib/components/unit/tabs/ExpensesTab.svelte</x:v>
      </x:c>
      <x:c r="E197" s="32" t="n">
        <x:v>304</x:v>
      </x:c>
      <x:c r="F197" s="20" t="str">
        <x:v>single</x:v>
      </x:c>
      <x:c r="G197" s="35" t="str">
        <x:v>createForm.status</x:v>
      </x:c>
      <x:c r="H197" s="35" t="str">
        <x:v>Status</x:v>
      </x:c>
      <x:c r="I197" s="20" t="str">
        <x:v>Property Manager</x:v>
      </x:c>
      <x:c r="J197" s="23" t="n">
        <x:v>46468</x:v>
      </x:c>
      <x:c r="K197" s="35" t="str">
        <x:v>valid non-default; boundary/format value; blank/null when optional; invalid value when constrained</x:v>
      </x:c>
      <x:c r="L197" s="35" t="str">
        <x:v>Save succeeds; reload shows the exact normalized value; other client reads it where supported; edit persists; validation rejects invalid input without partial mutation.</x:v>
      </x:c>
    </x:row>
    <x:row r="198">
      <x:c r="A198" s="20" t="str">
        <x:v>FLD-0195</x:v>
      </x:c>
      <x:c r="B198" s="20" t="str">
        <x:v>Web</x:v>
      </x:c>
      <x:c r="C198" s="35" t="str">
        <x:v>web/src/lib/components/unit/tabs/ExpensesTab.svelte</x:v>
      </x:c>
      <x:c r="D198" s="35" t="str">
        <x:v>web/src/lib/components/unit/tabs/ExpensesTab.svelte</x:v>
      </x:c>
      <x:c r="E198" s="32" t="n">
        <x:v>305</x:v>
      </x:c>
      <x:c r="F198" s="20" t="str">
        <x:v>select</x:v>
      </x:c>
      <x:c r="G198" s="35" t="str">
        <x:v>exp-status</x:v>
      </x:c>
      <x:c r="H198" s="35" t="str">
        <x:v>Status</x:v>
      </x:c>
      <x:c r="I198" s="20" t="str">
        <x:v>Property Manager</x:v>
      </x:c>
      <x:c r="J198" s="23" t="n">
        <x:v>46469</x:v>
      </x:c>
      <x:c r="K198" s="35" t="str">
        <x:v>valid non-default; boundary/format value; blank/null when optional; invalid value when constrained</x:v>
      </x:c>
      <x:c r="L198" s="35" t="str">
        <x:v>Save succeeds; reload shows the exact normalized value; other client reads it where supported; edit persists; validation rejects invalid input without partial mutation.</x:v>
      </x:c>
    </x:row>
    <x:row r="199">
      <x:c r="A199" s="20" t="str">
        <x:v>FLD-0196</x:v>
      </x:c>
      <x:c r="B199" s="20" t="str">
        <x:v>Web</x:v>
      </x:c>
      <x:c r="C199" s="35" t="str">
        <x:v>web/src/lib/components/unit/tabs/ExpensesTab.svelte</x:v>
      </x:c>
      <x:c r="D199" s="35" t="str">
        <x:v>web/src/lib/components/unit/tabs/ExpensesTab.svelte</x:v>
      </x:c>
      <x:c r="E199" s="32" t="n">
        <x:v>306</x:v>
      </x:c>
      <x:c r="F199" s="20" t="str">
        <x:v>select</x:v>
      </x:c>
      <x:c r="G199" s="35" t="str">
        <x:v>Select-9</x:v>
      </x:c>
      <x:c r="H199" s="35" t="str">
        <x:v>Status</x:v>
      </x:c>
      <x:c r="I199" s="20" t="str">
        <x:v>Property Manager</x:v>
      </x:c>
      <x:c r="J199" s="23" t="n">
        <x:v>46469</x:v>
      </x:c>
      <x:c r="K199" s="35" t="str">
        <x:v>valid non-default; boundary/format value; blank/null when optional; invalid value when constrained</x:v>
      </x:c>
      <x:c r="L199" s="35" t="str">
        <x:v>Save succeeds; reload shows the exact normalized value; other client reads it where supported; edit persists; validation rejects invalid input without partial mutation.</x:v>
      </x:c>
    </x:row>
    <x:row r="200">
      <x:c r="A200" s="20" t="str">
        <x:v>FLD-0197</x:v>
      </x:c>
      <x:c r="B200" s="20" t="str">
        <x:v>Web</x:v>
      </x:c>
      <x:c r="C200" s="35" t="str">
        <x:v>web/src/lib/components/unit/tabs/ExpensesTab.svelte</x:v>
      </x:c>
      <x:c r="D200" s="35" t="str">
        <x:v>web/src/lib/components/unit/tabs/ExpensesTab.svelte</x:v>
      </x:c>
      <x:c r="E200" s="32" t="n">
        <x:v>307</x:v>
      </x:c>
      <x:c r="F200" s="20" t="str">
        <x:v>select</x:v>
      </x:c>
      <x:c r="G200" s="35" t="str">
        <x:v>Select-10</x:v>
      </x:c>
      <x:c r="H200" s="35" t="str">
        <x:v>Status</x:v>
      </x:c>
      <x:c r="I200" s="20" t="str">
        <x:v>Property Manager</x:v>
      </x:c>
      <x:c r="J200" s="23" t="n">
        <x:v>46469</x:v>
      </x:c>
      <x:c r="K200" s="35" t="str">
        <x:v>valid non-default; boundary/format value; blank/null when optional; invalid value when constrained</x:v>
      </x:c>
      <x:c r="L200" s="35" t="str">
        <x:v>Save succeeds; reload shows the exact normalized value; other client reads it where supported; edit persists; validation rejects invalid input without partial mutation.</x:v>
      </x:c>
    </x:row>
    <x:row r="201">
      <x:c r="A201" s="20" t="str">
        <x:v>FLD-0198</x:v>
      </x:c>
      <x:c r="B201" s="20" t="str">
        <x:v>Web</x:v>
      </x:c>
      <x:c r="C201" s="35" t="str">
        <x:v>web/src/lib/components/unit/tabs/LeaseTab.svelte</x:v>
      </x:c>
      <x:c r="D201" s="35" t="str">
        <x:v>web/src/lib/components/unit/tabs/LeaseTab.svelte</x:v>
      </x:c>
      <x:c r="E201" s="32" t="n">
        <x:v>193</x:v>
      </x:c>
      <x:c r="F201" s="20" t="str">
        <x:v>input</x:v>
      </x:c>
      <x:c r="G201" s="35" t="str">
        <x:v>cancellationReasonCode</x:v>
      </x:c>
      <x:c r="H201" s="35" t="str"/>
      <x:c r="I201" s="20" t="str">
        <x:v>Property Manager</x:v>
      </x:c>
      <x:c r="J201" s="23" t="n">
        <x:v>46469</x:v>
      </x:c>
      <x:c r="K201" s="35" t="str">
        <x:v>valid non-default; boundary/format value; blank/null when optional; invalid value when constrained</x:v>
      </x:c>
      <x:c r="L201" s="35" t="str">
        <x:v>Save succeeds; reload shows the exact normalized value; other client reads it where supported; edit persists; validation rejects invalid input without partial mutation.</x:v>
      </x:c>
    </x:row>
    <x:row r="202">
      <x:c r="A202" s="20" t="str">
        <x:v>FLD-0199</x:v>
      </x:c>
      <x:c r="B202" s="20" t="str">
        <x:v>Web</x:v>
      </x:c>
      <x:c r="C202" s="35" t="str">
        <x:v>web/src/lib/components/unit/tabs/LeaseTab.svelte</x:v>
      </x:c>
      <x:c r="D202" s="35" t="str">
        <x:v>web/src/lib/components/unit/tabs/LeaseTab.svelte</x:v>
      </x:c>
      <x:c r="E202" s="32" t="n">
        <x:v>194</x:v>
      </x:c>
      <x:c r="F202" s="20" t="str">
        <x:v>textarea</x:v>
      </x:c>
      <x:c r="G202" s="35" t="str">
        <x:v>draftCancellationReason</x:v>
      </x:c>
      <x:c r="H202" s="35" t="str">
        <x:v>Cancellation code</x:v>
      </x:c>
      <x:c r="I202" s="20" t="str">
        <x:v>Property Manager</x:v>
      </x:c>
      <x:c r="J202" s="23" t="n">
        <x:v>46470</x:v>
      </x:c>
      <x:c r="K202" s="35" t="str">
        <x:v>valid non-default; boundary/format value; blank/null when optional; invalid value when constrained</x:v>
      </x:c>
      <x:c r="L202" s="35" t="str">
        <x:v>Save succeeds; reload shows the exact normalized value; other client reads it where supported; edit persists; validation rejects invalid input without partial mutation.</x:v>
      </x:c>
    </x:row>
    <x:row r="203">
      <x:c r="A203" s="20" t="str">
        <x:v>FLD-0200</x:v>
      </x:c>
      <x:c r="B203" s="20" t="str">
        <x:v>Web</x:v>
      </x:c>
      <x:c r="C203" s="35" t="str">
        <x:v>web/src/lib/components/unit/tabs/LeaseTab.svelte</x:v>
      </x:c>
      <x:c r="D203" s="35" t="str">
        <x:v>web/src/lib/components/unit/tabs/LeaseTab.svelte</x:v>
      </x:c>
      <x:c r="E203" s="32" t="n">
        <x:v>195</x:v>
      </x:c>
      <x:c r="F203" s="20" t="str">
        <x:v>textarea</x:v>
      </x:c>
      <x:c r="G203" s="35" t="str">
        <x:v>cancellationNote</x:v>
      </x:c>
      <x:c r="H203" s="35" t="str">
        <x:v>Draft reason</x:v>
      </x:c>
      <x:c r="I203" s="20" t="str">
        <x:v>Property Manager</x:v>
      </x:c>
      <x:c r="J203" s="23" t="n">
        <x:v>46470</x:v>
      </x:c>
      <x:c r="K203" s="35" t="str">
        <x:v>valid non-default; boundary/format value; blank/null when optional; invalid value when constrained</x:v>
      </x:c>
      <x:c r="L203" s="35" t="str">
        <x:v>Save succeeds; reload shows the exact normalized value; other client reads it where supported; edit persists; validation rejects invalid input without partial mutation.</x:v>
      </x:c>
    </x:row>
    <x:row r="204">
      <x:c r="A204" s="20" t="str">
        <x:v>FLD-0201</x:v>
      </x:c>
      <x:c r="B204" s="20" t="str">
        <x:v>Web</x:v>
      </x:c>
      <x:c r="C204" s="35" t="str">
        <x:v>web/src/lib/components/unit/tabs/LeaseTab.svelte</x:v>
      </x:c>
      <x:c r="D204" s="35" t="str">
        <x:v>web/src/lib/components/unit/tabs/LeaseTab.svelte</x:v>
      </x:c>
      <x:c r="E204" s="32" t="n">
        <x:v>205</x:v>
      </x:c>
      <x:c r="F204" s="20" t="str">
        <x:v>select</x:v>
      </x:c>
      <x:c r="G204" s="35" t="str">
        <x:v>accessDispositions[access.tenantUserAccessId]</x:v>
      </x:c>
      <x:c r="H204" s="35" t="str"/>
      <x:c r="I204" s="20" t="str">
        <x:v>Property Manager</x:v>
      </x:c>
      <x:c r="J204" s="23" t="n">
        <x:v>46470</x:v>
      </x:c>
      <x:c r="K204" s="35" t="str">
        <x:v>valid non-default; boundary/format value; blank/null when optional; invalid value when constrained</x:v>
      </x:c>
      <x:c r="L204" s="35" t="str">
        <x:v>Save succeeds; reload shows the exact normalized value; other client reads it where supported; edit persists; validation rejects invalid input without partial mutation.</x:v>
      </x:c>
    </x:row>
    <x:row r="205">
      <x:c r="A205" s="20" t="str">
        <x:v>FLD-0202</x:v>
      </x:c>
      <x:c r="B205" s="20" t="str">
        <x:v>Web</x:v>
      </x:c>
      <x:c r="C205" s="35" t="str">
        <x:v>web/src/lib/components/unit/tabs/LeaseTab.svelte</x:v>
      </x:c>
      <x:c r="D205" s="35" t="str">
        <x:v>web/src/lib/components/unit/tabs/LeaseTab.svelte</x:v>
      </x:c>
      <x:c r="E205" s="32" t="n">
        <x:v>235</x:v>
      </x:c>
      <x:c r="F205" s="20" t="str">
        <x:v>select</x:v>
      </x:c>
      <x:c r="G205" s="35" t="str">
        <x:v>destinationTemplateId</x:v>
      </x:c>
      <x:c r="H205" s="35" t="str"/>
      <x:c r="I205" s="20" t="str">
        <x:v>Property Manager</x:v>
      </x:c>
      <x:c r="J205" s="23" t="n">
        <x:v>46470</x:v>
      </x:c>
      <x:c r="K205" s="35" t="str">
        <x:v>valid non-default; boundary/format value; blank/null when optional; invalid value when constrained</x:v>
      </x:c>
      <x:c r="L205" s="35" t="str">
        <x:v>Save succeeds; reload shows the exact normalized value; other client reads it where supported; edit persists; validation rejects invalid input without partial mutation.</x:v>
      </x:c>
    </x:row>
    <x:row r="206">
      <x:c r="A206" s="20" t="str">
        <x:v>FLD-0203</x:v>
      </x:c>
      <x:c r="B206" s="20" t="str">
        <x:v>Web</x:v>
      </x:c>
      <x:c r="C206" s="35" t="str">
        <x:v>web/src/lib/components/unit/tabs/LeaseTab.svelte</x:v>
      </x:c>
      <x:c r="D206" s="35" t="str">
        <x:v>web/src/lib/components/unit/tabs/LeaseTab.svelte</x:v>
      </x:c>
      <x:c r="E206" s="32" t="n">
        <x:v>237</x:v>
      </x:c>
      <x:c r="F206" s="20" t="str">
        <x:v>date</x:v>
      </x:c>
      <x:c r="G206" s="35" t="str">
        <x:v>effectiveOn</x:v>
      </x:c>
      <x:c r="H206" s="35" t="str">
        <x:v>Active lease template Select a template</x:v>
      </x:c>
      <x:c r="I206" s="20" t="str">
        <x:v>Property Manager</x:v>
      </x:c>
      <x:c r="J206" s="23" t="n">
        <x:v>46471</x:v>
      </x:c>
      <x:c r="K206" s="35" t="str">
        <x:v>valid non-default; boundary/format value; blank/null when optional; invalid value when constrained</x:v>
      </x:c>
      <x:c r="L206" s="35" t="str">
        <x:v>Save succeeds; reload shows the exact normalized value; other client reads it where supported; edit persists; validation rejects invalid input without partial mutation.</x:v>
      </x:c>
    </x:row>
    <x:row r="207">
      <x:c r="A207" s="20" t="str">
        <x:v>FLD-0204</x:v>
      </x:c>
      <x:c r="B207" s="20" t="str">
        <x:v>Web</x:v>
      </x:c>
      <x:c r="C207" s="35" t="str">
        <x:v>web/src/lib/components/unit/tabs/LeaseTab.svelte</x:v>
      </x:c>
      <x:c r="D207" s="35" t="str">
        <x:v>web/src/lib/components/unit/tabs/LeaseTab.svelte</x:v>
      </x:c>
      <x:c r="E207" s="32" t="n">
        <x:v>238</x:v>
      </x:c>
      <x:c r="F207" s="20" t="str">
        <x:v>datetime-local</x:v>
      </x:c>
      <x:c r="G207" s="35" t="str">
        <x:v>plannedDestinationPossessionAtUtc</x:v>
      </x:c>
      <x:c r="H207" s="35" t="str">
        <x:v>Effective date</x:v>
      </x:c>
      <x:c r="I207" s="20" t="str">
        <x:v>Property Manager</x:v>
      </x:c>
      <x:c r="J207" s="23" t="n">
        <x:v>46471</x:v>
      </x:c>
      <x:c r="K207" s="35" t="str">
        <x:v>valid non-default; boundary/format value; blank/null when optional; invalid value when constrained</x:v>
      </x:c>
      <x:c r="L207" s="35" t="str">
        <x:v>Save succeeds; reload shows the exact normalized value; other client reads it where supported; edit persists; validation rejects invalid input without partial mutation.</x:v>
      </x:c>
    </x:row>
    <x:row r="208">
      <x:c r="A208" s="20" t="str">
        <x:v>FLD-0205</x:v>
      </x:c>
      <x:c r="B208" s="20" t="str">
        <x:v>Web</x:v>
      </x:c>
      <x:c r="C208" s="35" t="str">
        <x:v>web/src/lib/components/unit/tabs/LeaseTab.svelte</x:v>
      </x:c>
      <x:c r="D208" s="35" t="str">
        <x:v>web/src/lib/components/unit/tabs/LeaseTab.svelte</x:v>
      </x:c>
      <x:c r="E208" s="32" t="n">
        <x:v>239</x:v>
      </x:c>
      <x:c r="F208" s="20" t="str">
        <x:v>checkbox</x:v>
      </x:c>
      <x:c r="G208" s="35" t="str">
        <x:v>giveDestinationPossessionNow</x:v>
      </x:c>
      <x:c r="H208" s="35" t="str">
        <x:v>Planned destination possession</x:v>
      </x:c>
      <x:c r="I208" s="20" t="str">
        <x:v>Property Manager</x:v>
      </x:c>
      <x:c r="J208" s="23" t="n">
        <x:v>46471</x:v>
      </x:c>
      <x:c r="K208" s="35" t="str">
        <x:v>valid non-default; boundary/format value; blank/null when optional; invalid value when constrained</x:v>
      </x:c>
      <x:c r="L208" s="35" t="str">
        <x:v>Save succeeds; reload shows the exact normalized value; other client reads it where supported; edit persists; validation rejects invalid input without partial mutation.</x:v>
      </x:c>
    </x:row>
    <x:row r="209">
      <x:c r="A209" s="20" t="str">
        <x:v>FLD-0206</x:v>
      </x:c>
      <x:c r="B209" s="20" t="str">
        <x:v>Web</x:v>
      </x:c>
      <x:c r="C209" s="35" t="str">
        <x:v>web/src/lib/components/unit/tabs/LeaseTab.svelte</x:v>
      </x:c>
      <x:c r="D209" s="35" t="str">
        <x:v>web/src/lib/components/unit/tabs/LeaseTab.svelte</x:v>
      </x:c>
      <x:c r="E209" s="32" t="n">
        <x:v>240</x:v>
      </x:c>
      <x:c r="F209" s="20" t="str">
        <x:v>textarea</x:v>
      </x:c>
      <x:c r="G209" s="35" t="str">
        <x:v>possessionAgreementExceptionReason</x:v>
      </x:c>
      <x:c r="H209" s="35" t="str">
        <x:v>Give destination possession now</x:v>
      </x:c>
      <x:c r="I209" s="20" t="str">
        <x:v>Property Manager</x:v>
      </x:c>
      <x:c r="J209" s="23" t="n">
        <x:v>46471</x:v>
      </x:c>
      <x:c r="K209" s="35" t="str">
        <x:v>valid non-default; boundary/format value; blank/null when optional; invalid value when constrained</x:v>
      </x:c>
      <x:c r="L209" s="35" t="str">
        <x:v>Save succeeds; reload shows the exact normalized value; other client reads it where supported; edit persists; validation rejects invalid input without partial mutation.</x:v>
      </x:c>
    </x:row>
    <x:row r="210">
      <x:c r="A210" s="20" t="str">
        <x:v>FLD-0207</x:v>
      </x:c>
      <x:c r="B210" s="20" t="str">
        <x:v>Web</x:v>
      </x:c>
      <x:c r="C210" s="35" t="str">
        <x:v>web/src/lib/components/unit/tabs/LeaseTab.svelte</x:v>
      </x:c>
      <x:c r="D210" s="35" t="str">
        <x:v>web/src/lib/components/unit/tabs/LeaseTab.svelte</x:v>
      </x:c>
      <x:c r="E210" s="32" t="n">
        <x:v>241</x:v>
      </x:c>
      <x:c r="F210" s="20" t="str">
        <x:v>checkbox</x:v>
      </x:c>
      <x:c r="G210" s="35" t="str">
        <x:v>carryTenantBalance</x:v>
      </x:c>
      <x:c r="H210" s="35" t="str">
        <x:v>Possession agreement exception reason</x:v>
      </x:c>
      <x:c r="I210" s="20" t="str">
        <x:v>Property Manager</x:v>
      </x:c>
      <x:c r="J210" s="23" t="n">
        <x:v>46471</x:v>
      </x:c>
      <x:c r="K210" s="35" t="str">
        <x:v>valid non-default; boundary/format value; blank/null when optional; invalid value when constrained</x:v>
      </x:c>
      <x:c r="L210" s="35" t="str">
        <x:v>Save succeeds; reload shows the exact normalized value; other client reads it where supported; edit persists; validation rejects invalid input without partial mutation.</x:v>
      </x:c>
    </x:row>
    <x:row r="211">
      <x:c r="A211" s="20" t="str">
        <x:v>FLD-0208</x:v>
      </x:c>
      <x:c r="B211" s="20" t="str">
        <x:v>Web</x:v>
      </x:c>
      <x:c r="C211" s="35" t="str">
        <x:v>web/src/lib/components/unit/tabs/LeaseTab.svelte</x:v>
      </x:c>
      <x:c r="D211" s="35" t="str">
        <x:v>web/src/lib/components/unit/tabs/LeaseTab.svelte</x:v>
      </x:c>
      <x:c r="E211" s="32" t="n">
        <x:v>242</x:v>
      </x:c>
      <x:c r="F211" s="20" t="str">
        <x:v>checkbox</x:v>
      </x:c>
      <x:c r="G211" s="35" t="str">
        <x:v>carrySecurityDeposit</x:v>
      </x:c>
      <x:c r="H211" s="35" t="str">
        <x:v>Carry tenant balance</x:v>
      </x:c>
      <x:c r="I211" s="20" t="str">
        <x:v>Property Manager</x:v>
      </x:c>
      <x:c r="J211" s="23" t="n">
        <x:v>46472</x:v>
      </x:c>
      <x:c r="K211" s="35" t="str">
        <x:v>valid non-default; boundary/format value; blank/null when optional; invalid value when constrained</x:v>
      </x:c>
      <x:c r="L211" s="35" t="str">
        <x:v>Save succeeds; reload shows the exact normalized value; other client reads it where supported; edit persists; validation rejects invalid input without partial mutation.</x:v>
      </x:c>
    </x:row>
    <x:row r="212">
      <x:c r="A212" s="20" t="str">
        <x:v>FLD-0209</x:v>
      </x:c>
      <x:c r="B212" s="20" t="str">
        <x:v>Web</x:v>
      </x:c>
      <x:c r="C212" s="35" t="str">
        <x:v>web/src/lib/components/unit/tabs/LeaseTab.svelte</x:v>
      </x:c>
      <x:c r="D212" s="35" t="str">
        <x:v>web/src/lib/components/unit/tabs/LeaseTab.svelte</x:v>
      </x:c>
      <x:c r="E212" s="32" t="n">
        <x:v>243</x:v>
      </x:c>
      <x:c r="F212" s="20" t="str">
        <x:v>textarea</x:v>
      </x:c>
      <x:c r="G212" s="35" t="str">
        <x:v>transferReason</x:v>
      </x:c>
      <x:c r="H212" s="35" t="str">
        <x:v>Carry security deposit</x:v>
      </x:c>
      <x:c r="I212" s="20" t="str">
        <x:v>Property Manager</x:v>
      </x:c>
      <x:c r="J212" s="23" t="n">
        <x:v>46472</x:v>
      </x:c>
      <x:c r="K212" s="35" t="str">
        <x:v>valid non-default; boundary/format value; blank/null when optional; invalid value when constrained</x:v>
      </x:c>
      <x:c r="L212" s="35" t="str">
        <x:v>Save succeeds; reload shows the exact normalized value; other client reads it where supported; edit persists; validation rejects invalid input without partial mutation.</x:v>
      </x:c>
    </x:row>
    <x:row r="213">
      <x:c r="A213" s="20" t="str">
        <x:v>FLD-0210</x:v>
      </x:c>
      <x:c r="B213" s="20" t="str">
        <x:v>Web</x:v>
      </x:c>
      <x:c r="C213" s="35" t="str">
        <x:v>web/src/lib/components/unit/tabs/LeaseTab.svelte</x:v>
      </x:c>
      <x:c r="D213" s="35" t="str">
        <x:v>web/src/lib/components/unit/tabs/LeaseTab.svelte</x:v>
      </x:c>
      <x:c r="E213" s="32" t="n">
        <x:v>251</x:v>
      </x:c>
      <x:c r="F213" s="20" t="str">
        <x:v>input</x:v>
      </x:c>
      <x:c r="G213" s="35" t="str">
        <x:v>closeReasonCode</x:v>
      </x:c>
      <x:c r="H213" s="35" t="str"/>
      <x:c r="I213" s="20" t="str">
        <x:v>Property Manager</x:v>
      </x:c>
      <x:c r="J213" s="23" t="n">
        <x:v>46472</x:v>
      </x:c>
      <x:c r="K213" s="35" t="str">
        <x:v>valid non-default; boundary/format value; blank/null when optional; invalid value when constrained</x:v>
      </x:c>
      <x:c r="L213" s="35" t="str">
        <x:v>Save succeeds; reload shows the exact normalized value; other client reads it where supported; edit persists; validation rejects invalid input without partial mutation.</x:v>
      </x:c>
    </x:row>
    <x:row r="214">
      <x:c r="A214" s="20" t="str">
        <x:v>FLD-0211</x:v>
      </x:c>
      <x:c r="B214" s="20" t="str">
        <x:v>Web</x:v>
      </x:c>
      <x:c r="C214" s="35" t="str">
        <x:v>web/src/lib/components/unit/tabs/LeaseTab.svelte</x:v>
      </x:c>
      <x:c r="D214" s="35" t="str">
        <x:v>web/src/lib/components/unit/tabs/LeaseTab.svelte</x:v>
      </x:c>
      <x:c r="E214" s="32" t="n">
        <x:v>252</x:v>
      </x:c>
      <x:c r="F214" s="20" t="str">
        <x:v>textarea</x:v>
      </x:c>
      <x:c r="G214" s="35" t="str">
        <x:v>closeNote</x:v>
      </x:c>
      <x:c r="H214" s="35" t="str">
        <x:v>Close reason code</x:v>
      </x:c>
      <x:c r="I214" s="20" t="str">
        <x:v>Property Manager</x:v>
      </x:c>
      <x:c r="J214" s="23" t="n">
        <x:v>46472</x:v>
      </x:c>
      <x:c r="K214" s="35" t="str">
        <x:v>valid non-default; boundary/format value; blank/null when optional; invalid value when constrained</x:v>
      </x:c>
      <x:c r="L214" s="35" t="str">
        <x:v>Save succeeds; reload shows the exact normalized value; other client reads it where supported; edit persists; validation rejects invalid input without partial mutation.</x:v>
      </x:c>
    </x:row>
    <x:row r="215">
      <x:c r="A215" s="20" t="str">
        <x:v>FLD-0212</x:v>
      </x:c>
      <x:c r="B215" s="20" t="str">
        <x:v>Web</x:v>
      </x:c>
      <x:c r="C215" s="35" t="str">
        <x:v>web/src/lib/components/unit/tabs/ListingTab.svelte</x:v>
      </x:c>
      <x:c r="D215" s="35" t="str">
        <x:v>web/src/lib/components/unit/tabs/ListingTab.svelte</x:v>
      </x:c>
      <x:c r="E215" s="32" t="n">
        <x:v>190</x:v>
      </x:c>
      <x:c r="F215" s="20" t="str">
        <x:v>input</x:v>
      </x:c>
      <x:c r="G215" s="35" t="str">
        <x:v>form.headline</x:v>
      </x:c>
      <x:c r="H215" s="35" t="str"/>
      <x:c r="I215" s="20" t="str">
        <x:v>Property Manager</x:v>
      </x:c>
      <x:c r="J215" s="23" t="n">
        <x:v>46475</x:v>
      </x:c>
      <x:c r="K215" s="35" t="str">
        <x:v>valid non-default; boundary/format value; blank/null when optional; invalid value when constrained</x:v>
      </x:c>
      <x:c r="L215" s="35" t="str">
        <x:v>Save succeeds; reload shows the exact normalized value; other client reads it where supported; edit persists; validation rejects invalid input without partial mutation.</x:v>
      </x:c>
    </x:row>
    <x:row r="216">
      <x:c r="A216" s="20" t="str">
        <x:v>FLD-0213</x:v>
      </x:c>
      <x:c r="B216" s="20" t="str">
        <x:v>Web</x:v>
      </x:c>
      <x:c r="C216" s="35" t="str">
        <x:v>web/src/lib/components/unit/tabs/ListingTab.svelte</x:v>
      </x:c>
      <x:c r="D216" s="35" t="str">
        <x:v>web/src/lib/components/unit/tabs/ListingTab.svelte</x:v>
      </x:c>
      <x:c r="E216" s="32" t="n">
        <x:v>191</x:v>
      </x:c>
      <x:c r="F216" s="20" t="str">
        <x:v>textarea</x:v>
      </x:c>
      <x:c r="G216" s="35" t="str">
        <x:v>form.description</x:v>
      </x:c>
      <x:c r="H216" s="35" t="str">
        <x:v>Headline copy('Headline', form.headline)} aria-label="Copy headline"&gt;</x:v>
      </x:c>
      <x:c r="I216" s="20" t="str">
        <x:v>Property Manager</x:v>
      </x:c>
      <x:c r="J216" s="23" t="n">
        <x:v>46475</x:v>
      </x:c>
      <x:c r="K216" s="35" t="str">
        <x:v>valid non-default; boundary/format value; blank/null when optional; invalid value when constrained</x:v>
      </x:c>
      <x:c r="L216" s="35" t="str">
        <x:v>Save succeeds; reload shows the exact normalized value; other client reads it where supported; edit persists; validation rejects invalid input without partial mutation.</x:v>
      </x:c>
    </x:row>
    <x:row r="217">
      <x:c r="A217" s="20" t="str">
        <x:v>FLD-0214</x:v>
      </x:c>
      <x:c r="B217" s="20" t="str">
        <x:v>Web</x:v>
      </x:c>
      <x:c r="C217" s="35" t="str">
        <x:v>web/src/lib/components/unit/tabs/ListingTab.svelte</x:v>
      </x:c>
      <x:c r="D217" s="35" t="str">
        <x:v>web/src/lib/components/unit/tabs/ListingTab.svelte</x:v>
      </x:c>
      <x:c r="E217" s="32" t="n">
        <x:v>192</x:v>
      </x:c>
      <x:c r="F217" s="20" t="str">
        <x:v>input</x:v>
      </x:c>
      <x:c r="G217" s="35" t="str">
        <x:v>form.rent</x:v>
      </x:c>
      <x:c r="H217" s="35" t="str">
        <x:v>Description copy('Description', form.description)}&gt; Copy description</x:v>
      </x:c>
      <x:c r="I217" s="20" t="str">
        <x:v>Property Manager</x:v>
      </x:c>
      <x:c r="J217" s="23" t="n">
        <x:v>46475</x:v>
      </x:c>
      <x:c r="K217" s="35" t="str">
        <x:v>valid non-default; boundary/format value; blank/null when optional; invalid value when constrained</x:v>
      </x:c>
      <x:c r="L217" s="35" t="str">
        <x:v>Save succeeds; reload shows the exact normalized value; other client reads it where supported; edit persists; validation rejects invalid input without partial mutation.</x:v>
      </x:c>
    </x:row>
    <x:row r="218">
      <x:c r="A218" s="20" t="str">
        <x:v>FLD-0215</x:v>
      </x:c>
      <x:c r="B218" s="20" t="str">
        <x:v>Web</x:v>
      </x:c>
      <x:c r="C218" s="35" t="str">
        <x:v>web/src/lib/components/unit/tabs/ListingTab.svelte</x:v>
      </x:c>
      <x:c r="D218" s="35" t="str">
        <x:v>web/src/lib/components/unit/tabs/ListingTab.svelte</x:v>
      </x:c>
      <x:c r="E218" s="32" t="n">
        <x:v>192</x:v>
      </x:c>
      <x:c r="F218" s="20" t="str">
        <x:v>input</x:v>
      </x:c>
      <x:c r="G218" s="35" t="str">
        <x:v>form.securityDeposit</x:v>
      </x:c>
      <x:c r="H218" s="35" t="str">
        <x:v>Rent</x:v>
      </x:c>
      <x:c r="I218" s="20" t="str">
        <x:v>Property Manager</x:v>
      </x:c>
      <x:c r="J218" s="23" t="n">
        <x:v>46475</x:v>
      </x:c>
      <x:c r="K218" s="35" t="str">
        <x:v>valid non-default; boundary/format value; blank/null when optional; invalid value when constrained</x:v>
      </x:c>
      <x:c r="L218" s="35" t="str">
        <x:v>Save succeeds; reload shows the exact normalized value; other client reads it where supported; edit persists; validation rejects invalid input without partial mutation.</x:v>
      </x:c>
    </x:row>
    <x:row r="219">
      <x:c r="A219" s="20" t="str">
        <x:v>FLD-0216</x:v>
      </x:c>
      <x:c r="B219" s="20" t="str">
        <x:v>Web</x:v>
      </x:c>
      <x:c r="C219" s="35" t="str">
        <x:v>web/src/lib/components/unit/tabs/ListingTab.svelte</x:v>
      </x:c>
      <x:c r="D219" s="35" t="str">
        <x:v>web/src/lib/components/unit/tabs/ListingTab.svelte</x:v>
      </x:c>
      <x:c r="E219" s="32" t="n">
        <x:v>193</x:v>
      </x:c>
      <x:c r="F219" s="20" t="str">
        <x:v>input</x:v>
      </x:c>
      <x:c r="G219" s="35" t="str">
        <x:v>form.leaseTerms</x:v>
      </x:c>
      <x:c r="H219" s="35" t="str">
        <x:v>Deposit</x:v>
      </x:c>
      <x:c r="I219" s="20" t="str">
        <x:v>Property Manager</x:v>
      </x:c>
      <x:c r="J219" s="23" t="n">
        <x:v>46475</x:v>
      </x:c>
      <x:c r="K219" s="35" t="str">
        <x:v>valid non-default; boundary/format value; blank/null when optional; invalid value when constrained</x:v>
      </x:c>
      <x:c r="L219" s="35" t="str">
        <x:v>Save succeeds; reload shows the exact normalized value; other client reads it where supported; edit persists; validation rejects invalid input without partial mutation.</x:v>
      </x:c>
    </x:row>
    <x:row r="220">
      <x:c r="A220" s="20" t="str">
        <x:v>FLD-0217</x:v>
      </x:c>
      <x:c r="B220" s="20" t="str">
        <x:v>Web</x:v>
      </x:c>
      <x:c r="C220" s="35" t="str">
        <x:v>web/src/lib/components/unit/tabs/ListingTab.svelte</x:v>
      </x:c>
      <x:c r="D220" s="35" t="str">
        <x:v>web/src/lib/components/unit/tabs/ListingTab.svelte</x:v>
      </x:c>
      <x:c r="E220" s="32" t="n">
        <x:v>194</x:v>
      </x:c>
      <x:c r="F220" s="20" t="str">
        <x:v>input</x:v>
      </x:c>
      <x:c r="G220" s="35" t="str">
        <x:v>form.petPolicy</x:v>
      </x:c>
      <x:c r="H220" s="35" t="str">
        <x:v>Lease terms</x:v>
      </x:c>
      <x:c r="I220" s="20" t="str">
        <x:v>Property Manager</x:v>
      </x:c>
      <x:c r="J220" s="23" t="n">
        <x:v>46476</x:v>
      </x:c>
      <x:c r="K220" s="35" t="str">
        <x:v>valid non-default; boundary/format value; blank/null when optional; invalid value when constrained</x:v>
      </x:c>
      <x:c r="L220" s="35" t="str">
        <x:v>Save succeeds; reload shows the exact normalized value; other client reads it where supported; edit persists; validation rejects invalid input without partial mutation.</x:v>
      </x:c>
    </x:row>
    <x:row r="221">
      <x:c r="A221" s="20" t="str">
        <x:v>FLD-0218</x:v>
      </x:c>
      <x:c r="B221" s="20" t="str">
        <x:v>Web</x:v>
      </x:c>
      <x:c r="C221" s="35" t="str">
        <x:v>web/src/lib/components/unit/tabs/ListingTab.svelte</x:v>
      </x:c>
      <x:c r="D221" s="35" t="str">
        <x:v>web/src/lib/components/unit/tabs/ListingTab.svelte</x:v>
      </x:c>
      <x:c r="E221" s="32" t="n">
        <x:v>195</x:v>
      </x:c>
      <x:c r="F221" s="20" t="str">
        <x:v>input</x:v>
      </x:c>
      <x:c r="G221" s="35" t="str">
        <x:v>form.utilities</x:v>
      </x:c>
      <x:c r="H221" s="35" t="str">
        <x:v>Pet policy</x:v>
      </x:c>
      <x:c r="I221" s="20" t="str">
        <x:v>Property Manager</x:v>
      </x:c>
      <x:c r="J221" s="23" t="n">
        <x:v>46476</x:v>
      </x:c>
      <x:c r="K221" s="35" t="str">
        <x:v>valid non-default; boundary/format value; blank/null when optional; invalid value when constrained</x:v>
      </x:c>
      <x:c r="L221" s="35" t="str">
        <x:v>Save succeeds; reload shows the exact normalized value; other client reads it where supported; edit persists; validation rejects invalid input without partial mutation.</x:v>
      </x:c>
    </x:row>
    <x:row r="222">
      <x:c r="A222" s="20" t="str">
        <x:v>FLD-0219</x:v>
      </x:c>
      <x:c r="B222" s="20" t="str">
        <x:v>Web</x:v>
      </x:c>
      <x:c r="C222" s="35" t="str">
        <x:v>web/src/lib/components/unit/tabs/ListingTab.svelte</x:v>
      </x:c>
      <x:c r="D222" s="35" t="str">
        <x:v>web/src/lib/components/unit/tabs/ListingTab.svelte</x:v>
      </x:c>
      <x:c r="E222" s="32" t="n">
        <x:v>196</x:v>
      </x:c>
      <x:c r="F222" s="20" t="str">
        <x:v>input</x:v>
      </x:c>
      <x:c r="G222" s="35" t="str">
        <x:v>form.parking</x:v>
      </x:c>
      <x:c r="H222" s="35" t="str">
        <x:v>Utilities</x:v>
      </x:c>
      <x:c r="I222" s="20" t="str">
        <x:v>Property Manager</x:v>
      </x:c>
      <x:c r="J222" s="23" t="n">
        <x:v>46476</x:v>
      </x:c>
      <x:c r="K222" s="35" t="str">
        <x:v>valid non-default; boundary/format value; blank/null when optional; invalid value when constrained</x:v>
      </x:c>
      <x:c r="L222" s="35" t="str">
        <x:v>Save succeeds; reload shows the exact normalized value; other client reads it where supported; edit persists; validation rejects invalid input without partial mutation.</x:v>
      </x:c>
    </x:row>
    <x:row r="223">
      <x:c r="A223" s="20" t="str">
        <x:v>FLD-0220</x:v>
      </x:c>
      <x:c r="B223" s="20" t="str">
        <x:v>Web</x:v>
      </x:c>
      <x:c r="C223" s="35" t="str">
        <x:v>web/src/lib/components/unit/tabs/ListingTab.svelte</x:v>
      </x:c>
      <x:c r="D223" s="35" t="str">
        <x:v>web/src/lib/components/unit/tabs/ListingTab.svelte</x:v>
      </x:c>
      <x:c r="E223" s="32" t="n">
        <x:v>197</x:v>
      </x:c>
      <x:c r="F223" s="20" t="str">
        <x:v>textarea</x:v>
      </x:c>
      <x:c r="G223" s="35" t="str">
        <x:v>form.amenities</x:v>
      </x:c>
      <x:c r="H223" s="35" t="str">
        <x:v>Parking</x:v>
      </x:c>
      <x:c r="I223" s="20" t="str">
        <x:v>Property Manager</x:v>
      </x:c>
      <x:c r="J223" s="23" t="n">
        <x:v>46476</x:v>
      </x:c>
      <x:c r="K223" s="35" t="str">
        <x:v>valid non-default; boundary/format value; blank/null when optional; invalid value when constrained</x:v>
      </x:c>
      <x:c r="L223" s="35" t="str">
        <x:v>Save succeeds; reload shows the exact normalized value; other client reads it where supported; edit persists; validation rejects invalid input without partial mutation.</x:v>
      </x:c>
    </x:row>
    <x:row r="224">
      <x:c r="A224" s="20" t="str">
        <x:v>FLD-0221</x:v>
      </x:c>
      <x:c r="B224" s="20" t="str">
        <x:v>Web</x:v>
      </x:c>
      <x:c r="C224" s="35" t="str">
        <x:v>web/src/lib/components/unit/tabs/ListingTab.svelte</x:v>
      </x:c>
      <x:c r="D224" s="35" t="str">
        <x:v>web/src/lib/components/unit/tabs/ListingTab.svelte</x:v>
      </x:c>
      <x:c r="E224" s="32" t="n">
        <x:v>212</x:v>
      </x:c>
      <x:c r="F224" s="20" t="str">
        <x:v>file</x:v>
      </x:c>
      <x:c r="G224" s="35" t="str">
        <x:v>input-10</x:v>
      </x:c>
      <x:c r="H224" s="35" t="str"/>
      <x:c r="I224" s="20" t="str">
        <x:v>Property Manager</x:v>
      </x:c>
      <x:c r="J224" s="23" t="n">
        <x:v>46477</x:v>
      </x:c>
      <x:c r="K224" s="35" t="str">
        <x:v>valid non-default; boundary/format value; blank/null when optional; invalid value when constrained</x:v>
      </x:c>
      <x:c r="L224" s="35" t="str">
        <x:v>Save succeeds; reload shows the exact normalized value; other client reads it where supported; edit persists; validation rejects invalid input without partial mutation.</x:v>
      </x:c>
    </x:row>
    <x:row r="225">
      <x:c r="A225" s="20" t="str">
        <x:v>FLD-0222</x:v>
      </x:c>
      <x:c r="B225" s="20" t="str">
        <x:v>Web</x:v>
      </x:c>
      <x:c r="C225" s="35" t="str">
        <x:v>web/src/lib/components/unit/tabs/ListingTab.svelte</x:v>
      </x:c>
      <x:c r="D225" s="35" t="str">
        <x:v>web/src/lib/components/unit/tabs/ListingTab.svelte</x:v>
      </x:c>
      <x:c r="E225" s="32" t="n">
        <x:v>226</x:v>
      </x:c>
      <x:c r="F225" s="20" t="str">
        <x:v>select</x:v>
      </x:c>
      <x:c r="G225" s="35" t="str">
        <x:v>form.publicationStatus</x:v>
      </x:c>
      <x:c r="H225" s="35" t="str"/>
      <x:c r="I225" s="20" t="str">
        <x:v>Property Manager</x:v>
      </x:c>
      <x:c r="J225" s="23" t="n">
        <x:v>46477</x:v>
      </x:c>
      <x:c r="K225" s="35" t="str">
        <x:v>valid non-default; boundary/format value; blank/null when optional; invalid value when constrained</x:v>
      </x:c>
      <x:c r="L225" s="35" t="str">
        <x:v>Save succeeds; reload shows the exact normalized value; other client reads it where supported; edit persists; validation rejects invalid input without partial mutation.</x:v>
      </x:c>
    </x:row>
    <x:row r="226">
      <x:c r="A226" s="20" t="str">
        <x:v>FLD-0223</x:v>
      </x:c>
      <x:c r="B226" s="20" t="str">
        <x:v>Web</x:v>
      </x:c>
      <x:c r="C226" s="35" t="str">
        <x:v>web/src/lib/components/unit/tabs/ListingTab.svelte</x:v>
      </x:c>
      <x:c r="D226" s="35" t="str">
        <x:v>web/src/lib/components/unit/tabs/ListingTab.svelte</x:v>
      </x:c>
      <x:c r="E226" s="32" t="n">
        <x:v>228</x:v>
      </x:c>
      <x:c r="F226" s="20" t="str">
        <x:v>checkbox</x:v>
      </x:c>
      <x:c r="G226" s="35" t="str">
        <x:v>form.copyConfirmed</x:v>
      </x:c>
      <x:c r="H226" s="35" t="str">
        <x:v>Publication state Draft Ready Published Paused Removed</x:v>
      </x:c>
      <x:c r="I226" s="20" t="str">
        <x:v>Property Manager</x:v>
      </x:c>
      <x:c r="J226" s="23" t="n">
        <x:v>46477</x:v>
      </x:c>
      <x:c r="K226" s="35" t="str">
        <x:v>valid non-default; boundary/format value; blank/null when optional; invalid value when constrained</x:v>
      </x:c>
      <x:c r="L226" s="35" t="str">
        <x:v>Save succeeds; reload shows the exact normalized value; other client reads it where supported; edit persists; validation rejects invalid input without partial mutation.</x:v>
      </x:c>
    </x:row>
    <x:row r="227">
      <x:c r="A227" s="20" t="str">
        <x:v>FLD-0224</x:v>
      </x:c>
      <x:c r="B227" s="20" t="str">
        <x:v>Web</x:v>
      </x:c>
      <x:c r="C227" s="35" t="str">
        <x:v>web/src/lib/components/unit/tabs/ListingTab.svelte</x:v>
      </x:c>
      <x:c r="D227" s="35" t="str">
        <x:v>web/src/lib/components/unit/tabs/ListingTab.svelte</x:v>
      </x:c>
      <x:c r="E227" s="32" t="n">
        <x:v>229</x:v>
      </x:c>
      <x:c r="F227" s="20" t="str">
        <x:v>checkbox</x:v>
      </x:c>
      <x:c r="G227" s="35" t="str">
        <x:v>form.termsConfirmed</x:v>
      </x:c>
      <x:c r="H227" s="35" t="str">
        <x:v>Copy entered in Zillow</x:v>
      </x:c>
      <x:c r="I227" s="20" t="str">
        <x:v>Property Manager</x:v>
      </x:c>
      <x:c r="J227" s="23" t="n">
        <x:v>46477</x:v>
      </x:c>
      <x:c r="K227" s="35" t="str">
        <x:v>valid non-default; boundary/format value; blank/null when optional; invalid value when constrained</x:v>
      </x:c>
      <x:c r="L227" s="35" t="str">
        <x:v>Save succeeds; reload shows the exact normalized value; other client reads it where supported; edit persists; validation rejects invalid input without partial mutation.</x:v>
      </x:c>
    </x:row>
    <x:row r="228">
      <x:c r="A228" s="20" t="str">
        <x:v>FLD-0225</x:v>
      </x:c>
      <x:c r="B228" s="20" t="str">
        <x:v>Web</x:v>
      </x:c>
      <x:c r="C228" s="35" t="str">
        <x:v>web/src/lib/components/unit/tabs/ListingTab.svelte</x:v>
      </x:c>
      <x:c r="D228" s="35" t="str">
        <x:v>web/src/lib/components/unit/tabs/ListingTab.svelte</x:v>
      </x:c>
      <x:c r="E228" s="32" t="n">
        <x:v>230</x:v>
      </x:c>
      <x:c r="F228" s="20" t="str">
        <x:v>checkbox</x:v>
      </x:c>
      <x:c r="G228" s="35" t="str">
        <x:v>form.photosConfirmed</x:v>
      </x:c>
      <x:c r="H228" s="35" t="str">
        <x:v>Terms reviewed in Zillow</x:v>
      </x:c>
      <x:c r="I228" s="20" t="str">
        <x:v>Property Manager</x:v>
      </x:c>
      <x:c r="J228" s="23" t="n">
        <x:v>46477</x:v>
      </x:c>
      <x:c r="K228" s="35" t="str">
        <x:v>valid non-default; boundary/format value; blank/null when optional; invalid value when constrained</x:v>
      </x:c>
      <x:c r="L228" s="35" t="str">
        <x:v>Save succeeds; reload shows the exact normalized value; other client reads it where supported; edit persists; validation rejects invalid input without partial mutation.</x:v>
      </x:c>
    </x:row>
    <x:row r="229">
      <x:c r="A229" s="20" t="str">
        <x:v>FLD-0226</x:v>
      </x:c>
      <x:c r="B229" s="20" t="str">
        <x:v>Web</x:v>
      </x:c>
      <x:c r="C229" s="35" t="str">
        <x:v>web/src/lib/components/unit/tabs/ListingTab.svelte</x:v>
      </x:c>
      <x:c r="D229" s="35" t="str">
        <x:v>web/src/lib/components/unit/tabs/ListingTab.svelte</x:v>
      </x:c>
      <x:c r="E229" s="32" t="n">
        <x:v>232</x:v>
      </x:c>
      <x:c r="F229" s="20" t="str">
        <x:v>input</x:v>
      </x:c>
      <x:c r="G229" s="35" t="str">
        <x:v>form.listingUrl</x:v>
      </x:c>
      <x:c r="H229" s="35" t="str">
        <x:v>Photos uploaded in order</x:v>
      </x:c>
      <x:c r="I229" s="20" t="str">
        <x:v>Property Manager</x:v>
      </x:c>
      <x:c r="J229" s="23" t="n">
        <x:v>46478</x:v>
      </x:c>
      <x:c r="K229" s="35" t="str">
        <x:v>valid non-default; boundary/format value; blank/null when optional; invalid value when constrained</x:v>
      </x:c>
      <x:c r="L229" s="35" t="str">
        <x:v>Save succeeds; reload shows the exact normalized value; other client reads it where supported; edit persists; validation rejects invalid input without partial mutation.</x:v>
      </x:c>
    </x:row>
    <x:row r="230">
      <x:c r="A230" s="20" t="str">
        <x:v>FLD-0227</x:v>
      </x:c>
      <x:c r="B230" s="20" t="str">
        <x:v>Web</x:v>
      </x:c>
      <x:c r="C230" s="35" t="str">
        <x:v>web/src/lib/components/unit/tabs/ListingTab.svelte</x:v>
      </x:c>
      <x:c r="D230" s="35" t="str">
        <x:v>web/src/lib/components/unit/tabs/ListingTab.svelte</x:v>
      </x:c>
      <x:c r="E230" s="32" t="n">
        <x:v>233</x:v>
      </x:c>
      <x:c r="F230" s="20" t="str">
        <x:v>input</x:v>
      </x:c>
      <x:c r="G230" s="35" t="str">
        <x:v>form.applicationUrl</x:v>
      </x:c>
      <x:c r="H230" s="35" t="str">
        <x:v>Listing URL</x:v>
      </x:c>
      <x:c r="I230" s="20" t="str">
        <x:v>Property Manager</x:v>
      </x:c>
      <x:c r="J230" s="23" t="n">
        <x:v>46478</x:v>
      </x:c>
      <x:c r="K230" s="35" t="str">
        <x:v>valid non-default; boundary/format value; blank/null when optional; invalid value when constrained</x:v>
      </x:c>
      <x:c r="L230" s="35" t="str">
        <x:v>Save succeeds; reload shows the exact normalized value; other client reads it where supported; edit persists; validation rejects invalid input without partial mutation.</x:v>
      </x:c>
    </x:row>
    <x:row r="231">
      <x:c r="A231" s="20" t="str">
        <x:v>FLD-0228</x:v>
      </x:c>
      <x:c r="B231" s="20" t="str">
        <x:v>Web</x:v>
      </x:c>
      <x:c r="C231" s="35" t="str">
        <x:v>web/src/lib/components/unit/tabs/ListingTab.svelte</x:v>
      </x:c>
      <x:c r="D231" s="35" t="str">
        <x:v>web/src/lib/components/unit/tabs/ListingTab.svelte</x:v>
      </x:c>
      <x:c r="E231" s="32" t="n">
        <x:v>234</x:v>
      </x:c>
      <x:c r="F231" s="20" t="str">
        <x:v>input</x:v>
      </x:c>
      <x:c r="G231" s="35" t="str">
        <x:v>form.externalStatus</x:v>
      </x:c>
      <x:c r="H231" s="35" t="str">
        <x:v>Application URL</x:v>
      </x:c>
      <x:c r="I231" s="20" t="str">
        <x:v>Property Manager</x:v>
      </x:c>
      <x:c r="J231" s="23" t="n">
        <x:v>46478</x:v>
      </x:c>
      <x:c r="K231" s="35" t="str">
        <x:v>valid non-default; boundary/format value; blank/null when optional; invalid value when constrained</x:v>
      </x:c>
      <x:c r="L231" s="35" t="str">
        <x:v>Save succeeds; reload shows the exact normalized value; other client reads it where supported; edit persists; validation rejects invalid input without partial mutation.</x:v>
      </x:c>
    </x:row>
    <x:row r="232">
      <x:c r="A232" s="20" t="str">
        <x:v>FLD-0229</x:v>
      </x:c>
      <x:c r="B232" s="20" t="str">
        <x:v>Web</x:v>
      </x:c>
      <x:c r="C232" s="35" t="str">
        <x:v>web/src/lib/components/unit/tabs/MaintenanceTab.svelte</x:v>
      </x:c>
      <x:c r="D232" s="35" t="str">
        <x:v>web/src/lib/components/unit/tabs/MaintenanceTab.svelte</x:v>
      </x:c>
      <x:c r="E232" s="32" t="n">
        <x:v>269</x:v>
      </x:c>
      <x:c r="F232" s="20" t="str">
        <x:v>input</x:v>
      </x:c>
      <x:c r="G232" s="35" t="str">
        <x:v>wo-title</x:v>
      </x:c>
      <x:c r="H232" s="35" t="str">
        <x:v>Title</x:v>
      </x:c>
      <x:c r="I232" s="20" t="str">
        <x:v>Property Manager</x:v>
      </x:c>
      <x:c r="J232" s="23" t="n">
        <x:v>46478</x:v>
      </x:c>
      <x:c r="K232" s="35" t="str">
        <x:v>valid non-default; boundary/format value; blank/null when optional; invalid value when constrained</x:v>
      </x:c>
      <x:c r="L232" s="35" t="str">
        <x:v>Save succeeds; reload shows the exact normalized value; other client reads it where supported; edit persists; validation rejects invalid input without partial mutation.</x:v>
      </x:c>
    </x:row>
    <x:row r="233">
      <x:c r="A233" s="20" t="str">
        <x:v>FLD-0230</x:v>
      </x:c>
      <x:c r="B233" s="20" t="str">
        <x:v>Web</x:v>
      </x:c>
      <x:c r="C233" s="35" t="str">
        <x:v>web/src/lib/components/unit/tabs/MaintenanceTab.svelte</x:v>
      </x:c>
      <x:c r="D233" s="35" t="str">
        <x:v>web/src/lib/components/unit/tabs/MaintenanceTab.svelte</x:v>
      </x:c>
      <x:c r="E233" s="32" t="n">
        <x:v>274</x:v>
      </x:c>
      <x:c r="F233" s="20" t="str">
        <x:v>textarea</x:v>
      </x:c>
      <x:c r="G233" s="35" t="str">
        <x:v>wo-desc</x:v>
      </x:c>
      <x:c r="H233" s="35" t="str">
        <x:v>Description</x:v>
      </x:c>
      <x:c r="I233" s="20" t="str">
        <x:v>Property Manager</x:v>
      </x:c>
      <x:c r="J233" s="23" t="n">
        <x:v>46479</x:v>
      </x:c>
      <x:c r="K233" s="35" t="str">
        <x:v>valid non-default; boundary/format value; blank/null when optional; invalid value when constrained</x:v>
      </x:c>
      <x:c r="L233" s="35" t="str">
        <x:v>Save succeeds; reload shows the exact normalized value; other client reads it where supported; edit persists; validation rejects invalid input without partial mutation.</x:v>
      </x:c>
    </x:row>
    <x:row r="234">
      <x:c r="A234" s="20" t="str">
        <x:v>FLD-0231</x:v>
      </x:c>
      <x:c r="B234" s="20" t="str">
        <x:v>Web</x:v>
      </x:c>
      <x:c r="C234" s="35" t="str">
        <x:v>web/src/lib/components/unit/tabs/MaintenanceTab.svelte</x:v>
      </x:c>
      <x:c r="D234" s="35" t="str">
        <x:v>web/src/lib/components/unit/tabs/MaintenanceTab.svelte</x:v>
      </x:c>
      <x:c r="E234" s="32" t="n">
        <x:v>281</x:v>
      </x:c>
      <x:c r="F234" s="20" t="str">
        <x:v>single</x:v>
      </x:c>
      <x:c r="G234" s="35" t="str">
        <x:v>createForm.priority</x:v>
      </x:c>
      <x:c r="H234" s="35" t="str">
        <x:v>Priority</x:v>
      </x:c>
      <x:c r="I234" s="20" t="str">
        <x:v>Property Manager</x:v>
      </x:c>
      <x:c r="J234" s="23" t="n">
        <x:v>46479</x:v>
      </x:c>
      <x:c r="K234" s="35" t="str">
        <x:v>valid non-default; boundary/format value; blank/null when optional; invalid value when constrained</x:v>
      </x:c>
      <x:c r="L234" s="35" t="str">
        <x:v>Save succeeds; reload shows the exact normalized value; other client reads it where supported; edit persists; validation rejects invalid input without partial mutation.</x:v>
      </x:c>
    </x:row>
    <x:row r="235">
      <x:c r="A235" s="20" t="str">
        <x:v>FLD-0232</x:v>
      </x:c>
      <x:c r="B235" s="20" t="str">
        <x:v>Web</x:v>
      </x:c>
      <x:c r="C235" s="35" t="str">
        <x:v>web/src/lib/components/unit/tabs/MaintenanceTab.svelte</x:v>
      </x:c>
      <x:c r="D235" s="35" t="str">
        <x:v>web/src/lib/components/unit/tabs/MaintenanceTab.svelte</x:v>
      </x:c>
      <x:c r="E235" s="32" t="n">
        <x:v>282</x:v>
      </x:c>
      <x:c r="F235" s="20" t="str">
        <x:v>select</x:v>
      </x:c>
      <x:c r="G235" s="35" t="str">
        <x:v>wo-priority</x:v>
      </x:c>
      <x:c r="H235" s="35" t="str">
        <x:v>Priority</x:v>
      </x:c>
      <x:c r="I235" s="20" t="str">
        <x:v>Property Manager</x:v>
      </x:c>
      <x:c r="J235" s="23" t="n">
        <x:v>46479</x:v>
      </x:c>
      <x:c r="K235" s="35" t="str">
        <x:v>valid non-default; boundary/format value; blank/null when optional; invalid value when constrained</x:v>
      </x:c>
      <x:c r="L235" s="35" t="str">
        <x:v>Save succeeds; reload shows the exact normalized value; other client reads it where supported; edit persists; validation rejects invalid input without partial mutation.</x:v>
      </x:c>
    </x:row>
    <x:row r="236">
      <x:c r="A236" s="20" t="str">
        <x:v>FLD-0233</x:v>
      </x:c>
      <x:c r="B236" s="20" t="str">
        <x:v>Web</x:v>
      </x:c>
      <x:c r="C236" s="35" t="str">
        <x:v>web/src/lib/components/unit/tabs/MaintenanceTab.svelte</x:v>
      </x:c>
      <x:c r="D236" s="35" t="str">
        <x:v>web/src/lib/components/unit/tabs/MaintenanceTab.svelte</x:v>
      </x:c>
      <x:c r="E236" s="32" t="n">
        <x:v>283</x:v>
      </x:c>
      <x:c r="F236" s="20" t="str">
        <x:v>select</x:v>
      </x:c>
      <x:c r="G236" s="35" t="str">
        <x:v>Select-5</x:v>
      </x:c>
      <x:c r="H236" s="35" t="str">
        <x:v>Priority</x:v>
      </x:c>
      <x:c r="I236" s="20" t="str">
        <x:v>Property Manager</x:v>
      </x:c>
      <x:c r="J236" s="23" t="n">
        <x:v>46479</x:v>
      </x:c>
      <x:c r="K236" s="35" t="str">
        <x:v>valid non-default; boundary/format value; blank/null when optional; invalid value when constrained</x:v>
      </x:c>
      <x:c r="L236" s="35" t="str">
        <x:v>Save succeeds; reload shows the exact normalized value; other client reads it where supported; edit persists; validation rejects invalid input without partial mutation.</x:v>
      </x:c>
    </x:row>
    <x:row r="237">
      <x:c r="A237" s="20" t="str">
        <x:v>FLD-0234</x:v>
      </x:c>
      <x:c r="B237" s="20" t="str">
        <x:v>Web</x:v>
      </x:c>
      <x:c r="C237" s="35" t="str">
        <x:v>web/src/lib/components/unit/tabs/MaintenanceTab.svelte</x:v>
      </x:c>
      <x:c r="D237" s="35" t="str">
        <x:v>web/src/lib/components/unit/tabs/MaintenanceTab.svelte</x:v>
      </x:c>
      <x:c r="E237" s="32" t="n">
        <x:v>284</x:v>
      </x:c>
      <x:c r="F237" s="20" t="str">
        <x:v>select</x:v>
      </x:c>
      <x:c r="G237" s="35" t="str">
        <x:v>Select-6</x:v>
      </x:c>
      <x:c r="H237" s="35" t="str">
        <x:v>Priority</x:v>
      </x:c>
      <x:c r="I237" s="20" t="str">
        <x:v>Property Manager</x:v>
      </x:c>
      <x:c r="J237" s="23" t="n">
        <x:v>46479</x:v>
      </x:c>
      <x:c r="K237" s="35" t="str">
        <x:v>valid non-default; boundary/format value; blank/null when optional; invalid value when constrained</x:v>
      </x:c>
      <x:c r="L237" s="35" t="str">
        <x:v>Save succeeds; reload shows the exact normalized value; other client reads it where supported; edit persists; validation rejects invalid input without partial mutation.</x:v>
      </x:c>
    </x:row>
    <x:row r="238">
      <x:c r="A238" s="20" t="str">
        <x:v>FLD-0235</x:v>
      </x:c>
      <x:c r="B238" s="20" t="str">
        <x:v>Web</x:v>
      </x:c>
      <x:c r="C238" s="35" t="str">
        <x:v>web/src/lib/components/unit/tabs/MaintenanceTab.svelte</x:v>
      </x:c>
      <x:c r="D238" s="35" t="str">
        <x:v>web/src/lib/components/unit/tabs/MaintenanceTab.svelte</x:v>
      </x:c>
      <x:c r="E238" s="32" t="n">
        <x:v>290</x:v>
      </x:c>
      <x:c r="F238" s="20" t="str">
        <x:v>input</x:v>
      </x:c>
      <x:c r="G238" s="35" t="str">
        <x:v>wo-cat</x:v>
      </x:c>
      <x:c r="H238" s="35" t="str">
        <x:v>Category</x:v>
      </x:c>
      <x:c r="I238" s="20" t="str">
        <x:v>Property Manager</x:v>
      </x:c>
      <x:c r="J238" s="23" t="n">
        <x:v>46482</x:v>
      </x:c>
      <x:c r="K238" s="35" t="str">
        <x:v>valid non-default; boundary/format value; blank/null when optional; invalid value when constrained</x:v>
      </x:c>
      <x:c r="L238" s="35" t="str">
        <x:v>Save succeeds; reload shows the exact normalized value; other client reads it where supported; edit persists; validation rejects invalid input without partial mutation.</x:v>
      </x:c>
    </x:row>
    <x:row r="239">
      <x:c r="A239" s="20" t="str">
        <x:v>FLD-0236</x:v>
      </x:c>
      <x:c r="B239" s="20" t="str">
        <x:v>Web</x:v>
      </x:c>
      <x:c r="C239" s="35" t="str">
        <x:v>web/src/lib/components/unit/tabs/RentTab.svelte</x:v>
      </x:c>
      <x:c r="D239" s="35" t="str">
        <x:v>web/src/lib/components/unit/tabs/RentTab.svelte</x:v>
      </x:c>
      <x:c r="E239" s="32" t="n">
        <x:v>238</x:v>
      </x:c>
      <x:c r="F239" s="20" t="str">
        <x:v>text</x:v>
      </x:c>
      <x:c r="G239" s="35" t="str">
        <x:v>receiptForm.amount</x:v>
      </x:c>
      <x:c r="H239" s="35" t="str"/>
      <x:c r="I239" s="20" t="str">
        <x:v>Property Manager</x:v>
      </x:c>
      <x:c r="J239" s="23" t="n">
        <x:v>46482</x:v>
      </x:c>
      <x:c r="K239" s="35" t="str">
        <x:v>valid non-default; boundary/format value; blank/null when optional; invalid value when constrained</x:v>
      </x:c>
      <x:c r="L239" s="35" t="str">
        <x:v>Save succeeds; reload shows the exact normalized value; other client reads it where supported; edit persists; validation rejects invalid input without partial mutation.</x:v>
      </x:c>
    </x:row>
    <x:row r="240">
      <x:c r="A240" s="20" t="str">
        <x:v>FLD-0237</x:v>
      </x:c>
      <x:c r="B240" s="20" t="str">
        <x:v>Web</x:v>
      </x:c>
      <x:c r="C240" s="35" t="str">
        <x:v>web/src/lib/components/unit/tabs/RentTab.svelte</x:v>
      </x:c>
      <x:c r="D240" s="35" t="str">
        <x:v>web/src/lib/components/unit/tabs/RentTab.svelte</x:v>
      </x:c>
      <x:c r="E240" s="32" t="n">
        <x:v>240</x:v>
      </x:c>
      <x:c r="F240" s="20" t="str">
        <x:v>single</x:v>
      </x:c>
      <x:c r="G240" s="35" t="str">
        <x:v>receiptForm.method</x:v>
      </x:c>
      <x:c r="H240" s="35" t="str">
        <x:v>Date received</x:v>
      </x:c>
      <x:c r="I240" s="20" t="str">
        <x:v>Property Manager</x:v>
      </x:c>
      <x:c r="J240" s="23" t="n">
        <x:v>46482</x:v>
      </x:c>
      <x:c r="K240" s="35" t="str">
        <x:v>valid non-default; boundary/format value; blank/null when optional; invalid value when constrained</x:v>
      </x:c>
      <x:c r="L240" s="35" t="str">
        <x:v>Save succeeds; reload shows the exact normalized value; other client reads it where supported; edit persists; validation rejects invalid input without partial mutation.</x:v>
      </x:c>
    </x:row>
    <x:row r="241">
      <x:c r="A241" s="20" t="str">
        <x:v>FLD-0238</x:v>
      </x:c>
      <x:c r="B241" s="20" t="str">
        <x:v>Web</x:v>
      </x:c>
      <x:c r="C241" s="35" t="str">
        <x:v>web/src/lib/components/unit/tabs/RentTab.svelte</x:v>
      </x:c>
      <x:c r="D241" s="35" t="str">
        <x:v>web/src/lib/components/unit/tabs/RentTab.svelte</x:v>
      </x:c>
      <x:c r="E241" s="32" t="n">
        <x:v>240</x:v>
      </x:c>
      <x:c r="F241" s="20" t="str">
        <x:v>select</x:v>
      </x:c>
      <x:c r="G241" s="35" t="str">
        <x:v>Select-3</x:v>
      </x:c>
      <x:c r="H241" s="35" t="str">
        <x:v>Date received</x:v>
      </x:c>
      <x:c r="I241" s="20" t="str">
        <x:v>Property Manager</x:v>
      </x:c>
      <x:c r="J241" s="23" t="n">
        <x:v>46482</x:v>
      </x:c>
      <x:c r="K241" s="35" t="str">
        <x:v>valid non-default; boundary/format value; blank/null when optional; invalid value when constrained</x:v>
      </x:c>
      <x:c r="L241" s="35" t="str">
        <x:v>Save succeeds; reload shows the exact normalized value; other client reads it where supported; edit persists; validation rejects invalid input without partial mutation.</x:v>
      </x:c>
    </x:row>
    <x:row r="242">
      <x:c r="A242" s="20" t="str">
        <x:v>FLD-0239</x:v>
      </x:c>
      <x:c r="B242" s="20" t="str">
        <x:v>Web</x:v>
      </x:c>
      <x:c r="C242" s="35" t="str">
        <x:v>web/src/lib/components/unit/tabs/RentTab.svelte</x:v>
      </x:c>
      <x:c r="D242" s="35" t="str">
        <x:v>web/src/lib/components/unit/tabs/RentTab.svelte</x:v>
      </x:c>
      <x:c r="E242" s="32" t="n">
        <x:v>240</x:v>
      </x:c>
      <x:c r="F242" s="20" t="str">
        <x:v>select</x:v>
      </x:c>
      <x:c r="G242" s="35" t="str">
        <x:v>Select-4</x:v>
      </x:c>
      <x:c r="H242" s="35" t="str">
        <x:v>Date received</x:v>
      </x:c>
      <x:c r="I242" s="20" t="str">
        <x:v>Property Manager</x:v>
      </x:c>
      <x:c r="J242" s="23" t="n">
        <x:v>46483</x:v>
      </x:c>
      <x:c r="K242" s="35" t="str">
        <x:v>valid non-default; boundary/format value; blank/null when optional; invalid value when constrained</x:v>
      </x:c>
      <x:c r="L242" s="35" t="str">
        <x:v>Save succeeds; reload shows the exact normalized value; other client reads it where supported; edit persists; validation rejects invalid input without partial mutation.</x:v>
      </x:c>
    </x:row>
    <x:row r="243">
      <x:c r="A243" s="20" t="str">
        <x:v>FLD-0240</x:v>
      </x:c>
      <x:c r="B243" s="20" t="str">
        <x:v>Web</x:v>
      </x:c>
      <x:c r="C243" s="35" t="str">
        <x:v>web/src/lib/components/unit/tabs/RentTab.svelte</x:v>
      </x:c>
      <x:c r="D243" s="35" t="str">
        <x:v>web/src/lib/components/unit/tabs/RentTab.svelte</x:v>
      </x:c>
      <x:c r="E243" s="32" t="n">
        <x:v>240</x:v>
      </x:c>
      <x:c r="F243" s="20" t="str">
        <x:v>select</x:v>
      </x:c>
      <x:c r="G243" s="35" t="str">
        <x:v>Select-5</x:v>
      </x:c>
      <x:c r="H243" s="35" t="str">
        <x:v>Date received</x:v>
      </x:c>
      <x:c r="I243" s="20" t="str">
        <x:v>Property Manager</x:v>
      </x:c>
      <x:c r="J243" s="23" t="n">
        <x:v>46483</x:v>
      </x:c>
      <x:c r="K243" s="35" t="str">
        <x:v>valid non-default; boundary/format value; blank/null when optional; invalid value when constrained</x:v>
      </x:c>
      <x:c r="L243" s="35" t="str">
        <x:v>Save succeeds; reload shows the exact normalized value; other client reads it where supported; edit persists; validation rejects invalid input without partial mutation.</x:v>
      </x:c>
    </x:row>
    <x:row r="244">
      <x:c r="A244" s="20" t="str">
        <x:v>FLD-0241</x:v>
      </x:c>
      <x:c r="B244" s="20" t="str">
        <x:v>Web</x:v>
      </x:c>
      <x:c r="C244" s="35" t="str">
        <x:v>web/src/lib/components/unit/tabs/RentTab.svelte</x:v>
      </x:c>
      <x:c r="D244" s="35" t="str">
        <x:v>web/src/lib/components/unit/tabs/RentTab.svelte</x:v>
      </x:c>
      <x:c r="E244" s="32" t="n">
        <x:v>241</x:v>
      </x:c>
      <x:c r="F244" s="20" t="str">
        <x:v>input</x:v>
      </x:c>
      <x:c r="G244" s="35" t="str">
        <x:v>receiptForm.reference</x:v>
      </x:c>
      <x:c r="H244" s="35" t="str">
        <x:v>Check or confirmation number</x:v>
      </x:c>
      <x:c r="I244" s="20" t="str">
        <x:v>Property Manager</x:v>
      </x:c>
      <x:c r="J244" s="23" t="n">
        <x:v>46483</x:v>
      </x:c>
      <x:c r="K244" s="35" t="str">
        <x:v>valid non-default; boundary/format value; blank/null when optional; invalid value when constrained</x:v>
      </x:c>
      <x:c r="L244" s="35" t="str">
        <x:v>Save succeeds; reload shows the exact normalized value; other client reads it where supported; edit persists; validation rejects invalid input without partial mutation.</x:v>
      </x:c>
    </x:row>
    <x:row r="245">
      <x:c r="A245" s="20" t="str">
        <x:v>FLD-0242</x:v>
      </x:c>
      <x:c r="B245" s="20" t="str">
        <x:v>Web</x:v>
      </x:c>
      <x:c r="C245" s="35" t="str">
        <x:v>web/src/lib/components/unit/tabs/RentTab.svelte</x:v>
      </x:c>
      <x:c r="D245" s="35" t="str">
        <x:v>web/src/lib/components/unit/tabs/RentTab.svelte</x:v>
      </x:c>
      <x:c r="E245" s="32" t="n">
        <x:v>242</x:v>
      </x:c>
      <x:c r="F245" s="20" t="str">
        <x:v>input</x:v>
      </x:c>
      <x:c r="G245" s="35" t="str">
        <x:v>receiptForm.payerName</x:v>
      </x:c>
      <x:c r="H245" s="35" t="str">
        <x:v>Reference</x:v>
      </x:c>
      <x:c r="I245" s="20" t="str">
        <x:v>Property Manager</x:v>
      </x:c>
      <x:c r="J245" s="23" t="n">
        <x:v>46483</x:v>
      </x:c>
      <x:c r="K245" s="35" t="str">
        <x:v>valid non-default; boundary/format value; blank/null when optional; invalid value when constrained</x:v>
      </x:c>
      <x:c r="L245" s="35" t="str">
        <x:v>Save succeeds; reload shows the exact normalized value; other client reads it where supported; edit persists; validation rejects invalid input without partial mutation.</x:v>
      </x:c>
    </x:row>
    <x:row r="246">
      <x:c r="A246" s="20" t="str">
        <x:v>FLD-0243</x:v>
      </x:c>
      <x:c r="B246" s="20" t="str">
        <x:v>Web</x:v>
      </x:c>
      <x:c r="C246" s="35" t="str">
        <x:v>web/src/lib/components/unit/tabs/RentTab.svelte</x:v>
      </x:c>
      <x:c r="D246" s="35" t="str">
        <x:v>web/src/lib/components/unit/tabs/RentTab.svelte</x:v>
      </x:c>
      <x:c r="E246" s="32" t="n">
        <x:v>243</x:v>
      </x:c>
      <x:c r="F246" s="20" t="str">
        <x:v>input</x:v>
      </x:c>
      <x:c r="G246" s="35" t="str">
        <x:v>receiptForm.description</x:v>
      </x:c>
      <x:c r="H246" s="35" t="str">
        <x:v>Payer</x:v>
      </x:c>
      <x:c r="I246" s="20" t="str">
        <x:v>Property Manager</x:v>
      </x:c>
      <x:c r="J246" s="23" t="n">
        <x:v>46484</x:v>
      </x:c>
      <x:c r="K246" s="35" t="str">
        <x:v>valid non-default; boundary/format value; blank/null when optional; invalid value when constrained</x:v>
      </x:c>
      <x:c r="L246" s="35" t="str">
        <x:v>Save succeeds; reload shows the exact normalized value; other client reads it where supported; edit persists; validation rejects invalid input without partial mutation.</x:v>
      </x:c>
    </x:row>
    <x:row r="247">
      <x:c r="A247" s="20" t="str">
        <x:v>FLD-0244</x:v>
      </x:c>
      <x:c r="B247" s="20" t="str">
        <x:v>Web</x:v>
      </x:c>
      <x:c r="C247" s="35" t="str">
        <x:v>web/src/lib/components/unit/tabs/RentTab.svelte</x:v>
      </x:c>
      <x:c r="D247" s="35" t="str">
        <x:v>web/src/lib/components/unit/tabs/RentTab.svelte</x:v>
      </x:c>
      <x:c r="E247" s="32" t="n">
        <x:v>248</x:v>
      </x:c>
      <x:c r="F247" s="20" t="str">
        <x:v>text</x:v>
      </x:c>
      <x:c r="G247" s="35" t="str">
        <x:v>chargeForm.amount</x:v>
      </x:c>
      <x:c r="H247" s="35" t="str"/>
      <x:c r="I247" s="20" t="str">
        <x:v>Property Manager</x:v>
      </x:c>
      <x:c r="J247" s="23" t="n">
        <x:v>46484</x:v>
      </x:c>
      <x:c r="K247" s="35" t="str">
        <x:v>valid non-default; boundary/format value; blank/null when optional; invalid value when constrained</x:v>
      </x:c>
      <x:c r="L247" s="35" t="str">
        <x:v>Save succeeds; reload shows the exact normalized value; other client reads it where supported; edit persists; validation rejects invalid input without partial mutation.</x:v>
      </x:c>
    </x:row>
    <x:row r="248">
      <x:c r="A248" s="20" t="str">
        <x:v>FLD-0245</x:v>
      </x:c>
      <x:c r="B248" s="20" t="str">
        <x:v>Web</x:v>
      </x:c>
      <x:c r="C248" s="35" t="str">
        <x:v>web/src/lib/components/unit/tabs/RentTab.svelte</x:v>
      </x:c>
      <x:c r="D248" s="35" t="str">
        <x:v>web/src/lib/components/unit/tabs/RentTab.svelte</x:v>
      </x:c>
      <x:c r="E248" s="32" t="n">
        <x:v>251</x:v>
      </x:c>
      <x:c r="F248" s="20" t="str">
        <x:v>input</x:v>
      </x:c>
      <x:c r="G248" s="35" t="str">
        <x:v>chargeForm.description</x:v>
      </x:c>
      <x:c r="H248" s="35" t="str">
        <x:v>Due date</x:v>
      </x:c>
      <x:c r="I248" s="20" t="str">
        <x:v>Property Manager</x:v>
      </x:c>
      <x:c r="J248" s="23" t="n">
        <x:v>46484</x:v>
      </x:c>
      <x:c r="K248" s="35" t="str">
        <x:v>valid non-default; boundary/format value; blank/null when optional; invalid value when constrained</x:v>
      </x:c>
      <x:c r="L248" s="35" t="str">
        <x:v>Save succeeds; reload shows the exact normalized value; other client reads it where supported; edit persists; validation rejects invalid input without partial mutation.</x:v>
      </x:c>
    </x:row>
    <x:row r="249">
      <x:c r="A249" s="20" t="str">
        <x:v>FLD-0246</x:v>
      </x:c>
      <x:c r="B249" s="20" t="str">
        <x:v>Web</x:v>
      </x:c>
      <x:c r="C249" s="35" t="str">
        <x:v>web/src/lib/dev/SimClockPanel.svelte</x:v>
      </x:c>
      <x:c r="D249" s="35" t="str">
        <x:v>web/src/lib/dev/SimClockPanel.svelte</x:v>
      </x:c>
      <x:c r="E249" s="32" t="n">
        <x:v>78</x:v>
      </x:c>
      <x:c r="F249" s="20" t="str">
        <x:v>date</x:v>
      </x:c>
      <x:c r="G249" s="35" t="str">
        <x:v>dateInput</x:v>
      </x:c>
      <x:c r="H249" s="35" t="str">
        <x:v>Set simulated date</x:v>
      </x:c>
      <x:c r="I249" s="20" t="str">
        <x:v>Property Manager</x:v>
      </x:c>
      <x:c r="J249" s="23" t="n">
        <x:v>46484</x:v>
      </x:c>
      <x:c r="K249" s="35" t="str">
        <x:v>valid non-default; boundary/format value; blank/null when optional; invalid value when constrained</x:v>
      </x:c>
      <x:c r="L249" s="35" t="str">
        <x:v>Save succeeds; reload shows the exact normalized value; other client reads it where supported; edit persists; validation rejects invalid input without partial mutation.</x:v>
      </x:c>
    </x:row>
    <x:row r="250">
      <x:c r="A250" s="20" t="str">
        <x:v>FLD-0247</x:v>
      </x:c>
      <x:c r="B250" s="20" t="str">
        <x:v>Web</x:v>
      </x:c>
      <x:c r="C250" s="35" t="str">
        <x:v>/admin/audit</x:v>
      </x:c>
      <x:c r="D250" s="35" t="str">
        <x:v>web/src/routes/(admin)/admin/audit/+page.svelte</x:v>
      </x:c>
      <x:c r="E250" s="32" t="n">
        <x:v>177</x:v>
      </x:c>
      <x:c r="F250" s="20" t="str">
        <x:v>single</x:v>
      </x:c>
      <x:c r="G250" s="35" t="str">
        <x:v>operationFilter</x:v>
      </x:c>
      <x:c r="H250" s="35" t="str"/>
      <x:c r="I250" s="20" t="str">
        <x:v>Workspace Administrator</x:v>
      </x:c>
      <x:c r="J250" s="23" t="n">
        <x:v>46484</x:v>
      </x:c>
      <x:c r="K250" s="35" t="str">
        <x:v>valid non-default; boundary/format value; blank/null when optional; invalid value when constrained</x:v>
      </x:c>
      <x:c r="L250" s="35" t="str">
        <x:v>Save succeeds; reload shows the exact normalized value; other client reads it where supported; edit persists; validation rejects invalid input without partial mutation.</x:v>
      </x:c>
    </x:row>
    <x:row r="251">
      <x:c r="A251" s="20" t="str">
        <x:v>FLD-0248</x:v>
      </x:c>
      <x:c r="B251" s="20" t="str">
        <x:v>Web</x:v>
      </x:c>
      <x:c r="C251" s="35" t="str">
        <x:v>/admin/audit</x:v>
      </x:c>
      <x:c r="D251" s="35" t="str">
        <x:v>web/src/routes/(admin)/admin/audit/+page.svelte</x:v>
      </x:c>
      <x:c r="E251" s="32" t="n">
        <x:v>178</x:v>
      </x:c>
      <x:c r="F251" s="20" t="str">
        <x:v>select</x:v>
      </x:c>
      <x:c r="G251" s="35" t="str">
        <x:v>admin-audit-operation-filter</x:v>
      </x:c>
      <x:c r="H251" s="35" t="str"/>
      <x:c r="I251" s="20" t="str">
        <x:v>Workspace Administrator</x:v>
      </x:c>
      <x:c r="J251" s="23" t="n">
        <x:v>46485</x:v>
      </x:c>
      <x:c r="K251" s="35" t="str">
        <x:v>valid non-default; boundary/format value; blank/null when optional; invalid value when constrained</x:v>
      </x:c>
      <x:c r="L251" s="35" t="str">
        <x:v>Save succeeds; reload shows the exact normalized value; other client reads it where supported; edit persists; validation rejects invalid input without partial mutation.</x:v>
      </x:c>
    </x:row>
    <x:row r="252">
      <x:c r="A252" s="20" t="str">
        <x:v>FLD-0249</x:v>
      </x:c>
      <x:c r="B252" s="20" t="str">
        <x:v>Web</x:v>
      </x:c>
      <x:c r="C252" s="35" t="str">
        <x:v>/admin/audit</x:v>
      </x:c>
      <x:c r="D252" s="35" t="str">
        <x:v>web/src/routes/(admin)/admin/audit/+page.svelte</x:v>
      </x:c>
      <x:c r="E252" s="32" t="n">
        <x:v>181</x:v>
      </x:c>
      <x:c r="F252" s="20" t="str">
        <x:v>select</x:v>
      </x:c>
      <x:c r="G252" s="35" t="str">
        <x:v>Select-3</x:v>
      </x:c>
      <x:c r="H252" s="35" t="str"/>
      <x:c r="I252" s="20" t="str">
        <x:v>Workspace Administrator</x:v>
      </x:c>
      <x:c r="J252" s="23" t="n">
        <x:v>46485</x:v>
      </x:c>
      <x:c r="K252" s="35" t="str">
        <x:v>valid non-default; boundary/format value; blank/null when optional; invalid value when constrained</x:v>
      </x:c>
      <x:c r="L252" s="35" t="str">
        <x:v>Save succeeds; reload shows the exact normalized value; other client reads it where supported; edit persists; validation rejects invalid input without partial mutation.</x:v>
      </x:c>
    </x:row>
    <x:row r="253">
      <x:c r="A253" s="20" t="str">
        <x:v>FLD-0250</x:v>
      </x:c>
      <x:c r="B253" s="20" t="str">
        <x:v>Web</x:v>
      </x:c>
      <x:c r="C253" s="35" t="str">
        <x:v>/admin/audit</x:v>
      </x:c>
      <x:c r="D253" s="35" t="str">
        <x:v>web/src/routes/(admin)/admin/audit/+page.svelte</x:v>
      </x:c>
      <x:c r="E253" s="32" t="n">
        <x:v>182</x:v>
      </x:c>
      <x:c r="F253" s="20" t="str">
        <x:v>select</x:v>
      </x:c>
      <x:c r="G253" s="35" t="str">
        <x:v>Select-4</x:v>
      </x:c>
      <x:c r="H253" s="35" t="str"/>
      <x:c r="I253" s="20" t="str">
        <x:v>Workspace Administrator</x:v>
      </x:c>
      <x:c r="J253" s="23" t="n">
        <x:v>46485</x:v>
      </x:c>
      <x:c r="K253" s="35" t="str">
        <x:v>valid non-default; boundary/format value; blank/null when optional; invalid value when constrained</x:v>
      </x:c>
      <x:c r="L253" s="35" t="str">
        <x:v>Save succeeds; reload shows the exact normalized value; other client reads it where supported; edit persists; validation rejects invalid input without partial mutation.</x:v>
      </x:c>
    </x:row>
    <x:row r="254">
      <x:c r="A254" s="20" t="str">
        <x:v>FLD-0251</x:v>
      </x:c>
      <x:c r="B254" s="20" t="str">
        <x:v>Web</x:v>
      </x:c>
      <x:c r="C254" s="35" t="str">
        <x:v>/admin/audit</x:v>
      </x:c>
      <x:c r="D254" s="35" t="str">
        <x:v>web/src/routes/(admin)/admin/audit/+page.svelte</x:v>
      </x:c>
      <x:c r="E254" s="32" t="n">
        <x:v>184</x:v>
      </x:c>
      <x:c r="F254" s="20" t="str">
        <x:v>select</x:v>
      </x:c>
      <x:c r="G254" s="35" t="str">
        <x:v>Select-5</x:v>
      </x:c>
      <x:c r="H254" s="35" t="str"/>
      <x:c r="I254" s="20" t="str">
        <x:v>Workspace Administrator</x:v>
      </x:c>
      <x:c r="J254" s="23" t="n">
        <x:v>46485</x:v>
      </x:c>
      <x:c r="K254" s="35" t="str">
        <x:v>valid non-default; boundary/format value; blank/null when optional; invalid value when constrained</x:v>
      </x:c>
      <x:c r="L254" s="35" t="str">
        <x:v>Save succeeds; reload shows the exact normalized value; other client reads it where supported; edit persists; validation rejects invalid input without partial mutation.</x:v>
      </x:c>
    </x:row>
    <x:row r="255">
      <x:c r="A255" s="20" t="str">
        <x:v>FLD-0252</x:v>
      </x:c>
      <x:c r="B255" s="20" t="str">
        <x:v>Web</x:v>
      </x:c>
      <x:c r="C255" s="35" t="str">
        <x:v>/admin/audit</x:v>
      </x:c>
      <x:c r="D255" s="35" t="str">
        <x:v>web/src/routes/(admin)/admin/audit/+page.svelte</x:v>
      </x:c>
      <x:c r="E255" s="32" t="n">
        <x:v>188</x:v>
      </x:c>
      <x:c r="F255" s="20" t="str">
        <x:v>single</x:v>
      </x:c>
      <x:c r="G255" s="35" t="str">
        <x:v>entityTypeFilter</x:v>
      </x:c>
      <x:c r="H255" s="35" t="str"/>
      <x:c r="I255" s="20" t="str">
        <x:v>Workspace Administrator</x:v>
      </x:c>
      <x:c r="J255" s="23" t="n">
        <x:v>46486</x:v>
      </x:c>
      <x:c r="K255" s="35" t="str">
        <x:v>valid non-default; boundary/format value; blank/null when optional; invalid value when constrained</x:v>
      </x:c>
      <x:c r="L255" s="35" t="str">
        <x:v>Save succeeds; reload shows the exact normalized value; other client reads it where supported; edit persists; validation rejects invalid input without partial mutation.</x:v>
      </x:c>
    </x:row>
    <x:row r="256">
      <x:c r="A256" s="20" t="str">
        <x:v>FLD-0253</x:v>
      </x:c>
      <x:c r="B256" s="20" t="str">
        <x:v>Web</x:v>
      </x:c>
      <x:c r="C256" s="35" t="str">
        <x:v>/admin/audit</x:v>
      </x:c>
      <x:c r="D256" s="35" t="str">
        <x:v>web/src/routes/(admin)/admin/audit/+page.svelte</x:v>
      </x:c>
      <x:c r="E256" s="32" t="n">
        <x:v>189</x:v>
      </x:c>
      <x:c r="F256" s="20" t="str">
        <x:v>select</x:v>
      </x:c>
      <x:c r="G256" s="35" t="str">
        <x:v>admin-audit-entity-type-filter</x:v>
      </x:c>
      <x:c r="H256" s="35" t="str"/>
      <x:c r="I256" s="20" t="str">
        <x:v>Workspace Administrator</x:v>
      </x:c>
      <x:c r="J256" s="23" t="n">
        <x:v>46486</x:v>
      </x:c>
      <x:c r="K256" s="35" t="str">
        <x:v>valid non-default; boundary/format value; blank/null when optional; invalid value when constrained</x:v>
      </x:c>
      <x:c r="L256" s="35" t="str">
        <x:v>Save succeeds; reload shows the exact normalized value; other client reads it where supported; edit persists; validation rejects invalid input without partial mutation.</x:v>
      </x:c>
    </x:row>
    <x:row r="257">
      <x:c r="A257" s="20" t="str">
        <x:v>FLD-0254</x:v>
      </x:c>
      <x:c r="B257" s="20" t="str">
        <x:v>Web</x:v>
      </x:c>
      <x:c r="C257" s="35" t="str">
        <x:v>/admin/audit</x:v>
      </x:c>
      <x:c r="D257" s="35" t="str">
        <x:v>web/src/routes/(admin)/admin/audit/+page.svelte</x:v>
      </x:c>
      <x:c r="E257" s="32" t="n">
        <x:v>192</x:v>
      </x:c>
      <x:c r="F257" s="20" t="str">
        <x:v>select</x:v>
      </x:c>
      <x:c r="G257" s="35" t="str">
        <x:v>Select-8</x:v>
      </x:c>
      <x:c r="H257" s="35" t="str"/>
      <x:c r="I257" s="20" t="str">
        <x:v>Workspace Administrator</x:v>
      </x:c>
      <x:c r="J257" s="23" t="n">
        <x:v>46486</x:v>
      </x:c>
      <x:c r="K257" s="35" t="str">
        <x:v>valid non-default; boundary/format value; blank/null when optional; invalid value when constrained</x:v>
      </x:c>
      <x:c r="L257" s="35" t="str">
        <x:v>Save succeeds; reload shows the exact normalized value; other client reads it where supported; edit persists; validation rejects invalid input without partial mutation.</x:v>
      </x:c>
    </x:row>
    <x:row r="258">
      <x:c r="A258" s="20" t="str">
        <x:v>FLD-0255</x:v>
      </x:c>
      <x:c r="B258" s="20" t="str">
        <x:v>Web</x:v>
      </x:c>
      <x:c r="C258" s="35" t="str">
        <x:v>/admin/audit</x:v>
      </x:c>
      <x:c r="D258" s="35" t="str">
        <x:v>web/src/routes/(admin)/admin/audit/+page.svelte</x:v>
      </x:c>
      <x:c r="E258" s="32" t="n">
        <x:v>193</x:v>
      </x:c>
      <x:c r="F258" s="20" t="str">
        <x:v>select</x:v>
      </x:c>
      <x:c r="G258" s="35" t="str">
        <x:v>Select-9</x:v>
      </x:c>
      <x:c r="H258" s="35" t="str"/>
      <x:c r="I258" s="20" t="str">
        <x:v>Workspace Administrator</x:v>
      </x:c>
      <x:c r="J258" s="23" t="n">
        <x:v>46486</x:v>
      </x:c>
      <x:c r="K258" s="35" t="str">
        <x:v>valid non-default; boundary/format value; blank/null when optional; invalid value when constrained</x:v>
      </x:c>
      <x:c r="L258" s="35" t="str">
        <x:v>Save succeeds; reload shows the exact normalized value; other client reads it where supported; edit persists; validation rejects invalid input without partial mutation.</x:v>
      </x:c>
    </x:row>
    <x:row r="259">
      <x:c r="A259" s="20" t="str">
        <x:v>FLD-0256</x:v>
      </x:c>
      <x:c r="B259" s="20" t="str">
        <x:v>Web</x:v>
      </x:c>
      <x:c r="C259" s="35" t="str">
        <x:v>/admin/audit</x:v>
      </x:c>
      <x:c r="D259" s="35" t="str">
        <x:v>web/src/routes/(admin)/admin/audit/+page.svelte</x:v>
      </x:c>
      <x:c r="E259" s="32" t="n">
        <x:v>195</x:v>
      </x:c>
      <x:c r="F259" s="20" t="str">
        <x:v>select</x:v>
      </x:c>
      <x:c r="G259" s="35" t="str">
        <x:v>Select-10</x:v>
      </x:c>
      <x:c r="H259" s="35" t="str"/>
      <x:c r="I259" s="20" t="str">
        <x:v>Workspace Administrator</x:v>
      </x:c>
      <x:c r="J259" s="23" t="n">
        <x:v>46486</x:v>
      </x:c>
      <x:c r="K259" s="35" t="str">
        <x:v>valid non-default; boundary/format value; blank/null when optional; invalid value when constrained</x:v>
      </x:c>
      <x:c r="L259" s="35" t="str">
        <x:v>Save succeeds; reload shows the exact normalized value; other client reads it where supported; edit persists; validation rejects invalid input without partial mutation.</x:v>
      </x:c>
    </x:row>
    <x:row r="260">
      <x:c r="A260" s="20" t="str">
        <x:v>FLD-0257</x:v>
      </x:c>
      <x:c r="B260" s="20" t="str">
        <x:v>Web</x:v>
      </x:c>
      <x:c r="C260" s="35" t="str">
        <x:v>/admin/users</x:v>
      </x:c>
      <x:c r="D260" s="35" t="str">
        <x:v>web/src/routes/(admin)/admin/users/+page.svelte</x:v>
      </x:c>
      <x:c r="E260" s="32" t="n">
        <x:v>314</x:v>
      </x:c>
      <x:c r="F260" s="20" t="str">
        <x:v>input</x:v>
      </x:c>
      <x:c r="G260" s="35" t="str">
        <x:v>team-search</x:v>
      </x:c>
      <x:c r="H260" s="35" t="str">
        <x:v>Search team members</x:v>
      </x:c>
      <x:c r="I260" s="20" t="str">
        <x:v>Workspace Administrator</x:v>
      </x:c>
      <x:c r="J260" s="23" t="n">
        <x:v>46489</x:v>
      </x:c>
      <x:c r="K260" s="35" t="str">
        <x:v>valid non-default; boundary/format value; blank/null when optional; invalid value when constrained</x:v>
      </x:c>
      <x:c r="L260" s="35" t="str">
        <x:v>Save succeeds; reload shows the exact normalized value; other client reads it where supported; edit persists; validation rejects invalid input without partial mutation.</x:v>
      </x:c>
    </x:row>
    <x:row r="261">
      <x:c r="A261" s="20" t="str">
        <x:v>FLD-0258</x:v>
      </x:c>
      <x:c r="B261" s="20" t="str">
        <x:v>Web</x:v>
      </x:c>
      <x:c r="C261" s="35" t="str">
        <x:v>/admin/users</x:v>
      </x:c>
      <x:c r="D261" s="35" t="str">
        <x:v>web/src/routes/(admin)/admin/users/+page.svelte</x:v>
      </x:c>
      <x:c r="E261" s="32" t="n">
        <x:v>408</x:v>
      </x:c>
      <x:c r="F261" s="20" t="str">
        <x:v>input</x:v>
      </x:c>
      <x:c r="G261" s="35" t="str">
        <x:v>displayName</x:v>
      </x:c>
      <x:c r="H261" s="35" t="str">
        <x:v>Jane Smith</x:v>
      </x:c>
      <x:c r="I261" s="20" t="str">
        <x:v>Workspace Administrator</x:v>
      </x:c>
      <x:c r="J261" s="23" t="n">
        <x:v>46489</x:v>
      </x:c>
      <x:c r="K261" s="35" t="str">
        <x:v>valid non-default; boundary/format value; blank/null when optional; invalid value when constrained</x:v>
      </x:c>
      <x:c r="L261" s="35" t="str">
        <x:v>Save succeeds; reload shows the exact normalized value; other client reads it where supported; edit persists; validation rejects invalid input without partial mutation.</x:v>
      </x:c>
    </x:row>
    <x:row r="262">
      <x:c r="A262" s="20" t="str">
        <x:v>FLD-0259</x:v>
      </x:c>
      <x:c r="B262" s="20" t="str">
        <x:v>Web</x:v>
      </x:c>
      <x:c r="C262" s="35" t="str">
        <x:v>/admin/users</x:v>
      </x:c>
      <x:c r="D262" s="35" t="str">
        <x:v>web/src/routes/(admin)/admin/users/+page.svelte</x:v>
      </x:c>
      <x:c r="E262" s="32" t="n">
        <x:v>409</x:v>
      </x:c>
      <x:c r="F262" s="20" t="str">
        <x:v>email</x:v>
      </x:c>
      <x:c r="G262" s="35" t="str">
        <x:v>email</x:v>
      </x:c>
      <x:c r="H262" s="35" t="str">
        <x:v>Name</x:v>
      </x:c>
      <x:c r="I262" s="20" t="str">
        <x:v>Workspace Administrator</x:v>
      </x:c>
      <x:c r="J262" s="23" t="n">
        <x:v>46489</x:v>
      </x:c>
      <x:c r="K262" s="35" t="str">
        <x:v>valid non-default; boundary/format value; blank/null when optional; invalid value when constrained</x:v>
      </x:c>
      <x:c r="L262" s="35" t="str">
        <x:v>Save succeeds; reload shows the exact normalized value; other client reads it where supported; edit persists; validation rejects invalid input without partial mutation.</x:v>
      </x:c>
    </x:row>
    <x:row r="263">
      <x:c r="A263" s="20" t="str">
        <x:v>FLD-0260</x:v>
      </x:c>
      <x:c r="B263" s="20" t="str">
        <x:v>Web</x:v>
      </x:c>
      <x:c r="C263" s="35" t="str">
        <x:v>/admin/users</x:v>
      </x:c>
      <x:c r="D263" s="35" t="str">
        <x:v>web/src/routes/(admin)/admin/users/+page.svelte</x:v>
      </x:c>
      <x:c r="E263" s="32" t="n">
        <x:v>414</x:v>
      </x:c>
      <x:c r="F263" s="20" t="str">
        <x:v>select</x:v>
      </x:c>
      <x:c r="G263" s="35" t="str">
        <x:v>select-4</x:v>
      </x:c>
      <x:c r="H263" s="35" t="str">
        <x:v>Email</x:v>
      </x:c>
      <x:c r="I263" s="20" t="str">
        <x:v>Workspace Administrator</x:v>
      </x:c>
      <x:c r="J263" s="23" t="n">
        <x:v>46489</x:v>
      </x:c>
      <x:c r="K263" s="35" t="str">
        <x:v>valid non-default; boundary/format value; blank/null when optional; invalid value when constrained</x:v>
      </x:c>
      <x:c r="L263" s="35" t="str">
        <x:v>Save succeeds; reload shows the exact normalized value; other client reads it where supported; edit persists; validation rejects invalid input without partial mutation.</x:v>
      </x:c>
    </x:row>
    <x:row r="264">
      <x:c r="A264" s="20" t="str">
        <x:v>FLD-0261</x:v>
      </x:c>
      <x:c r="B264" s="20" t="str">
        <x:v>Web</x:v>
      </x:c>
      <x:c r="C264" s="35" t="str">
        <x:v>/admin/users</x:v>
      </x:c>
      <x:c r="D264" s="35" t="str">
        <x:v>web/src/routes/(admin)/admin/users/+page.svelte</x:v>
      </x:c>
      <x:c r="E264" s="32" t="n">
        <x:v>424</x:v>
      </x:c>
      <x:c r="F264" s="20" t="str">
        <x:v>select</x:v>
      </x:c>
      <x:c r="G264" s="35" t="str">
        <x:v>scopeKind</x:v>
      </x:c>
      <x:c r="H264" s="35" t="str"/>
      <x:c r="I264" s="20" t="str">
        <x:v>Workspace Administrator</x:v>
      </x:c>
      <x:c r="J264" s="23" t="n">
        <x:v>46490</x:v>
      </x:c>
      <x:c r="K264" s="35" t="str">
        <x:v>valid non-default; boundary/format value; blank/null when optional; invalid value when constrained</x:v>
      </x:c>
      <x:c r="L264" s="35" t="str">
        <x:v>Save succeeds; reload shows the exact normalized value; other client reads it where supported; edit persists; validation rejects invalid input without partial mutation.</x:v>
      </x:c>
    </x:row>
    <x:row r="265">
      <x:c r="A265" s="20" t="str">
        <x:v>FLD-0262</x:v>
      </x:c>
      <x:c r="B265" s="20" t="str">
        <x:v>Web</x:v>
      </x:c>
      <x:c r="C265" s="35" t="str">
        <x:v>/admin/users</x:v>
      </x:c>
      <x:c r="D265" s="35" t="str">
        <x:v>web/src/routes/(admin)/admin/users/+page.svelte</x:v>
      </x:c>
      <x:c r="E265" s="32" t="n">
        <x:v>437</x:v>
      </x:c>
      <x:c r="F265" s="20" t="str">
        <x:v>input</x:v>
      </x:c>
      <x:c r="G265" s="35" t="str">
        <x:v>Search properties</x:v>
      </x:c>
      <x:c r="H265" s="35" t="str">
        <x:v>Search properties</x:v>
      </x:c>
      <x:c r="I265" s="20" t="str">
        <x:v>Workspace Administrator</x:v>
      </x:c>
      <x:c r="J265" s="23" t="n">
        <x:v>46490</x:v>
      </x:c>
      <x:c r="K265" s="35" t="str">
        <x:v>valid non-default; boundary/format value; blank/null when optional; invalid value when constrained</x:v>
      </x:c>
      <x:c r="L265" s="35" t="str">
        <x:v>Save succeeds; reload shows the exact normalized value; other client reads it where supported; edit persists; validation rejects invalid input without partial mutation.</x:v>
      </x:c>
    </x:row>
    <x:row r="266">
      <x:c r="A266" s="20" t="str">
        <x:v>FLD-0263</x:v>
      </x:c>
      <x:c r="B266" s="20" t="str">
        <x:v>Web</x:v>
      </x:c>
      <x:c r="C266" s="35" t="str">
        <x:v>/admin/users</x:v>
      </x:c>
      <x:c r="D266" s="35" t="str">
        <x:v>web/src/routes/(admin)/admin/users/+page.svelte</x:v>
      </x:c>
      <x:c r="E266" s="32" t="n">
        <x:v>443</x:v>
      </x:c>
      <x:c r="F266" s="20" t="str">
        <x:v>checkbox</x:v>
      </x:c>
      <x:c r="G266" s="35" t="str">
        <x:v>input-7</x:v>
      </x:c>
      <x:c r="H266" s="35" t="str"/>
      <x:c r="I266" s="20" t="str">
        <x:v>Workspace Administrator</x:v>
      </x:c>
      <x:c r="J266" s="23" t="n">
        <x:v>46490</x:v>
      </x:c>
      <x:c r="K266" s="35" t="str">
        <x:v>valid non-default; boundary/format value; blank/null when optional; invalid value when constrained</x:v>
      </x:c>
      <x:c r="L266" s="35" t="str">
        <x:v>Save succeeds; reload shows the exact normalized value; other client reads it where supported; edit persists; validation rejects invalid input without partial mutation.</x:v>
      </x:c>
    </x:row>
    <x:row r="267">
      <x:c r="A267" s="20" t="str">
        <x:v>FLD-0264</x:v>
      </x:c>
      <x:c r="B267" s="20" t="str">
        <x:v>Web</x:v>
      </x:c>
      <x:c r="C267" s="35" t="str">
        <x:v>/admin/users</x:v>
      </x:c>
      <x:c r="D267" s="35" t="str">
        <x:v>web/src/routes/(admin)/admin/users/+page.svelte</x:v>
      </x:c>
      <x:c r="E267" s="32" t="n">
        <x:v>556</x:v>
      </x:c>
      <x:c r="F267" s="20" t="str">
        <x:v>select</x:v>
      </x:c>
      <x:c r="G267" s="35" t="str">
        <x:v>select-8</x:v>
      </x:c>
      <x:c r="H267" s="35" t="str"/>
      <x:c r="I267" s="20" t="str">
        <x:v>Workspace Administrator</x:v>
      </x:c>
      <x:c r="J267" s="23" t="n">
        <x:v>46490</x:v>
      </x:c>
      <x:c r="K267" s="35" t="str">
        <x:v>valid non-default; boundary/format value; blank/null when optional; invalid value when constrained</x:v>
      </x:c>
      <x:c r="L267" s="35" t="str">
        <x:v>Save succeeds; reload shows the exact normalized value; other client reads it where supported; edit persists; validation rejects invalid input without partial mutation.</x:v>
      </x:c>
    </x:row>
    <x:row r="268">
      <x:c r="A268" s="20" t="str">
        <x:v>FLD-0265</x:v>
      </x:c>
      <x:c r="B268" s="20" t="str">
        <x:v>Web</x:v>
      </x:c>
      <x:c r="C268" s="35" t="str">
        <x:v>/admin/users</x:v>
      </x:c>
      <x:c r="D268" s="35" t="str">
        <x:v>web/src/routes/(admin)/admin/users/+page.svelte</x:v>
      </x:c>
      <x:c r="E268" s="32" t="n">
        <x:v>565</x:v>
      </x:c>
      <x:c r="F268" s="20" t="str">
        <x:v>select</x:v>
      </x:c>
      <x:c r="G268" s="35" t="str">
        <x:v>assignmentScopeKind</x:v>
      </x:c>
      <x:c r="H268" s="35" t="str"/>
      <x:c r="I268" s="20" t="str">
        <x:v>Workspace Administrator</x:v>
      </x:c>
      <x:c r="J268" s="23" t="n">
        <x:v>46490</x:v>
      </x:c>
      <x:c r="K268" s="35" t="str">
        <x:v>valid non-default; boundary/format value; blank/null when optional; invalid value when constrained</x:v>
      </x:c>
      <x:c r="L268" s="35" t="str">
        <x:v>Save succeeds; reload shows the exact normalized value; other client reads it where supported; edit persists; validation rejects invalid input without partial mutation.</x:v>
      </x:c>
    </x:row>
    <x:row r="269">
      <x:c r="A269" s="20" t="str">
        <x:v>FLD-0266</x:v>
      </x:c>
      <x:c r="B269" s="20" t="str">
        <x:v>Web</x:v>
      </x:c>
      <x:c r="C269" s="35" t="str">
        <x:v>/admin/users</x:v>
      </x:c>
      <x:c r="D269" s="35" t="str">
        <x:v>web/src/routes/(admin)/admin/users/+page.svelte</x:v>
      </x:c>
      <x:c r="E269" s="32" t="n">
        <x:v>584</x:v>
      </x:c>
      <x:c r="F269" s="20" t="str">
        <x:v>checkbox</x:v>
      </x:c>
      <x:c r="G269" s="35" t="str">
        <x:v>input-11</x:v>
      </x:c>
      <x:c r="H269" s="35" t="str"/>
      <x:c r="I269" s="20" t="str">
        <x:v>Workspace Administrator</x:v>
      </x:c>
      <x:c r="J269" s="23" t="n">
        <x:v>46491</x:v>
      </x:c>
      <x:c r="K269" s="35" t="str">
        <x:v>valid non-default; boundary/format value; blank/null when optional; invalid value when constrained</x:v>
      </x:c>
      <x:c r="L269" s="35" t="str">
        <x:v>Save succeeds; reload shows the exact normalized value; other client reads it where supported; edit persists; validation rejects invalid input without partial mutation.</x:v>
      </x:c>
    </x:row>
    <x:row r="270">
      <x:c r="A270" s="20" t="str">
        <x:v>FLD-0267</x:v>
      </x:c>
      <x:c r="B270" s="20" t="str">
        <x:v>Web</x:v>
      </x:c>
      <x:c r="C270" s="35" t="str">
        <x:v>/portal</x:v>
      </x:c>
      <x:c r="D270" s="35" t="str">
        <x:v>web/src/routes/(portal)/portal/+page.svelte</x:v>
      </x:c>
      <x:c r="E270" s="32" t="n">
        <x:v>236</x:v>
      </x:c>
      <x:c r="F270" s="20" t="str">
        <x:v>select</x:v>
      </x:c>
      <x:c r="G270" s="35" t="str">
        <x:v>select-1</x:v>
      </x:c>
      <x:c r="H270" s="35" t="str"/>
      <x:c r="I270" s="20" t="str">
        <x:v>Tenant</x:v>
      </x:c>
      <x:c r="J270" s="23" t="n">
        <x:v>46491</x:v>
      </x:c>
      <x:c r="K270" s="35" t="str">
        <x:v>valid non-default; boundary/format value; blank/null when optional; invalid value when constrained</x:v>
      </x:c>
      <x:c r="L270" s="35" t="str">
        <x:v>Save succeeds; reload shows the exact normalized value; other client reads it where supported; edit persists; validation rejects invalid input without partial mutation.</x:v>
      </x:c>
    </x:row>
    <x:row r="271">
      <x:c r="A271" s="20" t="str">
        <x:v>FLD-0268</x:v>
      </x:c>
      <x:c r="B271" s="20" t="str">
        <x:v>Web</x:v>
      </x:c>
      <x:c r="C271" s="35" t="str">
        <x:v>/portal</x:v>
      </x:c>
      <x:c r="D271" s="35" t="str">
        <x:v>web/src/routes/(portal)/portal/+page.svelte</x:v>
      </x:c>
      <x:c r="E271" s="32" t="n">
        <x:v>373</x:v>
      </x:c>
      <x:c r="F271" s="20" t="str">
        <x:v>input</x:v>
      </x:c>
      <x:c r="G271" s="35" t="str">
        <x:v>Boolean(workOrderTitleError)</x:v>
      </x:c>
      <x:c r="H271" s="35" t="str">
        <x:v>Issue title</x:v>
      </x:c>
      <x:c r="I271" s="20" t="str">
        <x:v>Tenant</x:v>
      </x:c>
      <x:c r="J271" s="23" t="n">
        <x:v>46491</x:v>
      </x:c>
      <x:c r="K271" s="35" t="str">
        <x:v>valid non-default; boundary/format value; blank/null when optional; invalid value when constrained</x:v>
      </x:c>
      <x:c r="L271" s="35" t="str">
        <x:v>Save succeeds; reload shows the exact normalized value; other client reads it where supported; edit persists; validation rejects invalid input without partial mutation.</x:v>
      </x:c>
    </x:row>
    <x:row r="272">
      <x:c r="A272" s="20" t="str">
        <x:v>FLD-0269</x:v>
      </x:c>
      <x:c r="B272" s="20" t="str">
        <x:v>Web</x:v>
      </x:c>
      <x:c r="C272" s="35" t="str">
        <x:v>/portal</x:v>
      </x:c>
      <x:c r="D272" s="35" t="str">
        <x:v>web/src/routes/(portal)/portal/+page.svelte</x:v>
      </x:c>
      <x:c r="E272" s="32" t="n">
        <x:v>393</x:v>
      </x:c>
      <x:c r="F272" s="20" t="str">
        <x:v>textarea</x:v>
      </x:c>
      <x:c r="G272" s="35" t="str">
        <x:v>Boolean(workOrderDescriptionError)</x:v>
      </x:c>
      <x:c r="H272" s="35" t="str">
        <x:v>Describe the issue</x:v>
      </x:c>
      <x:c r="I272" s="20" t="str">
        <x:v>Tenant</x:v>
      </x:c>
      <x:c r="J272" s="23" t="n">
        <x:v>46491</x:v>
      </x:c>
      <x:c r="K272" s="35" t="str">
        <x:v>valid non-default; boundary/format value; blank/null when optional; invalid value when constrained</x:v>
      </x:c>
      <x:c r="L272" s="35" t="str">
        <x:v>Save succeeds; reload shows the exact normalized value; other client reads it where supported; edit persists; validation rejects invalid input without partial mutation.</x:v>
      </x:c>
    </x:row>
    <x:row r="273">
      <x:c r="A273" s="20" t="str">
        <x:v>FLD-0270</x:v>
      </x:c>
      <x:c r="B273" s="20" t="str">
        <x:v>Web</x:v>
      </x:c>
      <x:c r="C273" s="35" t="str">
        <x:v>/portal</x:v>
      </x:c>
      <x:c r="D273" s="35" t="str">
        <x:v>web/src/routes/(portal)/portal/+page.svelte</x:v>
      </x:c>
      <x:c r="E273" s="32" t="n">
        <x:v>415</x:v>
      </x:c>
      <x:c r="F273" s="20" t="str">
        <x:v>input</x:v>
      </x:c>
      <x:c r="G273" s="35" t="str">
        <x:v>workOrderForm.category</x:v>
      </x:c>
      <x:c r="H273" s="35" t="str">
        <x:v>Category</x:v>
      </x:c>
      <x:c r="I273" s="20" t="str">
        <x:v>Tenant</x:v>
      </x:c>
      <x:c r="J273" s="23" t="n">
        <x:v>46492</x:v>
      </x:c>
      <x:c r="K273" s="35" t="str">
        <x:v>valid non-default; boundary/format value; blank/null when optional; invalid value when constrained</x:v>
      </x:c>
      <x:c r="L273" s="35" t="str">
        <x:v>Save succeeds; reload shows the exact normalized value; other client reads it where supported; edit persists; validation rejects invalid input without partial mutation.</x:v>
      </x:c>
    </x:row>
    <x:row r="274">
      <x:c r="A274" s="20" t="str">
        <x:v>FLD-0271</x:v>
      </x:c>
      <x:c r="B274" s="20" t="str">
        <x:v>Web</x:v>
      </x:c>
      <x:c r="C274" s="35" t="str">
        <x:v>/portal</x:v>
      </x:c>
      <x:c r="D274" s="35" t="str">
        <x:v>web/src/routes/(portal)/portal/+page.svelte</x:v>
      </x:c>
      <x:c r="E274" s="32" t="n">
        <x:v>416</x:v>
      </x:c>
      <x:c r="F274" s="20" t="str">
        <x:v>single</x:v>
      </x:c>
      <x:c r="G274" s="35" t="str">
        <x:v>workOrderForm.priority</x:v>
      </x:c>
      <x:c r="H274" s="35" t="str"/>
      <x:c r="I274" s="20" t="str">
        <x:v>Tenant</x:v>
      </x:c>
      <x:c r="J274" s="23" t="n">
        <x:v>46492</x:v>
      </x:c>
      <x:c r="K274" s="35" t="str">
        <x:v>valid non-default; boundary/format value; blank/null when optional; invalid value when constrained</x:v>
      </x:c>
      <x:c r="L274" s="35" t="str">
        <x:v>Save succeeds; reload shows the exact normalized value; other client reads it where supported; edit persists; validation rejects invalid input without partial mutation.</x:v>
      </x:c>
    </x:row>
    <x:row r="275">
      <x:c r="A275" s="20" t="str">
        <x:v>FLD-0272</x:v>
      </x:c>
      <x:c r="B275" s="20" t="str">
        <x:v>Web</x:v>
      </x:c>
      <x:c r="C275" s="35" t="str">
        <x:v>/portal</x:v>
      </x:c>
      <x:c r="D275" s="35" t="str">
        <x:v>web/src/routes/(portal)/portal/+page.svelte</x:v>
      </x:c>
      <x:c r="E275" s="32" t="n">
        <x:v>417</x:v>
      </x:c>
      <x:c r="F275" s="20" t="str">
        <x:v>select</x:v>
      </x:c>
      <x:c r="G275" s="35" t="str">
        <x:v>Select-6</x:v>
      </x:c>
      <x:c r="H275" s="35" t="str"/>
      <x:c r="I275" s="20" t="str">
        <x:v>Tenant</x:v>
      </x:c>
      <x:c r="J275" s="23" t="n">
        <x:v>46492</x:v>
      </x:c>
      <x:c r="K275" s="35" t="str">
        <x:v>valid non-default; boundary/format value; blank/null when optional; invalid value when constrained</x:v>
      </x:c>
      <x:c r="L275" s="35" t="str">
        <x:v>Save succeeds; reload shows the exact normalized value; other client reads it where supported; edit persists; validation rejects invalid input without partial mutation.</x:v>
      </x:c>
    </x:row>
    <x:row r="276">
      <x:c r="A276" s="20" t="str">
        <x:v>FLD-0273</x:v>
      </x:c>
      <x:c r="B276" s="20" t="str">
        <x:v>Web</x:v>
      </x:c>
      <x:c r="C276" s="35" t="str">
        <x:v>/portal</x:v>
      </x:c>
      <x:c r="D276" s="35" t="str">
        <x:v>web/src/routes/(portal)/portal/+page.svelte</x:v>
      </x:c>
      <x:c r="E276" s="32" t="n">
        <x:v>418</x:v>
      </x:c>
      <x:c r="F276" s="20" t="str">
        <x:v>select</x:v>
      </x:c>
      <x:c r="G276" s="35" t="str">
        <x:v>Select-7</x:v>
      </x:c>
      <x:c r="H276" s="35" t="str"/>
      <x:c r="I276" s="20" t="str">
        <x:v>Tenant</x:v>
      </x:c>
      <x:c r="J276" s="23" t="n">
        <x:v>46492</x:v>
      </x:c>
      <x:c r="K276" s="35" t="str">
        <x:v>valid non-default; boundary/format value; blank/null when optional; invalid value when constrained</x:v>
      </x:c>
      <x:c r="L276" s="35" t="str">
        <x:v>Save succeeds; reload shows the exact normalized value; other client reads it where supported; edit persists; validation rejects invalid input without partial mutation.</x:v>
      </x:c>
    </x:row>
    <x:row r="277">
      <x:c r="A277" s="20" t="str">
        <x:v>FLD-0274</x:v>
      </x:c>
      <x:c r="B277" s="20" t="str">
        <x:v>Web</x:v>
      </x:c>
      <x:c r="C277" s="35" t="str">
        <x:v>/portal</x:v>
      </x:c>
      <x:c r="D277" s="35" t="str">
        <x:v>web/src/routes/(portal)/portal/+page.svelte</x:v>
      </x:c>
      <x:c r="E277" s="32" t="n">
        <x:v>419</x:v>
      </x:c>
      <x:c r="F277" s="20" t="str">
        <x:v>select</x:v>
      </x:c>
      <x:c r="G277" s="35" t="str">
        <x:v>Select-8</x:v>
      </x:c>
      <x:c r="H277" s="35" t="str"/>
      <x:c r="I277" s="20" t="str">
        <x:v>Tenant</x:v>
      </x:c>
      <x:c r="J277" s="23" t="n">
        <x:v>46493</x:v>
      </x:c>
      <x:c r="K277" s="35" t="str">
        <x:v>valid non-default; boundary/format value; blank/null when optional; invalid value when constrained</x:v>
      </x:c>
      <x:c r="L277" s="35" t="str">
        <x:v>Save succeeds; reload shows the exact normalized value; other client reads it where supported; edit persists; validation rejects invalid input without partial mutation.</x:v>
      </x:c>
    </x:row>
    <x:row r="278">
      <x:c r="A278" s="20" t="str">
        <x:v>FLD-0275</x:v>
      </x:c>
      <x:c r="B278" s="20" t="str">
        <x:v>Web</x:v>
      </x:c>
      <x:c r="C278" s="35" t="str">
        <x:v>/portal</x:v>
      </x:c>
      <x:c r="D278" s="35" t="str">
        <x:v>web/src/routes/(portal)/portal/+page.svelte</x:v>
      </x:c>
      <x:c r="E278" s="32" t="n">
        <x:v>420</x:v>
      </x:c>
      <x:c r="F278" s="20" t="str">
        <x:v>select</x:v>
      </x:c>
      <x:c r="G278" s="35" t="str">
        <x:v>Select-9</x:v>
      </x:c>
      <x:c r="H278" s="35" t="str"/>
      <x:c r="I278" s="20" t="str">
        <x:v>Tenant</x:v>
      </x:c>
      <x:c r="J278" s="23" t="n">
        <x:v>46493</x:v>
      </x:c>
      <x:c r="K278" s="35" t="str">
        <x:v>valid non-default; boundary/format value; blank/null when optional; invalid value when constrained</x:v>
      </x:c>
      <x:c r="L278" s="35" t="str">
        <x:v>Save succeeds; reload shows the exact normalized value; other client reads it where supported; edit persists; validation rejects invalid input without partial mutation.</x:v>
      </x:c>
    </x:row>
    <x:row r="279">
      <x:c r="A279" s="20" t="str">
        <x:v>FLD-0276</x:v>
      </x:c>
      <x:c r="B279" s="20" t="str">
        <x:v>Web</x:v>
      </x:c>
      <x:c r="C279" s="35" t="str">
        <x:v>/portal</x:v>
      </x:c>
      <x:c r="D279" s="35" t="str">
        <x:v>web/src/routes/(portal)/portal/+page.svelte</x:v>
      </x:c>
      <x:c r="E279" s="32" t="n">
        <x:v>421</x:v>
      </x:c>
      <x:c r="F279" s="20" t="str">
        <x:v>select</x:v>
      </x:c>
      <x:c r="G279" s="35" t="str">
        <x:v>Select-10</x:v>
      </x:c>
      <x:c r="H279" s="35" t="str"/>
      <x:c r="I279" s="20" t="str">
        <x:v>Tenant</x:v>
      </x:c>
      <x:c r="J279" s="23" t="n">
        <x:v>46493</x:v>
      </x:c>
      <x:c r="K279" s="35" t="str">
        <x:v>valid non-default; boundary/format value; blank/null when optional; invalid value when constrained</x:v>
      </x:c>
      <x:c r="L279" s="35" t="str">
        <x:v>Save succeeds; reload shows the exact normalized value; other client reads it where supported; edit persists; validation rejects invalid input without partial mutation.</x:v>
      </x:c>
    </x:row>
    <x:row r="280">
      <x:c r="A280" s="20" t="str">
        <x:v>FLD-0277</x:v>
      </x:c>
      <x:c r="B280" s="20" t="str">
        <x:v>Web</x:v>
      </x:c>
      <x:c r="C280" s="35" t="str">
        <x:v>/portal</x:v>
      </x:c>
      <x:c r="D280" s="35" t="str">
        <x:v>web/src/routes/(portal)/portal/+page.svelte</x:v>
      </x:c>
      <x:c r="E280" s="32" t="n">
        <x:v>422</x:v>
      </x:c>
      <x:c r="F280" s="20" t="str">
        <x:v>select</x:v>
      </x:c>
      <x:c r="G280" s="35" t="str">
        <x:v>Select-11</x:v>
      </x:c>
      <x:c r="H280" s="35" t="str"/>
      <x:c r="I280" s="20" t="str">
        <x:v>Tenant</x:v>
      </x:c>
      <x:c r="J280" s="23" t="n">
        <x:v>46493</x:v>
      </x:c>
      <x:c r="K280" s="35" t="str">
        <x:v>valid non-default; boundary/format value; blank/null when optional; invalid value when constrained</x:v>
      </x:c>
      <x:c r="L280" s="35" t="str">
        <x:v>Save succeeds; reload shows the exact normalized value; other client reads it where supported; edit persists; validation rejects invalid input without partial mutation.</x:v>
      </x:c>
    </x:row>
    <x:row r="281">
      <x:c r="A281" s="20" t="str">
        <x:v>FLD-0278</x:v>
      </x:c>
      <x:c r="B281" s="20" t="str">
        <x:v>Web</x:v>
      </x:c>
      <x:c r="C281" s="35" t="str">
        <x:v>/portal/lease</x:v>
      </x:c>
      <x:c r="D281" s="35" t="str">
        <x:v>web/src/routes/(portal)/portal/lease/+page.svelte</x:v>
      </x:c>
      <x:c r="E281" s="32" t="n">
        <x:v>148</x:v>
      </x:c>
      <x:c r="F281" s="20" t="str">
        <x:v>input</x:v>
      </x:c>
      <x:c r="G281" s="35" t="str">
        <x:v>portal-lease-question-input</x:v>
      </x:c>
      <x:c r="H281" s="35" t="str">
        <x:v>Can I have a pet? When is rent due?</x:v>
      </x:c>
      <x:c r="I281" s="20" t="str">
        <x:v>Tenant</x:v>
      </x:c>
      <x:c r="J281" s="23" t="n">
        <x:v>46493</x:v>
      </x:c>
      <x:c r="K281" s="35" t="str">
        <x:v>valid non-default; boundary/format value; blank/null when optional; invalid value when constrained</x:v>
      </x:c>
      <x:c r="L281" s="35" t="str">
        <x:v>Save succeeds; reload shows the exact normalized value; other client reads it where supported; edit persists; validation rejects invalid input without partial mutation.</x:v>
      </x:c>
    </x:row>
    <x:row r="282">
      <x:c r="A282" s="20" t="str">
        <x:v>FLD-0279</x:v>
      </x:c>
      <x:c r="B282" s="20" t="str">
        <x:v>Web</x:v>
      </x:c>
      <x:c r="C282" s="35" t="str">
        <x:v>/portal/maintenance</x:v>
      </x:c>
      <x:c r="D282" s="35" t="str">
        <x:v>web/src/routes/(portal)/portal/maintenance/+page.svelte</x:v>
      </x:c>
      <x:c r="E282" s="32" t="n">
        <x:v>129</x:v>
      </x:c>
      <x:c r="F282" s="20" t="str">
        <x:v>input</x:v>
      </x:c>
      <x:c r="G282" s="35" t="str">
        <x:v>searchInput</x:v>
      </x:c>
      <x:c r="H282" s="35" t="str">
        <x:v>Search maintenance requests</x:v>
      </x:c>
      <x:c r="I282" s="20" t="str">
        <x:v>Tenant</x:v>
      </x:c>
      <x:c r="J282" s="23" t="n">
        <x:v>46496</x:v>
      </x:c>
      <x:c r="K282" s="35" t="str">
        <x:v>valid non-default; boundary/format value; blank/null when optional; invalid value when constrained</x:v>
      </x:c>
      <x:c r="L282" s="35" t="str">
        <x:v>Save succeeds; reload shows the exact normalized value; other client reads it where supported; edit persists; validation rejects invalid input without partial mutation.</x:v>
      </x:c>
    </x:row>
    <x:row r="283">
      <x:c r="A283" s="20" t="str">
        <x:v>FLD-0280</x:v>
      </x:c>
      <x:c r="B283" s="20" t="str">
        <x:v>Web</x:v>
      </x:c>
      <x:c r="C283" s="35" t="str">
        <x:v>/portal/maintenance</x:v>
      </x:c>
      <x:c r="D283" s="35" t="str">
        <x:v>web/src/routes/(portal)/portal/maintenance/+page.svelte</x:v>
      </x:c>
      <x:c r="E283" s="32" t="n">
        <x:v>130</x:v>
      </x:c>
      <x:c r="F283" s="20" t="str">
        <x:v>single</x:v>
      </x:c>
      <x:c r="G283" s="35" t="str">
        <x:v>status</x:v>
      </x:c>
      <x:c r="H283" s="35" t="str"/>
      <x:c r="I283" s="20" t="str">
        <x:v>Tenant</x:v>
      </x:c>
      <x:c r="J283" s="23" t="n">
        <x:v>46496</x:v>
      </x:c>
      <x:c r="K283" s="35" t="str">
        <x:v>valid non-default; boundary/format value; blank/null when optional; invalid value when constrained</x:v>
      </x:c>
      <x:c r="L283" s="35" t="str">
        <x:v>Save succeeds; reload shows the exact normalized value; other client reads it where supported; edit persists; validation rejects invalid input without partial mutation.</x:v>
      </x:c>
    </x:row>
    <x:row r="284">
      <x:c r="A284" s="20" t="str">
        <x:v>FLD-0281</x:v>
      </x:c>
      <x:c r="B284" s="20" t="str">
        <x:v>Web</x:v>
      </x:c>
      <x:c r="C284" s="35" t="str">
        <x:v>/portal/maintenance</x:v>
      </x:c>
      <x:c r="D284" s="35" t="str">
        <x:v>web/src/routes/(portal)/portal/maintenance/+page.svelte</x:v>
      </x:c>
      <x:c r="E284" s="32" t="n">
        <x:v>131</x:v>
      </x:c>
      <x:c r="F284" s="20" t="str">
        <x:v>select</x:v>
      </x:c>
      <x:c r="G284" s="35" t="str">
        <x:v>Select-3</x:v>
      </x:c>
      <x:c r="H284" s="35" t="str"/>
      <x:c r="I284" s="20" t="str">
        <x:v>Tenant</x:v>
      </x:c>
      <x:c r="J284" s="23" t="n">
        <x:v>46496</x:v>
      </x:c>
      <x:c r="K284" s="35" t="str">
        <x:v>valid non-default; boundary/format value; blank/null when optional; invalid value when constrained</x:v>
      </x:c>
      <x:c r="L284" s="35" t="str">
        <x:v>Save succeeds; reload shows the exact normalized value; other client reads it where supported; edit persists; validation rejects invalid input without partial mutation.</x:v>
      </x:c>
    </x:row>
    <x:row r="285">
      <x:c r="A285" s="20" t="str">
        <x:v>FLD-0282</x:v>
      </x:c>
      <x:c r="B285" s="20" t="str">
        <x:v>Web</x:v>
      </x:c>
      <x:c r="C285" s="35" t="str">
        <x:v>/portal/maintenance</x:v>
      </x:c>
      <x:c r="D285" s="35" t="str">
        <x:v>web/src/routes/(portal)/portal/maintenance/+page.svelte</x:v>
      </x:c>
      <x:c r="E285" s="32" t="n">
        <x:v>132</x:v>
      </x:c>
      <x:c r="F285" s="20" t="str">
        <x:v>select</x:v>
      </x:c>
      <x:c r="G285" s="35" t="str">
        <x:v>Select-4</x:v>
      </x:c>
      <x:c r="H285" s="35" t="str"/>
      <x:c r="I285" s="20" t="str">
        <x:v>Tenant</x:v>
      </x:c>
      <x:c r="J285" s="23" t="n">
        <x:v>46496</x:v>
      </x:c>
      <x:c r="K285" s="35" t="str">
        <x:v>valid non-default; boundary/format value; blank/null when optional; invalid value when constrained</x:v>
      </x:c>
      <x:c r="L285" s="35" t="str">
        <x:v>Save succeeds; reload shows the exact normalized value; other client reads it where supported; edit persists; validation rejects invalid input without partial mutation.</x:v>
      </x:c>
    </x:row>
    <x:row r="286">
      <x:c r="A286" s="20" t="str">
        <x:v>FLD-0283</x:v>
      </x:c>
      <x:c r="B286" s="20" t="str">
        <x:v>Web</x:v>
      </x:c>
      <x:c r="C286" s="35" t="str">
        <x:v>/portal/maintenance</x:v>
      </x:c>
      <x:c r="D286" s="35" t="str">
        <x:v>web/src/routes/(portal)/portal/maintenance/+page.svelte</x:v>
      </x:c>
      <x:c r="E286" s="32" t="n">
        <x:v>133</x:v>
      </x:c>
      <x:c r="F286" s="20" t="str">
        <x:v>select</x:v>
      </x:c>
      <x:c r="G286" s="35" t="str">
        <x:v>Select-5</x:v>
      </x:c>
      <x:c r="H286" s="35" t="str"/>
      <x:c r="I286" s="20" t="str">
        <x:v>Tenant</x:v>
      </x:c>
      <x:c r="J286" s="23" t="n">
        <x:v>46497</x:v>
      </x:c>
      <x:c r="K286" s="35" t="str">
        <x:v>valid non-default; boundary/format value; blank/null when optional; invalid value when constrained</x:v>
      </x:c>
      <x:c r="L286" s="35" t="str">
        <x:v>Save succeeds; reload shows the exact normalized value; other client reads it where supported; edit persists; validation rejects invalid input without partial mutation.</x:v>
      </x:c>
    </x:row>
    <x:row r="287">
      <x:c r="A287" s="20" t="str">
        <x:v>FLD-0284</x:v>
      </x:c>
      <x:c r="B287" s="20" t="str">
        <x:v>Web</x:v>
      </x:c>
      <x:c r="C287" s="35" t="str">
        <x:v>/portal/maintenance</x:v>
      </x:c>
      <x:c r="D287" s="35" t="str">
        <x:v>web/src/routes/(portal)/portal/maintenance/+page.svelte</x:v>
      </x:c>
      <x:c r="E287" s="32" t="n">
        <x:v>134</x:v>
      </x:c>
      <x:c r="F287" s="20" t="str">
        <x:v>select</x:v>
      </x:c>
      <x:c r="G287" s="35" t="str">
        <x:v>Select-6</x:v>
      </x:c>
      <x:c r="H287" s="35" t="str"/>
      <x:c r="I287" s="20" t="str">
        <x:v>Tenant</x:v>
      </x:c>
      <x:c r="J287" s="23" t="n">
        <x:v>46497</x:v>
      </x:c>
      <x:c r="K287" s="35" t="str">
        <x:v>valid non-default; boundary/format value; blank/null when optional; invalid value when constrained</x:v>
      </x:c>
      <x:c r="L287" s="35" t="str">
        <x:v>Save succeeds; reload shows the exact normalized value; other client reads it where supported; edit persists; validation rejects invalid input without partial mutation.</x:v>
      </x:c>
    </x:row>
    <x:row r="288">
      <x:c r="A288" s="20" t="str">
        <x:v>FLD-0285</x:v>
      </x:c>
      <x:c r="B288" s="20" t="str">
        <x:v>Web</x:v>
      </x:c>
      <x:c r="C288" s="35" t="str">
        <x:v>/portal/maintenance</x:v>
      </x:c>
      <x:c r="D288" s="35" t="str">
        <x:v>web/src/routes/(portal)/portal/maintenance/+page.svelte</x:v>
      </x:c>
      <x:c r="E288" s="32" t="n">
        <x:v>135</x:v>
      </x:c>
      <x:c r="F288" s="20" t="str">
        <x:v>select</x:v>
      </x:c>
      <x:c r="G288" s="35" t="str">
        <x:v>Select-7</x:v>
      </x:c>
      <x:c r="H288" s="35" t="str"/>
      <x:c r="I288" s="20" t="str">
        <x:v>Tenant</x:v>
      </x:c>
      <x:c r="J288" s="23" t="n">
        <x:v>46497</x:v>
      </x:c>
      <x:c r="K288" s="35" t="str">
        <x:v>valid non-default; boundary/format value; blank/null when optional; invalid value when constrained</x:v>
      </x:c>
      <x:c r="L288" s="35" t="str">
        <x:v>Save succeeds; reload shows the exact normalized value; other client reads it where supported; edit persists; validation rejects invalid input without partial mutation.</x:v>
      </x:c>
    </x:row>
    <x:row r="289">
      <x:c r="A289" s="20" t="str">
        <x:v>FLD-0286</x:v>
      </x:c>
      <x:c r="B289" s="20" t="str">
        <x:v>Web</x:v>
      </x:c>
      <x:c r="C289" s="35" t="str">
        <x:v>/portal/maintenance</x:v>
      </x:c>
      <x:c r="D289" s="35" t="str">
        <x:v>web/src/routes/(portal)/portal/maintenance/+page.svelte</x:v>
      </x:c>
      <x:c r="E289" s="32" t="n">
        <x:v>136</x:v>
      </x:c>
      <x:c r="F289" s="20" t="str">
        <x:v>select</x:v>
      </x:c>
      <x:c r="G289" s="35" t="str">
        <x:v>Select-8</x:v>
      </x:c>
      <x:c r="H289" s="35" t="str"/>
      <x:c r="I289" s="20" t="str">
        <x:v>Tenant</x:v>
      </x:c>
      <x:c r="J289" s="23" t="n">
        <x:v>46497</x:v>
      </x:c>
      <x:c r="K289" s="35" t="str">
        <x:v>valid non-default; boundary/format value; blank/null when optional; invalid value when constrained</x:v>
      </x:c>
      <x:c r="L289" s="35" t="str">
        <x:v>Save succeeds; reload shows the exact normalized value; other client reads it where supported; edit persists; validation rejects invalid input without partial mutation.</x:v>
      </x:c>
    </x:row>
    <x:row r="290">
      <x:c r="A290" s="20" t="str">
        <x:v>FLD-0287</x:v>
      </x:c>
      <x:c r="B290" s="20" t="str">
        <x:v>Web</x:v>
      </x:c>
      <x:c r="C290" s="35" t="str">
        <x:v>/portal/maintenance</x:v>
      </x:c>
      <x:c r="D290" s="35" t="str">
        <x:v>web/src/routes/(portal)/portal/maintenance/+page.svelte</x:v>
      </x:c>
      <x:c r="E290" s="32" t="n">
        <x:v>137</x:v>
      </x:c>
      <x:c r="F290" s="20" t="str">
        <x:v>select</x:v>
      </x:c>
      <x:c r="G290" s="35" t="str">
        <x:v>Select-9</x:v>
      </x:c>
      <x:c r="H290" s="35" t="str"/>
      <x:c r="I290" s="20" t="str">
        <x:v>Tenant</x:v>
      </x:c>
      <x:c r="J290" s="23" t="n">
        <x:v>46497</x:v>
      </x:c>
      <x:c r="K290" s="35" t="str">
        <x:v>valid non-default; boundary/format value; blank/null when optional; invalid value when constrained</x:v>
      </x:c>
      <x:c r="L290" s="35" t="str">
        <x:v>Save succeeds; reload shows the exact normalized value; other client reads it where supported; edit persists; validation rejects invalid input without partial mutation.</x:v>
      </x:c>
    </x:row>
    <x:row r="291">
      <x:c r="A291" s="20" t="str">
        <x:v>FLD-0288</x:v>
      </x:c>
      <x:c r="B291" s="20" t="str">
        <x:v>Web</x:v>
      </x:c>
      <x:c r="C291" s="35" t="str">
        <x:v>/portal/maintenance</x:v>
      </x:c>
      <x:c r="D291" s="35" t="str">
        <x:v>web/src/routes/(portal)/portal/maintenance/+page.svelte</x:v>
      </x:c>
      <x:c r="E291" s="32" t="n">
        <x:v>138</x:v>
      </x:c>
      <x:c r="F291" s="20" t="str">
        <x:v>select</x:v>
      </x:c>
      <x:c r="G291" s="35" t="str">
        <x:v>Select-10</x:v>
      </x:c>
      <x:c r="H291" s="35" t="str"/>
      <x:c r="I291" s="20" t="str">
        <x:v>Tenant</x:v>
      </x:c>
      <x:c r="J291" s="23" t="n">
        <x:v>46498</x:v>
      </x:c>
      <x:c r="K291" s="35" t="str">
        <x:v>valid non-default; boundary/format value; blank/null when optional; invalid value when constrained</x:v>
      </x:c>
      <x:c r="L291" s="35" t="str">
        <x:v>Save succeeds; reload shows the exact normalized value; other client reads it where supported; edit persists; validation rejects invalid input without partial mutation.</x:v>
      </x:c>
    </x:row>
    <x:row r="292">
      <x:c r="A292" s="20" t="str">
        <x:v>FLD-0289</x:v>
      </x:c>
      <x:c r="B292" s="20" t="str">
        <x:v>Web</x:v>
      </x:c>
      <x:c r="C292" s="35" t="str">
        <x:v>/portal/maintenance</x:v>
      </x:c>
      <x:c r="D292" s="35" t="str">
        <x:v>web/src/routes/(portal)/portal/maintenance/+page.svelte</x:v>
      </x:c>
      <x:c r="E292" s="32" t="n">
        <x:v>139</x:v>
      </x:c>
      <x:c r="F292" s="20" t="str">
        <x:v>select</x:v>
      </x:c>
      <x:c r="G292" s="35" t="str">
        <x:v>Select-11</x:v>
      </x:c>
      <x:c r="H292" s="35" t="str"/>
      <x:c r="I292" s="20" t="str">
        <x:v>Tenant</x:v>
      </x:c>
      <x:c r="J292" s="23" t="n">
        <x:v>46498</x:v>
      </x:c>
      <x:c r="K292" s="35" t="str">
        <x:v>valid non-default; boundary/format value; blank/null when optional; invalid value when constrained</x:v>
      </x:c>
      <x:c r="L292" s="35" t="str">
        <x:v>Save succeeds; reload shows the exact normalized value; other client reads it where supported; edit persists; validation rejects invalid input without partial mutation.</x:v>
      </x:c>
    </x:row>
    <x:row r="293">
      <x:c r="A293" s="20" t="str">
        <x:v>FLD-0290</x:v>
      </x:c>
      <x:c r="B293" s="20" t="str">
        <x:v>Web</x:v>
      </x:c>
      <x:c r="C293" s="35" t="str">
        <x:v>/portal/maintenance</x:v>
      </x:c>
      <x:c r="D293" s="35" t="str">
        <x:v>web/src/routes/(portal)/portal/maintenance/+page.svelte</x:v>
      </x:c>
      <x:c r="E293" s="32" t="n">
        <x:v>140</x:v>
      </x:c>
      <x:c r="F293" s="20" t="str">
        <x:v>select</x:v>
      </x:c>
      <x:c r="G293" s="35" t="str">
        <x:v>Select-12</x:v>
      </x:c>
      <x:c r="H293" s="35" t="str"/>
      <x:c r="I293" s="20" t="str">
        <x:v>Tenant</x:v>
      </x:c>
      <x:c r="J293" s="23" t="n">
        <x:v>46498</x:v>
      </x:c>
      <x:c r="K293" s="35" t="str">
        <x:v>valid non-default; boundary/format value; blank/null when optional; invalid value when constrained</x:v>
      </x:c>
      <x:c r="L293" s="35" t="str">
        <x:v>Save succeeds; reload shows the exact normalized value; other client reads it where supported; edit persists; validation rejects invalid input without partial mutation.</x:v>
      </x:c>
    </x:row>
    <x:row r="294">
      <x:c r="A294" s="20" t="str">
        <x:v>FLD-0291</x:v>
      </x:c>
      <x:c r="B294" s="20" t="str">
        <x:v>Web</x:v>
      </x:c>
      <x:c r="C294" s="35" t="str">
        <x:v>/portal/maintenance</x:v>
      </x:c>
      <x:c r="D294" s="35" t="str">
        <x:v>web/src/routes/(portal)/portal/maintenance/+page.svelte</x:v>
      </x:c>
      <x:c r="E294" s="32" t="n">
        <x:v>141</x:v>
      </x:c>
      <x:c r="F294" s="20" t="str">
        <x:v>select</x:v>
      </x:c>
      <x:c r="G294" s="35" t="str">
        <x:v>Select-13</x:v>
      </x:c>
      <x:c r="H294" s="35" t="str"/>
      <x:c r="I294" s="20" t="str">
        <x:v>Tenant</x:v>
      </x:c>
      <x:c r="J294" s="23" t="n">
        <x:v>46498</x:v>
      </x:c>
      <x:c r="K294" s="35" t="str">
        <x:v>valid non-default; boundary/format value; blank/null when optional; invalid value when constrained</x:v>
      </x:c>
      <x:c r="L294" s="35" t="str">
        <x:v>Save succeeds; reload shows the exact normalized value; other client reads it where supported; edit persists; validation rejects invalid input without partial mutation.</x:v>
      </x:c>
    </x:row>
    <x:row r="295">
      <x:c r="A295" s="20" t="str">
        <x:v>FLD-0292</x:v>
      </x:c>
      <x:c r="B295" s="20" t="str">
        <x:v>Web</x:v>
      </x:c>
      <x:c r="C295" s="35" t="str">
        <x:v>/portal/maintenance</x:v>
      </x:c>
      <x:c r="D295" s="35" t="str">
        <x:v>web/src/routes/(portal)/portal/maintenance/+page.svelte</x:v>
      </x:c>
      <x:c r="E295" s="32" t="n">
        <x:v>189</x:v>
      </x:c>
      <x:c r="F295" s="20" t="str">
        <x:v>input</x:v>
      </x:c>
      <x:c r="G295" s="35" t="str">
        <x:v>requestTitleError ? 'true' : undefined</x:v>
      </x:c>
      <x:c r="H295" s="35" t="str">
        <x:v>What's the problem? (e.g. Kitchen sink leaking)</x:v>
      </x:c>
      <x:c r="I295" s="20" t="str">
        <x:v>Tenant</x:v>
      </x:c>
      <x:c r="J295" s="23" t="n">
        <x:v>46499</x:v>
      </x:c>
      <x:c r="K295" s="35" t="str">
        <x:v>valid non-default; boundary/format value; blank/null when optional; invalid value when constrained</x:v>
      </x:c>
      <x:c r="L295" s="35" t="str">
        <x:v>Save succeeds; reload shows the exact normalized value; other client reads it where supported; edit persists; validation rejects invalid input without partial mutation.</x:v>
      </x:c>
    </x:row>
    <x:row r="296">
      <x:c r="A296" s="20" t="str">
        <x:v>FLD-0293</x:v>
      </x:c>
      <x:c r="B296" s="20" t="str">
        <x:v>Web</x:v>
      </x:c>
      <x:c r="C296" s="35" t="str">
        <x:v>/portal/maintenance</x:v>
      </x:c>
      <x:c r="D296" s="35" t="str">
        <x:v>web/src/routes/(portal)/portal/maintenance/+page.svelte</x:v>
      </x:c>
      <x:c r="E296" s="32" t="n">
        <x:v>204</x:v>
      </x:c>
      <x:c r="F296" s="20" t="str">
        <x:v>textarea</x:v>
      </x:c>
      <x:c r="G296" s="35" t="str">
        <x:v>requestDescriptionError ? 'true' : undefined</x:v>
      </x:c>
      <x:c r="H296" s="35" t="str">
        <x:v>Describe the issue so we can fix it fast</x:v>
      </x:c>
      <x:c r="I296" s="20" t="str">
        <x:v>Tenant</x:v>
      </x:c>
      <x:c r="J296" s="23" t="n">
        <x:v>46499</x:v>
      </x:c>
      <x:c r="K296" s="35" t="str">
        <x:v>valid non-default; boundary/format value; blank/null when optional; invalid value when constrained</x:v>
      </x:c>
      <x:c r="L296" s="35" t="str">
        <x:v>Save succeeds; reload shows the exact normalized value; other client reads it where supported; edit persists; validation rejects invalid input without partial mutation.</x:v>
      </x:c>
    </x:row>
    <x:row r="297">
      <x:c r="A297" s="20" t="str">
        <x:v>FLD-0294</x:v>
      </x:c>
      <x:c r="B297" s="20" t="str">
        <x:v>Web</x:v>
      </x:c>
      <x:c r="C297" s="35" t="str">
        <x:v>/portal/maintenance</x:v>
      </x:c>
      <x:c r="D297" s="35" t="str">
        <x:v>web/src/routes/(portal)/portal/maintenance/+page.svelte</x:v>
      </x:c>
      <x:c r="E297" s="32" t="n">
        <x:v>225</x:v>
      </x:c>
      <x:c r="F297" s="20" t="str">
        <x:v>input</x:v>
      </x:c>
      <x:c r="G297" s="35" t="str">
        <x:v>portal-request-category</x:v>
      </x:c>
      <x:c r="H297" s="35" t="str">
        <x:v>Category</x:v>
      </x:c>
      <x:c r="I297" s="20" t="str">
        <x:v>Tenant</x:v>
      </x:c>
      <x:c r="J297" s="23" t="n">
        <x:v>46499</x:v>
      </x:c>
      <x:c r="K297" s="35" t="str">
        <x:v>valid non-default; boundary/format value; blank/null when optional; invalid value when constrained</x:v>
      </x:c>
      <x:c r="L297" s="35" t="str">
        <x:v>Save succeeds; reload shows the exact normalized value; other client reads it where supported; edit persists; validation rejects invalid input without partial mutation.</x:v>
      </x:c>
    </x:row>
    <x:row r="298">
      <x:c r="A298" s="20" t="str">
        <x:v>FLD-0295</x:v>
      </x:c>
      <x:c r="B298" s="20" t="str">
        <x:v>Web</x:v>
      </x:c>
      <x:c r="C298" s="35" t="str">
        <x:v>/portal/maintenance</x:v>
      </x:c>
      <x:c r="D298" s="35" t="str">
        <x:v>web/src/routes/(portal)/portal/maintenance/+page.svelte</x:v>
      </x:c>
      <x:c r="E298" s="32" t="n">
        <x:v>226</x:v>
      </x:c>
      <x:c r="F298" s="20" t="str">
        <x:v>single</x:v>
      </x:c>
      <x:c r="G298" s="35" t="str">
        <x:v>form.priority</x:v>
      </x:c>
      <x:c r="H298" s="35" t="str"/>
      <x:c r="I298" s="20" t="str">
        <x:v>Tenant</x:v>
      </x:c>
      <x:c r="J298" s="23" t="n">
        <x:v>46499</x:v>
      </x:c>
      <x:c r="K298" s="35" t="str">
        <x:v>valid non-default; boundary/format value; blank/null when optional; invalid value when constrained</x:v>
      </x:c>
      <x:c r="L298" s="35" t="str">
        <x:v>Save succeeds; reload shows the exact normalized value; other client reads it where supported; edit persists; validation rejects invalid input without partial mutation.</x:v>
      </x:c>
    </x:row>
    <x:row r="299">
      <x:c r="A299" s="20" t="str">
        <x:v>FLD-0296</x:v>
      </x:c>
      <x:c r="B299" s="20" t="str">
        <x:v>Web</x:v>
      </x:c>
      <x:c r="C299" s="35" t="str">
        <x:v>/portal/maintenance</x:v>
      </x:c>
      <x:c r="D299" s="35" t="str">
        <x:v>web/src/routes/(portal)/portal/maintenance/+page.svelte</x:v>
      </x:c>
      <x:c r="E299" s="32" t="n">
        <x:v>227</x:v>
      </x:c>
      <x:c r="F299" s="20" t="str">
        <x:v>select</x:v>
      </x:c>
      <x:c r="G299" s="35" t="str">
        <x:v>Select-18</x:v>
      </x:c>
      <x:c r="H299" s="35" t="str"/>
      <x:c r="I299" s="20" t="str">
        <x:v>Tenant</x:v>
      </x:c>
      <x:c r="J299" s="23" t="n">
        <x:v>46499</x:v>
      </x:c>
      <x:c r="K299" s="35" t="str">
        <x:v>valid non-default; boundary/format value; blank/null when optional; invalid value when constrained</x:v>
      </x:c>
      <x:c r="L299" s="35" t="str">
        <x:v>Save succeeds; reload shows the exact normalized value; other client reads it where supported; edit persists; validation rejects invalid input without partial mutation.</x:v>
      </x:c>
    </x:row>
    <x:row r="300">
      <x:c r="A300" s="20" t="str">
        <x:v>FLD-0297</x:v>
      </x:c>
      <x:c r="B300" s="20" t="str">
        <x:v>Web</x:v>
      </x:c>
      <x:c r="C300" s="35" t="str">
        <x:v>/portal/maintenance</x:v>
      </x:c>
      <x:c r="D300" s="35" t="str">
        <x:v>web/src/routes/(portal)/portal/maintenance/+page.svelte</x:v>
      </x:c>
      <x:c r="E300" s="32" t="n">
        <x:v>228</x:v>
      </x:c>
      <x:c r="F300" s="20" t="str">
        <x:v>select</x:v>
      </x:c>
      <x:c r="G300" s="35" t="str">
        <x:v>Select-19</x:v>
      </x:c>
      <x:c r="H300" s="35" t="str"/>
      <x:c r="I300" s="20" t="str">
        <x:v>Tenant</x:v>
      </x:c>
      <x:c r="J300" s="23" t="n">
        <x:v>46500</x:v>
      </x:c>
      <x:c r="K300" s="35" t="str">
        <x:v>valid non-default; boundary/format value; blank/null when optional; invalid value when constrained</x:v>
      </x:c>
      <x:c r="L300" s="35" t="str">
        <x:v>Save succeeds; reload shows the exact normalized value; other client reads it where supported; edit persists; validation rejects invalid input without partial mutation.</x:v>
      </x:c>
    </x:row>
    <x:row r="301">
      <x:c r="A301" s="20" t="str">
        <x:v>FLD-0298</x:v>
      </x:c>
      <x:c r="B301" s="20" t="str">
        <x:v>Web</x:v>
      </x:c>
      <x:c r="C301" s="35" t="str">
        <x:v>/portal/maintenance</x:v>
      </x:c>
      <x:c r="D301" s="35" t="str">
        <x:v>web/src/routes/(portal)/portal/maintenance/+page.svelte</x:v>
      </x:c>
      <x:c r="E301" s="32" t="n">
        <x:v>229</x:v>
      </x:c>
      <x:c r="F301" s="20" t="str">
        <x:v>select</x:v>
      </x:c>
      <x:c r="G301" s="35" t="str">
        <x:v>Select-20</x:v>
      </x:c>
      <x:c r="H301" s="35" t="str"/>
      <x:c r="I301" s="20" t="str">
        <x:v>Tenant</x:v>
      </x:c>
      <x:c r="J301" s="23" t="n">
        <x:v>46500</x:v>
      </x:c>
      <x:c r="K301" s="35" t="str">
        <x:v>valid non-default; boundary/format value; blank/null when optional; invalid value when constrained</x:v>
      </x:c>
      <x:c r="L301" s="35" t="str">
        <x:v>Save succeeds; reload shows the exact normalized value; other client reads it where supported; edit persists; validation rejects invalid input without partial mutation.</x:v>
      </x:c>
    </x:row>
    <x:row r="302">
      <x:c r="A302" s="20" t="str">
        <x:v>FLD-0299</x:v>
      </x:c>
      <x:c r="B302" s="20" t="str">
        <x:v>Web</x:v>
      </x:c>
      <x:c r="C302" s="35" t="str">
        <x:v>/portal/maintenance</x:v>
      </x:c>
      <x:c r="D302" s="35" t="str">
        <x:v>web/src/routes/(portal)/portal/maintenance/+page.svelte</x:v>
      </x:c>
      <x:c r="E302" s="32" t="n">
        <x:v>230</x:v>
      </x:c>
      <x:c r="F302" s="20" t="str">
        <x:v>select</x:v>
      </x:c>
      <x:c r="G302" s="35" t="str">
        <x:v>Select-21</x:v>
      </x:c>
      <x:c r="H302" s="35" t="str"/>
      <x:c r="I302" s="20" t="str">
        <x:v>Tenant</x:v>
      </x:c>
      <x:c r="J302" s="23" t="n">
        <x:v>46500</x:v>
      </x:c>
      <x:c r="K302" s="35" t="str">
        <x:v>valid non-default; boundary/format value; blank/null when optional; invalid value when constrained</x:v>
      </x:c>
      <x:c r="L302" s="35" t="str">
        <x:v>Save succeeds; reload shows the exact normalized value; other client reads it where supported; edit persists; validation rejects invalid input without partial mutation.</x:v>
      </x:c>
    </x:row>
    <x:row r="303">
      <x:c r="A303" s="20" t="str">
        <x:v>FLD-0300</x:v>
      </x:c>
      <x:c r="B303" s="20" t="str">
        <x:v>Web</x:v>
      </x:c>
      <x:c r="C303" s="35" t="str">
        <x:v>/portal/maintenance</x:v>
      </x:c>
      <x:c r="D303" s="35" t="str">
        <x:v>web/src/routes/(portal)/portal/maintenance/+page.svelte</x:v>
      </x:c>
      <x:c r="E303" s="32" t="n">
        <x:v>231</x:v>
      </x:c>
      <x:c r="F303" s="20" t="str">
        <x:v>select</x:v>
      </x:c>
      <x:c r="G303" s="35" t="str">
        <x:v>Select-22</x:v>
      </x:c>
      <x:c r="H303" s="35" t="str"/>
      <x:c r="I303" s="20" t="str">
        <x:v>Tenant</x:v>
      </x:c>
      <x:c r="J303" s="23" t="n">
        <x:v>46500</x:v>
      </x:c>
      <x:c r="K303" s="35" t="str">
        <x:v>valid non-default; boundary/format value; blank/null when optional; invalid value when constrained</x:v>
      </x:c>
      <x:c r="L303" s="35" t="str">
        <x:v>Save succeeds; reload shows the exact normalized value; other client reads it where supported; edit persists; validation rejects invalid input without partial mutation.</x:v>
      </x:c>
    </x:row>
    <x:row r="304">
      <x:c r="A304" s="20" t="str">
        <x:v>FLD-0301</x:v>
      </x:c>
      <x:c r="B304" s="20" t="str">
        <x:v>Web</x:v>
      </x:c>
      <x:c r="C304" s="35" t="str">
        <x:v>/portal/maintenance</x:v>
      </x:c>
      <x:c r="D304" s="35" t="str">
        <x:v>web/src/routes/(portal)/portal/maintenance/+page.svelte</x:v>
      </x:c>
      <x:c r="E304" s="32" t="n">
        <x:v>232</x:v>
      </x:c>
      <x:c r="F304" s="20" t="str">
        <x:v>select</x:v>
      </x:c>
      <x:c r="G304" s="35" t="str">
        <x:v>Select-23</x:v>
      </x:c>
      <x:c r="H304" s="35" t="str"/>
      <x:c r="I304" s="20" t="str">
        <x:v>Tenant</x:v>
      </x:c>
      <x:c r="J304" s="23" t="n">
        <x:v>46503</x:v>
      </x:c>
      <x:c r="K304" s="35" t="str">
        <x:v>valid non-default; boundary/format value; blank/null when optional; invalid value when constrained</x:v>
      </x:c>
      <x:c r="L304" s="35" t="str">
        <x:v>Save succeeds; reload shows the exact normalized value; other client reads it where supported; edit persists; validation rejects invalid input without partial mutation.</x:v>
      </x:c>
    </x:row>
    <x:row r="305">
      <x:c r="A305" s="20" t="str">
        <x:v>FLD-0302</x:v>
      </x:c>
      <x:c r="B305" s="20" t="str">
        <x:v>Web</x:v>
      </x:c>
      <x:c r="C305" s="35" t="str">
        <x:v>/portal/maintenance</x:v>
      </x:c>
      <x:c r="D305" s="35" t="str">
        <x:v>web/src/routes/(portal)/portal/maintenance/+page.svelte</x:v>
      </x:c>
      <x:c r="E305" s="32" t="n">
        <x:v>259</x:v>
      </x:c>
      <x:c r="F305" s="20" t="str">
        <x:v>file</x:v>
      </x:c>
      <x:c r="G305" s="35" t="str">
        <x:v>portal-request-photo-input</x:v>
      </x:c>
      <x:c r="H305" s="35" t="str"/>
      <x:c r="I305" s="20" t="str">
        <x:v>Tenant</x:v>
      </x:c>
      <x:c r="J305" s="23" t="n">
        <x:v>46503</x:v>
      </x:c>
      <x:c r="K305" s="35" t="str">
        <x:v>valid non-default; boundary/format value; blank/null when optional; invalid value when constrained</x:v>
      </x:c>
      <x:c r="L305" s="35" t="str">
        <x:v>Save succeeds; reload shows the exact normalized value; other client reads it where supported; edit persists; validation rejects invalid input without partial mutation.</x:v>
      </x:c>
    </x:row>
    <x:row r="306">
      <x:c r="A306" s="20" t="str">
        <x:v>FLD-0303</x:v>
      </x:c>
      <x:c r="B306" s="20" t="str">
        <x:v>Web</x:v>
      </x:c>
      <x:c r="C306" s="35" t="str">
        <x:v>/portal/messages</x:v>
      </x:c>
      <x:c r="D306" s="35" t="str">
        <x:v>web/src/routes/(portal)/portal/messages/+page.svelte</x:v>
      </x:c>
      <x:c r="E306" s="32" t="n">
        <x:v>338</x:v>
      </x:c>
      <x:c r="F306" s="20" t="str">
        <x:v>textarea</x:v>
      </x:c>
      <x:c r="G306" s="35" t="str">
        <x:v>portal-reply-input</x:v>
      </x:c>
      <x:c r="H306" s="35" t="str">
        <x:v>Type a message…  (Enter to send)</x:v>
      </x:c>
      <x:c r="I306" s="20" t="str">
        <x:v>Tenant</x:v>
      </x:c>
      <x:c r="J306" s="23" t="n">
        <x:v>46503</x:v>
      </x:c>
      <x:c r="K306" s="35" t="str">
        <x:v>valid non-default; boundary/format value; blank/null when optional; invalid value when constrained</x:v>
      </x:c>
      <x:c r="L306" s="35" t="str">
        <x:v>Save succeeds; reload shows the exact normalized value; other client reads it where supported; edit persists; validation rejects invalid input without partial mutation.</x:v>
      </x:c>
    </x:row>
    <x:row r="307">
      <x:c r="A307" s="20" t="str">
        <x:v>FLD-0304</x:v>
      </x:c>
      <x:c r="B307" s="20" t="str">
        <x:v>Web</x:v>
      </x:c>
      <x:c r="C307" s="35" t="str">
        <x:v>/portal/messages</x:v>
      </x:c>
      <x:c r="D307" s="35" t="str">
        <x:v>web/src/routes/(portal)/portal/messages/+page.svelte</x:v>
      </x:c>
      <x:c r="E307" s="32" t="n">
        <x:v>443</x:v>
      </x:c>
      <x:c r="F307" s="20" t="str">
        <x:v>input</x:v>
      </x:c>
      <x:c r="G307" s="35" t="str">
        <x:v>portal-conversation-compose-subject</x:v>
      </x:c>
      <x:c r="H307" s="35" t="str">
        <x:v>Topic</x:v>
      </x:c>
      <x:c r="I307" s="20" t="str">
        <x:v>Tenant</x:v>
      </x:c>
      <x:c r="J307" s="23" t="n">
        <x:v>46503</x:v>
      </x:c>
      <x:c r="K307" s="35" t="str">
        <x:v>valid non-default; boundary/format value; blank/null when optional; invalid value when constrained</x:v>
      </x:c>
      <x:c r="L307" s="35" t="str">
        <x:v>Save succeeds; reload shows the exact normalized value; other client reads it where supported; edit persists; validation rejects invalid input without partial mutation.</x:v>
      </x:c>
    </x:row>
    <x:row r="308">
      <x:c r="A308" s="20" t="str">
        <x:v>FLD-0305</x:v>
      </x:c>
      <x:c r="B308" s="20" t="str">
        <x:v>Web</x:v>
      </x:c>
      <x:c r="C308" s="35" t="str">
        <x:v>/portal/messages</x:v>
      </x:c>
      <x:c r="D308" s="35" t="str">
        <x:v>web/src/routes/(portal)/portal/messages/+page.svelte</x:v>
      </x:c>
      <x:c r="E308" s="32" t="n">
        <x:v>459</x:v>
      </x:c>
      <x:c r="F308" s="20" t="str">
        <x:v>textarea</x:v>
      </x:c>
      <x:c r="G308" s="35" t="str">
        <x:v>portal-conversation-compose-body</x:v>
      </x:c>
      <x:c r="H308" s="35" t="str">
        <x:v>Message</x:v>
      </x:c>
      <x:c r="I308" s="20" t="str">
        <x:v>Tenant</x:v>
      </x:c>
      <x:c r="J308" s="23" t="n">
        <x:v>46503</x:v>
      </x:c>
      <x:c r="K308" s="35" t="str">
        <x:v>valid non-default; boundary/format value; blank/null when optional; invalid value when constrained</x:v>
      </x:c>
      <x:c r="L308" s="35" t="str">
        <x:v>Save succeeds; reload shows the exact normalized value; other client reads it where supported; edit persists; validation rejects invalid input without partial mutation.</x:v>
      </x:c>
    </x:row>
    <x:row r="309">
      <x:c r="A309" s="20" t="str">
        <x:v>FLD-0306</x:v>
      </x:c>
      <x:c r="B309" s="20" t="str">
        <x:v>Web</x:v>
      </x:c>
      <x:c r="C309" s="35" t="str">
        <x:v>/portal/payments</x:v>
      </x:c>
      <x:c r="D309" s="35" t="str">
        <x:v>web/src/routes/(portal)/portal/payments/+page.svelte</x:v>
      </x:c>
      <x:c r="E309" s="32" t="n">
        <x:v>163</x:v>
      </x:c>
      <x:c r="F309" s="20" t="str">
        <x:v>select</x:v>
      </x:c>
      <x:c r="G309" s="35" t="str">
        <x:v>select-1</x:v>
      </x:c>
      <x:c r="H309" s="35" t="str"/>
      <x:c r="I309" s="20" t="str">
        <x:v>Tenant</x:v>
      </x:c>
      <x:c r="J309" s="23" t="n">
        <x:v>46504</x:v>
      </x:c>
      <x:c r="K309" s="35" t="str">
        <x:v>valid non-default; boundary/format value; blank/null when optional; invalid value when constrained</x:v>
      </x:c>
      <x:c r="L309" s="35" t="str">
        <x:v>Save succeeds; reload shows the exact normalized value; other client reads it where supported; edit persists; validation rejects invalid input without partial mutation.</x:v>
      </x:c>
    </x:row>
    <x:row r="310">
      <x:c r="A310" s="20" t="str">
        <x:v>FLD-0307</x:v>
      </x:c>
      <x:c r="B310" s="20" t="str">
        <x:v>Web</x:v>
      </x:c>
      <x:c r="C310" s="35" t="str">
        <x:v>/accounting</x:v>
      </x:c>
      <x:c r="D310" s="35" t="str">
        <x:v>web/src/routes/(protected)/accounting/+page.svelte</x:v>
      </x:c>
      <x:c r="E310" s="32" t="n">
        <x:v>1139</x:v>
      </x:c>
      <x:c r="F310" s="20" t="str">
        <x:v>single</x:v>
      </x:c>
      <x:c r="G310" s="35" t="str">
        <x:v>transactionKindFilter</x:v>
      </x:c>
      <x:c r="H310" s="35" t="str"/>
      <x:c r="I310" s="20" t="str">
        <x:v>Property Manager</x:v>
      </x:c>
      <x:c r="J310" s="23" t="n">
        <x:v>46504</x:v>
      </x:c>
      <x:c r="K310" s="35" t="str">
        <x:v>valid non-default; boundary/format value; blank/null when optional; invalid value when constrained</x:v>
      </x:c>
      <x:c r="L310" s="35" t="str">
        <x:v>Save succeeds; reload shows the exact normalized value; other client reads it where supported; edit persists; validation rejects invalid input without partial mutation.</x:v>
      </x:c>
    </x:row>
    <x:row r="311">
      <x:c r="A311" s="20" t="str">
        <x:v>FLD-0308</x:v>
      </x:c>
      <x:c r="B311" s="20" t="str">
        <x:v>Web</x:v>
      </x:c>
      <x:c r="C311" s="35" t="str">
        <x:v>/accounting</x:v>
      </x:c>
      <x:c r="D311" s="35" t="str">
        <x:v>web/src/routes/(protected)/accounting/+page.svelte</x:v>
      </x:c>
      <x:c r="E311" s="32" t="n">
        <x:v>1140</x:v>
      </x:c>
      <x:c r="F311" s="20" t="str">
        <x:v>select</x:v>
      </x:c>
      <x:c r="G311" s="35" t="str">
        <x:v>transaction-kind-filter</x:v>
      </x:c>
      <x:c r="H311" s="35" t="str">
        <x:v>Transaction type</x:v>
      </x:c>
      <x:c r="I311" s="20" t="str">
        <x:v>Property Manager</x:v>
      </x:c>
      <x:c r="J311" s="23" t="n">
        <x:v>46504</x:v>
      </x:c>
      <x:c r="K311" s="35" t="str">
        <x:v>valid non-default; boundary/format value; blank/null when optional; invalid value when constrained</x:v>
      </x:c>
      <x:c r="L311" s="35" t="str">
        <x:v>Save succeeds; reload shows the exact normalized value; other client reads it where supported; edit persists; validation rejects invalid input without partial mutation.</x:v>
      </x:c>
    </x:row>
    <x:row r="312">
      <x:c r="A312" s="20" t="str">
        <x:v>FLD-0309</x:v>
      </x:c>
      <x:c r="B312" s="20" t="str">
        <x:v>Web</x:v>
      </x:c>
      <x:c r="C312" s="35" t="str">
        <x:v>/accounting</x:v>
      </x:c>
      <x:c r="D312" s="35" t="str">
        <x:v>web/src/routes/(protected)/accounting/+page.svelte</x:v>
      </x:c>
      <x:c r="E312" s="32" t="n">
        <x:v>1143</x:v>
      </x:c>
      <x:c r="F312" s="20" t="str">
        <x:v>select</x:v>
      </x:c>
      <x:c r="G312" s="35" t="str">
        <x:v>Select-3</x:v>
      </x:c>
      <x:c r="H312" s="35" t="str"/>
      <x:c r="I312" s="20" t="str">
        <x:v>Property Manager</x:v>
      </x:c>
      <x:c r="J312" s="23" t="n">
        <x:v>46504</x:v>
      </x:c>
      <x:c r="K312" s="35" t="str">
        <x:v>valid non-default; boundary/format value; blank/null when optional; invalid value when constrained</x:v>
      </x:c>
      <x:c r="L312" s="35" t="str">
        <x:v>Save succeeds; reload shows the exact normalized value; other client reads it where supported; edit persists; validation rejects invalid input without partial mutation.</x:v>
      </x:c>
    </x:row>
    <x:row r="313">
      <x:c r="A313" s="20" t="str">
        <x:v>FLD-0310</x:v>
      </x:c>
      <x:c r="B313" s="20" t="str">
        <x:v>Web</x:v>
      </x:c>
      <x:c r="C313" s="35" t="str">
        <x:v>/accounting</x:v>
      </x:c>
      <x:c r="D313" s="35" t="str">
        <x:v>web/src/routes/(protected)/accounting/+page.svelte</x:v>
      </x:c>
      <x:c r="E313" s="32" t="n">
        <x:v>1144</x:v>
      </x:c>
      <x:c r="F313" s="20" t="str">
        <x:v>select</x:v>
      </x:c>
      <x:c r="G313" s="35" t="str">
        <x:v>Select-4</x:v>
      </x:c>
      <x:c r="H313" s="35" t="str"/>
      <x:c r="I313" s="20" t="str">
        <x:v>Property Manager</x:v>
      </x:c>
      <x:c r="J313" s="23" t="n">
        <x:v>46505</x:v>
      </x:c>
      <x:c r="K313" s="35" t="str">
        <x:v>valid non-default; boundary/format value; blank/null when optional; invalid value when constrained</x:v>
      </x:c>
      <x:c r="L313" s="35" t="str">
        <x:v>Save succeeds; reload shows the exact normalized value; other client reads it where supported; edit persists; validation rejects invalid input without partial mutation.</x:v>
      </x:c>
    </x:row>
    <x:row r="314">
      <x:c r="A314" s="20" t="str">
        <x:v>FLD-0311</x:v>
      </x:c>
      <x:c r="B314" s="20" t="str">
        <x:v>Web</x:v>
      </x:c>
      <x:c r="C314" s="35" t="str">
        <x:v>/accounting</x:v>
      </x:c>
      <x:c r="D314" s="35" t="str">
        <x:v>web/src/routes/(protected)/accounting/+page.svelte</x:v>
      </x:c>
      <x:c r="E314" s="32" t="n">
        <x:v>1145</x:v>
      </x:c>
      <x:c r="F314" s="20" t="str">
        <x:v>select</x:v>
      </x:c>
      <x:c r="G314" s="35" t="str">
        <x:v>Select-5</x:v>
      </x:c>
      <x:c r="H314" s="35" t="str"/>
      <x:c r="I314" s="20" t="str">
        <x:v>Property Manager</x:v>
      </x:c>
      <x:c r="J314" s="23" t="n">
        <x:v>46505</x:v>
      </x:c>
      <x:c r="K314" s="35" t="str">
        <x:v>valid non-default; boundary/format value; blank/null when optional; invalid value when constrained</x:v>
      </x:c>
      <x:c r="L314" s="35" t="str">
        <x:v>Save succeeds; reload shows the exact normalized value; other client reads it where supported; edit persists; validation rejects invalid input without partial mutation.</x:v>
      </x:c>
    </x:row>
    <x:row r="315">
      <x:c r="A315" s="20" t="str">
        <x:v>FLD-0312</x:v>
      </x:c>
      <x:c r="B315" s="20" t="str">
        <x:v>Web</x:v>
      </x:c>
      <x:c r="C315" s="35" t="str">
        <x:v>/accounting</x:v>
      </x:c>
      <x:c r="D315" s="35" t="str">
        <x:v>web/src/routes/(protected)/accounting/+page.svelte</x:v>
      </x:c>
      <x:c r="E315" s="32" t="n">
        <x:v>1146</x:v>
      </x:c>
      <x:c r="F315" s="20" t="str">
        <x:v>select</x:v>
      </x:c>
      <x:c r="G315" s="35" t="str">
        <x:v>Select-6</x:v>
      </x:c>
      <x:c r="H315" s="35" t="str"/>
      <x:c r="I315" s="20" t="str">
        <x:v>Property Manager</x:v>
      </x:c>
      <x:c r="J315" s="23" t="n">
        <x:v>46505</x:v>
      </x:c>
      <x:c r="K315" s="35" t="str">
        <x:v>valid non-default; boundary/format value; blank/null when optional; invalid value when constrained</x:v>
      </x:c>
      <x:c r="L315" s="35" t="str">
        <x:v>Save succeeds; reload shows the exact normalized value; other client reads it where supported; edit persists; validation rejects invalid input without partial mutation.</x:v>
      </x:c>
    </x:row>
    <x:row r="316">
      <x:c r="A316" s="20" t="str">
        <x:v>FLD-0313</x:v>
      </x:c>
      <x:c r="B316" s="20" t="str">
        <x:v>Web</x:v>
      </x:c>
      <x:c r="C316" s="35" t="str">
        <x:v>/accounting</x:v>
      </x:c>
      <x:c r="D316" s="35" t="str">
        <x:v>web/src/routes/(protected)/accounting/+page.svelte</x:v>
      </x:c>
      <x:c r="E316" s="32" t="n">
        <x:v>1147</x:v>
      </x:c>
      <x:c r="F316" s="20" t="str">
        <x:v>select</x:v>
      </x:c>
      <x:c r="G316" s="35" t="str">
        <x:v>Select-7</x:v>
      </x:c>
      <x:c r="H316" s="35" t="str"/>
      <x:c r="I316" s="20" t="str">
        <x:v>Property Manager</x:v>
      </x:c>
      <x:c r="J316" s="23" t="n">
        <x:v>46505</x:v>
      </x:c>
      <x:c r="K316" s="35" t="str">
        <x:v>valid non-default; boundary/format value; blank/null when optional; invalid value when constrained</x:v>
      </x:c>
      <x:c r="L316" s="35" t="str">
        <x:v>Save succeeds; reload shows the exact normalized value; other client reads it where supported; edit persists; validation rejects invalid input without partial mutation.</x:v>
      </x:c>
    </x:row>
    <x:row r="317">
      <x:c r="A317" s="20" t="str">
        <x:v>FLD-0314</x:v>
      </x:c>
      <x:c r="B317" s="20" t="str">
        <x:v>Web</x:v>
      </x:c>
      <x:c r="C317" s="35" t="str">
        <x:v>/accounting</x:v>
      </x:c>
      <x:c r="D317" s="35" t="str">
        <x:v>web/src/routes/(protected)/accounting/+page.svelte</x:v>
      </x:c>
      <x:c r="E317" s="32" t="n">
        <x:v>1150</x:v>
      </x:c>
      <x:c r="F317" s="20" t="str">
        <x:v>single</x:v>
      </x:c>
      <x:c r="G317" s="35" t="str">
        <x:v>transactionStatusFilter</x:v>
      </x:c>
      <x:c r="H317" s="35" t="str"/>
      <x:c r="I317" s="20" t="str">
        <x:v>Property Manager</x:v>
      </x:c>
      <x:c r="J317" s="23" t="n">
        <x:v>46506</x:v>
      </x:c>
      <x:c r="K317" s="35" t="str">
        <x:v>valid non-default; boundary/format value; blank/null when optional; invalid value when constrained</x:v>
      </x:c>
      <x:c r="L317" s="35" t="str">
        <x:v>Save succeeds; reload shows the exact normalized value; other client reads it where supported; edit persists; validation rejects invalid input without partial mutation.</x:v>
      </x:c>
    </x:row>
    <x:row r="318">
      <x:c r="A318" s="20" t="str">
        <x:v>FLD-0315</x:v>
      </x:c>
      <x:c r="B318" s="20" t="str">
        <x:v>Web</x:v>
      </x:c>
      <x:c r="C318" s="35" t="str">
        <x:v>/accounting</x:v>
      </x:c>
      <x:c r="D318" s="35" t="str">
        <x:v>web/src/routes/(protected)/accounting/+page.svelte</x:v>
      </x:c>
      <x:c r="E318" s="32" t="n">
        <x:v>1151</x:v>
      </x:c>
      <x:c r="F318" s="20" t="str">
        <x:v>select</x:v>
      </x:c>
      <x:c r="G318" s="35" t="str">
        <x:v>transaction-status-filter</x:v>
      </x:c>
      <x:c r="H318" s="35" t="str">
        <x:v>Transaction status</x:v>
      </x:c>
      <x:c r="I318" s="20" t="str">
        <x:v>Property Manager</x:v>
      </x:c>
      <x:c r="J318" s="23" t="n">
        <x:v>46506</x:v>
      </x:c>
      <x:c r="K318" s="35" t="str">
        <x:v>valid non-default; boundary/format value; blank/null when optional; invalid value when constrained</x:v>
      </x:c>
      <x:c r="L318" s="35" t="str">
        <x:v>Save succeeds; reload shows the exact normalized value; other client reads it where supported; edit persists; validation rejects invalid input without partial mutation.</x:v>
      </x:c>
    </x:row>
    <x:row r="319">
      <x:c r="A319" s="20" t="str">
        <x:v>FLD-0316</x:v>
      </x:c>
      <x:c r="B319" s="20" t="str">
        <x:v>Web</x:v>
      </x:c>
      <x:c r="C319" s="35" t="str">
        <x:v>/accounting</x:v>
      </x:c>
      <x:c r="D319" s="35" t="str">
        <x:v>web/src/routes/(protected)/accounting/+page.svelte</x:v>
      </x:c>
      <x:c r="E319" s="32" t="n">
        <x:v>1154</x:v>
      </x:c>
      <x:c r="F319" s="20" t="str">
        <x:v>select</x:v>
      </x:c>
      <x:c r="G319" s="35" t="str">
        <x:v>Select-10</x:v>
      </x:c>
      <x:c r="H319" s="35" t="str"/>
      <x:c r="I319" s="20" t="str">
        <x:v>Property Manager</x:v>
      </x:c>
      <x:c r="J319" s="23" t="n">
        <x:v>46506</x:v>
      </x:c>
      <x:c r="K319" s="35" t="str">
        <x:v>valid non-default; boundary/format value; blank/null when optional; invalid value when constrained</x:v>
      </x:c>
      <x:c r="L319" s="35" t="str">
        <x:v>Save succeeds; reload shows the exact normalized value; other client reads it where supported; edit persists; validation rejects invalid input without partial mutation.</x:v>
      </x:c>
    </x:row>
    <x:row r="320">
      <x:c r="A320" s="20" t="str">
        <x:v>FLD-0317</x:v>
      </x:c>
      <x:c r="B320" s="20" t="str">
        <x:v>Web</x:v>
      </x:c>
      <x:c r="C320" s="35" t="str">
        <x:v>/accounting</x:v>
      </x:c>
      <x:c r="D320" s="35" t="str">
        <x:v>web/src/routes/(protected)/accounting/+page.svelte</x:v>
      </x:c>
      <x:c r="E320" s="32" t="n">
        <x:v>1155</x:v>
      </x:c>
      <x:c r="F320" s="20" t="str">
        <x:v>select</x:v>
      </x:c>
      <x:c r="G320" s="35" t="str">
        <x:v>Select-11</x:v>
      </x:c>
      <x:c r="H320" s="35" t="str"/>
      <x:c r="I320" s="20" t="str">
        <x:v>Property Manager</x:v>
      </x:c>
      <x:c r="J320" s="23" t="n">
        <x:v>46506</x:v>
      </x:c>
      <x:c r="K320" s="35" t="str">
        <x:v>valid non-default; boundary/format value; blank/null when optional; invalid value when constrained</x:v>
      </x:c>
      <x:c r="L320" s="35" t="str">
        <x:v>Save succeeds; reload shows the exact normalized value; other client reads it where supported; edit persists; validation rejects invalid input without partial mutation.</x:v>
      </x:c>
    </x:row>
    <x:row r="321">
      <x:c r="A321" s="20" t="str">
        <x:v>FLD-0318</x:v>
      </x:c>
      <x:c r="B321" s="20" t="str">
        <x:v>Web</x:v>
      </x:c>
      <x:c r="C321" s="35" t="str">
        <x:v>/accounting</x:v>
      </x:c>
      <x:c r="D321" s="35" t="str">
        <x:v>web/src/routes/(protected)/accounting/+page.svelte</x:v>
      </x:c>
      <x:c r="E321" s="32" t="n">
        <x:v>1157</x:v>
      </x:c>
      <x:c r="F321" s="20" t="str">
        <x:v>select</x:v>
      </x:c>
      <x:c r="G321" s="35" t="str">
        <x:v>Select-12</x:v>
      </x:c>
      <x:c r="H321" s="35" t="str"/>
      <x:c r="I321" s="20" t="str">
        <x:v>Property Manager</x:v>
      </x:c>
      <x:c r="J321" s="23" t="n">
        <x:v>46506</x:v>
      </x:c>
      <x:c r="K321" s="35" t="str">
        <x:v>valid non-default; boundary/format value; blank/null when optional; invalid value when constrained</x:v>
      </x:c>
      <x:c r="L321" s="35" t="str">
        <x:v>Save succeeds; reload shows the exact normalized value; other client reads it where supported; edit persists; validation rejects invalid input without partial mutation.</x:v>
      </x:c>
    </x:row>
    <x:row r="322">
      <x:c r="A322" s="20" t="str">
        <x:v>FLD-0319</x:v>
      </x:c>
      <x:c r="B322" s="20" t="str">
        <x:v>Web</x:v>
      </x:c>
      <x:c r="C322" s="35" t="str">
        <x:v>/accounting</x:v>
      </x:c>
      <x:c r="D322" s="35" t="str">
        <x:v>web/src/routes/(protected)/accounting/+page.svelte</x:v>
      </x:c>
      <x:c r="E322" s="32" t="n">
        <x:v>1161</x:v>
      </x:c>
      <x:c r="F322" s="20" t="str">
        <x:v>single</x:v>
      </x:c>
      <x:c r="G322" s="35" t="str">
        <x:v>transactionCategoryFilter</x:v>
      </x:c>
      <x:c r="H322" s="35" t="str"/>
      <x:c r="I322" s="20" t="str">
        <x:v>Property Manager</x:v>
      </x:c>
      <x:c r="J322" s="23" t="n">
        <x:v>46507</x:v>
      </x:c>
      <x:c r="K322" s="35" t="str">
        <x:v>valid non-default; boundary/format value; blank/null when optional; invalid value when constrained</x:v>
      </x:c>
      <x:c r="L322" s="35" t="str">
        <x:v>Save succeeds; reload shows the exact normalized value; other client reads it where supported; edit persists; validation rejects invalid input without partial mutation.</x:v>
      </x:c>
    </x:row>
    <x:row r="323">
      <x:c r="A323" s="20" t="str">
        <x:v>FLD-0320</x:v>
      </x:c>
      <x:c r="B323" s="20" t="str">
        <x:v>Web</x:v>
      </x:c>
      <x:c r="C323" s="35" t="str">
        <x:v>/accounting</x:v>
      </x:c>
      <x:c r="D323" s="35" t="str">
        <x:v>web/src/routes/(protected)/accounting/+page.svelte</x:v>
      </x:c>
      <x:c r="E323" s="32" t="n">
        <x:v>1162</x:v>
      </x:c>
      <x:c r="F323" s="20" t="str">
        <x:v>select</x:v>
      </x:c>
      <x:c r="G323" s="35" t="str">
        <x:v>transaction-category-filter</x:v>
      </x:c>
      <x:c r="H323" s="35" t="str">
        <x:v>Transaction category</x:v>
      </x:c>
      <x:c r="I323" s="20" t="str">
        <x:v>Property Manager</x:v>
      </x:c>
      <x:c r="J323" s="23" t="n">
        <x:v>46507</x:v>
      </x:c>
      <x:c r="K323" s="35" t="str">
        <x:v>valid non-default; boundary/format value; blank/null when optional; invalid value when constrained</x:v>
      </x:c>
      <x:c r="L323" s="35" t="str">
        <x:v>Save succeeds; reload shows the exact normalized value; other client reads it where supported; edit persists; validation rejects invalid input without partial mutation.</x:v>
      </x:c>
    </x:row>
    <x:row r="324">
      <x:c r="A324" s="20" t="str">
        <x:v>FLD-0321</x:v>
      </x:c>
      <x:c r="B324" s="20" t="str">
        <x:v>Web</x:v>
      </x:c>
      <x:c r="C324" s="35" t="str">
        <x:v>/accounting</x:v>
      </x:c>
      <x:c r="D324" s="35" t="str">
        <x:v>web/src/routes/(protected)/accounting/+page.svelte</x:v>
      </x:c>
      <x:c r="E324" s="32" t="n">
        <x:v>1165</x:v>
      </x:c>
      <x:c r="F324" s="20" t="str">
        <x:v>select</x:v>
      </x:c>
      <x:c r="G324" s="35" t="str">
        <x:v>Select-15</x:v>
      </x:c>
      <x:c r="H324" s="35" t="str"/>
      <x:c r="I324" s="20" t="str">
        <x:v>Property Manager</x:v>
      </x:c>
      <x:c r="J324" s="23" t="n">
        <x:v>46507</x:v>
      </x:c>
      <x:c r="K324" s="35" t="str">
        <x:v>valid non-default; boundary/format value; blank/null when optional; invalid value when constrained</x:v>
      </x:c>
      <x:c r="L324" s="35" t="str">
        <x:v>Save succeeds; reload shows the exact normalized value; other client reads it where supported; edit persists; validation rejects invalid input without partial mutation.</x:v>
      </x:c>
    </x:row>
    <x:row r="325">
      <x:c r="A325" s="20" t="str">
        <x:v>FLD-0322</x:v>
      </x:c>
      <x:c r="B325" s="20" t="str">
        <x:v>Web</x:v>
      </x:c>
      <x:c r="C325" s="35" t="str">
        <x:v>/accounting</x:v>
      </x:c>
      <x:c r="D325" s="35" t="str">
        <x:v>web/src/routes/(protected)/accounting/+page.svelte</x:v>
      </x:c>
      <x:c r="E325" s="32" t="n">
        <x:v>1166</x:v>
      </x:c>
      <x:c r="F325" s="20" t="str">
        <x:v>select</x:v>
      </x:c>
      <x:c r="G325" s="35" t="str">
        <x:v>Select-16</x:v>
      </x:c>
      <x:c r="H325" s="35" t="str"/>
      <x:c r="I325" s="20" t="str">
        <x:v>Property Manager</x:v>
      </x:c>
      <x:c r="J325" s="23" t="n">
        <x:v>46507</x:v>
      </x:c>
      <x:c r="K325" s="35" t="str">
        <x:v>valid non-default; boundary/format value; blank/null when optional; invalid value when constrained</x:v>
      </x:c>
      <x:c r="L325" s="35" t="str">
        <x:v>Save succeeds; reload shows the exact normalized value; other client reads it where supported; edit persists; validation rejects invalid input without partial mutation.</x:v>
      </x:c>
    </x:row>
    <x:row r="326">
      <x:c r="A326" s="20" t="str">
        <x:v>FLD-0323</x:v>
      </x:c>
      <x:c r="B326" s="20" t="str">
        <x:v>Web</x:v>
      </x:c>
      <x:c r="C326" s="35" t="str">
        <x:v>/accounting</x:v>
      </x:c>
      <x:c r="D326" s="35" t="str">
        <x:v>web/src/routes/(protected)/accounting/+page.svelte</x:v>
      </x:c>
      <x:c r="E326" s="32" t="n">
        <x:v>1168</x:v>
      </x:c>
      <x:c r="F326" s="20" t="str">
        <x:v>select</x:v>
      </x:c>
      <x:c r="G326" s="35" t="str">
        <x:v>Select-17</x:v>
      </x:c>
      <x:c r="H326" s="35" t="str"/>
      <x:c r="I326" s="20" t="str">
        <x:v>Property Manager</x:v>
      </x:c>
      <x:c r="J326" s="23" t="n">
        <x:v>46510</x:v>
      </x:c>
      <x:c r="K326" s="35" t="str">
        <x:v>valid non-default; boundary/format value; blank/null when optional; invalid value when constrained</x:v>
      </x:c>
      <x:c r="L326" s="35" t="str">
        <x:v>Save succeeds; reload shows the exact normalized value; other client reads it where supported; edit persists; validation rejects invalid input without partial mutation.</x:v>
      </x:c>
    </x:row>
    <x:row r="327">
      <x:c r="A327" s="20" t="str">
        <x:v>FLD-0324</x:v>
      </x:c>
      <x:c r="B327" s="20" t="str">
        <x:v>Web</x:v>
      </x:c>
      <x:c r="C327" s="35" t="str">
        <x:v>/accounting</x:v>
      </x:c>
      <x:c r="D327" s="35" t="str">
        <x:v>web/src/routes/(protected)/accounting/+page.svelte</x:v>
      </x:c>
      <x:c r="E327" s="32" t="n">
        <x:v>1329</x:v>
      </x:c>
      <x:c r="F327" s="20" t="str">
        <x:v>input</x:v>
      </x:c>
      <x:c r="G327" s="35" t="str">
        <x:v>expense-description-input</x:v>
      </x:c>
      <x:c r="H327" s="35" t="str">
        <x:v>Description</x:v>
      </x:c>
      <x:c r="I327" s="20" t="str">
        <x:v>Property Manager</x:v>
      </x:c>
      <x:c r="J327" s="23" t="n">
        <x:v>46510</x:v>
      </x:c>
      <x:c r="K327" s="35" t="str">
        <x:v>valid non-default; boundary/format value; blank/null when optional; invalid value when constrained</x:v>
      </x:c>
      <x:c r="L327" s="35" t="str">
        <x:v>Save succeeds; reload shows the exact normalized value; other client reads it where supported; edit persists; validation rejects invalid input without partial mutation.</x:v>
      </x:c>
    </x:row>
    <x:row r="328">
      <x:c r="A328" s="20" t="str">
        <x:v>FLD-0325</x:v>
      </x:c>
      <x:c r="B328" s="20" t="str">
        <x:v>Web</x:v>
      </x:c>
      <x:c r="C328" s="35" t="str">
        <x:v>/accounting</x:v>
      </x:c>
      <x:c r="D328" s="35" t="str">
        <x:v>web/src/routes/(protected)/accounting/+page.svelte</x:v>
      </x:c>
      <x:c r="E328" s="32" t="n">
        <x:v>1335</x:v>
      </x:c>
      <x:c r="F328" s="20" t="str">
        <x:v>text</x:v>
      </x:c>
      <x:c r="G328" s="35" t="str">
        <x:v>expense-amount-input</x:v>
      </x:c>
      <x:c r="H328" s="35" t="str">
        <x:v>0.00</x:v>
      </x:c>
      <x:c r="I328" s="20" t="str">
        <x:v>Property Manager</x:v>
      </x:c>
      <x:c r="J328" s="23" t="n">
        <x:v>46510</x:v>
      </x:c>
      <x:c r="K328" s="35" t="str">
        <x:v>valid non-default; boundary/format value; blank/null when optional; invalid value when constrained</x:v>
      </x:c>
      <x:c r="L328" s="35" t="str">
        <x:v>Save succeeds; reload shows the exact normalized value; other client reads it where supported; edit persists; validation rejects invalid input without partial mutation.</x:v>
      </x:c>
    </x:row>
    <x:row r="329">
      <x:c r="A329" s="20" t="str">
        <x:v>FLD-0326</x:v>
      </x:c>
      <x:c r="B329" s="20" t="str">
        <x:v>Web</x:v>
      </x:c>
      <x:c r="C329" s="35" t="str">
        <x:v>/accounting</x:v>
      </x:c>
      <x:c r="D329" s="35" t="str">
        <x:v>web/src/routes/(protected)/accounting/+page.svelte</x:v>
      </x:c>
      <x:c r="E329" s="32" t="n">
        <x:v>1340</x:v>
      </x:c>
      <x:c r="F329" s="20" t="str">
        <x:v>text</x:v>
      </x:c>
      <x:c r="G329" s="35" t="str">
        <x:v>expense-subtotal-input</x:v>
      </x:c>
      <x:c r="H329" s="35" t="str">
        <x:v>0.00</x:v>
      </x:c>
      <x:c r="I329" s="20" t="str">
        <x:v>Property Manager</x:v>
      </x:c>
      <x:c r="J329" s="23" t="n">
        <x:v>46510</x:v>
      </x:c>
      <x:c r="K329" s="35" t="str">
        <x:v>valid non-default; boundary/format value; blank/null when optional; invalid value when constrained</x:v>
      </x:c>
      <x:c r="L329" s="35" t="str">
        <x:v>Save succeeds; reload shows the exact normalized value; other client reads it where supported; edit persists; validation rejects invalid input without partial mutation.</x:v>
      </x:c>
    </x:row>
    <x:row r="330">
      <x:c r="A330" s="20" t="str">
        <x:v>FLD-0327</x:v>
      </x:c>
      <x:c r="B330" s="20" t="str">
        <x:v>Web</x:v>
      </x:c>
      <x:c r="C330" s="35" t="str">
        <x:v>/accounting</x:v>
      </x:c>
      <x:c r="D330" s="35" t="str">
        <x:v>web/src/routes/(protected)/accounting/+page.svelte</x:v>
      </x:c>
      <x:c r="E330" s="32" t="n">
        <x:v>1345</x:v>
      </x:c>
      <x:c r="F330" s="20" t="str">
        <x:v>text</x:v>
      </x:c>
      <x:c r="G330" s="35" t="str">
        <x:v>expense-tax-input</x:v>
      </x:c>
      <x:c r="H330" s="35" t="str">
        <x:v>0.00</x:v>
      </x:c>
      <x:c r="I330" s="20" t="str">
        <x:v>Property Manager</x:v>
      </x:c>
      <x:c r="J330" s="23" t="n">
        <x:v>46510</x:v>
      </x:c>
      <x:c r="K330" s="35" t="str">
        <x:v>valid non-default; boundary/format value; blank/null when optional; invalid value when constrained</x:v>
      </x:c>
      <x:c r="L330" s="35" t="str">
        <x:v>Save succeeds; reload shows the exact normalized value; other client reads it where supported; edit persists; validation rejects invalid input without partial mutation.</x:v>
      </x:c>
    </x:row>
    <x:row r="331">
      <x:c r="A331" s="20" t="str">
        <x:v>FLD-0328</x:v>
      </x:c>
      <x:c r="B331" s="20" t="str">
        <x:v>Web</x:v>
      </x:c>
      <x:c r="C331" s="35" t="str">
        <x:v>/accounting</x:v>
      </x:c>
      <x:c r="D331" s="35" t="str">
        <x:v>web/src/routes/(protected)/accounting/+page.svelte</x:v>
      </x:c>
      <x:c r="E331" s="32" t="n">
        <x:v>1369</x:v>
      </x:c>
      <x:c r="F331" s="20" t="str">
        <x:v>single</x:v>
      </x:c>
      <x:c r="G331" s="35" t="str">
        <x:v>expenseForm.category</x:v>
      </x:c>
      <x:c r="H331" s="35" t="str"/>
      <x:c r="I331" s="20" t="str">
        <x:v>Property Manager</x:v>
      </x:c>
      <x:c r="J331" s="23" t="n">
        <x:v>46511</x:v>
      </x:c>
      <x:c r="K331" s="35" t="str">
        <x:v>valid non-default; boundary/format value; blank/null when optional; invalid value when constrained</x:v>
      </x:c>
      <x:c r="L331" s="35" t="str">
        <x:v>Save succeeds; reload shows the exact normalized value; other client reads it where supported; edit persists; validation rejects invalid input without partial mutation.</x:v>
      </x:c>
    </x:row>
    <x:row r="332">
      <x:c r="A332" s="20" t="str">
        <x:v>FLD-0329</x:v>
      </x:c>
      <x:c r="B332" s="20" t="str">
        <x:v>Web</x:v>
      </x:c>
      <x:c r="C332" s="35" t="str">
        <x:v>/accounting</x:v>
      </x:c>
      <x:c r="D332" s="35" t="str">
        <x:v>web/src/routes/(protected)/accounting/+page.svelte</x:v>
      </x:c>
      <x:c r="E332" s="32" t="n">
        <x:v>1370</x:v>
      </x:c>
      <x:c r="F332" s="20" t="str">
        <x:v>select</x:v>
      </x:c>
      <x:c r="G332" s="35" t="str">
        <x:v>expense-category-input</x:v>
      </x:c>
      <x:c r="H332" s="35" t="str"/>
      <x:c r="I332" s="20" t="str">
        <x:v>Property Manager</x:v>
      </x:c>
      <x:c r="J332" s="23" t="n">
        <x:v>46511</x:v>
      </x:c>
      <x:c r="K332" s="35" t="str">
        <x:v>valid non-default; boundary/format value; blank/null when optional; invalid value when constrained</x:v>
      </x:c>
      <x:c r="L332" s="35" t="str">
        <x:v>Save succeeds; reload shows the exact normalized value; other client reads it where supported; edit persists; validation rejects invalid input without partial mutation.</x:v>
      </x:c>
    </x:row>
    <x:row r="333">
      <x:c r="A333" s="20" t="str">
        <x:v>FLD-0330</x:v>
      </x:c>
      <x:c r="B333" s="20" t="str">
        <x:v>Web</x:v>
      </x:c>
      <x:c r="C333" s="35" t="str">
        <x:v>/accounting</x:v>
      </x:c>
      <x:c r="D333" s="35" t="str">
        <x:v>web/src/routes/(protected)/accounting/+page.svelte</x:v>
      </x:c>
      <x:c r="E333" s="32" t="n">
        <x:v>1373</x:v>
      </x:c>
      <x:c r="F333" s="20" t="str">
        <x:v>select</x:v>
      </x:c>
      <x:c r="G333" s="35" t="str">
        <x:v>Select-24</x:v>
      </x:c>
      <x:c r="H333" s="35" t="str"/>
      <x:c r="I333" s="20" t="str">
        <x:v>Property Manager</x:v>
      </x:c>
      <x:c r="J333" s="23" t="n">
        <x:v>46511</x:v>
      </x:c>
      <x:c r="K333" s="35" t="str">
        <x:v>valid non-default; boundary/format value; blank/null when optional; invalid value when constrained</x:v>
      </x:c>
      <x:c r="L333" s="35" t="str">
        <x:v>Save succeeds; reload shows the exact normalized value; other client reads it where supported; edit persists; validation rejects invalid input without partial mutation.</x:v>
      </x:c>
    </x:row>
    <x:row r="334">
      <x:c r="A334" s="20" t="str">
        <x:v>FLD-0331</x:v>
      </x:c>
      <x:c r="B334" s="20" t="str">
        <x:v>Web</x:v>
      </x:c>
      <x:c r="C334" s="35" t="str">
        <x:v>/accounting</x:v>
      </x:c>
      <x:c r="D334" s="35" t="str">
        <x:v>web/src/routes/(protected)/accounting/+page.svelte</x:v>
      </x:c>
      <x:c r="E334" s="32" t="n">
        <x:v>1375</x:v>
      </x:c>
      <x:c r="F334" s="20" t="str">
        <x:v>select</x:v>
      </x:c>
      <x:c r="G334" s="35" t="str">
        <x:v>Select-25</x:v>
      </x:c>
      <x:c r="H334" s="35" t="str"/>
      <x:c r="I334" s="20" t="str">
        <x:v>Property Manager</x:v>
      </x:c>
      <x:c r="J334" s="23" t="n">
        <x:v>46511</x:v>
      </x:c>
      <x:c r="K334" s="35" t="str">
        <x:v>valid non-default; boundary/format value; blank/null when optional; invalid value when constrained</x:v>
      </x:c>
      <x:c r="L334" s="35" t="str">
        <x:v>Save succeeds; reload shows the exact normalized value; other client reads it where supported; edit persists; validation rejects invalid input without partial mutation.</x:v>
      </x:c>
    </x:row>
    <x:row r="335">
      <x:c r="A335" s="20" t="str">
        <x:v>FLD-0332</x:v>
      </x:c>
      <x:c r="B335" s="20" t="str">
        <x:v>Web</x:v>
      </x:c>
      <x:c r="C335" s="35" t="str">
        <x:v>/accounting</x:v>
      </x:c>
      <x:c r="D335" s="35" t="str">
        <x:v>web/src/routes/(protected)/accounting/+page.svelte</x:v>
      </x:c>
      <x:c r="E335" s="32" t="n">
        <x:v>1382</x:v>
      </x:c>
      <x:c r="F335" s="20" t="str">
        <x:v>single</x:v>
      </x:c>
      <x:c r="G335" s="35" t="str">
        <x:v>expenseForm.status</x:v>
      </x:c>
      <x:c r="H335" s="35" t="str"/>
      <x:c r="I335" s="20" t="str">
        <x:v>Property Manager</x:v>
      </x:c>
      <x:c r="J335" s="23" t="n">
        <x:v>46512</x:v>
      </x:c>
      <x:c r="K335" s="35" t="str">
        <x:v>valid non-default; boundary/format value; blank/null when optional; invalid value when constrained</x:v>
      </x:c>
      <x:c r="L335" s="35" t="str">
        <x:v>Save succeeds; reload shows the exact normalized value; other client reads it where supported; edit persists; validation rejects invalid input without partial mutation.</x:v>
      </x:c>
    </x:row>
    <x:row r="336">
      <x:c r="A336" s="20" t="str">
        <x:v>FLD-0333</x:v>
      </x:c>
      <x:c r="B336" s="20" t="str">
        <x:v>Web</x:v>
      </x:c>
      <x:c r="C336" s="35" t="str">
        <x:v>/accounting</x:v>
      </x:c>
      <x:c r="D336" s="35" t="str">
        <x:v>web/src/routes/(protected)/accounting/+page.svelte</x:v>
      </x:c>
      <x:c r="E336" s="32" t="n">
        <x:v>1383</x:v>
      </x:c>
      <x:c r="F336" s="20" t="str">
        <x:v>select</x:v>
      </x:c>
      <x:c r="G336" s="35" t="str">
        <x:v>expense-status-input</x:v>
      </x:c>
      <x:c r="H336" s="35" t="str"/>
      <x:c r="I336" s="20" t="str">
        <x:v>Property Manager</x:v>
      </x:c>
      <x:c r="J336" s="23" t="n">
        <x:v>46512</x:v>
      </x:c>
      <x:c r="K336" s="35" t="str">
        <x:v>valid non-default; boundary/format value; blank/null when optional; invalid value when constrained</x:v>
      </x:c>
      <x:c r="L336" s="35" t="str">
        <x:v>Save succeeds; reload shows the exact normalized value; other client reads it where supported; edit persists; validation rejects invalid input without partial mutation.</x:v>
      </x:c>
    </x:row>
    <x:row r="337">
      <x:c r="A337" s="20" t="str">
        <x:v>FLD-0334</x:v>
      </x:c>
      <x:c r="B337" s="20" t="str">
        <x:v>Web</x:v>
      </x:c>
      <x:c r="C337" s="35" t="str">
        <x:v>/accounting</x:v>
      </x:c>
      <x:c r="D337" s="35" t="str">
        <x:v>web/src/routes/(protected)/accounting/+page.svelte</x:v>
      </x:c>
      <x:c r="E337" s="32" t="n">
        <x:v>1386</x:v>
      </x:c>
      <x:c r="F337" s="20" t="str">
        <x:v>select</x:v>
      </x:c>
      <x:c r="G337" s="35" t="str">
        <x:v>Select-28</x:v>
      </x:c>
      <x:c r="H337" s="35" t="str"/>
      <x:c r="I337" s="20" t="str">
        <x:v>Property Manager</x:v>
      </x:c>
      <x:c r="J337" s="23" t="n">
        <x:v>46512</x:v>
      </x:c>
      <x:c r="K337" s="35" t="str">
        <x:v>valid non-default; boundary/format value; blank/null when optional; invalid value when constrained</x:v>
      </x:c>
      <x:c r="L337" s="35" t="str">
        <x:v>Save succeeds; reload shows the exact normalized value; other client reads it where supported; edit persists; validation rejects invalid input without partial mutation.</x:v>
      </x:c>
    </x:row>
    <x:row r="338">
      <x:c r="A338" s="20" t="str">
        <x:v>FLD-0335</x:v>
      </x:c>
      <x:c r="B338" s="20" t="str">
        <x:v>Web</x:v>
      </x:c>
      <x:c r="C338" s="35" t="str">
        <x:v>/accounting</x:v>
      </x:c>
      <x:c r="D338" s="35" t="str">
        <x:v>web/src/routes/(protected)/accounting/+page.svelte</x:v>
      </x:c>
      <x:c r="E338" s="32" t="n">
        <x:v>1388</x:v>
      </x:c>
      <x:c r="F338" s="20" t="str">
        <x:v>select</x:v>
      </x:c>
      <x:c r="G338" s="35" t="str">
        <x:v>Select-29</x:v>
      </x:c>
      <x:c r="H338" s="35" t="str"/>
      <x:c r="I338" s="20" t="str">
        <x:v>Property Manager</x:v>
      </x:c>
      <x:c r="J338" s="23" t="n">
        <x:v>46512</x:v>
      </x:c>
      <x:c r="K338" s="35" t="str">
        <x:v>valid non-default; boundary/format value; blank/null when optional; invalid value when constrained</x:v>
      </x:c>
      <x:c r="L338" s="35" t="str">
        <x:v>Save succeeds; reload shows the exact normalized value; other client reads it where supported; edit persists; validation rejects invalid input without partial mutation.</x:v>
      </x:c>
    </x:row>
    <x:row r="339">
      <x:c r="A339" s="20" t="str">
        <x:v>FLD-0336</x:v>
      </x:c>
      <x:c r="B339" s="20" t="str">
        <x:v>Web</x:v>
      </x:c>
      <x:c r="C339" s="35" t="str">
        <x:v>/accounting</x:v>
      </x:c>
      <x:c r="D339" s="35" t="str">
        <x:v>web/src/routes/(protected)/accounting/+page.svelte</x:v>
      </x:c>
      <x:c r="E339" s="32" t="n">
        <x:v>1400</x:v>
      </x:c>
      <x:c r="F339" s="20" t="str">
        <x:v>textarea</x:v>
      </x:c>
      <x:c r="G339" s="35" t="str">
        <x:v>expense-notes-input</x:v>
      </x:c>
      <x:c r="H339" s="35" t="str">
        <x:v>Billable to owner</x:v>
      </x:c>
      <x:c r="I339" s="20" t="str">
        <x:v>Property Manager</x:v>
      </x:c>
      <x:c r="J339" s="23" t="n">
        <x:v>46512</x:v>
      </x:c>
      <x:c r="K339" s="35" t="str">
        <x:v>valid non-default; boundary/format value; blank/null when optional; invalid value when constrained</x:v>
      </x:c>
      <x:c r="L339" s="35" t="str">
        <x:v>Save succeeds; reload shows the exact normalized value; other client reads it where supported; edit persists; validation rejects invalid input without partial mutation.</x:v>
      </x:c>
    </x:row>
    <x:row r="340">
      <x:c r="A340" s="20" t="str">
        <x:v>FLD-0337</x:v>
      </x:c>
      <x:c r="B340" s="20" t="str">
        <x:v>Web</x:v>
      </x:c>
      <x:c r="C340" s="35" t="str">
        <x:v>/accounting</x:v>
      </x:c>
      <x:c r="D340" s="35" t="str">
        <x:v>web/src/routes/(protected)/accounting/+page.svelte</x:v>
      </x:c>
      <x:c r="E340" s="32" t="n">
        <x:v>1405</x:v>
      </x:c>
      <x:c r="F340" s="20" t="str">
        <x:v>input</x:v>
      </x:c>
      <x:c r="G340" s="35" t="str">
        <x:v>expense-vendor-address-input</x:v>
      </x:c>
      <x:c r="H340" s="35" t="str"/>
      <x:c r="I340" s="20" t="str">
        <x:v>Property Manager</x:v>
      </x:c>
      <x:c r="J340" s="23" t="n">
        <x:v>46513</x:v>
      </x:c>
      <x:c r="K340" s="35" t="str">
        <x:v>valid non-default; boundary/format value; blank/null when optional; invalid value when constrained</x:v>
      </x:c>
      <x:c r="L340" s="35" t="str">
        <x:v>Save succeeds; reload shows the exact normalized value; other client reads it where supported; edit persists; validation rejects invalid input without partial mutation.</x:v>
      </x:c>
    </x:row>
    <x:row r="341">
      <x:c r="A341" s="20" t="str">
        <x:v>FLD-0338</x:v>
      </x:c>
      <x:c r="B341" s="20" t="str">
        <x:v>Web</x:v>
      </x:c>
      <x:c r="C341" s="35" t="str">
        <x:v>/accounting</x:v>
      </x:c>
      <x:c r="D341" s="35" t="str">
        <x:v>web/src/routes/(protected)/accounting/+page.svelte</x:v>
      </x:c>
      <x:c r="E341" s="32" t="n">
        <x:v>1410</x:v>
      </x:c>
      <x:c r="F341" s="20" t="str">
        <x:v>tel</x:v>
      </x:c>
      <x:c r="G341" s="35" t="str">
        <x:v>expense-vendor-phone-input</x:v>
      </x:c>
      <x:c r="H341" s="35" t="str"/>
      <x:c r="I341" s="20" t="str">
        <x:v>Property Manager</x:v>
      </x:c>
      <x:c r="J341" s="23" t="n">
        <x:v>46513</x:v>
      </x:c>
      <x:c r="K341" s="35" t="str">
        <x:v>valid non-default; boundary/format value; blank/null when optional; invalid value when constrained</x:v>
      </x:c>
      <x:c r="L341" s="35" t="str">
        <x:v>Save succeeds; reload shows the exact normalized value; other client reads it where supported; edit persists; validation rejects invalid input without partial mutation.</x:v>
      </x:c>
    </x:row>
    <x:row r="342">
      <x:c r="A342" s="20" t="str">
        <x:v>FLD-0339</x:v>
      </x:c>
      <x:c r="B342" s="20" t="str">
        <x:v>Web</x:v>
      </x:c>
      <x:c r="C342" s="35" t="str">
        <x:v>/accounting</x:v>
      </x:c>
      <x:c r="D342" s="35" t="str">
        <x:v>web/src/routes/(protected)/accounting/+page.svelte</x:v>
      </x:c>
      <x:c r="E342" s="32" t="n">
        <x:v>1414</x:v>
      </x:c>
      <x:c r="F342" s="20" t="str">
        <x:v>url</x:v>
      </x:c>
      <x:c r="G342" s="35" t="str">
        <x:v>expense-vendor-website-input</x:v>
      </x:c>
      <x:c r="H342" s="35" t="str"/>
      <x:c r="I342" s="20" t="str">
        <x:v>Property Manager</x:v>
      </x:c>
      <x:c r="J342" s="23" t="n">
        <x:v>46513</x:v>
      </x:c>
      <x:c r="K342" s="35" t="str">
        <x:v>valid non-default; boundary/format value; blank/null when optional; invalid value when constrained</x:v>
      </x:c>
      <x:c r="L342" s="35" t="str">
        <x:v>Save succeeds; reload shows the exact normalized value; other client reads it where supported; edit persists; validation rejects invalid input without partial mutation.</x:v>
      </x:c>
    </x:row>
    <x:row r="343">
      <x:c r="A343" s="20" t="str">
        <x:v>FLD-0340</x:v>
      </x:c>
      <x:c r="B343" s="20" t="str">
        <x:v>Web</x:v>
      </x:c>
      <x:c r="C343" s="35" t="str">
        <x:v>/accounting</x:v>
      </x:c>
      <x:c r="D343" s="35" t="str">
        <x:v>web/src/routes/(protected)/accounting/+page.svelte</x:v>
      </x:c>
      <x:c r="E343" s="32" t="n">
        <x:v>1418</x:v>
      </x:c>
      <x:c r="F343" s="20" t="str">
        <x:v>input</x:v>
      </x:c>
      <x:c r="G343" s="35" t="str">
        <x:v>expense-vendor-taxid-input</x:v>
      </x:c>
      <x:c r="H343" s="35" t="str"/>
      <x:c r="I343" s="20" t="str">
        <x:v>Property Manager</x:v>
      </x:c>
      <x:c r="J343" s="23" t="n">
        <x:v>46513</x:v>
      </x:c>
      <x:c r="K343" s="35" t="str">
        <x:v>valid non-default; boundary/format value; blank/null when optional; invalid value when constrained</x:v>
      </x:c>
      <x:c r="L343" s="35" t="str">
        <x:v>Save succeeds; reload shows the exact normalized value; other client reads it where supported; edit persists; validation rejects invalid input without partial mutation.</x:v>
      </x:c>
    </x:row>
    <x:row r="344">
      <x:c r="A344" s="20" t="str">
        <x:v>FLD-0341</x:v>
      </x:c>
      <x:c r="B344" s="20" t="str">
        <x:v>Web</x:v>
      </x:c>
      <x:c r="C344" s="35" t="str">
        <x:v>/accounting</x:v>
      </x:c>
      <x:c r="D344" s="35" t="str">
        <x:v>web/src/routes/(protected)/accounting/+page.svelte</x:v>
      </x:c>
      <x:c r="E344" s="32" t="n">
        <x:v>1425</x:v>
      </x:c>
      <x:c r="F344" s="20" t="str">
        <x:v>input</x:v>
      </x:c>
      <x:c r="G344" s="35" t="str">
        <x:v>expense-receipt-number-input</x:v>
      </x:c>
      <x:c r="H344" s="35" t="str"/>
      <x:c r="I344" s="20" t="str">
        <x:v>Property Manager</x:v>
      </x:c>
      <x:c r="J344" s="23" t="n">
        <x:v>46514</x:v>
      </x:c>
      <x:c r="K344" s="35" t="str">
        <x:v>valid non-default; boundary/format value; blank/null when optional; invalid value when constrained</x:v>
      </x:c>
      <x:c r="L344" s="35" t="str">
        <x:v>Save succeeds; reload shows the exact normalized value; other client reads it where supported; edit persists; validation rejects invalid input without partial mutation.</x:v>
      </x:c>
    </x:row>
    <x:row r="345">
      <x:c r="A345" s="20" t="str">
        <x:v>FLD-0342</x:v>
      </x:c>
      <x:c r="B345" s="20" t="str">
        <x:v>Web</x:v>
      </x:c>
      <x:c r="C345" s="35" t="str">
        <x:v>/accounting</x:v>
      </x:c>
      <x:c r="D345" s="35" t="str">
        <x:v>web/src/routes/(protected)/accounting/+page.svelte</x:v>
      </x:c>
      <x:c r="E345" s="32" t="n">
        <x:v>1429</x:v>
      </x:c>
      <x:c r="F345" s="20" t="str">
        <x:v>input</x:v>
      </x:c>
      <x:c r="G345" s="35" t="str">
        <x:v>expense-payment-method-input</x:v>
      </x:c>
      <x:c r="H345" s="35" t="str"/>
      <x:c r="I345" s="20" t="str">
        <x:v>Property Manager</x:v>
      </x:c>
      <x:c r="J345" s="23" t="n">
        <x:v>46514</x:v>
      </x:c>
      <x:c r="K345" s="35" t="str">
        <x:v>valid non-default; boundary/format value; blank/null when optional; invalid value when constrained</x:v>
      </x:c>
      <x:c r="L345" s="35" t="str">
        <x:v>Save succeeds; reload shows the exact normalized value; other client reads it where supported; edit persists; validation rejects invalid input without partial mutation.</x:v>
      </x:c>
    </x:row>
    <x:row r="346">
      <x:c r="A346" s="20" t="str">
        <x:v>FLD-0343</x:v>
      </x:c>
      <x:c r="B346" s="20" t="str">
        <x:v>Web</x:v>
      </x:c>
      <x:c r="C346" s="35" t="str">
        <x:v>/accounting</x:v>
      </x:c>
      <x:c r="D346" s="35" t="str">
        <x:v>web/src/routes/(protected)/accounting/+page.svelte</x:v>
      </x:c>
      <x:c r="E346" s="32" t="n">
        <x:v>1433</x:v>
      </x:c>
      <x:c r="F346" s="20" t="str">
        <x:v>input</x:v>
      </x:c>
      <x:c r="G346" s="35" t="str">
        <x:v>expense-card-last4-input</x:v>
      </x:c>
      <x:c r="H346" s="35" t="str"/>
      <x:c r="I346" s="20" t="str">
        <x:v>Property Manager</x:v>
      </x:c>
      <x:c r="J346" s="23" t="n">
        <x:v>46514</x:v>
      </x:c>
      <x:c r="K346" s="35" t="str">
        <x:v>valid non-default; boundary/format value; blank/null when optional; invalid value when constrained</x:v>
      </x:c>
      <x:c r="L346" s="35" t="str">
        <x:v>Save succeeds; reload shows the exact normalized value; other client reads it where supported; edit persists; validation rejects invalid input without partial mutation.</x:v>
      </x:c>
    </x:row>
    <x:row r="347">
      <x:c r="A347" s="20" t="str">
        <x:v>FLD-0344</x:v>
      </x:c>
      <x:c r="B347" s="20" t="str">
        <x:v>Web</x:v>
      </x:c>
      <x:c r="C347" s="35" t="str">
        <x:v>/accounting</x:v>
      </x:c>
      <x:c r="D347" s="35" t="str">
        <x:v>web/src/routes/(protected)/accounting/+page.svelte</x:v>
      </x:c>
      <x:c r="E347" s="32" t="n">
        <x:v>1440</x:v>
      </x:c>
      <x:c r="F347" s="20" t="str">
        <x:v>input</x:v>
      </x:c>
      <x:c r="G347" s="35" t="str">
        <x:v>expense-tax-rate-input</x:v>
      </x:c>
      <x:c r="H347" s="35" t="str"/>
      <x:c r="I347" s="20" t="str">
        <x:v>Property Manager</x:v>
      </x:c>
      <x:c r="J347" s="23" t="n">
        <x:v>46514</x:v>
      </x:c>
      <x:c r="K347" s="35" t="str">
        <x:v>valid non-default; boundary/format value; blank/null when optional; invalid value when constrained</x:v>
      </x:c>
      <x:c r="L347" s="35" t="str">
        <x:v>Save succeeds; reload shows the exact normalized value; other client reads it where supported; edit persists; validation rejects invalid input without partial mutation.</x:v>
      </x:c>
    </x:row>
    <x:row r="348">
      <x:c r="A348" s="20" t="str">
        <x:v>FLD-0345</x:v>
      </x:c>
      <x:c r="B348" s="20" t="str">
        <x:v>Web</x:v>
      </x:c>
      <x:c r="C348" s="35" t="str">
        <x:v>/accounting</x:v>
      </x:c>
      <x:c r="D348" s="35" t="str">
        <x:v>web/src/routes/(protected)/accounting/+page.svelte</x:v>
      </x:c>
      <x:c r="E348" s="32" t="n">
        <x:v>1445</x:v>
      </x:c>
      <x:c r="F348" s="20" t="str">
        <x:v>input</x:v>
      </x:c>
      <x:c r="G348" s="35" t="str">
        <x:v>expense-tip-input</x:v>
      </x:c>
      <x:c r="H348" s="35" t="str"/>
      <x:c r="I348" s="20" t="str">
        <x:v>Property Manager</x:v>
      </x:c>
      <x:c r="J348" s="23" t="n">
        <x:v>46514</x:v>
      </x:c>
      <x:c r="K348" s="35" t="str">
        <x:v>valid non-default; boundary/format value; blank/null when optional; invalid value when constrained</x:v>
      </x:c>
      <x:c r="L348" s="35" t="str">
        <x:v>Save succeeds; reload shows the exact normalized value; other client reads it where supported; edit persists; validation rejects invalid input without partial mutation.</x:v>
      </x:c>
    </x:row>
    <x:row r="349">
      <x:c r="A349" s="20" t="str">
        <x:v>FLD-0346</x:v>
      </x:c>
      <x:c r="B349" s="20" t="str">
        <x:v>Web</x:v>
      </x:c>
      <x:c r="C349" s="35" t="str">
        <x:v>/accounting</x:v>
      </x:c>
      <x:c r="D349" s="35" t="str">
        <x:v>web/src/routes/(protected)/accounting/+page.svelte</x:v>
      </x:c>
      <x:c r="E349" s="32" t="n">
        <x:v>1449</x:v>
      </x:c>
      <x:c r="F349" s="20" t="str">
        <x:v>input</x:v>
      </x:c>
      <x:c r="G349" s="35" t="str">
        <x:v>expense-discount-input</x:v>
      </x:c>
      <x:c r="H349" s="35" t="str"/>
      <x:c r="I349" s="20" t="str">
        <x:v>Property Manager</x:v>
      </x:c>
      <x:c r="J349" s="23" t="n">
        <x:v>46517</x:v>
      </x:c>
      <x:c r="K349" s="35" t="str">
        <x:v>valid non-default; boundary/format value; blank/null when optional; invalid value when constrained</x:v>
      </x:c>
      <x:c r="L349" s="35" t="str">
        <x:v>Save succeeds; reload shows the exact normalized value; other client reads it where supported; edit persists; validation rejects invalid input without partial mutation.</x:v>
      </x:c>
    </x:row>
    <x:row r="350">
      <x:c r="A350" s="20" t="str">
        <x:v>FLD-0347</x:v>
      </x:c>
      <x:c r="B350" s="20" t="str">
        <x:v>Web</x:v>
      </x:c>
      <x:c r="C350" s="35" t="str">
        <x:v>/accounting</x:v>
      </x:c>
      <x:c r="D350" s="35" t="str">
        <x:v>web/src/routes/(protected)/accounting/+page.svelte</x:v>
      </x:c>
      <x:c r="E350" s="32" t="n">
        <x:v>1453</x:v>
      </x:c>
      <x:c r="F350" s="20" t="str">
        <x:v>input</x:v>
      </x:c>
      <x:c r="G350" s="35" t="str">
        <x:v>expense-shipping-input</x:v>
      </x:c>
      <x:c r="H350" s="35" t="str"/>
      <x:c r="I350" s="20" t="str">
        <x:v>Property Manager</x:v>
      </x:c>
      <x:c r="J350" s="23" t="n">
        <x:v>46517</x:v>
      </x:c>
      <x:c r="K350" s="35" t="str">
        <x:v>valid non-default; boundary/format value; blank/null when optional; invalid value when constrained</x:v>
      </x:c>
      <x:c r="L350" s="35" t="str">
        <x:v>Save succeeds; reload shows the exact normalized value; other client reads it where supported; edit persists; validation rejects invalid input without partial mutation.</x:v>
      </x:c>
    </x:row>
    <x:row r="351">
      <x:c r="A351" s="20" t="str">
        <x:v>FLD-0348</x:v>
      </x:c>
      <x:c r="B351" s="20" t="str">
        <x:v>Web</x:v>
      </x:c>
      <x:c r="C351" s="35" t="str">
        <x:v>/accounting/past-due</x:v>
      </x:c>
      <x:c r="D351" s="35" t="str">
        <x:v>web/src/routes/(protected)/accounting/past-due/+page.svelte</x:v>
      </x:c>
      <x:c r="E351" s="32" t="n">
        <x:v>366</x:v>
      </x:c>
      <x:c r="F351" s="20" t="str">
        <x:v>single</x:v>
      </x:c>
      <x:c r="G351" s="35" t="str">
        <x:v>markPaidForm.method</x:v>
      </x:c>
      <x:c r="H351" s="35" t="str"/>
      <x:c r="I351" s="20" t="str">
        <x:v>Property Manager</x:v>
      </x:c>
      <x:c r="J351" s="23" t="n">
        <x:v>46517</x:v>
      </x:c>
      <x:c r="K351" s="35" t="str">
        <x:v>valid non-default; boundary/format value; blank/null when optional; invalid value when constrained</x:v>
      </x:c>
      <x:c r="L351" s="35" t="str">
        <x:v>Save succeeds; reload shows the exact normalized value; other client reads it where supported; edit persists; validation rejects invalid input without partial mutation.</x:v>
      </x:c>
    </x:row>
    <x:row r="352">
      <x:c r="A352" s="20" t="str">
        <x:v>FLD-0349</x:v>
      </x:c>
      <x:c r="B352" s="20" t="str">
        <x:v>Web</x:v>
      </x:c>
      <x:c r="C352" s="35" t="str">
        <x:v>/accounting/past-due</x:v>
      </x:c>
      <x:c r="D352" s="35" t="str">
        <x:v>web/src/routes/(protected)/accounting/past-due/+page.svelte</x:v>
      </x:c>
      <x:c r="E352" s="32" t="n">
        <x:v>367</x:v>
      </x:c>
      <x:c r="F352" s="20" t="str">
        <x:v>select</x:v>
      </x:c>
      <x:c r="G352" s="35" t="str">
        <x:v>past-due-mark-paid-method-input</x:v>
      </x:c>
      <x:c r="H352" s="35" t="str"/>
      <x:c r="I352" s="20" t="str">
        <x:v>Property Manager</x:v>
      </x:c>
      <x:c r="J352" s="23" t="n">
        <x:v>46517</x:v>
      </x:c>
      <x:c r="K352" s="35" t="str">
        <x:v>valid non-default; boundary/format value; blank/null when optional; invalid value when constrained</x:v>
      </x:c>
      <x:c r="L352" s="35" t="str">
        <x:v>Save succeeds; reload shows the exact normalized value; other client reads it where supported; edit persists; validation rejects invalid input without partial mutation.</x:v>
      </x:c>
    </x:row>
    <x:row r="353">
      <x:c r="A353" s="20" t="str">
        <x:v>FLD-0350</x:v>
      </x:c>
      <x:c r="B353" s="20" t="str">
        <x:v>Web</x:v>
      </x:c>
      <x:c r="C353" s="35" t="str">
        <x:v>/accounting/past-due</x:v>
      </x:c>
      <x:c r="D353" s="35" t="str">
        <x:v>web/src/routes/(protected)/accounting/past-due/+page.svelte</x:v>
      </x:c>
      <x:c r="E353" s="32" t="n">
        <x:v>370</x:v>
      </x:c>
      <x:c r="F353" s="20" t="str">
        <x:v>select</x:v>
      </x:c>
      <x:c r="G353" s="35" t="str">
        <x:v>Select-3</x:v>
      </x:c>
      <x:c r="H353" s="35" t="str"/>
      <x:c r="I353" s="20" t="str">
        <x:v>Property Manager</x:v>
      </x:c>
      <x:c r="J353" s="23" t="n">
        <x:v>46518</x:v>
      </x:c>
      <x:c r="K353" s="35" t="str">
        <x:v>valid non-default; boundary/format value; blank/null when optional; invalid value when constrained</x:v>
      </x:c>
      <x:c r="L353" s="35" t="str">
        <x:v>Save succeeds; reload shows the exact normalized value; other client reads it where supported; edit persists; validation rejects invalid input without partial mutation.</x:v>
      </x:c>
    </x:row>
    <x:row r="354">
      <x:c r="A354" s="20" t="str">
        <x:v>FLD-0351</x:v>
      </x:c>
      <x:c r="B354" s="20" t="str">
        <x:v>Web</x:v>
      </x:c>
      <x:c r="C354" s="35" t="str">
        <x:v>/accounting/past-due</x:v>
      </x:c>
      <x:c r="D354" s="35" t="str">
        <x:v>web/src/routes/(protected)/accounting/past-due/+page.svelte</x:v>
      </x:c>
      <x:c r="E354" s="32" t="n">
        <x:v>371</x:v>
      </x:c>
      <x:c r="F354" s="20" t="str">
        <x:v>select</x:v>
      </x:c>
      <x:c r="G354" s="35" t="str">
        <x:v>Select-4</x:v>
      </x:c>
      <x:c r="H354" s="35" t="str"/>
      <x:c r="I354" s="20" t="str">
        <x:v>Property Manager</x:v>
      </x:c>
      <x:c r="J354" s="23" t="n">
        <x:v>46518</x:v>
      </x:c>
      <x:c r="K354" s="35" t="str">
        <x:v>valid non-default; boundary/format value; blank/null when optional; invalid value when constrained</x:v>
      </x:c>
      <x:c r="L354" s="35" t="str">
        <x:v>Save succeeds; reload shows the exact normalized value; other client reads it where supported; edit persists; validation rejects invalid input without partial mutation.</x:v>
      </x:c>
    </x:row>
    <x:row r="355">
      <x:c r="A355" s="20" t="str">
        <x:v>FLD-0352</x:v>
      </x:c>
      <x:c r="B355" s="20" t="str">
        <x:v>Web</x:v>
      </x:c>
      <x:c r="C355" s="35" t="str">
        <x:v>/accounting/past-due</x:v>
      </x:c>
      <x:c r="D355" s="35" t="str">
        <x:v>web/src/routes/(protected)/accounting/past-due/+page.svelte</x:v>
      </x:c>
      <x:c r="E355" s="32" t="n">
        <x:v>373</x:v>
      </x:c>
      <x:c r="F355" s="20" t="str">
        <x:v>select</x:v>
      </x:c>
      <x:c r="G355" s="35" t="str">
        <x:v>Select-5</x:v>
      </x:c>
      <x:c r="H355" s="35" t="str"/>
      <x:c r="I355" s="20" t="str">
        <x:v>Property Manager</x:v>
      </x:c>
      <x:c r="J355" s="23" t="n">
        <x:v>46518</x:v>
      </x:c>
      <x:c r="K355" s="35" t="str">
        <x:v>valid non-default; boundary/format value; blank/null when optional; invalid value when constrained</x:v>
      </x:c>
      <x:c r="L355" s="35" t="str">
        <x:v>Save succeeds; reload shows the exact normalized value; other client reads it where supported; edit persists; validation rejects invalid input without partial mutation.</x:v>
      </x:c>
    </x:row>
    <x:row r="356">
      <x:c r="A356" s="20" t="str">
        <x:v>FLD-0353</x:v>
      </x:c>
      <x:c r="B356" s="20" t="str">
        <x:v>Web</x:v>
      </x:c>
      <x:c r="C356" s="35" t="str">
        <x:v>/accounting/past-due</x:v>
      </x:c>
      <x:c r="D356" s="35" t="str">
        <x:v>web/src/routes/(protected)/accounting/past-due/+page.svelte</x:v>
      </x:c>
      <x:c r="E356" s="32" t="n">
        <x:v>380</x:v>
      </x:c>
      <x:c r="F356" s="20" t="str">
        <x:v>input</x:v>
      </x:c>
      <x:c r="G356" s="35" t="str">
        <x:v>past-due-mark-paid-reference-input</x:v>
      </x:c>
      <x:c r="H356" s="35" t="str">
        <x:v>Check #, confirmation #, etc. (optional)</x:v>
      </x:c>
      <x:c r="I356" s="20" t="str">
        <x:v>Property Manager</x:v>
      </x:c>
      <x:c r="J356" s="23" t="n">
        <x:v>46518</x:v>
      </x:c>
      <x:c r="K356" s="35" t="str">
        <x:v>valid non-default; boundary/format value; blank/null when optional; invalid value when constrained</x:v>
      </x:c>
      <x:c r="L356" s="35" t="str">
        <x:v>Save succeeds; reload shows the exact normalized value; other client reads it where supported; edit persists; validation rejects invalid input without partial mutation.</x:v>
      </x:c>
    </x:row>
    <x:row r="357">
      <x:c r="A357" s="20" t="str">
        <x:v>FLD-0354</x:v>
      </x:c>
      <x:c r="B357" s="20" t="str">
        <x:v>Web</x:v>
      </x:c>
      <x:c r="C357" s="35" t="str">
        <x:v>/accounting/past-due</x:v>
      </x:c>
      <x:c r="D357" s="35" t="str">
        <x:v>web/src/routes/(protected)/accounting/past-due/+page.svelte</x:v>
      </x:c>
      <x:c r="E357" s="32" t="n">
        <x:v>388</x:v>
      </x:c>
      <x:c r="F357" s="20" t="str">
        <x:v>textarea</x:v>
      </x:c>
      <x:c r="G357" s="35" t="str">
        <x:v>past-due-mark-paid-notes-input</x:v>
      </x:c>
      <x:c r="H357" s="35" t="str">
        <x:v>Anything to remember about this payment (optional)</x:v>
      </x:c>
      <x:c r="I357" s="20" t="str">
        <x:v>Property Manager</x:v>
      </x:c>
      <x:c r="J357" s="23" t="n">
        <x:v>46519</x:v>
      </x:c>
      <x:c r="K357" s="35" t="str">
        <x:v>valid non-default; boundary/format value; blank/null when optional; invalid value when constrained</x:v>
      </x:c>
      <x:c r="L357" s="35" t="str">
        <x:v>Save succeeds; reload shows the exact normalized value; other client reads it where supported; edit persists; validation rejects invalid input without partial mutation.</x:v>
      </x:c>
    </x:row>
    <x:row r="358">
      <x:c r="A358" s="20" t="str">
        <x:v>FLD-0355</x:v>
      </x:c>
      <x:c r="B358" s="20" t="str">
        <x:v>Web</x:v>
      </x:c>
      <x:c r="C358" s="35" t="str">
        <x:v>/accounting/year-end</x:v>
      </x:c>
      <x:c r="D358" s="35" t="str">
        <x:v>web/src/routes/(protected)/accounting/year-end/+page.svelte</x:v>
      </x:c>
      <x:c r="E358" s="32" t="n">
        <x:v>79</x:v>
      </x:c>
      <x:c r="F358" s="20" t="str">
        <x:v>select</x:v>
      </x:c>
      <x:c r="G358" s="35" t="str">
        <x:v>year-end-year-select</x:v>
      </x:c>
      <x:c r="H358" s="35" t="str"/>
      <x:c r="I358" s="20" t="str">
        <x:v>Property Manager</x:v>
      </x:c>
      <x:c r="J358" s="23" t="n">
        <x:v>46519</x:v>
      </x:c>
      <x:c r="K358" s="35" t="str">
        <x:v>valid non-default; boundary/format value; blank/null when optional; invalid value when constrained</x:v>
      </x:c>
      <x:c r="L358" s="35" t="str">
        <x:v>Save succeeds; reload shows the exact normalized value; other client reads it where supported; edit persists; validation rejects invalid input without partial mutation.</x:v>
      </x:c>
    </x:row>
    <x:row r="359">
      <x:c r="A359" s="20" t="str">
        <x:v>FLD-0356</x:v>
      </x:c>
      <x:c r="B359" s="20" t="str">
        <x:v>Web</x:v>
      </x:c>
      <x:c r="C359" s="35" t="str">
        <x:v>/accounting/year-end</x:v>
      </x:c>
      <x:c r="D359" s="35" t="str">
        <x:v>web/src/routes/(protected)/accounting/year-end/+page.svelte</x:v>
      </x:c>
      <x:c r="E359" s="32" t="n">
        <x:v>85</x:v>
      </x:c>
      <x:c r="F359" s="20" t="str">
        <x:v>select</x:v>
      </x:c>
      <x:c r="G359" s="35" t="str">
        <x:v>year-end-property-select</x:v>
      </x:c>
      <x:c r="H359" s="35" t="str">
        <x:v>Tax year</x:v>
      </x:c>
      <x:c r="I359" s="20" t="str">
        <x:v>Property Manager</x:v>
      </x:c>
      <x:c r="J359" s="23" t="n">
        <x:v>46519</x:v>
      </x:c>
      <x:c r="K359" s="35" t="str">
        <x:v>valid non-default; boundary/format value; blank/null when optional; invalid value when constrained</x:v>
      </x:c>
      <x:c r="L359" s="35" t="str">
        <x:v>Save succeeds; reload shows the exact normalized value; other client reads it where supported; edit persists; validation rejects invalid input without partial mutation.</x:v>
      </x:c>
    </x:row>
    <x:row r="360">
      <x:c r="A360" s="20" t="str">
        <x:v>FLD-0357</x:v>
      </x:c>
      <x:c r="B360" s="20" t="str">
        <x:v>Web</x:v>
      </x:c>
      <x:c r="C360" s="35" t="str">
        <x:v>/ai</x:v>
      </x:c>
      <x:c r="D360" s="35" t="str">
        <x:v>web/src/routes/(protected)/ai/+page.svelte</x:v>
      </x:c>
      <x:c r="E360" s="32" t="n">
        <x:v>340</x:v>
      </x:c>
      <x:c r="F360" s="20" t="str">
        <x:v>checkbox</x:v>
      </x:c>
      <x:c r="G360" s="35" t="str">
        <x:v>ai-action-mode-toggle</x:v>
      </x:c>
      <x:c r="H360" s="35" t="str"/>
      <x:c r="I360" s="20" t="str">
        <x:v>Property Manager</x:v>
      </x:c>
      <x:c r="J360" s="23" t="n">
        <x:v>46519</x:v>
      </x:c>
      <x:c r="K360" s="35" t="str">
        <x:v>valid non-default; boundary/format value; blank/null when optional; invalid value when constrained</x:v>
      </x:c>
      <x:c r="L360" s="35" t="str">
        <x:v>Save succeeds; reload shows the exact normalized value; other client reads it where supported; edit persists; validation rejects invalid input without partial mutation.</x:v>
      </x:c>
    </x:row>
    <x:row r="361">
      <x:c r="A361" s="20" t="str">
        <x:v>FLD-0358</x:v>
      </x:c>
      <x:c r="B361" s="20" t="str">
        <x:v>Web</x:v>
      </x:c>
      <x:c r="C361" s="35" t="str">
        <x:v>/ai</x:v>
      </x:c>
      <x:c r="D361" s="35" t="str">
        <x:v>web/src/routes/(protected)/ai/+page.svelte</x:v>
      </x:c>
      <x:c r="E361" s="32" t="n">
        <x:v>463</x:v>
      </x:c>
      <x:c r="F361" s="20" t="str">
        <x:v>input</x:v>
      </x:c>
      <x:c r="G361" s="35" t="str">
        <x:v>question-input</x:v>
      </x:c>
      <x:c r="H361" s="35" t="str">
        <x:v>Question input</x:v>
      </x:c>
      <x:c r="I361" s="20" t="str">
        <x:v>Property Manager</x:v>
      </x:c>
      <x:c r="J361" s="23" t="n">
        <x:v>46519</x:v>
      </x:c>
      <x:c r="K361" s="35" t="str">
        <x:v>valid non-default; boundary/format value; blank/null when optional; invalid value when constrained</x:v>
      </x:c>
      <x:c r="L361" s="35" t="str">
        <x:v>Save succeeds; reload shows the exact normalized value; other client reads it where supported; edit persists; validation rejects invalid input without partial mutation.</x:v>
      </x:c>
    </x:row>
    <x:row r="362">
      <x:c r="A362" s="20" t="str">
        <x:v>FLD-0359</x:v>
      </x:c>
      <x:c r="B362" s="20" t="str">
        <x:v>Web</x:v>
      </x:c>
      <x:c r="C362" s="35" t="str">
        <x:v>/applications</x:v>
      </x:c>
      <x:c r="D362" s="35" t="str">
        <x:v>web/src/routes/(protected)/applications/+page.svelte</x:v>
      </x:c>
      <x:c r="E362" s="32" t="n">
        <x:v>256</x:v>
      </x:c>
      <x:c r="F362" s="20" t="str">
        <x:v>single</x:v>
      </x:c>
      <x:c r="G362" s="35" t="str">
        <x:v>statusValue</x:v>
      </x:c>
      <x:c r="H362" s="35" t="str"/>
      <x:c r="I362" s="20" t="str">
        <x:v>Leasing Agent</x:v>
      </x:c>
      <x:c r="J362" s="23" t="n">
        <x:v>46520</x:v>
      </x:c>
      <x:c r="K362" s="35" t="str">
        <x:v>valid non-default; boundary/format value; blank/null when optional; invalid value when constrained</x:v>
      </x:c>
      <x:c r="L362" s="35" t="str">
        <x:v>Save succeeds; reload shows the exact normalized value; other client reads it where supported; edit persists; validation rejects invalid input without partial mutation.</x:v>
      </x:c>
    </x:row>
    <x:row r="363">
      <x:c r="A363" s="20" t="str">
        <x:v>FLD-0360</x:v>
      </x:c>
      <x:c r="B363" s="20" t="str">
        <x:v>Web</x:v>
      </x:c>
      <x:c r="C363" s="35" t="str">
        <x:v>/applications</x:v>
      </x:c>
      <x:c r="D363" s="35" t="str">
        <x:v>web/src/routes/(protected)/applications/+page.svelte</x:v>
      </x:c>
      <x:c r="E363" s="32" t="n">
        <x:v>257</x:v>
      </x:c>
      <x:c r="F363" s="20" t="str">
        <x:v>select</x:v>
      </x:c>
      <x:c r="G363" s="35" t="str">
        <x:v>application-status-filter</x:v>
      </x:c>
      <x:c r="H363" s="35" t="str"/>
      <x:c r="I363" s="20" t="str">
        <x:v>Leasing Agent</x:v>
      </x:c>
      <x:c r="J363" s="23" t="n">
        <x:v>46520</x:v>
      </x:c>
      <x:c r="K363" s="35" t="str">
        <x:v>valid non-default; boundary/format value; blank/null when optional; invalid value when constrained</x:v>
      </x:c>
      <x:c r="L363" s="35" t="str">
        <x:v>Save succeeds; reload shows the exact normalized value; other client reads it where supported; edit persists; validation rejects invalid input without partial mutation.</x:v>
      </x:c>
    </x:row>
    <x:row r="364">
      <x:c r="A364" s="20" t="str">
        <x:v>FLD-0361</x:v>
      </x:c>
      <x:c r="B364" s="20" t="str">
        <x:v>Web</x:v>
      </x:c>
      <x:c r="C364" s="35" t="str">
        <x:v>/applications</x:v>
      </x:c>
      <x:c r="D364" s="35" t="str">
        <x:v>web/src/routes/(protected)/applications/+page.svelte</x:v>
      </x:c>
      <x:c r="E364" s="32" t="n">
        <x:v>260</x:v>
      </x:c>
      <x:c r="F364" s="20" t="str">
        <x:v>select</x:v>
      </x:c>
      <x:c r="G364" s="35" t="str">
        <x:v>Select-3</x:v>
      </x:c>
      <x:c r="H364" s="35" t="str"/>
      <x:c r="I364" s="20" t="str">
        <x:v>Leasing Agent</x:v>
      </x:c>
      <x:c r="J364" s="23" t="n">
        <x:v>46520</x:v>
      </x:c>
      <x:c r="K364" s="35" t="str">
        <x:v>valid non-default; boundary/format value; blank/null when optional; invalid value when constrained</x:v>
      </x:c>
      <x:c r="L364" s="35" t="str">
        <x:v>Save succeeds; reload shows the exact normalized value; other client reads it where supported; edit persists; validation rejects invalid input without partial mutation.</x:v>
      </x:c>
    </x:row>
    <x:row r="365">
      <x:c r="A365" s="20" t="str">
        <x:v>FLD-0362</x:v>
      </x:c>
      <x:c r="B365" s="20" t="str">
        <x:v>Web</x:v>
      </x:c>
      <x:c r="C365" s="35" t="str">
        <x:v>/applications</x:v>
      </x:c>
      <x:c r="D365" s="35" t="str">
        <x:v>web/src/routes/(protected)/applications/+page.svelte</x:v>
      </x:c>
      <x:c r="E365" s="32" t="n">
        <x:v>262</x:v>
      </x:c>
      <x:c r="F365" s="20" t="str">
        <x:v>select</x:v>
      </x:c>
      <x:c r="G365" s="35" t="str">
        <x:v>Select-4</x:v>
      </x:c>
      <x:c r="H365" s="35" t="str"/>
      <x:c r="I365" s="20" t="str">
        <x:v>Leasing Agent</x:v>
      </x:c>
      <x:c r="J365" s="23" t="n">
        <x:v>46520</x:v>
      </x:c>
      <x:c r="K365" s="35" t="str">
        <x:v>valid non-default; boundary/format value; blank/null when optional; invalid value when constrained</x:v>
      </x:c>
      <x:c r="L365" s="35" t="str">
        <x:v>Save succeeds; reload shows the exact normalized value; other client reads it where supported; edit persists; validation rejects invalid input without partial mutation.</x:v>
      </x:c>
    </x:row>
    <x:row r="366">
      <x:c r="A366" s="20" t="str">
        <x:v>FLD-0363</x:v>
      </x:c>
      <x:c r="B366" s="20" t="str">
        <x:v>Web</x:v>
      </x:c>
      <x:c r="C366" s="35" t="str">
        <x:v>/applications</x:v>
      </x:c>
      <x:c r="D366" s="35" t="str">
        <x:v>web/src/routes/(protected)/applications/+page.svelte</x:v>
      </x:c>
      <x:c r="E366" s="32" t="n">
        <x:v>292</x:v>
      </x:c>
      <x:c r="F366" s="20" t="str">
        <x:v>input</x:v>
      </x:c>
      <x:c r="G366" s="35" t="str">
        <x:v>application-link-url</x:v>
      </x:c>
      <x:c r="H366" s="35" t="str"/>
      <x:c r="I366" s="20" t="str">
        <x:v>Leasing Agent</x:v>
      </x:c>
      <x:c r="J366" s="23" t="n">
        <x:v>46521</x:v>
      </x:c>
      <x:c r="K366" s="35" t="str">
        <x:v>valid non-default; boundary/format value; blank/null when optional; invalid value when constrained</x:v>
      </x:c>
      <x:c r="L366" s="35" t="str">
        <x:v>Save succeeds; reload shows the exact normalized value; other client reads it where supported; edit persists; validation rejects invalid input without partial mutation.</x:v>
      </x:c>
    </x:row>
    <x:row r="367">
      <x:c r="A367" s="20" t="str">
        <x:v>FLD-0364</x:v>
      </x:c>
      <x:c r="B367" s="20" t="str">
        <x:v>Web</x:v>
      </x:c>
      <x:c r="C367" s="35" t="str">
        <x:v>/appointments</x:v>
      </x:c>
      <x:c r="D367" s="35" t="str">
        <x:v>web/src/routes/(protected)/appointments/+page.svelte</x:v>
      </x:c>
      <x:c r="E367" s="32" t="n">
        <x:v>419</x:v>
      </x:c>
      <x:c r="F367" s="20" t="str">
        <x:v>single</x:v>
      </x:c>
      <x:c r="G367" s="35" t="str">
        <x:v>typeFilter</x:v>
      </x:c>
      <x:c r="H367" s="35" t="str"/>
      <x:c r="I367" s="20" t="str">
        <x:v>Property Manager</x:v>
      </x:c>
      <x:c r="J367" s="23" t="n">
        <x:v>46521</x:v>
      </x:c>
      <x:c r="K367" s="35" t="str">
        <x:v>valid non-default; boundary/format value; blank/null when optional; invalid value when constrained</x:v>
      </x:c>
      <x:c r="L367" s="35" t="str">
        <x:v>Save succeeds; reload shows the exact normalized value; other client reads it where supported; edit persists; validation rejects invalid input without partial mutation.</x:v>
      </x:c>
    </x:row>
    <x:row r="368">
      <x:c r="A368" s="20" t="str">
        <x:v>FLD-0365</x:v>
      </x:c>
      <x:c r="B368" s="20" t="str">
        <x:v>Web</x:v>
      </x:c>
      <x:c r="C368" s="35" t="str">
        <x:v>/appointments</x:v>
      </x:c>
      <x:c r="D368" s="35" t="str">
        <x:v>web/src/routes/(protected)/appointments/+page.svelte</x:v>
      </x:c>
      <x:c r="E368" s="32" t="n">
        <x:v>420</x:v>
      </x:c>
      <x:c r="F368" s="20" t="str">
        <x:v>select</x:v>
      </x:c>
      <x:c r="G368" s="35" t="str">
        <x:v>appointment-calendar-type-filter</x:v>
      </x:c>
      <x:c r="H368" s="35" t="str"/>
      <x:c r="I368" s="20" t="str">
        <x:v>Property Manager</x:v>
      </x:c>
      <x:c r="J368" s="23" t="n">
        <x:v>46521</x:v>
      </x:c>
      <x:c r="K368" s="35" t="str">
        <x:v>valid non-default; boundary/format value; blank/null when optional; invalid value when constrained</x:v>
      </x:c>
      <x:c r="L368" s="35" t="str">
        <x:v>Save succeeds; reload shows the exact normalized value; other client reads it where supported; edit persists; validation rejects invalid input without partial mutation.</x:v>
      </x:c>
    </x:row>
    <x:row r="369">
      <x:c r="A369" s="20" t="str">
        <x:v>FLD-0366</x:v>
      </x:c>
      <x:c r="B369" s="20" t="str">
        <x:v>Web</x:v>
      </x:c>
      <x:c r="C369" s="35" t="str">
        <x:v>/appointments</x:v>
      </x:c>
      <x:c r="D369" s="35" t="str">
        <x:v>web/src/routes/(protected)/appointments/+page.svelte</x:v>
      </x:c>
      <x:c r="E369" s="32" t="n">
        <x:v>423</x:v>
      </x:c>
      <x:c r="F369" s="20" t="str">
        <x:v>select</x:v>
      </x:c>
      <x:c r="G369" s="35" t="str">
        <x:v>Select-3</x:v>
      </x:c>
      <x:c r="H369" s="35" t="str"/>
      <x:c r="I369" s="20" t="str">
        <x:v>Property Manager</x:v>
      </x:c>
      <x:c r="J369" s="23" t="n">
        <x:v>46521</x:v>
      </x:c>
      <x:c r="K369" s="35" t="str">
        <x:v>valid non-default; boundary/format value; blank/null when optional; invalid value when constrained</x:v>
      </x:c>
      <x:c r="L369" s="35" t="str">
        <x:v>Save succeeds; reload shows the exact normalized value; other client reads it where supported; edit persists; validation rejects invalid input without partial mutation.</x:v>
      </x:c>
    </x:row>
    <x:row r="370">
      <x:c r="A370" s="20" t="str">
        <x:v>FLD-0367</x:v>
      </x:c>
      <x:c r="B370" s="20" t="str">
        <x:v>Web</x:v>
      </x:c>
      <x:c r="C370" s="35" t="str">
        <x:v>/appointments</x:v>
      </x:c>
      <x:c r="D370" s="35" t="str">
        <x:v>web/src/routes/(protected)/appointments/+page.svelte</x:v>
      </x:c>
      <x:c r="E370" s="32" t="n">
        <x:v>424</x:v>
      </x:c>
      <x:c r="F370" s="20" t="str">
        <x:v>select</x:v>
      </x:c>
      <x:c r="G370" s="35" t="str">
        <x:v>Select-4</x:v>
      </x:c>
      <x:c r="H370" s="35" t="str"/>
      <x:c r="I370" s="20" t="str">
        <x:v>Property Manager</x:v>
      </x:c>
      <x:c r="J370" s="23" t="n">
        <x:v>46521</x:v>
      </x:c>
      <x:c r="K370" s="35" t="str">
        <x:v>valid non-default; boundary/format value; blank/null when optional; invalid value when constrained</x:v>
      </x:c>
      <x:c r="L370" s="35" t="str">
        <x:v>Save succeeds; reload shows the exact normalized value; other client reads it where supported; edit persists; validation rejects invalid input without partial mutation.</x:v>
      </x:c>
    </x:row>
    <x:row r="371">
      <x:c r="A371" s="20" t="str">
        <x:v>FLD-0368</x:v>
      </x:c>
      <x:c r="B371" s="20" t="str">
        <x:v>Web</x:v>
      </x:c>
      <x:c r="C371" s="35" t="str">
        <x:v>/appointments</x:v>
      </x:c>
      <x:c r="D371" s="35" t="str">
        <x:v>web/src/routes/(protected)/appointments/+page.svelte</x:v>
      </x:c>
      <x:c r="E371" s="32" t="n">
        <x:v>425</x:v>
      </x:c>
      <x:c r="F371" s="20" t="str">
        <x:v>select</x:v>
      </x:c>
      <x:c r="G371" s="35" t="str">
        <x:v>Select-5</x:v>
      </x:c>
      <x:c r="H371" s="35" t="str"/>
      <x:c r="I371" s="20" t="str">
        <x:v>Property Manager</x:v>
      </x:c>
      <x:c r="J371" s="23" t="n">
        <x:v>46524</x:v>
      </x:c>
      <x:c r="K371" s="35" t="str">
        <x:v>valid non-default; boundary/format value; blank/null when optional; invalid value when constrained</x:v>
      </x:c>
      <x:c r="L371" s="35" t="str">
        <x:v>Save succeeds; reload shows the exact normalized value; other client reads it where supported; edit persists; validation rejects invalid input without partial mutation.</x:v>
      </x:c>
    </x:row>
    <x:row r="372">
      <x:c r="A372" s="20" t="str">
        <x:v>FLD-0369</x:v>
      </x:c>
      <x:c r="B372" s="20" t="str">
        <x:v>Web</x:v>
      </x:c>
      <x:c r="C372" s="35" t="str">
        <x:v>/appointments</x:v>
      </x:c>
      <x:c r="D372" s="35" t="str">
        <x:v>web/src/routes/(protected)/appointments/+page.svelte</x:v>
      </x:c>
      <x:c r="E372" s="32" t="n">
        <x:v>428</x:v>
      </x:c>
      <x:c r="F372" s="20" t="str">
        <x:v>single</x:v>
      </x:c>
      <x:c r="G372" s="35" t="str">
        <x:v>statusFilter</x:v>
      </x:c>
      <x:c r="H372" s="35" t="str"/>
      <x:c r="I372" s="20" t="str">
        <x:v>Property Manager</x:v>
      </x:c>
      <x:c r="J372" s="23" t="n">
        <x:v>46524</x:v>
      </x:c>
      <x:c r="K372" s="35" t="str">
        <x:v>valid non-default; boundary/format value; blank/null when optional; invalid value when constrained</x:v>
      </x:c>
      <x:c r="L372" s="35" t="str">
        <x:v>Save succeeds; reload shows the exact normalized value; other client reads it where supported; edit persists; validation rejects invalid input without partial mutation.</x:v>
      </x:c>
    </x:row>
    <x:row r="373">
      <x:c r="A373" s="20" t="str">
        <x:v>FLD-0370</x:v>
      </x:c>
      <x:c r="B373" s="20" t="str">
        <x:v>Web</x:v>
      </x:c>
      <x:c r="C373" s="35" t="str">
        <x:v>/appointments</x:v>
      </x:c>
      <x:c r="D373" s="35" t="str">
        <x:v>web/src/routes/(protected)/appointments/+page.svelte</x:v>
      </x:c>
      <x:c r="E373" s="32" t="n">
        <x:v>429</x:v>
      </x:c>
      <x:c r="F373" s="20" t="str">
        <x:v>select</x:v>
      </x:c>
      <x:c r="G373" s="35" t="str">
        <x:v>appointment-calendar-status-filter</x:v>
      </x:c>
      <x:c r="H373" s="35" t="str"/>
      <x:c r="I373" s="20" t="str">
        <x:v>Property Manager</x:v>
      </x:c>
      <x:c r="J373" s="23" t="n">
        <x:v>46524</x:v>
      </x:c>
      <x:c r="K373" s="35" t="str">
        <x:v>valid non-default; boundary/format value; blank/null when optional; invalid value when constrained</x:v>
      </x:c>
      <x:c r="L373" s="35" t="str">
        <x:v>Save succeeds; reload shows the exact normalized value; other client reads it where supported; edit persists; validation rejects invalid input without partial mutation.</x:v>
      </x:c>
    </x:row>
    <x:row r="374">
      <x:c r="A374" s="20" t="str">
        <x:v>FLD-0371</x:v>
      </x:c>
      <x:c r="B374" s="20" t="str">
        <x:v>Web</x:v>
      </x:c>
      <x:c r="C374" s="35" t="str">
        <x:v>/appointments</x:v>
      </x:c>
      <x:c r="D374" s="35" t="str">
        <x:v>web/src/routes/(protected)/appointments/+page.svelte</x:v>
      </x:c>
      <x:c r="E374" s="32" t="n">
        <x:v>432</x:v>
      </x:c>
      <x:c r="F374" s="20" t="str">
        <x:v>select</x:v>
      </x:c>
      <x:c r="G374" s="35" t="str">
        <x:v>Select-8</x:v>
      </x:c>
      <x:c r="H374" s="35" t="str"/>
      <x:c r="I374" s="20" t="str">
        <x:v>Property Manager</x:v>
      </x:c>
      <x:c r="J374" s="23" t="n">
        <x:v>46524</x:v>
      </x:c>
      <x:c r="K374" s="35" t="str">
        <x:v>valid non-default; boundary/format value; blank/null when optional; invalid value when constrained</x:v>
      </x:c>
      <x:c r="L374" s="35" t="str">
        <x:v>Save succeeds; reload shows the exact normalized value; other client reads it where supported; edit persists; validation rejects invalid input without partial mutation.</x:v>
      </x:c>
    </x:row>
    <x:row r="375">
      <x:c r="A375" s="20" t="str">
        <x:v>FLD-0372</x:v>
      </x:c>
      <x:c r="B375" s="20" t="str">
        <x:v>Web</x:v>
      </x:c>
      <x:c r="C375" s="35" t="str">
        <x:v>/appointments</x:v>
      </x:c>
      <x:c r="D375" s="35" t="str">
        <x:v>web/src/routes/(protected)/appointments/+page.svelte</x:v>
      </x:c>
      <x:c r="E375" s="32" t="n">
        <x:v>433</x:v>
      </x:c>
      <x:c r="F375" s="20" t="str">
        <x:v>select</x:v>
      </x:c>
      <x:c r="G375" s="35" t="str">
        <x:v>Select-9</x:v>
      </x:c>
      <x:c r="H375" s="35" t="str"/>
      <x:c r="I375" s="20" t="str">
        <x:v>Property Manager</x:v>
      </x:c>
      <x:c r="J375" s="23" t="n">
        <x:v>46525</x:v>
      </x:c>
      <x:c r="K375" s="35" t="str">
        <x:v>valid non-default; boundary/format value; blank/null when optional; invalid value when constrained</x:v>
      </x:c>
      <x:c r="L375" s="35" t="str">
        <x:v>Save succeeds; reload shows the exact normalized value; other client reads it where supported; edit persists; validation rejects invalid input without partial mutation.</x:v>
      </x:c>
    </x:row>
    <x:row r="376">
      <x:c r="A376" s="20" t="str">
        <x:v>FLD-0373</x:v>
      </x:c>
      <x:c r="B376" s="20" t="str">
        <x:v>Web</x:v>
      </x:c>
      <x:c r="C376" s="35" t="str">
        <x:v>/appointments</x:v>
      </x:c>
      <x:c r="D376" s="35" t="str">
        <x:v>web/src/routes/(protected)/appointments/+page.svelte</x:v>
      </x:c>
      <x:c r="E376" s="32" t="n">
        <x:v>434</x:v>
      </x:c>
      <x:c r="F376" s="20" t="str">
        <x:v>select</x:v>
      </x:c>
      <x:c r="G376" s="35" t="str">
        <x:v>Select-10</x:v>
      </x:c>
      <x:c r="H376" s="35" t="str"/>
      <x:c r="I376" s="20" t="str">
        <x:v>Property Manager</x:v>
      </x:c>
      <x:c r="J376" s="23" t="n">
        <x:v>46525</x:v>
      </x:c>
      <x:c r="K376" s="35" t="str">
        <x:v>valid non-default; boundary/format value; blank/null when optional; invalid value when constrained</x:v>
      </x:c>
      <x:c r="L376" s="35" t="str">
        <x:v>Save succeeds; reload shows the exact normalized value; other client reads it where supported; edit persists; validation rejects invalid input without partial mutation.</x:v>
      </x:c>
    </x:row>
    <x:row r="377">
      <x:c r="A377" s="20" t="str">
        <x:v>FLD-0374</x:v>
      </x:c>
      <x:c r="B377" s="20" t="str">
        <x:v>Web</x:v>
      </x:c>
      <x:c r="C377" s="35" t="str">
        <x:v>/appointments</x:v>
      </x:c>
      <x:c r="D377" s="35" t="str">
        <x:v>web/src/routes/(protected)/appointments/+page.svelte</x:v>
      </x:c>
      <x:c r="E377" s="32" t="n">
        <x:v>485</x:v>
      </x:c>
      <x:c r="F377" s="20" t="str">
        <x:v>select</x:v>
      </x:c>
      <x:c r="G377" s="35" t="str">
        <x:v>appointment-type-filter</x:v>
      </x:c>
      <x:c r="H377" s="35" t="str"/>
      <x:c r="I377" s="20" t="str">
        <x:v>Property Manager</x:v>
      </x:c>
      <x:c r="J377" s="23" t="n">
        <x:v>46525</x:v>
      </x:c>
      <x:c r="K377" s="35" t="str">
        <x:v>valid non-default; boundary/format value; blank/null when optional; invalid value when constrained</x:v>
      </x:c>
      <x:c r="L377" s="35" t="str">
        <x:v>Save succeeds; reload shows the exact normalized value; other client reads it where supported; edit persists; validation rejects invalid input without partial mutation.</x:v>
      </x:c>
    </x:row>
    <x:row r="378">
      <x:c r="A378" s="20" t="str">
        <x:v>FLD-0375</x:v>
      </x:c>
      <x:c r="B378" s="20" t="str">
        <x:v>Web</x:v>
      </x:c>
      <x:c r="C378" s="35" t="str">
        <x:v>/appointments</x:v>
      </x:c>
      <x:c r="D378" s="35" t="str">
        <x:v>web/src/routes/(protected)/appointments/+page.svelte</x:v>
      </x:c>
      <x:c r="E378" s="32" t="n">
        <x:v>488</x:v>
      </x:c>
      <x:c r="F378" s="20" t="str">
        <x:v>select</x:v>
      </x:c>
      <x:c r="G378" s="35" t="str">
        <x:v>Select-13</x:v>
      </x:c>
      <x:c r="H378" s="35" t="str"/>
      <x:c r="I378" s="20" t="str">
        <x:v>Property Manager</x:v>
      </x:c>
      <x:c r="J378" s="23" t="n">
        <x:v>46525</x:v>
      </x:c>
      <x:c r="K378" s="35" t="str">
        <x:v>valid non-default; boundary/format value; blank/null when optional; invalid value when constrained</x:v>
      </x:c>
      <x:c r="L378" s="35" t="str">
        <x:v>Save succeeds; reload shows the exact normalized value; other client reads it where supported; edit persists; validation rejects invalid input without partial mutation.</x:v>
      </x:c>
    </x:row>
    <x:row r="379">
      <x:c r="A379" s="20" t="str">
        <x:v>FLD-0376</x:v>
      </x:c>
      <x:c r="B379" s="20" t="str">
        <x:v>Web</x:v>
      </x:c>
      <x:c r="C379" s="35" t="str">
        <x:v>/appointments</x:v>
      </x:c>
      <x:c r="D379" s="35" t="str">
        <x:v>web/src/routes/(protected)/appointments/+page.svelte</x:v>
      </x:c>
      <x:c r="E379" s="32" t="n">
        <x:v>489</x:v>
      </x:c>
      <x:c r="F379" s="20" t="str">
        <x:v>select</x:v>
      </x:c>
      <x:c r="G379" s="35" t="str">
        <x:v>Select-14</x:v>
      </x:c>
      <x:c r="H379" s="35" t="str"/>
      <x:c r="I379" s="20" t="str">
        <x:v>Property Manager</x:v>
      </x:c>
      <x:c r="J379" s="23" t="n">
        <x:v>46525</x:v>
      </x:c>
      <x:c r="K379" s="35" t="str">
        <x:v>valid non-default; boundary/format value; blank/null when optional; invalid value when constrained</x:v>
      </x:c>
      <x:c r="L379" s="35" t="str">
        <x:v>Save succeeds; reload shows the exact normalized value; other client reads it where supported; edit persists; validation rejects invalid input without partial mutation.</x:v>
      </x:c>
    </x:row>
    <x:row r="380">
      <x:c r="A380" s="20" t="str">
        <x:v>FLD-0377</x:v>
      </x:c>
      <x:c r="B380" s="20" t="str">
        <x:v>Web</x:v>
      </x:c>
      <x:c r="C380" s="35" t="str">
        <x:v>/appointments</x:v>
      </x:c>
      <x:c r="D380" s="35" t="str">
        <x:v>web/src/routes/(protected)/appointments/+page.svelte</x:v>
      </x:c>
      <x:c r="E380" s="32" t="n">
        <x:v>490</x:v>
      </x:c>
      <x:c r="F380" s="20" t="str">
        <x:v>select</x:v>
      </x:c>
      <x:c r="G380" s="35" t="str">
        <x:v>Select-15</x:v>
      </x:c>
      <x:c r="H380" s="35" t="str"/>
      <x:c r="I380" s="20" t="str">
        <x:v>Property Manager</x:v>
      </x:c>
      <x:c r="J380" s="23" t="n">
        <x:v>46526</x:v>
      </x:c>
      <x:c r="K380" s="35" t="str">
        <x:v>valid non-default; boundary/format value; blank/null when optional; invalid value when constrained</x:v>
      </x:c>
      <x:c r="L380" s="35" t="str">
        <x:v>Save succeeds; reload shows the exact normalized value; other client reads it where supported; edit persists; validation rejects invalid input without partial mutation.</x:v>
      </x:c>
    </x:row>
    <x:row r="381">
      <x:c r="A381" s="20" t="str">
        <x:v>FLD-0378</x:v>
      </x:c>
      <x:c r="B381" s="20" t="str">
        <x:v>Web</x:v>
      </x:c>
      <x:c r="C381" s="35" t="str">
        <x:v>/appointments</x:v>
      </x:c>
      <x:c r="D381" s="35" t="str">
        <x:v>web/src/routes/(protected)/appointments/+page.svelte</x:v>
      </x:c>
      <x:c r="E381" s="32" t="n">
        <x:v>494</x:v>
      </x:c>
      <x:c r="F381" s="20" t="str">
        <x:v>select</x:v>
      </x:c>
      <x:c r="G381" s="35" t="str">
        <x:v>appointment-status-filter</x:v>
      </x:c>
      <x:c r="H381" s="35" t="str"/>
      <x:c r="I381" s="20" t="str">
        <x:v>Property Manager</x:v>
      </x:c>
      <x:c r="J381" s="23" t="n">
        <x:v>46526</x:v>
      </x:c>
      <x:c r="K381" s="35" t="str">
        <x:v>valid non-default; boundary/format value; blank/null when optional; invalid value when constrained</x:v>
      </x:c>
      <x:c r="L381" s="35" t="str">
        <x:v>Save succeeds; reload shows the exact normalized value; other client reads it where supported; edit persists; validation rejects invalid input without partial mutation.</x:v>
      </x:c>
    </x:row>
    <x:row r="382">
      <x:c r="A382" s="20" t="str">
        <x:v>FLD-0379</x:v>
      </x:c>
      <x:c r="B382" s="20" t="str">
        <x:v>Web</x:v>
      </x:c>
      <x:c r="C382" s="35" t="str">
        <x:v>/appointments</x:v>
      </x:c>
      <x:c r="D382" s="35" t="str">
        <x:v>web/src/routes/(protected)/appointments/+page.svelte</x:v>
      </x:c>
      <x:c r="E382" s="32" t="n">
        <x:v>497</x:v>
      </x:c>
      <x:c r="F382" s="20" t="str">
        <x:v>select</x:v>
      </x:c>
      <x:c r="G382" s="35" t="str">
        <x:v>Select-18</x:v>
      </x:c>
      <x:c r="H382" s="35" t="str"/>
      <x:c r="I382" s="20" t="str">
        <x:v>Property Manager</x:v>
      </x:c>
      <x:c r="J382" s="23" t="n">
        <x:v>46526</x:v>
      </x:c>
      <x:c r="K382" s="35" t="str">
        <x:v>valid non-default; boundary/format value; blank/null when optional; invalid value when constrained</x:v>
      </x:c>
      <x:c r="L382" s="35" t="str">
        <x:v>Save succeeds; reload shows the exact normalized value; other client reads it where supported; edit persists; validation rejects invalid input without partial mutation.</x:v>
      </x:c>
    </x:row>
    <x:row r="383">
      <x:c r="A383" s="20" t="str">
        <x:v>FLD-0380</x:v>
      </x:c>
      <x:c r="B383" s="20" t="str">
        <x:v>Web</x:v>
      </x:c>
      <x:c r="C383" s="35" t="str">
        <x:v>/appointments</x:v>
      </x:c>
      <x:c r="D383" s="35" t="str">
        <x:v>web/src/routes/(protected)/appointments/+page.svelte</x:v>
      </x:c>
      <x:c r="E383" s="32" t="n">
        <x:v>498</x:v>
      </x:c>
      <x:c r="F383" s="20" t="str">
        <x:v>select</x:v>
      </x:c>
      <x:c r="G383" s="35" t="str">
        <x:v>Select-19</x:v>
      </x:c>
      <x:c r="H383" s="35" t="str"/>
      <x:c r="I383" s="20" t="str">
        <x:v>Property Manager</x:v>
      </x:c>
      <x:c r="J383" s="23" t="n">
        <x:v>46526</x:v>
      </x:c>
      <x:c r="K383" s="35" t="str">
        <x:v>valid non-default; boundary/format value; blank/null when optional; invalid value when constrained</x:v>
      </x:c>
      <x:c r="L383" s="35" t="str">
        <x:v>Save succeeds; reload shows the exact normalized value; other client reads it where supported; edit persists; validation rejects invalid input without partial mutation.</x:v>
      </x:c>
    </x:row>
    <x:row r="384">
      <x:c r="A384" s="20" t="str">
        <x:v>FLD-0381</x:v>
      </x:c>
      <x:c r="B384" s="20" t="str">
        <x:v>Web</x:v>
      </x:c>
      <x:c r="C384" s="35" t="str">
        <x:v>/appointments</x:v>
      </x:c>
      <x:c r="D384" s="35" t="str">
        <x:v>web/src/routes/(protected)/appointments/+page.svelte</x:v>
      </x:c>
      <x:c r="E384" s="32" t="n">
        <x:v>499</x:v>
      </x:c>
      <x:c r="F384" s="20" t="str">
        <x:v>select</x:v>
      </x:c>
      <x:c r="G384" s="35" t="str">
        <x:v>Select-20</x:v>
      </x:c>
      <x:c r="H384" s="35" t="str"/>
      <x:c r="I384" s="20" t="str">
        <x:v>Property Manager</x:v>
      </x:c>
      <x:c r="J384" s="23" t="n">
        <x:v>46527</x:v>
      </x:c>
      <x:c r="K384" s="35" t="str">
        <x:v>valid non-default; boundary/format value; blank/null when optional; invalid value when constrained</x:v>
      </x:c>
      <x:c r="L384" s="35" t="str">
        <x:v>Save succeeds; reload shows the exact normalized value; other client reads it where supported; edit persists; validation rejects invalid input without partial mutation.</x:v>
      </x:c>
    </x:row>
    <x:row r="385">
      <x:c r="A385" s="20" t="str">
        <x:v>FLD-0382</x:v>
      </x:c>
      <x:c r="B385" s="20" t="str">
        <x:v>Web</x:v>
      </x:c>
      <x:c r="C385" s="35" t="str">
        <x:v>/appointments</x:v>
      </x:c>
      <x:c r="D385" s="35" t="str">
        <x:v>web/src/routes/(protected)/appointments/+page.svelte</x:v>
      </x:c>
      <x:c r="E385" s="32" t="n">
        <x:v>534</x:v>
      </x:c>
      <x:c r="F385" s="20" t="str">
        <x:v>input</x:v>
      </x:c>
      <x:c r="G385" s="35" t="str">
        <x:v>appointment-title</x:v>
      </x:c>
      <x:c r="H385" s="35" t="str">
        <x:v>Appointment title</x:v>
      </x:c>
      <x:c r="I385" s="20" t="str">
        <x:v>Property Manager</x:v>
      </x:c>
      <x:c r="J385" s="23" t="n">
        <x:v>46527</x:v>
      </x:c>
      <x:c r="K385" s="35" t="str">
        <x:v>valid non-default; boundary/format value; blank/null when optional; invalid value when constrained</x:v>
      </x:c>
      <x:c r="L385" s="35" t="str">
        <x:v>Save succeeds; reload shows the exact normalized value; other client reads it where supported; edit persists; validation rejects invalid input without partial mutation.</x:v>
      </x:c>
    </x:row>
    <x:row r="386">
      <x:c r="A386" s="20" t="str">
        <x:v>FLD-0383</x:v>
      </x:c>
      <x:c r="B386" s="20" t="str">
        <x:v>Web</x:v>
      </x:c>
      <x:c r="C386" s="35" t="str">
        <x:v>/appointments</x:v>
      </x:c>
      <x:c r="D386" s="35" t="str">
        <x:v>web/src/routes/(protected)/appointments/+page.svelte</x:v>
      </x:c>
      <x:c r="E386" s="32" t="n">
        <x:v>540</x:v>
      </x:c>
      <x:c r="F386" s="20" t="str">
        <x:v>single</x:v>
      </x:c>
      <x:c r="G386" s="35" t="str">
        <x:v>form.type</x:v>
      </x:c>
      <x:c r="H386" s="35" t="str"/>
      <x:c r="I386" s="20" t="str">
        <x:v>Property Manager</x:v>
      </x:c>
      <x:c r="J386" s="23" t="n">
        <x:v>46527</x:v>
      </x:c>
      <x:c r="K386" s="35" t="str">
        <x:v>valid non-default; boundary/format value; blank/null when optional; invalid value when constrained</x:v>
      </x:c>
      <x:c r="L386" s="35" t="str">
        <x:v>Save succeeds; reload shows the exact normalized value; other client reads it where supported; edit persists; validation rejects invalid input without partial mutation.</x:v>
      </x:c>
    </x:row>
    <x:row r="387">
      <x:c r="A387" s="20" t="str">
        <x:v>FLD-0384</x:v>
      </x:c>
      <x:c r="B387" s="20" t="str">
        <x:v>Web</x:v>
      </x:c>
      <x:c r="C387" s="35" t="str">
        <x:v>/appointments</x:v>
      </x:c>
      <x:c r="D387" s="35" t="str">
        <x:v>web/src/routes/(protected)/appointments/+page.svelte</x:v>
      </x:c>
      <x:c r="E387" s="32" t="n">
        <x:v>541</x:v>
      </x:c>
      <x:c r="F387" s="20" t="str">
        <x:v>select</x:v>
      </x:c>
      <x:c r="G387" s="35" t="str">
        <x:v>appointment-type-input</x:v>
      </x:c>
      <x:c r="H387" s="35" t="str"/>
      <x:c r="I387" s="20" t="str">
        <x:v>Property Manager</x:v>
      </x:c>
      <x:c r="J387" s="23" t="n">
        <x:v>46527</x:v>
      </x:c>
      <x:c r="K387" s="35" t="str">
        <x:v>valid non-default; boundary/format value; blank/null when optional; invalid value when constrained</x:v>
      </x:c>
      <x:c r="L387" s="35" t="str">
        <x:v>Save succeeds; reload shows the exact normalized value; other client reads it where supported; edit persists; validation rejects invalid input without partial mutation.</x:v>
      </x:c>
    </x:row>
    <x:row r="388">
      <x:c r="A388" s="20" t="str">
        <x:v>FLD-0385</x:v>
      </x:c>
      <x:c r="B388" s="20" t="str">
        <x:v>Web</x:v>
      </x:c>
      <x:c r="C388" s="35" t="str">
        <x:v>/appointments</x:v>
      </x:c>
      <x:c r="D388" s="35" t="str">
        <x:v>web/src/routes/(protected)/appointments/+page.svelte</x:v>
      </x:c>
      <x:c r="E388" s="32" t="n">
        <x:v>544</x:v>
      </x:c>
      <x:c r="F388" s="20" t="str">
        <x:v>select</x:v>
      </x:c>
      <x:c r="G388" s="35" t="str">
        <x:v>Select-24</x:v>
      </x:c>
      <x:c r="H388" s="35" t="str"/>
      <x:c r="I388" s="20" t="str">
        <x:v>Property Manager</x:v>
      </x:c>
      <x:c r="J388" s="23" t="n">
        <x:v>46528</x:v>
      </x:c>
      <x:c r="K388" s="35" t="str">
        <x:v>valid non-default; boundary/format value; blank/null when optional; invalid value when constrained</x:v>
      </x:c>
      <x:c r="L388" s="35" t="str">
        <x:v>Save succeeds; reload shows the exact normalized value; other client reads it where supported; edit persists; validation rejects invalid input without partial mutation.</x:v>
      </x:c>
    </x:row>
    <x:row r="389">
      <x:c r="A389" s="20" t="str">
        <x:v>FLD-0386</x:v>
      </x:c>
      <x:c r="B389" s="20" t="str">
        <x:v>Web</x:v>
      </x:c>
      <x:c r="C389" s="35" t="str">
        <x:v>/appointments</x:v>
      </x:c>
      <x:c r="D389" s="35" t="str">
        <x:v>web/src/routes/(protected)/appointments/+page.svelte</x:v>
      </x:c>
      <x:c r="E389" s="32" t="n">
        <x:v>545</x:v>
      </x:c>
      <x:c r="F389" s="20" t="str">
        <x:v>select</x:v>
      </x:c>
      <x:c r="G389" s="35" t="str">
        <x:v>Select-25</x:v>
      </x:c>
      <x:c r="H389" s="35" t="str"/>
      <x:c r="I389" s="20" t="str">
        <x:v>Property Manager</x:v>
      </x:c>
      <x:c r="J389" s="23" t="n">
        <x:v>46528</x:v>
      </x:c>
      <x:c r="K389" s="35" t="str">
        <x:v>valid non-default; boundary/format value; blank/null when optional; invalid value when constrained</x:v>
      </x:c>
      <x:c r="L389" s="35" t="str">
        <x:v>Save succeeds; reload shows the exact normalized value; other client reads it where supported; edit persists; validation rejects invalid input without partial mutation.</x:v>
      </x:c>
    </x:row>
    <x:row r="390">
      <x:c r="A390" s="20" t="str">
        <x:v>FLD-0387</x:v>
      </x:c>
      <x:c r="B390" s="20" t="str">
        <x:v>Web</x:v>
      </x:c>
      <x:c r="C390" s="35" t="str">
        <x:v>/appointments</x:v>
      </x:c>
      <x:c r="D390" s="35" t="str">
        <x:v>web/src/routes/(protected)/appointments/+page.svelte</x:v>
      </x:c>
      <x:c r="E390" s="32" t="n">
        <x:v>551</x:v>
      </x:c>
      <x:c r="F390" s="20" t="str">
        <x:v>single</x:v>
      </x:c>
      <x:c r="G390" s="35" t="str">
        <x:v>form.status</x:v>
      </x:c>
      <x:c r="H390" s="35" t="str"/>
      <x:c r="I390" s="20" t="str">
        <x:v>Property Manager</x:v>
      </x:c>
      <x:c r="J390" s="23" t="n">
        <x:v>46528</x:v>
      </x:c>
      <x:c r="K390" s="35" t="str">
        <x:v>valid non-default; boundary/format value; blank/null when optional; invalid value when constrained</x:v>
      </x:c>
      <x:c r="L390" s="35" t="str">
        <x:v>Save succeeds; reload shows the exact normalized value; other client reads it where supported; edit persists; validation rejects invalid input without partial mutation.</x:v>
      </x:c>
    </x:row>
    <x:row r="391">
      <x:c r="A391" s="20" t="str">
        <x:v>FLD-0388</x:v>
      </x:c>
      <x:c r="B391" s="20" t="str">
        <x:v>Web</x:v>
      </x:c>
      <x:c r="C391" s="35" t="str">
        <x:v>/appointments</x:v>
      </x:c>
      <x:c r="D391" s="35" t="str">
        <x:v>web/src/routes/(protected)/appointments/+page.svelte</x:v>
      </x:c>
      <x:c r="E391" s="32" t="n">
        <x:v>552</x:v>
      </x:c>
      <x:c r="F391" s="20" t="str">
        <x:v>select</x:v>
      </x:c>
      <x:c r="G391" s="35" t="str">
        <x:v>appointment-status-input</x:v>
      </x:c>
      <x:c r="H391" s="35" t="str"/>
      <x:c r="I391" s="20" t="str">
        <x:v>Property Manager</x:v>
      </x:c>
      <x:c r="J391" s="23" t="n">
        <x:v>46528</x:v>
      </x:c>
      <x:c r="K391" s="35" t="str">
        <x:v>valid non-default; boundary/format value; blank/null when optional; invalid value when constrained</x:v>
      </x:c>
      <x:c r="L391" s="35" t="str">
        <x:v>Save succeeds; reload shows the exact normalized value; other client reads it where supported; edit persists; validation rejects invalid input without partial mutation.</x:v>
      </x:c>
    </x:row>
    <x:row r="392">
      <x:c r="A392" s="20" t="str">
        <x:v>FLD-0389</x:v>
      </x:c>
      <x:c r="B392" s="20" t="str">
        <x:v>Web</x:v>
      </x:c>
      <x:c r="C392" s="35" t="str">
        <x:v>/appointments</x:v>
      </x:c>
      <x:c r="D392" s="35" t="str">
        <x:v>web/src/routes/(protected)/appointments/+page.svelte</x:v>
      </x:c>
      <x:c r="E392" s="32" t="n">
        <x:v>555</x:v>
      </x:c>
      <x:c r="F392" s="20" t="str">
        <x:v>select</x:v>
      </x:c>
      <x:c r="G392" s="35" t="str">
        <x:v>Select-28</x:v>
      </x:c>
      <x:c r="H392" s="35" t="str"/>
      <x:c r="I392" s="20" t="str">
        <x:v>Property Manager</x:v>
      </x:c>
      <x:c r="J392" s="23" t="n">
        <x:v>46528</x:v>
      </x:c>
      <x:c r="K392" s="35" t="str">
        <x:v>valid non-default; boundary/format value; blank/null when optional; invalid value when constrained</x:v>
      </x:c>
      <x:c r="L392" s="35" t="str">
        <x:v>Save succeeds; reload shows the exact normalized value; other client reads it where supported; edit persists; validation rejects invalid input without partial mutation.</x:v>
      </x:c>
    </x:row>
    <x:row r="393">
      <x:c r="A393" s="20" t="str">
        <x:v>FLD-0390</x:v>
      </x:c>
      <x:c r="B393" s="20" t="str">
        <x:v>Web</x:v>
      </x:c>
      <x:c r="C393" s="35" t="str">
        <x:v>/appointments</x:v>
      </x:c>
      <x:c r="D393" s="35" t="str">
        <x:v>web/src/routes/(protected)/appointments/+page.svelte</x:v>
      </x:c>
      <x:c r="E393" s="32" t="n">
        <x:v>556</x:v>
      </x:c>
      <x:c r="F393" s="20" t="str">
        <x:v>select</x:v>
      </x:c>
      <x:c r="G393" s="35" t="str">
        <x:v>Select-29</x:v>
      </x:c>
      <x:c r="H393" s="35" t="str"/>
      <x:c r="I393" s="20" t="str">
        <x:v>Property Manager</x:v>
      </x:c>
      <x:c r="J393" s="23" t="n">
        <x:v>46531</x:v>
      </x:c>
      <x:c r="K393" s="35" t="str">
        <x:v>valid non-default; boundary/format value; blank/null when optional; invalid value when constrained</x:v>
      </x:c>
      <x:c r="L393" s="35" t="str">
        <x:v>Save succeeds; reload shows the exact normalized value; other client reads it where supported; edit persists; validation rejects invalid input without partial mutation.</x:v>
      </x:c>
    </x:row>
    <x:row r="394">
      <x:c r="A394" s="20" t="str">
        <x:v>FLD-0391</x:v>
      </x:c>
      <x:c r="B394" s="20" t="str">
        <x:v>Web</x:v>
      </x:c>
      <x:c r="C394" s="35" t="str">
        <x:v>/appointments</x:v>
      </x:c>
      <x:c r="D394" s="35" t="str">
        <x:v>web/src/routes/(protected)/appointments/+page.svelte</x:v>
      </x:c>
      <x:c r="E394" s="32" t="n">
        <x:v>610</x:v>
      </x:c>
      <x:c r="F394" s="20" t="str">
        <x:v>input</x:v>
      </x:c>
      <x:c r="G394" s="35" t="str">
        <x:v>appointment-assigned</x:v>
      </x:c>
      <x:c r="H394" s="35" t="str">
        <x:v>Assigned to</x:v>
      </x:c>
      <x:c r="I394" s="20" t="str">
        <x:v>Property Manager</x:v>
      </x:c>
      <x:c r="J394" s="23" t="n">
        <x:v>46531</x:v>
      </x:c>
      <x:c r="K394" s="35" t="str">
        <x:v>valid non-default; boundary/format value; blank/null when optional; invalid value when constrained</x:v>
      </x:c>
      <x:c r="L394" s="35" t="str">
        <x:v>Save succeeds; reload shows the exact normalized value; other client reads it where supported; edit persists; validation rejects invalid input without partial mutation.</x:v>
      </x:c>
    </x:row>
    <x:row r="395">
      <x:c r="A395" s="20" t="str">
        <x:v>FLD-0392</x:v>
      </x:c>
      <x:c r="B395" s="20" t="str">
        <x:v>Web</x:v>
      </x:c>
      <x:c r="C395" s="35" t="str">
        <x:v>/appointments</x:v>
      </x:c>
      <x:c r="D395" s="35" t="str">
        <x:v>web/src/routes/(protected)/appointments/+page.svelte</x:v>
      </x:c>
      <x:c r="E395" s="32" t="n">
        <x:v>614</x:v>
      </x:c>
      <x:c r="F395" s="20" t="str">
        <x:v>input</x:v>
      </x:c>
      <x:c r="G395" s="35" t="str">
        <x:v>appointment-prospect-name</x:v>
      </x:c>
      <x:c r="H395" s="35" t="str">
        <x:v>Prospect name</x:v>
      </x:c>
      <x:c r="I395" s="20" t="str">
        <x:v>Property Manager</x:v>
      </x:c>
      <x:c r="J395" s="23" t="n">
        <x:v>46531</x:v>
      </x:c>
      <x:c r="K395" s="35" t="str">
        <x:v>valid non-default; boundary/format value; blank/null when optional; invalid value when constrained</x:v>
      </x:c>
      <x:c r="L395" s="35" t="str">
        <x:v>Save succeeds; reload shows the exact normalized value; other client reads it where supported; edit persists; validation rejects invalid input without partial mutation.</x:v>
      </x:c>
    </x:row>
    <x:row r="396">
      <x:c r="A396" s="20" t="str">
        <x:v>FLD-0393</x:v>
      </x:c>
      <x:c r="B396" s="20" t="str">
        <x:v>Web</x:v>
      </x:c>
      <x:c r="C396" s="35" t="str">
        <x:v>/appointments</x:v>
      </x:c>
      <x:c r="D396" s="35" t="str">
        <x:v>web/src/routes/(protected)/appointments/+page.svelte</x:v>
      </x:c>
      <x:c r="E396" s="32" t="n">
        <x:v>618</x:v>
      </x:c>
      <x:c r="F396" s="20" t="str">
        <x:v>input</x:v>
      </x:c>
      <x:c r="G396" s="35" t="str">
        <x:v>appointment-prospect-email</x:v>
      </x:c>
      <x:c r="H396" s="35" t="str">
        <x:v>Prospect email</x:v>
      </x:c>
      <x:c r="I396" s="20" t="str">
        <x:v>Property Manager</x:v>
      </x:c>
      <x:c r="J396" s="23" t="n">
        <x:v>46531</x:v>
      </x:c>
      <x:c r="K396" s="35" t="str">
        <x:v>valid non-default; boundary/format value; blank/null when optional; invalid value when constrained</x:v>
      </x:c>
      <x:c r="L396" s="35" t="str">
        <x:v>Save succeeds; reload shows the exact normalized value; other client reads it where supported; edit persists; validation rejects invalid input without partial mutation.</x:v>
      </x:c>
    </x:row>
    <x:row r="397">
      <x:c r="A397" s="20" t="str">
        <x:v>FLD-0394</x:v>
      </x:c>
      <x:c r="B397" s="20" t="str">
        <x:v>Web</x:v>
      </x:c>
      <x:c r="C397" s="35" t="str">
        <x:v>/audit</x:v>
      </x:c>
      <x:c r="D397" s="35" t="str">
        <x:v>web/src/routes/(protected)/audit/+page.svelte</x:v>
      </x:c>
      <x:c r="E397" s="32" t="n">
        <x:v>185</x:v>
      </x:c>
      <x:c r="F397" s="20" t="str">
        <x:v>single</x:v>
      </x:c>
      <x:c r="G397" s="35" t="str">
        <x:v>operationFilter</x:v>
      </x:c>
      <x:c r="H397" s="35" t="str"/>
      <x:c r="I397" s="20" t="str">
        <x:v>Workspace Administrator</x:v>
      </x:c>
      <x:c r="J397" s="23" t="n">
        <x:v>46532</x:v>
      </x:c>
      <x:c r="K397" s="35" t="str">
        <x:v>valid non-default; boundary/format value; blank/null when optional; invalid value when constrained</x:v>
      </x:c>
      <x:c r="L397" s="35" t="str">
        <x:v>Save succeeds; reload shows the exact normalized value; other client reads it where supported; edit persists; validation rejects invalid input without partial mutation.</x:v>
      </x:c>
    </x:row>
    <x:row r="398">
      <x:c r="A398" s="20" t="str">
        <x:v>FLD-0395</x:v>
      </x:c>
      <x:c r="B398" s="20" t="str">
        <x:v>Web</x:v>
      </x:c>
      <x:c r="C398" s="35" t="str">
        <x:v>/audit</x:v>
      </x:c>
      <x:c r="D398" s="35" t="str">
        <x:v>web/src/routes/(protected)/audit/+page.svelte</x:v>
      </x:c>
      <x:c r="E398" s="32" t="n">
        <x:v>186</x:v>
      </x:c>
      <x:c r="F398" s="20" t="str">
        <x:v>select</x:v>
      </x:c>
      <x:c r="G398" s="35" t="str">
        <x:v>audit-operation-filter</x:v>
      </x:c>
      <x:c r="H398" s="35" t="str"/>
      <x:c r="I398" s="20" t="str">
        <x:v>Workspace Administrator</x:v>
      </x:c>
      <x:c r="J398" s="23" t="n">
        <x:v>46532</x:v>
      </x:c>
      <x:c r="K398" s="35" t="str">
        <x:v>valid non-default; boundary/format value; blank/null when optional; invalid value when constrained</x:v>
      </x:c>
      <x:c r="L398" s="35" t="str">
        <x:v>Save succeeds; reload shows the exact normalized value; other client reads it where supported; edit persists; validation rejects invalid input without partial mutation.</x:v>
      </x:c>
    </x:row>
    <x:row r="399">
      <x:c r="A399" s="20" t="str">
        <x:v>FLD-0396</x:v>
      </x:c>
      <x:c r="B399" s="20" t="str">
        <x:v>Web</x:v>
      </x:c>
      <x:c r="C399" s="35" t="str">
        <x:v>/audit</x:v>
      </x:c>
      <x:c r="D399" s="35" t="str">
        <x:v>web/src/routes/(protected)/audit/+page.svelte</x:v>
      </x:c>
      <x:c r="E399" s="32" t="n">
        <x:v>189</x:v>
      </x:c>
      <x:c r="F399" s="20" t="str">
        <x:v>select</x:v>
      </x:c>
      <x:c r="G399" s="35" t="str">
        <x:v>Select-3</x:v>
      </x:c>
      <x:c r="H399" s="35" t="str"/>
      <x:c r="I399" s="20" t="str">
        <x:v>Workspace Administrator</x:v>
      </x:c>
      <x:c r="J399" s="23" t="n">
        <x:v>46532</x:v>
      </x:c>
      <x:c r="K399" s="35" t="str">
        <x:v>valid non-default; boundary/format value; blank/null when optional; invalid value when constrained</x:v>
      </x:c>
      <x:c r="L399" s="35" t="str">
        <x:v>Save succeeds; reload shows the exact normalized value; other client reads it where supported; edit persists; validation rejects invalid input without partial mutation.</x:v>
      </x:c>
    </x:row>
    <x:row r="400">
      <x:c r="A400" s="20" t="str">
        <x:v>FLD-0397</x:v>
      </x:c>
      <x:c r="B400" s="20" t="str">
        <x:v>Web</x:v>
      </x:c>
      <x:c r="C400" s="35" t="str">
        <x:v>/audit</x:v>
      </x:c>
      <x:c r="D400" s="35" t="str">
        <x:v>web/src/routes/(protected)/audit/+page.svelte</x:v>
      </x:c>
      <x:c r="E400" s="32" t="n">
        <x:v>190</x:v>
      </x:c>
      <x:c r="F400" s="20" t="str">
        <x:v>select</x:v>
      </x:c>
      <x:c r="G400" s="35" t="str">
        <x:v>Select-4</x:v>
      </x:c>
      <x:c r="H400" s="35" t="str"/>
      <x:c r="I400" s="20" t="str">
        <x:v>Workspace Administrator</x:v>
      </x:c>
      <x:c r="J400" s="23" t="n">
        <x:v>46532</x:v>
      </x:c>
      <x:c r="K400" s="35" t="str">
        <x:v>valid non-default; boundary/format value; blank/null when optional; invalid value when constrained</x:v>
      </x:c>
      <x:c r="L400" s="35" t="str">
        <x:v>Save succeeds; reload shows the exact normalized value; other client reads it where supported; edit persists; validation rejects invalid input without partial mutation.</x:v>
      </x:c>
    </x:row>
    <x:row r="401">
      <x:c r="A401" s="20" t="str">
        <x:v>FLD-0398</x:v>
      </x:c>
      <x:c r="B401" s="20" t="str">
        <x:v>Web</x:v>
      </x:c>
      <x:c r="C401" s="35" t="str">
        <x:v>/audit</x:v>
      </x:c>
      <x:c r="D401" s="35" t="str">
        <x:v>web/src/routes/(protected)/audit/+page.svelte</x:v>
      </x:c>
      <x:c r="E401" s="32" t="n">
        <x:v>192</x:v>
      </x:c>
      <x:c r="F401" s="20" t="str">
        <x:v>select</x:v>
      </x:c>
      <x:c r="G401" s="35" t="str">
        <x:v>Select-5</x:v>
      </x:c>
      <x:c r="H401" s="35" t="str"/>
      <x:c r="I401" s="20" t="str">
        <x:v>Workspace Administrator</x:v>
      </x:c>
      <x:c r="J401" s="23" t="n">
        <x:v>46532</x:v>
      </x:c>
      <x:c r="K401" s="35" t="str">
        <x:v>valid non-default; boundary/format value; blank/null when optional; invalid value when constrained</x:v>
      </x:c>
      <x:c r="L401" s="35" t="str">
        <x:v>Save succeeds; reload shows the exact normalized value; other client reads it where supported; edit persists; validation rejects invalid input without partial mutation.</x:v>
      </x:c>
    </x:row>
    <x:row r="402">
      <x:c r="A402" s="20" t="str">
        <x:v>FLD-0399</x:v>
      </x:c>
      <x:c r="B402" s="20" t="str">
        <x:v>Web</x:v>
      </x:c>
      <x:c r="C402" s="35" t="str">
        <x:v>/audit</x:v>
      </x:c>
      <x:c r="D402" s="35" t="str">
        <x:v>web/src/routes/(protected)/audit/+page.svelte</x:v>
      </x:c>
      <x:c r="E402" s="32" t="n">
        <x:v>196</x:v>
      </x:c>
      <x:c r="F402" s="20" t="str">
        <x:v>single</x:v>
      </x:c>
      <x:c r="G402" s="35" t="str">
        <x:v>entityTypeFilter</x:v>
      </x:c>
      <x:c r="H402" s="35" t="str"/>
      <x:c r="I402" s="20" t="str">
        <x:v>Workspace Administrator</x:v>
      </x:c>
      <x:c r="J402" s="23" t="n">
        <x:v>46533</x:v>
      </x:c>
      <x:c r="K402" s="35" t="str">
        <x:v>valid non-default; boundary/format value; blank/null when optional; invalid value when constrained</x:v>
      </x:c>
      <x:c r="L402" s="35" t="str">
        <x:v>Save succeeds; reload shows the exact normalized value; other client reads it where supported; edit persists; validation rejects invalid input without partial mutation.</x:v>
      </x:c>
    </x:row>
    <x:row r="403">
      <x:c r="A403" s="20" t="str">
        <x:v>FLD-0400</x:v>
      </x:c>
      <x:c r="B403" s="20" t="str">
        <x:v>Web</x:v>
      </x:c>
      <x:c r="C403" s="35" t="str">
        <x:v>/audit</x:v>
      </x:c>
      <x:c r="D403" s="35" t="str">
        <x:v>web/src/routes/(protected)/audit/+page.svelte</x:v>
      </x:c>
      <x:c r="E403" s="32" t="n">
        <x:v>197</x:v>
      </x:c>
      <x:c r="F403" s="20" t="str">
        <x:v>select</x:v>
      </x:c>
      <x:c r="G403" s="35" t="str">
        <x:v>audit-entity-type-filter</x:v>
      </x:c>
      <x:c r="H403" s="35" t="str"/>
      <x:c r="I403" s="20" t="str">
        <x:v>Workspace Administrator</x:v>
      </x:c>
      <x:c r="J403" s="23" t="n">
        <x:v>46533</x:v>
      </x:c>
      <x:c r="K403" s="35" t="str">
        <x:v>valid non-default; boundary/format value; blank/null when optional; invalid value when constrained</x:v>
      </x:c>
      <x:c r="L403" s="35" t="str">
        <x:v>Save succeeds; reload shows the exact normalized value; other client reads it where supported; edit persists; validation rejects invalid input without partial mutation.</x:v>
      </x:c>
    </x:row>
    <x:row r="404">
      <x:c r="A404" s="20" t="str">
        <x:v>FLD-0401</x:v>
      </x:c>
      <x:c r="B404" s="20" t="str">
        <x:v>Web</x:v>
      </x:c>
      <x:c r="C404" s="35" t="str">
        <x:v>/audit</x:v>
      </x:c>
      <x:c r="D404" s="35" t="str">
        <x:v>web/src/routes/(protected)/audit/+page.svelte</x:v>
      </x:c>
      <x:c r="E404" s="32" t="n">
        <x:v>200</x:v>
      </x:c>
      <x:c r="F404" s="20" t="str">
        <x:v>select</x:v>
      </x:c>
      <x:c r="G404" s="35" t="str">
        <x:v>Select-8</x:v>
      </x:c>
      <x:c r="H404" s="35" t="str"/>
      <x:c r="I404" s="20" t="str">
        <x:v>Workspace Administrator</x:v>
      </x:c>
      <x:c r="J404" s="23" t="n">
        <x:v>46533</x:v>
      </x:c>
      <x:c r="K404" s="35" t="str">
        <x:v>valid non-default; boundary/format value; blank/null when optional; invalid value when constrained</x:v>
      </x:c>
      <x:c r="L404" s="35" t="str">
        <x:v>Save succeeds; reload shows the exact normalized value; other client reads it where supported; edit persists; validation rejects invalid input without partial mutation.</x:v>
      </x:c>
    </x:row>
    <x:row r="405">
      <x:c r="A405" s="20" t="str">
        <x:v>FLD-0402</x:v>
      </x:c>
      <x:c r="B405" s="20" t="str">
        <x:v>Web</x:v>
      </x:c>
      <x:c r="C405" s="35" t="str">
        <x:v>/audit</x:v>
      </x:c>
      <x:c r="D405" s="35" t="str">
        <x:v>web/src/routes/(protected)/audit/+page.svelte</x:v>
      </x:c>
      <x:c r="E405" s="32" t="n">
        <x:v>201</x:v>
      </x:c>
      <x:c r="F405" s="20" t="str">
        <x:v>select</x:v>
      </x:c>
      <x:c r="G405" s="35" t="str">
        <x:v>Select-9</x:v>
      </x:c>
      <x:c r="H405" s="35" t="str"/>
      <x:c r="I405" s="20" t="str">
        <x:v>Workspace Administrator</x:v>
      </x:c>
      <x:c r="J405" s="23" t="n">
        <x:v>46533</x:v>
      </x:c>
      <x:c r="K405" s="35" t="str">
        <x:v>valid non-default; boundary/format value; blank/null when optional; invalid value when constrained</x:v>
      </x:c>
      <x:c r="L405" s="35" t="str">
        <x:v>Save succeeds; reload shows the exact normalized value; other client reads it where supported; edit persists; validation rejects invalid input without partial mutation.</x:v>
      </x:c>
    </x:row>
    <x:row r="406">
      <x:c r="A406" s="20" t="str">
        <x:v>FLD-0403</x:v>
      </x:c>
      <x:c r="B406" s="20" t="str">
        <x:v>Web</x:v>
      </x:c>
      <x:c r="C406" s="35" t="str">
        <x:v>/audit</x:v>
      </x:c>
      <x:c r="D406" s="35" t="str">
        <x:v>web/src/routes/(protected)/audit/+page.svelte</x:v>
      </x:c>
      <x:c r="E406" s="32" t="n">
        <x:v>203</x:v>
      </x:c>
      <x:c r="F406" s="20" t="str">
        <x:v>select</x:v>
      </x:c>
      <x:c r="G406" s="35" t="str">
        <x:v>Select-10</x:v>
      </x:c>
      <x:c r="H406" s="35" t="str"/>
      <x:c r="I406" s="20" t="str">
        <x:v>Workspace Administrator</x:v>
      </x:c>
      <x:c r="J406" s="23" t="n">
        <x:v>46534</x:v>
      </x:c>
      <x:c r="K406" s="35" t="str">
        <x:v>valid non-default; boundary/format value; blank/null when optional; invalid value when constrained</x:v>
      </x:c>
      <x:c r="L406" s="35" t="str">
        <x:v>Save succeeds; reload shows the exact normalized value; other client reads it where supported; edit persists; validation rejects invalid input without partial mutation.</x:v>
      </x:c>
    </x:row>
    <x:row r="407">
      <x:c r="A407" s="20" t="str">
        <x:v>FLD-0404</x:v>
      </x:c>
      <x:c r="B407" s="20" t="str">
        <x:v>Web</x:v>
      </x:c>
      <x:c r="C407" s="35" t="str">
        <x:v>/banking</x:v>
      </x:c>
      <x:c r="D407" s="35" t="str">
        <x:v>web/src/routes/(protected)/banking/+page.svelte</x:v>
      </x:c>
      <x:c r="E407" s="32" t="n">
        <x:v>576</x:v>
      </x:c>
      <x:c r="F407" s="20" t="str">
        <x:v>single</x:v>
      </x:c>
      <x:c r="G407" s="35" t="str">
        <x:v>statusValue</x:v>
      </x:c>
      <x:c r="H407" s="35" t="str"/>
      <x:c r="I407" s="20" t="str">
        <x:v>Property Manager</x:v>
      </x:c>
      <x:c r="J407" s="23" t="n">
        <x:v>46534</x:v>
      </x:c>
      <x:c r="K407" s="35" t="str">
        <x:v>valid non-default; boundary/format value; blank/null when optional; invalid value when constrained</x:v>
      </x:c>
      <x:c r="L407" s="35" t="str">
        <x:v>Save succeeds; reload shows the exact normalized value; other client reads it where supported; edit persists; validation rejects invalid input without partial mutation.</x:v>
      </x:c>
    </x:row>
    <x:row r="408">
      <x:c r="A408" s="20" t="str">
        <x:v>FLD-0405</x:v>
      </x:c>
      <x:c r="B408" s="20" t="str">
        <x:v>Web</x:v>
      </x:c>
      <x:c r="C408" s="35" t="str">
        <x:v>/banking</x:v>
      </x:c>
      <x:c r="D408" s="35" t="str">
        <x:v>web/src/routes/(protected)/banking/+page.svelte</x:v>
      </x:c>
      <x:c r="E408" s="32" t="n">
        <x:v>577</x:v>
      </x:c>
      <x:c r="F408" s="20" t="str">
        <x:v>select</x:v>
      </x:c>
      <x:c r="G408" s="35" t="str">
        <x:v>banking-status-filter</x:v>
      </x:c>
      <x:c r="H408" s="35" t="str"/>
      <x:c r="I408" s="20" t="str">
        <x:v>Property Manager</x:v>
      </x:c>
      <x:c r="J408" s="23" t="n">
        <x:v>46534</x:v>
      </x:c>
      <x:c r="K408" s="35" t="str">
        <x:v>valid non-default; boundary/format value; blank/null when optional; invalid value when constrained</x:v>
      </x:c>
      <x:c r="L408" s="35" t="str">
        <x:v>Save succeeds; reload shows the exact normalized value; other client reads it where supported; edit persists; validation rejects invalid input without partial mutation.</x:v>
      </x:c>
    </x:row>
    <x:row r="409">
      <x:c r="A409" s="20" t="str">
        <x:v>FLD-0406</x:v>
      </x:c>
      <x:c r="B409" s="20" t="str">
        <x:v>Web</x:v>
      </x:c>
      <x:c r="C409" s="35" t="str">
        <x:v>/banking</x:v>
      </x:c>
      <x:c r="D409" s="35" t="str">
        <x:v>web/src/routes/(protected)/banking/+page.svelte</x:v>
      </x:c>
      <x:c r="E409" s="32" t="n">
        <x:v>580</x:v>
      </x:c>
      <x:c r="F409" s="20" t="str">
        <x:v>select</x:v>
      </x:c>
      <x:c r="G409" s="35" t="str">
        <x:v>Select-3</x:v>
      </x:c>
      <x:c r="H409" s="35" t="str"/>
      <x:c r="I409" s="20" t="str">
        <x:v>Property Manager</x:v>
      </x:c>
      <x:c r="J409" s="23" t="n">
        <x:v>46534</x:v>
      </x:c>
      <x:c r="K409" s="35" t="str">
        <x:v>valid non-default; boundary/format value; blank/null when optional; invalid value when constrained</x:v>
      </x:c>
      <x:c r="L409" s="35" t="str">
        <x:v>Save succeeds; reload shows the exact normalized value; other client reads it where supported; edit persists; validation rejects invalid input without partial mutation.</x:v>
      </x:c>
    </x:row>
    <x:row r="410">
      <x:c r="A410" s="20" t="str">
        <x:v>FLD-0407</x:v>
      </x:c>
      <x:c r="B410" s="20" t="str">
        <x:v>Web</x:v>
      </x:c>
      <x:c r="C410" s="35" t="str">
        <x:v>/banking</x:v>
      </x:c>
      <x:c r="D410" s="35" t="str">
        <x:v>web/src/routes/(protected)/banking/+page.svelte</x:v>
      </x:c>
      <x:c r="E410" s="32" t="n">
        <x:v>582</x:v>
      </x:c>
      <x:c r="F410" s="20" t="str">
        <x:v>select</x:v>
      </x:c>
      <x:c r="G410" s="35" t="str">
        <x:v>Select-4</x:v>
      </x:c>
      <x:c r="H410" s="35" t="str"/>
      <x:c r="I410" s="20" t="str">
        <x:v>Property Manager</x:v>
      </x:c>
      <x:c r="J410" s="23" t="n">
        <x:v>46534</x:v>
      </x:c>
      <x:c r="K410" s="35" t="str">
        <x:v>valid non-default; boundary/format value; blank/null when optional; invalid value when constrained</x:v>
      </x:c>
      <x:c r="L410" s="35" t="str">
        <x:v>Save succeeds; reload shows the exact normalized value; other client reads it where supported; edit persists; validation rejects invalid input without partial mutation.</x:v>
      </x:c>
    </x:row>
    <x:row r="411">
      <x:c r="A411" s="20" t="str">
        <x:v>FLD-0408</x:v>
      </x:c>
      <x:c r="B411" s="20" t="str">
        <x:v>Web</x:v>
      </x:c>
      <x:c r="C411" s="35" t="str">
        <x:v>/banking</x:v>
      </x:c>
      <x:c r="D411" s="35" t="str">
        <x:v>web/src/routes/(protected)/banking/+page.svelte</x:v>
      </x:c>
      <x:c r="E411" s="32" t="n">
        <x:v>624</x:v>
      </x:c>
      <x:c r="F411" s="20" t="str">
        <x:v>single</x:v>
      </x:c>
      <x:c r="G411" s="35" t="str">
        <x:v>Select-5</x:v>
      </x:c>
      <x:c r="H411" s="35" t="str"/>
      <x:c r="I411" s="20" t="str">
        <x:v>Property Manager</x:v>
      </x:c>
      <x:c r="J411" s="23" t="n">
        <x:v>46535</x:v>
      </x:c>
      <x:c r="K411" s="35" t="str">
        <x:v>valid non-default; boundary/format value; blank/null when optional; invalid value when constrained</x:v>
      </x:c>
      <x:c r="L411" s="35" t="str">
        <x:v>Save succeeds; reload shows the exact normalized value; other client reads it where supported; edit persists; validation rejects invalid input without partial mutation.</x:v>
      </x:c>
    </x:row>
    <x:row r="412">
      <x:c r="A412" s="20" t="str">
        <x:v>FLD-0409</x:v>
      </x:c>
      <x:c r="B412" s="20" t="str">
        <x:v>Web</x:v>
      </x:c>
      <x:c r="C412" s="35" t="str">
        <x:v>/banking</x:v>
      </x:c>
      <x:c r="D412" s="35" t="str">
        <x:v>web/src/routes/(protected)/banking/+page.svelte</x:v>
      </x:c>
      <x:c r="E412" s="32" t="n">
        <x:v>635</x:v>
      </x:c>
      <x:c r="F412" s="20" t="str">
        <x:v>select</x:v>
      </x:c>
      <x:c r="G412" s="35" t="str">
        <x:v>bank-transaction-route-{transaction.id}</x:v>
      </x:c>
      <x:c r="H412" s="35" t="str"/>
      <x:c r="I412" s="20" t="str">
        <x:v>Property Manager</x:v>
      </x:c>
      <x:c r="J412" s="23" t="n">
        <x:v>46535</x:v>
      </x:c>
      <x:c r="K412" s="35" t="str">
        <x:v>valid non-default; boundary/format value; blank/null when optional; invalid value when constrained</x:v>
      </x:c>
      <x:c r="L412" s="35" t="str">
        <x:v>Save succeeds; reload shows the exact normalized value; other client reads it where supported; edit persists; validation rejects invalid input without partial mutation.</x:v>
      </x:c>
    </x:row>
    <x:row r="413">
      <x:c r="A413" s="20" t="str">
        <x:v>FLD-0410</x:v>
      </x:c>
      <x:c r="B413" s="20" t="str">
        <x:v>Web</x:v>
      </x:c>
      <x:c r="C413" s="35" t="str">
        <x:v>/banking</x:v>
      </x:c>
      <x:c r="D413" s="35" t="str">
        <x:v>web/src/routes/(protected)/banking/+page.svelte</x:v>
      </x:c>
      <x:c r="E413" s="32" t="n">
        <x:v>638</x:v>
      </x:c>
      <x:c r="F413" s="20" t="str">
        <x:v>select</x:v>
      </x:c>
      <x:c r="G413" s="35" t="str">
        <x:v>Select-7</x:v>
      </x:c>
      <x:c r="H413" s="35" t="str"/>
      <x:c r="I413" s="20" t="str">
        <x:v>Property Manager</x:v>
      </x:c>
      <x:c r="J413" s="23" t="n">
        <x:v>46535</x:v>
      </x:c>
      <x:c r="K413" s="35" t="str">
        <x:v>valid non-default; boundary/format value; blank/null when optional; invalid value when constrained</x:v>
      </x:c>
      <x:c r="L413" s="35" t="str">
        <x:v>Save succeeds; reload shows the exact normalized value; other client reads it where supported; edit persists; validation rejects invalid input without partial mutation.</x:v>
      </x:c>
    </x:row>
    <x:row r="414">
      <x:c r="A414" s="20" t="str">
        <x:v>FLD-0411</x:v>
      </x:c>
      <x:c r="B414" s="20" t="str">
        <x:v>Web</x:v>
      </x:c>
      <x:c r="C414" s="35" t="str">
        <x:v>/banking</x:v>
      </x:c>
      <x:c r="D414" s="35" t="str">
        <x:v>web/src/routes/(protected)/banking/+page.svelte</x:v>
      </x:c>
      <x:c r="E414" s="32" t="n">
        <x:v>639</x:v>
      </x:c>
      <x:c r="F414" s="20" t="str">
        <x:v>select</x:v>
      </x:c>
      <x:c r="G414" s="35" t="str">
        <x:v>Select-8</x:v>
      </x:c>
      <x:c r="H414" s="35" t="str"/>
      <x:c r="I414" s="20" t="str">
        <x:v>Property Manager</x:v>
      </x:c>
      <x:c r="J414" s="23" t="n">
        <x:v>46535</x:v>
      </x:c>
      <x:c r="K414" s="35" t="str">
        <x:v>valid non-default; boundary/format value; blank/null when optional; invalid value when constrained</x:v>
      </x:c>
      <x:c r="L414" s="35" t="str">
        <x:v>Save succeeds; reload shows the exact normalized value; other client reads it where supported; edit persists; validation rejects invalid input without partial mutation.</x:v>
      </x:c>
    </x:row>
    <x:row r="415">
      <x:c r="A415" s="20" t="str">
        <x:v>FLD-0412</x:v>
      </x:c>
      <x:c r="B415" s="20" t="str">
        <x:v>Web</x:v>
      </x:c>
      <x:c r="C415" s="35" t="str">
        <x:v>/banking</x:v>
      </x:c>
      <x:c r="D415" s="35" t="str">
        <x:v>web/src/routes/(protected)/banking/+page.svelte</x:v>
      </x:c>
      <x:c r="E415" s="32" t="n">
        <x:v>641</x:v>
      </x:c>
      <x:c r="F415" s="20" t="str">
        <x:v>select</x:v>
      </x:c>
      <x:c r="G415" s="35" t="str">
        <x:v>Select-9</x:v>
      </x:c>
      <x:c r="H415" s="35" t="str"/>
      <x:c r="I415" s="20" t="str">
        <x:v>Property Manager</x:v>
      </x:c>
      <x:c r="J415" s="23" t="n">
        <x:v>46538</x:v>
      </x:c>
      <x:c r="K415" s="35" t="str">
        <x:v>valid non-default; boundary/format value; blank/null when optional; invalid value when constrained</x:v>
      </x:c>
      <x:c r="L415" s="35" t="str">
        <x:v>Save succeeds; reload shows the exact normalized value; other client reads it where supported; edit persists; validation rejects invalid input without partial mutation.</x:v>
      </x:c>
    </x:row>
    <x:row r="416">
      <x:c r="A416" s="20" t="str">
        <x:v>FLD-0413</x:v>
      </x:c>
      <x:c r="B416" s="20" t="str">
        <x:v>Web</x:v>
      </x:c>
      <x:c r="C416" s="35" t="str">
        <x:v>/banking</x:v>
      </x:c>
      <x:c r="D416" s="35" t="str">
        <x:v>web/src/routes/(protected)/banking/+page.svelte</x:v>
      </x:c>
      <x:c r="E416" s="32" t="n">
        <x:v>813</x:v>
      </x:c>
      <x:c r="F416" s="20" t="str">
        <x:v>input</x:v>
      </x:c>
      <x:c r="G416" s="35" t="str">
        <x:v>exchangePublicToken</x:v>
      </x:c>
      <x:c r="H416" s="35" t="str">
        <x:v>public-sandbox-token</x:v>
      </x:c>
      <x:c r="I416" s="20" t="str">
        <x:v>Property Manager</x:v>
      </x:c>
      <x:c r="J416" s="23" t="n">
        <x:v>46538</x:v>
      </x:c>
      <x:c r="K416" s="35" t="str">
        <x:v>valid non-default; boundary/format value; blank/null when optional; invalid value when constrained</x:v>
      </x:c>
      <x:c r="L416" s="35" t="str">
        <x:v>Save succeeds; reload shows the exact normalized value; other client reads it where supported; edit persists; validation rejects invalid input without partial mutation.</x:v>
      </x:c>
    </x:row>
    <x:row r="417">
      <x:c r="A417" s="20" t="str">
        <x:v>FLD-0414</x:v>
      </x:c>
      <x:c r="B417" s="20" t="str">
        <x:v>Web</x:v>
      </x:c>
      <x:c r="C417" s="35" t="str">
        <x:v>/banking</x:v>
      </x:c>
      <x:c r="D417" s="35" t="str">
        <x:v>web/src/routes/(protected)/banking/+page.svelte</x:v>
      </x:c>
      <x:c r="E417" s="32" t="n">
        <x:v>814</x:v>
      </x:c>
      <x:c r="F417" s="20" t="str">
        <x:v>input</x:v>
      </x:c>
      <x:c r="G417" s="35" t="str">
        <x:v>exchangeAccountId</x:v>
      </x:c>
      <x:c r="H417" s="35" t="str">
        <x:v>Plaid account id</x:v>
      </x:c>
      <x:c r="I417" s="20" t="str">
        <x:v>Property Manager</x:v>
      </x:c>
      <x:c r="J417" s="23" t="n">
        <x:v>46538</x:v>
      </x:c>
      <x:c r="K417" s="35" t="str">
        <x:v>valid non-default; boundary/format value; blank/null when optional; invalid value when constrained</x:v>
      </x:c>
      <x:c r="L417" s="35" t="str">
        <x:v>Save succeeds; reload shows the exact normalized value; other client reads it where supported; edit persists; validation rejects invalid input without partial mutation.</x:v>
      </x:c>
    </x:row>
    <x:row r="418">
      <x:c r="A418" s="20" t="str">
        <x:v>FLD-0415</x:v>
      </x:c>
      <x:c r="B418" s="20" t="str">
        <x:v>Web</x:v>
      </x:c>
      <x:c r="C418" s="35" t="str">
        <x:v>/banking</x:v>
      </x:c>
      <x:c r="D418" s="35" t="str">
        <x:v>web/src/routes/(protected)/banking/+page.svelte</x:v>
      </x:c>
      <x:c r="E418" s="32" t="n">
        <x:v>815</x:v>
      </x:c>
      <x:c r="F418" s="20" t="str">
        <x:v>input</x:v>
      </x:c>
      <x:c r="G418" s="35" t="str">
        <x:v>exchangeInstitutionName</x:v>
      </x:c>
      <x:c r="H418" s="35" t="str">
        <x:v>Institution name</x:v>
      </x:c>
      <x:c r="I418" s="20" t="str">
        <x:v>Property Manager</x:v>
      </x:c>
      <x:c r="J418" s="23" t="n">
        <x:v>46538</x:v>
      </x:c>
      <x:c r="K418" s="35" t="str">
        <x:v>valid non-default; boundary/format value; blank/null when optional; invalid value when constrained</x:v>
      </x:c>
      <x:c r="L418" s="35" t="str">
        <x:v>Save succeeds; reload shows the exact normalized value; other client reads it where supported; edit persists; validation rejects invalid input without partial mutation.</x:v>
      </x:c>
    </x:row>
    <x:row r="419">
      <x:c r="A419" s="20" t="str">
        <x:v>FLD-0416</x:v>
      </x:c>
      <x:c r="B419" s="20" t="str">
        <x:v>Web</x:v>
      </x:c>
      <x:c r="C419" s="35" t="str">
        <x:v>/banking</x:v>
      </x:c>
      <x:c r="D419" s="35" t="str">
        <x:v>web/src/routes/(protected)/banking/+page.svelte</x:v>
      </x:c>
      <x:c r="E419" s="32" t="n">
        <x:v>816</x:v>
      </x:c>
      <x:c r="F419" s="20" t="str">
        <x:v>input</x:v>
      </x:c>
      <x:c r="G419" s="35" t="str">
        <x:v>exchangeAccountName</x:v>
      </x:c>
      <x:c r="H419" s="35" t="str">
        <x:v>Account name</x:v>
      </x:c>
      <x:c r="I419" s="20" t="str">
        <x:v>Property Manager</x:v>
      </x:c>
      <x:c r="J419" s="23" t="n">
        <x:v>46538</x:v>
      </x:c>
      <x:c r="K419" s="35" t="str">
        <x:v>valid non-default; boundary/format value; blank/null when optional; invalid value when constrained</x:v>
      </x:c>
      <x:c r="L419" s="35" t="str">
        <x:v>Save succeeds; reload shows the exact normalized value; other client reads it where supported; edit persists; validation rejects invalid input without partial mutation.</x:v>
      </x:c>
    </x:row>
    <x:row r="420">
      <x:c r="A420" s="20" t="str">
        <x:v>FLD-0417</x:v>
      </x:c>
      <x:c r="B420" s="20" t="str">
        <x:v>Web</x:v>
      </x:c>
      <x:c r="C420" s="35" t="str">
        <x:v>/banking</x:v>
      </x:c>
      <x:c r="D420" s="35" t="str">
        <x:v>web/src/routes/(protected)/banking/+page.svelte</x:v>
      </x:c>
      <x:c r="E420" s="32" t="n">
        <x:v>817</x:v>
      </x:c>
      <x:c r="F420" s="20" t="str">
        <x:v>input</x:v>
      </x:c>
      <x:c r="G420" s="35" t="str">
        <x:v>exchangeAccountMask</x:v>
      </x:c>
      <x:c r="H420" s="35" t="str">
        <x:v>Mask</x:v>
      </x:c>
      <x:c r="I420" s="20" t="str">
        <x:v>Property Manager</x:v>
      </x:c>
      <x:c r="J420" s="23" t="n">
        <x:v>46539</x:v>
      </x:c>
      <x:c r="K420" s="35" t="str">
        <x:v>valid non-default; boundary/format value; blank/null when optional; invalid value when constrained</x:v>
      </x:c>
      <x:c r="L420" s="35" t="str">
        <x:v>Save succeeds; reload shows the exact normalized value; other client reads it where supported; edit persists; validation rejects invalid input without partial mutation.</x:v>
      </x:c>
    </x:row>
    <x:row r="421">
      <x:c r="A421" s="20" t="str">
        <x:v>FLD-0418</x:v>
      </x:c>
      <x:c r="B421" s="20" t="str">
        <x:v>Web</x:v>
      </x:c>
      <x:c r="C421" s="35" t="str">
        <x:v>/banking</x:v>
      </x:c>
      <x:c r="D421" s="35" t="str">
        <x:v>web/src/routes/(protected)/banking/+page.svelte</x:v>
      </x:c>
      <x:c r="E421" s="32" t="n">
        <x:v>834</x:v>
      </x:c>
      <x:c r="F421" s="20" t="str">
        <x:v>textarea</x:v>
      </x:c>
      <x:c r="G421" s="35" t="str">
        <x:v>banking-import-json</x:v>
      </x:c>
      <x:c r="H421" s="35" t="str"/>
      <x:c r="I421" s="20" t="str">
        <x:v>Property Manager</x:v>
      </x:c>
      <x:c r="J421" s="23" t="n">
        <x:v>46539</x:v>
      </x:c>
      <x:c r="K421" s="35" t="str">
        <x:v>valid non-default; boundary/format value; blank/null when optional; invalid value when constrained</x:v>
      </x:c>
      <x:c r="L421" s="35" t="str">
        <x:v>Save succeeds; reload shows the exact normalized value; other client reads it where supported; edit persists; validation rejects invalid input without partial mutation.</x:v>
      </x:c>
    </x:row>
    <x:row r="422">
      <x:c r="A422" s="20" t="str">
        <x:v>FLD-0419</x:v>
      </x:c>
      <x:c r="B422" s="20" t="str">
        <x:v>Web</x:v>
      </x:c>
      <x:c r="C422" s="35" t="str">
        <x:v>/deposits</x:v>
      </x:c>
      <x:c r="D422" s="35" t="str">
        <x:v>web/src/routes/(protected)/deposits/+page.svelte</x:v>
      </x:c>
      <x:c r="E422" s="32" t="n">
        <x:v>203</x:v>
      </x:c>
      <x:c r="F422" s="20" t="str">
        <x:v>single</x:v>
      </x:c>
      <x:c r="G422" s="35" t="str">
        <x:v>statusFilter</x:v>
      </x:c>
      <x:c r="H422" s="35" t="str"/>
      <x:c r="I422" s="20" t="str">
        <x:v>Property Manager</x:v>
      </x:c>
      <x:c r="J422" s="23" t="n">
        <x:v>46539</x:v>
      </x:c>
      <x:c r="K422" s="35" t="str">
        <x:v>valid non-default; boundary/format value; blank/null when optional; invalid value when constrained</x:v>
      </x:c>
      <x:c r="L422" s="35" t="str">
        <x:v>Save succeeds; reload shows the exact normalized value; other client reads it where supported; edit persists; validation rejects invalid input without partial mutation.</x:v>
      </x:c>
    </x:row>
    <x:row r="423">
      <x:c r="A423" s="20" t="str">
        <x:v>FLD-0420</x:v>
      </x:c>
      <x:c r="B423" s="20" t="str">
        <x:v>Web</x:v>
      </x:c>
      <x:c r="C423" s="35" t="str">
        <x:v>/deposits</x:v>
      </x:c>
      <x:c r="D423" s="35" t="str">
        <x:v>web/src/routes/(protected)/deposits/+page.svelte</x:v>
      </x:c>
      <x:c r="E423" s="32" t="n">
        <x:v>204</x:v>
      </x:c>
      <x:c r="F423" s="20" t="str">
        <x:v>select</x:v>
      </x:c>
      <x:c r="G423" s="35" t="str">
        <x:v>deposit-status-filter</x:v>
      </x:c>
      <x:c r="H423" s="35" t="str"/>
      <x:c r="I423" s="20" t="str">
        <x:v>Property Manager</x:v>
      </x:c>
      <x:c r="J423" s="23" t="n">
        <x:v>46539</x:v>
      </x:c>
      <x:c r="K423" s="35" t="str">
        <x:v>valid non-default; boundary/format value; blank/null when optional; invalid value when constrained</x:v>
      </x:c>
      <x:c r="L423" s="35" t="str">
        <x:v>Save succeeds; reload shows the exact normalized value; other client reads it where supported; edit persists; validation rejects invalid input without partial mutation.</x:v>
      </x:c>
    </x:row>
    <x:row r="424">
      <x:c r="A424" s="20" t="str">
        <x:v>FLD-0421</x:v>
      </x:c>
      <x:c r="B424" s="20" t="str">
        <x:v>Web</x:v>
      </x:c>
      <x:c r="C424" s="35" t="str">
        <x:v>/deposits</x:v>
      </x:c>
      <x:c r="D424" s="35" t="str">
        <x:v>web/src/routes/(protected)/deposits/+page.svelte</x:v>
      </x:c>
      <x:c r="E424" s="32" t="n">
        <x:v>207</x:v>
      </x:c>
      <x:c r="F424" s="20" t="str">
        <x:v>select</x:v>
      </x:c>
      <x:c r="G424" s="35" t="str">
        <x:v>Select-3</x:v>
      </x:c>
      <x:c r="H424" s="35" t="str"/>
      <x:c r="I424" s="20" t="str">
        <x:v>Property Manager</x:v>
      </x:c>
      <x:c r="J424" s="23" t="n">
        <x:v>46540</x:v>
      </x:c>
      <x:c r="K424" s="35" t="str">
        <x:v>valid non-default; boundary/format value; blank/null when optional; invalid value when constrained</x:v>
      </x:c>
      <x:c r="L424" s="35" t="str">
        <x:v>Save succeeds; reload shows the exact normalized value; other client reads it where supported; edit persists; validation rejects invalid input without partial mutation.</x:v>
      </x:c>
    </x:row>
    <x:row r="425">
      <x:c r="A425" s="20" t="str">
        <x:v>FLD-0422</x:v>
      </x:c>
      <x:c r="B425" s="20" t="str">
        <x:v>Web</x:v>
      </x:c>
      <x:c r="C425" s="35" t="str">
        <x:v>/deposits</x:v>
      </x:c>
      <x:c r="D425" s="35" t="str">
        <x:v>web/src/routes/(protected)/deposits/+page.svelte</x:v>
      </x:c>
      <x:c r="E425" s="32" t="n">
        <x:v>208</x:v>
      </x:c>
      <x:c r="F425" s="20" t="str">
        <x:v>select</x:v>
      </x:c>
      <x:c r="G425" s="35" t="str">
        <x:v>Select-4</x:v>
      </x:c>
      <x:c r="H425" s="35" t="str"/>
      <x:c r="I425" s="20" t="str">
        <x:v>Property Manager</x:v>
      </x:c>
      <x:c r="J425" s="23" t="n">
        <x:v>46540</x:v>
      </x:c>
      <x:c r="K425" s="35" t="str">
        <x:v>valid non-default; boundary/format value; blank/null when optional; invalid value when constrained</x:v>
      </x:c>
      <x:c r="L425" s="35" t="str">
        <x:v>Save succeeds; reload shows the exact normalized value; other client reads it where supported; edit persists; validation rejects invalid input without partial mutation.</x:v>
      </x:c>
    </x:row>
    <x:row r="426">
      <x:c r="A426" s="20" t="str">
        <x:v>FLD-0423</x:v>
      </x:c>
      <x:c r="B426" s="20" t="str">
        <x:v>Web</x:v>
      </x:c>
      <x:c r="C426" s="35" t="str">
        <x:v>/deposits</x:v>
      </x:c>
      <x:c r="D426" s="35" t="str">
        <x:v>web/src/routes/(protected)/deposits/+page.svelte</x:v>
      </x:c>
      <x:c r="E426" s="32" t="n">
        <x:v>209</x:v>
      </x:c>
      <x:c r="F426" s="20" t="str">
        <x:v>select</x:v>
      </x:c>
      <x:c r="G426" s="35" t="str">
        <x:v>Select-5</x:v>
      </x:c>
      <x:c r="H426" s="35" t="str"/>
      <x:c r="I426" s="20" t="str">
        <x:v>Property Manager</x:v>
      </x:c>
      <x:c r="J426" s="23" t="n">
        <x:v>46540</x:v>
      </x:c>
      <x:c r="K426" s="35" t="str">
        <x:v>valid non-default; boundary/format value; blank/null when optional; invalid value when constrained</x:v>
      </x:c>
      <x:c r="L426" s="35" t="str">
        <x:v>Save succeeds; reload shows the exact normalized value; other client reads it where supported; edit persists; validation rejects invalid input without partial mutation.</x:v>
      </x:c>
    </x:row>
    <x:row r="427">
      <x:c r="A427" s="20" t="str">
        <x:v>FLD-0424</x:v>
      </x:c>
      <x:c r="B427" s="20" t="str">
        <x:v>Web</x:v>
      </x:c>
      <x:c r="C427" s="35" t="str">
        <x:v>/deposits</x:v>
      </x:c>
      <x:c r="D427" s="35" t="str">
        <x:v>web/src/routes/(protected)/deposits/+page.svelte</x:v>
      </x:c>
      <x:c r="E427" s="32" t="n">
        <x:v>210</x:v>
      </x:c>
      <x:c r="F427" s="20" t="str">
        <x:v>select</x:v>
      </x:c>
      <x:c r="G427" s="35" t="str">
        <x:v>Select-6</x:v>
      </x:c>
      <x:c r="H427" s="35" t="str"/>
      <x:c r="I427" s="20" t="str">
        <x:v>Property Manager</x:v>
      </x:c>
      <x:c r="J427" s="23" t="n">
        <x:v>46540</x:v>
      </x:c>
      <x:c r="K427" s="35" t="str">
        <x:v>valid non-default; boundary/format value; blank/null when optional; invalid value when constrained</x:v>
      </x:c>
      <x:c r="L427" s="35" t="str">
        <x:v>Save succeeds; reload shows the exact normalized value; other client reads it where supported; edit persists; validation rejects invalid input without partial mutation.</x:v>
      </x:c>
    </x:row>
    <x:row r="428">
      <x:c r="A428" s="20" t="str">
        <x:v>FLD-0425</x:v>
      </x:c>
      <x:c r="B428" s="20" t="str">
        <x:v>Web</x:v>
      </x:c>
      <x:c r="C428" s="35" t="str">
        <x:v>/deposits</x:v>
      </x:c>
      <x:c r="D428" s="35" t="str">
        <x:v>web/src/routes/(protected)/deposits/+page.svelte</x:v>
      </x:c>
      <x:c r="E428" s="32" t="n">
        <x:v>211</x:v>
      </x:c>
      <x:c r="F428" s="20" t="str">
        <x:v>select</x:v>
      </x:c>
      <x:c r="G428" s="35" t="str">
        <x:v>Select-7</x:v>
      </x:c>
      <x:c r="H428" s="35" t="str"/>
      <x:c r="I428" s="20" t="str">
        <x:v>Property Manager</x:v>
      </x:c>
      <x:c r="J428" s="23" t="n">
        <x:v>46541</x:v>
      </x:c>
      <x:c r="K428" s="35" t="str">
        <x:v>valid non-default; boundary/format value; blank/null when optional; invalid value when constrained</x:v>
      </x:c>
      <x:c r="L428" s="35" t="str">
        <x:v>Save succeeds; reload shows the exact normalized value; other client reads it where supported; edit persists; validation rejects invalid input without partial mutation.</x:v>
      </x:c>
    </x:row>
    <x:row r="429">
      <x:c r="A429" s="20" t="str">
        <x:v>FLD-0426</x:v>
      </x:c>
      <x:c r="B429" s="20" t="str">
        <x:v>Web</x:v>
      </x:c>
      <x:c r="C429" s="35" t="str">
        <x:v>/deposits</x:v>
      </x:c>
      <x:c r="D429" s="35" t="str">
        <x:v>web/src/routes/(protected)/deposits/+page.svelte</x:v>
      </x:c>
      <x:c r="E429" s="32" t="n">
        <x:v>212</x:v>
      </x:c>
      <x:c r="F429" s="20" t="str">
        <x:v>select</x:v>
      </x:c>
      <x:c r="G429" s="35" t="str">
        <x:v>Select-8</x:v>
      </x:c>
      <x:c r="H429" s="35" t="str"/>
      <x:c r="I429" s="20" t="str">
        <x:v>Property Manager</x:v>
      </x:c>
      <x:c r="J429" s="23" t="n">
        <x:v>46541</x:v>
      </x:c>
      <x:c r="K429" s="35" t="str">
        <x:v>valid non-default; boundary/format value; blank/null when optional; invalid value when constrained</x:v>
      </x:c>
      <x:c r="L429" s="35" t="str">
        <x:v>Save succeeds; reload shows the exact normalized value; other client reads it where supported; edit persists; validation rejects invalid input without partial mutation.</x:v>
      </x:c>
    </x:row>
    <x:row r="430">
      <x:c r="A430" s="20" t="str">
        <x:v>FLD-0427</x:v>
      </x:c>
      <x:c r="B430" s="20" t="str">
        <x:v>Web</x:v>
      </x:c>
      <x:c r="C430" s="35" t="str">
        <x:v>/deposits</x:v>
      </x:c>
      <x:c r="D430" s="35" t="str">
        <x:v>web/src/routes/(protected)/deposits/+page.svelte</x:v>
      </x:c>
      <x:c r="E430" s="32" t="n">
        <x:v>213</x:v>
      </x:c>
      <x:c r="F430" s="20" t="str">
        <x:v>select</x:v>
      </x:c>
      <x:c r="G430" s="35" t="str">
        <x:v>Select-9</x:v>
      </x:c>
      <x:c r="H430" s="35" t="str"/>
      <x:c r="I430" s="20" t="str">
        <x:v>Property Manager</x:v>
      </x:c>
      <x:c r="J430" s="23" t="n">
        <x:v>46541</x:v>
      </x:c>
      <x:c r="K430" s="35" t="str">
        <x:v>valid non-default; boundary/format value; blank/null when optional; invalid value when constrained</x:v>
      </x:c>
      <x:c r="L430" s="35" t="str">
        <x:v>Save succeeds; reload shows the exact normalized value; other client reads it where supported; edit persists; validation rejects invalid input without partial mutation.</x:v>
      </x:c>
    </x:row>
    <x:row r="431">
      <x:c r="A431" s="20" t="str">
        <x:v>FLD-0428</x:v>
      </x:c>
      <x:c r="B431" s="20" t="str">
        <x:v>Web</x:v>
      </x:c>
      <x:c r="C431" s="35" t="str">
        <x:v>/deposits/[id]</x:v>
      </x:c>
      <x:c r="D431" s="35" t="str">
        <x:v>web/src/routes/(protected)/deposits/[id]/+page.svelte</x:v>
      </x:c>
      <x:c r="E431" s="32" t="n">
        <x:v>345</x:v>
      </x:c>
      <x:c r="F431" s="20" t="str">
        <x:v>file</x:v>
      </x:c>
      <x:c r="G431" s="35" t="str">
        <x:v>input-1</x:v>
      </x:c>
      <x:c r="H431" s="35" t="str"/>
      <x:c r="I431" s="20" t="str">
        <x:v>Property Manager</x:v>
      </x:c>
      <x:c r="J431" s="23" t="n">
        <x:v>46541</x:v>
      </x:c>
      <x:c r="K431" s="35" t="str">
        <x:v>valid non-default; boundary/format value; blank/null when optional; invalid value when constrained</x:v>
      </x:c>
      <x:c r="L431" s="35" t="str">
        <x:v>Save succeeds; reload shows the exact normalized value; other client reads it where supported; edit persists; validation rejects invalid input without partial mutation.</x:v>
      </x:c>
    </x:row>
    <x:row r="432">
      <x:c r="A432" s="20" t="str">
        <x:v>FLD-0429</x:v>
      </x:c>
      <x:c r="B432" s="20" t="str">
        <x:v>Web</x:v>
      </x:c>
      <x:c r="C432" s="35" t="str">
        <x:v>/deposits/[id]</x:v>
      </x:c>
      <x:c r="D432" s="35" t="str">
        <x:v>web/src/routes/(protected)/deposits/[id]/+page.svelte</x:v>
      </x:c>
      <x:c r="E432" s="32" t="n">
        <x:v>360</x:v>
      </x:c>
      <x:c r="F432" s="20" t="str">
        <x:v>input</x:v>
      </x:c>
      <x:c r="G432" s="35" t="str">
        <x:v>fundAmount</x:v>
      </x:c>
      <x:c r="H432" s="35" t="str">
        <x:v>0.00</x:v>
      </x:c>
      <x:c r="I432" s="20" t="str">
        <x:v>Property Manager</x:v>
      </x:c>
      <x:c r="J432" s="23" t="n">
        <x:v>46541</x:v>
      </x:c>
      <x:c r="K432" s="35" t="str">
        <x:v>valid non-default; boundary/format value; blank/null when optional; invalid value when constrained</x:v>
      </x:c>
      <x:c r="L432" s="35" t="str">
        <x:v>Save succeeds; reload shows the exact normalized value; other client reads it where supported; edit persists; validation rejects invalid input without partial mutation.</x:v>
      </x:c>
    </x:row>
    <x:row r="433">
      <x:c r="A433" s="20" t="str">
        <x:v>FLD-0430</x:v>
      </x:c>
      <x:c r="B433" s="20" t="str">
        <x:v>Web</x:v>
      </x:c>
      <x:c r="C433" s="35" t="str">
        <x:v>/deposits/[id]</x:v>
      </x:c>
      <x:c r="D433" s="35" t="str">
        <x:v>web/src/routes/(protected)/deposits/[id]/+page.svelte</x:v>
      </x:c>
      <x:c r="E433" s="32" t="n">
        <x:v>361</x:v>
      </x:c>
      <x:c r="F433" s="20" t="str">
        <x:v>date</x:v>
      </x:c>
      <x:c r="G433" s="35" t="str">
        <x:v>fundEffectiveOn</x:v>
      </x:c>
      <x:c r="H433" s="35" t="str"/>
      <x:c r="I433" s="20" t="str">
        <x:v>Property Manager</x:v>
      </x:c>
      <x:c r="J433" s="23" t="n">
        <x:v>46542</x:v>
      </x:c>
      <x:c r="K433" s="35" t="str">
        <x:v>valid non-default; boundary/format value; blank/null when optional; invalid value when constrained</x:v>
      </x:c>
      <x:c r="L433" s="35" t="str">
        <x:v>Save succeeds; reload shows the exact normalized value; other client reads it where supported; edit persists; validation rejects invalid input without partial mutation.</x:v>
      </x:c>
    </x:row>
    <x:row r="434">
      <x:c r="A434" s="20" t="str">
        <x:v>FLD-0431</x:v>
      </x:c>
      <x:c r="B434" s="20" t="str">
        <x:v>Web</x:v>
      </x:c>
      <x:c r="C434" s="35" t="str">
        <x:v>/deposits/[id]</x:v>
      </x:c>
      <x:c r="D434" s="35" t="str">
        <x:v>web/src/routes/(protected)/deposits/[id]/+page.svelte</x:v>
      </x:c>
      <x:c r="E434" s="32" t="n">
        <x:v>362</x:v>
      </x:c>
      <x:c r="F434" s="20" t="str">
        <x:v>input</x:v>
      </x:c>
      <x:c r="G434" s="35" t="str">
        <x:v>fundPaymentMethod</x:v>
      </x:c>
      <x:c r="H434" s="35" t="str">
        <x:v>Check, cash, ACH…</x:v>
      </x:c>
      <x:c r="I434" s="20" t="str">
        <x:v>Property Manager</x:v>
      </x:c>
      <x:c r="J434" s="23" t="n">
        <x:v>46542</x:v>
      </x:c>
      <x:c r="K434" s="35" t="str">
        <x:v>valid non-default; boundary/format value; blank/null when optional; invalid value when constrained</x:v>
      </x:c>
      <x:c r="L434" s="35" t="str">
        <x:v>Save succeeds; reload shows the exact normalized value; other client reads it where supported; edit persists; validation rejects invalid input without partial mutation.</x:v>
      </x:c>
    </x:row>
    <x:row r="435">
      <x:c r="A435" s="20" t="str">
        <x:v>FLD-0432</x:v>
      </x:c>
      <x:c r="B435" s="20" t="str">
        <x:v>Web</x:v>
      </x:c>
      <x:c r="C435" s="35" t="str">
        <x:v>/deposits/[id]</x:v>
      </x:c>
      <x:c r="D435" s="35" t="str">
        <x:v>web/src/routes/(protected)/deposits/[id]/+page.svelte</x:v>
      </x:c>
      <x:c r="E435" s="32" t="n">
        <x:v>363</x:v>
      </x:c>
      <x:c r="F435" s="20" t="str">
        <x:v>input</x:v>
      </x:c>
      <x:c r="G435" s="35" t="str">
        <x:v>fundDescription</x:v>
      </x:c>
      <x:c r="H435" s="35" t="str"/>
      <x:c r="I435" s="20" t="str">
        <x:v>Property Manager</x:v>
      </x:c>
      <x:c r="J435" s="23" t="n">
        <x:v>46542</x:v>
      </x:c>
      <x:c r="K435" s="35" t="str">
        <x:v>valid non-default; boundary/format value; blank/null when optional; invalid value when constrained</x:v>
      </x:c>
      <x:c r="L435" s="35" t="str">
        <x:v>Save succeeds; reload shows the exact normalized value; other client reads it where supported; edit persists; validation rejects invalid input without partial mutation.</x:v>
      </x:c>
    </x:row>
    <x:row r="436">
      <x:c r="A436" s="20" t="str">
        <x:v>FLD-0433</x:v>
      </x:c>
      <x:c r="B436" s="20" t="str">
        <x:v>Web</x:v>
      </x:c>
      <x:c r="C436" s="35" t="str">
        <x:v>/deposits/[id]</x:v>
      </x:c>
      <x:c r="D436" s="35" t="str">
        <x:v>web/src/routes/(protected)/deposits/[id]/+page.svelte</x:v>
      </x:c>
      <x:c r="E436" s="32" t="n">
        <x:v>364</x:v>
      </x:c>
      <x:c r="F436" s="20" t="str">
        <x:v>input</x:v>
      </x:c>
      <x:c r="G436" s="35" t="str">
        <x:v>fundReference</x:v>
      </x:c>
      <x:c r="H436" s="35" t="str">
        <x:v>Check or confirmation number</x:v>
      </x:c>
      <x:c r="I436" s="20" t="str">
        <x:v>Property Manager</x:v>
      </x:c>
      <x:c r="J436" s="23" t="n">
        <x:v>46542</x:v>
      </x:c>
      <x:c r="K436" s="35" t="str">
        <x:v>valid non-default; boundary/format value; blank/null when optional; invalid value when constrained</x:v>
      </x:c>
      <x:c r="L436" s="35" t="str">
        <x:v>Save succeeds; reload shows the exact normalized value; other client reads it where supported; edit persists; validation rejects invalid input without partial mutation.</x:v>
      </x:c>
    </x:row>
    <x:row r="437">
      <x:c r="A437" s="20" t="str">
        <x:v>FLD-0434</x:v>
      </x:c>
      <x:c r="B437" s="20" t="str">
        <x:v>Web</x:v>
      </x:c>
      <x:c r="C437" s="35" t="str">
        <x:v>/deposits/[id]</x:v>
      </x:c>
      <x:c r="D437" s="35" t="str">
        <x:v>web/src/routes/(protected)/deposits/[id]/+page.svelte</x:v>
      </x:c>
      <x:c r="E437" s="32" t="n">
        <x:v>374</x:v>
      </x:c>
      <x:c r="F437" s="20" t="str">
        <x:v>input</x:v>
      </x:c>
      <x:c r="G437" s="35" t="str">
        <x:v>deductionReason</x:v>
      </x:c>
      <x:c r="H437" s="35" t="str">
        <x:v>Carpet cleaning, broken window…</x:v>
      </x:c>
      <x:c r="I437" s="20" t="str">
        <x:v>Property Manager</x:v>
      </x:c>
      <x:c r="J437" s="23" t="n">
        <x:v>46545</x:v>
      </x:c>
      <x:c r="K437" s="35" t="str">
        <x:v>valid non-default; boundary/format value; blank/null when optional; invalid value when constrained</x:v>
      </x:c>
      <x:c r="L437" s="35" t="str">
        <x:v>Save succeeds; reload shows the exact normalized value; other client reads it where supported; edit persists; validation rejects invalid input without partial mutation.</x:v>
      </x:c>
    </x:row>
    <x:row r="438">
      <x:c r="A438" s="20" t="str">
        <x:v>FLD-0435</x:v>
      </x:c>
      <x:c r="B438" s="20" t="str">
        <x:v>Web</x:v>
      </x:c>
      <x:c r="C438" s="35" t="str">
        <x:v>/deposits/[id]</x:v>
      </x:c>
      <x:c r="D438" s="35" t="str">
        <x:v>web/src/routes/(protected)/deposits/[id]/+page.svelte</x:v>
      </x:c>
      <x:c r="E438" s="32" t="n">
        <x:v>375</x:v>
      </x:c>
      <x:c r="F438" s="20" t="str">
        <x:v>input</x:v>
      </x:c>
      <x:c r="G438" s="35" t="str">
        <x:v>deductionAmount</x:v>
      </x:c>
      <x:c r="H438" s="35" t="str">
        <x:v>0.00</x:v>
      </x:c>
      <x:c r="I438" s="20" t="str">
        <x:v>Property Manager</x:v>
      </x:c>
      <x:c r="J438" s="23" t="n">
        <x:v>46545</x:v>
      </x:c>
      <x:c r="K438" s="35" t="str">
        <x:v>valid non-default; boundary/format value; blank/null when optional; invalid value when constrained</x:v>
      </x:c>
      <x:c r="L438" s="35" t="str">
        <x:v>Save succeeds; reload shows the exact normalized value; other client reads it where supported; edit persists; validation rejects invalid input without partial mutation.</x:v>
      </x:c>
    </x:row>
    <x:row r="439">
      <x:c r="A439" s="20" t="str">
        <x:v>FLD-0436</x:v>
      </x:c>
      <x:c r="B439" s="20" t="str">
        <x:v>Web</x:v>
      </x:c>
      <x:c r="C439" s="35" t="str">
        <x:v>/deposits/[id]</x:v>
      </x:c>
      <x:c r="D439" s="35" t="str">
        <x:v>web/src/routes/(protected)/deposits/[id]/+page.svelte</x:v>
      </x:c>
      <x:c r="E439" s="32" t="n">
        <x:v>376</x:v>
      </x:c>
      <x:c r="F439" s="20" t="str">
        <x:v>date</x:v>
      </x:c>
      <x:c r="G439" s="35" t="str">
        <x:v>deductionEffectiveOn</x:v>
      </x:c>
      <x:c r="H439" s="35" t="str"/>
      <x:c r="I439" s="20" t="str">
        <x:v>Property Manager</x:v>
      </x:c>
      <x:c r="J439" s="23" t="n">
        <x:v>46545</x:v>
      </x:c>
      <x:c r="K439" s="35" t="str">
        <x:v>valid non-default; boundary/format value; blank/null when optional; invalid value when constrained</x:v>
      </x:c>
      <x:c r="L439" s="35" t="str">
        <x:v>Save succeeds; reload shows the exact normalized value; other client reads it where supported; edit persists; validation rejects invalid input without partial mutation.</x:v>
      </x:c>
    </x:row>
    <x:row r="440">
      <x:c r="A440" s="20" t="str">
        <x:v>FLD-0437</x:v>
      </x:c>
      <x:c r="B440" s="20" t="str">
        <x:v>Web</x:v>
      </x:c>
      <x:c r="C440" s="35" t="str">
        <x:v>/deposits/[id]</x:v>
      </x:c>
      <x:c r="D440" s="35" t="str">
        <x:v>web/src/routes/(protected)/deposits/[id]/+page.svelte</x:v>
      </x:c>
      <x:c r="E440" s="32" t="n">
        <x:v>377</x:v>
      </x:c>
      <x:c r="F440" s="20" t="str">
        <x:v>textarea</x:v>
      </x:c>
      <x:c r="G440" s="35" t="str">
        <x:v>deductionNotes</x:v>
      </x:c>
      <x:c r="H440" s="35" t="str"/>
      <x:c r="I440" s="20" t="str">
        <x:v>Property Manager</x:v>
      </x:c>
      <x:c r="J440" s="23" t="n">
        <x:v>46545</x:v>
      </x:c>
      <x:c r="K440" s="35" t="str">
        <x:v>valid non-default; boundary/format value; blank/null when optional; invalid value when constrained</x:v>
      </x:c>
      <x:c r="L440" s="35" t="str">
        <x:v>Save succeeds; reload shows the exact normalized value; other client reads it where supported; edit persists; validation rejects invalid input without partial mutation.</x:v>
      </x:c>
    </x:row>
    <x:row r="441">
      <x:c r="A441" s="20" t="str">
        <x:v>FLD-0438</x:v>
      </x:c>
      <x:c r="B441" s="20" t="str">
        <x:v>Web</x:v>
      </x:c>
      <x:c r="C441" s="35" t="str">
        <x:v>/deposits/[id]</x:v>
      </x:c>
      <x:c r="D441" s="35" t="str">
        <x:v>web/src/routes/(protected)/deposits/[id]/+page.svelte</x:v>
      </x:c>
      <x:c r="E441" s="32" t="n">
        <x:v>387</x:v>
      </x:c>
      <x:c r="F441" s="20" t="str">
        <x:v>input</x:v>
      </x:c>
      <x:c r="G441" s="35" t="str">
        <x:v>refundAmount</x:v>
      </x:c>
      <x:c r="H441" s="35" t="str">
        <x:v>Full held balance</x:v>
      </x:c>
      <x:c r="I441" s="20" t="str">
        <x:v>Property Manager</x:v>
      </x:c>
      <x:c r="J441" s="23" t="n">
        <x:v>46545</x:v>
      </x:c>
      <x:c r="K441" s="35" t="str">
        <x:v>valid non-default; boundary/format value; blank/null when optional; invalid value when constrained</x:v>
      </x:c>
      <x:c r="L441" s="35" t="str">
        <x:v>Save succeeds; reload shows the exact normalized value; other client reads it where supported; edit persists; validation rejects invalid input without partial mutation.</x:v>
      </x:c>
    </x:row>
    <x:row r="442">
      <x:c r="A442" s="20" t="str">
        <x:v>FLD-0439</x:v>
      </x:c>
      <x:c r="B442" s="20" t="str">
        <x:v>Web</x:v>
      </x:c>
      <x:c r="C442" s="35" t="str">
        <x:v>/deposits/[id]</x:v>
      </x:c>
      <x:c r="D442" s="35" t="str">
        <x:v>web/src/routes/(protected)/deposits/[id]/+page.svelte</x:v>
      </x:c>
      <x:c r="E442" s="32" t="n">
        <x:v>388</x:v>
      </x:c>
      <x:c r="F442" s="20" t="str">
        <x:v>date</x:v>
      </x:c>
      <x:c r="G442" s="35" t="str">
        <x:v>refundEffectiveOn</x:v>
      </x:c>
      <x:c r="H442" s="35" t="str"/>
      <x:c r="I442" s="20" t="str">
        <x:v>Property Manager</x:v>
      </x:c>
      <x:c r="J442" s="23" t="n">
        <x:v>46546</x:v>
      </x:c>
      <x:c r="K442" s="35" t="str">
        <x:v>valid non-default; boundary/format value; blank/null when optional; invalid value when constrained</x:v>
      </x:c>
      <x:c r="L442" s="35" t="str">
        <x:v>Save succeeds; reload shows the exact normalized value; other client reads it where supported; edit persists; validation rejects invalid input without partial mutation.</x:v>
      </x:c>
    </x:row>
    <x:row r="443">
      <x:c r="A443" s="20" t="str">
        <x:v>FLD-0440</x:v>
      </x:c>
      <x:c r="B443" s="20" t="str">
        <x:v>Web</x:v>
      </x:c>
      <x:c r="C443" s="35" t="str">
        <x:v>/deposits/[id]</x:v>
      </x:c>
      <x:c r="D443" s="35" t="str">
        <x:v>web/src/routes/(protected)/deposits/[id]/+page.svelte</x:v>
      </x:c>
      <x:c r="E443" s="32" t="n">
        <x:v>389</x:v>
      </x:c>
      <x:c r="F443" s="20" t="str">
        <x:v>input</x:v>
      </x:c>
      <x:c r="G443" s="35" t="str">
        <x:v>refundDescription</x:v>
      </x:c>
      <x:c r="H443" s="35" t="str"/>
      <x:c r="I443" s="20" t="str">
        <x:v>Property Manager</x:v>
      </x:c>
      <x:c r="J443" s="23" t="n">
        <x:v>46546</x:v>
      </x:c>
      <x:c r="K443" s="35" t="str">
        <x:v>valid non-default; boundary/format value; blank/null when optional; invalid value when constrained</x:v>
      </x:c>
      <x:c r="L443" s="35" t="str">
        <x:v>Save succeeds; reload shows the exact normalized value; other client reads it where supported; edit persists; validation rejects invalid input without partial mutation.</x:v>
      </x:c>
    </x:row>
    <x:row r="444">
      <x:c r="A444" s="20" t="str">
        <x:v>FLD-0441</x:v>
      </x:c>
      <x:c r="B444" s="20" t="str">
        <x:v>Web</x:v>
      </x:c>
      <x:c r="C444" s="35" t="str">
        <x:v>/deposits/[id]</x:v>
      </x:c>
      <x:c r="D444" s="35" t="str">
        <x:v>web/src/routes/(protected)/deposits/[id]/+page.svelte</x:v>
      </x:c>
      <x:c r="E444" s="32" t="n">
        <x:v>390</x:v>
      </x:c>
      <x:c r="F444" s="20" t="str">
        <x:v>input</x:v>
      </x:c>
      <x:c r="G444" s="35" t="str">
        <x:v>refundReference</x:v>
      </x:c>
      <x:c r="H444" s="35" t="str">
        <x:v>Check or confirmation number</x:v>
      </x:c>
      <x:c r="I444" s="20" t="str">
        <x:v>Property Manager</x:v>
      </x:c>
      <x:c r="J444" s="23" t="n">
        <x:v>46546</x:v>
      </x:c>
      <x:c r="K444" s="35" t="str">
        <x:v>valid non-default; boundary/format value; blank/null when optional; invalid value when constrained</x:v>
      </x:c>
      <x:c r="L444" s="35" t="str">
        <x:v>Save succeeds; reload shows the exact normalized value; other client reads it where supported; edit persists; validation rejects invalid input without partial mutation.</x:v>
      </x:c>
    </x:row>
    <x:row r="445">
      <x:c r="A445" s="20" t="str">
        <x:v>FLD-0442</x:v>
      </x:c>
      <x:c r="B445" s="20" t="str">
        <x:v>Web</x:v>
      </x:c>
      <x:c r="C445" s="35" t="str">
        <x:v>/get-started</x:v>
      </x:c>
      <x:c r="D445" s="35" t="str">
        <x:v>web/src/routes/(protected)/get-started/+page.svelte</x:v>
      </x:c>
      <x:c r="E445" s="32" t="n">
        <x:v>390</x:v>
      </x:c>
      <x:c r="F445" s="20" t="str">
        <x:v>input</x:v>
      </x:c>
      <x:c r="G445" s="35" t="str">
        <x:v>get-started-confirm-input</x:v>
      </x:c>
      <x:c r="H445" s="35" t="str">
        <x:v>Type to confirm.</x:v>
      </x:c>
      <x:c r="I445" s="20" t="str">
        <x:v>Property Manager</x:v>
      </x:c>
      <x:c r="J445" s="23" t="n">
        <x:v>46546</x:v>
      </x:c>
      <x:c r="K445" s="35" t="str">
        <x:v>valid non-default; boundary/format value; blank/null when optional; invalid value when constrained</x:v>
      </x:c>
      <x:c r="L445" s="35" t="str">
        <x:v>Save succeeds; reload shows the exact normalized value; other client reads it where supported; edit persists; validation rejects invalid input without partial mutation.</x:v>
      </x:c>
    </x:row>
    <x:row r="446">
      <x:c r="A446" s="20" t="str">
        <x:v>FLD-0443</x:v>
      </x:c>
      <x:c r="B446" s="20" t="str">
        <x:v>Web</x:v>
      </x:c>
      <x:c r="C446" s="35" t="str">
        <x:v>/import</x:v>
      </x:c>
      <x:c r="D446" s="35" t="str">
        <x:v>web/src/routes/(protected)/import/+page.svelte</x:v>
      </x:c>
      <x:c r="E446" s="32" t="n">
        <x:v>354</x:v>
      </x:c>
      <x:c r="F446" s="20" t="str">
        <x:v>file</x:v>
      </x:c>
      <x:c r="G446" s="35" t="str">
        <x:v>import-file-input</x:v>
      </x:c>
      <x:c r="H446" s="35" t="str"/>
      <x:c r="I446" s="20" t="str">
        <x:v>Property Manager</x:v>
      </x:c>
      <x:c r="J446" s="23" t="n">
        <x:v>46547</x:v>
      </x:c>
      <x:c r="K446" s="35" t="str">
        <x:v>valid non-default; boundary/format value; blank/null when optional; invalid value when constrained</x:v>
      </x:c>
      <x:c r="L446" s="35" t="str">
        <x:v>Save succeeds; reload shows the exact normalized value; other client reads it where supported; edit persists; validation rejects invalid input without partial mutation.</x:v>
      </x:c>
    </x:row>
    <x:row r="447">
      <x:c r="A447" s="20" t="str">
        <x:v>FLD-0444</x:v>
      </x:c>
      <x:c r="B447" s="20" t="str">
        <x:v>Web</x:v>
      </x:c>
      <x:c r="C447" s="35" t="str">
        <x:v>/lease-templates</x:v>
      </x:c>
      <x:c r="D447" s="35" t="str">
        <x:v>web/src/routes/(protected)/lease-templates/+page.svelte</x:v>
      </x:c>
      <x:c r="E447" s="32" t="n">
        <x:v>237</x:v>
      </x:c>
      <x:c r="F447" s="20" t="str">
        <x:v>file</x:v>
      </x:c>
      <x:c r="G447" s="35" t="str">
        <x:v>lease-template-file</x:v>
      </x:c>
      <x:c r="H447" s="35" t="str">
        <x:v>PDF file</x:v>
      </x:c>
      <x:c r="I447" s="20" t="str">
        <x:v>Property Manager</x:v>
      </x:c>
      <x:c r="J447" s="23" t="n">
        <x:v>46547</x:v>
      </x:c>
      <x:c r="K447" s="35" t="str">
        <x:v>valid non-default; boundary/format value; blank/null when optional; invalid value when constrained</x:v>
      </x:c>
      <x:c r="L447" s="35" t="str">
        <x:v>Save succeeds; reload shows the exact normalized value; other client reads it where supported; edit persists; validation rejects invalid input without partial mutation.</x:v>
      </x:c>
    </x:row>
    <x:row r="448">
      <x:c r="A448" s="20" t="str">
        <x:v>FLD-0445</x:v>
      </x:c>
      <x:c r="B448" s="20" t="str">
        <x:v>Web</x:v>
      </x:c>
      <x:c r="C448" s="35" t="str">
        <x:v>/lease-templates</x:v>
      </x:c>
      <x:c r="D448" s="35" t="str">
        <x:v>web/src/routes/(protected)/lease-templates/+page.svelte</x:v>
      </x:c>
      <x:c r="E448" s="32" t="n">
        <x:v>254</x:v>
      </x:c>
      <x:c r="F448" s="20" t="str">
        <x:v>input</x:v>
      </x:c>
      <x:c r="G448" s="35" t="str">
        <x:v>lease-template-name</x:v>
      </x:c>
      <x:c r="H448" s="35" t="str">
        <x:v>Template name</x:v>
      </x:c>
      <x:c r="I448" s="20" t="str">
        <x:v>Property Manager</x:v>
      </x:c>
      <x:c r="J448" s="23" t="n">
        <x:v>46547</x:v>
      </x:c>
      <x:c r="K448" s="35" t="str">
        <x:v>valid non-default; boundary/format value; blank/null when optional; invalid value when constrained</x:v>
      </x:c>
      <x:c r="L448" s="35" t="str">
        <x:v>Save succeeds; reload shows the exact normalized value; other client reads it where supported; edit persists; validation rejects invalid input without partial mutation.</x:v>
      </x:c>
    </x:row>
    <x:row r="449">
      <x:c r="A449" s="20" t="str">
        <x:v>FLD-0446</x:v>
      </x:c>
      <x:c r="B449" s="20" t="str">
        <x:v>Web</x:v>
      </x:c>
      <x:c r="C449" s="35" t="str">
        <x:v>/lease-templates</x:v>
      </x:c>
      <x:c r="D449" s="35" t="str">
        <x:v>web/src/routes/(protected)/lease-templates/+page.svelte</x:v>
      </x:c>
      <x:c r="E449" s="32" t="n">
        <x:v>265</x:v>
      </x:c>
      <x:c r="F449" s="20" t="str">
        <x:v>textarea</x:v>
      </x:c>
      <x:c r="G449" s="35" t="str">
        <x:v>lease-template-description</x:v>
      </x:c>
      <x:c r="H449" s="35" t="str">
        <x:v>Notes</x:v>
      </x:c>
      <x:c r="I449" s="20" t="str">
        <x:v>Property Manager</x:v>
      </x:c>
      <x:c r="J449" s="23" t="n">
        <x:v>46547</x:v>
      </x:c>
      <x:c r="K449" s="35" t="str">
        <x:v>valid non-default; boundary/format value; blank/null when optional; invalid value when constrained</x:v>
      </x:c>
      <x:c r="L449" s="35" t="str">
        <x:v>Save succeeds; reload shows the exact normalized value; other client reads it where supported; edit persists; validation rejects invalid input without partial mutation.</x:v>
      </x:c>
    </x:row>
    <x:row r="450">
      <x:c r="A450" s="20" t="str">
        <x:v>FLD-0447</x:v>
      </x:c>
      <x:c r="B450" s="20" t="str">
        <x:v>Web</x:v>
      </x:c>
      <x:c r="C450" s="35" t="str">
        <x:v>/lease-templates</x:v>
      </x:c>
      <x:c r="D450" s="35" t="str">
        <x:v>web/src/routes/(protected)/lease-templates/+page.svelte</x:v>
      </x:c>
      <x:c r="E450" s="32" t="n">
        <x:v>277</x:v>
      </x:c>
      <x:c r="F450" s="20" t="str">
        <x:v>checkbox</x:v>
      </x:c>
      <x:c r="G450" s="35" t="str">
        <x:v>lease-template-default-input</x:v>
      </x:c>
      <x:c r="H450" s="35" t="str"/>
      <x:c r="I450" s="20" t="str">
        <x:v>Property Manager</x:v>
      </x:c>
      <x:c r="J450" s="23" t="n">
        <x:v>46547</x:v>
      </x:c>
      <x:c r="K450" s="35" t="str">
        <x:v>valid non-default; boundary/format value; blank/null when optional; invalid value when constrained</x:v>
      </x:c>
      <x:c r="L450" s="35" t="str">
        <x:v>Save succeeds; reload shows the exact normalized value; other client reads it where supported; edit persists; validation rejects invalid input without partial mutation.</x:v>
      </x:c>
    </x:row>
    <x:row r="451">
      <x:c r="A451" s="20" t="str">
        <x:v>FLD-0448</x:v>
      </x:c>
      <x:c r="B451" s="20" t="str">
        <x:v>Web</x:v>
      </x:c>
      <x:c r="C451" s="35" t="str">
        <x:v>/leases</x:v>
      </x:c>
      <x:c r="D451" s="35" t="str">
        <x:v>web/src/routes/(protected)/leases/+page.svelte</x:v>
      </x:c>
      <x:c r="E451" s="32" t="n">
        <x:v>150</x:v>
      </x:c>
      <x:c r="F451" s="20" t="str">
        <x:v>single</x:v>
      </x:c>
      <x:c r="G451" s="35" t="str">
        <x:v>lifecycle</x:v>
      </x:c>
      <x:c r="H451" s="35" t="str"/>
      <x:c r="I451" s="20" t="str">
        <x:v>Leasing Agent</x:v>
      </x:c>
      <x:c r="J451" s="23" t="n">
        <x:v>46548</x:v>
      </x:c>
      <x:c r="K451" s="35" t="str">
        <x:v>valid non-default; boundary/format value; blank/null when optional; invalid value when constrained</x:v>
      </x:c>
      <x:c r="L451" s="35" t="str">
        <x:v>Save succeeds; reload shows the exact normalized value; other client reads it where supported; edit persists; validation rejects invalid input without partial mutation.</x:v>
      </x:c>
    </x:row>
    <x:row r="452">
      <x:c r="A452" s="20" t="str">
        <x:v>FLD-0449</x:v>
      </x:c>
      <x:c r="B452" s="20" t="str">
        <x:v>Web</x:v>
      </x:c>
      <x:c r="C452" s="35" t="str">
        <x:v>/leases</x:v>
      </x:c>
      <x:c r="D452" s="35" t="str">
        <x:v>web/src/routes/(protected)/leases/+page.svelte</x:v>
      </x:c>
      <x:c r="E452" s="32" t="n">
        <x:v>151</x:v>
      </x:c>
      <x:c r="F452" s="20" t="str">
        <x:v>select</x:v>
      </x:c>
      <x:c r="G452" s="35" t="str">
        <x:v>Select-2</x:v>
      </x:c>
      <x:c r="H452" s="35" t="str"/>
      <x:c r="I452" s="20" t="str">
        <x:v>Leasing Agent</x:v>
      </x:c>
      <x:c r="J452" s="23" t="n">
        <x:v>46548</x:v>
      </x:c>
      <x:c r="K452" s="35" t="str">
        <x:v>valid non-default; boundary/format value; blank/null when optional; invalid value when constrained</x:v>
      </x:c>
      <x:c r="L452" s="35" t="str">
        <x:v>Save succeeds; reload shows the exact normalized value; other client reads it where supported; edit persists; validation rejects invalid input without partial mutation.</x:v>
      </x:c>
    </x:row>
    <x:row r="453">
      <x:c r="A453" s="20" t="str">
        <x:v>FLD-0450</x:v>
      </x:c>
      <x:c r="B453" s="20" t="str">
        <x:v>Web</x:v>
      </x:c>
      <x:c r="C453" s="35" t="str">
        <x:v>/leases</x:v>
      </x:c>
      <x:c r="D453" s="35" t="str">
        <x:v>web/src/routes/(protected)/leases/+page.svelte</x:v>
      </x:c>
      <x:c r="E453" s="32" t="n">
        <x:v>152</x:v>
      </x:c>
      <x:c r="F453" s="20" t="str">
        <x:v>select</x:v>
      </x:c>
      <x:c r="G453" s="35" t="str">
        <x:v>All relationships</x:v>
      </x:c>
      <x:c r="H453" s="35" t="str">
        <x:v>All relationships</x:v>
      </x:c>
      <x:c r="I453" s="20" t="str">
        <x:v>Leasing Agent</x:v>
      </x:c>
      <x:c r="J453" s="23" t="n">
        <x:v>46548</x:v>
      </x:c>
      <x:c r="K453" s="35" t="str">
        <x:v>valid non-default; boundary/format value; blank/null when optional; invalid value when constrained</x:v>
      </x:c>
      <x:c r="L453" s="35" t="str">
        <x:v>Save succeeds; reload shows the exact normalized value; other client reads it where supported; edit persists; validation rejects invalid input without partial mutation.</x:v>
      </x:c>
    </x:row>
    <x:row r="454">
      <x:c r="A454" s="20" t="str">
        <x:v>FLD-0451</x:v>
      </x:c>
      <x:c r="B454" s="20" t="str">
        <x:v>Web</x:v>
      </x:c>
      <x:c r="C454" s="35" t="str">
        <x:v>/leases</x:v>
      </x:c>
      <x:c r="D454" s="35" t="str">
        <x:v>web/src/routes/(protected)/leases/+page.svelte</x:v>
      </x:c>
      <x:c r="E454" s="32" t="n">
        <x:v>154</x:v>
      </x:c>
      <x:c r="F454" s="20" t="str">
        <x:v>select</x:v>
      </x:c>
      <x:c r="G454" s="35" t="str">
        <x:v>Select-4</x:v>
      </x:c>
      <x:c r="H454" s="35" t="str"/>
      <x:c r="I454" s="20" t="str">
        <x:v>Leasing Agent</x:v>
      </x:c>
      <x:c r="J454" s="23" t="n">
        <x:v>46548</x:v>
      </x:c>
      <x:c r="K454" s="35" t="str">
        <x:v>valid non-default; boundary/format value; blank/null when optional; invalid value when constrained</x:v>
      </x:c>
      <x:c r="L454" s="35" t="str">
        <x:v>Save succeeds; reload shows the exact normalized value; other client reads it where supported; edit persists; validation rejects invalid input without partial mutation.</x:v>
      </x:c>
    </x:row>
    <x:row r="455">
      <x:c r="A455" s="20" t="str">
        <x:v>FLD-0452</x:v>
      </x:c>
      <x:c r="B455" s="20" t="str">
        <x:v>Web</x:v>
      </x:c>
      <x:c r="C455" s="35" t="str">
        <x:v>/leases</x:v>
      </x:c>
      <x:c r="D455" s="35" t="str">
        <x:v>web/src/routes/(protected)/leases/+page.svelte</x:v>
      </x:c>
      <x:c r="E455" s="32" t="n">
        <x:v>155</x:v>
      </x:c>
      <x:c r="F455" s="20" t="str">
        <x:v>select</x:v>
      </x:c>
      <x:c r="G455" s="35" t="str">
        <x:v>Select-5</x:v>
      </x:c>
      <x:c r="H455" s="35" t="str"/>
      <x:c r="I455" s="20" t="str">
        <x:v>Leasing Agent</x:v>
      </x:c>
      <x:c r="J455" s="23" t="n">
        <x:v>46549</x:v>
      </x:c>
      <x:c r="K455" s="35" t="str">
        <x:v>valid non-default; boundary/format value; blank/null when optional; invalid value when constrained</x:v>
      </x:c>
      <x:c r="L455" s="35" t="str">
        <x:v>Save succeeds; reload shows the exact normalized value; other client reads it where supported; edit persists; validation rejects invalid input without partial mutation.</x:v>
      </x:c>
    </x:row>
    <x:row r="456">
      <x:c r="A456" s="20" t="str">
        <x:v>FLD-0453</x:v>
      </x:c>
      <x:c r="B456" s="20" t="str">
        <x:v>Web</x:v>
      </x:c>
      <x:c r="C456" s="35" t="str">
        <x:v>/leases</x:v>
      </x:c>
      <x:c r="D456" s="35" t="str">
        <x:v>web/src/routes/(protected)/leases/+page.svelte</x:v>
      </x:c>
      <x:c r="E456" s="32" t="n">
        <x:v>156</x:v>
      </x:c>
      <x:c r="F456" s="20" t="str">
        <x:v>select</x:v>
      </x:c>
      <x:c r="G456" s="35" t="str">
        <x:v>Select-6</x:v>
      </x:c>
      <x:c r="H456" s="35" t="str"/>
      <x:c r="I456" s="20" t="str">
        <x:v>Leasing Agent</x:v>
      </x:c>
      <x:c r="J456" s="23" t="n">
        <x:v>46549</x:v>
      </x:c>
      <x:c r="K456" s="35" t="str">
        <x:v>valid non-default; boundary/format value; blank/null when optional; invalid value when constrained</x:v>
      </x:c>
      <x:c r="L456" s="35" t="str">
        <x:v>Save succeeds; reload shows the exact normalized value; other client reads it where supported; edit persists; validation rejects invalid input without partial mutation.</x:v>
      </x:c>
    </x:row>
    <x:row r="457">
      <x:c r="A457" s="20" t="str">
        <x:v>FLD-0454</x:v>
      </x:c>
      <x:c r="B457" s="20" t="str">
        <x:v>Web</x:v>
      </x:c>
      <x:c r="C457" s="35" t="str">
        <x:v>/leases</x:v>
      </x:c>
      <x:c r="D457" s="35" t="str">
        <x:v>web/src/routes/(protected)/leases/+page.svelte</x:v>
      </x:c>
      <x:c r="E457" s="32" t="n">
        <x:v>157</x:v>
      </x:c>
      <x:c r="F457" s="20" t="str">
        <x:v>select</x:v>
      </x:c>
      <x:c r="G457" s="35" t="str">
        <x:v>Select-7</x:v>
      </x:c>
      <x:c r="H457" s="35" t="str"/>
      <x:c r="I457" s="20" t="str">
        <x:v>Leasing Agent</x:v>
      </x:c>
      <x:c r="J457" s="23" t="n">
        <x:v>46549</x:v>
      </x:c>
      <x:c r="K457" s="35" t="str">
        <x:v>valid non-default; boundary/format value; blank/null when optional; invalid value when constrained</x:v>
      </x:c>
      <x:c r="L457" s="35" t="str">
        <x:v>Save succeeds; reload shows the exact normalized value; other client reads it where supported; edit persists; validation rejects invalid input without partial mutation.</x:v>
      </x:c>
    </x:row>
    <x:row r="458">
      <x:c r="A458" s="20" t="str">
        <x:v>FLD-0455</x:v>
      </x:c>
      <x:c r="B458" s="20" t="str">
        <x:v>Web</x:v>
      </x:c>
      <x:c r="C458" s="35" t="str">
        <x:v>/leases</x:v>
      </x:c>
      <x:c r="D458" s="35" t="str">
        <x:v>web/src/routes/(protected)/leases/+page.svelte</x:v>
      </x:c>
      <x:c r="E458" s="32" t="n">
        <x:v>158</x:v>
      </x:c>
      <x:c r="F458" s="20" t="str">
        <x:v>select</x:v>
      </x:c>
      <x:c r="G458" s="35" t="str">
        <x:v>Select-8</x:v>
      </x:c>
      <x:c r="H458" s="35" t="str"/>
      <x:c r="I458" s="20" t="str">
        <x:v>Leasing Agent</x:v>
      </x:c>
      <x:c r="J458" s="23" t="n">
        <x:v>46549</x:v>
      </x:c>
      <x:c r="K458" s="35" t="str">
        <x:v>valid non-default; boundary/format value; blank/null when optional; invalid value when constrained</x:v>
      </x:c>
      <x:c r="L458" s="35" t="str">
        <x:v>Save succeeds; reload shows the exact normalized value; other client reads it where supported; edit persists; validation rejects invalid input without partial mutation.</x:v>
      </x:c>
    </x:row>
    <x:row r="459">
      <x:c r="A459" s="20" t="str">
        <x:v>FLD-0456</x:v>
      </x:c>
      <x:c r="B459" s="20" t="str">
        <x:v>Web</x:v>
      </x:c>
      <x:c r="C459" s="35" t="str">
        <x:v>/leases</x:v>
      </x:c>
      <x:c r="D459" s="35" t="str">
        <x:v>web/src/routes/(protected)/leases/+page.svelte</x:v>
      </x:c>
      <x:c r="E459" s="32" t="n">
        <x:v>159</x:v>
      </x:c>
      <x:c r="F459" s="20" t="str">
        <x:v>select</x:v>
      </x:c>
      <x:c r="G459" s="35" t="str">
        <x:v>Select-9</x:v>
      </x:c>
      <x:c r="H459" s="35" t="str"/>
      <x:c r="I459" s="20" t="str">
        <x:v>Leasing Agent</x:v>
      </x:c>
      <x:c r="J459" s="23" t="n">
        <x:v>46549</x:v>
      </x:c>
      <x:c r="K459" s="35" t="str">
        <x:v>valid non-default; boundary/format value; blank/null when optional; invalid value when constrained</x:v>
      </x:c>
      <x:c r="L459" s="35" t="str">
        <x:v>Save succeeds; reload shows the exact normalized value; other client reads it where supported; edit persists; validation rejects invalid input without partial mutation.</x:v>
      </x:c>
    </x:row>
    <x:row r="460">
      <x:c r="A460" s="20" t="str">
        <x:v>FLD-0457</x:v>
      </x:c>
      <x:c r="B460" s="20" t="str">
        <x:v>Web</x:v>
      </x:c>
      <x:c r="C460" s="35" t="str">
        <x:v>/leases</x:v>
      </x:c>
      <x:c r="D460" s="35" t="str">
        <x:v>web/src/routes/(protected)/leases/+page.svelte</x:v>
      </x:c>
      <x:c r="E460" s="32" t="n">
        <x:v>160</x:v>
      </x:c>
      <x:c r="F460" s="20" t="str">
        <x:v>select</x:v>
      </x:c>
      <x:c r="G460" s="35" t="str">
        <x:v>Select-10</x:v>
      </x:c>
      <x:c r="H460" s="35" t="str"/>
      <x:c r="I460" s="20" t="str">
        <x:v>Leasing Agent</x:v>
      </x:c>
      <x:c r="J460" s="23" t="n">
        <x:v>46552</x:v>
      </x:c>
      <x:c r="K460" s="35" t="str">
        <x:v>valid non-default; boundary/format value; blank/null when optional; invalid value when constrained</x:v>
      </x:c>
      <x:c r="L460" s="35" t="str">
        <x:v>Save succeeds; reload shows the exact normalized value; other client reads it where supported; edit persists; validation rejects invalid input without partial mutation.</x:v>
      </x:c>
    </x:row>
    <x:row r="461">
      <x:c r="A461" s="20" t="str">
        <x:v>FLD-0458</x:v>
      </x:c>
      <x:c r="B461" s="20" t="str">
        <x:v>Web</x:v>
      </x:c>
      <x:c r="C461" s="35" t="str">
        <x:v>/leases</x:v>
      </x:c>
      <x:c r="D461" s="35" t="str">
        <x:v>web/src/routes/(protected)/leases/+page.svelte</x:v>
      </x:c>
      <x:c r="E461" s="32" t="n">
        <x:v>161</x:v>
      </x:c>
      <x:c r="F461" s="20" t="str">
        <x:v>select</x:v>
      </x:c>
      <x:c r="G461" s="35" t="str">
        <x:v>Select-11</x:v>
      </x:c>
      <x:c r="H461" s="35" t="str"/>
      <x:c r="I461" s="20" t="str">
        <x:v>Leasing Agent</x:v>
      </x:c>
      <x:c r="J461" s="23" t="n">
        <x:v>46552</x:v>
      </x:c>
      <x:c r="K461" s="35" t="str">
        <x:v>valid non-default; boundary/format value; blank/null when optional; invalid value when constrained</x:v>
      </x:c>
      <x:c r="L461" s="35" t="str">
        <x:v>Save succeeds; reload shows the exact normalized value; other client reads it where supported; edit persists; validation rejects invalid input without partial mutation.</x:v>
      </x:c>
    </x:row>
    <x:row r="462">
      <x:c r="A462" s="20" t="str">
        <x:v>FLD-0459</x:v>
      </x:c>
      <x:c r="B462" s="20" t="str">
        <x:v>Web</x:v>
      </x:c>
      <x:c r="C462" s="35" t="str">
        <x:v>/leases</x:v>
      </x:c>
      <x:c r="D462" s="35" t="str">
        <x:v>web/src/routes/(protected)/leases/+page.svelte</x:v>
      </x:c>
      <x:c r="E462" s="32" t="n">
        <x:v>162</x:v>
      </x:c>
      <x:c r="F462" s="20" t="str">
        <x:v>select</x:v>
      </x:c>
      <x:c r="G462" s="35" t="str">
        <x:v>Select-12</x:v>
      </x:c>
      <x:c r="H462" s="35" t="str"/>
      <x:c r="I462" s="20" t="str">
        <x:v>Leasing Agent</x:v>
      </x:c>
      <x:c r="J462" s="23" t="n">
        <x:v>46552</x:v>
      </x:c>
      <x:c r="K462" s="35" t="str">
        <x:v>valid non-default; boundary/format value; blank/null when optional; invalid value when constrained</x:v>
      </x:c>
      <x:c r="L462" s="35" t="str">
        <x:v>Save succeeds; reload shows the exact normalized value; other client reads it where supported; edit persists; validation rejects invalid input without partial mutation.</x:v>
      </x:c>
    </x:row>
    <x:row r="463">
      <x:c r="A463" s="20" t="str">
        <x:v>FLD-0460</x:v>
      </x:c>
      <x:c r="B463" s="20" t="str">
        <x:v>Web</x:v>
      </x:c>
      <x:c r="C463" s="35" t="str">
        <x:v>/leasing/[record]/[id]</x:v>
      </x:c>
      <x:c r="D463" s="35" t="str">
        <x:v>web/src/routes/(protected)/leasing/[record]/[id]/+page.svelte</x:v>
      </x:c>
      <x:c r="E463" s="32" t="n">
        <x:v>114</x:v>
      </x:c>
      <x:c r="F463" s="20" t="str">
        <x:v>textarea</x:v>
      </x:c>
      <x:c r="G463" s="35" t="str">
        <x:v>replyBody</x:v>
      </x:c>
      <x:c r="H463" s="35" t="str">
        <x:v>Reply</x:v>
      </x:c>
      <x:c r="I463" s="20" t="str">
        <x:v>Leasing Agent</x:v>
      </x:c>
      <x:c r="J463" s="23" t="n">
        <x:v>46552</x:v>
      </x:c>
      <x:c r="K463" s="35" t="str">
        <x:v>valid non-default; boundary/format value; blank/null when optional; invalid value when constrained</x:v>
      </x:c>
      <x:c r="L463" s="35" t="str">
        <x:v>Save succeeds; reload shows the exact normalized value; other client reads it where supported; edit persists; validation rejects invalid input without partial mutation.</x:v>
      </x:c>
    </x:row>
    <x:row r="464">
      <x:c r="A464" s="20" t="str">
        <x:v>FLD-0461</x:v>
      </x:c>
      <x:c r="B464" s="20" t="str">
        <x:v>Web</x:v>
      </x:c>
      <x:c r="C464" s="35" t="str">
        <x:v>/maintenance</x:v>
      </x:c>
      <x:c r="D464" s="35" t="str">
        <x:v>web/src/routes/(protected)/maintenance/+page.svelte</x:v>
      </x:c>
      <x:c r="E464" s="32" t="n">
        <x:v>769</x:v>
      </x:c>
      <x:c r="F464" s="20" t="str">
        <x:v>single</x:v>
      </x:c>
      <x:c r="G464" s="35" t="str">
        <x:v>woStatusFilter</x:v>
      </x:c>
      <x:c r="H464" s="35" t="str"/>
      <x:c r="I464" s="20" t="str">
        <x:v>Property Manager</x:v>
      </x:c>
      <x:c r="J464" s="23" t="n">
        <x:v>46553</x:v>
      </x:c>
      <x:c r="K464" s="35" t="str">
        <x:v>valid non-default; boundary/format value; blank/null when optional; invalid value when constrained</x:v>
      </x:c>
      <x:c r="L464" s="35" t="str">
        <x:v>Save succeeds; reload shows the exact normalized value; other client reads it where supported; edit persists; validation rejects invalid input without partial mutation.</x:v>
      </x:c>
    </x:row>
    <x:row r="465">
      <x:c r="A465" s="20" t="str">
        <x:v>FLD-0462</x:v>
      </x:c>
      <x:c r="B465" s="20" t="str">
        <x:v>Web</x:v>
      </x:c>
      <x:c r="C465" s="35" t="str">
        <x:v>/maintenance</x:v>
      </x:c>
      <x:c r="D465" s="35" t="str">
        <x:v>web/src/routes/(protected)/maintenance/+page.svelte</x:v>
      </x:c>
      <x:c r="E465" s="32" t="n">
        <x:v>770</x:v>
      </x:c>
      <x:c r="F465" s="20" t="str">
        <x:v>select</x:v>
      </x:c>
      <x:c r="G465" s="35" t="str">
        <x:v>work-order-status-filter</x:v>
      </x:c>
      <x:c r="H465" s="35" t="str"/>
      <x:c r="I465" s="20" t="str">
        <x:v>Property Manager</x:v>
      </x:c>
      <x:c r="J465" s="23" t="n">
        <x:v>46553</x:v>
      </x:c>
      <x:c r="K465" s="35" t="str">
        <x:v>valid non-default; boundary/format value; blank/null when optional; invalid value when constrained</x:v>
      </x:c>
      <x:c r="L465" s="35" t="str">
        <x:v>Save succeeds; reload shows the exact normalized value; other client reads it where supported; edit persists; validation rejects invalid input without partial mutation.</x:v>
      </x:c>
    </x:row>
    <x:row r="466">
      <x:c r="A466" s="20" t="str">
        <x:v>FLD-0463</x:v>
      </x:c>
      <x:c r="B466" s="20" t="str">
        <x:v>Web</x:v>
      </x:c>
      <x:c r="C466" s="35" t="str">
        <x:v>/maintenance</x:v>
      </x:c>
      <x:c r="D466" s="35" t="str">
        <x:v>web/src/routes/(protected)/maintenance/+page.svelte</x:v>
      </x:c>
      <x:c r="E466" s="32" t="n">
        <x:v>773</x:v>
      </x:c>
      <x:c r="F466" s="20" t="str">
        <x:v>select</x:v>
      </x:c>
      <x:c r="G466" s="35" t="str">
        <x:v>Select-3</x:v>
      </x:c>
      <x:c r="H466" s="35" t="str"/>
      <x:c r="I466" s="20" t="str">
        <x:v>Property Manager</x:v>
      </x:c>
      <x:c r="J466" s="23" t="n">
        <x:v>46553</x:v>
      </x:c>
      <x:c r="K466" s="35" t="str">
        <x:v>valid non-default; boundary/format value; blank/null when optional; invalid value when constrained</x:v>
      </x:c>
      <x:c r="L466" s="35" t="str">
        <x:v>Save succeeds; reload shows the exact normalized value; other client reads it where supported; edit persists; validation rejects invalid input without partial mutation.</x:v>
      </x:c>
    </x:row>
    <x:row r="467">
      <x:c r="A467" s="20" t="str">
        <x:v>FLD-0464</x:v>
      </x:c>
      <x:c r="B467" s="20" t="str">
        <x:v>Web</x:v>
      </x:c>
      <x:c r="C467" s="35" t="str">
        <x:v>/maintenance</x:v>
      </x:c>
      <x:c r="D467" s="35" t="str">
        <x:v>web/src/routes/(protected)/maintenance/+page.svelte</x:v>
      </x:c>
      <x:c r="E467" s="32" t="n">
        <x:v>774</x:v>
      </x:c>
      <x:c r="F467" s="20" t="str">
        <x:v>select</x:v>
      </x:c>
      <x:c r="G467" s="35" t="str">
        <x:v>Select-4</x:v>
      </x:c>
      <x:c r="H467" s="35" t="str"/>
      <x:c r="I467" s="20" t="str">
        <x:v>Property Manager</x:v>
      </x:c>
      <x:c r="J467" s="23" t="n">
        <x:v>46553</x:v>
      </x:c>
      <x:c r="K467" s="35" t="str">
        <x:v>valid non-default; boundary/format value; blank/null when optional; invalid value when constrained</x:v>
      </x:c>
      <x:c r="L467" s="35" t="str">
        <x:v>Save succeeds; reload shows the exact normalized value; other client reads it where supported; edit persists; validation rejects invalid input without partial mutation.</x:v>
      </x:c>
    </x:row>
    <x:row r="468">
      <x:c r="A468" s="20" t="str">
        <x:v>FLD-0465</x:v>
      </x:c>
      <x:c r="B468" s="20" t="str">
        <x:v>Web</x:v>
      </x:c>
      <x:c r="C468" s="35" t="str">
        <x:v>/maintenance</x:v>
      </x:c>
      <x:c r="D468" s="35" t="str">
        <x:v>web/src/routes/(protected)/maintenance/+page.svelte</x:v>
      </x:c>
      <x:c r="E468" s="32" t="n">
        <x:v>776</x:v>
      </x:c>
      <x:c r="F468" s="20" t="str">
        <x:v>select</x:v>
      </x:c>
      <x:c r="G468" s="35" t="str">
        <x:v>Select-5</x:v>
      </x:c>
      <x:c r="H468" s="35" t="str"/>
      <x:c r="I468" s="20" t="str">
        <x:v>Property Manager</x:v>
      </x:c>
      <x:c r="J468" s="23" t="n">
        <x:v>46554</x:v>
      </x:c>
      <x:c r="K468" s="35" t="str">
        <x:v>valid non-default; boundary/format value; blank/null when optional; invalid value when constrained</x:v>
      </x:c>
      <x:c r="L468" s="35" t="str">
        <x:v>Save succeeds; reload shows the exact normalized value; other client reads it where supported; edit persists; validation rejects invalid input without partial mutation.</x:v>
      </x:c>
    </x:row>
    <x:row r="469">
      <x:c r="A469" s="20" t="str">
        <x:v>FLD-0466</x:v>
      </x:c>
      <x:c r="B469" s="20" t="str">
        <x:v>Web</x:v>
      </x:c>
      <x:c r="C469" s="35" t="str">
        <x:v>/maintenance</x:v>
      </x:c>
      <x:c r="D469" s="35" t="str">
        <x:v>web/src/routes/(protected)/maintenance/+page.svelte</x:v>
      </x:c>
      <x:c r="E469" s="32" t="n">
        <x:v>780</x:v>
      </x:c>
      <x:c r="F469" s="20" t="str">
        <x:v>single</x:v>
      </x:c>
      <x:c r="G469" s="35" t="str">
        <x:v>woPriorityFilter</x:v>
      </x:c>
      <x:c r="H469" s="35" t="str"/>
      <x:c r="I469" s="20" t="str">
        <x:v>Property Manager</x:v>
      </x:c>
      <x:c r="J469" s="23" t="n">
        <x:v>46554</x:v>
      </x:c>
      <x:c r="K469" s="35" t="str">
        <x:v>valid non-default; boundary/format value; blank/null when optional; invalid value when constrained</x:v>
      </x:c>
      <x:c r="L469" s="35" t="str">
        <x:v>Save succeeds; reload shows the exact normalized value; other client reads it where supported; edit persists; validation rejects invalid input without partial mutation.</x:v>
      </x:c>
    </x:row>
    <x:row r="470">
      <x:c r="A470" s="20" t="str">
        <x:v>FLD-0467</x:v>
      </x:c>
      <x:c r="B470" s="20" t="str">
        <x:v>Web</x:v>
      </x:c>
      <x:c r="C470" s="35" t="str">
        <x:v>/maintenance</x:v>
      </x:c>
      <x:c r="D470" s="35" t="str">
        <x:v>web/src/routes/(protected)/maintenance/+page.svelte</x:v>
      </x:c>
      <x:c r="E470" s="32" t="n">
        <x:v>781</x:v>
      </x:c>
      <x:c r="F470" s="20" t="str">
        <x:v>select</x:v>
      </x:c>
      <x:c r="G470" s="35" t="str">
        <x:v>work-order-priority-filter</x:v>
      </x:c>
      <x:c r="H470" s="35" t="str"/>
      <x:c r="I470" s="20" t="str">
        <x:v>Property Manager</x:v>
      </x:c>
      <x:c r="J470" s="23" t="n">
        <x:v>46554</x:v>
      </x:c>
      <x:c r="K470" s="35" t="str">
        <x:v>valid non-default; boundary/format value; blank/null when optional; invalid value when constrained</x:v>
      </x:c>
      <x:c r="L470" s="35" t="str">
        <x:v>Save succeeds; reload shows the exact normalized value; other client reads it where supported; edit persists; validation rejects invalid input without partial mutation.</x:v>
      </x:c>
    </x:row>
    <x:row r="471">
      <x:c r="A471" s="20" t="str">
        <x:v>FLD-0468</x:v>
      </x:c>
      <x:c r="B471" s="20" t="str">
        <x:v>Web</x:v>
      </x:c>
      <x:c r="C471" s="35" t="str">
        <x:v>/maintenance</x:v>
      </x:c>
      <x:c r="D471" s="35" t="str">
        <x:v>web/src/routes/(protected)/maintenance/+page.svelte</x:v>
      </x:c>
      <x:c r="E471" s="32" t="n">
        <x:v>784</x:v>
      </x:c>
      <x:c r="F471" s="20" t="str">
        <x:v>select</x:v>
      </x:c>
      <x:c r="G471" s="35" t="str">
        <x:v>Select-8</x:v>
      </x:c>
      <x:c r="H471" s="35" t="str"/>
      <x:c r="I471" s="20" t="str">
        <x:v>Property Manager</x:v>
      </x:c>
      <x:c r="J471" s="23" t="n">
        <x:v>46554</x:v>
      </x:c>
      <x:c r="K471" s="35" t="str">
        <x:v>valid non-default; boundary/format value; blank/null when optional; invalid value when constrained</x:v>
      </x:c>
      <x:c r="L471" s="35" t="str">
        <x:v>Save succeeds; reload shows the exact normalized value; other client reads it where supported; edit persists; validation rejects invalid input without partial mutation.</x:v>
      </x:c>
    </x:row>
    <x:row r="472">
      <x:c r="A472" s="20" t="str">
        <x:v>FLD-0469</x:v>
      </x:c>
      <x:c r="B472" s="20" t="str">
        <x:v>Web</x:v>
      </x:c>
      <x:c r="C472" s="35" t="str">
        <x:v>/maintenance</x:v>
      </x:c>
      <x:c r="D472" s="35" t="str">
        <x:v>web/src/routes/(protected)/maintenance/+page.svelte</x:v>
      </x:c>
      <x:c r="E472" s="32" t="n">
        <x:v>785</x:v>
      </x:c>
      <x:c r="F472" s="20" t="str">
        <x:v>select</x:v>
      </x:c>
      <x:c r="G472" s="35" t="str">
        <x:v>Select-9</x:v>
      </x:c>
      <x:c r="H472" s="35" t="str"/>
      <x:c r="I472" s="20" t="str">
        <x:v>Property Manager</x:v>
      </x:c>
      <x:c r="J472" s="23" t="n">
        <x:v>46554</x:v>
      </x:c>
      <x:c r="K472" s="35" t="str">
        <x:v>valid non-default; boundary/format value; blank/null when optional; invalid value when constrained</x:v>
      </x:c>
      <x:c r="L472" s="35" t="str">
        <x:v>Save succeeds; reload shows the exact normalized value; other client reads it where supported; edit persists; validation rejects invalid input without partial mutation.</x:v>
      </x:c>
    </x:row>
    <x:row r="473">
      <x:c r="A473" s="20" t="str">
        <x:v>FLD-0470</x:v>
      </x:c>
      <x:c r="B473" s="20" t="str">
        <x:v>Web</x:v>
      </x:c>
      <x:c r="C473" s="35" t="str">
        <x:v>/maintenance</x:v>
      </x:c>
      <x:c r="D473" s="35" t="str">
        <x:v>web/src/routes/(protected)/maintenance/+page.svelte</x:v>
      </x:c>
      <x:c r="E473" s="32" t="n">
        <x:v>787</x:v>
      </x:c>
      <x:c r="F473" s="20" t="str">
        <x:v>select</x:v>
      </x:c>
      <x:c r="G473" s="35" t="str">
        <x:v>Select-10</x:v>
      </x:c>
      <x:c r="H473" s="35" t="str"/>
      <x:c r="I473" s="20" t="str">
        <x:v>Property Manager</x:v>
      </x:c>
      <x:c r="J473" s="23" t="n">
        <x:v>46555</x:v>
      </x:c>
      <x:c r="K473" s="35" t="str">
        <x:v>valid non-default; boundary/format value; blank/null when optional; invalid value when constrained</x:v>
      </x:c>
      <x:c r="L473" s="35" t="str">
        <x:v>Save succeeds; reload shows the exact normalized value; other client reads it where supported; edit persists; validation rejects invalid input without partial mutation.</x:v>
      </x:c>
    </x:row>
    <x:row r="474">
      <x:c r="A474" s="20" t="str">
        <x:v>FLD-0471</x:v>
      </x:c>
      <x:c r="B474" s="20" t="str">
        <x:v>Web</x:v>
      </x:c>
      <x:c r="C474" s="35" t="str">
        <x:v>/maintenance</x:v>
      </x:c>
      <x:c r="D474" s="35" t="str">
        <x:v>web/src/routes/(protected)/maintenance/+page.svelte</x:v>
      </x:c>
      <x:c r="E474" s="32" t="n">
        <x:v>916</x:v>
      </x:c>
      <x:c r="F474" s="20" t="str">
        <x:v>input</x:v>
      </x:c>
      <x:c r="G474" s="35" t="str">
        <x:v>work-order-title-input</x:v>
      </x:c>
      <x:c r="H474" s="35" t="str">
        <x:v>Issue title</x:v>
      </x:c>
      <x:c r="I474" s="20" t="str">
        <x:v>Property Manager</x:v>
      </x:c>
      <x:c r="J474" s="23" t="n">
        <x:v>46555</x:v>
      </x:c>
      <x:c r="K474" s="35" t="str">
        <x:v>valid non-default; boundary/format value; blank/null when optional; invalid value when constrained</x:v>
      </x:c>
      <x:c r="L474" s="35" t="str">
        <x:v>Save succeeds; reload shows the exact normalized value; other client reads it where supported; edit persists; validation rejects invalid input without partial mutation.</x:v>
      </x:c>
    </x:row>
    <x:row r="475">
      <x:c r="A475" s="20" t="str">
        <x:v>FLD-0472</x:v>
      </x:c>
      <x:c r="B475" s="20" t="str">
        <x:v>Web</x:v>
      </x:c>
      <x:c r="C475" s="35" t="str">
        <x:v>/maintenance</x:v>
      </x:c>
      <x:c r="D475" s="35" t="str">
        <x:v>web/src/routes/(protected)/maintenance/+page.svelte</x:v>
      </x:c>
      <x:c r="E475" s="32" t="n">
        <x:v>921</x:v>
      </x:c>
      <x:c r="F475" s="20" t="str">
        <x:v>textarea</x:v>
      </x:c>
      <x:c r="G475" s="35" t="str">
        <x:v>work-order-description-input</x:v>
      </x:c>
      <x:c r="H475" s="35" t="str">
        <x:v>Description</x:v>
      </x:c>
      <x:c r="I475" s="20" t="str">
        <x:v>Property Manager</x:v>
      </x:c>
      <x:c r="J475" s="23" t="n">
        <x:v>46555</x:v>
      </x:c>
      <x:c r="K475" s="35" t="str">
        <x:v>valid non-default; boundary/format value; blank/null when optional; invalid value when constrained</x:v>
      </x:c>
      <x:c r="L475" s="35" t="str">
        <x:v>Save succeeds; reload shows the exact normalized value; other client reads it where supported; edit persists; validation rejects invalid input without partial mutation.</x:v>
      </x:c>
    </x:row>
    <x:row r="476">
      <x:c r="A476" s="20" t="str">
        <x:v>FLD-0473</x:v>
      </x:c>
      <x:c r="B476" s="20" t="str">
        <x:v>Web</x:v>
      </x:c>
      <x:c r="C476" s="35" t="str">
        <x:v>/maintenance</x:v>
      </x:c>
      <x:c r="D476" s="35" t="str">
        <x:v>web/src/routes/(protected)/maintenance/+page.svelte</x:v>
      </x:c>
      <x:c r="E476" s="32" t="n">
        <x:v>928</x:v>
      </x:c>
      <x:c r="F476" s="20" t="str">
        <x:v>single</x:v>
      </x:c>
      <x:c r="G476" s="35" t="str">
        <x:v>woForm.priority</x:v>
      </x:c>
      <x:c r="H476" s="35" t="str"/>
      <x:c r="I476" s="20" t="str">
        <x:v>Property Manager</x:v>
      </x:c>
      <x:c r="J476" s="23" t="n">
        <x:v>46555</x:v>
      </x:c>
      <x:c r="K476" s="35" t="str">
        <x:v>valid non-default; boundary/format value; blank/null when optional; invalid value when constrained</x:v>
      </x:c>
      <x:c r="L476" s="35" t="str">
        <x:v>Save succeeds; reload shows the exact normalized value; other client reads it where supported; edit persists; validation rejects invalid input without partial mutation.</x:v>
      </x:c>
    </x:row>
    <x:row r="477">
      <x:c r="A477" s="20" t="str">
        <x:v>FLD-0474</x:v>
      </x:c>
      <x:c r="B477" s="20" t="str">
        <x:v>Web</x:v>
      </x:c>
      <x:c r="C477" s="35" t="str">
        <x:v>/maintenance</x:v>
      </x:c>
      <x:c r="D477" s="35" t="str">
        <x:v>web/src/routes/(protected)/maintenance/+page.svelte</x:v>
      </x:c>
      <x:c r="E477" s="32" t="n">
        <x:v>929</x:v>
      </x:c>
      <x:c r="F477" s="20" t="str">
        <x:v>select</x:v>
      </x:c>
      <x:c r="G477" s="35" t="str">
        <x:v>work-order-priority-input</x:v>
      </x:c>
      <x:c r="H477" s="35" t="str"/>
      <x:c r="I477" s="20" t="str">
        <x:v>Property Manager</x:v>
      </x:c>
      <x:c r="J477" s="23" t="n">
        <x:v>46556</x:v>
      </x:c>
      <x:c r="K477" s="35" t="str">
        <x:v>valid non-default; boundary/format value; blank/null when optional; invalid value when constrained</x:v>
      </x:c>
      <x:c r="L477" s="35" t="str">
        <x:v>Save succeeds; reload shows the exact normalized value; other client reads it where supported; edit persists; validation rejects invalid input without partial mutation.</x:v>
      </x:c>
    </x:row>
    <x:row r="478">
      <x:c r="A478" s="20" t="str">
        <x:v>FLD-0475</x:v>
      </x:c>
      <x:c r="B478" s="20" t="str">
        <x:v>Web</x:v>
      </x:c>
      <x:c r="C478" s="35" t="str">
        <x:v>/maintenance</x:v>
      </x:c>
      <x:c r="D478" s="35" t="str">
        <x:v>web/src/routes/(protected)/maintenance/+page.svelte</x:v>
      </x:c>
      <x:c r="E478" s="32" t="n">
        <x:v>932</x:v>
      </x:c>
      <x:c r="F478" s="20" t="str">
        <x:v>select</x:v>
      </x:c>
      <x:c r="G478" s="35" t="str">
        <x:v>Select-15</x:v>
      </x:c>
      <x:c r="H478" s="35" t="str"/>
      <x:c r="I478" s="20" t="str">
        <x:v>Property Manager</x:v>
      </x:c>
      <x:c r="J478" s="23" t="n">
        <x:v>46556</x:v>
      </x:c>
      <x:c r="K478" s="35" t="str">
        <x:v>valid non-default; boundary/format value; blank/null when optional; invalid value when constrained</x:v>
      </x:c>
      <x:c r="L478" s="35" t="str">
        <x:v>Save succeeds; reload shows the exact normalized value; other client reads it where supported; edit persists; validation rejects invalid input without partial mutation.</x:v>
      </x:c>
    </x:row>
    <x:row r="479">
      <x:c r="A479" s="20" t="str">
        <x:v>FLD-0476</x:v>
      </x:c>
      <x:c r="B479" s="20" t="str">
        <x:v>Web</x:v>
      </x:c>
      <x:c r="C479" s="35" t="str">
        <x:v>/maintenance</x:v>
      </x:c>
      <x:c r="D479" s="35" t="str">
        <x:v>web/src/routes/(protected)/maintenance/+page.svelte</x:v>
      </x:c>
      <x:c r="E479" s="32" t="n">
        <x:v>934</x:v>
      </x:c>
      <x:c r="F479" s="20" t="str">
        <x:v>select</x:v>
      </x:c>
      <x:c r="G479" s="35" t="str">
        <x:v>Select-16</x:v>
      </x:c>
      <x:c r="H479" s="35" t="str"/>
      <x:c r="I479" s="20" t="str">
        <x:v>Property Manager</x:v>
      </x:c>
      <x:c r="J479" s="23" t="n">
        <x:v>46556</x:v>
      </x:c>
      <x:c r="K479" s="35" t="str">
        <x:v>valid non-default; boundary/format value; blank/null when optional; invalid value when constrained</x:v>
      </x:c>
      <x:c r="L479" s="35" t="str">
        <x:v>Save succeeds; reload shows the exact normalized value; other client reads it where supported; edit persists; validation rejects invalid input without partial mutation.</x:v>
      </x:c>
    </x:row>
    <x:row r="480">
      <x:c r="A480" s="20" t="str">
        <x:v>FLD-0477</x:v>
      </x:c>
      <x:c r="B480" s="20" t="str">
        <x:v>Web</x:v>
      </x:c>
      <x:c r="C480" s="35" t="str">
        <x:v>/maintenance</x:v>
      </x:c>
      <x:c r="D480" s="35" t="str">
        <x:v>web/src/routes/(protected)/maintenance/+page.svelte</x:v>
      </x:c>
      <x:c r="E480" s="32" t="n">
        <x:v>941</x:v>
      </x:c>
      <x:c r="F480" s="20" t="str">
        <x:v>input</x:v>
      </x:c>
      <x:c r="G480" s="35" t="str">
        <x:v>work-order-category-input</x:v>
      </x:c>
      <x:c r="H480" s="35" t="str">
        <x:v>Category</x:v>
      </x:c>
      <x:c r="I480" s="20" t="str">
        <x:v>Property Manager</x:v>
      </x:c>
      <x:c r="J480" s="23" t="n">
        <x:v>46556</x:v>
      </x:c>
      <x:c r="K480" s="35" t="str">
        <x:v>valid non-default; boundary/format value; blank/null when optional; invalid value when constrained</x:v>
      </x:c>
      <x:c r="L480" s="35" t="str">
        <x:v>Save succeeds; reload shows the exact normalized value; other client reads it where supported; edit persists; validation rejects invalid input without partial mutation.</x:v>
      </x:c>
    </x:row>
    <x:row r="481">
      <x:c r="A481" s="20" t="str">
        <x:v>FLD-0478</x:v>
      </x:c>
      <x:c r="B481" s="20" t="str">
        <x:v>Web</x:v>
      </x:c>
      <x:c r="C481" s="35" t="str">
        <x:v>/maintenance</x:v>
      </x:c>
      <x:c r="D481" s="35" t="str">
        <x:v>web/src/routes/(protected)/maintenance/+page.svelte</x:v>
      </x:c>
      <x:c r="E481" s="32" t="n">
        <x:v>947</x:v>
      </x:c>
      <x:c r="F481" s="20" t="str">
        <x:v>textarea</x:v>
      </x:c>
      <x:c r="G481" s="35" t="str">
        <x:v>work-order-technician-access</x:v>
      </x:c>
      <x:c r="H481" s="35" t="str">
        <x:v>Safe access instructions (optional)</x:v>
      </x:c>
      <x:c r="I481" s="20" t="str">
        <x:v>Property Manager</x:v>
      </x:c>
      <x:c r="J481" s="23" t="n">
        <x:v>46556</x:v>
      </x:c>
      <x:c r="K481" s="35" t="str">
        <x:v>valid non-default; boundary/format value; blank/null when optional; invalid value when constrained</x:v>
      </x:c>
      <x:c r="L481" s="35" t="str">
        <x:v>Save succeeds; reload shows the exact normalized value; other client reads it where supported; edit persists; validation rejects invalid input without partial mutation.</x:v>
      </x:c>
    </x:row>
    <x:row r="482">
      <x:c r="A482" s="20" t="str">
        <x:v>FLD-0479</x:v>
      </x:c>
      <x:c r="B482" s="20" t="str">
        <x:v>Web</x:v>
      </x:c>
      <x:c r="C482" s="35" t="str">
        <x:v>/maintenance</x:v>
      </x:c>
      <x:c r="D482" s="35" t="str">
        <x:v>web/src/routes/(protected)/maintenance/+page.svelte</x:v>
      </x:c>
      <x:c r="E482" s="32" t="n">
        <x:v>1032</x:v>
      </x:c>
      <x:c r="F482" s="20" t="str">
        <x:v>text</x:v>
      </x:c>
      <x:c r="G482" s="35" t="str">
        <x:v>work-order-est-cost</x:v>
      </x:c>
      <x:c r="H482" s="35" t="str">
        <x:v>Estimated cost (optional)</x:v>
      </x:c>
      <x:c r="I482" s="20" t="str">
        <x:v>Property Manager</x:v>
      </x:c>
      <x:c r="J482" s="23" t="n">
        <x:v>46559</x:v>
      </x:c>
      <x:c r="K482" s="35" t="str">
        <x:v>valid non-default; boundary/format value; blank/null when optional; invalid value when constrained</x:v>
      </x:c>
      <x:c r="L482" s="35" t="str">
        <x:v>Save succeeds; reload shows the exact normalized value; other client reads it where supported; edit persists; validation rejects invalid input without partial mutation.</x:v>
      </x:c>
    </x:row>
    <x:row r="483">
      <x:c r="A483" s="20" t="str">
        <x:v>FLD-0480</x:v>
      </x:c>
      <x:c r="B483" s="20" t="str">
        <x:v>Web</x:v>
      </x:c>
      <x:c r="C483" s="35" t="str">
        <x:v>/maintenance</x:v>
      </x:c>
      <x:c r="D483" s="35" t="str">
        <x:v>web/src/routes/(protected)/maintenance/+page.svelte</x:v>
      </x:c>
      <x:c r="E483" s="32" t="n">
        <x:v>1089</x:v>
      </x:c>
      <x:c r="F483" s="20" t="str">
        <x:v>single</x:v>
      </x:c>
      <x:c r="G483" s="35" t="str">
        <x:v>inspectionForm.type</x:v>
      </x:c>
      <x:c r="H483" s="35" t="str"/>
      <x:c r="I483" s="20" t="str">
        <x:v>Property Manager</x:v>
      </x:c>
      <x:c r="J483" s="23" t="n">
        <x:v>46559</x:v>
      </x:c>
      <x:c r="K483" s="35" t="str">
        <x:v>valid non-default; boundary/format value; blank/null when optional; invalid value when constrained</x:v>
      </x:c>
      <x:c r="L483" s="35" t="str">
        <x:v>Save succeeds; reload shows the exact normalized value; other client reads it where supported; edit persists; validation rejects invalid input without partial mutation.</x:v>
      </x:c>
    </x:row>
    <x:row r="484">
      <x:c r="A484" s="20" t="str">
        <x:v>FLD-0481</x:v>
      </x:c>
      <x:c r="B484" s="20" t="str">
        <x:v>Web</x:v>
      </x:c>
      <x:c r="C484" s="35" t="str">
        <x:v>/maintenance</x:v>
      </x:c>
      <x:c r="D484" s="35" t="str">
        <x:v>web/src/routes/(protected)/maintenance/+page.svelte</x:v>
      </x:c>
      <x:c r="E484" s="32" t="n">
        <x:v>1090</x:v>
      </x:c>
      <x:c r="F484" s="20" t="str">
        <x:v>select</x:v>
      </x:c>
      <x:c r="G484" s="35" t="str">
        <x:v>inspection-type-input</x:v>
      </x:c>
      <x:c r="H484" s="35" t="str"/>
      <x:c r="I484" s="20" t="str">
        <x:v>Property Manager</x:v>
      </x:c>
      <x:c r="J484" s="23" t="n">
        <x:v>46559</x:v>
      </x:c>
      <x:c r="K484" s="35" t="str">
        <x:v>valid non-default; boundary/format value; blank/null when optional; invalid value when constrained</x:v>
      </x:c>
      <x:c r="L484" s="35" t="str">
        <x:v>Save succeeds; reload shows the exact normalized value; other client reads it where supported; edit persists; validation rejects invalid input without partial mutation.</x:v>
      </x:c>
    </x:row>
    <x:row r="485">
      <x:c r="A485" s="20" t="str">
        <x:v>FLD-0482</x:v>
      </x:c>
      <x:c r="B485" s="20" t="str">
        <x:v>Web</x:v>
      </x:c>
      <x:c r="C485" s="35" t="str">
        <x:v>/maintenance</x:v>
      </x:c>
      <x:c r="D485" s="35" t="str">
        <x:v>web/src/routes/(protected)/maintenance/+page.svelte</x:v>
      </x:c>
      <x:c r="E485" s="32" t="n">
        <x:v>1093</x:v>
      </x:c>
      <x:c r="F485" s="20" t="str">
        <x:v>select</x:v>
      </x:c>
      <x:c r="G485" s="35" t="str">
        <x:v>Select-22</x:v>
      </x:c>
      <x:c r="H485" s="35" t="str"/>
      <x:c r="I485" s="20" t="str">
        <x:v>Property Manager</x:v>
      </x:c>
      <x:c r="J485" s="23" t="n">
        <x:v>46559</x:v>
      </x:c>
      <x:c r="K485" s="35" t="str">
        <x:v>valid non-default; boundary/format value; blank/null when optional; invalid value when constrained</x:v>
      </x:c>
      <x:c r="L485" s="35" t="str">
        <x:v>Save succeeds; reload shows the exact normalized value; other client reads it where supported; edit persists; validation rejects invalid input without partial mutation.</x:v>
      </x:c>
    </x:row>
    <x:row r="486">
      <x:c r="A486" s="20" t="str">
        <x:v>FLD-0483</x:v>
      </x:c>
      <x:c r="B486" s="20" t="str">
        <x:v>Web</x:v>
      </x:c>
      <x:c r="C486" s="35" t="str">
        <x:v>/maintenance</x:v>
      </x:c>
      <x:c r="D486" s="35" t="str">
        <x:v>web/src/routes/(protected)/maintenance/+page.svelte</x:v>
      </x:c>
      <x:c r="E486" s="32" t="n">
        <x:v>1095</x:v>
      </x:c>
      <x:c r="F486" s="20" t="str">
        <x:v>select</x:v>
      </x:c>
      <x:c r="G486" s="35" t="str">
        <x:v>Select-23</x:v>
      </x:c>
      <x:c r="H486" s="35" t="str"/>
      <x:c r="I486" s="20" t="str">
        <x:v>Property Manager</x:v>
      </x:c>
      <x:c r="J486" s="23" t="n">
        <x:v>46560</x:v>
      </x:c>
      <x:c r="K486" s="35" t="str">
        <x:v>valid non-default; boundary/format value; blank/null when optional; invalid value when constrained</x:v>
      </x:c>
      <x:c r="L486" s="35" t="str">
        <x:v>Save succeeds; reload shows the exact normalized value; other client reads it where supported; edit persists; validation rejects invalid input without partial mutation.</x:v>
      </x:c>
    </x:row>
    <x:row r="487">
      <x:c r="A487" s="20" t="str">
        <x:v>FLD-0484</x:v>
      </x:c>
      <x:c r="B487" s="20" t="str">
        <x:v>Web</x:v>
      </x:c>
      <x:c r="C487" s="35" t="str">
        <x:v>/maintenance</x:v>
      </x:c>
      <x:c r="D487" s="35" t="str">
        <x:v>web/src/routes/(protected)/maintenance/+page.svelte</x:v>
      </x:c>
      <x:c r="E487" s="32" t="n">
        <x:v>1102</x:v>
      </x:c>
      <x:c r="F487" s="20" t="str">
        <x:v>single</x:v>
      </x:c>
      <x:c r="G487" s="35" t="str">
        <x:v>Select-24</x:v>
      </x:c>
      <x:c r="H487" s="35" t="str">
        <x:v>Checklist (optional)</x:v>
      </x:c>
      <x:c r="I487" s="20" t="str">
        <x:v>Property Manager</x:v>
      </x:c>
      <x:c r="J487" s="23" t="n">
        <x:v>46560</x:v>
      </x:c>
      <x:c r="K487" s="35" t="str">
        <x:v>valid non-default; boundary/format value; blank/null when optional; invalid value when constrained</x:v>
      </x:c>
      <x:c r="L487" s="35" t="str">
        <x:v>Save succeeds; reload shows the exact normalized value; other client reads it where supported; edit persists; validation rejects invalid input without partial mutation.</x:v>
      </x:c>
    </x:row>
    <x:row r="488">
      <x:c r="A488" s="20" t="str">
        <x:v>FLD-0485</x:v>
      </x:c>
      <x:c r="B488" s="20" t="str">
        <x:v>Web</x:v>
      </x:c>
      <x:c r="C488" s="35" t="str">
        <x:v>/maintenance</x:v>
      </x:c>
      <x:c r="D488" s="35" t="str">
        <x:v>web/src/routes/(protected)/maintenance/+page.svelte</x:v>
      </x:c>
      <x:c r="E488" s="32" t="n">
        <x:v>1112</x:v>
      </x:c>
      <x:c r="F488" s="20" t="str">
        <x:v>select</x:v>
      </x:c>
      <x:c r="G488" s="35" t="str">
        <x:v>inspection-template</x:v>
      </x:c>
      <x:c r="H488" s="35" t="str"/>
      <x:c r="I488" s="20" t="str">
        <x:v>Property Manager</x:v>
      </x:c>
      <x:c r="J488" s="23" t="n">
        <x:v>46560</x:v>
      </x:c>
      <x:c r="K488" s="35" t="str">
        <x:v>valid non-default; boundary/format value; blank/null when optional; invalid value when constrained</x:v>
      </x:c>
      <x:c r="L488" s="35" t="str">
        <x:v>Save succeeds; reload shows the exact normalized value; other client reads it where supported; edit persists; validation rejects invalid input without partial mutation.</x:v>
      </x:c>
    </x:row>
    <x:row r="489">
      <x:c r="A489" s="20" t="str">
        <x:v>FLD-0486</x:v>
      </x:c>
      <x:c r="B489" s="20" t="str">
        <x:v>Web</x:v>
      </x:c>
      <x:c r="C489" s="35" t="str">
        <x:v>/maintenance</x:v>
      </x:c>
      <x:c r="D489" s="35" t="str">
        <x:v>web/src/routes/(protected)/maintenance/+page.svelte</x:v>
      </x:c>
      <x:c r="E489" s="32" t="n">
        <x:v>1115</x:v>
      </x:c>
      <x:c r="F489" s="20" t="str">
        <x:v>select</x:v>
      </x:c>
      <x:c r="G489" s="35" t="str">
        <x:v>Select-26</x:v>
      </x:c>
      <x:c r="H489" s="35" t="str"/>
      <x:c r="I489" s="20" t="str">
        <x:v>Property Manager</x:v>
      </x:c>
      <x:c r="J489" s="23" t="n">
        <x:v>46560</x:v>
      </x:c>
      <x:c r="K489" s="35" t="str">
        <x:v>valid non-default; boundary/format value; blank/null when optional; invalid value when constrained</x:v>
      </x:c>
      <x:c r="L489" s="35" t="str">
        <x:v>Save succeeds; reload shows the exact normalized value; other client reads it where supported; edit persists; validation rejects invalid input without partial mutation.</x:v>
      </x:c>
    </x:row>
    <x:row r="490">
      <x:c r="A490" s="20" t="str">
        <x:v>FLD-0487</x:v>
      </x:c>
      <x:c r="B490" s="20" t="str">
        <x:v>Web</x:v>
      </x:c>
      <x:c r="C490" s="35" t="str">
        <x:v>/maintenance</x:v>
      </x:c>
      <x:c r="D490" s="35" t="str">
        <x:v>web/src/routes/(protected)/maintenance/+page.svelte</x:v>
      </x:c>
      <x:c r="E490" s="32" t="n">
        <x:v>1116</x:v>
      </x:c>
      <x:c r="F490" s="20" t="str">
        <x:v>select</x:v>
      </x:c>
      <x:c r="G490" s="35" t="str">
        <x:v>Select-27</x:v>
      </x:c>
      <x:c r="H490" s="35" t="str"/>
      <x:c r="I490" s="20" t="str">
        <x:v>Property Manager</x:v>
      </x:c>
      <x:c r="J490" s="23" t="n">
        <x:v>46560</x:v>
      </x:c>
      <x:c r="K490" s="35" t="str">
        <x:v>valid non-default; boundary/format value; blank/null when optional; invalid value when constrained</x:v>
      </x:c>
      <x:c r="L490" s="35" t="str">
        <x:v>Save succeeds; reload shows the exact normalized value; other client reads it where supported; edit persists; validation rejects invalid input without partial mutation.</x:v>
      </x:c>
    </x:row>
    <x:row r="491">
      <x:c r="A491" s="20" t="str">
        <x:v>FLD-0488</x:v>
      </x:c>
      <x:c r="B491" s="20" t="str">
        <x:v>Web</x:v>
      </x:c>
      <x:c r="C491" s="35" t="str">
        <x:v>/maintenance</x:v>
      </x:c>
      <x:c r="D491" s="35" t="str">
        <x:v>web/src/routes/(protected)/maintenance/+page.svelte</x:v>
      </x:c>
      <x:c r="E491" s="32" t="n">
        <x:v>1118</x:v>
      </x:c>
      <x:c r="F491" s="20" t="str">
        <x:v>select</x:v>
      </x:c>
      <x:c r="G491" s="35" t="str">
        <x:v>Select-28</x:v>
      </x:c>
      <x:c r="H491" s="35" t="str"/>
      <x:c r="I491" s="20" t="str">
        <x:v>Property Manager</x:v>
      </x:c>
      <x:c r="J491" s="23" t="n">
        <x:v>46561</x:v>
      </x:c>
      <x:c r="K491" s="35" t="str">
        <x:v>valid non-default; boundary/format value; blank/null when optional; invalid value when constrained</x:v>
      </x:c>
      <x:c r="L491" s="35" t="str">
        <x:v>Save succeeds; reload shows the exact normalized value; other client reads it where supported; edit persists; validation rejects invalid input without partial mutation.</x:v>
      </x:c>
    </x:row>
    <x:row r="492">
      <x:c r="A492" s="20" t="str">
        <x:v>FLD-0489</x:v>
      </x:c>
      <x:c r="B492" s="20" t="str">
        <x:v>Web</x:v>
      </x:c>
      <x:c r="C492" s="35" t="str">
        <x:v>/maintenance</x:v>
      </x:c>
      <x:c r="D492" s="35" t="str">
        <x:v>web/src/routes/(protected)/maintenance/+page.svelte</x:v>
      </x:c>
      <x:c r="E492" s="32" t="n">
        <x:v>1128</x:v>
      </x:c>
      <x:c r="F492" s="20" t="str">
        <x:v>input</x:v>
      </x:c>
      <x:c r="G492" s="35" t="str">
        <x:v>inspection-inspector</x:v>
      </x:c>
      <x:c r="H492" s="35" t="str">
        <x:v>Inspector (optional)</x:v>
      </x:c>
      <x:c r="I492" s="20" t="str">
        <x:v>Property Manager</x:v>
      </x:c>
      <x:c r="J492" s="23" t="n">
        <x:v>46561</x:v>
      </x:c>
      <x:c r="K492" s="35" t="str">
        <x:v>valid non-default; boundary/format value; blank/null when optional; invalid value when constrained</x:v>
      </x:c>
      <x:c r="L492" s="35" t="str">
        <x:v>Save succeeds; reload shows the exact normalized value; other client reads it where supported; edit persists; validation rejects invalid input without partial mutation.</x:v>
      </x:c>
    </x:row>
    <x:row r="493">
      <x:c r="A493" s="20" t="str">
        <x:v>FLD-0490</x:v>
      </x:c>
      <x:c r="B493" s="20" t="str">
        <x:v>Web</x:v>
      </x:c>
      <x:c r="C493" s="35" t="str">
        <x:v>/maintenance</x:v>
      </x:c>
      <x:c r="D493" s="35" t="str">
        <x:v>web/src/routes/(protected)/maintenance/+page.svelte</x:v>
      </x:c>
      <x:c r="E493" s="32" t="n">
        <x:v>1170</x:v>
      </x:c>
      <x:c r="F493" s="20" t="str">
        <x:v>input</x:v>
      </x:c>
      <x:c r="G493" s="35" t="str">
        <x:v>inspection-template-name</x:v>
      </x:c>
      <x:c r="H493" s="35" t="str">
        <x:v>Name</x:v>
      </x:c>
      <x:c r="I493" s="20" t="str">
        <x:v>Property Manager</x:v>
      </x:c>
      <x:c r="J493" s="23" t="n">
        <x:v>46561</x:v>
      </x:c>
      <x:c r="K493" s="35" t="str">
        <x:v>valid non-default; boundary/format value; blank/null when optional; invalid value when constrained</x:v>
      </x:c>
      <x:c r="L493" s="35" t="str">
        <x:v>Save succeeds; reload shows the exact normalized value; other client reads it where supported; edit persists; validation rejects invalid input without partial mutation.</x:v>
      </x:c>
    </x:row>
    <x:row r="494">
      <x:c r="A494" s="20" t="str">
        <x:v>FLD-0491</x:v>
      </x:c>
      <x:c r="B494" s="20" t="str">
        <x:v>Web</x:v>
      </x:c>
      <x:c r="C494" s="35" t="str">
        <x:v>/maintenance</x:v>
      </x:c>
      <x:c r="D494" s="35" t="str">
        <x:v>web/src/routes/(protected)/maintenance/+page.svelte</x:v>
      </x:c>
      <x:c r="E494" s="32" t="n">
        <x:v>1182</x:v>
      </x:c>
      <x:c r="F494" s="20" t="str">
        <x:v>single</x:v>
      </x:c>
      <x:c r="G494" s="35" t="str">
        <x:v>templateForm.inspectionType</x:v>
      </x:c>
      <x:c r="H494" s="35" t="str">
        <x:v>Type</x:v>
      </x:c>
      <x:c r="I494" s="20" t="str">
        <x:v>Property Manager</x:v>
      </x:c>
      <x:c r="J494" s="23" t="n">
        <x:v>46561</x:v>
      </x:c>
      <x:c r="K494" s="35" t="str">
        <x:v>valid non-default; boundary/format value; blank/null when optional; invalid value when constrained</x:v>
      </x:c>
      <x:c r="L494" s="35" t="str">
        <x:v>Save succeeds; reload shows the exact normalized value; other client reads it where supported; edit persists; validation rejects invalid input without partial mutation.</x:v>
      </x:c>
    </x:row>
    <x:row r="495">
      <x:c r="A495" s="20" t="str">
        <x:v>FLD-0492</x:v>
      </x:c>
      <x:c r="B495" s="20" t="str">
        <x:v>Web</x:v>
      </x:c>
      <x:c r="C495" s="35" t="str">
        <x:v>/maintenance</x:v>
      </x:c>
      <x:c r="D495" s="35" t="str">
        <x:v>web/src/routes/(protected)/maintenance/+page.svelte</x:v>
      </x:c>
      <x:c r="E495" s="32" t="n">
        <x:v>1183</x:v>
      </x:c>
      <x:c r="F495" s="20" t="str">
        <x:v>select</x:v>
      </x:c>
      <x:c r="G495" s="35" t="str">
        <x:v>inspection-template-type</x:v>
      </x:c>
      <x:c r="H495" s="35" t="str">
        <x:v>Type</x:v>
      </x:c>
      <x:c r="I495" s="20" t="str">
        <x:v>Property Manager</x:v>
      </x:c>
      <x:c r="J495" s="23" t="n">
        <x:v>46562</x:v>
      </x:c>
      <x:c r="K495" s="35" t="str">
        <x:v>valid non-default; boundary/format value; blank/null when optional; invalid value when constrained</x:v>
      </x:c>
      <x:c r="L495" s="35" t="str">
        <x:v>Save succeeds; reload shows the exact normalized value; other client reads it where supported; edit persists; validation rejects invalid input without partial mutation.</x:v>
      </x:c>
    </x:row>
    <x:row r="496">
      <x:c r="A496" s="20" t="str">
        <x:v>FLD-0493</x:v>
      </x:c>
      <x:c r="B496" s="20" t="str">
        <x:v>Web</x:v>
      </x:c>
      <x:c r="C496" s="35" t="str">
        <x:v>/maintenance</x:v>
      </x:c>
      <x:c r="D496" s="35" t="str">
        <x:v>web/src/routes/(protected)/maintenance/+page.svelte</x:v>
      </x:c>
      <x:c r="E496" s="32" t="n">
        <x:v>1186</x:v>
      </x:c>
      <x:c r="F496" s="20" t="str">
        <x:v>select</x:v>
      </x:c>
      <x:c r="G496" s="35" t="str">
        <x:v>Select-33</x:v>
      </x:c>
      <x:c r="H496" s="35" t="str">
        <x:v>Type</x:v>
      </x:c>
      <x:c r="I496" s="20" t="str">
        <x:v>Property Manager</x:v>
      </x:c>
      <x:c r="J496" s="23" t="n">
        <x:v>46562</x:v>
      </x:c>
      <x:c r="K496" s="35" t="str">
        <x:v>valid non-default; boundary/format value; blank/null when optional; invalid value when constrained</x:v>
      </x:c>
      <x:c r="L496" s="35" t="str">
        <x:v>Save succeeds; reload shows the exact normalized value; other client reads it where supported; edit persists; validation rejects invalid input without partial mutation.</x:v>
      </x:c>
    </x:row>
    <x:row r="497">
      <x:c r="A497" s="20" t="str">
        <x:v>FLD-0494</x:v>
      </x:c>
      <x:c r="B497" s="20" t="str">
        <x:v>Web</x:v>
      </x:c>
      <x:c r="C497" s="35" t="str">
        <x:v>/maintenance</x:v>
      </x:c>
      <x:c r="D497" s="35" t="str">
        <x:v>web/src/routes/(protected)/maintenance/+page.svelte</x:v>
      </x:c>
      <x:c r="E497" s="32" t="n">
        <x:v>1188</x:v>
      </x:c>
      <x:c r="F497" s="20" t="str">
        <x:v>select</x:v>
      </x:c>
      <x:c r="G497" s="35" t="str">
        <x:v>Select-34</x:v>
      </x:c>
      <x:c r="H497" s="35" t="str">
        <x:v>Type</x:v>
      </x:c>
      <x:c r="I497" s="20" t="str">
        <x:v>Property Manager</x:v>
      </x:c>
      <x:c r="J497" s="23" t="n">
        <x:v>46562</x:v>
      </x:c>
      <x:c r="K497" s="35" t="str">
        <x:v>valid non-default; boundary/format value; blank/null when optional; invalid value when constrained</x:v>
      </x:c>
      <x:c r="L497" s="35" t="str">
        <x:v>Save succeeds; reload shows the exact normalized value; other client reads it where supported; edit persists; validation rejects invalid input without partial mutation.</x:v>
      </x:c>
    </x:row>
    <x:row r="498">
      <x:c r="A498" s="20" t="str">
        <x:v>FLD-0495</x:v>
      </x:c>
      <x:c r="B498" s="20" t="str">
        <x:v>Web</x:v>
      </x:c>
      <x:c r="C498" s="35" t="str">
        <x:v>/maintenance</x:v>
      </x:c>
      <x:c r="D498" s="35" t="str">
        <x:v>web/src/routes/(protected)/maintenance/+page.svelte</x:v>
      </x:c>
      <x:c r="E498" s="32" t="n">
        <x:v>1218</x:v>
      </x:c>
      <x:c r="F498" s="20" t="str">
        <x:v>input</x:v>
      </x:c>
      <x:c r="G498" s="35" t="str">
        <x:v>template-area-{item.key}</x:v>
      </x:c>
      <x:c r="H498" s="35" t="str">
        <x:v>Area</x:v>
      </x:c>
      <x:c r="I498" s="20" t="str">
        <x:v>Property Manager</x:v>
      </x:c>
      <x:c r="J498" s="23" t="n">
        <x:v>46562</x:v>
      </x:c>
      <x:c r="K498" s="35" t="str">
        <x:v>valid non-default; boundary/format value; blank/null when optional; invalid value when constrained</x:v>
      </x:c>
      <x:c r="L498" s="35" t="str">
        <x:v>Save succeeds; reload shows the exact normalized value; other client reads it where supported; edit persists; validation rejects invalid input without partial mutation.</x:v>
      </x:c>
    </x:row>
    <x:row r="499">
      <x:c r="A499" s="20" t="str">
        <x:v>FLD-0496</x:v>
      </x:c>
      <x:c r="B499" s="20" t="str">
        <x:v>Web</x:v>
      </x:c>
      <x:c r="C499" s="35" t="str">
        <x:v>/maintenance</x:v>
      </x:c>
      <x:c r="D499" s="35" t="str">
        <x:v>web/src/routes/(protected)/maintenance/+page.svelte</x:v>
      </x:c>
      <x:c r="E499" s="32" t="n">
        <x:v>1230</x:v>
      </x:c>
      <x:c r="F499" s="20" t="str">
        <x:v>input</x:v>
      </x:c>
      <x:c r="G499" s="35" t="str">
        <x:v>template-label-{item.key}</x:v>
      </x:c>
      <x:c r="H499" s="35" t="str">
        <x:v>Question</x:v>
      </x:c>
      <x:c r="I499" s="20" t="str">
        <x:v>Property Manager</x:v>
      </x:c>
      <x:c r="J499" s="23" t="n">
        <x:v>46563</x:v>
      </x:c>
      <x:c r="K499" s="35" t="str">
        <x:v>valid non-default; boundary/format value; blank/null when optional; invalid value when constrained</x:v>
      </x:c>
      <x:c r="L499" s="35" t="str">
        <x:v>Save succeeds; reload shows the exact normalized value; other client reads it where supported; edit persists; validation rejects invalid input without partial mutation.</x:v>
      </x:c>
    </x:row>
    <x:row r="500">
      <x:c r="A500" s="20" t="str">
        <x:v>FLD-0497</x:v>
      </x:c>
      <x:c r="B500" s="20" t="str">
        <x:v>Web</x:v>
      </x:c>
      <x:c r="C500" s="35" t="str">
        <x:v>/maintenance/inspections/[id]</x:v>
      </x:c>
      <x:c r="D500" s="35" t="str">
        <x:v>web/src/routes/(protected)/maintenance/inspections/[id]/+page.svelte</x:v>
      </x:c>
      <x:c r="E500" s="32" t="n">
        <x:v>503</x:v>
      </x:c>
      <x:c r="F500" s="20" t="str">
        <x:v>input</x:v>
      </x:c>
      <x:c r="G500" s="35" t="str">
        <x:v>inspection-new-question-area</x:v>
      </x:c>
      <x:c r="H500" s="35" t="str">
        <x:v>Area</x:v>
      </x:c>
      <x:c r="I500" s="20" t="str">
        <x:v>Property Manager</x:v>
      </x:c>
      <x:c r="J500" s="23" t="n">
        <x:v>46563</x:v>
      </x:c>
      <x:c r="K500" s="35" t="str">
        <x:v>valid non-default; boundary/format value; blank/null when optional; invalid value when constrained</x:v>
      </x:c>
      <x:c r="L500" s="35" t="str">
        <x:v>Save succeeds; reload shows the exact normalized value; other client reads it where supported; edit persists; validation rejects invalid input without partial mutation.</x:v>
      </x:c>
    </x:row>
    <x:row r="501">
      <x:c r="A501" s="20" t="str">
        <x:v>FLD-0498</x:v>
      </x:c>
      <x:c r="B501" s="20" t="str">
        <x:v>Web</x:v>
      </x:c>
      <x:c r="C501" s="35" t="str">
        <x:v>/maintenance/inspections/[id]</x:v>
      </x:c>
      <x:c r="D501" s="35" t="str">
        <x:v>web/src/routes/(protected)/maintenance/inspections/[id]/+page.svelte</x:v>
      </x:c>
      <x:c r="E501" s="32" t="n">
        <x:v>517</x:v>
      </x:c>
      <x:c r="F501" s="20" t="str">
        <x:v>input</x:v>
      </x:c>
      <x:c r="G501" s="35" t="str">
        <x:v>inspection-new-question-label</x:v>
      </x:c>
      <x:c r="H501" s="35" t="str">
        <x:v>Question</x:v>
      </x:c>
      <x:c r="I501" s="20" t="str">
        <x:v>Property Manager</x:v>
      </x:c>
      <x:c r="J501" s="23" t="n">
        <x:v>46563</x:v>
      </x:c>
      <x:c r="K501" s="35" t="str">
        <x:v>valid non-default; boundary/format value; blank/null when optional; invalid value when constrained</x:v>
      </x:c>
      <x:c r="L501" s="35" t="str">
        <x:v>Save succeeds; reload shows the exact normalized value; other client reads it where supported; edit persists; validation rejects invalid input without partial mutation.</x:v>
      </x:c>
    </x:row>
    <x:row r="502">
      <x:c r="A502" s="20" t="str">
        <x:v>FLD-0499</x:v>
      </x:c>
      <x:c r="B502" s="20" t="str">
        <x:v>Web</x:v>
      </x:c>
      <x:c r="C502" s="35" t="str">
        <x:v>/maintenance/inspections/[id]</x:v>
      </x:c>
      <x:c r="D502" s="35" t="str">
        <x:v>web/src/routes/(protected)/maintenance/inspections/[id]/+page.svelte</x:v>
      </x:c>
      <x:c r="E502" s="32" t="n">
        <x:v>565</x:v>
      </x:c>
      <x:c r="F502" s="20" t="str">
        <x:v>input</x:v>
      </x:c>
      <x:c r="G502" s="35" t="str">
        <x:v>inspection-item-{item.id}-area</x:v>
      </x:c>
      <x:c r="H502" s="35" t="str">
        <x:v>Area</x:v>
      </x:c>
      <x:c r="I502" s="20" t="str">
        <x:v>Property Manager</x:v>
      </x:c>
      <x:c r="J502" s="23" t="n">
        <x:v>46563</x:v>
      </x:c>
      <x:c r="K502" s="35" t="str">
        <x:v>valid non-default; boundary/format value; blank/null when optional; invalid value when constrained</x:v>
      </x:c>
      <x:c r="L502" s="35" t="str">
        <x:v>Save succeeds; reload shows the exact normalized value; other client reads it where supported; edit persists; validation rejects invalid input without partial mutation.</x:v>
      </x:c>
    </x:row>
    <x:row r="503">
      <x:c r="A503" s="20" t="str">
        <x:v>FLD-0500</x:v>
      </x:c>
      <x:c r="B503" s="20" t="str">
        <x:v>Web</x:v>
      </x:c>
      <x:c r="C503" s="35" t="str">
        <x:v>/maintenance/inspections/[id]</x:v>
      </x:c>
      <x:c r="D503" s="35" t="str">
        <x:v>web/src/routes/(protected)/maintenance/inspections/[id]/+page.svelte</x:v>
      </x:c>
      <x:c r="E503" s="32" t="n">
        <x:v>584</x:v>
      </x:c>
      <x:c r="F503" s="20" t="str">
        <x:v>input</x:v>
      </x:c>
      <x:c r="G503" s="35" t="str">
        <x:v>inspection-item-{item.id}-label-input</x:v>
      </x:c>
      <x:c r="H503" s="35" t="str">
        <x:v>Question</x:v>
      </x:c>
      <x:c r="I503" s="20" t="str">
        <x:v>Property Manager</x:v>
      </x:c>
      <x:c r="J503" s="23" t="n">
        <x:v>46563</x:v>
      </x:c>
      <x:c r="K503" s="35" t="str">
        <x:v>valid non-default; boundary/format value; blank/null when optional; invalid value when constrained</x:v>
      </x:c>
      <x:c r="L503" s="35" t="str">
        <x:v>Save succeeds; reload shows the exact normalized value; other client reads it where supported; edit persists; validation rejects invalid input without partial mutation.</x:v>
      </x:c>
    </x:row>
    <x:row r="504">
      <x:c r="A504" s="20" t="str">
        <x:v>FLD-0501</x:v>
      </x:c>
      <x:c r="B504" s="20" t="str">
        <x:v>Web</x:v>
      </x:c>
      <x:c r="C504" s="35" t="str">
        <x:v>/maintenance/inspections/[id]</x:v>
      </x:c>
      <x:c r="D504" s="35" t="str">
        <x:v>web/src/routes/(protected)/maintenance/inspections/[id]/+page.svelte</x:v>
      </x:c>
      <x:c r="E504" s="32" t="n">
        <x:v>712</x:v>
      </x:c>
      <x:c r="F504" s="20" t="str">
        <x:v>textarea</x:v>
      </x:c>
      <x:c r="G504" s="35" t="str">
        <x:v>note-{item.id}</x:v>
      </x:c>
      <x:c r="H504" s="35" t="str">
        <x:v>Note (optional)</x:v>
      </x:c>
      <x:c r="I504" s="20" t="str">
        <x:v>Property Manager</x:v>
      </x:c>
      <x:c r="J504" s="23" t="n">
        <x:v>46566</x:v>
      </x:c>
      <x:c r="K504" s="35" t="str">
        <x:v>valid non-default; boundary/format value; blank/null when optional; invalid value when constrained</x:v>
      </x:c>
      <x:c r="L504" s="35" t="str">
        <x:v>Save succeeds; reload shows the exact normalized value; other client reads it where supported; edit persists; validation rejects invalid input without partial mutation.</x:v>
      </x:c>
    </x:row>
    <x:row r="505">
      <x:c r="A505" s="20" t="str">
        <x:v>FLD-0502</x:v>
      </x:c>
      <x:c r="B505" s="20" t="str">
        <x:v>Web</x:v>
      </x:c>
      <x:c r="C505" s="35" t="str">
        <x:v>/maintenance/inspections/[id]</x:v>
      </x:c>
      <x:c r="D505" s="35" t="str">
        <x:v>web/src/routes/(protected)/maintenance/inspections/[id]/+page.svelte</x:v>
      </x:c>
      <x:c r="E505" s="32" t="n">
        <x:v>764</x:v>
      </x:c>
      <x:c r="F505" s="20" t="str">
        <x:v>file</x:v>
      </x:c>
      <x:c r="G505" s="35" t="str">
        <x:v>input-6</x:v>
      </x:c>
      <x:c r="H505" s="35" t="str"/>
      <x:c r="I505" s="20" t="str">
        <x:v>Property Manager</x:v>
      </x:c>
      <x:c r="J505" s="23" t="n">
        <x:v>46566</x:v>
      </x:c>
      <x:c r="K505" s="35" t="str">
        <x:v>valid non-default; boundary/format value; blank/null when optional; invalid value when constrained</x:v>
      </x:c>
      <x:c r="L505" s="35" t="str">
        <x:v>Save succeeds; reload shows the exact normalized value; other client reads it where supported; edit persists; validation rejects invalid input without partial mutation.</x:v>
      </x:c>
    </x:row>
    <x:row r="506">
      <x:c r="A506" s="20" t="str">
        <x:v>FLD-0503</x:v>
      </x:c>
      <x:c r="B506" s="20" t="str">
        <x:v>Web</x:v>
      </x:c>
      <x:c r="C506" s="35" t="str">
        <x:v>/maintenance/recurring</x:v>
      </x:c>
      <x:c r="D506" s="35" t="str">
        <x:v>web/src/routes/(protected)/maintenance/recurring/+page.svelte</x:v>
      </x:c>
      <x:c r="E506" s="32" t="n">
        <x:v>485</x:v>
      </x:c>
      <x:c r="F506" s="20" t="str">
        <x:v>input</x:v>
      </x:c>
      <x:c r="G506" s="35" t="str">
        <x:v>rt-title</x:v>
      </x:c>
      <x:c r="H506" s="35" t="str">
        <x:v>What needs doing?</x:v>
      </x:c>
      <x:c r="I506" s="20" t="str">
        <x:v>Property Manager</x:v>
      </x:c>
      <x:c r="J506" s="23" t="n">
        <x:v>46566</x:v>
      </x:c>
      <x:c r="K506" s="35" t="str">
        <x:v>valid non-default; boundary/format value; blank/null when optional; invalid value when constrained</x:v>
      </x:c>
      <x:c r="L506" s="35" t="str">
        <x:v>Save succeeds; reload shows the exact normalized value; other client reads it where supported; edit persists; validation rejects invalid input without partial mutation.</x:v>
      </x:c>
    </x:row>
    <x:row r="507">
      <x:c r="A507" s="20" t="str">
        <x:v>FLD-0504</x:v>
      </x:c>
      <x:c r="B507" s="20" t="str">
        <x:v>Web</x:v>
      </x:c>
      <x:c r="C507" s="35" t="str">
        <x:v>/maintenance/recurring</x:v>
      </x:c>
      <x:c r="D507" s="35" t="str">
        <x:v>web/src/routes/(protected)/maintenance/recurring/+page.svelte</x:v>
      </x:c>
      <x:c r="E507" s="32" t="n">
        <x:v>548</x:v>
      </x:c>
      <x:c r="F507" s="20" t="str">
        <x:v>single</x:v>
      </x:c>
      <x:c r="G507" s="35" t="str">
        <x:v>form.recurrenceInterval</x:v>
      </x:c>
      <x:c r="H507" s="35" t="str"/>
      <x:c r="I507" s="20" t="str">
        <x:v>Property Manager</x:v>
      </x:c>
      <x:c r="J507" s="23" t="n">
        <x:v>46566</x:v>
      </x:c>
      <x:c r="K507" s="35" t="str">
        <x:v>valid non-default; boundary/format value; blank/null when optional; invalid value when constrained</x:v>
      </x:c>
      <x:c r="L507" s="35" t="str">
        <x:v>Save succeeds; reload shows the exact normalized value; other client reads it where supported; edit persists; validation rejects invalid input without partial mutation.</x:v>
      </x:c>
    </x:row>
    <x:row r="508">
      <x:c r="A508" s="20" t="str">
        <x:v>FLD-0505</x:v>
      </x:c>
      <x:c r="B508" s="20" t="str">
        <x:v>Web</x:v>
      </x:c>
      <x:c r="C508" s="35" t="str">
        <x:v>/maintenance/recurring</x:v>
      </x:c>
      <x:c r="D508" s="35" t="str">
        <x:v>web/src/routes/(protected)/maintenance/recurring/+page.svelte</x:v>
      </x:c>
      <x:c r="E508" s="32" t="n">
        <x:v>549</x:v>
      </x:c>
      <x:c r="F508" s="20" t="str">
        <x:v>select</x:v>
      </x:c>
      <x:c r="G508" s="35" t="str">
        <x:v>recurring-task-interval-input</x:v>
      </x:c>
      <x:c r="H508" s="35" t="str"/>
      <x:c r="I508" s="20" t="str">
        <x:v>Property Manager</x:v>
      </x:c>
      <x:c r="J508" s="23" t="n">
        <x:v>46567</x:v>
      </x:c>
      <x:c r="K508" s="35" t="str">
        <x:v>valid non-default; boundary/format value; blank/null when optional; invalid value when constrained</x:v>
      </x:c>
      <x:c r="L508" s="35" t="str">
        <x:v>Save succeeds; reload shows the exact normalized value; other client reads it where supported; edit persists; validation rejects invalid input without partial mutation.</x:v>
      </x:c>
    </x:row>
    <x:row r="509">
      <x:c r="A509" s="20" t="str">
        <x:v>FLD-0506</x:v>
      </x:c>
      <x:c r="B509" s="20" t="str">
        <x:v>Web</x:v>
      </x:c>
      <x:c r="C509" s="35" t="str">
        <x:v>/maintenance/recurring</x:v>
      </x:c>
      <x:c r="D509" s="35" t="str">
        <x:v>web/src/routes/(protected)/maintenance/recurring/+page.svelte</x:v>
      </x:c>
      <x:c r="E509" s="32" t="n">
        <x:v>552</x:v>
      </x:c>
      <x:c r="F509" s="20" t="str">
        <x:v>select</x:v>
      </x:c>
      <x:c r="G509" s="35" t="str">
        <x:v>Select-4</x:v>
      </x:c>
      <x:c r="H509" s="35" t="str"/>
      <x:c r="I509" s="20" t="str">
        <x:v>Property Manager</x:v>
      </x:c>
      <x:c r="J509" s="23" t="n">
        <x:v>46567</x:v>
      </x:c>
      <x:c r="K509" s="35" t="str">
        <x:v>valid non-default; boundary/format value; blank/null when optional; invalid value when constrained</x:v>
      </x:c>
      <x:c r="L509" s="35" t="str">
        <x:v>Save succeeds; reload shows the exact normalized value; other client reads it where supported; edit persists; validation rejects invalid input without partial mutation.</x:v>
      </x:c>
    </x:row>
    <x:row r="510">
      <x:c r="A510" s="20" t="str">
        <x:v>FLD-0507</x:v>
      </x:c>
      <x:c r="B510" s="20" t="str">
        <x:v>Web</x:v>
      </x:c>
      <x:c r="C510" s="35" t="str">
        <x:v>/maintenance/recurring</x:v>
      </x:c>
      <x:c r="D510" s="35" t="str">
        <x:v>web/src/routes/(protected)/maintenance/recurring/+page.svelte</x:v>
      </x:c>
      <x:c r="E510" s="32" t="n">
        <x:v>554</x:v>
      </x:c>
      <x:c r="F510" s="20" t="str">
        <x:v>select</x:v>
      </x:c>
      <x:c r="G510" s="35" t="str">
        <x:v>Select-5</x:v>
      </x:c>
      <x:c r="H510" s="35" t="str"/>
      <x:c r="I510" s="20" t="str">
        <x:v>Property Manager</x:v>
      </x:c>
      <x:c r="J510" s="23" t="n">
        <x:v>46567</x:v>
      </x:c>
      <x:c r="K510" s="35" t="str">
        <x:v>valid non-default; boundary/format value; blank/null when optional; invalid value when constrained</x:v>
      </x:c>
      <x:c r="L510" s="35" t="str">
        <x:v>Save succeeds; reload shows the exact normalized value; other client reads it where supported; edit persists; validation rejects invalid input without partial mutation.</x:v>
      </x:c>
    </x:row>
    <x:row r="511">
      <x:c r="A511" s="20" t="str">
        <x:v>FLD-0508</x:v>
      </x:c>
      <x:c r="B511" s="20" t="str">
        <x:v>Web</x:v>
      </x:c>
      <x:c r="C511" s="35" t="str">
        <x:v>/maintenance/recurring</x:v>
      </x:c>
      <x:c r="D511" s="35" t="str">
        <x:v>web/src/routes/(protected)/maintenance/recurring/+page.svelte</x:v>
      </x:c>
      <x:c r="E511" s="32" t="n">
        <x:v>570</x:v>
      </x:c>
      <x:c r="F511" s="20" t="str">
        <x:v>time</x:v>
      </x:c>
      <x:c r="G511" s="35" t="str">
        <x:v>rt-time</x:v>
      </x:c>
      <x:c r="H511" s="35" t="str">
        <x:v>Scheduled time (optional)</x:v>
      </x:c>
      <x:c r="I511" s="20" t="str">
        <x:v>Property Manager</x:v>
      </x:c>
      <x:c r="J511" s="23" t="n">
        <x:v>46567</x:v>
      </x:c>
      <x:c r="K511" s="35" t="str">
        <x:v>valid non-default; boundary/format value; blank/null when optional; invalid value when constrained</x:v>
      </x:c>
      <x:c r="L511" s="35" t="str">
        <x:v>Save succeeds; reload shows the exact normalized value; other client reads it where supported; edit persists; validation rejects invalid input without partial mutation.</x:v>
      </x:c>
    </x:row>
    <x:row r="512">
      <x:c r="A512" s="20" t="str">
        <x:v>FLD-0509</x:v>
      </x:c>
      <x:c r="B512" s="20" t="str">
        <x:v>Web</x:v>
      </x:c>
      <x:c r="C512" s="35" t="str">
        <x:v>/maintenance/recurring</x:v>
      </x:c>
      <x:c r="D512" s="35" t="str">
        <x:v>web/src/routes/(protected)/maintenance/recurring/+page.svelte</x:v>
      </x:c>
      <x:c r="E512" s="32" t="n">
        <x:v>574</x:v>
      </x:c>
      <x:c r="F512" s="20" t="str">
        <x:v>text</x:v>
      </x:c>
      <x:c r="G512" s="35" t="str">
        <x:v>rt-estimated-cost</x:v>
      </x:c>
      <x:c r="H512" s="35" t="str">
        <x:v>Expected cost (optional)</x:v>
      </x:c>
      <x:c r="I512" s="20" t="str">
        <x:v>Property Manager</x:v>
      </x:c>
      <x:c r="J512" s="23" t="n">
        <x:v>46567</x:v>
      </x:c>
      <x:c r="K512" s="35" t="str">
        <x:v>valid non-default; boundary/format value; blank/null when optional; invalid value when constrained</x:v>
      </x:c>
      <x:c r="L512" s="35" t="str">
        <x:v>Save succeeds; reload shows the exact normalized value; other client reads it where supported; edit persists; validation rejects invalid input without partial mutation.</x:v>
      </x:c>
    </x:row>
    <x:row r="513">
      <x:c r="A513" s="20" t="str">
        <x:v>FLD-0510</x:v>
      </x:c>
      <x:c r="B513" s="20" t="str">
        <x:v>Web</x:v>
      </x:c>
      <x:c r="C513" s="35" t="str">
        <x:v>/maintenance/recurring</x:v>
      </x:c>
      <x:c r="D513" s="35" t="str">
        <x:v>web/src/routes/(protected)/maintenance/recurring/+page.svelte</x:v>
      </x:c>
      <x:c r="E513" s="32" t="n">
        <x:v>593</x:v>
      </x:c>
      <x:c r="F513" s="20" t="str">
        <x:v>single</x:v>
      </x:c>
      <x:c r="G513" s="35" t="str">
        <x:v>form.priority</x:v>
      </x:c>
      <x:c r="H513" s="35" t="str"/>
      <x:c r="I513" s="20" t="str">
        <x:v>Property Manager</x:v>
      </x:c>
      <x:c r="J513" s="23" t="n">
        <x:v>46568</x:v>
      </x:c>
      <x:c r="K513" s="35" t="str">
        <x:v>valid non-default; boundary/format value; blank/null when optional; invalid value when constrained</x:v>
      </x:c>
      <x:c r="L513" s="35" t="str">
        <x:v>Save succeeds; reload shows the exact normalized value; other client reads it where supported; edit persists; validation rejects invalid input without partial mutation.</x:v>
      </x:c>
    </x:row>
    <x:row r="514">
      <x:c r="A514" s="20" t="str">
        <x:v>FLD-0511</x:v>
      </x:c>
      <x:c r="B514" s="20" t="str">
        <x:v>Web</x:v>
      </x:c>
      <x:c r="C514" s="35" t="str">
        <x:v>/maintenance/recurring</x:v>
      </x:c>
      <x:c r="D514" s="35" t="str">
        <x:v>web/src/routes/(protected)/maintenance/recurring/+page.svelte</x:v>
      </x:c>
      <x:c r="E514" s="32" t="n">
        <x:v>594</x:v>
      </x:c>
      <x:c r="F514" s="20" t="str">
        <x:v>select</x:v>
      </x:c>
      <x:c r="G514" s="35" t="str">
        <x:v>recurring-task-priority-input</x:v>
      </x:c>
      <x:c r="H514" s="35" t="str"/>
      <x:c r="I514" s="20" t="str">
        <x:v>Property Manager</x:v>
      </x:c>
      <x:c r="J514" s="23" t="n">
        <x:v>46568</x:v>
      </x:c>
      <x:c r="K514" s="35" t="str">
        <x:v>valid non-default; boundary/format value; blank/null when optional; invalid value when constrained</x:v>
      </x:c>
      <x:c r="L514" s="35" t="str">
        <x:v>Save succeeds; reload shows the exact normalized value; other client reads it where supported; edit persists; validation rejects invalid input without partial mutation.</x:v>
      </x:c>
    </x:row>
    <x:row r="515">
      <x:c r="A515" s="20" t="str">
        <x:v>FLD-0512</x:v>
      </x:c>
      <x:c r="B515" s="20" t="str">
        <x:v>Web</x:v>
      </x:c>
      <x:c r="C515" s="35" t="str">
        <x:v>/maintenance/recurring</x:v>
      </x:c>
      <x:c r="D515" s="35" t="str">
        <x:v>web/src/routes/(protected)/maintenance/recurring/+page.svelte</x:v>
      </x:c>
      <x:c r="E515" s="32" t="n">
        <x:v>597</x:v>
      </x:c>
      <x:c r="F515" s="20" t="str">
        <x:v>select</x:v>
      </x:c>
      <x:c r="G515" s="35" t="str">
        <x:v>Select-10</x:v>
      </x:c>
      <x:c r="H515" s="35" t="str"/>
      <x:c r="I515" s="20" t="str">
        <x:v>Property Manager</x:v>
      </x:c>
      <x:c r="J515" s="23" t="n">
        <x:v>46568</x:v>
      </x:c>
      <x:c r="K515" s="35" t="str">
        <x:v>valid non-default; boundary/format value; blank/null when optional; invalid value when constrained</x:v>
      </x:c>
      <x:c r="L515" s="35" t="str">
        <x:v>Save succeeds; reload shows the exact normalized value; other client reads it where supported; edit persists; validation rejects invalid input without partial mutation.</x:v>
      </x:c>
    </x:row>
    <x:row r="516">
      <x:c r="A516" s="20" t="str">
        <x:v>FLD-0513</x:v>
      </x:c>
      <x:c r="B516" s="20" t="str">
        <x:v>Web</x:v>
      </x:c>
      <x:c r="C516" s="35" t="str">
        <x:v>/maintenance/recurring</x:v>
      </x:c>
      <x:c r="D516" s="35" t="str">
        <x:v>web/src/routes/(protected)/maintenance/recurring/+page.svelte</x:v>
      </x:c>
      <x:c r="E516" s="32" t="n">
        <x:v>599</x:v>
      </x:c>
      <x:c r="F516" s="20" t="str">
        <x:v>select</x:v>
      </x:c>
      <x:c r="G516" s="35" t="str">
        <x:v>Select-11</x:v>
      </x:c>
      <x:c r="H516" s="35" t="str"/>
      <x:c r="I516" s="20" t="str">
        <x:v>Property Manager</x:v>
      </x:c>
      <x:c r="J516" s="23" t="n">
        <x:v>46568</x:v>
      </x:c>
      <x:c r="K516" s="35" t="str">
        <x:v>valid non-default; boundary/format value; blank/null when optional; invalid value when constrained</x:v>
      </x:c>
      <x:c r="L516" s="35" t="str">
        <x:v>Save succeeds; reload shows the exact normalized value; other client reads it where supported; edit persists; validation rejects invalid input without partial mutation.</x:v>
      </x:c>
    </x:row>
    <x:row r="517">
      <x:c r="A517" s="20" t="str">
        <x:v>FLD-0514</x:v>
      </x:c>
      <x:c r="B517" s="20" t="str">
        <x:v>Web</x:v>
      </x:c>
      <x:c r="C517" s="35" t="str">
        <x:v>/maintenance/recurring</x:v>
      </x:c>
      <x:c r="D517" s="35" t="str">
        <x:v>web/src/routes/(protected)/maintenance/recurring/+page.svelte</x:v>
      </x:c>
      <x:c r="E517" s="32" t="n">
        <x:v>606</x:v>
      </x:c>
      <x:c r="F517" s="20" t="str">
        <x:v>input</x:v>
      </x:c>
      <x:c r="G517" s="35" t="str">
        <x:v>rt-category</x:v>
      </x:c>
      <x:c r="H517" s="35" t="str">
        <x:v>Category (optional)</x:v>
      </x:c>
      <x:c r="I517" s="20" t="str">
        <x:v>Property Manager</x:v>
      </x:c>
      <x:c r="J517" s="23" t="n">
        <x:v>46569</x:v>
      </x:c>
      <x:c r="K517" s="35" t="str">
        <x:v>valid non-default; boundary/format value; blank/null when optional; invalid value when constrained</x:v>
      </x:c>
      <x:c r="L517" s="35" t="str">
        <x:v>Save succeeds; reload shows the exact normalized value; other client reads it where supported; edit persists; validation rejects invalid input without partial mutation.</x:v>
      </x:c>
    </x:row>
    <x:row r="518">
      <x:c r="A518" s="20" t="str">
        <x:v>FLD-0515</x:v>
      </x:c>
      <x:c r="B518" s="20" t="str">
        <x:v>Web</x:v>
      </x:c>
      <x:c r="C518" s="35" t="str">
        <x:v>/maintenance/recurring</x:v>
      </x:c>
      <x:c r="D518" s="35" t="str">
        <x:v>web/src/routes/(protected)/maintenance/recurring/+page.svelte</x:v>
      </x:c>
      <x:c r="E518" s="32" t="n">
        <x:v>613</x:v>
      </x:c>
      <x:c r="F518" s="20" t="str">
        <x:v>textarea</x:v>
      </x:c>
      <x:c r="G518" s="35" t="str">
        <x:v>rt-desc</x:v>
      </x:c>
      <x:c r="H518" s="35" t="str">
        <x:v>Notes (optional)</x:v>
      </x:c>
      <x:c r="I518" s="20" t="str">
        <x:v>Property Manager</x:v>
      </x:c>
      <x:c r="J518" s="23" t="n">
        <x:v>46569</x:v>
      </x:c>
      <x:c r="K518" s="35" t="str">
        <x:v>valid non-default; boundary/format value; blank/null when optional; invalid value when constrained</x:v>
      </x:c>
      <x:c r="L518" s="35" t="str">
        <x:v>Save succeeds; reload shows the exact normalized value; other client reads it where supported; edit persists; validation rejects invalid input without partial mutation.</x:v>
      </x:c>
    </x:row>
    <x:row r="519">
      <x:c r="A519" s="20" t="str">
        <x:v>FLD-0516</x:v>
      </x:c>
      <x:c r="B519" s="20" t="str">
        <x:v>Web</x:v>
      </x:c>
      <x:c r="C519" s="35" t="str">
        <x:v>/messages</x:v>
      </x:c>
      <x:c r="D519" s="35" t="str">
        <x:v>web/src/routes/(protected)/messages/+page.svelte</x:v>
      </x:c>
      <x:c r="E519" s="32" t="n">
        <x:v>459</x:v>
      </x:c>
      <x:c r="F519" s="20" t="str">
        <x:v>textarea</x:v>
      </x:c>
      <x:c r="G519" s="35" t="str">
        <x:v>reply-input</x:v>
      </x:c>
      <x:c r="H519" s="35" t="str">
        <x:v>Type a message…  (Enter to send)</x:v>
      </x:c>
      <x:c r="I519" s="20" t="str">
        <x:v>Property Manager</x:v>
      </x:c>
      <x:c r="J519" s="23" t="n">
        <x:v>46569</x:v>
      </x:c>
      <x:c r="K519" s="35" t="str">
        <x:v>valid non-default; boundary/format value; blank/null when optional; invalid value when constrained</x:v>
      </x:c>
      <x:c r="L519" s="35" t="str">
        <x:v>Save succeeds; reload shows the exact normalized value; other client reads it where supported; edit persists; validation rejects invalid input without partial mutation.</x:v>
      </x:c>
    </x:row>
    <x:row r="520">
      <x:c r="A520" s="20" t="str">
        <x:v>FLD-0517</x:v>
      </x:c>
      <x:c r="B520" s="20" t="str">
        <x:v>Web</x:v>
      </x:c>
      <x:c r="C520" s="35" t="str">
        <x:v>/messages</x:v>
      </x:c>
      <x:c r="D520" s="35" t="str">
        <x:v>web/src/routes/(protected)/messages/+page.svelte</x:v>
      </x:c>
      <x:c r="E520" s="32" t="n">
        <x:v>576</x:v>
      </x:c>
      <x:c r="F520" s="20" t="str">
        <x:v>input</x:v>
      </x:c>
      <x:c r="G520" s="35" t="str">
        <x:v>conversation-compose-tenant-search</x:v>
      </x:c>
      <x:c r="H520" s="35" t="str">
        <x:v>Search tenants</x:v>
      </x:c>
      <x:c r="I520" s="20" t="str">
        <x:v>Property Manager</x:v>
      </x:c>
      <x:c r="J520" s="23" t="n">
        <x:v>46569</x:v>
      </x:c>
      <x:c r="K520" s="35" t="str">
        <x:v>valid non-default; boundary/format value; blank/null when optional; invalid value when constrained</x:v>
      </x:c>
      <x:c r="L520" s="35" t="str">
        <x:v>Save succeeds; reload shows the exact normalized value; other client reads it where supported; edit persists; validation rejects invalid input without partial mutation.</x:v>
      </x:c>
    </x:row>
    <x:row r="521">
      <x:c r="A521" s="20" t="str">
        <x:v>FLD-0518</x:v>
      </x:c>
      <x:c r="B521" s="20" t="str">
        <x:v>Web</x:v>
      </x:c>
      <x:c r="C521" s="35" t="str">
        <x:v>/messages</x:v>
      </x:c>
      <x:c r="D521" s="35" t="str">
        <x:v>web/src/routes/(protected)/messages/+page.svelte</x:v>
      </x:c>
      <x:c r="E521" s="32" t="n">
        <x:v>582</x:v>
      </x:c>
      <x:c r="F521" s="20" t="str">
        <x:v>single</x:v>
      </x:c>
      <x:c r="G521" s="35" t="str">
        <x:v>composeForm.tenantId</x:v>
      </x:c>
      <x:c r="H521" s="35" t="str"/>
      <x:c r="I521" s="20" t="str">
        <x:v>Property Manager</x:v>
      </x:c>
      <x:c r="J521" s="23" t="n">
        <x:v>46569</x:v>
      </x:c>
      <x:c r="K521" s="35" t="str">
        <x:v>valid non-default; boundary/format value; blank/null when optional; invalid value when constrained</x:v>
      </x:c>
      <x:c r="L521" s="35" t="str">
        <x:v>Save succeeds; reload shows the exact normalized value; other client reads it where supported; edit persists; validation rejects invalid input without partial mutation.</x:v>
      </x:c>
    </x:row>
    <x:row r="522">
      <x:c r="A522" s="20" t="str">
        <x:v>FLD-0519</x:v>
      </x:c>
      <x:c r="B522" s="20" t="str">
        <x:v>Web</x:v>
      </x:c>
      <x:c r="C522" s="35" t="str">
        <x:v>/messages</x:v>
      </x:c>
      <x:c r="D522" s="35" t="str">
        <x:v>web/src/routes/(protected)/messages/+page.svelte</x:v>
      </x:c>
      <x:c r="E522" s="32" t="n">
        <x:v>583</x:v>
      </x:c>
      <x:c r="F522" s="20" t="str">
        <x:v>select</x:v>
      </x:c>
      <x:c r="G522" s="35" t="str">
        <x:v>conversation-compose-tenant</x:v>
      </x:c>
      <x:c r="H522" s="35" t="str"/>
      <x:c r="I522" s="20" t="str">
        <x:v>Property Manager</x:v>
      </x:c>
      <x:c r="J522" s="23" t="n">
        <x:v>46570</x:v>
      </x:c>
      <x:c r="K522" s="35" t="str">
        <x:v>valid non-default; boundary/format value; blank/null when optional; invalid value when constrained</x:v>
      </x:c>
      <x:c r="L522" s="35" t="str">
        <x:v>Save succeeds; reload shows the exact normalized value; other client reads it where supported; edit persists; validation rejects invalid input without partial mutation.</x:v>
      </x:c>
    </x:row>
    <x:row r="523">
      <x:c r="A523" s="20" t="str">
        <x:v>FLD-0520</x:v>
      </x:c>
      <x:c r="B523" s="20" t="str">
        <x:v>Web</x:v>
      </x:c>
      <x:c r="C523" s="35" t="str">
        <x:v>/messages</x:v>
      </x:c>
      <x:c r="D523" s="35" t="str">
        <x:v>web/src/routes/(protected)/messages/+page.svelte</x:v>
      </x:c>
      <x:c r="E523" s="32" t="n">
        <x:v>586</x:v>
      </x:c>
      <x:c r="F523" s="20" t="str">
        <x:v>select</x:v>
      </x:c>
      <x:c r="G523" s="35" t="str">
        <x:v>Select-5</x:v>
      </x:c>
      <x:c r="H523" s="35" t="str"/>
      <x:c r="I523" s="20" t="str">
        <x:v>Property Manager</x:v>
      </x:c>
      <x:c r="J523" s="23" t="n">
        <x:v>46570</x:v>
      </x:c>
      <x:c r="K523" s="35" t="str">
        <x:v>valid non-default; boundary/format value; blank/null when optional; invalid value when constrained</x:v>
      </x:c>
      <x:c r="L523" s="35" t="str">
        <x:v>Save succeeds; reload shows the exact normalized value; other client reads it where supported; edit persists; validation rejects invalid input without partial mutation.</x:v>
      </x:c>
    </x:row>
    <x:row r="524">
      <x:c r="A524" s="20" t="str">
        <x:v>FLD-0521</x:v>
      </x:c>
      <x:c r="B524" s="20" t="str">
        <x:v>Web</x:v>
      </x:c>
      <x:c r="C524" s="35" t="str">
        <x:v>/messages</x:v>
      </x:c>
      <x:c r="D524" s="35" t="str">
        <x:v>web/src/routes/(protected)/messages/+page.svelte</x:v>
      </x:c>
      <x:c r="E524" s="32" t="n">
        <x:v>588</x:v>
      </x:c>
      <x:c r="F524" s="20" t="str">
        <x:v>select</x:v>
      </x:c>
      <x:c r="G524" s="35" t="str">
        <x:v>Select-6</x:v>
      </x:c>
      <x:c r="H524" s="35" t="str"/>
      <x:c r="I524" s="20" t="str">
        <x:v>Property Manager</x:v>
      </x:c>
      <x:c r="J524" s="23" t="n">
        <x:v>46570</x:v>
      </x:c>
      <x:c r="K524" s="35" t="str">
        <x:v>valid non-default; boundary/format value; blank/null when optional; invalid value when constrained</x:v>
      </x:c>
      <x:c r="L524" s="35" t="str">
        <x:v>Save succeeds; reload shows the exact normalized value; other client reads it where supported; edit persists; validation rejects invalid input without partial mutation.</x:v>
      </x:c>
    </x:row>
    <x:row r="525">
      <x:c r="A525" s="20" t="str">
        <x:v>FLD-0522</x:v>
      </x:c>
      <x:c r="B525" s="20" t="str">
        <x:v>Web</x:v>
      </x:c>
      <x:c r="C525" s="35" t="str">
        <x:v>/messages</x:v>
      </x:c>
      <x:c r="D525" s="35" t="str">
        <x:v>web/src/routes/(protected)/messages/+page.svelte</x:v>
      </x:c>
      <x:c r="E525" s="32" t="n">
        <x:v>590</x:v>
      </x:c>
      <x:c r="F525" s="20" t="str">
        <x:v>select</x:v>
      </x:c>
      <x:c r="G525" s="35" t="str">
        <x:v>Select-7</x:v>
      </x:c>
      <x:c r="H525" s="35" t="str"/>
      <x:c r="I525" s="20" t="str">
        <x:v>Property Manager</x:v>
      </x:c>
      <x:c r="J525" s="23" t="n">
        <x:v>46570</x:v>
      </x:c>
      <x:c r="K525" s="35" t="str">
        <x:v>valid non-default; boundary/format value; blank/null when optional; invalid value when constrained</x:v>
      </x:c>
      <x:c r="L525" s="35" t="str">
        <x:v>Save succeeds; reload shows the exact normalized value; other client reads it where supported; edit persists; validation rejects invalid input without partial mutation.</x:v>
      </x:c>
    </x:row>
    <x:row r="526">
      <x:c r="A526" s="20" t="str">
        <x:v>FLD-0523</x:v>
      </x:c>
      <x:c r="B526" s="20" t="str">
        <x:v>Web</x:v>
      </x:c>
      <x:c r="C526" s="35" t="str">
        <x:v>/messages</x:v>
      </x:c>
      <x:c r="D526" s="35" t="str">
        <x:v>web/src/routes/(protected)/messages/+page.svelte</x:v>
      </x:c>
      <x:c r="E526" s="32" t="n">
        <x:v>592</x:v>
      </x:c>
      <x:c r="F526" s="20" t="str">
        <x:v>select</x:v>
      </x:c>
      <x:c r="G526" s="35" t="str">
        <x:v>Select-8</x:v>
      </x:c>
      <x:c r="H526" s="35" t="str"/>
      <x:c r="I526" s="20" t="str">
        <x:v>Property Manager</x:v>
      </x:c>
      <x:c r="J526" s="23" t="n">
        <x:v>46573</x:v>
      </x:c>
      <x:c r="K526" s="35" t="str">
        <x:v>valid non-default; boundary/format value; blank/null when optional; invalid value when constrained</x:v>
      </x:c>
      <x:c r="L526" s="35" t="str">
        <x:v>Save succeeds; reload shows the exact normalized value; other client reads it where supported; edit persists; validation rejects invalid input without partial mutation.</x:v>
      </x:c>
    </x:row>
    <x:row r="527">
      <x:c r="A527" s="20" t="str">
        <x:v>FLD-0524</x:v>
      </x:c>
      <x:c r="B527" s="20" t="str">
        <x:v>Web</x:v>
      </x:c>
      <x:c r="C527" s="35" t="str">
        <x:v>/messages</x:v>
      </x:c>
      <x:c r="D527" s="35" t="str">
        <x:v>web/src/routes/(protected)/messages/+page.svelte</x:v>
      </x:c>
      <x:c r="E527" s="32" t="n">
        <x:v>595</x:v>
      </x:c>
      <x:c r="F527" s="20" t="str">
        <x:v>select</x:v>
      </x:c>
      <x:c r="G527" s="35" t="str">
        <x:v>Select-9</x:v>
      </x:c>
      <x:c r="H527" s="35" t="str"/>
      <x:c r="I527" s="20" t="str">
        <x:v>Property Manager</x:v>
      </x:c>
      <x:c r="J527" s="23" t="n">
        <x:v>46573</x:v>
      </x:c>
      <x:c r="K527" s="35" t="str">
        <x:v>valid non-default; boundary/format value; blank/null when optional; invalid value when constrained</x:v>
      </x:c>
      <x:c r="L527" s="35" t="str">
        <x:v>Save succeeds; reload shows the exact normalized value; other client reads it where supported; edit persists; validation rejects invalid input without partial mutation.</x:v>
      </x:c>
    </x:row>
    <x:row r="528">
      <x:c r="A528" s="20" t="str">
        <x:v>FLD-0525</x:v>
      </x:c>
      <x:c r="B528" s="20" t="str">
        <x:v>Web</x:v>
      </x:c>
      <x:c r="C528" s="35" t="str">
        <x:v>/messages</x:v>
      </x:c>
      <x:c r="D528" s="35" t="str">
        <x:v>web/src/routes/(protected)/messages/+page.svelte</x:v>
      </x:c>
      <x:c r="E528" s="32" t="n">
        <x:v>605</x:v>
      </x:c>
      <x:c r="F528" s="20" t="str">
        <x:v>input</x:v>
      </x:c>
      <x:c r="G528" s="35" t="str">
        <x:v>conversation-compose-subject</x:v>
      </x:c>
      <x:c r="H528" s="35" t="str">
        <x:v>Topic</x:v>
      </x:c>
      <x:c r="I528" s="20" t="str">
        <x:v>Property Manager</x:v>
      </x:c>
      <x:c r="J528" s="23" t="n">
        <x:v>46573</x:v>
      </x:c>
      <x:c r="K528" s="35" t="str">
        <x:v>valid non-default; boundary/format value; blank/null when optional; invalid value when constrained</x:v>
      </x:c>
      <x:c r="L528" s="35" t="str">
        <x:v>Save succeeds; reload shows the exact normalized value; other client reads it where supported; edit persists; validation rejects invalid input without partial mutation.</x:v>
      </x:c>
    </x:row>
    <x:row r="529">
      <x:c r="A529" s="20" t="str">
        <x:v>FLD-0526</x:v>
      </x:c>
      <x:c r="B529" s="20" t="str">
        <x:v>Web</x:v>
      </x:c>
      <x:c r="C529" s="35" t="str">
        <x:v>/messages</x:v>
      </x:c>
      <x:c r="D529" s="35" t="str">
        <x:v>web/src/routes/(protected)/messages/+page.svelte</x:v>
      </x:c>
      <x:c r="E529" s="32" t="n">
        <x:v>616</x:v>
      </x:c>
      <x:c r="F529" s="20" t="str">
        <x:v>textarea</x:v>
      </x:c>
      <x:c r="G529" s="35" t="str">
        <x:v>conversation-compose-body</x:v>
      </x:c>
      <x:c r="H529" s="35" t="str">
        <x:v>Message</x:v>
      </x:c>
      <x:c r="I529" s="20" t="str">
        <x:v>Property Manager</x:v>
      </x:c>
      <x:c r="J529" s="23" t="n">
        <x:v>46573</x:v>
      </x:c>
      <x:c r="K529" s="35" t="str">
        <x:v>valid non-default; boundary/format value; blank/null when optional; invalid value when constrained</x:v>
      </x:c>
      <x:c r="L529" s="35" t="str">
        <x:v>Save succeeds; reload shows the exact normalized value; other client reads it where supported; edit persists; validation rejects invalid input without partial mutation.</x:v>
      </x:c>
    </x:row>
    <x:row r="530">
      <x:c r="A530" s="20" t="str">
        <x:v>FLD-0527</x:v>
      </x:c>
      <x:c r="B530" s="20" t="str">
        <x:v>Web</x:v>
      </x:c>
      <x:c r="C530" s="35" t="str">
        <x:v>/my-work/[id]</x:v>
      </x:c>
      <x:c r="D530" s="35" t="str">
        <x:v>web/src/routes/(protected)/my-work/[id]/+page.svelte</x:v>
      </x:c>
      <x:c r="E530" s="32" t="n">
        <x:v>197</x:v>
      </x:c>
      <x:c r="F530" s="20" t="str">
        <x:v>select</x:v>
      </x:c>
      <x:c r="G530" s="35" t="str">
        <x:v>assignment-progress-status</x:v>
      </x:c>
      <x:c r="H530" s="35" t="str"/>
      <x:c r="I530" s="20" t="str">
        <x:v>Maintenance Technician</x:v>
      </x:c>
      <x:c r="J530" s="23" t="n">
        <x:v>46573</x:v>
      </x:c>
      <x:c r="K530" s="35" t="str">
        <x:v>valid non-default; boundary/format value; blank/null when optional; invalid value when constrained</x:v>
      </x:c>
      <x:c r="L530" s="35" t="str">
        <x:v>Save succeeds; reload shows the exact normalized value; other client reads it where supported; edit persists; validation rejects invalid input without partial mutation.</x:v>
      </x:c>
    </x:row>
    <x:row r="531">
      <x:c r="A531" s="20" t="str">
        <x:v>FLD-0528</x:v>
      </x:c>
      <x:c r="B531" s="20" t="str">
        <x:v>Web</x:v>
      </x:c>
      <x:c r="C531" s="35" t="str">
        <x:v>/my-work/[id]</x:v>
      </x:c>
      <x:c r="D531" s="35" t="str">
        <x:v>web/src/routes/(protected)/my-work/[id]/+page.svelte</x:v>
      </x:c>
      <x:c r="E531" s="32" t="n">
        <x:v>204</x:v>
      </x:c>
      <x:c r="F531" s="20" t="str">
        <x:v>input</x:v>
      </x:c>
      <x:c r="G531" s="35" t="str">
        <x:v>assignment-progress-note</x:v>
      </x:c>
      <x:c r="H531" s="35" t="str">
        <x:v>What changed or what happens next?</x:v>
      </x:c>
      <x:c r="I531" s="20" t="str">
        <x:v>Maintenance Technician</x:v>
      </x:c>
      <x:c r="J531" s="23" t="n">
        <x:v>46574</x:v>
      </x:c>
      <x:c r="K531" s="35" t="str">
        <x:v>valid non-default; boundary/format value; blank/null when optional; invalid value when constrained</x:v>
      </x:c>
      <x:c r="L531" s="35" t="str">
        <x:v>Save succeeds; reload shows the exact normalized value; other client reads it where supported; edit persists; validation rejects invalid input without partial mutation.</x:v>
      </x:c>
    </x:row>
    <x:row r="532">
      <x:c r="A532" s="20" t="str">
        <x:v>FLD-0529</x:v>
      </x:c>
      <x:c r="B532" s="20" t="str">
        <x:v>Web</x:v>
      </x:c>
      <x:c r="C532" s="35" t="str">
        <x:v>/my-work/[id]</x:v>
      </x:c>
      <x:c r="D532" s="35" t="str">
        <x:v>web/src/routes/(protected)/my-work/[id]/+page.svelte</x:v>
      </x:c>
      <x:c r="E532" s="32" t="n">
        <x:v>239</x:v>
      </x:c>
      <x:c r="F532" s="20" t="str">
        <x:v>select</x:v>
      </x:c>
      <x:c r="G532" s="35" t="str">
        <x:v>entryKind</x:v>
      </x:c>
      <x:c r="H532" s="35" t="str">
        <x:v>Entry type</x:v>
      </x:c>
      <x:c r="I532" s="20" t="str">
        <x:v>Maintenance Technician</x:v>
      </x:c>
      <x:c r="J532" s="23" t="n">
        <x:v>46574</x:v>
      </x:c>
      <x:c r="K532" s="35" t="str">
        <x:v>valid non-default; boundary/format value; blank/null when optional; invalid value when constrained</x:v>
      </x:c>
      <x:c r="L532" s="35" t="str">
        <x:v>Save succeeds; reload shows the exact normalized value; other client reads it where supported; edit persists; validation rejects invalid input without partial mutation.</x:v>
      </x:c>
    </x:row>
    <x:row r="533">
      <x:c r="A533" s="20" t="str">
        <x:v>FLD-0530</x:v>
      </x:c>
      <x:c r="B533" s="20" t="str">
        <x:v>Web</x:v>
      </x:c>
      <x:c r="C533" s="35" t="str">
        <x:v>/my-work/[id]</x:v>
      </x:c>
      <x:c r="D533" s="35" t="str">
        <x:v>web/src/routes/(protected)/my-work/[id]/+page.svelte</x:v>
      </x:c>
      <x:c r="E533" s="32" t="n">
        <x:v>243</x:v>
      </x:c>
      <x:c r="F533" s="20" t="str">
        <x:v>number</x:v>
      </x:c>
      <x:c r="G533" s="35" t="str">
        <x:v>quantity</x:v>
      </x:c>
      <x:c r="H533" s="35" t="str">
        <x:v>Quantity</x:v>
      </x:c>
      <x:c r="I533" s="20" t="str">
        <x:v>Maintenance Technician</x:v>
      </x:c>
      <x:c r="J533" s="23" t="n">
        <x:v>46574</x:v>
      </x:c>
      <x:c r="K533" s="35" t="str">
        <x:v>valid non-default; boundary/format value; blank/null when optional; invalid value when constrained</x:v>
      </x:c>
      <x:c r="L533" s="35" t="str">
        <x:v>Save succeeds; reload shows the exact normalized value; other client reads it where supported; edit persists; validation rejects invalid input without partial mutation.</x:v>
      </x:c>
    </x:row>
    <x:row r="534">
      <x:c r="A534" s="20" t="str">
        <x:v>FLD-0531</x:v>
      </x:c>
      <x:c r="B534" s="20" t="str">
        <x:v>Web</x:v>
      </x:c>
      <x:c r="C534" s="35" t="str">
        <x:v>/my-work/[id]</x:v>
      </x:c>
      <x:c r="D534" s="35" t="str">
        <x:v>web/src/routes/(protected)/my-work/[id]/+page.svelte</x:v>
      </x:c>
      <x:c r="E534" s="32" t="n">
        <x:v>243</x:v>
      </x:c>
      <x:c r="F534" s="20" t="str">
        <x:v>input</x:v>
      </x:c>
      <x:c r="G534" s="35" t="str">
        <x:v>unit</x:v>
      </x:c>
      <x:c r="H534" s="35" t="str">
        <x:v>entryKind === 'Time' ? 'hours' : 'units'</x:v>
      </x:c>
      <x:c r="I534" s="20" t="str">
        <x:v>Maintenance Technician</x:v>
      </x:c>
      <x:c r="J534" s="23" t="n">
        <x:v>46574</x:v>
      </x:c>
      <x:c r="K534" s="35" t="str">
        <x:v>valid non-default; boundary/format value; blank/null when optional; invalid value when constrained</x:v>
      </x:c>
      <x:c r="L534" s="35" t="str">
        <x:v>Save succeeds; reload shows the exact normalized value; other client reads it where supported; edit persists; validation rejects invalid input without partial mutation.</x:v>
      </x:c>
    </x:row>
    <x:row r="535">
      <x:c r="A535" s="20" t="str">
        <x:v>FLD-0532</x:v>
      </x:c>
      <x:c r="B535" s="20" t="str">
        <x:v>Web</x:v>
      </x:c>
      <x:c r="C535" s="35" t="str">
        <x:v>/my-work/[id]</x:v>
      </x:c>
      <x:c r="D535" s="35" t="str">
        <x:v>web/src/routes/(protected)/my-work/[id]/+page.svelte</x:v>
      </x:c>
      <x:c r="E535" s="32" t="n">
        <x:v>245</x:v>
      </x:c>
      <x:c r="F535" s="20" t="str">
        <x:v>file</x:v>
      </x:c>
      <x:c r="G535" s="35" t="str">
        <x:v>input-6</x:v>
      </x:c>
      <x:c r="H535" s="35" t="str"/>
      <x:c r="I535" s="20" t="str">
        <x:v>Maintenance Technician</x:v>
      </x:c>
      <x:c r="J535" s="23" t="n">
        <x:v>46575</x:v>
      </x:c>
      <x:c r="K535" s="35" t="str">
        <x:v>valid non-default; boundary/format value; blank/null when optional; invalid value when constrained</x:v>
      </x:c>
      <x:c r="L535" s="35" t="str">
        <x:v>Save succeeds; reload shows the exact normalized value; other client reads it where supported; edit persists; validation rejects invalid input without partial mutation.</x:v>
      </x:c>
    </x:row>
    <x:row r="536">
      <x:c r="A536" s="20" t="str">
        <x:v>FLD-0533</x:v>
      </x:c>
      <x:c r="B536" s="20" t="str">
        <x:v>Web</x:v>
      </x:c>
      <x:c r="C536" s="35" t="str">
        <x:v>/my-work/[id]</x:v>
      </x:c>
      <x:c r="D536" s="35" t="str">
        <x:v>web/src/routes/(protected)/my-work/[id]/+page.svelte</x:v>
      </x:c>
      <x:c r="E536" s="32" t="n">
        <x:v>246</x:v>
      </x:c>
      <x:c r="F536" s="20" t="str">
        <x:v>input</x:v>
      </x:c>
      <x:c r="G536" s="35" t="str">
        <x:v>entryNote</x:v>
      </x:c>
      <x:c r="H536" s="35" t="str">
        <x:v>What did you find or do?</x:v>
      </x:c>
      <x:c r="I536" s="20" t="str">
        <x:v>Maintenance Technician</x:v>
      </x:c>
      <x:c r="J536" s="23" t="n">
        <x:v>46575</x:v>
      </x:c>
      <x:c r="K536" s="35" t="str">
        <x:v>valid non-default; boundary/format value; blank/null when optional; invalid value when constrained</x:v>
      </x:c>
      <x:c r="L536" s="35" t="str">
        <x:v>Save succeeds; reload shows the exact normalized value; other client reads it where supported; edit persists; validation rejects invalid input without partial mutation.</x:v>
      </x:c>
    </x:row>
    <x:row r="537">
      <x:c r="A537" s="20" t="str">
        <x:v>FLD-0534</x:v>
      </x:c>
      <x:c r="B537" s="20" t="str">
        <x:v>Web</x:v>
      </x:c>
      <x:c r="C537" s="35" t="str">
        <x:v>/my-work/[id]</x:v>
      </x:c>
      <x:c r="D537" s="35" t="str">
        <x:v>web/src/routes/(protected)/my-work/[id]/+page.svelte</x:v>
      </x:c>
      <x:c r="E537" s="32" t="n">
        <x:v>270</x:v>
      </x:c>
      <x:c r="F537" s="20" t="str">
        <x:v>input</x:v>
      </x:c>
      <x:c r="G537" s="35" t="str">
        <x:v>message</x:v>
      </x:c>
      <x:c r="H537" s="35" t="str">
        <x:v>Message the office or resident</x:v>
      </x:c>
      <x:c r="I537" s="20" t="str">
        <x:v>Maintenance Technician</x:v>
      </x:c>
      <x:c r="J537" s="23" t="n">
        <x:v>46575</x:v>
      </x:c>
      <x:c r="K537" s="35" t="str">
        <x:v>valid non-default; boundary/format value; blank/null when optional; invalid value when constrained</x:v>
      </x:c>
      <x:c r="L537" s="35" t="str">
        <x:v>Save succeeds; reload shows the exact normalized value; other client reads it where supported; edit persists; validation rejects invalid input without partial mutation.</x:v>
      </x:c>
    </x:row>
    <x:row r="538">
      <x:c r="A538" s="20" t="str">
        <x:v>FLD-0535</x:v>
      </x:c>
      <x:c r="B538" s="20" t="str">
        <x:v>Web</x:v>
      </x:c>
      <x:c r="C538" s="35" t="str">
        <x:v>/notices</x:v>
      </x:c>
      <x:c r="D538" s="35" t="str">
        <x:v>web/src/routes/(protected)/notices/+page.svelte</x:v>
      </x:c>
      <x:c r="E538" s="32" t="n">
        <x:v>213</x:v>
      </x:c>
      <x:c r="F538" s="20" t="str">
        <x:v>single</x:v>
      </x:c>
      <x:c r="G538" s="35" t="str">
        <x:v>statusFilter</x:v>
      </x:c>
      <x:c r="H538" s="35" t="str"/>
      <x:c r="I538" s="20" t="str">
        <x:v>Property Manager</x:v>
      </x:c>
      <x:c r="J538" s="23" t="n">
        <x:v>46575</x:v>
      </x:c>
      <x:c r="K538" s="35" t="str">
        <x:v>valid non-default; boundary/format value; blank/null when optional; invalid value when constrained</x:v>
      </x:c>
      <x:c r="L538" s="35" t="str">
        <x:v>Save succeeds; reload shows the exact normalized value; other client reads it where supported; edit persists; validation rejects invalid input without partial mutation.</x:v>
      </x:c>
    </x:row>
    <x:row r="539">
      <x:c r="A539" s="20" t="str">
        <x:v>FLD-0536</x:v>
      </x:c>
      <x:c r="B539" s="20" t="str">
        <x:v>Web</x:v>
      </x:c>
      <x:c r="C539" s="35" t="str">
        <x:v>/notices</x:v>
      </x:c>
      <x:c r="D539" s="35" t="str">
        <x:v>web/src/routes/(protected)/notices/+page.svelte</x:v>
      </x:c>
      <x:c r="E539" s="32" t="n">
        <x:v>214</x:v>
      </x:c>
      <x:c r="F539" s="20" t="str">
        <x:v>select</x:v>
      </x:c>
      <x:c r="G539" s="35" t="str">
        <x:v>notice-status-filter</x:v>
      </x:c>
      <x:c r="H539" s="35" t="str"/>
      <x:c r="I539" s="20" t="str">
        <x:v>Property Manager</x:v>
      </x:c>
      <x:c r="J539" s="23" t="n">
        <x:v>46576</x:v>
      </x:c>
      <x:c r="K539" s="35" t="str">
        <x:v>valid non-default; boundary/format value; blank/null when optional; invalid value when constrained</x:v>
      </x:c>
      <x:c r="L539" s="35" t="str">
        <x:v>Save succeeds; reload shows the exact normalized value; other client reads it where supported; edit persists; validation rejects invalid input without partial mutation.</x:v>
      </x:c>
    </x:row>
    <x:row r="540">
      <x:c r="A540" s="20" t="str">
        <x:v>FLD-0537</x:v>
      </x:c>
      <x:c r="B540" s="20" t="str">
        <x:v>Web</x:v>
      </x:c>
      <x:c r="C540" s="35" t="str">
        <x:v>/notices</x:v>
      </x:c>
      <x:c r="D540" s="35" t="str">
        <x:v>web/src/routes/(protected)/notices/+page.svelte</x:v>
      </x:c>
      <x:c r="E540" s="32" t="n">
        <x:v>217</x:v>
      </x:c>
      <x:c r="F540" s="20" t="str">
        <x:v>select</x:v>
      </x:c>
      <x:c r="G540" s="35" t="str">
        <x:v>Select-3</x:v>
      </x:c>
      <x:c r="H540" s="35" t="str"/>
      <x:c r="I540" s="20" t="str">
        <x:v>Property Manager</x:v>
      </x:c>
      <x:c r="J540" s="23" t="n">
        <x:v>46576</x:v>
      </x:c>
      <x:c r="K540" s="35" t="str">
        <x:v>valid non-default; boundary/format value; blank/null when optional; invalid value when constrained</x:v>
      </x:c>
      <x:c r="L540" s="35" t="str">
        <x:v>Save succeeds; reload shows the exact normalized value; other client reads it where supported; edit persists; validation rejects invalid input without partial mutation.</x:v>
      </x:c>
    </x:row>
    <x:row r="541">
      <x:c r="A541" s="20" t="str">
        <x:v>FLD-0538</x:v>
      </x:c>
      <x:c r="B541" s="20" t="str">
        <x:v>Web</x:v>
      </x:c>
      <x:c r="C541" s="35" t="str">
        <x:v>/notices</x:v>
      </x:c>
      <x:c r="D541" s="35" t="str">
        <x:v>web/src/routes/(protected)/notices/+page.svelte</x:v>
      </x:c>
      <x:c r="E541" s="32" t="n">
        <x:v>219</x:v>
      </x:c>
      <x:c r="F541" s="20" t="str">
        <x:v>select</x:v>
      </x:c>
      <x:c r="G541" s="35" t="str">
        <x:v>Select-4</x:v>
      </x:c>
      <x:c r="H541" s="35" t="str"/>
      <x:c r="I541" s="20" t="str">
        <x:v>Property Manager</x:v>
      </x:c>
      <x:c r="J541" s="23" t="n">
        <x:v>46576</x:v>
      </x:c>
      <x:c r="K541" s="35" t="str">
        <x:v>valid non-default; boundary/format value; blank/null when optional; invalid value when constrained</x:v>
      </x:c>
      <x:c r="L541" s="35" t="str">
        <x:v>Save succeeds; reload shows the exact normalized value; other client reads it where supported; edit persists; validation rejects invalid input without partial mutation.</x:v>
      </x:c>
    </x:row>
    <x:row r="542">
      <x:c r="A542" s="20" t="str">
        <x:v>FLD-0539</x:v>
      </x:c>
      <x:c r="B542" s="20" t="str">
        <x:v>Web</x:v>
      </x:c>
      <x:c r="C542" s="35" t="str">
        <x:v>/notices</x:v>
      </x:c>
      <x:c r="D542" s="35" t="str">
        <x:v>web/src/routes/(protected)/notices/+page.svelte</x:v>
      </x:c>
      <x:c r="E542" s="32" t="n">
        <x:v>288</x:v>
      </x:c>
      <x:c r="F542" s="20" t="str">
        <x:v>input</x:v>
      </x:c>
      <x:c r="G542" s="35" t="str">
        <x:v>notice-edit-subject</x:v>
      </x:c>
      <x:c r="H542" s="35" t="str"/>
      <x:c r="I542" s="20" t="str">
        <x:v>Property Manager</x:v>
      </x:c>
      <x:c r="J542" s="23" t="n">
        <x:v>46576</x:v>
      </x:c>
      <x:c r="K542" s="35" t="str">
        <x:v>valid non-default; boundary/format value; blank/null when optional; invalid value when constrained</x:v>
      </x:c>
      <x:c r="L542" s="35" t="str">
        <x:v>Save succeeds; reload shows the exact normalized value; other client reads it where supported; edit persists; validation rejects invalid input without partial mutation.</x:v>
      </x:c>
    </x:row>
    <x:row r="543">
      <x:c r="A543" s="20" t="str">
        <x:v>FLD-0540</x:v>
      </x:c>
      <x:c r="B543" s="20" t="str">
        <x:v>Web</x:v>
      </x:c>
      <x:c r="C543" s="35" t="str">
        <x:v>/notices</x:v>
      </x:c>
      <x:c r="D543" s="35" t="str">
        <x:v>web/src/routes/(protected)/notices/+page.svelte</x:v>
      </x:c>
      <x:c r="E543" s="32" t="n">
        <x:v>289</x:v>
      </x:c>
      <x:c r="F543" s="20" t="str">
        <x:v>textarea</x:v>
      </x:c>
      <x:c r="G543" s="35" t="str">
        <x:v>notice-edit-body</x:v>
      </x:c>
      <x:c r="H543" s="35" t="str"/>
      <x:c r="I543" s="20" t="str">
        <x:v>Property Manager</x:v>
      </x:c>
      <x:c r="J543" s="23" t="n">
        <x:v>46576</x:v>
      </x:c>
      <x:c r="K543" s="35" t="str">
        <x:v>valid non-default; boundary/format value; blank/null when optional; invalid value when constrained</x:v>
      </x:c>
      <x:c r="L543" s="35" t="str">
        <x:v>Save succeeds; reload shows the exact normalized value; other client reads it where supported; edit persists; validation rejects invalid input without partial mutation.</x:v>
      </x:c>
    </x:row>
    <x:row r="544">
      <x:c r="A544" s="20" t="str">
        <x:v>FLD-0541</x:v>
      </x:c>
      <x:c r="B544" s="20" t="str">
        <x:v>Web</x:v>
      </x:c>
      <x:c r="C544" s="35" t="str">
        <x:v>/onboarding</x:v>
      </x:c>
      <x:c r="D544" s="35" t="str">
        <x:v>web/src/routes/(protected)/onboarding/+page.svelte</x:v>
      </x:c>
      <x:c r="E544" s="32" t="n">
        <x:v>1440</x:v>
      </x:c>
      <x:c r="F544" s="20" t="str">
        <x:v>input</x:v>
      </x:c>
      <x:c r="G544" s="35" t="str">
        <x:v>ob-portfolio-name</x:v>
      </x:c>
      <x:c r="H544" s="35" t="str">
        <x:v>Portfolio name</x:v>
      </x:c>
      <x:c r="I544" s="20" t="str">
        <x:v>Property Manager</x:v>
      </x:c>
      <x:c r="J544" s="23" t="n">
        <x:v>46577</x:v>
      </x:c>
      <x:c r="K544" s="35" t="str">
        <x:v>valid non-default; boundary/format value; blank/null when optional; invalid value when constrained</x:v>
      </x:c>
      <x:c r="L544" s="35" t="str">
        <x:v>Save succeeds; reload shows the exact normalized value; other client reads it where supported; edit persists; validation rejects invalid input without partial mutation.</x:v>
      </x:c>
    </x:row>
    <x:row r="545">
      <x:c r="A545" s="20" t="str">
        <x:v>FLD-0542</x:v>
      </x:c>
      <x:c r="B545" s="20" t="str">
        <x:v>Web</x:v>
      </x:c>
      <x:c r="C545" s="35" t="str">
        <x:v>/onboarding</x:v>
      </x:c>
      <x:c r="D545" s="35" t="str">
        <x:v>web/src/routes/(protected)/onboarding/+page.svelte</x:v>
      </x:c>
      <x:c r="E545" s="32" t="n">
        <x:v>1447</x:v>
      </x:c>
      <x:c r="F545" s="20" t="str">
        <x:v>input</x:v>
      </x:c>
      <x:c r="G545" s="35" t="str">
        <x:v>ob-portfolio-company</x:v>
      </x:c>
      <x:c r="H545" s="35" t="str">
        <x:v>Management company (optional)</x:v>
      </x:c>
      <x:c r="I545" s="20" t="str">
        <x:v>Property Manager</x:v>
      </x:c>
      <x:c r="J545" s="23" t="n">
        <x:v>46577</x:v>
      </x:c>
      <x:c r="K545" s="35" t="str">
        <x:v>valid non-default; boundary/format value; blank/null when optional; invalid value when constrained</x:v>
      </x:c>
      <x:c r="L545" s="35" t="str">
        <x:v>Save succeeds; reload shows the exact normalized value; other client reads it where supported; edit persists; validation rejects invalid input without partial mutation.</x:v>
      </x:c>
    </x:row>
    <x:row r="546">
      <x:c r="A546" s="20" t="str">
        <x:v>FLD-0543</x:v>
      </x:c>
      <x:c r="B546" s="20" t="str">
        <x:v>Web</x:v>
      </x:c>
      <x:c r="C546" s="35" t="str">
        <x:v>/onboarding</x:v>
      </x:c>
      <x:c r="D546" s="35" t="str">
        <x:v>web/src/routes/(protected)/onboarding/+page.svelte</x:v>
      </x:c>
      <x:c r="E546" s="32" t="n">
        <x:v>1511</x:v>
      </x:c>
      <x:c r="F546" s="20" t="str">
        <x:v>input</x:v>
      </x:c>
      <x:c r="G546" s="35" t="str">
        <x:v>ob-owner-name</x:v>
      </x:c>
      <x:c r="H546" s="35" t="str">
        <x:v>Owner name</x:v>
      </x:c>
      <x:c r="I546" s="20" t="str">
        <x:v>Property Manager</x:v>
      </x:c>
      <x:c r="J546" s="23" t="n">
        <x:v>46577</x:v>
      </x:c>
      <x:c r="K546" s="35" t="str">
        <x:v>valid non-default; boundary/format value; blank/null when optional; invalid value when constrained</x:v>
      </x:c>
      <x:c r="L546" s="35" t="str">
        <x:v>Save succeeds; reload shows the exact normalized value; other client reads it where supported; edit persists; validation rejects invalid input without partial mutation.</x:v>
      </x:c>
    </x:row>
    <x:row r="547">
      <x:c r="A547" s="20" t="str">
        <x:v>FLD-0544</x:v>
      </x:c>
      <x:c r="B547" s="20" t="str">
        <x:v>Web</x:v>
      </x:c>
      <x:c r="C547" s="35" t="str">
        <x:v>/onboarding</x:v>
      </x:c>
      <x:c r="D547" s="35" t="str">
        <x:v>web/src/routes/(protected)/onboarding/+page.svelte</x:v>
      </x:c>
      <x:c r="E547" s="32" t="n">
        <x:v>1516</x:v>
      </x:c>
      <x:c r="F547" s="20" t="str">
        <x:v>single</x:v>
      </x:c>
      <x:c r="G547" s="35" t="str">
        <x:v>ownerForm.ownerEntityType</x:v>
      </x:c>
      <x:c r="H547" s="35" t="str"/>
      <x:c r="I547" s="20" t="str">
        <x:v>Property Manager</x:v>
      </x:c>
      <x:c r="J547" s="23" t="n">
        <x:v>46577</x:v>
      </x:c>
      <x:c r="K547" s="35" t="str">
        <x:v>valid non-default; boundary/format value; blank/null when optional; invalid value when constrained</x:v>
      </x:c>
      <x:c r="L547" s="35" t="str">
        <x:v>Save succeeds; reload shows the exact normalized value; other client reads it where supported; edit persists; validation rejects invalid input without partial mutation.</x:v>
      </x:c>
    </x:row>
    <x:row r="548">
      <x:c r="A548" s="20" t="str">
        <x:v>FLD-0545</x:v>
      </x:c>
      <x:c r="B548" s="20" t="str">
        <x:v>Web</x:v>
      </x:c>
      <x:c r="C548" s="35" t="str">
        <x:v>/onboarding</x:v>
      </x:c>
      <x:c r="D548" s="35" t="str">
        <x:v>web/src/routes/(protected)/onboarding/+page.svelte</x:v>
      </x:c>
      <x:c r="E548" s="32" t="n">
        <x:v>1517</x:v>
      </x:c>
      <x:c r="F548" s="20" t="str">
        <x:v>select</x:v>
      </x:c>
      <x:c r="G548" s="35" t="str">
        <x:v>onboarding-owner-type</x:v>
      </x:c>
      <x:c r="H548" s="35" t="str"/>
      <x:c r="I548" s="20" t="str">
        <x:v>Property Manager</x:v>
      </x:c>
      <x:c r="J548" s="23" t="n">
        <x:v>46580</x:v>
      </x:c>
      <x:c r="K548" s="35" t="str">
        <x:v>valid non-default; boundary/format value; blank/null when optional; invalid value when constrained</x:v>
      </x:c>
      <x:c r="L548" s="35" t="str">
        <x:v>Save succeeds; reload shows the exact normalized value; other client reads it where supported; edit persists; validation rejects invalid input without partial mutation.</x:v>
      </x:c>
    </x:row>
    <x:row r="549">
      <x:c r="A549" s="20" t="str">
        <x:v>FLD-0546</x:v>
      </x:c>
      <x:c r="B549" s="20" t="str">
        <x:v>Web</x:v>
      </x:c>
      <x:c r="C549" s="35" t="str">
        <x:v>/onboarding</x:v>
      </x:c>
      <x:c r="D549" s="35" t="str">
        <x:v>web/src/routes/(protected)/onboarding/+page.svelte</x:v>
      </x:c>
      <x:c r="E549" s="32" t="n">
        <x:v>1518</x:v>
      </x:c>
      <x:c r="F549" s="20" t="str">
        <x:v>select</x:v>
      </x:c>
      <x:c r="G549" s="35" t="str">
        <x:v>Select-6</x:v>
      </x:c>
      <x:c r="H549" s="35" t="str"/>
      <x:c r="I549" s="20" t="str">
        <x:v>Property Manager</x:v>
      </x:c>
      <x:c r="J549" s="23" t="n">
        <x:v>46580</x:v>
      </x:c>
      <x:c r="K549" s="35" t="str">
        <x:v>valid non-default; boundary/format value; blank/null when optional; invalid value when constrained</x:v>
      </x:c>
      <x:c r="L549" s="35" t="str">
        <x:v>Save succeeds; reload shows the exact normalized value; other client reads it where supported; edit persists; validation rejects invalid input without partial mutation.</x:v>
      </x:c>
    </x:row>
    <x:row r="550">
      <x:c r="A550" s="20" t="str">
        <x:v>FLD-0547</x:v>
      </x:c>
      <x:c r="B550" s="20" t="str">
        <x:v>Web</x:v>
      </x:c>
      <x:c r="C550" s="35" t="str">
        <x:v>/onboarding</x:v>
      </x:c>
      <x:c r="D550" s="35" t="str">
        <x:v>web/src/routes/(protected)/onboarding/+page.svelte</x:v>
      </x:c>
      <x:c r="E550" s="32" t="n">
        <x:v>1520</x:v>
      </x:c>
      <x:c r="F550" s="20" t="str">
        <x:v>select</x:v>
      </x:c>
      <x:c r="G550" s="35" t="str">
        <x:v>Select-7</x:v>
      </x:c>
      <x:c r="H550" s="35" t="str"/>
      <x:c r="I550" s="20" t="str">
        <x:v>Property Manager</x:v>
      </x:c>
      <x:c r="J550" s="23" t="n">
        <x:v>46580</x:v>
      </x:c>
      <x:c r="K550" s="35" t="str">
        <x:v>valid non-default; boundary/format value; blank/null when optional; invalid value when constrained</x:v>
      </x:c>
      <x:c r="L550" s="35" t="str">
        <x:v>Save succeeds; reload shows the exact normalized value; other client reads it where supported; edit persists; validation rejects invalid input without partial mutation.</x:v>
      </x:c>
    </x:row>
    <x:row r="551">
      <x:c r="A551" s="20" t="str">
        <x:v>FLD-0548</x:v>
      </x:c>
      <x:c r="B551" s="20" t="str">
        <x:v>Web</x:v>
      </x:c>
      <x:c r="C551" s="35" t="str">
        <x:v>/onboarding</x:v>
      </x:c>
      <x:c r="D551" s="35" t="str">
        <x:v>web/src/routes/(protected)/onboarding/+page.svelte</x:v>
      </x:c>
      <x:c r="E551" s="32" t="n">
        <x:v>1527</x:v>
      </x:c>
      <x:c r="F551" s="20" t="str">
        <x:v>email</x:v>
      </x:c>
      <x:c r="G551" s="35" t="str">
        <x:v>ob-owner-email</x:v>
      </x:c>
      <x:c r="H551" s="35" t="str">
        <x:v>Email (optional)</x:v>
      </x:c>
      <x:c r="I551" s="20" t="str">
        <x:v>Property Manager</x:v>
      </x:c>
      <x:c r="J551" s="23" t="n">
        <x:v>46580</x:v>
      </x:c>
      <x:c r="K551" s="35" t="str">
        <x:v>valid non-default; boundary/format value; blank/null when optional; invalid value when constrained</x:v>
      </x:c>
      <x:c r="L551" s="35" t="str">
        <x:v>Save succeeds; reload shows the exact normalized value; other client reads it where supported; edit persists; validation rejects invalid input without partial mutation.</x:v>
      </x:c>
    </x:row>
    <x:row r="552">
      <x:c r="A552" s="20" t="str">
        <x:v>FLD-0549</x:v>
      </x:c>
      <x:c r="B552" s="20" t="str">
        <x:v>Web</x:v>
      </x:c>
      <x:c r="C552" s="35" t="str">
        <x:v>/onboarding</x:v>
      </x:c>
      <x:c r="D552" s="35" t="str">
        <x:v>web/src/routes/(protected)/onboarding/+page.svelte</x:v>
      </x:c>
      <x:c r="E552" s="32" t="n">
        <x:v>1532</x:v>
      </x:c>
      <x:c r="F552" s="20" t="str">
        <x:v>input</x:v>
      </x:c>
      <x:c r="G552" s="35" t="str">
        <x:v>ob-owner-taxid</x:v>
      </x:c>
      <x:c r="H552" s="35" t="str">
        <x:v>Tax ID / SSN (optional)</x:v>
      </x:c>
      <x:c r="I552" s="20" t="str">
        <x:v>Property Manager</x:v>
      </x:c>
      <x:c r="J552" s="23" t="n">
        <x:v>46580</x:v>
      </x:c>
      <x:c r="K552" s="35" t="str">
        <x:v>valid non-default; boundary/format value; blank/null when optional; invalid value when constrained</x:v>
      </x:c>
      <x:c r="L552" s="35" t="str">
        <x:v>Save succeeds; reload shows the exact normalized value; other client reads it where supported; edit persists; validation rejects invalid input without partial mutation.</x:v>
      </x:c>
    </x:row>
    <x:row r="553">
      <x:c r="A553" s="20" t="str">
        <x:v>FLD-0550</x:v>
      </x:c>
      <x:c r="B553" s="20" t="str">
        <x:v>Web</x:v>
      </x:c>
      <x:c r="C553" s="35" t="str">
        <x:v>/onboarding</x:v>
      </x:c>
      <x:c r="D553" s="35" t="str">
        <x:v>web/src/routes/(protected)/onboarding/+page.svelte</x:v>
      </x:c>
      <x:c r="E553" s="32" t="n">
        <x:v>1603</x:v>
      </x:c>
      <x:c r="F553" s="20" t="str">
        <x:v>input</x:v>
      </x:c>
      <x:c r="G553" s="35" t="str">
        <x:v>ob-prop-name</x:v>
      </x:c>
      <x:c r="H553" s="35" t="str">
        <x:v>Property name</x:v>
      </x:c>
      <x:c r="I553" s="20" t="str">
        <x:v>Property Manager</x:v>
      </x:c>
      <x:c r="J553" s="23" t="n">
        <x:v>46581</x:v>
      </x:c>
      <x:c r="K553" s="35" t="str">
        <x:v>valid non-default; boundary/format value; blank/null when optional; invalid value when constrained</x:v>
      </x:c>
      <x:c r="L553" s="35" t="str">
        <x:v>Save succeeds; reload shows the exact normalized value; other client reads it where supported; edit persists; validation rejects invalid input without partial mutation.</x:v>
      </x:c>
    </x:row>
    <x:row r="554">
      <x:c r="A554" s="20" t="str">
        <x:v>FLD-0551</x:v>
      </x:c>
      <x:c r="B554" s="20" t="str">
        <x:v>Web</x:v>
      </x:c>
      <x:c r="C554" s="35" t="str">
        <x:v>/onboarding</x:v>
      </x:c>
      <x:c r="D554" s="35" t="str">
        <x:v>web/src/routes/(protected)/onboarding/+page.svelte</x:v>
      </x:c>
      <x:c r="E554" s="32" t="n">
        <x:v>1624</x:v>
      </x:c>
      <x:c r="F554" s="20" t="str">
        <x:v>input</x:v>
      </x:c>
      <x:c r="G554" s="35" t="str">
        <x:v>ob-prop-city</x:v>
      </x:c>
      <x:c r="H554" s="35" t="str">
        <x:v>City</x:v>
      </x:c>
      <x:c r="I554" s="20" t="str">
        <x:v>Property Manager</x:v>
      </x:c>
      <x:c r="J554" s="23" t="n">
        <x:v>46581</x:v>
      </x:c>
      <x:c r="K554" s="35" t="str">
        <x:v>valid non-default; boundary/format value; blank/null when optional; invalid value when constrained</x:v>
      </x:c>
      <x:c r="L554" s="35" t="str">
        <x:v>Save succeeds; reload shows the exact normalized value; other client reads it where supported; edit persists; validation rejects invalid input without partial mutation.</x:v>
      </x:c>
    </x:row>
    <x:row r="555">
      <x:c r="A555" s="20" t="str">
        <x:v>FLD-0552</x:v>
      </x:c>
      <x:c r="B555" s="20" t="str">
        <x:v>Web</x:v>
      </x:c>
      <x:c r="C555" s="35" t="str">
        <x:v>/onboarding</x:v>
      </x:c>
      <x:c r="D555" s="35" t="str">
        <x:v>web/src/routes/(protected)/onboarding/+page.svelte</x:v>
      </x:c>
      <x:c r="E555" s="32" t="n">
        <x:v>1634</x:v>
      </x:c>
      <x:c r="F555" s="20" t="str">
        <x:v>text</x:v>
      </x:c>
      <x:c r="G555" s="35" t="str">
        <x:v>ob-prop-zip</x:v>
      </x:c>
      <x:c r="H555" s="35" t="str">
        <x:v>ZIP</x:v>
      </x:c>
      <x:c r="I555" s="20" t="str">
        <x:v>Property Manager</x:v>
      </x:c>
      <x:c r="J555" s="23" t="n">
        <x:v>46581</x:v>
      </x:c>
      <x:c r="K555" s="35" t="str">
        <x:v>valid non-default; boundary/format value; blank/null when optional; invalid value when constrained</x:v>
      </x:c>
      <x:c r="L555" s="35" t="str">
        <x:v>Save succeeds; reload shows the exact normalized value; other client reads it where supported; edit persists; validation rejects invalid input without partial mutation.</x:v>
      </x:c>
    </x:row>
    <x:row r="556">
      <x:c r="A556" s="20" t="str">
        <x:v>FLD-0553</x:v>
      </x:c>
      <x:c r="B556" s="20" t="str">
        <x:v>Web</x:v>
      </x:c>
      <x:c r="C556" s="35" t="str">
        <x:v>/onboarding</x:v>
      </x:c>
      <x:c r="D556" s="35" t="str">
        <x:v>web/src/routes/(protected)/onboarding/+page.svelte</x:v>
      </x:c>
      <x:c r="E556" s="32" t="n">
        <x:v>1643</x:v>
      </x:c>
      <x:c r="F556" s="20" t="str">
        <x:v>radio</x:v>
      </x:c>
      <x:c r="G556" s="35" t="str">
        <x:v>onboarding-rental-structure</x:v>
      </x:c>
      <x:c r="H556" s="35" t="str"/>
      <x:c r="I556" s="20" t="str">
        <x:v>Property Manager</x:v>
      </x:c>
      <x:c r="J556" s="23" t="n">
        <x:v>46581</x:v>
      </x:c>
      <x:c r="K556" s="35" t="str">
        <x:v>valid non-default; boundary/format value; blank/null when optional; invalid value when constrained</x:v>
      </x:c>
      <x:c r="L556" s="35" t="str">
        <x:v>Save succeeds; reload shows the exact normalized value; other client reads it where supported; edit persists; validation rejects invalid input without partial mutation.</x:v>
      </x:c>
    </x:row>
    <x:row r="557">
      <x:c r="A557" s="20" t="str">
        <x:v>FLD-0554</x:v>
      </x:c>
      <x:c r="B557" s="20" t="str">
        <x:v>Web</x:v>
      </x:c>
      <x:c r="C557" s="35" t="str">
        <x:v>/onboarding</x:v>
      </x:c>
      <x:c r="D557" s="35" t="str">
        <x:v>web/src/routes/(protected)/onboarding/+page.svelte</x:v>
      </x:c>
      <x:c r="E557" s="32" t="n">
        <x:v>1658</x:v>
      </x:c>
      <x:c r="F557" s="20" t="str">
        <x:v>single</x:v>
      </x:c>
      <x:c r="G557" s="35" t="str">
        <x:v>propertyForm.type</x:v>
      </x:c>
      <x:c r="H557" s="35" t="str"/>
      <x:c r="I557" s="20" t="str">
        <x:v>Property Manager</x:v>
      </x:c>
      <x:c r="J557" s="23" t="n">
        <x:v>46582</x:v>
      </x:c>
      <x:c r="K557" s="35" t="str">
        <x:v>valid non-default; boundary/format value; blank/null when optional; invalid value when constrained</x:v>
      </x:c>
      <x:c r="L557" s="35" t="str">
        <x:v>Save succeeds; reload shows the exact normalized value; other client reads it where supported; edit persists; validation rejects invalid input without partial mutation.</x:v>
      </x:c>
    </x:row>
    <x:row r="558">
      <x:c r="A558" s="20" t="str">
        <x:v>FLD-0555</x:v>
      </x:c>
      <x:c r="B558" s="20" t="str">
        <x:v>Web</x:v>
      </x:c>
      <x:c r="C558" s="35" t="str">
        <x:v>/onboarding</x:v>
      </x:c>
      <x:c r="D558" s="35" t="str">
        <x:v>web/src/routes/(protected)/onboarding/+page.svelte</x:v>
      </x:c>
      <x:c r="E558" s="32" t="n">
        <x:v>1659</x:v>
      </x:c>
      <x:c r="F558" s="20" t="str">
        <x:v>select</x:v>
      </x:c>
      <x:c r="G558" s="35" t="str">
        <x:v>onboarding-property-type</x:v>
      </x:c>
      <x:c r="H558" s="35" t="str"/>
      <x:c r="I558" s="20" t="str">
        <x:v>Property Manager</x:v>
      </x:c>
      <x:c r="J558" s="23" t="n">
        <x:v>46582</x:v>
      </x:c>
      <x:c r="K558" s="35" t="str">
        <x:v>valid non-default; boundary/format value; blank/null when optional; invalid value when constrained</x:v>
      </x:c>
      <x:c r="L558" s="35" t="str">
        <x:v>Save succeeds; reload shows the exact normalized value; other client reads it where supported; edit persists; validation rejects invalid input without partial mutation.</x:v>
      </x:c>
    </x:row>
    <x:row r="559">
      <x:c r="A559" s="20" t="str">
        <x:v>FLD-0556</x:v>
      </x:c>
      <x:c r="B559" s="20" t="str">
        <x:v>Web</x:v>
      </x:c>
      <x:c r="C559" s="35" t="str">
        <x:v>/onboarding</x:v>
      </x:c>
      <x:c r="D559" s="35" t="str">
        <x:v>web/src/routes/(protected)/onboarding/+page.svelte</x:v>
      </x:c>
      <x:c r="E559" s="32" t="n">
        <x:v>1660</x:v>
      </x:c>
      <x:c r="F559" s="20" t="str">
        <x:v>select</x:v>
      </x:c>
      <x:c r="G559" s="35" t="str">
        <x:v>Select-17</x:v>
      </x:c>
      <x:c r="H559" s="35" t="str"/>
      <x:c r="I559" s="20" t="str">
        <x:v>Property Manager</x:v>
      </x:c>
      <x:c r="J559" s="23" t="n">
        <x:v>46582</x:v>
      </x:c>
      <x:c r="K559" s="35" t="str">
        <x:v>valid non-default; boundary/format value; blank/null when optional; invalid value when constrained</x:v>
      </x:c>
      <x:c r="L559" s="35" t="str">
        <x:v>Save succeeds; reload shows the exact normalized value; other client reads it where supported; edit persists; validation rejects invalid input without partial mutation.</x:v>
      </x:c>
    </x:row>
    <x:row r="560">
      <x:c r="A560" s="20" t="str">
        <x:v>FLD-0557</x:v>
      </x:c>
      <x:c r="B560" s="20" t="str">
        <x:v>Web</x:v>
      </x:c>
      <x:c r="C560" s="35" t="str">
        <x:v>/onboarding</x:v>
      </x:c>
      <x:c r="D560" s="35" t="str">
        <x:v>web/src/routes/(protected)/onboarding/+page.svelte</x:v>
      </x:c>
      <x:c r="E560" s="32" t="n">
        <x:v>1662</x:v>
      </x:c>
      <x:c r="F560" s="20" t="str">
        <x:v>select</x:v>
      </x:c>
      <x:c r="G560" s="35" t="str">
        <x:v>Select-18</x:v>
      </x:c>
      <x:c r="H560" s="35" t="str"/>
      <x:c r="I560" s="20" t="str">
        <x:v>Property Manager</x:v>
      </x:c>
      <x:c r="J560" s="23" t="n">
        <x:v>46582</x:v>
      </x:c>
      <x:c r="K560" s="35" t="str">
        <x:v>valid non-default; boundary/format value; blank/null when optional; invalid value when constrained</x:v>
      </x:c>
      <x:c r="L560" s="35" t="str">
        <x:v>Save succeeds; reload shows the exact normalized value; other client reads it where supported; edit persists; validation rejects invalid input without partial mutation.</x:v>
      </x:c>
    </x:row>
    <x:row r="561">
      <x:c r="A561" s="20" t="str">
        <x:v>FLD-0558</x:v>
      </x:c>
      <x:c r="B561" s="20" t="str">
        <x:v>Web</x:v>
      </x:c>
      <x:c r="C561" s="35" t="str">
        <x:v>/onboarding</x:v>
      </x:c>
      <x:c r="D561" s="35" t="str">
        <x:v>web/src/routes/(protected)/onboarding/+page.svelte</x:v>
      </x:c>
      <x:c r="E561" s="32" t="n">
        <x:v>1669</x:v>
      </x:c>
      <x:c r="F561" s="20" t="str">
        <x:v>input</x:v>
      </x:c>
      <x:c r="G561" s="35" t="str">
        <x:v>ob-prop-address2</x:v>
      </x:c>
      <x:c r="H561" s="35" t="str">
        <x:v>Apt / Suite / Unit # (optional)</x:v>
      </x:c>
      <x:c r="I561" s="20" t="str">
        <x:v>Property Manager</x:v>
      </x:c>
      <x:c r="J561" s="23" t="n">
        <x:v>46582</x:v>
      </x:c>
      <x:c r="K561" s="35" t="str">
        <x:v>valid non-default; boundary/format value; blank/null when optional; invalid value when constrained</x:v>
      </x:c>
      <x:c r="L561" s="35" t="str">
        <x:v>Save succeeds; reload shows the exact normalized value; other client reads it where supported; edit persists; validation rejects invalid input without partial mutation.</x:v>
      </x:c>
    </x:row>
    <x:row r="562">
      <x:c r="A562" s="20" t="str">
        <x:v>FLD-0559</x:v>
      </x:c>
      <x:c r="B562" s="20" t="str">
        <x:v>Web</x:v>
      </x:c>
      <x:c r="C562" s="35" t="str">
        <x:v>/onboarding</x:v>
      </x:c>
      <x:c r="D562" s="35" t="str">
        <x:v>web/src/routes/(protected)/onboarding/+page.svelte</x:v>
      </x:c>
      <x:c r="E562" s="32" t="n">
        <x:v>1741</x:v>
      </x:c>
      <x:c r="F562" s="20" t="str">
        <x:v>text</x:v>
      </x:c>
      <x:c r="G562" s="35" t="str">
        <x:v>onboarding-unit-count-input</x:v>
      </x:c>
      <x:c r="H562" s="35" t="str">
        <x:v>e.g. 4</x:v>
      </x:c>
      <x:c r="I562" s="20" t="str">
        <x:v>Property Manager</x:v>
      </x:c>
      <x:c r="J562" s="23" t="n">
        <x:v>46583</x:v>
      </x:c>
      <x:c r="K562" s="35" t="str">
        <x:v>valid non-default; boundary/format value; blank/null when optional; invalid value when constrained</x:v>
      </x:c>
      <x:c r="L562" s="35" t="str">
        <x:v>Save succeeds; reload shows the exact normalized value; other client reads it where supported; edit persists; validation rejects invalid input without partial mutation.</x:v>
      </x:c>
    </x:row>
    <x:row r="563">
      <x:c r="A563" s="20" t="str">
        <x:v>FLD-0560</x:v>
      </x:c>
      <x:c r="B563" s="20" t="str">
        <x:v>Web</x:v>
      </x:c>
      <x:c r="C563" s="35" t="str">
        <x:v>/onboarding</x:v>
      </x:c>
      <x:c r="D563" s="35" t="str">
        <x:v>web/src/routes/(protected)/onboarding/+page.svelte</x:v>
      </x:c>
      <x:c r="E563" s="32" t="n">
        <x:v>1753</x:v>
      </x:c>
      <x:c r="F563" s="20" t="str">
        <x:v>input</x:v>
      </x:c>
      <x:c r="G563" s="35" t="str">
        <x:v>onboarding-unit-number-{i}</x:v>
      </x:c>
      <x:c r="H563" s="35" t="str">
        <x:v>1, A, etc.</x:v>
      </x:c>
      <x:c r="I563" s="20" t="str">
        <x:v>Property Manager</x:v>
      </x:c>
      <x:c r="J563" s="23" t="n">
        <x:v>46583</x:v>
      </x:c>
      <x:c r="K563" s="35" t="str">
        <x:v>valid non-default; boundary/format value; blank/null when optional; invalid value when constrained</x:v>
      </x:c>
      <x:c r="L563" s="35" t="str">
        <x:v>Save succeeds; reload shows the exact normalized value; other client reads it where supported; edit persists; validation rejects invalid input without partial mutation.</x:v>
      </x:c>
    </x:row>
    <x:row r="564">
      <x:c r="A564" s="20" t="str">
        <x:v>FLD-0561</x:v>
      </x:c>
      <x:c r="B564" s="20" t="str">
        <x:v>Web</x:v>
      </x:c>
      <x:c r="C564" s="35" t="str">
        <x:v>/onboarding</x:v>
      </x:c>
      <x:c r="D564" s="35" t="str">
        <x:v>web/src/routes/(protected)/onboarding/+page.svelte</x:v>
      </x:c>
      <x:c r="E564" s="32" t="n">
        <x:v>1758</x:v>
      </x:c>
      <x:c r="F564" s="20" t="str">
        <x:v>text</x:v>
      </x:c>
      <x:c r="G564" s="35" t="str">
        <x:v>onboarding-unit-beds-{i}</x:v>
      </x:c>
      <x:c r="H564" s="35" t="str">
        <x:v>2</x:v>
      </x:c>
      <x:c r="I564" s="20" t="str">
        <x:v>Property Manager</x:v>
      </x:c>
      <x:c r="J564" s="23" t="n">
        <x:v>46583</x:v>
      </x:c>
      <x:c r="K564" s="35" t="str">
        <x:v>valid non-default; boundary/format value; blank/null when optional; invalid value when constrained</x:v>
      </x:c>
      <x:c r="L564" s="35" t="str">
        <x:v>Save succeeds; reload shows the exact normalized value; other client reads it where supported; edit persists; validation rejects invalid input without partial mutation.</x:v>
      </x:c>
    </x:row>
    <x:row r="565">
      <x:c r="A565" s="20" t="str">
        <x:v>FLD-0562</x:v>
      </x:c>
      <x:c r="B565" s="20" t="str">
        <x:v>Web</x:v>
      </x:c>
      <x:c r="C565" s="35" t="str">
        <x:v>/onboarding</x:v>
      </x:c>
      <x:c r="D565" s="35" t="str">
        <x:v>web/src/routes/(protected)/onboarding/+page.svelte</x:v>
      </x:c>
      <x:c r="E565" s="32" t="n">
        <x:v>1763</x:v>
      </x:c>
      <x:c r="F565" s="20" t="str">
        <x:v>text</x:v>
      </x:c>
      <x:c r="G565" s="35" t="str">
        <x:v>onboarding-unit-baths-{i}</x:v>
      </x:c>
      <x:c r="H565" s="35" t="str">
        <x:v>1</x:v>
      </x:c>
      <x:c r="I565" s="20" t="str">
        <x:v>Property Manager</x:v>
      </x:c>
      <x:c r="J565" s="23" t="n">
        <x:v>46583</x:v>
      </x:c>
      <x:c r="K565" s="35" t="str">
        <x:v>valid non-default; boundary/format value; blank/null when optional; invalid value when constrained</x:v>
      </x:c>
      <x:c r="L565" s="35" t="str">
        <x:v>Save succeeds; reload shows the exact normalized value; other client reads it where supported; edit persists; validation rejects invalid input without partial mutation.</x:v>
      </x:c>
    </x:row>
    <x:row r="566">
      <x:c r="A566" s="20" t="str">
        <x:v>FLD-0563</x:v>
      </x:c>
      <x:c r="B566" s="20" t="str">
        <x:v>Web</x:v>
      </x:c>
      <x:c r="C566" s="35" t="str">
        <x:v>/onboarding</x:v>
      </x:c>
      <x:c r="D566" s="35" t="str">
        <x:v>web/src/routes/(protected)/onboarding/+page.svelte</x:v>
      </x:c>
      <x:c r="E566" s="32" t="n">
        <x:v>1769</x:v>
      </x:c>
      <x:c r="F566" s="20" t="str">
        <x:v>text</x:v>
      </x:c>
      <x:c r="G566" s="35" t="str">
        <x:v>onboarding-unit-rent-{i}</x:v>
      </x:c>
      <x:c r="H566" s="35" t="str">
        <x:v>1500</x:v>
      </x:c>
      <x:c r="I566" s="20" t="str">
        <x:v>Property Manager</x:v>
      </x:c>
      <x:c r="J566" s="23" t="n">
        <x:v>46584</x:v>
      </x:c>
      <x:c r="K566" s="35" t="str">
        <x:v>valid non-default; boundary/format value; blank/null when optional; invalid value when constrained</x:v>
      </x:c>
      <x:c r="L566" s="35" t="str">
        <x:v>Save succeeds; reload shows the exact normalized value; other client reads it where supported; edit persists; validation rejects invalid input without partial mutation.</x:v>
      </x:c>
    </x:row>
    <x:row r="567">
      <x:c r="A567" s="20" t="str">
        <x:v>FLD-0564</x:v>
      </x:c>
      <x:c r="B567" s="20" t="str">
        <x:v>Web</x:v>
      </x:c>
      <x:c r="C567" s="35" t="str">
        <x:v>/onboarding</x:v>
      </x:c>
      <x:c r="D567" s="35" t="str">
        <x:v>web/src/routes/(protected)/onboarding/+page.svelte</x:v>
      </x:c>
      <x:c r="E567" s="32" t="n">
        <x:v>1809</x:v>
      </x:c>
      <x:c r="F567" s="20" t="str">
        <x:v>input</x:v>
      </x:c>
      <x:c r="G567" s="35" t="str">
        <x:v>onboarding-tenant-first-{i}</x:v>
      </x:c>
      <x:c r="H567" s="35" t="str">
        <x:v>First name</x:v>
      </x:c>
      <x:c r="I567" s="20" t="str">
        <x:v>Property Manager</x:v>
      </x:c>
      <x:c r="J567" s="23" t="n">
        <x:v>46584</x:v>
      </x:c>
      <x:c r="K567" s="35" t="str">
        <x:v>valid non-default; boundary/format value; blank/null when optional; invalid value when constrained</x:v>
      </x:c>
      <x:c r="L567" s="35" t="str">
        <x:v>Save succeeds; reload shows the exact normalized value; other client reads it where supported; edit persists; validation rejects invalid input without partial mutation.</x:v>
      </x:c>
    </x:row>
    <x:row r="568">
      <x:c r="A568" s="20" t="str">
        <x:v>FLD-0565</x:v>
      </x:c>
      <x:c r="B568" s="20" t="str">
        <x:v>Web</x:v>
      </x:c>
      <x:c r="C568" s="35" t="str">
        <x:v>/onboarding</x:v>
      </x:c>
      <x:c r="D568" s="35" t="str">
        <x:v>web/src/routes/(protected)/onboarding/+page.svelte</x:v>
      </x:c>
      <x:c r="E568" s="32" t="n">
        <x:v>1814</x:v>
      </x:c>
      <x:c r="F568" s="20" t="str">
        <x:v>input</x:v>
      </x:c>
      <x:c r="G568" s="35" t="str">
        <x:v>onboarding-tenant-last-{i}</x:v>
      </x:c>
      <x:c r="H568" s="35" t="str">
        <x:v>Last name</x:v>
      </x:c>
      <x:c r="I568" s="20" t="str">
        <x:v>Property Manager</x:v>
      </x:c>
      <x:c r="J568" s="23" t="n">
        <x:v>46584</x:v>
      </x:c>
      <x:c r="K568" s="35" t="str">
        <x:v>valid non-default; boundary/format value; blank/null when optional; invalid value when constrained</x:v>
      </x:c>
      <x:c r="L568" s="35" t="str">
        <x:v>Save succeeds; reload shows the exact normalized value; other client reads it where supported; edit persists; validation rejects invalid input without partial mutation.</x:v>
      </x:c>
    </x:row>
    <x:row r="569">
      <x:c r="A569" s="20" t="str">
        <x:v>FLD-0566</x:v>
      </x:c>
      <x:c r="B569" s="20" t="str">
        <x:v>Web</x:v>
      </x:c>
      <x:c r="C569" s="35" t="str">
        <x:v>/onboarding</x:v>
      </x:c>
      <x:c r="D569" s="35" t="str">
        <x:v>web/src/routes/(protected)/onboarding/+page.svelte</x:v>
      </x:c>
      <x:c r="E569" s="32" t="n">
        <x:v>1819</x:v>
      </x:c>
      <x:c r="F569" s="20" t="str">
        <x:v>email</x:v>
      </x:c>
      <x:c r="G569" s="35" t="str">
        <x:v>onboarding-tenant-email-{i}</x:v>
      </x:c>
      <x:c r="H569" s="35" t="str">
        <x:v>tenant@example.com</x:v>
      </x:c>
      <x:c r="I569" s="20" t="str">
        <x:v>Property Manager</x:v>
      </x:c>
      <x:c r="J569" s="23" t="n">
        <x:v>46584</x:v>
      </x:c>
      <x:c r="K569" s="35" t="str">
        <x:v>valid non-default; boundary/format value; blank/null when optional; invalid value when constrained</x:v>
      </x:c>
      <x:c r="L569" s="35" t="str">
        <x:v>Save succeeds; reload shows the exact normalized value; other client reads it where supported; edit persists; validation rejects invalid input without partial mutation.</x:v>
      </x:c>
    </x:row>
    <x:row r="570">
      <x:c r="A570" s="20" t="str">
        <x:v>FLD-0567</x:v>
      </x:c>
      <x:c r="B570" s="20" t="str">
        <x:v>Web</x:v>
      </x:c>
      <x:c r="C570" s="35" t="str">
        <x:v>/onboarding</x:v>
      </x:c>
      <x:c r="D570" s="35" t="str">
        <x:v>web/src/routes/(protected)/onboarding/+page.svelte</x:v>
      </x:c>
      <x:c r="E570" s="32" t="n">
        <x:v>1825</x:v>
      </x:c>
      <x:c r="F570" s="20" t="str">
        <x:v>tel</x:v>
      </x:c>
      <x:c r="G570" s="35" t="str">
        <x:v>onboarding-tenant-phone-{i}</x:v>
      </x:c>
      <x:c r="H570" s="35" t="str">
        <x:v>(555) 555-5555</x:v>
      </x:c>
      <x:c r="I570" s="20" t="str">
        <x:v>Property Manager</x:v>
      </x:c>
      <x:c r="J570" s="23" t="n">
        <x:v>46587</x:v>
      </x:c>
      <x:c r="K570" s="35" t="str">
        <x:v>valid non-default; boundary/format value; blank/null when optional; invalid value when constrained</x:v>
      </x:c>
      <x:c r="L570" s="35" t="str">
        <x:v>Save succeeds; reload shows the exact normalized value; other client reads it where supported; edit persists; validation rejects invalid input without partial mutation.</x:v>
      </x:c>
    </x:row>
    <x:row r="571">
      <x:c r="A571" s="20" t="str">
        <x:v>FLD-0568</x:v>
      </x:c>
      <x:c r="B571" s="20" t="str">
        <x:v>Web</x:v>
      </x:c>
      <x:c r="C571" s="35" t="str">
        <x:v>/onboarding</x:v>
      </x:c>
      <x:c r="D571" s="35" t="str">
        <x:v>web/src/routes/(protected)/onboarding/+page.svelte</x:v>
      </x:c>
      <x:c r="E571" s="32" t="n">
        <x:v>1925</x:v>
      </x:c>
      <x:c r="F571" s="20" t="str">
        <x:v>text</x:v>
      </x:c>
      <x:c r="G571" s="35" t="str">
        <x:v>ob-lease-rent</x:v>
      </x:c>
      <x:c r="H571" s="35" t="str">
        <x:v>Monthly rent</x:v>
      </x:c>
      <x:c r="I571" s="20" t="str">
        <x:v>Property Manager</x:v>
      </x:c>
      <x:c r="J571" s="23" t="n">
        <x:v>46587</x:v>
      </x:c>
      <x:c r="K571" s="35" t="str">
        <x:v>valid non-default; boundary/format value; blank/null when optional; invalid value when constrained</x:v>
      </x:c>
      <x:c r="L571" s="35" t="str">
        <x:v>Save succeeds; reload shows the exact normalized value; other client reads it where supported; edit persists; validation rejects invalid input without partial mutation.</x:v>
      </x:c>
    </x:row>
    <x:row r="572">
      <x:c r="A572" s="20" t="str">
        <x:v>FLD-0569</x:v>
      </x:c>
      <x:c r="B572" s="20" t="str">
        <x:v>Web</x:v>
      </x:c>
      <x:c r="C572" s="35" t="str">
        <x:v>/onboarding</x:v>
      </x:c>
      <x:c r="D572" s="35" t="str">
        <x:v>web/src/routes/(protected)/onboarding/+page.svelte</x:v>
      </x:c>
      <x:c r="E572" s="32" t="n">
        <x:v>1952</x:v>
      </x:c>
      <x:c r="F572" s="20" t="str">
        <x:v>text</x:v>
      </x:c>
      <x:c r="G572" s="35" t="str">
        <x:v>ob-lease-deposit</x:v>
      </x:c>
      <x:c r="H572" s="35" t="str">
        <x:v>Security deposit</x:v>
      </x:c>
      <x:c r="I572" s="20" t="str">
        <x:v>Property Manager</x:v>
      </x:c>
      <x:c r="J572" s="23" t="n">
        <x:v>46587</x:v>
      </x:c>
      <x:c r="K572" s="35" t="str">
        <x:v>valid non-default; boundary/format value; blank/null when optional; invalid value when constrained</x:v>
      </x:c>
      <x:c r="L572" s="35" t="str">
        <x:v>Save succeeds; reload shows the exact normalized value; other client reads it where supported; edit persists; validation rejects invalid input without partial mutation.</x:v>
      </x:c>
    </x:row>
    <x:row r="573">
      <x:c r="A573" s="20" t="str">
        <x:v>FLD-0570</x:v>
      </x:c>
      <x:c r="B573" s="20" t="str">
        <x:v>Web</x:v>
      </x:c>
      <x:c r="C573" s="35" t="str">
        <x:v>/onboarding</x:v>
      </x:c>
      <x:c r="D573" s="35" t="str">
        <x:v>web/src/routes/(protected)/onboarding/+page.svelte</x:v>
      </x:c>
      <x:c r="E573" s="32" t="n">
        <x:v>1957</x:v>
      </x:c>
      <x:c r="F573" s="20" t="str">
        <x:v>text</x:v>
      </x:c>
      <x:c r="G573" s="35" t="str">
        <x:v>ob-lease-dueday</x:v>
      </x:c>
      <x:c r="H573" s="35" t="str">
        <x:v>Rent due day</x:v>
      </x:c>
      <x:c r="I573" s="20" t="str">
        <x:v>Property Manager</x:v>
      </x:c>
      <x:c r="J573" s="23" t="n">
        <x:v>46587</x:v>
      </x:c>
      <x:c r="K573" s="35" t="str">
        <x:v>valid non-default; boundary/format value; blank/null when optional; invalid value when constrained</x:v>
      </x:c>
      <x:c r="L573" s="35" t="str">
        <x:v>Save succeeds; reload shows the exact normalized value; other client reads it where supported; edit persists; validation rejects invalid input without partial mutation.</x:v>
      </x:c>
    </x:row>
    <x:row r="574">
      <x:c r="A574" s="20" t="str">
        <x:v>FLD-0571</x:v>
      </x:c>
      <x:c r="B574" s="20" t="str">
        <x:v>Web</x:v>
      </x:c>
      <x:c r="C574" s="35" t="str">
        <x:v>/onboarding</x:v>
      </x:c>
      <x:c r="D574" s="35" t="str">
        <x:v>web/src/routes/(protected)/onboarding/+page.svelte</x:v>
      </x:c>
      <x:c r="E574" s="32" t="n">
        <x:v>1983</x:v>
      </x:c>
      <x:c r="F574" s="20" t="str">
        <x:v>checkbox</x:v>
      </x:c>
      <x:c r="G574" s="35" t="str">
        <x:v>alertForm.enableInApp</x:v>
      </x:c>
      <x:c r="H574" s="35" t="str"/>
      <x:c r="I574" s="20" t="str">
        <x:v>Property Manager</x:v>
      </x:c>
      <x:c r="J574" s="23" t="n">
        <x:v>46587</x:v>
      </x:c>
      <x:c r="K574" s="35" t="str">
        <x:v>valid non-default; boundary/format value; blank/null when optional; invalid value when constrained</x:v>
      </x:c>
      <x:c r="L574" s="35" t="str">
        <x:v>Save succeeds; reload shows the exact normalized value; other client reads it where supported; edit persists; validation rejects invalid input without partial mutation.</x:v>
      </x:c>
    </x:row>
    <x:row r="575">
      <x:c r="A575" s="20" t="str">
        <x:v>FLD-0572</x:v>
      </x:c>
      <x:c r="B575" s="20" t="str">
        <x:v>Web</x:v>
      </x:c>
      <x:c r="C575" s="35" t="str">
        <x:v>/onboarding</x:v>
      </x:c>
      <x:c r="D575" s="35" t="str">
        <x:v>web/src/routes/(protected)/onboarding/+page.svelte</x:v>
      </x:c>
      <x:c r="E575" s="32" t="n">
        <x:v>1984</x:v>
      </x:c>
      <x:c r="F575" s="20" t="str">
        <x:v>checkbox</x:v>
      </x:c>
      <x:c r="G575" s="35" t="str">
        <x:v>alertForm.enableMobilePush</x:v>
      </x:c>
      <x:c r="H575" s="35" t="str">
        <x:v>In-app bell and inbox</x:v>
      </x:c>
      <x:c r="I575" s="20" t="str">
        <x:v>Property Manager</x:v>
      </x:c>
      <x:c r="J575" s="23" t="n">
        <x:v>46588</x:v>
      </x:c>
      <x:c r="K575" s="35" t="str">
        <x:v>valid non-default; boundary/format value; blank/null when optional; invalid value when constrained</x:v>
      </x:c>
      <x:c r="L575" s="35" t="str">
        <x:v>Save succeeds; reload shows the exact normalized value; other client reads it where supported; edit persists; validation rejects invalid input without partial mutation.</x:v>
      </x:c>
    </x:row>
    <x:row r="576">
      <x:c r="A576" s="20" t="str">
        <x:v>FLD-0573</x:v>
      </x:c>
      <x:c r="B576" s="20" t="str">
        <x:v>Web</x:v>
      </x:c>
      <x:c r="C576" s="35" t="str">
        <x:v>/onboarding</x:v>
      </x:c>
      <x:c r="D576" s="35" t="str">
        <x:v>web/src/routes/(protected)/onboarding/+page.svelte</x:v>
      </x:c>
      <x:c r="E576" s="32" t="n">
        <x:v>1985</x:v>
      </x:c>
      <x:c r="F576" s="20" t="str">
        <x:v>checkbox</x:v>
      </x:c>
      <x:c r="G576" s="35" t="str">
        <x:v>alertForm.enableEmail</x:v>
      </x:c>
      <x:c r="H576" s="35" t="str">
        <x:v>Mobile push</x:v>
      </x:c>
      <x:c r="I576" s="20" t="str">
        <x:v>Property Manager</x:v>
      </x:c>
      <x:c r="J576" s="23" t="n">
        <x:v>46588</x:v>
      </x:c>
      <x:c r="K576" s="35" t="str">
        <x:v>valid non-default; boundary/format value; blank/null when optional; invalid value when constrained</x:v>
      </x:c>
      <x:c r="L576" s="35" t="str">
        <x:v>Save succeeds; reload shows the exact normalized value; other client reads it where supported; edit persists; validation rejects invalid input without partial mutation.</x:v>
      </x:c>
    </x:row>
    <x:row r="577">
      <x:c r="A577" s="20" t="str">
        <x:v>FLD-0574</x:v>
      </x:c>
      <x:c r="B577" s="20" t="str">
        <x:v>Web</x:v>
      </x:c>
      <x:c r="C577" s="35" t="str">
        <x:v>/onboarding</x:v>
      </x:c>
      <x:c r="D577" s="35" t="str">
        <x:v>web/src/routes/(protected)/onboarding/+page.svelte</x:v>
      </x:c>
      <x:c r="E577" s="32" t="n">
        <x:v>1986</x:v>
      </x:c>
      <x:c r="F577" s="20" t="str">
        <x:v>checkbox</x:v>
      </x:c>
      <x:c r="G577" s="35" t="str">
        <x:v>alertForm.enableSms</x:v>
      </x:c>
      <x:c r="H577" s="35" t="str">
        <x:v>Email</x:v>
      </x:c>
      <x:c r="I577" s="20" t="str">
        <x:v>Property Manager</x:v>
      </x:c>
      <x:c r="J577" s="23" t="n">
        <x:v>46588</x:v>
      </x:c>
      <x:c r="K577" s="35" t="str">
        <x:v>valid non-default; boundary/format value; blank/null when optional; invalid value when constrained</x:v>
      </x:c>
      <x:c r="L577" s="35" t="str">
        <x:v>Save succeeds; reload shows the exact normalized value; other client reads it where supported; edit persists; validation rejects invalid input without partial mutation.</x:v>
      </x:c>
    </x:row>
    <x:row r="578">
      <x:c r="A578" s="20" t="str">
        <x:v>FLD-0575</x:v>
      </x:c>
      <x:c r="B578" s="20" t="str">
        <x:v>Web</x:v>
      </x:c>
      <x:c r="C578" s="35" t="str">
        <x:v>/owner/properties</x:v>
      </x:c>
      <x:c r="D578" s="35" t="str">
        <x:v>web/src/routes/(protected)/owner/properties/+page.svelte</x:v>
      </x:c>
      <x:c r="E578" s="32" t="n">
        <x:v>43</x:v>
      </x:c>
      <x:c r="F578" s="20" t="str">
        <x:v>input</x:v>
      </x:c>
      <x:c r="G578" s="35" t="str">
        <x:v>owner-property-search</x:v>
      </x:c>
      <x:c r="H578" s="35" t="str">
        <x:v>Search properties</x:v>
      </x:c>
      <x:c r="I578" s="20" t="str">
        <x:v>Owner</x:v>
      </x:c>
      <x:c r="J578" s="23" t="n">
        <x:v>46588</x:v>
      </x:c>
      <x:c r="K578" s="35" t="str">
        <x:v>valid non-default; boundary/format value; blank/null when optional; invalid value when constrained</x:v>
      </x:c>
      <x:c r="L578" s="35" t="str">
        <x:v>Save succeeds; reload shows the exact normalized value; other client reads it where supported; edit persists; validation rejects invalid input without partial mutation.</x:v>
      </x:c>
    </x:row>
    <x:row r="579">
      <x:c r="A579" s="20" t="str">
        <x:v>FLD-0576</x:v>
      </x:c>
      <x:c r="B579" s="20" t="str">
        <x:v>Web</x:v>
      </x:c>
      <x:c r="C579" s="35" t="str">
        <x:v>/owner/statements</x:v>
      </x:c>
      <x:c r="D579" s="35" t="str">
        <x:v>web/src/routes/(protected)/owner/statements/+page.svelte</x:v>
      </x:c>
      <x:c r="E579" s="32" t="n">
        <x:v>55</x:v>
      </x:c>
      <x:c r="F579" s="20" t="str">
        <x:v>single</x:v>
      </x:c>
      <x:c r="G579" s="35" t="str">
        <x:v>selectedYear</x:v>
      </x:c>
      <x:c r="H579" s="35" t="str"/>
      <x:c r="I579" s="20" t="str">
        <x:v>Owner</x:v>
      </x:c>
      <x:c r="J579" s="23" t="n">
        <x:v>46589</x:v>
      </x:c>
      <x:c r="K579" s="35" t="str">
        <x:v>valid non-default; boundary/format value; blank/null when optional; invalid value when constrained</x:v>
      </x:c>
      <x:c r="L579" s="35" t="str">
        <x:v>Save succeeds; reload shows the exact normalized value; other client reads it where supported; edit persists; validation rejects invalid input without partial mutation.</x:v>
      </x:c>
    </x:row>
    <x:row r="580">
      <x:c r="A580" s="20" t="str">
        <x:v>FLD-0577</x:v>
      </x:c>
      <x:c r="B580" s="20" t="str">
        <x:v>Web</x:v>
      </x:c>
      <x:c r="C580" s="35" t="str">
        <x:v>/owner/statements</x:v>
      </x:c>
      <x:c r="D580" s="35" t="str">
        <x:v>web/src/routes/(protected)/owner/statements/+page.svelte</x:v>
      </x:c>
      <x:c r="E580" s="32" t="n">
        <x:v>55</x:v>
      </x:c>
      <x:c r="F580" s="20" t="str">
        <x:v>select</x:v>
      </x:c>
      <x:c r="G580" s="35" t="str">
        <x:v>owner-statements-year</x:v>
      </x:c>
      <x:c r="H580" s="35" t="str"/>
      <x:c r="I580" s="20" t="str">
        <x:v>Owner</x:v>
      </x:c>
      <x:c r="J580" s="23" t="n">
        <x:v>46589</x:v>
      </x:c>
      <x:c r="K580" s="35" t="str">
        <x:v>valid non-default; boundary/format value; blank/null when optional; invalid value when constrained</x:v>
      </x:c>
      <x:c r="L580" s="35" t="str">
        <x:v>Save succeeds; reload shows the exact normalized value; other client reads it where supported; edit persists; validation rejects invalid input without partial mutation.</x:v>
      </x:c>
    </x:row>
    <x:row r="581">
      <x:c r="A581" s="20" t="str">
        <x:v>FLD-0578</x:v>
      </x:c>
      <x:c r="B581" s="20" t="str">
        <x:v>Web</x:v>
      </x:c>
      <x:c r="C581" s="35" t="str">
        <x:v>/owner/statements</x:v>
      </x:c>
      <x:c r="D581" s="35" t="str">
        <x:v>web/src/routes/(protected)/owner/statements/+page.svelte</x:v>
      </x:c>
      <x:c r="E581" s="32" t="n">
        <x:v>55</x:v>
      </x:c>
      <x:c r="F581" s="20" t="str">
        <x:v>select</x:v>
      </x:c>
      <x:c r="G581" s="35" t="str">
        <x:v>Select-3</x:v>
      </x:c>
      <x:c r="H581" s="35" t="str"/>
      <x:c r="I581" s="20" t="str">
        <x:v>Owner</x:v>
      </x:c>
      <x:c r="J581" s="23" t="n">
        <x:v>46589</x:v>
      </x:c>
      <x:c r="K581" s="35" t="str">
        <x:v>valid non-default; boundary/format value; blank/null when optional; invalid value when constrained</x:v>
      </x:c>
      <x:c r="L581" s="35" t="str">
        <x:v>Save succeeds; reload shows the exact normalized value; other client reads it where supported; edit persists; validation rejects invalid input without partial mutation.</x:v>
      </x:c>
    </x:row>
    <x:row r="582">
      <x:c r="A582" s="20" t="str">
        <x:v>FLD-0579</x:v>
      </x:c>
      <x:c r="B582" s="20" t="str">
        <x:v>Web</x:v>
      </x:c>
      <x:c r="C582" s="35" t="str">
        <x:v>/owner/statements</x:v>
      </x:c>
      <x:c r="D582" s="35" t="str">
        <x:v>web/src/routes/(protected)/owner/statements/+page.svelte</x:v>
      </x:c>
      <x:c r="E582" s="32" t="n">
        <x:v>55</x:v>
      </x:c>
      <x:c r="F582" s="20" t="str">
        <x:v>select</x:v>
      </x:c>
      <x:c r="G582" s="35" t="str">
        <x:v>Select-4</x:v>
      </x:c>
      <x:c r="H582" s="35" t="str"/>
      <x:c r="I582" s="20" t="str">
        <x:v>Owner</x:v>
      </x:c>
      <x:c r="J582" s="23" t="n">
        <x:v>46589</x:v>
      </x:c>
      <x:c r="K582" s="35" t="str">
        <x:v>valid non-default; boundary/format value; blank/null when optional; invalid value when constrained</x:v>
      </x:c>
      <x:c r="L582" s="35" t="str">
        <x:v>Save succeeds; reload shows the exact normalized value; other client reads it where supported; edit persists; validation rejects invalid input without partial mutation.</x:v>
      </x:c>
    </x:row>
    <x:row r="583">
      <x:c r="A583" s="20" t="str">
        <x:v>FLD-0580</x:v>
      </x:c>
      <x:c r="B583" s="20" t="str">
        <x:v>Web</x:v>
      </x:c>
      <x:c r="C583" s="35" t="str">
        <x:v>/owners</x:v>
      </x:c>
      <x:c r="D583" s="35" t="str">
        <x:v>web/src/routes/(protected)/owners/+page.svelte</x:v>
      </x:c>
      <x:c r="E583" s="32" t="n">
        <x:v>340</x:v>
      </x:c>
      <x:c r="F583" s="20" t="str">
        <x:v>input</x:v>
      </x:c>
      <x:c r="G583" s="35" t="str">
        <x:v>owner-name-input</x:v>
      </x:c>
      <x:c r="H583" s="35" t="str">
        <x:v>Owner name</x:v>
      </x:c>
      <x:c r="I583" s="20" t="str">
        <x:v>Property Manager</x:v>
      </x:c>
      <x:c r="J583" s="23" t="n">
        <x:v>46589</x:v>
      </x:c>
      <x:c r="K583" s="35" t="str">
        <x:v>valid non-default; boundary/format value; blank/null when optional; invalid value when constrained</x:v>
      </x:c>
      <x:c r="L583" s="35" t="str">
        <x:v>Save succeeds; reload shows the exact normalized value; other client reads it where supported; edit persists; validation rejects invalid input without partial mutation.</x:v>
      </x:c>
    </x:row>
    <x:row r="584">
      <x:c r="A584" s="20" t="str">
        <x:v>FLD-0581</x:v>
      </x:c>
      <x:c r="B584" s="20" t="str">
        <x:v>Web</x:v>
      </x:c>
      <x:c r="C584" s="35" t="str">
        <x:v>/owners</x:v>
      </x:c>
      <x:c r="D584" s="35" t="str">
        <x:v>web/src/routes/(protected)/owners/+page.svelte</x:v>
      </x:c>
      <x:c r="E584" s="32" t="n">
        <x:v>345</x:v>
      </x:c>
      <x:c r="F584" s="20" t="str">
        <x:v>single</x:v>
      </x:c>
      <x:c r="G584" s="35" t="str">
        <x:v>ownerForm.ownerEntityType</x:v>
      </x:c>
      <x:c r="H584" s="35" t="str"/>
      <x:c r="I584" s="20" t="str">
        <x:v>Property Manager</x:v>
      </x:c>
      <x:c r="J584" s="23" t="n">
        <x:v>46590</x:v>
      </x:c>
      <x:c r="K584" s="35" t="str">
        <x:v>valid non-default; boundary/format value; blank/null when optional; invalid value when constrained</x:v>
      </x:c>
      <x:c r="L584" s="35" t="str">
        <x:v>Save succeeds; reload shows the exact normalized value; other client reads it where supported; edit persists; validation rejects invalid input without partial mutation.</x:v>
      </x:c>
    </x:row>
    <x:row r="585">
      <x:c r="A585" s="20" t="str">
        <x:v>FLD-0582</x:v>
      </x:c>
      <x:c r="B585" s="20" t="str">
        <x:v>Web</x:v>
      </x:c>
      <x:c r="C585" s="35" t="str">
        <x:v>/owners</x:v>
      </x:c>
      <x:c r="D585" s="35" t="str">
        <x:v>web/src/routes/(protected)/owners/+page.svelte</x:v>
      </x:c>
      <x:c r="E585" s="32" t="n">
        <x:v>346</x:v>
      </x:c>
      <x:c r="F585" s="20" t="str">
        <x:v>select</x:v>
      </x:c>
      <x:c r="G585" s="35" t="str">
        <x:v>owner-type-input</x:v>
      </x:c>
      <x:c r="H585" s="35" t="str"/>
      <x:c r="I585" s="20" t="str">
        <x:v>Property Manager</x:v>
      </x:c>
      <x:c r="J585" s="23" t="n">
        <x:v>46590</x:v>
      </x:c>
      <x:c r="K585" s="35" t="str">
        <x:v>valid non-default; boundary/format value; blank/null when optional; invalid value when constrained</x:v>
      </x:c>
      <x:c r="L585" s="35" t="str">
        <x:v>Save succeeds; reload shows the exact normalized value; other client reads it where supported; edit persists; validation rejects invalid input without partial mutation.</x:v>
      </x:c>
    </x:row>
    <x:row r="586">
      <x:c r="A586" s="20" t="str">
        <x:v>FLD-0583</x:v>
      </x:c>
      <x:c r="B586" s="20" t="str">
        <x:v>Web</x:v>
      </x:c>
      <x:c r="C586" s="35" t="str">
        <x:v>/owners</x:v>
      </x:c>
      <x:c r="D586" s="35" t="str">
        <x:v>web/src/routes/(protected)/owners/+page.svelte</x:v>
      </x:c>
      <x:c r="E586" s="32" t="n">
        <x:v>349</x:v>
      </x:c>
      <x:c r="F586" s="20" t="str">
        <x:v>select</x:v>
      </x:c>
      <x:c r="G586" s="35" t="str">
        <x:v>Select-4</x:v>
      </x:c>
      <x:c r="H586" s="35" t="str"/>
      <x:c r="I586" s="20" t="str">
        <x:v>Property Manager</x:v>
      </x:c>
      <x:c r="J586" s="23" t="n">
        <x:v>46590</x:v>
      </x:c>
      <x:c r="K586" s="35" t="str">
        <x:v>valid non-default; boundary/format value; blank/null when optional; invalid value when constrained</x:v>
      </x:c>
      <x:c r="L586" s="35" t="str">
        <x:v>Save succeeds; reload shows the exact normalized value; other client reads it where supported; edit persists; validation rejects invalid input without partial mutation.</x:v>
      </x:c>
    </x:row>
    <x:row r="587">
      <x:c r="A587" s="20" t="str">
        <x:v>FLD-0584</x:v>
      </x:c>
      <x:c r="B587" s="20" t="str">
        <x:v>Web</x:v>
      </x:c>
      <x:c r="C587" s="35" t="str">
        <x:v>/owners</x:v>
      </x:c>
      <x:c r="D587" s="35" t="str">
        <x:v>web/src/routes/(protected)/owners/+page.svelte</x:v>
      </x:c>
      <x:c r="E587" s="32" t="n">
        <x:v>351</x:v>
      </x:c>
      <x:c r="F587" s="20" t="str">
        <x:v>select</x:v>
      </x:c>
      <x:c r="G587" s="35" t="str">
        <x:v>Select-5</x:v>
      </x:c>
      <x:c r="H587" s="35" t="str"/>
      <x:c r="I587" s="20" t="str">
        <x:v>Property Manager</x:v>
      </x:c>
      <x:c r="J587" s="23" t="n">
        <x:v>46590</x:v>
      </x:c>
      <x:c r="K587" s="35" t="str">
        <x:v>valid non-default; boundary/format value; blank/null when optional; invalid value when constrained</x:v>
      </x:c>
      <x:c r="L587" s="35" t="str">
        <x:v>Save succeeds; reload shows the exact normalized value; other client reads it where supported; edit persists; validation rejects invalid input without partial mutation.</x:v>
      </x:c>
    </x:row>
    <x:row r="588">
      <x:c r="A588" s="20" t="str">
        <x:v>FLD-0585</x:v>
      </x:c>
      <x:c r="B588" s="20" t="str">
        <x:v>Web</x:v>
      </x:c>
      <x:c r="C588" s="35" t="str">
        <x:v>/owners</x:v>
      </x:c>
      <x:c r="D588" s="35" t="str">
        <x:v>web/src/routes/(protected)/owners/+page.svelte</x:v>
      </x:c>
      <x:c r="E588" s="32" t="n">
        <x:v>356</x:v>
      </x:c>
      <x:c r="F588" s="20" t="str">
        <x:v>input</x:v>
      </x:c>
      <x:c r="G588" s="35" t="str">
        <x:v>owner-taxid-input</x:v>
      </x:c>
      <x:c r="H588" s="35" t="str">
        <x:v>Tax ID / EIN (optional)</x:v>
      </x:c>
      <x:c r="I588" s="20" t="str">
        <x:v>Property Manager</x:v>
      </x:c>
      <x:c r="J588" s="23" t="n">
        <x:v>46591</x:v>
      </x:c>
      <x:c r="K588" s="35" t="str">
        <x:v>valid non-default; boundary/format value; blank/null when optional; invalid value when constrained</x:v>
      </x:c>
      <x:c r="L588" s="35" t="str">
        <x:v>Save succeeds; reload shows the exact normalized value; other client reads it where supported; edit persists; validation rejects invalid input without partial mutation.</x:v>
      </x:c>
    </x:row>
    <x:row r="589">
      <x:c r="A589" s="20" t="str">
        <x:v>FLD-0586</x:v>
      </x:c>
      <x:c r="B589" s="20" t="str">
        <x:v>Web</x:v>
      </x:c>
      <x:c r="C589" s="35" t="str">
        <x:v>/owners</x:v>
      </x:c>
      <x:c r="D589" s="35" t="str">
        <x:v>web/src/routes/(protected)/owners/+page.svelte</x:v>
      </x:c>
      <x:c r="E589" s="32" t="n">
        <x:v>368</x:v>
      </x:c>
      <x:c r="F589" s="20" t="str">
        <x:v>input</x:v>
      </x:c>
      <x:c r="G589" s="35" t="str">
        <x:v>owner-address2-input</x:v>
      </x:c>
      <x:c r="H589" s="35" t="str">
        <x:v>Apt / Suite / Unit # (optional)</x:v>
      </x:c>
      <x:c r="I589" s="20" t="str">
        <x:v>Property Manager</x:v>
      </x:c>
      <x:c r="J589" s="23" t="n">
        <x:v>46591</x:v>
      </x:c>
      <x:c r="K589" s="35" t="str">
        <x:v>valid non-default; boundary/format value; blank/null when optional; invalid value when constrained</x:v>
      </x:c>
      <x:c r="L589" s="35" t="str">
        <x:v>Save succeeds; reload shows the exact normalized value; other client reads it where supported; edit persists; validation rejects invalid input without partial mutation.</x:v>
      </x:c>
    </x:row>
    <x:row r="590">
      <x:c r="A590" s="20" t="str">
        <x:v>FLD-0587</x:v>
      </x:c>
      <x:c r="B590" s="20" t="str">
        <x:v>Web</x:v>
      </x:c>
      <x:c r="C590" s="35" t="str">
        <x:v>/owners</x:v>
      </x:c>
      <x:c r="D590" s="35" t="str">
        <x:v>web/src/routes/(protected)/owners/+page.svelte</x:v>
      </x:c>
      <x:c r="E590" s="32" t="n">
        <x:v>370</x:v>
      </x:c>
      <x:c r="F590" s="20" t="str">
        <x:v>input</x:v>
      </x:c>
      <x:c r="G590" s="35" t="str">
        <x:v>owner-city-input</x:v>
      </x:c>
      <x:c r="H590" s="35" t="str">
        <x:v>City</x:v>
      </x:c>
      <x:c r="I590" s="20" t="str">
        <x:v>Property Manager</x:v>
      </x:c>
      <x:c r="J590" s="23" t="n">
        <x:v>46591</x:v>
      </x:c>
      <x:c r="K590" s="35" t="str">
        <x:v>valid non-default; boundary/format value; blank/null when optional; invalid value when constrained</x:v>
      </x:c>
      <x:c r="L590" s="35" t="str">
        <x:v>Save succeeds; reload shows the exact normalized value; other client reads it where supported; edit persists; validation rejects invalid input without partial mutation.</x:v>
      </x:c>
    </x:row>
    <x:row r="591">
      <x:c r="A591" s="20" t="str">
        <x:v>FLD-0588</x:v>
      </x:c>
      <x:c r="B591" s="20" t="str">
        <x:v>Web</x:v>
      </x:c>
      <x:c r="C591" s="35" t="str">
        <x:v>/owners</x:v>
      </x:c>
      <x:c r="D591" s="35" t="str">
        <x:v>web/src/routes/(protected)/owners/+page.svelte</x:v>
      </x:c>
      <x:c r="E591" s="32" t="n">
        <x:v>372</x:v>
      </x:c>
      <x:c r="F591" s="20" t="str">
        <x:v>input</x:v>
      </x:c>
      <x:c r="G591" s="35" t="str">
        <x:v>owner-zip-input</x:v>
      </x:c>
      <x:c r="H591" s="35" t="str">
        <x:v>ZIP</x:v>
      </x:c>
      <x:c r="I591" s="20" t="str">
        <x:v>Property Manager</x:v>
      </x:c>
      <x:c r="J591" s="23" t="n">
        <x:v>46591</x:v>
      </x:c>
      <x:c r="K591" s="35" t="str">
        <x:v>valid non-default; boundary/format value; blank/null when optional; invalid value when constrained</x:v>
      </x:c>
      <x:c r="L591" s="35" t="str">
        <x:v>Save succeeds; reload shows the exact normalized value; other client reads it where supported; edit persists; validation rejects invalid input without partial mutation.</x:v>
      </x:c>
    </x:row>
    <x:row r="592">
      <x:c r="A592" s="20" t="str">
        <x:v>FLD-0589</x:v>
      </x:c>
      <x:c r="B592" s="20" t="str">
        <x:v>Web</x:v>
      </x:c>
      <x:c r="C592" s="35" t="str">
        <x:v>/owners</x:v>
      </x:c>
      <x:c r="D592" s="35" t="str">
        <x:v>web/src/routes/(protected)/owners/+page.svelte</x:v>
      </x:c>
      <x:c r="E592" s="32" t="n">
        <x:v>375</x:v>
      </x:c>
      <x:c r="F592" s="20" t="str">
        <x:v>tel</x:v>
      </x:c>
      <x:c r="G592" s="35" t="str">
        <x:v>owner-phone-input</x:v>
      </x:c>
      <x:c r="H592" s="35" t="str">
        <x:v>Phone (optional)</x:v>
      </x:c>
      <x:c r="I592" s="20" t="str">
        <x:v>Property Manager</x:v>
      </x:c>
      <x:c r="J592" s="23" t="n">
        <x:v>46591</x:v>
      </x:c>
      <x:c r="K592" s="35" t="str">
        <x:v>valid non-default; boundary/format value; blank/null when optional; invalid value when constrained</x:v>
      </x:c>
      <x:c r="L592" s="35" t="str">
        <x:v>Save succeeds; reload shows the exact normalized value; other client reads it where supported; edit persists; validation rejects invalid input without partial mutation.</x:v>
      </x:c>
    </x:row>
    <x:row r="593">
      <x:c r="A593" s="20" t="str">
        <x:v>FLD-0590</x:v>
      </x:c>
      <x:c r="B593" s="20" t="str">
        <x:v>Web</x:v>
      </x:c>
      <x:c r="C593" s="35" t="str">
        <x:v>/owners</x:v>
      </x:c>
      <x:c r="D593" s="35" t="str">
        <x:v>web/src/routes/(protected)/owners/+page.svelte</x:v>
      </x:c>
      <x:c r="E593" s="32" t="n">
        <x:v>377</x:v>
      </x:c>
      <x:c r="F593" s="20" t="str">
        <x:v>email</x:v>
      </x:c>
      <x:c r="G593" s="35" t="str">
        <x:v>owner-email-input</x:v>
      </x:c>
      <x:c r="H593" s="35" t="str">
        <x:v>Email (optional)</x:v>
      </x:c>
      <x:c r="I593" s="20" t="str">
        <x:v>Property Manager</x:v>
      </x:c>
      <x:c r="J593" s="23" t="n">
        <x:v>46594</x:v>
      </x:c>
      <x:c r="K593" s="35" t="str">
        <x:v>valid non-default; boundary/format value; blank/null when optional; invalid value when constrained</x:v>
      </x:c>
      <x:c r="L593" s="35" t="str">
        <x:v>Save succeeds; reload shows the exact normalized value; other client reads it where supported; edit persists; validation rejects invalid input without partial mutation.</x:v>
      </x:c>
    </x:row>
    <x:row r="594">
      <x:c r="A594" s="20" t="str">
        <x:v>FLD-0591</x:v>
      </x:c>
      <x:c r="B594" s="20" t="str">
        <x:v>Web</x:v>
      </x:c>
      <x:c r="C594" s="35" t="str">
        <x:v>/owners-report</x:v>
      </x:c>
      <x:c r="D594" s="35" t="str">
        <x:v>web/src/routes/(protected)/owners-report/+page.svelte</x:v>
      </x:c>
      <x:c r="E594" s="32" t="n">
        <x:v>241</x:v>
      </x:c>
      <x:c r="F594" s="20" t="str">
        <x:v>single</x:v>
      </x:c>
      <x:c r="G594" s="35" t="str">
        <x:v>selectedYear</x:v>
      </x:c>
      <x:c r="H594" s="35" t="str"/>
      <x:c r="I594" s="20" t="str">
        <x:v>Property Manager</x:v>
      </x:c>
      <x:c r="J594" s="23" t="n">
        <x:v>46594</x:v>
      </x:c>
      <x:c r="K594" s="35" t="str">
        <x:v>valid non-default; boundary/format value; blank/null when optional; invalid value when constrained</x:v>
      </x:c>
      <x:c r="L594" s="35" t="str">
        <x:v>Save succeeds; reload shows the exact normalized value; other client reads it where supported; edit persists; validation rejects invalid input without partial mutation.</x:v>
      </x:c>
    </x:row>
    <x:row r="595">
      <x:c r="A595" s="20" t="str">
        <x:v>FLD-0592</x:v>
      </x:c>
      <x:c r="B595" s="20" t="str">
        <x:v>Web</x:v>
      </x:c>
      <x:c r="C595" s="35" t="str">
        <x:v>/owners-report</x:v>
      </x:c>
      <x:c r="D595" s="35" t="str">
        <x:v>web/src/routes/(protected)/owners-report/+page.svelte</x:v>
      </x:c>
      <x:c r="E595" s="32" t="n">
        <x:v>242</x:v>
      </x:c>
      <x:c r="F595" s="20" t="str">
        <x:v>select</x:v>
      </x:c>
      <x:c r="G595" s="35" t="str">
        <x:v>owners-report-year-select</x:v>
      </x:c>
      <x:c r="H595" s="35" t="str"/>
      <x:c r="I595" s="20" t="str">
        <x:v>Property Manager</x:v>
      </x:c>
      <x:c r="J595" s="23" t="n">
        <x:v>46594</x:v>
      </x:c>
      <x:c r="K595" s="35" t="str">
        <x:v>valid non-default; boundary/format value; blank/null when optional; invalid value when constrained</x:v>
      </x:c>
      <x:c r="L595" s="35" t="str">
        <x:v>Save succeeds; reload shows the exact normalized value; other client reads it where supported; edit persists; validation rejects invalid input without partial mutation.</x:v>
      </x:c>
    </x:row>
    <x:row r="596">
      <x:c r="A596" s="20" t="str">
        <x:v>FLD-0593</x:v>
      </x:c>
      <x:c r="B596" s="20" t="str">
        <x:v>Web</x:v>
      </x:c>
      <x:c r="C596" s="35" t="str">
        <x:v>/owners-report</x:v>
      </x:c>
      <x:c r="D596" s="35" t="str">
        <x:v>web/src/routes/(protected)/owners-report/+page.svelte</x:v>
      </x:c>
      <x:c r="E596" s="32" t="n">
        <x:v>245</x:v>
      </x:c>
      <x:c r="F596" s="20" t="str">
        <x:v>select</x:v>
      </x:c>
      <x:c r="G596" s="35" t="str">
        <x:v>Select-3</x:v>
      </x:c>
      <x:c r="H596" s="35" t="str"/>
      <x:c r="I596" s="20" t="str">
        <x:v>Property Manager</x:v>
      </x:c>
      <x:c r="J596" s="23" t="n">
        <x:v>46594</x:v>
      </x:c>
      <x:c r="K596" s="35" t="str">
        <x:v>valid non-default; boundary/format value; blank/null when optional; invalid value when constrained</x:v>
      </x:c>
      <x:c r="L596" s="35" t="str">
        <x:v>Save succeeds; reload shows the exact normalized value; other client reads it where supported; edit persists; validation rejects invalid input without partial mutation.</x:v>
      </x:c>
    </x:row>
    <x:row r="597">
      <x:c r="A597" s="20" t="str">
        <x:v>FLD-0594</x:v>
      </x:c>
      <x:c r="B597" s="20" t="str">
        <x:v>Web</x:v>
      </x:c>
      <x:c r="C597" s="35" t="str">
        <x:v>/owners-report</x:v>
      </x:c>
      <x:c r="D597" s="35" t="str">
        <x:v>web/src/routes/(protected)/owners-report/+page.svelte</x:v>
      </x:c>
      <x:c r="E597" s="32" t="n">
        <x:v>247</x:v>
      </x:c>
      <x:c r="F597" s="20" t="str">
        <x:v>select</x:v>
      </x:c>
      <x:c r="G597" s="35" t="str">
        <x:v>Select-4</x:v>
      </x:c>
      <x:c r="H597" s="35" t="str"/>
      <x:c r="I597" s="20" t="str">
        <x:v>Property Manager</x:v>
      </x:c>
      <x:c r="J597" s="23" t="n">
        <x:v>46595</x:v>
      </x:c>
      <x:c r="K597" s="35" t="str">
        <x:v>valid non-default; boundary/format value; blank/null when optional; invalid value when constrained</x:v>
      </x:c>
      <x:c r="L597" s="35" t="str">
        <x:v>Save succeeds; reload shows the exact normalized value; other client reads it where supported; edit persists; validation rejects invalid input without partial mutation.</x:v>
      </x:c>
    </x:row>
    <x:row r="598">
      <x:c r="A598" s="20" t="str">
        <x:v>FLD-0595</x:v>
      </x:c>
      <x:c r="B598" s="20" t="str">
        <x:v>Web</x:v>
      </x:c>
      <x:c r="C598" s="35" t="str">
        <x:v>/owners-report</x:v>
      </x:c>
      <x:c r="D598" s="35" t="str">
        <x:v>web/src/routes/(protected)/owners-report/+page.svelte</x:v>
      </x:c>
      <x:c r="E598" s="32" t="n">
        <x:v>377</x:v>
      </x:c>
      <x:c r="F598" s="20" t="str">
        <x:v>date</x:v>
      </x:c>
      <x:c r="G598" s="35" t="str">
        <x:v>owner-distribution-date</x:v>
      </x:c>
      <x:c r="H598" s="35" t="str">
        <x:v>Date</x:v>
      </x:c>
      <x:c r="I598" s="20" t="str">
        <x:v>Property Manager</x:v>
      </x:c>
      <x:c r="J598" s="23" t="n">
        <x:v>46595</x:v>
      </x:c>
      <x:c r="K598" s="35" t="str">
        <x:v>valid non-default; boundary/format value; blank/null when optional; invalid value when constrained</x:v>
      </x:c>
      <x:c r="L598" s="35" t="str">
        <x:v>Save succeeds; reload shows the exact normalized value; other client reads it where supported; edit persists; validation rejects invalid input without partial mutation.</x:v>
      </x:c>
    </x:row>
    <x:row r="599">
      <x:c r="A599" s="20" t="str">
        <x:v>FLD-0596</x:v>
      </x:c>
      <x:c r="B599" s="20" t="str">
        <x:v>Web</x:v>
      </x:c>
      <x:c r="C599" s="35" t="str">
        <x:v>/owners-report</x:v>
      </x:c>
      <x:c r="D599" s="35" t="str">
        <x:v>web/src/routes/(protected)/owners-report/+page.svelte</x:v>
      </x:c>
      <x:c r="E599" s="32" t="n">
        <x:v>386</x:v>
      </x:c>
      <x:c r="F599" s="20" t="str">
        <x:v>text</x:v>
      </x:c>
      <x:c r="G599" s="35" t="str">
        <x:v>owner-distribution-amount</x:v>
      </x:c>
      <x:c r="H599" s="35" t="str">
        <x:v>Amount</x:v>
      </x:c>
      <x:c r="I599" s="20" t="str">
        <x:v>Property Manager</x:v>
      </x:c>
      <x:c r="J599" s="23" t="n">
        <x:v>46595</x:v>
      </x:c>
      <x:c r="K599" s="35" t="str">
        <x:v>valid non-default; boundary/format value; blank/null when optional; invalid value when constrained</x:v>
      </x:c>
      <x:c r="L599" s="35" t="str">
        <x:v>Save succeeds; reload shows the exact normalized value; other client reads it where supported; edit persists; validation rejects invalid input without partial mutation.</x:v>
      </x:c>
    </x:row>
    <x:row r="600">
      <x:c r="A600" s="20" t="str">
        <x:v>FLD-0597</x:v>
      </x:c>
      <x:c r="B600" s="20" t="str">
        <x:v>Web</x:v>
      </x:c>
      <x:c r="C600" s="35" t="str">
        <x:v>/owners-report</x:v>
      </x:c>
      <x:c r="D600" s="35" t="str">
        <x:v>web/src/routes/(protected)/owners-report/+page.svelte</x:v>
      </x:c>
      <x:c r="E600" s="32" t="n">
        <x:v>398</x:v>
      </x:c>
      <x:c r="F600" s="20" t="str">
        <x:v>single</x:v>
      </x:c>
      <x:c r="G600" s="35" t="str">
        <x:v>distributionForm.method</x:v>
      </x:c>
      <x:c r="H600" s="35" t="str"/>
      <x:c r="I600" s="20" t="str">
        <x:v>Property Manager</x:v>
      </x:c>
      <x:c r="J600" s="23" t="n">
        <x:v>46595</x:v>
      </x:c>
      <x:c r="K600" s="35" t="str">
        <x:v>valid non-default; boundary/format value; blank/null when optional; invalid value when constrained</x:v>
      </x:c>
      <x:c r="L600" s="35" t="str">
        <x:v>Save succeeds; reload shows the exact normalized value; other client reads it where supported; edit persists; validation rejects invalid input without partial mutation.</x:v>
      </x:c>
    </x:row>
    <x:row r="601">
      <x:c r="A601" s="20" t="str">
        <x:v>FLD-0598</x:v>
      </x:c>
      <x:c r="B601" s="20" t="str">
        <x:v>Web</x:v>
      </x:c>
      <x:c r="C601" s="35" t="str">
        <x:v>/owners-report</x:v>
      </x:c>
      <x:c r="D601" s="35" t="str">
        <x:v>web/src/routes/(protected)/owners-report/+page.svelte</x:v>
      </x:c>
      <x:c r="E601" s="32" t="n">
        <x:v>399</x:v>
      </x:c>
      <x:c r="F601" s="20" t="str">
        <x:v>select</x:v>
      </x:c>
      <x:c r="G601" s="35" t="str">
        <x:v>owner-distribution-method</x:v>
      </x:c>
      <x:c r="H601" s="35" t="str"/>
      <x:c r="I601" s="20" t="str">
        <x:v>Property Manager</x:v>
      </x:c>
      <x:c r="J601" s="23" t="n">
        <x:v>46595</x:v>
      </x:c>
      <x:c r="K601" s="35" t="str">
        <x:v>valid non-default; boundary/format value; blank/null when optional; invalid value when constrained</x:v>
      </x:c>
      <x:c r="L601" s="35" t="str">
        <x:v>Save succeeds; reload shows the exact normalized value; other client reads it where supported; edit persists; validation rejects invalid input without partial mutation.</x:v>
      </x:c>
    </x:row>
    <x:row r="602">
      <x:c r="A602" s="20" t="str">
        <x:v>FLD-0599</x:v>
      </x:c>
      <x:c r="B602" s="20" t="str">
        <x:v>Web</x:v>
      </x:c>
      <x:c r="C602" s="35" t="str">
        <x:v>/owners-report</x:v>
      </x:c>
      <x:c r="D602" s="35" t="str">
        <x:v>web/src/routes/(protected)/owners-report/+page.svelte</x:v>
      </x:c>
      <x:c r="E602" s="32" t="n">
        <x:v>402</x:v>
      </x:c>
      <x:c r="F602" s="20" t="str">
        <x:v>select</x:v>
      </x:c>
      <x:c r="G602" s="35" t="str">
        <x:v>Select-9</x:v>
      </x:c>
      <x:c r="H602" s="35" t="str"/>
      <x:c r="I602" s="20" t="str">
        <x:v>Property Manager</x:v>
      </x:c>
      <x:c r="J602" s="23" t="n">
        <x:v>46596</x:v>
      </x:c>
      <x:c r="K602" s="35" t="str">
        <x:v>valid non-default; boundary/format value; blank/null when optional; invalid value when constrained</x:v>
      </x:c>
      <x:c r="L602" s="35" t="str">
        <x:v>Save succeeds; reload shows the exact normalized value; other client reads it where supported; edit persists; validation rejects invalid input without partial mutation.</x:v>
      </x:c>
    </x:row>
    <x:row r="603">
      <x:c r="A603" s="20" t="str">
        <x:v>FLD-0600</x:v>
      </x:c>
      <x:c r="B603" s="20" t="str">
        <x:v>Web</x:v>
      </x:c>
      <x:c r="C603" s="35" t="str">
        <x:v>/owners-report</x:v>
      </x:c>
      <x:c r="D603" s="35" t="str">
        <x:v>web/src/routes/(protected)/owners-report/+page.svelte</x:v>
      </x:c>
      <x:c r="E603" s="32" t="n">
        <x:v>404</x:v>
      </x:c>
      <x:c r="F603" s="20" t="str">
        <x:v>select</x:v>
      </x:c>
      <x:c r="G603" s="35" t="str">
        <x:v>Select-10</x:v>
      </x:c>
      <x:c r="H603" s="35" t="str"/>
      <x:c r="I603" s="20" t="str">
        <x:v>Property Manager</x:v>
      </x:c>
      <x:c r="J603" s="23" t="n">
        <x:v>46596</x:v>
      </x:c>
      <x:c r="K603" s="35" t="str">
        <x:v>valid non-default; boundary/format value; blank/null when optional; invalid value when constrained</x:v>
      </x:c>
      <x:c r="L603" s="35" t="str">
        <x:v>Save succeeds; reload shows the exact normalized value; other client reads it where supported; edit persists; validation rejects invalid input without partial mutation.</x:v>
      </x:c>
    </x:row>
    <x:row r="604">
      <x:c r="A604" s="20" t="str">
        <x:v>FLD-0601</x:v>
      </x:c>
      <x:c r="B604" s="20" t="str">
        <x:v>Web</x:v>
      </x:c>
      <x:c r="C604" s="35" t="str">
        <x:v>/owners-report</x:v>
      </x:c>
      <x:c r="D604" s="35" t="str">
        <x:v>web/src/routes/(protected)/owners-report/+page.svelte</x:v>
      </x:c>
      <x:c r="E604" s="32" t="n">
        <x:v>411</x:v>
      </x:c>
      <x:c r="F604" s="20" t="str">
        <x:v>single</x:v>
      </x:c>
      <x:c r="G604" s="35" t="str">
        <x:v>distributionForm.propertyId</x:v>
      </x:c>
      <x:c r="H604" s="35" t="str"/>
      <x:c r="I604" s="20" t="str">
        <x:v>Property Manager</x:v>
      </x:c>
      <x:c r="J604" s="23" t="n">
        <x:v>46596</x:v>
      </x:c>
      <x:c r="K604" s="35" t="str">
        <x:v>valid non-default; boundary/format value; blank/null when optional; invalid value when constrained</x:v>
      </x:c>
      <x:c r="L604" s="35" t="str">
        <x:v>Save succeeds; reload shows the exact normalized value; other client reads it where supported; edit persists; validation rejects invalid input without partial mutation.</x:v>
      </x:c>
    </x:row>
    <x:row r="605">
      <x:c r="A605" s="20" t="str">
        <x:v>FLD-0602</x:v>
      </x:c>
      <x:c r="B605" s="20" t="str">
        <x:v>Web</x:v>
      </x:c>
      <x:c r="C605" s="35" t="str">
        <x:v>/owners-report</x:v>
      </x:c>
      <x:c r="D605" s="35" t="str">
        <x:v>web/src/routes/(protected)/owners-report/+page.svelte</x:v>
      </x:c>
      <x:c r="E605" s="32" t="n">
        <x:v>412</x:v>
      </x:c>
      <x:c r="F605" s="20" t="str">
        <x:v>select</x:v>
      </x:c>
      <x:c r="G605" s="35" t="str">
        <x:v>owner-distribution-property</x:v>
      </x:c>
      <x:c r="H605" s="35" t="str"/>
      <x:c r="I605" s="20" t="str">
        <x:v>Property Manager</x:v>
      </x:c>
      <x:c r="J605" s="23" t="n">
        <x:v>46596</x:v>
      </x:c>
      <x:c r="K605" s="35" t="str">
        <x:v>valid non-default; boundary/format value; blank/null when optional; invalid value when constrained</x:v>
      </x:c>
      <x:c r="L605" s="35" t="str">
        <x:v>Save succeeds; reload shows the exact normalized value; other client reads it where supported; edit persists; validation rejects invalid input without partial mutation.</x:v>
      </x:c>
    </x:row>
    <x:row r="606">
      <x:c r="A606" s="20" t="str">
        <x:v>FLD-0603</x:v>
      </x:c>
      <x:c r="B606" s="20" t="str">
        <x:v>Web</x:v>
      </x:c>
      <x:c r="C606" s="35" t="str">
        <x:v>/owners-report</x:v>
      </x:c>
      <x:c r="D606" s="35" t="str">
        <x:v>web/src/routes/(protected)/owners-report/+page.svelte</x:v>
      </x:c>
      <x:c r="E606" s="32" t="n">
        <x:v>417</x:v>
      </x:c>
      <x:c r="F606" s="20" t="str">
        <x:v>select</x:v>
      </x:c>
      <x:c r="G606" s="35" t="str">
        <x:v>Select-13</x:v>
      </x:c>
      <x:c r="H606" s="35" t="str"/>
      <x:c r="I606" s="20" t="str">
        <x:v>Property Manager</x:v>
      </x:c>
      <x:c r="J606" s="23" t="n">
        <x:v>46597</x:v>
      </x:c>
      <x:c r="K606" s="35" t="str">
        <x:v>valid non-default; boundary/format value; blank/null when optional; invalid value when constrained</x:v>
      </x:c>
      <x:c r="L606" s="35" t="str">
        <x:v>Save succeeds; reload shows the exact normalized value; other client reads it where supported; edit persists; validation rejects invalid input without partial mutation.</x:v>
      </x:c>
    </x:row>
    <x:row r="607">
      <x:c r="A607" s="20" t="str">
        <x:v>FLD-0604</x:v>
      </x:c>
      <x:c r="B607" s="20" t="str">
        <x:v>Web</x:v>
      </x:c>
      <x:c r="C607" s="35" t="str">
        <x:v>/owners-report</x:v>
      </x:c>
      <x:c r="D607" s="35" t="str">
        <x:v>web/src/routes/(protected)/owners-report/+page.svelte</x:v>
      </x:c>
      <x:c r="E607" s="32" t="n">
        <x:v>418</x:v>
      </x:c>
      <x:c r="F607" s="20" t="str">
        <x:v>select</x:v>
      </x:c>
      <x:c r="G607" s="35" t="str">
        <x:v>Select-14</x:v>
      </x:c>
      <x:c r="H607" s="35" t="str"/>
      <x:c r="I607" s="20" t="str">
        <x:v>Property Manager</x:v>
      </x:c>
      <x:c r="J607" s="23" t="n">
        <x:v>46597</x:v>
      </x:c>
      <x:c r="K607" s="35" t="str">
        <x:v>valid non-default; boundary/format value; blank/null when optional; invalid value when constrained</x:v>
      </x:c>
      <x:c r="L607" s="35" t="str">
        <x:v>Save succeeds; reload shows the exact normalized value; other client reads it where supported; edit persists; validation rejects invalid input without partial mutation.</x:v>
      </x:c>
    </x:row>
    <x:row r="608">
      <x:c r="A608" s="20" t="str">
        <x:v>FLD-0605</x:v>
      </x:c>
      <x:c r="B608" s="20" t="str">
        <x:v>Web</x:v>
      </x:c>
      <x:c r="C608" s="35" t="str">
        <x:v>/owners-report</x:v>
      </x:c>
      <x:c r="D608" s="35" t="str">
        <x:v>web/src/routes/(protected)/owners-report/+page.svelte</x:v>
      </x:c>
      <x:c r="E608" s="32" t="n">
        <x:v>420</x:v>
      </x:c>
      <x:c r="F608" s="20" t="str">
        <x:v>select</x:v>
      </x:c>
      <x:c r="G608" s="35" t="str">
        <x:v>Select-15</x:v>
      </x:c>
      <x:c r="H608" s="35" t="str"/>
      <x:c r="I608" s="20" t="str">
        <x:v>Property Manager</x:v>
      </x:c>
      <x:c r="J608" s="23" t="n">
        <x:v>46597</x:v>
      </x:c>
      <x:c r="K608" s="35" t="str">
        <x:v>valid non-default; boundary/format value; blank/null when optional; invalid value when constrained</x:v>
      </x:c>
      <x:c r="L608" s="35" t="str">
        <x:v>Save succeeds; reload shows the exact normalized value; other client reads it where supported; edit persists; validation rejects invalid input without partial mutation.</x:v>
      </x:c>
    </x:row>
    <x:row r="609">
      <x:c r="A609" s="20" t="str">
        <x:v>FLD-0606</x:v>
      </x:c>
      <x:c r="B609" s="20" t="str">
        <x:v>Web</x:v>
      </x:c>
      <x:c r="C609" s="35" t="str">
        <x:v>/owners-report</x:v>
      </x:c>
      <x:c r="D609" s="35" t="str">
        <x:v>web/src/routes/(protected)/owners-report/+page.svelte</x:v>
      </x:c>
      <x:c r="E609" s="32" t="n">
        <x:v>427</x:v>
      </x:c>
      <x:c r="F609" s="20" t="str">
        <x:v>input</x:v>
      </x:c>
      <x:c r="G609" s="35" t="str">
        <x:v>owner-distribution-memo</x:v>
      </x:c>
      <x:c r="H609" s="35" t="str">
        <x:v>Memo</x:v>
      </x:c>
      <x:c r="I609" s="20" t="str">
        <x:v>Property Manager</x:v>
      </x:c>
      <x:c r="J609" s="23" t="n">
        <x:v>46597</x:v>
      </x:c>
      <x:c r="K609" s="35" t="str">
        <x:v>valid non-default; boundary/format value; blank/null when optional; invalid value when constrained</x:v>
      </x:c>
      <x:c r="L609" s="35" t="str">
        <x:v>Save succeeds; reload shows the exact normalized value; other client reads it where supported; edit persists; validation rejects invalid input without partial mutation.</x:v>
      </x:c>
    </x:row>
    <x:row r="610">
      <x:c r="A610" s="20" t="str">
        <x:v>FLD-0607</x:v>
      </x:c>
      <x:c r="B610" s="20" t="str">
        <x:v>Web</x:v>
      </x:c>
      <x:c r="C610" s="35" t="str">
        <x:v>/properties</x:v>
      </x:c>
      <x:c r="D610" s="35" t="str">
        <x:v>web/src/routes/(protected)/properties/+page.svelte</x:v>
      </x:c>
      <x:c r="E610" s="32" t="n">
        <x:v>470</x:v>
      </x:c>
      <x:c r="F610" s="20" t="str">
        <x:v>single</x:v>
      </x:c>
      <x:c r="G610" s="35" t="str">
        <x:v>typeFilter</x:v>
      </x:c>
      <x:c r="H610" s="35" t="str"/>
      <x:c r="I610" s="20" t="str">
        <x:v>Property Manager</x:v>
      </x:c>
      <x:c r="J610" s="23" t="n">
        <x:v>46598</x:v>
      </x:c>
      <x:c r="K610" s="35" t="str">
        <x:v>valid non-default; boundary/format value; blank/null when optional; invalid value when constrained</x:v>
      </x:c>
      <x:c r="L610" s="35" t="str">
        <x:v>Save succeeds; reload shows the exact normalized value; other client reads it where supported; edit persists; validation rejects invalid input without partial mutation.</x:v>
      </x:c>
    </x:row>
    <x:row r="611">
      <x:c r="A611" s="20" t="str">
        <x:v>FLD-0608</x:v>
      </x:c>
      <x:c r="B611" s="20" t="str">
        <x:v>Web</x:v>
      </x:c>
      <x:c r="C611" s="35" t="str">
        <x:v>/properties</x:v>
      </x:c>
      <x:c r="D611" s="35" t="str">
        <x:v>web/src/routes/(protected)/properties/+page.svelte</x:v>
      </x:c>
      <x:c r="E611" s="32" t="n">
        <x:v>471</x:v>
      </x:c>
      <x:c r="F611" s="20" t="str">
        <x:v>select</x:v>
      </x:c>
      <x:c r="G611" s="35" t="str">
        <x:v>property-type-filter</x:v>
      </x:c>
      <x:c r="H611" s="35" t="str"/>
      <x:c r="I611" s="20" t="str">
        <x:v>Property Manager</x:v>
      </x:c>
      <x:c r="J611" s="23" t="n">
        <x:v>46598</x:v>
      </x:c>
      <x:c r="K611" s="35" t="str">
        <x:v>valid non-default; boundary/format value; blank/null when optional; invalid value when constrained</x:v>
      </x:c>
      <x:c r="L611" s="35" t="str">
        <x:v>Save succeeds; reload shows the exact normalized value; other client reads it where supported; edit persists; validation rejects invalid input without partial mutation.</x:v>
      </x:c>
    </x:row>
    <x:row r="612">
      <x:c r="A612" s="20" t="str">
        <x:v>FLD-0609</x:v>
      </x:c>
      <x:c r="B612" s="20" t="str">
        <x:v>Web</x:v>
      </x:c>
      <x:c r="C612" s="35" t="str">
        <x:v>/properties</x:v>
      </x:c>
      <x:c r="D612" s="35" t="str">
        <x:v>web/src/routes/(protected)/properties/+page.svelte</x:v>
      </x:c>
      <x:c r="E612" s="32" t="n">
        <x:v>474</x:v>
      </x:c>
      <x:c r="F612" s="20" t="str">
        <x:v>select</x:v>
      </x:c>
      <x:c r="G612" s="35" t="str">
        <x:v>Select-3</x:v>
      </x:c>
      <x:c r="H612" s="35" t="str"/>
      <x:c r="I612" s="20" t="str">
        <x:v>Property Manager</x:v>
      </x:c>
      <x:c r="J612" s="23" t="n">
        <x:v>46598</x:v>
      </x:c>
      <x:c r="K612" s="35" t="str">
        <x:v>valid non-default; boundary/format value; blank/null when optional; invalid value when constrained</x:v>
      </x:c>
      <x:c r="L612" s="35" t="str">
        <x:v>Save succeeds; reload shows the exact normalized value; other client reads it where supported; edit persists; validation rejects invalid input without partial mutation.</x:v>
      </x:c>
    </x:row>
    <x:row r="613">
      <x:c r="A613" s="20" t="str">
        <x:v>FLD-0610</x:v>
      </x:c>
      <x:c r="B613" s="20" t="str">
        <x:v>Web</x:v>
      </x:c>
      <x:c r="C613" s="35" t="str">
        <x:v>/properties</x:v>
      </x:c>
      <x:c r="D613" s="35" t="str">
        <x:v>web/src/routes/(protected)/properties/+page.svelte</x:v>
      </x:c>
      <x:c r="E613" s="32" t="n">
        <x:v>475</x:v>
      </x:c>
      <x:c r="F613" s="20" t="str">
        <x:v>select</x:v>
      </x:c>
      <x:c r="G613" s="35" t="str">
        <x:v>Select-4</x:v>
      </x:c>
      <x:c r="H613" s="35" t="str"/>
      <x:c r="I613" s="20" t="str">
        <x:v>Property Manager</x:v>
      </x:c>
      <x:c r="J613" s="23" t="n">
        <x:v>46598</x:v>
      </x:c>
      <x:c r="K613" s="35" t="str">
        <x:v>valid non-default; boundary/format value; blank/null when optional; invalid value when constrained</x:v>
      </x:c>
      <x:c r="L613" s="35" t="str">
        <x:v>Save succeeds; reload shows the exact normalized value; other client reads it where supported; edit persists; validation rejects invalid input without partial mutation.</x:v>
      </x:c>
    </x:row>
    <x:row r="614">
      <x:c r="A614" s="20" t="str">
        <x:v>FLD-0611</x:v>
      </x:c>
      <x:c r="B614" s="20" t="str">
        <x:v>Web</x:v>
      </x:c>
      <x:c r="C614" s="35" t="str">
        <x:v>/properties</x:v>
      </x:c>
      <x:c r="D614" s="35" t="str">
        <x:v>web/src/routes/(protected)/properties/+page.svelte</x:v>
      </x:c>
      <x:c r="E614" s="32" t="n">
        <x:v>477</x:v>
      </x:c>
      <x:c r="F614" s="20" t="str">
        <x:v>select</x:v>
      </x:c>
      <x:c r="G614" s="35" t="str">
        <x:v>Select-5</x:v>
      </x:c>
      <x:c r="H614" s="35" t="str"/>
      <x:c r="I614" s="20" t="str">
        <x:v>Property Manager</x:v>
      </x:c>
      <x:c r="J614" s="23" t="n">
        <x:v>46598</x:v>
      </x:c>
      <x:c r="K614" s="35" t="str">
        <x:v>valid non-default; boundary/format value; blank/null when optional; invalid value when constrained</x:v>
      </x:c>
      <x:c r="L614" s="35" t="str">
        <x:v>Save succeeds; reload shows the exact normalized value; other client reads it where supported; edit persists; validation rejects invalid input without partial mutation.</x:v>
      </x:c>
    </x:row>
    <x:row r="615">
      <x:c r="A615" s="20" t="str">
        <x:v>FLD-0612</x:v>
      </x:c>
      <x:c r="B615" s="20" t="str">
        <x:v>Web</x:v>
      </x:c>
      <x:c r="C615" s="35" t="str">
        <x:v>/properties</x:v>
      </x:c>
      <x:c r="D615" s="35" t="str">
        <x:v>web/src/routes/(protected)/properties/+page.svelte</x:v>
      </x:c>
      <x:c r="E615" s="32" t="n">
        <x:v>481</x:v>
      </x:c>
      <x:c r="F615" s="20" t="str">
        <x:v>single</x:v>
      </x:c>
      <x:c r="G615" s="35" t="str">
        <x:v>statusFilter</x:v>
      </x:c>
      <x:c r="H615" s="35" t="str"/>
      <x:c r="I615" s="20" t="str">
        <x:v>Property Manager</x:v>
      </x:c>
      <x:c r="J615" s="23" t="n">
        <x:v>46601</x:v>
      </x:c>
      <x:c r="K615" s="35" t="str">
        <x:v>valid non-default; boundary/format value; blank/null when optional; invalid value when constrained</x:v>
      </x:c>
      <x:c r="L615" s="35" t="str">
        <x:v>Save succeeds; reload shows the exact normalized value; other client reads it where supported; edit persists; validation rejects invalid input without partial mutation.</x:v>
      </x:c>
    </x:row>
    <x:row r="616">
      <x:c r="A616" s="20" t="str">
        <x:v>FLD-0613</x:v>
      </x:c>
      <x:c r="B616" s="20" t="str">
        <x:v>Web</x:v>
      </x:c>
      <x:c r="C616" s="35" t="str">
        <x:v>/properties</x:v>
      </x:c>
      <x:c r="D616" s="35" t="str">
        <x:v>web/src/routes/(protected)/properties/+page.svelte</x:v>
      </x:c>
      <x:c r="E616" s="32" t="n">
        <x:v>482</x:v>
      </x:c>
      <x:c r="F616" s="20" t="str">
        <x:v>select</x:v>
      </x:c>
      <x:c r="G616" s="35" t="str">
        <x:v>property-status-filter</x:v>
      </x:c>
      <x:c r="H616" s="35" t="str"/>
      <x:c r="I616" s="20" t="str">
        <x:v>Property Manager</x:v>
      </x:c>
      <x:c r="J616" s="23" t="n">
        <x:v>46601</x:v>
      </x:c>
      <x:c r="K616" s="35" t="str">
        <x:v>valid non-default; boundary/format value; blank/null when optional; invalid value when constrained</x:v>
      </x:c>
      <x:c r="L616" s="35" t="str">
        <x:v>Save succeeds; reload shows the exact normalized value; other client reads it where supported; edit persists; validation rejects invalid input without partial mutation.</x:v>
      </x:c>
    </x:row>
    <x:row r="617">
      <x:c r="A617" s="20" t="str">
        <x:v>FLD-0614</x:v>
      </x:c>
      <x:c r="B617" s="20" t="str">
        <x:v>Web</x:v>
      </x:c>
      <x:c r="C617" s="35" t="str">
        <x:v>/properties</x:v>
      </x:c>
      <x:c r="D617" s="35" t="str">
        <x:v>web/src/routes/(protected)/properties/+page.svelte</x:v>
      </x:c>
      <x:c r="E617" s="32" t="n">
        <x:v>485</x:v>
      </x:c>
      <x:c r="F617" s="20" t="str">
        <x:v>select</x:v>
      </x:c>
      <x:c r="G617" s="35" t="str">
        <x:v>Select-8</x:v>
      </x:c>
      <x:c r="H617" s="35" t="str"/>
      <x:c r="I617" s="20" t="str">
        <x:v>Property Manager</x:v>
      </x:c>
      <x:c r="J617" s="23" t="n">
        <x:v>46601</x:v>
      </x:c>
      <x:c r="K617" s="35" t="str">
        <x:v>valid non-default; boundary/format value; blank/null when optional; invalid value when constrained</x:v>
      </x:c>
      <x:c r="L617" s="35" t="str">
        <x:v>Save succeeds; reload shows the exact normalized value; other client reads it where supported; edit persists; validation rejects invalid input without partial mutation.</x:v>
      </x:c>
    </x:row>
    <x:row r="618">
      <x:c r="A618" s="20" t="str">
        <x:v>FLD-0615</x:v>
      </x:c>
      <x:c r="B618" s="20" t="str">
        <x:v>Web</x:v>
      </x:c>
      <x:c r="C618" s="35" t="str">
        <x:v>/properties</x:v>
      </x:c>
      <x:c r="D618" s="35" t="str">
        <x:v>web/src/routes/(protected)/properties/+page.svelte</x:v>
      </x:c>
      <x:c r="E618" s="32" t="n">
        <x:v>486</x:v>
      </x:c>
      <x:c r="F618" s="20" t="str">
        <x:v>select</x:v>
      </x:c>
      <x:c r="G618" s="35" t="str">
        <x:v>Select-9</x:v>
      </x:c>
      <x:c r="H618" s="35" t="str"/>
      <x:c r="I618" s="20" t="str">
        <x:v>Property Manager</x:v>
      </x:c>
      <x:c r="J618" s="23" t="n">
        <x:v>46601</x:v>
      </x:c>
      <x:c r="K618" s="35" t="str">
        <x:v>valid non-default; boundary/format value; blank/null when optional; invalid value when constrained</x:v>
      </x:c>
      <x:c r="L618" s="35" t="str">
        <x:v>Save succeeds; reload shows the exact normalized value; other client reads it where supported; edit persists; validation rejects invalid input without partial mutation.</x:v>
      </x:c>
    </x:row>
    <x:row r="619">
      <x:c r="A619" s="20" t="str">
        <x:v>FLD-0616</x:v>
      </x:c>
      <x:c r="B619" s="20" t="str">
        <x:v>Web</x:v>
      </x:c>
      <x:c r="C619" s="35" t="str">
        <x:v>/properties</x:v>
      </x:c>
      <x:c r="D619" s="35" t="str">
        <x:v>web/src/routes/(protected)/properties/+page.svelte</x:v>
      </x:c>
      <x:c r="E619" s="32" t="n">
        <x:v>488</x:v>
      </x:c>
      <x:c r="F619" s="20" t="str">
        <x:v>select</x:v>
      </x:c>
      <x:c r="G619" s="35" t="str">
        <x:v>Select-10</x:v>
      </x:c>
      <x:c r="H619" s="35" t="str"/>
      <x:c r="I619" s="20" t="str">
        <x:v>Property Manager</x:v>
      </x:c>
      <x:c r="J619" s="23" t="n">
        <x:v>46602</x:v>
      </x:c>
      <x:c r="K619" s="35" t="str">
        <x:v>valid non-default; boundary/format value; blank/null when optional; invalid value when constrained</x:v>
      </x:c>
      <x:c r="L619" s="35" t="str">
        <x:v>Save succeeds; reload shows the exact normalized value; other client reads it where supported; edit persists; validation rejects invalid input without partial mutation.</x:v>
      </x:c>
    </x:row>
    <x:row r="620">
      <x:c r="A620" s="20" t="str">
        <x:v>FLD-0617</x:v>
      </x:c>
      <x:c r="B620" s="20" t="str">
        <x:v>Web</x:v>
      </x:c>
      <x:c r="C620" s="35" t="str">
        <x:v>/properties</x:v>
      </x:c>
      <x:c r="D620" s="35" t="str">
        <x:v>web/src/routes/(protected)/properties/+page.svelte</x:v>
      </x:c>
      <x:c r="E620" s="32" t="n">
        <x:v>524</x:v>
      </x:c>
      <x:c r="F620" s="20" t="str">
        <x:v>single</x:v>
      </x:c>
      <x:c r="G620" s="35" t="str">
        <x:v>form.status</x:v>
      </x:c>
      <x:c r="H620" s="35" t="str"/>
      <x:c r="I620" s="20" t="str">
        <x:v>Property Manager</x:v>
      </x:c>
      <x:c r="J620" s="23" t="n">
        <x:v>46602</x:v>
      </x:c>
      <x:c r="K620" s="35" t="str">
        <x:v>valid non-default; boundary/format value; blank/null when optional; invalid value when constrained</x:v>
      </x:c>
      <x:c r="L620" s="35" t="str">
        <x:v>Save succeeds; reload shows the exact normalized value; other client reads it where supported; edit persists; validation rejects invalid input without partial mutation.</x:v>
      </x:c>
    </x:row>
    <x:row r="621">
      <x:c r="A621" s="20" t="str">
        <x:v>FLD-0618</x:v>
      </x:c>
      <x:c r="B621" s="20" t="str">
        <x:v>Web</x:v>
      </x:c>
      <x:c r="C621" s="35" t="str">
        <x:v>/properties</x:v>
      </x:c>
      <x:c r="D621" s="35" t="str">
        <x:v>web/src/routes/(protected)/properties/+page.svelte</x:v>
      </x:c>
      <x:c r="E621" s="32" t="n">
        <x:v>525</x:v>
      </x:c>
      <x:c r="F621" s="20" t="str">
        <x:v>select</x:v>
      </x:c>
      <x:c r="G621" s="35" t="str">
        <x:v>property-status-input</x:v>
      </x:c>
      <x:c r="H621" s="35" t="str"/>
      <x:c r="I621" s="20" t="str">
        <x:v>Property Manager</x:v>
      </x:c>
      <x:c r="J621" s="23" t="n">
        <x:v>46602</x:v>
      </x:c>
      <x:c r="K621" s="35" t="str">
        <x:v>valid non-default; boundary/format value; blank/null when optional; invalid value when constrained</x:v>
      </x:c>
      <x:c r="L621" s="35" t="str">
        <x:v>Save succeeds; reload shows the exact normalized value; other client reads it where supported; edit persists; validation rejects invalid input without partial mutation.</x:v>
      </x:c>
    </x:row>
    <x:row r="622">
      <x:c r="A622" s="20" t="str">
        <x:v>FLD-0619</x:v>
      </x:c>
      <x:c r="B622" s="20" t="str">
        <x:v>Web</x:v>
      </x:c>
      <x:c r="C622" s="35" t="str">
        <x:v>/properties</x:v>
      </x:c>
      <x:c r="D622" s="35" t="str">
        <x:v>web/src/routes/(protected)/properties/+page.svelte</x:v>
      </x:c>
      <x:c r="E622" s="32" t="n">
        <x:v>526</x:v>
      </x:c>
      <x:c r="F622" s="20" t="str">
        <x:v>select</x:v>
      </x:c>
      <x:c r="G622" s="35" t="str">
        <x:v>Select-13</x:v>
      </x:c>
      <x:c r="H622" s="35" t="str"/>
      <x:c r="I622" s="20" t="str">
        <x:v>Property Manager</x:v>
      </x:c>
      <x:c r="J622" s="23" t="n">
        <x:v>46602</x:v>
      </x:c>
      <x:c r="K622" s="35" t="str">
        <x:v>valid non-default; boundary/format value; blank/null when optional; invalid value when constrained</x:v>
      </x:c>
      <x:c r="L622" s="35" t="str">
        <x:v>Save succeeds; reload shows the exact normalized value; other client reads it where supported; edit persists; validation rejects invalid input without partial mutation.</x:v>
      </x:c>
    </x:row>
    <x:row r="623">
      <x:c r="A623" s="20" t="str">
        <x:v>FLD-0620</x:v>
      </x:c>
      <x:c r="B623" s="20" t="str">
        <x:v>Web</x:v>
      </x:c>
      <x:c r="C623" s="35" t="str">
        <x:v>/properties</x:v>
      </x:c>
      <x:c r="D623" s="35" t="str">
        <x:v>web/src/routes/(protected)/properties/+page.svelte</x:v>
      </x:c>
      <x:c r="E623" s="32" t="n">
        <x:v>528</x:v>
      </x:c>
      <x:c r="F623" s="20" t="str">
        <x:v>select</x:v>
      </x:c>
      <x:c r="G623" s="35" t="str">
        <x:v>Select-14</x:v>
      </x:c>
      <x:c r="H623" s="35" t="str"/>
      <x:c r="I623" s="20" t="str">
        <x:v>Property Manager</x:v>
      </x:c>
      <x:c r="J623" s="23" t="n">
        <x:v>46602</x:v>
      </x:c>
      <x:c r="K623" s="35" t="str">
        <x:v>valid non-default; boundary/format value; blank/null when optional; invalid value when constrained</x:v>
      </x:c>
      <x:c r="L623" s="35" t="str">
        <x:v>Save succeeds; reload shows the exact normalized value; other client reads it where supported; edit persists; validation rejects invalid input without partial mutation.</x:v>
      </x:c>
    </x:row>
    <x:row r="624">
      <x:c r="A624" s="20" t="str">
        <x:v>FLD-0621</x:v>
      </x:c>
      <x:c r="B624" s="20" t="str">
        <x:v>Web</x:v>
      </x:c>
      <x:c r="C624" s="35" t="str">
        <x:v>/properties</x:v>
      </x:c>
      <x:c r="D624" s="35" t="str">
        <x:v>web/src/routes/(protected)/properties/+page.svelte</x:v>
      </x:c>
      <x:c r="E624" s="32" t="n">
        <x:v>535</x:v>
      </x:c>
      <x:c r="F624" s="20" t="str">
        <x:v>input</x:v>
      </x:c>
      <x:c r="G624" s="35" t="str">
        <x:v>property-address2-input</x:v>
      </x:c>
      <x:c r="H624" s="35" t="str">
        <x:v>Apt / Suite / Unit # (optional)</x:v>
      </x:c>
      <x:c r="I624" s="20" t="str">
        <x:v>Property Manager</x:v>
      </x:c>
      <x:c r="J624" s="23" t="n">
        <x:v>46603</x:v>
      </x:c>
      <x:c r="K624" s="35" t="str">
        <x:v>valid non-default; boundary/format value; blank/null when optional; invalid value when constrained</x:v>
      </x:c>
      <x:c r="L624" s="35" t="str">
        <x:v>Save succeeds; reload shows the exact normalized value; other client reads it where supported; edit persists; validation rejects invalid input without partial mutation.</x:v>
      </x:c>
    </x:row>
    <x:row r="625">
      <x:c r="A625" s="20" t="str">
        <x:v>FLD-0622</x:v>
      </x:c>
      <x:c r="B625" s="20" t="str">
        <x:v>Web</x:v>
      </x:c>
      <x:c r="C625" s="35" t="str">
        <x:v>/properties/[id]</x:v>
      </x:c>
      <x:c r="D625" s="35" t="str">
        <x:v>web/src/routes/(protected)/properties/[id]/+page.svelte</x:v>
      </x:c>
      <x:c r="E625" s="32" t="n">
        <x:v>505</x:v>
      </x:c>
      <x:c r="F625" s="20" t="str">
        <x:v>input</x:v>
      </x:c>
      <x:c r="G625" s="35" t="str">
        <x:v>input-1</x:v>
      </x:c>
      <x:c r="H625" s="35" t="str"/>
      <x:c r="I625" s="20" t="str">
        <x:v>Property Manager</x:v>
      </x:c>
      <x:c r="J625" s="23" t="n">
        <x:v>46603</x:v>
      </x:c>
      <x:c r="K625" s="35" t="str">
        <x:v>valid non-default; boundary/format value; blank/null when optional; invalid value when constrained</x:v>
      </x:c>
      <x:c r="L625" s="35" t="str">
        <x:v>Save succeeds; reload shows the exact normalized value; other client reads it where supported; edit persists; validation rejects invalid input without partial mutation.</x:v>
      </x:c>
    </x:row>
    <x:row r="626">
      <x:c r="A626" s="20" t="str">
        <x:v>FLD-0623</x:v>
      </x:c>
      <x:c r="B626" s="20" t="str">
        <x:v>Web</x:v>
      </x:c>
      <x:c r="C626" s="35" t="str">
        <x:v>/reports</x:v>
      </x:c>
      <x:c r="D626" s="35" t="str">
        <x:v>web/src/routes/(protected)/reports/+page.svelte</x:v>
      </x:c>
      <x:c r="E626" s="32" t="n">
        <x:v>211</x:v>
      </x:c>
      <x:c r="F626" s="20" t="str">
        <x:v>textarea</x:v>
      </x:c>
      <x:c r="G626" s="35" t="str">
        <x:v>custom-report-input</x:v>
      </x:c>
      <x:c r="H626" s="35" t="str">
        <x:v>e.g. A report of every late fee charged this year by property…</x:v>
      </x:c>
      <x:c r="I626" s="20" t="str">
        <x:v>Property Manager</x:v>
      </x:c>
      <x:c r="J626" s="23" t="n">
        <x:v>46603</x:v>
      </x:c>
      <x:c r="K626" s="35" t="str">
        <x:v>valid non-default; boundary/format value; blank/null when optional; invalid value when constrained</x:v>
      </x:c>
      <x:c r="L626" s="35" t="str">
        <x:v>Save succeeds; reload shows the exact normalized value; other client reads it where supported; edit persists; validation rejects invalid input without partial mutation.</x:v>
      </x:c>
    </x:row>
    <x:row r="627">
      <x:c r="A627" s="20" t="str">
        <x:v>FLD-0624</x:v>
      </x:c>
      <x:c r="B627" s="20" t="str">
        <x:v>Web</x:v>
      </x:c>
      <x:c r="C627" s="35" t="str">
        <x:v>/reports/[report]</x:v>
      </x:c>
      <x:c r="D627" s="35" t="str">
        <x:v>web/src/routes/(protected)/reports/[report]/+page.svelte</x:v>
      </x:c>
      <x:c r="E627" s="32" t="n">
        <x:v>425</x:v>
      </x:c>
      <x:c r="F627" s="20" t="str">
        <x:v>text</x:v>
      </x:c>
      <x:c r="G627" s="35" t="str">
        <x:v>report-year</x:v>
      </x:c>
      <x:c r="H627" s="35" t="str">
        <x:v>Year</x:v>
      </x:c>
      <x:c r="I627" s="20" t="str">
        <x:v>Property Manager</x:v>
      </x:c>
      <x:c r="J627" s="23" t="n">
        <x:v>46603</x:v>
      </x:c>
      <x:c r="K627" s="35" t="str">
        <x:v>valid non-default; boundary/format value; blank/null when optional; invalid value when constrained</x:v>
      </x:c>
      <x:c r="L627" s="35" t="str">
        <x:v>Save succeeds; reload shows the exact normalized value; other client reads it where supported; edit persists; validation rejects invalid input without partial mutation.</x:v>
      </x:c>
    </x:row>
    <x:row r="628">
      <x:c r="A628" s="20" t="str">
        <x:v>FLD-0625</x:v>
      </x:c>
      <x:c r="B628" s="20" t="str">
        <x:v>Web</x:v>
      </x:c>
      <x:c r="C628" s="35" t="str">
        <x:v>/reports/[report]</x:v>
      </x:c>
      <x:c r="D628" s="35" t="str">
        <x:v>web/src/routes/(protected)/reports/[report]/+page.svelte</x:v>
      </x:c>
      <x:c r="E628" s="32" t="n">
        <x:v>432</x:v>
      </x:c>
      <x:c r="F628" s="20" t="str">
        <x:v>text</x:v>
      </x:c>
      <x:c r="G628" s="35" t="str">
        <x:v>report-days</x:v>
      </x:c>
      <x:c r="H628" s="35" t="str">
        <x:v>Window (days)</x:v>
      </x:c>
      <x:c r="I628" s="20" t="str">
        <x:v>Property Manager</x:v>
      </x:c>
      <x:c r="J628" s="23" t="n">
        <x:v>46604</x:v>
      </x:c>
      <x:c r="K628" s="35" t="str">
        <x:v>valid non-default; boundary/format value; blank/null when optional; invalid value when constrained</x:v>
      </x:c>
      <x:c r="L628" s="35" t="str">
        <x:v>Save succeeds; reload shows the exact normalized value; other client reads it where supported; edit persists; validation rejects invalid input without partial mutation.</x:v>
      </x:c>
    </x:row>
    <x:row r="629">
      <x:c r="A629" s="20" t="str">
        <x:v>FLD-0626</x:v>
      </x:c>
      <x:c r="B629" s="20" t="str">
        <x:v>Web</x:v>
      </x:c>
      <x:c r="C629" s="35" t="str">
        <x:v>/scan</x:v>
      </x:c>
      <x:c r="D629" s="35" t="str">
        <x:v>web/src/routes/(protected)/scan/+page.svelte</x:v>
      </x:c>
      <x:c r="E629" s="32" t="n">
        <x:v>213</x:v>
      </x:c>
      <x:c r="F629" s="20" t="str">
        <x:v>input</x:v>
      </x:c>
      <x:c r="G629" s="35" t="str">
        <x:v>assignedSearch</x:v>
      </x:c>
      <x:c r="H629" s="35" t="str"/>
      <x:c r="I629" s="20" t="str">
        <x:v>Property Manager</x:v>
      </x:c>
      <x:c r="J629" s="23" t="n">
        <x:v>46604</x:v>
      </x:c>
      <x:c r="K629" s="35" t="str">
        <x:v>valid non-default; boundary/format value; blank/null when optional; invalid value when constrained</x:v>
      </x:c>
      <x:c r="L629" s="35" t="str">
        <x:v>Save succeeds; reload shows the exact normalized value; other client reads it where supported; edit persists; validation rejects invalid input without partial mutation.</x:v>
      </x:c>
    </x:row>
    <x:row r="630">
      <x:c r="A630" s="20" t="str">
        <x:v>FLD-0627</x:v>
      </x:c>
      <x:c r="B630" s="20" t="str">
        <x:v>Web</x:v>
      </x:c>
      <x:c r="C630" s="35" t="str">
        <x:v>/scan/[draftId]</x:v>
      </x:c>
      <x:c r="D630" s="35" t="str">
        <x:v>web/src/routes/(protected)/scan/[draftId]/+page.svelte</x:v>
      </x:c>
      <x:c r="E630" s="32" t="n">
        <x:v>1362</x:v>
      </x:c>
      <x:c r="F630" s="20" t="str">
        <x:v>input</x:v>
      </x:c>
      <x:c r="G630" s="35" t="str">
        <x:v>Search tenant, property, unit, or relationship number</x:v>
      </x:c>
      <x:c r="H630" s="35" t="str">
        <x:v>Which rental account is this payment for? *</x:v>
      </x:c>
      <x:c r="I630" s="20" t="str">
        <x:v>Property Manager</x:v>
      </x:c>
      <x:c r="J630" s="23" t="n">
        <x:v>46604</x:v>
      </x:c>
      <x:c r="K630" s="35" t="str">
        <x:v>valid non-default; boundary/format value; blank/null when optional; invalid value when constrained</x:v>
      </x:c>
      <x:c r="L630" s="35" t="str">
        <x:v>Save succeeds; reload shows the exact normalized value; other client reads it where supported; edit persists; validation rejects invalid input without partial mutation.</x:v>
      </x:c>
    </x:row>
    <x:row r="631">
      <x:c r="A631" s="20" t="str">
        <x:v>FLD-0628</x:v>
      </x:c>
      <x:c r="B631" s="20" t="str">
        <x:v>Web</x:v>
      </x:c>
      <x:c r="C631" s="35" t="str">
        <x:v>/scan/[draftId]</x:v>
      </x:c>
      <x:c r="D631" s="35" t="str">
        <x:v>web/src/routes/(protected)/scan/[draftId]/+page.svelte</x:v>
      </x:c>
      <x:c r="E631" s="32" t="n">
        <x:v>1372</x:v>
      </x:c>
      <x:c r="F631" s="20" t="str">
        <x:v>single</x:v>
      </x:c>
      <x:c r="G631" s="35" t="str">
        <x:v>Select-2</x:v>
      </x:c>
      <x:c r="H631" s="35" t="str"/>
      <x:c r="I631" s="20" t="str">
        <x:v>Property Manager</x:v>
      </x:c>
      <x:c r="J631" s="23" t="n">
        <x:v>46604</x:v>
      </x:c>
      <x:c r="K631" s="35" t="str">
        <x:v>valid non-default; boundary/format value; blank/null when optional; invalid value when constrained</x:v>
      </x:c>
      <x:c r="L631" s="35" t="str">
        <x:v>Save succeeds; reload shows the exact normalized value; other client reads it where supported; edit persists; validation rejects invalid input without partial mutation.</x:v>
      </x:c>
    </x:row>
    <x:row r="632">
      <x:c r="A632" s="20" t="str">
        <x:v>FLD-0629</x:v>
      </x:c>
      <x:c r="B632" s="20" t="str">
        <x:v>Web</x:v>
      </x:c>
      <x:c r="C632" s="35" t="str">
        <x:v>/scan/[draftId]</x:v>
      </x:c>
      <x:c r="D632" s="35" t="str">
        <x:v>web/src/routes/(protected)/scan/[draftId]/+page.svelte</x:v>
      </x:c>
      <x:c r="E632" s="32" t="n">
        <x:v>1373</x:v>
      </x:c>
      <x:c r="F632" s="20" t="str">
        <x:v>select</x:v>
      </x:c>
      <x:c r="G632" s="35" t="str">
        <x:v>scan-tenant-account-select</x:v>
      </x:c>
      <x:c r="H632" s="35" t="str"/>
      <x:c r="I632" s="20" t="str">
        <x:v>Property Manager</x:v>
      </x:c>
      <x:c r="J632" s="23" t="n">
        <x:v>46604</x:v>
      </x:c>
      <x:c r="K632" s="35" t="str">
        <x:v>valid non-default; boundary/format value; blank/null when optional; invalid value when constrained</x:v>
      </x:c>
      <x:c r="L632" s="35" t="str">
        <x:v>Save succeeds; reload shows the exact normalized value; other client reads it where supported; edit persists; validation rejects invalid input without partial mutation.</x:v>
      </x:c>
    </x:row>
    <x:row r="633">
      <x:c r="A633" s="20" t="str">
        <x:v>FLD-0630</x:v>
      </x:c>
      <x:c r="B633" s="20" t="str">
        <x:v>Web</x:v>
      </x:c>
      <x:c r="C633" s="35" t="str">
        <x:v>/scan/[draftId]</x:v>
      </x:c>
      <x:c r="D633" s="35" t="str">
        <x:v>web/src/routes/(protected)/scan/[draftId]/+page.svelte</x:v>
      </x:c>
      <x:c r="E633" s="32" t="n">
        <x:v>1376</x:v>
      </x:c>
      <x:c r="F633" s="20" t="str">
        <x:v>select</x:v>
      </x:c>
      <x:c r="G633" s="35" t="str">
        <x:v>Select-4</x:v>
      </x:c>
      <x:c r="H633" s="35" t="str"/>
      <x:c r="I633" s="20" t="str">
        <x:v>Property Manager</x:v>
      </x:c>
      <x:c r="J633" s="23" t="n">
        <x:v>46605</x:v>
      </x:c>
      <x:c r="K633" s="35" t="str">
        <x:v>valid non-default; boundary/format value; blank/null when optional; invalid value when constrained</x:v>
      </x:c>
      <x:c r="L633" s="35" t="str">
        <x:v>Save succeeds; reload shows the exact normalized value; other client reads it where supported; edit persists; validation rejects invalid input without partial mutation.</x:v>
      </x:c>
    </x:row>
    <x:row r="634">
      <x:c r="A634" s="20" t="str">
        <x:v>FLD-0631</x:v>
      </x:c>
      <x:c r="B634" s="20" t="str">
        <x:v>Web</x:v>
      </x:c>
      <x:c r="C634" s="35" t="str">
        <x:v>/scan/[draftId]</x:v>
      </x:c>
      <x:c r="D634" s="35" t="str">
        <x:v>web/src/routes/(protected)/scan/[draftId]/+page.svelte</x:v>
      </x:c>
      <x:c r="E634" s="32" t="n">
        <x:v>1379</x:v>
      </x:c>
      <x:c r="F634" s="20" t="str">
        <x:v>select</x:v>
      </x:c>
      <x:c r="G634" s="35" t="str">
        <x:v>Select-5</x:v>
      </x:c>
      <x:c r="H634" s="35" t="str"/>
      <x:c r="I634" s="20" t="str">
        <x:v>Property Manager</x:v>
      </x:c>
      <x:c r="J634" s="23" t="n">
        <x:v>46605</x:v>
      </x:c>
      <x:c r="K634" s="35" t="str">
        <x:v>valid non-default; boundary/format value; blank/null when optional; invalid value when constrained</x:v>
      </x:c>
      <x:c r="L634" s="35" t="str">
        <x:v>Save succeeds; reload shows the exact normalized value; other client reads it where supported; edit persists; validation rejects invalid input without partial mutation.</x:v>
      </x:c>
    </x:row>
    <x:row r="635">
      <x:c r="A635" s="20" t="str">
        <x:v>FLD-0632</x:v>
      </x:c>
      <x:c r="B635" s="20" t="str">
        <x:v>Web</x:v>
      </x:c>
      <x:c r="C635" s="35" t="str">
        <x:v>/scan/[draftId]</x:v>
      </x:c>
      <x:c r="D635" s="35" t="str">
        <x:v>web/src/routes/(protected)/scan/[draftId]/+page.svelte</x:v>
      </x:c>
      <x:c r="E635" s="32" t="n">
        <x:v>1439</x:v>
      </x:c>
      <x:c r="F635" s="20" t="str">
        <x:v>input</x:v>
      </x:c>
      <x:c r="G635" s="35" t="str">
        <x:v>Search properties by name or address</x:v>
      </x:c>
      <x:c r="H635" s="35" t="str">
        <x:v>Which property is this lease for? *</x:v>
      </x:c>
      <x:c r="I635" s="20" t="str">
        <x:v>Property Manager</x:v>
      </x:c>
      <x:c r="J635" s="23" t="n">
        <x:v>46605</x:v>
      </x:c>
      <x:c r="K635" s="35" t="str">
        <x:v>valid non-default; boundary/format value; blank/null when optional; invalid value when constrained</x:v>
      </x:c>
      <x:c r="L635" s="35" t="str">
        <x:v>Save succeeds; reload shows the exact normalized value; other client reads it where supported; edit persists; validation rejects invalid input without partial mutation.</x:v>
      </x:c>
    </x:row>
    <x:row r="636">
      <x:c r="A636" s="20" t="str">
        <x:v>FLD-0633</x:v>
      </x:c>
      <x:c r="B636" s="20" t="str">
        <x:v>Web</x:v>
      </x:c>
      <x:c r="C636" s="35" t="str">
        <x:v>/scan/[draftId]</x:v>
      </x:c>
      <x:c r="D636" s="35" t="str">
        <x:v>web/src/routes/(protected)/scan/[draftId]/+page.svelte</x:v>
      </x:c>
      <x:c r="E636" s="32" t="n">
        <x:v>1449</x:v>
      </x:c>
      <x:c r="F636" s="20" t="str">
        <x:v>single</x:v>
      </x:c>
      <x:c r="G636" s="35" t="str">
        <x:v>selectedLeasePropertyId</x:v>
      </x:c>
      <x:c r="H636" s="35" t="str"/>
      <x:c r="I636" s="20" t="str">
        <x:v>Property Manager</x:v>
      </x:c>
      <x:c r="J636" s="23" t="n">
        <x:v>46605</x:v>
      </x:c>
      <x:c r="K636" s="35" t="str">
        <x:v>valid non-default; boundary/format value; blank/null when optional; invalid value when constrained</x:v>
      </x:c>
      <x:c r="L636" s="35" t="str">
        <x:v>Save succeeds; reload shows the exact normalized value; other client reads it where supported; edit persists; validation rejects invalid input without partial mutation.</x:v>
      </x:c>
    </x:row>
    <x:row r="637">
      <x:c r="A637" s="20" t="str">
        <x:v>FLD-0634</x:v>
      </x:c>
      <x:c r="B637" s="20" t="str">
        <x:v>Web</x:v>
      </x:c>
      <x:c r="C637" s="35" t="str">
        <x:v>/scan/[draftId]</x:v>
      </x:c>
      <x:c r="D637" s="35" t="str">
        <x:v>web/src/routes/(protected)/scan/[draftId]/+page.svelte</x:v>
      </x:c>
      <x:c r="E637" s="32" t="n">
        <x:v>1450</x:v>
      </x:c>
      <x:c r="F637" s="20" t="str">
        <x:v>select</x:v>
      </x:c>
      <x:c r="G637" s="35" t="str">
        <x:v>scan-lease-property-select</x:v>
      </x:c>
      <x:c r="H637" s="35" t="str"/>
      <x:c r="I637" s="20" t="str">
        <x:v>Property Manager</x:v>
      </x:c>
      <x:c r="J637" s="23" t="n">
        <x:v>46608</x:v>
      </x:c>
      <x:c r="K637" s="35" t="str">
        <x:v>valid non-default; boundary/format value; blank/null when optional; invalid value when constrained</x:v>
      </x:c>
      <x:c r="L637" s="35" t="str">
        <x:v>Save succeeds; reload shows the exact normalized value; other client reads it where supported; edit persists; validation rejects invalid input without partial mutation.</x:v>
      </x:c>
    </x:row>
    <x:row r="638">
      <x:c r="A638" s="20" t="str">
        <x:v>FLD-0635</x:v>
      </x:c>
      <x:c r="B638" s="20" t="str">
        <x:v>Web</x:v>
      </x:c>
      <x:c r="C638" s="35" t="str">
        <x:v>/scan/[draftId]</x:v>
      </x:c>
      <x:c r="D638" s="35" t="str">
        <x:v>web/src/routes/(protected)/scan/[draftId]/+page.svelte</x:v>
      </x:c>
      <x:c r="E638" s="32" t="n">
        <x:v>1453</x:v>
      </x:c>
      <x:c r="F638" s="20" t="str">
        <x:v>select</x:v>
      </x:c>
      <x:c r="G638" s="35" t="str">
        <x:v>Select-9</x:v>
      </x:c>
      <x:c r="H638" s="35" t="str"/>
      <x:c r="I638" s="20" t="str">
        <x:v>Property Manager</x:v>
      </x:c>
      <x:c r="J638" s="23" t="n">
        <x:v>46608</x:v>
      </x:c>
      <x:c r="K638" s="35" t="str">
        <x:v>valid non-default; boundary/format value; blank/null when optional; invalid value when constrained</x:v>
      </x:c>
      <x:c r="L638" s="35" t="str">
        <x:v>Save succeeds; reload shows the exact normalized value; other client reads it where supported; edit persists; validation rejects invalid input without partial mutation.</x:v>
      </x:c>
    </x:row>
    <x:row r="639">
      <x:c r="A639" s="20" t="str">
        <x:v>FLD-0636</x:v>
      </x:c>
      <x:c r="B639" s="20" t="str">
        <x:v>Web</x:v>
      </x:c>
      <x:c r="C639" s="35" t="str">
        <x:v>/scan/[draftId]</x:v>
      </x:c>
      <x:c r="D639" s="35" t="str">
        <x:v>web/src/routes/(protected)/scan/[draftId]/+page.svelte</x:v>
      </x:c>
      <x:c r="E639" s="32" t="n">
        <x:v>1454</x:v>
      </x:c>
      <x:c r="F639" s="20" t="str">
        <x:v>select</x:v>
      </x:c>
      <x:c r="G639" s="35" t="str">
        <x:v>Select-10</x:v>
      </x:c>
      <x:c r="H639" s="35" t="str"/>
      <x:c r="I639" s="20" t="str">
        <x:v>Property Manager</x:v>
      </x:c>
      <x:c r="J639" s="23" t="n">
        <x:v>46608</x:v>
      </x:c>
      <x:c r="K639" s="35" t="str">
        <x:v>valid non-default; boundary/format value; blank/null when optional; invalid value when constrained</x:v>
      </x:c>
      <x:c r="L639" s="35" t="str">
        <x:v>Save succeeds; reload shows the exact normalized value; other client reads it where supported; edit persists; validation rejects invalid input without partial mutation.</x:v>
      </x:c>
    </x:row>
    <x:row r="640">
      <x:c r="A640" s="20" t="str">
        <x:v>FLD-0637</x:v>
      </x:c>
      <x:c r="B640" s="20" t="str">
        <x:v>Web</x:v>
      </x:c>
      <x:c r="C640" s="35" t="str">
        <x:v>/scan/[draftId]</x:v>
      </x:c>
      <x:c r="D640" s="35" t="str">
        <x:v>web/src/routes/(protected)/scan/[draftId]/+page.svelte</x:v>
      </x:c>
      <x:c r="E640" s="32" t="n">
        <x:v>1457</x:v>
      </x:c>
      <x:c r="F640" s="20" t="str">
        <x:v>select</x:v>
      </x:c>
      <x:c r="G640" s="35" t="str">
        <x:v>Select-11</x:v>
      </x:c>
      <x:c r="H640" s="35" t="str"/>
      <x:c r="I640" s="20" t="str">
        <x:v>Property Manager</x:v>
      </x:c>
      <x:c r="J640" s="23" t="n">
        <x:v>46608</x:v>
      </x:c>
      <x:c r="K640" s="35" t="str">
        <x:v>valid non-default; boundary/format value; blank/null when optional; invalid value when constrained</x:v>
      </x:c>
      <x:c r="L640" s="35" t="str">
        <x:v>Save succeeds; reload shows the exact normalized value; other client reads it where supported; edit persists; validation rejects invalid input without partial mutation.</x:v>
      </x:c>
    </x:row>
    <x:row r="641">
      <x:c r="A641" s="20" t="str">
        <x:v>FLD-0638</x:v>
      </x:c>
      <x:c r="B641" s="20" t="str">
        <x:v>Web</x:v>
      </x:c>
      <x:c r="C641" s="35" t="str">
        <x:v>/scan/[draftId]</x:v>
      </x:c>
      <x:c r="D641" s="35" t="str">
        <x:v>web/src/routes/(protected)/scan/[draftId]/+page.svelte</x:v>
      </x:c>
      <x:c r="E641" s="32" t="n">
        <x:v>1488</x:v>
      </x:c>
      <x:c r="F641" s="20" t="str">
        <x:v>radio</x:v>
      </x:c>
      <x:c r="G641" s="35" t="str">
        <x:v>scan-new-property-rental-structure</x:v>
      </x:c>
      <x:c r="H641" s="35" t="str"/>
      <x:c r="I641" s="20" t="str">
        <x:v>Property Manager</x:v>
      </x:c>
      <x:c r="J641" s="23" t="n">
        <x:v>46609</x:v>
      </x:c>
      <x:c r="K641" s="35" t="str">
        <x:v>valid non-default; boundary/format value; blank/null when optional; invalid value when constrained</x:v>
      </x:c>
      <x:c r="L641" s="35" t="str">
        <x:v>Save succeeds; reload shows the exact normalized value; other client reads it where supported; edit persists; validation rejects invalid input without partial mutation.</x:v>
      </x:c>
    </x:row>
    <x:row r="642">
      <x:c r="A642" s="20" t="str">
        <x:v>FLD-0639</x:v>
      </x:c>
      <x:c r="B642" s="20" t="str">
        <x:v>Web</x:v>
      </x:c>
      <x:c r="C642" s="35" t="str">
        <x:v>/scan/[draftId]</x:v>
      </x:c>
      <x:c r="D642" s="35" t="str">
        <x:v>web/src/routes/(protected)/scan/[draftId]/+page.svelte</x:v>
      </x:c>
      <x:c r="E642" s="32" t="n">
        <x:v>1499</x:v>
      </x:c>
      <x:c r="F642" s="20" t="str">
        <x:v>input</x:v>
      </x:c>
      <x:c r="G642" s="35" t="str">
        <x:v>scan-new-property-name</x:v>
      </x:c>
      <x:c r="H642" s="35" t="str">
        <x:v>Property name (optional)</x:v>
      </x:c>
      <x:c r="I642" s="20" t="str">
        <x:v>Property Manager</x:v>
      </x:c>
      <x:c r="J642" s="23" t="n">
        <x:v>46609</x:v>
      </x:c>
      <x:c r="K642" s="35" t="str">
        <x:v>valid non-default; boundary/format value; blank/null when optional; invalid value when constrained</x:v>
      </x:c>
      <x:c r="L642" s="35" t="str">
        <x:v>Save succeeds; reload shows the exact normalized value; other client reads it where supported; edit persists; validation rejects invalid input without partial mutation.</x:v>
      </x:c>
    </x:row>
    <x:row r="643">
      <x:c r="A643" s="20" t="str">
        <x:v>FLD-0640</x:v>
      </x:c>
      <x:c r="B643" s="20" t="str">
        <x:v>Web</x:v>
      </x:c>
      <x:c r="C643" s="35" t="str">
        <x:v>/scan/[draftId]</x:v>
      </x:c>
      <x:c r="D643" s="35" t="str">
        <x:v>web/src/routes/(protected)/scan/[draftId]/+page.svelte</x:v>
      </x:c>
      <x:c r="E643" s="32" t="n">
        <x:v>1500</x:v>
      </x:c>
      <x:c r="F643" s="20" t="str">
        <x:v>input</x:v>
      </x:c>
      <x:c r="G643" s="35" t="str">
        <x:v>scan-new-property-address</x:v>
      </x:c>
      <x:c r="H643" s="35" t="str">
        <x:v>Street address</x:v>
      </x:c>
      <x:c r="I643" s="20" t="str">
        <x:v>Property Manager</x:v>
      </x:c>
      <x:c r="J643" s="23" t="n">
        <x:v>46609</x:v>
      </x:c>
      <x:c r="K643" s="35" t="str">
        <x:v>valid non-default; boundary/format value; blank/null when optional; invalid value when constrained</x:v>
      </x:c>
      <x:c r="L643" s="35" t="str">
        <x:v>Save succeeds; reload shows the exact normalized value; other client reads it where supported; edit persists; validation rejects invalid input without partial mutation.</x:v>
      </x:c>
    </x:row>
    <x:row r="644">
      <x:c r="A644" s="20" t="str">
        <x:v>FLD-0641</x:v>
      </x:c>
      <x:c r="B644" s="20" t="str">
        <x:v>Web</x:v>
      </x:c>
      <x:c r="C644" s="35" t="str">
        <x:v>/scan/[draftId]</x:v>
      </x:c>
      <x:c r="D644" s="35" t="str">
        <x:v>web/src/routes/(protected)/scan/[draftId]/+page.svelte</x:v>
      </x:c>
      <x:c r="E644" s="32" t="n">
        <x:v>1502</x:v>
      </x:c>
      <x:c r="F644" s="20" t="str">
        <x:v>input</x:v>
      </x:c>
      <x:c r="G644" s="35" t="str">
        <x:v>scan-new-property-city</x:v>
      </x:c>
      <x:c r="H644" s="35" t="str">
        <x:v>City</x:v>
      </x:c>
      <x:c r="I644" s="20" t="str">
        <x:v>Property Manager</x:v>
      </x:c>
      <x:c r="J644" s="23" t="n">
        <x:v>46609</x:v>
      </x:c>
      <x:c r="K644" s="35" t="str">
        <x:v>valid non-default; boundary/format value; blank/null when optional; invalid value when constrained</x:v>
      </x:c>
      <x:c r="L644" s="35" t="str">
        <x:v>Save succeeds; reload shows the exact normalized value; other client reads it where supported; edit persists; validation rejects invalid input without partial mutation.</x:v>
      </x:c>
    </x:row>
    <x:row r="645">
      <x:c r="A645" s="20" t="str">
        <x:v>FLD-0642</x:v>
      </x:c>
      <x:c r="B645" s="20" t="str">
        <x:v>Web</x:v>
      </x:c>
      <x:c r="C645" s="35" t="str">
        <x:v>/scan/[draftId]</x:v>
      </x:c>
      <x:c r="D645" s="35" t="str">
        <x:v>web/src/routes/(protected)/scan/[draftId]/+page.svelte</x:v>
      </x:c>
      <x:c r="E645" s="32" t="n">
        <x:v>1503</x:v>
      </x:c>
      <x:c r="F645" s="20" t="str">
        <x:v>input</x:v>
      </x:c>
      <x:c r="G645" s="35" t="str">
        <x:v>scan-new-property-state</x:v>
      </x:c>
      <x:c r="H645" s="35" t="str">
        <x:v>State</x:v>
      </x:c>
      <x:c r="I645" s="20" t="str">
        <x:v>Property Manager</x:v>
      </x:c>
      <x:c r="J645" s="23" t="n">
        <x:v>46609</x:v>
      </x:c>
      <x:c r="K645" s="35" t="str">
        <x:v>valid non-default; boundary/format value; blank/null when optional; invalid value when constrained</x:v>
      </x:c>
      <x:c r="L645" s="35" t="str">
        <x:v>Save succeeds; reload shows the exact normalized value; other client reads it where supported; edit persists; validation rejects invalid input without partial mutation.</x:v>
      </x:c>
    </x:row>
    <x:row r="646">
      <x:c r="A646" s="20" t="str">
        <x:v>FLD-0643</x:v>
      </x:c>
      <x:c r="B646" s="20" t="str">
        <x:v>Web</x:v>
      </x:c>
      <x:c r="C646" s="35" t="str">
        <x:v>/scan/[draftId]</x:v>
      </x:c>
      <x:c r="D646" s="35" t="str">
        <x:v>web/src/routes/(protected)/scan/[draftId]/+page.svelte</x:v>
      </x:c>
      <x:c r="E646" s="32" t="n">
        <x:v>1504</x:v>
      </x:c>
      <x:c r="F646" s="20" t="str">
        <x:v>input</x:v>
      </x:c>
      <x:c r="G646" s="35" t="str">
        <x:v>scan-new-property-postal</x:v>
      </x:c>
      <x:c r="H646" s="35" t="str">
        <x:v>ZIP</x:v>
      </x:c>
      <x:c r="I646" s="20" t="str">
        <x:v>Property Manager</x:v>
      </x:c>
      <x:c r="J646" s="23" t="n">
        <x:v>46610</x:v>
      </x:c>
      <x:c r="K646" s="35" t="str">
        <x:v>valid non-default; boundary/format value; blank/null when optional; invalid value when constrained</x:v>
      </x:c>
      <x:c r="L646" s="35" t="str">
        <x:v>Save succeeds; reload shows the exact normalized value; other client reads it where supported; edit persists; validation rejects invalid input without partial mutation.</x:v>
      </x:c>
    </x:row>
    <x:row r="647">
      <x:c r="A647" s="20" t="str">
        <x:v>FLD-0644</x:v>
      </x:c>
      <x:c r="B647" s="20" t="str">
        <x:v>Web</x:v>
      </x:c>
      <x:c r="C647" s="35" t="str">
        <x:v>/scan/[draftId]</x:v>
      </x:c>
      <x:c r="D647" s="35" t="str">
        <x:v>web/src/routes/(protected)/scan/[draftId]/+page.svelte</x:v>
      </x:c>
      <x:c r="E647" s="32" t="n">
        <x:v>1513</x:v>
      </x:c>
      <x:c r="F647" s="20" t="str">
        <x:v>input</x:v>
      </x:c>
      <x:c r="G647" s="35" t="str">
        <x:v>scan-lease-new-unit</x:v>
      </x:c>
      <x:c r="H647" s="35" t="str">
        <x:v>Unit number *</x:v>
      </x:c>
      <x:c r="I647" s="20" t="str">
        <x:v>Property Manager</x:v>
      </x:c>
      <x:c r="J647" s="23" t="n">
        <x:v>46610</x:v>
      </x:c>
      <x:c r="K647" s="35" t="str">
        <x:v>valid non-default; boundary/format value; blank/null when optional; invalid value when constrained</x:v>
      </x:c>
      <x:c r="L647" s="35" t="str">
        <x:v>Save succeeds; reload shows the exact normalized value; other client reads it where supported; edit persists; validation rejects invalid input without partial mutation.</x:v>
      </x:c>
    </x:row>
    <x:row r="648">
      <x:c r="A648" s="20" t="str">
        <x:v>FLD-0645</x:v>
      </x:c>
      <x:c r="B648" s="20" t="str">
        <x:v>Web</x:v>
      </x:c>
      <x:c r="C648" s="35" t="str">
        <x:v>/scan/[draftId]</x:v>
      </x:c>
      <x:c r="D648" s="35" t="str">
        <x:v>web/src/routes/(protected)/scan/[draftId]/+page.svelte</x:v>
      </x:c>
      <x:c r="E648" s="32" t="n">
        <x:v>1522</x:v>
      </x:c>
      <x:c r="F648" s="20" t="str">
        <x:v>number</x:v>
      </x:c>
      <x:c r="G648" s="35" t="str">
        <x:v>scan-{unitField.name}</x:v>
      </x:c>
      <x:c r="H648" s="35" t="str">
        <x:v>unitField.placeholder</x:v>
      </x:c>
      <x:c r="I648" s="20" t="str">
        <x:v>Property Manager</x:v>
      </x:c>
      <x:c r="J648" s="23" t="n">
        <x:v>46610</x:v>
      </x:c>
      <x:c r="K648" s="35" t="str">
        <x:v>valid non-default; boundary/format value; blank/null when optional; invalid value when constrained</x:v>
      </x:c>
      <x:c r="L648" s="35" t="str">
        <x:v>Save succeeds; reload shows the exact normalized value; other client reads it where supported; edit persists; validation rejects invalid input without partial mutation.</x:v>
      </x:c>
    </x:row>
    <x:row r="649">
      <x:c r="A649" s="20" t="str">
        <x:v>FLD-0646</x:v>
      </x:c>
      <x:c r="B649" s="20" t="str">
        <x:v>Web</x:v>
      </x:c>
      <x:c r="C649" s="35" t="str">
        <x:v>/scan/[draftId]</x:v>
      </x:c>
      <x:c r="D649" s="35" t="str">
        <x:v>web/src/routes/(protected)/scan/[draftId]/+page.svelte</x:v>
      </x:c>
      <x:c r="E649" s="32" t="n">
        <x:v>1539</x:v>
      </x:c>
      <x:c r="F649" s="20" t="str">
        <x:v>input</x:v>
      </x:c>
      <x:c r="G649" s="35" t="str">
        <x:v>Search units in this property</x:v>
      </x:c>
      <x:c r="H649" s="35" t="str">
        <x:v>Which unit? *</x:v>
      </x:c>
      <x:c r="I649" s="20" t="str">
        <x:v>Property Manager</x:v>
      </x:c>
      <x:c r="J649" s="23" t="n">
        <x:v>46610</x:v>
      </x:c>
      <x:c r="K649" s="35" t="str">
        <x:v>valid non-default; boundary/format value; blank/null when optional; invalid value when constrained</x:v>
      </x:c>
      <x:c r="L649" s="35" t="str">
        <x:v>Save succeeds; reload shows the exact normalized value; other client reads it where supported; edit persists; validation rejects invalid input without partial mutation.</x:v>
      </x:c>
    </x:row>
    <x:row r="650">
      <x:c r="A650" s="20" t="str">
        <x:v>FLD-0647</x:v>
      </x:c>
      <x:c r="B650" s="20" t="str">
        <x:v>Web</x:v>
      </x:c>
      <x:c r="C650" s="35" t="str">
        <x:v>/scan/[draftId]</x:v>
      </x:c>
      <x:c r="D650" s="35" t="str">
        <x:v>web/src/routes/(protected)/scan/[draftId]/+page.svelte</x:v>
      </x:c>
      <x:c r="E650" s="32" t="n">
        <x:v>1549</x:v>
      </x:c>
      <x:c r="F650" s="20" t="str">
        <x:v>single</x:v>
      </x:c>
      <x:c r="G650" s="35" t="str">
        <x:v>selectedLeaseUnitId</x:v>
      </x:c>
      <x:c r="H650" s="35" t="str"/>
      <x:c r="I650" s="20" t="str">
        <x:v>Property Manager</x:v>
      </x:c>
      <x:c r="J650" s="23" t="n">
        <x:v>46611</x:v>
      </x:c>
      <x:c r="K650" s="35" t="str">
        <x:v>valid non-default; boundary/format value; blank/null when optional; invalid value when constrained</x:v>
      </x:c>
      <x:c r="L650" s="35" t="str">
        <x:v>Save succeeds; reload shows the exact normalized value; other client reads it where supported; edit persists; validation rejects invalid input without partial mutation.</x:v>
      </x:c>
    </x:row>
    <x:row r="651">
      <x:c r="A651" s="20" t="str">
        <x:v>FLD-0648</x:v>
      </x:c>
      <x:c r="B651" s="20" t="str">
        <x:v>Web</x:v>
      </x:c>
      <x:c r="C651" s="35" t="str">
        <x:v>/scan/[draftId]</x:v>
      </x:c>
      <x:c r="D651" s="35" t="str">
        <x:v>web/src/routes/(protected)/scan/[draftId]/+page.svelte</x:v>
      </x:c>
      <x:c r="E651" s="32" t="n">
        <x:v>1550</x:v>
      </x:c>
      <x:c r="F651" s="20" t="str">
        <x:v>select</x:v>
      </x:c>
      <x:c r="G651" s="35" t="str">
        <x:v>scan-lease-unit-select</x:v>
      </x:c>
      <x:c r="H651" s="35" t="str"/>
      <x:c r="I651" s="20" t="str">
        <x:v>Property Manager</x:v>
      </x:c>
      <x:c r="J651" s="23" t="n">
        <x:v>46611</x:v>
      </x:c>
      <x:c r="K651" s="35" t="str">
        <x:v>valid non-default; boundary/format value; blank/null when optional; invalid value when constrained</x:v>
      </x:c>
      <x:c r="L651" s="35" t="str">
        <x:v>Save succeeds; reload shows the exact normalized value; other client reads it where supported; edit persists; validation rejects invalid input without partial mutation.</x:v>
      </x:c>
    </x:row>
    <x:row r="652">
      <x:c r="A652" s="20" t="str">
        <x:v>FLD-0649</x:v>
      </x:c>
      <x:c r="B652" s="20" t="str">
        <x:v>Web</x:v>
      </x:c>
      <x:c r="C652" s="35" t="str">
        <x:v>/scan/[draftId]</x:v>
      </x:c>
      <x:c r="D652" s="35" t="str">
        <x:v>web/src/routes/(protected)/scan/[draftId]/+page.svelte</x:v>
      </x:c>
      <x:c r="E652" s="32" t="n">
        <x:v>1553</x:v>
      </x:c>
      <x:c r="F652" s="20" t="str">
        <x:v>select</x:v>
      </x:c>
      <x:c r="G652" s="35" t="str">
        <x:v>Select-24</x:v>
      </x:c>
      <x:c r="H652" s="35" t="str"/>
      <x:c r="I652" s="20" t="str">
        <x:v>Property Manager</x:v>
      </x:c>
      <x:c r="J652" s="23" t="n">
        <x:v>46611</x:v>
      </x:c>
      <x:c r="K652" s="35" t="str">
        <x:v>valid non-default; boundary/format value; blank/null when optional; invalid value when constrained</x:v>
      </x:c>
      <x:c r="L652" s="35" t="str">
        <x:v>Save succeeds; reload shows the exact normalized value; other client reads it where supported; edit persists; validation rejects invalid input without partial mutation.</x:v>
      </x:c>
    </x:row>
    <x:row r="653">
      <x:c r="A653" s="20" t="str">
        <x:v>FLD-0650</x:v>
      </x:c>
      <x:c r="B653" s="20" t="str">
        <x:v>Web</x:v>
      </x:c>
      <x:c r="C653" s="35" t="str">
        <x:v>/scan/[draftId]</x:v>
      </x:c>
      <x:c r="D653" s="35" t="str">
        <x:v>web/src/routes/(protected)/scan/[draftId]/+page.svelte</x:v>
      </x:c>
      <x:c r="E653" s="32" t="n">
        <x:v>1556</x:v>
      </x:c>
      <x:c r="F653" s="20" t="str">
        <x:v>select</x:v>
      </x:c>
      <x:c r="G653" s="35" t="str">
        <x:v>Select-25</x:v>
      </x:c>
      <x:c r="H653" s="35" t="str"/>
      <x:c r="I653" s="20" t="str">
        <x:v>Property Manager</x:v>
      </x:c>
      <x:c r="J653" s="23" t="n">
        <x:v>46611</x:v>
      </x:c>
      <x:c r="K653" s="35" t="str">
        <x:v>valid non-default; boundary/format value; blank/null when optional; invalid value when constrained</x:v>
      </x:c>
      <x:c r="L653" s="35" t="str">
        <x:v>Save succeeds; reload shows the exact normalized value; other client reads it where supported; edit persists; validation rejects invalid input without partial mutation.</x:v>
      </x:c>
    </x:row>
    <x:row r="654">
      <x:c r="A654" s="20" t="str">
        <x:v>FLD-0651</x:v>
      </x:c>
      <x:c r="B654" s="20" t="str">
        <x:v>Web</x:v>
      </x:c>
      <x:c r="C654" s="35" t="str">
        <x:v>/scan/[draftId]</x:v>
      </x:c>
      <x:c r="D654" s="35" t="str">
        <x:v>web/src/routes/(protected)/scan/[draftId]/+page.svelte</x:v>
      </x:c>
      <x:c r="E654" s="32" t="n">
        <x:v>1586</x:v>
      </x:c>
      <x:c r="F654" s="20" t="str">
        <x:v>input</x:v>
      </x:c>
      <x:c r="G654" s="35" t="str">
        <x:v>Search tenants by name, email, or phone</x:v>
      </x:c>
      <x:c r="H654" s="35" t="str">
        <x:v>Tenant (optional)</x:v>
      </x:c>
      <x:c r="I654" s="20" t="str">
        <x:v>Property Manager</x:v>
      </x:c>
      <x:c r="J654" s="23" t="n">
        <x:v>46611</x:v>
      </x:c>
      <x:c r="K654" s="35" t="str">
        <x:v>valid non-default; boundary/format value; blank/null when optional; invalid value when constrained</x:v>
      </x:c>
      <x:c r="L654" s="35" t="str">
        <x:v>Save succeeds; reload shows the exact normalized value; other client reads it where supported; edit persists; validation rejects invalid input without partial mutation.</x:v>
      </x:c>
    </x:row>
    <x:row r="655">
      <x:c r="A655" s="20" t="str">
        <x:v>FLD-0652</x:v>
      </x:c>
      <x:c r="B655" s="20" t="str">
        <x:v>Web</x:v>
      </x:c>
      <x:c r="C655" s="35" t="str">
        <x:v>/scan/[draftId]</x:v>
      </x:c>
      <x:c r="D655" s="35" t="str">
        <x:v>web/src/routes/(protected)/scan/[draftId]/+page.svelte</x:v>
      </x:c>
      <x:c r="E655" s="32" t="n">
        <x:v>1596</x:v>
      </x:c>
      <x:c r="F655" s="20" t="str">
        <x:v>single</x:v>
      </x:c>
      <x:c r="G655" s="35" t="str">
        <x:v>selectedTenantId</x:v>
      </x:c>
      <x:c r="H655" s="35" t="str"/>
      <x:c r="I655" s="20" t="str">
        <x:v>Property Manager</x:v>
      </x:c>
      <x:c r="J655" s="23" t="n">
        <x:v>46612</x:v>
      </x:c>
      <x:c r="K655" s="35" t="str">
        <x:v>valid non-default; boundary/format value; blank/null when optional; invalid value when constrained</x:v>
      </x:c>
      <x:c r="L655" s="35" t="str">
        <x:v>Save succeeds; reload shows the exact normalized value; other client reads it where supported; edit persists; validation rejects invalid input without partial mutation.</x:v>
      </x:c>
    </x:row>
    <x:row r="656">
      <x:c r="A656" s="20" t="str">
        <x:v>FLD-0653</x:v>
      </x:c>
      <x:c r="B656" s="20" t="str">
        <x:v>Web</x:v>
      </x:c>
      <x:c r="C656" s="35" t="str">
        <x:v>/scan/[draftId]</x:v>
      </x:c>
      <x:c r="D656" s="35" t="str">
        <x:v>web/src/routes/(protected)/scan/[draftId]/+page.svelte</x:v>
      </x:c>
      <x:c r="E656" s="32" t="n">
        <x:v>1597</x:v>
      </x:c>
      <x:c r="F656" s="20" t="str">
        <x:v>select</x:v>
      </x:c>
      <x:c r="G656" s="35" t="str">
        <x:v>scan-lease-tenant-select</x:v>
      </x:c>
      <x:c r="H656" s="35" t="str"/>
      <x:c r="I656" s="20" t="str">
        <x:v>Property Manager</x:v>
      </x:c>
      <x:c r="J656" s="23" t="n">
        <x:v>46612</x:v>
      </x:c>
      <x:c r="K656" s="35" t="str">
        <x:v>valid non-default; boundary/format value; blank/null when optional; invalid value when constrained</x:v>
      </x:c>
      <x:c r="L656" s="35" t="str">
        <x:v>Save succeeds; reload shows the exact normalized value; other client reads it where supported; edit persists; validation rejects invalid input without partial mutation.</x:v>
      </x:c>
    </x:row>
    <x:row r="657">
      <x:c r="A657" s="20" t="str">
        <x:v>FLD-0654</x:v>
      </x:c>
      <x:c r="B657" s="20" t="str">
        <x:v>Web</x:v>
      </x:c>
      <x:c r="C657" s="35" t="str">
        <x:v>/scan/[draftId]</x:v>
      </x:c>
      <x:c r="D657" s="35" t="str">
        <x:v>web/src/routes/(protected)/scan/[draftId]/+page.svelte</x:v>
      </x:c>
      <x:c r="E657" s="32" t="n">
        <x:v>1600</x:v>
      </x:c>
      <x:c r="F657" s="20" t="str">
        <x:v>select</x:v>
      </x:c>
      <x:c r="G657" s="35" t="str">
        <x:v>Select-29</x:v>
      </x:c>
      <x:c r="H657" s="35" t="str"/>
      <x:c r="I657" s="20" t="str">
        <x:v>Property Manager</x:v>
      </x:c>
      <x:c r="J657" s="23" t="n">
        <x:v>46612</x:v>
      </x:c>
      <x:c r="K657" s="35" t="str">
        <x:v>valid non-default; boundary/format value; blank/null when optional; invalid value when constrained</x:v>
      </x:c>
      <x:c r="L657" s="35" t="str">
        <x:v>Save succeeds; reload shows the exact normalized value; other client reads it where supported; edit persists; validation rejects invalid input without partial mutation.</x:v>
      </x:c>
    </x:row>
    <x:row r="658">
      <x:c r="A658" s="20" t="str">
        <x:v>FLD-0655</x:v>
      </x:c>
      <x:c r="B658" s="20" t="str">
        <x:v>Web</x:v>
      </x:c>
      <x:c r="C658" s="35" t="str">
        <x:v>/scan/[draftId]</x:v>
      </x:c>
      <x:c r="D658" s="35" t="str">
        <x:v>web/src/routes/(protected)/scan/[draftId]/+page.svelte</x:v>
      </x:c>
      <x:c r="E658" s="32" t="n">
        <x:v>1601</x:v>
      </x:c>
      <x:c r="F658" s="20" t="str">
        <x:v>select</x:v>
      </x:c>
      <x:c r="G658" s="35" t="str">
        <x:v>Select-30</x:v>
      </x:c>
      <x:c r="H658" s="35" t="str"/>
      <x:c r="I658" s="20" t="str">
        <x:v>Property Manager</x:v>
      </x:c>
      <x:c r="J658" s="23" t="n">
        <x:v>46612</x:v>
      </x:c>
      <x:c r="K658" s="35" t="str">
        <x:v>valid non-default; boundary/format value; blank/null when optional; invalid value when constrained</x:v>
      </x:c>
      <x:c r="L658" s="35" t="str">
        <x:v>Save succeeds; reload shows the exact normalized value; other client reads it where supported; edit persists; validation rejects invalid input without partial mutation.</x:v>
      </x:c>
    </x:row>
    <x:row r="659">
      <x:c r="A659" s="20" t="str">
        <x:v>FLD-0656</x:v>
      </x:c>
      <x:c r="B659" s="20" t="str">
        <x:v>Web</x:v>
      </x:c>
      <x:c r="C659" s="35" t="str">
        <x:v>/scan/[draftId]</x:v>
      </x:c>
      <x:c r="D659" s="35" t="str">
        <x:v>web/src/routes/(protected)/scan/[draftId]/+page.svelte</x:v>
      </x:c>
      <x:c r="E659" s="32" t="n">
        <x:v>1604</x:v>
      </x:c>
      <x:c r="F659" s="20" t="str">
        <x:v>select</x:v>
      </x:c>
      <x:c r="G659" s="35" t="str">
        <x:v>Select-31</x:v>
      </x:c>
      <x:c r="H659" s="35" t="str"/>
      <x:c r="I659" s="20" t="str">
        <x:v>Property Manager</x:v>
      </x:c>
      <x:c r="J659" s="23" t="n">
        <x:v>46615</x:v>
      </x:c>
      <x:c r="K659" s="35" t="str">
        <x:v>valid non-default; boundary/format value; blank/null when optional; invalid value when constrained</x:v>
      </x:c>
      <x:c r="L659" s="35" t="str">
        <x:v>Save succeeds; reload shows the exact normalized value; other client reads it where supported; edit persists; validation rejects invalid input without partial mutation.</x:v>
      </x:c>
    </x:row>
    <x:row r="660">
      <x:c r="A660" s="20" t="str">
        <x:v>FLD-0657</x:v>
      </x:c>
      <x:c r="B660" s="20" t="str">
        <x:v>Web</x:v>
      </x:c>
      <x:c r="C660" s="35" t="str">
        <x:v>/scan/[draftId]</x:v>
      </x:c>
      <x:c r="D660" s="35" t="str">
        <x:v>web/src/routes/(protected)/scan/[draftId]/+page.svelte</x:v>
      </x:c>
      <x:c r="E660" s="32" t="n">
        <x:v>1656</x:v>
      </x:c>
      <x:c r="F660" s="20" t="str">
        <x:v>term.type</x:v>
      </x:c>
      <x:c r="G660" s="35" t="str">
        <x:v>lease-term-{term.name}</x:v>
      </x:c>
      <x:c r="H660" s="35" t="str"/>
      <x:c r="I660" s="20" t="str">
        <x:v>Property Manager</x:v>
      </x:c>
      <x:c r="J660" s="23" t="n">
        <x:v>46615</x:v>
      </x:c>
      <x:c r="K660" s="35" t="str">
        <x:v>valid non-default; boundary/format value; blank/null when optional; invalid value when constrained</x:v>
      </x:c>
      <x:c r="L660" s="35" t="str">
        <x:v>Save succeeds; reload shows the exact normalized value; other client reads it where supported; edit persists; validation rejects invalid input without partial mutation.</x:v>
      </x:c>
    </x:row>
    <x:row r="661">
      <x:c r="A661" s="20" t="str">
        <x:v>FLD-0658</x:v>
      </x:c>
      <x:c r="B661" s="20" t="str">
        <x:v>Web</x:v>
      </x:c>
      <x:c r="C661" s="35" t="str">
        <x:v>/scan/[draftId]</x:v>
      </x:c>
      <x:c r="D661" s="35" t="str">
        <x:v>web/src/routes/(protected)/scan/[draftId]/+page.svelte</x:v>
      </x:c>
      <x:c r="E661" s="32" t="n">
        <x:v>1685</x:v>
      </x:c>
      <x:c r="F661" s="20" t="str">
        <x:v>single</x:v>
      </x:c>
      <x:c r="G661" s="35" t="str">
        <x:v>selectedPropertyId</x:v>
      </x:c>
      <x:c r="H661" s="35" t="str"/>
      <x:c r="I661" s="20" t="str">
        <x:v>Property Manager</x:v>
      </x:c>
      <x:c r="J661" s="23" t="n">
        <x:v>46615</x:v>
      </x:c>
      <x:c r="K661" s="35" t="str">
        <x:v>valid non-default; boundary/format value; blank/null when optional; invalid value when constrained</x:v>
      </x:c>
      <x:c r="L661" s="35" t="str">
        <x:v>Save succeeds; reload shows the exact normalized value; other client reads it where supported; edit persists; validation rejects invalid input without partial mutation.</x:v>
      </x:c>
    </x:row>
    <x:row r="662">
      <x:c r="A662" s="20" t="str">
        <x:v>FLD-0659</x:v>
      </x:c>
      <x:c r="B662" s="20" t="str">
        <x:v>Web</x:v>
      </x:c>
      <x:c r="C662" s="35" t="str">
        <x:v>/scan/[draftId]</x:v>
      </x:c>
      <x:c r="D662" s="35" t="str">
        <x:v>web/src/routes/(protected)/scan/[draftId]/+page.svelte</x:v>
      </x:c>
      <x:c r="E662" s="32" t="n">
        <x:v>1686</x:v>
      </x:c>
      <x:c r="F662" s="20" t="str">
        <x:v>select</x:v>
      </x:c>
      <x:c r="G662" s="35" t="str">
        <x:v>scan-application-property-select</x:v>
      </x:c>
      <x:c r="H662" s="35" t="str"/>
      <x:c r="I662" s="20" t="str">
        <x:v>Property Manager</x:v>
      </x:c>
      <x:c r="J662" s="23" t="n">
        <x:v>46615</x:v>
      </x:c>
      <x:c r="K662" s="35" t="str">
        <x:v>valid non-default; boundary/format value; blank/null when optional; invalid value when constrained</x:v>
      </x:c>
      <x:c r="L662" s="35" t="str">
        <x:v>Save succeeds; reload shows the exact normalized value; other client reads it where supported; edit persists; validation rejects invalid input without partial mutation.</x:v>
      </x:c>
    </x:row>
    <x:row r="663">
      <x:c r="A663" s="20" t="str">
        <x:v>FLD-0660</x:v>
      </x:c>
      <x:c r="B663" s="20" t="str">
        <x:v>Web</x:v>
      </x:c>
      <x:c r="C663" s="35" t="str">
        <x:v>/scan/[draftId]</x:v>
      </x:c>
      <x:c r="D663" s="35" t="str">
        <x:v>web/src/routes/(protected)/scan/[draftId]/+page.svelte</x:v>
      </x:c>
      <x:c r="E663" s="32" t="n">
        <x:v>1689</x:v>
      </x:c>
      <x:c r="F663" s="20" t="str">
        <x:v>select</x:v>
      </x:c>
      <x:c r="G663" s="35" t="str">
        <x:v>Select-36</x:v>
      </x:c>
      <x:c r="H663" s="35" t="str"/>
      <x:c r="I663" s="20" t="str">
        <x:v>Property Manager</x:v>
      </x:c>
      <x:c r="J663" s="23" t="n">
        <x:v>46615</x:v>
      </x:c>
      <x:c r="K663" s="35" t="str">
        <x:v>valid non-default; boundary/format value; blank/null when optional; invalid value when constrained</x:v>
      </x:c>
      <x:c r="L663" s="35" t="str">
        <x:v>Save succeeds; reload shows the exact normalized value; other client reads it where supported; edit persists; validation rejects invalid input without partial mutation.</x:v>
      </x:c>
    </x:row>
    <x:row r="664">
      <x:c r="A664" s="20" t="str">
        <x:v>FLD-0661</x:v>
      </x:c>
      <x:c r="B664" s="20" t="str">
        <x:v>Web</x:v>
      </x:c>
      <x:c r="C664" s="35" t="str">
        <x:v>/scan/[draftId]</x:v>
      </x:c>
      <x:c r="D664" s="35" t="str">
        <x:v>web/src/routes/(protected)/scan/[draftId]/+page.svelte</x:v>
      </x:c>
      <x:c r="E664" s="32" t="n">
        <x:v>1690</x:v>
      </x:c>
      <x:c r="F664" s="20" t="str">
        <x:v>select</x:v>
      </x:c>
      <x:c r="G664" s="35" t="str">
        <x:v>Select-37</x:v>
      </x:c>
      <x:c r="H664" s="35" t="str"/>
      <x:c r="I664" s="20" t="str">
        <x:v>Property Manager</x:v>
      </x:c>
      <x:c r="J664" s="23" t="n">
        <x:v>46616</x:v>
      </x:c>
      <x:c r="K664" s="35" t="str">
        <x:v>valid non-default; boundary/format value; blank/null when optional; invalid value when constrained</x:v>
      </x:c>
      <x:c r="L664" s="35" t="str">
        <x:v>Save succeeds; reload shows the exact normalized value; other client reads it where supported; edit persists; validation rejects invalid input without partial mutation.</x:v>
      </x:c>
    </x:row>
    <x:row r="665">
      <x:c r="A665" s="20" t="str">
        <x:v>FLD-0662</x:v>
      </x:c>
      <x:c r="B665" s="20" t="str">
        <x:v>Web</x:v>
      </x:c>
      <x:c r="C665" s="35" t="str">
        <x:v>/scan/[draftId]</x:v>
      </x:c>
      <x:c r="D665" s="35" t="str">
        <x:v>web/src/routes/(protected)/scan/[draftId]/+page.svelte</x:v>
      </x:c>
      <x:c r="E665" s="32" t="n">
        <x:v>1692</x:v>
      </x:c>
      <x:c r="F665" s="20" t="str">
        <x:v>select</x:v>
      </x:c>
      <x:c r="G665" s="35" t="str">
        <x:v>Select-38</x:v>
      </x:c>
      <x:c r="H665" s="35" t="str"/>
      <x:c r="I665" s="20" t="str">
        <x:v>Property Manager</x:v>
      </x:c>
      <x:c r="J665" s="23" t="n">
        <x:v>46616</x:v>
      </x:c>
      <x:c r="K665" s="35" t="str">
        <x:v>valid non-default; boundary/format value; blank/null when optional; invalid value when constrained</x:v>
      </x:c>
      <x:c r="L665" s="35" t="str">
        <x:v>Save succeeds; reload shows the exact normalized value; other client reads it where supported; edit persists; validation rejects invalid input without partial mutation.</x:v>
      </x:c>
    </x:row>
    <x:row r="666">
      <x:c r="A666" s="20" t="str">
        <x:v>FLD-0663</x:v>
      </x:c>
      <x:c r="B666" s="20" t="str">
        <x:v>Web</x:v>
      </x:c>
      <x:c r="C666" s="35" t="str">
        <x:v>/scan/[draftId]</x:v>
      </x:c>
      <x:c r="D666" s="35" t="str">
        <x:v>web/src/routes/(protected)/scan/[draftId]/+page.svelte</x:v>
      </x:c>
      <x:c r="E666" s="32" t="n">
        <x:v>1728</x:v>
      </x:c>
      <x:c r="F666" s="20" t="str">
        <x:v>appField.type</x:v>
      </x:c>
      <x:c r="G666" s="35" t="str">
        <x:v>application-{appField.name}</x:v>
      </x:c>
      <x:c r="H666" s="35" t="str"/>
      <x:c r="I666" s="20" t="str">
        <x:v>Property Manager</x:v>
      </x:c>
      <x:c r="J666" s="23" t="n">
        <x:v>46616</x:v>
      </x:c>
      <x:c r="K666" s="35" t="str">
        <x:v>valid non-default; boundary/format value; blank/null when optional; invalid value when constrained</x:v>
      </x:c>
      <x:c r="L666" s="35" t="str">
        <x:v>Save succeeds; reload shows the exact normalized value; other client reads it where supported; edit persists; validation rejects invalid input without partial mutation.</x:v>
      </x:c>
    </x:row>
    <x:row r="667">
      <x:c r="A667" s="20" t="str">
        <x:v>FLD-0664</x:v>
      </x:c>
      <x:c r="B667" s="20" t="str">
        <x:v>Web</x:v>
      </x:c>
      <x:c r="C667" s="35" t="str">
        <x:v>/scan/[draftId]</x:v>
      </x:c>
      <x:c r="D667" s="35" t="str">
        <x:v>web/src/routes/(protected)/scan/[draftId]/+page.svelte</x:v>
      </x:c>
      <x:c r="E667" s="32" t="n">
        <x:v>1758</x:v>
      </x:c>
      <x:c r="F667" s="20" t="str">
        <x:v>select</x:v>
      </x:c>
      <x:c r="G667" s="35" t="str">
        <x:v>scan-loan-property-select</x:v>
      </x:c>
      <x:c r="H667" s="35" t="str"/>
      <x:c r="I667" s="20" t="str">
        <x:v>Property Manager</x:v>
      </x:c>
      <x:c r="J667" s="23" t="n">
        <x:v>46616</x:v>
      </x:c>
      <x:c r="K667" s="35" t="str">
        <x:v>valid non-default; boundary/format value; blank/null when optional; invalid value when constrained</x:v>
      </x:c>
      <x:c r="L667" s="35" t="str">
        <x:v>Save succeeds; reload shows the exact normalized value; other client reads it where supported; edit persists; validation rejects invalid input without partial mutation.</x:v>
      </x:c>
    </x:row>
    <x:row r="668">
      <x:c r="A668" s="20" t="str">
        <x:v>FLD-0665</x:v>
      </x:c>
      <x:c r="B668" s="20" t="str">
        <x:v>Web</x:v>
      </x:c>
      <x:c r="C668" s="35" t="str">
        <x:v>/scan/[draftId]</x:v>
      </x:c>
      <x:c r="D668" s="35" t="str">
        <x:v>web/src/routes/(protected)/scan/[draftId]/+page.svelte</x:v>
      </x:c>
      <x:c r="E668" s="32" t="n">
        <x:v>1761</x:v>
      </x:c>
      <x:c r="F668" s="20" t="str">
        <x:v>select</x:v>
      </x:c>
      <x:c r="G668" s="35" t="str">
        <x:v>Select-43</x:v>
      </x:c>
      <x:c r="H668" s="35" t="str"/>
      <x:c r="I668" s="20" t="str">
        <x:v>Property Manager</x:v>
      </x:c>
      <x:c r="J668" s="23" t="n">
        <x:v>46617</x:v>
      </x:c>
      <x:c r="K668" s="35" t="str">
        <x:v>valid non-default; boundary/format value; blank/null when optional; invalid value when constrained</x:v>
      </x:c>
      <x:c r="L668" s="35" t="str">
        <x:v>Save succeeds; reload shows the exact normalized value; other client reads it where supported; edit persists; validation rejects invalid input without partial mutation.</x:v>
      </x:c>
    </x:row>
    <x:row r="669">
      <x:c r="A669" s="20" t="str">
        <x:v>FLD-0666</x:v>
      </x:c>
      <x:c r="B669" s="20" t="str">
        <x:v>Web</x:v>
      </x:c>
      <x:c r="C669" s="35" t="str">
        <x:v>/scan/[draftId]</x:v>
      </x:c>
      <x:c r="D669" s="35" t="str">
        <x:v>web/src/routes/(protected)/scan/[draftId]/+page.svelte</x:v>
      </x:c>
      <x:c r="E669" s="32" t="n">
        <x:v>1762</x:v>
      </x:c>
      <x:c r="F669" s="20" t="str">
        <x:v>select</x:v>
      </x:c>
      <x:c r="G669" s="35" t="str">
        <x:v>Select-44</x:v>
      </x:c>
      <x:c r="H669" s="35" t="str"/>
      <x:c r="I669" s="20" t="str">
        <x:v>Property Manager</x:v>
      </x:c>
      <x:c r="J669" s="23" t="n">
        <x:v>46617</x:v>
      </x:c>
      <x:c r="K669" s="35" t="str">
        <x:v>valid non-default; boundary/format value; blank/null when optional; invalid value when constrained</x:v>
      </x:c>
      <x:c r="L669" s="35" t="str">
        <x:v>Save succeeds; reload shows the exact normalized value; other client reads it where supported; edit persists; validation rejects invalid input without partial mutation.</x:v>
      </x:c>
    </x:row>
    <x:row r="670">
      <x:c r="A670" s="20" t="str">
        <x:v>FLD-0667</x:v>
      </x:c>
      <x:c r="B670" s="20" t="str">
        <x:v>Web</x:v>
      </x:c>
      <x:c r="C670" s="35" t="str">
        <x:v>/scan/[draftId]</x:v>
      </x:c>
      <x:c r="D670" s="35" t="str">
        <x:v>web/src/routes/(protected)/scan/[draftId]/+page.svelte</x:v>
      </x:c>
      <x:c r="E670" s="32" t="n">
        <x:v>1765</x:v>
      </x:c>
      <x:c r="F670" s="20" t="str">
        <x:v>select</x:v>
      </x:c>
      <x:c r="G670" s="35" t="str">
        <x:v>Select-45</x:v>
      </x:c>
      <x:c r="H670" s="35" t="str"/>
      <x:c r="I670" s="20" t="str">
        <x:v>Property Manager</x:v>
      </x:c>
      <x:c r="J670" s="23" t="n">
        <x:v>46617</x:v>
      </x:c>
      <x:c r="K670" s="35" t="str">
        <x:v>valid non-default; boundary/format value; blank/null when optional; invalid value when constrained</x:v>
      </x:c>
      <x:c r="L670" s="35" t="str">
        <x:v>Save succeeds; reload shows the exact normalized value; other client reads it where supported; edit persists; validation rejects invalid input without partial mutation.</x:v>
      </x:c>
    </x:row>
    <x:row r="671">
      <x:c r="A671" s="20" t="str">
        <x:v>FLD-0668</x:v>
      </x:c>
      <x:c r="B671" s="20" t="str">
        <x:v>Web</x:v>
      </x:c>
      <x:c r="C671" s="35" t="str">
        <x:v>/scan/[draftId]</x:v>
      </x:c>
      <x:c r="D671" s="35" t="str">
        <x:v>web/src/routes/(protected)/scan/[draftId]/+page.svelte</x:v>
      </x:c>
      <x:c r="E671" s="32" t="n">
        <x:v>1806</x:v>
      </x:c>
      <x:c r="F671" s="20" t="str">
        <x:v>loanField.type</x:v>
      </x:c>
      <x:c r="G671" s="35" t="str">
        <x:v>loan-{loanField.name}</x:v>
      </x:c>
      <x:c r="H671" s="35" t="str"/>
      <x:c r="I671" s="20" t="str">
        <x:v>Property Manager</x:v>
      </x:c>
      <x:c r="J671" s="23" t="n">
        <x:v>46617</x:v>
      </x:c>
      <x:c r="K671" s="35" t="str">
        <x:v>valid non-default; boundary/format value; blank/null when optional; invalid value when constrained</x:v>
      </x:c>
      <x:c r="L671" s="35" t="str">
        <x:v>Save succeeds; reload shows the exact normalized value; other client reads it where supported; edit persists; validation rejects invalid input without partial mutation.</x:v>
      </x:c>
    </x:row>
    <x:row r="672">
      <x:c r="A672" s="20" t="str">
        <x:v>FLD-0669</x:v>
      </x:c>
      <x:c r="B672" s="20" t="str">
        <x:v>Web</x:v>
      </x:c>
      <x:c r="C672" s="35" t="str">
        <x:v>/scan/[draftId]</x:v>
      </x:c>
      <x:c r="D672" s="35" t="str">
        <x:v>web/src/routes/(protected)/scan/[draftId]/+page.svelte</x:v>
      </x:c>
      <x:c r="E672" s="32" t="n">
        <x:v>1818</x:v>
      </x:c>
      <x:c r="F672" s="20" t="str">
        <x:v>checkbox</x:v>
      </x:c>
      <x:c r="G672" s="35" t="str">
        <x:v>scan-loan-escrow-taxes</x:v>
      </x:c>
      <x:c r="H672" s="35" t="str"/>
      <x:c r="I672" s="20" t="str">
        <x:v>Property Manager</x:v>
      </x:c>
      <x:c r="J672" s="23" t="n">
        <x:v>46617</x:v>
      </x:c>
      <x:c r="K672" s="35" t="str">
        <x:v>valid non-default; boundary/format value; blank/null when optional; invalid value when constrained</x:v>
      </x:c>
      <x:c r="L672" s="35" t="str">
        <x:v>Save succeeds; reload shows the exact normalized value; other client reads it where supported; edit persists; validation rejects invalid input without partial mutation.</x:v>
      </x:c>
    </x:row>
    <x:row r="673">
      <x:c r="A673" s="20" t="str">
        <x:v>FLD-0670</x:v>
      </x:c>
      <x:c r="B673" s="20" t="str">
        <x:v>Web</x:v>
      </x:c>
      <x:c r="C673" s="35" t="str">
        <x:v>/scan/[draftId]</x:v>
      </x:c>
      <x:c r="D673" s="35" t="str">
        <x:v>web/src/routes/(protected)/scan/[draftId]/+page.svelte</x:v>
      </x:c>
      <x:c r="E673" s="32" t="n">
        <x:v>1822</x:v>
      </x:c>
      <x:c r="F673" s="20" t="str">
        <x:v>checkbox</x:v>
      </x:c>
      <x:c r="G673" s="35" t="str">
        <x:v>scan-loan-escrow-insurance</x:v>
      </x:c>
      <x:c r="H673" s="35" t="str">
        <x:v>Escrow covers property taxes</x:v>
      </x:c>
      <x:c r="I673" s="20" t="str">
        <x:v>Property Manager</x:v>
      </x:c>
      <x:c r="J673" s="23" t="n">
        <x:v>46618</x:v>
      </x:c>
      <x:c r="K673" s="35" t="str">
        <x:v>valid non-default; boundary/format value; blank/null when optional; invalid value when constrained</x:v>
      </x:c>
      <x:c r="L673" s="35" t="str">
        <x:v>Save succeeds; reload shows the exact normalized value; other client reads it where supported; edit persists; validation rejects invalid input without partial mutation.</x:v>
      </x:c>
    </x:row>
    <x:row r="674">
      <x:c r="A674" s="20" t="str">
        <x:v>FLD-0671</x:v>
      </x:c>
      <x:c r="B674" s="20" t="str">
        <x:v>Web</x:v>
      </x:c>
      <x:c r="C674" s="35" t="str">
        <x:v>/scan/[draftId]</x:v>
      </x:c>
      <x:c r="D674" s="35" t="str">
        <x:v>web/src/routes/(protected)/scan/[draftId]/+page.svelte</x:v>
      </x:c>
      <x:c r="E674" s="32" t="n">
        <x:v>1828</x:v>
      </x:c>
      <x:c r="F674" s="20" t="str">
        <x:v>text</x:v>
      </x:c>
      <x:c r="G674" s="35" t="str">
        <x:v>loan-notes</x:v>
      </x:c>
      <x:c r="H674" s="35" t="str">
        <x:v>Notes</x:v>
      </x:c>
      <x:c r="I674" s="20" t="str">
        <x:v>Property Manager</x:v>
      </x:c>
      <x:c r="J674" s="23" t="n">
        <x:v>46618</x:v>
      </x:c>
      <x:c r="K674" s="35" t="str">
        <x:v>valid non-default; boundary/format value; blank/null when optional; invalid value when constrained</x:v>
      </x:c>
      <x:c r="L674" s="35" t="str">
        <x:v>Save succeeds; reload shows the exact normalized value; other client reads it where supported; edit persists; validation rejects invalid input without partial mutation.</x:v>
      </x:c>
    </x:row>
    <x:row r="675">
      <x:c r="A675" s="20" t="str">
        <x:v>FLD-0672</x:v>
      </x:c>
      <x:c r="B675" s="20" t="str">
        <x:v>Web</x:v>
      </x:c>
      <x:c r="C675" s="35" t="str">
        <x:v>/scan/[draftId]</x:v>
      </x:c>
      <x:c r="D675" s="35" t="str">
        <x:v>web/src/routes/(protected)/scan/[draftId]/+page.svelte</x:v>
      </x:c>
      <x:c r="E675" s="32" t="n">
        <x:v>1849</x:v>
      </x:c>
      <x:c r="F675" s="20" t="str">
        <x:v>select</x:v>
      </x:c>
      <x:c r="G675" s="35" t="str">
        <x:v>scan-property-select</x:v>
      </x:c>
      <x:c r="H675" s="35" t="str"/>
      <x:c r="I675" s="20" t="str">
        <x:v>Property Manager</x:v>
      </x:c>
      <x:c r="J675" s="23" t="n">
        <x:v>46618</x:v>
      </x:c>
      <x:c r="K675" s="35" t="str">
        <x:v>valid non-default; boundary/format value; blank/null when optional; invalid value when constrained</x:v>
      </x:c>
      <x:c r="L675" s="35" t="str">
        <x:v>Save succeeds; reload shows the exact normalized value; other client reads it where supported; edit persists; validation rejects invalid input without partial mutation.</x:v>
      </x:c>
    </x:row>
    <x:row r="676">
      <x:c r="A676" s="20" t="str">
        <x:v>FLD-0673</x:v>
      </x:c>
      <x:c r="B676" s="20" t="str">
        <x:v>Web</x:v>
      </x:c>
      <x:c r="C676" s="35" t="str">
        <x:v>/scan/[draftId]</x:v>
      </x:c>
      <x:c r="D676" s="35" t="str">
        <x:v>web/src/routes/(protected)/scan/[draftId]/+page.svelte</x:v>
      </x:c>
      <x:c r="E676" s="32" t="n">
        <x:v>1852</x:v>
      </x:c>
      <x:c r="F676" s="20" t="str">
        <x:v>select</x:v>
      </x:c>
      <x:c r="G676" s="35" t="str">
        <x:v>Select-53</x:v>
      </x:c>
      <x:c r="H676" s="35" t="str"/>
      <x:c r="I676" s="20" t="str">
        <x:v>Property Manager</x:v>
      </x:c>
      <x:c r="J676" s="23" t="n">
        <x:v>46618</x:v>
      </x:c>
      <x:c r="K676" s="35" t="str">
        <x:v>valid non-default; boundary/format value; blank/null when optional; invalid value when constrained</x:v>
      </x:c>
      <x:c r="L676" s="35" t="str">
        <x:v>Save succeeds; reload shows the exact normalized value; other client reads it where supported; edit persists; validation rejects invalid input without partial mutation.</x:v>
      </x:c>
    </x:row>
    <x:row r="677">
      <x:c r="A677" s="20" t="str">
        <x:v>FLD-0674</x:v>
      </x:c>
      <x:c r="B677" s="20" t="str">
        <x:v>Web</x:v>
      </x:c>
      <x:c r="C677" s="35" t="str">
        <x:v>/scan/[draftId]</x:v>
      </x:c>
      <x:c r="D677" s="35" t="str">
        <x:v>web/src/routes/(protected)/scan/[draftId]/+page.svelte</x:v>
      </x:c>
      <x:c r="E677" s="32" t="n">
        <x:v>1853</x:v>
      </x:c>
      <x:c r="F677" s="20" t="str">
        <x:v>select</x:v>
      </x:c>
      <x:c r="G677" s="35" t="str">
        <x:v>Select-54</x:v>
      </x:c>
      <x:c r="H677" s="35" t="str"/>
      <x:c r="I677" s="20" t="str">
        <x:v>Property Manager</x:v>
      </x:c>
      <x:c r="J677" s="23" t="n">
        <x:v>46619</x:v>
      </x:c>
      <x:c r="K677" s="35" t="str">
        <x:v>valid non-default; boundary/format value; blank/null when optional; invalid value when constrained</x:v>
      </x:c>
      <x:c r="L677" s="35" t="str">
        <x:v>Save succeeds; reload shows the exact normalized value; other client reads it where supported; edit persists; validation rejects invalid input without partial mutation.</x:v>
      </x:c>
    </x:row>
    <x:row r="678">
      <x:c r="A678" s="20" t="str">
        <x:v>FLD-0675</x:v>
      </x:c>
      <x:c r="B678" s="20" t="str">
        <x:v>Web</x:v>
      </x:c>
      <x:c r="C678" s="35" t="str">
        <x:v>/scan/[draftId]</x:v>
      </x:c>
      <x:c r="D678" s="35" t="str">
        <x:v>web/src/routes/(protected)/scan/[draftId]/+page.svelte</x:v>
      </x:c>
      <x:c r="E678" s="32" t="n">
        <x:v>1856</x:v>
      </x:c>
      <x:c r="F678" s="20" t="str">
        <x:v>select</x:v>
      </x:c>
      <x:c r="G678" s="35" t="str">
        <x:v>Select-55</x:v>
      </x:c>
      <x:c r="H678" s="35" t="str"/>
      <x:c r="I678" s="20" t="str">
        <x:v>Property Manager</x:v>
      </x:c>
      <x:c r="J678" s="23" t="n">
        <x:v>46619</x:v>
      </x:c>
      <x:c r="K678" s="35" t="str">
        <x:v>valid non-default; boundary/format value; blank/null when optional; invalid value when constrained</x:v>
      </x:c>
      <x:c r="L678" s="35" t="str">
        <x:v>Save succeeds; reload shows the exact normalized value; other client reads it where supported; edit persists; validation rejects invalid input without partial mutation.</x:v>
      </x:c>
    </x:row>
    <x:row r="679">
      <x:c r="A679" s="20" t="str">
        <x:v>FLD-0676</x:v>
      </x:c>
      <x:c r="B679" s="20" t="str">
        <x:v>Web</x:v>
      </x:c>
      <x:c r="C679" s="35" t="str">
        <x:v>/scan/[draftId]</x:v>
      </x:c>
      <x:c r="D679" s="35" t="str">
        <x:v>web/src/routes/(protected)/scan/[draftId]/+page.svelte</x:v>
      </x:c>
      <x:c r="E679" s="32" t="n">
        <x:v>1902</x:v>
      </x:c>
      <x:c r="F679" s="20" t="str">
        <x:v>single</x:v>
      </x:c>
      <x:c r="G679" s="35" t="str">
        <x:v>editedFields[fieldName]</x:v>
      </x:c>
      <x:c r="H679" s="35" t="str"/>
      <x:c r="I679" s="20" t="str">
        <x:v>Property Manager</x:v>
      </x:c>
      <x:c r="J679" s="23" t="n">
        <x:v>46619</x:v>
      </x:c>
      <x:c r="K679" s="35" t="str">
        <x:v>valid non-default; boundary/format value; blank/null when optional; invalid value when constrained</x:v>
      </x:c>
      <x:c r="L679" s="35" t="str">
        <x:v>Save succeeds; reload shows the exact normalized value; other client reads it where supported; edit persists; validation rejects invalid input without partial mutation.</x:v>
      </x:c>
    </x:row>
    <x:row r="680">
      <x:c r="A680" s="20" t="str">
        <x:v>FLD-0677</x:v>
      </x:c>
      <x:c r="B680" s="20" t="str">
        <x:v>Web</x:v>
      </x:c>
      <x:c r="C680" s="35" t="str">
        <x:v>/scan/[draftId]</x:v>
      </x:c>
      <x:c r="D680" s="35" t="str">
        <x:v>web/src/routes/(protected)/scan/[draftId]/+page.svelte</x:v>
      </x:c>
      <x:c r="E680" s="32" t="n">
        <x:v>1903</x:v>
      </x:c>
      <x:c r="F680" s="20" t="str">
        <x:v>select</x:v>
      </x:c>
      <x:c r="G680" s="35" t="str">
        <x:v>field-{fieldName}</x:v>
      </x:c>
      <x:c r="H680" s="35" t="str"/>
      <x:c r="I680" s="20" t="str">
        <x:v>Property Manager</x:v>
      </x:c>
      <x:c r="J680" s="23" t="n">
        <x:v>46619</x:v>
      </x:c>
      <x:c r="K680" s="35" t="str">
        <x:v>valid non-default; boundary/format value; blank/null when optional; invalid value when constrained</x:v>
      </x:c>
      <x:c r="L680" s="35" t="str">
        <x:v>Save succeeds; reload shows the exact normalized value; other client reads it where supported; edit persists; validation rejects invalid input without partial mutation.</x:v>
      </x:c>
    </x:row>
    <x:row r="681">
      <x:c r="A681" s="20" t="str">
        <x:v>FLD-0678</x:v>
      </x:c>
      <x:c r="B681" s="20" t="str">
        <x:v>Web</x:v>
      </x:c>
      <x:c r="C681" s="35" t="str">
        <x:v>/scan/[draftId]</x:v>
      </x:c>
      <x:c r="D681" s="35" t="str">
        <x:v>web/src/routes/(protected)/scan/[draftId]/+page.svelte</x:v>
      </x:c>
      <x:c r="E681" s="32" t="n">
        <x:v>1906</x:v>
      </x:c>
      <x:c r="F681" s="20" t="str">
        <x:v>select</x:v>
      </x:c>
      <x:c r="G681" s="35" t="str">
        <x:v>Select-58</x:v>
      </x:c>
      <x:c r="H681" s="35" t="str"/>
      <x:c r="I681" s="20" t="str">
        <x:v>Property Manager</x:v>
      </x:c>
      <x:c r="J681" s="23" t="n">
        <x:v>46622</x:v>
      </x:c>
      <x:c r="K681" s="35" t="str">
        <x:v>valid non-default; boundary/format value; blank/null when optional; invalid value when constrained</x:v>
      </x:c>
      <x:c r="L681" s="35" t="str">
        <x:v>Save succeeds; reload shows the exact normalized value; other client reads it where supported; edit persists; validation rejects invalid input without partial mutation.</x:v>
      </x:c>
    </x:row>
    <x:row r="682">
      <x:c r="A682" s="20" t="str">
        <x:v>FLD-0679</x:v>
      </x:c>
      <x:c r="B682" s="20" t="str">
        <x:v>Web</x:v>
      </x:c>
      <x:c r="C682" s="35" t="str">
        <x:v>/scan/[draftId]</x:v>
      </x:c>
      <x:c r="D682" s="35" t="str">
        <x:v>web/src/routes/(protected)/scan/[draftId]/+page.svelte</x:v>
      </x:c>
      <x:c r="E682" s="32" t="n">
        <x:v>1908</x:v>
      </x:c>
      <x:c r="F682" s="20" t="str">
        <x:v>select</x:v>
      </x:c>
      <x:c r="G682" s="35" t="str">
        <x:v>Select-59</x:v>
      </x:c>
      <x:c r="H682" s="35" t="str"/>
      <x:c r="I682" s="20" t="str">
        <x:v>Property Manager</x:v>
      </x:c>
      <x:c r="J682" s="23" t="n">
        <x:v>46622</x:v>
      </x:c>
      <x:c r="K682" s="35" t="str">
        <x:v>valid non-default; boundary/format value; blank/null when optional; invalid value when constrained</x:v>
      </x:c>
      <x:c r="L682" s="35" t="str">
        <x:v>Save succeeds; reload shows the exact normalized value; other client reads it where supported; edit persists; validation rejects invalid input without partial mutation.</x:v>
      </x:c>
    </x:row>
    <x:row r="683">
      <x:c r="A683" s="20" t="str">
        <x:v>FLD-0680</x:v>
      </x:c>
      <x:c r="B683" s="20" t="str">
        <x:v>Web</x:v>
      </x:c>
      <x:c r="C683" s="35" t="str">
        <x:v>/scan/[draftId]</x:v>
      </x:c>
      <x:c r="D683" s="35" t="str">
        <x:v>web/src/routes/(protected)/scan/[draftId]/+page.svelte</x:v>
      </x:c>
      <x:c r="E683" s="32" t="n">
        <x:v>1949</x:v>
      </x:c>
      <x:c r="F683" s="20" t="str">
        <x:v>single</x:v>
      </x:c>
      <x:c r="G683" s="35" t="str">
        <x:v>editedFields[field.name]</x:v>
      </x:c>
      <x:c r="H683" s="35" t="str"/>
      <x:c r="I683" s="20" t="str">
        <x:v>Property Manager</x:v>
      </x:c>
      <x:c r="J683" s="23" t="n">
        <x:v>46622</x:v>
      </x:c>
      <x:c r="K683" s="35" t="str">
        <x:v>valid non-default; boundary/format value; blank/null when optional; invalid value when constrained</x:v>
      </x:c>
      <x:c r="L683" s="35" t="str">
        <x:v>Save succeeds; reload shows the exact normalized value; other client reads it where supported; edit persists; validation rejects invalid input without partial mutation.</x:v>
      </x:c>
    </x:row>
    <x:row r="684">
      <x:c r="A684" s="20" t="str">
        <x:v>FLD-0681</x:v>
      </x:c>
      <x:c r="B684" s="20" t="str">
        <x:v>Web</x:v>
      </x:c>
      <x:c r="C684" s="35" t="str">
        <x:v>/scan/[draftId]</x:v>
      </x:c>
      <x:c r="D684" s="35" t="str">
        <x:v>web/src/routes/(protected)/scan/[draftId]/+page.svelte</x:v>
      </x:c>
      <x:c r="E684" s="32" t="n">
        <x:v>1950</x:v>
      </x:c>
      <x:c r="F684" s="20" t="str">
        <x:v>select</x:v>
      </x:c>
      <x:c r="G684" s="35" t="str">
        <x:v>field-{field.name}</x:v>
      </x:c>
      <x:c r="H684" s="35" t="str"/>
      <x:c r="I684" s="20" t="str">
        <x:v>Property Manager</x:v>
      </x:c>
      <x:c r="J684" s="23" t="n">
        <x:v>46622</x:v>
      </x:c>
      <x:c r="K684" s="35" t="str">
        <x:v>valid non-default; boundary/format value; blank/null when optional; invalid value when constrained</x:v>
      </x:c>
      <x:c r="L684" s="35" t="str">
        <x:v>Save succeeds; reload shows the exact normalized value; other client reads it where supported; edit persists; validation rejects invalid input without partial mutation.</x:v>
      </x:c>
    </x:row>
    <x:row r="685">
      <x:c r="A685" s="20" t="str">
        <x:v>FLD-0682</x:v>
      </x:c>
      <x:c r="B685" s="20" t="str">
        <x:v>Web</x:v>
      </x:c>
      <x:c r="C685" s="35" t="str">
        <x:v>/scan/[draftId]</x:v>
      </x:c>
      <x:c r="D685" s="35" t="str">
        <x:v>web/src/routes/(protected)/scan/[draftId]/+page.svelte</x:v>
      </x:c>
      <x:c r="E685" s="32" t="n">
        <x:v>1953</x:v>
      </x:c>
      <x:c r="F685" s="20" t="str">
        <x:v>select</x:v>
      </x:c>
      <x:c r="G685" s="35" t="str">
        <x:v>Select-63</x:v>
      </x:c>
      <x:c r="H685" s="35" t="str"/>
      <x:c r="I685" s="20" t="str">
        <x:v>Property Manager</x:v>
      </x:c>
      <x:c r="J685" s="23" t="n">
        <x:v>46622</x:v>
      </x:c>
      <x:c r="K685" s="35" t="str">
        <x:v>valid non-default; boundary/format value; blank/null when optional; invalid value when constrained</x:v>
      </x:c>
      <x:c r="L685" s="35" t="str">
        <x:v>Save succeeds; reload shows the exact normalized value; other client reads it where supported; edit persists; validation rejects invalid input without partial mutation.</x:v>
      </x:c>
    </x:row>
    <x:row r="686">
      <x:c r="A686" s="20" t="str">
        <x:v>FLD-0683</x:v>
      </x:c>
      <x:c r="B686" s="20" t="str">
        <x:v>Web</x:v>
      </x:c>
      <x:c r="C686" s="35" t="str">
        <x:v>/scan/[draftId]</x:v>
      </x:c>
      <x:c r="D686" s="35" t="str">
        <x:v>web/src/routes/(protected)/scan/[draftId]/+page.svelte</x:v>
      </x:c>
      <x:c r="E686" s="32" t="n">
        <x:v>1955</x:v>
      </x:c>
      <x:c r="F686" s="20" t="str">
        <x:v>select</x:v>
      </x:c>
      <x:c r="G686" s="35" t="str">
        <x:v>Select-64</x:v>
      </x:c>
      <x:c r="H686" s="35" t="str"/>
      <x:c r="I686" s="20" t="str">
        <x:v>Property Manager</x:v>
      </x:c>
      <x:c r="J686" s="23" t="n">
        <x:v>46623</x:v>
      </x:c>
      <x:c r="K686" s="35" t="str">
        <x:v>valid non-default; boundary/format value; blank/null when optional; invalid value when constrained</x:v>
      </x:c>
      <x:c r="L686" s="35" t="str">
        <x:v>Save succeeds; reload shows the exact normalized value; other client reads it where supported; edit persists; validation rejects invalid input without partial mutation.</x:v>
      </x:c>
    </x:row>
    <x:row r="687">
      <x:c r="A687" s="20" t="str">
        <x:v>FLD-0684</x:v>
      </x:c>
      <x:c r="B687" s="20" t="str">
        <x:v>Web</x:v>
      </x:c>
      <x:c r="C687" s="35" t="str">
        <x:v>/scan/[draftId]</x:v>
      </x:c>
      <x:c r="D687" s="35" t="str">
        <x:v>web/src/routes/(protected)/scan/[draftId]/+page.svelte</x:v>
      </x:c>
      <x:c r="E687" s="32" t="n">
        <x:v>1960</x:v>
      </x:c>
      <x:c r="F687" s="20" t="str">
        <x:v>input</x:v>
      </x:c>
      <x:c r="G687" s="35" t="str">
        <x:v>input-65</x:v>
      </x:c>
      <x:c r="H687" s="35" t="str"/>
      <x:c r="I687" s="20" t="str">
        <x:v>Property Manager</x:v>
      </x:c>
      <x:c r="J687" s="23" t="n">
        <x:v>46623</x:v>
      </x:c>
      <x:c r="K687" s="35" t="str">
        <x:v>valid non-default; boundary/format value; blank/null when optional; invalid value when constrained</x:v>
      </x:c>
      <x:c r="L687" s="35" t="str">
        <x:v>Save succeeds; reload shows the exact normalized value; other client reads it where supported; edit persists; validation rejects invalid input without partial mutation.</x:v>
      </x:c>
    </x:row>
    <x:row r="688">
      <x:c r="A688" s="20" t="str">
        <x:v>FLD-0685</x:v>
      </x:c>
      <x:c r="B688" s="20" t="str">
        <x:v>Web</x:v>
      </x:c>
      <x:c r="C688" s="35" t="str">
        <x:v>/scan/[draftId]</x:v>
      </x:c>
      <x:c r="D688" s="35" t="str">
        <x:v>web/src/routes/(protected)/scan/[draftId]/+page.svelte</x:v>
      </x:c>
      <x:c r="E688" s="32" t="n">
        <x:v>2018</x:v>
      </x:c>
      <x:c r="F688" s="20" t="str">
        <x:v>text</x:v>
      </x:c>
      <x:c r="G688" s="35" t="str">
        <x:v>scan-line-item-description-{i}</x:v>
      </x:c>
      <x:c r="H688" s="35" t="str">
        <x:v>Description</x:v>
      </x:c>
      <x:c r="I688" s="20" t="str">
        <x:v>Property Manager</x:v>
      </x:c>
      <x:c r="J688" s="23" t="n">
        <x:v>46623</x:v>
      </x:c>
      <x:c r="K688" s="35" t="str">
        <x:v>valid non-default; boundary/format value; blank/null when optional; invalid value when constrained</x:v>
      </x:c>
      <x:c r="L688" s="35" t="str">
        <x:v>Save succeeds; reload shows the exact normalized value; other client reads it where supported; edit persists; validation rejects invalid input without partial mutation.</x:v>
      </x:c>
    </x:row>
    <x:row r="689">
      <x:c r="A689" s="20" t="str">
        <x:v>FLD-0686</x:v>
      </x:c>
      <x:c r="B689" s="20" t="str">
        <x:v>Web</x:v>
      </x:c>
      <x:c r="C689" s="35" t="str">
        <x:v>/scan/[draftId]</x:v>
      </x:c>
      <x:c r="D689" s="35" t="str">
        <x:v>web/src/routes/(protected)/scan/[draftId]/+page.svelte</x:v>
      </x:c>
      <x:c r="E689" s="32" t="n">
        <x:v>2028</x:v>
      </x:c>
      <x:c r="F689" s="20" t="str">
        <x:v>text</x:v>
      </x:c>
      <x:c r="G689" s="35" t="str">
        <x:v>scan-line-item-quantity-{i}</x:v>
      </x:c>
      <x:c r="H689" s="35" t="str"/>
      <x:c r="I689" s="20" t="str">
        <x:v>Property Manager</x:v>
      </x:c>
      <x:c r="J689" s="23" t="n">
        <x:v>46623</x:v>
      </x:c>
      <x:c r="K689" s="35" t="str">
        <x:v>valid non-default; boundary/format value; blank/null when optional; invalid value when constrained</x:v>
      </x:c>
      <x:c r="L689" s="35" t="str">
        <x:v>Save succeeds; reload shows the exact normalized value; other client reads it where supported; edit persists; validation rejects invalid input without partial mutation.</x:v>
      </x:c>
    </x:row>
    <x:row r="690">
      <x:c r="A690" s="20" t="str">
        <x:v>FLD-0687</x:v>
      </x:c>
      <x:c r="B690" s="20" t="str">
        <x:v>Web</x:v>
      </x:c>
      <x:c r="C690" s="35" t="str">
        <x:v>/scan/[draftId]</x:v>
      </x:c>
      <x:c r="D690" s="35" t="str">
        <x:v>web/src/routes/(protected)/scan/[draftId]/+page.svelte</x:v>
      </x:c>
      <x:c r="E690" s="32" t="n">
        <x:v>2038</x:v>
      </x:c>
      <x:c r="F690" s="20" t="str">
        <x:v>text</x:v>
      </x:c>
      <x:c r="G690" s="35" t="str">
        <x:v>scan-line-item-unit-price-{i}</x:v>
      </x:c>
      <x:c r="H690" s="35" t="str"/>
      <x:c r="I690" s="20" t="str">
        <x:v>Property Manager</x:v>
      </x:c>
      <x:c r="J690" s="23" t="n">
        <x:v>46624</x:v>
      </x:c>
      <x:c r="K690" s="35" t="str">
        <x:v>valid non-default; boundary/format value; blank/null when optional; invalid value when constrained</x:v>
      </x:c>
      <x:c r="L690" s="35" t="str">
        <x:v>Save succeeds; reload shows the exact normalized value; other client reads it where supported; edit persists; validation rejects invalid input without partial mutation.</x:v>
      </x:c>
    </x:row>
    <x:row r="691">
      <x:c r="A691" s="20" t="str">
        <x:v>FLD-0688</x:v>
      </x:c>
      <x:c r="B691" s="20" t="str">
        <x:v>Web</x:v>
      </x:c>
      <x:c r="C691" s="35" t="str">
        <x:v>/scan/[draftId]</x:v>
      </x:c>
      <x:c r="D691" s="35" t="str">
        <x:v>web/src/routes/(protected)/scan/[draftId]/+page.svelte</x:v>
      </x:c>
      <x:c r="E691" s="32" t="n">
        <x:v>2048</x:v>
      </x:c>
      <x:c r="F691" s="20" t="str">
        <x:v>text</x:v>
      </x:c>
      <x:c r="G691" s="35" t="str">
        <x:v>scan-line-item-amount-{i}</x:v>
      </x:c>
      <x:c r="H691" s="35" t="str"/>
      <x:c r="I691" s="20" t="str">
        <x:v>Property Manager</x:v>
      </x:c>
      <x:c r="J691" s="23" t="n">
        <x:v>46624</x:v>
      </x:c>
      <x:c r="K691" s="35" t="str">
        <x:v>valid non-default; boundary/format value; blank/null when optional; invalid value when constrained</x:v>
      </x:c>
      <x:c r="L691" s="35" t="str">
        <x:v>Save succeeds; reload shows the exact normalized value; other client reads it where supported; edit persists; validation rejects invalid input without partial mutation.</x:v>
      </x:c>
    </x:row>
    <x:row r="692">
      <x:c r="A692" s="20" t="str">
        <x:v>FLD-0689</x:v>
      </x:c>
      <x:c r="B692" s="20" t="str">
        <x:v>Web</x:v>
      </x:c>
      <x:c r="C692" s="35" t="str">
        <x:v>/scan/[draftId]</x:v>
      </x:c>
      <x:c r="D692" s="35" t="str">
        <x:v>web/src/routes/(protected)/scan/[draftId]/+page.svelte</x:v>
      </x:c>
      <x:c r="E692" s="32" t="n">
        <x:v>2217</x:v>
      </x:c>
      <x:c r="F692" s="20" t="str">
        <x:v>textarea</x:v>
      </x:c>
      <x:c r="G692" s="35" t="str">
        <x:v>rejectReason</x:v>
      </x:c>
      <x:c r="H692" s="35" t="str">
        <x:v>Reason for rejection (optional)</x:v>
      </x:c>
      <x:c r="I692" s="20" t="str">
        <x:v>Property Manager</x:v>
      </x:c>
      <x:c r="J692" s="23" t="n">
        <x:v>46624</x:v>
      </x:c>
      <x:c r="K692" s="35" t="str">
        <x:v>valid non-default; boundary/format value; blank/null when optional; invalid value when constrained</x:v>
      </x:c>
      <x:c r="L692" s="35" t="str">
        <x:v>Save succeeds; reload shows the exact normalized value; other client reads it where supported; edit persists; validation rejects invalid input without partial mutation.</x:v>
      </x:c>
    </x:row>
    <x:row r="693">
      <x:c r="A693" s="20" t="str">
        <x:v>FLD-0690</x:v>
      </x:c>
      <x:c r="B693" s="20" t="str">
        <x:v>Web</x:v>
      </x:c>
      <x:c r="C693" s="35" t="str">
        <x:v>/scan/batch</x:v>
      </x:c>
      <x:c r="D693" s="35" t="str">
        <x:v>web/src/routes/(protected)/scan/batch/+page.svelte</x:v>
      </x:c>
      <x:c r="E693" s="32" t="n">
        <x:v>145</x:v>
      </x:c>
      <x:c r="F693" s="20" t="str">
        <x:v>file</x:v>
      </x:c>
      <x:c r="G693" s="35" t="str">
        <x:v>batch-file-input</x:v>
      </x:c>
      <x:c r="H693" s="35" t="str"/>
      <x:c r="I693" s="20" t="str">
        <x:v>Property Manager</x:v>
      </x:c>
      <x:c r="J693" s="23" t="n">
        <x:v>46624</x:v>
      </x:c>
      <x:c r="K693" s="35" t="str">
        <x:v>valid non-default; boundary/format value; blank/null when optional; invalid value when constrained</x:v>
      </x:c>
      <x:c r="L693" s="35" t="str">
        <x:v>Save succeeds; reload shows the exact normalized value; other client reads it where supported; edit persists; validation rejects invalid input without partial mutation.</x:v>
      </x:c>
    </x:row>
    <x:row r="694">
      <x:c r="A694" s="20" t="str">
        <x:v>FLD-0691</x:v>
      </x:c>
      <x:c r="B694" s="20" t="str">
        <x:v>Web</x:v>
      </x:c>
      <x:c r="C694" s="35" t="str">
        <x:v>/settings</x:v>
      </x:c>
      <x:c r="D694" s="35" t="str">
        <x:v>web/src/routes/(protected)/settings/+page.svelte</x:v>
      </x:c>
      <x:c r="E694" s="32" t="n">
        <x:v>384</x:v>
      </x:c>
      <x:c r="F694" s="20" t="str">
        <x:v>input</x:v>
      </x:c>
      <x:c r="G694" s="35" t="str">
        <x:v>settings-name</x:v>
      </x:c>
      <x:c r="H694" s="35" t="str">
        <x:v>Portfolio Name</x:v>
      </x:c>
      <x:c r="I694" s="20" t="str">
        <x:v>Workspace Administrator</x:v>
      </x:c>
      <x:c r="J694" s="23" t="n">
        <x:v>46624</x:v>
      </x:c>
      <x:c r="K694" s="35" t="str">
        <x:v>valid non-default; boundary/format value; blank/null when optional; invalid value when constrained</x:v>
      </x:c>
      <x:c r="L694" s="35" t="str">
        <x:v>Save succeeds; reload shows the exact normalized value; other client reads it where supported; edit persists; validation rejects invalid input without partial mutation.</x:v>
      </x:c>
    </x:row>
    <x:row r="695">
      <x:c r="A695" s="20" t="str">
        <x:v>FLD-0692</x:v>
      </x:c>
      <x:c r="B695" s="20" t="str">
        <x:v>Web</x:v>
      </x:c>
      <x:c r="C695" s="35" t="str">
        <x:v>/settings</x:v>
      </x:c>
      <x:c r="D695" s="35" t="str">
        <x:v>web/src/routes/(protected)/settings/+page.svelte</x:v>
      </x:c>
      <x:c r="E695" s="32" t="n">
        <x:v>389</x:v>
      </x:c>
      <x:c r="F695" s="20" t="str">
        <x:v>textarea</x:v>
      </x:c>
      <x:c r="G695" s="35" t="str">
        <x:v>settings-description</x:v>
      </x:c>
      <x:c r="H695" s="35" t="str">
        <x:v>Description</x:v>
      </x:c>
      <x:c r="I695" s="20" t="str">
        <x:v>Workspace Administrator</x:v>
      </x:c>
      <x:c r="J695" s="23" t="n">
        <x:v>46625</x:v>
      </x:c>
      <x:c r="K695" s="35" t="str">
        <x:v>valid non-default; boundary/format value; blank/null when optional; invalid value when constrained</x:v>
      </x:c>
      <x:c r="L695" s="35" t="str">
        <x:v>Save succeeds; reload shows the exact normalized value; other client reads it where supported; edit persists; validation rejects invalid input without partial mutation.</x:v>
      </x:c>
    </x:row>
    <x:row r="696">
      <x:c r="A696" s="20" t="str">
        <x:v>FLD-0693</x:v>
      </x:c>
      <x:c r="B696" s="20" t="str">
        <x:v>Web</x:v>
      </x:c>
      <x:c r="C696" s="35" t="str">
        <x:v>/settings</x:v>
      </x:c>
      <x:c r="D696" s="35" t="str">
        <x:v>web/src/routes/(protected)/settings/+page.svelte</x:v>
      </x:c>
      <x:c r="E696" s="32" t="n">
        <x:v>393</x:v>
      </x:c>
      <x:c r="F696" s="20" t="str">
        <x:v>input</x:v>
      </x:c>
      <x:c r="G696" s="35" t="str">
        <x:v>settings-company</x:v>
      </x:c>
      <x:c r="H696" s="35" t="str">
        <x:v>Management Company</x:v>
      </x:c>
      <x:c r="I696" s="20" t="str">
        <x:v>Workspace Administrator</x:v>
      </x:c>
      <x:c r="J696" s="23" t="n">
        <x:v>46625</x:v>
      </x:c>
      <x:c r="K696" s="35" t="str">
        <x:v>valid non-default; boundary/format value; blank/null when optional; invalid value when constrained</x:v>
      </x:c>
      <x:c r="L696" s="35" t="str">
        <x:v>Save succeeds; reload shows the exact normalized value; other client reads it where supported; edit persists; validation rejects invalid input without partial mutation.</x:v>
      </x:c>
    </x:row>
    <x:row r="697">
      <x:c r="A697" s="20" t="str">
        <x:v>FLD-0694</x:v>
      </x:c>
      <x:c r="B697" s="20" t="str">
        <x:v>Web</x:v>
      </x:c>
      <x:c r="C697" s="35" t="str">
        <x:v>/settings</x:v>
      </x:c>
      <x:c r="D697" s="35" t="str">
        <x:v>web/src/routes/(protected)/settings/+page.svelte</x:v>
      </x:c>
      <x:c r="E697" s="32" t="n">
        <x:v>401</x:v>
      </x:c>
      <x:c r="F697" s="20" t="str">
        <x:v>single</x:v>
      </x:c>
      <x:c r="G697" s="35" t="str">
        <x:v>form.status</x:v>
      </x:c>
      <x:c r="H697" s="35" t="str">
        <x:v>Status</x:v>
      </x:c>
      <x:c r="I697" s="20" t="str">
        <x:v>Workspace Administrator</x:v>
      </x:c>
      <x:c r="J697" s="23" t="n">
        <x:v>46625</x:v>
      </x:c>
      <x:c r="K697" s="35" t="str">
        <x:v>valid non-default; boundary/format value; blank/null when optional; invalid value when constrained</x:v>
      </x:c>
      <x:c r="L697" s="35" t="str">
        <x:v>Save succeeds; reload shows the exact normalized value; other client reads it where supported; edit persists; validation rejects invalid input without partial mutation.</x:v>
      </x:c>
    </x:row>
    <x:row r="698">
      <x:c r="A698" s="20" t="str">
        <x:v>FLD-0695</x:v>
      </x:c>
      <x:c r="B698" s="20" t="str">
        <x:v>Web</x:v>
      </x:c>
      <x:c r="C698" s="35" t="str">
        <x:v>/settings</x:v>
      </x:c>
      <x:c r="D698" s="35" t="str">
        <x:v>web/src/routes/(protected)/settings/+page.svelte</x:v>
      </x:c>
      <x:c r="E698" s="32" t="n">
        <x:v>402</x:v>
      </x:c>
      <x:c r="F698" s="20" t="str">
        <x:v>select</x:v>
      </x:c>
      <x:c r="G698" s="35" t="str">
        <x:v>settings-status</x:v>
      </x:c>
      <x:c r="H698" s="35" t="str">
        <x:v>Status</x:v>
      </x:c>
      <x:c r="I698" s="20" t="str">
        <x:v>Workspace Administrator</x:v>
      </x:c>
      <x:c r="J698" s="23" t="n">
        <x:v>46625</x:v>
      </x:c>
      <x:c r="K698" s="35" t="str">
        <x:v>valid non-default; boundary/format value; blank/null when optional; invalid value when constrained</x:v>
      </x:c>
      <x:c r="L698" s="35" t="str">
        <x:v>Save succeeds; reload shows the exact normalized value; other client reads it where supported; edit persists; validation rejects invalid input without partial mutation.</x:v>
      </x:c>
    </x:row>
    <x:row r="699">
      <x:c r="A699" s="20" t="str">
        <x:v>FLD-0696</x:v>
      </x:c>
      <x:c r="B699" s="20" t="str">
        <x:v>Web</x:v>
      </x:c>
      <x:c r="C699" s="35" t="str">
        <x:v>/settings</x:v>
      </x:c>
      <x:c r="D699" s="35" t="str">
        <x:v>web/src/routes/(protected)/settings/+page.svelte</x:v>
      </x:c>
      <x:c r="E699" s="32" t="n">
        <x:v>405</x:v>
      </x:c>
      <x:c r="F699" s="20" t="str">
        <x:v>select</x:v>
      </x:c>
      <x:c r="G699" s="35" t="str">
        <x:v>Select-6</x:v>
      </x:c>
      <x:c r="H699" s="35" t="str">
        <x:v>Status</x:v>
      </x:c>
      <x:c r="I699" s="20" t="str">
        <x:v>Workspace Administrator</x:v>
      </x:c>
      <x:c r="J699" s="23" t="n">
        <x:v>46626</x:v>
      </x:c>
      <x:c r="K699" s="35" t="str">
        <x:v>valid non-default; boundary/format value; blank/null when optional; invalid value when constrained</x:v>
      </x:c>
      <x:c r="L699" s="35" t="str">
        <x:v>Save succeeds; reload shows the exact normalized value; other client reads it where supported; edit persists; validation rejects invalid input without partial mutation.</x:v>
      </x:c>
    </x:row>
    <x:row r="700">
      <x:c r="A700" s="20" t="str">
        <x:v>FLD-0697</x:v>
      </x:c>
      <x:c r="B700" s="20" t="str">
        <x:v>Web</x:v>
      </x:c>
      <x:c r="C700" s="35" t="str">
        <x:v>/settings</x:v>
      </x:c>
      <x:c r="D700" s="35" t="str">
        <x:v>web/src/routes/(protected)/settings/+page.svelte</x:v>
      </x:c>
      <x:c r="E700" s="32" t="n">
        <x:v>406</x:v>
      </x:c>
      <x:c r="F700" s="20" t="str">
        <x:v>select</x:v>
      </x:c>
      <x:c r="G700" s="35" t="str">
        <x:v>Select-7</x:v>
      </x:c>
      <x:c r="H700" s="35" t="str">
        <x:v>Status</x:v>
      </x:c>
      <x:c r="I700" s="20" t="str">
        <x:v>Workspace Administrator</x:v>
      </x:c>
      <x:c r="J700" s="23" t="n">
        <x:v>46626</x:v>
      </x:c>
      <x:c r="K700" s="35" t="str">
        <x:v>valid non-default; boundary/format value; blank/null when optional; invalid value when constrained</x:v>
      </x:c>
      <x:c r="L700" s="35" t="str">
        <x:v>Save succeeds; reload shows the exact normalized value; other client reads it where supported; edit persists; validation rejects invalid input without partial mutation.</x:v>
      </x:c>
    </x:row>
    <x:row r="701">
      <x:c r="A701" s="20" t="str">
        <x:v>FLD-0698</x:v>
      </x:c>
      <x:c r="B701" s="20" t="str">
        <x:v>Web</x:v>
      </x:c>
      <x:c r="C701" s="35" t="str">
        <x:v>/settings</x:v>
      </x:c>
      <x:c r="D701" s="35" t="str">
        <x:v>web/src/routes/(protected)/settings/+page.svelte</x:v>
      </x:c>
      <x:c r="E701" s="32" t="n">
        <x:v>407</x:v>
      </x:c>
      <x:c r="F701" s="20" t="str">
        <x:v>select</x:v>
      </x:c>
      <x:c r="G701" s="35" t="str">
        <x:v>Select-8</x:v>
      </x:c>
      <x:c r="H701" s="35" t="str">
        <x:v>Status</x:v>
      </x:c>
      <x:c r="I701" s="20" t="str">
        <x:v>Workspace Administrator</x:v>
      </x:c>
      <x:c r="J701" s="23" t="n">
        <x:v>46626</x:v>
      </x:c>
      <x:c r="K701" s="35" t="str">
        <x:v>valid non-default; boundary/format value; blank/null when optional; invalid value when constrained</x:v>
      </x:c>
      <x:c r="L701" s="35" t="str">
        <x:v>Save succeeds; reload shows the exact normalized value; other client reads it where supported; edit persists; validation rejects invalid input without partial mutation.</x:v>
      </x:c>
    </x:row>
    <x:row r="702">
      <x:c r="A702" s="20" t="str">
        <x:v>FLD-0699</x:v>
      </x:c>
      <x:c r="B702" s="20" t="str">
        <x:v>Web</x:v>
      </x:c>
      <x:c r="C702" s="35" t="str">
        <x:v>/settings</x:v>
      </x:c>
      <x:c r="D702" s="35" t="str">
        <x:v>web/src/routes/(protected)/settings/+page.svelte</x:v>
      </x:c>
      <x:c r="E702" s="32" t="n">
        <x:v>408</x:v>
      </x:c>
      <x:c r="F702" s="20" t="str">
        <x:v>select</x:v>
      </x:c>
      <x:c r="G702" s="35" t="str">
        <x:v>Select-9</x:v>
      </x:c>
      <x:c r="H702" s="35" t="str">
        <x:v>Status</x:v>
      </x:c>
      <x:c r="I702" s="20" t="str">
        <x:v>Workspace Administrator</x:v>
      </x:c>
      <x:c r="J702" s="23" t="n">
        <x:v>46626</x:v>
      </x:c>
      <x:c r="K702" s="35" t="str">
        <x:v>valid non-default; boundary/format value; blank/null when optional; invalid value when constrained</x:v>
      </x:c>
      <x:c r="L702" s="35" t="str">
        <x:v>Save succeeds; reload shows the exact normalized value; other client reads it where supported; edit persists; validation rejects invalid input without partial mutation.</x:v>
      </x:c>
    </x:row>
    <x:row r="703">
      <x:c r="A703" s="20" t="str">
        <x:v>FLD-0700</x:v>
      </x:c>
      <x:c r="B703" s="20" t="str">
        <x:v>Web</x:v>
      </x:c>
      <x:c r="C703" s="35" t="str">
        <x:v>/settings</x:v>
      </x:c>
      <x:c r="D703" s="35" t="str">
        <x:v>web/src/routes/(protected)/settings/+page.svelte</x:v>
      </x:c>
      <x:c r="E703" s="32" t="n">
        <x:v>424</x:v>
      </x:c>
      <x:c r="F703" s="20" t="str">
        <x:v>text</x:v>
      </x:c>
      <x:c r="G703" s="35" t="str">
        <x:v>settings-rent-collection-day</x:v>
      </x:c>
      <x:c r="H703" s="35" t="str">
        <x:v>Rent collection day of month</x:v>
      </x:c>
      <x:c r="I703" s="20" t="str">
        <x:v>Workspace Administrator</x:v>
      </x:c>
      <x:c r="J703" s="23" t="n">
        <x:v>46626</x:v>
      </x:c>
      <x:c r="K703" s="35" t="str">
        <x:v>valid non-default; boundary/format value; blank/null when optional; invalid value when constrained</x:v>
      </x:c>
      <x:c r="L703" s="35" t="str">
        <x:v>Save succeeds; reload shows the exact normalized value; other client reads it where supported; edit persists; validation rejects invalid input without partial mutation.</x:v>
      </x:c>
    </x:row>
    <x:row r="704">
      <x:c r="A704" s="20" t="str">
        <x:v>FLD-0701</x:v>
      </x:c>
      <x:c r="B704" s="20" t="str">
        <x:v>Web</x:v>
      </x:c>
      <x:c r="C704" s="35" t="str">
        <x:v>/settings</x:v>
      </x:c>
      <x:c r="D704" s="35" t="str">
        <x:v>web/src/routes/(protected)/settings/+page.svelte</x:v>
      </x:c>
      <x:c r="E704" s="32" t="n">
        <x:v>439</x:v>
      </x:c>
      <x:c r="F704" s="20" t="str">
        <x:v>single</x:v>
      </x:c>
      <x:c r="G704" s="35" t="str">
        <x:v>settingsModel.prorationConvention</x:v>
      </x:c>
      <x:c r="H704" s="35" t="str">
        <x:v>Partial-month rent</x:v>
      </x:c>
      <x:c r="I704" s="20" t="str">
        <x:v>Workspace Administrator</x:v>
      </x:c>
      <x:c r="J704" s="23" t="n">
        <x:v>46629</x:v>
      </x:c>
      <x:c r="K704" s="35" t="str">
        <x:v>valid non-default; boundary/format value; blank/null when optional; invalid value when constrained</x:v>
      </x:c>
      <x:c r="L704" s="35" t="str">
        <x:v>Save succeeds; reload shows the exact normalized value; other client reads it where supported; edit persists; validation rejects invalid input without partial mutation.</x:v>
      </x:c>
    </x:row>
    <x:row r="705">
      <x:c r="A705" s="20" t="str">
        <x:v>FLD-0702</x:v>
      </x:c>
      <x:c r="B705" s="20" t="str">
        <x:v>Web</x:v>
      </x:c>
      <x:c r="C705" s="35" t="str">
        <x:v>/settings</x:v>
      </x:c>
      <x:c r="D705" s="35" t="str">
        <x:v>web/src/routes/(protected)/settings/+page.svelte</x:v>
      </x:c>
      <x:c r="E705" s="32" t="n">
        <x:v>440</x:v>
      </x:c>
      <x:c r="F705" s="20" t="str">
        <x:v>select</x:v>
      </x:c>
      <x:c r="G705" s="35" t="str">
        <x:v>settings-proration-convention</x:v>
      </x:c>
      <x:c r="H705" s="35" t="str">
        <x:v>Partial-month rent</x:v>
      </x:c>
      <x:c r="I705" s="20" t="str">
        <x:v>Workspace Administrator</x:v>
      </x:c>
      <x:c r="J705" s="23" t="n">
        <x:v>46629</x:v>
      </x:c>
      <x:c r="K705" s="35" t="str">
        <x:v>valid non-default; boundary/format value; blank/null when optional; invalid value when constrained</x:v>
      </x:c>
      <x:c r="L705" s="35" t="str">
        <x:v>Save succeeds; reload shows the exact normalized value; other client reads it where supported; edit persists; validation rejects invalid input without partial mutation.</x:v>
      </x:c>
    </x:row>
    <x:row r="706">
      <x:c r="A706" s="20" t="str">
        <x:v>FLD-0703</x:v>
      </x:c>
      <x:c r="B706" s="20" t="str">
        <x:v>Web</x:v>
      </x:c>
      <x:c r="C706" s="35" t="str">
        <x:v>/settings</x:v>
      </x:c>
      <x:c r="D706" s="35" t="str">
        <x:v>web/src/routes/(protected)/settings/+page.svelte</x:v>
      </x:c>
      <x:c r="E706" s="32" t="n">
        <x:v>447</x:v>
      </x:c>
      <x:c r="F706" s="20" t="str">
        <x:v>select</x:v>
      </x:c>
      <x:c r="G706" s="35" t="str">
        <x:v>Select-13</x:v>
      </x:c>
      <x:c r="H706" s="35" t="str"/>
      <x:c r="I706" s="20" t="str">
        <x:v>Workspace Administrator</x:v>
      </x:c>
      <x:c r="J706" s="23" t="n">
        <x:v>46629</x:v>
      </x:c>
      <x:c r="K706" s="35" t="str">
        <x:v>valid non-default; boundary/format value; blank/null when optional; invalid value when constrained</x:v>
      </x:c>
      <x:c r="L706" s="35" t="str">
        <x:v>Save succeeds; reload shows the exact normalized value; other client reads it where supported; edit persists; validation rejects invalid input without partial mutation.</x:v>
      </x:c>
    </x:row>
    <x:row r="707">
      <x:c r="A707" s="20" t="str">
        <x:v>FLD-0704</x:v>
      </x:c>
      <x:c r="B707" s="20" t="str">
        <x:v>Web</x:v>
      </x:c>
      <x:c r="C707" s="35" t="str">
        <x:v>/settings</x:v>
      </x:c>
      <x:c r="D707" s="35" t="str">
        <x:v>web/src/routes/(protected)/settings/+page.svelte</x:v>
      </x:c>
      <x:c r="E707" s="32" t="n">
        <x:v>448</x:v>
      </x:c>
      <x:c r="F707" s="20" t="str">
        <x:v>select</x:v>
      </x:c>
      <x:c r="G707" s="35" t="str">
        <x:v>Select-14</x:v>
      </x:c>
      <x:c r="H707" s="35" t="str"/>
      <x:c r="I707" s="20" t="str">
        <x:v>Workspace Administrator</x:v>
      </x:c>
      <x:c r="J707" s="23" t="n">
        <x:v>46629</x:v>
      </x:c>
      <x:c r="K707" s="35" t="str">
        <x:v>valid non-default; boundary/format value; blank/null when optional; invalid value when constrained</x:v>
      </x:c>
      <x:c r="L707" s="35" t="str">
        <x:v>Save succeeds; reload shows the exact normalized value; other client reads it where supported; edit persists; validation rejects invalid input without partial mutation.</x:v>
      </x:c>
    </x:row>
    <x:row r="708">
      <x:c r="A708" s="20" t="str">
        <x:v>FLD-0705</x:v>
      </x:c>
      <x:c r="B708" s="20" t="str">
        <x:v>Web</x:v>
      </x:c>
      <x:c r="C708" s="35" t="str">
        <x:v>/settings</x:v>
      </x:c>
      <x:c r="D708" s="35" t="str">
        <x:v>web/src/routes/(protected)/settings/+page.svelte</x:v>
      </x:c>
      <x:c r="E708" s="32" t="n">
        <x:v>451</x:v>
      </x:c>
      <x:c r="F708" s="20" t="str">
        <x:v>select</x:v>
      </x:c>
      <x:c r="G708" s="35" t="str">
        <x:v>Select-15</x:v>
      </x:c>
      <x:c r="H708" s="35" t="str"/>
      <x:c r="I708" s="20" t="str">
        <x:v>Workspace Administrator</x:v>
      </x:c>
      <x:c r="J708" s="23" t="n">
        <x:v>46630</x:v>
      </x:c>
      <x:c r="K708" s="35" t="str">
        <x:v>valid non-default; boundary/format value; blank/null when optional; invalid value when constrained</x:v>
      </x:c>
      <x:c r="L708" s="35" t="str">
        <x:v>Save succeeds; reload shows the exact normalized value; other client reads it where supported; edit persists; validation rejects invalid input without partial mutation.</x:v>
      </x:c>
    </x:row>
    <x:row r="709">
      <x:c r="A709" s="20" t="str">
        <x:v>FLD-0706</x:v>
      </x:c>
      <x:c r="B709" s="20" t="str">
        <x:v>Web</x:v>
      </x:c>
      <x:c r="C709" s="35" t="str">
        <x:v>/settings</x:v>
      </x:c>
      <x:c r="D709" s="35" t="str">
        <x:v>web/src/routes/(protected)/settings/+page.svelte</x:v>
      </x:c>
      <x:c r="E709" s="32" t="n">
        <x:v>494</x:v>
      </x:c>
      <x:c r="F709" s="20" t="str">
        <x:v>input</x:v>
      </x:c>
      <x:c r="G709" s="35" t="str">
        <x:v>`settings-advanced-key-${row.id</x:v>
      </x:c>
      <x:c r="H709" s="35" t="str">
        <x:v>Setting name</x:v>
      </x:c>
      <x:c r="I709" s="20" t="str">
        <x:v>Workspace Administrator</x:v>
      </x:c>
      <x:c r="J709" s="23" t="n">
        <x:v>46630</x:v>
      </x:c>
      <x:c r="K709" s="35" t="str">
        <x:v>valid non-default; boundary/format value; blank/null when optional; invalid value when constrained</x:v>
      </x:c>
      <x:c r="L709" s="35" t="str">
        <x:v>Save succeeds; reload shows the exact normalized value; other client reads it where supported; edit persists; validation rejects invalid input without partial mutation.</x:v>
      </x:c>
    </x:row>
    <x:row r="710">
      <x:c r="A710" s="20" t="str">
        <x:v>FLD-0707</x:v>
      </x:c>
      <x:c r="B710" s="20" t="str">
        <x:v>Web</x:v>
      </x:c>
      <x:c r="C710" s="35" t="str">
        <x:v>/settings</x:v>
      </x:c>
      <x:c r="D710" s="35" t="str">
        <x:v>web/src/routes/(protected)/settings/+page.svelte</x:v>
      </x:c>
      <x:c r="E710" s="32" t="n">
        <x:v>504</x:v>
      </x:c>
      <x:c r="F710" s="20" t="str">
        <x:v>input</x:v>
      </x:c>
      <x:c r="G710" s="35" t="str">
        <x:v>`settings-advanced-value-${row.id</x:v>
      </x:c>
      <x:c r="H710" s="35" t="str">
        <x:v>Value</x:v>
      </x:c>
      <x:c r="I710" s="20" t="str">
        <x:v>Workspace Administrator</x:v>
      </x:c>
      <x:c r="J710" s="23" t="n">
        <x:v>46630</x:v>
      </x:c>
      <x:c r="K710" s="35" t="str">
        <x:v>valid non-default; boundary/format value; blank/null when optional; invalid value when constrained</x:v>
      </x:c>
      <x:c r="L710" s="35" t="str">
        <x:v>Save succeeds; reload shows the exact normalized value; other client reads it where supported; edit persists; validation rejects invalid input without partial mutation.</x:v>
      </x:c>
    </x:row>
    <x:row r="711">
      <x:c r="A711" s="20" t="str">
        <x:v>FLD-0708</x:v>
      </x:c>
      <x:c r="B711" s="20" t="str">
        <x:v>Web</x:v>
      </x:c>
      <x:c r="C711" s="35" t="str">
        <x:v>/settings</x:v>
      </x:c>
      <x:c r="D711" s="35" t="str">
        <x:v>web/src/routes/(protected)/settings/+page.svelte</x:v>
      </x:c>
      <x:c r="E711" s="32" t="n">
        <x:v>602</x:v>
      </x:c>
      <x:c r="F711" s="20" t="str">
        <x:v>input</x:v>
      </x:c>
      <x:c r="G711" s="35" t="str">
        <x:v>broadcast-title</x:v>
      </x:c>
      <x:c r="H711" s="35" t="str">
        <x:v>Title</x:v>
      </x:c>
      <x:c r="I711" s="20" t="str">
        <x:v>Workspace Administrator</x:v>
      </x:c>
      <x:c r="J711" s="23" t="n">
        <x:v>46630</x:v>
      </x:c>
      <x:c r="K711" s="35" t="str">
        <x:v>valid non-default; boundary/format value; blank/null when optional; invalid value when constrained</x:v>
      </x:c>
      <x:c r="L711" s="35" t="str">
        <x:v>Save succeeds; reload shows the exact normalized value; other client reads it where supported; edit persists; validation rejects invalid input without partial mutation.</x:v>
      </x:c>
    </x:row>
    <x:row r="712">
      <x:c r="A712" s="20" t="str">
        <x:v>FLD-0709</x:v>
      </x:c>
      <x:c r="B712" s="20" t="str">
        <x:v>Web</x:v>
      </x:c>
      <x:c r="C712" s="35" t="str">
        <x:v>/settings</x:v>
      </x:c>
      <x:c r="D712" s="35" t="str">
        <x:v>web/src/routes/(protected)/settings/+page.svelte</x:v>
      </x:c>
      <x:c r="E712" s="32" t="n">
        <x:v>606</x:v>
      </x:c>
      <x:c r="F712" s="20" t="str">
        <x:v>single</x:v>
      </x:c>
      <x:c r="G712" s="35" t="str">
        <x:v>broadcastForm.severity</x:v>
      </x:c>
      <x:c r="H712" s="35" t="str">
        <x:v>Severity</x:v>
      </x:c>
      <x:c r="I712" s="20" t="str">
        <x:v>Workspace Administrator</x:v>
      </x:c>
      <x:c r="J712" s="23" t="n">
        <x:v>46630</x:v>
      </x:c>
      <x:c r="K712" s="35" t="str">
        <x:v>valid non-default; boundary/format value; blank/null when optional; invalid value when constrained</x:v>
      </x:c>
      <x:c r="L712" s="35" t="str">
        <x:v>Save succeeds; reload shows the exact normalized value; other client reads it where supported; edit persists; validation rejects invalid input without partial mutation.</x:v>
      </x:c>
    </x:row>
    <x:row r="713">
      <x:c r="A713" s="20" t="str">
        <x:v>FLD-0710</x:v>
      </x:c>
      <x:c r="B713" s="20" t="str">
        <x:v>Web</x:v>
      </x:c>
      <x:c r="C713" s="35" t="str">
        <x:v>/settings</x:v>
      </x:c>
      <x:c r="D713" s="35" t="str">
        <x:v>web/src/routes/(protected)/settings/+page.svelte</x:v>
      </x:c>
      <x:c r="E713" s="32" t="n">
        <x:v>607</x:v>
      </x:c>
      <x:c r="F713" s="20" t="str">
        <x:v>select</x:v>
      </x:c>
      <x:c r="G713" s="35" t="str">
        <x:v>broadcast-severity</x:v>
      </x:c>
      <x:c r="H713" s="35" t="str">
        <x:v>Severity</x:v>
      </x:c>
      <x:c r="I713" s="20" t="str">
        <x:v>Workspace Administrator</x:v>
      </x:c>
      <x:c r="J713" s="23" t="n">
        <x:v>46631</x:v>
      </x:c>
      <x:c r="K713" s="35" t="str">
        <x:v>valid non-default; boundary/format value; blank/null when optional; invalid value when constrained</x:v>
      </x:c>
      <x:c r="L713" s="35" t="str">
        <x:v>Save succeeds; reload shows the exact normalized value; other client reads it where supported; edit persists; validation rejects invalid input without partial mutation.</x:v>
      </x:c>
    </x:row>
    <x:row r="714">
      <x:c r="A714" s="20" t="str">
        <x:v>FLD-0711</x:v>
      </x:c>
      <x:c r="B714" s="20" t="str">
        <x:v>Web</x:v>
      </x:c>
      <x:c r="C714" s="35" t="str">
        <x:v>/settings</x:v>
      </x:c>
      <x:c r="D714" s="35" t="str">
        <x:v>web/src/routes/(protected)/settings/+page.svelte</x:v>
      </x:c>
      <x:c r="E714" s="32" t="n">
        <x:v>608</x:v>
      </x:c>
      <x:c r="F714" s="20" t="str">
        <x:v>select</x:v>
      </x:c>
      <x:c r="G714" s="35" t="str">
        <x:v>Select-21</x:v>
      </x:c>
      <x:c r="H714" s="35" t="str">
        <x:v>Severity</x:v>
      </x:c>
      <x:c r="I714" s="20" t="str">
        <x:v>Workspace Administrator</x:v>
      </x:c>
      <x:c r="J714" s="23" t="n">
        <x:v>46631</x:v>
      </x:c>
      <x:c r="K714" s="35" t="str">
        <x:v>valid non-default; boundary/format value; blank/null when optional; invalid value when constrained</x:v>
      </x:c>
      <x:c r="L714" s="35" t="str">
        <x:v>Save succeeds; reload shows the exact normalized value; other client reads it where supported; edit persists; validation rejects invalid input without partial mutation.</x:v>
      </x:c>
    </x:row>
    <x:row r="715">
      <x:c r="A715" s="20" t="str">
        <x:v>FLD-0712</x:v>
      </x:c>
      <x:c r="B715" s="20" t="str">
        <x:v>Web</x:v>
      </x:c>
      <x:c r="C715" s="35" t="str">
        <x:v>/settings</x:v>
      </x:c>
      <x:c r="D715" s="35" t="str">
        <x:v>web/src/routes/(protected)/settings/+page.svelte</x:v>
      </x:c>
      <x:c r="E715" s="32" t="n">
        <x:v>609</x:v>
      </x:c>
      <x:c r="F715" s="20" t="str">
        <x:v>select</x:v>
      </x:c>
      <x:c r="G715" s="35" t="str">
        <x:v>Select-22</x:v>
      </x:c>
      <x:c r="H715" s="35" t="str">
        <x:v>Severity</x:v>
      </x:c>
      <x:c r="I715" s="20" t="str">
        <x:v>Workspace Administrator</x:v>
      </x:c>
      <x:c r="J715" s="23" t="n">
        <x:v>46631</x:v>
      </x:c>
      <x:c r="K715" s="35" t="str">
        <x:v>valid non-default; boundary/format value; blank/null when optional; invalid value when constrained</x:v>
      </x:c>
      <x:c r="L715" s="35" t="str">
        <x:v>Save succeeds; reload shows the exact normalized value; other client reads it where supported; edit persists; validation rejects invalid input without partial mutation.</x:v>
      </x:c>
    </x:row>
    <x:row r="716">
      <x:c r="A716" s="20" t="str">
        <x:v>FLD-0713</x:v>
      </x:c>
      <x:c r="B716" s="20" t="str">
        <x:v>Web</x:v>
      </x:c>
      <x:c r="C716" s="35" t="str">
        <x:v>/settings</x:v>
      </x:c>
      <x:c r="D716" s="35" t="str">
        <x:v>web/src/routes/(protected)/settings/+page.svelte</x:v>
      </x:c>
      <x:c r="E716" s="32" t="n">
        <x:v>610</x:v>
      </x:c>
      <x:c r="F716" s="20" t="str">
        <x:v>select</x:v>
      </x:c>
      <x:c r="G716" s="35" t="str">
        <x:v>Select-23</x:v>
      </x:c>
      <x:c r="H716" s="35" t="str">
        <x:v>Severity</x:v>
      </x:c>
      <x:c r="I716" s="20" t="str">
        <x:v>Workspace Administrator</x:v>
      </x:c>
      <x:c r="J716" s="23" t="n">
        <x:v>46631</x:v>
      </x:c>
      <x:c r="K716" s="35" t="str">
        <x:v>valid non-default; boundary/format value; blank/null when optional; invalid value when constrained</x:v>
      </x:c>
      <x:c r="L716" s="35" t="str">
        <x:v>Save succeeds; reload shows the exact normalized value; other client reads it where supported; edit persists; validation rejects invalid input without partial mutation.</x:v>
      </x:c>
    </x:row>
    <x:row r="717">
      <x:c r="A717" s="20" t="str">
        <x:v>FLD-0714</x:v>
      </x:c>
      <x:c r="B717" s="20" t="str">
        <x:v>Web</x:v>
      </x:c>
      <x:c r="C717" s="35" t="str">
        <x:v>/settings</x:v>
      </x:c>
      <x:c r="D717" s="35" t="str">
        <x:v>web/src/routes/(protected)/settings/+page.svelte</x:v>
      </x:c>
      <x:c r="E717" s="32" t="n">
        <x:v>611</x:v>
      </x:c>
      <x:c r="F717" s="20" t="str">
        <x:v>select</x:v>
      </x:c>
      <x:c r="G717" s="35" t="str">
        <x:v>Select-24</x:v>
      </x:c>
      <x:c r="H717" s="35" t="str">
        <x:v>Severity</x:v>
      </x:c>
      <x:c r="I717" s="20" t="str">
        <x:v>Workspace Administrator</x:v>
      </x:c>
      <x:c r="J717" s="23" t="n">
        <x:v>46632</x:v>
      </x:c>
      <x:c r="K717" s="35" t="str">
        <x:v>valid non-default; boundary/format value; blank/null when optional; invalid value when constrained</x:v>
      </x:c>
      <x:c r="L717" s="35" t="str">
        <x:v>Save succeeds; reload shows the exact normalized value; other client reads it where supported; edit persists; validation rejects invalid input without partial mutation.</x:v>
      </x:c>
    </x:row>
    <x:row r="718">
      <x:c r="A718" s="20" t="str">
        <x:v>FLD-0715</x:v>
      </x:c>
      <x:c r="B718" s="20" t="str">
        <x:v>Web</x:v>
      </x:c>
      <x:c r="C718" s="35" t="str">
        <x:v>/settings</x:v>
      </x:c>
      <x:c r="D718" s="35" t="str">
        <x:v>web/src/routes/(protected)/settings/+page.svelte</x:v>
      </x:c>
      <x:c r="E718" s="32" t="n">
        <x:v>617</x:v>
      </x:c>
      <x:c r="F718" s="20" t="str">
        <x:v>textarea</x:v>
      </x:c>
      <x:c r="G718" s="35" t="str">
        <x:v>broadcast-message</x:v>
      </x:c>
      <x:c r="H718" s="35" t="str">
        <x:v>Message</x:v>
      </x:c>
      <x:c r="I718" s="20" t="str">
        <x:v>Workspace Administrator</x:v>
      </x:c>
      <x:c r="J718" s="23" t="n">
        <x:v>46632</x:v>
      </x:c>
      <x:c r="K718" s="35" t="str">
        <x:v>valid non-default; boundary/format value; blank/null when optional; invalid value when constrained</x:v>
      </x:c>
      <x:c r="L718" s="35" t="str">
        <x:v>Save succeeds; reload shows the exact normalized value; other client reads it where supported; edit persists; validation rejects invalid input without partial mutation.</x:v>
      </x:c>
    </x:row>
    <x:row r="719">
      <x:c r="A719" s="20" t="str">
        <x:v>FLD-0716</x:v>
      </x:c>
      <x:c r="B719" s="20" t="str">
        <x:v>Web</x:v>
      </x:c>
      <x:c r="C719" s="35" t="str">
        <x:v>/settings/accounting</x:v>
      </x:c>
      <x:c r="D719" s="35" t="str">
        <x:v>web/src/routes/(protected)/settings/accounting/+page.svelte</x:v>
      </x:c>
      <x:c r="E719" s="32" t="n">
        <x:v>264</x:v>
      </x:c>
      <x:c r="F719" s="20" t="str">
        <x:v>hidden</x:v>
      </x:c>
      <x:c r="G719" s="35" t="str">
        <x:v>provider</x:v>
      </x:c>
      <x:c r="H719" s="35" t="str"/>
      <x:c r="I719" s="20" t="str">
        <x:v>Workspace Administrator</x:v>
      </x:c>
      <x:c r="J719" s="23" t="n">
        <x:v>46632</x:v>
      </x:c>
      <x:c r="K719" s="35" t="str">
        <x:v>valid non-default; boundary/format value; blank/null when optional; invalid value when constrained</x:v>
      </x:c>
      <x:c r="L719" s="35" t="str">
        <x:v>Save succeeds; reload shows the exact normalized value; other client reads it where supported; edit persists; validation rejects invalid input without partial mutation.</x:v>
      </x:c>
    </x:row>
    <x:row r="720">
      <x:c r="A720" s="20" t="str">
        <x:v>FLD-0717</x:v>
      </x:c>
      <x:c r="B720" s="20" t="str">
        <x:v>Web</x:v>
      </x:c>
      <x:c r="C720" s="35" t="str">
        <x:v>/settings/accounting</x:v>
      </x:c>
      <x:c r="D720" s="35" t="str">
        <x:v>web/src/routes/(protected)/settings/accounting/+page.svelte</x:v>
      </x:c>
      <x:c r="E720" s="32" t="n">
        <x:v>265</x:v>
      </x:c>
      <x:c r="F720" s="20" t="str">
        <x:v>hidden</x:v>
      </x:c>
      <x:c r="G720" s="35" t="str">
        <x:v>operationKey</x:v>
      </x:c>
      <x:c r="H720" s="35" t="str"/>
      <x:c r="I720" s="20" t="str">
        <x:v>Workspace Administrator</x:v>
      </x:c>
      <x:c r="J720" s="23" t="n">
        <x:v>46632</x:v>
      </x:c>
      <x:c r="K720" s="35" t="str">
        <x:v>valid non-default; boundary/format value; blank/null when optional; invalid value when constrained</x:v>
      </x:c>
      <x:c r="L720" s="35" t="str">
        <x:v>Save succeeds; reload shows the exact normalized value; other client reads it where supported; edit persists; validation rejects invalid input without partial mutation.</x:v>
      </x:c>
    </x:row>
    <x:row r="721">
      <x:c r="A721" s="20" t="str">
        <x:v>FLD-0718</x:v>
      </x:c>
      <x:c r="B721" s="20" t="str">
        <x:v>Web</x:v>
      </x:c>
      <x:c r="C721" s="35" t="str">
        <x:v>/settings/accounting</x:v>
      </x:c>
      <x:c r="D721" s="35" t="str">
        <x:v>web/src/routes/(protected)/settings/accounting/+page.svelte</x:v>
      </x:c>
      <x:c r="E721" s="32" t="n">
        <x:v>372</x:v>
      </x:c>
      <x:c r="F721" s="20" t="str">
        <x:v>hidden</x:v>
      </x:c>
      <x:c r="G721" s="35" t="str">
        <x:v>pullEnabled</x:v>
      </x:c>
      <x:c r="H721" s="35" t="str"/>
      <x:c r="I721" s="20" t="str">
        <x:v>Workspace Administrator</x:v>
      </x:c>
      <x:c r="J721" s="23" t="n">
        <x:v>46633</x:v>
      </x:c>
      <x:c r="K721" s="35" t="str">
        <x:v>valid non-default; boundary/format value; blank/null when optional; invalid value when constrained</x:v>
      </x:c>
      <x:c r="L721" s="35" t="str">
        <x:v>Save succeeds; reload shows the exact normalized value; other client reads it where supported; edit persists; validation rejects invalid input without partial mutation.</x:v>
      </x:c>
    </x:row>
    <x:row r="722">
      <x:c r="A722" s="20" t="str">
        <x:v>FLD-0719</x:v>
      </x:c>
      <x:c r="B722" s="20" t="str">
        <x:v>Web</x:v>
      </x:c>
      <x:c r="C722" s="35" t="str">
        <x:v>/settings/accounting</x:v>
      </x:c>
      <x:c r="D722" s="35" t="str">
        <x:v>web/src/routes/(protected)/settings/accounting/+page.svelte</x:v>
      </x:c>
      <x:c r="E722" s="32" t="n">
        <x:v>373</x:v>
      </x:c>
      <x:c r="F722" s="20" t="str">
        <x:v>hidden</x:v>
      </x:c>
      <x:c r="G722" s="35" t="str">
        <x:v>pushEnabled</x:v>
      </x:c>
      <x:c r="H722" s="35" t="str"/>
      <x:c r="I722" s="20" t="str">
        <x:v>Workspace Administrator</x:v>
      </x:c>
      <x:c r="J722" s="23" t="n">
        <x:v>46633</x:v>
      </x:c>
      <x:c r="K722" s="35" t="str">
        <x:v>valid non-default; boundary/format value; blank/null when optional; invalid value when constrained</x:v>
      </x:c>
      <x:c r="L722" s="35" t="str">
        <x:v>Save succeeds; reload shows the exact normalized value; other client reads it where supported; edit persists; validation rejects invalid input without partial mutation.</x:v>
      </x:c>
    </x:row>
    <x:row r="723">
      <x:c r="A723" s="20" t="str">
        <x:v>FLD-0720</x:v>
      </x:c>
      <x:c r="B723" s="20" t="str">
        <x:v>Web</x:v>
      </x:c>
      <x:c r="C723" s="35" t="str">
        <x:v>/settings/accounting</x:v>
      </x:c>
      <x:c r="D723" s="35" t="str">
        <x:v>web/src/routes/(protected)/settings/accounting/+page.svelte</x:v>
      </x:c>
      <x:c r="E723" s="32" t="n">
        <x:v>456</x:v>
      </x:c>
      <x:c r="F723" s="20" t="str">
        <x:v>hidden</x:v>
      </x:c>
      <x:c r="G723" s="35" t="str">
        <x:v>fromDate</x:v>
      </x:c>
      <x:c r="H723" s="35" t="str"/>
      <x:c r="I723" s="20" t="str">
        <x:v>Workspace Administrator</x:v>
      </x:c>
      <x:c r="J723" s="23" t="n">
        <x:v>46633</x:v>
      </x:c>
      <x:c r="K723" s="35" t="str">
        <x:v>valid non-default; boundary/format value; blank/null when optional; invalid value when constrained</x:v>
      </x:c>
      <x:c r="L723" s="35" t="str">
        <x:v>Save succeeds; reload shows the exact normalized value; other client reads it where supported; edit persists; validation rejects invalid input without partial mutation.</x:v>
      </x:c>
    </x:row>
    <x:row r="724">
      <x:c r="A724" s="20" t="str">
        <x:v>FLD-0721</x:v>
      </x:c>
      <x:c r="B724" s="20" t="str">
        <x:v>Web</x:v>
      </x:c>
      <x:c r="C724" s="35" t="str">
        <x:v>/settings/accounting</x:v>
      </x:c>
      <x:c r="D724" s="35" t="str">
        <x:v>web/src/routes/(protected)/settings/accounting/+page.svelte</x:v>
      </x:c>
      <x:c r="E724" s="32" t="n">
        <x:v>457</x:v>
      </x:c>
      <x:c r="F724" s="20" t="str">
        <x:v>hidden</x:v>
      </x:c>
      <x:c r="G724" s="35" t="str">
        <x:v>toDate</x:v>
      </x:c>
      <x:c r="H724" s="35" t="str"/>
      <x:c r="I724" s="20" t="str">
        <x:v>Workspace Administrator</x:v>
      </x:c>
      <x:c r="J724" s="23" t="n">
        <x:v>46633</x:v>
      </x:c>
      <x:c r="K724" s="35" t="str">
        <x:v>valid non-default; boundary/format value; blank/null when optional; invalid value when constrained</x:v>
      </x:c>
      <x:c r="L724" s="35" t="str">
        <x:v>Save succeeds; reload shows the exact normalized value; other client reads it where supported; edit persists; validation rejects invalid input without partial mutation.</x:v>
      </x:c>
    </x:row>
    <x:row r="725">
      <x:c r="A725" s="20" t="str">
        <x:v>FLD-0722</x:v>
      </x:c>
      <x:c r="B725" s="20" t="str">
        <x:v>Web</x:v>
      </x:c>
      <x:c r="C725" s="35" t="str">
        <x:v>/settings/accounting</x:v>
      </x:c>
      <x:c r="D725" s="35" t="str">
        <x:v>web/src/routes/(protected)/settings/accounting/+page.svelte</x:v>
      </x:c>
      <x:c r="E725" s="32" t="n">
        <x:v>535</x:v>
      </x:c>
      <x:c r="F725" s="20" t="str">
        <x:v>hidden</x:v>
      </x:c>
      <x:c r="G725" s="35" t="str">
        <x:v>externalType</x:v>
      </x:c>
      <x:c r="H725" s="35" t="str"/>
      <x:c r="I725" s="20" t="str">
        <x:v>Workspace Administrator</x:v>
      </x:c>
      <x:c r="J725" s="23" t="n">
        <x:v>46633</x:v>
      </x:c>
      <x:c r="K725" s="35" t="str">
        <x:v>valid non-default; boundary/format value; blank/null when optional; invalid value when constrained</x:v>
      </x:c>
      <x:c r="L725" s="35" t="str">
        <x:v>Save succeeds; reload shows the exact normalized value; other client reads it where supported; edit persists; validation rejects invalid input without partial mutation.</x:v>
      </x:c>
    </x:row>
    <x:row r="726">
      <x:c r="A726" s="20" t="str">
        <x:v>FLD-0723</x:v>
      </x:c>
      <x:c r="B726" s="20" t="str">
        <x:v>Web</x:v>
      </x:c>
      <x:c r="C726" s="35" t="str">
        <x:v>/settings/accounting</x:v>
      </x:c>
      <x:c r="D726" s="35" t="str">
        <x:v>web/src/routes/(protected)/settings/accounting/+page.svelte</x:v>
      </x:c>
      <x:c r="E726" s="32" t="n">
        <x:v>536</x:v>
      </x:c>
      <x:c r="F726" s="20" t="str">
        <x:v>hidden</x:v>
      </x:c>
      <x:c r="G726" s="35" t="str">
        <x:v>externalId</x:v>
      </x:c>
      <x:c r="H726" s="35" t="str"/>
      <x:c r="I726" s="20" t="str">
        <x:v>Workspace Administrator</x:v>
      </x:c>
      <x:c r="J726" s="23" t="n">
        <x:v>46636</x:v>
      </x:c>
      <x:c r="K726" s="35" t="str">
        <x:v>valid non-default; boundary/format value; blank/null when optional; invalid value when constrained</x:v>
      </x:c>
      <x:c r="L726" s="35" t="str">
        <x:v>Save succeeds; reload shows the exact normalized value; other client reads it where supported; edit persists; validation rejects invalid input without partial mutation.</x:v>
      </x:c>
    </x:row>
    <x:row r="727">
      <x:c r="A727" s="20" t="str">
        <x:v>FLD-0724</x:v>
      </x:c>
      <x:c r="B727" s="20" t="str">
        <x:v>Web</x:v>
      </x:c>
      <x:c r="C727" s="35" t="str">
        <x:v>/settings/accounting</x:v>
      </x:c>
      <x:c r="D727" s="35" t="str">
        <x:v>web/src/routes/(protected)/settings/accounting/+page.svelte</x:v>
      </x:c>
      <x:c r="E727" s="32" t="n">
        <x:v>537</x:v>
      </x:c>
      <x:c r="F727" s="20" t="str">
        <x:v>hidden</x:v>
      </x:c>
      <x:c r="G727" s="35" t="str">
        <x:v>externalDisplayName</x:v>
      </x:c>
      <x:c r="H727" s="35" t="str"/>
      <x:c r="I727" s="20" t="str">
        <x:v>Workspace Administrator</x:v>
      </x:c>
      <x:c r="J727" s="23" t="n">
        <x:v>46636</x:v>
      </x:c>
      <x:c r="K727" s="35" t="str">
        <x:v>valid non-default; boundary/format value; blank/null when optional; invalid value when constrained</x:v>
      </x:c>
      <x:c r="L727" s="35" t="str">
        <x:v>Save succeeds; reload shows the exact normalized value; other client reads it where supported; edit persists; validation rejects invalid input without partial mutation.</x:v>
      </x:c>
    </x:row>
    <x:row r="728">
      <x:c r="A728" s="20" t="str">
        <x:v>FLD-0725</x:v>
      </x:c>
      <x:c r="B728" s="20" t="str">
        <x:v>Web</x:v>
      </x:c>
      <x:c r="C728" s="35" t="str">
        <x:v>/settings/accounting</x:v>
      </x:c>
      <x:c r="D728" s="35" t="str">
        <x:v>web/src/routes/(protected)/settings/accounting/+page.svelte</x:v>
      </x:c>
      <x:c r="E728" s="32" t="n">
        <x:v>538</x:v>
      </x:c>
      <x:c r="F728" s="20" t="str">
        <x:v>hidden</x:v>
      </x:c>
      <x:c r="G728" s="35" t="str">
        <x:v>localEntityType</x:v>
      </x:c>
      <x:c r="H728" s="35" t="str"/>
      <x:c r="I728" s="20" t="str">
        <x:v>Workspace Administrator</x:v>
      </x:c>
      <x:c r="J728" s="23" t="n">
        <x:v>46636</x:v>
      </x:c>
      <x:c r="K728" s="35" t="str">
        <x:v>valid non-default; boundary/format value; blank/null when optional; invalid value when constrained</x:v>
      </x:c>
      <x:c r="L728" s="35" t="str">
        <x:v>Save succeeds; reload shows the exact normalized value; other client reads it where supported; edit persists; validation rejects invalid input without partial mutation.</x:v>
      </x:c>
    </x:row>
    <x:row r="729">
      <x:c r="A729" s="20" t="str">
        <x:v>FLD-0726</x:v>
      </x:c>
      <x:c r="B729" s="20" t="str">
        <x:v>Web</x:v>
      </x:c>
      <x:c r="C729" s="35" t="str">
        <x:v>/settings/accounting</x:v>
      </x:c>
      <x:c r="D729" s="35" t="str">
        <x:v>web/src/routes/(protected)/settings/accounting/+page.svelte</x:v>
      </x:c>
      <x:c r="E729" s="32" t="n">
        <x:v>540</x:v>
      </x:c>
      <x:c r="F729" s="20" t="str">
        <x:v>hidden</x:v>
      </x:c>
      <x:c r="G729" s="35" t="str">
        <x:v>localEntityId</x:v>
      </x:c>
      <x:c r="H729" s="35" t="str"/>
      <x:c r="I729" s="20" t="str">
        <x:v>Workspace Administrator</x:v>
      </x:c>
      <x:c r="J729" s="23" t="n">
        <x:v>46636</x:v>
      </x:c>
      <x:c r="K729" s="35" t="str">
        <x:v>valid non-default; boundary/format value; blank/null when optional; invalid value when constrained</x:v>
      </x:c>
      <x:c r="L729" s="35" t="str">
        <x:v>Save succeeds; reload shows the exact normalized value; other client reads it where supported; edit persists; validation rejects invalid input without partial mutation.</x:v>
      </x:c>
    </x:row>
    <x:row r="730">
      <x:c r="A730" s="20" t="str">
        <x:v>FLD-0727</x:v>
      </x:c>
      <x:c r="B730" s="20" t="str">
        <x:v>Web</x:v>
      </x:c>
      <x:c r="C730" s="35" t="str">
        <x:v>/settings/accounting</x:v>
      </x:c>
      <x:c r="D730" s="35" t="str">
        <x:v>web/src/routes/(protected)/settings/accounting/+page.svelte</x:v>
      </x:c>
      <x:c r="E730" s="32" t="n">
        <x:v>543</x:v>
      </x:c>
      <x:c r="F730" s="20" t="str">
        <x:v>hidden</x:v>
      </x:c>
      <x:c r="G730" s="35" t="str">
        <x:v>localEnumValue</x:v>
      </x:c>
      <x:c r="H730" s="35" t="str"/>
      <x:c r="I730" s="20" t="str">
        <x:v>Workspace Administrator</x:v>
      </x:c>
      <x:c r="J730" s="23" t="n">
        <x:v>46637</x:v>
      </x:c>
      <x:c r="K730" s="35" t="str">
        <x:v>valid non-default; boundary/format value; blank/null when optional; invalid value when constrained</x:v>
      </x:c>
      <x:c r="L730" s="35" t="str">
        <x:v>Save succeeds; reload shows the exact normalized value; other client reads it where supported; edit persists; validation rejects invalid input without partial mutation.</x:v>
      </x:c>
    </x:row>
    <x:row r="731">
      <x:c r="A731" s="20" t="str">
        <x:v>FLD-0728</x:v>
      </x:c>
      <x:c r="B731" s="20" t="str">
        <x:v>Web</x:v>
      </x:c>
      <x:c r="C731" s="35" t="str">
        <x:v>/settings/integrations/ai</x:v>
      </x:c>
      <x:c r="D731" s="35" t="str">
        <x:v>web/src/routes/(protected)/settings/integrations/ai/+page.svelte</x:v>
      </x:c>
      <x:c r="E731" s="32" t="n">
        <x:v>123</x:v>
      </x:c>
      <x:c r="F731" s="20" t="str">
        <x:v>select</x:v>
      </x:c>
      <x:c r="G731" s="35" t="str">
        <x:v>select-1</x:v>
      </x:c>
      <x:c r="H731" s="35" t="str"/>
      <x:c r="I731" s="20" t="str">
        <x:v>Workspace Administrator</x:v>
      </x:c>
      <x:c r="J731" s="23" t="n">
        <x:v>46637</x:v>
      </x:c>
      <x:c r="K731" s="35" t="str">
        <x:v>valid non-default; boundary/format value; blank/null when optional; invalid value when constrained</x:v>
      </x:c>
      <x:c r="L731" s="35" t="str">
        <x:v>Save succeeds; reload shows the exact normalized value; other client reads it where supported; edit persists; validation rejects invalid input without partial mutation.</x:v>
      </x:c>
    </x:row>
    <x:row r="732">
      <x:c r="A732" s="20" t="str">
        <x:v>FLD-0729</x:v>
      </x:c>
      <x:c r="B732" s="20" t="str">
        <x:v>Web</x:v>
      </x:c>
      <x:c r="C732" s="35" t="str">
        <x:v>/settings/integrations/ai</x:v>
      </x:c>
      <x:c r="D732" s="35" t="str">
        <x:v>web/src/routes/(protected)/settings/integrations/ai/+page.svelte</x:v>
      </x:c>
      <x:c r="E732" s="32" t="n">
        <x:v>135</x:v>
      </x:c>
      <x:c r="F732" s="20" t="str">
        <x:v>input</x:v>
      </x:c>
      <x:c r="G732" s="35" t="str">
        <x:v>modelId</x:v>
      </x:c>
      <x:c r="H732" s="35" t="str">
        <x:v>Provider changedProvider(event.currentTarget.value as AiProvider)} &gt; OpenAI Anthropic</x:v>
      </x:c>
      <x:c r="I732" s="20" t="str">
        <x:v>Workspace Administrator</x:v>
      </x:c>
      <x:c r="J732" s="23" t="n">
        <x:v>46637</x:v>
      </x:c>
      <x:c r="K732" s="35" t="str">
        <x:v>valid non-default; boundary/format value; blank/null when optional; invalid value when constrained</x:v>
      </x:c>
      <x:c r="L732" s="35" t="str">
        <x:v>Save succeeds; reload shows the exact normalized value; other client reads it where supported; edit persists; validation rejects invalid input without partial mutation.</x:v>
      </x:c>
    </x:row>
    <x:row r="733">
      <x:c r="A733" s="20" t="str">
        <x:v>FLD-0730</x:v>
      </x:c>
      <x:c r="B733" s="20" t="str">
        <x:v>Web</x:v>
      </x:c>
      <x:c r="C733" s="35" t="str">
        <x:v>/settings/integrations/ai</x:v>
      </x:c>
      <x:c r="D733" s="35" t="str">
        <x:v>web/src/routes/(protected)/settings/integrations/ai/+page.svelte</x:v>
      </x:c>
      <x:c r="E733" s="32" t="n">
        <x:v>140</x:v>
      </x:c>
      <x:c r="F733" s="20" t="str">
        <x:v>password</x:v>
      </x:c>
      <x:c r="G733" s="35" t="str">
        <x:v>apiKey</x:v>
      </x:c>
      <x:c r="H733" s="35" t="str">
        <x:v>Model (testedSignature = null)} /&gt;</x:v>
      </x:c>
      <x:c r="I733" s="20" t="str">
        <x:v>Workspace Administrator</x:v>
      </x:c>
      <x:c r="J733" s="23" t="n">
        <x:v>46637</x:v>
      </x:c>
      <x:c r="K733" s="35" t="str">
        <x:v>valid non-default; boundary/format value; blank/null when optional; invalid value when constrained</x:v>
      </x:c>
      <x:c r="L733" s="35" t="str">
        <x:v>Save succeeds; reload shows the exact normalized value; other client reads it where supported; edit persists; validation rejects invalid input without partial mutation.</x:v>
      </x:c>
    </x:row>
    <x:row r="734">
      <x:c r="A734" s="20" t="str">
        <x:v>FLD-0731</x:v>
      </x:c>
      <x:c r="B734" s="20" t="str">
        <x:v>Web</x:v>
      </x:c>
      <x:c r="C734" s="35" t="str">
        <x:v>/settings/notifications/team-routing</x:v>
      </x:c>
      <x:c r="D734" s="35" t="str">
        <x:v>web/src/routes/(protected)/settings/notifications/team-routing/+page.svelte</x:v>
      </x:c>
      <x:c r="E734" s="32" t="n">
        <x:v>204</x:v>
      </x:c>
      <x:c r="F734" s="20" t="str">
        <x:v>number</x:v>
      </x:c>
      <x:c r="G734" s="35" t="str">
        <x:v>briefingForm.sendHourLocal</x:v>
      </x:c>
      <x:c r="H734" s="35" t="str">
        <x:v>(briefingForm.enabled = value === true)} /&gt; Send every morning Turn off to pause scheduled briefings.</x:v>
      </x:c>
      <x:c r="I734" s="20" t="str">
        <x:v>Workspace Administrator</x:v>
      </x:c>
      <x:c r="J734" s="23" t="n">
        <x:v>46637</x:v>
      </x:c>
      <x:c r="K734" s="35" t="str">
        <x:v>valid non-default; boundary/format value; blank/null when optional; invalid value when constrained</x:v>
      </x:c>
      <x:c r="L734" s="35" t="str">
        <x:v>Save succeeds; reload shows the exact normalized value; other client reads it where supported; edit persists; validation rejects invalid input without partial mutation.</x:v>
      </x:c>
    </x:row>
    <x:row r="735">
      <x:c r="A735" s="20" t="str">
        <x:v>FLD-0732</x:v>
      </x:c>
      <x:c r="B735" s="20" t="str">
        <x:v>Web</x:v>
      </x:c>
      <x:c r="C735" s="35" t="str">
        <x:v>/settings/notifications/team-routing</x:v>
      </x:c>
      <x:c r="D735" s="35" t="str">
        <x:v>web/src/routes/(protected)/settings/notifications/team-routing/+page.svelte</x:v>
      </x:c>
      <x:c r="E735" s="32" t="n">
        <x:v>248</x:v>
      </x:c>
      <x:c r="F735" s="20" t="str">
        <x:v>input</x:v>
      </x:c>
      <x:c r="G735" s="35" t="str">
        <x:v>recipient.reason</x:v>
      </x:c>
      <x:c r="H735" s="35" t="str">
        <x:v>`Why ${recipient.displayName</x:v>
      </x:c>
      <x:c r="I735" s="20" t="str">
        <x:v>Workspace Administrator</x:v>
      </x:c>
      <x:c r="J735" s="23" t="n">
        <x:v>46638</x:v>
      </x:c>
      <x:c r="K735" s="35" t="str">
        <x:v>valid non-default; boundary/format value; blank/null when optional; invalid value when constrained</x:v>
      </x:c>
      <x:c r="L735" s="35" t="str">
        <x:v>Save succeeds; reload shows the exact normalized value; other client reads it where supported; edit persists; validation rejects invalid input without partial mutation.</x:v>
      </x:c>
    </x:row>
    <x:row r="736">
      <x:c r="A736" s="20" t="str">
        <x:v>FLD-0733</x:v>
      </x:c>
      <x:c r="B736" s="20" t="str">
        <x:v>Web</x:v>
      </x:c>
      <x:c r="C736" s="35" t="str">
        <x:v>/settings/notifications/team-routing</x:v>
      </x:c>
      <x:c r="D736" s="35" t="str">
        <x:v>web/src/routes/(protected)/settings/notifications/team-routing/+page.svelte</x:v>
      </x:c>
      <x:c r="E736" s="32" t="n">
        <x:v>257</x:v>
      </x:c>
      <x:c r="F736" s="20" t="str">
        <x:v>input</x:v>
      </x:c>
      <x:c r="G736" s="35" t="str">
        <x:v>team-routing-search</x:v>
      </x:c>
      <x:c r="H736" s="35" t="str">
        <x:v>Add a team member</x:v>
      </x:c>
      <x:c r="I736" s="20" t="str">
        <x:v>Workspace Administrator</x:v>
      </x:c>
      <x:c r="J736" s="23" t="n">
        <x:v>46638</x:v>
      </x:c>
      <x:c r="K736" s="35" t="str">
        <x:v>valid non-default; boundary/format value; blank/null when optional; invalid value when constrained</x:v>
      </x:c>
      <x:c r="L736" s="35" t="str">
        <x:v>Save succeeds; reload shows the exact normalized value; other client reads it where supported; edit persists; validation rejects invalid input without partial mutation.</x:v>
      </x:c>
    </x:row>
    <x:row r="737">
      <x:c r="A737" s="20" t="str">
        <x:v>FLD-0734</x:v>
      </x:c>
      <x:c r="B737" s="20" t="str">
        <x:v>Web</x:v>
      </x:c>
      <x:c r="C737" s="35" t="str">
        <x:v>/settings/notifications/tenant-notices</x:v>
      </x:c>
      <x:c r="D737" s="35" t="str">
        <x:v>web/src/routes/(protected)/settings/notifications/tenant-notices/+page.svelte</x:v>
      </x:c>
      <x:c r="E737" s="32" t="n">
        <x:v>216</x:v>
      </x:c>
      <x:c r="F737" s="20" t="str">
        <x:v>number</x:v>
      </x:c>
      <x:c r="G737" s="35" t="str">
        <x:v>`notice-lead-${policy.automationKey</x:v>
      </x:c>
      <x:c r="H737" s="35" t="str">
        <x:v>Lead days</x:v>
      </x:c>
      <x:c r="I737" s="20" t="str">
        <x:v>Workspace Administrator</x:v>
      </x:c>
      <x:c r="J737" s="23" t="n">
        <x:v>46638</x:v>
      </x:c>
      <x:c r="K737" s="35" t="str">
        <x:v>valid non-default; boundary/format value; blank/null when optional; invalid value when constrained</x:v>
      </x:c>
      <x:c r="L737" s="35" t="str">
        <x:v>Save succeeds; reload shows the exact normalized value; other client reads it where supported; edit persists; validation rejects invalid input without partial mutation.</x:v>
      </x:c>
    </x:row>
    <x:row r="738">
      <x:c r="A738" s="20" t="str">
        <x:v>FLD-0735</x:v>
      </x:c>
      <x:c r="B738" s="20" t="str">
        <x:v>Web</x:v>
      </x:c>
      <x:c r="C738" s="35" t="str">
        <x:v>/settings/notifications/tenant-notices</x:v>
      </x:c>
      <x:c r="D738" s="35" t="str">
        <x:v>web/src/routes/(protected)/settings/notifications/tenant-notices/+page.svelte</x:v>
      </x:c>
      <x:c r="E738" s="32" t="n">
        <x:v>216</x:v>
      </x:c>
      <x:c r="F738" s="20" t="str">
        <x:v>number</x:v>
      </x:c>
      <x:c r="G738" s="35" t="str">
        <x:v>`notice-hour-${policy.automationKey</x:v>
      </x:c>
      <x:c r="H738" s="35" t="str">
        <x:v>Local send hour</x:v>
      </x:c>
      <x:c r="I738" s="20" t="str">
        <x:v>Workspace Administrator</x:v>
      </x:c>
      <x:c r="J738" s="23" t="n">
        <x:v>46638</x:v>
      </x:c>
      <x:c r="K738" s="35" t="str">
        <x:v>valid non-default; boundary/format value; blank/null when optional; invalid value when constrained</x:v>
      </x:c>
      <x:c r="L738" s="35" t="str">
        <x:v>Save succeeds; reload shows the exact normalized value; other client reads it where supported; edit persists; validation rejects invalid input without partial mutation.</x:v>
      </x:c>
    </x:row>
    <x:row r="739">
      <x:c r="A739" s="20" t="str">
        <x:v>FLD-0736</x:v>
      </x:c>
      <x:c r="B739" s="20" t="str">
        <x:v>Web</x:v>
      </x:c>
      <x:c r="C739" s="35" t="str">
        <x:v>/settings/notifications/tenant-notices</x:v>
      </x:c>
      <x:c r="D739" s="35" t="str">
        <x:v>web/src/routes/(protected)/settings/notifications/tenant-notices/+page.svelte</x:v>
      </x:c>
      <x:c r="E739" s="32" t="n">
        <x:v>222</x:v>
      </x:c>
      <x:c r="F739" s="20" t="str">
        <x:v>single</x:v>
      </x:c>
      <x:c r="G739" s="35" t="str">
        <x:v>Select-3</x:v>
      </x:c>
      <x:c r="H739" s="35" t="str">
        <x:v>If delivery cannot complete</x:v>
      </x:c>
      <x:c r="I739" s="20" t="str">
        <x:v>Workspace Administrator</x:v>
      </x:c>
      <x:c r="J739" s="23" t="n">
        <x:v>46639</x:v>
      </x:c>
      <x:c r="K739" s="35" t="str">
        <x:v>valid non-default; boundary/format value; blank/null when optional; invalid value when constrained</x:v>
      </x:c>
      <x:c r="L739" s="35" t="str">
        <x:v>Save succeeds; reload shows the exact normalized value; other client reads it where supported; edit persists; validation rejects invalid input without partial mutation.</x:v>
      </x:c>
    </x:row>
    <x:row r="740">
      <x:c r="A740" s="20" t="str">
        <x:v>FLD-0737</x:v>
      </x:c>
      <x:c r="B740" s="20" t="str">
        <x:v>Web</x:v>
      </x:c>
      <x:c r="C740" s="35" t="str">
        <x:v>/settings/notifications/tenant-notices</x:v>
      </x:c>
      <x:c r="D740" s="35" t="str">
        <x:v>web/src/routes/(protected)/settings/notifications/tenant-notices/+page.svelte</x:v>
      </x:c>
      <x:c r="E740" s="32" t="n">
        <x:v>222</x:v>
      </x:c>
      <x:c r="F740" s="20" t="str">
        <x:v>select</x:v>
      </x:c>
      <x:c r="G740" s="35" t="str">
        <x:v>`notice-failure-${policy.automationKey</x:v>
      </x:c>
      <x:c r="H740" s="35" t="str">
        <x:v>If delivery cannot complete</x:v>
      </x:c>
      <x:c r="I740" s="20" t="str">
        <x:v>Workspace Administrator</x:v>
      </x:c>
      <x:c r="J740" s="23" t="n">
        <x:v>46639</x:v>
      </x:c>
      <x:c r="K740" s="35" t="str">
        <x:v>valid non-default; boundary/format value; blank/null when optional; invalid value when constrained</x:v>
      </x:c>
      <x:c r="L740" s="35" t="str">
        <x:v>Save succeeds; reload shows the exact normalized value; other client reads it where supported; edit persists; validation rejects invalid input without partial mutation.</x:v>
      </x:c>
    </x:row>
    <x:row r="741">
      <x:c r="A741" s="20" t="str">
        <x:v>FLD-0738</x:v>
      </x:c>
      <x:c r="B741" s="20" t="str">
        <x:v>Web</x:v>
      </x:c>
      <x:c r="C741" s="35" t="str">
        <x:v>/settings/notifications/tenant-notices</x:v>
      </x:c>
      <x:c r="D741" s="35" t="str">
        <x:v>web/src/routes/(protected)/settings/notifications/tenant-notices/+page.svelte</x:v>
      </x:c>
      <x:c r="E741" s="32" t="n">
        <x:v>222</x:v>
      </x:c>
      <x:c r="F741" s="20" t="str">
        <x:v>select</x:v>
      </x:c>
      <x:c r="G741" s="35" t="str">
        <x:v>Select-5</x:v>
      </x:c>
      <x:c r="H741" s="35" t="str"/>
      <x:c r="I741" s="20" t="str">
        <x:v>Workspace Administrator</x:v>
      </x:c>
      <x:c r="J741" s="23" t="n">
        <x:v>46639</x:v>
      </x:c>
      <x:c r="K741" s="35" t="str">
        <x:v>valid non-default; boundary/format value; blank/null when optional; invalid value when constrained</x:v>
      </x:c>
      <x:c r="L741" s="35" t="str">
        <x:v>Save succeeds; reload shows the exact normalized value; other client reads it where supported; edit persists; validation rejects invalid input without partial mutation.</x:v>
      </x:c>
    </x:row>
    <x:row r="742">
      <x:c r="A742" s="20" t="str">
        <x:v>FLD-0739</x:v>
      </x:c>
      <x:c r="B742" s="20" t="str">
        <x:v>Web</x:v>
      </x:c>
      <x:c r="C742" s="35" t="str">
        <x:v>/settings/notifications/tenant-notices</x:v>
      </x:c>
      <x:c r="D742" s="35" t="str">
        <x:v>web/src/routes/(protected)/settings/notifications/tenant-notices/+page.svelte</x:v>
      </x:c>
      <x:c r="E742" s="32" t="n">
        <x:v>222</x:v>
      </x:c>
      <x:c r="F742" s="20" t="str">
        <x:v>select</x:v>
      </x:c>
      <x:c r="G742" s="35" t="str">
        <x:v>Select-6</x:v>
      </x:c>
      <x:c r="H742" s="35" t="str"/>
      <x:c r="I742" s="20" t="str">
        <x:v>Workspace Administrator</x:v>
      </x:c>
      <x:c r="J742" s="23" t="n">
        <x:v>46639</x:v>
      </x:c>
      <x:c r="K742" s="35" t="str">
        <x:v>valid non-default; boundary/format value; blank/null when optional; invalid value when constrained</x:v>
      </x:c>
      <x:c r="L742" s="35" t="str">
        <x:v>Save succeeds; reload shows the exact normalized value; other client reads it where supported; edit persists; validation rejects invalid input without partial mutation.</x:v>
      </x:c>
    </x:row>
    <x:row r="743">
      <x:c r="A743" s="20" t="str">
        <x:v>FLD-0740</x:v>
      </x:c>
      <x:c r="B743" s="20" t="str">
        <x:v>Web</x:v>
      </x:c>
      <x:c r="C743" s="35" t="str">
        <x:v>/settings/notifications/tenant-notices</x:v>
      </x:c>
      <x:c r="D743" s="35" t="str">
        <x:v>web/src/routes/(protected)/settings/notifications/tenant-notices/+page.svelte</x:v>
      </x:c>
      <x:c r="E743" s="32" t="n">
        <x:v>222</x:v>
      </x:c>
      <x:c r="F743" s="20" t="str">
        <x:v>select</x:v>
      </x:c>
      <x:c r="G743" s="35" t="str">
        <x:v>Select-7</x:v>
      </x:c>
      <x:c r="H743" s="35" t="str"/>
      <x:c r="I743" s="20" t="str">
        <x:v>Workspace Administrator</x:v>
      </x:c>
      <x:c r="J743" s="23" t="n">
        <x:v>46639</x:v>
      </x:c>
      <x:c r="K743" s="35" t="str">
        <x:v>valid non-default; boundary/format value; blank/null when optional; invalid value when constrained</x:v>
      </x:c>
      <x:c r="L743" s="35" t="str">
        <x:v>Save succeeds; reload shows the exact normalized value; other client reads it where supported; edit persists; validation rejects invalid input without partial mutation.</x:v>
      </x:c>
    </x:row>
    <x:row r="744">
      <x:c r="A744" s="20" t="str">
        <x:v>FLD-0741</x:v>
      </x:c>
      <x:c r="B744" s="20" t="str">
        <x:v>Web</x:v>
      </x:c>
      <x:c r="C744" s="35" t="str">
        <x:v>/settings/notifications/tenant-notices</x:v>
      </x:c>
      <x:c r="D744" s="35" t="str">
        <x:v>web/src/routes/(protected)/settings/notifications/tenant-notices/+page.svelte</x:v>
      </x:c>
      <x:c r="E744" s="32" t="n">
        <x:v>222</x:v>
      </x:c>
      <x:c r="F744" s="20" t="str">
        <x:v>select</x:v>
      </x:c>
      <x:c r="G744" s="35" t="str">
        <x:v>Select-8</x:v>
      </x:c>
      <x:c r="H744" s="35" t="str"/>
      <x:c r="I744" s="20" t="str">
        <x:v>Workspace Administrator</x:v>
      </x:c>
      <x:c r="J744" s="23" t="n">
        <x:v>46640</x:v>
      </x:c>
      <x:c r="K744" s="35" t="str">
        <x:v>valid non-default; boundary/format value; blank/null when optional; invalid value when constrained</x:v>
      </x:c>
      <x:c r="L744" s="35" t="str">
        <x:v>Save succeeds; reload shows the exact normalized value; other client reads it where supported; edit persists; validation rejects invalid input without partial mutation.</x:v>
      </x:c>
    </x:row>
    <x:row r="745">
      <x:c r="A745" s="20" t="str">
        <x:v>FLD-0742</x:v>
      </x:c>
      <x:c r="B745" s="20" t="str">
        <x:v>Web</x:v>
      </x:c>
      <x:c r="C745" s="35" t="str">
        <x:v>/settings/notifications/tenant-notices</x:v>
      </x:c>
      <x:c r="D745" s="35" t="str">
        <x:v>web/src/routes/(protected)/settings/notifications/tenant-notices/+page.svelte</x:v>
      </x:c>
      <x:c r="E745" s="32" t="n">
        <x:v>227</x:v>
      </x:c>
      <x:c r="F745" s="20" t="str">
        <x:v>input</x:v>
      </x:c>
      <x:c r="G745" s="35" t="str">
        <x:v>`template-subject-${policy.automationKey</x:v>
      </x:c>
      <x:c r="H745" s="35" t="str">
        <x:v>Subject</x:v>
      </x:c>
      <x:c r="I745" s="20" t="str">
        <x:v>Workspace Administrator</x:v>
      </x:c>
      <x:c r="J745" s="23" t="n">
        <x:v>46640</x:v>
      </x:c>
      <x:c r="K745" s="35" t="str">
        <x:v>valid non-default; boundary/format value; blank/null when optional; invalid value when constrained</x:v>
      </x:c>
      <x:c r="L745" s="35" t="str">
        <x:v>Save succeeds; reload shows the exact normalized value; other client reads it where supported; edit persists; validation rejects invalid input without partial mutation.</x:v>
      </x:c>
    </x:row>
    <x:row r="746">
      <x:c r="A746" s="20" t="str">
        <x:v>FLD-0743</x:v>
      </x:c>
      <x:c r="B746" s="20" t="str">
        <x:v>Web</x:v>
      </x:c>
      <x:c r="C746" s="35" t="str">
        <x:v>/settings/notifications/tenant-notices</x:v>
      </x:c>
      <x:c r="D746" s="35" t="str">
        <x:v>web/src/routes/(protected)/settings/notifications/tenant-notices/+page.svelte</x:v>
      </x:c>
      <x:c r="E746" s="32" t="n">
        <x:v>227</x:v>
      </x:c>
      <x:c r="F746" s="20" t="str">
        <x:v>textarea</x:v>
      </x:c>
      <x:c r="G746" s="35" t="str">
        <x:v>`template-body-${policy.automationKey</x:v>
      </x:c>
      <x:c r="H746" s="35" t="str">
        <x:v>Message</x:v>
      </x:c>
      <x:c r="I746" s="20" t="str">
        <x:v>Workspace Administrator</x:v>
      </x:c>
      <x:c r="J746" s="23" t="n">
        <x:v>46640</x:v>
      </x:c>
      <x:c r="K746" s="35" t="str">
        <x:v>valid non-default; boundary/format value; blank/null when optional; invalid value when constrained</x:v>
      </x:c>
      <x:c r="L746" s="35" t="str">
        <x:v>Save succeeds; reload shows the exact normalized value; other client reads it where supported; edit persists; validation rejects invalid input without partial mutation.</x:v>
      </x:c>
    </x:row>
    <x:row r="747">
      <x:c r="A747" s="20" t="str">
        <x:v>FLD-0744</x:v>
      </x:c>
      <x:c r="B747" s="20" t="str">
        <x:v>Web</x:v>
      </x:c>
      <x:c r="C747" s="35" t="str">
        <x:v>/settings/notifications/tenant-notices</x:v>
      </x:c>
      <x:c r="D747" s="35" t="str">
        <x:v>web/src/routes/(protected)/settings/notifications/tenant-notices/+page.svelte</x:v>
      </x:c>
      <x:c r="E747" s="32" t="n">
        <x:v>227</x:v>
      </x:c>
      <x:c r="F747" s="20" t="str">
        <x:v>input</x:v>
      </x:c>
      <x:c r="G747" s="35" t="str">
        <x:v>`template-jurisdiction-${policy.automationKey</x:v>
      </x:c>
      <x:c r="H747" s="35" t="str">
        <x:v>Reviewed jurisdiction</x:v>
      </x:c>
      <x:c r="I747" s="20" t="str">
        <x:v>Workspace Administrator</x:v>
      </x:c>
      <x:c r="J747" s="23" t="n">
        <x:v>46640</x:v>
      </x:c>
      <x:c r="K747" s="35" t="str">
        <x:v>valid non-default; boundary/format value; blank/null when optional; invalid value when constrained</x:v>
      </x:c>
      <x:c r="L747" s="35" t="str">
        <x:v>Save succeeds; reload shows the exact normalized value; other client reads it where supported; edit persists; validation rejects invalid input without partial mutation.</x:v>
      </x:c>
    </x:row>
    <x:row r="748">
      <x:c r="A748" s="20" t="str">
        <x:v>FLD-0745</x:v>
      </x:c>
      <x:c r="B748" s="20" t="str">
        <x:v>Web</x:v>
      </x:c>
      <x:c r="C748" s="35" t="str">
        <x:v>/tax</x:v>
      </x:c>
      <x:c r="D748" s="35" t="str">
        <x:v>web/src/routes/(protected)/tax/+page.svelte</x:v>
      </x:c>
      <x:c r="E748" s="32" t="n">
        <x:v>122</x:v>
      </x:c>
      <x:c r="F748" s="20" t="str">
        <x:v>single</x:v>
      </x:c>
      <x:c r="G748" s="35" t="str">
        <x:v>selectedYear</x:v>
      </x:c>
      <x:c r="H748" s="35" t="str"/>
      <x:c r="I748" s="20" t="str">
        <x:v>Property Manager</x:v>
      </x:c>
      <x:c r="J748" s="23" t="n">
        <x:v>46643</x:v>
      </x:c>
      <x:c r="K748" s="35" t="str">
        <x:v>valid non-default; boundary/format value; blank/null when optional; invalid value when constrained</x:v>
      </x:c>
      <x:c r="L748" s="35" t="str">
        <x:v>Save succeeds; reload shows the exact normalized value; other client reads it where supported; edit persists; validation rejects invalid input without partial mutation.</x:v>
      </x:c>
    </x:row>
    <x:row r="749">
      <x:c r="A749" s="20" t="str">
        <x:v>FLD-0746</x:v>
      </x:c>
      <x:c r="B749" s="20" t="str">
        <x:v>Web</x:v>
      </x:c>
      <x:c r="C749" s="35" t="str">
        <x:v>/tax</x:v>
      </x:c>
      <x:c r="D749" s="35" t="str">
        <x:v>web/src/routes/(protected)/tax/+page.svelte</x:v>
      </x:c>
      <x:c r="E749" s="32" t="n">
        <x:v>123</x:v>
      </x:c>
      <x:c r="F749" s="20" t="str">
        <x:v>select</x:v>
      </x:c>
      <x:c r="G749" s="35" t="str">
        <x:v>tax-year-select</x:v>
      </x:c>
      <x:c r="H749" s="35" t="str"/>
      <x:c r="I749" s="20" t="str">
        <x:v>Property Manager</x:v>
      </x:c>
      <x:c r="J749" s="23" t="n">
        <x:v>46643</x:v>
      </x:c>
      <x:c r="K749" s="35" t="str">
        <x:v>valid non-default; boundary/format value; blank/null when optional; invalid value when constrained</x:v>
      </x:c>
      <x:c r="L749" s="35" t="str">
        <x:v>Save succeeds; reload shows the exact normalized value; other client reads it where supported; edit persists; validation rejects invalid input without partial mutation.</x:v>
      </x:c>
    </x:row>
    <x:row r="750">
      <x:c r="A750" s="20" t="str">
        <x:v>FLD-0747</x:v>
      </x:c>
      <x:c r="B750" s="20" t="str">
        <x:v>Web</x:v>
      </x:c>
      <x:c r="C750" s="35" t="str">
        <x:v>/tax</x:v>
      </x:c>
      <x:c r="D750" s="35" t="str">
        <x:v>web/src/routes/(protected)/tax/+page.svelte</x:v>
      </x:c>
      <x:c r="E750" s="32" t="n">
        <x:v>126</x:v>
      </x:c>
      <x:c r="F750" s="20" t="str">
        <x:v>select</x:v>
      </x:c>
      <x:c r="G750" s="35" t="str">
        <x:v>Select-3</x:v>
      </x:c>
      <x:c r="H750" s="35" t="str"/>
      <x:c r="I750" s="20" t="str">
        <x:v>Property Manager</x:v>
      </x:c>
      <x:c r="J750" s="23" t="n">
        <x:v>46643</x:v>
      </x:c>
      <x:c r="K750" s="35" t="str">
        <x:v>valid non-default; boundary/format value; blank/null when optional; invalid value when constrained</x:v>
      </x:c>
      <x:c r="L750" s="35" t="str">
        <x:v>Save succeeds; reload shows the exact normalized value; other client reads it where supported; edit persists; validation rejects invalid input without partial mutation.</x:v>
      </x:c>
    </x:row>
    <x:row r="751">
      <x:c r="A751" s="20" t="str">
        <x:v>FLD-0748</x:v>
      </x:c>
      <x:c r="B751" s="20" t="str">
        <x:v>Web</x:v>
      </x:c>
      <x:c r="C751" s="35" t="str">
        <x:v>/tax</x:v>
      </x:c>
      <x:c r="D751" s="35" t="str">
        <x:v>web/src/routes/(protected)/tax/+page.svelte</x:v>
      </x:c>
      <x:c r="E751" s="32" t="n">
        <x:v>128</x:v>
      </x:c>
      <x:c r="F751" s="20" t="str">
        <x:v>select</x:v>
      </x:c>
      <x:c r="G751" s="35" t="str">
        <x:v>Select-4</x:v>
      </x:c>
      <x:c r="H751" s="35" t="str"/>
      <x:c r="I751" s="20" t="str">
        <x:v>Property Manager</x:v>
      </x:c>
      <x:c r="J751" s="23" t="n">
        <x:v>46643</x:v>
      </x:c>
      <x:c r="K751" s="35" t="str">
        <x:v>valid non-default; boundary/format value; blank/null when optional; invalid value when constrained</x:v>
      </x:c>
      <x:c r="L751" s="35" t="str">
        <x:v>Save succeeds; reload shows the exact normalized value; other client reads it where supported; edit persists; validation rejects invalid input without partial mutation.</x:v>
      </x:c>
    </x:row>
    <x:row r="752">
      <x:c r="A752" s="20" t="str">
        <x:v>FLD-0749</x:v>
      </x:c>
      <x:c r="B752" s="20" t="str">
        <x:v>Web</x:v>
      </x:c>
      <x:c r="C752" s="35" t="str">
        <x:v>/tenants</x:v>
      </x:c>
      <x:c r="D752" s="35" t="str">
        <x:v>web/src/routes/(protected)/tenants/+page.svelte</x:v>
      </x:c>
      <x:c r="E752" s="32" t="n">
        <x:v>369</x:v>
      </x:c>
      <x:c r="F752" s="20" t="str">
        <x:v>input</x:v>
      </x:c>
      <x:c r="G752" s="35" t="str">
        <x:v>tenant-first-name-input</x:v>
      </x:c>
      <x:c r="H752" s="35" t="str">
        <x:v>First name</x:v>
      </x:c>
      <x:c r="I752" s="20" t="str">
        <x:v>Property Manager</x:v>
      </x:c>
      <x:c r="J752" s="23" t="n">
        <x:v>46644</x:v>
      </x:c>
      <x:c r="K752" s="35" t="str">
        <x:v>valid non-default; boundary/format value; blank/null when optional; invalid value when constrained</x:v>
      </x:c>
      <x:c r="L752" s="35" t="str">
        <x:v>Save succeeds; reload shows the exact normalized value; other client reads it where supported; edit persists; validation rejects invalid input without partial mutation.</x:v>
      </x:c>
    </x:row>
    <x:row r="753">
      <x:c r="A753" s="20" t="str">
        <x:v>FLD-0750</x:v>
      </x:c>
      <x:c r="B753" s="20" t="str">
        <x:v>Web</x:v>
      </x:c>
      <x:c r="C753" s="35" t="str">
        <x:v>/tenants</x:v>
      </x:c>
      <x:c r="D753" s="35" t="str">
        <x:v>web/src/routes/(protected)/tenants/+page.svelte</x:v>
      </x:c>
      <x:c r="E753" s="32" t="n">
        <x:v>374</x:v>
      </x:c>
      <x:c r="F753" s="20" t="str">
        <x:v>input</x:v>
      </x:c>
      <x:c r="G753" s="35" t="str">
        <x:v>tenant-last-name-input</x:v>
      </x:c>
      <x:c r="H753" s="35" t="str">
        <x:v>Last name</x:v>
      </x:c>
      <x:c r="I753" s="20" t="str">
        <x:v>Property Manager</x:v>
      </x:c>
      <x:c r="J753" s="23" t="n">
        <x:v>46644</x:v>
      </x:c>
      <x:c r="K753" s="35" t="str">
        <x:v>valid non-default; boundary/format value; blank/null when optional; invalid value when constrained</x:v>
      </x:c>
      <x:c r="L753" s="35" t="str">
        <x:v>Save succeeds; reload shows the exact normalized value; other client reads it where supported; edit persists; validation rejects invalid input without partial mutation.</x:v>
      </x:c>
    </x:row>
    <x:row r="754">
      <x:c r="A754" s="20" t="str">
        <x:v>FLD-0751</x:v>
      </x:c>
      <x:c r="B754" s="20" t="str">
        <x:v>Web</x:v>
      </x:c>
      <x:c r="C754" s="35" t="str">
        <x:v>/tenants</x:v>
      </x:c>
      <x:c r="D754" s="35" t="str">
        <x:v>web/src/routes/(protected)/tenants/+page.svelte</x:v>
      </x:c>
      <x:c r="E754" s="32" t="n">
        <x:v>382</x:v>
      </x:c>
      <x:c r="F754" s="20" t="str">
        <x:v>email</x:v>
      </x:c>
      <x:c r="G754" s="35" t="str">
        <x:v>tenant-email-input</x:v>
      </x:c>
      <x:c r="H754" s="35" t="str">
        <x:v>Email</x:v>
      </x:c>
      <x:c r="I754" s="20" t="str">
        <x:v>Property Manager</x:v>
      </x:c>
      <x:c r="J754" s="23" t="n">
        <x:v>46644</x:v>
      </x:c>
      <x:c r="K754" s="35" t="str">
        <x:v>valid non-default; boundary/format value; blank/null when optional; invalid value when constrained</x:v>
      </x:c>
      <x:c r="L754" s="35" t="str">
        <x:v>Save succeeds; reload shows the exact normalized value; other client reads it where supported; edit persists; validation rejects invalid input without partial mutation.</x:v>
      </x:c>
    </x:row>
    <x:row r="755">
      <x:c r="A755" s="20" t="str">
        <x:v>FLD-0752</x:v>
      </x:c>
      <x:c r="B755" s="20" t="str">
        <x:v>Web</x:v>
      </x:c>
      <x:c r="C755" s="35" t="str">
        <x:v>/tenants</x:v>
      </x:c>
      <x:c r="D755" s="35" t="str">
        <x:v>web/src/routes/(protected)/tenants/+page.svelte</x:v>
      </x:c>
      <x:c r="E755" s="32" t="n">
        <x:v>387</x:v>
      </x:c>
      <x:c r="F755" s="20" t="str">
        <x:v>tel</x:v>
      </x:c>
      <x:c r="G755" s="35" t="str">
        <x:v>tenant-phone-input</x:v>
      </x:c>
      <x:c r="H755" s="35" t="str">
        <x:v>Phone</x:v>
      </x:c>
      <x:c r="I755" s="20" t="str">
        <x:v>Property Manager</x:v>
      </x:c>
      <x:c r="J755" s="23" t="n">
        <x:v>46644</x:v>
      </x:c>
      <x:c r="K755" s="35" t="str">
        <x:v>valid non-default; boundary/format value; blank/null when optional; invalid value when constrained</x:v>
      </x:c>
      <x:c r="L755" s="35" t="str">
        <x:v>Save succeeds; reload shows the exact normalized value; other client reads it where supported; edit persists; validation rejects invalid input without partial mutation.</x:v>
      </x:c>
    </x:row>
    <x:row r="756">
      <x:c r="A756" s="20" t="str">
        <x:v>FLD-0753</x:v>
      </x:c>
      <x:c r="B756" s="20" t="str">
        <x:v>Web</x:v>
      </x:c>
      <x:c r="C756" s="35" t="str">
        <x:v>/tenants</x:v>
      </x:c>
      <x:c r="D756" s="35" t="str">
        <x:v>web/src/routes/(protected)/tenants/+page.svelte</x:v>
      </x:c>
      <x:c r="E756" s="32" t="n">
        <x:v>391</x:v>
      </x:c>
      <x:c r="F756" s="20" t="str">
        <x:v>input</x:v>
      </x:c>
      <x:c r="G756" s="35" t="str">
        <x:v>tenant-emergency-input</x:v>
      </x:c>
      <x:c r="H756" s="35" t="str">
        <x:v>Emergency contact</x:v>
      </x:c>
      <x:c r="I756" s="20" t="str">
        <x:v>Property Manager</x:v>
      </x:c>
      <x:c r="J756" s="23" t="n">
        <x:v>46644</x:v>
      </x:c>
      <x:c r="K756" s="35" t="str">
        <x:v>valid non-default; boundary/format value; blank/null when optional; invalid value when constrained</x:v>
      </x:c>
      <x:c r="L756" s="35" t="str">
        <x:v>Save succeeds; reload shows the exact normalized value; other client reads it where supported; edit persists; validation rejects invalid input without partial mutation.</x:v>
      </x:c>
    </x:row>
    <x:row r="757">
      <x:c r="A757" s="20" t="str">
        <x:v>FLD-0754</x:v>
      </x:c>
      <x:c r="B757" s="20" t="str">
        <x:v>Web</x:v>
      </x:c>
      <x:c r="C757" s="35" t="str">
        <x:v>/units/[id]</x:v>
      </x:c>
      <x:c r="D757" s="35" t="str">
        <x:v>web/src/routes/(protected)/units/[id]/+page.svelte</x:v>
      </x:c>
      <x:c r="E757" s="32" t="n">
        <x:v>434</x:v>
      </x:c>
      <x:c r="F757" s="20" t="str">
        <x:v>input</x:v>
      </x:c>
      <x:c r="G757" s="35" t="str">
        <x:v>inspectionSearch</x:v>
      </x:c>
      <x:c r="H757" s="35" t="str"/>
      <x:c r="I757" s="20" t="str">
        <x:v>Property Manager</x:v>
      </x:c>
      <x:c r="J757" s="23" t="n">
        <x:v>46645</x:v>
      </x:c>
      <x:c r="K757" s="35" t="str">
        <x:v>valid non-default; boundary/format value; blank/null when optional; invalid value when constrained</x:v>
      </x:c>
      <x:c r="L757" s="35" t="str">
        <x:v>Save succeeds; reload shows the exact normalized value; other client reads it where supported; edit persists; validation rejects invalid input without partial mutation.</x:v>
      </x:c>
    </x:row>
    <x:row r="758">
      <x:c r="A758" s="20" t="str">
        <x:v>FLD-0755</x:v>
      </x:c>
      <x:c r="B758" s="20" t="str">
        <x:v>Web</x:v>
      </x:c>
      <x:c r="C758" s="35" t="str">
        <x:v>/units/[id]</x:v>
      </x:c>
      <x:c r="D758" s="35" t="str">
        <x:v>web/src/routes/(protected)/units/[id]/+page.svelte</x:v>
      </x:c>
      <x:c r="E758" s="32" t="n">
        <x:v>435</x:v>
      </x:c>
      <x:c r="F758" s="20" t="str">
        <x:v>select</x:v>
      </x:c>
      <x:c r="G758" s="35" t="str">
        <x:v>inspectionSort</x:v>
      </x:c>
      <x:c r="H758" s="35" t="str"/>
      <x:c r="I758" s="20" t="str">
        <x:v>Property Manager</x:v>
      </x:c>
      <x:c r="J758" s="23" t="n">
        <x:v>46645</x:v>
      </x:c>
      <x:c r="K758" s="35" t="str">
        <x:v>valid non-default; boundary/format value; blank/null when optional; invalid value when constrained</x:v>
      </x:c>
      <x:c r="L758" s="35" t="str">
        <x:v>Save succeeds; reload shows the exact normalized value; other client reads it where supported; edit persists; validation rejects invalid input without partial mutation.</x:v>
      </x:c>
    </x:row>
    <x:row r="759">
      <x:c r="A759" s="20" t="str">
        <x:v>FLD-0756</x:v>
      </x:c>
      <x:c r="B759" s="20" t="str">
        <x:v>Web</x:v>
      </x:c>
      <x:c r="C759" s="35" t="str">
        <x:v>/units/[id]</x:v>
      </x:c>
      <x:c r="D759" s="35" t="str">
        <x:v>web/src/routes/(protected)/units/[id]/+page.svelte</x:v>
      </x:c>
      <x:c r="E759" s="32" t="n">
        <x:v>467</x:v>
      </x:c>
      <x:c r="F759" s="20" t="str">
        <x:v>input</x:v>
      </x:c>
      <x:c r="G759" s="35" t="str">
        <x:v>recurringSearch</x:v>
      </x:c>
      <x:c r="H759" s="35" t="str"/>
      <x:c r="I759" s="20" t="str">
        <x:v>Property Manager</x:v>
      </x:c>
      <x:c r="J759" s="23" t="n">
        <x:v>46645</x:v>
      </x:c>
      <x:c r="K759" s="35" t="str">
        <x:v>valid non-default; boundary/format value; blank/null when optional; invalid value when constrained</x:v>
      </x:c>
      <x:c r="L759" s="35" t="str">
        <x:v>Save succeeds; reload shows the exact normalized value; other client reads it where supported; edit persists; validation rejects invalid input without partial mutation.</x:v>
      </x:c>
    </x:row>
    <x:row r="760">
      <x:c r="A760" s="20" t="str">
        <x:v>FLD-0757</x:v>
      </x:c>
      <x:c r="B760" s="20" t="str">
        <x:v>Web</x:v>
      </x:c>
      <x:c r="C760" s="35" t="str">
        <x:v>/units/[id]</x:v>
      </x:c>
      <x:c r="D760" s="35" t="str">
        <x:v>web/src/routes/(protected)/units/[id]/+page.svelte</x:v>
      </x:c>
      <x:c r="E760" s="32" t="n">
        <x:v>468</x:v>
      </x:c>
      <x:c r="F760" s="20" t="str">
        <x:v>select</x:v>
      </x:c>
      <x:c r="G760" s="35" t="str">
        <x:v>recurringSort</x:v>
      </x:c>
      <x:c r="H760" s="35" t="str"/>
      <x:c r="I760" s="20" t="str">
        <x:v>Property Manager</x:v>
      </x:c>
      <x:c r="J760" s="23" t="n">
        <x:v>46645</x:v>
      </x:c>
      <x:c r="K760" s="35" t="str">
        <x:v>valid non-default; boundary/format value; blank/null when optional; invalid value when constrained</x:v>
      </x:c>
      <x:c r="L760" s="35" t="str">
        <x:v>Save succeeds; reload shows the exact normalized value; other client reads it where supported; edit persists; validation rejects invalid input without partial mutation.</x:v>
      </x:c>
    </x:row>
    <x:row r="761">
      <x:c r="A761" s="20" t="str">
        <x:v>FLD-0758</x:v>
      </x:c>
      <x:c r="B761" s="20" t="str">
        <x:v>Web</x:v>
      </x:c>
      <x:c r="C761" s="35" t="str">
        <x:v>/units/[id]</x:v>
      </x:c>
      <x:c r="D761" s="35" t="str">
        <x:v>web/src/routes/(protected)/units/[id]/+page.svelte</x:v>
      </x:c>
      <x:c r="E761" s="32" t="n">
        <x:v>563</x:v>
      </x:c>
      <x:c r="F761" s="20" t="str">
        <x:v>date</x:v>
      </x:c>
      <x:c r="G761" s="35" t="str">
        <x:v>unit-move-in-deposit-date</x:v>
      </x:c>
      <x:c r="H761" s="35" t="str"/>
      <x:c r="I761" s="20" t="str">
        <x:v>Property Manager</x:v>
      </x:c>
      <x:c r="J761" s="23" t="n">
        <x:v>46646</x:v>
      </x:c>
      <x:c r="K761" s="35" t="str">
        <x:v>valid non-default; boundary/format value; blank/null when optional; invalid value when constrained</x:v>
      </x:c>
      <x:c r="L761" s="35" t="str">
        <x:v>Save succeeds; reload shows the exact normalized value; other client reads it where supported; edit persists; validation rejects invalid input without partial mutation.</x:v>
      </x:c>
    </x:row>
    <x:row r="762">
      <x:c r="A762" s="20" t="str">
        <x:v>FLD-0759</x:v>
      </x:c>
      <x:c r="B762" s="20" t="str">
        <x:v>Web</x:v>
      </x:c>
      <x:c r="C762" s="35" t="str">
        <x:v>/units/[id]</x:v>
      </x:c>
      <x:c r="D762" s="35" t="str">
        <x:v>web/src/routes/(protected)/units/[id]/+page.svelte</x:v>
      </x:c>
      <x:c r="E762" s="32" t="n">
        <x:v>568</x:v>
      </x:c>
      <x:c r="F762" s="20" t="str">
        <x:v>input</x:v>
      </x:c>
      <x:c r="G762" s="35" t="str">
        <x:v>unit-move-in-deposit-method</x:v>
      </x:c>
      <x:c r="H762" s="35" t="str">
        <x:v>Check, cash, ACH…</x:v>
      </x:c>
      <x:c r="I762" s="20" t="str">
        <x:v>Property Manager</x:v>
      </x:c>
      <x:c r="J762" s="23" t="n">
        <x:v>46646</x:v>
      </x:c>
      <x:c r="K762" s="35" t="str">
        <x:v>valid non-default; boundary/format value; blank/null when optional; invalid value when constrained</x:v>
      </x:c>
      <x:c r="L762" s="35" t="str">
        <x:v>Save succeeds; reload shows the exact normalized value; other client reads it where supported; edit persists; validation rejects invalid input without partial mutation.</x:v>
      </x:c>
    </x:row>
    <x:row r="763">
      <x:c r="A763" s="20" t="str">
        <x:v>FLD-0760</x:v>
      </x:c>
      <x:c r="B763" s="20" t="str">
        <x:v>Web</x:v>
      </x:c>
      <x:c r="C763" s="35" t="str">
        <x:v>/units/[id]</x:v>
      </x:c>
      <x:c r="D763" s="35" t="str">
        <x:v>web/src/routes/(protected)/units/[id]/+page.svelte</x:v>
      </x:c>
      <x:c r="E763" s="32" t="n">
        <x:v>573</x:v>
      </x:c>
      <x:c r="F763" s="20" t="str">
        <x:v>input</x:v>
      </x:c>
      <x:c r="G763" s="35" t="str">
        <x:v>moveInDepositReference</x:v>
      </x:c>
      <x:c r="H763" s="35" t="str">
        <x:v>Check or confirmation number</x:v>
      </x:c>
      <x:c r="I763" s="20" t="str">
        <x:v>Property Manager</x:v>
      </x:c>
      <x:c r="J763" s="23" t="n">
        <x:v>46646</x:v>
      </x:c>
      <x:c r="K763" s="35" t="str">
        <x:v>valid non-default; boundary/format value; blank/null when optional; invalid value when constrained</x:v>
      </x:c>
      <x:c r="L763" s="35" t="str">
        <x:v>Save succeeds; reload shows the exact normalized value; other client reads it where supported; edit persists; validation rejects invalid input without partial mutation.</x:v>
      </x:c>
    </x:row>
    <x:row r="764">
      <x:c r="A764" s="20" t="str">
        <x:v>FLD-0761</x:v>
      </x:c>
      <x:c r="B764" s="20" t="str">
        <x:v>Web</x:v>
      </x:c>
      <x:c r="C764" s="35" t="str">
        <x:v>/vendors</x:v>
      </x:c>
      <x:c r="D764" s="35" t="str">
        <x:v>web/src/routes/(protected)/vendors/+page.svelte</x:v>
      </x:c>
      <x:c r="E764" s="32" t="n">
        <x:v>396</x:v>
      </x:c>
      <x:c r="F764" s="20" t="str">
        <x:v>input</x:v>
      </x:c>
      <x:c r="G764" s="35" t="str">
        <x:v>vendor-name-input</x:v>
      </x:c>
      <x:c r="H764" s="35" t="str">
        <x:v>Vendor name</x:v>
      </x:c>
      <x:c r="I764" s="20" t="str">
        <x:v>Property Manager</x:v>
      </x:c>
      <x:c r="J764" s="23" t="n">
        <x:v>46646</x:v>
      </x:c>
      <x:c r="K764" s="35" t="str">
        <x:v>valid non-default; boundary/format value; blank/null when optional; invalid value when constrained</x:v>
      </x:c>
      <x:c r="L764" s="35" t="str">
        <x:v>Save succeeds; reload shows the exact normalized value; other client reads it where supported; edit persists; validation rejects invalid input without partial mutation.</x:v>
      </x:c>
    </x:row>
    <x:row r="765">
      <x:c r="A765" s="20" t="str">
        <x:v>FLD-0762</x:v>
      </x:c>
      <x:c r="B765" s="20" t="str">
        <x:v>Web</x:v>
      </x:c>
      <x:c r="C765" s="35" t="str">
        <x:v>/vendors</x:v>
      </x:c>
      <x:c r="D765" s="35" t="str">
        <x:v>web/src/routes/(protected)/vendors/+page.svelte</x:v>
      </x:c>
      <x:c r="E765" s="32" t="n">
        <x:v>401</x:v>
      </x:c>
      <x:c r="F765" s="20" t="str">
        <x:v>input</x:v>
      </x:c>
      <x:c r="G765" s="35" t="str">
        <x:v>vendor-service-input</x:v>
      </x:c>
      <x:c r="H765" s="35" t="str">
        <x:v>Service type</x:v>
      </x:c>
      <x:c r="I765" s="20" t="str">
        <x:v>Property Manager</x:v>
      </x:c>
      <x:c r="J765" s="23" t="n">
        <x:v>46646</x:v>
      </x:c>
      <x:c r="K765" s="35" t="str">
        <x:v>valid non-default; boundary/format value; blank/null when optional; invalid value when constrained</x:v>
      </x:c>
      <x:c r="L765" s="35" t="str">
        <x:v>Save succeeds; reload shows the exact normalized value; other client reads it where supported; edit persists; validation rejects invalid input without partial mutation.</x:v>
      </x:c>
    </x:row>
    <x:row r="766">
      <x:c r="A766" s="20" t="str">
        <x:v>FLD-0763</x:v>
      </x:c>
      <x:c r="B766" s="20" t="str">
        <x:v>Web</x:v>
      </x:c>
      <x:c r="C766" s="35" t="str">
        <x:v>/vendors</x:v>
      </x:c>
      <x:c r="D766" s="35" t="str">
        <x:v>web/src/routes/(protected)/vendors/+page.svelte</x:v>
      </x:c>
      <x:c r="E766" s="32" t="n">
        <x:v>408</x:v>
      </x:c>
      <x:c r="F766" s="20" t="str">
        <x:v>email</x:v>
      </x:c>
      <x:c r="G766" s="35" t="str">
        <x:v>vendor-email-input</x:v>
      </x:c>
      <x:c r="H766" s="35" t="str">
        <x:v>Vendor email</x:v>
      </x:c>
      <x:c r="I766" s="20" t="str">
        <x:v>Property Manager</x:v>
      </x:c>
      <x:c r="J766" s="23" t="n">
        <x:v>46647</x:v>
      </x:c>
      <x:c r="K766" s="35" t="str">
        <x:v>valid non-default; boundary/format value; blank/null when optional; invalid value when constrained</x:v>
      </x:c>
      <x:c r="L766" s="35" t="str">
        <x:v>Save succeeds; reload shows the exact normalized value; other client reads it where supported; edit persists; validation rejects invalid input without partial mutation.</x:v>
      </x:c>
    </x:row>
    <x:row r="767">
      <x:c r="A767" s="20" t="str">
        <x:v>FLD-0764</x:v>
      </x:c>
      <x:c r="B767" s="20" t="str">
        <x:v>Web</x:v>
      </x:c>
      <x:c r="C767" s="35" t="str">
        <x:v>/vendors</x:v>
      </x:c>
      <x:c r="D767" s="35" t="str">
        <x:v>web/src/routes/(protected)/vendors/+page.svelte</x:v>
      </x:c>
      <x:c r="E767" s="32" t="n">
        <x:v>413</x:v>
      </x:c>
      <x:c r="F767" s="20" t="str">
        <x:v>tel</x:v>
      </x:c>
      <x:c r="G767" s="35" t="str">
        <x:v>vendor-phone-input</x:v>
      </x:c>
      <x:c r="H767" s="35" t="str">
        <x:v>Vendor phone</x:v>
      </x:c>
      <x:c r="I767" s="20" t="str">
        <x:v>Property Manager</x:v>
      </x:c>
      <x:c r="J767" s="23" t="n">
        <x:v>46647</x:v>
      </x:c>
      <x:c r="K767" s="35" t="str">
        <x:v>valid non-default; boundary/format value; blank/null when optional; invalid value when constrained</x:v>
      </x:c>
      <x:c r="L767" s="35" t="str">
        <x:v>Save succeeds; reload shows the exact normalized value; other client reads it where supported; edit persists; validation rejects invalid input without partial mutation.</x:v>
      </x:c>
    </x:row>
    <x:row r="768">
      <x:c r="A768" s="20" t="str">
        <x:v>FLD-0765</x:v>
      </x:c>
      <x:c r="B768" s="20" t="str">
        <x:v>Web</x:v>
      </x:c>
      <x:c r="C768" s="35" t="str">
        <x:v>/vendors</x:v>
      </x:c>
      <x:c r="D768" s="35" t="str">
        <x:v>web/src/routes/(protected)/vendors/+page.svelte</x:v>
      </x:c>
      <x:c r="E768" s="32" t="n">
        <x:v>417</x:v>
      </x:c>
      <x:c r="F768" s="20" t="str">
        <x:v>url</x:v>
      </x:c>
      <x:c r="G768" s="35" t="str">
        <x:v>vendor-website-input</x:v>
      </x:c>
      <x:c r="H768" s="35" t="str">
        <x:v>https://example.com</x:v>
      </x:c>
      <x:c r="I768" s="20" t="str">
        <x:v>Property Manager</x:v>
      </x:c>
      <x:c r="J768" s="23" t="n">
        <x:v>46647</x:v>
      </x:c>
      <x:c r="K768" s="35" t="str">
        <x:v>valid non-default; boundary/format value; blank/null when optional; invalid value when constrained</x:v>
      </x:c>
      <x:c r="L768" s="35" t="str">
        <x:v>Save succeeds; reload shows the exact normalized value; other client reads it where supported; edit persists; validation rejects invalid input without partial mutation.</x:v>
      </x:c>
    </x:row>
    <x:row r="769">
      <x:c r="A769" s="20" t="str">
        <x:v>FLD-0766</x:v>
      </x:c>
      <x:c r="B769" s="20" t="str">
        <x:v>Web</x:v>
      </x:c>
      <x:c r="C769" s="35" t="str">
        <x:v>/vendors</x:v>
      </x:c>
      <x:c r="D769" s="35" t="str">
        <x:v>web/src/routes/(protected)/vendors/+page.svelte</x:v>
      </x:c>
      <x:c r="E769" s="32" t="n">
        <x:v>434</x:v>
      </x:c>
      <x:c r="F769" s="20" t="str">
        <x:v>input</x:v>
      </x:c>
      <x:c r="G769" s="35" t="str">
        <x:v>vendor-city-input</x:v>
      </x:c>
      <x:c r="H769" s="35" t="str">
        <x:v>City</x:v>
      </x:c>
      <x:c r="I769" s="20" t="str">
        <x:v>Property Manager</x:v>
      </x:c>
      <x:c r="J769" s="23" t="n">
        <x:v>46647</x:v>
      </x:c>
      <x:c r="K769" s="35" t="str">
        <x:v>valid non-default; boundary/format value; blank/null when optional; invalid value when constrained</x:v>
      </x:c>
      <x:c r="L769" s="35" t="str">
        <x:v>Save succeeds; reload shows the exact normalized value; other client reads it where supported; edit persists; validation rejects invalid input without partial mutation.</x:v>
      </x:c>
    </x:row>
    <x:row r="770">
      <x:c r="A770" s="20" t="str">
        <x:v>FLD-0767</x:v>
      </x:c>
      <x:c r="B770" s="20" t="str">
        <x:v>Web</x:v>
      </x:c>
      <x:c r="C770" s="35" t="str">
        <x:v>/vendors</x:v>
      </x:c>
      <x:c r="D770" s="35" t="str">
        <x:v>web/src/routes/(protected)/vendors/+page.svelte</x:v>
      </x:c>
      <x:c r="E770" s="32" t="n">
        <x:v>440</x:v>
      </x:c>
      <x:c r="F770" s="20" t="str">
        <x:v>input</x:v>
      </x:c>
      <x:c r="G770" s="35" t="str">
        <x:v>vendor-zip-input</x:v>
      </x:c>
      <x:c r="H770" s="35" t="str">
        <x:v>ZIP</x:v>
      </x:c>
      <x:c r="I770" s="20" t="str">
        <x:v>Property Manager</x:v>
      </x:c>
      <x:c r="J770" s="23" t="n">
        <x:v>46650</x:v>
      </x:c>
      <x:c r="K770" s="35" t="str">
        <x:v>valid non-default; boundary/format value; blank/null when optional; invalid value when constrained</x:v>
      </x:c>
      <x:c r="L770" s="35" t="str">
        <x:v>Save succeeds; reload shows the exact normalized value; other client reads it where supported; edit persists; validation rejects invalid input without partial mutation.</x:v>
      </x:c>
    </x:row>
    <x:row r="771">
      <x:c r="A771" s="20" t="str">
        <x:v>FLD-0768</x:v>
      </x:c>
      <x:c r="B771" s="20" t="str">
        <x:v>Web</x:v>
      </x:c>
      <x:c r="C771" s="35" t="str">
        <x:v>/vendors</x:v>
      </x:c>
      <x:c r="D771" s="35" t="str">
        <x:v>web/src/routes/(protected)/vendors/+page.svelte</x:v>
      </x:c>
      <x:c r="E771" s="32" t="n">
        <x:v>445</x:v>
      </x:c>
      <x:c r="F771" s="20" t="str">
        <x:v>checkbox</x:v>
      </x:c>
      <x:c r="G771" s="35" t="str">
        <x:v>vendor-1099-input</x:v>
      </x:c>
      <x:c r="H771" s="35" t="str"/>
      <x:c r="I771" s="20" t="str">
        <x:v>Property Manager</x:v>
      </x:c>
      <x:c r="J771" s="23" t="n">
        <x:v>46650</x:v>
      </x:c>
      <x:c r="K771" s="35" t="str">
        <x:v>valid non-default; boundary/format value; blank/null when optional; invalid value when constrained</x:v>
      </x:c>
      <x:c r="L771" s="35" t="str">
        <x:v>Save succeeds; reload shows the exact normalized value; other client reads it where supported; edit persists; validation rejects invalid input without partial mutation.</x:v>
      </x:c>
    </x:row>
    <x:row r="772">
      <x:c r="A772" s="20" t="str">
        <x:v>FLD-0769</x:v>
      </x:c>
      <x:c r="B772" s="20" t="str">
        <x:v>Web</x:v>
      </x:c>
      <x:c r="C772" s="35" t="str">
        <x:v>/vendors</x:v>
      </x:c>
      <x:c r="D772" s="35" t="str">
        <x:v>web/src/routes/(protected)/vendors/+page.svelte</x:v>
      </x:c>
      <x:c r="E772" s="32" t="n">
        <x:v>446</x:v>
      </x:c>
      <x:c r="F772" s="20" t="str">
        <x:v>checkbox</x:v>
      </x:c>
      <x:c r="G772" s="35" t="str">
        <x:v>vendor-w9-input</x:v>
      </x:c>
      <x:c r="H772" s="35" t="str">
        <x:v>1099 eligible</x:v>
      </x:c>
      <x:c r="I772" s="20" t="str">
        <x:v>Property Manager</x:v>
      </x:c>
      <x:c r="J772" s="23" t="n">
        <x:v>46650</x:v>
      </x:c>
      <x:c r="K772" s="35" t="str">
        <x:v>valid non-default; boundary/format value; blank/null when optional; invalid value when constrained</x:v>
      </x:c>
      <x:c r="L772" s="35" t="str">
        <x:v>Save succeeds; reload shows the exact normalized value; other client reads it where supported; edit persists; validation rejects invalid input without partial mutation.</x:v>
      </x:c>
    </x:row>
    <x:row r="773">
      <x:c r="A773" s="20" t="str">
        <x:v>FLD-0770</x:v>
      </x:c>
      <x:c r="B773" s="20" t="str">
        <x:v>Web</x:v>
      </x:c>
      <x:c r="C773" s="35" t="str">
        <x:v>/vendors</x:v>
      </x:c>
      <x:c r="D773" s="35" t="str">
        <x:v>web/src/routes/(protected)/vendors/+page.svelte</x:v>
      </x:c>
      <x:c r="E773" s="32" t="n">
        <x:v>447</x:v>
      </x:c>
      <x:c r="F773" s="20" t="str">
        <x:v>checkbox</x:v>
      </x:c>
      <x:c r="G773" s="35" t="str">
        <x:v>vendor-preferred-input</x:v>
      </x:c>
      <x:c r="H773" s="35" t="str">
        <x:v>W-9 on file</x:v>
      </x:c>
      <x:c r="I773" s="20" t="str">
        <x:v>Property Manager</x:v>
      </x:c>
      <x:c r="J773" s="23" t="n">
        <x:v>46650</x:v>
      </x:c>
      <x:c r="K773" s="35" t="str">
        <x:v>valid non-default; boundary/format value; blank/null when optional; invalid value when constrained</x:v>
      </x:c>
      <x:c r="L773" s="35" t="str">
        <x:v>Save succeeds; reload shows the exact normalized value; other client reads it where supported; edit persists; validation rejects invalid input without partial mutation.</x:v>
      </x:c>
    </x:row>
    <x:row r="774">
      <x:c r="A774" s="20" t="str">
        <x:v>FLD-0771</x:v>
      </x:c>
      <x:c r="B774" s="20" t="str">
        <x:v>Web</x:v>
      </x:c>
      <x:c r="C774" s="35" t="str">
        <x:v>/vendors/[id]</x:v>
      </x:c>
      <x:c r="D774" s="35" t="str">
        <x:v>web/src/routes/(protected)/vendors/[id]/+page.svelte</x:v>
      </x:c>
      <x:c r="E774" s="32" t="n">
        <x:v>338</x:v>
      </x:c>
      <x:c r="F774" s="20" t="str">
        <x:v>textarea</x:v>
      </x:c>
      <x:c r="G774" s="35" t="str">
        <x:v>vendor-rate-comment</x:v>
      </x:c>
      <x:c r="H774" s="35" t="str">
        <x:v>Comment (optional)</x:v>
      </x:c>
      <x:c r="I774" s="20" t="str">
        <x:v>Property Manager</x:v>
      </x:c>
      <x:c r="J774" s="23" t="n">
        <x:v>46650</x:v>
      </x:c>
      <x:c r="K774" s="35" t="str">
        <x:v>valid non-default; boundary/format value; blank/null when optional; invalid value when constrained</x:v>
      </x:c>
      <x:c r="L774" s="35" t="str">
        <x:v>Save succeeds; reload shows the exact normalized value; other client reads it where supported; edit persists; validation rejects invalid input without partial mutation.</x:v>
      </x:c>
    </x:row>
    <x:row r="775">
      <x:c r="A775" s="20" t="str">
        <x:v>FLD-0772</x:v>
      </x:c>
      <x:c r="B775" s="20" t="str">
        <x:v>Web</x:v>
      </x:c>
      <x:c r="C775" s="35" t="str">
        <x:v>/vendors/[id]</x:v>
      </x:c>
      <x:c r="D775" s="35" t="str">
        <x:v>web/src/routes/(protected)/vendors/[id]/+page.svelte</x:v>
      </x:c>
      <x:c r="E775" s="32" t="n">
        <x:v>369</x:v>
      </x:c>
      <x:c r="F775" s="20" t="str">
        <x:v>checkbox</x:v>
      </x:c>
      <x:c r="G775" s="35" t="str">
        <x:v>vendor-tax-1099-input</x:v>
      </x:c>
      <x:c r="H775" s="35" t="str"/>
      <x:c r="I775" s="20" t="str">
        <x:v>Property Manager</x:v>
      </x:c>
      <x:c r="J775" s="23" t="n">
        <x:v>46651</x:v>
      </x:c>
      <x:c r="K775" s="35" t="str">
        <x:v>valid non-default; boundary/format value; blank/null when optional; invalid value when constrained</x:v>
      </x:c>
      <x:c r="L775" s="35" t="str">
        <x:v>Save succeeds; reload shows the exact normalized value; other client reads it where supported; edit persists; validation rejects invalid input without partial mutation.</x:v>
      </x:c>
    </x:row>
    <x:row r="776">
      <x:c r="A776" s="20" t="str">
        <x:v>FLD-0773</x:v>
      </x:c>
      <x:c r="B776" s="20" t="str">
        <x:v>Web</x:v>
      </x:c>
      <x:c r="C776" s="35" t="str">
        <x:v>/vendors/[id]</x:v>
      </x:c>
      <x:c r="D776" s="35" t="str">
        <x:v>web/src/routes/(protected)/vendors/[id]/+page.svelte</x:v>
      </x:c>
      <x:c r="E776" s="32" t="n">
        <x:v>374</x:v>
      </x:c>
      <x:c r="F776" s="20" t="str">
        <x:v>input</x:v>
      </x:c>
      <x:c r="G776" s="35" t="str">
        <x:v>vendor-tax-id</x:v>
      </x:c>
      <x:c r="H776" s="35" t="str">
        <x:v>Tax ID / EIN (optional)</x:v>
      </x:c>
      <x:c r="I776" s="20" t="str">
        <x:v>Property Manager</x:v>
      </x:c>
      <x:c r="J776" s="23" t="n">
        <x:v>46651</x:v>
      </x:c>
      <x:c r="K776" s="35" t="str">
        <x:v>valid non-default; boundary/format value; blank/null when optional; invalid value when constrained</x:v>
      </x:c>
      <x:c r="L776" s="35" t="str">
        <x:v>Save succeeds; reload shows the exact normalized value; other client reads it where supported; edit persists; validation rejects invalid input without partial mutation.</x:v>
      </x:c>
    </x:row>
    <x:row r="777">
      <x:c r="A777" s="20" t="str">
        <x:v>FLD-0774</x:v>
      </x:c>
      <x:c r="B777" s="20" t="str">
        <x:v>Web</x:v>
      </x:c>
      <x:c r="C777" s="35" t="str">
        <x:v>/docs</x:v>
      </x:c>
      <x:c r="D777" s="35" t="str">
        <x:v>web/src/routes/(public)/docs/+page.svelte</x:v>
      </x:c>
      <x:c r="E777" s="32" t="n">
        <x:v>120</x:v>
      </x:c>
      <x:c r="F777" s="20" t="str">
        <x:v>search</x:v>
      </x:c>
      <x:c r="G777" s="35" t="str">
        <x:v>docs-search</x:v>
      </x:c>
      <x:c r="H777" s="35" t="str">
        <x:v>Search documentation</x:v>
      </x:c>
      <x:c r="I777" s="20" t="str">
        <x:v>Applicant / public user</x:v>
      </x:c>
      <x:c r="J777" s="23" t="n">
        <x:v>46651</x:v>
      </x:c>
      <x:c r="K777" s="35" t="str">
        <x:v>valid non-default; boundary/format value; blank/null when optional; invalid value when constrained</x:v>
      </x:c>
      <x:c r="L777" s="35" t="str">
        <x:v>Save succeeds; reload shows the exact normalized value; other client reads it where supported; edit persists; validation rejects invalid input without partial mutation.</x:v>
      </x:c>
    </x:row>
    <x:row r="778">
      <x:c r="A778" s="20" t="str">
        <x:v>FLD-0775</x:v>
      </x:c>
      <x:c r="B778" s="20" t="str">
        <x:v>Web</x:v>
      </x:c>
      <x:c r="C778" s="35" t="str">
        <x:v>/sign/[token]</x:v>
      </x:c>
      <x:c r="D778" s="35" t="str">
        <x:v>web/src/routes/(public)/sign/[token]/+page.svelte</x:v>
      </x:c>
      <x:c r="E778" s="32" t="n">
        <x:v>438</x:v>
      </x:c>
      <x:c r="F778" s="20" t="str">
        <x:v>checkbox</x:v>
      </x:c>
      <x:c r="G778" s="35" t="str">
        <x:v>sign-consent</x:v>
      </x:c>
      <x:c r="H778" s="35" t="str"/>
      <x:c r="I778" s="20" t="str">
        <x:v>Applicant / public user</x:v>
      </x:c>
      <x:c r="J778" s="23" t="n">
        <x:v>46651</x:v>
      </x:c>
      <x:c r="K778" s="35" t="str">
        <x:v>valid non-default; boundary/format value; blank/null when optional; invalid value when constrained</x:v>
      </x:c>
      <x:c r="L778" s="35" t="str">
        <x:v>Save succeeds; reload shows the exact normalized value; other client reads it where supported; edit persists; validation rejects invalid input without partial mutation.</x:v>
      </x:c>
    </x:row>
    <x:row r="779">
      <x:c r="A779" s="20" t="str">
        <x:v>FLD-0776</x:v>
      </x:c>
      <x:c r="B779" s="20" t="str">
        <x:v>Web</x:v>
      </x:c>
      <x:c r="C779" s="35" t="str">
        <x:v>/sign/[token]</x:v>
      </x:c>
      <x:c r="D779" s="35" t="str">
        <x:v>web/src/routes/(public)/sign/[token]/+page.svelte</x:v>
      </x:c>
      <x:c r="E779" s="32" t="n">
        <x:v>487</x:v>
      </x:c>
      <x:c r="F779" s="20" t="str">
        <x:v>text</x:v>
      </x:c>
      <x:c r="G779" s="35" t="str">
        <x:v>sign-typed-input</x:v>
      </x:c>
      <x:c r="H779" s="35" t="str">
        <x:v>Type your full name</x:v>
      </x:c>
      <x:c r="I779" s="20" t="str">
        <x:v>Applicant / public user</x:v>
      </x:c>
      <x:c r="J779" s="23" t="n">
        <x:v>46652</x:v>
      </x:c>
      <x:c r="K779" s="35" t="str">
        <x:v>valid non-default; boundary/format value; blank/null when optional; invalid value when constrained</x:v>
      </x:c>
      <x:c r="L779" s="35" t="str">
        <x:v>Save succeeds; reload shows the exact normalized value; other client reads it where supported; edit persists; validation rejects invalid input without partial mutation.</x:v>
      </x:c>
    </x:row>
    <x:row r="780">
      <x:c r="A780" s="20" t="str">
        <x:v>FLD-0777</x:v>
      </x:c>
      <x:c r="B780" s="20" t="str">
        <x:v>Web</x:v>
      </x:c>
      <x:c r="C780" s="35" t="str">
        <x:v>/sign/[token]</x:v>
      </x:c>
      <x:c r="D780" s="35" t="str">
        <x:v>web/src/routes/(public)/sign/[token]/+page.svelte</x:v>
      </x:c>
      <x:c r="E780" s="32" t="n">
        <x:v>611</x:v>
      </x:c>
      <x:c r="F780" s="20" t="str">
        <x:v>textarea</x:v>
      </x:c>
      <x:c r="G780" s="35" t="str">
        <x:v>sign-decline-reason</x:v>
      </x:c>
      <x:c r="H780" s="35" t="str">
        <x:v>Add a short note…</x:v>
      </x:c>
      <x:c r="I780" s="20" t="str">
        <x:v>Applicant / public user</x:v>
      </x:c>
      <x:c r="J780" s="23" t="n">
        <x:v>46652</x:v>
      </x:c>
      <x:c r="K780" s="35" t="str">
        <x:v>valid non-default; boundary/format value; blank/null when optional; invalid value when constrained</x:v>
      </x:c>
      <x:c r="L780" s="35" t="str">
        <x:v>Save succeeds; reload shows the exact normalized value; other client reads it where supported; edit persists; validation rejects invalid input without partial mutation.</x:v>
      </x:c>
    </x:row>
    <x:row r="781">
      <x:c r="A781" s="20" t="str">
        <x:v>FLD-0778</x:v>
      </x:c>
      <x:c r="B781" s="20" t="str">
        <x:v>Web</x:v>
      </x:c>
      <x:c r="C781" s="35" t="str">
        <x:v>/activate-team</x:v>
      </x:c>
      <x:c r="D781" s="35" t="str">
        <x:v>web/src/routes/activate-team/+page.svelte</x:v>
      </x:c>
      <x:c r="E781" s="32" t="n">
        <x:v>56</x:v>
      </x:c>
      <x:c r="F781" s="20" t="str">
        <x:v>hidden</x:v>
      </x:c>
      <x:c r="G781" s="35" t="str">
        <x:v>token</x:v>
      </x:c>
      <x:c r="H781" s="35" t="str"/>
      <x:c r="I781" s="20" t="str">
        <x:v>Property Manager</x:v>
      </x:c>
      <x:c r="J781" s="23" t="n">
        <x:v>46652</x:v>
      </x:c>
      <x:c r="K781" s="35" t="str">
        <x:v>valid non-default; boundary/format value; blank/null when optional; invalid value when constrained</x:v>
      </x:c>
      <x:c r="L781" s="35" t="str">
        <x:v>Save succeeds; reload shows the exact normalized value; other client reads it where supported; edit persists; validation rejects invalid input without partial mutation.</x:v>
      </x:c>
    </x:row>
    <x:row r="782">
      <x:c r="A782" s="20" t="str">
        <x:v>FLD-0779</x:v>
      </x:c>
      <x:c r="B782" s="20" t="str">
        <x:v>Web</x:v>
      </x:c>
      <x:c r="C782" s="35" t="str">
        <x:v>/activate-team</x:v>
      </x:c>
      <x:c r="D782" s="35" t="str">
        <x:v>web/src/routes/activate-team/+page.svelte</x:v>
      </x:c>
      <x:c r="E782" s="32" t="n">
        <x:v>59</x:v>
      </x:c>
      <x:c r="F782" s="20" t="str">
        <x:v>password</x:v>
      </x:c>
      <x:c r="G782" s="35" t="str">
        <x:v>password</x:v>
      </x:c>
      <x:c r="H782" s="35" t="str"/>
      <x:c r="I782" s="20" t="str">
        <x:v>Property Manager</x:v>
      </x:c>
      <x:c r="J782" s="23" t="n">
        <x:v>46652</x:v>
      </x:c>
      <x:c r="K782" s="35" t="str">
        <x:v>valid non-default; boundary/format value; blank/null when optional; invalid value when constrained</x:v>
      </x:c>
      <x:c r="L782" s="35" t="str">
        <x:v>Save succeeds; reload shows the exact normalized value; other client reads it where supported; edit persists; validation rejects invalid input without partial mutation.</x:v>
      </x:c>
    </x:row>
    <x:row r="783">
      <x:c r="A783" s="20" t="str">
        <x:v>FLD-0780</x:v>
      </x:c>
      <x:c r="B783" s="20" t="str">
        <x:v>Web</x:v>
      </x:c>
      <x:c r="C783" s="35" t="str">
        <x:v>/activate-team</x:v>
      </x:c>
      <x:c r="D783" s="35" t="str">
        <x:v>web/src/routes/activate-team/+page.svelte</x:v>
      </x:c>
      <x:c r="E783" s="32" t="n">
        <x:v>63</x:v>
      </x:c>
      <x:c r="F783" s="20" t="str">
        <x:v>password</x:v>
      </x:c>
      <x:c r="G783" s="35" t="str">
        <x:v>confirmPassword</x:v>
      </x:c>
      <x:c r="H783" s="35" t="str">
        <x:v>Password</x:v>
      </x:c>
      <x:c r="I783" s="20" t="str">
        <x:v>Property Manager</x:v>
      </x:c>
      <x:c r="J783" s="23" t="n">
        <x:v>46652</x:v>
      </x:c>
      <x:c r="K783" s="35" t="str">
        <x:v>valid non-default; boundary/format value; blank/null when optional; invalid value when constrained</x:v>
      </x:c>
      <x:c r="L783" s="35" t="str">
        <x:v>Save succeeds; reload shows the exact normalized value; other client reads it where supported; edit persists; validation rejects invalid input without partial mutation.</x:v>
      </x:c>
    </x:row>
    <x:row r="784">
      <x:c r="A784" s="20" t="str">
        <x:v>FLD-0781</x:v>
      </x:c>
      <x:c r="B784" s="20" t="str">
        <x:v>Web</x:v>
      </x:c>
      <x:c r="C784" s="35" t="str">
        <x:v>/apply/[token]</x:v>
      </x:c>
      <x:c r="D784" s="35" t="str">
        <x:v>web/src/routes/apply/[token]/+page.svelte</x:v>
      </x:c>
      <x:c r="E784" s="32" t="n">
        <x:v>339</x:v>
      </x:c>
      <x:c r="F784" s="20" t="str">
        <x:v>file</x:v>
      </x:c>
      <x:c r="G784" s="35" t="str">
        <x:v>apply-scan-input</x:v>
      </x:c>
      <x:c r="H784" s="35" t="str"/>
      <x:c r="I784" s="20" t="str">
        <x:v>Applicant / public user</x:v>
      </x:c>
      <x:c r="J784" s="23" t="n">
        <x:v>46653</x:v>
      </x:c>
      <x:c r="K784" s="35" t="str">
        <x:v>valid non-default; boundary/format value; blank/null when optional; invalid value when constrained</x:v>
      </x:c>
      <x:c r="L784" s="35" t="str">
        <x:v>Save succeeds; reload shows the exact normalized value; other client reads it where supported; edit persists; validation rejects invalid input without partial mutation.</x:v>
      </x:c>
    </x:row>
    <x:row r="785">
      <x:c r="A785" s="20" t="str">
        <x:v>FLD-0782</x:v>
      </x:c>
      <x:c r="B785" s="20" t="str">
        <x:v>Web</x:v>
      </x:c>
      <x:c r="C785" s="35" t="str">
        <x:v>/apply/[token]</x:v>
      </x:c>
      <x:c r="D785" s="35" t="str">
        <x:v>web/src/routes/apply/[token]/+page.svelte</x:v>
      </x:c>
      <x:c r="E785" s="32" t="n">
        <x:v>369</x:v>
      </x:c>
      <x:c r="F785" s="20" t="str">
        <x:v>single</x:v>
      </x:c>
      <x:c r="G785" s="35" t="str">
        <x:v>propertyValue</x:v>
      </x:c>
      <x:c r="H785" s="35" t="str"/>
      <x:c r="I785" s="20" t="str">
        <x:v>Applicant / public user</x:v>
      </x:c>
      <x:c r="J785" s="23" t="n">
        <x:v>46653</x:v>
      </x:c>
      <x:c r="K785" s="35" t="str">
        <x:v>valid non-default; boundary/format value; blank/null when optional; invalid value when constrained</x:v>
      </x:c>
      <x:c r="L785" s="35" t="str">
        <x:v>Save succeeds; reload shows the exact normalized value; other client reads it where supported; edit persists; validation rejects invalid input without partial mutation.</x:v>
      </x:c>
    </x:row>
    <x:row r="786">
      <x:c r="A786" s="20" t="str">
        <x:v>FLD-0783</x:v>
      </x:c>
      <x:c r="B786" s="20" t="str">
        <x:v>Web</x:v>
      </x:c>
      <x:c r="C786" s="35" t="str">
        <x:v>/apply/[token]</x:v>
      </x:c>
      <x:c r="D786" s="35" t="str">
        <x:v>web/src/routes/apply/[token]/+page.svelte</x:v>
      </x:c>
      <x:c r="E786" s="32" t="n">
        <x:v>374</x:v>
      </x:c>
      <x:c r="F786" s="20" t="str">
        <x:v>select</x:v>
      </x:c>
      <x:c r="G786" s="35" t="str">
        <x:v>apply-property-select</x:v>
      </x:c>
      <x:c r="H786" s="35" t="str"/>
      <x:c r="I786" s="20" t="str">
        <x:v>Applicant / public user</x:v>
      </x:c>
      <x:c r="J786" s="23" t="n">
        <x:v>46653</x:v>
      </x:c>
      <x:c r="K786" s="35" t="str">
        <x:v>valid non-default; boundary/format value; blank/null when optional; invalid value when constrained</x:v>
      </x:c>
      <x:c r="L786" s="35" t="str">
        <x:v>Save succeeds; reload shows the exact normalized value; other client reads it where supported; edit persists; validation rejects invalid input without partial mutation.</x:v>
      </x:c>
    </x:row>
    <x:row r="787">
      <x:c r="A787" s="20" t="str">
        <x:v>FLD-0784</x:v>
      </x:c>
      <x:c r="B787" s="20" t="str">
        <x:v>Web</x:v>
      </x:c>
      <x:c r="C787" s="35" t="str">
        <x:v>/apply/[token]</x:v>
      </x:c>
      <x:c r="D787" s="35" t="str">
        <x:v>web/src/routes/apply/[token]/+page.svelte</x:v>
      </x:c>
      <x:c r="E787" s="32" t="n">
        <x:v>379</x:v>
      </x:c>
      <x:c r="F787" s="20" t="str">
        <x:v>select</x:v>
      </x:c>
      <x:c r="G787" s="35" t="str">
        <x:v>Select-4</x:v>
      </x:c>
      <x:c r="H787" s="35" t="str"/>
      <x:c r="I787" s="20" t="str">
        <x:v>Applicant / public user</x:v>
      </x:c>
      <x:c r="J787" s="23" t="n">
        <x:v>46653</x:v>
      </x:c>
      <x:c r="K787" s="35" t="str">
        <x:v>valid non-default; boundary/format value; blank/null when optional; invalid value when constrained</x:v>
      </x:c>
      <x:c r="L787" s="35" t="str">
        <x:v>Save succeeds; reload shows the exact normalized value; other client reads it where supported; edit persists; validation rejects invalid input without partial mutation.</x:v>
      </x:c>
    </x:row>
    <x:row r="788">
      <x:c r="A788" s="20" t="str">
        <x:v>FLD-0785</x:v>
      </x:c>
      <x:c r="B788" s="20" t="str">
        <x:v>Web</x:v>
      </x:c>
      <x:c r="C788" s="35" t="str">
        <x:v>/apply/[token]</x:v>
      </x:c>
      <x:c r="D788" s="35" t="str">
        <x:v>web/src/routes/apply/[token]/+page.svelte</x:v>
      </x:c>
      <x:c r="E788" s="32" t="n">
        <x:v>380</x:v>
      </x:c>
      <x:c r="F788" s="20" t="str">
        <x:v>select</x:v>
      </x:c>
      <x:c r="G788" s="35" t="str">
        <x:v>Select-5</x:v>
      </x:c>
      <x:c r="H788" s="35" t="str"/>
      <x:c r="I788" s="20" t="str">
        <x:v>Applicant / public user</x:v>
      </x:c>
      <x:c r="J788" s="23" t="n">
        <x:v>46654</x:v>
      </x:c>
      <x:c r="K788" s="35" t="str">
        <x:v>valid non-default; boundary/format value; blank/null when optional; invalid value when constrained</x:v>
      </x:c>
      <x:c r="L788" s="35" t="str">
        <x:v>Save succeeds; reload shows the exact normalized value; other client reads it where supported; edit persists; validation rejects invalid input without partial mutation.</x:v>
      </x:c>
    </x:row>
    <x:row r="789">
      <x:c r="A789" s="20" t="str">
        <x:v>FLD-0786</x:v>
      </x:c>
      <x:c r="B789" s="20" t="str">
        <x:v>Web</x:v>
      </x:c>
      <x:c r="C789" s="35" t="str">
        <x:v>/apply/[token]</x:v>
      </x:c>
      <x:c r="D789" s="35" t="str">
        <x:v>web/src/routes/apply/[token]/+page.svelte</x:v>
      </x:c>
      <x:c r="E789" s="32" t="n">
        <x:v>382</x:v>
      </x:c>
      <x:c r="F789" s="20" t="str">
        <x:v>select</x:v>
      </x:c>
      <x:c r="G789" s="35" t="str">
        <x:v>Select-6</x:v>
      </x:c>
      <x:c r="H789" s="35" t="str"/>
      <x:c r="I789" s="20" t="str">
        <x:v>Applicant / public user</x:v>
      </x:c>
      <x:c r="J789" s="23" t="n">
        <x:v>46654</x:v>
      </x:c>
      <x:c r="K789" s="35" t="str">
        <x:v>valid non-default; boundary/format value; blank/null when optional; invalid value when constrained</x:v>
      </x:c>
      <x:c r="L789" s="35" t="str">
        <x:v>Save succeeds; reload shows the exact normalized value; other client reads it where supported; edit persists; validation rejects invalid input without partial mutation.</x:v>
      </x:c>
    </x:row>
    <x:row r="790">
      <x:c r="A790" s="20" t="str">
        <x:v>FLD-0787</x:v>
      </x:c>
      <x:c r="B790" s="20" t="str">
        <x:v>Web</x:v>
      </x:c>
      <x:c r="C790" s="35" t="str">
        <x:v>/apply/[token]</x:v>
      </x:c>
      <x:c r="D790" s="35" t="str">
        <x:v>web/src/routes/apply/[token]/+page.svelte</x:v>
      </x:c>
      <x:c r="E790" s="32" t="n">
        <x:v>396</x:v>
      </x:c>
      <x:c r="F790" s="20" t="str">
        <x:v>single</x:v>
      </x:c>
      <x:c r="G790" s="35" t="str">
        <x:v>unitValue</x:v>
      </x:c>
      <x:c r="H790" s="35" t="str"/>
      <x:c r="I790" s="20" t="str">
        <x:v>Applicant / public user</x:v>
      </x:c>
      <x:c r="J790" s="23" t="n">
        <x:v>46654</x:v>
      </x:c>
      <x:c r="K790" s="35" t="str">
        <x:v>valid non-default; boundary/format value; blank/null when optional; invalid value when constrained</x:v>
      </x:c>
      <x:c r="L790" s="35" t="str">
        <x:v>Save succeeds; reload shows the exact normalized value; other client reads it where supported; edit persists; validation rejects invalid input without partial mutation.</x:v>
      </x:c>
    </x:row>
    <x:row r="791">
      <x:c r="A791" s="20" t="str">
        <x:v>FLD-0788</x:v>
      </x:c>
      <x:c r="B791" s="20" t="str">
        <x:v>Web</x:v>
      </x:c>
      <x:c r="C791" s="35" t="str">
        <x:v>/apply/[token]</x:v>
      </x:c>
      <x:c r="D791" s="35" t="str">
        <x:v>web/src/routes/apply/[token]/+page.svelte</x:v>
      </x:c>
      <x:c r="E791" s="32" t="n">
        <x:v>397</x:v>
      </x:c>
      <x:c r="F791" s="20" t="str">
        <x:v>select</x:v>
      </x:c>
      <x:c r="G791" s="35" t="str">
        <x:v>apply-unit-select</x:v>
      </x:c>
      <x:c r="H791" s="35" t="str"/>
      <x:c r="I791" s="20" t="str">
        <x:v>Applicant / public user</x:v>
      </x:c>
      <x:c r="J791" s="23" t="n">
        <x:v>46654</x:v>
      </x:c>
      <x:c r="K791" s="35" t="str">
        <x:v>valid non-default; boundary/format value; blank/null when optional; invalid value when constrained</x:v>
      </x:c>
      <x:c r="L791" s="35" t="str">
        <x:v>Save succeeds; reload shows the exact normalized value; other client reads it where supported; edit persists; validation rejects invalid input without partial mutation.</x:v>
      </x:c>
    </x:row>
    <x:row r="792">
      <x:c r="A792" s="20" t="str">
        <x:v>FLD-0789</x:v>
      </x:c>
      <x:c r="B792" s="20" t="str">
        <x:v>Web</x:v>
      </x:c>
      <x:c r="C792" s="35" t="str">
        <x:v>/apply/[token]</x:v>
      </x:c>
      <x:c r="D792" s="35" t="str">
        <x:v>web/src/routes/apply/[token]/+page.svelte</x:v>
      </x:c>
      <x:c r="E792" s="32" t="n">
        <x:v>402</x:v>
      </x:c>
      <x:c r="F792" s="20" t="str">
        <x:v>select</x:v>
      </x:c>
      <x:c r="G792" s="35" t="str">
        <x:v>Select-9</x:v>
      </x:c>
      <x:c r="H792" s="35" t="str"/>
      <x:c r="I792" s="20" t="str">
        <x:v>Applicant / public user</x:v>
      </x:c>
      <x:c r="J792" s="23" t="n">
        <x:v>46657</x:v>
      </x:c>
      <x:c r="K792" s="35" t="str">
        <x:v>valid non-default; boundary/format value; blank/null when optional; invalid value when constrained</x:v>
      </x:c>
      <x:c r="L792" s="35" t="str">
        <x:v>Save succeeds; reload shows the exact normalized value; other client reads it where supported; edit persists; validation rejects invalid input without partial mutation.</x:v>
      </x:c>
    </x:row>
    <x:row r="793">
      <x:c r="A793" s="20" t="str">
        <x:v>FLD-0790</x:v>
      </x:c>
      <x:c r="B793" s="20" t="str">
        <x:v>Web</x:v>
      </x:c>
      <x:c r="C793" s="35" t="str">
        <x:v>/apply/[token]</x:v>
      </x:c>
      <x:c r="D793" s="35" t="str">
        <x:v>web/src/routes/apply/[token]/+page.svelte</x:v>
      </x:c>
      <x:c r="E793" s="32" t="n">
        <x:v>403</x:v>
      </x:c>
      <x:c r="F793" s="20" t="str">
        <x:v>select</x:v>
      </x:c>
      <x:c r="G793" s="35" t="str">
        <x:v>Select-10</x:v>
      </x:c>
      <x:c r="H793" s="35" t="str"/>
      <x:c r="I793" s="20" t="str">
        <x:v>Applicant / public user</x:v>
      </x:c>
      <x:c r="J793" s="23" t="n">
        <x:v>46657</x:v>
      </x:c>
      <x:c r="K793" s="35" t="str">
        <x:v>valid non-default; boundary/format value; blank/null when optional; invalid value when constrained</x:v>
      </x:c>
      <x:c r="L793" s="35" t="str">
        <x:v>Save succeeds; reload shows the exact normalized value; other client reads it where supported; edit persists; validation rejects invalid input without partial mutation.</x:v>
      </x:c>
    </x:row>
    <x:row r="794">
      <x:c r="A794" s="20" t="str">
        <x:v>FLD-0791</x:v>
      </x:c>
      <x:c r="B794" s="20" t="str">
        <x:v>Web</x:v>
      </x:c>
      <x:c r="C794" s="35" t="str">
        <x:v>/apply/[token]</x:v>
      </x:c>
      <x:c r="D794" s="35" t="str">
        <x:v>web/src/routes/apply/[token]/+page.svelte</x:v>
      </x:c>
      <x:c r="E794" s="32" t="n">
        <x:v>407</x:v>
      </x:c>
      <x:c r="F794" s="20" t="str">
        <x:v>select</x:v>
      </x:c>
      <x:c r="G794" s="35" t="str">
        <x:v>Select-11</x:v>
      </x:c>
      <x:c r="H794" s="35" t="str"/>
      <x:c r="I794" s="20" t="str">
        <x:v>Applicant / public user</x:v>
      </x:c>
      <x:c r="J794" s="23" t="n">
        <x:v>46657</x:v>
      </x:c>
      <x:c r="K794" s="35" t="str">
        <x:v>valid non-default; boundary/format value; blank/null when optional; invalid value when constrained</x:v>
      </x:c>
      <x:c r="L794" s="35" t="str">
        <x:v>Save succeeds; reload shows the exact normalized value; other client reads it where supported; edit persists; validation rejects invalid input without partial mutation.</x:v>
      </x:c>
    </x:row>
    <x:row r="795">
      <x:c r="A795" s="20" t="str">
        <x:v>FLD-0792</x:v>
      </x:c>
      <x:c r="B795" s="20" t="str">
        <x:v>Web</x:v>
      </x:c>
      <x:c r="C795" s="35" t="str">
        <x:v>/apply/[token]</x:v>
      </x:c>
      <x:c r="D795" s="35" t="str">
        <x:v>web/src/routes/apply/[token]/+page.svelte</x:v>
      </x:c>
      <x:c r="E795" s="32" t="n">
        <x:v>482</x:v>
      </x:c>
      <x:c r="F795" s="20" t="str">
        <x:v>textarea</x:v>
      </x:c>
      <x:c r="G795" s="35" t="str">
        <x:v>apply-notes-input</x:v>
      </x:c>
      <x:c r="H795" s="35" t="str">
        <x:v>Pets, co-applicants, questions… (optional)</x:v>
      </x:c>
      <x:c r="I795" s="20" t="str">
        <x:v>Applicant / public user</x:v>
      </x:c>
      <x:c r="J795" s="23" t="n">
        <x:v>46657</x:v>
      </x:c>
      <x:c r="K795" s="35" t="str">
        <x:v>valid non-default; boundary/format value; blank/null when optional; invalid value when constrained</x:v>
      </x:c>
      <x:c r="L795" s="35" t="str">
        <x:v>Save succeeds; reload shows the exact normalized value; other client reads it where supported; edit persists; validation rejects invalid input without partial mutation.</x:v>
      </x:c>
    </x:row>
    <x:row r="796">
      <x:c r="A796" s="20" t="str">
        <x:v>FLD-0793</x:v>
      </x:c>
      <x:c r="B796" s="20" t="str">
        <x:v>Web</x:v>
      </x:c>
      <x:c r="C796" s="35" t="str">
        <x:v>/apply/[token]</x:v>
      </x:c>
      <x:c r="D796" s="35" t="str">
        <x:v>web/src/routes/apply/[token]/+page.svelte</x:v>
      </x:c>
      <x:c r="E796" s="32" t="n">
        <x:v>495</x:v>
      </x:c>
      <x:c r="F796" s="20" t="str">
        <x:v>checkbox</x:v>
      </x:c>
      <x:c r="G796" s="35" t="str">
        <x:v>consentGiven</x:v>
      </x:c>
      <x:c r="H796" s="35" t="str"/>
      <x:c r="I796" s="20" t="str">
        <x:v>Applicant / public user</x:v>
      </x:c>
      <x:c r="J796" s="23" t="n">
        <x:v>46657</x:v>
      </x:c>
      <x:c r="K796" s="35" t="str">
        <x:v>valid non-default; boundary/format value; blank/null when optional; invalid value when constrained</x:v>
      </x:c>
      <x:c r="L796" s="35" t="str">
        <x:v>Save succeeds; reload shows the exact normalized value; other client reads it where supported; edit persists; validation rejects invalid input without partial mutation.</x:v>
      </x:c>
    </x:row>
    <x:row r="797">
      <x:c r="A797" s="20" t="str">
        <x:v>FLD-0794</x:v>
      </x:c>
      <x:c r="B797" s="20" t="str">
        <x:v>Web</x:v>
      </x:c>
      <x:c r="C797" s="35" t="str">
        <x:v>/apply/[token]</x:v>
      </x:c>
      <x:c r="D797" s="35" t="str">
        <x:v>web/src/routes/apply/[token]/+page.svelte</x:v>
      </x:c>
      <x:c r="E797" s="32" t="n">
        <x:v>582</x:v>
      </x:c>
      <x:c r="F797" s="20" t="str">
        <x:v>opts.type ?? 'text'</x:v>
      </x:c>
      <x:c r="G797" s="35" t="str">
        <x:v>input-14</x:v>
      </x:c>
      <x:c r="H797" s="35" t="str"/>
      <x:c r="I797" s="20" t="str">
        <x:v>Applicant / public user</x:v>
      </x:c>
      <x:c r="J797" s="23" t="n">
        <x:v>46658</x:v>
      </x:c>
      <x:c r="K797" s="35" t="str">
        <x:v>valid non-default; boundary/format value; blank/null when optional; invalid value when constrained</x:v>
      </x:c>
      <x:c r="L797" s="35" t="str">
        <x:v>Save succeeds; reload shows the exact normalized value; other client reads it where supported; edit persists; validation rejects invalid input without partial mutation.</x:v>
      </x:c>
    </x:row>
    <x:row r="798">
      <x:c r="A798" s="20" t="str">
        <x:v>FLD-0795</x:v>
      </x:c>
      <x:c r="B798" s="20" t="str">
        <x:v>Web</x:v>
      </x:c>
      <x:c r="C798" s="35" t="str">
        <x:v>/forgot-password</x:v>
      </x:c>
      <x:c r="D798" s="35" t="str">
        <x:v>web/src/routes/forgot-password/+page.svelte</x:v>
      </x:c>
      <x:c r="E798" s="32" t="n">
        <x:v>60</x:v>
      </x:c>
      <x:c r="F798" s="20" t="str">
        <x:v>email</x:v>
      </x:c>
      <x:c r="G798" s="35" t="str">
        <x:v>email</x:v>
      </x:c>
      <x:c r="H798" s="35" t="str">
        <x:v>Email</x:v>
      </x:c>
      <x:c r="I798" s="20" t="str">
        <x:v>Applicant / public user</x:v>
      </x:c>
      <x:c r="J798" s="23" t="n">
        <x:v>46658</x:v>
      </x:c>
      <x:c r="K798" s="35" t="str">
        <x:v>valid non-default; boundary/format value; blank/null when optional; invalid value when constrained</x:v>
      </x:c>
      <x:c r="L798" s="35" t="str">
        <x:v>Save succeeds; reload shows the exact normalized value; other client reads it where supported; edit persists; validation rejects invalid input without partial mutation.</x:v>
      </x:c>
    </x:row>
    <x:row r="799">
      <x:c r="A799" s="20" t="str">
        <x:v>FLD-0796</x:v>
      </x:c>
      <x:c r="B799" s="20" t="str">
        <x:v>Web</x:v>
      </x:c>
      <x:c r="C799" s="35" t="str">
        <x:v>/login</x:v>
      </x:c>
      <x:c r="D799" s="35" t="str">
        <x:v>web/src/routes/login/+page.svelte</x:v>
      </x:c>
      <x:c r="E799" s="32" t="n">
        <x:v>108</x:v>
      </x:c>
      <x:c r="F799" s="20" t="str">
        <x:v>hidden</x:v>
      </x:c>
      <x:c r="G799" s="35" t="str">
        <x:v>redirectTo</x:v>
      </x:c>
      <x:c r="H799" s="35" t="str"/>
      <x:c r="I799" s="20" t="str">
        <x:v>Applicant / public user</x:v>
      </x:c>
      <x:c r="J799" s="23" t="n">
        <x:v>46658</x:v>
      </x:c>
      <x:c r="K799" s="35" t="str">
        <x:v>valid non-default; boundary/format value; blank/null when optional; invalid value when constrained</x:v>
      </x:c>
      <x:c r="L799" s="35" t="str">
        <x:v>Save succeeds; reload shows the exact normalized value; other client reads it where supported; edit persists; validation rejects invalid input without partial mutation.</x:v>
      </x:c>
    </x:row>
    <x:row r="800">
      <x:c r="A800" s="20" t="str">
        <x:v>FLD-0797</x:v>
      </x:c>
      <x:c r="B800" s="20" t="str">
        <x:v>Web</x:v>
      </x:c>
      <x:c r="C800" s="35" t="str">
        <x:v>/login</x:v>
      </x:c>
      <x:c r="D800" s="35" t="str">
        <x:v>web/src/routes/login/+page.svelte</x:v>
      </x:c>
      <x:c r="E800" s="32" t="n">
        <x:v>115</x:v>
      </x:c>
      <x:c r="F800" s="20" t="str">
        <x:v>select</x:v>
      </x:c>
      <x:c r="G800" s="35" t="str">
        <x:v>accessContextId</x:v>
      </x:c>
      <x:c r="H800" s="35" t="str">
        <x:v>Which workspace do you want to open?</x:v>
      </x:c>
      <x:c r="I800" s="20" t="str">
        <x:v>Applicant / public user</x:v>
      </x:c>
      <x:c r="J800" s="23" t="n">
        <x:v>46658</x:v>
      </x:c>
      <x:c r="K800" s="35" t="str">
        <x:v>valid non-default; boundary/format value; blank/null when optional; invalid value when constrained</x:v>
      </x:c>
      <x:c r="L800" s="35" t="str">
        <x:v>Save succeeds; reload shows the exact normalized value; other client reads it where supported; edit persists; validation rejects invalid input without partial mutation.</x:v>
      </x:c>
    </x:row>
    <x:row r="801">
      <x:c r="A801" s="20" t="str">
        <x:v>FLD-0798</x:v>
      </x:c>
      <x:c r="B801" s="20" t="str">
        <x:v>Web</x:v>
      </x:c>
      <x:c r="C801" s="35" t="str">
        <x:v>/login</x:v>
      </x:c>
      <x:c r="D801" s="35" t="str">
        <x:v>web/src/routes/login/+page.svelte</x:v>
      </x:c>
      <x:c r="E801" s="32" t="n">
        <x:v>135</x:v>
      </x:c>
      <x:c r="F801" s="20" t="str">
        <x:v>email</x:v>
      </x:c>
      <x:c r="G801" s="35" t="str">
        <x:v>email</x:v>
      </x:c>
      <x:c r="H801" s="35" t="str">
        <x:v>Email</x:v>
      </x:c>
      <x:c r="I801" s="20" t="str">
        <x:v>Applicant / public user</x:v>
      </x:c>
      <x:c r="J801" s="23" t="n">
        <x:v>46659</x:v>
      </x:c>
      <x:c r="K801" s="35" t="str">
        <x:v>valid non-default; boundary/format value; blank/null when optional; invalid value when constrained</x:v>
      </x:c>
      <x:c r="L801" s="35" t="str">
        <x:v>Save succeeds; reload shows the exact normalized value; other client reads it where supported; edit persists; validation rejects invalid input without partial mutation.</x:v>
      </x:c>
    </x:row>
    <x:row r="802">
      <x:c r="A802" s="20" t="str">
        <x:v>FLD-0799</x:v>
      </x:c>
      <x:c r="B802" s="20" t="str">
        <x:v>Web</x:v>
      </x:c>
      <x:c r="C802" s="35" t="str">
        <x:v>/login</x:v>
      </x:c>
      <x:c r="D802" s="35" t="str">
        <x:v>web/src/routes/login/+page.svelte</x:v>
      </x:c>
      <x:c r="E802" s="32" t="n">
        <x:v>159</x:v>
      </x:c>
      <x:c r="F802" s="20" t="str">
        <x:v>password</x:v>
      </x:c>
      <x:c r="G802" s="35" t="str">
        <x:v>password</x:v>
      </x:c>
      <x:c r="H802" s="35" t="str">
        <x:v>Password</x:v>
      </x:c>
      <x:c r="I802" s="20" t="str">
        <x:v>Applicant / public user</x:v>
      </x:c>
      <x:c r="J802" s="23" t="n">
        <x:v>46659</x:v>
      </x:c>
      <x:c r="K802" s="35" t="str">
        <x:v>valid non-default; boundary/format value; blank/null when optional; invalid value when constrained</x:v>
      </x:c>
      <x:c r="L802" s="35" t="str">
        <x:v>Save succeeds; reload shows the exact normalized value; other client reads it where supported; edit persists; validation rejects invalid input without partial mutation.</x:v>
      </x:c>
    </x:row>
    <x:row r="803">
      <x:c r="A803" s="20" t="str">
        <x:v>FLD-0800</x:v>
      </x:c>
      <x:c r="B803" s="20" t="str">
        <x:v>Web</x:v>
      </x:c>
      <x:c r="C803" s="35" t="str">
        <x:v>/register</x:v>
      </x:c>
      <x:c r="D803" s="35" t="str">
        <x:v>web/src/routes/register/+page.svelte</x:v>
      </x:c>
      <x:c r="E803" s="32" t="n">
        <x:v>99</x:v>
      </x:c>
      <x:c r="F803" s="20" t="str">
        <x:v>text</x:v>
      </x:c>
      <x:c r="G803" s="35" t="str">
        <x:v>displayName</x:v>
      </x:c>
      <x:c r="H803" s="35" t="str">
        <x:v>Display name</x:v>
      </x:c>
      <x:c r="I803" s="20" t="str">
        <x:v>Applicant / public user</x:v>
      </x:c>
      <x:c r="J803" s="23" t="n">
        <x:v>46659</x:v>
      </x:c>
      <x:c r="K803" s="35" t="str">
        <x:v>valid non-default; boundary/format value; blank/null when optional; invalid value when constrained</x:v>
      </x:c>
      <x:c r="L803" s="35" t="str">
        <x:v>Save succeeds; reload shows the exact normalized value; other client reads it where supported; edit persists; validation rejects invalid input without partial mutation.</x:v>
      </x:c>
    </x:row>
    <x:row r="804">
      <x:c r="A804" s="20" t="str">
        <x:v>FLD-0801</x:v>
      </x:c>
      <x:c r="B804" s="20" t="str">
        <x:v>Web</x:v>
      </x:c>
      <x:c r="C804" s="35" t="str">
        <x:v>/register</x:v>
      </x:c>
      <x:c r="D804" s="35" t="str">
        <x:v>web/src/routes/register/+page.svelte</x:v>
      </x:c>
      <x:c r="E804" s="32" t="n">
        <x:v>116</x:v>
      </x:c>
      <x:c r="F804" s="20" t="str">
        <x:v>email</x:v>
      </x:c>
      <x:c r="G804" s="35" t="str">
        <x:v>email</x:v>
      </x:c>
      <x:c r="H804" s="35" t="str">
        <x:v>Email</x:v>
      </x:c>
      <x:c r="I804" s="20" t="str">
        <x:v>Applicant / public user</x:v>
      </x:c>
      <x:c r="J804" s="23" t="n">
        <x:v>46659</x:v>
      </x:c>
      <x:c r="K804" s="35" t="str">
        <x:v>valid non-default; boundary/format value; blank/null when optional; invalid value when constrained</x:v>
      </x:c>
      <x:c r="L804" s="35" t="str">
        <x:v>Save succeeds; reload shows the exact normalized value; other client reads it where supported; edit persists; validation rejects invalid input without partial mutation.</x:v>
      </x:c>
    </x:row>
    <x:row r="805">
      <x:c r="A805" s="20" t="str">
        <x:v>FLD-0802</x:v>
      </x:c>
      <x:c r="B805" s="20" t="str">
        <x:v>Web</x:v>
      </x:c>
      <x:c r="C805" s="35" t="str">
        <x:v>/register</x:v>
      </x:c>
      <x:c r="D805" s="35" t="str">
        <x:v>web/src/routes/register/+page.svelte</x:v>
      </x:c>
      <x:c r="E805" s="32" t="n">
        <x:v>134</x:v>
      </x:c>
      <x:c r="F805" s="20" t="str">
        <x:v>password</x:v>
      </x:c>
      <x:c r="G805" s="35" t="str">
        <x:v>password</x:v>
      </x:c>
      <x:c r="H805" s="35" t="str">
        <x:v>Password (min. 8 characters)</x:v>
      </x:c>
      <x:c r="I805" s="20" t="str">
        <x:v>Applicant / public user</x:v>
      </x:c>
      <x:c r="J805" s="23" t="n">
        <x:v>46659</x:v>
      </x:c>
      <x:c r="K805" s="35" t="str">
        <x:v>valid non-default; boundary/format value; blank/null when optional; invalid value when constrained</x:v>
      </x:c>
      <x:c r="L805" s="35" t="str">
        <x:v>Save succeeds; reload shows the exact normalized value; other client reads it where supported; edit persists; validation rejects invalid input without partial mutation.</x:v>
      </x:c>
    </x:row>
    <x:row r="806">
      <x:c r="A806" s="20" t="str">
        <x:v>FLD-0803</x:v>
      </x:c>
      <x:c r="B806" s="20" t="str">
        <x:v>Web</x:v>
      </x:c>
      <x:c r="C806" s="35" t="str">
        <x:v>/register</x:v>
      </x:c>
      <x:c r="D806" s="35" t="str">
        <x:v>web/src/routes/register/+page.svelte</x:v>
      </x:c>
      <x:c r="E806" s="32" t="n">
        <x:v>159</x:v>
      </x:c>
      <x:c r="F806" s="20" t="str">
        <x:v>password</x:v>
      </x:c>
      <x:c r="G806" s="35" t="str">
        <x:v>confirmPassword</x:v>
      </x:c>
      <x:c r="H806" s="35" t="str">
        <x:v>Confirm password</x:v>
      </x:c>
      <x:c r="I806" s="20" t="str">
        <x:v>Applicant / public user</x:v>
      </x:c>
      <x:c r="J806" s="23" t="n">
        <x:v>46660</x:v>
      </x:c>
      <x:c r="K806" s="35" t="str">
        <x:v>valid non-default; boundary/format value; blank/null when optional; invalid value when constrained</x:v>
      </x:c>
      <x:c r="L806" s="35" t="str">
        <x:v>Save succeeds; reload shows the exact normalized value; other client reads it where supported; edit persists; validation rejects invalid input without partial mutation.</x:v>
      </x:c>
    </x:row>
    <x:row r="807">
      <x:c r="A807" s="20" t="str">
        <x:v>FLD-0804</x:v>
      </x:c>
      <x:c r="B807" s="20" t="str">
        <x:v>Web</x:v>
      </x:c>
      <x:c r="C807" s="35" t="str">
        <x:v>/reset-password</x:v>
      </x:c>
      <x:c r="D807" s="35" t="str">
        <x:v>web/src/routes/reset-password/+page.svelte</x:v>
      </x:c>
      <x:c r="E807" s="32" t="n">
        <x:v>72</x:v>
      </x:c>
      <x:c r="F807" s="20" t="str">
        <x:v>hidden</x:v>
      </x:c>
      <x:c r="G807" s="35" t="str">
        <x:v>userId</x:v>
      </x:c>
      <x:c r="H807" s="35" t="str"/>
      <x:c r="I807" s="20" t="str">
        <x:v>Applicant / public user</x:v>
      </x:c>
      <x:c r="J807" s="23" t="n">
        <x:v>46660</x:v>
      </x:c>
      <x:c r="K807" s="35" t="str">
        <x:v>valid non-default; boundary/format value; blank/null when optional; invalid value when constrained</x:v>
      </x:c>
      <x:c r="L807" s="35" t="str">
        <x:v>Save succeeds; reload shows the exact normalized value; other client reads it where supported; edit persists; validation rejects invalid input without partial mutation.</x:v>
      </x:c>
    </x:row>
    <x:row r="808">
      <x:c r="A808" s="20" t="str">
        <x:v>FLD-0805</x:v>
      </x:c>
      <x:c r="B808" s="20" t="str">
        <x:v>Web</x:v>
      </x:c>
      <x:c r="C808" s="35" t="str">
        <x:v>/reset-password</x:v>
      </x:c>
      <x:c r="D808" s="35" t="str">
        <x:v>web/src/routes/reset-password/+page.svelte</x:v>
      </x:c>
      <x:c r="E808" s="32" t="n">
        <x:v>73</x:v>
      </x:c>
      <x:c r="F808" s="20" t="str">
        <x:v>hidden</x:v>
      </x:c>
      <x:c r="G808" s="35" t="str">
        <x:v>token</x:v>
      </x:c>
      <x:c r="H808" s="35" t="str"/>
      <x:c r="I808" s="20" t="str">
        <x:v>Applicant / public user</x:v>
      </x:c>
      <x:c r="J808" s="23" t="n">
        <x:v>46660</x:v>
      </x:c>
      <x:c r="K808" s="35" t="str">
        <x:v>valid non-default; boundary/format value; blank/null when optional; invalid value when constrained</x:v>
      </x:c>
      <x:c r="L808" s="35" t="str">
        <x:v>Save succeeds; reload shows the exact normalized value; other client reads it where supported; edit persists; validation rejects invalid input without partial mutation.</x:v>
      </x:c>
    </x:row>
    <x:row r="809">
      <x:c r="A809" s="20" t="str">
        <x:v>FLD-0806</x:v>
      </x:c>
      <x:c r="B809" s="20" t="str">
        <x:v>Web</x:v>
      </x:c>
      <x:c r="C809" s="35" t="str">
        <x:v>/reset-password</x:v>
      </x:c>
      <x:c r="D809" s="35" t="str">
        <x:v>web/src/routes/reset-password/+page.svelte</x:v>
      </x:c>
      <x:c r="E809" s="32" t="n">
        <x:v>79</x:v>
      </x:c>
      <x:c r="F809" s="20" t="str">
        <x:v>password</x:v>
      </x:c>
      <x:c r="G809" s="35" t="str">
        <x:v>newPassword</x:v>
      </x:c>
      <x:c r="H809" s="35" t="str">
        <x:v>New password (min. 8 characters)</x:v>
      </x:c>
      <x:c r="I809" s="20" t="str">
        <x:v>Applicant / public user</x:v>
      </x:c>
      <x:c r="J809" s="23" t="n">
        <x:v>46660</x:v>
      </x:c>
      <x:c r="K809" s="35" t="str">
        <x:v>valid non-default; boundary/format value; blank/null when optional; invalid value when constrained</x:v>
      </x:c>
      <x:c r="L809" s="35" t="str">
        <x:v>Save succeeds; reload shows the exact normalized value; other client reads it where supported; edit persists; validation rejects invalid input without partial mutation.</x:v>
      </x:c>
    </x:row>
    <x:row r="810">
      <x:c r="A810" s="20" t="str">
        <x:v>FLD-0807</x:v>
      </x:c>
      <x:c r="B810" s="20" t="str">
        <x:v>Web</x:v>
      </x:c>
      <x:c r="C810" s="35" t="str">
        <x:v>/reset-password</x:v>
      </x:c>
      <x:c r="D810" s="35" t="str">
        <x:v>web/src/routes/reset-password/+page.svelte</x:v>
      </x:c>
      <x:c r="E810" s="32" t="n">
        <x:v>95</x:v>
      </x:c>
      <x:c r="F810" s="20" t="str">
        <x:v>password</x:v>
      </x:c>
      <x:c r="G810" s="35" t="str">
        <x:v>confirmPassword</x:v>
      </x:c>
      <x:c r="H810" s="35" t="str">
        <x:v>Confirm new password</x:v>
      </x:c>
      <x:c r="I810" s="20" t="str">
        <x:v>Applicant / public user</x:v>
      </x:c>
      <x:c r="J810" s="23" t="n">
        <x:v>46661</x:v>
      </x:c>
      <x:c r="K810" s="35" t="str">
        <x:v>valid non-default; boundary/format value; blank/null when optional; invalid value when constrained</x:v>
      </x:c>
      <x:c r="L810" s="35" t="str">
        <x:v>Save succeeds; reload shows the exact normalized value; other client reads it where supported; edit persists; validation rejects invalid input without partial mutation.</x:v>
      </x:c>
    </x:row>
    <x:row r="811">
      <x:c r="A811" s="20" t="str">
        <x:v>FLD-0808</x:v>
      </x:c>
      <x:c r="B811" s="20" t="str">
        <x:v>Mobile</x:v>
      </x:c>
      <x:c r="C811" s="35" t="str">
        <x:v>core/widgets/mobile_grid_controls.dart</x:v>
      </x:c>
      <x:c r="D811" s="35" t="str">
        <x:v>mobile/lib/core/widgets/mobile_grid_controls.dart</x:v>
      </x:c>
      <x:c r="E811" s="32" t="n">
        <x:v>479</x:v>
      </x:c>
      <x:c r="F811" s="20" t="str">
        <x:v>DropdownButtonFormField</x:v>
      </x:c>
      <x:c r="G811" s="35" t="str">
        <x:v>onChanged</x:v>
      </x:c>
      <x:c r="H811" s="35" t="str"/>
      <x:c r="I811" s="20" t="str">
        <x:v>Property Manager</x:v>
      </x:c>
      <x:c r="J811" s="23" t="n">
        <x:v>46661</x:v>
      </x:c>
      <x:c r="K811" s="35" t="str">
        <x:v>valid non-default; boundary/format value; blank/null when optional; invalid value when constrained</x:v>
      </x:c>
      <x:c r="L811" s="35" t="str">
        <x:v>Save succeeds; close/reopen shows the exact normalized value; web reads it where supported; edit persists; validation rejects invalid input without partial mutation.</x:v>
      </x:c>
    </x:row>
    <x:row r="812">
      <x:c r="A812" s="20" t="str">
        <x:v>FLD-0809</x:v>
      </x:c>
      <x:c r="B812" s="20" t="str">
        <x:v>Mobile</x:v>
      </x:c>
      <x:c r="C812" s="35" t="str">
        <x:v>features/ai/qa_screen.dart</x:v>
      </x:c>
      <x:c r="D812" s="35" t="str">
        <x:v>mobile/lib/features/ai/qa_screen.dart</x:v>
      </x:c>
      <x:c r="E812" s="32" t="n">
        <x:v>1271</x:v>
      </x:c>
      <x:c r="F812" s="20" t="str">
        <x:v>TextField</x:v>
      </x:c>
      <x:c r="G812" s="35" t="str">
        <x:v>controller</x:v>
      </x:c>
      <x:c r="H812" s="35" t="str">
        <x:v>Ask anything about your properties…</x:v>
      </x:c>
      <x:c r="I812" s="20" t="str">
        <x:v>Applicant / public user</x:v>
      </x:c>
      <x:c r="J812" s="23" t="n">
        <x:v>46661</x:v>
      </x:c>
      <x:c r="K812" s="35" t="str">
        <x:v>valid non-default; boundary/format value; blank/null when optional; invalid value when constrained</x:v>
      </x:c>
      <x:c r="L812" s="35" t="str">
        <x:v>Save succeeds; close/reopen shows the exact normalized value; web reads it where supported; edit persists; validation rejects invalid input without partial mutation.</x:v>
      </x:c>
    </x:row>
    <x:row r="813">
      <x:c r="A813" s="20" t="str">
        <x:v>FLD-0810</x:v>
      </x:c>
      <x:c r="B813" s="20" t="str">
        <x:v>Mobile</x:v>
      </x:c>
      <x:c r="C813" s="35" t="str">
        <x:v>features/applications/application_detail_screen.dart</x:v>
      </x:c>
      <x:c r="D813" s="35" t="str">
        <x:v>mobile/lib/features/applications/application_detail_screen.dart</x:v>
      </x:c>
      <x:c r="E813" s="32" t="n">
        <x:v>1051</x:v>
      </x:c>
      <x:c r="F813" s="20" t="str">
        <x:v>TextField</x:v>
      </x:c>
      <x:c r="G813" s="35" t="str">
        <x:v>_firstName</x:v>
      </x:c>
      <x:c r="H813" s="35" t="str">
        <x:v>First name</x:v>
      </x:c>
      <x:c r="I813" s="20" t="str">
        <x:v>Applicant / public user</x:v>
      </x:c>
      <x:c r="J813" s="23" t="n">
        <x:v>46661</x:v>
      </x:c>
      <x:c r="K813" s="35" t="str">
        <x:v>valid non-default; boundary/format value; blank/null when optional; invalid value when constrained</x:v>
      </x:c>
      <x:c r="L813" s="35" t="str">
        <x:v>Save succeeds; close/reopen shows the exact normalized value; web reads it where supported; edit persists; validation rejects invalid input without partial mutation.</x:v>
      </x:c>
    </x:row>
    <x:row r="814">
      <x:c r="A814" s="20" t="str">
        <x:v>FLD-0811</x:v>
      </x:c>
      <x:c r="B814" s="20" t="str">
        <x:v>Mobile</x:v>
      </x:c>
      <x:c r="C814" s="35" t="str">
        <x:v>features/applications/application_detail_screen.dart</x:v>
      </x:c>
      <x:c r="D814" s="35" t="str">
        <x:v>mobile/lib/features/applications/application_detail_screen.dart</x:v>
      </x:c>
      <x:c r="E814" s="32" t="n">
        <x:v>1062</x:v>
      </x:c>
      <x:c r="F814" s="20" t="str">
        <x:v>TextField</x:v>
      </x:c>
      <x:c r="G814" s="35" t="str">
        <x:v>_lastName</x:v>
      </x:c>
      <x:c r="H814" s="35" t="str">
        <x:v>Last name</x:v>
      </x:c>
      <x:c r="I814" s="20" t="str">
        <x:v>Applicant / public user</x:v>
      </x:c>
      <x:c r="J814" s="23" t="n">
        <x:v>46661</x:v>
      </x:c>
      <x:c r="K814" s="35" t="str">
        <x:v>valid non-default; boundary/format value; blank/null when optional; invalid value when constrained</x:v>
      </x:c>
      <x:c r="L814" s="35" t="str">
        <x:v>Save succeeds; close/reopen shows the exact normalized value; web reads it where supported; edit persists; validation rejects invalid input without partial mutation.</x:v>
      </x:c>
    </x:row>
    <x:row r="815">
      <x:c r="A815" s="20" t="str">
        <x:v>FLD-0812</x:v>
      </x:c>
      <x:c r="B815" s="20" t="str">
        <x:v>Mobile</x:v>
      </x:c>
      <x:c r="C815" s="35" t="str">
        <x:v>features/applications/application_detail_screen.dart</x:v>
      </x:c>
      <x:c r="D815" s="35" t="str">
        <x:v>mobile/lib/features/applications/application_detail_screen.dart</x:v>
      </x:c>
      <x:c r="E815" s="32" t="n">
        <x:v>1074</x:v>
      </x:c>
      <x:c r="F815" s="20" t="str">
        <x:v>TextField</x:v>
      </x:c>
      <x:c r="G815" s="35" t="str">
        <x:v>_email</x:v>
      </x:c>
      <x:c r="H815" s="35" t="str">
        <x:v>Email</x:v>
      </x:c>
      <x:c r="I815" s="20" t="str">
        <x:v>Applicant / public user</x:v>
      </x:c>
      <x:c r="J815" s="23" t="n">
        <x:v>46664</x:v>
      </x:c>
      <x:c r="K815" s="35" t="str">
        <x:v>valid non-default; boundary/format value; blank/null when optional; invalid value when constrained</x:v>
      </x:c>
      <x:c r="L815" s="35" t="str">
        <x:v>Save succeeds; close/reopen shows the exact normalized value; web reads it where supported; edit persists; validation rejects invalid input without partial mutation.</x:v>
      </x:c>
    </x:row>
    <x:row r="816">
      <x:c r="A816" s="20" t="str">
        <x:v>FLD-0813</x:v>
      </x:c>
      <x:c r="B816" s="20" t="str">
        <x:v>Mobile</x:v>
      </x:c>
      <x:c r="C816" s="35" t="str">
        <x:v>features/applications/application_detail_screen.dart</x:v>
      </x:c>
      <x:c r="D816" s="35" t="str">
        <x:v>mobile/lib/features/applications/application_detail_screen.dart</x:v>
      </x:c>
      <x:c r="E816" s="32" t="n">
        <x:v>1083</x:v>
      </x:c>
      <x:c r="F816" s="20" t="str">
        <x:v>TextField</x:v>
      </x:c>
      <x:c r="G816" s="35" t="str">
        <x:v>_phone</x:v>
      </x:c>
      <x:c r="H816" s="35" t="str">
        <x:v>Phone</x:v>
      </x:c>
      <x:c r="I816" s="20" t="str">
        <x:v>Applicant / public user</x:v>
      </x:c>
      <x:c r="J816" s="23" t="n">
        <x:v>46664</x:v>
      </x:c>
      <x:c r="K816" s="35" t="str">
        <x:v>valid non-default; boundary/format value; blank/null when optional; invalid value when constrained</x:v>
      </x:c>
      <x:c r="L816" s="35" t="str">
        <x:v>Save succeeds; close/reopen shows the exact normalized value; web reads it where supported; edit persists; validation rejects invalid input without partial mutation.</x:v>
      </x:c>
    </x:row>
    <x:row r="817">
      <x:c r="A817" s="20" t="str">
        <x:v>FLD-0814</x:v>
      </x:c>
      <x:c r="B817" s="20" t="str">
        <x:v>Mobile</x:v>
      </x:c>
      <x:c r="C817" s="35" t="str">
        <x:v>features/applications/application_detail_screen.dart</x:v>
      </x:c>
      <x:c r="D817" s="35" t="str">
        <x:v>mobile/lib/features/applications/application_detail_screen.dart</x:v>
      </x:c>
      <x:c r="E817" s="32" t="n">
        <x:v>1095</x:v>
      </x:c>
      <x:c r="F817" s="20" t="str">
        <x:v>TextField</x:v>
      </x:c>
      <x:c r="G817" s="35" t="str">
        <x:v>_dateOfBirth</x:v>
      </x:c>
      <x:c r="H817" s="35" t="str">
        <x:v>Date of birth</x:v>
      </x:c>
      <x:c r="I817" s="20" t="str">
        <x:v>Applicant / public user</x:v>
      </x:c>
      <x:c r="J817" s="23" t="n">
        <x:v>46664</x:v>
      </x:c>
      <x:c r="K817" s="35" t="str">
        <x:v>valid non-default; boundary/format value; blank/null when optional; invalid value when constrained</x:v>
      </x:c>
      <x:c r="L817" s="35" t="str">
        <x:v>Save succeeds; close/reopen shows the exact normalized value; web reads it where supported; edit persists; validation rejects invalid input without partial mutation.</x:v>
      </x:c>
    </x:row>
    <x:row r="818">
      <x:c r="A818" s="20" t="str">
        <x:v>FLD-0815</x:v>
      </x:c>
      <x:c r="B818" s="20" t="str">
        <x:v>Mobile</x:v>
      </x:c>
      <x:c r="C818" s="35" t="str">
        <x:v>features/applications/application_detail_screen.dart</x:v>
      </x:c>
      <x:c r="D818" s="35" t="str">
        <x:v>mobile/lib/features/applications/application_detail_screen.dart</x:v>
      </x:c>
      <x:c r="E818" s="32" t="n">
        <x:v>1107</x:v>
      </x:c>
      <x:c r="F818" s="20" t="str">
        <x:v>TextField</x:v>
      </x:c>
      <x:c r="G818" s="35" t="str">
        <x:v>_desiredMoveInDate</x:v>
      </x:c>
      <x:c r="H818" s="35" t="str">
        <x:v>Desired move-in</x:v>
      </x:c>
      <x:c r="I818" s="20" t="str">
        <x:v>Applicant / public user</x:v>
      </x:c>
      <x:c r="J818" s="23" t="n">
        <x:v>46664</x:v>
      </x:c>
      <x:c r="K818" s="35" t="str">
        <x:v>valid non-default; boundary/format value; blank/null when optional; invalid value when constrained</x:v>
      </x:c>
      <x:c r="L818" s="35" t="str">
        <x:v>Save succeeds; close/reopen shows the exact normalized value; web reads it where supported; edit persists; validation rejects invalid input without partial mutation.</x:v>
      </x:c>
    </x:row>
    <x:row r="819">
      <x:c r="A819" s="20" t="str">
        <x:v>FLD-0816</x:v>
      </x:c>
      <x:c r="B819" s="20" t="str">
        <x:v>Mobile</x:v>
      </x:c>
      <x:c r="C819" s="35" t="str">
        <x:v>features/applications/application_detail_screen.dart</x:v>
      </x:c>
      <x:c r="D819" s="35" t="str">
        <x:v>mobile/lib/features/applications/application_detail_screen.dart</x:v>
      </x:c>
      <x:c r="E819" s="32" t="n">
        <x:v>1120</x:v>
      </x:c>
      <x:c r="F819" s="20" t="str">
        <x:v>TextField</x:v>
      </x:c>
      <x:c r="G819" s="35" t="str">
        <x:v>_currentAddress</x:v>
      </x:c>
      <x:c r="H819" s="35" t="str">
        <x:v>Current address</x:v>
      </x:c>
      <x:c r="I819" s="20" t="str">
        <x:v>Applicant / public user</x:v>
      </x:c>
      <x:c r="J819" s="23" t="n">
        <x:v>46665</x:v>
      </x:c>
      <x:c r="K819" s="35" t="str">
        <x:v>valid non-default; boundary/format value; blank/null when optional; invalid value when constrained</x:v>
      </x:c>
      <x:c r="L819" s="35" t="str">
        <x:v>Save succeeds; close/reopen shows the exact normalized value; web reads it where supported; edit persists; validation rejects invalid input without partial mutation.</x:v>
      </x:c>
    </x:row>
    <x:row r="820">
      <x:c r="A820" s="20" t="str">
        <x:v>FLD-0817</x:v>
      </x:c>
      <x:c r="B820" s="20" t="str">
        <x:v>Mobile</x:v>
      </x:c>
      <x:c r="C820" s="35" t="str">
        <x:v>features/applications/application_detail_screen.dart</x:v>
      </x:c>
      <x:c r="D820" s="35" t="str">
        <x:v>mobile/lib/features/applications/application_detail_screen.dart</x:v>
      </x:c>
      <x:c r="E820" s="32" t="n">
        <x:v>1132</x:v>
      </x:c>
      <x:c r="F820" s="20" t="str">
        <x:v>TextField</x:v>
      </x:c>
      <x:c r="G820" s="35" t="str">
        <x:v>_employer</x:v>
      </x:c>
      <x:c r="H820" s="35" t="str">
        <x:v>Employer</x:v>
      </x:c>
      <x:c r="I820" s="20" t="str">
        <x:v>Applicant / public user</x:v>
      </x:c>
      <x:c r="J820" s="23" t="n">
        <x:v>46665</x:v>
      </x:c>
      <x:c r="K820" s="35" t="str">
        <x:v>valid non-default; boundary/format value; blank/null when optional; invalid value when constrained</x:v>
      </x:c>
      <x:c r="L820" s="35" t="str">
        <x:v>Save succeeds; close/reopen shows the exact normalized value; web reads it where supported; edit persists; validation rejects invalid input without partial mutation.</x:v>
      </x:c>
    </x:row>
    <x:row r="821">
      <x:c r="A821" s="20" t="str">
        <x:v>FLD-0818</x:v>
      </x:c>
      <x:c r="B821" s="20" t="str">
        <x:v>Mobile</x:v>
      </x:c>
      <x:c r="C821" s="35" t="str">
        <x:v>features/applications/application_detail_screen.dart</x:v>
      </x:c>
      <x:c r="D821" s="35" t="str">
        <x:v>mobile/lib/features/applications/application_detail_screen.dart</x:v>
      </x:c>
      <x:c r="E821" s="32" t="n">
        <x:v>1143</x:v>
      </x:c>
      <x:c r="F821" s="20" t="str">
        <x:v>TextField</x:v>
      </x:c>
      <x:c r="G821" s="35" t="str">
        <x:v>_monthlyIncome</x:v>
      </x:c>
      <x:c r="H821" s="35" t="str">
        <x:v>Monthly income</x:v>
      </x:c>
      <x:c r="I821" s="20" t="str">
        <x:v>Applicant / public user</x:v>
      </x:c>
      <x:c r="J821" s="23" t="n">
        <x:v>46665</x:v>
      </x:c>
      <x:c r="K821" s="35" t="str">
        <x:v>valid non-default; boundary/format value; blank/null when optional; invalid value when constrained</x:v>
      </x:c>
      <x:c r="L821" s="35" t="str">
        <x:v>Save succeeds; close/reopen shows the exact normalized value; web reads it where supported; edit persists; validation rejects invalid input without partial mutation.</x:v>
      </x:c>
    </x:row>
    <x:row r="822">
      <x:c r="A822" s="20" t="str">
        <x:v>FLD-0819</x:v>
      </x:c>
      <x:c r="B822" s="20" t="str">
        <x:v>Mobile</x:v>
      </x:c>
      <x:c r="C822" s="35" t="str">
        <x:v>features/applications/application_detail_screen.dart</x:v>
      </x:c>
      <x:c r="D822" s="35" t="str">
        <x:v>mobile/lib/features/applications/application_detail_screen.dart</x:v>
      </x:c>
      <x:c r="E822" s="32" t="n">
        <x:v>1157</x:v>
      </x:c>
      <x:c r="F822" s="20" t="str">
        <x:v>TextField</x:v>
      </x:c>
      <x:c r="G822" s="35" t="str">
        <x:v>_notes</x:v>
      </x:c>
      <x:c r="H822" s="35" t="str">
        <x:v>Notes</x:v>
      </x:c>
      <x:c r="I822" s="20" t="str">
        <x:v>Applicant / public user</x:v>
      </x:c>
      <x:c r="J822" s="23" t="n">
        <x:v>46665</x:v>
      </x:c>
      <x:c r="K822" s="35" t="str">
        <x:v>valid non-default; boundary/format value; blank/null when optional; invalid value when constrained</x:v>
      </x:c>
      <x:c r="L822" s="35" t="str">
        <x:v>Save succeeds; close/reopen shows the exact normalized value; web reads it where supported; edit persists; validation rejects invalid input without partial mutation.</x:v>
      </x:c>
    </x:row>
    <x:row r="823">
      <x:c r="A823" s="20" t="str">
        <x:v>FLD-0820</x:v>
      </x:c>
      <x:c r="B823" s="20" t="str">
        <x:v>Mobile</x:v>
      </x:c>
      <x:c r="C823" s="35" t="str">
        <x:v>features/applications/application_detail_screen.dart</x:v>
      </x:c>
      <x:c r="D823" s="35" t="str">
        <x:v>mobile/lib/features/applications/application_detail_screen.dart</x:v>
      </x:c>
      <x:c r="E823" s="32" t="n">
        <x:v>1228</x:v>
      </x:c>
      <x:c r="F823" s="20" t="str">
        <x:v>TextField</x:v>
      </x:c>
      <x:c r="G823" s="35" t="str">
        <x:v>_controller</x:v>
      </x:c>
      <x:c r="H823" s="35" t="str">
        <x:v>Reason (optional)</x:v>
      </x:c>
      <x:c r="I823" s="20" t="str">
        <x:v>Applicant / public user</x:v>
      </x:c>
      <x:c r="J823" s="23" t="n">
        <x:v>46665</x:v>
      </x:c>
      <x:c r="K823" s="35" t="str">
        <x:v>valid non-default; boundary/format value; blank/null when optional; invalid value when constrained</x:v>
      </x:c>
      <x:c r="L823" s="35" t="str">
        <x:v>Save succeeds; close/reopen shows the exact normalized value; web reads it where supported; edit persists; validation rejects invalid input without partial mutation.</x:v>
      </x:c>
    </x:row>
    <x:row r="824">
      <x:c r="A824" s="20" t="str">
        <x:v>FLD-0821</x:v>
      </x:c>
      <x:c r="B824" s="20" t="str">
        <x:v>Mobile</x:v>
      </x:c>
      <x:c r="C824" s="35" t="str">
        <x:v>features/applications/application_detail_screen.dart</x:v>
      </x:c>
      <x:c r="D824" s="35" t="str">
        <x:v>mobile/lib/features/applications/application_detail_screen.dart</x:v>
      </x:c>
      <x:c r="E824" s="32" t="n">
        <x:v>1335</x:v>
      </x:c>
      <x:c r="F824" s="20" t="str">
        <x:v>TextField</x:v>
      </x:c>
      <x:c r="G824" s="35" t="str">
        <x:v>_amountController</x:v>
      </x:c>
      <x:c r="H824" s="35" t="str">
        <x:v>Amount</x:v>
      </x:c>
      <x:c r="I824" s="20" t="str">
        <x:v>Applicant / public user</x:v>
      </x:c>
      <x:c r="J824" s="23" t="n">
        <x:v>46666</x:v>
      </x:c>
      <x:c r="K824" s="35" t="str">
        <x:v>valid non-default; boundary/format value; blank/null when optional; invalid value when constrained</x:v>
      </x:c>
      <x:c r="L824" s="35" t="str">
        <x:v>Save succeeds; close/reopen shows the exact normalized value; web reads it where supported; edit persists; validation rejects invalid input without partial mutation.</x:v>
      </x:c>
    </x:row>
    <x:row r="825">
      <x:c r="A825" s="20" t="str">
        <x:v>FLD-0822</x:v>
      </x:c>
      <x:c r="B825" s="20" t="str">
        <x:v>Mobile</x:v>
      </x:c>
      <x:c r="C825" s="35" t="str">
        <x:v>features/applications/application_detail_screen.dart</x:v>
      </x:c>
      <x:c r="D825" s="35" t="str">
        <x:v>mobile/lib/features/applications/application_detail_screen.dart</x:v>
      </x:c>
      <x:c r="E825" s="32" t="n">
        <x:v>1350</x:v>
      </x:c>
      <x:c r="F825" s="20" t="str">
        <x:v>TextField</x:v>
      </x:c>
      <x:c r="G825" s="35" t="str">
        <x:v>_methodController</x:v>
      </x:c>
      <x:c r="H825" s="35" t="str">
        <x:v>Method (optional)</x:v>
      </x:c>
      <x:c r="I825" s="20" t="str">
        <x:v>Applicant / public user</x:v>
      </x:c>
      <x:c r="J825" s="23" t="n">
        <x:v>46666</x:v>
      </x:c>
      <x:c r="K825" s="35" t="str">
        <x:v>valid non-default; boundary/format value; blank/null when optional; invalid value when constrained</x:v>
      </x:c>
      <x:c r="L825" s="35" t="str">
        <x:v>Save succeeds; close/reopen shows the exact normalized value; web reads it where supported; edit persists; validation rejects invalid input without partial mutation.</x:v>
      </x:c>
    </x:row>
    <x:row r="826">
      <x:c r="A826" s="20" t="str">
        <x:v>FLD-0823</x:v>
      </x:c>
      <x:c r="B826" s="20" t="str">
        <x:v>Mobile</x:v>
      </x:c>
      <x:c r="C826" s="35" t="str">
        <x:v>features/applications/application_detail_screen.dart</x:v>
      </x:c>
      <x:c r="D826" s="35" t="str">
        <x:v>mobile/lib/features/applications/application_detail_screen.dart</x:v>
      </x:c>
      <x:c r="E826" s="32" t="n">
        <x:v>1887</x:v>
      </x:c>
      <x:c r="F826" s="20" t="str">
        <x:v>TextField</x:v>
      </x:c>
      <x:c r="G826" s="35" t="str">
        <x:v>_name</x:v>
      </x:c>
      <x:c r="H826" s="35" t="str">
        <x:v>Agency name</x:v>
      </x:c>
      <x:c r="I826" s="20" t="str">
        <x:v>Applicant / public user</x:v>
      </x:c>
      <x:c r="J826" s="23" t="n">
        <x:v>46666</x:v>
      </x:c>
      <x:c r="K826" s="35" t="str">
        <x:v>valid non-default; boundary/format value; blank/null when optional; invalid value when constrained</x:v>
      </x:c>
      <x:c r="L826" s="35" t="str">
        <x:v>Save succeeds; close/reopen shows the exact normalized value; web reads it where supported; edit persists; validation rejects invalid input without partial mutation.</x:v>
      </x:c>
    </x:row>
    <x:row r="827">
      <x:c r="A827" s="20" t="str">
        <x:v>FLD-0824</x:v>
      </x:c>
      <x:c r="B827" s="20" t="str">
        <x:v>Mobile</x:v>
      </x:c>
      <x:c r="C827" s="35" t="str">
        <x:v>features/applications/application_detail_screen.dart</x:v>
      </x:c>
      <x:c r="D827" s="35" t="str">
        <x:v>mobile/lib/features/applications/application_detail_screen.dart</x:v>
      </x:c>
      <x:c r="E827" s="32" t="n">
        <x:v>1892</x:v>
      </x:c>
      <x:c r="F827" s="20" t="str">
        <x:v>TextField</x:v>
      </x:c>
      <x:c r="G827" s="35" t="str">
        <x:v>_address</x:v>
      </x:c>
      <x:c r="H827" s="35" t="str">
        <x:v>Mailing address</x:v>
      </x:c>
      <x:c r="I827" s="20" t="str">
        <x:v>Applicant / public user</x:v>
      </x:c>
      <x:c r="J827" s="23" t="n">
        <x:v>46666</x:v>
      </x:c>
      <x:c r="K827" s="35" t="str">
        <x:v>valid non-default; boundary/format value; blank/null when optional; invalid value when constrained</x:v>
      </x:c>
      <x:c r="L827" s="35" t="str">
        <x:v>Save succeeds; close/reopen shows the exact normalized value; web reads it where supported; edit persists; validation rejects invalid input without partial mutation.</x:v>
      </x:c>
    </x:row>
    <x:row r="828">
      <x:c r="A828" s="20" t="str">
        <x:v>FLD-0825</x:v>
      </x:c>
      <x:c r="B828" s="20" t="str">
        <x:v>Mobile</x:v>
      </x:c>
      <x:c r="C828" s="35" t="str">
        <x:v>features/applications/application_detail_screen.dart</x:v>
      </x:c>
      <x:c r="D828" s="35" t="str">
        <x:v>mobile/lib/features/applications/application_detail_screen.dart</x:v>
      </x:c>
      <x:c r="E828" s="32" t="n">
        <x:v>1988</x:v>
      </x:c>
      <x:c r="F828" s="20" t="str">
        <x:v>DropdownButtonFormField</x:v>
      </x:c>
      <x:c r="G828" s="35" t="str">
        <x:v>_reason</x:v>
      </x:c>
      <x:c r="H828" s="35" t="str">
        <x:v>Decision</x:v>
      </x:c>
      <x:c r="I828" s="20" t="str">
        <x:v>Applicant / public user</x:v>
      </x:c>
      <x:c r="J828" s="23" t="n">
        <x:v>46667</x:v>
      </x:c>
      <x:c r="K828" s="35" t="str">
        <x:v>valid non-default; boundary/format value; blank/null when optional; invalid value when constrained</x:v>
      </x:c>
      <x:c r="L828" s="35" t="str">
        <x:v>Save succeeds; close/reopen shows the exact normalized value; web reads it where supported; edit persists; validation rejects invalid input without partial mutation.</x:v>
      </x:c>
    </x:row>
    <x:row r="829">
      <x:c r="A829" s="20" t="str">
        <x:v>FLD-0826</x:v>
      </x:c>
      <x:c r="B829" s="20" t="str">
        <x:v>Mobile</x:v>
      </x:c>
      <x:c r="C829" s="35" t="str">
        <x:v>features/applications/application_detail_screen.dart</x:v>
      </x:c>
      <x:c r="D829" s="35" t="str">
        <x:v>mobile/lib/features/applications/application_detail_screen.dart</x:v>
      </x:c>
      <x:c r="E829" s="32" t="n">
        <x:v>2010</x:v>
      </x:c>
      <x:c r="F829" s="20" t="str">
        <x:v>SwitchListTile</x:v>
      </x:c>
      <x:c r="G829" s="35" t="str">
        <x:v>SwitchListTile-19</x:v>
      </x:c>
      <x:c r="H829" s="35" t="str"/>
      <x:c r="I829" s="20" t="str">
        <x:v>Applicant / public user</x:v>
      </x:c>
      <x:c r="J829" s="23" t="n">
        <x:v>46667</x:v>
      </x:c>
      <x:c r="K829" s="35" t="str">
        <x:v>valid non-default; boundary/format value; blank/null when optional; invalid value when constrained</x:v>
      </x:c>
      <x:c r="L829" s="35" t="str">
        <x:v>Save succeeds; close/reopen shows the exact normalized value; web reads it where supported; edit persists; validation rejects invalid input without partial mutation.</x:v>
      </x:c>
    </x:row>
    <x:row r="830">
      <x:c r="A830" s="20" t="str">
        <x:v>FLD-0827</x:v>
      </x:c>
      <x:c r="B830" s="20" t="str">
        <x:v>Mobile</x:v>
      </x:c>
      <x:c r="C830" s="35" t="str">
        <x:v>features/applications/application_detail_screen.dart</x:v>
      </x:c>
      <x:c r="D830" s="35" t="str">
        <x:v>mobile/lib/features/applications/application_detail_screen.dart</x:v>
      </x:c>
      <x:c r="E830" s="32" t="n">
        <x:v>2116</x:v>
      </x:c>
      <x:c r="F830" s="20" t="str">
        <x:v>TextField</x:v>
      </x:c>
      <x:c r="G830" s="35" t="str">
        <x:v>_provider</x:v>
      </x:c>
      <x:c r="H830" s="35" t="str">
        <x:v>Screening service</x:v>
      </x:c>
      <x:c r="I830" s="20" t="str">
        <x:v>Applicant / public user</x:v>
      </x:c>
      <x:c r="J830" s="23" t="n">
        <x:v>46667</x:v>
      </x:c>
      <x:c r="K830" s="35" t="str">
        <x:v>valid non-default; boundary/format value; blank/null when optional; invalid value when constrained</x:v>
      </x:c>
      <x:c r="L830" s="35" t="str">
        <x:v>Save succeeds; close/reopen shows the exact normalized value; web reads it where supported; edit persists; validation rejects invalid input without partial mutation.</x:v>
      </x:c>
    </x:row>
    <x:row r="831">
      <x:c r="A831" s="20" t="str">
        <x:v>FLD-0828</x:v>
      </x:c>
      <x:c r="B831" s="20" t="str">
        <x:v>Mobile</x:v>
      </x:c>
      <x:c r="C831" s="35" t="str">
        <x:v>features/applications/application_detail_screen.dart</x:v>
      </x:c>
      <x:c r="D831" s="35" t="str">
        <x:v>mobile/lib/features/applications/application_detail_screen.dart</x:v>
      </x:c>
      <x:c r="E831" s="32" t="n">
        <x:v>2122</x:v>
      </x:c>
      <x:c r="F831" s="20" t="str">
        <x:v>TextField</x:v>
      </x:c>
      <x:c r="G831" s="35" t="str">
        <x:v>_reference</x:v>
      </x:c>
      <x:c r="H831" s="35" t="str">
        <x:v>Reference (optional)</x:v>
      </x:c>
      <x:c r="I831" s="20" t="str">
        <x:v>Applicant / public user</x:v>
      </x:c>
      <x:c r="J831" s="23" t="n">
        <x:v>46667</x:v>
      </x:c>
      <x:c r="K831" s="35" t="str">
        <x:v>valid non-default; boundary/format value; blank/null when optional; invalid value when constrained</x:v>
      </x:c>
      <x:c r="L831" s="35" t="str">
        <x:v>Save succeeds; close/reopen shows the exact normalized value; web reads it where supported; edit persists; validation rejects invalid input without partial mutation.</x:v>
      </x:c>
    </x:row>
    <x:row r="832">
      <x:c r="A832" s="20" t="str">
        <x:v>FLD-0829</x:v>
      </x:c>
      <x:c r="B832" s="20" t="str">
        <x:v>Mobile</x:v>
      </x:c>
      <x:c r="C832" s="35" t="str">
        <x:v>features/applications/application_detail_screen.dart</x:v>
      </x:c>
      <x:c r="D832" s="35" t="str">
        <x:v>mobile/lib/features/applications/application_detail_screen.dart</x:v>
      </x:c>
      <x:c r="E832" s="32" t="n">
        <x:v>2130</x:v>
      </x:c>
      <x:c r="F832" s="20" t="str">
        <x:v>TextField</x:v>
      </x:c>
      <x:c r="G832" s="35" t="str">
        <x:v>_url</x:v>
      </x:c>
      <x:c r="H832" s="35" t="str">
        <x:v>Provider link (optional)</x:v>
      </x:c>
      <x:c r="I832" s="20" t="str">
        <x:v>Applicant / public user</x:v>
      </x:c>
      <x:c r="J832" s="23" t="n">
        <x:v>46668</x:v>
      </x:c>
      <x:c r="K832" s="35" t="str">
        <x:v>valid non-default; boundary/format value; blank/null when optional; invalid value when constrained</x:v>
      </x:c>
      <x:c r="L832" s="35" t="str">
        <x:v>Save succeeds; close/reopen shows the exact normalized value; web reads it where supported; edit persists; validation rejects invalid input without partial mutation.</x:v>
      </x:c>
    </x:row>
    <x:row r="833">
      <x:c r="A833" s="20" t="str">
        <x:v>FLD-0830</x:v>
      </x:c>
      <x:c r="B833" s="20" t="str">
        <x:v>Mobile</x:v>
      </x:c>
      <x:c r="C833" s="35" t="str">
        <x:v>features/applications/application_detail_screen.dart</x:v>
      </x:c>
      <x:c r="D833" s="35" t="str">
        <x:v>mobile/lib/features/applications/application_detail_screen.dart</x:v>
      </x:c>
      <x:c r="E833" s="32" t="n">
        <x:v>2150</x:v>
      </x:c>
      <x:c r="F833" s="20" t="str">
        <x:v>TextField</x:v>
      </x:c>
      <x:c r="G833" s="35" t="str">
        <x:v>_agencyName</x:v>
      </x:c>
      <x:c r="H833" s="35" t="str">
        <x:v>Agency name</x:v>
      </x:c>
      <x:c r="I833" s="20" t="str">
        <x:v>Applicant / public user</x:v>
      </x:c>
      <x:c r="J833" s="23" t="n">
        <x:v>46668</x:v>
      </x:c>
      <x:c r="K833" s="35" t="str">
        <x:v>valid non-default; boundary/format value; blank/null when optional; invalid value when constrained</x:v>
      </x:c>
      <x:c r="L833" s="35" t="str">
        <x:v>Save succeeds; close/reopen shows the exact normalized value; web reads it where supported; edit persists; validation rejects invalid input without partial mutation.</x:v>
      </x:c>
    </x:row>
    <x:row r="834">
      <x:c r="A834" s="20" t="str">
        <x:v>FLD-0831</x:v>
      </x:c>
      <x:c r="B834" s="20" t="str">
        <x:v>Mobile</x:v>
      </x:c>
      <x:c r="C834" s="35" t="str">
        <x:v>features/applications/application_detail_screen.dart</x:v>
      </x:c>
      <x:c r="D834" s="35" t="str">
        <x:v>mobile/lib/features/applications/application_detail_screen.dart</x:v>
      </x:c>
      <x:c r="E834" s="32" t="n">
        <x:v>2156</x:v>
      </x:c>
      <x:c r="F834" s="20" t="str">
        <x:v>TextField</x:v>
      </x:c>
      <x:c r="G834" s="35" t="str">
        <x:v>_agencyAddress</x:v>
      </x:c>
      <x:c r="H834" s="35" t="str">
        <x:v>Agency address</x:v>
      </x:c>
      <x:c r="I834" s="20" t="str">
        <x:v>Applicant / public user</x:v>
      </x:c>
      <x:c r="J834" s="23" t="n">
        <x:v>46668</x:v>
      </x:c>
      <x:c r="K834" s="35" t="str">
        <x:v>valid non-default; boundary/format value; blank/null when optional; invalid value when constrained</x:v>
      </x:c>
      <x:c r="L834" s="35" t="str">
        <x:v>Save succeeds; close/reopen shows the exact normalized value; web reads it where supported; edit persists; validation rejects invalid input without partial mutation.</x:v>
      </x:c>
    </x:row>
    <x:row r="835">
      <x:c r="A835" s="20" t="str">
        <x:v>FLD-0832</x:v>
      </x:c>
      <x:c r="B835" s="20" t="str">
        <x:v>Mobile</x:v>
      </x:c>
      <x:c r="C835" s="35" t="str">
        <x:v>features/applications/application_detail_screen.dart</x:v>
      </x:c>
      <x:c r="D835" s="35" t="str">
        <x:v>mobile/lib/features/applications/application_detail_screen.dart</x:v>
      </x:c>
      <x:c r="E835" s="32" t="n">
        <x:v>2162</x:v>
      </x:c>
      <x:c r="F835" s="20" t="str">
        <x:v>TextField</x:v>
      </x:c>
      <x:c r="G835" s="35" t="str">
        <x:v>_agencyPhone</x:v>
      </x:c>
      <x:c r="H835" s="35" t="str">
        <x:v>Agency phone</x:v>
      </x:c>
      <x:c r="I835" s="20" t="str">
        <x:v>Applicant / public user</x:v>
      </x:c>
      <x:c r="J835" s="23" t="n">
        <x:v>46668</x:v>
      </x:c>
      <x:c r="K835" s="35" t="str">
        <x:v>valid non-default; boundary/format value; blank/null when optional; invalid value when constrained</x:v>
      </x:c>
      <x:c r="L835" s="35" t="str">
        <x:v>Save succeeds; close/reopen shows the exact normalized value; web reads it where supported; edit persists; validation rejects invalid input without partial mutation.</x:v>
      </x:c>
    </x:row>
    <x:row r="836">
      <x:c r="A836" s="20" t="str">
        <x:v>FLD-0833</x:v>
      </x:c>
      <x:c r="B836" s="20" t="str">
        <x:v>Mobile</x:v>
      </x:c>
      <x:c r="C836" s="35" t="str">
        <x:v>features/applications/application_detail_screen.dart</x:v>
      </x:c>
      <x:c r="D836" s="35" t="str">
        <x:v>mobile/lib/features/applications/application_detail_screen.dart</x:v>
      </x:c>
      <x:c r="E836" s="32" t="n">
        <x:v>2348</x:v>
      </x:c>
      <x:c r="F836" s="20" t="str">
        <x:v>CheckboxListTile</x:v>
      </x:c>
      <x:c r="G836" s="35" t="str">
        <x:v>CheckboxListTile-27</x:v>
      </x:c>
      <x:c r="H836" s="35" t="str"/>
      <x:c r="I836" s="20" t="str">
        <x:v>Applicant / public user</x:v>
      </x:c>
      <x:c r="J836" s="23" t="n">
        <x:v>46668</x:v>
      </x:c>
      <x:c r="K836" s="35" t="str">
        <x:v>valid non-default; boundary/format value; blank/null when optional; invalid value when constrained</x:v>
      </x:c>
      <x:c r="L836" s="35" t="str">
        <x:v>Save succeeds; close/reopen shows the exact normalized value; web reads it where supported; edit persists; validation rejects invalid input without partial mutation.</x:v>
      </x:c>
    </x:row>
    <x:row r="837">
      <x:c r="A837" s="20" t="str">
        <x:v>FLD-0834</x:v>
      </x:c>
      <x:c r="B837" s="20" t="str">
        <x:v>Mobile</x:v>
      </x:c>
      <x:c r="C837" s="35" t="str">
        <x:v>features/appointments/appointments_screen.dart</x:v>
      </x:c>
      <x:c r="D837" s="35" t="str">
        <x:v>mobile/lib/features/appointments/appointments_screen.dart</x:v>
      </x:c>
      <x:c r="E837" s="32" t="n">
        <x:v>610</x:v>
      </x:c>
      <x:c r="F837" s="20" t="str">
        <x:v>TextFormField</x:v>
      </x:c>
      <x:c r="G837" s="35" t="str">
        <x:v>_titleCtrl</x:v>
      </x:c>
      <x:c r="H837" s="35" t="str">
        <x:v>Title</x:v>
      </x:c>
      <x:c r="I837" s="20" t="str">
        <x:v>Applicant / public user</x:v>
      </x:c>
      <x:c r="J837" s="23" t="n">
        <x:v>46671</x:v>
      </x:c>
      <x:c r="K837" s="35" t="str">
        <x:v>valid non-default; boundary/format value; blank/null when optional; invalid value when constrained</x:v>
      </x:c>
      <x:c r="L837" s="35" t="str">
        <x:v>Save succeeds; close/reopen shows the exact normalized value; web reads it where supported; edit persists; validation rejects invalid input without partial mutation.</x:v>
      </x:c>
    </x:row>
    <x:row r="838">
      <x:c r="A838" s="20" t="str">
        <x:v>FLD-0835</x:v>
      </x:c>
      <x:c r="B838" s="20" t="str">
        <x:v>Mobile</x:v>
      </x:c>
      <x:c r="C838" s="35" t="str">
        <x:v>features/appointments/appointments_screen.dart</x:v>
      </x:c>
      <x:c r="D838" s="35" t="str">
        <x:v>mobile/lib/features/appointments/appointments_screen.dart</x:v>
      </x:c>
      <x:c r="E838" s="32" t="n">
        <x:v>619</x:v>
      </x:c>
      <x:c r="F838" s="20" t="str">
        <x:v>DropdownButtonFormField</x:v>
      </x:c>
      <x:c r="G838" s="35" t="str">
        <x:v>Type</x:v>
      </x:c>
      <x:c r="H838" s="35" t="str">
        <x:v>Type</x:v>
      </x:c>
      <x:c r="I838" s="20" t="str">
        <x:v>Applicant / public user</x:v>
      </x:c>
      <x:c r="J838" s="23" t="n">
        <x:v>46671</x:v>
      </x:c>
      <x:c r="K838" s="35" t="str">
        <x:v>valid non-default; boundary/format value; blank/null when optional; invalid value when constrained</x:v>
      </x:c>
      <x:c r="L838" s="35" t="str">
        <x:v>Save succeeds; close/reopen shows the exact normalized value; web reads it where supported; edit persists; validation rejects invalid input without partial mutation.</x:v>
      </x:c>
    </x:row>
    <x:row r="839">
      <x:c r="A839" s="20" t="str">
        <x:v>FLD-0836</x:v>
      </x:c>
      <x:c r="B839" s="20" t="str">
        <x:v>Mobile</x:v>
      </x:c>
      <x:c r="C839" s="35" t="str">
        <x:v>features/appointments/appointments_screen.dart</x:v>
      </x:c>
      <x:c r="D839" s="35" t="str">
        <x:v>mobile/lib/features/appointments/appointments_screen.dart</x:v>
      </x:c>
      <x:c r="E839" s="32" t="n">
        <x:v>635</x:v>
      </x:c>
      <x:c r="F839" s="20" t="str">
        <x:v>DropdownButtonFormField</x:v>
      </x:c>
      <x:c r="G839" s="35" t="str">
        <x:v>Status</x:v>
      </x:c>
      <x:c r="H839" s="35" t="str">
        <x:v>Status</x:v>
      </x:c>
      <x:c r="I839" s="20" t="str">
        <x:v>Applicant / public user</x:v>
      </x:c>
      <x:c r="J839" s="23" t="n">
        <x:v>46671</x:v>
      </x:c>
      <x:c r="K839" s="35" t="str">
        <x:v>valid non-default; boundary/format value; blank/null when optional; invalid value when constrained</x:v>
      </x:c>
      <x:c r="L839" s="35" t="str">
        <x:v>Save succeeds; close/reopen shows the exact normalized value; web reads it where supported; edit persists; validation rejects invalid input without partial mutation.</x:v>
      </x:c>
    </x:row>
    <x:row r="840">
      <x:c r="A840" s="20" t="str">
        <x:v>FLD-0837</x:v>
      </x:c>
      <x:c r="B840" s="20" t="str">
        <x:v>Mobile</x:v>
      </x:c>
      <x:c r="C840" s="35" t="str">
        <x:v>features/appointments/appointments_screen.dart</x:v>
      </x:c>
      <x:c r="D840" s="35" t="str">
        <x:v>mobile/lib/features/appointments/appointments_screen.dart</x:v>
      </x:c>
      <x:c r="E840" s="32" t="n">
        <x:v>682</x:v>
      </x:c>
      <x:c r="F840" s="20" t="str">
        <x:v>DropdownButtonFormField</x:v>
      </x:c>
      <x:c r="G840" s="35" t="str">
        <x:v>Property (optional)</x:v>
      </x:c>
      <x:c r="H840" s="35" t="str">
        <x:v>Property (optional)</x:v>
      </x:c>
      <x:c r="I840" s="20" t="str">
        <x:v>Applicant / public user</x:v>
      </x:c>
      <x:c r="J840" s="23" t="n">
        <x:v>46671</x:v>
      </x:c>
      <x:c r="K840" s="35" t="str">
        <x:v>valid non-default; boundary/format value; blank/null when optional; invalid value when constrained</x:v>
      </x:c>
      <x:c r="L840" s="35" t="str">
        <x:v>Save succeeds; close/reopen shows the exact normalized value; web reads it where supported; edit persists; validation rejects invalid input without partial mutation.</x:v>
      </x:c>
    </x:row>
    <x:row r="841">
      <x:c r="A841" s="20" t="str">
        <x:v>FLD-0838</x:v>
      </x:c>
      <x:c r="B841" s="20" t="str">
        <x:v>Mobile</x:v>
      </x:c>
      <x:c r="C841" s="35" t="str">
        <x:v>features/appointments/appointments_screen.dart</x:v>
      </x:c>
      <x:c r="D841" s="35" t="str">
        <x:v>mobile/lib/features/appointments/appointments_screen.dart</x:v>
      </x:c>
      <x:c r="E841" s="32" t="n">
        <x:v>706</x:v>
      </x:c>
      <x:c r="F841" s="20" t="str">
        <x:v>DropdownButtonFormField</x:v>
      </x:c>
      <x:c r="G841" s="35" t="str">
        <x:v>_prospectNameCtrl</x:v>
      </x:c>
      <x:c r="H841" s="35" t="str">
        <x:v>Tenant (optional)</x:v>
      </x:c>
      <x:c r="I841" s="20" t="str">
        <x:v>Applicant / public user</x:v>
      </x:c>
      <x:c r="J841" s="23" t="n">
        <x:v>46672</x:v>
      </x:c>
      <x:c r="K841" s="35" t="str">
        <x:v>valid non-default; boundary/format value; blank/null when optional; invalid value when constrained</x:v>
      </x:c>
      <x:c r="L841" s="35" t="str">
        <x:v>Save succeeds; close/reopen shows the exact normalized value; web reads it where supported; edit persists; validation rejects invalid input without partial mutation.</x:v>
      </x:c>
    </x:row>
    <x:row r="842">
      <x:c r="A842" s="20" t="str">
        <x:v>FLD-0839</x:v>
      </x:c>
      <x:c r="B842" s="20" t="str">
        <x:v>Mobile</x:v>
      </x:c>
      <x:c r="C842" s="35" t="str">
        <x:v>features/appointments/appointments_screen.dart</x:v>
      </x:c>
      <x:c r="D842" s="35" t="str">
        <x:v>mobile/lib/features/appointments/appointments_screen.dart</x:v>
      </x:c>
      <x:c r="E842" s="32" t="n">
        <x:v>744</x:v>
      </x:c>
      <x:c r="F842" s="20" t="str">
        <x:v>TextFormField</x:v>
      </x:c>
      <x:c r="G842" s="35" t="str">
        <x:v>_prospectEmailCtrl</x:v>
      </x:c>
      <x:c r="H842" s="35" t="str">
        <x:v>Prospect email (optional)</x:v>
      </x:c>
      <x:c r="I842" s="20" t="str">
        <x:v>Applicant / public user</x:v>
      </x:c>
      <x:c r="J842" s="23" t="n">
        <x:v>46672</x:v>
      </x:c>
      <x:c r="K842" s="35" t="str">
        <x:v>valid non-default; boundary/format value; blank/null when optional; invalid value when constrained</x:v>
      </x:c>
      <x:c r="L842" s="35" t="str">
        <x:v>Save succeeds; close/reopen shows the exact normalized value; web reads it where supported; edit persists; validation rejects invalid input without partial mutation.</x:v>
      </x:c>
    </x:row>
    <x:row r="843">
      <x:c r="A843" s="20" t="str">
        <x:v>FLD-0840</x:v>
      </x:c>
      <x:c r="B843" s="20" t="str">
        <x:v>Mobile</x:v>
      </x:c>
      <x:c r="C843" s="35" t="str">
        <x:v>features/appointments/appointments_screen.dart</x:v>
      </x:c>
      <x:c r="D843" s="35" t="str">
        <x:v>mobile/lib/features/appointments/appointments_screen.dart</x:v>
      </x:c>
      <x:c r="E843" s="32" t="n">
        <x:v>760</x:v>
      </x:c>
      <x:c r="F843" s="20" t="str">
        <x:v>TextFormField</x:v>
      </x:c>
      <x:c r="G843" s="35" t="str">
        <x:v>_assignedToCtrl</x:v>
      </x:c>
      <x:c r="H843" s="35" t="str">
        <x:v>Assigned to (optional)</x:v>
      </x:c>
      <x:c r="I843" s="20" t="str">
        <x:v>Applicant / public user</x:v>
      </x:c>
      <x:c r="J843" s="23" t="n">
        <x:v>46672</x:v>
      </x:c>
      <x:c r="K843" s="35" t="str">
        <x:v>valid non-default; boundary/format value; blank/null when optional; invalid value when constrained</x:v>
      </x:c>
      <x:c r="L843" s="35" t="str">
        <x:v>Save succeeds; close/reopen shows the exact normalized value; web reads it where supported; edit persists; validation rejects invalid input without partial mutation.</x:v>
      </x:c>
    </x:row>
    <x:row r="844">
      <x:c r="A844" s="20" t="str">
        <x:v>FLD-0841</x:v>
      </x:c>
      <x:c r="B844" s="20" t="str">
        <x:v>Mobile</x:v>
      </x:c>
      <x:c r="C844" s="35" t="str">
        <x:v>features/appointments/appointments_screen.dart</x:v>
      </x:c>
      <x:c r="D844" s="35" t="str">
        <x:v>mobile/lib/features/appointments/appointments_screen.dart</x:v>
      </x:c>
      <x:c r="E844" s="32" t="n">
        <x:v>768</x:v>
      </x:c>
      <x:c r="F844" s="20" t="str">
        <x:v>TextFormField</x:v>
      </x:c>
      <x:c r="G844" s="35" t="str">
        <x:v>_notesCtrl</x:v>
      </x:c>
      <x:c r="H844" s="35" t="str">
        <x:v>Notes (optional)</x:v>
      </x:c>
      <x:c r="I844" s="20" t="str">
        <x:v>Applicant / public user</x:v>
      </x:c>
      <x:c r="J844" s="23" t="n">
        <x:v>46672</x:v>
      </x:c>
      <x:c r="K844" s="35" t="str">
        <x:v>valid non-default; boundary/format value; blank/null when optional; invalid value when constrained</x:v>
      </x:c>
      <x:c r="L844" s="35" t="str">
        <x:v>Save succeeds; close/reopen shows the exact normalized value; web reads it where supported; edit persists; validation rejects invalid input without partial mutation.</x:v>
      </x:c>
    </x:row>
    <x:row r="845">
      <x:c r="A845" s="20" t="str">
        <x:v>FLD-0842</x:v>
      </x:c>
      <x:c r="B845" s="20" t="str">
        <x:v>Mobile</x:v>
      </x:c>
      <x:c r="C845" s="35" t="str">
        <x:v>features/auth/forgot_password_screen.dart</x:v>
      </x:c>
      <x:c r="D845" s="35" t="str">
        <x:v>mobile/lib/features/auth/forgot_password_screen.dart</x:v>
      </x:c>
      <x:c r="E845" s="32" t="n">
        <x:v>147</x:v>
      </x:c>
      <x:c r="F845" s="20" t="str">
        <x:v>TextFormField</x:v>
      </x:c>
      <x:c r="G845" s="35" t="str">
        <x:v>_emailController</x:v>
      </x:c>
      <x:c r="H845" s="35" t="str">
        <x:v>Email</x:v>
      </x:c>
      <x:c r="I845" s="20" t="str">
        <x:v>Applicant / public user</x:v>
      </x:c>
      <x:c r="J845" s="23" t="n">
        <x:v>46672</x:v>
      </x:c>
      <x:c r="K845" s="35" t="str">
        <x:v>valid non-default; boundary/format value; blank/null when optional; invalid value when constrained</x:v>
      </x:c>
      <x:c r="L845" s="35" t="str">
        <x:v>Save succeeds; close/reopen shows the exact normalized value; web reads it where supported; edit persists; validation rejects invalid input without partial mutation.</x:v>
      </x:c>
    </x:row>
    <x:row r="846">
      <x:c r="A846" s="20" t="str">
        <x:v>FLD-0843</x:v>
      </x:c>
      <x:c r="B846" s="20" t="str">
        <x:v>Mobile</x:v>
      </x:c>
      <x:c r="C846" s="35" t="str">
        <x:v>features/auth/login_screen.dart</x:v>
      </x:c>
      <x:c r="D846" s="35" t="str">
        <x:v>mobile/lib/features/auth/login_screen.dart</x:v>
      </x:c>
      <x:c r="E846" s="32" t="n">
        <x:v>214</x:v>
      </x:c>
      <x:c r="F846" s="20" t="str">
        <x:v>DropdownButtonFormField</x:v>
      </x:c>
      <x:c r="G846" s="35" t="str">
        <x:v>_emailController</x:v>
      </x:c>
      <x:c r="H846" s="35" t="str">
        <x:v>Workspace</x:v>
      </x:c>
      <x:c r="I846" s="20" t="str">
        <x:v>Applicant / public user</x:v>
      </x:c>
      <x:c r="J846" s="23" t="n">
        <x:v>46673</x:v>
      </x:c>
      <x:c r="K846" s="35" t="str">
        <x:v>valid non-default; boundary/format value; blank/null when optional; invalid value when constrained</x:v>
      </x:c>
      <x:c r="L846" s="35" t="str">
        <x:v>Save succeeds; close/reopen shows the exact normalized value; web reads it where supported; edit persists; validation rejects invalid input without partial mutation.</x:v>
      </x:c>
    </x:row>
    <x:row r="847">
      <x:c r="A847" s="20" t="str">
        <x:v>FLD-0844</x:v>
      </x:c>
      <x:c r="B847" s="20" t="str">
        <x:v>Mobile</x:v>
      </x:c>
      <x:c r="C847" s="35" t="str">
        <x:v>features/auth/login_screen.dart</x:v>
      </x:c>
      <x:c r="D847" s="35" t="str">
        <x:v>mobile/lib/features/auth/login_screen.dart</x:v>
      </x:c>
      <x:c r="E847" s="32" t="n">
        <x:v>264</x:v>
      </x:c>
      <x:c r="F847" s="20" t="str">
        <x:v>TextFormField</x:v>
      </x:c>
      <x:c r="G847" s="35" t="str">
        <x:v>_passwordController</x:v>
      </x:c>
      <x:c r="H847" s="35" t="str">
        <x:v>Password</x:v>
      </x:c>
      <x:c r="I847" s="20" t="str">
        <x:v>Applicant / public user</x:v>
      </x:c>
      <x:c r="J847" s="23" t="n">
        <x:v>46673</x:v>
      </x:c>
      <x:c r="K847" s="35" t="str">
        <x:v>valid non-default; boundary/format value; blank/null when optional; invalid value when constrained</x:v>
      </x:c>
      <x:c r="L847" s="35" t="str">
        <x:v>Save succeeds; close/reopen shows the exact normalized value; web reads it where supported; edit persists; validation rejects invalid input without partial mutation.</x:v>
      </x:c>
    </x:row>
    <x:row r="848">
      <x:c r="A848" s="20" t="str">
        <x:v>FLD-0845</x:v>
      </x:c>
      <x:c r="B848" s="20" t="str">
        <x:v>Mobile</x:v>
      </x:c>
      <x:c r="C848" s="35" t="str">
        <x:v>features/auth/register_screen.dart</x:v>
      </x:c>
      <x:c r="D848" s="35" t="str">
        <x:v>mobile/lib/features/auth/register_screen.dart</x:v>
      </x:c>
      <x:c r="E848" s="32" t="n">
        <x:v>158</x:v>
      </x:c>
      <x:c r="F848" s="20" t="str">
        <x:v>TextFormField</x:v>
      </x:c>
      <x:c r="G848" s="35" t="str">
        <x:v>_nameController</x:v>
      </x:c>
      <x:c r="H848" s="35" t="str">
        <x:v>Name</x:v>
      </x:c>
      <x:c r="I848" s="20" t="str">
        <x:v>Applicant / public user</x:v>
      </x:c>
      <x:c r="J848" s="23" t="n">
        <x:v>46673</x:v>
      </x:c>
      <x:c r="K848" s="35" t="str">
        <x:v>valid non-default; boundary/format value; blank/null when optional; invalid value when constrained</x:v>
      </x:c>
      <x:c r="L848" s="35" t="str">
        <x:v>Save succeeds; close/reopen shows the exact normalized value; web reads it where supported; edit persists; validation rejects invalid input without partial mutation.</x:v>
      </x:c>
    </x:row>
    <x:row r="849">
      <x:c r="A849" s="20" t="str">
        <x:v>FLD-0846</x:v>
      </x:c>
      <x:c r="B849" s="20" t="str">
        <x:v>Mobile</x:v>
      </x:c>
      <x:c r="C849" s="35" t="str">
        <x:v>features/auth/register_screen.dart</x:v>
      </x:c>
      <x:c r="D849" s="35" t="str">
        <x:v>mobile/lib/features/auth/register_screen.dart</x:v>
      </x:c>
      <x:c r="E849" s="32" t="n">
        <x:v>176</x:v>
      </x:c>
      <x:c r="F849" s="20" t="str">
        <x:v>TextFormField</x:v>
      </x:c>
      <x:c r="G849" s="35" t="str">
        <x:v>_emailController</x:v>
      </x:c>
      <x:c r="H849" s="35" t="str">
        <x:v>Email</x:v>
      </x:c>
      <x:c r="I849" s="20" t="str">
        <x:v>Applicant / public user</x:v>
      </x:c>
      <x:c r="J849" s="23" t="n">
        <x:v>46673</x:v>
      </x:c>
      <x:c r="K849" s="35" t="str">
        <x:v>valid non-default; boundary/format value; blank/null when optional; invalid value when constrained</x:v>
      </x:c>
      <x:c r="L849" s="35" t="str">
        <x:v>Save succeeds; close/reopen shows the exact normalized value; web reads it where supported; edit persists; validation rejects invalid input without partial mutation.</x:v>
      </x:c>
    </x:row>
    <x:row r="850">
      <x:c r="A850" s="20" t="str">
        <x:v>FLD-0847</x:v>
      </x:c>
      <x:c r="B850" s="20" t="str">
        <x:v>Mobile</x:v>
      </x:c>
      <x:c r="C850" s="35" t="str">
        <x:v>features/auth/register_screen.dart</x:v>
      </x:c>
      <x:c r="D850" s="35" t="str">
        <x:v>mobile/lib/features/auth/register_screen.dart</x:v>
      </x:c>
      <x:c r="E850" s="32" t="n">
        <x:v>198</x:v>
      </x:c>
      <x:c r="F850" s="20" t="str">
        <x:v>TextFormField</x:v>
      </x:c>
      <x:c r="G850" s="35" t="str">
        <x:v>_passwordController</x:v>
      </x:c>
      <x:c r="H850" s="35" t="str">
        <x:v>Password</x:v>
      </x:c>
      <x:c r="I850" s="20" t="str">
        <x:v>Applicant / public user</x:v>
      </x:c>
      <x:c r="J850" s="23" t="n">
        <x:v>46674</x:v>
      </x:c>
      <x:c r="K850" s="35" t="str">
        <x:v>valid non-default; boundary/format value; blank/null when optional; invalid value when constrained</x:v>
      </x:c>
      <x:c r="L850" s="35" t="str">
        <x:v>Save succeeds; close/reopen shows the exact normalized value; web reads it where supported; edit persists; validation rejects invalid input without partial mutation.</x:v>
      </x:c>
    </x:row>
    <x:row r="851">
      <x:c r="A851" s="20" t="str">
        <x:v>FLD-0848</x:v>
      </x:c>
      <x:c r="B851" s="20" t="str">
        <x:v>Mobile</x:v>
      </x:c>
      <x:c r="C851" s="35" t="str">
        <x:v>features/auth/register_screen.dart</x:v>
      </x:c>
      <x:c r="D851" s="35" t="str">
        <x:v>mobile/lib/features/auth/register_screen.dart</x:v>
      </x:c>
      <x:c r="E851" s="32" t="n">
        <x:v>229</x:v>
      </x:c>
      <x:c r="F851" s="20" t="str">
        <x:v>TextFormField</x:v>
      </x:c>
      <x:c r="G851" s="35" t="str">
        <x:v>_confirmController</x:v>
      </x:c>
      <x:c r="H851" s="35" t="str">
        <x:v>Confirm password</x:v>
      </x:c>
      <x:c r="I851" s="20" t="str">
        <x:v>Applicant / public user</x:v>
      </x:c>
      <x:c r="J851" s="23" t="n">
        <x:v>46674</x:v>
      </x:c>
      <x:c r="K851" s="35" t="str">
        <x:v>valid non-default; boundary/format value; blank/null when optional; invalid value when constrained</x:v>
      </x:c>
      <x:c r="L851" s="35" t="str">
        <x:v>Save succeeds; close/reopen shows the exact normalized value; web reads it where supported; edit persists; validation rejects invalid input without partial mutation.</x:v>
      </x:c>
    </x:row>
    <x:row r="852">
      <x:c r="A852" s="20" t="str">
        <x:v>FLD-0849</x:v>
      </x:c>
      <x:c r="B852" s="20" t="str">
        <x:v>Mobile</x:v>
      </x:c>
      <x:c r="C852" s="35" t="str">
        <x:v>features/auth/reset_password_screen.dart</x:v>
      </x:c>
      <x:c r="D852" s="35" t="str">
        <x:v>mobile/lib/features/auth/reset_password_screen.dart</x:v>
      </x:c>
      <x:c r="E852" s="32" t="n">
        <x:v>152</x:v>
      </x:c>
      <x:c r="F852" s="20" t="str">
        <x:v>TextFormField</x:v>
      </x:c>
      <x:c r="G852" s="35" t="str">
        <x:v>_passwordController</x:v>
      </x:c>
      <x:c r="H852" s="35" t="str">
        <x:v>New password</x:v>
      </x:c>
      <x:c r="I852" s="20" t="str">
        <x:v>Applicant / public user</x:v>
      </x:c>
      <x:c r="J852" s="23" t="n">
        <x:v>46674</x:v>
      </x:c>
      <x:c r="K852" s="35" t="str">
        <x:v>valid non-default; boundary/format value; blank/null when optional; invalid value when constrained</x:v>
      </x:c>
      <x:c r="L852" s="35" t="str">
        <x:v>Save succeeds; close/reopen shows the exact normalized value; web reads it where supported; edit persists; validation rejects invalid input without partial mutation.</x:v>
      </x:c>
    </x:row>
    <x:row r="853">
      <x:c r="A853" s="20" t="str">
        <x:v>FLD-0850</x:v>
      </x:c>
      <x:c r="B853" s="20" t="str">
        <x:v>Mobile</x:v>
      </x:c>
      <x:c r="C853" s="35" t="str">
        <x:v>features/auth/reset_password_screen.dart</x:v>
      </x:c>
      <x:c r="D853" s="35" t="str">
        <x:v>mobile/lib/features/auth/reset_password_screen.dart</x:v>
      </x:c>
      <x:c r="E853" s="32" t="n">
        <x:v>183</x:v>
      </x:c>
      <x:c r="F853" s="20" t="str">
        <x:v>TextFormField</x:v>
      </x:c>
      <x:c r="G853" s="35" t="str">
        <x:v>_confirmController</x:v>
      </x:c>
      <x:c r="H853" s="35" t="str">
        <x:v>Confirm new password</x:v>
      </x:c>
      <x:c r="I853" s="20" t="str">
        <x:v>Applicant / public user</x:v>
      </x:c>
      <x:c r="J853" s="23" t="n">
        <x:v>46674</x:v>
      </x:c>
      <x:c r="K853" s="35" t="str">
        <x:v>valid non-default; boundary/format value; blank/null when optional; invalid value when constrained</x:v>
      </x:c>
      <x:c r="L853" s="35" t="str">
        <x:v>Save succeeds; close/reopen shows the exact normalized value; web reads it where supported; edit persists; validation rejects invalid input without partial mutation.</x:v>
      </x:c>
    </x:row>
    <x:row r="854">
      <x:c r="A854" s="20" t="str">
        <x:v>FLD-0851</x:v>
      </x:c>
      <x:c r="B854" s="20" t="str">
        <x:v>Mobile</x:v>
      </x:c>
      <x:c r="C854" s="35" t="str">
        <x:v>features/banking/banking_screen.dart</x:v>
      </x:c>
      <x:c r="D854" s="35" t="str">
        <x:v>mobile/lib/features/banking/banking_screen.dart</x:v>
      </x:c>
      <x:c r="E854" s="32" t="n">
        <x:v>275</x:v>
      </x:c>
      <x:c r="F854" s="20" t="str">
        <x:v>DropdownButtonFormField</x:v>
      </x:c>
      <x:c r="G854" s="35" t="str">
        <x:v>Property route</x:v>
      </x:c>
      <x:c r="H854" s="35" t="str">
        <x:v>Property route</x:v>
      </x:c>
      <x:c r="I854" s="20" t="str">
        <x:v>Applicant / public user</x:v>
      </x:c>
      <x:c r="J854" s="23" t="n">
        <x:v>46674</x:v>
      </x:c>
      <x:c r="K854" s="35" t="str">
        <x:v>valid non-default; boundary/format value; blank/null when optional; invalid value when constrained</x:v>
      </x:c>
      <x:c r="L854" s="35" t="str">
        <x:v>Save succeeds; close/reopen shows the exact normalized value; web reads it where supported; edit persists; validation rejects invalid input without partial mutation.</x:v>
      </x:c>
    </x:row>
    <x:row r="855">
      <x:c r="A855" s="20" t="str">
        <x:v>FLD-0852</x:v>
      </x:c>
      <x:c r="B855" s="20" t="str">
        <x:v>Mobile</x:v>
      </x:c>
      <x:c r="C855" s="35" t="str">
        <x:v>features/deposits/deposits_screen.dart</x:v>
      </x:c>
      <x:c r="D855" s="35" t="str">
        <x:v>mobile/lib/features/deposits/deposits_screen.dart</x:v>
      </x:c>
      <x:c r="E855" s="32" t="n">
        <x:v>617</x:v>
      </x:c>
      <x:c r="F855" s="20" t="str">
        <x:v>DropdownButtonFormField</x:v>
      </x:c>
      <x:c r="G855" s="35" t="str">
        <x:v>_amount</x:v>
      </x:c>
      <x:c r="H855" s="35" t="str">
        <x:v>Deposit account</x:v>
      </x:c>
      <x:c r="I855" s="20" t="str">
        <x:v>Applicant / public user</x:v>
      </x:c>
      <x:c r="J855" s="23" t="n">
        <x:v>46675</x:v>
      </x:c>
      <x:c r="K855" s="35" t="str">
        <x:v>valid non-default; boundary/format value; blank/null when optional; invalid value when constrained</x:v>
      </x:c>
      <x:c r="L855" s="35" t="str">
        <x:v>Save succeeds; close/reopen shows the exact normalized value; web reads it where supported; edit persists; validation rejects invalid input without partial mutation.</x:v>
      </x:c>
    </x:row>
    <x:row r="856">
      <x:c r="A856" s="20" t="str">
        <x:v>FLD-0853</x:v>
      </x:c>
      <x:c r="B856" s="20" t="str">
        <x:v>Mobile</x:v>
      </x:c>
      <x:c r="C856" s="35" t="str">
        <x:v>features/deposits/deposits_screen.dart</x:v>
      </x:c>
      <x:c r="D856" s="35" t="str">
        <x:v>mobile/lib/features/deposits/deposits_screen.dart</x:v>
      </x:c>
      <x:c r="E856" s="32" t="n">
        <x:v>634</x:v>
      </x:c>
      <x:c r="F856" s="20" t="str">
        <x:v>TextFormField</x:v>
      </x:c>
      <x:c r="G856" s="35" t="str">
        <x:v>_method</x:v>
      </x:c>
      <x:c r="H856" s="35" t="str">
        <x:v>Payment method</x:v>
      </x:c>
      <x:c r="I856" s="20" t="str">
        <x:v>Applicant / public user</x:v>
      </x:c>
      <x:c r="J856" s="23" t="n">
        <x:v>46675</x:v>
      </x:c>
      <x:c r="K856" s="35" t="str">
        <x:v>valid non-default; boundary/format value; blank/null when optional; invalid value when constrained</x:v>
      </x:c>
      <x:c r="L856" s="35" t="str">
        <x:v>Save succeeds; close/reopen shows the exact normalized value; web reads it where supported; edit persists; validation rejects invalid input without partial mutation.</x:v>
      </x:c>
    </x:row>
    <x:row r="857">
      <x:c r="A857" s="20" t="str">
        <x:v>FLD-0854</x:v>
      </x:c>
      <x:c r="B857" s="20" t="str">
        <x:v>Mobile</x:v>
      </x:c>
      <x:c r="C857" s="35" t="str">
        <x:v>features/deposits/deposits_screen.dart</x:v>
      </x:c>
      <x:c r="D857" s="35" t="str">
        <x:v>mobile/lib/features/deposits/deposits_screen.dart</x:v>
      </x:c>
      <x:c r="E857" s="32" t="n">
        <x:v>643</x:v>
      </x:c>
      <x:c r="F857" s="20" t="str">
        <x:v>TextFormField</x:v>
      </x:c>
      <x:c r="G857" s="35" t="str">
        <x:v>_description</x:v>
      </x:c>
      <x:c r="H857" s="35" t="str">
        <x:v>Description</x:v>
      </x:c>
      <x:c r="I857" s="20" t="str">
        <x:v>Applicant / public user</x:v>
      </x:c>
      <x:c r="J857" s="23" t="n">
        <x:v>46675</x:v>
      </x:c>
      <x:c r="K857" s="35" t="str">
        <x:v>valid non-default; boundary/format value; blank/null when optional; invalid value when constrained</x:v>
      </x:c>
      <x:c r="L857" s="35" t="str">
        <x:v>Save succeeds; close/reopen shows the exact normalized value; web reads it where supported; edit persists; validation rejects invalid input without partial mutation.</x:v>
      </x:c>
    </x:row>
    <x:row r="858">
      <x:c r="A858" s="20" t="str">
        <x:v>FLD-0855</x:v>
      </x:c>
      <x:c r="B858" s="20" t="str">
        <x:v>Mobile</x:v>
      </x:c>
      <x:c r="C858" s="35" t="str">
        <x:v>features/deposits/deposits_screen.dart</x:v>
      </x:c>
      <x:c r="D858" s="35" t="str">
        <x:v>mobile/lib/features/deposits/deposits_screen.dart</x:v>
      </x:c>
      <x:c r="E858" s="32" t="n">
        <x:v>649</x:v>
      </x:c>
      <x:c r="F858" s="20" t="str">
        <x:v>TextFormField</x:v>
      </x:c>
      <x:c r="G858" s="35" t="str">
        <x:v>_reference</x:v>
      </x:c>
      <x:c r="H858" s="35" t="str">
        <x:v>Reference (optional)</x:v>
      </x:c>
      <x:c r="I858" s="20" t="str">
        <x:v>Applicant / public user</x:v>
      </x:c>
      <x:c r="J858" s="23" t="n">
        <x:v>46675</x:v>
      </x:c>
      <x:c r="K858" s="35" t="str">
        <x:v>valid non-default; boundary/format value; blank/null when optional; invalid value when constrained</x:v>
      </x:c>
      <x:c r="L858" s="35" t="str">
        <x:v>Save succeeds; close/reopen shows the exact normalized value; web reads it where supported; edit persists; validation rejects invalid input without partial mutation.</x:v>
      </x:c>
    </x:row>
    <x:row r="859">
      <x:c r="A859" s="20" t="str">
        <x:v>FLD-0856</x:v>
      </x:c>
      <x:c r="B859" s="20" t="str">
        <x:v>Mobile</x:v>
      </x:c>
      <x:c r="C859" s="35" t="str">
        <x:v>features/deposits/deposits_screen.dart</x:v>
      </x:c>
      <x:c r="D859" s="35" t="str">
        <x:v>mobile/lib/features/deposits/deposits_screen.dart</x:v>
      </x:c>
      <x:c r="E859" s="32" t="n">
        <x:v>735</x:v>
      </x:c>
      <x:c r="F859" s="20" t="str">
        <x:v>TextFormField</x:v>
      </x:c>
      <x:c r="G859" s="35" t="str">
        <x:v>_reason</x:v>
      </x:c>
      <x:c r="H859" s="35" t="str">
        <x:v>Reason</x:v>
      </x:c>
      <x:c r="I859" s="20" t="str">
        <x:v>Applicant / public user</x:v>
      </x:c>
      <x:c r="J859" s="23" t="n">
        <x:v>46678</x:v>
      </x:c>
      <x:c r="K859" s="35" t="str">
        <x:v>valid non-default; boundary/format value; blank/null when optional; invalid value when constrained</x:v>
      </x:c>
      <x:c r="L859" s="35" t="str">
        <x:v>Save succeeds; close/reopen shows the exact normalized value; web reads it where supported; edit persists; validation rejects invalid input without partial mutation.</x:v>
      </x:c>
    </x:row>
    <x:row r="860">
      <x:c r="A860" s="20" t="str">
        <x:v>FLD-0857</x:v>
      </x:c>
      <x:c r="B860" s="20" t="str">
        <x:v>Mobile</x:v>
      </x:c>
      <x:c r="C860" s="35" t="str">
        <x:v>features/deposits/deposits_screen.dart</x:v>
      </x:c>
      <x:c r="D860" s="35" t="str">
        <x:v>mobile/lib/features/deposits/deposits_screen.dart</x:v>
      </x:c>
      <x:c r="E860" s="32" t="n">
        <x:v>744</x:v>
      </x:c>
      <x:c r="F860" s="20" t="str">
        <x:v>TextFormField</x:v>
      </x:c>
      <x:c r="G860" s="35" t="str">
        <x:v>_notes</x:v>
      </x:c>
      <x:c r="H860" s="35" t="str">
        <x:v>Notes (optional)</x:v>
      </x:c>
      <x:c r="I860" s="20" t="str">
        <x:v>Applicant / public user</x:v>
      </x:c>
      <x:c r="J860" s="23" t="n">
        <x:v>46678</x:v>
      </x:c>
      <x:c r="K860" s="35" t="str">
        <x:v>valid non-default; boundary/format value; blank/null when optional; invalid value when constrained</x:v>
      </x:c>
      <x:c r="L860" s="35" t="str">
        <x:v>Save succeeds; close/reopen shows the exact normalized value; web reads it where supported; edit persists; validation rejects invalid input without partial mutation.</x:v>
      </x:c>
    </x:row>
    <x:row r="861">
      <x:c r="A861" s="20" t="str">
        <x:v>FLD-0858</x:v>
      </x:c>
      <x:c r="B861" s="20" t="str">
        <x:v>Mobile</x:v>
      </x:c>
      <x:c r="C861" s="35" t="str">
        <x:v>features/deposits/deposits_screen.dart</x:v>
      </x:c>
      <x:c r="D861" s="35" t="str">
        <x:v>mobile/lib/features/deposits/deposits_screen.dart</x:v>
      </x:c>
      <x:c r="E861" s="32" t="n">
        <x:v>1011</x:v>
      </x:c>
      <x:c r="F861" s="20" t="str">
        <x:v>TextFormField</x:v>
      </x:c>
      <x:c r="G861" s="35" t="str">
        <x:v>controller</x:v>
      </x:c>
      <x:c r="H861" s="35" t="str">
        <x:v>Amount</x:v>
      </x:c>
      <x:c r="I861" s="20" t="str">
        <x:v>Applicant / public user</x:v>
      </x:c>
      <x:c r="J861" s="23" t="n">
        <x:v>46678</x:v>
      </x:c>
      <x:c r="K861" s="35" t="str">
        <x:v>valid non-default; boundary/format value; blank/null when optional; invalid value when constrained</x:v>
      </x:c>
      <x:c r="L861" s="35" t="str">
        <x:v>Save succeeds; close/reopen shows the exact normalized value; web reads it where supported; edit persists; validation rejects invalid input without partial mutation.</x:v>
      </x:c>
    </x:row>
    <x:row r="862">
      <x:c r="A862" s="20" t="str">
        <x:v>FLD-0859</x:v>
      </x:c>
      <x:c r="B862" s="20" t="str">
        <x:v>Mobile</x:v>
      </x:c>
      <x:c r="C862" s="35" t="str">
        <x:v>features/home/home_shell.dart</x:v>
      </x:c>
      <x:c r="D862" s="35" t="str">
        <x:v>mobile/lib/features/home/home_shell.dart</x:v>
      </x:c>
      <x:c r="E862" s="32" t="n">
        <x:v>1506</x:v>
      </x:c>
      <x:c r="F862" s="20" t="str">
        <x:v>DropdownButtonFormField</x:v>
      </x:c>
      <x:c r="G862" s="35" t="str">
        <x:v>Account</x:v>
      </x:c>
      <x:c r="H862" s="35" t="str">
        <x:v>Account</x:v>
      </x:c>
      <x:c r="I862" s="20" t="str">
        <x:v>Applicant / public user</x:v>
      </x:c>
      <x:c r="J862" s="23" t="n">
        <x:v>46678</x:v>
      </x:c>
      <x:c r="K862" s="35" t="str">
        <x:v>valid non-default; boundary/format value; blank/null when optional; invalid value when constrained</x:v>
      </x:c>
      <x:c r="L862" s="35" t="str">
        <x:v>Save succeeds; close/reopen shows the exact normalized value; web reads it where supported; edit persists; validation rejects invalid input without partial mutation.</x:v>
      </x:c>
    </x:row>
    <x:row r="863">
      <x:c r="A863" s="20" t="str">
        <x:v>FLD-0860</x:v>
      </x:c>
      <x:c r="B863" s="20" t="str">
        <x:v>Mobile</x:v>
      </x:c>
      <x:c r="C863" s="35" t="str">
        <x:v>features/home/mobile_shell_actions.dart</x:v>
      </x:c>
      <x:c r="D863" s="35" t="str">
        <x:v>mobile/lib/features/home/mobile_shell_actions.dart</x:v>
      </x:c>
      <x:c r="E863" s="32" t="n">
        <x:v>179</x:v>
      </x:c>
      <x:c r="F863" s="20" t="str">
        <x:v>DropdownButtonFormField</x:v>
      </x:c>
      <x:c r="G863" s="35" t="str">
        <x:v>_selectionInFlight</x:v>
      </x:c>
      <x:c r="H863" s="35" t="str">
        <x:v>Workspace</x:v>
      </x:c>
      <x:c r="I863" s="20" t="str">
        <x:v>Applicant / public user</x:v>
      </x:c>
      <x:c r="J863" s="23" t="n">
        <x:v>46679</x:v>
      </x:c>
      <x:c r="K863" s="35" t="str">
        <x:v>valid non-default; boundary/format value; blank/null when optional; invalid value when constrained</x:v>
      </x:c>
      <x:c r="L863" s="35" t="str">
        <x:v>Save succeeds; close/reopen shows the exact normalized value; web reads it where supported; edit persists; validation rejects invalid input without partial mutation.</x:v>
      </x:c>
    </x:row>
    <x:row r="864">
      <x:c r="A864" s="20" t="str">
        <x:v>FLD-0861</x:v>
      </x:c>
      <x:c r="B864" s="20" t="str">
        <x:v>Mobile</x:v>
      </x:c>
      <x:c r="C864" s="35" t="str">
        <x:v>features/inspections/inspection_run_screen.dart</x:v>
      </x:c>
      <x:c r="D864" s="35" t="str">
        <x:v>mobile/lib/features/inspections/inspection_run_screen.dart</x:v>
      </x:c>
      <x:c r="E864" s="32" t="n">
        <x:v>81</x:v>
      </x:c>
      <x:c r="F864" s="20" t="str">
        <x:v>TextField</x:v>
      </x:c>
      <x:c r="G864" s="35" t="str">
        <x:v>controller</x:v>
      </x:c>
      <x:c r="H864" s="35" t="str">
        <x:v>Note</x:v>
      </x:c>
      <x:c r="I864" s="20" t="str">
        <x:v>Applicant / public user</x:v>
      </x:c>
      <x:c r="J864" s="23" t="n">
        <x:v>46679</x:v>
      </x:c>
      <x:c r="K864" s="35" t="str">
        <x:v>valid non-default; boundary/format value; blank/null when optional; invalid value when constrained</x:v>
      </x:c>
      <x:c r="L864" s="35" t="str">
        <x:v>Save succeeds; close/reopen shows the exact normalized value; web reads it where supported; edit persists; validation rejects invalid input without partial mutation.</x:v>
      </x:c>
    </x:row>
    <x:row r="865">
      <x:c r="A865" s="20" t="str">
        <x:v>FLD-0862</x:v>
      </x:c>
      <x:c r="B865" s="20" t="str">
        <x:v>Mobile</x:v>
      </x:c>
      <x:c r="C865" s="35" t="str">
        <x:v>features/inspections/new_inspection_screen.dart</x:v>
      </x:c>
      <x:c r="D865" s="35" t="str">
        <x:v>mobile/lib/features/inspections/new_inspection_screen.dart</x:v>
      </x:c>
      <x:c r="E865" s="32" t="n">
        <x:v>199</x:v>
      </x:c>
      <x:c r="F865" s="20" t="str">
        <x:v>DropdownButtonFormField</x:v>
      </x:c>
      <x:c r="G865" s="35" t="str">
        <x:v>_onPropertyChanged</x:v>
      </x:c>
      <x:c r="H865" s="35" t="str">
        <x:v>Property</x:v>
      </x:c>
      <x:c r="I865" s="20" t="str">
        <x:v>Applicant / public user</x:v>
      </x:c>
      <x:c r="J865" s="23" t="n">
        <x:v>46679</x:v>
      </x:c>
      <x:c r="K865" s="35" t="str">
        <x:v>valid non-default; boundary/format value; blank/null when optional; invalid value when constrained</x:v>
      </x:c>
      <x:c r="L865" s="35" t="str">
        <x:v>Save succeeds; close/reopen shows the exact normalized value; web reads it where supported; edit persists; validation rejects invalid input without partial mutation.</x:v>
      </x:c>
    </x:row>
    <x:row r="866">
      <x:c r="A866" s="20" t="str">
        <x:v>FLD-0863</x:v>
      </x:c>
      <x:c r="B866" s="20" t="str">
        <x:v>Mobile</x:v>
      </x:c>
      <x:c r="C866" s="35" t="str">
        <x:v>features/inspections/new_inspection_screen.dart</x:v>
      </x:c>
      <x:c r="D866" s="35" t="str">
        <x:v>mobile/lib/features/inspections/new_inspection_screen.dart</x:v>
      </x:c>
      <x:c r="E866" s="32" t="n">
        <x:v>345</x:v>
      </x:c>
      <x:c r="F866" s="20" t="str">
        <x:v>DropdownButtonFormField</x:v>
      </x:c>
      <x:c r="G866" s="35" t="str">
        <x:v>onChanged</x:v>
      </x:c>
      <x:c r="H866" s="35" t="str">
        <x:v>Unit (optional)</x:v>
      </x:c>
      <x:c r="I866" s="20" t="str">
        <x:v>Applicant / public user</x:v>
      </x:c>
      <x:c r="J866" s="23" t="n">
        <x:v>46679</x:v>
      </x:c>
      <x:c r="K866" s="35" t="str">
        <x:v>valid non-default; boundary/format value; blank/null when optional; invalid value when constrained</x:v>
      </x:c>
      <x:c r="L866" s="35" t="str">
        <x:v>Save succeeds; close/reopen shows the exact normalized value; web reads it where supported; edit persists; validation rejects invalid input without partial mutation.</x:v>
      </x:c>
    </x:row>
    <x:row r="867">
      <x:c r="A867" s="20" t="str">
        <x:v>FLD-0864</x:v>
      </x:c>
      <x:c r="B867" s="20" t="str">
        <x:v>Mobile</x:v>
      </x:c>
      <x:c r="C867" s="35" t="str">
        <x:v>features/leases/addendum_action_sheets.dart</x:v>
      </x:c>
      <x:c r="D867" s="35" t="str">
        <x:v>mobile/lib/features/leases/addendum_action_sheets.dart</x:v>
      </x:c>
      <x:c r="E867" s="32" t="n">
        <x:v>387</x:v>
      </x:c>
      <x:c r="F867" s="20" t="str">
        <x:v>DropdownButtonFormField</x:v>
      </x:c>
      <x:c r="G867" s="35" t="str">
        <x:v>_setBaseAgreement</x:v>
      </x:c>
      <x:c r="H867" s="35" t="str">
        <x:v>Executed base agreement</x:v>
      </x:c>
      <x:c r="I867" s="20" t="str">
        <x:v>Applicant / public user</x:v>
      </x:c>
      <x:c r="J867" s="23" t="n">
        <x:v>46679</x:v>
      </x:c>
      <x:c r="K867" s="35" t="str">
        <x:v>valid non-default; boundary/format value; blank/null when optional; invalid value when constrained</x:v>
      </x:c>
      <x:c r="L867" s="35" t="str">
        <x:v>Save succeeds; close/reopen shows the exact normalized value; web reads it where supported; edit persists; validation rejects invalid input without partial mutation.</x:v>
      </x:c>
    </x:row>
    <x:row r="868">
      <x:c r="A868" s="20" t="str">
        <x:v>FLD-0865</x:v>
      </x:c>
      <x:c r="B868" s="20" t="str">
        <x:v>Mobile</x:v>
      </x:c>
      <x:c r="C868" s="35" t="str">
        <x:v>features/leases/addendum_action_sheets.dart</x:v>
      </x:c>
      <x:c r="D868" s="35" t="str">
        <x:v>mobile/lib/features/leases/addendum_action_sheets.dart</x:v>
      </x:c>
      <x:c r="E868" s="32" t="n">
        <x:v>415</x:v>
      </x:c>
      <x:c r="F868" s="20" t="str">
        <x:v>DropdownButtonFormField</x:v>
      </x:c>
      <x:c r="G868" s="35" t="str">
        <x:v>_number</x:v>
      </x:c>
      <x:c r="H868" s="35" t="str">
        <x:v>Active lease template</x:v>
      </x:c>
      <x:c r="I868" s="20" t="str">
        <x:v>Applicant / public user</x:v>
      </x:c>
      <x:c r="J868" s="23" t="n">
        <x:v>46680</x:v>
      </x:c>
      <x:c r="K868" s="35" t="str">
        <x:v>valid non-default; boundary/format value; blank/null when optional; invalid value when constrained</x:v>
      </x:c>
      <x:c r="L868" s="35" t="str">
        <x:v>Save succeeds; close/reopen shows the exact normalized value; web reads it where supported; edit persists; validation rejects invalid input without partial mutation.</x:v>
      </x:c>
    </x:row>
    <x:row r="869">
      <x:c r="A869" s="20" t="str">
        <x:v>FLD-0866</x:v>
      </x:c>
      <x:c r="B869" s="20" t="str">
        <x:v>Mobile</x:v>
      </x:c>
      <x:c r="C869" s="35" t="str">
        <x:v>features/leases/addendum_action_sheets.dart</x:v>
      </x:c>
      <x:c r="D869" s="35" t="str">
        <x:v>mobile/lib/features/leases/addendum_action_sheets.dart</x:v>
      </x:c>
      <x:c r="E869" s="32" t="n">
        <x:v>444</x:v>
      </x:c>
      <x:c r="F869" s="20" t="str">
        <x:v>DropdownButtonFormField</x:v>
      </x:c>
      <x:c r="G869" s="35" t="str">
        <x:v>Purpose</x:v>
      </x:c>
      <x:c r="H869" s="35" t="str">
        <x:v>Purpose</x:v>
      </x:c>
      <x:c r="I869" s="20" t="str">
        <x:v>Applicant / public user</x:v>
      </x:c>
      <x:c r="J869" s="23" t="n">
        <x:v>46680</x:v>
      </x:c>
      <x:c r="K869" s="35" t="str">
        <x:v>valid non-default; boundary/format value; blank/null when optional; invalid value when constrained</x:v>
      </x:c>
      <x:c r="L869" s="35" t="str">
        <x:v>Save succeeds; close/reopen shows the exact normalized value; web reads it where supported; edit persists; validation rejects invalid input without partial mutation.</x:v>
      </x:c>
    </x:row>
    <x:row r="870">
      <x:c r="A870" s="20" t="str">
        <x:v>FLD-0867</x:v>
      </x:c>
      <x:c r="B870" s="20" t="str">
        <x:v>Mobile</x:v>
      </x:c>
      <x:c r="C870" s="35" t="str">
        <x:v>features/leases/addendum_action_sheets.dart</x:v>
      </x:c>
      <x:c r="D870" s="35" t="str">
        <x:v>mobile/lib/features/leases/addendum_action_sheets.dart</x:v>
      </x:c>
      <x:c r="E870" s="32" t="n">
        <x:v>461</x:v>
      </x:c>
      <x:c r="F870" s="20" t="str">
        <x:v>SwitchListTile</x:v>
      </x:c>
      <x:c r="G870" s="35" t="str">
        <x:v>party.email</x:v>
      </x:c>
      <x:c r="H870" s="35" t="str"/>
      <x:c r="I870" s="20" t="str">
        <x:v>Applicant / public user</x:v>
      </x:c>
      <x:c r="J870" s="23" t="n">
        <x:v>46680</x:v>
      </x:c>
      <x:c r="K870" s="35" t="str">
        <x:v>valid non-default; boundary/format value; blank/null when optional; invalid value when constrained</x:v>
      </x:c>
      <x:c r="L870" s="35" t="str">
        <x:v>Save succeeds; close/reopen shows the exact normalized value; web reads it where supported; edit persists; validation rejects invalid input without partial mutation.</x:v>
      </x:c>
    </x:row>
    <x:row r="871">
      <x:c r="A871" s="20" t="str">
        <x:v>FLD-0868</x:v>
      </x:c>
      <x:c r="B871" s="20" t="str">
        <x:v>Mobile</x:v>
      </x:c>
      <x:c r="C871" s="35" t="str">
        <x:v>features/leases/addendum_action_sheets.dart</x:v>
      </x:c>
      <x:c r="D871" s="35" t="str">
        <x:v>mobile/lib/features/leases/addendum_action_sheets.dart</x:v>
      </x:c>
      <x:c r="E871" s="32" t="n">
        <x:v>926</x:v>
      </x:c>
      <x:c r="F871" s="20" t="str">
        <x:v>DropdownButtonFormField</x:v>
      </x:c>
      <x:c r="G871" s="35" t="str">
        <x:v>_amount</x:v>
      </x:c>
      <x:c r="H871" s="35" t="str">
        <x:v>Effect type</x:v>
      </x:c>
      <x:c r="I871" s="20" t="str">
        <x:v>Applicant / public user</x:v>
      </x:c>
      <x:c r="J871" s="23" t="n">
        <x:v>46680</x:v>
      </x:c>
      <x:c r="K871" s="35" t="str">
        <x:v>valid non-default; boundary/format value; blank/null when optional; invalid value when constrained</x:v>
      </x:c>
      <x:c r="L871" s="35" t="str">
        <x:v>Save succeeds; close/reopen shows the exact normalized value; web reads it where supported; edit persists; validation rejects invalid input without partial mutation.</x:v>
      </x:c>
    </x:row>
    <x:row r="872">
      <x:c r="A872" s="20" t="str">
        <x:v>FLD-0869</x:v>
      </x:c>
      <x:c r="B872" s="20" t="str">
        <x:v>Mobile</x:v>
      </x:c>
      <x:c r="C872" s="35" t="str">
        <x:v>features/leases/addendum_action_sheets.dart</x:v>
      </x:c>
      <x:c r="D872" s="35" t="str">
        <x:v>mobile/lib/features/leases/addendum_action_sheets.dart</x:v>
      </x:c>
      <x:c r="E872" s="32" t="n">
        <x:v>952</x:v>
      </x:c>
      <x:c r="F872" s="20" t="str">
        <x:v>TextFormField</x:v>
      </x:c>
      <x:c r="G872" s="35" t="str">
        <x:v>_chargeCode</x:v>
      </x:c>
      <x:c r="H872" s="35" t="str">
        <x:v>Currency</x:v>
      </x:c>
      <x:c r="I872" s="20" t="str">
        <x:v>Applicant / public user</x:v>
      </x:c>
      <x:c r="J872" s="23" t="n">
        <x:v>46681</x:v>
      </x:c>
      <x:c r="K872" s="35" t="str">
        <x:v>valid non-default; boundary/format value; blank/null when optional; invalid value when constrained</x:v>
      </x:c>
      <x:c r="L872" s="35" t="str">
        <x:v>Save succeeds; close/reopen shows the exact normalized value; web reads it where supported; edit persists; validation rejects invalid input without partial mutation.</x:v>
      </x:c>
    </x:row>
    <x:row r="873">
      <x:c r="A873" s="20" t="str">
        <x:v>FLD-0870</x:v>
      </x:c>
      <x:c r="B873" s="20" t="str">
        <x:v>Mobile</x:v>
      </x:c>
      <x:c r="C873" s="35" t="str">
        <x:v>features/leases/addendum_action_sheets.dart</x:v>
      </x:c>
      <x:c r="D873" s="35" t="str">
        <x:v>mobile/lib/features/leases/addendum_action_sheets.dart</x:v>
      </x:c>
      <x:c r="E873" s="32" t="n">
        <x:v>965</x:v>
      </x:c>
      <x:c r="F873" s="20" t="str">
        <x:v>TextFormField</x:v>
      </x:c>
      <x:c r="G873" s="35" t="str">
        <x:v>_description</x:v>
      </x:c>
      <x:c r="H873" s="35" t="str">
        <x:v>Description</x:v>
      </x:c>
      <x:c r="I873" s="20" t="str">
        <x:v>Applicant / public user</x:v>
      </x:c>
      <x:c r="J873" s="23" t="n">
        <x:v>46681</x:v>
      </x:c>
      <x:c r="K873" s="35" t="str">
        <x:v>valid non-default; boundary/format value; blank/null when optional; invalid value when constrained</x:v>
      </x:c>
      <x:c r="L873" s="35" t="str">
        <x:v>Save succeeds; close/reopen shows the exact normalized value; web reads it where supported; edit persists; validation rejects invalid input without partial mutation.</x:v>
      </x:c>
    </x:row>
    <x:row r="874">
      <x:c r="A874" s="20" t="str">
        <x:v>FLD-0871</x:v>
      </x:c>
      <x:c r="B874" s="20" t="str">
        <x:v>Mobile</x:v>
      </x:c>
      <x:c r="C874" s="35" t="str">
        <x:v>features/leases/addendum_action_sheets.dart</x:v>
      </x:c>
      <x:c r="D874" s="35" t="str">
        <x:v>mobile/lib/features/leases/addendum_action_sheets.dart</x:v>
      </x:c>
      <x:c r="E874" s="32" t="n">
        <x:v>991</x:v>
      </x:c>
      <x:c r="F874" s="20" t="str">
        <x:v>SwitchListTile</x:v>
      </x:c>
      <x:c r="G874" s="35" t="str">
        <x:v>SwitchListTile-14</x:v>
      </x:c>
      <x:c r="H874" s="35" t="str"/>
      <x:c r="I874" s="20" t="str">
        <x:v>Applicant / public user</x:v>
      </x:c>
      <x:c r="J874" s="23" t="n">
        <x:v>46681</x:v>
      </x:c>
      <x:c r="K874" s="35" t="str">
        <x:v>valid non-default; boundary/format value; blank/null when optional; invalid value when constrained</x:v>
      </x:c>
      <x:c r="L874" s="35" t="str">
        <x:v>Save succeeds; close/reopen shows the exact normalized value; web reads it where supported; edit persists; validation rejects invalid input without partial mutation.</x:v>
      </x:c>
    </x:row>
    <x:row r="875">
      <x:c r="A875" s="20" t="str">
        <x:v>FLD-0872</x:v>
      </x:c>
      <x:c r="B875" s="20" t="str">
        <x:v>Mobile</x:v>
      </x:c>
      <x:c r="C875" s="35" t="str">
        <x:v>features/leases/addendum_action_sheets.dart</x:v>
      </x:c>
      <x:c r="D875" s="35" t="str">
        <x:v>mobile/lib/features/leases/addendum_action_sheets.dart</x:v>
      </x:c>
      <x:c r="E875" s="32" t="n">
        <x:v>1239</x:v>
      </x:c>
      <x:c r="F875" s="20" t="str">
        <x:v>TextFormField</x:v>
      </x:c>
      <x:c r="G875" s="35" t="str">
        <x:v>_subject</x:v>
      </x:c>
      <x:c r="H875" s="35" t="str">
        <x:v>Signature email subject</x:v>
      </x:c>
      <x:c r="I875" s="20" t="str">
        <x:v>Applicant / public user</x:v>
      </x:c>
      <x:c r="J875" s="23" t="n">
        <x:v>46681</x:v>
      </x:c>
      <x:c r="K875" s="35" t="str">
        <x:v>valid non-default; boundary/format value; blank/null when optional; invalid value when constrained</x:v>
      </x:c>
      <x:c r="L875" s="35" t="str">
        <x:v>Save succeeds; close/reopen shows the exact normalized value; web reads it where supported; edit persists; validation rejects invalid input without partial mutation.</x:v>
      </x:c>
    </x:row>
    <x:row r="876">
      <x:c r="A876" s="20" t="str">
        <x:v>FLD-0873</x:v>
      </x:c>
      <x:c r="B876" s="20" t="str">
        <x:v>Mobile</x:v>
      </x:c>
      <x:c r="C876" s="35" t="str">
        <x:v>features/leases/agreement_draft_action_sheets.dart</x:v>
      </x:c>
      <x:c r="D876" s="35" t="str">
        <x:v>mobile/lib/features/leases/agreement_draft_action_sheets.dart</x:v>
      </x:c>
      <x:c r="E876" s="32" t="n">
        <x:v>246</x:v>
      </x:c>
      <x:c r="F876" s="20" t="str">
        <x:v>TextFormField</x:v>
      </x:c>
      <x:c r="G876" s="35" t="str">
        <x:v>_agreementNumber</x:v>
      </x:c>
      <x:c r="H876" s="35" t="str">
        <x:v>Agreement number</x:v>
      </x:c>
      <x:c r="I876" s="20" t="str">
        <x:v>Applicant / public user</x:v>
      </x:c>
      <x:c r="J876" s="23" t="n">
        <x:v>46681</x:v>
      </x:c>
      <x:c r="K876" s="35" t="str">
        <x:v>valid non-default; boundary/format value; blank/null when optional; invalid value when constrained</x:v>
      </x:c>
      <x:c r="L876" s="35" t="str">
        <x:v>Save succeeds; close/reopen shows the exact normalized value; web reads it where supported; edit persists; validation rejects invalid input without partial mutation.</x:v>
      </x:c>
    </x:row>
    <x:row r="877">
      <x:c r="A877" s="20" t="str">
        <x:v>FLD-0874</x:v>
      </x:c>
      <x:c r="B877" s="20" t="str">
        <x:v>Mobile</x:v>
      </x:c>
      <x:c r="C877" s="35" t="str">
        <x:v>features/leases/agreement_draft_action_sheets.dart</x:v>
      </x:c>
      <x:c r="D877" s="35" t="str">
        <x:v>mobile/lib/features/leases/agreement_draft_action_sheets.dart</x:v>
      </x:c>
      <x:c r="E877" s="32" t="n">
        <x:v>254</x:v>
      </x:c>
      <x:c r="F877" s="20" t="str">
        <x:v>DropdownButtonFormField</x:v>
      </x:c>
      <x:c r="G877" s="35" t="str">
        <x:v>Term type</x:v>
      </x:c>
      <x:c r="H877" s="35" t="str">
        <x:v>Term type</x:v>
      </x:c>
      <x:c r="I877" s="20" t="str">
        <x:v>Applicant / public user</x:v>
      </x:c>
      <x:c r="J877" s="23" t="n">
        <x:v>46682</x:v>
      </x:c>
      <x:c r="K877" s="35" t="str">
        <x:v>valid non-default; boundary/format value; blank/null when optional; invalid value when constrained</x:v>
      </x:c>
      <x:c r="L877" s="35" t="str">
        <x:v>Save succeeds; close/reopen shows the exact normalized value; web reads it where supported; edit persists; validation rejects invalid input without partial mutation.</x:v>
      </x:c>
    </x:row>
    <x:row r="878">
      <x:c r="A878" s="20" t="str">
        <x:v>FLD-0875</x:v>
      </x:c>
      <x:c r="B878" s="20" t="str">
        <x:v>Mobile</x:v>
      </x:c>
      <x:c r="C878" s="35" t="str">
        <x:v>features/leases/agreement_draft_action_sheets.dart</x:v>
      </x:c>
      <x:c r="D878" s="35" t="str">
        <x:v>mobile/lib/features/leases/agreement_draft_action_sheets.dart</x:v>
      </x:c>
      <x:c r="E878" s="32" t="n">
        <x:v>529</x:v>
      </x:c>
      <x:c r="F878" s="20" t="str">
        <x:v>TextFormField</x:v>
      </x:c>
      <x:c r="G878" s="35" t="str">
        <x:v>_subject</x:v>
      </x:c>
      <x:c r="H878" s="35" t="str">
        <x:v>Signature email subject</x:v>
      </x:c>
      <x:c r="I878" s="20" t="str">
        <x:v>Applicant / public user</x:v>
      </x:c>
      <x:c r="J878" s="23" t="n">
        <x:v>46682</x:v>
      </x:c>
      <x:c r="K878" s="35" t="str">
        <x:v>valid non-default; boundary/format value; blank/null when optional; invalid value when constrained</x:v>
      </x:c>
      <x:c r="L878" s="35" t="str">
        <x:v>Save succeeds; close/reopen shows the exact normalized value; web reads it where supported; edit persists; validation rejects invalid input without partial mutation.</x:v>
      </x:c>
    </x:row>
    <x:row r="879">
      <x:c r="A879" s="20" t="str">
        <x:v>FLD-0876</x:v>
      </x:c>
      <x:c r="B879" s="20" t="str">
        <x:v>Mobile</x:v>
      </x:c>
      <x:c r="C879" s="35" t="str">
        <x:v>features/leases/agreement_draft_action_sheets.dart</x:v>
      </x:c>
      <x:c r="D879" s="35" t="str">
        <x:v>mobile/lib/features/leases/agreement_draft_action_sheets.dart</x:v>
      </x:c>
      <x:c r="E879" s="32" t="n">
        <x:v>610</x:v>
      </x:c>
      <x:c r="F879" s="20" t="str">
        <x:v>TextFormField</x:v>
      </x:c>
      <x:c r="G879" s="35" t="str">
        <x:v>controller</x:v>
      </x:c>
      <x:c r="H879" s="35" t="str"/>
      <x:c r="I879" s="20" t="str">
        <x:v>Applicant / public user</x:v>
      </x:c>
      <x:c r="J879" s="23" t="n">
        <x:v>46682</x:v>
      </x:c>
      <x:c r="K879" s="35" t="str">
        <x:v>valid non-default; boundary/format value; blank/null when optional; invalid value when constrained</x:v>
      </x:c>
      <x:c r="L879" s="35" t="str">
        <x:v>Save succeeds; close/reopen shows the exact normalized value; web reads it where supported; edit persists; validation rejects invalid input without partial mutation.</x:v>
      </x:c>
    </x:row>
    <x:row r="880">
      <x:c r="A880" s="20" t="str">
        <x:v>FLD-0877</x:v>
      </x:c>
      <x:c r="B880" s="20" t="str">
        <x:v>Mobile</x:v>
      </x:c>
      <x:c r="C880" s="35" t="str">
        <x:v>features/leases/ending_disposition_sheet.dart</x:v>
      </x:c>
      <x:c r="D880" s="35" t="str">
        <x:v>mobile/lib/features/leases/ending_disposition_sheet.dart</x:v>
      </x:c>
      <x:c r="E880" s="32" t="n">
        <x:v>101</x:v>
      </x:c>
      <x:c r="F880" s="20" t="str">
        <x:v>DropdownButtonFormField</x:v>
      </x:c>
      <x:c r="G880" s="35" t="str">
        <x:v>Decision</x:v>
      </x:c>
      <x:c r="H880" s="35" t="str">
        <x:v>Decision</x:v>
      </x:c>
      <x:c r="I880" s="20" t="str">
        <x:v>Applicant / public user</x:v>
      </x:c>
      <x:c r="J880" s="23" t="n">
        <x:v>46682</x:v>
      </x:c>
      <x:c r="K880" s="35" t="str">
        <x:v>valid non-default; boundary/format value; blank/null when optional; invalid value when constrained</x:v>
      </x:c>
      <x:c r="L880" s="35" t="str">
        <x:v>Save succeeds; close/reopen shows the exact normalized value; web reads it where supported; edit persists; validation rejects invalid input without partial mutation.</x:v>
      </x:c>
    </x:row>
    <x:row r="881">
      <x:c r="A881" s="20" t="str">
        <x:v>FLD-0878</x:v>
      </x:c>
      <x:c r="B881" s="20" t="str">
        <x:v>Mobile</x:v>
      </x:c>
      <x:c r="C881" s="35" t="str">
        <x:v>features/leases/ending_disposition_sheet.dart</x:v>
      </x:c>
      <x:c r="D881" s="35" t="str">
        <x:v>mobile/lib/features/leases/ending_disposition_sheet.dart</x:v>
      </x:c>
      <x:c r="E881" s="32" t="n">
        <x:v>150</x:v>
      </x:c>
      <x:c r="F881" s="20" t="str">
        <x:v>TextField</x:v>
      </x:c>
      <x:c r="G881" s="35" t="str">
        <x:v>_reason</x:v>
      </x:c>
      <x:c r="H881" s="35" t="str">
        <x:v>Decision reason</x:v>
      </x:c>
      <x:c r="I881" s="20" t="str">
        <x:v>Applicant / public user</x:v>
      </x:c>
      <x:c r="J881" s="23" t="n">
        <x:v>46685</x:v>
      </x:c>
      <x:c r="K881" s="35" t="str">
        <x:v>valid non-default; boundary/format value; blank/null when optional; invalid value when constrained</x:v>
      </x:c>
      <x:c r="L881" s="35" t="str">
        <x:v>Save succeeds; close/reopen shows the exact normalized value; web reads it where supported; edit persists; validation rejects invalid input without partial mutation.</x:v>
      </x:c>
    </x:row>
    <x:row r="882">
      <x:c r="A882" s="20" t="str">
        <x:v>FLD-0879</x:v>
      </x:c>
      <x:c r="B882" s="20" t="str">
        <x:v>Mobile</x:v>
      </x:c>
      <x:c r="C882" s="35" t="str">
        <x:v>features/leases/household_management_sheet.dart</x:v>
      </x:c>
      <x:c r="D882" s="35" t="str">
        <x:v>mobile/lib/features/leases/household_management_sheet.dart</x:v>
      </x:c>
      <x:c r="E882" s="32" t="n">
        <x:v>317</x:v>
      </x:c>
      <x:c r="F882" s="20" t="str">
        <x:v>TextField</x:v>
      </x:c>
      <x:c r="G882" s="35" t="str">
        <x:v>_search</x:v>
      </x:c>
      <x:c r="H882" s="35" t="str">
        <x:v>Search existing people</x:v>
      </x:c>
      <x:c r="I882" s="20" t="str">
        <x:v>Applicant / public user</x:v>
      </x:c>
      <x:c r="J882" s="23" t="n">
        <x:v>46685</x:v>
      </x:c>
      <x:c r="K882" s="35" t="str">
        <x:v>valid non-default; boundary/format value; blank/null when optional; invalid value when constrained</x:v>
      </x:c>
      <x:c r="L882" s="35" t="str">
        <x:v>Save succeeds; close/reopen shows the exact normalized value; web reads it where supported; edit persists; validation rejects invalid input without partial mutation.</x:v>
      </x:c>
    </x:row>
    <x:row r="883">
      <x:c r="A883" s="20" t="str">
        <x:v>FLD-0880</x:v>
      </x:c>
      <x:c r="B883" s="20" t="str">
        <x:v>Mobile</x:v>
      </x:c>
      <x:c r="C883" s="35" t="str">
        <x:v>features/leases/household_management_sheet.dart</x:v>
      </x:c>
      <x:c r="D883" s="35" t="str">
        <x:v>mobile/lib/features/leases/household_management_sheet.dart</x:v>
      </x:c>
      <x:c r="E883" s="32" t="n">
        <x:v>328</x:v>
      </x:c>
      <x:c r="F883" s="20" t="str">
        <x:v>DropdownButtonFormField</x:v>
      </x:c>
      <x:c r="G883" s="35" t="str">
        <x:v>Person</x:v>
      </x:c>
      <x:c r="H883" s="35" t="str">
        <x:v>Person</x:v>
      </x:c>
      <x:c r="I883" s="20" t="str">
        <x:v>Applicant / public user</x:v>
      </x:c>
      <x:c r="J883" s="23" t="n">
        <x:v>46685</x:v>
      </x:c>
      <x:c r="K883" s="35" t="str">
        <x:v>valid non-default; boundary/format value; blank/null when optional; invalid value when constrained</x:v>
      </x:c>
      <x:c r="L883" s="35" t="str">
        <x:v>Save succeeds; close/reopen shows the exact normalized value; web reads it where supported; edit persists; validation rejects invalid input without partial mutation.</x:v>
      </x:c>
    </x:row>
    <x:row r="884">
      <x:c r="A884" s="20" t="str">
        <x:v>FLD-0881</x:v>
      </x:c>
      <x:c r="B884" s="20" t="str">
        <x:v>Mobile</x:v>
      </x:c>
      <x:c r="C884" s="35" t="str">
        <x:v>features/leases/household_management_sheet.dart</x:v>
      </x:c>
      <x:c r="D884" s="35" t="str">
        <x:v>mobile/lib/features/leases/household_management_sheet.dart</x:v>
      </x:c>
      <x:c r="E884" s="32" t="n">
        <x:v>344</x:v>
      </x:c>
      <x:c r="F884" s="20" t="str">
        <x:v>DropdownButtonFormField</x:v>
      </x:c>
      <x:c r="G884" s="35" t="str">
        <x:v>Household role</x:v>
      </x:c>
      <x:c r="H884" s="35" t="str">
        <x:v>Household role</x:v>
      </x:c>
      <x:c r="I884" s="20" t="str">
        <x:v>Applicant / public user</x:v>
      </x:c>
      <x:c r="J884" s="23" t="n">
        <x:v>46685</x:v>
      </x:c>
      <x:c r="K884" s="35" t="str">
        <x:v>valid non-default; boundary/format value; blank/null when optional; invalid value when constrained</x:v>
      </x:c>
      <x:c r="L884" s="35" t="str">
        <x:v>Save succeeds; close/reopen shows the exact normalized value; web reads it where supported; edit persists; validation rejects invalid input without partial mutation.</x:v>
      </x:c>
    </x:row>
    <x:row r="885">
      <x:c r="A885" s="20" t="str">
        <x:v>FLD-0882</x:v>
      </x:c>
      <x:c r="B885" s="20" t="str">
        <x:v>Mobile</x:v>
      </x:c>
      <x:c r="C885" s="35" t="str">
        <x:v>features/leases/household_management_sheet.dart</x:v>
      </x:c>
      <x:c r="D885" s="35" t="str">
        <x:v>mobile/lib/features/leases/household_management_sheet.dart</x:v>
      </x:c>
      <x:c r="E885" s="32" t="n">
        <x:v>382</x:v>
      </x:c>
      <x:c r="F885" s="20" t="str">
        <x:v>DropdownButtonFormField</x:v>
      </x:c>
      <x:c r="G885" s="35" t="str">
        <x:v>Signed legal basis</x:v>
      </x:c>
      <x:c r="H885" s="35" t="str">
        <x:v>Signed legal basis</x:v>
      </x:c>
      <x:c r="I885" s="20" t="str">
        <x:v>Applicant / public user</x:v>
      </x:c>
      <x:c r="J885" s="23" t="n">
        <x:v>46685</x:v>
      </x:c>
      <x:c r="K885" s="35" t="str">
        <x:v>valid non-default; boundary/format value; blank/null when optional; invalid value when constrained</x:v>
      </x:c>
      <x:c r="L885" s="35" t="str">
        <x:v>Save succeeds; close/reopen shows the exact normalized value; web reads it where supported; edit persists; validation rejects invalid input without partial mutation.</x:v>
      </x:c>
    </x:row>
    <x:row r="886">
      <x:c r="A886" s="20" t="str">
        <x:v>FLD-0883</x:v>
      </x:c>
      <x:c r="B886" s="20" t="str">
        <x:v>Mobile</x:v>
      </x:c>
      <x:c r="C886" s="35" t="str">
        <x:v>features/leases/household_management_sheet.dart</x:v>
      </x:c>
      <x:c r="D886" s="35" t="str">
        <x:v>mobile/lib/features/leases/household_management_sheet.dart</x:v>
      </x:c>
      <x:c r="E886" s="32" t="n">
        <x:v>408</x:v>
      </x:c>
      <x:c r="F886" s="20" t="str">
        <x:v>DropdownButtonFormField</x:v>
      </x:c>
      <x:c r="G886" s="35" t="str">
        <x:v>_reason</x:v>
      </x:c>
      <x:c r="H886" s="35" t="str">
        <x:v>Primary handoff</x:v>
      </x:c>
      <x:c r="I886" s="20" t="str">
        <x:v>Applicant / public user</x:v>
      </x:c>
      <x:c r="J886" s="23" t="n">
        <x:v>46686</x:v>
      </x:c>
      <x:c r="K886" s="35" t="str">
        <x:v>valid non-default; boundary/format value; blank/null when optional; invalid value when constrained</x:v>
      </x:c>
      <x:c r="L886" s="35" t="str">
        <x:v>Save succeeds; close/reopen shows the exact normalized value; web reads it where supported; edit persists; validation rejects invalid input without partial mutation.</x:v>
      </x:c>
    </x:row>
    <x:row r="887">
      <x:c r="A887" s="20" t="str">
        <x:v>FLD-0884</x:v>
      </x:c>
      <x:c r="B887" s="20" t="str">
        <x:v>Mobile</x:v>
      </x:c>
      <x:c r="C887" s="35" t="str">
        <x:v>features/leases/issued_agreement_recovery_sheet.dart</x:v>
      </x:c>
      <x:c r="D887" s="35" t="str">
        <x:v>mobile/lib/features/leases/issued_agreement_recovery_sheet.dart</x:v>
      </x:c>
      <x:c r="E887" s="32" t="n">
        <x:v>91</x:v>
      </x:c>
      <x:c r="F887" s="20" t="str">
        <x:v>TextFormField</x:v>
      </x:c>
      <x:c r="G887" s="35" t="str">
        <x:v>_voidNote</x:v>
      </x:c>
      <x:c r="H887" s="35" t="str">
        <x:v>Void note</x:v>
      </x:c>
      <x:c r="I887" s="20" t="str">
        <x:v>Applicant / public user</x:v>
      </x:c>
      <x:c r="J887" s="23" t="n">
        <x:v>46686</x:v>
      </x:c>
      <x:c r="K887" s="35" t="str">
        <x:v>valid non-default; boundary/format value; blank/null when optional; invalid value when constrained</x:v>
      </x:c>
      <x:c r="L887" s="35" t="str">
        <x:v>Save succeeds; close/reopen shows the exact normalized value; web reads it where supported; edit persists; validation rejects invalid input without partial mutation.</x:v>
      </x:c>
    </x:row>
    <x:row r="888">
      <x:c r="A888" s="20" t="str">
        <x:v>FLD-0885</x:v>
      </x:c>
      <x:c r="B888" s="20" t="str">
        <x:v>Mobile</x:v>
      </x:c>
      <x:c r="C888" s="35" t="str">
        <x:v>features/leases/issued_agreement_recovery_sheet.dart</x:v>
      </x:c>
      <x:c r="D888" s="35" t="str">
        <x:v>mobile/lib/features/leases/issued_agreement_recovery_sheet.dart</x:v>
      </x:c>
      <x:c r="E888" s="32" t="n">
        <x:v>103</x:v>
      </x:c>
      <x:c r="F888" s="20" t="str">
        <x:v>TextFormField</x:v>
      </x:c>
      <x:c r="G888" s="35" t="str">
        <x:v>_reissueReason</x:v>
      </x:c>
      <x:c r="H888" s="35" t="str">
        <x:v>Why this document must be reissued</x:v>
      </x:c>
      <x:c r="I888" s="20" t="str">
        <x:v>Applicant / public user</x:v>
      </x:c>
      <x:c r="J888" s="23" t="n">
        <x:v>46686</x:v>
      </x:c>
      <x:c r="K888" s="35" t="str">
        <x:v>valid non-default; boundary/format value; blank/null when optional; invalid value when constrained</x:v>
      </x:c>
      <x:c r="L888" s="35" t="str">
        <x:v>Save succeeds; close/reopen shows the exact normalized value; web reads it where supported; edit persists; validation rejects invalid input without partial mutation.</x:v>
      </x:c>
    </x:row>
    <x:row r="889">
      <x:c r="A889" s="20" t="str">
        <x:v>FLD-0886</x:v>
      </x:c>
      <x:c r="B889" s="20" t="str">
        <x:v>Mobile</x:v>
      </x:c>
      <x:c r="C889" s="35" t="str">
        <x:v>features/leases/lease_detail_screen.dart</x:v>
      </x:c>
      <x:c r="D889" s="35" t="str">
        <x:v>mobile/lib/features/leases/lease_detail_screen.dart</x:v>
      </x:c>
      <x:c r="E889" s="32" t="n">
        <x:v>173</x:v>
      </x:c>
      <x:c r="F889" s="20" t="str">
        <x:v>TextField</x:v>
      </x:c>
      <x:c r="G889" s="35" t="str">
        <x:v>controller</x:v>
      </x:c>
      <x:c r="H889" s="35" t="str">
        <x:v>What does the governing agreement say about pets?</x:v>
      </x:c>
      <x:c r="I889" s="20" t="str">
        <x:v>Applicant / public user</x:v>
      </x:c>
      <x:c r="J889" s="23" t="n">
        <x:v>46686</x:v>
      </x:c>
      <x:c r="K889" s="35" t="str">
        <x:v>valid non-default; boundary/format value; blank/null when optional; invalid value when constrained</x:v>
      </x:c>
      <x:c r="L889" s="35" t="str">
        <x:v>Save succeeds; close/reopen shows the exact normalized value; web reads it where supported; edit persists; validation rejects invalid input without partial mutation.</x:v>
      </x:c>
    </x:row>
    <x:row r="890">
      <x:c r="A890" s="20" t="str">
        <x:v>FLD-0887</x:v>
      </x:c>
      <x:c r="B890" s="20" t="str">
        <x:v>Mobile</x:v>
      </x:c>
      <x:c r="C890" s="35" t="str">
        <x:v>features/leases/lease_detail_screen.dart</x:v>
      </x:c>
      <x:c r="D890" s="35" t="str">
        <x:v>mobile/lib/features/leases/lease_detail_screen.dart</x:v>
      </x:c>
      <x:c r="E890" s="32" t="n">
        <x:v>1156</x:v>
      </x:c>
      <x:c r="F890" s="20" t="str">
        <x:v>TextField</x:v>
      </x:c>
      <x:c r="G890" s="35" t="str">
        <x:v>_reason</x:v>
      </x:c>
      <x:c r="H890" s="35" t="str">
        <x:v>Cancellation reason</x:v>
      </x:c>
      <x:c r="I890" s="20" t="str">
        <x:v>Applicant / public user</x:v>
      </x:c>
      <x:c r="J890" s="23" t="n">
        <x:v>46687</x:v>
      </x:c>
      <x:c r="K890" s="35" t="str">
        <x:v>valid non-default; boundary/format value; blank/null when optional; invalid value when constrained</x:v>
      </x:c>
      <x:c r="L890" s="35" t="str">
        <x:v>Save succeeds; close/reopen shows the exact normalized value; web reads it where supported; edit persists; validation rejects invalid input without partial mutation.</x:v>
      </x:c>
    </x:row>
    <x:row r="891">
      <x:c r="A891" s="20" t="str">
        <x:v>FLD-0888</x:v>
      </x:c>
      <x:c r="B891" s="20" t="str">
        <x:v>Mobile</x:v>
      </x:c>
      <x:c r="C891" s="35" t="str">
        <x:v>features/leases/prepare_move_in_sheet.dart</x:v>
      </x:c>
      <x:c r="D891" s="35" t="str">
        <x:v>mobile/lib/features/leases/prepare_move_in_sheet.dart</x:v>
      </x:c>
      <x:c r="E891" s="32" t="n">
        <x:v>240</x:v>
      </x:c>
      <x:c r="F891" s="20" t="str">
        <x:v>TextField</x:v>
      </x:c>
      <x:c r="G891" s="35" t="str">
        <x:v>_applicationSearch</x:v>
      </x:c>
      <x:c r="H891" s="35" t="str">
        <x:v>Search approved applications</x:v>
      </x:c>
      <x:c r="I891" s="20" t="str">
        <x:v>Applicant / public user</x:v>
      </x:c>
      <x:c r="J891" s="23" t="n">
        <x:v>46687</x:v>
      </x:c>
      <x:c r="K891" s="35" t="str">
        <x:v>valid non-default; boundary/format value; blank/null when optional; invalid value when constrained</x:v>
      </x:c>
      <x:c r="L891" s="35" t="str">
        <x:v>Save succeeds; close/reopen shows the exact normalized value; web reads it where supported; edit persists; validation rejects invalid input without partial mutation.</x:v>
      </x:c>
    </x:row>
    <x:row r="892">
      <x:c r="A892" s="20" t="str">
        <x:v>FLD-0889</x:v>
      </x:c>
      <x:c r="B892" s="20" t="str">
        <x:v>Mobile</x:v>
      </x:c>
      <x:c r="C892" s="35" t="str">
        <x:v>features/leases/prepare_move_in_sheet.dart</x:v>
      </x:c>
      <x:c r="D892" s="35" t="str">
        <x:v>mobile/lib/features/leases/prepare_move_in_sheet.dart</x:v>
      </x:c>
      <x:c r="E892" s="32" t="n">
        <x:v>345</x:v>
      </x:c>
      <x:c r="F892" s="20" t="str">
        <x:v>DropdownButtonFormField</x:v>
      </x:c>
      <x:c r="G892" s="35" t="str">
        <x:v>_templateSearch</x:v>
      </x:c>
      <x:c r="H892" s="35" t="str">
        <x:v>Household role</x:v>
      </x:c>
      <x:c r="I892" s="20" t="str">
        <x:v>Applicant / public user</x:v>
      </x:c>
      <x:c r="J892" s="23" t="n">
        <x:v>46687</x:v>
      </x:c>
      <x:c r="K892" s="35" t="str">
        <x:v>valid non-default; boundary/format value; blank/null when optional; invalid value when constrained</x:v>
      </x:c>
      <x:c r="L892" s="35" t="str">
        <x:v>Save succeeds; close/reopen shows the exact normalized value; web reads it where supported; edit persists; validation rejects invalid input without partial mutation.</x:v>
      </x:c>
    </x:row>
    <x:row r="893">
      <x:c r="A893" s="20" t="str">
        <x:v>FLD-0890</x:v>
      </x:c>
      <x:c r="B893" s="20" t="str">
        <x:v>Mobile</x:v>
      </x:c>
      <x:c r="C893" s="35" t="str">
        <x:v>features/leases/prepare_move_in_sheet.dart</x:v>
      </x:c>
      <x:c r="D893" s="35" t="str">
        <x:v>mobile/lib/features/leases/prepare_move_in_sheet.dart</x:v>
      </x:c>
      <x:c r="E893" s="32" t="n">
        <x:v>415</x:v>
      </x:c>
      <x:c r="F893" s="20" t="str">
        <x:v>DropdownButtonFormField</x:v>
      </x:c>
      <x:c r="G893" s="35" t="str">
        <x:v>Lease template</x:v>
      </x:c>
      <x:c r="H893" s="35" t="str">
        <x:v>Lease template</x:v>
      </x:c>
      <x:c r="I893" s="20" t="str">
        <x:v>Applicant / public user</x:v>
      </x:c>
      <x:c r="J893" s="23" t="n">
        <x:v>46687</x:v>
      </x:c>
      <x:c r="K893" s="35" t="str">
        <x:v>valid non-default; boundary/format value; blank/null when optional; invalid value when constrained</x:v>
      </x:c>
      <x:c r="L893" s="35" t="str">
        <x:v>Save succeeds; close/reopen shows the exact normalized value; web reads it where supported; edit persists; validation rejects invalid input without partial mutation.</x:v>
      </x:c>
    </x:row>
    <x:row r="894">
      <x:c r="A894" s="20" t="str">
        <x:v>FLD-0891</x:v>
      </x:c>
      <x:c r="B894" s="20" t="str">
        <x:v>Mobile</x:v>
      </x:c>
      <x:c r="C894" s="35" t="str">
        <x:v>features/leases/prepare_move_in_sheet.dart</x:v>
      </x:c>
      <x:c r="D894" s="35" t="str">
        <x:v>mobile/lib/features/leases/prepare_move_in_sheet.dart</x:v>
      </x:c>
      <x:c r="E894" s="32" t="n">
        <x:v>462</x:v>
      </x:c>
      <x:c r="F894" s="20" t="str">
        <x:v>DropdownButtonFormField</x:v>
      </x:c>
      <x:c r="G894" s="35" t="str">
        <x:v>Term type</x:v>
      </x:c>
      <x:c r="H894" s="35" t="str">
        <x:v>Term type</x:v>
      </x:c>
      <x:c r="I894" s="20" t="str">
        <x:v>Applicant / public user</x:v>
      </x:c>
      <x:c r="J894" s="23" t="n">
        <x:v>46687</x:v>
      </x:c>
      <x:c r="K894" s="35" t="str">
        <x:v>valid non-default; boundary/format value; blank/null when optional; invalid value when constrained</x:v>
      </x:c>
      <x:c r="L894" s="35" t="str">
        <x:v>Save succeeds; close/reopen shows the exact normalized value; web reads it where supported; edit persists; validation rejects invalid input without partial mutation.</x:v>
      </x:c>
    </x:row>
    <x:row r="895">
      <x:c r="A895" s="20" t="str">
        <x:v>FLD-0892</x:v>
      </x:c>
      <x:c r="B895" s="20" t="str">
        <x:v>Mobile</x:v>
      </x:c>
      <x:c r="C895" s="35" t="str">
        <x:v>features/leases/prepare_move_in_sheet.dart</x:v>
      </x:c>
      <x:c r="D895" s="35" t="str">
        <x:v>mobile/lib/features/leases/prepare_move_in_sheet.dart</x:v>
      </x:c>
      <x:c r="E895" s="32" t="n">
        <x:v>501</x:v>
      </x:c>
      <x:c r="F895" s="20" t="str">
        <x:v>SwitchListTile</x:v>
      </x:c>
      <x:c r="G895" s="35" t="str">
        <x:v>_openingNote</x:v>
      </x:c>
      <x:c r="H895" s="35" t="str">
        <x:v>Opening balance note (optional)</x:v>
      </x:c>
      <x:c r="I895" s="20" t="str">
        <x:v>Applicant / public user</x:v>
      </x:c>
      <x:c r="J895" s="23" t="n">
        <x:v>46688</x:v>
      </x:c>
      <x:c r="K895" s="35" t="str">
        <x:v>valid non-default; boundary/format value; blank/null when optional; invalid value when constrained</x:v>
      </x:c>
      <x:c r="L895" s="35" t="str">
        <x:v>Save succeeds; close/reopen shows the exact normalized value; web reads it where supported; edit persists; validation rejects invalid input without partial mutation.</x:v>
      </x:c>
    </x:row>
    <x:row r="896">
      <x:c r="A896" s="20" t="str">
        <x:v>FLD-0893</x:v>
      </x:c>
      <x:c r="B896" s="20" t="str">
        <x:v>Mobile</x:v>
      </x:c>
      <x:c r="C896" s="35" t="str">
        <x:v>features/leases/prepare_move_in_sheet.dart</x:v>
      </x:c>
      <x:c r="D896" s="35" t="str">
        <x:v>mobile/lib/features/leases/prepare_move_in_sheet.dart</x:v>
      </x:c>
      <x:c r="E896" s="32" t="n">
        <x:v>542</x:v>
      </x:c>
      <x:c r="F896" s="20" t="str">
        <x:v>TextFormField</x:v>
      </x:c>
      <x:c r="G896" s="35" t="str">
        <x:v>controller</x:v>
      </x:c>
      <x:c r="H896" s="35" t="str"/>
      <x:c r="I896" s="20" t="str">
        <x:v>Applicant / public user</x:v>
      </x:c>
      <x:c r="J896" s="23" t="n">
        <x:v>46688</x:v>
      </x:c>
      <x:c r="K896" s="35" t="str">
        <x:v>valid non-default; boundary/format value; blank/null when optional; invalid value when constrained</x:v>
      </x:c>
      <x:c r="L896" s="35" t="str">
        <x:v>Save succeeds; close/reopen shows the exact normalized value; web reads it where supported; edit persists; validation rejects invalid input without partial mutation.</x:v>
      </x:c>
    </x:row>
    <x:row r="897">
      <x:c r="A897" s="20" t="str">
        <x:v>FLD-0894</x:v>
      </x:c>
      <x:c r="B897" s="20" t="str">
        <x:v>Mobile</x:v>
      </x:c>
      <x:c r="C897" s="35" t="str">
        <x:v>features/leases/return_possession_sheet.dart</x:v>
      </x:c>
      <x:c r="D897" s="35" t="str">
        <x:v>mobile/lib/features/leases/return_possession_sheet.dart</x:v>
      </x:c>
      <x:c r="E897" s="32" t="n">
        <x:v>160</x:v>
      </x:c>
      <x:c r="F897" s="20" t="str">
        <x:v>DropdownButtonFormField</x:v>
      </x:c>
      <x:c r="G897" s="35" t="str">
        <x:v>${party.tenantName} · ${_roleLabel(party.role)}</x:v>
      </x:c>
      <x:c r="H897" s="35" t="str">
        <x:v>${party.tenantName} · ${_roleLabel(party.role)}</x:v>
      </x:c>
      <x:c r="I897" s="20" t="str">
        <x:v>Applicant / public user</x:v>
      </x:c>
      <x:c r="J897" s="23" t="n">
        <x:v>46688</x:v>
      </x:c>
      <x:c r="K897" s="35" t="str">
        <x:v>valid non-default; boundary/format value; blank/null when optional; invalid value when constrained</x:v>
      </x:c>
      <x:c r="L897" s="35" t="str">
        <x:v>Save succeeds; close/reopen shows the exact normalized value; web reads it where supported; edit persists; validation rejects invalid input without partial mutation.</x:v>
      </x:c>
    </x:row>
    <x:row r="898">
      <x:c r="A898" s="20" t="str">
        <x:v>FLD-0895</x:v>
      </x:c>
      <x:c r="B898" s="20" t="str">
        <x:v>Mobile</x:v>
      </x:c>
      <x:c r="C898" s="35" t="str">
        <x:v>features/leases/return_possession_sheet.dart</x:v>
      </x:c>
      <x:c r="D898" s="35" t="str">
        <x:v>mobile/lib/features/leases/return_possession_sheet.dart</x:v>
      </x:c>
      <x:c r="E898" s="32" t="n">
        <x:v>207</x:v>
      </x:c>
      <x:c r="F898" s="20" t="str">
        <x:v>DropdownButtonFormField</x:v>
      </x:c>
      <x:c r="G898" s="35" t="str">
        <x:v>_turnoverReason</x:v>
      </x:c>
      <x:c r="H898" s="35" t="str">
        <x:v>Turnover reason</x:v>
      </x:c>
      <x:c r="I898" s="20" t="str">
        <x:v>Applicant / public user</x:v>
      </x:c>
      <x:c r="J898" s="23" t="n">
        <x:v>46688</x:v>
      </x:c>
      <x:c r="K898" s="35" t="str">
        <x:v>valid non-default; boundary/format value; blank/null when optional; invalid value when constrained</x:v>
      </x:c>
      <x:c r="L898" s="35" t="str">
        <x:v>Save succeeds; close/reopen shows the exact normalized value; web reads it where supported; edit persists; validation rejects invalid input without partial mutation.</x:v>
      </x:c>
    </x:row>
    <x:row r="899">
      <x:c r="A899" s="20" t="str">
        <x:v>FLD-0896</x:v>
      </x:c>
      <x:c r="B899" s="20" t="str">
        <x:v>Mobile</x:v>
      </x:c>
      <x:c r="C899" s="35" t="str">
        <x:v>features/leases/successor_agreement_sheet.dart</x:v>
      </x:c>
      <x:c r="D899" s="35" t="str">
        <x:v>mobile/lib/features/leases/successor_agreement_sheet.dart</x:v>
      </x:c>
      <x:c r="E899" s="32" t="n">
        <x:v>306</x:v>
      </x:c>
      <x:c r="F899" s="20" t="str">
        <x:v>TextFormField</x:v>
      </x:c>
      <x:c r="G899" s="35" t="str">
        <x:v>_correctionReason</x:v>
      </x:c>
      <x:c r="H899" s="35" t="str">
        <x:v>Why is this correction needed?</x:v>
      </x:c>
      <x:c r="I899" s="20" t="str">
        <x:v>Applicant / public user</x:v>
      </x:c>
      <x:c r="J899" s="23" t="n">
        <x:v>46689</x:v>
      </x:c>
      <x:c r="K899" s="35" t="str">
        <x:v>valid non-default; boundary/format value; blank/null when optional; invalid value when constrained</x:v>
      </x:c>
      <x:c r="L899" s="35" t="str">
        <x:v>Save succeeds; close/reopen shows the exact normalized value; web reads it where supported; edit persists; validation rejects invalid input without partial mutation.</x:v>
      </x:c>
    </x:row>
    <x:row r="900">
      <x:c r="A900" s="20" t="str">
        <x:v>FLD-0897</x:v>
      </x:c>
      <x:c r="B900" s="20" t="str">
        <x:v>Mobile</x:v>
      </x:c>
      <x:c r="C900" s="35" t="str">
        <x:v>features/leases/successor_agreement_sheet.dart</x:v>
      </x:c>
      <x:c r="D900" s="35" t="str">
        <x:v>mobile/lib/features/leases/successor_agreement_sheet.dart</x:v>
      </x:c>
      <x:c r="E900" s="32" t="n">
        <x:v>420</x:v>
      </x:c>
      <x:c r="F900" s="20" t="str">
        <x:v>DropdownButtonFormField</x:v>
      </x:c>
      <x:c r="G900" s="35" t="str">
        <x:v>Successor treatment</x:v>
      </x:c>
      <x:c r="H900" s="35" t="str">
        <x:v>Successor treatment</x:v>
      </x:c>
      <x:c r="I900" s="20" t="str">
        <x:v>Applicant / public user</x:v>
      </x:c>
      <x:c r="J900" s="23" t="n">
        <x:v>46689</x:v>
      </x:c>
      <x:c r="K900" s="35" t="str">
        <x:v>valid non-default; boundary/format value; blank/null when optional; invalid value when constrained</x:v>
      </x:c>
      <x:c r="L900" s="35" t="str">
        <x:v>Save succeeds; close/reopen shows the exact normalized value; web reads it where supported; edit persists; validation rejects invalid input without partial mutation.</x:v>
      </x:c>
    </x:row>
    <x:row r="901">
      <x:c r="A901" s="20" t="str">
        <x:v>FLD-0898</x:v>
      </x:c>
      <x:c r="B901" s="20" t="str">
        <x:v>Mobile</x:v>
      </x:c>
      <x:c r="C901" s="35" t="str">
        <x:v>features/leasing/leasing_detail_screens.dart</x:v>
      </x:c>
      <x:c r="D901" s="35" t="str">
        <x:v>mobile/lib/features/leasing/leasing_detail_screens.dart</x:v>
      </x:c>
      <x:c r="E901" s="32" t="n">
        <x:v>563</x:v>
      </x:c>
      <x:c r="F901" s="20" t="str">
        <x:v>TextField</x:v>
      </x:c>
      <x:c r="G901" s="35" t="str">
        <x:v>_replyController</x:v>
      </x:c>
      <x:c r="H901" s="35" t="str">
        <x:v>Reply in the tenant portal</x:v>
      </x:c>
      <x:c r="I901" s="20" t="str">
        <x:v>Applicant / public user</x:v>
      </x:c>
      <x:c r="J901" s="23" t="n">
        <x:v>46689</x:v>
      </x:c>
      <x:c r="K901" s="35" t="str">
        <x:v>valid non-default; boundary/format value; blank/null when optional; invalid value when constrained</x:v>
      </x:c>
      <x:c r="L901" s="35" t="str">
        <x:v>Save succeeds; close/reopen shows the exact normalized value; web reads it where supported; edit persists; validation rejects invalid input without partial mutation.</x:v>
      </x:c>
    </x:row>
    <x:row r="902">
      <x:c r="A902" s="20" t="str">
        <x:v>FLD-0899</x:v>
      </x:c>
      <x:c r="B902" s="20" t="str">
        <x:v>Mobile</x:v>
      </x:c>
      <x:c r="C902" s="35" t="str">
        <x:v>features/maintenance/create_work_order_sheet.dart</x:v>
      </x:c>
      <x:c r="D902" s="35" t="str">
        <x:v>mobile/lib/features/maintenance/create_work_order_sheet.dart</x:v>
      </x:c>
      <x:c r="E902" s="32" t="n">
        <x:v>356</x:v>
      </x:c>
      <x:c r="F902" s="20" t="str">
        <x:v>TextFormField</x:v>
      </x:c>
      <x:c r="G902" s="35" t="str">
        <x:v>null</x:v>
      </x:c>
      <x:c r="H902" s="35" t="str">
        <x:v>Property</x:v>
      </x:c>
      <x:c r="I902" s="20" t="str">
        <x:v>Applicant / public user</x:v>
      </x:c>
      <x:c r="J902" s="23" t="n">
        <x:v>46689</x:v>
      </x:c>
      <x:c r="K902" s="35" t="str">
        <x:v>valid non-default; boundary/format value; blank/null when optional; invalid value when constrained</x:v>
      </x:c>
      <x:c r="L902" s="35" t="str">
        <x:v>Save succeeds; close/reopen shows the exact normalized value; web reads it where supported; edit persists; validation rejects invalid input without partial mutation.</x:v>
      </x:c>
    </x:row>
    <x:row r="903">
      <x:c r="A903" s="20" t="str">
        <x:v>FLD-0900</x:v>
      </x:c>
      <x:c r="B903" s="20" t="str">
        <x:v>Mobile</x:v>
      </x:c>
      <x:c r="C903" s="35" t="str">
        <x:v>features/maintenance/create_work_order_sheet.dart</x:v>
      </x:c>
      <x:c r="D903" s="35" t="str">
        <x:v>mobile/lib/features/maintenance/create_work_order_sheet.dart</x:v>
      </x:c>
      <x:c r="E903" s="32" t="n">
        <x:v>463</x:v>
      </x:c>
      <x:c r="F903" s="20" t="str">
        <x:v>DropdownButtonFormField</x:v>
      </x:c>
      <x:c r="G903" s="35" t="str">
        <x:v>Tenant (optional)</x:v>
      </x:c>
      <x:c r="H903" s="35" t="str">
        <x:v>Tenant (optional)</x:v>
      </x:c>
      <x:c r="I903" s="20" t="str">
        <x:v>Applicant / public user</x:v>
      </x:c>
      <x:c r="J903" s="23" t="n">
        <x:v>46692</x:v>
      </x:c>
      <x:c r="K903" s="35" t="str">
        <x:v>valid non-default; boundary/format value; blank/null when optional; invalid value when constrained</x:v>
      </x:c>
      <x:c r="L903" s="35" t="str">
        <x:v>Save succeeds; close/reopen shows the exact normalized value; web reads it where supported; edit persists; validation rejects invalid input without partial mutation.</x:v>
      </x:c>
    </x:row>
    <x:row r="904">
      <x:c r="A904" s="20" t="str">
        <x:v>FLD-0901</x:v>
      </x:c>
      <x:c r="B904" s="20" t="str">
        <x:v>Mobile</x:v>
      </x:c>
      <x:c r="C904" s="35" t="str">
        <x:v>features/maintenance/create_work_order_sheet.dart</x:v>
      </x:c>
      <x:c r="D904" s="35" t="str">
        <x:v>mobile/lib/features/maintenance/create_work_order_sheet.dart</x:v>
      </x:c>
      <x:c r="E904" s="32" t="n">
        <x:v>497</x:v>
      </x:c>
      <x:c r="F904" s="20" t="str">
        <x:v>DropdownButtonFormField</x:v>
      </x:c>
      <x:c r="G904" s="35" t="str">
        <x:v>_titleCtrl</x:v>
      </x:c>
      <x:c r="H904" s="35" t="str">
        <x:v>Vendor (optional)</x:v>
      </x:c>
      <x:c r="I904" s="20" t="str">
        <x:v>Applicant / public user</x:v>
      </x:c>
      <x:c r="J904" s="23" t="n">
        <x:v>46692</x:v>
      </x:c>
      <x:c r="K904" s="35" t="str">
        <x:v>valid non-default; boundary/format value; blank/null when optional; invalid value when constrained</x:v>
      </x:c>
      <x:c r="L904" s="35" t="str">
        <x:v>Save succeeds; close/reopen shows the exact normalized value; web reads it where supported; edit persists; validation rejects invalid input without partial mutation.</x:v>
      </x:c>
    </x:row>
    <x:row r="905">
      <x:c r="A905" s="20" t="str">
        <x:v>FLD-0902</x:v>
      </x:c>
      <x:c r="B905" s="20" t="str">
        <x:v>Mobile</x:v>
      </x:c>
      <x:c r="C905" s="35" t="str">
        <x:v>features/maintenance/create_work_order_sheet.dart</x:v>
      </x:c>
      <x:c r="D905" s="35" t="str">
        <x:v>mobile/lib/features/maintenance/create_work_order_sheet.dart</x:v>
      </x:c>
      <x:c r="E905" s="32" t="n">
        <x:v>544</x:v>
      </x:c>
      <x:c r="F905" s="20" t="str">
        <x:v>TextFormField</x:v>
      </x:c>
      <x:c r="G905" s="35" t="str">
        <x:v>_descCtrl</x:v>
      </x:c>
      <x:c r="H905" s="35" t="str">
        <x:v>Description</x:v>
      </x:c>
      <x:c r="I905" s="20" t="str">
        <x:v>Applicant / public user</x:v>
      </x:c>
      <x:c r="J905" s="23" t="n">
        <x:v>46692</x:v>
      </x:c>
      <x:c r="K905" s="35" t="str">
        <x:v>valid non-default; boundary/format value; blank/null when optional; invalid value when constrained</x:v>
      </x:c>
      <x:c r="L905" s="35" t="str">
        <x:v>Save succeeds; close/reopen shows the exact normalized value; web reads it where supported; edit persists; validation rejects invalid input without partial mutation.</x:v>
      </x:c>
    </x:row>
    <x:row r="906">
      <x:c r="A906" s="20" t="str">
        <x:v>FLD-0903</x:v>
      </x:c>
      <x:c r="B906" s="20" t="str">
        <x:v>Mobile</x:v>
      </x:c>
      <x:c r="C906" s="35" t="str">
        <x:v>features/maintenance/create_work_order_sheet.dart</x:v>
      </x:c>
      <x:c r="D906" s="35" t="str">
        <x:v>mobile/lib/features/maintenance/create_work_order_sheet.dart</x:v>
      </x:c>
      <x:c r="E906" s="32" t="n">
        <x:v>555</x:v>
      </x:c>
      <x:c r="F906" s="20" t="str">
        <x:v>TextFormField</x:v>
      </x:c>
      <x:c r="G906" s="35" t="str">
        <x:v>_technicianAccessCtrl</x:v>
      </x:c>
      <x:c r="H906" s="35" t="str">
        <x:v>Safe technician access (optional)</x:v>
      </x:c>
      <x:c r="I906" s="20" t="str">
        <x:v>Applicant / public user</x:v>
      </x:c>
      <x:c r="J906" s="23" t="n">
        <x:v>46692</x:v>
      </x:c>
      <x:c r="K906" s="35" t="str">
        <x:v>valid non-default; boundary/format value; blank/null when optional; invalid value when constrained</x:v>
      </x:c>
      <x:c r="L906" s="35" t="str">
        <x:v>Save succeeds; close/reopen shows the exact normalized value; web reads it where supported; edit persists; validation rejects invalid input without partial mutation.</x:v>
      </x:c>
    </x:row>
    <x:row r="907">
      <x:c r="A907" s="20" t="str">
        <x:v>FLD-0904</x:v>
      </x:c>
      <x:c r="B907" s="20" t="str">
        <x:v>Mobile</x:v>
      </x:c>
      <x:c r="C907" s="35" t="str">
        <x:v>features/maintenance/create_work_order_sheet.dart</x:v>
      </x:c>
      <x:c r="D907" s="35" t="str">
        <x:v>mobile/lib/features/maintenance/create_work_order_sheet.dart</x:v>
      </x:c>
      <x:c r="E907" s="32" t="n">
        <x:v>578</x:v>
      </x:c>
      <x:c r="F907" s="20" t="str">
        <x:v>DropdownButtonFormField</x:v>
      </x:c>
      <x:c r="G907" s="35" t="str">
        <x:v>Priority</x:v>
      </x:c>
      <x:c r="H907" s="35" t="str">
        <x:v>Priority</x:v>
      </x:c>
      <x:c r="I907" s="20" t="str">
        <x:v>Applicant / public user</x:v>
      </x:c>
      <x:c r="J907" s="23" t="n">
        <x:v>46692</x:v>
      </x:c>
      <x:c r="K907" s="35" t="str">
        <x:v>valid non-default; boundary/format value; blank/null when optional; invalid value when constrained</x:v>
      </x:c>
      <x:c r="L907" s="35" t="str">
        <x:v>Save succeeds; close/reopen shows the exact normalized value; web reads it where supported; edit persists; validation rejects invalid input without partial mutation.</x:v>
      </x:c>
    </x:row>
    <x:row r="908">
      <x:c r="A908" s="20" t="str">
        <x:v>FLD-0905</x:v>
      </x:c>
      <x:c r="B908" s="20" t="str">
        <x:v>Mobile</x:v>
      </x:c>
      <x:c r="C908" s="35" t="str">
        <x:v>features/maintenance/create_work_order_sheet.dart</x:v>
      </x:c>
      <x:c r="D908" s="35" t="str">
        <x:v>mobile/lib/features/maintenance/create_work_order_sheet.dart</x:v>
      </x:c>
      <x:c r="E908" s="32" t="n">
        <x:v>595</x:v>
      </x:c>
      <x:c r="F908" s="20" t="str">
        <x:v>DropdownButtonFormField</x:v>
      </x:c>
      <x:c r="G908" s="35" t="str">
        <x:v>Category</x:v>
      </x:c>
      <x:c r="H908" s="35" t="str">
        <x:v>Category</x:v>
      </x:c>
      <x:c r="I908" s="20" t="str">
        <x:v>Applicant / public user</x:v>
      </x:c>
      <x:c r="J908" s="23" t="n">
        <x:v>46693</x:v>
      </x:c>
      <x:c r="K908" s="35" t="str">
        <x:v>valid non-default; boundary/format value; blank/null when optional; invalid value when constrained</x:v>
      </x:c>
      <x:c r="L908" s="35" t="str">
        <x:v>Save succeeds; close/reopen shows the exact normalized value; web reads it where supported; edit persists; validation rejects invalid input without partial mutation.</x:v>
      </x:c>
    </x:row>
    <x:row r="909">
      <x:c r="A909" s="20" t="str">
        <x:v>FLD-0906</x:v>
      </x:c>
      <x:c r="B909" s="20" t="str">
        <x:v>Mobile</x:v>
      </x:c>
      <x:c r="C909" s="35" t="str">
        <x:v>features/maintenance/create_work_order_sheet.dart</x:v>
      </x:c>
      <x:c r="D909" s="35" t="str">
        <x:v>mobile/lib/features/maintenance/create_work_order_sheet.dart</x:v>
      </x:c>
      <x:c r="E909" s="32" t="n">
        <x:v>697</x:v>
      </x:c>
      <x:c r="F909" s="20" t="str">
        <x:v>TextFormField</x:v>
      </x:c>
      <x:c r="G909" s="35" t="str">
        <x:v>_estCostCtrl</x:v>
      </x:c>
      <x:c r="H909" s="35" t="str">
        <x:v>Estimated cost (optional)</x:v>
      </x:c>
      <x:c r="I909" s="20" t="str">
        <x:v>Applicant / public user</x:v>
      </x:c>
      <x:c r="J909" s="23" t="n">
        <x:v>46693</x:v>
      </x:c>
      <x:c r="K909" s="35" t="str">
        <x:v>valid non-default; boundary/format value; blank/null when optional; invalid value when constrained</x:v>
      </x:c>
      <x:c r="L909" s="35" t="str">
        <x:v>Save succeeds; close/reopen shows the exact normalized value; web reads it where supported; edit persists; validation rejects invalid input without partial mutation.</x:v>
      </x:c>
    </x:row>
    <x:row r="910">
      <x:c r="A910" s="20" t="str">
        <x:v>FLD-0907</x:v>
      </x:c>
      <x:c r="B910" s="20" t="str">
        <x:v>Mobile</x:v>
      </x:c>
      <x:c r="C910" s="35" t="str">
        <x:v>features/maintenance/work_order_detail_screen.dart</x:v>
      </x:c>
      <x:c r="D910" s="35" t="str">
        <x:v>mobile/lib/features/maintenance/work_order_detail_screen.dart</x:v>
      </x:c>
      <x:c r="E910" s="32" t="n">
        <x:v>259</x:v>
      </x:c>
      <x:c r="F910" s="20" t="str">
        <x:v>DropdownButtonFormField</x:v>
      </x:c>
      <x:c r="G910" s="35" t="str">
        <x:v>Technician</x:v>
      </x:c>
      <x:c r="H910" s="35" t="str">
        <x:v>Technician</x:v>
      </x:c>
      <x:c r="I910" s="20" t="str">
        <x:v>Applicant / public user</x:v>
      </x:c>
      <x:c r="J910" s="23" t="n">
        <x:v>46693</x:v>
      </x:c>
      <x:c r="K910" s="35" t="str">
        <x:v>valid non-default; boundary/format value; blank/null when optional; invalid value when constrained</x:v>
      </x:c>
      <x:c r="L910" s="35" t="str">
        <x:v>Save succeeds; close/reopen shows the exact normalized value; web reads it where supported; edit persists; validation rejects invalid input without partial mutation.</x:v>
      </x:c>
    </x:row>
    <x:row r="911">
      <x:c r="A911" s="20" t="str">
        <x:v>FLD-0908</x:v>
      </x:c>
      <x:c r="B911" s="20" t="str">
        <x:v>Mobile</x:v>
      </x:c>
      <x:c r="C911" s="35" t="str">
        <x:v>features/maintenance/work_order_detail_screen.dart</x:v>
      </x:c>
      <x:c r="D911" s="35" t="str">
        <x:v>mobile/lib/features/maintenance/work_order_detail_screen.dart</x:v>
      </x:c>
      <x:c r="E911" s="32" t="n">
        <x:v>269</x:v>
      </x:c>
      <x:c r="F911" s="20" t="str">
        <x:v>TextFormField</x:v>
      </x:c>
      <x:c r="G911" s="35" t="str">
        <x:v>Reason</x:v>
      </x:c>
      <x:c r="H911" s="35" t="str">
        <x:v>Reason</x:v>
      </x:c>
      <x:c r="I911" s="20" t="str">
        <x:v>Applicant / public user</x:v>
      </x:c>
      <x:c r="J911" s="23" t="n">
        <x:v>46693</x:v>
      </x:c>
      <x:c r="K911" s="35" t="str">
        <x:v>valid non-default; boundary/format value; blank/null when optional; invalid value when constrained</x:v>
      </x:c>
      <x:c r="L911" s="35" t="str">
        <x:v>Save succeeds; close/reopen shows the exact normalized value; web reads it where supported; edit persists; validation rejects invalid input without partial mutation.</x:v>
      </x:c>
    </x:row>
    <x:row r="912">
      <x:c r="A912" s="20" t="str">
        <x:v>FLD-0909</x:v>
      </x:c>
      <x:c r="B912" s="20" t="str">
        <x:v>Mobile</x:v>
      </x:c>
      <x:c r="C912" s="35" t="str">
        <x:v>features/maintenance/work_order_detail_screen.dart</x:v>
      </x:c>
      <x:c r="D912" s="35" t="str">
        <x:v>mobile/lib/features/maintenance/work_order_detail_screen.dart</x:v>
      </x:c>
      <x:c r="E912" s="32" t="n">
        <x:v>978</x:v>
      </x:c>
      <x:c r="F912" s="20" t="str">
        <x:v>TextField</x:v>
      </x:c>
      <x:c r="G912" s="35" t="str">
        <x:v>_noteCtrl</x:v>
      </x:c>
      <x:c r="H912" s="35" t="str">
        <x:v>Note (optional)</x:v>
      </x:c>
      <x:c r="I912" s="20" t="str">
        <x:v>Applicant / public user</x:v>
      </x:c>
      <x:c r="J912" s="23" t="n">
        <x:v>46694</x:v>
      </x:c>
      <x:c r="K912" s="35" t="str">
        <x:v>valid non-default; boundary/format value; blank/null when optional; invalid value when constrained</x:v>
      </x:c>
      <x:c r="L912" s="35" t="str">
        <x:v>Save succeeds; close/reopen shows the exact normalized value; web reads it where supported; edit persists; validation rejects invalid input without partial mutation.</x:v>
      </x:c>
    </x:row>
    <x:row r="913">
      <x:c r="A913" s="20" t="str">
        <x:v>FLD-0910</x:v>
      </x:c>
      <x:c r="B913" s="20" t="str">
        <x:v>Mobile</x:v>
      </x:c>
      <x:c r="C913" s="35" t="str">
        <x:v>features/maintenance/work_order_detail_screen.dart</x:v>
      </x:c>
      <x:c r="D913" s="35" t="str">
        <x:v>mobile/lib/features/maintenance/work_order_detail_screen.dart</x:v>
      </x:c>
      <x:c r="E913" s="32" t="n">
        <x:v>1536</x:v>
      </x:c>
      <x:c r="F913" s="20" t="str">
        <x:v>TextFormField</x:v>
      </x:c>
      <x:c r="G913" s="35" t="str">
        <x:v>Property</x:v>
      </x:c>
      <x:c r="H913" s="35" t="str">
        <x:v>Property</x:v>
      </x:c>
      <x:c r="I913" s="20" t="str">
        <x:v>Applicant / public user</x:v>
      </x:c>
      <x:c r="J913" s="23" t="n">
        <x:v>46694</x:v>
      </x:c>
      <x:c r="K913" s="35" t="str">
        <x:v>valid non-default; boundary/format value; blank/null when optional; invalid value when constrained</x:v>
      </x:c>
      <x:c r="L913" s="35" t="str">
        <x:v>Save succeeds; close/reopen shows the exact normalized value; web reads it where supported; edit persists; validation rejects invalid input without partial mutation.</x:v>
      </x:c>
    </x:row>
    <x:row r="914">
      <x:c r="A914" s="20" t="str">
        <x:v>FLD-0911</x:v>
      </x:c>
      <x:c r="B914" s="20" t="str">
        <x:v>Mobile</x:v>
      </x:c>
      <x:c r="C914" s="35" t="str">
        <x:v>features/maintenance/work_order_detail_screen.dart</x:v>
      </x:c>
      <x:c r="D914" s="35" t="str">
        <x:v>mobile/lib/features/maintenance/work_order_detail_screen.dart</x:v>
      </x:c>
      <x:c r="E914" s="32" t="n">
        <x:v>1558</x:v>
      </x:c>
      <x:c r="F914" s="20" t="str">
        <x:v>DropdownButtonFormField</x:v>
      </x:c>
      <x:c r="G914" s="35" t="str">
        <x:v>Unit (optional)</x:v>
      </x:c>
      <x:c r="H914" s="35" t="str">
        <x:v>Unit (optional)</x:v>
      </x:c>
      <x:c r="I914" s="20" t="str">
        <x:v>Applicant / public user</x:v>
      </x:c>
      <x:c r="J914" s="23" t="n">
        <x:v>46694</x:v>
      </x:c>
      <x:c r="K914" s="35" t="str">
        <x:v>valid non-default; boundary/format value; blank/null when optional; invalid value when constrained</x:v>
      </x:c>
      <x:c r="L914" s="35" t="str">
        <x:v>Save succeeds; close/reopen shows the exact normalized value; web reads it where supported; edit persists; validation rejects invalid input without partial mutation.</x:v>
      </x:c>
    </x:row>
    <x:row r="915">
      <x:c r="A915" s="20" t="str">
        <x:v>FLD-0912</x:v>
      </x:c>
      <x:c r="B915" s="20" t="str">
        <x:v>Mobile</x:v>
      </x:c>
      <x:c r="C915" s="35" t="str">
        <x:v>features/maintenance/work_order_detail_screen.dart</x:v>
      </x:c>
      <x:c r="D915" s="35" t="str">
        <x:v>mobile/lib/features/maintenance/work_order_detail_screen.dart</x:v>
      </x:c>
      <x:c r="E915" s="32" t="n">
        <x:v>1607</x:v>
      </x:c>
      <x:c r="F915" s="20" t="str">
        <x:v>DropdownButtonFormField</x:v>
      </x:c>
      <x:c r="G915" s="35" t="str">
        <x:v>Tenant (optional)</x:v>
      </x:c>
      <x:c r="H915" s="35" t="str">
        <x:v>Tenant (optional)</x:v>
      </x:c>
      <x:c r="I915" s="20" t="str">
        <x:v>Applicant / public user</x:v>
      </x:c>
      <x:c r="J915" s="23" t="n">
        <x:v>46694</x:v>
      </x:c>
      <x:c r="K915" s="35" t="str">
        <x:v>valid non-default; boundary/format value; blank/null when optional; invalid value when constrained</x:v>
      </x:c>
      <x:c r="L915" s="35" t="str">
        <x:v>Save succeeds; close/reopen shows the exact normalized value; web reads it where supported; edit persists; validation rejects invalid input without partial mutation.</x:v>
      </x:c>
    </x:row>
    <x:row r="916">
      <x:c r="A916" s="20" t="str">
        <x:v>FLD-0913</x:v>
      </x:c>
      <x:c r="B916" s="20" t="str">
        <x:v>Mobile</x:v>
      </x:c>
      <x:c r="C916" s="35" t="str">
        <x:v>features/maintenance/work_order_detail_screen.dart</x:v>
      </x:c>
      <x:c r="D916" s="35" t="str">
        <x:v>mobile/lib/features/maintenance/work_order_detail_screen.dart</x:v>
      </x:c>
      <x:c r="E916" s="32" t="n">
        <x:v>1640</x:v>
      </x:c>
      <x:c r="F916" s="20" t="str">
        <x:v>DropdownButtonFormField</x:v>
      </x:c>
      <x:c r="G916" s="35" t="str">
        <x:v>_titleCtrl</x:v>
      </x:c>
      <x:c r="H916" s="35" t="str">
        <x:v>Vendor (optional)</x:v>
      </x:c>
      <x:c r="I916" s="20" t="str">
        <x:v>Applicant / public user</x:v>
      </x:c>
      <x:c r="J916" s="23" t="n">
        <x:v>46694</x:v>
      </x:c>
      <x:c r="K916" s="35" t="str">
        <x:v>valid non-default; boundary/format value; blank/null when optional; invalid value when constrained</x:v>
      </x:c>
      <x:c r="L916" s="35" t="str">
        <x:v>Save succeeds; close/reopen shows the exact normalized value; web reads it where supported; edit persists; validation rejects invalid input without partial mutation.</x:v>
      </x:c>
    </x:row>
    <x:row r="917">
      <x:c r="A917" s="20" t="str">
        <x:v>FLD-0914</x:v>
      </x:c>
      <x:c r="B917" s="20" t="str">
        <x:v>Mobile</x:v>
      </x:c>
      <x:c r="C917" s="35" t="str">
        <x:v>features/maintenance/work_order_detail_screen.dart</x:v>
      </x:c>
      <x:c r="D917" s="35" t="str">
        <x:v>mobile/lib/features/maintenance/work_order_detail_screen.dart</x:v>
      </x:c>
      <x:c r="E917" s="32" t="n">
        <x:v>1694</x:v>
      </x:c>
      <x:c r="F917" s="20" t="str">
        <x:v>TextFormField</x:v>
      </x:c>
      <x:c r="G917" s="35" t="str">
        <x:v>_descCtrl</x:v>
      </x:c>
      <x:c r="H917" s="35" t="str">
        <x:v>Description</x:v>
      </x:c>
      <x:c r="I917" s="20" t="str">
        <x:v>Applicant / public user</x:v>
      </x:c>
      <x:c r="J917" s="23" t="n">
        <x:v>46695</x:v>
      </x:c>
      <x:c r="K917" s="35" t="str">
        <x:v>valid non-default; boundary/format value; blank/null when optional; invalid value when constrained</x:v>
      </x:c>
      <x:c r="L917" s="35" t="str">
        <x:v>Save succeeds; close/reopen shows the exact normalized value; web reads it where supported; edit persists; validation rejects invalid input without partial mutation.</x:v>
      </x:c>
    </x:row>
    <x:row r="918">
      <x:c r="A918" s="20" t="str">
        <x:v>FLD-0915</x:v>
      </x:c>
      <x:c r="B918" s="20" t="str">
        <x:v>Mobile</x:v>
      </x:c>
      <x:c r="C918" s="35" t="str">
        <x:v>features/maintenance/work_order_detail_screen.dart</x:v>
      </x:c>
      <x:c r="D918" s="35" t="str">
        <x:v>mobile/lib/features/maintenance/work_order_detail_screen.dart</x:v>
      </x:c>
      <x:c r="E918" s="32" t="n">
        <x:v>1705</x:v>
      </x:c>
      <x:c r="F918" s="20" t="str">
        <x:v>TextFormField</x:v>
      </x:c>
      <x:c r="G918" s="35" t="str">
        <x:v>_technicianAccessCtrl</x:v>
      </x:c>
      <x:c r="H918" s="35" t="str">
        <x:v>Safe technician access (optional)</x:v>
      </x:c>
      <x:c r="I918" s="20" t="str">
        <x:v>Applicant / public user</x:v>
      </x:c>
      <x:c r="J918" s="23" t="n">
        <x:v>46695</x:v>
      </x:c>
      <x:c r="K918" s="35" t="str">
        <x:v>valid non-default; boundary/format value; blank/null when optional; invalid value when constrained</x:v>
      </x:c>
      <x:c r="L918" s="35" t="str">
        <x:v>Save succeeds; close/reopen shows the exact normalized value; web reads it where supported; edit persists; validation rejects invalid input without partial mutation.</x:v>
      </x:c>
    </x:row>
    <x:row r="919">
      <x:c r="A919" s="20" t="str">
        <x:v>FLD-0916</x:v>
      </x:c>
      <x:c r="B919" s="20" t="str">
        <x:v>Mobile</x:v>
      </x:c>
      <x:c r="C919" s="35" t="str">
        <x:v>features/maintenance/work_order_detail_screen.dart</x:v>
      </x:c>
      <x:c r="D919" s="35" t="str">
        <x:v>mobile/lib/features/maintenance/work_order_detail_screen.dart</x:v>
      </x:c>
      <x:c r="E919" s="32" t="n">
        <x:v>1728</x:v>
      </x:c>
      <x:c r="F919" s="20" t="str">
        <x:v>DropdownButtonFormField</x:v>
      </x:c>
      <x:c r="G919" s="35" t="str">
        <x:v>Priority</x:v>
      </x:c>
      <x:c r="H919" s="35" t="str">
        <x:v>Priority</x:v>
      </x:c>
      <x:c r="I919" s="20" t="str">
        <x:v>Applicant / public user</x:v>
      </x:c>
      <x:c r="J919" s="23" t="n">
        <x:v>46695</x:v>
      </x:c>
      <x:c r="K919" s="35" t="str">
        <x:v>valid non-default; boundary/format value; blank/null when optional; invalid value when constrained</x:v>
      </x:c>
      <x:c r="L919" s="35" t="str">
        <x:v>Save succeeds; close/reopen shows the exact normalized value; web reads it where supported; edit persists; validation rejects invalid input without partial mutation.</x:v>
      </x:c>
    </x:row>
    <x:row r="920">
      <x:c r="A920" s="20" t="str">
        <x:v>FLD-0917</x:v>
      </x:c>
      <x:c r="B920" s="20" t="str">
        <x:v>Mobile</x:v>
      </x:c>
      <x:c r="C920" s="35" t="str">
        <x:v>features/maintenance/work_order_detail_screen.dart</x:v>
      </x:c>
      <x:c r="D920" s="35" t="str">
        <x:v>mobile/lib/features/maintenance/work_order_detail_screen.dart</x:v>
      </x:c>
      <x:c r="E920" s="32" t="n">
        <x:v>1750</x:v>
      </x:c>
      <x:c r="F920" s="20" t="str">
        <x:v>DropdownButtonFormField</x:v>
      </x:c>
      <x:c r="G920" s="35" t="str">
        <x:v>Category</x:v>
      </x:c>
      <x:c r="H920" s="35" t="str">
        <x:v>Category</x:v>
      </x:c>
      <x:c r="I920" s="20" t="str">
        <x:v>Applicant / public user</x:v>
      </x:c>
      <x:c r="J920" s="23" t="n">
        <x:v>46695</x:v>
      </x:c>
      <x:c r="K920" s="35" t="str">
        <x:v>valid non-default; boundary/format value; blank/null when optional; invalid value when constrained</x:v>
      </x:c>
      <x:c r="L920" s="35" t="str">
        <x:v>Save succeeds; close/reopen shows the exact normalized value; web reads it where supported; edit persists; validation rejects invalid input without partial mutation.</x:v>
      </x:c>
    </x:row>
    <x:row r="921">
      <x:c r="A921" s="20" t="str">
        <x:v>FLD-0918</x:v>
      </x:c>
      <x:c r="B921" s="20" t="str">
        <x:v>Mobile</x:v>
      </x:c>
      <x:c r="C921" s="35" t="str">
        <x:v>features/maintenance/work_order_detail_screen.dart</x:v>
      </x:c>
      <x:c r="D921" s="35" t="str">
        <x:v>mobile/lib/features/maintenance/work_order_detail_screen.dart</x:v>
      </x:c>
      <x:c r="E921" s="32" t="n">
        <x:v>1852</x:v>
      </x:c>
      <x:c r="F921" s="20" t="str">
        <x:v>TextFormField</x:v>
      </x:c>
      <x:c r="G921" s="35" t="str">
        <x:v>_estCostCtrl</x:v>
      </x:c>
      <x:c r="H921" s="35" t="str">
        <x:v>Estimated cost (optional)</x:v>
      </x:c>
      <x:c r="I921" s="20" t="str">
        <x:v>Applicant / public user</x:v>
      </x:c>
      <x:c r="J921" s="23" t="n">
        <x:v>46696</x:v>
      </x:c>
      <x:c r="K921" s="35" t="str">
        <x:v>valid non-default; boundary/format value; blank/null when optional; invalid value when constrained</x:v>
      </x:c>
      <x:c r="L921" s="35" t="str">
        <x:v>Save succeeds; close/reopen shows the exact normalized value; web reads it where supported; edit persists; validation rejects invalid input without partial mutation.</x:v>
      </x:c>
    </x:row>
    <x:row r="922">
      <x:c r="A922" s="20" t="str">
        <x:v>FLD-0919</x:v>
      </x:c>
      <x:c r="B922" s="20" t="str">
        <x:v>Mobile</x:v>
      </x:c>
      <x:c r="C922" s="35" t="str">
        <x:v>features/maintenance/work_order_detail_screen.dart</x:v>
      </x:c>
      <x:c r="D922" s="35" t="str">
        <x:v>mobile/lib/features/maintenance/work_order_detail_screen.dart</x:v>
      </x:c>
      <x:c r="E922" s="32" t="n">
        <x:v>1872</x:v>
      </x:c>
      <x:c r="F922" s="20" t="str">
        <x:v>TextFormField</x:v>
      </x:c>
      <x:c r="G922" s="35" t="str">
        <x:v>_actualCostCtrl</x:v>
      </x:c>
      <x:c r="H922" s="35" t="str">
        <x:v>Actual cost (optional)</x:v>
      </x:c>
      <x:c r="I922" s="20" t="str">
        <x:v>Applicant / public user</x:v>
      </x:c>
      <x:c r="J922" s="23" t="n">
        <x:v>46696</x:v>
      </x:c>
      <x:c r="K922" s="35" t="str">
        <x:v>valid non-default; boundary/format value; blank/null when optional; invalid value when constrained</x:v>
      </x:c>
      <x:c r="L922" s="35" t="str">
        <x:v>Save succeeds; close/reopen shows the exact normalized value; web reads it where supported; edit persists; validation rejects invalid input without partial mutation.</x:v>
      </x:c>
    </x:row>
    <x:row r="923">
      <x:c r="A923" s="20" t="str">
        <x:v>FLD-0920</x:v>
      </x:c>
      <x:c r="B923" s="20" t="str">
        <x:v>Mobile</x:v>
      </x:c>
      <x:c r="C923" s="35" t="str">
        <x:v>features/messages/message_detail_screen.dart</x:v>
      </x:c>
      <x:c r="D923" s="35" t="str">
        <x:v>mobile/lib/features/messages/message_detail_screen.dart</x:v>
      </x:c>
      <x:c r="E923" s="32" t="n">
        <x:v>503</x:v>
      </x:c>
      <x:c r="F923" s="20" t="str">
        <x:v>TextField</x:v>
      </x:c>
      <x:c r="G923" s="35" t="str">
        <x:v>controller</x:v>
      </x:c>
      <x:c r="H923" s="35" t="str">
        <x:v>Message…</x:v>
      </x:c>
      <x:c r="I923" s="20" t="str">
        <x:v>Applicant / public user</x:v>
      </x:c>
      <x:c r="J923" s="23" t="n">
        <x:v>46696</x:v>
      </x:c>
      <x:c r="K923" s="35" t="str">
        <x:v>valid non-default; boundary/format value; blank/null when optional; invalid value when constrained</x:v>
      </x:c>
      <x:c r="L923" s="35" t="str">
        <x:v>Save succeeds; close/reopen shows the exact normalized value; web reads it where supported; edit persists; validation rejects invalid input without partial mutation.</x:v>
      </x:c>
    </x:row>
    <x:row r="924">
      <x:c r="A924" s="20" t="str">
        <x:v>FLD-0921</x:v>
      </x:c>
      <x:c r="B924" s="20" t="str">
        <x:v>Mobile</x:v>
      </x:c>
      <x:c r="C924" s="35" t="str">
        <x:v>features/messages/messages_list_screen.dart</x:v>
      </x:c>
      <x:c r="D924" s="35" t="str">
        <x:v>mobile/lib/features/messages/messages_list_screen.dart</x:v>
      </x:c>
      <x:c r="E924" s="32" t="n">
        <x:v>689</x:v>
      </x:c>
      <x:c r="F924" s="20" t="str">
        <x:v>DropdownButtonFormField</x:v>
      </x:c>
      <x:c r="G924" s="35" t="str">
        <x:v>_subjectCtrl</x:v>
      </x:c>
      <x:c r="H924" s="35" t="str">
        <x:v>To (tenant)</x:v>
      </x:c>
      <x:c r="I924" s="20" t="str">
        <x:v>Applicant / public user</x:v>
      </x:c>
      <x:c r="J924" s="23" t="n">
        <x:v>46696</x:v>
      </x:c>
      <x:c r="K924" s="35" t="str">
        <x:v>valid non-default; boundary/format value; blank/null when optional; invalid value when constrained</x:v>
      </x:c>
      <x:c r="L924" s="35" t="str">
        <x:v>Save succeeds; close/reopen shows the exact normalized value; web reads it where supported; edit persists; validation rejects invalid input without partial mutation.</x:v>
      </x:c>
    </x:row>
    <x:row r="925">
      <x:c r="A925" s="20" t="str">
        <x:v>FLD-0922</x:v>
      </x:c>
      <x:c r="B925" s="20" t="str">
        <x:v>Mobile</x:v>
      </x:c>
      <x:c r="C925" s="35" t="str">
        <x:v>features/messages/messages_list_screen.dart</x:v>
      </x:c>
      <x:c r="D925" s="35" t="str">
        <x:v>mobile/lib/features/messages/messages_list_screen.dart</x:v>
      </x:c>
      <x:c r="E925" s="32" t="n">
        <x:v>719</x:v>
      </x:c>
      <x:c r="F925" s="20" t="str">
        <x:v>TextFormField</x:v>
      </x:c>
      <x:c r="G925" s="35" t="str">
        <x:v>_bodyCtrl</x:v>
      </x:c>
      <x:c r="H925" s="35" t="str">
        <x:v>Message</x:v>
      </x:c>
      <x:c r="I925" s="20" t="str">
        <x:v>Applicant / public user</x:v>
      </x:c>
      <x:c r="J925" s="23" t="n">
        <x:v>46696</x:v>
      </x:c>
      <x:c r="K925" s="35" t="str">
        <x:v>valid non-default; boundary/format value; blank/null when optional; invalid value when constrained</x:v>
      </x:c>
      <x:c r="L925" s="35" t="str">
        <x:v>Save succeeds; close/reopen shows the exact normalized value; web reads it where supported; edit persists; validation rejects invalid input without partial mutation.</x:v>
      </x:c>
    </x:row>
    <x:row r="926">
      <x:c r="A926" s="20" t="str">
        <x:v>FLD-0923</x:v>
      </x:c>
      <x:c r="B926" s="20" t="str">
        <x:v>Mobile</x:v>
      </x:c>
      <x:c r="C926" s="35" t="str">
        <x:v>features/money/expense_detail_screen.dart</x:v>
      </x:c>
      <x:c r="D926" s="35" t="str">
        <x:v>mobile/lib/features/money/expense_detail_screen.dart</x:v>
      </x:c>
      <x:c r="E926" s="32" t="n">
        <x:v>518</x:v>
      </x:c>
      <x:c r="F926" s="20" t="str">
        <x:v>TextFormField</x:v>
      </x:c>
      <x:c r="G926" s="35" t="str">
        <x:v>_descriptionCtrl</x:v>
      </x:c>
      <x:c r="H926" s="35" t="str">
        <x:v>Description</x:v>
      </x:c>
      <x:c r="I926" s="20" t="str">
        <x:v>Applicant / public user</x:v>
      </x:c>
      <x:c r="J926" s="23" t="n">
        <x:v>46699</x:v>
      </x:c>
      <x:c r="K926" s="35" t="str">
        <x:v>valid non-default; boundary/format value; blank/null when optional; invalid value when constrained</x:v>
      </x:c>
      <x:c r="L926" s="35" t="str">
        <x:v>Save succeeds; close/reopen shows the exact normalized value; web reads it where supported; edit persists; validation rejects invalid input without partial mutation.</x:v>
      </x:c>
    </x:row>
    <x:row r="927">
      <x:c r="A927" s="20" t="str">
        <x:v>FLD-0924</x:v>
      </x:c>
      <x:c r="B927" s="20" t="str">
        <x:v>Mobile</x:v>
      </x:c>
      <x:c r="C927" s="35" t="str">
        <x:v>features/money/expense_detail_screen.dart</x:v>
      </x:c>
      <x:c r="D927" s="35" t="str">
        <x:v>mobile/lib/features/money/expense_detail_screen.dart</x:v>
      </x:c>
      <x:c r="E927" s="32" t="n">
        <x:v>548</x:v>
      </x:c>
      <x:c r="F927" s="20" t="str">
        <x:v>DropdownButtonFormField</x:v>
      </x:c>
      <x:c r="G927" s="35" t="str">
        <x:v>_recoveryYearsCtrl</x:v>
      </x:c>
      <x:c r="H927" s="35" t="str">
        <x:v>Method</x:v>
      </x:c>
      <x:c r="I927" s="20" t="str">
        <x:v>Applicant / public user</x:v>
      </x:c>
      <x:c r="J927" s="23" t="n">
        <x:v>46699</x:v>
      </x:c>
      <x:c r="K927" s="35" t="str">
        <x:v>valid non-default; boundary/format value; blank/null when optional; invalid value when constrained</x:v>
      </x:c>
      <x:c r="L927" s="35" t="str">
        <x:v>Save succeeds; close/reopen shows the exact normalized value; web reads it where supported; edit persists; validation rejects invalid input without partial mutation.</x:v>
      </x:c>
    </x:row>
    <x:row r="928">
      <x:c r="A928" s="20" t="str">
        <x:v>FLD-0925</x:v>
      </x:c>
      <x:c r="B928" s="20" t="str">
        <x:v>Mobile</x:v>
      </x:c>
      <x:c r="C928" s="35" t="str">
        <x:v>features/money/expense_detail_screen.dart</x:v>
      </x:c>
      <x:c r="D928" s="35" t="str">
        <x:v>mobile/lib/features/money/expense_detail_screen.dart</x:v>
      </x:c>
      <x:c r="E928" s="32" t="n">
        <x:v>584</x:v>
      </x:c>
      <x:c r="F928" s="20" t="str">
        <x:v>DropdownButtonFormField</x:v>
      </x:c>
      <x:c r="G928" s="35" t="str">
        <x:v>Convention</x:v>
      </x:c>
      <x:c r="H928" s="35" t="str">
        <x:v>Convention</x:v>
      </x:c>
      <x:c r="I928" s="20" t="str">
        <x:v>Applicant / public user</x:v>
      </x:c>
      <x:c r="J928" s="23" t="n">
        <x:v>46699</x:v>
      </x:c>
      <x:c r="K928" s="35" t="str">
        <x:v>valid non-default; boundary/format value; blank/null when optional; invalid value when constrained</x:v>
      </x:c>
      <x:c r="L928" s="35" t="str">
        <x:v>Save succeeds; close/reopen shows the exact normalized value; web reads it where supported; edit persists; validation rejects invalid input without partial mutation.</x:v>
      </x:c>
    </x:row>
    <x:row r="929">
      <x:c r="A929" s="20" t="str">
        <x:v>FLD-0926</x:v>
      </x:c>
      <x:c r="B929" s="20" t="str">
        <x:v>Mobile</x:v>
      </x:c>
      <x:c r="C929" s="35" t="str">
        <x:v>features/money/expense_detail_screen.dart</x:v>
      </x:c>
      <x:c r="D929" s="35" t="str">
        <x:v>mobile/lib/features/money/expense_detail_screen.dart</x:v>
      </x:c>
      <x:c r="E929" s="32" t="n">
        <x:v>708</x:v>
      </x:c>
      <x:c r="F929" s="20" t="str">
        <x:v>TextFormField</x:v>
      </x:c>
      <x:c r="G929" s="35" t="str">
        <x:v>_descCtrl</x:v>
      </x:c>
      <x:c r="H929" s="35" t="str">
        <x:v>Description</x:v>
      </x:c>
      <x:c r="I929" s="20" t="str">
        <x:v>Applicant / public user</x:v>
      </x:c>
      <x:c r="J929" s="23" t="n">
        <x:v>46699</x:v>
      </x:c>
      <x:c r="K929" s="35" t="str">
        <x:v>valid non-default; boundary/format value; blank/null when optional; invalid value when constrained</x:v>
      </x:c>
      <x:c r="L929" s="35" t="str">
        <x:v>Save succeeds; close/reopen shows the exact normalized value; web reads it where supported; edit persists; validation rejects invalid input without partial mutation.</x:v>
      </x:c>
    </x:row>
    <x:row r="930">
      <x:c r="A930" s="20" t="str">
        <x:v>FLD-0927</x:v>
      </x:c>
      <x:c r="B930" s="20" t="str">
        <x:v>Mobile</x:v>
      </x:c>
      <x:c r="C930" s="35" t="str">
        <x:v>features/money/expense_detail_screen.dart</x:v>
      </x:c>
      <x:c r="D930" s="35" t="str">
        <x:v>mobile/lib/features/money/expense_detail_screen.dart</x:v>
      </x:c>
      <x:c r="E930" s="32" t="n">
        <x:v>716</x:v>
      </x:c>
      <x:c r="F930" s="20" t="str">
        <x:v>TextFormField</x:v>
      </x:c>
      <x:c r="G930" s="35" t="str">
        <x:v>_amountCtrl</x:v>
      </x:c>
      <x:c r="H930" s="35" t="str">
        <x:v>Amount</x:v>
      </x:c>
      <x:c r="I930" s="20" t="str">
        <x:v>Applicant / public user</x:v>
      </x:c>
      <x:c r="J930" s="23" t="n">
        <x:v>46700</x:v>
      </x:c>
      <x:c r="K930" s="35" t="str">
        <x:v>valid non-default; boundary/format value; blank/null when optional; invalid value when constrained</x:v>
      </x:c>
      <x:c r="L930" s="35" t="str">
        <x:v>Save succeeds; close/reopen shows the exact normalized value; web reads it where supported; edit persists; validation rejects invalid input without partial mutation.</x:v>
      </x:c>
    </x:row>
    <x:row r="931">
      <x:c r="A931" s="20" t="str">
        <x:v>FLD-0928</x:v>
      </x:c>
      <x:c r="B931" s="20" t="str">
        <x:v>Mobile</x:v>
      </x:c>
      <x:c r="C931" s="35" t="str">
        <x:v>features/money/expense_detail_screen.dart</x:v>
      </x:c>
      <x:c r="D931" s="35" t="str">
        <x:v>mobile/lib/features/money/expense_detail_screen.dart</x:v>
      </x:c>
      <x:c r="E931" s="32" t="n">
        <x:v>736</x:v>
      </x:c>
      <x:c r="F931" s="20" t="str">
        <x:v>DropdownButtonFormField</x:v>
      </x:c>
      <x:c r="G931" s="35" t="str">
        <x:v>Category</x:v>
      </x:c>
      <x:c r="H931" s="35" t="str">
        <x:v>Category</x:v>
      </x:c>
      <x:c r="I931" s="20" t="str">
        <x:v>Applicant / public user</x:v>
      </x:c>
      <x:c r="J931" s="23" t="n">
        <x:v>46700</x:v>
      </x:c>
      <x:c r="K931" s="35" t="str">
        <x:v>valid non-default; boundary/format value; blank/null when optional; invalid value when constrained</x:v>
      </x:c>
      <x:c r="L931" s="35" t="str">
        <x:v>Save succeeds; close/reopen shows the exact normalized value; web reads it where supported; edit persists; validation rejects invalid input without partial mutation.</x:v>
      </x:c>
    </x:row>
    <x:row r="932">
      <x:c r="A932" s="20" t="str">
        <x:v>FLD-0929</x:v>
      </x:c>
      <x:c r="B932" s="20" t="str">
        <x:v>Mobile</x:v>
      </x:c>
      <x:c r="C932" s="35" t="str">
        <x:v>features/money/expense_detail_screen.dart</x:v>
      </x:c>
      <x:c r="D932" s="35" t="str">
        <x:v>mobile/lib/features/money/expense_detail_screen.dart</x:v>
      </x:c>
      <x:c r="E932" s="32" t="n">
        <x:v>750</x:v>
      </x:c>
      <x:c r="F932" s="20" t="str">
        <x:v>DropdownButtonFormField</x:v>
      </x:c>
      <x:c r="G932" s="35" t="str">
        <x:v>_notesCtrl</x:v>
      </x:c>
      <x:c r="H932" s="35" t="str">
        <x:v>Status</x:v>
      </x:c>
      <x:c r="I932" s="20" t="str">
        <x:v>Applicant / public user</x:v>
      </x:c>
      <x:c r="J932" s="23" t="n">
        <x:v>46700</x:v>
      </x:c>
      <x:c r="K932" s="35" t="str">
        <x:v>valid non-default; boundary/format value; blank/null when optional; invalid value when constrained</x:v>
      </x:c>
      <x:c r="L932" s="35" t="str">
        <x:v>Save succeeds; close/reopen shows the exact normalized value; web reads it where supported; edit persists; validation rejects invalid input without partial mutation.</x:v>
      </x:c>
    </x:row>
    <x:row r="933">
      <x:c r="A933" s="20" t="str">
        <x:v>FLD-0930</x:v>
      </x:c>
      <x:c r="B933" s="20" t="str">
        <x:v>Mobile</x:v>
      </x:c>
      <x:c r="C933" s="35" t="str">
        <x:v>features/money/expense_form_sheet.dart</x:v>
      </x:c>
      <x:c r="D933" s="35" t="str">
        <x:v>mobile/lib/features/money/expense_form_sheet.dart</x:v>
      </x:c>
      <x:c r="E933" s="32" t="n">
        <x:v>246</x:v>
      </x:c>
      <x:c r="F933" s="20" t="str">
        <x:v>DropdownButtonFormField</x:v>
      </x:c>
      <x:c r="G933" s="35" t="str">
        <x:v>Link work order (optional)</x:v>
      </x:c>
      <x:c r="H933" s="35" t="str">
        <x:v>Link work order (optional)</x:v>
      </x:c>
      <x:c r="I933" s="20" t="str">
        <x:v>Applicant / public user</x:v>
      </x:c>
      <x:c r="J933" s="23" t="n">
        <x:v>46700</x:v>
      </x:c>
      <x:c r="K933" s="35" t="str">
        <x:v>valid non-default; boundary/format value; blank/null when optional; invalid value when constrained</x:v>
      </x:c>
      <x:c r="L933" s="35" t="str">
        <x:v>Save succeeds; close/reopen shows the exact normalized value; web reads it where supported; edit persists; validation rejects invalid input without partial mutation.</x:v>
      </x:c>
    </x:row>
    <x:row r="934">
      <x:c r="A934" s="20" t="str">
        <x:v>FLD-0931</x:v>
      </x:c>
      <x:c r="B934" s="20" t="str">
        <x:v>Mobile</x:v>
      </x:c>
      <x:c r="C934" s="35" t="str">
        <x:v>features/money/expense_form_sheet.dart</x:v>
      </x:c>
      <x:c r="D934" s="35" t="str">
        <x:v>mobile/lib/features/money/expense_form_sheet.dart</x:v>
      </x:c>
      <x:c r="E934" s="32" t="n">
        <x:v>290</x:v>
      </x:c>
      <x:c r="F934" s="20" t="str">
        <x:v>DropdownButtonFormField</x:v>
      </x:c>
      <x:c r="G934" s="35" t="str">
        <x:v>Vendor (optional)</x:v>
      </x:c>
      <x:c r="H934" s="35" t="str">
        <x:v>Vendor (optional)</x:v>
      </x:c>
      <x:c r="I934" s="20" t="str">
        <x:v>Applicant / public user</x:v>
      </x:c>
      <x:c r="J934" s="23" t="n">
        <x:v>46701</x:v>
      </x:c>
      <x:c r="K934" s="35" t="str">
        <x:v>valid non-default; boundary/format value; blank/null when optional; invalid value when constrained</x:v>
      </x:c>
      <x:c r="L934" s="35" t="str">
        <x:v>Save succeeds; close/reopen shows the exact normalized value; web reads it where supported; edit persists; validation rejects invalid input without partial mutation.</x:v>
      </x:c>
    </x:row>
    <x:row r="935">
      <x:c r="A935" s="20" t="str">
        <x:v>FLD-0932</x:v>
      </x:c>
      <x:c r="B935" s="20" t="str">
        <x:v>Mobile</x:v>
      </x:c>
      <x:c r="C935" s="35" t="str">
        <x:v>features/money/expense_form_sheet.dart</x:v>
      </x:c>
      <x:c r="D935" s="35" t="str">
        <x:v>mobile/lib/features/money/expense_form_sheet.dart</x:v>
      </x:c>
      <x:c r="E935" s="32" t="n">
        <x:v>403</x:v>
      </x:c>
      <x:c r="F935" s="20" t="str">
        <x:v>DropdownButtonFormField</x:v>
      </x:c>
      <x:c r="G935" s="35" t="str">
        <x:v>_descCtrl</x:v>
      </x:c>
      <x:c r="H935" s="35" t="str">
        <x:v>Category</x:v>
      </x:c>
      <x:c r="I935" s="20" t="str">
        <x:v>Applicant / public user</x:v>
      </x:c>
      <x:c r="J935" s="23" t="n">
        <x:v>46701</x:v>
      </x:c>
      <x:c r="K935" s="35" t="str">
        <x:v>valid non-default; boundary/format value; blank/null when optional; invalid value when constrained</x:v>
      </x:c>
      <x:c r="L935" s="35" t="str">
        <x:v>Save succeeds; close/reopen shows the exact normalized value; web reads it where supported; edit persists; validation rejects invalid input without partial mutation.</x:v>
      </x:c>
    </x:row>
    <x:row r="936">
      <x:c r="A936" s="20" t="str">
        <x:v>FLD-0933</x:v>
      </x:c>
      <x:c r="B936" s="20" t="str">
        <x:v>Mobile</x:v>
      </x:c>
      <x:c r="C936" s="35" t="str">
        <x:v>features/money/expense_form_sheet.dart</x:v>
      </x:c>
      <x:c r="D936" s="35" t="str">
        <x:v>mobile/lib/features/money/expense_form_sheet.dart</x:v>
      </x:c>
      <x:c r="E936" s="32" t="n">
        <x:v>434</x:v>
      </x:c>
      <x:c r="F936" s="20" t="str">
        <x:v>TextFormField</x:v>
      </x:c>
      <x:c r="G936" s="35" t="str">
        <x:v>_amountCtrl</x:v>
      </x:c>
      <x:c r="H936" s="35" t="str">
        <x:v>Amount</x:v>
      </x:c>
      <x:c r="I936" s="20" t="str">
        <x:v>Applicant / public user</x:v>
      </x:c>
      <x:c r="J936" s="23" t="n">
        <x:v>46701</x:v>
      </x:c>
      <x:c r="K936" s="35" t="str">
        <x:v>valid non-default; boundary/format value; blank/null when optional; invalid value when constrained</x:v>
      </x:c>
      <x:c r="L936" s="35" t="str">
        <x:v>Save succeeds; close/reopen shows the exact normalized value; web reads it where supported; edit persists; validation rejects invalid input without partial mutation.</x:v>
      </x:c>
    </x:row>
    <x:row r="937">
      <x:c r="A937" s="20" t="str">
        <x:v>FLD-0934</x:v>
      </x:c>
      <x:c r="B937" s="20" t="str">
        <x:v>Mobile</x:v>
      </x:c>
      <x:c r="C937" s="35" t="str">
        <x:v>features/money/expense_form_sheet.dart</x:v>
      </x:c>
      <x:c r="D937" s="35" t="str">
        <x:v>mobile/lib/features/money/expense_form_sheet.dart</x:v>
      </x:c>
      <x:c r="E937" s="32" t="n">
        <x:v>460</x:v>
      </x:c>
      <x:c r="F937" s="20" t="str">
        <x:v>DropdownButtonFormField</x:v>
      </x:c>
      <x:c r="G937" s="35" t="str">
        <x:v>Status</x:v>
      </x:c>
      <x:c r="H937" s="35" t="str">
        <x:v>Status</x:v>
      </x:c>
      <x:c r="I937" s="20" t="str">
        <x:v>Applicant / public user</x:v>
      </x:c>
      <x:c r="J937" s="23" t="n">
        <x:v>46701</x:v>
      </x:c>
      <x:c r="K937" s="35" t="str">
        <x:v>valid non-default; boundary/format value; blank/null when optional; invalid value when constrained</x:v>
      </x:c>
      <x:c r="L937" s="35" t="str">
        <x:v>Save succeeds; close/reopen shows the exact normalized value; web reads it where supported; edit persists; validation rejects invalid input without partial mutation.</x:v>
      </x:c>
    </x:row>
    <x:row r="938">
      <x:c r="A938" s="20" t="str">
        <x:v>FLD-0935</x:v>
      </x:c>
      <x:c r="B938" s="20" t="str">
        <x:v>Mobile</x:v>
      </x:c>
      <x:c r="C938" s="35" t="str">
        <x:v>features/money/expense_form_sheet.dart</x:v>
      </x:c>
      <x:c r="D938" s="35" t="str">
        <x:v>mobile/lib/features/money/expense_form_sheet.dart</x:v>
      </x:c>
      <x:c r="E938" s="32" t="n">
        <x:v>523</x:v>
      </x:c>
      <x:c r="F938" s="20" t="str">
        <x:v>TextFormField</x:v>
      </x:c>
      <x:c r="G938" s="35" t="str">
        <x:v>_paymentMethodCtrl</x:v>
      </x:c>
      <x:c r="H938" s="35" t="str">
        <x:v>Paid with (optional)</x:v>
      </x:c>
      <x:c r="I938" s="20" t="str">
        <x:v>Applicant / public user</x:v>
      </x:c>
      <x:c r="J938" s="23" t="n">
        <x:v>46701</x:v>
      </x:c>
      <x:c r="K938" s="35" t="str">
        <x:v>valid non-default; boundary/format value; blank/null when optional; invalid value when constrained</x:v>
      </x:c>
      <x:c r="L938" s="35" t="str">
        <x:v>Save succeeds; close/reopen shows the exact normalized value; web reads it where supported; edit persists; validation rejects invalid input without partial mutation.</x:v>
      </x:c>
    </x:row>
    <x:row r="939">
      <x:c r="A939" s="20" t="str">
        <x:v>FLD-0936</x:v>
      </x:c>
      <x:c r="B939" s="20" t="str">
        <x:v>Mobile</x:v>
      </x:c>
      <x:c r="C939" s="35" t="str">
        <x:v>features/money/expense_form_sheet.dart</x:v>
      </x:c>
      <x:c r="D939" s="35" t="str">
        <x:v>mobile/lib/features/money/expense_form_sheet.dart</x:v>
      </x:c>
      <x:c r="E939" s="32" t="n">
        <x:v>531</x:v>
      </x:c>
      <x:c r="F939" s="20" t="str">
        <x:v>SwitchListTile</x:v>
      </x:c>
      <x:c r="G939" s="35" t="str">
        <x:v>_notesCtrl</x:v>
      </x:c>
      <x:c r="H939" s="35" t="str">
        <x:v>Notes</x:v>
      </x:c>
      <x:c r="I939" s="20" t="str">
        <x:v>Applicant / public user</x:v>
      </x:c>
      <x:c r="J939" s="23" t="n">
        <x:v>46702</x:v>
      </x:c>
      <x:c r="K939" s="35" t="str">
        <x:v>valid non-default; boundary/format value; blank/null when optional; invalid value when constrained</x:v>
      </x:c>
      <x:c r="L939" s="35" t="str">
        <x:v>Save succeeds; close/reopen shows the exact normalized value; web reads it where supported; edit persists; validation rejects invalid input without partial mutation.</x:v>
      </x:c>
    </x:row>
    <x:row r="940">
      <x:c r="A940" s="20" t="str">
        <x:v>FLD-0937</x:v>
      </x:c>
      <x:c r="B940" s="20" t="str">
        <x:v>Mobile</x:v>
      </x:c>
      <x:c r="C940" s="35" t="str">
        <x:v>features/money/expense_form_sheet.dart</x:v>
      </x:c>
      <x:c r="D940" s="35" t="str">
        <x:v>mobile/lib/features/money/expense_form_sheet.dart</x:v>
      </x:c>
      <x:c r="E940" s="32" t="n">
        <x:v>549</x:v>
      </x:c>
      <x:c r="F940" s="20" t="str">
        <x:v>TextFormField</x:v>
      </x:c>
      <x:c r="G940" s="35" t="str">
        <x:v>_vendorAddressCtrl</x:v>
      </x:c>
      <x:c r="H940" s="35" t="str">
        <x:v>Vendor address</x:v>
      </x:c>
      <x:c r="I940" s="20" t="str">
        <x:v>Applicant / public user</x:v>
      </x:c>
      <x:c r="J940" s="23" t="n">
        <x:v>46702</x:v>
      </x:c>
      <x:c r="K940" s="35" t="str">
        <x:v>valid non-default; boundary/format value; blank/null when optional; invalid value when constrained</x:v>
      </x:c>
      <x:c r="L940" s="35" t="str">
        <x:v>Save succeeds; close/reopen shows the exact normalized value; web reads it where supported; edit persists; validation rejects invalid input without partial mutation.</x:v>
      </x:c>
    </x:row>
    <x:row r="941">
      <x:c r="A941" s="20" t="str">
        <x:v>FLD-0938</x:v>
      </x:c>
      <x:c r="B941" s="20" t="str">
        <x:v>Mobile</x:v>
      </x:c>
      <x:c r="C941" s="35" t="str">
        <x:v>features/money/expense_form_sheet.dart</x:v>
      </x:c>
      <x:c r="D941" s="35" t="str">
        <x:v>mobile/lib/features/money/expense_form_sheet.dart</x:v>
      </x:c>
      <x:c r="E941" s="32" t="n">
        <x:v>557</x:v>
      </x:c>
      <x:c r="F941" s="20" t="str">
        <x:v>TextFormField</x:v>
      </x:c>
      <x:c r="G941" s="35" t="str">
        <x:v>_vendorPhoneCtrl</x:v>
      </x:c>
      <x:c r="H941" s="35" t="str">
        <x:v>Vendor phone</x:v>
      </x:c>
      <x:c r="I941" s="20" t="str">
        <x:v>Applicant / public user</x:v>
      </x:c>
      <x:c r="J941" s="23" t="n">
        <x:v>46702</x:v>
      </x:c>
      <x:c r="K941" s="35" t="str">
        <x:v>valid non-default; boundary/format value; blank/null when optional; invalid value when constrained</x:v>
      </x:c>
      <x:c r="L941" s="35" t="str">
        <x:v>Save succeeds; close/reopen shows the exact normalized value; web reads it where supported; edit persists; validation rejects invalid input without partial mutation.</x:v>
      </x:c>
    </x:row>
    <x:row r="942">
      <x:c r="A942" s="20" t="str">
        <x:v>FLD-0939</x:v>
      </x:c>
      <x:c r="B942" s="20" t="str">
        <x:v>Mobile</x:v>
      </x:c>
      <x:c r="C942" s="35" t="str">
        <x:v>features/money/expense_form_sheet.dart</x:v>
      </x:c>
      <x:c r="D942" s="35" t="str">
        <x:v>mobile/lib/features/money/expense_form_sheet.dart</x:v>
      </x:c>
      <x:c r="E942" s="32" t="n">
        <x:v>564</x:v>
      </x:c>
      <x:c r="F942" s="20" t="str">
        <x:v>TextFormField</x:v>
      </x:c>
      <x:c r="G942" s="35" t="str">
        <x:v>_vendorTaxIdCtrl</x:v>
      </x:c>
      <x:c r="H942" s="35" t="str">
        <x:v>Vendor tax ID</x:v>
      </x:c>
      <x:c r="I942" s="20" t="str">
        <x:v>Applicant / public user</x:v>
      </x:c>
      <x:c r="J942" s="23" t="n">
        <x:v>46702</x:v>
      </x:c>
      <x:c r="K942" s="35" t="str">
        <x:v>valid non-default; boundary/format value; blank/null when optional; invalid value when constrained</x:v>
      </x:c>
      <x:c r="L942" s="35" t="str">
        <x:v>Save succeeds; close/reopen shows the exact normalized value; web reads it where supported; edit persists; validation rejects invalid input without partial mutation.</x:v>
      </x:c>
    </x:row>
    <x:row r="943">
      <x:c r="A943" s="20" t="str">
        <x:v>FLD-0940</x:v>
      </x:c>
      <x:c r="B943" s="20" t="str">
        <x:v>Mobile</x:v>
      </x:c>
      <x:c r="C943" s="35" t="str">
        <x:v>features/money/money_screen.dart</x:v>
      </x:c>
      <x:c r="D943" s="35" t="str">
        <x:v>mobile/lib/features/money/money_screen.dart</x:v>
      </x:c>
      <x:c r="E943" s="32" t="n">
        <x:v>548</x:v>
      </x:c>
      <x:c r="F943" s="20" t="str">
        <x:v>SegmentedButton</x:v>
      </x:c>
      <x:c r="G943" s="35" t="str">
        <x:v>SegmentedButton-1</x:v>
      </x:c>
      <x:c r="H943" s="35" t="str"/>
      <x:c r="I943" s="20" t="str">
        <x:v>Applicant / public user</x:v>
      </x:c>
      <x:c r="J943" s="23" t="n">
        <x:v>46703</x:v>
      </x:c>
      <x:c r="K943" s="35" t="str">
        <x:v>valid non-default; boundary/format value; blank/null when optional; invalid value when constrained</x:v>
      </x:c>
      <x:c r="L943" s="35" t="str">
        <x:v>Save succeeds; close/reopen shows the exact normalized value; web reads it where supported; edit persists; validation rejects invalid input without partial mutation.</x:v>
      </x:c>
    </x:row>
    <x:row r="944">
      <x:c r="A944" s="20" t="str">
        <x:v>FLD-0941</x:v>
      </x:c>
      <x:c r="B944" s="20" t="str">
        <x:v>Mobile</x:v>
      </x:c>
      <x:c r="C944" s="35" t="str">
        <x:v>features/notices/create_tenant_notice.dart</x:v>
      </x:c>
      <x:c r="D944" s="35" t="str">
        <x:v>mobile/lib/features/notices/create_tenant_notice.dart</x:v>
      </x:c>
      <x:c r="E944" s="32" t="n">
        <x:v>315</x:v>
      </x:c>
      <x:c r="F944" s="20" t="str">
        <x:v>TextField</x:v>
      </x:c>
      <x:c r="G944" s="35" t="str">
        <x:v>_subjectCtrls</x:v>
      </x:c>
      <x:c r="H944" s="35" t="str">
        <x:v>Subject</x:v>
      </x:c>
      <x:c r="I944" s="20" t="str">
        <x:v>Tenant</x:v>
      </x:c>
      <x:c r="J944" s="23" t="n">
        <x:v>46703</x:v>
      </x:c>
      <x:c r="K944" s="35" t="str">
        <x:v>valid non-default; boundary/format value; blank/null when optional; invalid value when constrained</x:v>
      </x:c>
      <x:c r="L944" s="35" t="str">
        <x:v>Save succeeds; close/reopen shows the exact normalized value; web reads it where supported; edit persists; validation rejects invalid input without partial mutation.</x:v>
      </x:c>
    </x:row>
    <x:row r="945">
      <x:c r="A945" s="20" t="str">
        <x:v>FLD-0942</x:v>
      </x:c>
      <x:c r="B945" s="20" t="str">
        <x:v>Mobile</x:v>
      </x:c>
      <x:c r="C945" s="35" t="str">
        <x:v>features/notices/create_tenant_notice.dart</x:v>
      </x:c>
      <x:c r="D945" s="35" t="str">
        <x:v>mobile/lib/features/notices/create_tenant_notice.dart</x:v>
      </x:c>
      <x:c r="E945" s="32" t="n">
        <x:v>324</x:v>
      </x:c>
      <x:c r="F945" s="20" t="str">
        <x:v>TextField</x:v>
      </x:c>
      <x:c r="G945" s="35" t="str">
        <x:v>_bodyCtrls</x:v>
      </x:c>
      <x:c r="H945" s="35" t="str">
        <x:v>Message</x:v>
      </x:c>
      <x:c r="I945" s="20" t="str">
        <x:v>Tenant</x:v>
      </x:c>
      <x:c r="J945" s="23" t="n">
        <x:v>46703</x:v>
      </x:c>
      <x:c r="K945" s="35" t="str">
        <x:v>valid non-default; boundary/format value; blank/null when optional; invalid value when constrained</x:v>
      </x:c>
      <x:c r="L945" s="35" t="str">
        <x:v>Save succeeds; close/reopen shows the exact normalized value; web reads it where supported; edit persists; validation rejects invalid input without partial mutation.</x:v>
      </x:c>
    </x:row>
    <x:row r="946">
      <x:c r="A946" s="20" t="str">
        <x:v>FLD-0943</x:v>
      </x:c>
      <x:c r="B946" s="20" t="str">
        <x:v>Mobile</x:v>
      </x:c>
      <x:c r="C946" s="35" t="str">
        <x:v>features/notices/create_tenant_notice.dart</x:v>
      </x:c>
      <x:c r="D946" s="35" t="str">
        <x:v>mobile/lib/features/notices/create_tenant_notice.dart</x:v>
      </x:c>
      <x:c r="E946" s="32" t="n">
        <x:v>507</x:v>
      </x:c>
      <x:c r="F946" s="20" t="str">
        <x:v>TextField</x:v>
      </x:c>
      <x:c r="G946" s="35" t="str">
        <x:v>_subjectCtrl</x:v>
      </x:c>
      <x:c r="H946" s="35" t="str">
        <x:v>Subject</x:v>
      </x:c>
      <x:c r="I946" s="20" t="str">
        <x:v>Tenant</x:v>
      </x:c>
      <x:c r="J946" s="23" t="n">
        <x:v>46703</x:v>
      </x:c>
      <x:c r="K946" s="35" t="str">
        <x:v>valid non-default; boundary/format value; blank/null when optional; invalid value when constrained</x:v>
      </x:c>
      <x:c r="L946" s="35" t="str">
        <x:v>Save succeeds; close/reopen shows the exact normalized value; web reads it where supported; edit persists; validation rejects invalid input without partial mutation.</x:v>
      </x:c>
    </x:row>
    <x:row r="947">
      <x:c r="A947" s="20" t="str">
        <x:v>FLD-0944</x:v>
      </x:c>
      <x:c r="B947" s="20" t="str">
        <x:v>Mobile</x:v>
      </x:c>
      <x:c r="C947" s="35" t="str">
        <x:v>features/notices/create_tenant_notice.dart</x:v>
      </x:c>
      <x:c r="D947" s="35" t="str">
        <x:v>mobile/lib/features/notices/create_tenant_notice.dart</x:v>
      </x:c>
      <x:c r="E947" s="32" t="n">
        <x:v>515</x:v>
      </x:c>
      <x:c r="F947" s="20" t="str">
        <x:v>TextField</x:v>
      </x:c>
      <x:c r="G947" s="35" t="str">
        <x:v>_bodyCtrl</x:v>
      </x:c>
      <x:c r="H947" s="35" t="str">
        <x:v>Message</x:v>
      </x:c>
      <x:c r="I947" s="20" t="str">
        <x:v>Tenant</x:v>
      </x:c>
      <x:c r="J947" s="23" t="n">
        <x:v>46703</x:v>
      </x:c>
      <x:c r="K947" s="35" t="str">
        <x:v>valid non-default; boundary/format value; blank/null when optional; invalid value when constrained</x:v>
      </x:c>
      <x:c r="L947" s="35" t="str">
        <x:v>Save succeeds; close/reopen shows the exact normalized value; web reads it where supported; edit persists; validation rejects invalid input without partial mutation.</x:v>
      </x:c>
    </x:row>
    <x:row r="948">
      <x:c r="A948" s="20" t="str">
        <x:v>FLD-0945</x:v>
      </x:c>
      <x:c r="B948" s="20" t="str">
        <x:v>Mobile</x:v>
      </x:c>
      <x:c r="C948" s="35" t="str">
        <x:v>features/onboarding/go_live_sheet.dart</x:v>
      </x:c>
      <x:c r="D948" s="35" t="str">
        <x:v>mobile/lib/features/onboarding/go_live_sheet.dart</x:v>
      </x:c>
      <x:c r="E948" s="32" t="n">
        <x:v>150</x:v>
      </x:c>
      <x:c r="F948" s="20" t="str">
        <x:v>TextField</x:v>
      </x:c>
      <x:c r="G948" s="35" t="str">
        <x:v>_confirmCtrl</x:v>
      </x:c>
      <x:c r="H948" s="35" t="str"/>
      <x:c r="I948" s="20" t="str">
        <x:v>Applicant / public user</x:v>
      </x:c>
      <x:c r="J948" s="23" t="n">
        <x:v>46706</x:v>
      </x:c>
      <x:c r="K948" s="35" t="str">
        <x:v>valid non-default; boundary/format value; blank/null when optional; invalid value when constrained</x:v>
      </x:c>
      <x:c r="L948" s="35" t="str">
        <x:v>Save succeeds; close/reopen shows the exact normalized value; web reads it where supported; edit persists; validation rejects invalid input without partial mutation.</x:v>
      </x:c>
    </x:row>
    <x:row r="949">
      <x:c r="A949" s="20" t="str">
        <x:v>FLD-0946</x:v>
      </x:c>
      <x:c r="B949" s="20" t="str">
        <x:v>Mobile</x:v>
      </x:c>
      <x:c r="C949" s="35" t="str">
        <x:v>features/owner_reports/owner_reports_screen.dart</x:v>
      </x:c>
      <x:c r="D949" s="35" t="str">
        <x:v>mobile/lib/features/owner_reports/owner_reports_screen.dart</x:v>
      </x:c>
      <x:c r="E949" s="32" t="n">
        <x:v>937</x:v>
      </x:c>
      <x:c r="F949" s="20" t="str">
        <x:v>TextField</x:v>
      </x:c>
      <x:c r="G949" s="35" t="str">
        <x:v>_amountController</x:v>
      </x:c>
      <x:c r="H949" s="35" t="str">
        <x:v>Amount</x:v>
      </x:c>
      <x:c r="I949" s="20" t="str">
        <x:v>Applicant / public user</x:v>
      </x:c>
      <x:c r="J949" s="23" t="n">
        <x:v>46706</x:v>
      </x:c>
      <x:c r="K949" s="35" t="str">
        <x:v>valid non-default; boundary/format value; blank/null when optional; invalid value when constrained</x:v>
      </x:c>
      <x:c r="L949" s="35" t="str">
        <x:v>Save succeeds; close/reopen shows the exact normalized value; web reads it where supported; edit persists; validation rejects invalid input without partial mutation.</x:v>
      </x:c>
    </x:row>
    <x:row r="950">
      <x:c r="A950" s="20" t="str">
        <x:v>FLD-0947</x:v>
      </x:c>
      <x:c r="B950" s="20" t="str">
        <x:v>Mobile</x:v>
      </x:c>
      <x:c r="C950" s="35" t="str">
        <x:v>features/owner_reports/owner_reports_screen.dart</x:v>
      </x:c>
      <x:c r="D950" s="35" t="str">
        <x:v>mobile/lib/features/owner_reports/owner_reports_screen.dart</x:v>
      </x:c>
      <x:c r="E950" s="32" t="n">
        <x:v>956</x:v>
      </x:c>
      <x:c r="F950" s="20" t="str">
        <x:v>DropdownButtonFormField</x:v>
      </x:c>
      <x:c r="G950" s="35" t="str">
        <x:v>_memoController</x:v>
      </x:c>
      <x:c r="H950" s="35" t="str">
        <x:v>Method</x:v>
      </x:c>
      <x:c r="I950" s="20" t="str">
        <x:v>Applicant / public user</x:v>
      </x:c>
      <x:c r="J950" s="23" t="n">
        <x:v>46706</x:v>
      </x:c>
      <x:c r="K950" s="35" t="str">
        <x:v>valid non-default; boundary/format value; blank/null when optional; invalid value when constrained</x:v>
      </x:c>
      <x:c r="L950" s="35" t="str">
        <x:v>Save succeeds; close/reopen shows the exact normalized value; web reads it where supported; edit persists; validation rejects invalid input without partial mutation.</x:v>
      </x:c>
    </x:row>
    <x:row r="951">
      <x:c r="A951" s="20" t="str">
        <x:v>FLD-0948</x:v>
      </x:c>
      <x:c r="B951" s="20" t="str">
        <x:v>Mobile</x:v>
      </x:c>
      <x:c r="C951" s="35" t="str">
        <x:v>features/owners/owner_form_sheet.dart</x:v>
      </x:c>
      <x:c r="D951" s="35" t="str">
        <x:v>mobile/lib/features/owners/owner_form_sheet.dart</x:v>
      </x:c>
      <x:c r="E951" s="32" t="n">
        <x:v>142</x:v>
      </x:c>
      <x:c r="F951" s="20" t="str">
        <x:v>DropdownButtonFormField</x:v>
      </x:c>
      <x:c r="G951" s="35" t="str">
        <x:v>_nameCtrl</x:v>
      </x:c>
      <x:c r="H951" s="35" t="str">
        <x:v>Owner type</x:v>
      </x:c>
      <x:c r="I951" s="20" t="str">
        <x:v>Applicant / public user</x:v>
      </x:c>
      <x:c r="J951" s="23" t="n">
        <x:v>46706</x:v>
      </x:c>
      <x:c r="K951" s="35" t="str">
        <x:v>valid non-default; boundary/format value; blank/null when optional; invalid value when constrained</x:v>
      </x:c>
      <x:c r="L951" s="35" t="str">
        <x:v>Save succeeds; close/reopen shows the exact normalized value; web reads it where supported; edit persists; validation rejects invalid input without partial mutation.</x:v>
      </x:c>
    </x:row>
    <x:row r="952">
      <x:c r="A952" s="20" t="str">
        <x:v>FLD-0949</x:v>
      </x:c>
      <x:c r="B952" s="20" t="str">
        <x:v>Mobile</x:v>
      </x:c>
      <x:c r="C952" s="35" t="str">
        <x:v>features/owners/owner_form_sheet.dart</x:v>
      </x:c>
      <x:c r="D952" s="35" t="str">
        <x:v>mobile/lib/features/owners/owner_form_sheet.dart</x:v>
      </x:c>
      <x:c r="E952" s="32" t="n">
        <x:v>166</x:v>
      </x:c>
      <x:c r="F952" s="20" t="str">
        <x:v>TextFormField</x:v>
      </x:c>
      <x:c r="G952" s="35" t="str">
        <x:v>_emailCtrl</x:v>
      </x:c>
      <x:c r="H952" s="35" t="str">
        <x:v>Email (optional)</x:v>
      </x:c>
      <x:c r="I952" s="20" t="str">
        <x:v>Applicant / public user</x:v>
      </x:c>
      <x:c r="J952" s="23" t="n">
        <x:v>46707</x:v>
      </x:c>
      <x:c r="K952" s="35" t="str">
        <x:v>valid non-default; boundary/format value; blank/null when optional; invalid value when constrained</x:v>
      </x:c>
      <x:c r="L952" s="35" t="str">
        <x:v>Save succeeds; close/reopen shows the exact normalized value; web reads it where supported; edit persists; validation rejects invalid input without partial mutation.</x:v>
      </x:c>
    </x:row>
    <x:row r="953">
      <x:c r="A953" s="20" t="str">
        <x:v>FLD-0950</x:v>
      </x:c>
      <x:c r="B953" s="20" t="str">
        <x:v>Mobile</x:v>
      </x:c>
      <x:c r="C953" s="35" t="str">
        <x:v>features/owners/owner_form_sheet.dart</x:v>
      </x:c>
      <x:c r="D953" s="35" t="str">
        <x:v>mobile/lib/features/owners/owner_form_sheet.dart</x:v>
      </x:c>
      <x:c r="E953" s="32" t="n">
        <x:v>181</x:v>
      </x:c>
      <x:c r="F953" s="20" t="str">
        <x:v>TextFormField</x:v>
      </x:c>
      <x:c r="G953" s="35" t="str">
        <x:v>_phoneCtrl</x:v>
      </x:c>
      <x:c r="H953" s="35" t="str">
        <x:v>Phone (optional)</x:v>
      </x:c>
      <x:c r="I953" s="20" t="str">
        <x:v>Applicant / public user</x:v>
      </x:c>
      <x:c r="J953" s="23" t="n">
        <x:v>46707</x:v>
      </x:c>
      <x:c r="K953" s="35" t="str">
        <x:v>valid non-default; boundary/format value; blank/null when optional; invalid value when constrained</x:v>
      </x:c>
      <x:c r="L953" s="35" t="str">
        <x:v>Save succeeds; close/reopen shows the exact normalized value; web reads it where supported; edit persists; validation rejects invalid input without partial mutation.</x:v>
      </x:c>
    </x:row>
    <x:row r="954">
      <x:c r="A954" s="20" t="str">
        <x:v>FLD-0951</x:v>
      </x:c>
      <x:c r="B954" s="20" t="str">
        <x:v>Mobile</x:v>
      </x:c>
      <x:c r="C954" s="35" t="str">
        <x:v>features/owners/owner_form_sheet.dart</x:v>
      </x:c>
      <x:c r="D954" s="35" t="str">
        <x:v>mobile/lib/features/owners/owner_form_sheet.dart</x:v>
      </x:c>
      <x:c r="E954" s="32" t="n">
        <x:v>198</x:v>
      </x:c>
      <x:c r="F954" s="20" t="str">
        <x:v>TextFormField</x:v>
      </x:c>
      <x:c r="G954" s="35" t="str">
        <x:v>_addressLine1Ctrl</x:v>
      </x:c>
      <x:c r="H954" s="35" t="str">
        <x:v>Address line 1</x:v>
      </x:c>
      <x:c r="I954" s="20" t="str">
        <x:v>Applicant / public user</x:v>
      </x:c>
      <x:c r="J954" s="23" t="n">
        <x:v>46707</x:v>
      </x:c>
      <x:c r="K954" s="35" t="str">
        <x:v>valid non-default; boundary/format value; blank/null when optional; invalid value when constrained</x:v>
      </x:c>
      <x:c r="L954" s="35" t="str">
        <x:v>Save succeeds; close/reopen shows the exact normalized value; web reads it where supported; edit persists; validation rejects invalid input without partial mutation.</x:v>
      </x:c>
    </x:row>
    <x:row r="955">
      <x:c r="A955" s="20" t="str">
        <x:v>FLD-0952</x:v>
      </x:c>
      <x:c r="B955" s="20" t="str">
        <x:v>Mobile</x:v>
      </x:c>
      <x:c r="C955" s="35" t="str">
        <x:v>features/owners/owner_form_sheet.dart</x:v>
      </x:c>
      <x:c r="D955" s="35" t="str">
        <x:v>mobile/lib/features/owners/owner_form_sheet.dart</x:v>
      </x:c>
      <x:c r="E955" s="32" t="n">
        <x:v>208</x:v>
      </x:c>
      <x:c r="F955" s="20" t="str">
        <x:v>TextFormField</x:v>
      </x:c>
      <x:c r="G955" s="35" t="str">
        <x:v>_addressLine2Ctrl</x:v>
      </x:c>
      <x:c r="H955" s="35" t="str">
        <x:v>Address line 2</x:v>
      </x:c>
      <x:c r="I955" s="20" t="str">
        <x:v>Applicant / public user</x:v>
      </x:c>
      <x:c r="J955" s="23" t="n">
        <x:v>46707</x:v>
      </x:c>
      <x:c r="K955" s="35" t="str">
        <x:v>valid non-default; boundary/format value; blank/null when optional; invalid value when constrained</x:v>
      </x:c>
      <x:c r="L955" s="35" t="str">
        <x:v>Save succeeds; close/reopen shows the exact normalized value; web reads it where supported; edit persists; validation rejects invalid input without partial mutation.</x:v>
      </x:c>
    </x:row>
    <x:row r="956">
      <x:c r="A956" s="20" t="str">
        <x:v>FLD-0953</x:v>
      </x:c>
      <x:c r="B956" s="20" t="str">
        <x:v>Mobile</x:v>
      </x:c>
      <x:c r="C956" s="35" t="str">
        <x:v>features/owners/owner_form_sheet.dart</x:v>
      </x:c>
      <x:c r="D956" s="35" t="str">
        <x:v>mobile/lib/features/owners/owner_form_sheet.dart</x:v>
      </x:c>
      <x:c r="E956" s="32" t="n">
        <x:v>218</x:v>
      </x:c>
      <x:c r="F956" s="20" t="str">
        <x:v>TextFormField</x:v>
      </x:c>
      <x:c r="G956" s="35" t="str">
        <x:v>_cityCtrl</x:v>
      </x:c>
      <x:c r="H956" s="35" t="str">
        <x:v>City</x:v>
      </x:c>
      <x:c r="I956" s="20" t="str">
        <x:v>Applicant / public user</x:v>
      </x:c>
      <x:c r="J956" s="23" t="n">
        <x:v>46707</x:v>
      </x:c>
      <x:c r="K956" s="35" t="str">
        <x:v>valid non-default; boundary/format value; blank/null when optional; invalid value when constrained</x:v>
      </x:c>
      <x:c r="L956" s="35" t="str">
        <x:v>Save succeeds; close/reopen shows the exact normalized value; web reads it where supported; edit persists; validation rejects invalid input without partial mutation.</x:v>
      </x:c>
    </x:row>
    <x:row r="957">
      <x:c r="A957" s="20" t="str">
        <x:v>FLD-0954</x:v>
      </x:c>
      <x:c r="B957" s="20" t="str">
        <x:v>Mobile</x:v>
      </x:c>
      <x:c r="C957" s="35" t="str">
        <x:v>features/owners/owner_form_sheet.dart</x:v>
      </x:c>
      <x:c r="D957" s="35" t="str">
        <x:v>mobile/lib/features/owners/owner_form_sheet.dart</x:v>
      </x:c>
      <x:c r="E957" s="32" t="n">
        <x:v>229</x:v>
      </x:c>
      <x:c r="F957" s="20" t="str">
        <x:v>TextFormField</x:v>
      </x:c>
      <x:c r="G957" s="35" t="str">
        <x:v>_stateCtrl</x:v>
      </x:c>
      <x:c r="H957" s="35" t="str">
        <x:v>State</x:v>
      </x:c>
      <x:c r="I957" s="20" t="str">
        <x:v>Applicant / public user</x:v>
      </x:c>
      <x:c r="J957" s="23" t="n">
        <x:v>46708</x:v>
      </x:c>
      <x:c r="K957" s="35" t="str">
        <x:v>valid non-default; boundary/format value; blank/null when optional; invalid value when constrained</x:v>
      </x:c>
      <x:c r="L957" s="35" t="str">
        <x:v>Save succeeds; close/reopen shows the exact normalized value; web reads it where supported; edit persists; validation rejects invalid input without partial mutation.</x:v>
      </x:c>
    </x:row>
    <x:row r="958">
      <x:c r="A958" s="20" t="str">
        <x:v>FLD-0955</x:v>
      </x:c>
      <x:c r="B958" s="20" t="str">
        <x:v>Mobile</x:v>
      </x:c>
      <x:c r="C958" s="35" t="str">
        <x:v>features/owners/owner_form_sheet.dart</x:v>
      </x:c>
      <x:c r="D958" s="35" t="str">
        <x:v>mobile/lib/features/owners/owner_form_sheet.dart</x:v>
      </x:c>
      <x:c r="E958" s="32" t="n">
        <x:v>239</x:v>
      </x:c>
      <x:c r="F958" s="20" t="str">
        <x:v>TextFormField</x:v>
      </x:c>
      <x:c r="G958" s="35" t="str">
        <x:v>_postalCtrl</x:v>
      </x:c>
      <x:c r="H958" s="35" t="str">
        <x:v>ZIP</x:v>
      </x:c>
      <x:c r="I958" s="20" t="str">
        <x:v>Applicant / public user</x:v>
      </x:c>
      <x:c r="J958" s="23" t="n">
        <x:v>46708</x:v>
      </x:c>
      <x:c r="K958" s="35" t="str">
        <x:v>valid non-default; boundary/format value; blank/null when optional; invalid value when constrained</x:v>
      </x:c>
      <x:c r="L958" s="35" t="str">
        <x:v>Save succeeds; close/reopen shows the exact normalized value; web reads it where supported; edit persists; validation rejects invalid input without partial mutation.</x:v>
      </x:c>
    </x:row>
    <x:row r="959">
      <x:c r="A959" s="20" t="str">
        <x:v>FLD-0956</x:v>
      </x:c>
      <x:c r="B959" s="20" t="str">
        <x:v>Mobile</x:v>
      </x:c>
      <x:c r="C959" s="35" t="str">
        <x:v>features/owners/owner_form_sheet.dart</x:v>
      </x:c>
      <x:c r="D959" s="35" t="str">
        <x:v>mobile/lib/features/owners/owner_form_sheet.dart</x:v>
      </x:c>
      <x:c r="E959" s="32" t="n">
        <x:v>254</x:v>
      </x:c>
      <x:c r="F959" s="20" t="str">
        <x:v>TextFormField</x:v>
      </x:c>
      <x:c r="G959" s="35" t="str">
        <x:v>_taxIdCtrl</x:v>
      </x:c>
      <x:c r="H959" s="35" t="str">
        <x:v>Tax ID (optional)</x:v>
      </x:c>
      <x:c r="I959" s="20" t="str">
        <x:v>Applicant / public user</x:v>
      </x:c>
      <x:c r="J959" s="23" t="n">
        <x:v>46708</x:v>
      </x:c>
      <x:c r="K959" s="35" t="str">
        <x:v>valid non-default; boundary/format value; blank/null when optional; invalid value when constrained</x:v>
      </x:c>
      <x:c r="L959" s="35" t="str">
        <x:v>Save succeeds; close/reopen shows the exact normalized value; web reads it where supported; edit persists; validation rejects invalid input without partial mutation.</x:v>
      </x:c>
    </x:row>
    <x:row r="960">
      <x:c r="A960" s="20" t="str">
        <x:v>FLD-0957</x:v>
      </x:c>
      <x:c r="B960" s="20" t="str">
        <x:v>Mobile</x:v>
      </x:c>
      <x:c r="C960" s="35" t="str">
        <x:v>features/payments/payment_detail_screen.dart</x:v>
      </x:c>
      <x:c r="D960" s="35" t="str">
        <x:v>mobile/lib/features/payments/payment_detail_screen.dart</x:v>
      </x:c>
      <x:c r="E960" s="32" t="n">
        <x:v>288</x:v>
      </x:c>
      <x:c r="F960" s="20" t="str">
        <x:v>TextField</x:v>
      </x:c>
      <x:c r="G960" s="35" t="str">
        <x:v>_reason</x:v>
      </x:c>
      <x:c r="H960" s="35" t="str">
        <x:v>Reason</x:v>
      </x:c>
      <x:c r="I960" s="20" t="str">
        <x:v>Applicant / public user</x:v>
      </x:c>
      <x:c r="J960" s="23" t="n">
        <x:v>46708</x:v>
      </x:c>
      <x:c r="K960" s="35" t="str">
        <x:v>valid non-default; boundary/format value; blank/null when optional; invalid value when constrained</x:v>
      </x:c>
      <x:c r="L960" s="35" t="str">
        <x:v>Save succeeds; close/reopen shows the exact normalized value; web reads it where supported; edit persists; validation rejects invalid input without partial mutation.</x:v>
      </x:c>
    </x:row>
    <x:row r="961">
      <x:c r="A961" s="20" t="str">
        <x:v>FLD-0958</x:v>
      </x:c>
      <x:c r="B961" s="20" t="str">
        <x:v>Mobile</x:v>
      </x:c>
      <x:c r="C961" s="35" t="str">
        <x:v>features/payments/payment_detail_screen.dart</x:v>
      </x:c>
      <x:c r="D961" s="35" t="str">
        <x:v>mobile/lib/features/payments/payment_detail_screen.dart</x:v>
      </x:c>
      <x:c r="E961" s="32" t="n">
        <x:v>293</x:v>
      </x:c>
      <x:c r="F961" s="20" t="str">
        <x:v>TextField</x:v>
      </x:c>
      <x:c r="G961" s="35" t="str">
        <x:v>_method</x:v>
      </x:c>
      <x:c r="H961" s="35" t="str">
        <x:v>Payment method</x:v>
      </x:c>
      <x:c r="I961" s="20" t="str">
        <x:v>Applicant / public user</x:v>
      </x:c>
      <x:c r="J961" s="23" t="n">
        <x:v>46709</x:v>
      </x:c>
      <x:c r="K961" s="35" t="str">
        <x:v>valid non-default; boundary/format value; blank/null when optional; invalid value when constrained</x:v>
      </x:c>
      <x:c r="L961" s="35" t="str">
        <x:v>Save succeeds; close/reopen shows the exact normalized value; web reads it where supported; edit persists; validation rejects invalid input without partial mutation.</x:v>
      </x:c>
    </x:row>
    <x:row r="962">
      <x:c r="A962" s="20" t="str">
        <x:v>FLD-0959</x:v>
      </x:c>
      <x:c r="B962" s="20" t="str">
        <x:v>Mobile</x:v>
      </x:c>
      <x:c r="C962" s="35" t="str">
        <x:v>features/payments/payment_detail_screen.dart</x:v>
      </x:c>
      <x:c r="D962" s="35" t="str">
        <x:v>mobile/lib/features/payments/payment_detail_screen.dart</x:v>
      </x:c>
      <x:c r="E962" s="32" t="n">
        <x:v>298</x:v>
      </x:c>
      <x:c r="F962" s="20" t="str">
        <x:v>TextField</x:v>
      </x:c>
      <x:c r="G962" s="35" t="str">
        <x:v>_provenance</x:v>
      </x:c>
      <x:c r="H962" s="35" t="str">
        <x:v>Payout provenance</x:v>
      </x:c>
      <x:c r="I962" s="20" t="str">
        <x:v>Applicant / public user</x:v>
      </x:c>
      <x:c r="J962" s="23" t="n">
        <x:v>46709</x:v>
      </x:c>
      <x:c r="K962" s="35" t="str">
        <x:v>valid non-default; boundary/format value; blank/null when optional; invalid value when constrained</x:v>
      </x:c>
      <x:c r="L962" s="35" t="str">
        <x:v>Save succeeds; close/reopen shows the exact normalized value; web reads it where supported; edit persists; validation rejects invalid input without partial mutation.</x:v>
      </x:c>
    </x:row>
    <x:row r="963">
      <x:c r="A963" s="20" t="str">
        <x:v>FLD-0960</x:v>
      </x:c>
      <x:c r="B963" s="20" t="str">
        <x:v>Mobile</x:v>
      </x:c>
      <x:c r="C963" s="35" t="str">
        <x:v>features/payments/payments_screen.dart</x:v>
      </x:c>
      <x:c r="D963" s="35" t="str">
        <x:v>mobile/lib/features/payments/payments_screen.dart</x:v>
      </x:c>
      <x:c r="E963" s="32" t="n">
        <x:v>78</x:v>
      </x:c>
      <x:c r="F963" s="20" t="str">
        <x:v>TextField</x:v>
      </x:c>
      <x:c r="G963" s="35" t="str">
        <x:v>_searchController</x:v>
      </x:c>
      <x:c r="H963" s="35" t="str">
        <x:v>Search receipts</x:v>
      </x:c>
      <x:c r="I963" s="20" t="str">
        <x:v>Applicant / public user</x:v>
      </x:c>
      <x:c r="J963" s="23" t="n">
        <x:v>46709</x:v>
      </x:c>
      <x:c r="K963" s="35" t="str">
        <x:v>valid non-default; boundary/format value; blank/null when optional; invalid value when constrained</x:v>
      </x:c>
      <x:c r="L963" s="35" t="str">
        <x:v>Save succeeds; close/reopen shows the exact normalized value; web reads it where supported; edit persists; validation rejects invalid input without partial mutation.</x:v>
      </x:c>
    </x:row>
    <x:row r="964">
      <x:c r="A964" s="20" t="str">
        <x:v>FLD-0961</x:v>
      </x:c>
      <x:c r="B964" s="20" t="str">
        <x:v>Mobile</x:v>
      </x:c>
      <x:c r="C964" s="35" t="str">
        <x:v>features/payments/payments_screen.dart</x:v>
      </x:c>
      <x:c r="D964" s="35" t="str">
        <x:v>mobile/lib/features/payments/payments_screen.dart</x:v>
      </x:c>
      <x:c r="E964" s="32" t="n">
        <x:v>324</x:v>
      </x:c>
      <x:c r="F964" s="20" t="str">
        <x:v>TextFormField</x:v>
      </x:c>
      <x:c r="G964" s="35" t="str">
        <x:v>_amount</x:v>
      </x:c>
      <x:c r="H964" s="35" t="str">
        <x:v>Amount</x:v>
      </x:c>
      <x:c r="I964" s="20" t="str">
        <x:v>Applicant / public user</x:v>
      </x:c>
      <x:c r="J964" s="23" t="n">
        <x:v>46709</x:v>
      </x:c>
      <x:c r="K964" s="35" t="str">
        <x:v>valid non-default; boundary/format value; blank/null when optional; invalid value when constrained</x:v>
      </x:c>
      <x:c r="L964" s="35" t="str">
        <x:v>Save succeeds; close/reopen shows the exact normalized value; web reads it where supported; edit persists; validation rejects invalid input without partial mutation.</x:v>
      </x:c>
    </x:row>
    <x:row r="965">
      <x:c r="A965" s="20" t="str">
        <x:v>FLD-0962</x:v>
      </x:c>
      <x:c r="B965" s="20" t="str">
        <x:v>Mobile</x:v>
      </x:c>
      <x:c r="C965" s="35" t="str">
        <x:v>features/payments/payments_screen.dart</x:v>
      </x:c>
      <x:c r="D965" s="35" t="str">
        <x:v>mobile/lib/features/payments/payments_screen.dart</x:v>
      </x:c>
      <x:c r="E965" s="32" t="n">
        <x:v>341</x:v>
      </x:c>
      <x:c r="F965" s="20" t="str">
        <x:v>TextFormField</x:v>
      </x:c>
      <x:c r="G965" s="35" t="str">
        <x:v>_method</x:v>
      </x:c>
      <x:c r="H965" s="35" t="str">
        <x:v>Payment method</x:v>
      </x:c>
      <x:c r="I965" s="20" t="str">
        <x:v>Applicant / public user</x:v>
      </x:c>
      <x:c r="J965" s="23" t="n">
        <x:v>46709</x:v>
      </x:c>
      <x:c r="K965" s="35" t="str">
        <x:v>valid non-default; boundary/format value; blank/null when optional; invalid value when constrained</x:v>
      </x:c>
      <x:c r="L965" s="35" t="str">
        <x:v>Save succeeds; close/reopen shows the exact normalized value; web reads it where supported; edit persists; validation rejects invalid input without partial mutation.</x:v>
      </x:c>
    </x:row>
    <x:row r="966">
      <x:c r="A966" s="20" t="str">
        <x:v>FLD-0963</x:v>
      </x:c>
      <x:c r="B966" s="20" t="str">
        <x:v>Mobile</x:v>
      </x:c>
      <x:c r="C966" s="35" t="str">
        <x:v>features/payments/payments_screen.dart</x:v>
      </x:c>
      <x:c r="D966" s="35" t="str">
        <x:v>mobile/lib/features/payments/payments_screen.dart</x:v>
      </x:c>
      <x:c r="E966" s="32" t="n">
        <x:v>349</x:v>
      </x:c>
      <x:c r="F966" s="20" t="str">
        <x:v>TextFormField</x:v>
      </x:c>
      <x:c r="G966" s="35" t="str">
        <x:v>_description</x:v>
      </x:c>
      <x:c r="H966" s="35" t="str">
        <x:v>Description</x:v>
      </x:c>
      <x:c r="I966" s="20" t="str">
        <x:v>Applicant / public user</x:v>
      </x:c>
      <x:c r="J966" s="23" t="n">
        <x:v>46710</x:v>
      </x:c>
      <x:c r="K966" s="35" t="str">
        <x:v>valid non-default; boundary/format value; blank/null when optional; invalid value when constrained</x:v>
      </x:c>
      <x:c r="L966" s="35" t="str">
        <x:v>Save succeeds; close/reopen shows the exact normalized value; web reads it where supported; edit persists; validation rejects invalid input without partial mutation.</x:v>
      </x:c>
    </x:row>
    <x:row r="967">
      <x:c r="A967" s="20" t="str">
        <x:v>FLD-0964</x:v>
      </x:c>
      <x:c r="B967" s="20" t="str">
        <x:v>Mobile</x:v>
      </x:c>
      <x:c r="C967" s="35" t="str">
        <x:v>features/payments/payments_screen.dart</x:v>
      </x:c>
      <x:c r="D967" s="35" t="str">
        <x:v>mobile/lib/features/payments/payments_screen.dart</x:v>
      </x:c>
      <x:c r="E967" s="32" t="n">
        <x:v>364</x:v>
      </x:c>
      <x:c r="F967" s="20" t="str">
        <x:v>TextFormField</x:v>
      </x:c>
      <x:c r="G967" s="35" t="str">
        <x:v>_reference</x:v>
      </x:c>
      <x:c r="H967" s="35" t="str">
        <x:v>Reference (optional)</x:v>
      </x:c>
      <x:c r="I967" s="20" t="str">
        <x:v>Applicant / public user</x:v>
      </x:c>
      <x:c r="J967" s="23" t="n">
        <x:v>46710</x:v>
      </x:c>
      <x:c r="K967" s="35" t="str">
        <x:v>valid non-default; boundary/format value; blank/null when optional; invalid value when constrained</x:v>
      </x:c>
      <x:c r="L967" s="35" t="str">
        <x:v>Save succeeds; close/reopen shows the exact normalized value; web reads it where supported; edit persists; validation rejects invalid input without partial mutation.</x:v>
      </x:c>
    </x:row>
    <x:row r="968">
      <x:c r="A968" s="20" t="str">
        <x:v>FLD-0965</x:v>
      </x:c>
      <x:c r="B968" s="20" t="str">
        <x:v>Mobile</x:v>
      </x:c>
      <x:c r="C968" s="35" t="str">
        <x:v>features/payments/payments_screen.dart</x:v>
      </x:c>
      <x:c r="D968" s="35" t="str">
        <x:v>mobile/lib/features/payments/payments_screen.dart</x:v>
      </x:c>
      <x:c r="E968" s="32" t="n">
        <x:v>371</x:v>
      </x:c>
      <x:c r="F968" s="20" t="str">
        <x:v>TextFormField</x:v>
      </x:c>
      <x:c r="G968" s="35" t="str">
        <x:v>_payer</x:v>
      </x:c>
      <x:c r="H968" s="35" t="str">
        <x:v>Payer name (optional)</x:v>
      </x:c>
      <x:c r="I968" s="20" t="str">
        <x:v>Applicant / public user</x:v>
      </x:c>
      <x:c r="J968" s="23" t="n">
        <x:v>46710</x:v>
      </x:c>
      <x:c r="K968" s="35" t="str">
        <x:v>valid non-default; boundary/format value; blank/null when optional; invalid value when constrained</x:v>
      </x:c>
      <x:c r="L968" s="35" t="str">
        <x:v>Save succeeds; close/reopen shows the exact normalized value; web reads it where supported; edit persists; validation rejects invalid input without partial mutation.</x:v>
      </x:c>
    </x:row>
    <x:row r="969">
      <x:c r="A969" s="20" t="str">
        <x:v>FLD-0966</x:v>
      </x:c>
      <x:c r="B969" s="20" t="str">
        <x:v>Mobile</x:v>
      </x:c>
      <x:c r="C969" s="35" t="str">
        <x:v>features/payments/tenant_account_receipt_flow.dart</x:v>
      </x:c>
      <x:c r="D969" s="35" t="str">
        <x:v>mobile/lib/features/payments/tenant_account_receipt_flow.dart</x:v>
      </x:c>
      <x:c r="E969" s="32" t="n">
        <x:v>117</x:v>
      </x:c>
      <x:c r="F969" s="20" t="str">
        <x:v>TextField</x:v>
      </x:c>
      <x:c r="G969" s="35" t="str">
        <x:v>_searchController</x:v>
      </x:c>
      <x:c r="H969" s="35" t="str">
        <x:v>Search rental accounts</x:v>
      </x:c>
      <x:c r="I969" s="20" t="str">
        <x:v>Tenant</x:v>
      </x:c>
      <x:c r="J969" s="23" t="n">
        <x:v>46710</x:v>
      </x:c>
      <x:c r="K969" s="35" t="str">
        <x:v>valid non-default; boundary/format value; blank/null when optional; invalid value when constrained</x:v>
      </x:c>
      <x:c r="L969" s="35" t="str">
        <x:v>Save succeeds; close/reopen shows the exact normalized value; web reads it where supported; edit persists; validation rejects invalid input without partial mutation.</x:v>
      </x:c>
    </x:row>
    <x:row r="970">
      <x:c r="A970" s="20" t="str">
        <x:v>FLD-0967</x:v>
      </x:c>
      <x:c r="B970" s="20" t="str">
        <x:v>Mobile</x:v>
      </x:c>
      <x:c r="C970" s="35" t="str">
        <x:v>features/places/address_autocomplete_field.dart</x:v>
      </x:c>
      <x:c r="D970" s="35" t="str">
        <x:v>mobile/lib/features/places/address_autocomplete_field.dart</x:v>
      </x:c>
      <x:c r="E970" s="32" t="n">
        <x:v>128</x:v>
      </x:c>
      <x:c r="F970" s="20" t="str">
        <x:v>TextField</x:v>
      </x:c>
      <x:c r="G970" s="35" t="str">
        <x:v>widget.controller</x:v>
      </x:c>
      <x:c r="H970" s="35" t="str"/>
      <x:c r="I970" s="20" t="str">
        <x:v>Applicant / public user</x:v>
      </x:c>
      <x:c r="J970" s="23" t="n">
        <x:v>46713</x:v>
      </x:c>
      <x:c r="K970" s="35" t="str">
        <x:v>valid non-default; boundary/format value; blank/null when optional; invalid value when constrained</x:v>
      </x:c>
      <x:c r="L970" s="35" t="str">
        <x:v>Save succeeds; close/reopen shows the exact normalized value; web reads it where supported; edit persists; validation rejects invalid input without partial mutation.</x:v>
      </x:c>
    </x:row>
    <x:row r="971">
      <x:c r="A971" s="20" t="str">
        <x:v>FLD-0968</x:v>
      </x:c>
      <x:c r="B971" s="20" t="str">
        <x:v>Mobile</x:v>
      </x:c>
      <x:c r="C971" s="35" t="str">
        <x:v>features/portal/create_tenant_work_order_sheet.dart</x:v>
      </x:c>
      <x:c r="D971" s="35" t="str">
        <x:v>mobile/lib/features/portal/create_tenant_work_order_sheet.dart</x:v>
      </x:c>
      <x:c r="E971" s="32" t="n">
        <x:v>178</x:v>
      </x:c>
      <x:c r="F971" s="20" t="str">
        <x:v>TextFormField</x:v>
      </x:c>
      <x:c r="G971" s="35" t="str">
        <x:v>_title</x:v>
      </x:c>
      <x:c r="H971" s="35" t="str">
        <x:v>Title</x:v>
      </x:c>
      <x:c r="I971" s="20" t="str">
        <x:v>Tenant</x:v>
      </x:c>
      <x:c r="J971" s="23" t="n">
        <x:v>46713</x:v>
      </x:c>
      <x:c r="K971" s="35" t="str">
        <x:v>valid non-default; boundary/format value; blank/null when optional; invalid value when constrained</x:v>
      </x:c>
      <x:c r="L971" s="35" t="str">
        <x:v>Save succeeds; close/reopen shows the exact normalized value; web reads it where supported; edit persists; validation rejects invalid input without partial mutation.</x:v>
      </x:c>
    </x:row>
    <x:row r="972">
      <x:c r="A972" s="20" t="str">
        <x:v>FLD-0969</x:v>
      </x:c>
      <x:c r="B972" s="20" t="str">
        <x:v>Mobile</x:v>
      </x:c>
      <x:c r="C972" s="35" t="str">
        <x:v>features/portal/create_tenant_work_order_sheet.dart</x:v>
      </x:c>
      <x:c r="D972" s="35" t="str">
        <x:v>mobile/lib/features/portal/create_tenant_work_order_sheet.dart</x:v>
      </x:c>
      <x:c r="E972" s="32" t="n">
        <x:v>187</x:v>
      </x:c>
      <x:c r="F972" s="20" t="str">
        <x:v>TextFormField</x:v>
      </x:c>
      <x:c r="G972" s="35" t="str">
        <x:v>_description</x:v>
      </x:c>
      <x:c r="H972" s="35" t="str">
        <x:v>Description</x:v>
      </x:c>
      <x:c r="I972" s="20" t="str">
        <x:v>Tenant</x:v>
      </x:c>
      <x:c r="J972" s="23" t="n">
        <x:v>46713</x:v>
      </x:c>
      <x:c r="K972" s="35" t="str">
        <x:v>valid non-default; boundary/format value; blank/null when optional; invalid value when constrained</x:v>
      </x:c>
      <x:c r="L972" s="35" t="str">
        <x:v>Save succeeds; close/reopen shows the exact normalized value; web reads it where supported; edit persists; validation rejects invalid input without partial mutation.</x:v>
      </x:c>
    </x:row>
    <x:row r="973">
      <x:c r="A973" s="20" t="str">
        <x:v>FLD-0970</x:v>
      </x:c>
      <x:c r="B973" s="20" t="str">
        <x:v>Mobile</x:v>
      </x:c>
      <x:c r="C973" s="35" t="str">
        <x:v>features/portal/create_tenant_work_order_sheet.dart</x:v>
      </x:c>
      <x:c r="D973" s="35" t="str">
        <x:v>mobile/lib/features/portal/create_tenant_work_order_sheet.dart</x:v>
      </x:c>
      <x:c r="E973" s="32" t="n">
        <x:v>197</x:v>
      </x:c>
      <x:c r="F973" s="20" t="str">
        <x:v>DropdownButtonFormField</x:v>
      </x:c>
      <x:c r="G973" s="35" t="str">
        <x:v>_submitting</x:v>
      </x:c>
      <x:c r="H973" s="35" t="str">
        <x:v>Priority</x:v>
      </x:c>
      <x:c r="I973" s="20" t="str">
        <x:v>Tenant</x:v>
      </x:c>
      <x:c r="J973" s="23" t="n">
        <x:v>46713</x:v>
      </x:c>
      <x:c r="K973" s="35" t="str">
        <x:v>valid non-default; boundary/format value; blank/null when optional; invalid value when constrained</x:v>
      </x:c>
      <x:c r="L973" s="35" t="str">
        <x:v>Save succeeds; close/reopen shows the exact normalized value; web reads it where supported; edit persists; validation rejects invalid input without partial mutation.</x:v>
      </x:c>
    </x:row>
    <x:row r="974">
      <x:c r="A974" s="20" t="str">
        <x:v>FLD-0971</x:v>
      </x:c>
      <x:c r="B974" s="20" t="str">
        <x:v>Mobile</x:v>
      </x:c>
      <x:c r="C974" s="35" t="str">
        <x:v>features/portal/tenant_account_history_screen.dart</x:v>
      </x:c>
      <x:c r="D974" s="35" t="str">
        <x:v>mobile/lib/features/portal/tenant_account_history_screen.dart</x:v>
      </x:c>
      <x:c r="E974" s="32" t="n">
        <x:v>92</x:v>
      </x:c>
      <x:c r="F974" s="20" t="str">
        <x:v>DropdownButtonFormField</x:v>
      </x:c>
      <x:c r="G974" s="35" t="str">
        <x:v>Account</x:v>
      </x:c>
      <x:c r="H974" s="35" t="str">
        <x:v>Account</x:v>
      </x:c>
      <x:c r="I974" s="20" t="str">
        <x:v>Tenant</x:v>
      </x:c>
      <x:c r="J974" s="23" t="n">
        <x:v>46714</x:v>
      </x:c>
      <x:c r="K974" s="35" t="str">
        <x:v>valid non-default; boundary/format value; blank/null when optional; invalid value when constrained</x:v>
      </x:c>
      <x:c r="L974" s="35" t="str">
        <x:v>Save succeeds; close/reopen shows the exact normalized value; web reads it where supported; edit persists; validation rejects invalid input without partial mutation.</x:v>
      </x:c>
    </x:row>
    <x:row r="975">
      <x:c r="A975" s="20" t="str">
        <x:v>FLD-0972</x:v>
      </x:c>
      <x:c r="B975" s="20" t="str">
        <x:v>Mobile</x:v>
      </x:c>
      <x:c r="C975" s="35" t="str">
        <x:v>features/properties/property_capital_asset_form_sheet.dart</x:v>
      </x:c>
      <x:c r="D975" s="35" t="str">
        <x:v>mobile/lib/features/properties/property_capital_asset_form_sheet.dart</x:v>
      </x:c>
      <x:c r="E975" s="32" t="n">
        <x:v>136</x:v>
      </x:c>
      <x:c r="F975" s="20" t="str">
        <x:v>TextFormField</x:v>
      </x:c>
      <x:c r="G975" s="35" t="str">
        <x:v>_descriptionCtrl</x:v>
      </x:c>
      <x:c r="H975" s="35" t="str">
        <x:v>Description</x:v>
      </x:c>
      <x:c r="I975" s="20" t="str">
        <x:v>Applicant / public user</x:v>
      </x:c>
      <x:c r="J975" s="23" t="n">
        <x:v>46714</x:v>
      </x:c>
      <x:c r="K975" s="35" t="str">
        <x:v>valid non-default; boundary/format value; blank/null when optional; invalid value when constrained</x:v>
      </x:c>
      <x:c r="L975" s="35" t="str">
        <x:v>Save succeeds; close/reopen shows the exact normalized value; web reads it where supported; edit persists; validation rejects invalid input without partial mutation.</x:v>
      </x:c>
    </x:row>
    <x:row r="976">
      <x:c r="A976" s="20" t="str">
        <x:v>FLD-0973</x:v>
      </x:c>
      <x:c r="B976" s="20" t="str">
        <x:v>Mobile</x:v>
      </x:c>
      <x:c r="C976" s="35" t="str">
        <x:v>features/properties/property_capital_asset_form_sheet.dart</x:v>
      </x:c>
      <x:c r="D976" s="35" t="str">
        <x:v>mobile/lib/features/properties/property_capital_asset_form_sheet.dart</x:v>
      </x:c>
      <x:c r="E976" s="32" t="n">
        <x:v>159</x:v>
      </x:c>
      <x:c r="F976" s="20" t="str">
        <x:v>TextFormField</x:v>
      </x:c>
      <x:c r="G976" s="35" t="str">
        <x:v>_inServiceDateCtrl</x:v>
      </x:c>
      <x:c r="H976" s="35" t="str">
        <x:v>In-service date</x:v>
      </x:c>
      <x:c r="I976" s="20" t="str">
        <x:v>Applicant / public user</x:v>
      </x:c>
      <x:c r="J976" s="23" t="n">
        <x:v>46714</x:v>
      </x:c>
      <x:c r="K976" s="35" t="str">
        <x:v>valid non-default; boundary/format value; blank/null when optional; invalid value when constrained</x:v>
      </x:c>
      <x:c r="L976" s="35" t="str">
        <x:v>Save succeeds; close/reopen shows the exact normalized value; web reads it where supported; edit persists; validation rejects invalid input without partial mutation.</x:v>
      </x:c>
    </x:row>
    <x:row r="977">
      <x:c r="A977" s="20" t="str">
        <x:v>FLD-0974</x:v>
      </x:c>
      <x:c r="B977" s="20" t="str">
        <x:v>Mobile</x:v>
      </x:c>
      <x:c r="C977" s="35" t="str">
        <x:v>features/properties/property_capital_asset_form_sheet.dart</x:v>
      </x:c>
      <x:c r="D977" s="35" t="str">
        <x:v>mobile/lib/features/properties/property_capital_asset_form_sheet.dart</x:v>
      </x:c>
      <x:c r="E977" s="32" t="n">
        <x:v>179</x:v>
      </x:c>
      <x:c r="F977" s="20" t="str">
        <x:v>DropdownButtonFormField</x:v>
      </x:c>
      <x:c r="G977" s="35" t="str">
        <x:v>_recoveryYearsCtrl</x:v>
      </x:c>
      <x:c r="H977" s="35" t="str">
        <x:v>Method</x:v>
      </x:c>
      <x:c r="I977" s="20" t="str">
        <x:v>Applicant / public user</x:v>
      </x:c>
      <x:c r="J977" s="23" t="n">
        <x:v>46714</x:v>
      </x:c>
      <x:c r="K977" s="35" t="str">
        <x:v>valid non-default; boundary/format value; blank/null when optional; invalid value when constrained</x:v>
      </x:c>
      <x:c r="L977" s="35" t="str">
        <x:v>Save succeeds; close/reopen shows the exact normalized value; web reads it where supported; edit persists; validation rejects invalid input without partial mutation.</x:v>
      </x:c>
    </x:row>
    <x:row r="978">
      <x:c r="A978" s="20" t="str">
        <x:v>FLD-0975</x:v>
      </x:c>
      <x:c r="B978" s="20" t="str">
        <x:v>Mobile</x:v>
      </x:c>
      <x:c r="C978" s="35" t="str">
        <x:v>features/properties/property_capital_asset_form_sheet.dart</x:v>
      </x:c>
      <x:c r="D978" s="35" t="str">
        <x:v>mobile/lib/features/properties/property_capital_asset_form_sheet.dart</x:v>
      </x:c>
      <x:c r="E978" s="32" t="n">
        <x:v>215</x:v>
      </x:c>
      <x:c r="F978" s="20" t="str">
        <x:v>DropdownButtonFormField</x:v>
      </x:c>
      <x:c r="G978" s="35" t="str">
        <x:v>_accumulatedCtrl</x:v>
      </x:c>
      <x:c r="H978" s="35" t="str">
        <x:v>Convention</x:v>
      </x:c>
      <x:c r="I978" s="20" t="str">
        <x:v>Applicant / public user</x:v>
      </x:c>
      <x:c r="J978" s="23" t="n">
        <x:v>46714</x:v>
      </x:c>
      <x:c r="K978" s="35" t="str">
        <x:v>valid non-default; boundary/format value; blank/null when optional; invalid value when constrained</x:v>
      </x:c>
      <x:c r="L978" s="35" t="str">
        <x:v>Save succeeds; close/reopen shows the exact normalized value; web reads it where supported; edit persists; validation rejects invalid input without partial mutation.</x:v>
      </x:c>
    </x:row>
    <x:row r="979">
      <x:c r="A979" s="20" t="str">
        <x:v>FLD-0976</x:v>
      </x:c>
      <x:c r="B979" s="20" t="str">
        <x:v>Mobile</x:v>
      </x:c>
      <x:c r="C979" s="35" t="str">
        <x:v>features/properties/property_capital_asset_form_sheet.dart</x:v>
      </x:c>
      <x:c r="D979" s="35" t="str">
        <x:v>mobile/lib/features/properties/property_capital_asset_form_sheet.dart</x:v>
      </x:c>
      <x:c r="E979" s="32" t="n">
        <x:v>264</x:v>
      </x:c>
      <x:c r="F979" s="20" t="str">
        <x:v>TextFormField</x:v>
      </x:c>
      <x:c r="G979" s="35" t="str">
        <x:v>controller</x:v>
      </x:c>
      <x:c r="H979" s="35" t="str"/>
      <x:c r="I979" s="20" t="str">
        <x:v>Applicant / public user</x:v>
      </x:c>
      <x:c r="J979" s="23" t="n">
        <x:v>46715</x:v>
      </x:c>
      <x:c r="K979" s="35" t="str">
        <x:v>valid non-default; boundary/format value; blank/null when optional; invalid value when constrained</x:v>
      </x:c>
      <x:c r="L979" s="35" t="str">
        <x:v>Save succeeds; close/reopen shows the exact normalized value; web reads it where supported; edit persists; validation rejects invalid input without partial mutation.</x:v>
      </x:c>
    </x:row>
    <x:row r="980">
      <x:c r="A980" s="20" t="str">
        <x:v>FLD-0977</x:v>
      </x:c>
      <x:c r="B980" s="20" t="str">
        <x:v>Mobile</x:v>
      </x:c>
      <x:c r="C980" s="35" t="str">
        <x:v>features/properties/property_disposition_form_sheet.dart</x:v>
      </x:c>
      <x:c r="D980" s="35" t="str">
        <x:v>mobile/lib/features/properties/property_disposition_form_sheet.dart</x:v>
      </x:c>
      <x:c r="E980" s="32" t="n">
        <x:v>135</x:v>
      </x:c>
      <x:c r="F980" s="20" t="str">
        <x:v>TextFormField</x:v>
      </x:c>
      <x:c r="G980" s="35" t="str">
        <x:v>_closedOnCtrl</x:v>
      </x:c>
      <x:c r="H980" s="35" t="str">
        <x:v>Close date</x:v>
      </x:c>
      <x:c r="I980" s="20" t="str">
        <x:v>Applicant / public user</x:v>
      </x:c>
      <x:c r="J980" s="23" t="n">
        <x:v>46715</x:v>
      </x:c>
      <x:c r="K980" s="35" t="str">
        <x:v>valid non-default; boundary/format value; blank/null when optional; invalid value when constrained</x:v>
      </x:c>
      <x:c r="L980" s="35" t="str">
        <x:v>Save succeeds; close/reopen shows the exact normalized value; web reads it where supported; edit persists; validation rejects invalid input without partial mutation.</x:v>
      </x:c>
    </x:row>
    <x:row r="981">
      <x:c r="A981" s="20" t="str">
        <x:v>FLD-0978</x:v>
      </x:c>
      <x:c r="B981" s="20" t="str">
        <x:v>Mobile</x:v>
      </x:c>
      <x:c r="C981" s="35" t="str">
        <x:v>features/properties/property_disposition_form_sheet.dart</x:v>
      </x:c>
      <x:c r="D981" s="35" t="str">
        <x:v>mobile/lib/features/properties/property_disposition_form_sheet.dart</x:v>
      </x:c>
      <x:c r="E981" s="32" t="n">
        <x:v>161</x:v>
      </x:c>
      <x:c r="F981" s="20" t="str">
        <x:v>TextFormField</x:v>
      </x:c>
      <x:c r="G981" s="35" t="str">
        <x:v>_buyerCtrl</x:v>
      </x:c>
      <x:c r="H981" s="35" t="str">
        <x:v>Buyer</x:v>
      </x:c>
      <x:c r="I981" s="20" t="str">
        <x:v>Applicant / public user</x:v>
      </x:c>
      <x:c r="J981" s="23" t="n">
        <x:v>46715</x:v>
      </x:c>
      <x:c r="K981" s="35" t="str">
        <x:v>valid non-default; boundary/format value; blank/null when optional; invalid value when constrained</x:v>
      </x:c>
      <x:c r="L981" s="35" t="str">
        <x:v>Save succeeds; close/reopen shows the exact normalized value; web reads it where supported; edit persists; validation rejects invalid input without partial mutation.</x:v>
      </x:c>
    </x:row>
    <x:row r="982">
      <x:c r="A982" s="20" t="str">
        <x:v>FLD-0979</x:v>
      </x:c>
      <x:c r="B982" s="20" t="str">
        <x:v>Mobile</x:v>
      </x:c>
      <x:c r="C982" s="35" t="str">
        <x:v>features/properties/property_disposition_form_sheet.dart</x:v>
      </x:c>
      <x:c r="D982" s="35" t="str">
        <x:v>mobile/lib/features/properties/property_disposition_form_sheet.dart</x:v>
      </x:c>
      <x:c r="E982" s="32" t="n">
        <x:v>174</x:v>
      </x:c>
      <x:c r="F982" s="20" t="str">
        <x:v>TextFormField</x:v>
      </x:c>
      <x:c r="G982" s="35" t="str">
        <x:v>_memoCtrl</x:v>
      </x:c>
      <x:c r="H982" s="35" t="str">
        <x:v>Memo</x:v>
      </x:c>
      <x:c r="I982" s="20" t="str">
        <x:v>Applicant / public user</x:v>
      </x:c>
      <x:c r="J982" s="23" t="n">
        <x:v>46715</x:v>
      </x:c>
      <x:c r="K982" s="35" t="str">
        <x:v>valid non-default; boundary/format value; blank/null when optional; invalid value when constrained</x:v>
      </x:c>
      <x:c r="L982" s="35" t="str">
        <x:v>Save succeeds; close/reopen shows the exact normalized value; web reads it where supported; edit persists; validation rejects invalid input without partial mutation.</x:v>
      </x:c>
    </x:row>
    <x:row r="983">
      <x:c r="A983" s="20" t="str">
        <x:v>FLD-0980</x:v>
      </x:c>
      <x:c r="B983" s="20" t="str">
        <x:v>Mobile</x:v>
      </x:c>
      <x:c r="C983" s="35" t="str">
        <x:v>features/properties/property_disposition_form_sheet.dart</x:v>
      </x:c>
      <x:c r="D983" s="35" t="str">
        <x:v>mobile/lib/features/properties/property_disposition_form_sheet.dart</x:v>
      </x:c>
      <x:c r="E983" s="32" t="n">
        <x:v>204</x:v>
      </x:c>
      <x:c r="F983" s="20" t="str">
        <x:v>TextFormField</x:v>
      </x:c>
      <x:c r="G983" s="35" t="str">
        <x:v>controller</x:v>
      </x:c>
      <x:c r="H983" s="35" t="str"/>
      <x:c r="I983" s="20" t="str">
        <x:v>Applicant / public user</x:v>
      </x:c>
      <x:c r="J983" s="23" t="n">
        <x:v>46716</x:v>
      </x:c>
      <x:c r="K983" s="35" t="str">
        <x:v>valid non-default; boundary/format value; blank/null when optional; invalid value when constrained</x:v>
      </x:c>
      <x:c r="L983" s="35" t="str">
        <x:v>Save succeeds; close/reopen shows the exact normalized value; web reads it where supported; edit persists; validation rejects invalid input without partial mutation.</x:v>
      </x:c>
    </x:row>
    <x:row r="984">
      <x:c r="A984" s="20" t="str">
        <x:v>FLD-0981</x:v>
      </x:c>
      <x:c r="B984" s="20" t="str">
        <x:v>Mobile</x:v>
      </x:c>
      <x:c r="C984" s="35" t="str">
        <x:v>features/properties/property_form_sheet.dart</x:v>
      </x:c>
      <x:c r="D984" s="35" t="str">
        <x:v>mobile/lib/features/properties/property_form_sheet.dart</x:v>
      </x:c>
      <x:c r="E984" s="32" t="n">
        <x:v>501</x:v>
      </x:c>
      <x:c r="F984" s="20" t="str">
        <x:v>TextFormField</x:v>
      </x:c>
      <x:c r="G984" s="35" t="str">
        <x:v>_nameCtrl</x:v>
      </x:c>
      <x:c r="H984" s="35" t="str">
        <x:v>Property name</x:v>
      </x:c>
      <x:c r="I984" s="20" t="str">
        <x:v>Applicant / public user</x:v>
      </x:c>
      <x:c r="J984" s="23" t="n">
        <x:v>46716</x:v>
      </x:c>
      <x:c r="K984" s="35" t="str">
        <x:v>valid non-default; boundary/format value; blank/null when optional; invalid value when constrained</x:v>
      </x:c>
      <x:c r="L984" s="35" t="str">
        <x:v>Save succeeds; close/reopen shows the exact normalized value; web reads it where supported; edit persists; validation rejects invalid input without partial mutation.</x:v>
      </x:c>
    </x:row>
    <x:row r="985">
      <x:c r="A985" s="20" t="str">
        <x:v>FLD-0982</x:v>
      </x:c>
      <x:c r="B985" s="20" t="str">
        <x:v>Mobile</x:v>
      </x:c>
      <x:c r="C985" s="35" t="str">
        <x:v>features/properties/property_form_sheet.dart</x:v>
      </x:c>
      <x:c r="D985" s="35" t="str">
        <x:v>mobile/lib/features/properties/property_form_sheet.dart</x:v>
      </x:c>
      <x:c r="E985" s="32" t="n">
        <x:v>509</x:v>
      </x:c>
      <x:c r="F985" s="20" t="str">
        <x:v>DropdownButtonFormField</x:v>
      </x:c>
      <x:c r="G985" s="35" t="str">
        <x:v>Type</x:v>
      </x:c>
      <x:c r="H985" s="35" t="str">
        <x:v>Type</x:v>
      </x:c>
      <x:c r="I985" s="20" t="str">
        <x:v>Applicant / public user</x:v>
      </x:c>
      <x:c r="J985" s="23" t="n">
        <x:v>46716</x:v>
      </x:c>
      <x:c r="K985" s="35" t="str">
        <x:v>valid non-default; boundary/format value; blank/null when optional; invalid value when constrained</x:v>
      </x:c>
      <x:c r="L985" s="35" t="str">
        <x:v>Save succeeds; close/reopen shows the exact normalized value; web reads it where supported; edit persists; validation rejects invalid input without partial mutation.</x:v>
      </x:c>
    </x:row>
    <x:row r="986">
      <x:c r="A986" s="20" t="str">
        <x:v>FLD-0983</x:v>
      </x:c>
      <x:c r="B986" s="20" t="str">
        <x:v>Mobile</x:v>
      </x:c>
      <x:c r="C986" s="35" t="str">
        <x:v>features/properties/property_form_sheet.dart</x:v>
      </x:c>
      <x:c r="D986" s="35" t="str">
        <x:v>mobile/lib/features/properties/property_form_sheet.dart</x:v>
      </x:c>
      <x:c r="E986" s="32" t="n">
        <x:v>542</x:v>
      </x:c>
      <x:c r="F986" s="20" t="str">
        <x:v>SegmentedButton</x:v>
      </x:c>
      <x:c r="G986" s="35" t="str">
        <x:v>_isEditing</x:v>
      </x:c>
      <x:c r="H986" s="35" t="str">
        <x:v>Status</x:v>
      </x:c>
      <x:c r="I986" s="20" t="str">
        <x:v>Applicant / public user</x:v>
      </x:c>
      <x:c r="J986" s="23" t="n">
        <x:v>46716</x:v>
      </x:c>
      <x:c r="K986" s="35" t="str">
        <x:v>valid non-default; boundary/format value; blank/null when optional; invalid value when constrained</x:v>
      </x:c>
      <x:c r="L986" s="35" t="str">
        <x:v>Save succeeds; close/reopen shows the exact normalized value; web reads it where supported; edit persists; validation rejects invalid input without partial mutation.</x:v>
      </x:c>
    </x:row>
    <x:row r="987">
      <x:c r="A987" s="20" t="str">
        <x:v>FLD-0984</x:v>
      </x:c>
      <x:c r="B987" s="20" t="str">
        <x:v>Mobile</x:v>
      </x:c>
      <x:c r="C987" s="35" t="str">
        <x:v>features/properties/property_form_sheet.dart</x:v>
      </x:c>
      <x:c r="D987" s="35" t="str">
        <x:v>mobile/lib/features/properties/property_form_sheet.dart</x:v>
      </x:c>
      <x:c r="E987" s="32" t="n">
        <x:v>565</x:v>
      </x:c>
      <x:c r="F987" s="20" t="str">
        <x:v>DropdownButtonFormField</x:v>
      </x:c>
      <x:c r="G987" s="35" t="str">
        <x:v>_ownersLoading</x:v>
      </x:c>
      <x:c r="H987" s="35" t="str">
        <x:v>Status</x:v>
      </x:c>
      <x:c r="I987" s="20" t="str">
        <x:v>Applicant / public user</x:v>
      </x:c>
      <x:c r="J987" s="23" t="n">
        <x:v>46716</x:v>
      </x:c>
      <x:c r="K987" s="35" t="str">
        <x:v>valid non-default; boundary/format value; blank/null when optional; invalid value when constrained</x:v>
      </x:c>
      <x:c r="L987" s="35" t="str">
        <x:v>Save succeeds; close/reopen shows the exact normalized value; web reads it where supported; edit persists; validation rejects invalid input without partial mutation.</x:v>
      </x:c>
    </x:row>
    <x:row r="988">
      <x:c r="A988" s="20" t="str">
        <x:v>FLD-0985</x:v>
      </x:c>
      <x:c r="B988" s="20" t="str">
        <x:v>Mobile</x:v>
      </x:c>
      <x:c r="C988" s="35" t="str">
        <x:v>features/properties/property_form_sheet.dart</x:v>
      </x:c>
      <x:c r="D988" s="35" t="str">
        <x:v>mobile/lib/features/properties/property_form_sheet.dart</x:v>
      </x:c>
      <x:c r="E988" s="32" t="n">
        <x:v>673</x:v>
      </x:c>
      <x:c r="F988" s="20" t="str">
        <x:v>TextFormField</x:v>
      </x:c>
      <x:c r="G988" s="35" t="str">
        <x:v>_bedroomsCtrl</x:v>
      </x:c>
      <x:c r="H988" s="35" t="str">
        <x:v>Bedrooms</x:v>
      </x:c>
      <x:c r="I988" s="20" t="str">
        <x:v>Applicant / public user</x:v>
      </x:c>
      <x:c r="J988" s="23" t="n">
        <x:v>46717</x:v>
      </x:c>
      <x:c r="K988" s="35" t="str">
        <x:v>valid non-default; boundary/format value; blank/null when optional; invalid value when constrained</x:v>
      </x:c>
      <x:c r="L988" s="35" t="str">
        <x:v>Save succeeds; close/reopen shows the exact normalized value; web reads it where supported; edit persists; validation rejects invalid input without partial mutation.</x:v>
      </x:c>
    </x:row>
    <x:row r="989">
      <x:c r="A989" s="20" t="str">
        <x:v>FLD-0986</x:v>
      </x:c>
      <x:c r="B989" s="20" t="str">
        <x:v>Mobile</x:v>
      </x:c>
      <x:c r="C989" s="35" t="str">
        <x:v>features/properties/property_form_sheet.dart</x:v>
      </x:c>
      <x:c r="D989" s="35" t="str">
        <x:v>mobile/lib/features/properties/property_form_sheet.dart</x:v>
      </x:c>
      <x:c r="E989" s="32" t="n">
        <x:v>682</x:v>
      </x:c>
      <x:c r="F989" s="20" t="str">
        <x:v>TextFormField</x:v>
      </x:c>
      <x:c r="G989" s="35" t="str">
        <x:v>_bathroomsCtrl</x:v>
      </x:c>
      <x:c r="H989" s="35" t="str">
        <x:v>Bathrooms</x:v>
      </x:c>
      <x:c r="I989" s="20" t="str">
        <x:v>Applicant / public user</x:v>
      </x:c>
      <x:c r="J989" s="23" t="n">
        <x:v>46717</x:v>
      </x:c>
      <x:c r="K989" s="35" t="str">
        <x:v>valid non-default; boundary/format value; blank/null when optional; invalid value when constrained</x:v>
      </x:c>
      <x:c r="L989" s="35" t="str">
        <x:v>Save succeeds; close/reopen shows the exact normalized value; web reads it where supported; edit persists; validation rejects invalid input without partial mutation.</x:v>
      </x:c>
    </x:row>
    <x:row r="990">
      <x:c r="A990" s="20" t="str">
        <x:v>FLD-0987</x:v>
      </x:c>
      <x:c r="B990" s="20" t="str">
        <x:v>Mobile</x:v>
      </x:c>
      <x:c r="C990" s="35" t="str">
        <x:v>features/properties/property_form_sheet.dart</x:v>
      </x:c>
      <x:c r="D990" s="35" t="str">
        <x:v>mobile/lib/features/properties/property_form_sheet.dart</x:v>
      </x:c>
      <x:c r="E990" s="32" t="n">
        <x:v>697</x:v>
      </x:c>
      <x:c r="F990" s="20" t="str">
        <x:v>TextFormField</x:v>
      </x:c>
      <x:c r="G990" s="35" t="str">
        <x:v>_marketRentCtrl</x:v>
      </x:c>
      <x:c r="H990" s="35" t="str">
        <x:v>Market rent</x:v>
      </x:c>
      <x:c r="I990" s="20" t="str">
        <x:v>Applicant / public user</x:v>
      </x:c>
      <x:c r="J990" s="23" t="n">
        <x:v>46717</x:v>
      </x:c>
      <x:c r="K990" s="35" t="str">
        <x:v>valid non-default; boundary/format value; blank/null when optional; invalid value when constrained</x:v>
      </x:c>
      <x:c r="L990" s="35" t="str">
        <x:v>Save succeeds; close/reopen shows the exact normalized value; web reads it where supported; edit persists; validation rejects invalid input without partial mutation.</x:v>
      </x:c>
    </x:row>
    <x:row r="991">
      <x:c r="A991" s="20" t="str">
        <x:v>FLD-0988</x:v>
      </x:c>
      <x:c r="B991" s="20" t="str">
        <x:v>Mobile</x:v>
      </x:c>
      <x:c r="C991" s="35" t="str">
        <x:v>features/properties/property_form_sheet.dart</x:v>
      </x:c>
      <x:c r="D991" s="35" t="str">
        <x:v>mobile/lib/features/properties/property_form_sheet.dart</x:v>
      </x:c>
      <x:c r="E991" s="32" t="n">
        <x:v>711</x:v>
      </x:c>
      <x:c r="F991" s="20" t="str">
        <x:v>TextFormField</x:v>
      </x:c>
      <x:c r="G991" s="35" t="str">
        <x:v>_unitNumbersCtrl</x:v>
      </x:c>
      <x:c r="H991" s="35" t="str">
        <x:v>Unit names or numbers</x:v>
      </x:c>
      <x:c r="I991" s="20" t="str">
        <x:v>Applicant / public user</x:v>
      </x:c>
      <x:c r="J991" s="23" t="n">
        <x:v>46717</x:v>
      </x:c>
      <x:c r="K991" s="35" t="str">
        <x:v>valid non-default; boundary/format value; blank/null when optional; invalid value when constrained</x:v>
      </x:c>
      <x:c r="L991" s="35" t="str">
        <x:v>Save succeeds; close/reopen shows the exact normalized value; web reads it where supported; edit persists; validation rejects invalid input without partial mutation.</x:v>
      </x:c>
    </x:row>
    <x:row r="992">
      <x:c r="A992" s="20" t="str">
        <x:v>FLD-0989</x:v>
      </x:c>
      <x:c r="B992" s="20" t="str">
        <x:v>Mobile</x:v>
      </x:c>
      <x:c r="C992" s="35" t="str">
        <x:v>features/properties/property_form_sheet.dart</x:v>
      </x:c>
      <x:c r="D992" s="35" t="str">
        <x:v>mobile/lib/features/properties/property_form_sheet.dart</x:v>
      </x:c>
      <x:c r="E992" s="32" t="n">
        <x:v>755</x:v>
      </x:c>
      <x:c r="F992" s="20" t="str">
        <x:v>TextFormField</x:v>
      </x:c>
      <x:c r="G992" s="35" t="str">
        <x:v>_address2Ctrl</x:v>
      </x:c>
      <x:c r="H992" s="35" t="str">
        <x:v>Apt / Suite / Unit #</x:v>
      </x:c>
      <x:c r="I992" s="20" t="str">
        <x:v>Applicant / public user</x:v>
      </x:c>
      <x:c r="J992" s="23" t="n">
        <x:v>46720</x:v>
      </x:c>
      <x:c r="K992" s="35" t="str">
        <x:v>valid non-default; boundary/format value; blank/null when optional; invalid value when constrained</x:v>
      </x:c>
      <x:c r="L992" s="35" t="str">
        <x:v>Save succeeds; close/reopen shows the exact normalized value; web reads it where supported; edit persists; validation rejects invalid input without partial mutation.</x:v>
      </x:c>
    </x:row>
    <x:row r="993">
      <x:c r="A993" s="20" t="str">
        <x:v>FLD-0990</x:v>
      </x:c>
      <x:c r="B993" s="20" t="str">
        <x:v>Mobile</x:v>
      </x:c>
      <x:c r="C993" s="35" t="str">
        <x:v>features/properties/property_form_sheet.dart</x:v>
      </x:c>
      <x:c r="D993" s="35" t="str">
        <x:v>mobile/lib/features/properties/property_form_sheet.dart</x:v>
      </x:c>
      <x:c r="E993" s="32" t="n">
        <x:v>764</x:v>
      </x:c>
      <x:c r="F993" s="20" t="str">
        <x:v>TextFormField</x:v>
      </x:c>
      <x:c r="G993" s="35" t="str">
        <x:v>_cityCtrl</x:v>
      </x:c>
      <x:c r="H993" s="35" t="str">
        <x:v>City</x:v>
      </x:c>
      <x:c r="I993" s="20" t="str">
        <x:v>Applicant / public user</x:v>
      </x:c>
      <x:c r="J993" s="23" t="n">
        <x:v>46720</x:v>
      </x:c>
      <x:c r="K993" s="35" t="str">
        <x:v>valid non-default; boundary/format value; blank/null when optional; invalid value when constrained</x:v>
      </x:c>
      <x:c r="L993" s="35" t="str">
        <x:v>Save succeeds; close/reopen shows the exact normalized value; web reads it where supported; edit persists; validation rejects invalid input without partial mutation.</x:v>
      </x:c>
    </x:row>
    <x:row r="994">
      <x:c r="A994" s="20" t="str">
        <x:v>FLD-0991</x:v>
      </x:c>
      <x:c r="B994" s="20" t="str">
        <x:v>Mobile</x:v>
      </x:c>
      <x:c r="C994" s="35" t="str">
        <x:v>features/properties/property_form_sheet.dart</x:v>
      </x:c>
      <x:c r="D994" s="35" t="str">
        <x:v>mobile/lib/features/properties/property_form_sheet.dart</x:v>
      </x:c>
      <x:c r="E994" s="32" t="n">
        <x:v>775</x:v>
      </x:c>
      <x:c r="F994" s="20" t="str">
        <x:v>TextFormField</x:v>
      </x:c>
      <x:c r="G994" s="35" t="str">
        <x:v>_stateCtrl</x:v>
      </x:c>
      <x:c r="H994" s="35" t="str">
        <x:v>State</x:v>
      </x:c>
      <x:c r="I994" s="20" t="str">
        <x:v>Applicant / public user</x:v>
      </x:c>
      <x:c r="J994" s="23" t="n">
        <x:v>46720</x:v>
      </x:c>
      <x:c r="K994" s="35" t="str">
        <x:v>valid non-default; boundary/format value; blank/null when optional; invalid value when constrained</x:v>
      </x:c>
      <x:c r="L994" s="35" t="str">
        <x:v>Save succeeds; close/reopen shows the exact normalized value; web reads it where supported; edit persists; validation rejects invalid input without partial mutation.</x:v>
      </x:c>
    </x:row>
    <x:row r="995">
      <x:c r="A995" s="20" t="str">
        <x:v>FLD-0992</x:v>
      </x:c>
      <x:c r="B995" s="20" t="str">
        <x:v>Mobile</x:v>
      </x:c>
      <x:c r="C995" s="35" t="str">
        <x:v>features/properties/property_form_sheet.dart</x:v>
      </x:c>
      <x:c r="D995" s="35" t="str">
        <x:v>mobile/lib/features/properties/property_form_sheet.dart</x:v>
      </x:c>
      <x:c r="E995" s="32" t="n">
        <x:v>786</x:v>
      </x:c>
      <x:c r="F995" s="20" t="str">
        <x:v>TextFormField</x:v>
      </x:c>
      <x:c r="G995" s="35" t="str">
        <x:v>_zipCtrl</x:v>
      </x:c>
      <x:c r="H995" s="35" t="str">
        <x:v>ZIP</x:v>
      </x:c>
      <x:c r="I995" s="20" t="str">
        <x:v>Applicant / public user</x:v>
      </x:c>
      <x:c r="J995" s="23" t="n">
        <x:v>46720</x:v>
      </x:c>
      <x:c r="K995" s="35" t="str">
        <x:v>valid non-default; boundary/format value; blank/null when optional; invalid value when constrained</x:v>
      </x:c>
      <x:c r="L995" s="35" t="str">
        <x:v>Save succeeds; close/reopen shows the exact normalized value; web reads it where supported; edit persists; validation rejects invalid input without partial mutation.</x:v>
      </x:c>
    </x:row>
    <x:row r="996">
      <x:c r="A996" s="20" t="str">
        <x:v>FLD-0993</x:v>
      </x:c>
      <x:c r="B996" s="20" t="str">
        <x:v>Mobile</x:v>
      </x:c>
      <x:c r="C996" s="35" t="str">
        <x:v>features/properties/property_form_sheet.dart</x:v>
      </x:c>
      <x:c r="D996" s="35" t="str">
        <x:v>mobile/lib/features/properties/property_form_sheet.dart</x:v>
      </x:c>
      <x:c r="E996" s="32" t="n">
        <x:v>805</x:v>
      </x:c>
      <x:c r="F996" s="20" t="str">
        <x:v>TextFormField</x:v>
      </x:c>
      <x:c r="G996" s="35" t="str">
        <x:v>_yearBuiltCtrl</x:v>
      </x:c>
      <x:c r="H996" s="35" t="str">
        <x:v>Year built</x:v>
      </x:c>
      <x:c r="I996" s="20" t="str">
        <x:v>Applicant / public user</x:v>
      </x:c>
      <x:c r="J996" s="23" t="n">
        <x:v>46720</x:v>
      </x:c>
      <x:c r="K996" s="35" t="str">
        <x:v>valid non-default; boundary/format value; blank/null when optional; invalid value when constrained</x:v>
      </x:c>
      <x:c r="L996" s="35" t="str">
        <x:v>Save succeeds; close/reopen shows the exact normalized value; web reads it where supported; edit persists; validation rejects invalid input without partial mutation.</x:v>
      </x:c>
    </x:row>
    <x:row r="997">
      <x:c r="A997" s="20" t="str">
        <x:v>FLD-0994</x:v>
      </x:c>
      <x:c r="B997" s="20" t="str">
        <x:v>Mobile</x:v>
      </x:c>
      <x:c r="C997" s="35" t="str">
        <x:v>features/properties/property_form_sheet.dart</x:v>
      </x:c>
      <x:c r="D997" s="35" t="str">
        <x:v>mobile/lib/features/properties/property_form_sheet.dart</x:v>
      </x:c>
      <x:c r="E997" s="32" t="n">
        <x:v>815</x:v>
      </x:c>
      <x:c r="F997" s="20" t="str">
        <x:v>TextFormField</x:v>
      </x:c>
      <x:c r="G997" s="35" t="str">
        <x:v>_managementFeeCtrl</x:v>
      </x:c>
      <x:c r="H997" s="35" t="str">
        <x:v>Management fee %</x:v>
      </x:c>
      <x:c r="I997" s="20" t="str">
        <x:v>Applicant / public user</x:v>
      </x:c>
      <x:c r="J997" s="23" t="n">
        <x:v>46721</x:v>
      </x:c>
      <x:c r="K997" s="35" t="str">
        <x:v>valid non-default; boundary/format value; blank/null when optional; invalid value when constrained</x:v>
      </x:c>
      <x:c r="L997" s="35" t="str">
        <x:v>Save succeeds; close/reopen shows the exact normalized value; web reads it where supported; edit persists; validation rejects invalid input without partial mutation.</x:v>
      </x:c>
    </x:row>
    <x:row r="998">
      <x:c r="A998" s="20" t="str">
        <x:v>FLD-0995</x:v>
      </x:c>
      <x:c r="B998" s="20" t="str">
        <x:v>Mobile</x:v>
      </x:c>
      <x:c r="C998" s="35" t="str">
        <x:v>features/properties/property_form_sheet.dart</x:v>
      </x:c>
      <x:c r="D998" s="35" t="str">
        <x:v>mobile/lib/features/properties/property_form_sheet.dart</x:v>
      </x:c>
      <x:c r="E998" s="32" t="n">
        <x:v>829</x:v>
      </x:c>
      <x:c r="F998" s="20" t="str">
        <x:v>TextFormField</x:v>
      </x:c>
      <x:c r="G998" s="35" t="str">
        <x:v>_notesCtrl</x:v>
      </x:c>
      <x:c r="H998" s="35" t="str">
        <x:v>Notes</x:v>
      </x:c>
      <x:c r="I998" s="20" t="str">
        <x:v>Applicant / public user</x:v>
      </x:c>
      <x:c r="J998" s="23" t="n">
        <x:v>46721</x:v>
      </x:c>
      <x:c r="K998" s="35" t="str">
        <x:v>valid non-default; boundary/format value; blank/null when optional; invalid value when constrained</x:v>
      </x:c>
      <x:c r="L998" s="35" t="str">
        <x:v>Save succeeds; close/reopen shows the exact normalized value; web reads it where supported; edit persists; validation rejects invalid input without partial mutation.</x:v>
      </x:c>
    </x:row>
    <x:row r="999">
      <x:c r="A999" s="20" t="str">
        <x:v>FLD-0996</x:v>
      </x:c>
      <x:c r="B999" s="20" t="str">
        <x:v>Mobile</x:v>
      </x:c>
      <x:c r="C999" s="35" t="str">
        <x:v>features/properties/property_form_sheet.dart</x:v>
      </x:c>
      <x:c r="D999" s="35" t="str">
        <x:v>mobile/lib/features/properties/property_form_sheet.dart</x:v>
      </x:c>
      <x:c r="E999" s="32" t="n">
        <x:v>844</x:v>
      </x:c>
      <x:c r="F999" s="20" t="str">
        <x:v>TextFormField</x:v>
      </x:c>
      <x:c r="G999" s="35" t="str">
        <x:v>_purchasePriceCtrl</x:v>
      </x:c>
      <x:c r="H999" s="35" t="str">
        <x:v>Purchase price</x:v>
      </x:c>
      <x:c r="I999" s="20" t="str">
        <x:v>Applicant / public user</x:v>
      </x:c>
      <x:c r="J999" s="23" t="n">
        <x:v>46721</x:v>
      </x:c>
      <x:c r="K999" s="35" t="str">
        <x:v>valid non-default; boundary/format value; blank/null when optional; invalid value when constrained</x:v>
      </x:c>
      <x:c r="L999" s="35" t="str">
        <x:v>Save succeeds; close/reopen shows the exact normalized value; web reads it where supported; edit persists; validation rejects invalid input without partial mutation.</x:v>
      </x:c>
    </x:row>
    <x:row r="1000">
      <x:c r="A1000" s="20" t="str">
        <x:v>FLD-0997</x:v>
      </x:c>
      <x:c r="B1000" s="20" t="str">
        <x:v>Mobile</x:v>
      </x:c>
      <x:c r="C1000" s="35" t="str">
        <x:v>features/properties/property_form_sheet.dart</x:v>
      </x:c>
      <x:c r="D1000" s="35" t="str">
        <x:v>mobile/lib/features/properties/property_form_sheet.dart</x:v>
      </x:c>
      <x:c r="E1000" s="32" t="n">
        <x:v>855</x:v>
      </x:c>
      <x:c r="F1000" s="20" t="str">
        <x:v>TextFormField</x:v>
      </x:c>
      <x:c r="G1000" s="35" t="str">
        <x:v>_landValueCtrl</x:v>
      </x:c>
      <x:c r="H1000" s="35" t="str">
        <x:v>Land value</x:v>
      </x:c>
      <x:c r="I1000" s="20" t="str">
        <x:v>Applicant / public user</x:v>
      </x:c>
      <x:c r="J1000" s="23" t="n">
        <x:v>46721</x:v>
      </x:c>
      <x:c r="K1000" s="35" t="str">
        <x:v>valid non-default; boundary/format value; blank/null when optional; invalid value when constrained</x:v>
      </x:c>
      <x:c r="L1000" s="35" t="str">
        <x:v>Save succeeds; close/reopen shows the exact normalized value; web reads it where supported; edit persists; validation rejects invalid input without partial mutation.</x:v>
      </x:c>
    </x:row>
    <x:row r="1001">
      <x:c r="A1001" s="20" t="str">
        <x:v>FLD-0998</x:v>
      </x:c>
      <x:c r="B1001" s="20" t="str">
        <x:v>Mobile</x:v>
      </x:c>
      <x:c r="C1001" s="35" t="str">
        <x:v>features/properties/property_form_sheet.dart</x:v>
      </x:c>
      <x:c r="D1001" s="35" t="str">
        <x:v>mobile/lib/features/properties/property_form_sheet.dart</x:v>
      </x:c>
      <x:c r="E1001" s="32" t="n">
        <x:v>866</x:v>
      </x:c>
      <x:c r="F1001" s="20" t="str">
        <x:v>TextFormField</x:v>
      </x:c>
      <x:c r="G1001" s="35" t="str">
        <x:v>_inServiceDateCtrl</x:v>
      </x:c>
      <x:c r="H1001" s="35" t="str">
        <x:v>In-service date</x:v>
      </x:c>
      <x:c r="I1001" s="20" t="str">
        <x:v>Applicant / public user</x:v>
      </x:c>
      <x:c r="J1001" s="23" t="n">
        <x:v>46722</x:v>
      </x:c>
      <x:c r="K1001" s="35" t="str">
        <x:v>valid non-default; boundary/format value; blank/null when optional; invalid value when constrained</x:v>
      </x:c>
      <x:c r="L1001" s="35" t="str">
        <x:v>Save succeeds; close/reopen shows the exact normalized value; web reads it where supported; edit persists; validation rejects invalid input without partial mutation.</x:v>
      </x:c>
    </x:row>
    <x:row r="1002">
      <x:c r="A1002" s="20" t="str">
        <x:v>FLD-0999</x:v>
      </x:c>
      <x:c r="B1002" s="20" t="str">
        <x:v>Mobile</x:v>
      </x:c>
      <x:c r="C1002" s="35" t="str">
        <x:v>features/properties/property_form_sheet.dart</x:v>
      </x:c>
      <x:c r="D1002" s="35" t="str">
        <x:v>mobile/lib/features/properties/property_form_sheet.dart</x:v>
      </x:c>
      <x:c r="E1002" s="32" t="n">
        <x:v>878</x:v>
      </x:c>
      <x:c r="F1002" s="20" t="str">
        <x:v>TextFormField</x:v>
      </x:c>
      <x:c r="G1002" s="35" t="str">
        <x:v>_manualDepreciationCtrl</x:v>
      </x:c>
      <x:c r="H1002" s="35" t="str">
        <x:v>Manual annual depreciation</x:v>
      </x:c>
      <x:c r="I1002" s="20" t="str">
        <x:v>Applicant / public user</x:v>
      </x:c>
      <x:c r="J1002" s="23" t="n">
        <x:v>46722</x:v>
      </x:c>
      <x:c r="K1002" s="35" t="str">
        <x:v>valid non-default; boundary/format value; blank/null when optional; invalid value when constrained</x:v>
      </x:c>
      <x:c r="L1002" s="35" t="str">
        <x:v>Save succeeds; close/reopen shows the exact normalized value; web reads it where supported; edit persists; validation rejects invalid input without partial mutation.</x:v>
      </x:c>
    </x:row>
    <x:row r="1003">
      <x:c r="A1003" s="20" t="str">
        <x:v>FLD-1000</x:v>
      </x:c>
      <x:c r="B1003" s="20" t="str">
        <x:v>Mobile</x:v>
      </x:c>
      <x:c r="C1003" s="35" t="str">
        <x:v>features/properties/property_loan_form_sheet.dart</x:v>
      </x:c>
      <x:c r="D1003" s="35" t="str">
        <x:v>mobile/lib/features/properties/property_loan_form_sheet.dart</x:v>
      </x:c>
      <x:c r="E1003" s="32" t="n">
        <x:v>157</x:v>
      </x:c>
      <x:c r="F1003" s="20" t="str">
        <x:v>TextFormField</x:v>
      </x:c>
      <x:c r="G1003" s="35" t="str">
        <x:v>_lenderCtrl</x:v>
      </x:c>
      <x:c r="H1003" s="35" t="str">
        <x:v>Lender</x:v>
      </x:c>
      <x:c r="I1003" s="20" t="str">
        <x:v>Applicant / public user</x:v>
      </x:c>
      <x:c r="J1003" s="23" t="n">
        <x:v>46722</x:v>
      </x:c>
      <x:c r="K1003" s="35" t="str">
        <x:v>valid non-default; boundary/format value; blank/null when optional; invalid value when constrained</x:v>
      </x:c>
      <x:c r="L1003" s="35" t="str">
        <x:v>Save succeeds; close/reopen shows the exact normalized value; web reads it where supported; edit persists; validation rejects invalid input without partial mutation.</x:v>
      </x:c>
    </x:row>
    <x:row r="1004">
      <x:c r="A1004" s="20" t="str">
        <x:v>FLD-1001</x:v>
      </x:c>
      <x:c r="B1004" s="20" t="str">
        <x:v>Mobile</x:v>
      </x:c>
      <x:c r="C1004" s="35" t="str">
        <x:v>features/properties/property_loan_form_sheet.dart</x:v>
      </x:c>
      <x:c r="D1004" s="35" t="str">
        <x:v>mobile/lib/features/properties/property_loan_form_sheet.dart</x:v>
      </x:c>
      <x:c r="E1004" s="32" t="n">
        <x:v>188</x:v>
      </x:c>
      <x:c r="F1004" s="20" t="str">
        <x:v>TextFormField</x:v>
      </x:c>
      <x:c r="G1004" s="35" t="str">
        <x:v>_rateCtrl</x:v>
      </x:c>
      <x:c r="H1004" s="35" t="str">
        <x:v>Interest rate %</x:v>
      </x:c>
      <x:c r="I1004" s="20" t="str">
        <x:v>Applicant / public user</x:v>
      </x:c>
      <x:c r="J1004" s="23" t="n">
        <x:v>46722</x:v>
      </x:c>
      <x:c r="K1004" s="35" t="str">
        <x:v>valid non-default; boundary/format value; blank/null when optional; invalid value when constrained</x:v>
      </x:c>
      <x:c r="L1004" s="35" t="str">
        <x:v>Save succeeds; close/reopen shows the exact normalized value; web reads it where supported; edit persists; validation rejects invalid input without partial mutation.</x:v>
      </x:c>
    </x:row>
    <x:row r="1005">
      <x:c r="A1005" s="20" t="str">
        <x:v>FLD-1002</x:v>
      </x:c>
      <x:c r="B1005" s="20" t="str">
        <x:v>Mobile</x:v>
      </x:c>
      <x:c r="C1005" s="35" t="str">
        <x:v>features/properties/property_loan_form_sheet.dart</x:v>
      </x:c>
      <x:c r="D1005" s="35" t="str">
        <x:v>mobile/lib/features/properties/property_loan_form_sheet.dart</x:v>
      </x:c>
      <x:c r="E1005" s="32" t="n">
        <x:v>200</x:v>
      </x:c>
      <x:c r="F1005" s="20" t="str">
        <x:v>TextFormField</x:v>
      </x:c>
      <x:c r="G1005" s="35" t="str">
        <x:v>_termCtrl</x:v>
      </x:c>
      <x:c r="H1005" s="35" t="str">
        <x:v>Term (months)</x:v>
      </x:c>
      <x:c r="I1005" s="20" t="str">
        <x:v>Applicant / public user</x:v>
      </x:c>
      <x:c r="J1005" s="23" t="n">
        <x:v>46723</x:v>
      </x:c>
      <x:c r="K1005" s="35" t="str">
        <x:v>valid non-default; boundary/format value; blank/null when optional; invalid value when constrained</x:v>
      </x:c>
      <x:c r="L1005" s="35" t="str">
        <x:v>Save succeeds; close/reopen shows the exact normalized value; web reads it where supported; edit persists; validation rejects invalid input without partial mutation.</x:v>
      </x:c>
    </x:row>
    <x:row r="1006">
      <x:c r="A1006" s="20" t="str">
        <x:v>FLD-1003</x:v>
      </x:c>
      <x:c r="B1006" s="20" t="str">
        <x:v>Mobile</x:v>
      </x:c>
      <x:c r="C1006" s="35" t="str">
        <x:v>features/properties/property_loan_form_sheet.dart</x:v>
      </x:c>
      <x:c r="D1006" s="35" t="str">
        <x:v>mobile/lib/features/properties/property_loan_form_sheet.dart</x:v>
      </x:c>
      <x:c r="E1006" s="32" t="n">
        <x:v>210</x:v>
      </x:c>
      <x:c r="F1006" s="20" t="str">
        <x:v>TextFormField</x:v>
      </x:c>
      <x:c r="G1006" s="35" t="str">
        <x:v>_startDateCtrl</x:v>
      </x:c>
      <x:c r="H1006" s="35" t="str">
        <x:v>Start date</x:v>
      </x:c>
      <x:c r="I1006" s="20" t="str">
        <x:v>Applicant / public user</x:v>
      </x:c>
      <x:c r="J1006" s="23" t="n">
        <x:v>46723</x:v>
      </x:c>
      <x:c r="K1006" s="35" t="str">
        <x:v>valid non-default; boundary/format value; blank/null when optional; invalid value when constrained</x:v>
      </x:c>
      <x:c r="L1006" s="35" t="str">
        <x:v>Save succeeds; close/reopen shows the exact normalized value; web reads it where supported; edit persists; validation rejects invalid input without partial mutation.</x:v>
      </x:c>
    </x:row>
    <x:row r="1007">
      <x:c r="A1007" s="20" t="str">
        <x:v>FLD-1004</x:v>
      </x:c>
      <x:c r="B1007" s="20" t="str">
        <x:v>Mobile</x:v>
      </x:c>
      <x:c r="C1007" s="35" t="str">
        <x:v>features/properties/property_loan_form_sheet.dart</x:v>
      </x:c>
      <x:c r="D1007" s="35" t="str">
        <x:v>mobile/lib/features/properties/property_loan_form_sheet.dart</x:v>
      </x:c>
      <x:c r="E1007" s="32" t="n">
        <x:v>223</x:v>
      </x:c>
      <x:c r="F1007" s="20" t="str">
        <x:v>TextFormField</x:v>
      </x:c>
      <x:c r="G1007" s="35" t="str">
        <x:v>_dayDueCtrl</x:v>
      </x:c>
      <x:c r="H1007" s="35" t="str">
        <x:v>Day due</x:v>
      </x:c>
      <x:c r="I1007" s="20" t="str">
        <x:v>Applicant / public user</x:v>
      </x:c>
      <x:c r="J1007" s="23" t="n">
        <x:v>46723</x:v>
      </x:c>
      <x:c r="K1007" s="35" t="str">
        <x:v>valid non-default; boundary/format value; blank/null when optional; invalid value when constrained</x:v>
      </x:c>
      <x:c r="L1007" s="35" t="str">
        <x:v>Save succeeds; close/reopen shows the exact normalized value; web reads it where supported; edit persists; validation rejects invalid input without partial mutation.</x:v>
      </x:c>
    </x:row>
    <x:row r="1008">
      <x:c r="A1008" s="20" t="str">
        <x:v>FLD-1005</x:v>
      </x:c>
      <x:c r="B1008" s="20" t="str">
        <x:v>Mobile</x:v>
      </x:c>
      <x:c r="C1008" s="35" t="str">
        <x:v>features/properties/property_loan_form_sheet.dart</x:v>
      </x:c>
      <x:c r="D1008" s="35" t="str">
        <x:v>mobile/lib/features/properties/property_loan_form_sheet.dart</x:v>
      </x:c>
      <x:c r="E1008" s="32" t="n">
        <x:v>253</x:v>
      </x:c>
      <x:c r="F1008" s="20" t="str">
        <x:v>CheckboxListTile</x:v>
      </x:c>
      <x:c r="G1008" s="35" t="str">
        <x:v>_notesCtrl</x:v>
      </x:c>
      <x:c r="H1008" s="35" t="str">
        <x:v>Status</x:v>
      </x:c>
      <x:c r="I1008" s="20" t="str">
        <x:v>Applicant / public user</x:v>
      </x:c>
      <x:c r="J1008" s="23" t="n">
        <x:v>46723</x:v>
      </x:c>
      <x:c r="K1008" s="35" t="str">
        <x:v>valid non-default; boundary/format value; blank/null when optional; invalid value when constrained</x:v>
      </x:c>
      <x:c r="L1008" s="35" t="str">
        <x:v>Save succeeds; close/reopen shows the exact normalized value; web reads it where supported; edit persists; validation rejects invalid input without partial mutation.</x:v>
      </x:c>
    </x:row>
    <x:row r="1009">
      <x:c r="A1009" s="20" t="str">
        <x:v>FLD-1006</x:v>
      </x:c>
      <x:c r="B1009" s="20" t="str">
        <x:v>Mobile</x:v>
      </x:c>
      <x:c r="C1009" s="35" t="str">
        <x:v>features/properties/property_loan_form_sheet.dart</x:v>
      </x:c>
      <x:c r="D1009" s="35" t="str">
        <x:v>mobile/lib/features/properties/property_loan_form_sheet.dart</x:v>
      </x:c>
      <x:c r="E1009" s="32" t="n">
        <x:v>328</x:v>
      </x:c>
      <x:c r="F1009" s="20" t="str">
        <x:v>TextFormField</x:v>
      </x:c>
      <x:c r="G1009" s="35" t="str">
        <x:v>controller</x:v>
      </x:c>
      <x:c r="H1009" s="35" t="str"/>
      <x:c r="I1009" s="20" t="str">
        <x:v>Applicant / public user</x:v>
      </x:c>
      <x:c r="J1009" s="23" t="n">
        <x:v>46723</x:v>
      </x:c>
      <x:c r="K1009" s="35" t="str">
        <x:v>valid non-default; boundary/format value; blank/null when optional; invalid value when constrained</x:v>
      </x:c>
      <x:c r="L1009" s="35" t="str">
        <x:v>Save succeeds; close/reopen shows the exact normalized value; web reads it where supported; edit persists; validation rejects invalid input without partial mutation.</x:v>
      </x:c>
    </x:row>
    <x:row r="1010">
      <x:c r="A1010" s="20" t="str">
        <x:v>FLD-1007</x:v>
      </x:c>
      <x:c r="B1010" s="20" t="str">
        <x:v>Mobile</x:v>
      </x:c>
      <x:c r="C1010" s="35" t="str">
        <x:v>features/recurring_maintenance/recurring_maintenance_form_screen.dart</x:v>
      </x:c>
      <x:c r="D1010" s="35" t="str">
        <x:v>mobile/lib/features/recurring_maintenance/recurring_maintenance_form_screen.dart</x:v>
      </x:c>
      <x:c r="E1010" s="32" t="n">
        <x:v>179</x:v>
      </x:c>
      <x:c r="F1010" s="20" t="str">
        <x:v>TextFormField</x:v>
      </x:c>
      <x:c r="G1010" s="35" t="str">
        <x:v>_titleCtrl</x:v>
      </x:c>
      <x:c r="H1010" s="35" t="str">
        <x:v>Title</x:v>
      </x:c>
      <x:c r="I1010" s="20" t="str">
        <x:v>Applicant / public user</x:v>
      </x:c>
      <x:c r="J1010" s="23" t="n">
        <x:v>46724</x:v>
      </x:c>
      <x:c r="K1010" s="35" t="str">
        <x:v>valid non-default; boundary/format value; blank/null when optional; invalid value when constrained</x:v>
      </x:c>
      <x:c r="L1010" s="35" t="str">
        <x:v>Save succeeds; close/reopen shows the exact normalized value; web reads it where supported; edit persists; validation rejects invalid input without partial mutation.</x:v>
      </x:c>
    </x:row>
    <x:row r="1011">
      <x:c r="A1011" s="20" t="str">
        <x:v>FLD-1008</x:v>
      </x:c>
      <x:c r="B1011" s="20" t="str">
        <x:v>Mobile</x:v>
      </x:c>
      <x:c r="C1011" s="35" t="str">
        <x:v>features/recurring_maintenance/recurring_maintenance_form_screen.dart</x:v>
      </x:c>
      <x:c r="D1011" s="35" t="str">
        <x:v>mobile/lib/features/recurring_maintenance/recurring_maintenance_form_screen.dart</x:v>
      </x:c>
      <x:c r="E1011" s="32" t="n">
        <x:v>192</x:v>
      </x:c>
      <x:c r="F1011" s="20" t="str">
        <x:v>TextFormField</x:v>
      </x:c>
      <x:c r="G1011" s="35" t="str">
        <x:v>_descCtrl</x:v>
      </x:c>
      <x:c r="H1011" s="35" t="str">
        <x:v>Description (optional)</x:v>
      </x:c>
      <x:c r="I1011" s="20" t="str">
        <x:v>Applicant / public user</x:v>
      </x:c>
      <x:c r="J1011" s="23" t="n">
        <x:v>46724</x:v>
      </x:c>
      <x:c r="K1011" s="35" t="str">
        <x:v>valid non-default; boundary/format value; blank/null when optional; invalid value when constrained</x:v>
      </x:c>
      <x:c r="L1011" s="35" t="str">
        <x:v>Save succeeds; close/reopen shows the exact normalized value; web reads it where supported; edit persists; validation rejects invalid input without partial mutation.</x:v>
      </x:c>
    </x:row>
    <x:row r="1012">
      <x:c r="A1012" s="20" t="str">
        <x:v>FLD-1009</x:v>
      </x:c>
      <x:c r="B1012" s="20" t="str">
        <x:v>Mobile</x:v>
      </x:c>
      <x:c r="C1012" s="35" t="str">
        <x:v>features/recurring_maintenance/recurring_maintenance_form_screen.dart</x:v>
      </x:c>
      <x:c r="D1012" s="35" t="str">
        <x:v>mobile/lib/features/recurring_maintenance/recurring_maintenance_form_screen.dart</x:v>
      </x:c>
      <x:c r="E1012" s="32" t="n">
        <x:v>209</x:v>
      </x:c>
      <x:c r="F1012" s="20" t="str">
        <x:v>DropdownButtonFormField</x:v>
      </x:c>
      <x:c r="G1012" s="35" t="str">
        <x:v>_onPropertyChanged</x:v>
      </x:c>
      <x:c r="H1012" s="35" t="str">
        <x:v>Property</x:v>
      </x:c>
      <x:c r="I1012" s="20" t="str">
        <x:v>Applicant / public user</x:v>
      </x:c>
      <x:c r="J1012" s="23" t="n">
        <x:v>46724</x:v>
      </x:c>
      <x:c r="K1012" s="35" t="str">
        <x:v>valid non-default; boundary/format value; blank/null when optional; invalid value when constrained</x:v>
      </x:c>
      <x:c r="L1012" s="35" t="str">
        <x:v>Save succeeds; close/reopen shows the exact normalized value; web reads it where supported; edit persists; validation rejects invalid input without partial mutation.</x:v>
      </x:c>
    </x:row>
    <x:row r="1013">
      <x:c r="A1013" s="20" t="str">
        <x:v>FLD-1010</x:v>
      </x:c>
      <x:c r="B1013" s="20" t="str">
        <x:v>Mobile</x:v>
      </x:c>
      <x:c r="C1013" s="35" t="str">
        <x:v>features/recurring_maintenance/recurring_maintenance_form_screen.dart</x:v>
      </x:c>
      <x:c r="D1013" s="35" t="str">
        <x:v>mobile/lib/features/recurring_maintenance/recurring_maintenance_form_screen.dart</x:v>
      </x:c>
      <x:c r="E1013" s="32" t="n">
        <x:v>241</x:v>
      </x:c>
      <x:c r="F1013" s="20" t="str">
        <x:v>DropdownButtonFormField</x:v>
      </x:c>
      <x:c r="G1013" s="35" t="str">
        <x:v>Vendor (optional)</x:v>
      </x:c>
      <x:c r="H1013" s="35" t="str">
        <x:v>Vendor (optional)</x:v>
      </x:c>
      <x:c r="I1013" s="20" t="str">
        <x:v>Applicant / public user</x:v>
      </x:c>
      <x:c r="J1013" s="23" t="n">
        <x:v>46724</x:v>
      </x:c>
      <x:c r="K1013" s="35" t="str">
        <x:v>valid non-default; boundary/format value; blank/null when optional; invalid value when constrained</x:v>
      </x:c>
      <x:c r="L1013" s="35" t="str">
        <x:v>Save succeeds; close/reopen shows the exact normalized value; web reads it where supported; edit persists; validation rejects invalid input without partial mutation.</x:v>
      </x:c>
    </x:row>
    <x:row r="1014">
      <x:c r="A1014" s="20" t="str">
        <x:v>FLD-1011</x:v>
      </x:c>
      <x:c r="B1014" s="20" t="str">
        <x:v>Mobile</x:v>
      </x:c>
      <x:c r="C1014" s="35" t="str">
        <x:v>features/recurring_maintenance/recurring_maintenance_form_screen.dart</x:v>
      </x:c>
      <x:c r="D1014" s="35" t="str">
        <x:v>mobile/lib/features/recurring_maintenance/recurring_maintenance_form_screen.dart</x:v>
      </x:c>
      <x:c r="E1014" s="32" t="n">
        <x:v>265</x:v>
      </x:c>
      <x:c r="F1014" s="20" t="str">
        <x:v>DropdownButtonFormField</x:v>
      </x:c>
      <x:c r="G1014" s="35" t="str">
        <x:v>Category (optional)</x:v>
      </x:c>
      <x:c r="H1014" s="35" t="str">
        <x:v>Category (optional)</x:v>
      </x:c>
      <x:c r="I1014" s="20" t="str">
        <x:v>Applicant / public user</x:v>
      </x:c>
      <x:c r="J1014" s="23" t="n">
        <x:v>46727</x:v>
      </x:c>
      <x:c r="K1014" s="35" t="str">
        <x:v>valid non-default; boundary/format value; blank/null when optional; invalid value when constrained</x:v>
      </x:c>
      <x:c r="L1014" s="35" t="str">
        <x:v>Save succeeds; close/reopen shows the exact normalized value; web reads it where supported; edit persists; validation rejects invalid input without partial mutation.</x:v>
      </x:c>
    </x:row>
    <x:row r="1015">
      <x:c r="A1015" s="20" t="str">
        <x:v>FLD-1012</x:v>
      </x:c>
      <x:c r="B1015" s="20" t="str">
        <x:v>Mobile</x:v>
      </x:c>
      <x:c r="C1015" s="35" t="str">
        <x:v>features/recurring_maintenance/recurring_maintenance_form_screen.dart</x:v>
      </x:c>
      <x:c r="D1015" s="35" t="str">
        <x:v>mobile/lib/features/recurring_maintenance/recurring_maintenance_form_screen.dart</x:v>
      </x:c>
      <x:c r="E1015" s="32" t="n">
        <x:v>290</x:v>
      </x:c>
      <x:c r="F1015" s="20" t="str">
        <x:v>DropdownButtonFormField</x:v>
      </x:c>
      <x:c r="G1015" s="35" t="str">
        <x:v>Repeats</x:v>
      </x:c>
      <x:c r="H1015" s="35" t="str">
        <x:v>Repeats</x:v>
      </x:c>
      <x:c r="I1015" s="20" t="str">
        <x:v>Applicant / public user</x:v>
      </x:c>
      <x:c r="J1015" s="23" t="n">
        <x:v>46727</x:v>
      </x:c>
      <x:c r="K1015" s="35" t="str">
        <x:v>valid non-default; boundary/format value; blank/null when optional; invalid value when constrained</x:v>
      </x:c>
      <x:c r="L1015" s="35" t="str">
        <x:v>Save succeeds; close/reopen shows the exact normalized value; web reads it where supported; edit persists; validation rejects invalid input without partial mutation.</x:v>
      </x:c>
    </x:row>
    <x:row r="1016">
      <x:c r="A1016" s="20" t="str">
        <x:v>FLD-1013</x:v>
      </x:c>
      <x:c r="B1016" s="20" t="str">
        <x:v>Mobile</x:v>
      </x:c>
      <x:c r="C1016" s="35" t="str">
        <x:v>features/recurring_maintenance/recurring_maintenance_form_screen.dart</x:v>
      </x:c>
      <x:c r="D1016" s="35" t="str">
        <x:v>mobile/lib/features/recurring_maintenance/recurring_maintenance_form_screen.dart</x:v>
      </x:c>
      <x:c r="E1016" s="32" t="n">
        <x:v>312</x:v>
      </x:c>
      <x:c r="F1016" s="20" t="str">
        <x:v>DropdownButtonFormField</x:v>
      </x:c>
      <x:c r="G1016" s="35" t="str">
        <x:v>_estimatedCostCtrl</x:v>
      </x:c>
      <x:c r="H1016" s="35" t="str">
        <x:v>Priority</x:v>
      </x:c>
      <x:c r="I1016" s="20" t="str">
        <x:v>Applicant / public user</x:v>
      </x:c>
      <x:c r="J1016" s="23" t="n">
        <x:v>46727</x:v>
      </x:c>
      <x:c r="K1016" s="35" t="str">
        <x:v>valid non-default; boundary/format value; blank/null when optional; invalid value when constrained</x:v>
      </x:c>
      <x:c r="L1016" s="35" t="str">
        <x:v>Save succeeds; close/reopen shows the exact normalized value; web reads it where supported; edit persists; validation rejects invalid input without partial mutation.</x:v>
      </x:c>
    </x:row>
    <x:row r="1017">
      <x:c r="A1017" s="20" t="str">
        <x:v>FLD-1014</x:v>
      </x:c>
      <x:c r="B1017" s="20" t="str">
        <x:v>Mobile</x:v>
      </x:c>
      <x:c r="C1017" s="35" t="str">
        <x:v>features/recurring_maintenance/recurring_maintenance_form_screen.dart</x:v>
      </x:c>
      <x:c r="D1017" s="35" t="str">
        <x:v>mobile/lib/features/recurring_maintenance/recurring_maintenance_form_screen.dart</x:v>
      </x:c>
      <x:c r="E1017" s="32" t="n">
        <x:v>380</x:v>
      </x:c>
      <x:c r="F1017" s="20" t="str">
        <x:v>SwitchListTile</x:v>
      </x:c>
      <x:c r="G1017" s="35" t="str">
        <x:v>SwitchListTile-9</x:v>
      </x:c>
      <x:c r="H1017" s="35" t="str"/>
      <x:c r="I1017" s="20" t="str">
        <x:v>Applicant / public user</x:v>
      </x:c>
      <x:c r="J1017" s="23" t="n">
        <x:v>46727</x:v>
      </x:c>
      <x:c r="K1017" s="35" t="str">
        <x:v>valid non-default; boundary/format value; blank/null when optional; invalid value when constrained</x:v>
      </x:c>
      <x:c r="L1017" s="35" t="str">
        <x:v>Save succeeds; close/reopen shows the exact normalized value; web reads it where supported; edit persists; validation rejects invalid input without partial mutation.</x:v>
      </x:c>
    </x:row>
    <x:row r="1018">
      <x:c r="A1018" s="20" t="str">
        <x:v>FLD-1015</x:v>
      </x:c>
      <x:c r="B1018" s="20" t="str">
        <x:v>Mobile</x:v>
      </x:c>
      <x:c r="C1018" s="35" t="str">
        <x:v>features/recurring_maintenance/recurring_maintenance_form_screen.dart</x:v>
      </x:c>
      <x:c r="D1018" s="35" t="str">
        <x:v>mobile/lib/features/recurring_maintenance/recurring_maintenance_form_screen.dart</x:v>
      </x:c>
      <x:c r="E1018" s="32" t="n">
        <x:v>489</x:v>
      </x:c>
      <x:c r="F1018" s="20" t="str">
        <x:v>DropdownButtonFormField</x:v>
      </x:c>
      <x:c r="G1018" s="35" t="str">
        <x:v>onChanged</x:v>
      </x:c>
      <x:c r="H1018" s="35" t="str">
        <x:v>Unit (optional)</x:v>
      </x:c>
      <x:c r="I1018" s="20" t="str">
        <x:v>Applicant / public user</x:v>
      </x:c>
      <x:c r="J1018" s="23" t="n">
        <x:v>46727</x:v>
      </x:c>
      <x:c r="K1018" s="35" t="str">
        <x:v>valid non-default; boundary/format value; blank/null when optional; invalid value when constrained</x:v>
      </x:c>
      <x:c r="L1018" s="35" t="str">
        <x:v>Save succeeds; close/reopen shows the exact normalized value; web reads it where supported; edit persists; validation rejects invalid input without partial mutation.</x:v>
      </x:c>
    </x:row>
    <x:row r="1019">
      <x:c r="A1019" s="20" t="str">
        <x:v>FLD-1016</x:v>
      </x:c>
      <x:c r="B1019" s="20" t="str">
        <x:v>Mobile</x:v>
      </x:c>
      <x:c r="C1019" s="35" t="str">
        <x:v>features/recurring_maintenance/recurring_maintenance_list_screen.dart</x:v>
      </x:c>
      <x:c r="D1019" s="35" t="str">
        <x:v>mobile/lib/features/recurring_maintenance/recurring_maintenance_list_screen.dart</x:v>
      </x:c>
      <x:c r="E1019" s="32" t="n">
        <x:v>160</x:v>
      </x:c>
      <x:c r="F1019" s="20" t="str">
        <x:v>SegmentedButton</x:v>
      </x:c>
      <x:c r="G1019" s="35" t="str">
        <x:v>SegmentedButton-1</x:v>
      </x:c>
      <x:c r="H1019" s="35" t="str"/>
      <x:c r="I1019" s="20" t="str">
        <x:v>Applicant / public user</x:v>
      </x:c>
      <x:c r="J1019" s="23" t="n">
        <x:v>46728</x:v>
      </x:c>
      <x:c r="K1019" s="35" t="str">
        <x:v>valid non-default; boundary/format value; blank/null when optional; invalid value when constrained</x:v>
      </x:c>
      <x:c r="L1019" s="35" t="str">
        <x:v>Save succeeds; close/reopen shows the exact normalized value; web reads it where supported; edit persists; validation rejects invalid input without partial mutation.</x:v>
      </x:c>
    </x:row>
    <x:row r="1020">
      <x:c r="A1020" s="20" t="str">
        <x:v>FLD-1017</x:v>
      </x:c>
      <x:c r="B1020" s="20" t="str">
        <x:v>Mobile</x:v>
      </x:c>
      <x:c r="C1020" s="35" t="str">
        <x:v>features/scan/guided_rental_flow.dart</x:v>
      </x:c>
      <x:c r="D1020" s="35" t="str">
        <x:v>mobile/lib/features/scan/guided_rental_flow.dart</x:v>
      </x:c>
      <x:c r="E1020" s="32" t="n">
        <x:v>220</x:v>
      </x:c>
      <x:c r="F1020" s="20" t="str">
        <x:v>TextField</x:v>
      </x:c>
      <x:c r="G1020" s="35" t="str">
        <x:v>c</x:v>
      </x:c>
      <x:c r="H1020" s="35" t="str"/>
      <x:c r="I1020" s="20" t="str">
        <x:v>Applicant / public user</x:v>
      </x:c>
      <x:c r="J1020" s="23" t="n">
        <x:v>46728</x:v>
      </x:c>
      <x:c r="K1020" s="35" t="str">
        <x:v>valid non-default; boundary/format value; blank/null when optional; invalid value when constrained</x:v>
      </x:c>
      <x:c r="L1020" s="35" t="str">
        <x:v>Save succeeds; close/reopen shows the exact normalized value; web reads it where supported; edit persists; validation rejects invalid input without partial mutation.</x:v>
      </x:c>
    </x:row>
    <x:row r="1021">
      <x:c r="A1021" s="20" t="str">
        <x:v>FLD-1018</x:v>
      </x:c>
      <x:c r="B1021" s="20" t="str">
        <x:v>Mobile</x:v>
      </x:c>
      <x:c r="C1021" s="35" t="str">
        <x:v>features/scan/guided_rental_flow.dart</x:v>
      </x:c>
      <x:c r="D1021" s="35" t="str">
        <x:v>mobile/lib/features/scan/guided_rental_flow.dart</x:v>
      </x:c>
      <x:c r="E1021" s="32" t="n">
        <x:v>469</x:v>
      </x:c>
      <x:c r="F1021" s="20" t="str">
        <x:v>SegmentedButton</x:v>
      </x:c>
      <x:c r="G1021" s="35" t="str">
        <x:v>SegmentedButton-2</x:v>
      </x:c>
      <x:c r="H1021" s="35" t="str"/>
      <x:c r="I1021" s="20" t="str">
        <x:v>Applicant / public user</x:v>
      </x:c>
      <x:c r="J1021" s="23" t="n">
        <x:v>46728</x:v>
      </x:c>
      <x:c r="K1021" s="35" t="str">
        <x:v>valid non-default; boundary/format value; blank/null when optional; invalid value when constrained</x:v>
      </x:c>
      <x:c r="L1021" s="35" t="str">
        <x:v>Save succeeds; close/reopen shows the exact normalized value; web reads it where supported; edit persists; validation rejects invalid input without partial mutation.</x:v>
      </x:c>
    </x:row>
    <x:row r="1022">
      <x:c r="A1022" s="20" t="str">
        <x:v>FLD-1019</x:v>
      </x:c>
      <x:c r="B1022" s="20" t="str">
        <x:v>Mobile</x:v>
      </x:c>
      <x:c r="C1022" s="35" t="str">
        <x:v>features/scan/scan_capture.dart</x:v>
      </x:c>
      <x:c r="D1022" s="35" t="str">
        <x:v>mobile/lib/features/scan/scan_capture.dart</x:v>
      </x:c>
      <x:c r="E1022" s="32" t="n">
        <x:v>563</x:v>
      </x:c>
      <x:c r="F1022" s="20" t="str">
        <x:v>DropdownButtonFormField</x:v>
      </x:c>
      <x:c r="G1022" s="35" t="str">
        <x:v>Document type</x:v>
      </x:c>
      <x:c r="H1022" s="35" t="str">
        <x:v>Document type</x:v>
      </x:c>
      <x:c r="I1022" s="20" t="str">
        <x:v>Applicant / public user</x:v>
      </x:c>
      <x:c r="J1022" s="23" t="n">
        <x:v>46728</x:v>
      </x:c>
      <x:c r="K1022" s="35" t="str">
        <x:v>valid non-default; boundary/format value; blank/null when optional; invalid value when constrained</x:v>
      </x:c>
      <x:c r="L1022" s="35" t="str">
        <x:v>Save succeeds; close/reopen shows the exact normalized value; web reads it where supported; edit persists; validation rejects invalid input without partial mutation.</x:v>
      </x:c>
    </x:row>
    <x:row r="1023">
      <x:c r="A1023" s="20" t="str">
        <x:v>FLD-1020</x:v>
      </x:c>
      <x:c r="B1023" s="20" t="str">
        <x:v>Mobile</x:v>
      </x:c>
      <x:c r="C1023" s="35" t="str">
        <x:v>features/scan/scan_capture.dart</x:v>
      </x:c>
      <x:c r="D1023" s="35" t="str">
        <x:v>mobile/lib/features/scan/scan_capture.dart</x:v>
      </x:c>
      <x:c r="E1023" s="32" t="n">
        <x:v>771</x:v>
      </x:c>
      <x:c r="F1023" s="20" t="str">
        <x:v>SegmentedButton</x:v>
      </x:c>
      <x:c r="G1023" s="35" t="str">
        <x:v>_searchController</x:v>
      </x:c>
      <x:c r="H1023" s="35" t="str"/>
      <x:c r="I1023" s="20" t="str">
        <x:v>Applicant / public user</x:v>
      </x:c>
      <x:c r="J1023" s="23" t="n">
        <x:v>46729</x:v>
      </x:c>
      <x:c r="K1023" s="35" t="str">
        <x:v>valid non-default; boundary/format value; blank/null when optional; invalid value when constrained</x:v>
      </x:c>
      <x:c r="L1023" s="35" t="str">
        <x:v>Save succeeds; close/reopen shows the exact normalized value; web reads it where supported; edit persists; validation rejects invalid input without partial mutation.</x:v>
      </x:c>
    </x:row>
    <x:row r="1024">
      <x:c r="A1024" s="20" t="str">
        <x:v>FLD-1021</x:v>
      </x:c>
      <x:c r="B1024" s="20" t="str">
        <x:v>Mobile</x:v>
      </x:c>
      <x:c r="C1024" s="35" t="str">
        <x:v>features/scan/scan_review_screen.dart</x:v>
      </x:c>
      <x:c r="D1024" s="35" t="str">
        <x:v>mobile/lib/features/scan/scan_review_screen.dart</x:v>
      </x:c>
      <x:c r="E1024" s="32" t="n">
        <x:v>799</x:v>
      </x:c>
      <x:c r="F1024" s="20" t="str">
        <x:v>TextField</x:v>
      </x:c>
      <x:c r="G1024" s="35" t="str">
        <x:v>controller</x:v>
      </x:c>
      <x:c r="H1024" s="35" t="str">
        <x:v>Reason (optional)</x:v>
      </x:c>
      <x:c r="I1024" s="20" t="str">
        <x:v>Applicant / public user</x:v>
      </x:c>
      <x:c r="J1024" s="23" t="n">
        <x:v>46729</x:v>
      </x:c>
      <x:c r="K1024" s="35" t="str">
        <x:v>valid non-default; boundary/format value; blank/null when optional; invalid value when constrained</x:v>
      </x:c>
      <x:c r="L1024" s="35" t="str">
        <x:v>Save succeeds; close/reopen shows the exact normalized value; web reads it where supported; edit persists; validation rejects invalid input without partial mutation.</x:v>
      </x:c>
    </x:row>
    <x:row r="1025">
      <x:c r="A1025" s="20" t="str">
        <x:v>FLD-1022</x:v>
      </x:c>
      <x:c r="B1025" s="20" t="str">
        <x:v>Mobile</x:v>
      </x:c>
      <x:c r="C1025" s="35" t="str">
        <x:v>features/scan/scan_review_screen.dart</x:v>
      </x:c>
      <x:c r="D1025" s="35" t="str">
        <x:v>mobile/lib/features/scan/scan_review_screen.dart</x:v>
      </x:c>
      <x:c r="E1025" s="32" t="n">
        <x:v>1676</x:v>
      </x:c>
      <x:c r="F1025" s="20" t="str">
        <x:v>TextField</x:v>
      </x:c>
      <x:c r="G1025" s="35" t="str">
        <x:v>_searchController</x:v>
      </x:c>
      <x:c r="H1025" s="35" t="str">
        <x:v>Search tenant, property, unit, or relationship</x:v>
      </x:c>
      <x:c r="I1025" s="20" t="str">
        <x:v>Applicant / public user</x:v>
      </x:c>
      <x:c r="J1025" s="23" t="n">
        <x:v>46729</x:v>
      </x:c>
      <x:c r="K1025" s="35" t="str">
        <x:v>valid non-default; boundary/format value; blank/null when optional; invalid value when constrained</x:v>
      </x:c>
      <x:c r="L1025" s="35" t="str">
        <x:v>Save succeeds; close/reopen shows the exact normalized value; web reads it where supported; edit persists; validation rejects invalid input without partial mutation.</x:v>
      </x:c>
    </x:row>
    <x:row r="1026">
      <x:c r="A1026" s="20" t="str">
        <x:v>FLD-1023</x:v>
      </x:c>
      <x:c r="B1026" s="20" t="str">
        <x:v>Mobile</x:v>
      </x:c>
      <x:c r="C1026" s="35" t="str">
        <x:v>features/scan/scan_review_screen.dart</x:v>
      </x:c>
      <x:c r="D1026" s="35" t="str">
        <x:v>mobile/lib/features/scan/scan_review_screen.dart</x:v>
      </x:c>
      <x:c r="E1026" s="32" t="n">
        <x:v>1739</x:v>
      </x:c>
      <x:c r="F1026" s="20" t="str">
        <x:v>DropdownButtonFormField</x:v>
      </x:c>
      <x:c r="G1026" s="35" t="str">
        <x:v>DropdownButtonFormField-3</x:v>
      </x:c>
      <x:c r="H1026" s="35" t="str"/>
      <x:c r="I1026" s="20" t="str">
        <x:v>Applicant / public user</x:v>
      </x:c>
      <x:c r="J1026" s="23" t="n">
        <x:v>46729</x:v>
      </x:c>
      <x:c r="K1026" s="35" t="str">
        <x:v>valid non-default; boundary/format value; blank/null when optional; invalid value when constrained</x:v>
      </x:c>
      <x:c r="L1026" s="35" t="str">
        <x:v>Save succeeds; close/reopen shows the exact normalized value; web reads it where supported; edit persists; validation rejects invalid input without partial mutation.</x:v>
      </x:c>
    </x:row>
    <x:row r="1027">
      <x:c r="A1027" s="20" t="str">
        <x:v>FLD-1024</x:v>
      </x:c>
      <x:c r="B1027" s="20" t="str">
        <x:v>Mobile</x:v>
      </x:c>
      <x:c r="C1027" s="35" t="str">
        <x:v>features/scan/scan_review_screen.dart</x:v>
      </x:c>
      <x:c r="D1027" s="35" t="str">
        <x:v>mobile/lib/features/scan/scan_review_screen.dart</x:v>
      </x:c>
      <x:c r="E1027" s="32" t="n">
        <x:v>2076</x:v>
      </x:c>
      <x:c r="F1027" s="20" t="str">
        <x:v>DropdownButtonFormField</x:v>
      </x:c>
      <x:c r="G1027" s="35" t="str">
        <x:v>widget.onTemplateSelected</x:v>
      </x:c>
      <x:c r="H1027" s="35" t="str">
        <x:v>Lease template</x:v>
      </x:c>
      <x:c r="I1027" s="20" t="str">
        <x:v>Applicant / public user</x:v>
      </x:c>
      <x:c r="J1027" s="23" t="n">
        <x:v>46729</x:v>
      </x:c>
      <x:c r="K1027" s="35" t="str">
        <x:v>valid non-default; boundary/format value; blank/null when optional; invalid value when constrained</x:v>
      </x:c>
      <x:c r="L1027" s="35" t="str">
        <x:v>Save succeeds; close/reopen shows the exact normalized value; web reads it where supported; edit persists; validation rejects invalid input without partial mutation.</x:v>
      </x:c>
    </x:row>
    <x:row r="1028">
      <x:c r="A1028" s="20" t="str">
        <x:v>FLD-1025</x:v>
      </x:c>
      <x:c r="B1028" s="20" t="str">
        <x:v>Mobile</x:v>
      </x:c>
      <x:c r="C1028" s="35" t="str">
        <x:v>features/scan/scan_review_screen.dart</x:v>
      </x:c>
      <x:c r="D1028" s="35" t="str">
        <x:v>mobile/lib/features/scan/scan_review_screen.dart</x:v>
      </x:c>
      <x:c r="E1028" s="32" t="n">
        <x:v>2172</x:v>
      </x:c>
      <x:c r="F1028" s="20" t="str">
        <x:v>SegmentedButton</x:v>
      </x:c>
      <x:c r="G1028" s="35" t="str">
        <x:v>SegmentedButton-6</x:v>
      </x:c>
      <x:c r="H1028" s="35" t="str"/>
      <x:c r="I1028" s="20" t="str">
        <x:v>Applicant / public user</x:v>
      </x:c>
      <x:c r="J1028" s="23" t="n">
        <x:v>46730</x:v>
      </x:c>
      <x:c r="K1028" s="35" t="str">
        <x:v>valid non-default; boundary/format value; blank/null when optional; invalid value when constrained</x:v>
      </x:c>
      <x:c r="L1028" s="35" t="str">
        <x:v>Save succeeds; close/reopen shows the exact normalized value; web reads it where supported; edit persists; validation rejects invalid input without partial mutation.</x:v>
      </x:c>
    </x:row>
    <x:row r="1029">
      <x:c r="A1029" s="20" t="str">
        <x:v>FLD-1026</x:v>
      </x:c>
      <x:c r="B1029" s="20" t="str">
        <x:v>Mobile</x:v>
      </x:c>
      <x:c r="C1029" s="35" t="str">
        <x:v>features/scan/scan_review_screen.dart</x:v>
      </x:c>
      <x:c r="D1029" s="35" t="str">
        <x:v>mobile/lib/features/scan/scan_review_screen.dart</x:v>
      </x:c>
      <x:c r="E1029" s="32" t="n">
        <x:v>2220</x:v>
      </x:c>
      <x:c r="F1029" s="20" t="str">
        <x:v>DropdownButtonFormField</x:v>
      </x:c>
      <x:c r="G1029" s="35" t="str">
        <x:v>onTenantSelected</x:v>
      </x:c>
      <x:c r="H1029" s="35" t="str"/>
      <x:c r="I1029" s="20" t="str">
        <x:v>Applicant / public user</x:v>
      </x:c>
      <x:c r="J1029" s="23" t="n">
        <x:v>46730</x:v>
      </x:c>
      <x:c r="K1029" s="35" t="str">
        <x:v>valid non-default; boundary/format value; blank/null when optional; invalid value when constrained</x:v>
      </x:c>
      <x:c r="L1029" s="35" t="str">
        <x:v>Save succeeds; close/reopen shows the exact normalized value; web reads it where supported; edit persists; validation rejects invalid input without partial mutation.</x:v>
      </x:c>
    </x:row>
    <x:row r="1030">
      <x:c r="A1030" s="20" t="str">
        <x:v>FLD-1027</x:v>
      </x:c>
      <x:c r="B1030" s="20" t="str">
        <x:v>Mobile</x:v>
      </x:c>
      <x:c r="C1030" s="35" t="str">
        <x:v>features/scan/scan_review_screen.dart</x:v>
      </x:c>
      <x:c r="D1030" s="35" t="str">
        <x:v>mobile/lib/features/scan/scan_review_screen.dart</x:v>
      </x:c>
      <x:c r="E1030" s="32" t="n">
        <x:v>2464</x:v>
      </x:c>
      <x:c r="F1030" s="20" t="str">
        <x:v>SegmentedButton</x:v>
      </x:c>
      <x:c r="G1030" s="35" t="str">
        <x:v>_addressCtrl</x:v>
      </x:c>
      <x:c r="H1030" s="35" t="str"/>
      <x:c r="I1030" s="20" t="str">
        <x:v>Applicant / public user</x:v>
      </x:c>
      <x:c r="J1030" s="23" t="n">
        <x:v>46730</x:v>
      </x:c>
      <x:c r="K1030" s="35" t="str">
        <x:v>valid non-default; boundary/format value; blank/null when optional; invalid value when constrained</x:v>
      </x:c>
      <x:c r="L1030" s="35" t="str">
        <x:v>Save succeeds; close/reopen shows the exact normalized value; web reads it where supported; edit persists; validation rejects invalid input without partial mutation.</x:v>
      </x:c>
    </x:row>
    <x:row r="1031">
      <x:c r="A1031" s="20" t="str">
        <x:v>FLD-1028</x:v>
      </x:c>
      <x:c r="B1031" s="20" t="str">
        <x:v>Mobile</x:v>
      </x:c>
      <x:c r="C1031" s="35" t="str">
        <x:v>features/scan/scan_review_screen.dart</x:v>
      </x:c>
      <x:c r="D1031" s="35" t="str">
        <x:v>mobile/lib/features/scan/scan_review_screen.dart</x:v>
      </x:c>
      <x:c r="E1031" s="32" t="n">
        <x:v>2614</x:v>
      </x:c>
      <x:c r="F1031" s="20" t="str">
        <x:v>TextFormField</x:v>
      </x:c>
      <x:c r="G1031" s="35" t="str">
        <x:v>_controller</x:v>
      </x:c>
      <x:c r="H1031" s="35" t="str"/>
      <x:c r="I1031" s="20" t="str">
        <x:v>Applicant / public user</x:v>
      </x:c>
      <x:c r="J1031" s="23" t="n">
        <x:v>46730</x:v>
      </x:c>
      <x:c r="K1031" s="35" t="str">
        <x:v>valid non-default; boundary/format value; blank/null when optional; invalid value when constrained</x:v>
      </x:c>
      <x:c r="L1031" s="35" t="str">
        <x:v>Save succeeds; close/reopen shows the exact normalized value; web reads it where supported; edit persists; validation rejects invalid input without partial mutation.</x:v>
      </x:c>
    </x:row>
    <x:row r="1032">
      <x:c r="A1032" s="20" t="str">
        <x:v>FLD-1029</x:v>
      </x:c>
      <x:c r="B1032" s="20" t="str">
        <x:v>Mobile</x:v>
      </x:c>
      <x:c r="C1032" s="35" t="str">
        <x:v>features/scan/scan_review_screen.dart</x:v>
      </x:c>
      <x:c r="D1032" s="35" t="str">
        <x:v>mobile/lib/features/scan/scan_review_screen.dart</x:v>
      </x:c>
      <x:c r="E1032" s="32" t="n">
        <x:v>2842</x:v>
      </x:c>
      <x:c r="F1032" s="20" t="str">
        <x:v>DropdownButtonFormField</x:v>
      </x:c>
      <x:c r="G1032" s="35" t="str">
        <x:v>onPropertySelected</x:v>
      </x:c>
      <x:c r="H1032" s="35" t="str"/>
      <x:c r="I1032" s="20" t="str">
        <x:v>Applicant / public user</x:v>
      </x:c>
      <x:c r="J1032" s="23" t="n">
        <x:v>46731</x:v>
      </x:c>
      <x:c r="K1032" s="35" t="str">
        <x:v>valid non-default; boundary/format value; blank/null when optional; invalid value when constrained</x:v>
      </x:c>
      <x:c r="L1032" s="35" t="str">
        <x:v>Save succeeds; close/reopen shows the exact normalized value; web reads it where supported; edit persists; validation rejects invalid input without partial mutation.</x:v>
      </x:c>
    </x:row>
    <x:row r="1033">
      <x:c r="A1033" s="20" t="str">
        <x:v>FLD-1030</x:v>
      </x:c>
      <x:c r="B1033" s="20" t="str">
        <x:v>Mobile</x:v>
      </x:c>
      <x:c r="C1033" s="35" t="str">
        <x:v>features/scan/scan_review_screen.dart</x:v>
      </x:c>
      <x:c r="D1033" s="35" t="str">
        <x:v>mobile/lib/features/scan/scan_review_screen.dart</x:v>
      </x:c>
      <x:c r="E1033" s="32" t="n">
        <x:v>3479</x:v>
      </x:c>
      <x:c r="F1033" s="20" t="str">
        <x:v>SegmentedButton</x:v>
      </x:c>
      <x:c r="G1033" s="35" t="str">
        <x:v>SegmentedButton-14</x:v>
      </x:c>
      <x:c r="H1033" s="35" t="str"/>
      <x:c r="I1033" s="20" t="str">
        <x:v>Applicant / public user</x:v>
      </x:c>
      <x:c r="J1033" s="23" t="n">
        <x:v>46731</x:v>
      </x:c>
      <x:c r="K1033" s="35" t="str">
        <x:v>valid non-default; boundary/format value; blank/null when optional; invalid value when constrained</x:v>
      </x:c>
      <x:c r="L1033" s="35" t="str">
        <x:v>Save succeeds; close/reopen shows the exact normalized value; web reads it where supported; edit persists; validation rejects invalid input without partial mutation.</x:v>
      </x:c>
    </x:row>
    <x:row r="1034">
      <x:c r="A1034" s="20" t="str">
        <x:v>FLD-1031</x:v>
      </x:c>
      <x:c r="B1034" s="20" t="str">
        <x:v>Mobile</x:v>
      </x:c>
      <x:c r="C1034" s="35" t="str">
        <x:v>features/settings/ai_provider_settings_screen.dart</x:v>
      </x:c>
      <x:c r="D1034" s="35" t="str">
        <x:v>mobile/lib/features/settings/ai_provider_settings_screen.dart</x:v>
      </x:c>
      <x:c r="E1034" s="32" t="n">
        <x:v>182</x:v>
      </x:c>
      <x:c r="F1034" s="20" t="str">
        <x:v>DropdownButtonFormField</x:v>
      </x:c>
      <x:c r="G1034" s="35" t="str">
        <x:v>_modelController</x:v>
      </x:c>
      <x:c r="H1034" s="35" t="str">
        <x:v>Provider</x:v>
      </x:c>
      <x:c r="I1034" s="20" t="str">
        <x:v>Applicant / public user</x:v>
      </x:c>
      <x:c r="J1034" s="23" t="n">
        <x:v>46731</x:v>
      </x:c>
      <x:c r="K1034" s="35" t="str">
        <x:v>valid non-default; boundary/format value; blank/null when optional; invalid value when constrained</x:v>
      </x:c>
      <x:c r="L1034" s="35" t="str">
        <x:v>Save succeeds; close/reopen shows the exact normalized value; web reads it where supported; edit persists; validation rejects invalid input without partial mutation.</x:v>
      </x:c>
    </x:row>
    <x:row r="1035">
      <x:c r="A1035" s="20" t="str">
        <x:v>FLD-1032</x:v>
      </x:c>
      <x:c r="B1035" s="20" t="str">
        <x:v>Mobile</x:v>
      </x:c>
      <x:c r="C1035" s="35" t="str">
        <x:v>features/settings/ai_provider_settings_screen.dart</x:v>
      </x:c>
      <x:c r="D1035" s="35" t="str">
        <x:v>mobile/lib/features/settings/ai_provider_settings_screen.dart</x:v>
      </x:c>
      <x:c r="E1035" s="32" t="n">
        <x:v>204</x:v>
      </x:c>
      <x:c r="F1035" s="20" t="str">
        <x:v>TextField</x:v>
      </x:c>
      <x:c r="G1035" s="35" t="str">
        <x:v>_keyController</x:v>
      </x:c>
      <x:c r="H1035" s="35" t="str">
        <x:v>API key</x:v>
      </x:c>
      <x:c r="I1035" s="20" t="str">
        <x:v>Applicant / public user</x:v>
      </x:c>
      <x:c r="J1035" s="23" t="n">
        <x:v>46731</x:v>
      </x:c>
      <x:c r="K1035" s="35" t="str">
        <x:v>valid non-default; boundary/format value; blank/null when optional; invalid value when constrained</x:v>
      </x:c>
      <x:c r="L1035" s="35" t="str">
        <x:v>Save succeeds; close/reopen shows the exact normalized value; web reads it where supported; edit persists; validation rejects invalid input without partial mutation.</x:v>
      </x:c>
    </x:row>
    <x:row r="1036">
      <x:c r="A1036" s="20" t="str">
        <x:v>FLD-1033</x:v>
      </x:c>
      <x:c r="B1036" s="20" t="str">
        <x:v>Mobile</x:v>
      </x:c>
      <x:c r="C1036" s="35" t="str">
        <x:v>features/settings/change_password_screen.dart</x:v>
      </x:c>
      <x:c r="D1036" s="35" t="str">
        <x:v>mobile/lib/features/settings/change_password_screen.dart</x:v>
      </x:c>
      <x:c r="E1036" s="32" t="n">
        <x:v>90</x:v>
      </x:c>
      <x:c r="F1036" s="20" t="str">
        <x:v>TextFormField</x:v>
      </x:c>
      <x:c r="G1036" s="35" t="str">
        <x:v>_currentController</x:v>
      </x:c>
      <x:c r="H1036" s="35" t="str">
        <x:v>Current password</x:v>
      </x:c>
      <x:c r="I1036" s="20" t="str">
        <x:v>Applicant / public user</x:v>
      </x:c>
      <x:c r="J1036" s="23" t="n">
        <x:v>46731</x:v>
      </x:c>
      <x:c r="K1036" s="35" t="str">
        <x:v>valid non-default; boundary/format value; blank/null when optional; invalid value when constrained</x:v>
      </x:c>
      <x:c r="L1036" s="35" t="str">
        <x:v>Save succeeds; close/reopen shows the exact normalized value; web reads it where supported; edit persists; validation rejects invalid input without partial mutation.</x:v>
      </x:c>
    </x:row>
    <x:row r="1037">
      <x:c r="A1037" s="20" t="str">
        <x:v>FLD-1034</x:v>
      </x:c>
      <x:c r="B1037" s="20" t="str">
        <x:v>Mobile</x:v>
      </x:c>
      <x:c r="C1037" s="35" t="str">
        <x:v>features/settings/change_password_screen.dart</x:v>
      </x:c>
      <x:c r="D1037" s="35" t="str">
        <x:v>mobile/lib/features/settings/change_password_screen.dart</x:v>
      </x:c>
      <x:c r="E1037" s="32" t="n">
        <x:v>114</x:v>
      </x:c>
      <x:c r="F1037" s="20" t="str">
        <x:v>TextFormField</x:v>
      </x:c>
      <x:c r="G1037" s="35" t="str">
        <x:v>_newController</x:v>
      </x:c>
      <x:c r="H1037" s="35" t="str">
        <x:v>New password</x:v>
      </x:c>
      <x:c r="I1037" s="20" t="str">
        <x:v>Applicant / public user</x:v>
      </x:c>
      <x:c r="J1037" s="23" t="n">
        <x:v>46734</x:v>
      </x:c>
      <x:c r="K1037" s="35" t="str">
        <x:v>valid non-default; boundary/format value; blank/null when optional; invalid value when constrained</x:v>
      </x:c>
      <x:c r="L1037" s="35" t="str">
        <x:v>Save succeeds; close/reopen shows the exact normalized value; web reads it where supported; edit persists; validation rejects invalid input without partial mutation.</x:v>
      </x:c>
    </x:row>
    <x:row r="1038">
      <x:c r="A1038" s="20" t="str">
        <x:v>FLD-1035</x:v>
      </x:c>
      <x:c r="B1038" s="20" t="str">
        <x:v>Mobile</x:v>
      </x:c>
      <x:c r="C1038" s="35" t="str">
        <x:v>features/settings/change_password_screen.dart</x:v>
      </x:c>
      <x:c r="D1038" s="35" t="str">
        <x:v>mobile/lib/features/settings/change_password_screen.dart</x:v>
      </x:c>
      <x:c r="E1038" s="32" t="n">
        <x:v>145</x:v>
      </x:c>
      <x:c r="F1038" s="20" t="str">
        <x:v>TextFormField</x:v>
      </x:c>
      <x:c r="G1038" s="35" t="str">
        <x:v>_confirmController</x:v>
      </x:c>
      <x:c r="H1038" s="35" t="str">
        <x:v>Confirm new password</x:v>
      </x:c>
      <x:c r="I1038" s="20" t="str">
        <x:v>Applicant / public user</x:v>
      </x:c>
      <x:c r="J1038" s="23" t="n">
        <x:v>46734</x:v>
      </x:c>
      <x:c r="K1038" s="35" t="str">
        <x:v>valid non-default; boundary/format value; blank/null when optional; invalid value when constrained</x:v>
      </x:c>
      <x:c r="L1038" s="35" t="str">
        <x:v>Save succeeds; close/reopen shows the exact normalized value; web reads it where supported; edit persists; validation rejects invalid input without partial mutation.</x:v>
      </x:c>
    </x:row>
    <x:row r="1039">
      <x:c r="A1039" s="20" t="str">
        <x:v>FLD-1036</x:v>
      </x:c>
      <x:c r="B1039" s="20" t="str">
        <x:v>Mobile</x:v>
      </x:c>
      <x:c r="C1039" s="35" t="str">
        <x:v>features/settings/my_alerts_screen.dart</x:v>
      </x:c>
      <x:c r="D1039" s="35" t="str">
        <x:v>mobile/lib/features/settings/my_alerts_screen.dart</x:v>
      </x:c>
      <x:c r="E1039" s="32" t="n">
        <x:v>173</x:v>
      </x:c>
      <x:c r="F1039" s="20" t="str">
        <x:v>SwitchListTile</x:v>
      </x:c>
      <x:c r="G1039" s="35" t="str">
        <x:v>onChanged</x:v>
      </x:c>
      <x:c r="H1039" s="35" t="str"/>
      <x:c r="I1039" s="20" t="str">
        <x:v>Applicant / public user</x:v>
      </x:c>
      <x:c r="J1039" s="23" t="n">
        <x:v>46734</x:v>
      </x:c>
      <x:c r="K1039" s="35" t="str">
        <x:v>valid non-default; boundary/format value; blank/null when optional; invalid value when constrained</x:v>
      </x:c>
      <x:c r="L1039" s="35" t="str">
        <x:v>Save succeeds; close/reopen shows the exact normalized value; web reads it where supported; edit persists; validation rejects invalid input without partial mutation.</x:v>
      </x:c>
    </x:row>
    <x:row r="1040">
      <x:c r="A1040" s="20" t="str">
        <x:v>FLD-1037</x:v>
      </x:c>
      <x:c r="B1040" s="20" t="str">
        <x:v>Mobile</x:v>
      </x:c>
      <x:c r="C1040" s="35" t="str">
        <x:v>features/settings/team_routing_screen.dart</x:v>
      </x:c>
      <x:c r="D1040" s="35" t="str">
        <x:v>mobile/lib/features/settings/team_routing_screen.dart</x:v>
      </x:c>
      <x:c r="E1040" s="32" t="n">
        <x:v>283</x:v>
      </x:c>
      <x:c r="F1040" s="20" t="str">
        <x:v>SwitchListTile</x:v>
      </x:c>
      <x:c r="G1040" s="35" t="str">
        <x:v>_hour</x:v>
      </x:c>
      <x:c r="H1040" s="35" t="str">
        <x:v>Local send hour (0–23)</x:v>
      </x:c>
      <x:c r="I1040" s="20" t="str">
        <x:v>Applicant / public user</x:v>
      </x:c>
      <x:c r="J1040" s="23" t="n">
        <x:v>46734</x:v>
      </x:c>
      <x:c r="K1040" s="35" t="str">
        <x:v>valid non-default; boundary/format value; blank/null when optional; invalid value when constrained</x:v>
      </x:c>
      <x:c r="L1040" s="35" t="str">
        <x:v>Save succeeds; close/reopen shows the exact normalized value; web reads it where supported; edit persists; validation rejects invalid input without partial mutation.</x:v>
      </x:c>
    </x:row>
    <x:row r="1041">
      <x:c r="A1041" s="20" t="str">
        <x:v>FLD-1038</x:v>
      </x:c>
      <x:c r="B1041" s="20" t="str">
        <x:v>Mobile</x:v>
      </x:c>
      <x:c r="C1041" s="35" t="str">
        <x:v>features/settings/team_routing_screen.dart</x:v>
      </x:c>
      <x:c r="D1041" s="35" t="str">
        <x:v>mobile/lib/features/settings/team_routing_screen.dart</x:v>
      </x:c>
      <x:c r="E1041" s="32" t="n">
        <x:v>298</x:v>
      </x:c>
      <x:c r="F1041" s="20" t="str">
        <x:v>SwitchListTile</x:v>
      </x:c>
      <x:c r="G1041" s="35" t="str">
        <x:v>SwitchListTile-3</x:v>
      </x:c>
      <x:c r="H1041" s="35" t="str"/>
      <x:c r="I1041" s="20" t="str">
        <x:v>Applicant / public user</x:v>
      </x:c>
      <x:c r="J1041" s="23" t="n">
        <x:v>46735</x:v>
      </x:c>
      <x:c r="K1041" s="35" t="str">
        <x:v>valid non-default; boundary/format value; blank/null when optional; invalid value when constrained</x:v>
      </x:c>
      <x:c r="L1041" s="35" t="str">
        <x:v>Save succeeds; close/reopen shows the exact normalized value; web reads it where supported; edit persists; validation rejects invalid input without partial mutation.</x:v>
      </x:c>
    </x:row>
    <x:row r="1042">
      <x:c r="A1042" s="20" t="str">
        <x:v>FLD-1039</x:v>
      </x:c>
      <x:c r="B1042" s="20" t="str">
        <x:v>Mobile</x:v>
      </x:c>
      <x:c r="C1042" s="35" t="str">
        <x:v>features/settings/team_routing_screen.dart</x:v>
      </x:c>
      <x:c r="D1042" s="35" t="str">
        <x:v>mobile/lib/features/settings/team_routing_screen.dart</x:v>
      </x:c>
      <x:c r="E1042" s="32" t="n">
        <x:v>559</x:v>
      </x:c>
      <x:c r="F1042" s="20" t="str">
        <x:v>TextField</x:v>
      </x:c>
      <x:c r="G1042" s="35" t="str">
        <x:v>_searchController</x:v>
      </x:c>
      <x:c r="H1042" s="35" t="str">
        <x:v>Search active team members</x:v>
      </x:c>
      <x:c r="I1042" s="20" t="str">
        <x:v>Applicant / public user</x:v>
      </x:c>
      <x:c r="J1042" s="23" t="n">
        <x:v>46735</x:v>
      </x:c>
      <x:c r="K1042" s="35" t="str">
        <x:v>valid non-default; boundary/format value; blank/null when optional; invalid value when constrained</x:v>
      </x:c>
      <x:c r="L1042" s="35" t="str">
        <x:v>Save succeeds; close/reopen shows the exact normalized value; web reads it where supported; edit persists; validation rejects invalid input without partial mutation.</x:v>
      </x:c>
    </x:row>
    <x:row r="1043">
      <x:c r="A1043" s="20" t="str">
        <x:v>FLD-1040</x:v>
      </x:c>
      <x:c r="B1043" s="20" t="str">
        <x:v>Mobile</x:v>
      </x:c>
      <x:c r="C1043" s="35" t="str">
        <x:v>features/settings/team_routing_screen.dart</x:v>
      </x:c>
      <x:c r="D1043" s="35" t="str">
        <x:v>mobile/lib/features/settings/team_routing_screen.dart</x:v>
      </x:c>
      <x:c r="E1043" s="32" t="n">
        <x:v>601</x:v>
      </x:c>
      <x:c r="F1043" s="20" t="str">
        <x:v>SwitchListTile</x:v>
      </x:c>
      <x:c r="G1043" s="35" t="str">
        <x:v>SwitchListTile-5</x:v>
      </x:c>
      <x:c r="H1043" s="35" t="str"/>
      <x:c r="I1043" s="20" t="str">
        <x:v>Applicant / public user</x:v>
      </x:c>
      <x:c r="J1043" s="23" t="n">
        <x:v>46735</x:v>
      </x:c>
      <x:c r="K1043" s="35" t="str">
        <x:v>valid non-default; boundary/format value; blank/null when optional; invalid value when constrained</x:v>
      </x:c>
      <x:c r="L1043" s="35" t="str">
        <x:v>Save succeeds; close/reopen shows the exact normalized value; web reads it where supported; edit persists; validation rejects invalid input without partial mutation.</x:v>
      </x:c>
    </x:row>
    <x:row r="1044">
      <x:c r="A1044" s="20" t="str">
        <x:v>FLD-1041</x:v>
      </x:c>
      <x:c r="B1044" s="20" t="str">
        <x:v>Mobile</x:v>
      </x:c>
      <x:c r="C1044" s="35" t="str">
        <x:v>features/settings/team_routing_screen.dart</x:v>
      </x:c>
      <x:c r="D1044" s="35" t="str">
        <x:v>mobile/lib/features/settings/team_routing_screen.dart</x:v>
      </x:c>
      <x:c r="E1044" s="32" t="n">
        <x:v>705</x:v>
      </x:c>
      <x:c r="F1044" s="20" t="str">
        <x:v>TextFormField</x:v>
      </x:c>
      <x:c r="G1044" s="35" t="str">
        <x:v>onReasonChanged</x:v>
      </x:c>
      <x:c r="H1044" s="35" t="str">
        <x:v>Why this person receives the topic</x:v>
      </x:c>
      <x:c r="I1044" s="20" t="str">
        <x:v>Applicant / public user</x:v>
      </x:c>
      <x:c r="J1044" s="23" t="n">
        <x:v>46735</x:v>
      </x:c>
      <x:c r="K1044" s="35" t="str">
        <x:v>valid non-default; boundary/format value; blank/null when optional; invalid value when constrained</x:v>
      </x:c>
      <x:c r="L1044" s="35" t="str">
        <x:v>Save succeeds; close/reopen shows the exact normalized value; web reads it where supported; edit persists; validation rejects invalid input without partial mutation.</x:v>
      </x:c>
    </x:row>
    <x:row r="1045">
      <x:c r="A1045" s="20" t="str">
        <x:v>FLD-1042</x:v>
      </x:c>
      <x:c r="B1045" s="20" t="str">
        <x:v>Mobile</x:v>
      </x:c>
      <x:c r="C1045" s="35" t="str">
        <x:v>features/settings/tenant_notices_screen.dart</x:v>
      </x:c>
      <x:c r="D1045" s="35" t="str">
        <x:v>mobile/lib/features/settings/tenant_notices_screen.dart</x:v>
      </x:c>
      <x:c r="E1045" s="32" t="n">
        <x:v>357</x:v>
      </x:c>
      <x:c r="F1045" s="20" t="str">
        <x:v>SegmentedButton</x:v>
      </x:c>
      <x:c r="G1045" s="35" t="str">
        <x:v>_leadDays</x:v>
      </x:c>
      <x:c r="H1045" s="35" t="str">
        <x:v>Lead days</x:v>
      </x:c>
      <x:c r="I1045" s="20" t="str">
        <x:v>Tenant</x:v>
      </x:c>
      <x:c r="J1045" s="23" t="n">
        <x:v>46736</x:v>
      </x:c>
      <x:c r="K1045" s="35" t="str">
        <x:v>valid non-default; boundary/format value; blank/null when optional; invalid value when constrained</x:v>
      </x:c>
      <x:c r="L1045" s="35" t="str">
        <x:v>Save succeeds; close/reopen shows the exact normalized value; web reads it where supported; edit persists; validation rejects invalid input without partial mutation.</x:v>
      </x:c>
    </x:row>
    <x:row r="1046">
      <x:c r="A1046" s="20" t="str">
        <x:v>FLD-1043</x:v>
      </x:c>
      <x:c r="B1046" s="20" t="str">
        <x:v>Mobile</x:v>
      </x:c>
      <x:c r="C1046" s="35" t="str">
        <x:v>features/settings/tenant_notices_screen.dart</x:v>
      </x:c>
      <x:c r="D1046" s="35" t="str">
        <x:v>mobile/lib/features/settings/tenant_notices_screen.dart</x:v>
      </x:c>
      <x:c r="E1046" s="32" t="n">
        <x:v>393</x:v>
      </x:c>
      <x:c r="F1046" s="20" t="str">
        <x:v>TextField</x:v>
      </x:c>
      <x:c r="G1046" s="35" t="str">
        <x:v>_sendHour</x:v>
      </x:c>
      <x:c r="H1046" s="35" t="str">
        <x:v>Local send hour</x:v>
      </x:c>
      <x:c r="I1046" s="20" t="str">
        <x:v>Tenant</x:v>
      </x:c>
      <x:c r="J1046" s="23" t="n">
        <x:v>46736</x:v>
      </x:c>
      <x:c r="K1046" s="35" t="str">
        <x:v>valid non-default; boundary/format value; blank/null when optional; invalid value when constrained</x:v>
      </x:c>
      <x:c r="L1046" s="35" t="str">
        <x:v>Save succeeds; close/reopen shows the exact normalized value; web reads it where supported; edit persists; validation rejects invalid input without partial mutation.</x:v>
      </x:c>
    </x:row>
    <x:row r="1047">
      <x:c r="A1047" s="20" t="str">
        <x:v>FLD-1044</x:v>
      </x:c>
      <x:c r="B1047" s="20" t="str">
        <x:v>Mobile</x:v>
      </x:c>
      <x:c r="C1047" s="35" t="str">
        <x:v>features/settings/tenant_notices_screen.dart</x:v>
      </x:c>
      <x:c r="D1047" s="35" t="str">
        <x:v>mobile/lib/features/settings/tenant_notices_screen.dart</x:v>
      </x:c>
      <x:c r="E1047" s="32" t="n">
        <x:v>459</x:v>
      </x:c>
      <x:c r="F1047" s="20" t="str">
        <x:v>DropdownButtonFormField</x:v>
      </x:c>
      <x:c r="G1047" s="35" t="str">
        <x:v>If delivery cannot complete</x:v>
      </x:c>
      <x:c r="H1047" s="35" t="str">
        <x:v>If delivery cannot complete</x:v>
      </x:c>
      <x:c r="I1047" s="20" t="str">
        <x:v>Tenant</x:v>
      </x:c>
      <x:c r="J1047" s="23" t="n">
        <x:v>46736</x:v>
      </x:c>
      <x:c r="K1047" s="35" t="str">
        <x:v>valid non-default; boundary/format value; blank/null when optional; invalid value when constrained</x:v>
      </x:c>
      <x:c r="L1047" s="35" t="str">
        <x:v>Save succeeds; close/reopen shows the exact normalized value; web reads it where supported; edit persists; validation rejects invalid input without partial mutation.</x:v>
      </x:c>
    </x:row>
    <x:row r="1048">
      <x:c r="A1048" s="20" t="str">
        <x:v>FLD-1045</x:v>
      </x:c>
      <x:c r="B1048" s="20" t="str">
        <x:v>Mobile</x:v>
      </x:c>
      <x:c r="C1048" s="35" t="str">
        <x:v>features/settings/tenant_notices_screen.dart</x:v>
      </x:c>
      <x:c r="D1048" s="35" t="str">
        <x:v>mobile/lib/features/settings/tenant_notices_screen.dart</x:v>
      </x:c>
      <x:c r="E1048" s="32" t="n">
        <x:v>680</x:v>
      </x:c>
      <x:c r="F1048" s="20" t="str">
        <x:v>TextField</x:v>
      </x:c>
      <x:c r="G1048" s="35" t="str">
        <x:v>_subject</x:v>
      </x:c>
      <x:c r="H1048" s="35" t="str">
        <x:v>Subject</x:v>
      </x:c>
      <x:c r="I1048" s="20" t="str">
        <x:v>Tenant</x:v>
      </x:c>
      <x:c r="J1048" s="23" t="n">
        <x:v>46736</x:v>
      </x:c>
      <x:c r="K1048" s="35" t="str">
        <x:v>valid non-default; boundary/format value; blank/null when optional; invalid value when constrained</x:v>
      </x:c>
      <x:c r="L1048" s="35" t="str">
        <x:v>Save succeeds; close/reopen shows the exact normalized value; web reads it where supported; edit persists; validation rejects invalid input without partial mutation.</x:v>
      </x:c>
    </x:row>
    <x:row r="1049">
      <x:c r="A1049" s="20" t="str">
        <x:v>FLD-1046</x:v>
      </x:c>
      <x:c r="B1049" s="20" t="str">
        <x:v>Mobile</x:v>
      </x:c>
      <x:c r="C1049" s="35" t="str">
        <x:v>features/settings/tenant_notices_screen.dart</x:v>
      </x:c>
      <x:c r="D1049" s="35" t="str">
        <x:v>mobile/lib/features/settings/tenant_notices_screen.dart</x:v>
      </x:c>
      <x:c r="E1049" s="32" t="n">
        <x:v>685</x:v>
      </x:c>
      <x:c r="F1049" s="20" t="str">
        <x:v>TextField</x:v>
      </x:c>
      <x:c r="G1049" s="35" t="str">
        <x:v>_body</x:v>
      </x:c>
      <x:c r="H1049" s="35" t="str">
        <x:v>Message</x:v>
      </x:c>
      <x:c r="I1049" s="20" t="str">
        <x:v>Tenant</x:v>
      </x:c>
      <x:c r="J1049" s="23" t="n">
        <x:v>46736</x:v>
      </x:c>
      <x:c r="K1049" s="35" t="str">
        <x:v>valid non-default; boundary/format value; blank/null when optional; invalid value when constrained</x:v>
      </x:c>
      <x:c r="L1049" s="35" t="str">
        <x:v>Save succeeds; close/reopen shows the exact normalized value; web reads it where supported; edit persists; validation rejects invalid input without partial mutation.</x:v>
      </x:c>
    </x:row>
    <x:row r="1050">
      <x:c r="A1050" s="20" t="str">
        <x:v>FLD-1047</x:v>
      </x:c>
      <x:c r="B1050" s="20" t="str">
        <x:v>Mobile</x:v>
      </x:c>
      <x:c r="C1050" s="35" t="str">
        <x:v>features/settings/tenant_notices_screen.dart</x:v>
      </x:c>
      <x:c r="D1050" s="35" t="str">
        <x:v>mobile/lib/features/settings/tenant_notices_screen.dart</x:v>
      </x:c>
      <x:c r="E1050" s="32" t="n">
        <x:v>807</x:v>
      </x:c>
      <x:c r="F1050" s="20" t="str">
        <x:v>TextField</x:v>
      </x:c>
      <x:c r="G1050" s="35" t="str">
        <x:v>_testDestination</x:v>
      </x:c>
      <x:c r="H1050" s="35" t="str">
        <x:v>Controlled non-tenant test email</x:v>
      </x:c>
      <x:c r="I1050" s="20" t="str">
        <x:v>Tenant</x:v>
      </x:c>
      <x:c r="J1050" s="23" t="n">
        <x:v>46737</x:v>
      </x:c>
      <x:c r="K1050" s="35" t="str">
        <x:v>valid non-default; boundary/format value; blank/null when optional; invalid value when constrained</x:v>
      </x:c>
      <x:c r="L1050" s="35" t="str">
        <x:v>Save succeeds; close/reopen shows the exact normalized value; web reads it where supported; edit persists; validation rejects invalid input without partial mutation.</x:v>
      </x:c>
    </x:row>
    <x:row r="1051">
      <x:c r="A1051" s="20" t="str">
        <x:v>FLD-1048</x:v>
      </x:c>
      <x:c r="B1051" s="20" t="str">
        <x:v>Mobile</x:v>
      </x:c>
      <x:c r="C1051" s="35" t="str">
        <x:v>features/settings/tenant_notices_screen.dart</x:v>
      </x:c>
      <x:c r="D1051" s="35" t="str">
        <x:v>mobile/lib/features/settings/tenant_notices_screen.dart</x:v>
      </x:c>
      <x:c r="E1051" s="32" t="n">
        <x:v>840</x:v>
      </x:c>
      <x:c r="F1051" s="20" t="str">
        <x:v>TextField</x:v>
      </x:c>
      <x:c r="G1051" s="35" t="str">
        <x:v>_jurisdiction</x:v>
      </x:c>
      <x:c r="H1051" s="35" t="str">
        <x:v>Reviewed jurisdiction</x:v>
      </x:c>
      <x:c r="I1051" s="20" t="str">
        <x:v>Tenant</x:v>
      </x:c>
      <x:c r="J1051" s="23" t="n">
        <x:v>46737</x:v>
      </x:c>
      <x:c r="K1051" s="35" t="str">
        <x:v>valid non-default; boundary/format value; blank/null when optional; invalid value when constrained</x:v>
      </x:c>
      <x:c r="L1051" s="35" t="str">
        <x:v>Save succeeds; close/reopen shows the exact normalized value; web reads it where supported; edit persists; validation rejects invalid input without partial mutation.</x:v>
      </x:c>
    </x:row>
    <x:row r="1052">
      <x:c r="A1052" s="20" t="str">
        <x:v>FLD-1049</x:v>
      </x:c>
      <x:c r="B1052" s="20" t="str">
        <x:v>Mobile</x:v>
      </x:c>
      <x:c r="C1052" s="35" t="str">
        <x:v>features/settings/tenant_notices_screen.dart</x:v>
      </x:c>
      <x:c r="D1052" s="35" t="str">
        <x:v>mobile/lib/features/settings/tenant_notices_screen.dart</x:v>
      </x:c>
      <x:c r="E1052" s="32" t="n">
        <x:v>847</x:v>
      </x:c>
      <x:c r="F1052" s="20" t="str">
        <x:v>CheckboxListTile</x:v>
      </x:c>
      <x:c r="G1052" s="35" t="str">
        <x:v>CheckboxListTile-9</x:v>
      </x:c>
      <x:c r="H1052" s="35" t="str"/>
      <x:c r="I1052" s="20" t="str">
        <x:v>Tenant</x:v>
      </x:c>
      <x:c r="J1052" s="23" t="n">
        <x:v>46737</x:v>
      </x:c>
      <x:c r="K1052" s="35" t="str">
        <x:v>valid non-default; boundary/format value; blank/null when optional; invalid value when constrained</x:v>
      </x:c>
      <x:c r="L1052" s="35" t="str">
        <x:v>Save succeeds; close/reopen shows the exact normalized value; web reads it where supported; edit persists; validation rejects invalid input without partial mutation.</x:v>
      </x:c>
    </x:row>
    <x:row r="1053">
      <x:c r="A1053" s="20" t="str">
        <x:v>FLD-1050</x:v>
      </x:c>
      <x:c r="B1053" s="20" t="str">
        <x:v>Mobile</x:v>
      </x:c>
      <x:c r="C1053" s="35" t="str">
        <x:v>features/settings/tenant_notices_screen.dart</x:v>
      </x:c>
      <x:c r="D1053" s="35" t="str">
        <x:v>mobile/lib/features/settings/tenant_notices_screen.dart</x:v>
      </x:c>
      <x:c r="E1053" s="32" t="n">
        <x:v>1008</x:v>
      </x:c>
      <x:c r="F1053" s="20" t="str">
        <x:v>CheckboxListTile</x:v>
      </x:c>
      <x:c r="G1053" s="35" t="str">
        <x:v>onChanged</x:v>
      </x:c>
      <x:c r="H1053" s="35" t="str"/>
      <x:c r="I1053" s="20" t="str">
        <x:v>Tenant</x:v>
      </x:c>
      <x:c r="J1053" s="23" t="n">
        <x:v>46737</x:v>
      </x:c>
      <x:c r="K1053" s="35" t="str">
        <x:v>valid non-default; boundary/format value; blank/null when optional; invalid value when constrained</x:v>
      </x:c>
      <x:c r="L1053" s="35" t="str">
        <x:v>Save succeeds; close/reopen shows the exact normalized value; web reads it where supported; edit persists; validation rejects invalid input without partial mutation.</x:v>
      </x:c>
    </x:row>
    <x:row r="1054">
      <x:c r="A1054" s="20" t="str">
        <x:v>FLD-1051</x:v>
      </x:c>
      <x:c r="B1054" s="20" t="str">
        <x:v>Mobile</x:v>
      </x:c>
      <x:c r="C1054" s="35" t="str">
        <x:v>features/team/team_screen.dart</x:v>
      </x:c>
      <x:c r="D1054" s="35" t="str">
        <x:v>mobile/lib/features/team/team_screen.dart</x:v>
      </x:c>
      <x:c r="E1054" s="32" t="n">
        <x:v>847</x:v>
      </x:c>
      <x:c r="F1054" s="20" t="str">
        <x:v>CheckboxListTile</x:v>
      </x:c>
      <x:c r="G1054" s="35" t="str">
        <x:v>CheckboxListTile-1</x:v>
      </x:c>
      <x:c r="H1054" s="35" t="str"/>
      <x:c r="I1054" s="20" t="str">
        <x:v>Applicant / public user</x:v>
      </x:c>
      <x:c r="J1054" s="23" t="n">
        <x:v>46738</x:v>
      </x:c>
      <x:c r="K1054" s="35" t="str">
        <x:v>valid non-default; boundary/format value; blank/null when optional; invalid value when constrained</x:v>
      </x:c>
      <x:c r="L1054" s="35" t="str">
        <x:v>Save succeeds; close/reopen shows the exact normalized value; web reads it where supported; edit persists; validation rejects invalid input without partial mutation.</x:v>
      </x:c>
    </x:row>
    <x:row r="1055">
      <x:c r="A1055" s="20" t="str">
        <x:v>FLD-1052</x:v>
      </x:c>
      <x:c r="B1055" s="20" t="str">
        <x:v>Mobile</x:v>
      </x:c>
      <x:c r="C1055" s="35" t="str">
        <x:v>features/team/team_screen.dart</x:v>
      </x:c>
      <x:c r="D1055" s="35" t="str">
        <x:v>mobile/lib/features/team/team_screen.dart</x:v>
      </x:c>
      <x:c r="E1055" s="32" t="n">
        <x:v>1244</x:v>
      </x:c>
      <x:c r="F1055" s="20" t="str">
        <x:v>TextField</x:v>
      </x:c>
      <x:c r="G1055" s="35" t="str">
        <x:v>_nameController</x:v>
      </x:c>
      <x:c r="H1055" s="35" t="str">
        <x:v>Name</x:v>
      </x:c>
      <x:c r="I1055" s="20" t="str">
        <x:v>Applicant / public user</x:v>
      </x:c>
      <x:c r="J1055" s="23" t="n">
        <x:v>46738</x:v>
      </x:c>
      <x:c r="K1055" s="35" t="str">
        <x:v>valid non-default; boundary/format value; blank/null when optional; invalid value when constrained</x:v>
      </x:c>
      <x:c r="L1055" s="35" t="str">
        <x:v>Save succeeds; close/reopen shows the exact normalized value; web reads it where supported; edit persists; validation rejects invalid input without partial mutation.</x:v>
      </x:c>
    </x:row>
    <x:row r="1056">
      <x:c r="A1056" s="20" t="str">
        <x:v>FLD-1053</x:v>
      </x:c>
      <x:c r="B1056" s="20" t="str">
        <x:v>Mobile</x:v>
      </x:c>
      <x:c r="C1056" s="35" t="str">
        <x:v>features/team/team_screen.dart</x:v>
      </x:c>
      <x:c r="D1056" s="35" t="str">
        <x:v>mobile/lib/features/team/team_screen.dart</x:v>
      </x:c>
      <x:c r="E1056" s="32" t="n">
        <x:v>1251</x:v>
      </x:c>
      <x:c r="F1056" s="20" t="str">
        <x:v>TextField</x:v>
      </x:c>
      <x:c r="G1056" s="35" t="str">
        <x:v>_emailController</x:v>
      </x:c>
      <x:c r="H1056" s="35" t="str">
        <x:v>Email</x:v>
      </x:c>
      <x:c r="I1056" s="20" t="str">
        <x:v>Applicant / public user</x:v>
      </x:c>
      <x:c r="J1056" s="23" t="n">
        <x:v>46738</x:v>
      </x:c>
      <x:c r="K1056" s="35" t="str">
        <x:v>valid non-default; boundary/format value; blank/null when optional; invalid value when constrained</x:v>
      </x:c>
      <x:c r="L1056" s="35" t="str">
        <x:v>Save succeeds; close/reopen shows the exact normalized value; web reads it where supported; edit persists; validation rejects invalid input without partial mutation.</x:v>
      </x:c>
    </x:row>
    <x:row r="1057">
      <x:c r="A1057" s="20" t="str">
        <x:v>FLD-1054</x:v>
      </x:c>
      <x:c r="B1057" s="20" t="str">
        <x:v>Mobile</x:v>
      </x:c>
      <x:c r="C1057" s="35" t="str">
        <x:v>features/team/team_screen.dart</x:v>
      </x:c>
      <x:c r="D1057" s="35" t="str">
        <x:v>mobile/lib/features/team/team_screen.dart</x:v>
      </x:c>
      <x:c r="E1057" s="32" t="n">
        <x:v>1342</x:v>
      </x:c>
      <x:c r="F1057" s="20" t="str">
        <x:v>CheckboxListTile</x:v>
      </x:c>
      <x:c r="G1057" s="35" t="str">
        <x:v>CheckboxListTile-4</x:v>
      </x:c>
      <x:c r="H1057" s="35" t="str"/>
      <x:c r="I1057" s="20" t="str">
        <x:v>Applicant / public user</x:v>
      </x:c>
      <x:c r="J1057" s="23" t="n">
        <x:v>46738</x:v>
      </x:c>
      <x:c r="K1057" s="35" t="str">
        <x:v>valid non-default; boundary/format value; blank/null when optional; invalid value when constrained</x:v>
      </x:c>
      <x:c r="L1057" s="35" t="str">
        <x:v>Save succeeds; close/reopen shows the exact normalized value; web reads it where supported; edit persists; validation rejects invalid input without partial mutation.</x:v>
      </x:c>
    </x:row>
    <x:row r="1058">
      <x:c r="A1058" s="20" t="str">
        <x:v>FLD-1055</x:v>
      </x:c>
      <x:c r="B1058" s="20" t="str">
        <x:v>Mobile</x:v>
      </x:c>
      <x:c r="C1058" s="35" t="str">
        <x:v>features/technician/technician_assignment_detail_screen.dart</x:v>
      </x:c>
      <x:c r="D1058" s="35" t="str">
        <x:v>mobile/lib/features/technician/technician_assignment_detail_screen.dart</x:v>
      </x:c>
      <x:c r="E1058" s="32" t="n">
        <x:v>291</x:v>
      </x:c>
      <x:c r="F1058" s="20" t="str">
        <x:v>TextField</x:v>
      </x:c>
      <x:c r="G1058" s="35" t="str">
        <x:v>_statusNoteController</x:v>
      </x:c>
      <x:c r="H1058" s="35" t="str">
        <x:v>Optional progress note</x:v>
      </x:c>
      <x:c r="I1058" s="20" t="str">
        <x:v>Applicant / public user</x:v>
      </x:c>
      <x:c r="J1058" s="23" t="n">
        <x:v>46738</x:v>
      </x:c>
      <x:c r="K1058" s="35" t="str">
        <x:v>valid non-default; boundary/format value; blank/null when optional; invalid value when constrained</x:v>
      </x:c>
      <x:c r="L1058" s="35" t="str">
        <x:v>Save succeeds; close/reopen shows the exact normalized value; web reads it where supported; edit persists; validation rejects invalid input without partial mutation.</x:v>
      </x:c>
    </x:row>
    <x:row r="1059">
      <x:c r="A1059" s="20" t="str">
        <x:v>FLD-1056</x:v>
      </x:c>
      <x:c r="B1059" s="20" t="str">
        <x:v>Mobile</x:v>
      </x:c>
      <x:c r="C1059" s="35" t="str">
        <x:v>features/technician/technician_assignment_detail_screen.dart</x:v>
      </x:c>
      <x:c r="D1059" s="35" t="str">
        <x:v>mobile/lib/features/technician/technician_assignment_detail_screen.dart</x:v>
      </x:c>
      <x:c r="E1059" s="32" t="n">
        <x:v>336</x:v>
      </x:c>
      <x:c r="F1059" s="20" t="str">
        <x:v>SegmentedButton</x:v>
      </x:c>
      <x:c r="G1059" s="35" t="str">
        <x:v>_entryNoteController</x:v>
      </x:c>
      <x:c r="H1059" s="35" t="str"/>
      <x:c r="I1059" s="20" t="str">
        <x:v>Applicant / public user</x:v>
      </x:c>
      <x:c r="J1059" s="23" t="n">
        <x:v>46741</x:v>
      </x:c>
      <x:c r="K1059" s="35" t="str">
        <x:v>valid non-default; boundary/format value; blank/null when optional; invalid value when constrained</x:v>
      </x:c>
      <x:c r="L1059" s="35" t="str">
        <x:v>Save succeeds; close/reopen shows the exact normalized value; web reads it where supported; edit persists; validation rejects invalid input without partial mutation.</x:v>
      </x:c>
    </x:row>
    <x:row r="1060">
      <x:c r="A1060" s="20" t="str">
        <x:v>FLD-1057</x:v>
      </x:c>
      <x:c r="B1060" s="20" t="str">
        <x:v>Mobile</x:v>
      </x:c>
      <x:c r="C1060" s="35" t="str">
        <x:v>features/technician/technician_assignment_detail_screen.dart</x:v>
      </x:c>
      <x:c r="D1060" s="35" t="str">
        <x:v>mobile/lib/features/technician/technician_assignment_detail_screen.dart</x:v>
      </x:c>
      <x:c r="E1060" s="32" t="n">
        <x:v>369</x:v>
      </x:c>
      <x:c r="F1060" s="20" t="str">
        <x:v>TextField</x:v>
      </x:c>
      <x:c r="G1060" s="35" t="str">
        <x:v>_quantityController</x:v>
      </x:c>
      <x:c r="H1060" s="35" t="str">
        <x:v>Quantity</x:v>
      </x:c>
      <x:c r="I1060" s="20" t="str">
        <x:v>Applicant / public user</x:v>
      </x:c>
      <x:c r="J1060" s="23" t="n">
        <x:v>46741</x:v>
      </x:c>
      <x:c r="K1060" s="35" t="str">
        <x:v>valid non-default; boundary/format value; blank/null when optional; invalid value when constrained</x:v>
      </x:c>
      <x:c r="L1060" s="35" t="str">
        <x:v>Save succeeds; close/reopen shows the exact normalized value; web reads it where supported; edit persists; validation rejects invalid input without partial mutation.</x:v>
      </x:c>
    </x:row>
    <x:row r="1061">
      <x:c r="A1061" s="20" t="str">
        <x:v>FLD-1058</x:v>
      </x:c>
      <x:c r="B1061" s="20" t="str">
        <x:v>Mobile</x:v>
      </x:c>
      <x:c r="C1061" s="35" t="str">
        <x:v>features/technician/technician_assignment_detail_screen.dart</x:v>
      </x:c>
      <x:c r="D1061" s="35" t="str">
        <x:v>mobile/lib/features/technician/technician_assignment_detail_screen.dart</x:v>
      </x:c>
      <x:c r="E1061" s="32" t="n">
        <x:v>379</x:v>
      </x:c>
      <x:c r="F1061" s="20" t="str">
        <x:v>TextField</x:v>
      </x:c>
      <x:c r="G1061" s="35" t="str">
        <x:v>_unitController</x:v>
      </x:c>
      <x:c r="H1061" s="35" t="str">
        <x:v>Unit</x:v>
      </x:c>
      <x:c r="I1061" s="20" t="str">
        <x:v>Applicant / public user</x:v>
      </x:c>
      <x:c r="J1061" s="23" t="n">
        <x:v>46741</x:v>
      </x:c>
      <x:c r="K1061" s="35" t="str">
        <x:v>valid non-default; boundary/format value; blank/null when optional; invalid value when constrained</x:v>
      </x:c>
      <x:c r="L1061" s="35" t="str">
        <x:v>Save succeeds; close/reopen shows the exact normalized value; web reads it where supported; edit persists; validation rejects invalid input without partial mutation.</x:v>
      </x:c>
    </x:row>
    <x:row r="1062">
      <x:c r="A1062" s="20" t="str">
        <x:v>FLD-1059</x:v>
      </x:c>
      <x:c r="B1062" s="20" t="str">
        <x:v>Mobile</x:v>
      </x:c>
      <x:c r="C1062" s="35" t="str">
        <x:v>features/technician/technician_assignment_detail_screen.dart</x:v>
      </x:c>
      <x:c r="D1062" s="35" t="str">
        <x:v>mobile/lib/features/technician/technician_assignment_detail_screen.dart</x:v>
      </x:c>
      <x:c r="E1062" s="32" t="n">
        <x:v>502</x:v>
      </x:c>
      <x:c r="F1062" s="20" t="str">
        <x:v>TextField</x:v>
      </x:c>
      <x:c r="G1062" s="35" t="str">
        <x:v>_messageController</x:v>
      </x:c>
      <x:c r="H1062" s="35" t="str">
        <x:v>Message the office or resident</x:v>
      </x:c>
      <x:c r="I1062" s="20" t="str">
        <x:v>Applicant / public user</x:v>
      </x:c>
      <x:c r="J1062" s="23" t="n">
        <x:v>46741</x:v>
      </x:c>
      <x:c r="K1062" s="35" t="str">
        <x:v>valid non-default; boundary/format value; blank/null when optional; invalid value when constrained</x:v>
      </x:c>
      <x:c r="L1062" s="35" t="str">
        <x:v>Save succeeds; close/reopen shows the exact normalized value; web reads it where supported; edit persists; validation rejects invalid input without partial mutation.</x:v>
      </x:c>
    </x:row>
    <x:row r="1063">
      <x:c r="A1063" s="20" t="str">
        <x:v>FLD-1060</x:v>
      </x:c>
      <x:c r="B1063" s="20" t="str">
        <x:v>Mobile</x:v>
      </x:c>
      <x:c r="C1063" s="35" t="str">
        <x:v>features/tenants/tenants_list_screen.dart</x:v>
      </x:c>
      <x:c r="D1063" s="35" t="str">
        <x:v>mobile/lib/features/tenants/tenants_list_screen.dart</x:v>
      </x:c>
      <x:c r="E1063" s="32" t="n">
        <x:v>542</x:v>
      </x:c>
      <x:c r="F1063" s="20" t="str">
        <x:v>TextFormField</x:v>
      </x:c>
      <x:c r="G1063" s="35" t="str">
        <x:v>_firstCtrl</x:v>
      </x:c>
      <x:c r="H1063" s="35" t="str">
        <x:v>First name</x:v>
      </x:c>
      <x:c r="I1063" s="20" t="str">
        <x:v>Applicant / public user</x:v>
      </x:c>
      <x:c r="J1063" s="23" t="n">
        <x:v>46742</x:v>
      </x:c>
      <x:c r="K1063" s="35" t="str">
        <x:v>valid non-default; boundary/format value; blank/null when optional; invalid value when constrained</x:v>
      </x:c>
      <x:c r="L1063" s="35" t="str">
        <x:v>Save succeeds; close/reopen shows the exact normalized value; web reads it where supported; edit persists; validation rejects invalid input without partial mutation.</x:v>
      </x:c>
    </x:row>
    <x:row r="1064">
      <x:c r="A1064" s="20" t="str">
        <x:v>FLD-1061</x:v>
      </x:c>
      <x:c r="B1064" s="20" t="str">
        <x:v>Mobile</x:v>
      </x:c>
      <x:c r="C1064" s="35" t="str">
        <x:v>features/tenants/tenants_list_screen.dart</x:v>
      </x:c>
      <x:c r="D1064" s="35" t="str">
        <x:v>mobile/lib/features/tenants/tenants_list_screen.dart</x:v>
      </x:c>
      <x:c r="E1064" s="32" t="n">
        <x:v>557</x:v>
      </x:c>
      <x:c r="F1064" s="20" t="str">
        <x:v>TextFormField</x:v>
      </x:c>
      <x:c r="G1064" s="35" t="str">
        <x:v>_lastCtrl</x:v>
      </x:c>
      <x:c r="H1064" s="35" t="str">
        <x:v>Last name</x:v>
      </x:c>
      <x:c r="I1064" s="20" t="str">
        <x:v>Applicant / public user</x:v>
      </x:c>
      <x:c r="J1064" s="23" t="n">
        <x:v>46742</x:v>
      </x:c>
      <x:c r="K1064" s="35" t="str">
        <x:v>valid non-default; boundary/format value; blank/null when optional; invalid value when constrained</x:v>
      </x:c>
      <x:c r="L1064" s="35" t="str">
        <x:v>Save succeeds; close/reopen shows the exact normalized value; web reads it where supported; edit persists; validation rejects invalid input without partial mutation.</x:v>
      </x:c>
    </x:row>
    <x:row r="1065">
      <x:c r="A1065" s="20" t="str">
        <x:v>FLD-1062</x:v>
      </x:c>
      <x:c r="B1065" s="20" t="str">
        <x:v>Mobile</x:v>
      </x:c>
      <x:c r="C1065" s="35" t="str">
        <x:v>features/tenants/tenants_list_screen.dart</x:v>
      </x:c>
      <x:c r="D1065" s="35" t="str">
        <x:v>mobile/lib/features/tenants/tenants_list_screen.dart</x:v>
      </x:c>
      <x:c r="E1065" s="32" t="n">
        <x:v>573</x:v>
      </x:c>
      <x:c r="F1065" s="20" t="str">
        <x:v>TextFormField</x:v>
      </x:c>
      <x:c r="G1065" s="35" t="str">
        <x:v>_emailCtrl</x:v>
      </x:c>
      <x:c r="H1065" s="35" t="str">
        <x:v>Email (optional)</x:v>
      </x:c>
      <x:c r="I1065" s="20" t="str">
        <x:v>Applicant / public user</x:v>
      </x:c>
      <x:c r="J1065" s="23" t="n">
        <x:v>46742</x:v>
      </x:c>
      <x:c r="K1065" s="35" t="str">
        <x:v>valid non-default; boundary/format value; blank/null when optional; invalid value when constrained</x:v>
      </x:c>
      <x:c r="L1065" s="35" t="str">
        <x:v>Save succeeds; close/reopen shows the exact normalized value; web reads it where supported; edit persists; validation rejects invalid input without partial mutation.</x:v>
      </x:c>
    </x:row>
    <x:row r="1066">
      <x:c r="A1066" s="20" t="str">
        <x:v>FLD-1063</x:v>
      </x:c>
      <x:c r="B1066" s="20" t="str">
        <x:v>Mobile</x:v>
      </x:c>
      <x:c r="C1066" s="35" t="str">
        <x:v>features/tenants/tenants_list_screen.dart</x:v>
      </x:c>
      <x:c r="D1066" s="35" t="str">
        <x:v>mobile/lib/features/tenants/tenants_list_screen.dart</x:v>
      </x:c>
      <x:c r="E1066" s="32" t="n">
        <x:v>582</x:v>
      </x:c>
      <x:c r="F1066" s="20" t="str">
        <x:v>TextFormField</x:v>
      </x:c>
      <x:c r="G1066" s="35" t="str">
        <x:v>_phoneCtrl</x:v>
      </x:c>
      <x:c r="H1066" s="35" t="str">
        <x:v>Phone (optional)</x:v>
      </x:c>
      <x:c r="I1066" s="20" t="str">
        <x:v>Applicant / public user</x:v>
      </x:c>
      <x:c r="J1066" s="23" t="n">
        <x:v>46742</x:v>
      </x:c>
      <x:c r="K1066" s="35" t="str">
        <x:v>valid non-default; boundary/format value; blank/null when optional; invalid value when constrained</x:v>
      </x:c>
      <x:c r="L1066" s="35" t="str">
        <x:v>Save succeeds; close/reopen shows the exact normalized value; web reads it where supported; edit persists; validation rejects invalid input without partial mutation.</x:v>
      </x:c>
    </x:row>
    <x:row r="1067">
      <x:c r="A1067" s="20" t="str">
        <x:v>FLD-1064</x:v>
      </x:c>
      <x:c r="B1067" s="20" t="str">
        <x:v>Mobile</x:v>
      </x:c>
      <x:c r="C1067" s="35" t="str">
        <x:v>features/tenants/tenants_list_screen.dart</x:v>
      </x:c>
      <x:c r="D1067" s="35" t="str">
        <x:v>mobile/lib/features/tenants/tenants_list_screen.dart</x:v>
      </x:c>
      <x:c r="E1067" s="32" t="n">
        <x:v>598</x:v>
      </x:c>
      <x:c r="F1067" s="20" t="str">
        <x:v>TextFormField</x:v>
      </x:c>
      <x:c r="G1067" s="35" t="str">
        <x:v>_emergencyCtrl</x:v>
      </x:c>
      <x:c r="H1067" s="35" t="str">
        <x:v>Emergency contact (optional)</x:v>
      </x:c>
      <x:c r="I1067" s="20" t="str">
        <x:v>Applicant / public user</x:v>
      </x:c>
      <x:c r="J1067" s="23" t="n">
        <x:v>46742</x:v>
      </x:c>
      <x:c r="K1067" s="35" t="str">
        <x:v>valid non-default; boundary/format value; blank/null when optional; invalid value when constrained</x:v>
      </x:c>
      <x:c r="L1067" s="35" t="str">
        <x:v>Save succeeds; close/reopen shows the exact normalized value; web reads it where supported; edit persists; validation rejects invalid input without partial mutation.</x:v>
      </x:c>
    </x:row>
    <x:row r="1068">
      <x:c r="A1068" s="20" t="str">
        <x:v>FLD-1065</x:v>
      </x:c>
      <x:c r="B1068" s="20" t="str">
        <x:v>Mobile</x:v>
      </x:c>
      <x:c r="C1068" s="35" t="str">
        <x:v>features/units/unit_command_center_screen.dart</x:v>
      </x:c>
      <x:c r="D1068" s="35" t="str">
        <x:v>mobile/lib/features/units/unit_command_center_screen.dart</x:v>
      </x:c>
      <x:c r="E1068" s="32" t="n">
        <x:v>1693</x:v>
      </x:c>
      <x:c r="F1068" s="20" t="str">
        <x:v>TextField</x:v>
      </x:c>
      <x:c r="G1068" s="35" t="str">
        <x:v>controller</x:v>
      </x:c>
      <x:c r="H1068" s="35" t="str"/>
      <x:c r="I1068" s="20" t="str">
        <x:v>Applicant / public user</x:v>
      </x:c>
      <x:c r="J1068" s="23" t="n">
        <x:v>46743</x:v>
      </x:c>
      <x:c r="K1068" s="35" t="str">
        <x:v>valid non-default; boundary/format value; blank/null when optional; invalid value when constrained</x:v>
      </x:c>
      <x:c r="L1068" s="35" t="str">
        <x:v>Save succeeds; close/reopen shows the exact normalized value; web reads it where supported; edit persists; validation rejects invalid input without partial mutation.</x:v>
      </x:c>
    </x:row>
    <x:row r="1069">
      <x:c r="A1069" s="20" t="str">
        <x:v>FLD-1066</x:v>
      </x:c>
      <x:c r="B1069" s="20" t="str">
        <x:v>Mobile</x:v>
      </x:c>
      <x:c r="C1069" s="35" t="str">
        <x:v>features/units/unit_command_center_screen.dart</x:v>
      </x:c>
      <x:c r="D1069" s="35" t="str">
        <x:v>mobile/lib/features/units/unit_command_center_screen.dart</x:v>
      </x:c>
      <x:c r="E1069" s="32" t="n">
        <x:v>1731</x:v>
      </x:c>
      <x:c r="F1069" s="20" t="str">
        <x:v>DropdownButtonFormField</x:v>
      </x:c>
      <x:c r="G1069" s="35" t="str">
        <x:v>DropdownButtonFormField-2</x:v>
      </x:c>
      <x:c r="H1069" s="35" t="str"/>
      <x:c r="I1069" s="20" t="str">
        <x:v>Applicant / public user</x:v>
      </x:c>
      <x:c r="J1069" s="23" t="n">
        <x:v>46743</x:v>
      </x:c>
      <x:c r="K1069" s="35" t="str">
        <x:v>valid non-default; boundary/format value; blank/null when optional; invalid value when constrained</x:v>
      </x:c>
      <x:c r="L1069" s="35" t="str">
        <x:v>Save succeeds; close/reopen shows the exact normalized value; web reads it where supported; edit persists; validation rejects invalid input without partial mutation.</x:v>
      </x:c>
    </x:row>
    <x:row r="1070">
      <x:c r="A1070" s="20" t="str">
        <x:v>FLD-1067</x:v>
      </x:c>
      <x:c r="B1070" s="20" t="str">
        <x:v>Mobile</x:v>
      </x:c>
      <x:c r="C1070" s="35" t="str">
        <x:v>features/units/unit_command_center_screen.dart</x:v>
      </x:c>
      <x:c r="D1070" s="35" t="str">
        <x:v>mobile/lib/features/units/unit_command_center_screen.dart</x:v>
      </x:c>
      <x:c r="E1070" s="32" t="n">
        <x:v>1864</x:v>
      </x:c>
      <x:c r="F1070" s="20" t="str">
        <x:v>CheckboxListTile</x:v>
      </x:c>
      <x:c r="G1070" s="35" t="str">
        <x:v>CheckboxListTile-3</x:v>
      </x:c>
      <x:c r="H1070" s="35" t="str"/>
      <x:c r="I1070" s="20" t="str">
        <x:v>Applicant / public user</x:v>
      </x:c>
      <x:c r="J1070" s="23" t="n">
        <x:v>46743</x:v>
      </x:c>
      <x:c r="K1070" s="35" t="str">
        <x:v>valid non-default; boundary/format value; blank/null when optional; invalid value when constrained</x:v>
      </x:c>
      <x:c r="L1070" s="35" t="str">
        <x:v>Save succeeds; close/reopen shows the exact normalized value; web reads it where supported; edit persists; validation rejects invalid input without partial mutation.</x:v>
      </x:c>
    </x:row>
    <x:row r="1071">
      <x:c r="A1071" s="20" t="str">
        <x:v>FLD-1068</x:v>
      </x:c>
      <x:c r="B1071" s="20" t="str">
        <x:v>Mobile</x:v>
      </x:c>
      <x:c r="C1071" s="35" t="str">
        <x:v>features/units/unit_command_center_screen.dart</x:v>
      </x:c>
      <x:c r="D1071" s="35" t="str">
        <x:v>mobile/lib/features/units/unit_command_center_screen.dart</x:v>
      </x:c>
      <x:c r="E1071" s="32" t="n">
        <x:v>1870</x:v>
      </x:c>
      <x:c r="F1071" s="20" t="str">
        <x:v>CheckboxListTile</x:v>
      </x:c>
      <x:c r="G1071" s="35" t="str">
        <x:v>CheckboxListTile-4</x:v>
      </x:c>
      <x:c r="H1071" s="35" t="str"/>
      <x:c r="I1071" s="20" t="str">
        <x:v>Applicant / public user</x:v>
      </x:c>
      <x:c r="J1071" s="23" t="n">
        <x:v>46743</x:v>
      </x:c>
      <x:c r="K1071" s="35" t="str">
        <x:v>valid non-default; boundary/format value; blank/null when optional; invalid value when constrained</x:v>
      </x:c>
      <x:c r="L1071" s="35" t="str">
        <x:v>Save succeeds; close/reopen shows the exact normalized value; web reads it where supported; edit persists; validation rejects invalid input without partial mutation.</x:v>
      </x:c>
    </x:row>
    <x:row r="1072">
      <x:c r="A1072" s="20" t="str">
        <x:v>FLD-1069</x:v>
      </x:c>
      <x:c r="B1072" s="20" t="str">
        <x:v>Mobile</x:v>
      </x:c>
      <x:c r="C1072" s="35" t="str">
        <x:v>features/units/unit_command_center_screen.dart</x:v>
      </x:c>
      <x:c r="D1072" s="35" t="str">
        <x:v>mobile/lib/features/units/unit_command_center_screen.dart</x:v>
      </x:c>
      <x:c r="E1072" s="32" t="n">
        <x:v>1876</x:v>
      </x:c>
      <x:c r="F1072" s="20" t="str">
        <x:v>CheckboxListTile</x:v>
      </x:c>
      <x:c r="G1072" s="35" t="str">
        <x:v>CheckboxListTile-5</x:v>
      </x:c>
      <x:c r="H1072" s="35" t="str"/>
      <x:c r="I1072" s="20" t="str">
        <x:v>Applicant / public user</x:v>
      </x:c>
      <x:c r="J1072" s="23" t="n">
        <x:v>46744</x:v>
      </x:c>
      <x:c r="K1072" s="35" t="str">
        <x:v>valid non-default; boundary/format value; blank/null when optional; invalid value when constrained</x:v>
      </x:c>
      <x:c r="L1072" s="35" t="str">
        <x:v>Save succeeds; close/reopen shows the exact normalized value; web reads it where supported; edit persists; validation rejects invalid input without partial mutation.</x:v>
      </x:c>
    </x:row>
    <x:row r="1073">
      <x:c r="A1073" s="20" t="str">
        <x:v>FLD-1070</x:v>
      </x:c>
      <x:c r="B1073" s="20" t="str">
        <x:v>Mobile</x:v>
      </x:c>
      <x:c r="C1073" s="35" t="str">
        <x:v>features/units/unit_command_center_screen.dart</x:v>
      </x:c>
      <x:c r="D1073" s="35" t="str">
        <x:v>mobile/lib/features/units/unit_command_center_screen.dart</x:v>
      </x:c>
      <x:c r="E1073" s="32" t="n">
        <x:v>2291</x:v>
      </x:c>
      <x:c r="F1073" s="20" t="str">
        <x:v>TextField</x:v>
      </x:c>
      <x:c r="G1073" s="35" t="str">
        <x:v>_searchController</x:v>
      </x:c>
      <x:c r="H1073" s="35" t="str">
        <x:v>Search applications</x:v>
      </x:c>
      <x:c r="I1073" s="20" t="str">
        <x:v>Applicant / public user</x:v>
      </x:c>
      <x:c r="J1073" s="23" t="n">
        <x:v>46744</x:v>
      </x:c>
      <x:c r="K1073" s="35" t="str">
        <x:v>valid non-default; boundary/format value; blank/null when optional; invalid value when constrained</x:v>
      </x:c>
      <x:c r="L1073" s="35" t="str">
        <x:v>Save succeeds; close/reopen shows the exact normalized value; web reads it where supported; edit persists; validation rejects invalid input without partial mutation.</x:v>
      </x:c>
    </x:row>
    <x:row r="1074">
      <x:c r="A1074" s="20" t="str">
        <x:v>FLD-1071</x:v>
      </x:c>
      <x:c r="B1074" s="20" t="str">
        <x:v>Mobile</x:v>
      </x:c>
      <x:c r="C1074" s="35" t="str">
        <x:v>features/units/unit_command_center_screen.dart</x:v>
      </x:c>
      <x:c r="D1074" s="35" t="str">
        <x:v>mobile/lib/features/units/unit_command_center_screen.dart</x:v>
      </x:c>
      <x:c r="E1074" s="32" t="n">
        <x:v>2929</x:v>
      </x:c>
      <x:c r="F1074" s="20" t="str">
        <x:v>TextField</x:v>
      </x:c>
      <x:c r="G1074" s="35" t="str">
        <x:v>Search Unit inspections</x:v>
      </x:c>
      <x:c r="H1074" s="35" t="str">
        <x:v>Search Unit inspections</x:v>
      </x:c>
      <x:c r="I1074" s="20" t="str">
        <x:v>Applicant / public user</x:v>
      </x:c>
      <x:c r="J1074" s="23" t="n">
        <x:v>46744</x:v>
      </x:c>
      <x:c r="K1074" s="35" t="str">
        <x:v>valid non-default; boundary/format value; blank/null when optional; invalid value when constrained</x:v>
      </x:c>
      <x:c r="L1074" s="35" t="str">
        <x:v>Save succeeds; close/reopen shows the exact normalized value; web reads it where supported; edit persists; validation rejects invalid input without partial mutation.</x:v>
      </x:c>
    </x:row>
    <x:row r="1075">
      <x:c r="A1075" s="20" t="str">
        <x:v>FLD-1072</x:v>
      </x:c>
      <x:c r="B1075" s="20" t="str">
        <x:v>Mobile</x:v>
      </x:c>
      <x:c r="C1075" s="35" t="str">
        <x:v>features/units/unit_command_center_screen.dart</x:v>
      </x:c>
      <x:c r="D1075" s="35" t="str">
        <x:v>mobile/lib/features/units/unit_command_center_screen.dart</x:v>
      </x:c>
      <x:c r="E1075" s="32" t="n">
        <x:v>2940</x:v>
      </x:c>
      <x:c r="F1075" s="20" t="str">
        <x:v>DropdownButtonFormField</x:v>
      </x:c>
      <x:c r="G1075" s="35" t="str">
        <x:v>Sort</x:v>
      </x:c>
      <x:c r="H1075" s="35" t="str">
        <x:v>Sort</x:v>
      </x:c>
      <x:c r="I1075" s="20" t="str">
        <x:v>Applicant / public user</x:v>
      </x:c>
      <x:c r="J1075" s="23" t="n">
        <x:v>46744</x:v>
      </x:c>
      <x:c r="K1075" s="35" t="str">
        <x:v>valid non-default; boundary/format value; blank/null when optional; invalid value when constrained</x:v>
      </x:c>
      <x:c r="L1075" s="35" t="str">
        <x:v>Save succeeds; close/reopen shows the exact normalized value; web reads it where supported; edit persists; validation rejects invalid input without partial mutation.</x:v>
      </x:c>
    </x:row>
    <x:row r="1076">
      <x:c r="A1076" s="20" t="str">
        <x:v>FLD-1073</x:v>
      </x:c>
      <x:c r="B1076" s="20" t="str">
        <x:v>Mobile</x:v>
      </x:c>
      <x:c r="C1076" s="35" t="str">
        <x:v>features/units/unit_command_center_screen.dart</x:v>
      </x:c>
      <x:c r="D1076" s="35" t="str">
        <x:v>mobile/lib/features/units/unit_command_center_screen.dart</x:v>
      </x:c>
      <x:c r="E1076" s="32" t="n">
        <x:v>3035</x:v>
      </x:c>
      <x:c r="F1076" s="20" t="str">
        <x:v>TextField</x:v>
      </x:c>
      <x:c r="G1076" s="35" t="str">
        <x:v>Search Unit recurring maintenance</x:v>
      </x:c>
      <x:c r="H1076" s="35" t="str">
        <x:v>Search Unit recurring maintenance</x:v>
      </x:c>
      <x:c r="I1076" s="20" t="str">
        <x:v>Applicant / public user</x:v>
      </x:c>
      <x:c r="J1076" s="23" t="n">
        <x:v>46744</x:v>
      </x:c>
      <x:c r="K1076" s="35" t="str">
        <x:v>valid non-default; boundary/format value; blank/null when optional; invalid value when constrained</x:v>
      </x:c>
      <x:c r="L1076" s="35" t="str">
        <x:v>Save succeeds; close/reopen shows the exact normalized value; web reads it where supported; edit persists; validation rejects invalid input without partial mutation.</x:v>
      </x:c>
    </x:row>
    <x:row r="1077">
      <x:c r="A1077" s="20" t="str">
        <x:v>FLD-1074</x:v>
      </x:c>
      <x:c r="B1077" s="20" t="str">
        <x:v>Mobile</x:v>
      </x:c>
      <x:c r="C1077" s="35" t="str">
        <x:v>features/units/unit_form_sheet.dart</x:v>
      </x:c>
      <x:c r="D1077" s="35" t="str">
        <x:v>mobile/lib/features/units/unit_form_sheet.dart</x:v>
      </x:c>
      <x:c r="E1077" s="32" t="n">
        <x:v>155</x:v>
      </x:c>
      <x:c r="F1077" s="20" t="str">
        <x:v>TextFormField</x:v>
      </x:c>
      <x:c r="G1077" s="35" t="str">
        <x:v>_numberCtrl</x:v>
      </x:c>
      <x:c r="H1077" s="35" t="str">
        <x:v>Unit number</x:v>
      </x:c>
      <x:c r="I1077" s="20" t="str">
        <x:v>Applicant / public user</x:v>
      </x:c>
      <x:c r="J1077" s="23" t="n">
        <x:v>46745</x:v>
      </x:c>
      <x:c r="K1077" s="35" t="str">
        <x:v>valid non-default; boundary/format value; blank/null when optional; invalid value when constrained</x:v>
      </x:c>
      <x:c r="L1077" s="35" t="str">
        <x:v>Save succeeds; close/reopen shows the exact normalized value; web reads it where supported; edit persists; validation rejects invalid input without partial mutation.</x:v>
      </x:c>
    </x:row>
    <x:row r="1078">
      <x:c r="A1078" s="20" t="str">
        <x:v>FLD-1075</x:v>
      </x:c>
      <x:c r="B1078" s="20" t="str">
        <x:v>Mobile</x:v>
      </x:c>
      <x:c r="C1078" s="35" t="str">
        <x:v>features/units/unit_form_sheet.dart</x:v>
      </x:c>
      <x:c r="D1078" s="35" t="str">
        <x:v>mobile/lib/features/units/unit_form_sheet.dart</x:v>
      </x:c>
      <x:c r="E1078" s="32" t="n">
        <x:v>164</x:v>
      </x:c>
      <x:c r="F1078" s="20" t="str">
        <x:v>TextFormField</x:v>
      </x:c>
      <x:c r="G1078" s="35" t="str">
        <x:v>_floorPlanCtrl</x:v>
      </x:c>
      <x:c r="H1078" s="35" t="str">
        <x:v>Floor plan</x:v>
      </x:c>
      <x:c r="I1078" s="20" t="str">
        <x:v>Applicant / public user</x:v>
      </x:c>
      <x:c r="J1078" s="23" t="n">
        <x:v>46745</x:v>
      </x:c>
      <x:c r="K1078" s="35" t="str">
        <x:v>valid non-default; boundary/format value; blank/null when optional; invalid value when constrained</x:v>
      </x:c>
      <x:c r="L1078" s="35" t="str">
        <x:v>Save succeeds; close/reopen shows the exact normalized value; web reads it where supported; edit persists; validation rejects invalid input without partial mutation.</x:v>
      </x:c>
    </x:row>
    <x:row r="1079">
      <x:c r="A1079" s="20" t="str">
        <x:v>FLD-1076</x:v>
      </x:c>
      <x:c r="B1079" s="20" t="str">
        <x:v>Mobile</x:v>
      </x:c>
      <x:c r="C1079" s="35" t="str">
        <x:v>features/units/unit_form_sheet.dart</x:v>
      </x:c>
      <x:c r="D1079" s="35" t="str">
        <x:v>mobile/lib/features/units/unit_form_sheet.dart</x:v>
      </x:c>
      <x:c r="E1079" s="32" t="n">
        <x:v>173</x:v>
      </x:c>
      <x:c r="F1079" s="20" t="str">
        <x:v>TextFormField</x:v>
      </x:c>
      <x:c r="G1079" s="35" t="str">
        <x:v>_bedsCtrl</x:v>
      </x:c>
      <x:c r="H1079" s="35" t="str">
        <x:v>Beds</x:v>
      </x:c>
      <x:c r="I1079" s="20" t="str">
        <x:v>Applicant / public user</x:v>
      </x:c>
      <x:c r="J1079" s="23" t="n">
        <x:v>46745</x:v>
      </x:c>
      <x:c r="K1079" s="35" t="str">
        <x:v>valid non-default; boundary/format value; blank/null when optional; invalid value when constrained</x:v>
      </x:c>
      <x:c r="L1079" s="35" t="str">
        <x:v>Save succeeds; close/reopen shows the exact normalized value; web reads it where supported; edit persists; validation rejects invalid input without partial mutation.</x:v>
      </x:c>
    </x:row>
    <x:row r="1080">
      <x:c r="A1080" s="20" t="str">
        <x:v>FLD-1077</x:v>
      </x:c>
      <x:c r="B1080" s="20" t="str">
        <x:v>Mobile</x:v>
      </x:c>
      <x:c r="C1080" s="35" t="str">
        <x:v>features/units/unit_form_sheet.dart</x:v>
      </x:c>
      <x:c r="D1080" s="35" t="str">
        <x:v>mobile/lib/features/units/unit_form_sheet.dart</x:v>
      </x:c>
      <x:c r="E1080" s="32" t="n">
        <x:v>185</x:v>
      </x:c>
      <x:c r="F1080" s="20" t="str">
        <x:v>TextFormField</x:v>
      </x:c>
      <x:c r="G1080" s="35" t="str">
        <x:v>_bathsCtrl</x:v>
      </x:c>
      <x:c r="H1080" s="35" t="str">
        <x:v>Baths</x:v>
      </x:c>
      <x:c r="I1080" s="20" t="str">
        <x:v>Applicant / public user</x:v>
      </x:c>
      <x:c r="J1080" s="23" t="n">
        <x:v>46745</x:v>
      </x:c>
      <x:c r="K1080" s="35" t="str">
        <x:v>valid non-default; boundary/format value; blank/null when optional; invalid value when constrained</x:v>
      </x:c>
      <x:c r="L1080" s="35" t="str">
        <x:v>Save succeeds; close/reopen shows the exact normalized value; web reads it where supported; edit persists; validation rejects invalid input without partial mutation.</x:v>
      </x:c>
    </x:row>
    <x:row r="1081">
      <x:c r="A1081" s="20" t="str">
        <x:v>FLD-1078</x:v>
      </x:c>
      <x:c r="B1081" s="20" t="str">
        <x:v>Mobile</x:v>
      </x:c>
      <x:c r="C1081" s="35" t="str">
        <x:v>features/units/unit_form_sheet.dart</x:v>
      </x:c>
      <x:c r="D1081" s="35" t="str">
        <x:v>mobile/lib/features/units/unit_form_sheet.dart</x:v>
      </x:c>
      <x:c r="E1081" s="32" t="n">
        <x:v>201</x:v>
      </x:c>
      <x:c r="F1081" s="20" t="str">
        <x:v>TextFormField</x:v>
      </x:c>
      <x:c r="G1081" s="35" t="str">
        <x:v>_squareFeetCtrl</x:v>
      </x:c>
      <x:c r="H1081" s="35" t="str">
        <x:v>Square feet</x:v>
      </x:c>
      <x:c r="I1081" s="20" t="str">
        <x:v>Applicant / public user</x:v>
      </x:c>
      <x:c r="J1081" s="23" t="n">
        <x:v>46748</x:v>
      </x:c>
      <x:c r="K1081" s="35" t="str">
        <x:v>valid non-default; boundary/format value; blank/null when optional; invalid value when constrained</x:v>
      </x:c>
      <x:c r="L1081" s="35" t="str">
        <x:v>Save succeeds; close/reopen shows the exact normalized value; web reads it where supported; edit persists; validation rejects invalid input without partial mutation.</x:v>
      </x:c>
    </x:row>
    <x:row r="1082">
      <x:c r="A1082" s="20" t="str">
        <x:v>FLD-1079</x:v>
      </x:c>
      <x:c r="B1082" s="20" t="str">
        <x:v>Mobile</x:v>
      </x:c>
      <x:c r="C1082" s="35" t="str">
        <x:v>features/units/unit_form_sheet.dart</x:v>
      </x:c>
      <x:c r="D1082" s="35" t="str">
        <x:v>mobile/lib/features/units/unit_form_sheet.dart</x:v>
      </x:c>
      <x:c r="E1082" s="32" t="n">
        <x:v>219</x:v>
      </x:c>
      <x:c r="F1082" s="20" t="str">
        <x:v>TextFormField</x:v>
      </x:c>
      <x:c r="G1082" s="35" t="str">
        <x:v>_rentCtrl</x:v>
      </x:c>
      <x:c r="H1082" s="35" t="str">
        <x:v>Market rent (\$)</x:v>
      </x:c>
      <x:c r="I1082" s="20" t="str">
        <x:v>Applicant / public user</x:v>
      </x:c>
      <x:c r="J1082" s="23" t="n">
        <x:v>46748</x:v>
      </x:c>
      <x:c r="K1082" s="35" t="str">
        <x:v>valid non-default; boundary/format value; blank/null when optional; invalid value when constrained</x:v>
      </x:c>
      <x:c r="L1082" s="35" t="str">
        <x:v>Save succeeds; close/reopen shows the exact normalized value; web reads it where supported; edit persists; validation rejects invalid input without partial mutation.</x:v>
      </x:c>
    </x:row>
    <x:row r="1083">
      <x:c r="A1083" s="20" t="str">
        <x:v>FLD-1080</x:v>
      </x:c>
      <x:c r="B1083" s="20" t="str">
        <x:v>Mobile</x:v>
      </x:c>
      <x:c r="C1083" s="35" t="str">
        <x:v>features/units/unit_form_sheet.dart</x:v>
      </x:c>
      <x:c r="D1083" s="35" t="str">
        <x:v>mobile/lib/features/units/unit_form_sheet.dart</x:v>
      </x:c>
      <x:c r="E1083" s="32" t="n">
        <x:v>237</x:v>
      </x:c>
      <x:c r="F1083" s="20" t="str">
        <x:v>TextFormField</x:v>
      </x:c>
      <x:c r="G1083" s="35" t="str">
        <x:v>_notesCtrl</x:v>
      </x:c>
      <x:c r="H1083" s="35" t="str">
        <x:v>Notes</x:v>
      </x:c>
      <x:c r="I1083" s="20" t="str">
        <x:v>Applicant / public user</x:v>
      </x:c>
      <x:c r="J1083" s="23" t="n">
        <x:v>46748</x:v>
      </x:c>
      <x:c r="K1083" s="35" t="str">
        <x:v>valid non-default; boundary/format value; blank/null when optional; invalid value when constrained</x:v>
      </x:c>
      <x:c r="L1083" s="35" t="str">
        <x:v>Save succeeds; close/reopen shows the exact normalized value; web reads it where supported; edit persists; validation rejects invalid input without partial mutation.</x:v>
      </x:c>
    </x:row>
    <x:row r="1084">
      <x:c r="A1084" s="20" t="str">
        <x:v>FLD-1081</x:v>
      </x:c>
      <x:c r="B1084" s="20" t="str">
        <x:v>Mobile</x:v>
      </x:c>
      <x:c r="C1084" s="35" t="str">
        <x:v>features/vendors/dispatch_vendor_sheet.dart</x:v>
      </x:c>
      <x:c r="D1084" s="35" t="str">
        <x:v>mobile/lib/features/vendors/dispatch_vendor_sheet.dart</x:v>
      </x:c>
      <x:c r="E1084" s="32" t="n">
        <x:v>157</x:v>
      </x:c>
      <x:c r="F1084" s="20" t="str">
        <x:v>TextField</x:v>
      </x:c>
      <x:c r="G1084" s="35" t="str">
        <x:v>_noteCtrl</x:v>
      </x:c>
      <x:c r="H1084" s="35" t="str">
        <x:v>Note (optional)</x:v>
      </x:c>
      <x:c r="I1084" s="20" t="str">
        <x:v>Applicant / public user</x:v>
      </x:c>
      <x:c r="J1084" s="23" t="n">
        <x:v>46748</x:v>
      </x:c>
      <x:c r="K1084" s="35" t="str">
        <x:v>valid non-default; boundary/format value; blank/null when optional; invalid value when constrained</x:v>
      </x:c>
      <x:c r="L1084" s="35" t="str">
        <x:v>Save succeeds; close/reopen shows the exact normalized value; web reads it where supported; edit persists; validation rejects invalid input without partial mutation.</x:v>
      </x:c>
    </x:row>
    <x:row r="1085">
      <x:c r="A1085" s="20" t="str">
        <x:v>FLD-1082</x:v>
      </x:c>
      <x:c r="B1085" s="20" t="str">
        <x:v>Mobile</x:v>
      </x:c>
      <x:c r="C1085" s="35" t="str">
        <x:v>features/vendors/rate_vendor_sheet.dart</x:v>
      </x:c>
      <x:c r="D1085" s="35" t="str">
        <x:v>mobile/lib/features/vendors/rate_vendor_sheet.dart</x:v>
      </x:c>
      <x:c r="E1085" s="32" t="n">
        <x:v>118</x:v>
      </x:c>
      <x:c r="F1085" s="20" t="str">
        <x:v>TextField</x:v>
      </x:c>
      <x:c r="G1085" s="35" t="str">
        <x:v>_commentCtrl</x:v>
      </x:c>
      <x:c r="H1085" s="35" t="str">
        <x:v>Comment (optional)</x:v>
      </x:c>
      <x:c r="I1085" s="20" t="str">
        <x:v>Applicant / public user</x:v>
      </x:c>
      <x:c r="J1085" s="23" t="n">
        <x:v>46749</x:v>
      </x:c>
      <x:c r="K1085" s="35" t="str">
        <x:v>valid non-default; boundary/format value; blank/null when optional; invalid value when constrained</x:v>
      </x:c>
      <x:c r="L1085" s="35" t="str">
        <x:v>Save succeeds; close/reopen shows the exact normalized value; web reads it where supported; edit persists; validation rejects invalid input without partial mutation.</x:v>
      </x:c>
    </x:row>
    <x:row r="1086">
      <x:c r="A1086" s="20" t="str">
        <x:v>FLD-1083</x:v>
      </x:c>
      <x:c r="B1086" s="20" t="str">
        <x:v>Mobile</x:v>
      </x:c>
      <x:c r="C1086" s="35" t="str">
        <x:v>features/vendors/vendor_form_sheet.dart</x:v>
      </x:c>
      <x:c r="D1086" s="35" t="str">
        <x:v>mobile/lib/features/vendors/vendor_form_sheet.dart</x:v>
      </x:c>
      <x:c r="E1086" s="32" t="n">
        <x:v>154</x:v>
      </x:c>
      <x:c r="F1086" s="20" t="str">
        <x:v>TextFormField</x:v>
      </x:c>
      <x:c r="G1086" s="35" t="str">
        <x:v>_nameCtrl</x:v>
      </x:c>
      <x:c r="H1086" s="35" t="str">
        <x:v>Vendor name</x:v>
      </x:c>
      <x:c r="I1086" s="20" t="str">
        <x:v>Applicant / public user</x:v>
      </x:c>
      <x:c r="J1086" s="23" t="n">
        <x:v>46749</x:v>
      </x:c>
      <x:c r="K1086" s="35" t="str">
        <x:v>valid non-default; boundary/format value; blank/null when optional; invalid value when constrained</x:v>
      </x:c>
      <x:c r="L1086" s="35" t="str">
        <x:v>Save succeeds; close/reopen shows the exact normalized value; web reads it where supported; edit persists; validation rejects invalid input without partial mutation.</x:v>
      </x:c>
    </x:row>
    <x:row r="1087">
      <x:c r="A1087" s="20" t="str">
        <x:v>FLD-1084</x:v>
      </x:c>
      <x:c r="B1087" s="20" t="str">
        <x:v>Mobile</x:v>
      </x:c>
      <x:c r="C1087" s="35" t="str">
        <x:v>features/vendors/vendor_form_sheet.dart</x:v>
      </x:c>
      <x:c r="D1087" s="35" t="str">
        <x:v>mobile/lib/features/vendors/vendor_form_sheet.dart</x:v>
      </x:c>
      <x:c r="E1087" s="32" t="n">
        <x:v>165</x:v>
      </x:c>
      <x:c r="F1087" s="20" t="str">
        <x:v>TextFormField</x:v>
      </x:c>
      <x:c r="G1087" s="35" t="str">
        <x:v>_serviceCtrl</x:v>
      </x:c>
      <x:c r="H1087" s="35" t="str">
        <x:v>Service type</x:v>
      </x:c>
      <x:c r="I1087" s="20" t="str">
        <x:v>Applicant / public user</x:v>
      </x:c>
      <x:c r="J1087" s="23" t="n">
        <x:v>46749</x:v>
      </x:c>
      <x:c r="K1087" s="35" t="str">
        <x:v>valid non-default; boundary/format value; blank/null when optional; invalid value when constrained</x:v>
      </x:c>
      <x:c r="L1087" s="35" t="str">
        <x:v>Save succeeds; close/reopen shows the exact normalized value; web reads it where supported; edit persists; validation rejects invalid input without partial mutation.</x:v>
      </x:c>
    </x:row>
    <x:row r="1088">
      <x:c r="A1088" s="20" t="str">
        <x:v>FLD-1085</x:v>
      </x:c>
      <x:c r="B1088" s="20" t="str">
        <x:v>Mobile</x:v>
      </x:c>
      <x:c r="C1088" s="35" t="str">
        <x:v>features/vendors/vendor_form_sheet.dart</x:v>
      </x:c>
      <x:c r="D1088" s="35" t="str">
        <x:v>mobile/lib/features/vendors/vendor_form_sheet.dart</x:v>
      </x:c>
      <x:c r="E1088" s="32" t="n">
        <x:v>176</x:v>
      </x:c>
      <x:c r="F1088" s="20" t="str">
        <x:v>TextFormField</x:v>
      </x:c>
      <x:c r="G1088" s="35" t="str">
        <x:v>_emailCtrl</x:v>
      </x:c>
      <x:c r="H1088" s="35" t="str">
        <x:v>Email (optional)</x:v>
      </x:c>
      <x:c r="I1088" s="20" t="str">
        <x:v>Applicant / public user</x:v>
      </x:c>
      <x:c r="J1088" s="23" t="n">
        <x:v>46749</x:v>
      </x:c>
      <x:c r="K1088" s="35" t="str">
        <x:v>valid non-default; boundary/format value; blank/null when optional; invalid value when constrained</x:v>
      </x:c>
      <x:c r="L1088" s="35" t="str">
        <x:v>Save succeeds; close/reopen shows the exact normalized value; web reads it where supported; edit persists; validation rejects invalid input without partial mutation.</x:v>
      </x:c>
    </x:row>
    <x:row r="1089">
      <x:c r="A1089" s="20" t="str">
        <x:v>FLD-1086</x:v>
      </x:c>
      <x:c r="B1089" s="20" t="str">
        <x:v>Mobile</x:v>
      </x:c>
      <x:c r="C1089" s="35" t="str">
        <x:v>features/vendors/vendor_form_sheet.dart</x:v>
      </x:c>
      <x:c r="D1089" s="35" t="str">
        <x:v>mobile/lib/features/vendors/vendor_form_sheet.dart</x:v>
      </x:c>
      <x:c r="E1089" s="32" t="n">
        <x:v>191</x:v>
      </x:c>
      <x:c r="F1089" s="20" t="str">
        <x:v>TextFormField</x:v>
      </x:c>
      <x:c r="G1089" s="35" t="str">
        <x:v>_phoneCtrl</x:v>
      </x:c>
      <x:c r="H1089" s="35" t="str">
        <x:v>Phone (optional)</x:v>
      </x:c>
      <x:c r="I1089" s="20" t="str">
        <x:v>Applicant / public user</x:v>
      </x:c>
      <x:c r="J1089" s="23" t="n">
        <x:v>46749</x:v>
      </x:c>
      <x:c r="K1089" s="35" t="str">
        <x:v>valid non-default; boundary/format value; blank/null when optional; invalid value when constrained</x:v>
      </x:c>
      <x:c r="L1089" s="35" t="str">
        <x:v>Save succeeds; close/reopen shows the exact normalized value; web reads it where supported; edit persists; validation rejects invalid input without partial mutation.</x:v>
      </x:c>
    </x:row>
    <x:row r="1090">
      <x:c r="A1090" s="20" t="str">
        <x:v>FLD-1087</x:v>
      </x:c>
      <x:c r="B1090" s="20" t="str">
        <x:v>Mobile</x:v>
      </x:c>
      <x:c r="C1090" s="35" t="str">
        <x:v>features/vendors/vendor_form_sheet.dart</x:v>
      </x:c>
      <x:c r="D1090" s="35" t="str">
        <x:v>mobile/lib/features/vendors/vendor_form_sheet.dart</x:v>
      </x:c>
      <x:c r="E1090" s="32" t="n">
        <x:v>201</x:v>
      </x:c>
      <x:c r="F1090" s="20" t="str">
        <x:v>TextFormField</x:v>
      </x:c>
      <x:c r="G1090" s="35" t="str">
        <x:v>_websiteCtrl</x:v>
      </x:c>
      <x:c r="H1090" s="35" t="str">
        <x:v>Website (optional)</x:v>
      </x:c>
      <x:c r="I1090" s="20" t="str">
        <x:v>Applicant / public user</x:v>
      </x:c>
      <x:c r="J1090" s="23" t="n">
        <x:v>46750</x:v>
      </x:c>
      <x:c r="K1090" s="35" t="str">
        <x:v>valid non-default; boundary/format value; blank/null when optional; invalid value when constrained</x:v>
      </x:c>
      <x:c r="L1090" s="35" t="str">
        <x:v>Save succeeds; close/reopen shows the exact normalized value; web reads it where supported; edit persists; validation rejects invalid input without partial mutation.</x:v>
      </x:c>
    </x:row>
    <x:row r="1091">
      <x:c r="A1091" s="20" t="str">
        <x:v>FLD-1088</x:v>
      </x:c>
      <x:c r="B1091" s="20" t="str">
        <x:v>Mobile</x:v>
      </x:c>
      <x:c r="C1091" s="35" t="str">
        <x:v>features/vendors/vendor_form_sheet.dart</x:v>
      </x:c>
      <x:c r="D1091" s="35" t="str">
        <x:v>mobile/lib/features/vendors/vendor_form_sheet.dart</x:v>
      </x:c>
      <x:c r="E1091" s="32" t="n">
        <x:v>230</x:v>
      </x:c>
      <x:c r="F1091" s="20" t="str">
        <x:v>TextFormField</x:v>
      </x:c>
      <x:c r="G1091" s="35" t="str">
        <x:v>_addressCtrl</x:v>
      </x:c>
      <x:c r="H1091" s="35" t="str">
        <x:v>Address (optional)</x:v>
      </x:c>
      <x:c r="I1091" s="20" t="str">
        <x:v>Applicant / public user</x:v>
      </x:c>
      <x:c r="J1091" s="23" t="n">
        <x:v>46750</x:v>
      </x:c>
      <x:c r="K1091" s="35" t="str">
        <x:v>valid non-default; boundary/format value; blank/null when optional; invalid value when constrained</x:v>
      </x:c>
      <x:c r="L1091" s="35" t="str">
        <x:v>Save succeeds; close/reopen shows the exact normalized value; web reads it where supported; edit persists; validation rejects invalid input without partial mutation.</x:v>
      </x:c>
    </x:row>
    <x:row r="1092">
      <x:c r="A1092" s="20" t="str">
        <x:v>FLD-1089</x:v>
      </x:c>
      <x:c r="B1092" s="20" t="str">
        <x:v>Mobile</x:v>
      </x:c>
      <x:c r="C1092" s="35" t="str">
        <x:v>features/vendors/vendor_form_sheet.dart</x:v>
      </x:c>
      <x:c r="D1092" s="35" t="str">
        <x:v>mobile/lib/features/vendors/vendor_form_sheet.dart</x:v>
      </x:c>
      <x:c r="E1092" s="32" t="n">
        <x:v>240</x:v>
      </x:c>
      <x:c r="F1092" s="20" t="str">
        <x:v>TextFormField</x:v>
      </x:c>
      <x:c r="G1092" s="35" t="str">
        <x:v>_cityCtrl</x:v>
      </x:c>
      <x:c r="H1092" s="35" t="str">
        <x:v>City</x:v>
      </x:c>
      <x:c r="I1092" s="20" t="str">
        <x:v>Applicant / public user</x:v>
      </x:c>
      <x:c r="J1092" s="23" t="n">
        <x:v>46750</x:v>
      </x:c>
      <x:c r="K1092" s="35" t="str">
        <x:v>valid non-default; boundary/format value; blank/null when optional; invalid value when constrained</x:v>
      </x:c>
      <x:c r="L1092" s="35" t="str">
        <x:v>Save succeeds; close/reopen shows the exact normalized value; web reads it where supported; edit persists; validation rejects invalid input without partial mutation.</x:v>
      </x:c>
    </x:row>
    <x:row r="1093">
      <x:c r="A1093" s="20" t="str">
        <x:v>FLD-1090</x:v>
      </x:c>
      <x:c r="B1093" s="20" t="str">
        <x:v>Mobile</x:v>
      </x:c>
      <x:c r="C1093" s="35" t="str">
        <x:v>features/vendors/vendor_form_sheet.dart</x:v>
      </x:c>
      <x:c r="D1093" s="35" t="str">
        <x:v>mobile/lib/features/vendors/vendor_form_sheet.dart</x:v>
      </x:c>
      <x:c r="E1093" s="32" t="n">
        <x:v>251</x:v>
      </x:c>
      <x:c r="F1093" s="20" t="str">
        <x:v>TextFormField</x:v>
      </x:c>
      <x:c r="G1093" s="35" t="str">
        <x:v>_stateCtrl</x:v>
      </x:c>
      <x:c r="H1093" s="35" t="str">
        <x:v>State</x:v>
      </x:c>
      <x:c r="I1093" s="20" t="str">
        <x:v>Applicant / public user</x:v>
      </x:c>
      <x:c r="J1093" s="23" t="n">
        <x:v>46750</x:v>
      </x:c>
      <x:c r="K1093" s="35" t="str">
        <x:v>valid non-default; boundary/format value; blank/null when optional; invalid value when constrained</x:v>
      </x:c>
      <x:c r="L1093" s="35" t="str">
        <x:v>Save succeeds; close/reopen shows the exact normalized value; web reads it where supported; edit persists; validation rejects invalid input without partial mutation.</x:v>
      </x:c>
    </x:row>
    <x:row r="1094">
      <x:c r="A1094" s="20" t="str">
        <x:v>FLD-1091</x:v>
      </x:c>
      <x:c r="B1094" s="20" t="str">
        <x:v>Mobile</x:v>
      </x:c>
      <x:c r="C1094" s="35" t="str">
        <x:v>features/vendors/vendor_form_sheet.dart</x:v>
      </x:c>
      <x:c r="D1094" s="35" t="str">
        <x:v>mobile/lib/features/vendors/vendor_form_sheet.dart</x:v>
      </x:c>
      <x:c r="E1094" s="32" t="n">
        <x:v>261</x:v>
      </x:c>
      <x:c r="F1094" s="20" t="str">
        <x:v>TextFormField</x:v>
      </x:c>
      <x:c r="G1094" s="35" t="str">
        <x:v>_postalCtrl</x:v>
      </x:c>
      <x:c r="H1094" s="35" t="str">
        <x:v>ZIP</x:v>
      </x:c>
      <x:c r="I1094" s="20" t="str">
        <x:v>Applicant / public user</x:v>
      </x:c>
      <x:c r="J1094" s="23" t="n">
        <x:v>46751</x:v>
      </x:c>
      <x:c r="K1094" s="35" t="str">
        <x:v>valid non-default; boundary/format value; blank/null when optional; invalid value when constrained</x:v>
      </x:c>
      <x:c r="L1094" s="35" t="str">
        <x:v>Save succeeds; close/reopen shows the exact normalized value; web reads it where supported; edit persists; validation rejects invalid input without partial mutation.</x:v>
      </x:c>
    </x:row>
    <x:row r="1095">
      <x:c r="A1095" s="20" t="str">
        <x:v>FLD-1092</x:v>
      </x:c>
      <x:c r="B1095" s="20" t="str">
        <x:v>Mobile</x:v>
      </x:c>
      <x:c r="C1095" s="35" t="str">
        <x:v>features/vendors/vendor_form_sheet.dart</x:v>
      </x:c>
      <x:c r="D1095" s="35" t="str">
        <x:v>mobile/lib/features/vendors/vendor_form_sheet.dart</x:v>
      </x:c>
      <x:c r="E1095" s="32" t="n">
        <x:v>279</x:v>
      </x:c>
      <x:c r="F1095" s="20" t="str">
        <x:v>TextFormField</x:v>
      </x:c>
      <x:c r="G1095" s="35" t="str">
        <x:v>_taxIdCtrl</x:v>
      </x:c>
      <x:c r="H1095" s="35" t="str">
        <x:v>Tax ID (optional)</x:v>
      </x:c>
      <x:c r="I1095" s="20" t="str">
        <x:v>Applicant / public user</x:v>
      </x:c>
      <x:c r="J1095" s="23" t="n">
        <x:v>46751</x:v>
      </x:c>
      <x:c r="K1095" s="35" t="str">
        <x:v>valid non-default; boundary/format value; blank/null when optional; invalid value when constrained</x:v>
      </x:c>
      <x:c r="L1095" s="35" t="str">
        <x:v>Save succeeds; close/reopen shows the exact normalized value; web reads it where supported; edit persists; validation rejects invalid input without partial mutation.</x:v>
      </x:c>
    </x:row>
    <x:row r="1096">
      <x:c r="A1096" s="21" t="str">
        <x:v>FLD-1093</x:v>
      </x:c>
      <x:c r="B1096" s="21" t="str">
        <x:v>Mobile</x:v>
      </x:c>
      <x:c r="C1096" s="36" t="str">
        <x:v>features/vendors/vendor_form_sheet.dart</x:v>
      </x:c>
      <x:c r="D1096" s="36" t="str">
        <x:v>mobile/lib/features/vendors/vendor_form_sheet.dart</x:v>
      </x:c>
      <x:c r="E1096" s="33" t="n">
        <x:v>307</x:v>
      </x:c>
      <x:c r="F1096" s="21" t="str">
        <x:v>TextFormField</x:v>
      </x:c>
      <x:c r="G1096" s="36" t="str">
        <x:v>_notesCtrl</x:v>
      </x:c>
      <x:c r="H1096" s="36" t="str">
        <x:v>Notes (optional)</x:v>
      </x:c>
      <x:c r="I1096" s="21" t="str">
        <x:v>Applicant / public user</x:v>
      </x:c>
      <x:c r="J1096" s="24" t="n">
        <x:v>46751</x:v>
      </x:c>
      <x:c r="K1096" s="36" t="str">
        <x:v>valid non-default; boundary/format value; blank/null when optional; invalid value when constrained</x:v>
      </x:c>
      <x:c r="L1096" s="36" t="str">
        <x:v>Save succeeds; close/reopen shows the exact normalized value; web reads it where supported; edit persists; validation rejects invalid input without partial mutation.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99e944cc3e46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28" hidden="0" customWidth="1"/>
    <x:col min="4" max="4" width="12" hidden="0" customWidth="1"/>
    <x:col min="5" max="5" width="13" hidden="0" customWidth="1"/>
    <x:col min="6" max="6" width="46" hidden="0" customWidth="1"/>
    <x:col min="7" max="7" width="18" hidden="0" customWidth="1"/>
    <x:col min="8" max="8" width="62" hidden="0" customWidth="1"/>
    <x:col min="9" max="9" width="58" hidden="0" customWidth="1"/>
  </x:cols>
  <x:sheetData>
    <x:row r="1" ht="34" customHeight="1">
      <x:c r="A1" s="3" t="str">
        <x:v>Role-Permitted Screen Journeys</x:v>
      </x:c>
      <x:c r="B1" s="3" t="str">
        <x:v>Role-Permitted Screen Journeys</x:v>
      </x:c>
      <x:c r="C1" s="3" t="str">
        <x:v>Role-Permitted Screen Journeys</x:v>
      </x:c>
      <x:c r="D1" s="3" t="str">
        <x:v>Role-Permitted Screen Journeys</x:v>
      </x:c>
      <x:c r="E1" s="3" t="str">
        <x:v>Role-Permitted Screen Journeys</x:v>
      </x:c>
      <x:c r="F1" s="3" t="str">
        <x:v>Role-Permitted Screen Journeys</x:v>
      </x:c>
      <x:c r="G1" s="3" t="str">
        <x:v>Role-Permitted Screen Journeys</x:v>
      </x:c>
      <x:c r="H1" s="3" t="str">
        <x:v>Role-Permitted Screen Journeys</x:v>
      </x:c>
      <x:c r="I1" s="3" t="str">
        <x:v>Role-Permitted Screen Journeys</x:v>
      </x:c>
    </x:row>
    <x:row r="3" ht="30" customHeight="1">
      <x:c r="A3" s="12" t="str">
        <x:v>Journey ID</x:v>
      </x:c>
      <x:c r="B3" s="13" t="str">
        <x:v>Planned Date</x:v>
      </x:c>
      <x:c r="C3" s="13" t="str">
        <x:v>Persona</x:v>
      </x:c>
      <x:c r="D3" s="13" t="str">
        <x:v>Client</x:v>
      </x:c>
      <x:c r="E3" s="13" t="str">
        <x:v>Screen ID</x:v>
      </x:c>
      <x:c r="F3" s="13" t="str">
        <x:v>Surface</x:v>
      </x:c>
      <x:c r="G3" s="13" t="str">
        <x:v>Expected Access</x:v>
      </x:c>
      <x:c r="H3" s="13" t="str">
        <x:v>Actions</x:v>
      </x:c>
      <x:c r="I3" s="14" t="str">
        <x:v>Proof</x:v>
      </x:c>
    </x:row>
    <x:row r="4">
      <x:c r="A4" s="19" t="str">
        <x:v>ROLE-001</x:v>
      </x:c>
      <x:c r="B4" s="22" t="n">
        <x:v>46405</x:v>
      </x:c>
      <x:c r="C4" s="19" t="str">
        <x:v>Workspace Administrator</x:v>
      </x:c>
      <x:c r="D4" s="19" t="str">
        <x:v>Web</x:v>
      </x:c>
      <x:c r="E4" s="19" t="str">
        <x:v>SCR-001</x:v>
      </x:c>
      <x:c r="F4" s="34" t="str">
        <x:v>/admin/audit</x:v>
      </x:c>
      <x:c r="G4" s="19" t="str">
        <x:v>Allowed</x:v>
      </x:c>
      <x:c r="H4" s="34" t="str">
        <x:v>Navigate from the persona shell; exercise every visible tab, filter, list action, detail action, empty/populated/error/loading state, and return path.</x:v>
      </x:c>
      <x:c r="I4" s="34" t="str">
        <x:v>Navigation entry; loaded state; action result; persisted read-back; audit/history; no data outside assigned relationship/property scope.</x:v>
      </x:c>
    </x:row>
    <x:row r="5">
      <x:c r="A5" s="20" t="str">
        <x:v>ROLE-002</x:v>
      </x:c>
      <x:c r="B5" s="23" t="n">
        <x:v>46405</x:v>
      </x:c>
      <x:c r="C5" s="20" t="str">
        <x:v>Property Manager</x:v>
      </x:c>
      <x:c r="D5" s="20" t="str">
        <x:v>Web</x:v>
      </x:c>
      <x:c r="E5" s="20" t="str">
        <x:v>SCR-001</x:v>
      </x:c>
      <x:c r="F5" s="35" t="str">
        <x:v>/admin/audit</x:v>
      </x:c>
      <x:c r="G5" s="20" t="str">
        <x:v>Allowed</x:v>
      </x:c>
      <x:c r="H5" s="35" t="str">
        <x:v>Navigate from the persona shell; exercise every visible tab, filter, list action, detail action, empty/populated/error/loading state, and return path.</x:v>
      </x:c>
      <x:c r="I5" s="35" t="str">
        <x:v>Navigation entry; loaded state; action result; persisted read-back; audit/history; no data outside assigned relationship/property scope.</x:v>
      </x:c>
    </x:row>
    <x:row r="6">
      <x:c r="A6" s="20" t="str">
        <x:v>ROLE-003</x:v>
      </x:c>
      <x:c r="B6" s="23" t="n">
        <x:v>46406</x:v>
      </x:c>
      <x:c r="C6" s="20" t="str">
        <x:v>Workspace Administrator</x:v>
      </x:c>
      <x:c r="D6" s="20" t="str">
        <x:v>Web</x:v>
      </x:c>
      <x:c r="E6" s="20" t="str">
        <x:v>SCR-002</x:v>
      </x:c>
      <x:c r="F6" s="35" t="str">
        <x:v>/admin/users</x:v>
      </x:c>
      <x:c r="G6" s="20" t="str">
        <x:v>Allowed</x:v>
      </x:c>
      <x:c r="H6" s="35" t="str">
        <x:v>Navigate from the persona shell; exercise every visible tab, filter, list action, detail action, empty/populated/error/loading state, and return path.</x:v>
      </x:c>
      <x:c r="I6" s="35" t="str">
        <x:v>Navigation entry; loaded state; action result; persisted read-back; audit/history; no data outside assigned relationship/property scope.</x:v>
      </x:c>
    </x:row>
    <x:row r="7">
      <x:c r="A7" s="20" t="str">
        <x:v>ROLE-004</x:v>
      </x:c>
      <x:c r="B7" s="23" t="n">
        <x:v>46408</x:v>
      </x:c>
      <x:c r="C7" s="20" t="str">
        <x:v>Tenant</x:v>
      </x:c>
      <x:c r="D7" s="20" t="str">
        <x:v>Web</x:v>
      </x:c>
      <x:c r="E7" s="20" t="str">
        <x:v>SCR-003</x:v>
      </x:c>
      <x:c r="F7" s="35" t="str">
        <x:v>/portal</x:v>
      </x:c>
      <x:c r="G7" s="20" t="str">
        <x:v>Allowed</x:v>
      </x:c>
      <x:c r="H7" s="35" t="str">
        <x:v>Navigate from the persona shell; exercise every visible tab, filter, list action, detail action, empty/populated/error/loading state, and return path.</x:v>
      </x:c>
      <x:c r="I7" s="35" t="str">
        <x:v>Navigation entry; loaded state; action result; persisted read-back; audit/history; no data outside assigned relationship/property scope.</x:v>
      </x:c>
    </x:row>
    <x:row r="8">
      <x:c r="A8" s="20" t="str">
        <x:v>ROLE-005</x:v>
      </x:c>
      <x:c r="B8" s="23" t="n">
        <x:v>46409</x:v>
      </x:c>
      <x:c r="C8" s="20" t="str">
        <x:v>Tenant</x:v>
      </x:c>
      <x:c r="D8" s="20" t="str">
        <x:v>Web</x:v>
      </x:c>
      <x:c r="E8" s="20" t="str">
        <x:v>SCR-004</x:v>
      </x:c>
      <x:c r="F8" s="35" t="str">
        <x:v>/portal/account</x:v>
      </x:c>
      <x:c r="G8" s="20" t="str">
        <x:v>Allowed</x:v>
      </x:c>
      <x:c r="H8" s="35" t="str">
        <x:v>Navigate from the persona shell; exercise every visible tab, filter, list action, detail action, empty/populated/error/loading state, and return path.</x:v>
      </x:c>
      <x:c r="I8" s="35" t="str">
        <x:v>Navigation entry; loaded state; action result; persisted read-back; audit/history; no data outside assigned relationship/property scope.</x:v>
      </x:c>
    </x:row>
    <x:row r="9">
      <x:c r="A9" s="20" t="str">
        <x:v>ROLE-006</x:v>
      </x:c>
      <x:c r="B9" s="23" t="n">
        <x:v>46412</x:v>
      </x:c>
      <x:c r="C9" s="20" t="str">
        <x:v>Tenant</x:v>
      </x:c>
      <x:c r="D9" s="20" t="str">
        <x:v>Web</x:v>
      </x:c>
      <x:c r="E9" s="20" t="str">
        <x:v>SCR-005</x:v>
      </x:c>
      <x:c r="F9" s="35" t="str">
        <x:v>/portal/appointments</x:v>
      </x:c>
      <x:c r="G9" s="20" t="str">
        <x:v>Allowed</x:v>
      </x:c>
      <x:c r="H9" s="35" t="str">
        <x:v>Navigate from the persona shell; exercise every visible tab, filter, list action, detail action, empty/populated/error/loading state, and return path.</x:v>
      </x:c>
      <x:c r="I9" s="35" t="str">
        <x:v>Navigation entry; loaded state; action result; persisted read-back; audit/history; no data outside assigned relationship/property scope.</x:v>
      </x:c>
    </x:row>
    <x:row r="10">
      <x:c r="A10" s="20" t="str">
        <x:v>ROLE-007</x:v>
      </x:c>
      <x:c r="B10" s="23" t="n">
        <x:v>46413</x:v>
      </x:c>
      <x:c r="C10" s="20" t="str">
        <x:v>Tenant</x:v>
      </x:c>
      <x:c r="D10" s="20" t="str">
        <x:v>Web</x:v>
      </x:c>
      <x:c r="E10" s="20" t="str">
        <x:v>SCR-006</x:v>
      </x:c>
      <x:c r="F10" s="35" t="str">
        <x:v>/portal/lease</x:v>
      </x:c>
      <x:c r="G10" s="20" t="str">
        <x:v>Allowed</x:v>
      </x:c>
      <x:c r="H10" s="35" t="str">
        <x:v>Navigate from the persona shell; exercise every visible tab, filter, list action, detail action, empty/populated/error/loading state, and return path.</x:v>
      </x:c>
      <x:c r="I10" s="35" t="str">
        <x:v>Navigation entry; loaded state; action result; persisted read-back; audit/history; no data outside assigned relationship/property scope.</x:v>
      </x:c>
    </x:row>
    <x:row r="11">
      <x:c r="A11" s="20" t="str">
        <x:v>ROLE-008</x:v>
      </x:c>
      <x:c r="B11" s="23" t="n">
        <x:v>46415</x:v>
      </x:c>
      <x:c r="C11" s="20" t="str">
        <x:v>Tenant</x:v>
      </x:c>
      <x:c r="D11" s="20" t="str">
        <x:v>Web</x:v>
      </x:c>
      <x:c r="E11" s="20" t="str">
        <x:v>SCR-007</x:v>
      </x:c>
      <x:c r="F11" s="35" t="str">
        <x:v>/portal/maintenance</x:v>
      </x:c>
      <x:c r="G11" s="20" t="str">
        <x:v>Allowed</x:v>
      </x:c>
      <x:c r="H11" s="35" t="str">
        <x:v>Navigate from the persona shell; exercise every visible tab, filter, list action, detail action, empty/populated/error/loading state, and return path.</x:v>
      </x:c>
      <x:c r="I11" s="35" t="str">
        <x:v>Navigation entry; loaded state; action result; persisted read-back; audit/history; no data outside assigned relationship/property scope.</x:v>
      </x:c>
    </x:row>
    <x:row r="12">
      <x:c r="A12" s="20" t="str">
        <x:v>ROLE-009</x:v>
      </x:c>
      <x:c r="B12" s="23" t="n">
        <x:v>46416</x:v>
      </x:c>
      <x:c r="C12" s="20" t="str">
        <x:v>Tenant</x:v>
      </x:c>
      <x:c r="D12" s="20" t="str">
        <x:v>Web</x:v>
      </x:c>
      <x:c r="E12" s="20" t="str">
        <x:v>SCR-008</x:v>
      </x:c>
      <x:c r="F12" s="35" t="str">
        <x:v>/portal/messages</x:v>
      </x:c>
      <x:c r="G12" s="20" t="str">
        <x:v>Allowed</x:v>
      </x:c>
      <x:c r="H12" s="35" t="str">
        <x:v>Navigate from the persona shell; exercise every visible tab, filter, list action, detail action, empty/populated/error/loading state, and return path.</x:v>
      </x:c>
      <x:c r="I12" s="35" t="str">
        <x:v>Navigation entry; loaded state; action result; persisted read-back; audit/history; no data outside assigned relationship/property scope.</x:v>
      </x:c>
    </x:row>
    <x:row r="13">
      <x:c r="A13" s="20" t="str">
        <x:v>ROLE-010</x:v>
      </x:c>
      <x:c r="B13" s="23" t="n">
        <x:v>46419</x:v>
      </x:c>
      <x:c r="C13" s="20" t="str">
        <x:v>Tenant</x:v>
      </x:c>
      <x:c r="D13" s="20" t="str">
        <x:v>Web</x:v>
      </x:c>
      <x:c r="E13" s="20" t="str">
        <x:v>SCR-009</x:v>
      </x:c>
      <x:c r="F13" s="35" t="str">
        <x:v>/portal/notifications</x:v>
      </x:c>
      <x:c r="G13" s="20" t="str">
        <x:v>Allowed</x:v>
      </x:c>
      <x:c r="H13" s="35" t="str">
        <x:v>Navigate from the persona shell; exercise every visible tab, filter, list action, detail action, empty/populated/error/loading state, and return path.</x:v>
      </x:c>
      <x:c r="I13" s="35" t="str">
        <x:v>Navigation entry; loaded state; action result; persisted read-back; audit/history; no data outside assigned relationship/property scope.</x:v>
      </x:c>
    </x:row>
    <x:row r="14">
      <x:c r="A14" s="20" t="str">
        <x:v>ROLE-011</x:v>
      </x:c>
      <x:c r="B14" s="23" t="n">
        <x:v>46420</x:v>
      </x:c>
      <x:c r="C14" s="20" t="str">
        <x:v>Tenant</x:v>
      </x:c>
      <x:c r="D14" s="20" t="str">
        <x:v>Web</x:v>
      </x:c>
      <x:c r="E14" s="20" t="str">
        <x:v>SCR-010</x:v>
      </x:c>
      <x:c r="F14" s="35" t="str">
        <x:v>/portal/payments</x:v>
      </x:c>
      <x:c r="G14" s="20" t="str">
        <x:v>Allowed</x:v>
      </x:c>
      <x:c r="H14" s="35" t="str">
        <x:v>Navigate from the persona shell; exercise every visible tab, filter, list action, detail action, empty/populated/error/loading state, and return path.</x:v>
      </x:c>
      <x:c r="I14" s="35" t="str">
        <x:v>Navigation entry; loaded state; action result; persisted read-back; audit/history; no data outside assigned relationship/property scope.</x:v>
      </x:c>
    </x:row>
    <x:row r="15">
      <x:c r="A15" s="20" t="str">
        <x:v>ROLE-012</x:v>
      </x:c>
      <x:c r="B15" s="23" t="n">
        <x:v>46422</x:v>
      </x:c>
      <x:c r="C15" s="20" t="str">
        <x:v>Tenant</x:v>
      </x:c>
      <x:c r="D15" s="20" t="str">
        <x:v>Web</x:v>
      </x:c>
      <x:c r="E15" s="20" t="str">
        <x:v>SCR-011</x:v>
      </x:c>
      <x:c r="F15" s="35" t="str">
        <x:v>/portal/profile</x:v>
      </x:c>
      <x:c r="G15" s="20" t="str">
        <x:v>Allowed</x:v>
      </x:c>
      <x:c r="H15" s="35" t="str">
        <x:v>Navigate from the persona shell; exercise every visible tab, filter, list action, detail action, empty/populated/error/loading state, and return path.</x:v>
      </x:c>
      <x:c r="I15" s="35" t="str">
        <x:v>Navigation entry; loaded state; action result; persisted read-back; audit/history; no data outside assigned relationship/property scope.</x:v>
      </x:c>
    </x:row>
    <x:row r="16">
      <x:c r="A16" s="20" t="str">
        <x:v>ROLE-013</x:v>
      </x:c>
      <x:c r="B16" s="23" t="n">
        <x:v>46423</x:v>
      </x:c>
      <x:c r="C16" s="20" t="str">
        <x:v>Tenant</x:v>
      </x:c>
      <x:c r="D16" s="20" t="str">
        <x:v>Web</x:v>
      </x:c>
      <x:c r="E16" s="20" t="str">
        <x:v>SCR-012</x:v>
      </x:c>
      <x:c r="F16" s="35" t="str">
        <x:v>/portal/security</x:v>
      </x:c>
      <x:c r="G16" s="20" t="str">
        <x:v>Allowed</x:v>
      </x:c>
      <x:c r="H16" s="35" t="str">
        <x:v>Navigate from the persona shell; exercise every visible tab, filter, list action, detail action, empty/populated/error/loading state, and return path.</x:v>
      </x:c>
      <x:c r="I16" s="35" t="str">
        <x:v>Navigation entry; loaded state; action result; persisted read-back; audit/history; no data outside assigned relationship/property scope.</x:v>
      </x:c>
    </x:row>
    <x:row r="17">
      <x:c r="A17" s="20" t="str">
        <x:v>ROLE-014</x:v>
      </x:c>
      <x:c r="B17" s="23" t="n">
        <x:v>46426</x:v>
      </x:c>
      <x:c r="C17" s="20" t="str">
        <x:v>Tenant</x:v>
      </x:c>
      <x:c r="D17" s="20" t="str">
        <x:v>Web</x:v>
      </x:c>
      <x:c r="E17" s="20" t="str">
        <x:v>SCR-013</x:v>
      </x:c>
      <x:c r="F17" s="35" t="str">
        <x:v>/portal/unlinked</x:v>
      </x:c>
      <x:c r="G17" s="20" t="str">
        <x:v>Allowed</x:v>
      </x:c>
      <x:c r="H17" s="35" t="str">
        <x:v>Navigate from the persona shell; exercise every visible tab, filter, list action, detail action, empty/populated/error/loading state, and return path.</x:v>
      </x:c>
      <x:c r="I17" s="35" t="str">
        <x:v>Navigation entry; loaded state; action result; persisted read-back; audit/history; no data outside assigned relationship/property scope.</x:v>
      </x:c>
    </x:row>
    <x:row r="18">
      <x:c r="A18" s="20" t="str">
        <x:v>ROLE-015</x:v>
      </x:c>
      <x:c r="B18" s="23" t="n">
        <x:v>46427</x:v>
      </x:c>
      <x:c r="C18" s="20" t="str">
        <x:v>Workspace Administrator</x:v>
      </x:c>
      <x:c r="D18" s="20" t="str">
        <x:v>Web</x:v>
      </x:c>
      <x:c r="E18" s="20" t="str">
        <x:v>SCR-014</x:v>
      </x:c>
      <x:c r="F18" s="35" t="str">
        <x:v>/</x:v>
      </x:c>
      <x:c r="G18" s="20" t="str">
        <x:v>Allowed</x:v>
      </x:c>
      <x:c r="H18" s="35" t="str">
        <x:v>Navigate from the persona shell; exercise every visible tab, filter, list action, detail action, empty/populated/error/loading state, and return path.</x:v>
      </x:c>
      <x:c r="I18" s="35" t="str">
        <x:v>Navigation entry; loaded state; action result; persisted read-back; audit/history; no data outside assigned relationship/property scope.</x:v>
      </x:c>
    </x:row>
    <x:row r="19">
      <x:c r="A19" s="20" t="str">
        <x:v>ROLE-016</x:v>
      </x:c>
      <x:c r="B19" s="23" t="n">
        <x:v>46427</x:v>
      </x:c>
      <x:c r="C19" s="20" t="str">
        <x:v>Property Manager</x:v>
      </x:c>
      <x:c r="D19" s="20" t="str">
        <x:v>Web</x:v>
      </x:c>
      <x:c r="E19" s="20" t="str">
        <x:v>SCR-014</x:v>
      </x:c>
      <x:c r="F19" s="35" t="str">
        <x:v>/</x:v>
      </x:c>
      <x:c r="G19" s="20" t="str">
        <x:v>Allowed</x:v>
      </x:c>
      <x:c r="H19" s="35" t="str">
        <x:v>Navigate from the persona shell; exercise every visible tab, filter, list action, detail action, empty/populated/error/loading state, and return path.</x:v>
      </x:c>
      <x:c r="I19" s="35" t="str">
        <x:v>Navigation entry; loaded state; action result; persisted read-back; audit/history; no data outside assigned relationship/property scope.</x:v>
      </x:c>
    </x:row>
    <x:row r="20">
      <x:c r="A20" s="20" t="str">
        <x:v>ROLE-017</x:v>
      </x:c>
      <x:c r="B20" s="23" t="n">
        <x:v>46429</x:v>
      </x:c>
      <x:c r="C20" s="20" t="str">
        <x:v>Workspace Administrator</x:v>
      </x:c>
      <x:c r="D20" s="20" t="str">
        <x:v>Web</x:v>
      </x:c>
      <x:c r="E20" s="20" t="str">
        <x:v>SCR-015</x:v>
      </x:c>
      <x:c r="F20" s="35" t="str">
        <x:v>/accounting</x:v>
      </x:c>
      <x:c r="G20" s="20" t="str">
        <x:v>Allowed</x:v>
      </x:c>
      <x:c r="H20" s="35" t="str">
        <x:v>Navigate from the persona shell; exercise every visible tab, filter, list action, detail action, empty/populated/error/loading state, and return path.</x:v>
      </x:c>
      <x:c r="I20" s="35" t="str">
        <x:v>Navigation entry; loaded state; action result; persisted read-back; audit/history; no data outside assigned relationship/property scope.</x:v>
      </x:c>
    </x:row>
    <x:row r="21">
      <x:c r="A21" s="20" t="str">
        <x:v>ROLE-018</x:v>
      </x:c>
      <x:c r="B21" s="23" t="n">
        <x:v>46429</x:v>
      </x:c>
      <x:c r="C21" s="20" t="str">
        <x:v>Property Manager</x:v>
      </x:c>
      <x:c r="D21" s="20" t="str">
        <x:v>Web</x:v>
      </x:c>
      <x:c r="E21" s="20" t="str">
        <x:v>SCR-015</x:v>
      </x:c>
      <x:c r="F21" s="35" t="str">
        <x:v>/accounting</x:v>
      </x:c>
      <x:c r="G21" s="20" t="str">
        <x:v>Allowed</x:v>
      </x:c>
      <x:c r="H21" s="35" t="str">
        <x:v>Navigate from the persona shell; exercise every visible tab, filter, list action, detail action, empty/populated/error/loading state, and return path.</x:v>
      </x:c>
      <x:c r="I21" s="35" t="str">
        <x:v>Navigation entry; loaded state; action result; persisted read-back; audit/history; no data outside assigned relationship/property scope.</x:v>
      </x:c>
    </x:row>
    <x:row r="22">
      <x:c r="A22" s="20" t="str">
        <x:v>ROLE-019</x:v>
      </x:c>
      <x:c r="B22" s="23" t="n">
        <x:v>46430</x:v>
      </x:c>
      <x:c r="C22" s="20" t="str">
        <x:v>Workspace Administrator</x:v>
      </x:c>
      <x:c r="D22" s="20" t="str">
        <x:v>Web</x:v>
      </x:c>
      <x:c r="E22" s="20" t="str">
        <x:v>SCR-016</x:v>
      </x:c>
      <x:c r="F22" s="35" t="str">
        <x:v>/accounting/expenses/[id]</x:v>
      </x:c>
      <x:c r="G22" s="20" t="str">
        <x:v>Allowed</x:v>
      </x:c>
      <x:c r="H22" s="35" t="str">
        <x:v>Navigate from the persona shell; exercise every visible tab, filter, list action, detail action, empty/populated/error/loading state, and return path.</x:v>
      </x:c>
      <x:c r="I22" s="35" t="str">
        <x:v>Navigation entry; loaded state; action result; persisted read-back; audit/history; no data outside assigned relationship/property scope.</x:v>
      </x:c>
    </x:row>
    <x:row r="23">
      <x:c r="A23" s="20" t="str">
        <x:v>ROLE-020</x:v>
      </x:c>
      <x:c r="B23" s="23" t="n">
        <x:v>46430</x:v>
      </x:c>
      <x:c r="C23" s="20" t="str">
        <x:v>Property Manager</x:v>
      </x:c>
      <x:c r="D23" s="20" t="str">
        <x:v>Web</x:v>
      </x:c>
      <x:c r="E23" s="20" t="str">
        <x:v>SCR-016</x:v>
      </x:c>
      <x:c r="F23" s="35" t="str">
        <x:v>/accounting/expenses/[id]</x:v>
      </x:c>
      <x:c r="G23" s="20" t="str">
        <x:v>Allowed</x:v>
      </x:c>
      <x:c r="H23" s="35" t="str">
        <x:v>Navigate from the persona shell; exercise every visible tab, filter, list action, detail action, empty/populated/error/loading state, and return path.</x:v>
      </x:c>
      <x:c r="I23" s="35" t="str">
        <x:v>Navigation entry; loaded state; action result; persisted read-back; audit/history; no data outside assigned relationship/property scope.</x:v>
      </x:c>
    </x:row>
    <x:row r="24">
      <x:c r="A24" s="20" t="str">
        <x:v>ROLE-021</x:v>
      </x:c>
      <x:c r="B24" s="23" t="n">
        <x:v>46433</x:v>
      </x:c>
      <x:c r="C24" s="20" t="str">
        <x:v>Workspace Administrator</x:v>
      </x:c>
      <x:c r="D24" s="20" t="str">
        <x:v>Web</x:v>
      </x:c>
      <x:c r="E24" s="20" t="str">
        <x:v>SCR-017</x:v>
      </x:c>
      <x:c r="F24" s="35" t="str">
        <x:v>/accounting/past-due</x:v>
      </x:c>
      <x:c r="G24" s="20" t="str">
        <x:v>Allowed</x:v>
      </x:c>
      <x:c r="H24" s="35" t="str">
        <x:v>Navigate from the persona shell; exercise every visible tab, filter, list action, detail action, empty/populated/error/loading state, and return path.</x:v>
      </x:c>
      <x:c r="I24" s="35" t="str">
        <x:v>Navigation entry; loaded state; action result; persisted read-back; audit/history; no data outside assigned relationship/property scope.</x:v>
      </x:c>
    </x:row>
    <x:row r="25">
      <x:c r="A25" s="20" t="str">
        <x:v>ROLE-022</x:v>
      </x:c>
      <x:c r="B25" s="23" t="n">
        <x:v>46433</x:v>
      </x:c>
      <x:c r="C25" s="20" t="str">
        <x:v>Property Manager</x:v>
      </x:c>
      <x:c r="D25" s="20" t="str">
        <x:v>Web</x:v>
      </x:c>
      <x:c r="E25" s="20" t="str">
        <x:v>SCR-017</x:v>
      </x:c>
      <x:c r="F25" s="35" t="str">
        <x:v>/accounting/past-due</x:v>
      </x:c>
      <x:c r="G25" s="20" t="str">
        <x:v>Allowed</x:v>
      </x:c>
      <x:c r="H25" s="35" t="str">
        <x:v>Navigate from the persona shell; exercise every visible tab, filter, list action, detail action, empty/populated/error/loading state, and return path.</x:v>
      </x:c>
      <x:c r="I25" s="35" t="str">
        <x:v>Navigation entry; loaded state; action result; persisted read-back; audit/history; no data outside assigned relationship/property scope.</x:v>
      </x:c>
    </x:row>
    <x:row r="26">
      <x:c r="A26" s="20" t="str">
        <x:v>ROLE-023</x:v>
      </x:c>
      <x:c r="B26" s="23" t="n">
        <x:v>46434</x:v>
      </x:c>
      <x:c r="C26" s="20" t="str">
        <x:v>Workspace Administrator</x:v>
      </x:c>
      <x:c r="D26" s="20" t="str">
        <x:v>Web</x:v>
      </x:c>
      <x:c r="E26" s="20" t="str">
        <x:v>SCR-018</x:v>
      </x:c>
      <x:c r="F26" s="35" t="str">
        <x:v>/accounting/year-end</x:v>
      </x:c>
      <x:c r="G26" s="20" t="str">
        <x:v>Allowed</x:v>
      </x:c>
      <x:c r="H26" s="35" t="str">
        <x:v>Navigate from the persona shell; exercise every visible tab, filter, list action, detail action, empty/populated/error/loading state, and return path.</x:v>
      </x:c>
      <x:c r="I26" s="35" t="str">
        <x:v>Navigation entry; loaded state; action result; persisted read-back; audit/history; no data outside assigned relationship/property scope.</x:v>
      </x:c>
    </x:row>
    <x:row r="27">
      <x:c r="A27" s="20" t="str">
        <x:v>ROLE-024</x:v>
      </x:c>
      <x:c r="B27" s="23" t="n">
        <x:v>46434</x:v>
      </x:c>
      <x:c r="C27" s="20" t="str">
        <x:v>Property Manager</x:v>
      </x:c>
      <x:c r="D27" s="20" t="str">
        <x:v>Web</x:v>
      </x:c>
      <x:c r="E27" s="20" t="str">
        <x:v>SCR-018</x:v>
      </x:c>
      <x:c r="F27" s="35" t="str">
        <x:v>/accounting/year-end</x:v>
      </x:c>
      <x:c r="G27" s="20" t="str">
        <x:v>Allowed</x:v>
      </x:c>
      <x:c r="H27" s="35" t="str">
        <x:v>Navigate from the persona shell; exercise every visible tab, filter, list action, detail action, empty/populated/error/loading state, and return path.</x:v>
      </x:c>
      <x:c r="I27" s="35" t="str">
        <x:v>Navigation entry; loaded state; action result; persisted read-back; audit/history; no data outside assigned relationship/property scope.</x:v>
      </x:c>
    </x:row>
    <x:row r="28">
      <x:c r="A28" s="20" t="str">
        <x:v>ROLE-025</x:v>
      </x:c>
      <x:c r="B28" s="23" t="n">
        <x:v>46436</x:v>
      </x:c>
      <x:c r="C28" s="20" t="str">
        <x:v>Workspace Administrator</x:v>
      </x:c>
      <x:c r="D28" s="20" t="str">
        <x:v>Web</x:v>
      </x:c>
      <x:c r="E28" s="20" t="str">
        <x:v>SCR-019</x:v>
      </x:c>
      <x:c r="F28" s="35" t="str">
        <x:v>/ai</x:v>
      </x:c>
      <x:c r="G28" s="20" t="str">
        <x:v>Allowed</x:v>
      </x:c>
      <x:c r="H28" s="35" t="str">
        <x:v>Navigate from the persona shell; exercise every visible tab, filter, list action, detail action, empty/populated/error/loading state, and return path.</x:v>
      </x:c>
      <x:c r="I28" s="35" t="str">
        <x:v>Navigation entry; loaded state; action result; persisted read-back; audit/history; no data outside assigned relationship/property scope.</x:v>
      </x:c>
    </x:row>
    <x:row r="29">
      <x:c r="A29" s="20" t="str">
        <x:v>ROLE-026</x:v>
      </x:c>
      <x:c r="B29" s="23" t="n">
        <x:v>46436</x:v>
      </x:c>
      <x:c r="C29" s="20" t="str">
        <x:v>Property Manager</x:v>
      </x:c>
      <x:c r="D29" s="20" t="str">
        <x:v>Web</x:v>
      </x:c>
      <x:c r="E29" s="20" t="str">
        <x:v>SCR-019</x:v>
      </x:c>
      <x:c r="F29" s="35" t="str">
        <x:v>/ai</x:v>
      </x:c>
      <x:c r="G29" s="20" t="str">
        <x:v>Allowed</x:v>
      </x:c>
      <x:c r="H29" s="35" t="str">
        <x:v>Navigate from the persona shell; exercise every visible tab, filter, list action, detail action, empty/populated/error/loading state, and return path.</x:v>
      </x:c>
      <x:c r="I29" s="35" t="str">
        <x:v>Navigation entry; loaded state; action result; persisted read-back; audit/history; no data outside assigned relationship/property scope.</x:v>
      </x:c>
    </x:row>
    <x:row r="30">
      <x:c r="A30" s="20" t="str">
        <x:v>ROLE-027</x:v>
      </x:c>
      <x:c r="B30" s="23" t="n">
        <x:v>46437</x:v>
      </x:c>
      <x:c r="C30" s="20" t="str">
        <x:v>Workspace Administrator</x:v>
      </x:c>
      <x:c r="D30" s="20" t="str">
        <x:v>Web</x:v>
      </x:c>
      <x:c r="E30" s="20" t="str">
        <x:v>SCR-020</x:v>
      </x:c>
      <x:c r="F30" s="35" t="str">
        <x:v>/applications</x:v>
      </x:c>
      <x:c r="G30" s="20" t="str">
        <x:v>Allowed</x:v>
      </x:c>
      <x:c r="H30" s="35" t="str">
        <x:v>Navigate from the persona shell; exercise every visible tab, filter, list action, detail action, empty/populated/error/loading state, and return path.</x:v>
      </x:c>
      <x:c r="I30" s="35" t="str">
        <x:v>Navigation entry; loaded state; action result; persisted read-back; audit/history; no data outside assigned relationship/property scope.</x:v>
      </x:c>
    </x:row>
    <x:row r="31">
      <x:c r="A31" s="20" t="str">
        <x:v>ROLE-028</x:v>
      </x:c>
      <x:c r="B31" s="23" t="n">
        <x:v>46440</x:v>
      </x:c>
      <x:c r="C31" s="20" t="str">
        <x:v>Workspace Administrator</x:v>
      </x:c>
      <x:c r="D31" s="20" t="str">
        <x:v>Web</x:v>
      </x:c>
      <x:c r="E31" s="20" t="str">
        <x:v>SCR-021</x:v>
      </x:c>
      <x:c r="F31" s="35" t="str">
        <x:v>/applications/[id]</x:v>
      </x:c>
      <x:c r="G31" s="20" t="str">
        <x:v>Allowed</x:v>
      </x:c>
      <x:c r="H31" s="35" t="str">
        <x:v>Navigate from the persona shell; exercise every visible tab, filter, list action, detail action, empty/populated/error/loading state, and return path.</x:v>
      </x:c>
      <x:c r="I31" s="35" t="str">
        <x:v>Navigation entry; loaded state; action result; persisted read-back; audit/history; no data outside assigned relationship/property scope.</x:v>
      </x:c>
    </x:row>
    <x:row r="32">
      <x:c r="A32" s="20" t="str">
        <x:v>ROLE-029</x:v>
      </x:c>
      <x:c r="B32" s="23" t="n">
        <x:v>46441</x:v>
      </x:c>
      <x:c r="C32" s="20" t="str">
        <x:v>Workspace Administrator</x:v>
      </x:c>
      <x:c r="D32" s="20" t="str">
        <x:v>Web</x:v>
      </x:c>
      <x:c r="E32" s="20" t="str">
        <x:v>SCR-022</x:v>
      </x:c>
      <x:c r="F32" s="35" t="str">
        <x:v>/appointments</x:v>
      </x:c>
      <x:c r="G32" s="20" t="str">
        <x:v>Allowed</x:v>
      </x:c>
      <x:c r="H32" s="35" t="str">
        <x:v>Navigate from the persona shell; exercise every visible tab, filter, list action, detail action, empty/populated/error/loading state, and return path.</x:v>
      </x:c>
      <x:c r="I32" s="35" t="str">
        <x:v>Navigation entry; loaded state; action result; persisted read-back; audit/history; no data outside assigned relationship/property scope.</x:v>
      </x:c>
    </x:row>
    <x:row r="33">
      <x:c r="A33" s="20" t="str">
        <x:v>ROLE-030</x:v>
      </x:c>
      <x:c r="B33" s="23" t="n">
        <x:v>46441</x:v>
      </x:c>
      <x:c r="C33" s="20" t="str">
        <x:v>Property Manager</x:v>
      </x:c>
      <x:c r="D33" s="20" t="str">
        <x:v>Web</x:v>
      </x:c>
      <x:c r="E33" s="20" t="str">
        <x:v>SCR-022</x:v>
      </x:c>
      <x:c r="F33" s="35" t="str">
        <x:v>/appointments</x:v>
      </x:c>
      <x:c r="G33" s="20" t="str">
        <x:v>Allowed</x:v>
      </x:c>
      <x:c r="H33" s="35" t="str">
        <x:v>Navigate from the persona shell; exercise every visible tab, filter, list action, detail action, empty/populated/error/loading state, and return path.</x:v>
      </x:c>
      <x:c r="I33" s="35" t="str">
        <x:v>Navigation entry; loaded state; action result; persisted read-back; audit/history; no data outside assigned relationship/property scope.</x:v>
      </x:c>
    </x:row>
    <x:row r="34">
      <x:c r="A34" s="20" t="str">
        <x:v>ROLE-031</x:v>
      </x:c>
      <x:c r="B34" s="23" t="n">
        <x:v>46443</x:v>
      </x:c>
      <x:c r="C34" s="20" t="str">
        <x:v>Workspace Administrator</x:v>
      </x:c>
      <x:c r="D34" s="20" t="str">
        <x:v>Web</x:v>
      </x:c>
      <x:c r="E34" s="20" t="str">
        <x:v>SCR-023</x:v>
      </x:c>
      <x:c r="F34" s="35" t="str">
        <x:v>/appointments/[id]</x:v>
      </x:c>
      <x:c r="G34" s="20" t="str">
        <x:v>Allowed</x:v>
      </x:c>
      <x:c r="H34" s="35" t="str">
        <x:v>Navigate from the persona shell; exercise every visible tab, filter, list action, detail action, empty/populated/error/loading state, and return path.</x:v>
      </x:c>
      <x:c r="I34" s="35" t="str">
        <x:v>Navigation entry; loaded state; action result; persisted read-back; audit/history; no data outside assigned relationship/property scope.</x:v>
      </x:c>
    </x:row>
    <x:row r="35">
      <x:c r="A35" s="20" t="str">
        <x:v>ROLE-032</x:v>
      </x:c>
      <x:c r="B35" s="23" t="n">
        <x:v>46443</x:v>
      </x:c>
      <x:c r="C35" s="20" t="str">
        <x:v>Property Manager</x:v>
      </x:c>
      <x:c r="D35" s="20" t="str">
        <x:v>Web</x:v>
      </x:c>
      <x:c r="E35" s="20" t="str">
        <x:v>SCR-023</x:v>
      </x:c>
      <x:c r="F35" s="35" t="str">
        <x:v>/appointments/[id]</x:v>
      </x:c>
      <x:c r="G35" s="20" t="str">
        <x:v>Allowed</x:v>
      </x:c>
      <x:c r="H35" s="35" t="str">
        <x:v>Navigate from the persona shell; exercise every visible tab, filter, list action, detail action, empty/populated/error/loading state, and return path.</x:v>
      </x:c>
      <x:c r="I35" s="35" t="str">
        <x:v>Navigation entry; loaded state; action result; persisted read-back; audit/history; no data outside assigned relationship/property scope.</x:v>
      </x:c>
    </x:row>
    <x:row r="36">
      <x:c r="A36" s="20" t="str">
        <x:v>ROLE-033</x:v>
      </x:c>
      <x:c r="B36" s="23" t="n">
        <x:v>46444</x:v>
      </x:c>
      <x:c r="C36" s="20" t="str">
        <x:v>Maintenance Technician</x:v>
      </x:c>
      <x:c r="D36" s="20" t="str">
        <x:v>Web</x:v>
      </x:c>
      <x:c r="E36" s="20" t="str">
        <x:v>SCR-024</x:v>
      </x:c>
      <x:c r="F36" s="35" t="str">
        <x:v>/assignment-inbox</x:v>
      </x:c>
      <x:c r="G36" s="20" t="str">
        <x:v>Allowed</x:v>
      </x:c>
      <x:c r="H36" s="35" t="str">
        <x:v>Navigate from the persona shell; exercise every visible tab, filter, list action, detail action, empty/populated/error/loading state, and return path.</x:v>
      </x:c>
      <x:c r="I36" s="35" t="str">
        <x:v>Navigation entry; loaded state; action result; persisted read-back; audit/history; no data outside assigned relationship/property scope.</x:v>
      </x:c>
    </x:row>
    <x:row r="37">
      <x:c r="A37" s="20" t="str">
        <x:v>ROLE-034</x:v>
      </x:c>
      <x:c r="B37" s="23" t="n">
        <x:v>46447</x:v>
      </x:c>
      <x:c r="C37" s="20" t="str">
        <x:v>Workspace Administrator</x:v>
      </x:c>
      <x:c r="D37" s="20" t="str">
        <x:v>Web</x:v>
      </x:c>
      <x:c r="E37" s="20" t="str">
        <x:v>SCR-025</x:v>
      </x:c>
      <x:c r="F37" s="35" t="str">
        <x:v>/audit</x:v>
      </x:c>
      <x:c r="G37" s="20" t="str">
        <x:v>Allowed</x:v>
      </x:c>
      <x:c r="H37" s="35" t="str">
        <x:v>Navigate from the persona shell; exercise every visible tab, filter, list action, detail action, empty/populated/error/loading state, and return path.</x:v>
      </x:c>
      <x:c r="I37" s="35" t="str">
        <x:v>Navigation entry; loaded state; action result; persisted read-back; audit/history; no data outside assigned relationship/property scope.</x:v>
      </x:c>
    </x:row>
    <x:row r="38">
      <x:c r="A38" s="20" t="str">
        <x:v>ROLE-035</x:v>
      </x:c>
      <x:c r="B38" s="23" t="n">
        <x:v>46448</x:v>
      </x:c>
      <x:c r="C38" s="20" t="str">
        <x:v>Workspace Administrator</x:v>
      </x:c>
      <x:c r="D38" s="20" t="str">
        <x:v>Web</x:v>
      </x:c>
      <x:c r="E38" s="20" t="str">
        <x:v>SCR-026</x:v>
      </x:c>
      <x:c r="F38" s="35" t="str">
        <x:v>/banking</x:v>
      </x:c>
      <x:c r="G38" s="20" t="str">
        <x:v>Allowed</x:v>
      </x:c>
      <x:c r="H38" s="35" t="str">
        <x:v>Navigate from the persona shell; exercise every visible tab, filter, list action, detail action, empty/populated/error/loading state, and return path.</x:v>
      </x:c>
      <x:c r="I38" s="35" t="str">
        <x:v>Navigation entry; loaded state; action result; persisted read-back; audit/history; no data outside assigned relationship/property scope.</x:v>
      </x:c>
    </x:row>
    <x:row r="39">
      <x:c r="A39" s="20" t="str">
        <x:v>ROLE-036</x:v>
      </x:c>
      <x:c r="B39" s="23" t="n">
        <x:v>46448</x:v>
      </x:c>
      <x:c r="C39" s="20" t="str">
        <x:v>Property Manager</x:v>
      </x:c>
      <x:c r="D39" s="20" t="str">
        <x:v>Web</x:v>
      </x:c>
      <x:c r="E39" s="20" t="str">
        <x:v>SCR-026</x:v>
      </x:c>
      <x:c r="F39" s="35" t="str">
        <x:v>/banking</x:v>
      </x:c>
      <x:c r="G39" s="20" t="str">
        <x:v>Allowed</x:v>
      </x:c>
      <x:c r="H39" s="35" t="str">
        <x:v>Navigate from the persona shell; exercise every visible tab, filter, list action, detail action, empty/populated/error/loading state, and return path.</x:v>
      </x:c>
      <x:c r="I39" s="35" t="str">
        <x:v>Navigation entry; loaded state; action result; persisted read-back; audit/history; no data outside assigned relationship/property scope.</x:v>
      </x:c>
    </x:row>
    <x:row r="40">
      <x:c r="A40" s="20" t="str">
        <x:v>ROLE-037</x:v>
      </x:c>
      <x:c r="B40" s="23" t="n">
        <x:v>46450</x:v>
      </x:c>
      <x:c r="C40" s="20" t="str">
        <x:v>Workspace Administrator</x:v>
      </x:c>
      <x:c r="D40" s="20" t="str">
        <x:v>Web</x:v>
      </x:c>
      <x:c r="E40" s="20" t="str">
        <x:v>SCR-027</x:v>
      </x:c>
      <x:c r="F40" s="35" t="str">
        <x:v>/deposits</x:v>
      </x:c>
      <x:c r="G40" s="20" t="str">
        <x:v>Allowed</x:v>
      </x:c>
      <x:c r="H40" s="35" t="str">
        <x:v>Navigate from the persona shell; exercise every visible tab, filter, list action, detail action, empty/populated/error/loading state, and return path.</x:v>
      </x:c>
      <x:c r="I40" s="35" t="str">
        <x:v>Navigation entry; loaded state; action result; persisted read-back; audit/history; no data outside assigned relationship/property scope.</x:v>
      </x:c>
    </x:row>
    <x:row r="41">
      <x:c r="A41" s="20" t="str">
        <x:v>ROLE-038</x:v>
      </x:c>
      <x:c r="B41" s="23" t="n">
        <x:v>46450</x:v>
      </x:c>
      <x:c r="C41" s="20" t="str">
        <x:v>Property Manager</x:v>
      </x:c>
      <x:c r="D41" s="20" t="str">
        <x:v>Web</x:v>
      </x:c>
      <x:c r="E41" s="20" t="str">
        <x:v>SCR-027</x:v>
      </x:c>
      <x:c r="F41" s="35" t="str">
        <x:v>/deposits</x:v>
      </x:c>
      <x:c r="G41" s="20" t="str">
        <x:v>Allowed</x:v>
      </x:c>
      <x:c r="H41" s="35" t="str">
        <x:v>Navigate from the persona shell; exercise every visible tab, filter, list action, detail action, empty/populated/error/loading state, and return path.</x:v>
      </x:c>
      <x:c r="I41" s="35" t="str">
        <x:v>Navigation entry; loaded state; action result; persisted read-back; audit/history; no data outside assigned relationship/property scope.</x:v>
      </x:c>
    </x:row>
    <x:row r="42">
      <x:c r="A42" s="20" t="str">
        <x:v>ROLE-039</x:v>
      </x:c>
      <x:c r="B42" s="23" t="n">
        <x:v>46451</x:v>
      </x:c>
      <x:c r="C42" s="20" t="str">
        <x:v>Workspace Administrator</x:v>
      </x:c>
      <x:c r="D42" s="20" t="str">
        <x:v>Web</x:v>
      </x:c>
      <x:c r="E42" s="20" t="str">
        <x:v>SCR-028</x:v>
      </x:c>
      <x:c r="F42" s="35" t="str">
        <x:v>/deposits/[id]</x:v>
      </x:c>
      <x:c r="G42" s="20" t="str">
        <x:v>Allowed</x:v>
      </x:c>
      <x:c r="H42" s="35" t="str">
        <x:v>Navigate from the persona shell; exercise every visible tab, filter, list action, detail action, empty/populated/error/loading state, and return path.</x:v>
      </x:c>
      <x:c r="I42" s="35" t="str">
        <x:v>Navigation entry; loaded state; action result; persisted read-back; audit/history; no data outside assigned relationship/property scope.</x:v>
      </x:c>
    </x:row>
    <x:row r="43">
      <x:c r="A43" s="20" t="str">
        <x:v>ROLE-040</x:v>
      </x:c>
      <x:c r="B43" s="23" t="n">
        <x:v>46451</x:v>
      </x:c>
      <x:c r="C43" s="20" t="str">
        <x:v>Property Manager</x:v>
      </x:c>
      <x:c r="D43" s="20" t="str">
        <x:v>Web</x:v>
      </x:c>
      <x:c r="E43" s="20" t="str">
        <x:v>SCR-028</x:v>
      </x:c>
      <x:c r="F43" s="35" t="str">
        <x:v>/deposits/[id]</x:v>
      </x:c>
      <x:c r="G43" s="20" t="str">
        <x:v>Allowed</x:v>
      </x:c>
      <x:c r="H43" s="35" t="str">
        <x:v>Navigate from the persona shell; exercise every visible tab, filter, list action, detail action, empty/populated/error/loading state, and return path.</x:v>
      </x:c>
      <x:c r="I43" s="35" t="str">
        <x:v>Navigation entry; loaded state; action result; persisted read-back; audit/history; no data outside assigned relationship/property scope.</x:v>
      </x:c>
    </x:row>
    <x:row r="44">
      <x:c r="A44" s="20" t="str">
        <x:v>ROLE-041</x:v>
      </x:c>
      <x:c r="B44" s="23" t="n">
        <x:v>46454</x:v>
      </x:c>
      <x:c r="C44" s="20" t="str">
        <x:v>Workspace Administrator</x:v>
      </x:c>
      <x:c r="D44" s="20" t="str">
        <x:v>Web</x:v>
      </x:c>
      <x:c r="E44" s="20" t="str">
        <x:v>SCR-029</x:v>
      </x:c>
      <x:c r="F44" s="35" t="str">
        <x:v>/get-started</x:v>
      </x:c>
      <x:c r="G44" s="20" t="str">
        <x:v>Allowed</x:v>
      </x:c>
      <x:c r="H44" s="35" t="str">
        <x:v>Navigate from the persona shell; exercise every visible tab, filter, list action, detail action, empty/populated/error/loading state, and return path.</x:v>
      </x:c>
      <x:c r="I44" s="35" t="str">
        <x:v>Navigation entry; loaded state; action result; persisted read-back; audit/history; no data outside assigned relationship/property scope.</x:v>
      </x:c>
    </x:row>
    <x:row r="45">
      <x:c r="A45" s="20" t="str">
        <x:v>ROLE-042</x:v>
      </x:c>
      <x:c r="B45" s="23" t="n">
        <x:v>46455</x:v>
      </x:c>
      <x:c r="C45" s="20" t="str">
        <x:v>Workspace Administrator</x:v>
      </x:c>
      <x:c r="D45" s="20" t="str">
        <x:v>Web</x:v>
      </x:c>
      <x:c r="E45" s="20" t="str">
        <x:v>SCR-030</x:v>
      </x:c>
      <x:c r="F45" s="35" t="str">
        <x:v>/import</x:v>
      </x:c>
      <x:c r="G45" s="20" t="str">
        <x:v>Allowed</x:v>
      </x:c>
      <x:c r="H45" s="35" t="str">
        <x:v>Navigate from the persona shell; exercise every visible tab, filter, list action, detail action, empty/populated/error/loading state, and return path.</x:v>
      </x:c>
      <x:c r="I45" s="35" t="str">
        <x:v>Navigation entry; loaded state; action result; persisted read-back; audit/history; no data outside assigned relationship/property scope.</x:v>
      </x:c>
    </x:row>
    <x:row r="46">
      <x:c r="A46" s="20" t="str">
        <x:v>ROLE-043</x:v>
      </x:c>
      <x:c r="B46" s="23" t="n">
        <x:v>46455</x:v>
      </x:c>
      <x:c r="C46" s="20" t="str">
        <x:v>Property Manager</x:v>
      </x:c>
      <x:c r="D46" s="20" t="str">
        <x:v>Web</x:v>
      </x:c>
      <x:c r="E46" s="20" t="str">
        <x:v>SCR-030</x:v>
      </x:c>
      <x:c r="F46" s="35" t="str">
        <x:v>/import</x:v>
      </x:c>
      <x:c r="G46" s="20" t="str">
        <x:v>Allowed</x:v>
      </x:c>
      <x:c r="H46" s="35" t="str">
        <x:v>Navigate from the persona shell; exercise every visible tab, filter, list action, detail action, empty/populated/error/loading state, and return path.</x:v>
      </x:c>
      <x:c r="I46" s="35" t="str">
        <x:v>Navigation entry; loaded state; action result; persisted read-back; audit/history; no data outside assigned relationship/property scope.</x:v>
      </x:c>
    </x:row>
    <x:row r="47">
      <x:c r="A47" s="20" t="str">
        <x:v>ROLE-044</x:v>
      </x:c>
      <x:c r="B47" s="23" t="n">
        <x:v>46457</x:v>
      </x:c>
      <x:c r="C47" s="20" t="str">
        <x:v>Workspace Administrator</x:v>
      </x:c>
      <x:c r="D47" s="20" t="str">
        <x:v>Web</x:v>
      </x:c>
      <x:c r="E47" s="20" t="str">
        <x:v>SCR-031</x:v>
      </x:c>
      <x:c r="F47" s="35" t="str">
        <x:v>/lease-templates</x:v>
      </x:c>
      <x:c r="G47" s="20" t="str">
        <x:v>Allowed</x:v>
      </x:c>
      <x:c r="H47" s="35" t="str">
        <x:v>Navigate from the persona shell; exercise every visible tab, filter, list action, detail action, empty/populated/error/loading state, and return path.</x:v>
      </x:c>
      <x:c r="I47" s="35" t="str">
        <x:v>Navigation entry; loaded state; action result; persisted read-back; audit/history; no data outside assigned relationship/property scope.</x:v>
      </x:c>
    </x:row>
    <x:row r="48">
      <x:c r="A48" s="20" t="str">
        <x:v>ROLE-045</x:v>
      </x:c>
      <x:c r="B48" s="23" t="n">
        <x:v>46457</x:v>
      </x:c>
      <x:c r="C48" s="20" t="str">
        <x:v>Property Manager</x:v>
      </x:c>
      <x:c r="D48" s="20" t="str">
        <x:v>Web</x:v>
      </x:c>
      <x:c r="E48" s="20" t="str">
        <x:v>SCR-031</x:v>
      </x:c>
      <x:c r="F48" s="35" t="str">
        <x:v>/lease-templates</x:v>
      </x:c>
      <x:c r="G48" s="20" t="str">
        <x:v>Allowed</x:v>
      </x:c>
      <x:c r="H48" s="35" t="str">
        <x:v>Navigate from the persona shell; exercise every visible tab, filter, list action, detail action, empty/populated/error/loading state, and return path.</x:v>
      </x:c>
      <x:c r="I48" s="35" t="str">
        <x:v>Navigation entry; loaded state; action result; persisted read-back; audit/history; no data outside assigned relationship/property scope.</x:v>
      </x:c>
    </x:row>
    <x:row r="49">
      <x:c r="A49" s="20" t="str">
        <x:v>ROLE-046</x:v>
      </x:c>
      <x:c r="B49" s="23" t="n">
        <x:v>46457</x:v>
      </x:c>
      <x:c r="C49" s="20" t="str">
        <x:v>Leasing Agent</x:v>
      </x:c>
      <x:c r="D49" s="20" t="str">
        <x:v>Web</x:v>
      </x:c>
      <x:c r="E49" s="20" t="str">
        <x:v>SCR-031</x:v>
      </x:c>
      <x:c r="F49" s="35" t="str">
        <x:v>/lease-templates</x:v>
      </x:c>
      <x:c r="G49" s="20" t="str">
        <x:v>Allowed</x:v>
      </x:c>
      <x:c r="H49" s="35" t="str">
        <x:v>Navigate from the persona shell; exercise every visible tab, filter, list action, detail action, empty/populated/error/loading state, and return path.</x:v>
      </x:c>
      <x:c r="I49" s="35" t="str">
        <x:v>Navigation entry; loaded state; action result; persisted read-back; audit/history; no data outside assigned relationship/property scope.</x:v>
      </x:c>
    </x:row>
    <x:row r="50">
      <x:c r="A50" s="20" t="str">
        <x:v>ROLE-047</x:v>
      </x:c>
      <x:c r="B50" s="23" t="n">
        <x:v>46458</x:v>
      </x:c>
      <x:c r="C50" s="20" t="str">
        <x:v>Leasing Agent</x:v>
      </x:c>
      <x:c r="D50" s="20" t="str">
        <x:v>Web</x:v>
      </x:c>
      <x:c r="E50" s="20" t="str">
        <x:v>SCR-032</x:v>
      </x:c>
      <x:c r="F50" s="35" t="str">
        <x:v>/leases</x:v>
      </x:c>
      <x:c r="G50" s="20" t="str">
        <x:v>Allowed</x:v>
      </x:c>
      <x:c r="H50" s="35" t="str">
        <x:v>Navigate from the persona shell; exercise every visible tab, filter, list action, detail action, empty/populated/error/loading state, and return path.</x:v>
      </x:c>
      <x:c r="I50" s="35" t="str">
        <x:v>Navigation entry; loaded state; action result; persisted read-back; audit/history; no data outside assigned relationship/property scope.</x:v>
      </x:c>
    </x:row>
    <x:row r="51">
      <x:c r="A51" s="20" t="str">
        <x:v>ROLE-048</x:v>
      </x:c>
      <x:c r="B51" s="23" t="n">
        <x:v>46461</x:v>
      </x:c>
      <x:c r="C51" s="20" t="str">
        <x:v>Leasing Agent</x:v>
      </x:c>
      <x:c r="D51" s="20" t="str">
        <x:v>Web</x:v>
      </x:c>
      <x:c r="E51" s="20" t="str">
        <x:v>SCR-033</x:v>
      </x:c>
      <x:c r="F51" s="35" t="str">
        <x:v>/leases/[id]</x:v>
      </x:c>
      <x:c r="G51" s="20" t="str">
        <x:v>Allowed</x:v>
      </x:c>
      <x:c r="H51" s="35" t="str">
        <x:v>Navigate from the persona shell; exercise every visible tab, filter, list action, detail action, empty/populated/error/loading state, and return path.</x:v>
      </x:c>
      <x:c r="I51" s="35" t="str">
        <x:v>Navigation entry; loaded state; action result; persisted read-back; audit/history; no data outside assigned relationship/property scope.</x:v>
      </x:c>
    </x:row>
    <x:row r="52">
      <x:c r="A52" s="20" t="str">
        <x:v>ROLE-049</x:v>
      </x:c>
      <x:c r="B52" s="23" t="n">
        <x:v>46462</x:v>
      </x:c>
      <x:c r="C52" s="20" t="str">
        <x:v>Leasing Agent</x:v>
      </x:c>
      <x:c r="D52" s="20" t="str">
        <x:v>Web</x:v>
      </x:c>
      <x:c r="E52" s="20" t="str">
        <x:v>SCR-034</x:v>
      </x:c>
      <x:c r="F52" s="35" t="str">
        <x:v>/leasing</x:v>
      </x:c>
      <x:c r="G52" s="20" t="str">
        <x:v>Allowed</x:v>
      </x:c>
      <x:c r="H52" s="35" t="str">
        <x:v>Navigate from the persona shell; exercise every visible tab, filter, list action, detail action, empty/populated/error/loading state, and return path.</x:v>
      </x:c>
      <x:c r="I52" s="35" t="str">
        <x:v>Navigation entry; loaded state; action result; persisted read-back; audit/history; no data outside assigned relationship/property scope.</x:v>
      </x:c>
    </x:row>
    <x:row r="53">
      <x:c r="A53" s="20" t="str">
        <x:v>ROLE-050</x:v>
      </x:c>
      <x:c r="B53" s="23" t="n">
        <x:v>46464</x:v>
      </x:c>
      <x:c r="C53" s="20" t="str">
        <x:v>Leasing Agent</x:v>
      </x:c>
      <x:c r="D53" s="20" t="str">
        <x:v>Web</x:v>
      </x:c>
      <x:c r="E53" s="20" t="str">
        <x:v>SCR-035</x:v>
      </x:c>
      <x:c r="F53" s="35" t="str">
        <x:v>/leasing/[record]/[id]</x:v>
      </x:c>
      <x:c r="G53" s="20" t="str">
        <x:v>Allowed</x:v>
      </x:c>
      <x:c r="H53" s="35" t="str">
        <x:v>Navigate from the persona shell; exercise every visible tab, filter, list action, detail action, empty/populated/error/loading state, and return path.</x:v>
      </x:c>
      <x:c r="I53" s="35" t="str">
        <x:v>Navigation entry; loaded state; action result; persisted read-back; audit/history; no data outside assigned relationship/property scope.</x:v>
      </x:c>
    </x:row>
    <x:row r="54">
      <x:c r="A54" s="20" t="str">
        <x:v>ROLE-051</x:v>
      </x:c>
      <x:c r="B54" s="23" t="n">
        <x:v>46465</x:v>
      </x:c>
      <x:c r="C54" s="20" t="str">
        <x:v>Leasing Agent</x:v>
      </x:c>
      <x:c r="D54" s="20" t="str">
        <x:v>Web</x:v>
      </x:c>
      <x:c r="E54" s="20" t="str">
        <x:v>SCR-036</x:v>
      </x:c>
      <x:c r="F54" s="35" t="str">
        <x:v>/leasing/calendar</x:v>
      </x:c>
      <x:c r="G54" s="20" t="str">
        <x:v>Allowed</x:v>
      </x:c>
      <x:c r="H54" s="35" t="str">
        <x:v>Navigate from the persona shell; exercise every visible tab, filter, list action, detail action, empty/populated/error/loading state, and return path.</x:v>
      </x:c>
      <x:c r="I54" s="35" t="str">
        <x:v>Navigation entry; loaded state; action result; persisted read-back; audit/history; no data outside assigned relationship/property scope.</x:v>
      </x:c>
    </x:row>
    <x:row r="55">
      <x:c r="A55" s="20" t="str">
        <x:v>ROLE-052</x:v>
      </x:c>
      <x:c r="B55" s="23" t="n">
        <x:v>46468</x:v>
      </x:c>
      <x:c r="C55" s="20" t="str">
        <x:v>Leasing Agent</x:v>
      </x:c>
      <x:c r="D55" s="20" t="str">
        <x:v>Web</x:v>
      </x:c>
      <x:c r="E55" s="20" t="str">
        <x:v>SCR-037</x:v>
      </x:c>
      <x:c r="F55" s="35" t="str">
        <x:v>/leasing/inbox</x:v>
      </x:c>
      <x:c r="G55" s="20" t="str">
        <x:v>Allowed</x:v>
      </x:c>
      <x:c r="H55" s="35" t="str">
        <x:v>Navigate from the persona shell; exercise every visible tab, filter, list action, detail action, empty/populated/error/loading state, and return path.</x:v>
      </x:c>
      <x:c r="I55" s="35" t="str">
        <x:v>Navigation entry; loaded state; action result; persisted read-back; audit/history; no data outside assigned relationship/property scope.</x:v>
      </x:c>
    </x:row>
    <x:row r="56">
      <x:c r="A56" s="20" t="str">
        <x:v>ROLE-053</x:v>
      </x:c>
      <x:c r="B56" s="23" t="n">
        <x:v>46469</x:v>
      </x:c>
      <x:c r="C56" s="20" t="str">
        <x:v>Leasing Agent</x:v>
      </x:c>
      <x:c r="D56" s="20" t="str">
        <x:v>Web</x:v>
      </x:c>
      <x:c r="E56" s="20" t="str">
        <x:v>SCR-038</x:v>
      </x:c>
      <x:c r="F56" s="35" t="str">
        <x:v>/leasing/pipeline</x:v>
      </x:c>
      <x:c r="G56" s="20" t="str">
        <x:v>Allowed</x:v>
      </x:c>
      <x:c r="H56" s="35" t="str">
        <x:v>Navigate from the persona shell; exercise every visible tab, filter, list action, detail action, empty/populated/error/loading state, and return path.</x:v>
      </x:c>
      <x:c r="I56" s="35" t="str">
        <x:v>Navigation entry; loaded state; action result; persisted read-back; audit/history; no data outside assigned relationship/property scope.</x:v>
      </x:c>
    </x:row>
    <x:row r="57">
      <x:c r="A57" s="20" t="str">
        <x:v>ROLE-054</x:v>
      </x:c>
      <x:c r="B57" s="23" t="n">
        <x:v>46471</x:v>
      </x:c>
      <x:c r="C57" s="20" t="str">
        <x:v>Leasing Agent</x:v>
      </x:c>
      <x:c r="D57" s="20" t="str">
        <x:v>Web</x:v>
      </x:c>
      <x:c r="E57" s="20" t="str">
        <x:v>SCR-039</x:v>
      </x:c>
      <x:c r="F57" s="35" t="str">
        <x:v>/leasing/rentals</x:v>
      </x:c>
      <x:c r="G57" s="20" t="str">
        <x:v>Allowed</x:v>
      </x:c>
      <x:c r="H57" s="35" t="str">
        <x:v>Navigate from the persona shell; exercise every visible tab, filter, list action, detail action, empty/populated/error/loading state, and return path.</x:v>
      </x:c>
      <x:c r="I57" s="35" t="str">
        <x:v>Navigation entry; loaded state; action result; persisted read-back; audit/history; no data outside assigned relationship/property scope.</x:v>
      </x:c>
    </x:row>
    <x:row r="58">
      <x:c r="A58" s="20" t="str">
        <x:v>ROLE-055</x:v>
      </x:c>
      <x:c r="B58" s="23" t="n">
        <x:v>46472</x:v>
      </x:c>
      <x:c r="C58" s="20" t="str">
        <x:v>Workspace Administrator</x:v>
      </x:c>
      <x:c r="D58" s="20" t="str">
        <x:v>Web</x:v>
      </x:c>
      <x:c r="E58" s="20" t="str">
        <x:v>SCR-040</x:v>
      </x:c>
      <x:c r="F58" s="35" t="str">
        <x:v>/maintenance</x:v>
      </x:c>
      <x:c r="G58" s="20" t="str">
        <x:v>Allowed</x:v>
      </x:c>
      <x:c r="H58" s="35" t="str">
        <x:v>Navigate from the persona shell; exercise every visible tab, filter, list action, detail action, empty/populated/error/loading state, and return path.</x:v>
      </x:c>
      <x:c r="I58" s="35" t="str">
        <x:v>Navigation entry; loaded state; action result; persisted read-back; audit/history; no data outside assigned relationship/property scope.</x:v>
      </x:c>
    </x:row>
    <x:row r="59">
      <x:c r="A59" s="20" t="str">
        <x:v>ROLE-056</x:v>
      </x:c>
      <x:c r="B59" s="23" t="n">
        <x:v>46472</x:v>
      </x:c>
      <x:c r="C59" s="20" t="str">
        <x:v>Property Manager</x:v>
      </x:c>
      <x:c r="D59" s="20" t="str">
        <x:v>Web</x:v>
      </x:c>
      <x:c r="E59" s="20" t="str">
        <x:v>SCR-040</x:v>
      </x:c>
      <x:c r="F59" s="35" t="str">
        <x:v>/maintenance</x:v>
      </x:c>
      <x:c r="G59" s="20" t="str">
        <x:v>Allowed</x:v>
      </x:c>
      <x:c r="H59" s="35" t="str">
        <x:v>Navigate from the persona shell; exercise every visible tab, filter, list action, detail action, empty/populated/error/loading state, and return path.</x:v>
      </x:c>
      <x:c r="I59" s="35" t="str">
        <x:v>Navigation entry; loaded state; action result; persisted read-back; audit/history; no data outside assigned relationship/property scope.</x:v>
      </x:c>
    </x:row>
    <x:row r="60">
      <x:c r="A60" s="20" t="str">
        <x:v>ROLE-057</x:v>
      </x:c>
      <x:c r="B60" s="23" t="n">
        <x:v>46475</x:v>
      </x:c>
      <x:c r="C60" s="20" t="str">
        <x:v>Workspace Administrator</x:v>
      </x:c>
      <x:c r="D60" s="20" t="str">
        <x:v>Web</x:v>
      </x:c>
      <x:c r="E60" s="20" t="str">
        <x:v>SCR-041</x:v>
      </x:c>
      <x:c r="F60" s="35" t="str">
        <x:v>/maintenance/[id]</x:v>
      </x:c>
      <x:c r="G60" s="20" t="str">
        <x:v>Allowed</x:v>
      </x:c>
      <x:c r="H60" s="35" t="str">
        <x:v>Navigate from the persona shell; exercise every visible tab, filter, list action, detail action, empty/populated/error/loading state, and return path.</x:v>
      </x:c>
      <x:c r="I60" s="35" t="str">
        <x:v>Navigation entry; loaded state; action result; persisted read-back; audit/history; no data outside assigned relationship/property scope.</x:v>
      </x:c>
    </x:row>
    <x:row r="61">
      <x:c r="A61" s="20" t="str">
        <x:v>ROLE-058</x:v>
      </x:c>
      <x:c r="B61" s="23" t="n">
        <x:v>46475</x:v>
      </x:c>
      <x:c r="C61" s="20" t="str">
        <x:v>Property Manager</x:v>
      </x:c>
      <x:c r="D61" s="20" t="str">
        <x:v>Web</x:v>
      </x:c>
      <x:c r="E61" s="20" t="str">
        <x:v>SCR-041</x:v>
      </x:c>
      <x:c r="F61" s="35" t="str">
        <x:v>/maintenance/[id]</x:v>
      </x:c>
      <x:c r="G61" s="20" t="str">
        <x:v>Allowed</x:v>
      </x:c>
      <x:c r="H61" s="35" t="str">
        <x:v>Navigate from the persona shell; exercise every visible tab, filter, list action, detail action, empty/populated/error/loading state, and return path.</x:v>
      </x:c>
      <x:c r="I61" s="35" t="str">
        <x:v>Navigation entry; loaded state; action result; persisted read-back; audit/history; no data outside assigned relationship/property scope.</x:v>
      </x:c>
    </x:row>
    <x:row r="62">
      <x:c r="A62" s="20" t="str">
        <x:v>ROLE-059</x:v>
      </x:c>
      <x:c r="B62" s="23" t="n">
        <x:v>46476</x:v>
      </x:c>
      <x:c r="C62" s="20" t="str">
        <x:v>Workspace Administrator</x:v>
      </x:c>
      <x:c r="D62" s="20" t="str">
        <x:v>Web</x:v>
      </x:c>
      <x:c r="E62" s="20" t="str">
        <x:v>SCR-042</x:v>
      </x:c>
      <x:c r="F62" s="35" t="str">
        <x:v>/maintenance/inspections/[id]</x:v>
      </x:c>
      <x:c r="G62" s="20" t="str">
        <x:v>Allowed</x:v>
      </x:c>
      <x:c r="H62" s="35" t="str">
        <x:v>Navigate from the persona shell; exercise every visible tab, filter, list action, detail action, empty/populated/error/loading state, and return path.</x:v>
      </x:c>
      <x:c r="I62" s="35" t="str">
        <x:v>Navigation entry; loaded state; action result; persisted read-back; audit/history; no data outside assigned relationship/property scope.</x:v>
      </x:c>
    </x:row>
    <x:row r="63">
      <x:c r="A63" s="20" t="str">
        <x:v>ROLE-060</x:v>
      </x:c>
      <x:c r="B63" s="23" t="n">
        <x:v>46476</x:v>
      </x:c>
      <x:c r="C63" s="20" t="str">
        <x:v>Property Manager</x:v>
      </x:c>
      <x:c r="D63" s="20" t="str">
        <x:v>Web</x:v>
      </x:c>
      <x:c r="E63" s="20" t="str">
        <x:v>SCR-042</x:v>
      </x:c>
      <x:c r="F63" s="35" t="str">
        <x:v>/maintenance/inspections/[id]</x:v>
      </x:c>
      <x:c r="G63" s="20" t="str">
        <x:v>Allowed</x:v>
      </x:c>
      <x:c r="H63" s="35" t="str">
        <x:v>Navigate from the persona shell; exercise every visible tab, filter, list action, detail action, empty/populated/error/loading state, and return path.</x:v>
      </x:c>
      <x:c r="I63" s="35" t="str">
        <x:v>Navigation entry; loaded state; action result; persisted read-back; audit/history; no data outside assigned relationship/property scope.</x:v>
      </x:c>
    </x:row>
    <x:row r="64">
      <x:c r="A64" s="20" t="str">
        <x:v>ROLE-061</x:v>
      </x:c>
      <x:c r="B64" s="23" t="n">
        <x:v>46478</x:v>
      </x:c>
      <x:c r="C64" s="20" t="str">
        <x:v>Workspace Administrator</x:v>
      </x:c>
      <x:c r="D64" s="20" t="str">
        <x:v>Web</x:v>
      </x:c>
      <x:c r="E64" s="20" t="str">
        <x:v>SCR-043</x:v>
      </x:c>
      <x:c r="F64" s="35" t="str">
        <x:v>/maintenance/recurring</x:v>
      </x:c>
      <x:c r="G64" s="20" t="str">
        <x:v>Allowed</x:v>
      </x:c>
      <x:c r="H64" s="35" t="str">
        <x:v>Navigate from the persona shell; exercise every visible tab, filter, list action, detail action, empty/populated/error/loading state, and return path.</x:v>
      </x:c>
      <x:c r="I64" s="35" t="str">
        <x:v>Navigation entry; loaded state; action result; persisted read-back; audit/history; no data outside assigned relationship/property scope.</x:v>
      </x:c>
    </x:row>
    <x:row r="65">
      <x:c r="A65" s="20" t="str">
        <x:v>ROLE-062</x:v>
      </x:c>
      <x:c r="B65" s="23" t="n">
        <x:v>46478</x:v>
      </x:c>
      <x:c r="C65" s="20" t="str">
        <x:v>Property Manager</x:v>
      </x:c>
      <x:c r="D65" s="20" t="str">
        <x:v>Web</x:v>
      </x:c>
      <x:c r="E65" s="20" t="str">
        <x:v>SCR-043</x:v>
      </x:c>
      <x:c r="F65" s="35" t="str">
        <x:v>/maintenance/recurring</x:v>
      </x:c>
      <x:c r="G65" s="20" t="str">
        <x:v>Allowed</x:v>
      </x:c>
      <x:c r="H65" s="35" t="str">
        <x:v>Navigate from the persona shell; exercise every visible tab, filter, list action, detail action, empty/populated/error/loading state, and return path.</x:v>
      </x:c>
      <x:c r="I65" s="35" t="str">
        <x:v>Navigation entry; loaded state; action result; persisted read-back; audit/history; no data outside assigned relationship/property scope.</x:v>
      </x:c>
    </x:row>
    <x:row r="66">
      <x:c r="A66" s="20" t="str">
        <x:v>ROLE-063</x:v>
      </x:c>
      <x:c r="B66" s="23" t="n">
        <x:v>46479</x:v>
      </x:c>
      <x:c r="C66" s="20" t="str">
        <x:v>Workspace Administrator</x:v>
      </x:c>
      <x:c r="D66" s="20" t="str">
        <x:v>Web</x:v>
      </x:c>
      <x:c r="E66" s="20" t="str">
        <x:v>SCR-044</x:v>
      </x:c>
      <x:c r="F66" s="35" t="str">
        <x:v>/messages</x:v>
      </x:c>
      <x:c r="G66" s="20" t="str">
        <x:v>Allowed</x:v>
      </x:c>
      <x:c r="H66" s="35" t="str">
        <x:v>Navigate from the persona shell; exercise every visible tab, filter, list action, detail action, empty/populated/error/loading state, and return path.</x:v>
      </x:c>
      <x:c r="I66" s="35" t="str">
        <x:v>Navigation entry; loaded state; action result; persisted read-back; audit/history; no data outside assigned relationship/property scope.</x:v>
      </x:c>
    </x:row>
    <x:row r="67">
      <x:c r="A67" s="20" t="str">
        <x:v>ROLE-064</x:v>
      </x:c>
      <x:c r="B67" s="23" t="n">
        <x:v>46479</x:v>
      </x:c>
      <x:c r="C67" s="20" t="str">
        <x:v>Property Manager</x:v>
      </x:c>
      <x:c r="D67" s="20" t="str">
        <x:v>Web</x:v>
      </x:c>
      <x:c r="E67" s="20" t="str">
        <x:v>SCR-044</x:v>
      </x:c>
      <x:c r="F67" s="35" t="str">
        <x:v>/messages</x:v>
      </x:c>
      <x:c r="G67" s="20" t="str">
        <x:v>Allowed</x:v>
      </x:c>
      <x:c r="H67" s="35" t="str">
        <x:v>Navigate from the persona shell; exercise every visible tab, filter, list action, detail action, empty/populated/error/loading state, and return path.</x:v>
      </x:c>
      <x:c r="I67" s="35" t="str">
        <x:v>Navigation entry; loaded state; action result; persisted read-back; audit/history; no data outside assigned relationship/property scope.</x:v>
      </x:c>
    </x:row>
    <x:row r="68">
      <x:c r="A68" s="20" t="str">
        <x:v>ROLE-065</x:v>
      </x:c>
      <x:c r="B68" s="23" t="n">
        <x:v>46479</x:v>
      </x:c>
      <x:c r="C68" s="20" t="str">
        <x:v>Leasing Agent</x:v>
      </x:c>
      <x:c r="D68" s="20" t="str">
        <x:v>Web</x:v>
      </x:c>
      <x:c r="E68" s="20" t="str">
        <x:v>SCR-044</x:v>
      </x:c>
      <x:c r="F68" s="35" t="str">
        <x:v>/messages</x:v>
      </x:c>
      <x:c r="G68" s="20" t="str">
        <x:v>Allowed</x:v>
      </x:c>
      <x:c r="H68" s="35" t="str">
        <x:v>Navigate from the persona shell; exercise every visible tab, filter, list action, detail action, empty/populated/error/loading state, and return path.</x:v>
      </x:c>
      <x:c r="I68" s="35" t="str">
        <x:v>Navigation entry; loaded state; action result; persisted read-back; audit/history; no data outside assigned relationship/property scope.</x:v>
      </x:c>
    </x:row>
    <x:row r="69">
      <x:c r="A69" s="20" t="str">
        <x:v>ROLE-066</x:v>
      </x:c>
      <x:c r="B69" s="23" t="n">
        <x:v>46479</x:v>
      </x:c>
      <x:c r="C69" s="20" t="str">
        <x:v>Maintenance Technician</x:v>
      </x:c>
      <x:c r="D69" s="20" t="str">
        <x:v>Web</x:v>
      </x:c>
      <x:c r="E69" s="20" t="str">
        <x:v>SCR-044</x:v>
      </x:c>
      <x:c r="F69" s="35" t="str">
        <x:v>/messages</x:v>
      </x:c>
      <x:c r="G69" s="20" t="str">
        <x:v>Allowed</x:v>
      </x:c>
      <x:c r="H69" s="35" t="str">
        <x:v>Navigate from the persona shell; exercise every visible tab, filter, list action, detail action, empty/populated/error/loading state, and return path.</x:v>
      </x:c>
      <x:c r="I69" s="35" t="str">
        <x:v>Navigation entry; loaded state; action result; persisted read-back; audit/history; no data outside assigned relationship/property scope.</x:v>
      </x:c>
    </x:row>
    <x:row r="70">
      <x:c r="A70" s="20" t="str">
        <x:v>ROLE-067</x:v>
      </x:c>
      <x:c r="B70" s="23" t="n">
        <x:v>46482</x:v>
      </x:c>
      <x:c r="C70" s="20" t="str">
        <x:v>Workspace Administrator</x:v>
      </x:c>
      <x:c r="D70" s="20" t="str">
        <x:v>Web</x:v>
      </x:c>
      <x:c r="E70" s="20" t="str">
        <x:v>SCR-045</x:v>
      </x:c>
      <x:c r="F70" s="35" t="str">
        <x:v>/messages/[id]</x:v>
      </x:c>
      <x:c r="G70" s="20" t="str">
        <x:v>Allowed</x:v>
      </x:c>
      <x:c r="H70" s="35" t="str">
        <x:v>Navigate from the persona shell; exercise every visible tab, filter, list action, detail action, empty/populated/error/loading state, and return path.</x:v>
      </x:c>
      <x:c r="I70" s="35" t="str">
        <x:v>Navigation entry; loaded state; action result; persisted read-back; audit/history; no data outside assigned relationship/property scope.</x:v>
      </x:c>
    </x:row>
    <x:row r="71">
      <x:c r="A71" s="20" t="str">
        <x:v>ROLE-068</x:v>
      </x:c>
      <x:c r="B71" s="23" t="n">
        <x:v>46482</x:v>
      </x:c>
      <x:c r="C71" s="20" t="str">
        <x:v>Property Manager</x:v>
      </x:c>
      <x:c r="D71" s="20" t="str">
        <x:v>Web</x:v>
      </x:c>
      <x:c r="E71" s="20" t="str">
        <x:v>SCR-045</x:v>
      </x:c>
      <x:c r="F71" s="35" t="str">
        <x:v>/messages/[id]</x:v>
      </x:c>
      <x:c r="G71" s="20" t="str">
        <x:v>Allowed</x:v>
      </x:c>
      <x:c r="H71" s="35" t="str">
        <x:v>Navigate from the persona shell; exercise every visible tab, filter, list action, detail action, empty/populated/error/loading state, and return path.</x:v>
      </x:c>
      <x:c r="I71" s="35" t="str">
        <x:v>Navigation entry; loaded state; action result; persisted read-back; audit/history; no data outside assigned relationship/property scope.</x:v>
      </x:c>
    </x:row>
    <x:row r="72">
      <x:c r="A72" s="20" t="str">
        <x:v>ROLE-069</x:v>
      </x:c>
      <x:c r="B72" s="23" t="n">
        <x:v>46482</x:v>
      </x:c>
      <x:c r="C72" s="20" t="str">
        <x:v>Leasing Agent</x:v>
      </x:c>
      <x:c r="D72" s="20" t="str">
        <x:v>Web</x:v>
      </x:c>
      <x:c r="E72" s="20" t="str">
        <x:v>SCR-045</x:v>
      </x:c>
      <x:c r="F72" s="35" t="str">
        <x:v>/messages/[id]</x:v>
      </x:c>
      <x:c r="G72" s="20" t="str">
        <x:v>Allowed</x:v>
      </x:c>
      <x:c r="H72" s="35" t="str">
        <x:v>Navigate from the persona shell; exercise every visible tab, filter, list action, detail action, empty/populated/error/loading state, and return path.</x:v>
      </x:c>
      <x:c r="I72" s="35" t="str">
        <x:v>Navigation entry; loaded state; action result; persisted read-back; audit/history; no data outside assigned relationship/property scope.</x:v>
      </x:c>
    </x:row>
    <x:row r="73">
      <x:c r="A73" s="20" t="str">
        <x:v>ROLE-070</x:v>
      </x:c>
      <x:c r="B73" s="23" t="n">
        <x:v>46482</x:v>
      </x:c>
      <x:c r="C73" s="20" t="str">
        <x:v>Maintenance Technician</x:v>
      </x:c>
      <x:c r="D73" s="20" t="str">
        <x:v>Web</x:v>
      </x:c>
      <x:c r="E73" s="20" t="str">
        <x:v>SCR-045</x:v>
      </x:c>
      <x:c r="F73" s="35" t="str">
        <x:v>/messages/[id]</x:v>
      </x:c>
      <x:c r="G73" s="20" t="str">
        <x:v>Allowed</x:v>
      </x:c>
      <x:c r="H73" s="35" t="str">
        <x:v>Navigate from the persona shell; exercise every visible tab, filter, list action, detail action, empty/populated/error/loading state, and return path.</x:v>
      </x:c>
      <x:c r="I73" s="35" t="str">
        <x:v>Navigation entry; loaded state; action result; persisted read-back; audit/history; no data outside assigned relationship/property scope.</x:v>
      </x:c>
    </x:row>
    <x:row r="74">
      <x:c r="A74" s="20" t="str">
        <x:v>ROLE-071</x:v>
      </x:c>
      <x:c r="B74" s="23" t="n">
        <x:v>46483</x:v>
      </x:c>
      <x:c r="C74" s="20" t="str">
        <x:v>Maintenance Technician</x:v>
      </x:c>
      <x:c r="D74" s="20" t="str">
        <x:v>Web</x:v>
      </x:c>
      <x:c r="E74" s="20" t="str">
        <x:v>SCR-046</x:v>
      </x:c>
      <x:c r="F74" s="35" t="str">
        <x:v>/my-schedule</x:v>
      </x:c>
      <x:c r="G74" s="20" t="str">
        <x:v>Allowed</x:v>
      </x:c>
      <x:c r="H74" s="35" t="str">
        <x:v>Navigate from the persona shell; exercise every visible tab, filter, list action, detail action, empty/populated/error/loading state, and return path.</x:v>
      </x:c>
      <x:c r="I74" s="35" t="str">
        <x:v>Navigation entry; loaded state; action result; persisted read-back; audit/history; no data outside assigned relationship/property scope.</x:v>
      </x:c>
    </x:row>
    <x:row r="75">
      <x:c r="A75" s="20" t="str">
        <x:v>ROLE-072</x:v>
      </x:c>
      <x:c r="B75" s="23" t="n">
        <x:v>46485</x:v>
      </x:c>
      <x:c r="C75" s="20" t="str">
        <x:v>Maintenance Technician</x:v>
      </x:c>
      <x:c r="D75" s="20" t="str">
        <x:v>Web</x:v>
      </x:c>
      <x:c r="E75" s="20" t="str">
        <x:v>SCR-047</x:v>
      </x:c>
      <x:c r="F75" s="35" t="str">
        <x:v>/my-work</x:v>
      </x:c>
      <x:c r="G75" s="20" t="str">
        <x:v>Allowed</x:v>
      </x:c>
      <x:c r="H75" s="35" t="str">
        <x:v>Navigate from the persona shell; exercise every visible tab, filter, list action, detail action, empty/populated/error/loading state, and return path.</x:v>
      </x:c>
      <x:c r="I75" s="35" t="str">
        <x:v>Navigation entry; loaded state; action result; persisted read-back; audit/history; no data outside assigned relationship/property scope.</x:v>
      </x:c>
    </x:row>
    <x:row r="76">
      <x:c r="A76" s="20" t="str">
        <x:v>ROLE-073</x:v>
      </x:c>
      <x:c r="B76" s="23" t="n">
        <x:v>46486</x:v>
      </x:c>
      <x:c r="C76" s="20" t="str">
        <x:v>Maintenance Technician</x:v>
      </x:c>
      <x:c r="D76" s="20" t="str">
        <x:v>Web</x:v>
      </x:c>
      <x:c r="E76" s="20" t="str">
        <x:v>SCR-048</x:v>
      </x:c>
      <x:c r="F76" s="35" t="str">
        <x:v>/my-work/[id]</x:v>
      </x:c>
      <x:c r="G76" s="20" t="str">
        <x:v>Allowed</x:v>
      </x:c>
      <x:c r="H76" s="35" t="str">
        <x:v>Navigate from the persona shell; exercise every visible tab, filter, list action, detail action, empty/populated/error/loading state, and return path.</x:v>
      </x:c>
      <x:c r="I76" s="35" t="str">
        <x:v>Navigation entry; loaded state; action result; persisted read-back; audit/history; no data outside assigned relationship/property scope.</x:v>
      </x:c>
    </x:row>
    <x:row r="77">
      <x:c r="A77" s="20" t="str">
        <x:v>ROLE-074</x:v>
      </x:c>
      <x:c r="B77" s="23" t="n">
        <x:v>46489</x:v>
      </x:c>
      <x:c r="C77" s="20" t="str">
        <x:v>Workspace Administrator</x:v>
      </x:c>
      <x:c r="D77" s="20" t="str">
        <x:v>Web</x:v>
      </x:c>
      <x:c r="E77" s="20" t="str">
        <x:v>SCR-049</x:v>
      </x:c>
      <x:c r="F77" s="35" t="str">
        <x:v>/notices</x:v>
      </x:c>
      <x:c r="G77" s="20" t="str">
        <x:v>Allowed</x:v>
      </x:c>
      <x:c r="H77" s="35" t="str">
        <x:v>Navigate from the persona shell; exercise every visible tab, filter, list action, detail action, empty/populated/error/loading state, and return path.</x:v>
      </x:c>
      <x:c r="I77" s="35" t="str">
        <x:v>Navigation entry; loaded state; action result; persisted read-back; audit/history; no data outside assigned relationship/property scope.</x:v>
      </x:c>
    </x:row>
    <x:row r="78">
      <x:c r="A78" s="20" t="str">
        <x:v>ROLE-075</x:v>
      </x:c>
      <x:c r="B78" s="23" t="n">
        <x:v>46489</x:v>
      </x:c>
      <x:c r="C78" s="20" t="str">
        <x:v>Property Manager</x:v>
      </x:c>
      <x:c r="D78" s="20" t="str">
        <x:v>Web</x:v>
      </x:c>
      <x:c r="E78" s="20" t="str">
        <x:v>SCR-049</x:v>
      </x:c>
      <x:c r="F78" s="35" t="str">
        <x:v>/notices</x:v>
      </x:c>
      <x:c r="G78" s="20" t="str">
        <x:v>Allowed</x:v>
      </x:c>
      <x:c r="H78" s="35" t="str">
        <x:v>Navigate from the persona shell; exercise every visible tab, filter, list action, detail action, empty/populated/error/loading state, and return path.</x:v>
      </x:c>
      <x:c r="I78" s="35" t="str">
        <x:v>Navigation entry; loaded state; action result; persisted read-back; audit/history; no data outside assigned relationship/property scope.</x:v>
      </x:c>
    </x:row>
    <x:row r="79">
      <x:c r="A79" s="20" t="str">
        <x:v>ROLE-076</x:v>
      </x:c>
      <x:c r="B79" s="23" t="n">
        <x:v>46489</x:v>
      </x:c>
      <x:c r="C79" s="20" t="str">
        <x:v>Leasing Agent</x:v>
      </x:c>
      <x:c r="D79" s="20" t="str">
        <x:v>Web</x:v>
      </x:c>
      <x:c r="E79" s="20" t="str">
        <x:v>SCR-049</x:v>
      </x:c>
      <x:c r="F79" s="35" t="str">
        <x:v>/notices</x:v>
      </x:c>
      <x:c r="G79" s="20" t="str">
        <x:v>Allowed</x:v>
      </x:c>
      <x:c r="H79" s="35" t="str">
        <x:v>Navigate from the persona shell; exercise every visible tab, filter, list action, detail action, empty/populated/error/loading state, and return path.</x:v>
      </x:c>
      <x:c r="I79" s="35" t="str">
        <x:v>Navigation entry; loaded state; action result; persisted read-back; audit/history; no data outside assigned relationship/property scope.</x:v>
      </x:c>
    </x:row>
    <x:row r="80">
      <x:c r="A80" s="20" t="str">
        <x:v>ROLE-077</x:v>
      </x:c>
      <x:c r="B80" s="23" t="n">
        <x:v>46490</x:v>
      </x:c>
      <x:c r="C80" s="20" t="str">
        <x:v>Workspace Administrator</x:v>
      </x:c>
      <x:c r="D80" s="20" t="str">
        <x:v>Web</x:v>
      </x:c>
      <x:c r="E80" s="20" t="str">
        <x:v>SCR-050</x:v>
      </x:c>
      <x:c r="F80" s="35" t="str">
        <x:v>/onboarding</x:v>
      </x:c>
      <x:c r="G80" s="20" t="str">
        <x:v>Allowed</x:v>
      </x:c>
      <x:c r="H80" s="35" t="str">
        <x:v>Navigate from the persona shell; exercise every visible tab, filter, list action, detail action, empty/populated/error/loading state, and return path.</x:v>
      </x:c>
      <x:c r="I80" s="35" t="str">
        <x:v>Navigation entry; loaded state; action result; persisted read-back; audit/history; no data outside assigned relationship/property scope.</x:v>
      </x:c>
    </x:row>
    <x:row r="81">
      <x:c r="A81" s="20" t="str">
        <x:v>ROLE-078</x:v>
      </x:c>
      <x:c r="B81" s="23" t="n">
        <x:v>46492</x:v>
      </x:c>
      <x:c r="C81" s="20" t="str">
        <x:v>Owner</x:v>
      </x:c>
      <x:c r="D81" s="20" t="str">
        <x:v>Web</x:v>
      </x:c>
      <x:c r="E81" s="20" t="str">
        <x:v>SCR-051</x:v>
      </x:c>
      <x:c r="F81" s="35" t="str">
        <x:v>/owner</x:v>
      </x:c>
      <x:c r="G81" s="20" t="str">
        <x:v>Allowed</x:v>
      </x:c>
      <x:c r="H81" s="35" t="str">
        <x:v>Navigate from the persona shell; exercise every visible tab, filter, list action, detail action, empty/populated/error/loading state, and return path.</x:v>
      </x:c>
      <x:c r="I81" s="35" t="str">
        <x:v>Navigation entry; loaded state; action result; persisted read-back; audit/history; no data outside assigned relationship/property scope.</x:v>
      </x:c>
    </x:row>
    <x:row r="82">
      <x:c r="A82" s="20" t="str">
        <x:v>ROLE-079</x:v>
      </x:c>
      <x:c r="B82" s="23" t="n">
        <x:v>46493</x:v>
      </x:c>
      <x:c r="C82" s="20" t="str">
        <x:v>Owner</x:v>
      </x:c>
      <x:c r="D82" s="20" t="str">
        <x:v>Web</x:v>
      </x:c>
      <x:c r="E82" s="20" t="str">
        <x:v>SCR-052</x:v>
      </x:c>
      <x:c r="F82" s="35" t="str">
        <x:v>/owner/approvals</x:v>
      </x:c>
      <x:c r="G82" s="20" t="str">
        <x:v>Allowed</x:v>
      </x:c>
      <x:c r="H82" s="35" t="str">
        <x:v>Navigate from the persona shell; exercise every visible tab, filter, list action, detail action, empty/populated/error/loading state, and return path.</x:v>
      </x:c>
      <x:c r="I82" s="35" t="str">
        <x:v>Navigation entry; loaded state; action result; persisted read-back; audit/history; no data outside assigned relationship/property scope.</x:v>
      </x:c>
    </x:row>
    <x:row r="83">
      <x:c r="A83" s="20" t="str">
        <x:v>ROLE-080</x:v>
      </x:c>
      <x:c r="B83" s="23" t="n">
        <x:v>46496</x:v>
      </x:c>
      <x:c r="C83" s="20" t="str">
        <x:v>Owner</x:v>
      </x:c>
      <x:c r="D83" s="20" t="str">
        <x:v>Web</x:v>
      </x:c>
      <x:c r="E83" s="20" t="str">
        <x:v>SCR-053</x:v>
      </x:c>
      <x:c r="F83" s="35" t="str">
        <x:v>/owner/messages</x:v>
      </x:c>
      <x:c r="G83" s="20" t="str">
        <x:v>Allowed</x:v>
      </x:c>
      <x:c r="H83" s="35" t="str">
        <x:v>Navigate from the persona shell; exercise every visible tab, filter, list action, detail action, empty/populated/error/loading state, and return path.</x:v>
      </x:c>
      <x:c r="I83" s="35" t="str">
        <x:v>Navigation entry; loaded state; action result; persisted read-back; audit/history; no data outside assigned relationship/property scope.</x:v>
      </x:c>
    </x:row>
    <x:row r="84">
      <x:c r="A84" s="20" t="str">
        <x:v>ROLE-081</x:v>
      </x:c>
      <x:c r="B84" s="23" t="n">
        <x:v>46497</x:v>
      </x:c>
      <x:c r="C84" s="20" t="str">
        <x:v>Owner</x:v>
      </x:c>
      <x:c r="D84" s="20" t="str">
        <x:v>Web</x:v>
      </x:c>
      <x:c r="E84" s="20" t="str">
        <x:v>SCR-054</x:v>
      </x:c>
      <x:c r="F84" s="35" t="str">
        <x:v>/owner/properties</x:v>
      </x:c>
      <x:c r="G84" s="20" t="str">
        <x:v>Allowed</x:v>
      </x:c>
      <x:c r="H84" s="35" t="str">
        <x:v>Navigate from the persona shell; exercise every visible tab, filter, list action, detail action, empty/populated/error/loading state, and return path.</x:v>
      </x:c>
      <x:c r="I84" s="35" t="str">
        <x:v>Navigation entry; loaded state; action result; persisted read-back; audit/history; no data outside assigned relationship/property scope.</x:v>
      </x:c>
    </x:row>
    <x:row r="85">
      <x:c r="A85" s="20" t="str">
        <x:v>ROLE-082</x:v>
      </x:c>
      <x:c r="B85" s="23" t="n">
        <x:v>46499</x:v>
      </x:c>
      <x:c r="C85" s="20" t="str">
        <x:v>Owner</x:v>
      </x:c>
      <x:c r="D85" s="20" t="str">
        <x:v>Web</x:v>
      </x:c>
      <x:c r="E85" s="20" t="str">
        <x:v>SCR-055</x:v>
      </x:c>
      <x:c r="F85" s="35" t="str">
        <x:v>/owner/security</x:v>
      </x:c>
      <x:c r="G85" s="20" t="str">
        <x:v>Allowed</x:v>
      </x:c>
      <x:c r="H85" s="35" t="str">
        <x:v>Navigate from the persona shell; exercise every visible tab, filter, list action, detail action, empty/populated/error/loading state, and return path.</x:v>
      </x:c>
      <x:c r="I85" s="35" t="str">
        <x:v>Navigation entry; loaded state; action result; persisted read-back; audit/history; no data outside assigned relationship/property scope.</x:v>
      </x:c>
    </x:row>
    <x:row r="86">
      <x:c r="A86" s="20" t="str">
        <x:v>ROLE-083</x:v>
      </x:c>
      <x:c r="B86" s="23" t="n">
        <x:v>46500</x:v>
      </x:c>
      <x:c r="C86" s="20" t="str">
        <x:v>Owner</x:v>
      </x:c>
      <x:c r="D86" s="20" t="str">
        <x:v>Web</x:v>
      </x:c>
      <x:c r="E86" s="20" t="str">
        <x:v>SCR-056</x:v>
      </x:c>
      <x:c r="F86" s="35" t="str">
        <x:v>/owner/statements</x:v>
      </x:c>
      <x:c r="G86" s="20" t="str">
        <x:v>Allowed</x:v>
      </x:c>
      <x:c r="H86" s="35" t="str">
        <x:v>Navigate from the persona shell; exercise every visible tab, filter, list action, detail action, empty/populated/error/loading state, and return path.</x:v>
      </x:c>
      <x:c r="I86" s="35" t="str">
        <x:v>Navigation entry; loaded state; action result; persisted read-back; audit/history; no data outside assigned relationship/property scope.</x:v>
      </x:c>
    </x:row>
    <x:row r="87">
      <x:c r="A87" s="20" t="str">
        <x:v>ROLE-084</x:v>
      </x:c>
      <x:c r="B87" s="23" t="n">
        <x:v>46503</x:v>
      </x:c>
      <x:c r="C87" s="20" t="str">
        <x:v>Workspace Administrator</x:v>
      </x:c>
      <x:c r="D87" s="20" t="str">
        <x:v>Web</x:v>
      </x:c>
      <x:c r="E87" s="20" t="str">
        <x:v>SCR-057</x:v>
      </x:c>
      <x:c r="F87" s="35" t="str">
        <x:v>/owners</x:v>
      </x:c>
      <x:c r="G87" s="20" t="str">
        <x:v>Allowed</x:v>
      </x:c>
      <x:c r="H87" s="35" t="str">
        <x:v>Navigate from the persona shell; exercise every visible tab, filter, list action, detail action, empty/populated/error/loading state, and return path.</x:v>
      </x:c>
      <x:c r="I87" s="35" t="str">
        <x:v>Navigation entry; loaded state; action result; persisted read-back; audit/history; no data outside assigned relationship/property scope.</x:v>
      </x:c>
    </x:row>
    <x:row r="88">
      <x:c r="A88" s="20" t="str">
        <x:v>ROLE-085</x:v>
      </x:c>
      <x:c r="B88" s="23" t="n">
        <x:v>46503</x:v>
      </x:c>
      <x:c r="C88" s="20" t="str">
        <x:v>Property Manager</x:v>
      </x:c>
      <x:c r="D88" s="20" t="str">
        <x:v>Web</x:v>
      </x:c>
      <x:c r="E88" s="20" t="str">
        <x:v>SCR-057</x:v>
      </x:c>
      <x:c r="F88" s="35" t="str">
        <x:v>/owners</x:v>
      </x:c>
      <x:c r="G88" s="20" t="str">
        <x:v>Allowed</x:v>
      </x:c>
      <x:c r="H88" s="35" t="str">
        <x:v>Navigate from the persona shell; exercise every visible tab, filter, list action, detail action, empty/populated/error/loading state, and return path.</x:v>
      </x:c>
      <x:c r="I88" s="35" t="str">
        <x:v>Navigation entry; loaded state; action result; persisted read-back; audit/history; no data outside assigned relationship/property scope.</x:v>
      </x:c>
    </x:row>
    <x:row r="89">
      <x:c r="A89" s="20" t="str">
        <x:v>ROLE-086</x:v>
      </x:c>
      <x:c r="B89" s="23" t="n">
        <x:v>46504</x:v>
      </x:c>
      <x:c r="C89" s="20" t="str">
        <x:v>Workspace Administrator</x:v>
      </x:c>
      <x:c r="D89" s="20" t="str">
        <x:v>Web</x:v>
      </x:c>
      <x:c r="E89" s="20" t="str">
        <x:v>SCR-058</x:v>
      </x:c>
      <x:c r="F89" s="35" t="str">
        <x:v>/owners/[id]</x:v>
      </x:c>
      <x:c r="G89" s="20" t="str">
        <x:v>Allowed</x:v>
      </x:c>
      <x:c r="H89" s="35" t="str">
        <x:v>Navigate from the persona shell; exercise every visible tab, filter, list action, detail action, empty/populated/error/loading state, and return path.</x:v>
      </x:c>
      <x:c r="I89" s="35" t="str">
        <x:v>Navigation entry; loaded state; action result; persisted read-back; audit/history; no data outside assigned relationship/property scope.</x:v>
      </x:c>
    </x:row>
    <x:row r="90">
      <x:c r="A90" s="20" t="str">
        <x:v>ROLE-087</x:v>
      </x:c>
      <x:c r="B90" s="23" t="n">
        <x:v>46504</x:v>
      </x:c>
      <x:c r="C90" s="20" t="str">
        <x:v>Property Manager</x:v>
      </x:c>
      <x:c r="D90" s="20" t="str">
        <x:v>Web</x:v>
      </x:c>
      <x:c r="E90" s="20" t="str">
        <x:v>SCR-058</x:v>
      </x:c>
      <x:c r="F90" s="35" t="str">
        <x:v>/owners/[id]</x:v>
      </x:c>
      <x:c r="G90" s="20" t="str">
        <x:v>Allowed</x:v>
      </x:c>
      <x:c r="H90" s="35" t="str">
        <x:v>Navigate from the persona shell; exercise every visible tab, filter, list action, detail action, empty/populated/error/loading state, and return path.</x:v>
      </x:c>
      <x:c r="I90" s="35" t="str">
        <x:v>Navigation entry; loaded state; action result; persisted read-back; audit/history; no data outside assigned relationship/property scope.</x:v>
      </x:c>
    </x:row>
    <x:row r="91">
      <x:c r="A91" s="20" t="str">
        <x:v>ROLE-088</x:v>
      </x:c>
      <x:c r="B91" s="23" t="n">
        <x:v>46506</x:v>
      </x:c>
      <x:c r="C91" s="20" t="str">
        <x:v>Workspace Administrator</x:v>
      </x:c>
      <x:c r="D91" s="20" t="str">
        <x:v>Web</x:v>
      </x:c>
      <x:c r="E91" s="20" t="str">
        <x:v>SCR-059</x:v>
      </x:c>
      <x:c r="F91" s="35" t="str">
        <x:v>/owners-report</x:v>
      </x:c>
      <x:c r="G91" s="20" t="str">
        <x:v>Allowed</x:v>
      </x:c>
      <x:c r="H91" s="35" t="str">
        <x:v>Navigate from the persona shell; exercise every visible tab, filter, list action, detail action, empty/populated/error/loading state, and return path.</x:v>
      </x:c>
      <x:c r="I91" s="35" t="str">
        <x:v>Navigation entry; loaded state; action result; persisted read-back; audit/history; no data outside assigned relationship/property scope.</x:v>
      </x:c>
    </x:row>
    <x:row r="92">
      <x:c r="A92" s="20" t="str">
        <x:v>ROLE-089</x:v>
      </x:c>
      <x:c r="B92" s="23" t="n">
        <x:v>46506</x:v>
      </x:c>
      <x:c r="C92" s="20" t="str">
        <x:v>Property Manager</x:v>
      </x:c>
      <x:c r="D92" s="20" t="str">
        <x:v>Web</x:v>
      </x:c>
      <x:c r="E92" s="20" t="str">
        <x:v>SCR-059</x:v>
      </x:c>
      <x:c r="F92" s="35" t="str">
        <x:v>/owners-report</x:v>
      </x:c>
      <x:c r="G92" s="20" t="str">
        <x:v>Allowed</x:v>
      </x:c>
      <x:c r="H92" s="35" t="str">
        <x:v>Navigate from the persona shell; exercise every visible tab, filter, list action, detail action, empty/populated/error/loading state, and return path.</x:v>
      </x:c>
      <x:c r="I92" s="35" t="str">
        <x:v>Navigation entry; loaded state; action result; persisted read-back; audit/history; no data outside assigned relationship/property scope.</x:v>
      </x:c>
    </x:row>
    <x:row r="93">
      <x:c r="A93" s="20" t="str">
        <x:v>ROLE-090</x:v>
      </x:c>
      <x:c r="B93" s="23" t="n">
        <x:v>46507</x:v>
      </x:c>
      <x:c r="C93" s="20" t="str">
        <x:v>Workspace Administrator</x:v>
      </x:c>
      <x:c r="D93" s="20" t="str">
        <x:v>Web</x:v>
      </x:c>
      <x:c r="E93" s="20" t="str">
        <x:v>SCR-060</x:v>
      </x:c>
      <x:c r="F93" s="35" t="str">
        <x:v>/plaid/auth</x:v>
      </x:c>
      <x:c r="G93" s="20" t="str">
        <x:v>Allowed</x:v>
      </x:c>
      <x:c r="H93" s="35" t="str">
        <x:v>Navigate from the persona shell; exercise every visible tab, filter, list action, detail action, empty/populated/error/loading state, and return path.</x:v>
      </x:c>
      <x:c r="I93" s="35" t="str">
        <x:v>Navigation entry; loaded state; action result; persisted read-back; audit/history; no data outside assigned relationship/property scope.</x:v>
      </x:c>
    </x:row>
    <x:row r="94">
      <x:c r="A94" s="20" t="str">
        <x:v>ROLE-091</x:v>
      </x:c>
      <x:c r="B94" s="23" t="n">
        <x:v>46510</x:v>
      </x:c>
      <x:c r="C94" s="20" t="str">
        <x:v>Leasing Agent</x:v>
      </x:c>
      <x:c r="D94" s="20" t="str">
        <x:v>Web</x:v>
      </x:c>
      <x:c r="E94" s="20" t="str">
        <x:v>SCR-061</x:v>
      </x:c>
      <x:c r="F94" s="35" t="str">
        <x:v>/profile</x:v>
      </x:c>
      <x:c r="G94" s="20" t="str">
        <x:v>Allowed</x:v>
      </x:c>
      <x:c r="H94" s="35" t="str">
        <x:v>Navigate from the persona shell; exercise every visible tab, filter, list action, detail action, empty/populated/error/loading state, and return path.</x:v>
      </x:c>
      <x:c r="I94" s="35" t="str">
        <x:v>Navigation entry; loaded state; action result; persisted read-back; audit/history; no data outside assigned relationship/property scope.</x:v>
      </x:c>
    </x:row>
    <x:row r="95">
      <x:c r="A95" s="20" t="str">
        <x:v>ROLE-092</x:v>
      </x:c>
      <x:c r="B95" s="23" t="n">
        <x:v>46510</x:v>
      </x:c>
      <x:c r="C95" s="20" t="str">
        <x:v>Maintenance Technician</x:v>
      </x:c>
      <x:c r="D95" s="20" t="str">
        <x:v>Web</x:v>
      </x:c>
      <x:c r="E95" s="20" t="str">
        <x:v>SCR-061</x:v>
      </x:c>
      <x:c r="F95" s="35" t="str">
        <x:v>/profile</x:v>
      </x:c>
      <x:c r="G95" s="20" t="str">
        <x:v>Allowed</x:v>
      </x:c>
      <x:c r="H95" s="35" t="str">
        <x:v>Navigate from the persona shell; exercise every visible tab, filter, list action, detail action, empty/populated/error/loading state, and return path.</x:v>
      </x:c>
      <x:c r="I95" s="35" t="str">
        <x:v>Navigation entry; loaded state; action result; persisted read-back; audit/history; no data outside assigned relationship/property scope.</x:v>
      </x:c>
    </x:row>
    <x:row r="96">
      <x:c r="A96" s="20" t="str">
        <x:v>ROLE-093</x:v>
      </x:c>
      <x:c r="B96" s="23" t="n">
        <x:v>46511</x:v>
      </x:c>
      <x:c r="C96" s="20" t="str">
        <x:v>Workspace Administrator</x:v>
      </x:c>
      <x:c r="D96" s="20" t="str">
        <x:v>Web</x:v>
      </x:c>
      <x:c r="E96" s="20" t="str">
        <x:v>SCR-062</x:v>
      </x:c>
      <x:c r="F96" s="35" t="str">
        <x:v>/properties</x:v>
      </x:c>
      <x:c r="G96" s="20" t="str">
        <x:v>Allowed</x:v>
      </x:c>
      <x:c r="H96" s="35" t="str">
        <x:v>Navigate from the persona shell; exercise every visible tab, filter, list action, detail action, empty/populated/error/loading state, and return path.</x:v>
      </x:c>
      <x:c r="I96" s="35" t="str">
        <x:v>Navigation entry; loaded state; action result; persisted read-back; audit/history; no data outside assigned relationship/property scope.</x:v>
      </x:c>
    </x:row>
    <x:row r="97">
      <x:c r="A97" s="20" t="str">
        <x:v>ROLE-094</x:v>
      </x:c>
      <x:c r="B97" s="23" t="n">
        <x:v>46511</x:v>
      </x:c>
      <x:c r="C97" s="20" t="str">
        <x:v>Property Manager</x:v>
      </x:c>
      <x:c r="D97" s="20" t="str">
        <x:v>Web</x:v>
      </x:c>
      <x:c r="E97" s="20" t="str">
        <x:v>SCR-062</x:v>
      </x:c>
      <x:c r="F97" s="35" t="str">
        <x:v>/properties</x:v>
      </x:c>
      <x:c r="G97" s="20" t="str">
        <x:v>Allowed</x:v>
      </x:c>
      <x:c r="H97" s="35" t="str">
        <x:v>Navigate from the persona shell; exercise every visible tab, filter, list action, detail action, empty/populated/error/loading state, and return path.</x:v>
      </x:c>
      <x:c r="I97" s="35" t="str">
        <x:v>Navigation entry; loaded state; action result; persisted read-back; audit/history; no data outside assigned relationship/property scope.</x:v>
      </x:c>
    </x:row>
    <x:row r="98">
      <x:c r="A98" s="20" t="str">
        <x:v>ROLE-095</x:v>
      </x:c>
      <x:c r="B98" s="23" t="n">
        <x:v>46513</x:v>
      </x:c>
      <x:c r="C98" s="20" t="str">
        <x:v>Workspace Administrator</x:v>
      </x:c>
      <x:c r="D98" s="20" t="str">
        <x:v>Web</x:v>
      </x:c>
      <x:c r="E98" s="20" t="str">
        <x:v>SCR-063</x:v>
      </x:c>
      <x:c r="F98" s="35" t="str">
        <x:v>/properties/[id]</x:v>
      </x:c>
      <x:c r="G98" s="20" t="str">
        <x:v>Allowed</x:v>
      </x:c>
      <x:c r="H98" s="35" t="str">
        <x:v>Navigate from the persona shell; exercise every visible tab, filter, list action, detail action, empty/populated/error/loading state, and return path.</x:v>
      </x:c>
      <x:c r="I98" s="35" t="str">
        <x:v>Navigation entry; loaded state; action result; persisted read-back; audit/history; no data outside assigned relationship/property scope.</x:v>
      </x:c>
    </x:row>
    <x:row r="99">
      <x:c r="A99" s="20" t="str">
        <x:v>ROLE-096</x:v>
      </x:c>
      <x:c r="B99" s="23" t="n">
        <x:v>46513</x:v>
      </x:c>
      <x:c r="C99" s="20" t="str">
        <x:v>Property Manager</x:v>
      </x:c>
      <x:c r="D99" s="20" t="str">
        <x:v>Web</x:v>
      </x:c>
      <x:c r="E99" s="20" t="str">
        <x:v>SCR-063</x:v>
      </x:c>
      <x:c r="F99" s="35" t="str">
        <x:v>/properties/[id]</x:v>
      </x:c>
      <x:c r="G99" s="20" t="str">
        <x:v>Allowed</x:v>
      </x:c>
      <x:c r="H99" s="35" t="str">
        <x:v>Navigate from the persona shell; exercise every visible tab, filter, list action, detail action, empty/populated/error/loading state, and return path.</x:v>
      </x:c>
      <x:c r="I99" s="35" t="str">
        <x:v>Navigation entry; loaded state; action result; persisted read-back; audit/history; no data outside assigned relationship/property scope.</x:v>
      </x:c>
    </x:row>
    <x:row r="100">
      <x:c r="A100" s="20" t="str">
        <x:v>ROLE-097</x:v>
      </x:c>
      <x:c r="B100" s="23" t="n">
        <x:v>46514</x:v>
      </x:c>
      <x:c r="C100" s="20" t="str">
        <x:v>Workspace Administrator</x:v>
      </x:c>
      <x:c r="D100" s="20" t="str">
        <x:v>Web</x:v>
      </x:c>
      <x:c r="E100" s="20" t="str">
        <x:v>SCR-064</x:v>
      </x:c>
      <x:c r="F100" s="35" t="str">
        <x:v>/reports</x:v>
      </x:c>
      <x:c r="G100" s="20" t="str">
        <x:v>Allowed</x:v>
      </x:c>
      <x:c r="H100" s="35" t="str">
        <x:v>Navigate from the persona shell; exercise every visible tab, filter, list action, detail action, empty/populated/error/loading state, and return path.</x:v>
      </x:c>
      <x:c r="I100" s="35" t="str">
        <x:v>Navigation entry; loaded state; action result; persisted read-back; audit/history; no data outside assigned relationship/property scope.</x:v>
      </x:c>
    </x:row>
    <x:row r="101">
      <x:c r="A101" s="20" t="str">
        <x:v>ROLE-098</x:v>
      </x:c>
      <x:c r="B101" s="23" t="n">
        <x:v>46514</x:v>
      </x:c>
      <x:c r="C101" s="20" t="str">
        <x:v>Property Manager</x:v>
      </x:c>
      <x:c r="D101" s="20" t="str">
        <x:v>Web</x:v>
      </x:c>
      <x:c r="E101" s="20" t="str">
        <x:v>SCR-064</x:v>
      </x:c>
      <x:c r="F101" s="35" t="str">
        <x:v>/reports</x:v>
      </x:c>
      <x:c r="G101" s="20" t="str">
        <x:v>Allowed</x:v>
      </x:c>
      <x:c r="H101" s="35" t="str">
        <x:v>Navigate from the persona shell; exercise every visible tab, filter, list action, detail action, empty/populated/error/loading state, and return path.</x:v>
      </x:c>
      <x:c r="I101" s="35" t="str">
        <x:v>Navigation entry; loaded state; action result; persisted read-back; audit/history; no data outside assigned relationship/property scope.</x:v>
      </x:c>
    </x:row>
    <x:row r="102">
      <x:c r="A102" s="20" t="str">
        <x:v>ROLE-099</x:v>
      </x:c>
      <x:c r="B102" s="23" t="n">
        <x:v>46517</x:v>
      </x:c>
      <x:c r="C102" s="20" t="str">
        <x:v>Workspace Administrator</x:v>
      </x:c>
      <x:c r="D102" s="20" t="str">
        <x:v>Web</x:v>
      </x:c>
      <x:c r="E102" s="20" t="str">
        <x:v>SCR-065</x:v>
      </x:c>
      <x:c r="F102" s="35" t="str">
        <x:v>/reports/[report]</x:v>
      </x:c>
      <x:c r="G102" s="20" t="str">
        <x:v>Allowed</x:v>
      </x:c>
      <x:c r="H102" s="35" t="str">
        <x:v>Navigate from the persona shell; exercise every visible tab, filter, list action, detail action, empty/populated/error/loading state, and return path.</x:v>
      </x:c>
      <x:c r="I102" s="35" t="str">
        <x:v>Navigation entry; loaded state; action result; persisted read-back; audit/history; no data outside assigned relationship/property scope.</x:v>
      </x:c>
    </x:row>
    <x:row r="103">
      <x:c r="A103" s="20" t="str">
        <x:v>ROLE-100</x:v>
      </x:c>
      <x:c r="B103" s="23" t="n">
        <x:v>46517</x:v>
      </x:c>
      <x:c r="C103" s="20" t="str">
        <x:v>Property Manager</x:v>
      </x:c>
      <x:c r="D103" s="20" t="str">
        <x:v>Web</x:v>
      </x:c>
      <x:c r="E103" s="20" t="str">
        <x:v>SCR-065</x:v>
      </x:c>
      <x:c r="F103" s="35" t="str">
        <x:v>/reports/[report]</x:v>
      </x:c>
      <x:c r="G103" s="20" t="str">
        <x:v>Allowed</x:v>
      </x:c>
      <x:c r="H103" s="35" t="str">
        <x:v>Navigate from the persona shell; exercise every visible tab, filter, list action, detail action, empty/populated/error/loading state, and return path.</x:v>
      </x:c>
      <x:c r="I103" s="35" t="str">
        <x:v>Navigation entry; loaded state; action result; persisted read-back; audit/history; no data outside assigned relationship/property scope.</x:v>
      </x:c>
    </x:row>
    <x:row r="104">
      <x:c r="A104" s="20" t="str">
        <x:v>ROLE-101</x:v>
      </x:c>
      <x:c r="B104" s="23" t="n">
        <x:v>46518</x:v>
      </x:c>
      <x:c r="C104" s="20" t="str">
        <x:v>Workspace Administrator</x:v>
      </x:c>
      <x:c r="D104" s="20" t="str">
        <x:v>Web</x:v>
      </x:c>
      <x:c r="E104" s="20" t="str">
        <x:v>SCR-066</x:v>
      </x:c>
      <x:c r="F104" s="35" t="str">
        <x:v>/scan</x:v>
      </x:c>
      <x:c r="G104" s="20" t="str">
        <x:v>Allowed</x:v>
      </x:c>
      <x:c r="H104" s="35" t="str">
        <x:v>Navigate from the persona shell; exercise every visible tab, filter, list action, detail action, empty/populated/error/loading state, and return path.</x:v>
      </x:c>
      <x:c r="I104" s="35" t="str">
        <x:v>Navigation entry; loaded state; action result; persisted read-back; audit/history; no data outside assigned relationship/property scope.</x:v>
      </x:c>
    </x:row>
    <x:row r="105">
      <x:c r="A105" s="20" t="str">
        <x:v>ROLE-102</x:v>
      </x:c>
      <x:c r="B105" s="23" t="n">
        <x:v>46518</x:v>
      </x:c>
      <x:c r="C105" s="20" t="str">
        <x:v>Property Manager</x:v>
      </x:c>
      <x:c r="D105" s="20" t="str">
        <x:v>Web</x:v>
      </x:c>
      <x:c r="E105" s="20" t="str">
        <x:v>SCR-066</x:v>
      </x:c>
      <x:c r="F105" s="35" t="str">
        <x:v>/scan</x:v>
      </x:c>
      <x:c r="G105" s="20" t="str">
        <x:v>Allowed</x:v>
      </x:c>
      <x:c r="H105" s="35" t="str">
        <x:v>Navigate from the persona shell; exercise every visible tab, filter, list action, detail action, empty/populated/error/loading state, and return path.</x:v>
      </x:c>
      <x:c r="I105" s="35" t="str">
        <x:v>Navigation entry; loaded state; action result; persisted read-back; audit/history; no data outside assigned relationship/property scope.</x:v>
      </x:c>
    </x:row>
    <x:row r="106">
      <x:c r="A106" s="20" t="str">
        <x:v>ROLE-103</x:v>
      </x:c>
      <x:c r="B106" s="23" t="n">
        <x:v>46518</x:v>
      </x:c>
      <x:c r="C106" s="20" t="str">
        <x:v>Leasing Agent</x:v>
      </x:c>
      <x:c r="D106" s="20" t="str">
        <x:v>Web</x:v>
      </x:c>
      <x:c r="E106" s="20" t="str">
        <x:v>SCR-066</x:v>
      </x:c>
      <x:c r="F106" s="35" t="str">
        <x:v>/scan</x:v>
      </x:c>
      <x:c r="G106" s="20" t="str">
        <x:v>Allowed</x:v>
      </x:c>
      <x:c r="H106" s="35" t="str">
        <x:v>Navigate from the persona shell; exercise every visible tab, filter, list action, detail action, empty/populated/error/loading state, and return path.</x:v>
      </x:c>
      <x:c r="I106" s="35" t="str">
        <x:v>Navigation entry; loaded state; action result; persisted read-back; audit/history; no data outside assigned relationship/property scope.</x:v>
      </x:c>
    </x:row>
    <x:row r="107">
      <x:c r="A107" s="20" t="str">
        <x:v>ROLE-104</x:v>
      </x:c>
      <x:c r="B107" s="23" t="n">
        <x:v>46518</x:v>
      </x:c>
      <x:c r="C107" s="20" t="str">
        <x:v>Maintenance Technician</x:v>
      </x:c>
      <x:c r="D107" s="20" t="str">
        <x:v>Web</x:v>
      </x:c>
      <x:c r="E107" s="20" t="str">
        <x:v>SCR-066</x:v>
      </x:c>
      <x:c r="F107" s="35" t="str">
        <x:v>/scan</x:v>
      </x:c>
      <x:c r="G107" s="20" t="str">
        <x:v>Allowed</x:v>
      </x:c>
      <x:c r="H107" s="35" t="str">
        <x:v>Navigate from the persona shell; exercise every visible tab, filter, list action, detail action, empty/populated/error/loading state, and return path.</x:v>
      </x:c>
      <x:c r="I107" s="35" t="str">
        <x:v>Navigation entry; loaded state; action result; persisted read-back; audit/history; no data outside assigned relationship/property scope.</x:v>
      </x:c>
    </x:row>
    <x:row r="108">
      <x:c r="A108" s="20" t="str">
        <x:v>ROLE-105</x:v>
      </x:c>
      <x:c r="B108" s="23" t="n">
        <x:v>46520</x:v>
      </x:c>
      <x:c r="C108" s="20" t="str">
        <x:v>Workspace Administrator</x:v>
      </x:c>
      <x:c r="D108" s="20" t="str">
        <x:v>Web</x:v>
      </x:c>
      <x:c r="E108" s="20" t="str">
        <x:v>SCR-067</x:v>
      </x:c>
      <x:c r="F108" s="35" t="str">
        <x:v>/scan/[draftId]</x:v>
      </x:c>
      <x:c r="G108" s="20" t="str">
        <x:v>Allowed</x:v>
      </x:c>
      <x:c r="H108" s="35" t="str">
        <x:v>Navigate from the persona shell; exercise every visible tab, filter, list action, detail action, empty/populated/error/loading state, and return path.</x:v>
      </x:c>
      <x:c r="I108" s="35" t="str">
        <x:v>Navigation entry; loaded state; action result; persisted read-back; audit/history; no data outside assigned relationship/property scope.</x:v>
      </x:c>
    </x:row>
    <x:row r="109">
      <x:c r="A109" s="20" t="str">
        <x:v>ROLE-106</x:v>
      </x:c>
      <x:c r="B109" s="23" t="n">
        <x:v>46520</x:v>
      </x:c>
      <x:c r="C109" s="20" t="str">
        <x:v>Property Manager</x:v>
      </x:c>
      <x:c r="D109" s="20" t="str">
        <x:v>Web</x:v>
      </x:c>
      <x:c r="E109" s="20" t="str">
        <x:v>SCR-067</x:v>
      </x:c>
      <x:c r="F109" s="35" t="str">
        <x:v>/scan/[draftId]</x:v>
      </x:c>
      <x:c r="G109" s="20" t="str">
        <x:v>Allowed</x:v>
      </x:c>
      <x:c r="H109" s="35" t="str">
        <x:v>Navigate from the persona shell; exercise every visible tab, filter, list action, detail action, empty/populated/error/loading state, and return path.</x:v>
      </x:c>
      <x:c r="I109" s="35" t="str">
        <x:v>Navigation entry; loaded state; action result; persisted read-back; audit/history; no data outside assigned relationship/property scope.</x:v>
      </x:c>
    </x:row>
    <x:row r="110">
      <x:c r="A110" s="20" t="str">
        <x:v>ROLE-107</x:v>
      </x:c>
      <x:c r="B110" s="23" t="n">
        <x:v>46520</x:v>
      </x:c>
      <x:c r="C110" s="20" t="str">
        <x:v>Leasing Agent</x:v>
      </x:c>
      <x:c r="D110" s="20" t="str">
        <x:v>Web</x:v>
      </x:c>
      <x:c r="E110" s="20" t="str">
        <x:v>SCR-067</x:v>
      </x:c>
      <x:c r="F110" s="35" t="str">
        <x:v>/scan/[draftId]</x:v>
      </x:c>
      <x:c r="G110" s="20" t="str">
        <x:v>Allowed</x:v>
      </x:c>
      <x:c r="H110" s="35" t="str">
        <x:v>Navigate from the persona shell; exercise every visible tab, filter, list action, detail action, empty/populated/error/loading state, and return path.</x:v>
      </x:c>
      <x:c r="I110" s="35" t="str">
        <x:v>Navigation entry; loaded state; action result; persisted read-back; audit/history; no data outside assigned relationship/property scope.</x:v>
      </x:c>
    </x:row>
    <x:row r="111">
      <x:c r="A111" s="20" t="str">
        <x:v>ROLE-108</x:v>
      </x:c>
      <x:c r="B111" s="23" t="n">
        <x:v>46520</x:v>
      </x:c>
      <x:c r="C111" s="20" t="str">
        <x:v>Maintenance Technician</x:v>
      </x:c>
      <x:c r="D111" s="20" t="str">
        <x:v>Web</x:v>
      </x:c>
      <x:c r="E111" s="20" t="str">
        <x:v>SCR-067</x:v>
      </x:c>
      <x:c r="F111" s="35" t="str">
        <x:v>/scan/[draftId]</x:v>
      </x:c>
      <x:c r="G111" s="20" t="str">
        <x:v>Allowed</x:v>
      </x:c>
      <x:c r="H111" s="35" t="str">
        <x:v>Navigate from the persona shell; exercise every visible tab, filter, list action, detail action, empty/populated/error/loading state, and return path.</x:v>
      </x:c>
      <x:c r="I111" s="35" t="str">
        <x:v>Navigation entry; loaded state; action result; persisted read-back; audit/history; no data outside assigned relationship/property scope.</x:v>
      </x:c>
    </x:row>
    <x:row r="112">
      <x:c r="A112" s="20" t="str">
        <x:v>ROLE-109</x:v>
      </x:c>
      <x:c r="B112" s="23" t="n">
        <x:v>46521</x:v>
      </x:c>
      <x:c r="C112" s="20" t="str">
        <x:v>Workspace Administrator</x:v>
      </x:c>
      <x:c r="D112" s="20" t="str">
        <x:v>Web</x:v>
      </x:c>
      <x:c r="E112" s="20" t="str">
        <x:v>SCR-068</x:v>
      </x:c>
      <x:c r="F112" s="35" t="str">
        <x:v>/scan/batch</x:v>
      </x:c>
      <x:c r="G112" s="20" t="str">
        <x:v>Allowed</x:v>
      </x:c>
      <x:c r="H112" s="35" t="str">
        <x:v>Navigate from the persona shell; exercise every visible tab, filter, list action, detail action, empty/populated/error/loading state, and return path.</x:v>
      </x:c>
      <x:c r="I112" s="35" t="str">
        <x:v>Navigation entry; loaded state; action result; persisted read-back; audit/history; no data outside assigned relationship/property scope.</x:v>
      </x:c>
    </x:row>
    <x:row r="113">
      <x:c r="A113" s="20" t="str">
        <x:v>ROLE-110</x:v>
      </x:c>
      <x:c r="B113" s="23" t="n">
        <x:v>46521</x:v>
      </x:c>
      <x:c r="C113" s="20" t="str">
        <x:v>Property Manager</x:v>
      </x:c>
      <x:c r="D113" s="20" t="str">
        <x:v>Web</x:v>
      </x:c>
      <x:c r="E113" s="20" t="str">
        <x:v>SCR-068</x:v>
      </x:c>
      <x:c r="F113" s="35" t="str">
        <x:v>/scan/batch</x:v>
      </x:c>
      <x:c r="G113" s="20" t="str">
        <x:v>Allowed</x:v>
      </x:c>
      <x:c r="H113" s="35" t="str">
        <x:v>Navigate from the persona shell; exercise every visible tab, filter, list action, detail action, empty/populated/error/loading state, and return path.</x:v>
      </x:c>
      <x:c r="I113" s="35" t="str">
        <x:v>Navigation entry; loaded state; action result; persisted read-back; audit/history; no data outside assigned relationship/property scope.</x:v>
      </x:c>
    </x:row>
    <x:row r="114">
      <x:c r="A114" s="20" t="str">
        <x:v>ROLE-111</x:v>
      </x:c>
      <x:c r="B114" s="23" t="n">
        <x:v>46521</x:v>
      </x:c>
      <x:c r="C114" s="20" t="str">
        <x:v>Leasing Agent</x:v>
      </x:c>
      <x:c r="D114" s="20" t="str">
        <x:v>Web</x:v>
      </x:c>
      <x:c r="E114" s="20" t="str">
        <x:v>SCR-068</x:v>
      </x:c>
      <x:c r="F114" s="35" t="str">
        <x:v>/scan/batch</x:v>
      </x:c>
      <x:c r="G114" s="20" t="str">
        <x:v>Allowed</x:v>
      </x:c>
      <x:c r="H114" s="35" t="str">
        <x:v>Navigate from the persona shell; exercise every visible tab, filter, list action, detail action, empty/populated/error/loading state, and return path.</x:v>
      </x:c>
      <x:c r="I114" s="35" t="str">
        <x:v>Navigation entry; loaded state; action result; persisted read-back; audit/history; no data outside assigned relationship/property scope.</x:v>
      </x:c>
    </x:row>
    <x:row r="115">
      <x:c r="A115" s="20" t="str">
        <x:v>ROLE-112</x:v>
      </x:c>
      <x:c r="B115" s="23" t="n">
        <x:v>46521</x:v>
      </x:c>
      <x:c r="C115" s="20" t="str">
        <x:v>Maintenance Technician</x:v>
      </x:c>
      <x:c r="D115" s="20" t="str">
        <x:v>Web</x:v>
      </x:c>
      <x:c r="E115" s="20" t="str">
        <x:v>SCR-068</x:v>
      </x:c>
      <x:c r="F115" s="35" t="str">
        <x:v>/scan/batch</x:v>
      </x:c>
      <x:c r="G115" s="20" t="str">
        <x:v>Allowed</x:v>
      </x:c>
      <x:c r="H115" s="35" t="str">
        <x:v>Navigate from the persona shell; exercise every visible tab, filter, list action, detail action, empty/populated/error/loading state, and return path.</x:v>
      </x:c>
      <x:c r="I115" s="35" t="str">
        <x:v>Navigation entry; loaded state; action result; persisted read-back; audit/history; no data outside assigned relationship/property scope.</x:v>
      </x:c>
    </x:row>
    <x:row r="116">
      <x:c r="A116" s="20" t="str">
        <x:v>ROLE-113</x:v>
      </x:c>
      <x:c r="B116" s="23" t="n">
        <x:v>46524</x:v>
      </x:c>
      <x:c r="C116" s="20" t="str">
        <x:v>Workspace Administrator</x:v>
      </x:c>
      <x:c r="D116" s="20" t="str">
        <x:v>Web</x:v>
      </x:c>
      <x:c r="E116" s="20" t="str">
        <x:v>SCR-069</x:v>
      </x:c>
      <x:c r="F116" s="35" t="str">
        <x:v>/scan/batch/[id]</x:v>
      </x:c>
      <x:c r="G116" s="20" t="str">
        <x:v>Allowed</x:v>
      </x:c>
      <x:c r="H116" s="35" t="str">
        <x:v>Navigate from the persona shell; exercise every visible tab, filter, list action, detail action, empty/populated/error/loading state, and return path.</x:v>
      </x:c>
      <x:c r="I116" s="35" t="str">
        <x:v>Navigation entry; loaded state; action result; persisted read-back; audit/history; no data outside assigned relationship/property scope.</x:v>
      </x:c>
    </x:row>
    <x:row r="117">
      <x:c r="A117" s="20" t="str">
        <x:v>ROLE-114</x:v>
      </x:c>
      <x:c r="B117" s="23" t="n">
        <x:v>46524</x:v>
      </x:c>
      <x:c r="C117" s="20" t="str">
        <x:v>Property Manager</x:v>
      </x:c>
      <x:c r="D117" s="20" t="str">
        <x:v>Web</x:v>
      </x:c>
      <x:c r="E117" s="20" t="str">
        <x:v>SCR-069</x:v>
      </x:c>
      <x:c r="F117" s="35" t="str">
        <x:v>/scan/batch/[id]</x:v>
      </x:c>
      <x:c r="G117" s="20" t="str">
        <x:v>Allowed</x:v>
      </x:c>
      <x:c r="H117" s="35" t="str">
        <x:v>Navigate from the persona shell; exercise every visible tab, filter, list action, detail action, empty/populated/error/loading state, and return path.</x:v>
      </x:c>
      <x:c r="I117" s="35" t="str">
        <x:v>Navigation entry; loaded state; action result; persisted read-back; audit/history; no data outside assigned relationship/property scope.</x:v>
      </x:c>
    </x:row>
    <x:row r="118">
      <x:c r="A118" s="20" t="str">
        <x:v>ROLE-115</x:v>
      </x:c>
      <x:c r="B118" s="23" t="n">
        <x:v>46524</x:v>
      </x:c>
      <x:c r="C118" s="20" t="str">
        <x:v>Leasing Agent</x:v>
      </x:c>
      <x:c r="D118" s="20" t="str">
        <x:v>Web</x:v>
      </x:c>
      <x:c r="E118" s="20" t="str">
        <x:v>SCR-069</x:v>
      </x:c>
      <x:c r="F118" s="35" t="str">
        <x:v>/scan/batch/[id]</x:v>
      </x:c>
      <x:c r="G118" s="20" t="str">
        <x:v>Allowed</x:v>
      </x:c>
      <x:c r="H118" s="35" t="str">
        <x:v>Navigate from the persona shell; exercise every visible tab, filter, list action, detail action, empty/populated/error/loading state, and return path.</x:v>
      </x:c>
      <x:c r="I118" s="35" t="str">
        <x:v>Navigation entry; loaded state; action result; persisted read-back; audit/history; no data outside assigned relationship/property scope.</x:v>
      </x:c>
    </x:row>
    <x:row r="119">
      <x:c r="A119" s="20" t="str">
        <x:v>ROLE-116</x:v>
      </x:c>
      <x:c r="B119" s="23" t="n">
        <x:v>46524</x:v>
      </x:c>
      <x:c r="C119" s="20" t="str">
        <x:v>Maintenance Technician</x:v>
      </x:c>
      <x:c r="D119" s="20" t="str">
        <x:v>Web</x:v>
      </x:c>
      <x:c r="E119" s="20" t="str">
        <x:v>SCR-069</x:v>
      </x:c>
      <x:c r="F119" s="35" t="str">
        <x:v>/scan/batch/[id]</x:v>
      </x:c>
      <x:c r="G119" s="20" t="str">
        <x:v>Allowed</x:v>
      </x:c>
      <x:c r="H119" s="35" t="str">
        <x:v>Navigate from the persona shell; exercise every visible tab, filter, list action, detail action, empty/populated/error/loading state, and return path.</x:v>
      </x:c>
      <x:c r="I119" s="35" t="str">
        <x:v>Navigation entry; loaded state; action result; persisted read-back; audit/history; no data outside assigned relationship/property scope.</x:v>
      </x:c>
    </x:row>
    <x:row r="120">
      <x:c r="A120" s="20" t="str">
        <x:v>ROLE-117</x:v>
      </x:c>
      <x:c r="B120" s="23" t="n">
        <x:v>46525</x:v>
      </x:c>
      <x:c r="C120" s="20" t="str">
        <x:v>Workspace Administrator</x:v>
      </x:c>
      <x:c r="D120" s="20" t="str">
        <x:v>Web</x:v>
      </x:c>
      <x:c r="E120" s="20" t="str">
        <x:v>SCR-070</x:v>
      </x:c>
      <x:c r="F120" s="35" t="str">
        <x:v>/scan/new-rental</x:v>
      </x:c>
      <x:c r="G120" s="20" t="str">
        <x:v>Allowed</x:v>
      </x:c>
      <x:c r="H120" s="35" t="str">
        <x:v>Navigate from the persona shell; exercise every visible tab, filter, list action, detail action, empty/populated/error/loading state, and return path.</x:v>
      </x:c>
      <x:c r="I120" s="35" t="str">
        <x:v>Navigation entry; loaded state; action result; persisted read-back; audit/history; no data outside assigned relationship/property scope.</x:v>
      </x:c>
    </x:row>
    <x:row r="121">
      <x:c r="A121" s="20" t="str">
        <x:v>ROLE-118</x:v>
      </x:c>
      <x:c r="B121" s="23" t="n">
        <x:v>46525</x:v>
      </x:c>
      <x:c r="C121" s="20" t="str">
        <x:v>Property Manager</x:v>
      </x:c>
      <x:c r="D121" s="20" t="str">
        <x:v>Web</x:v>
      </x:c>
      <x:c r="E121" s="20" t="str">
        <x:v>SCR-070</x:v>
      </x:c>
      <x:c r="F121" s="35" t="str">
        <x:v>/scan/new-rental</x:v>
      </x:c>
      <x:c r="G121" s="20" t="str">
        <x:v>Allowed</x:v>
      </x:c>
      <x:c r="H121" s="35" t="str">
        <x:v>Navigate from the persona shell; exercise every visible tab, filter, list action, detail action, empty/populated/error/loading state, and return path.</x:v>
      </x:c>
      <x:c r="I121" s="35" t="str">
        <x:v>Navigation entry; loaded state; action result; persisted read-back; audit/history; no data outside assigned relationship/property scope.</x:v>
      </x:c>
    </x:row>
    <x:row r="122">
      <x:c r="A122" s="20" t="str">
        <x:v>ROLE-119</x:v>
      </x:c>
      <x:c r="B122" s="23" t="n">
        <x:v>46525</x:v>
      </x:c>
      <x:c r="C122" s="20" t="str">
        <x:v>Leasing Agent</x:v>
      </x:c>
      <x:c r="D122" s="20" t="str">
        <x:v>Web</x:v>
      </x:c>
      <x:c r="E122" s="20" t="str">
        <x:v>SCR-070</x:v>
      </x:c>
      <x:c r="F122" s="35" t="str">
        <x:v>/scan/new-rental</x:v>
      </x:c>
      <x:c r="G122" s="20" t="str">
        <x:v>Allowed</x:v>
      </x:c>
      <x:c r="H122" s="35" t="str">
        <x:v>Navigate from the persona shell; exercise every visible tab, filter, list action, detail action, empty/populated/error/loading state, and return path.</x:v>
      </x:c>
      <x:c r="I122" s="35" t="str">
        <x:v>Navigation entry; loaded state; action result; persisted read-back; audit/history; no data outside assigned relationship/property scope.</x:v>
      </x:c>
    </x:row>
    <x:row r="123">
      <x:c r="A123" s="20" t="str">
        <x:v>ROLE-120</x:v>
      </x:c>
      <x:c r="B123" s="23" t="n">
        <x:v>46525</x:v>
      </x:c>
      <x:c r="C123" s="20" t="str">
        <x:v>Maintenance Technician</x:v>
      </x:c>
      <x:c r="D123" s="20" t="str">
        <x:v>Web</x:v>
      </x:c>
      <x:c r="E123" s="20" t="str">
        <x:v>SCR-070</x:v>
      </x:c>
      <x:c r="F123" s="35" t="str">
        <x:v>/scan/new-rental</x:v>
      </x:c>
      <x:c r="G123" s="20" t="str">
        <x:v>Allowed</x:v>
      </x:c>
      <x:c r="H123" s="35" t="str">
        <x:v>Navigate from the persona shell; exercise every visible tab, filter, list action, detail action, empty/populated/error/loading state, and return path.</x:v>
      </x:c>
      <x:c r="I123" s="35" t="str">
        <x:v>Navigation entry; loaded state; action result; persisted read-back; audit/history; no data outside assigned relationship/property scope.</x:v>
      </x:c>
    </x:row>
    <x:row r="124">
      <x:c r="A124" s="20" t="str">
        <x:v>ROLE-121</x:v>
      </x:c>
      <x:c r="B124" s="23" t="n">
        <x:v>46527</x:v>
      </x:c>
      <x:c r="C124" s="20" t="str">
        <x:v>Workspace Administrator</x:v>
      </x:c>
      <x:c r="D124" s="20" t="str">
        <x:v>Web</x:v>
      </x:c>
      <x:c r="E124" s="20" t="str">
        <x:v>SCR-071</x:v>
      </x:c>
      <x:c r="F124" s="35" t="str">
        <x:v>/settings</x:v>
      </x:c>
      <x:c r="G124" s="20" t="str">
        <x:v>Allowed</x:v>
      </x:c>
      <x:c r="H124" s="35" t="str">
        <x:v>Navigate from the persona shell; exercise every visible tab, filter, list action, detail action, empty/populated/error/loading state, and return path.</x:v>
      </x:c>
      <x:c r="I124" s="35" t="str">
        <x:v>Navigation entry; loaded state; action result; persisted read-back; audit/history; no data outside assigned relationship/property scope.</x:v>
      </x:c>
    </x:row>
    <x:row r="125">
      <x:c r="A125" s="20" t="str">
        <x:v>ROLE-122</x:v>
      </x:c>
      <x:c r="B125" s="23" t="n">
        <x:v>46528</x:v>
      </x:c>
      <x:c r="C125" s="20" t="str">
        <x:v>Workspace Administrator</x:v>
      </x:c>
      <x:c r="D125" s="20" t="str">
        <x:v>Web</x:v>
      </x:c>
      <x:c r="E125" s="20" t="str">
        <x:v>SCR-072</x:v>
      </x:c>
      <x:c r="F125" s="35" t="str">
        <x:v>/settings/accounting</x:v>
      </x:c>
      <x:c r="G125" s="20" t="str">
        <x:v>Allowed</x:v>
      </x:c>
      <x:c r="H125" s="35" t="str">
        <x:v>Navigate from the persona shell; exercise every visible tab, filter, list action, detail action, empty/populated/error/loading state, and return path.</x:v>
      </x:c>
      <x:c r="I125" s="35" t="str">
        <x:v>Navigation entry; loaded state; action result; persisted read-back; audit/history; no data outside assigned relationship/property scope.</x:v>
      </x:c>
    </x:row>
    <x:row r="126">
      <x:c r="A126" s="20" t="str">
        <x:v>ROLE-123</x:v>
      </x:c>
      <x:c r="B126" s="23" t="n">
        <x:v>46531</x:v>
      </x:c>
      <x:c r="C126" s="20" t="str">
        <x:v>Workspace Administrator</x:v>
      </x:c>
      <x:c r="D126" s="20" t="str">
        <x:v>Web</x:v>
      </x:c>
      <x:c r="E126" s="20" t="str">
        <x:v>SCR-073</x:v>
      </x:c>
      <x:c r="F126" s="35" t="str">
        <x:v>/settings/integrations/ai</x:v>
      </x:c>
      <x:c r="G126" s="20" t="str">
        <x:v>Allowed</x:v>
      </x:c>
      <x:c r="H126" s="35" t="str">
        <x:v>Navigate from the persona shell; exercise every visible tab, filter, list action, detail action, empty/populated/error/loading state, and return path.</x:v>
      </x:c>
      <x:c r="I126" s="35" t="str">
        <x:v>Navigation entry; loaded state; action result; persisted read-back; audit/history; no data outside assigned relationship/property scope.</x:v>
      </x:c>
    </x:row>
    <x:row r="127">
      <x:c r="A127" s="20" t="str">
        <x:v>ROLE-124</x:v>
      </x:c>
      <x:c r="B127" s="23" t="n">
        <x:v>46532</x:v>
      </x:c>
      <x:c r="C127" s="20" t="str">
        <x:v>Workspace Administrator</x:v>
      </x:c>
      <x:c r="D127" s="20" t="str">
        <x:v>Web</x:v>
      </x:c>
      <x:c r="E127" s="20" t="str">
        <x:v>SCR-074</x:v>
      </x:c>
      <x:c r="F127" s="35" t="str">
        <x:v>/settings/notifications/my-alerts</x:v>
      </x:c>
      <x:c r="G127" s="20" t="str">
        <x:v>Allowed</x:v>
      </x:c>
      <x:c r="H127" s="35" t="str">
        <x:v>Navigate from the persona shell; exercise every visible tab, filter, list action, detail action, empty/populated/error/loading state, and return path.</x:v>
      </x:c>
      <x:c r="I127" s="35" t="str">
        <x:v>Navigation entry; loaded state; action result; persisted read-back; audit/history; no data outside assigned relationship/property scope.</x:v>
      </x:c>
    </x:row>
    <x:row r="128">
      <x:c r="A128" s="20" t="str">
        <x:v>ROLE-125</x:v>
      </x:c>
      <x:c r="B128" s="23" t="n">
        <x:v>46532</x:v>
      </x:c>
      <x:c r="C128" s="20" t="str">
        <x:v>Property Manager</x:v>
      </x:c>
      <x:c r="D128" s="20" t="str">
        <x:v>Web</x:v>
      </x:c>
      <x:c r="E128" s="20" t="str">
        <x:v>SCR-074</x:v>
      </x:c>
      <x:c r="F128" s="35" t="str">
        <x:v>/settings/notifications/my-alerts</x:v>
      </x:c>
      <x:c r="G128" s="20" t="str">
        <x:v>Allowed</x:v>
      </x:c>
      <x:c r="H128" s="35" t="str">
        <x:v>Navigate from the persona shell; exercise every visible tab, filter, list action, detail action, empty/populated/error/loading state, and return path.</x:v>
      </x:c>
      <x:c r="I128" s="35" t="str">
        <x:v>Navigation entry; loaded state; action result; persisted read-back; audit/history; no data outside assigned relationship/property scope.</x:v>
      </x:c>
    </x:row>
    <x:row r="129">
      <x:c r="A129" s="20" t="str">
        <x:v>ROLE-126</x:v>
      </x:c>
      <x:c r="B129" s="23" t="n">
        <x:v>46532</x:v>
      </x:c>
      <x:c r="C129" s="20" t="str">
        <x:v>Leasing Agent</x:v>
      </x:c>
      <x:c r="D129" s="20" t="str">
        <x:v>Web</x:v>
      </x:c>
      <x:c r="E129" s="20" t="str">
        <x:v>SCR-074</x:v>
      </x:c>
      <x:c r="F129" s="35" t="str">
        <x:v>/settings/notifications/my-alerts</x:v>
      </x:c>
      <x:c r="G129" s="20" t="str">
        <x:v>Allowed</x:v>
      </x:c>
      <x:c r="H129" s="35" t="str">
        <x:v>Navigate from the persona shell; exercise every visible tab, filter, list action, detail action, empty/populated/error/loading state, and return path.</x:v>
      </x:c>
      <x:c r="I129" s="35" t="str">
        <x:v>Navigation entry; loaded state; action result; persisted read-back; audit/history; no data outside assigned relationship/property scope.</x:v>
      </x:c>
    </x:row>
    <x:row r="130">
      <x:c r="A130" s="20" t="str">
        <x:v>ROLE-127</x:v>
      </x:c>
      <x:c r="B130" s="23" t="n">
        <x:v>46532</x:v>
      </x:c>
      <x:c r="C130" s="20" t="str">
        <x:v>Maintenance Technician</x:v>
      </x:c>
      <x:c r="D130" s="20" t="str">
        <x:v>Web</x:v>
      </x:c>
      <x:c r="E130" s="20" t="str">
        <x:v>SCR-074</x:v>
      </x:c>
      <x:c r="F130" s="35" t="str">
        <x:v>/settings/notifications/my-alerts</x:v>
      </x:c>
      <x:c r="G130" s="20" t="str">
        <x:v>Allowed</x:v>
      </x:c>
      <x:c r="H130" s="35" t="str">
        <x:v>Navigate from the persona shell; exercise every visible tab, filter, list action, detail action, empty/populated/error/loading state, and return path.</x:v>
      </x:c>
      <x:c r="I130" s="35" t="str">
        <x:v>Navigation entry; loaded state; action result; persisted read-back; audit/history; no data outside assigned relationship/property scope.</x:v>
      </x:c>
    </x:row>
    <x:row r="131">
      <x:c r="A131" s="20" t="str">
        <x:v>ROLE-128</x:v>
      </x:c>
      <x:c r="B131" s="23" t="n">
        <x:v>46532</x:v>
      </x:c>
      <x:c r="C131" s="20" t="str">
        <x:v>Owner</x:v>
      </x:c>
      <x:c r="D131" s="20" t="str">
        <x:v>Web</x:v>
      </x:c>
      <x:c r="E131" s="20" t="str">
        <x:v>SCR-074</x:v>
      </x:c>
      <x:c r="F131" s="35" t="str">
        <x:v>/settings/notifications/my-alerts</x:v>
      </x:c>
      <x:c r="G131" s="20" t="str">
        <x:v>Allowed</x:v>
      </x:c>
      <x:c r="H131" s="35" t="str">
        <x:v>Navigate from the persona shell; exercise every visible tab, filter, list action, detail action, empty/populated/error/loading state, and return path.</x:v>
      </x:c>
      <x:c r="I131" s="35" t="str">
        <x:v>Navigation entry; loaded state; action result; persisted read-back; audit/history; no data outside assigned relationship/property scope.</x:v>
      </x:c>
    </x:row>
    <x:row r="132">
      <x:c r="A132" s="20" t="str">
        <x:v>ROLE-129</x:v>
      </x:c>
      <x:c r="B132" s="23" t="n">
        <x:v>46532</x:v>
      </x:c>
      <x:c r="C132" s="20" t="str">
        <x:v>Tenant</x:v>
      </x:c>
      <x:c r="D132" s="20" t="str">
        <x:v>Web</x:v>
      </x:c>
      <x:c r="E132" s="20" t="str">
        <x:v>SCR-074</x:v>
      </x:c>
      <x:c r="F132" s="35" t="str">
        <x:v>/settings/notifications/my-alerts</x:v>
      </x:c>
      <x:c r="G132" s="20" t="str">
        <x:v>Allowed</x:v>
      </x:c>
      <x:c r="H132" s="35" t="str">
        <x:v>Navigate from the persona shell; exercise every visible tab, filter, list action, detail action, empty/populated/error/loading state, and return path.</x:v>
      </x:c>
      <x:c r="I132" s="35" t="str">
        <x:v>Navigation entry; loaded state; action result; persisted read-back; audit/history; no data outside assigned relationship/property scope.</x:v>
      </x:c>
    </x:row>
    <x:row r="133">
      <x:c r="A133" s="20" t="str">
        <x:v>ROLE-130</x:v>
      </x:c>
      <x:c r="B133" s="23" t="n">
        <x:v>46534</x:v>
      </x:c>
      <x:c r="C133" s="20" t="str">
        <x:v>Workspace Administrator</x:v>
      </x:c>
      <x:c r="D133" s="20" t="str">
        <x:v>Web</x:v>
      </x:c>
      <x:c r="E133" s="20" t="str">
        <x:v>SCR-075</x:v>
      </x:c>
      <x:c r="F133" s="35" t="str">
        <x:v>/settings/notifications/team-routing</x:v>
      </x:c>
      <x:c r="G133" s="20" t="str">
        <x:v>Allowed</x:v>
      </x:c>
      <x:c r="H133" s="35" t="str">
        <x:v>Navigate from the persona shell; exercise every visible tab, filter, list action, detail action, empty/populated/error/loading state, and return path.</x:v>
      </x:c>
      <x:c r="I133" s="35" t="str">
        <x:v>Navigation entry; loaded state; action result; persisted read-back; audit/history; no data outside assigned relationship/property scope.</x:v>
      </x:c>
    </x:row>
    <x:row r="134">
      <x:c r="A134" s="20" t="str">
        <x:v>ROLE-131</x:v>
      </x:c>
      <x:c r="B134" s="23" t="n">
        <x:v>46535</x:v>
      </x:c>
      <x:c r="C134" s="20" t="str">
        <x:v>Workspace Administrator</x:v>
      </x:c>
      <x:c r="D134" s="20" t="str">
        <x:v>Web</x:v>
      </x:c>
      <x:c r="E134" s="20" t="str">
        <x:v>SCR-076</x:v>
      </x:c>
      <x:c r="F134" s="35" t="str">
        <x:v>/settings/notifications/tenant-notices</x:v>
      </x:c>
      <x:c r="G134" s="20" t="str">
        <x:v>Allowed</x:v>
      </x:c>
      <x:c r="H134" s="35" t="str">
        <x:v>Navigate from the persona shell; exercise every visible tab, filter, list action, detail action, empty/populated/error/loading state, and return path.</x:v>
      </x:c>
      <x:c r="I134" s="35" t="str">
        <x:v>Navigation entry; loaded state; action result; persisted read-back; audit/history; no data outside assigned relationship/property scope.</x:v>
      </x:c>
    </x:row>
    <x:row r="135">
      <x:c r="A135" s="20" t="str">
        <x:v>ROLE-132</x:v>
      </x:c>
      <x:c r="B135" s="23" t="n">
        <x:v>46538</x:v>
      </x:c>
      <x:c r="C135" s="20" t="str">
        <x:v>Workspace Administrator</x:v>
      </x:c>
      <x:c r="D135" s="20" t="str">
        <x:v>Web</x:v>
      </x:c>
      <x:c r="E135" s="20" t="str">
        <x:v>SCR-077</x:v>
      </x:c>
      <x:c r="F135" s="35" t="str">
        <x:v>/settings/security</x:v>
      </x:c>
      <x:c r="G135" s="20" t="str">
        <x:v>Allowed</x:v>
      </x:c>
      <x:c r="H135" s="35" t="str">
        <x:v>Navigate from the persona shell; exercise every visible tab, filter, list action, detail action, empty/populated/error/loading state, and return path.</x:v>
      </x:c>
      <x:c r="I135" s="35" t="str">
        <x:v>Navigation entry; loaded state; action result; persisted read-back; audit/history; no data outside assigned relationship/property scope.</x:v>
      </x:c>
    </x:row>
    <x:row r="136">
      <x:c r="A136" s="20" t="str">
        <x:v>ROLE-133</x:v>
      </x:c>
      <x:c r="B136" s="23" t="n">
        <x:v>46538</x:v>
      </x:c>
      <x:c r="C136" s="20" t="str">
        <x:v>Property Manager</x:v>
      </x:c>
      <x:c r="D136" s="20" t="str">
        <x:v>Web</x:v>
      </x:c>
      <x:c r="E136" s="20" t="str">
        <x:v>SCR-077</x:v>
      </x:c>
      <x:c r="F136" s="35" t="str">
        <x:v>/settings/security</x:v>
      </x:c>
      <x:c r="G136" s="20" t="str">
        <x:v>Allowed</x:v>
      </x:c>
      <x:c r="H136" s="35" t="str">
        <x:v>Navigate from the persona shell; exercise every visible tab, filter, list action, detail action, empty/populated/error/loading state, and return path.</x:v>
      </x:c>
      <x:c r="I136" s="35" t="str">
        <x:v>Navigation entry; loaded state; action result; persisted read-back; audit/history; no data outside assigned relationship/property scope.</x:v>
      </x:c>
    </x:row>
    <x:row r="137">
      <x:c r="A137" s="20" t="str">
        <x:v>ROLE-134</x:v>
      </x:c>
      <x:c r="B137" s="23" t="n">
        <x:v>46538</x:v>
      </x:c>
      <x:c r="C137" s="20" t="str">
        <x:v>Leasing Agent</x:v>
      </x:c>
      <x:c r="D137" s="20" t="str">
        <x:v>Web</x:v>
      </x:c>
      <x:c r="E137" s="20" t="str">
        <x:v>SCR-077</x:v>
      </x:c>
      <x:c r="F137" s="35" t="str">
        <x:v>/settings/security</x:v>
      </x:c>
      <x:c r="G137" s="20" t="str">
        <x:v>Allowed</x:v>
      </x:c>
      <x:c r="H137" s="35" t="str">
        <x:v>Navigate from the persona shell; exercise every visible tab, filter, list action, detail action, empty/populated/error/loading state, and return path.</x:v>
      </x:c>
      <x:c r="I137" s="35" t="str">
        <x:v>Navigation entry; loaded state; action result; persisted read-back; audit/history; no data outside assigned relationship/property scope.</x:v>
      </x:c>
    </x:row>
    <x:row r="138">
      <x:c r="A138" s="20" t="str">
        <x:v>ROLE-135</x:v>
      </x:c>
      <x:c r="B138" s="23" t="n">
        <x:v>46538</x:v>
      </x:c>
      <x:c r="C138" s="20" t="str">
        <x:v>Maintenance Technician</x:v>
      </x:c>
      <x:c r="D138" s="20" t="str">
        <x:v>Web</x:v>
      </x:c>
      <x:c r="E138" s="20" t="str">
        <x:v>SCR-077</x:v>
      </x:c>
      <x:c r="F138" s="35" t="str">
        <x:v>/settings/security</x:v>
      </x:c>
      <x:c r="G138" s="20" t="str">
        <x:v>Allowed</x:v>
      </x:c>
      <x:c r="H138" s="35" t="str">
        <x:v>Navigate from the persona shell; exercise every visible tab, filter, list action, detail action, empty/populated/error/loading state, and return path.</x:v>
      </x:c>
      <x:c r="I138" s="35" t="str">
        <x:v>Navigation entry; loaded state; action result; persisted read-back; audit/history; no data outside assigned relationship/property scope.</x:v>
      </x:c>
    </x:row>
    <x:row r="139">
      <x:c r="A139" s="20" t="str">
        <x:v>ROLE-136</x:v>
      </x:c>
      <x:c r="B139" s="23" t="n">
        <x:v>46539</x:v>
      </x:c>
      <x:c r="C139" s="20" t="str">
        <x:v>Workspace Administrator</x:v>
      </x:c>
      <x:c r="D139" s="20" t="str">
        <x:v>Web</x:v>
      </x:c>
      <x:c r="E139" s="20" t="str">
        <x:v>SCR-078</x:v>
      </x:c>
      <x:c r="F139" s="35" t="str">
        <x:v>/tax</x:v>
      </x:c>
      <x:c r="G139" s="20" t="str">
        <x:v>Allowed</x:v>
      </x:c>
      <x:c r="H139" s="35" t="str">
        <x:v>Navigate from the persona shell; exercise every visible tab, filter, list action, detail action, empty/populated/error/loading state, and return path.</x:v>
      </x:c>
      <x:c r="I139" s="35" t="str">
        <x:v>Navigation entry; loaded state; action result; persisted read-back; audit/history; no data outside assigned relationship/property scope.</x:v>
      </x:c>
    </x:row>
    <x:row r="140">
      <x:c r="A140" s="20" t="str">
        <x:v>ROLE-137</x:v>
      </x:c>
      <x:c r="B140" s="23" t="n">
        <x:v>46539</x:v>
      </x:c>
      <x:c r="C140" s="20" t="str">
        <x:v>Property Manager</x:v>
      </x:c>
      <x:c r="D140" s="20" t="str">
        <x:v>Web</x:v>
      </x:c>
      <x:c r="E140" s="20" t="str">
        <x:v>SCR-078</x:v>
      </x:c>
      <x:c r="F140" s="35" t="str">
        <x:v>/tax</x:v>
      </x:c>
      <x:c r="G140" s="20" t="str">
        <x:v>Allowed</x:v>
      </x:c>
      <x:c r="H140" s="35" t="str">
        <x:v>Navigate from the persona shell; exercise every visible tab, filter, list action, detail action, empty/populated/error/loading state, and return path.</x:v>
      </x:c>
      <x:c r="I140" s="35" t="str">
        <x:v>Navigation entry; loaded state; action result; persisted read-back; audit/history; no data outside assigned relationship/property scope.</x:v>
      </x:c>
    </x:row>
    <x:row r="141">
      <x:c r="A141" s="20" t="str">
        <x:v>ROLE-138</x:v>
      </x:c>
      <x:c r="B141" s="23" t="n">
        <x:v>46541</x:v>
      </x:c>
      <x:c r="C141" s="20" t="str">
        <x:v>Workspace Administrator</x:v>
      </x:c>
      <x:c r="D141" s="20" t="str">
        <x:v>Web</x:v>
      </x:c>
      <x:c r="E141" s="20" t="str">
        <x:v>SCR-079</x:v>
      </x:c>
      <x:c r="F141" s="35" t="str">
        <x:v>/tenant-accounts/[tenantAccountId]/entries/[tenantLedgerEntryId]</x:v>
      </x:c>
      <x:c r="G141" s="20" t="str">
        <x:v>Allowed</x:v>
      </x:c>
      <x:c r="H141" s="35" t="str">
        <x:v>Navigate from the persona shell; exercise every visible tab, filter, list action, detail action, empty/populated/error/loading state, and return path.</x:v>
      </x:c>
      <x:c r="I141" s="35" t="str">
        <x:v>Navigation entry; loaded state; action result; persisted read-back; audit/history; no data outside assigned relationship/property scope.</x:v>
      </x:c>
    </x:row>
    <x:row r="142">
      <x:c r="A142" s="20" t="str">
        <x:v>ROLE-139</x:v>
      </x:c>
      <x:c r="B142" s="23" t="n">
        <x:v>46541</x:v>
      </x:c>
      <x:c r="C142" s="20" t="str">
        <x:v>Property Manager</x:v>
      </x:c>
      <x:c r="D142" s="20" t="str">
        <x:v>Web</x:v>
      </x:c>
      <x:c r="E142" s="20" t="str">
        <x:v>SCR-079</x:v>
      </x:c>
      <x:c r="F142" s="35" t="str">
        <x:v>/tenant-accounts/[tenantAccountId]/entries/[tenantLedgerEntryId]</x:v>
      </x:c>
      <x:c r="G142" s="20" t="str">
        <x:v>Allowed</x:v>
      </x:c>
      <x:c r="H142" s="35" t="str">
        <x:v>Navigate from the persona shell; exercise every visible tab, filter, list action, detail action, empty/populated/error/loading state, and return path.</x:v>
      </x:c>
      <x:c r="I142" s="35" t="str">
        <x:v>Navigation entry; loaded state; action result; persisted read-back; audit/history; no data outside assigned relationship/property scope.</x:v>
      </x:c>
    </x:row>
    <x:row r="143">
      <x:c r="A143" s="20" t="str">
        <x:v>ROLE-140</x:v>
      </x:c>
      <x:c r="B143" s="23" t="n">
        <x:v>46542</x:v>
      </x:c>
      <x:c r="C143" s="20" t="str">
        <x:v>Workspace Administrator</x:v>
      </x:c>
      <x:c r="D143" s="20" t="str">
        <x:v>Web</x:v>
      </x:c>
      <x:c r="E143" s="20" t="str">
        <x:v>SCR-080</x:v>
      </x:c>
      <x:c r="F143" s="35" t="str">
        <x:v>/tenants</x:v>
      </x:c>
      <x:c r="G143" s="20" t="str">
        <x:v>Allowed</x:v>
      </x:c>
      <x:c r="H143" s="35" t="str">
        <x:v>Navigate from the persona shell; exercise every visible tab, filter, list action, detail action, empty/populated/error/loading state, and return path.</x:v>
      </x:c>
      <x:c r="I143" s="35" t="str">
        <x:v>Navigation entry; loaded state; action result; persisted read-back; audit/history; no data outside assigned relationship/property scope.</x:v>
      </x:c>
    </x:row>
    <x:row r="144">
      <x:c r="A144" s="20" t="str">
        <x:v>ROLE-141</x:v>
      </x:c>
      <x:c r="B144" s="23" t="n">
        <x:v>46542</x:v>
      </x:c>
      <x:c r="C144" s="20" t="str">
        <x:v>Property Manager</x:v>
      </x:c>
      <x:c r="D144" s="20" t="str">
        <x:v>Web</x:v>
      </x:c>
      <x:c r="E144" s="20" t="str">
        <x:v>SCR-080</x:v>
      </x:c>
      <x:c r="F144" s="35" t="str">
        <x:v>/tenants</x:v>
      </x:c>
      <x:c r="G144" s="20" t="str">
        <x:v>Allowed</x:v>
      </x:c>
      <x:c r="H144" s="35" t="str">
        <x:v>Navigate from the persona shell; exercise every visible tab, filter, list action, detail action, empty/populated/error/loading state, and return path.</x:v>
      </x:c>
      <x:c r="I144" s="35" t="str">
        <x:v>Navigation entry; loaded state; action result; persisted read-back; audit/history; no data outside assigned relationship/property scope.</x:v>
      </x:c>
    </x:row>
    <x:row r="145">
      <x:c r="A145" s="20" t="str">
        <x:v>ROLE-142</x:v>
      </x:c>
      <x:c r="B145" s="23" t="n">
        <x:v>46545</x:v>
      </x:c>
      <x:c r="C145" s="20" t="str">
        <x:v>Workspace Administrator</x:v>
      </x:c>
      <x:c r="D145" s="20" t="str">
        <x:v>Web</x:v>
      </x:c>
      <x:c r="E145" s="20" t="str">
        <x:v>SCR-081</x:v>
      </x:c>
      <x:c r="F145" s="35" t="str">
        <x:v>/tenants/[id]</x:v>
      </x:c>
      <x:c r="G145" s="20" t="str">
        <x:v>Allowed</x:v>
      </x:c>
      <x:c r="H145" s="35" t="str">
        <x:v>Navigate from the persona shell; exercise every visible tab, filter, list action, detail action, empty/populated/error/loading state, and return path.</x:v>
      </x:c>
      <x:c r="I145" s="35" t="str">
        <x:v>Navigation entry; loaded state; action result; persisted read-back; audit/history; no data outside assigned relationship/property scope.</x:v>
      </x:c>
    </x:row>
    <x:row r="146">
      <x:c r="A146" s="20" t="str">
        <x:v>ROLE-143</x:v>
      </x:c>
      <x:c r="B146" s="23" t="n">
        <x:v>46545</x:v>
      </x:c>
      <x:c r="C146" s="20" t="str">
        <x:v>Property Manager</x:v>
      </x:c>
      <x:c r="D146" s="20" t="str">
        <x:v>Web</x:v>
      </x:c>
      <x:c r="E146" s="20" t="str">
        <x:v>SCR-081</x:v>
      </x:c>
      <x:c r="F146" s="35" t="str">
        <x:v>/tenants/[id]</x:v>
      </x:c>
      <x:c r="G146" s="20" t="str">
        <x:v>Allowed</x:v>
      </x:c>
      <x:c r="H146" s="35" t="str">
        <x:v>Navigate from the persona shell; exercise every visible tab, filter, list action, detail action, empty/populated/error/loading state, and return path.</x:v>
      </x:c>
      <x:c r="I146" s="35" t="str">
        <x:v>Navigation entry; loaded state; action result; persisted read-back; audit/history; no data outside assigned relationship/property scope.</x:v>
      </x:c>
    </x:row>
    <x:row r="147">
      <x:c r="A147" s="20" t="str">
        <x:v>ROLE-144</x:v>
      </x:c>
      <x:c r="B147" s="23" t="n">
        <x:v>46546</x:v>
      </x:c>
      <x:c r="C147" s="20" t="str">
        <x:v>Workspace Administrator</x:v>
      </x:c>
      <x:c r="D147" s="20" t="str">
        <x:v>Web</x:v>
      </x:c>
      <x:c r="E147" s="20" t="str">
        <x:v>SCR-082</x:v>
      </x:c>
      <x:c r="F147" s="35" t="str">
        <x:v>/units</x:v>
      </x:c>
      <x:c r="G147" s="20" t="str">
        <x:v>Allowed</x:v>
      </x:c>
      <x:c r="H147" s="35" t="str">
        <x:v>Navigate from the persona shell; exercise every visible tab, filter, list action, detail action, empty/populated/error/loading state, and return path.</x:v>
      </x:c>
      <x:c r="I147" s="35" t="str">
        <x:v>Navigation entry; loaded state; action result; persisted read-back; audit/history; no data outside assigned relationship/property scope.</x:v>
      </x:c>
    </x:row>
    <x:row r="148">
      <x:c r="A148" s="20" t="str">
        <x:v>ROLE-145</x:v>
      </x:c>
      <x:c r="B148" s="23" t="n">
        <x:v>46546</x:v>
      </x:c>
      <x:c r="C148" s="20" t="str">
        <x:v>Property Manager</x:v>
      </x:c>
      <x:c r="D148" s="20" t="str">
        <x:v>Web</x:v>
      </x:c>
      <x:c r="E148" s="20" t="str">
        <x:v>SCR-082</x:v>
      </x:c>
      <x:c r="F148" s="35" t="str">
        <x:v>/units</x:v>
      </x:c>
      <x:c r="G148" s="20" t="str">
        <x:v>Allowed</x:v>
      </x:c>
      <x:c r="H148" s="35" t="str">
        <x:v>Navigate from the persona shell; exercise every visible tab, filter, list action, detail action, empty/populated/error/loading state, and return path.</x:v>
      </x:c>
      <x:c r="I148" s="35" t="str">
        <x:v>Navigation entry; loaded state; action result; persisted read-back; audit/history; no data outside assigned relationship/property scope.</x:v>
      </x:c>
    </x:row>
    <x:row r="149">
      <x:c r="A149" s="20" t="str">
        <x:v>ROLE-146</x:v>
      </x:c>
      <x:c r="B149" s="23" t="n">
        <x:v>46548</x:v>
      </x:c>
      <x:c r="C149" s="20" t="str">
        <x:v>Workspace Administrator</x:v>
      </x:c>
      <x:c r="D149" s="20" t="str">
        <x:v>Web</x:v>
      </x:c>
      <x:c r="E149" s="20" t="str">
        <x:v>SCR-083</x:v>
      </x:c>
      <x:c r="F149" s="35" t="str">
        <x:v>/units/[id]</x:v>
      </x:c>
      <x:c r="G149" s="20" t="str">
        <x:v>Allowed</x:v>
      </x:c>
      <x:c r="H149" s="35" t="str">
        <x:v>Navigate from the persona shell; exercise every visible tab, filter, list action, detail action, empty/populated/error/loading state, and return path.</x:v>
      </x:c>
      <x:c r="I149" s="35" t="str">
        <x:v>Navigation entry; loaded state; action result; persisted read-back; audit/history; no data outside assigned relationship/property scope.</x:v>
      </x:c>
    </x:row>
    <x:row r="150">
      <x:c r="A150" s="20" t="str">
        <x:v>ROLE-147</x:v>
      </x:c>
      <x:c r="B150" s="23" t="n">
        <x:v>46548</x:v>
      </x:c>
      <x:c r="C150" s="20" t="str">
        <x:v>Property Manager</x:v>
      </x:c>
      <x:c r="D150" s="20" t="str">
        <x:v>Web</x:v>
      </x:c>
      <x:c r="E150" s="20" t="str">
        <x:v>SCR-083</x:v>
      </x:c>
      <x:c r="F150" s="35" t="str">
        <x:v>/units/[id]</x:v>
      </x:c>
      <x:c r="G150" s="20" t="str">
        <x:v>Allowed</x:v>
      </x:c>
      <x:c r="H150" s="35" t="str">
        <x:v>Navigate from the persona shell; exercise every visible tab, filter, list action, detail action, empty/populated/error/loading state, and return path.</x:v>
      </x:c>
      <x:c r="I150" s="35" t="str">
        <x:v>Navigation entry; loaded state; action result; persisted read-back; audit/history; no data outside assigned relationship/property scope.</x:v>
      </x:c>
    </x:row>
    <x:row r="151">
      <x:c r="A151" s="20" t="str">
        <x:v>ROLE-148</x:v>
      </x:c>
      <x:c r="B151" s="23" t="n">
        <x:v>46549</x:v>
      </x:c>
      <x:c r="C151" s="20" t="str">
        <x:v>Workspace Administrator</x:v>
      </x:c>
      <x:c r="D151" s="20" t="str">
        <x:v>Web</x:v>
      </x:c>
      <x:c r="E151" s="20" t="str">
        <x:v>SCR-084</x:v>
      </x:c>
      <x:c r="F151" s="35" t="str">
        <x:v>/vendors</x:v>
      </x:c>
      <x:c r="G151" s="20" t="str">
        <x:v>Allowed</x:v>
      </x:c>
      <x:c r="H151" s="35" t="str">
        <x:v>Navigate from the persona shell; exercise every visible tab, filter, list action, detail action, empty/populated/error/loading state, and return path.</x:v>
      </x:c>
      <x:c r="I151" s="35" t="str">
        <x:v>Navigation entry; loaded state; action result; persisted read-back; audit/history; no data outside assigned relationship/property scope.</x:v>
      </x:c>
    </x:row>
    <x:row r="152">
      <x:c r="A152" s="20" t="str">
        <x:v>ROLE-149</x:v>
      </x:c>
      <x:c r="B152" s="23" t="n">
        <x:v>46549</x:v>
      </x:c>
      <x:c r="C152" s="20" t="str">
        <x:v>Property Manager</x:v>
      </x:c>
      <x:c r="D152" s="20" t="str">
        <x:v>Web</x:v>
      </x:c>
      <x:c r="E152" s="20" t="str">
        <x:v>SCR-084</x:v>
      </x:c>
      <x:c r="F152" s="35" t="str">
        <x:v>/vendors</x:v>
      </x:c>
      <x:c r="G152" s="20" t="str">
        <x:v>Allowed</x:v>
      </x:c>
      <x:c r="H152" s="35" t="str">
        <x:v>Navigate from the persona shell; exercise every visible tab, filter, list action, detail action, empty/populated/error/loading state, and return path.</x:v>
      </x:c>
      <x:c r="I152" s="35" t="str">
        <x:v>Navigation entry; loaded state; action result; persisted read-back; audit/history; no data outside assigned relationship/property scope.</x:v>
      </x:c>
    </x:row>
    <x:row r="153">
      <x:c r="A153" s="20" t="str">
        <x:v>ROLE-150</x:v>
      </x:c>
      <x:c r="B153" s="23" t="n">
        <x:v>46552</x:v>
      </x:c>
      <x:c r="C153" s="20" t="str">
        <x:v>Workspace Administrator</x:v>
      </x:c>
      <x:c r="D153" s="20" t="str">
        <x:v>Web</x:v>
      </x:c>
      <x:c r="E153" s="20" t="str">
        <x:v>SCR-085</x:v>
      </x:c>
      <x:c r="F153" s="35" t="str">
        <x:v>/vendors/[id]</x:v>
      </x:c>
      <x:c r="G153" s="20" t="str">
        <x:v>Allowed</x:v>
      </x:c>
      <x:c r="H153" s="35" t="str">
        <x:v>Navigate from the persona shell; exercise every visible tab, filter, list action, detail action, empty/populated/error/loading state, and return path.</x:v>
      </x:c>
      <x:c r="I153" s="35" t="str">
        <x:v>Navigation entry; loaded state; action result; persisted read-back; audit/history; no data outside assigned relationship/property scope.</x:v>
      </x:c>
    </x:row>
    <x:row r="154">
      <x:c r="A154" s="20" t="str">
        <x:v>ROLE-151</x:v>
      </x:c>
      <x:c r="B154" s="23" t="n">
        <x:v>46552</x:v>
      </x:c>
      <x:c r="C154" s="20" t="str">
        <x:v>Property Manager</x:v>
      </x:c>
      <x:c r="D154" s="20" t="str">
        <x:v>Web</x:v>
      </x:c>
      <x:c r="E154" s="20" t="str">
        <x:v>SCR-085</x:v>
      </x:c>
      <x:c r="F154" s="35" t="str">
        <x:v>/vendors/[id]</x:v>
      </x:c>
      <x:c r="G154" s="20" t="str">
        <x:v>Allowed</x:v>
      </x:c>
      <x:c r="H154" s="35" t="str">
        <x:v>Navigate from the persona shell; exercise every visible tab, filter, list action, detail action, empty/populated/error/loading state, and return path.</x:v>
      </x:c>
      <x:c r="I154" s="35" t="str">
        <x:v>Navigation entry; loaded state; action result; persisted read-back; audit/history; no data outside assigned relationship/property scope.</x:v>
      </x:c>
    </x:row>
    <x:row r="155">
      <x:c r="A155" s="20" t="str">
        <x:v>ROLE-152</x:v>
      </x:c>
      <x:c r="B155" s="23" t="n">
        <x:v>46553</x:v>
      </x:c>
      <x:c r="C155" s="20" t="str">
        <x:v>Workspace Administrator</x:v>
      </x:c>
      <x:c r="D155" s="20" t="str">
        <x:v>Web</x:v>
      </x:c>
      <x:c r="E155" s="20" t="str">
        <x:v>SCR-086</x:v>
      </x:c>
      <x:c r="F155" s="35" t="str">
        <x:v>/docs</x:v>
      </x:c>
      <x:c r="G155" s="20" t="str">
        <x:v>Allowed</x:v>
      </x:c>
      <x:c r="H155" s="35" t="str">
        <x:v>Navigate from the persona shell; exercise every visible tab, filter, list action, detail action, empty/populated/error/loading state, and return path.</x:v>
      </x:c>
      <x:c r="I155" s="35" t="str">
        <x:v>Navigation entry; loaded state; action result; persisted read-back; audit/history; no data outside assigned relationship/property scope.</x:v>
      </x:c>
    </x:row>
    <x:row r="156">
      <x:c r="A156" s="20" t="str">
        <x:v>ROLE-153</x:v>
      </x:c>
      <x:c r="B156" s="23" t="n">
        <x:v>46553</x:v>
      </x:c>
      <x:c r="C156" s="20" t="str">
        <x:v>Property Manager</x:v>
      </x:c>
      <x:c r="D156" s="20" t="str">
        <x:v>Web</x:v>
      </x:c>
      <x:c r="E156" s="20" t="str">
        <x:v>SCR-086</x:v>
      </x:c>
      <x:c r="F156" s="35" t="str">
        <x:v>/docs</x:v>
      </x:c>
      <x:c r="G156" s="20" t="str">
        <x:v>Allowed</x:v>
      </x:c>
      <x:c r="H156" s="35" t="str">
        <x:v>Navigate from the persona shell; exercise every visible tab, filter, list action, detail action, empty/populated/error/loading state, and return path.</x:v>
      </x:c>
      <x:c r="I156" s="35" t="str">
        <x:v>Navigation entry; loaded state; action result; persisted read-back; audit/history; no data outside assigned relationship/property scope.</x:v>
      </x:c>
    </x:row>
    <x:row r="157">
      <x:c r="A157" s="20" t="str">
        <x:v>ROLE-154</x:v>
      </x:c>
      <x:c r="B157" s="23" t="n">
        <x:v>46553</x:v>
      </x:c>
      <x:c r="C157" s="20" t="str">
        <x:v>Leasing Agent</x:v>
      </x:c>
      <x:c r="D157" s="20" t="str">
        <x:v>Web</x:v>
      </x:c>
      <x:c r="E157" s="20" t="str">
        <x:v>SCR-086</x:v>
      </x:c>
      <x:c r="F157" s="35" t="str">
        <x:v>/docs</x:v>
      </x:c>
      <x:c r="G157" s="20" t="str">
        <x:v>Allowed</x:v>
      </x:c>
      <x:c r="H157" s="35" t="str">
        <x:v>Navigate from the persona shell; exercise every visible tab, filter, list action, detail action, empty/populated/error/loading state, and return path.</x:v>
      </x:c>
      <x:c r="I157" s="35" t="str">
        <x:v>Navigation entry; loaded state; action result; persisted read-back; audit/history; no data outside assigned relationship/property scope.</x:v>
      </x:c>
    </x:row>
    <x:row r="158">
      <x:c r="A158" s="20" t="str">
        <x:v>ROLE-155</x:v>
      </x:c>
      <x:c r="B158" s="23" t="n">
        <x:v>46553</x:v>
      </x:c>
      <x:c r="C158" s="20" t="str">
        <x:v>Maintenance Technician</x:v>
      </x:c>
      <x:c r="D158" s="20" t="str">
        <x:v>Web</x:v>
      </x:c>
      <x:c r="E158" s="20" t="str">
        <x:v>SCR-086</x:v>
      </x:c>
      <x:c r="F158" s="35" t="str">
        <x:v>/docs</x:v>
      </x:c>
      <x:c r="G158" s="20" t="str">
        <x:v>Allowed</x:v>
      </x:c>
      <x:c r="H158" s="35" t="str">
        <x:v>Navigate from the persona shell; exercise every visible tab, filter, list action, detail action, empty/populated/error/loading state, and return path.</x:v>
      </x:c>
      <x:c r="I158" s="35" t="str">
        <x:v>Navigation entry; loaded state; action result; persisted read-back; audit/history; no data outside assigned relationship/property scope.</x:v>
      </x:c>
    </x:row>
    <x:row r="159">
      <x:c r="A159" s="20" t="str">
        <x:v>ROLE-156</x:v>
      </x:c>
      <x:c r="B159" s="23" t="n">
        <x:v>46553</x:v>
      </x:c>
      <x:c r="C159" s="20" t="str">
        <x:v>Owner</x:v>
      </x:c>
      <x:c r="D159" s="20" t="str">
        <x:v>Web</x:v>
      </x:c>
      <x:c r="E159" s="20" t="str">
        <x:v>SCR-086</x:v>
      </x:c>
      <x:c r="F159" s="35" t="str">
        <x:v>/docs</x:v>
      </x:c>
      <x:c r="G159" s="20" t="str">
        <x:v>Allowed</x:v>
      </x:c>
      <x:c r="H159" s="35" t="str">
        <x:v>Navigate from the persona shell; exercise every visible tab, filter, list action, detail action, empty/populated/error/loading state, and return path.</x:v>
      </x:c>
      <x:c r="I159" s="35" t="str">
        <x:v>Navigation entry; loaded state; action result; persisted read-back; audit/history; no data outside assigned relationship/property scope.</x:v>
      </x:c>
    </x:row>
    <x:row r="160">
      <x:c r="A160" s="20" t="str">
        <x:v>ROLE-157</x:v>
      </x:c>
      <x:c r="B160" s="23" t="n">
        <x:v>46553</x:v>
      </x:c>
      <x:c r="C160" s="20" t="str">
        <x:v>Tenant</x:v>
      </x:c>
      <x:c r="D160" s="20" t="str">
        <x:v>Web</x:v>
      </x:c>
      <x:c r="E160" s="20" t="str">
        <x:v>SCR-086</x:v>
      </x:c>
      <x:c r="F160" s="35" t="str">
        <x:v>/docs</x:v>
      </x:c>
      <x:c r="G160" s="20" t="str">
        <x:v>Allowed</x:v>
      </x:c>
      <x:c r="H160" s="35" t="str">
        <x:v>Navigate from the persona shell; exercise every visible tab, filter, list action, detail action, empty/populated/error/loading state, and return path.</x:v>
      </x:c>
      <x:c r="I160" s="35" t="str">
        <x:v>Navigation entry; loaded state; action result; persisted read-back; audit/history; no data outside assigned relationship/property scope.</x:v>
      </x:c>
    </x:row>
    <x:row r="161">
      <x:c r="A161" s="20" t="str">
        <x:v>ROLE-158</x:v>
      </x:c>
      <x:c r="B161" s="23" t="n">
        <x:v>46553</x:v>
      </x:c>
      <x:c r="C161" s="20" t="str">
        <x:v>Applicant / public user</x:v>
      </x:c>
      <x:c r="D161" s="20" t="str">
        <x:v>Web</x:v>
      </x:c>
      <x:c r="E161" s="20" t="str">
        <x:v>SCR-086</x:v>
      </x:c>
      <x:c r="F161" s="35" t="str">
        <x:v>/docs</x:v>
      </x:c>
      <x:c r="G161" s="20" t="str">
        <x:v>Allowed</x:v>
      </x:c>
      <x:c r="H161" s="35" t="str">
        <x:v>Navigate from the persona shell; exercise every visible tab, filter, list action, detail action, empty/populated/error/loading state, and return path.</x:v>
      </x:c>
      <x:c r="I161" s="35" t="str">
        <x:v>Navigation entry; loaded state; action result; persisted read-back; audit/history; no data outside assigned relationship/property scope.</x:v>
      </x:c>
    </x:row>
    <x:row r="162">
      <x:c r="A162" s="20" t="str">
        <x:v>ROLE-159</x:v>
      </x:c>
      <x:c r="B162" s="23" t="n">
        <x:v>46555</x:v>
      </x:c>
      <x:c r="C162" s="20" t="str">
        <x:v>Workspace Administrator</x:v>
      </x:c>
      <x:c r="D162" s="20" t="str">
        <x:v>Web</x:v>
      </x:c>
      <x:c r="E162" s="20" t="str">
        <x:v>SCR-087</x:v>
      </x:c>
      <x:c r="F162" s="35" t="str">
        <x:v>/docs/[slug]</x:v>
      </x:c>
      <x:c r="G162" s="20" t="str">
        <x:v>Allowed</x:v>
      </x:c>
      <x:c r="H162" s="35" t="str">
        <x:v>Navigate from the persona shell; exercise every visible tab, filter, list action, detail action, empty/populated/error/loading state, and return path.</x:v>
      </x:c>
      <x:c r="I162" s="35" t="str">
        <x:v>Navigation entry; loaded state; action result; persisted read-back; audit/history; no data outside assigned relationship/property scope.</x:v>
      </x:c>
    </x:row>
    <x:row r="163">
      <x:c r="A163" s="20" t="str">
        <x:v>ROLE-160</x:v>
      </x:c>
      <x:c r="B163" s="23" t="n">
        <x:v>46555</x:v>
      </x:c>
      <x:c r="C163" s="20" t="str">
        <x:v>Property Manager</x:v>
      </x:c>
      <x:c r="D163" s="20" t="str">
        <x:v>Web</x:v>
      </x:c>
      <x:c r="E163" s="20" t="str">
        <x:v>SCR-087</x:v>
      </x:c>
      <x:c r="F163" s="35" t="str">
        <x:v>/docs/[slug]</x:v>
      </x:c>
      <x:c r="G163" s="20" t="str">
        <x:v>Allowed</x:v>
      </x:c>
      <x:c r="H163" s="35" t="str">
        <x:v>Navigate from the persona shell; exercise every visible tab, filter, list action, detail action, empty/populated/error/loading state, and return path.</x:v>
      </x:c>
      <x:c r="I163" s="35" t="str">
        <x:v>Navigation entry; loaded state; action result; persisted read-back; audit/history; no data outside assigned relationship/property scope.</x:v>
      </x:c>
    </x:row>
    <x:row r="164">
      <x:c r="A164" s="20" t="str">
        <x:v>ROLE-161</x:v>
      </x:c>
      <x:c r="B164" s="23" t="n">
        <x:v>46555</x:v>
      </x:c>
      <x:c r="C164" s="20" t="str">
        <x:v>Leasing Agent</x:v>
      </x:c>
      <x:c r="D164" s="20" t="str">
        <x:v>Web</x:v>
      </x:c>
      <x:c r="E164" s="20" t="str">
        <x:v>SCR-087</x:v>
      </x:c>
      <x:c r="F164" s="35" t="str">
        <x:v>/docs/[slug]</x:v>
      </x:c>
      <x:c r="G164" s="20" t="str">
        <x:v>Allowed</x:v>
      </x:c>
      <x:c r="H164" s="35" t="str">
        <x:v>Navigate from the persona shell; exercise every visible tab, filter, list action, detail action, empty/populated/error/loading state, and return path.</x:v>
      </x:c>
      <x:c r="I164" s="35" t="str">
        <x:v>Navigation entry; loaded state; action result; persisted read-back; audit/history; no data outside assigned relationship/property scope.</x:v>
      </x:c>
    </x:row>
    <x:row r="165">
      <x:c r="A165" s="20" t="str">
        <x:v>ROLE-162</x:v>
      </x:c>
      <x:c r="B165" s="23" t="n">
        <x:v>46555</x:v>
      </x:c>
      <x:c r="C165" s="20" t="str">
        <x:v>Maintenance Technician</x:v>
      </x:c>
      <x:c r="D165" s="20" t="str">
        <x:v>Web</x:v>
      </x:c>
      <x:c r="E165" s="20" t="str">
        <x:v>SCR-087</x:v>
      </x:c>
      <x:c r="F165" s="35" t="str">
        <x:v>/docs/[slug]</x:v>
      </x:c>
      <x:c r="G165" s="20" t="str">
        <x:v>Allowed</x:v>
      </x:c>
      <x:c r="H165" s="35" t="str">
        <x:v>Navigate from the persona shell; exercise every visible tab, filter, list action, detail action, empty/populated/error/loading state, and return path.</x:v>
      </x:c>
      <x:c r="I165" s="35" t="str">
        <x:v>Navigation entry; loaded state; action result; persisted read-back; audit/history; no data outside assigned relationship/property scope.</x:v>
      </x:c>
    </x:row>
    <x:row r="166">
      <x:c r="A166" s="20" t="str">
        <x:v>ROLE-163</x:v>
      </x:c>
      <x:c r="B166" s="23" t="n">
        <x:v>46555</x:v>
      </x:c>
      <x:c r="C166" s="20" t="str">
        <x:v>Owner</x:v>
      </x:c>
      <x:c r="D166" s="20" t="str">
        <x:v>Web</x:v>
      </x:c>
      <x:c r="E166" s="20" t="str">
        <x:v>SCR-087</x:v>
      </x:c>
      <x:c r="F166" s="35" t="str">
        <x:v>/docs/[slug]</x:v>
      </x:c>
      <x:c r="G166" s="20" t="str">
        <x:v>Allowed</x:v>
      </x:c>
      <x:c r="H166" s="35" t="str">
        <x:v>Navigate from the persona shell; exercise every visible tab, filter, list action, detail action, empty/populated/error/loading state, and return path.</x:v>
      </x:c>
      <x:c r="I166" s="35" t="str">
        <x:v>Navigation entry; loaded state; action result; persisted read-back; audit/history; no data outside assigned relationship/property scope.</x:v>
      </x:c>
    </x:row>
    <x:row r="167">
      <x:c r="A167" s="20" t="str">
        <x:v>ROLE-164</x:v>
      </x:c>
      <x:c r="B167" s="23" t="n">
        <x:v>46555</x:v>
      </x:c>
      <x:c r="C167" s="20" t="str">
        <x:v>Tenant</x:v>
      </x:c>
      <x:c r="D167" s="20" t="str">
        <x:v>Web</x:v>
      </x:c>
      <x:c r="E167" s="20" t="str">
        <x:v>SCR-087</x:v>
      </x:c>
      <x:c r="F167" s="35" t="str">
        <x:v>/docs/[slug]</x:v>
      </x:c>
      <x:c r="G167" s="20" t="str">
        <x:v>Allowed</x:v>
      </x:c>
      <x:c r="H167" s="35" t="str">
        <x:v>Navigate from the persona shell; exercise every visible tab, filter, list action, detail action, empty/populated/error/loading state, and return path.</x:v>
      </x:c>
      <x:c r="I167" s="35" t="str">
        <x:v>Navigation entry; loaded state; action result; persisted read-back; audit/history; no data outside assigned relationship/property scope.</x:v>
      </x:c>
    </x:row>
    <x:row r="168">
      <x:c r="A168" s="20" t="str">
        <x:v>ROLE-165</x:v>
      </x:c>
      <x:c r="B168" s="23" t="n">
        <x:v>46555</x:v>
      </x:c>
      <x:c r="C168" s="20" t="str">
        <x:v>Applicant / public user</x:v>
      </x:c>
      <x:c r="D168" s="20" t="str">
        <x:v>Web</x:v>
      </x:c>
      <x:c r="E168" s="20" t="str">
        <x:v>SCR-087</x:v>
      </x:c>
      <x:c r="F168" s="35" t="str">
        <x:v>/docs/[slug]</x:v>
      </x:c>
      <x:c r="G168" s="20" t="str">
        <x:v>Allowed</x:v>
      </x:c>
      <x:c r="H168" s="35" t="str">
        <x:v>Navigate from the persona shell; exercise every visible tab, filter, list action, detail action, empty/populated/error/loading state, and return path.</x:v>
      </x:c>
      <x:c r="I168" s="35" t="str">
        <x:v>Navigation entry; loaded state; action result; persisted read-back; audit/history; no data outside assigned relationship/property scope.</x:v>
      </x:c>
    </x:row>
    <x:row r="169">
      <x:c r="A169" s="20" t="str">
        <x:v>ROLE-166</x:v>
      </x:c>
      <x:c r="B169" s="23" t="n">
        <x:v>46556</x:v>
      </x:c>
      <x:c r="C169" s="20" t="str">
        <x:v>Applicant / public user</x:v>
      </x:c>
      <x:c r="D169" s="20" t="str">
        <x:v>Web</x:v>
      </x:c>
      <x:c r="E169" s="20" t="str">
        <x:v>SCR-088</x:v>
      </x:c>
      <x:c r="F169" s="35" t="str">
        <x:v>/privacy</x:v>
      </x:c>
      <x:c r="G169" s="20" t="str">
        <x:v>Allowed</x:v>
      </x:c>
      <x:c r="H169" s="35" t="str">
        <x:v>Navigate from the persona shell; exercise every visible tab, filter, list action, detail action, empty/populated/error/loading state, and return path.</x:v>
      </x:c>
      <x:c r="I169" s="35" t="str">
        <x:v>Navigation entry; loaded state; action result; persisted read-back; audit/history; no data outside assigned relationship/property scope.</x:v>
      </x:c>
    </x:row>
    <x:row r="170">
      <x:c r="A170" s="20" t="str">
        <x:v>ROLE-167</x:v>
      </x:c>
      <x:c r="B170" s="23" t="n">
        <x:v>46559</x:v>
      </x:c>
      <x:c r="C170" s="20" t="str">
        <x:v>Applicant / public user</x:v>
      </x:c>
      <x:c r="D170" s="20" t="str">
        <x:v>Web</x:v>
      </x:c>
      <x:c r="E170" s="20" t="str">
        <x:v>SCR-089</x:v>
      </x:c>
      <x:c r="F170" s="35" t="str">
        <x:v>/sign/[token]</x:v>
      </x:c>
      <x:c r="G170" s="20" t="str">
        <x:v>Allowed</x:v>
      </x:c>
      <x:c r="H170" s="35" t="str">
        <x:v>Navigate from the persona shell; exercise every visible tab, filter, list action, detail action, empty/populated/error/loading state, and return path.</x:v>
      </x:c>
      <x:c r="I170" s="35" t="str">
        <x:v>Navigation entry; loaded state; action result; persisted read-back; audit/history; no data outside assigned relationship/property scope.</x:v>
      </x:c>
    </x:row>
    <x:row r="171">
      <x:c r="A171" s="20" t="str">
        <x:v>ROLE-168</x:v>
      </x:c>
      <x:c r="B171" s="23" t="n">
        <x:v>46560</x:v>
      </x:c>
      <x:c r="C171" s="20" t="str">
        <x:v>Superadmin</x:v>
      </x:c>
      <x:c r="D171" s="20" t="str">
        <x:v>Web</x:v>
      </x:c>
      <x:c r="E171" s="20" t="str">
        <x:v>SCR-090</x:v>
      </x:c>
      <x:c r="F171" s="35" t="str">
        <x:v>/superadmin/engine</x:v>
      </x:c>
      <x:c r="G171" s="20" t="str">
        <x:v>Allowed</x:v>
      </x:c>
      <x:c r="H171" s="35" t="str">
        <x:v>Navigate from the persona shell; exercise every visible tab, filter, list action, detail action, empty/populated/error/loading state, and return path.</x:v>
      </x:c>
      <x:c r="I171" s="35" t="str">
        <x:v>Navigation entry; loaded state; action result; persisted read-back; audit/history; no data outside assigned relationship/property scope.</x:v>
      </x:c>
    </x:row>
    <x:row r="172">
      <x:c r="A172" s="20" t="str">
        <x:v>ROLE-169</x:v>
      </x:c>
      <x:c r="B172" s="23" t="n">
        <x:v>46562</x:v>
      </x:c>
      <x:c r="C172" s="20" t="str">
        <x:v>Workspace Administrator</x:v>
      </x:c>
      <x:c r="D172" s="20" t="str">
        <x:v>Web</x:v>
      </x:c>
      <x:c r="E172" s="20" t="str">
        <x:v>SCR-091</x:v>
      </x:c>
      <x:c r="F172" s="35" t="str">
        <x:v>/activate-team</x:v>
      </x:c>
      <x:c r="G172" s="20" t="str">
        <x:v>Allowed</x:v>
      </x:c>
      <x:c r="H172" s="35" t="str">
        <x:v>Navigate from the persona shell; exercise every visible tab, filter, list action, detail action, empty/populated/error/loading state, and return path.</x:v>
      </x:c>
      <x:c r="I172" s="35" t="str">
        <x:v>Navigation entry; loaded state; action result; persisted read-back; audit/history; no data outside assigned relationship/property scope.</x:v>
      </x:c>
    </x:row>
    <x:row r="173">
      <x:c r="A173" s="20" t="str">
        <x:v>ROLE-170</x:v>
      </x:c>
      <x:c r="B173" s="23" t="n">
        <x:v>46562</x:v>
      </x:c>
      <x:c r="C173" s="20" t="str">
        <x:v>Property Manager</x:v>
      </x:c>
      <x:c r="D173" s="20" t="str">
        <x:v>Web</x:v>
      </x:c>
      <x:c r="E173" s="20" t="str">
        <x:v>SCR-091</x:v>
      </x:c>
      <x:c r="F173" s="35" t="str">
        <x:v>/activate-team</x:v>
      </x:c>
      <x:c r="G173" s="20" t="str">
        <x:v>Allowed</x:v>
      </x:c>
      <x:c r="H173" s="35" t="str">
        <x:v>Navigate from the persona shell; exercise every visible tab, filter, list action, detail action, empty/populated/error/loading state, and return path.</x:v>
      </x:c>
      <x:c r="I173" s="35" t="str">
        <x:v>Navigation entry; loaded state; action result; persisted read-back; audit/history; no data outside assigned relationship/property scope.</x:v>
      </x:c>
    </x:row>
    <x:row r="174">
      <x:c r="A174" s="20" t="str">
        <x:v>ROLE-171</x:v>
      </x:c>
      <x:c r="B174" s="23" t="n">
        <x:v>46563</x:v>
      </x:c>
      <x:c r="C174" s="20" t="str">
        <x:v>Applicant / public user</x:v>
      </x:c>
      <x:c r="D174" s="20" t="str">
        <x:v>Web</x:v>
      </x:c>
      <x:c r="E174" s="20" t="str">
        <x:v>SCR-092</x:v>
      </x:c>
      <x:c r="F174" s="35" t="str">
        <x:v>/apply/[token]</x:v>
      </x:c>
      <x:c r="G174" s="20" t="str">
        <x:v>Allowed</x:v>
      </x:c>
      <x:c r="H174" s="35" t="str">
        <x:v>Navigate from the persona shell; exercise every visible tab, filter, list action, detail action, empty/populated/error/loading state, and return path.</x:v>
      </x:c>
      <x:c r="I174" s="35" t="str">
        <x:v>Navigation entry; loaded state; action result; persisted read-back; audit/history; no data outside assigned relationship/property scope.</x:v>
      </x:c>
    </x:row>
    <x:row r="175">
      <x:c r="A175" s="20" t="str">
        <x:v>ROLE-172</x:v>
      </x:c>
      <x:c r="B175" s="23" t="n">
        <x:v>46566</x:v>
      </x:c>
      <x:c r="C175" s="20" t="str">
        <x:v>Workspace Administrator</x:v>
      </x:c>
      <x:c r="D175" s="20" t="str">
        <x:v>Web</x:v>
      </x:c>
      <x:c r="E175" s="20" t="str">
        <x:v>SCR-093</x:v>
      </x:c>
      <x:c r="F175" s="35" t="str">
        <x:v>/choose-setup</x:v>
      </x:c>
      <x:c r="G175" s="20" t="str">
        <x:v>Allowed</x:v>
      </x:c>
      <x:c r="H175" s="35" t="str">
        <x:v>Navigate from the persona shell; exercise every visible tab, filter, list action, detail action, empty/populated/error/loading state, and return path.</x:v>
      </x:c>
      <x:c r="I175" s="35" t="str">
        <x:v>Navigation entry; loaded state; action result; persisted read-back; audit/history; no data outside assigned relationship/property scope.</x:v>
      </x:c>
    </x:row>
    <x:row r="176">
      <x:c r="A176" s="20" t="str">
        <x:v>ROLE-173</x:v>
      </x:c>
      <x:c r="B176" s="23" t="n">
        <x:v>46566</x:v>
      </x:c>
      <x:c r="C176" s="20" t="str">
        <x:v>Property Manager</x:v>
      </x:c>
      <x:c r="D176" s="20" t="str">
        <x:v>Web</x:v>
      </x:c>
      <x:c r="E176" s="20" t="str">
        <x:v>SCR-093</x:v>
      </x:c>
      <x:c r="F176" s="35" t="str">
        <x:v>/choose-setup</x:v>
      </x:c>
      <x:c r="G176" s="20" t="str">
        <x:v>Allowed</x:v>
      </x:c>
      <x:c r="H176" s="35" t="str">
        <x:v>Navigate from the persona shell; exercise every visible tab, filter, list action, detail action, empty/populated/error/loading state, and return path.</x:v>
      </x:c>
      <x:c r="I176" s="35" t="str">
        <x:v>Navigation entry; loaded state; action result; persisted read-back; audit/history; no data outside assigned relationship/property scope.</x:v>
      </x:c>
    </x:row>
    <x:row r="177">
      <x:c r="A177" s="20" t="str">
        <x:v>ROLE-174</x:v>
      </x:c>
      <x:c r="B177" s="23" t="n">
        <x:v>46567</x:v>
      </x:c>
      <x:c r="C177" s="20" t="str">
        <x:v>Applicant / public user</x:v>
      </x:c>
      <x:c r="D177" s="20" t="str">
        <x:v>Web</x:v>
      </x:c>
      <x:c r="E177" s="20" t="str">
        <x:v>SCR-094</x:v>
      </x:c>
      <x:c r="F177" s="35" t="str">
        <x:v>/features</x:v>
      </x:c>
      <x:c r="G177" s="20" t="str">
        <x:v>Allowed</x:v>
      </x:c>
      <x:c r="H177" s="35" t="str">
        <x:v>Navigate from the persona shell; exercise every visible tab, filter, list action, detail action, empty/populated/error/loading state, and return path.</x:v>
      </x:c>
      <x:c r="I177" s="35" t="str">
        <x:v>Navigation entry; loaded state; action result; persisted read-back; audit/history; no data outside assigned relationship/property scope.</x:v>
      </x:c>
    </x:row>
    <x:row r="178">
      <x:c r="A178" s="20" t="str">
        <x:v>ROLE-175</x:v>
      </x:c>
      <x:c r="B178" s="23" t="n">
        <x:v>46569</x:v>
      </x:c>
      <x:c r="C178" s="20" t="str">
        <x:v>Applicant / public user</x:v>
      </x:c>
      <x:c r="D178" s="20" t="str">
        <x:v>Web</x:v>
      </x:c>
      <x:c r="E178" s="20" t="str">
        <x:v>SCR-095</x:v>
      </x:c>
      <x:c r="F178" s="35" t="str">
        <x:v>/forgot-password</x:v>
      </x:c>
      <x:c r="G178" s="20" t="str">
        <x:v>Allowed</x:v>
      </x:c>
      <x:c r="H178" s="35" t="str">
        <x:v>Navigate from the persona shell; exercise every visible tab, filter, list action, detail action, empty/populated/error/loading state, and return path.</x:v>
      </x:c>
      <x:c r="I178" s="35" t="str">
        <x:v>Navigation entry; loaded state; action result; persisted read-back; audit/history; no data outside assigned relationship/property scope.</x:v>
      </x:c>
    </x:row>
    <x:row r="179">
      <x:c r="A179" s="20" t="str">
        <x:v>ROLE-176</x:v>
      </x:c>
      <x:c r="B179" s="23" t="n">
        <x:v>46570</x:v>
      </x:c>
      <x:c r="C179" s="20" t="str">
        <x:v>Applicant / public user</x:v>
      </x:c>
      <x:c r="D179" s="20" t="str">
        <x:v>Web</x:v>
      </x:c>
      <x:c r="E179" s="20" t="str">
        <x:v>SCR-096</x:v>
      </x:c>
      <x:c r="F179" s="35" t="str">
        <x:v>/login</x:v>
      </x:c>
      <x:c r="G179" s="20" t="str">
        <x:v>Allowed</x:v>
      </x:c>
      <x:c r="H179" s="35" t="str">
        <x:v>Navigate from the persona shell; exercise every visible tab, filter, list action, detail action, empty/populated/error/loading state, and return path.</x:v>
      </x:c>
      <x:c r="I179" s="35" t="str">
        <x:v>Navigation entry; loaded state; action result; persisted read-back; audit/history; no data outside assigned relationship/property scope.</x:v>
      </x:c>
    </x:row>
    <x:row r="180">
      <x:c r="A180" s="20" t="str">
        <x:v>ROLE-177</x:v>
      </x:c>
      <x:c r="B180" s="23" t="n">
        <x:v>46573</x:v>
      </x:c>
      <x:c r="C180" s="20" t="str">
        <x:v>Applicant / public user</x:v>
      </x:c>
      <x:c r="D180" s="20" t="str">
        <x:v>Web</x:v>
      </x:c>
      <x:c r="E180" s="20" t="str">
        <x:v>SCR-097</x:v>
      </x:c>
      <x:c r="F180" s="35" t="str">
        <x:v>/register</x:v>
      </x:c>
      <x:c r="G180" s="20" t="str">
        <x:v>Allowed</x:v>
      </x:c>
      <x:c r="H180" s="35" t="str">
        <x:v>Navigate from the persona shell; exercise every visible tab, filter, list action, detail action, empty/populated/error/loading state, and return path.</x:v>
      </x:c>
      <x:c r="I180" s="35" t="str">
        <x:v>Navigation entry; loaded state; action result; persisted read-back; audit/history; no data outside assigned relationship/property scope.</x:v>
      </x:c>
    </x:row>
    <x:row r="181">
      <x:c r="A181" s="20" t="str">
        <x:v>ROLE-178</x:v>
      </x:c>
      <x:c r="B181" s="23" t="n">
        <x:v>46574</x:v>
      </x:c>
      <x:c r="C181" s="20" t="str">
        <x:v>Applicant / public user</x:v>
      </x:c>
      <x:c r="D181" s="20" t="str">
        <x:v>Web</x:v>
      </x:c>
      <x:c r="E181" s="20" t="str">
        <x:v>SCR-098</x:v>
      </x:c>
      <x:c r="F181" s="35" t="str">
        <x:v>/reset-password</x:v>
      </x:c>
      <x:c r="G181" s="20" t="str">
        <x:v>Allowed</x:v>
      </x:c>
      <x:c r="H181" s="35" t="str">
        <x:v>Navigate from the persona shell; exercise every visible tab, filter, list action, detail action, empty/populated/error/loading state, and return path.</x:v>
      </x:c>
      <x:c r="I181" s="35" t="str">
        <x:v>Navigation entry; loaded state; action result; persisted read-back; audit/history; no data outside assigned relationship/property scope.</x:v>
      </x:c>
    </x:row>
    <x:row r="182">
      <x:c r="A182" s="20" t="str">
        <x:v>ROLE-179</x:v>
      </x:c>
      <x:c r="B182" s="23" t="n">
        <x:v>46576</x:v>
      </x:c>
      <x:c r="C182" s="20" t="str">
        <x:v>Workspace Administrator</x:v>
      </x:c>
      <x:c r="D182" s="20" t="str">
        <x:v>Web</x:v>
      </x:c>
      <x:c r="E182" s="20" t="str">
        <x:v>SCR-099</x:v>
      </x:c>
      <x:c r="F182" s="35" t="str">
        <x:v>/setting-up</x:v>
      </x:c>
      <x:c r="G182" s="20" t="str">
        <x:v>Allowed</x:v>
      </x:c>
      <x:c r="H182" s="35" t="str">
        <x:v>Navigate from the persona shell; exercise every visible tab, filter, list action, detail action, empty/populated/error/loading state, and return path.</x:v>
      </x:c>
      <x:c r="I182" s="35" t="str">
        <x:v>Navigation entry; loaded state; action result; persisted read-back; audit/history; no data outside assigned relationship/property scope.</x:v>
      </x:c>
    </x:row>
    <x:row r="183">
      <x:c r="A183" s="20" t="str">
        <x:v>ROLE-180</x:v>
      </x:c>
      <x:c r="B183" s="23" t="n">
        <x:v>46576</x:v>
      </x:c>
      <x:c r="C183" s="20" t="str">
        <x:v>Property Manager</x:v>
      </x:c>
      <x:c r="D183" s="20" t="str">
        <x:v>Web</x:v>
      </x:c>
      <x:c r="E183" s="20" t="str">
        <x:v>SCR-099</x:v>
      </x:c>
      <x:c r="F183" s="35" t="str">
        <x:v>/setting-up</x:v>
      </x:c>
      <x:c r="G183" s="20" t="str">
        <x:v>Allowed</x:v>
      </x:c>
      <x:c r="H183" s="35" t="str">
        <x:v>Navigate from the persona shell; exercise every visible tab, filter, list action, detail action, empty/populated/error/loading state, and return path.</x:v>
      </x:c>
      <x:c r="I183" s="35" t="str">
        <x:v>Navigation entry; loaded state; action result; persisted read-back; audit/history; no data outside assigned relationship/property scope.</x:v>
      </x:c>
    </x:row>
    <x:row r="184">
      <x:c r="A184" s="20" t="str">
        <x:v>ROLE-181</x:v>
      </x:c>
      <x:c r="B184" s="23" t="n">
        <x:v>46577</x:v>
      </x:c>
      <x:c r="C184" s="20" t="str">
        <x:v>Applicant / public user</x:v>
      </x:c>
      <x:c r="D184" s="20" t="str">
        <x:v>Web</x:v>
      </x:c>
      <x:c r="E184" s="20" t="str">
        <x:v>SCR-100</x:v>
      </x:c>
      <x:c r="F184" s="35" t="str">
        <x:v>/verify-email</x:v>
      </x:c>
      <x:c r="G184" s="20" t="str">
        <x:v>Allowed</x:v>
      </x:c>
      <x:c r="H184" s="35" t="str">
        <x:v>Navigate from the persona shell; exercise every visible tab, filter, list action, detail action, empty/populated/error/loading state, and return path.</x:v>
      </x:c>
      <x:c r="I184" s="35" t="str">
        <x:v>Navigation entry; loaded state; action result; persisted read-back; audit/history; no data outside assigned relationship/property scope.</x:v>
      </x:c>
    </x:row>
    <x:row r="185">
      <x:c r="A185" s="20" t="str">
        <x:v>ROLE-182</x:v>
      </x:c>
      <x:c r="B185" s="23" t="n">
        <x:v>46580</x:v>
      </x:c>
      <x:c r="C185" s="20" t="str">
        <x:v>Applicant / public user</x:v>
      </x:c>
      <x:c r="D185" s="20" t="str">
        <x:v>Web</x:v>
      </x:c>
      <x:c r="E185" s="20" t="str">
        <x:v>SCR-101</x:v>
      </x:c>
      <x:c r="F185" s="35" t="str">
        <x:v>/welcome</x:v>
      </x:c>
      <x:c r="G185" s="20" t="str">
        <x:v>Allowed</x:v>
      </x:c>
      <x:c r="H185" s="35" t="str">
        <x:v>Navigate from the persona shell; exercise every visible tab, filter, list action, detail action, empty/populated/error/loading state, and return path.</x:v>
      </x:c>
      <x:c r="I185" s="35" t="str">
        <x:v>Navigation entry; loaded state; action result; persisted read-back; audit/history; no data outside assigned relationship/property scope.</x:v>
      </x:c>
    </x:row>
    <x:row r="186">
      <x:c r="A186" s="20" t="str">
        <x:v>ROLE-183</x:v>
      </x:c>
      <x:c r="B186" s="23" t="n">
        <x:v>46582</x:v>
      </x:c>
      <x:c r="C186" s="20" t="str">
        <x:v>Workspace Administrator</x:v>
      </x:c>
      <x:c r="D186" s="20" t="str">
        <x:v>Mobile</x:v>
      </x:c>
      <x:c r="E186" s="20" t="str">
        <x:v>SCR-102</x:v>
      </x:c>
      <x:c r="F186" s="35" t="str">
        <x:v>core/router/mobile_access_denied_screen.dart</x:v>
      </x:c>
      <x:c r="G186" s="20" t="str">
        <x:v>Allowed</x:v>
      </x:c>
      <x:c r="H186" s="35" t="str">
        <x:v>Navigate from the persona shell; exercise every visible tab, filter, list action, detail action, empty/populated/error/loading state, and return path.</x:v>
      </x:c>
      <x:c r="I186" s="35" t="str">
        <x:v>Navigation entry; loaded state; action result; persisted read-back; audit/history; no data outside assigned relationship/property scope.</x:v>
      </x:c>
    </x:row>
    <x:row r="187">
      <x:c r="A187" s="20" t="str">
        <x:v>ROLE-184</x:v>
      </x:c>
      <x:c r="B187" s="23" t="n">
        <x:v>46582</x:v>
      </x:c>
      <x:c r="C187" s="20" t="str">
        <x:v>Property Manager</x:v>
      </x:c>
      <x:c r="D187" s="20" t="str">
        <x:v>Mobile</x:v>
      </x:c>
      <x:c r="E187" s="20" t="str">
        <x:v>SCR-102</x:v>
      </x:c>
      <x:c r="F187" s="35" t="str">
        <x:v>core/router/mobile_access_denied_screen.dart</x:v>
      </x:c>
      <x:c r="G187" s="20" t="str">
        <x:v>Allowed</x:v>
      </x:c>
      <x:c r="H187" s="35" t="str">
        <x:v>Navigate from the persona shell; exercise every visible tab, filter, list action, detail action, empty/populated/error/loading state, and return path.</x:v>
      </x:c>
      <x:c r="I187" s="35" t="str">
        <x:v>Navigation entry; loaded state; action result; persisted read-back; audit/history; no data outside assigned relationship/property scope.</x:v>
      </x:c>
    </x:row>
    <x:row r="188">
      <x:c r="A188" s="20" t="str">
        <x:v>ROLE-185</x:v>
      </x:c>
      <x:c r="B188" s="23" t="n">
        <x:v>46583</x:v>
      </x:c>
      <x:c r="C188" s="20" t="str">
        <x:v>Workspace Administrator</x:v>
      </x:c>
      <x:c r="D188" s="20" t="str">
        <x:v>Mobile</x:v>
      </x:c>
      <x:c r="E188" s="20" t="str">
        <x:v>SCR-103</x:v>
      </x:c>
      <x:c r="F188" s="35" t="str">
        <x:v>core/widgets/tabbed_form_sheet.dart</x:v>
      </x:c>
      <x:c r="G188" s="20" t="str">
        <x:v>Allowed</x:v>
      </x:c>
      <x:c r="H188" s="35" t="str">
        <x:v>Navigate from the persona shell; exercise every visible tab, filter, list action, detail action, empty/populated/error/loading state, and return path.</x:v>
      </x:c>
      <x:c r="I188" s="35" t="str">
        <x:v>Navigation entry; loaded state; action result; persisted read-back; audit/history; no data outside assigned relationship/property scope.</x:v>
      </x:c>
    </x:row>
    <x:row r="189">
      <x:c r="A189" s="20" t="str">
        <x:v>ROLE-186</x:v>
      </x:c>
      <x:c r="B189" s="23" t="n">
        <x:v>46583</x:v>
      </x:c>
      <x:c r="C189" s="20" t="str">
        <x:v>Property Manager</x:v>
      </x:c>
      <x:c r="D189" s="20" t="str">
        <x:v>Mobile</x:v>
      </x:c>
      <x:c r="E189" s="20" t="str">
        <x:v>SCR-103</x:v>
      </x:c>
      <x:c r="F189" s="35" t="str">
        <x:v>core/widgets/tabbed_form_sheet.dart</x:v>
      </x:c>
      <x:c r="G189" s="20" t="str">
        <x:v>Allowed</x:v>
      </x:c>
      <x:c r="H189" s="35" t="str">
        <x:v>Navigate from the persona shell; exercise every visible tab, filter, list action, detail action, empty/populated/error/loading state, and return path.</x:v>
      </x:c>
      <x:c r="I189" s="35" t="str">
        <x:v>Navigation entry; loaded state; action result; persisted read-back; audit/history; no data outside assigned relationship/property scope.</x:v>
      </x:c>
    </x:row>
    <x:row r="190">
      <x:c r="A190" s="20" t="str">
        <x:v>ROLE-187</x:v>
      </x:c>
      <x:c r="B190" s="23" t="n">
        <x:v>46584</x:v>
      </x:c>
      <x:c r="C190" s="20" t="str">
        <x:v>Applicant / public user</x:v>
      </x:c>
      <x:c r="D190" s="20" t="str">
        <x:v>Mobile</x:v>
      </x:c>
      <x:c r="E190" s="20" t="str">
        <x:v>SCR-104</x:v>
      </x:c>
      <x:c r="F190" s="35" t="str">
        <x:v>features/activity/activity_history_screen.dart</x:v>
      </x:c>
      <x:c r="G190" s="20" t="str">
        <x:v>Allowed</x:v>
      </x:c>
      <x:c r="H190" s="35" t="str">
        <x:v>Navigate from the persona shell; exercise every visible tab, filter, list action, detail action, empty/populated/error/loading state, and return path.</x:v>
      </x:c>
      <x:c r="I190" s="35" t="str">
        <x:v>Navigation entry; loaded state; action result; persisted read-back; audit/history; no data outside assigned relationship/property scope.</x:v>
      </x:c>
    </x:row>
    <x:row r="191">
      <x:c r="A191" s="20" t="str">
        <x:v>ROLE-188</x:v>
      </x:c>
      <x:c r="B191" s="23" t="n">
        <x:v>46587</x:v>
      </x:c>
      <x:c r="C191" s="20" t="str">
        <x:v>Applicant / public user</x:v>
      </x:c>
      <x:c r="D191" s="20" t="str">
        <x:v>Mobile</x:v>
      </x:c>
      <x:c r="E191" s="20" t="str">
        <x:v>SCR-105</x:v>
      </x:c>
      <x:c r="F191" s="35" t="str">
        <x:v>features/ai/ai_tab.dart</x:v>
      </x:c>
      <x:c r="G191" s="20" t="str">
        <x:v>Allowed</x:v>
      </x:c>
      <x:c r="H191" s="35" t="str">
        <x:v>Navigate from the persona shell; exercise every visible tab, filter, list action, detail action, empty/populated/error/loading state, and return path.</x:v>
      </x:c>
      <x:c r="I191" s="35" t="str">
        <x:v>Navigation entry; loaded state; action result; persisted read-back; audit/history; no data outside assigned relationship/property scope.</x:v>
      </x:c>
    </x:row>
    <x:row r="192">
      <x:c r="A192" s="20" t="str">
        <x:v>ROLE-189</x:v>
      </x:c>
      <x:c r="B192" s="23" t="n">
        <x:v>46589</x:v>
      </x:c>
      <x:c r="C192" s="20" t="str">
        <x:v>Applicant / public user</x:v>
      </x:c>
      <x:c r="D192" s="20" t="str">
        <x:v>Mobile</x:v>
      </x:c>
      <x:c r="E192" s="20" t="str">
        <x:v>SCR-106</x:v>
      </x:c>
      <x:c r="F192" s="35" t="str">
        <x:v>features/ai/briefing_screen.dart</x:v>
      </x:c>
      <x:c r="G192" s="20" t="str">
        <x:v>Allowed</x:v>
      </x:c>
      <x:c r="H192" s="35" t="str">
        <x:v>Navigate from the persona shell; exercise every visible tab, filter, list action, detail action, empty/populated/error/loading state, and return path.</x:v>
      </x:c>
      <x:c r="I192" s="35" t="str">
        <x:v>Navigation entry; loaded state; action result; persisted read-back; audit/history; no data outside assigned relationship/property scope.</x:v>
      </x:c>
    </x:row>
    <x:row r="193">
      <x:c r="A193" s="20" t="str">
        <x:v>ROLE-190</x:v>
      </x:c>
      <x:c r="B193" s="23" t="n">
        <x:v>46590</x:v>
      </x:c>
      <x:c r="C193" s="20" t="str">
        <x:v>Applicant / public user</x:v>
      </x:c>
      <x:c r="D193" s="20" t="str">
        <x:v>Mobile</x:v>
      </x:c>
      <x:c r="E193" s="20" t="str">
        <x:v>SCR-107</x:v>
      </x:c>
      <x:c r="F193" s="35" t="str">
        <x:v>features/ai/qa_screen.dart</x:v>
      </x:c>
      <x:c r="G193" s="20" t="str">
        <x:v>Allowed</x:v>
      </x:c>
      <x:c r="H193" s="35" t="str">
        <x:v>Navigate from the persona shell; exercise every visible tab, filter, list action, detail action, empty/populated/error/loading state, and return path.</x:v>
      </x:c>
      <x:c r="I193" s="35" t="str">
        <x:v>Navigation entry; loaded state; action result; persisted read-back; audit/history; no data outside assigned relationship/property scope.</x:v>
      </x:c>
    </x:row>
    <x:row r="194">
      <x:c r="A194" s="20" t="str">
        <x:v>ROLE-191</x:v>
      </x:c>
      <x:c r="B194" s="23" t="n">
        <x:v>46591</x:v>
      </x:c>
      <x:c r="C194" s="20" t="str">
        <x:v>Applicant / public user</x:v>
      </x:c>
      <x:c r="D194" s="20" t="str">
        <x:v>Mobile</x:v>
      </x:c>
      <x:c r="E194" s="20" t="str">
        <x:v>SCR-108</x:v>
      </x:c>
      <x:c r="F194" s="35" t="str">
        <x:v>features/analytics/insights_screen.dart</x:v>
      </x:c>
      <x:c r="G194" s="20" t="str">
        <x:v>Allowed</x:v>
      </x:c>
      <x:c r="H194" s="35" t="str">
        <x:v>Navigate from the persona shell; exercise every visible tab, filter, list action, detail action, empty/populated/error/loading state, and return path.</x:v>
      </x:c>
      <x:c r="I194" s="35" t="str">
        <x:v>Navigation entry; loaded state; action result; persisted read-back; audit/history; no data outside assigned relationship/property scope.</x:v>
      </x:c>
    </x:row>
    <x:row r="195">
      <x:c r="A195" s="20" t="str">
        <x:v>ROLE-192</x:v>
      </x:c>
      <x:c r="B195" s="23" t="n">
        <x:v>46594</x:v>
      </x:c>
      <x:c r="C195" s="20" t="str">
        <x:v>Applicant / public user</x:v>
      </x:c>
      <x:c r="D195" s="20" t="str">
        <x:v>Mobile</x:v>
      </x:c>
      <x:c r="E195" s="20" t="str">
        <x:v>SCR-109</x:v>
      </x:c>
      <x:c r="F195" s="35" t="str">
        <x:v>features/applications/application_detail_screen.dart</x:v>
      </x:c>
      <x:c r="G195" s="20" t="str">
        <x:v>Allowed</x:v>
      </x:c>
      <x:c r="H195" s="35" t="str">
        <x:v>Navigate from the persona shell; exercise every visible tab, filter, list action, detail action, empty/populated/error/loading state, and return path.</x:v>
      </x:c>
      <x:c r="I195" s="35" t="str">
        <x:v>Navigation entry; loaded state; action result; persisted read-back; audit/history; no data outside assigned relationship/property scope.</x:v>
      </x:c>
    </x:row>
    <x:row r="196">
      <x:c r="A196" s="20" t="str">
        <x:v>ROLE-193</x:v>
      </x:c>
      <x:c r="B196" s="23" t="n">
        <x:v>46596</x:v>
      </x:c>
      <x:c r="C196" s="20" t="str">
        <x:v>Applicant / public user</x:v>
      </x:c>
      <x:c r="D196" s="20" t="str">
        <x:v>Mobile</x:v>
      </x:c>
      <x:c r="E196" s="20" t="str">
        <x:v>SCR-110</x:v>
      </x:c>
      <x:c r="F196" s="35" t="str">
        <x:v>features/applications/applications_list_screen.dart</x:v>
      </x:c>
      <x:c r="G196" s="20" t="str">
        <x:v>Allowed</x:v>
      </x:c>
      <x:c r="H196" s="35" t="str">
        <x:v>Navigate from the persona shell; exercise every visible tab, filter, list action, detail action, empty/populated/error/loading state, and return path.</x:v>
      </x:c>
      <x:c r="I196" s="35" t="str">
        <x:v>Navigation entry; loaded state; action result; persisted read-back; audit/history; no data outside assigned relationship/property scope.</x:v>
      </x:c>
    </x:row>
    <x:row r="197">
      <x:c r="A197" s="20" t="str">
        <x:v>ROLE-194</x:v>
      </x:c>
      <x:c r="B197" s="23" t="n">
        <x:v>46597</x:v>
      </x:c>
      <x:c r="C197" s="20" t="str">
        <x:v>Applicant / public user</x:v>
      </x:c>
      <x:c r="D197" s="20" t="str">
        <x:v>Mobile</x:v>
      </x:c>
      <x:c r="E197" s="20" t="str">
        <x:v>SCR-111</x:v>
      </x:c>
      <x:c r="F197" s="35" t="str">
        <x:v>features/appointments/appointment_detail_screen.dart</x:v>
      </x:c>
      <x:c r="G197" s="20" t="str">
        <x:v>Allowed</x:v>
      </x:c>
      <x:c r="H197" s="35" t="str">
        <x:v>Navigate from the persona shell; exercise every visible tab, filter, list action, detail action, empty/populated/error/loading state, and return path.</x:v>
      </x:c>
      <x:c r="I197" s="35" t="str">
        <x:v>Navigation entry; loaded state; action result; persisted read-back; audit/history; no data outside assigned relationship/property scope.</x:v>
      </x:c>
    </x:row>
    <x:row r="198">
      <x:c r="A198" s="20" t="str">
        <x:v>ROLE-195</x:v>
      </x:c>
      <x:c r="B198" s="23" t="n">
        <x:v>46598</x:v>
      </x:c>
      <x:c r="C198" s="20" t="str">
        <x:v>Applicant / public user</x:v>
      </x:c>
      <x:c r="D198" s="20" t="str">
        <x:v>Mobile</x:v>
      </x:c>
      <x:c r="E198" s="20" t="str">
        <x:v>SCR-112</x:v>
      </x:c>
      <x:c r="F198" s="35" t="str">
        <x:v>features/appointments/appointments_screen.dart</x:v>
      </x:c>
      <x:c r="G198" s="20" t="str">
        <x:v>Allowed</x:v>
      </x:c>
      <x:c r="H198" s="35" t="str">
        <x:v>Navigate from the persona shell; exercise every visible tab, filter, list action, detail action, empty/populated/error/loading state, and return path.</x:v>
      </x:c>
      <x:c r="I198" s="35" t="str">
        <x:v>Navigation entry; loaded state; action result; persisted read-back; audit/history; no data outside assigned relationship/property scope.</x:v>
      </x:c>
    </x:row>
    <x:row r="199">
      <x:c r="A199" s="20" t="str">
        <x:v>ROLE-196</x:v>
      </x:c>
      <x:c r="B199" s="23" t="n">
        <x:v>46601</x:v>
      </x:c>
      <x:c r="C199" s="20" t="str">
        <x:v>Tenant</x:v>
      </x:c>
      <x:c r="D199" s="20" t="str">
        <x:v>Mobile</x:v>
      </x:c>
      <x:c r="E199" s="20" t="str">
        <x:v>SCR-113</x:v>
      </x:c>
      <x:c r="F199" s="35" t="str">
        <x:v>features/appointments/tenant_appointments_screen.dart</x:v>
      </x:c>
      <x:c r="G199" s="20" t="str">
        <x:v>Allowed</x:v>
      </x:c>
      <x:c r="H199" s="35" t="str">
        <x:v>Navigate from the persona shell; exercise every visible tab, filter, list action, detail action, empty/populated/error/loading state, and return path.</x:v>
      </x:c>
      <x:c r="I199" s="35" t="str">
        <x:v>Navigation entry; loaded state; action result; persisted read-back; audit/history; no data outside assigned relationship/property scope.</x:v>
      </x:c>
    </x:row>
    <x:row r="200">
      <x:c r="A200" s="20" t="str">
        <x:v>ROLE-197</x:v>
      </x:c>
      <x:c r="B200" s="23" t="n">
        <x:v>46603</x:v>
      </x:c>
      <x:c r="C200" s="20" t="str">
        <x:v>Applicant / public user</x:v>
      </x:c>
      <x:c r="D200" s="20" t="str">
        <x:v>Mobile</x:v>
      </x:c>
      <x:c r="E200" s="20" t="str">
        <x:v>SCR-114</x:v>
      </x:c>
      <x:c r="F200" s="35" t="str">
        <x:v>features/auth/forgot_password_screen.dart</x:v>
      </x:c>
      <x:c r="G200" s="20" t="str">
        <x:v>Allowed</x:v>
      </x:c>
      <x:c r="H200" s="35" t="str">
        <x:v>Navigate from the persona shell; exercise every visible tab, filter, list action, detail action, empty/populated/error/loading state, and return path.</x:v>
      </x:c>
      <x:c r="I200" s="35" t="str">
        <x:v>Navigation entry; loaded state; action result; persisted read-back; audit/history; no data outside assigned relationship/property scope.</x:v>
      </x:c>
    </x:row>
    <x:row r="201">
      <x:c r="A201" s="20" t="str">
        <x:v>ROLE-198</x:v>
      </x:c>
      <x:c r="B201" s="23" t="n">
        <x:v>46604</x:v>
      </x:c>
      <x:c r="C201" s="20" t="str">
        <x:v>Applicant / public user</x:v>
      </x:c>
      <x:c r="D201" s="20" t="str">
        <x:v>Mobile</x:v>
      </x:c>
      <x:c r="E201" s="20" t="str">
        <x:v>SCR-115</x:v>
      </x:c>
      <x:c r="F201" s="35" t="str">
        <x:v>features/auth/login_screen.dart</x:v>
      </x:c>
      <x:c r="G201" s="20" t="str">
        <x:v>Allowed</x:v>
      </x:c>
      <x:c r="H201" s="35" t="str">
        <x:v>Navigate from the persona shell; exercise every visible tab, filter, list action, detail action, empty/populated/error/loading state, and return path.</x:v>
      </x:c>
      <x:c r="I201" s="35" t="str">
        <x:v>Navigation entry; loaded state; action result; persisted read-back; audit/history; no data outside assigned relationship/property scope.</x:v>
      </x:c>
    </x:row>
    <x:row r="202">
      <x:c r="A202" s="20" t="str">
        <x:v>ROLE-199</x:v>
      </x:c>
      <x:c r="B202" s="23" t="n">
        <x:v>46605</x:v>
      </x:c>
      <x:c r="C202" s="20" t="str">
        <x:v>Applicant / public user</x:v>
      </x:c>
      <x:c r="D202" s="20" t="str">
        <x:v>Mobile</x:v>
      </x:c>
      <x:c r="E202" s="20" t="str">
        <x:v>SCR-116</x:v>
      </x:c>
      <x:c r="F202" s="35" t="str">
        <x:v>features/auth/register_screen.dart</x:v>
      </x:c>
      <x:c r="G202" s="20" t="str">
        <x:v>Allowed</x:v>
      </x:c>
      <x:c r="H202" s="35" t="str">
        <x:v>Navigate from the persona shell; exercise every visible tab, filter, list action, detail action, empty/populated/error/loading state, and return path.</x:v>
      </x:c>
      <x:c r="I202" s="35" t="str">
        <x:v>Navigation entry; loaded state; action result; persisted read-back; audit/history; no data outside assigned relationship/property scope.</x:v>
      </x:c>
    </x:row>
    <x:row r="203">
      <x:c r="A203" s="20" t="str">
        <x:v>ROLE-200</x:v>
      </x:c>
      <x:c r="B203" s="23" t="n">
        <x:v>46608</x:v>
      </x:c>
      <x:c r="C203" s="20" t="str">
        <x:v>Applicant / public user</x:v>
      </x:c>
      <x:c r="D203" s="20" t="str">
        <x:v>Mobile</x:v>
      </x:c>
      <x:c r="E203" s="20" t="str">
        <x:v>SCR-117</x:v>
      </x:c>
      <x:c r="F203" s="35" t="str">
        <x:v>features/auth/reset_password_screen.dart</x:v>
      </x:c>
      <x:c r="G203" s="20" t="str">
        <x:v>Allowed</x:v>
      </x:c>
      <x:c r="H203" s="35" t="str">
        <x:v>Navigate from the persona shell; exercise every visible tab, filter, list action, detail action, empty/populated/error/loading state, and return path.</x:v>
      </x:c>
      <x:c r="I203" s="35" t="str">
        <x:v>Navigation entry; loaded state; action result; persisted read-back; audit/history; no data outside assigned relationship/property scope.</x:v>
      </x:c>
    </x:row>
    <x:row r="204">
      <x:c r="A204" s="20" t="str">
        <x:v>ROLE-201</x:v>
      </x:c>
      <x:c r="B204" s="23" t="n">
        <x:v>46610</x:v>
      </x:c>
      <x:c r="C204" s="20" t="str">
        <x:v>Applicant / public user</x:v>
      </x:c>
      <x:c r="D204" s="20" t="str">
        <x:v>Mobile</x:v>
      </x:c>
      <x:c r="E204" s="20" t="str">
        <x:v>SCR-118</x:v>
      </x:c>
      <x:c r="F204" s="35" t="str">
        <x:v>features/auth/verify_email_screen.dart</x:v>
      </x:c>
      <x:c r="G204" s="20" t="str">
        <x:v>Allowed</x:v>
      </x:c>
      <x:c r="H204" s="35" t="str">
        <x:v>Navigate from the persona shell; exercise every visible tab, filter, list action, detail action, empty/populated/error/loading state, and return path.</x:v>
      </x:c>
      <x:c r="I204" s="35" t="str">
        <x:v>Navigation entry; loaded state; action result; persisted read-back; audit/history; no data outside assigned relationship/property scope.</x:v>
      </x:c>
    </x:row>
    <x:row r="205">
      <x:c r="A205" s="20" t="str">
        <x:v>ROLE-202</x:v>
      </x:c>
      <x:c r="B205" s="23" t="n">
        <x:v>46611</x:v>
      </x:c>
      <x:c r="C205" s="20" t="str">
        <x:v>Applicant / public user</x:v>
      </x:c>
      <x:c r="D205" s="20" t="str">
        <x:v>Mobile</x:v>
      </x:c>
      <x:c r="E205" s="20" t="str">
        <x:v>SCR-119</x:v>
      </x:c>
      <x:c r="F205" s="35" t="str">
        <x:v>features/banking/banking_screen.dart</x:v>
      </x:c>
      <x:c r="G205" s="20" t="str">
        <x:v>Allowed</x:v>
      </x:c>
      <x:c r="H205" s="35" t="str">
        <x:v>Navigate from the persona shell; exercise every visible tab, filter, list action, detail action, empty/populated/error/loading state, and return path.</x:v>
      </x:c>
      <x:c r="I205" s="35" t="str">
        <x:v>Navigation entry; loaded state; action result; persisted read-back; audit/history; no data outside assigned relationship/property scope.</x:v>
      </x:c>
    </x:row>
    <x:row r="206">
      <x:c r="A206" s="20" t="str">
        <x:v>ROLE-203</x:v>
      </x:c>
      <x:c r="B206" s="23" t="n">
        <x:v>46612</x:v>
      </x:c>
      <x:c r="C206" s="20" t="str">
        <x:v>Applicant / public user</x:v>
      </x:c>
      <x:c r="D206" s="20" t="str">
        <x:v>Mobile</x:v>
      </x:c>
      <x:c r="E206" s="20" t="str">
        <x:v>SCR-120</x:v>
      </x:c>
      <x:c r="F206" s="35" t="str">
        <x:v>features/deposits/deposits_screen.dart</x:v>
      </x:c>
      <x:c r="G206" s="20" t="str">
        <x:v>Allowed</x:v>
      </x:c>
      <x:c r="H206" s="35" t="str">
        <x:v>Navigate from the persona shell; exercise every visible tab, filter, list action, detail action, empty/populated/error/loading state, and return path.</x:v>
      </x:c>
      <x:c r="I206" s="35" t="str">
        <x:v>Navigation entry; loaded state; action result; persisted read-back; audit/history; no data outside assigned relationship/property scope.</x:v>
      </x:c>
    </x:row>
    <x:row r="207">
      <x:c r="A207" s="20" t="str">
        <x:v>ROLE-204</x:v>
      </x:c>
      <x:c r="B207" s="23" t="n">
        <x:v>46615</x:v>
      </x:c>
      <x:c r="C207" s="20" t="str">
        <x:v>Workspace Administrator</x:v>
      </x:c>
      <x:c r="D207" s="20" t="str">
        <x:v>Mobile</x:v>
      </x:c>
      <x:c r="E207" s="20" t="str">
        <x:v>SCR-121</x:v>
      </x:c>
      <x:c r="F207" s="35" t="str">
        <x:v>features/home/more_tab.dart</x:v>
      </x:c>
      <x:c r="G207" s="20" t="str">
        <x:v>Allowed</x:v>
      </x:c>
      <x:c r="H207" s="35" t="str">
        <x:v>Navigate from the persona shell; exercise every visible tab, filter, list action, detail action, empty/populated/error/loading state, and return path.</x:v>
      </x:c>
      <x:c r="I207" s="35" t="str">
        <x:v>Navigation entry; loaded state; action result; persisted read-back; audit/history; no data outside assigned relationship/property scope.</x:v>
      </x:c>
    </x:row>
    <x:row r="208">
      <x:c r="A208" s="20" t="str">
        <x:v>ROLE-205</x:v>
      </x:c>
      <x:c r="B208" s="23" t="n">
        <x:v>46615</x:v>
      </x:c>
      <x:c r="C208" s="20" t="str">
        <x:v>Property Manager</x:v>
      </x:c>
      <x:c r="D208" s="20" t="str">
        <x:v>Mobile</x:v>
      </x:c>
      <x:c r="E208" s="20" t="str">
        <x:v>SCR-121</x:v>
      </x:c>
      <x:c r="F208" s="35" t="str">
        <x:v>features/home/more_tab.dart</x:v>
      </x:c>
      <x:c r="G208" s="20" t="str">
        <x:v>Allowed</x:v>
      </x:c>
      <x:c r="H208" s="35" t="str">
        <x:v>Navigate from the persona shell; exercise every visible tab, filter, list action, detail action, empty/populated/error/loading state, and return path.</x:v>
      </x:c>
      <x:c r="I208" s="35" t="str">
        <x:v>Navigation entry; loaded state; action result; persisted read-back; audit/history; no data outside assigned relationship/property scope.</x:v>
      </x:c>
    </x:row>
    <x:row r="209">
      <x:c r="A209" s="20" t="str">
        <x:v>ROLE-206</x:v>
      </x:c>
      <x:c r="B209" s="23" t="n">
        <x:v>46615</x:v>
      </x:c>
      <x:c r="C209" s="20" t="str">
        <x:v>Leasing Agent</x:v>
      </x:c>
      <x:c r="D209" s="20" t="str">
        <x:v>Mobile</x:v>
      </x:c>
      <x:c r="E209" s="20" t="str">
        <x:v>SCR-121</x:v>
      </x:c>
      <x:c r="F209" s="35" t="str">
        <x:v>features/home/more_tab.dart</x:v>
      </x:c>
      <x:c r="G209" s="20" t="str">
        <x:v>Allowed</x:v>
      </x:c>
      <x:c r="H209" s="35" t="str">
        <x:v>Navigate from the persona shell; exercise every visible tab, filter, list action, detail action, empty/populated/error/loading state, and return path.</x:v>
      </x:c>
      <x:c r="I209" s="35" t="str">
        <x:v>Navigation entry; loaded state; action result; persisted read-back; audit/history; no data outside assigned relationship/property scope.</x:v>
      </x:c>
    </x:row>
    <x:row r="210">
      <x:c r="A210" s="20" t="str">
        <x:v>ROLE-207</x:v>
      </x:c>
      <x:c r="B210" s="23" t="n">
        <x:v>46615</x:v>
      </x:c>
      <x:c r="C210" s="20" t="str">
        <x:v>Maintenance Technician</x:v>
      </x:c>
      <x:c r="D210" s="20" t="str">
        <x:v>Mobile</x:v>
      </x:c>
      <x:c r="E210" s="20" t="str">
        <x:v>SCR-121</x:v>
      </x:c>
      <x:c r="F210" s="35" t="str">
        <x:v>features/home/more_tab.dart</x:v>
      </x:c>
      <x:c r="G210" s="20" t="str">
        <x:v>Allowed</x:v>
      </x:c>
      <x:c r="H210" s="35" t="str">
        <x:v>Navigate from the persona shell; exercise every visible tab, filter, list action, detail action, empty/populated/error/loading state, and return path.</x:v>
      </x:c>
      <x:c r="I210" s="35" t="str">
        <x:v>Navigation entry; loaded state; action result; persisted read-back; audit/history; no data outside assigned relationship/property scope.</x:v>
      </x:c>
    </x:row>
    <x:row r="211">
      <x:c r="A211" s="20" t="str">
        <x:v>ROLE-208</x:v>
      </x:c>
      <x:c r="B211" s="23" t="n">
        <x:v>46615</x:v>
      </x:c>
      <x:c r="C211" s="20" t="str">
        <x:v>Owner</x:v>
      </x:c>
      <x:c r="D211" s="20" t="str">
        <x:v>Mobile</x:v>
      </x:c>
      <x:c r="E211" s="20" t="str">
        <x:v>SCR-121</x:v>
      </x:c>
      <x:c r="F211" s="35" t="str">
        <x:v>features/home/more_tab.dart</x:v>
      </x:c>
      <x:c r="G211" s="20" t="str">
        <x:v>Allowed</x:v>
      </x:c>
      <x:c r="H211" s="35" t="str">
        <x:v>Navigate from the persona shell; exercise every visible tab, filter, list action, detail action, empty/populated/error/loading state, and return path.</x:v>
      </x:c>
      <x:c r="I211" s="35" t="str">
        <x:v>Navigation entry; loaded state; action result; persisted read-back; audit/history; no data outside assigned relationship/property scope.</x:v>
      </x:c>
    </x:row>
    <x:row r="212">
      <x:c r="A212" s="20" t="str">
        <x:v>ROLE-209</x:v>
      </x:c>
      <x:c r="B212" s="23" t="n">
        <x:v>46615</x:v>
      </x:c>
      <x:c r="C212" s="20" t="str">
        <x:v>Tenant</x:v>
      </x:c>
      <x:c r="D212" s="20" t="str">
        <x:v>Mobile</x:v>
      </x:c>
      <x:c r="E212" s="20" t="str">
        <x:v>SCR-121</x:v>
      </x:c>
      <x:c r="F212" s="35" t="str">
        <x:v>features/home/more_tab.dart</x:v>
      </x:c>
      <x:c r="G212" s="20" t="str">
        <x:v>Allowed</x:v>
      </x:c>
      <x:c r="H212" s="35" t="str">
        <x:v>Navigate from the persona shell; exercise every visible tab, filter, list action, detail action, empty/populated/error/loading state, and return path.</x:v>
      </x:c>
      <x:c r="I212" s="35" t="str">
        <x:v>Navigation entry; loaded state; action result; persisted read-back; audit/history; no data outside assigned relationship/property scope.</x:v>
      </x:c>
    </x:row>
    <x:row r="213">
      <x:c r="A213" s="20" t="str">
        <x:v>ROLE-210</x:v>
      </x:c>
      <x:c r="B213" s="23" t="n">
        <x:v>46617</x:v>
      </x:c>
      <x:c r="C213" s="20" t="str">
        <x:v>Workspace Administrator</x:v>
      </x:c>
      <x:c r="D213" s="20" t="str">
        <x:v>Mobile</x:v>
      </x:c>
      <x:c r="E213" s="20" t="str">
        <x:v>SCR-122</x:v>
      </x:c>
      <x:c r="F213" s="35" t="str">
        <x:v>features/home/owner_landing_screen.dart</x:v>
      </x:c>
      <x:c r="G213" s="20" t="str">
        <x:v>Allowed</x:v>
      </x:c>
      <x:c r="H213" s="35" t="str">
        <x:v>Navigate from the persona shell; exercise every visible tab, filter, list action, detail action, empty/populated/error/loading state, and return path.</x:v>
      </x:c>
      <x:c r="I213" s="35" t="str">
        <x:v>Navigation entry; loaded state; action result; persisted read-back; audit/history; no data outside assigned relationship/property scope.</x:v>
      </x:c>
    </x:row>
    <x:row r="214">
      <x:c r="A214" s="20" t="str">
        <x:v>ROLE-211</x:v>
      </x:c>
      <x:c r="B214" s="23" t="n">
        <x:v>46617</x:v>
      </x:c>
      <x:c r="C214" s="20" t="str">
        <x:v>Property Manager</x:v>
      </x:c>
      <x:c r="D214" s="20" t="str">
        <x:v>Mobile</x:v>
      </x:c>
      <x:c r="E214" s="20" t="str">
        <x:v>SCR-122</x:v>
      </x:c>
      <x:c r="F214" s="35" t="str">
        <x:v>features/home/owner_landing_screen.dart</x:v>
      </x:c>
      <x:c r="G214" s="20" t="str">
        <x:v>Allowed</x:v>
      </x:c>
      <x:c r="H214" s="35" t="str">
        <x:v>Navigate from the persona shell; exercise every visible tab, filter, list action, detail action, empty/populated/error/loading state, and return path.</x:v>
      </x:c>
      <x:c r="I214" s="35" t="str">
        <x:v>Navigation entry; loaded state; action result; persisted read-back; audit/history; no data outside assigned relationship/property scope.</x:v>
      </x:c>
    </x:row>
    <x:row r="215">
      <x:c r="A215" s="20" t="str">
        <x:v>ROLE-212</x:v>
      </x:c>
      <x:c r="B215" s="23" t="n">
        <x:v>46617</x:v>
      </x:c>
      <x:c r="C215" s="20" t="str">
        <x:v>Leasing Agent</x:v>
      </x:c>
      <x:c r="D215" s="20" t="str">
        <x:v>Mobile</x:v>
      </x:c>
      <x:c r="E215" s="20" t="str">
        <x:v>SCR-122</x:v>
      </x:c>
      <x:c r="F215" s="35" t="str">
        <x:v>features/home/owner_landing_screen.dart</x:v>
      </x:c>
      <x:c r="G215" s="20" t="str">
        <x:v>Allowed</x:v>
      </x:c>
      <x:c r="H215" s="35" t="str">
        <x:v>Navigate from the persona shell; exercise every visible tab, filter, list action, detail action, empty/populated/error/loading state, and return path.</x:v>
      </x:c>
      <x:c r="I215" s="35" t="str">
        <x:v>Navigation entry; loaded state; action result; persisted read-back; audit/history; no data outside assigned relationship/property scope.</x:v>
      </x:c>
    </x:row>
    <x:row r="216">
      <x:c r="A216" s="20" t="str">
        <x:v>ROLE-213</x:v>
      </x:c>
      <x:c r="B216" s="23" t="n">
        <x:v>46617</x:v>
      </x:c>
      <x:c r="C216" s="20" t="str">
        <x:v>Maintenance Technician</x:v>
      </x:c>
      <x:c r="D216" s="20" t="str">
        <x:v>Mobile</x:v>
      </x:c>
      <x:c r="E216" s="20" t="str">
        <x:v>SCR-122</x:v>
      </x:c>
      <x:c r="F216" s="35" t="str">
        <x:v>features/home/owner_landing_screen.dart</x:v>
      </x:c>
      <x:c r="G216" s="20" t="str">
        <x:v>Allowed</x:v>
      </x:c>
      <x:c r="H216" s="35" t="str">
        <x:v>Navigate from the persona shell; exercise every visible tab, filter, list action, detail action, empty/populated/error/loading state, and return path.</x:v>
      </x:c>
      <x:c r="I216" s="35" t="str">
        <x:v>Navigation entry; loaded state; action result; persisted read-back; audit/history; no data outside assigned relationship/property scope.</x:v>
      </x:c>
    </x:row>
    <x:row r="217">
      <x:c r="A217" s="20" t="str">
        <x:v>ROLE-214</x:v>
      </x:c>
      <x:c r="B217" s="23" t="n">
        <x:v>46617</x:v>
      </x:c>
      <x:c r="C217" s="20" t="str">
        <x:v>Owner</x:v>
      </x:c>
      <x:c r="D217" s="20" t="str">
        <x:v>Mobile</x:v>
      </x:c>
      <x:c r="E217" s="20" t="str">
        <x:v>SCR-122</x:v>
      </x:c>
      <x:c r="F217" s="35" t="str">
        <x:v>features/home/owner_landing_screen.dart</x:v>
      </x:c>
      <x:c r="G217" s="20" t="str">
        <x:v>Allowed</x:v>
      </x:c>
      <x:c r="H217" s="35" t="str">
        <x:v>Navigate from the persona shell; exercise every visible tab, filter, list action, detail action, empty/populated/error/loading state, and return path.</x:v>
      </x:c>
      <x:c r="I217" s="35" t="str">
        <x:v>Navigation entry; loaded state; action result; persisted read-back; audit/history; no data outside assigned relationship/property scope.</x:v>
      </x:c>
    </x:row>
    <x:row r="218">
      <x:c r="A218" s="20" t="str">
        <x:v>ROLE-215</x:v>
      </x:c>
      <x:c r="B218" s="23" t="n">
        <x:v>46617</x:v>
      </x:c>
      <x:c r="C218" s="20" t="str">
        <x:v>Tenant</x:v>
      </x:c>
      <x:c r="D218" s="20" t="str">
        <x:v>Mobile</x:v>
      </x:c>
      <x:c r="E218" s="20" t="str">
        <x:v>SCR-122</x:v>
      </x:c>
      <x:c r="F218" s="35" t="str">
        <x:v>features/home/owner_landing_screen.dart</x:v>
      </x:c>
      <x:c r="G218" s="20" t="str">
        <x:v>Allowed</x:v>
      </x:c>
      <x:c r="H218" s="35" t="str">
        <x:v>Navigate from the persona shell; exercise every visible tab, filter, list action, detail action, empty/populated/error/loading state, and return path.</x:v>
      </x:c>
      <x:c r="I218" s="35" t="str">
        <x:v>Navigation entry; loaded state; action result; persisted read-back; audit/history; no data outside assigned relationship/property scope.</x:v>
      </x:c>
    </x:row>
    <x:row r="219">
      <x:c r="A219" s="20" t="str">
        <x:v>ROLE-216</x:v>
      </x:c>
      <x:c r="B219" s="23" t="n">
        <x:v>46618</x:v>
      </x:c>
      <x:c r="C219" s="20" t="str">
        <x:v>Applicant / public user</x:v>
      </x:c>
      <x:c r="D219" s="20" t="str">
        <x:v>Mobile</x:v>
      </x:c>
      <x:c r="E219" s="20" t="str">
        <x:v>SCR-123</x:v>
      </x:c>
      <x:c r="F219" s="35" t="str">
        <x:v>features/inspections/inspection_run_screen.dart</x:v>
      </x:c>
      <x:c r="G219" s="20" t="str">
        <x:v>Allowed</x:v>
      </x:c>
      <x:c r="H219" s="35" t="str">
        <x:v>Navigate from the persona shell; exercise every visible tab, filter, list action, detail action, empty/populated/error/loading state, and return path.</x:v>
      </x:c>
      <x:c r="I219" s="35" t="str">
        <x:v>Navigation entry; loaded state; action result; persisted read-back; audit/history; no data outside assigned relationship/property scope.</x:v>
      </x:c>
    </x:row>
    <x:row r="220">
      <x:c r="A220" s="20" t="str">
        <x:v>ROLE-217</x:v>
      </x:c>
      <x:c r="B220" s="23" t="n">
        <x:v>46619</x:v>
      </x:c>
      <x:c r="C220" s="20" t="str">
        <x:v>Applicant / public user</x:v>
      </x:c>
      <x:c r="D220" s="20" t="str">
        <x:v>Mobile</x:v>
      </x:c>
      <x:c r="E220" s="20" t="str">
        <x:v>SCR-124</x:v>
      </x:c>
      <x:c r="F220" s="35" t="str">
        <x:v>features/inspections/inspections_list_screen.dart</x:v>
      </x:c>
      <x:c r="G220" s="20" t="str">
        <x:v>Allowed</x:v>
      </x:c>
      <x:c r="H220" s="35" t="str">
        <x:v>Navigate from the persona shell; exercise every visible tab, filter, list action, detail action, empty/populated/error/loading state, and return path.</x:v>
      </x:c>
      <x:c r="I220" s="35" t="str">
        <x:v>Navigation entry; loaded state; action result; persisted read-back; audit/history; no data outside assigned relationship/property scope.</x:v>
      </x:c>
    </x:row>
    <x:row r="221">
      <x:c r="A221" s="20" t="str">
        <x:v>ROLE-218</x:v>
      </x:c>
      <x:c r="B221" s="23" t="n">
        <x:v>46622</x:v>
      </x:c>
      <x:c r="C221" s="20" t="str">
        <x:v>Applicant / public user</x:v>
      </x:c>
      <x:c r="D221" s="20" t="str">
        <x:v>Mobile</x:v>
      </x:c>
      <x:c r="E221" s="20" t="str">
        <x:v>SCR-125</x:v>
      </x:c>
      <x:c r="F221" s="35" t="str">
        <x:v>features/inspections/new_inspection_screen.dart</x:v>
      </x:c>
      <x:c r="G221" s="20" t="str">
        <x:v>Allowed</x:v>
      </x:c>
      <x:c r="H221" s="35" t="str">
        <x:v>Navigate from the persona shell; exercise every visible tab, filter, list action, detail action, empty/populated/error/loading state, and return path.</x:v>
      </x:c>
      <x:c r="I221" s="35" t="str">
        <x:v>Navigation entry; loaded state; action result; persisted read-back; audit/history; no data outside assigned relationship/property scope.</x:v>
      </x:c>
    </x:row>
    <x:row r="222">
      <x:c r="A222" s="20" t="str">
        <x:v>ROLE-219</x:v>
      </x:c>
      <x:c r="B222" s="23" t="n">
        <x:v>46624</x:v>
      </x:c>
      <x:c r="C222" s="20" t="str">
        <x:v>Applicant / public user</x:v>
      </x:c>
      <x:c r="D222" s="20" t="str">
        <x:v>Mobile</x:v>
      </x:c>
      <x:c r="E222" s="20" t="str">
        <x:v>SCR-126</x:v>
      </x:c>
      <x:c r="F222" s="35" t="str">
        <x:v>features/leases/ending_disposition_sheet.dart</x:v>
      </x:c>
      <x:c r="G222" s="20" t="str">
        <x:v>Allowed</x:v>
      </x:c>
      <x:c r="H222" s="35" t="str">
        <x:v>Navigate from the persona shell; exercise every visible tab, filter, list action, detail action, empty/populated/error/loading state, and return path.</x:v>
      </x:c>
      <x:c r="I222" s="35" t="str">
        <x:v>Navigation entry; loaded state; action result; persisted read-back; audit/history; no data outside assigned relationship/property scope.</x:v>
      </x:c>
    </x:row>
    <x:row r="223">
      <x:c r="A223" s="20" t="str">
        <x:v>ROLE-220</x:v>
      </x:c>
      <x:c r="B223" s="23" t="n">
        <x:v>46625</x:v>
      </x:c>
      <x:c r="C223" s="20" t="str">
        <x:v>Applicant / public user</x:v>
      </x:c>
      <x:c r="D223" s="20" t="str">
        <x:v>Mobile</x:v>
      </x:c>
      <x:c r="E223" s="20" t="str">
        <x:v>SCR-127</x:v>
      </x:c>
      <x:c r="F223" s="35" t="str">
        <x:v>features/leases/household_management_sheet.dart</x:v>
      </x:c>
      <x:c r="G223" s="20" t="str">
        <x:v>Allowed</x:v>
      </x:c>
      <x:c r="H223" s="35" t="str">
        <x:v>Navigate from the persona shell; exercise every visible tab, filter, list action, detail action, empty/populated/error/loading state, and return path.</x:v>
      </x:c>
      <x:c r="I223" s="35" t="str">
        <x:v>Navigation entry; loaded state; action result; persisted read-back; audit/history; no data outside assigned relationship/property scope.</x:v>
      </x:c>
    </x:row>
    <x:row r="224">
      <x:c r="A224" s="20" t="str">
        <x:v>ROLE-221</x:v>
      </x:c>
      <x:c r="B224" s="23" t="n">
        <x:v>46626</x:v>
      </x:c>
      <x:c r="C224" s="20" t="str">
        <x:v>Applicant / public user</x:v>
      </x:c>
      <x:c r="D224" s="20" t="str">
        <x:v>Mobile</x:v>
      </x:c>
      <x:c r="E224" s="20" t="str">
        <x:v>SCR-128</x:v>
      </x:c>
      <x:c r="F224" s="35" t="str">
        <x:v>features/leases/issued_agreement_recovery_sheet.dart</x:v>
      </x:c>
      <x:c r="G224" s="20" t="str">
        <x:v>Allowed</x:v>
      </x:c>
      <x:c r="H224" s="35" t="str">
        <x:v>Navigate from the persona shell; exercise every visible tab, filter, list action, detail action, empty/populated/error/loading state, and return path.</x:v>
      </x:c>
      <x:c r="I224" s="35" t="str">
        <x:v>Navigation entry; loaded state; action result; persisted read-back; audit/history; no data outside assigned relationship/property scope.</x:v>
      </x:c>
    </x:row>
    <x:row r="225">
      <x:c r="A225" s="20" t="str">
        <x:v>ROLE-222</x:v>
      </x:c>
      <x:c r="B225" s="23" t="n">
        <x:v>46629</x:v>
      </x:c>
      <x:c r="C225" s="20" t="str">
        <x:v>Applicant / public user</x:v>
      </x:c>
      <x:c r="D225" s="20" t="str">
        <x:v>Mobile</x:v>
      </x:c>
      <x:c r="E225" s="20" t="str">
        <x:v>SCR-129</x:v>
      </x:c>
      <x:c r="F225" s="35" t="str">
        <x:v>features/leases/lease_detail_screen.dart</x:v>
      </x:c>
      <x:c r="G225" s="20" t="str">
        <x:v>Allowed</x:v>
      </x:c>
      <x:c r="H225" s="35" t="str">
        <x:v>Navigate from the persona shell; exercise every visible tab, filter, list action, detail action, empty/populated/error/loading state, and return path.</x:v>
      </x:c>
      <x:c r="I225" s="35" t="str">
        <x:v>Navigation entry; loaded state; action result; persisted read-back; audit/history; no data outside assigned relationship/property scope.</x:v>
      </x:c>
    </x:row>
    <x:row r="226">
      <x:c r="A226" s="20" t="str">
        <x:v>ROLE-223</x:v>
      </x:c>
      <x:c r="B226" s="23" t="n">
        <x:v>46631</x:v>
      </x:c>
      <x:c r="C226" s="20" t="str">
        <x:v>Applicant / public user</x:v>
      </x:c>
      <x:c r="D226" s="20" t="str">
        <x:v>Mobile</x:v>
      </x:c>
      <x:c r="E226" s="20" t="str">
        <x:v>SCR-130</x:v>
      </x:c>
      <x:c r="F226" s="35" t="str">
        <x:v>features/leases/leases_list_screen.dart</x:v>
      </x:c>
      <x:c r="G226" s="20" t="str">
        <x:v>Allowed</x:v>
      </x:c>
      <x:c r="H226" s="35" t="str">
        <x:v>Navigate from the persona shell; exercise every visible tab, filter, list action, detail action, empty/populated/error/loading state, and return path.</x:v>
      </x:c>
      <x:c r="I226" s="35" t="str">
        <x:v>Navigation entry; loaded state; action result; persisted read-back; audit/history; no data outside assigned relationship/property scope.</x:v>
      </x:c>
    </x:row>
    <x:row r="227">
      <x:c r="A227" s="20" t="str">
        <x:v>ROLE-224</x:v>
      </x:c>
      <x:c r="B227" s="23" t="n">
        <x:v>46632</x:v>
      </x:c>
      <x:c r="C227" s="20" t="str">
        <x:v>Applicant / public user</x:v>
      </x:c>
      <x:c r="D227" s="20" t="str">
        <x:v>Mobile</x:v>
      </x:c>
      <x:c r="E227" s="20" t="str">
        <x:v>SCR-131</x:v>
      </x:c>
      <x:c r="F227" s="35" t="str">
        <x:v>features/leases/prepare_move_in_sheet.dart</x:v>
      </x:c>
      <x:c r="G227" s="20" t="str">
        <x:v>Allowed</x:v>
      </x:c>
      <x:c r="H227" s="35" t="str">
        <x:v>Navigate from the persona shell; exercise every visible tab, filter, list action, detail action, empty/populated/error/loading state, and return path.</x:v>
      </x:c>
      <x:c r="I227" s="35" t="str">
        <x:v>Navigation entry; loaded state; action result; persisted read-back; audit/history; no data outside assigned relationship/property scope.</x:v>
      </x:c>
    </x:row>
    <x:row r="228">
      <x:c r="A228" s="20" t="str">
        <x:v>ROLE-225</x:v>
      </x:c>
      <x:c r="B228" s="23" t="n">
        <x:v>46633</x:v>
      </x:c>
      <x:c r="C228" s="20" t="str">
        <x:v>Applicant / public user</x:v>
      </x:c>
      <x:c r="D228" s="20" t="str">
        <x:v>Mobile</x:v>
      </x:c>
      <x:c r="E228" s="20" t="str">
        <x:v>SCR-132</x:v>
      </x:c>
      <x:c r="F228" s="35" t="str">
        <x:v>features/leases/return_possession_sheet.dart</x:v>
      </x:c>
      <x:c r="G228" s="20" t="str">
        <x:v>Allowed</x:v>
      </x:c>
      <x:c r="H228" s="35" t="str">
        <x:v>Navigate from the persona shell; exercise every visible tab, filter, list action, detail action, empty/populated/error/loading state, and return path.</x:v>
      </x:c>
      <x:c r="I228" s="35" t="str">
        <x:v>Navigation entry; loaded state; action result; persisted read-back; audit/history; no data outside assigned relationship/property scope.</x:v>
      </x:c>
    </x:row>
    <x:row r="229">
      <x:c r="A229" s="20" t="str">
        <x:v>ROLE-226</x:v>
      </x:c>
      <x:c r="B229" s="23" t="n">
        <x:v>46636</x:v>
      </x:c>
      <x:c r="C229" s="20" t="str">
        <x:v>Applicant / public user</x:v>
      </x:c>
      <x:c r="D229" s="20" t="str">
        <x:v>Mobile</x:v>
      </x:c>
      <x:c r="E229" s="20" t="str">
        <x:v>SCR-133</x:v>
      </x:c>
      <x:c r="F229" s="35" t="str">
        <x:v>features/leases/successor_agreement_sheet.dart</x:v>
      </x:c>
      <x:c r="G229" s="20" t="str">
        <x:v>Allowed</x:v>
      </x:c>
      <x:c r="H229" s="35" t="str">
        <x:v>Navigate from the persona shell; exercise every visible tab, filter, list action, detail action, empty/populated/error/loading state, and return path.</x:v>
      </x:c>
      <x:c r="I229" s="35" t="str">
        <x:v>Navigation entry; loaded state; action result; persisted read-back; audit/history; no data outside assigned relationship/property scope.</x:v>
      </x:c>
    </x:row>
    <x:row r="230">
      <x:c r="A230" s="20" t="str">
        <x:v>ROLE-227</x:v>
      </x:c>
      <x:c r="B230" s="23" t="n">
        <x:v>46638</x:v>
      </x:c>
      <x:c r="C230" s="20" t="str">
        <x:v>Leasing Agent</x:v>
      </x:c>
      <x:c r="D230" s="20" t="str">
        <x:v>Mobile</x:v>
      </x:c>
      <x:c r="E230" s="20" t="str">
        <x:v>SCR-134</x:v>
      </x:c>
      <x:c r="F230" s="35" t="str">
        <x:v>features/leasing/leasing_landing_screen.dart</x:v>
      </x:c>
      <x:c r="G230" s="20" t="str">
        <x:v>Allowed</x:v>
      </x:c>
      <x:c r="H230" s="35" t="str">
        <x:v>Navigate from the persona shell; exercise every visible tab, filter, list action, detail action, empty/populated/error/loading state, and return path.</x:v>
      </x:c>
      <x:c r="I230" s="35" t="str">
        <x:v>Navigation entry; loaded state; action result; persisted read-back; audit/history; no data outside assigned relationship/property scope.</x:v>
      </x:c>
    </x:row>
    <x:row r="231">
      <x:c r="A231" s="20" t="str">
        <x:v>ROLE-228</x:v>
      </x:c>
      <x:c r="B231" s="23" t="n">
        <x:v>46639</x:v>
      </x:c>
      <x:c r="C231" s="20" t="str">
        <x:v>Applicant / public user</x:v>
      </x:c>
      <x:c r="D231" s="20" t="str">
        <x:v>Mobile</x:v>
      </x:c>
      <x:c r="E231" s="20" t="str">
        <x:v>SCR-135</x:v>
      </x:c>
      <x:c r="F231" s="35" t="str">
        <x:v>features/maintenance/create_work_order_sheet.dart</x:v>
      </x:c>
      <x:c r="G231" s="20" t="str">
        <x:v>Allowed</x:v>
      </x:c>
      <x:c r="H231" s="35" t="str">
        <x:v>Navigate from the persona shell; exercise every visible tab, filter, list action, detail action, empty/populated/error/loading state, and return path.</x:v>
      </x:c>
      <x:c r="I231" s="35" t="str">
        <x:v>Navigation entry; loaded state; action result; persisted read-back; audit/history; no data outside assigned relationship/property scope.</x:v>
      </x:c>
    </x:row>
    <x:row r="232">
      <x:c r="A232" s="20" t="str">
        <x:v>ROLE-229</x:v>
      </x:c>
      <x:c r="B232" s="23" t="n">
        <x:v>46640</x:v>
      </x:c>
      <x:c r="C232" s="20" t="str">
        <x:v>Applicant / public user</x:v>
      </x:c>
      <x:c r="D232" s="20" t="str">
        <x:v>Mobile</x:v>
      </x:c>
      <x:c r="E232" s="20" t="str">
        <x:v>SCR-136</x:v>
      </x:c>
      <x:c r="F232" s="35" t="str">
        <x:v>features/maintenance/work_order_detail_screen.dart</x:v>
      </x:c>
      <x:c r="G232" s="20" t="str">
        <x:v>Allowed</x:v>
      </x:c>
      <x:c r="H232" s="35" t="str">
        <x:v>Navigate from the persona shell; exercise every visible tab, filter, list action, detail action, empty/populated/error/loading state, and return path.</x:v>
      </x:c>
      <x:c r="I232" s="35" t="str">
        <x:v>Navigation entry; loaded state; action result; persisted read-back; audit/history; no data outside assigned relationship/property scope.</x:v>
      </x:c>
    </x:row>
    <x:row r="233">
      <x:c r="A233" s="20" t="str">
        <x:v>ROLE-230</x:v>
      </x:c>
      <x:c r="B233" s="23" t="n">
        <x:v>46643</x:v>
      </x:c>
      <x:c r="C233" s="20" t="str">
        <x:v>Applicant / public user</x:v>
      </x:c>
      <x:c r="D233" s="20" t="str">
        <x:v>Mobile</x:v>
      </x:c>
      <x:c r="E233" s="20" t="str">
        <x:v>SCR-137</x:v>
      </x:c>
      <x:c r="F233" s="35" t="str">
        <x:v>features/maintenance/work_orders_screen.dart</x:v>
      </x:c>
      <x:c r="G233" s="20" t="str">
        <x:v>Allowed</x:v>
      </x:c>
      <x:c r="H233" s="35" t="str">
        <x:v>Navigate from the persona shell; exercise every visible tab, filter, list action, detail action, empty/populated/error/loading state, and return path.</x:v>
      </x:c>
      <x:c r="I233" s="35" t="str">
        <x:v>Navigation entry; loaded state; action result; persisted read-back; audit/history; no data outside assigned relationship/property scope.</x:v>
      </x:c>
    </x:row>
    <x:row r="234">
      <x:c r="A234" s="20" t="str">
        <x:v>ROLE-231</x:v>
      </x:c>
      <x:c r="B234" s="23" t="n">
        <x:v>46645</x:v>
      </x:c>
      <x:c r="C234" s="20" t="str">
        <x:v>Workspace Administrator</x:v>
      </x:c>
      <x:c r="D234" s="20" t="str">
        <x:v>Mobile</x:v>
      </x:c>
      <x:c r="E234" s="20" t="str">
        <x:v>SCR-138</x:v>
      </x:c>
      <x:c r="F234" s="35" t="str">
        <x:v>features/messages/message_detail_screen.dart</x:v>
      </x:c>
      <x:c r="G234" s="20" t="str">
        <x:v>Allowed</x:v>
      </x:c>
      <x:c r="H234" s="35" t="str">
        <x:v>Navigate from the persona shell; exercise every visible tab, filter, list action, detail action, empty/populated/error/loading state, and return path.</x:v>
      </x:c>
      <x:c r="I234" s="35" t="str">
        <x:v>Navigation entry; loaded state; action result; persisted read-back; audit/history; no data outside assigned relationship/property scope.</x:v>
      </x:c>
    </x:row>
    <x:row r="235">
      <x:c r="A235" s="20" t="str">
        <x:v>ROLE-232</x:v>
      </x:c>
      <x:c r="B235" s="23" t="n">
        <x:v>46645</x:v>
      </x:c>
      <x:c r="C235" s="20" t="str">
        <x:v>Property Manager</x:v>
      </x:c>
      <x:c r="D235" s="20" t="str">
        <x:v>Mobile</x:v>
      </x:c>
      <x:c r="E235" s="20" t="str">
        <x:v>SCR-138</x:v>
      </x:c>
      <x:c r="F235" s="35" t="str">
        <x:v>features/messages/message_detail_screen.dart</x:v>
      </x:c>
      <x:c r="G235" s="20" t="str">
        <x:v>Allowed</x:v>
      </x:c>
      <x:c r="H235" s="35" t="str">
        <x:v>Navigate from the persona shell; exercise every visible tab, filter, list action, detail action, empty/populated/error/loading state, and return path.</x:v>
      </x:c>
      <x:c r="I235" s="35" t="str">
        <x:v>Navigation entry; loaded state; action result; persisted read-back; audit/history; no data outside assigned relationship/property scope.</x:v>
      </x:c>
    </x:row>
    <x:row r="236">
      <x:c r="A236" s="20" t="str">
        <x:v>ROLE-233</x:v>
      </x:c>
      <x:c r="B236" s="23" t="n">
        <x:v>46645</x:v>
      </x:c>
      <x:c r="C236" s="20" t="str">
        <x:v>Leasing Agent</x:v>
      </x:c>
      <x:c r="D236" s="20" t="str">
        <x:v>Mobile</x:v>
      </x:c>
      <x:c r="E236" s="20" t="str">
        <x:v>SCR-138</x:v>
      </x:c>
      <x:c r="F236" s="35" t="str">
        <x:v>features/messages/message_detail_screen.dart</x:v>
      </x:c>
      <x:c r="G236" s="20" t="str">
        <x:v>Allowed</x:v>
      </x:c>
      <x:c r="H236" s="35" t="str">
        <x:v>Navigate from the persona shell; exercise every visible tab, filter, list action, detail action, empty/populated/error/loading state, and return path.</x:v>
      </x:c>
      <x:c r="I236" s="35" t="str">
        <x:v>Navigation entry; loaded state; action result; persisted read-back; audit/history; no data outside assigned relationship/property scope.</x:v>
      </x:c>
    </x:row>
    <x:row r="237">
      <x:c r="A237" s="20" t="str">
        <x:v>ROLE-234</x:v>
      </x:c>
      <x:c r="B237" s="23" t="n">
        <x:v>46645</x:v>
      </x:c>
      <x:c r="C237" s="20" t="str">
        <x:v>Maintenance Technician</x:v>
      </x:c>
      <x:c r="D237" s="20" t="str">
        <x:v>Mobile</x:v>
      </x:c>
      <x:c r="E237" s="20" t="str">
        <x:v>SCR-138</x:v>
      </x:c>
      <x:c r="F237" s="35" t="str">
        <x:v>features/messages/message_detail_screen.dart</x:v>
      </x:c>
      <x:c r="G237" s="20" t="str">
        <x:v>Allowed</x:v>
      </x:c>
      <x:c r="H237" s="35" t="str">
        <x:v>Navigate from the persona shell; exercise every visible tab, filter, list action, detail action, empty/populated/error/loading state, and return path.</x:v>
      </x:c>
      <x:c r="I237" s="35" t="str">
        <x:v>Navigation entry; loaded state; action result; persisted read-back; audit/history; no data outside assigned relationship/property scope.</x:v>
      </x:c>
    </x:row>
    <x:row r="238">
      <x:c r="A238" s="20" t="str">
        <x:v>ROLE-235</x:v>
      </x:c>
      <x:c r="B238" s="23" t="n">
        <x:v>46645</x:v>
      </x:c>
      <x:c r="C238" s="20" t="str">
        <x:v>Owner</x:v>
      </x:c>
      <x:c r="D238" s="20" t="str">
        <x:v>Mobile</x:v>
      </x:c>
      <x:c r="E238" s="20" t="str">
        <x:v>SCR-138</x:v>
      </x:c>
      <x:c r="F238" s="35" t="str">
        <x:v>features/messages/message_detail_screen.dart</x:v>
      </x:c>
      <x:c r="G238" s="20" t="str">
        <x:v>Allowed</x:v>
      </x:c>
      <x:c r="H238" s="35" t="str">
        <x:v>Navigate from the persona shell; exercise every visible tab, filter, list action, detail action, empty/populated/error/loading state, and return path.</x:v>
      </x:c>
      <x:c r="I238" s="35" t="str">
        <x:v>Navigation entry; loaded state; action result; persisted read-back; audit/history; no data outside assigned relationship/property scope.</x:v>
      </x:c>
    </x:row>
    <x:row r="239">
      <x:c r="A239" s="20" t="str">
        <x:v>ROLE-236</x:v>
      </x:c>
      <x:c r="B239" s="23" t="n">
        <x:v>46645</x:v>
      </x:c>
      <x:c r="C239" s="20" t="str">
        <x:v>Tenant</x:v>
      </x:c>
      <x:c r="D239" s="20" t="str">
        <x:v>Mobile</x:v>
      </x:c>
      <x:c r="E239" s="20" t="str">
        <x:v>SCR-138</x:v>
      </x:c>
      <x:c r="F239" s="35" t="str">
        <x:v>features/messages/message_detail_screen.dart</x:v>
      </x:c>
      <x:c r="G239" s="20" t="str">
        <x:v>Allowed</x:v>
      </x:c>
      <x:c r="H239" s="35" t="str">
        <x:v>Navigate from the persona shell; exercise every visible tab, filter, list action, detail action, empty/populated/error/loading state, and return path.</x:v>
      </x:c>
      <x:c r="I239" s="35" t="str">
        <x:v>Navigation entry; loaded state; action result; persisted read-back; audit/history; no data outside assigned relationship/property scope.</x:v>
      </x:c>
    </x:row>
    <x:row r="240">
      <x:c r="A240" s="20" t="str">
        <x:v>ROLE-237</x:v>
      </x:c>
      <x:c r="B240" s="23" t="n">
        <x:v>46646</x:v>
      </x:c>
      <x:c r="C240" s="20" t="str">
        <x:v>Workspace Administrator</x:v>
      </x:c>
      <x:c r="D240" s="20" t="str">
        <x:v>Mobile</x:v>
      </x:c>
      <x:c r="E240" s="20" t="str">
        <x:v>SCR-139</x:v>
      </x:c>
      <x:c r="F240" s="35" t="str">
        <x:v>features/messages/messages_list_screen.dart</x:v>
      </x:c>
      <x:c r="G240" s="20" t="str">
        <x:v>Allowed</x:v>
      </x:c>
      <x:c r="H240" s="35" t="str">
        <x:v>Navigate from the persona shell; exercise every visible tab, filter, list action, detail action, empty/populated/error/loading state, and return path.</x:v>
      </x:c>
      <x:c r="I240" s="35" t="str">
        <x:v>Navigation entry; loaded state; action result; persisted read-back; audit/history; no data outside assigned relationship/property scope.</x:v>
      </x:c>
    </x:row>
    <x:row r="241">
      <x:c r="A241" s="20" t="str">
        <x:v>ROLE-238</x:v>
      </x:c>
      <x:c r="B241" s="23" t="n">
        <x:v>46646</x:v>
      </x:c>
      <x:c r="C241" s="20" t="str">
        <x:v>Property Manager</x:v>
      </x:c>
      <x:c r="D241" s="20" t="str">
        <x:v>Mobile</x:v>
      </x:c>
      <x:c r="E241" s="20" t="str">
        <x:v>SCR-139</x:v>
      </x:c>
      <x:c r="F241" s="35" t="str">
        <x:v>features/messages/messages_list_screen.dart</x:v>
      </x:c>
      <x:c r="G241" s="20" t="str">
        <x:v>Allowed</x:v>
      </x:c>
      <x:c r="H241" s="35" t="str">
        <x:v>Navigate from the persona shell; exercise every visible tab, filter, list action, detail action, empty/populated/error/loading state, and return path.</x:v>
      </x:c>
      <x:c r="I241" s="35" t="str">
        <x:v>Navigation entry; loaded state; action result; persisted read-back; audit/history; no data outside assigned relationship/property scope.</x:v>
      </x:c>
    </x:row>
    <x:row r="242">
      <x:c r="A242" s="20" t="str">
        <x:v>ROLE-239</x:v>
      </x:c>
      <x:c r="B242" s="23" t="n">
        <x:v>46646</x:v>
      </x:c>
      <x:c r="C242" s="20" t="str">
        <x:v>Leasing Agent</x:v>
      </x:c>
      <x:c r="D242" s="20" t="str">
        <x:v>Mobile</x:v>
      </x:c>
      <x:c r="E242" s="20" t="str">
        <x:v>SCR-139</x:v>
      </x:c>
      <x:c r="F242" s="35" t="str">
        <x:v>features/messages/messages_list_screen.dart</x:v>
      </x:c>
      <x:c r="G242" s="20" t="str">
        <x:v>Allowed</x:v>
      </x:c>
      <x:c r="H242" s="35" t="str">
        <x:v>Navigate from the persona shell; exercise every visible tab, filter, list action, detail action, empty/populated/error/loading state, and return path.</x:v>
      </x:c>
      <x:c r="I242" s="35" t="str">
        <x:v>Navigation entry; loaded state; action result; persisted read-back; audit/history; no data outside assigned relationship/property scope.</x:v>
      </x:c>
    </x:row>
    <x:row r="243">
      <x:c r="A243" s="20" t="str">
        <x:v>ROLE-240</x:v>
      </x:c>
      <x:c r="B243" s="23" t="n">
        <x:v>46646</x:v>
      </x:c>
      <x:c r="C243" s="20" t="str">
        <x:v>Maintenance Technician</x:v>
      </x:c>
      <x:c r="D243" s="20" t="str">
        <x:v>Mobile</x:v>
      </x:c>
      <x:c r="E243" s="20" t="str">
        <x:v>SCR-139</x:v>
      </x:c>
      <x:c r="F243" s="35" t="str">
        <x:v>features/messages/messages_list_screen.dart</x:v>
      </x:c>
      <x:c r="G243" s="20" t="str">
        <x:v>Allowed</x:v>
      </x:c>
      <x:c r="H243" s="35" t="str">
        <x:v>Navigate from the persona shell; exercise every visible tab, filter, list action, detail action, empty/populated/error/loading state, and return path.</x:v>
      </x:c>
      <x:c r="I243" s="35" t="str">
        <x:v>Navigation entry; loaded state; action result; persisted read-back; audit/history; no data outside assigned relationship/property scope.</x:v>
      </x:c>
    </x:row>
    <x:row r="244">
      <x:c r="A244" s="20" t="str">
        <x:v>ROLE-241</x:v>
      </x:c>
      <x:c r="B244" s="23" t="n">
        <x:v>46646</x:v>
      </x:c>
      <x:c r="C244" s="20" t="str">
        <x:v>Owner</x:v>
      </x:c>
      <x:c r="D244" s="20" t="str">
        <x:v>Mobile</x:v>
      </x:c>
      <x:c r="E244" s="20" t="str">
        <x:v>SCR-139</x:v>
      </x:c>
      <x:c r="F244" s="35" t="str">
        <x:v>features/messages/messages_list_screen.dart</x:v>
      </x:c>
      <x:c r="G244" s="20" t="str">
        <x:v>Allowed</x:v>
      </x:c>
      <x:c r="H244" s="35" t="str">
        <x:v>Navigate from the persona shell; exercise every visible tab, filter, list action, detail action, empty/populated/error/loading state, and return path.</x:v>
      </x:c>
      <x:c r="I244" s="35" t="str">
        <x:v>Navigation entry; loaded state; action result; persisted read-back; audit/history; no data outside assigned relationship/property scope.</x:v>
      </x:c>
    </x:row>
    <x:row r="245">
      <x:c r="A245" s="20" t="str">
        <x:v>ROLE-242</x:v>
      </x:c>
      <x:c r="B245" s="23" t="n">
        <x:v>46646</x:v>
      </x:c>
      <x:c r="C245" s="20" t="str">
        <x:v>Tenant</x:v>
      </x:c>
      <x:c r="D245" s="20" t="str">
        <x:v>Mobile</x:v>
      </x:c>
      <x:c r="E245" s="20" t="str">
        <x:v>SCR-139</x:v>
      </x:c>
      <x:c r="F245" s="35" t="str">
        <x:v>features/messages/messages_list_screen.dart</x:v>
      </x:c>
      <x:c r="G245" s="20" t="str">
        <x:v>Allowed</x:v>
      </x:c>
      <x:c r="H245" s="35" t="str">
        <x:v>Navigate from the persona shell; exercise every visible tab, filter, list action, detail action, empty/populated/error/loading state, and return path.</x:v>
      </x:c>
      <x:c r="I245" s="35" t="str">
        <x:v>Navigation entry; loaded state; action result; persisted read-back; audit/history; no data outside assigned relationship/property scope.</x:v>
      </x:c>
    </x:row>
    <x:row r="246">
      <x:c r="A246" s="20" t="str">
        <x:v>ROLE-243</x:v>
      </x:c>
      <x:c r="B246" s="23" t="n">
        <x:v>46647</x:v>
      </x:c>
      <x:c r="C246" s="20" t="str">
        <x:v>Applicant / public user</x:v>
      </x:c>
      <x:c r="D246" s="20" t="str">
        <x:v>Mobile</x:v>
      </x:c>
      <x:c r="E246" s="20" t="str">
        <x:v>SCR-140</x:v>
      </x:c>
      <x:c r="F246" s="35" t="str">
        <x:v>features/money/expense_detail_screen.dart</x:v>
      </x:c>
      <x:c r="G246" s="20" t="str">
        <x:v>Allowed</x:v>
      </x:c>
      <x:c r="H246" s="35" t="str">
        <x:v>Navigate from the persona shell; exercise every visible tab, filter, list action, detail action, empty/populated/error/loading state, and return path.</x:v>
      </x:c>
      <x:c r="I246" s="35" t="str">
        <x:v>Navigation entry; loaded state; action result; persisted read-back; audit/history; no data outside assigned relationship/property scope.</x:v>
      </x:c>
    </x:row>
    <x:row r="247">
      <x:c r="A247" s="20" t="str">
        <x:v>ROLE-244</x:v>
      </x:c>
      <x:c r="B247" s="23" t="n">
        <x:v>46650</x:v>
      </x:c>
      <x:c r="C247" s="20" t="str">
        <x:v>Applicant / public user</x:v>
      </x:c>
      <x:c r="D247" s="20" t="str">
        <x:v>Mobile</x:v>
      </x:c>
      <x:c r="E247" s="20" t="str">
        <x:v>SCR-141</x:v>
      </x:c>
      <x:c r="F247" s="35" t="str">
        <x:v>features/money/expense_form_sheet.dart</x:v>
      </x:c>
      <x:c r="G247" s="20" t="str">
        <x:v>Allowed</x:v>
      </x:c>
      <x:c r="H247" s="35" t="str">
        <x:v>Navigate from the persona shell; exercise every visible tab, filter, list action, detail action, empty/populated/error/loading state, and return path.</x:v>
      </x:c>
      <x:c r="I247" s="35" t="str">
        <x:v>Navigation entry; loaded state; action result; persisted read-back; audit/history; no data outside assigned relationship/property scope.</x:v>
      </x:c>
    </x:row>
    <x:row r="248">
      <x:c r="A248" s="20" t="str">
        <x:v>ROLE-245</x:v>
      </x:c>
      <x:c r="B248" s="23" t="n">
        <x:v>46652</x:v>
      </x:c>
      <x:c r="C248" s="20" t="str">
        <x:v>Applicant / public user</x:v>
      </x:c>
      <x:c r="D248" s="20" t="str">
        <x:v>Mobile</x:v>
      </x:c>
      <x:c r="E248" s="20" t="str">
        <x:v>SCR-142</x:v>
      </x:c>
      <x:c r="F248" s="35" t="str">
        <x:v>features/money/expenses_list_screen.dart</x:v>
      </x:c>
      <x:c r="G248" s="20" t="str">
        <x:v>Allowed</x:v>
      </x:c>
      <x:c r="H248" s="35" t="str">
        <x:v>Navigate from the persona shell; exercise every visible tab, filter, list action, detail action, empty/populated/error/loading state, and return path.</x:v>
      </x:c>
      <x:c r="I248" s="35" t="str">
        <x:v>Navigation entry; loaded state; action result; persisted read-back; audit/history; no data outside assigned relationship/property scope.</x:v>
      </x:c>
    </x:row>
    <x:row r="249">
      <x:c r="A249" s="20" t="str">
        <x:v>ROLE-246</x:v>
      </x:c>
      <x:c r="B249" s="23" t="n">
        <x:v>46653</x:v>
      </x:c>
      <x:c r="C249" s="20" t="str">
        <x:v>Applicant / public user</x:v>
      </x:c>
      <x:c r="D249" s="20" t="str">
        <x:v>Mobile</x:v>
      </x:c>
      <x:c r="E249" s="20" t="str">
        <x:v>SCR-143</x:v>
      </x:c>
      <x:c r="F249" s="35" t="str">
        <x:v>features/money/money_screen.dart</x:v>
      </x:c>
      <x:c r="G249" s="20" t="str">
        <x:v>Allowed</x:v>
      </x:c>
      <x:c r="H249" s="35" t="str">
        <x:v>Navigate from the persona shell; exercise every visible tab, filter, list action, detail action, empty/populated/error/loading state, and return path.</x:v>
      </x:c>
      <x:c r="I249" s="35" t="str">
        <x:v>Navigation entry; loaded state; action result; persisted read-back; audit/history; no data outside assigned relationship/property scope.</x:v>
      </x:c>
    </x:row>
    <x:row r="250">
      <x:c r="A250" s="20" t="str">
        <x:v>ROLE-247</x:v>
      </x:c>
      <x:c r="B250" s="23" t="n">
        <x:v>46654</x:v>
      </x:c>
      <x:c r="C250" s="20" t="str">
        <x:v>Applicant / public user</x:v>
      </x:c>
      <x:c r="D250" s="20" t="str">
        <x:v>Mobile</x:v>
      </x:c>
      <x:c r="E250" s="20" t="str">
        <x:v>SCR-144</x:v>
      </x:c>
      <x:c r="F250" s="35" t="str">
        <x:v>features/money/overdue_screen.dart</x:v>
      </x:c>
      <x:c r="G250" s="20" t="str">
        <x:v>Allowed</x:v>
      </x:c>
      <x:c r="H250" s="35" t="str">
        <x:v>Navigate from the persona shell; exercise every visible tab, filter, list action, detail action, empty/populated/error/loading state, and return path.</x:v>
      </x:c>
      <x:c r="I250" s="35" t="str">
        <x:v>Navigation entry; loaded state; action result; persisted read-back; audit/history; no data outside assigned relationship/property scope.</x:v>
      </x:c>
    </x:row>
    <x:row r="251">
      <x:c r="A251" s="20" t="str">
        <x:v>ROLE-248</x:v>
      </x:c>
      <x:c r="B251" s="23" t="n">
        <x:v>46657</x:v>
      </x:c>
      <x:c r="C251" s="20" t="str">
        <x:v>Applicant / public user</x:v>
      </x:c>
      <x:c r="D251" s="20" t="str">
        <x:v>Mobile</x:v>
      </x:c>
      <x:c r="E251" s="20" t="str">
        <x:v>SCR-145</x:v>
      </x:c>
      <x:c r="F251" s="35" t="str">
        <x:v>features/money/receipt_upload_sheet.dart</x:v>
      </x:c>
      <x:c r="G251" s="20" t="str">
        <x:v>Allowed</x:v>
      </x:c>
      <x:c r="H251" s="35" t="str">
        <x:v>Navigate from the persona shell; exercise every visible tab, filter, list action, detail action, empty/populated/error/loading state, and return path.</x:v>
      </x:c>
      <x:c r="I251" s="35" t="str">
        <x:v>Navigation entry; loaded state; action result; persisted read-back; audit/history; no data outside assigned relationship/property scope.</x:v>
      </x:c>
    </x:row>
    <x:row r="252">
      <x:c r="A252" s="20" t="str">
        <x:v>ROLE-249</x:v>
      </x:c>
      <x:c r="B252" s="23" t="n">
        <x:v>46659</x:v>
      </x:c>
      <x:c r="C252" s="20" t="str">
        <x:v>Applicant / public user</x:v>
      </x:c>
      <x:c r="D252" s="20" t="str">
        <x:v>Mobile</x:v>
      </x:c>
      <x:c r="E252" s="20" t="str">
        <x:v>SCR-146</x:v>
      </x:c>
      <x:c r="F252" s="35" t="str">
        <x:v>features/money/receipt_viewer_screen.dart</x:v>
      </x:c>
      <x:c r="G252" s="20" t="str">
        <x:v>Allowed</x:v>
      </x:c>
      <x:c r="H252" s="35" t="str">
        <x:v>Navigate from the persona shell; exercise every visible tab, filter, list action, detail action, empty/populated/error/loading state, and return path.</x:v>
      </x:c>
      <x:c r="I252" s="35" t="str">
        <x:v>Navigation entry; loaded state; action result; persisted read-back; audit/history; no data outside assigned relationship/property scope.</x:v>
      </x:c>
    </x:row>
    <x:row r="253">
      <x:c r="A253" s="20" t="str">
        <x:v>ROLE-250</x:v>
      </x:c>
      <x:c r="B253" s="23" t="n">
        <x:v>46660</x:v>
      </x:c>
      <x:c r="C253" s="20" t="str">
        <x:v>Applicant / public user</x:v>
      </x:c>
      <x:c r="D253" s="20" t="str">
        <x:v>Mobile</x:v>
      </x:c>
      <x:c r="E253" s="20" t="str">
        <x:v>SCR-147</x:v>
      </x:c>
      <x:c r="F253" s="35" t="str">
        <x:v>features/notices/notices_screen.dart</x:v>
      </x:c>
      <x:c r="G253" s="20" t="str">
        <x:v>Allowed</x:v>
      </x:c>
      <x:c r="H253" s="35" t="str">
        <x:v>Navigate from the persona shell; exercise every visible tab, filter, list action, detail action, empty/populated/error/loading state, and return path.</x:v>
      </x:c>
      <x:c r="I253" s="35" t="str">
        <x:v>Navigation entry; loaded state; action result; persisted read-back; audit/history; no data outside assigned relationship/property scope.</x:v>
      </x:c>
    </x:row>
    <x:row r="254">
      <x:c r="A254" s="20" t="str">
        <x:v>ROLE-251</x:v>
      </x:c>
      <x:c r="B254" s="23" t="n">
        <x:v>46661</x:v>
      </x:c>
      <x:c r="C254" s="20" t="str">
        <x:v>Workspace Administrator</x:v>
      </x:c>
      <x:c r="D254" s="20" t="str">
        <x:v>Mobile</x:v>
      </x:c>
      <x:c r="E254" s="20" t="str">
        <x:v>SCR-148</x:v>
      </x:c>
      <x:c r="F254" s="35" t="str">
        <x:v>features/notifications/notifications_inbox_screen.dart</x:v>
      </x:c>
      <x:c r="G254" s="20" t="str">
        <x:v>Allowed</x:v>
      </x:c>
      <x:c r="H254" s="35" t="str">
        <x:v>Navigate from the persona shell; exercise every visible tab, filter, list action, detail action, empty/populated/error/loading state, and return path.</x:v>
      </x:c>
      <x:c r="I254" s="35" t="str">
        <x:v>Navigation entry; loaded state; action result; persisted read-back; audit/history; no data outside assigned relationship/property scope.</x:v>
      </x:c>
    </x:row>
    <x:row r="255">
      <x:c r="A255" s="20" t="str">
        <x:v>ROLE-252</x:v>
      </x:c>
      <x:c r="B255" s="23" t="n">
        <x:v>46661</x:v>
      </x:c>
      <x:c r="C255" s="20" t="str">
        <x:v>Property Manager</x:v>
      </x:c>
      <x:c r="D255" s="20" t="str">
        <x:v>Mobile</x:v>
      </x:c>
      <x:c r="E255" s="20" t="str">
        <x:v>SCR-148</x:v>
      </x:c>
      <x:c r="F255" s="35" t="str">
        <x:v>features/notifications/notifications_inbox_screen.dart</x:v>
      </x:c>
      <x:c r="G255" s="20" t="str">
        <x:v>Allowed</x:v>
      </x:c>
      <x:c r="H255" s="35" t="str">
        <x:v>Navigate from the persona shell; exercise every visible tab, filter, list action, detail action, empty/populated/error/loading state, and return path.</x:v>
      </x:c>
      <x:c r="I255" s="35" t="str">
        <x:v>Navigation entry; loaded state; action result; persisted read-back; audit/history; no data outside assigned relationship/property scope.</x:v>
      </x:c>
    </x:row>
    <x:row r="256">
      <x:c r="A256" s="20" t="str">
        <x:v>ROLE-253</x:v>
      </x:c>
      <x:c r="B256" s="23" t="n">
        <x:v>46661</x:v>
      </x:c>
      <x:c r="C256" s="20" t="str">
        <x:v>Leasing Agent</x:v>
      </x:c>
      <x:c r="D256" s="20" t="str">
        <x:v>Mobile</x:v>
      </x:c>
      <x:c r="E256" s="20" t="str">
        <x:v>SCR-148</x:v>
      </x:c>
      <x:c r="F256" s="35" t="str">
        <x:v>features/notifications/notifications_inbox_screen.dart</x:v>
      </x:c>
      <x:c r="G256" s="20" t="str">
        <x:v>Allowed</x:v>
      </x:c>
      <x:c r="H256" s="35" t="str">
        <x:v>Navigate from the persona shell; exercise every visible tab, filter, list action, detail action, empty/populated/error/loading state, and return path.</x:v>
      </x:c>
      <x:c r="I256" s="35" t="str">
        <x:v>Navigation entry; loaded state; action result; persisted read-back; audit/history; no data outside assigned relationship/property scope.</x:v>
      </x:c>
    </x:row>
    <x:row r="257">
      <x:c r="A257" s="20" t="str">
        <x:v>ROLE-254</x:v>
      </x:c>
      <x:c r="B257" s="23" t="n">
        <x:v>46661</x:v>
      </x:c>
      <x:c r="C257" s="20" t="str">
        <x:v>Maintenance Technician</x:v>
      </x:c>
      <x:c r="D257" s="20" t="str">
        <x:v>Mobile</x:v>
      </x:c>
      <x:c r="E257" s="20" t="str">
        <x:v>SCR-148</x:v>
      </x:c>
      <x:c r="F257" s="35" t="str">
        <x:v>features/notifications/notifications_inbox_screen.dart</x:v>
      </x:c>
      <x:c r="G257" s="20" t="str">
        <x:v>Allowed</x:v>
      </x:c>
      <x:c r="H257" s="35" t="str">
        <x:v>Navigate from the persona shell; exercise every visible tab, filter, list action, detail action, empty/populated/error/loading state, and return path.</x:v>
      </x:c>
      <x:c r="I257" s="35" t="str">
        <x:v>Navigation entry; loaded state; action result; persisted read-back; audit/history; no data outside assigned relationship/property scope.</x:v>
      </x:c>
    </x:row>
    <x:row r="258">
      <x:c r="A258" s="20" t="str">
        <x:v>ROLE-255</x:v>
      </x:c>
      <x:c r="B258" s="23" t="n">
        <x:v>46661</x:v>
      </x:c>
      <x:c r="C258" s="20" t="str">
        <x:v>Owner</x:v>
      </x:c>
      <x:c r="D258" s="20" t="str">
        <x:v>Mobile</x:v>
      </x:c>
      <x:c r="E258" s="20" t="str">
        <x:v>SCR-148</x:v>
      </x:c>
      <x:c r="F258" s="35" t="str">
        <x:v>features/notifications/notifications_inbox_screen.dart</x:v>
      </x:c>
      <x:c r="G258" s="20" t="str">
        <x:v>Allowed</x:v>
      </x:c>
      <x:c r="H258" s="35" t="str">
        <x:v>Navigate from the persona shell; exercise every visible tab, filter, list action, detail action, empty/populated/error/loading state, and return path.</x:v>
      </x:c>
      <x:c r="I258" s="35" t="str">
        <x:v>Navigation entry; loaded state; action result; persisted read-back; audit/history; no data outside assigned relationship/property scope.</x:v>
      </x:c>
    </x:row>
    <x:row r="259">
      <x:c r="A259" s="20" t="str">
        <x:v>ROLE-256</x:v>
      </x:c>
      <x:c r="B259" s="23" t="n">
        <x:v>46661</x:v>
      </x:c>
      <x:c r="C259" s="20" t="str">
        <x:v>Tenant</x:v>
      </x:c>
      <x:c r="D259" s="20" t="str">
        <x:v>Mobile</x:v>
      </x:c>
      <x:c r="E259" s="20" t="str">
        <x:v>SCR-148</x:v>
      </x:c>
      <x:c r="F259" s="35" t="str">
        <x:v>features/notifications/notifications_inbox_screen.dart</x:v>
      </x:c>
      <x:c r="G259" s="20" t="str">
        <x:v>Allowed</x:v>
      </x:c>
      <x:c r="H259" s="35" t="str">
        <x:v>Navigate from the persona shell; exercise every visible tab, filter, list action, detail action, empty/populated/error/loading state, and return path.</x:v>
      </x:c>
      <x:c r="I259" s="35" t="str">
        <x:v>Navigation entry; loaded state; action result; persisted read-back; audit/history; no data outside assigned relationship/property scope.</x:v>
      </x:c>
    </x:row>
    <x:row r="260">
      <x:c r="A260" s="20" t="str">
        <x:v>ROLE-257</x:v>
      </x:c>
      <x:c r="B260" s="23" t="n">
        <x:v>46664</x:v>
      </x:c>
      <x:c r="C260" s="20" t="str">
        <x:v>Workspace Administrator</x:v>
      </x:c>
      <x:c r="D260" s="20" t="str">
        <x:v>Mobile</x:v>
      </x:c>
      <x:c r="E260" s="20" t="str">
        <x:v>SCR-149</x:v>
      </x:c>
      <x:c r="F260" s="35" t="str">
        <x:v>features/onboarding/getting_started_screen.dart</x:v>
      </x:c>
      <x:c r="G260" s="20" t="str">
        <x:v>Allowed</x:v>
      </x:c>
      <x:c r="H260" s="35" t="str">
        <x:v>Navigate from the persona shell; exercise every visible tab, filter, list action, detail action, empty/populated/error/loading state, and return path.</x:v>
      </x:c>
      <x:c r="I260" s="35" t="str">
        <x:v>Navigation entry; loaded state; action result; persisted read-back; audit/history; no data outside assigned relationship/property scope.</x:v>
      </x:c>
    </x:row>
    <x:row r="261">
      <x:c r="A261" s="20" t="str">
        <x:v>ROLE-258</x:v>
      </x:c>
      <x:c r="B261" s="23" t="n">
        <x:v>46666</x:v>
      </x:c>
      <x:c r="C261" s="20" t="str">
        <x:v>Workspace Administrator</x:v>
      </x:c>
      <x:c r="D261" s="20" t="str">
        <x:v>Mobile</x:v>
      </x:c>
      <x:c r="E261" s="20" t="str">
        <x:v>SCR-150</x:v>
      </x:c>
      <x:c r="F261" s="35" t="str">
        <x:v>features/onboarding/go_live_sheet.dart</x:v>
      </x:c>
      <x:c r="G261" s="20" t="str">
        <x:v>Allowed</x:v>
      </x:c>
      <x:c r="H261" s="35" t="str">
        <x:v>Navigate from the persona shell; exercise every visible tab, filter, list action, detail action, empty/populated/error/loading state, and return path.</x:v>
      </x:c>
      <x:c r="I261" s="35" t="str">
        <x:v>Navigation entry; loaded state; action result; persisted read-back; audit/history; no data outside assigned relationship/property scope.</x:v>
      </x:c>
    </x:row>
    <x:row r="262">
      <x:c r="A262" s="20" t="str">
        <x:v>ROLE-259</x:v>
      </x:c>
      <x:c r="B262" s="23" t="n">
        <x:v>46667</x:v>
      </x:c>
      <x:c r="C262" s="20" t="str">
        <x:v>Workspace Administrator</x:v>
      </x:c>
      <x:c r="D262" s="20" t="str">
        <x:v>Mobile</x:v>
      </x:c>
      <x:c r="E262" s="20" t="str">
        <x:v>SCR-151</x:v>
      </x:c>
      <x:c r="F262" s="35" t="str">
        <x:v>features/onboarding/onboarding_choice_screen.dart</x:v>
      </x:c>
      <x:c r="G262" s="20" t="str">
        <x:v>Allowed</x:v>
      </x:c>
      <x:c r="H262" s="35" t="str">
        <x:v>Navigate from the persona shell; exercise every visible tab, filter, list action, detail action, empty/populated/error/loading state, and return path.</x:v>
      </x:c>
      <x:c r="I262" s="35" t="str">
        <x:v>Navigation entry; loaded state; action result; persisted read-back; audit/history; no data outside assigned relationship/property scope.</x:v>
      </x:c>
    </x:row>
    <x:row r="263">
      <x:c r="A263" s="20" t="str">
        <x:v>ROLE-260</x:v>
      </x:c>
      <x:c r="B263" s="23" t="n">
        <x:v>46668</x:v>
      </x:c>
      <x:c r="C263" s="20" t="str">
        <x:v>Workspace Administrator</x:v>
      </x:c>
      <x:c r="D263" s="20" t="str">
        <x:v>Mobile</x:v>
      </x:c>
      <x:c r="E263" s="20" t="str">
        <x:v>SCR-152</x:v>
      </x:c>
      <x:c r="F263" s="35" t="str">
        <x:v>features/onboarding/onboarding_live_setup_screen.dart</x:v>
      </x:c>
      <x:c r="G263" s="20" t="str">
        <x:v>Allowed</x:v>
      </x:c>
      <x:c r="H263" s="35" t="str">
        <x:v>Navigate from the persona shell; exercise every visible tab, filter, list action, detail action, empty/populated/error/loading state, and return path.</x:v>
      </x:c>
      <x:c r="I263" s="35" t="str">
        <x:v>Navigation entry; loaded state; action result; persisted read-back; audit/history; no data outside assigned relationship/property scope.</x:v>
      </x:c>
    </x:row>
    <x:row r="264">
      <x:c r="A264" s="20" t="str">
        <x:v>ROLE-261</x:v>
      </x:c>
      <x:c r="B264" s="23" t="n">
        <x:v>46671</x:v>
      </x:c>
      <x:c r="C264" s="20" t="str">
        <x:v>Workspace Administrator</x:v>
      </x:c>
      <x:c r="D264" s="20" t="str">
        <x:v>Mobile</x:v>
      </x:c>
      <x:c r="E264" s="20" t="str">
        <x:v>SCR-153</x:v>
      </x:c>
      <x:c r="F264" s="35" t="str">
        <x:v>features/onboarding/onboarding_seeding_screen.dart</x:v>
      </x:c>
      <x:c r="G264" s="20" t="str">
        <x:v>Allowed</x:v>
      </x:c>
      <x:c r="H264" s="35" t="str">
        <x:v>Navigate from the persona shell; exercise every visible tab, filter, list action, detail action, empty/populated/error/loading state, and return path.</x:v>
      </x:c>
      <x:c r="I264" s="35" t="str">
        <x:v>Navigation entry; loaded state; action result; persisted read-back; audit/history; no data outside assigned relationship/property scope.</x:v>
      </x:c>
    </x:row>
    <x:row r="265">
      <x:c r="A265" s="20" t="str">
        <x:v>ROLE-262</x:v>
      </x:c>
      <x:c r="B265" s="23" t="n">
        <x:v>46673</x:v>
      </x:c>
      <x:c r="C265" s="20" t="str">
        <x:v>Applicant / public user</x:v>
      </x:c>
      <x:c r="D265" s="20" t="str">
        <x:v>Mobile</x:v>
      </x:c>
      <x:c r="E265" s="20" t="str">
        <x:v>SCR-154</x:v>
      </x:c>
      <x:c r="F265" s="35" t="str">
        <x:v>features/owner_reports/owner_reports_screen.dart</x:v>
      </x:c>
      <x:c r="G265" s="20" t="str">
        <x:v>Allowed</x:v>
      </x:c>
      <x:c r="H265" s="35" t="str">
        <x:v>Navigate from the persona shell; exercise every visible tab, filter, list action, detail action, empty/populated/error/loading state, and return path.</x:v>
      </x:c>
      <x:c r="I265" s="35" t="str">
        <x:v>Navigation entry; loaded state; action result; persisted read-back; audit/history; no data outside assigned relationship/property scope.</x:v>
      </x:c>
    </x:row>
    <x:row r="266">
      <x:c r="A266" s="20" t="str">
        <x:v>ROLE-263</x:v>
      </x:c>
      <x:c r="B266" s="23" t="n">
        <x:v>46674</x:v>
      </x:c>
      <x:c r="C266" s="20" t="str">
        <x:v>Applicant / public user</x:v>
      </x:c>
      <x:c r="D266" s="20" t="str">
        <x:v>Mobile</x:v>
      </x:c>
      <x:c r="E266" s="20" t="str">
        <x:v>SCR-155</x:v>
      </x:c>
      <x:c r="F266" s="35" t="str">
        <x:v>features/owners/owner_detail_screen.dart</x:v>
      </x:c>
      <x:c r="G266" s="20" t="str">
        <x:v>Allowed</x:v>
      </x:c>
      <x:c r="H266" s="35" t="str">
        <x:v>Navigate from the persona shell; exercise every visible tab, filter, list action, detail action, empty/populated/error/loading state, and return path.</x:v>
      </x:c>
      <x:c r="I266" s="35" t="str">
        <x:v>Navigation entry; loaded state; action result; persisted read-back; audit/history; no data outside assigned relationship/property scope.</x:v>
      </x:c>
    </x:row>
    <x:row r="267">
      <x:c r="A267" s="20" t="str">
        <x:v>ROLE-264</x:v>
      </x:c>
      <x:c r="B267" s="23" t="n">
        <x:v>46675</x:v>
      </x:c>
      <x:c r="C267" s="20" t="str">
        <x:v>Applicant / public user</x:v>
      </x:c>
      <x:c r="D267" s="20" t="str">
        <x:v>Mobile</x:v>
      </x:c>
      <x:c r="E267" s="20" t="str">
        <x:v>SCR-156</x:v>
      </x:c>
      <x:c r="F267" s="35" t="str">
        <x:v>features/owners/owner_form_sheet.dart</x:v>
      </x:c>
      <x:c r="G267" s="20" t="str">
        <x:v>Allowed</x:v>
      </x:c>
      <x:c r="H267" s="35" t="str">
        <x:v>Navigate from the persona shell; exercise every visible tab, filter, list action, detail action, empty/populated/error/loading state, and return path.</x:v>
      </x:c>
      <x:c r="I267" s="35" t="str">
        <x:v>Navigation entry; loaded state; action result; persisted read-back; audit/history; no data outside assigned relationship/property scope.</x:v>
      </x:c>
    </x:row>
    <x:row r="268">
      <x:c r="A268" s="20" t="str">
        <x:v>ROLE-265</x:v>
      </x:c>
      <x:c r="B268" s="23" t="n">
        <x:v>46678</x:v>
      </x:c>
      <x:c r="C268" s="20" t="str">
        <x:v>Applicant / public user</x:v>
      </x:c>
      <x:c r="D268" s="20" t="str">
        <x:v>Mobile</x:v>
      </x:c>
      <x:c r="E268" s="20" t="str">
        <x:v>SCR-157</x:v>
      </x:c>
      <x:c r="F268" s="35" t="str">
        <x:v>features/owners/owners_list_screen.dart</x:v>
      </x:c>
      <x:c r="G268" s="20" t="str">
        <x:v>Allowed</x:v>
      </x:c>
      <x:c r="H268" s="35" t="str">
        <x:v>Navigate from the persona shell; exercise every visible tab, filter, list action, detail action, empty/populated/error/loading state, and return path.</x:v>
      </x:c>
      <x:c r="I268" s="35" t="str">
        <x:v>Navigation entry; loaded state; action result; persisted read-back; audit/history; no data outside assigned relationship/property scope.</x:v>
      </x:c>
    </x:row>
    <x:row r="269">
      <x:c r="A269" s="20" t="str">
        <x:v>ROLE-266</x:v>
      </x:c>
      <x:c r="B269" s="23" t="n">
        <x:v>46680</x:v>
      </x:c>
      <x:c r="C269" s="20" t="str">
        <x:v>Applicant / public user</x:v>
      </x:c>
      <x:c r="D269" s="20" t="str">
        <x:v>Mobile</x:v>
      </x:c>
      <x:c r="E269" s="20" t="str">
        <x:v>SCR-158</x:v>
      </x:c>
      <x:c r="F269" s="35" t="str">
        <x:v>features/payments/payment_detail_screen.dart</x:v>
      </x:c>
      <x:c r="G269" s="20" t="str">
        <x:v>Allowed</x:v>
      </x:c>
      <x:c r="H269" s="35" t="str">
        <x:v>Navigate from the persona shell; exercise every visible tab, filter, list action, detail action, empty/populated/error/loading state, and return path.</x:v>
      </x:c>
      <x:c r="I269" s="35" t="str">
        <x:v>Navigation entry; loaded state; action result; persisted read-back; audit/history; no data outside assigned relationship/property scope.</x:v>
      </x:c>
    </x:row>
    <x:row r="270">
      <x:c r="A270" s="20" t="str">
        <x:v>ROLE-267</x:v>
      </x:c>
      <x:c r="B270" s="23" t="n">
        <x:v>46681</x:v>
      </x:c>
      <x:c r="C270" s="20" t="str">
        <x:v>Applicant / public user</x:v>
      </x:c>
      <x:c r="D270" s="20" t="str">
        <x:v>Mobile</x:v>
      </x:c>
      <x:c r="E270" s="20" t="str">
        <x:v>SCR-159</x:v>
      </x:c>
      <x:c r="F270" s="35" t="str">
        <x:v>features/payments/payments_screen.dart</x:v>
      </x:c>
      <x:c r="G270" s="20" t="str">
        <x:v>Allowed</x:v>
      </x:c>
      <x:c r="H270" s="35" t="str">
        <x:v>Navigate from the persona shell; exercise every visible tab, filter, list action, detail action, empty/populated/error/loading state, and return path.</x:v>
      </x:c>
      <x:c r="I270" s="35" t="str">
        <x:v>Navigation entry; loaded state; action result; persisted read-back; audit/history; no data outside assigned relationship/property scope.</x:v>
      </x:c>
    </x:row>
    <x:row r="271">
      <x:c r="A271" s="20" t="str">
        <x:v>ROLE-268</x:v>
      </x:c>
      <x:c r="B271" s="23" t="n">
        <x:v>46682</x:v>
      </x:c>
      <x:c r="C271" s="20" t="str">
        <x:v>Tenant</x:v>
      </x:c>
      <x:c r="D271" s="20" t="str">
        <x:v>Mobile</x:v>
      </x:c>
      <x:c r="E271" s="20" t="str">
        <x:v>SCR-160</x:v>
      </x:c>
      <x:c r="F271" s="35" t="str">
        <x:v>features/payments/tenant_account_receipt_flow.dart</x:v>
      </x:c>
      <x:c r="G271" s="20" t="str">
        <x:v>Allowed</x:v>
      </x:c>
      <x:c r="H271" s="35" t="str">
        <x:v>Navigate from the persona shell; exercise every visible tab, filter, list action, detail action, empty/populated/error/loading state, and return path.</x:v>
      </x:c>
      <x:c r="I271" s="35" t="str">
        <x:v>Navigation entry; loaded state; action result; persisted read-back; audit/history; no data outside assigned relationship/property scope.</x:v>
      </x:c>
    </x:row>
    <x:row r="272">
      <x:c r="A272" s="20" t="str">
        <x:v>ROLE-269</x:v>
      </x:c>
      <x:c r="B272" s="23" t="n">
        <x:v>46685</x:v>
      </x:c>
      <x:c r="C272" s="20" t="str">
        <x:v>Tenant</x:v>
      </x:c>
      <x:c r="D272" s="20" t="str">
        <x:v>Mobile</x:v>
      </x:c>
      <x:c r="E272" s="20" t="str">
        <x:v>SCR-161</x:v>
      </x:c>
      <x:c r="F272" s="35" t="str">
        <x:v>features/portal/create_tenant_work_order_sheet.dart</x:v>
      </x:c>
      <x:c r="G272" s="20" t="str">
        <x:v>Allowed</x:v>
      </x:c>
      <x:c r="H272" s="35" t="str">
        <x:v>Navigate from the persona shell; exercise every visible tab, filter, list action, detail action, empty/populated/error/loading state, and return path.</x:v>
      </x:c>
      <x:c r="I272" s="35" t="str">
        <x:v>Navigation entry; loaded state; action result; persisted read-back; audit/history; no data outside assigned relationship/property scope.</x:v>
      </x:c>
    </x:row>
    <x:row r="273">
      <x:c r="A273" s="20" t="str">
        <x:v>ROLE-270</x:v>
      </x:c>
      <x:c r="B273" s="23" t="n">
        <x:v>46687</x:v>
      </x:c>
      <x:c r="C273" s="20" t="str">
        <x:v>Tenant</x:v>
      </x:c>
      <x:c r="D273" s="20" t="str">
        <x:v>Mobile</x:v>
      </x:c>
      <x:c r="E273" s="20" t="str">
        <x:v>SCR-162</x:v>
      </x:c>
      <x:c r="F273" s="35" t="str">
        <x:v>features/portal/tenant_account_history_screen.dart</x:v>
      </x:c>
      <x:c r="G273" s="20" t="str">
        <x:v>Allowed</x:v>
      </x:c>
      <x:c r="H273" s="35" t="str">
        <x:v>Navigate from the persona shell; exercise every visible tab, filter, list action, detail action, empty/populated/error/loading state, and return path.</x:v>
      </x:c>
      <x:c r="I273" s="35" t="str">
        <x:v>Navigation entry; loaded state; action result; persisted read-back; audit/history; no data outside assigned relationship/property scope.</x:v>
      </x:c>
    </x:row>
    <x:row r="274">
      <x:c r="A274" s="20" t="str">
        <x:v>ROLE-271</x:v>
      </x:c>
      <x:c r="B274" s="23" t="n">
        <x:v>46688</x:v>
      </x:c>
      <x:c r="C274" s="20" t="str">
        <x:v>Tenant</x:v>
      </x:c>
      <x:c r="D274" s="20" t="str">
        <x:v>Mobile</x:v>
      </x:c>
      <x:c r="E274" s="20" t="str">
        <x:v>SCR-163</x:v>
      </x:c>
      <x:c r="F274" s="35" t="str">
        <x:v>features/portal/tenant_maintenance_screen.dart</x:v>
      </x:c>
      <x:c r="G274" s="20" t="str">
        <x:v>Allowed</x:v>
      </x:c>
      <x:c r="H274" s="35" t="str">
        <x:v>Navigate from the persona shell; exercise every visible tab, filter, list action, detail action, empty/populated/error/loading state, and return path.</x:v>
      </x:c>
      <x:c r="I274" s="35" t="str">
        <x:v>Navigation entry; loaded state; action result; persisted read-back; audit/history; no data outside assigned relationship/property scope.</x:v>
      </x:c>
    </x:row>
    <x:row r="275">
      <x:c r="A275" s="20" t="str">
        <x:v>ROLE-272</x:v>
      </x:c>
      <x:c r="B275" s="23" t="n">
        <x:v>46689</x:v>
      </x:c>
      <x:c r="C275" s="20" t="str">
        <x:v>Tenant</x:v>
      </x:c>
      <x:c r="D275" s="20" t="str">
        <x:v>Mobile</x:v>
      </x:c>
      <x:c r="E275" s="20" t="str">
        <x:v>SCR-164</x:v>
      </x:c>
      <x:c r="F275" s="35" t="str">
        <x:v>features/portal/tenant_work_order_detail_screen.dart</x:v>
      </x:c>
      <x:c r="G275" s="20" t="str">
        <x:v>Allowed</x:v>
      </x:c>
      <x:c r="H275" s="35" t="str">
        <x:v>Navigate from the persona shell; exercise every visible tab, filter, list action, detail action, empty/populated/error/loading state, and return path.</x:v>
      </x:c>
      <x:c r="I275" s="35" t="str">
        <x:v>Navigation entry; loaded state; action result; persisted read-back; audit/history; no data outside assigned relationship/property scope.</x:v>
      </x:c>
    </x:row>
    <x:row r="276">
      <x:c r="A276" s="20" t="str">
        <x:v>ROLE-273</x:v>
      </x:c>
      <x:c r="B276" s="23" t="n">
        <x:v>46692</x:v>
      </x:c>
      <x:c r="C276" s="20" t="str">
        <x:v>Applicant / public user</x:v>
      </x:c>
      <x:c r="D276" s="20" t="str">
        <x:v>Mobile</x:v>
      </x:c>
      <x:c r="E276" s="20" t="str">
        <x:v>SCR-165</x:v>
      </x:c>
      <x:c r="F276" s="35" t="str">
        <x:v>features/properties/properties_list_screen.dart</x:v>
      </x:c>
      <x:c r="G276" s="20" t="str">
        <x:v>Allowed</x:v>
      </x:c>
      <x:c r="H276" s="35" t="str">
        <x:v>Navigate from the persona shell; exercise every visible tab, filter, list action, detail action, empty/populated/error/loading state, and return path.</x:v>
      </x:c>
      <x:c r="I276" s="35" t="str">
        <x:v>Navigation entry; loaded state; action result; persisted read-back; audit/history; no data outside assigned relationship/property scope.</x:v>
      </x:c>
    </x:row>
    <x:row r="277">
      <x:c r="A277" s="20" t="str">
        <x:v>ROLE-274</x:v>
      </x:c>
      <x:c r="B277" s="23" t="n">
        <x:v>46694</x:v>
      </x:c>
      <x:c r="C277" s="20" t="str">
        <x:v>Applicant / public user</x:v>
      </x:c>
      <x:c r="D277" s="20" t="str">
        <x:v>Mobile</x:v>
      </x:c>
      <x:c r="E277" s="20" t="str">
        <x:v>SCR-166</x:v>
      </x:c>
      <x:c r="F277" s="35" t="str">
        <x:v>features/properties/properties_tab.dart</x:v>
      </x:c>
      <x:c r="G277" s="20" t="str">
        <x:v>Allowed</x:v>
      </x:c>
      <x:c r="H277" s="35" t="str">
        <x:v>Navigate from the persona shell; exercise every visible tab, filter, list action, detail action, empty/populated/error/loading state, and return path.</x:v>
      </x:c>
      <x:c r="I277" s="35" t="str">
        <x:v>Navigation entry; loaded state; action result; persisted read-back; audit/history; no data outside assigned relationship/property scope.</x:v>
      </x:c>
    </x:row>
    <x:row r="278">
      <x:c r="A278" s="20" t="str">
        <x:v>ROLE-275</x:v>
      </x:c>
      <x:c r="B278" s="23" t="n">
        <x:v>46695</x:v>
      </x:c>
      <x:c r="C278" s="20" t="str">
        <x:v>Applicant / public user</x:v>
      </x:c>
      <x:c r="D278" s="20" t="str">
        <x:v>Mobile</x:v>
      </x:c>
      <x:c r="E278" s="20" t="str">
        <x:v>SCR-167</x:v>
      </x:c>
      <x:c r="F278" s="35" t="str">
        <x:v>features/properties/property_capital_asset_form_sheet.dart</x:v>
      </x:c>
      <x:c r="G278" s="20" t="str">
        <x:v>Allowed</x:v>
      </x:c>
      <x:c r="H278" s="35" t="str">
        <x:v>Navigate from the persona shell; exercise every visible tab, filter, list action, detail action, empty/populated/error/loading state, and return path.</x:v>
      </x:c>
      <x:c r="I278" s="35" t="str">
        <x:v>Navigation entry; loaded state; action result; persisted read-back; audit/history; no data outside assigned relationship/property scope.</x:v>
      </x:c>
    </x:row>
    <x:row r="279">
      <x:c r="A279" s="20" t="str">
        <x:v>ROLE-276</x:v>
      </x:c>
      <x:c r="B279" s="23" t="n">
        <x:v>46696</x:v>
      </x:c>
      <x:c r="C279" s="20" t="str">
        <x:v>Applicant / public user</x:v>
      </x:c>
      <x:c r="D279" s="20" t="str">
        <x:v>Mobile</x:v>
      </x:c>
      <x:c r="E279" s="20" t="str">
        <x:v>SCR-168</x:v>
      </x:c>
      <x:c r="F279" s="35" t="str">
        <x:v>features/properties/property_detail_screen.dart</x:v>
      </x:c>
      <x:c r="G279" s="20" t="str">
        <x:v>Allowed</x:v>
      </x:c>
      <x:c r="H279" s="35" t="str">
        <x:v>Navigate from the persona shell; exercise every visible tab, filter, list action, detail action, empty/populated/error/loading state, and return path.</x:v>
      </x:c>
      <x:c r="I279" s="35" t="str">
        <x:v>Navigation entry; loaded state; action result; persisted read-back; audit/history; no data outside assigned relationship/property scope.</x:v>
      </x:c>
    </x:row>
    <x:row r="280">
      <x:c r="A280" s="20" t="str">
        <x:v>ROLE-277</x:v>
      </x:c>
      <x:c r="B280" s="23" t="n">
        <x:v>46699</x:v>
      </x:c>
      <x:c r="C280" s="20" t="str">
        <x:v>Applicant / public user</x:v>
      </x:c>
      <x:c r="D280" s="20" t="str">
        <x:v>Mobile</x:v>
      </x:c>
      <x:c r="E280" s="20" t="str">
        <x:v>SCR-169</x:v>
      </x:c>
      <x:c r="F280" s="35" t="str">
        <x:v>features/properties/property_disposition_form_sheet.dart</x:v>
      </x:c>
      <x:c r="G280" s="20" t="str">
        <x:v>Allowed</x:v>
      </x:c>
      <x:c r="H280" s="35" t="str">
        <x:v>Navigate from the persona shell; exercise every visible tab, filter, list action, detail action, empty/populated/error/loading state, and return path.</x:v>
      </x:c>
      <x:c r="I280" s="35" t="str">
        <x:v>Navigation entry; loaded state; action result; persisted read-back; audit/history; no data outside assigned relationship/property scope.</x:v>
      </x:c>
    </x:row>
    <x:row r="281">
      <x:c r="A281" s="20" t="str">
        <x:v>ROLE-278</x:v>
      </x:c>
      <x:c r="B281" s="23" t="n">
        <x:v>46701</x:v>
      </x:c>
      <x:c r="C281" s="20" t="str">
        <x:v>Applicant / public user</x:v>
      </x:c>
      <x:c r="D281" s="20" t="str">
        <x:v>Mobile</x:v>
      </x:c>
      <x:c r="E281" s="20" t="str">
        <x:v>SCR-170</x:v>
      </x:c>
      <x:c r="F281" s="35" t="str">
        <x:v>features/properties/property_form_sheet.dart</x:v>
      </x:c>
      <x:c r="G281" s="20" t="str">
        <x:v>Allowed</x:v>
      </x:c>
      <x:c r="H281" s="35" t="str">
        <x:v>Navigate from the persona shell; exercise every visible tab, filter, list action, detail action, empty/populated/error/loading state, and return path.</x:v>
      </x:c>
      <x:c r="I281" s="35" t="str">
        <x:v>Navigation entry; loaded state; action result; persisted read-back; audit/history; no data outside assigned relationship/property scope.</x:v>
      </x:c>
    </x:row>
    <x:row r="282">
      <x:c r="A282" s="20" t="str">
        <x:v>ROLE-279</x:v>
      </x:c>
      <x:c r="B282" s="23" t="n">
        <x:v>46702</x:v>
      </x:c>
      <x:c r="C282" s="20" t="str">
        <x:v>Applicant / public user</x:v>
      </x:c>
      <x:c r="D282" s="20" t="str">
        <x:v>Mobile</x:v>
      </x:c>
      <x:c r="E282" s="20" t="str">
        <x:v>SCR-171</x:v>
      </x:c>
      <x:c r="F282" s="35" t="str">
        <x:v>features/properties/property_loan_form_sheet.dart</x:v>
      </x:c>
      <x:c r="G282" s="20" t="str">
        <x:v>Allowed</x:v>
      </x:c>
      <x:c r="H282" s="35" t="str">
        <x:v>Navigate from the persona shell; exercise every visible tab, filter, list action, detail action, empty/populated/error/loading state, and return path.</x:v>
      </x:c>
      <x:c r="I282" s="35" t="str">
        <x:v>Navigation entry; loaded state; action result; persisted read-back; audit/history; no data outside assigned relationship/property scope.</x:v>
      </x:c>
    </x:row>
    <x:row r="283">
      <x:c r="A283" s="20" t="str">
        <x:v>ROLE-280</x:v>
      </x:c>
      <x:c r="B283" s="23" t="n">
        <x:v>46703</x:v>
      </x:c>
      <x:c r="C283" s="20" t="str">
        <x:v>Applicant / public user</x:v>
      </x:c>
      <x:c r="D283" s="20" t="str">
        <x:v>Mobile</x:v>
      </x:c>
      <x:c r="E283" s="20" t="str">
        <x:v>SCR-172</x:v>
      </x:c>
      <x:c r="F283" s="35" t="str">
        <x:v>features/recurring_maintenance/recurring_maintenance_form_screen.dart</x:v>
      </x:c>
      <x:c r="G283" s="20" t="str">
        <x:v>Allowed</x:v>
      </x:c>
      <x:c r="H283" s="35" t="str">
        <x:v>Navigate from the persona shell; exercise every visible tab, filter, list action, detail action, empty/populated/error/loading state, and return path.</x:v>
      </x:c>
      <x:c r="I283" s="35" t="str">
        <x:v>Navigation entry; loaded state; action result; persisted read-back; audit/history; no data outside assigned relationship/property scope.</x:v>
      </x:c>
    </x:row>
    <x:row r="284">
      <x:c r="A284" s="20" t="str">
        <x:v>ROLE-281</x:v>
      </x:c>
      <x:c r="B284" s="23" t="n">
        <x:v>46706</x:v>
      </x:c>
      <x:c r="C284" s="20" t="str">
        <x:v>Applicant / public user</x:v>
      </x:c>
      <x:c r="D284" s="20" t="str">
        <x:v>Mobile</x:v>
      </x:c>
      <x:c r="E284" s="20" t="str">
        <x:v>SCR-173</x:v>
      </x:c>
      <x:c r="F284" s="35" t="str">
        <x:v>features/recurring_maintenance/recurring_maintenance_list_screen.dart</x:v>
      </x:c>
      <x:c r="G284" s="20" t="str">
        <x:v>Allowed</x:v>
      </x:c>
      <x:c r="H284" s="35" t="str">
        <x:v>Navigate from the persona shell; exercise every visible tab, filter, list action, detail action, empty/populated/error/loading state, and return path.</x:v>
      </x:c>
      <x:c r="I284" s="35" t="str">
        <x:v>Navigation entry; loaded state; action result; persisted read-back; audit/history; no data outside assigned relationship/property scope.</x:v>
      </x:c>
    </x:row>
    <x:row r="285">
      <x:c r="A285" s="20" t="str">
        <x:v>ROLE-282</x:v>
      </x:c>
      <x:c r="B285" s="23" t="n">
        <x:v>46708</x:v>
      </x:c>
      <x:c r="C285" s="20" t="str">
        <x:v>Workspace Administrator</x:v>
      </x:c>
      <x:c r="D285" s="20" t="str">
        <x:v>Mobile</x:v>
      </x:c>
      <x:c r="E285" s="20" t="str">
        <x:v>SCR-174</x:v>
      </x:c>
      <x:c r="F285" s="35" t="str">
        <x:v>features/scan/guided_rental_flow.dart</x:v>
      </x:c>
      <x:c r="G285" s="20" t="str">
        <x:v>Allowed</x:v>
      </x:c>
      <x:c r="H285" s="35" t="str">
        <x:v>Navigate from the persona shell; exercise every visible tab, filter, list action, detail action, empty/populated/error/loading state, and return path.</x:v>
      </x:c>
      <x:c r="I285" s="35" t="str">
        <x:v>Navigation entry; loaded state; action result; persisted read-back; audit/history; no data outside assigned relationship/property scope.</x:v>
      </x:c>
    </x:row>
    <x:row r="286">
      <x:c r="A286" s="20" t="str">
        <x:v>ROLE-283</x:v>
      </x:c>
      <x:c r="B286" s="23" t="n">
        <x:v>46708</x:v>
      </x:c>
      <x:c r="C286" s="20" t="str">
        <x:v>Property Manager</x:v>
      </x:c>
      <x:c r="D286" s="20" t="str">
        <x:v>Mobile</x:v>
      </x:c>
      <x:c r="E286" s="20" t="str">
        <x:v>SCR-174</x:v>
      </x:c>
      <x:c r="F286" s="35" t="str">
        <x:v>features/scan/guided_rental_flow.dart</x:v>
      </x:c>
      <x:c r="G286" s="20" t="str">
        <x:v>Allowed</x:v>
      </x:c>
      <x:c r="H286" s="35" t="str">
        <x:v>Navigate from the persona shell; exercise every visible tab, filter, list action, detail action, empty/populated/error/loading state, and return path.</x:v>
      </x:c>
      <x:c r="I286" s="35" t="str">
        <x:v>Navigation entry; loaded state; action result; persisted read-back; audit/history; no data outside assigned relationship/property scope.</x:v>
      </x:c>
    </x:row>
    <x:row r="287">
      <x:c r="A287" s="20" t="str">
        <x:v>ROLE-284</x:v>
      </x:c>
      <x:c r="B287" s="23" t="n">
        <x:v>46708</x:v>
      </x:c>
      <x:c r="C287" s="20" t="str">
        <x:v>Leasing Agent</x:v>
      </x:c>
      <x:c r="D287" s="20" t="str">
        <x:v>Mobile</x:v>
      </x:c>
      <x:c r="E287" s="20" t="str">
        <x:v>SCR-174</x:v>
      </x:c>
      <x:c r="F287" s="35" t="str">
        <x:v>features/scan/guided_rental_flow.dart</x:v>
      </x:c>
      <x:c r="G287" s="20" t="str">
        <x:v>Allowed</x:v>
      </x:c>
      <x:c r="H287" s="35" t="str">
        <x:v>Navigate from the persona shell; exercise every visible tab, filter, list action, detail action, empty/populated/error/loading state, and return path.</x:v>
      </x:c>
      <x:c r="I287" s="35" t="str">
        <x:v>Navigation entry; loaded state; action result; persisted read-back; audit/history; no data outside assigned relationship/property scope.</x:v>
      </x:c>
    </x:row>
    <x:row r="288">
      <x:c r="A288" s="20" t="str">
        <x:v>ROLE-285</x:v>
      </x:c>
      <x:c r="B288" s="23" t="n">
        <x:v>46708</x:v>
      </x:c>
      <x:c r="C288" s="20" t="str">
        <x:v>Maintenance Technician</x:v>
      </x:c>
      <x:c r="D288" s="20" t="str">
        <x:v>Mobile</x:v>
      </x:c>
      <x:c r="E288" s="20" t="str">
        <x:v>SCR-174</x:v>
      </x:c>
      <x:c r="F288" s="35" t="str">
        <x:v>features/scan/guided_rental_flow.dart</x:v>
      </x:c>
      <x:c r="G288" s="20" t="str">
        <x:v>Allowed</x:v>
      </x:c>
      <x:c r="H288" s="35" t="str">
        <x:v>Navigate from the persona shell; exercise every visible tab, filter, list action, detail action, empty/populated/error/loading state, and return path.</x:v>
      </x:c>
      <x:c r="I288" s="35" t="str">
        <x:v>Navigation entry; loaded state; action result; persisted read-back; audit/history; no data outside assigned relationship/property scope.</x:v>
      </x:c>
    </x:row>
    <x:row r="289">
      <x:c r="A289" s="20" t="str">
        <x:v>ROLE-286</x:v>
      </x:c>
      <x:c r="B289" s="23" t="n">
        <x:v>46709</x:v>
      </x:c>
      <x:c r="C289" s="20" t="str">
        <x:v>Workspace Administrator</x:v>
      </x:c>
      <x:c r="D289" s="20" t="str">
        <x:v>Mobile</x:v>
      </x:c>
      <x:c r="E289" s="20" t="str">
        <x:v>SCR-175</x:v>
      </x:c>
      <x:c r="F289" s="35" t="str">
        <x:v>features/scan/scan_list_screen.dart</x:v>
      </x:c>
      <x:c r="G289" s="20" t="str">
        <x:v>Allowed</x:v>
      </x:c>
      <x:c r="H289" s="35" t="str">
        <x:v>Navigate from the persona shell; exercise every visible tab, filter, list action, detail action, empty/populated/error/loading state, and return path.</x:v>
      </x:c>
      <x:c r="I289" s="35" t="str">
        <x:v>Navigation entry; loaded state; action result; persisted read-back; audit/history; no data outside assigned relationship/property scope.</x:v>
      </x:c>
    </x:row>
    <x:row r="290">
      <x:c r="A290" s="20" t="str">
        <x:v>ROLE-287</x:v>
      </x:c>
      <x:c r="B290" s="23" t="n">
        <x:v>46709</x:v>
      </x:c>
      <x:c r="C290" s="20" t="str">
        <x:v>Property Manager</x:v>
      </x:c>
      <x:c r="D290" s="20" t="str">
        <x:v>Mobile</x:v>
      </x:c>
      <x:c r="E290" s="20" t="str">
        <x:v>SCR-175</x:v>
      </x:c>
      <x:c r="F290" s="35" t="str">
        <x:v>features/scan/scan_list_screen.dart</x:v>
      </x:c>
      <x:c r="G290" s="20" t="str">
        <x:v>Allowed</x:v>
      </x:c>
      <x:c r="H290" s="35" t="str">
        <x:v>Navigate from the persona shell; exercise every visible tab, filter, list action, detail action, empty/populated/error/loading state, and return path.</x:v>
      </x:c>
      <x:c r="I290" s="35" t="str">
        <x:v>Navigation entry; loaded state; action result; persisted read-back; audit/history; no data outside assigned relationship/property scope.</x:v>
      </x:c>
    </x:row>
    <x:row r="291">
      <x:c r="A291" s="20" t="str">
        <x:v>ROLE-288</x:v>
      </x:c>
      <x:c r="B291" s="23" t="n">
        <x:v>46709</x:v>
      </x:c>
      <x:c r="C291" s="20" t="str">
        <x:v>Leasing Agent</x:v>
      </x:c>
      <x:c r="D291" s="20" t="str">
        <x:v>Mobile</x:v>
      </x:c>
      <x:c r="E291" s="20" t="str">
        <x:v>SCR-175</x:v>
      </x:c>
      <x:c r="F291" s="35" t="str">
        <x:v>features/scan/scan_list_screen.dart</x:v>
      </x:c>
      <x:c r="G291" s="20" t="str">
        <x:v>Allowed</x:v>
      </x:c>
      <x:c r="H291" s="35" t="str">
        <x:v>Navigate from the persona shell; exercise every visible tab, filter, list action, detail action, empty/populated/error/loading state, and return path.</x:v>
      </x:c>
      <x:c r="I291" s="35" t="str">
        <x:v>Navigation entry; loaded state; action result; persisted read-back; audit/history; no data outside assigned relationship/property scope.</x:v>
      </x:c>
    </x:row>
    <x:row r="292">
      <x:c r="A292" s="20" t="str">
        <x:v>ROLE-289</x:v>
      </x:c>
      <x:c r="B292" s="23" t="n">
        <x:v>46709</x:v>
      </x:c>
      <x:c r="C292" s="20" t="str">
        <x:v>Maintenance Technician</x:v>
      </x:c>
      <x:c r="D292" s="20" t="str">
        <x:v>Mobile</x:v>
      </x:c>
      <x:c r="E292" s="20" t="str">
        <x:v>SCR-175</x:v>
      </x:c>
      <x:c r="F292" s="35" t="str">
        <x:v>features/scan/scan_list_screen.dart</x:v>
      </x:c>
      <x:c r="G292" s="20" t="str">
        <x:v>Allowed</x:v>
      </x:c>
      <x:c r="H292" s="35" t="str">
        <x:v>Navigate from the persona shell; exercise every visible tab, filter, list action, detail action, empty/populated/error/loading state, and return path.</x:v>
      </x:c>
      <x:c r="I292" s="35" t="str">
        <x:v>Navigation entry; loaded state; action result; persisted read-back; audit/history; no data outside assigned relationship/property scope.</x:v>
      </x:c>
    </x:row>
    <x:row r="293">
      <x:c r="A293" s="20" t="str">
        <x:v>ROLE-290</x:v>
      </x:c>
      <x:c r="B293" s="23" t="n">
        <x:v>46710</x:v>
      </x:c>
      <x:c r="C293" s="20" t="str">
        <x:v>Workspace Administrator</x:v>
      </x:c>
      <x:c r="D293" s="20" t="str">
        <x:v>Mobile</x:v>
      </x:c>
      <x:c r="E293" s="20" t="str">
        <x:v>SCR-176</x:v>
      </x:c>
      <x:c r="F293" s="35" t="str">
        <x:v>features/scan/scan_review_screen.dart</x:v>
      </x:c>
      <x:c r="G293" s="20" t="str">
        <x:v>Allowed</x:v>
      </x:c>
      <x:c r="H293" s="35" t="str">
        <x:v>Navigate from the persona shell; exercise every visible tab, filter, list action, detail action, empty/populated/error/loading state, and return path.</x:v>
      </x:c>
      <x:c r="I293" s="35" t="str">
        <x:v>Navigation entry; loaded state; action result; persisted read-back; audit/history; no data outside assigned relationship/property scope.</x:v>
      </x:c>
    </x:row>
    <x:row r="294">
      <x:c r="A294" s="20" t="str">
        <x:v>ROLE-291</x:v>
      </x:c>
      <x:c r="B294" s="23" t="n">
        <x:v>46710</x:v>
      </x:c>
      <x:c r="C294" s="20" t="str">
        <x:v>Property Manager</x:v>
      </x:c>
      <x:c r="D294" s="20" t="str">
        <x:v>Mobile</x:v>
      </x:c>
      <x:c r="E294" s="20" t="str">
        <x:v>SCR-176</x:v>
      </x:c>
      <x:c r="F294" s="35" t="str">
        <x:v>features/scan/scan_review_screen.dart</x:v>
      </x:c>
      <x:c r="G294" s="20" t="str">
        <x:v>Allowed</x:v>
      </x:c>
      <x:c r="H294" s="35" t="str">
        <x:v>Navigate from the persona shell; exercise every visible tab, filter, list action, detail action, empty/populated/error/loading state, and return path.</x:v>
      </x:c>
      <x:c r="I294" s="35" t="str">
        <x:v>Navigation entry; loaded state; action result; persisted read-back; audit/history; no data outside assigned relationship/property scope.</x:v>
      </x:c>
    </x:row>
    <x:row r="295">
      <x:c r="A295" s="20" t="str">
        <x:v>ROLE-292</x:v>
      </x:c>
      <x:c r="B295" s="23" t="n">
        <x:v>46710</x:v>
      </x:c>
      <x:c r="C295" s="20" t="str">
        <x:v>Leasing Agent</x:v>
      </x:c>
      <x:c r="D295" s="20" t="str">
        <x:v>Mobile</x:v>
      </x:c>
      <x:c r="E295" s="20" t="str">
        <x:v>SCR-176</x:v>
      </x:c>
      <x:c r="F295" s="35" t="str">
        <x:v>features/scan/scan_review_screen.dart</x:v>
      </x:c>
      <x:c r="G295" s="20" t="str">
        <x:v>Allowed</x:v>
      </x:c>
      <x:c r="H295" s="35" t="str">
        <x:v>Navigate from the persona shell; exercise every visible tab, filter, list action, detail action, empty/populated/error/loading state, and return path.</x:v>
      </x:c>
      <x:c r="I295" s="35" t="str">
        <x:v>Navigation entry; loaded state; action result; persisted read-back; audit/history; no data outside assigned relationship/property scope.</x:v>
      </x:c>
    </x:row>
    <x:row r="296">
      <x:c r="A296" s="20" t="str">
        <x:v>ROLE-293</x:v>
      </x:c>
      <x:c r="B296" s="23" t="n">
        <x:v>46710</x:v>
      </x:c>
      <x:c r="C296" s="20" t="str">
        <x:v>Maintenance Technician</x:v>
      </x:c>
      <x:c r="D296" s="20" t="str">
        <x:v>Mobile</x:v>
      </x:c>
      <x:c r="E296" s="20" t="str">
        <x:v>SCR-176</x:v>
      </x:c>
      <x:c r="F296" s="35" t="str">
        <x:v>features/scan/scan_review_screen.dart</x:v>
      </x:c>
      <x:c r="G296" s="20" t="str">
        <x:v>Allowed</x:v>
      </x:c>
      <x:c r="H296" s="35" t="str">
        <x:v>Navigate from the persona shell; exercise every visible tab, filter, list action, detail action, empty/populated/error/loading state, and return path.</x:v>
      </x:c>
      <x:c r="I296" s="35" t="str">
        <x:v>Navigation entry; loaded state; action result; persisted read-back; audit/history; no data outside assigned relationship/property scope.</x:v>
      </x:c>
    </x:row>
    <x:row r="297">
      <x:c r="A297" s="20" t="str">
        <x:v>ROLE-294</x:v>
      </x:c>
      <x:c r="B297" s="23" t="n">
        <x:v>46713</x:v>
      </x:c>
      <x:c r="C297" s="20" t="str">
        <x:v>Workspace Administrator</x:v>
      </x:c>
      <x:c r="D297" s="20" t="str">
        <x:v>Mobile</x:v>
      </x:c>
      <x:c r="E297" s="20" t="str">
        <x:v>SCR-177</x:v>
      </x:c>
      <x:c r="F297" s="35" t="str">
        <x:v>features/scan/scan_tab.dart</x:v>
      </x:c>
      <x:c r="G297" s="20" t="str">
        <x:v>Allowed</x:v>
      </x:c>
      <x:c r="H297" s="35" t="str">
        <x:v>Navigate from the persona shell; exercise every visible tab, filter, list action, detail action, empty/populated/error/loading state, and return path.</x:v>
      </x:c>
      <x:c r="I297" s="35" t="str">
        <x:v>Navigation entry; loaded state; action result; persisted read-back; audit/history; no data outside assigned relationship/property scope.</x:v>
      </x:c>
    </x:row>
    <x:row r="298">
      <x:c r="A298" s="20" t="str">
        <x:v>ROLE-295</x:v>
      </x:c>
      <x:c r="B298" s="23" t="n">
        <x:v>46713</x:v>
      </x:c>
      <x:c r="C298" s="20" t="str">
        <x:v>Property Manager</x:v>
      </x:c>
      <x:c r="D298" s="20" t="str">
        <x:v>Mobile</x:v>
      </x:c>
      <x:c r="E298" s="20" t="str">
        <x:v>SCR-177</x:v>
      </x:c>
      <x:c r="F298" s="35" t="str">
        <x:v>features/scan/scan_tab.dart</x:v>
      </x:c>
      <x:c r="G298" s="20" t="str">
        <x:v>Allowed</x:v>
      </x:c>
      <x:c r="H298" s="35" t="str">
        <x:v>Navigate from the persona shell; exercise every visible tab, filter, list action, detail action, empty/populated/error/loading state, and return path.</x:v>
      </x:c>
      <x:c r="I298" s="35" t="str">
        <x:v>Navigation entry; loaded state; action result; persisted read-back; audit/history; no data outside assigned relationship/property scope.</x:v>
      </x:c>
    </x:row>
    <x:row r="299">
      <x:c r="A299" s="20" t="str">
        <x:v>ROLE-296</x:v>
      </x:c>
      <x:c r="B299" s="23" t="n">
        <x:v>46713</x:v>
      </x:c>
      <x:c r="C299" s="20" t="str">
        <x:v>Leasing Agent</x:v>
      </x:c>
      <x:c r="D299" s="20" t="str">
        <x:v>Mobile</x:v>
      </x:c>
      <x:c r="E299" s="20" t="str">
        <x:v>SCR-177</x:v>
      </x:c>
      <x:c r="F299" s="35" t="str">
        <x:v>features/scan/scan_tab.dart</x:v>
      </x:c>
      <x:c r="G299" s="20" t="str">
        <x:v>Allowed</x:v>
      </x:c>
      <x:c r="H299" s="35" t="str">
        <x:v>Navigate from the persona shell; exercise every visible tab, filter, list action, detail action, empty/populated/error/loading state, and return path.</x:v>
      </x:c>
      <x:c r="I299" s="35" t="str">
        <x:v>Navigation entry; loaded state; action result; persisted read-back; audit/history; no data outside assigned relationship/property scope.</x:v>
      </x:c>
    </x:row>
    <x:row r="300">
      <x:c r="A300" s="20" t="str">
        <x:v>ROLE-297</x:v>
      </x:c>
      <x:c r="B300" s="23" t="n">
        <x:v>46713</x:v>
      </x:c>
      <x:c r="C300" s="20" t="str">
        <x:v>Maintenance Technician</x:v>
      </x:c>
      <x:c r="D300" s="20" t="str">
        <x:v>Mobile</x:v>
      </x:c>
      <x:c r="E300" s="20" t="str">
        <x:v>SCR-177</x:v>
      </x:c>
      <x:c r="F300" s="35" t="str">
        <x:v>features/scan/scan_tab.dart</x:v>
      </x:c>
      <x:c r="G300" s="20" t="str">
        <x:v>Allowed</x:v>
      </x:c>
      <x:c r="H300" s="35" t="str">
        <x:v>Navigate from the persona shell; exercise every visible tab, filter, list action, detail action, empty/populated/error/loading state, and return path.</x:v>
      </x:c>
      <x:c r="I300" s="35" t="str">
        <x:v>Navigation entry; loaded state; action result; persisted read-back; audit/history; no data outside assigned relationship/property scope.</x:v>
      </x:c>
    </x:row>
    <x:row r="301">
      <x:c r="A301" s="20" t="str">
        <x:v>ROLE-298</x:v>
      </x:c>
      <x:c r="B301" s="23" t="n">
        <x:v>46715</x:v>
      </x:c>
      <x:c r="C301" s="20" t="str">
        <x:v>Applicant / public user</x:v>
      </x:c>
      <x:c r="D301" s="20" t="str">
        <x:v>Mobile</x:v>
      </x:c>
      <x:c r="E301" s="20" t="str">
        <x:v>SCR-178</x:v>
      </x:c>
      <x:c r="F301" s="35" t="str">
        <x:v>features/settings/ai_provider_settings_screen.dart</x:v>
      </x:c>
      <x:c r="G301" s="20" t="str">
        <x:v>Allowed</x:v>
      </x:c>
      <x:c r="H301" s="35" t="str">
        <x:v>Navigate from the persona shell; exercise every visible tab, filter, list action, detail action, empty/populated/error/loading state, and return path.</x:v>
      </x:c>
      <x:c r="I301" s="35" t="str">
        <x:v>Navigation entry; loaded state; action result; persisted read-back; audit/history; no data outside assigned relationship/property scope.</x:v>
      </x:c>
    </x:row>
    <x:row r="302">
      <x:c r="A302" s="20" t="str">
        <x:v>ROLE-299</x:v>
      </x:c>
      <x:c r="B302" s="23" t="n">
        <x:v>46716</x:v>
      </x:c>
      <x:c r="C302" s="20" t="str">
        <x:v>Workspace Administrator</x:v>
      </x:c>
      <x:c r="D302" s="20" t="str">
        <x:v>Mobile</x:v>
      </x:c>
      <x:c r="E302" s="20" t="str">
        <x:v>SCR-179</x:v>
      </x:c>
      <x:c r="F302" s="35" t="str">
        <x:v>features/settings/change_password_screen.dart</x:v>
      </x:c>
      <x:c r="G302" s="20" t="str">
        <x:v>Allowed</x:v>
      </x:c>
      <x:c r="H302" s="35" t="str">
        <x:v>Navigate from the persona shell; exercise every visible tab, filter, list action, detail action, empty/populated/error/loading state, and return path.</x:v>
      </x:c>
      <x:c r="I302" s="35" t="str">
        <x:v>Navigation entry; loaded state; action result; persisted read-back; audit/history; no data outside assigned relationship/property scope.</x:v>
      </x:c>
    </x:row>
    <x:row r="303">
      <x:c r="A303" s="20" t="str">
        <x:v>ROLE-300</x:v>
      </x:c>
      <x:c r="B303" s="23" t="n">
        <x:v>46716</x:v>
      </x:c>
      <x:c r="C303" s="20" t="str">
        <x:v>Property Manager</x:v>
      </x:c>
      <x:c r="D303" s="20" t="str">
        <x:v>Mobile</x:v>
      </x:c>
      <x:c r="E303" s="20" t="str">
        <x:v>SCR-179</x:v>
      </x:c>
      <x:c r="F303" s="35" t="str">
        <x:v>features/settings/change_password_screen.dart</x:v>
      </x:c>
      <x:c r="G303" s="20" t="str">
        <x:v>Allowed</x:v>
      </x:c>
      <x:c r="H303" s="35" t="str">
        <x:v>Navigate from the persona shell; exercise every visible tab, filter, list action, detail action, empty/populated/error/loading state, and return path.</x:v>
      </x:c>
      <x:c r="I303" s="35" t="str">
        <x:v>Navigation entry; loaded state; action result; persisted read-back; audit/history; no data outside assigned relationship/property scope.</x:v>
      </x:c>
    </x:row>
    <x:row r="304">
      <x:c r="A304" s="20" t="str">
        <x:v>ROLE-301</x:v>
      </x:c>
      <x:c r="B304" s="23" t="n">
        <x:v>46716</x:v>
      </x:c>
      <x:c r="C304" s="20" t="str">
        <x:v>Leasing Agent</x:v>
      </x:c>
      <x:c r="D304" s="20" t="str">
        <x:v>Mobile</x:v>
      </x:c>
      <x:c r="E304" s="20" t="str">
        <x:v>SCR-179</x:v>
      </x:c>
      <x:c r="F304" s="35" t="str">
        <x:v>features/settings/change_password_screen.dart</x:v>
      </x:c>
      <x:c r="G304" s="20" t="str">
        <x:v>Allowed</x:v>
      </x:c>
      <x:c r="H304" s="35" t="str">
        <x:v>Navigate from the persona shell; exercise every visible tab, filter, list action, detail action, empty/populated/error/loading state, and return path.</x:v>
      </x:c>
      <x:c r="I304" s="35" t="str">
        <x:v>Navigation entry; loaded state; action result; persisted read-back; audit/history; no data outside assigned relationship/property scope.</x:v>
      </x:c>
    </x:row>
    <x:row r="305">
      <x:c r="A305" s="20" t="str">
        <x:v>ROLE-302</x:v>
      </x:c>
      <x:c r="B305" s="23" t="n">
        <x:v>46716</x:v>
      </x:c>
      <x:c r="C305" s="20" t="str">
        <x:v>Maintenance Technician</x:v>
      </x:c>
      <x:c r="D305" s="20" t="str">
        <x:v>Mobile</x:v>
      </x:c>
      <x:c r="E305" s="20" t="str">
        <x:v>SCR-179</x:v>
      </x:c>
      <x:c r="F305" s="35" t="str">
        <x:v>features/settings/change_password_screen.dart</x:v>
      </x:c>
      <x:c r="G305" s="20" t="str">
        <x:v>Allowed</x:v>
      </x:c>
      <x:c r="H305" s="35" t="str">
        <x:v>Navigate from the persona shell; exercise every visible tab, filter, list action, detail action, empty/populated/error/loading state, and return path.</x:v>
      </x:c>
      <x:c r="I305" s="35" t="str">
        <x:v>Navigation entry; loaded state; action result; persisted read-back; audit/history; no data outside assigned relationship/property scope.</x:v>
      </x:c>
    </x:row>
    <x:row r="306">
      <x:c r="A306" s="20" t="str">
        <x:v>ROLE-303</x:v>
      </x:c>
      <x:c r="B306" s="23" t="n">
        <x:v>46716</x:v>
      </x:c>
      <x:c r="C306" s="20" t="str">
        <x:v>Owner</x:v>
      </x:c>
      <x:c r="D306" s="20" t="str">
        <x:v>Mobile</x:v>
      </x:c>
      <x:c r="E306" s="20" t="str">
        <x:v>SCR-179</x:v>
      </x:c>
      <x:c r="F306" s="35" t="str">
        <x:v>features/settings/change_password_screen.dart</x:v>
      </x:c>
      <x:c r="G306" s="20" t="str">
        <x:v>Allowed</x:v>
      </x:c>
      <x:c r="H306" s="35" t="str">
        <x:v>Navigate from the persona shell; exercise every visible tab, filter, list action, detail action, empty/populated/error/loading state, and return path.</x:v>
      </x:c>
      <x:c r="I306" s="35" t="str">
        <x:v>Navigation entry; loaded state; action result; persisted read-back; audit/history; no data outside assigned relationship/property scope.</x:v>
      </x:c>
    </x:row>
    <x:row r="307">
      <x:c r="A307" s="20" t="str">
        <x:v>ROLE-304</x:v>
      </x:c>
      <x:c r="B307" s="23" t="n">
        <x:v>46716</x:v>
      </x:c>
      <x:c r="C307" s="20" t="str">
        <x:v>Tenant</x:v>
      </x:c>
      <x:c r="D307" s="20" t="str">
        <x:v>Mobile</x:v>
      </x:c>
      <x:c r="E307" s="20" t="str">
        <x:v>SCR-179</x:v>
      </x:c>
      <x:c r="F307" s="35" t="str">
        <x:v>features/settings/change_password_screen.dart</x:v>
      </x:c>
      <x:c r="G307" s="20" t="str">
        <x:v>Allowed</x:v>
      </x:c>
      <x:c r="H307" s="35" t="str">
        <x:v>Navigate from the persona shell; exercise every visible tab, filter, list action, detail action, empty/populated/error/loading state, and return path.</x:v>
      </x:c>
      <x:c r="I307" s="35" t="str">
        <x:v>Navigation entry; loaded state; action result; persisted read-back; audit/history; no data outside assigned relationship/property scope.</x:v>
      </x:c>
    </x:row>
    <x:row r="308">
      <x:c r="A308" s="20" t="str">
        <x:v>ROLE-305</x:v>
      </x:c>
      <x:c r="B308" s="23" t="n">
        <x:v>46717</x:v>
      </x:c>
      <x:c r="C308" s="20" t="str">
        <x:v>Workspace Administrator</x:v>
      </x:c>
      <x:c r="D308" s="20" t="str">
        <x:v>Mobile</x:v>
      </x:c>
      <x:c r="E308" s="20" t="str">
        <x:v>SCR-180</x:v>
      </x:c>
      <x:c r="F308" s="35" t="str">
        <x:v>features/settings/my_alerts_screen.dart</x:v>
      </x:c>
      <x:c r="G308" s="20" t="str">
        <x:v>Allowed</x:v>
      </x:c>
      <x:c r="H308" s="35" t="str">
        <x:v>Navigate from the persona shell; exercise every visible tab, filter, list action, detail action, empty/populated/error/loading state, and return path.</x:v>
      </x:c>
      <x:c r="I308" s="35" t="str">
        <x:v>Navigation entry; loaded state; action result; persisted read-back; audit/history; no data outside assigned relationship/property scope.</x:v>
      </x:c>
    </x:row>
    <x:row r="309">
      <x:c r="A309" s="20" t="str">
        <x:v>ROLE-306</x:v>
      </x:c>
      <x:c r="B309" s="23" t="n">
        <x:v>46717</x:v>
      </x:c>
      <x:c r="C309" s="20" t="str">
        <x:v>Property Manager</x:v>
      </x:c>
      <x:c r="D309" s="20" t="str">
        <x:v>Mobile</x:v>
      </x:c>
      <x:c r="E309" s="20" t="str">
        <x:v>SCR-180</x:v>
      </x:c>
      <x:c r="F309" s="35" t="str">
        <x:v>features/settings/my_alerts_screen.dart</x:v>
      </x:c>
      <x:c r="G309" s="20" t="str">
        <x:v>Allowed</x:v>
      </x:c>
      <x:c r="H309" s="35" t="str">
        <x:v>Navigate from the persona shell; exercise every visible tab, filter, list action, detail action, empty/populated/error/loading state, and return path.</x:v>
      </x:c>
      <x:c r="I309" s="35" t="str">
        <x:v>Navigation entry; loaded state; action result; persisted read-back; audit/history; no data outside assigned relationship/property scope.</x:v>
      </x:c>
    </x:row>
    <x:row r="310">
      <x:c r="A310" s="20" t="str">
        <x:v>ROLE-307</x:v>
      </x:c>
      <x:c r="B310" s="23" t="n">
        <x:v>46717</x:v>
      </x:c>
      <x:c r="C310" s="20" t="str">
        <x:v>Leasing Agent</x:v>
      </x:c>
      <x:c r="D310" s="20" t="str">
        <x:v>Mobile</x:v>
      </x:c>
      <x:c r="E310" s="20" t="str">
        <x:v>SCR-180</x:v>
      </x:c>
      <x:c r="F310" s="35" t="str">
        <x:v>features/settings/my_alerts_screen.dart</x:v>
      </x:c>
      <x:c r="G310" s="20" t="str">
        <x:v>Allowed</x:v>
      </x:c>
      <x:c r="H310" s="35" t="str">
        <x:v>Navigate from the persona shell; exercise every visible tab, filter, list action, detail action, empty/populated/error/loading state, and return path.</x:v>
      </x:c>
      <x:c r="I310" s="35" t="str">
        <x:v>Navigation entry; loaded state; action result; persisted read-back; audit/history; no data outside assigned relationship/property scope.</x:v>
      </x:c>
    </x:row>
    <x:row r="311">
      <x:c r="A311" s="20" t="str">
        <x:v>ROLE-308</x:v>
      </x:c>
      <x:c r="B311" s="23" t="n">
        <x:v>46717</x:v>
      </x:c>
      <x:c r="C311" s="20" t="str">
        <x:v>Maintenance Technician</x:v>
      </x:c>
      <x:c r="D311" s="20" t="str">
        <x:v>Mobile</x:v>
      </x:c>
      <x:c r="E311" s="20" t="str">
        <x:v>SCR-180</x:v>
      </x:c>
      <x:c r="F311" s="35" t="str">
        <x:v>features/settings/my_alerts_screen.dart</x:v>
      </x:c>
      <x:c r="G311" s="20" t="str">
        <x:v>Allowed</x:v>
      </x:c>
      <x:c r="H311" s="35" t="str">
        <x:v>Navigate from the persona shell; exercise every visible tab, filter, list action, detail action, empty/populated/error/loading state, and return path.</x:v>
      </x:c>
      <x:c r="I311" s="35" t="str">
        <x:v>Navigation entry; loaded state; action result; persisted read-back; audit/history; no data outside assigned relationship/property scope.</x:v>
      </x:c>
    </x:row>
    <x:row r="312">
      <x:c r="A312" s="20" t="str">
        <x:v>ROLE-309</x:v>
      </x:c>
      <x:c r="B312" s="23" t="n">
        <x:v>46717</x:v>
      </x:c>
      <x:c r="C312" s="20" t="str">
        <x:v>Owner</x:v>
      </x:c>
      <x:c r="D312" s="20" t="str">
        <x:v>Mobile</x:v>
      </x:c>
      <x:c r="E312" s="20" t="str">
        <x:v>SCR-180</x:v>
      </x:c>
      <x:c r="F312" s="35" t="str">
        <x:v>features/settings/my_alerts_screen.dart</x:v>
      </x:c>
      <x:c r="G312" s="20" t="str">
        <x:v>Allowed</x:v>
      </x:c>
      <x:c r="H312" s="35" t="str">
        <x:v>Navigate from the persona shell; exercise every visible tab, filter, list action, detail action, empty/populated/error/loading state, and return path.</x:v>
      </x:c>
      <x:c r="I312" s="35" t="str">
        <x:v>Navigation entry; loaded state; action result; persisted read-back; audit/history; no data outside assigned relationship/property scope.</x:v>
      </x:c>
    </x:row>
    <x:row r="313">
      <x:c r="A313" s="20" t="str">
        <x:v>ROLE-310</x:v>
      </x:c>
      <x:c r="B313" s="23" t="n">
        <x:v>46717</x:v>
      </x:c>
      <x:c r="C313" s="20" t="str">
        <x:v>Tenant</x:v>
      </x:c>
      <x:c r="D313" s="20" t="str">
        <x:v>Mobile</x:v>
      </x:c>
      <x:c r="E313" s="20" t="str">
        <x:v>SCR-180</x:v>
      </x:c>
      <x:c r="F313" s="35" t="str">
        <x:v>features/settings/my_alerts_screen.dart</x:v>
      </x:c>
      <x:c r="G313" s="20" t="str">
        <x:v>Allowed</x:v>
      </x:c>
      <x:c r="H313" s="35" t="str">
        <x:v>Navigate from the persona shell; exercise every visible tab, filter, list action, detail action, empty/populated/error/loading state, and return path.</x:v>
      </x:c>
      <x:c r="I313" s="35" t="str">
        <x:v>Navigation entry; loaded state; action result; persisted read-back; audit/history; no data outside assigned relationship/property scope.</x:v>
      </x:c>
    </x:row>
    <x:row r="314">
      <x:c r="A314" s="20" t="str">
        <x:v>ROLE-311</x:v>
      </x:c>
      <x:c r="B314" s="23" t="n">
        <x:v>46720</x:v>
      </x:c>
      <x:c r="C314" s="20" t="str">
        <x:v>Workspace Administrator</x:v>
      </x:c>
      <x:c r="D314" s="20" t="str">
        <x:v>Mobile</x:v>
      </x:c>
      <x:c r="E314" s="20" t="str">
        <x:v>SCR-181</x:v>
      </x:c>
      <x:c r="F314" s="35" t="str">
        <x:v>features/settings/settings_screen.dart</x:v>
      </x:c>
      <x:c r="G314" s="20" t="str">
        <x:v>Allowed</x:v>
      </x:c>
      <x:c r="H314" s="35" t="str">
        <x:v>Navigate from the persona shell; exercise every visible tab, filter, list action, detail action, empty/populated/error/loading state, and return path.</x:v>
      </x:c>
      <x:c r="I314" s="35" t="str">
        <x:v>Navigation entry; loaded state; action result; persisted read-back; audit/history; no data outside assigned relationship/property scope.</x:v>
      </x:c>
    </x:row>
    <x:row r="315">
      <x:c r="A315" s="20" t="str">
        <x:v>ROLE-312</x:v>
      </x:c>
      <x:c r="B315" s="23" t="n">
        <x:v>46720</x:v>
      </x:c>
      <x:c r="C315" s="20" t="str">
        <x:v>Property Manager</x:v>
      </x:c>
      <x:c r="D315" s="20" t="str">
        <x:v>Mobile</x:v>
      </x:c>
      <x:c r="E315" s="20" t="str">
        <x:v>SCR-181</x:v>
      </x:c>
      <x:c r="F315" s="35" t="str">
        <x:v>features/settings/settings_screen.dart</x:v>
      </x:c>
      <x:c r="G315" s="20" t="str">
        <x:v>Allowed</x:v>
      </x:c>
      <x:c r="H315" s="35" t="str">
        <x:v>Navigate from the persona shell; exercise every visible tab, filter, list action, detail action, empty/populated/error/loading state, and return path.</x:v>
      </x:c>
      <x:c r="I315" s="35" t="str">
        <x:v>Navigation entry; loaded state; action result; persisted read-back; audit/history; no data outside assigned relationship/property scope.</x:v>
      </x:c>
    </x:row>
    <x:row r="316">
      <x:c r="A316" s="20" t="str">
        <x:v>ROLE-313</x:v>
      </x:c>
      <x:c r="B316" s="23" t="n">
        <x:v>46720</x:v>
      </x:c>
      <x:c r="C316" s="20" t="str">
        <x:v>Leasing Agent</x:v>
      </x:c>
      <x:c r="D316" s="20" t="str">
        <x:v>Mobile</x:v>
      </x:c>
      <x:c r="E316" s="20" t="str">
        <x:v>SCR-181</x:v>
      </x:c>
      <x:c r="F316" s="35" t="str">
        <x:v>features/settings/settings_screen.dart</x:v>
      </x:c>
      <x:c r="G316" s="20" t="str">
        <x:v>Allowed</x:v>
      </x:c>
      <x:c r="H316" s="35" t="str">
        <x:v>Navigate from the persona shell; exercise every visible tab, filter, list action, detail action, empty/populated/error/loading state, and return path.</x:v>
      </x:c>
      <x:c r="I316" s="35" t="str">
        <x:v>Navigation entry; loaded state; action result; persisted read-back; audit/history; no data outside assigned relationship/property scope.</x:v>
      </x:c>
    </x:row>
    <x:row r="317">
      <x:c r="A317" s="20" t="str">
        <x:v>ROLE-314</x:v>
      </x:c>
      <x:c r="B317" s="23" t="n">
        <x:v>46720</x:v>
      </x:c>
      <x:c r="C317" s="20" t="str">
        <x:v>Maintenance Technician</x:v>
      </x:c>
      <x:c r="D317" s="20" t="str">
        <x:v>Mobile</x:v>
      </x:c>
      <x:c r="E317" s="20" t="str">
        <x:v>SCR-181</x:v>
      </x:c>
      <x:c r="F317" s="35" t="str">
        <x:v>features/settings/settings_screen.dart</x:v>
      </x:c>
      <x:c r="G317" s="20" t="str">
        <x:v>Allowed</x:v>
      </x:c>
      <x:c r="H317" s="35" t="str">
        <x:v>Navigate from the persona shell; exercise every visible tab, filter, list action, detail action, empty/populated/error/loading state, and return path.</x:v>
      </x:c>
      <x:c r="I317" s="35" t="str">
        <x:v>Navigation entry; loaded state; action result; persisted read-back; audit/history; no data outside assigned relationship/property scope.</x:v>
      </x:c>
    </x:row>
    <x:row r="318">
      <x:c r="A318" s="20" t="str">
        <x:v>ROLE-315</x:v>
      </x:c>
      <x:c r="B318" s="23" t="n">
        <x:v>46720</x:v>
      </x:c>
      <x:c r="C318" s="20" t="str">
        <x:v>Owner</x:v>
      </x:c>
      <x:c r="D318" s="20" t="str">
        <x:v>Mobile</x:v>
      </x:c>
      <x:c r="E318" s="20" t="str">
        <x:v>SCR-181</x:v>
      </x:c>
      <x:c r="F318" s="35" t="str">
        <x:v>features/settings/settings_screen.dart</x:v>
      </x:c>
      <x:c r="G318" s="20" t="str">
        <x:v>Allowed</x:v>
      </x:c>
      <x:c r="H318" s="35" t="str">
        <x:v>Navigate from the persona shell; exercise every visible tab, filter, list action, detail action, empty/populated/error/loading state, and return path.</x:v>
      </x:c>
      <x:c r="I318" s="35" t="str">
        <x:v>Navigation entry; loaded state; action result; persisted read-back; audit/history; no data outside assigned relationship/property scope.</x:v>
      </x:c>
    </x:row>
    <x:row r="319">
      <x:c r="A319" s="20" t="str">
        <x:v>ROLE-316</x:v>
      </x:c>
      <x:c r="B319" s="23" t="n">
        <x:v>46720</x:v>
      </x:c>
      <x:c r="C319" s="20" t="str">
        <x:v>Tenant</x:v>
      </x:c>
      <x:c r="D319" s="20" t="str">
        <x:v>Mobile</x:v>
      </x:c>
      <x:c r="E319" s="20" t="str">
        <x:v>SCR-181</x:v>
      </x:c>
      <x:c r="F319" s="35" t="str">
        <x:v>features/settings/settings_screen.dart</x:v>
      </x:c>
      <x:c r="G319" s="20" t="str">
        <x:v>Allowed</x:v>
      </x:c>
      <x:c r="H319" s="35" t="str">
        <x:v>Navigate from the persona shell; exercise every visible tab, filter, list action, detail action, empty/populated/error/loading state, and return path.</x:v>
      </x:c>
      <x:c r="I319" s="35" t="str">
        <x:v>Navigation entry; loaded state; action result; persisted read-back; audit/history; no data outside assigned relationship/property scope.</x:v>
      </x:c>
    </x:row>
    <x:row r="320">
      <x:c r="A320" s="20" t="str">
        <x:v>ROLE-317</x:v>
      </x:c>
      <x:c r="B320" s="23" t="n">
        <x:v>46722</x:v>
      </x:c>
      <x:c r="C320" s="20" t="str">
        <x:v>Workspace Administrator</x:v>
      </x:c>
      <x:c r="D320" s="20" t="str">
        <x:v>Mobile</x:v>
      </x:c>
      <x:c r="E320" s="20" t="str">
        <x:v>SCR-182</x:v>
      </x:c>
      <x:c r="F320" s="35" t="str">
        <x:v>features/settings/team_routing_screen.dart</x:v>
      </x:c>
      <x:c r="G320" s="20" t="str">
        <x:v>Allowed</x:v>
      </x:c>
      <x:c r="H320" s="35" t="str">
        <x:v>Navigate from the persona shell; exercise every visible tab, filter, list action, detail action, empty/populated/error/loading state, and return path.</x:v>
      </x:c>
      <x:c r="I320" s="35" t="str">
        <x:v>Navigation entry; loaded state; action result; persisted read-back; audit/history; no data outside assigned relationship/property scope.</x:v>
      </x:c>
    </x:row>
    <x:row r="321">
      <x:c r="A321" s="20" t="str">
        <x:v>ROLE-318</x:v>
      </x:c>
      <x:c r="B321" s="23" t="n">
        <x:v>46723</x:v>
      </x:c>
      <x:c r="C321" s="20" t="str">
        <x:v>Workspace Administrator</x:v>
      </x:c>
      <x:c r="D321" s="20" t="str">
        <x:v>Mobile</x:v>
      </x:c>
      <x:c r="E321" s="20" t="str">
        <x:v>SCR-183</x:v>
      </x:c>
      <x:c r="F321" s="35" t="str">
        <x:v>features/settings/tenant_notices_screen.dart</x:v>
      </x:c>
      <x:c r="G321" s="20" t="str">
        <x:v>Allowed</x:v>
      </x:c>
      <x:c r="H321" s="35" t="str">
        <x:v>Navigate from the persona shell; exercise every visible tab, filter, list action, detail action, empty/populated/error/loading state, and return path.</x:v>
      </x:c>
      <x:c r="I321" s="35" t="str">
        <x:v>Navigation entry; loaded state; action result; persisted read-back; audit/history; no data outside assigned relationship/property scope.</x:v>
      </x:c>
    </x:row>
    <x:row r="322">
      <x:c r="A322" s="20" t="str">
        <x:v>ROLE-319</x:v>
      </x:c>
      <x:c r="B322" s="23" t="n">
        <x:v>46724</x:v>
      </x:c>
      <x:c r="C322" s="20" t="str">
        <x:v>Applicant / public user</x:v>
      </x:c>
      <x:c r="D322" s="20" t="str">
        <x:v>Mobile</x:v>
      </x:c>
      <x:c r="E322" s="20" t="str">
        <x:v>SCR-184</x:v>
      </x:c>
      <x:c r="F322" s="35" t="str">
        <x:v>features/team/team_screen.dart</x:v>
      </x:c>
      <x:c r="G322" s="20" t="str">
        <x:v>Allowed</x:v>
      </x:c>
      <x:c r="H322" s="35" t="str">
        <x:v>Navigate from the persona shell; exercise every visible tab, filter, list action, detail action, empty/populated/error/loading state, and return path.</x:v>
      </x:c>
      <x:c r="I322" s="35" t="str">
        <x:v>Navigation entry; loaded state; action result; persisted read-back; audit/history; no data outside assigned relationship/property scope.</x:v>
      </x:c>
    </x:row>
    <x:row r="323">
      <x:c r="A323" s="20" t="str">
        <x:v>ROLE-320</x:v>
      </x:c>
      <x:c r="B323" s="23" t="n">
        <x:v>46727</x:v>
      </x:c>
      <x:c r="C323" s="20" t="str">
        <x:v>Maintenance Technician</x:v>
      </x:c>
      <x:c r="D323" s="20" t="str">
        <x:v>Mobile</x:v>
      </x:c>
      <x:c r="E323" s="20" t="str">
        <x:v>SCR-185</x:v>
      </x:c>
      <x:c r="F323" s="35" t="str">
        <x:v>features/technician/technician_assignment_detail_screen.dart</x:v>
      </x:c>
      <x:c r="G323" s="20" t="str">
        <x:v>Allowed</x:v>
      </x:c>
      <x:c r="H323" s="35" t="str">
        <x:v>Navigate from the persona shell; exercise every visible tab, filter, list action, detail action, empty/populated/error/loading state, and return path.</x:v>
      </x:c>
      <x:c r="I323" s="35" t="str">
        <x:v>Navigation entry; loaded state; action result; persisted read-back; audit/history; no data outside assigned relationship/property scope.</x:v>
      </x:c>
    </x:row>
    <x:row r="324">
      <x:c r="A324" s="20" t="str">
        <x:v>ROLE-321</x:v>
      </x:c>
      <x:c r="B324" s="23" t="n">
        <x:v>46729</x:v>
      </x:c>
      <x:c r="C324" s="20" t="str">
        <x:v>Maintenance Technician</x:v>
      </x:c>
      <x:c r="D324" s="20" t="str">
        <x:v>Mobile</x:v>
      </x:c>
      <x:c r="E324" s="20" t="str">
        <x:v>SCR-186</x:v>
      </x:c>
      <x:c r="F324" s="35" t="str">
        <x:v>features/technician/technician_assignment_picker_sheet.dart</x:v>
      </x:c>
      <x:c r="G324" s="20" t="str">
        <x:v>Allowed</x:v>
      </x:c>
      <x:c r="H324" s="35" t="str">
        <x:v>Navigate from the persona shell; exercise every visible tab, filter, list action, detail action, empty/populated/error/loading state, and return path.</x:v>
      </x:c>
      <x:c r="I324" s="35" t="str">
        <x:v>Navigation entry; loaded state; action result; persisted read-back; audit/history; no data outside assigned relationship/property scope.</x:v>
      </x:c>
    </x:row>
    <x:row r="325">
      <x:c r="A325" s="20" t="str">
        <x:v>ROLE-322</x:v>
      </x:c>
      <x:c r="B325" s="23" t="n">
        <x:v>46730</x:v>
      </x:c>
      <x:c r="C325" s="20" t="str">
        <x:v>Maintenance Technician</x:v>
      </x:c>
      <x:c r="D325" s="20" t="str">
        <x:v>Mobile</x:v>
      </x:c>
      <x:c r="E325" s="20" t="str">
        <x:v>SCR-187</x:v>
      </x:c>
      <x:c r="F325" s="35" t="str">
        <x:v>features/technician/technician_landing_screen.dart</x:v>
      </x:c>
      <x:c r="G325" s="20" t="str">
        <x:v>Allowed</x:v>
      </x:c>
      <x:c r="H325" s="35" t="str">
        <x:v>Navigate from the persona shell; exercise every visible tab, filter, list action, detail action, empty/populated/error/loading state, and return path.</x:v>
      </x:c>
      <x:c r="I325" s="35" t="str">
        <x:v>Navigation entry; loaded state; action result; persisted read-back; audit/history; no data outside assigned relationship/property scope.</x:v>
      </x:c>
    </x:row>
    <x:row r="326">
      <x:c r="A326" s="20" t="str">
        <x:v>ROLE-323</x:v>
      </x:c>
      <x:c r="B326" s="23" t="n">
        <x:v>46731</x:v>
      </x:c>
      <x:c r="C326" s="20" t="str">
        <x:v>Tenant</x:v>
      </x:c>
      <x:c r="D326" s="20" t="str">
        <x:v>Mobile</x:v>
      </x:c>
      <x:c r="E326" s="20" t="str">
        <x:v>SCR-188</x:v>
      </x:c>
      <x:c r="F326" s="35" t="str">
        <x:v>features/tenants/tenant_detail_screen.dart</x:v>
      </x:c>
      <x:c r="G326" s="20" t="str">
        <x:v>Allowed</x:v>
      </x:c>
      <x:c r="H326" s="35" t="str">
        <x:v>Navigate from the persona shell; exercise every visible tab, filter, list action, detail action, empty/populated/error/loading state, and return path.</x:v>
      </x:c>
      <x:c r="I326" s="35" t="str">
        <x:v>Navigation entry; loaded state; action result; persisted read-back; audit/history; no data outside assigned relationship/property scope.</x:v>
      </x:c>
    </x:row>
    <x:row r="327">
      <x:c r="A327" s="20" t="str">
        <x:v>ROLE-324</x:v>
      </x:c>
      <x:c r="B327" s="23" t="n">
        <x:v>46734</x:v>
      </x:c>
      <x:c r="C327" s="20" t="str">
        <x:v>Tenant</x:v>
      </x:c>
      <x:c r="D327" s="20" t="str">
        <x:v>Mobile</x:v>
      </x:c>
      <x:c r="E327" s="20" t="str">
        <x:v>SCR-189</x:v>
      </x:c>
      <x:c r="F327" s="35" t="str">
        <x:v>features/tenants/tenant_lease_screen.dart</x:v>
      </x:c>
      <x:c r="G327" s="20" t="str">
        <x:v>Allowed</x:v>
      </x:c>
      <x:c r="H327" s="35" t="str">
        <x:v>Navigate from the persona shell; exercise every visible tab, filter, list action, detail action, empty/populated/error/loading state, and return path.</x:v>
      </x:c>
      <x:c r="I327" s="35" t="str">
        <x:v>Navigation entry; loaded state; action result; persisted read-back; audit/history; no data outside assigned relationship/property scope.</x:v>
      </x:c>
    </x:row>
    <x:row r="328">
      <x:c r="A328" s="20" t="str">
        <x:v>ROLE-325</x:v>
      </x:c>
      <x:c r="B328" s="23" t="n">
        <x:v>46736</x:v>
      </x:c>
      <x:c r="C328" s="20" t="str">
        <x:v>Applicant / public user</x:v>
      </x:c>
      <x:c r="D328" s="20" t="str">
        <x:v>Mobile</x:v>
      </x:c>
      <x:c r="E328" s="20" t="str">
        <x:v>SCR-190</x:v>
      </x:c>
      <x:c r="F328" s="35" t="str">
        <x:v>features/tenants/tenants_list_screen.dart</x:v>
      </x:c>
      <x:c r="G328" s="20" t="str">
        <x:v>Allowed</x:v>
      </x:c>
      <x:c r="H328" s="35" t="str">
        <x:v>Navigate from the persona shell; exercise every visible tab, filter, list action, detail action, empty/populated/error/loading state, and return path.</x:v>
      </x:c>
      <x:c r="I328" s="35" t="str">
        <x:v>Navigation entry; loaded state; action result; persisted read-back; audit/history; no data outside assigned relationship/property scope.</x:v>
      </x:c>
    </x:row>
    <x:row r="329">
      <x:c r="A329" s="20" t="str">
        <x:v>ROLE-326</x:v>
      </x:c>
      <x:c r="B329" s="23" t="n">
        <x:v>46737</x:v>
      </x:c>
      <x:c r="C329" s="20" t="str">
        <x:v>Applicant / public user</x:v>
      </x:c>
      <x:c r="D329" s="20" t="str">
        <x:v>Mobile</x:v>
      </x:c>
      <x:c r="E329" s="20" t="str">
        <x:v>SCR-191</x:v>
      </x:c>
      <x:c r="F329" s="35" t="str">
        <x:v>features/units/unit_command_center_screen.dart</x:v>
      </x:c>
      <x:c r="G329" s="20" t="str">
        <x:v>Allowed</x:v>
      </x:c>
      <x:c r="H329" s="35" t="str">
        <x:v>Navigate from the persona shell; exercise every visible tab, filter, list action, detail action, empty/populated/error/loading state, and return path.</x:v>
      </x:c>
      <x:c r="I329" s="35" t="str">
        <x:v>Navigation entry; loaded state; action result; persisted read-back; audit/history; no data outside assigned relationship/property scope.</x:v>
      </x:c>
    </x:row>
    <x:row r="330">
      <x:c r="A330" s="20" t="str">
        <x:v>ROLE-327</x:v>
      </x:c>
      <x:c r="B330" s="23" t="n">
        <x:v>46738</x:v>
      </x:c>
      <x:c r="C330" s="20" t="str">
        <x:v>Applicant / public user</x:v>
      </x:c>
      <x:c r="D330" s="20" t="str">
        <x:v>Mobile</x:v>
      </x:c>
      <x:c r="E330" s="20" t="str">
        <x:v>SCR-192</x:v>
      </x:c>
      <x:c r="F330" s="35" t="str">
        <x:v>features/units/unit_form_sheet.dart</x:v>
      </x:c>
      <x:c r="G330" s="20" t="str">
        <x:v>Allowed</x:v>
      </x:c>
      <x:c r="H330" s="35" t="str">
        <x:v>Navigate from the persona shell; exercise every visible tab, filter, list action, detail action, empty/populated/error/loading state, and return path.</x:v>
      </x:c>
      <x:c r="I330" s="35" t="str">
        <x:v>Navigation entry; loaded state; action result; persisted read-back; audit/history; no data outside assigned relationship/property scope.</x:v>
      </x:c>
    </x:row>
    <x:row r="331">
      <x:c r="A331" s="20" t="str">
        <x:v>ROLE-328</x:v>
      </x:c>
      <x:c r="B331" s="23" t="n">
        <x:v>46741</x:v>
      </x:c>
      <x:c r="C331" s="20" t="str">
        <x:v>Applicant / public user</x:v>
      </x:c>
      <x:c r="D331" s="20" t="str">
        <x:v>Mobile</x:v>
      </x:c>
      <x:c r="E331" s="20" t="str">
        <x:v>SCR-193</x:v>
      </x:c>
      <x:c r="F331" s="35" t="str">
        <x:v>features/units/units_list_screen.dart</x:v>
      </x:c>
      <x:c r="G331" s="20" t="str">
        <x:v>Allowed</x:v>
      </x:c>
      <x:c r="H331" s="35" t="str">
        <x:v>Navigate from the persona shell; exercise every visible tab, filter, list action, detail action, empty/populated/error/loading state, and return path.</x:v>
      </x:c>
      <x:c r="I331" s="35" t="str">
        <x:v>Navigation entry; loaded state; action result; persisted read-back; audit/history; no data outside assigned relationship/property scope.</x:v>
      </x:c>
    </x:row>
    <x:row r="332">
      <x:c r="A332" s="20" t="str">
        <x:v>ROLE-329</x:v>
      </x:c>
      <x:c r="B332" s="23" t="n">
        <x:v>46743</x:v>
      </x:c>
      <x:c r="C332" s="20" t="str">
        <x:v>Applicant / public user</x:v>
      </x:c>
      <x:c r="D332" s="20" t="str">
        <x:v>Mobile</x:v>
      </x:c>
      <x:c r="E332" s="20" t="str">
        <x:v>SCR-194</x:v>
      </x:c>
      <x:c r="F332" s="35" t="str">
        <x:v>features/vendors/dispatch_vendor_sheet.dart</x:v>
      </x:c>
      <x:c r="G332" s="20" t="str">
        <x:v>Allowed</x:v>
      </x:c>
      <x:c r="H332" s="35" t="str">
        <x:v>Navigate from the persona shell; exercise every visible tab, filter, list action, detail action, empty/populated/error/loading state, and return path.</x:v>
      </x:c>
      <x:c r="I332" s="35" t="str">
        <x:v>Navigation entry; loaded state; action result; persisted read-back; audit/history; no data outside assigned relationship/property scope.</x:v>
      </x:c>
    </x:row>
    <x:row r="333">
      <x:c r="A333" s="20" t="str">
        <x:v>ROLE-330</x:v>
      </x:c>
      <x:c r="B333" s="23" t="n">
        <x:v>46744</x:v>
      </x:c>
      <x:c r="C333" s="20" t="str">
        <x:v>Applicant / public user</x:v>
      </x:c>
      <x:c r="D333" s="20" t="str">
        <x:v>Mobile</x:v>
      </x:c>
      <x:c r="E333" s="20" t="str">
        <x:v>SCR-195</x:v>
      </x:c>
      <x:c r="F333" s="35" t="str">
        <x:v>features/vendors/rate_vendor_sheet.dart</x:v>
      </x:c>
      <x:c r="G333" s="20" t="str">
        <x:v>Allowed</x:v>
      </x:c>
      <x:c r="H333" s="35" t="str">
        <x:v>Navigate from the persona shell; exercise every visible tab, filter, list action, detail action, empty/populated/error/loading state, and return path.</x:v>
      </x:c>
      <x:c r="I333" s="35" t="str">
        <x:v>Navigation entry; loaded state; action result; persisted read-back; audit/history; no data outside assigned relationship/property scope.</x:v>
      </x:c>
    </x:row>
    <x:row r="334">
      <x:c r="A334" s="20" t="str">
        <x:v>ROLE-331</x:v>
      </x:c>
      <x:c r="B334" s="23" t="n">
        <x:v>46745</x:v>
      </x:c>
      <x:c r="C334" s="20" t="str">
        <x:v>Applicant / public user</x:v>
      </x:c>
      <x:c r="D334" s="20" t="str">
        <x:v>Mobile</x:v>
      </x:c>
      <x:c r="E334" s="20" t="str">
        <x:v>SCR-196</x:v>
      </x:c>
      <x:c r="F334" s="35" t="str">
        <x:v>features/vendors/vendor_detail_screen.dart</x:v>
      </x:c>
      <x:c r="G334" s="20" t="str">
        <x:v>Allowed</x:v>
      </x:c>
      <x:c r="H334" s="35" t="str">
        <x:v>Navigate from the persona shell; exercise every visible tab, filter, list action, detail action, empty/populated/error/loading state, and return path.</x:v>
      </x:c>
      <x:c r="I334" s="35" t="str">
        <x:v>Navigation entry; loaded state; action result; persisted read-back; audit/history; no data outside assigned relationship/property scope.</x:v>
      </x:c>
    </x:row>
    <x:row r="335">
      <x:c r="A335" s="20" t="str">
        <x:v>ROLE-332</x:v>
      </x:c>
      <x:c r="B335" s="23" t="n">
        <x:v>46748</x:v>
      </x:c>
      <x:c r="C335" s="20" t="str">
        <x:v>Applicant / public user</x:v>
      </x:c>
      <x:c r="D335" s="20" t="str">
        <x:v>Mobile</x:v>
      </x:c>
      <x:c r="E335" s="20" t="str">
        <x:v>SCR-197</x:v>
      </x:c>
      <x:c r="F335" s="35" t="str">
        <x:v>features/vendors/vendor_form_sheet.dart</x:v>
      </x:c>
      <x:c r="G335" s="20" t="str">
        <x:v>Allowed</x:v>
      </x:c>
      <x:c r="H335" s="35" t="str">
        <x:v>Navigate from the persona shell; exercise every visible tab, filter, list action, detail action, empty/populated/error/loading state, and return path.</x:v>
      </x:c>
      <x:c r="I335" s="35" t="str">
        <x:v>Navigation entry; loaded state; action result; persisted read-back; audit/history; no data outside assigned relationship/property scope.</x:v>
      </x:c>
    </x:row>
    <x:row r="336">
      <x:c r="A336" s="20" t="str">
        <x:v>ROLE-333</x:v>
      </x:c>
      <x:c r="B336" s="23" t="n">
        <x:v>46750</x:v>
      </x:c>
      <x:c r="C336" s="20" t="str">
        <x:v>Applicant / public user</x:v>
      </x:c>
      <x:c r="D336" s="20" t="str">
        <x:v>Mobile</x:v>
      </x:c>
      <x:c r="E336" s="20" t="str">
        <x:v>SCR-198</x:v>
      </x:c>
      <x:c r="F336" s="35" t="str">
        <x:v>features/vendors/vendors_list_screen.dart</x:v>
      </x:c>
      <x:c r="G336" s="20" t="str">
        <x:v>Allowed</x:v>
      </x:c>
      <x:c r="H336" s="35" t="str">
        <x:v>Navigate from the persona shell; exercise every visible tab, filter, list action, detail action, empty/populated/error/loading state, and return path.</x:v>
      </x:c>
      <x:c r="I336" s="35" t="str">
        <x:v>Navigation entry; loaded state; action result; persisted read-back; audit/history; no data outside assigned relationship/property scope.</x:v>
      </x:c>
    </x:row>
    <x:row r="337">
      <x:c r="A337" s="21" t="str">
        <x:v>ROLE-334</x:v>
      </x:c>
      <x:c r="B337" s="24" t="n">
        <x:v>46751</x:v>
      </x:c>
      <x:c r="C337" s="21" t="str">
        <x:v>Applicant / public user</x:v>
      </x:c>
      <x:c r="D337" s="21" t="str">
        <x:v>Mobile</x:v>
      </x:c>
      <x:c r="E337" s="21" t="str">
        <x:v>SCR-199</x:v>
      </x:c>
      <x:c r="F337" s="36" t="str">
        <x:v>features/voice/tell_me_screen.dart</x:v>
      </x:c>
      <x:c r="G337" s="21" t="str">
        <x:v>Allowed</x:v>
      </x:c>
      <x:c r="H337" s="36" t="str">
        <x:v>Navigate from the persona shell; exercise every visible tab, filter, list action, detail action, empty/populated/error/loading state, and return path.</x:v>
      </x:c>
      <x:c r="I337" s="36" t="str">
        <x:v>Navigation entry; loaded state; action result; persisted read-back; audit/history; no data outside assigned relationship/property scope.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bfc1736262344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  <x:col min="5" max="5" width="70" hidden="0" customWidth="1"/>
    <x:col min="6" max="6" width="16" hidden="0" customWidth="1"/>
    <x:col min="7" max="7" width="28" hidden="0" customWidth="1"/>
    <x:col min="8" max="8" width="40" hidden="0" customWidth="1"/>
    <x:col min="9" max="9" width="70" hidden="0" customWidth="1"/>
    <x:col min="10" max="10" width="62" hidden="0" customWidth="1"/>
  </x:cols>
  <x:sheetData>
    <x:row r="1" ht="34" customHeight="1">
      <x:c r="A1" s="3" t="str">
        <x:v>Full Create, Edit, and Delete-Safe Lifecycles</x:v>
      </x:c>
      <x:c r="B1" s="3" t="str">
        <x:v>Full Create, Edit, and Delete-Safe Lifecycles</x:v>
      </x:c>
      <x:c r="C1" s="3" t="str">
        <x:v>Full Create, Edit, and Delete-Safe Lifecycles</x:v>
      </x:c>
      <x:c r="D1" s="3" t="str">
        <x:v>Full Create, Edit, and Delete-Safe Lifecycles</x:v>
      </x:c>
      <x:c r="E1" s="3" t="str">
        <x:v>Full Create, Edit, and Delete-Safe Lifecycles</x:v>
      </x:c>
      <x:c r="F1" s="3" t="str">
        <x:v>Full Create, Edit, and Delete-Safe Lifecycles</x:v>
      </x:c>
      <x:c r="G1" s="3" t="str">
        <x:v>Full Create, Edit, and Delete-Safe Lifecycles</x:v>
      </x:c>
      <x:c r="H1" s="3" t="str">
        <x:v>Full Create, Edit, and Delete-Safe Lifecycles</x:v>
      </x:c>
      <x:c r="I1" s="3" t="str">
        <x:v>Full Create, Edit, and Delete-Safe Lifecycles</x:v>
      </x:c>
      <x:c r="J1" s="3" t="str">
        <x:v>Full Create, Edit, and Delete-Safe Lifecycles</x:v>
      </x:c>
    </x:row>
    <x:row r="3" ht="30" customHeight="1">
      <x:c r="A3" s="12" t="str">
        <x:v>Lifecycle ID</x:v>
      </x:c>
      <x:c r="B3" s="13" t="str">
        <x:v>Planned Date</x:v>
      </x:c>
      <x:c r="C3" s="13" t="str">
        <x:v>Entity</x:v>
      </x:c>
      <x:c r="D3" s="13" t="str">
        <x:v>Role</x:v>
      </x:c>
      <x:c r="E3" s="13" t="str">
        <x:v>Lifecycle</x:v>
      </x:c>
      <x:c r="F3" s="13" t="str">
        <x:v>Web Proof</x:v>
      </x:c>
      <x:c r="G3" s="13" t="str">
        <x:v>Mobile Proof</x:v>
      </x:c>
      <x:c r="H3" s="13" t="str">
        <x:v>Scan / Attachment</x:v>
      </x:c>
      <x:c r="I3" s="13" t="str">
        <x:v>Delete Policy</x:v>
      </x:c>
      <x:c r="J3" s="14" t="str">
        <x:v>Acceptance</x:v>
      </x:c>
    </x:row>
    <x:row r="4">
      <x:c r="A4" s="19" t="str">
        <x:v>CRUD-001</x:v>
      </x:c>
      <x:c r="B4" s="22" t="n">
        <x:v>46412</x:v>
      </x:c>
      <x:c r="C4" s="19" t="str">
        <x:v>Property</x:v>
      </x:c>
      <x:c r="D4" s="19" t="str">
        <x:v>Workspace Administrator</x:v>
      </x:c>
      <x:c r="E4" s="34" t="str">
        <x:v>create; read; edit every field; attach; deactivate/delete-safe; restore or prove irreversible guard</x:v>
      </x:c>
      <x:c r="F4" s="19" t="str">
        <x:v>Required</x:v>
      </x:c>
      <x:c r="G4" s="34" t="str">
        <x:v>Required or verified product gap</x:v>
      </x:c>
      <x:c r="H4" s="34" t="str">
        <x:v>Required when a source document, image, audio, or import exists</x:v>
      </x:c>
      <x:c r="I4" s="34" t="str">
        <x:v>Use a disposable synthetic record; confirm/cancel first, then confirm. Financial/audit/history rows use reversal/void/archive, never destructive deletion.</x:v>
      </x:c>
      <x:c r="J4" s="34" t="str">
        <x:v>Each transition persists after reload, appears cross-client, emits audit/history and correct notifications, respects authorization, and stays atomic.</x:v>
      </x:c>
    </x:row>
    <x:row r="5">
      <x:c r="A5" s="20" t="str">
        <x:v>CRUD-002</x:v>
      </x:c>
      <x:c r="B5" s="23" t="n">
        <x:v>46421</x:v>
      </x:c>
      <x:c r="C5" s="20" t="str">
        <x:v>Unit</x:v>
      </x:c>
      <x:c r="D5" s="20" t="str">
        <x:v>Property Manager</x:v>
      </x:c>
      <x:c r="E5" s="35" t="str">
        <x:v>create; read; edit every field; duplicate-label rejection; archive/delete-safe</x:v>
      </x:c>
      <x:c r="F5" s="20" t="str">
        <x:v>Required</x:v>
      </x:c>
      <x:c r="G5" s="35" t="str">
        <x:v>Required or verified product gap</x:v>
      </x:c>
      <x:c r="H5" s="35" t="str">
        <x:v>Required when a source document, image, audio, or import exists</x:v>
      </x:c>
      <x:c r="I5" s="35" t="str">
        <x:v>Use a disposable synthetic record; confirm/cancel first, then confirm. Financial/audit/history rows use reversal/void/archive, never destructive deletion.</x:v>
      </x:c>
      <x:c r="J5" s="35" t="str">
        <x:v>Each transition persists after reload, appears cross-client, emits audit/history and correct notifications, respects authorization, and stays atomic.</x:v>
      </x:c>
    </x:row>
    <x:row r="6">
      <x:c r="A6" s="20" t="str">
        <x:v>CRUD-003</x:v>
      </x:c>
      <x:c r="B6" s="23" t="n">
        <x:v>46430</x:v>
      </x:c>
      <x:c r="C6" s="20" t="str">
        <x:v>Owner</x:v>
      </x:c>
      <x:c r="D6" s="20" t="str">
        <x:v>Workspace Administrator</x:v>
      </x:c>
      <x:c r="E6" s="35" t="str">
        <x:v>create; edit; assign properties; portal invite; revoke; deactivate-safe</x:v>
      </x:c>
      <x:c r="F6" s="20" t="str">
        <x:v>Required</x:v>
      </x:c>
      <x:c r="G6" s="35" t="str">
        <x:v>Required or verified product gap</x:v>
      </x:c>
      <x:c r="H6" s="35" t="str">
        <x:v>Required when a source document, image, audio, or import exists</x:v>
      </x:c>
      <x:c r="I6" s="35" t="str">
        <x:v>Use a disposable synthetic record; confirm/cancel first, then confirm. Financial/audit/history rows use reversal/void/archive, never destructive deletion.</x:v>
      </x:c>
      <x:c r="J6" s="35" t="str">
        <x:v>Each transition persists after reload, appears cross-client, emits audit/history and correct notifications, respects authorization, and stays atomic.</x:v>
      </x:c>
    </x:row>
    <x:row r="7">
      <x:c r="A7" s="20" t="str">
        <x:v>CRUD-004</x:v>
      </x:c>
      <x:c r="B7" s="23" t="n">
        <x:v>46441</x:v>
      </x:c>
      <x:c r="C7" s="20" t="str">
        <x:v>Tenant</x:v>
      </x:c>
      <x:c r="D7" s="20" t="str">
        <x:v>Property Manager</x:v>
      </x:c>
      <x:c r="E7" s="35" t="str">
        <x:v>create; edit; household roles; invite; revoke; re-invite; historical retention</x:v>
      </x:c>
      <x:c r="F7" s="20" t="str">
        <x:v>Required</x:v>
      </x:c>
      <x:c r="G7" s="35" t="str">
        <x:v>Required or verified product gap</x:v>
      </x:c>
      <x:c r="H7" s="35" t="str">
        <x:v>Required when a source document, image, audio, or import exists</x:v>
      </x:c>
      <x:c r="I7" s="35" t="str">
        <x:v>Use a disposable synthetic record; confirm/cancel first, then confirm. Financial/audit/history rows use reversal/void/archive, never destructive deletion.</x:v>
      </x:c>
      <x:c r="J7" s="35" t="str">
        <x:v>Each transition persists after reload, appears cross-client, emits audit/history and correct notifications, respects authorization, and stays atomic.</x:v>
      </x:c>
    </x:row>
    <x:row r="8">
      <x:c r="A8" s="20" t="str">
        <x:v>CRUD-005</x:v>
      </x:c>
      <x:c r="B8" s="23" t="n">
        <x:v>46451</x:v>
      </x:c>
      <x:c r="C8" s="20" t="str">
        <x:v>Vendor</x:v>
      </x:c>
      <x:c r="D8" s="20" t="str">
        <x:v>Property Manager</x:v>
      </x:c>
      <x:c r="E8" s="35" t="str">
        <x:v>create; edit; W-9 request; dispatch; rate; deactivate-safe</x:v>
      </x:c>
      <x:c r="F8" s="20" t="str">
        <x:v>Required</x:v>
      </x:c>
      <x:c r="G8" s="35" t="str">
        <x:v>Required or verified product gap</x:v>
      </x:c>
      <x:c r="H8" s="35" t="str">
        <x:v>Required when a source document, image, audio, or import exists</x:v>
      </x:c>
      <x:c r="I8" s="35" t="str">
        <x:v>Use a disposable synthetic record; confirm/cancel first, then confirm. Financial/audit/history rows use reversal/void/archive, never destructive deletion.</x:v>
      </x:c>
      <x:c r="J8" s="35" t="str">
        <x:v>Each transition persists after reload, appears cross-client, emits audit/history and correct notifications, respects authorization, and stays atomic.</x:v>
      </x:c>
    </x:row>
    <x:row r="9">
      <x:c r="A9" s="20" t="str">
        <x:v>CRUD-006</x:v>
      </x:c>
      <x:c r="B9" s="23" t="n">
        <x:v>46462</x:v>
      </x:c>
      <x:c r="C9" s="20" t="str">
        <x:v>Portfolio</x:v>
      </x:c>
      <x:c r="D9" s="20" t="str">
        <x:v>Workspace Administrator</x:v>
      </x:c>
      <x:c r="E9" s="35" t="str">
        <x:v>create; edit; assign; switch; scope-denial; archive-safe</x:v>
      </x:c>
      <x:c r="F9" s="20" t="str">
        <x:v>Required</x:v>
      </x:c>
      <x:c r="G9" s="35" t="str">
        <x:v>Required or verified product gap</x:v>
      </x:c>
      <x:c r="H9" s="35" t="str">
        <x:v>Required when a source document, image, audio, or import exists</x:v>
      </x:c>
      <x:c r="I9" s="35" t="str">
        <x:v>Use a disposable synthetic record; confirm/cancel first, then confirm. Financial/audit/history rows use reversal/void/archive, never destructive deletion.</x:v>
      </x:c>
      <x:c r="J9" s="35" t="str">
        <x:v>Each transition persists after reload, appears cross-client, emits audit/history and correct notifications, respects authorization, and stays atomic.</x:v>
      </x:c>
    </x:row>
    <x:row r="10">
      <x:c r="A10" s="20" t="str">
        <x:v>CRUD-007</x:v>
      </x:c>
      <x:c r="B10" s="23" t="n">
        <x:v>46471</x:v>
      </x:c>
      <x:c r="C10" s="20" t="str">
        <x:v>Application</x:v>
      </x:c>
      <x:c r="D10" s="20" t="str">
        <x:v>Leasing Agent</x:v>
      </x:c>
      <x:c r="E10" s="35" t="str">
        <x:v>public submit; scan; edit; status changes; withdraw/reject; duplicate protection</x:v>
      </x:c>
      <x:c r="F10" s="20" t="str">
        <x:v>Required</x:v>
      </x:c>
      <x:c r="G10" s="35" t="str">
        <x:v>Required or verified product gap</x:v>
      </x:c>
      <x:c r="H10" s="35" t="str">
        <x:v>Required when a source document, image, audio, or import exists</x:v>
      </x:c>
      <x:c r="I10" s="35" t="str">
        <x:v>Use a disposable synthetic record; confirm/cancel first, then confirm. Financial/audit/history rows use reversal/void/archive, never destructive deletion.</x:v>
      </x:c>
      <x:c r="J10" s="35" t="str">
        <x:v>Each transition persists after reload, appears cross-client, emits audit/history and correct notifications, respects authorization, and stays atomic.</x:v>
      </x:c>
    </x:row>
    <x:row r="11">
      <x:c r="A11" s="20" t="str">
        <x:v>CRUD-008</x:v>
      </x:c>
      <x:c r="B11" s="23" t="n">
        <x:v>46482</x:v>
      </x:c>
      <x:c r="C11" s="20" t="str">
        <x:v>Rental listing</x:v>
      </x:c>
      <x:c r="D11" s="20" t="str">
        <x:v>Leasing Agent</x:v>
      </x:c>
      <x:c r="E11" s="35" t="str">
        <x:v>create; edit; publish packet; unpublish; occupied-unit guard</x:v>
      </x:c>
      <x:c r="F11" s="20" t="str">
        <x:v>Required</x:v>
      </x:c>
      <x:c r="G11" s="35" t="str">
        <x:v>Required or verified product gap</x:v>
      </x:c>
      <x:c r="H11" s="35" t="str">
        <x:v>Required when a source document, image, audio, or import exists</x:v>
      </x:c>
      <x:c r="I11" s="35" t="str">
        <x:v>Use a disposable synthetic record; confirm/cancel first, then confirm. Financial/audit/history rows use reversal/void/archive, never destructive deletion.</x:v>
      </x:c>
      <x:c r="J11" s="35" t="str">
        <x:v>Each transition persists after reload, appears cross-client, emits audit/history and correct notifications, respects authorization, and stays atomic.</x:v>
      </x:c>
    </x:row>
    <x:row r="12">
      <x:c r="A12" s="20" t="str">
        <x:v>CRUD-009</x:v>
      </x:c>
      <x:c r="B12" s="23" t="n">
        <x:v>46491</x:v>
      </x:c>
      <x:c r="C12" s="20" t="str">
        <x:v>Lease template</x:v>
      </x:c>
      <x:c r="D12" s="20" t="str">
        <x:v>Workspace Administrator</x:v>
      </x:c>
      <x:c r="E12" s="35" t="str">
        <x:v>upload; map every field; preview; default; supersede; version retention</x:v>
      </x:c>
      <x:c r="F12" s="20" t="str">
        <x:v>Required</x:v>
      </x:c>
      <x:c r="G12" s="35" t="str">
        <x:v>Required or verified product gap</x:v>
      </x:c>
      <x:c r="H12" s="35" t="str">
        <x:v>Required when a source document, image, audio, or import exists</x:v>
      </x:c>
      <x:c r="I12" s="35" t="str">
        <x:v>Use a disposable synthetic record; confirm/cancel first, then confirm. Financial/audit/history rows use reversal/void/archive, never destructive deletion.</x:v>
      </x:c>
      <x:c r="J12" s="35" t="str">
        <x:v>Each transition persists after reload, appears cross-client, emits audit/history and correct notifications, respects authorization, and stays atomic.</x:v>
      </x:c>
    </x:row>
    <x:row r="13">
      <x:c r="A13" s="20" t="str">
        <x:v>CRUD-010</x:v>
      </x:c>
      <x:c r="B13" s="23" t="n">
        <x:v>46500</x:v>
      </x:c>
      <x:c r="C13" s="20" t="str">
        <x:v>Lease relationship</x:v>
      </x:c>
      <x:c r="D13" s="20" t="str">
        <x:v>Leasing Agent</x:v>
      </x:c>
      <x:c r="E13" s="35" t="str">
        <x:v>prepare; edit; party roles; issue; sign; renew; transfer; end; cancel planned</x:v>
      </x:c>
      <x:c r="F13" s="20" t="str">
        <x:v>Required</x:v>
      </x:c>
      <x:c r="G13" s="35" t="str">
        <x:v>Required or verified product gap</x:v>
      </x:c>
      <x:c r="H13" s="35" t="str">
        <x:v>Required when a source document, image, audio, or import exists</x:v>
      </x:c>
      <x:c r="I13" s="35" t="str">
        <x:v>Use a disposable synthetic record; confirm/cancel first, then confirm. Financial/audit/history rows use reversal/void/archive, never destructive deletion.</x:v>
      </x:c>
      <x:c r="J13" s="35" t="str">
        <x:v>Each transition persists after reload, appears cross-client, emits audit/history and correct notifications, respects authorization, and stays atomic.</x:v>
      </x:c>
    </x:row>
    <x:row r="14">
      <x:c r="A14" s="20" t="str">
        <x:v>CRUD-011</x:v>
      </x:c>
      <x:c r="B14" s="23" t="n">
        <x:v>46511</x:v>
      </x:c>
      <x:c r="C14" s="20" t="str">
        <x:v>Agreement</x:v>
      </x:c>
      <x:c r="D14" s="20" t="str">
        <x:v>Leasing Agent</x:v>
      </x:c>
      <x:c r="E14" s="35" t="str">
        <x:v>draft; edit; issue; view; sign; finalize; void; replace; immutable history</x:v>
      </x:c>
      <x:c r="F14" s="20" t="str">
        <x:v>Required</x:v>
      </x:c>
      <x:c r="G14" s="35" t="str">
        <x:v>Required or verified product gap</x:v>
      </x:c>
      <x:c r="H14" s="35" t="str">
        <x:v>Required when a source document, image, audio, or import exists</x:v>
      </x:c>
      <x:c r="I14" s="35" t="str">
        <x:v>Use a disposable synthetic record; confirm/cancel first, then confirm. Financial/audit/history rows use reversal/void/archive, never destructive deletion.</x:v>
      </x:c>
      <x:c r="J14" s="35" t="str">
        <x:v>Each transition persists after reload, appears cross-client, emits audit/history and correct notifications, respects authorization, and stays atomic.</x:v>
      </x:c>
    </x:row>
    <x:row r="15">
      <x:c r="A15" s="20" t="str">
        <x:v>CRUD-012</x:v>
      </x:c>
      <x:c r="B15" s="23" t="n">
        <x:v>46521</x:v>
      </x:c>
      <x:c r="C15" s="20" t="str">
        <x:v>Addendum</x:v>
      </x:c>
      <x:c r="D15" s="20" t="str">
        <x:v>Leasing Agent</x:v>
      </x:c>
      <x:c r="E15" s="35" t="str">
        <x:v>create; edit; issue; sign; financial effect; supersede</x:v>
      </x:c>
      <x:c r="F15" s="20" t="str">
        <x:v>Required</x:v>
      </x:c>
      <x:c r="G15" s="35" t="str">
        <x:v>Required or verified product gap</x:v>
      </x:c>
      <x:c r="H15" s="35" t="str">
        <x:v>Required when a source document, image, audio, or import exists</x:v>
      </x:c>
      <x:c r="I15" s="35" t="str">
        <x:v>Use a disposable synthetic record; confirm/cancel first, then confirm. Financial/audit/history rows use reversal/void/archive, never destructive deletion.</x:v>
      </x:c>
      <x:c r="J15" s="35" t="str">
        <x:v>Each transition persists after reload, appears cross-client, emits audit/history and correct notifications, respects authorization, and stays atomic.</x:v>
      </x:c>
    </x:row>
    <x:row r="16">
      <x:c r="A16" s="20" t="str">
        <x:v>CRUD-013</x:v>
      </x:c>
      <x:c r="B16" s="23" t="n">
        <x:v>46532</x:v>
      </x:c>
      <x:c r="C16" s="20" t="str">
        <x:v>Tenant charge</x:v>
      </x:c>
      <x:c r="D16" s="20" t="str">
        <x:v>Property Manager</x:v>
      </x:c>
      <x:c r="E16" s="35" t="str">
        <x:v>create; read; correction/reversal; allocation; no posted-row delete</x:v>
      </x:c>
      <x:c r="F16" s="20" t="str">
        <x:v>Required</x:v>
      </x:c>
      <x:c r="G16" s="35" t="str">
        <x:v>Required or verified product gap</x:v>
      </x:c>
      <x:c r="H16" s="35" t="str">
        <x:v>Required when a source document, image, audio, or import exists</x:v>
      </x:c>
      <x:c r="I16" s="35" t="str">
        <x:v>Use a disposable synthetic record; confirm/cancel first, then confirm. Financial/audit/history rows use reversal/void/archive, never destructive deletion.</x:v>
      </x:c>
      <x:c r="J16" s="35" t="str">
        <x:v>Each transition persists after reload, appears cross-client, emits audit/history and correct notifications, respects authorization, and stays atomic.</x:v>
      </x:c>
    </x:row>
    <x:row r="17">
      <x:c r="A17" s="20" t="str">
        <x:v>CRUD-014</x:v>
      </x:c>
      <x:c r="B17" s="23" t="n">
        <x:v>46541</x:v>
      </x:c>
      <x:c r="C17" s="20" t="str">
        <x:v>Payment</x:v>
      </x:c>
      <x:c r="D17" s="20" t="str">
        <x:v>Property Manager</x:v>
      </x:c>
      <x:c r="E17" s="35" t="str">
        <x:v>scan/manual create; allocate; reverse; refund; receipt; duplicate protection</x:v>
      </x:c>
      <x:c r="F17" s="20" t="str">
        <x:v>Required</x:v>
      </x:c>
      <x:c r="G17" s="35" t="str">
        <x:v>Required or verified product gap</x:v>
      </x:c>
      <x:c r="H17" s="35" t="str">
        <x:v>Required when a source document, image, audio, or import exists</x:v>
      </x:c>
      <x:c r="I17" s="35" t="str">
        <x:v>Use a disposable synthetic record; confirm/cancel first, then confirm. Financial/audit/history rows use reversal/void/archive, never destructive deletion.</x:v>
      </x:c>
      <x:c r="J17" s="35" t="str">
        <x:v>Each transition persists after reload, appears cross-client, emits audit/history and correct notifications, respects authorization, and stays atomic.</x:v>
      </x:c>
    </x:row>
    <x:row r="18">
      <x:c r="A18" s="20" t="str">
        <x:v>CRUD-015</x:v>
      </x:c>
      <x:c r="B18" s="23" t="n">
        <x:v>46552</x:v>
      </x:c>
      <x:c r="C18" s="20" t="str">
        <x:v>Expense</x:v>
      </x:c>
      <x:c r="D18" s="20" t="str">
        <x:v>Property Manager</x:v>
      </x:c>
      <x:c r="E18" s="35" t="str">
        <x:v>scan/manual create; edit draft; attach; categorize; void/delete-safe; duplicate invoice</x:v>
      </x:c>
      <x:c r="F18" s="20" t="str">
        <x:v>Required</x:v>
      </x:c>
      <x:c r="G18" s="35" t="str">
        <x:v>Required or verified product gap</x:v>
      </x:c>
      <x:c r="H18" s="35" t="str">
        <x:v>Required when a source document, image, audio, or import exists</x:v>
      </x:c>
      <x:c r="I18" s="35" t="str">
        <x:v>Use a disposable synthetic record; confirm/cancel first, then confirm. Financial/audit/history rows use reversal/void/archive, never destructive deletion.</x:v>
      </x:c>
      <x:c r="J18" s="35" t="str">
        <x:v>Each transition persists after reload, appears cross-client, emits audit/history and correct notifications, respects authorization, and stays atomic.</x:v>
      </x:c>
    </x:row>
    <x:row r="19">
      <x:c r="A19" s="20" t="str">
        <x:v>CRUD-016</x:v>
      </x:c>
      <x:c r="B19" s="23" t="n">
        <x:v>46561</x:v>
      </x:c>
      <x:c r="C19" s="20" t="str">
        <x:v>Security deposit</x:v>
      </x:c>
      <x:c r="D19" s="20" t="str">
        <x:v>Property Manager</x:v>
      </x:c>
      <x:c r="E19" s="35" t="str">
        <x:v>collect; hold; transfer; apply; refund; reconcile; immutable ledger</x:v>
      </x:c>
      <x:c r="F19" s="20" t="str">
        <x:v>Required</x:v>
      </x:c>
      <x:c r="G19" s="35" t="str">
        <x:v>Required or verified product gap</x:v>
      </x:c>
      <x:c r="H19" s="35" t="str">
        <x:v>Required when a source document, image, audio, or import exists</x:v>
      </x:c>
      <x:c r="I19" s="35" t="str">
        <x:v>Use a disposable synthetic record; confirm/cancel first, then confirm. Financial/audit/history rows use reversal/void/archive, never destructive deletion.</x:v>
      </x:c>
      <x:c r="J19" s="35" t="str">
        <x:v>Each transition persists after reload, appears cross-client, emits audit/history and correct notifications, respects authorization, and stays atomic.</x:v>
      </x:c>
    </x:row>
    <x:row r="20">
      <x:c r="A20" s="20" t="str">
        <x:v>CRUD-017</x:v>
      </x:c>
      <x:c r="B20" s="23" t="n">
        <x:v>46570</x:v>
      </x:c>
      <x:c r="C20" s="20" t="str">
        <x:v>Bank transaction</x:v>
      </x:c>
      <x:c r="D20" s="20" t="str">
        <x:v>Property Manager</x:v>
      </x:c>
      <x:c r="E20" s="35" t="str">
        <x:v>import; edit allowed metadata; match; unmatch; park; ignore; duplicate import</x:v>
      </x:c>
      <x:c r="F20" s="20" t="str">
        <x:v>Required</x:v>
      </x:c>
      <x:c r="G20" s="35" t="str">
        <x:v>Required or verified product gap</x:v>
      </x:c>
      <x:c r="H20" s="35" t="str">
        <x:v>Required when a source document, image, audio, or import exists</x:v>
      </x:c>
      <x:c r="I20" s="35" t="str">
        <x:v>Use a disposable synthetic record; confirm/cancel first, then confirm. Financial/audit/history rows use reversal/void/archive, never destructive deletion.</x:v>
      </x:c>
      <x:c r="J20" s="35" t="str">
        <x:v>Each transition persists after reload, appears cross-client, emits audit/history and correct notifications, respects authorization, and stays atomic.</x:v>
      </x:c>
    </x:row>
    <x:row r="21">
      <x:c r="A21" s="20" t="str">
        <x:v>CRUD-018</x:v>
      </x:c>
      <x:c r="B21" s="23" t="n">
        <x:v>46582</x:v>
      </x:c>
      <x:c r="C21" s="20" t="str">
        <x:v>Recurring expense</x:v>
      </x:c>
      <x:c r="D21" s="20" t="str">
        <x:v>Property Manager</x:v>
      </x:c>
      <x:c r="E21" s="35" t="str">
        <x:v>create; edit; generate; pause; resume; retire; idempotent clock advance</x:v>
      </x:c>
      <x:c r="F21" s="20" t="str">
        <x:v>Required</x:v>
      </x:c>
      <x:c r="G21" s="35" t="str">
        <x:v>Required or verified product gap</x:v>
      </x:c>
      <x:c r="H21" s="35" t="str">
        <x:v>Required when a source document, image, audio, or import exists</x:v>
      </x:c>
      <x:c r="I21" s="35" t="str">
        <x:v>Use a disposable synthetic record; confirm/cancel first, then confirm. Financial/audit/history rows use reversal/void/archive, never destructive deletion.</x:v>
      </x:c>
      <x:c r="J21" s="35" t="str">
        <x:v>Each transition persists after reload, appears cross-client, emits audit/history and correct notifications, respects authorization, and stays atomic.</x:v>
      </x:c>
    </x:row>
    <x:row r="22">
      <x:c r="A22" s="20" t="str">
        <x:v>CRUD-019</x:v>
      </x:c>
      <x:c r="B22" s="23" t="n">
        <x:v>46591</x:v>
      </x:c>
      <x:c r="C22" s="20" t="str">
        <x:v>Loan</x:v>
      </x:c>
      <x:c r="D22" s="20" t="str">
        <x:v>Workspace Administrator</x:v>
      </x:c>
      <x:c r="E22" s="35" t="str">
        <x:v>create; edit; statement attach; amortize; payoff; delete guard</x:v>
      </x:c>
      <x:c r="F22" s="20" t="str">
        <x:v>Required</x:v>
      </x:c>
      <x:c r="G22" s="35" t="str">
        <x:v>Required or verified product gap</x:v>
      </x:c>
      <x:c r="H22" s="35" t="str">
        <x:v>Required when a source document, image, audio, or import exists</x:v>
      </x:c>
      <x:c r="I22" s="35" t="str">
        <x:v>Use a disposable synthetic record; confirm/cancel first, then confirm. Financial/audit/history rows use reversal/void/archive, never destructive deletion.</x:v>
      </x:c>
      <x:c r="J22" s="35" t="str">
        <x:v>Each transition persists after reload, appears cross-client, emits audit/history and correct notifications, respects authorization, and stays atomic.</x:v>
      </x:c>
    </x:row>
    <x:row r="23">
      <x:c r="A23" s="20" t="str">
        <x:v>CRUD-020</x:v>
      </x:c>
      <x:c r="B23" s="23" t="n">
        <x:v>46602</x:v>
      </x:c>
      <x:c r="C23" s="20" t="str">
        <x:v>Capital asset</x:v>
      </x:c>
      <x:c r="D23" s="20" t="str">
        <x:v>Workspace Administrator</x:v>
      </x:c>
      <x:c r="E23" s="35" t="str">
        <x:v>create; edit; depreciate; dispose; prevent double expense</x:v>
      </x:c>
      <x:c r="F23" s="20" t="str">
        <x:v>Required</x:v>
      </x:c>
      <x:c r="G23" s="35" t="str">
        <x:v>Required or verified product gap</x:v>
      </x:c>
      <x:c r="H23" s="35" t="str">
        <x:v>Required when a source document, image, audio, or import exists</x:v>
      </x:c>
      <x:c r="I23" s="35" t="str">
        <x:v>Use a disposable synthetic record; confirm/cancel first, then confirm. Financial/audit/history rows use reversal/void/archive, never destructive deletion.</x:v>
      </x:c>
      <x:c r="J23" s="35" t="str">
        <x:v>Each transition persists after reload, appears cross-client, emits audit/history and correct notifications, respects authorization, and stays atomic.</x:v>
      </x:c>
    </x:row>
    <x:row r="24">
      <x:c r="A24" s="20" t="str">
        <x:v>CRUD-021</x:v>
      </x:c>
      <x:c r="B24" s="23" t="n">
        <x:v>46611</x:v>
      </x:c>
      <x:c r="C24" s="20" t="str">
        <x:v>Owner statement</x:v>
      </x:c>
      <x:c r="D24" s="20" t="str">
        <x:v>Property Manager</x:v>
      </x:c>
      <x:c r="E24" s="35" t="str">
        <x:v>generate; review; owner approve/reject; distribute; regenerate/version</x:v>
      </x:c>
      <x:c r="F24" s="20" t="str">
        <x:v>Required</x:v>
      </x:c>
      <x:c r="G24" s="35" t="str">
        <x:v>Required or verified product gap</x:v>
      </x:c>
      <x:c r="H24" s="35" t="str">
        <x:v>Required when a source document, image, audio, or import exists</x:v>
      </x:c>
      <x:c r="I24" s="35" t="str">
        <x:v>Use a disposable synthetic record; confirm/cancel first, then confirm. Financial/audit/history rows use reversal/void/archive, never destructive deletion.</x:v>
      </x:c>
      <x:c r="J24" s="35" t="str">
        <x:v>Each transition persists after reload, appears cross-client, emits audit/history and correct notifications, respects authorization, and stays atomic.</x:v>
      </x:c>
    </x:row>
    <x:row r="25">
      <x:c r="A25" s="20" t="str">
        <x:v>CRUD-022</x:v>
      </x:c>
      <x:c r="B25" s="23" t="n">
        <x:v>46622</x:v>
      </x:c>
      <x:c r="C25" s="20" t="str">
        <x:v>Work order</x:v>
      </x:c>
      <x:c r="D25" s="20" t="str">
        <x:v>Property Manager</x:v>
      </x:c>
      <x:c r="E25" s="35" t="str">
        <x:v>scan/manual create; edit; triage; assign; accept/decline; start; complete; reopen/cancel</x:v>
      </x:c>
      <x:c r="F25" s="20" t="str">
        <x:v>Required</x:v>
      </x:c>
      <x:c r="G25" s="35" t="str">
        <x:v>Required or verified product gap</x:v>
      </x:c>
      <x:c r="H25" s="35" t="str">
        <x:v>Required when a source document, image, audio, or import exists</x:v>
      </x:c>
      <x:c r="I25" s="35" t="str">
        <x:v>Use a disposable synthetic record; confirm/cancel first, then confirm. Financial/audit/history rows use reversal/void/archive, never destructive deletion.</x:v>
      </x:c>
      <x:c r="J25" s="35" t="str">
        <x:v>Each transition persists after reload, appears cross-client, emits audit/history and correct notifications, respects authorization, and stays atomic.</x:v>
      </x:c>
    </x:row>
    <x:row r="26">
      <x:c r="A26" s="20" t="str">
        <x:v>CRUD-023</x:v>
      </x:c>
      <x:c r="B26" s="23" t="n">
        <x:v>46631</x:v>
      </x:c>
      <x:c r="C26" s="20" t="str">
        <x:v>Technician assignment</x:v>
      </x:c>
      <x:c r="D26" s="20" t="str">
        <x:v>Maintenance Technician</x:v>
      </x:c>
      <x:c r="E26" s="35" t="str">
        <x:v>accept; labor start/stop; material/receipt; note/photo; complete</x:v>
      </x:c>
      <x:c r="F26" s="20" t="str">
        <x:v>Required</x:v>
      </x:c>
      <x:c r="G26" s="35" t="str">
        <x:v>Required or verified product gap</x:v>
      </x:c>
      <x:c r="H26" s="35" t="str">
        <x:v>Required when a source document, image, audio, or import exists</x:v>
      </x:c>
      <x:c r="I26" s="35" t="str">
        <x:v>Use a disposable synthetic record; confirm/cancel first, then confirm. Financial/audit/history rows use reversal/void/archive, never destructive deletion.</x:v>
      </x:c>
      <x:c r="J26" s="35" t="str">
        <x:v>Each transition persists after reload, appears cross-client, emits audit/history and correct notifications, respects authorization, and stays atomic.</x:v>
      </x:c>
    </x:row>
    <x:row r="27">
      <x:c r="A27" s="20" t="str">
        <x:v>CRUD-024</x:v>
      </x:c>
      <x:c r="B27" s="23" t="n">
        <x:v>46640</x:v>
      </x:c>
      <x:c r="C27" s="20" t="str">
        <x:v>Recurring maintenance</x:v>
      </x:c>
      <x:c r="D27" s="20" t="str">
        <x:v>Property Manager</x:v>
      </x:c>
      <x:c r="E27" s="35" t="str">
        <x:v>create; edit; generate; pause; resume; retire; out-of-service handling</x:v>
      </x:c>
      <x:c r="F27" s="20" t="str">
        <x:v>Required</x:v>
      </x:c>
      <x:c r="G27" s="35" t="str">
        <x:v>Required or verified product gap</x:v>
      </x:c>
      <x:c r="H27" s="35" t="str">
        <x:v>Required when a source document, image, audio, or import exists</x:v>
      </x:c>
      <x:c r="I27" s="35" t="str">
        <x:v>Use a disposable synthetic record; confirm/cancel first, then confirm. Financial/audit/history rows use reversal/void/archive, never destructive deletion.</x:v>
      </x:c>
      <x:c r="J27" s="35" t="str">
        <x:v>Each transition persists after reload, appears cross-client, emits audit/history and correct notifications, respects authorization, and stays atomic.</x:v>
      </x:c>
    </x:row>
    <x:row r="28">
      <x:c r="A28" s="20" t="str">
        <x:v>CRUD-025</x:v>
      </x:c>
      <x:c r="B28" s="23" t="n">
        <x:v>46652</x:v>
      </x:c>
      <x:c r="C28" s="20" t="str">
        <x:v>Appointment</x:v>
      </x:c>
      <x:c r="D28" s="20" t="str">
        <x:v>Leasing Agent</x:v>
      </x:c>
      <x:c r="E28" s="35" t="str">
        <x:v>create; edit; invite; remind; confirm; reschedule; cancel; no-show; timezone</x:v>
      </x:c>
      <x:c r="F28" s="20" t="str">
        <x:v>Required</x:v>
      </x:c>
      <x:c r="G28" s="35" t="str">
        <x:v>Required or verified product gap</x:v>
      </x:c>
      <x:c r="H28" s="35" t="str">
        <x:v>Required when a source document, image, audio, or import exists</x:v>
      </x:c>
      <x:c r="I28" s="35" t="str">
        <x:v>Use a disposable synthetic record; confirm/cancel first, then confirm. Financial/audit/history rows use reversal/void/archive, never destructive deletion.</x:v>
      </x:c>
      <x:c r="J28" s="35" t="str">
        <x:v>Each transition persists after reload, appears cross-client, emits audit/history and correct notifications, respects authorization, and stays atomic.</x:v>
      </x:c>
    </x:row>
    <x:row r="29">
      <x:c r="A29" s="20" t="str">
        <x:v>CRUD-026</x:v>
      </x:c>
      <x:c r="B29" s="23" t="n">
        <x:v>46661</x:v>
      </x:c>
      <x:c r="C29" s="20" t="str">
        <x:v>Inspection</x:v>
      </x:c>
      <x:c r="D29" s="20" t="str">
        <x:v>Property Manager</x:v>
      </x:c>
      <x:c r="E29" s="35" t="str">
        <x:v>create; edit; assign; run every item; photos; complete; freeze; report</x:v>
      </x:c>
      <x:c r="F29" s="20" t="str">
        <x:v>Required</x:v>
      </x:c>
      <x:c r="G29" s="35" t="str">
        <x:v>Required or verified product gap</x:v>
      </x:c>
      <x:c r="H29" s="35" t="str">
        <x:v>Required when a source document, image, audio, or import exists</x:v>
      </x:c>
      <x:c r="I29" s="35" t="str">
        <x:v>Use a disposable synthetic record; confirm/cancel first, then confirm. Financial/audit/history rows use reversal/void/archive, never destructive deletion.</x:v>
      </x:c>
      <x:c r="J29" s="35" t="str">
        <x:v>Each transition persists after reload, appears cross-client, emits audit/history and correct notifications, respects authorization, and stays atomic.</x:v>
      </x:c>
    </x:row>
    <x:row r="30">
      <x:c r="A30" s="20" t="str">
        <x:v>CRUD-027</x:v>
      </x:c>
      <x:c r="B30" s="23" t="n">
        <x:v>46672</x:v>
      </x:c>
      <x:c r="C30" s="20" t="str">
        <x:v>Turnover</x:v>
      </x:c>
      <x:c r="D30" s="20" t="str">
        <x:v>Property Manager</x:v>
      </x:c>
      <x:c r="E30" s="35" t="str">
        <x:v>open; edit tasks/date; create work; mark ready; close; historical read</x:v>
      </x:c>
      <x:c r="F30" s="20" t="str">
        <x:v>Required</x:v>
      </x:c>
      <x:c r="G30" s="35" t="str">
        <x:v>Required or verified product gap</x:v>
      </x:c>
      <x:c r="H30" s="35" t="str">
        <x:v>Required when a source document, image, audio, or import exists</x:v>
      </x:c>
      <x:c r="I30" s="35" t="str">
        <x:v>Use a disposable synthetic record; confirm/cancel first, then confirm. Financial/audit/history rows use reversal/void/archive, never destructive deletion.</x:v>
      </x:c>
      <x:c r="J30" s="35" t="str">
        <x:v>Each transition persists after reload, appears cross-client, emits audit/history and correct notifications, respects authorization, and stays atomic.</x:v>
      </x:c>
    </x:row>
    <x:row r="31">
      <x:c r="A31" s="20" t="str">
        <x:v>CRUD-028</x:v>
      </x:c>
      <x:c r="B31" s="23" t="n">
        <x:v>46681</x:v>
      </x:c>
      <x:c r="C31" s="20" t="str">
        <x:v>Tenant notice</x:v>
      </x:c>
      <x:c r="D31" s="20" t="str">
        <x:v>Property Manager</x:v>
      </x:c>
      <x:c r="E31" s="35" t="str">
        <x:v>draft; edit; preview; approve; send; cancel; policy and history</x:v>
      </x:c>
      <x:c r="F31" s="20" t="str">
        <x:v>Required</x:v>
      </x:c>
      <x:c r="G31" s="35" t="str">
        <x:v>Required or verified product gap</x:v>
      </x:c>
      <x:c r="H31" s="35" t="str">
        <x:v>Required when a source document, image, audio, or import exists</x:v>
      </x:c>
      <x:c r="I31" s="35" t="str">
        <x:v>Use a disposable synthetic record; confirm/cancel first, then confirm. Financial/audit/history rows use reversal/void/archive, never destructive deletion.</x:v>
      </x:c>
      <x:c r="J31" s="35" t="str">
        <x:v>Each transition persists after reload, appears cross-client, emits audit/history and correct notifications, respects authorization, and stays atomic.</x:v>
      </x:c>
    </x:row>
    <x:row r="32">
      <x:c r="A32" s="20" t="str">
        <x:v>CRUD-029</x:v>
      </x:c>
      <x:c r="B32" s="23" t="n">
        <x:v>46692</x:v>
      </x:c>
      <x:c r="C32" s="20" t="str">
        <x:v>Eviction case</x:v>
      </x:c>
      <x:c r="D32" s="20" t="str">
        <x:v>Workspace Administrator</x:v>
      </x:c>
      <x:c r="E32" s="35" t="str">
        <x:v>open; edit; respondent; event; status; close; history; occupancy independence</x:v>
      </x:c>
      <x:c r="F32" s="20" t="str">
        <x:v>Required</x:v>
      </x:c>
      <x:c r="G32" s="35" t="str">
        <x:v>Required or verified product gap</x:v>
      </x:c>
      <x:c r="H32" s="35" t="str">
        <x:v>Required when a source document, image, audio, or import exists</x:v>
      </x:c>
      <x:c r="I32" s="35" t="str">
        <x:v>Use a disposable synthetic record; confirm/cancel first, then confirm. Financial/audit/history rows use reversal/void/archive, never destructive deletion.</x:v>
      </x:c>
      <x:c r="J32" s="35" t="str">
        <x:v>Each transition persists after reload, appears cross-client, emits audit/history and correct notifications, respects authorization, and stays atomic.</x:v>
      </x:c>
    </x:row>
    <x:row r="33">
      <x:c r="A33" s="20" t="str">
        <x:v>CRUD-030</x:v>
      </x:c>
      <x:c r="B33" s="23" t="n">
        <x:v>46701</x:v>
      </x:c>
      <x:c r="C33" s="20" t="str">
        <x:v>Conversation/message</x:v>
      </x:c>
      <x:c r="D33" s="20" t="str">
        <x:v>Property Manager</x:v>
      </x:c>
      <x:c r="E33" s="35" t="str">
        <x:v>create; participant scope; text; attachment; unread/read; archive</x:v>
      </x:c>
      <x:c r="F33" s="20" t="str">
        <x:v>Required</x:v>
      </x:c>
      <x:c r="G33" s="35" t="str">
        <x:v>Required or verified product gap</x:v>
      </x:c>
      <x:c r="H33" s="35" t="str">
        <x:v>Required when a source document, image, audio, or import exists</x:v>
      </x:c>
      <x:c r="I33" s="35" t="str">
        <x:v>Use a disposable synthetic record; confirm/cancel first, then confirm. Financial/audit/history rows use reversal/void/archive, never destructive deletion.</x:v>
      </x:c>
      <x:c r="J33" s="35" t="str">
        <x:v>Each transition persists after reload, appears cross-client, emits audit/history and correct notifications, respects authorization, and stays atomic.</x:v>
      </x:c>
    </x:row>
    <x:row r="34">
      <x:c r="A34" s="20" t="str">
        <x:v>CRUD-031</x:v>
      </x:c>
      <x:c r="B34" s="23" t="n">
        <x:v>46710</x:v>
      </x:c>
      <x:c r="C34" s="20" t="str">
        <x:v>Notification preference</x:v>
      </x:c>
      <x:c r="D34" s="20" t="str">
        <x:v>Every authenticated persona</x:v>
      </x:c>
      <x:c r="E34" s="35" t="str">
        <x:v>toggle each channel/event; save; reload; respect preference; required-alert override</x:v>
      </x:c>
      <x:c r="F34" s="20" t="str">
        <x:v>Required</x:v>
      </x:c>
      <x:c r="G34" s="35" t="str">
        <x:v>Required or verified product gap</x:v>
      </x:c>
      <x:c r="H34" s="35" t="str">
        <x:v>Required when a source document, image, audio, or import exists</x:v>
      </x:c>
      <x:c r="I34" s="35" t="str">
        <x:v>Use a disposable synthetic record; confirm/cancel first, then confirm. Financial/audit/history rows use reversal/void/archive, never destructive deletion.</x:v>
      </x:c>
      <x:c r="J34" s="35" t="str">
        <x:v>Each transition persists after reload, appears cross-client, emits audit/history and correct notifications, respects authorization, and stays atomic.</x:v>
      </x:c>
    </x:row>
    <x:row r="35">
      <x:c r="A35" s="20" t="str">
        <x:v>CRUD-032</x:v>
      </x:c>
      <x:c r="B35" s="23" t="n">
        <x:v>46722</x:v>
      </x:c>
      <x:c r="C35" s="20" t="str">
        <x:v>Team member/assignment</x:v>
      </x:c>
      <x:c r="D35" s="20" t="str">
        <x:v>Workspace Administrator</x:v>
      </x:c>
      <x:c r="E35" s="35" t="str">
        <x:v>invite; activate; job; property scope; accept/decline; edit; revoke/deactivate</x:v>
      </x:c>
      <x:c r="F35" s="20" t="str">
        <x:v>Required</x:v>
      </x:c>
      <x:c r="G35" s="35" t="str">
        <x:v>Required or verified product gap</x:v>
      </x:c>
      <x:c r="H35" s="35" t="str">
        <x:v>Required when a source document, image, audio, or import exists</x:v>
      </x:c>
      <x:c r="I35" s="35" t="str">
        <x:v>Use a disposable synthetic record; confirm/cancel first, then confirm. Financial/audit/history rows use reversal/void/archive, never destructive deletion.</x:v>
      </x:c>
      <x:c r="J35" s="35" t="str">
        <x:v>Each transition persists after reload, appears cross-client, emits audit/history and correct notifications, respects authorization, and stays atomic.</x:v>
      </x:c>
    </x:row>
    <x:row r="36">
      <x:c r="A36" s="20" t="str">
        <x:v>CRUD-033</x:v>
      </x:c>
      <x:c r="B36" s="23" t="n">
        <x:v>46731</x:v>
      </x:c>
      <x:c r="C36" s="20" t="str">
        <x:v>AI provider</x:v>
      </x:c>
      <x:c r="D36" s="20" t="str">
        <x:v>Workspace Administrator</x:v>
      </x:c>
      <x:c r="E36" s="35" t="str">
        <x:v>configure; invalid credential; test; disconnect; re-auth; secret masking</x:v>
      </x:c>
      <x:c r="F36" s="20" t="str">
        <x:v>Required</x:v>
      </x:c>
      <x:c r="G36" s="35" t="str">
        <x:v>Required or verified product gap</x:v>
      </x:c>
      <x:c r="H36" s="35" t="str">
        <x:v>Required when a source document, image, audio, or import exists</x:v>
      </x:c>
      <x:c r="I36" s="35" t="str">
        <x:v>Use a disposable synthetic record; confirm/cancel first, then confirm. Financial/audit/history rows use reversal/void/archive, never destructive deletion.</x:v>
      </x:c>
      <x:c r="J36" s="35" t="str">
        <x:v>Each transition persists after reload, appears cross-client, emits audit/history and correct notifications, respects authorization, and stays atomic.</x:v>
      </x:c>
    </x:row>
    <x:row r="37">
      <x:c r="A37" s="20" t="str">
        <x:v>CRUD-034</x:v>
      </x:c>
      <x:c r="B37" s="23" t="n">
        <x:v>46742</x:v>
      </x:c>
      <x:c r="C37" s="20" t="str">
        <x:v>Profile/security</x:v>
      </x:c>
      <x:c r="D37" s="20" t="str">
        <x:v>Every authenticated persona</x:v>
      </x:c>
      <x:c r="E37" s="35" t="str">
        <x:v>edit every profile field; password change; session revoke; re-login</x:v>
      </x:c>
      <x:c r="F37" s="20" t="str">
        <x:v>Required</x:v>
      </x:c>
      <x:c r="G37" s="35" t="str">
        <x:v>Required or verified product gap</x:v>
      </x:c>
      <x:c r="H37" s="35" t="str">
        <x:v>Required when a source document, image, audio, or import exists</x:v>
      </x:c>
      <x:c r="I37" s="35" t="str">
        <x:v>Use a disposable synthetic record; confirm/cancel first, then confirm. Financial/audit/history rows use reversal/void/archive, never destructive deletion.</x:v>
      </x:c>
      <x:c r="J37" s="35" t="str">
        <x:v>Each transition persists after reload, appears cross-client, emits audit/history and correct notifications, respects authorization, and stays atomic.</x:v>
      </x:c>
    </x:row>
    <x:row r="38">
      <x:c r="A38" s="21" t="str">
        <x:v>CRUD-035</x:v>
      </x:c>
      <x:c r="B38" s="24" t="n">
        <x:v>46751</x:v>
      </x:c>
      <x:c r="C38" s="21" t="str">
        <x:v>Import batch</x:v>
      </x:c>
      <x:c r="D38" s="21" t="str">
        <x:v>Workspace Administrator</x:v>
      </x:c>
      <x:c r="E38" s="36" t="str">
        <x:v>upload; map; validate; commit; duplicate; cancel/reject; audit</x:v>
      </x:c>
      <x:c r="F38" s="21" t="str">
        <x:v>Required</x:v>
      </x:c>
      <x:c r="G38" s="36" t="str">
        <x:v>Required or verified product gap</x:v>
      </x:c>
      <x:c r="H38" s="36" t="str">
        <x:v>Required when a source document, image, audio, or import exists</x:v>
      </x:c>
      <x:c r="I38" s="36" t="str">
        <x:v>Use a disposable synthetic record; confirm/cancel first, then confirm. Financial/audit/history rows use reversal/void/archive, never destructive deletion.</x:v>
      </x:c>
      <x:c r="J38" s="36" t="str">
        <x:v>Each transition persists after reload, appears cross-client, emits audit/history and correct notifications, respects authorization, and stays atomic.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a91c4b457274f1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38" hidden="0" customWidth="1"/>
    <x:col min="4" max="4" width="30" hidden="0" customWidth="1"/>
    <x:col min="5" max="5" width="32" hidden="0" customWidth="1"/>
    <x:col min="6" max="6" width="30" hidden="0" customWidth="1"/>
    <x:col min="7" max="7" width="56" hidden="0" customWidth="1"/>
    <x:col min="8" max="8" width="66" hidden="0" customWidth="1"/>
    <x:col min="9" max="9" width="58" hidden="0" customWidth="1"/>
  </x:cols>
  <x:sheetData>
    <x:row r="1" ht="34" customHeight="1">
      <x:c r="A1" s="3" t="str">
        <x:v>Notification, Reminder, Routing, and Delivery Scenarios</x:v>
      </x:c>
      <x:c r="B1" s="3" t="str">
        <x:v>Notification, Reminder, Routing, and Delivery Scenarios</x:v>
      </x:c>
      <x:c r="C1" s="3" t="str">
        <x:v>Notification, Reminder, Routing, and Delivery Scenarios</x:v>
      </x:c>
      <x:c r="D1" s="3" t="str">
        <x:v>Notification, Reminder, Routing, and Delivery Scenarios</x:v>
      </x:c>
      <x:c r="E1" s="3" t="str">
        <x:v>Notification, Reminder, Routing, and Delivery Scenarios</x:v>
      </x:c>
      <x:c r="F1" s="3" t="str">
        <x:v>Notification, Reminder, Routing, and Delivery Scenarios</x:v>
      </x:c>
      <x:c r="G1" s="3" t="str">
        <x:v>Notification, Reminder, Routing, and Delivery Scenarios</x:v>
      </x:c>
      <x:c r="H1" s="3" t="str">
        <x:v>Notification, Reminder, Routing, and Delivery Scenarios</x:v>
      </x:c>
      <x:c r="I1" s="3" t="str">
        <x:v>Notification, Reminder, Routing, and Delivery Scenarios</x:v>
      </x:c>
    </x:row>
    <x:row r="3" ht="30" customHeight="1">
      <x:c r="A3" s="12" t="str">
        <x:v>Notification ID</x:v>
      </x:c>
      <x:c r="B3" s="13" t="str">
        <x:v>Planned Date</x:v>
      </x:c>
      <x:c r="C3" s="13" t="str">
        <x:v>Trigger</x:v>
      </x:c>
      <x:c r="D3" s="13" t="str">
        <x:v>Recipients</x:v>
      </x:c>
      <x:c r="E3" s="13" t="str">
        <x:v>Channels / Route</x:v>
      </x:c>
      <x:c r="F3" s="13" t="str">
        <x:v>Deep Link</x:v>
      </x:c>
      <x:c r="G3" s="13" t="str">
        <x:v>Preference Test</x:v>
      </x:c>
      <x:c r="H3" s="13" t="str">
        <x:v>Delivery Test</x:v>
      </x:c>
      <x:c r="I3" s="14" t="str">
        <x:v>Privacy Test</x:v>
      </x:c>
    </x:row>
    <x:row r="4">
      <x:c r="A4" s="19" t="str">
        <x:v>NTF-001</x:v>
      </x:c>
      <x:c r="B4" s="22" t="n">
        <x:v>46409</x:v>
      </x:c>
      <x:c r="C4" s="34" t="str">
        <x:v>Rent charge posted</x:v>
      </x:c>
      <x:c r="D4" s="34" t="str">
        <x:v>Tenant</x:v>
      </x:c>
      <x:c r="E4" s="34" t="str">
        <x:v>in-app + push/email preference</x:v>
      </x:c>
      <x:c r="F4" s="34" t="str">
        <x:v>tenant balance deep link</x:v>
      </x:c>
      <x:c r="G4" s="34" t="str">
        <x:v>Enable then disable each optional channel; required/security delivery follows policy; unrelated roles receive nothing.</x:v>
      </x:c>
      <x:c r="H4" s="34" t="str">
        <x:v>Verify generated row/outbox, local/test provider outcome, retry/dead-letter behavior, unread badge, mark read, deep link, and cross-device state.</x:v>
      </x:c>
      <x:c r="I4" s="34" t="str">
        <x:v>Title/body/lock-screen preview contains no excess tenant, money, legal, credential, or cross-property data.</x:v>
      </x:c>
    </x:row>
    <x:row r="5">
      <x:c r="A5" s="20" t="str">
        <x:v>NTF-002</x:v>
      </x:c>
      <x:c r="B5" s="23" t="n">
        <x:v>46416</x:v>
      </x:c>
      <x:c r="C5" s="35" t="str">
        <x:v>Rent due in 5 days</x:v>
      </x:c>
      <x:c r="D5" s="35" t="str">
        <x:v>Tenant</x:v>
      </x:c>
      <x:c r="E5" s="35" t="str">
        <x:v>scheduled reminder</x:v>
      </x:c>
      <x:c r="F5" s="35" t="str">
        <x:v>portal payment screen</x:v>
      </x:c>
      <x:c r="G5" s="35" t="str">
        <x:v>Enable then disable each optional channel; required/security delivery follows policy; unrelated roles receive nothing.</x:v>
      </x:c>
      <x:c r="H5" s="35" t="str">
        <x:v>Verify generated row/outbox, local/test provider outcome, retry/dead-letter behavior, unread badge, mark read, deep link, and cross-device state.</x:v>
      </x:c>
      <x:c r="I5" s="35" t="str">
        <x:v>Title/body/lock-screen preview contains no excess tenant, money, legal, credential, or cross-property data.</x:v>
      </x:c>
    </x:row>
    <x:row r="6">
      <x:c r="A6" s="20" t="str">
        <x:v>NTF-003</x:v>
      </x:c>
      <x:c r="B6" s="23" t="n">
        <x:v>46423</x:v>
      </x:c>
      <x:c r="C6" s="35" t="str">
        <x:v>Rent due tomorrow</x:v>
      </x:c>
      <x:c r="D6" s="35" t="str">
        <x:v>Tenant</x:v>
      </x:c>
      <x:c r="E6" s="35" t="str">
        <x:v>scheduled reminder</x:v>
      </x:c>
      <x:c r="F6" s="35" t="str">
        <x:v>portal payment screen</x:v>
      </x:c>
      <x:c r="G6" s="35" t="str">
        <x:v>Enable then disable each optional channel; required/security delivery follows policy; unrelated roles receive nothing.</x:v>
      </x:c>
      <x:c r="H6" s="35" t="str">
        <x:v>Verify generated row/outbox, local/test provider outcome, retry/dead-letter behavior, unread badge, mark read, deep link, and cross-device state.</x:v>
      </x:c>
      <x:c r="I6" s="35" t="str">
        <x:v>Title/body/lock-screen preview contains no excess tenant, money, legal, credential, or cross-property data.</x:v>
      </x:c>
    </x:row>
    <x:row r="7">
      <x:c r="A7" s="20" t="str">
        <x:v>NTF-004</x:v>
      </x:c>
      <x:c r="B7" s="23" t="n">
        <x:v>46430</x:v>
      </x:c>
      <x:c r="C7" s="35" t="str">
        <x:v>Rent received</x:v>
      </x:c>
      <x:c r="D7" s="35" t="str">
        <x:v>Tenant</x:v>
      </x:c>
      <x:c r="E7" s="35" t="str">
        <x:v>receipt notification</x:v>
      </x:c>
      <x:c r="F7" s="35" t="str">
        <x:v>payment receipt</x:v>
      </x:c>
      <x:c r="G7" s="35" t="str">
        <x:v>Enable then disable each optional channel; required/security delivery follows policy; unrelated roles receive nothing.</x:v>
      </x:c>
      <x:c r="H7" s="35" t="str">
        <x:v>Verify generated row/outbox, local/test provider outcome, retry/dead-letter behavior, unread badge, mark read, deep link, and cross-device state.</x:v>
      </x:c>
      <x:c r="I7" s="35" t="str">
        <x:v>Title/body/lock-screen preview contains no excess tenant, money, legal, credential, or cross-property data.</x:v>
      </x:c>
    </x:row>
    <x:row r="8">
      <x:c r="A8" s="20" t="str">
        <x:v>NTF-005</x:v>
      </x:c>
      <x:c r="B8" s="23" t="n">
        <x:v>46437</x:v>
      </x:c>
      <x:c r="C8" s="35" t="str">
        <x:v>Partial payment remaining</x:v>
      </x:c>
      <x:c r="D8" s="35" t="str">
        <x:v>Tenant + Property Manager</x:v>
      </x:c>
      <x:c r="E8" s="35" t="str">
        <x:v>in-app reminder + staff routing</x:v>
      </x:c>
      <x:c r="F8" s="35" t="str">
        <x:v>tenant account</x:v>
      </x:c>
      <x:c r="G8" s="35" t="str">
        <x:v>Enable then disable each optional channel; required/security delivery follows policy; unrelated roles receive nothing.</x:v>
      </x:c>
      <x:c r="H8" s="35" t="str">
        <x:v>Verify generated row/outbox, local/test provider outcome, retry/dead-letter behavior, unread badge, mark read, deep link, and cross-device state.</x:v>
      </x:c>
      <x:c r="I8" s="35" t="str">
        <x:v>Title/body/lock-screen preview contains no excess tenant, money, legal, credential, or cross-property data.</x:v>
      </x:c>
    </x:row>
    <x:row r="9">
      <x:c r="A9" s="20" t="str">
        <x:v>NTF-006</x:v>
      </x:c>
      <x:c r="B9" s="23" t="n">
        <x:v>46444</x:v>
      </x:c>
      <x:c r="C9" s="35" t="str">
        <x:v>Payment failed/NSF</x:v>
      </x:c>
      <x:c r="D9" s="35" t="str">
        <x:v>Tenant + Property Manager</x:v>
      </x:c>
      <x:c r="E9" s="35" t="str">
        <x:v>urgent alert</x:v>
      </x:c>
      <x:c r="F9" s="35" t="str">
        <x:v>payment/reversal detail</x:v>
      </x:c>
      <x:c r="G9" s="35" t="str">
        <x:v>Enable then disable each optional channel; required/security delivery follows policy; unrelated roles receive nothing.</x:v>
      </x:c>
      <x:c r="H9" s="35" t="str">
        <x:v>Verify generated row/outbox, local/test provider outcome, retry/dead-letter behavior, unread badge, mark read, deep link, and cross-device state.</x:v>
      </x:c>
      <x:c r="I9" s="35" t="str">
        <x:v>Title/body/lock-screen preview contains no excess tenant, money, legal, credential, or cross-property data.</x:v>
      </x:c>
    </x:row>
    <x:row r="10">
      <x:c r="A10" s="20" t="str">
        <x:v>NTF-007</x:v>
      </x:c>
      <x:c r="B10" s="23" t="n">
        <x:v>46451</x:v>
      </x:c>
      <x:c r="C10" s="35" t="str">
        <x:v>Late fee posted</x:v>
      </x:c>
      <x:c r="D10" s="35" t="str">
        <x:v>Tenant</x:v>
      </x:c>
      <x:c r="E10" s="35" t="str">
        <x:v>policy-controlled notice</x:v>
      </x:c>
      <x:c r="F10" s="35" t="str">
        <x:v>tenant ledger</x:v>
      </x:c>
      <x:c r="G10" s="35" t="str">
        <x:v>Enable then disable each optional channel; required/security delivery follows policy; unrelated roles receive nothing.</x:v>
      </x:c>
      <x:c r="H10" s="35" t="str">
        <x:v>Verify generated row/outbox, local/test provider outcome, retry/dead-letter behavior, unread badge, mark read, deep link, and cross-device state.</x:v>
      </x:c>
      <x:c r="I10" s="35" t="str">
        <x:v>Title/body/lock-screen preview contains no excess tenant, money, legal, credential, or cross-property data.</x:v>
      </x:c>
    </x:row>
    <x:row r="11">
      <x:c r="A11" s="20" t="str">
        <x:v>NTF-008</x:v>
      </x:c>
      <x:c r="B11" s="23" t="n">
        <x:v>46458</x:v>
      </x:c>
      <x:c r="C11" s="35" t="str">
        <x:v>Past due threshold</x:v>
      </x:c>
      <x:c r="D11" s="35" t="str">
        <x:v>Property Manager</x:v>
      </x:c>
      <x:c r="E11" s="35" t="str">
        <x:v>team route + inbox</x:v>
      </x:c>
      <x:c r="F11" s="35" t="str">
        <x:v>past-due report</x:v>
      </x:c>
      <x:c r="G11" s="35" t="str">
        <x:v>Enable then disable each optional channel; required/security delivery follows policy; unrelated roles receive nothing.</x:v>
      </x:c>
      <x:c r="H11" s="35" t="str">
        <x:v>Verify generated row/outbox, local/test provider outcome, retry/dead-letter behavior, unread badge, mark read, deep link, and cross-device state.</x:v>
      </x:c>
      <x:c r="I11" s="35" t="str">
        <x:v>Title/body/lock-screen preview contains no excess tenant, money, legal, credential, or cross-property data.</x:v>
      </x:c>
    </x:row>
    <x:row r="12">
      <x:c r="A12" s="20" t="str">
        <x:v>NTF-009</x:v>
      </x:c>
      <x:c r="B12" s="23" t="n">
        <x:v>46465</x:v>
      </x:c>
      <x:c r="C12" s="35" t="str">
        <x:v>Security deposit collected</x:v>
      </x:c>
      <x:c r="D12" s="35" t="str">
        <x:v>Tenant + Property Manager</x:v>
      </x:c>
      <x:c r="E12" s="35" t="str">
        <x:v>receipt</x:v>
      </x:c>
      <x:c r="F12" s="35" t="str">
        <x:v>deposit detail</x:v>
      </x:c>
      <x:c r="G12" s="35" t="str">
        <x:v>Enable then disable each optional channel; required/security delivery follows policy; unrelated roles receive nothing.</x:v>
      </x:c>
      <x:c r="H12" s="35" t="str">
        <x:v>Verify generated row/outbox, local/test provider outcome, retry/dead-letter behavior, unread badge, mark read, deep link, and cross-device state.</x:v>
      </x:c>
      <x:c r="I12" s="35" t="str">
        <x:v>Title/body/lock-screen preview contains no excess tenant, money, legal, credential, or cross-property data.</x:v>
      </x:c>
    </x:row>
    <x:row r="13">
      <x:c r="A13" s="20" t="str">
        <x:v>NTF-010</x:v>
      </x:c>
      <x:c r="B13" s="23" t="n">
        <x:v>46472</x:v>
      </x:c>
      <x:c r="C13" s="35" t="str">
        <x:v>Deposit disposition ready</x:v>
      </x:c>
      <x:c r="D13" s="35" t="str">
        <x:v>Tenant + Property Manager</x:v>
      </x:c>
      <x:c r="E13" s="35" t="str">
        <x:v>statement delivery</x:v>
      </x:c>
      <x:c r="F13" s="35" t="str">
        <x:v>deposit disposition</x:v>
      </x:c>
      <x:c r="G13" s="35" t="str">
        <x:v>Enable then disable each optional channel; required/security delivery follows policy; unrelated roles receive nothing.</x:v>
      </x:c>
      <x:c r="H13" s="35" t="str">
        <x:v>Verify generated row/outbox, local/test provider outcome, retry/dead-letter behavior, unread badge, mark read, deep link, and cross-device state.</x:v>
      </x:c>
      <x:c r="I13" s="35" t="str">
        <x:v>Title/body/lock-screen preview contains no excess tenant, money, legal, credential, or cross-property data.</x:v>
      </x:c>
    </x:row>
    <x:row r="14">
      <x:c r="A14" s="20" t="str">
        <x:v>NTF-011</x:v>
      </x:c>
      <x:c r="B14" s="23" t="n">
        <x:v>46479</x:v>
      </x:c>
      <x:c r="C14" s="35" t="str">
        <x:v>Application received</x:v>
      </x:c>
      <x:c r="D14" s="35" t="str">
        <x:v>Leasing Agent</x:v>
      </x:c>
      <x:c r="E14" s="35" t="str">
        <x:v>team routing</x:v>
      </x:c>
      <x:c r="F14" s="35" t="str">
        <x:v>application detail</x:v>
      </x:c>
      <x:c r="G14" s="35" t="str">
        <x:v>Enable then disable each optional channel; required/security delivery follows policy; unrelated roles receive nothing.</x:v>
      </x:c>
      <x:c r="H14" s="35" t="str">
        <x:v>Verify generated row/outbox, local/test provider outcome, retry/dead-letter behavior, unread badge, mark read, deep link, and cross-device state.</x:v>
      </x:c>
      <x:c r="I14" s="35" t="str">
        <x:v>Title/body/lock-screen preview contains no excess tenant, money, legal, credential, or cross-property data.</x:v>
      </x:c>
    </x:row>
    <x:row r="15">
      <x:c r="A15" s="20" t="str">
        <x:v>NTF-012</x:v>
      </x:c>
      <x:c r="B15" s="23" t="n">
        <x:v>46486</x:v>
      </x:c>
      <x:c r="C15" s="35" t="str">
        <x:v>Application status changed</x:v>
      </x:c>
      <x:c r="D15" s="35" t="str">
        <x:v>Applicant</x:v>
      </x:c>
      <x:c r="E15" s="35" t="str">
        <x:v>email/test delivery</x:v>
      </x:c>
      <x:c r="F15" s="35" t="str">
        <x:v>public status/message</x:v>
      </x:c>
      <x:c r="G15" s="35" t="str">
        <x:v>Enable then disable each optional channel; required/security delivery follows policy; unrelated roles receive nothing.</x:v>
      </x:c>
      <x:c r="H15" s="35" t="str">
        <x:v>Verify generated row/outbox, local/test provider outcome, retry/dead-letter behavior, unread badge, mark read, deep link, and cross-device state.</x:v>
      </x:c>
      <x:c r="I15" s="35" t="str">
        <x:v>Title/body/lock-screen preview contains no excess tenant, money, legal, credential, or cross-property data.</x:v>
      </x:c>
    </x:row>
    <x:row r="16">
      <x:c r="A16" s="20" t="str">
        <x:v>NTF-013</x:v>
      </x:c>
      <x:c r="B16" s="23" t="n">
        <x:v>46493</x:v>
      </x:c>
      <x:c r="C16" s="35" t="str">
        <x:v>Showing scheduled</x:v>
      </x:c>
      <x:c r="D16" s="35" t="str">
        <x:v>Applicant + Leasing Agent</x:v>
      </x:c>
      <x:c r="E16" s="35" t="str">
        <x:v>confirmation</x:v>
      </x:c>
      <x:c r="F16" s="35" t="str">
        <x:v>appointment</x:v>
      </x:c>
      <x:c r="G16" s="35" t="str">
        <x:v>Enable then disable each optional channel; required/security delivery follows policy; unrelated roles receive nothing.</x:v>
      </x:c>
      <x:c r="H16" s="35" t="str">
        <x:v>Verify generated row/outbox, local/test provider outcome, retry/dead-letter behavior, unread badge, mark read, deep link, and cross-device state.</x:v>
      </x:c>
      <x:c r="I16" s="35" t="str">
        <x:v>Title/body/lock-screen preview contains no excess tenant, money, legal, credential, or cross-property data.</x:v>
      </x:c>
    </x:row>
    <x:row r="17">
      <x:c r="A17" s="20" t="str">
        <x:v>NTF-014</x:v>
      </x:c>
      <x:c r="B17" s="23" t="n">
        <x:v>46500</x:v>
      </x:c>
      <x:c r="C17" s="35" t="str">
        <x:v>Appointment 24-hour reminder</x:v>
      </x:c>
      <x:c r="D17" s="35" t="str">
        <x:v>Tenant/applicant/staff</x:v>
      </x:c>
      <x:c r="E17" s="35" t="str">
        <x:v>scheduled multi-recipient</x:v>
      </x:c>
      <x:c r="F17" s="35" t="str">
        <x:v>appointment</x:v>
      </x:c>
      <x:c r="G17" s="35" t="str">
        <x:v>Enable then disable each optional channel; required/security delivery follows policy; unrelated roles receive nothing.</x:v>
      </x:c>
      <x:c r="H17" s="35" t="str">
        <x:v>Verify generated row/outbox, local/test provider outcome, retry/dead-letter behavior, unread badge, mark read, deep link, and cross-device state.</x:v>
      </x:c>
      <x:c r="I17" s="35" t="str">
        <x:v>Title/body/lock-screen preview contains no excess tenant, money, legal, credential, or cross-property data.</x:v>
      </x:c>
    </x:row>
    <x:row r="18">
      <x:c r="A18" s="20" t="str">
        <x:v>NTF-015</x:v>
      </x:c>
      <x:c r="B18" s="23" t="n">
        <x:v>46507</x:v>
      </x:c>
      <x:c r="C18" s="35" t="str">
        <x:v>Appointment rescheduled</x:v>
      </x:c>
      <x:c r="D18" s="35" t="str">
        <x:v>All participants</x:v>
      </x:c>
      <x:c r="E18" s="35" t="str">
        <x:v>change notification</x:v>
      </x:c>
      <x:c r="F18" s="35" t="str">
        <x:v>appointment</x:v>
      </x:c>
      <x:c r="G18" s="35" t="str">
        <x:v>Enable then disable each optional channel; required/security delivery follows policy; unrelated roles receive nothing.</x:v>
      </x:c>
      <x:c r="H18" s="35" t="str">
        <x:v>Verify generated row/outbox, local/test provider outcome, retry/dead-letter behavior, unread badge, mark read, deep link, and cross-device state.</x:v>
      </x:c>
      <x:c r="I18" s="35" t="str">
        <x:v>Title/body/lock-screen preview contains no excess tenant, money, legal, credential, or cross-property data.</x:v>
      </x:c>
    </x:row>
    <x:row r="19">
      <x:c r="A19" s="20" t="str">
        <x:v>NTF-016</x:v>
      </x:c>
      <x:c r="B19" s="23" t="n">
        <x:v>46514</x:v>
      </x:c>
      <x:c r="C19" s="35" t="str">
        <x:v>Appointment cancelled</x:v>
      </x:c>
      <x:c r="D19" s="35" t="str">
        <x:v>All participants</x:v>
      </x:c>
      <x:c r="E19" s="35" t="str">
        <x:v>cancellation notification</x:v>
      </x:c>
      <x:c r="F19" s="35" t="str">
        <x:v>appointment history</x:v>
      </x:c>
      <x:c r="G19" s="35" t="str">
        <x:v>Enable then disable each optional channel; required/security delivery follows policy; unrelated roles receive nothing.</x:v>
      </x:c>
      <x:c r="H19" s="35" t="str">
        <x:v>Verify generated row/outbox, local/test provider outcome, retry/dead-letter behavior, unread badge, mark read, deep link, and cross-device state.</x:v>
      </x:c>
      <x:c r="I19" s="35" t="str">
        <x:v>Title/body/lock-screen preview contains no excess tenant, money, legal, credential, or cross-property data.</x:v>
      </x:c>
    </x:row>
    <x:row r="20">
      <x:c r="A20" s="20" t="str">
        <x:v>NTF-017</x:v>
      </x:c>
      <x:c r="B20" s="23" t="n">
        <x:v>46521</x:v>
      </x:c>
      <x:c r="C20" s="35" t="str">
        <x:v>Lease draft ready</x:v>
      </x:c>
      <x:c r="D20" s="35" t="str">
        <x:v>Leasing Agent</x:v>
      </x:c>
      <x:c r="E20" s="35" t="str">
        <x:v>work queue</x:v>
      </x:c>
      <x:c r="F20" s="35" t="str">
        <x:v>lease detail</x:v>
      </x:c>
      <x:c r="G20" s="35" t="str">
        <x:v>Enable then disable each optional channel; required/security delivery follows policy; unrelated roles receive nothing.</x:v>
      </x:c>
      <x:c r="H20" s="35" t="str">
        <x:v>Verify generated row/outbox, local/test provider outcome, retry/dead-letter behavior, unread badge, mark read, deep link, and cross-device state.</x:v>
      </x:c>
      <x:c r="I20" s="35" t="str">
        <x:v>Title/body/lock-screen preview contains no excess tenant, money, legal, credential, or cross-property data.</x:v>
      </x:c>
    </x:row>
    <x:row r="21">
      <x:c r="A21" s="20" t="str">
        <x:v>NTF-018</x:v>
      </x:c>
      <x:c r="B21" s="23" t="n">
        <x:v>46528</x:v>
      </x:c>
      <x:c r="C21" s="35" t="str">
        <x:v>Lease issued for signature</x:v>
      </x:c>
      <x:c r="D21" s="35" t="str">
        <x:v>Tenant/signers</x:v>
      </x:c>
      <x:c r="E21" s="35" t="str">
        <x:v>email + in-app</x:v>
      </x:c>
      <x:c r="F21" s="35" t="str">
        <x:v>signing link</x:v>
      </x:c>
      <x:c r="G21" s="35" t="str">
        <x:v>Enable then disable each optional channel; required/security delivery follows policy; unrelated roles receive nothing.</x:v>
      </x:c>
      <x:c r="H21" s="35" t="str">
        <x:v>Verify generated row/outbox, local/test provider outcome, retry/dead-letter behavior, unread badge, mark read, deep link, and cross-device state.</x:v>
      </x:c>
      <x:c r="I21" s="35" t="str">
        <x:v>Title/body/lock-screen preview contains no excess tenant, money, legal, credential, or cross-property data.</x:v>
      </x:c>
    </x:row>
    <x:row r="22">
      <x:c r="A22" s="20" t="str">
        <x:v>NTF-019</x:v>
      </x:c>
      <x:c r="B22" s="23" t="n">
        <x:v>46535</x:v>
      </x:c>
      <x:c r="C22" s="35" t="str">
        <x:v>Lease signed by one party</x:v>
      </x:c>
      <x:c r="D22" s="35" t="str">
        <x:v>Remaining signers + Leasing Agent</x:v>
      </x:c>
      <x:c r="E22" s="35" t="str">
        <x:v>progress notification</x:v>
      </x:c>
      <x:c r="F22" s="35" t="str">
        <x:v>agreement</x:v>
      </x:c>
      <x:c r="G22" s="35" t="str">
        <x:v>Enable then disable each optional channel; required/security delivery follows policy; unrelated roles receive nothing.</x:v>
      </x:c>
      <x:c r="H22" s="35" t="str">
        <x:v>Verify generated row/outbox, local/test provider outcome, retry/dead-letter behavior, unread badge, mark read, deep link, and cross-device state.</x:v>
      </x:c>
      <x:c r="I22" s="35" t="str">
        <x:v>Title/body/lock-screen preview contains no excess tenant, money, legal, credential, or cross-property data.</x:v>
      </x:c>
    </x:row>
    <x:row r="23">
      <x:c r="A23" s="20" t="str">
        <x:v>NTF-020</x:v>
      </x:c>
      <x:c r="B23" s="23" t="n">
        <x:v>46542</x:v>
      </x:c>
      <x:c r="C23" s="35" t="str">
        <x:v>Lease finalized</x:v>
      </x:c>
      <x:c r="D23" s="35" t="str">
        <x:v>Tenant + Property Manager</x:v>
      </x:c>
      <x:c r="E23" s="35" t="str">
        <x:v>completion</x:v>
      </x:c>
      <x:c r="F23" s="35" t="str">
        <x:v>downloadable lease</x:v>
      </x:c>
      <x:c r="G23" s="35" t="str">
        <x:v>Enable then disable each optional channel; required/security delivery follows policy; unrelated roles receive nothing.</x:v>
      </x:c>
      <x:c r="H23" s="35" t="str">
        <x:v>Verify generated row/outbox, local/test provider outcome, retry/dead-letter behavior, unread badge, mark read, deep link, and cross-device state.</x:v>
      </x:c>
      <x:c r="I23" s="35" t="str">
        <x:v>Title/body/lock-screen preview contains no excess tenant, money, legal, credential, or cross-property data.</x:v>
      </x:c>
    </x:row>
    <x:row r="24">
      <x:c r="A24" s="20" t="str">
        <x:v>NTF-021</x:v>
      </x:c>
      <x:c r="B24" s="23" t="n">
        <x:v>46549</x:v>
      </x:c>
      <x:c r="C24" s="35" t="str">
        <x:v>Lease expires in 90/60/30 days</x:v>
      </x:c>
      <x:c r="D24" s="35" t="str">
        <x:v>Property Manager + Tenant</x:v>
      </x:c>
      <x:c r="E24" s="35" t="str">
        <x:v>three scheduled reminders</x:v>
      </x:c>
      <x:c r="F24" s="35" t="str">
        <x:v>renewal action</x:v>
      </x:c>
      <x:c r="G24" s="35" t="str">
        <x:v>Enable then disable each optional channel; required/security delivery follows policy; unrelated roles receive nothing.</x:v>
      </x:c>
      <x:c r="H24" s="35" t="str">
        <x:v>Verify generated row/outbox, local/test provider outcome, retry/dead-letter behavior, unread badge, mark read, deep link, and cross-device state.</x:v>
      </x:c>
      <x:c r="I24" s="35" t="str">
        <x:v>Title/body/lock-screen preview contains no excess tenant, money, legal, credential, or cross-property data.</x:v>
      </x:c>
    </x:row>
    <x:row r="25">
      <x:c r="A25" s="20" t="str">
        <x:v>NTF-022</x:v>
      </x:c>
      <x:c r="B25" s="23" t="n">
        <x:v>46556</x:v>
      </x:c>
      <x:c r="C25" s="35" t="str">
        <x:v>Move-in upcoming</x:v>
      </x:c>
      <x:c r="D25" s="35" t="str">
        <x:v>Tenant + Property Manager</x:v>
      </x:c>
      <x:c r="E25" s="35" t="str">
        <x:v>checklist reminder</x:v>
      </x:c>
      <x:c r="F25" s="35" t="str">
        <x:v>appointment/lease</x:v>
      </x:c>
      <x:c r="G25" s="35" t="str">
        <x:v>Enable then disable each optional channel; required/security delivery follows policy; unrelated roles receive nothing.</x:v>
      </x:c>
      <x:c r="H25" s="35" t="str">
        <x:v>Verify generated row/outbox, local/test provider outcome, retry/dead-letter behavior, unread badge, mark read, deep link, and cross-device state.</x:v>
      </x:c>
      <x:c r="I25" s="35" t="str">
        <x:v>Title/body/lock-screen preview contains no excess tenant, money, legal, credential, or cross-property data.</x:v>
      </x:c>
    </x:row>
    <x:row r="26">
      <x:c r="A26" s="20" t="str">
        <x:v>NTF-023</x:v>
      </x:c>
      <x:c r="B26" s="23" t="n">
        <x:v>46563</x:v>
      </x:c>
      <x:c r="C26" s="35" t="str">
        <x:v>Move-out notice received</x:v>
      </x:c>
      <x:c r="D26" s="35" t="str">
        <x:v>Property Manager</x:v>
      </x:c>
      <x:c r="E26" s="35" t="str">
        <x:v>team route</x:v>
      </x:c>
      <x:c r="F26" s="35" t="str">
        <x:v>lease ending</x:v>
      </x:c>
      <x:c r="G26" s="35" t="str">
        <x:v>Enable then disable each optional channel; required/security delivery follows policy; unrelated roles receive nothing.</x:v>
      </x:c>
      <x:c r="H26" s="35" t="str">
        <x:v>Verify generated row/outbox, local/test provider outcome, retry/dead-letter behavior, unread badge, mark read, deep link, and cross-device state.</x:v>
      </x:c>
      <x:c r="I26" s="35" t="str">
        <x:v>Title/body/lock-screen preview contains no excess tenant, money, legal, credential, or cross-property data.</x:v>
      </x:c>
    </x:row>
    <x:row r="27">
      <x:c r="A27" s="20" t="str">
        <x:v>NTF-024</x:v>
      </x:c>
      <x:c r="B27" s="23" t="n">
        <x:v>46570</x:v>
      </x:c>
      <x:c r="C27" s="35" t="str">
        <x:v>Move-out inspection reminder</x:v>
      </x:c>
      <x:c r="D27" s="35" t="str">
        <x:v>Tenant + Technician</x:v>
      </x:c>
      <x:c r="E27" s="35" t="str">
        <x:v>scheduled reminder</x:v>
      </x:c>
      <x:c r="F27" s="35" t="str">
        <x:v>inspection</x:v>
      </x:c>
      <x:c r="G27" s="35" t="str">
        <x:v>Enable then disable each optional channel; required/security delivery follows policy; unrelated roles receive nothing.</x:v>
      </x:c>
      <x:c r="H27" s="35" t="str">
        <x:v>Verify generated row/outbox, local/test provider outcome, retry/dead-letter behavior, unread badge, mark read, deep link, and cross-device state.</x:v>
      </x:c>
      <x:c r="I27" s="35" t="str">
        <x:v>Title/body/lock-screen preview contains no excess tenant, money, legal, credential, or cross-property data.</x:v>
      </x:c>
    </x:row>
    <x:row r="28">
      <x:c r="A28" s="20" t="str">
        <x:v>NTF-025</x:v>
      </x:c>
      <x:c r="B28" s="23" t="n">
        <x:v>46577</x:v>
      </x:c>
      <x:c r="C28" s="35" t="str">
        <x:v>Maintenance request created</x:v>
      </x:c>
      <x:c r="D28" s="35" t="str">
        <x:v>Tenant + Property Manager</x:v>
      </x:c>
      <x:c r="E28" s="35" t="str">
        <x:v>receipt + team route</x:v>
      </x:c>
      <x:c r="F28" s="35" t="str">
        <x:v>work order</x:v>
      </x:c>
      <x:c r="G28" s="35" t="str">
        <x:v>Enable then disable each optional channel; required/security delivery follows policy; unrelated roles receive nothing.</x:v>
      </x:c>
      <x:c r="H28" s="35" t="str">
        <x:v>Verify generated row/outbox, local/test provider outcome, retry/dead-letter behavior, unread badge, mark read, deep link, and cross-device state.</x:v>
      </x:c>
      <x:c r="I28" s="35" t="str">
        <x:v>Title/body/lock-screen preview contains no excess tenant, money, legal, credential, or cross-property data.</x:v>
      </x:c>
    </x:row>
    <x:row r="29">
      <x:c r="A29" s="20" t="str">
        <x:v>NTF-026</x:v>
      </x:c>
      <x:c r="B29" s="23" t="n">
        <x:v>46583</x:v>
      </x:c>
      <x:c r="C29" s="35" t="str">
        <x:v>Work order assigned</x:v>
      </x:c>
      <x:c r="D29" s="35" t="str">
        <x:v>Technician/vendor</x:v>
      </x:c>
      <x:c r="E29" s="35" t="str">
        <x:v>push + assignment inbox</x:v>
      </x:c>
      <x:c r="F29" s="35" t="str">
        <x:v>assignment</x:v>
      </x:c>
      <x:c r="G29" s="35" t="str">
        <x:v>Enable then disable each optional channel; required/security delivery follows policy; unrelated roles receive nothing.</x:v>
      </x:c>
      <x:c r="H29" s="35" t="str">
        <x:v>Verify generated row/outbox, local/test provider outcome, retry/dead-letter behavior, unread badge, mark read, deep link, and cross-device state.</x:v>
      </x:c>
      <x:c r="I29" s="35" t="str">
        <x:v>Title/body/lock-screen preview contains no excess tenant, money, legal, credential, or cross-property data.</x:v>
      </x:c>
    </x:row>
    <x:row r="30">
      <x:c r="A30" s="20" t="str">
        <x:v>NTF-027</x:v>
      </x:c>
      <x:c r="B30" s="23" t="n">
        <x:v>46590</x:v>
      </x:c>
      <x:c r="C30" s="35" t="str">
        <x:v>Work order accepted/declined</x:v>
      </x:c>
      <x:c r="D30" s="35" t="str">
        <x:v>Property Manager</x:v>
      </x:c>
      <x:c r="E30" s="35" t="str">
        <x:v>status notification</x:v>
      </x:c>
      <x:c r="F30" s="35" t="str">
        <x:v>work order</x:v>
      </x:c>
      <x:c r="G30" s="35" t="str">
        <x:v>Enable then disable each optional channel; required/security delivery follows policy; unrelated roles receive nothing.</x:v>
      </x:c>
      <x:c r="H30" s="35" t="str">
        <x:v>Verify generated row/outbox, local/test provider outcome, retry/dead-letter behavior, unread badge, mark read, deep link, and cross-device state.</x:v>
      </x:c>
      <x:c r="I30" s="35" t="str">
        <x:v>Title/body/lock-screen preview contains no excess tenant, money, legal, credential, or cross-property data.</x:v>
      </x:c>
    </x:row>
    <x:row r="31">
      <x:c r="A31" s="20" t="str">
        <x:v>NTF-028</x:v>
      </x:c>
      <x:c r="B31" s="23" t="n">
        <x:v>46597</x:v>
      </x:c>
      <x:c r="C31" s="35" t="str">
        <x:v>Technician en route</x:v>
      </x:c>
      <x:c r="D31" s="35" t="str">
        <x:v>Tenant</x:v>
      </x:c>
      <x:c r="E31" s="35" t="str">
        <x:v>in-app/push</x:v>
      </x:c>
      <x:c r="F31" s="35" t="str">
        <x:v>work order</x:v>
      </x:c>
      <x:c r="G31" s="35" t="str">
        <x:v>Enable then disable each optional channel; required/security delivery follows policy; unrelated roles receive nothing.</x:v>
      </x:c>
      <x:c r="H31" s="35" t="str">
        <x:v>Verify generated row/outbox, local/test provider outcome, retry/dead-letter behavior, unread badge, mark read, deep link, and cross-device state.</x:v>
      </x:c>
      <x:c r="I31" s="35" t="str">
        <x:v>Title/body/lock-screen preview contains no excess tenant, money, legal, credential, or cross-property data.</x:v>
      </x:c>
    </x:row>
    <x:row r="32">
      <x:c r="A32" s="20" t="str">
        <x:v>NTF-029</x:v>
      </x:c>
      <x:c r="B32" s="23" t="n">
        <x:v>46604</x:v>
      </x:c>
      <x:c r="C32" s="35" t="str">
        <x:v>Work order completed</x:v>
      </x:c>
      <x:c r="D32" s="35" t="str">
        <x:v>Tenant + Property Manager</x:v>
      </x:c>
      <x:c r="E32" s="35" t="str">
        <x:v>completion + rating request</x:v>
      </x:c>
      <x:c r="F32" s="35" t="str">
        <x:v>work order</x:v>
      </x:c>
      <x:c r="G32" s="35" t="str">
        <x:v>Enable then disable each optional channel; required/security delivery follows policy; unrelated roles receive nothing.</x:v>
      </x:c>
      <x:c r="H32" s="35" t="str">
        <x:v>Verify generated row/outbox, local/test provider outcome, retry/dead-letter behavior, unread badge, mark read, deep link, and cross-device state.</x:v>
      </x:c>
      <x:c r="I32" s="35" t="str">
        <x:v>Title/body/lock-screen preview contains no excess tenant, money, legal, credential, or cross-property data.</x:v>
      </x:c>
    </x:row>
    <x:row r="33">
      <x:c r="A33" s="20" t="str">
        <x:v>NTF-030</x:v>
      </x:c>
      <x:c r="B33" s="23" t="n">
        <x:v>46611</x:v>
      </x:c>
      <x:c r="C33" s="35" t="str">
        <x:v>Recurring maintenance generated</x:v>
      </x:c>
      <x:c r="D33" s="35" t="str">
        <x:v>Property Manager</x:v>
      </x:c>
      <x:c r="E33" s="35" t="str">
        <x:v>team route</x:v>
      </x:c>
      <x:c r="F33" s="35" t="str">
        <x:v>work order</x:v>
      </x:c>
      <x:c r="G33" s="35" t="str">
        <x:v>Enable then disable each optional channel; required/security delivery follows policy; unrelated roles receive nothing.</x:v>
      </x:c>
      <x:c r="H33" s="35" t="str">
        <x:v>Verify generated row/outbox, local/test provider outcome, retry/dead-letter behavior, unread badge, mark read, deep link, and cross-device state.</x:v>
      </x:c>
      <x:c r="I33" s="35" t="str">
        <x:v>Title/body/lock-screen preview contains no excess tenant, money, legal, credential, or cross-property data.</x:v>
      </x:c>
    </x:row>
    <x:row r="34">
      <x:c r="A34" s="20" t="str">
        <x:v>NTF-031</x:v>
      </x:c>
      <x:c r="B34" s="23" t="n">
        <x:v>46618</x:v>
      </x:c>
      <x:c r="C34" s="35" t="str">
        <x:v>Inspection assigned</x:v>
      </x:c>
      <x:c r="D34" s="35" t="str">
        <x:v>Technician</x:v>
      </x:c>
      <x:c r="E34" s="35" t="str">
        <x:v>push + schedule</x:v>
      </x:c>
      <x:c r="F34" s="35" t="str">
        <x:v>inspection</x:v>
      </x:c>
      <x:c r="G34" s="35" t="str">
        <x:v>Enable then disable each optional channel; required/security delivery follows policy; unrelated roles receive nothing.</x:v>
      </x:c>
      <x:c r="H34" s="35" t="str">
        <x:v>Verify generated row/outbox, local/test provider outcome, retry/dead-letter behavior, unread badge, mark read, deep link, and cross-device state.</x:v>
      </x:c>
      <x:c r="I34" s="35" t="str">
        <x:v>Title/body/lock-screen preview contains no excess tenant, money, legal, credential, or cross-property data.</x:v>
      </x:c>
    </x:row>
    <x:row r="35">
      <x:c r="A35" s="20" t="str">
        <x:v>NTF-032</x:v>
      </x:c>
      <x:c r="B35" s="23" t="n">
        <x:v>46625</x:v>
      </x:c>
      <x:c r="C35" s="35" t="str">
        <x:v>Inspection completed</x:v>
      </x:c>
      <x:c r="D35" s="35" t="str">
        <x:v>Property Manager + Tenant when shareable</x:v>
      </x:c>
      <x:c r="E35" s="35" t="str">
        <x:v>report-ready</x:v>
      </x:c>
      <x:c r="F35" s="35" t="str">
        <x:v>inspection report</x:v>
      </x:c>
      <x:c r="G35" s="35" t="str">
        <x:v>Enable then disable each optional channel; required/security delivery follows policy; unrelated roles receive nothing.</x:v>
      </x:c>
      <x:c r="H35" s="35" t="str">
        <x:v>Verify generated row/outbox, local/test provider outcome, retry/dead-letter behavior, unread badge, mark read, deep link, and cross-device state.</x:v>
      </x:c>
      <x:c r="I35" s="35" t="str">
        <x:v>Title/body/lock-screen preview contains no excess tenant, money, legal, credential, or cross-property data.</x:v>
      </x:c>
    </x:row>
    <x:row r="36">
      <x:c r="A36" s="20" t="str">
        <x:v>NTF-033</x:v>
      </x:c>
      <x:c r="B36" s="23" t="n">
        <x:v>46632</x:v>
      </x:c>
      <x:c r="C36" s="35" t="str">
        <x:v>New conversation message</x:v>
      </x:c>
      <x:c r="D36" s="35" t="str">
        <x:v>Tenant/Owner/Staff</x:v>
      </x:c>
      <x:c r="E36" s="35" t="str">
        <x:v>in-app + push</x:v>
      </x:c>
      <x:c r="F36" s="35" t="str">
        <x:v>conversation</x:v>
      </x:c>
      <x:c r="G36" s="35" t="str">
        <x:v>Enable then disable each optional channel; required/security delivery follows policy; unrelated roles receive nothing.</x:v>
      </x:c>
      <x:c r="H36" s="35" t="str">
        <x:v>Verify generated row/outbox, local/test provider outcome, retry/dead-letter behavior, unread badge, mark read, deep link, and cross-device state.</x:v>
      </x:c>
      <x:c r="I36" s="35" t="str">
        <x:v>Title/body/lock-screen preview contains no excess tenant, money, legal, credential, or cross-property data.</x:v>
      </x:c>
    </x:row>
    <x:row r="37">
      <x:c r="A37" s="20" t="str">
        <x:v>NTF-034</x:v>
      </x:c>
      <x:c r="B37" s="23" t="n">
        <x:v>46639</x:v>
      </x:c>
      <x:c r="C37" s="35" t="str">
        <x:v>Message attachment</x:v>
      </x:c>
      <x:c r="D37" s="35" t="str">
        <x:v>Recipient</x:v>
      </x:c>
      <x:c r="E37" s="35" t="str">
        <x:v>notification with safe deep link</x:v>
      </x:c>
      <x:c r="F37" s="35" t="str">
        <x:v>conversation attachment</x:v>
      </x:c>
      <x:c r="G37" s="35" t="str">
        <x:v>Enable then disable each optional channel; required/security delivery follows policy; unrelated roles receive nothing.</x:v>
      </x:c>
      <x:c r="H37" s="35" t="str">
        <x:v>Verify generated row/outbox, local/test provider outcome, retry/dead-letter behavior, unread badge, mark read, deep link, and cross-device state.</x:v>
      </x:c>
      <x:c r="I37" s="35" t="str">
        <x:v>Title/body/lock-screen preview contains no excess tenant, money, legal, credential, or cross-property data.</x:v>
      </x:c>
    </x:row>
    <x:row r="38">
      <x:c r="A38" s="20" t="str">
        <x:v>NTF-035</x:v>
      </x:c>
      <x:c r="B38" s="23" t="n">
        <x:v>46646</x:v>
      </x:c>
      <x:c r="C38" s="35" t="str">
        <x:v>Owner statement ready</x:v>
      </x:c>
      <x:c r="D38" s="35" t="str">
        <x:v>Owner</x:v>
      </x:c>
      <x:c r="E38" s="35" t="str">
        <x:v>in-app + email</x:v>
      </x:c>
      <x:c r="F38" s="35" t="str">
        <x:v>statement</x:v>
      </x:c>
      <x:c r="G38" s="35" t="str">
        <x:v>Enable then disable each optional channel; required/security delivery follows policy; unrelated roles receive nothing.</x:v>
      </x:c>
      <x:c r="H38" s="35" t="str">
        <x:v>Verify generated row/outbox, local/test provider outcome, retry/dead-letter behavior, unread badge, mark read, deep link, and cross-device state.</x:v>
      </x:c>
      <x:c r="I38" s="35" t="str">
        <x:v>Title/body/lock-screen preview contains no excess tenant, money, legal, credential, or cross-property data.</x:v>
      </x:c>
    </x:row>
    <x:row r="39">
      <x:c r="A39" s="20" t="str">
        <x:v>NTF-036</x:v>
      </x:c>
      <x:c r="B39" s="23" t="n">
        <x:v>46653</x:v>
      </x:c>
      <x:c r="C39" s="35" t="str">
        <x:v>Owner approval requested</x:v>
      </x:c>
      <x:c r="D39" s="35" t="str">
        <x:v>Owner</x:v>
      </x:c>
      <x:c r="E39" s="35" t="str">
        <x:v>approval alert</x:v>
      </x:c>
      <x:c r="F39" s="35" t="str">
        <x:v>approval</x:v>
      </x:c>
      <x:c r="G39" s="35" t="str">
        <x:v>Enable then disable each optional channel; required/security delivery follows policy; unrelated roles receive nothing.</x:v>
      </x:c>
      <x:c r="H39" s="35" t="str">
        <x:v>Verify generated row/outbox, local/test provider outcome, retry/dead-letter behavior, unread badge, mark read, deep link, and cross-device state.</x:v>
      </x:c>
      <x:c r="I39" s="35" t="str">
        <x:v>Title/body/lock-screen preview contains no excess tenant, money, legal, credential, or cross-property data.</x:v>
      </x:c>
    </x:row>
    <x:row r="40">
      <x:c r="A40" s="20" t="str">
        <x:v>NTF-037</x:v>
      </x:c>
      <x:c r="B40" s="23" t="n">
        <x:v>46660</x:v>
      </x:c>
      <x:c r="C40" s="35" t="str">
        <x:v>Owner approval accepted/rejected</x:v>
      </x:c>
      <x:c r="D40" s="35" t="str">
        <x:v>Property Manager</x:v>
      </x:c>
      <x:c r="E40" s="35" t="str">
        <x:v>status notification</x:v>
      </x:c>
      <x:c r="F40" s="35" t="str">
        <x:v>approval</x:v>
      </x:c>
      <x:c r="G40" s="35" t="str">
        <x:v>Enable then disable each optional channel; required/security delivery follows policy; unrelated roles receive nothing.</x:v>
      </x:c>
      <x:c r="H40" s="35" t="str">
        <x:v>Verify generated row/outbox, local/test provider outcome, retry/dead-letter behavior, unread badge, mark read, deep link, and cross-device state.</x:v>
      </x:c>
      <x:c r="I40" s="35" t="str">
        <x:v>Title/body/lock-screen preview contains no excess tenant, money, legal, credential, or cross-property data.</x:v>
      </x:c>
    </x:row>
    <x:row r="41">
      <x:c r="A41" s="20" t="str">
        <x:v>NTF-038</x:v>
      </x:c>
      <x:c r="B41" s="23" t="n">
        <x:v>46667</x:v>
      </x:c>
      <x:c r="C41" s="35" t="str">
        <x:v>Bank import/match needs review</x:v>
      </x:c>
      <x:c r="D41" s="35" t="str">
        <x:v>Property Manager</x:v>
      </x:c>
      <x:c r="E41" s="35" t="str">
        <x:v>staff alert</x:v>
      </x:c>
      <x:c r="F41" s="35" t="str">
        <x:v>banking review</x:v>
      </x:c>
      <x:c r="G41" s="35" t="str">
        <x:v>Enable then disable each optional channel; required/security delivery follows policy; unrelated roles receive nothing.</x:v>
      </x:c>
      <x:c r="H41" s="35" t="str">
        <x:v>Verify generated row/outbox, local/test provider outcome, retry/dead-letter behavior, unread badge, mark read, deep link, and cross-device state.</x:v>
      </x:c>
      <x:c r="I41" s="35" t="str">
        <x:v>Title/body/lock-screen preview contains no excess tenant, money, legal, credential, or cross-property data.</x:v>
      </x:c>
    </x:row>
    <x:row r="42">
      <x:c r="A42" s="20" t="str">
        <x:v>NTF-039</x:v>
      </x:c>
      <x:c r="B42" s="23" t="n">
        <x:v>46674</x:v>
      </x:c>
      <x:c r="C42" s="35" t="str">
        <x:v>Expense scan extraction complete/failed</x:v>
      </x:c>
      <x:c r="D42" s="35" t="str">
        <x:v>Uploader</x:v>
      </x:c>
      <x:c r="E42" s="35" t="str">
        <x:v>worker result</x:v>
      </x:c>
      <x:c r="F42" s="35" t="str">
        <x:v>scan draft</x:v>
      </x:c>
      <x:c r="G42" s="35" t="str">
        <x:v>Enable then disable each optional channel; required/security delivery follows policy; unrelated roles receive nothing.</x:v>
      </x:c>
      <x:c r="H42" s="35" t="str">
        <x:v>Verify generated row/outbox, local/test provider outcome, retry/dead-letter behavior, unread badge, mark read, deep link, and cross-device state.</x:v>
      </x:c>
      <x:c r="I42" s="35" t="str">
        <x:v>Title/body/lock-screen preview contains no excess tenant, money, legal, credential, or cross-property data.</x:v>
      </x:c>
    </x:row>
    <x:row r="43">
      <x:c r="A43" s="20" t="str">
        <x:v>NTF-040</x:v>
      </x:c>
      <x:c r="B43" s="23" t="n">
        <x:v>46681</x:v>
      </x:c>
      <x:c r="C43" s="35" t="str">
        <x:v>Lease scan extraction complete/failed</x:v>
      </x:c>
      <x:c r="D43" s="35" t="str">
        <x:v>Uploader</x:v>
      </x:c>
      <x:c r="E43" s="35" t="str">
        <x:v>worker result</x:v>
      </x:c>
      <x:c r="F43" s="35" t="str">
        <x:v>scan draft</x:v>
      </x:c>
      <x:c r="G43" s="35" t="str">
        <x:v>Enable then disable each optional channel; required/security delivery follows policy; unrelated roles receive nothing.</x:v>
      </x:c>
      <x:c r="H43" s="35" t="str">
        <x:v>Verify generated row/outbox, local/test provider outcome, retry/dead-letter behavior, unread badge, mark read, deep link, and cross-device state.</x:v>
      </x:c>
      <x:c r="I43" s="35" t="str">
        <x:v>Title/body/lock-screen preview contains no excess tenant, money, legal, credential, or cross-property data.</x:v>
      </x:c>
    </x:row>
    <x:row r="44">
      <x:c r="A44" s="20" t="str">
        <x:v>NTF-041</x:v>
      </x:c>
      <x:c r="B44" s="23" t="n">
        <x:v>46688</x:v>
      </x:c>
      <x:c r="C44" s="35" t="str">
        <x:v>Import batch complete/failed</x:v>
      </x:c>
      <x:c r="D44" s="35" t="str">
        <x:v>Workspace Administrator</x:v>
      </x:c>
      <x:c r="E44" s="35" t="str">
        <x:v>worker result</x:v>
      </x:c>
      <x:c r="F44" s="35" t="str">
        <x:v>import detail</x:v>
      </x:c>
      <x:c r="G44" s="35" t="str">
        <x:v>Enable then disable each optional channel; required/security delivery follows policy; unrelated roles receive nothing.</x:v>
      </x:c>
      <x:c r="H44" s="35" t="str">
        <x:v>Verify generated row/outbox, local/test provider outcome, retry/dead-letter behavior, unread badge, mark read, deep link, and cross-device state.</x:v>
      </x:c>
      <x:c r="I44" s="35" t="str">
        <x:v>Title/body/lock-screen preview contains no excess tenant, money, legal, credential, or cross-property data.</x:v>
      </x:c>
    </x:row>
    <x:row r="45">
      <x:c r="A45" s="20" t="str">
        <x:v>NTF-042</x:v>
      </x:c>
      <x:c r="B45" s="23" t="n">
        <x:v>46695</x:v>
      </x:c>
      <x:c r="C45" s="35" t="str">
        <x:v>Team invitation</x:v>
      </x:c>
      <x:c r="D45" s="35" t="str">
        <x:v>Invited staff</x:v>
      </x:c>
      <x:c r="E45" s="35" t="str">
        <x:v>email/test delivery</x:v>
      </x:c>
      <x:c r="F45" s="35" t="str">
        <x:v>activation</x:v>
      </x:c>
      <x:c r="G45" s="35" t="str">
        <x:v>Enable then disable each optional channel; required/security delivery follows policy; unrelated roles receive nothing.</x:v>
      </x:c>
      <x:c r="H45" s="35" t="str">
        <x:v>Verify generated row/outbox, local/test provider outcome, retry/dead-letter behavior, unread badge, mark read, deep link, and cross-device state.</x:v>
      </x:c>
      <x:c r="I45" s="35" t="str">
        <x:v>Title/body/lock-screen preview contains no excess tenant, money, legal, credential, or cross-property data.</x:v>
      </x:c>
    </x:row>
    <x:row r="46">
      <x:c r="A46" s="20" t="str">
        <x:v>NTF-043</x:v>
      </x:c>
      <x:c r="B46" s="23" t="n">
        <x:v>46702</x:v>
      </x:c>
      <x:c r="C46" s="35" t="str">
        <x:v>Assignment offered/accepted/declined</x:v>
      </x:c>
      <x:c r="D46" s="35" t="str">
        <x:v>Staff + manager</x:v>
      </x:c>
      <x:c r="E46" s="35" t="str">
        <x:v>in-app + push</x:v>
      </x:c>
      <x:c r="F46" s="35" t="str">
        <x:v>assignment inbox</x:v>
      </x:c>
      <x:c r="G46" s="35" t="str">
        <x:v>Enable then disable each optional channel; required/security delivery follows policy; unrelated roles receive nothing.</x:v>
      </x:c>
      <x:c r="H46" s="35" t="str">
        <x:v>Verify generated row/outbox, local/test provider outcome, retry/dead-letter behavior, unread badge, mark read, deep link, and cross-device state.</x:v>
      </x:c>
      <x:c r="I46" s="35" t="str">
        <x:v>Title/body/lock-screen preview contains no excess tenant, money, legal, credential, or cross-property data.</x:v>
      </x:c>
    </x:row>
    <x:row r="47">
      <x:c r="A47" s="20" t="str">
        <x:v>NTF-044</x:v>
      </x:c>
      <x:c r="B47" s="23" t="n">
        <x:v>46709</x:v>
      </x:c>
      <x:c r="C47" s="35" t="str">
        <x:v>Role/scope changed</x:v>
      </x:c>
      <x:c r="D47" s="35" t="str">
        <x:v>Affected staff</x:v>
      </x:c>
      <x:c r="E47" s="35" t="str">
        <x:v>security alert + access refresh</x:v>
      </x:c>
      <x:c r="F47" s="35" t="str">
        <x:v>safe landing</x:v>
      </x:c>
      <x:c r="G47" s="35" t="str">
        <x:v>Enable then disable each optional channel; required/security delivery follows policy; unrelated roles receive nothing.</x:v>
      </x:c>
      <x:c r="H47" s="35" t="str">
        <x:v>Verify generated row/outbox, local/test provider outcome, retry/dead-letter behavior, unread badge, mark read, deep link, and cross-device state.</x:v>
      </x:c>
      <x:c r="I47" s="35" t="str">
        <x:v>Title/body/lock-screen preview contains no excess tenant, money, legal, credential, or cross-property data.</x:v>
      </x:c>
    </x:row>
    <x:row r="48">
      <x:c r="A48" s="20" t="str">
        <x:v>NTF-045</x:v>
      </x:c>
      <x:c r="B48" s="23" t="n">
        <x:v>46716</x:v>
      </x:c>
      <x:c r="C48" s="35" t="str">
        <x:v>Password changed</x:v>
      </x:c>
      <x:c r="D48" s="35" t="str">
        <x:v>Account owner</x:v>
      </x:c>
      <x:c r="E48" s="35" t="str">
        <x:v>security alert</x:v>
      </x:c>
      <x:c r="F48" s="35" t="str">
        <x:v>security page</x:v>
      </x:c>
      <x:c r="G48" s="35" t="str">
        <x:v>Enable then disable each optional channel; required/security delivery follows policy; unrelated roles receive nothing.</x:v>
      </x:c>
      <x:c r="H48" s="35" t="str">
        <x:v>Verify generated row/outbox, local/test provider outcome, retry/dead-letter behavior, unread badge, mark read, deep link, and cross-device state.</x:v>
      </x:c>
      <x:c r="I48" s="35" t="str">
        <x:v>Title/body/lock-screen preview contains no excess tenant, money, legal, credential, or cross-property data.</x:v>
      </x:c>
    </x:row>
    <x:row r="49">
      <x:c r="A49" s="20" t="str">
        <x:v>NTF-046</x:v>
      </x:c>
      <x:c r="B49" s="23" t="n">
        <x:v>46723</x:v>
      </x:c>
      <x:c r="C49" s="35" t="str">
        <x:v>Session revoked</x:v>
      </x:c>
      <x:c r="D49" s="35" t="str">
        <x:v>Account owner</x:v>
      </x:c>
      <x:c r="E49" s="35" t="str">
        <x:v>security alert</x:v>
      </x:c>
      <x:c r="F49" s="35" t="str">
        <x:v>login</x:v>
      </x:c>
      <x:c r="G49" s="35" t="str">
        <x:v>Enable then disable each optional channel; required/security delivery follows policy; unrelated roles receive nothing.</x:v>
      </x:c>
      <x:c r="H49" s="35" t="str">
        <x:v>Verify generated row/outbox, local/test provider outcome, retry/dead-letter behavior, unread badge, mark read, deep link, and cross-device state.</x:v>
      </x:c>
      <x:c r="I49" s="35" t="str">
        <x:v>Title/body/lock-screen preview contains no excess tenant, money, legal, credential, or cross-property data.</x:v>
      </x:c>
    </x:row>
    <x:row r="50">
      <x:c r="A50" s="20" t="str">
        <x:v>NTF-047</x:v>
      </x:c>
      <x:c r="B50" s="23" t="n">
        <x:v>46730</x:v>
      </x:c>
      <x:c r="C50" s="35" t="str">
        <x:v>Provider delivery failure/retry</x:v>
      </x:c>
      <x:c r="D50" s="35" t="str">
        <x:v>Workspace Administrator</x:v>
      </x:c>
      <x:c r="E50" s="35" t="str">
        <x:v>admin alert</x:v>
      </x:c>
      <x:c r="F50" s="35" t="str">
        <x:v>notification delivery log</x:v>
      </x:c>
      <x:c r="G50" s="35" t="str">
        <x:v>Enable then disable each optional channel; required/security delivery follows policy; unrelated roles receive nothing.</x:v>
      </x:c>
      <x:c r="H50" s="35" t="str">
        <x:v>Verify generated row/outbox, local/test provider outcome, retry/dead-letter behavior, unread badge, mark read, deep link, and cross-device state.</x:v>
      </x:c>
      <x:c r="I50" s="35" t="str">
        <x:v>Title/body/lock-screen preview contains no excess tenant, money, legal, credential, or cross-property data.</x:v>
      </x:c>
    </x:row>
    <x:row r="51">
      <x:c r="A51" s="20" t="str">
        <x:v>NTF-048</x:v>
      </x:c>
      <x:c r="B51" s="23" t="n">
        <x:v>46737</x:v>
      </x:c>
      <x:c r="C51" s="35" t="str">
        <x:v>Tenant notice generated/sent</x:v>
      </x:c>
      <x:c r="D51" s="35" t="str">
        <x:v>Tenant + notice operator</x:v>
      </x:c>
      <x:c r="E51" s="35" t="str">
        <x:v>policy delivery</x:v>
      </x:c>
      <x:c r="F51" s="35" t="str">
        <x:v>notice history</x:v>
      </x:c>
      <x:c r="G51" s="35" t="str">
        <x:v>Enable then disable each optional channel; required/security delivery follows policy; unrelated roles receive nothing.</x:v>
      </x:c>
      <x:c r="H51" s="35" t="str">
        <x:v>Verify generated row/outbox, local/test provider outcome, retry/dead-letter behavior, unread badge, mark read, deep link, and cross-device state.</x:v>
      </x:c>
      <x:c r="I51" s="35" t="str">
        <x:v>Title/body/lock-screen preview contains no excess tenant, money, legal, credential, or cross-property data.</x:v>
      </x:c>
    </x:row>
    <x:row r="52">
      <x:c r="A52" s="20" t="str">
        <x:v>NTF-049</x:v>
      </x:c>
      <x:c r="B52" s="23" t="n">
        <x:v>46744</x:v>
      </x:c>
      <x:c r="C52" s="35" t="str">
        <x:v>Legal case event due</x:v>
      </x:c>
      <x:c r="D52" s="35" t="str">
        <x:v>Property Manager</x:v>
      </x:c>
      <x:c r="E52" s="35" t="str">
        <x:v>scheduled staff alert</x:v>
      </x:c>
      <x:c r="F52" s="35" t="str">
        <x:v>case timeline</x:v>
      </x:c>
      <x:c r="G52" s="35" t="str">
        <x:v>Enable then disable each optional channel; required/security delivery follows policy; unrelated roles receive nothing.</x:v>
      </x:c>
      <x:c r="H52" s="35" t="str">
        <x:v>Verify generated row/outbox, local/test provider outcome, retry/dead-letter behavior, unread badge, mark read, deep link, and cross-device state.</x:v>
      </x:c>
      <x:c r="I52" s="35" t="str">
        <x:v>Title/body/lock-screen preview contains no excess tenant, money, legal, credential, or cross-property data.</x:v>
      </x:c>
    </x:row>
    <x:row r="53">
      <x:c r="A53" s="21" t="str">
        <x:v>NTF-050</x:v>
      </x:c>
      <x:c r="B53" s="24" t="n">
        <x:v>46751</x:v>
      </x:c>
      <x:c r="C53" s="36" t="str">
        <x:v>Year-end reports ready</x:v>
      </x:c>
      <x:c r="D53" s="36" t="str">
        <x:v>Owner + Property Manager</x:v>
      </x:c>
      <x:c r="E53" s="36" t="str">
        <x:v>packet-ready</x:v>
      </x:c>
      <x:c r="F53" s="36" t="str">
        <x:v>report/statement</x:v>
      </x:c>
      <x:c r="G53" s="36" t="str">
        <x:v>Enable then disable each optional channel; required/security delivery follows policy; unrelated roles receive nothing.</x:v>
      </x:c>
      <x:c r="H53" s="36" t="str">
        <x:v>Verify generated row/outbox, local/test provider outcome, retry/dead-letter behavior, unread badge, mark read, deep link, and cross-device state.</x:v>
      </x:c>
      <x:c r="I53" s="36" t="str">
        <x:v>Title/body/lock-screen preview contains no excess tenant, money, legal, credential, or cross-property data.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4c88ad41e0247f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8" hidden="0" customWidth="1"/>
    <x:col min="9" max="9" width="30" hidden="0" customWidth="1"/>
    <x:col min="10" max="10" width="32" hidden="0" customWidth="1"/>
    <x:col min="11" max="11" width="16" hidden="0" customWidth="1"/>
    <x:col min="12" max="12" width="28" hidden="0" customWidth="1"/>
    <x:col min="13" max="13" width="16" hidden="0" customWidth="1"/>
    <x:col min="26" max="26" width="48" hidden="0" customWidth="1"/>
  </x:cols>
  <x:sheetData>
    <x:row r="1" ht="34" customHeight="1">
      <x:c r="A1" s="3" t="str">
        <x:v>Independent Financial Event Oracle</x:v>
      </x:c>
      <x:c r="B1" s="3" t="str">
        <x:v>Independent Financial Event Oracle</x:v>
      </x:c>
      <x:c r="C1" s="3" t="str">
        <x:v>Independent Financial Event Oracle</x:v>
      </x:c>
      <x:c r="D1" s="3" t="str">
        <x:v>Independent Financial Event Oracle</x:v>
      </x:c>
      <x:c r="E1" s="3" t="str">
        <x:v>Independent Financial Event Oracle</x:v>
      </x:c>
      <x:c r="F1" s="3" t="str">
        <x:v>Independent Financial Event Oracle</x:v>
      </x:c>
      <x:c r="G1" s="3" t="str">
        <x:v>Independent Financial Event Oracle</x:v>
      </x:c>
      <x:c r="H1" s="3" t="str">
        <x:v>Independent Financial Event Oracle</x:v>
      </x:c>
      <x:c r="I1" s="3" t="str">
        <x:v>Independent Financial Event Oracle</x:v>
      </x:c>
      <x:c r="J1" s="3" t="str">
        <x:v>Independent Financial Event Oracle</x:v>
      </x:c>
      <x:c r="K1" s="3" t="str">
        <x:v>Independent Financial Event Oracle</x:v>
      </x:c>
      <x:c r="L1" s="3" t="str">
        <x:v>Independent Financial Event Oracle</x:v>
      </x:c>
      <x:c r="M1" s="3" t="str">
        <x:v>Independent Financial Event Oracle</x:v>
      </x:c>
      <x:c r="N1" s="3" t="str">
        <x:v>Independent Financial Event Oracle</x:v>
      </x:c>
      <x:c r="O1" s="3" t="str">
        <x:v>Independent Financial Event Oracle</x:v>
      </x:c>
      <x:c r="P1" s="3" t="str">
        <x:v>Independent Financial Event Oracle</x:v>
      </x:c>
      <x:c r="Q1" s="3" t="str">
        <x:v>Independent Financial Event Oracle</x:v>
      </x:c>
      <x:c r="R1" s="3" t="str">
        <x:v>Independent Financial Event Oracle</x:v>
      </x:c>
      <x:c r="S1" s="3" t="str">
        <x:v>Independent Financial Event Oracle</x:v>
      </x:c>
      <x:c r="T1" s="3" t="str">
        <x:v>Independent Financial Event Oracle</x:v>
      </x:c>
      <x:c r="U1" s="3" t="str">
        <x:v>Independent Financial Event Oracle</x:v>
      </x:c>
      <x:c r="V1" s="3" t="str">
        <x:v>Independent Financial Event Oracle</x:v>
      </x:c>
      <x:c r="W1" s="3" t="str">
        <x:v>Independent Financial Event Oracle</x:v>
      </x:c>
      <x:c r="X1" s="3" t="str">
        <x:v>Independent Financial Event Oracle</x:v>
      </x:c>
      <x:c r="Y1" s="3" t="str">
        <x:v>Independent Financial Event Oracle</x:v>
      </x:c>
      <x:c r="Z1" s="3" t="str">
        <x:v>Independent Financial Event Oracle</x:v>
      </x:c>
    </x:row>
    <x:row r="3" ht="30" customHeight="1">
      <x:c r="A3" s="12" t="str">
        <x:v>Event ID</x:v>
      </x:c>
      <x:c r="B3" s="13" t="str">
        <x:v>Entry Date</x:v>
      </x:c>
      <x:c r="C3" s="13" t="str">
        <x:v>Effective Date</x:v>
      </x:c>
      <x:c r="D3" s="13" t="str">
        <x:v>Event Type</x:v>
      </x:c>
      <x:c r="E3" s="13" t="str">
        <x:v>Category</x:v>
      </x:c>
      <x:c r="F3" s="13" t="str">
        <x:v>Property ID</x:v>
      </x:c>
      <x:c r="G3" s="13" t="str">
        <x:v>Unit ID</x:v>
      </x:c>
      <x:c r="H3" s="13" t="str">
        <x:v>Lease ID</x:v>
      </x:c>
      <x:c r="I3" s="13" t="str">
        <x:v>Counterparty</x:v>
      </x:c>
      <x:c r="J3" s="13" t="str">
        <x:v>Source Mode</x:v>
      </x:c>
      <x:c r="K3" s="13" t="str">
        <x:v>Source Asset</x:v>
      </x:c>
      <x:c r="L3" s="13" t="str">
        <x:v>Reference</x:v>
      </x:c>
      <x:c r="M3" s="13" t="str">
        <x:v>Amount</x:v>
      </x:c>
      <x:c r="N3" s="13" t="str">
        <x:v>AR Delta</x:v>
      </x:c>
      <x:c r="O3" s="13" t="str">
        <x:v>Operating Cash Delta</x:v>
      </x:c>
      <x:c r="P3" s="13" t="str">
        <x:v>Deposit Cash Delta</x:v>
      </x:c>
      <x:c r="Q3" s="13" t="str">
        <x:v>Reserve Cash Delta</x:v>
      </x:c>
      <x:c r="R3" s="13" t="str">
        <x:v>Deposit Liability Delta</x:v>
      </x:c>
      <x:c r="S3" s="13" t="str">
        <x:v>Loan Liability Delta</x:v>
      </x:c>
      <x:c r="T3" s="13" t="str">
        <x:v>Income</x:v>
      </x:c>
      <x:c r="U3" s="13" t="str">
        <x:v>Expense</x:v>
      </x:c>
      <x:c r="V3" s="13" t="str">
        <x:v>Owner Equity Delta</x:v>
      </x:c>
      <x:c r="W3" s="13" t="str">
        <x:v>Owner Distribution</x:v>
      </x:c>
      <x:c r="X3" s="13" t="str">
        <x:v>Capital Asset Delta</x:v>
      </x:c>
      <x:c r="Y3" s="13" t="str">
        <x:v>Accumulated Depreciation Delta</x:v>
      </x:c>
      <x:c r="Z3" s="14" t="str">
        <x:v>Memo</x:v>
      </x:c>
    </x:row>
    <x:row r="4">
      <x:c r="A4" s="19" t="str">
        <x:v>FIN-00001</x:v>
      </x:c>
      <x:c r="B4" s="22" t="n">
        <x:v>46388</x:v>
      </x:c>
      <x:c r="C4" s="22" t="n">
        <x:v>46388</x:v>
      </x:c>
      <x:c r="D4" s="19" t="str">
        <x:v>OpeningBalance</x:v>
      </x:c>
      <x:c r="E4" s="19" t="str">
        <x:v>Opening balances</x:v>
      </x:c>
      <x:c r="F4" s="19" t="str"/>
      <x:c r="G4" s="19" t="str"/>
      <x:c r="H4" s="19" t="str"/>
      <x:c r="I4" s="19" t="str">
        <x:v>Blue Door Property Management</x:v>
      </x:c>
      <x:c r="J4" s="34" t="str">
        <x:v>Manual setup + scanned source documents</x:v>
      </x:c>
      <x:c r="K4" s="19" t="str"/>
      <x:c r="L4" s="19" t="str">
        <x:v>OPEN-2027</x:v>
      </x:c>
      <x:c r="M4" s="25" t="n">
        <x:v>9250500</x:v>
      </x:c>
      <x:c r="N4" s="25" t="n">
        <x:v>0</x:v>
      </x:c>
      <x:c r="O4" s="25" t="n">
        <x:v>150000</x:v>
      </x:c>
      <x:c r="P4" s="25" t="n">
        <x:v>54250</x:v>
      </x:c>
      <x:c r="Q4" s="25" t="n">
        <x:v>50000</x:v>
      </x:c>
      <x:c r="R4" s="25" t="n">
        <x:v>54250</x:v>
      </x:c>
      <x:c r="S4" s="25" t="n">
        <x:v>4126500</x:v>
      </x:c>
      <x:c r="T4" s="25" t="n">
        <x:v>0</x:v>
      </x:c>
      <x:c r="U4" s="25" t="n">
        <x:v>0</x:v>
      </x:c>
      <x:c r="V4" s="25" t="n">
        <x:v>5069750</x:v>
      </x:c>
      <x:c r="W4" s="25" t="n">
        <x:v>0</x:v>
      </x:c>
      <x:c r="X4" s="25" t="n">
        <x:v>8996250</x:v>
      </x:c>
      <x:c r="Y4" s="25" t="n">
        <x:v>0</x:v>
      </x:c>
      <x:c r="Z4" s="34" t="str">
        <x:v>Opening control balances for the independent financial oracle</x:v>
      </x:c>
    </x:row>
    <x:row r="5">
      <x:c r="A5" s="20" t="str">
        <x:v>FIN-00002</x:v>
      </x:c>
      <x:c r="B5" s="23" t="n">
        <x:v>46388</x:v>
      </x:c>
      <x:c r="C5" s="23" t="n">
        <x:v>46388</x:v>
      </x:c>
      <x:c r="D5" s="20" t="str">
        <x:v>TenantCharge</x:v>
      </x:c>
      <x:c r="E5" s="20" t="str">
        <x:v>Rent</x:v>
      </x:c>
      <x:c r="F5" s="20" t="str">
        <x:v>P001</x:v>
      </x:c>
      <x:c r="G5" s="20" t="str">
        <x:v>U001</x:v>
      </x:c>
      <x:c r="H5" s="20" t="str">
        <x:v>L001</x:v>
      </x:c>
      <x:c r="I5" s="20" t="str">
        <x:v>Dana Garcia</x:v>
      </x:c>
      <x:c r="J5" s="35" t="str">
        <x:v>System scheduled charge</x:v>
      </x:c>
      <x:c r="K5" s="20" t="str"/>
      <x:c r="L5" s="20" t="str">
        <x:v>RENT-202701-L001</x:v>
      </x:c>
      <x:c r="M5" s="26" t="n">
        <x:v>1575</x:v>
      </x:c>
      <x:c r="N5" s="26" t="n">
        <x:v>1575</x:v>
      </x:c>
      <x:c r="O5" s="26" t="n">
        <x:v>0</x:v>
      </x:c>
      <x:c r="P5" s="26" t="n">
        <x:v>0</x:v>
      </x:c>
      <x:c r="Q5" s="26" t="n">
        <x:v>0</x:v>
      </x:c>
      <x:c r="R5" s="26" t="n">
        <x:v>0</x:v>
      </x:c>
      <x:c r="S5" s="26" t="n">
        <x:v>0</x:v>
      </x:c>
      <x:c r="T5" s="26" t="n">
        <x:v>1575</x:v>
      </x:c>
      <x:c r="U5" s="26" t="n">
        <x:v>0</x:v>
      </x:c>
      <x:c r="V5" s="26" t="n">
        <x:v>0</x:v>
      </x:c>
      <x:c r="W5" s="26" t="n">
        <x:v>0</x:v>
      </x:c>
      <x:c r="X5" s="26" t="n">
        <x:v>0</x:v>
      </x:c>
      <x:c r="Y5" s="26" t="n">
        <x:v>0</x:v>
      </x:c>
      <x:c r="Z5" s="35" t="str">
        <x:v>January 2027 rent</x:v>
      </x:c>
    </x:row>
    <x:row r="6">
      <x:c r="A6" s="20" t="str">
        <x:v>FIN-00003</x:v>
      </x:c>
      <x:c r="B6" s="23" t="n">
        <x:v>46391</x:v>
      </x:c>
      <x:c r="C6" s="23" t="n">
        <x:v>46391</x:v>
      </x:c>
      <x:c r="D6" s="20" t="str">
        <x:v>TenantReceipt</x:v>
      </x:c>
      <x:c r="E6" s="20" t="str">
        <x:v>Rent receipt</x:v>
      </x:c>
      <x:c r="F6" s="20" t="str">
        <x:v>P001</x:v>
      </x:c>
      <x:c r="G6" s="20" t="str">
        <x:v>U001</x:v>
      </x:c>
      <x:c r="H6" s="20" t="str">
        <x:v>L001</x:v>
      </x:c>
      <x:c r="I6" s="20" t="str">
        <x:v>Dana Garcia</x:v>
      </x:c>
      <x:c r="J6" s="35" t="str">
        <x:v>Scanned money order</x:v>
      </x:c>
      <x:c r="K6" s="20" t="str">
        <x:v>SCN-0087</x:v>
      </x:c>
      <x:c r="L6" s="20" t="str">
        <x:v>PMT-20270104-L001</x:v>
      </x:c>
      <x:c r="M6" s="26" t="n">
        <x:v>1575</x:v>
      </x:c>
      <x:c r="N6" s="26" t="n">
        <x:v>-1575</x:v>
      </x:c>
      <x:c r="O6" s="26" t="n">
        <x:v>1575</x:v>
      </x:c>
      <x:c r="P6" s="26" t="n">
        <x:v>0</x:v>
      </x:c>
      <x:c r="Q6" s="26" t="n">
        <x:v>0</x:v>
      </x:c>
      <x:c r="R6" s="26" t="n">
        <x:v>0</x:v>
      </x:c>
      <x:c r="S6" s="26" t="n">
        <x:v>0</x:v>
      </x:c>
      <x:c r="T6" s="26" t="n">
        <x:v>0</x:v>
      </x:c>
      <x:c r="U6" s="26" t="n">
        <x:v>0</x:v>
      </x:c>
      <x:c r="V6" s="26" t="n">
        <x:v>0</x:v>
      </x:c>
      <x:c r="W6" s="26" t="n">
        <x:v>0</x:v>
      </x:c>
      <x:c r="X6" s="26" t="n">
        <x:v>0</x:v>
      </x:c>
      <x:c r="Y6" s="26" t="n">
        <x:v>0</x:v>
      </x:c>
      <x:c r="Z6" s="35" t="str">
        <x:v>Receipt allocated to FIN-00002</x:v>
      </x:c>
    </x:row>
    <x:row r="7">
      <x:c r="A7" s="20" t="str">
        <x:v>FIN-00004</x:v>
      </x:c>
      <x:c r="B7" s="23" t="n">
        <x:v>46388</x:v>
      </x:c>
      <x:c r="C7" s="23" t="n">
        <x:v>46388</x:v>
      </x:c>
      <x:c r="D7" s="20" t="str">
        <x:v>TenantCharge</x:v>
      </x:c>
      <x:c r="E7" s="20" t="str">
        <x:v>Rent</x:v>
      </x:c>
      <x:c r="F7" s="20" t="str">
        <x:v>P002</x:v>
      </x:c>
      <x:c r="G7" s="20" t="str">
        <x:v>U002</x:v>
      </x:c>
      <x:c r="H7" s="20" t="str">
        <x:v>L002</x:v>
      </x:c>
      <x:c r="I7" s="20" t="str">
        <x:v>Gray Lewis</x:v>
      </x:c>
      <x:c r="J7" s="35" t="str">
        <x:v>System scheduled charge</x:v>
      </x:c>
      <x:c r="K7" s="20" t="str"/>
      <x:c r="L7" s="20" t="str">
        <x:v>RENT-202701-L002</x:v>
      </x:c>
      <x:c r="M7" s="26" t="n">
        <x:v>1200</x:v>
      </x:c>
      <x:c r="N7" s="26" t="n">
        <x:v>1200</x:v>
      </x:c>
      <x:c r="O7" s="26" t="n">
        <x:v>0</x:v>
      </x:c>
      <x:c r="P7" s="26" t="n">
        <x:v>0</x:v>
      </x:c>
      <x:c r="Q7" s="26" t="n">
        <x:v>0</x:v>
      </x:c>
      <x:c r="R7" s="26" t="n">
        <x:v>0</x:v>
      </x:c>
      <x:c r="S7" s="26" t="n">
        <x:v>0</x:v>
      </x:c>
      <x:c r="T7" s="26" t="n">
        <x:v>1200</x:v>
      </x:c>
      <x:c r="U7" s="26" t="n">
        <x:v>0</x:v>
      </x:c>
      <x:c r="V7" s="26" t="n">
        <x:v>0</x:v>
      </x:c>
      <x:c r="W7" s="26" t="n">
        <x:v>0</x:v>
      </x:c>
      <x:c r="X7" s="26" t="n">
        <x:v>0</x:v>
      </x:c>
      <x:c r="Y7" s="26" t="n">
        <x:v>0</x:v>
      </x:c>
      <x:c r="Z7" s="35" t="str">
        <x:v>January 2027 rent</x:v>
      </x:c>
    </x:row>
    <x:row r="8">
      <x:c r="A8" s="20" t="str">
        <x:v>FIN-00005</x:v>
      </x:c>
      <x:c r="B8" s="23" t="n">
        <x:v>46392</x:v>
      </x:c>
      <x:c r="C8" s="23" t="n">
        <x:v>46392</x:v>
      </x:c>
      <x:c r="D8" s="20" t="str">
        <x:v>TenantReceipt</x:v>
      </x:c>
      <x:c r="E8" s="20" t="str">
        <x:v>Rent receipt</x:v>
      </x:c>
      <x:c r="F8" s="20" t="str">
        <x:v>P002</x:v>
      </x:c>
      <x:c r="G8" s="20" t="str">
        <x:v>U002</x:v>
      </x:c>
      <x:c r="H8" s="20" t="str">
        <x:v>L002</x:v>
      </x:c>
      <x:c r="I8" s="20" t="str">
        <x:v>Gray Lewis</x:v>
      </x:c>
      <x:c r="J8" s="35" t="str">
        <x:v>Manual ACH</x:v>
      </x:c>
      <x:c r="K8" s="20" t="str"/>
      <x:c r="L8" s="20" t="str">
        <x:v>PMT-20270105-L002</x:v>
      </x:c>
      <x:c r="M8" s="26" t="n">
        <x:v>1200</x:v>
      </x:c>
      <x:c r="N8" s="26" t="n">
        <x:v>-1200</x:v>
      </x:c>
      <x:c r="O8" s="26" t="n">
        <x:v>1200</x:v>
      </x:c>
      <x:c r="P8" s="26" t="n">
        <x:v>0</x:v>
      </x:c>
      <x:c r="Q8" s="26" t="n">
        <x:v>0</x:v>
      </x:c>
      <x:c r="R8" s="26" t="n">
        <x:v>0</x:v>
      </x:c>
      <x:c r="S8" s="26" t="n">
        <x:v>0</x:v>
      </x:c>
      <x:c r="T8" s="26" t="n">
        <x:v>0</x:v>
      </x:c>
      <x:c r="U8" s="26" t="n">
        <x:v>0</x:v>
      </x:c>
      <x:c r="V8" s="26" t="n">
        <x:v>0</x:v>
      </x:c>
      <x:c r="W8" s="26" t="n">
        <x:v>0</x:v>
      </x:c>
      <x:c r="X8" s="26" t="n">
        <x:v>0</x:v>
      </x:c>
      <x:c r="Y8" s="26" t="n">
        <x:v>0</x:v>
      </x:c>
      <x:c r="Z8" s="35" t="str">
        <x:v>Receipt allocated to FIN-00004</x:v>
      </x:c>
    </x:row>
    <x:row r="9">
      <x:c r="A9" s="20" t="str">
        <x:v>FIN-00006</x:v>
      </x:c>
      <x:c r="B9" s="23" t="n">
        <x:v>46388</x:v>
      </x:c>
      <x:c r="C9" s="23" t="n">
        <x:v>46388</x:v>
      </x:c>
      <x:c r="D9" s="20" t="str">
        <x:v>TenantCharge</x:v>
      </x:c>
      <x:c r="E9" s="20" t="str">
        <x:v>Rent</x:v>
      </x:c>
      <x:c r="F9" s="20" t="str">
        <x:v>P003</x:v>
      </x:c>
      <x:c r="G9" s="20" t="str">
        <x:v>U003</x:v>
      </x:c>
      <x:c r="H9" s="20" t="str">
        <x:v>L003</x:v>
      </x:c>
      <x:c r="I9" s="20" t="str">
        <x:v>Jordan Reed</x:v>
      </x:c>
      <x:c r="J9" s="35" t="str">
        <x:v>System scheduled charge</x:v>
      </x:c>
      <x:c r="K9" s="20" t="str"/>
      <x:c r="L9" s="20" t="str">
        <x:v>RENT-202701-L003</x:v>
      </x:c>
      <x:c r="M9" s="26" t="n">
        <x:v>1725</x:v>
      </x:c>
      <x:c r="N9" s="26" t="n">
        <x:v>1725</x:v>
      </x:c>
      <x:c r="O9" s="26" t="n">
        <x:v>0</x:v>
      </x:c>
      <x:c r="P9" s="26" t="n">
        <x:v>0</x:v>
      </x:c>
      <x:c r="Q9" s="26" t="n">
        <x:v>0</x:v>
      </x:c>
      <x:c r="R9" s="26" t="n">
        <x:v>0</x:v>
      </x:c>
      <x:c r="S9" s="26" t="n">
        <x:v>0</x:v>
      </x:c>
      <x:c r="T9" s="26" t="n">
        <x:v>1725</x:v>
      </x:c>
      <x:c r="U9" s="26" t="n">
        <x:v>0</x:v>
      </x:c>
      <x:c r="V9" s="26" t="n">
        <x:v>0</x:v>
      </x:c>
      <x:c r="W9" s="26" t="n">
        <x:v>0</x:v>
      </x:c>
      <x:c r="X9" s="26" t="n">
        <x:v>0</x:v>
      </x:c>
      <x:c r="Y9" s="26" t="n">
        <x:v>0</x:v>
      </x:c>
      <x:c r="Z9" s="35" t="str">
        <x:v>January 2027 rent</x:v>
      </x:c>
    </x:row>
    <x:row r="10">
      <x:c r="A10" s="20" t="str">
        <x:v>FIN-00007</x:v>
      </x:c>
      <x:c r="B10" s="23" t="n">
        <x:v>46390</x:v>
      </x:c>
      <x:c r="C10" s="23" t="n">
        <x:v>46390</x:v>
      </x:c>
      <x:c r="D10" s="20" t="str">
        <x:v>TenantReceipt</x:v>
      </x:c>
      <x:c r="E10" s="20" t="str">
        <x:v>Rent receipt</x:v>
      </x:c>
      <x:c r="F10" s="20" t="str">
        <x:v>P003</x:v>
      </x:c>
      <x:c r="G10" s="20" t="str">
        <x:v>U003</x:v>
      </x:c>
      <x:c r="H10" s="20" t="str">
        <x:v>L003</x:v>
      </x:c>
      <x:c r="I10" s="20" t="str">
        <x:v>Jordan Reed</x:v>
      </x:c>
      <x:c r="J10" s="35" t="str">
        <x:v>Portal card</x:v>
      </x:c>
      <x:c r="K10" s="20" t="str"/>
      <x:c r="L10" s="20" t="str">
        <x:v>PMT-20270103-L003</x:v>
      </x:c>
      <x:c r="M10" s="26" t="n">
        <x:v>1725</x:v>
      </x:c>
      <x:c r="N10" s="26" t="n">
        <x:v>-1725</x:v>
      </x:c>
      <x:c r="O10" s="26" t="n">
        <x:v>1725</x:v>
      </x:c>
      <x:c r="P10" s="26" t="n">
        <x:v>0</x:v>
      </x:c>
      <x:c r="Q10" s="26" t="n">
        <x:v>0</x:v>
      </x:c>
      <x:c r="R10" s="26" t="n">
        <x:v>0</x:v>
      </x:c>
      <x:c r="S10" s="26" t="n">
        <x:v>0</x:v>
      </x:c>
      <x:c r="T10" s="26" t="n">
        <x:v>0</x:v>
      </x:c>
      <x:c r="U10" s="26" t="n">
        <x:v>0</x:v>
      </x:c>
      <x:c r="V10" s="26" t="n">
        <x:v>0</x:v>
      </x:c>
      <x:c r="W10" s="26" t="n">
        <x:v>0</x:v>
      </x:c>
      <x:c r="X10" s="26" t="n">
        <x:v>0</x:v>
      </x:c>
      <x:c r="Y10" s="26" t="n">
        <x:v>0</x:v>
      </x:c>
      <x:c r="Z10" s="35" t="str">
        <x:v>Receipt allocated to FIN-00006</x:v>
      </x:c>
    </x:row>
    <x:row r="11">
      <x:c r="A11" s="20" t="str">
        <x:v>FIN-00008</x:v>
      </x:c>
      <x:c r="B11" s="23" t="n">
        <x:v>46388</x:v>
      </x:c>
      <x:c r="C11" s="23" t="n">
        <x:v>46388</x:v>
      </x:c>
      <x:c r="D11" s="20" t="str">
        <x:v>TenantCharge</x:v>
      </x:c>
      <x:c r="E11" s="20" t="str">
        <x:v>Rent</x:v>
      </x:c>
      <x:c r="F11" s="20" t="str">
        <x:v>P004</x:v>
      </x:c>
      <x:c r="G11" s="20" t="str">
        <x:v>U004</x:v>
      </x:c>
      <x:c r="H11" s="20" t="str">
        <x:v>L004</x:v>
      </x:c>
      <x:c r="I11" s="20" t="str">
        <x:v>Morgan Adams</x:v>
      </x:c>
      <x:c r="J11" s="35" t="str">
        <x:v>System scheduled charge</x:v>
      </x:c>
      <x:c r="K11" s="20" t="str"/>
      <x:c r="L11" s="20" t="str">
        <x:v>RENT-202701-L004</x:v>
      </x:c>
      <x:c r="M11" s="26" t="n">
        <x:v>1350</x:v>
      </x:c>
      <x:c r="N11" s="26" t="n">
        <x:v>1350</x:v>
      </x:c>
      <x:c r="O11" s="26" t="n">
        <x:v>0</x:v>
      </x:c>
      <x:c r="P11" s="26" t="n">
        <x:v>0</x:v>
      </x:c>
      <x:c r="Q11" s="26" t="n">
        <x:v>0</x:v>
      </x:c>
      <x:c r="R11" s="26" t="n">
        <x:v>0</x:v>
      </x:c>
      <x:c r="S11" s="26" t="n">
        <x:v>0</x:v>
      </x:c>
      <x:c r="T11" s="26" t="n">
        <x:v>1350</x:v>
      </x:c>
      <x:c r="U11" s="26" t="n">
        <x:v>0</x:v>
      </x:c>
      <x:c r="V11" s="26" t="n">
        <x:v>0</x:v>
      </x:c>
      <x:c r="W11" s="26" t="n">
        <x:v>0</x:v>
      </x:c>
      <x:c r="X11" s="26" t="n">
        <x:v>0</x:v>
      </x:c>
      <x:c r="Y11" s="26" t="n">
        <x:v>0</x:v>
      </x:c>
      <x:c r="Z11" s="35" t="str">
        <x:v>January 2027 rent</x:v>
      </x:c>
    </x:row>
    <x:row r="12">
      <x:c r="A12" s="20" t="str">
        <x:v>FIN-00009</x:v>
      </x:c>
      <x:c r="B12" s="23" t="n">
        <x:v>46391</x:v>
      </x:c>
      <x:c r="C12" s="23" t="n">
        <x:v>46391</x:v>
      </x:c>
      <x:c r="D12" s="20" t="str">
        <x:v>TenantReceipt</x:v>
      </x:c>
      <x:c r="E12" s="20" t="str">
        <x:v>Rent receipt</x:v>
      </x:c>
      <x:c r="F12" s="20" t="str">
        <x:v>P004</x:v>
      </x:c>
      <x:c r="G12" s="20" t="str">
        <x:v>U004</x:v>
      </x:c>
      <x:c r="H12" s="20" t="str">
        <x:v>L004</x:v>
      </x:c>
      <x:c r="I12" s="20" t="str">
        <x:v>Morgan Adams</x:v>
      </x:c>
      <x:c r="J12" s="35" t="str">
        <x:v>Scanned check</x:v>
      </x:c>
      <x:c r="K12" s="20" t="str">
        <x:v>SCN-0088</x:v>
      </x:c>
      <x:c r="L12" s="20" t="str">
        <x:v>PMT-20270104-L004</x:v>
      </x:c>
      <x:c r="M12" s="26" t="n">
        <x:v>1350</x:v>
      </x:c>
      <x:c r="N12" s="26" t="n">
        <x:v>-1350</x:v>
      </x:c>
      <x:c r="O12" s="26" t="n">
        <x:v>1350</x:v>
      </x:c>
      <x:c r="P12" s="26" t="n">
        <x:v>0</x:v>
      </x:c>
      <x:c r="Q12" s="26" t="n">
        <x:v>0</x:v>
      </x:c>
      <x:c r="R12" s="26" t="n">
        <x:v>0</x:v>
      </x:c>
      <x:c r="S12" s="26" t="n">
        <x:v>0</x:v>
      </x:c>
      <x:c r="T12" s="26" t="n">
        <x:v>0</x:v>
      </x:c>
      <x:c r="U12" s="26" t="n">
        <x:v>0</x:v>
      </x:c>
      <x:c r="V12" s="26" t="n">
        <x:v>0</x:v>
      </x:c>
      <x:c r="W12" s="26" t="n">
        <x:v>0</x:v>
      </x:c>
      <x:c r="X12" s="26" t="n">
        <x:v>0</x:v>
      </x:c>
      <x:c r="Y12" s="26" t="n">
        <x:v>0</x:v>
      </x:c>
      <x:c r="Z12" s="35" t="str">
        <x:v>Receipt allocated to FIN-00008</x:v>
      </x:c>
    </x:row>
    <x:row r="13">
      <x:c r="A13" s="20" t="str">
        <x:v>FIN-00010</x:v>
      </x:c>
      <x:c r="B13" s="23" t="n">
        <x:v>46388</x:v>
      </x:c>
      <x:c r="C13" s="23" t="n">
        <x:v>46388</x:v>
      </x:c>
      <x:c r="D13" s="20" t="str">
        <x:v>TenantCharge</x:v>
      </x:c>
      <x:c r="E13" s="20" t="str">
        <x:v>Rent</x:v>
      </x:c>
      <x:c r="F13" s="20" t="str">
        <x:v>P005</x:v>
      </x:c>
      <x:c r="G13" s="20" t="str">
        <x:v>U005</x:v>
      </x:c>
      <x:c r="H13" s="20" t="str">
        <x:v>L005</x:v>
      </x:c>
      <x:c r="I13" s="20" t="str">
        <x:v>Parker Flores</x:v>
      </x:c>
      <x:c r="J13" s="35" t="str">
        <x:v>System scheduled charge</x:v>
      </x:c>
      <x:c r="K13" s="20" t="str"/>
      <x:c r="L13" s="20" t="str">
        <x:v>RENT-202701-L005</x:v>
      </x:c>
      <x:c r="M13" s="26" t="n">
        <x:v>1875</x:v>
      </x:c>
      <x:c r="N13" s="26" t="n">
        <x:v>1875</x:v>
      </x:c>
      <x:c r="O13" s="26" t="n">
        <x:v>0</x:v>
      </x:c>
      <x:c r="P13" s="26" t="n">
        <x:v>0</x:v>
      </x:c>
      <x:c r="Q13" s="26" t="n">
        <x:v>0</x:v>
      </x:c>
      <x:c r="R13" s="26" t="n">
        <x:v>0</x:v>
      </x:c>
      <x:c r="S13" s="26" t="n">
        <x:v>0</x:v>
      </x:c>
      <x:c r="T13" s="26" t="n">
        <x:v>1875</x:v>
      </x:c>
      <x:c r="U13" s="26" t="n">
        <x:v>0</x:v>
      </x:c>
      <x:c r="V13" s="26" t="n">
        <x:v>0</x:v>
      </x:c>
      <x:c r="W13" s="26" t="n">
        <x:v>0</x:v>
      </x:c>
      <x:c r="X13" s="26" t="n">
        <x:v>0</x:v>
      </x:c>
      <x:c r="Y13" s="26" t="n">
        <x:v>0</x:v>
      </x:c>
      <x:c r="Z13" s="35" t="str">
        <x:v>January 2027 rent</x:v>
      </x:c>
    </x:row>
    <x:row r="14">
      <x:c r="A14" s="20" t="str">
        <x:v>FIN-00011</x:v>
      </x:c>
      <x:c r="B14" s="23" t="n">
        <x:v>46392</x:v>
      </x:c>
      <x:c r="C14" s="23" t="n">
        <x:v>46392</x:v>
      </x:c>
      <x:c r="D14" s="20" t="str">
        <x:v>TenantReceipt</x:v>
      </x:c>
      <x:c r="E14" s="20" t="str">
        <x:v>Rent receipt</x:v>
      </x:c>
      <x:c r="F14" s="20" t="str">
        <x:v>P005</x:v>
      </x:c>
      <x:c r="G14" s="20" t="str">
        <x:v>U005</x:v>
      </x:c>
      <x:c r="H14" s="20" t="str">
        <x:v>L005</x:v>
      </x:c>
      <x:c r="I14" s="20" t="str">
        <x:v>Parker Flores</x:v>
      </x:c>
      <x:c r="J14" s="35" t="str">
        <x:v>Scanned money order</x:v>
      </x:c>
      <x:c r="K14" s="20" t="str">
        <x:v>SCN-0089</x:v>
      </x:c>
      <x:c r="L14" s="20" t="str">
        <x:v>PMT-20270105-L005</x:v>
      </x:c>
      <x:c r="M14" s="26" t="n">
        <x:v>1875</x:v>
      </x:c>
      <x:c r="N14" s="26" t="n">
        <x:v>-1875</x:v>
      </x:c>
      <x:c r="O14" s="26" t="n">
        <x:v>1875</x:v>
      </x:c>
      <x:c r="P14" s="26" t="n">
        <x:v>0</x:v>
      </x:c>
      <x:c r="Q14" s="26" t="n">
        <x:v>0</x:v>
      </x:c>
      <x:c r="R14" s="26" t="n">
        <x:v>0</x:v>
      </x:c>
      <x:c r="S14" s="26" t="n">
        <x:v>0</x:v>
      </x:c>
      <x:c r="T14" s="26" t="n">
        <x:v>0</x:v>
      </x:c>
      <x:c r="U14" s="26" t="n">
        <x:v>0</x:v>
      </x:c>
      <x:c r="V14" s="26" t="n">
        <x:v>0</x:v>
      </x:c>
      <x:c r="W14" s="26" t="n">
        <x:v>0</x:v>
      </x:c>
      <x:c r="X14" s="26" t="n">
        <x:v>0</x:v>
      </x:c>
      <x:c r="Y14" s="26" t="n">
        <x:v>0</x:v>
      </x:c>
      <x:c r="Z14" s="35" t="str">
        <x:v>Receipt allocated to FIN-00010</x:v>
      </x:c>
    </x:row>
    <x:row r="15">
      <x:c r="A15" s="20" t="str">
        <x:v>FIN-00012</x:v>
      </x:c>
      <x:c r="B15" s="23" t="n">
        <x:v>46388</x:v>
      </x:c>
      <x:c r="C15" s="23" t="n">
        <x:v>46388</x:v>
      </x:c>
      <x:c r="D15" s="20" t="str">
        <x:v>TenantCharge</x:v>
      </x:c>
      <x:c r="E15" s="20" t="str">
        <x:v>Rent</x:v>
      </x:c>
      <x:c r="F15" s="20" t="str">
        <x:v>P006</x:v>
      </x:c>
      <x:c r="G15" s="20" t="str">
        <x:v>U006</x:v>
      </x:c>
      <x:c r="H15" s="20" t="str">
        <x:v>L006</x:v>
      </x:c>
      <x:c r="I15" s="20" t="str">
        <x:v>Sage King</x:v>
      </x:c>
      <x:c r="J15" s="35" t="str">
        <x:v>System scheduled charge</x:v>
      </x:c>
      <x:c r="K15" s="20" t="str"/>
      <x:c r="L15" s="20" t="str">
        <x:v>RENT-202701-L006</x:v>
      </x:c>
      <x:c r="M15" s="26" t="n">
        <x:v>1500</x:v>
      </x:c>
      <x:c r="N15" s="26" t="n">
        <x:v>1500</x:v>
      </x:c>
      <x:c r="O15" s="26" t="n">
        <x:v>0</x:v>
      </x:c>
      <x:c r="P15" s="26" t="n">
        <x:v>0</x:v>
      </x:c>
      <x:c r="Q15" s="26" t="n">
        <x:v>0</x:v>
      </x:c>
      <x:c r="R15" s="26" t="n">
        <x:v>0</x:v>
      </x:c>
      <x:c r="S15" s="26" t="n">
        <x:v>0</x:v>
      </x:c>
      <x:c r="T15" s="26" t="n">
        <x:v>1500</x:v>
      </x:c>
      <x:c r="U15" s="26" t="n">
        <x:v>0</x:v>
      </x:c>
      <x:c r="V15" s="26" t="n">
        <x:v>0</x:v>
      </x:c>
      <x:c r="W15" s="26" t="n">
        <x:v>0</x:v>
      </x:c>
      <x:c r="X15" s="26" t="n">
        <x:v>0</x:v>
      </x:c>
      <x:c r="Y15" s="26" t="n">
        <x:v>0</x:v>
      </x:c>
      <x:c r="Z15" s="35" t="str">
        <x:v>January 2027 rent</x:v>
      </x:c>
    </x:row>
    <x:row r="16">
      <x:c r="A16" s="20" t="str">
        <x:v>FIN-00013</x:v>
      </x:c>
      <x:c r="B16" s="23" t="n">
        <x:v>46390</x:v>
      </x:c>
      <x:c r="C16" s="23" t="n">
        <x:v>46390</x:v>
      </x:c>
      <x:c r="D16" s="20" t="str">
        <x:v>TenantReceipt</x:v>
      </x:c>
      <x:c r="E16" s="20" t="str">
        <x:v>Rent receipt</x:v>
      </x:c>
      <x:c r="F16" s="20" t="str">
        <x:v>P006</x:v>
      </x:c>
      <x:c r="G16" s="20" t="str">
        <x:v>U006</x:v>
      </x:c>
      <x:c r="H16" s="20" t="str">
        <x:v>L006</x:v>
      </x:c>
      <x:c r="I16" s="20" t="str">
        <x:v>Sage King</x:v>
      </x:c>
      <x:c r="J16" s="35" t="str">
        <x:v>Manual ACH</x:v>
      </x:c>
      <x:c r="K16" s="20" t="str"/>
      <x:c r="L16" s="20" t="str">
        <x:v>PMT-20270103-L006</x:v>
      </x:c>
      <x:c r="M16" s="26" t="n">
        <x:v>1500</x:v>
      </x:c>
      <x:c r="N16" s="26" t="n">
        <x:v>-1500</x:v>
      </x:c>
      <x:c r="O16" s="26" t="n">
        <x:v>1500</x:v>
      </x:c>
      <x:c r="P16" s="26" t="n">
        <x:v>0</x:v>
      </x:c>
      <x:c r="Q16" s="26" t="n">
        <x:v>0</x:v>
      </x:c>
      <x:c r="R16" s="26" t="n">
        <x:v>0</x:v>
      </x:c>
      <x:c r="S16" s="26" t="n">
        <x:v>0</x:v>
      </x:c>
      <x:c r="T16" s="26" t="n">
        <x:v>0</x:v>
      </x:c>
      <x:c r="U16" s="26" t="n">
        <x:v>0</x:v>
      </x:c>
      <x:c r="V16" s="26" t="n">
        <x:v>0</x:v>
      </x:c>
      <x:c r="W16" s="26" t="n">
        <x:v>0</x:v>
      </x:c>
      <x:c r="X16" s="26" t="n">
        <x:v>0</x:v>
      </x:c>
      <x:c r="Y16" s="26" t="n">
        <x:v>0</x:v>
      </x:c>
      <x:c r="Z16" s="35" t="str">
        <x:v>Receipt allocated to FIN-00012</x:v>
      </x:c>
    </x:row>
    <x:row r="17">
      <x:c r="A17" s="20" t="str">
        <x:v>FIN-00014</x:v>
      </x:c>
      <x:c r="B17" s="23" t="n">
        <x:v>46388</x:v>
      </x:c>
      <x:c r="C17" s="23" t="n">
        <x:v>46388</x:v>
      </x:c>
      <x:c r="D17" s="20" t="str">
        <x:v>TenantCharge</x:v>
      </x:c>
      <x:c r="E17" s="20" t="str">
        <x:v>Rent</x:v>
      </x:c>
      <x:c r="F17" s="20" t="str">
        <x:v>P007</x:v>
      </x:c>
      <x:c r="G17" s="20" t="str">
        <x:v>U007</x:v>
      </x:c>
      <x:c r="H17" s="20" t="str">
        <x:v>L007</x:v>
      </x:c>
      <x:c r="I17" s="20" t="str">
        <x:v>Val Price</x:v>
      </x:c>
      <x:c r="J17" s="35" t="str">
        <x:v>System scheduled charge</x:v>
      </x:c>
      <x:c r="K17" s="20" t="str"/>
      <x:c r="L17" s="20" t="str">
        <x:v>RENT-202701-L007</x:v>
      </x:c>
      <x:c r="M17" s="26" t="n">
        <x:v>1125</x:v>
      </x:c>
      <x:c r="N17" s="26" t="n">
        <x:v>1125</x:v>
      </x:c>
      <x:c r="O17" s="26" t="n">
        <x:v>0</x:v>
      </x:c>
      <x:c r="P17" s="26" t="n">
        <x:v>0</x:v>
      </x:c>
      <x:c r="Q17" s="26" t="n">
        <x:v>0</x:v>
      </x:c>
      <x:c r="R17" s="26" t="n">
        <x:v>0</x:v>
      </x:c>
      <x:c r="S17" s="26" t="n">
        <x:v>0</x:v>
      </x:c>
      <x:c r="T17" s="26" t="n">
        <x:v>1125</x:v>
      </x:c>
      <x:c r="U17" s="26" t="n">
        <x:v>0</x:v>
      </x:c>
      <x:c r="V17" s="26" t="n">
        <x:v>0</x:v>
      </x:c>
      <x:c r="W17" s="26" t="n">
        <x:v>0</x:v>
      </x:c>
      <x:c r="X17" s="26" t="n">
        <x:v>0</x:v>
      </x:c>
      <x:c r="Y17" s="26" t="n">
        <x:v>0</x:v>
      </x:c>
      <x:c r="Z17" s="35" t="str">
        <x:v>January 2027 rent</x:v>
      </x:c>
    </x:row>
    <x:row r="18">
      <x:c r="A18" s="20" t="str">
        <x:v>FIN-00015</x:v>
      </x:c>
      <x:c r="B18" s="23" t="n">
        <x:v>46391</x:v>
      </x:c>
      <x:c r="C18" s="23" t="n">
        <x:v>46391</x:v>
      </x:c>
      <x:c r="D18" s="20" t="str">
        <x:v>TenantReceipt</x:v>
      </x:c>
      <x:c r="E18" s="20" t="str">
        <x:v>Rent receipt</x:v>
      </x:c>
      <x:c r="F18" s="20" t="str">
        <x:v>P007</x:v>
      </x:c>
      <x:c r="G18" s="20" t="str">
        <x:v>U007</x:v>
      </x:c>
      <x:c r="H18" s="20" t="str">
        <x:v>L007</x:v>
      </x:c>
      <x:c r="I18" s="20" t="str">
        <x:v>Val Price</x:v>
      </x:c>
      <x:c r="J18" s="35" t="str">
        <x:v>Portal card</x:v>
      </x:c>
      <x:c r="K18" s="20" t="str"/>
      <x:c r="L18" s="20" t="str">
        <x:v>PMT-20270104-L007</x:v>
      </x:c>
      <x:c r="M18" s="26" t="n">
        <x:v>1125</x:v>
      </x:c>
      <x:c r="N18" s="26" t="n">
        <x:v>-1125</x:v>
      </x:c>
      <x:c r="O18" s="26" t="n">
        <x:v>1125</x:v>
      </x:c>
      <x:c r="P18" s="26" t="n">
        <x:v>0</x:v>
      </x:c>
      <x:c r="Q18" s="26" t="n">
        <x:v>0</x:v>
      </x:c>
      <x:c r="R18" s="26" t="n">
        <x:v>0</x:v>
      </x:c>
      <x:c r="S18" s="26" t="n">
        <x:v>0</x:v>
      </x:c>
      <x:c r="T18" s="26" t="n">
        <x:v>0</x:v>
      </x:c>
      <x:c r="U18" s="26" t="n">
        <x:v>0</x:v>
      </x:c>
      <x:c r="V18" s="26" t="n">
        <x:v>0</x:v>
      </x:c>
      <x:c r="W18" s="26" t="n">
        <x:v>0</x:v>
      </x:c>
      <x:c r="X18" s="26" t="n">
        <x:v>0</x:v>
      </x:c>
      <x:c r="Y18" s="26" t="n">
        <x:v>0</x:v>
      </x:c>
      <x:c r="Z18" s="35" t="str">
        <x:v>Receipt allocated to FIN-00014</x:v>
      </x:c>
    </x:row>
    <x:row r="19">
      <x:c r="A19" s="20" t="str">
        <x:v>FIN-00016</x:v>
      </x:c>
      <x:c r="B19" s="23" t="n">
        <x:v>46388</x:v>
      </x:c>
      <x:c r="C19" s="23" t="n">
        <x:v>46388</x:v>
      </x:c>
      <x:c r="D19" s="20" t="str">
        <x:v>TenantCharge</x:v>
      </x:c>
      <x:c r="E19" s="20" t="str">
        <x:v>Rent</x:v>
      </x:c>
      <x:c r="F19" s="20" t="str">
        <x:v>P008</x:v>
      </x:c>
      <x:c r="G19" s="20" t="str">
        <x:v>U008</x:v>
      </x:c>
      <x:c r="H19" s="20" t="str">
        <x:v>L008</x:v>
      </x:c>
      <x:c r="I19" s="20" t="str">
        <x:v>Yara Brooks</x:v>
      </x:c>
      <x:c r="J19" s="35" t="str">
        <x:v>System scheduled charge</x:v>
      </x:c>
      <x:c r="K19" s="20" t="str"/>
      <x:c r="L19" s="20" t="str">
        <x:v>RENT-202701-L008</x:v>
      </x:c>
      <x:c r="M19" s="26" t="n">
        <x:v>1650</x:v>
      </x:c>
      <x:c r="N19" s="26" t="n">
        <x:v>1650</x:v>
      </x:c>
      <x:c r="O19" s="26" t="n">
        <x:v>0</x:v>
      </x:c>
      <x:c r="P19" s="26" t="n">
        <x:v>0</x:v>
      </x:c>
      <x:c r="Q19" s="26" t="n">
        <x:v>0</x:v>
      </x:c>
      <x:c r="R19" s="26" t="n">
        <x:v>0</x:v>
      </x:c>
      <x:c r="S19" s="26" t="n">
        <x:v>0</x:v>
      </x:c>
      <x:c r="T19" s="26" t="n">
        <x:v>1650</x:v>
      </x:c>
      <x:c r="U19" s="26" t="n">
        <x:v>0</x:v>
      </x:c>
      <x:c r="V19" s="26" t="n">
        <x:v>0</x:v>
      </x:c>
      <x:c r="W19" s="26" t="n">
        <x:v>0</x:v>
      </x:c>
      <x:c r="X19" s="26" t="n">
        <x:v>0</x:v>
      </x:c>
      <x:c r="Y19" s="26" t="n">
        <x:v>0</x:v>
      </x:c>
      <x:c r="Z19" s="35" t="str">
        <x:v>January 2027 rent</x:v>
      </x:c>
    </x:row>
    <x:row r="20">
      <x:c r="A20" s="20" t="str">
        <x:v>FIN-00017</x:v>
      </x:c>
      <x:c r="B20" s="23" t="n">
        <x:v>46392</x:v>
      </x:c>
      <x:c r="C20" s="23" t="n">
        <x:v>46392</x:v>
      </x:c>
      <x:c r="D20" s="20" t="str">
        <x:v>TenantReceipt</x:v>
      </x:c>
      <x:c r="E20" s="20" t="str">
        <x:v>Rent receipt</x:v>
      </x:c>
      <x:c r="F20" s="20" t="str">
        <x:v>P008</x:v>
      </x:c>
      <x:c r="G20" s="20" t="str">
        <x:v>U008</x:v>
      </x:c>
      <x:c r="H20" s="20" t="str">
        <x:v>L008</x:v>
      </x:c>
      <x:c r="I20" s="20" t="str">
        <x:v>Yara Brooks</x:v>
      </x:c>
      <x:c r="J20" s="35" t="str">
        <x:v>Scanned check</x:v>
      </x:c>
      <x:c r="K20" s="20" t="str">
        <x:v>SCN-0090</x:v>
      </x:c>
      <x:c r="L20" s="20" t="str">
        <x:v>PMT-20270105-L008</x:v>
      </x:c>
      <x:c r="M20" s="26" t="n">
        <x:v>1650</x:v>
      </x:c>
      <x:c r="N20" s="26" t="n">
        <x:v>-1650</x:v>
      </x:c>
      <x:c r="O20" s="26" t="n">
        <x:v>1650</x:v>
      </x:c>
      <x:c r="P20" s="26" t="n">
        <x:v>0</x:v>
      </x:c>
      <x:c r="Q20" s="26" t="n">
        <x:v>0</x:v>
      </x:c>
      <x:c r="R20" s="26" t="n">
        <x:v>0</x:v>
      </x:c>
      <x:c r="S20" s="26" t="n">
        <x:v>0</x:v>
      </x:c>
      <x:c r="T20" s="26" t="n">
        <x:v>0</x:v>
      </x:c>
      <x:c r="U20" s="26" t="n">
        <x:v>0</x:v>
      </x:c>
      <x:c r="V20" s="26" t="n">
        <x:v>0</x:v>
      </x:c>
      <x:c r="W20" s="26" t="n">
        <x:v>0</x:v>
      </x:c>
      <x:c r="X20" s="26" t="n">
        <x:v>0</x:v>
      </x:c>
      <x:c r="Y20" s="26" t="n">
        <x:v>0</x:v>
      </x:c>
      <x:c r="Z20" s="35" t="str">
        <x:v>Receipt allocated to FIN-00016</x:v>
      </x:c>
    </x:row>
    <x:row r="21">
      <x:c r="A21" s="20" t="str">
        <x:v>FIN-00018</x:v>
      </x:c>
      <x:c r="B21" s="23" t="n">
        <x:v>46388</x:v>
      </x:c>
      <x:c r="C21" s="23" t="n">
        <x:v>46388</x:v>
      </x:c>
      <x:c r="D21" s="20" t="str">
        <x:v>TenantCharge</x:v>
      </x:c>
      <x:c r="E21" s="20" t="str">
        <x:v>Rent</x:v>
      </x:c>
      <x:c r="F21" s="20" t="str">
        <x:v>P009</x:v>
      </x:c>
      <x:c r="G21" s="20" t="str">
        <x:v>U009</x:v>
      </x:c>
      <x:c r="H21" s="20" t="str">
        <x:v>L009</x:v>
      </x:c>
      <x:c r="I21" s="20" t="str">
        <x:v>Bennett Garcia</x:v>
      </x:c>
      <x:c r="J21" s="35" t="str">
        <x:v>System scheduled charge</x:v>
      </x:c>
      <x:c r="K21" s="20" t="str"/>
      <x:c r="L21" s="20" t="str">
        <x:v>RENT-202701-L009</x:v>
      </x:c>
      <x:c r="M21" s="26" t="n">
        <x:v>1275</x:v>
      </x:c>
      <x:c r="N21" s="26" t="n">
        <x:v>1275</x:v>
      </x:c>
      <x:c r="O21" s="26" t="n">
        <x:v>0</x:v>
      </x:c>
      <x:c r="P21" s="26" t="n">
        <x:v>0</x:v>
      </x:c>
      <x:c r="Q21" s="26" t="n">
        <x:v>0</x:v>
      </x:c>
      <x:c r="R21" s="26" t="n">
        <x:v>0</x:v>
      </x:c>
      <x:c r="S21" s="26" t="n">
        <x:v>0</x:v>
      </x:c>
      <x:c r="T21" s="26" t="n">
        <x:v>1275</x:v>
      </x:c>
      <x:c r="U21" s="26" t="n">
        <x:v>0</x:v>
      </x:c>
      <x:c r="V21" s="26" t="n">
        <x:v>0</x:v>
      </x:c>
      <x:c r="W21" s="26" t="n">
        <x:v>0</x:v>
      </x:c>
      <x:c r="X21" s="26" t="n">
        <x:v>0</x:v>
      </x:c>
      <x:c r="Y21" s="26" t="n">
        <x:v>0</x:v>
      </x:c>
      <x:c r="Z21" s="35" t="str">
        <x:v>January 2027 rent</x:v>
      </x:c>
    </x:row>
    <x:row r="22">
      <x:c r="A22" s="20" t="str">
        <x:v>FIN-00019</x:v>
      </x:c>
      <x:c r="B22" s="23" t="n">
        <x:v>46390</x:v>
      </x:c>
      <x:c r="C22" s="23" t="n">
        <x:v>46390</x:v>
      </x:c>
      <x:c r="D22" s="20" t="str">
        <x:v>TenantReceipt</x:v>
      </x:c>
      <x:c r="E22" s="20" t="str">
        <x:v>Rent receipt</x:v>
      </x:c>
      <x:c r="F22" s="20" t="str">
        <x:v>P009</x:v>
      </x:c>
      <x:c r="G22" s="20" t="str">
        <x:v>U009</x:v>
      </x:c>
      <x:c r="H22" s="20" t="str">
        <x:v>L009</x:v>
      </x:c>
      <x:c r="I22" s="20" t="str">
        <x:v>Bennett Garcia</x:v>
      </x:c>
      <x:c r="J22" s="35" t="str">
        <x:v>Scanned money order</x:v>
      </x:c>
      <x:c r="K22" s="20" t="str">
        <x:v>SCN-0091</x:v>
      </x:c>
      <x:c r="L22" s="20" t="str">
        <x:v>PMT-20270103-L009</x:v>
      </x:c>
      <x:c r="M22" s="26" t="n">
        <x:v>1275</x:v>
      </x:c>
      <x:c r="N22" s="26" t="n">
        <x:v>-1275</x:v>
      </x:c>
      <x:c r="O22" s="26" t="n">
        <x:v>1275</x:v>
      </x:c>
      <x:c r="P22" s="26" t="n">
        <x:v>0</x:v>
      </x:c>
      <x:c r="Q22" s="26" t="n">
        <x:v>0</x:v>
      </x:c>
      <x:c r="R22" s="26" t="n">
        <x:v>0</x:v>
      </x:c>
      <x:c r="S22" s="26" t="n">
        <x:v>0</x:v>
      </x:c>
      <x:c r="T22" s="26" t="n">
        <x:v>0</x:v>
      </x:c>
      <x:c r="U22" s="26" t="n">
        <x:v>0</x:v>
      </x:c>
      <x:c r="V22" s="26" t="n">
        <x:v>0</x:v>
      </x:c>
      <x:c r="W22" s="26" t="n">
        <x:v>0</x:v>
      </x:c>
      <x:c r="X22" s="26" t="n">
        <x:v>0</x:v>
      </x:c>
      <x:c r="Y22" s="26" t="n">
        <x:v>0</x:v>
      </x:c>
      <x:c r="Z22" s="35" t="str">
        <x:v>Receipt allocated to FIN-00018</x:v>
      </x:c>
    </x:row>
    <x:row r="23">
      <x:c r="A23" s="20" t="str">
        <x:v>FIN-00020</x:v>
      </x:c>
      <x:c r="B23" s="23" t="n">
        <x:v>46388</x:v>
      </x:c>
      <x:c r="C23" s="23" t="n">
        <x:v>46388</x:v>
      </x:c>
      <x:c r="D23" s="20" t="str">
        <x:v>TenantCharge</x:v>
      </x:c>
      <x:c r="E23" s="20" t="str">
        <x:v>Rent</x:v>
      </x:c>
      <x:c r="F23" s="20" t="str">
        <x:v>P010</x:v>
      </x:c>
      <x:c r="G23" s="20" t="str">
        <x:v>U010</x:v>
      </x:c>
      <x:c r="H23" s="20" t="str">
        <x:v>L010</x:v>
      </x:c>
      <x:c r="I23" s="20" t="str">
        <x:v>Elena Lewis</x:v>
      </x:c>
      <x:c r="J23" s="35" t="str">
        <x:v>System scheduled charge</x:v>
      </x:c>
      <x:c r="K23" s="20" t="str"/>
      <x:c r="L23" s="20" t="str">
        <x:v>RENT-202701-L010</x:v>
      </x:c>
      <x:c r="M23" s="26" t="n">
        <x:v>1800</x:v>
      </x:c>
      <x:c r="N23" s="26" t="n">
        <x:v>1800</x:v>
      </x:c>
      <x:c r="O23" s="26" t="n">
        <x:v>0</x:v>
      </x:c>
      <x:c r="P23" s="26" t="n">
        <x:v>0</x:v>
      </x:c>
      <x:c r="Q23" s="26" t="n">
        <x:v>0</x:v>
      </x:c>
      <x:c r="R23" s="26" t="n">
        <x:v>0</x:v>
      </x:c>
      <x:c r="S23" s="26" t="n">
        <x:v>0</x:v>
      </x:c>
      <x:c r="T23" s="26" t="n">
        <x:v>1800</x:v>
      </x:c>
      <x:c r="U23" s="26" t="n">
        <x:v>0</x:v>
      </x:c>
      <x:c r="V23" s="26" t="n">
        <x:v>0</x:v>
      </x:c>
      <x:c r="W23" s="26" t="n">
        <x:v>0</x:v>
      </x:c>
      <x:c r="X23" s="26" t="n">
        <x:v>0</x:v>
      </x:c>
      <x:c r="Y23" s="26" t="n">
        <x:v>0</x:v>
      </x:c>
      <x:c r="Z23" s="35" t="str">
        <x:v>January 2027 rent</x:v>
      </x:c>
    </x:row>
    <x:row r="24">
      <x:c r="A24" s="20" t="str">
        <x:v>FIN-00021</x:v>
      </x:c>
      <x:c r="B24" s="23" t="n">
        <x:v>46391</x:v>
      </x:c>
      <x:c r="C24" s="23" t="n">
        <x:v>46391</x:v>
      </x:c>
      <x:c r="D24" s="20" t="str">
        <x:v>TenantReceipt</x:v>
      </x:c>
      <x:c r="E24" s="20" t="str">
        <x:v>Rent receipt</x:v>
      </x:c>
      <x:c r="F24" s="20" t="str">
        <x:v>P010</x:v>
      </x:c>
      <x:c r="G24" s="20" t="str">
        <x:v>U010</x:v>
      </x:c>
      <x:c r="H24" s="20" t="str">
        <x:v>L010</x:v>
      </x:c>
      <x:c r="I24" s="20" t="str">
        <x:v>Elena Lewis</x:v>
      </x:c>
      <x:c r="J24" s="35" t="str">
        <x:v>Manual ACH</x:v>
      </x:c>
      <x:c r="K24" s="20" t="str"/>
      <x:c r="L24" s="20" t="str">
        <x:v>PMT-20270104-L010</x:v>
      </x:c>
      <x:c r="M24" s="26" t="n">
        <x:v>1800</x:v>
      </x:c>
      <x:c r="N24" s="26" t="n">
        <x:v>-1800</x:v>
      </x:c>
      <x:c r="O24" s="26" t="n">
        <x:v>1800</x:v>
      </x:c>
      <x:c r="P24" s="26" t="n">
        <x:v>0</x:v>
      </x:c>
      <x:c r="Q24" s="26" t="n">
        <x:v>0</x:v>
      </x:c>
      <x:c r="R24" s="26" t="n">
        <x:v>0</x:v>
      </x:c>
      <x:c r="S24" s="26" t="n">
        <x:v>0</x:v>
      </x:c>
      <x:c r="T24" s="26" t="n">
        <x:v>0</x:v>
      </x:c>
      <x:c r="U24" s="26" t="n">
        <x:v>0</x:v>
      </x:c>
      <x:c r="V24" s="26" t="n">
        <x:v>0</x:v>
      </x:c>
      <x:c r="W24" s="26" t="n">
        <x:v>0</x:v>
      </x:c>
      <x:c r="X24" s="26" t="n">
        <x:v>0</x:v>
      </x:c>
      <x:c r="Y24" s="26" t="n">
        <x:v>0</x:v>
      </x:c>
      <x:c r="Z24" s="35" t="str">
        <x:v>Receipt allocated to FIN-00020</x:v>
      </x:c>
    </x:row>
    <x:row r="25">
      <x:c r="A25" s="20" t="str">
        <x:v>FIN-00022</x:v>
      </x:c>
      <x:c r="B25" s="23" t="n">
        <x:v>46388</x:v>
      </x:c>
      <x:c r="C25" s="23" t="n">
        <x:v>46388</x:v>
      </x:c>
      <x:c r="D25" s="20" t="str">
        <x:v>TenantCharge</x:v>
      </x:c>
      <x:c r="E25" s="20" t="str">
        <x:v>Rent</x:v>
      </x:c>
      <x:c r="F25" s="20" t="str">
        <x:v>P011</x:v>
      </x:c>
      <x:c r="G25" s="20" t="str">
        <x:v>U011</x:v>
      </x:c>
      <x:c r="H25" s="20" t="str">
        <x:v>L011</x:v>
      </x:c>
      <x:c r="I25" s="20" t="str">
        <x:v>Hector Reed</x:v>
      </x:c>
      <x:c r="J25" s="35" t="str">
        <x:v>System scheduled charge</x:v>
      </x:c>
      <x:c r="K25" s="20" t="str"/>
      <x:c r="L25" s="20" t="str">
        <x:v>RENT-202701-L011</x:v>
      </x:c>
      <x:c r="M25" s="26" t="n">
        <x:v>1425</x:v>
      </x:c>
      <x:c r="N25" s="26" t="n">
        <x:v>1425</x:v>
      </x:c>
      <x:c r="O25" s="26" t="n">
        <x:v>0</x:v>
      </x:c>
      <x:c r="P25" s="26" t="n">
        <x:v>0</x:v>
      </x:c>
      <x:c r="Q25" s="26" t="n">
        <x:v>0</x:v>
      </x:c>
      <x:c r="R25" s="26" t="n">
        <x:v>0</x:v>
      </x:c>
      <x:c r="S25" s="26" t="n">
        <x:v>0</x:v>
      </x:c>
      <x:c r="T25" s="26" t="n">
        <x:v>1425</x:v>
      </x:c>
      <x:c r="U25" s="26" t="n">
        <x:v>0</x:v>
      </x:c>
      <x:c r="V25" s="26" t="n">
        <x:v>0</x:v>
      </x:c>
      <x:c r="W25" s="26" t="n">
        <x:v>0</x:v>
      </x:c>
      <x:c r="X25" s="26" t="n">
        <x:v>0</x:v>
      </x:c>
      <x:c r="Y25" s="26" t="n">
        <x:v>0</x:v>
      </x:c>
      <x:c r="Z25" s="35" t="str">
        <x:v>January 2027 rent</x:v>
      </x:c>
    </x:row>
    <x:row r="26">
      <x:c r="A26" s="20" t="str">
        <x:v>FIN-00023</x:v>
      </x:c>
      <x:c r="B26" s="23" t="n">
        <x:v>46390</x:v>
      </x:c>
      <x:c r="C26" s="23" t="n">
        <x:v>46390</x:v>
      </x:c>
      <x:c r="D26" s="20" t="str">
        <x:v>TenantReceipt</x:v>
      </x:c>
      <x:c r="E26" s="20" t="str">
        <x:v>Rent receipt</x:v>
      </x:c>
      <x:c r="F26" s="20" t="str">
        <x:v>P011</x:v>
      </x:c>
      <x:c r="G26" s="20" t="str">
        <x:v>U011</x:v>
      </x:c>
      <x:c r="H26" s="20" t="str">
        <x:v>L011</x:v>
      </x:c>
      <x:c r="I26" s="20" t="str">
        <x:v>Hector Reed</x:v>
      </x:c>
      <x:c r="J26" s="35" t="str">
        <x:v>Portal card</x:v>
      </x:c>
      <x:c r="K26" s="20" t="str"/>
      <x:c r="L26" s="20" t="str">
        <x:v>PMT-20270103-L011-A</x:v>
      </x:c>
      <x:c r="M26" s="26" t="n">
        <x:v>855</x:v>
      </x:c>
      <x:c r="N26" s="26" t="n">
        <x:v>-855</x:v>
      </x:c>
      <x:c r="O26" s="26" t="n">
        <x:v>855</x:v>
      </x:c>
      <x:c r="P26" s="26" t="n">
        <x:v>0</x:v>
      </x:c>
      <x:c r="Q26" s="26" t="n">
        <x:v>0</x:v>
      </x:c>
      <x:c r="R26" s="26" t="n">
        <x:v>0</x:v>
      </x:c>
      <x:c r="S26" s="26" t="n">
        <x:v>0</x:v>
      </x:c>
      <x:c r="T26" s="26" t="n">
        <x:v>0</x:v>
      </x:c>
      <x:c r="U26" s="26" t="n">
        <x:v>0</x:v>
      </x:c>
      <x:c r="V26" s="26" t="n">
        <x:v>0</x:v>
      </x:c>
      <x:c r="W26" s="26" t="n">
        <x:v>0</x:v>
      </x:c>
      <x:c r="X26" s="26" t="n">
        <x:v>0</x:v>
      </x:c>
      <x:c r="Y26" s="26" t="n">
        <x:v>0</x:v>
      </x:c>
      <x:c r="Z26" s="35" t="str">
        <x:v>Receipt allocated to FIN-00022</x:v>
      </x:c>
    </x:row>
    <x:row r="27">
      <x:c r="A27" s="20" t="str">
        <x:v>FIN-00024</x:v>
      </x:c>
      <x:c r="B27" s="23" t="n">
        <x:v>46393</x:v>
      </x:c>
      <x:c r="C27" s="23" t="n">
        <x:v>46393</x:v>
      </x:c>
      <x:c r="D27" s="20" t="str">
        <x:v>TenantCharge</x:v>
      </x:c>
      <x:c r="E27" s="20" t="str">
        <x:v>Late fee</x:v>
      </x:c>
      <x:c r="F27" s="20" t="str">
        <x:v>P011</x:v>
      </x:c>
      <x:c r="G27" s="20" t="str">
        <x:v>U011</x:v>
      </x:c>
      <x:c r="H27" s="20" t="str">
        <x:v>L011</x:v>
      </x:c>
      <x:c r="I27" s="20" t="str">
        <x:v>Hector Reed</x:v>
      </x:c>
      <x:c r="J27" s="35" t="str">
        <x:v>System automation</x:v>
      </x:c>
      <x:c r="K27" s="20" t="str"/>
      <x:c r="L27" s="20" t="str">
        <x:v>LATE-202701-L011</x:v>
      </x:c>
      <x:c r="M27" s="26" t="n">
        <x:v>50</x:v>
      </x:c>
      <x:c r="N27" s="26" t="n">
        <x:v>50</x:v>
      </x:c>
      <x:c r="O27" s="26" t="n">
        <x:v>0</x:v>
      </x:c>
      <x:c r="P27" s="26" t="n">
        <x:v>0</x:v>
      </x:c>
      <x:c r="Q27" s="26" t="n">
        <x:v>0</x:v>
      </x:c>
      <x:c r="R27" s="26" t="n">
        <x:v>0</x:v>
      </x:c>
      <x:c r="S27" s="26" t="n">
        <x:v>0</x:v>
      </x:c>
      <x:c r="T27" s="26" t="n">
        <x:v>50</x:v>
      </x:c>
      <x:c r="U27" s="26" t="n">
        <x:v>0</x:v>
      </x:c>
      <x:c r="V27" s="26" t="n">
        <x:v>0</x:v>
      </x:c>
      <x:c r="W27" s="26" t="n">
        <x:v>0</x:v>
      </x:c>
      <x:c r="X27" s="26" t="n">
        <x:v>0</x:v>
      </x:c>
      <x:c r="Y27" s="26" t="n">
        <x:v>0</x:v>
      </x:c>
      <x:c r="Z27" s="35" t="str">
        <x:v>Synthetic lease-authorized late fee after partial payment</x:v>
      </x:c>
    </x:row>
    <x:row r="28">
      <x:c r="A28" s="20" t="str">
        <x:v>FIN-00025</x:v>
      </x:c>
      <x:c r="B28" s="23" t="n">
        <x:v>46399</x:v>
      </x:c>
      <x:c r="C28" s="23" t="n">
        <x:v>46399</x:v>
      </x:c>
      <x:c r="D28" s="20" t="str">
        <x:v>TenantReceipt</x:v>
      </x:c>
      <x:c r="E28" s="20" t="str">
        <x:v>Rent receipt</x:v>
      </x:c>
      <x:c r="F28" s="20" t="str">
        <x:v>P011</x:v>
      </x:c>
      <x:c r="G28" s="20" t="str">
        <x:v>U011</x:v>
      </x:c>
      <x:c r="H28" s="20" t="str">
        <x:v>L011</x:v>
      </x:c>
      <x:c r="I28" s="20" t="str">
        <x:v>Hector Reed</x:v>
      </x:c>
      <x:c r="J28" s="35" t="str">
        <x:v>Scanned money order</x:v>
      </x:c>
      <x:c r="K28" s="20" t="str">
        <x:v>SCN-0092</x:v>
      </x:c>
      <x:c r="L28" s="20" t="str">
        <x:v>PMT-20270112-L011-B</x:v>
      </x:c>
      <x:c r="M28" s="26" t="n">
        <x:v>620</x:v>
      </x:c>
      <x:c r="N28" s="26" t="n">
        <x:v>-620</x:v>
      </x:c>
      <x:c r="O28" s="26" t="n">
        <x:v>620</x:v>
      </x:c>
      <x:c r="P28" s="26" t="n">
        <x:v>0</x:v>
      </x:c>
      <x:c r="Q28" s="26" t="n">
        <x:v>0</x:v>
      </x:c>
      <x:c r="R28" s="26" t="n">
        <x:v>0</x:v>
      </x:c>
      <x:c r="S28" s="26" t="n">
        <x:v>0</x:v>
      </x:c>
      <x:c r="T28" s="26" t="n">
        <x:v>0</x:v>
      </x:c>
      <x:c r="U28" s="26" t="n">
        <x:v>0</x:v>
      </x:c>
      <x:c r="V28" s="26" t="n">
        <x:v>0</x:v>
      </x:c>
      <x:c r="W28" s="26" t="n">
        <x:v>0</x:v>
      </x:c>
      <x:c r="X28" s="26" t="n">
        <x:v>0</x:v>
      </x:c>
      <x:c r="Y28" s="26" t="n">
        <x:v>0</x:v>
      </x:c>
      <x:c r="Z28" s="35" t="str">
        <x:v>Receipt allocated to FIN-00024</x:v>
      </x:c>
    </x:row>
    <x:row r="29">
      <x:c r="A29" s="20" t="str">
        <x:v>FIN-00026</x:v>
      </x:c>
      <x:c r="B29" s="23" t="n">
        <x:v>46388</x:v>
      </x:c>
      <x:c r="C29" s="23" t="n">
        <x:v>46388</x:v>
      </x:c>
      <x:c r="D29" s="20" t="str">
        <x:v>TenantCharge</x:v>
      </x:c>
      <x:c r="E29" s="20" t="str">
        <x:v>Rent</x:v>
      </x:c>
      <x:c r="F29" s="20" t="str">
        <x:v>P012</x:v>
      </x:c>
      <x:c r="G29" s="20" t="str">
        <x:v>U012</x:v>
      </x:c>
      <x:c r="H29" s="20" t="str">
        <x:v>L012</x:v>
      </x:c>
      <x:c r="I29" s="20" t="str">
        <x:v>Keira Adams</x:v>
      </x:c>
      <x:c r="J29" s="35" t="str">
        <x:v>System scheduled charge</x:v>
      </x:c>
      <x:c r="K29" s="20" t="str"/>
      <x:c r="L29" s="20" t="str">
        <x:v>RENT-202701-L012</x:v>
      </x:c>
      <x:c r="M29" s="26" t="n">
        <x:v>1050</x:v>
      </x:c>
      <x:c r="N29" s="26" t="n">
        <x:v>1050</x:v>
      </x:c>
      <x:c r="O29" s="26" t="n">
        <x:v>0</x:v>
      </x:c>
      <x:c r="P29" s="26" t="n">
        <x:v>0</x:v>
      </x:c>
      <x:c r="Q29" s="26" t="n">
        <x:v>0</x:v>
      </x:c>
      <x:c r="R29" s="26" t="n">
        <x:v>0</x:v>
      </x:c>
      <x:c r="S29" s="26" t="n">
        <x:v>0</x:v>
      </x:c>
      <x:c r="T29" s="26" t="n">
        <x:v>1050</x:v>
      </x:c>
      <x:c r="U29" s="26" t="n">
        <x:v>0</x:v>
      </x:c>
      <x:c r="V29" s="26" t="n">
        <x:v>0</x:v>
      </x:c>
      <x:c r="W29" s="26" t="n">
        <x:v>0</x:v>
      </x:c>
      <x:c r="X29" s="26" t="n">
        <x:v>0</x:v>
      </x:c>
      <x:c r="Y29" s="26" t="n">
        <x:v>0</x:v>
      </x:c>
      <x:c r="Z29" s="35" t="str">
        <x:v>January 2027 rent</x:v>
      </x:c>
    </x:row>
    <x:row r="30">
      <x:c r="A30" s="20" t="str">
        <x:v>FIN-00027</x:v>
      </x:c>
      <x:c r="B30" s="23" t="n">
        <x:v>46390</x:v>
      </x:c>
      <x:c r="C30" s="23" t="n">
        <x:v>46390</x:v>
      </x:c>
      <x:c r="D30" s="20" t="str">
        <x:v>TenantReceipt</x:v>
      </x:c>
      <x:c r="E30" s="20" t="str">
        <x:v>Rent receipt</x:v>
      </x:c>
      <x:c r="F30" s="20" t="str">
        <x:v>P012</x:v>
      </x:c>
      <x:c r="G30" s="20" t="str">
        <x:v>U012</x:v>
      </x:c>
      <x:c r="H30" s="20" t="str">
        <x:v>L012</x:v>
      </x:c>
      <x:c r="I30" s="20" t="str">
        <x:v>Keira Adams</x:v>
      </x:c>
      <x:c r="J30" s="35" t="str">
        <x:v>Scanned check</x:v>
      </x:c>
      <x:c r="K30" s="20" t="str">
        <x:v>SCN-0093</x:v>
      </x:c>
      <x:c r="L30" s="20" t="str">
        <x:v>PMT-20270103-L012</x:v>
      </x:c>
      <x:c r="M30" s="26" t="n">
        <x:v>1050</x:v>
      </x:c>
      <x:c r="N30" s="26" t="n">
        <x:v>-1050</x:v>
      </x:c>
      <x:c r="O30" s="26" t="n">
        <x:v>1050</x:v>
      </x:c>
      <x:c r="P30" s="26" t="n">
        <x:v>0</x:v>
      </x:c>
      <x:c r="Q30" s="26" t="n">
        <x:v>0</x:v>
      </x:c>
      <x:c r="R30" s="26" t="n">
        <x:v>0</x:v>
      </x:c>
      <x:c r="S30" s="26" t="n">
        <x:v>0</x:v>
      </x:c>
      <x:c r="T30" s="26" t="n">
        <x:v>0</x:v>
      </x:c>
      <x:c r="U30" s="26" t="n">
        <x:v>0</x:v>
      </x:c>
      <x:c r="V30" s="26" t="n">
        <x:v>0</x:v>
      </x:c>
      <x:c r="W30" s="26" t="n">
        <x:v>0</x:v>
      </x:c>
      <x:c r="X30" s="26" t="n">
        <x:v>0</x:v>
      </x:c>
      <x:c r="Y30" s="26" t="n">
        <x:v>0</x:v>
      </x:c>
      <x:c r="Z30" s="35" t="str">
        <x:v>Receipt allocated to FIN-00026</x:v>
      </x:c>
    </x:row>
    <x:row r="31">
      <x:c r="A31" s="20" t="str">
        <x:v>FIN-00028</x:v>
      </x:c>
      <x:c r="B31" s="23" t="n">
        <x:v>46388</x:v>
      </x:c>
      <x:c r="C31" s="23" t="n">
        <x:v>46388</x:v>
      </x:c>
      <x:c r="D31" s="20" t="str">
        <x:v>TenantCharge</x:v>
      </x:c>
      <x:c r="E31" s="20" t="str">
        <x:v>Rent</x:v>
      </x:c>
      <x:c r="F31" s="20" t="str">
        <x:v>P013</x:v>
      </x:c>
      <x:c r="G31" s="20" t="str">
        <x:v>U013</x:v>
      </x:c>
      <x:c r="H31" s="20" t="str">
        <x:v>L013</x:v>
      </x:c>
      <x:c r="I31" s="20" t="str">
        <x:v>Nolan Flores</x:v>
      </x:c>
      <x:c r="J31" s="35" t="str">
        <x:v>System scheduled charge</x:v>
      </x:c>
      <x:c r="K31" s="20" t="str"/>
      <x:c r="L31" s="20" t="str">
        <x:v>RENT-202701-L013</x:v>
      </x:c>
      <x:c r="M31" s="26" t="n">
        <x:v>1575</x:v>
      </x:c>
      <x:c r="N31" s="26" t="n">
        <x:v>1575</x:v>
      </x:c>
      <x:c r="O31" s="26" t="n">
        <x:v>0</x:v>
      </x:c>
      <x:c r="P31" s="26" t="n">
        <x:v>0</x:v>
      </x:c>
      <x:c r="Q31" s="26" t="n">
        <x:v>0</x:v>
      </x:c>
      <x:c r="R31" s="26" t="n">
        <x:v>0</x:v>
      </x:c>
      <x:c r="S31" s="26" t="n">
        <x:v>0</x:v>
      </x:c>
      <x:c r="T31" s="26" t="n">
        <x:v>1575</x:v>
      </x:c>
      <x:c r="U31" s="26" t="n">
        <x:v>0</x:v>
      </x:c>
      <x:c r="V31" s="26" t="n">
        <x:v>0</x:v>
      </x:c>
      <x:c r="W31" s="26" t="n">
        <x:v>0</x:v>
      </x:c>
      <x:c r="X31" s="26" t="n">
        <x:v>0</x:v>
      </x:c>
      <x:c r="Y31" s="26" t="n">
        <x:v>0</x:v>
      </x:c>
      <x:c r="Z31" s="35" t="str">
        <x:v>January 2027 rent</x:v>
      </x:c>
    </x:row>
    <x:row r="32">
      <x:c r="A32" s="20" t="str">
        <x:v>FIN-00029</x:v>
      </x:c>
      <x:c r="B32" s="23" t="n">
        <x:v>46393</x:v>
      </x:c>
      <x:c r="C32" s="23" t="n">
        <x:v>46393</x:v>
      </x:c>
      <x:c r="D32" s="20" t="str">
        <x:v>TenantCharge</x:v>
      </x:c>
      <x:c r="E32" s="20" t="str">
        <x:v>Late fee</x:v>
      </x:c>
      <x:c r="F32" s="20" t="str">
        <x:v>P013</x:v>
      </x:c>
      <x:c r="G32" s="20" t="str">
        <x:v>U013</x:v>
      </x:c>
      <x:c r="H32" s="20" t="str">
        <x:v>L013</x:v>
      </x:c>
      <x:c r="I32" s="20" t="str">
        <x:v>Nolan Flores</x:v>
      </x:c>
      <x:c r="J32" s="35" t="str">
        <x:v>System automation</x:v>
      </x:c>
      <x:c r="K32" s="20" t="str"/>
      <x:c r="L32" s="20" t="str">
        <x:v>LATE-202701-L013</x:v>
      </x:c>
      <x:c r="M32" s="26" t="n">
        <x:v>50</x:v>
      </x:c>
      <x:c r="N32" s="26" t="n">
        <x:v>50</x:v>
      </x:c>
      <x:c r="O32" s="26" t="n">
        <x:v>0</x:v>
      </x:c>
      <x:c r="P32" s="26" t="n">
        <x:v>0</x:v>
      </x:c>
      <x:c r="Q32" s="26" t="n">
        <x:v>0</x:v>
      </x:c>
      <x:c r="R32" s="26" t="n">
        <x:v>0</x:v>
      </x:c>
      <x:c r="S32" s="26" t="n">
        <x:v>0</x:v>
      </x:c>
      <x:c r="T32" s="26" t="n">
        <x:v>50</x:v>
      </x:c>
      <x:c r="U32" s="26" t="n">
        <x:v>0</x:v>
      </x:c>
      <x:c r="V32" s="26" t="n">
        <x:v>0</x:v>
      </x:c>
      <x:c r="W32" s="26" t="n">
        <x:v>0</x:v>
      </x:c>
      <x:c r="X32" s="26" t="n">
        <x:v>0</x:v>
      </x:c>
      <x:c r="Y32" s="26" t="n">
        <x:v>0</x:v>
      </x:c>
      <x:c r="Z32" s="35" t="str">
        <x:v>Synthetic lease-authorized late fee</x:v>
      </x:c>
    </x:row>
    <x:row r="33">
      <x:c r="A33" s="20" t="str">
        <x:v>FIN-00030</x:v>
      </x:c>
      <x:c r="B33" s="23" t="n">
        <x:v>46395</x:v>
      </x:c>
      <x:c r="C33" s="23" t="n">
        <x:v>46395</x:v>
      </x:c>
      <x:c r="D33" s="20" t="str">
        <x:v>TenantReceipt</x:v>
      </x:c>
      <x:c r="E33" s="20" t="str">
        <x:v>Rent receipt</x:v>
      </x:c>
      <x:c r="F33" s="20" t="str">
        <x:v>P013</x:v>
      </x:c>
      <x:c r="G33" s="20" t="str">
        <x:v>U013</x:v>
      </x:c>
      <x:c r="H33" s="20" t="str">
        <x:v>L013</x:v>
      </x:c>
      <x:c r="I33" s="20" t="str">
        <x:v>Nolan Flores</x:v>
      </x:c>
      <x:c r="J33" s="35" t="str">
        <x:v>Scanned check</x:v>
      </x:c>
      <x:c r="K33" s="20" t="str">
        <x:v>SCN-0094</x:v>
      </x:c>
      <x:c r="L33" s="20" t="str">
        <x:v>PMT-20270108-L013</x:v>
      </x:c>
      <x:c r="M33" s="26" t="n">
        <x:v>1625</x:v>
      </x:c>
      <x:c r="N33" s="26" t="n">
        <x:v>-1625</x:v>
      </x:c>
      <x:c r="O33" s="26" t="n">
        <x:v>1625</x:v>
      </x:c>
      <x:c r="P33" s="26" t="n">
        <x:v>0</x:v>
      </x:c>
      <x:c r="Q33" s="26" t="n">
        <x:v>0</x:v>
      </x:c>
      <x:c r="R33" s="26" t="n">
        <x:v>0</x:v>
      </x:c>
      <x:c r="S33" s="26" t="n">
        <x:v>0</x:v>
      </x:c>
      <x:c r="T33" s="26" t="n">
        <x:v>0</x:v>
      </x:c>
      <x:c r="U33" s="26" t="n">
        <x:v>0</x:v>
      </x:c>
      <x:c r="V33" s="26" t="n">
        <x:v>0</x:v>
      </x:c>
      <x:c r="W33" s="26" t="n">
        <x:v>0</x:v>
      </x:c>
      <x:c r="X33" s="26" t="n">
        <x:v>0</x:v>
      </x:c>
      <x:c r="Y33" s="26" t="n">
        <x:v>0</x:v>
      </x:c>
      <x:c r="Z33" s="35" t="str">
        <x:v>Receipt allocated to FIN-00029</x:v>
      </x:c>
    </x:row>
    <x:row r="34">
      <x:c r="A34" s="20" t="str">
        <x:v>FIN-00031</x:v>
      </x:c>
      <x:c r="B34" s="23" t="n">
        <x:v>46388</x:v>
      </x:c>
      <x:c r="C34" s="23" t="n">
        <x:v>46388</x:v>
      </x:c>
      <x:c r="D34" s="20" t="str">
        <x:v>TenantCharge</x:v>
      </x:c>
      <x:c r="E34" s="20" t="str">
        <x:v>Rent</x:v>
      </x:c>
      <x:c r="F34" s="20" t="str">
        <x:v>P014</x:v>
      </x:c>
      <x:c r="G34" s="20" t="str">
        <x:v>U014</x:v>
      </x:c>
      <x:c r="H34" s="20" t="str">
        <x:v>L014</x:v>
      </x:c>
      <x:c r="I34" s="20" t="str">
        <x:v>Rina King</x:v>
      </x:c>
      <x:c r="J34" s="35" t="str">
        <x:v>System scheduled charge</x:v>
      </x:c>
      <x:c r="K34" s="20" t="str"/>
      <x:c r="L34" s="20" t="str">
        <x:v>RENT-202701-L014</x:v>
      </x:c>
      <x:c r="M34" s="26" t="n">
        <x:v>1200</x:v>
      </x:c>
      <x:c r="N34" s="26" t="n">
        <x:v>1200</x:v>
      </x:c>
      <x:c r="O34" s="26" t="n">
        <x:v>0</x:v>
      </x:c>
      <x:c r="P34" s="26" t="n">
        <x:v>0</x:v>
      </x:c>
      <x:c r="Q34" s="26" t="n">
        <x:v>0</x:v>
      </x:c>
      <x:c r="R34" s="26" t="n">
        <x:v>0</x:v>
      </x:c>
      <x:c r="S34" s="26" t="n">
        <x:v>0</x:v>
      </x:c>
      <x:c r="T34" s="26" t="n">
        <x:v>1200</x:v>
      </x:c>
      <x:c r="U34" s="26" t="n">
        <x:v>0</x:v>
      </x:c>
      <x:c r="V34" s="26" t="n">
        <x:v>0</x:v>
      </x:c>
      <x:c r="W34" s="26" t="n">
        <x:v>0</x:v>
      </x:c>
      <x:c r="X34" s="26" t="n">
        <x:v>0</x:v>
      </x:c>
      <x:c r="Y34" s="26" t="n">
        <x:v>0</x:v>
      </x:c>
      <x:c r="Z34" s="35" t="str">
        <x:v>January 2027 rent</x:v>
      </x:c>
    </x:row>
    <x:row r="35">
      <x:c r="A35" s="20" t="str">
        <x:v>FIN-00032</x:v>
      </x:c>
      <x:c r="B35" s="23" t="n">
        <x:v>46392</x:v>
      </x:c>
      <x:c r="C35" s="23" t="n">
        <x:v>46392</x:v>
      </x:c>
      <x:c r="D35" s="20" t="str">
        <x:v>TenantReceipt</x:v>
      </x:c>
      <x:c r="E35" s="20" t="str">
        <x:v>Rent receipt</x:v>
      </x:c>
      <x:c r="F35" s="20" t="str">
        <x:v>P014</x:v>
      </x:c>
      <x:c r="G35" s="20" t="str">
        <x:v>U014</x:v>
      </x:c>
      <x:c r="H35" s="20" t="str">
        <x:v>L014</x:v>
      </x:c>
      <x:c r="I35" s="20" t="str">
        <x:v>Rina King</x:v>
      </x:c>
      <x:c r="J35" s="35" t="str">
        <x:v>Manual ACH</x:v>
      </x:c>
      <x:c r="K35" s="20" t="str"/>
      <x:c r="L35" s="20" t="str">
        <x:v>PMT-20270105-L014</x:v>
      </x:c>
      <x:c r="M35" s="26" t="n">
        <x:v>1200</x:v>
      </x:c>
      <x:c r="N35" s="26" t="n">
        <x:v>-1200</x:v>
      </x:c>
      <x:c r="O35" s="26" t="n">
        <x:v>1200</x:v>
      </x:c>
      <x:c r="P35" s="26" t="n">
        <x:v>0</x:v>
      </x:c>
      <x:c r="Q35" s="26" t="n">
        <x:v>0</x:v>
      </x:c>
      <x:c r="R35" s="26" t="n">
        <x:v>0</x:v>
      </x:c>
      <x:c r="S35" s="26" t="n">
        <x:v>0</x:v>
      </x:c>
      <x:c r="T35" s="26" t="n">
        <x:v>0</x:v>
      </x:c>
      <x:c r="U35" s="26" t="n">
        <x:v>0</x:v>
      </x:c>
      <x:c r="V35" s="26" t="n">
        <x:v>0</x:v>
      </x:c>
      <x:c r="W35" s="26" t="n">
        <x:v>0</x:v>
      </x:c>
      <x:c r="X35" s="26" t="n">
        <x:v>0</x:v>
      </x:c>
      <x:c r="Y35" s="26" t="n">
        <x:v>0</x:v>
      </x:c>
      <x:c r="Z35" s="35" t="str">
        <x:v>Receipt allocated to FIN-00031</x:v>
      </x:c>
    </x:row>
    <x:row r="36">
      <x:c r="A36" s="20" t="str">
        <x:v>FIN-00033</x:v>
      </x:c>
      <x:c r="B36" s="23" t="n">
        <x:v>46388</x:v>
      </x:c>
      <x:c r="C36" s="23" t="n">
        <x:v>46388</x:v>
      </x:c>
      <x:c r="D36" s="20" t="str">
        <x:v>TenantCharge</x:v>
      </x:c>
      <x:c r="E36" s="20" t="str">
        <x:v>Rent</x:v>
      </x:c>
      <x:c r="F36" s="20" t="str">
        <x:v>P015</x:v>
      </x:c>
      <x:c r="G36" s="20" t="str">
        <x:v>U015</x:v>
      </x:c>
      <x:c r="H36" s="20" t="str">
        <x:v>L015</x:v>
      </x:c>
      <x:c r="I36" s="20" t="str">
        <x:v>Uri Price</x:v>
      </x:c>
      <x:c r="J36" s="35" t="str">
        <x:v>System scheduled charge</x:v>
      </x:c>
      <x:c r="K36" s="20" t="str"/>
      <x:c r="L36" s="20" t="str">
        <x:v>RENT-202701-L015</x:v>
      </x:c>
      <x:c r="M36" s="26" t="n">
        <x:v>1725</x:v>
      </x:c>
      <x:c r="N36" s="26" t="n">
        <x:v>1725</x:v>
      </x:c>
      <x:c r="O36" s="26" t="n">
        <x:v>0</x:v>
      </x:c>
      <x:c r="P36" s="26" t="n">
        <x:v>0</x:v>
      </x:c>
      <x:c r="Q36" s="26" t="n">
        <x:v>0</x:v>
      </x:c>
      <x:c r="R36" s="26" t="n">
        <x:v>0</x:v>
      </x:c>
      <x:c r="S36" s="26" t="n">
        <x:v>0</x:v>
      </x:c>
      <x:c r="T36" s="26" t="n">
        <x:v>1725</x:v>
      </x:c>
      <x:c r="U36" s="26" t="n">
        <x:v>0</x:v>
      </x:c>
      <x:c r="V36" s="26" t="n">
        <x:v>0</x:v>
      </x:c>
      <x:c r="W36" s="26" t="n">
        <x:v>0</x:v>
      </x:c>
      <x:c r="X36" s="26" t="n">
        <x:v>0</x:v>
      </x:c>
      <x:c r="Y36" s="26" t="n">
        <x:v>0</x:v>
      </x:c>
      <x:c r="Z36" s="35" t="str">
        <x:v>January 2027 rent</x:v>
      </x:c>
    </x:row>
    <x:row r="37">
      <x:c r="A37" s="20" t="str">
        <x:v>FIN-00034</x:v>
      </x:c>
      <x:c r="B37" s="23" t="n">
        <x:v>46390</x:v>
      </x:c>
      <x:c r="C37" s="23" t="n">
        <x:v>46390</x:v>
      </x:c>
      <x:c r="D37" s="20" t="str">
        <x:v>TenantReceipt</x:v>
      </x:c>
      <x:c r="E37" s="20" t="str">
        <x:v>Rent receipt</x:v>
      </x:c>
      <x:c r="F37" s="20" t="str">
        <x:v>P015</x:v>
      </x:c>
      <x:c r="G37" s="20" t="str">
        <x:v>U015</x:v>
      </x:c>
      <x:c r="H37" s="20" t="str">
        <x:v>L015</x:v>
      </x:c>
      <x:c r="I37" s="20" t="str">
        <x:v>Uri Price</x:v>
      </x:c>
      <x:c r="J37" s="35" t="str">
        <x:v>Portal card</x:v>
      </x:c>
      <x:c r="K37" s="20" t="str"/>
      <x:c r="L37" s="20" t="str">
        <x:v>PMT-20270103-L015</x:v>
      </x:c>
      <x:c r="M37" s="26" t="n">
        <x:v>1725</x:v>
      </x:c>
      <x:c r="N37" s="26" t="n">
        <x:v>-1725</x:v>
      </x:c>
      <x:c r="O37" s="26" t="n">
        <x:v>1725</x:v>
      </x:c>
      <x:c r="P37" s="26" t="n">
        <x:v>0</x:v>
      </x:c>
      <x:c r="Q37" s="26" t="n">
        <x:v>0</x:v>
      </x:c>
      <x:c r="R37" s="26" t="n">
        <x:v>0</x:v>
      </x:c>
      <x:c r="S37" s="26" t="n">
        <x:v>0</x:v>
      </x:c>
      <x:c r="T37" s="26" t="n">
        <x:v>0</x:v>
      </x:c>
      <x:c r="U37" s="26" t="n">
        <x:v>0</x:v>
      </x:c>
      <x:c r="V37" s="26" t="n">
        <x:v>0</x:v>
      </x:c>
      <x:c r="W37" s="26" t="n">
        <x:v>0</x:v>
      </x:c>
      <x:c r="X37" s="26" t="n">
        <x:v>0</x:v>
      </x:c>
      <x:c r="Y37" s="26" t="n">
        <x:v>0</x:v>
      </x:c>
      <x:c r="Z37" s="35" t="str">
        <x:v>Receipt allocated to FIN-00033</x:v>
      </x:c>
    </x:row>
    <x:row r="38">
      <x:c r="A38" s="20" t="str">
        <x:v>FIN-00035</x:v>
      </x:c>
      <x:c r="B38" s="23" t="n">
        <x:v>46388</x:v>
      </x:c>
      <x:c r="C38" s="23" t="n">
        <x:v>46388</x:v>
      </x:c>
      <x:c r="D38" s="20" t="str">
        <x:v>TenantCharge</x:v>
      </x:c>
      <x:c r="E38" s="20" t="str">
        <x:v>Rent</x:v>
      </x:c>
      <x:c r="F38" s="20" t="str">
        <x:v>P016</x:v>
      </x:c>
      <x:c r="G38" s="20" t="str">
        <x:v>U016</x:v>
      </x:c>
      <x:c r="H38" s="20" t="str">
        <x:v>L016</x:v>
      </x:c>
      <x:c r="I38" s="20" t="str">
        <x:v>Avery Brooks</x:v>
      </x:c>
      <x:c r="J38" s="35" t="str">
        <x:v>System scheduled charge</x:v>
      </x:c>
      <x:c r="K38" s="20" t="str"/>
      <x:c r="L38" s="20" t="str">
        <x:v>RENT-202701-L016</x:v>
      </x:c>
      <x:c r="M38" s="26" t="n">
        <x:v>1350</x:v>
      </x:c>
      <x:c r="N38" s="26" t="n">
        <x:v>1350</x:v>
      </x:c>
      <x:c r="O38" s="26" t="n">
        <x:v>0</x:v>
      </x:c>
      <x:c r="P38" s="26" t="n">
        <x:v>0</x:v>
      </x:c>
      <x:c r="Q38" s="26" t="n">
        <x:v>0</x:v>
      </x:c>
      <x:c r="R38" s="26" t="n">
        <x:v>0</x:v>
      </x:c>
      <x:c r="S38" s="26" t="n">
        <x:v>0</x:v>
      </x:c>
      <x:c r="T38" s="26" t="n">
        <x:v>1350</x:v>
      </x:c>
      <x:c r="U38" s="26" t="n">
        <x:v>0</x:v>
      </x:c>
      <x:c r="V38" s="26" t="n">
        <x:v>0</x:v>
      </x:c>
      <x:c r="W38" s="26" t="n">
        <x:v>0</x:v>
      </x:c>
      <x:c r="X38" s="26" t="n">
        <x:v>0</x:v>
      </x:c>
      <x:c r="Y38" s="26" t="n">
        <x:v>0</x:v>
      </x:c>
      <x:c r="Z38" s="35" t="str">
        <x:v>January 2027 rent</x:v>
      </x:c>
    </x:row>
    <x:row r="39">
      <x:c r="A39" s="20" t="str">
        <x:v>FIN-00036</x:v>
      </x:c>
      <x:c r="B39" s="23" t="n">
        <x:v>46391</x:v>
      </x:c>
      <x:c r="C39" s="23" t="n">
        <x:v>46391</x:v>
      </x:c>
      <x:c r="D39" s="20" t="str">
        <x:v>TenantReceipt</x:v>
      </x:c>
      <x:c r="E39" s="20" t="str">
        <x:v>Rent receipt</x:v>
      </x:c>
      <x:c r="F39" s="20" t="str">
        <x:v>P016</x:v>
      </x:c>
      <x:c r="G39" s="20" t="str">
        <x:v>U016</x:v>
      </x:c>
      <x:c r="H39" s="20" t="str">
        <x:v>L016</x:v>
      </x:c>
      <x:c r="I39" s="20" t="str">
        <x:v>Avery Brooks</x:v>
      </x:c>
      <x:c r="J39" s="35" t="str">
        <x:v>Scanned check</x:v>
      </x:c>
      <x:c r="K39" s="20" t="str">
        <x:v>SCN-0095</x:v>
      </x:c>
      <x:c r="L39" s="20" t="str">
        <x:v>PMT-20270104-L016</x:v>
      </x:c>
      <x:c r="M39" s="26" t="n">
        <x:v>1350</x:v>
      </x:c>
      <x:c r="N39" s="26" t="n">
        <x:v>-1350</x:v>
      </x:c>
      <x:c r="O39" s="26" t="n">
        <x:v>1350</x:v>
      </x:c>
      <x:c r="P39" s="26" t="n">
        <x:v>0</x:v>
      </x:c>
      <x:c r="Q39" s="26" t="n">
        <x:v>0</x:v>
      </x:c>
      <x:c r="R39" s="26" t="n">
        <x:v>0</x:v>
      </x:c>
      <x:c r="S39" s="26" t="n">
        <x:v>0</x:v>
      </x:c>
      <x:c r="T39" s="26" t="n">
        <x:v>0</x:v>
      </x:c>
      <x:c r="U39" s="26" t="n">
        <x:v>0</x:v>
      </x:c>
      <x:c r="V39" s="26" t="n">
        <x:v>0</x:v>
      </x:c>
      <x:c r="W39" s="26" t="n">
        <x:v>0</x:v>
      </x:c>
      <x:c r="X39" s="26" t="n">
        <x:v>0</x:v>
      </x:c>
      <x:c r="Y39" s="26" t="n">
        <x:v>0</x:v>
      </x:c>
      <x:c r="Z39" s="35" t="str">
        <x:v>Receipt allocated to FIN-00035</x:v>
      </x:c>
    </x:row>
    <x:row r="40">
      <x:c r="A40" s="20" t="str">
        <x:v>FIN-00037</x:v>
      </x:c>
      <x:c r="B40" s="23" t="n">
        <x:v>46388</x:v>
      </x:c>
      <x:c r="C40" s="23" t="n">
        <x:v>46388</x:v>
      </x:c>
      <x:c r="D40" s="20" t="str">
        <x:v>TenantCharge</x:v>
      </x:c>
      <x:c r="E40" s="20" t="str">
        <x:v>Rent</x:v>
      </x:c>
      <x:c r="F40" s="20" t="str">
        <x:v>P017</x:v>
      </x:c>
      <x:c r="G40" s="20" t="str">
        <x:v>U017</x:v>
      </x:c>
      <x:c r="H40" s="20" t="str">
        <x:v>L017</x:v>
      </x:c>
      <x:c r="I40" s="20" t="str">
        <x:v>Dana Garcia</x:v>
      </x:c>
      <x:c r="J40" s="35" t="str">
        <x:v>System scheduled charge</x:v>
      </x:c>
      <x:c r="K40" s="20" t="str"/>
      <x:c r="L40" s="20" t="str">
        <x:v>RENT-202701-L017</x:v>
      </x:c>
      <x:c r="M40" s="26" t="n">
        <x:v>1875</x:v>
      </x:c>
      <x:c r="N40" s="26" t="n">
        <x:v>1875</x:v>
      </x:c>
      <x:c r="O40" s="26" t="n">
        <x:v>0</x:v>
      </x:c>
      <x:c r="P40" s="26" t="n">
        <x:v>0</x:v>
      </x:c>
      <x:c r="Q40" s="26" t="n">
        <x:v>0</x:v>
      </x:c>
      <x:c r="R40" s="26" t="n">
        <x:v>0</x:v>
      </x:c>
      <x:c r="S40" s="26" t="n">
        <x:v>0</x:v>
      </x:c>
      <x:c r="T40" s="26" t="n">
        <x:v>1875</x:v>
      </x:c>
      <x:c r="U40" s="26" t="n">
        <x:v>0</x:v>
      </x:c>
      <x:c r="V40" s="26" t="n">
        <x:v>0</x:v>
      </x:c>
      <x:c r="W40" s="26" t="n">
        <x:v>0</x:v>
      </x:c>
      <x:c r="X40" s="26" t="n">
        <x:v>0</x:v>
      </x:c>
      <x:c r="Y40" s="26" t="n">
        <x:v>0</x:v>
      </x:c>
      <x:c r="Z40" s="35" t="str">
        <x:v>January 2027 rent</x:v>
      </x:c>
    </x:row>
    <x:row r="41">
      <x:c r="A41" s="20" t="str">
        <x:v>FIN-00038</x:v>
      </x:c>
      <x:c r="B41" s="23" t="n">
        <x:v>46392</x:v>
      </x:c>
      <x:c r="C41" s="23" t="n">
        <x:v>46392</x:v>
      </x:c>
      <x:c r="D41" s="20" t="str">
        <x:v>TenantReceipt</x:v>
      </x:c>
      <x:c r="E41" s="20" t="str">
        <x:v>Rent receipt</x:v>
      </x:c>
      <x:c r="F41" s="20" t="str">
        <x:v>P017</x:v>
      </x:c>
      <x:c r="G41" s="20" t="str">
        <x:v>U017</x:v>
      </x:c>
      <x:c r="H41" s="20" t="str">
        <x:v>L017</x:v>
      </x:c>
      <x:c r="I41" s="20" t="str">
        <x:v>Dana Garcia</x:v>
      </x:c>
      <x:c r="J41" s="35" t="str">
        <x:v>Scanned money order</x:v>
      </x:c>
      <x:c r="K41" s="20" t="str">
        <x:v>SCN-0096</x:v>
      </x:c>
      <x:c r="L41" s="20" t="str">
        <x:v>PMT-20270105-L017</x:v>
      </x:c>
      <x:c r="M41" s="26" t="n">
        <x:v>1875</x:v>
      </x:c>
      <x:c r="N41" s="26" t="n">
        <x:v>-1875</x:v>
      </x:c>
      <x:c r="O41" s="26" t="n">
        <x:v>1875</x:v>
      </x:c>
      <x:c r="P41" s="26" t="n">
        <x:v>0</x:v>
      </x:c>
      <x:c r="Q41" s="26" t="n">
        <x:v>0</x:v>
      </x:c>
      <x:c r="R41" s="26" t="n">
        <x:v>0</x:v>
      </x:c>
      <x:c r="S41" s="26" t="n">
        <x:v>0</x:v>
      </x:c>
      <x:c r="T41" s="26" t="n">
        <x:v>0</x:v>
      </x:c>
      <x:c r="U41" s="26" t="n">
        <x:v>0</x:v>
      </x:c>
      <x:c r="V41" s="26" t="n">
        <x:v>0</x:v>
      </x:c>
      <x:c r="W41" s="26" t="n">
        <x:v>0</x:v>
      </x:c>
      <x:c r="X41" s="26" t="n">
        <x:v>0</x:v>
      </x:c>
      <x:c r="Y41" s="26" t="n">
        <x:v>0</x:v>
      </x:c>
      <x:c r="Z41" s="35" t="str">
        <x:v>Receipt allocated to FIN-00037</x:v>
      </x:c>
    </x:row>
    <x:row r="42">
      <x:c r="A42" s="20" t="str">
        <x:v>FIN-00039</x:v>
      </x:c>
      <x:c r="B42" s="23" t="n">
        <x:v>46388</x:v>
      </x:c>
      <x:c r="C42" s="23" t="n">
        <x:v>46388</x:v>
      </x:c>
      <x:c r="D42" s="20" t="str">
        <x:v>TenantCharge</x:v>
      </x:c>
      <x:c r="E42" s="20" t="str">
        <x:v>Rent</x:v>
      </x:c>
      <x:c r="F42" s="20" t="str">
        <x:v>P018</x:v>
      </x:c>
      <x:c r="G42" s="20" t="str">
        <x:v>U018</x:v>
      </x:c>
      <x:c r="H42" s="20" t="str">
        <x:v>L018</x:v>
      </x:c>
      <x:c r="I42" s="20" t="str">
        <x:v>Gray Lewis</x:v>
      </x:c>
      <x:c r="J42" s="35" t="str">
        <x:v>System scheduled charge</x:v>
      </x:c>
      <x:c r="K42" s="20" t="str"/>
      <x:c r="L42" s="20" t="str">
        <x:v>RENT-202701-L018</x:v>
      </x:c>
      <x:c r="M42" s="26" t="n">
        <x:v>1500</x:v>
      </x:c>
      <x:c r="N42" s="26" t="n">
        <x:v>1500</x:v>
      </x:c>
      <x:c r="O42" s="26" t="n">
        <x:v>0</x:v>
      </x:c>
      <x:c r="P42" s="26" t="n">
        <x:v>0</x:v>
      </x:c>
      <x:c r="Q42" s="26" t="n">
        <x:v>0</x:v>
      </x:c>
      <x:c r="R42" s="26" t="n">
        <x:v>0</x:v>
      </x:c>
      <x:c r="S42" s="26" t="n">
        <x:v>0</x:v>
      </x:c>
      <x:c r="T42" s="26" t="n">
        <x:v>1500</x:v>
      </x:c>
      <x:c r="U42" s="26" t="n">
        <x:v>0</x:v>
      </x:c>
      <x:c r="V42" s="26" t="n">
        <x:v>0</x:v>
      </x:c>
      <x:c r="W42" s="26" t="n">
        <x:v>0</x:v>
      </x:c>
      <x:c r="X42" s="26" t="n">
        <x:v>0</x:v>
      </x:c>
      <x:c r="Y42" s="26" t="n">
        <x:v>0</x:v>
      </x:c>
      <x:c r="Z42" s="35" t="str">
        <x:v>January 2027 rent</x:v>
      </x:c>
    </x:row>
    <x:row r="43">
      <x:c r="A43" s="20" t="str">
        <x:v>FIN-00040</x:v>
      </x:c>
      <x:c r="B43" s="23" t="n">
        <x:v>46390</x:v>
      </x:c>
      <x:c r="C43" s="23" t="n">
        <x:v>46390</x:v>
      </x:c>
      <x:c r="D43" s="20" t="str">
        <x:v>TenantReceipt</x:v>
      </x:c>
      <x:c r="E43" s="20" t="str">
        <x:v>Rent receipt</x:v>
      </x:c>
      <x:c r="F43" s="20" t="str">
        <x:v>P018</x:v>
      </x:c>
      <x:c r="G43" s="20" t="str">
        <x:v>U018</x:v>
      </x:c>
      <x:c r="H43" s="20" t="str">
        <x:v>L018</x:v>
      </x:c>
      <x:c r="I43" s="20" t="str">
        <x:v>Gray Lewis</x:v>
      </x:c>
      <x:c r="J43" s="35" t="str">
        <x:v>Manual ACH</x:v>
      </x:c>
      <x:c r="K43" s="20" t="str"/>
      <x:c r="L43" s="20" t="str">
        <x:v>PMT-20270103-L018</x:v>
      </x:c>
      <x:c r="M43" s="26" t="n">
        <x:v>1500</x:v>
      </x:c>
      <x:c r="N43" s="26" t="n">
        <x:v>-1500</x:v>
      </x:c>
      <x:c r="O43" s="26" t="n">
        <x:v>1500</x:v>
      </x:c>
      <x:c r="P43" s="26" t="n">
        <x:v>0</x:v>
      </x:c>
      <x:c r="Q43" s="26" t="n">
        <x:v>0</x:v>
      </x:c>
      <x:c r="R43" s="26" t="n">
        <x:v>0</x:v>
      </x:c>
      <x:c r="S43" s="26" t="n">
        <x:v>0</x:v>
      </x:c>
      <x:c r="T43" s="26" t="n">
        <x:v>0</x:v>
      </x:c>
      <x:c r="U43" s="26" t="n">
        <x:v>0</x:v>
      </x:c>
      <x:c r="V43" s="26" t="n">
        <x:v>0</x:v>
      </x:c>
      <x:c r="W43" s="26" t="n">
        <x:v>0</x:v>
      </x:c>
      <x:c r="X43" s="26" t="n">
        <x:v>0</x:v>
      </x:c>
      <x:c r="Y43" s="26" t="n">
        <x:v>0</x:v>
      </x:c>
      <x:c r="Z43" s="35" t="str">
        <x:v>Receipt allocated to FIN-00039</x:v>
      </x:c>
    </x:row>
    <x:row r="44">
      <x:c r="A44" s="20" t="str">
        <x:v>FIN-00041</x:v>
      </x:c>
      <x:c r="B44" s="23" t="n">
        <x:v>46388</x:v>
      </x:c>
      <x:c r="C44" s="23" t="n">
        <x:v>46388</x:v>
      </x:c>
      <x:c r="D44" s="20" t="str">
        <x:v>TenantCharge</x:v>
      </x:c>
      <x:c r="E44" s="20" t="str">
        <x:v>Rent</x:v>
      </x:c>
      <x:c r="F44" s="20" t="str">
        <x:v>P019</x:v>
      </x:c>
      <x:c r="G44" s="20" t="str">
        <x:v>U019</x:v>
      </x:c>
      <x:c r="H44" s="20" t="str">
        <x:v>L019</x:v>
      </x:c>
      <x:c r="I44" s="20" t="str">
        <x:v>Jordan Reed</x:v>
      </x:c>
      <x:c r="J44" s="35" t="str">
        <x:v>System scheduled charge</x:v>
      </x:c>
      <x:c r="K44" s="20" t="str"/>
      <x:c r="L44" s="20" t="str">
        <x:v>RENT-202701-L019</x:v>
      </x:c>
      <x:c r="M44" s="26" t="n">
        <x:v>1125</x:v>
      </x:c>
      <x:c r="N44" s="26" t="n">
        <x:v>1125</x:v>
      </x:c>
      <x:c r="O44" s="26" t="n">
        <x:v>0</x:v>
      </x:c>
      <x:c r="P44" s="26" t="n">
        <x:v>0</x:v>
      </x:c>
      <x:c r="Q44" s="26" t="n">
        <x:v>0</x:v>
      </x:c>
      <x:c r="R44" s="26" t="n">
        <x:v>0</x:v>
      </x:c>
      <x:c r="S44" s="26" t="n">
        <x:v>0</x:v>
      </x:c>
      <x:c r="T44" s="26" t="n">
        <x:v>1125</x:v>
      </x:c>
      <x:c r="U44" s="26" t="n">
        <x:v>0</x:v>
      </x:c>
      <x:c r="V44" s="26" t="n">
        <x:v>0</x:v>
      </x:c>
      <x:c r="W44" s="26" t="n">
        <x:v>0</x:v>
      </x:c>
      <x:c r="X44" s="26" t="n">
        <x:v>0</x:v>
      </x:c>
      <x:c r="Y44" s="26" t="n">
        <x:v>0</x:v>
      </x:c>
      <x:c r="Z44" s="35" t="str">
        <x:v>January 2027 rent</x:v>
      </x:c>
    </x:row>
    <x:row r="45">
      <x:c r="A45" s="20" t="str">
        <x:v>FIN-00042</x:v>
      </x:c>
      <x:c r="B45" s="23" t="n">
        <x:v>46391</x:v>
      </x:c>
      <x:c r="C45" s="23" t="n">
        <x:v>46391</x:v>
      </x:c>
      <x:c r="D45" s="20" t="str">
        <x:v>TenantReceipt</x:v>
      </x:c>
      <x:c r="E45" s="20" t="str">
        <x:v>Rent receipt</x:v>
      </x:c>
      <x:c r="F45" s="20" t="str">
        <x:v>P019</x:v>
      </x:c>
      <x:c r="G45" s="20" t="str">
        <x:v>U019</x:v>
      </x:c>
      <x:c r="H45" s="20" t="str">
        <x:v>L019</x:v>
      </x:c>
      <x:c r="I45" s="20" t="str">
        <x:v>Jordan Reed</x:v>
      </x:c>
      <x:c r="J45" s="35" t="str">
        <x:v>Portal card</x:v>
      </x:c>
      <x:c r="K45" s="20" t="str"/>
      <x:c r="L45" s="20" t="str">
        <x:v>PMT-20270104-L019</x:v>
      </x:c>
      <x:c r="M45" s="26" t="n">
        <x:v>1125</x:v>
      </x:c>
      <x:c r="N45" s="26" t="n">
        <x:v>-1125</x:v>
      </x:c>
      <x:c r="O45" s="26" t="n">
        <x:v>1125</x:v>
      </x:c>
      <x:c r="P45" s="26" t="n">
        <x:v>0</x:v>
      </x:c>
      <x:c r="Q45" s="26" t="n">
        <x:v>0</x:v>
      </x:c>
      <x:c r="R45" s="26" t="n">
        <x:v>0</x:v>
      </x:c>
      <x:c r="S45" s="26" t="n">
        <x:v>0</x:v>
      </x:c>
      <x:c r="T45" s="26" t="n">
        <x:v>0</x:v>
      </x:c>
      <x:c r="U45" s="26" t="n">
        <x:v>0</x:v>
      </x:c>
      <x:c r="V45" s="26" t="n">
        <x:v>0</x:v>
      </x:c>
      <x:c r="W45" s="26" t="n">
        <x:v>0</x:v>
      </x:c>
      <x:c r="X45" s="26" t="n">
        <x:v>0</x:v>
      </x:c>
      <x:c r="Y45" s="26" t="n">
        <x:v>0</x:v>
      </x:c>
      <x:c r="Z45" s="35" t="str">
        <x:v>Receipt allocated to FIN-00041</x:v>
      </x:c>
    </x:row>
    <x:row r="46">
      <x:c r="A46" s="20" t="str">
        <x:v>FIN-00043</x:v>
      </x:c>
      <x:c r="B46" s="23" t="n">
        <x:v>46388</x:v>
      </x:c>
      <x:c r="C46" s="23" t="n">
        <x:v>46388</x:v>
      </x:c>
      <x:c r="D46" s="20" t="str">
        <x:v>TenantCharge</x:v>
      </x:c>
      <x:c r="E46" s="20" t="str">
        <x:v>Rent</x:v>
      </x:c>
      <x:c r="F46" s="20" t="str">
        <x:v>P020</x:v>
      </x:c>
      <x:c r="G46" s="20" t="str">
        <x:v>U020</x:v>
      </x:c>
      <x:c r="H46" s="20" t="str">
        <x:v>L020</x:v>
      </x:c>
      <x:c r="I46" s="20" t="str">
        <x:v>Morgan Adams</x:v>
      </x:c>
      <x:c r="J46" s="35" t="str">
        <x:v>System scheduled charge</x:v>
      </x:c>
      <x:c r="K46" s="20" t="str"/>
      <x:c r="L46" s="20" t="str">
        <x:v>RENT-202701-L020</x:v>
      </x:c>
      <x:c r="M46" s="26" t="n">
        <x:v>1650</x:v>
      </x:c>
      <x:c r="N46" s="26" t="n">
        <x:v>1650</x:v>
      </x:c>
      <x:c r="O46" s="26" t="n">
        <x:v>0</x:v>
      </x:c>
      <x:c r="P46" s="26" t="n">
        <x:v>0</x:v>
      </x:c>
      <x:c r="Q46" s="26" t="n">
        <x:v>0</x:v>
      </x:c>
      <x:c r="R46" s="26" t="n">
        <x:v>0</x:v>
      </x:c>
      <x:c r="S46" s="26" t="n">
        <x:v>0</x:v>
      </x:c>
      <x:c r="T46" s="26" t="n">
        <x:v>1650</x:v>
      </x:c>
      <x:c r="U46" s="26" t="n">
        <x:v>0</x:v>
      </x:c>
      <x:c r="V46" s="26" t="n">
        <x:v>0</x:v>
      </x:c>
      <x:c r="W46" s="26" t="n">
        <x:v>0</x:v>
      </x:c>
      <x:c r="X46" s="26" t="n">
        <x:v>0</x:v>
      </x:c>
      <x:c r="Y46" s="26" t="n">
        <x:v>0</x:v>
      </x:c>
      <x:c r="Z46" s="35" t="str">
        <x:v>January 2027 rent</x:v>
      </x:c>
    </x:row>
    <x:row r="47">
      <x:c r="A47" s="20" t="str">
        <x:v>FIN-00044</x:v>
      </x:c>
      <x:c r="B47" s="23" t="n">
        <x:v>46392</x:v>
      </x:c>
      <x:c r="C47" s="23" t="n">
        <x:v>46392</x:v>
      </x:c>
      <x:c r="D47" s="20" t="str">
        <x:v>TenantReceipt</x:v>
      </x:c>
      <x:c r="E47" s="20" t="str">
        <x:v>Rent receipt</x:v>
      </x:c>
      <x:c r="F47" s="20" t="str">
        <x:v>P020</x:v>
      </x:c>
      <x:c r="G47" s="20" t="str">
        <x:v>U020</x:v>
      </x:c>
      <x:c r="H47" s="20" t="str">
        <x:v>L020</x:v>
      </x:c>
      <x:c r="I47" s="20" t="str">
        <x:v>Morgan Adams</x:v>
      </x:c>
      <x:c r="J47" s="35" t="str">
        <x:v>Scanned check</x:v>
      </x:c>
      <x:c r="K47" s="20" t="str">
        <x:v>SCN-0097</x:v>
      </x:c>
      <x:c r="L47" s="20" t="str">
        <x:v>PMT-20270105-L020</x:v>
      </x:c>
      <x:c r="M47" s="26" t="n">
        <x:v>1650</x:v>
      </x:c>
      <x:c r="N47" s="26" t="n">
        <x:v>-1650</x:v>
      </x:c>
      <x:c r="O47" s="26" t="n">
        <x:v>1650</x:v>
      </x:c>
      <x:c r="P47" s="26" t="n">
        <x:v>0</x:v>
      </x:c>
      <x:c r="Q47" s="26" t="n">
        <x:v>0</x:v>
      </x:c>
      <x:c r="R47" s="26" t="n">
        <x:v>0</x:v>
      </x:c>
      <x:c r="S47" s="26" t="n">
        <x:v>0</x:v>
      </x:c>
      <x:c r="T47" s="26" t="n">
        <x:v>0</x:v>
      </x:c>
      <x:c r="U47" s="26" t="n">
        <x:v>0</x:v>
      </x:c>
      <x:c r="V47" s="26" t="n">
        <x:v>0</x:v>
      </x:c>
      <x:c r="W47" s="26" t="n">
        <x:v>0</x:v>
      </x:c>
      <x:c r="X47" s="26" t="n">
        <x:v>0</x:v>
      </x:c>
      <x:c r="Y47" s="26" t="n">
        <x:v>0</x:v>
      </x:c>
      <x:c r="Z47" s="35" t="str">
        <x:v>Receipt allocated to FIN-00043</x:v>
      </x:c>
    </x:row>
    <x:row r="48">
      <x:c r="A48" s="20" t="str">
        <x:v>FIN-00045</x:v>
      </x:c>
      <x:c r="B48" s="23" t="n">
        <x:v>46388</x:v>
      </x:c>
      <x:c r="C48" s="23" t="n">
        <x:v>46388</x:v>
      </x:c>
      <x:c r="D48" s="20" t="str">
        <x:v>TenantCharge</x:v>
      </x:c>
      <x:c r="E48" s="20" t="str">
        <x:v>Rent</x:v>
      </x:c>
      <x:c r="F48" s="20" t="str">
        <x:v>P021</x:v>
      </x:c>
      <x:c r="G48" s="20" t="str">
        <x:v>U021</x:v>
      </x:c>
      <x:c r="H48" s="20" t="str">
        <x:v>L021</x:v>
      </x:c>
      <x:c r="I48" s="20" t="str">
        <x:v>Parker Flores</x:v>
      </x:c>
      <x:c r="J48" s="35" t="str">
        <x:v>System scheduled charge</x:v>
      </x:c>
      <x:c r="K48" s="20" t="str"/>
      <x:c r="L48" s="20" t="str">
        <x:v>RENT-202701-L021</x:v>
      </x:c>
      <x:c r="M48" s="26" t="n">
        <x:v>1375</x:v>
      </x:c>
      <x:c r="N48" s="26" t="n">
        <x:v>1375</x:v>
      </x:c>
      <x:c r="O48" s="26" t="n">
        <x:v>0</x:v>
      </x:c>
      <x:c r="P48" s="26" t="n">
        <x:v>0</x:v>
      </x:c>
      <x:c r="Q48" s="26" t="n">
        <x:v>0</x:v>
      </x:c>
      <x:c r="R48" s="26" t="n">
        <x:v>0</x:v>
      </x:c>
      <x:c r="S48" s="26" t="n">
        <x:v>0</x:v>
      </x:c>
      <x:c r="T48" s="26" t="n">
        <x:v>1375</x:v>
      </x:c>
      <x:c r="U48" s="26" t="n">
        <x:v>0</x:v>
      </x:c>
      <x:c r="V48" s="26" t="n">
        <x:v>0</x:v>
      </x:c>
      <x:c r="W48" s="26" t="n">
        <x:v>0</x:v>
      </x:c>
      <x:c r="X48" s="26" t="n">
        <x:v>0</x:v>
      </x:c>
      <x:c r="Y48" s="26" t="n">
        <x:v>0</x:v>
      </x:c>
      <x:c r="Z48" s="35" t="str">
        <x:v>January 2027 rent</x:v>
      </x:c>
    </x:row>
    <x:row r="49">
      <x:c r="A49" s="20" t="str">
        <x:v>FIN-00046</x:v>
      </x:c>
      <x:c r="B49" s="23" t="n">
        <x:v>46390</x:v>
      </x:c>
      <x:c r="C49" s="23" t="n">
        <x:v>46390</x:v>
      </x:c>
      <x:c r="D49" s="20" t="str">
        <x:v>TenantReceipt</x:v>
      </x:c>
      <x:c r="E49" s="20" t="str">
        <x:v>Rent receipt</x:v>
      </x:c>
      <x:c r="F49" s="20" t="str">
        <x:v>P021</x:v>
      </x:c>
      <x:c r="G49" s="20" t="str">
        <x:v>U021</x:v>
      </x:c>
      <x:c r="H49" s="20" t="str">
        <x:v>L021</x:v>
      </x:c>
      <x:c r="I49" s="20" t="str">
        <x:v>Parker Flores</x:v>
      </x:c>
      <x:c r="J49" s="35" t="str">
        <x:v>Scanned money order</x:v>
      </x:c>
      <x:c r="K49" s="20" t="str">
        <x:v>SCN-0098</x:v>
      </x:c>
      <x:c r="L49" s="20" t="str">
        <x:v>PMT-20270103-L021</x:v>
      </x:c>
      <x:c r="M49" s="26" t="n">
        <x:v>1375</x:v>
      </x:c>
      <x:c r="N49" s="26" t="n">
        <x:v>-1375</x:v>
      </x:c>
      <x:c r="O49" s="26" t="n">
        <x:v>1375</x:v>
      </x:c>
      <x:c r="P49" s="26" t="n">
        <x:v>0</x:v>
      </x:c>
      <x:c r="Q49" s="26" t="n">
        <x:v>0</x:v>
      </x:c>
      <x:c r="R49" s="26" t="n">
        <x:v>0</x:v>
      </x:c>
      <x:c r="S49" s="26" t="n">
        <x:v>0</x:v>
      </x:c>
      <x:c r="T49" s="26" t="n">
        <x:v>0</x:v>
      </x:c>
      <x:c r="U49" s="26" t="n">
        <x:v>0</x:v>
      </x:c>
      <x:c r="V49" s="26" t="n">
        <x:v>0</x:v>
      </x:c>
      <x:c r="W49" s="26" t="n">
        <x:v>0</x:v>
      </x:c>
      <x:c r="X49" s="26" t="n">
        <x:v>0</x:v>
      </x:c>
      <x:c r="Y49" s="26" t="n">
        <x:v>0</x:v>
      </x:c>
      <x:c r="Z49" s="35" t="str">
        <x:v>Receipt allocated to FIN-00045</x:v>
      </x:c>
    </x:row>
    <x:row r="50">
      <x:c r="A50" s="20" t="str">
        <x:v>FIN-00047</x:v>
      </x:c>
      <x:c r="B50" s="23" t="n">
        <x:v>46388</x:v>
      </x:c>
      <x:c r="C50" s="23" t="n">
        <x:v>46388</x:v>
      </x:c>
      <x:c r="D50" s="20" t="str">
        <x:v>TenantCharge</x:v>
      </x:c>
      <x:c r="E50" s="20" t="str">
        <x:v>Rent</x:v>
      </x:c>
      <x:c r="F50" s="20" t="str">
        <x:v>P021</x:v>
      </x:c>
      <x:c r="G50" s="20" t="str">
        <x:v>U022</x:v>
      </x:c>
      <x:c r="H50" s="20" t="str">
        <x:v>L022</x:v>
      </x:c>
      <x:c r="I50" s="20" t="str">
        <x:v>Sage King</x:v>
      </x:c>
      <x:c r="J50" s="35" t="str">
        <x:v>System scheduled charge</x:v>
      </x:c>
      <x:c r="K50" s="20" t="str"/>
      <x:c r="L50" s="20" t="str">
        <x:v>RENT-202701-L022</x:v>
      </x:c>
      <x:c r="M50" s="26" t="n">
        <x:v>1900</x:v>
      </x:c>
      <x:c r="N50" s="26" t="n">
        <x:v>1900</x:v>
      </x:c>
      <x:c r="O50" s="26" t="n">
        <x:v>0</x:v>
      </x:c>
      <x:c r="P50" s="26" t="n">
        <x:v>0</x:v>
      </x:c>
      <x:c r="Q50" s="26" t="n">
        <x:v>0</x:v>
      </x:c>
      <x:c r="R50" s="26" t="n">
        <x:v>0</x:v>
      </x:c>
      <x:c r="S50" s="26" t="n">
        <x:v>0</x:v>
      </x:c>
      <x:c r="T50" s="26" t="n">
        <x:v>1900</x:v>
      </x:c>
      <x:c r="U50" s="26" t="n">
        <x:v>0</x:v>
      </x:c>
      <x:c r="V50" s="26" t="n">
        <x:v>0</x:v>
      </x:c>
      <x:c r="W50" s="26" t="n">
        <x:v>0</x:v>
      </x:c>
      <x:c r="X50" s="26" t="n">
        <x:v>0</x:v>
      </x:c>
      <x:c r="Y50" s="26" t="n">
        <x:v>0</x:v>
      </x:c>
      <x:c r="Z50" s="35" t="str">
        <x:v>January 2027 rent</x:v>
      </x:c>
    </x:row>
    <x:row r="51">
      <x:c r="A51" s="20" t="str">
        <x:v>FIN-00048</x:v>
      </x:c>
      <x:c r="B51" s="23" t="n">
        <x:v>46390</x:v>
      </x:c>
      <x:c r="C51" s="23" t="n">
        <x:v>46390</x:v>
      </x:c>
      <x:c r="D51" s="20" t="str">
        <x:v>TenantReceipt</x:v>
      </x:c>
      <x:c r="E51" s="20" t="str">
        <x:v>Rent receipt</x:v>
      </x:c>
      <x:c r="F51" s="20" t="str">
        <x:v>P021</x:v>
      </x:c>
      <x:c r="G51" s="20" t="str">
        <x:v>U022</x:v>
      </x:c>
      <x:c r="H51" s="20" t="str">
        <x:v>L022</x:v>
      </x:c>
      <x:c r="I51" s="20" t="str">
        <x:v>Sage King</x:v>
      </x:c>
      <x:c r="J51" s="35" t="str">
        <x:v>Manual ACH</x:v>
      </x:c>
      <x:c r="K51" s="20" t="str"/>
      <x:c r="L51" s="20" t="str">
        <x:v>PMT-20270103-L022-A</x:v>
      </x:c>
      <x:c r="M51" s="26" t="n">
        <x:v>1140</x:v>
      </x:c>
      <x:c r="N51" s="26" t="n">
        <x:v>-1140</x:v>
      </x:c>
      <x:c r="O51" s="26" t="n">
        <x:v>1140</x:v>
      </x:c>
      <x:c r="P51" s="26" t="n">
        <x:v>0</x:v>
      </x:c>
      <x:c r="Q51" s="26" t="n">
        <x:v>0</x:v>
      </x:c>
      <x:c r="R51" s="26" t="n">
        <x:v>0</x:v>
      </x:c>
      <x:c r="S51" s="26" t="n">
        <x:v>0</x:v>
      </x:c>
      <x:c r="T51" s="26" t="n">
        <x:v>0</x:v>
      </x:c>
      <x:c r="U51" s="26" t="n">
        <x:v>0</x:v>
      </x:c>
      <x:c r="V51" s="26" t="n">
        <x:v>0</x:v>
      </x:c>
      <x:c r="W51" s="26" t="n">
        <x:v>0</x:v>
      </x:c>
      <x:c r="X51" s="26" t="n">
        <x:v>0</x:v>
      </x:c>
      <x:c r="Y51" s="26" t="n">
        <x:v>0</x:v>
      </x:c>
      <x:c r="Z51" s="35" t="str">
        <x:v>Receipt allocated to FIN-00047</x:v>
      </x:c>
    </x:row>
    <x:row r="52">
      <x:c r="A52" s="20" t="str">
        <x:v>FIN-00049</x:v>
      </x:c>
      <x:c r="B52" s="23" t="n">
        <x:v>46393</x:v>
      </x:c>
      <x:c r="C52" s="23" t="n">
        <x:v>46393</x:v>
      </x:c>
      <x:c r="D52" s="20" t="str">
        <x:v>TenantCharge</x:v>
      </x:c>
      <x:c r="E52" s="20" t="str">
        <x:v>Late fee</x:v>
      </x:c>
      <x:c r="F52" s="20" t="str">
        <x:v>P021</x:v>
      </x:c>
      <x:c r="G52" s="20" t="str">
        <x:v>U022</x:v>
      </x:c>
      <x:c r="H52" s="20" t="str">
        <x:v>L022</x:v>
      </x:c>
      <x:c r="I52" s="20" t="str">
        <x:v>Sage King</x:v>
      </x:c>
      <x:c r="J52" s="35" t="str">
        <x:v>System automation</x:v>
      </x:c>
      <x:c r="K52" s="20" t="str"/>
      <x:c r="L52" s="20" t="str">
        <x:v>LATE-202701-L022</x:v>
      </x:c>
      <x:c r="M52" s="26" t="n">
        <x:v>50</x:v>
      </x:c>
      <x:c r="N52" s="26" t="n">
        <x:v>50</x:v>
      </x:c>
      <x:c r="O52" s="26" t="n">
        <x:v>0</x:v>
      </x:c>
      <x:c r="P52" s="26" t="n">
        <x:v>0</x:v>
      </x:c>
      <x:c r="Q52" s="26" t="n">
        <x:v>0</x:v>
      </x:c>
      <x:c r="R52" s="26" t="n">
        <x:v>0</x:v>
      </x:c>
      <x:c r="S52" s="26" t="n">
        <x:v>0</x:v>
      </x:c>
      <x:c r="T52" s="26" t="n">
        <x:v>50</x:v>
      </x:c>
      <x:c r="U52" s="26" t="n">
        <x:v>0</x:v>
      </x:c>
      <x:c r="V52" s="26" t="n">
        <x:v>0</x:v>
      </x:c>
      <x:c r="W52" s="26" t="n">
        <x:v>0</x:v>
      </x:c>
      <x:c r="X52" s="26" t="n">
        <x:v>0</x:v>
      </x:c>
      <x:c r="Y52" s="26" t="n">
        <x:v>0</x:v>
      </x:c>
      <x:c r="Z52" s="35" t="str">
        <x:v>Synthetic lease-authorized late fee after partial payment</x:v>
      </x:c>
    </x:row>
    <x:row r="53">
      <x:c r="A53" s="20" t="str">
        <x:v>FIN-00050</x:v>
      </x:c>
      <x:c r="B53" s="23" t="n">
        <x:v>46399</x:v>
      </x:c>
      <x:c r="C53" s="23" t="n">
        <x:v>46399</x:v>
      </x:c>
      <x:c r="D53" s="20" t="str">
        <x:v>TenantReceipt</x:v>
      </x:c>
      <x:c r="E53" s="20" t="str">
        <x:v>Rent receipt</x:v>
      </x:c>
      <x:c r="F53" s="20" t="str">
        <x:v>P021</x:v>
      </x:c>
      <x:c r="G53" s="20" t="str">
        <x:v>U022</x:v>
      </x:c>
      <x:c r="H53" s="20" t="str">
        <x:v>L022</x:v>
      </x:c>
      <x:c r="I53" s="20" t="str">
        <x:v>Sage King</x:v>
      </x:c>
      <x:c r="J53" s="35" t="str">
        <x:v>Scanned check</x:v>
      </x:c>
      <x:c r="K53" s="20" t="str">
        <x:v>SCN-0099</x:v>
      </x:c>
      <x:c r="L53" s="20" t="str">
        <x:v>PMT-20270112-L022-B</x:v>
      </x:c>
      <x:c r="M53" s="26" t="n">
        <x:v>810</x:v>
      </x:c>
      <x:c r="N53" s="26" t="n">
        <x:v>-810</x:v>
      </x:c>
      <x:c r="O53" s="26" t="n">
        <x:v>810</x:v>
      </x:c>
      <x:c r="P53" s="26" t="n">
        <x:v>0</x:v>
      </x:c>
      <x:c r="Q53" s="26" t="n">
        <x:v>0</x:v>
      </x:c>
      <x:c r="R53" s="26" t="n">
        <x:v>0</x:v>
      </x:c>
      <x:c r="S53" s="26" t="n">
        <x:v>0</x:v>
      </x:c>
      <x:c r="T53" s="26" t="n">
        <x:v>0</x:v>
      </x:c>
      <x:c r="U53" s="26" t="n">
        <x:v>0</x:v>
      </x:c>
      <x:c r="V53" s="26" t="n">
        <x:v>0</x:v>
      </x:c>
      <x:c r="W53" s="26" t="n">
        <x:v>0</x:v>
      </x:c>
      <x:c r="X53" s="26" t="n">
        <x:v>0</x:v>
      </x:c>
      <x:c r="Y53" s="26" t="n">
        <x:v>0</x:v>
      </x:c>
      <x:c r="Z53" s="35" t="str">
        <x:v>Receipt allocated to FIN-00049</x:v>
      </x:c>
    </x:row>
    <x:row r="54">
      <x:c r="A54" s="20" t="str">
        <x:v>FIN-00051</x:v>
      </x:c>
      <x:c r="B54" s="23" t="n">
        <x:v>46388</x:v>
      </x:c>
      <x:c r="C54" s="23" t="n">
        <x:v>46388</x:v>
      </x:c>
      <x:c r="D54" s="20" t="str">
        <x:v>TenantCharge</x:v>
      </x:c>
      <x:c r="E54" s="20" t="str">
        <x:v>Rent</x:v>
      </x:c>
      <x:c r="F54" s="20" t="str">
        <x:v>P022</x:v>
      </x:c>
      <x:c r="G54" s="20" t="str">
        <x:v>U023</x:v>
      </x:c>
      <x:c r="H54" s="20" t="str">
        <x:v>L023</x:v>
      </x:c>
      <x:c r="I54" s="20" t="str">
        <x:v>Val Price</x:v>
      </x:c>
      <x:c r="J54" s="35" t="str">
        <x:v>System scheduled charge</x:v>
      </x:c>
      <x:c r="K54" s="20" t="str"/>
      <x:c r="L54" s="20" t="str">
        <x:v>RENT-202701-L023</x:v>
      </x:c>
      <x:c r="M54" s="26" t="n">
        <x:v>1525</x:v>
      </x:c>
      <x:c r="N54" s="26" t="n">
        <x:v>1525</x:v>
      </x:c>
      <x:c r="O54" s="26" t="n">
        <x:v>0</x:v>
      </x:c>
      <x:c r="P54" s="26" t="n">
        <x:v>0</x:v>
      </x:c>
      <x:c r="Q54" s="26" t="n">
        <x:v>0</x:v>
      </x:c>
      <x:c r="R54" s="26" t="n">
        <x:v>0</x:v>
      </x:c>
      <x:c r="S54" s="26" t="n">
        <x:v>0</x:v>
      </x:c>
      <x:c r="T54" s="26" t="n">
        <x:v>1525</x:v>
      </x:c>
      <x:c r="U54" s="26" t="n">
        <x:v>0</x:v>
      </x:c>
      <x:c r="V54" s="26" t="n">
        <x:v>0</x:v>
      </x:c>
      <x:c r="W54" s="26" t="n">
        <x:v>0</x:v>
      </x:c>
      <x:c r="X54" s="26" t="n">
        <x:v>0</x:v>
      </x:c>
      <x:c r="Y54" s="26" t="n">
        <x:v>0</x:v>
      </x:c>
      <x:c r="Z54" s="35" t="str">
        <x:v>January 2027 rent</x:v>
      </x:c>
    </x:row>
    <x:row r="55">
      <x:c r="A55" s="20" t="str">
        <x:v>FIN-00052</x:v>
      </x:c>
      <x:c r="B55" s="23" t="n">
        <x:v>46392</x:v>
      </x:c>
      <x:c r="C55" s="23" t="n">
        <x:v>46392</x:v>
      </x:c>
      <x:c r="D55" s="20" t="str">
        <x:v>TenantReceipt</x:v>
      </x:c>
      <x:c r="E55" s="20" t="str">
        <x:v>Rent receipt</x:v>
      </x:c>
      <x:c r="F55" s="20" t="str">
        <x:v>P022</x:v>
      </x:c>
      <x:c r="G55" s="20" t="str">
        <x:v>U023</x:v>
      </x:c>
      <x:c r="H55" s="20" t="str">
        <x:v>L023</x:v>
      </x:c>
      <x:c r="I55" s="20" t="str">
        <x:v>Val Price</x:v>
      </x:c>
      <x:c r="J55" s="35" t="str">
        <x:v>Portal card</x:v>
      </x:c>
      <x:c r="K55" s="20" t="str"/>
      <x:c r="L55" s="20" t="str">
        <x:v>PMT-20270105-L023</x:v>
      </x:c>
      <x:c r="M55" s="26" t="n">
        <x:v>1525</x:v>
      </x:c>
      <x:c r="N55" s="26" t="n">
        <x:v>-1525</x:v>
      </x:c>
      <x:c r="O55" s="26" t="n">
        <x:v>1525</x:v>
      </x:c>
      <x:c r="P55" s="26" t="n">
        <x:v>0</x:v>
      </x:c>
      <x:c r="Q55" s="26" t="n">
        <x:v>0</x:v>
      </x:c>
      <x:c r="R55" s="26" t="n">
        <x:v>0</x:v>
      </x:c>
      <x:c r="S55" s="26" t="n">
        <x:v>0</x:v>
      </x:c>
      <x:c r="T55" s="26" t="n">
        <x:v>0</x:v>
      </x:c>
      <x:c r="U55" s="26" t="n">
        <x:v>0</x:v>
      </x:c>
      <x:c r="V55" s="26" t="n">
        <x:v>0</x:v>
      </x:c>
      <x:c r="W55" s="26" t="n">
        <x:v>0</x:v>
      </x:c>
      <x:c r="X55" s="26" t="n">
        <x:v>0</x:v>
      </x:c>
      <x:c r="Y55" s="26" t="n">
        <x:v>0</x:v>
      </x:c>
      <x:c r="Z55" s="35" t="str">
        <x:v>Receipt allocated to FIN-00051</x:v>
      </x:c>
    </x:row>
    <x:row r="56">
      <x:c r="A56" s="20" t="str">
        <x:v>FIN-00053</x:v>
      </x:c>
      <x:c r="B56" s="23" t="n">
        <x:v>46388</x:v>
      </x:c>
      <x:c r="C56" s="23" t="n">
        <x:v>46388</x:v>
      </x:c>
      <x:c r="D56" s="20" t="str">
        <x:v>TenantCharge</x:v>
      </x:c>
      <x:c r="E56" s="20" t="str">
        <x:v>Rent</x:v>
      </x:c>
      <x:c r="F56" s="20" t="str">
        <x:v>P022</x:v>
      </x:c>
      <x:c r="G56" s="20" t="str">
        <x:v>U024</x:v>
      </x:c>
      <x:c r="H56" s="20" t="str">
        <x:v>L024</x:v>
      </x:c>
      <x:c r="I56" s="20" t="str">
        <x:v>Yara Brooks</x:v>
      </x:c>
      <x:c r="J56" s="35" t="str">
        <x:v>System scheduled charge</x:v>
      </x:c>
      <x:c r="K56" s="20" t="str"/>
      <x:c r="L56" s="20" t="str">
        <x:v>RENT-202701-L024</x:v>
      </x:c>
      <x:c r="M56" s="26" t="n">
        <x:v>1150</x:v>
      </x:c>
      <x:c r="N56" s="26" t="n">
        <x:v>1150</x:v>
      </x:c>
      <x:c r="O56" s="26" t="n">
        <x:v>0</x:v>
      </x:c>
      <x:c r="P56" s="26" t="n">
        <x:v>0</x:v>
      </x:c>
      <x:c r="Q56" s="26" t="n">
        <x:v>0</x:v>
      </x:c>
      <x:c r="R56" s="26" t="n">
        <x:v>0</x:v>
      </x:c>
      <x:c r="S56" s="26" t="n">
        <x:v>0</x:v>
      </x:c>
      <x:c r="T56" s="26" t="n">
        <x:v>1150</x:v>
      </x:c>
      <x:c r="U56" s="26" t="n">
        <x:v>0</x:v>
      </x:c>
      <x:c r="V56" s="26" t="n">
        <x:v>0</x:v>
      </x:c>
      <x:c r="W56" s="26" t="n">
        <x:v>0</x:v>
      </x:c>
      <x:c r="X56" s="26" t="n">
        <x:v>0</x:v>
      </x:c>
      <x:c r="Y56" s="26" t="n">
        <x:v>0</x:v>
      </x:c>
      <x:c r="Z56" s="35" t="str">
        <x:v>January 2027 rent</x:v>
      </x:c>
    </x:row>
    <x:row r="57">
      <x:c r="A57" s="20" t="str">
        <x:v>FIN-00054</x:v>
      </x:c>
      <x:c r="B57" s="23" t="n">
        <x:v>46390</x:v>
      </x:c>
      <x:c r="C57" s="23" t="n">
        <x:v>46390</x:v>
      </x:c>
      <x:c r="D57" s="20" t="str">
        <x:v>TenantReceipt</x:v>
      </x:c>
      <x:c r="E57" s="20" t="str">
        <x:v>Rent receipt</x:v>
      </x:c>
      <x:c r="F57" s="20" t="str">
        <x:v>P022</x:v>
      </x:c>
      <x:c r="G57" s="20" t="str">
        <x:v>U024</x:v>
      </x:c>
      <x:c r="H57" s="20" t="str">
        <x:v>L024</x:v>
      </x:c>
      <x:c r="I57" s="20" t="str">
        <x:v>Yara Brooks</x:v>
      </x:c>
      <x:c r="J57" s="35" t="str">
        <x:v>Scanned check</x:v>
      </x:c>
      <x:c r="K57" s="20" t="str">
        <x:v>SCN-0100</x:v>
      </x:c>
      <x:c r="L57" s="20" t="str">
        <x:v>PMT-20270103-L024</x:v>
      </x:c>
      <x:c r="M57" s="26" t="n">
        <x:v>1150</x:v>
      </x:c>
      <x:c r="N57" s="26" t="n">
        <x:v>-1150</x:v>
      </x:c>
      <x:c r="O57" s="26" t="n">
        <x:v>1150</x:v>
      </x:c>
      <x:c r="P57" s="26" t="n">
        <x:v>0</x:v>
      </x:c>
      <x:c r="Q57" s="26" t="n">
        <x:v>0</x:v>
      </x:c>
      <x:c r="R57" s="26" t="n">
        <x:v>0</x:v>
      </x:c>
      <x:c r="S57" s="26" t="n">
        <x:v>0</x:v>
      </x:c>
      <x:c r="T57" s="26" t="n">
        <x:v>0</x:v>
      </x:c>
      <x:c r="U57" s="26" t="n">
        <x:v>0</x:v>
      </x:c>
      <x:c r="V57" s="26" t="n">
        <x:v>0</x:v>
      </x:c>
      <x:c r="W57" s="26" t="n">
        <x:v>0</x:v>
      </x:c>
      <x:c r="X57" s="26" t="n">
        <x:v>0</x:v>
      </x:c>
      <x:c r="Y57" s="26" t="n">
        <x:v>0</x:v>
      </x:c>
      <x:c r="Z57" s="35" t="str">
        <x:v>Receipt allocated to FIN-00053</x:v>
      </x:c>
    </x:row>
    <x:row r="58">
      <x:c r="A58" s="20" t="str">
        <x:v>FIN-00055</x:v>
      </x:c>
      <x:c r="B58" s="23" t="n">
        <x:v>46388</x:v>
      </x:c>
      <x:c r="C58" s="23" t="n">
        <x:v>46388</x:v>
      </x:c>
      <x:c r="D58" s="20" t="str">
        <x:v>TenantCharge</x:v>
      </x:c>
      <x:c r="E58" s="20" t="str">
        <x:v>Rent</x:v>
      </x:c>
      <x:c r="F58" s="20" t="str">
        <x:v>P023</x:v>
      </x:c>
      <x:c r="G58" s="20" t="str">
        <x:v>U025</x:v>
      </x:c>
      <x:c r="H58" s="20" t="str">
        <x:v>L025</x:v>
      </x:c>
      <x:c r="I58" s="20" t="str">
        <x:v>Bennett Garcia</x:v>
      </x:c>
      <x:c r="J58" s="35" t="str">
        <x:v>System scheduled charge</x:v>
      </x:c>
      <x:c r="K58" s="20" t="str"/>
      <x:c r="L58" s="20" t="str">
        <x:v>RENT-202701-L025</x:v>
      </x:c>
      <x:c r="M58" s="26" t="n">
        <x:v>1675</x:v>
      </x:c>
      <x:c r="N58" s="26" t="n">
        <x:v>1675</x:v>
      </x:c>
      <x:c r="O58" s="26" t="n">
        <x:v>0</x:v>
      </x:c>
      <x:c r="P58" s="26" t="n">
        <x:v>0</x:v>
      </x:c>
      <x:c r="Q58" s="26" t="n">
        <x:v>0</x:v>
      </x:c>
      <x:c r="R58" s="26" t="n">
        <x:v>0</x:v>
      </x:c>
      <x:c r="S58" s="26" t="n">
        <x:v>0</x:v>
      </x:c>
      <x:c r="T58" s="26" t="n">
        <x:v>1675</x:v>
      </x:c>
      <x:c r="U58" s="26" t="n">
        <x:v>0</x:v>
      </x:c>
      <x:c r="V58" s="26" t="n">
        <x:v>0</x:v>
      </x:c>
      <x:c r="W58" s="26" t="n">
        <x:v>0</x:v>
      </x:c>
      <x:c r="X58" s="26" t="n">
        <x:v>0</x:v>
      </x:c>
      <x:c r="Y58" s="26" t="n">
        <x:v>0</x:v>
      </x:c>
      <x:c r="Z58" s="35" t="str">
        <x:v>January 2027 rent</x:v>
      </x:c>
    </x:row>
    <x:row r="59">
      <x:c r="A59" s="20" t="str">
        <x:v>FIN-00056</x:v>
      </x:c>
      <x:c r="B59" s="23" t="n">
        <x:v>46391</x:v>
      </x:c>
      <x:c r="C59" s="23" t="n">
        <x:v>46391</x:v>
      </x:c>
      <x:c r="D59" s="20" t="str">
        <x:v>TenantReceipt</x:v>
      </x:c>
      <x:c r="E59" s="20" t="str">
        <x:v>Rent receipt</x:v>
      </x:c>
      <x:c r="F59" s="20" t="str">
        <x:v>P023</x:v>
      </x:c>
      <x:c r="G59" s="20" t="str">
        <x:v>U025</x:v>
      </x:c>
      <x:c r="H59" s="20" t="str">
        <x:v>L025</x:v>
      </x:c>
      <x:c r="I59" s="20" t="str">
        <x:v>Bennett Garcia</x:v>
      </x:c>
      <x:c r="J59" s="35" t="str">
        <x:v>Scanned money order</x:v>
      </x:c>
      <x:c r="K59" s="20" t="str">
        <x:v>SCN-0101</x:v>
      </x:c>
      <x:c r="L59" s="20" t="str">
        <x:v>PMT-20270104-L025</x:v>
      </x:c>
      <x:c r="M59" s="26" t="n">
        <x:v>1675</x:v>
      </x:c>
      <x:c r="N59" s="26" t="n">
        <x:v>-1675</x:v>
      </x:c>
      <x:c r="O59" s="26" t="n">
        <x:v>1675</x:v>
      </x:c>
      <x:c r="P59" s="26" t="n">
        <x:v>0</x:v>
      </x:c>
      <x:c r="Q59" s="26" t="n">
        <x:v>0</x:v>
      </x:c>
      <x:c r="R59" s="26" t="n">
        <x:v>0</x:v>
      </x:c>
      <x:c r="S59" s="26" t="n">
        <x:v>0</x:v>
      </x:c>
      <x:c r="T59" s="26" t="n">
        <x:v>0</x:v>
      </x:c>
      <x:c r="U59" s="26" t="n">
        <x:v>0</x:v>
      </x:c>
      <x:c r="V59" s="26" t="n">
        <x:v>0</x:v>
      </x:c>
      <x:c r="W59" s="26" t="n">
        <x:v>0</x:v>
      </x:c>
      <x:c r="X59" s="26" t="n">
        <x:v>0</x:v>
      </x:c>
      <x:c r="Y59" s="26" t="n">
        <x:v>0</x:v>
      </x:c>
      <x:c r="Z59" s="35" t="str">
        <x:v>Receipt allocated to FIN-00055</x:v>
      </x:c>
    </x:row>
    <x:row r="60">
      <x:c r="A60" s="20" t="str">
        <x:v>FIN-00057</x:v>
      </x:c>
      <x:c r="B60" s="23" t="n">
        <x:v>46388</x:v>
      </x:c>
      <x:c r="C60" s="23" t="n">
        <x:v>46388</x:v>
      </x:c>
      <x:c r="D60" s="20" t="str">
        <x:v>TenantCharge</x:v>
      </x:c>
      <x:c r="E60" s="20" t="str">
        <x:v>Rent</x:v>
      </x:c>
      <x:c r="F60" s="20" t="str">
        <x:v>P023</x:v>
      </x:c>
      <x:c r="G60" s="20" t="str">
        <x:v>U026</x:v>
      </x:c>
      <x:c r="H60" s="20" t="str">
        <x:v>L026</x:v>
      </x:c>
      <x:c r="I60" s="20" t="str">
        <x:v>Elena Lewis</x:v>
      </x:c>
      <x:c r="J60" s="35" t="str">
        <x:v>System scheduled charge</x:v>
      </x:c>
      <x:c r="K60" s="20" t="str"/>
      <x:c r="L60" s="20" t="str">
        <x:v>RENT-202701-L026</x:v>
      </x:c>
      <x:c r="M60" s="26" t="n">
        <x:v>1300</x:v>
      </x:c>
      <x:c r="N60" s="26" t="n">
        <x:v>1300</x:v>
      </x:c>
      <x:c r="O60" s="26" t="n">
        <x:v>0</x:v>
      </x:c>
      <x:c r="P60" s="26" t="n">
        <x:v>0</x:v>
      </x:c>
      <x:c r="Q60" s="26" t="n">
        <x:v>0</x:v>
      </x:c>
      <x:c r="R60" s="26" t="n">
        <x:v>0</x:v>
      </x:c>
      <x:c r="S60" s="26" t="n">
        <x:v>0</x:v>
      </x:c>
      <x:c r="T60" s="26" t="n">
        <x:v>1300</x:v>
      </x:c>
      <x:c r="U60" s="26" t="n">
        <x:v>0</x:v>
      </x:c>
      <x:c r="V60" s="26" t="n">
        <x:v>0</x:v>
      </x:c>
      <x:c r="W60" s="26" t="n">
        <x:v>0</x:v>
      </x:c>
      <x:c r="X60" s="26" t="n">
        <x:v>0</x:v>
      </x:c>
      <x:c r="Y60" s="26" t="n">
        <x:v>0</x:v>
      </x:c>
      <x:c r="Z60" s="35" t="str">
        <x:v>January 2027 rent</x:v>
      </x:c>
    </x:row>
    <x:row r="61">
      <x:c r="A61" s="20" t="str">
        <x:v>FIN-00058</x:v>
      </x:c>
      <x:c r="B61" s="23" t="n">
        <x:v>46393</x:v>
      </x:c>
      <x:c r="C61" s="23" t="n">
        <x:v>46393</x:v>
      </x:c>
      <x:c r="D61" s="20" t="str">
        <x:v>TenantCharge</x:v>
      </x:c>
      <x:c r="E61" s="20" t="str">
        <x:v>Late fee</x:v>
      </x:c>
      <x:c r="F61" s="20" t="str">
        <x:v>P023</x:v>
      </x:c>
      <x:c r="G61" s="20" t="str">
        <x:v>U026</x:v>
      </x:c>
      <x:c r="H61" s="20" t="str">
        <x:v>L026</x:v>
      </x:c>
      <x:c r="I61" s="20" t="str">
        <x:v>Elena Lewis</x:v>
      </x:c>
      <x:c r="J61" s="35" t="str">
        <x:v>System automation</x:v>
      </x:c>
      <x:c r="K61" s="20" t="str"/>
      <x:c r="L61" s="20" t="str">
        <x:v>LATE-202701-L026</x:v>
      </x:c>
      <x:c r="M61" s="26" t="n">
        <x:v>50</x:v>
      </x:c>
      <x:c r="N61" s="26" t="n">
        <x:v>50</x:v>
      </x:c>
      <x:c r="O61" s="26" t="n">
        <x:v>0</x:v>
      </x:c>
      <x:c r="P61" s="26" t="n">
        <x:v>0</x:v>
      </x:c>
      <x:c r="Q61" s="26" t="n">
        <x:v>0</x:v>
      </x:c>
      <x:c r="R61" s="26" t="n">
        <x:v>0</x:v>
      </x:c>
      <x:c r="S61" s="26" t="n">
        <x:v>0</x:v>
      </x:c>
      <x:c r="T61" s="26" t="n">
        <x:v>50</x:v>
      </x:c>
      <x:c r="U61" s="26" t="n">
        <x:v>0</x:v>
      </x:c>
      <x:c r="V61" s="26" t="n">
        <x:v>0</x:v>
      </x:c>
      <x:c r="W61" s="26" t="n">
        <x:v>0</x:v>
      </x:c>
      <x:c r="X61" s="26" t="n">
        <x:v>0</x:v>
      </x:c>
      <x:c r="Y61" s="26" t="n">
        <x:v>0</x:v>
      </x:c>
      <x:c r="Z61" s="35" t="str">
        <x:v>Synthetic lease-authorized late fee</x:v>
      </x:c>
    </x:row>
    <x:row r="62">
      <x:c r="A62" s="20" t="str">
        <x:v>FIN-00059</x:v>
      </x:c>
      <x:c r="B62" s="23" t="n">
        <x:v>46395</x:v>
      </x:c>
      <x:c r="C62" s="23" t="n">
        <x:v>46395</x:v>
      </x:c>
      <x:c r="D62" s="20" t="str">
        <x:v>TenantReceipt</x:v>
      </x:c>
      <x:c r="E62" s="20" t="str">
        <x:v>Rent receipt</x:v>
      </x:c>
      <x:c r="F62" s="20" t="str">
        <x:v>P023</x:v>
      </x:c>
      <x:c r="G62" s="20" t="str">
        <x:v>U026</x:v>
      </x:c>
      <x:c r="H62" s="20" t="str">
        <x:v>L026</x:v>
      </x:c>
      <x:c r="I62" s="20" t="str">
        <x:v>Elena Lewis</x:v>
      </x:c>
      <x:c r="J62" s="35" t="str">
        <x:v>Scanned money order</x:v>
      </x:c>
      <x:c r="K62" s="20" t="str">
        <x:v>SCN-0102</x:v>
      </x:c>
      <x:c r="L62" s="20" t="str">
        <x:v>PMT-20270108-L026</x:v>
      </x:c>
      <x:c r="M62" s="26" t="n">
        <x:v>1350</x:v>
      </x:c>
      <x:c r="N62" s="26" t="n">
        <x:v>-1350</x:v>
      </x:c>
      <x:c r="O62" s="26" t="n">
        <x:v>1350</x:v>
      </x:c>
      <x:c r="P62" s="26" t="n">
        <x:v>0</x:v>
      </x:c>
      <x:c r="Q62" s="26" t="n">
        <x:v>0</x:v>
      </x:c>
      <x:c r="R62" s="26" t="n">
        <x:v>0</x:v>
      </x:c>
      <x:c r="S62" s="26" t="n">
        <x:v>0</x:v>
      </x:c>
      <x:c r="T62" s="26" t="n">
        <x:v>0</x:v>
      </x:c>
      <x:c r="U62" s="26" t="n">
        <x:v>0</x:v>
      </x:c>
      <x:c r="V62" s="26" t="n">
        <x:v>0</x:v>
      </x:c>
      <x:c r="W62" s="26" t="n">
        <x:v>0</x:v>
      </x:c>
      <x:c r="X62" s="26" t="n">
        <x:v>0</x:v>
      </x:c>
      <x:c r="Y62" s="26" t="n">
        <x:v>0</x:v>
      </x:c>
      <x:c r="Z62" s="35" t="str">
        <x:v>Receipt allocated to FIN-00058</x:v>
      </x:c>
    </x:row>
    <x:row r="63">
      <x:c r="A63" s="20" t="str">
        <x:v>FIN-00060</x:v>
      </x:c>
      <x:c r="B63" s="23" t="n">
        <x:v>46388</x:v>
      </x:c>
      <x:c r="C63" s="23" t="n">
        <x:v>46388</x:v>
      </x:c>
      <x:c r="D63" s="20" t="str">
        <x:v>TenantCharge</x:v>
      </x:c>
      <x:c r="E63" s="20" t="str">
        <x:v>Rent</x:v>
      </x:c>
      <x:c r="F63" s="20" t="str">
        <x:v>P024</x:v>
      </x:c>
      <x:c r="G63" s="20" t="str">
        <x:v>U027</x:v>
      </x:c>
      <x:c r="H63" s="20" t="str">
        <x:v>L027</x:v>
      </x:c>
      <x:c r="I63" s="20" t="str">
        <x:v>Hector Reed</x:v>
      </x:c>
      <x:c r="J63" s="35" t="str">
        <x:v>System scheduled charge</x:v>
      </x:c>
      <x:c r="K63" s="20" t="str"/>
      <x:c r="L63" s="20" t="str">
        <x:v>RENT-202701-L027</x:v>
      </x:c>
      <x:c r="M63" s="26" t="n">
        <x:v>1825</x:v>
      </x:c>
      <x:c r="N63" s="26" t="n">
        <x:v>1825</x:v>
      </x:c>
      <x:c r="O63" s="26" t="n">
        <x:v>0</x:v>
      </x:c>
      <x:c r="P63" s="26" t="n">
        <x:v>0</x:v>
      </x:c>
      <x:c r="Q63" s="26" t="n">
        <x:v>0</x:v>
      </x:c>
      <x:c r="R63" s="26" t="n">
        <x:v>0</x:v>
      </x:c>
      <x:c r="S63" s="26" t="n">
        <x:v>0</x:v>
      </x:c>
      <x:c r="T63" s="26" t="n">
        <x:v>1825</x:v>
      </x:c>
      <x:c r="U63" s="26" t="n">
        <x:v>0</x:v>
      </x:c>
      <x:c r="V63" s="26" t="n">
        <x:v>0</x:v>
      </x:c>
      <x:c r="W63" s="26" t="n">
        <x:v>0</x:v>
      </x:c>
      <x:c r="X63" s="26" t="n">
        <x:v>0</x:v>
      </x:c>
      <x:c r="Y63" s="26" t="n">
        <x:v>0</x:v>
      </x:c>
      <x:c r="Z63" s="35" t="str">
        <x:v>January 2027 rent</x:v>
      </x:c>
    </x:row>
    <x:row r="64">
      <x:c r="A64" s="20" t="str">
        <x:v>FIN-00061</x:v>
      </x:c>
      <x:c r="B64" s="23" t="n">
        <x:v>46390</x:v>
      </x:c>
      <x:c r="C64" s="23" t="n">
        <x:v>46390</x:v>
      </x:c>
      <x:c r="D64" s="20" t="str">
        <x:v>TenantReceipt</x:v>
      </x:c>
      <x:c r="E64" s="20" t="str">
        <x:v>Rent receipt</x:v>
      </x:c>
      <x:c r="F64" s="20" t="str">
        <x:v>P024</x:v>
      </x:c>
      <x:c r="G64" s="20" t="str">
        <x:v>U027</x:v>
      </x:c>
      <x:c r="H64" s="20" t="str">
        <x:v>L027</x:v>
      </x:c>
      <x:c r="I64" s="20" t="str">
        <x:v>Hector Reed</x:v>
      </x:c>
      <x:c r="J64" s="35" t="str">
        <x:v>Portal card</x:v>
      </x:c>
      <x:c r="K64" s="20" t="str"/>
      <x:c r="L64" s="20" t="str">
        <x:v>PMT-20270103-L027</x:v>
      </x:c>
      <x:c r="M64" s="26" t="n">
        <x:v>1825</x:v>
      </x:c>
      <x:c r="N64" s="26" t="n">
        <x:v>-1825</x:v>
      </x:c>
      <x:c r="O64" s="26" t="n">
        <x:v>1825</x:v>
      </x:c>
      <x:c r="P64" s="26" t="n">
        <x:v>0</x:v>
      </x:c>
      <x:c r="Q64" s="26" t="n">
        <x:v>0</x:v>
      </x:c>
      <x:c r="R64" s="26" t="n">
        <x:v>0</x:v>
      </x:c>
      <x:c r="S64" s="26" t="n">
        <x:v>0</x:v>
      </x:c>
      <x:c r="T64" s="26" t="n">
        <x:v>0</x:v>
      </x:c>
      <x:c r="U64" s="26" t="n">
        <x:v>0</x:v>
      </x:c>
      <x:c r="V64" s="26" t="n">
        <x:v>0</x:v>
      </x:c>
      <x:c r="W64" s="26" t="n">
        <x:v>0</x:v>
      </x:c>
      <x:c r="X64" s="26" t="n">
        <x:v>0</x:v>
      </x:c>
      <x:c r="Y64" s="26" t="n">
        <x:v>0</x:v>
      </x:c>
      <x:c r="Z64" s="35" t="str">
        <x:v>Receipt allocated to FIN-00060</x:v>
      </x:c>
    </x:row>
    <x:row r="65">
      <x:c r="A65" s="20" t="str">
        <x:v>FIN-00062</x:v>
      </x:c>
      <x:c r="B65" s="23" t="n">
        <x:v>46388</x:v>
      </x:c>
      <x:c r="C65" s="23" t="n">
        <x:v>46388</x:v>
      </x:c>
      <x:c r="D65" s="20" t="str">
        <x:v>TenantCharge</x:v>
      </x:c>
      <x:c r="E65" s="20" t="str">
        <x:v>Rent</x:v>
      </x:c>
      <x:c r="F65" s="20" t="str">
        <x:v>P024</x:v>
      </x:c>
      <x:c r="G65" s="20" t="str">
        <x:v>U028</x:v>
      </x:c>
      <x:c r="H65" s="20" t="str">
        <x:v>L028</x:v>
      </x:c>
      <x:c r="I65" s="20" t="str">
        <x:v>Keira Adams</x:v>
      </x:c>
      <x:c r="J65" s="35" t="str">
        <x:v>System scheduled charge</x:v>
      </x:c>
      <x:c r="K65" s="20" t="str"/>
      <x:c r="L65" s="20" t="str">
        <x:v>RENT-202701-L028</x:v>
      </x:c>
      <x:c r="M65" s="26" t="n">
        <x:v>1450</x:v>
      </x:c>
      <x:c r="N65" s="26" t="n">
        <x:v>1450</x:v>
      </x:c>
      <x:c r="O65" s="26" t="n">
        <x:v>0</x:v>
      </x:c>
      <x:c r="P65" s="26" t="n">
        <x:v>0</x:v>
      </x:c>
      <x:c r="Q65" s="26" t="n">
        <x:v>0</x:v>
      </x:c>
      <x:c r="R65" s="26" t="n">
        <x:v>0</x:v>
      </x:c>
      <x:c r="S65" s="26" t="n">
        <x:v>0</x:v>
      </x:c>
      <x:c r="T65" s="26" t="n">
        <x:v>1450</x:v>
      </x:c>
      <x:c r="U65" s="26" t="n">
        <x:v>0</x:v>
      </x:c>
      <x:c r="V65" s="26" t="n">
        <x:v>0</x:v>
      </x:c>
      <x:c r="W65" s="26" t="n">
        <x:v>0</x:v>
      </x:c>
      <x:c r="X65" s="26" t="n">
        <x:v>0</x:v>
      </x:c>
      <x:c r="Y65" s="26" t="n">
        <x:v>0</x:v>
      </x:c>
      <x:c r="Z65" s="35" t="str">
        <x:v>January 2027 rent</x:v>
      </x:c>
    </x:row>
    <x:row r="66">
      <x:c r="A66" s="20" t="str">
        <x:v>FIN-00063</x:v>
      </x:c>
      <x:c r="B66" s="23" t="n">
        <x:v>46391</x:v>
      </x:c>
      <x:c r="C66" s="23" t="n">
        <x:v>46391</x:v>
      </x:c>
      <x:c r="D66" s="20" t="str">
        <x:v>TenantReceipt</x:v>
      </x:c>
      <x:c r="E66" s="20" t="str">
        <x:v>Rent receipt</x:v>
      </x:c>
      <x:c r="F66" s="20" t="str">
        <x:v>P024</x:v>
      </x:c>
      <x:c r="G66" s="20" t="str">
        <x:v>U028</x:v>
      </x:c>
      <x:c r="H66" s="20" t="str">
        <x:v>L028</x:v>
      </x:c>
      <x:c r="I66" s="20" t="str">
        <x:v>Keira Adams</x:v>
      </x:c>
      <x:c r="J66" s="35" t="str">
        <x:v>Scanned check</x:v>
      </x:c>
      <x:c r="K66" s="20" t="str">
        <x:v>SCN-0103</x:v>
      </x:c>
      <x:c r="L66" s="20" t="str">
        <x:v>PMT-20270104-L028</x:v>
      </x:c>
      <x:c r="M66" s="26" t="n">
        <x:v>1450</x:v>
      </x:c>
      <x:c r="N66" s="26" t="n">
        <x:v>-1450</x:v>
      </x:c>
      <x:c r="O66" s="26" t="n">
        <x:v>1450</x:v>
      </x:c>
      <x:c r="P66" s="26" t="n">
        <x:v>0</x:v>
      </x:c>
      <x:c r="Q66" s="26" t="n">
        <x:v>0</x:v>
      </x:c>
      <x:c r="R66" s="26" t="n">
        <x:v>0</x:v>
      </x:c>
      <x:c r="S66" s="26" t="n">
        <x:v>0</x:v>
      </x:c>
      <x:c r="T66" s="26" t="n">
        <x:v>0</x:v>
      </x:c>
      <x:c r="U66" s="26" t="n">
        <x:v>0</x:v>
      </x:c>
      <x:c r="V66" s="26" t="n">
        <x:v>0</x:v>
      </x:c>
      <x:c r="W66" s="26" t="n">
        <x:v>0</x:v>
      </x:c>
      <x:c r="X66" s="26" t="n">
        <x:v>0</x:v>
      </x:c>
      <x:c r="Y66" s="26" t="n">
        <x:v>0</x:v>
      </x:c>
      <x:c r="Z66" s="35" t="str">
        <x:v>Receipt allocated to FIN-00062</x:v>
      </x:c>
    </x:row>
    <x:row r="67">
      <x:c r="A67" s="20" t="str">
        <x:v>FIN-00064</x:v>
      </x:c>
      <x:c r="B67" s="23" t="n">
        <x:v>46388</x:v>
      </x:c>
      <x:c r="C67" s="23" t="n">
        <x:v>46388</x:v>
      </x:c>
      <x:c r="D67" s="20" t="str">
        <x:v>TenantCharge</x:v>
      </x:c>
      <x:c r="E67" s="20" t="str">
        <x:v>Rent</x:v>
      </x:c>
      <x:c r="F67" s="20" t="str">
        <x:v>P025</x:v>
      </x:c>
      <x:c r="G67" s="20" t="str">
        <x:v>U029</x:v>
      </x:c>
      <x:c r="H67" s="20" t="str">
        <x:v>L029</x:v>
      </x:c>
      <x:c r="I67" s="20" t="str">
        <x:v>Nolan Flores</x:v>
      </x:c>
      <x:c r="J67" s="35" t="str">
        <x:v>System scheduled charge</x:v>
      </x:c>
      <x:c r="K67" s="20" t="str"/>
      <x:c r="L67" s="20" t="str">
        <x:v>RENT-202701-L029</x:v>
      </x:c>
      <x:c r="M67" s="26" t="n">
        <x:v>1975</x:v>
      </x:c>
      <x:c r="N67" s="26" t="n">
        <x:v>1975</x:v>
      </x:c>
      <x:c r="O67" s="26" t="n">
        <x:v>0</x:v>
      </x:c>
      <x:c r="P67" s="26" t="n">
        <x:v>0</x:v>
      </x:c>
      <x:c r="Q67" s="26" t="n">
        <x:v>0</x:v>
      </x:c>
      <x:c r="R67" s="26" t="n">
        <x:v>0</x:v>
      </x:c>
      <x:c r="S67" s="26" t="n">
        <x:v>0</x:v>
      </x:c>
      <x:c r="T67" s="26" t="n">
        <x:v>1975</x:v>
      </x:c>
      <x:c r="U67" s="26" t="n">
        <x:v>0</x:v>
      </x:c>
      <x:c r="V67" s="26" t="n">
        <x:v>0</x:v>
      </x:c>
      <x:c r="W67" s="26" t="n">
        <x:v>0</x:v>
      </x:c>
      <x:c r="X67" s="26" t="n">
        <x:v>0</x:v>
      </x:c>
      <x:c r="Y67" s="26" t="n">
        <x:v>0</x:v>
      </x:c>
      <x:c r="Z67" s="35" t="str">
        <x:v>January 2027 rent</x:v>
      </x:c>
    </x:row>
    <x:row r="68">
      <x:c r="A68" s="20" t="str">
        <x:v>FIN-00065</x:v>
      </x:c>
      <x:c r="B68" s="23" t="n">
        <x:v>46392</x:v>
      </x:c>
      <x:c r="C68" s="23" t="n">
        <x:v>46392</x:v>
      </x:c>
      <x:c r="D68" s="20" t="str">
        <x:v>TenantReceipt</x:v>
      </x:c>
      <x:c r="E68" s="20" t="str">
        <x:v>Rent receipt</x:v>
      </x:c>
      <x:c r="F68" s="20" t="str">
        <x:v>P025</x:v>
      </x:c>
      <x:c r="G68" s="20" t="str">
        <x:v>U029</x:v>
      </x:c>
      <x:c r="H68" s="20" t="str">
        <x:v>L029</x:v>
      </x:c>
      <x:c r="I68" s="20" t="str">
        <x:v>Nolan Flores</x:v>
      </x:c>
      <x:c r="J68" s="35" t="str">
        <x:v>Scanned money order</x:v>
      </x:c>
      <x:c r="K68" s="20" t="str">
        <x:v>SCN-0104</x:v>
      </x:c>
      <x:c r="L68" s="20" t="str">
        <x:v>PMT-20270105-L029</x:v>
      </x:c>
      <x:c r="M68" s="26" t="n">
        <x:v>1975</x:v>
      </x:c>
      <x:c r="N68" s="26" t="n">
        <x:v>-1975</x:v>
      </x:c>
      <x:c r="O68" s="26" t="n">
        <x:v>1975</x:v>
      </x:c>
      <x:c r="P68" s="26" t="n">
        <x:v>0</x:v>
      </x:c>
      <x:c r="Q68" s="26" t="n">
        <x:v>0</x:v>
      </x:c>
      <x:c r="R68" s="26" t="n">
        <x:v>0</x:v>
      </x:c>
      <x:c r="S68" s="26" t="n">
        <x:v>0</x:v>
      </x:c>
      <x:c r="T68" s="26" t="n">
        <x:v>0</x:v>
      </x:c>
      <x:c r="U68" s="26" t="n">
        <x:v>0</x:v>
      </x:c>
      <x:c r="V68" s="26" t="n">
        <x:v>0</x:v>
      </x:c>
      <x:c r="W68" s="26" t="n">
        <x:v>0</x:v>
      </x:c>
      <x:c r="X68" s="26" t="n">
        <x:v>0</x:v>
      </x:c>
      <x:c r="Y68" s="26" t="n">
        <x:v>0</x:v>
      </x:c>
      <x:c r="Z68" s="35" t="str">
        <x:v>Receipt allocated to FIN-00064</x:v>
      </x:c>
    </x:row>
    <x:row r="69">
      <x:c r="A69" s="20" t="str">
        <x:v>FIN-00066</x:v>
      </x:c>
      <x:c r="B69" s="23" t="n">
        <x:v>46388</x:v>
      </x:c>
      <x:c r="C69" s="23" t="n">
        <x:v>46388</x:v>
      </x:c>
      <x:c r="D69" s="20" t="str">
        <x:v>TenantCharge</x:v>
      </x:c>
      <x:c r="E69" s="20" t="str">
        <x:v>Rent</x:v>
      </x:c>
      <x:c r="F69" s="20" t="str">
        <x:v>P025</x:v>
      </x:c>
      <x:c r="G69" s="20" t="str">
        <x:v>U030</x:v>
      </x:c>
      <x:c r="H69" s="20" t="str">
        <x:v>L030</x:v>
      </x:c>
      <x:c r="I69" s="20" t="str">
        <x:v>Rina King</x:v>
      </x:c>
      <x:c r="J69" s="35" t="str">
        <x:v>System scheduled charge</x:v>
      </x:c>
      <x:c r="K69" s="20" t="str"/>
      <x:c r="L69" s="20" t="str">
        <x:v>RENT-202701-L030</x:v>
      </x:c>
      <x:c r="M69" s="26" t="n">
        <x:v>1600</x:v>
      </x:c>
      <x:c r="N69" s="26" t="n">
        <x:v>1600</x:v>
      </x:c>
      <x:c r="O69" s="26" t="n">
        <x:v>0</x:v>
      </x:c>
      <x:c r="P69" s="26" t="n">
        <x:v>0</x:v>
      </x:c>
      <x:c r="Q69" s="26" t="n">
        <x:v>0</x:v>
      </x:c>
      <x:c r="R69" s="26" t="n">
        <x:v>0</x:v>
      </x:c>
      <x:c r="S69" s="26" t="n">
        <x:v>0</x:v>
      </x:c>
      <x:c r="T69" s="26" t="n">
        <x:v>1600</x:v>
      </x:c>
      <x:c r="U69" s="26" t="n">
        <x:v>0</x:v>
      </x:c>
      <x:c r="V69" s="26" t="n">
        <x:v>0</x:v>
      </x:c>
      <x:c r="W69" s="26" t="n">
        <x:v>0</x:v>
      </x:c>
      <x:c r="X69" s="26" t="n">
        <x:v>0</x:v>
      </x:c>
      <x:c r="Y69" s="26" t="n">
        <x:v>0</x:v>
      </x:c>
      <x:c r="Z69" s="35" t="str">
        <x:v>January 2027 rent</x:v>
      </x:c>
    </x:row>
    <x:row r="70">
      <x:c r="A70" s="20" t="str">
        <x:v>FIN-00067</x:v>
      </x:c>
      <x:c r="B70" s="23" t="n">
        <x:v>46390</x:v>
      </x:c>
      <x:c r="C70" s="23" t="n">
        <x:v>46390</x:v>
      </x:c>
      <x:c r="D70" s="20" t="str">
        <x:v>TenantReceipt</x:v>
      </x:c>
      <x:c r="E70" s="20" t="str">
        <x:v>Rent receipt</x:v>
      </x:c>
      <x:c r="F70" s="20" t="str">
        <x:v>P025</x:v>
      </x:c>
      <x:c r="G70" s="20" t="str">
        <x:v>U030</x:v>
      </x:c>
      <x:c r="H70" s="20" t="str">
        <x:v>L030</x:v>
      </x:c>
      <x:c r="I70" s="20" t="str">
        <x:v>Rina King</x:v>
      </x:c>
      <x:c r="J70" s="35" t="str">
        <x:v>Manual ACH</x:v>
      </x:c>
      <x:c r="K70" s="20" t="str"/>
      <x:c r="L70" s="20" t="str">
        <x:v>PMT-20270103-L030</x:v>
      </x:c>
      <x:c r="M70" s="26" t="n">
        <x:v>1600</x:v>
      </x:c>
      <x:c r="N70" s="26" t="n">
        <x:v>-1600</x:v>
      </x:c>
      <x:c r="O70" s="26" t="n">
        <x:v>1600</x:v>
      </x:c>
      <x:c r="P70" s="26" t="n">
        <x:v>0</x:v>
      </x:c>
      <x:c r="Q70" s="26" t="n">
        <x:v>0</x:v>
      </x:c>
      <x:c r="R70" s="26" t="n">
        <x:v>0</x:v>
      </x:c>
      <x:c r="S70" s="26" t="n">
        <x:v>0</x:v>
      </x:c>
      <x:c r="T70" s="26" t="n">
        <x:v>0</x:v>
      </x:c>
      <x:c r="U70" s="26" t="n">
        <x:v>0</x:v>
      </x:c>
      <x:c r="V70" s="26" t="n">
        <x:v>0</x:v>
      </x:c>
      <x:c r="W70" s="26" t="n">
        <x:v>0</x:v>
      </x:c>
      <x:c r="X70" s="26" t="n">
        <x:v>0</x:v>
      </x:c>
      <x:c r="Y70" s="26" t="n">
        <x:v>0</x:v>
      </x:c>
      <x:c r="Z70" s="35" t="str">
        <x:v>Receipt allocated to FIN-00066</x:v>
      </x:c>
    </x:row>
    <x:row r="71">
      <x:c r="A71" s="20" t="str">
        <x:v>FIN-00068</x:v>
      </x:c>
      <x:c r="B71" s="23" t="n">
        <x:v>46388</x:v>
      </x:c>
      <x:c r="C71" s="23" t="n">
        <x:v>46388</x:v>
      </x:c>
      <x:c r="D71" s="20" t="str">
        <x:v>TenantCharge</x:v>
      </x:c>
      <x:c r="E71" s="20" t="str">
        <x:v>Rent</x:v>
      </x:c>
      <x:c r="F71" s="20" t="str">
        <x:v>P026</x:v>
      </x:c>
      <x:c r="G71" s="20" t="str">
        <x:v>U031</x:v>
      </x:c>
      <x:c r="H71" s="20" t="str">
        <x:v>L031</x:v>
      </x:c>
      <x:c r="I71" s="20" t="str">
        <x:v>Uri Price</x:v>
      </x:c>
      <x:c r="J71" s="35" t="str">
        <x:v>System scheduled charge</x:v>
      </x:c>
      <x:c r="K71" s="20" t="str"/>
      <x:c r="L71" s="20" t="str">
        <x:v>RENT-202701-L031</x:v>
      </x:c>
      <x:c r="M71" s="26" t="n">
        <x:v>1225</x:v>
      </x:c>
      <x:c r="N71" s="26" t="n">
        <x:v>1225</x:v>
      </x:c>
      <x:c r="O71" s="26" t="n">
        <x:v>0</x:v>
      </x:c>
      <x:c r="P71" s="26" t="n">
        <x:v>0</x:v>
      </x:c>
      <x:c r="Q71" s="26" t="n">
        <x:v>0</x:v>
      </x:c>
      <x:c r="R71" s="26" t="n">
        <x:v>0</x:v>
      </x:c>
      <x:c r="S71" s="26" t="n">
        <x:v>0</x:v>
      </x:c>
      <x:c r="T71" s="26" t="n">
        <x:v>1225</x:v>
      </x:c>
      <x:c r="U71" s="26" t="n">
        <x:v>0</x:v>
      </x:c>
      <x:c r="V71" s="26" t="n">
        <x:v>0</x:v>
      </x:c>
      <x:c r="W71" s="26" t="n">
        <x:v>0</x:v>
      </x:c>
      <x:c r="X71" s="26" t="n">
        <x:v>0</x:v>
      </x:c>
      <x:c r="Y71" s="26" t="n">
        <x:v>0</x:v>
      </x:c>
      <x:c r="Z71" s="35" t="str">
        <x:v>January 2027 rent</x:v>
      </x:c>
    </x:row>
    <x:row r="72">
      <x:c r="A72" s="20" t="str">
        <x:v>FIN-00069</x:v>
      </x:c>
      <x:c r="B72" s="23" t="n">
        <x:v>46391</x:v>
      </x:c>
      <x:c r="C72" s="23" t="n">
        <x:v>46391</x:v>
      </x:c>
      <x:c r="D72" s="20" t="str">
        <x:v>TenantReceipt</x:v>
      </x:c>
      <x:c r="E72" s="20" t="str">
        <x:v>Rent receipt</x:v>
      </x:c>
      <x:c r="F72" s="20" t="str">
        <x:v>P026</x:v>
      </x:c>
      <x:c r="G72" s="20" t="str">
        <x:v>U031</x:v>
      </x:c>
      <x:c r="H72" s="20" t="str">
        <x:v>L031</x:v>
      </x:c>
      <x:c r="I72" s="20" t="str">
        <x:v>Uri Price</x:v>
      </x:c>
      <x:c r="J72" s="35" t="str">
        <x:v>Portal card</x:v>
      </x:c>
      <x:c r="K72" s="20" t="str"/>
      <x:c r="L72" s="20" t="str">
        <x:v>PMT-20270104-L031</x:v>
      </x:c>
      <x:c r="M72" s="26" t="n">
        <x:v>1225</x:v>
      </x:c>
      <x:c r="N72" s="26" t="n">
        <x:v>-1225</x:v>
      </x:c>
      <x:c r="O72" s="26" t="n">
        <x:v>1225</x:v>
      </x:c>
      <x:c r="P72" s="26" t="n">
        <x:v>0</x:v>
      </x:c>
      <x:c r="Q72" s="26" t="n">
        <x:v>0</x:v>
      </x:c>
      <x:c r="R72" s="26" t="n">
        <x:v>0</x:v>
      </x:c>
      <x:c r="S72" s="26" t="n">
        <x:v>0</x:v>
      </x:c>
      <x:c r="T72" s="26" t="n">
        <x:v>0</x:v>
      </x:c>
      <x:c r="U72" s="26" t="n">
        <x:v>0</x:v>
      </x:c>
      <x:c r="V72" s="26" t="n">
        <x:v>0</x:v>
      </x:c>
      <x:c r="W72" s="26" t="n">
        <x:v>0</x:v>
      </x:c>
      <x:c r="X72" s="26" t="n">
        <x:v>0</x:v>
      </x:c>
      <x:c r="Y72" s="26" t="n">
        <x:v>0</x:v>
      </x:c>
      <x:c r="Z72" s="35" t="str">
        <x:v>Receipt allocated to FIN-00068</x:v>
      </x:c>
    </x:row>
    <x:row r="73">
      <x:c r="A73" s="20" t="str">
        <x:v>FIN-00070</x:v>
      </x:c>
      <x:c r="B73" s="23" t="n">
        <x:v>46388</x:v>
      </x:c>
      <x:c r="C73" s="23" t="n">
        <x:v>46388</x:v>
      </x:c>
      <x:c r="D73" s="20" t="str">
        <x:v>TenantCharge</x:v>
      </x:c>
      <x:c r="E73" s="20" t="str">
        <x:v>Rent</x:v>
      </x:c>
      <x:c r="F73" s="20" t="str">
        <x:v>P026</x:v>
      </x:c>
      <x:c r="G73" s="20" t="str">
        <x:v>U032</x:v>
      </x:c>
      <x:c r="H73" s="20" t="str">
        <x:v>L032</x:v>
      </x:c>
      <x:c r="I73" s="20" t="str">
        <x:v>Avery Brooks</x:v>
      </x:c>
      <x:c r="J73" s="35" t="str">
        <x:v>System scheduled charge</x:v>
      </x:c>
      <x:c r="K73" s="20" t="str"/>
      <x:c r="L73" s="20" t="str">
        <x:v>RENT-202701-L032</x:v>
      </x:c>
      <x:c r="M73" s="26" t="n">
        <x:v>1750</x:v>
      </x:c>
      <x:c r="N73" s="26" t="n">
        <x:v>1750</x:v>
      </x:c>
      <x:c r="O73" s="26" t="n">
        <x:v>0</x:v>
      </x:c>
      <x:c r="P73" s="26" t="n">
        <x:v>0</x:v>
      </x:c>
      <x:c r="Q73" s="26" t="n">
        <x:v>0</x:v>
      </x:c>
      <x:c r="R73" s="26" t="n">
        <x:v>0</x:v>
      </x:c>
      <x:c r="S73" s="26" t="n">
        <x:v>0</x:v>
      </x:c>
      <x:c r="T73" s="26" t="n">
        <x:v>1750</x:v>
      </x:c>
      <x:c r="U73" s="26" t="n">
        <x:v>0</x:v>
      </x:c>
      <x:c r="V73" s="26" t="n">
        <x:v>0</x:v>
      </x:c>
      <x:c r="W73" s="26" t="n">
        <x:v>0</x:v>
      </x:c>
      <x:c r="X73" s="26" t="n">
        <x:v>0</x:v>
      </x:c>
      <x:c r="Y73" s="26" t="n">
        <x:v>0</x:v>
      </x:c>
      <x:c r="Z73" s="35" t="str">
        <x:v>January 2027 rent</x:v>
      </x:c>
    </x:row>
    <x:row r="74">
      <x:c r="A74" s="20" t="str">
        <x:v>FIN-00071</x:v>
      </x:c>
      <x:c r="B74" s="23" t="n">
        <x:v>46392</x:v>
      </x:c>
      <x:c r="C74" s="23" t="n">
        <x:v>46392</x:v>
      </x:c>
      <x:c r="D74" s="20" t="str">
        <x:v>TenantReceipt</x:v>
      </x:c>
      <x:c r="E74" s="20" t="str">
        <x:v>Rent receipt</x:v>
      </x:c>
      <x:c r="F74" s="20" t="str">
        <x:v>P026</x:v>
      </x:c>
      <x:c r="G74" s="20" t="str">
        <x:v>U032</x:v>
      </x:c>
      <x:c r="H74" s="20" t="str">
        <x:v>L032</x:v>
      </x:c>
      <x:c r="I74" s="20" t="str">
        <x:v>Avery Brooks</x:v>
      </x:c>
      <x:c r="J74" s="35" t="str">
        <x:v>Scanned check</x:v>
      </x:c>
      <x:c r="K74" s="20" t="str">
        <x:v>SCN-0105</x:v>
      </x:c>
      <x:c r="L74" s="20" t="str">
        <x:v>PMT-20270105-L032</x:v>
      </x:c>
      <x:c r="M74" s="26" t="n">
        <x:v>1750</x:v>
      </x:c>
      <x:c r="N74" s="26" t="n">
        <x:v>-1750</x:v>
      </x:c>
      <x:c r="O74" s="26" t="n">
        <x:v>1750</x:v>
      </x:c>
      <x:c r="P74" s="26" t="n">
        <x:v>0</x:v>
      </x:c>
      <x:c r="Q74" s="26" t="n">
        <x:v>0</x:v>
      </x:c>
      <x:c r="R74" s="26" t="n">
        <x:v>0</x:v>
      </x:c>
      <x:c r="S74" s="26" t="n">
        <x:v>0</x:v>
      </x:c>
      <x:c r="T74" s="26" t="n">
        <x:v>0</x:v>
      </x:c>
      <x:c r="U74" s="26" t="n">
        <x:v>0</x:v>
      </x:c>
      <x:c r="V74" s="26" t="n">
        <x:v>0</x:v>
      </x:c>
      <x:c r="W74" s="26" t="n">
        <x:v>0</x:v>
      </x:c>
      <x:c r="X74" s="26" t="n">
        <x:v>0</x:v>
      </x:c>
      <x:c r="Y74" s="26" t="n">
        <x:v>0</x:v>
      </x:c>
      <x:c r="Z74" s="35" t="str">
        <x:v>Receipt allocated to FIN-00070</x:v>
      </x:c>
    </x:row>
    <x:row r="75">
      <x:c r="A75" s="20" t="str">
        <x:v>FIN-00072</x:v>
      </x:c>
      <x:c r="B75" s="23" t="n">
        <x:v>46388</x:v>
      </x:c>
      <x:c r="C75" s="23" t="n">
        <x:v>46388</x:v>
      </x:c>
      <x:c r="D75" s="20" t="str">
        <x:v>TenantCharge</x:v>
      </x:c>
      <x:c r="E75" s="20" t="str">
        <x:v>Rent</x:v>
      </x:c>
      <x:c r="F75" s="20" t="str">
        <x:v>P027</x:v>
      </x:c>
      <x:c r="G75" s="20" t="str">
        <x:v>U033</x:v>
      </x:c>
      <x:c r="H75" s="20" t="str">
        <x:v>L033</x:v>
      </x:c>
      <x:c r="I75" s="20" t="str">
        <x:v>Dana Garcia</x:v>
      </x:c>
      <x:c r="J75" s="35" t="str">
        <x:v>System scheduled charge</x:v>
      </x:c>
      <x:c r="K75" s="20" t="str"/>
      <x:c r="L75" s="20" t="str">
        <x:v>RENT-202701-L033</x:v>
      </x:c>
      <x:c r="M75" s="26" t="n">
        <x:v>1375</x:v>
      </x:c>
      <x:c r="N75" s="26" t="n">
        <x:v>1375</x:v>
      </x:c>
      <x:c r="O75" s="26" t="n">
        <x:v>0</x:v>
      </x:c>
      <x:c r="P75" s="26" t="n">
        <x:v>0</x:v>
      </x:c>
      <x:c r="Q75" s="26" t="n">
        <x:v>0</x:v>
      </x:c>
      <x:c r="R75" s="26" t="n">
        <x:v>0</x:v>
      </x:c>
      <x:c r="S75" s="26" t="n">
        <x:v>0</x:v>
      </x:c>
      <x:c r="T75" s="26" t="n">
        <x:v>1375</x:v>
      </x:c>
      <x:c r="U75" s="26" t="n">
        <x:v>0</x:v>
      </x:c>
      <x:c r="V75" s="26" t="n">
        <x:v>0</x:v>
      </x:c>
      <x:c r="W75" s="26" t="n">
        <x:v>0</x:v>
      </x:c>
      <x:c r="X75" s="26" t="n">
        <x:v>0</x:v>
      </x:c>
      <x:c r="Y75" s="26" t="n">
        <x:v>0</x:v>
      </x:c>
      <x:c r="Z75" s="35" t="str">
        <x:v>January 2027 rent</x:v>
      </x:c>
    </x:row>
    <x:row r="76">
      <x:c r="A76" s="20" t="str">
        <x:v>FIN-00073</x:v>
      </x:c>
      <x:c r="B76" s="23" t="n">
        <x:v>46390</x:v>
      </x:c>
      <x:c r="C76" s="23" t="n">
        <x:v>46390</x:v>
      </x:c>
      <x:c r="D76" s="20" t="str">
        <x:v>TenantReceipt</x:v>
      </x:c>
      <x:c r="E76" s="20" t="str">
        <x:v>Rent receipt</x:v>
      </x:c>
      <x:c r="F76" s="20" t="str">
        <x:v>P027</x:v>
      </x:c>
      <x:c r="G76" s="20" t="str">
        <x:v>U033</x:v>
      </x:c>
      <x:c r="H76" s="20" t="str">
        <x:v>L033</x:v>
      </x:c>
      <x:c r="I76" s="20" t="str">
        <x:v>Dana Garcia</x:v>
      </x:c>
      <x:c r="J76" s="35" t="str">
        <x:v>Scanned money order</x:v>
      </x:c>
      <x:c r="K76" s="20" t="str">
        <x:v>SCN-0106</x:v>
      </x:c>
      <x:c r="L76" s="20" t="str">
        <x:v>PMT-20270103-L033-A</x:v>
      </x:c>
      <x:c r="M76" s="26" t="n">
        <x:v>825</x:v>
      </x:c>
      <x:c r="N76" s="26" t="n">
        <x:v>-825</x:v>
      </x:c>
      <x:c r="O76" s="26" t="n">
        <x:v>825</x:v>
      </x:c>
      <x:c r="P76" s="26" t="n">
        <x:v>0</x:v>
      </x:c>
      <x:c r="Q76" s="26" t="n">
        <x:v>0</x:v>
      </x:c>
      <x:c r="R76" s="26" t="n">
        <x:v>0</x:v>
      </x:c>
      <x:c r="S76" s="26" t="n">
        <x:v>0</x:v>
      </x:c>
      <x:c r="T76" s="26" t="n">
        <x:v>0</x:v>
      </x:c>
      <x:c r="U76" s="26" t="n">
        <x:v>0</x:v>
      </x:c>
      <x:c r="V76" s="26" t="n">
        <x:v>0</x:v>
      </x:c>
      <x:c r="W76" s="26" t="n">
        <x:v>0</x:v>
      </x:c>
      <x:c r="X76" s="26" t="n">
        <x:v>0</x:v>
      </x:c>
      <x:c r="Y76" s="26" t="n">
        <x:v>0</x:v>
      </x:c>
      <x:c r="Z76" s="35" t="str">
        <x:v>Receipt allocated to FIN-00072</x:v>
      </x:c>
    </x:row>
    <x:row r="77">
      <x:c r="A77" s="20" t="str">
        <x:v>FIN-00074</x:v>
      </x:c>
      <x:c r="B77" s="23" t="n">
        <x:v>46393</x:v>
      </x:c>
      <x:c r="C77" s="23" t="n">
        <x:v>46393</x:v>
      </x:c>
      <x:c r="D77" s="20" t="str">
        <x:v>TenantCharge</x:v>
      </x:c>
      <x:c r="E77" s="20" t="str">
        <x:v>Late fee</x:v>
      </x:c>
      <x:c r="F77" s="20" t="str">
        <x:v>P027</x:v>
      </x:c>
      <x:c r="G77" s="20" t="str">
        <x:v>U033</x:v>
      </x:c>
      <x:c r="H77" s="20" t="str">
        <x:v>L033</x:v>
      </x:c>
      <x:c r="I77" s="20" t="str">
        <x:v>Dana Garcia</x:v>
      </x:c>
      <x:c r="J77" s="35" t="str">
        <x:v>System automation</x:v>
      </x:c>
      <x:c r="K77" s="20" t="str"/>
      <x:c r="L77" s="20" t="str">
        <x:v>LATE-202701-L033</x:v>
      </x:c>
      <x:c r="M77" s="26" t="n">
        <x:v>50</x:v>
      </x:c>
      <x:c r="N77" s="26" t="n">
        <x:v>50</x:v>
      </x:c>
      <x:c r="O77" s="26" t="n">
        <x:v>0</x:v>
      </x:c>
      <x:c r="P77" s="26" t="n">
        <x:v>0</x:v>
      </x:c>
      <x:c r="Q77" s="26" t="n">
        <x:v>0</x:v>
      </x:c>
      <x:c r="R77" s="26" t="n">
        <x:v>0</x:v>
      </x:c>
      <x:c r="S77" s="26" t="n">
        <x:v>0</x:v>
      </x:c>
      <x:c r="T77" s="26" t="n">
        <x:v>50</x:v>
      </x:c>
      <x:c r="U77" s="26" t="n">
        <x:v>0</x:v>
      </x:c>
      <x:c r="V77" s="26" t="n">
        <x:v>0</x:v>
      </x:c>
      <x:c r="W77" s="26" t="n">
        <x:v>0</x:v>
      </x:c>
      <x:c r="X77" s="26" t="n">
        <x:v>0</x:v>
      </x:c>
      <x:c r="Y77" s="26" t="n">
        <x:v>0</x:v>
      </x:c>
      <x:c r="Z77" s="35" t="str">
        <x:v>Synthetic lease-authorized late fee after partial payment</x:v>
      </x:c>
    </x:row>
    <x:row r="78">
      <x:c r="A78" s="20" t="str">
        <x:v>FIN-00075</x:v>
      </x:c>
      <x:c r="B78" s="23" t="n">
        <x:v>46399</x:v>
      </x:c>
      <x:c r="C78" s="23" t="n">
        <x:v>46399</x:v>
      </x:c>
      <x:c r="D78" s="20" t="str">
        <x:v>TenantReceipt</x:v>
      </x:c>
      <x:c r="E78" s="20" t="str">
        <x:v>Rent receipt</x:v>
      </x:c>
      <x:c r="F78" s="20" t="str">
        <x:v>P027</x:v>
      </x:c>
      <x:c r="G78" s="20" t="str">
        <x:v>U033</x:v>
      </x:c>
      <x:c r="H78" s="20" t="str">
        <x:v>L033</x:v>
      </x:c>
      <x:c r="I78" s="20" t="str">
        <x:v>Dana Garcia</x:v>
      </x:c>
      <x:c r="J78" s="35" t="str">
        <x:v>Portal card</x:v>
      </x:c>
      <x:c r="K78" s="20" t="str"/>
      <x:c r="L78" s="20" t="str">
        <x:v>PMT-20270112-L033-B</x:v>
      </x:c>
      <x:c r="M78" s="26" t="n">
        <x:v>600</x:v>
      </x:c>
      <x:c r="N78" s="26" t="n">
        <x:v>-600</x:v>
      </x:c>
      <x:c r="O78" s="26" t="n">
        <x:v>600</x:v>
      </x:c>
      <x:c r="P78" s="26" t="n">
        <x:v>0</x:v>
      </x:c>
      <x:c r="Q78" s="26" t="n">
        <x:v>0</x:v>
      </x:c>
      <x:c r="R78" s="26" t="n">
        <x:v>0</x:v>
      </x:c>
      <x:c r="S78" s="26" t="n">
        <x:v>0</x:v>
      </x:c>
      <x:c r="T78" s="26" t="n">
        <x:v>0</x:v>
      </x:c>
      <x:c r="U78" s="26" t="n">
        <x:v>0</x:v>
      </x:c>
      <x:c r="V78" s="26" t="n">
        <x:v>0</x:v>
      </x:c>
      <x:c r="W78" s="26" t="n">
        <x:v>0</x:v>
      </x:c>
      <x:c r="X78" s="26" t="n">
        <x:v>0</x:v>
      </x:c>
      <x:c r="Y78" s="26" t="n">
        <x:v>0</x:v>
      </x:c>
      <x:c r="Z78" s="35" t="str">
        <x:v>Receipt allocated to FIN-00074</x:v>
      </x:c>
    </x:row>
    <x:row r="79">
      <x:c r="A79" s="20" t="str">
        <x:v>FIN-00076</x:v>
      </x:c>
      <x:c r="B79" s="23" t="n">
        <x:v>46388</x:v>
      </x:c>
      <x:c r="C79" s="23" t="n">
        <x:v>46388</x:v>
      </x:c>
      <x:c r="D79" s="20" t="str">
        <x:v>TenantCharge</x:v>
      </x:c>
      <x:c r="E79" s="20" t="str">
        <x:v>Rent</x:v>
      </x:c>
      <x:c r="F79" s="20" t="str">
        <x:v>P027</x:v>
      </x:c>
      <x:c r="G79" s="20" t="str">
        <x:v>U034</x:v>
      </x:c>
      <x:c r="H79" s="20" t="str">
        <x:v>L034</x:v>
      </x:c>
      <x:c r="I79" s="20" t="str">
        <x:v>Gray Lewis</x:v>
      </x:c>
      <x:c r="J79" s="35" t="str">
        <x:v>System scheduled charge</x:v>
      </x:c>
      <x:c r="K79" s="20" t="str"/>
      <x:c r="L79" s="20" t="str">
        <x:v>RENT-202701-L034</x:v>
      </x:c>
      <x:c r="M79" s="26" t="n">
        <x:v>1900</x:v>
      </x:c>
      <x:c r="N79" s="26" t="n">
        <x:v>1900</x:v>
      </x:c>
      <x:c r="O79" s="26" t="n">
        <x:v>0</x:v>
      </x:c>
      <x:c r="P79" s="26" t="n">
        <x:v>0</x:v>
      </x:c>
      <x:c r="Q79" s="26" t="n">
        <x:v>0</x:v>
      </x:c>
      <x:c r="R79" s="26" t="n">
        <x:v>0</x:v>
      </x:c>
      <x:c r="S79" s="26" t="n">
        <x:v>0</x:v>
      </x:c>
      <x:c r="T79" s="26" t="n">
        <x:v>1900</x:v>
      </x:c>
      <x:c r="U79" s="26" t="n">
        <x:v>0</x:v>
      </x:c>
      <x:c r="V79" s="26" t="n">
        <x:v>0</x:v>
      </x:c>
      <x:c r="W79" s="26" t="n">
        <x:v>0</x:v>
      </x:c>
      <x:c r="X79" s="26" t="n">
        <x:v>0</x:v>
      </x:c>
      <x:c r="Y79" s="26" t="n">
        <x:v>0</x:v>
      </x:c>
      <x:c r="Z79" s="35" t="str">
        <x:v>January 2027 rent</x:v>
      </x:c>
    </x:row>
    <x:row r="80">
      <x:c r="A80" s="20" t="str">
        <x:v>FIN-00077</x:v>
      </x:c>
      <x:c r="B80" s="23" t="n">
        <x:v>46391</x:v>
      </x:c>
      <x:c r="C80" s="23" t="n">
        <x:v>46391</x:v>
      </x:c>
      <x:c r="D80" s="20" t="str">
        <x:v>TenantReceipt</x:v>
      </x:c>
      <x:c r="E80" s="20" t="str">
        <x:v>Rent receipt</x:v>
      </x:c>
      <x:c r="F80" s="20" t="str">
        <x:v>P027</x:v>
      </x:c>
      <x:c r="G80" s="20" t="str">
        <x:v>U034</x:v>
      </x:c>
      <x:c r="H80" s="20" t="str">
        <x:v>L034</x:v>
      </x:c>
      <x:c r="I80" s="20" t="str">
        <x:v>Gray Lewis</x:v>
      </x:c>
      <x:c r="J80" s="35" t="str">
        <x:v>Manual ACH</x:v>
      </x:c>
      <x:c r="K80" s="20" t="str"/>
      <x:c r="L80" s="20" t="str">
        <x:v>PMT-20270104-L034</x:v>
      </x:c>
      <x:c r="M80" s="26" t="n">
        <x:v>1900</x:v>
      </x:c>
      <x:c r="N80" s="26" t="n">
        <x:v>-1900</x:v>
      </x:c>
      <x:c r="O80" s="26" t="n">
        <x:v>1900</x:v>
      </x:c>
      <x:c r="P80" s="26" t="n">
        <x:v>0</x:v>
      </x:c>
      <x:c r="Q80" s="26" t="n">
        <x:v>0</x:v>
      </x:c>
      <x:c r="R80" s="26" t="n">
        <x:v>0</x:v>
      </x:c>
      <x:c r="S80" s="26" t="n">
        <x:v>0</x:v>
      </x:c>
      <x:c r="T80" s="26" t="n">
        <x:v>0</x:v>
      </x:c>
      <x:c r="U80" s="26" t="n">
        <x:v>0</x:v>
      </x:c>
      <x:c r="V80" s="26" t="n">
        <x:v>0</x:v>
      </x:c>
      <x:c r="W80" s="26" t="n">
        <x:v>0</x:v>
      </x:c>
      <x:c r="X80" s="26" t="n">
        <x:v>0</x:v>
      </x:c>
      <x:c r="Y80" s="26" t="n">
        <x:v>0</x:v>
      </x:c>
      <x:c r="Z80" s="35" t="str">
        <x:v>Receipt allocated to FIN-00076</x:v>
      </x:c>
    </x:row>
    <x:row r="81">
      <x:c r="A81" s="20" t="str">
        <x:v>FIN-00078</x:v>
      </x:c>
      <x:c r="B81" s="23" t="n">
        <x:v>46388</x:v>
      </x:c>
      <x:c r="C81" s="23" t="n">
        <x:v>46388</x:v>
      </x:c>
      <x:c r="D81" s="20" t="str">
        <x:v>TenantCharge</x:v>
      </x:c>
      <x:c r="E81" s="20" t="str">
        <x:v>Rent</x:v>
      </x:c>
      <x:c r="F81" s="20" t="str">
        <x:v>P028</x:v>
      </x:c>
      <x:c r="G81" s="20" t="str">
        <x:v>U035</x:v>
      </x:c>
      <x:c r="H81" s="20" t="str">
        <x:v>L035</x:v>
      </x:c>
      <x:c r="I81" s="20" t="str">
        <x:v>Jordan Reed</x:v>
      </x:c>
      <x:c r="J81" s="35" t="str">
        <x:v>System scheduled charge</x:v>
      </x:c>
      <x:c r="K81" s="20" t="str"/>
      <x:c r="L81" s="20" t="str">
        <x:v>RENT-202701-L035</x:v>
      </x:c>
      <x:c r="M81" s="26" t="n">
        <x:v>1525</x:v>
      </x:c>
      <x:c r="N81" s="26" t="n">
        <x:v>1525</x:v>
      </x:c>
      <x:c r="O81" s="26" t="n">
        <x:v>0</x:v>
      </x:c>
      <x:c r="P81" s="26" t="n">
        <x:v>0</x:v>
      </x:c>
      <x:c r="Q81" s="26" t="n">
        <x:v>0</x:v>
      </x:c>
      <x:c r="R81" s="26" t="n">
        <x:v>0</x:v>
      </x:c>
      <x:c r="S81" s="26" t="n">
        <x:v>0</x:v>
      </x:c>
      <x:c r="T81" s="26" t="n">
        <x:v>1525</x:v>
      </x:c>
      <x:c r="U81" s="26" t="n">
        <x:v>0</x:v>
      </x:c>
      <x:c r="V81" s="26" t="n">
        <x:v>0</x:v>
      </x:c>
      <x:c r="W81" s="26" t="n">
        <x:v>0</x:v>
      </x:c>
      <x:c r="X81" s="26" t="n">
        <x:v>0</x:v>
      </x:c>
      <x:c r="Y81" s="26" t="n">
        <x:v>0</x:v>
      </x:c>
      <x:c r="Z81" s="35" t="str">
        <x:v>January 2027 rent</x:v>
      </x:c>
    </x:row>
    <x:row r="82">
      <x:c r="A82" s="20" t="str">
        <x:v>FIN-00079</x:v>
      </x:c>
      <x:c r="B82" s="23" t="n">
        <x:v>46392</x:v>
      </x:c>
      <x:c r="C82" s="23" t="n">
        <x:v>46392</x:v>
      </x:c>
      <x:c r="D82" s="20" t="str">
        <x:v>TenantReceipt</x:v>
      </x:c>
      <x:c r="E82" s="20" t="str">
        <x:v>Rent receipt</x:v>
      </x:c>
      <x:c r="F82" s="20" t="str">
        <x:v>P028</x:v>
      </x:c>
      <x:c r="G82" s="20" t="str">
        <x:v>U035</x:v>
      </x:c>
      <x:c r="H82" s="20" t="str">
        <x:v>L035</x:v>
      </x:c>
      <x:c r="I82" s="20" t="str">
        <x:v>Jordan Reed</x:v>
      </x:c>
      <x:c r="J82" s="35" t="str">
        <x:v>Portal card</x:v>
      </x:c>
      <x:c r="K82" s="20" t="str"/>
      <x:c r="L82" s="20" t="str">
        <x:v>PMT-20270105-L035</x:v>
      </x:c>
      <x:c r="M82" s="26" t="n">
        <x:v>1525</x:v>
      </x:c>
      <x:c r="N82" s="26" t="n">
        <x:v>-1525</x:v>
      </x:c>
      <x:c r="O82" s="26" t="n">
        <x:v>1525</x:v>
      </x:c>
      <x:c r="P82" s="26" t="n">
        <x:v>0</x:v>
      </x:c>
      <x:c r="Q82" s="26" t="n">
        <x:v>0</x:v>
      </x:c>
      <x:c r="R82" s="26" t="n">
        <x:v>0</x:v>
      </x:c>
      <x:c r="S82" s="26" t="n">
        <x:v>0</x:v>
      </x:c>
      <x:c r="T82" s="26" t="n">
        <x:v>0</x:v>
      </x:c>
      <x:c r="U82" s="26" t="n">
        <x:v>0</x:v>
      </x:c>
      <x:c r="V82" s="26" t="n">
        <x:v>0</x:v>
      </x:c>
      <x:c r="W82" s="26" t="n">
        <x:v>0</x:v>
      </x:c>
      <x:c r="X82" s="26" t="n">
        <x:v>0</x:v>
      </x:c>
      <x:c r="Y82" s="26" t="n">
        <x:v>0</x:v>
      </x:c>
      <x:c r="Z82" s="35" t="str">
        <x:v>Receipt allocated to FIN-00078</x:v>
      </x:c>
    </x:row>
    <x:row r="83">
      <x:c r="A83" s="20" t="str">
        <x:v>FIN-00080</x:v>
      </x:c>
      <x:c r="B83" s="23" t="n">
        <x:v>46388</x:v>
      </x:c>
      <x:c r="C83" s="23" t="n">
        <x:v>46388</x:v>
      </x:c>
      <x:c r="D83" s="20" t="str">
        <x:v>TenantCharge</x:v>
      </x:c>
      <x:c r="E83" s="20" t="str">
        <x:v>Rent</x:v>
      </x:c>
      <x:c r="F83" s="20" t="str">
        <x:v>P028</x:v>
      </x:c>
      <x:c r="G83" s="20" t="str">
        <x:v>U036</x:v>
      </x:c>
      <x:c r="H83" s="20" t="str">
        <x:v>L036</x:v>
      </x:c>
      <x:c r="I83" s="20" t="str">
        <x:v>Morgan Adams</x:v>
      </x:c>
      <x:c r="J83" s="35" t="str">
        <x:v>System scheduled charge</x:v>
      </x:c>
      <x:c r="K83" s="20" t="str"/>
      <x:c r="L83" s="20" t="str">
        <x:v>RENT-202701-L036</x:v>
      </x:c>
      <x:c r="M83" s="26" t="n">
        <x:v>1150</x:v>
      </x:c>
      <x:c r="N83" s="26" t="n">
        <x:v>1150</x:v>
      </x:c>
      <x:c r="O83" s="26" t="n">
        <x:v>0</x:v>
      </x:c>
      <x:c r="P83" s="26" t="n">
        <x:v>0</x:v>
      </x:c>
      <x:c r="Q83" s="26" t="n">
        <x:v>0</x:v>
      </x:c>
      <x:c r="R83" s="26" t="n">
        <x:v>0</x:v>
      </x:c>
      <x:c r="S83" s="26" t="n">
        <x:v>0</x:v>
      </x:c>
      <x:c r="T83" s="26" t="n">
        <x:v>1150</x:v>
      </x:c>
      <x:c r="U83" s="26" t="n">
        <x:v>0</x:v>
      </x:c>
      <x:c r="V83" s="26" t="n">
        <x:v>0</x:v>
      </x:c>
      <x:c r="W83" s="26" t="n">
        <x:v>0</x:v>
      </x:c>
      <x:c r="X83" s="26" t="n">
        <x:v>0</x:v>
      </x:c>
      <x:c r="Y83" s="26" t="n">
        <x:v>0</x:v>
      </x:c>
      <x:c r="Z83" s="35" t="str">
        <x:v>January 2027 rent</x:v>
      </x:c>
    </x:row>
    <x:row r="84">
      <x:c r="A84" s="20" t="str">
        <x:v>FIN-00081</x:v>
      </x:c>
      <x:c r="B84" s="23" t="n">
        <x:v>46390</x:v>
      </x:c>
      <x:c r="C84" s="23" t="n">
        <x:v>46390</x:v>
      </x:c>
      <x:c r="D84" s="20" t="str">
        <x:v>TenantReceipt</x:v>
      </x:c>
      <x:c r="E84" s="20" t="str">
        <x:v>Rent receipt</x:v>
      </x:c>
      <x:c r="F84" s="20" t="str">
        <x:v>P028</x:v>
      </x:c>
      <x:c r="G84" s="20" t="str">
        <x:v>U036</x:v>
      </x:c>
      <x:c r="H84" s="20" t="str">
        <x:v>L036</x:v>
      </x:c>
      <x:c r="I84" s="20" t="str">
        <x:v>Morgan Adams</x:v>
      </x:c>
      <x:c r="J84" s="35" t="str">
        <x:v>Scanned check</x:v>
      </x:c>
      <x:c r="K84" s="20" t="str">
        <x:v>SCN-0107</x:v>
      </x:c>
      <x:c r="L84" s="20" t="str">
        <x:v>PMT-20270103-L036</x:v>
      </x:c>
      <x:c r="M84" s="26" t="n">
        <x:v>1150</x:v>
      </x:c>
      <x:c r="N84" s="26" t="n">
        <x:v>-1150</x:v>
      </x:c>
      <x:c r="O84" s="26" t="n">
        <x:v>1150</x:v>
      </x:c>
      <x:c r="P84" s="26" t="n">
        <x:v>0</x:v>
      </x:c>
      <x:c r="Q84" s="26" t="n">
        <x:v>0</x:v>
      </x:c>
      <x:c r="R84" s="26" t="n">
        <x:v>0</x:v>
      </x:c>
      <x:c r="S84" s="26" t="n">
        <x:v>0</x:v>
      </x:c>
      <x:c r="T84" s="26" t="n">
        <x:v>0</x:v>
      </x:c>
      <x:c r="U84" s="26" t="n">
        <x:v>0</x:v>
      </x:c>
      <x:c r="V84" s="26" t="n">
        <x:v>0</x:v>
      </x:c>
      <x:c r="W84" s="26" t="n">
        <x:v>0</x:v>
      </x:c>
      <x:c r="X84" s="26" t="n">
        <x:v>0</x:v>
      </x:c>
      <x:c r="Y84" s="26" t="n">
        <x:v>0</x:v>
      </x:c>
      <x:c r="Z84" s="35" t="str">
        <x:v>Receipt allocated to FIN-00080</x:v>
      </x:c>
    </x:row>
    <x:row r="85">
      <x:c r="A85" s="20" t="str">
        <x:v>FIN-00082</x:v>
      </x:c>
      <x:c r="B85" s="23" t="n">
        <x:v>46419</x:v>
      </x:c>
      <x:c r="C85" s="23" t="n">
        <x:v>46419</x:v>
      </x:c>
      <x:c r="D85" s="20" t="str">
        <x:v>TenantCharge</x:v>
      </x:c>
      <x:c r="E85" s="20" t="str">
        <x:v>Rent</x:v>
      </x:c>
      <x:c r="F85" s="20" t="str">
        <x:v>P001</x:v>
      </x:c>
      <x:c r="G85" s="20" t="str">
        <x:v>U001</x:v>
      </x:c>
      <x:c r="H85" s="20" t="str">
        <x:v>L001</x:v>
      </x:c>
      <x:c r="I85" s="20" t="str">
        <x:v>Dana Garcia</x:v>
      </x:c>
      <x:c r="J85" s="35" t="str">
        <x:v>System scheduled charge</x:v>
      </x:c>
      <x:c r="K85" s="20" t="str"/>
      <x:c r="L85" s="20" t="str">
        <x:v>RENT-202702-L001</x:v>
      </x:c>
      <x:c r="M85" s="26" t="n">
        <x:v>1575</x:v>
      </x:c>
      <x:c r="N85" s="26" t="n">
        <x:v>1575</x:v>
      </x:c>
      <x:c r="O85" s="26" t="n">
        <x:v>0</x:v>
      </x:c>
      <x:c r="P85" s="26" t="n">
        <x:v>0</x:v>
      </x:c>
      <x:c r="Q85" s="26" t="n">
        <x:v>0</x:v>
      </x:c>
      <x:c r="R85" s="26" t="n">
        <x:v>0</x:v>
      </x:c>
      <x:c r="S85" s="26" t="n">
        <x:v>0</x:v>
      </x:c>
      <x:c r="T85" s="26" t="n">
        <x:v>1575</x:v>
      </x:c>
      <x:c r="U85" s="26" t="n">
        <x:v>0</x:v>
      </x:c>
      <x:c r="V85" s="26" t="n">
        <x:v>0</x:v>
      </x:c>
      <x:c r="W85" s="26" t="n">
        <x:v>0</x:v>
      </x:c>
      <x:c r="X85" s="26" t="n">
        <x:v>0</x:v>
      </x:c>
      <x:c r="Y85" s="26" t="n">
        <x:v>0</x:v>
      </x:c>
      <x:c r="Z85" s="35" t="str">
        <x:v>February 2027 rent</x:v>
      </x:c>
    </x:row>
    <x:row r="86">
      <x:c r="A86" s="20" t="str">
        <x:v>FIN-00083</x:v>
      </x:c>
      <x:c r="B86" s="23" t="n">
        <x:v>46422</x:v>
      </x:c>
      <x:c r="C86" s="23" t="n">
        <x:v>46422</x:v>
      </x:c>
      <x:c r="D86" s="20" t="str">
        <x:v>TenantReceipt</x:v>
      </x:c>
      <x:c r="E86" s="20" t="str">
        <x:v>Rent receipt</x:v>
      </x:c>
      <x:c r="F86" s="20" t="str">
        <x:v>P001</x:v>
      </x:c>
      <x:c r="G86" s="20" t="str">
        <x:v>U001</x:v>
      </x:c>
      <x:c r="H86" s="20" t="str">
        <x:v>L001</x:v>
      </x:c>
      <x:c r="I86" s="20" t="str">
        <x:v>Dana Garcia</x:v>
      </x:c>
      <x:c r="J86" s="35" t="str">
        <x:v>Scanned money order</x:v>
      </x:c>
      <x:c r="K86" s="20" t="str">
        <x:v>SCN-0108</x:v>
      </x:c>
      <x:c r="L86" s="20" t="str">
        <x:v>PMT-20270204-L001</x:v>
      </x:c>
      <x:c r="M86" s="26" t="n">
        <x:v>1575</x:v>
      </x:c>
      <x:c r="N86" s="26" t="n">
        <x:v>-1575</x:v>
      </x:c>
      <x:c r="O86" s="26" t="n">
        <x:v>1575</x:v>
      </x:c>
      <x:c r="P86" s="26" t="n">
        <x:v>0</x:v>
      </x:c>
      <x:c r="Q86" s="26" t="n">
        <x:v>0</x:v>
      </x:c>
      <x:c r="R86" s="26" t="n">
        <x:v>0</x:v>
      </x:c>
      <x:c r="S86" s="26" t="n">
        <x:v>0</x:v>
      </x:c>
      <x:c r="T86" s="26" t="n">
        <x:v>0</x:v>
      </x:c>
      <x:c r="U86" s="26" t="n">
        <x:v>0</x:v>
      </x:c>
      <x:c r="V86" s="26" t="n">
        <x:v>0</x:v>
      </x:c>
      <x:c r="W86" s="26" t="n">
        <x:v>0</x:v>
      </x:c>
      <x:c r="X86" s="26" t="n">
        <x:v>0</x:v>
      </x:c>
      <x:c r="Y86" s="26" t="n">
        <x:v>0</x:v>
      </x:c>
      <x:c r="Z86" s="35" t="str">
        <x:v>Receipt allocated to FIN-00082</x:v>
      </x:c>
    </x:row>
    <x:row r="87">
      <x:c r="A87" s="20" t="str">
        <x:v>FIN-00084</x:v>
      </x:c>
      <x:c r="B87" s="23" t="n">
        <x:v>46419</x:v>
      </x:c>
      <x:c r="C87" s="23" t="n">
        <x:v>46419</x:v>
      </x:c>
      <x:c r="D87" s="20" t="str">
        <x:v>TenantCharge</x:v>
      </x:c>
      <x:c r="E87" s="20" t="str">
        <x:v>Rent</x:v>
      </x:c>
      <x:c r="F87" s="20" t="str">
        <x:v>P002</x:v>
      </x:c>
      <x:c r="G87" s="20" t="str">
        <x:v>U002</x:v>
      </x:c>
      <x:c r="H87" s="20" t="str">
        <x:v>L002</x:v>
      </x:c>
      <x:c r="I87" s="20" t="str">
        <x:v>Gray Lewis</x:v>
      </x:c>
      <x:c r="J87" s="35" t="str">
        <x:v>System scheduled charge</x:v>
      </x:c>
      <x:c r="K87" s="20" t="str"/>
      <x:c r="L87" s="20" t="str">
        <x:v>RENT-202702-L002</x:v>
      </x:c>
      <x:c r="M87" s="26" t="n">
        <x:v>1200</x:v>
      </x:c>
      <x:c r="N87" s="26" t="n">
        <x:v>1200</x:v>
      </x:c>
      <x:c r="O87" s="26" t="n">
        <x:v>0</x:v>
      </x:c>
      <x:c r="P87" s="26" t="n">
        <x:v>0</x:v>
      </x:c>
      <x:c r="Q87" s="26" t="n">
        <x:v>0</x:v>
      </x:c>
      <x:c r="R87" s="26" t="n">
        <x:v>0</x:v>
      </x:c>
      <x:c r="S87" s="26" t="n">
        <x:v>0</x:v>
      </x:c>
      <x:c r="T87" s="26" t="n">
        <x:v>1200</x:v>
      </x:c>
      <x:c r="U87" s="26" t="n">
        <x:v>0</x:v>
      </x:c>
      <x:c r="V87" s="26" t="n">
        <x:v>0</x:v>
      </x:c>
      <x:c r="W87" s="26" t="n">
        <x:v>0</x:v>
      </x:c>
      <x:c r="X87" s="26" t="n">
        <x:v>0</x:v>
      </x:c>
      <x:c r="Y87" s="26" t="n">
        <x:v>0</x:v>
      </x:c>
      <x:c r="Z87" s="35" t="str">
        <x:v>February 2027 rent</x:v>
      </x:c>
    </x:row>
    <x:row r="88">
      <x:c r="A88" s="20" t="str">
        <x:v>FIN-00085</x:v>
      </x:c>
      <x:c r="B88" s="23" t="n">
        <x:v>46423</x:v>
      </x:c>
      <x:c r="C88" s="23" t="n">
        <x:v>46423</x:v>
      </x:c>
      <x:c r="D88" s="20" t="str">
        <x:v>TenantReceipt</x:v>
      </x:c>
      <x:c r="E88" s="20" t="str">
        <x:v>Rent receipt</x:v>
      </x:c>
      <x:c r="F88" s="20" t="str">
        <x:v>P002</x:v>
      </x:c>
      <x:c r="G88" s="20" t="str">
        <x:v>U002</x:v>
      </x:c>
      <x:c r="H88" s="20" t="str">
        <x:v>L002</x:v>
      </x:c>
      <x:c r="I88" s="20" t="str">
        <x:v>Gray Lewis</x:v>
      </x:c>
      <x:c r="J88" s="35" t="str">
        <x:v>Manual ACH</x:v>
      </x:c>
      <x:c r="K88" s="20" t="str"/>
      <x:c r="L88" s="20" t="str">
        <x:v>PMT-20270205-L002</x:v>
      </x:c>
      <x:c r="M88" s="26" t="n">
        <x:v>1200</x:v>
      </x:c>
      <x:c r="N88" s="26" t="n">
        <x:v>-1200</x:v>
      </x:c>
      <x:c r="O88" s="26" t="n">
        <x:v>1200</x:v>
      </x:c>
      <x:c r="P88" s="26" t="n">
        <x:v>0</x:v>
      </x:c>
      <x:c r="Q88" s="26" t="n">
        <x:v>0</x:v>
      </x:c>
      <x:c r="R88" s="26" t="n">
        <x:v>0</x:v>
      </x:c>
      <x:c r="S88" s="26" t="n">
        <x:v>0</x:v>
      </x:c>
      <x:c r="T88" s="26" t="n">
        <x:v>0</x:v>
      </x:c>
      <x:c r="U88" s="26" t="n">
        <x:v>0</x:v>
      </x:c>
      <x:c r="V88" s="26" t="n">
        <x:v>0</x:v>
      </x:c>
      <x:c r="W88" s="26" t="n">
        <x:v>0</x:v>
      </x:c>
      <x:c r="X88" s="26" t="n">
        <x:v>0</x:v>
      </x:c>
      <x:c r="Y88" s="26" t="n">
        <x:v>0</x:v>
      </x:c>
      <x:c r="Z88" s="35" t="str">
        <x:v>Receipt allocated to FIN-00084</x:v>
      </x:c>
    </x:row>
    <x:row r="89">
      <x:c r="A89" s="20" t="str">
        <x:v>FIN-00086</x:v>
      </x:c>
      <x:c r="B89" s="23" t="n">
        <x:v>46419</x:v>
      </x:c>
      <x:c r="C89" s="23" t="n">
        <x:v>46419</x:v>
      </x:c>
      <x:c r="D89" s="20" t="str">
        <x:v>TenantCharge</x:v>
      </x:c>
      <x:c r="E89" s="20" t="str">
        <x:v>Rent</x:v>
      </x:c>
      <x:c r="F89" s="20" t="str">
        <x:v>P003</x:v>
      </x:c>
      <x:c r="G89" s="20" t="str">
        <x:v>U003</x:v>
      </x:c>
      <x:c r="H89" s="20" t="str">
        <x:v>L003</x:v>
      </x:c>
      <x:c r="I89" s="20" t="str">
        <x:v>Jordan Reed</x:v>
      </x:c>
      <x:c r="J89" s="35" t="str">
        <x:v>System scheduled charge</x:v>
      </x:c>
      <x:c r="K89" s="20" t="str"/>
      <x:c r="L89" s="20" t="str">
        <x:v>RENT-202702-L003</x:v>
      </x:c>
      <x:c r="M89" s="26" t="n">
        <x:v>1725</x:v>
      </x:c>
      <x:c r="N89" s="26" t="n">
        <x:v>1725</x:v>
      </x:c>
      <x:c r="O89" s="26" t="n">
        <x:v>0</x:v>
      </x:c>
      <x:c r="P89" s="26" t="n">
        <x:v>0</x:v>
      </x:c>
      <x:c r="Q89" s="26" t="n">
        <x:v>0</x:v>
      </x:c>
      <x:c r="R89" s="26" t="n">
        <x:v>0</x:v>
      </x:c>
      <x:c r="S89" s="26" t="n">
        <x:v>0</x:v>
      </x:c>
      <x:c r="T89" s="26" t="n">
        <x:v>1725</x:v>
      </x:c>
      <x:c r="U89" s="26" t="n">
        <x:v>0</x:v>
      </x:c>
      <x:c r="V89" s="26" t="n">
        <x:v>0</x:v>
      </x:c>
      <x:c r="W89" s="26" t="n">
        <x:v>0</x:v>
      </x:c>
      <x:c r="X89" s="26" t="n">
        <x:v>0</x:v>
      </x:c>
      <x:c r="Y89" s="26" t="n">
        <x:v>0</x:v>
      </x:c>
      <x:c r="Z89" s="35" t="str">
        <x:v>February 2027 rent</x:v>
      </x:c>
    </x:row>
    <x:row r="90">
      <x:c r="A90" s="20" t="str">
        <x:v>FIN-00087</x:v>
      </x:c>
      <x:c r="B90" s="23" t="n">
        <x:v>46421</x:v>
      </x:c>
      <x:c r="C90" s="23" t="n">
        <x:v>46421</x:v>
      </x:c>
      <x:c r="D90" s="20" t="str">
        <x:v>TenantReceipt</x:v>
      </x:c>
      <x:c r="E90" s="20" t="str">
        <x:v>Rent receipt</x:v>
      </x:c>
      <x:c r="F90" s="20" t="str">
        <x:v>P003</x:v>
      </x:c>
      <x:c r="G90" s="20" t="str">
        <x:v>U003</x:v>
      </x:c>
      <x:c r="H90" s="20" t="str">
        <x:v>L003</x:v>
      </x:c>
      <x:c r="I90" s="20" t="str">
        <x:v>Jordan Reed</x:v>
      </x:c>
      <x:c r="J90" s="35" t="str">
        <x:v>Portal card</x:v>
      </x:c>
      <x:c r="K90" s="20" t="str"/>
      <x:c r="L90" s="20" t="str">
        <x:v>PMT-20270203-L003</x:v>
      </x:c>
      <x:c r="M90" s="26" t="n">
        <x:v>1725</x:v>
      </x:c>
      <x:c r="N90" s="26" t="n">
        <x:v>-1725</x:v>
      </x:c>
      <x:c r="O90" s="26" t="n">
        <x:v>1725</x:v>
      </x:c>
      <x:c r="P90" s="26" t="n">
        <x:v>0</x:v>
      </x:c>
      <x:c r="Q90" s="26" t="n">
        <x:v>0</x:v>
      </x:c>
      <x:c r="R90" s="26" t="n">
        <x:v>0</x:v>
      </x:c>
      <x:c r="S90" s="26" t="n">
        <x:v>0</x:v>
      </x:c>
      <x:c r="T90" s="26" t="n">
        <x:v>0</x:v>
      </x:c>
      <x:c r="U90" s="26" t="n">
        <x:v>0</x:v>
      </x:c>
      <x:c r="V90" s="26" t="n">
        <x:v>0</x:v>
      </x:c>
      <x:c r="W90" s="26" t="n">
        <x:v>0</x:v>
      </x:c>
      <x:c r="X90" s="26" t="n">
        <x:v>0</x:v>
      </x:c>
      <x:c r="Y90" s="26" t="n">
        <x:v>0</x:v>
      </x:c>
      <x:c r="Z90" s="35" t="str">
        <x:v>Receipt allocated to FIN-00086</x:v>
      </x:c>
    </x:row>
    <x:row r="91">
      <x:c r="A91" s="20" t="str">
        <x:v>FIN-00088</x:v>
      </x:c>
      <x:c r="B91" s="23" t="n">
        <x:v>46419</x:v>
      </x:c>
      <x:c r="C91" s="23" t="n">
        <x:v>46419</x:v>
      </x:c>
      <x:c r="D91" s="20" t="str">
        <x:v>TenantCharge</x:v>
      </x:c>
      <x:c r="E91" s="20" t="str">
        <x:v>Rent</x:v>
      </x:c>
      <x:c r="F91" s="20" t="str">
        <x:v>P004</x:v>
      </x:c>
      <x:c r="G91" s="20" t="str">
        <x:v>U004</x:v>
      </x:c>
      <x:c r="H91" s="20" t="str">
        <x:v>L004</x:v>
      </x:c>
      <x:c r="I91" s="20" t="str">
        <x:v>Morgan Adams</x:v>
      </x:c>
      <x:c r="J91" s="35" t="str">
        <x:v>System scheduled charge</x:v>
      </x:c>
      <x:c r="K91" s="20" t="str"/>
      <x:c r="L91" s="20" t="str">
        <x:v>RENT-202702-L004</x:v>
      </x:c>
      <x:c r="M91" s="26" t="n">
        <x:v>1350</x:v>
      </x:c>
      <x:c r="N91" s="26" t="n">
        <x:v>1350</x:v>
      </x:c>
      <x:c r="O91" s="26" t="n">
        <x:v>0</x:v>
      </x:c>
      <x:c r="P91" s="26" t="n">
        <x:v>0</x:v>
      </x:c>
      <x:c r="Q91" s="26" t="n">
        <x:v>0</x:v>
      </x:c>
      <x:c r="R91" s="26" t="n">
        <x:v>0</x:v>
      </x:c>
      <x:c r="S91" s="26" t="n">
        <x:v>0</x:v>
      </x:c>
      <x:c r="T91" s="26" t="n">
        <x:v>1350</x:v>
      </x:c>
      <x:c r="U91" s="26" t="n">
        <x:v>0</x:v>
      </x:c>
      <x:c r="V91" s="26" t="n">
        <x:v>0</x:v>
      </x:c>
      <x:c r="W91" s="26" t="n">
        <x:v>0</x:v>
      </x:c>
      <x:c r="X91" s="26" t="n">
        <x:v>0</x:v>
      </x:c>
      <x:c r="Y91" s="26" t="n">
        <x:v>0</x:v>
      </x:c>
      <x:c r="Z91" s="35" t="str">
        <x:v>February 2027 rent</x:v>
      </x:c>
    </x:row>
    <x:row r="92">
      <x:c r="A92" s="20" t="str">
        <x:v>FIN-00089</x:v>
      </x:c>
      <x:c r="B92" s="23" t="n">
        <x:v>46422</x:v>
      </x:c>
      <x:c r="C92" s="23" t="n">
        <x:v>46422</x:v>
      </x:c>
      <x:c r="D92" s="20" t="str">
        <x:v>TenantReceipt</x:v>
      </x:c>
      <x:c r="E92" s="20" t="str">
        <x:v>Rent receipt</x:v>
      </x:c>
      <x:c r="F92" s="20" t="str">
        <x:v>P004</x:v>
      </x:c>
      <x:c r="G92" s="20" t="str">
        <x:v>U004</x:v>
      </x:c>
      <x:c r="H92" s="20" t="str">
        <x:v>L004</x:v>
      </x:c>
      <x:c r="I92" s="20" t="str">
        <x:v>Morgan Adams</x:v>
      </x:c>
      <x:c r="J92" s="35" t="str">
        <x:v>Scanned check</x:v>
      </x:c>
      <x:c r="K92" s="20" t="str">
        <x:v>SCN-0109</x:v>
      </x:c>
      <x:c r="L92" s="20" t="str">
        <x:v>PMT-20270204-L004</x:v>
      </x:c>
      <x:c r="M92" s="26" t="n">
        <x:v>1350</x:v>
      </x:c>
      <x:c r="N92" s="26" t="n">
        <x:v>-1350</x:v>
      </x:c>
      <x:c r="O92" s="26" t="n">
        <x:v>1350</x:v>
      </x:c>
      <x:c r="P92" s="26" t="n">
        <x:v>0</x:v>
      </x:c>
      <x:c r="Q92" s="26" t="n">
        <x:v>0</x:v>
      </x:c>
      <x:c r="R92" s="26" t="n">
        <x:v>0</x:v>
      </x:c>
      <x:c r="S92" s="26" t="n">
        <x:v>0</x:v>
      </x:c>
      <x:c r="T92" s="26" t="n">
        <x:v>0</x:v>
      </x:c>
      <x:c r="U92" s="26" t="n">
        <x:v>0</x:v>
      </x:c>
      <x:c r="V92" s="26" t="n">
        <x:v>0</x:v>
      </x:c>
      <x:c r="W92" s="26" t="n">
        <x:v>0</x:v>
      </x:c>
      <x:c r="X92" s="26" t="n">
        <x:v>0</x:v>
      </x:c>
      <x:c r="Y92" s="26" t="n">
        <x:v>0</x:v>
      </x:c>
      <x:c r="Z92" s="35" t="str">
        <x:v>Receipt allocated to FIN-00088</x:v>
      </x:c>
    </x:row>
    <x:row r="93">
      <x:c r="A93" s="20" t="str">
        <x:v>FIN-00090</x:v>
      </x:c>
      <x:c r="B93" s="23" t="n">
        <x:v>46419</x:v>
      </x:c>
      <x:c r="C93" s="23" t="n">
        <x:v>46419</x:v>
      </x:c>
      <x:c r="D93" s="20" t="str">
        <x:v>TenantCharge</x:v>
      </x:c>
      <x:c r="E93" s="20" t="str">
        <x:v>Rent</x:v>
      </x:c>
      <x:c r="F93" s="20" t="str">
        <x:v>P005</x:v>
      </x:c>
      <x:c r="G93" s="20" t="str">
        <x:v>U005</x:v>
      </x:c>
      <x:c r="H93" s="20" t="str">
        <x:v>L005</x:v>
      </x:c>
      <x:c r="I93" s="20" t="str">
        <x:v>Parker Flores</x:v>
      </x:c>
      <x:c r="J93" s="35" t="str">
        <x:v>System scheduled charge</x:v>
      </x:c>
      <x:c r="K93" s="20" t="str"/>
      <x:c r="L93" s="20" t="str">
        <x:v>RENT-202702-L005</x:v>
      </x:c>
      <x:c r="M93" s="26" t="n">
        <x:v>1875</x:v>
      </x:c>
      <x:c r="N93" s="26" t="n">
        <x:v>1875</x:v>
      </x:c>
      <x:c r="O93" s="26" t="n">
        <x:v>0</x:v>
      </x:c>
      <x:c r="P93" s="26" t="n">
        <x:v>0</x:v>
      </x:c>
      <x:c r="Q93" s="26" t="n">
        <x:v>0</x:v>
      </x:c>
      <x:c r="R93" s="26" t="n">
        <x:v>0</x:v>
      </x:c>
      <x:c r="S93" s="26" t="n">
        <x:v>0</x:v>
      </x:c>
      <x:c r="T93" s="26" t="n">
        <x:v>1875</x:v>
      </x:c>
      <x:c r="U93" s="26" t="n">
        <x:v>0</x:v>
      </x:c>
      <x:c r="V93" s="26" t="n">
        <x:v>0</x:v>
      </x:c>
      <x:c r="W93" s="26" t="n">
        <x:v>0</x:v>
      </x:c>
      <x:c r="X93" s="26" t="n">
        <x:v>0</x:v>
      </x:c>
      <x:c r="Y93" s="26" t="n">
        <x:v>0</x:v>
      </x:c>
      <x:c r="Z93" s="35" t="str">
        <x:v>February 2027 rent</x:v>
      </x:c>
    </x:row>
    <x:row r="94">
      <x:c r="A94" s="20" t="str">
        <x:v>FIN-00091</x:v>
      </x:c>
      <x:c r="B94" s="23" t="n">
        <x:v>46423</x:v>
      </x:c>
      <x:c r="C94" s="23" t="n">
        <x:v>46423</x:v>
      </x:c>
      <x:c r="D94" s="20" t="str">
        <x:v>TenantReceipt</x:v>
      </x:c>
      <x:c r="E94" s="20" t="str">
        <x:v>Rent receipt</x:v>
      </x:c>
      <x:c r="F94" s="20" t="str">
        <x:v>P005</x:v>
      </x:c>
      <x:c r="G94" s="20" t="str">
        <x:v>U005</x:v>
      </x:c>
      <x:c r="H94" s="20" t="str">
        <x:v>L005</x:v>
      </x:c>
      <x:c r="I94" s="20" t="str">
        <x:v>Parker Flores</x:v>
      </x:c>
      <x:c r="J94" s="35" t="str">
        <x:v>Scanned money order</x:v>
      </x:c>
      <x:c r="K94" s="20" t="str">
        <x:v>SCN-0110</x:v>
      </x:c>
      <x:c r="L94" s="20" t="str">
        <x:v>PMT-20270205-L005</x:v>
      </x:c>
      <x:c r="M94" s="26" t="n">
        <x:v>1875</x:v>
      </x:c>
      <x:c r="N94" s="26" t="n">
        <x:v>-1875</x:v>
      </x:c>
      <x:c r="O94" s="26" t="n">
        <x:v>1875</x:v>
      </x:c>
      <x:c r="P94" s="26" t="n">
        <x:v>0</x:v>
      </x:c>
      <x:c r="Q94" s="26" t="n">
        <x:v>0</x:v>
      </x:c>
      <x:c r="R94" s="26" t="n">
        <x:v>0</x:v>
      </x:c>
      <x:c r="S94" s="26" t="n">
        <x:v>0</x:v>
      </x:c>
      <x:c r="T94" s="26" t="n">
        <x:v>0</x:v>
      </x:c>
      <x:c r="U94" s="26" t="n">
        <x:v>0</x:v>
      </x:c>
      <x:c r="V94" s="26" t="n">
        <x:v>0</x:v>
      </x:c>
      <x:c r="W94" s="26" t="n">
        <x:v>0</x:v>
      </x:c>
      <x:c r="X94" s="26" t="n">
        <x:v>0</x:v>
      </x:c>
      <x:c r="Y94" s="26" t="n">
        <x:v>0</x:v>
      </x:c>
      <x:c r="Z94" s="35" t="str">
        <x:v>Receipt allocated to FIN-00090</x:v>
      </x:c>
    </x:row>
    <x:row r="95">
      <x:c r="A95" s="20" t="str">
        <x:v>FIN-00092</x:v>
      </x:c>
      <x:c r="B95" s="23" t="n">
        <x:v>46419</x:v>
      </x:c>
      <x:c r="C95" s="23" t="n">
        <x:v>46419</x:v>
      </x:c>
      <x:c r="D95" s="20" t="str">
        <x:v>TenantCharge</x:v>
      </x:c>
      <x:c r="E95" s="20" t="str">
        <x:v>Rent</x:v>
      </x:c>
      <x:c r="F95" s="20" t="str">
        <x:v>P006</x:v>
      </x:c>
      <x:c r="G95" s="20" t="str">
        <x:v>U006</x:v>
      </x:c>
      <x:c r="H95" s="20" t="str">
        <x:v>L006</x:v>
      </x:c>
      <x:c r="I95" s="20" t="str">
        <x:v>Sage King</x:v>
      </x:c>
      <x:c r="J95" s="35" t="str">
        <x:v>System scheduled charge</x:v>
      </x:c>
      <x:c r="K95" s="20" t="str"/>
      <x:c r="L95" s="20" t="str">
        <x:v>RENT-202702-L006</x:v>
      </x:c>
      <x:c r="M95" s="26" t="n">
        <x:v>1500</x:v>
      </x:c>
      <x:c r="N95" s="26" t="n">
        <x:v>1500</x:v>
      </x:c>
      <x:c r="O95" s="26" t="n">
        <x:v>0</x:v>
      </x:c>
      <x:c r="P95" s="26" t="n">
        <x:v>0</x:v>
      </x:c>
      <x:c r="Q95" s="26" t="n">
        <x:v>0</x:v>
      </x:c>
      <x:c r="R95" s="26" t="n">
        <x:v>0</x:v>
      </x:c>
      <x:c r="S95" s="26" t="n">
        <x:v>0</x:v>
      </x:c>
      <x:c r="T95" s="26" t="n">
        <x:v>1500</x:v>
      </x:c>
      <x:c r="U95" s="26" t="n">
        <x:v>0</x:v>
      </x:c>
      <x:c r="V95" s="26" t="n">
        <x:v>0</x:v>
      </x:c>
      <x:c r="W95" s="26" t="n">
        <x:v>0</x:v>
      </x:c>
      <x:c r="X95" s="26" t="n">
        <x:v>0</x:v>
      </x:c>
      <x:c r="Y95" s="26" t="n">
        <x:v>0</x:v>
      </x:c>
      <x:c r="Z95" s="35" t="str">
        <x:v>February 2027 rent</x:v>
      </x:c>
    </x:row>
    <x:row r="96">
      <x:c r="A96" s="20" t="str">
        <x:v>FIN-00093</x:v>
      </x:c>
      <x:c r="B96" s="23" t="n">
        <x:v>46421</x:v>
      </x:c>
      <x:c r="C96" s="23" t="n">
        <x:v>46421</x:v>
      </x:c>
      <x:c r="D96" s="20" t="str">
        <x:v>TenantReceipt</x:v>
      </x:c>
      <x:c r="E96" s="20" t="str">
        <x:v>Rent receipt</x:v>
      </x:c>
      <x:c r="F96" s="20" t="str">
        <x:v>P006</x:v>
      </x:c>
      <x:c r="G96" s="20" t="str">
        <x:v>U006</x:v>
      </x:c>
      <x:c r="H96" s="20" t="str">
        <x:v>L006</x:v>
      </x:c>
      <x:c r="I96" s="20" t="str">
        <x:v>Sage King</x:v>
      </x:c>
      <x:c r="J96" s="35" t="str">
        <x:v>Manual ACH</x:v>
      </x:c>
      <x:c r="K96" s="20" t="str"/>
      <x:c r="L96" s="20" t="str">
        <x:v>PMT-20270203-L006</x:v>
      </x:c>
      <x:c r="M96" s="26" t="n">
        <x:v>1500</x:v>
      </x:c>
      <x:c r="N96" s="26" t="n">
        <x:v>-1500</x:v>
      </x:c>
      <x:c r="O96" s="26" t="n">
        <x:v>1500</x:v>
      </x:c>
      <x:c r="P96" s="26" t="n">
        <x:v>0</x:v>
      </x:c>
      <x:c r="Q96" s="26" t="n">
        <x:v>0</x:v>
      </x:c>
      <x:c r="R96" s="26" t="n">
        <x:v>0</x:v>
      </x:c>
      <x:c r="S96" s="26" t="n">
        <x:v>0</x:v>
      </x:c>
      <x:c r="T96" s="26" t="n">
        <x:v>0</x:v>
      </x:c>
      <x:c r="U96" s="26" t="n">
        <x:v>0</x:v>
      </x:c>
      <x:c r="V96" s="26" t="n">
        <x:v>0</x:v>
      </x:c>
      <x:c r="W96" s="26" t="n">
        <x:v>0</x:v>
      </x:c>
      <x:c r="X96" s="26" t="n">
        <x:v>0</x:v>
      </x:c>
      <x:c r="Y96" s="26" t="n">
        <x:v>0</x:v>
      </x:c>
      <x:c r="Z96" s="35" t="str">
        <x:v>Receipt allocated to FIN-00092</x:v>
      </x:c>
    </x:row>
    <x:row r="97">
      <x:c r="A97" s="20" t="str">
        <x:v>FIN-00094</x:v>
      </x:c>
      <x:c r="B97" s="23" t="n">
        <x:v>46419</x:v>
      </x:c>
      <x:c r="C97" s="23" t="n">
        <x:v>46419</x:v>
      </x:c>
      <x:c r="D97" s="20" t="str">
        <x:v>TenantCharge</x:v>
      </x:c>
      <x:c r="E97" s="20" t="str">
        <x:v>Rent</x:v>
      </x:c>
      <x:c r="F97" s="20" t="str">
        <x:v>P007</x:v>
      </x:c>
      <x:c r="G97" s="20" t="str">
        <x:v>U007</x:v>
      </x:c>
      <x:c r="H97" s="20" t="str">
        <x:v>L007</x:v>
      </x:c>
      <x:c r="I97" s="20" t="str">
        <x:v>Val Price</x:v>
      </x:c>
      <x:c r="J97" s="35" t="str">
        <x:v>System scheduled charge</x:v>
      </x:c>
      <x:c r="K97" s="20" t="str"/>
      <x:c r="L97" s="20" t="str">
        <x:v>RENT-202702-L007</x:v>
      </x:c>
      <x:c r="M97" s="26" t="n">
        <x:v>1125</x:v>
      </x:c>
      <x:c r="N97" s="26" t="n">
        <x:v>1125</x:v>
      </x:c>
      <x:c r="O97" s="26" t="n">
        <x:v>0</x:v>
      </x:c>
      <x:c r="P97" s="26" t="n">
        <x:v>0</x:v>
      </x:c>
      <x:c r="Q97" s="26" t="n">
        <x:v>0</x:v>
      </x:c>
      <x:c r="R97" s="26" t="n">
        <x:v>0</x:v>
      </x:c>
      <x:c r="S97" s="26" t="n">
        <x:v>0</x:v>
      </x:c>
      <x:c r="T97" s="26" t="n">
        <x:v>1125</x:v>
      </x:c>
      <x:c r="U97" s="26" t="n">
        <x:v>0</x:v>
      </x:c>
      <x:c r="V97" s="26" t="n">
        <x:v>0</x:v>
      </x:c>
      <x:c r="W97" s="26" t="n">
        <x:v>0</x:v>
      </x:c>
      <x:c r="X97" s="26" t="n">
        <x:v>0</x:v>
      </x:c>
      <x:c r="Y97" s="26" t="n">
        <x:v>0</x:v>
      </x:c>
      <x:c r="Z97" s="35" t="str">
        <x:v>February 2027 rent</x:v>
      </x:c>
    </x:row>
    <x:row r="98">
      <x:c r="A98" s="20" t="str">
        <x:v>FIN-00095</x:v>
      </x:c>
      <x:c r="B98" s="23" t="n">
        <x:v>46422</x:v>
      </x:c>
      <x:c r="C98" s="23" t="n">
        <x:v>46422</x:v>
      </x:c>
      <x:c r="D98" s="20" t="str">
        <x:v>TenantReceipt</x:v>
      </x:c>
      <x:c r="E98" s="20" t="str">
        <x:v>Rent receipt</x:v>
      </x:c>
      <x:c r="F98" s="20" t="str">
        <x:v>P007</x:v>
      </x:c>
      <x:c r="G98" s="20" t="str">
        <x:v>U007</x:v>
      </x:c>
      <x:c r="H98" s="20" t="str">
        <x:v>L007</x:v>
      </x:c>
      <x:c r="I98" s="20" t="str">
        <x:v>Val Price</x:v>
      </x:c>
      <x:c r="J98" s="35" t="str">
        <x:v>Portal card</x:v>
      </x:c>
      <x:c r="K98" s="20" t="str"/>
      <x:c r="L98" s="20" t="str">
        <x:v>PMT-20270204-L007</x:v>
      </x:c>
      <x:c r="M98" s="26" t="n">
        <x:v>1125</x:v>
      </x:c>
      <x:c r="N98" s="26" t="n">
        <x:v>-1125</x:v>
      </x:c>
      <x:c r="O98" s="26" t="n">
        <x:v>1125</x:v>
      </x:c>
      <x:c r="P98" s="26" t="n">
        <x:v>0</x:v>
      </x:c>
      <x:c r="Q98" s="26" t="n">
        <x:v>0</x:v>
      </x:c>
      <x:c r="R98" s="26" t="n">
        <x:v>0</x:v>
      </x:c>
      <x:c r="S98" s="26" t="n">
        <x:v>0</x:v>
      </x:c>
      <x:c r="T98" s="26" t="n">
        <x:v>0</x:v>
      </x:c>
      <x:c r="U98" s="26" t="n">
        <x:v>0</x:v>
      </x:c>
      <x:c r="V98" s="26" t="n">
        <x:v>0</x:v>
      </x:c>
      <x:c r="W98" s="26" t="n">
        <x:v>0</x:v>
      </x:c>
      <x:c r="X98" s="26" t="n">
        <x:v>0</x:v>
      </x:c>
      <x:c r="Y98" s="26" t="n">
        <x:v>0</x:v>
      </x:c>
      <x:c r="Z98" s="35" t="str">
        <x:v>Receipt allocated to FIN-00094</x:v>
      </x:c>
    </x:row>
    <x:row r="99">
      <x:c r="A99" s="20" t="str">
        <x:v>FIN-00096</x:v>
      </x:c>
      <x:c r="B99" s="23" t="n">
        <x:v>46419</x:v>
      </x:c>
      <x:c r="C99" s="23" t="n">
        <x:v>46419</x:v>
      </x:c>
      <x:c r="D99" s="20" t="str">
        <x:v>TenantCharge</x:v>
      </x:c>
      <x:c r="E99" s="20" t="str">
        <x:v>Rent</x:v>
      </x:c>
      <x:c r="F99" s="20" t="str">
        <x:v>P008</x:v>
      </x:c>
      <x:c r="G99" s="20" t="str">
        <x:v>U008</x:v>
      </x:c>
      <x:c r="H99" s="20" t="str">
        <x:v>L008</x:v>
      </x:c>
      <x:c r="I99" s="20" t="str">
        <x:v>Yara Brooks</x:v>
      </x:c>
      <x:c r="J99" s="35" t="str">
        <x:v>System scheduled charge</x:v>
      </x:c>
      <x:c r="K99" s="20" t="str"/>
      <x:c r="L99" s="20" t="str">
        <x:v>RENT-202702-L008</x:v>
      </x:c>
      <x:c r="M99" s="26" t="n">
        <x:v>1650</x:v>
      </x:c>
      <x:c r="N99" s="26" t="n">
        <x:v>1650</x:v>
      </x:c>
      <x:c r="O99" s="26" t="n">
        <x:v>0</x:v>
      </x:c>
      <x:c r="P99" s="26" t="n">
        <x:v>0</x:v>
      </x:c>
      <x:c r="Q99" s="26" t="n">
        <x:v>0</x:v>
      </x:c>
      <x:c r="R99" s="26" t="n">
        <x:v>0</x:v>
      </x:c>
      <x:c r="S99" s="26" t="n">
        <x:v>0</x:v>
      </x:c>
      <x:c r="T99" s="26" t="n">
        <x:v>1650</x:v>
      </x:c>
      <x:c r="U99" s="26" t="n">
        <x:v>0</x:v>
      </x:c>
      <x:c r="V99" s="26" t="n">
        <x:v>0</x:v>
      </x:c>
      <x:c r="W99" s="26" t="n">
        <x:v>0</x:v>
      </x:c>
      <x:c r="X99" s="26" t="n">
        <x:v>0</x:v>
      </x:c>
      <x:c r="Y99" s="26" t="n">
        <x:v>0</x:v>
      </x:c>
      <x:c r="Z99" s="35" t="str">
        <x:v>February 2027 rent</x:v>
      </x:c>
    </x:row>
    <x:row r="100">
      <x:c r="A100" s="20" t="str">
        <x:v>FIN-00097</x:v>
      </x:c>
      <x:c r="B100" s="23" t="n">
        <x:v>46423</x:v>
      </x:c>
      <x:c r="C100" s="23" t="n">
        <x:v>46423</x:v>
      </x:c>
      <x:c r="D100" s="20" t="str">
        <x:v>TenantReceipt</x:v>
      </x:c>
      <x:c r="E100" s="20" t="str">
        <x:v>Rent receipt</x:v>
      </x:c>
      <x:c r="F100" s="20" t="str">
        <x:v>P008</x:v>
      </x:c>
      <x:c r="G100" s="20" t="str">
        <x:v>U008</x:v>
      </x:c>
      <x:c r="H100" s="20" t="str">
        <x:v>L008</x:v>
      </x:c>
      <x:c r="I100" s="20" t="str">
        <x:v>Yara Brooks</x:v>
      </x:c>
      <x:c r="J100" s="35" t="str">
        <x:v>Scanned check</x:v>
      </x:c>
      <x:c r="K100" s="20" t="str">
        <x:v>SCN-0111</x:v>
      </x:c>
      <x:c r="L100" s="20" t="str">
        <x:v>PMT-20270205-L008</x:v>
      </x:c>
      <x:c r="M100" s="26" t="n">
        <x:v>1650</x:v>
      </x:c>
      <x:c r="N100" s="26" t="n">
        <x:v>-1650</x:v>
      </x:c>
      <x:c r="O100" s="26" t="n">
        <x:v>1650</x:v>
      </x:c>
      <x:c r="P100" s="26" t="n">
        <x:v>0</x:v>
      </x:c>
      <x:c r="Q100" s="26" t="n">
        <x:v>0</x:v>
      </x:c>
      <x:c r="R100" s="26" t="n">
        <x:v>0</x:v>
      </x:c>
      <x:c r="S100" s="26" t="n">
        <x:v>0</x:v>
      </x:c>
      <x:c r="T100" s="26" t="n">
        <x:v>0</x:v>
      </x:c>
      <x:c r="U100" s="26" t="n">
        <x:v>0</x:v>
      </x:c>
      <x:c r="V100" s="26" t="n">
        <x:v>0</x:v>
      </x:c>
      <x:c r="W100" s="26" t="n">
        <x:v>0</x:v>
      </x:c>
      <x:c r="X100" s="26" t="n">
        <x:v>0</x:v>
      </x:c>
      <x:c r="Y100" s="26" t="n">
        <x:v>0</x:v>
      </x:c>
      <x:c r="Z100" s="35" t="str">
        <x:v>Receipt allocated to FIN-00096</x:v>
      </x:c>
    </x:row>
    <x:row r="101">
      <x:c r="A101" s="20" t="str">
        <x:v>FIN-00098</x:v>
      </x:c>
      <x:c r="B101" s="23" t="n">
        <x:v>46419</x:v>
      </x:c>
      <x:c r="C101" s="23" t="n">
        <x:v>46419</x:v>
      </x:c>
      <x:c r="D101" s="20" t="str">
        <x:v>TenantCharge</x:v>
      </x:c>
      <x:c r="E101" s="20" t="str">
        <x:v>Rent</x:v>
      </x:c>
      <x:c r="F101" s="20" t="str">
        <x:v>P009</x:v>
      </x:c>
      <x:c r="G101" s="20" t="str">
        <x:v>U009</x:v>
      </x:c>
      <x:c r="H101" s="20" t="str">
        <x:v>L009</x:v>
      </x:c>
      <x:c r="I101" s="20" t="str">
        <x:v>Bennett Garcia</x:v>
      </x:c>
      <x:c r="J101" s="35" t="str">
        <x:v>System scheduled charge</x:v>
      </x:c>
      <x:c r="K101" s="20" t="str"/>
      <x:c r="L101" s="20" t="str">
        <x:v>RENT-202702-L009</x:v>
      </x:c>
      <x:c r="M101" s="26" t="n">
        <x:v>1275</x:v>
      </x:c>
      <x:c r="N101" s="26" t="n">
        <x:v>1275</x:v>
      </x:c>
      <x:c r="O101" s="26" t="n">
        <x:v>0</x:v>
      </x:c>
      <x:c r="P101" s="26" t="n">
        <x:v>0</x:v>
      </x:c>
      <x:c r="Q101" s="26" t="n">
        <x:v>0</x:v>
      </x:c>
      <x:c r="R101" s="26" t="n">
        <x:v>0</x:v>
      </x:c>
      <x:c r="S101" s="26" t="n">
        <x:v>0</x:v>
      </x:c>
      <x:c r="T101" s="26" t="n">
        <x:v>1275</x:v>
      </x:c>
      <x:c r="U101" s="26" t="n">
        <x:v>0</x:v>
      </x:c>
      <x:c r="V101" s="26" t="n">
        <x:v>0</x:v>
      </x:c>
      <x:c r="W101" s="26" t="n">
        <x:v>0</x:v>
      </x:c>
      <x:c r="X101" s="26" t="n">
        <x:v>0</x:v>
      </x:c>
      <x:c r="Y101" s="26" t="n">
        <x:v>0</x:v>
      </x:c>
      <x:c r="Z101" s="35" t="str">
        <x:v>February 2027 rent</x:v>
      </x:c>
    </x:row>
    <x:row r="102">
      <x:c r="A102" s="20" t="str">
        <x:v>FIN-00099</x:v>
      </x:c>
      <x:c r="B102" s="23" t="n">
        <x:v>46421</x:v>
      </x:c>
      <x:c r="C102" s="23" t="n">
        <x:v>46421</x:v>
      </x:c>
      <x:c r="D102" s="20" t="str">
        <x:v>TenantReceipt</x:v>
      </x:c>
      <x:c r="E102" s="20" t="str">
        <x:v>Rent receipt</x:v>
      </x:c>
      <x:c r="F102" s="20" t="str">
        <x:v>P009</x:v>
      </x:c>
      <x:c r="G102" s="20" t="str">
        <x:v>U009</x:v>
      </x:c>
      <x:c r="H102" s="20" t="str">
        <x:v>L009</x:v>
      </x:c>
      <x:c r="I102" s="20" t="str">
        <x:v>Bennett Garcia</x:v>
      </x:c>
      <x:c r="J102" s="35" t="str">
        <x:v>Scanned money order</x:v>
      </x:c>
      <x:c r="K102" s="20" t="str">
        <x:v>SCN-0112</x:v>
      </x:c>
      <x:c r="L102" s="20" t="str">
        <x:v>PMT-20270203-L009</x:v>
      </x:c>
      <x:c r="M102" s="26" t="n">
        <x:v>1275</x:v>
      </x:c>
      <x:c r="N102" s="26" t="n">
        <x:v>-1275</x:v>
      </x:c>
      <x:c r="O102" s="26" t="n">
        <x:v>1275</x:v>
      </x:c>
      <x:c r="P102" s="26" t="n">
        <x:v>0</x:v>
      </x:c>
      <x:c r="Q102" s="26" t="n">
        <x:v>0</x:v>
      </x:c>
      <x:c r="R102" s="26" t="n">
        <x:v>0</x:v>
      </x:c>
      <x:c r="S102" s="26" t="n">
        <x:v>0</x:v>
      </x:c>
      <x:c r="T102" s="26" t="n">
        <x:v>0</x:v>
      </x:c>
      <x:c r="U102" s="26" t="n">
        <x:v>0</x:v>
      </x:c>
      <x:c r="V102" s="26" t="n">
        <x:v>0</x:v>
      </x:c>
      <x:c r="W102" s="26" t="n">
        <x:v>0</x:v>
      </x:c>
      <x:c r="X102" s="26" t="n">
        <x:v>0</x:v>
      </x:c>
      <x:c r="Y102" s="26" t="n">
        <x:v>0</x:v>
      </x:c>
      <x:c r="Z102" s="35" t="str">
        <x:v>Receipt allocated to FIN-00098</x:v>
      </x:c>
    </x:row>
    <x:row r="103">
      <x:c r="A103" s="20" t="str">
        <x:v>FIN-00100</x:v>
      </x:c>
      <x:c r="B103" s="23" t="n">
        <x:v>46419</x:v>
      </x:c>
      <x:c r="C103" s="23" t="n">
        <x:v>46419</x:v>
      </x:c>
      <x:c r="D103" s="20" t="str">
        <x:v>TenantCharge</x:v>
      </x:c>
      <x:c r="E103" s="20" t="str">
        <x:v>Rent</x:v>
      </x:c>
      <x:c r="F103" s="20" t="str">
        <x:v>P010</x:v>
      </x:c>
      <x:c r="G103" s="20" t="str">
        <x:v>U010</x:v>
      </x:c>
      <x:c r="H103" s="20" t="str">
        <x:v>L010</x:v>
      </x:c>
      <x:c r="I103" s="20" t="str">
        <x:v>Elena Lewis</x:v>
      </x:c>
      <x:c r="J103" s="35" t="str">
        <x:v>System scheduled charge</x:v>
      </x:c>
      <x:c r="K103" s="20" t="str"/>
      <x:c r="L103" s="20" t="str">
        <x:v>RENT-202702-L010</x:v>
      </x:c>
      <x:c r="M103" s="26" t="n">
        <x:v>1800</x:v>
      </x:c>
      <x:c r="N103" s="26" t="n">
        <x:v>1800</x:v>
      </x:c>
      <x:c r="O103" s="26" t="n">
        <x:v>0</x:v>
      </x:c>
      <x:c r="P103" s="26" t="n">
        <x:v>0</x:v>
      </x:c>
      <x:c r="Q103" s="26" t="n">
        <x:v>0</x:v>
      </x:c>
      <x:c r="R103" s="26" t="n">
        <x:v>0</x:v>
      </x:c>
      <x:c r="S103" s="26" t="n">
        <x:v>0</x:v>
      </x:c>
      <x:c r="T103" s="26" t="n">
        <x:v>1800</x:v>
      </x:c>
      <x:c r="U103" s="26" t="n">
        <x:v>0</x:v>
      </x:c>
      <x:c r="V103" s="26" t="n">
        <x:v>0</x:v>
      </x:c>
      <x:c r="W103" s="26" t="n">
        <x:v>0</x:v>
      </x:c>
      <x:c r="X103" s="26" t="n">
        <x:v>0</x:v>
      </x:c>
      <x:c r="Y103" s="26" t="n">
        <x:v>0</x:v>
      </x:c>
      <x:c r="Z103" s="35" t="str">
        <x:v>February 2027 rent</x:v>
      </x:c>
    </x:row>
    <x:row r="104">
      <x:c r="A104" s="20" t="str">
        <x:v>FIN-00101</x:v>
      </x:c>
      <x:c r="B104" s="23" t="n">
        <x:v>46422</x:v>
      </x:c>
      <x:c r="C104" s="23" t="n">
        <x:v>46422</x:v>
      </x:c>
      <x:c r="D104" s="20" t="str">
        <x:v>TenantReceipt</x:v>
      </x:c>
      <x:c r="E104" s="20" t="str">
        <x:v>Rent receipt</x:v>
      </x:c>
      <x:c r="F104" s="20" t="str">
        <x:v>P010</x:v>
      </x:c>
      <x:c r="G104" s="20" t="str">
        <x:v>U010</x:v>
      </x:c>
      <x:c r="H104" s="20" t="str">
        <x:v>L010</x:v>
      </x:c>
      <x:c r="I104" s="20" t="str">
        <x:v>Elena Lewis</x:v>
      </x:c>
      <x:c r="J104" s="35" t="str">
        <x:v>Manual ACH</x:v>
      </x:c>
      <x:c r="K104" s="20" t="str"/>
      <x:c r="L104" s="20" t="str">
        <x:v>PMT-20270204-L010</x:v>
      </x:c>
      <x:c r="M104" s="26" t="n">
        <x:v>1800</x:v>
      </x:c>
      <x:c r="N104" s="26" t="n">
        <x:v>-1800</x:v>
      </x:c>
      <x:c r="O104" s="26" t="n">
        <x:v>1800</x:v>
      </x:c>
      <x:c r="P104" s="26" t="n">
        <x:v>0</x:v>
      </x:c>
      <x:c r="Q104" s="26" t="n">
        <x:v>0</x:v>
      </x:c>
      <x:c r="R104" s="26" t="n">
        <x:v>0</x:v>
      </x:c>
      <x:c r="S104" s="26" t="n">
        <x:v>0</x:v>
      </x:c>
      <x:c r="T104" s="26" t="n">
        <x:v>0</x:v>
      </x:c>
      <x:c r="U104" s="26" t="n">
        <x:v>0</x:v>
      </x:c>
      <x:c r="V104" s="26" t="n">
        <x:v>0</x:v>
      </x:c>
      <x:c r="W104" s="26" t="n">
        <x:v>0</x:v>
      </x:c>
      <x:c r="X104" s="26" t="n">
        <x:v>0</x:v>
      </x:c>
      <x:c r="Y104" s="26" t="n">
        <x:v>0</x:v>
      </x:c>
      <x:c r="Z104" s="35" t="str">
        <x:v>Receipt allocated to FIN-00100</x:v>
      </x:c>
    </x:row>
    <x:row r="105">
      <x:c r="A105" s="20" t="str">
        <x:v>FIN-00102</x:v>
      </x:c>
      <x:c r="B105" s="23" t="n">
        <x:v>46419</x:v>
      </x:c>
      <x:c r="C105" s="23" t="n">
        <x:v>46419</x:v>
      </x:c>
      <x:c r="D105" s="20" t="str">
        <x:v>TenantCharge</x:v>
      </x:c>
      <x:c r="E105" s="20" t="str">
        <x:v>Rent</x:v>
      </x:c>
      <x:c r="F105" s="20" t="str">
        <x:v>P011</x:v>
      </x:c>
      <x:c r="G105" s="20" t="str">
        <x:v>U011</x:v>
      </x:c>
      <x:c r="H105" s="20" t="str">
        <x:v>L011</x:v>
      </x:c>
      <x:c r="I105" s="20" t="str">
        <x:v>Hector Reed</x:v>
      </x:c>
      <x:c r="J105" s="35" t="str">
        <x:v>System scheduled charge</x:v>
      </x:c>
      <x:c r="K105" s="20" t="str"/>
      <x:c r="L105" s="20" t="str">
        <x:v>RENT-202702-L011</x:v>
      </x:c>
      <x:c r="M105" s="26" t="n">
        <x:v>1425</x:v>
      </x:c>
      <x:c r="N105" s="26" t="n">
        <x:v>1425</x:v>
      </x:c>
      <x:c r="O105" s="26" t="n">
        <x:v>0</x:v>
      </x:c>
      <x:c r="P105" s="26" t="n">
        <x:v>0</x:v>
      </x:c>
      <x:c r="Q105" s="26" t="n">
        <x:v>0</x:v>
      </x:c>
      <x:c r="R105" s="26" t="n">
        <x:v>0</x:v>
      </x:c>
      <x:c r="S105" s="26" t="n">
        <x:v>0</x:v>
      </x:c>
      <x:c r="T105" s="26" t="n">
        <x:v>1425</x:v>
      </x:c>
      <x:c r="U105" s="26" t="n">
        <x:v>0</x:v>
      </x:c>
      <x:c r="V105" s="26" t="n">
        <x:v>0</x:v>
      </x:c>
      <x:c r="W105" s="26" t="n">
        <x:v>0</x:v>
      </x:c>
      <x:c r="X105" s="26" t="n">
        <x:v>0</x:v>
      </x:c>
      <x:c r="Y105" s="26" t="n">
        <x:v>0</x:v>
      </x:c>
      <x:c r="Z105" s="35" t="str">
        <x:v>February 2027 rent</x:v>
      </x:c>
    </x:row>
    <x:row r="106">
      <x:c r="A106" s="20" t="str">
        <x:v>FIN-00103</x:v>
      </x:c>
      <x:c r="B106" s="23" t="n">
        <x:v>46421</x:v>
      </x:c>
      <x:c r="C106" s="23" t="n">
        <x:v>46421</x:v>
      </x:c>
      <x:c r="D106" s="20" t="str">
        <x:v>TenantReceipt</x:v>
      </x:c>
      <x:c r="E106" s="20" t="str">
        <x:v>Rent receipt</x:v>
      </x:c>
      <x:c r="F106" s="20" t="str">
        <x:v>P011</x:v>
      </x:c>
      <x:c r="G106" s="20" t="str">
        <x:v>U011</x:v>
      </x:c>
      <x:c r="H106" s="20" t="str">
        <x:v>L011</x:v>
      </x:c>
      <x:c r="I106" s="20" t="str">
        <x:v>Hector Reed</x:v>
      </x:c>
      <x:c r="J106" s="35" t="str">
        <x:v>Portal card</x:v>
      </x:c>
      <x:c r="K106" s="20" t="str"/>
      <x:c r="L106" s="20" t="str">
        <x:v>PMT-20270203-L011-A</x:v>
      </x:c>
      <x:c r="M106" s="26" t="n">
        <x:v>855</x:v>
      </x:c>
      <x:c r="N106" s="26" t="n">
        <x:v>-855</x:v>
      </x:c>
      <x:c r="O106" s="26" t="n">
        <x:v>855</x:v>
      </x:c>
      <x:c r="P106" s="26" t="n">
        <x:v>0</x:v>
      </x:c>
      <x:c r="Q106" s="26" t="n">
        <x:v>0</x:v>
      </x:c>
      <x:c r="R106" s="26" t="n">
        <x:v>0</x:v>
      </x:c>
      <x:c r="S106" s="26" t="n">
        <x:v>0</x:v>
      </x:c>
      <x:c r="T106" s="26" t="n">
        <x:v>0</x:v>
      </x:c>
      <x:c r="U106" s="26" t="n">
        <x:v>0</x:v>
      </x:c>
      <x:c r="V106" s="26" t="n">
        <x:v>0</x:v>
      </x:c>
      <x:c r="W106" s="26" t="n">
        <x:v>0</x:v>
      </x:c>
      <x:c r="X106" s="26" t="n">
        <x:v>0</x:v>
      </x:c>
      <x:c r="Y106" s="26" t="n">
        <x:v>0</x:v>
      </x:c>
      <x:c r="Z106" s="35" t="str">
        <x:v>Receipt allocated to FIN-00102</x:v>
      </x:c>
    </x:row>
    <x:row r="107">
      <x:c r="A107" s="20" t="str">
        <x:v>FIN-00104</x:v>
      </x:c>
      <x:c r="B107" s="23" t="n">
        <x:v>46424</x:v>
      </x:c>
      <x:c r="C107" s="23" t="n">
        <x:v>46424</x:v>
      </x:c>
      <x:c r="D107" s="20" t="str">
        <x:v>TenantCharge</x:v>
      </x:c>
      <x:c r="E107" s="20" t="str">
        <x:v>Late fee</x:v>
      </x:c>
      <x:c r="F107" s="20" t="str">
        <x:v>P011</x:v>
      </x:c>
      <x:c r="G107" s="20" t="str">
        <x:v>U011</x:v>
      </x:c>
      <x:c r="H107" s="20" t="str">
        <x:v>L011</x:v>
      </x:c>
      <x:c r="I107" s="20" t="str">
        <x:v>Hector Reed</x:v>
      </x:c>
      <x:c r="J107" s="35" t="str">
        <x:v>System automation</x:v>
      </x:c>
      <x:c r="K107" s="20" t="str"/>
      <x:c r="L107" s="20" t="str">
        <x:v>LATE-202702-L011</x:v>
      </x:c>
      <x:c r="M107" s="26" t="n">
        <x:v>50</x:v>
      </x:c>
      <x:c r="N107" s="26" t="n">
        <x:v>50</x:v>
      </x:c>
      <x:c r="O107" s="26" t="n">
        <x:v>0</x:v>
      </x:c>
      <x:c r="P107" s="26" t="n">
        <x:v>0</x:v>
      </x:c>
      <x:c r="Q107" s="26" t="n">
        <x:v>0</x:v>
      </x:c>
      <x:c r="R107" s="26" t="n">
        <x:v>0</x:v>
      </x:c>
      <x:c r="S107" s="26" t="n">
        <x:v>0</x:v>
      </x:c>
      <x:c r="T107" s="26" t="n">
        <x:v>50</x:v>
      </x:c>
      <x:c r="U107" s="26" t="n">
        <x:v>0</x:v>
      </x:c>
      <x:c r="V107" s="26" t="n">
        <x:v>0</x:v>
      </x:c>
      <x:c r="W107" s="26" t="n">
        <x:v>0</x:v>
      </x:c>
      <x:c r="X107" s="26" t="n">
        <x:v>0</x:v>
      </x:c>
      <x:c r="Y107" s="26" t="n">
        <x:v>0</x:v>
      </x:c>
      <x:c r="Z107" s="35" t="str">
        <x:v>Synthetic lease-authorized late fee after partial payment</x:v>
      </x:c>
    </x:row>
    <x:row r="108">
      <x:c r="A108" s="20" t="str">
        <x:v>FIN-00105</x:v>
      </x:c>
      <x:c r="B108" s="23" t="n">
        <x:v>46430</x:v>
      </x:c>
      <x:c r="C108" s="23" t="n">
        <x:v>46430</x:v>
      </x:c>
      <x:c r="D108" s="20" t="str">
        <x:v>TenantReceipt</x:v>
      </x:c>
      <x:c r="E108" s="20" t="str">
        <x:v>Rent receipt</x:v>
      </x:c>
      <x:c r="F108" s="20" t="str">
        <x:v>P011</x:v>
      </x:c>
      <x:c r="G108" s="20" t="str">
        <x:v>U011</x:v>
      </x:c>
      <x:c r="H108" s="20" t="str">
        <x:v>L011</x:v>
      </x:c>
      <x:c r="I108" s="20" t="str">
        <x:v>Hector Reed</x:v>
      </x:c>
      <x:c r="J108" s="35" t="str">
        <x:v>Scanned money order</x:v>
      </x:c>
      <x:c r="K108" s="20" t="str">
        <x:v>SCN-0113</x:v>
      </x:c>
      <x:c r="L108" s="20" t="str">
        <x:v>PMT-20270212-L011-B</x:v>
      </x:c>
      <x:c r="M108" s="26" t="n">
        <x:v>620</x:v>
      </x:c>
      <x:c r="N108" s="26" t="n">
        <x:v>-620</x:v>
      </x:c>
      <x:c r="O108" s="26" t="n">
        <x:v>620</x:v>
      </x:c>
      <x:c r="P108" s="26" t="n">
        <x:v>0</x:v>
      </x:c>
      <x:c r="Q108" s="26" t="n">
        <x:v>0</x:v>
      </x:c>
      <x:c r="R108" s="26" t="n">
        <x:v>0</x:v>
      </x:c>
      <x:c r="S108" s="26" t="n">
        <x:v>0</x:v>
      </x:c>
      <x:c r="T108" s="26" t="n">
        <x:v>0</x:v>
      </x:c>
      <x:c r="U108" s="26" t="n">
        <x:v>0</x:v>
      </x:c>
      <x:c r="V108" s="26" t="n">
        <x:v>0</x:v>
      </x:c>
      <x:c r="W108" s="26" t="n">
        <x:v>0</x:v>
      </x:c>
      <x:c r="X108" s="26" t="n">
        <x:v>0</x:v>
      </x:c>
      <x:c r="Y108" s="26" t="n">
        <x:v>0</x:v>
      </x:c>
      <x:c r="Z108" s="35" t="str">
        <x:v>Receipt allocated to FIN-00104</x:v>
      </x:c>
    </x:row>
    <x:row r="109">
      <x:c r="A109" s="20" t="str">
        <x:v>FIN-00106</x:v>
      </x:c>
      <x:c r="B109" s="23" t="n">
        <x:v>46419</x:v>
      </x:c>
      <x:c r="C109" s="23" t="n">
        <x:v>46419</x:v>
      </x:c>
      <x:c r="D109" s="20" t="str">
        <x:v>TenantCharge</x:v>
      </x:c>
      <x:c r="E109" s="20" t="str">
        <x:v>Rent</x:v>
      </x:c>
      <x:c r="F109" s="20" t="str">
        <x:v>P012</x:v>
      </x:c>
      <x:c r="G109" s="20" t="str">
        <x:v>U012</x:v>
      </x:c>
      <x:c r="H109" s="20" t="str">
        <x:v>L012</x:v>
      </x:c>
      <x:c r="I109" s="20" t="str">
        <x:v>Keira Adams</x:v>
      </x:c>
      <x:c r="J109" s="35" t="str">
        <x:v>System scheduled charge</x:v>
      </x:c>
      <x:c r="K109" s="20" t="str"/>
      <x:c r="L109" s="20" t="str">
        <x:v>RENT-202702-L012</x:v>
      </x:c>
      <x:c r="M109" s="26" t="n">
        <x:v>1050</x:v>
      </x:c>
      <x:c r="N109" s="26" t="n">
        <x:v>1050</x:v>
      </x:c>
      <x:c r="O109" s="26" t="n">
        <x:v>0</x:v>
      </x:c>
      <x:c r="P109" s="26" t="n">
        <x:v>0</x:v>
      </x:c>
      <x:c r="Q109" s="26" t="n">
        <x:v>0</x:v>
      </x:c>
      <x:c r="R109" s="26" t="n">
        <x:v>0</x:v>
      </x:c>
      <x:c r="S109" s="26" t="n">
        <x:v>0</x:v>
      </x:c>
      <x:c r="T109" s="26" t="n">
        <x:v>1050</x:v>
      </x:c>
      <x:c r="U109" s="26" t="n">
        <x:v>0</x:v>
      </x:c>
      <x:c r="V109" s="26" t="n">
        <x:v>0</x:v>
      </x:c>
      <x:c r="W109" s="26" t="n">
        <x:v>0</x:v>
      </x:c>
      <x:c r="X109" s="26" t="n">
        <x:v>0</x:v>
      </x:c>
      <x:c r="Y109" s="26" t="n">
        <x:v>0</x:v>
      </x:c>
      <x:c r="Z109" s="35" t="str">
        <x:v>February 2027 rent</x:v>
      </x:c>
    </x:row>
    <x:row r="110">
      <x:c r="A110" s="20" t="str">
        <x:v>FIN-00107</x:v>
      </x:c>
      <x:c r="B110" s="23" t="n">
        <x:v>46421</x:v>
      </x:c>
      <x:c r="C110" s="23" t="n">
        <x:v>46421</x:v>
      </x:c>
      <x:c r="D110" s="20" t="str">
        <x:v>TenantReceipt</x:v>
      </x:c>
      <x:c r="E110" s="20" t="str">
        <x:v>Rent receipt</x:v>
      </x:c>
      <x:c r="F110" s="20" t="str">
        <x:v>P012</x:v>
      </x:c>
      <x:c r="G110" s="20" t="str">
        <x:v>U012</x:v>
      </x:c>
      <x:c r="H110" s="20" t="str">
        <x:v>L012</x:v>
      </x:c>
      <x:c r="I110" s="20" t="str">
        <x:v>Keira Adams</x:v>
      </x:c>
      <x:c r="J110" s="35" t="str">
        <x:v>Scanned check</x:v>
      </x:c>
      <x:c r="K110" s="20" t="str">
        <x:v>SCN-0114</x:v>
      </x:c>
      <x:c r="L110" s="20" t="str">
        <x:v>PMT-20270203-L012</x:v>
      </x:c>
      <x:c r="M110" s="26" t="n">
        <x:v>1050</x:v>
      </x:c>
      <x:c r="N110" s="26" t="n">
        <x:v>-1050</x:v>
      </x:c>
      <x:c r="O110" s="26" t="n">
        <x:v>1050</x:v>
      </x:c>
      <x:c r="P110" s="26" t="n">
        <x:v>0</x:v>
      </x:c>
      <x:c r="Q110" s="26" t="n">
        <x:v>0</x:v>
      </x:c>
      <x:c r="R110" s="26" t="n">
        <x:v>0</x:v>
      </x:c>
      <x:c r="S110" s="26" t="n">
        <x:v>0</x:v>
      </x:c>
      <x:c r="T110" s="26" t="n">
        <x:v>0</x:v>
      </x:c>
      <x:c r="U110" s="26" t="n">
        <x:v>0</x:v>
      </x:c>
      <x:c r="V110" s="26" t="n">
        <x:v>0</x:v>
      </x:c>
      <x:c r="W110" s="26" t="n">
        <x:v>0</x:v>
      </x:c>
      <x:c r="X110" s="26" t="n">
        <x:v>0</x:v>
      </x:c>
      <x:c r="Y110" s="26" t="n">
        <x:v>0</x:v>
      </x:c>
      <x:c r="Z110" s="35" t="str">
        <x:v>Receipt allocated to FIN-00106</x:v>
      </x:c>
    </x:row>
    <x:row r="111">
      <x:c r="A111" s="20" t="str">
        <x:v>FIN-00108</x:v>
      </x:c>
      <x:c r="B111" s="23" t="n">
        <x:v>46419</x:v>
      </x:c>
      <x:c r="C111" s="23" t="n">
        <x:v>46419</x:v>
      </x:c>
      <x:c r="D111" s="20" t="str">
        <x:v>TenantCharge</x:v>
      </x:c>
      <x:c r="E111" s="20" t="str">
        <x:v>Rent</x:v>
      </x:c>
      <x:c r="F111" s="20" t="str">
        <x:v>P013</x:v>
      </x:c>
      <x:c r="G111" s="20" t="str">
        <x:v>U013</x:v>
      </x:c>
      <x:c r="H111" s="20" t="str">
        <x:v>L013</x:v>
      </x:c>
      <x:c r="I111" s="20" t="str">
        <x:v>Nolan Flores</x:v>
      </x:c>
      <x:c r="J111" s="35" t="str">
        <x:v>System scheduled charge</x:v>
      </x:c>
      <x:c r="K111" s="20" t="str"/>
      <x:c r="L111" s="20" t="str">
        <x:v>RENT-202702-L013</x:v>
      </x:c>
      <x:c r="M111" s="26" t="n">
        <x:v>1575</x:v>
      </x:c>
      <x:c r="N111" s="26" t="n">
        <x:v>1575</x:v>
      </x:c>
      <x:c r="O111" s="26" t="n">
        <x:v>0</x:v>
      </x:c>
      <x:c r="P111" s="26" t="n">
        <x:v>0</x:v>
      </x:c>
      <x:c r="Q111" s="26" t="n">
        <x:v>0</x:v>
      </x:c>
      <x:c r="R111" s="26" t="n">
        <x:v>0</x:v>
      </x:c>
      <x:c r="S111" s="26" t="n">
        <x:v>0</x:v>
      </x:c>
      <x:c r="T111" s="26" t="n">
        <x:v>1575</x:v>
      </x:c>
      <x:c r="U111" s="26" t="n">
        <x:v>0</x:v>
      </x:c>
      <x:c r="V111" s="26" t="n">
        <x:v>0</x:v>
      </x:c>
      <x:c r="W111" s="26" t="n">
        <x:v>0</x:v>
      </x:c>
      <x:c r="X111" s="26" t="n">
        <x:v>0</x:v>
      </x:c>
      <x:c r="Y111" s="26" t="n">
        <x:v>0</x:v>
      </x:c>
      <x:c r="Z111" s="35" t="str">
        <x:v>February 2027 rent</x:v>
      </x:c>
    </x:row>
    <x:row r="112">
      <x:c r="A112" s="20" t="str">
        <x:v>FIN-00109</x:v>
      </x:c>
      <x:c r="B112" s="23" t="n">
        <x:v>46424</x:v>
      </x:c>
      <x:c r="C112" s="23" t="n">
        <x:v>46424</x:v>
      </x:c>
      <x:c r="D112" s="20" t="str">
        <x:v>TenantCharge</x:v>
      </x:c>
      <x:c r="E112" s="20" t="str">
        <x:v>Late fee</x:v>
      </x:c>
      <x:c r="F112" s="20" t="str">
        <x:v>P013</x:v>
      </x:c>
      <x:c r="G112" s="20" t="str">
        <x:v>U013</x:v>
      </x:c>
      <x:c r="H112" s="20" t="str">
        <x:v>L013</x:v>
      </x:c>
      <x:c r="I112" s="20" t="str">
        <x:v>Nolan Flores</x:v>
      </x:c>
      <x:c r="J112" s="35" t="str">
        <x:v>System automation</x:v>
      </x:c>
      <x:c r="K112" s="20" t="str"/>
      <x:c r="L112" s="20" t="str">
        <x:v>LATE-202702-L013</x:v>
      </x:c>
      <x:c r="M112" s="26" t="n">
        <x:v>50</x:v>
      </x:c>
      <x:c r="N112" s="26" t="n">
        <x:v>50</x:v>
      </x:c>
      <x:c r="O112" s="26" t="n">
        <x:v>0</x:v>
      </x:c>
      <x:c r="P112" s="26" t="n">
        <x:v>0</x:v>
      </x:c>
      <x:c r="Q112" s="26" t="n">
        <x:v>0</x:v>
      </x:c>
      <x:c r="R112" s="26" t="n">
        <x:v>0</x:v>
      </x:c>
      <x:c r="S112" s="26" t="n">
        <x:v>0</x:v>
      </x:c>
      <x:c r="T112" s="26" t="n">
        <x:v>50</x:v>
      </x:c>
      <x:c r="U112" s="26" t="n">
        <x:v>0</x:v>
      </x:c>
      <x:c r="V112" s="26" t="n">
        <x:v>0</x:v>
      </x:c>
      <x:c r="W112" s="26" t="n">
        <x:v>0</x:v>
      </x:c>
      <x:c r="X112" s="26" t="n">
        <x:v>0</x:v>
      </x:c>
      <x:c r="Y112" s="26" t="n">
        <x:v>0</x:v>
      </x:c>
      <x:c r="Z112" s="35" t="str">
        <x:v>Synthetic lease-authorized late fee</x:v>
      </x:c>
    </x:row>
    <x:row r="113">
      <x:c r="A113" s="20" t="str">
        <x:v>FIN-00110</x:v>
      </x:c>
      <x:c r="B113" s="23" t="n">
        <x:v>46426</x:v>
      </x:c>
      <x:c r="C113" s="23" t="n">
        <x:v>46426</x:v>
      </x:c>
      <x:c r="D113" s="20" t="str">
        <x:v>TenantReceipt</x:v>
      </x:c>
      <x:c r="E113" s="20" t="str">
        <x:v>Rent receipt</x:v>
      </x:c>
      <x:c r="F113" s="20" t="str">
        <x:v>P013</x:v>
      </x:c>
      <x:c r="G113" s="20" t="str">
        <x:v>U013</x:v>
      </x:c>
      <x:c r="H113" s="20" t="str">
        <x:v>L013</x:v>
      </x:c>
      <x:c r="I113" s="20" t="str">
        <x:v>Nolan Flores</x:v>
      </x:c>
      <x:c r="J113" s="35" t="str">
        <x:v>Scanned check</x:v>
      </x:c>
      <x:c r="K113" s="20" t="str">
        <x:v>SCN-0115</x:v>
      </x:c>
      <x:c r="L113" s="20" t="str">
        <x:v>PMT-20270208-L013</x:v>
      </x:c>
      <x:c r="M113" s="26" t="n">
        <x:v>1625</x:v>
      </x:c>
      <x:c r="N113" s="26" t="n">
        <x:v>-1625</x:v>
      </x:c>
      <x:c r="O113" s="26" t="n">
        <x:v>1625</x:v>
      </x:c>
      <x:c r="P113" s="26" t="n">
        <x:v>0</x:v>
      </x:c>
      <x:c r="Q113" s="26" t="n">
        <x:v>0</x:v>
      </x:c>
      <x:c r="R113" s="26" t="n">
        <x:v>0</x:v>
      </x:c>
      <x:c r="S113" s="26" t="n">
        <x:v>0</x:v>
      </x:c>
      <x:c r="T113" s="26" t="n">
        <x:v>0</x:v>
      </x:c>
      <x:c r="U113" s="26" t="n">
        <x:v>0</x:v>
      </x:c>
      <x:c r="V113" s="26" t="n">
        <x:v>0</x:v>
      </x:c>
      <x:c r="W113" s="26" t="n">
        <x:v>0</x:v>
      </x:c>
      <x:c r="X113" s="26" t="n">
        <x:v>0</x:v>
      </x:c>
      <x:c r="Y113" s="26" t="n">
        <x:v>0</x:v>
      </x:c>
      <x:c r="Z113" s="35" t="str">
        <x:v>Receipt allocated to FIN-00109</x:v>
      </x:c>
    </x:row>
    <x:row r="114">
      <x:c r="A114" s="20" t="str">
        <x:v>FIN-00111</x:v>
      </x:c>
      <x:c r="B114" s="23" t="n">
        <x:v>46419</x:v>
      </x:c>
      <x:c r="C114" s="23" t="n">
        <x:v>46419</x:v>
      </x:c>
      <x:c r="D114" s="20" t="str">
        <x:v>TenantCharge</x:v>
      </x:c>
      <x:c r="E114" s="20" t="str">
        <x:v>Rent</x:v>
      </x:c>
      <x:c r="F114" s="20" t="str">
        <x:v>P014</x:v>
      </x:c>
      <x:c r="G114" s="20" t="str">
        <x:v>U014</x:v>
      </x:c>
      <x:c r="H114" s="20" t="str">
        <x:v>L014</x:v>
      </x:c>
      <x:c r="I114" s="20" t="str">
        <x:v>Rina King</x:v>
      </x:c>
      <x:c r="J114" s="35" t="str">
        <x:v>System scheduled charge</x:v>
      </x:c>
      <x:c r="K114" s="20" t="str"/>
      <x:c r="L114" s="20" t="str">
        <x:v>RENT-202702-L014</x:v>
      </x:c>
      <x:c r="M114" s="26" t="n">
        <x:v>1200</x:v>
      </x:c>
      <x:c r="N114" s="26" t="n">
        <x:v>1200</x:v>
      </x:c>
      <x:c r="O114" s="26" t="n">
        <x:v>0</x:v>
      </x:c>
      <x:c r="P114" s="26" t="n">
        <x:v>0</x:v>
      </x:c>
      <x:c r="Q114" s="26" t="n">
        <x:v>0</x:v>
      </x:c>
      <x:c r="R114" s="26" t="n">
        <x:v>0</x:v>
      </x:c>
      <x:c r="S114" s="26" t="n">
        <x:v>0</x:v>
      </x:c>
      <x:c r="T114" s="26" t="n">
        <x:v>1200</x:v>
      </x:c>
      <x:c r="U114" s="26" t="n">
        <x:v>0</x:v>
      </x:c>
      <x:c r="V114" s="26" t="n">
        <x:v>0</x:v>
      </x:c>
      <x:c r="W114" s="26" t="n">
        <x:v>0</x:v>
      </x:c>
      <x:c r="X114" s="26" t="n">
        <x:v>0</x:v>
      </x:c>
      <x:c r="Y114" s="26" t="n">
        <x:v>0</x:v>
      </x:c>
      <x:c r="Z114" s="35" t="str">
        <x:v>February 2027 rent</x:v>
      </x:c>
    </x:row>
    <x:row r="115">
      <x:c r="A115" s="20" t="str">
        <x:v>FIN-00112</x:v>
      </x:c>
      <x:c r="B115" s="23" t="n">
        <x:v>46423</x:v>
      </x:c>
      <x:c r="C115" s="23" t="n">
        <x:v>46423</x:v>
      </x:c>
      <x:c r="D115" s="20" t="str">
        <x:v>TenantReceipt</x:v>
      </x:c>
      <x:c r="E115" s="20" t="str">
        <x:v>Rent receipt</x:v>
      </x:c>
      <x:c r="F115" s="20" t="str">
        <x:v>P014</x:v>
      </x:c>
      <x:c r="G115" s="20" t="str">
        <x:v>U014</x:v>
      </x:c>
      <x:c r="H115" s="20" t="str">
        <x:v>L014</x:v>
      </x:c>
      <x:c r="I115" s="20" t="str">
        <x:v>Rina King</x:v>
      </x:c>
      <x:c r="J115" s="35" t="str">
        <x:v>Manual ACH</x:v>
      </x:c>
      <x:c r="K115" s="20" t="str"/>
      <x:c r="L115" s="20" t="str">
        <x:v>PMT-20270205-L014</x:v>
      </x:c>
      <x:c r="M115" s="26" t="n">
        <x:v>1200</x:v>
      </x:c>
      <x:c r="N115" s="26" t="n">
        <x:v>-1200</x:v>
      </x:c>
      <x:c r="O115" s="26" t="n">
        <x:v>1200</x:v>
      </x:c>
      <x:c r="P115" s="26" t="n">
        <x:v>0</x:v>
      </x:c>
      <x:c r="Q115" s="26" t="n">
        <x:v>0</x:v>
      </x:c>
      <x:c r="R115" s="26" t="n">
        <x:v>0</x:v>
      </x:c>
      <x:c r="S115" s="26" t="n">
        <x:v>0</x:v>
      </x:c>
      <x:c r="T115" s="26" t="n">
        <x:v>0</x:v>
      </x:c>
      <x:c r="U115" s="26" t="n">
        <x:v>0</x:v>
      </x:c>
      <x:c r="V115" s="26" t="n">
        <x:v>0</x:v>
      </x:c>
      <x:c r="W115" s="26" t="n">
        <x:v>0</x:v>
      </x:c>
      <x:c r="X115" s="26" t="n">
        <x:v>0</x:v>
      </x:c>
      <x:c r="Y115" s="26" t="n">
        <x:v>0</x:v>
      </x:c>
      <x:c r="Z115" s="35" t="str">
        <x:v>Receipt allocated to FIN-00111</x:v>
      </x:c>
    </x:row>
    <x:row r="116">
      <x:c r="A116" s="20" t="str">
        <x:v>FIN-00113</x:v>
      </x:c>
      <x:c r="B116" s="23" t="n">
        <x:v>46419</x:v>
      </x:c>
      <x:c r="C116" s="23" t="n">
        <x:v>46419</x:v>
      </x:c>
      <x:c r="D116" s="20" t="str">
        <x:v>TenantCharge</x:v>
      </x:c>
      <x:c r="E116" s="20" t="str">
        <x:v>Rent</x:v>
      </x:c>
      <x:c r="F116" s="20" t="str">
        <x:v>P015</x:v>
      </x:c>
      <x:c r="G116" s="20" t="str">
        <x:v>U015</x:v>
      </x:c>
      <x:c r="H116" s="20" t="str">
        <x:v>L015</x:v>
      </x:c>
      <x:c r="I116" s="20" t="str">
        <x:v>Uri Price</x:v>
      </x:c>
      <x:c r="J116" s="35" t="str">
        <x:v>System scheduled charge</x:v>
      </x:c>
      <x:c r="K116" s="20" t="str"/>
      <x:c r="L116" s="20" t="str">
        <x:v>RENT-202702-L015</x:v>
      </x:c>
      <x:c r="M116" s="26" t="n">
        <x:v>1725</x:v>
      </x:c>
      <x:c r="N116" s="26" t="n">
        <x:v>1725</x:v>
      </x:c>
      <x:c r="O116" s="26" t="n">
        <x:v>0</x:v>
      </x:c>
      <x:c r="P116" s="26" t="n">
        <x:v>0</x:v>
      </x:c>
      <x:c r="Q116" s="26" t="n">
        <x:v>0</x:v>
      </x:c>
      <x:c r="R116" s="26" t="n">
        <x:v>0</x:v>
      </x:c>
      <x:c r="S116" s="26" t="n">
        <x:v>0</x:v>
      </x:c>
      <x:c r="T116" s="26" t="n">
        <x:v>1725</x:v>
      </x:c>
      <x:c r="U116" s="26" t="n">
        <x:v>0</x:v>
      </x:c>
      <x:c r="V116" s="26" t="n">
        <x:v>0</x:v>
      </x:c>
      <x:c r="W116" s="26" t="n">
        <x:v>0</x:v>
      </x:c>
      <x:c r="X116" s="26" t="n">
        <x:v>0</x:v>
      </x:c>
      <x:c r="Y116" s="26" t="n">
        <x:v>0</x:v>
      </x:c>
      <x:c r="Z116" s="35" t="str">
        <x:v>February 2027 rent</x:v>
      </x:c>
    </x:row>
    <x:row r="117">
      <x:c r="A117" s="20" t="str">
        <x:v>FIN-00114</x:v>
      </x:c>
      <x:c r="B117" s="23" t="n">
        <x:v>46421</x:v>
      </x:c>
      <x:c r="C117" s="23" t="n">
        <x:v>46421</x:v>
      </x:c>
      <x:c r="D117" s="20" t="str">
        <x:v>TenantReceipt</x:v>
      </x:c>
      <x:c r="E117" s="20" t="str">
        <x:v>Rent receipt</x:v>
      </x:c>
      <x:c r="F117" s="20" t="str">
        <x:v>P015</x:v>
      </x:c>
      <x:c r="G117" s="20" t="str">
        <x:v>U015</x:v>
      </x:c>
      <x:c r="H117" s="20" t="str">
        <x:v>L015</x:v>
      </x:c>
      <x:c r="I117" s="20" t="str">
        <x:v>Uri Price</x:v>
      </x:c>
      <x:c r="J117" s="35" t="str">
        <x:v>Portal card</x:v>
      </x:c>
      <x:c r="K117" s="20" t="str"/>
      <x:c r="L117" s="20" t="str">
        <x:v>PMT-20270203-L015</x:v>
      </x:c>
      <x:c r="M117" s="26" t="n">
        <x:v>1725</x:v>
      </x:c>
      <x:c r="N117" s="26" t="n">
        <x:v>-1725</x:v>
      </x:c>
      <x:c r="O117" s="26" t="n">
        <x:v>1725</x:v>
      </x:c>
      <x:c r="P117" s="26" t="n">
        <x:v>0</x:v>
      </x:c>
      <x:c r="Q117" s="26" t="n">
        <x:v>0</x:v>
      </x:c>
      <x:c r="R117" s="26" t="n">
        <x:v>0</x:v>
      </x:c>
      <x:c r="S117" s="26" t="n">
        <x:v>0</x:v>
      </x:c>
      <x:c r="T117" s="26" t="n">
        <x:v>0</x:v>
      </x:c>
      <x:c r="U117" s="26" t="n">
        <x:v>0</x:v>
      </x:c>
      <x:c r="V117" s="26" t="n">
        <x:v>0</x:v>
      </x:c>
      <x:c r="W117" s="26" t="n">
        <x:v>0</x:v>
      </x:c>
      <x:c r="X117" s="26" t="n">
        <x:v>0</x:v>
      </x:c>
      <x:c r="Y117" s="26" t="n">
        <x:v>0</x:v>
      </x:c>
      <x:c r="Z117" s="35" t="str">
        <x:v>Receipt allocated to FIN-00113</x:v>
      </x:c>
    </x:row>
    <x:row r="118">
      <x:c r="A118" s="20" t="str">
        <x:v>FIN-00115</x:v>
      </x:c>
      <x:c r="B118" s="23" t="n">
        <x:v>46419</x:v>
      </x:c>
      <x:c r="C118" s="23" t="n">
        <x:v>46419</x:v>
      </x:c>
      <x:c r="D118" s="20" t="str">
        <x:v>TenantCharge</x:v>
      </x:c>
      <x:c r="E118" s="20" t="str">
        <x:v>Rent</x:v>
      </x:c>
      <x:c r="F118" s="20" t="str">
        <x:v>P016</x:v>
      </x:c>
      <x:c r="G118" s="20" t="str">
        <x:v>U016</x:v>
      </x:c>
      <x:c r="H118" s="20" t="str">
        <x:v>L016</x:v>
      </x:c>
      <x:c r="I118" s="20" t="str">
        <x:v>Avery Brooks</x:v>
      </x:c>
      <x:c r="J118" s="35" t="str">
        <x:v>System scheduled charge</x:v>
      </x:c>
      <x:c r="K118" s="20" t="str"/>
      <x:c r="L118" s="20" t="str">
        <x:v>RENT-202702-L016</x:v>
      </x:c>
      <x:c r="M118" s="26" t="n">
        <x:v>1350</x:v>
      </x:c>
      <x:c r="N118" s="26" t="n">
        <x:v>1350</x:v>
      </x:c>
      <x:c r="O118" s="26" t="n">
        <x:v>0</x:v>
      </x:c>
      <x:c r="P118" s="26" t="n">
        <x:v>0</x:v>
      </x:c>
      <x:c r="Q118" s="26" t="n">
        <x:v>0</x:v>
      </x:c>
      <x:c r="R118" s="26" t="n">
        <x:v>0</x:v>
      </x:c>
      <x:c r="S118" s="26" t="n">
        <x:v>0</x:v>
      </x:c>
      <x:c r="T118" s="26" t="n">
        <x:v>1350</x:v>
      </x:c>
      <x:c r="U118" s="26" t="n">
        <x:v>0</x:v>
      </x:c>
      <x:c r="V118" s="26" t="n">
        <x:v>0</x:v>
      </x:c>
      <x:c r="W118" s="26" t="n">
        <x:v>0</x:v>
      </x:c>
      <x:c r="X118" s="26" t="n">
        <x:v>0</x:v>
      </x:c>
      <x:c r="Y118" s="26" t="n">
        <x:v>0</x:v>
      </x:c>
      <x:c r="Z118" s="35" t="str">
        <x:v>February 2027 rent</x:v>
      </x:c>
    </x:row>
    <x:row r="119">
      <x:c r="A119" s="20" t="str">
        <x:v>FIN-00116</x:v>
      </x:c>
      <x:c r="B119" s="23" t="n">
        <x:v>46422</x:v>
      </x:c>
      <x:c r="C119" s="23" t="n">
        <x:v>46422</x:v>
      </x:c>
      <x:c r="D119" s="20" t="str">
        <x:v>TenantReceipt</x:v>
      </x:c>
      <x:c r="E119" s="20" t="str">
        <x:v>Rent receipt</x:v>
      </x:c>
      <x:c r="F119" s="20" t="str">
        <x:v>P016</x:v>
      </x:c>
      <x:c r="G119" s="20" t="str">
        <x:v>U016</x:v>
      </x:c>
      <x:c r="H119" s="20" t="str">
        <x:v>L016</x:v>
      </x:c>
      <x:c r="I119" s="20" t="str">
        <x:v>Avery Brooks</x:v>
      </x:c>
      <x:c r="J119" s="35" t="str">
        <x:v>Scanned check</x:v>
      </x:c>
      <x:c r="K119" s="20" t="str">
        <x:v>SCN-0116</x:v>
      </x:c>
      <x:c r="L119" s="20" t="str">
        <x:v>PMT-20270204-L016</x:v>
      </x:c>
      <x:c r="M119" s="26" t="n">
        <x:v>1350</x:v>
      </x:c>
      <x:c r="N119" s="26" t="n">
        <x:v>-1350</x:v>
      </x:c>
      <x:c r="O119" s="26" t="n">
        <x:v>1350</x:v>
      </x:c>
      <x:c r="P119" s="26" t="n">
        <x:v>0</x:v>
      </x:c>
      <x:c r="Q119" s="26" t="n">
        <x:v>0</x:v>
      </x:c>
      <x:c r="R119" s="26" t="n">
        <x:v>0</x:v>
      </x:c>
      <x:c r="S119" s="26" t="n">
        <x:v>0</x:v>
      </x:c>
      <x:c r="T119" s="26" t="n">
        <x:v>0</x:v>
      </x:c>
      <x:c r="U119" s="26" t="n">
        <x:v>0</x:v>
      </x:c>
      <x:c r="V119" s="26" t="n">
        <x:v>0</x:v>
      </x:c>
      <x:c r="W119" s="26" t="n">
        <x:v>0</x:v>
      </x:c>
      <x:c r="X119" s="26" t="n">
        <x:v>0</x:v>
      </x:c>
      <x:c r="Y119" s="26" t="n">
        <x:v>0</x:v>
      </x:c>
      <x:c r="Z119" s="35" t="str">
        <x:v>Receipt allocated to FIN-00115</x:v>
      </x:c>
    </x:row>
    <x:row r="120">
      <x:c r="A120" s="20" t="str">
        <x:v>FIN-00117</x:v>
      </x:c>
      <x:c r="B120" s="23" t="n">
        <x:v>46419</x:v>
      </x:c>
      <x:c r="C120" s="23" t="n">
        <x:v>46419</x:v>
      </x:c>
      <x:c r="D120" s="20" t="str">
        <x:v>TenantCharge</x:v>
      </x:c>
      <x:c r="E120" s="20" t="str">
        <x:v>Rent</x:v>
      </x:c>
      <x:c r="F120" s="20" t="str">
        <x:v>P017</x:v>
      </x:c>
      <x:c r="G120" s="20" t="str">
        <x:v>U017</x:v>
      </x:c>
      <x:c r="H120" s="20" t="str">
        <x:v>L017</x:v>
      </x:c>
      <x:c r="I120" s="20" t="str">
        <x:v>Dana Garcia</x:v>
      </x:c>
      <x:c r="J120" s="35" t="str">
        <x:v>System scheduled charge</x:v>
      </x:c>
      <x:c r="K120" s="20" t="str"/>
      <x:c r="L120" s="20" t="str">
        <x:v>RENT-202702-L017</x:v>
      </x:c>
      <x:c r="M120" s="26" t="n">
        <x:v>1875</x:v>
      </x:c>
      <x:c r="N120" s="26" t="n">
        <x:v>1875</x:v>
      </x:c>
      <x:c r="O120" s="26" t="n">
        <x:v>0</x:v>
      </x:c>
      <x:c r="P120" s="26" t="n">
        <x:v>0</x:v>
      </x:c>
      <x:c r="Q120" s="26" t="n">
        <x:v>0</x:v>
      </x:c>
      <x:c r="R120" s="26" t="n">
        <x:v>0</x:v>
      </x:c>
      <x:c r="S120" s="26" t="n">
        <x:v>0</x:v>
      </x:c>
      <x:c r="T120" s="26" t="n">
        <x:v>1875</x:v>
      </x:c>
      <x:c r="U120" s="26" t="n">
        <x:v>0</x:v>
      </x:c>
      <x:c r="V120" s="26" t="n">
        <x:v>0</x:v>
      </x:c>
      <x:c r="W120" s="26" t="n">
        <x:v>0</x:v>
      </x:c>
      <x:c r="X120" s="26" t="n">
        <x:v>0</x:v>
      </x:c>
      <x:c r="Y120" s="26" t="n">
        <x:v>0</x:v>
      </x:c>
      <x:c r="Z120" s="35" t="str">
        <x:v>February 2027 rent</x:v>
      </x:c>
    </x:row>
    <x:row r="121">
      <x:c r="A121" s="20" t="str">
        <x:v>FIN-00118</x:v>
      </x:c>
      <x:c r="B121" s="23" t="n">
        <x:v>46423</x:v>
      </x:c>
      <x:c r="C121" s="23" t="n">
        <x:v>46423</x:v>
      </x:c>
      <x:c r="D121" s="20" t="str">
        <x:v>TenantReceipt</x:v>
      </x:c>
      <x:c r="E121" s="20" t="str">
        <x:v>Rent receipt</x:v>
      </x:c>
      <x:c r="F121" s="20" t="str">
        <x:v>P017</x:v>
      </x:c>
      <x:c r="G121" s="20" t="str">
        <x:v>U017</x:v>
      </x:c>
      <x:c r="H121" s="20" t="str">
        <x:v>L017</x:v>
      </x:c>
      <x:c r="I121" s="20" t="str">
        <x:v>Dana Garcia</x:v>
      </x:c>
      <x:c r="J121" s="35" t="str">
        <x:v>Scanned money order</x:v>
      </x:c>
      <x:c r="K121" s="20" t="str">
        <x:v>SCN-0117</x:v>
      </x:c>
      <x:c r="L121" s="20" t="str">
        <x:v>PMT-20270205-L017</x:v>
      </x:c>
      <x:c r="M121" s="26" t="n">
        <x:v>1875</x:v>
      </x:c>
      <x:c r="N121" s="26" t="n">
        <x:v>-1875</x:v>
      </x:c>
      <x:c r="O121" s="26" t="n">
        <x:v>1875</x:v>
      </x:c>
      <x:c r="P121" s="26" t="n">
        <x:v>0</x:v>
      </x:c>
      <x:c r="Q121" s="26" t="n">
        <x:v>0</x:v>
      </x:c>
      <x:c r="R121" s="26" t="n">
        <x:v>0</x:v>
      </x:c>
      <x:c r="S121" s="26" t="n">
        <x:v>0</x:v>
      </x:c>
      <x:c r="T121" s="26" t="n">
        <x:v>0</x:v>
      </x:c>
      <x:c r="U121" s="26" t="n">
        <x:v>0</x:v>
      </x:c>
      <x:c r="V121" s="26" t="n">
        <x:v>0</x:v>
      </x:c>
      <x:c r="W121" s="26" t="n">
        <x:v>0</x:v>
      </x:c>
      <x:c r="X121" s="26" t="n">
        <x:v>0</x:v>
      </x:c>
      <x:c r="Y121" s="26" t="n">
        <x:v>0</x:v>
      </x:c>
      <x:c r="Z121" s="35" t="str">
        <x:v>Receipt allocated to FIN-00117</x:v>
      </x:c>
    </x:row>
    <x:row r="122">
      <x:c r="A122" s="20" t="str">
        <x:v>FIN-00119</x:v>
      </x:c>
      <x:c r="B122" s="23" t="n">
        <x:v>46419</x:v>
      </x:c>
      <x:c r="C122" s="23" t="n">
        <x:v>46419</x:v>
      </x:c>
      <x:c r="D122" s="20" t="str">
        <x:v>TenantCharge</x:v>
      </x:c>
      <x:c r="E122" s="20" t="str">
        <x:v>Rent</x:v>
      </x:c>
      <x:c r="F122" s="20" t="str">
        <x:v>P018</x:v>
      </x:c>
      <x:c r="G122" s="20" t="str">
        <x:v>U018</x:v>
      </x:c>
      <x:c r="H122" s="20" t="str">
        <x:v>L018</x:v>
      </x:c>
      <x:c r="I122" s="20" t="str">
        <x:v>Gray Lewis</x:v>
      </x:c>
      <x:c r="J122" s="35" t="str">
        <x:v>System scheduled charge</x:v>
      </x:c>
      <x:c r="K122" s="20" t="str"/>
      <x:c r="L122" s="20" t="str">
        <x:v>RENT-202702-L018</x:v>
      </x:c>
      <x:c r="M122" s="26" t="n">
        <x:v>1500</x:v>
      </x:c>
      <x:c r="N122" s="26" t="n">
        <x:v>1500</x:v>
      </x:c>
      <x:c r="O122" s="26" t="n">
        <x:v>0</x:v>
      </x:c>
      <x:c r="P122" s="26" t="n">
        <x:v>0</x:v>
      </x:c>
      <x:c r="Q122" s="26" t="n">
        <x:v>0</x:v>
      </x:c>
      <x:c r="R122" s="26" t="n">
        <x:v>0</x:v>
      </x:c>
      <x:c r="S122" s="26" t="n">
        <x:v>0</x:v>
      </x:c>
      <x:c r="T122" s="26" t="n">
        <x:v>1500</x:v>
      </x:c>
      <x:c r="U122" s="26" t="n">
        <x:v>0</x:v>
      </x:c>
      <x:c r="V122" s="26" t="n">
        <x:v>0</x:v>
      </x:c>
      <x:c r="W122" s="26" t="n">
        <x:v>0</x:v>
      </x:c>
      <x:c r="X122" s="26" t="n">
        <x:v>0</x:v>
      </x:c>
      <x:c r="Y122" s="26" t="n">
        <x:v>0</x:v>
      </x:c>
      <x:c r="Z122" s="35" t="str">
        <x:v>February 2027 rent</x:v>
      </x:c>
    </x:row>
    <x:row r="123">
      <x:c r="A123" s="20" t="str">
        <x:v>FIN-00120</x:v>
      </x:c>
      <x:c r="B123" s="23" t="n">
        <x:v>46421</x:v>
      </x:c>
      <x:c r="C123" s="23" t="n">
        <x:v>46421</x:v>
      </x:c>
      <x:c r="D123" s="20" t="str">
        <x:v>TenantReceipt</x:v>
      </x:c>
      <x:c r="E123" s="20" t="str">
        <x:v>Rent receipt</x:v>
      </x:c>
      <x:c r="F123" s="20" t="str">
        <x:v>P018</x:v>
      </x:c>
      <x:c r="G123" s="20" t="str">
        <x:v>U018</x:v>
      </x:c>
      <x:c r="H123" s="20" t="str">
        <x:v>L018</x:v>
      </x:c>
      <x:c r="I123" s="20" t="str">
        <x:v>Gray Lewis</x:v>
      </x:c>
      <x:c r="J123" s="35" t="str">
        <x:v>Manual ACH</x:v>
      </x:c>
      <x:c r="K123" s="20" t="str"/>
      <x:c r="L123" s="20" t="str">
        <x:v>PMT-20270203-L018</x:v>
      </x:c>
      <x:c r="M123" s="26" t="n">
        <x:v>1500</x:v>
      </x:c>
      <x:c r="N123" s="26" t="n">
        <x:v>-1500</x:v>
      </x:c>
      <x:c r="O123" s="26" t="n">
        <x:v>1500</x:v>
      </x:c>
      <x:c r="P123" s="26" t="n">
        <x:v>0</x:v>
      </x:c>
      <x:c r="Q123" s="26" t="n">
        <x:v>0</x:v>
      </x:c>
      <x:c r="R123" s="26" t="n">
        <x:v>0</x:v>
      </x:c>
      <x:c r="S123" s="26" t="n">
        <x:v>0</x:v>
      </x:c>
      <x:c r="T123" s="26" t="n">
        <x:v>0</x:v>
      </x:c>
      <x:c r="U123" s="26" t="n">
        <x:v>0</x:v>
      </x:c>
      <x:c r="V123" s="26" t="n">
        <x:v>0</x:v>
      </x:c>
      <x:c r="W123" s="26" t="n">
        <x:v>0</x:v>
      </x:c>
      <x:c r="X123" s="26" t="n">
        <x:v>0</x:v>
      </x:c>
      <x:c r="Y123" s="26" t="n">
        <x:v>0</x:v>
      </x:c>
      <x:c r="Z123" s="35" t="str">
        <x:v>Receipt allocated to FIN-00119</x:v>
      </x:c>
    </x:row>
    <x:row r="124">
      <x:c r="A124" s="20" t="str">
        <x:v>FIN-00121</x:v>
      </x:c>
      <x:c r="B124" s="23" t="n">
        <x:v>46419</x:v>
      </x:c>
      <x:c r="C124" s="23" t="n">
        <x:v>46419</x:v>
      </x:c>
      <x:c r="D124" s="20" t="str">
        <x:v>TenantCharge</x:v>
      </x:c>
      <x:c r="E124" s="20" t="str">
        <x:v>Rent</x:v>
      </x:c>
      <x:c r="F124" s="20" t="str">
        <x:v>P019</x:v>
      </x:c>
      <x:c r="G124" s="20" t="str">
        <x:v>U019</x:v>
      </x:c>
      <x:c r="H124" s="20" t="str">
        <x:v>L019</x:v>
      </x:c>
      <x:c r="I124" s="20" t="str">
        <x:v>Jordan Reed</x:v>
      </x:c>
      <x:c r="J124" s="35" t="str">
        <x:v>System scheduled charge</x:v>
      </x:c>
      <x:c r="K124" s="20" t="str"/>
      <x:c r="L124" s="20" t="str">
        <x:v>RENT-202702-L019</x:v>
      </x:c>
      <x:c r="M124" s="26" t="n">
        <x:v>1125</x:v>
      </x:c>
      <x:c r="N124" s="26" t="n">
        <x:v>1125</x:v>
      </x:c>
      <x:c r="O124" s="26" t="n">
        <x:v>0</x:v>
      </x:c>
      <x:c r="P124" s="26" t="n">
        <x:v>0</x:v>
      </x:c>
      <x:c r="Q124" s="26" t="n">
        <x:v>0</x:v>
      </x:c>
      <x:c r="R124" s="26" t="n">
        <x:v>0</x:v>
      </x:c>
      <x:c r="S124" s="26" t="n">
        <x:v>0</x:v>
      </x:c>
      <x:c r="T124" s="26" t="n">
        <x:v>1125</x:v>
      </x:c>
      <x:c r="U124" s="26" t="n">
        <x:v>0</x:v>
      </x:c>
      <x:c r="V124" s="26" t="n">
        <x:v>0</x:v>
      </x:c>
      <x:c r="W124" s="26" t="n">
        <x:v>0</x:v>
      </x:c>
      <x:c r="X124" s="26" t="n">
        <x:v>0</x:v>
      </x:c>
      <x:c r="Y124" s="26" t="n">
        <x:v>0</x:v>
      </x:c>
      <x:c r="Z124" s="35" t="str">
        <x:v>February 2027 rent</x:v>
      </x:c>
    </x:row>
    <x:row r="125">
      <x:c r="A125" s="20" t="str">
        <x:v>FIN-00122</x:v>
      </x:c>
      <x:c r="B125" s="23" t="n">
        <x:v>46422</x:v>
      </x:c>
      <x:c r="C125" s="23" t="n">
        <x:v>46422</x:v>
      </x:c>
      <x:c r="D125" s="20" t="str">
        <x:v>TenantReceipt</x:v>
      </x:c>
      <x:c r="E125" s="20" t="str">
        <x:v>Rent receipt</x:v>
      </x:c>
      <x:c r="F125" s="20" t="str">
        <x:v>P019</x:v>
      </x:c>
      <x:c r="G125" s="20" t="str">
        <x:v>U019</x:v>
      </x:c>
      <x:c r="H125" s="20" t="str">
        <x:v>L019</x:v>
      </x:c>
      <x:c r="I125" s="20" t="str">
        <x:v>Jordan Reed</x:v>
      </x:c>
      <x:c r="J125" s="35" t="str">
        <x:v>Portal card</x:v>
      </x:c>
      <x:c r="K125" s="20" t="str"/>
      <x:c r="L125" s="20" t="str">
        <x:v>PMT-20270204-L019</x:v>
      </x:c>
      <x:c r="M125" s="26" t="n">
        <x:v>1125</x:v>
      </x:c>
      <x:c r="N125" s="26" t="n">
        <x:v>-1125</x:v>
      </x:c>
      <x:c r="O125" s="26" t="n">
        <x:v>1125</x:v>
      </x:c>
      <x:c r="P125" s="26" t="n">
        <x:v>0</x:v>
      </x:c>
      <x:c r="Q125" s="26" t="n">
        <x:v>0</x:v>
      </x:c>
      <x:c r="R125" s="26" t="n">
        <x:v>0</x:v>
      </x:c>
      <x:c r="S125" s="26" t="n">
        <x:v>0</x:v>
      </x:c>
      <x:c r="T125" s="26" t="n">
        <x:v>0</x:v>
      </x:c>
      <x:c r="U125" s="26" t="n">
        <x:v>0</x:v>
      </x:c>
      <x:c r="V125" s="26" t="n">
        <x:v>0</x:v>
      </x:c>
      <x:c r="W125" s="26" t="n">
        <x:v>0</x:v>
      </x:c>
      <x:c r="X125" s="26" t="n">
        <x:v>0</x:v>
      </x:c>
      <x:c r="Y125" s="26" t="n">
        <x:v>0</x:v>
      </x:c>
      <x:c r="Z125" s="35" t="str">
        <x:v>Receipt allocated to FIN-00121</x:v>
      </x:c>
    </x:row>
    <x:row r="126">
      <x:c r="A126" s="20" t="str">
        <x:v>FIN-00123</x:v>
      </x:c>
      <x:c r="B126" s="23" t="n">
        <x:v>46419</x:v>
      </x:c>
      <x:c r="C126" s="23" t="n">
        <x:v>46419</x:v>
      </x:c>
      <x:c r="D126" s="20" t="str">
        <x:v>TenantCharge</x:v>
      </x:c>
      <x:c r="E126" s="20" t="str">
        <x:v>Rent</x:v>
      </x:c>
      <x:c r="F126" s="20" t="str">
        <x:v>P020</x:v>
      </x:c>
      <x:c r="G126" s="20" t="str">
        <x:v>U020</x:v>
      </x:c>
      <x:c r="H126" s="20" t="str">
        <x:v>L020</x:v>
      </x:c>
      <x:c r="I126" s="20" t="str">
        <x:v>Morgan Adams</x:v>
      </x:c>
      <x:c r="J126" s="35" t="str">
        <x:v>System scheduled charge</x:v>
      </x:c>
      <x:c r="K126" s="20" t="str"/>
      <x:c r="L126" s="20" t="str">
        <x:v>RENT-202702-L020</x:v>
      </x:c>
      <x:c r="M126" s="26" t="n">
        <x:v>1650</x:v>
      </x:c>
      <x:c r="N126" s="26" t="n">
        <x:v>1650</x:v>
      </x:c>
      <x:c r="O126" s="26" t="n">
        <x:v>0</x:v>
      </x:c>
      <x:c r="P126" s="26" t="n">
        <x:v>0</x:v>
      </x:c>
      <x:c r="Q126" s="26" t="n">
        <x:v>0</x:v>
      </x:c>
      <x:c r="R126" s="26" t="n">
        <x:v>0</x:v>
      </x:c>
      <x:c r="S126" s="26" t="n">
        <x:v>0</x:v>
      </x:c>
      <x:c r="T126" s="26" t="n">
        <x:v>1650</x:v>
      </x:c>
      <x:c r="U126" s="26" t="n">
        <x:v>0</x:v>
      </x:c>
      <x:c r="V126" s="26" t="n">
        <x:v>0</x:v>
      </x:c>
      <x:c r="W126" s="26" t="n">
        <x:v>0</x:v>
      </x:c>
      <x:c r="X126" s="26" t="n">
        <x:v>0</x:v>
      </x:c>
      <x:c r="Y126" s="26" t="n">
        <x:v>0</x:v>
      </x:c>
      <x:c r="Z126" s="35" t="str">
        <x:v>February 2027 rent</x:v>
      </x:c>
    </x:row>
    <x:row r="127">
      <x:c r="A127" s="20" t="str">
        <x:v>FIN-00124</x:v>
      </x:c>
      <x:c r="B127" s="23" t="n">
        <x:v>46423</x:v>
      </x:c>
      <x:c r="C127" s="23" t="n">
        <x:v>46423</x:v>
      </x:c>
      <x:c r="D127" s="20" t="str">
        <x:v>TenantReceipt</x:v>
      </x:c>
      <x:c r="E127" s="20" t="str">
        <x:v>Rent receipt</x:v>
      </x:c>
      <x:c r="F127" s="20" t="str">
        <x:v>P020</x:v>
      </x:c>
      <x:c r="G127" s="20" t="str">
        <x:v>U020</x:v>
      </x:c>
      <x:c r="H127" s="20" t="str">
        <x:v>L020</x:v>
      </x:c>
      <x:c r="I127" s="20" t="str">
        <x:v>Morgan Adams</x:v>
      </x:c>
      <x:c r="J127" s="35" t="str">
        <x:v>Scanned check</x:v>
      </x:c>
      <x:c r="K127" s="20" t="str">
        <x:v>SCN-0118</x:v>
      </x:c>
      <x:c r="L127" s="20" t="str">
        <x:v>PMT-20270205-L020</x:v>
      </x:c>
      <x:c r="M127" s="26" t="n">
        <x:v>1650</x:v>
      </x:c>
      <x:c r="N127" s="26" t="n">
        <x:v>-1650</x:v>
      </x:c>
      <x:c r="O127" s="26" t="n">
        <x:v>1650</x:v>
      </x:c>
      <x:c r="P127" s="26" t="n">
        <x:v>0</x:v>
      </x:c>
      <x:c r="Q127" s="26" t="n">
        <x:v>0</x:v>
      </x:c>
      <x:c r="R127" s="26" t="n">
        <x:v>0</x:v>
      </x:c>
      <x:c r="S127" s="26" t="n">
        <x:v>0</x:v>
      </x:c>
      <x:c r="T127" s="26" t="n">
        <x:v>0</x:v>
      </x:c>
      <x:c r="U127" s="26" t="n">
        <x:v>0</x:v>
      </x:c>
      <x:c r="V127" s="26" t="n">
        <x:v>0</x:v>
      </x:c>
      <x:c r="W127" s="26" t="n">
        <x:v>0</x:v>
      </x:c>
      <x:c r="X127" s="26" t="n">
        <x:v>0</x:v>
      </x:c>
      <x:c r="Y127" s="26" t="n">
        <x:v>0</x:v>
      </x:c>
      <x:c r="Z127" s="35" t="str">
        <x:v>Receipt allocated to FIN-00123</x:v>
      </x:c>
    </x:row>
    <x:row r="128">
      <x:c r="A128" s="20" t="str">
        <x:v>FIN-00125</x:v>
      </x:c>
      <x:c r="B128" s="23" t="n">
        <x:v>46419</x:v>
      </x:c>
      <x:c r="C128" s="23" t="n">
        <x:v>46419</x:v>
      </x:c>
      <x:c r="D128" s="20" t="str">
        <x:v>TenantCharge</x:v>
      </x:c>
      <x:c r="E128" s="20" t="str">
        <x:v>Rent</x:v>
      </x:c>
      <x:c r="F128" s="20" t="str">
        <x:v>P021</x:v>
      </x:c>
      <x:c r="G128" s="20" t="str">
        <x:v>U021</x:v>
      </x:c>
      <x:c r="H128" s="20" t="str">
        <x:v>L021</x:v>
      </x:c>
      <x:c r="I128" s="20" t="str">
        <x:v>Parker Flores</x:v>
      </x:c>
      <x:c r="J128" s="35" t="str">
        <x:v>System scheduled charge</x:v>
      </x:c>
      <x:c r="K128" s="20" t="str"/>
      <x:c r="L128" s="20" t="str">
        <x:v>RENT-202702-L021</x:v>
      </x:c>
      <x:c r="M128" s="26" t="n">
        <x:v>1375</x:v>
      </x:c>
      <x:c r="N128" s="26" t="n">
        <x:v>1375</x:v>
      </x:c>
      <x:c r="O128" s="26" t="n">
        <x:v>0</x:v>
      </x:c>
      <x:c r="P128" s="26" t="n">
        <x:v>0</x:v>
      </x:c>
      <x:c r="Q128" s="26" t="n">
        <x:v>0</x:v>
      </x:c>
      <x:c r="R128" s="26" t="n">
        <x:v>0</x:v>
      </x:c>
      <x:c r="S128" s="26" t="n">
        <x:v>0</x:v>
      </x:c>
      <x:c r="T128" s="26" t="n">
        <x:v>1375</x:v>
      </x:c>
      <x:c r="U128" s="26" t="n">
        <x:v>0</x:v>
      </x:c>
      <x:c r="V128" s="26" t="n">
        <x:v>0</x:v>
      </x:c>
      <x:c r="W128" s="26" t="n">
        <x:v>0</x:v>
      </x:c>
      <x:c r="X128" s="26" t="n">
        <x:v>0</x:v>
      </x:c>
      <x:c r="Y128" s="26" t="n">
        <x:v>0</x:v>
      </x:c>
      <x:c r="Z128" s="35" t="str">
        <x:v>February 2027 rent</x:v>
      </x:c>
    </x:row>
    <x:row r="129">
      <x:c r="A129" s="20" t="str">
        <x:v>FIN-00126</x:v>
      </x:c>
      <x:c r="B129" s="23" t="n">
        <x:v>46421</x:v>
      </x:c>
      <x:c r="C129" s="23" t="n">
        <x:v>46421</x:v>
      </x:c>
      <x:c r="D129" s="20" t="str">
        <x:v>TenantReceipt</x:v>
      </x:c>
      <x:c r="E129" s="20" t="str">
        <x:v>Rent receipt</x:v>
      </x:c>
      <x:c r="F129" s="20" t="str">
        <x:v>P021</x:v>
      </x:c>
      <x:c r="G129" s="20" t="str">
        <x:v>U021</x:v>
      </x:c>
      <x:c r="H129" s="20" t="str">
        <x:v>L021</x:v>
      </x:c>
      <x:c r="I129" s="20" t="str">
        <x:v>Parker Flores</x:v>
      </x:c>
      <x:c r="J129" s="35" t="str">
        <x:v>Scanned money order</x:v>
      </x:c>
      <x:c r="K129" s="20" t="str">
        <x:v>SCN-0119</x:v>
      </x:c>
      <x:c r="L129" s="20" t="str">
        <x:v>PMT-20270203-L021</x:v>
      </x:c>
      <x:c r="M129" s="26" t="n">
        <x:v>1375</x:v>
      </x:c>
      <x:c r="N129" s="26" t="n">
        <x:v>-1375</x:v>
      </x:c>
      <x:c r="O129" s="26" t="n">
        <x:v>1375</x:v>
      </x:c>
      <x:c r="P129" s="26" t="n">
        <x:v>0</x:v>
      </x:c>
      <x:c r="Q129" s="26" t="n">
        <x:v>0</x:v>
      </x:c>
      <x:c r="R129" s="26" t="n">
        <x:v>0</x:v>
      </x:c>
      <x:c r="S129" s="26" t="n">
        <x:v>0</x:v>
      </x:c>
      <x:c r="T129" s="26" t="n">
        <x:v>0</x:v>
      </x:c>
      <x:c r="U129" s="26" t="n">
        <x:v>0</x:v>
      </x:c>
      <x:c r="V129" s="26" t="n">
        <x:v>0</x:v>
      </x:c>
      <x:c r="W129" s="26" t="n">
        <x:v>0</x:v>
      </x:c>
      <x:c r="X129" s="26" t="n">
        <x:v>0</x:v>
      </x:c>
      <x:c r="Y129" s="26" t="n">
        <x:v>0</x:v>
      </x:c>
      <x:c r="Z129" s="35" t="str">
        <x:v>Receipt allocated to FIN-00125</x:v>
      </x:c>
    </x:row>
    <x:row r="130">
      <x:c r="A130" s="20" t="str">
        <x:v>FIN-00127</x:v>
      </x:c>
      <x:c r="B130" s="23" t="n">
        <x:v>46419</x:v>
      </x:c>
      <x:c r="C130" s="23" t="n">
        <x:v>46419</x:v>
      </x:c>
      <x:c r="D130" s="20" t="str">
        <x:v>TenantCharge</x:v>
      </x:c>
      <x:c r="E130" s="20" t="str">
        <x:v>Rent</x:v>
      </x:c>
      <x:c r="F130" s="20" t="str">
        <x:v>P021</x:v>
      </x:c>
      <x:c r="G130" s="20" t="str">
        <x:v>U022</x:v>
      </x:c>
      <x:c r="H130" s="20" t="str">
        <x:v>L022</x:v>
      </x:c>
      <x:c r="I130" s="20" t="str">
        <x:v>Sage King</x:v>
      </x:c>
      <x:c r="J130" s="35" t="str">
        <x:v>System scheduled charge</x:v>
      </x:c>
      <x:c r="K130" s="20" t="str"/>
      <x:c r="L130" s="20" t="str">
        <x:v>RENT-202702-L022</x:v>
      </x:c>
      <x:c r="M130" s="26" t="n">
        <x:v>1900</x:v>
      </x:c>
      <x:c r="N130" s="26" t="n">
        <x:v>1900</x:v>
      </x:c>
      <x:c r="O130" s="26" t="n">
        <x:v>0</x:v>
      </x:c>
      <x:c r="P130" s="26" t="n">
        <x:v>0</x:v>
      </x:c>
      <x:c r="Q130" s="26" t="n">
        <x:v>0</x:v>
      </x:c>
      <x:c r="R130" s="26" t="n">
        <x:v>0</x:v>
      </x:c>
      <x:c r="S130" s="26" t="n">
        <x:v>0</x:v>
      </x:c>
      <x:c r="T130" s="26" t="n">
        <x:v>1900</x:v>
      </x:c>
      <x:c r="U130" s="26" t="n">
        <x:v>0</x:v>
      </x:c>
      <x:c r="V130" s="26" t="n">
        <x:v>0</x:v>
      </x:c>
      <x:c r="W130" s="26" t="n">
        <x:v>0</x:v>
      </x:c>
      <x:c r="X130" s="26" t="n">
        <x:v>0</x:v>
      </x:c>
      <x:c r="Y130" s="26" t="n">
        <x:v>0</x:v>
      </x:c>
      <x:c r="Z130" s="35" t="str">
        <x:v>February 2027 rent</x:v>
      </x:c>
    </x:row>
    <x:row r="131">
      <x:c r="A131" s="20" t="str">
        <x:v>FIN-00128</x:v>
      </x:c>
      <x:c r="B131" s="23" t="n">
        <x:v>46421</x:v>
      </x:c>
      <x:c r="C131" s="23" t="n">
        <x:v>46421</x:v>
      </x:c>
      <x:c r="D131" s="20" t="str">
        <x:v>TenantReceipt</x:v>
      </x:c>
      <x:c r="E131" s="20" t="str">
        <x:v>Rent receipt</x:v>
      </x:c>
      <x:c r="F131" s="20" t="str">
        <x:v>P021</x:v>
      </x:c>
      <x:c r="G131" s="20" t="str">
        <x:v>U022</x:v>
      </x:c>
      <x:c r="H131" s="20" t="str">
        <x:v>L022</x:v>
      </x:c>
      <x:c r="I131" s="20" t="str">
        <x:v>Sage King</x:v>
      </x:c>
      <x:c r="J131" s="35" t="str">
        <x:v>Manual ACH</x:v>
      </x:c>
      <x:c r="K131" s="20" t="str"/>
      <x:c r="L131" s="20" t="str">
        <x:v>PMT-20270203-L022-A</x:v>
      </x:c>
      <x:c r="M131" s="26" t="n">
        <x:v>1140</x:v>
      </x:c>
      <x:c r="N131" s="26" t="n">
        <x:v>-1140</x:v>
      </x:c>
      <x:c r="O131" s="26" t="n">
        <x:v>1140</x:v>
      </x:c>
      <x:c r="P131" s="26" t="n">
        <x:v>0</x:v>
      </x:c>
      <x:c r="Q131" s="26" t="n">
        <x:v>0</x:v>
      </x:c>
      <x:c r="R131" s="26" t="n">
        <x:v>0</x:v>
      </x:c>
      <x:c r="S131" s="26" t="n">
        <x:v>0</x:v>
      </x:c>
      <x:c r="T131" s="26" t="n">
        <x:v>0</x:v>
      </x:c>
      <x:c r="U131" s="26" t="n">
        <x:v>0</x:v>
      </x:c>
      <x:c r="V131" s="26" t="n">
        <x:v>0</x:v>
      </x:c>
      <x:c r="W131" s="26" t="n">
        <x:v>0</x:v>
      </x:c>
      <x:c r="X131" s="26" t="n">
        <x:v>0</x:v>
      </x:c>
      <x:c r="Y131" s="26" t="n">
        <x:v>0</x:v>
      </x:c>
      <x:c r="Z131" s="35" t="str">
        <x:v>Receipt allocated to FIN-00127</x:v>
      </x:c>
    </x:row>
    <x:row r="132">
      <x:c r="A132" s="20" t="str">
        <x:v>FIN-00129</x:v>
      </x:c>
      <x:c r="B132" s="23" t="n">
        <x:v>46424</x:v>
      </x:c>
      <x:c r="C132" s="23" t="n">
        <x:v>46424</x:v>
      </x:c>
      <x:c r="D132" s="20" t="str">
        <x:v>TenantCharge</x:v>
      </x:c>
      <x:c r="E132" s="20" t="str">
        <x:v>Late fee</x:v>
      </x:c>
      <x:c r="F132" s="20" t="str">
        <x:v>P021</x:v>
      </x:c>
      <x:c r="G132" s="20" t="str">
        <x:v>U022</x:v>
      </x:c>
      <x:c r="H132" s="20" t="str">
        <x:v>L022</x:v>
      </x:c>
      <x:c r="I132" s="20" t="str">
        <x:v>Sage King</x:v>
      </x:c>
      <x:c r="J132" s="35" t="str">
        <x:v>System automation</x:v>
      </x:c>
      <x:c r="K132" s="20" t="str"/>
      <x:c r="L132" s="20" t="str">
        <x:v>LATE-202702-L022</x:v>
      </x:c>
      <x:c r="M132" s="26" t="n">
        <x:v>50</x:v>
      </x:c>
      <x:c r="N132" s="26" t="n">
        <x:v>50</x:v>
      </x:c>
      <x:c r="O132" s="26" t="n">
        <x:v>0</x:v>
      </x:c>
      <x:c r="P132" s="26" t="n">
        <x:v>0</x:v>
      </x:c>
      <x:c r="Q132" s="26" t="n">
        <x:v>0</x:v>
      </x:c>
      <x:c r="R132" s="26" t="n">
        <x:v>0</x:v>
      </x:c>
      <x:c r="S132" s="26" t="n">
        <x:v>0</x:v>
      </x:c>
      <x:c r="T132" s="26" t="n">
        <x:v>50</x:v>
      </x:c>
      <x:c r="U132" s="26" t="n">
        <x:v>0</x:v>
      </x:c>
      <x:c r="V132" s="26" t="n">
        <x:v>0</x:v>
      </x:c>
      <x:c r="W132" s="26" t="n">
        <x:v>0</x:v>
      </x:c>
      <x:c r="X132" s="26" t="n">
        <x:v>0</x:v>
      </x:c>
      <x:c r="Y132" s="26" t="n">
        <x:v>0</x:v>
      </x:c>
      <x:c r="Z132" s="35" t="str">
        <x:v>Synthetic lease-authorized late fee after partial payment</x:v>
      </x:c>
    </x:row>
    <x:row r="133">
      <x:c r="A133" s="20" t="str">
        <x:v>FIN-00130</x:v>
      </x:c>
      <x:c r="B133" s="23" t="n">
        <x:v>46430</x:v>
      </x:c>
      <x:c r="C133" s="23" t="n">
        <x:v>46430</x:v>
      </x:c>
      <x:c r="D133" s="20" t="str">
        <x:v>TenantReceipt</x:v>
      </x:c>
      <x:c r="E133" s="20" t="str">
        <x:v>Rent receipt</x:v>
      </x:c>
      <x:c r="F133" s="20" t="str">
        <x:v>P021</x:v>
      </x:c>
      <x:c r="G133" s="20" t="str">
        <x:v>U022</x:v>
      </x:c>
      <x:c r="H133" s="20" t="str">
        <x:v>L022</x:v>
      </x:c>
      <x:c r="I133" s="20" t="str">
        <x:v>Sage King</x:v>
      </x:c>
      <x:c r="J133" s="35" t="str">
        <x:v>Scanned check</x:v>
      </x:c>
      <x:c r="K133" s="20" t="str">
        <x:v>SCN-0120</x:v>
      </x:c>
      <x:c r="L133" s="20" t="str">
        <x:v>PMT-20270212-L022-B</x:v>
      </x:c>
      <x:c r="M133" s="26" t="n">
        <x:v>810</x:v>
      </x:c>
      <x:c r="N133" s="26" t="n">
        <x:v>-810</x:v>
      </x:c>
      <x:c r="O133" s="26" t="n">
        <x:v>810</x:v>
      </x:c>
      <x:c r="P133" s="26" t="n">
        <x:v>0</x:v>
      </x:c>
      <x:c r="Q133" s="26" t="n">
        <x:v>0</x:v>
      </x:c>
      <x:c r="R133" s="26" t="n">
        <x:v>0</x:v>
      </x:c>
      <x:c r="S133" s="26" t="n">
        <x:v>0</x:v>
      </x:c>
      <x:c r="T133" s="26" t="n">
        <x:v>0</x:v>
      </x:c>
      <x:c r="U133" s="26" t="n">
        <x:v>0</x:v>
      </x:c>
      <x:c r="V133" s="26" t="n">
        <x:v>0</x:v>
      </x:c>
      <x:c r="W133" s="26" t="n">
        <x:v>0</x:v>
      </x:c>
      <x:c r="X133" s="26" t="n">
        <x:v>0</x:v>
      </x:c>
      <x:c r="Y133" s="26" t="n">
        <x:v>0</x:v>
      </x:c>
      <x:c r="Z133" s="35" t="str">
        <x:v>Receipt allocated to FIN-00129</x:v>
      </x:c>
    </x:row>
    <x:row r="134">
      <x:c r="A134" s="20" t="str">
        <x:v>FIN-00131</x:v>
      </x:c>
      <x:c r="B134" s="23" t="n">
        <x:v>46419</x:v>
      </x:c>
      <x:c r="C134" s="23" t="n">
        <x:v>46419</x:v>
      </x:c>
      <x:c r="D134" s="20" t="str">
        <x:v>TenantCharge</x:v>
      </x:c>
      <x:c r="E134" s="20" t="str">
        <x:v>Rent</x:v>
      </x:c>
      <x:c r="F134" s="20" t="str">
        <x:v>P022</x:v>
      </x:c>
      <x:c r="G134" s="20" t="str">
        <x:v>U023</x:v>
      </x:c>
      <x:c r="H134" s="20" t="str">
        <x:v>L023</x:v>
      </x:c>
      <x:c r="I134" s="20" t="str">
        <x:v>Val Price</x:v>
      </x:c>
      <x:c r="J134" s="35" t="str">
        <x:v>System scheduled charge</x:v>
      </x:c>
      <x:c r="K134" s="20" t="str"/>
      <x:c r="L134" s="20" t="str">
        <x:v>RENT-202702-L023</x:v>
      </x:c>
      <x:c r="M134" s="26" t="n">
        <x:v>1525</x:v>
      </x:c>
      <x:c r="N134" s="26" t="n">
        <x:v>1525</x:v>
      </x:c>
      <x:c r="O134" s="26" t="n">
        <x:v>0</x:v>
      </x:c>
      <x:c r="P134" s="26" t="n">
        <x:v>0</x:v>
      </x:c>
      <x:c r="Q134" s="26" t="n">
        <x:v>0</x:v>
      </x:c>
      <x:c r="R134" s="26" t="n">
        <x:v>0</x:v>
      </x:c>
      <x:c r="S134" s="26" t="n">
        <x:v>0</x:v>
      </x:c>
      <x:c r="T134" s="26" t="n">
        <x:v>1525</x:v>
      </x:c>
      <x:c r="U134" s="26" t="n">
        <x:v>0</x:v>
      </x:c>
      <x:c r="V134" s="26" t="n">
        <x:v>0</x:v>
      </x:c>
      <x:c r="W134" s="26" t="n">
        <x:v>0</x:v>
      </x:c>
      <x:c r="X134" s="26" t="n">
        <x:v>0</x:v>
      </x:c>
      <x:c r="Y134" s="26" t="n">
        <x:v>0</x:v>
      </x:c>
      <x:c r="Z134" s="35" t="str">
        <x:v>February 2027 rent</x:v>
      </x:c>
    </x:row>
    <x:row r="135">
      <x:c r="A135" s="20" t="str">
        <x:v>FIN-00132</x:v>
      </x:c>
      <x:c r="B135" s="23" t="n">
        <x:v>46423</x:v>
      </x:c>
      <x:c r="C135" s="23" t="n">
        <x:v>46423</x:v>
      </x:c>
      <x:c r="D135" s="20" t="str">
        <x:v>TenantReceipt</x:v>
      </x:c>
      <x:c r="E135" s="20" t="str">
        <x:v>Rent receipt</x:v>
      </x:c>
      <x:c r="F135" s="20" t="str">
        <x:v>P022</x:v>
      </x:c>
      <x:c r="G135" s="20" t="str">
        <x:v>U023</x:v>
      </x:c>
      <x:c r="H135" s="20" t="str">
        <x:v>L023</x:v>
      </x:c>
      <x:c r="I135" s="20" t="str">
        <x:v>Val Price</x:v>
      </x:c>
      <x:c r="J135" s="35" t="str">
        <x:v>Portal card</x:v>
      </x:c>
      <x:c r="K135" s="20" t="str"/>
      <x:c r="L135" s="20" t="str">
        <x:v>PMT-20270205-L023</x:v>
      </x:c>
      <x:c r="M135" s="26" t="n">
        <x:v>1525</x:v>
      </x:c>
      <x:c r="N135" s="26" t="n">
        <x:v>-1525</x:v>
      </x:c>
      <x:c r="O135" s="26" t="n">
        <x:v>1525</x:v>
      </x:c>
      <x:c r="P135" s="26" t="n">
        <x:v>0</x:v>
      </x:c>
      <x:c r="Q135" s="26" t="n">
        <x:v>0</x:v>
      </x:c>
      <x:c r="R135" s="26" t="n">
        <x:v>0</x:v>
      </x:c>
      <x:c r="S135" s="26" t="n">
        <x:v>0</x:v>
      </x:c>
      <x:c r="T135" s="26" t="n">
        <x:v>0</x:v>
      </x:c>
      <x:c r="U135" s="26" t="n">
        <x:v>0</x:v>
      </x:c>
      <x:c r="V135" s="26" t="n">
        <x:v>0</x:v>
      </x:c>
      <x:c r="W135" s="26" t="n">
        <x:v>0</x:v>
      </x:c>
      <x:c r="X135" s="26" t="n">
        <x:v>0</x:v>
      </x:c>
      <x:c r="Y135" s="26" t="n">
        <x:v>0</x:v>
      </x:c>
      <x:c r="Z135" s="35" t="str">
        <x:v>Receipt allocated to FIN-00131</x:v>
      </x:c>
    </x:row>
    <x:row r="136">
      <x:c r="A136" s="20" t="str">
        <x:v>FIN-00133</x:v>
      </x:c>
      <x:c r="B136" s="23" t="n">
        <x:v>46419</x:v>
      </x:c>
      <x:c r="C136" s="23" t="n">
        <x:v>46419</x:v>
      </x:c>
      <x:c r="D136" s="20" t="str">
        <x:v>TenantCharge</x:v>
      </x:c>
      <x:c r="E136" s="20" t="str">
        <x:v>Rent</x:v>
      </x:c>
      <x:c r="F136" s="20" t="str">
        <x:v>P022</x:v>
      </x:c>
      <x:c r="G136" s="20" t="str">
        <x:v>U024</x:v>
      </x:c>
      <x:c r="H136" s="20" t="str">
        <x:v>L024</x:v>
      </x:c>
      <x:c r="I136" s="20" t="str">
        <x:v>Yara Brooks</x:v>
      </x:c>
      <x:c r="J136" s="35" t="str">
        <x:v>System scheduled charge</x:v>
      </x:c>
      <x:c r="K136" s="20" t="str"/>
      <x:c r="L136" s="20" t="str">
        <x:v>RENT-202702-L024</x:v>
      </x:c>
      <x:c r="M136" s="26" t="n">
        <x:v>1150</x:v>
      </x:c>
      <x:c r="N136" s="26" t="n">
        <x:v>1150</x:v>
      </x:c>
      <x:c r="O136" s="26" t="n">
        <x:v>0</x:v>
      </x:c>
      <x:c r="P136" s="26" t="n">
        <x:v>0</x:v>
      </x:c>
      <x:c r="Q136" s="26" t="n">
        <x:v>0</x:v>
      </x:c>
      <x:c r="R136" s="26" t="n">
        <x:v>0</x:v>
      </x:c>
      <x:c r="S136" s="26" t="n">
        <x:v>0</x:v>
      </x:c>
      <x:c r="T136" s="26" t="n">
        <x:v>1150</x:v>
      </x:c>
      <x:c r="U136" s="26" t="n">
        <x:v>0</x:v>
      </x:c>
      <x:c r="V136" s="26" t="n">
        <x:v>0</x:v>
      </x:c>
      <x:c r="W136" s="26" t="n">
        <x:v>0</x:v>
      </x:c>
      <x:c r="X136" s="26" t="n">
        <x:v>0</x:v>
      </x:c>
      <x:c r="Y136" s="26" t="n">
        <x:v>0</x:v>
      </x:c>
      <x:c r="Z136" s="35" t="str">
        <x:v>February 2027 rent</x:v>
      </x:c>
    </x:row>
    <x:row r="137">
      <x:c r="A137" s="20" t="str">
        <x:v>FIN-00134</x:v>
      </x:c>
      <x:c r="B137" s="23" t="n">
        <x:v>46421</x:v>
      </x:c>
      <x:c r="C137" s="23" t="n">
        <x:v>46421</x:v>
      </x:c>
      <x:c r="D137" s="20" t="str">
        <x:v>TenantReceipt</x:v>
      </x:c>
      <x:c r="E137" s="20" t="str">
        <x:v>Rent receipt</x:v>
      </x:c>
      <x:c r="F137" s="20" t="str">
        <x:v>P022</x:v>
      </x:c>
      <x:c r="G137" s="20" t="str">
        <x:v>U024</x:v>
      </x:c>
      <x:c r="H137" s="20" t="str">
        <x:v>L024</x:v>
      </x:c>
      <x:c r="I137" s="20" t="str">
        <x:v>Yara Brooks</x:v>
      </x:c>
      <x:c r="J137" s="35" t="str">
        <x:v>Scanned check</x:v>
      </x:c>
      <x:c r="K137" s="20" t="str">
        <x:v>SCN-0121</x:v>
      </x:c>
      <x:c r="L137" s="20" t="str">
        <x:v>PMT-20270203-L024</x:v>
      </x:c>
      <x:c r="M137" s="26" t="n">
        <x:v>1150</x:v>
      </x:c>
      <x:c r="N137" s="26" t="n">
        <x:v>-1150</x:v>
      </x:c>
      <x:c r="O137" s="26" t="n">
        <x:v>1150</x:v>
      </x:c>
      <x:c r="P137" s="26" t="n">
        <x:v>0</x:v>
      </x:c>
      <x:c r="Q137" s="26" t="n">
        <x:v>0</x:v>
      </x:c>
      <x:c r="R137" s="26" t="n">
        <x:v>0</x:v>
      </x:c>
      <x:c r="S137" s="26" t="n">
        <x:v>0</x:v>
      </x:c>
      <x:c r="T137" s="26" t="n">
        <x:v>0</x:v>
      </x:c>
      <x:c r="U137" s="26" t="n">
        <x:v>0</x:v>
      </x:c>
      <x:c r="V137" s="26" t="n">
        <x:v>0</x:v>
      </x:c>
      <x:c r="W137" s="26" t="n">
        <x:v>0</x:v>
      </x:c>
      <x:c r="X137" s="26" t="n">
        <x:v>0</x:v>
      </x:c>
      <x:c r="Y137" s="26" t="n">
        <x:v>0</x:v>
      </x:c>
      <x:c r="Z137" s="35" t="str">
        <x:v>Receipt allocated to FIN-00133</x:v>
      </x:c>
    </x:row>
    <x:row r="138">
      <x:c r="A138" s="20" t="str">
        <x:v>FIN-00135</x:v>
      </x:c>
      <x:c r="B138" s="23" t="n">
        <x:v>46419</x:v>
      </x:c>
      <x:c r="C138" s="23" t="n">
        <x:v>46419</x:v>
      </x:c>
      <x:c r="D138" s="20" t="str">
        <x:v>TenantCharge</x:v>
      </x:c>
      <x:c r="E138" s="20" t="str">
        <x:v>Rent</x:v>
      </x:c>
      <x:c r="F138" s="20" t="str">
        <x:v>P023</x:v>
      </x:c>
      <x:c r="G138" s="20" t="str">
        <x:v>U025</x:v>
      </x:c>
      <x:c r="H138" s="20" t="str">
        <x:v>L025</x:v>
      </x:c>
      <x:c r="I138" s="20" t="str">
        <x:v>Bennett Garcia</x:v>
      </x:c>
      <x:c r="J138" s="35" t="str">
        <x:v>System scheduled charge</x:v>
      </x:c>
      <x:c r="K138" s="20" t="str"/>
      <x:c r="L138" s="20" t="str">
        <x:v>RENT-202702-L025</x:v>
      </x:c>
      <x:c r="M138" s="26" t="n">
        <x:v>1675</x:v>
      </x:c>
      <x:c r="N138" s="26" t="n">
        <x:v>1675</x:v>
      </x:c>
      <x:c r="O138" s="26" t="n">
        <x:v>0</x:v>
      </x:c>
      <x:c r="P138" s="26" t="n">
        <x:v>0</x:v>
      </x:c>
      <x:c r="Q138" s="26" t="n">
        <x:v>0</x:v>
      </x:c>
      <x:c r="R138" s="26" t="n">
        <x:v>0</x:v>
      </x:c>
      <x:c r="S138" s="26" t="n">
        <x:v>0</x:v>
      </x:c>
      <x:c r="T138" s="26" t="n">
        <x:v>1675</x:v>
      </x:c>
      <x:c r="U138" s="26" t="n">
        <x:v>0</x:v>
      </x:c>
      <x:c r="V138" s="26" t="n">
        <x:v>0</x:v>
      </x:c>
      <x:c r="W138" s="26" t="n">
        <x:v>0</x:v>
      </x:c>
      <x:c r="X138" s="26" t="n">
        <x:v>0</x:v>
      </x:c>
      <x:c r="Y138" s="26" t="n">
        <x:v>0</x:v>
      </x:c>
      <x:c r="Z138" s="35" t="str">
        <x:v>February 2027 rent</x:v>
      </x:c>
    </x:row>
    <x:row r="139">
      <x:c r="A139" s="20" t="str">
        <x:v>FIN-00136</x:v>
      </x:c>
      <x:c r="B139" s="23" t="n">
        <x:v>46422</x:v>
      </x:c>
      <x:c r="C139" s="23" t="n">
        <x:v>46422</x:v>
      </x:c>
      <x:c r="D139" s="20" t="str">
        <x:v>TenantReceipt</x:v>
      </x:c>
      <x:c r="E139" s="20" t="str">
        <x:v>Rent receipt</x:v>
      </x:c>
      <x:c r="F139" s="20" t="str">
        <x:v>P023</x:v>
      </x:c>
      <x:c r="G139" s="20" t="str">
        <x:v>U025</x:v>
      </x:c>
      <x:c r="H139" s="20" t="str">
        <x:v>L025</x:v>
      </x:c>
      <x:c r="I139" s="20" t="str">
        <x:v>Bennett Garcia</x:v>
      </x:c>
      <x:c r="J139" s="35" t="str">
        <x:v>Scanned money order</x:v>
      </x:c>
      <x:c r="K139" s="20" t="str">
        <x:v>SCN-0122</x:v>
      </x:c>
      <x:c r="L139" s="20" t="str">
        <x:v>PMT-20270204-L025</x:v>
      </x:c>
      <x:c r="M139" s="26" t="n">
        <x:v>1675</x:v>
      </x:c>
      <x:c r="N139" s="26" t="n">
        <x:v>-1675</x:v>
      </x:c>
      <x:c r="O139" s="26" t="n">
        <x:v>1675</x:v>
      </x:c>
      <x:c r="P139" s="26" t="n">
        <x:v>0</x:v>
      </x:c>
      <x:c r="Q139" s="26" t="n">
        <x:v>0</x:v>
      </x:c>
      <x:c r="R139" s="26" t="n">
        <x:v>0</x:v>
      </x:c>
      <x:c r="S139" s="26" t="n">
        <x:v>0</x:v>
      </x:c>
      <x:c r="T139" s="26" t="n">
        <x:v>0</x:v>
      </x:c>
      <x:c r="U139" s="26" t="n">
        <x:v>0</x:v>
      </x:c>
      <x:c r="V139" s="26" t="n">
        <x:v>0</x:v>
      </x:c>
      <x:c r="W139" s="26" t="n">
        <x:v>0</x:v>
      </x:c>
      <x:c r="X139" s="26" t="n">
        <x:v>0</x:v>
      </x:c>
      <x:c r="Y139" s="26" t="n">
        <x:v>0</x:v>
      </x:c>
      <x:c r="Z139" s="35" t="str">
        <x:v>Receipt allocated to FIN-00135</x:v>
      </x:c>
    </x:row>
    <x:row r="140">
      <x:c r="A140" s="20" t="str">
        <x:v>FIN-00137</x:v>
      </x:c>
      <x:c r="B140" s="23" t="n">
        <x:v>46419</x:v>
      </x:c>
      <x:c r="C140" s="23" t="n">
        <x:v>46419</x:v>
      </x:c>
      <x:c r="D140" s="20" t="str">
        <x:v>TenantCharge</x:v>
      </x:c>
      <x:c r="E140" s="20" t="str">
        <x:v>Rent</x:v>
      </x:c>
      <x:c r="F140" s="20" t="str">
        <x:v>P023</x:v>
      </x:c>
      <x:c r="G140" s="20" t="str">
        <x:v>U026</x:v>
      </x:c>
      <x:c r="H140" s="20" t="str">
        <x:v>L026</x:v>
      </x:c>
      <x:c r="I140" s="20" t="str">
        <x:v>Elena Lewis</x:v>
      </x:c>
      <x:c r="J140" s="35" t="str">
        <x:v>System scheduled charge</x:v>
      </x:c>
      <x:c r="K140" s="20" t="str"/>
      <x:c r="L140" s="20" t="str">
        <x:v>RENT-202702-L026</x:v>
      </x:c>
      <x:c r="M140" s="26" t="n">
        <x:v>1300</x:v>
      </x:c>
      <x:c r="N140" s="26" t="n">
        <x:v>1300</x:v>
      </x:c>
      <x:c r="O140" s="26" t="n">
        <x:v>0</x:v>
      </x:c>
      <x:c r="P140" s="26" t="n">
        <x:v>0</x:v>
      </x:c>
      <x:c r="Q140" s="26" t="n">
        <x:v>0</x:v>
      </x:c>
      <x:c r="R140" s="26" t="n">
        <x:v>0</x:v>
      </x:c>
      <x:c r="S140" s="26" t="n">
        <x:v>0</x:v>
      </x:c>
      <x:c r="T140" s="26" t="n">
        <x:v>1300</x:v>
      </x:c>
      <x:c r="U140" s="26" t="n">
        <x:v>0</x:v>
      </x:c>
      <x:c r="V140" s="26" t="n">
        <x:v>0</x:v>
      </x:c>
      <x:c r="W140" s="26" t="n">
        <x:v>0</x:v>
      </x:c>
      <x:c r="X140" s="26" t="n">
        <x:v>0</x:v>
      </x:c>
      <x:c r="Y140" s="26" t="n">
        <x:v>0</x:v>
      </x:c>
      <x:c r="Z140" s="35" t="str">
        <x:v>February 2027 rent</x:v>
      </x:c>
    </x:row>
    <x:row r="141">
      <x:c r="A141" s="20" t="str">
        <x:v>FIN-00138</x:v>
      </x:c>
      <x:c r="B141" s="23" t="n">
        <x:v>46424</x:v>
      </x:c>
      <x:c r="C141" s="23" t="n">
        <x:v>46424</x:v>
      </x:c>
      <x:c r="D141" s="20" t="str">
        <x:v>TenantCharge</x:v>
      </x:c>
      <x:c r="E141" s="20" t="str">
        <x:v>Late fee</x:v>
      </x:c>
      <x:c r="F141" s="20" t="str">
        <x:v>P023</x:v>
      </x:c>
      <x:c r="G141" s="20" t="str">
        <x:v>U026</x:v>
      </x:c>
      <x:c r="H141" s="20" t="str">
        <x:v>L026</x:v>
      </x:c>
      <x:c r="I141" s="20" t="str">
        <x:v>Elena Lewis</x:v>
      </x:c>
      <x:c r="J141" s="35" t="str">
        <x:v>System automation</x:v>
      </x:c>
      <x:c r="K141" s="20" t="str"/>
      <x:c r="L141" s="20" t="str">
        <x:v>LATE-202702-L026</x:v>
      </x:c>
      <x:c r="M141" s="26" t="n">
        <x:v>50</x:v>
      </x:c>
      <x:c r="N141" s="26" t="n">
        <x:v>50</x:v>
      </x:c>
      <x:c r="O141" s="26" t="n">
        <x:v>0</x:v>
      </x:c>
      <x:c r="P141" s="26" t="n">
        <x:v>0</x:v>
      </x:c>
      <x:c r="Q141" s="26" t="n">
        <x:v>0</x:v>
      </x:c>
      <x:c r="R141" s="26" t="n">
        <x:v>0</x:v>
      </x:c>
      <x:c r="S141" s="26" t="n">
        <x:v>0</x:v>
      </x:c>
      <x:c r="T141" s="26" t="n">
        <x:v>50</x:v>
      </x:c>
      <x:c r="U141" s="26" t="n">
        <x:v>0</x:v>
      </x:c>
      <x:c r="V141" s="26" t="n">
        <x:v>0</x:v>
      </x:c>
      <x:c r="W141" s="26" t="n">
        <x:v>0</x:v>
      </x:c>
      <x:c r="X141" s="26" t="n">
        <x:v>0</x:v>
      </x:c>
      <x:c r="Y141" s="26" t="n">
        <x:v>0</x:v>
      </x:c>
      <x:c r="Z141" s="35" t="str">
        <x:v>Synthetic lease-authorized late fee</x:v>
      </x:c>
    </x:row>
    <x:row r="142">
      <x:c r="A142" s="20" t="str">
        <x:v>FIN-00139</x:v>
      </x:c>
      <x:c r="B142" s="23" t="n">
        <x:v>46426</x:v>
      </x:c>
      <x:c r="C142" s="23" t="n">
        <x:v>46426</x:v>
      </x:c>
      <x:c r="D142" s="20" t="str">
        <x:v>TenantReceipt</x:v>
      </x:c>
      <x:c r="E142" s="20" t="str">
        <x:v>Rent receipt</x:v>
      </x:c>
      <x:c r="F142" s="20" t="str">
        <x:v>P023</x:v>
      </x:c>
      <x:c r="G142" s="20" t="str">
        <x:v>U026</x:v>
      </x:c>
      <x:c r="H142" s="20" t="str">
        <x:v>L026</x:v>
      </x:c>
      <x:c r="I142" s="20" t="str">
        <x:v>Elena Lewis</x:v>
      </x:c>
      <x:c r="J142" s="35" t="str">
        <x:v>Scanned money order</x:v>
      </x:c>
      <x:c r="K142" s="20" t="str">
        <x:v>SCN-0123</x:v>
      </x:c>
      <x:c r="L142" s="20" t="str">
        <x:v>PMT-20270208-L026</x:v>
      </x:c>
      <x:c r="M142" s="26" t="n">
        <x:v>1350</x:v>
      </x:c>
      <x:c r="N142" s="26" t="n">
        <x:v>-1350</x:v>
      </x:c>
      <x:c r="O142" s="26" t="n">
        <x:v>1350</x:v>
      </x:c>
      <x:c r="P142" s="26" t="n">
        <x:v>0</x:v>
      </x:c>
      <x:c r="Q142" s="26" t="n">
        <x:v>0</x:v>
      </x:c>
      <x:c r="R142" s="26" t="n">
        <x:v>0</x:v>
      </x:c>
      <x:c r="S142" s="26" t="n">
        <x:v>0</x:v>
      </x:c>
      <x:c r="T142" s="26" t="n">
        <x:v>0</x:v>
      </x:c>
      <x:c r="U142" s="26" t="n">
        <x:v>0</x:v>
      </x:c>
      <x:c r="V142" s="26" t="n">
        <x:v>0</x:v>
      </x:c>
      <x:c r="W142" s="26" t="n">
        <x:v>0</x:v>
      </x:c>
      <x:c r="X142" s="26" t="n">
        <x:v>0</x:v>
      </x:c>
      <x:c r="Y142" s="26" t="n">
        <x:v>0</x:v>
      </x:c>
      <x:c r="Z142" s="35" t="str">
        <x:v>Receipt allocated to FIN-00138</x:v>
      </x:c>
    </x:row>
    <x:row r="143">
      <x:c r="A143" s="20" t="str">
        <x:v>FIN-00140</x:v>
      </x:c>
      <x:c r="B143" s="23" t="n">
        <x:v>46419</x:v>
      </x:c>
      <x:c r="C143" s="23" t="n">
        <x:v>46419</x:v>
      </x:c>
      <x:c r="D143" s="20" t="str">
        <x:v>TenantCharge</x:v>
      </x:c>
      <x:c r="E143" s="20" t="str">
        <x:v>Rent</x:v>
      </x:c>
      <x:c r="F143" s="20" t="str">
        <x:v>P024</x:v>
      </x:c>
      <x:c r="G143" s="20" t="str">
        <x:v>U027</x:v>
      </x:c>
      <x:c r="H143" s="20" t="str">
        <x:v>L027</x:v>
      </x:c>
      <x:c r="I143" s="20" t="str">
        <x:v>Hector Reed</x:v>
      </x:c>
      <x:c r="J143" s="35" t="str">
        <x:v>System scheduled charge</x:v>
      </x:c>
      <x:c r="K143" s="20" t="str"/>
      <x:c r="L143" s="20" t="str">
        <x:v>RENT-202702-L027</x:v>
      </x:c>
      <x:c r="M143" s="26" t="n">
        <x:v>1825</x:v>
      </x:c>
      <x:c r="N143" s="26" t="n">
        <x:v>1825</x:v>
      </x:c>
      <x:c r="O143" s="26" t="n">
        <x:v>0</x:v>
      </x:c>
      <x:c r="P143" s="26" t="n">
        <x:v>0</x:v>
      </x:c>
      <x:c r="Q143" s="26" t="n">
        <x:v>0</x:v>
      </x:c>
      <x:c r="R143" s="26" t="n">
        <x:v>0</x:v>
      </x:c>
      <x:c r="S143" s="26" t="n">
        <x:v>0</x:v>
      </x:c>
      <x:c r="T143" s="26" t="n">
        <x:v>1825</x:v>
      </x:c>
      <x:c r="U143" s="26" t="n">
        <x:v>0</x:v>
      </x:c>
      <x:c r="V143" s="26" t="n">
        <x:v>0</x:v>
      </x:c>
      <x:c r="W143" s="26" t="n">
        <x:v>0</x:v>
      </x:c>
      <x:c r="X143" s="26" t="n">
        <x:v>0</x:v>
      </x:c>
      <x:c r="Y143" s="26" t="n">
        <x:v>0</x:v>
      </x:c>
      <x:c r="Z143" s="35" t="str">
        <x:v>February 2027 rent</x:v>
      </x:c>
    </x:row>
    <x:row r="144">
      <x:c r="A144" s="20" t="str">
        <x:v>FIN-00141</x:v>
      </x:c>
      <x:c r="B144" s="23" t="n">
        <x:v>46421</x:v>
      </x:c>
      <x:c r="C144" s="23" t="n">
        <x:v>46421</x:v>
      </x:c>
      <x:c r="D144" s="20" t="str">
        <x:v>TenantReceipt</x:v>
      </x:c>
      <x:c r="E144" s="20" t="str">
        <x:v>Rent receipt</x:v>
      </x:c>
      <x:c r="F144" s="20" t="str">
        <x:v>P024</x:v>
      </x:c>
      <x:c r="G144" s="20" t="str">
        <x:v>U027</x:v>
      </x:c>
      <x:c r="H144" s="20" t="str">
        <x:v>L027</x:v>
      </x:c>
      <x:c r="I144" s="20" t="str">
        <x:v>Hector Reed</x:v>
      </x:c>
      <x:c r="J144" s="35" t="str">
        <x:v>Portal card</x:v>
      </x:c>
      <x:c r="K144" s="20" t="str"/>
      <x:c r="L144" s="20" t="str">
        <x:v>PMT-20270203-L027</x:v>
      </x:c>
      <x:c r="M144" s="26" t="n">
        <x:v>1825</x:v>
      </x:c>
      <x:c r="N144" s="26" t="n">
        <x:v>-1825</x:v>
      </x:c>
      <x:c r="O144" s="26" t="n">
        <x:v>1825</x:v>
      </x:c>
      <x:c r="P144" s="26" t="n">
        <x:v>0</x:v>
      </x:c>
      <x:c r="Q144" s="26" t="n">
        <x:v>0</x:v>
      </x:c>
      <x:c r="R144" s="26" t="n">
        <x:v>0</x:v>
      </x:c>
      <x:c r="S144" s="26" t="n">
        <x:v>0</x:v>
      </x:c>
      <x:c r="T144" s="26" t="n">
        <x:v>0</x:v>
      </x:c>
      <x:c r="U144" s="26" t="n">
        <x:v>0</x:v>
      </x:c>
      <x:c r="V144" s="26" t="n">
        <x:v>0</x:v>
      </x:c>
      <x:c r="W144" s="26" t="n">
        <x:v>0</x:v>
      </x:c>
      <x:c r="X144" s="26" t="n">
        <x:v>0</x:v>
      </x:c>
      <x:c r="Y144" s="26" t="n">
        <x:v>0</x:v>
      </x:c>
      <x:c r="Z144" s="35" t="str">
        <x:v>Receipt allocated to FIN-00140</x:v>
      </x:c>
    </x:row>
    <x:row r="145">
      <x:c r="A145" s="20" t="str">
        <x:v>FIN-00142</x:v>
      </x:c>
      <x:c r="B145" s="23" t="n">
        <x:v>46419</x:v>
      </x:c>
      <x:c r="C145" s="23" t="n">
        <x:v>46419</x:v>
      </x:c>
      <x:c r="D145" s="20" t="str">
        <x:v>TenantCharge</x:v>
      </x:c>
      <x:c r="E145" s="20" t="str">
        <x:v>Rent</x:v>
      </x:c>
      <x:c r="F145" s="20" t="str">
        <x:v>P024</x:v>
      </x:c>
      <x:c r="G145" s="20" t="str">
        <x:v>U028</x:v>
      </x:c>
      <x:c r="H145" s="20" t="str">
        <x:v>L028</x:v>
      </x:c>
      <x:c r="I145" s="20" t="str">
        <x:v>Keira Adams</x:v>
      </x:c>
      <x:c r="J145" s="35" t="str">
        <x:v>System scheduled charge</x:v>
      </x:c>
      <x:c r="K145" s="20" t="str"/>
      <x:c r="L145" s="20" t="str">
        <x:v>RENT-202702-L028</x:v>
      </x:c>
      <x:c r="M145" s="26" t="n">
        <x:v>1450</x:v>
      </x:c>
      <x:c r="N145" s="26" t="n">
        <x:v>1450</x:v>
      </x:c>
      <x:c r="O145" s="26" t="n">
        <x:v>0</x:v>
      </x:c>
      <x:c r="P145" s="26" t="n">
        <x:v>0</x:v>
      </x:c>
      <x:c r="Q145" s="26" t="n">
        <x:v>0</x:v>
      </x:c>
      <x:c r="R145" s="26" t="n">
        <x:v>0</x:v>
      </x:c>
      <x:c r="S145" s="26" t="n">
        <x:v>0</x:v>
      </x:c>
      <x:c r="T145" s="26" t="n">
        <x:v>1450</x:v>
      </x:c>
      <x:c r="U145" s="26" t="n">
        <x:v>0</x:v>
      </x:c>
      <x:c r="V145" s="26" t="n">
        <x:v>0</x:v>
      </x:c>
      <x:c r="W145" s="26" t="n">
        <x:v>0</x:v>
      </x:c>
      <x:c r="X145" s="26" t="n">
        <x:v>0</x:v>
      </x:c>
      <x:c r="Y145" s="26" t="n">
        <x:v>0</x:v>
      </x:c>
      <x:c r="Z145" s="35" t="str">
        <x:v>February 2027 rent</x:v>
      </x:c>
    </x:row>
    <x:row r="146">
      <x:c r="A146" s="20" t="str">
        <x:v>FIN-00143</x:v>
      </x:c>
      <x:c r="B146" s="23" t="n">
        <x:v>46422</x:v>
      </x:c>
      <x:c r="C146" s="23" t="n">
        <x:v>46422</x:v>
      </x:c>
      <x:c r="D146" s="20" t="str">
        <x:v>TenantReceipt</x:v>
      </x:c>
      <x:c r="E146" s="20" t="str">
        <x:v>Rent receipt</x:v>
      </x:c>
      <x:c r="F146" s="20" t="str">
        <x:v>P024</x:v>
      </x:c>
      <x:c r="G146" s="20" t="str">
        <x:v>U028</x:v>
      </x:c>
      <x:c r="H146" s="20" t="str">
        <x:v>L028</x:v>
      </x:c>
      <x:c r="I146" s="20" t="str">
        <x:v>Keira Adams</x:v>
      </x:c>
      <x:c r="J146" s="35" t="str">
        <x:v>Scanned check</x:v>
      </x:c>
      <x:c r="K146" s="20" t="str">
        <x:v>SCN-0124</x:v>
      </x:c>
      <x:c r="L146" s="20" t="str">
        <x:v>PMT-20270204-L028</x:v>
      </x:c>
      <x:c r="M146" s="26" t="n">
        <x:v>1450</x:v>
      </x:c>
      <x:c r="N146" s="26" t="n">
        <x:v>-1450</x:v>
      </x:c>
      <x:c r="O146" s="26" t="n">
        <x:v>1450</x:v>
      </x:c>
      <x:c r="P146" s="26" t="n">
        <x:v>0</x:v>
      </x:c>
      <x:c r="Q146" s="26" t="n">
        <x:v>0</x:v>
      </x:c>
      <x:c r="R146" s="26" t="n">
        <x:v>0</x:v>
      </x:c>
      <x:c r="S146" s="26" t="n">
        <x:v>0</x:v>
      </x:c>
      <x:c r="T146" s="26" t="n">
        <x:v>0</x:v>
      </x:c>
      <x:c r="U146" s="26" t="n">
        <x:v>0</x:v>
      </x:c>
      <x:c r="V146" s="26" t="n">
        <x:v>0</x:v>
      </x:c>
      <x:c r="W146" s="26" t="n">
        <x:v>0</x:v>
      </x:c>
      <x:c r="X146" s="26" t="n">
        <x:v>0</x:v>
      </x:c>
      <x:c r="Y146" s="26" t="n">
        <x:v>0</x:v>
      </x:c>
      <x:c r="Z146" s="35" t="str">
        <x:v>Receipt allocated to FIN-00142</x:v>
      </x:c>
    </x:row>
    <x:row r="147">
      <x:c r="A147" s="20" t="str">
        <x:v>FIN-00144</x:v>
      </x:c>
      <x:c r="B147" s="23" t="n">
        <x:v>46419</x:v>
      </x:c>
      <x:c r="C147" s="23" t="n">
        <x:v>46419</x:v>
      </x:c>
      <x:c r="D147" s="20" t="str">
        <x:v>TenantCharge</x:v>
      </x:c>
      <x:c r="E147" s="20" t="str">
        <x:v>Rent</x:v>
      </x:c>
      <x:c r="F147" s="20" t="str">
        <x:v>P025</x:v>
      </x:c>
      <x:c r="G147" s="20" t="str">
        <x:v>U029</x:v>
      </x:c>
      <x:c r="H147" s="20" t="str">
        <x:v>L029</x:v>
      </x:c>
      <x:c r="I147" s="20" t="str">
        <x:v>Nolan Flores</x:v>
      </x:c>
      <x:c r="J147" s="35" t="str">
        <x:v>System scheduled charge</x:v>
      </x:c>
      <x:c r="K147" s="20" t="str"/>
      <x:c r="L147" s="20" t="str">
        <x:v>RENT-202702-L029</x:v>
      </x:c>
      <x:c r="M147" s="26" t="n">
        <x:v>1975</x:v>
      </x:c>
      <x:c r="N147" s="26" t="n">
        <x:v>1975</x:v>
      </x:c>
      <x:c r="O147" s="26" t="n">
        <x:v>0</x:v>
      </x:c>
      <x:c r="P147" s="26" t="n">
        <x:v>0</x:v>
      </x:c>
      <x:c r="Q147" s="26" t="n">
        <x:v>0</x:v>
      </x:c>
      <x:c r="R147" s="26" t="n">
        <x:v>0</x:v>
      </x:c>
      <x:c r="S147" s="26" t="n">
        <x:v>0</x:v>
      </x:c>
      <x:c r="T147" s="26" t="n">
        <x:v>1975</x:v>
      </x:c>
      <x:c r="U147" s="26" t="n">
        <x:v>0</x:v>
      </x:c>
      <x:c r="V147" s="26" t="n">
        <x:v>0</x:v>
      </x:c>
      <x:c r="W147" s="26" t="n">
        <x:v>0</x:v>
      </x:c>
      <x:c r="X147" s="26" t="n">
        <x:v>0</x:v>
      </x:c>
      <x:c r="Y147" s="26" t="n">
        <x:v>0</x:v>
      </x:c>
      <x:c r="Z147" s="35" t="str">
        <x:v>February 2027 rent</x:v>
      </x:c>
    </x:row>
    <x:row r="148">
      <x:c r="A148" s="20" t="str">
        <x:v>FIN-00145</x:v>
      </x:c>
      <x:c r="B148" s="23" t="n">
        <x:v>46423</x:v>
      </x:c>
      <x:c r="C148" s="23" t="n">
        <x:v>46423</x:v>
      </x:c>
      <x:c r="D148" s="20" t="str">
        <x:v>TenantReceipt</x:v>
      </x:c>
      <x:c r="E148" s="20" t="str">
        <x:v>Rent receipt</x:v>
      </x:c>
      <x:c r="F148" s="20" t="str">
        <x:v>P025</x:v>
      </x:c>
      <x:c r="G148" s="20" t="str">
        <x:v>U029</x:v>
      </x:c>
      <x:c r="H148" s="20" t="str">
        <x:v>L029</x:v>
      </x:c>
      <x:c r="I148" s="20" t="str">
        <x:v>Nolan Flores</x:v>
      </x:c>
      <x:c r="J148" s="35" t="str">
        <x:v>Scanned money order</x:v>
      </x:c>
      <x:c r="K148" s="20" t="str">
        <x:v>SCN-0125</x:v>
      </x:c>
      <x:c r="L148" s="20" t="str">
        <x:v>PMT-20270205-L029</x:v>
      </x:c>
      <x:c r="M148" s="26" t="n">
        <x:v>1975</x:v>
      </x:c>
      <x:c r="N148" s="26" t="n">
        <x:v>-1975</x:v>
      </x:c>
      <x:c r="O148" s="26" t="n">
        <x:v>1975</x:v>
      </x:c>
      <x:c r="P148" s="26" t="n">
        <x:v>0</x:v>
      </x:c>
      <x:c r="Q148" s="26" t="n">
        <x:v>0</x:v>
      </x:c>
      <x:c r="R148" s="26" t="n">
        <x:v>0</x:v>
      </x:c>
      <x:c r="S148" s="26" t="n">
        <x:v>0</x:v>
      </x:c>
      <x:c r="T148" s="26" t="n">
        <x:v>0</x:v>
      </x:c>
      <x:c r="U148" s="26" t="n">
        <x:v>0</x:v>
      </x:c>
      <x:c r="V148" s="26" t="n">
        <x:v>0</x:v>
      </x:c>
      <x:c r="W148" s="26" t="n">
        <x:v>0</x:v>
      </x:c>
      <x:c r="X148" s="26" t="n">
        <x:v>0</x:v>
      </x:c>
      <x:c r="Y148" s="26" t="n">
        <x:v>0</x:v>
      </x:c>
      <x:c r="Z148" s="35" t="str">
        <x:v>Receipt allocated to FIN-00144</x:v>
      </x:c>
    </x:row>
    <x:row r="149">
      <x:c r="A149" s="20" t="str">
        <x:v>FIN-00146</x:v>
      </x:c>
      <x:c r="B149" s="23" t="n">
        <x:v>46419</x:v>
      </x:c>
      <x:c r="C149" s="23" t="n">
        <x:v>46419</x:v>
      </x:c>
      <x:c r="D149" s="20" t="str">
        <x:v>TenantCharge</x:v>
      </x:c>
      <x:c r="E149" s="20" t="str">
        <x:v>Rent</x:v>
      </x:c>
      <x:c r="F149" s="20" t="str">
        <x:v>P025</x:v>
      </x:c>
      <x:c r="G149" s="20" t="str">
        <x:v>U030</x:v>
      </x:c>
      <x:c r="H149" s="20" t="str">
        <x:v>L030</x:v>
      </x:c>
      <x:c r="I149" s="20" t="str">
        <x:v>Rina King</x:v>
      </x:c>
      <x:c r="J149" s="35" t="str">
        <x:v>System scheduled charge</x:v>
      </x:c>
      <x:c r="K149" s="20" t="str"/>
      <x:c r="L149" s="20" t="str">
        <x:v>RENT-202702-L030</x:v>
      </x:c>
      <x:c r="M149" s="26" t="n">
        <x:v>1600</x:v>
      </x:c>
      <x:c r="N149" s="26" t="n">
        <x:v>1600</x:v>
      </x:c>
      <x:c r="O149" s="26" t="n">
        <x:v>0</x:v>
      </x:c>
      <x:c r="P149" s="26" t="n">
        <x:v>0</x:v>
      </x:c>
      <x:c r="Q149" s="26" t="n">
        <x:v>0</x:v>
      </x:c>
      <x:c r="R149" s="26" t="n">
        <x:v>0</x:v>
      </x:c>
      <x:c r="S149" s="26" t="n">
        <x:v>0</x:v>
      </x:c>
      <x:c r="T149" s="26" t="n">
        <x:v>1600</x:v>
      </x:c>
      <x:c r="U149" s="26" t="n">
        <x:v>0</x:v>
      </x:c>
      <x:c r="V149" s="26" t="n">
        <x:v>0</x:v>
      </x:c>
      <x:c r="W149" s="26" t="n">
        <x:v>0</x:v>
      </x:c>
      <x:c r="X149" s="26" t="n">
        <x:v>0</x:v>
      </x:c>
      <x:c r="Y149" s="26" t="n">
        <x:v>0</x:v>
      </x:c>
      <x:c r="Z149" s="35" t="str">
        <x:v>February 2027 rent</x:v>
      </x:c>
    </x:row>
    <x:row r="150">
      <x:c r="A150" s="20" t="str">
        <x:v>FIN-00147</x:v>
      </x:c>
      <x:c r="B150" s="23" t="n">
        <x:v>46421</x:v>
      </x:c>
      <x:c r="C150" s="23" t="n">
        <x:v>46421</x:v>
      </x:c>
      <x:c r="D150" s="20" t="str">
        <x:v>TenantReceipt</x:v>
      </x:c>
      <x:c r="E150" s="20" t="str">
        <x:v>Rent receipt</x:v>
      </x:c>
      <x:c r="F150" s="20" t="str">
        <x:v>P025</x:v>
      </x:c>
      <x:c r="G150" s="20" t="str">
        <x:v>U030</x:v>
      </x:c>
      <x:c r="H150" s="20" t="str">
        <x:v>L030</x:v>
      </x:c>
      <x:c r="I150" s="20" t="str">
        <x:v>Rina King</x:v>
      </x:c>
      <x:c r="J150" s="35" t="str">
        <x:v>Manual ACH</x:v>
      </x:c>
      <x:c r="K150" s="20" t="str"/>
      <x:c r="L150" s="20" t="str">
        <x:v>PMT-20270203-L030</x:v>
      </x:c>
      <x:c r="M150" s="26" t="n">
        <x:v>1600</x:v>
      </x:c>
      <x:c r="N150" s="26" t="n">
        <x:v>-1600</x:v>
      </x:c>
      <x:c r="O150" s="26" t="n">
        <x:v>1600</x:v>
      </x:c>
      <x:c r="P150" s="26" t="n">
        <x:v>0</x:v>
      </x:c>
      <x:c r="Q150" s="26" t="n">
        <x:v>0</x:v>
      </x:c>
      <x:c r="R150" s="26" t="n">
        <x:v>0</x:v>
      </x:c>
      <x:c r="S150" s="26" t="n">
        <x:v>0</x:v>
      </x:c>
      <x:c r="T150" s="26" t="n">
        <x:v>0</x:v>
      </x:c>
      <x:c r="U150" s="26" t="n">
        <x:v>0</x:v>
      </x:c>
      <x:c r="V150" s="26" t="n">
        <x:v>0</x:v>
      </x:c>
      <x:c r="W150" s="26" t="n">
        <x:v>0</x:v>
      </x:c>
      <x:c r="X150" s="26" t="n">
        <x:v>0</x:v>
      </x:c>
      <x:c r="Y150" s="26" t="n">
        <x:v>0</x:v>
      </x:c>
      <x:c r="Z150" s="35" t="str">
        <x:v>Receipt allocated to FIN-00146</x:v>
      </x:c>
    </x:row>
    <x:row r="151">
      <x:c r="A151" s="20" t="str">
        <x:v>FIN-00148</x:v>
      </x:c>
      <x:c r="B151" s="23" t="n">
        <x:v>46419</x:v>
      </x:c>
      <x:c r="C151" s="23" t="n">
        <x:v>46419</x:v>
      </x:c>
      <x:c r="D151" s="20" t="str">
        <x:v>TenantCharge</x:v>
      </x:c>
      <x:c r="E151" s="20" t="str">
        <x:v>Rent</x:v>
      </x:c>
      <x:c r="F151" s="20" t="str">
        <x:v>P026</x:v>
      </x:c>
      <x:c r="G151" s="20" t="str">
        <x:v>U031</x:v>
      </x:c>
      <x:c r="H151" s="20" t="str">
        <x:v>L031</x:v>
      </x:c>
      <x:c r="I151" s="20" t="str">
        <x:v>Uri Price</x:v>
      </x:c>
      <x:c r="J151" s="35" t="str">
        <x:v>System scheduled charge</x:v>
      </x:c>
      <x:c r="K151" s="20" t="str"/>
      <x:c r="L151" s="20" t="str">
        <x:v>RENT-202702-L031</x:v>
      </x:c>
      <x:c r="M151" s="26" t="n">
        <x:v>1225</x:v>
      </x:c>
      <x:c r="N151" s="26" t="n">
        <x:v>1225</x:v>
      </x:c>
      <x:c r="O151" s="26" t="n">
        <x:v>0</x:v>
      </x:c>
      <x:c r="P151" s="26" t="n">
        <x:v>0</x:v>
      </x:c>
      <x:c r="Q151" s="26" t="n">
        <x:v>0</x:v>
      </x:c>
      <x:c r="R151" s="26" t="n">
        <x:v>0</x:v>
      </x:c>
      <x:c r="S151" s="26" t="n">
        <x:v>0</x:v>
      </x:c>
      <x:c r="T151" s="26" t="n">
        <x:v>1225</x:v>
      </x:c>
      <x:c r="U151" s="26" t="n">
        <x:v>0</x:v>
      </x:c>
      <x:c r="V151" s="26" t="n">
        <x:v>0</x:v>
      </x:c>
      <x:c r="W151" s="26" t="n">
        <x:v>0</x:v>
      </x:c>
      <x:c r="X151" s="26" t="n">
        <x:v>0</x:v>
      </x:c>
      <x:c r="Y151" s="26" t="n">
        <x:v>0</x:v>
      </x:c>
      <x:c r="Z151" s="35" t="str">
        <x:v>February 2027 rent</x:v>
      </x:c>
    </x:row>
    <x:row r="152">
      <x:c r="A152" s="20" t="str">
        <x:v>FIN-00149</x:v>
      </x:c>
      <x:c r="B152" s="23" t="n">
        <x:v>46422</x:v>
      </x:c>
      <x:c r="C152" s="23" t="n">
        <x:v>46422</x:v>
      </x:c>
      <x:c r="D152" s="20" t="str">
        <x:v>TenantReceipt</x:v>
      </x:c>
      <x:c r="E152" s="20" t="str">
        <x:v>Rent receipt</x:v>
      </x:c>
      <x:c r="F152" s="20" t="str">
        <x:v>P026</x:v>
      </x:c>
      <x:c r="G152" s="20" t="str">
        <x:v>U031</x:v>
      </x:c>
      <x:c r="H152" s="20" t="str">
        <x:v>L031</x:v>
      </x:c>
      <x:c r="I152" s="20" t="str">
        <x:v>Uri Price</x:v>
      </x:c>
      <x:c r="J152" s="35" t="str">
        <x:v>Portal card</x:v>
      </x:c>
      <x:c r="K152" s="20" t="str"/>
      <x:c r="L152" s="20" t="str">
        <x:v>PMT-20270204-L031</x:v>
      </x:c>
      <x:c r="M152" s="26" t="n">
        <x:v>1225</x:v>
      </x:c>
      <x:c r="N152" s="26" t="n">
        <x:v>-1225</x:v>
      </x:c>
      <x:c r="O152" s="26" t="n">
        <x:v>1225</x:v>
      </x:c>
      <x:c r="P152" s="26" t="n">
        <x:v>0</x:v>
      </x:c>
      <x:c r="Q152" s="26" t="n">
        <x:v>0</x:v>
      </x:c>
      <x:c r="R152" s="26" t="n">
        <x:v>0</x:v>
      </x:c>
      <x:c r="S152" s="26" t="n">
        <x:v>0</x:v>
      </x:c>
      <x:c r="T152" s="26" t="n">
        <x:v>0</x:v>
      </x:c>
      <x:c r="U152" s="26" t="n">
        <x:v>0</x:v>
      </x:c>
      <x:c r="V152" s="26" t="n">
        <x:v>0</x:v>
      </x:c>
      <x:c r="W152" s="26" t="n">
        <x:v>0</x:v>
      </x:c>
      <x:c r="X152" s="26" t="n">
        <x:v>0</x:v>
      </x:c>
      <x:c r="Y152" s="26" t="n">
        <x:v>0</x:v>
      </x:c>
      <x:c r="Z152" s="35" t="str">
        <x:v>Receipt allocated to FIN-00148</x:v>
      </x:c>
    </x:row>
    <x:row r="153">
      <x:c r="A153" s="20" t="str">
        <x:v>FIN-00150</x:v>
      </x:c>
      <x:c r="B153" s="23" t="n">
        <x:v>46419</x:v>
      </x:c>
      <x:c r="C153" s="23" t="n">
        <x:v>46419</x:v>
      </x:c>
      <x:c r="D153" s="20" t="str">
        <x:v>TenantCharge</x:v>
      </x:c>
      <x:c r="E153" s="20" t="str">
        <x:v>Rent</x:v>
      </x:c>
      <x:c r="F153" s="20" t="str">
        <x:v>P026</x:v>
      </x:c>
      <x:c r="G153" s="20" t="str">
        <x:v>U032</x:v>
      </x:c>
      <x:c r="H153" s="20" t="str">
        <x:v>L032</x:v>
      </x:c>
      <x:c r="I153" s="20" t="str">
        <x:v>Avery Brooks</x:v>
      </x:c>
      <x:c r="J153" s="35" t="str">
        <x:v>System scheduled charge</x:v>
      </x:c>
      <x:c r="K153" s="20" t="str"/>
      <x:c r="L153" s="20" t="str">
        <x:v>RENT-202702-L032</x:v>
      </x:c>
      <x:c r="M153" s="26" t="n">
        <x:v>1750</x:v>
      </x:c>
      <x:c r="N153" s="26" t="n">
        <x:v>1750</x:v>
      </x:c>
      <x:c r="O153" s="26" t="n">
        <x:v>0</x:v>
      </x:c>
      <x:c r="P153" s="26" t="n">
        <x:v>0</x:v>
      </x:c>
      <x:c r="Q153" s="26" t="n">
        <x:v>0</x:v>
      </x:c>
      <x:c r="R153" s="26" t="n">
        <x:v>0</x:v>
      </x:c>
      <x:c r="S153" s="26" t="n">
        <x:v>0</x:v>
      </x:c>
      <x:c r="T153" s="26" t="n">
        <x:v>1750</x:v>
      </x:c>
      <x:c r="U153" s="26" t="n">
        <x:v>0</x:v>
      </x:c>
      <x:c r="V153" s="26" t="n">
        <x:v>0</x:v>
      </x:c>
      <x:c r="W153" s="26" t="n">
        <x:v>0</x:v>
      </x:c>
      <x:c r="X153" s="26" t="n">
        <x:v>0</x:v>
      </x:c>
      <x:c r="Y153" s="26" t="n">
        <x:v>0</x:v>
      </x:c>
      <x:c r="Z153" s="35" t="str">
        <x:v>February 2027 rent</x:v>
      </x:c>
    </x:row>
    <x:row r="154">
      <x:c r="A154" s="20" t="str">
        <x:v>FIN-00151</x:v>
      </x:c>
      <x:c r="B154" s="23" t="n">
        <x:v>46423</x:v>
      </x:c>
      <x:c r="C154" s="23" t="n">
        <x:v>46423</x:v>
      </x:c>
      <x:c r="D154" s="20" t="str">
        <x:v>TenantReceipt</x:v>
      </x:c>
      <x:c r="E154" s="20" t="str">
        <x:v>Rent receipt</x:v>
      </x:c>
      <x:c r="F154" s="20" t="str">
        <x:v>P026</x:v>
      </x:c>
      <x:c r="G154" s="20" t="str">
        <x:v>U032</x:v>
      </x:c>
      <x:c r="H154" s="20" t="str">
        <x:v>L032</x:v>
      </x:c>
      <x:c r="I154" s="20" t="str">
        <x:v>Avery Brooks</x:v>
      </x:c>
      <x:c r="J154" s="35" t="str">
        <x:v>Scanned check</x:v>
      </x:c>
      <x:c r="K154" s="20" t="str">
        <x:v>SCN-0126</x:v>
      </x:c>
      <x:c r="L154" s="20" t="str">
        <x:v>PMT-20270205-L032</x:v>
      </x:c>
      <x:c r="M154" s="26" t="n">
        <x:v>1750</x:v>
      </x:c>
      <x:c r="N154" s="26" t="n">
        <x:v>-1750</x:v>
      </x:c>
      <x:c r="O154" s="26" t="n">
        <x:v>1750</x:v>
      </x:c>
      <x:c r="P154" s="26" t="n">
        <x:v>0</x:v>
      </x:c>
      <x:c r="Q154" s="26" t="n">
        <x:v>0</x:v>
      </x:c>
      <x:c r="R154" s="26" t="n">
        <x:v>0</x:v>
      </x:c>
      <x:c r="S154" s="26" t="n">
        <x:v>0</x:v>
      </x:c>
      <x:c r="T154" s="26" t="n">
        <x:v>0</x:v>
      </x:c>
      <x:c r="U154" s="26" t="n">
        <x:v>0</x:v>
      </x:c>
      <x:c r="V154" s="26" t="n">
        <x:v>0</x:v>
      </x:c>
      <x:c r="W154" s="26" t="n">
        <x:v>0</x:v>
      </x:c>
      <x:c r="X154" s="26" t="n">
        <x:v>0</x:v>
      </x:c>
      <x:c r="Y154" s="26" t="n">
        <x:v>0</x:v>
      </x:c>
      <x:c r="Z154" s="35" t="str">
        <x:v>Receipt allocated to FIN-00150</x:v>
      </x:c>
    </x:row>
    <x:row r="155">
      <x:c r="A155" s="20" t="str">
        <x:v>FIN-00152</x:v>
      </x:c>
      <x:c r="B155" s="23" t="n">
        <x:v>46419</x:v>
      </x:c>
      <x:c r="C155" s="23" t="n">
        <x:v>46419</x:v>
      </x:c>
      <x:c r="D155" s="20" t="str">
        <x:v>TenantCharge</x:v>
      </x:c>
      <x:c r="E155" s="20" t="str">
        <x:v>Rent</x:v>
      </x:c>
      <x:c r="F155" s="20" t="str">
        <x:v>P027</x:v>
      </x:c>
      <x:c r="G155" s="20" t="str">
        <x:v>U033</x:v>
      </x:c>
      <x:c r="H155" s="20" t="str">
        <x:v>L033</x:v>
      </x:c>
      <x:c r="I155" s="20" t="str">
        <x:v>Dana Garcia</x:v>
      </x:c>
      <x:c r="J155" s="35" t="str">
        <x:v>System scheduled charge</x:v>
      </x:c>
      <x:c r="K155" s="20" t="str"/>
      <x:c r="L155" s="20" t="str">
        <x:v>RENT-202702-L033</x:v>
      </x:c>
      <x:c r="M155" s="26" t="n">
        <x:v>1375</x:v>
      </x:c>
      <x:c r="N155" s="26" t="n">
        <x:v>1375</x:v>
      </x:c>
      <x:c r="O155" s="26" t="n">
        <x:v>0</x:v>
      </x:c>
      <x:c r="P155" s="26" t="n">
        <x:v>0</x:v>
      </x:c>
      <x:c r="Q155" s="26" t="n">
        <x:v>0</x:v>
      </x:c>
      <x:c r="R155" s="26" t="n">
        <x:v>0</x:v>
      </x:c>
      <x:c r="S155" s="26" t="n">
        <x:v>0</x:v>
      </x:c>
      <x:c r="T155" s="26" t="n">
        <x:v>1375</x:v>
      </x:c>
      <x:c r="U155" s="26" t="n">
        <x:v>0</x:v>
      </x:c>
      <x:c r="V155" s="26" t="n">
        <x:v>0</x:v>
      </x:c>
      <x:c r="W155" s="26" t="n">
        <x:v>0</x:v>
      </x:c>
      <x:c r="X155" s="26" t="n">
        <x:v>0</x:v>
      </x:c>
      <x:c r="Y155" s="26" t="n">
        <x:v>0</x:v>
      </x:c>
      <x:c r="Z155" s="35" t="str">
        <x:v>February 2027 rent</x:v>
      </x:c>
    </x:row>
    <x:row r="156">
      <x:c r="A156" s="20" t="str">
        <x:v>FIN-00153</x:v>
      </x:c>
      <x:c r="B156" s="23" t="n">
        <x:v>46421</x:v>
      </x:c>
      <x:c r="C156" s="23" t="n">
        <x:v>46421</x:v>
      </x:c>
      <x:c r="D156" s="20" t="str">
        <x:v>TenantReceipt</x:v>
      </x:c>
      <x:c r="E156" s="20" t="str">
        <x:v>Rent receipt</x:v>
      </x:c>
      <x:c r="F156" s="20" t="str">
        <x:v>P027</x:v>
      </x:c>
      <x:c r="G156" s="20" t="str">
        <x:v>U033</x:v>
      </x:c>
      <x:c r="H156" s="20" t="str">
        <x:v>L033</x:v>
      </x:c>
      <x:c r="I156" s="20" t="str">
        <x:v>Dana Garcia</x:v>
      </x:c>
      <x:c r="J156" s="35" t="str">
        <x:v>Scanned money order</x:v>
      </x:c>
      <x:c r="K156" s="20" t="str">
        <x:v>SCN-0127</x:v>
      </x:c>
      <x:c r="L156" s="20" t="str">
        <x:v>PMT-20270203-L033-A</x:v>
      </x:c>
      <x:c r="M156" s="26" t="n">
        <x:v>825</x:v>
      </x:c>
      <x:c r="N156" s="26" t="n">
        <x:v>-825</x:v>
      </x:c>
      <x:c r="O156" s="26" t="n">
        <x:v>825</x:v>
      </x:c>
      <x:c r="P156" s="26" t="n">
        <x:v>0</x:v>
      </x:c>
      <x:c r="Q156" s="26" t="n">
        <x:v>0</x:v>
      </x:c>
      <x:c r="R156" s="26" t="n">
        <x:v>0</x:v>
      </x:c>
      <x:c r="S156" s="26" t="n">
        <x:v>0</x:v>
      </x:c>
      <x:c r="T156" s="26" t="n">
        <x:v>0</x:v>
      </x:c>
      <x:c r="U156" s="26" t="n">
        <x:v>0</x:v>
      </x:c>
      <x:c r="V156" s="26" t="n">
        <x:v>0</x:v>
      </x:c>
      <x:c r="W156" s="26" t="n">
        <x:v>0</x:v>
      </x:c>
      <x:c r="X156" s="26" t="n">
        <x:v>0</x:v>
      </x:c>
      <x:c r="Y156" s="26" t="n">
        <x:v>0</x:v>
      </x:c>
      <x:c r="Z156" s="35" t="str">
        <x:v>Receipt allocated to FIN-00152</x:v>
      </x:c>
    </x:row>
    <x:row r="157">
      <x:c r="A157" s="20" t="str">
        <x:v>FIN-00154</x:v>
      </x:c>
      <x:c r="B157" s="23" t="n">
        <x:v>46424</x:v>
      </x:c>
      <x:c r="C157" s="23" t="n">
        <x:v>46424</x:v>
      </x:c>
      <x:c r="D157" s="20" t="str">
        <x:v>TenantCharge</x:v>
      </x:c>
      <x:c r="E157" s="20" t="str">
        <x:v>Late fee</x:v>
      </x:c>
      <x:c r="F157" s="20" t="str">
        <x:v>P027</x:v>
      </x:c>
      <x:c r="G157" s="20" t="str">
        <x:v>U033</x:v>
      </x:c>
      <x:c r="H157" s="20" t="str">
        <x:v>L033</x:v>
      </x:c>
      <x:c r="I157" s="20" t="str">
        <x:v>Dana Garcia</x:v>
      </x:c>
      <x:c r="J157" s="35" t="str">
        <x:v>System automation</x:v>
      </x:c>
      <x:c r="K157" s="20" t="str"/>
      <x:c r="L157" s="20" t="str">
        <x:v>LATE-202702-L033</x:v>
      </x:c>
      <x:c r="M157" s="26" t="n">
        <x:v>50</x:v>
      </x:c>
      <x:c r="N157" s="26" t="n">
        <x:v>50</x:v>
      </x:c>
      <x:c r="O157" s="26" t="n">
        <x:v>0</x:v>
      </x:c>
      <x:c r="P157" s="26" t="n">
        <x:v>0</x:v>
      </x:c>
      <x:c r="Q157" s="26" t="n">
        <x:v>0</x:v>
      </x:c>
      <x:c r="R157" s="26" t="n">
        <x:v>0</x:v>
      </x:c>
      <x:c r="S157" s="26" t="n">
        <x:v>0</x:v>
      </x:c>
      <x:c r="T157" s="26" t="n">
        <x:v>50</x:v>
      </x:c>
      <x:c r="U157" s="26" t="n">
        <x:v>0</x:v>
      </x:c>
      <x:c r="V157" s="26" t="n">
        <x:v>0</x:v>
      </x:c>
      <x:c r="W157" s="26" t="n">
        <x:v>0</x:v>
      </x:c>
      <x:c r="X157" s="26" t="n">
        <x:v>0</x:v>
      </x:c>
      <x:c r="Y157" s="26" t="n">
        <x:v>0</x:v>
      </x:c>
      <x:c r="Z157" s="35" t="str">
        <x:v>Synthetic lease-authorized late fee after partial payment</x:v>
      </x:c>
    </x:row>
    <x:row r="158">
      <x:c r="A158" s="20" t="str">
        <x:v>FIN-00155</x:v>
      </x:c>
      <x:c r="B158" s="23" t="n">
        <x:v>46430</x:v>
      </x:c>
      <x:c r="C158" s="23" t="n">
        <x:v>46430</x:v>
      </x:c>
      <x:c r="D158" s="20" t="str">
        <x:v>TenantReceipt</x:v>
      </x:c>
      <x:c r="E158" s="20" t="str">
        <x:v>Rent receipt</x:v>
      </x:c>
      <x:c r="F158" s="20" t="str">
        <x:v>P027</x:v>
      </x:c>
      <x:c r="G158" s="20" t="str">
        <x:v>U033</x:v>
      </x:c>
      <x:c r="H158" s="20" t="str">
        <x:v>L033</x:v>
      </x:c>
      <x:c r="I158" s="20" t="str">
        <x:v>Dana Garcia</x:v>
      </x:c>
      <x:c r="J158" s="35" t="str">
        <x:v>Portal card</x:v>
      </x:c>
      <x:c r="K158" s="20" t="str"/>
      <x:c r="L158" s="20" t="str">
        <x:v>PMT-20270212-L033-B</x:v>
      </x:c>
      <x:c r="M158" s="26" t="n">
        <x:v>600</x:v>
      </x:c>
      <x:c r="N158" s="26" t="n">
        <x:v>-600</x:v>
      </x:c>
      <x:c r="O158" s="26" t="n">
        <x:v>600</x:v>
      </x:c>
      <x:c r="P158" s="26" t="n">
        <x:v>0</x:v>
      </x:c>
      <x:c r="Q158" s="26" t="n">
        <x:v>0</x:v>
      </x:c>
      <x:c r="R158" s="26" t="n">
        <x:v>0</x:v>
      </x:c>
      <x:c r="S158" s="26" t="n">
        <x:v>0</x:v>
      </x:c>
      <x:c r="T158" s="26" t="n">
        <x:v>0</x:v>
      </x:c>
      <x:c r="U158" s="26" t="n">
        <x:v>0</x:v>
      </x:c>
      <x:c r="V158" s="26" t="n">
        <x:v>0</x:v>
      </x:c>
      <x:c r="W158" s="26" t="n">
        <x:v>0</x:v>
      </x:c>
      <x:c r="X158" s="26" t="n">
        <x:v>0</x:v>
      </x:c>
      <x:c r="Y158" s="26" t="n">
        <x:v>0</x:v>
      </x:c>
      <x:c r="Z158" s="35" t="str">
        <x:v>Receipt allocated to FIN-00154</x:v>
      </x:c>
    </x:row>
    <x:row r="159">
      <x:c r="A159" s="20" t="str">
        <x:v>FIN-00156</x:v>
      </x:c>
      <x:c r="B159" s="23" t="n">
        <x:v>46419</x:v>
      </x:c>
      <x:c r="C159" s="23" t="n">
        <x:v>46419</x:v>
      </x:c>
      <x:c r="D159" s="20" t="str">
        <x:v>TenantCharge</x:v>
      </x:c>
      <x:c r="E159" s="20" t="str">
        <x:v>Rent</x:v>
      </x:c>
      <x:c r="F159" s="20" t="str">
        <x:v>P027</x:v>
      </x:c>
      <x:c r="G159" s="20" t="str">
        <x:v>U034</x:v>
      </x:c>
      <x:c r="H159" s="20" t="str">
        <x:v>L034</x:v>
      </x:c>
      <x:c r="I159" s="20" t="str">
        <x:v>Gray Lewis</x:v>
      </x:c>
      <x:c r="J159" s="35" t="str">
        <x:v>System scheduled charge</x:v>
      </x:c>
      <x:c r="K159" s="20" t="str"/>
      <x:c r="L159" s="20" t="str">
        <x:v>RENT-202702-L034</x:v>
      </x:c>
      <x:c r="M159" s="26" t="n">
        <x:v>1900</x:v>
      </x:c>
      <x:c r="N159" s="26" t="n">
        <x:v>1900</x:v>
      </x:c>
      <x:c r="O159" s="26" t="n">
        <x:v>0</x:v>
      </x:c>
      <x:c r="P159" s="26" t="n">
        <x:v>0</x:v>
      </x:c>
      <x:c r="Q159" s="26" t="n">
        <x:v>0</x:v>
      </x:c>
      <x:c r="R159" s="26" t="n">
        <x:v>0</x:v>
      </x:c>
      <x:c r="S159" s="26" t="n">
        <x:v>0</x:v>
      </x:c>
      <x:c r="T159" s="26" t="n">
        <x:v>1900</x:v>
      </x:c>
      <x:c r="U159" s="26" t="n">
        <x:v>0</x:v>
      </x:c>
      <x:c r="V159" s="26" t="n">
        <x:v>0</x:v>
      </x:c>
      <x:c r="W159" s="26" t="n">
        <x:v>0</x:v>
      </x:c>
      <x:c r="X159" s="26" t="n">
        <x:v>0</x:v>
      </x:c>
      <x:c r="Y159" s="26" t="n">
        <x:v>0</x:v>
      </x:c>
      <x:c r="Z159" s="35" t="str">
        <x:v>February 2027 rent</x:v>
      </x:c>
    </x:row>
    <x:row r="160">
      <x:c r="A160" s="20" t="str">
        <x:v>FIN-00157</x:v>
      </x:c>
      <x:c r="B160" s="23" t="n">
        <x:v>46422</x:v>
      </x:c>
      <x:c r="C160" s="23" t="n">
        <x:v>46422</x:v>
      </x:c>
      <x:c r="D160" s="20" t="str">
        <x:v>TenantReceipt</x:v>
      </x:c>
      <x:c r="E160" s="20" t="str">
        <x:v>Rent receipt</x:v>
      </x:c>
      <x:c r="F160" s="20" t="str">
        <x:v>P027</x:v>
      </x:c>
      <x:c r="G160" s="20" t="str">
        <x:v>U034</x:v>
      </x:c>
      <x:c r="H160" s="20" t="str">
        <x:v>L034</x:v>
      </x:c>
      <x:c r="I160" s="20" t="str">
        <x:v>Gray Lewis</x:v>
      </x:c>
      <x:c r="J160" s="35" t="str">
        <x:v>Manual ACH</x:v>
      </x:c>
      <x:c r="K160" s="20" t="str"/>
      <x:c r="L160" s="20" t="str">
        <x:v>PMT-20270204-L034</x:v>
      </x:c>
      <x:c r="M160" s="26" t="n">
        <x:v>1900</x:v>
      </x:c>
      <x:c r="N160" s="26" t="n">
        <x:v>-1900</x:v>
      </x:c>
      <x:c r="O160" s="26" t="n">
        <x:v>1900</x:v>
      </x:c>
      <x:c r="P160" s="26" t="n">
        <x:v>0</x:v>
      </x:c>
      <x:c r="Q160" s="26" t="n">
        <x:v>0</x:v>
      </x:c>
      <x:c r="R160" s="26" t="n">
        <x:v>0</x:v>
      </x:c>
      <x:c r="S160" s="26" t="n">
        <x:v>0</x:v>
      </x:c>
      <x:c r="T160" s="26" t="n">
        <x:v>0</x:v>
      </x:c>
      <x:c r="U160" s="26" t="n">
        <x:v>0</x:v>
      </x:c>
      <x:c r="V160" s="26" t="n">
        <x:v>0</x:v>
      </x:c>
      <x:c r="W160" s="26" t="n">
        <x:v>0</x:v>
      </x:c>
      <x:c r="X160" s="26" t="n">
        <x:v>0</x:v>
      </x:c>
      <x:c r="Y160" s="26" t="n">
        <x:v>0</x:v>
      </x:c>
      <x:c r="Z160" s="35" t="str">
        <x:v>Receipt allocated to FIN-00156</x:v>
      </x:c>
    </x:row>
    <x:row r="161">
      <x:c r="A161" s="20" t="str">
        <x:v>FIN-00158</x:v>
      </x:c>
      <x:c r="B161" s="23" t="n">
        <x:v>46419</x:v>
      </x:c>
      <x:c r="C161" s="23" t="n">
        <x:v>46419</x:v>
      </x:c>
      <x:c r="D161" s="20" t="str">
        <x:v>TenantCharge</x:v>
      </x:c>
      <x:c r="E161" s="20" t="str">
        <x:v>Rent</x:v>
      </x:c>
      <x:c r="F161" s="20" t="str">
        <x:v>P028</x:v>
      </x:c>
      <x:c r="G161" s="20" t="str">
        <x:v>U035</x:v>
      </x:c>
      <x:c r="H161" s="20" t="str">
        <x:v>L035</x:v>
      </x:c>
      <x:c r="I161" s="20" t="str">
        <x:v>Jordan Reed</x:v>
      </x:c>
      <x:c r="J161" s="35" t="str">
        <x:v>System scheduled charge</x:v>
      </x:c>
      <x:c r="K161" s="20" t="str"/>
      <x:c r="L161" s="20" t="str">
        <x:v>RENT-202702-L035</x:v>
      </x:c>
      <x:c r="M161" s="26" t="n">
        <x:v>1525</x:v>
      </x:c>
      <x:c r="N161" s="26" t="n">
        <x:v>1525</x:v>
      </x:c>
      <x:c r="O161" s="26" t="n">
        <x:v>0</x:v>
      </x:c>
      <x:c r="P161" s="26" t="n">
        <x:v>0</x:v>
      </x:c>
      <x:c r="Q161" s="26" t="n">
        <x:v>0</x:v>
      </x:c>
      <x:c r="R161" s="26" t="n">
        <x:v>0</x:v>
      </x:c>
      <x:c r="S161" s="26" t="n">
        <x:v>0</x:v>
      </x:c>
      <x:c r="T161" s="26" t="n">
        <x:v>1525</x:v>
      </x:c>
      <x:c r="U161" s="26" t="n">
        <x:v>0</x:v>
      </x:c>
      <x:c r="V161" s="26" t="n">
        <x:v>0</x:v>
      </x:c>
      <x:c r="W161" s="26" t="n">
        <x:v>0</x:v>
      </x:c>
      <x:c r="X161" s="26" t="n">
        <x:v>0</x:v>
      </x:c>
      <x:c r="Y161" s="26" t="n">
        <x:v>0</x:v>
      </x:c>
      <x:c r="Z161" s="35" t="str">
        <x:v>February 2027 rent</x:v>
      </x:c>
    </x:row>
    <x:row r="162">
      <x:c r="A162" s="20" t="str">
        <x:v>FIN-00159</x:v>
      </x:c>
      <x:c r="B162" s="23" t="n">
        <x:v>46423</x:v>
      </x:c>
      <x:c r="C162" s="23" t="n">
        <x:v>46423</x:v>
      </x:c>
      <x:c r="D162" s="20" t="str">
        <x:v>TenantReceipt</x:v>
      </x:c>
      <x:c r="E162" s="20" t="str">
        <x:v>Rent receipt</x:v>
      </x:c>
      <x:c r="F162" s="20" t="str">
        <x:v>P028</x:v>
      </x:c>
      <x:c r="G162" s="20" t="str">
        <x:v>U035</x:v>
      </x:c>
      <x:c r="H162" s="20" t="str">
        <x:v>L035</x:v>
      </x:c>
      <x:c r="I162" s="20" t="str">
        <x:v>Jordan Reed</x:v>
      </x:c>
      <x:c r="J162" s="35" t="str">
        <x:v>Portal card</x:v>
      </x:c>
      <x:c r="K162" s="20" t="str"/>
      <x:c r="L162" s="20" t="str">
        <x:v>PMT-20270205-L035</x:v>
      </x:c>
      <x:c r="M162" s="26" t="n">
        <x:v>1525</x:v>
      </x:c>
      <x:c r="N162" s="26" t="n">
        <x:v>-1525</x:v>
      </x:c>
      <x:c r="O162" s="26" t="n">
        <x:v>1525</x:v>
      </x:c>
      <x:c r="P162" s="26" t="n">
        <x:v>0</x:v>
      </x:c>
      <x:c r="Q162" s="26" t="n">
        <x:v>0</x:v>
      </x:c>
      <x:c r="R162" s="26" t="n">
        <x:v>0</x:v>
      </x:c>
      <x:c r="S162" s="26" t="n">
        <x:v>0</x:v>
      </x:c>
      <x:c r="T162" s="26" t="n">
        <x:v>0</x:v>
      </x:c>
      <x:c r="U162" s="26" t="n">
        <x:v>0</x:v>
      </x:c>
      <x:c r="V162" s="26" t="n">
        <x:v>0</x:v>
      </x:c>
      <x:c r="W162" s="26" t="n">
        <x:v>0</x:v>
      </x:c>
      <x:c r="X162" s="26" t="n">
        <x:v>0</x:v>
      </x:c>
      <x:c r="Y162" s="26" t="n">
        <x:v>0</x:v>
      </x:c>
      <x:c r="Z162" s="35" t="str">
        <x:v>Receipt allocated to FIN-00158</x:v>
      </x:c>
    </x:row>
    <x:row r="163">
      <x:c r="A163" s="20" t="str">
        <x:v>FIN-00160</x:v>
      </x:c>
      <x:c r="B163" s="23" t="n">
        <x:v>46419</x:v>
      </x:c>
      <x:c r="C163" s="23" t="n">
        <x:v>46419</x:v>
      </x:c>
      <x:c r="D163" s="20" t="str">
        <x:v>TenantCharge</x:v>
      </x:c>
      <x:c r="E163" s="20" t="str">
        <x:v>Rent</x:v>
      </x:c>
      <x:c r="F163" s="20" t="str">
        <x:v>P028</x:v>
      </x:c>
      <x:c r="G163" s="20" t="str">
        <x:v>U036</x:v>
      </x:c>
      <x:c r="H163" s="20" t="str">
        <x:v>L036</x:v>
      </x:c>
      <x:c r="I163" s="20" t="str">
        <x:v>Morgan Adams</x:v>
      </x:c>
      <x:c r="J163" s="35" t="str">
        <x:v>System scheduled charge</x:v>
      </x:c>
      <x:c r="K163" s="20" t="str"/>
      <x:c r="L163" s="20" t="str">
        <x:v>RENT-202702-L036</x:v>
      </x:c>
      <x:c r="M163" s="26" t="n">
        <x:v>1150</x:v>
      </x:c>
      <x:c r="N163" s="26" t="n">
        <x:v>1150</x:v>
      </x:c>
      <x:c r="O163" s="26" t="n">
        <x:v>0</x:v>
      </x:c>
      <x:c r="P163" s="26" t="n">
        <x:v>0</x:v>
      </x:c>
      <x:c r="Q163" s="26" t="n">
        <x:v>0</x:v>
      </x:c>
      <x:c r="R163" s="26" t="n">
        <x:v>0</x:v>
      </x:c>
      <x:c r="S163" s="26" t="n">
        <x:v>0</x:v>
      </x:c>
      <x:c r="T163" s="26" t="n">
        <x:v>1150</x:v>
      </x:c>
      <x:c r="U163" s="26" t="n">
        <x:v>0</x:v>
      </x:c>
      <x:c r="V163" s="26" t="n">
        <x:v>0</x:v>
      </x:c>
      <x:c r="W163" s="26" t="n">
        <x:v>0</x:v>
      </x:c>
      <x:c r="X163" s="26" t="n">
        <x:v>0</x:v>
      </x:c>
      <x:c r="Y163" s="26" t="n">
        <x:v>0</x:v>
      </x:c>
      <x:c r="Z163" s="35" t="str">
        <x:v>February 2027 rent</x:v>
      </x:c>
    </x:row>
    <x:row r="164">
      <x:c r="A164" s="20" t="str">
        <x:v>FIN-00161</x:v>
      </x:c>
      <x:c r="B164" s="23" t="n">
        <x:v>46421</x:v>
      </x:c>
      <x:c r="C164" s="23" t="n">
        <x:v>46421</x:v>
      </x:c>
      <x:c r="D164" s="20" t="str">
        <x:v>TenantReceipt</x:v>
      </x:c>
      <x:c r="E164" s="20" t="str">
        <x:v>Rent receipt</x:v>
      </x:c>
      <x:c r="F164" s="20" t="str">
        <x:v>P028</x:v>
      </x:c>
      <x:c r="G164" s="20" t="str">
        <x:v>U036</x:v>
      </x:c>
      <x:c r="H164" s="20" t="str">
        <x:v>L036</x:v>
      </x:c>
      <x:c r="I164" s="20" t="str">
        <x:v>Morgan Adams</x:v>
      </x:c>
      <x:c r="J164" s="35" t="str">
        <x:v>Scanned check</x:v>
      </x:c>
      <x:c r="K164" s="20" t="str">
        <x:v>SCN-0128</x:v>
      </x:c>
      <x:c r="L164" s="20" t="str">
        <x:v>PMT-20270203-L036</x:v>
      </x:c>
      <x:c r="M164" s="26" t="n">
        <x:v>1150</x:v>
      </x:c>
      <x:c r="N164" s="26" t="n">
        <x:v>-1150</x:v>
      </x:c>
      <x:c r="O164" s="26" t="n">
        <x:v>1150</x:v>
      </x:c>
      <x:c r="P164" s="26" t="n">
        <x:v>0</x:v>
      </x:c>
      <x:c r="Q164" s="26" t="n">
        <x:v>0</x:v>
      </x:c>
      <x:c r="R164" s="26" t="n">
        <x:v>0</x:v>
      </x:c>
      <x:c r="S164" s="26" t="n">
        <x:v>0</x:v>
      </x:c>
      <x:c r="T164" s="26" t="n">
        <x:v>0</x:v>
      </x:c>
      <x:c r="U164" s="26" t="n">
        <x:v>0</x:v>
      </x:c>
      <x:c r="V164" s="26" t="n">
        <x:v>0</x:v>
      </x:c>
      <x:c r="W164" s="26" t="n">
        <x:v>0</x:v>
      </x:c>
      <x:c r="X164" s="26" t="n">
        <x:v>0</x:v>
      </x:c>
      <x:c r="Y164" s="26" t="n">
        <x:v>0</x:v>
      </x:c>
      <x:c r="Z164" s="35" t="str">
        <x:v>Receipt allocated to FIN-00160</x:v>
      </x:c>
    </x:row>
    <x:row r="165">
      <x:c r="A165" s="20" t="str">
        <x:v>FIN-00162</x:v>
      </x:c>
      <x:c r="B165" s="23" t="n">
        <x:v>46419</x:v>
      </x:c>
      <x:c r="C165" s="23" t="n">
        <x:v>46419</x:v>
      </x:c>
      <x:c r="D165" s="20" t="str">
        <x:v>TenantCharge</x:v>
      </x:c>
      <x:c r="E165" s="20" t="str">
        <x:v>Rent</x:v>
      </x:c>
      <x:c r="F165" s="20" t="str">
        <x:v>P029</x:v>
      </x:c>
      <x:c r="G165" s="20" t="str">
        <x:v>U037</x:v>
      </x:c>
      <x:c r="H165" s="20" t="str">
        <x:v>L043</x:v>
      </x:c>
      <x:c r="I165" s="20" t="str">
        <x:v>Hector Reed</x:v>
      </x:c>
      <x:c r="J165" s="35" t="str">
        <x:v>System scheduled charge</x:v>
      </x:c>
      <x:c r="K165" s="20" t="str"/>
      <x:c r="L165" s="20" t="str">
        <x:v>RENT-202702-L043</x:v>
      </x:c>
      <x:c r="M165" s="26" t="n">
        <x:v>1675</x:v>
      </x:c>
      <x:c r="N165" s="26" t="n">
        <x:v>1675</x:v>
      </x:c>
      <x:c r="O165" s="26" t="n">
        <x:v>0</x:v>
      </x:c>
      <x:c r="P165" s="26" t="n">
        <x:v>0</x:v>
      </x:c>
      <x:c r="Q165" s="26" t="n">
        <x:v>0</x:v>
      </x:c>
      <x:c r="R165" s="26" t="n">
        <x:v>0</x:v>
      </x:c>
      <x:c r="S165" s="26" t="n">
        <x:v>0</x:v>
      </x:c>
      <x:c r="T165" s="26" t="n">
        <x:v>1675</x:v>
      </x:c>
      <x:c r="U165" s="26" t="n">
        <x:v>0</x:v>
      </x:c>
      <x:c r="V165" s="26" t="n">
        <x:v>0</x:v>
      </x:c>
      <x:c r="W165" s="26" t="n">
        <x:v>0</x:v>
      </x:c>
      <x:c r="X165" s="26" t="n">
        <x:v>0</x:v>
      </x:c>
      <x:c r="Y165" s="26" t="n">
        <x:v>0</x:v>
      </x:c>
      <x:c r="Z165" s="35" t="str">
        <x:v>February 2027 rent</x:v>
      </x:c>
    </x:row>
    <x:row r="166">
      <x:c r="A166" s="20" t="str">
        <x:v>FIN-00163</x:v>
      </x:c>
      <x:c r="B166" s="23" t="n">
        <x:v>46422</x:v>
      </x:c>
      <x:c r="C166" s="23" t="n">
        <x:v>46422</x:v>
      </x:c>
      <x:c r="D166" s="20" t="str">
        <x:v>TenantReceipt</x:v>
      </x:c>
      <x:c r="E166" s="20" t="str">
        <x:v>Rent receipt</x:v>
      </x:c>
      <x:c r="F166" s="20" t="str">
        <x:v>P029</x:v>
      </x:c>
      <x:c r="G166" s="20" t="str">
        <x:v>U037</x:v>
      </x:c>
      <x:c r="H166" s="20" t="str">
        <x:v>L043</x:v>
      </x:c>
      <x:c r="I166" s="20" t="str">
        <x:v>Hector Reed</x:v>
      </x:c>
      <x:c r="J166" s="35" t="str">
        <x:v>Portal card</x:v>
      </x:c>
      <x:c r="K166" s="20" t="str"/>
      <x:c r="L166" s="20" t="str">
        <x:v>PMT-20270204-L043</x:v>
      </x:c>
      <x:c r="M166" s="26" t="n">
        <x:v>1675</x:v>
      </x:c>
      <x:c r="N166" s="26" t="n">
        <x:v>-1675</x:v>
      </x:c>
      <x:c r="O166" s="26" t="n">
        <x:v>1675</x:v>
      </x:c>
      <x:c r="P166" s="26" t="n">
        <x:v>0</x:v>
      </x:c>
      <x:c r="Q166" s="26" t="n">
        <x:v>0</x:v>
      </x:c>
      <x:c r="R166" s="26" t="n">
        <x:v>0</x:v>
      </x:c>
      <x:c r="S166" s="26" t="n">
        <x:v>0</x:v>
      </x:c>
      <x:c r="T166" s="26" t="n">
        <x:v>0</x:v>
      </x:c>
      <x:c r="U166" s="26" t="n">
        <x:v>0</x:v>
      </x:c>
      <x:c r="V166" s="26" t="n">
        <x:v>0</x:v>
      </x:c>
      <x:c r="W166" s="26" t="n">
        <x:v>0</x:v>
      </x:c>
      <x:c r="X166" s="26" t="n">
        <x:v>0</x:v>
      </x:c>
      <x:c r="Y166" s="26" t="n">
        <x:v>0</x:v>
      </x:c>
      <x:c r="Z166" s="35" t="str">
        <x:v>Receipt allocated to FIN-00162</x:v>
      </x:c>
    </x:row>
    <x:row r="167">
      <x:c r="A167" s="20" t="str">
        <x:v>FIN-00164</x:v>
      </x:c>
      <x:c r="B167" s="23" t="n">
        <x:v>46447</x:v>
      </x:c>
      <x:c r="C167" s="23" t="n">
        <x:v>46447</x:v>
      </x:c>
      <x:c r="D167" s="20" t="str">
        <x:v>TenantCharge</x:v>
      </x:c>
      <x:c r="E167" s="20" t="str">
        <x:v>Rent</x:v>
      </x:c>
      <x:c r="F167" s="20" t="str">
        <x:v>P001</x:v>
      </x:c>
      <x:c r="G167" s="20" t="str">
        <x:v>U001</x:v>
      </x:c>
      <x:c r="H167" s="20" t="str">
        <x:v>L001</x:v>
      </x:c>
      <x:c r="I167" s="20" t="str">
        <x:v>Dana Garcia</x:v>
      </x:c>
      <x:c r="J167" s="35" t="str">
        <x:v>System scheduled charge</x:v>
      </x:c>
      <x:c r="K167" s="20" t="str"/>
      <x:c r="L167" s="20" t="str">
        <x:v>RENT-202703-L001</x:v>
      </x:c>
      <x:c r="M167" s="26" t="n">
        <x:v>1575</x:v>
      </x:c>
      <x:c r="N167" s="26" t="n">
        <x:v>1575</x:v>
      </x:c>
      <x:c r="O167" s="26" t="n">
        <x:v>0</x:v>
      </x:c>
      <x:c r="P167" s="26" t="n">
        <x:v>0</x:v>
      </x:c>
      <x:c r="Q167" s="26" t="n">
        <x:v>0</x:v>
      </x:c>
      <x:c r="R167" s="26" t="n">
        <x:v>0</x:v>
      </x:c>
      <x:c r="S167" s="26" t="n">
        <x:v>0</x:v>
      </x:c>
      <x:c r="T167" s="26" t="n">
        <x:v>1575</x:v>
      </x:c>
      <x:c r="U167" s="26" t="n">
        <x:v>0</x:v>
      </x:c>
      <x:c r="V167" s="26" t="n">
        <x:v>0</x:v>
      </x:c>
      <x:c r="W167" s="26" t="n">
        <x:v>0</x:v>
      </x:c>
      <x:c r="X167" s="26" t="n">
        <x:v>0</x:v>
      </x:c>
      <x:c r="Y167" s="26" t="n">
        <x:v>0</x:v>
      </x:c>
      <x:c r="Z167" s="35" t="str">
        <x:v>March 2027 rent</x:v>
      </x:c>
    </x:row>
    <x:row r="168">
      <x:c r="A168" s="20" t="str">
        <x:v>FIN-00165</x:v>
      </x:c>
      <x:c r="B168" s="23" t="n">
        <x:v>46450</x:v>
      </x:c>
      <x:c r="C168" s="23" t="n">
        <x:v>46450</x:v>
      </x:c>
      <x:c r="D168" s="20" t="str">
        <x:v>TenantReceipt</x:v>
      </x:c>
      <x:c r="E168" s="20" t="str">
        <x:v>Rent receipt</x:v>
      </x:c>
      <x:c r="F168" s="20" t="str">
        <x:v>P001</x:v>
      </x:c>
      <x:c r="G168" s="20" t="str">
        <x:v>U001</x:v>
      </x:c>
      <x:c r="H168" s="20" t="str">
        <x:v>L001</x:v>
      </x:c>
      <x:c r="I168" s="20" t="str">
        <x:v>Dana Garcia</x:v>
      </x:c>
      <x:c r="J168" s="35" t="str">
        <x:v>Scanned money order</x:v>
      </x:c>
      <x:c r="K168" s="20" t="str">
        <x:v>SCN-0129</x:v>
      </x:c>
      <x:c r="L168" s="20" t="str">
        <x:v>PMT-20270304-L001</x:v>
      </x:c>
      <x:c r="M168" s="26" t="n">
        <x:v>1575</x:v>
      </x:c>
      <x:c r="N168" s="26" t="n">
        <x:v>-1575</x:v>
      </x:c>
      <x:c r="O168" s="26" t="n">
        <x:v>1575</x:v>
      </x:c>
      <x:c r="P168" s="26" t="n">
        <x:v>0</x:v>
      </x:c>
      <x:c r="Q168" s="26" t="n">
        <x:v>0</x:v>
      </x:c>
      <x:c r="R168" s="26" t="n">
        <x:v>0</x:v>
      </x:c>
      <x:c r="S168" s="26" t="n">
        <x:v>0</x:v>
      </x:c>
      <x:c r="T168" s="26" t="n">
        <x:v>0</x:v>
      </x:c>
      <x:c r="U168" s="26" t="n">
        <x:v>0</x:v>
      </x:c>
      <x:c r="V168" s="26" t="n">
        <x:v>0</x:v>
      </x:c>
      <x:c r="W168" s="26" t="n">
        <x:v>0</x:v>
      </x:c>
      <x:c r="X168" s="26" t="n">
        <x:v>0</x:v>
      </x:c>
      <x:c r="Y168" s="26" t="n">
        <x:v>0</x:v>
      </x:c>
      <x:c r="Z168" s="35" t="str">
        <x:v>Receipt allocated to FIN-00164</x:v>
      </x:c>
    </x:row>
    <x:row r="169">
      <x:c r="A169" s="20" t="str">
        <x:v>FIN-00166</x:v>
      </x:c>
      <x:c r="B169" s="23" t="n">
        <x:v>46447</x:v>
      </x:c>
      <x:c r="C169" s="23" t="n">
        <x:v>46447</x:v>
      </x:c>
      <x:c r="D169" s="20" t="str">
        <x:v>TenantCharge</x:v>
      </x:c>
      <x:c r="E169" s="20" t="str">
        <x:v>Rent</x:v>
      </x:c>
      <x:c r="F169" s="20" t="str">
        <x:v>P002</x:v>
      </x:c>
      <x:c r="G169" s="20" t="str">
        <x:v>U002</x:v>
      </x:c>
      <x:c r="H169" s="20" t="str">
        <x:v>L002</x:v>
      </x:c>
      <x:c r="I169" s="20" t="str">
        <x:v>Gray Lewis</x:v>
      </x:c>
      <x:c r="J169" s="35" t="str">
        <x:v>System scheduled charge</x:v>
      </x:c>
      <x:c r="K169" s="20" t="str"/>
      <x:c r="L169" s="20" t="str">
        <x:v>RENT-202703-L002</x:v>
      </x:c>
      <x:c r="M169" s="26" t="n">
        <x:v>1200</x:v>
      </x:c>
      <x:c r="N169" s="26" t="n">
        <x:v>1200</x:v>
      </x:c>
      <x:c r="O169" s="26" t="n">
        <x:v>0</x:v>
      </x:c>
      <x:c r="P169" s="26" t="n">
        <x:v>0</x:v>
      </x:c>
      <x:c r="Q169" s="26" t="n">
        <x:v>0</x:v>
      </x:c>
      <x:c r="R169" s="26" t="n">
        <x:v>0</x:v>
      </x:c>
      <x:c r="S169" s="26" t="n">
        <x:v>0</x:v>
      </x:c>
      <x:c r="T169" s="26" t="n">
        <x:v>1200</x:v>
      </x:c>
      <x:c r="U169" s="26" t="n">
        <x:v>0</x:v>
      </x:c>
      <x:c r="V169" s="26" t="n">
        <x:v>0</x:v>
      </x:c>
      <x:c r="W169" s="26" t="n">
        <x:v>0</x:v>
      </x:c>
      <x:c r="X169" s="26" t="n">
        <x:v>0</x:v>
      </x:c>
      <x:c r="Y169" s="26" t="n">
        <x:v>0</x:v>
      </x:c>
      <x:c r="Z169" s="35" t="str">
        <x:v>March 2027 rent</x:v>
      </x:c>
    </x:row>
    <x:row r="170">
      <x:c r="A170" s="20" t="str">
        <x:v>FIN-00167</x:v>
      </x:c>
      <x:c r="B170" s="23" t="n">
        <x:v>46451</x:v>
      </x:c>
      <x:c r="C170" s="23" t="n">
        <x:v>46451</x:v>
      </x:c>
      <x:c r="D170" s="20" t="str">
        <x:v>TenantReceipt</x:v>
      </x:c>
      <x:c r="E170" s="20" t="str">
        <x:v>Rent receipt</x:v>
      </x:c>
      <x:c r="F170" s="20" t="str">
        <x:v>P002</x:v>
      </x:c>
      <x:c r="G170" s="20" t="str">
        <x:v>U002</x:v>
      </x:c>
      <x:c r="H170" s="20" t="str">
        <x:v>L002</x:v>
      </x:c>
      <x:c r="I170" s="20" t="str">
        <x:v>Gray Lewis</x:v>
      </x:c>
      <x:c r="J170" s="35" t="str">
        <x:v>Manual ACH</x:v>
      </x:c>
      <x:c r="K170" s="20" t="str"/>
      <x:c r="L170" s="20" t="str">
        <x:v>PMT-20270305-L002</x:v>
      </x:c>
      <x:c r="M170" s="26" t="n">
        <x:v>1200</x:v>
      </x:c>
      <x:c r="N170" s="26" t="n">
        <x:v>-1200</x:v>
      </x:c>
      <x:c r="O170" s="26" t="n">
        <x:v>1200</x:v>
      </x:c>
      <x:c r="P170" s="26" t="n">
        <x:v>0</x:v>
      </x:c>
      <x:c r="Q170" s="26" t="n">
        <x:v>0</x:v>
      </x:c>
      <x:c r="R170" s="26" t="n">
        <x:v>0</x:v>
      </x:c>
      <x:c r="S170" s="26" t="n">
        <x:v>0</x:v>
      </x:c>
      <x:c r="T170" s="26" t="n">
        <x:v>0</x:v>
      </x:c>
      <x:c r="U170" s="26" t="n">
        <x:v>0</x:v>
      </x:c>
      <x:c r="V170" s="26" t="n">
        <x:v>0</x:v>
      </x:c>
      <x:c r="W170" s="26" t="n">
        <x:v>0</x:v>
      </x:c>
      <x:c r="X170" s="26" t="n">
        <x:v>0</x:v>
      </x:c>
      <x:c r="Y170" s="26" t="n">
        <x:v>0</x:v>
      </x:c>
      <x:c r="Z170" s="35" t="str">
        <x:v>Receipt allocated to FIN-00166</x:v>
      </x:c>
    </x:row>
    <x:row r="171">
      <x:c r="A171" s="20" t="str">
        <x:v>FIN-00168</x:v>
      </x:c>
      <x:c r="B171" s="23" t="n">
        <x:v>46447</x:v>
      </x:c>
      <x:c r="C171" s="23" t="n">
        <x:v>46447</x:v>
      </x:c>
      <x:c r="D171" s="20" t="str">
        <x:v>TenantCharge</x:v>
      </x:c>
      <x:c r="E171" s="20" t="str">
        <x:v>Rent</x:v>
      </x:c>
      <x:c r="F171" s="20" t="str">
        <x:v>P003</x:v>
      </x:c>
      <x:c r="G171" s="20" t="str">
        <x:v>U003</x:v>
      </x:c>
      <x:c r="H171" s="20" t="str">
        <x:v>L003</x:v>
      </x:c>
      <x:c r="I171" s="20" t="str">
        <x:v>Jordan Reed</x:v>
      </x:c>
      <x:c r="J171" s="35" t="str">
        <x:v>System scheduled charge</x:v>
      </x:c>
      <x:c r="K171" s="20" t="str"/>
      <x:c r="L171" s="20" t="str">
        <x:v>RENT-202703-L003</x:v>
      </x:c>
      <x:c r="M171" s="26" t="n">
        <x:v>1725</x:v>
      </x:c>
      <x:c r="N171" s="26" t="n">
        <x:v>1725</x:v>
      </x:c>
      <x:c r="O171" s="26" t="n">
        <x:v>0</x:v>
      </x:c>
      <x:c r="P171" s="26" t="n">
        <x:v>0</x:v>
      </x:c>
      <x:c r="Q171" s="26" t="n">
        <x:v>0</x:v>
      </x:c>
      <x:c r="R171" s="26" t="n">
        <x:v>0</x:v>
      </x:c>
      <x:c r="S171" s="26" t="n">
        <x:v>0</x:v>
      </x:c>
      <x:c r="T171" s="26" t="n">
        <x:v>1725</x:v>
      </x:c>
      <x:c r="U171" s="26" t="n">
        <x:v>0</x:v>
      </x:c>
      <x:c r="V171" s="26" t="n">
        <x:v>0</x:v>
      </x:c>
      <x:c r="W171" s="26" t="n">
        <x:v>0</x:v>
      </x:c>
      <x:c r="X171" s="26" t="n">
        <x:v>0</x:v>
      </x:c>
      <x:c r="Y171" s="26" t="n">
        <x:v>0</x:v>
      </x:c>
      <x:c r="Z171" s="35" t="str">
        <x:v>March 2027 rent</x:v>
      </x:c>
    </x:row>
    <x:row r="172">
      <x:c r="A172" s="20" t="str">
        <x:v>FIN-00169</x:v>
      </x:c>
      <x:c r="B172" s="23" t="n">
        <x:v>46449</x:v>
      </x:c>
      <x:c r="C172" s="23" t="n">
        <x:v>46449</x:v>
      </x:c>
      <x:c r="D172" s="20" t="str">
        <x:v>TenantReceipt</x:v>
      </x:c>
      <x:c r="E172" s="20" t="str">
        <x:v>Rent receipt</x:v>
      </x:c>
      <x:c r="F172" s="20" t="str">
        <x:v>P003</x:v>
      </x:c>
      <x:c r="G172" s="20" t="str">
        <x:v>U003</x:v>
      </x:c>
      <x:c r="H172" s="20" t="str">
        <x:v>L003</x:v>
      </x:c>
      <x:c r="I172" s="20" t="str">
        <x:v>Jordan Reed</x:v>
      </x:c>
      <x:c r="J172" s="35" t="str">
        <x:v>Portal card</x:v>
      </x:c>
      <x:c r="K172" s="20" t="str"/>
      <x:c r="L172" s="20" t="str">
        <x:v>PMT-20270303-L003</x:v>
      </x:c>
      <x:c r="M172" s="26" t="n">
        <x:v>1725</x:v>
      </x:c>
      <x:c r="N172" s="26" t="n">
        <x:v>-1725</x:v>
      </x:c>
      <x:c r="O172" s="26" t="n">
        <x:v>1725</x:v>
      </x:c>
      <x:c r="P172" s="26" t="n">
        <x:v>0</x:v>
      </x:c>
      <x:c r="Q172" s="26" t="n">
        <x:v>0</x:v>
      </x:c>
      <x:c r="R172" s="26" t="n">
        <x:v>0</x:v>
      </x:c>
      <x:c r="S172" s="26" t="n">
        <x:v>0</x:v>
      </x:c>
      <x:c r="T172" s="26" t="n">
        <x:v>0</x:v>
      </x:c>
      <x:c r="U172" s="26" t="n">
        <x:v>0</x:v>
      </x:c>
      <x:c r="V172" s="26" t="n">
        <x:v>0</x:v>
      </x:c>
      <x:c r="W172" s="26" t="n">
        <x:v>0</x:v>
      </x:c>
      <x:c r="X172" s="26" t="n">
        <x:v>0</x:v>
      </x:c>
      <x:c r="Y172" s="26" t="n">
        <x:v>0</x:v>
      </x:c>
      <x:c r="Z172" s="35" t="str">
        <x:v>Receipt allocated to FIN-00168</x:v>
      </x:c>
    </x:row>
    <x:row r="173">
      <x:c r="A173" s="20" t="str">
        <x:v>FIN-00170</x:v>
      </x:c>
      <x:c r="B173" s="23" t="n">
        <x:v>46447</x:v>
      </x:c>
      <x:c r="C173" s="23" t="n">
        <x:v>46447</x:v>
      </x:c>
      <x:c r="D173" s="20" t="str">
        <x:v>TenantCharge</x:v>
      </x:c>
      <x:c r="E173" s="20" t="str">
        <x:v>Rent</x:v>
      </x:c>
      <x:c r="F173" s="20" t="str">
        <x:v>P004</x:v>
      </x:c>
      <x:c r="G173" s="20" t="str">
        <x:v>U004</x:v>
      </x:c>
      <x:c r="H173" s="20" t="str">
        <x:v>L004</x:v>
      </x:c>
      <x:c r="I173" s="20" t="str">
        <x:v>Morgan Adams</x:v>
      </x:c>
      <x:c r="J173" s="35" t="str">
        <x:v>System scheduled charge</x:v>
      </x:c>
      <x:c r="K173" s="20" t="str"/>
      <x:c r="L173" s="20" t="str">
        <x:v>RENT-202703-L004</x:v>
      </x:c>
      <x:c r="M173" s="26" t="n">
        <x:v>1350</x:v>
      </x:c>
      <x:c r="N173" s="26" t="n">
        <x:v>1350</x:v>
      </x:c>
      <x:c r="O173" s="26" t="n">
        <x:v>0</x:v>
      </x:c>
      <x:c r="P173" s="26" t="n">
        <x:v>0</x:v>
      </x:c>
      <x:c r="Q173" s="26" t="n">
        <x:v>0</x:v>
      </x:c>
      <x:c r="R173" s="26" t="n">
        <x:v>0</x:v>
      </x:c>
      <x:c r="S173" s="26" t="n">
        <x:v>0</x:v>
      </x:c>
      <x:c r="T173" s="26" t="n">
        <x:v>1350</x:v>
      </x:c>
      <x:c r="U173" s="26" t="n">
        <x:v>0</x:v>
      </x:c>
      <x:c r="V173" s="26" t="n">
        <x:v>0</x:v>
      </x:c>
      <x:c r="W173" s="26" t="n">
        <x:v>0</x:v>
      </x:c>
      <x:c r="X173" s="26" t="n">
        <x:v>0</x:v>
      </x:c>
      <x:c r="Y173" s="26" t="n">
        <x:v>0</x:v>
      </x:c>
      <x:c r="Z173" s="35" t="str">
        <x:v>March 2027 rent</x:v>
      </x:c>
    </x:row>
    <x:row r="174">
      <x:c r="A174" s="20" t="str">
        <x:v>FIN-00171</x:v>
      </x:c>
      <x:c r="B174" s="23" t="n">
        <x:v>46450</x:v>
      </x:c>
      <x:c r="C174" s="23" t="n">
        <x:v>46450</x:v>
      </x:c>
      <x:c r="D174" s="20" t="str">
        <x:v>TenantReceipt</x:v>
      </x:c>
      <x:c r="E174" s="20" t="str">
        <x:v>Rent receipt</x:v>
      </x:c>
      <x:c r="F174" s="20" t="str">
        <x:v>P004</x:v>
      </x:c>
      <x:c r="G174" s="20" t="str">
        <x:v>U004</x:v>
      </x:c>
      <x:c r="H174" s="20" t="str">
        <x:v>L004</x:v>
      </x:c>
      <x:c r="I174" s="20" t="str">
        <x:v>Morgan Adams</x:v>
      </x:c>
      <x:c r="J174" s="35" t="str">
        <x:v>Scanned check</x:v>
      </x:c>
      <x:c r="K174" s="20" t="str">
        <x:v>SCN-0130</x:v>
      </x:c>
      <x:c r="L174" s="20" t="str">
        <x:v>PMT-20270304-L004</x:v>
      </x:c>
      <x:c r="M174" s="26" t="n">
        <x:v>1350</x:v>
      </x:c>
      <x:c r="N174" s="26" t="n">
        <x:v>-1350</x:v>
      </x:c>
      <x:c r="O174" s="26" t="n">
        <x:v>1350</x:v>
      </x:c>
      <x:c r="P174" s="26" t="n">
        <x:v>0</x:v>
      </x:c>
      <x:c r="Q174" s="26" t="n">
        <x:v>0</x:v>
      </x:c>
      <x:c r="R174" s="26" t="n">
        <x:v>0</x:v>
      </x:c>
      <x:c r="S174" s="26" t="n">
        <x:v>0</x:v>
      </x:c>
      <x:c r="T174" s="26" t="n">
        <x:v>0</x:v>
      </x:c>
      <x:c r="U174" s="26" t="n">
        <x:v>0</x:v>
      </x:c>
      <x:c r="V174" s="26" t="n">
        <x:v>0</x:v>
      </x:c>
      <x:c r="W174" s="26" t="n">
        <x:v>0</x:v>
      </x:c>
      <x:c r="X174" s="26" t="n">
        <x:v>0</x:v>
      </x:c>
      <x:c r="Y174" s="26" t="n">
        <x:v>0</x:v>
      </x:c>
      <x:c r="Z174" s="35" t="str">
        <x:v>Receipt allocated to FIN-00170</x:v>
      </x:c>
    </x:row>
    <x:row r="175">
      <x:c r="A175" s="20" t="str">
        <x:v>FIN-00172</x:v>
      </x:c>
      <x:c r="B175" s="23" t="n">
        <x:v>46447</x:v>
      </x:c>
      <x:c r="C175" s="23" t="n">
        <x:v>46447</x:v>
      </x:c>
      <x:c r="D175" s="20" t="str">
        <x:v>TenantCharge</x:v>
      </x:c>
      <x:c r="E175" s="20" t="str">
        <x:v>Rent</x:v>
      </x:c>
      <x:c r="F175" s="20" t="str">
        <x:v>P006</x:v>
      </x:c>
      <x:c r="G175" s="20" t="str">
        <x:v>U006</x:v>
      </x:c>
      <x:c r="H175" s="20" t="str">
        <x:v>L006</x:v>
      </x:c>
      <x:c r="I175" s="20" t="str">
        <x:v>Sage King</x:v>
      </x:c>
      <x:c r="J175" s="35" t="str">
        <x:v>System scheduled charge</x:v>
      </x:c>
      <x:c r="K175" s="20" t="str"/>
      <x:c r="L175" s="20" t="str">
        <x:v>RENT-202703-L006</x:v>
      </x:c>
      <x:c r="M175" s="26" t="n">
        <x:v>1500</x:v>
      </x:c>
      <x:c r="N175" s="26" t="n">
        <x:v>1500</x:v>
      </x:c>
      <x:c r="O175" s="26" t="n">
        <x:v>0</x:v>
      </x:c>
      <x:c r="P175" s="26" t="n">
        <x:v>0</x:v>
      </x:c>
      <x:c r="Q175" s="26" t="n">
        <x:v>0</x:v>
      </x:c>
      <x:c r="R175" s="26" t="n">
        <x:v>0</x:v>
      </x:c>
      <x:c r="S175" s="26" t="n">
        <x:v>0</x:v>
      </x:c>
      <x:c r="T175" s="26" t="n">
        <x:v>1500</x:v>
      </x:c>
      <x:c r="U175" s="26" t="n">
        <x:v>0</x:v>
      </x:c>
      <x:c r="V175" s="26" t="n">
        <x:v>0</x:v>
      </x:c>
      <x:c r="W175" s="26" t="n">
        <x:v>0</x:v>
      </x:c>
      <x:c r="X175" s="26" t="n">
        <x:v>0</x:v>
      </x:c>
      <x:c r="Y175" s="26" t="n">
        <x:v>0</x:v>
      </x:c>
      <x:c r="Z175" s="35" t="str">
        <x:v>March 2027 rent</x:v>
      </x:c>
    </x:row>
    <x:row r="176">
      <x:c r="A176" s="20" t="str">
        <x:v>FIN-00173</x:v>
      </x:c>
      <x:c r="B176" s="23" t="n">
        <x:v>46449</x:v>
      </x:c>
      <x:c r="C176" s="23" t="n">
        <x:v>46449</x:v>
      </x:c>
      <x:c r="D176" s="20" t="str">
        <x:v>TenantReceipt</x:v>
      </x:c>
      <x:c r="E176" s="20" t="str">
        <x:v>Rent receipt</x:v>
      </x:c>
      <x:c r="F176" s="20" t="str">
        <x:v>P006</x:v>
      </x:c>
      <x:c r="G176" s="20" t="str">
        <x:v>U006</x:v>
      </x:c>
      <x:c r="H176" s="20" t="str">
        <x:v>L006</x:v>
      </x:c>
      <x:c r="I176" s="20" t="str">
        <x:v>Sage King</x:v>
      </x:c>
      <x:c r="J176" s="35" t="str">
        <x:v>Manual ACH</x:v>
      </x:c>
      <x:c r="K176" s="20" t="str"/>
      <x:c r="L176" s="20" t="str">
        <x:v>PMT-20270303-L006</x:v>
      </x:c>
      <x:c r="M176" s="26" t="n">
        <x:v>1500</x:v>
      </x:c>
      <x:c r="N176" s="26" t="n">
        <x:v>-1500</x:v>
      </x:c>
      <x:c r="O176" s="26" t="n">
        <x:v>1500</x:v>
      </x:c>
      <x:c r="P176" s="26" t="n">
        <x:v>0</x:v>
      </x:c>
      <x:c r="Q176" s="26" t="n">
        <x:v>0</x:v>
      </x:c>
      <x:c r="R176" s="26" t="n">
        <x:v>0</x:v>
      </x:c>
      <x:c r="S176" s="26" t="n">
        <x:v>0</x:v>
      </x:c>
      <x:c r="T176" s="26" t="n">
        <x:v>0</x:v>
      </x:c>
      <x:c r="U176" s="26" t="n">
        <x:v>0</x:v>
      </x:c>
      <x:c r="V176" s="26" t="n">
        <x:v>0</x:v>
      </x:c>
      <x:c r="W176" s="26" t="n">
        <x:v>0</x:v>
      </x:c>
      <x:c r="X176" s="26" t="n">
        <x:v>0</x:v>
      </x:c>
      <x:c r="Y176" s="26" t="n">
        <x:v>0</x:v>
      </x:c>
      <x:c r="Z176" s="35" t="str">
        <x:v>Receipt allocated to FIN-00172</x:v>
      </x:c>
    </x:row>
    <x:row r="177">
      <x:c r="A177" s="20" t="str">
        <x:v>FIN-00174</x:v>
      </x:c>
      <x:c r="B177" s="23" t="n">
        <x:v>46447</x:v>
      </x:c>
      <x:c r="C177" s="23" t="n">
        <x:v>46447</x:v>
      </x:c>
      <x:c r="D177" s="20" t="str">
        <x:v>TenantCharge</x:v>
      </x:c>
      <x:c r="E177" s="20" t="str">
        <x:v>Rent</x:v>
      </x:c>
      <x:c r="F177" s="20" t="str">
        <x:v>P007</x:v>
      </x:c>
      <x:c r="G177" s="20" t="str">
        <x:v>U007</x:v>
      </x:c>
      <x:c r="H177" s="20" t="str">
        <x:v>L007</x:v>
      </x:c>
      <x:c r="I177" s="20" t="str">
        <x:v>Val Price</x:v>
      </x:c>
      <x:c r="J177" s="35" t="str">
        <x:v>System scheduled charge</x:v>
      </x:c>
      <x:c r="K177" s="20" t="str"/>
      <x:c r="L177" s="20" t="str">
        <x:v>RENT-202703-L007</x:v>
      </x:c>
      <x:c r="M177" s="26" t="n">
        <x:v>1125</x:v>
      </x:c>
      <x:c r="N177" s="26" t="n">
        <x:v>1125</x:v>
      </x:c>
      <x:c r="O177" s="26" t="n">
        <x:v>0</x:v>
      </x:c>
      <x:c r="P177" s="26" t="n">
        <x:v>0</x:v>
      </x:c>
      <x:c r="Q177" s="26" t="n">
        <x:v>0</x:v>
      </x:c>
      <x:c r="R177" s="26" t="n">
        <x:v>0</x:v>
      </x:c>
      <x:c r="S177" s="26" t="n">
        <x:v>0</x:v>
      </x:c>
      <x:c r="T177" s="26" t="n">
        <x:v>1125</x:v>
      </x:c>
      <x:c r="U177" s="26" t="n">
        <x:v>0</x:v>
      </x:c>
      <x:c r="V177" s="26" t="n">
        <x:v>0</x:v>
      </x:c>
      <x:c r="W177" s="26" t="n">
        <x:v>0</x:v>
      </x:c>
      <x:c r="X177" s="26" t="n">
        <x:v>0</x:v>
      </x:c>
      <x:c r="Y177" s="26" t="n">
        <x:v>0</x:v>
      </x:c>
      <x:c r="Z177" s="35" t="str">
        <x:v>March 2027 rent</x:v>
      </x:c>
    </x:row>
    <x:row r="178">
      <x:c r="A178" s="20" t="str">
        <x:v>FIN-00175</x:v>
      </x:c>
      <x:c r="B178" s="23" t="n">
        <x:v>46450</x:v>
      </x:c>
      <x:c r="C178" s="23" t="n">
        <x:v>46450</x:v>
      </x:c>
      <x:c r="D178" s="20" t="str">
        <x:v>TenantReceipt</x:v>
      </x:c>
      <x:c r="E178" s="20" t="str">
        <x:v>Rent receipt</x:v>
      </x:c>
      <x:c r="F178" s="20" t="str">
        <x:v>P007</x:v>
      </x:c>
      <x:c r="G178" s="20" t="str">
        <x:v>U007</x:v>
      </x:c>
      <x:c r="H178" s="20" t="str">
        <x:v>L007</x:v>
      </x:c>
      <x:c r="I178" s="20" t="str">
        <x:v>Val Price</x:v>
      </x:c>
      <x:c r="J178" s="35" t="str">
        <x:v>Portal card</x:v>
      </x:c>
      <x:c r="K178" s="20" t="str"/>
      <x:c r="L178" s="20" t="str">
        <x:v>PMT-20270304-L007</x:v>
      </x:c>
      <x:c r="M178" s="26" t="n">
        <x:v>1125</x:v>
      </x:c>
      <x:c r="N178" s="26" t="n">
        <x:v>-1125</x:v>
      </x:c>
      <x:c r="O178" s="26" t="n">
        <x:v>1125</x:v>
      </x:c>
      <x:c r="P178" s="26" t="n">
        <x:v>0</x:v>
      </x:c>
      <x:c r="Q178" s="26" t="n">
        <x:v>0</x:v>
      </x:c>
      <x:c r="R178" s="26" t="n">
        <x:v>0</x:v>
      </x:c>
      <x:c r="S178" s="26" t="n">
        <x:v>0</x:v>
      </x:c>
      <x:c r="T178" s="26" t="n">
        <x:v>0</x:v>
      </x:c>
      <x:c r="U178" s="26" t="n">
        <x:v>0</x:v>
      </x:c>
      <x:c r="V178" s="26" t="n">
        <x:v>0</x:v>
      </x:c>
      <x:c r="W178" s="26" t="n">
        <x:v>0</x:v>
      </x:c>
      <x:c r="X178" s="26" t="n">
        <x:v>0</x:v>
      </x:c>
      <x:c r="Y178" s="26" t="n">
        <x:v>0</x:v>
      </x:c>
      <x:c r="Z178" s="35" t="str">
        <x:v>Receipt allocated to FIN-00174</x:v>
      </x:c>
    </x:row>
    <x:row r="179">
      <x:c r="A179" s="20" t="str">
        <x:v>FIN-00176</x:v>
      </x:c>
      <x:c r="B179" s="23" t="n">
        <x:v>46447</x:v>
      </x:c>
      <x:c r="C179" s="23" t="n">
        <x:v>46447</x:v>
      </x:c>
      <x:c r="D179" s="20" t="str">
        <x:v>TenantCharge</x:v>
      </x:c>
      <x:c r="E179" s="20" t="str">
        <x:v>Rent</x:v>
      </x:c>
      <x:c r="F179" s="20" t="str">
        <x:v>P008</x:v>
      </x:c>
      <x:c r="G179" s="20" t="str">
        <x:v>U008</x:v>
      </x:c>
      <x:c r="H179" s="20" t="str">
        <x:v>L008</x:v>
      </x:c>
      <x:c r="I179" s="20" t="str">
        <x:v>Yara Brooks</x:v>
      </x:c>
      <x:c r="J179" s="35" t="str">
        <x:v>System scheduled charge</x:v>
      </x:c>
      <x:c r="K179" s="20" t="str"/>
      <x:c r="L179" s="20" t="str">
        <x:v>RENT-202703-L008</x:v>
      </x:c>
      <x:c r="M179" s="26" t="n">
        <x:v>1650</x:v>
      </x:c>
      <x:c r="N179" s="26" t="n">
        <x:v>1650</x:v>
      </x:c>
      <x:c r="O179" s="26" t="n">
        <x:v>0</x:v>
      </x:c>
      <x:c r="P179" s="26" t="n">
        <x:v>0</x:v>
      </x:c>
      <x:c r="Q179" s="26" t="n">
        <x:v>0</x:v>
      </x:c>
      <x:c r="R179" s="26" t="n">
        <x:v>0</x:v>
      </x:c>
      <x:c r="S179" s="26" t="n">
        <x:v>0</x:v>
      </x:c>
      <x:c r="T179" s="26" t="n">
        <x:v>1650</x:v>
      </x:c>
      <x:c r="U179" s="26" t="n">
        <x:v>0</x:v>
      </x:c>
      <x:c r="V179" s="26" t="n">
        <x:v>0</x:v>
      </x:c>
      <x:c r="W179" s="26" t="n">
        <x:v>0</x:v>
      </x:c>
      <x:c r="X179" s="26" t="n">
        <x:v>0</x:v>
      </x:c>
      <x:c r="Y179" s="26" t="n">
        <x:v>0</x:v>
      </x:c>
      <x:c r="Z179" s="35" t="str">
        <x:v>March 2027 rent</x:v>
      </x:c>
    </x:row>
    <x:row r="180">
      <x:c r="A180" s="20" t="str">
        <x:v>FIN-00177</x:v>
      </x:c>
      <x:c r="B180" s="23" t="n">
        <x:v>46451</x:v>
      </x:c>
      <x:c r="C180" s="23" t="n">
        <x:v>46451</x:v>
      </x:c>
      <x:c r="D180" s="20" t="str">
        <x:v>TenantReceipt</x:v>
      </x:c>
      <x:c r="E180" s="20" t="str">
        <x:v>Rent receipt</x:v>
      </x:c>
      <x:c r="F180" s="20" t="str">
        <x:v>P008</x:v>
      </x:c>
      <x:c r="G180" s="20" t="str">
        <x:v>U008</x:v>
      </x:c>
      <x:c r="H180" s="20" t="str">
        <x:v>L008</x:v>
      </x:c>
      <x:c r="I180" s="20" t="str">
        <x:v>Yara Brooks</x:v>
      </x:c>
      <x:c r="J180" s="35" t="str">
        <x:v>Scanned check</x:v>
      </x:c>
      <x:c r="K180" s="20" t="str">
        <x:v>SCN-0131</x:v>
      </x:c>
      <x:c r="L180" s="20" t="str">
        <x:v>PMT-20270305-L008</x:v>
      </x:c>
      <x:c r="M180" s="26" t="n">
        <x:v>1650</x:v>
      </x:c>
      <x:c r="N180" s="26" t="n">
        <x:v>-1650</x:v>
      </x:c>
      <x:c r="O180" s="26" t="n">
        <x:v>1650</x:v>
      </x:c>
      <x:c r="P180" s="26" t="n">
        <x:v>0</x:v>
      </x:c>
      <x:c r="Q180" s="26" t="n">
        <x:v>0</x:v>
      </x:c>
      <x:c r="R180" s="26" t="n">
        <x:v>0</x:v>
      </x:c>
      <x:c r="S180" s="26" t="n">
        <x:v>0</x:v>
      </x:c>
      <x:c r="T180" s="26" t="n">
        <x:v>0</x:v>
      </x:c>
      <x:c r="U180" s="26" t="n">
        <x:v>0</x:v>
      </x:c>
      <x:c r="V180" s="26" t="n">
        <x:v>0</x:v>
      </x:c>
      <x:c r="W180" s="26" t="n">
        <x:v>0</x:v>
      </x:c>
      <x:c r="X180" s="26" t="n">
        <x:v>0</x:v>
      </x:c>
      <x:c r="Y180" s="26" t="n">
        <x:v>0</x:v>
      </x:c>
      <x:c r="Z180" s="35" t="str">
        <x:v>Receipt allocated to FIN-00176</x:v>
      </x:c>
    </x:row>
    <x:row r="181">
      <x:c r="A181" s="20" t="str">
        <x:v>FIN-00178</x:v>
      </x:c>
      <x:c r="B181" s="23" t="n">
        <x:v>46447</x:v>
      </x:c>
      <x:c r="C181" s="23" t="n">
        <x:v>46447</x:v>
      </x:c>
      <x:c r="D181" s="20" t="str">
        <x:v>TenantCharge</x:v>
      </x:c>
      <x:c r="E181" s="20" t="str">
        <x:v>Rent</x:v>
      </x:c>
      <x:c r="F181" s="20" t="str">
        <x:v>P009</x:v>
      </x:c>
      <x:c r="G181" s="20" t="str">
        <x:v>U009</x:v>
      </x:c>
      <x:c r="H181" s="20" t="str">
        <x:v>L009</x:v>
      </x:c>
      <x:c r="I181" s="20" t="str">
        <x:v>Bennett Garcia</x:v>
      </x:c>
      <x:c r="J181" s="35" t="str">
        <x:v>System scheduled charge</x:v>
      </x:c>
      <x:c r="K181" s="20" t="str"/>
      <x:c r="L181" s="20" t="str">
        <x:v>RENT-202703-L009</x:v>
      </x:c>
      <x:c r="M181" s="26" t="n">
        <x:v>1275</x:v>
      </x:c>
      <x:c r="N181" s="26" t="n">
        <x:v>1275</x:v>
      </x:c>
      <x:c r="O181" s="26" t="n">
        <x:v>0</x:v>
      </x:c>
      <x:c r="P181" s="26" t="n">
        <x:v>0</x:v>
      </x:c>
      <x:c r="Q181" s="26" t="n">
        <x:v>0</x:v>
      </x:c>
      <x:c r="R181" s="26" t="n">
        <x:v>0</x:v>
      </x:c>
      <x:c r="S181" s="26" t="n">
        <x:v>0</x:v>
      </x:c>
      <x:c r="T181" s="26" t="n">
        <x:v>1275</x:v>
      </x:c>
      <x:c r="U181" s="26" t="n">
        <x:v>0</x:v>
      </x:c>
      <x:c r="V181" s="26" t="n">
        <x:v>0</x:v>
      </x:c>
      <x:c r="W181" s="26" t="n">
        <x:v>0</x:v>
      </x:c>
      <x:c r="X181" s="26" t="n">
        <x:v>0</x:v>
      </x:c>
      <x:c r="Y181" s="26" t="n">
        <x:v>0</x:v>
      </x:c>
      <x:c r="Z181" s="35" t="str">
        <x:v>March 2027 rent</x:v>
      </x:c>
    </x:row>
    <x:row r="182">
      <x:c r="A182" s="20" t="str">
        <x:v>FIN-00179</x:v>
      </x:c>
      <x:c r="B182" s="23" t="n">
        <x:v>46449</x:v>
      </x:c>
      <x:c r="C182" s="23" t="n">
        <x:v>46449</x:v>
      </x:c>
      <x:c r="D182" s="20" t="str">
        <x:v>TenantReceipt</x:v>
      </x:c>
      <x:c r="E182" s="20" t="str">
        <x:v>Rent receipt</x:v>
      </x:c>
      <x:c r="F182" s="20" t="str">
        <x:v>P009</x:v>
      </x:c>
      <x:c r="G182" s="20" t="str">
        <x:v>U009</x:v>
      </x:c>
      <x:c r="H182" s="20" t="str">
        <x:v>L009</x:v>
      </x:c>
      <x:c r="I182" s="20" t="str">
        <x:v>Bennett Garcia</x:v>
      </x:c>
      <x:c r="J182" s="35" t="str">
        <x:v>Scanned money order</x:v>
      </x:c>
      <x:c r="K182" s="20" t="str">
        <x:v>SCN-0132</x:v>
      </x:c>
      <x:c r="L182" s="20" t="str">
        <x:v>PMT-20270303-L009</x:v>
      </x:c>
      <x:c r="M182" s="26" t="n">
        <x:v>1275</x:v>
      </x:c>
      <x:c r="N182" s="26" t="n">
        <x:v>-1275</x:v>
      </x:c>
      <x:c r="O182" s="26" t="n">
        <x:v>1275</x:v>
      </x:c>
      <x:c r="P182" s="26" t="n">
        <x:v>0</x:v>
      </x:c>
      <x:c r="Q182" s="26" t="n">
        <x:v>0</x:v>
      </x:c>
      <x:c r="R182" s="26" t="n">
        <x:v>0</x:v>
      </x:c>
      <x:c r="S182" s="26" t="n">
        <x:v>0</x:v>
      </x:c>
      <x:c r="T182" s="26" t="n">
        <x:v>0</x:v>
      </x:c>
      <x:c r="U182" s="26" t="n">
        <x:v>0</x:v>
      </x:c>
      <x:c r="V182" s="26" t="n">
        <x:v>0</x:v>
      </x:c>
      <x:c r="W182" s="26" t="n">
        <x:v>0</x:v>
      </x:c>
      <x:c r="X182" s="26" t="n">
        <x:v>0</x:v>
      </x:c>
      <x:c r="Y182" s="26" t="n">
        <x:v>0</x:v>
      </x:c>
      <x:c r="Z182" s="35" t="str">
        <x:v>Receipt allocated to FIN-00178</x:v>
      </x:c>
    </x:row>
    <x:row r="183">
      <x:c r="A183" s="20" t="str">
        <x:v>FIN-00180</x:v>
      </x:c>
      <x:c r="B183" s="23" t="n">
        <x:v>46447</x:v>
      </x:c>
      <x:c r="C183" s="23" t="n">
        <x:v>46447</x:v>
      </x:c>
      <x:c r="D183" s="20" t="str">
        <x:v>TenantCharge</x:v>
      </x:c>
      <x:c r="E183" s="20" t="str">
        <x:v>Rent</x:v>
      </x:c>
      <x:c r="F183" s="20" t="str">
        <x:v>P010</x:v>
      </x:c>
      <x:c r="G183" s="20" t="str">
        <x:v>U010</x:v>
      </x:c>
      <x:c r="H183" s="20" t="str">
        <x:v>L010</x:v>
      </x:c>
      <x:c r="I183" s="20" t="str">
        <x:v>Elena Lewis</x:v>
      </x:c>
      <x:c r="J183" s="35" t="str">
        <x:v>System scheduled charge</x:v>
      </x:c>
      <x:c r="K183" s="20" t="str"/>
      <x:c r="L183" s="20" t="str">
        <x:v>RENT-202703-L010</x:v>
      </x:c>
      <x:c r="M183" s="26" t="n">
        <x:v>1800</x:v>
      </x:c>
      <x:c r="N183" s="26" t="n">
        <x:v>1800</x:v>
      </x:c>
      <x:c r="O183" s="26" t="n">
        <x:v>0</x:v>
      </x:c>
      <x:c r="P183" s="26" t="n">
        <x:v>0</x:v>
      </x:c>
      <x:c r="Q183" s="26" t="n">
        <x:v>0</x:v>
      </x:c>
      <x:c r="R183" s="26" t="n">
        <x:v>0</x:v>
      </x:c>
      <x:c r="S183" s="26" t="n">
        <x:v>0</x:v>
      </x:c>
      <x:c r="T183" s="26" t="n">
        <x:v>1800</x:v>
      </x:c>
      <x:c r="U183" s="26" t="n">
        <x:v>0</x:v>
      </x:c>
      <x:c r="V183" s="26" t="n">
        <x:v>0</x:v>
      </x:c>
      <x:c r="W183" s="26" t="n">
        <x:v>0</x:v>
      </x:c>
      <x:c r="X183" s="26" t="n">
        <x:v>0</x:v>
      </x:c>
      <x:c r="Y183" s="26" t="n">
        <x:v>0</x:v>
      </x:c>
      <x:c r="Z183" s="35" t="str">
        <x:v>March 2027 rent</x:v>
      </x:c>
    </x:row>
    <x:row r="184">
      <x:c r="A184" s="20" t="str">
        <x:v>FIN-00181</x:v>
      </x:c>
      <x:c r="B184" s="23" t="n">
        <x:v>46450</x:v>
      </x:c>
      <x:c r="C184" s="23" t="n">
        <x:v>46450</x:v>
      </x:c>
      <x:c r="D184" s="20" t="str">
        <x:v>TenantReceipt</x:v>
      </x:c>
      <x:c r="E184" s="20" t="str">
        <x:v>Rent receipt</x:v>
      </x:c>
      <x:c r="F184" s="20" t="str">
        <x:v>P010</x:v>
      </x:c>
      <x:c r="G184" s="20" t="str">
        <x:v>U010</x:v>
      </x:c>
      <x:c r="H184" s="20" t="str">
        <x:v>L010</x:v>
      </x:c>
      <x:c r="I184" s="20" t="str">
        <x:v>Elena Lewis</x:v>
      </x:c>
      <x:c r="J184" s="35" t="str">
        <x:v>Manual ACH</x:v>
      </x:c>
      <x:c r="K184" s="20" t="str"/>
      <x:c r="L184" s="20" t="str">
        <x:v>PMT-20270304-L010</x:v>
      </x:c>
      <x:c r="M184" s="26" t="n">
        <x:v>1800</x:v>
      </x:c>
      <x:c r="N184" s="26" t="n">
        <x:v>-1800</x:v>
      </x:c>
      <x:c r="O184" s="26" t="n">
        <x:v>1800</x:v>
      </x:c>
      <x:c r="P184" s="26" t="n">
        <x:v>0</x:v>
      </x:c>
      <x:c r="Q184" s="26" t="n">
        <x:v>0</x:v>
      </x:c>
      <x:c r="R184" s="26" t="n">
        <x:v>0</x:v>
      </x:c>
      <x:c r="S184" s="26" t="n">
        <x:v>0</x:v>
      </x:c>
      <x:c r="T184" s="26" t="n">
        <x:v>0</x:v>
      </x:c>
      <x:c r="U184" s="26" t="n">
        <x:v>0</x:v>
      </x:c>
      <x:c r="V184" s="26" t="n">
        <x:v>0</x:v>
      </x:c>
      <x:c r="W184" s="26" t="n">
        <x:v>0</x:v>
      </x:c>
      <x:c r="X184" s="26" t="n">
        <x:v>0</x:v>
      </x:c>
      <x:c r="Y184" s="26" t="n">
        <x:v>0</x:v>
      </x:c>
      <x:c r="Z184" s="35" t="str">
        <x:v>Receipt allocated to FIN-00180</x:v>
      </x:c>
    </x:row>
    <x:row r="185">
      <x:c r="A185" s="20" t="str">
        <x:v>FIN-00182</x:v>
      </x:c>
      <x:c r="B185" s="23" t="n">
        <x:v>46447</x:v>
      </x:c>
      <x:c r="C185" s="23" t="n">
        <x:v>46447</x:v>
      </x:c>
      <x:c r="D185" s="20" t="str">
        <x:v>TenantCharge</x:v>
      </x:c>
      <x:c r="E185" s="20" t="str">
        <x:v>Rent</x:v>
      </x:c>
      <x:c r="F185" s="20" t="str">
        <x:v>P011</x:v>
      </x:c>
      <x:c r="G185" s="20" t="str">
        <x:v>U011</x:v>
      </x:c>
      <x:c r="H185" s="20" t="str">
        <x:v>L011</x:v>
      </x:c>
      <x:c r="I185" s="20" t="str">
        <x:v>Hector Reed</x:v>
      </x:c>
      <x:c r="J185" s="35" t="str">
        <x:v>System scheduled charge</x:v>
      </x:c>
      <x:c r="K185" s="20" t="str"/>
      <x:c r="L185" s="20" t="str">
        <x:v>RENT-202703-L011</x:v>
      </x:c>
      <x:c r="M185" s="26" t="n">
        <x:v>1425</x:v>
      </x:c>
      <x:c r="N185" s="26" t="n">
        <x:v>1425</x:v>
      </x:c>
      <x:c r="O185" s="26" t="n">
        <x:v>0</x:v>
      </x:c>
      <x:c r="P185" s="26" t="n">
        <x:v>0</x:v>
      </x:c>
      <x:c r="Q185" s="26" t="n">
        <x:v>0</x:v>
      </x:c>
      <x:c r="R185" s="26" t="n">
        <x:v>0</x:v>
      </x:c>
      <x:c r="S185" s="26" t="n">
        <x:v>0</x:v>
      </x:c>
      <x:c r="T185" s="26" t="n">
        <x:v>1425</x:v>
      </x:c>
      <x:c r="U185" s="26" t="n">
        <x:v>0</x:v>
      </x:c>
      <x:c r="V185" s="26" t="n">
        <x:v>0</x:v>
      </x:c>
      <x:c r="W185" s="26" t="n">
        <x:v>0</x:v>
      </x:c>
      <x:c r="X185" s="26" t="n">
        <x:v>0</x:v>
      </x:c>
      <x:c r="Y185" s="26" t="n">
        <x:v>0</x:v>
      </x:c>
      <x:c r="Z185" s="35" t="str">
        <x:v>March 2027 rent</x:v>
      </x:c>
    </x:row>
    <x:row r="186">
      <x:c r="A186" s="20" t="str">
        <x:v>FIN-00183</x:v>
      </x:c>
      <x:c r="B186" s="23" t="n">
        <x:v>46449</x:v>
      </x:c>
      <x:c r="C186" s="23" t="n">
        <x:v>46449</x:v>
      </x:c>
      <x:c r="D186" s="20" t="str">
        <x:v>TenantReceipt</x:v>
      </x:c>
      <x:c r="E186" s="20" t="str">
        <x:v>Rent receipt</x:v>
      </x:c>
      <x:c r="F186" s="20" t="str">
        <x:v>P011</x:v>
      </x:c>
      <x:c r="G186" s="20" t="str">
        <x:v>U011</x:v>
      </x:c>
      <x:c r="H186" s="20" t="str">
        <x:v>L011</x:v>
      </x:c>
      <x:c r="I186" s="20" t="str">
        <x:v>Hector Reed</x:v>
      </x:c>
      <x:c r="J186" s="35" t="str">
        <x:v>Portal card</x:v>
      </x:c>
      <x:c r="K186" s="20" t="str"/>
      <x:c r="L186" s="20" t="str">
        <x:v>PMT-20270303-L011-A</x:v>
      </x:c>
      <x:c r="M186" s="26" t="n">
        <x:v>855</x:v>
      </x:c>
      <x:c r="N186" s="26" t="n">
        <x:v>-855</x:v>
      </x:c>
      <x:c r="O186" s="26" t="n">
        <x:v>855</x:v>
      </x:c>
      <x:c r="P186" s="26" t="n">
        <x:v>0</x:v>
      </x:c>
      <x:c r="Q186" s="26" t="n">
        <x:v>0</x:v>
      </x:c>
      <x:c r="R186" s="26" t="n">
        <x:v>0</x:v>
      </x:c>
      <x:c r="S186" s="26" t="n">
        <x:v>0</x:v>
      </x:c>
      <x:c r="T186" s="26" t="n">
        <x:v>0</x:v>
      </x:c>
      <x:c r="U186" s="26" t="n">
        <x:v>0</x:v>
      </x:c>
      <x:c r="V186" s="26" t="n">
        <x:v>0</x:v>
      </x:c>
      <x:c r="W186" s="26" t="n">
        <x:v>0</x:v>
      </x:c>
      <x:c r="X186" s="26" t="n">
        <x:v>0</x:v>
      </x:c>
      <x:c r="Y186" s="26" t="n">
        <x:v>0</x:v>
      </x:c>
      <x:c r="Z186" s="35" t="str">
        <x:v>Receipt allocated to FIN-00182</x:v>
      </x:c>
    </x:row>
    <x:row r="187">
      <x:c r="A187" s="20" t="str">
        <x:v>FIN-00184</x:v>
      </x:c>
      <x:c r="B187" s="23" t="n">
        <x:v>46452</x:v>
      </x:c>
      <x:c r="C187" s="23" t="n">
        <x:v>46452</x:v>
      </x:c>
      <x:c r="D187" s="20" t="str">
        <x:v>TenantCharge</x:v>
      </x:c>
      <x:c r="E187" s="20" t="str">
        <x:v>Late fee</x:v>
      </x:c>
      <x:c r="F187" s="20" t="str">
        <x:v>P011</x:v>
      </x:c>
      <x:c r="G187" s="20" t="str">
        <x:v>U011</x:v>
      </x:c>
      <x:c r="H187" s="20" t="str">
        <x:v>L011</x:v>
      </x:c>
      <x:c r="I187" s="20" t="str">
        <x:v>Hector Reed</x:v>
      </x:c>
      <x:c r="J187" s="35" t="str">
        <x:v>System automation</x:v>
      </x:c>
      <x:c r="K187" s="20" t="str"/>
      <x:c r="L187" s="20" t="str">
        <x:v>LATE-202703-L011</x:v>
      </x:c>
      <x:c r="M187" s="26" t="n">
        <x:v>50</x:v>
      </x:c>
      <x:c r="N187" s="26" t="n">
        <x:v>50</x:v>
      </x:c>
      <x:c r="O187" s="26" t="n">
        <x:v>0</x:v>
      </x:c>
      <x:c r="P187" s="26" t="n">
        <x:v>0</x:v>
      </x:c>
      <x:c r="Q187" s="26" t="n">
        <x:v>0</x:v>
      </x:c>
      <x:c r="R187" s="26" t="n">
        <x:v>0</x:v>
      </x:c>
      <x:c r="S187" s="26" t="n">
        <x:v>0</x:v>
      </x:c>
      <x:c r="T187" s="26" t="n">
        <x:v>50</x:v>
      </x:c>
      <x:c r="U187" s="26" t="n">
        <x:v>0</x:v>
      </x:c>
      <x:c r="V187" s="26" t="n">
        <x:v>0</x:v>
      </x:c>
      <x:c r="W187" s="26" t="n">
        <x:v>0</x:v>
      </x:c>
      <x:c r="X187" s="26" t="n">
        <x:v>0</x:v>
      </x:c>
      <x:c r="Y187" s="26" t="n">
        <x:v>0</x:v>
      </x:c>
      <x:c r="Z187" s="35" t="str">
        <x:v>Synthetic lease-authorized late fee after partial payment</x:v>
      </x:c>
    </x:row>
    <x:row r="188">
      <x:c r="A188" s="20" t="str">
        <x:v>FIN-00185</x:v>
      </x:c>
      <x:c r="B188" s="23" t="n">
        <x:v>46458</x:v>
      </x:c>
      <x:c r="C188" s="23" t="n">
        <x:v>46458</x:v>
      </x:c>
      <x:c r="D188" s="20" t="str">
        <x:v>TenantReceipt</x:v>
      </x:c>
      <x:c r="E188" s="20" t="str">
        <x:v>Rent receipt</x:v>
      </x:c>
      <x:c r="F188" s="20" t="str">
        <x:v>P011</x:v>
      </x:c>
      <x:c r="G188" s="20" t="str">
        <x:v>U011</x:v>
      </x:c>
      <x:c r="H188" s="20" t="str">
        <x:v>L011</x:v>
      </x:c>
      <x:c r="I188" s="20" t="str">
        <x:v>Hector Reed</x:v>
      </x:c>
      <x:c r="J188" s="35" t="str">
        <x:v>Scanned money order</x:v>
      </x:c>
      <x:c r="K188" s="20" t="str">
        <x:v>SCN-0133</x:v>
      </x:c>
      <x:c r="L188" s="20" t="str">
        <x:v>PMT-20270312-L011-B</x:v>
      </x:c>
      <x:c r="M188" s="26" t="n">
        <x:v>620</x:v>
      </x:c>
      <x:c r="N188" s="26" t="n">
        <x:v>-620</x:v>
      </x:c>
      <x:c r="O188" s="26" t="n">
        <x:v>620</x:v>
      </x:c>
      <x:c r="P188" s="26" t="n">
        <x:v>0</x:v>
      </x:c>
      <x:c r="Q188" s="26" t="n">
        <x:v>0</x:v>
      </x:c>
      <x:c r="R188" s="26" t="n">
        <x:v>0</x:v>
      </x:c>
      <x:c r="S188" s="26" t="n">
        <x:v>0</x:v>
      </x:c>
      <x:c r="T188" s="26" t="n">
        <x:v>0</x:v>
      </x:c>
      <x:c r="U188" s="26" t="n">
        <x:v>0</x:v>
      </x:c>
      <x:c r="V188" s="26" t="n">
        <x:v>0</x:v>
      </x:c>
      <x:c r="W188" s="26" t="n">
        <x:v>0</x:v>
      </x:c>
      <x:c r="X188" s="26" t="n">
        <x:v>0</x:v>
      </x:c>
      <x:c r="Y188" s="26" t="n">
        <x:v>0</x:v>
      </x:c>
      <x:c r="Z188" s="35" t="str">
        <x:v>Receipt allocated to FIN-00184</x:v>
      </x:c>
    </x:row>
    <x:row r="189">
      <x:c r="A189" s="20" t="str">
        <x:v>FIN-00186</x:v>
      </x:c>
      <x:c r="B189" s="23" t="n">
        <x:v>46447</x:v>
      </x:c>
      <x:c r="C189" s="23" t="n">
        <x:v>46447</x:v>
      </x:c>
      <x:c r="D189" s="20" t="str">
        <x:v>TenantCharge</x:v>
      </x:c>
      <x:c r="E189" s="20" t="str">
        <x:v>Rent</x:v>
      </x:c>
      <x:c r="F189" s="20" t="str">
        <x:v>P012</x:v>
      </x:c>
      <x:c r="G189" s="20" t="str">
        <x:v>U012</x:v>
      </x:c>
      <x:c r="H189" s="20" t="str">
        <x:v>L012</x:v>
      </x:c>
      <x:c r="I189" s="20" t="str">
        <x:v>Keira Adams</x:v>
      </x:c>
      <x:c r="J189" s="35" t="str">
        <x:v>System scheduled charge</x:v>
      </x:c>
      <x:c r="K189" s="20" t="str"/>
      <x:c r="L189" s="20" t="str">
        <x:v>RENT-202703-L012</x:v>
      </x:c>
      <x:c r="M189" s="26" t="n">
        <x:v>1050</x:v>
      </x:c>
      <x:c r="N189" s="26" t="n">
        <x:v>1050</x:v>
      </x:c>
      <x:c r="O189" s="26" t="n">
        <x:v>0</x:v>
      </x:c>
      <x:c r="P189" s="26" t="n">
        <x:v>0</x:v>
      </x:c>
      <x:c r="Q189" s="26" t="n">
        <x:v>0</x:v>
      </x:c>
      <x:c r="R189" s="26" t="n">
        <x:v>0</x:v>
      </x:c>
      <x:c r="S189" s="26" t="n">
        <x:v>0</x:v>
      </x:c>
      <x:c r="T189" s="26" t="n">
        <x:v>1050</x:v>
      </x:c>
      <x:c r="U189" s="26" t="n">
        <x:v>0</x:v>
      </x:c>
      <x:c r="V189" s="26" t="n">
        <x:v>0</x:v>
      </x:c>
      <x:c r="W189" s="26" t="n">
        <x:v>0</x:v>
      </x:c>
      <x:c r="X189" s="26" t="n">
        <x:v>0</x:v>
      </x:c>
      <x:c r="Y189" s="26" t="n">
        <x:v>0</x:v>
      </x:c>
      <x:c r="Z189" s="35" t="str">
        <x:v>March 2027 rent</x:v>
      </x:c>
    </x:row>
    <x:row r="190">
      <x:c r="A190" s="20" t="str">
        <x:v>FIN-00187</x:v>
      </x:c>
      <x:c r="B190" s="23" t="n">
        <x:v>46449</x:v>
      </x:c>
      <x:c r="C190" s="23" t="n">
        <x:v>46449</x:v>
      </x:c>
      <x:c r="D190" s="20" t="str">
        <x:v>TenantReceipt</x:v>
      </x:c>
      <x:c r="E190" s="20" t="str">
        <x:v>Rent receipt</x:v>
      </x:c>
      <x:c r="F190" s="20" t="str">
        <x:v>P012</x:v>
      </x:c>
      <x:c r="G190" s="20" t="str">
        <x:v>U012</x:v>
      </x:c>
      <x:c r="H190" s="20" t="str">
        <x:v>L012</x:v>
      </x:c>
      <x:c r="I190" s="20" t="str">
        <x:v>Keira Adams</x:v>
      </x:c>
      <x:c r="J190" s="35" t="str">
        <x:v>Scanned check</x:v>
      </x:c>
      <x:c r="K190" s="20" t="str">
        <x:v>SCN-0134</x:v>
      </x:c>
      <x:c r="L190" s="20" t="str">
        <x:v>PMT-20270303-L012</x:v>
      </x:c>
      <x:c r="M190" s="26" t="n">
        <x:v>1050</x:v>
      </x:c>
      <x:c r="N190" s="26" t="n">
        <x:v>-1050</x:v>
      </x:c>
      <x:c r="O190" s="26" t="n">
        <x:v>1050</x:v>
      </x:c>
      <x:c r="P190" s="26" t="n">
        <x:v>0</x:v>
      </x:c>
      <x:c r="Q190" s="26" t="n">
        <x:v>0</x:v>
      </x:c>
      <x:c r="R190" s="26" t="n">
        <x:v>0</x:v>
      </x:c>
      <x:c r="S190" s="26" t="n">
        <x:v>0</x:v>
      </x:c>
      <x:c r="T190" s="26" t="n">
        <x:v>0</x:v>
      </x:c>
      <x:c r="U190" s="26" t="n">
        <x:v>0</x:v>
      </x:c>
      <x:c r="V190" s="26" t="n">
        <x:v>0</x:v>
      </x:c>
      <x:c r="W190" s="26" t="n">
        <x:v>0</x:v>
      </x:c>
      <x:c r="X190" s="26" t="n">
        <x:v>0</x:v>
      </x:c>
      <x:c r="Y190" s="26" t="n">
        <x:v>0</x:v>
      </x:c>
      <x:c r="Z190" s="35" t="str">
        <x:v>Receipt allocated to FIN-00186</x:v>
      </x:c>
    </x:row>
    <x:row r="191">
      <x:c r="A191" s="20" t="str">
        <x:v>FIN-00188</x:v>
      </x:c>
      <x:c r="B191" s="23" t="n">
        <x:v>46447</x:v>
      </x:c>
      <x:c r="C191" s="23" t="n">
        <x:v>46447</x:v>
      </x:c>
      <x:c r="D191" s="20" t="str">
        <x:v>TenantCharge</x:v>
      </x:c>
      <x:c r="E191" s="20" t="str">
        <x:v>Rent</x:v>
      </x:c>
      <x:c r="F191" s="20" t="str">
        <x:v>P013</x:v>
      </x:c>
      <x:c r="G191" s="20" t="str">
        <x:v>U013</x:v>
      </x:c>
      <x:c r="H191" s="20" t="str">
        <x:v>L013</x:v>
      </x:c>
      <x:c r="I191" s="20" t="str">
        <x:v>Nolan Flores</x:v>
      </x:c>
      <x:c r="J191" s="35" t="str">
        <x:v>System scheduled charge</x:v>
      </x:c>
      <x:c r="K191" s="20" t="str"/>
      <x:c r="L191" s="20" t="str">
        <x:v>RENT-202703-L013</x:v>
      </x:c>
      <x:c r="M191" s="26" t="n">
        <x:v>1575</x:v>
      </x:c>
      <x:c r="N191" s="26" t="n">
        <x:v>1575</x:v>
      </x:c>
      <x:c r="O191" s="26" t="n">
        <x:v>0</x:v>
      </x:c>
      <x:c r="P191" s="26" t="n">
        <x:v>0</x:v>
      </x:c>
      <x:c r="Q191" s="26" t="n">
        <x:v>0</x:v>
      </x:c>
      <x:c r="R191" s="26" t="n">
        <x:v>0</x:v>
      </x:c>
      <x:c r="S191" s="26" t="n">
        <x:v>0</x:v>
      </x:c>
      <x:c r="T191" s="26" t="n">
        <x:v>1575</x:v>
      </x:c>
      <x:c r="U191" s="26" t="n">
        <x:v>0</x:v>
      </x:c>
      <x:c r="V191" s="26" t="n">
        <x:v>0</x:v>
      </x:c>
      <x:c r="W191" s="26" t="n">
        <x:v>0</x:v>
      </x:c>
      <x:c r="X191" s="26" t="n">
        <x:v>0</x:v>
      </x:c>
      <x:c r="Y191" s="26" t="n">
        <x:v>0</x:v>
      </x:c>
      <x:c r="Z191" s="35" t="str">
        <x:v>March 2027 rent</x:v>
      </x:c>
    </x:row>
    <x:row r="192">
      <x:c r="A192" s="20" t="str">
        <x:v>FIN-00189</x:v>
      </x:c>
      <x:c r="B192" s="23" t="n">
        <x:v>46452</x:v>
      </x:c>
      <x:c r="C192" s="23" t="n">
        <x:v>46452</x:v>
      </x:c>
      <x:c r="D192" s="20" t="str">
        <x:v>TenantCharge</x:v>
      </x:c>
      <x:c r="E192" s="20" t="str">
        <x:v>Late fee</x:v>
      </x:c>
      <x:c r="F192" s="20" t="str">
        <x:v>P013</x:v>
      </x:c>
      <x:c r="G192" s="20" t="str">
        <x:v>U013</x:v>
      </x:c>
      <x:c r="H192" s="20" t="str">
        <x:v>L013</x:v>
      </x:c>
      <x:c r="I192" s="20" t="str">
        <x:v>Nolan Flores</x:v>
      </x:c>
      <x:c r="J192" s="35" t="str">
        <x:v>System automation</x:v>
      </x:c>
      <x:c r="K192" s="20" t="str"/>
      <x:c r="L192" s="20" t="str">
        <x:v>LATE-202703-L013</x:v>
      </x:c>
      <x:c r="M192" s="26" t="n">
        <x:v>50</x:v>
      </x:c>
      <x:c r="N192" s="26" t="n">
        <x:v>50</x:v>
      </x:c>
      <x:c r="O192" s="26" t="n">
        <x:v>0</x:v>
      </x:c>
      <x:c r="P192" s="26" t="n">
        <x:v>0</x:v>
      </x:c>
      <x:c r="Q192" s="26" t="n">
        <x:v>0</x:v>
      </x:c>
      <x:c r="R192" s="26" t="n">
        <x:v>0</x:v>
      </x:c>
      <x:c r="S192" s="26" t="n">
        <x:v>0</x:v>
      </x:c>
      <x:c r="T192" s="26" t="n">
        <x:v>50</x:v>
      </x:c>
      <x:c r="U192" s="26" t="n">
        <x:v>0</x:v>
      </x:c>
      <x:c r="V192" s="26" t="n">
        <x:v>0</x:v>
      </x:c>
      <x:c r="W192" s="26" t="n">
        <x:v>0</x:v>
      </x:c>
      <x:c r="X192" s="26" t="n">
        <x:v>0</x:v>
      </x:c>
      <x:c r="Y192" s="26" t="n">
        <x:v>0</x:v>
      </x:c>
      <x:c r="Z192" s="35" t="str">
        <x:v>Synthetic lease-authorized late fee</x:v>
      </x:c>
    </x:row>
    <x:row r="193">
      <x:c r="A193" s="20" t="str">
        <x:v>FIN-00190</x:v>
      </x:c>
      <x:c r="B193" s="23" t="n">
        <x:v>46454</x:v>
      </x:c>
      <x:c r="C193" s="23" t="n">
        <x:v>46454</x:v>
      </x:c>
      <x:c r="D193" s="20" t="str">
        <x:v>TenantReceipt</x:v>
      </x:c>
      <x:c r="E193" s="20" t="str">
        <x:v>Rent receipt</x:v>
      </x:c>
      <x:c r="F193" s="20" t="str">
        <x:v>P013</x:v>
      </x:c>
      <x:c r="G193" s="20" t="str">
        <x:v>U013</x:v>
      </x:c>
      <x:c r="H193" s="20" t="str">
        <x:v>L013</x:v>
      </x:c>
      <x:c r="I193" s="20" t="str">
        <x:v>Nolan Flores</x:v>
      </x:c>
      <x:c r="J193" s="35" t="str">
        <x:v>Scanned check</x:v>
      </x:c>
      <x:c r="K193" s="20" t="str">
        <x:v>SCN-0135</x:v>
      </x:c>
      <x:c r="L193" s="20" t="str">
        <x:v>PMT-20270308-L013</x:v>
      </x:c>
      <x:c r="M193" s="26" t="n">
        <x:v>1625</x:v>
      </x:c>
      <x:c r="N193" s="26" t="n">
        <x:v>-1625</x:v>
      </x:c>
      <x:c r="O193" s="26" t="n">
        <x:v>1625</x:v>
      </x:c>
      <x:c r="P193" s="26" t="n">
        <x:v>0</x:v>
      </x:c>
      <x:c r="Q193" s="26" t="n">
        <x:v>0</x:v>
      </x:c>
      <x:c r="R193" s="26" t="n">
        <x:v>0</x:v>
      </x:c>
      <x:c r="S193" s="26" t="n">
        <x:v>0</x:v>
      </x:c>
      <x:c r="T193" s="26" t="n">
        <x:v>0</x:v>
      </x:c>
      <x:c r="U193" s="26" t="n">
        <x:v>0</x:v>
      </x:c>
      <x:c r="V193" s="26" t="n">
        <x:v>0</x:v>
      </x:c>
      <x:c r="W193" s="26" t="n">
        <x:v>0</x:v>
      </x:c>
      <x:c r="X193" s="26" t="n">
        <x:v>0</x:v>
      </x:c>
      <x:c r="Y193" s="26" t="n">
        <x:v>0</x:v>
      </x:c>
      <x:c r="Z193" s="35" t="str">
        <x:v>Receipt allocated to FIN-00189</x:v>
      </x:c>
    </x:row>
    <x:row r="194">
      <x:c r="A194" s="20" t="str">
        <x:v>FIN-00191</x:v>
      </x:c>
      <x:c r="B194" s="23" t="n">
        <x:v>46447</x:v>
      </x:c>
      <x:c r="C194" s="23" t="n">
        <x:v>46447</x:v>
      </x:c>
      <x:c r="D194" s="20" t="str">
        <x:v>TenantCharge</x:v>
      </x:c>
      <x:c r="E194" s="20" t="str">
        <x:v>Rent</x:v>
      </x:c>
      <x:c r="F194" s="20" t="str">
        <x:v>P014</x:v>
      </x:c>
      <x:c r="G194" s="20" t="str">
        <x:v>U014</x:v>
      </x:c>
      <x:c r="H194" s="20" t="str">
        <x:v>L014</x:v>
      </x:c>
      <x:c r="I194" s="20" t="str">
        <x:v>Rina King</x:v>
      </x:c>
      <x:c r="J194" s="35" t="str">
        <x:v>System scheduled charge</x:v>
      </x:c>
      <x:c r="K194" s="20" t="str"/>
      <x:c r="L194" s="20" t="str">
        <x:v>RENT-202703-L014</x:v>
      </x:c>
      <x:c r="M194" s="26" t="n">
        <x:v>1200</x:v>
      </x:c>
      <x:c r="N194" s="26" t="n">
        <x:v>1200</x:v>
      </x:c>
      <x:c r="O194" s="26" t="n">
        <x:v>0</x:v>
      </x:c>
      <x:c r="P194" s="26" t="n">
        <x:v>0</x:v>
      </x:c>
      <x:c r="Q194" s="26" t="n">
        <x:v>0</x:v>
      </x:c>
      <x:c r="R194" s="26" t="n">
        <x:v>0</x:v>
      </x:c>
      <x:c r="S194" s="26" t="n">
        <x:v>0</x:v>
      </x:c>
      <x:c r="T194" s="26" t="n">
        <x:v>1200</x:v>
      </x:c>
      <x:c r="U194" s="26" t="n">
        <x:v>0</x:v>
      </x:c>
      <x:c r="V194" s="26" t="n">
        <x:v>0</x:v>
      </x:c>
      <x:c r="W194" s="26" t="n">
        <x:v>0</x:v>
      </x:c>
      <x:c r="X194" s="26" t="n">
        <x:v>0</x:v>
      </x:c>
      <x:c r="Y194" s="26" t="n">
        <x:v>0</x:v>
      </x:c>
      <x:c r="Z194" s="35" t="str">
        <x:v>March 2027 rent</x:v>
      </x:c>
    </x:row>
    <x:row r="195">
      <x:c r="A195" s="20" t="str">
        <x:v>FIN-00192</x:v>
      </x:c>
      <x:c r="B195" s="23" t="n">
        <x:v>46451</x:v>
      </x:c>
      <x:c r="C195" s="23" t="n">
        <x:v>46451</x:v>
      </x:c>
      <x:c r="D195" s="20" t="str">
        <x:v>TenantReceipt</x:v>
      </x:c>
      <x:c r="E195" s="20" t="str">
        <x:v>Rent receipt</x:v>
      </x:c>
      <x:c r="F195" s="20" t="str">
        <x:v>P014</x:v>
      </x:c>
      <x:c r="G195" s="20" t="str">
        <x:v>U014</x:v>
      </x:c>
      <x:c r="H195" s="20" t="str">
        <x:v>L014</x:v>
      </x:c>
      <x:c r="I195" s="20" t="str">
        <x:v>Rina King</x:v>
      </x:c>
      <x:c r="J195" s="35" t="str">
        <x:v>Manual ACH</x:v>
      </x:c>
      <x:c r="K195" s="20" t="str"/>
      <x:c r="L195" s="20" t="str">
        <x:v>PMT-20270305-L014</x:v>
      </x:c>
      <x:c r="M195" s="26" t="n">
        <x:v>1200</x:v>
      </x:c>
      <x:c r="N195" s="26" t="n">
        <x:v>-1200</x:v>
      </x:c>
      <x:c r="O195" s="26" t="n">
        <x:v>1200</x:v>
      </x:c>
      <x:c r="P195" s="26" t="n">
        <x:v>0</x:v>
      </x:c>
      <x:c r="Q195" s="26" t="n">
        <x:v>0</x:v>
      </x:c>
      <x:c r="R195" s="26" t="n">
        <x:v>0</x:v>
      </x:c>
      <x:c r="S195" s="26" t="n">
        <x:v>0</x:v>
      </x:c>
      <x:c r="T195" s="26" t="n">
        <x:v>0</x:v>
      </x:c>
      <x:c r="U195" s="26" t="n">
        <x:v>0</x:v>
      </x:c>
      <x:c r="V195" s="26" t="n">
        <x:v>0</x:v>
      </x:c>
      <x:c r="W195" s="26" t="n">
        <x:v>0</x:v>
      </x:c>
      <x:c r="X195" s="26" t="n">
        <x:v>0</x:v>
      </x:c>
      <x:c r="Y195" s="26" t="n">
        <x:v>0</x:v>
      </x:c>
      <x:c r="Z195" s="35" t="str">
        <x:v>Receipt allocated to FIN-00191</x:v>
      </x:c>
    </x:row>
    <x:row r="196">
      <x:c r="A196" s="20" t="str">
        <x:v>FIN-00193</x:v>
      </x:c>
      <x:c r="B196" s="23" t="n">
        <x:v>46447</x:v>
      </x:c>
      <x:c r="C196" s="23" t="n">
        <x:v>46447</x:v>
      </x:c>
      <x:c r="D196" s="20" t="str">
        <x:v>TenantCharge</x:v>
      </x:c>
      <x:c r="E196" s="20" t="str">
        <x:v>Rent</x:v>
      </x:c>
      <x:c r="F196" s="20" t="str">
        <x:v>P015</x:v>
      </x:c>
      <x:c r="G196" s="20" t="str">
        <x:v>U015</x:v>
      </x:c>
      <x:c r="H196" s="20" t="str">
        <x:v>L015</x:v>
      </x:c>
      <x:c r="I196" s="20" t="str">
        <x:v>Uri Price</x:v>
      </x:c>
      <x:c r="J196" s="35" t="str">
        <x:v>System scheduled charge</x:v>
      </x:c>
      <x:c r="K196" s="20" t="str"/>
      <x:c r="L196" s="20" t="str">
        <x:v>RENT-202703-L015</x:v>
      </x:c>
      <x:c r="M196" s="26" t="n">
        <x:v>1725</x:v>
      </x:c>
      <x:c r="N196" s="26" t="n">
        <x:v>1725</x:v>
      </x:c>
      <x:c r="O196" s="26" t="n">
        <x:v>0</x:v>
      </x:c>
      <x:c r="P196" s="26" t="n">
        <x:v>0</x:v>
      </x:c>
      <x:c r="Q196" s="26" t="n">
        <x:v>0</x:v>
      </x:c>
      <x:c r="R196" s="26" t="n">
        <x:v>0</x:v>
      </x:c>
      <x:c r="S196" s="26" t="n">
        <x:v>0</x:v>
      </x:c>
      <x:c r="T196" s="26" t="n">
        <x:v>1725</x:v>
      </x:c>
      <x:c r="U196" s="26" t="n">
        <x:v>0</x:v>
      </x:c>
      <x:c r="V196" s="26" t="n">
        <x:v>0</x:v>
      </x:c>
      <x:c r="W196" s="26" t="n">
        <x:v>0</x:v>
      </x:c>
      <x:c r="X196" s="26" t="n">
        <x:v>0</x:v>
      </x:c>
      <x:c r="Y196" s="26" t="n">
        <x:v>0</x:v>
      </x:c>
      <x:c r="Z196" s="35" t="str">
        <x:v>March 2027 rent</x:v>
      </x:c>
    </x:row>
    <x:row r="197">
      <x:c r="A197" s="20" t="str">
        <x:v>FIN-00194</x:v>
      </x:c>
      <x:c r="B197" s="23" t="n">
        <x:v>46449</x:v>
      </x:c>
      <x:c r="C197" s="23" t="n">
        <x:v>46449</x:v>
      </x:c>
      <x:c r="D197" s="20" t="str">
        <x:v>TenantReceipt</x:v>
      </x:c>
      <x:c r="E197" s="20" t="str">
        <x:v>Rent receipt</x:v>
      </x:c>
      <x:c r="F197" s="20" t="str">
        <x:v>P015</x:v>
      </x:c>
      <x:c r="G197" s="20" t="str">
        <x:v>U015</x:v>
      </x:c>
      <x:c r="H197" s="20" t="str">
        <x:v>L015</x:v>
      </x:c>
      <x:c r="I197" s="20" t="str">
        <x:v>Uri Price</x:v>
      </x:c>
      <x:c r="J197" s="35" t="str">
        <x:v>Portal card</x:v>
      </x:c>
      <x:c r="K197" s="20" t="str"/>
      <x:c r="L197" s="20" t="str">
        <x:v>PMT-20270303-L015</x:v>
      </x:c>
      <x:c r="M197" s="26" t="n">
        <x:v>1725</x:v>
      </x:c>
      <x:c r="N197" s="26" t="n">
        <x:v>-1725</x:v>
      </x:c>
      <x:c r="O197" s="26" t="n">
        <x:v>1725</x:v>
      </x:c>
      <x:c r="P197" s="26" t="n">
        <x:v>0</x:v>
      </x:c>
      <x:c r="Q197" s="26" t="n">
        <x:v>0</x:v>
      </x:c>
      <x:c r="R197" s="26" t="n">
        <x:v>0</x:v>
      </x:c>
      <x:c r="S197" s="26" t="n">
        <x:v>0</x:v>
      </x:c>
      <x:c r="T197" s="26" t="n">
        <x:v>0</x:v>
      </x:c>
      <x:c r="U197" s="26" t="n">
        <x:v>0</x:v>
      </x:c>
      <x:c r="V197" s="26" t="n">
        <x:v>0</x:v>
      </x:c>
      <x:c r="W197" s="26" t="n">
        <x:v>0</x:v>
      </x:c>
      <x:c r="X197" s="26" t="n">
        <x:v>0</x:v>
      </x:c>
      <x:c r="Y197" s="26" t="n">
        <x:v>0</x:v>
      </x:c>
      <x:c r="Z197" s="35" t="str">
        <x:v>Receipt allocated to FIN-00193</x:v>
      </x:c>
    </x:row>
    <x:row r="198">
      <x:c r="A198" s="20" t="str">
        <x:v>FIN-00195</x:v>
      </x:c>
      <x:c r="B198" s="23" t="n">
        <x:v>46447</x:v>
      </x:c>
      <x:c r="C198" s="23" t="n">
        <x:v>46447</x:v>
      </x:c>
      <x:c r="D198" s="20" t="str">
        <x:v>TenantCharge</x:v>
      </x:c>
      <x:c r="E198" s="20" t="str">
        <x:v>Rent</x:v>
      </x:c>
      <x:c r="F198" s="20" t="str">
        <x:v>P016</x:v>
      </x:c>
      <x:c r="G198" s="20" t="str">
        <x:v>U016</x:v>
      </x:c>
      <x:c r="H198" s="20" t="str">
        <x:v>L016</x:v>
      </x:c>
      <x:c r="I198" s="20" t="str">
        <x:v>Avery Brooks</x:v>
      </x:c>
      <x:c r="J198" s="35" t="str">
        <x:v>System scheduled charge</x:v>
      </x:c>
      <x:c r="K198" s="20" t="str"/>
      <x:c r="L198" s="20" t="str">
        <x:v>RENT-202703-L016</x:v>
      </x:c>
      <x:c r="M198" s="26" t="n">
        <x:v>1350</x:v>
      </x:c>
      <x:c r="N198" s="26" t="n">
        <x:v>1350</x:v>
      </x:c>
      <x:c r="O198" s="26" t="n">
        <x:v>0</x:v>
      </x:c>
      <x:c r="P198" s="26" t="n">
        <x:v>0</x:v>
      </x:c>
      <x:c r="Q198" s="26" t="n">
        <x:v>0</x:v>
      </x:c>
      <x:c r="R198" s="26" t="n">
        <x:v>0</x:v>
      </x:c>
      <x:c r="S198" s="26" t="n">
        <x:v>0</x:v>
      </x:c>
      <x:c r="T198" s="26" t="n">
        <x:v>1350</x:v>
      </x:c>
      <x:c r="U198" s="26" t="n">
        <x:v>0</x:v>
      </x:c>
      <x:c r="V198" s="26" t="n">
        <x:v>0</x:v>
      </x:c>
      <x:c r="W198" s="26" t="n">
        <x:v>0</x:v>
      </x:c>
      <x:c r="X198" s="26" t="n">
        <x:v>0</x:v>
      </x:c>
      <x:c r="Y198" s="26" t="n">
        <x:v>0</x:v>
      </x:c>
      <x:c r="Z198" s="35" t="str">
        <x:v>March 2027 rent</x:v>
      </x:c>
    </x:row>
    <x:row r="199">
      <x:c r="A199" s="20" t="str">
        <x:v>FIN-00196</x:v>
      </x:c>
      <x:c r="B199" s="23" t="n">
        <x:v>46450</x:v>
      </x:c>
      <x:c r="C199" s="23" t="n">
        <x:v>46450</x:v>
      </x:c>
      <x:c r="D199" s="20" t="str">
        <x:v>TenantReceipt</x:v>
      </x:c>
      <x:c r="E199" s="20" t="str">
        <x:v>Rent receipt</x:v>
      </x:c>
      <x:c r="F199" s="20" t="str">
        <x:v>P016</x:v>
      </x:c>
      <x:c r="G199" s="20" t="str">
        <x:v>U016</x:v>
      </x:c>
      <x:c r="H199" s="20" t="str">
        <x:v>L016</x:v>
      </x:c>
      <x:c r="I199" s="20" t="str">
        <x:v>Avery Brooks</x:v>
      </x:c>
      <x:c r="J199" s="35" t="str">
        <x:v>Scanned check</x:v>
      </x:c>
      <x:c r="K199" s="20" t="str">
        <x:v>SCN-0136</x:v>
      </x:c>
      <x:c r="L199" s="20" t="str">
        <x:v>PMT-20270304-L016</x:v>
      </x:c>
      <x:c r="M199" s="26" t="n">
        <x:v>1350</x:v>
      </x:c>
      <x:c r="N199" s="26" t="n">
        <x:v>-1350</x:v>
      </x:c>
      <x:c r="O199" s="26" t="n">
        <x:v>1350</x:v>
      </x:c>
      <x:c r="P199" s="26" t="n">
        <x:v>0</x:v>
      </x:c>
      <x:c r="Q199" s="26" t="n">
        <x:v>0</x:v>
      </x:c>
      <x:c r="R199" s="26" t="n">
        <x:v>0</x:v>
      </x:c>
      <x:c r="S199" s="26" t="n">
        <x:v>0</x:v>
      </x:c>
      <x:c r="T199" s="26" t="n">
        <x:v>0</x:v>
      </x:c>
      <x:c r="U199" s="26" t="n">
        <x:v>0</x:v>
      </x:c>
      <x:c r="V199" s="26" t="n">
        <x:v>0</x:v>
      </x:c>
      <x:c r="W199" s="26" t="n">
        <x:v>0</x:v>
      </x:c>
      <x:c r="X199" s="26" t="n">
        <x:v>0</x:v>
      </x:c>
      <x:c r="Y199" s="26" t="n">
        <x:v>0</x:v>
      </x:c>
      <x:c r="Z199" s="35" t="str">
        <x:v>Receipt allocated to FIN-00195</x:v>
      </x:c>
    </x:row>
    <x:row r="200">
      <x:c r="A200" s="20" t="str">
        <x:v>FIN-00197</x:v>
      </x:c>
      <x:c r="B200" s="23" t="n">
        <x:v>46447</x:v>
      </x:c>
      <x:c r="C200" s="23" t="n">
        <x:v>46447</x:v>
      </x:c>
      <x:c r="D200" s="20" t="str">
        <x:v>TenantCharge</x:v>
      </x:c>
      <x:c r="E200" s="20" t="str">
        <x:v>Rent</x:v>
      </x:c>
      <x:c r="F200" s="20" t="str">
        <x:v>P017</x:v>
      </x:c>
      <x:c r="G200" s="20" t="str">
        <x:v>U017</x:v>
      </x:c>
      <x:c r="H200" s="20" t="str">
        <x:v>L017</x:v>
      </x:c>
      <x:c r="I200" s="20" t="str">
        <x:v>Dana Garcia</x:v>
      </x:c>
      <x:c r="J200" s="35" t="str">
        <x:v>System scheduled charge</x:v>
      </x:c>
      <x:c r="K200" s="20" t="str"/>
      <x:c r="L200" s="20" t="str">
        <x:v>RENT-202703-L017</x:v>
      </x:c>
      <x:c r="M200" s="26" t="n">
        <x:v>1875</x:v>
      </x:c>
      <x:c r="N200" s="26" t="n">
        <x:v>1875</x:v>
      </x:c>
      <x:c r="O200" s="26" t="n">
        <x:v>0</x:v>
      </x:c>
      <x:c r="P200" s="26" t="n">
        <x:v>0</x:v>
      </x:c>
      <x:c r="Q200" s="26" t="n">
        <x:v>0</x:v>
      </x:c>
      <x:c r="R200" s="26" t="n">
        <x:v>0</x:v>
      </x:c>
      <x:c r="S200" s="26" t="n">
        <x:v>0</x:v>
      </x:c>
      <x:c r="T200" s="26" t="n">
        <x:v>1875</x:v>
      </x:c>
      <x:c r="U200" s="26" t="n">
        <x:v>0</x:v>
      </x:c>
      <x:c r="V200" s="26" t="n">
        <x:v>0</x:v>
      </x:c>
      <x:c r="W200" s="26" t="n">
        <x:v>0</x:v>
      </x:c>
      <x:c r="X200" s="26" t="n">
        <x:v>0</x:v>
      </x:c>
      <x:c r="Y200" s="26" t="n">
        <x:v>0</x:v>
      </x:c>
      <x:c r="Z200" s="35" t="str">
        <x:v>March 2027 rent</x:v>
      </x:c>
    </x:row>
    <x:row r="201">
      <x:c r="A201" s="20" t="str">
        <x:v>FIN-00198</x:v>
      </x:c>
      <x:c r="B201" s="23" t="n">
        <x:v>46451</x:v>
      </x:c>
      <x:c r="C201" s="23" t="n">
        <x:v>46451</x:v>
      </x:c>
      <x:c r="D201" s="20" t="str">
        <x:v>TenantReceipt</x:v>
      </x:c>
      <x:c r="E201" s="20" t="str">
        <x:v>Rent receipt</x:v>
      </x:c>
      <x:c r="F201" s="20" t="str">
        <x:v>P017</x:v>
      </x:c>
      <x:c r="G201" s="20" t="str">
        <x:v>U017</x:v>
      </x:c>
      <x:c r="H201" s="20" t="str">
        <x:v>L017</x:v>
      </x:c>
      <x:c r="I201" s="20" t="str">
        <x:v>Dana Garcia</x:v>
      </x:c>
      <x:c r="J201" s="35" t="str">
        <x:v>Scanned money order</x:v>
      </x:c>
      <x:c r="K201" s="20" t="str">
        <x:v>SCN-0137</x:v>
      </x:c>
      <x:c r="L201" s="20" t="str">
        <x:v>PMT-20270305-L017</x:v>
      </x:c>
      <x:c r="M201" s="26" t="n">
        <x:v>1875</x:v>
      </x:c>
      <x:c r="N201" s="26" t="n">
        <x:v>-1875</x:v>
      </x:c>
      <x:c r="O201" s="26" t="n">
        <x:v>1875</x:v>
      </x:c>
      <x:c r="P201" s="26" t="n">
        <x:v>0</x:v>
      </x:c>
      <x:c r="Q201" s="26" t="n">
        <x:v>0</x:v>
      </x:c>
      <x:c r="R201" s="26" t="n">
        <x:v>0</x:v>
      </x:c>
      <x:c r="S201" s="26" t="n">
        <x:v>0</x:v>
      </x:c>
      <x:c r="T201" s="26" t="n">
        <x:v>0</x:v>
      </x:c>
      <x:c r="U201" s="26" t="n">
        <x:v>0</x:v>
      </x:c>
      <x:c r="V201" s="26" t="n">
        <x:v>0</x:v>
      </x:c>
      <x:c r="W201" s="26" t="n">
        <x:v>0</x:v>
      </x:c>
      <x:c r="X201" s="26" t="n">
        <x:v>0</x:v>
      </x:c>
      <x:c r="Y201" s="26" t="n">
        <x:v>0</x:v>
      </x:c>
      <x:c r="Z201" s="35" t="str">
        <x:v>Receipt allocated to FIN-00197</x:v>
      </x:c>
    </x:row>
    <x:row r="202">
      <x:c r="A202" s="20" t="str">
        <x:v>FIN-00199</x:v>
      </x:c>
      <x:c r="B202" s="23" t="n">
        <x:v>46447</x:v>
      </x:c>
      <x:c r="C202" s="23" t="n">
        <x:v>46447</x:v>
      </x:c>
      <x:c r="D202" s="20" t="str">
        <x:v>TenantCharge</x:v>
      </x:c>
      <x:c r="E202" s="20" t="str">
        <x:v>Rent</x:v>
      </x:c>
      <x:c r="F202" s="20" t="str">
        <x:v>P018</x:v>
      </x:c>
      <x:c r="G202" s="20" t="str">
        <x:v>U018</x:v>
      </x:c>
      <x:c r="H202" s="20" t="str">
        <x:v>L018</x:v>
      </x:c>
      <x:c r="I202" s="20" t="str">
        <x:v>Gray Lewis</x:v>
      </x:c>
      <x:c r="J202" s="35" t="str">
        <x:v>System scheduled charge</x:v>
      </x:c>
      <x:c r="K202" s="20" t="str"/>
      <x:c r="L202" s="20" t="str">
        <x:v>RENT-202703-L018</x:v>
      </x:c>
      <x:c r="M202" s="26" t="n">
        <x:v>1500</x:v>
      </x:c>
      <x:c r="N202" s="26" t="n">
        <x:v>1500</x:v>
      </x:c>
      <x:c r="O202" s="26" t="n">
        <x:v>0</x:v>
      </x:c>
      <x:c r="P202" s="26" t="n">
        <x:v>0</x:v>
      </x:c>
      <x:c r="Q202" s="26" t="n">
        <x:v>0</x:v>
      </x:c>
      <x:c r="R202" s="26" t="n">
        <x:v>0</x:v>
      </x:c>
      <x:c r="S202" s="26" t="n">
        <x:v>0</x:v>
      </x:c>
      <x:c r="T202" s="26" t="n">
        <x:v>1500</x:v>
      </x:c>
      <x:c r="U202" s="26" t="n">
        <x:v>0</x:v>
      </x:c>
      <x:c r="V202" s="26" t="n">
        <x:v>0</x:v>
      </x:c>
      <x:c r="W202" s="26" t="n">
        <x:v>0</x:v>
      </x:c>
      <x:c r="X202" s="26" t="n">
        <x:v>0</x:v>
      </x:c>
      <x:c r="Y202" s="26" t="n">
        <x:v>0</x:v>
      </x:c>
      <x:c r="Z202" s="35" t="str">
        <x:v>March 2027 rent</x:v>
      </x:c>
    </x:row>
    <x:row r="203">
      <x:c r="A203" s="20" t="str">
        <x:v>FIN-00200</x:v>
      </x:c>
      <x:c r="B203" s="23" t="n">
        <x:v>46449</x:v>
      </x:c>
      <x:c r="C203" s="23" t="n">
        <x:v>46449</x:v>
      </x:c>
      <x:c r="D203" s="20" t="str">
        <x:v>TenantReceipt</x:v>
      </x:c>
      <x:c r="E203" s="20" t="str">
        <x:v>Rent receipt</x:v>
      </x:c>
      <x:c r="F203" s="20" t="str">
        <x:v>P018</x:v>
      </x:c>
      <x:c r="G203" s="20" t="str">
        <x:v>U018</x:v>
      </x:c>
      <x:c r="H203" s="20" t="str">
        <x:v>L018</x:v>
      </x:c>
      <x:c r="I203" s="20" t="str">
        <x:v>Gray Lewis</x:v>
      </x:c>
      <x:c r="J203" s="35" t="str">
        <x:v>Manual ACH</x:v>
      </x:c>
      <x:c r="K203" s="20" t="str"/>
      <x:c r="L203" s="20" t="str">
        <x:v>PMT-20270303-L018</x:v>
      </x:c>
      <x:c r="M203" s="26" t="n">
        <x:v>1500</x:v>
      </x:c>
      <x:c r="N203" s="26" t="n">
        <x:v>-1500</x:v>
      </x:c>
      <x:c r="O203" s="26" t="n">
        <x:v>1500</x:v>
      </x:c>
      <x:c r="P203" s="26" t="n">
        <x:v>0</x:v>
      </x:c>
      <x:c r="Q203" s="26" t="n">
        <x:v>0</x:v>
      </x:c>
      <x:c r="R203" s="26" t="n">
        <x:v>0</x:v>
      </x:c>
      <x:c r="S203" s="26" t="n">
        <x:v>0</x:v>
      </x:c>
      <x:c r="T203" s="26" t="n">
        <x:v>0</x:v>
      </x:c>
      <x:c r="U203" s="26" t="n">
        <x:v>0</x:v>
      </x:c>
      <x:c r="V203" s="26" t="n">
        <x:v>0</x:v>
      </x:c>
      <x:c r="W203" s="26" t="n">
        <x:v>0</x:v>
      </x:c>
      <x:c r="X203" s="26" t="n">
        <x:v>0</x:v>
      </x:c>
      <x:c r="Y203" s="26" t="n">
        <x:v>0</x:v>
      </x:c>
      <x:c r="Z203" s="35" t="str">
        <x:v>Receipt allocated to FIN-00199</x:v>
      </x:c>
    </x:row>
    <x:row r="204">
      <x:c r="A204" s="20" t="str">
        <x:v>FIN-00201</x:v>
      </x:c>
      <x:c r="B204" s="23" t="n">
        <x:v>46447</x:v>
      </x:c>
      <x:c r="C204" s="23" t="n">
        <x:v>46447</x:v>
      </x:c>
      <x:c r="D204" s="20" t="str">
        <x:v>TenantCharge</x:v>
      </x:c>
      <x:c r="E204" s="20" t="str">
        <x:v>Rent</x:v>
      </x:c>
      <x:c r="F204" s="20" t="str">
        <x:v>P019</x:v>
      </x:c>
      <x:c r="G204" s="20" t="str">
        <x:v>U019</x:v>
      </x:c>
      <x:c r="H204" s="20" t="str">
        <x:v>L019</x:v>
      </x:c>
      <x:c r="I204" s="20" t="str">
        <x:v>Jordan Reed</x:v>
      </x:c>
      <x:c r="J204" s="35" t="str">
        <x:v>System scheduled charge</x:v>
      </x:c>
      <x:c r="K204" s="20" t="str"/>
      <x:c r="L204" s="20" t="str">
        <x:v>RENT-202703-L019</x:v>
      </x:c>
      <x:c r="M204" s="26" t="n">
        <x:v>1125</x:v>
      </x:c>
      <x:c r="N204" s="26" t="n">
        <x:v>1125</x:v>
      </x:c>
      <x:c r="O204" s="26" t="n">
        <x:v>0</x:v>
      </x:c>
      <x:c r="P204" s="26" t="n">
        <x:v>0</x:v>
      </x:c>
      <x:c r="Q204" s="26" t="n">
        <x:v>0</x:v>
      </x:c>
      <x:c r="R204" s="26" t="n">
        <x:v>0</x:v>
      </x:c>
      <x:c r="S204" s="26" t="n">
        <x:v>0</x:v>
      </x:c>
      <x:c r="T204" s="26" t="n">
        <x:v>1125</x:v>
      </x:c>
      <x:c r="U204" s="26" t="n">
        <x:v>0</x:v>
      </x:c>
      <x:c r="V204" s="26" t="n">
        <x:v>0</x:v>
      </x:c>
      <x:c r="W204" s="26" t="n">
        <x:v>0</x:v>
      </x:c>
      <x:c r="X204" s="26" t="n">
        <x:v>0</x:v>
      </x:c>
      <x:c r="Y204" s="26" t="n">
        <x:v>0</x:v>
      </x:c>
      <x:c r="Z204" s="35" t="str">
        <x:v>March 2027 rent</x:v>
      </x:c>
    </x:row>
    <x:row r="205">
      <x:c r="A205" s="20" t="str">
        <x:v>FIN-00202</x:v>
      </x:c>
      <x:c r="B205" s="23" t="n">
        <x:v>46450</x:v>
      </x:c>
      <x:c r="C205" s="23" t="n">
        <x:v>46450</x:v>
      </x:c>
      <x:c r="D205" s="20" t="str">
        <x:v>TenantReceipt</x:v>
      </x:c>
      <x:c r="E205" s="20" t="str">
        <x:v>Rent receipt</x:v>
      </x:c>
      <x:c r="F205" s="20" t="str">
        <x:v>P019</x:v>
      </x:c>
      <x:c r="G205" s="20" t="str">
        <x:v>U019</x:v>
      </x:c>
      <x:c r="H205" s="20" t="str">
        <x:v>L019</x:v>
      </x:c>
      <x:c r="I205" s="20" t="str">
        <x:v>Jordan Reed</x:v>
      </x:c>
      <x:c r="J205" s="35" t="str">
        <x:v>Portal card</x:v>
      </x:c>
      <x:c r="K205" s="20" t="str"/>
      <x:c r="L205" s="20" t="str">
        <x:v>PMT-20270304-L019</x:v>
      </x:c>
      <x:c r="M205" s="26" t="n">
        <x:v>1125</x:v>
      </x:c>
      <x:c r="N205" s="26" t="n">
        <x:v>-1125</x:v>
      </x:c>
      <x:c r="O205" s="26" t="n">
        <x:v>1125</x:v>
      </x:c>
      <x:c r="P205" s="26" t="n">
        <x:v>0</x:v>
      </x:c>
      <x:c r="Q205" s="26" t="n">
        <x:v>0</x:v>
      </x:c>
      <x:c r="R205" s="26" t="n">
        <x:v>0</x:v>
      </x:c>
      <x:c r="S205" s="26" t="n">
        <x:v>0</x:v>
      </x:c>
      <x:c r="T205" s="26" t="n">
        <x:v>0</x:v>
      </x:c>
      <x:c r="U205" s="26" t="n">
        <x:v>0</x:v>
      </x:c>
      <x:c r="V205" s="26" t="n">
        <x:v>0</x:v>
      </x:c>
      <x:c r="W205" s="26" t="n">
        <x:v>0</x:v>
      </x:c>
      <x:c r="X205" s="26" t="n">
        <x:v>0</x:v>
      </x:c>
      <x:c r="Y205" s="26" t="n">
        <x:v>0</x:v>
      </x:c>
      <x:c r="Z205" s="35" t="str">
        <x:v>Receipt allocated to FIN-00201</x:v>
      </x:c>
    </x:row>
    <x:row r="206">
      <x:c r="A206" s="20" t="str">
        <x:v>FIN-00203</x:v>
      </x:c>
      <x:c r="B206" s="23" t="n">
        <x:v>46447</x:v>
      </x:c>
      <x:c r="C206" s="23" t="n">
        <x:v>46447</x:v>
      </x:c>
      <x:c r="D206" s="20" t="str">
        <x:v>TenantCharge</x:v>
      </x:c>
      <x:c r="E206" s="20" t="str">
        <x:v>Rent</x:v>
      </x:c>
      <x:c r="F206" s="20" t="str">
        <x:v>P020</x:v>
      </x:c>
      <x:c r="G206" s="20" t="str">
        <x:v>U020</x:v>
      </x:c>
      <x:c r="H206" s="20" t="str">
        <x:v>L020</x:v>
      </x:c>
      <x:c r="I206" s="20" t="str">
        <x:v>Morgan Adams</x:v>
      </x:c>
      <x:c r="J206" s="35" t="str">
        <x:v>System scheduled charge</x:v>
      </x:c>
      <x:c r="K206" s="20" t="str"/>
      <x:c r="L206" s="20" t="str">
        <x:v>RENT-202703-L020</x:v>
      </x:c>
      <x:c r="M206" s="26" t="n">
        <x:v>1650</x:v>
      </x:c>
      <x:c r="N206" s="26" t="n">
        <x:v>1650</x:v>
      </x:c>
      <x:c r="O206" s="26" t="n">
        <x:v>0</x:v>
      </x:c>
      <x:c r="P206" s="26" t="n">
        <x:v>0</x:v>
      </x:c>
      <x:c r="Q206" s="26" t="n">
        <x:v>0</x:v>
      </x:c>
      <x:c r="R206" s="26" t="n">
        <x:v>0</x:v>
      </x:c>
      <x:c r="S206" s="26" t="n">
        <x:v>0</x:v>
      </x:c>
      <x:c r="T206" s="26" t="n">
        <x:v>1650</x:v>
      </x:c>
      <x:c r="U206" s="26" t="n">
        <x:v>0</x:v>
      </x:c>
      <x:c r="V206" s="26" t="n">
        <x:v>0</x:v>
      </x:c>
      <x:c r="W206" s="26" t="n">
        <x:v>0</x:v>
      </x:c>
      <x:c r="X206" s="26" t="n">
        <x:v>0</x:v>
      </x:c>
      <x:c r="Y206" s="26" t="n">
        <x:v>0</x:v>
      </x:c>
      <x:c r="Z206" s="35" t="str">
        <x:v>March 2027 rent</x:v>
      </x:c>
    </x:row>
    <x:row r="207">
      <x:c r="A207" s="20" t="str">
        <x:v>FIN-00204</x:v>
      </x:c>
      <x:c r="B207" s="23" t="n">
        <x:v>46451</x:v>
      </x:c>
      <x:c r="C207" s="23" t="n">
        <x:v>46451</x:v>
      </x:c>
      <x:c r="D207" s="20" t="str">
        <x:v>TenantReceipt</x:v>
      </x:c>
      <x:c r="E207" s="20" t="str">
        <x:v>Rent receipt</x:v>
      </x:c>
      <x:c r="F207" s="20" t="str">
        <x:v>P020</x:v>
      </x:c>
      <x:c r="G207" s="20" t="str">
        <x:v>U020</x:v>
      </x:c>
      <x:c r="H207" s="20" t="str">
        <x:v>L020</x:v>
      </x:c>
      <x:c r="I207" s="20" t="str">
        <x:v>Morgan Adams</x:v>
      </x:c>
      <x:c r="J207" s="35" t="str">
        <x:v>Scanned check</x:v>
      </x:c>
      <x:c r="K207" s="20" t="str">
        <x:v>SCN-0138</x:v>
      </x:c>
      <x:c r="L207" s="20" t="str">
        <x:v>PMT-20270305-L020</x:v>
      </x:c>
      <x:c r="M207" s="26" t="n">
        <x:v>1650</x:v>
      </x:c>
      <x:c r="N207" s="26" t="n">
        <x:v>-1650</x:v>
      </x:c>
      <x:c r="O207" s="26" t="n">
        <x:v>1650</x:v>
      </x:c>
      <x:c r="P207" s="26" t="n">
        <x:v>0</x:v>
      </x:c>
      <x:c r="Q207" s="26" t="n">
        <x:v>0</x:v>
      </x:c>
      <x:c r="R207" s="26" t="n">
        <x:v>0</x:v>
      </x:c>
      <x:c r="S207" s="26" t="n">
        <x:v>0</x:v>
      </x:c>
      <x:c r="T207" s="26" t="n">
        <x:v>0</x:v>
      </x:c>
      <x:c r="U207" s="26" t="n">
        <x:v>0</x:v>
      </x:c>
      <x:c r="V207" s="26" t="n">
        <x:v>0</x:v>
      </x:c>
      <x:c r="W207" s="26" t="n">
        <x:v>0</x:v>
      </x:c>
      <x:c r="X207" s="26" t="n">
        <x:v>0</x:v>
      </x:c>
      <x:c r="Y207" s="26" t="n">
        <x:v>0</x:v>
      </x:c>
      <x:c r="Z207" s="35" t="str">
        <x:v>Receipt allocated to FIN-00203</x:v>
      </x:c>
    </x:row>
    <x:row r="208">
      <x:c r="A208" s="20" t="str">
        <x:v>FIN-00205</x:v>
      </x:c>
      <x:c r="B208" s="23" t="n">
        <x:v>46447</x:v>
      </x:c>
      <x:c r="C208" s="23" t="n">
        <x:v>46447</x:v>
      </x:c>
      <x:c r="D208" s="20" t="str">
        <x:v>TenantCharge</x:v>
      </x:c>
      <x:c r="E208" s="20" t="str">
        <x:v>Rent</x:v>
      </x:c>
      <x:c r="F208" s="20" t="str">
        <x:v>P021</x:v>
      </x:c>
      <x:c r="G208" s="20" t="str">
        <x:v>U021</x:v>
      </x:c>
      <x:c r="H208" s="20" t="str">
        <x:v>L021</x:v>
      </x:c>
      <x:c r="I208" s="20" t="str">
        <x:v>Parker Flores</x:v>
      </x:c>
      <x:c r="J208" s="35" t="str">
        <x:v>System scheduled charge</x:v>
      </x:c>
      <x:c r="K208" s="20" t="str"/>
      <x:c r="L208" s="20" t="str">
        <x:v>RENT-202703-L021</x:v>
      </x:c>
      <x:c r="M208" s="26" t="n">
        <x:v>1375</x:v>
      </x:c>
      <x:c r="N208" s="26" t="n">
        <x:v>1375</x:v>
      </x:c>
      <x:c r="O208" s="26" t="n">
        <x:v>0</x:v>
      </x:c>
      <x:c r="P208" s="26" t="n">
        <x:v>0</x:v>
      </x:c>
      <x:c r="Q208" s="26" t="n">
        <x:v>0</x:v>
      </x:c>
      <x:c r="R208" s="26" t="n">
        <x:v>0</x:v>
      </x:c>
      <x:c r="S208" s="26" t="n">
        <x:v>0</x:v>
      </x:c>
      <x:c r="T208" s="26" t="n">
        <x:v>1375</x:v>
      </x:c>
      <x:c r="U208" s="26" t="n">
        <x:v>0</x:v>
      </x:c>
      <x:c r="V208" s="26" t="n">
        <x:v>0</x:v>
      </x:c>
      <x:c r="W208" s="26" t="n">
        <x:v>0</x:v>
      </x:c>
      <x:c r="X208" s="26" t="n">
        <x:v>0</x:v>
      </x:c>
      <x:c r="Y208" s="26" t="n">
        <x:v>0</x:v>
      </x:c>
      <x:c r="Z208" s="35" t="str">
        <x:v>March 2027 rent</x:v>
      </x:c>
    </x:row>
    <x:row r="209">
      <x:c r="A209" s="20" t="str">
        <x:v>FIN-00206</x:v>
      </x:c>
      <x:c r="B209" s="23" t="n">
        <x:v>46449</x:v>
      </x:c>
      <x:c r="C209" s="23" t="n">
        <x:v>46449</x:v>
      </x:c>
      <x:c r="D209" s="20" t="str">
        <x:v>TenantReceipt</x:v>
      </x:c>
      <x:c r="E209" s="20" t="str">
        <x:v>Rent receipt</x:v>
      </x:c>
      <x:c r="F209" s="20" t="str">
        <x:v>P021</x:v>
      </x:c>
      <x:c r="G209" s="20" t="str">
        <x:v>U021</x:v>
      </x:c>
      <x:c r="H209" s="20" t="str">
        <x:v>L021</x:v>
      </x:c>
      <x:c r="I209" s="20" t="str">
        <x:v>Parker Flores</x:v>
      </x:c>
      <x:c r="J209" s="35" t="str">
        <x:v>Scanned money order</x:v>
      </x:c>
      <x:c r="K209" s="20" t="str">
        <x:v>SCN-0139</x:v>
      </x:c>
      <x:c r="L209" s="20" t="str">
        <x:v>PMT-20270303-L021</x:v>
      </x:c>
      <x:c r="M209" s="26" t="n">
        <x:v>1375</x:v>
      </x:c>
      <x:c r="N209" s="26" t="n">
        <x:v>-1375</x:v>
      </x:c>
      <x:c r="O209" s="26" t="n">
        <x:v>1375</x:v>
      </x:c>
      <x:c r="P209" s="26" t="n">
        <x:v>0</x:v>
      </x:c>
      <x:c r="Q209" s="26" t="n">
        <x:v>0</x:v>
      </x:c>
      <x:c r="R209" s="26" t="n">
        <x:v>0</x:v>
      </x:c>
      <x:c r="S209" s="26" t="n">
        <x:v>0</x:v>
      </x:c>
      <x:c r="T209" s="26" t="n">
        <x:v>0</x:v>
      </x:c>
      <x:c r="U209" s="26" t="n">
        <x:v>0</x:v>
      </x:c>
      <x:c r="V209" s="26" t="n">
        <x:v>0</x:v>
      </x:c>
      <x:c r="W209" s="26" t="n">
        <x:v>0</x:v>
      </x:c>
      <x:c r="X209" s="26" t="n">
        <x:v>0</x:v>
      </x:c>
      <x:c r="Y209" s="26" t="n">
        <x:v>0</x:v>
      </x:c>
      <x:c r="Z209" s="35" t="str">
        <x:v>Receipt allocated to FIN-00205</x:v>
      </x:c>
    </x:row>
    <x:row r="210">
      <x:c r="A210" s="20" t="str">
        <x:v>FIN-00207</x:v>
      </x:c>
      <x:c r="B210" s="23" t="n">
        <x:v>46447</x:v>
      </x:c>
      <x:c r="C210" s="23" t="n">
        <x:v>46447</x:v>
      </x:c>
      <x:c r="D210" s="20" t="str">
        <x:v>TenantCharge</x:v>
      </x:c>
      <x:c r="E210" s="20" t="str">
        <x:v>Rent</x:v>
      </x:c>
      <x:c r="F210" s="20" t="str">
        <x:v>P021</x:v>
      </x:c>
      <x:c r="G210" s="20" t="str">
        <x:v>U022</x:v>
      </x:c>
      <x:c r="H210" s="20" t="str">
        <x:v>L022</x:v>
      </x:c>
      <x:c r="I210" s="20" t="str">
        <x:v>Sage King</x:v>
      </x:c>
      <x:c r="J210" s="35" t="str">
        <x:v>System scheduled charge</x:v>
      </x:c>
      <x:c r="K210" s="20" t="str"/>
      <x:c r="L210" s="20" t="str">
        <x:v>RENT-202703-L022</x:v>
      </x:c>
      <x:c r="M210" s="26" t="n">
        <x:v>1900</x:v>
      </x:c>
      <x:c r="N210" s="26" t="n">
        <x:v>1900</x:v>
      </x:c>
      <x:c r="O210" s="26" t="n">
        <x:v>0</x:v>
      </x:c>
      <x:c r="P210" s="26" t="n">
        <x:v>0</x:v>
      </x:c>
      <x:c r="Q210" s="26" t="n">
        <x:v>0</x:v>
      </x:c>
      <x:c r="R210" s="26" t="n">
        <x:v>0</x:v>
      </x:c>
      <x:c r="S210" s="26" t="n">
        <x:v>0</x:v>
      </x:c>
      <x:c r="T210" s="26" t="n">
        <x:v>1900</x:v>
      </x:c>
      <x:c r="U210" s="26" t="n">
        <x:v>0</x:v>
      </x:c>
      <x:c r="V210" s="26" t="n">
        <x:v>0</x:v>
      </x:c>
      <x:c r="W210" s="26" t="n">
        <x:v>0</x:v>
      </x:c>
      <x:c r="X210" s="26" t="n">
        <x:v>0</x:v>
      </x:c>
      <x:c r="Y210" s="26" t="n">
        <x:v>0</x:v>
      </x:c>
      <x:c r="Z210" s="35" t="str">
        <x:v>March 2027 rent</x:v>
      </x:c>
    </x:row>
    <x:row r="211">
      <x:c r="A211" s="20" t="str">
        <x:v>FIN-00208</x:v>
      </x:c>
      <x:c r="B211" s="23" t="n">
        <x:v>46449</x:v>
      </x:c>
      <x:c r="C211" s="23" t="n">
        <x:v>46449</x:v>
      </x:c>
      <x:c r="D211" s="20" t="str">
        <x:v>TenantReceipt</x:v>
      </x:c>
      <x:c r="E211" s="20" t="str">
        <x:v>Rent receipt</x:v>
      </x:c>
      <x:c r="F211" s="20" t="str">
        <x:v>P021</x:v>
      </x:c>
      <x:c r="G211" s="20" t="str">
        <x:v>U022</x:v>
      </x:c>
      <x:c r="H211" s="20" t="str">
        <x:v>L022</x:v>
      </x:c>
      <x:c r="I211" s="20" t="str">
        <x:v>Sage King</x:v>
      </x:c>
      <x:c r="J211" s="35" t="str">
        <x:v>Manual ACH</x:v>
      </x:c>
      <x:c r="K211" s="20" t="str"/>
      <x:c r="L211" s="20" t="str">
        <x:v>PMT-20270303-L022-NSF1</x:v>
      </x:c>
      <x:c r="M211" s="26" t="n">
        <x:v>1900</x:v>
      </x:c>
      <x:c r="N211" s="26" t="n">
        <x:v>-1900</x:v>
      </x:c>
      <x:c r="O211" s="26" t="n">
        <x:v>1900</x:v>
      </x:c>
      <x:c r="P211" s="26" t="n">
        <x:v>0</x:v>
      </x:c>
      <x:c r="Q211" s="26" t="n">
        <x:v>0</x:v>
      </x:c>
      <x:c r="R211" s="26" t="n">
        <x:v>0</x:v>
      </x:c>
      <x:c r="S211" s="26" t="n">
        <x:v>0</x:v>
      </x:c>
      <x:c r="T211" s="26" t="n">
        <x:v>0</x:v>
      </x:c>
      <x:c r="U211" s="26" t="n">
        <x:v>0</x:v>
      </x:c>
      <x:c r="V211" s="26" t="n">
        <x:v>0</x:v>
      </x:c>
      <x:c r="W211" s="26" t="n">
        <x:v>0</x:v>
      </x:c>
      <x:c r="X211" s="26" t="n">
        <x:v>0</x:v>
      </x:c>
      <x:c r="Y211" s="26" t="n">
        <x:v>0</x:v>
      </x:c>
      <x:c r="Z211" s="35" t="str">
        <x:v>Receipt allocated to FIN-00207</x:v>
      </x:c>
    </x:row>
    <x:row r="212">
      <x:c r="A212" s="20" t="str">
        <x:v>FIN-00209</x:v>
      </x:c>
      <x:c r="B212" s="23" t="n">
        <x:v>46451</x:v>
      </x:c>
      <x:c r="C212" s="23" t="n">
        <x:v>46451</x:v>
      </x:c>
      <x:c r="D212" s="20" t="str">
        <x:v>PaymentReversal</x:v>
      </x:c>
      <x:c r="E212" s="20" t="str">
        <x:v>NSF reversal</x:v>
      </x:c>
      <x:c r="F212" s="20" t="str">
        <x:v>P021</x:v>
      </x:c>
      <x:c r="G212" s="20" t="str">
        <x:v>U022</x:v>
      </x:c>
      <x:c r="H212" s="20" t="str">
        <x:v>L022</x:v>
      </x:c>
      <x:c r="I212" s="20" t="str">
        <x:v>Sage King</x:v>
      </x:c>
      <x:c r="J212" s="35" t="str">
        <x:v>Bank return</x:v>
      </x:c>
      <x:c r="K212" s="20" t="str"/>
      <x:c r="L212" s="20" t="str">
        <x:v>NSF-FIN-00208</x:v>
      </x:c>
      <x:c r="M212" s="26" t="n">
        <x:v>1900</x:v>
      </x:c>
      <x:c r="N212" s="26" t="n">
        <x:v>1900</x:v>
      </x:c>
      <x:c r="O212" s="26" t="n">
        <x:v>-1900</x:v>
      </x:c>
      <x:c r="P212" s="26" t="n">
        <x:v>0</x:v>
      </x:c>
      <x:c r="Q212" s="26" t="n">
        <x:v>0</x:v>
      </x:c>
      <x:c r="R212" s="26" t="n">
        <x:v>0</x:v>
      </x:c>
      <x:c r="S212" s="26" t="n">
        <x:v>0</x:v>
      </x:c>
      <x:c r="T212" s="26" t="n">
        <x:v>0</x:v>
      </x:c>
      <x:c r="U212" s="26" t="n">
        <x:v>0</x:v>
      </x:c>
      <x:c r="V212" s="26" t="n">
        <x:v>0</x:v>
      </x:c>
      <x:c r="W212" s="26" t="n">
        <x:v>0</x:v>
      </x:c>
      <x:c r="X212" s="26" t="n">
        <x:v>0</x:v>
      </x:c>
      <x:c r="Y212" s="26" t="n">
        <x:v>0</x:v>
      </x:c>
      <x:c r="Z212" s="35" t="str">
        <x:v>Returned check reverses the original receipt; original row remains</x:v>
      </x:c>
    </x:row>
    <x:row r="213">
      <x:c r="A213" s="20" t="str">
        <x:v>FIN-00210</x:v>
      </x:c>
      <x:c r="B213" s="23" t="n">
        <x:v>46451</x:v>
      </x:c>
      <x:c r="C213" s="23" t="n">
        <x:v>46451</x:v>
      </x:c>
      <x:c r="D213" s="20" t="str">
        <x:v>TenantCharge</x:v>
      </x:c>
      <x:c r="E213" s="20" t="str">
        <x:v>NSF fee</x:v>
      </x:c>
      <x:c r="F213" s="20" t="str">
        <x:v>P021</x:v>
      </x:c>
      <x:c r="G213" s="20" t="str">
        <x:v>U022</x:v>
      </x:c>
      <x:c r="H213" s="20" t="str">
        <x:v>L022</x:v>
      </x:c>
      <x:c r="I213" s="20" t="str">
        <x:v>Sage King</x:v>
      </x:c>
      <x:c r="J213" s="35" t="str">
        <x:v>Manual approved fee</x:v>
      </x:c>
      <x:c r="K213" s="20" t="str"/>
      <x:c r="L213" s="20" t="str">
        <x:v>NSF-FEE-L022-202703</x:v>
      </x:c>
      <x:c r="M213" s="26" t="n">
        <x:v>35</x:v>
      </x:c>
      <x:c r="N213" s="26" t="n">
        <x:v>35</x:v>
      </x:c>
      <x:c r="O213" s="26" t="n">
        <x:v>0</x:v>
      </x:c>
      <x:c r="P213" s="26" t="n">
        <x:v>0</x:v>
      </x:c>
      <x:c r="Q213" s="26" t="n">
        <x:v>0</x:v>
      </x:c>
      <x:c r="R213" s="26" t="n">
        <x:v>0</x:v>
      </x:c>
      <x:c r="S213" s="26" t="n">
        <x:v>0</x:v>
      </x:c>
      <x:c r="T213" s="26" t="n">
        <x:v>35</x:v>
      </x:c>
      <x:c r="U213" s="26" t="n">
        <x:v>0</x:v>
      </x:c>
      <x:c r="V213" s="26" t="n">
        <x:v>0</x:v>
      </x:c>
      <x:c r="W213" s="26" t="n">
        <x:v>0</x:v>
      </x:c>
      <x:c r="X213" s="26" t="n">
        <x:v>0</x:v>
      </x:c>
      <x:c r="Y213" s="26" t="n">
        <x:v>0</x:v>
      </x:c>
      <x:c r="Z213" s="35" t="str">
        <x:v>Synthetic lease-authorized NSF fee</x:v>
      </x:c>
    </x:row>
    <x:row r="214">
      <x:c r="A214" s="20" t="str">
        <x:v>FIN-00211</x:v>
      </x:c>
      <x:c r="B214" s="23" t="n">
        <x:v>46456</x:v>
      </x:c>
      <x:c r="C214" s="23" t="n">
        <x:v>46456</x:v>
      </x:c>
      <x:c r="D214" s="20" t="str">
        <x:v>TenantReceipt</x:v>
      </x:c>
      <x:c r="E214" s="20" t="str">
        <x:v>Rent receipt</x:v>
      </x:c>
      <x:c r="F214" s="20" t="str">
        <x:v>P021</x:v>
      </x:c>
      <x:c r="G214" s="20" t="str">
        <x:v>U022</x:v>
      </x:c>
      <x:c r="H214" s="20" t="str">
        <x:v>L022</x:v>
      </x:c>
      <x:c r="I214" s="20" t="str">
        <x:v>Sage King</x:v>
      </x:c>
      <x:c r="J214" s="35" t="str">
        <x:v>Portal card</x:v>
      </x:c>
      <x:c r="K214" s="20" t="str"/>
      <x:c r="L214" s="20" t="str">
        <x:v>PMT-20270310-L022-RETRY</x:v>
      </x:c>
      <x:c r="M214" s="26" t="n">
        <x:v>1935</x:v>
      </x:c>
      <x:c r="N214" s="26" t="n">
        <x:v>-1935</x:v>
      </x:c>
      <x:c r="O214" s="26" t="n">
        <x:v>1935</x:v>
      </x:c>
      <x:c r="P214" s="26" t="n">
        <x:v>0</x:v>
      </x:c>
      <x:c r="Q214" s="26" t="n">
        <x:v>0</x:v>
      </x:c>
      <x:c r="R214" s="26" t="n">
        <x:v>0</x:v>
      </x:c>
      <x:c r="S214" s="26" t="n">
        <x:v>0</x:v>
      </x:c>
      <x:c r="T214" s="26" t="n">
        <x:v>0</x:v>
      </x:c>
      <x:c r="U214" s="26" t="n">
        <x:v>0</x:v>
      </x:c>
      <x:c r="V214" s="26" t="n">
        <x:v>0</x:v>
      </x:c>
      <x:c r="W214" s="26" t="n">
        <x:v>0</x:v>
      </x:c>
      <x:c r="X214" s="26" t="n">
        <x:v>0</x:v>
      </x:c>
      <x:c r="Y214" s="26" t="n">
        <x:v>0</x:v>
      </x:c>
      <x:c r="Z214" s="35" t="str">
        <x:v>Receipt allocated to FIN-00210</x:v>
      </x:c>
    </x:row>
    <x:row r="215">
      <x:c r="A215" s="20" t="str">
        <x:v>FIN-00212</x:v>
      </x:c>
      <x:c r="B215" s="23" t="n">
        <x:v>46447</x:v>
      </x:c>
      <x:c r="C215" s="23" t="n">
        <x:v>46447</x:v>
      </x:c>
      <x:c r="D215" s="20" t="str">
        <x:v>TenantCharge</x:v>
      </x:c>
      <x:c r="E215" s="20" t="str">
        <x:v>Rent</x:v>
      </x:c>
      <x:c r="F215" s="20" t="str">
        <x:v>P022</x:v>
      </x:c>
      <x:c r="G215" s="20" t="str">
        <x:v>U023</x:v>
      </x:c>
      <x:c r="H215" s="20" t="str">
        <x:v>L023</x:v>
      </x:c>
      <x:c r="I215" s="20" t="str">
        <x:v>Val Price</x:v>
      </x:c>
      <x:c r="J215" s="35" t="str">
        <x:v>System scheduled charge</x:v>
      </x:c>
      <x:c r="K215" s="20" t="str"/>
      <x:c r="L215" s="20" t="str">
        <x:v>RENT-202703-L023</x:v>
      </x:c>
      <x:c r="M215" s="26" t="n">
        <x:v>1525</x:v>
      </x:c>
      <x:c r="N215" s="26" t="n">
        <x:v>1525</x:v>
      </x:c>
      <x:c r="O215" s="26" t="n">
        <x:v>0</x:v>
      </x:c>
      <x:c r="P215" s="26" t="n">
        <x:v>0</x:v>
      </x:c>
      <x:c r="Q215" s="26" t="n">
        <x:v>0</x:v>
      </x:c>
      <x:c r="R215" s="26" t="n">
        <x:v>0</x:v>
      </x:c>
      <x:c r="S215" s="26" t="n">
        <x:v>0</x:v>
      </x:c>
      <x:c r="T215" s="26" t="n">
        <x:v>1525</x:v>
      </x:c>
      <x:c r="U215" s="26" t="n">
        <x:v>0</x:v>
      </x:c>
      <x:c r="V215" s="26" t="n">
        <x:v>0</x:v>
      </x:c>
      <x:c r="W215" s="26" t="n">
        <x:v>0</x:v>
      </x:c>
      <x:c r="X215" s="26" t="n">
        <x:v>0</x:v>
      </x:c>
      <x:c r="Y215" s="26" t="n">
        <x:v>0</x:v>
      </x:c>
      <x:c r="Z215" s="35" t="str">
        <x:v>March 2027 rent</x:v>
      </x:c>
    </x:row>
    <x:row r="216">
      <x:c r="A216" s="20" t="str">
        <x:v>FIN-00213</x:v>
      </x:c>
      <x:c r="B216" s="23" t="n">
        <x:v>46451</x:v>
      </x:c>
      <x:c r="C216" s="23" t="n">
        <x:v>46451</x:v>
      </x:c>
      <x:c r="D216" s="20" t="str">
        <x:v>TenantReceipt</x:v>
      </x:c>
      <x:c r="E216" s="20" t="str">
        <x:v>Rent receipt</x:v>
      </x:c>
      <x:c r="F216" s="20" t="str">
        <x:v>P022</x:v>
      </x:c>
      <x:c r="G216" s="20" t="str">
        <x:v>U023</x:v>
      </x:c>
      <x:c r="H216" s="20" t="str">
        <x:v>L023</x:v>
      </x:c>
      <x:c r="I216" s="20" t="str">
        <x:v>Val Price</x:v>
      </x:c>
      <x:c r="J216" s="35" t="str">
        <x:v>Portal card</x:v>
      </x:c>
      <x:c r="K216" s="20" t="str"/>
      <x:c r="L216" s="20" t="str">
        <x:v>PMT-20270305-L023</x:v>
      </x:c>
      <x:c r="M216" s="26" t="n">
        <x:v>1525</x:v>
      </x:c>
      <x:c r="N216" s="26" t="n">
        <x:v>-1525</x:v>
      </x:c>
      <x:c r="O216" s="26" t="n">
        <x:v>1525</x:v>
      </x:c>
      <x:c r="P216" s="26" t="n">
        <x:v>0</x:v>
      </x:c>
      <x:c r="Q216" s="26" t="n">
        <x:v>0</x:v>
      </x:c>
      <x:c r="R216" s="26" t="n">
        <x:v>0</x:v>
      </x:c>
      <x:c r="S216" s="26" t="n">
        <x:v>0</x:v>
      </x:c>
      <x:c r="T216" s="26" t="n">
        <x:v>0</x:v>
      </x:c>
      <x:c r="U216" s="26" t="n">
        <x:v>0</x:v>
      </x:c>
      <x:c r="V216" s="26" t="n">
        <x:v>0</x:v>
      </x:c>
      <x:c r="W216" s="26" t="n">
        <x:v>0</x:v>
      </x:c>
      <x:c r="X216" s="26" t="n">
        <x:v>0</x:v>
      </x:c>
      <x:c r="Y216" s="26" t="n">
        <x:v>0</x:v>
      </x:c>
      <x:c r="Z216" s="35" t="str">
        <x:v>Receipt allocated to FIN-00212</x:v>
      </x:c>
    </x:row>
    <x:row r="217">
      <x:c r="A217" s="20" t="str">
        <x:v>FIN-00214</x:v>
      </x:c>
      <x:c r="B217" s="23" t="n">
        <x:v>46447</x:v>
      </x:c>
      <x:c r="C217" s="23" t="n">
        <x:v>46447</x:v>
      </x:c>
      <x:c r="D217" s="20" t="str">
        <x:v>TenantCharge</x:v>
      </x:c>
      <x:c r="E217" s="20" t="str">
        <x:v>Rent</x:v>
      </x:c>
      <x:c r="F217" s="20" t="str">
        <x:v>P022</x:v>
      </x:c>
      <x:c r="G217" s="20" t="str">
        <x:v>U024</x:v>
      </x:c>
      <x:c r="H217" s="20" t="str">
        <x:v>L024</x:v>
      </x:c>
      <x:c r="I217" s="20" t="str">
        <x:v>Yara Brooks</x:v>
      </x:c>
      <x:c r="J217" s="35" t="str">
        <x:v>System scheduled charge</x:v>
      </x:c>
      <x:c r="K217" s="20" t="str"/>
      <x:c r="L217" s="20" t="str">
        <x:v>RENT-202703-L024</x:v>
      </x:c>
      <x:c r="M217" s="26" t="n">
        <x:v>1150</x:v>
      </x:c>
      <x:c r="N217" s="26" t="n">
        <x:v>1150</x:v>
      </x:c>
      <x:c r="O217" s="26" t="n">
        <x:v>0</x:v>
      </x:c>
      <x:c r="P217" s="26" t="n">
        <x:v>0</x:v>
      </x:c>
      <x:c r="Q217" s="26" t="n">
        <x:v>0</x:v>
      </x:c>
      <x:c r="R217" s="26" t="n">
        <x:v>0</x:v>
      </x:c>
      <x:c r="S217" s="26" t="n">
        <x:v>0</x:v>
      </x:c>
      <x:c r="T217" s="26" t="n">
        <x:v>1150</x:v>
      </x:c>
      <x:c r="U217" s="26" t="n">
        <x:v>0</x:v>
      </x:c>
      <x:c r="V217" s="26" t="n">
        <x:v>0</x:v>
      </x:c>
      <x:c r="W217" s="26" t="n">
        <x:v>0</x:v>
      </x:c>
      <x:c r="X217" s="26" t="n">
        <x:v>0</x:v>
      </x:c>
      <x:c r="Y217" s="26" t="n">
        <x:v>0</x:v>
      </x:c>
      <x:c r="Z217" s="35" t="str">
        <x:v>March 2027 rent</x:v>
      </x:c>
    </x:row>
    <x:row r="218">
      <x:c r="A218" s="20" t="str">
        <x:v>FIN-00215</x:v>
      </x:c>
      <x:c r="B218" s="23" t="n">
        <x:v>46449</x:v>
      </x:c>
      <x:c r="C218" s="23" t="n">
        <x:v>46449</x:v>
      </x:c>
      <x:c r="D218" s="20" t="str">
        <x:v>TenantReceipt</x:v>
      </x:c>
      <x:c r="E218" s="20" t="str">
        <x:v>Rent receipt</x:v>
      </x:c>
      <x:c r="F218" s="20" t="str">
        <x:v>P022</x:v>
      </x:c>
      <x:c r="G218" s="20" t="str">
        <x:v>U024</x:v>
      </x:c>
      <x:c r="H218" s="20" t="str">
        <x:v>L024</x:v>
      </x:c>
      <x:c r="I218" s="20" t="str">
        <x:v>Yara Brooks</x:v>
      </x:c>
      <x:c r="J218" s="35" t="str">
        <x:v>Scanned check</x:v>
      </x:c>
      <x:c r="K218" s="20" t="str">
        <x:v>SCN-0140</x:v>
      </x:c>
      <x:c r="L218" s="20" t="str">
        <x:v>PMT-20270303-L024</x:v>
      </x:c>
      <x:c r="M218" s="26" t="n">
        <x:v>1150</x:v>
      </x:c>
      <x:c r="N218" s="26" t="n">
        <x:v>-1150</x:v>
      </x:c>
      <x:c r="O218" s="26" t="n">
        <x:v>1150</x:v>
      </x:c>
      <x:c r="P218" s="26" t="n">
        <x:v>0</x:v>
      </x:c>
      <x:c r="Q218" s="26" t="n">
        <x:v>0</x:v>
      </x:c>
      <x:c r="R218" s="26" t="n">
        <x:v>0</x:v>
      </x:c>
      <x:c r="S218" s="26" t="n">
        <x:v>0</x:v>
      </x:c>
      <x:c r="T218" s="26" t="n">
        <x:v>0</x:v>
      </x:c>
      <x:c r="U218" s="26" t="n">
        <x:v>0</x:v>
      </x:c>
      <x:c r="V218" s="26" t="n">
        <x:v>0</x:v>
      </x:c>
      <x:c r="W218" s="26" t="n">
        <x:v>0</x:v>
      </x:c>
      <x:c r="X218" s="26" t="n">
        <x:v>0</x:v>
      </x:c>
      <x:c r="Y218" s="26" t="n">
        <x:v>0</x:v>
      </x:c>
      <x:c r="Z218" s="35" t="str">
        <x:v>Receipt allocated to FIN-00214</x:v>
      </x:c>
    </x:row>
    <x:row r="219">
      <x:c r="A219" s="20" t="str">
        <x:v>FIN-00216</x:v>
      </x:c>
      <x:c r="B219" s="23" t="n">
        <x:v>46447</x:v>
      </x:c>
      <x:c r="C219" s="23" t="n">
        <x:v>46447</x:v>
      </x:c>
      <x:c r="D219" s="20" t="str">
        <x:v>TenantCharge</x:v>
      </x:c>
      <x:c r="E219" s="20" t="str">
        <x:v>Rent</x:v>
      </x:c>
      <x:c r="F219" s="20" t="str">
        <x:v>P023</x:v>
      </x:c>
      <x:c r="G219" s="20" t="str">
        <x:v>U025</x:v>
      </x:c>
      <x:c r="H219" s="20" t="str">
        <x:v>L025</x:v>
      </x:c>
      <x:c r="I219" s="20" t="str">
        <x:v>Bennett Garcia</x:v>
      </x:c>
      <x:c r="J219" s="35" t="str">
        <x:v>System scheduled charge</x:v>
      </x:c>
      <x:c r="K219" s="20" t="str"/>
      <x:c r="L219" s="20" t="str">
        <x:v>RENT-202703-L025</x:v>
      </x:c>
      <x:c r="M219" s="26" t="n">
        <x:v>1675</x:v>
      </x:c>
      <x:c r="N219" s="26" t="n">
        <x:v>1675</x:v>
      </x:c>
      <x:c r="O219" s="26" t="n">
        <x:v>0</x:v>
      </x:c>
      <x:c r="P219" s="26" t="n">
        <x:v>0</x:v>
      </x:c>
      <x:c r="Q219" s="26" t="n">
        <x:v>0</x:v>
      </x:c>
      <x:c r="R219" s="26" t="n">
        <x:v>0</x:v>
      </x:c>
      <x:c r="S219" s="26" t="n">
        <x:v>0</x:v>
      </x:c>
      <x:c r="T219" s="26" t="n">
        <x:v>1675</x:v>
      </x:c>
      <x:c r="U219" s="26" t="n">
        <x:v>0</x:v>
      </x:c>
      <x:c r="V219" s="26" t="n">
        <x:v>0</x:v>
      </x:c>
      <x:c r="W219" s="26" t="n">
        <x:v>0</x:v>
      </x:c>
      <x:c r="X219" s="26" t="n">
        <x:v>0</x:v>
      </x:c>
      <x:c r="Y219" s="26" t="n">
        <x:v>0</x:v>
      </x:c>
      <x:c r="Z219" s="35" t="str">
        <x:v>March 2027 rent</x:v>
      </x:c>
    </x:row>
    <x:row r="220">
      <x:c r="A220" s="20" t="str">
        <x:v>FIN-00217</x:v>
      </x:c>
      <x:c r="B220" s="23" t="n">
        <x:v>46450</x:v>
      </x:c>
      <x:c r="C220" s="23" t="n">
        <x:v>46450</x:v>
      </x:c>
      <x:c r="D220" s="20" t="str">
        <x:v>TenantReceipt</x:v>
      </x:c>
      <x:c r="E220" s="20" t="str">
        <x:v>Rent receipt</x:v>
      </x:c>
      <x:c r="F220" s="20" t="str">
        <x:v>P023</x:v>
      </x:c>
      <x:c r="G220" s="20" t="str">
        <x:v>U025</x:v>
      </x:c>
      <x:c r="H220" s="20" t="str">
        <x:v>L025</x:v>
      </x:c>
      <x:c r="I220" s="20" t="str">
        <x:v>Bennett Garcia</x:v>
      </x:c>
      <x:c r="J220" s="35" t="str">
        <x:v>Scanned money order</x:v>
      </x:c>
      <x:c r="K220" s="20" t="str">
        <x:v>SCN-0141</x:v>
      </x:c>
      <x:c r="L220" s="20" t="str">
        <x:v>PMT-20270304-L025</x:v>
      </x:c>
      <x:c r="M220" s="26" t="n">
        <x:v>1675</x:v>
      </x:c>
      <x:c r="N220" s="26" t="n">
        <x:v>-1675</x:v>
      </x:c>
      <x:c r="O220" s="26" t="n">
        <x:v>1675</x:v>
      </x:c>
      <x:c r="P220" s="26" t="n">
        <x:v>0</x:v>
      </x:c>
      <x:c r="Q220" s="26" t="n">
        <x:v>0</x:v>
      </x:c>
      <x:c r="R220" s="26" t="n">
        <x:v>0</x:v>
      </x:c>
      <x:c r="S220" s="26" t="n">
        <x:v>0</x:v>
      </x:c>
      <x:c r="T220" s="26" t="n">
        <x:v>0</x:v>
      </x:c>
      <x:c r="U220" s="26" t="n">
        <x:v>0</x:v>
      </x:c>
      <x:c r="V220" s="26" t="n">
        <x:v>0</x:v>
      </x:c>
      <x:c r="W220" s="26" t="n">
        <x:v>0</x:v>
      </x:c>
      <x:c r="X220" s="26" t="n">
        <x:v>0</x:v>
      </x:c>
      <x:c r="Y220" s="26" t="n">
        <x:v>0</x:v>
      </x:c>
      <x:c r="Z220" s="35" t="str">
        <x:v>Receipt allocated to FIN-00216</x:v>
      </x:c>
    </x:row>
    <x:row r="221">
      <x:c r="A221" s="20" t="str">
        <x:v>FIN-00218</x:v>
      </x:c>
      <x:c r="B221" s="23" t="n">
        <x:v>46447</x:v>
      </x:c>
      <x:c r="C221" s="23" t="n">
        <x:v>46447</x:v>
      </x:c>
      <x:c r="D221" s="20" t="str">
        <x:v>TenantCharge</x:v>
      </x:c>
      <x:c r="E221" s="20" t="str">
        <x:v>Rent</x:v>
      </x:c>
      <x:c r="F221" s="20" t="str">
        <x:v>P023</x:v>
      </x:c>
      <x:c r="G221" s="20" t="str">
        <x:v>U026</x:v>
      </x:c>
      <x:c r="H221" s="20" t="str">
        <x:v>L026</x:v>
      </x:c>
      <x:c r="I221" s="20" t="str">
        <x:v>Elena Lewis</x:v>
      </x:c>
      <x:c r="J221" s="35" t="str">
        <x:v>System scheduled charge</x:v>
      </x:c>
      <x:c r="K221" s="20" t="str"/>
      <x:c r="L221" s="20" t="str">
        <x:v>RENT-202703-L026</x:v>
      </x:c>
      <x:c r="M221" s="26" t="n">
        <x:v>1300</x:v>
      </x:c>
      <x:c r="N221" s="26" t="n">
        <x:v>1300</x:v>
      </x:c>
      <x:c r="O221" s="26" t="n">
        <x:v>0</x:v>
      </x:c>
      <x:c r="P221" s="26" t="n">
        <x:v>0</x:v>
      </x:c>
      <x:c r="Q221" s="26" t="n">
        <x:v>0</x:v>
      </x:c>
      <x:c r="R221" s="26" t="n">
        <x:v>0</x:v>
      </x:c>
      <x:c r="S221" s="26" t="n">
        <x:v>0</x:v>
      </x:c>
      <x:c r="T221" s="26" t="n">
        <x:v>1300</x:v>
      </x:c>
      <x:c r="U221" s="26" t="n">
        <x:v>0</x:v>
      </x:c>
      <x:c r="V221" s="26" t="n">
        <x:v>0</x:v>
      </x:c>
      <x:c r="W221" s="26" t="n">
        <x:v>0</x:v>
      </x:c>
      <x:c r="X221" s="26" t="n">
        <x:v>0</x:v>
      </x:c>
      <x:c r="Y221" s="26" t="n">
        <x:v>0</x:v>
      </x:c>
      <x:c r="Z221" s="35" t="str">
        <x:v>March 2027 rent</x:v>
      </x:c>
    </x:row>
    <x:row r="222">
      <x:c r="A222" s="20" t="str">
        <x:v>FIN-00219</x:v>
      </x:c>
      <x:c r="B222" s="23" t="n">
        <x:v>46452</x:v>
      </x:c>
      <x:c r="C222" s="23" t="n">
        <x:v>46452</x:v>
      </x:c>
      <x:c r="D222" s="20" t="str">
        <x:v>TenantCharge</x:v>
      </x:c>
      <x:c r="E222" s="20" t="str">
        <x:v>Late fee</x:v>
      </x:c>
      <x:c r="F222" s="20" t="str">
        <x:v>P023</x:v>
      </x:c>
      <x:c r="G222" s="20" t="str">
        <x:v>U026</x:v>
      </x:c>
      <x:c r="H222" s="20" t="str">
        <x:v>L026</x:v>
      </x:c>
      <x:c r="I222" s="20" t="str">
        <x:v>Elena Lewis</x:v>
      </x:c>
      <x:c r="J222" s="35" t="str">
        <x:v>System automation</x:v>
      </x:c>
      <x:c r="K222" s="20" t="str"/>
      <x:c r="L222" s="20" t="str">
        <x:v>LATE-202703-L026</x:v>
      </x:c>
      <x:c r="M222" s="26" t="n">
        <x:v>50</x:v>
      </x:c>
      <x:c r="N222" s="26" t="n">
        <x:v>50</x:v>
      </x:c>
      <x:c r="O222" s="26" t="n">
        <x:v>0</x:v>
      </x:c>
      <x:c r="P222" s="26" t="n">
        <x:v>0</x:v>
      </x:c>
      <x:c r="Q222" s="26" t="n">
        <x:v>0</x:v>
      </x:c>
      <x:c r="R222" s="26" t="n">
        <x:v>0</x:v>
      </x:c>
      <x:c r="S222" s="26" t="n">
        <x:v>0</x:v>
      </x:c>
      <x:c r="T222" s="26" t="n">
        <x:v>50</x:v>
      </x:c>
      <x:c r="U222" s="26" t="n">
        <x:v>0</x:v>
      </x:c>
      <x:c r="V222" s="26" t="n">
        <x:v>0</x:v>
      </x:c>
      <x:c r="W222" s="26" t="n">
        <x:v>0</x:v>
      </x:c>
      <x:c r="X222" s="26" t="n">
        <x:v>0</x:v>
      </x:c>
      <x:c r="Y222" s="26" t="n">
        <x:v>0</x:v>
      </x:c>
      <x:c r="Z222" s="35" t="str">
        <x:v>Synthetic lease-authorized late fee</x:v>
      </x:c>
    </x:row>
    <x:row r="223">
      <x:c r="A223" s="20" t="str">
        <x:v>FIN-00220</x:v>
      </x:c>
      <x:c r="B223" s="23" t="n">
        <x:v>46454</x:v>
      </x:c>
      <x:c r="C223" s="23" t="n">
        <x:v>46454</x:v>
      </x:c>
      <x:c r="D223" s="20" t="str">
        <x:v>TenantReceipt</x:v>
      </x:c>
      <x:c r="E223" s="20" t="str">
        <x:v>Rent receipt</x:v>
      </x:c>
      <x:c r="F223" s="20" t="str">
        <x:v>P023</x:v>
      </x:c>
      <x:c r="G223" s="20" t="str">
        <x:v>U026</x:v>
      </x:c>
      <x:c r="H223" s="20" t="str">
        <x:v>L026</x:v>
      </x:c>
      <x:c r="I223" s="20" t="str">
        <x:v>Elena Lewis</x:v>
      </x:c>
      <x:c r="J223" s="35" t="str">
        <x:v>Scanned money order</x:v>
      </x:c>
      <x:c r="K223" s="20" t="str">
        <x:v>SCN-0142</x:v>
      </x:c>
      <x:c r="L223" s="20" t="str">
        <x:v>PMT-20270308-L026</x:v>
      </x:c>
      <x:c r="M223" s="26" t="n">
        <x:v>1350</x:v>
      </x:c>
      <x:c r="N223" s="26" t="n">
        <x:v>-1350</x:v>
      </x:c>
      <x:c r="O223" s="26" t="n">
        <x:v>1350</x:v>
      </x:c>
      <x:c r="P223" s="26" t="n">
        <x:v>0</x:v>
      </x:c>
      <x:c r="Q223" s="26" t="n">
        <x:v>0</x:v>
      </x:c>
      <x:c r="R223" s="26" t="n">
        <x:v>0</x:v>
      </x:c>
      <x:c r="S223" s="26" t="n">
        <x:v>0</x:v>
      </x:c>
      <x:c r="T223" s="26" t="n">
        <x:v>0</x:v>
      </x:c>
      <x:c r="U223" s="26" t="n">
        <x:v>0</x:v>
      </x:c>
      <x:c r="V223" s="26" t="n">
        <x:v>0</x:v>
      </x:c>
      <x:c r="W223" s="26" t="n">
        <x:v>0</x:v>
      </x:c>
      <x:c r="X223" s="26" t="n">
        <x:v>0</x:v>
      </x:c>
      <x:c r="Y223" s="26" t="n">
        <x:v>0</x:v>
      </x:c>
      <x:c r="Z223" s="35" t="str">
        <x:v>Receipt allocated to FIN-00219</x:v>
      </x:c>
    </x:row>
    <x:row r="224">
      <x:c r="A224" s="20" t="str">
        <x:v>FIN-00221</x:v>
      </x:c>
      <x:c r="B224" s="23" t="n">
        <x:v>46447</x:v>
      </x:c>
      <x:c r="C224" s="23" t="n">
        <x:v>46447</x:v>
      </x:c>
      <x:c r="D224" s="20" t="str">
        <x:v>TenantCharge</x:v>
      </x:c>
      <x:c r="E224" s="20" t="str">
        <x:v>Rent</x:v>
      </x:c>
      <x:c r="F224" s="20" t="str">
        <x:v>P024</x:v>
      </x:c>
      <x:c r="G224" s="20" t="str">
        <x:v>U027</x:v>
      </x:c>
      <x:c r="H224" s="20" t="str">
        <x:v>L027</x:v>
      </x:c>
      <x:c r="I224" s="20" t="str">
        <x:v>Hector Reed</x:v>
      </x:c>
      <x:c r="J224" s="35" t="str">
        <x:v>System scheduled charge</x:v>
      </x:c>
      <x:c r="K224" s="20" t="str"/>
      <x:c r="L224" s="20" t="str">
        <x:v>RENT-202703-L027</x:v>
      </x:c>
      <x:c r="M224" s="26" t="n">
        <x:v>1825</x:v>
      </x:c>
      <x:c r="N224" s="26" t="n">
        <x:v>1825</x:v>
      </x:c>
      <x:c r="O224" s="26" t="n">
        <x:v>0</x:v>
      </x:c>
      <x:c r="P224" s="26" t="n">
        <x:v>0</x:v>
      </x:c>
      <x:c r="Q224" s="26" t="n">
        <x:v>0</x:v>
      </x:c>
      <x:c r="R224" s="26" t="n">
        <x:v>0</x:v>
      </x:c>
      <x:c r="S224" s="26" t="n">
        <x:v>0</x:v>
      </x:c>
      <x:c r="T224" s="26" t="n">
        <x:v>1825</x:v>
      </x:c>
      <x:c r="U224" s="26" t="n">
        <x:v>0</x:v>
      </x:c>
      <x:c r="V224" s="26" t="n">
        <x:v>0</x:v>
      </x:c>
      <x:c r="W224" s="26" t="n">
        <x:v>0</x:v>
      </x:c>
      <x:c r="X224" s="26" t="n">
        <x:v>0</x:v>
      </x:c>
      <x:c r="Y224" s="26" t="n">
        <x:v>0</x:v>
      </x:c>
      <x:c r="Z224" s="35" t="str">
        <x:v>March 2027 rent</x:v>
      </x:c>
    </x:row>
    <x:row r="225">
      <x:c r="A225" s="20" t="str">
        <x:v>FIN-00222</x:v>
      </x:c>
      <x:c r="B225" s="23" t="n">
        <x:v>46449</x:v>
      </x:c>
      <x:c r="C225" s="23" t="n">
        <x:v>46449</x:v>
      </x:c>
      <x:c r="D225" s="20" t="str">
        <x:v>TenantReceipt</x:v>
      </x:c>
      <x:c r="E225" s="20" t="str">
        <x:v>Rent receipt</x:v>
      </x:c>
      <x:c r="F225" s="20" t="str">
        <x:v>P024</x:v>
      </x:c>
      <x:c r="G225" s="20" t="str">
        <x:v>U027</x:v>
      </x:c>
      <x:c r="H225" s="20" t="str">
        <x:v>L027</x:v>
      </x:c>
      <x:c r="I225" s="20" t="str">
        <x:v>Hector Reed</x:v>
      </x:c>
      <x:c r="J225" s="35" t="str">
        <x:v>Portal card</x:v>
      </x:c>
      <x:c r="K225" s="20" t="str"/>
      <x:c r="L225" s="20" t="str">
        <x:v>PMT-20270303-L027</x:v>
      </x:c>
      <x:c r="M225" s="26" t="n">
        <x:v>1825</x:v>
      </x:c>
      <x:c r="N225" s="26" t="n">
        <x:v>-1825</x:v>
      </x:c>
      <x:c r="O225" s="26" t="n">
        <x:v>1825</x:v>
      </x:c>
      <x:c r="P225" s="26" t="n">
        <x:v>0</x:v>
      </x:c>
      <x:c r="Q225" s="26" t="n">
        <x:v>0</x:v>
      </x:c>
      <x:c r="R225" s="26" t="n">
        <x:v>0</x:v>
      </x:c>
      <x:c r="S225" s="26" t="n">
        <x:v>0</x:v>
      </x:c>
      <x:c r="T225" s="26" t="n">
        <x:v>0</x:v>
      </x:c>
      <x:c r="U225" s="26" t="n">
        <x:v>0</x:v>
      </x:c>
      <x:c r="V225" s="26" t="n">
        <x:v>0</x:v>
      </x:c>
      <x:c r="W225" s="26" t="n">
        <x:v>0</x:v>
      </x:c>
      <x:c r="X225" s="26" t="n">
        <x:v>0</x:v>
      </x:c>
      <x:c r="Y225" s="26" t="n">
        <x:v>0</x:v>
      </x:c>
      <x:c r="Z225" s="35" t="str">
        <x:v>Receipt allocated to FIN-00221</x:v>
      </x:c>
    </x:row>
    <x:row r="226">
      <x:c r="A226" s="20" t="str">
        <x:v>FIN-00223</x:v>
      </x:c>
      <x:c r="B226" s="23" t="n">
        <x:v>46447</x:v>
      </x:c>
      <x:c r="C226" s="23" t="n">
        <x:v>46447</x:v>
      </x:c>
      <x:c r="D226" s="20" t="str">
        <x:v>TenantCharge</x:v>
      </x:c>
      <x:c r="E226" s="20" t="str">
        <x:v>Rent</x:v>
      </x:c>
      <x:c r="F226" s="20" t="str">
        <x:v>P024</x:v>
      </x:c>
      <x:c r="G226" s="20" t="str">
        <x:v>U028</x:v>
      </x:c>
      <x:c r="H226" s="20" t="str">
        <x:v>L028</x:v>
      </x:c>
      <x:c r="I226" s="20" t="str">
        <x:v>Keira Adams</x:v>
      </x:c>
      <x:c r="J226" s="35" t="str">
        <x:v>System scheduled charge</x:v>
      </x:c>
      <x:c r="K226" s="20" t="str"/>
      <x:c r="L226" s="20" t="str">
        <x:v>RENT-202703-L028</x:v>
      </x:c>
      <x:c r="M226" s="26" t="n">
        <x:v>1450</x:v>
      </x:c>
      <x:c r="N226" s="26" t="n">
        <x:v>1450</x:v>
      </x:c>
      <x:c r="O226" s="26" t="n">
        <x:v>0</x:v>
      </x:c>
      <x:c r="P226" s="26" t="n">
        <x:v>0</x:v>
      </x:c>
      <x:c r="Q226" s="26" t="n">
        <x:v>0</x:v>
      </x:c>
      <x:c r="R226" s="26" t="n">
        <x:v>0</x:v>
      </x:c>
      <x:c r="S226" s="26" t="n">
        <x:v>0</x:v>
      </x:c>
      <x:c r="T226" s="26" t="n">
        <x:v>1450</x:v>
      </x:c>
      <x:c r="U226" s="26" t="n">
        <x:v>0</x:v>
      </x:c>
      <x:c r="V226" s="26" t="n">
        <x:v>0</x:v>
      </x:c>
      <x:c r="W226" s="26" t="n">
        <x:v>0</x:v>
      </x:c>
      <x:c r="X226" s="26" t="n">
        <x:v>0</x:v>
      </x:c>
      <x:c r="Y226" s="26" t="n">
        <x:v>0</x:v>
      </x:c>
      <x:c r="Z226" s="35" t="str">
        <x:v>March 2027 rent</x:v>
      </x:c>
    </x:row>
    <x:row r="227">
      <x:c r="A227" s="20" t="str">
        <x:v>FIN-00224</x:v>
      </x:c>
      <x:c r="B227" s="23" t="n">
        <x:v>46450</x:v>
      </x:c>
      <x:c r="C227" s="23" t="n">
        <x:v>46450</x:v>
      </x:c>
      <x:c r="D227" s="20" t="str">
        <x:v>TenantReceipt</x:v>
      </x:c>
      <x:c r="E227" s="20" t="str">
        <x:v>Rent receipt</x:v>
      </x:c>
      <x:c r="F227" s="20" t="str">
        <x:v>P024</x:v>
      </x:c>
      <x:c r="G227" s="20" t="str">
        <x:v>U028</x:v>
      </x:c>
      <x:c r="H227" s="20" t="str">
        <x:v>L028</x:v>
      </x:c>
      <x:c r="I227" s="20" t="str">
        <x:v>Keira Adams</x:v>
      </x:c>
      <x:c r="J227" s="35" t="str">
        <x:v>Scanned check</x:v>
      </x:c>
      <x:c r="K227" s="20" t="str">
        <x:v>SCN-0143</x:v>
      </x:c>
      <x:c r="L227" s="20" t="str">
        <x:v>PMT-20270304-L028</x:v>
      </x:c>
      <x:c r="M227" s="26" t="n">
        <x:v>1450</x:v>
      </x:c>
      <x:c r="N227" s="26" t="n">
        <x:v>-1450</x:v>
      </x:c>
      <x:c r="O227" s="26" t="n">
        <x:v>1450</x:v>
      </x:c>
      <x:c r="P227" s="26" t="n">
        <x:v>0</x:v>
      </x:c>
      <x:c r="Q227" s="26" t="n">
        <x:v>0</x:v>
      </x:c>
      <x:c r="R227" s="26" t="n">
        <x:v>0</x:v>
      </x:c>
      <x:c r="S227" s="26" t="n">
        <x:v>0</x:v>
      </x:c>
      <x:c r="T227" s="26" t="n">
        <x:v>0</x:v>
      </x:c>
      <x:c r="U227" s="26" t="n">
        <x:v>0</x:v>
      </x:c>
      <x:c r="V227" s="26" t="n">
        <x:v>0</x:v>
      </x:c>
      <x:c r="W227" s="26" t="n">
        <x:v>0</x:v>
      </x:c>
      <x:c r="X227" s="26" t="n">
        <x:v>0</x:v>
      </x:c>
      <x:c r="Y227" s="26" t="n">
        <x:v>0</x:v>
      </x:c>
      <x:c r="Z227" s="35" t="str">
        <x:v>Receipt allocated to FIN-00223</x:v>
      </x:c>
    </x:row>
    <x:row r="228">
      <x:c r="A228" s="20" t="str">
        <x:v>FIN-00225</x:v>
      </x:c>
      <x:c r="B228" s="23" t="n">
        <x:v>46447</x:v>
      </x:c>
      <x:c r="C228" s="23" t="n">
        <x:v>46447</x:v>
      </x:c>
      <x:c r="D228" s="20" t="str">
        <x:v>TenantCharge</x:v>
      </x:c>
      <x:c r="E228" s="20" t="str">
        <x:v>Rent</x:v>
      </x:c>
      <x:c r="F228" s="20" t="str">
        <x:v>P025</x:v>
      </x:c>
      <x:c r="G228" s="20" t="str">
        <x:v>U029</x:v>
      </x:c>
      <x:c r="H228" s="20" t="str">
        <x:v>L029</x:v>
      </x:c>
      <x:c r="I228" s="20" t="str">
        <x:v>Nolan Flores</x:v>
      </x:c>
      <x:c r="J228" s="35" t="str">
        <x:v>System scheduled charge</x:v>
      </x:c>
      <x:c r="K228" s="20" t="str"/>
      <x:c r="L228" s="20" t="str">
        <x:v>RENT-202703-L029</x:v>
      </x:c>
      <x:c r="M228" s="26" t="n">
        <x:v>1975</x:v>
      </x:c>
      <x:c r="N228" s="26" t="n">
        <x:v>1975</x:v>
      </x:c>
      <x:c r="O228" s="26" t="n">
        <x:v>0</x:v>
      </x:c>
      <x:c r="P228" s="26" t="n">
        <x:v>0</x:v>
      </x:c>
      <x:c r="Q228" s="26" t="n">
        <x:v>0</x:v>
      </x:c>
      <x:c r="R228" s="26" t="n">
        <x:v>0</x:v>
      </x:c>
      <x:c r="S228" s="26" t="n">
        <x:v>0</x:v>
      </x:c>
      <x:c r="T228" s="26" t="n">
        <x:v>1975</x:v>
      </x:c>
      <x:c r="U228" s="26" t="n">
        <x:v>0</x:v>
      </x:c>
      <x:c r="V228" s="26" t="n">
        <x:v>0</x:v>
      </x:c>
      <x:c r="W228" s="26" t="n">
        <x:v>0</x:v>
      </x:c>
      <x:c r="X228" s="26" t="n">
        <x:v>0</x:v>
      </x:c>
      <x:c r="Y228" s="26" t="n">
        <x:v>0</x:v>
      </x:c>
      <x:c r="Z228" s="35" t="str">
        <x:v>March 2027 rent</x:v>
      </x:c>
    </x:row>
    <x:row r="229">
      <x:c r="A229" s="20" t="str">
        <x:v>FIN-00226</x:v>
      </x:c>
      <x:c r="B229" s="23" t="n">
        <x:v>46451</x:v>
      </x:c>
      <x:c r="C229" s="23" t="n">
        <x:v>46451</x:v>
      </x:c>
      <x:c r="D229" s="20" t="str">
        <x:v>TenantReceipt</x:v>
      </x:c>
      <x:c r="E229" s="20" t="str">
        <x:v>Rent receipt</x:v>
      </x:c>
      <x:c r="F229" s="20" t="str">
        <x:v>P025</x:v>
      </x:c>
      <x:c r="G229" s="20" t="str">
        <x:v>U029</x:v>
      </x:c>
      <x:c r="H229" s="20" t="str">
        <x:v>L029</x:v>
      </x:c>
      <x:c r="I229" s="20" t="str">
        <x:v>Nolan Flores</x:v>
      </x:c>
      <x:c r="J229" s="35" t="str">
        <x:v>Scanned money order</x:v>
      </x:c>
      <x:c r="K229" s="20" t="str">
        <x:v>SCN-0144</x:v>
      </x:c>
      <x:c r="L229" s="20" t="str">
        <x:v>PMT-20270305-L029</x:v>
      </x:c>
      <x:c r="M229" s="26" t="n">
        <x:v>1975</x:v>
      </x:c>
      <x:c r="N229" s="26" t="n">
        <x:v>-1975</x:v>
      </x:c>
      <x:c r="O229" s="26" t="n">
        <x:v>1975</x:v>
      </x:c>
      <x:c r="P229" s="26" t="n">
        <x:v>0</x:v>
      </x:c>
      <x:c r="Q229" s="26" t="n">
        <x:v>0</x:v>
      </x:c>
      <x:c r="R229" s="26" t="n">
        <x:v>0</x:v>
      </x:c>
      <x:c r="S229" s="26" t="n">
        <x:v>0</x:v>
      </x:c>
      <x:c r="T229" s="26" t="n">
        <x:v>0</x:v>
      </x:c>
      <x:c r="U229" s="26" t="n">
        <x:v>0</x:v>
      </x:c>
      <x:c r="V229" s="26" t="n">
        <x:v>0</x:v>
      </x:c>
      <x:c r="W229" s="26" t="n">
        <x:v>0</x:v>
      </x:c>
      <x:c r="X229" s="26" t="n">
        <x:v>0</x:v>
      </x:c>
      <x:c r="Y229" s="26" t="n">
        <x:v>0</x:v>
      </x:c>
      <x:c r="Z229" s="35" t="str">
        <x:v>Receipt allocated to FIN-00225</x:v>
      </x:c>
    </x:row>
    <x:row r="230">
      <x:c r="A230" s="20" t="str">
        <x:v>FIN-00227</x:v>
      </x:c>
      <x:c r="B230" s="23" t="n">
        <x:v>46447</x:v>
      </x:c>
      <x:c r="C230" s="23" t="n">
        <x:v>46447</x:v>
      </x:c>
      <x:c r="D230" s="20" t="str">
        <x:v>TenantCharge</x:v>
      </x:c>
      <x:c r="E230" s="20" t="str">
        <x:v>Rent</x:v>
      </x:c>
      <x:c r="F230" s="20" t="str">
        <x:v>P025</x:v>
      </x:c>
      <x:c r="G230" s="20" t="str">
        <x:v>U030</x:v>
      </x:c>
      <x:c r="H230" s="20" t="str">
        <x:v>L030</x:v>
      </x:c>
      <x:c r="I230" s="20" t="str">
        <x:v>Rina King</x:v>
      </x:c>
      <x:c r="J230" s="35" t="str">
        <x:v>System scheduled charge</x:v>
      </x:c>
      <x:c r="K230" s="20" t="str"/>
      <x:c r="L230" s="20" t="str">
        <x:v>RENT-202703-L030</x:v>
      </x:c>
      <x:c r="M230" s="26" t="n">
        <x:v>1600</x:v>
      </x:c>
      <x:c r="N230" s="26" t="n">
        <x:v>1600</x:v>
      </x:c>
      <x:c r="O230" s="26" t="n">
        <x:v>0</x:v>
      </x:c>
      <x:c r="P230" s="26" t="n">
        <x:v>0</x:v>
      </x:c>
      <x:c r="Q230" s="26" t="n">
        <x:v>0</x:v>
      </x:c>
      <x:c r="R230" s="26" t="n">
        <x:v>0</x:v>
      </x:c>
      <x:c r="S230" s="26" t="n">
        <x:v>0</x:v>
      </x:c>
      <x:c r="T230" s="26" t="n">
        <x:v>1600</x:v>
      </x:c>
      <x:c r="U230" s="26" t="n">
        <x:v>0</x:v>
      </x:c>
      <x:c r="V230" s="26" t="n">
        <x:v>0</x:v>
      </x:c>
      <x:c r="W230" s="26" t="n">
        <x:v>0</x:v>
      </x:c>
      <x:c r="X230" s="26" t="n">
        <x:v>0</x:v>
      </x:c>
      <x:c r="Y230" s="26" t="n">
        <x:v>0</x:v>
      </x:c>
      <x:c r="Z230" s="35" t="str">
        <x:v>March 2027 rent</x:v>
      </x:c>
    </x:row>
    <x:row r="231">
      <x:c r="A231" s="20" t="str">
        <x:v>FIN-00228</x:v>
      </x:c>
      <x:c r="B231" s="23" t="n">
        <x:v>46449</x:v>
      </x:c>
      <x:c r="C231" s="23" t="n">
        <x:v>46449</x:v>
      </x:c>
      <x:c r="D231" s="20" t="str">
        <x:v>TenantReceipt</x:v>
      </x:c>
      <x:c r="E231" s="20" t="str">
        <x:v>Rent receipt</x:v>
      </x:c>
      <x:c r="F231" s="20" t="str">
        <x:v>P025</x:v>
      </x:c>
      <x:c r="G231" s="20" t="str">
        <x:v>U030</x:v>
      </x:c>
      <x:c r="H231" s="20" t="str">
        <x:v>L030</x:v>
      </x:c>
      <x:c r="I231" s="20" t="str">
        <x:v>Rina King</x:v>
      </x:c>
      <x:c r="J231" s="35" t="str">
        <x:v>Manual ACH</x:v>
      </x:c>
      <x:c r="K231" s="20" t="str"/>
      <x:c r="L231" s="20" t="str">
        <x:v>PMT-20270303-L030</x:v>
      </x:c>
      <x:c r="M231" s="26" t="n">
        <x:v>1600</x:v>
      </x:c>
      <x:c r="N231" s="26" t="n">
        <x:v>-1600</x:v>
      </x:c>
      <x:c r="O231" s="26" t="n">
        <x:v>1600</x:v>
      </x:c>
      <x:c r="P231" s="26" t="n">
        <x:v>0</x:v>
      </x:c>
      <x:c r="Q231" s="26" t="n">
        <x:v>0</x:v>
      </x:c>
      <x:c r="R231" s="26" t="n">
        <x:v>0</x:v>
      </x:c>
      <x:c r="S231" s="26" t="n">
        <x:v>0</x:v>
      </x:c>
      <x:c r="T231" s="26" t="n">
        <x:v>0</x:v>
      </x:c>
      <x:c r="U231" s="26" t="n">
        <x:v>0</x:v>
      </x:c>
      <x:c r="V231" s="26" t="n">
        <x:v>0</x:v>
      </x:c>
      <x:c r="W231" s="26" t="n">
        <x:v>0</x:v>
      </x:c>
      <x:c r="X231" s="26" t="n">
        <x:v>0</x:v>
      </x:c>
      <x:c r="Y231" s="26" t="n">
        <x:v>0</x:v>
      </x:c>
      <x:c r="Z231" s="35" t="str">
        <x:v>Receipt allocated to FIN-00227</x:v>
      </x:c>
    </x:row>
    <x:row r="232">
      <x:c r="A232" s="20" t="str">
        <x:v>FIN-00229</x:v>
      </x:c>
      <x:c r="B232" s="23" t="n">
        <x:v>46447</x:v>
      </x:c>
      <x:c r="C232" s="23" t="n">
        <x:v>46447</x:v>
      </x:c>
      <x:c r="D232" s="20" t="str">
        <x:v>TenantCharge</x:v>
      </x:c>
      <x:c r="E232" s="20" t="str">
        <x:v>Rent</x:v>
      </x:c>
      <x:c r="F232" s="20" t="str">
        <x:v>P026</x:v>
      </x:c>
      <x:c r="G232" s="20" t="str">
        <x:v>U031</x:v>
      </x:c>
      <x:c r="H232" s="20" t="str">
        <x:v>L031</x:v>
      </x:c>
      <x:c r="I232" s="20" t="str">
        <x:v>Uri Price</x:v>
      </x:c>
      <x:c r="J232" s="35" t="str">
        <x:v>System scheduled charge</x:v>
      </x:c>
      <x:c r="K232" s="20" t="str"/>
      <x:c r="L232" s="20" t="str">
        <x:v>RENT-202703-L031</x:v>
      </x:c>
      <x:c r="M232" s="26" t="n">
        <x:v>1225</x:v>
      </x:c>
      <x:c r="N232" s="26" t="n">
        <x:v>1225</x:v>
      </x:c>
      <x:c r="O232" s="26" t="n">
        <x:v>0</x:v>
      </x:c>
      <x:c r="P232" s="26" t="n">
        <x:v>0</x:v>
      </x:c>
      <x:c r="Q232" s="26" t="n">
        <x:v>0</x:v>
      </x:c>
      <x:c r="R232" s="26" t="n">
        <x:v>0</x:v>
      </x:c>
      <x:c r="S232" s="26" t="n">
        <x:v>0</x:v>
      </x:c>
      <x:c r="T232" s="26" t="n">
        <x:v>1225</x:v>
      </x:c>
      <x:c r="U232" s="26" t="n">
        <x:v>0</x:v>
      </x:c>
      <x:c r="V232" s="26" t="n">
        <x:v>0</x:v>
      </x:c>
      <x:c r="W232" s="26" t="n">
        <x:v>0</x:v>
      </x:c>
      <x:c r="X232" s="26" t="n">
        <x:v>0</x:v>
      </x:c>
      <x:c r="Y232" s="26" t="n">
        <x:v>0</x:v>
      </x:c>
      <x:c r="Z232" s="35" t="str">
        <x:v>March 2027 rent</x:v>
      </x:c>
    </x:row>
    <x:row r="233">
      <x:c r="A233" s="20" t="str">
        <x:v>FIN-00230</x:v>
      </x:c>
      <x:c r="B233" s="23" t="n">
        <x:v>46450</x:v>
      </x:c>
      <x:c r="C233" s="23" t="n">
        <x:v>46450</x:v>
      </x:c>
      <x:c r="D233" s="20" t="str">
        <x:v>TenantReceipt</x:v>
      </x:c>
      <x:c r="E233" s="20" t="str">
        <x:v>Rent receipt</x:v>
      </x:c>
      <x:c r="F233" s="20" t="str">
        <x:v>P026</x:v>
      </x:c>
      <x:c r="G233" s="20" t="str">
        <x:v>U031</x:v>
      </x:c>
      <x:c r="H233" s="20" t="str">
        <x:v>L031</x:v>
      </x:c>
      <x:c r="I233" s="20" t="str">
        <x:v>Uri Price</x:v>
      </x:c>
      <x:c r="J233" s="35" t="str">
        <x:v>Portal card</x:v>
      </x:c>
      <x:c r="K233" s="20" t="str"/>
      <x:c r="L233" s="20" t="str">
        <x:v>PMT-20270304-L031</x:v>
      </x:c>
      <x:c r="M233" s="26" t="n">
        <x:v>1225</x:v>
      </x:c>
      <x:c r="N233" s="26" t="n">
        <x:v>-1225</x:v>
      </x:c>
      <x:c r="O233" s="26" t="n">
        <x:v>1225</x:v>
      </x:c>
      <x:c r="P233" s="26" t="n">
        <x:v>0</x:v>
      </x:c>
      <x:c r="Q233" s="26" t="n">
        <x:v>0</x:v>
      </x:c>
      <x:c r="R233" s="26" t="n">
        <x:v>0</x:v>
      </x:c>
      <x:c r="S233" s="26" t="n">
        <x:v>0</x:v>
      </x:c>
      <x:c r="T233" s="26" t="n">
        <x:v>0</x:v>
      </x:c>
      <x:c r="U233" s="26" t="n">
        <x:v>0</x:v>
      </x:c>
      <x:c r="V233" s="26" t="n">
        <x:v>0</x:v>
      </x:c>
      <x:c r="W233" s="26" t="n">
        <x:v>0</x:v>
      </x:c>
      <x:c r="X233" s="26" t="n">
        <x:v>0</x:v>
      </x:c>
      <x:c r="Y233" s="26" t="n">
        <x:v>0</x:v>
      </x:c>
      <x:c r="Z233" s="35" t="str">
        <x:v>Receipt allocated to FIN-00229</x:v>
      </x:c>
    </x:row>
    <x:row r="234">
      <x:c r="A234" s="20" t="str">
        <x:v>FIN-00231</x:v>
      </x:c>
      <x:c r="B234" s="23" t="n">
        <x:v>46447</x:v>
      </x:c>
      <x:c r="C234" s="23" t="n">
        <x:v>46447</x:v>
      </x:c>
      <x:c r="D234" s="20" t="str">
        <x:v>TenantCharge</x:v>
      </x:c>
      <x:c r="E234" s="20" t="str">
        <x:v>Rent</x:v>
      </x:c>
      <x:c r="F234" s="20" t="str">
        <x:v>P026</x:v>
      </x:c>
      <x:c r="G234" s="20" t="str">
        <x:v>U032</x:v>
      </x:c>
      <x:c r="H234" s="20" t="str">
        <x:v>L032</x:v>
      </x:c>
      <x:c r="I234" s="20" t="str">
        <x:v>Avery Brooks</x:v>
      </x:c>
      <x:c r="J234" s="35" t="str">
        <x:v>System scheduled charge</x:v>
      </x:c>
      <x:c r="K234" s="20" t="str"/>
      <x:c r="L234" s="20" t="str">
        <x:v>RENT-202703-L032</x:v>
      </x:c>
      <x:c r="M234" s="26" t="n">
        <x:v>1750</x:v>
      </x:c>
      <x:c r="N234" s="26" t="n">
        <x:v>1750</x:v>
      </x:c>
      <x:c r="O234" s="26" t="n">
        <x:v>0</x:v>
      </x:c>
      <x:c r="P234" s="26" t="n">
        <x:v>0</x:v>
      </x:c>
      <x:c r="Q234" s="26" t="n">
        <x:v>0</x:v>
      </x:c>
      <x:c r="R234" s="26" t="n">
        <x:v>0</x:v>
      </x:c>
      <x:c r="S234" s="26" t="n">
        <x:v>0</x:v>
      </x:c>
      <x:c r="T234" s="26" t="n">
        <x:v>1750</x:v>
      </x:c>
      <x:c r="U234" s="26" t="n">
        <x:v>0</x:v>
      </x:c>
      <x:c r="V234" s="26" t="n">
        <x:v>0</x:v>
      </x:c>
      <x:c r="W234" s="26" t="n">
        <x:v>0</x:v>
      </x:c>
      <x:c r="X234" s="26" t="n">
        <x:v>0</x:v>
      </x:c>
      <x:c r="Y234" s="26" t="n">
        <x:v>0</x:v>
      </x:c>
      <x:c r="Z234" s="35" t="str">
        <x:v>March 2027 rent</x:v>
      </x:c>
    </x:row>
    <x:row r="235">
      <x:c r="A235" s="20" t="str">
        <x:v>FIN-00232</x:v>
      </x:c>
      <x:c r="B235" s="23" t="n">
        <x:v>46451</x:v>
      </x:c>
      <x:c r="C235" s="23" t="n">
        <x:v>46451</x:v>
      </x:c>
      <x:c r="D235" s="20" t="str">
        <x:v>TenantReceipt</x:v>
      </x:c>
      <x:c r="E235" s="20" t="str">
        <x:v>Rent receipt</x:v>
      </x:c>
      <x:c r="F235" s="20" t="str">
        <x:v>P026</x:v>
      </x:c>
      <x:c r="G235" s="20" t="str">
        <x:v>U032</x:v>
      </x:c>
      <x:c r="H235" s="20" t="str">
        <x:v>L032</x:v>
      </x:c>
      <x:c r="I235" s="20" t="str">
        <x:v>Avery Brooks</x:v>
      </x:c>
      <x:c r="J235" s="35" t="str">
        <x:v>Scanned check</x:v>
      </x:c>
      <x:c r="K235" s="20" t="str">
        <x:v>SCN-0145</x:v>
      </x:c>
      <x:c r="L235" s="20" t="str">
        <x:v>PMT-20270305-L032</x:v>
      </x:c>
      <x:c r="M235" s="26" t="n">
        <x:v>1750</x:v>
      </x:c>
      <x:c r="N235" s="26" t="n">
        <x:v>-1750</x:v>
      </x:c>
      <x:c r="O235" s="26" t="n">
        <x:v>1750</x:v>
      </x:c>
      <x:c r="P235" s="26" t="n">
        <x:v>0</x:v>
      </x:c>
      <x:c r="Q235" s="26" t="n">
        <x:v>0</x:v>
      </x:c>
      <x:c r="R235" s="26" t="n">
        <x:v>0</x:v>
      </x:c>
      <x:c r="S235" s="26" t="n">
        <x:v>0</x:v>
      </x:c>
      <x:c r="T235" s="26" t="n">
        <x:v>0</x:v>
      </x:c>
      <x:c r="U235" s="26" t="n">
        <x:v>0</x:v>
      </x:c>
      <x:c r="V235" s="26" t="n">
        <x:v>0</x:v>
      </x:c>
      <x:c r="W235" s="26" t="n">
        <x:v>0</x:v>
      </x:c>
      <x:c r="X235" s="26" t="n">
        <x:v>0</x:v>
      </x:c>
      <x:c r="Y235" s="26" t="n">
        <x:v>0</x:v>
      </x:c>
      <x:c r="Z235" s="35" t="str">
        <x:v>Receipt allocated to FIN-00231</x:v>
      </x:c>
    </x:row>
    <x:row r="236">
      <x:c r="A236" s="20" t="str">
        <x:v>FIN-00233</x:v>
      </x:c>
      <x:c r="B236" s="23" t="n">
        <x:v>46447</x:v>
      </x:c>
      <x:c r="C236" s="23" t="n">
        <x:v>46447</x:v>
      </x:c>
      <x:c r="D236" s="20" t="str">
        <x:v>TenantCharge</x:v>
      </x:c>
      <x:c r="E236" s="20" t="str">
        <x:v>Rent</x:v>
      </x:c>
      <x:c r="F236" s="20" t="str">
        <x:v>P027</x:v>
      </x:c>
      <x:c r="G236" s="20" t="str">
        <x:v>U033</x:v>
      </x:c>
      <x:c r="H236" s="20" t="str">
        <x:v>L033</x:v>
      </x:c>
      <x:c r="I236" s="20" t="str">
        <x:v>Dana Garcia</x:v>
      </x:c>
      <x:c r="J236" s="35" t="str">
        <x:v>System scheduled charge</x:v>
      </x:c>
      <x:c r="K236" s="20" t="str"/>
      <x:c r="L236" s="20" t="str">
        <x:v>RENT-202703-L033</x:v>
      </x:c>
      <x:c r="M236" s="26" t="n">
        <x:v>1375</x:v>
      </x:c>
      <x:c r="N236" s="26" t="n">
        <x:v>1375</x:v>
      </x:c>
      <x:c r="O236" s="26" t="n">
        <x:v>0</x:v>
      </x:c>
      <x:c r="P236" s="26" t="n">
        <x:v>0</x:v>
      </x:c>
      <x:c r="Q236" s="26" t="n">
        <x:v>0</x:v>
      </x:c>
      <x:c r="R236" s="26" t="n">
        <x:v>0</x:v>
      </x:c>
      <x:c r="S236" s="26" t="n">
        <x:v>0</x:v>
      </x:c>
      <x:c r="T236" s="26" t="n">
        <x:v>1375</x:v>
      </x:c>
      <x:c r="U236" s="26" t="n">
        <x:v>0</x:v>
      </x:c>
      <x:c r="V236" s="26" t="n">
        <x:v>0</x:v>
      </x:c>
      <x:c r="W236" s="26" t="n">
        <x:v>0</x:v>
      </x:c>
      <x:c r="X236" s="26" t="n">
        <x:v>0</x:v>
      </x:c>
      <x:c r="Y236" s="26" t="n">
        <x:v>0</x:v>
      </x:c>
      <x:c r="Z236" s="35" t="str">
        <x:v>March 2027 rent</x:v>
      </x:c>
    </x:row>
    <x:row r="237">
      <x:c r="A237" s="20" t="str">
        <x:v>FIN-00234</x:v>
      </x:c>
      <x:c r="B237" s="23" t="n">
        <x:v>46449</x:v>
      </x:c>
      <x:c r="C237" s="23" t="n">
        <x:v>46449</x:v>
      </x:c>
      <x:c r="D237" s="20" t="str">
        <x:v>TenantReceipt</x:v>
      </x:c>
      <x:c r="E237" s="20" t="str">
        <x:v>Rent receipt</x:v>
      </x:c>
      <x:c r="F237" s="20" t="str">
        <x:v>P027</x:v>
      </x:c>
      <x:c r="G237" s="20" t="str">
        <x:v>U033</x:v>
      </x:c>
      <x:c r="H237" s="20" t="str">
        <x:v>L033</x:v>
      </x:c>
      <x:c r="I237" s="20" t="str">
        <x:v>Dana Garcia</x:v>
      </x:c>
      <x:c r="J237" s="35" t="str">
        <x:v>Scanned money order</x:v>
      </x:c>
      <x:c r="K237" s="20" t="str">
        <x:v>SCN-0146</x:v>
      </x:c>
      <x:c r="L237" s="20" t="str">
        <x:v>PMT-20270303-L033-A</x:v>
      </x:c>
      <x:c r="M237" s="26" t="n">
        <x:v>825</x:v>
      </x:c>
      <x:c r="N237" s="26" t="n">
        <x:v>-825</x:v>
      </x:c>
      <x:c r="O237" s="26" t="n">
        <x:v>825</x:v>
      </x:c>
      <x:c r="P237" s="26" t="n">
        <x:v>0</x:v>
      </x:c>
      <x:c r="Q237" s="26" t="n">
        <x:v>0</x:v>
      </x:c>
      <x:c r="R237" s="26" t="n">
        <x:v>0</x:v>
      </x:c>
      <x:c r="S237" s="26" t="n">
        <x:v>0</x:v>
      </x:c>
      <x:c r="T237" s="26" t="n">
        <x:v>0</x:v>
      </x:c>
      <x:c r="U237" s="26" t="n">
        <x:v>0</x:v>
      </x:c>
      <x:c r="V237" s="26" t="n">
        <x:v>0</x:v>
      </x:c>
      <x:c r="W237" s="26" t="n">
        <x:v>0</x:v>
      </x:c>
      <x:c r="X237" s="26" t="n">
        <x:v>0</x:v>
      </x:c>
      <x:c r="Y237" s="26" t="n">
        <x:v>0</x:v>
      </x:c>
      <x:c r="Z237" s="35" t="str">
        <x:v>Receipt allocated to FIN-00233</x:v>
      </x:c>
    </x:row>
    <x:row r="238">
      <x:c r="A238" s="20" t="str">
        <x:v>FIN-00235</x:v>
      </x:c>
      <x:c r="B238" s="23" t="n">
        <x:v>46452</x:v>
      </x:c>
      <x:c r="C238" s="23" t="n">
        <x:v>46452</x:v>
      </x:c>
      <x:c r="D238" s="20" t="str">
        <x:v>TenantCharge</x:v>
      </x:c>
      <x:c r="E238" s="20" t="str">
        <x:v>Late fee</x:v>
      </x:c>
      <x:c r="F238" s="20" t="str">
        <x:v>P027</x:v>
      </x:c>
      <x:c r="G238" s="20" t="str">
        <x:v>U033</x:v>
      </x:c>
      <x:c r="H238" s="20" t="str">
        <x:v>L033</x:v>
      </x:c>
      <x:c r="I238" s="20" t="str">
        <x:v>Dana Garcia</x:v>
      </x:c>
      <x:c r="J238" s="35" t="str">
        <x:v>System automation</x:v>
      </x:c>
      <x:c r="K238" s="20" t="str"/>
      <x:c r="L238" s="20" t="str">
        <x:v>LATE-202703-L033</x:v>
      </x:c>
      <x:c r="M238" s="26" t="n">
        <x:v>50</x:v>
      </x:c>
      <x:c r="N238" s="26" t="n">
        <x:v>50</x:v>
      </x:c>
      <x:c r="O238" s="26" t="n">
        <x:v>0</x:v>
      </x:c>
      <x:c r="P238" s="26" t="n">
        <x:v>0</x:v>
      </x:c>
      <x:c r="Q238" s="26" t="n">
        <x:v>0</x:v>
      </x:c>
      <x:c r="R238" s="26" t="n">
        <x:v>0</x:v>
      </x:c>
      <x:c r="S238" s="26" t="n">
        <x:v>0</x:v>
      </x:c>
      <x:c r="T238" s="26" t="n">
        <x:v>50</x:v>
      </x:c>
      <x:c r="U238" s="26" t="n">
        <x:v>0</x:v>
      </x:c>
      <x:c r="V238" s="26" t="n">
        <x:v>0</x:v>
      </x:c>
      <x:c r="W238" s="26" t="n">
        <x:v>0</x:v>
      </x:c>
      <x:c r="X238" s="26" t="n">
        <x:v>0</x:v>
      </x:c>
      <x:c r="Y238" s="26" t="n">
        <x:v>0</x:v>
      </x:c>
      <x:c r="Z238" s="35" t="str">
        <x:v>Synthetic lease-authorized late fee after partial payment</x:v>
      </x:c>
    </x:row>
    <x:row r="239">
      <x:c r="A239" s="20" t="str">
        <x:v>FIN-00236</x:v>
      </x:c>
      <x:c r="B239" s="23" t="n">
        <x:v>46458</x:v>
      </x:c>
      <x:c r="C239" s="23" t="n">
        <x:v>46458</x:v>
      </x:c>
      <x:c r="D239" s="20" t="str">
        <x:v>TenantReceipt</x:v>
      </x:c>
      <x:c r="E239" s="20" t="str">
        <x:v>Rent receipt</x:v>
      </x:c>
      <x:c r="F239" s="20" t="str">
        <x:v>P027</x:v>
      </x:c>
      <x:c r="G239" s="20" t="str">
        <x:v>U033</x:v>
      </x:c>
      <x:c r="H239" s="20" t="str">
        <x:v>L033</x:v>
      </x:c>
      <x:c r="I239" s="20" t="str">
        <x:v>Dana Garcia</x:v>
      </x:c>
      <x:c r="J239" s="35" t="str">
        <x:v>Portal card</x:v>
      </x:c>
      <x:c r="K239" s="20" t="str"/>
      <x:c r="L239" s="20" t="str">
        <x:v>PMT-20270312-L033-B</x:v>
      </x:c>
      <x:c r="M239" s="26" t="n">
        <x:v>600</x:v>
      </x:c>
      <x:c r="N239" s="26" t="n">
        <x:v>-600</x:v>
      </x:c>
      <x:c r="O239" s="26" t="n">
        <x:v>600</x:v>
      </x:c>
      <x:c r="P239" s="26" t="n">
        <x:v>0</x:v>
      </x:c>
      <x:c r="Q239" s="26" t="n">
        <x:v>0</x:v>
      </x:c>
      <x:c r="R239" s="26" t="n">
        <x:v>0</x:v>
      </x:c>
      <x:c r="S239" s="26" t="n">
        <x:v>0</x:v>
      </x:c>
      <x:c r="T239" s="26" t="n">
        <x:v>0</x:v>
      </x:c>
      <x:c r="U239" s="26" t="n">
        <x:v>0</x:v>
      </x:c>
      <x:c r="V239" s="26" t="n">
        <x:v>0</x:v>
      </x:c>
      <x:c r="W239" s="26" t="n">
        <x:v>0</x:v>
      </x:c>
      <x:c r="X239" s="26" t="n">
        <x:v>0</x:v>
      </x:c>
      <x:c r="Y239" s="26" t="n">
        <x:v>0</x:v>
      </x:c>
      <x:c r="Z239" s="35" t="str">
        <x:v>Receipt allocated to FIN-00235</x:v>
      </x:c>
    </x:row>
    <x:row r="240">
      <x:c r="A240" s="20" t="str">
        <x:v>FIN-00237</x:v>
      </x:c>
      <x:c r="B240" s="23" t="n">
        <x:v>46447</x:v>
      </x:c>
      <x:c r="C240" s="23" t="n">
        <x:v>46447</x:v>
      </x:c>
      <x:c r="D240" s="20" t="str">
        <x:v>TenantCharge</x:v>
      </x:c>
      <x:c r="E240" s="20" t="str">
        <x:v>Rent</x:v>
      </x:c>
      <x:c r="F240" s="20" t="str">
        <x:v>P027</x:v>
      </x:c>
      <x:c r="G240" s="20" t="str">
        <x:v>U034</x:v>
      </x:c>
      <x:c r="H240" s="20" t="str">
        <x:v>L034</x:v>
      </x:c>
      <x:c r="I240" s="20" t="str">
        <x:v>Gray Lewis</x:v>
      </x:c>
      <x:c r="J240" s="35" t="str">
        <x:v>System scheduled charge</x:v>
      </x:c>
      <x:c r="K240" s="20" t="str"/>
      <x:c r="L240" s="20" t="str">
        <x:v>RENT-202703-L034</x:v>
      </x:c>
      <x:c r="M240" s="26" t="n">
        <x:v>1900</x:v>
      </x:c>
      <x:c r="N240" s="26" t="n">
        <x:v>1900</x:v>
      </x:c>
      <x:c r="O240" s="26" t="n">
        <x:v>0</x:v>
      </x:c>
      <x:c r="P240" s="26" t="n">
        <x:v>0</x:v>
      </x:c>
      <x:c r="Q240" s="26" t="n">
        <x:v>0</x:v>
      </x:c>
      <x:c r="R240" s="26" t="n">
        <x:v>0</x:v>
      </x:c>
      <x:c r="S240" s="26" t="n">
        <x:v>0</x:v>
      </x:c>
      <x:c r="T240" s="26" t="n">
        <x:v>1900</x:v>
      </x:c>
      <x:c r="U240" s="26" t="n">
        <x:v>0</x:v>
      </x:c>
      <x:c r="V240" s="26" t="n">
        <x:v>0</x:v>
      </x:c>
      <x:c r="W240" s="26" t="n">
        <x:v>0</x:v>
      </x:c>
      <x:c r="X240" s="26" t="n">
        <x:v>0</x:v>
      </x:c>
      <x:c r="Y240" s="26" t="n">
        <x:v>0</x:v>
      </x:c>
      <x:c r="Z240" s="35" t="str">
        <x:v>March 2027 rent</x:v>
      </x:c>
    </x:row>
    <x:row r="241">
      <x:c r="A241" s="20" t="str">
        <x:v>FIN-00238</x:v>
      </x:c>
      <x:c r="B241" s="23" t="n">
        <x:v>46450</x:v>
      </x:c>
      <x:c r="C241" s="23" t="n">
        <x:v>46450</x:v>
      </x:c>
      <x:c r="D241" s="20" t="str">
        <x:v>TenantReceipt</x:v>
      </x:c>
      <x:c r="E241" s="20" t="str">
        <x:v>Rent receipt</x:v>
      </x:c>
      <x:c r="F241" s="20" t="str">
        <x:v>P027</x:v>
      </x:c>
      <x:c r="G241" s="20" t="str">
        <x:v>U034</x:v>
      </x:c>
      <x:c r="H241" s="20" t="str">
        <x:v>L034</x:v>
      </x:c>
      <x:c r="I241" s="20" t="str">
        <x:v>Gray Lewis</x:v>
      </x:c>
      <x:c r="J241" s="35" t="str">
        <x:v>Manual ACH</x:v>
      </x:c>
      <x:c r="K241" s="20" t="str"/>
      <x:c r="L241" s="20" t="str">
        <x:v>PMT-20270304-L034</x:v>
      </x:c>
      <x:c r="M241" s="26" t="n">
        <x:v>1900</x:v>
      </x:c>
      <x:c r="N241" s="26" t="n">
        <x:v>-1900</x:v>
      </x:c>
      <x:c r="O241" s="26" t="n">
        <x:v>1900</x:v>
      </x:c>
      <x:c r="P241" s="26" t="n">
        <x:v>0</x:v>
      </x:c>
      <x:c r="Q241" s="26" t="n">
        <x:v>0</x:v>
      </x:c>
      <x:c r="R241" s="26" t="n">
        <x:v>0</x:v>
      </x:c>
      <x:c r="S241" s="26" t="n">
        <x:v>0</x:v>
      </x:c>
      <x:c r="T241" s="26" t="n">
        <x:v>0</x:v>
      </x:c>
      <x:c r="U241" s="26" t="n">
        <x:v>0</x:v>
      </x:c>
      <x:c r="V241" s="26" t="n">
        <x:v>0</x:v>
      </x:c>
      <x:c r="W241" s="26" t="n">
        <x:v>0</x:v>
      </x:c>
      <x:c r="X241" s="26" t="n">
        <x:v>0</x:v>
      </x:c>
      <x:c r="Y241" s="26" t="n">
        <x:v>0</x:v>
      </x:c>
      <x:c r="Z241" s="35" t="str">
        <x:v>Receipt allocated to FIN-00237</x:v>
      </x:c>
    </x:row>
    <x:row r="242">
      <x:c r="A242" s="20" t="str">
        <x:v>FIN-00239</x:v>
      </x:c>
      <x:c r="B242" s="23" t="n">
        <x:v>46447</x:v>
      </x:c>
      <x:c r="C242" s="23" t="n">
        <x:v>46447</x:v>
      </x:c>
      <x:c r="D242" s="20" t="str">
        <x:v>TenantCharge</x:v>
      </x:c>
      <x:c r="E242" s="20" t="str">
        <x:v>Rent</x:v>
      </x:c>
      <x:c r="F242" s="20" t="str">
        <x:v>P028</x:v>
      </x:c>
      <x:c r="G242" s="20" t="str">
        <x:v>U035</x:v>
      </x:c>
      <x:c r="H242" s="20" t="str">
        <x:v>L035</x:v>
      </x:c>
      <x:c r="I242" s="20" t="str">
        <x:v>Jordan Reed</x:v>
      </x:c>
      <x:c r="J242" s="35" t="str">
        <x:v>System scheduled charge</x:v>
      </x:c>
      <x:c r="K242" s="20" t="str"/>
      <x:c r="L242" s="20" t="str">
        <x:v>RENT-202703-L035</x:v>
      </x:c>
      <x:c r="M242" s="26" t="n">
        <x:v>1525</x:v>
      </x:c>
      <x:c r="N242" s="26" t="n">
        <x:v>1525</x:v>
      </x:c>
      <x:c r="O242" s="26" t="n">
        <x:v>0</x:v>
      </x:c>
      <x:c r="P242" s="26" t="n">
        <x:v>0</x:v>
      </x:c>
      <x:c r="Q242" s="26" t="n">
        <x:v>0</x:v>
      </x:c>
      <x:c r="R242" s="26" t="n">
        <x:v>0</x:v>
      </x:c>
      <x:c r="S242" s="26" t="n">
        <x:v>0</x:v>
      </x:c>
      <x:c r="T242" s="26" t="n">
        <x:v>1525</x:v>
      </x:c>
      <x:c r="U242" s="26" t="n">
        <x:v>0</x:v>
      </x:c>
      <x:c r="V242" s="26" t="n">
        <x:v>0</x:v>
      </x:c>
      <x:c r="W242" s="26" t="n">
        <x:v>0</x:v>
      </x:c>
      <x:c r="X242" s="26" t="n">
        <x:v>0</x:v>
      </x:c>
      <x:c r="Y242" s="26" t="n">
        <x:v>0</x:v>
      </x:c>
      <x:c r="Z242" s="35" t="str">
        <x:v>March 2027 rent</x:v>
      </x:c>
    </x:row>
    <x:row r="243">
      <x:c r="A243" s="20" t="str">
        <x:v>FIN-00240</x:v>
      </x:c>
      <x:c r="B243" s="23" t="n">
        <x:v>46451</x:v>
      </x:c>
      <x:c r="C243" s="23" t="n">
        <x:v>46451</x:v>
      </x:c>
      <x:c r="D243" s="20" t="str">
        <x:v>TenantReceipt</x:v>
      </x:c>
      <x:c r="E243" s="20" t="str">
        <x:v>Rent receipt</x:v>
      </x:c>
      <x:c r="F243" s="20" t="str">
        <x:v>P028</x:v>
      </x:c>
      <x:c r="G243" s="20" t="str">
        <x:v>U035</x:v>
      </x:c>
      <x:c r="H243" s="20" t="str">
        <x:v>L035</x:v>
      </x:c>
      <x:c r="I243" s="20" t="str">
        <x:v>Jordan Reed</x:v>
      </x:c>
      <x:c r="J243" s="35" t="str">
        <x:v>Portal card</x:v>
      </x:c>
      <x:c r="K243" s="20" t="str"/>
      <x:c r="L243" s="20" t="str">
        <x:v>PMT-20270305-L035</x:v>
      </x:c>
      <x:c r="M243" s="26" t="n">
        <x:v>1525</x:v>
      </x:c>
      <x:c r="N243" s="26" t="n">
        <x:v>-1525</x:v>
      </x:c>
      <x:c r="O243" s="26" t="n">
        <x:v>1525</x:v>
      </x:c>
      <x:c r="P243" s="26" t="n">
        <x:v>0</x:v>
      </x:c>
      <x:c r="Q243" s="26" t="n">
        <x:v>0</x:v>
      </x:c>
      <x:c r="R243" s="26" t="n">
        <x:v>0</x:v>
      </x:c>
      <x:c r="S243" s="26" t="n">
        <x:v>0</x:v>
      </x:c>
      <x:c r="T243" s="26" t="n">
        <x:v>0</x:v>
      </x:c>
      <x:c r="U243" s="26" t="n">
        <x:v>0</x:v>
      </x:c>
      <x:c r="V243" s="26" t="n">
        <x:v>0</x:v>
      </x:c>
      <x:c r="W243" s="26" t="n">
        <x:v>0</x:v>
      </x:c>
      <x:c r="X243" s="26" t="n">
        <x:v>0</x:v>
      </x:c>
      <x:c r="Y243" s="26" t="n">
        <x:v>0</x:v>
      </x:c>
      <x:c r="Z243" s="35" t="str">
        <x:v>Receipt allocated to FIN-00239</x:v>
      </x:c>
    </x:row>
    <x:row r="244">
      <x:c r="A244" s="20" t="str">
        <x:v>FIN-00241</x:v>
      </x:c>
      <x:c r="B244" s="23" t="n">
        <x:v>46447</x:v>
      </x:c>
      <x:c r="C244" s="23" t="n">
        <x:v>46447</x:v>
      </x:c>
      <x:c r="D244" s="20" t="str">
        <x:v>TenantCharge</x:v>
      </x:c>
      <x:c r="E244" s="20" t="str">
        <x:v>Rent</x:v>
      </x:c>
      <x:c r="F244" s="20" t="str">
        <x:v>P028</x:v>
      </x:c>
      <x:c r="G244" s="20" t="str">
        <x:v>U036</x:v>
      </x:c>
      <x:c r="H244" s="20" t="str">
        <x:v>L036</x:v>
      </x:c>
      <x:c r="I244" s="20" t="str">
        <x:v>Morgan Adams</x:v>
      </x:c>
      <x:c r="J244" s="35" t="str">
        <x:v>System scheduled charge</x:v>
      </x:c>
      <x:c r="K244" s="20" t="str"/>
      <x:c r="L244" s="20" t="str">
        <x:v>RENT-202703-L036</x:v>
      </x:c>
      <x:c r="M244" s="26" t="n">
        <x:v>1150</x:v>
      </x:c>
      <x:c r="N244" s="26" t="n">
        <x:v>1150</x:v>
      </x:c>
      <x:c r="O244" s="26" t="n">
        <x:v>0</x:v>
      </x:c>
      <x:c r="P244" s="26" t="n">
        <x:v>0</x:v>
      </x:c>
      <x:c r="Q244" s="26" t="n">
        <x:v>0</x:v>
      </x:c>
      <x:c r="R244" s="26" t="n">
        <x:v>0</x:v>
      </x:c>
      <x:c r="S244" s="26" t="n">
        <x:v>0</x:v>
      </x:c>
      <x:c r="T244" s="26" t="n">
        <x:v>1150</x:v>
      </x:c>
      <x:c r="U244" s="26" t="n">
        <x:v>0</x:v>
      </x:c>
      <x:c r="V244" s="26" t="n">
        <x:v>0</x:v>
      </x:c>
      <x:c r="W244" s="26" t="n">
        <x:v>0</x:v>
      </x:c>
      <x:c r="X244" s="26" t="n">
        <x:v>0</x:v>
      </x:c>
      <x:c r="Y244" s="26" t="n">
        <x:v>0</x:v>
      </x:c>
      <x:c r="Z244" s="35" t="str">
        <x:v>March 2027 rent</x:v>
      </x:c>
    </x:row>
    <x:row r="245">
      <x:c r="A245" s="20" t="str">
        <x:v>FIN-00242</x:v>
      </x:c>
      <x:c r="B245" s="23" t="n">
        <x:v>46449</x:v>
      </x:c>
      <x:c r="C245" s="23" t="n">
        <x:v>46449</x:v>
      </x:c>
      <x:c r="D245" s="20" t="str">
        <x:v>TenantReceipt</x:v>
      </x:c>
      <x:c r="E245" s="20" t="str">
        <x:v>Rent receipt</x:v>
      </x:c>
      <x:c r="F245" s="20" t="str">
        <x:v>P028</x:v>
      </x:c>
      <x:c r="G245" s="20" t="str">
        <x:v>U036</x:v>
      </x:c>
      <x:c r="H245" s="20" t="str">
        <x:v>L036</x:v>
      </x:c>
      <x:c r="I245" s="20" t="str">
        <x:v>Morgan Adams</x:v>
      </x:c>
      <x:c r="J245" s="35" t="str">
        <x:v>Scanned check</x:v>
      </x:c>
      <x:c r="K245" s="20" t="str">
        <x:v>SCN-0147</x:v>
      </x:c>
      <x:c r="L245" s="20" t="str">
        <x:v>PMT-20270303-L036</x:v>
      </x:c>
      <x:c r="M245" s="26" t="n">
        <x:v>1150</x:v>
      </x:c>
      <x:c r="N245" s="26" t="n">
        <x:v>-1150</x:v>
      </x:c>
      <x:c r="O245" s="26" t="n">
        <x:v>1150</x:v>
      </x:c>
      <x:c r="P245" s="26" t="n">
        <x:v>0</x:v>
      </x:c>
      <x:c r="Q245" s="26" t="n">
        <x:v>0</x:v>
      </x:c>
      <x:c r="R245" s="26" t="n">
        <x:v>0</x:v>
      </x:c>
      <x:c r="S245" s="26" t="n">
        <x:v>0</x:v>
      </x:c>
      <x:c r="T245" s="26" t="n">
        <x:v>0</x:v>
      </x:c>
      <x:c r="U245" s="26" t="n">
        <x:v>0</x:v>
      </x:c>
      <x:c r="V245" s="26" t="n">
        <x:v>0</x:v>
      </x:c>
      <x:c r="W245" s="26" t="n">
        <x:v>0</x:v>
      </x:c>
      <x:c r="X245" s="26" t="n">
        <x:v>0</x:v>
      </x:c>
      <x:c r="Y245" s="26" t="n">
        <x:v>0</x:v>
      </x:c>
      <x:c r="Z245" s="35" t="str">
        <x:v>Receipt allocated to FIN-00241</x:v>
      </x:c>
    </x:row>
    <x:row r="246">
      <x:c r="A246" s="20" t="str">
        <x:v>FIN-00243</x:v>
      </x:c>
      <x:c r="B246" s="23" t="n">
        <x:v>46447</x:v>
      </x:c>
      <x:c r="C246" s="23" t="n">
        <x:v>46447</x:v>
      </x:c>
      <x:c r="D246" s="20" t="str">
        <x:v>TenantCharge</x:v>
      </x:c>
      <x:c r="E246" s="20" t="str">
        <x:v>Rent</x:v>
      </x:c>
      <x:c r="F246" s="20" t="str">
        <x:v>P029</x:v>
      </x:c>
      <x:c r="G246" s="20" t="str">
        <x:v>U037</x:v>
      </x:c>
      <x:c r="H246" s="20" t="str">
        <x:v>L043</x:v>
      </x:c>
      <x:c r="I246" s="20" t="str">
        <x:v>Hector Reed</x:v>
      </x:c>
      <x:c r="J246" s="35" t="str">
        <x:v>System scheduled charge</x:v>
      </x:c>
      <x:c r="K246" s="20" t="str"/>
      <x:c r="L246" s="20" t="str">
        <x:v>RENT-202703-L043</x:v>
      </x:c>
      <x:c r="M246" s="26" t="n">
        <x:v>1675</x:v>
      </x:c>
      <x:c r="N246" s="26" t="n">
        <x:v>1675</x:v>
      </x:c>
      <x:c r="O246" s="26" t="n">
        <x:v>0</x:v>
      </x:c>
      <x:c r="P246" s="26" t="n">
        <x:v>0</x:v>
      </x:c>
      <x:c r="Q246" s="26" t="n">
        <x:v>0</x:v>
      </x:c>
      <x:c r="R246" s="26" t="n">
        <x:v>0</x:v>
      </x:c>
      <x:c r="S246" s="26" t="n">
        <x:v>0</x:v>
      </x:c>
      <x:c r="T246" s="26" t="n">
        <x:v>1675</x:v>
      </x:c>
      <x:c r="U246" s="26" t="n">
        <x:v>0</x:v>
      </x:c>
      <x:c r="V246" s="26" t="n">
        <x:v>0</x:v>
      </x:c>
      <x:c r="W246" s="26" t="n">
        <x:v>0</x:v>
      </x:c>
      <x:c r="X246" s="26" t="n">
        <x:v>0</x:v>
      </x:c>
      <x:c r="Y246" s="26" t="n">
        <x:v>0</x:v>
      </x:c>
      <x:c r="Z246" s="35" t="str">
        <x:v>March 2027 rent</x:v>
      </x:c>
    </x:row>
    <x:row r="247">
      <x:c r="A247" s="20" t="str">
        <x:v>FIN-00244</x:v>
      </x:c>
      <x:c r="B247" s="23" t="n">
        <x:v>46450</x:v>
      </x:c>
      <x:c r="C247" s="23" t="n">
        <x:v>46450</x:v>
      </x:c>
      <x:c r="D247" s="20" t="str">
        <x:v>TenantReceipt</x:v>
      </x:c>
      <x:c r="E247" s="20" t="str">
        <x:v>Rent receipt</x:v>
      </x:c>
      <x:c r="F247" s="20" t="str">
        <x:v>P029</x:v>
      </x:c>
      <x:c r="G247" s="20" t="str">
        <x:v>U037</x:v>
      </x:c>
      <x:c r="H247" s="20" t="str">
        <x:v>L043</x:v>
      </x:c>
      <x:c r="I247" s="20" t="str">
        <x:v>Hector Reed</x:v>
      </x:c>
      <x:c r="J247" s="35" t="str">
        <x:v>Portal card</x:v>
      </x:c>
      <x:c r="K247" s="20" t="str"/>
      <x:c r="L247" s="20" t="str">
        <x:v>PMT-20270304-L043</x:v>
      </x:c>
      <x:c r="M247" s="26" t="n">
        <x:v>1675</x:v>
      </x:c>
      <x:c r="N247" s="26" t="n">
        <x:v>-1675</x:v>
      </x:c>
      <x:c r="O247" s="26" t="n">
        <x:v>1675</x:v>
      </x:c>
      <x:c r="P247" s="26" t="n">
        <x:v>0</x:v>
      </x:c>
      <x:c r="Q247" s="26" t="n">
        <x:v>0</x:v>
      </x:c>
      <x:c r="R247" s="26" t="n">
        <x:v>0</x:v>
      </x:c>
      <x:c r="S247" s="26" t="n">
        <x:v>0</x:v>
      </x:c>
      <x:c r="T247" s="26" t="n">
        <x:v>0</x:v>
      </x:c>
      <x:c r="U247" s="26" t="n">
        <x:v>0</x:v>
      </x:c>
      <x:c r="V247" s="26" t="n">
        <x:v>0</x:v>
      </x:c>
      <x:c r="W247" s="26" t="n">
        <x:v>0</x:v>
      </x:c>
      <x:c r="X247" s="26" t="n">
        <x:v>0</x:v>
      </x:c>
      <x:c r="Y247" s="26" t="n">
        <x:v>0</x:v>
      </x:c>
      <x:c r="Z247" s="35" t="str">
        <x:v>Receipt allocated to FIN-00243</x:v>
      </x:c>
    </x:row>
    <x:row r="248">
      <x:c r="A248" s="20" t="str">
        <x:v>FIN-00245</x:v>
      </x:c>
      <x:c r="B248" s="23" t="n">
        <x:v>46447</x:v>
      </x:c>
      <x:c r="C248" s="23" t="n">
        <x:v>46461</x:v>
      </x:c>
      <x:c r="D248" s="20" t="str">
        <x:v>TenantCharge</x:v>
      </x:c>
      <x:c r="E248" s="20" t="str">
        <x:v>Rent</x:v>
      </x:c>
      <x:c r="F248" s="20" t="str">
        <x:v>P029</x:v>
      </x:c>
      <x:c r="G248" s="20" t="str">
        <x:v>U038</x:v>
      </x:c>
      <x:c r="H248" s="20" t="str">
        <x:v>L044</x:v>
      </x:c>
      <x:c r="I248" s="20" t="str">
        <x:v>Keira Adams</x:v>
      </x:c>
      <x:c r="J248" s="35" t="str">
        <x:v>System scheduled charge</x:v>
      </x:c>
      <x:c r="K248" s="20" t="str"/>
      <x:c r="L248" s="20" t="str">
        <x:v>RENT-202703-L044</x:v>
      </x:c>
      <x:c r="M248" s="26" t="n">
        <x:v>712.9</x:v>
      </x:c>
      <x:c r="N248" s="26" t="n">
        <x:v>712.9</x:v>
      </x:c>
      <x:c r="O248" s="26" t="n">
        <x:v>0</x:v>
      </x:c>
      <x:c r="P248" s="26" t="n">
        <x:v>0</x:v>
      </x:c>
      <x:c r="Q248" s="26" t="n">
        <x:v>0</x:v>
      </x:c>
      <x:c r="R248" s="26" t="n">
        <x:v>0</x:v>
      </x:c>
      <x:c r="S248" s="26" t="n">
        <x:v>0</x:v>
      </x:c>
      <x:c r="T248" s="26" t="n">
        <x:v>712.9</x:v>
      </x:c>
      <x:c r="U248" s="26" t="n">
        <x:v>0</x:v>
      </x:c>
      <x:c r="V248" s="26" t="n">
        <x:v>0</x:v>
      </x:c>
      <x:c r="W248" s="26" t="n">
        <x:v>0</x:v>
      </x:c>
      <x:c r="X248" s="26" t="n">
        <x:v>0</x:v>
      </x:c>
      <x:c r="Y248" s="26" t="n">
        <x:v>0</x:v>
      </x:c>
      <x:c r="Z248" s="35" t="str">
        <x:v>March 2027 rent</x:v>
      </x:c>
    </x:row>
    <x:row r="249">
      <x:c r="A249" s="20" t="str">
        <x:v>FIN-00246</x:v>
      </x:c>
      <x:c r="B249" s="23" t="n">
        <x:v>46449</x:v>
      </x:c>
      <x:c r="C249" s="23" t="n">
        <x:v>46449</x:v>
      </x:c>
      <x:c r="D249" s="20" t="str">
        <x:v>TenantReceipt</x:v>
      </x:c>
      <x:c r="E249" s="20" t="str">
        <x:v>Rent receipt</x:v>
      </x:c>
      <x:c r="F249" s="20" t="str">
        <x:v>P029</x:v>
      </x:c>
      <x:c r="G249" s="20" t="str">
        <x:v>U038</x:v>
      </x:c>
      <x:c r="H249" s="20" t="str">
        <x:v>L044</x:v>
      </x:c>
      <x:c r="I249" s="20" t="str">
        <x:v>Keira Adams</x:v>
      </x:c>
      <x:c r="J249" s="35" t="str">
        <x:v>Scanned check</x:v>
      </x:c>
      <x:c r="K249" s="20" t="str">
        <x:v>SCN-0148</x:v>
      </x:c>
      <x:c r="L249" s="20" t="str">
        <x:v>PMT-20270303-L044-A</x:v>
      </x:c>
      <x:c r="M249" s="26" t="n">
        <x:v>427.74</x:v>
      </x:c>
      <x:c r="N249" s="26" t="n">
        <x:v>-427.74</x:v>
      </x:c>
      <x:c r="O249" s="26" t="n">
        <x:v>427.74</x:v>
      </x:c>
      <x:c r="P249" s="26" t="n">
        <x:v>0</x:v>
      </x:c>
      <x:c r="Q249" s="26" t="n">
        <x:v>0</x:v>
      </x:c>
      <x:c r="R249" s="26" t="n">
        <x:v>0</x:v>
      </x:c>
      <x:c r="S249" s="26" t="n">
        <x:v>0</x:v>
      </x:c>
      <x:c r="T249" s="26" t="n">
        <x:v>0</x:v>
      </x:c>
      <x:c r="U249" s="26" t="n">
        <x:v>0</x:v>
      </x:c>
      <x:c r="V249" s="26" t="n">
        <x:v>0</x:v>
      </x:c>
      <x:c r="W249" s="26" t="n">
        <x:v>0</x:v>
      </x:c>
      <x:c r="X249" s="26" t="n">
        <x:v>0</x:v>
      </x:c>
      <x:c r="Y249" s="26" t="n">
        <x:v>0</x:v>
      </x:c>
      <x:c r="Z249" s="35" t="str">
        <x:v>Receipt allocated to FIN-00245</x:v>
      </x:c>
    </x:row>
    <x:row r="250">
      <x:c r="A250" s="20" t="str">
        <x:v>FIN-00247</x:v>
      </x:c>
      <x:c r="B250" s="23" t="n">
        <x:v>46452</x:v>
      </x:c>
      <x:c r="C250" s="23" t="n">
        <x:v>46452</x:v>
      </x:c>
      <x:c r="D250" s="20" t="str">
        <x:v>TenantCharge</x:v>
      </x:c>
      <x:c r="E250" s="20" t="str">
        <x:v>Late fee</x:v>
      </x:c>
      <x:c r="F250" s="20" t="str">
        <x:v>P029</x:v>
      </x:c>
      <x:c r="G250" s="20" t="str">
        <x:v>U038</x:v>
      </x:c>
      <x:c r="H250" s="20" t="str">
        <x:v>L044</x:v>
      </x:c>
      <x:c r="I250" s="20" t="str">
        <x:v>Keira Adams</x:v>
      </x:c>
      <x:c r="J250" s="35" t="str">
        <x:v>System automation</x:v>
      </x:c>
      <x:c r="K250" s="20" t="str"/>
      <x:c r="L250" s="20" t="str">
        <x:v>LATE-202703-L044</x:v>
      </x:c>
      <x:c r="M250" s="26" t="n">
        <x:v>50</x:v>
      </x:c>
      <x:c r="N250" s="26" t="n">
        <x:v>50</x:v>
      </x:c>
      <x:c r="O250" s="26" t="n">
        <x:v>0</x:v>
      </x:c>
      <x:c r="P250" s="26" t="n">
        <x:v>0</x:v>
      </x:c>
      <x:c r="Q250" s="26" t="n">
        <x:v>0</x:v>
      </x:c>
      <x:c r="R250" s="26" t="n">
        <x:v>0</x:v>
      </x:c>
      <x:c r="S250" s="26" t="n">
        <x:v>0</x:v>
      </x:c>
      <x:c r="T250" s="26" t="n">
        <x:v>50</x:v>
      </x:c>
      <x:c r="U250" s="26" t="n">
        <x:v>0</x:v>
      </x:c>
      <x:c r="V250" s="26" t="n">
        <x:v>0</x:v>
      </x:c>
      <x:c r="W250" s="26" t="n">
        <x:v>0</x:v>
      </x:c>
      <x:c r="X250" s="26" t="n">
        <x:v>0</x:v>
      </x:c>
      <x:c r="Y250" s="26" t="n">
        <x:v>0</x:v>
      </x:c>
      <x:c r="Z250" s="35" t="str">
        <x:v>Synthetic lease-authorized late fee after partial payment</x:v>
      </x:c>
    </x:row>
    <x:row r="251">
      <x:c r="A251" s="20" t="str">
        <x:v>FIN-00248</x:v>
      </x:c>
      <x:c r="B251" s="23" t="n">
        <x:v>46458</x:v>
      </x:c>
      <x:c r="C251" s="23" t="n">
        <x:v>46458</x:v>
      </x:c>
      <x:c r="D251" s="20" t="str">
        <x:v>TenantReceipt</x:v>
      </x:c>
      <x:c r="E251" s="20" t="str">
        <x:v>Rent receipt</x:v>
      </x:c>
      <x:c r="F251" s="20" t="str">
        <x:v>P029</x:v>
      </x:c>
      <x:c r="G251" s="20" t="str">
        <x:v>U038</x:v>
      </x:c>
      <x:c r="H251" s="20" t="str">
        <x:v>L044</x:v>
      </x:c>
      <x:c r="I251" s="20" t="str">
        <x:v>Keira Adams</x:v>
      </x:c>
      <x:c r="J251" s="35" t="str">
        <x:v>Manual ACH</x:v>
      </x:c>
      <x:c r="K251" s="20" t="str"/>
      <x:c r="L251" s="20" t="str">
        <x:v>PMT-20270312-L044-B</x:v>
      </x:c>
      <x:c r="M251" s="26" t="n">
        <x:v>335.16</x:v>
      </x:c>
      <x:c r="N251" s="26" t="n">
        <x:v>-335.16</x:v>
      </x:c>
      <x:c r="O251" s="26" t="n">
        <x:v>335.16</x:v>
      </x:c>
      <x:c r="P251" s="26" t="n">
        <x:v>0</x:v>
      </x:c>
      <x:c r="Q251" s="26" t="n">
        <x:v>0</x:v>
      </x:c>
      <x:c r="R251" s="26" t="n">
        <x:v>0</x:v>
      </x:c>
      <x:c r="S251" s="26" t="n">
        <x:v>0</x:v>
      </x:c>
      <x:c r="T251" s="26" t="n">
        <x:v>0</x:v>
      </x:c>
      <x:c r="U251" s="26" t="n">
        <x:v>0</x:v>
      </x:c>
      <x:c r="V251" s="26" t="n">
        <x:v>0</x:v>
      </x:c>
      <x:c r="W251" s="26" t="n">
        <x:v>0</x:v>
      </x:c>
      <x:c r="X251" s="26" t="n">
        <x:v>0</x:v>
      </x:c>
      <x:c r="Y251" s="26" t="n">
        <x:v>0</x:v>
      </x:c>
      <x:c r="Z251" s="35" t="str">
        <x:v>Receipt allocated to FIN-00247</x:v>
      </x:c>
    </x:row>
    <x:row r="252">
      <x:c r="A252" s="20" t="str">
        <x:v>FIN-00249</x:v>
      </x:c>
      <x:c r="B252" s="23" t="n">
        <x:v>46478</x:v>
      </x:c>
      <x:c r="C252" s="23" t="n">
        <x:v>46478</x:v>
      </x:c>
      <x:c r="D252" s="20" t="str">
        <x:v>TenantCharge</x:v>
      </x:c>
      <x:c r="E252" s="20" t="str">
        <x:v>Rent</x:v>
      </x:c>
      <x:c r="F252" s="20" t="str">
        <x:v>P001</x:v>
      </x:c>
      <x:c r="G252" s="20" t="str">
        <x:v>U001</x:v>
      </x:c>
      <x:c r="H252" s="20" t="str">
        <x:v>L001</x:v>
      </x:c>
      <x:c r="I252" s="20" t="str">
        <x:v>Dana Garcia</x:v>
      </x:c>
      <x:c r="J252" s="35" t="str">
        <x:v>System scheduled charge</x:v>
      </x:c>
      <x:c r="K252" s="20" t="str"/>
      <x:c r="L252" s="20" t="str">
        <x:v>RENT-202704-L001</x:v>
      </x:c>
      <x:c r="M252" s="26" t="n">
        <x:v>1575</x:v>
      </x:c>
      <x:c r="N252" s="26" t="n">
        <x:v>1575</x:v>
      </x:c>
      <x:c r="O252" s="26" t="n">
        <x:v>0</x:v>
      </x:c>
      <x:c r="P252" s="26" t="n">
        <x:v>0</x:v>
      </x:c>
      <x:c r="Q252" s="26" t="n">
        <x:v>0</x:v>
      </x:c>
      <x:c r="R252" s="26" t="n">
        <x:v>0</x:v>
      </x:c>
      <x:c r="S252" s="26" t="n">
        <x:v>0</x:v>
      </x:c>
      <x:c r="T252" s="26" t="n">
        <x:v>1575</x:v>
      </x:c>
      <x:c r="U252" s="26" t="n">
        <x:v>0</x:v>
      </x:c>
      <x:c r="V252" s="26" t="n">
        <x:v>0</x:v>
      </x:c>
      <x:c r="W252" s="26" t="n">
        <x:v>0</x:v>
      </x:c>
      <x:c r="X252" s="26" t="n">
        <x:v>0</x:v>
      </x:c>
      <x:c r="Y252" s="26" t="n">
        <x:v>0</x:v>
      </x:c>
      <x:c r="Z252" s="35" t="str">
        <x:v>April 2027 rent</x:v>
      </x:c>
    </x:row>
    <x:row r="253">
      <x:c r="A253" s="20" t="str">
        <x:v>FIN-00250</x:v>
      </x:c>
      <x:c r="B253" s="23" t="n">
        <x:v>46481</x:v>
      </x:c>
      <x:c r="C253" s="23" t="n">
        <x:v>46481</x:v>
      </x:c>
      <x:c r="D253" s="20" t="str">
        <x:v>TenantReceipt</x:v>
      </x:c>
      <x:c r="E253" s="20" t="str">
        <x:v>Rent receipt</x:v>
      </x:c>
      <x:c r="F253" s="20" t="str">
        <x:v>P001</x:v>
      </x:c>
      <x:c r="G253" s="20" t="str">
        <x:v>U001</x:v>
      </x:c>
      <x:c r="H253" s="20" t="str">
        <x:v>L001</x:v>
      </x:c>
      <x:c r="I253" s="20" t="str">
        <x:v>Dana Garcia</x:v>
      </x:c>
      <x:c r="J253" s="35" t="str">
        <x:v>Scanned money order</x:v>
      </x:c>
      <x:c r="K253" s="20" t="str">
        <x:v>SCN-0149</x:v>
      </x:c>
      <x:c r="L253" s="20" t="str">
        <x:v>PMT-20270404-L001</x:v>
      </x:c>
      <x:c r="M253" s="26" t="n">
        <x:v>1575</x:v>
      </x:c>
      <x:c r="N253" s="26" t="n">
        <x:v>-1575</x:v>
      </x:c>
      <x:c r="O253" s="26" t="n">
        <x:v>1575</x:v>
      </x:c>
      <x:c r="P253" s="26" t="n">
        <x:v>0</x:v>
      </x:c>
      <x:c r="Q253" s="26" t="n">
        <x:v>0</x:v>
      </x:c>
      <x:c r="R253" s="26" t="n">
        <x:v>0</x:v>
      </x:c>
      <x:c r="S253" s="26" t="n">
        <x:v>0</x:v>
      </x:c>
      <x:c r="T253" s="26" t="n">
        <x:v>0</x:v>
      </x:c>
      <x:c r="U253" s="26" t="n">
        <x:v>0</x:v>
      </x:c>
      <x:c r="V253" s="26" t="n">
        <x:v>0</x:v>
      </x:c>
      <x:c r="W253" s="26" t="n">
        <x:v>0</x:v>
      </x:c>
      <x:c r="X253" s="26" t="n">
        <x:v>0</x:v>
      </x:c>
      <x:c r="Y253" s="26" t="n">
        <x:v>0</x:v>
      </x:c>
      <x:c r="Z253" s="35" t="str">
        <x:v>Receipt allocated to FIN-00249</x:v>
      </x:c>
    </x:row>
    <x:row r="254">
      <x:c r="A254" s="20" t="str">
        <x:v>FIN-00251</x:v>
      </x:c>
      <x:c r="B254" s="23" t="n">
        <x:v>46478</x:v>
      </x:c>
      <x:c r="C254" s="23" t="n">
        <x:v>46478</x:v>
      </x:c>
      <x:c r="D254" s="20" t="str">
        <x:v>TenantCharge</x:v>
      </x:c>
      <x:c r="E254" s="20" t="str">
        <x:v>Rent</x:v>
      </x:c>
      <x:c r="F254" s="20" t="str">
        <x:v>P002</x:v>
      </x:c>
      <x:c r="G254" s="20" t="str">
        <x:v>U002</x:v>
      </x:c>
      <x:c r="H254" s="20" t="str">
        <x:v>L002</x:v>
      </x:c>
      <x:c r="I254" s="20" t="str">
        <x:v>Gray Lewis</x:v>
      </x:c>
      <x:c r="J254" s="35" t="str">
        <x:v>System scheduled charge</x:v>
      </x:c>
      <x:c r="K254" s="20" t="str"/>
      <x:c r="L254" s="20" t="str">
        <x:v>RENT-202704-L002</x:v>
      </x:c>
      <x:c r="M254" s="26" t="n">
        <x:v>1200</x:v>
      </x:c>
      <x:c r="N254" s="26" t="n">
        <x:v>1200</x:v>
      </x:c>
      <x:c r="O254" s="26" t="n">
        <x:v>0</x:v>
      </x:c>
      <x:c r="P254" s="26" t="n">
        <x:v>0</x:v>
      </x:c>
      <x:c r="Q254" s="26" t="n">
        <x:v>0</x:v>
      </x:c>
      <x:c r="R254" s="26" t="n">
        <x:v>0</x:v>
      </x:c>
      <x:c r="S254" s="26" t="n">
        <x:v>0</x:v>
      </x:c>
      <x:c r="T254" s="26" t="n">
        <x:v>1200</x:v>
      </x:c>
      <x:c r="U254" s="26" t="n">
        <x:v>0</x:v>
      </x:c>
      <x:c r="V254" s="26" t="n">
        <x:v>0</x:v>
      </x:c>
      <x:c r="W254" s="26" t="n">
        <x:v>0</x:v>
      </x:c>
      <x:c r="X254" s="26" t="n">
        <x:v>0</x:v>
      </x:c>
      <x:c r="Y254" s="26" t="n">
        <x:v>0</x:v>
      </x:c>
      <x:c r="Z254" s="35" t="str">
        <x:v>April 2027 rent</x:v>
      </x:c>
    </x:row>
    <x:row r="255">
      <x:c r="A255" s="20" t="str">
        <x:v>FIN-00252</x:v>
      </x:c>
      <x:c r="B255" s="23" t="n">
        <x:v>46482</x:v>
      </x:c>
      <x:c r="C255" s="23" t="n">
        <x:v>46482</x:v>
      </x:c>
      <x:c r="D255" s="20" t="str">
        <x:v>TenantReceipt</x:v>
      </x:c>
      <x:c r="E255" s="20" t="str">
        <x:v>Rent receipt</x:v>
      </x:c>
      <x:c r="F255" s="20" t="str">
        <x:v>P002</x:v>
      </x:c>
      <x:c r="G255" s="20" t="str">
        <x:v>U002</x:v>
      </x:c>
      <x:c r="H255" s="20" t="str">
        <x:v>L002</x:v>
      </x:c>
      <x:c r="I255" s="20" t="str">
        <x:v>Gray Lewis</x:v>
      </x:c>
      <x:c r="J255" s="35" t="str">
        <x:v>Manual ACH</x:v>
      </x:c>
      <x:c r="K255" s="20" t="str"/>
      <x:c r="L255" s="20" t="str">
        <x:v>PMT-20270405-L002</x:v>
      </x:c>
      <x:c r="M255" s="26" t="n">
        <x:v>1200</x:v>
      </x:c>
      <x:c r="N255" s="26" t="n">
        <x:v>-1200</x:v>
      </x:c>
      <x:c r="O255" s="26" t="n">
        <x:v>1200</x:v>
      </x:c>
      <x:c r="P255" s="26" t="n">
        <x:v>0</x:v>
      </x:c>
      <x:c r="Q255" s="26" t="n">
        <x:v>0</x:v>
      </x:c>
      <x:c r="R255" s="26" t="n">
        <x:v>0</x:v>
      </x:c>
      <x:c r="S255" s="26" t="n">
        <x:v>0</x:v>
      </x:c>
      <x:c r="T255" s="26" t="n">
        <x:v>0</x:v>
      </x:c>
      <x:c r="U255" s="26" t="n">
        <x:v>0</x:v>
      </x:c>
      <x:c r="V255" s="26" t="n">
        <x:v>0</x:v>
      </x:c>
      <x:c r="W255" s="26" t="n">
        <x:v>0</x:v>
      </x:c>
      <x:c r="X255" s="26" t="n">
        <x:v>0</x:v>
      </x:c>
      <x:c r="Y255" s="26" t="n">
        <x:v>0</x:v>
      </x:c>
      <x:c r="Z255" s="35" t="str">
        <x:v>Receipt allocated to FIN-00251</x:v>
      </x:c>
    </x:row>
    <x:row r="256">
      <x:c r="A256" s="20" t="str">
        <x:v>FIN-00253</x:v>
      </x:c>
      <x:c r="B256" s="23" t="n">
        <x:v>46478</x:v>
      </x:c>
      <x:c r="C256" s="23" t="n">
        <x:v>46478</x:v>
      </x:c>
      <x:c r="D256" s="20" t="str">
        <x:v>TenantCharge</x:v>
      </x:c>
      <x:c r="E256" s="20" t="str">
        <x:v>Rent</x:v>
      </x:c>
      <x:c r="F256" s="20" t="str">
        <x:v>P003</x:v>
      </x:c>
      <x:c r="G256" s="20" t="str">
        <x:v>U003</x:v>
      </x:c>
      <x:c r="H256" s="20" t="str">
        <x:v>L003</x:v>
      </x:c>
      <x:c r="I256" s="20" t="str">
        <x:v>Jordan Reed</x:v>
      </x:c>
      <x:c r="J256" s="35" t="str">
        <x:v>System scheduled charge</x:v>
      </x:c>
      <x:c r="K256" s="20" t="str"/>
      <x:c r="L256" s="20" t="str">
        <x:v>RENT-202704-L003</x:v>
      </x:c>
      <x:c r="M256" s="26" t="n">
        <x:v>1725</x:v>
      </x:c>
      <x:c r="N256" s="26" t="n">
        <x:v>1725</x:v>
      </x:c>
      <x:c r="O256" s="26" t="n">
        <x:v>0</x:v>
      </x:c>
      <x:c r="P256" s="26" t="n">
        <x:v>0</x:v>
      </x:c>
      <x:c r="Q256" s="26" t="n">
        <x:v>0</x:v>
      </x:c>
      <x:c r="R256" s="26" t="n">
        <x:v>0</x:v>
      </x:c>
      <x:c r="S256" s="26" t="n">
        <x:v>0</x:v>
      </x:c>
      <x:c r="T256" s="26" t="n">
        <x:v>1725</x:v>
      </x:c>
      <x:c r="U256" s="26" t="n">
        <x:v>0</x:v>
      </x:c>
      <x:c r="V256" s="26" t="n">
        <x:v>0</x:v>
      </x:c>
      <x:c r="W256" s="26" t="n">
        <x:v>0</x:v>
      </x:c>
      <x:c r="X256" s="26" t="n">
        <x:v>0</x:v>
      </x:c>
      <x:c r="Y256" s="26" t="n">
        <x:v>0</x:v>
      </x:c>
      <x:c r="Z256" s="35" t="str">
        <x:v>April 2027 rent</x:v>
      </x:c>
    </x:row>
    <x:row r="257">
      <x:c r="A257" s="20" t="str">
        <x:v>FIN-00254</x:v>
      </x:c>
      <x:c r="B257" s="23" t="n">
        <x:v>46480</x:v>
      </x:c>
      <x:c r="C257" s="23" t="n">
        <x:v>46480</x:v>
      </x:c>
      <x:c r="D257" s="20" t="str">
        <x:v>TenantReceipt</x:v>
      </x:c>
      <x:c r="E257" s="20" t="str">
        <x:v>Rent receipt</x:v>
      </x:c>
      <x:c r="F257" s="20" t="str">
        <x:v>P003</x:v>
      </x:c>
      <x:c r="G257" s="20" t="str">
        <x:v>U003</x:v>
      </x:c>
      <x:c r="H257" s="20" t="str">
        <x:v>L003</x:v>
      </x:c>
      <x:c r="I257" s="20" t="str">
        <x:v>Jordan Reed</x:v>
      </x:c>
      <x:c r="J257" s="35" t="str">
        <x:v>Portal card</x:v>
      </x:c>
      <x:c r="K257" s="20" t="str"/>
      <x:c r="L257" s="20" t="str">
        <x:v>PMT-20270403-L003</x:v>
      </x:c>
      <x:c r="M257" s="26" t="n">
        <x:v>1725</x:v>
      </x:c>
      <x:c r="N257" s="26" t="n">
        <x:v>-1725</x:v>
      </x:c>
      <x:c r="O257" s="26" t="n">
        <x:v>1725</x:v>
      </x:c>
      <x:c r="P257" s="26" t="n">
        <x:v>0</x:v>
      </x:c>
      <x:c r="Q257" s="26" t="n">
        <x:v>0</x:v>
      </x:c>
      <x:c r="R257" s="26" t="n">
        <x:v>0</x:v>
      </x:c>
      <x:c r="S257" s="26" t="n">
        <x:v>0</x:v>
      </x:c>
      <x:c r="T257" s="26" t="n">
        <x:v>0</x:v>
      </x:c>
      <x:c r="U257" s="26" t="n">
        <x:v>0</x:v>
      </x:c>
      <x:c r="V257" s="26" t="n">
        <x:v>0</x:v>
      </x:c>
      <x:c r="W257" s="26" t="n">
        <x:v>0</x:v>
      </x:c>
      <x:c r="X257" s="26" t="n">
        <x:v>0</x:v>
      </x:c>
      <x:c r="Y257" s="26" t="n">
        <x:v>0</x:v>
      </x:c>
      <x:c r="Z257" s="35" t="str">
        <x:v>Receipt allocated to FIN-00253</x:v>
      </x:c>
    </x:row>
    <x:row r="258">
      <x:c r="A258" s="20" t="str">
        <x:v>FIN-00255</x:v>
      </x:c>
      <x:c r="B258" s="23" t="n">
        <x:v>46478</x:v>
      </x:c>
      <x:c r="C258" s="23" t="n">
        <x:v>46478</x:v>
      </x:c>
      <x:c r="D258" s="20" t="str">
        <x:v>TenantCharge</x:v>
      </x:c>
      <x:c r="E258" s="20" t="str">
        <x:v>Rent</x:v>
      </x:c>
      <x:c r="F258" s="20" t="str">
        <x:v>P004</x:v>
      </x:c>
      <x:c r="G258" s="20" t="str">
        <x:v>U004</x:v>
      </x:c>
      <x:c r="H258" s="20" t="str">
        <x:v>L004</x:v>
      </x:c>
      <x:c r="I258" s="20" t="str">
        <x:v>Morgan Adams</x:v>
      </x:c>
      <x:c r="J258" s="35" t="str">
        <x:v>System scheduled charge</x:v>
      </x:c>
      <x:c r="K258" s="20" t="str"/>
      <x:c r="L258" s="20" t="str">
        <x:v>RENT-202704-L004</x:v>
      </x:c>
      <x:c r="M258" s="26" t="n">
        <x:v>1350</x:v>
      </x:c>
      <x:c r="N258" s="26" t="n">
        <x:v>1350</x:v>
      </x:c>
      <x:c r="O258" s="26" t="n">
        <x:v>0</x:v>
      </x:c>
      <x:c r="P258" s="26" t="n">
        <x:v>0</x:v>
      </x:c>
      <x:c r="Q258" s="26" t="n">
        <x:v>0</x:v>
      </x:c>
      <x:c r="R258" s="26" t="n">
        <x:v>0</x:v>
      </x:c>
      <x:c r="S258" s="26" t="n">
        <x:v>0</x:v>
      </x:c>
      <x:c r="T258" s="26" t="n">
        <x:v>1350</x:v>
      </x:c>
      <x:c r="U258" s="26" t="n">
        <x:v>0</x:v>
      </x:c>
      <x:c r="V258" s="26" t="n">
        <x:v>0</x:v>
      </x:c>
      <x:c r="W258" s="26" t="n">
        <x:v>0</x:v>
      </x:c>
      <x:c r="X258" s="26" t="n">
        <x:v>0</x:v>
      </x:c>
      <x:c r="Y258" s="26" t="n">
        <x:v>0</x:v>
      </x:c>
      <x:c r="Z258" s="35" t="str">
        <x:v>April 2027 rent</x:v>
      </x:c>
    </x:row>
    <x:row r="259">
      <x:c r="A259" s="20" t="str">
        <x:v>FIN-00256</x:v>
      </x:c>
      <x:c r="B259" s="23" t="n">
        <x:v>46481</x:v>
      </x:c>
      <x:c r="C259" s="23" t="n">
        <x:v>46481</x:v>
      </x:c>
      <x:c r="D259" s="20" t="str">
        <x:v>TenantReceipt</x:v>
      </x:c>
      <x:c r="E259" s="20" t="str">
        <x:v>Rent receipt</x:v>
      </x:c>
      <x:c r="F259" s="20" t="str">
        <x:v>P004</x:v>
      </x:c>
      <x:c r="G259" s="20" t="str">
        <x:v>U004</x:v>
      </x:c>
      <x:c r="H259" s="20" t="str">
        <x:v>L004</x:v>
      </x:c>
      <x:c r="I259" s="20" t="str">
        <x:v>Morgan Adams</x:v>
      </x:c>
      <x:c r="J259" s="35" t="str">
        <x:v>Scanned check</x:v>
      </x:c>
      <x:c r="K259" s="20" t="str">
        <x:v>SCN-0150</x:v>
      </x:c>
      <x:c r="L259" s="20" t="str">
        <x:v>PMT-20270404-L004</x:v>
      </x:c>
      <x:c r="M259" s="26" t="n">
        <x:v>1350</x:v>
      </x:c>
      <x:c r="N259" s="26" t="n">
        <x:v>-1350</x:v>
      </x:c>
      <x:c r="O259" s="26" t="n">
        <x:v>1350</x:v>
      </x:c>
      <x:c r="P259" s="26" t="n">
        <x:v>0</x:v>
      </x:c>
      <x:c r="Q259" s="26" t="n">
        <x:v>0</x:v>
      </x:c>
      <x:c r="R259" s="26" t="n">
        <x:v>0</x:v>
      </x:c>
      <x:c r="S259" s="26" t="n">
        <x:v>0</x:v>
      </x:c>
      <x:c r="T259" s="26" t="n">
        <x:v>0</x:v>
      </x:c>
      <x:c r="U259" s="26" t="n">
        <x:v>0</x:v>
      </x:c>
      <x:c r="V259" s="26" t="n">
        <x:v>0</x:v>
      </x:c>
      <x:c r="W259" s="26" t="n">
        <x:v>0</x:v>
      </x:c>
      <x:c r="X259" s="26" t="n">
        <x:v>0</x:v>
      </x:c>
      <x:c r="Y259" s="26" t="n">
        <x:v>0</x:v>
      </x:c>
      <x:c r="Z259" s="35" t="str">
        <x:v>Receipt allocated to FIN-00255</x:v>
      </x:c>
    </x:row>
    <x:row r="260">
      <x:c r="A260" s="20" t="str">
        <x:v>FIN-00257</x:v>
      </x:c>
      <x:c r="B260" s="23" t="n">
        <x:v>46478</x:v>
      </x:c>
      <x:c r="C260" s="23" t="n">
        <x:v>46478</x:v>
      </x:c>
      <x:c r="D260" s="20" t="str">
        <x:v>TenantCharge</x:v>
      </x:c>
      <x:c r="E260" s="20" t="str">
        <x:v>Rent</x:v>
      </x:c>
      <x:c r="F260" s="20" t="str">
        <x:v>P006</x:v>
      </x:c>
      <x:c r="G260" s="20" t="str">
        <x:v>U006</x:v>
      </x:c>
      <x:c r="H260" s="20" t="str">
        <x:v>L006</x:v>
      </x:c>
      <x:c r="I260" s="20" t="str">
        <x:v>Sage King</x:v>
      </x:c>
      <x:c r="J260" s="35" t="str">
        <x:v>System scheduled charge</x:v>
      </x:c>
      <x:c r="K260" s="20" t="str"/>
      <x:c r="L260" s="20" t="str">
        <x:v>RENT-202704-L006</x:v>
      </x:c>
      <x:c r="M260" s="26" t="n">
        <x:v>1500</x:v>
      </x:c>
      <x:c r="N260" s="26" t="n">
        <x:v>1500</x:v>
      </x:c>
      <x:c r="O260" s="26" t="n">
        <x:v>0</x:v>
      </x:c>
      <x:c r="P260" s="26" t="n">
        <x:v>0</x:v>
      </x:c>
      <x:c r="Q260" s="26" t="n">
        <x:v>0</x:v>
      </x:c>
      <x:c r="R260" s="26" t="n">
        <x:v>0</x:v>
      </x:c>
      <x:c r="S260" s="26" t="n">
        <x:v>0</x:v>
      </x:c>
      <x:c r="T260" s="26" t="n">
        <x:v>1500</x:v>
      </x:c>
      <x:c r="U260" s="26" t="n">
        <x:v>0</x:v>
      </x:c>
      <x:c r="V260" s="26" t="n">
        <x:v>0</x:v>
      </x:c>
      <x:c r="W260" s="26" t="n">
        <x:v>0</x:v>
      </x:c>
      <x:c r="X260" s="26" t="n">
        <x:v>0</x:v>
      </x:c>
      <x:c r="Y260" s="26" t="n">
        <x:v>0</x:v>
      </x:c>
      <x:c r="Z260" s="35" t="str">
        <x:v>April 2027 rent</x:v>
      </x:c>
    </x:row>
    <x:row r="261">
      <x:c r="A261" s="20" t="str">
        <x:v>FIN-00258</x:v>
      </x:c>
      <x:c r="B261" s="23" t="n">
        <x:v>46480</x:v>
      </x:c>
      <x:c r="C261" s="23" t="n">
        <x:v>46480</x:v>
      </x:c>
      <x:c r="D261" s="20" t="str">
        <x:v>TenantReceipt</x:v>
      </x:c>
      <x:c r="E261" s="20" t="str">
        <x:v>Rent receipt</x:v>
      </x:c>
      <x:c r="F261" s="20" t="str">
        <x:v>P006</x:v>
      </x:c>
      <x:c r="G261" s="20" t="str">
        <x:v>U006</x:v>
      </x:c>
      <x:c r="H261" s="20" t="str">
        <x:v>L006</x:v>
      </x:c>
      <x:c r="I261" s="20" t="str">
        <x:v>Sage King</x:v>
      </x:c>
      <x:c r="J261" s="35" t="str">
        <x:v>Manual ACH</x:v>
      </x:c>
      <x:c r="K261" s="20" t="str"/>
      <x:c r="L261" s="20" t="str">
        <x:v>PMT-20270403-L006</x:v>
      </x:c>
      <x:c r="M261" s="26" t="n">
        <x:v>1500</x:v>
      </x:c>
      <x:c r="N261" s="26" t="n">
        <x:v>-1500</x:v>
      </x:c>
      <x:c r="O261" s="26" t="n">
        <x:v>1500</x:v>
      </x:c>
      <x:c r="P261" s="26" t="n">
        <x:v>0</x:v>
      </x:c>
      <x:c r="Q261" s="26" t="n">
        <x:v>0</x:v>
      </x:c>
      <x:c r="R261" s="26" t="n">
        <x:v>0</x:v>
      </x:c>
      <x:c r="S261" s="26" t="n">
        <x:v>0</x:v>
      </x:c>
      <x:c r="T261" s="26" t="n">
        <x:v>0</x:v>
      </x:c>
      <x:c r="U261" s="26" t="n">
        <x:v>0</x:v>
      </x:c>
      <x:c r="V261" s="26" t="n">
        <x:v>0</x:v>
      </x:c>
      <x:c r="W261" s="26" t="n">
        <x:v>0</x:v>
      </x:c>
      <x:c r="X261" s="26" t="n">
        <x:v>0</x:v>
      </x:c>
      <x:c r="Y261" s="26" t="n">
        <x:v>0</x:v>
      </x:c>
      <x:c r="Z261" s="35" t="str">
        <x:v>Receipt allocated to FIN-00257</x:v>
      </x:c>
    </x:row>
    <x:row r="262">
      <x:c r="A262" s="20" t="str">
        <x:v>FIN-00259</x:v>
      </x:c>
      <x:c r="B262" s="23" t="n">
        <x:v>46478</x:v>
      </x:c>
      <x:c r="C262" s="23" t="n">
        <x:v>46478</x:v>
      </x:c>
      <x:c r="D262" s="20" t="str">
        <x:v>TenantCharge</x:v>
      </x:c>
      <x:c r="E262" s="20" t="str">
        <x:v>Rent</x:v>
      </x:c>
      <x:c r="F262" s="20" t="str">
        <x:v>P007</x:v>
      </x:c>
      <x:c r="G262" s="20" t="str">
        <x:v>U007</x:v>
      </x:c>
      <x:c r="H262" s="20" t="str">
        <x:v>L007</x:v>
      </x:c>
      <x:c r="I262" s="20" t="str">
        <x:v>Val Price</x:v>
      </x:c>
      <x:c r="J262" s="35" t="str">
        <x:v>System scheduled charge</x:v>
      </x:c>
      <x:c r="K262" s="20" t="str"/>
      <x:c r="L262" s="20" t="str">
        <x:v>RENT-202704-L007</x:v>
      </x:c>
      <x:c r="M262" s="26" t="n">
        <x:v>1125</x:v>
      </x:c>
      <x:c r="N262" s="26" t="n">
        <x:v>1125</x:v>
      </x:c>
      <x:c r="O262" s="26" t="n">
        <x:v>0</x:v>
      </x:c>
      <x:c r="P262" s="26" t="n">
        <x:v>0</x:v>
      </x:c>
      <x:c r="Q262" s="26" t="n">
        <x:v>0</x:v>
      </x:c>
      <x:c r="R262" s="26" t="n">
        <x:v>0</x:v>
      </x:c>
      <x:c r="S262" s="26" t="n">
        <x:v>0</x:v>
      </x:c>
      <x:c r="T262" s="26" t="n">
        <x:v>1125</x:v>
      </x:c>
      <x:c r="U262" s="26" t="n">
        <x:v>0</x:v>
      </x:c>
      <x:c r="V262" s="26" t="n">
        <x:v>0</x:v>
      </x:c>
      <x:c r="W262" s="26" t="n">
        <x:v>0</x:v>
      </x:c>
      <x:c r="X262" s="26" t="n">
        <x:v>0</x:v>
      </x:c>
      <x:c r="Y262" s="26" t="n">
        <x:v>0</x:v>
      </x:c>
      <x:c r="Z262" s="35" t="str">
        <x:v>April 2027 rent</x:v>
      </x:c>
    </x:row>
    <x:row r="263">
      <x:c r="A263" s="20" t="str">
        <x:v>FIN-00260</x:v>
      </x:c>
      <x:c r="B263" s="23" t="n">
        <x:v>46481</x:v>
      </x:c>
      <x:c r="C263" s="23" t="n">
        <x:v>46481</x:v>
      </x:c>
      <x:c r="D263" s="20" t="str">
        <x:v>TenantReceipt</x:v>
      </x:c>
      <x:c r="E263" s="20" t="str">
        <x:v>Rent receipt</x:v>
      </x:c>
      <x:c r="F263" s="20" t="str">
        <x:v>P007</x:v>
      </x:c>
      <x:c r="G263" s="20" t="str">
        <x:v>U007</x:v>
      </x:c>
      <x:c r="H263" s="20" t="str">
        <x:v>L007</x:v>
      </x:c>
      <x:c r="I263" s="20" t="str">
        <x:v>Val Price</x:v>
      </x:c>
      <x:c r="J263" s="35" t="str">
        <x:v>Portal card</x:v>
      </x:c>
      <x:c r="K263" s="20" t="str"/>
      <x:c r="L263" s="20" t="str">
        <x:v>PMT-20270404-L007</x:v>
      </x:c>
      <x:c r="M263" s="26" t="n">
        <x:v>1125</x:v>
      </x:c>
      <x:c r="N263" s="26" t="n">
        <x:v>-1125</x:v>
      </x:c>
      <x:c r="O263" s="26" t="n">
        <x:v>1125</x:v>
      </x:c>
      <x:c r="P263" s="26" t="n">
        <x:v>0</x:v>
      </x:c>
      <x:c r="Q263" s="26" t="n">
        <x:v>0</x:v>
      </x:c>
      <x:c r="R263" s="26" t="n">
        <x:v>0</x:v>
      </x:c>
      <x:c r="S263" s="26" t="n">
        <x:v>0</x:v>
      </x:c>
      <x:c r="T263" s="26" t="n">
        <x:v>0</x:v>
      </x:c>
      <x:c r="U263" s="26" t="n">
        <x:v>0</x:v>
      </x:c>
      <x:c r="V263" s="26" t="n">
        <x:v>0</x:v>
      </x:c>
      <x:c r="W263" s="26" t="n">
        <x:v>0</x:v>
      </x:c>
      <x:c r="X263" s="26" t="n">
        <x:v>0</x:v>
      </x:c>
      <x:c r="Y263" s="26" t="n">
        <x:v>0</x:v>
      </x:c>
      <x:c r="Z263" s="35" t="str">
        <x:v>Receipt allocated to FIN-00259</x:v>
      </x:c>
    </x:row>
    <x:row r="264">
      <x:c r="A264" s="20" t="str">
        <x:v>FIN-00261</x:v>
      </x:c>
      <x:c r="B264" s="23" t="n">
        <x:v>46478</x:v>
      </x:c>
      <x:c r="C264" s="23" t="n">
        <x:v>46478</x:v>
      </x:c>
      <x:c r="D264" s="20" t="str">
        <x:v>TenantCharge</x:v>
      </x:c>
      <x:c r="E264" s="20" t="str">
        <x:v>Rent</x:v>
      </x:c>
      <x:c r="F264" s="20" t="str">
        <x:v>P008</x:v>
      </x:c>
      <x:c r="G264" s="20" t="str">
        <x:v>U008</x:v>
      </x:c>
      <x:c r="H264" s="20" t="str">
        <x:v>L008</x:v>
      </x:c>
      <x:c r="I264" s="20" t="str">
        <x:v>Yara Brooks</x:v>
      </x:c>
      <x:c r="J264" s="35" t="str">
        <x:v>System scheduled charge</x:v>
      </x:c>
      <x:c r="K264" s="20" t="str"/>
      <x:c r="L264" s="20" t="str">
        <x:v>RENT-202704-L008</x:v>
      </x:c>
      <x:c r="M264" s="26" t="n">
        <x:v>1650</x:v>
      </x:c>
      <x:c r="N264" s="26" t="n">
        <x:v>1650</x:v>
      </x:c>
      <x:c r="O264" s="26" t="n">
        <x:v>0</x:v>
      </x:c>
      <x:c r="P264" s="26" t="n">
        <x:v>0</x:v>
      </x:c>
      <x:c r="Q264" s="26" t="n">
        <x:v>0</x:v>
      </x:c>
      <x:c r="R264" s="26" t="n">
        <x:v>0</x:v>
      </x:c>
      <x:c r="S264" s="26" t="n">
        <x:v>0</x:v>
      </x:c>
      <x:c r="T264" s="26" t="n">
        <x:v>1650</x:v>
      </x:c>
      <x:c r="U264" s="26" t="n">
        <x:v>0</x:v>
      </x:c>
      <x:c r="V264" s="26" t="n">
        <x:v>0</x:v>
      </x:c>
      <x:c r="W264" s="26" t="n">
        <x:v>0</x:v>
      </x:c>
      <x:c r="X264" s="26" t="n">
        <x:v>0</x:v>
      </x:c>
      <x:c r="Y264" s="26" t="n">
        <x:v>0</x:v>
      </x:c>
      <x:c r="Z264" s="35" t="str">
        <x:v>April 2027 rent</x:v>
      </x:c>
    </x:row>
    <x:row r="265">
      <x:c r="A265" s="20" t="str">
        <x:v>FIN-00262</x:v>
      </x:c>
      <x:c r="B265" s="23" t="n">
        <x:v>46482</x:v>
      </x:c>
      <x:c r="C265" s="23" t="n">
        <x:v>46482</x:v>
      </x:c>
      <x:c r="D265" s="20" t="str">
        <x:v>TenantReceipt</x:v>
      </x:c>
      <x:c r="E265" s="20" t="str">
        <x:v>Rent receipt</x:v>
      </x:c>
      <x:c r="F265" s="20" t="str">
        <x:v>P008</x:v>
      </x:c>
      <x:c r="G265" s="20" t="str">
        <x:v>U008</x:v>
      </x:c>
      <x:c r="H265" s="20" t="str">
        <x:v>L008</x:v>
      </x:c>
      <x:c r="I265" s="20" t="str">
        <x:v>Yara Brooks</x:v>
      </x:c>
      <x:c r="J265" s="35" t="str">
        <x:v>Scanned check</x:v>
      </x:c>
      <x:c r="K265" s="20" t="str">
        <x:v>SCN-0151</x:v>
      </x:c>
      <x:c r="L265" s="20" t="str">
        <x:v>PMT-20270405-L008</x:v>
      </x:c>
      <x:c r="M265" s="26" t="n">
        <x:v>1650</x:v>
      </x:c>
      <x:c r="N265" s="26" t="n">
        <x:v>-1650</x:v>
      </x:c>
      <x:c r="O265" s="26" t="n">
        <x:v>1650</x:v>
      </x:c>
      <x:c r="P265" s="26" t="n">
        <x:v>0</x:v>
      </x:c>
      <x:c r="Q265" s="26" t="n">
        <x:v>0</x:v>
      </x:c>
      <x:c r="R265" s="26" t="n">
        <x:v>0</x:v>
      </x:c>
      <x:c r="S265" s="26" t="n">
        <x:v>0</x:v>
      </x:c>
      <x:c r="T265" s="26" t="n">
        <x:v>0</x:v>
      </x:c>
      <x:c r="U265" s="26" t="n">
        <x:v>0</x:v>
      </x:c>
      <x:c r="V265" s="26" t="n">
        <x:v>0</x:v>
      </x:c>
      <x:c r="W265" s="26" t="n">
        <x:v>0</x:v>
      </x:c>
      <x:c r="X265" s="26" t="n">
        <x:v>0</x:v>
      </x:c>
      <x:c r="Y265" s="26" t="n">
        <x:v>0</x:v>
      </x:c>
      <x:c r="Z265" s="35" t="str">
        <x:v>Receipt allocated to FIN-00261</x:v>
      </x:c>
    </x:row>
    <x:row r="266">
      <x:c r="A266" s="20" t="str">
        <x:v>FIN-00263</x:v>
      </x:c>
      <x:c r="B266" s="23" t="n">
        <x:v>46478</x:v>
      </x:c>
      <x:c r="C266" s="23" t="n">
        <x:v>46478</x:v>
      </x:c>
      <x:c r="D266" s="20" t="str">
        <x:v>TenantCharge</x:v>
      </x:c>
      <x:c r="E266" s="20" t="str">
        <x:v>Rent</x:v>
      </x:c>
      <x:c r="F266" s="20" t="str">
        <x:v>P009</x:v>
      </x:c>
      <x:c r="G266" s="20" t="str">
        <x:v>U009</x:v>
      </x:c>
      <x:c r="H266" s="20" t="str">
        <x:v>L009</x:v>
      </x:c>
      <x:c r="I266" s="20" t="str">
        <x:v>Bennett Garcia</x:v>
      </x:c>
      <x:c r="J266" s="35" t="str">
        <x:v>System scheduled charge</x:v>
      </x:c>
      <x:c r="K266" s="20" t="str"/>
      <x:c r="L266" s="20" t="str">
        <x:v>RENT-202704-L009</x:v>
      </x:c>
      <x:c r="M266" s="26" t="n">
        <x:v>1275</x:v>
      </x:c>
      <x:c r="N266" s="26" t="n">
        <x:v>1275</x:v>
      </x:c>
      <x:c r="O266" s="26" t="n">
        <x:v>0</x:v>
      </x:c>
      <x:c r="P266" s="26" t="n">
        <x:v>0</x:v>
      </x:c>
      <x:c r="Q266" s="26" t="n">
        <x:v>0</x:v>
      </x:c>
      <x:c r="R266" s="26" t="n">
        <x:v>0</x:v>
      </x:c>
      <x:c r="S266" s="26" t="n">
        <x:v>0</x:v>
      </x:c>
      <x:c r="T266" s="26" t="n">
        <x:v>1275</x:v>
      </x:c>
      <x:c r="U266" s="26" t="n">
        <x:v>0</x:v>
      </x:c>
      <x:c r="V266" s="26" t="n">
        <x:v>0</x:v>
      </x:c>
      <x:c r="W266" s="26" t="n">
        <x:v>0</x:v>
      </x:c>
      <x:c r="X266" s="26" t="n">
        <x:v>0</x:v>
      </x:c>
      <x:c r="Y266" s="26" t="n">
        <x:v>0</x:v>
      </x:c>
      <x:c r="Z266" s="35" t="str">
        <x:v>April 2027 rent</x:v>
      </x:c>
    </x:row>
    <x:row r="267">
      <x:c r="A267" s="20" t="str">
        <x:v>FIN-00264</x:v>
      </x:c>
      <x:c r="B267" s="23" t="n">
        <x:v>46480</x:v>
      </x:c>
      <x:c r="C267" s="23" t="n">
        <x:v>46480</x:v>
      </x:c>
      <x:c r="D267" s="20" t="str">
        <x:v>TenantReceipt</x:v>
      </x:c>
      <x:c r="E267" s="20" t="str">
        <x:v>Rent receipt</x:v>
      </x:c>
      <x:c r="F267" s="20" t="str">
        <x:v>P009</x:v>
      </x:c>
      <x:c r="G267" s="20" t="str">
        <x:v>U009</x:v>
      </x:c>
      <x:c r="H267" s="20" t="str">
        <x:v>L009</x:v>
      </x:c>
      <x:c r="I267" s="20" t="str">
        <x:v>Bennett Garcia</x:v>
      </x:c>
      <x:c r="J267" s="35" t="str">
        <x:v>Scanned money order</x:v>
      </x:c>
      <x:c r="K267" s="20" t="str">
        <x:v>SCN-0152</x:v>
      </x:c>
      <x:c r="L267" s="20" t="str">
        <x:v>PMT-20270403-L009</x:v>
      </x:c>
      <x:c r="M267" s="26" t="n">
        <x:v>1275</x:v>
      </x:c>
      <x:c r="N267" s="26" t="n">
        <x:v>-1275</x:v>
      </x:c>
      <x:c r="O267" s="26" t="n">
        <x:v>1275</x:v>
      </x:c>
      <x:c r="P267" s="26" t="n">
        <x:v>0</x:v>
      </x:c>
      <x:c r="Q267" s="26" t="n">
        <x:v>0</x:v>
      </x:c>
      <x:c r="R267" s="26" t="n">
        <x:v>0</x:v>
      </x:c>
      <x:c r="S267" s="26" t="n">
        <x:v>0</x:v>
      </x:c>
      <x:c r="T267" s="26" t="n">
        <x:v>0</x:v>
      </x:c>
      <x:c r="U267" s="26" t="n">
        <x:v>0</x:v>
      </x:c>
      <x:c r="V267" s="26" t="n">
        <x:v>0</x:v>
      </x:c>
      <x:c r="W267" s="26" t="n">
        <x:v>0</x:v>
      </x:c>
      <x:c r="X267" s="26" t="n">
        <x:v>0</x:v>
      </x:c>
      <x:c r="Y267" s="26" t="n">
        <x:v>0</x:v>
      </x:c>
      <x:c r="Z267" s="35" t="str">
        <x:v>Receipt allocated to FIN-00263</x:v>
      </x:c>
    </x:row>
    <x:row r="268">
      <x:c r="A268" s="20" t="str">
        <x:v>FIN-00265</x:v>
      </x:c>
      <x:c r="B268" s="23" t="n">
        <x:v>46478</x:v>
      </x:c>
      <x:c r="C268" s="23" t="n">
        <x:v>46478</x:v>
      </x:c>
      <x:c r="D268" s="20" t="str">
        <x:v>TenantCharge</x:v>
      </x:c>
      <x:c r="E268" s="20" t="str">
        <x:v>Rent</x:v>
      </x:c>
      <x:c r="F268" s="20" t="str">
        <x:v>P010</x:v>
      </x:c>
      <x:c r="G268" s="20" t="str">
        <x:v>U010</x:v>
      </x:c>
      <x:c r="H268" s="20" t="str">
        <x:v>L010</x:v>
      </x:c>
      <x:c r="I268" s="20" t="str">
        <x:v>Elena Lewis</x:v>
      </x:c>
      <x:c r="J268" s="35" t="str">
        <x:v>System scheduled charge</x:v>
      </x:c>
      <x:c r="K268" s="20" t="str"/>
      <x:c r="L268" s="20" t="str">
        <x:v>RENT-202704-L010</x:v>
      </x:c>
      <x:c r="M268" s="26" t="n">
        <x:v>1800</x:v>
      </x:c>
      <x:c r="N268" s="26" t="n">
        <x:v>1800</x:v>
      </x:c>
      <x:c r="O268" s="26" t="n">
        <x:v>0</x:v>
      </x:c>
      <x:c r="P268" s="26" t="n">
        <x:v>0</x:v>
      </x:c>
      <x:c r="Q268" s="26" t="n">
        <x:v>0</x:v>
      </x:c>
      <x:c r="R268" s="26" t="n">
        <x:v>0</x:v>
      </x:c>
      <x:c r="S268" s="26" t="n">
        <x:v>0</x:v>
      </x:c>
      <x:c r="T268" s="26" t="n">
        <x:v>1800</x:v>
      </x:c>
      <x:c r="U268" s="26" t="n">
        <x:v>0</x:v>
      </x:c>
      <x:c r="V268" s="26" t="n">
        <x:v>0</x:v>
      </x:c>
      <x:c r="W268" s="26" t="n">
        <x:v>0</x:v>
      </x:c>
      <x:c r="X268" s="26" t="n">
        <x:v>0</x:v>
      </x:c>
      <x:c r="Y268" s="26" t="n">
        <x:v>0</x:v>
      </x:c>
      <x:c r="Z268" s="35" t="str">
        <x:v>April 2027 rent</x:v>
      </x:c>
    </x:row>
    <x:row r="269">
      <x:c r="A269" s="20" t="str">
        <x:v>FIN-00266</x:v>
      </x:c>
      <x:c r="B269" s="23" t="n">
        <x:v>46481</x:v>
      </x:c>
      <x:c r="C269" s="23" t="n">
        <x:v>46481</x:v>
      </x:c>
      <x:c r="D269" s="20" t="str">
        <x:v>TenantReceipt</x:v>
      </x:c>
      <x:c r="E269" s="20" t="str">
        <x:v>Rent receipt</x:v>
      </x:c>
      <x:c r="F269" s="20" t="str">
        <x:v>P010</x:v>
      </x:c>
      <x:c r="G269" s="20" t="str">
        <x:v>U010</x:v>
      </x:c>
      <x:c r="H269" s="20" t="str">
        <x:v>L010</x:v>
      </x:c>
      <x:c r="I269" s="20" t="str">
        <x:v>Elena Lewis</x:v>
      </x:c>
      <x:c r="J269" s="35" t="str">
        <x:v>Manual ACH</x:v>
      </x:c>
      <x:c r="K269" s="20" t="str"/>
      <x:c r="L269" s="20" t="str">
        <x:v>PMT-20270404-L010</x:v>
      </x:c>
      <x:c r="M269" s="26" t="n">
        <x:v>1800</x:v>
      </x:c>
      <x:c r="N269" s="26" t="n">
        <x:v>-1800</x:v>
      </x:c>
      <x:c r="O269" s="26" t="n">
        <x:v>1800</x:v>
      </x:c>
      <x:c r="P269" s="26" t="n">
        <x:v>0</x:v>
      </x:c>
      <x:c r="Q269" s="26" t="n">
        <x:v>0</x:v>
      </x:c>
      <x:c r="R269" s="26" t="n">
        <x:v>0</x:v>
      </x:c>
      <x:c r="S269" s="26" t="n">
        <x:v>0</x:v>
      </x:c>
      <x:c r="T269" s="26" t="n">
        <x:v>0</x:v>
      </x:c>
      <x:c r="U269" s="26" t="n">
        <x:v>0</x:v>
      </x:c>
      <x:c r="V269" s="26" t="n">
        <x:v>0</x:v>
      </x:c>
      <x:c r="W269" s="26" t="n">
        <x:v>0</x:v>
      </x:c>
      <x:c r="X269" s="26" t="n">
        <x:v>0</x:v>
      </x:c>
      <x:c r="Y269" s="26" t="n">
        <x:v>0</x:v>
      </x:c>
      <x:c r="Z269" s="35" t="str">
        <x:v>Receipt allocated to FIN-00265</x:v>
      </x:c>
    </x:row>
    <x:row r="270">
      <x:c r="A270" s="20" t="str">
        <x:v>FIN-00267</x:v>
      </x:c>
      <x:c r="B270" s="23" t="n">
        <x:v>46478</x:v>
      </x:c>
      <x:c r="C270" s="23" t="n">
        <x:v>46478</x:v>
      </x:c>
      <x:c r="D270" s="20" t="str">
        <x:v>TenantCharge</x:v>
      </x:c>
      <x:c r="E270" s="20" t="str">
        <x:v>Rent</x:v>
      </x:c>
      <x:c r="F270" s="20" t="str">
        <x:v>P011</x:v>
      </x:c>
      <x:c r="G270" s="20" t="str">
        <x:v>U011</x:v>
      </x:c>
      <x:c r="H270" s="20" t="str">
        <x:v>L011</x:v>
      </x:c>
      <x:c r="I270" s="20" t="str">
        <x:v>Hector Reed</x:v>
      </x:c>
      <x:c r="J270" s="35" t="str">
        <x:v>System scheduled charge</x:v>
      </x:c>
      <x:c r="K270" s="20" t="str"/>
      <x:c r="L270" s="20" t="str">
        <x:v>RENT-202704-L011</x:v>
      </x:c>
      <x:c r="M270" s="26" t="n">
        <x:v>1425</x:v>
      </x:c>
      <x:c r="N270" s="26" t="n">
        <x:v>1425</x:v>
      </x:c>
      <x:c r="O270" s="26" t="n">
        <x:v>0</x:v>
      </x:c>
      <x:c r="P270" s="26" t="n">
        <x:v>0</x:v>
      </x:c>
      <x:c r="Q270" s="26" t="n">
        <x:v>0</x:v>
      </x:c>
      <x:c r="R270" s="26" t="n">
        <x:v>0</x:v>
      </x:c>
      <x:c r="S270" s="26" t="n">
        <x:v>0</x:v>
      </x:c>
      <x:c r="T270" s="26" t="n">
        <x:v>1425</x:v>
      </x:c>
      <x:c r="U270" s="26" t="n">
        <x:v>0</x:v>
      </x:c>
      <x:c r="V270" s="26" t="n">
        <x:v>0</x:v>
      </x:c>
      <x:c r="W270" s="26" t="n">
        <x:v>0</x:v>
      </x:c>
      <x:c r="X270" s="26" t="n">
        <x:v>0</x:v>
      </x:c>
      <x:c r="Y270" s="26" t="n">
        <x:v>0</x:v>
      </x:c>
      <x:c r="Z270" s="35" t="str">
        <x:v>April 2027 rent</x:v>
      </x:c>
    </x:row>
    <x:row r="271">
      <x:c r="A271" s="20" t="str">
        <x:v>FIN-00268</x:v>
      </x:c>
      <x:c r="B271" s="23" t="n">
        <x:v>46480</x:v>
      </x:c>
      <x:c r="C271" s="23" t="n">
        <x:v>46480</x:v>
      </x:c>
      <x:c r="D271" s="20" t="str">
        <x:v>TenantReceipt</x:v>
      </x:c>
      <x:c r="E271" s="20" t="str">
        <x:v>Rent receipt</x:v>
      </x:c>
      <x:c r="F271" s="20" t="str">
        <x:v>P011</x:v>
      </x:c>
      <x:c r="G271" s="20" t="str">
        <x:v>U011</x:v>
      </x:c>
      <x:c r="H271" s="20" t="str">
        <x:v>L011</x:v>
      </x:c>
      <x:c r="I271" s="20" t="str">
        <x:v>Hector Reed</x:v>
      </x:c>
      <x:c r="J271" s="35" t="str">
        <x:v>Portal card</x:v>
      </x:c>
      <x:c r="K271" s="20" t="str"/>
      <x:c r="L271" s="20" t="str">
        <x:v>PMT-20270403-L011-A</x:v>
      </x:c>
      <x:c r="M271" s="26" t="n">
        <x:v>855</x:v>
      </x:c>
      <x:c r="N271" s="26" t="n">
        <x:v>-855</x:v>
      </x:c>
      <x:c r="O271" s="26" t="n">
        <x:v>855</x:v>
      </x:c>
      <x:c r="P271" s="26" t="n">
        <x:v>0</x:v>
      </x:c>
      <x:c r="Q271" s="26" t="n">
        <x:v>0</x:v>
      </x:c>
      <x:c r="R271" s="26" t="n">
        <x:v>0</x:v>
      </x:c>
      <x:c r="S271" s="26" t="n">
        <x:v>0</x:v>
      </x:c>
      <x:c r="T271" s="26" t="n">
        <x:v>0</x:v>
      </x:c>
      <x:c r="U271" s="26" t="n">
        <x:v>0</x:v>
      </x:c>
      <x:c r="V271" s="26" t="n">
        <x:v>0</x:v>
      </x:c>
      <x:c r="W271" s="26" t="n">
        <x:v>0</x:v>
      </x:c>
      <x:c r="X271" s="26" t="n">
        <x:v>0</x:v>
      </x:c>
      <x:c r="Y271" s="26" t="n">
        <x:v>0</x:v>
      </x:c>
      <x:c r="Z271" s="35" t="str">
        <x:v>Receipt allocated to FIN-00267</x:v>
      </x:c>
    </x:row>
    <x:row r="272">
      <x:c r="A272" s="20" t="str">
        <x:v>FIN-00269</x:v>
      </x:c>
      <x:c r="B272" s="23" t="n">
        <x:v>46483</x:v>
      </x:c>
      <x:c r="C272" s="23" t="n">
        <x:v>46483</x:v>
      </x:c>
      <x:c r="D272" s="20" t="str">
        <x:v>TenantCharge</x:v>
      </x:c>
      <x:c r="E272" s="20" t="str">
        <x:v>Late fee</x:v>
      </x:c>
      <x:c r="F272" s="20" t="str">
        <x:v>P011</x:v>
      </x:c>
      <x:c r="G272" s="20" t="str">
        <x:v>U011</x:v>
      </x:c>
      <x:c r="H272" s="20" t="str">
        <x:v>L011</x:v>
      </x:c>
      <x:c r="I272" s="20" t="str">
        <x:v>Hector Reed</x:v>
      </x:c>
      <x:c r="J272" s="35" t="str">
        <x:v>System automation</x:v>
      </x:c>
      <x:c r="K272" s="20" t="str"/>
      <x:c r="L272" s="20" t="str">
        <x:v>LATE-202704-L011</x:v>
      </x:c>
      <x:c r="M272" s="26" t="n">
        <x:v>50</x:v>
      </x:c>
      <x:c r="N272" s="26" t="n">
        <x:v>50</x:v>
      </x:c>
      <x:c r="O272" s="26" t="n">
        <x:v>0</x:v>
      </x:c>
      <x:c r="P272" s="26" t="n">
        <x:v>0</x:v>
      </x:c>
      <x:c r="Q272" s="26" t="n">
        <x:v>0</x:v>
      </x:c>
      <x:c r="R272" s="26" t="n">
        <x:v>0</x:v>
      </x:c>
      <x:c r="S272" s="26" t="n">
        <x:v>0</x:v>
      </x:c>
      <x:c r="T272" s="26" t="n">
        <x:v>50</x:v>
      </x:c>
      <x:c r="U272" s="26" t="n">
        <x:v>0</x:v>
      </x:c>
      <x:c r="V272" s="26" t="n">
        <x:v>0</x:v>
      </x:c>
      <x:c r="W272" s="26" t="n">
        <x:v>0</x:v>
      </x:c>
      <x:c r="X272" s="26" t="n">
        <x:v>0</x:v>
      </x:c>
      <x:c r="Y272" s="26" t="n">
        <x:v>0</x:v>
      </x:c>
      <x:c r="Z272" s="35" t="str">
        <x:v>Synthetic lease-authorized late fee after partial payment</x:v>
      </x:c>
    </x:row>
    <x:row r="273">
      <x:c r="A273" s="20" t="str">
        <x:v>FIN-00270</x:v>
      </x:c>
      <x:c r="B273" s="23" t="n">
        <x:v>46489</x:v>
      </x:c>
      <x:c r="C273" s="23" t="n">
        <x:v>46489</x:v>
      </x:c>
      <x:c r="D273" s="20" t="str">
        <x:v>TenantReceipt</x:v>
      </x:c>
      <x:c r="E273" s="20" t="str">
        <x:v>Rent receipt</x:v>
      </x:c>
      <x:c r="F273" s="20" t="str">
        <x:v>P011</x:v>
      </x:c>
      <x:c r="G273" s="20" t="str">
        <x:v>U011</x:v>
      </x:c>
      <x:c r="H273" s="20" t="str">
        <x:v>L011</x:v>
      </x:c>
      <x:c r="I273" s="20" t="str">
        <x:v>Hector Reed</x:v>
      </x:c>
      <x:c r="J273" s="35" t="str">
        <x:v>Scanned money order</x:v>
      </x:c>
      <x:c r="K273" s="20" t="str">
        <x:v>SCN-0153</x:v>
      </x:c>
      <x:c r="L273" s="20" t="str">
        <x:v>PMT-20270412-L011-B</x:v>
      </x:c>
      <x:c r="M273" s="26" t="n">
        <x:v>620</x:v>
      </x:c>
      <x:c r="N273" s="26" t="n">
        <x:v>-620</x:v>
      </x:c>
      <x:c r="O273" s="26" t="n">
        <x:v>620</x:v>
      </x:c>
      <x:c r="P273" s="26" t="n">
        <x:v>0</x:v>
      </x:c>
      <x:c r="Q273" s="26" t="n">
        <x:v>0</x:v>
      </x:c>
      <x:c r="R273" s="26" t="n">
        <x:v>0</x:v>
      </x:c>
      <x:c r="S273" s="26" t="n">
        <x:v>0</x:v>
      </x:c>
      <x:c r="T273" s="26" t="n">
        <x:v>0</x:v>
      </x:c>
      <x:c r="U273" s="26" t="n">
        <x:v>0</x:v>
      </x:c>
      <x:c r="V273" s="26" t="n">
        <x:v>0</x:v>
      </x:c>
      <x:c r="W273" s="26" t="n">
        <x:v>0</x:v>
      </x:c>
      <x:c r="X273" s="26" t="n">
        <x:v>0</x:v>
      </x:c>
      <x:c r="Y273" s="26" t="n">
        <x:v>0</x:v>
      </x:c>
      <x:c r="Z273" s="35" t="str">
        <x:v>Receipt allocated to FIN-00269</x:v>
      </x:c>
    </x:row>
    <x:row r="274">
      <x:c r="A274" s="20" t="str">
        <x:v>FIN-00271</x:v>
      </x:c>
      <x:c r="B274" s="23" t="n">
        <x:v>46478</x:v>
      </x:c>
      <x:c r="C274" s="23" t="n">
        <x:v>46478</x:v>
      </x:c>
      <x:c r="D274" s="20" t="str">
        <x:v>TenantCharge</x:v>
      </x:c>
      <x:c r="E274" s="20" t="str">
        <x:v>Rent</x:v>
      </x:c>
      <x:c r="F274" s="20" t="str">
        <x:v>P012</x:v>
      </x:c>
      <x:c r="G274" s="20" t="str">
        <x:v>U012</x:v>
      </x:c>
      <x:c r="H274" s="20" t="str">
        <x:v>L012</x:v>
      </x:c>
      <x:c r="I274" s="20" t="str">
        <x:v>Keira Adams</x:v>
      </x:c>
      <x:c r="J274" s="35" t="str">
        <x:v>System scheduled charge</x:v>
      </x:c>
      <x:c r="K274" s="20" t="str"/>
      <x:c r="L274" s="20" t="str">
        <x:v>RENT-202704-L012</x:v>
      </x:c>
      <x:c r="M274" s="26" t="n">
        <x:v>1050</x:v>
      </x:c>
      <x:c r="N274" s="26" t="n">
        <x:v>1050</x:v>
      </x:c>
      <x:c r="O274" s="26" t="n">
        <x:v>0</x:v>
      </x:c>
      <x:c r="P274" s="26" t="n">
        <x:v>0</x:v>
      </x:c>
      <x:c r="Q274" s="26" t="n">
        <x:v>0</x:v>
      </x:c>
      <x:c r="R274" s="26" t="n">
        <x:v>0</x:v>
      </x:c>
      <x:c r="S274" s="26" t="n">
        <x:v>0</x:v>
      </x:c>
      <x:c r="T274" s="26" t="n">
        <x:v>1050</x:v>
      </x:c>
      <x:c r="U274" s="26" t="n">
        <x:v>0</x:v>
      </x:c>
      <x:c r="V274" s="26" t="n">
        <x:v>0</x:v>
      </x:c>
      <x:c r="W274" s="26" t="n">
        <x:v>0</x:v>
      </x:c>
      <x:c r="X274" s="26" t="n">
        <x:v>0</x:v>
      </x:c>
      <x:c r="Y274" s="26" t="n">
        <x:v>0</x:v>
      </x:c>
      <x:c r="Z274" s="35" t="str">
        <x:v>April 2027 rent</x:v>
      </x:c>
    </x:row>
    <x:row r="275">
      <x:c r="A275" s="20" t="str">
        <x:v>FIN-00272</x:v>
      </x:c>
      <x:c r="B275" s="23" t="n">
        <x:v>46480</x:v>
      </x:c>
      <x:c r="C275" s="23" t="n">
        <x:v>46480</x:v>
      </x:c>
      <x:c r="D275" s="20" t="str">
        <x:v>TenantReceipt</x:v>
      </x:c>
      <x:c r="E275" s="20" t="str">
        <x:v>Rent receipt</x:v>
      </x:c>
      <x:c r="F275" s="20" t="str">
        <x:v>P012</x:v>
      </x:c>
      <x:c r="G275" s="20" t="str">
        <x:v>U012</x:v>
      </x:c>
      <x:c r="H275" s="20" t="str">
        <x:v>L012</x:v>
      </x:c>
      <x:c r="I275" s="20" t="str">
        <x:v>Keira Adams</x:v>
      </x:c>
      <x:c r="J275" s="35" t="str">
        <x:v>Scanned check</x:v>
      </x:c>
      <x:c r="K275" s="20" t="str">
        <x:v>SCN-0154</x:v>
      </x:c>
      <x:c r="L275" s="20" t="str">
        <x:v>PMT-20270403-L012</x:v>
      </x:c>
      <x:c r="M275" s="26" t="n">
        <x:v>1050</x:v>
      </x:c>
      <x:c r="N275" s="26" t="n">
        <x:v>-1050</x:v>
      </x:c>
      <x:c r="O275" s="26" t="n">
        <x:v>1050</x:v>
      </x:c>
      <x:c r="P275" s="26" t="n">
        <x:v>0</x:v>
      </x:c>
      <x:c r="Q275" s="26" t="n">
        <x:v>0</x:v>
      </x:c>
      <x:c r="R275" s="26" t="n">
        <x:v>0</x:v>
      </x:c>
      <x:c r="S275" s="26" t="n">
        <x:v>0</x:v>
      </x:c>
      <x:c r="T275" s="26" t="n">
        <x:v>0</x:v>
      </x:c>
      <x:c r="U275" s="26" t="n">
        <x:v>0</x:v>
      </x:c>
      <x:c r="V275" s="26" t="n">
        <x:v>0</x:v>
      </x:c>
      <x:c r="W275" s="26" t="n">
        <x:v>0</x:v>
      </x:c>
      <x:c r="X275" s="26" t="n">
        <x:v>0</x:v>
      </x:c>
      <x:c r="Y275" s="26" t="n">
        <x:v>0</x:v>
      </x:c>
      <x:c r="Z275" s="35" t="str">
        <x:v>Receipt allocated to FIN-00271</x:v>
      </x:c>
    </x:row>
    <x:row r="276">
      <x:c r="A276" s="20" t="str">
        <x:v>FIN-00273</x:v>
      </x:c>
      <x:c r="B276" s="23" t="n">
        <x:v>46478</x:v>
      </x:c>
      <x:c r="C276" s="23" t="n">
        <x:v>46478</x:v>
      </x:c>
      <x:c r="D276" s="20" t="str">
        <x:v>TenantCharge</x:v>
      </x:c>
      <x:c r="E276" s="20" t="str">
        <x:v>Rent</x:v>
      </x:c>
      <x:c r="F276" s="20" t="str">
        <x:v>P013</x:v>
      </x:c>
      <x:c r="G276" s="20" t="str">
        <x:v>U013</x:v>
      </x:c>
      <x:c r="H276" s="20" t="str">
        <x:v>L013</x:v>
      </x:c>
      <x:c r="I276" s="20" t="str">
        <x:v>Nolan Flores</x:v>
      </x:c>
      <x:c r="J276" s="35" t="str">
        <x:v>System scheduled charge</x:v>
      </x:c>
      <x:c r="K276" s="20" t="str"/>
      <x:c r="L276" s="20" t="str">
        <x:v>RENT-202704-L013</x:v>
      </x:c>
      <x:c r="M276" s="26" t="n">
        <x:v>1575</x:v>
      </x:c>
      <x:c r="N276" s="26" t="n">
        <x:v>1575</x:v>
      </x:c>
      <x:c r="O276" s="26" t="n">
        <x:v>0</x:v>
      </x:c>
      <x:c r="P276" s="26" t="n">
        <x:v>0</x:v>
      </x:c>
      <x:c r="Q276" s="26" t="n">
        <x:v>0</x:v>
      </x:c>
      <x:c r="R276" s="26" t="n">
        <x:v>0</x:v>
      </x:c>
      <x:c r="S276" s="26" t="n">
        <x:v>0</x:v>
      </x:c>
      <x:c r="T276" s="26" t="n">
        <x:v>1575</x:v>
      </x:c>
      <x:c r="U276" s="26" t="n">
        <x:v>0</x:v>
      </x:c>
      <x:c r="V276" s="26" t="n">
        <x:v>0</x:v>
      </x:c>
      <x:c r="W276" s="26" t="n">
        <x:v>0</x:v>
      </x:c>
      <x:c r="X276" s="26" t="n">
        <x:v>0</x:v>
      </x:c>
      <x:c r="Y276" s="26" t="n">
        <x:v>0</x:v>
      </x:c>
      <x:c r="Z276" s="35" t="str">
        <x:v>April 2027 rent</x:v>
      </x:c>
    </x:row>
    <x:row r="277">
      <x:c r="A277" s="20" t="str">
        <x:v>FIN-00274</x:v>
      </x:c>
      <x:c r="B277" s="23" t="n">
        <x:v>46483</x:v>
      </x:c>
      <x:c r="C277" s="23" t="n">
        <x:v>46483</x:v>
      </x:c>
      <x:c r="D277" s="20" t="str">
        <x:v>TenantCharge</x:v>
      </x:c>
      <x:c r="E277" s="20" t="str">
        <x:v>Late fee</x:v>
      </x:c>
      <x:c r="F277" s="20" t="str">
        <x:v>P013</x:v>
      </x:c>
      <x:c r="G277" s="20" t="str">
        <x:v>U013</x:v>
      </x:c>
      <x:c r="H277" s="20" t="str">
        <x:v>L013</x:v>
      </x:c>
      <x:c r="I277" s="20" t="str">
        <x:v>Nolan Flores</x:v>
      </x:c>
      <x:c r="J277" s="35" t="str">
        <x:v>System automation</x:v>
      </x:c>
      <x:c r="K277" s="20" t="str"/>
      <x:c r="L277" s="20" t="str">
        <x:v>LATE-202704-L013</x:v>
      </x:c>
      <x:c r="M277" s="26" t="n">
        <x:v>50</x:v>
      </x:c>
      <x:c r="N277" s="26" t="n">
        <x:v>50</x:v>
      </x:c>
      <x:c r="O277" s="26" t="n">
        <x:v>0</x:v>
      </x:c>
      <x:c r="P277" s="26" t="n">
        <x:v>0</x:v>
      </x:c>
      <x:c r="Q277" s="26" t="n">
        <x:v>0</x:v>
      </x:c>
      <x:c r="R277" s="26" t="n">
        <x:v>0</x:v>
      </x:c>
      <x:c r="S277" s="26" t="n">
        <x:v>0</x:v>
      </x:c>
      <x:c r="T277" s="26" t="n">
        <x:v>50</x:v>
      </x:c>
      <x:c r="U277" s="26" t="n">
        <x:v>0</x:v>
      </x:c>
      <x:c r="V277" s="26" t="n">
        <x:v>0</x:v>
      </x:c>
      <x:c r="W277" s="26" t="n">
        <x:v>0</x:v>
      </x:c>
      <x:c r="X277" s="26" t="n">
        <x:v>0</x:v>
      </x:c>
      <x:c r="Y277" s="26" t="n">
        <x:v>0</x:v>
      </x:c>
      <x:c r="Z277" s="35" t="str">
        <x:v>Synthetic lease-authorized late fee</x:v>
      </x:c>
    </x:row>
    <x:row r="278">
      <x:c r="A278" s="20" t="str">
        <x:v>FIN-00275</x:v>
      </x:c>
      <x:c r="B278" s="23" t="n">
        <x:v>46485</x:v>
      </x:c>
      <x:c r="C278" s="23" t="n">
        <x:v>46485</x:v>
      </x:c>
      <x:c r="D278" s="20" t="str">
        <x:v>TenantReceipt</x:v>
      </x:c>
      <x:c r="E278" s="20" t="str">
        <x:v>Rent receipt</x:v>
      </x:c>
      <x:c r="F278" s="20" t="str">
        <x:v>P013</x:v>
      </x:c>
      <x:c r="G278" s="20" t="str">
        <x:v>U013</x:v>
      </x:c>
      <x:c r="H278" s="20" t="str">
        <x:v>L013</x:v>
      </x:c>
      <x:c r="I278" s="20" t="str">
        <x:v>Nolan Flores</x:v>
      </x:c>
      <x:c r="J278" s="35" t="str">
        <x:v>Scanned check</x:v>
      </x:c>
      <x:c r="K278" s="20" t="str">
        <x:v>SCN-0155</x:v>
      </x:c>
      <x:c r="L278" s="20" t="str">
        <x:v>PMT-20270408-L013</x:v>
      </x:c>
      <x:c r="M278" s="26" t="n">
        <x:v>1625</x:v>
      </x:c>
      <x:c r="N278" s="26" t="n">
        <x:v>-1625</x:v>
      </x:c>
      <x:c r="O278" s="26" t="n">
        <x:v>1625</x:v>
      </x:c>
      <x:c r="P278" s="26" t="n">
        <x:v>0</x:v>
      </x:c>
      <x:c r="Q278" s="26" t="n">
        <x:v>0</x:v>
      </x:c>
      <x:c r="R278" s="26" t="n">
        <x:v>0</x:v>
      </x:c>
      <x:c r="S278" s="26" t="n">
        <x:v>0</x:v>
      </x:c>
      <x:c r="T278" s="26" t="n">
        <x:v>0</x:v>
      </x:c>
      <x:c r="U278" s="26" t="n">
        <x:v>0</x:v>
      </x:c>
      <x:c r="V278" s="26" t="n">
        <x:v>0</x:v>
      </x:c>
      <x:c r="W278" s="26" t="n">
        <x:v>0</x:v>
      </x:c>
      <x:c r="X278" s="26" t="n">
        <x:v>0</x:v>
      </x:c>
      <x:c r="Y278" s="26" t="n">
        <x:v>0</x:v>
      </x:c>
      <x:c r="Z278" s="35" t="str">
        <x:v>Receipt allocated to FIN-00274</x:v>
      </x:c>
    </x:row>
    <x:row r="279">
      <x:c r="A279" s="20" t="str">
        <x:v>FIN-00276</x:v>
      </x:c>
      <x:c r="B279" s="23" t="n">
        <x:v>46478</x:v>
      </x:c>
      <x:c r="C279" s="23" t="n">
        <x:v>46478</x:v>
      </x:c>
      <x:c r="D279" s="20" t="str">
        <x:v>TenantCharge</x:v>
      </x:c>
      <x:c r="E279" s="20" t="str">
        <x:v>Rent</x:v>
      </x:c>
      <x:c r="F279" s="20" t="str">
        <x:v>P014</x:v>
      </x:c>
      <x:c r="G279" s="20" t="str">
        <x:v>U014</x:v>
      </x:c>
      <x:c r="H279" s="20" t="str">
        <x:v>L014</x:v>
      </x:c>
      <x:c r="I279" s="20" t="str">
        <x:v>Rina King</x:v>
      </x:c>
      <x:c r="J279" s="35" t="str">
        <x:v>System scheduled charge</x:v>
      </x:c>
      <x:c r="K279" s="20" t="str"/>
      <x:c r="L279" s="20" t="str">
        <x:v>RENT-202704-L014</x:v>
      </x:c>
      <x:c r="M279" s="26" t="n">
        <x:v>1200</x:v>
      </x:c>
      <x:c r="N279" s="26" t="n">
        <x:v>1200</x:v>
      </x:c>
      <x:c r="O279" s="26" t="n">
        <x:v>0</x:v>
      </x:c>
      <x:c r="P279" s="26" t="n">
        <x:v>0</x:v>
      </x:c>
      <x:c r="Q279" s="26" t="n">
        <x:v>0</x:v>
      </x:c>
      <x:c r="R279" s="26" t="n">
        <x:v>0</x:v>
      </x:c>
      <x:c r="S279" s="26" t="n">
        <x:v>0</x:v>
      </x:c>
      <x:c r="T279" s="26" t="n">
        <x:v>1200</x:v>
      </x:c>
      <x:c r="U279" s="26" t="n">
        <x:v>0</x:v>
      </x:c>
      <x:c r="V279" s="26" t="n">
        <x:v>0</x:v>
      </x:c>
      <x:c r="W279" s="26" t="n">
        <x:v>0</x:v>
      </x:c>
      <x:c r="X279" s="26" t="n">
        <x:v>0</x:v>
      </x:c>
      <x:c r="Y279" s="26" t="n">
        <x:v>0</x:v>
      </x:c>
      <x:c r="Z279" s="35" t="str">
        <x:v>April 2027 rent</x:v>
      </x:c>
    </x:row>
    <x:row r="280">
      <x:c r="A280" s="20" t="str">
        <x:v>FIN-00277</x:v>
      </x:c>
      <x:c r="B280" s="23" t="n">
        <x:v>46482</x:v>
      </x:c>
      <x:c r="C280" s="23" t="n">
        <x:v>46482</x:v>
      </x:c>
      <x:c r="D280" s="20" t="str">
        <x:v>TenantReceipt</x:v>
      </x:c>
      <x:c r="E280" s="20" t="str">
        <x:v>Rent receipt</x:v>
      </x:c>
      <x:c r="F280" s="20" t="str">
        <x:v>P014</x:v>
      </x:c>
      <x:c r="G280" s="20" t="str">
        <x:v>U014</x:v>
      </x:c>
      <x:c r="H280" s="20" t="str">
        <x:v>L014</x:v>
      </x:c>
      <x:c r="I280" s="20" t="str">
        <x:v>Rina King</x:v>
      </x:c>
      <x:c r="J280" s="35" t="str">
        <x:v>Manual ACH</x:v>
      </x:c>
      <x:c r="K280" s="20" t="str"/>
      <x:c r="L280" s="20" t="str">
        <x:v>PMT-20270405-L014</x:v>
      </x:c>
      <x:c r="M280" s="26" t="n">
        <x:v>1200</x:v>
      </x:c>
      <x:c r="N280" s="26" t="n">
        <x:v>-1200</x:v>
      </x:c>
      <x:c r="O280" s="26" t="n">
        <x:v>1200</x:v>
      </x:c>
      <x:c r="P280" s="26" t="n">
        <x:v>0</x:v>
      </x:c>
      <x:c r="Q280" s="26" t="n">
        <x:v>0</x:v>
      </x:c>
      <x:c r="R280" s="26" t="n">
        <x:v>0</x:v>
      </x:c>
      <x:c r="S280" s="26" t="n">
        <x:v>0</x:v>
      </x:c>
      <x:c r="T280" s="26" t="n">
        <x:v>0</x:v>
      </x:c>
      <x:c r="U280" s="26" t="n">
        <x:v>0</x:v>
      </x:c>
      <x:c r="V280" s="26" t="n">
        <x:v>0</x:v>
      </x:c>
      <x:c r="W280" s="26" t="n">
        <x:v>0</x:v>
      </x:c>
      <x:c r="X280" s="26" t="n">
        <x:v>0</x:v>
      </x:c>
      <x:c r="Y280" s="26" t="n">
        <x:v>0</x:v>
      </x:c>
      <x:c r="Z280" s="35" t="str">
        <x:v>Receipt allocated to FIN-00276</x:v>
      </x:c>
    </x:row>
    <x:row r="281">
      <x:c r="A281" s="20" t="str">
        <x:v>FIN-00278</x:v>
      </x:c>
      <x:c r="B281" s="23" t="n">
        <x:v>46478</x:v>
      </x:c>
      <x:c r="C281" s="23" t="n">
        <x:v>46478</x:v>
      </x:c>
      <x:c r="D281" s="20" t="str">
        <x:v>TenantCharge</x:v>
      </x:c>
      <x:c r="E281" s="20" t="str">
        <x:v>Rent</x:v>
      </x:c>
      <x:c r="F281" s="20" t="str">
        <x:v>P015</x:v>
      </x:c>
      <x:c r="G281" s="20" t="str">
        <x:v>U015</x:v>
      </x:c>
      <x:c r="H281" s="20" t="str">
        <x:v>L015</x:v>
      </x:c>
      <x:c r="I281" s="20" t="str">
        <x:v>Uri Price</x:v>
      </x:c>
      <x:c r="J281" s="35" t="str">
        <x:v>System scheduled charge</x:v>
      </x:c>
      <x:c r="K281" s="20" t="str"/>
      <x:c r="L281" s="20" t="str">
        <x:v>RENT-202704-L015</x:v>
      </x:c>
      <x:c r="M281" s="26" t="n">
        <x:v>1725</x:v>
      </x:c>
      <x:c r="N281" s="26" t="n">
        <x:v>1725</x:v>
      </x:c>
      <x:c r="O281" s="26" t="n">
        <x:v>0</x:v>
      </x:c>
      <x:c r="P281" s="26" t="n">
        <x:v>0</x:v>
      </x:c>
      <x:c r="Q281" s="26" t="n">
        <x:v>0</x:v>
      </x:c>
      <x:c r="R281" s="26" t="n">
        <x:v>0</x:v>
      </x:c>
      <x:c r="S281" s="26" t="n">
        <x:v>0</x:v>
      </x:c>
      <x:c r="T281" s="26" t="n">
        <x:v>1725</x:v>
      </x:c>
      <x:c r="U281" s="26" t="n">
        <x:v>0</x:v>
      </x:c>
      <x:c r="V281" s="26" t="n">
        <x:v>0</x:v>
      </x:c>
      <x:c r="W281" s="26" t="n">
        <x:v>0</x:v>
      </x:c>
      <x:c r="X281" s="26" t="n">
        <x:v>0</x:v>
      </x:c>
      <x:c r="Y281" s="26" t="n">
        <x:v>0</x:v>
      </x:c>
      <x:c r="Z281" s="35" t="str">
        <x:v>April 2027 rent</x:v>
      </x:c>
    </x:row>
    <x:row r="282">
      <x:c r="A282" s="20" t="str">
        <x:v>FIN-00279</x:v>
      </x:c>
      <x:c r="B282" s="23" t="n">
        <x:v>46480</x:v>
      </x:c>
      <x:c r="C282" s="23" t="n">
        <x:v>46480</x:v>
      </x:c>
      <x:c r="D282" s="20" t="str">
        <x:v>TenantReceipt</x:v>
      </x:c>
      <x:c r="E282" s="20" t="str">
        <x:v>Rent receipt</x:v>
      </x:c>
      <x:c r="F282" s="20" t="str">
        <x:v>P015</x:v>
      </x:c>
      <x:c r="G282" s="20" t="str">
        <x:v>U015</x:v>
      </x:c>
      <x:c r="H282" s="20" t="str">
        <x:v>L015</x:v>
      </x:c>
      <x:c r="I282" s="20" t="str">
        <x:v>Uri Price</x:v>
      </x:c>
      <x:c r="J282" s="35" t="str">
        <x:v>Portal card</x:v>
      </x:c>
      <x:c r="K282" s="20" t="str"/>
      <x:c r="L282" s="20" t="str">
        <x:v>PMT-20270403-L015</x:v>
      </x:c>
      <x:c r="M282" s="26" t="n">
        <x:v>1725</x:v>
      </x:c>
      <x:c r="N282" s="26" t="n">
        <x:v>-1725</x:v>
      </x:c>
      <x:c r="O282" s="26" t="n">
        <x:v>1725</x:v>
      </x:c>
      <x:c r="P282" s="26" t="n">
        <x:v>0</x:v>
      </x:c>
      <x:c r="Q282" s="26" t="n">
        <x:v>0</x:v>
      </x:c>
      <x:c r="R282" s="26" t="n">
        <x:v>0</x:v>
      </x:c>
      <x:c r="S282" s="26" t="n">
        <x:v>0</x:v>
      </x:c>
      <x:c r="T282" s="26" t="n">
        <x:v>0</x:v>
      </x:c>
      <x:c r="U282" s="26" t="n">
        <x:v>0</x:v>
      </x:c>
      <x:c r="V282" s="26" t="n">
        <x:v>0</x:v>
      </x:c>
      <x:c r="W282" s="26" t="n">
        <x:v>0</x:v>
      </x:c>
      <x:c r="X282" s="26" t="n">
        <x:v>0</x:v>
      </x:c>
      <x:c r="Y282" s="26" t="n">
        <x:v>0</x:v>
      </x:c>
      <x:c r="Z282" s="35" t="str">
        <x:v>Receipt allocated to FIN-00278</x:v>
      </x:c>
    </x:row>
    <x:row r="283">
      <x:c r="A283" s="20" t="str">
        <x:v>FIN-00280</x:v>
      </x:c>
      <x:c r="B283" s="23" t="n">
        <x:v>46478</x:v>
      </x:c>
      <x:c r="C283" s="23" t="n">
        <x:v>46478</x:v>
      </x:c>
      <x:c r="D283" s="20" t="str">
        <x:v>TenantCharge</x:v>
      </x:c>
      <x:c r="E283" s="20" t="str">
        <x:v>Rent</x:v>
      </x:c>
      <x:c r="F283" s="20" t="str">
        <x:v>P016</x:v>
      </x:c>
      <x:c r="G283" s="20" t="str">
        <x:v>U016</x:v>
      </x:c>
      <x:c r="H283" s="20" t="str">
        <x:v>L016</x:v>
      </x:c>
      <x:c r="I283" s="20" t="str">
        <x:v>Avery Brooks</x:v>
      </x:c>
      <x:c r="J283" s="35" t="str">
        <x:v>System scheduled charge</x:v>
      </x:c>
      <x:c r="K283" s="20" t="str"/>
      <x:c r="L283" s="20" t="str">
        <x:v>RENT-202704-L016</x:v>
      </x:c>
      <x:c r="M283" s="26" t="n">
        <x:v>1350</x:v>
      </x:c>
      <x:c r="N283" s="26" t="n">
        <x:v>1350</x:v>
      </x:c>
      <x:c r="O283" s="26" t="n">
        <x:v>0</x:v>
      </x:c>
      <x:c r="P283" s="26" t="n">
        <x:v>0</x:v>
      </x:c>
      <x:c r="Q283" s="26" t="n">
        <x:v>0</x:v>
      </x:c>
      <x:c r="R283" s="26" t="n">
        <x:v>0</x:v>
      </x:c>
      <x:c r="S283" s="26" t="n">
        <x:v>0</x:v>
      </x:c>
      <x:c r="T283" s="26" t="n">
        <x:v>1350</x:v>
      </x:c>
      <x:c r="U283" s="26" t="n">
        <x:v>0</x:v>
      </x:c>
      <x:c r="V283" s="26" t="n">
        <x:v>0</x:v>
      </x:c>
      <x:c r="W283" s="26" t="n">
        <x:v>0</x:v>
      </x:c>
      <x:c r="X283" s="26" t="n">
        <x:v>0</x:v>
      </x:c>
      <x:c r="Y283" s="26" t="n">
        <x:v>0</x:v>
      </x:c>
      <x:c r="Z283" s="35" t="str">
        <x:v>April 2027 rent</x:v>
      </x:c>
    </x:row>
    <x:row r="284">
      <x:c r="A284" s="20" t="str">
        <x:v>FIN-00281</x:v>
      </x:c>
      <x:c r="B284" s="23" t="n">
        <x:v>46481</x:v>
      </x:c>
      <x:c r="C284" s="23" t="n">
        <x:v>46481</x:v>
      </x:c>
      <x:c r="D284" s="20" t="str">
        <x:v>TenantReceipt</x:v>
      </x:c>
      <x:c r="E284" s="20" t="str">
        <x:v>Rent receipt</x:v>
      </x:c>
      <x:c r="F284" s="20" t="str">
        <x:v>P016</x:v>
      </x:c>
      <x:c r="G284" s="20" t="str">
        <x:v>U016</x:v>
      </x:c>
      <x:c r="H284" s="20" t="str">
        <x:v>L016</x:v>
      </x:c>
      <x:c r="I284" s="20" t="str">
        <x:v>Avery Brooks</x:v>
      </x:c>
      <x:c r="J284" s="35" t="str">
        <x:v>Scanned check</x:v>
      </x:c>
      <x:c r="K284" s="20" t="str">
        <x:v>SCN-0156</x:v>
      </x:c>
      <x:c r="L284" s="20" t="str">
        <x:v>PMT-20270404-L016</x:v>
      </x:c>
      <x:c r="M284" s="26" t="n">
        <x:v>1350</x:v>
      </x:c>
      <x:c r="N284" s="26" t="n">
        <x:v>-1350</x:v>
      </x:c>
      <x:c r="O284" s="26" t="n">
        <x:v>1350</x:v>
      </x:c>
      <x:c r="P284" s="26" t="n">
        <x:v>0</x:v>
      </x:c>
      <x:c r="Q284" s="26" t="n">
        <x:v>0</x:v>
      </x:c>
      <x:c r="R284" s="26" t="n">
        <x:v>0</x:v>
      </x:c>
      <x:c r="S284" s="26" t="n">
        <x:v>0</x:v>
      </x:c>
      <x:c r="T284" s="26" t="n">
        <x:v>0</x:v>
      </x:c>
      <x:c r="U284" s="26" t="n">
        <x:v>0</x:v>
      </x:c>
      <x:c r="V284" s="26" t="n">
        <x:v>0</x:v>
      </x:c>
      <x:c r="W284" s="26" t="n">
        <x:v>0</x:v>
      </x:c>
      <x:c r="X284" s="26" t="n">
        <x:v>0</x:v>
      </x:c>
      <x:c r="Y284" s="26" t="n">
        <x:v>0</x:v>
      </x:c>
      <x:c r="Z284" s="35" t="str">
        <x:v>Receipt allocated to FIN-00280</x:v>
      </x:c>
    </x:row>
    <x:row r="285">
      <x:c r="A285" s="20" t="str">
        <x:v>FIN-00282</x:v>
      </x:c>
      <x:c r="B285" s="23" t="n">
        <x:v>46478</x:v>
      </x:c>
      <x:c r="C285" s="23" t="n">
        <x:v>46478</x:v>
      </x:c>
      <x:c r="D285" s="20" t="str">
        <x:v>TenantCharge</x:v>
      </x:c>
      <x:c r="E285" s="20" t="str">
        <x:v>Rent</x:v>
      </x:c>
      <x:c r="F285" s="20" t="str">
        <x:v>P017</x:v>
      </x:c>
      <x:c r="G285" s="20" t="str">
        <x:v>U017</x:v>
      </x:c>
      <x:c r="H285" s="20" t="str">
        <x:v>L017</x:v>
      </x:c>
      <x:c r="I285" s="20" t="str">
        <x:v>Dana Garcia</x:v>
      </x:c>
      <x:c r="J285" s="35" t="str">
        <x:v>System scheduled charge</x:v>
      </x:c>
      <x:c r="K285" s="20" t="str"/>
      <x:c r="L285" s="20" t="str">
        <x:v>RENT-202704-L017</x:v>
      </x:c>
      <x:c r="M285" s="26" t="n">
        <x:v>1875</x:v>
      </x:c>
      <x:c r="N285" s="26" t="n">
        <x:v>1875</x:v>
      </x:c>
      <x:c r="O285" s="26" t="n">
        <x:v>0</x:v>
      </x:c>
      <x:c r="P285" s="26" t="n">
        <x:v>0</x:v>
      </x:c>
      <x:c r="Q285" s="26" t="n">
        <x:v>0</x:v>
      </x:c>
      <x:c r="R285" s="26" t="n">
        <x:v>0</x:v>
      </x:c>
      <x:c r="S285" s="26" t="n">
        <x:v>0</x:v>
      </x:c>
      <x:c r="T285" s="26" t="n">
        <x:v>1875</x:v>
      </x:c>
      <x:c r="U285" s="26" t="n">
        <x:v>0</x:v>
      </x:c>
      <x:c r="V285" s="26" t="n">
        <x:v>0</x:v>
      </x:c>
      <x:c r="W285" s="26" t="n">
        <x:v>0</x:v>
      </x:c>
      <x:c r="X285" s="26" t="n">
        <x:v>0</x:v>
      </x:c>
      <x:c r="Y285" s="26" t="n">
        <x:v>0</x:v>
      </x:c>
      <x:c r="Z285" s="35" t="str">
        <x:v>April 2027 rent</x:v>
      </x:c>
    </x:row>
    <x:row r="286">
      <x:c r="A286" s="20" t="str">
        <x:v>FIN-00283</x:v>
      </x:c>
      <x:c r="B286" s="23" t="n">
        <x:v>46482</x:v>
      </x:c>
      <x:c r="C286" s="23" t="n">
        <x:v>46482</x:v>
      </x:c>
      <x:c r="D286" s="20" t="str">
        <x:v>TenantReceipt</x:v>
      </x:c>
      <x:c r="E286" s="20" t="str">
        <x:v>Rent receipt</x:v>
      </x:c>
      <x:c r="F286" s="20" t="str">
        <x:v>P017</x:v>
      </x:c>
      <x:c r="G286" s="20" t="str">
        <x:v>U017</x:v>
      </x:c>
      <x:c r="H286" s="20" t="str">
        <x:v>L017</x:v>
      </x:c>
      <x:c r="I286" s="20" t="str">
        <x:v>Dana Garcia</x:v>
      </x:c>
      <x:c r="J286" s="35" t="str">
        <x:v>Scanned money order</x:v>
      </x:c>
      <x:c r="K286" s="20" t="str">
        <x:v>SCN-0157</x:v>
      </x:c>
      <x:c r="L286" s="20" t="str">
        <x:v>PMT-20270405-L017</x:v>
      </x:c>
      <x:c r="M286" s="26" t="n">
        <x:v>1875</x:v>
      </x:c>
      <x:c r="N286" s="26" t="n">
        <x:v>-1875</x:v>
      </x:c>
      <x:c r="O286" s="26" t="n">
        <x:v>1875</x:v>
      </x:c>
      <x:c r="P286" s="26" t="n">
        <x:v>0</x:v>
      </x:c>
      <x:c r="Q286" s="26" t="n">
        <x:v>0</x:v>
      </x:c>
      <x:c r="R286" s="26" t="n">
        <x:v>0</x:v>
      </x:c>
      <x:c r="S286" s="26" t="n">
        <x:v>0</x:v>
      </x:c>
      <x:c r="T286" s="26" t="n">
        <x:v>0</x:v>
      </x:c>
      <x:c r="U286" s="26" t="n">
        <x:v>0</x:v>
      </x:c>
      <x:c r="V286" s="26" t="n">
        <x:v>0</x:v>
      </x:c>
      <x:c r="W286" s="26" t="n">
        <x:v>0</x:v>
      </x:c>
      <x:c r="X286" s="26" t="n">
        <x:v>0</x:v>
      </x:c>
      <x:c r="Y286" s="26" t="n">
        <x:v>0</x:v>
      </x:c>
      <x:c r="Z286" s="35" t="str">
        <x:v>Receipt allocated to FIN-00282</x:v>
      </x:c>
    </x:row>
    <x:row r="287">
      <x:c r="A287" s="20" t="str">
        <x:v>FIN-00284</x:v>
      </x:c>
      <x:c r="B287" s="23" t="n">
        <x:v>46478</x:v>
      </x:c>
      <x:c r="C287" s="23" t="n">
        <x:v>46478</x:v>
      </x:c>
      <x:c r="D287" s="20" t="str">
        <x:v>TenantCharge</x:v>
      </x:c>
      <x:c r="E287" s="20" t="str">
        <x:v>Rent</x:v>
      </x:c>
      <x:c r="F287" s="20" t="str">
        <x:v>P018</x:v>
      </x:c>
      <x:c r="G287" s="20" t="str">
        <x:v>U018</x:v>
      </x:c>
      <x:c r="H287" s="20" t="str">
        <x:v>L018</x:v>
      </x:c>
      <x:c r="I287" s="20" t="str">
        <x:v>Gray Lewis</x:v>
      </x:c>
      <x:c r="J287" s="35" t="str">
        <x:v>System scheduled charge</x:v>
      </x:c>
      <x:c r="K287" s="20" t="str"/>
      <x:c r="L287" s="20" t="str">
        <x:v>RENT-202704-L018</x:v>
      </x:c>
      <x:c r="M287" s="26" t="n">
        <x:v>1500</x:v>
      </x:c>
      <x:c r="N287" s="26" t="n">
        <x:v>1500</x:v>
      </x:c>
      <x:c r="O287" s="26" t="n">
        <x:v>0</x:v>
      </x:c>
      <x:c r="P287" s="26" t="n">
        <x:v>0</x:v>
      </x:c>
      <x:c r="Q287" s="26" t="n">
        <x:v>0</x:v>
      </x:c>
      <x:c r="R287" s="26" t="n">
        <x:v>0</x:v>
      </x:c>
      <x:c r="S287" s="26" t="n">
        <x:v>0</x:v>
      </x:c>
      <x:c r="T287" s="26" t="n">
        <x:v>1500</x:v>
      </x:c>
      <x:c r="U287" s="26" t="n">
        <x:v>0</x:v>
      </x:c>
      <x:c r="V287" s="26" t="n">
        <x:v>0</x:v>
      </x:c>
      <x:c r="W287" s="26" t="n">
        <x:v>0</x:v>
      </x:c>
      <x:c r="X287" s="26" t="n">
        <x:v>0</x:v>
      </x:c>
      <x:c r="Y287" s="26" t="n">
        <x:v>0</x:v>
      </x:c>
      <x:c r="Z287" s="35" t="str">
        <x:v>April 2027 rent</x:v>
      </x:c>
    </x:row>
    <x:row r="288">
      <x:c r="A288" s="20" t="str">
        <x:v>FIN-00285</x:v>
      </x:c>
      <x:c r="B288" s="23" t="n">
        <x:v>46480</x:v>
      </x:c>
      <x:c r="C288" s="23" t="n">
        <x:v>46480</x:v>
      </x:c>
      <x:c r="D288" s="20" t="str">
        <x:v>TenantReceipt</x:v>
      </x:c>
      <x:c r="E288" s="20" t="str">
        <x:v>Rent receipt</x:v>
      </x:c>
      <x:c r="F288" s="20" t="str">
        <x:v>P018</x:v>
      </x:c>
      <x:c r="G288" s="20" t="str">
        <x:v>U018</x:v>
      </x:c>
      <x:c r="H288" s="20" t="str">
        <x:v>L018</x:v>
      </x:c>
      <x:c r="I288" s="20" t="str">
        <x:v>Gray Lewis</x:v>
      </x:c>
      <x:c r="J288" s="35" t="str">
        <x:v>Manual ACH</x:v>
      </x:c>
      <x:c r="K288" s="20" t="str"/>
      <x:c r="L288" s="20" t="str">
        <x:v>PMT-20270403-L018</x:v>
      </x:c>
      <x:c r="M288" s="26" t="n">
        <x:v>1500</x:v>
      </x:c>
      <x:c r="N288" s="26" t="n">
        <x:v>-1500</x:v>
      </x:c>
      <x:c r="O288" s="26" t="n">
        <x:v>1500</x:v>
      </x:c>
      <x:c r="P288" s="26" t="n">
        <x:v>0</x:v>
      </x:c>
      <x:c r="Q288" s="26" t="n">
        <x:v>0</x:v>
      </x:c>
      <x:c r="R288" s="26" t="n">
        <x:v>0</x:v>
      </x:c>
      <x:c r="S288" s="26" t="n">
        <x:v>0</x:v>
      </x:c>
      <x:c r="T288" s="26" t="n">
        <x:v>0</x:v>
      </x:c>
      <x:c r="U288" s="26" t="n">
        <x:v>0</x:v>
      </x:c>
      <x:c r="V288" s="26" t="n">
        <x:v>0</x:v>
      </x:c>
      <x:c r="W288" s="26" t="n">
        <x:v>0</x:v>
      </x:c>
      <x:c r="X288" s="26" t="n">
        <x:v>0</x:v>
      </x:c>
      <x:c r="Y288" s="26" t="n">
        <x:v>0</x:v>
      </x:c>
      <x:c r="Z288" s="35" t="str">
        <x:v>Receipt allocated to FIN-00284</x:v>
      </x:c>
    </x:row>
    <x:row r="289">
      <x:c r="A289" s="20" t="str">
        <x:v>FIN-00286</x:v>
      </x:c>
      <x:c r="B289" s="23" t="n">
        <x:v>46478</x:v>
      </x:c>
      <x:c r="C289" s="23" t="n">
        <x:v>46478</x:v>
      </x:c>
      <x:c r="D289" s="20" t="str">
        <x:v>TenantCharge</x:v>
      </x:c>
      <x:c r="E289" s="20" t="str">
        <x:v>Rent</x:v>
      </x:c>
      <x:c r="F289" s="20" t="str">
        <x:v>P019</x:v>
      </x:c>
      <x:c r="G289" s="20" t="str">
        <x:v>U019</x:v>
      </x:c>
      <x:c r="H289" s="20" t="str">
        <x:v>L019</x:v>
      </x:c>
      <x:c r="I289" s="20" t="str">
        <x:v>Jordan Reed</x:v>
      </x:c>
      <x:c r="J289" s="35" t="str">
        <x:v>System scheduled charge</x:v>
      </x:c>
      <x:c r="K289" s="20" t="str"/>
      <x:c r="L289" s="20" t="str">
        <x:v>RENT-202704-L019</x:v>
      </x:c>
      <x:c r="M289" s="26" t="n">
        <x:v>1125</x:v>
      </x:c>
      <x:c r="N289" s="26" t="n">
        <x:v>1125</x:v>
      </x:c>
      <x:c r="O289" s="26" t="n">
        <x:v>0</x:v>
      </x:c>
      <x:c r="P289" s="26" t="n">
        <x:v>0</x:v>
      </x:c>
      <x:c r="Q289" s="26" t="n">
        <x:v>0</x:v>
      </x:c>
      <x:c r="R289" s="26" t="n">
        <x:v>0</x:v>
      </x:c>
      <x:c r="S289" s="26" t="n">
        <x:v>0</x:v>
      </x:c>
      <x:c r="T289" s="26" t="n">
        <x:v>1125</x:v>
      </x:c>
      <x:c r="U289" s="26" t="n">
        <x:v>0</x:v>
      </x:c>
      <x:c r="V289" s="26" t="n">
        <x:v>0</x:v>
      </x:c>
      <x:c r="W289" s="26" t="n">
        <x:v>0</x:v>
      </x:c>
      <x:c r="X289" s="26" t="n">
        <x:v>0</x:v>
      </x:c>
      <x:c r="Y289" s="26" t="n">
        <x:v>0</x:v>
      </x:c>
      <x:c r="Z289" s="35" t="str">
        <x:v>April 2027 rent</x:v>
      </x:c>
    </x:row>
    <x:row r="290">
      <x:c r="A290" s="20" t="str">
        <x:v>FIN-00287</x:v>
      </x:c>
      <x:c r="B290" s="23" t="n">
        <x:v>46481</x:v>
      </x:c>
      <x:c r="C290" s="23" t="n">
        <x:v>46481</x:v>
      </x:c>
      <x:c r="D290" s="20" t="str">
        <x:v>TenantReceipt</x:v>
      </x:c>
      <x:c r="E290" s="20" t="str">
        <x:v>Rent receipt</x:v>
      </x:c>
      <x:c r="F290" s="20" t="str">
        <x:v>P019</x:v>
      </x:c>
      <x:c r="G290" s="20" t="str">
        <x:v>U019</x:v>
      </x:c>
      <x:c r="H290" s="20" t="str">
        <x:v>L019</x:v>
      </x:c>
      <x:c r="I290" s="20" t="str">
        <x:v>Jordan Reed</x:v>
      </x:c>
      <x:c r="J290" s="35" t="str">
        <x:v>Portal card</x:v>
      </x:c>
      <x:c r="K290" s="20" t="str"/>
      <x:c r="L290" s="20" t="str">
        <x:v>PMT-20270404-L019</x:v>
      </x:c>
      <x:c r="M290" s="26" t="n">
        <x:v>1125</x:v>
      </x:c>
      <x:c r="N290" s="26" t="n">
        <x:v>-1125</x:v>
      </x:c>
      <x:c r="O290" s="26" t="n">
        <x:v>1125</x:v>
      </x:c>
      <x:c r="P290" s="26" t="n">
        <x:v>0</x:v>
      </x:c>
      <x:c r="Q290" s="26" t="n">
        <x:v>0</x:v>
      </x:c>
      <x:c r="R290" s="26" t="n">
        <x:v>0</x:v>
      </x:c>
      <x:c r="S290" s="26" t="n">
        <x:v>0</x:v>
      </x:c>
      <x:c r="T290" s="26" t="n">
        <x:v>0</x:v>
      </x:c>
      <x:c r="U290" s="26" t="n">
        <x:v>0</x:v>
      </x:c>
      <x:c r="V290" s="26" t="n">
        <x:v>0</x:v>
      </x:c>
      <x:c r="W290" s="26" t="n">
        <x:v>0</x:v>
      </x:c>
      <x:c r="X290" s="26" t="n">
        <x:v>0</x:v>
      </x:c>
      <x:c r="Y290" s="26" t="n">
        <x:v>0</x:v>
      </x:c>
      <x:c r="Z290" s="35" t="str">
        <x:v>Receipt allocated to FIN-00286</x:v>
      </x:c>
    </x:row>
    <x:row r="291">
      <x:c r="A291" s="20" t="str">
        <x:v>FIN-00288</x:v>
      </x:c>
      <x:c r="B291" s="23" t="n">
        <x:v>46478</x:v>
      </x:c>
      <x:c r="C291" s="23" t="n">
        <x:v>46478</x:v>
      </x:c>
      <x:c r="D291" s="20" t="str">
        <x:v>TenantCharge</x:v>
      </x:c>
      <x:c r="E291" s="20" t="str">
        <x:v>Rent</x:v>
      </x:c>
      <x:c r="F291" s="20" t="str">
        <x:v>P020</x:v>
      </x:c>
      <x:c r="G291" s="20" t="str">
        <x:v>U020</x:v>
      </x:c>
      <x:c r="H291" s="20" t="str">
        <x:v>L020</x:v>
      </x:c>
      <x:c r="I291" s="20" t="str">
        <x:v>Morgan Adams</x:v>
      </x:c>
      <x:c r="J291" s="35" t="str">
        <x:v>System scheduled charge</x:v>
      </x:c>
      <x:c r="K291" s="20" t="str"/>
      <x:c r="L291" s="20" t="str">
        <x:v>RENT-202704-L020</x:v>
      </x:c>
      <x:c r="M291" s="26" t="n">
        <x:v>1650</x:v>
      </x:c>
      <x:c r="N291" s="26" t="n">
        <x:v>1650</x:v>
      </x:c>
      <x:c r="O291" s="26" t="n">
        <x:v>0</x:v>
      </x:c>
      <x:c r="P291" s="26" t="n">
        <x:v>0</x:v>
      </x:c>
      <x:c r="Q291" s="26" t="n">
        <x:v>0</x:v>
      </x:c>
      <x:c r="R291" s="26" t="n">
        <x:v>0</x:v>
      </x:c>
      <x:c r="S291" s="26" t="n">
        <x:v>0</x:v>
      </x:c>
      <x:c r="T291" s="26" t="n">
        <x:v>1650</x:v>
      </x:c>
      <x:c r="U291" s="26" t="n">
        <x:v>0</x:v>
      </x:c>
      <x:c r="V291" s="26" t="n">
        <x:v>0</x:v>
      </x:c>
      <x:c r="W291" s="26" t="n">
        <x:v>0</x:v>
      </x:c>
      <x:c r="X291" s="26" t="n">
        <x:v>0</x:v>
      </x:c>
      <x:c r="Y291" s="26" t="n">
        <x:v>0</x:v>
      </x:c>
      <x:c r="Z291" s="35" t="str">
        <x:v>April 2027 rent</x:v>
      </x:c>
    </x:row>
    <x:row r="292">
      <x:c r="A292" s="20" t="str">
        <x:v>FIN-00289</x:v>
      </x:c>
      <x:c r="B292" s="23" t="n">
        <x:v>46482</x:v>
      </x:c>
      <x:c r="C292" s="23" t="n">
        <x:v>46482</x:v>
      </x:c>
      <x:c r="D292" s="20" t="str">
        <x:v>TenantReceipt</x:v>
      </x:c>
      <x:c r="E292" s="20" t="str">
        <x:v>Rent receipt</x:v>
      </x:c>
      <x:c r="F292" s="20" t="str">
        <x:v>P020</x:v>
      </x:c>
      <x:c r="G292" s="20" t="str">
        <x:v>U020</x:v>
      </x:c>
      <x:c r="H292" s="20" t="str">
        <x:v>L020</x:v>
      </x:c>
      <x:c r="I292" s="20" t="str">
        <x:v>Morgan Adams</x:v>
      </x:c>
      <x:c r="J292" s="35" t="str">
        <x:v>Scanned check</x:v>
      </x:c>
      <x:c r="K292" s="20" t="str">
        <x:v>SCN-0158</x:v>
      </x:c>
      <x:c r="L292" s="20" t="str">
        <x:v>PMT-20270405-L020</x:v>
      </x:c>
      <x:c r="M292" s="26" t="n">
        <x:v>1650</x:v>
      </x:c>
      <x:c r="N292" s="26" t="n">
        <x:v>-1650</x:v>
      </x:c>
      <x:c r="O292" s="26" t="n">
        <x:v>1650</x:v>
      </x:c>
      <x:c r="P292" s="26" t="n">
        <x:v>0</x:v>
      </x:c>
      <x:c r="Q292" s="26" t="n">
        <x:v>0</x:v>
      </x:c>
      <x:c r="R292" s="26" t="n">
        <x:v>0</x:v>
      </x:c>
      <x:c r="S292" s="26" t="n">
        <x:v>0</x:v>
      </x:c>
      <x:c r="T292" s="26" t="n">
        <x:v>0</x:v>
      </x:c>
      <x:c r="U292" s="26" t="n">
        <x:v>0</x:v>
      </x:c>
      <x:c r="V292" s="26" t="n">
        <x:v>0</x:v>
      </x:c>
      <x:c r="W292" s="26" t="n">
        <x:v>0</x:v>
      </x:c>
      <x:c r="X292" s="26" t="n">
        <x:v>0</x:v>
      </x:c>
      <x:c r="Y292" s="26" t="n">
        <x:v>0</x:v>
      </x:c>
      <x:c r="Z292" s="35" t="str">
        <x:v>Receipt allocated to FIN-00288</x:v>
      </x:c>
    </x:row>
    <x:row r="293">
      <x:c r="A293" s="20" t="str">
        <x:v>FIN-00290</x:v>
      </x:c>
      <x:c r="B293" s="23" t="n">
        <x:v>46478</x:v>
      </x:c>
      <x:c r="C293" s="23" t="n">
        <x:v>46478</x:v>
      </x:c>
      <x:c r="D293" s="20" t="str">
        <x:v>TenantCharge</x:v>
      </x:c>
      <x:c r="E293" s="20" t="str">
        <x:v>Rent</x:v>
      </x:c>
      <x:c r="F293" s="20" t="str">
        <x:v>P021</x:v>
      </x:c>
      <x:c r="G293" s="20" t="str">
        <x:v>U021</x:v>
      </x:c>
      <x:c r="H293" s="20" t="str">
        <x:v>L021</x:v>
      </x:c>
      <x:c r="I293" s="20" t="str">
        <x:v>Parker Flores</x:v>
      </x:c>
      <x:c r="J293" s="35" t="str">
        <x:v>System scheduled charge</x:v>
      </x:c>
      <x:c r="K293" s="20" t="str"/>
      <x:c r="L293" s="20" t="str">
        <x:v>RENT-202704-L021</x:v>
      </x:c>
      <x:c r="M293" s="26" t="n">
        <x:v>1375</x:v>
      </x:c>
      <x:c r="N293" s="26" t="n">
        <x:v>1375</x:v>
      </x:c>
      <x:c r="O293" s="26" t="n">
        <x:v>0</x:v>
      </x:c>
      <x:c r="P293" s="26" t="n">
        <x:v>0</x:v>
      </x:c>
      <x:c r="Q293" s="26" t="n">
        <x:v>0</x:v>
      </x:c>
      <x:c r="R293" s="26" t="n">
        <x:v>0</x:v>
      </x:c>
      <x:c r="S293" s="26" t="n">
        <x:v>0</x:v>
      </x:c>
      <x:c r="T293" s="26" t="n">
        <x:v>1375</x:v>
      </x:c>
      <x:c r="U293" s="26" t="n">
        <x:v>0</x:v>
      </x:c>
      <x:c r="V293" s="26" t="n">
        <x:v>0</x:v>
      </x:c>
      <x:c r="W293" s="26" t="n">
        <x:v>0</x:v>
      </x:c>
      <x:c r="X293" s="26" t="n">
        <x:v>0</x:v>
      </x:c>
      <x:c r="Y293" s="26" t="n">
        <x:v>0</x:v>
      </x:c>
      <x:c r="Z293" s="35" t="str">
        <x:v>April 2027 rent</x:v>
      </x:c>
    </x:row>
    <x:row r="294">
      <x:c r="A294" s="20" t="str">
        <x:v>FIN-00291</x:v>
      </x:c>
      <x:c r="B294" s="23" t="n">
        <x:v>46480</x:v>
      </x:c>
      <x:c r="C294" s="23" t="n">
        <x:v>46480</x:v>
      </x:c>
      <x:c r="D294" s="20" t="str">
        <x:v>TenantReceipt</x:v>
      </x:c>
      <x:c r="E294" s="20" t="str">
        <x:v>Rent receipt</x:v>
      </x:c>
      <x:c r="F294" s="20" t="str">
        <x:v>P021</x:v>
      </x:c>
      <x:c r="G294" s="20" t="str">
        <x:v>U021</x:v>
      </x:c>
      <x:c r="H294" s="20" t="str">
        <x:v>L021</x:v>
      </x:c>
      <x:c r="I294" s="20" t="str">
        <x:v>Parker Flores</x:v>
      </x:c>
      <x:c r="J294" s="35" t="str">
        <x:v>Scanned money order</x:v>
      </x:c>
      <x:c r="K294" s="20" t="str">
        <x:v>SCN-0159</x:v>
      </x:c>
      <x:c r="L294" s="20" t="str">
        <x:v>PMT-20270403-L021</x:v>
      </x:c>
      <x:c r="M294" s="26" t="n">
        <x:v>1375</x:v>
      </x:c>
      <x:c r="N294" s="26" t="n">
        <x:v>-1375</x:v>
      </x:c>
      <x:c r="O294" s="26" t="n">
        <x:v>1375</x:v>
      </x:c>
      <x:c r="P294" s="26" t="n">
        <x:v>0</x:v>
      </x:c>
      <x:c r="Q294" s="26" t="n">
        <x:v>0</x:v>
      </x:c>
      <x:c r="R294" s="26" t="n">
        <x:v>0</x:v>
      </x:c>
      <x:c r="S294" s="26" t="n">
        <x:v>0</x:v>
      </x:c>
      <x:c r="T294" s="26" t="n">
        <x:v>0</x:v>
      </x:c>
      <x:c r="U294" s="26" t="n">
        <x:v>0</x:v>
      </x:c>
      <x:c r="V294" s="26" t="n">
        <x:v>0</x:v>
      </x:c>
      <x:c r="W294" s="26" t="n">
        <x:v>0</x:v>
      </x:c>
      <x:c r="X294" s="26" t="n">
        <x:v>0</x:v>
      </x:c>
      <x:c r="Y294" s="26" t="n">
        <x:v>0</x:v>
      </x:c>
      <x:c r="Z294" s="35" t="str">
        <x:v>Receipt allocated to FIN-00290</x:v>
      </x:c>
    </x:row>
    <x:row r="295">
      <x:c r="A295" s="20" t="str">
        <x:v>FIN-00292</x:v>
      </x:c>
      <x:c r="B295" s="23" t="n">
        <x:v>46478</x:v>
      </x:c>
      <x:c r="C295" s="23" t="n">
        <x:v>46478</x:v>
      </x:c>
      <x:c r="D295" s="20" t="str">
        <x:v>TenantCharge</x:v>
      </x:c>
      <x:c r="E295" s="20" t="str">
        <x:v>Rent</x:v>
      </x:c>
      <x:c r="F295" s="20" t="str">
        <x:v>P021</x:v>
      </x:c>
      <x:c r="G295" s="20" t="str">
        <x:v>U022</x:v>
      </x:c>
      <x:c r="H295" s="20" t="str">
        <x:v>L022</x:v>
      </x:c>
      <x:c r="I295" s="20" t="str">
        <x:v>Sage King</x:v>
      </x:c>
      <x:c r="J295" s="35" t="str">
        <x:v>System scheduled charge</x:v>
      </x:c>
      <x:c r="K295" s="20" t="str"/>
      <x:c r="L295" s="20" t="str">
        <x:v>RENT-202704-L022</x:v>
      </x:c>
      <x:c r="M295" s="26" t="n">
        <x:v>1900</x:v>
      </x:c>
      <x:c r="N295" s="26" t="n">
        <x:v>1900</x:v>
      </x:c>
      <x:c r="O295" s="26" t="n">
        <x:v>0</x:v>
      </x:c>
      <x:c r="P295" s="26" t="n">
        <x:v>0</x:v>
      </x:c>
      <x:c r="Q295" s="26" t="n">
        <x:v>0</x:v>
      </x:c>
      <x:c r="R295" s="26" t="n">
        <x:v>0</x:v>
      </x:c>
      <x:c r="S295" s="26" t="n">
        <x:v>0</x:v>
      </x:c>
      <x:c r="T295" s="26" t="n">
        <x:v>1900</x:v>
      </x:c>
      <x:c r="U295" s="26" t="n">
        <x:v>0</x:v>
      </x:c>
      <x:c r="V295" s="26" t="n">
        <x:v>0</x:v>
      </x:c>
      <x:c r="W295" s="26" t="n">
        <x:v>0</x:v>
      </x:c>
      <x:c r="X295" s="26" t="n">
        <x:v>0</x:v>
      </x:c>
      <x:c r="Y295" s="26" t="n">
        <x:v>0</x:v>
      </x:c>
      <x:c r="Z295" s="35" t="str">
        <x:v>April 2027 rent</x:v>
      </x:c>
    </x:row>
    <x:row r="296">
      <x:c r="A296" s="20" t="str">
        <x:v>FIN-00293</x:v>
      </x:c>
      <x:c r="B296" s="23" t="n">
        <x:v>46480</x:v>
      </x:c>
      <x:c r="C296" s="23" t="n">
        <x:v>46480</x:v>
      </x:c>
      <x:c r="D296" s="20" t="str">
        <x:v>TenantReceipt</x:v>
      </x:c>
      <x:c r="E296" s="20" t="str">
        <x:v>Rent receipt</x:v>
      </x:c>
      <x:c r="F296" s="20" t="str">
        <x:v>P021</x:v>
      </x:c>
      <x:c r="G296" s="20" t="str">
        <x:v>U022</x:v>
      </x:c>
      <x:c r="H296" s="20" t="str">
        <x:v>L022</x:v>
      </x:c>
      <x:c r="I296" s="20" t="str">
        <x:v>Sage King</x:v>
      </x:c>
      <x:c r="J296" s="35" t="str">
        <x:v>Manual ACH</x:v>
      </x:c>
      <x:c r="K296" s="20" t="str"/>
      <x:c r="L296" s="20" t="str">
        <x:v>PMT-20270403-L022-A</x:v>
      </x:c>
      <x:c r="M296" s="26" t="n">
        <x:v>1140</x:v>
      </x:c>
      <x:c r="N296" s="26" t="n">
        <x:v>-1140</x:v>
      </x:c>
      <x:c r="O296" s="26" t="n">
        <x:v>1140</x:v>
      </x:c>
      <x:c r="P296" s="26" t="n">
        <x:v>0</x:v>
      </x:c>
      <x:c r="Q296" s="26" t="n">
        <x:v>0</x:v>
      </x:c>
      <x:c r="R296" s="26" t="n">
        <x:v>0</x:v>
      </x:c>
      <x:c r="S296" s="26" t="n">
        <x:v>0</x:v>
      </x:c>
      <x:c r="T296" s="26" t="n">
        <x:v>0</x:v>
      </x:c>
      <x:c r="U296" s="26" t="n">
        <x:v>0</x:v>
      </x:c>
      <x:c r="V296" s="26" t="n">
        <x:v>0</x:v>
      </x:c>
      <x:c r="W296" s="26" t="n">
        <x:v>0</x:v>
      </x:c>
      <x:c r="X296" s="26" t="n">
        <x:v>0</x:v>
      </x:c>
      <x:c r="Y296" s="26" t="n">
        <x:v>0</x:v>
      </x:c>
      <x:c r="Z296" s="35" t="str">
        <x:v>Receipt allocated to FIN-00292</x:v>
      </x:c>
    </x:row>
    <x:row r="297">
      <x:c r="A297" s="20" t="str">
        <x:v>FIN-00294</x:v>
      </x:c>
      <x:c r="B297" s="23" t="n">
        <x:v>46483</x:v>
      </x:c>
      <x:c r="C297" s="23" t="n">
        <x:v>46483</x:v>
      </x:c>
      <x:c r="D297" s="20" t="str">
        <x:v>TenantCharge</x:v>
      </x:c>
      <x:c r="E297" s="20" t="str">
        <x:v>Late fee</x:v>
      </x:c>
      <x:c r="F297" s="20" t="str">
        <x:v>P021</x:v>
      </x:c>
      <x:c r="G297" s="20" t="str">
        <x:v>U022</x:v>
      </x:c>
      <x:c r="H297" s="20" t="str">
        <x:v>L022</x:v>
      </x:c>
      <x:c r="I297" s="20" t="str">
        <x:v>Sage King</x:v>
      </x:c>
      <x:c r="J297" s="35" t="str">
        <x:v>System automation</x:v>
      </x:c>
      <x:c r="K297" s="20" t="str"/>
      <x:c r="L297" s="20" t="str">
        <x:v>LATE-202704-L022</x:v>
      </x:c>
      <x:c r="M297" s="26" t="n">
        <x:v>50</x:v>
      </x:c>
      <x:c r="N297" s="26" t="n">
        <x:v>50</x:v>
      </x:c>
      <x:c r="O297" s="26" t="n">
        <x:v>0</x:v>
      </x:c>
      <x:c r="P297" s="26" t="n">
        <x:v>0</x:v>
      </x:c>
      <x:c r="Q297" s="26" t="n">
        <x:v>0</x:v>
      </x:c>
      <x:c r="R297" s="26" t="n">
        <x:v>0</x:v>
      </x:c>
      <x:c r="S297" s="26" t="n">
        <x:v>0</x:v>
      </x:c>
      <x:c r="T297" s="26" t="n">
        <x:v>50</x:v>
      </x:c>
      <x:c r="U297" s="26" t="n">
        <x:v>0</x:v>
      </x:c>
      <x:c r="V297" s="26" t="n">
        <x:v>0</x:v>
      </x:c>
      <x:c r="W297" s="26" t="n">
        <x:v>0</x:v>
      </x:c>
      <x:c r="X297" s="26" t="n">
        <x:v>0</x:v>
      </x:c>
      <x:c r="Y297" s="26" t="n">
        <x:v>0</x:v>
      </x:c>
      <x:c r="Z297" s="35" t="str">
        <x:v>Synthetic lease-authorized late fee after partial payment</x:v>
      </x:c>
    </x:row>
    <x:row r="298">
      <x:c r="A298" s="20" t="str">
        <x:v>FIN-00295</x:v>
      </x:c>
      <x:c r="B298" s="23" t="n">
        <x:v>46489</x:v>
      </x:c>
      <x:c r="C298" s="23" t="n">
        <x:v>46489</x:v>
      </x:c>
      <x:c r="D298" s="20" t="str">
        <x:v>TenantReceipt</x:v>
      </x:c>
      <x:c r="E298" s="20" t="str">
        <x:v>Rent receipt</x:v>
      </x:c>
      <x:c r="F298" s="20" t="str">
        <x:v>P021</x:v>
      </x:c>
      <x:c r="G298" s="20" t="str">
        <x:v>U022</x:v>
      </x:c>
      <x:c r="H298" s="20" t="str">
        <x:v>L022</x:v>
      </x:c>
      <x:c r="I298" s="20" t="str">
        <x:v>Sage King</x:v>
      </x:c>
      <x:c r="J298" s="35" t="str">
        <x:v>Scanned check</x:v>
      </x:c>
      <x:c r="K298" s="20" t="str">
        <x:v>SCN-0160</x:v>
      </x:c>
      <x:c r="L298" s="20" t="str">
        <x:v>PMT-20270412-L022-B</x:v>
      </x:c>
      <x:c r="M298" s="26" t="n">
        <x:v>810</x:v>
      </x:c>
      <x:c r="N298" s="26" t="n">
        <x:v>-810</x:v>
      </x:c>
      <x:c r="O298" s="26" t="n">
        <x:v>810</x:v>
      </x:c>
      <x:c r="P298" s="26" t="n">
        <x:v>0</x:v>
      </x:c>
      <x:c r="Q298" s="26" t="n">
        <x:v>0</x:v>
      </x:c>
      <x:c r="R298" s="26" t="n">
        <x:v>0</x:v>
      </x:c>
      <x:c r="S298" s="26" t="n">
        <x:v>0</x:v>
      </x:c>
      <x:c r="T298" s="26" t="n">
        <x:v>0</x:v>
      </x:c>
      <x:c r="U298" s="26" t="n">
        <x:v>0</x:v>
      </x:c>
      <x:c r="V298" s="26" t="n">
        <x:v>0</x:v>
      </x:c>
      <x:c r="W298" s="26" t="n">
        <x:v>0</x:v>
      </x:c>
      <x:c r="X298" s="26" t="n">
        <x:v>0</x:v>
      </x:c>
      <x:c r="Y298" s="26" t="n">
        <x:v>0</x:v>
      </x:c>
      <x:c r="Z298" s="35" t="str">
        <x:v>Receipt allocated to FIN-00294</x:v>
      </x:c>
    </x:row>
    <x:row r="299">
      <x:c r="A299" s="20" t="str">
        <x:v>FIN-00296</x:v>
      </x:c>
      <x:c r="B299" s="23" t="n">
        <x:v>46478</x:v>
      </x:c>
      <x:c r="C299" s="23" t="n">
        <x:v>46478</x:v>
      </x:c>
      <x:c r="D299" s="20" t="str">
        <x:v>TenantCharge</x:v>
      </x:c>
      <x:c r="E299" s="20" t="str">
        <x:v>Rent</x:v>
      </x:c>
      <x:c r="F299" s="20" t="str">
        <x:v>P022</x:v>
      </x:c>
      <x:c r="G299" s="20" t="str">
        <x:v>U023</x:v>
      </x:c>
      <x:c r="H299" s="20" t="str">
        <x:v>L023</x:v>
      </x:c>
      <x:c r="I299" s="20" t="str">
        <x:v>Val Price</x:v>
      </x:c>
      <x:c r="J299" s="35" t="str">
        <x:v>System scheduled charge</x:v>
      </x:c>
      <x:c r="K299" s="20" t="str"/>
      <x:c r="L299" s="20" t="str">
        <x:v>RENT-202704-L023</x:v>
      </x:c>
      <x:c r="M299" s="26" t="n">
        <x:v>1525</x:v>
      </x:c>
      <x:c r="N299" s="26" t="n">
        <x:v>1525</x:v>
      </x:c>
      <x:c r="O299" s="26" t="n">
        <x:v>0</x:v>
      </x:c>
      <x:c r="P299" s="26" t="n">
        <x:v>0</x:v>
      </x:c>
      <x:c r="Q299" s="26" t="n">
        <x:v>0</x:v>
      </x:c>
      <x:c r="R299" s="26" t="n">
        <x:v>0</x:v>
      </x:c>
      <x:c r="S299" s="26" t="n">
        <x:v>0</x:v>
      </x:c>
      <x:c r="T299" s="26" t="n">
        <x:v>1525</x:v>
      </x:c>
      <x:c r="U299" s="26" t="n">
        <x:v>0</x:v>
      </x:c>
      <x:c r="V299" s="26" t="n">
        <x:v>0</x:v>
      </x:c>
      <x:c r="W299" s="26" t="n">
        <x:v>0</x:v>
      </x:c>
      <x:c r="X299" s="26" t="n">
        <x:v>0</x:v>
      </x:c>
      <x:c r="Y299" s="26" t="n">
        <x:v>0</x:v>
      </x:c>
      <x:c r="Z299" s="35" t="str">
        <x:v>April 2027 rent</x:v>
      </x:c>
    </x:row>
    <x:row r="300">
      <x:c r="A300" s="20" t="str">
        <x:v>FIN-00297</x:v>
      </x:c>
      <x:c r="B300" s="23" t="n">
        <x:v>46482</x:v>
      </x:c>
      <x:c r="C300" s="23" t="n">
        <x:v>46482</x:v>
      </x:c>
      <x:c r="D300" s="20" t="str">
        <x:v>TenantReceipt</x:v>
      </x:c>
      <x:c r="E300" s="20" t="str">
        <x:v>Rent receipt</x:v>
      </x:c>
      <x:c r="F300" s="20" t="str">
        <x:v>P022</x:v>
      </x:c>
      <x:c r="G300" s="20" t="str">
        <x:v>U023</x:v>
      </x:c>
      <x:c r="H300" s="20" t="str">
        <x:v>L023</x:v>
      </x:c>
      <x:c r="I300" s="20" t="str">
        <x:v>Val Price</x:v>
      </x:c>
      <x:c r="J300" s="35" t="str">
        <x:v>Portal card</x:v>
      </x:c>
      <x:c r="K300" s="20" t="str"/>
      <x:c r="L300" s="20" t="str">
        <x:v>PMT-20270405-L023</x:v>
      </x:c>
      <x:c r="M300" s="26" t="n">
        <x:v>1525</x:v>
      </x:c>
      <x:c r="N300" s="26" t="n">
        <x:v>-1525</x:v>
      </x:c>
      <x:c r="O300" s="26" t="n">
        <x:v>1525</x:v>
      </x:c>
      <x:c r="P300" s="26" t="n">
        <x:v>0</x:v>
      </x:c>
      <x:c r="Q300" s="26" t="n">
        <x:v>0</x:v>
      </x:c>
      <x:c r="R300" s="26" t="n">
        <x:v>0</x:v>
      </x:c>
      <x:c r="S300" s="26" t="n">
        <x:v>0</x:v>
      </x:c>
      <x:c r="T300" s="26" t="n">
        <x:v>0</x:v>
      </x:c>
      <x:c r="U300" s="26" t="n">
        <x:v>0</x:v>
      </x:c>
      <x:c r="V300" s="26" t="n">
        <x:v>0</x:v>
      </x:c>
      <x:c r="W300" s="26" t="n">
        <x:v>0</x:v>
      </x:c>
      <x:c r="X300" s="26" t="n">
        <x:v>0</x:v>
      </x:c>
      <x:c r="Y300" s="26" t="n">
        <x:v>0</x:v>
      </x:c>
      <x:c r="Z300" s="35" t="str">
        <x:v>Receipt allocated to FIN-00296</x:v>
      </x:c>
    </x:row>
    <x:row r="301">
      <x:c r="A301" s="20" t="str">
        <x:v>FIN-00298</x:v>
      </x:c>
      <x:c r="B301" s="23" t="n">
        <x:v>46478</x:v>
      </x:c>
      <x:c r="C301" s="23" t="n">
        <x:v>46478</x:v>
      </x:c>
      <x:c r="D301" s="20" t="str">
        <x:v>TenantCharge</x:v>
      </x:c>
      <x:c r="E301" s="20" t="str">
        <x:v>Rent</x:v>
      </x:c>
      <x:c r="F301" s="20" t="str">
        <x:v>P022</x:v>
      </x:c>
      <x:c r="G301" s="20" t="str">
        <x:v>U024</x:v>
      </x:c>
      <x:c r="H301" s="20" t="str">
        <x:v>L024</x:v>
      </x:c>
      <x:c r="I301" s="20" t="str">
        <x:v>Yara Brooks</x:v>
      </x:c>
      <x:c r="J301" s="35" t="str">
        <x:v>System scheduled charge</x:v>
      </x:c>
      <x:c r="K301" s="20" t="str"/>
      <x:c r="L301" s="20" t="str">
        <x:v>RENT-202704-L024</x:v>
      </x:c>
      <x:c r="M301" s="26" t="n">
        <x:v>1150</x:v>
      </x:c>
      <x:c r="N301" s="26" t="n">
        <x:v>1150</x:v>
      </x:c>
      <x:c r="O301" s="26" t="n">
        <x:v>0</x:v>
      </x:c>
      <x:c r="P301" s="26" t="n">
        <x:v>0</x:v>
      </x:c>
      <x:c r="Q301" s="26" t="n">
        <x:v>0</x:v>
      </x:c>
      <x:c r="R301" s="26" t="n">
        <x:v>0</x:v>
      </x:c>
      <x:c r="S301" s="26" t="n">
        <x:v>0</x:v>
      </x:c>
      <x:c r="T301" s="26" t="n">
        <x:v>1150</x:v>
      </x:c>
      <x:c r="U301" s="26" t="n">
        <x:v>0</x:v>
      </x:c>
      <x:c r="V301" s="26" t="n">
        <x:v>0</x:v>
      </x:c>
      <x:c r="W301" s="26" t="n">
        <x:v>0</x:v>
      </x:c>
      <x:c r="X301" s="26" t="n">
        <x:v>0</x:v>
      </x:c>
      <x:c r="Y301" s="26" t="n">
        <x:v>0</x:v>
      </x:c>
      <x:c r="Z301" s="35" t="str">
        <x:v>April 2027 rent</x:v>
      </x:c>
    </x:row>
    <x:row r="302">
      <x:c r="A302" s="20" t="str">
        <x:v>FIN-00299</x:v>
      </x:c>
      <x:c r="B302" s="23" t="n">
        <x:v>46480</x:v>
      </x:c>
      <x:c r="C302" s="23" t="n">
        <x:v>46480</x:v>
      </x:c>
      <x:c r="D302" s="20" t="str">
        <x:v>TenantReceipt</x:v>
      </x:c>
      <x:c r="E302" s="20" t="str">
        <x:v>Rent receipt</x:v>
      </x:c>
      <x:c r="F302" s="20" t="str">
        <x:v>P022</x:v>
      </x:c>
      <x:c r="G302" s="20" t="str">
        <x:v>U024</x:v>
      </x:c>
      <x:c r="H302" s="20" t="str">
        <x:v>L024</x:v>
      </x:c>
      <x:c r="I302" s="20" t="str">
        <x:v>Yara Brooks</x:v>
      </x:c>
      <x:c r="J302" s="35" t="str">
        <x:v>Scanned check</x:v>
      </x:c>
      <x:c r="K302" s="20" t="str">
        <x:v>SCN-0161</x:v>
      </x:c>
      <x:c r="L302" s="20" t="str">
        <x:v>PMT-20270403-L024</x:v>
      </x:c>
      <x:c r="M302" s="26" t="n">
        <x:v>1150</x:v>
      </x:c>
      <x:c r="N302" s="26" t="n">
        <x:v>-1150</x:v>
      </x:c>
      <x:c r="O302" s="26" t="n">
        <x:v>1150</x:v>
      </x:c>
      <x:c r="P302" s="26" t="n">
        <x:v>0</x:v>
      </x:c>
      <x:c r="Q302" s="26" t="n">
        <x:v>0</x:v>
      </x:c>
      <x:c r="R302" s="26" t="n">
        <x:v>0</x:v>
      </x:c>
      <x:c r="S302" s="26" t="n">
        <x:v>0</x:v>
      </x:c>
      <x:c r="T302" s="26" t="n">
        <x:v>0</x:v>
      </x:c>
      <x:c r="U302" s="26" t="n">
        <x:v>0</x:v>
      </x:c>
      <x:c r="V302" s="26" t="n">
        <x:v>0</x:v>
      </x:c>
      <x:c r="W302" s="26" t="n">
        <x:v>0</x:v>
      </x:c>
      <x:c r="X302" s="26" t="n">
        <x:v>0</x:v>
      </x:c>
      <x:c r="Y302" s="26" t="n">
        <x:v>0</x:v>
      </x:c>
      <x:c r="Z302" s="35" t="str">
        <x:v>Receipt allocated to FIN-00298</x:v>
      </x:c>
    </x:row>
    <x:row r="303">
      <x:c r="A303" s="20" t="str">
        <x:v>FIN-00300</x:v>
      </x:c>
      <x:c r="B303" s="23" t="n">
        <x:v>46478</x:v>
      </x:c>
      <x:c r="C303" s="23" t="n">
        <x:v>46478</x:v>
      </x:c>
      <x:c r="D303" s="20" t="str">
        <x:v>TenantCharge</x:v>
      </x:c>
      <x:c r="E303" s="20" t="str">
        <x:v>Rent</x:v>
      </x:c>
      <x:c r="F303" s="20" t="str">
        <x:v>P023</x:v>
      </x:c>
      <x:c r="G303" s="20" t="str">
        <x:v>U025</x:v>
      </x:c>
      <x:c r="H303" s="20" t="str">
        <x:v>L025</x:v>
      </x:c>
      <x:c r="I303" s="20" t="str">
        <x:v>Bennett Garcia</x:v>
      </x:c>
      <x:c r="J303" s="35" t="str">
        <x:v>System scheduled charge</x:v>
      </x:c>
      <x:c r="K303" s="20" t="str"/>
      <x:c r="L303" s="20" t="str">
        <x:v>RENT-202704-L025</x:v>
      </x:c>
      <x:c r="M303" s="26" t="n">
        <x:v>1675</x:v>
      </x:c>
      <x:c r="N303" s="26" t="n">
        <x:v>1675</x:v>
      </x:c>
      <x:c r="O303" s="26" t="n">
        <x:v>0</x:v>
      </x:c>
      <x:c r="P303" s="26" t="n">
        <x:v>0</x:v>
      </x:c>
      <x:c r="Q303" s="26" t="n">
        <x:v>0</x:v>
      </x:c>
      <x:c r="R303" s="26" t="n">
        <x:v>0</x:v>
      </x:c>
      <x:c r="S303" s="26" t="n">
        <x:v>0</x:v>
      </x:c>
      <x:c r="T303" s="26" t="n">
        <x:v>1675</x:v>
      </x:c>
      <x:c r="U303" s="26" t="n">
        <x:v>0</x:v>
      </x:c>
      <x:c r="V303" s="26" t="n">
        <x:v>0</x:v>
      </x:c>
      <x:c r="W303" s="26" t="n">
        <x:v>0</x:v>
      </x:c>
      <x:c r="X303" s="26" t="n">
        <x:v>0</x:v>
      </x:c>
      <x:c r="Y303" s="26" t="n">
        <x:v>0</x:v>
      </x:c>
      <x:c r="Z303" s="35" t="str">
        <x:v>April 2027 rent</x:v>
      </x:c>
    </x:row>
    <x:row r="304">
      <x:c r="A304" s="20" t="str">
        <x:v>FIN-00301</x:v>
      </x:c>
      <x:c r="B304" s="23" t="n">
        <x:v>46481</x:v>
      </x:c>
      <x:c r="C304" s="23" t="n">
        <x:v>46481</x:v>
      </x:c>
      <x:c r="D304" s="20" t="str">
        <x:v>TenantReceipt</x:v>
      </x:c>
      <x:c r="E304" s="20" t="str">
        <x:v>Rent receipt</x:v>
      </x:c>
      <x:c r="F304" s="20" t="str">
        <x:v>P023</x:v>
      </x:c>
      <x:c r="G304" s="20" t="str">
        <x:v>U025</x:v>
      </x:c>
      <x:c r="H304" s="20" t="str">
        <x:v>L025</x:v>
      </x:c>
      <x:c r="I304" s="20" t="str">
        <x:v>Bennett Garcia</x:v>
      </x:c>
      <x:c r="J304" s="35" t="str">
        <x:v>Scanned money order</x:v>
      </x:c>
      <x:c r="K304" s="20" t="str">
        <x:v>SCN-0162</x:v>
      </x:c>
      <x:c r="L304" s="20" t="str">
        <x:v>PMT-20270404-L025</x:v>
      </x:c>
      <x:c r="M304" s="26" t="n">
        <x:v>1675</x:v>
      </x:c>
      <x:c r="N304" s="26" t="n">
        <x:v>-1675</x:v>
      </x:c>
      <x:c r="O304" s="26" t="n">
        <x:v>1675</x:v>
      </x:c>
      <x:c r="P304" s="26" t="n">
        <x:v>0</x:v>
      </x:c>
      <x:c r="Q304" s="26" t="n">
        <x:v>0</x:v>
      </x:c>
      <x:c r="R304" s="26" t="n">
        <x:v>0</x:v>
      </x:c>
      <x:c r="S304" s="26" t="n">
        <x:v>0</x:v>
      </x:c>
      <x:c r="T304" s="26" t="n">
        <x:v>0</x:v>
      </x:c>
      <x:c r="U304" s="26" t="n">
        <x:v>0</x:v>
      </x:c>
      <x:c r="V304" s="26" t="n">
        <x:v>0</x:v>
      </x:c>
      <x:c r="W304" s="26" t="n">
        <x:v>0</x:v>
      </x:c>
      <x:c r="X304" s="26" t="n">
        <x:v>0</x:v>
      </x:c>
      <x:c r="Y304" s="26" t="n">
        <x:v>0</x:v>
      </x:c>
      <x:c r="Z304" s="35" t="str">
        <x:v>Receipt allocated to FIN-00300</x:v>
      </x:c>
    </x:row>
    <x:row r="305">
      <x:c r="A305" s="20" t="str">
        <x:v>FIN-00302</x:v>
      </x:c>
      <x:c r="B305" s="23" t="n">
        <x:v>46478</x:v>
      </x:c>
      <x:c r="C305" s="23" t="n">
        <x:v>46478</x:v>
      </x:c>
      <x:c r="D305" s="20" t="str">
        <x:v>TenantCharge</x:v>
      </x:c>
      <x:c r="E305" s="20" t="str">
        <x:v>Rent</x:v>
      </x:c>
      <x:c r="F305" s="20" t="str">
        <x:v>P023</x:v>
      </x:c>
      <x:c r="G305" s="20" t="str">
        <x:v>U026</x:v>
      </x:c>
      <x:c r="H305" s="20" t="str">
        <x:v>L026</x:v>
      </x:c>
      <x:c r="I305" s="20" t="str">
        <x:v>Elena Lewis</x:v>
      </x:c>
      <x:c r="J305" s="35" t="str">
        <x:v>System scheduled charge</x:v>
      </x:c>
      <x:c r="K305" s="20" t="str"/>
      <x:c r="L305" s="20" t="str">
        <x:v>RENT-202704-L026</x:v>
      </x:c>
      <x:c r="M305" s="26" t="n">
        <x:v>1300</x:v>
      </x:c>
      <x:c r="N305" s="26" t="n">
        <x:v>1300</x:v>
      </x:c>
      <x:c r="O305" s="26" t="n">
        <x:v>0</x:v>
      </x:c>
      <x:c r="P305" s="26" t="n">
        <x:v>0</x:v>
      </x:c>
      <x:c r="Q305" s="26" t="n">
        <x:v>0</x:v>
      </x:c>
      <x:c r="R305" s="26" t="n">
        <x:v>0</x:v>
      </x:c>
      <x:c r="S305" s="26" t="n">
        <x:v>0</x:v>
      </x:c>
      <x:c r="T305" s="26" t="n">
        <x:v>1300</x:v>
      </x:c>
      <x:c r="U305" s="26" t="n">
        <x:v>0</x:v>
      </x:c>
      <x:c r="V305" s="26" t="n">
        <x:v>0</x:v>
      </x:c>
      <x:c r="W305" s="26" t="n">
        <x:v>0</x:v>
      </x:c>
      <x:c r="X305" s="26" t="n">
        <x:v>0</x:v>
      </x:c>
      <x:c r="Y305" s="26" t="n">
        <x:v>0</x:v>
      </x:c>
      <x:c r="Z305" s="35" t="str">
        <x:v>April 2027 rent</x:v>
      </x:c>
    </x:row>
    <x:row r="306">
      <x:c r="A306" s="20" t="str">
        <x:v>FIN-00303</x:v>
      </x:c>
      <x:c r="B306" s="23" t="n">
        <x:v>46483</x:v>
      </x:c>
      <x:c r="C306" s="23" t="n">
        <x:v>46483</x:v>
      </x:c>
      <x:c r="D306" s="20" t="str">
        <x:v>TenantCharge</x:v>
      </x:c>
      <x:c r="E306" s="20" t="str">
        <x:v>Late fee</x:v>
      </x:c>
      <x:c r="F306" s="20" t="str">
        <x:v>P023</x:v>
      </x:c>
      <x:c r="G306" s="20" t="str">
        <x:v>U026</x:v>
      </x:c>
      <x:c r="H306" s="20" t="str">
        <x:v>L026</x:v>
      </x:c>
      <x:c r="I306" s="20" t="str">
        <x:v>Elena Lewis</x:v>
      </x:c>
      <x:c r="J306" s="35" t="str">
        <x:v>System automation</x:v>
      </x:c>
      <x:c r="K306" s="20" t="str"/>
      <x:c r="L306" s="20" t="str">
        <x:v>LATE-202704-L026</x:v>
      </x:c>
      <x:c r="M306" s="26" t="n">
        <x:v>50</x:v>
      </x:c>
      <x:c r="N306" s="26" t="n">
        <x:v>50</x:v>
      </x:c>
      <x:c r="O306" s="26" t="n">
        <x:v>0</x:v>
      </x:c>
      <x:c r="P306" s="26" t="n">
        <x:v>0</x:v>
      </x:c>
      <x:c r="Q306" s="26" t="n">
        <x:v>0</x:v>
      </x:c>
      <x:c r="R306" s="26" t="n">
        <x:v>0</x:v>
      </x:c>
      <x:c r="S306" s="26" t="n">
        <x:v>0</x:v>
      </x:c>
      <x:c r="T306" s="26" t="n">
        <x:v>50</x:v>
      </x:c>
      <x:c r="U306" s="26" t="n">
        <x:v>0</x:v>
      </x:c>
      <x:c r="V306" s="26" t="n">
        <x:v>0</x:v>
      </x:c>
      <x:c r="W306" s="26" t="n">
        <x:v>0</x:v>
      </x:c>
      <x:c r="X306" s="26" t="n">
        <x:v>0</x:v>
      </x:c>
      <x:c r="Y306" s="26" t="n">
        <x:v>0</x:v>
      </x:c>
      <x:c r="Z306" s="35" t="str">
        <x:v>Synthetic lease-authorized late fee</x:v>
      </x:c>
    </x:row>
    <x:row r="307">
      <x:c r="A307" s="20" t="str">
        <x:v>FIN-00304</x:v>
      </x:c>
      <x:c r="B307" s="23" t="n">
        <x:v>46485</x:v>
      </x:c>
      <x:c r="C307" s="23" t="n">
        <x:v>46485</x:v>
      </x:c>
      <x:c r="D307" s="20" t="str">
        <x:v>TenantReceipt</x:v>
      </x:c>
      <x:c r="E307" s="20" t="str">
        <x:v>Rent receipt</x:v>
      </x:c>
      <x:c r="F307" s="20" t="str">
        <x:v>P023</x:v>
      </x:c>
      <x:c r="G307" s="20" t="str">
        <x:v>U026</x:v>
      </x:c>
      <x:c r="H307" s="20" t="str">
        <x:v>L026</x:v>
      </x:c>
      <x:c r="I307" s="20" t="str">
        <x:v>Elena Lewis</x:v>
      </x:c>
      <x:c r="J307" s="35" t="str">
        <x:v>Scanned money order</x:v>
      </x:c>
      <x:c r="K307" s="20" t="str">
        <x:v>SCN-0163</x:v>
      </x:c>
      <x:c r="L307" s="20" t="str">
        <x:v>PMT-20270408-L026</x:v>
      </x:c>
      <x:c r="M307" s="26" t="n">
        <x:v>1350</x:v>
      </x:c>
      <x:c r="N307" s="26" t="n">
        <x:v>-1350</x:v>
      </x:c>
      <x:c r="O307" s="26" t="n">
        <x:v>1350</x:v>
      </x:c>
      <x:c r="P307" s="26" t="n">
        <x:v>0</x:v>
      </x:c>
      <x:c r="Q307" s="26" t="n">
        <x:v>0</x:v>
      </x:c>
      <x:c r="R307" s="26" t="n">
        <x:v>0</x:v>
      </x:c>
      <x:c r="S307" s="26" t="n">
        <x:v>0</x:v>
      </x:c>
      <x:c r="T307" s="26" t="n">
        <x:v>0</x:v>
      </x:c>
      <x:c r="U307" s="26" t="n">
        <x:v>0</x:v>
      </x:c>
      <x:c r="V307" s="26" t="n">
        <x:v>0</x:v>
      </x:c>
      <x:c r="W307" s="26" t="n">
        <x:v>0</x:v>
      </x:c>
      <x:c r="X307" s="26" t="n">
        <x:v>0</x:v>
      </x:c>
      <x:c r="Y307" s="26" t="n">
        <x:v>0</x:v>
      </x:c>
      <x:c r="Z307" s="35" t="str">
        <x:v>Receipt allocated to FIN-00303</x:v>
      </x:c>
    </x:row>
    <x:row r="308">
      <x:c r="A308" s="20" t="str">
        <x:v>FIN-00305</x:v>
      </x:c>
      <x:c r="B308" s="23" t="n">
        <x:v>46478</x:v>
      </x:c>
      <x:c r="C308" s="23" t="n">
        <x:v>46478</x:v>
      </x:c>
      <x:c r="D308" s="20" t="str">
        <x:v>TenantCharge</x:v>
      </x:c>
      <x:c r="E308" s="20" t="str">
        <x:v>Rent</x:v>
      </x:c>
      <x:c r="F308" s="20" t="str">
        <x:v>P024</x:v>
      </x:c>
      <x:c r="G308" s="20" t="str">
        <x:v>U027</x:v>
      </x:c>
      <x:c r="H308" s="20" t="str">
        <x:v>L027</x:v>
      </x:c>
      <x:c r="I308" s="20" t="str">
        <x:v>Hector Reed</x:v>
      </x:c>
      <x:c r="J308" s="35" t="str">
        <x:v>System scheduled charge</x:v>
      </x:c>
      <x:c r="K308" s="20" t="str"/>
      <x:c r="L308" s="20" t="str">
        <x:v>RENT-202704-L027</x:v>
      </x:c>
      <x:c r="M308" s="26" t="n">
        <x:v>1825</x:v>
      </x:c>
      <x:c r="N308" s="26" t="n">
        <x:v>1825</x:v>
      </x:c>
      <x:c r="O308" s="26" t="n">
        <x:v>0</x:v>
      </x:c>
      <x:c r="P308" s="26" t="n">
        <x:v>0</x:v>
      </x:c>
      <x:c r="Q308" s="26" t="n">
        <x:v>0</x:v>
      </x:c>
      <x:c r="R308" s="26" t="n">
        <x:v>0</x:v>
      </x:c>
      <x:c r="S308" s="26" t="n">
        <x:v>0</x:v>
      </x:c>
      <x:c r="T308" s="26" t="n">
        <x:v>1825</x:v>
      </x:c>
      <x:c r="U308" s="26" t="n">
        <x:v>0</x:v>
      </x:c>
      <x:c r="V308" s="26" t="n">
        <x:v>0</x:v>
      </x:c>
      <x:c r="W308" s="26" t="n">
        <x:v>0</x:v>
      </x:c>
      <x:c r="X308" s="26" t="n">
        <x:v>0</x:v>
      </x:c>
      <x:c r="Y308" s="26" t="n">
        <x:v>0</x:v>
      </x:c>
      <x:c r="Z308" s="35" t="str">
        <x:v>April 2027 rent</x:v>
      </x:c>
    </x:row>
    <x:row r="309">
      <x:c r="A309" s="20" t="str">
        <x:v>FIN-00306</x:v>
      </x:c>
      <x:c r="B309" s="23" t="n">
        <x:v>46480</x:v>
      </x:c>
      <x:c r="C309" s="23" t="n">
        <x:v>46480</x:v>
      </x:c>
      <x:c r="D309" s="20" t="str">
        <x:v>TenantReceipt</x:v>
      </x:c>
      <x:c r="E309" s="20" t="str">
        <x:v>Rent receipt</x:v>
      </x:c>
      <x:c r="F309" s="20" t="str">
        <x:v>P024</x:v>
      </x:c>
      <x:c r="G309" s="20" t="str">
        <x:v>U027</x:v>
      </x:c>
      <x:c r="H309" s="20" t="str">
        <x:v>L027</x:v>
      </x:c>
      <x:c r="I309" s="20" t="str">
        <x:v>Hector Reed</x:v>
      </x:c>
      <x:c r="J309" s="35" t="str">
        <x:v>Portal card</x:v>
      </x:c>
      <x:c r="K309" s="20" t="str"/>
      <x:c r="L309" s="20" t="str">
        <x:v>PMT-20270403-L027</x:v>
      </x:c>
      <x:c r="M309" s="26" t="n">
        <x:v>1825</x:v>
      </x:c>
      <x:c r="N309" s="26" t="n">
        <x:v>-1825</x:v>
      </x:c>
      <x:c r="O309" s="26" t="n">
        <x:v>1825</x:v>
      </x:c>
      <x:c r="P309" s="26" t="n">
        <x:v>0</x:v>
      </x:c>
      <x:c r="Q309" s="26" t="n">
        <x:v>0</x:v>
      </x:c>
      <x:c r="R309" s="26" t="n">
        <x:v>0</x:v>
      </x:c>
      <x:c r="S309" s="26" t="n">
        <x:v>0</x:v>
      </x:c>
      <x:c r="T309" s="26" t="n">
        <x:v>0</x:v>
      </x:c>
      <x:c r="U309" s="26" t="n">
        <x:v>0</x:v>
      </x:c>
      <x:c r="V309" s="26" t="n">
        <x:v>0</x:v>
      </x:c>
      <x:c r="W309" s="26" t="n">
        <x:v>0</x:v>
      </x:c>
      <x:c r="X309" s="26" t="n">
        <x:v>0</x:v>
      </x:c>
      <x:c r="Y309" s="26" t="n">
        <x:v>0</x:v>
      </x:c>
      <x:c r="Z309" s="35" t="str">
        <x:v>Receipt allocated to FIN-00305</x:v>
      </x:c>
    </x:row>
    <x:row r="310">
      <x:c r="A310" s="20" t="str">
        <x:v>FIN-00307</x:v>
      </x:c>
      <x:c r="B310" s="23" t="n">
        <x:v>46478</x:v>
      </x:c>
      <x:c r="C310" s="23" t="n">
        <x:v>46478</x:v>
      </x:c>
      <x:c r="D310" s="20" t="str">
        <x:v>TenantCharge</x:v>
      </x:c>
      <x:c r="E310" s="20" t="str">
        <x:v>Rent</x:v>
      </x:c>
      <x:c r="F310" s="20" t="str">
        <x:v>P024</x:v>
      </x:c>
      <x:c r="G310" s="20" t="str">
        <x:v>U028</x:v>
      </x:c>
      <x:c r="H310" s="20" t="str">
        <x:v>L028</x:v>
      </x:c>
      <x:c r="I310" s="20" t="str">
        <x:v>Keira Adams</x:v>
      </x:c>
      <x:c r="J310" s="35" t="str">
        <x:v>System scheduled charge</x:v>
      </x:c>
      <x:c r="K310" s="20" t="str"/>
      <x:c r="L310" s="20" t="str">
        <x:v>RENT-202704-L028</x:v>
      </x:c>
      <x:c r="M310" s="26" t="n">
        <x:v>1450</x:v>
      </x:c>
      <x:c r="N310" s="26" t="n">
        <x:v>1450</x:v>
      </x:c>
      <x:c r="O310" s="26" t="n">
        <x:v>0</x:v>
      </x:c>
      <x:c r="P310" s="26" t="n">
        <x:v>0</x:v>
      </x:c>
      <x:c r="Q310" s="26" t="n">
        <x:v>0</x:v>
      </x:c>
      <x:c r="R310" s="26" t="n">
        <x:v>0</x:v>
      </x:c>
      <x:c r="S310" s="26" t="n">
        <x:v>0</x:v>
      </x:c>
      <x:c r="T310" s="26" t="n">
        <x:v>1450</x:v>
      </x:c>
      <x:c r="U310" s="26" t="n">
        <x:v>0</x:v>
      </x:c>
      <x:c r="V310" s="26" t="n">
        <x:v>0</x:v>
      </x:c>
      <x:c r="W310" s="26" t="n">
        <x:v>0</x:v>
      </x:c>
      <x:c r="X310" s="26" t="n">
        <x:v>0</x:v>
      </x:c>
      <x:c r="Y310" s="26" t="n">
        <x:v>0</x:v>
      </x:c>
      <x:c r="Z310" s="35" t="str">
        <x:v>April 2027 rent</x:v>
      </x:c>
    </x:row>
    <x:row r="311">
      <x:c r="A311" s="20" t="str">
        <x:v>FIN-00308</x:v>
      </x:c>
      <x:c r="B311" s="23" t="n">
        <x:v>46481</x:v>
      </x:c>
      <x:c r="C311" s="23" t="n">
        <x:v>46481</x:v>
      </x:c>
      <x:c r="D311" s="20" t="str">
        <x:v>TenantReceipt</x:v>
      </x:c>
      <x:c r="E311" s="20" t="str">
        <x:v>Rent receipt</x:v>
      </x:c>
      <x:c r="F311" s="20" t="str">
        <x:v>P024</x:v>
      </x:c>
      <x:c r="G311" s="20" t="str">
        <x:v>U028</x:v>
      </x:c>
      <x:c r="H311" s="20" t="str">
        <x:v>L028</x:v>
      </x:c>
      <x:c r="I311" s="20" t="str">
        <x:v>Keira Adams</x:v>
      </x:c>
      <x:c r="J311" s="35" t="str">
        <x:v>Scanned check</x:v>
      </x:c>
      <x:c r="K311" s="20" t="str">
        <x:v>SCN-0164</x:v>
      </x:c>
      <x:c r="L311" s="20" t="str">
        <x:v>PMT-20270404-L028</x:v>
      </x:c>
      <x:c r="M311" s="26" t="n">
        <x:v>1450</x:v>
      </x:c>
      <x:c r="N311" s="26" t="n">
        <x:v>-1450</x:v>
      </x:c>
      <x:c r="O311" s="26" t="n">
        <x:v>1450</x:v>
      </x:c>
      <x:c r="P311" s="26" t="n">
        <x:v>0</x:v>
      </x:c>
      <x:c r="Q311" s="26" t="n">
        <x:v>0</x:v>
      </x:c>
      <x:c r="R311" s="26" t="n">
        <x:v>0</x:v>
      </x:c>
      <x:c r="S311" s="26" t="n">
        <x:v>0</x:v>
      </x:c>
      <x:c r="T311" s="26" t="n">
        <x:v>0</x:v>
      </x:c>
      <x:c r="U311" s="26" t="n">
        <x:v>0</x:v>
      </x:c>
      <x:c r="V311" s="26" t="n">
        <x:v>0</x:v>
      </x:c>
      <x:c r="W311" s="26" t="n">
        <x:v>0</x:v>
      </x:c>
      <x:c r="X311" s="26" t="n">
        <x:v>0</x:v>
      </x:c>
      <x:c r="Y311" s="26" t="n">
        <x:v>0</x:v>
      </x:c>
      <x:c r="Z311" s="35" t="str">
        <x:v>Receipt allocated to FIN-00307</x:v>
      </x:c>
    </x:row>
    <x:row r="312">
      <x:c r="A312" s="20" t="str">
        <x:v>FIN-00309</x:v>
      </x:c>
      <x:c r="B312" s="23" t="n">
        <x:v>46478</x:v>
      </x:c>
      <x:c r="C312" s="23" t="n">
        <x:v>46478</x:v>
      </x:c>
      <x:c r="D312" s="20" t="str">
        <x:v>TenantCharge</x:v>
      </x:c>
      <x:c r="E312" s="20" t="str">
        <x:v>Rent</x:v>
      </x:c>
      <x:c r="F312" s="20" t="str">
        <x:v>P025</x:v>
      </x:c>
      <x:c r="G312" s="20" t="str">
        <x:v>U029</x:v>
      </x:c>
      <x:c r="H312" s="20" t="str">
        <x:v>L029</x:v>
      </x:c>
      <x:c r="I312" s="20" t="str">
        <x:v>Nolan Flores</x:v>
      </x:c>
      <x:c r="J312" s="35" t="str">
        <x:v>System scheduled charge</x:v>
      </x:c>
      <x:c r="K312" s="20" t="str"/>
      <x:c r="L312" s="20" t="str">
        <x:v>RENT-202704-L029</x:v>
      </x:c>
      <x:c r="M312" s="26" t="n">
        <x:v>1975</x:v>
      </x:c>
      <x:c r="N312" s="26" t="n">
        <x:v>1975</x:v>
      </x:c>
      <x:c r="O312" s="26" t="n">
        <x:v>0</x:v>
      </x:c>
      <x:c r="P312" s="26" t="n">
        <x:v>0</x:v>
      </x:c>
      <x:c r="Q312" s="26" t="n">
        <x:v>0</x:v>
      </x:c>
      <x:c r="R312" s="26" t="n">
        <x:v>0</x:v>
      </x:c>
      <x:c r="S312" s="26" t="n">
        <x:v>0</x:v>
      </x:c>
      <x:c r="T312" s="26" t="n">
        <x:v>1975</x:v>
      </x:c>
      <x:c r="U312" s="26" t="n">
        <x:v>0</x:v>
      </x:c>
      <x:c r="V312" s="26" t="n">
        <x:v>0</x:v>
      </x:c>
      <x:c r="W312" s="26" t="n">
        <x:v>0</x:v>
      </x:c>
      <x:c r="X312" s="26" t="n">
        <x:v>0</x:v>
      </x:c>
      <x:c r="Y312" s="26" t="n">
        <x:v>0</x:v>
      </x:c>
      <x:c r="Z312" s="35" t="str">
        <x:v>April 2027 rent</x:v>
      </x:c>
    </x:row>
    <x:row r="313">
      <x:c r="A313" s="20" t="str">
        <x:v>FIN-00310</x:v>
      </x:c>
      <x:c r="B313" s="23" t="n">
        <x:v>46482</x:v>
      </x:c>
      <x:c r="C313" s="23" t="n">
        <x:v>46482</x:v>
      </x:c>
      <x:c r="D313" s="20" t="str">
        <x:v>TenantReceipt</x:v>
      </x:c>
      <x:c r="E313" s="20" t="str">
        <x:v>Rent receipt</x:v>
      </x:c>
      <x:c r="F313" s="20" t="str">
        <x:v>P025</x:v>
      </x:c>
      <x:c r="G313" s="20" t="str">
        <x:v>U029</x:v>
      </x:c>
      <x:c r="H313" s="20" t="str">
        <x:v>L029</x:v>
      </x:c>
      <x:c r="I313" s="20" t="str">
        <x:v>Nolan Flores</x:v>
      </x:c>
      <x:c r="J313" s="35" t="str">
        <x:v>Scanned money order</x:v>
      </x:c>
      <x:c r="K313" s="20" t="str">
        <x:v>SCN-0165</x:v>
      </x:c>
      <x:c r="L313" s="20" t="str">
        <x:v>PMT-20270405-L029</x:v>
      </x:c>
      <x:c r="M313" s="26" t="n">
        <x:v>1975</x:v>
      </x:c>
      <x:c r="N313" s="26" t="n">
        <x:v>-1975</x:v>
      </x:c>
      <x:c r="O313" s="26" t="n">
        <x:v>1975</x:v>
      </x:c>
      <x:c r="P313" s="26" t="n">
        <x:v>0</x:v>
      </x:c>
      <x:c r="Q313" s="26" t="n">
        <x:v>0</x:v>
      </x:c>
      <x:c r="R313" s="26" t="n">
        <x:v>0</x:v>
      </x:c>
      <x:c r="S313" s="26" t="n">
        <x:v>0</x:v>
      </x:c>
      <x:c r="T313" s="26" t="n">
        <x:v>0</x:v>
      </x:c>
      <x:c r="U313" s="26" t="n">
        <x:v>0</x:v>
      </x:c>
      <x:c r="V313" s="26" t="n">
        <x:v>0</x:v>
      </x:c>
      <x:c r="W313" s="26" t="n">
        <x:v>0</x:v>
      </x:c>
      <x:c r="X313" s="26" t="n">
        <x:v>0</x:v>
      </x:c>
      <x:c r="Y313" s="26" t="n">
        <x:v>0</x:v>
      </x:c>
      <x:c r="Z313" s="35" t="str">
        <x:v>Receipt allocated to FIN-00309</x:v>
      </x:c>
    </x:row>
    <x:row r="314">
      <x:c r="A314" s="20" t="str">
        <x:v>FIN-00311</x:v>
      </x:c>
      <x:c r="B314" s="23" t="n">
        <x:v>46478</x:v>
      </x:c>
      <x:c r="C314" s="23" t="n">
        <x:v>46478</x:v>
      </x:c>
      <x:c r="D314" s="20" t="str">
        <x:v>TenantCharge</x:v>
      </x:c>
      <x:c r="E314" s="20" t="str">
        <x:v>Rent</x:v>
      </x:c>
      <x:c r="F314" s="20" t="str">
        <x:v>P025</x:v>
      </x:c>
      <x:c r="G314" s="20" t="str">
        <x:v>U030</x:v>
      </x:c>
      <x:c r="H314" s="20" t="str">
        <x:v>L030</x:v>
      </x:c>
      <x:c r="I314" s="20" t="str">
        <x:v>Rina King</x:v>
      </x:c>
      <x:c r="J314" s="35" t="str">
        <x:v>System scheduled charge</x:v>
      </x:c>
      <x:c r="K314" s="20" t="str"/>
      <x:c r="L314" s="20" t="str">
        <x:v>RENT-202704-L030</x:v>
      </x:c>
      <x:c r="M314" s="26" t="n">
        <x:v>1600</x:v>
      </x:c>
      <x:c r="N314" s="26" t="n">
        <x:v>1600</x:v>
      </x:c>
      <x:c r="O314" s="26" t="n">
        <x:v>0</x:v>
      </x:c>
      <x:c r="P314" s="26" t="n">
        <x:v>0</x:v>
      </x:c>
      <x:c r="Q314" s="26" t="n">
        <x:v>0</x:v>
      </x:c>
      <x:c r="R314" s="26" t="n">
        <x:v>0</x:v>
      </x:c>
      <x:c r="S314" s="26" t="n">
        <x:v>0</x:v>
      </x:c>
      <x:c r="T314" s="26" t="n">
        <x:v>1600</x:v>
      </x:c>
      <x:c r="U314" s="26" t="n">
        <x:v>0</x:v>
      </x:c>
      <x:c r="V314" s="26" t="n">
        <x:v>0</x:v>
      </x:c>
      <x:c r="W314" s="26" t="n">
        <x:v>0</x:v>
      </x:c>
      <x:c r="X314" s="26" t="n">
        <x:v>0</x:v>
      </x:c>
      <x:c r="Y314" s="26" t="n">
        <x:v>0</x:v>
      </x:c>
      <x:c r="Z314" s="35" t="str">
        <x:v>April 2027 rent</x:v>
      </x:c>
    </x:row>
    <x:row r="315">
      <x:c r="A315" s="20" t="str">
        <x:v>FIN-00312</x:v>
      </x:c>
      <x:c r="B315" s="23" t="n">
        <x:v>46480</x:v>
      </x:c>
      <x:c r="C315" s="23" t="n">
        <x:v>46480</x:v>
      </x:c>
      <x:c r="D315" s="20" t="str">
        <x:v>TenantReceipt</x:v>
      </x:c>
      <x:c r="E315" s="20" t="str">
        <x:v>Rent receipt</x:v>
      </x:c>
      <x:c r="F315" s="20" t="str">
        <x:v>P025</x:v>
      </x:c>
      <x:c r="G315" s="20" t="str">
        <x:v>U030</x:v>
      </x:c>
      <x:c r="H315" s="20" t="str">
        <x:v>L030</x:v>
      </x:c>
      <x:c r="I315" s="20" t="str">
        <x:v>Rina King</x:v>
      </x:c>
      <x:c r="J315" s="35" t="str">
        <x:v>Manual ACH</x:v>
      </x:c>
      <x:c r="K315" s="20" t="str"/>
      <x:c r="L315" s="20" t="str">
        <x:v>PMT-20270403-L030</x:v>
      </x:c>
      <x:c r="M315" s="26" t="n">
        <x:v>1600</x:v>
      </x:c>
      <x:c r="N315" s="26" t="n">
        <x:v>-1600</x:v>
      </x:c>
      <x:c r="O315" s="26" t="n">
        <x:v>1600</x:v>
      </x:c>
      <x:c r="P315" s="26" t="n">
        <x:v>0</x:v>
      </x:c>
      <x:c r="Q315" s="26" t="n">
        <x:v>0</x:v>
      </x:c>
      <x:c r="R315" s="26" t="n">
        <x:v>0</x:v>
      </x:c>
      <x:c r="S315" s="26" t="n">
        <x:v>0</x:v>
      </x:c>
      <x:c r="T315" s="26" t="n">
        <x:v>0</x:v>
      </x:c>
      <x:c r="U315" s="26" t="n">
        <x:v>0</x:v>
      </x:c>
      <x:c r="V315" s="26" t="n">
        <x:v>0</x:v>
      </x:c>
      <x:c r="W315" s="26" t="n">
        <x:v>0</x:v>
      </x:c>
      <x:c r="X315" s="26" t="n">
        <x:v>0</x:v>
      </x:c>
      <x:c r="Y315" s="26" t="n">
        <x:v>0</x:v>
      </x:c>
      <x:c r="Z315" s="35" t="str">
        <x:v>Receipt allocated to FIN-00311</x:v>
      </x:c>
    </x:row>
    <x:row r="316">
      <x:c r="A316" s="20" t="str">
        <x:v>FIN-00313</x:v>
      </x:c>
      <x:c r="B316" s="23" t="n">
        <x:v>46478</x:v>
      </x:c>
      <x:c r="C316" s="23" t="n">
        <x:v>46478</x:v>
      </x:c>
      <x:c r="D316" s="20" t="str">
        <x:v>TenantCharge</x:v>
      </x:c>
      <x:c r="E316" s="20" t="str">
        <x:v>Rent</x:v>
      </x:c>
      <x:c r="F316" s="20" t="str">
        <x:v>P026</x:v>
      </x:c>
      <x:c r="G316" s="20" t="str">
        <x:v>U031</x:v>
      </x:c>
      <x:c r="H316" s="20" t="str">
        <x:v>L031</x:v>
      </x:c>
      <x:c r="I316" s="20" t="str">
        <x:v>Uri Price</x:v>
      </x:c>
      <x:c r="J316" s="35" t="str">
        <x:v>System scheduled charge</x:v>
      </x:c>
      <x:c r="K316" s="20" t="str"/>
      <x:c r="L316" s="20" t="str">
        <x:v>RENT-202704-L031</x:v>
      </x:c>
      <x:c r="M316" s="26" t="n">
        <x:v>1225</x:v>
      </x:c>
      <x:c r="N316" s="26" t="n">
        <x:v>1225</x:v>
      </x:c>
      <x:c r="O316" s="26" t="n">
        <x:v>0</x:v>
      </x:c>
      <x:c r="P316" s="26" t="n">
        <x:v>0</x:v>
      </x:c>
      <x:c r="Q316" s="26" t="n">
        <x:v>0</x:v>
      </x:c>
      <x:c r="R316" s="26" t="n">
        <x:v>0</x:v>
      </x:c>
      <x:c r="S316" s="26" t="n">
        <x:v>0</x:v>
      </x:c>
      <x:c r="T316" s="26" t="n">
        <x:v>1225</x:v>
      </x:c>
      <x:c r="U316" s="26" t="n">
        <x:v>0</x:v>
      </x:c>
      <x:c r="V316" s="26" t="n">
        <x:v>0</x:v>
      </x:c>
      <x:c r="W316" s="26" t="n">
        <x:v>0</x:v>
      </x:c>
      <x:c r="X316" s="26" t="n">
        <x:v>0</x:v>
      </x:c>
      <x:c r="Y316" s="26" t="n">
        <x:v>0</x:v>
      </x:c>
      <x:c r="Z316" s="35" t="str">
        <x:v>April 2027 rent</x:v>
      </x:c>
    </x:row>
    <x:row r="317">
      <x:c r="A317" s="20" t="str">
        <x:v>FIN-00314</x:v>
      </x:c>
      <x:c r="B317" s="23" t="n">
        <x:v>46481</x:v>
      </x:c>
      <x:c r="C317" s="23" t="n">
        <x:v>46481</x:v>
      </x:c>
      <x:c r="D317" s="20" t="str">
        <x:v>TenantReceipt</x:v>
      </x:c>
      <x:c r="E317" s="20" t="str">
        <x:v>Rent receipt</x:v>
      </x:c>
      <x:c r="F317" s="20" t="str">
        <x:v>P026</x:v>
      </x:c>
      <x:c r="G317" s="20" t="str">
        <x:v>U031</x:v>
      </x:c>
      <x:c r="H317" s="20" t="str">
        <x:v>L031</x:v>
      </x:c>
      <x:c r="I317" s="20" t="str">
        <x:v>Uri Price</x:v>
      </x:c>
      <x:c r="J317" s="35" t="str">
        <x:v>Portal card</x:v>
      </x:c>
      <x:c r="K317" s="20" t="str"/>
      <x:c r="L317" s="20" t="str">
        <x:v>PMT-20270404-L031</x:v>
      </x:c>
      <x:c r="M317" s="26" t="n">
        <x:v>1225</x:v>
      </x:c>
      <x:c r="N317" s="26" t="n">
        <x:v>-1225</x:v>
      </x:c>
      <x:c r="O317" s="26" t="n">
        <x:v>1225</x:v>
      </x:c>
      <x:c r="P317" s="26" t="n">
        <x:v>0</x:v>
      </x:c>
      <x:c r="Q317" s="26" t="n">
        <x:v>0</x:v>
      </x:c>
      <x:c r="R317" s="26" t="n">
        <x:v>0</x:v>
      </x:c>
      <x:c r="S317" s="26" t="n">
        <x:v>0</x:v>
      </x:c>
      <x:c r="T317" s="26" t="n">
        <x:v>0</x:v>
      </x:c>
      <x:c r="U317" s="26" t="n">
        <x:v>0</x:v>
      </x:c>
      <x:c r="V317" s="26" t="n">
        <x:v>0</x:v>
      </x:c>
      <x:c r="W317" s="26" t="n">
        <x:v>0</x:v>
      </x:c>
      <x:c r="X317" s="26" t="n">
        <x:v>0</x:v>
      </x:c>
      <x:c r="Y317" s="26" t="n">
        <x:v>0</x:v>
      </x:c>
      <x:c r="Z317" s="35" t="str">
        <x:v>Receipt allocated to FIN-00313</x:v>
      </x:c>
    </x:row>
    <x:row r="318">
      <x:c r="A318" s="20" t="str">
        <x:v>FIN-00315</x:v>
      </x:c>
      <x:c r="B318" s="23" t="n">
        <x:v>46478</x:v>
      </x:c>
      <x:c r="C318" s="23" t="n">
        <x:v>46478</x:v>
      </x:c>
      <x:c r="D318" s="20" t="str">
        <x:v>TenantCharge</x:v>
      </x:c>
      <x:c r="E318" s="20" t="str">
        <x:v>Rent</x:v>
      </x:c>
      <x:c r="F318" s="20" t="str">
        <x:v>P026</x:v>
      </x:c>
      <x:c r="G318" s="20" t="str">
        <x:v>U032</x:v>
      </x:c>
      <x:c r="H318" s="20" t="str">
        <x:v>L032</x:v>
      </x:c>
      <x:c r="I318" s="20" t="str">
        <x:v>Avery Brooks</x:v>
      </x:c>
      <x:c r="J318" s="35" t="str">
        <x:v>System scheduled charge</x:v>
      </x:c>
      <x:c r="K318" s="20" t="str"/>
      <x:c r="L318" s="20" t="str">
        <x:v>RENT-202704-L032</x:v>
      </x:c>
      <x:c r="M318" s="26" t="n">
        <x:v>1750</x:v>
      </x:c>
      <x:c r="N318" s="26" t="n">
        <x:v>1750</x:v>
      </x:c>
      <x:c r="O318" s="26" t="n">
        <x:v>0</x:v>
      </x:c>
      <x:c r="P318" s="26" t="n">
        <x:v>0</x:v>
      </x:c>
      <x:c r="Q318" s="26" t="n">
        <x:v>0</x:v>
      </x:c>
      <x:c r="R318" s="26" t="n">
        <x:v>0</x:v>
      </x:c>
      <x:c r="S318" s="26" t="n">
        <x:v>0</x:v>
      </x:c>
      <x:c r="T318" s="26" t="n">
        <x:v>1750</x:v>
      </x:c>
      <x:c r="U318" s="26" t="n">
        <x:v>0</x:v>
      </x:c>
      <x:c r="V318" s="26" t="n">
        <x:v>0</x:v>
      </x:c>
      <x:c r="W318" s="26" t="n">
        <x:v>0</x:v>
      </x:c>
      <x:c r="X318" s="26" t="n">
        <x:v>0</x:v>
      </x:c>
      <x:c r="Y318" s="26" t="n">
        <x:v>0</x:v>
      </x:c>
      <x:c r="Z318" s="35" t="str">
        <x:v>April 2027 rent</x:v>
      </x:c>
    </x:row>
    <x:row r="319">
      <x:c r="A319" s="20" t="str">
        <x:v>FIN-00316</x:v>
      </x:c>
      <x:c r="B319" s="23" t="n">
        <x:v>46482</x:v>
      </x:c>
      <x:c r="C319" s="23" t="n">
        <x:v>46482</x:v>
      </x:c>
      <x:c r="D319" s="20" t="str">
        <x:v>TenantReceipt</x:v>
      </x:c>
      <x:c r="E319" s="20" t="str">
        <x:v>Rent receipt</x:v>
      </x:c>
      <x:c r="F319" s="20" t="str">
        <x:v>P026</x:v>
      </x:c>
      <x:c r="G319" s="20" t="str">
        <x:v>U032</x:v>
      </x:c>
      <x:c r="H319" s="20" t="str">
        <x:v>L032</x:v>
      </x:c>
      <x:c r="I319" s="20" t="str">
        <x:v>Avery Brooks</x:v>
      </x:c>
      <x:c r="J319" s="35" t="str">
        <x:v>Scanned check</x:v>
      </x:c>
      <x:c r="K319" s="20" t="str">
        <x:v>SCN-0166</x:v>
      </x:c>
      <x:c r="L319" s="20" t="str">
        <x:v>PMT-20270405-L032</x:v>
      </x:c>
      <x:c r="M319" s="26" t="n">
        <x:v>1750</x:v>
      </x:c>
      <x:c r="N319" s="26" t="n">
        <x:v>-1750</x:v>
      </x:c>
      <x:c r="O319" s="26" t="n">
        <x:v>1750</x:v>
      </x:c>
      <x:c r="P319" s="26" t="n">
        <x:v>0</x:v>
      </x:c>
      <x:c r="Q319" s="26" t="n">
        <x:v>0</x:v>
      </x:c>
      <x:c r="R319" s="26" t="n">
        <x:v>0</x:v>
      </x:c>
      <x:c r="S319" s="26" t="n">
        <x:v>0</x:v>
      </x:c>
      <x:c r="T319" s="26" t="n">
        <x:v>0</x:v>
      </x:c>
      <x:c r="U319" s="26" t="n">
        <x:v>0</x:v>
      </x:c>
      <x:c r="V319" s="26" t="n">
        <x:v>0</x:v>
      </x:c>
      <x:c r="W319" s="26" t="n">
        <x:v>0</x:v>
      </x:c>
      <x:c r="X319" s="26" t="n">
        <x:v>0</x:v>
      </x:c>
      <x:c r="Y319" s="26" t="n">
        <x:v>0</x:v>
      </x:c>
      <x:c r="Z319" s="35" t="str">
        <x:v>Receipt allocated to FIN-00315</x:v>
      </x:c>
    </x:row>
    <x:row r="320">
      <x:c r="A320" s="20" t="str">
        <x:v>FIN-00317</x:v>
      </x:c>
      <x:c r="B320" s="23" t="n">
        <x:v>46478</x:v>
      </x:c>
      <x:c r="C320" s="23" t="n">
        <x:v>46478</x:v>
      </x:c>
      <x:c r="D320" s="20" t="str">
        <x:v>TenantCharge</x:v>
      </x:c>
      <x:c r="E320" s="20" t="str">
        <x:v>Rent</x:v>
      </x:c>
      <x:c r="F320" s="20" t="str">
        <x:v>P027</x:v>
      </x:c>
      <x:c r="G320" s="20" t="str">
        <x:v>U033</x:v>
      </x:c>
      <x:c r="H320" s="20" t="str">
        <x:v>L033</x:v>
      </x:c>
      <x:c r="I320" s="20" t="str">
        <x:v>Dana Garcia</x:v>
      </x:c>
      <x:c r="J320" s="35" t="str">
        <x:v>System scheduled charge</x:v>
      </x:c>
      <x:c r="K320" s="20" t="str"/>
      <x:c r="L320" s="20" t="str">
        <x:v>RENT-202704-L033</x:v>
      </x:c>
      <x:c r="M320" s="26" t="n">
        <x:v>1375</x:v>
      </x:c>
      <x:c r="N320" s="26" t="n">
        <x:v>1375</x:v>
      </x:c>
      <x:c r="O320" s="26" t="n">
        <x:v>0</x:v>
      </x:c>
      <x:c r="P320" s="26" t="n">
        <x:v>0</x:v>
      </x:c>
      <x:c r="Q320" s="26" t="n">
        <x:v>0</x:v>
      </x:c>
      <x:c r="R320" s="26" t="n">
        <x:v>0</x:v>
      </x:c>
      <x:c r="S320" s="26" t="n">
        <x:v>0</x:v>
      </x:c>
      <x:c r="T320" s="26" t="n">
        <x:v>1375</x:v>
      </x:c>
      <x:c r="U320" s="26" t="n">
        <x:v>0</x:v>
      </x:c>
      <x:c r="V320" s="26" t="n">
        <x:v>0</x:v>
      </x:c>
      <x:c r="W320" s="26" t="n">
        <x:v>0</x:v>
      </x:c>
      <x:c r="X320" s="26" t="n">
        <x:v>0</x:v>
      </x:c>
      <x:c r="Y320" s="26" t="n">
        <x:v>0</x:v>
      </x:c>
      <x:c r="Z320" s="35" t="str">
        <x:v>April 2027 rent</x:v>
      </x:c>
    </x:row>
    <x:row r="321">
      <x:c r="A321" s="20" t="str">
        <x:v>FIN-00318</x:v>
      </x:c>
      <x:c r="B321" s="23" t="n">
        <x:v>46480</x:v>
      </x:c>
      <x:c r="C321" s="23" t="n">
        <x:v>46480</x:v>
      </x:c>
      <x:c r="D321" s="20" t="str">
        <x:v>TenantReceipt</x:v>
      </x:c>
      <x:c r="E321" s="20" t="str">
        <x:v>Rent receipt</x:v>
      </x:c>
      <x:c r="F321" s="20" t="str">
        <x:v>P027</x:v>
      </x:c>
      <x:c r="G321" s="20" t="str">
        <x:v>U033</x:v>
      </x:c>
      <x:c r="H321" s="20" t="str">
        <x:v>L033</x:v>
      </x:c>
      <x:c r="I321" s="20" t="str">
        <x:v>Dana Garcia</x:v>
      </x:c>
      <x:c r="J321" s="35" t="str">
        <x:v>Scanned money order</x:v>
      </x:c>
      <x:c r="K321" s="20" t="str">
        <x:v>SCN-0167</x:v>
      </x:c>
      <x:c r="L321" s="20" t="str">
        <x:v>PMT-20270403-L033-A</x:v>
      </x:c>
      <x:c r="M321" s="26" t="n">
        <x:v>825</x:v>
      </x:c>
      <x:c r="N321" s="26" t="n">
        <x:v>-825</x:v>
      </x:c>
      <x:c r="O321" s="26" t="n">
        <x:v>825</x:v>
      </x:c>
      <x:c r="P321" s="26" t="n">
        <x:v>0</x:v>
      </x:c>
      <x:c r="Q321" s="26" t="n">
        <x:v>0</x:v>
      </x:c>
      <x:c r="R321" s="26" t="n">
        <x:v>0</x:v>
      </x:c>
      <x:c r="S321" s="26" t="n">
        <x:v>0</x:v>
      </x:c>
      <x:c r="T321" s="26" t="n">
        <x:v>0</x:v>
      </x:c>
      <x:c r="U321" s="26" t="n">
        <x:v>0</x:v>
      </x:c>
      <x:c r="V321" s="26" t="n">
        <x:v>0</x:v>
      </x:c>
      <x:c r="W321" s="26" t="n">
        <x:v>0</x:v>
      </x:c>
      <x:c r="X321" s="26" t="n">
        <x:v>0</x:v>
      </x:c>
      <x:c r="Y321" s="26" t="n">
        <x:v>0</x:v>
      </x:c>
      <x:c r="Z321" s="35" t="str">
        <x:v>Receipt allocated to FIN-00317</x:v>
      </x:c>
    </x:row>
    <x:row r="322">
      <x:c r="A322" s="20" t="str">
        <x:v>FIN-00319</x:v>
      </x:c>
      <x:c r="B322" s="23" t="n">
        <x:v>46483</x:v>
      </x:c>
      <x:c r="C322" s="23" t="n">
        <x:v>46483</x:v>
      </x:c>
      <x:c r="D322" s="20" t="str">
        <x:v>TenantCharge</x:v>
      </x:c>
      <x:c r="E322" s="20" t="str">
        <x:v>Late fee</x:v>
      </x:c>
      <x:c r="F322" s="20" t="str">
        <x:v>P027</x:v>
      </x:c>
      <x:c r="G322" s="20" t="str">
        <x:v>U033</x:v>
      </x:c>
      <x:c r="H322" s="20" t="str">
        <x:v>L033</x:v>
      </x:c>
      <x:c r="I322" s="20" t="str">
        <x:v>Dana Garcia</x:v>
      </x:c>
      <x:c r="J322" s="35" t="str">
        <x:v>System automation</x:v>
      </x:c>
      <x:c r="K322" s="20" t="str"/>
      <x:c r="L322" s="20" t="str">
        <x:v>LATE-202704-L033</x:v>
      </x:c>
      <x:c r="M322" s="26" t="n">
        <x:v>50</x:v>
      </x:c>
      <x:c r="N322" s="26" t="n">
        <x:v>50</x:v>
      </x:c>
      <x:c r="O322" s="26" t="n">
        <x:v>0</x:v>
      </x:c>
      <x:c r="P322" s="26" t="n">
        <x:v>0</x:v>
      </x:c>
      <x:c r="Q322" s="26" t="n">
        <x:v>0</x:v>
      </x:c>
      <x:c r="R322" s="26" t="n">
        <x:v>0</x:v>
      </x:c>
      <x:c r="S322" s="26" t="n">
        <x:v>0</x:v>
      </x:c>
      <x:c r="T322" s="26" t="n">
        <x:v>50</x:v>
      </x:c>
      <x:c r="U322" s="26" t="n">
        <x:v>0</x:v>
      </x:c>
      <x:c r="V322" s="26" t="n">
        <x:v>0</x:v>
      </x:c>
      <x:c r="W322" s="26" t="n">
        <x:v>0</x:v>
      </x:c>
      <x:c r="X322" s="26" t="n">
        <x:v>0</x:v>
      </x:c>
      <x:c r="Y322" s="26" t="n">
        <x:v>0</x:v>
      </x:c>
      <x:c r="Z322" s="35" t="str">
        <x:v>Synthetic lease-authorized late fee after partial payment</x:v>
      </x:c>
    </x:row>
    <x:row r="323">
      <x:c r="A323" s="20" t="str">
        <x:v>FIN-00320</x:v>
      </x:c>
      <x:c r="B323" s="23" t="n">
        <x:v>46489</x:v>
      </x:c>
      <x:c r="C323" s="23" t="n">
        <x:v>46489</x:v>
      </x:c>
      <x:c r="D323" s="20" t="str">
        <x:v>TenantReceipt</x:v>
      </x:c>
      <x:c r="E323" s="20" t="str">
        <x:v>Rent receipt</x:v>
      </x:c>
      <x:c r="F323" s="20" t="str">
        <x:v>P027</x:v>
      </x:c>
      <x:c r="G323" s="20" t="str">
        <x:v>U033</x:v>
      </x:c>
      <x:c r="H323" s="20" t="str">
        <x:v>L033</x:v>
      </x:c>
      <x:c r="I323" s="20" t="str">
        <x:v>Dana Garcia</x:v>
      </x:c>
      <x:c r="J323" s="35" t="str">
        <x:v>Portal card</x:v>
      </x:c>
      <x:c r="K323" s="20" t="str"/>
      <x:c r="L323" s="20" t="str">
        <x:v>PMT-20270412-L033-B</x:v>
      </x:c>
      <x:c r="M323" s="26" t="n">
        <x:v>600</x:v>
      </x:c>
      <x:c r="N323" s="26" t="n">
        <x:v>-600</x:v>
      </x:c>
      <x:c r="O323" s="26" t="n">
        <x:v>600</x:v>
      </x:c>
      <x:c r="P323" s="26" t="n">
        <x:v>0</x:v>
      </x:c>
      <x:c r="Q323" s="26" t="n">
        <x:v>0</x:v>
      </x:c>
      <x:c r="R323" s="26" t="n">
        <x:v>0</x:v>
      </x:c>
      <x:c r="S323" s="26" t="n">
        <x:v>0</x:v>
      </x:c>
      <x:c r="T323" s="26" t="n">
        <x:v>0</x:v>
      </x:c>
      <x:c r="U323" s="26" t="n">
        <x:v>0</x:v>
      </x:c>
      <x:c r="V323" s="26" t="n">
        <x:v>0</x:v>
      </x:c>
      <x:c r="W323" s="26" t="n">
        <x:v>0</x:v>
      </x:c>
      <x:c r="X323" s="26" t="n">
        <x:v>0</x:v>
      </x:c>
      <x:c r="Y323" s="26" t="n">
        <x:v>0</x:v>
      </x:c>
      <x:c r="Z323" s="35" t="str">
        <x:v>Receipt allocated to FIN-00319</x:v>
      </x:c>
    </x:row>
    <x:row r="324">
      <x:c r="A324" s="20" t="str">
        <x:v>FIN-00321</x:v>
      </x:c>
      <x:c r="B324" s="23" t="n">
        <x:v>46478</x:v>
      </x:c>
      <x:c r="C324" s="23" t="n">
        <x:v>46478</x:v>
      </x:c>
      <x:c r="D324" s="20" t="str">
        <x:v>TenantCharge</x:v>
      </x:c>
      <x:c r="E324" s="20" t="str">
        <x:v>Rent</x:v>
      </x:c>
      <x:c r="F324" s="20" t="str">
        <x:v>P027</x:v>
      </x:c>
      <x:c r="G324" s="20" t="str">
        <x:v>U034</x:v>
      </x:c>
      <x:c r="H324" s="20" t="str">
        <x:v>L034</x:v>
      </x:c>
      <x:c r="I324" s="20" t="str">
        <x:v>Gray Lewis</x:v>
      </x:c>
      <x:c r="J324" s="35" t="str">
        <x:v>System scheduled charge</x:v>
      </x:c>
      <x:c r="K324" s="20" t="str"/>
      <x:c r="L324" s="20" t="str">
        <x:v>RENT-202704-L034</x:v>
      </x:c>
      <x:c r="M324" s="26" t="n">
        <x:v>1900</x:v>
      </x:c>
      <x:c r="N324" s="26" t="n">
        <x:v>1900</x:v>
      </x:c>
      <x:c r="O324" s="26" t="n">
        <x:v>0</x:v>
      </x:c>
      <x:c r="P324" s="26" t="n">
        <x:v>0</x:v>
      </x:c>
      <x:c r="Q324" s="26" t="n">
        <x:v>0</x:v>
      </x:c>
      <x:c r="R324" s="26" t="n">
        <x:v>0</x:v>
      </x:c>
      <x:c r="S324" s="26" t="n">
        <x:v>0</x:v>
      </x:c>
      <x:c r="T324" s="26" t="n">
        <x:v>1900</x:v>
      </x:c>
      <x:c r="U324" s="26" t="n">
        <x:v>0</x:v>
      </x:c>
      <x:c r="V324" s="26" t="n">
        <x:v>0</x:v>
      </x:c>
      <x:c r="W324" s="26" t="n">
        <x:v>0</x:v>
      </x:c>
      <x:c r="X324" s="26" t="n">
        <x:v>0</x:v>
      </x:c>
      <x:c r="Y324" s="26" t="n">
        <x:v>0</x:v>
      </x:c>
      <x:c r="Z324" s="35" t="str">
        <x:v>April 2027 rent</x:v>
      </x:c>
    </x:row>
    <x:row r="325">
      <x:c r="A325" s="20" t="str">
        <x:v>FIN-00322</x:v>
      </x:c>
      <x:c r="B325" s="23" t="n">
        <x:v>46481</x:v>
      </x:c>
      <x:c r="C325" s="23" t="n">
        <x:v>46481</x:v>
      </x:c>
      <x:c r="D325" s="20" t="str">
        <x:v>TenantReceipt</x:v>
      </x:c>
      <x:c r="E325" s="20" t="str">
        <x:v>Rent receipt</x:v>
      </x:c>
      <x:c r="F325" s="20" t="str">
        <x:v>P027</x:v>
      </x:c>
      <x:c r="G325" s="20" t="str">
        <x:v>U034</x:v>
      </x:c>
      <x:c r="H325" s="20" t="str">
        <x:v>L034</x:v>
      </x:c>
      <x:c r="I325" s="20" t="str">
        <x:v>Gray Lewis</x:v>
      </x:c>
      <x:c r="J325" s="35" t="str">
        <x:v>Manual ACH</x:v>
      </x:c>
      <x:c r="K325" s="20" t="str"/>
      <x:c r="L325" s="20" t="str">
        <x:v>PMT-20270404-L034</x:v>
      </x:c>
      <x:c r="M325" s="26" t="n">
        <x:v>1900</x:v>
      </x:c>
      <x:c r="N325" s="26" t="n">
        <x:v>-1900</x:v>
      </x:c>
      <x:c r="O325" s="26" t="n">
        <x:v>1900</x:v>
      </x:c>
      <x:c r="P325" s="26" t="n">
        <x:v>0</x:v>
      </x:c>
      <x:c r="Q325" s="26" t="n">
        <x:v>0</x:v>
      </x:c>
      <x:c r="R325" s="26" t="n">
        <x:v>0</x:v>
      </x:c>
      <x:c r="S325" s="26" t="n">
        <x:v>0</x:v>
      </x:c>
      <x:c r="T325" s="26" t="n">
        <x:v>0</x:v>
      </x:c>
      <x:c r="U325" s="26" t="n">
        <x:v>0</x:v>
      </x:c>
      <x:c r="V325" s="26" t="n">
        <x:v>0</x:v>
      </x:c>
      <x:c r="W325" s="26" t="n">
        <x:v>0</x:v>
      </x:c>
      <x:c r="X325" s="26" t="n">
        <x:v>0</x:v>
      </x:c>
      <x:c r="Y325" s="26" t="n">
        <x:v>0</x:v>
      </x:c>
      <x:c r="Z325" s="35" t="str">
        <x:v>Receipt allocated to FIN-00321</x:v>
      </x:c>
    </x:row>
    <x:row r="326">
      <x:c r="A326" s="20" t="str">
        <x:v>FIN-00323</x:v>
      </x:c>
      <x:c r="B326" s="23" t="n">
        <x:v>46478</x:v>
      </x:c>
      <x:c r="C326" s="23" t="n">
        <x:v>46478</x:v>
      </x:c>
      <x:c r="D326" s="20" t="str">
        <x:v>TenantCharge</x:v>
      </x:c>
      <x:c r="E326" s="20" t="str">
        <x:v>Rent</x:v>
      </x:c>
      <x:c r="F326" s="20" t="str">
        <x:v>P028</x:v>
      </x:c>
      <x:c r="G326" s="20" t="str">
        <x:v>U035</x:v>
      </x:c>
      <x:c r="H326" s="20" t="str">
        <x:v>L035</x:v>
      </x:c>
      <x:c r="I326" s="20" t="str">
        <x:v>Jordan Reed</x:v>
      </x:c>
      <x:c r="J326" s="35" t="str">
        <x:v>System scheduled charge</x:v>
      </x:c>
      <x:c r="K326" s="20" t="str"/>
      <x:c r="L326" s="20" t="str">
        <x:v>RENT-202704-L035</x:v>
      </x:c>
      <x:c r="M326" s="26" t="n">
        <x:v>1525</x:v>
      </x:c>
      <x:c r="N326" s="26" t="n">
        <x:v>1525</x:v>
      </x:c>
      <x:c r="O326" s="26" t="n">
        <x:v>0</x:v>
      </x:c>
      <x:c r="P326" s="26" t="n">
        <x:v>0</x:v>
      </x:c>
      <x:c r="Q326" s="26" t="n">
        <x:v>0</x:v>
      </x:c>
      <x:c r="R326" s="26" t="n">
        <x:v>0</x:v>
      </x:c>
      <x:c r="S326" s="26" t="n">
        <x:v>0</x:v>
      </x:c>
      <x:c r="T326" s="26" t="n">
        <x:v>1525</x:v>
      </x:c>
      <x:c r="U326" s="26" t="n">
        <x:v>0</x:v>
      </x:c>
      <x:c r="V326" s="26" t="n">
        <x:v>0</x:v>
      </x:c>
      <x:c r="W326" s="26" t="n">
        <x:v>0</x:v>
      </x:c>
      <x:c r="X326" s="26" t="n">
        <x:v>0</x:v>
      </x:c>
      <x:c r="Y326" s="26" t="n">
        <x:v>0</x:v>
      </x:c>
      <x:c r="Z326" s="35" t="str">
        <x:v>April 2027 rent</x:v>
      </x:c>
    </x:row>
    <x:row r="327">
      <x:c r="A327" s="20" t="str">
        <x:v>FIN-00324</x:v>
      </x:c>
      <x:c r="B327" s="23" t="n">
        <x:v>46482</x:v>
      </x:c>
      <x:c r="C327" s="23" t="n">
        <x:v>46482</x:v>
      </x:c>
      <x:c r="D327" s="20" t="str">
        <x:v>TenantReceipt</x:v>
      </x:c>
      <x:c r="E327" s="20" t="str">
        <x:v>Rent receipt</x:v>
      </x:c>
      <x:c r="F327" s="20" t="str">
        <x:v>P028</x:v>
      </x:c>
      <x:c r="G327" s="20" t="str">
        <x:v>U035</x:v>
      </x:c>
      <x:c r="H327" s="20" t="str">
        <x:v>L035</x:v>
      </x:c>
      <x:c r="I327" s="20" t="str">
        <x:v>Jordan Reed</x:v>
      </x:c>
      <x:c r="J327" s="35" t="str">
        <x:v>Portal card</x:v>
      </x:c>
      <x:c r="K327" s="20" t="str"/>
      <x:c r="L327" s="20" t="str">
        <x:v>PMT-20270405-L035</x:v>
      </x:c>
      <x:c r="M327" s="26" t="n">
        <x:v>1525</x:v>
      </x:c>
      <x:c r="N327" s="26" t="n">
        <x:v>-1525</x:v>
      </x:c>
      <x:c r="O327" s="26" t="n">
        <x:v>1525</x:v>
      </x:c>
      <x:c r="P327" s="26" t="n">
        <x:v>0</x:v>
      </x:c>
      <x:c r="Q327" s="26" t="n">
        <x:v>0</x:v>
      </x:c>
      <x:c r="R327" s="26" t="n">
        <x:v>0</x:v>
      </x:c>
      <x:c r="S327" s="26" t="n">
        <x:v>0</x:v>
      </x:c>
      <x:c r="T327" s="26" t="n">
        <x:v>0</x:v>
      </x:c>
      <x:c r="U327" s="26" t="n">
        <x:v>0</x:v>
      </x:c>
      <x:c r="V327" s="26" t="n">
        <x:v>0</x:v>
      </x:c>
      <x:c r="W327" s="26" t="n">
        <x:v>0</x:v>
      </x:c>
      <x:c r="X327" s="26" t="n">
        <x:v>0</x:v>
      </x:c>
      <x:c r="Y327" s="26" t="n">
        <x:v>0</x:v>
      </x:c>
      <x:c r="Z327" s="35" t="str">
        <x:v>Receipt allocated to FIN-00323</x:v>
      </x:c>
    </x:row>
    <x:row r="328">
      <x:c r="A328" s="20" t="str">
        <x:v>FIN-00325</x:v>
      </x:c>
      <x:c r="B328" s="23" t="n">
        <x:v>46478</x:v>
      </x:c>
      <x:c r="C328" s="23" t="n">
        <x:v>46478</x:v>
      </x:c>
      <x:c r="D328" s="20" t="str">
        <x:v>TenantCharge</x:v>
      </x:c>
      <x:c r="E328" s="20" t="str">
        <x:v>Rent</x:v>
      </x:c>
      <x:c r="F328" s="20" t="str">
        <x:v>P028</x:v>
      </x:c>
      <x:c r="G328" s="20" t="str">
        <x:v>U036</x:v>
      </x:c>
      <x:c r="H328" s="20" t="str">
        <x:v>L036</x:v>
      </x:c>
      <x:c r="I328" s="20" t="str">
        <x:v>Morgan Adams</x:v>
      </x:c>
      <x:c r="J328" s="35" t="str">
        <x:v>System scheduled charge</x:v>
      </x:c>
      <x:c r="K328" s="20" t="str"/>
      <x:c r="L328" s="20" t="str">
        <x:v>RENT-202704-L036</x:v>
      </x:c>
      <x:c r="M328" s="26" t="n">
        <x:v>1150</x:v>
      </x:c>
      <x:c r="N328" s="26" t="n">
        <x:v>1150</x:v>
      </x:c>
      <x:c r="O328" s="26" t="n">
        <x:v>0</x:v>
      </x:c>
      <x:c r="P328" s="26" t="n">
        <x:v>0</x:v>
      </x:c>
      <x:c r="Q328" s="26" t="n">
        <x:v>0</x:v>
      </x:c>
      <x:c r="R328" s="26" t="n">
        <x:v>0</x:v>
      </x:c>
      <x:c r="S328" s="26" t="n">
        <x:v>0</x:v>
      </x:c>
      <x:c r="T328" s="26" t="n">
        <x:v>1150</x:v>
      </x:c>
      <x:c r="U328" s="26" t="n">
        <x:v>0</x:v>
      </x:c>
      <x:c r="V328" s="26" t="n">
        <x:v>0</x:v>
      </x:c>
      <x:c r="W328" s="26" t="n">
        <x:v>0</x:v>
      </x:c>
      <x:c r="X328" s="26" t="n">
        <x:v>0</x:v>
      </x:c>
      <x:c r="Y328" s="26" t="n">
        <x:v>0</x:v>
      </x:c>
      <x:c r="Z328" s="35" t="str">
        <x:v>April 2027 rent</x:v>
      </x:c>
    </x:row>
    <x:row r="329">
      <x:c r="A329" s="20" t="str">
        <x:v>FIN-00326</x:v>
      </x:c>
      <x:c r="B329" s="23" t="n">
        <x:v>46480</x:v>
      </x:c>
      <x:c r="C329" s="23" t="n">
        <x:v>46480</x:v>
      </x:c>
      <x:c r="D329" s="20" t="str">
        <x:v>TenantReceipt</x:v>
      </x:c>
      <x:c r="E329" s="20" t="str">
        <x:v>Rent receipt</x:v>
      </x:c>
      <x:c r="F329" s="20" t="str">
        <x:v>P028</x:v>
      </x:c>
      <x:c r="G329" s="20" t="str">
        <x:v>U036</x:v>
      </x:c>
      <x:c r="H329" s="20" t="str">
        <x:v>L036</x:v>
      </x:c>
      <x:c r="I329" s="20" t="str">
        <x:v>Morgan Adams</x:v>
      </x:c>
      <x:c r="J329" s="35" t="str">
        <x:v>Scanned check</x:v>
      </x:c>
      <x:c r="K329" s="20" t="str">
        <x:v>SCN-0168</x:v>
      </x:c>
      <x:c r="L329" s="20" t="str">
        <x:v>PMT-20270403-L036</x:v>
      </x:c>
      <x:c r="M329" s="26" t="n">
        <x:v>1150</x:v>
      </x:c>
      <x:c r="N329" s="26" t="n">
        <x:v>-1150</x:v>
      </x:c>
      <x:c r="O329" s="26" t="n">
        <x:v>1150</x:v>
      </x:c>
      <x:c r="P329" s="26" t="n">
        <x:v>0</x:v>
      </x:c>
      <x:c r="Q329" s="26" t="n">
        <x:v>0</x:v>
      </x:c>
      <x:c r="R329" s="26" t="n">
        <x:v>0</x:v>
      </x:c>
      <x:c r="S329" s="26" t="n">
        <x:v>0</x:v>
      </x:c>
      <x:c r="T329" s="26" t="n">
        <x:v>0</x:v>
      </x:c>
      <x:c r="U329" s="26" t="n">
        <x:v>0</x:v>
      </x:c>
      <x:c r="V329" s="26" t="n">
        <x:v>0</x:v>
      </x:c>
      <x:c r="W329" s="26" t="n">
        <x:v>0</x:v>
      </x:c>
      <x:c r="X329" s="26" t="n">
        <x:v>0</x:v>
      </x:c>
      <x:c r="Y329" s="26" t="n">
        <x:v>0</x:v>
      </x:c>
      <x:c r="Z329" s="35" t="str">
        <x:v>Receipt allocated to FIN-00325</x:v>
      </x:c>
    </x:row>
    <x:row r="330">
      <x:c r="A330" s="20" t="str">
        <x:v>FIN-00327</x:v>
      </x:c>
      <x:c r="B330" s="23" t="n">
        <x:v>46478</x:v>
      </x:c>
      <x:c r="C330" s="23" t="n">
        <x:v>46478</x:v>
      </x:c>
      <x:c r="D330" s="20" t="str">
        <x:v>TenantCharge</x:v>
      </x:c>
      <x:c r="E330" s="20" t="str">
        <x:v>Rent</x:v>
      </x:c>
      <x:c r="F330" s="20" t="str">
        <x:v>P005</x:v>
      </x:c>
      <x:c r="G330" s="20" t="str">
        <x:v>U005</x:v>
      </x:c>
      <x:c r="H330" s="20" t="str">
        <x:v>L037</x:v>
      </x:c>
      <x:c r="I330" s="20" t="str">
        <x:v>Parker Flores</x:v>
      </x:c>
      <x:c r="J330" s="35" t="str">
        <x:v>System scheduled charge</x:v>
      </x:c>
      <x:c r="K330" s="20" t="str"/>
      <x:c r="L330" s="20" t="str">
        <x:v>RENT-202704-L037</x:v>
      </x:c>
      <x:c r="M330" s="26" t="n">
        <x:v>1875</x:v>
      </x:c>
      <x:c r="N330" s="26" t="n">
        <x:v>1875</x:v>
      </x:c>
      <x:c r="O330" s="26" t="n">
        <x:v>0</x:v>
      </x:c>
      <x:c r="P330" s="26" t="n">
        <x:v>0</x:v>
      </x:c>
      <x:c r="Q330" s="26" t="n">
        <x:v>0</x:v>
      </x:c>
      <x:c r="R330" s="26" t="n">
        <x:v>0</x:v>
      </x:c>
      <x:c r="S330" s="26" t="n">
        <x:v>0</x:v>
      </x:c>
      <x:c r="T330" s="26" t="n">
        <x:v>1875</x:v>
      </x:c>
      <x:c r="U330" s="26" t="n">
        <x:v>0</x:v>
      </x:c>
      <x:c r="V330" s="26" t="n">
        <x:v>0</x:v>
      </x:c>
      <x:c r="W330" s="26" t="n">
        <x:v>0</x:v>
      </x:c>
      <x:c r="X330" s="26" t="n">
        <x:v>0</x:v>
      </x:c>
      <x:c r="Y330" s="26" t="n">
        <x:v>0</x:v>
      </x:c>
      <x:c r="Z330" s="35" t="str">
        <x:v>April 2027 rent</x:v>
      </x:c>
    </x:row>
    <x:row r="331">
      <x:c r="A331" s="20" t="str">
        <x:v>FIN-00328</x:v>
      </x:c>
      <x:c r="B331" s="23" t="n">
        <x:v>46481</x:v>
      </x:c>
      <x:c r="C331" s="23" t="n">
        <x:v>46481</x:v>
      </x:c>
      <x:c r="D331" s="20" t="str">
        <x:v>TenantReceipt</x:v>
      </x:c>
      <x:c r="E331" s="20" t="str">
        <x:v>Rent receipt</x:v>
      </x:c>
      <x:c r="F331" s="20" t="str">
        <x:v>P005</x:v>
      </x:c>
      <x:c r="G331" s="20" t="str">
        <x:v>U005</x:v>
      </x:c>
      <x:c r="H331" s="20" t="str">
        <x:v>L037</x:v>
      </x:c>
      <x:c r="I331" s="20" t="str">
        <x:v>Parker Flores</x:v>
      </x:c>
      <x:c r="J331" s="35" t="str">
        <x:v>Scanned money order</x:v>
      </x:c>
      <x:c r="K331" s="20" t="str">
        <x:v>SCN-0169</x:v>
      </x:c>
      <x:c r="L331" s="20" t="str">
        <x:v>PMT-20270404-L037</x:v>
      </x:c>
      <x:c r="M331" s="26" t="n">
        <x:v>1875</x:v>
      </x:c>
      <x:c r="N331" s="26" t="n">
        <x:v>-1875</x:v>
      </x:c>
      <x:c r="O331" s="26" t="n">
        <x:v>1875</x:v>
      </x:c>
      <x:c r="P331" s="26" t="n">
        <x:v>0</x:v>
      </x:c>
      <x:c r="Q331" s="26" t="n">
        <x:v>0</x:v>
      </x:c>
      <x:c r="R331" s="26" t="n">
        <x:v>0</x:v>
      </x:c>
      <x:c r="S331" s="26" t="n">
        <x:v>0</x:v>
      </x:c>
      <x:c r="T331" s="26" t="n">
        <x:v>0</x:v>
      </x:c>
      <x:c r="U331" s="26" t="n">
        <x:v>0</x:v>
      </x:c>
      <x:c r="V331" s="26" t="n">
        <x:v>0</x:v>
      </x:c>
      <x:c r="W331" s="26" t="n">
        <x:v>0</x:v>
      </x:c>
      <x:c r="X331" s="26" t="n">
        <x:v>0</x:v>
      </x:c>
      <x:c r="Y331" s="26" t="n">
        <x:v>0</x:v>
      </x:c>
      <x:c r="Z331" s="35" t="str">
        <x:v>Receipt allocated to FIN-00327</x:v>
      </x:c>
    </x:row>
    <x:row r="332">
      <x:c r="A332" s="20" t="str">
        <x:v>FIN-00329</x:v>
      </x:c>
      <x:c r="B332" s="23" t="n">
        <x:v>46478</x:v>
      </x:c>
      <x:c r="C332" s="23" t="n">
        <x:v>46478</x:v>
      </x:c>
      <x:c r="D332" s="20" t="str">
        <x:v>TenantCharge</x:v>
      </x:c>
      <x:c r="E332" s="20" t="str">
        <x:v>Rent</x:v>
      </x:c>
      <x:c r="F332" s="20" t="str">
        <x:v>P029</x:v>
      </x:c>
      <x:c r="G332" s="20" t="str">
        <x:v>U037</x:v>
      </x:c>
      <x:c r="H332" s="20" t="str">
        <x:v>L043</x:v>
      </x:c>
      <x:c r="I332" s="20" t="str">
        <x:v>Hector Reed</x:v>
      </x:c>
      <x:c r="J332" s="35" t="str">
        <x:v>System scheduled charge</x:v>
      </x:c>
      <x:c r="K332" s="20" t="str"/>
      <x:c r="L332" s="20" t="str">
        <x:v>RENT-202704-L043</x:v>
      </x:c>
      <x:c r="M332" s="26" t="n">
        <x:v>1675</x:v>
      </x:c>
      <x:c r="N332" s="26" t="n">
        <x:v>1675</x:v>
      </x:c>
      <x:c r="O332" s="26" t="n">
        <x:v>0</x:v>
      </x:c>
      <x:c r="P332" s="26" t="n">
        <x:v>0</x:v>
      </x:c>
      <x:c r="Q332" s="26" t="n">
        <x:v>0</x:v>
      </x:c>
      <x:c r="R332" s="26" t="n">
        <x:v>0</x:v>
      </x:c>
      <x:c r="S332" s="26" t="n">
        <x:v>0</x:v>
      </x:c>
      <x:c r="T332" s="26" t="n">
        <x:v>1675</x:v>
      </x:c>
      <x:c r="U332" s="26" t="n">
        <x:v>0</x:v>
      </x:c>
      <x:c r="V332" s="26" t="n">
        <x:v>0</x:v>
      </x:c>
      <x:c r="W332" s="26" t="n">
        <x:v>0</x:v>
      </x:c>
      <x:c r="X332" s="26" t="n">
        <x:v>0</x:v>
      </x:c>
      <x:c r="Y332" s="26" t="n">
        <x:v>0</x:v>
      </x:c>
      <x:c r="Z332" s="35" t="str">
        <x:v>April 2027 rent</x:v>
      </x:c>
    </x:row>
    <x:row r="333">
      <x:c r="A333" s="20" t="str">
        <x:v>FIN-00330</x:v>
      </x:c>
      <x:c r="B333" s="23" t="n">
        <x:v>46481</x:v>
      </x:c>
      <x:c r="C333" s="23" t="n">
        <x:v>46481</x:v>
      </x:c>
      <x:c r="D333" s="20" t="str">
        <x:v>TenantReceipt</x:v>
      </x:c>
      <x:c r="E333" s="20" t="str">
        <x:v>Rent receipt</x:v>
      </x:c>
      <x:c r="F333" s="20" t="str">
        <x:v>P029</x:v>
      </x:c>
      <x:c r="G333" s="20" t="str">
        <x:v>U037</x:v>
      </x:c>
      <x:c r="H333" s="20" t="str">
        <x:v>L043</x:v>
      </x:c>
      <x:c r="I333" s="20" t="str">
        <x:v>Hector Reed</x:v>
      </x:c>
      <x:c r="J333" s="35" t="str">
        <x:v>Portal card</x:v>
      </x:c>
      <x:c r="K333" s="20" t="str"/>
      <x:c r="L333" s="20" t="str">
        <x:v>PMT-20270404-L043</x:v>
      </x:c>
      <x:c r="M333" s="26" t="n">
        <x:v>1675</x:v>
      </x:c>
      <x:c r="N333" s="26" t="n">
        <x:v>-1675</x:v>
      </x:c>
      <x:c r="O333" s="26" t="n">
        <x:v>1675</x:v>
      </x:c>
      <x:c r="P333" s="26" t="n">
        <x:v>0</x:v>
      </x:c>
      <x:c r="Q333" s="26" t="n">
        <x:v>0</x:v>
      </x:c>
      <x:c r="R333" s="26" t="n">
        <x:v>0</x:v>
      </x:c>
      <x:c r="S333" s="26" t="n">
        <x:v>0</x:v>
      </x:c>
      <x:c r="T333" s="26" t="n">
        <x:v>0</x:v>
      </x:c>
      <x:c r="U333" s="26" t="n">
        <x:v>0</x:v>
      </x:c>
      <x:c r="V333" s="26" t="n">
        <x:v>0</x:v>
      </x:c>
      <x:c r="W333" s="26" t="n">
        <x:v>0</x:v>
      </x:c>
      <x:c r="X333" s="26" t="n">
        <x:v>0</x:v>
      </x:c>
      <x:c r="Y333" s="26" t="n">
        <x:v>0</x:v>
      </x:c>
      <x:c r="Z333" s="35" t="str">
        <x:v>Receipt allocated to FIN-00329</x:v>
      </x:c>
    </x:row>
    <x:row r="334">
      <x:c r="A334" s="20" t="str">
        <x:v>FIN-00331</x:v>
      </x:c>
      <x:c r="B334" s="23" t="n">
        <x:v>46478</x:v>
      </x:c>
      <x:c r="C334" s="23" t="n">
        <x:v>46478</x:v>
      </x:c>
      <x:c r="D334" s="20" t="str">
        <x:v>TenantCharge</x:v>
      </x:c>
      <x:c r="E334" s="20" t="str">
        <x:v>Rent</x:v>
      </x:c>
      <x:c r="F334" s="20" t="str">
        <x:v>P029</x:v>
      </x:c>
      <x:c r="G334" s="20" t="str">
        <x:v>U038</x:v>
      </x:c>
      <x:c r="H334" s="20" t="str">
        <x:v>L044</x:v>
      </x:c>
      <x:c r="I334" s="20" t="str">
        <x:v>Keira Adams</x:v>
      </x:c>
      <x:c r="J334" s="35" t="str">
        <x:v>System scheduled charge</x:v>
      </x:c>
      <x:c r="K334" s="20" t="str"/>
      <x:c r="L334" s="20" t="str">
        <x:v>RENT-202704-L044</x:v>
      </x:c>
      <x:c r="M334" s="26" t="n">
        <x:v>1300</x:v>
      </x:c>
      <x:c r="N334" s="26" t="n">
        <x:v>1300</x:v>
      </x:c>
      <x:c r="O334" s="26" t="n">
        <x:v>0</x:v>
      </x:c>
      <x:c r="P334" s="26" t="n">
        <x:v>0</x:v>
      </x:c>
      <x:c r="Q334" s="26" t="n">
        <x:v>0</x:v>
      </x:c>
      <x:c r="R334" s="26" t="n">
        <x:v>0</x:v>
      </x:c>
      <x:c r="S334" s="26" t="n">
        <x:v>0</x:v>
      </x:c>
      <x:c r="T334" s="26" t="n">
        <x:v>1300</x:v>
      </x:c>
      <x:c r="U334" s="26" t="n">
        <x:v>0</x:v>
      </x:c>
      <x:c r="V334" s="26" t="n">
        <x:v>0</x:v>
      </x:c>
      <x:c r="W334" s="26" t="n">
        <x:v>0</x:v>
      </x:c>
      <x:c r="X334" s="26" t="n">
        <x:v>0</x:v>
      </x:c>
      <x:c r="Y334" s="26" t="n">
        <x:v>0</x:v>
      </x:c>
      <x:c r="Z334" s="35" t="str">
        <x:v>April 2027 rent</x:v>
      </x:c>
    </x:row>
    <x:row r="335">
      <x:c r="A335" s="20" t="str">
        <x:v>FIN-00332</x:v>
      </x:c>
      <x:c r="B335" s="23" t="n">
        <x:v>46480</x:v>
      </x:c>
      <x:c r="C335" s="23" t="n">
        <x:v>46480</x:v>
      </x:c>
      <x:c r="D335" s="20" t="str">
        <x:v>TenantReceipt</x:v>
      </x:c>
      <x:c r="E335" s="20" t="str">
        <x:v>Rent receipt</x:v>
      </x:c>
      <x:c r="F335" s="20" t="str">
        <x:v>P029</x:v>
      </x:c>
      <x:c r="G335" s="20" t="str">
        <x:v>U038</x:v>
      </x:c>
      <x:c r="H335" s="20" t="str">
        <x:v>L044</x:v>
      </x:c>
      <x:c r="I335" s="20" t="str">
        <x:v>Keira Adams</x:v>
      </x:c>
      <x:c r="J335" s="35" t="str">
        <x:v>Scanned check</x:v>
      </x:c>
      <x:c r="K335" s="20" t="str">
        <x:v>SCN-0170</x:v>
      </x:c>
      <x:c r="L335" s="20" t="str">
        <x:v>PMT-20270403-L044-A</x:v>
      </x:c>
      <x:c r="M335" s="26" t="n">
        <x:v>780</x:v>
      </x:c>
      <x:c r="N335" s="26" t="n">
        <x:v>-780</x:v>
      </x:c>
      <x:c r="O335" s="26" t="n">
        <x:v>780</x:v>
      </x:c>
      <x:c r="P335" s="26" t="n">
        <x:v>0</x:v>
      </x:c>
      <x:c r="Q335" s="26" t="n">
        <x:v>0</x:v>
      </x:c>
      <x:c r="R335" s="26" t="n">
        <x:v>0</x:v>
      </x:c>
      <x:c r="S335" s="26" t="n">
        <x:v>0</x:v>
      </x:c>
      <x:c r="T335" s="26" t="n">
        <x:v>0</x:v>
      </x:c>
      <x:c r="U335" s="26" t="n">
        <x:v>0</x:v>
      </x:c>
      <x:c r="V335" s="26" t="n">
        <x:v>0</x:v>
      </x:c>
      <x:c r="W335" s="26" t="n">
        <x:v>0</x:v>
      </x:c>
      <x:c r="X335" s="26" t="n">
        <x:v>0</x:v>
      </x:c>
      <x:c r="Y335" s="26" t="n">
        <x:v>0</x:v>
      </x:c>
      <x:c r="Z335" s="35" t="str">
        <x:v>Receipt allocated to FIN-00331</x:v>
      </x:c>
    </x:row>
    <x:row r="336">
      <x:c r="A336" s="20" t="str">
        <x:v>FIN-00333</x:v>
      </x:c>
      <x:c r="B336" s="23" t="n">
        <x:v>46483</x:v>
      </x:c>
      <x:c r="C336" s="23" t="n">
        <x:v>46483</x:v>
      </x:c>
      <x:c r="D336" s="20" t="str">
        <x:v>TenantCharge</x:v>
      </x:c>
      <x:c r="E336" s="20" t="str">
        <x:v>Late fee</x:v>
      </x:c>
      <x:c r="F336" s="20" t="str">
        <x:v>P029</x:v>
      </x:c>
      <x:c r="G336" s="20" t="str">
        <x:v>U038</x:v>
      </x:c>
      <x:c r="H336" s="20" t="str">
        <x:v>L044</x:v>
      </x:c>
      <x:c r="I336" s="20" t="str">
        <x:v>Keira Adams</x:v>
      </x:c>
      <x:c r="J336" s="35" t="str">
        <x:v>System automation</x:v>
      </x:c>
      <x:c r="K336" s="20" t="str"/>
      <x:c r="L336" s="20" t="str">
        <x:v>LATE-202704-L044</x:v>
      </x:c>
      <x:c r="M336" s="26" t="n">
        <x:v>50</x:v>
      </x:c>
      <x:c r="N336" s="26" t="n">
        <x:v>50</x:v>
      </x:c>
      <x:c r="O336" s="26" t="n">
        <x:v>0</x:v>
      </x:c>
      <x:c r="P336" s="26" t="n">
        <x:v>0</x:v>
      </x:c>
      <x:c r="Q336" s="26" t="n">
        <x:v>0</x:v>
      </x:c>
      <x:c r="R336" s="26" t="n">
        <x:v>0</x:v>
      </x:c>
      <x:c r="S336" s="26" t="n">
        <x:v>0</x:v>
      </x:c>
      <x:c r="T336" s="26" t="n">
        <x:v>50</x:v>
      </x:c>
      <x:c r="U336" s="26" t="n">
        <x:v>0</x:v>
      </x:c>
      <x:c r="V336" s="26" t="n">
        <x:v>0</x:v>
      </x:c>
      <x:c r="W336" s="26" t="n">
        <x:v>0</x:v>
      </x:c>
      <x:c r="X336" s="26" t="n">
        <x:v>0</x:v>
      </x:c>
      <x:c r="Y336" s="26" t="n">
        <x:v>0</x:v>
      </x:c>
      <x:c r="Z336" s="35" t="str">
        <x:v>Synthetic lease-authorized late fee after partial payment</x:v>
      </x:c>
    </x:row>
    <x:row r="337">
      <x:c r="A337" s="20" t="str">
        <x:v>FIN-00334</x:v>
      </x:c>
      <x:c r="B337" s="23" t="n">
        <x:v>46489</x:v>
      </x:c>
      <x:c r="C337" s="23" t="n">
        <x:v>46489</x:v>
      </x:c>
      <x:c r="D337" s="20" t="str">
        <x:v>TenantReceipt</x:v>
      </x:c>
      <x:c r="E337" s="20" t="str">
        <x:v>Rent receipt</x:v>
      </x:c>
      <x:c r="F337" s="20" t="str">
        <x:v>P029</x:v>
      </x:c>
      <x:c r="G337" s="20" t="str">
        <x:v>U038</x:v>
      </x:c>
      <x:c r="H337" s="20" t="str">
        <x:v>L044</x:v>
      </x:c>
      <x:c r="I337" s="20" t="str">
        <x:v>Keira Adams</x:v>
      </x:c>
      <x:c r="J337" s="35" t="str">
        <x:v>Manual ACH</x:v>
      </x:c>
      <x:c r="K337" s="20" t="str"/>
      <x:c r="L337" s="20" t="str">
        <x:v>PMT-20270412-L044-B</x:v>
      </x:c>
      <x:c r="M337" s="26" t="n">
        <x:v>570</x:v>
      </x:c>
      <x:c r="N337" s="26" t="n">
        <x:v>-570</x:v>
      </x:c>
      <x:c r="O337" s="26" t="n">
        <x:v>570</x:v>
      </x:c>
      <x:c r="P337" s="26" t="n">
        <x:v>0</x:v>
      </x:c>
      <x:c r="Q337" s="26" t="n">
        <x:v>0</x:v>
      </x:c>
      <x:c r="R337" s="26" t="n">
        <x:v>0</x:v>
      </x:c>
      <x:c r="S337" s="26" t="n">
        <x:v>0</x:v>
      </x:c>
      <x:c r="T337" s="26" t="n">
        <x:v>0</x:v>
      </x:c>
      <x:c r="U337" s="26" t="n">
        <x:v>0</x:v>
      </x:c>
      <x:c r="V337" s="26" t="n">
        <x:v>0</x:v>
      </x:c>
      <x:c r="W337" s="26" t="n">
        <x:v>0</x:v>
      </x:c>
      <x:c r="X337" s="26" t="n">
        <x:v>0</x:v>
      </x:c>
      <x:c r="Y337" s="26" t="n">
        <x:v>0</x:v>
      </x:c>
      <x:c r="Z337" s="35" t="str">
        <x:v>Receipt allocated to FIN-00333</x:v>
      </x:c>
    </x:row>
    <x:row r="338">
      <x:c r="A338" s="20" t="str">
        <x:v>FIN-00335</x:v>
      </x:c>
      <x:c r="B338" s="23" t="n">
        <x:v>46508</x:v>
      </x:c>
      <x:c r="C338" s="23" t="n">
        <x:v>46508</x:v>
      </x:c>
      <x:c r="D338" s="20" t="str">
        <x:v>TenantCharge</x:v>
      </x:c>
      <x:c r="E338" s="20" t="str">
        <x:v>Rent</x:v>
      </x:c>
      <x:c r="F338" s="20" t="str">
        <x:v>P001</x:v>
      </x:c>
      <x:c r="G338" s="20" t="str">
        <x:v>U001</x:v>
      </x:c>
      <x:c r="H338" s="20" t="str">
        <x:v>L001</x:v>
      </x:c>
      <x:c r="I338" s="20" t="str">
        <x:v>Dana Garcia</x:v>
      </x:c>
      <x:c r="J338" s="35" t="str">
        <x:v>System scheduled charge</x:v>
      </x:c>
      <x:c r="K338" s="20" t="str"/>
      <x:c r="L338" s="20" t="str">
        <x:v>RENT-202705-L001</x:v>
      </x:c>
      <x:c r="M338" s="26" t="n">
        <x:v>1575</x:v>
      </x:c>
      <x:c r="N338" s="26" t="n">
        <x:v>1575</x:v>
      </x:c>
      <x:c r="O338" s="26" t="n">
        <x:v>0</x:v>
      </x:c>
      <x:c r="P338" s="26" t="n">
        <x:v>0</x:v>
      </x:c>
      <x:c r="Q338" s="26" t="n">
        <x:v>0</x:v>
      </x:c>
      <x:c r="R338" s="26" t="n">
        <x:v>0</x:v>
      </x:c>
      <x:c r="S338" s="26" t="n">
        <x:v>0</x:v>
      </x:c>
      <x:c r="T338" s="26" t="n">
        <x:v>1575</x:v>
      </x:c>
      <x:c r="U338" s="26" t="n">
        <x:v>0</x:v>
      </x:c>
      <x:c r="V338" s="26" t="n">
        <x:v>0</x:v>
      </x:c>
      <x:c r="W338" s="26" t="n">
        <x:v>0</x:v>
      </x:c>
      <x:c r="X338" s="26" t="n">
        <x:v>0</x:v>
      </x:c>
      <x:c r="Y338" s="26" t="n">
        <x:v>0</x:v>
      </x:c>
      <x:c r="Z338" s="35" t="str">
        <x:v>May 2027 rent</x:v>
      </x:c>
    </x:row>
    <x:row r="339">
      <x:c r="A339" s="20" t="str">
        <x:v>FIN-00336</x:v>
      </x:c>
      <x:c r="B339" s="23" t="n">
        <x:v>46511</x:v>
      </x:c>
      <x:c r="C339" s="23" t="n">
        <x:v>46511</x:v>
      </x:c>
      <x:c r="D339" s="20" t="str">
        <x:v>TenantReceipt</x:v>
      </x:c>
      <x:c r="E339" s="20" t="str">
        <x:v>Rent receipt</x:v>
      </x:c>
      <x:c r="F339" s="20" t="str">
        <x:v>P001</x:v>
      </x:c>
      <x:c r="G339" s="20" t="str">
        <x:v>U001</x:v>
      </x:c>
      <x:c r="H339" s="20" t="str">
        <x:v>L001</x:v>
      </x:c>
      <x:c r="I339" s="20" t="str">
        <x:v>Dana Garcia</x:v>
      </x:c>
      <x:c r="J339" s="35" t="str">
        <x:v>Scanned money order</x:v>
      </x:c>
      <x:c r="K339" s="20" t="str">
        <x:v>SCN-0171</x:v>
      </x:c>
      <x:c r="L339" s="20" t="str">
        <x:v>PMT-20270504-L001</x:v>
      </x:c>
      <x:c r="M339" s="26" t="n">
        <x:v>1575</x:v>
      </x:c>
      <x:c r="N339" s="26" t="n">
        <x:v>-1575</x:v>
      </x:c>
      <x:c r="O339" s="26" t="n">
        <x:v>1575</x:v>
      </x:c>
      <x:c r="P339" s="26" t="n">
        <x:v>0</x:v>
      </x:c>
      <x:c r="Q339" s="26" t="n">
        <x:v>0</x:v>
      </x:c>
      <x:c r="R339" s="26" t="n">
        <x:v>0</x:v>
      </x:c>
      <x:c r="S339" s="26" t="n">
        <x:v>0</x:v>
      </x:c>
      <x:c r="T339" s="26" t="n">
        <x:v>0</x:v>
      </x:c>
      <x:c r="U339" s="26" t="n">
        <x:v>0</x:v>
      </x:c>
      <x:c r="V339" s="26" t="n">
        <x:v>0</x:v>
      </x:c>
      <x:c r="W339" s="26" t="n">
        <x:v>0</x:v>
      </x:c>
      <x:c r="X339" s="26" t="n">
        <x:v>0</x:v>
      </x:c>
      <x:c r="Y339" s="26" t="n">
        <x:v>0</x:v>
      </x:c>
      <x:c r="Z339" s="35" t="str">
        <x:v>Receipt allocated to FIN-00335</x:v>
      </x:c>
    </x:row>
    <x:row r="340">
      <x:c r="A340" s="20" t="str">
        <x:v>FIN-00337</x:v>
      </x:c>
      <x:c r="B340" s="23" t="n">
        <x:v>46508</x:v>
      </x:c>
      <x:c r="C340" s="23" t="n">
        <x:v>46508</x:v>
      </x:c>
      <x:c r="D340" s="20" t="str">
        <x:v>TenantCharge</x:v>
      </x:c>
      <x:c r="E340" s="20" t="str">
        <x:v>Rent</x:v>
      </x:c>
      <x:c r="F340" s="20" t="str">
        <x:v>P002</x:v>
      </x:c>
      <x:c r="G340" s="20" t="str">
        <x:v>U002</x:v>
      </x:c>
      <x:c r="H340" s="20" t="str">
        <x:v>L002</x:v>
      </x:c>
      <x:c r="I340" s="20" t="str">
        <x:v>Gray Lewis</x:v>
      </x:c>
      <x:c r="J340" s="35" t="str">
        <x:v>System scheduled charge</x:v>
      </x:c>
      <x:c r="K340" s="20" t="str"/>
      <x:c r="L340" s="20" t="str">
        <x:v>RENT-202705-L002</x:v>
      </x:c>
      <x:c r="M340" s="26" t="n">
        <x:v>1200</x:v>
      </x:c>
      <x:c r="N340" s="26" t="n">
        <x:v>1200</x:v>
      </x:c>
      <x:c r="O340" s="26" t="n">
        <x:v>0</x:v>
      </x:c>
      <x:c r="P340" s="26" t="n">
        <x:v>0</x:v>
      </x:c>
      <x:c r="Q340" s="26" t="n">
        <x:v>0</x:v>
      </x:c>
      <x:c r="R340" s="26" t="n">
        <x:v>0</x:v>
      </x:c>
      <x:c r="S340" s="26" t="n">
        <x:v>0</x:v>
      </x:c>
      <x:c r="T340" s="26" t="n">
        <x:v>1200</x:v>
      </x:c>
      <x:c r="U340" s="26" t="n">
        <x:v>0</x:v>
      </x:c>
      <x:c r="V340" s="26" t="n">
        <x:v>0</x:v>
      </x:c>
      <x:c r="W340" s="26" t="n">
        <x:v>0</x:v>
      </x:c>
      <x:c r="X340" s="26" t="n">
        <x:v>0</x:v>
      </x:c>
      <x:c r="Y340" s="26" t="n">
        <x:v>0</x:v>
      </x:c>
      <x:c r="Z340" s="35" t="str">
        <x:v>May 2027 rent</x:v>
      </x:c>
    </x:row>
    <x:row r="341">
      <x:c r="A341" s="20" t="str">
        <x:v>FIN-00338</x:v>
      </x:c>
      <x:c r="B341" s="23" t="n">
        <x:v>46512</x:v>
      </x:c>
      <x:c r="C341" s="23" t="n">
        <x:v>46512</x:v>
      </x:c>
      <x:c r="D341" s="20" t="str">
        <x:v>TenantReceipt</x:v>
      </x:c>
      <x:c r="E341" s="20" t="str">
        <x:v>Rent receipt</x:v>
      </x:c>
      <x:c r="F341" s="20" t="str">
        <x:v>P002</x:v>
      </x:c>
      <x:c r="G341" s="20" t="str">
        <x:v>U002</x:v>
      </x:c>
      <x:c r="H341" s="20" t="str">
        <x:v>L002</x:v>
      </x:c>
      <x:c r="I341" s="20" t="str">
        <x:v>Gray Lewis</x:v>
      </x:c>
      <x:c r="J341" s="35" t="str">
        <x:v>Manual ACH</x:v>
      </x:c>
      <x:c r="K341" s="20" t="str"/>
      <x:c r="L341" s="20" t="str">
        <x:v>PMT-20270505-L002</x:v>
      </x:c>
      <x:c r="M341" s="26" t="n">
        <x:v>1200</x:v>
      </x:c>
      <x:c r="N341" s="26" t="n">
        <x:v>-1200</x:v>
      </x:c>
      <x:c r="O341" s="26" t="n">
        <x:v>1200</x:v>
      </x:c>
      <x:c r="P341" s="26" t="n">
        <x:v>0</x:v>
      </x:c>
      <x:c r="Q341" s="26" t="n">
        <x:v>0</x:v>
      </x:c>
      <x:c r="R341" s="26" t="n">
        <x:v>0</x:v>
      </x:c>
      <x:c r="S341" s="26" t="n">
        <x:v>0</x:v>
      </x:c>
      <x:c r="T341" s="26" t="n">
        <x:v>0</x:v>
      </x:c>
      <x:c r="U341" s="26" t="n">
        <x:v>0</x:v>
      </x:c>
      <x:c r="V341" s="26" t="n">
        <x:v>0</x:v>
      </x:c>
      <x:c r="W341" s="26" t="n">
        <x:v>0</x:v>
      </x:c>
      <x:c r="X341" s="26" t="n">
        <x:v>0</x:v>
      </x:c>
      <x:c r="Y341" s="26" t="n">
        <x:v>0</x:v>
      </x:c>
      <x:c r="Z341" s="35" t="str">
        <x:v>Receipt allocated to FIN-00337</x:v>
      </x:c>
    </x:row>
    <x:row r="342">
      <x:c r="A342" s="20" t="str">
        <x:v>FIN-00339</x:v>
      </x:c>
      <x:c r="B342" s="23" t="n">
        <x:v>46508</x:v>
      </x:c>
      <x:c r="C342" s="23" t="n">
        <x:v>46508</x:v>
      </x:c>
      <x:c r="D342" s="20" t="str">
        <x:v>TenantCharge</x:v>
      </x:c>
      <x:c r="E342" s="20" t="str">
        <x:v>Rent</x:v>
      </x:c>
      <x:c r="F342" s="20" t="str">
        <x:v>P003</x:v>
      </x:c>
      <x:c r="G342" s="20" t="str">
        <x:v>U003</x:v>
      </x:c>
      <x:c r="H342" s="20" t="str">
        <x:v>L003</x:v>
      </x:c>
      <x:c r="I342" s="20" t="str">
        <x:v>Jordan Reed</x:v>
      </x:c>
      <x:c r="J342" s="35" t="str">
        <x:v>System scheduled charge</x:v>
      </x:c>
      <x:c r="K342" s="20" t="str"/>
      <x:c r="L342" s="20" t="str">
        <x:v>RENT-202705-L003</x:v>
      </x:c>
      <x:c r="M342" s="26" t="n">
        <x:v>1725</x:v>
      </x:c>
      <x:c r="N342" s="26" t="n">
        <x:v>1725</x:v>
      </x:c>
      <x:c r="O342" s="26" t="n">
        <x:v>0</x:v>
      </x:c>
      <x:c r="P342" s="26" t="n">
        <x:v>0</x:v>
      </x:c>
      <x:c r="Q342" s="26" t="n">
        <x:v>0</x:v>
      </x:c>
      <x:c r="R342" s="26" t="n">
        <x:v>0</x:v>
      </x:c>
      <x:c r="S342" s="26" t="n">
        <x:v>0</x:v>
      </x:c>
      <x:c r="T342" s="26" t="n">
        <x:v>1725</x:v>
      </x:c>
      <x:c r="U342" s="26" t="n">
        <x:v>0</x:v>
      </x:c>
      <x:c r="V342" s="26" t="n">
        <x:v>0</x:v>
      </x:c>
      <x:c r="W342" s="26" t="n">
        <x:v>0</x:v>
      </x:c>
      <x:c r="X342" s="26" t="n">
        <x:v>0</x:v>
      </x:c>
      <x:c r="Y342" s="26" t="n">
        <x:v>0</x:v>
      </x:c>
      <x:c r="Z342" s="35" t="str">
        <x:v>May 2027 rent</x:v>
      </x:c>
    </x:row>
    <x:row r="343">
      <x:c r="A343" s="20" t="str">
        <x:v>FIN-00340</x:v>
      </x:c>
      <x:c r="B343" s="23" t="n">
        <x:v>46510</x:v>
      </x:c>
      <x:c r="C343" s="23" t="n">
        <x:v>46510</x:v>
      </x:c>
      <x:c r="D343" s="20" t="str">
        <x:v>TenantReceipt</x:v>
      </x:c>
      <x:c r="E343" s="20" t="str">
        <x:v>Rent receipt</x:v>
      </x:c>
      <x:c r="F343" s="20" t="str">
        <x:v>P003</x:v>
      </x:c>
      <x:c r="G343" s="20" t="str">
        <x:v>U003</x:v>
      </x:c>
      <x:c r="H343" s="20" t="str">
        <x:v>L003</x:v>
      </x:c>
      <x:c r="I343" s="20" t="str">
        <x:v>Jordan Reed</x:v>
      </x:c>
      <x:c r="J343" s="35" t="str">
        <x:v>Portal card</x:v>
      </x:c>
      <x:c r="K343" s="20" t="str"/>
      <x:c r="L343" s="20" t="str">
        <x:v>PMT-20270503-L003</x:v>
      </x:c>
      <x:c r="M343" s="26" t="n">
        <x:v>1725</x:v>
      </x:c>
      <x:c r="N343" s="26" t="n">
        <x:v>-1725</x:v>
      </x:c>
      <x:c r="O343" s="26" t="n">
        <x:v>1725</x:v>
      </x:c>
      <x:c r="P343" s="26" t="n">
        <x:v>0</x:v>
      </x:c>
      <x:c r="Q343" s="26" t="n">
        <x:v>0</x:v>
      </x:c>
      <x:c r="R343" s="26" t="n">
        <x:v>0</x:v>
      </x:c>
      <x:c r="S343" s="26" t="n">
        <x:v>0</x:v>
      </x:c>
      <x:c r="T343" s="26" t="n">
        <x:v>0</x:v>
      </x:c>
      <x:c r="U343" s="26" t="n">
        <x:v>0</x:v>
      </x:c>
      <x:c r="V343" s="26" t="n">
        <x:v>0</x:v>
      </x:c>
      <x:c r="W343" s="26" t="n">
        <x:v>0</x:v>
      </x:c>
      <x:c r="X343" s="26" t="n">
        <x:v>0</x:v>
      </x:c>
      <x:c r="Y343" s="26" t="n">
        <x:v>0</x:v>
      </x:c>
      <x:c r="Z343" s="35" t="str">
        <x:v>Receipt allocated to FIN-00339</x:v>
      </x:c>
    </x:row>
    <x:row r="344">
      <x:c r="A344" s="20" t="str">
        <x:v>FIN-00341</x:v>
      </x:c>
      <x:c r="B344" s="23" t="n">
        <x:v>46508</x:v>
      </x:c>
      <x:c r="C344" s="23" t="n">
        <x:v>46508</x:v>
      </x:c>
      <x:c r="D344" s="20" t="str">
        <x:v>TenantCharge</x:v>
      </x:c>
      <x:c r="E344" s="20" t="str">
        <x:v>Rent</x:v>
      </x:c>
      <x:c r="F344" s="20" t="str">
        <x:v>P004</x:v>
      </x:c>
      <x:c r="G344" s="20" t="str">
        <x:v>U004</x:v>
      </x:c>
      <x:c r="H344" s="20" t="str">
        <x:v>L004</x:v>
      </x:c>
      <x:c r="I344" s="20" t="str">
        <x:v>Morgan Adams</x:v>
      </x:c>
      <x:c r="J344" s="35" t="str">
        <x:v>System scheduled charge</x:v>
      </x:c>
      <x:c r="K344" s="20" t="str"/>
      <x:c r="L344" s="20" t="str">
        <x:v>RENT-202705-L004</x:v>
      </x:c>
      <x:c r="M344" s="26" t="n">
        <x:v>1350</x:v>
      </x:c>
      <x:c r="N344" s="26" t="n">
        <x:v>1350</x:v>
      </x:c>
      <x:c r="O344" s="26" t="n">
        <x:v>0</x:v>
      </x:c>
      <x:c r="P344" s="26" t="n">
        <x:v>0</x:v>
      </x:c>
      <x:c r="Q344" s="26" t="n">
        <x:v>0</x:v>
      </x:c>
      <x:c r="R344" s="26" t="n">
        <x:v>0</x:v>
      </x:c>
      <x:c r="S344" s="26" t="n">
        <x:v>0</x:v>
      </x:c>
      <x:c r="T344" s="26" t="n">
        <x:v>1350</x:v>
      </x:c>
      <x:c r="U344" s="26" t="n">
        <x:v>0</x:v>
      </x:c>
      <x:c r="V344" s="26" t="n">
        <x:v>0</x:v>
      </x:c>
      <x:c r="W344" s="26" t="n">
        <x:v>0</x:v>
      </x:c>
      <x:c r="X344" s="26" t="n">
        <x:v>0</x:v>
      </x:c>
      <x:c r="Y344" s="26" t="n">
        <x:v>0</x:v>
      </x:c>
      <x:c r="Z344" s="35" t="str">
        <x:v>May 2027 rent</x:v>
      </x:c>
    </x:row>
    <x:row r="345">
      <x:c r="A345" s="20" t="str">
        <x:v>FIN-00342</x:v>
      </x:c>
      <x:c r="B345" s="23" t="n">
        <x:v>46511</x:v>
      </x:c>
      <x:c r="C345" s="23" t="n">
        <x:v>46511</x:v>
      </x:c>
      <x:c r="D345" s="20" t="str">
        <x:v>TenantReceipt</x:v>
      </x:c>
      <x:c r="E345" s="20" t="str">
        <x:v>Rent receipt</x:v>
      </x:c>
      <x:c r="F345" s="20" t="str">
        <x:v>P004</x:v>
      </x:c>
      <x:c r="G345" s="20" t="str">
        <x:v>U004</x:v>
      </x:c>
      <x:c r="H345" s="20" t="str">
        <x:v>L004</x:v>
      </x:c>
      <x:c r="I345" s="20" t="str">
        <x:v>Morgan Adams</x:v>
      </x:c>
      <x:c r="J345" s="35" t="str">
        <x:v>Scanned check</x:v>
      </x:c>
      <x:c r="K345" s="20" t="str">
        <x:v>SCN-0172</x:v>
      </x:c>
      <x:c r="L345" s="20" t="str">
        <x:v>PMT-20270504-L004</x:v>
      </x:c>
      <x:c r="M345" s="26" t="n">
        <x:v>1350</x:v>
      </x:c>
      <x:c r="N345" s="26" t="n">
        <x:v>-1350</x:v>
      </x:c>
      <x:c r="O345" s="26" t="n">
        <x:v>1350</x:v>
      </x:c>
      <x:c r="P345" s="26" t="n">
        <x:v>0</x:v>
      </x:c>
      <x:c r="Q345" s="26" t="n">
        <x:v>0</x:v>
      </x:c>
      <x:c r="R345" s="26" t="n">
        <x:v>0</x:v>
      </x:c>
      <x:c r="S345" s="26" t="n">
        <x:v>0</x:v>
      </x:c>
      <x:c r="T345" s="26" t="n">
        <x:v>0</x:v>
      </x:c>
      <x:c r="U345" s="26" t="n">
        <x:v>0</x:v>
      </x:c>
      <x:c r="V345" s="26" t="n">
        <x:v>0</x:v>
      </x:c>
      <x:c r="W345" s="26" t="n">
        <x:v>0</x:v>
      </x:c>
      <x:c r="X345" s="26" t="n">
        <x:v>0</x:v>
      </x:c>
      <x:c r="Y345" s="26" t="n">
        <x:v>0</x:v>
      </x:c>
      <x:c r="Z345" s="35" t="str">
        <x:v>Receipt allocated to FIN-00341</x:v>
      </x:c>
    </x:row>
    <x:row r="346">
      <x:c r="A346" s="20" t="str">
        <x:v>FIN-00343</x:v>
      </x:c>
      <x:c r="B346" s="23" t="n">
        <x:v>46508</x:v>
      </x:c>
      <x:c r="C346" s="23" t="n">
        <x:v>46508</x:v>
      </x:c>
      <x:c r="D346" s="20" t="str">
        <x:v>TenantCharge</x:v>
      </x:c>
      <x:c r="E346" s="20" t="str">
        <x:v>Rent</x:v>
      </x:c>
      <x:c r="F346" s="20" t="str">
        <x:v>P006</x:v>
      </x:c>
      <x:c r="G346" s="20" t="str">
        <x:v>U006</x:v>
      </x:c>
      <x:c r="H346" s="20" t="str">
        <x:v>L006</x:v>
      </x:c>
      <x:c r="I346" s="20" t="str">
        <x:v>Sage King</x:v>
      </x:c>
      <x:c r="J346" s="35" t="str">
        <x:v>System scheduled charge</x:v>
      </x:c>
      <x:c r="K346" s="20" t="str"/>
      <x:c r="L346" s="20" t="str">
        <x:v>RENT-202705-L006</x:v>
      </x:c>
      <x:c r="M346" s="26" t="n">
        <x:v>1500</x:v>
      </x:c>
      <x:c r="N346" s="26" t="n">
        <x:v>1500</x:v>
      </x:c>
      <x:c r="O346" s="26" t="n">
        <x:v>0</x:v>
      </x:c>
      <x:c r="P346" s="26" t="n">
        <x:v>0</x:v>
      </x:c>
      <x:c r="Q346" s="26" t="n">
        <x:v>0</x:v>
      </x:c>
      <x:c r="R346" s="26" t="n">
        <x:v>0</x:v>
      </x:c>
      <x:c r="S346" s="26" t="n">
        <x:v>0</x:v>
      </x:c>
      <x:c r="T346" s="26" t="n">
        <x:v>1500</x:v>
      </x:c>
      <x:c r="U346" s="26" t="n">
        <x:v>0</x:v>
      </x:c>
      <x:c r="V346" s="26" t="n">
        <x:v>0</x:v>
      </x:c>
      <x:c r="W346" s="26" t="n">
        <x:v>0</x:v>
      </x:c>
      <x:c r="X346" s="26" t="n">
        <x:v>0</x:v>
      </x:c>
      <x:c r="Y346" s="26" t="n">
        <x:v>0</x:v>
      </x:c>
      <x:c r="Z346" s="35" t="str">
        <x:v>May 2027 rent</x:v>
      </x:c>
    </x:row>
    <x:row r="347">
      <x:c r="A347" s="20" t="str">
        <x:v>FIN-00344</x:v>
      </x:c>
      <x:c r="B347" s="23" t="n">
        <x:v>46510</x:v>
      </x:c>
      <x:c r="C347" s="23" t="n">
        <x:v>46510</x:v>
      </x:c>
      <x:c r="D347" s="20" t="str">
        <x:v>TenantReceipt</x:v>
      </x:c>
      <x:c r="E347" s="20" t="str">
        <x:v>Rent receipt</x:v>
      </x:c>
      <x:c r="F347" s="20" t="str">
        <x:v>P006</x:v>
      </x:c>
      <x:c r="G347" s="20" t="str">
        <x:v>U006</x:v>
      </x:c>
      <x:c r="H347" s="20" t="str">
        <x:v>L006</x:v>
      </x:c>
      <x:c r="I347" s="20" t="str">
        <x:v>Sage King</x:v>
      </x:c>
      <x:c r="J347" s="35" t="str">
        <x:v>Manual ACH</x:v>
      </x:c>
      <x:c r="K347" s="20" t="str"/>
      <x:c r="L347" s="20" t="str">
        <x:v>PMT-20270503-L006</x:v>
      </x:c>
      <x:c r="M347" s="26" t="n">
        <x:v>1500</x:v>
      </x:c>
      <x:c r="N347" s="26" t="n">
        <x:v>-1500</x:v>
      </x:c>
      <x:c r="O347" s="26" t="n">
        <x:v>1500</x:v>
      </x:c>
      <x:c r="P347" s="26" t="n">
        <x:v>0</x:v>
      </x:c>
      <x:c r="Q347" s="26" t="n">
        <x:v>0</x:v>
      </x:c>
      <x:c r="R347" s="26" t="n">
        <x:v>0</x:v>
      </x:c>
      <x:c r="S347" s="26" t="n">
        <x:v>0</x:v>
      </x:c>
      <x:c r="T347" s="26" t="n">
        <x:v>0</x:v>
      </x:c>
      <x:c r="U347" s="26" t="n">
        <x:v>0</x:v>
      </x:c>
      <x:c r="V347" s="26" t="n">
        <x:v>0</x:v>
      </x:c>
      <x:c r="W347" s="26" t="n">
        <x:v>0</x:v>
      </x:c>
      <x:c r="X347" s="26" t="n">
        <x:v>0</x:v>
      </x:c>
      <x:c r="Y347" s="26" t="n">
        <x:v>0</x:v>
      </x:c>
      <x:c r="Z347" s="35" t="str">
        <x:v>Receipt allocated to FIN-00343</x:v>
      </x:c>
    </x:row>
    <x:row r="348">
      <x:c r="A348" s="20" t="str">
        <x:v>FIN-00345</x:v>
      </x:c>
      <x:c r="B348" s="23" t="n">
        <x:v>46508</x:v>
      </x:c>
      <x:c r="C348" s="23" t="n">
        <x:v>46508</x:v>
      </x:c>
      <x:c r="D348" s="20" t="str">
        <x:v>TenantCharge</x:v>
      </x:c>
      <x:c r="E348" s="20" t="str">
        <x:v>Rent</x:v>
      </x:c>
      <x:c r="F348" s="20" t="str">
        <x:v>P007</x:v>
      </x:c>
      <x:c r="G348" s="20" t="str">
        <x:v>U007</x:v>
      </x:c>
      <x:c r="H348" s="20" t="str">
        <x:v>L007</x:v>
      </x:c>
      <x:c r="I348" s="20" t="str">
        <x:v>Val Price</x:v>
      </x:c>
      <x:c r="J348" s="35" t="str">
        <x:v>System scheduled charge</x:v>
      </x:c>
      <x:c r="K348" s="20" t="str"/>
      <x:c r="L348" s="20" t="str">
        <x:v>RENT-202705-L007</x:v>
      </x:c>
      <x:c r="M348" s="26" t="n">
        <x:v>1125</x:v>
      </x:c>
      <x:c r="N348" s="26" t="n">
        <x:v>1125</x:v>
      </x:c>
      <x:c r="O348" s="26" t="n">
        <x:v>0</x:v>
      </x:c>
      <x:c r="P348" s="26" t="n">
        <x:v>0</x:v>
      </x:c>
      <x:c r="Q348" s="26" t="n">
        <x:v>0</x:v>
      </x:c>
      <x:c r="R348" s="26" t="n">
        <x:v>0</x:v>
      </x:c>
      <x:c r="S348" s="26" t="n">
        <x:v>0</x:v>
      </x:c>
      <x:c r="T348" s="26" t="n">
        <x:v>1125</x:v>
      </x:c>
      <x:c r="U348" s="26" t="n">
        <x:v>0</x:v>
      </x:c>
      <x:c r="V348" s="26" t="n">
        <x:v>0</x:v>
      </x:c>
      <x:c r="W348" s="26" t="n">
        <x:v>0</x:v>
      </x:c>
      <x:c r="X348" s="26" t="n">
        <x:v>0</x:v>
      </x:c>
      <x:c r="Y348" s="26" t="n">
        <x:v>0</x:v>
      </x:c>
      <x:c r="Z348" s="35" t="str">
        <x:v>May 2027 rent</x:v>
      </x:c>
    </x:row>
    <x:row r="349">
      <x:c r="A349" s="20" t="str">
        <x:v>FIN-00346</x:v>
      </x:c>
      <x:c r="B349" s="23" t="n">
        <x:v>46511</x:v>
      </x:c>
      <x:c r="C349" s="23" t="n">
        <x:v>46511</x:v>
      </x:c>
      <x:c r="D349" s="20" t="str">
        <x:v>TenantReceipt</x:v>
      </x:c>
      <x:c r="E349" s="20" t="str">
        <x:v>Rent receipt</x:v>
      </x:c>
      <x:c r="F349" s="20" t="str">
        <x:v>P007</x:v>
      </x:c>
      <x:c r="G349" s="20" t="str">
        <x:v>U007</x:v>
      </x:c>
      <x:c r="H349" s="20" t="str">
        <x:v>L007</x:v>
      </x:c>
      <x:c r="I349" s="20" t="str">
        <x:v>Val Price</x:v>
      </x:c>
      <x:c r="J349" s="35" t="str">
        <x:v>Portal card</x:v>
      </x:c>
      <x:c r="K349" s="20" t="str"/>
      <x:c r="L349" s="20" t="str">
        <x:v>PMT-20270504-L007</x:v>
      </x:c>
      <x:c r="M349" s="26" t="n">
        <x:v>1125</x:v>
      </x:c>
      <x:c r="N349" s="26" t="n">
        <x:v>-1125</x:v>
      </x:c>
      <x:c r="O349" s="26" t="n">
        <x:v>1125</x:v>
      </x:c>
      <x:c r="P349" s="26" t="n">
        <x:v>0</x:v>
      </x:c>
      <x:c r="Q349" s="26" t="n">
        <x:v>0</x:v>
      </x:c>
      <x:c r="R349" s="26" t="n">
        <x:v>0</x:v>
      </x:c>
      <x:c r="S349" s="26" t="n">
        <x:v>0</x:v>
      </x:c>
      <x:c r="T349" s="26" t="n">
        <x:v>0</x:v>
      </x:c>
      <x:c r="U349" s="26" t="n">
        <x:v>0</x:v>
      </x:c>
      <x:c r="V349" s="26" t="n">
        <x:v>0</x:v>
      </x:c>
      <x:c r="W349" s="26" t="n">
        <x:v>0</x:v>
      </x:c>
      <x:c r="X349" s="26" t="n">
        <x:v>0</x:v>
      </x:c>
      <x:c r="Y349" s="26" t="n">
        <x:v>0</x:v>
      </x:c>
      <x:c r="Z349" s="35" t="str">
        <x:v>Receipt allocated to FIN-00345</x:v>
      </x:c>
    </x:row>
    <x:row r="350">
      <x:c r="A350" s="20" t="str">
        <x:v>FIN-00347</x:v>
      </x:c>
      <x:c r="B350" s="23" t="n">
        <x:v>46508</x:v>
      </x:c>
      <x:c r="C350" s="23" t="n">
        <x:v>46508</x:v>
      </x:c>
      <x:c r="D350" s="20" t="str">
        <x:v>TenantCharge</x:v>
      </x:c>
      <x:c r="E350" s="20" t="str">
        <x:v>Rent</x:v>
      </x:c>
      <x:c r="F350" s="20" t="str">
        <x:v>P008</x:v>
      </x:c>
      <x:c r="G350" s="20" t="str">
        <x:v>U008</x:v>
      </x:c>
      <x:c r="H350" s="20" t="str">
        <x:v>L008</x:v>
      </x:c>
      <x:c r="I350" s="20" t="str">
        <x:v>Yara Brooks</x:v>
      </x:c>
      <x:c r="J350" s="35" t="str">
        <x:v>System scheduled charge</x:v>
      </x:c>
      <x:c r="K350" s="20" t="str"/>
      <x:c r="L350" s="20" t="str">
        <x:v>RENT-202705-L008</x:v>
      </x:c>
      <x:c r="M350" s="26" t="n">
        <x:v>1650</x:v>
      </x:c>
      <x:c r="N350" s="26" t="n">
        <x:v>1650</x:v>
      </x:c>
      <x:c r="O350" s="26" t="n">
        <x:v>0</x:v>
      </x:c>
      <x:c r="P350" s="26" t="n">
        <x:v>0</x:v>
      </x:c>
      <x:c r="Q350" s="26" t="n">
        <x:v>0</x:v>
      </x:c>
      <x:c r="R350" s="26" t="n">
        <x:v>0</x:v>
      </x:c>
      <x:c r="S350" s="26" t="n">
        <x:v>0</x:v>
      </x:c>
      <x:c r="T350" s="26" t="n">
        <x:v>1650</x:v>
      </x:c>
      <x:c r="U350" s="26" t="n">
        <x:v>0</x:v>
      </x:c>
      <x:c r="V350" s="26" t="n">
        <x:v>0</x:v>
      </x:c>
      <x:c r="W350" s="26" t="n">
        <x:v>0</x:v>
      </x:c>
      <x:c r="X350" s="26" t="n">
        <x:v>0</x:v>
      </x:c>
      <x:c r="Y350" s="26" t="n">
        <x:v>0</x:v>
      </x:c>
      <x:c r="Z350" s="35" t="str">
        <x:v>May 2027 rent</x:v>
      </x:c>
    </x:row>
    <x:row r="351">
      <x:c r="A351" s="20" t="str">
        <x:v>FIN-00348</x:v>
      </x:c>
      <x:c r="B351" s="23" t="n">
        <x:v>46512</x:v>
      </x:c>
      <x:c r="C351" s="23" t="n">
        <x:v>46512</x:v>
      </x:c>
      <x:c r="D351" s="20" t="str">
        <x:v>TenantReceipt</x:v>
      </x:c>
      <x:c r="E351" s="20" t="str">
        <x:v>Rent receipt</x:v>
      </x:c>
      <x:c r="F351" s="20" t="str">
        <x:v>P008</x:v>
      </x:c>
      <x:c r="G351" s="20" t="str">
        <x:v>U008</x:v>
      </x:c>
      <x:c r="H351" s="20" t="str">
        <x:v>L008</x:v>
      </x:c>
      <x:c r="I351" s="20" t="str">
        <x:v>Yara Brooks</x:v>
      </x:c>
      <x:c r="J351" s="35" t="str">
        <x:v>Scanned check</x:v>
      </x:c>
      <x:c r="K351" s="20" t="str">
        <x:v>SCN-0173</x:v>
      </x:c>
      <x:c r="L351" s="20" t="str">
        <x:v>PMT-20270505-L008</x:v>
      </x:c>
      <x:c r="M351" s="26" t="n">
        <x:v>1650</x:v>
      </x:c>
      <x:c r="N351" s="26" t="n">
        <x:v>-1650</x:v>
      </x:c>
      <x:c r="O351" s="26" t="n">
        <x:v>1650</x:v>
      </x:c>
      <x:c r="P351" s="26" t="n">
        <x:v>0</x:v>
      </x:c>
      <x:c r="Q351" s="26" t="n">
        <x:v>0</x:v>
      </x:c>
      <x:c r="R351" s="26" t="n">
        <x:v>0</x:v>
      </x:c>
      <x:c r="S351" s="26" t="n">
        <x:v>0</x:v>
      </x:c>
      <x:c r="T351" s="26" t="n">
        <x:v>0</x:v>
      </x:c>
      <x:c r="U351" s="26" t="n">
        <x:v>0</x:v>
      </x:c>
      <x:c r="V351" s="26" t="n">
        <x:v>0</x:v>
      </x:c>
      <x:c r="W351" s="26" t="n">
        <x:v>0</x:v>
      </x:c>
      <x:c r="X351" s="26" t="n">
        <x:v>0</x:v>
      </x:c>
      <x:c r="Y351" s="26" t="n">
        <x:v>0</x:v>
      </x:c>
      <x:c r="Z351" s="35" t="str">
        <x:v>Receipt allocated to FIN-00347</x:v>
      </x:c>
    </x:row>
    <x:row r="352">
      <x:c r="A352" s="20" t="str">
        <x:v>FIN-00349</x:v>
      </x:c>
      <x:c r="B352" s="23" t="n">
        <x:v>46508</x:v>
      </x:c>
      <x:c r="C352" s="23" t="n">
        <x:v>46508</x:v>
      </x:c>
      <x:c r="D352" s="20" t="str">
        <x:v>TenantCharge</x:v>
      </x:c>
      <x:c r="E352" s="20" t="str">
        <x:v>Rent</x:v>
      </x:c>
      <x:c r="F352" s="20" t="str">
        <x:v>P009</x:v>
      </x:c>
      <x:c r="G352" s="20" t="str">
        <x:v>U009</x:v>
      </x:c>
      <x:c r="H352" s="20" t="str">
        <x:v>L009</x:v>
      </x:c>
      <x:c r="I352" s="20" t="str">
        <x:v>Bennett Garcia</x:v>
      </x:c>
      <x:c r="J352" s="35" t="str">
        <x:v>System scheduled charge</x:v>
      </x:c>
      <x:c r="K352" s="20" t="str"/>
      <x:c r="L352" s="20" t="str">
        <x:v>RENT-202705-L009</x:v>
      </x:c>
      <x:c r="M352" s="26" t="n">
        <x:v>1275</x:v>
      </x:c>
      <x:c r="N352" s="26" t="n">
        <x:v>1275</x:v>
      </x:c>
      <x:c r="O352" s="26" t="n">
        <x:v>0</x:v>
      </x:c>
      <x:c r="P352" s="26" t="n">
        <x:v>0</x:v>
      </x:c>
      <x:c r="Q352" s="26" t="n">
        <x:v>0</x:v>
      </x:c>
      <x:c r="R352" s="26" t="n">
        <x:v>0</x:v>
      </x:c>
      <x:c r="S352" s="26" t="n">
        <x:v>0</x:v>
      </x:c>
      <x:c r="T352" s="26" t="n">
        <x:v>1275</x:v>
      </x:c>
      <x:c r="U352" s="26" t="n">
        <x:v>0</x:v>
      </x:c>
      <x:c r="V352" s="26" t="n">
        <x:v>0</x:v>
      </x:c>
      <x:c r="W352" s="26" t="n">
        <x:v>0</x:v>
      </x:c>
      <x:c r="X352" s="26" t="n">
        <x:v>0</x:v>
      </x:c>
      <x:c r="Y352" s="26" t="n">
        <x:v>0</x:v>
      </x:c>
      <x:c r="Z352" s="35" t="str">
        <x:v>May 2027 rent</x:v>
      </x:c>
    </x:row>
    <x:row r="353">
      <x:c r="A353" s="20" t="str">
        <x:v>FIN-00350</x:v>
      </x:c>
      <x:c r="B353" s="23" t="n">
        <x:v>46510</x:v>
      </x:c>
      <x:c r="C353" s="23" t="n">
        <x:v>46510</x:v>
      </x:c>
      <x:c r="D353" s="20" t="str">
        <x:v>TenantReceipt</x:v>
      </x:c>
      <x:c r="E353" s="20" t="str">
        <x:v>Rent receipt</x:v>
      </x:c>
      <x:c r="F353" s="20" t="str">
        <x:v>P009</x:v>
      </x:c>
      <x:c r="G353" s="20" t="str">
        <x:v>U009</x:v>
      </x:c>
      <x:c r="H353" s="20" t="str">
        <x:v>L009</x:v>
      </x:c>
      <x:c r="I353" s="20" t="str">
        <x:v>Bennett Garcia</x:v>
      </x:c>
      <x:c r="J353" s="35" t="str">
        <x:v>Scanned money order</x:v>
      </x:c>
      <x:c r="K353" s="20" t="str">
        <x:v>SCN-0174</x:v>
      </x:c>
      <x:c r="L353" s="20" t="str">
        <x:v>PMT-20270503-L009</x:v>
      </x:c>
      <x:c r="M353" s="26" t="n">
        <x:v>1275</x:v>
      </x:c>
      <x:c r="N353" s="26" t="n">
        <x:v>-1275</x:v>
      </x:c>
      <x:c r="O353" s="26" t="n">
        <x:v>1275</x:v>
      </x:c>
      <x:c r="P353" s="26" t="n">
        <x:v>0</x:v>
      </x:c>
      <x:c r="Q353" s="26" t="n">
        <x:v>0</x:v>
      </x:c>
      <x:c r="R353" s="26" t="n">
        <x:v>0</x:v>
      </x:c>
      <x:c r="S353" s="26" t="n">
        <x:v>0</x:v>
      </x:c>
      <x:c r="T353" s="26" t="n">
        <x:v>0</x:v>
      </x:c>
      <x:c r="U353" s="26" t="n">
        <x:v>0</x:v>
      </x:c>
      <x:c r="V353" s="26" t="n">
        <x:v>0</x:v>
      </x:c>
      <x:c r="W353" s="26" t="n">
        <x:v>0</x:v>
      </x:c>
      <x:c r="X353" s="26" t="n">
        <x:v>0</x:v>
      </x:c>
      <x:c r="Y353" s="26" t="n">
        <x:v>0</x:v>
      </x:c>
      <x:c r="Z353" s="35" t="str">
        <x:v>Receipt allocated to FIN-00349</x:v>
      </x:c>
    </x:row>
    <x:row r="354">
      <x:c r="A354" s="20" t="str">
        <x:v>FIN-00351</x:v>
      </x:c>
      <x:c r="B354" s="23" t="n">
        <x:v>46508</x:v>
      </x:c>
      <x:c r="C354" s="23" t="n">
        <x:v>46508</x:v>
      </x:c>
      <x:c r="D354" s="20" t="str">
        <x:v>TenantCharge</x:v>
      </x:c>
      <x:c r="E354" s="20" t="str">
        <x:v>Rent</x:v>
      </x:c>
      <x:c r="F354" s="20" t="str">
        <x:v>P010</x:v>
      </x:c>
      <x:c r="G354" s="20" t="str">
        <x:v>U010</x:v>
      </x:c>
      <x:c r="H354" s="20" t="str">
        <x:v>L010</x:v>
      </x:c>
      <x:c r="I354" s="20" t="str">
        <x:v>Elena Lewis</x:v>
      </x:c>
      <x:c r="J354" s="35" t="str">
        <x:v>System scheduled charge</x:v>
      </x:c>
      <x:c r="K354" s="20" t="str"/>
      <x:c r="L354" s="20" t="str">
        <x:v>RENT-202705-L010</x:v>
      </x:c>
      <x:c r="M354" s="26" t="n">
        <x:v>1800</x:v>
      </x:c>
      <x:c r="N354" s="26" t="n">
        <x:v>1800</x:v>
      </x:c>
      <x:c r="O354" s="26" t="n">
        <x:v>0</x:v>
      </x:c>
      <x:c r="P354" s="26" t="n">
        <x:v>0</x:v>
      </x:c>
      <x:c r="Q354" s="26" t="n">
        <x:v>0</x:v>
      </x:c>
      <x:c r="R354" s="26" t="n">
        <x:v>0</x:v>
      </x:c>
      <x:c r="S354" s="26" t="n">
        <x:v>0</x:v>
      </x:c>
      <x:c r="T354" s="26" t="n">
        <x:v>1800</x:v>
      </x:c>
      <x:c r="U354" s="26" t="n">
        <x:v>0</x:v>
      </x:c>
      <x:c r="V354" s="26" t="n">
        <x:v>0</x:v>
      </x:c>
      <x:c r="W354" s="26" t="n">
        <x:v>0</x:v>
      </x:c>
      <x:c r="X354" s="26" t="n">
        <x:v>0</x:v>
      </x:c>
      <x:c r="Y354" s="26" t="n">
        <x:v>0</x:v>
      </x:c>
      <x:c r="Z354" s="35" t="str">
        <x:v>May 2027 rent</x:v>
      </x:c>
    </x:row>
    <x:row r="355">
      <x:c r="A355" s="20" t="str">
        <x:v>FIN-00352</x:v>
      </x:c>
      <x:c r="B355" s="23" t="n">
        <x:v>46511</x:v>
      </x:c>
      <x:c r="C355" s="23" t="n">
        <x:v>46511</x:v>
      </x:c>
      <x:c r="D355" s="20" t="str">
        <x:v>TenantReceipt</x:v>
      </x:c>
      <x:c r="E355" s="20" t="str">
        <x:v>Rent receipt</x:v>
      </x:c>
      <x:c r="F355" s="20" t="str">
        <x:v>P010</x:v>
      </x:c>
      <x:c r="G355" s="20" t="str">
        <x:v>U010</x:v>
      </x:c>
      <x:c r="H355" s="20" t="str">
        <x:v>L010</x:v>
      </x:c>
      <x:c r="I355" s="20" t="str">
        <x:v>Elena Lewis</x:v>
      </x:c>
      <x:c r="J355" s="35" t="str">
        <x:v>Manual ACH</x:v>
      </x:c>
      <x:c r="K355" s="20" t="str"/>
      <x:c r="L355" s="20" t="str">
        <x:v>PMT-20270504-L010</x:v>
      </x:c>
      <x:c r="M355" s="26" t="n">
        <x:v>1800</x:v>
      </x:c>
      <x:c r="N355" s="26" t="n">
        <x:v>-1800</x:v>
      </x:c>
      <x:c r="O355" s="26" t="n">
        <x:v>1800</x:v>
      </x:c>
      <x:c r="P355" s="26" t="n">
        <x:v>0</x:v>
      </x:c>
      <x:c r="Q355" s="26" t="n">
        <x:v>0</x:v>
      </x:c>
      <x:c r="R355" s="26" t="n">
        <x:v>0</x:v>
      </x:c>
      <x:c r="S355" s="26" t="n">
        <x:v>0</x:v>
      </x:c>
      <x:c r="T355" s="26" t="n">
        <x:v>0</x:v>
      </x:c>
      <x:c r="U355" s="26" t="n">
        <x:v>0</x:v>
      </x:c>
      <x:c r="V355" s="26" t="n">
        <x:v>0</x:v>
      </x:c>
      <x:c r="W355" s="26" t="n">
        <x:v>0</x:v>
      </x:c>
      <x:c r="X355" s="26" t="n">
        <x:v>0</x:v>
      </x:c>
      <x:c r="Y355" s="26" t="n">
        <x:v>0</x:v>
      </x:c>
      <x:c r="Z355" s="35" t="str">
        <x:v>Receipt allocated to FIN-00351</x:v>
      </x:c>
    </x:row>
    <x:row r="356">
      <x:c r="A356" s="20" t="str">
        <x:v>FIN-00353</x:v>
      </x:c>
      <x:c r="B356" s="23" t="n">
        <x:v>46508</x:v>
      </x:c>
      <x:c r="C356" s="23" t="n">
        <x:v>46508</x:v>
      </x:c>
      <x:c r="D356" s="20" t="str">
        <x:v>TenantCharge</x:v>
      </x:c>
      <x:c r="E356" s="20" t="str">
        <x:v>Rent</x:v>
      </x:c>
      <x:c r="F356" s="20" t="str">
        <x:v>P011</x:v>
      </x:c>
      <x:c r="G356" s="20" t="str">
        <x:v>U011</x:v>
      </x:c>
      <x:c r="H356" s="20" t="str">
        <x:v>L011</x:v>
      </x:c>
      <x:c r="I356" s="20" t="str">
        <x:v>Hector Reed</x:v>
      </x:c>
      <x:c r="J356" s="35" t="str">
        <x:v>System scheduled charge</x:v>
      </x:c>
      <x:c r="K356" s="20" t="str"/>
      <x:c r="L356" s="20" t="str">
        <x:v>RENT-202705-L011</x:v>
      </x:c>
      <x:c r="M356" s="26" t="n">
        <x:v>1425</x:v>
      </x:c>
      <x:c r="N356" s="26" t="n">
        <x:v>1425</x:v>
      </x:c>
      <x:c r="O356" s="26" t="n">
        <x:v>0</x:v>
      </x:c>
      <x:c r="P356" s="26" t="n">
        <x:v>0</x:v>
      </x:c>
      <x:c r="Q356" s="26" t="n">
        <x:v>0</x:v>
      </x:c>
      <x:c r="R356" s="26" t="n">
        <x:v>0</x:v>
      </x:c>
      <x:c r="S356" s="26" t="n">
        <x:v>0</x:v>
      </x:c>
      <x:c r="T356" s="26" t="n">
        <x:v>1425</x:v>
      </x:c>
      <x:c r="U356" s="26" t="n">
        <x:v>0</x:v>
      </x:c>
      <x:c r="V356" s="26" t="n">
        <x:v>0</x:v>
      </x:c>
      <x:c r="W356" s="26" t="n">
        <x:v>0</x:v>
      </x:c>
      <x:c r="X356" s="26" t="n">
        <x:v>0</x:v>
      </x:c>
      <x:c r="Y356" s="26" t="n">
        <x:v>0</x:v>
      </x:c>
      <x:c r="Z356" s="35" t="str">
        <x:v>May 2027 rent</x:v>
      </x:c>
    </x:row>
    <x:row r="357">
      <x:c r="A357" s="20" t="str">
        <x:v>FIN-00354</x:v>
      </x:c>
      <x:c r="B357" s="23" t="n">
        <x:v>46510</x:v>
      </x:c>
      <x:c r="C357" s="23" t="n">
        <x:v>46510</x:v>
      </x:c>
      <x:c r="D357" s="20" t="str">
        <x:v>TenantReceipt</x:v>
      </x:c>
      <x:c r="E357" s="20" t="str">
        <x:v>Rent receipt</x:v>
      </x:c>
      <x:c r="F357" s="20" t="str">
        <x:v>P011</x:v>
      </x:c>
      <x:c r="G357" s="20" t="str">
        <x:v>U011</x:v>
      </x:c>
      <x:c r="H357" s="20" t="str">
        <x:v>L011</x:v>
      </x:c>
      <x:c r="I357" s="20" t="str">
        <x:v>Hector Reed</x:v>
      </x:c>
      <x:c r="J357" s="35" t="str">
        <x:v>Portal card</x:v>
      </x:c>
      <x:c r="K357" s="20" t="str"/>
      <x:c r="L357" s="20" t="str">
        <x:v>PMT-20270503-L011-A</x:v>
      </x:c>
      <x:c r="M357" s="26" t="n">
        <x:v>855</x:v>
      </x:c>
      <x:c r="N357" s="26" t="n">
        <x:v>-855</x:v>
      </x:c>
      <x:c r="O357" s="26" t="n">
        <x:v>855</x:v>
      </x:c>
      <x:c r="P357" s="26" t="n">
        <x:v>0</x:v>
      </x:c>
      <x:c r="Q357" s="26" t="n">
        <x:v>0</x:v>
      </x:c>
      <x:c r="R357" s="26" t="n">
        <x:v>0</x:v>
      </x:c>
      <x:c r="S357" s="26" t="n">
        <x:v>0</x:v>
      </x:c>
      <x:c r="T357" s="26" t="n">
        <x:v>0</x:v>
      </x:c>
      <x:c r="U357" s="26" t="n">
        <x:v>0</x:v>
      </x:c>
      <x:c r="V357" s="26" t="n">
        <x:v>0</x:v>
      </x:c>
      <x:c r="W357" s="26" t="n">
        <x:v>0</x:v>
      </x:c>
      <x:c r="X357" s="26" t="n">
        <x:v>0</x:v>
      </x:c>
      <x:c r="Y357" s="26" t="n">
        <x:v>0</x:v>
      </x:c>
      <x:c r="Z357" s="35" t="str">
        <x:v>Receipt allocated to FIN-00353</x:v>
      </x:c>
    </x:row>
    <x:row r="358">
      <x:c r="A358" s="20" t="str">
        <x:v>FIN-00355</x:v>
      </x:c>
      <x:c r="B358" s="23" t="n">
        <x:v>46513</x:v>
      </x:c>
      <x:c r="C358" s="23" t="n">
        <x:v>46513</x:v>
      </x:c>
      <x:c r="D358" s="20" t="str">
        <x:v>TenantCharge</x:v>
      </x:c>
      <x:c r="E358" s="20" t="str">
        <x:v>Late fee</x:v>
      </x:c>
      <x:c r="F358" s="20" t="str">
        <x:v>P011</x:v>
      </x:c>
      <x:c r="G358" s="20" t="str">
        <x:v>U011</x:v>
      </x:c>
      <x:c r="H358" s="20" t="str">
        <x:v>L011</x:v>
      </x:c>
      <x:c r="I358" s="20" t="str">
        <x:v>Hector Reed</x:v>
      </x:c>
      <x:c r="J358" s="35" t="str">
        <x:v>System automation</x:v>
      </x:c>
      <x:c r="K358" s="20" t="str"/>
      <x:c r="L358" s="20" t="str">
        <x:v>LATE-202705-L011</x:v>
      </x:c>
      <x:c r="M358" s="26" t="n">
        <x:v>50</x:v>
      </x:c>
      <x:c r="N358" s="26" t="n">
        <x:v>50</x:v>
      </x:c>
      <x:c r="O358" s="26" t="n">
        <x:v>0</x:v>
      </x:c>
      <x:c r="P358" s="26" t="n">
        <x:v>0</x:v>
      </x:c>
      <x:c r="Q358" s="26" t="n">
        <x:v>0</x:v>
      </x:c>
      <x:c r="R358" s="26" t="n">
        <x:v>0</x:v>
      </x:c>
      <x:c r="S358" s="26" t="n">
        <x:v>0</x:v>
      </x:c>
      <x:c r="T358" s="26" t="n">
        <x:v>50</x:v>
      </x:c>
      <x:c r="U358" s="26" t="n">
        <x:v>0</x:v>
      </x:c>
      <x:c r="V358" s="26" t="n">
        <x:v>0</x:v>
      </x:c>
      <x:c r="W358" s="26" t="n">
        <x:v>0</x:v>
      </x:c>
      <x:c r="X358" s="26" t="n">
        <x:v>0</x:v>
      </x:c>
      <x:c r="Y358" s="26" t="n">
        <x:v>0</x:v>
      </x:c>
      <x:c r="Z358" s="35" t="str">
        <x:v>Synthetic lease-authorized late fee after partial payment</x:v>
      </x:c>
    </x:row>
    <x:row r="359">
      <x:c r="A359" s="20" t="str">
        <x:v>FIN-00356</x:v>
      </x:c>
      <x:c r="B359" s="23" t="n">
        <x:v>46519</x:v>
      </x:c>
      <x:c r="C359" s="23" t="n">
        <x:v>46519</x:v>
      </x:c>
      <x:c r="D359" s="20" t="str">
        <x:v>TenantReceipt</x:v>
      </x:c>
      <x:c r="E359" s="20" t="str">
        <x:v>Rent receipt</x:v>
      </x:c>
      <x:c r="F359" s="20" t="str">
        <x:v>P011</x:v>
      </x:c>
      <x:c r="G359" s="20" t="str">
        <x:v>U011</x:v>
      </x:c>
      <x:c r="H359" s="20" t="str">
        <x:v>L011</x:v>
      </x:c>
      <x:c r="I359" s="20" t="str">
        <x:v>Hector Reed</x:v>
      </x:c>
      <x:c r="J359" s="35" t="str">
        <x:v>Scanned money order</x:v>
      </x:c>
      <x:c r="K359" s="20" t="str">
        <x:v>SCN-0175</x:v>
      </x:c>
      <x:c r="L359" s="20" t="str">
        <x:v>PMT-20270512-L011-B</x:v>
      </x:c>
      <x:c r="M359" s="26" t="n">
        <x:v>620</x:v>
      </x:c>
      <x:c r="N359" s="26" t="n">
        <x:v>-620</x:v>
      </x:c>
      <x:c r="O359" s="26" t="n">
        <x:v>620</x:v>
      </x:c>
      <x:c r="P359" s="26" t="n">
        <x:v>0</x:v>
      </x:c>
      <x:c r="Q359" s="26" t="n">
        <x:v>0</x:v>
      </x:c>
      <x:c r="R359" s="26" t="n">
        <x:v>0</x:v>
      </x:c>
      <x:c r="S359" s="26" t="n">
        <x:v>0</x:v>
      </x:c>
      <x:c r="T359" s="26" t="n">
        <x:v>0</x:v>
      </x:c>
      <x:c r="U359" s="26" t="n">
        <x:v>0</x:v>
      </x:c>
      <x:c r="V359" s="26" t="n">
        <x:v>0</x:v>
      </x:c>
      <x:c r="W359" s="26" t="n">
        <x:v>0</x:v>
      </x:c>
      <x:c r="X359" s="26" t="n">
        <x:v>0</x:v>
      </x:c>
      <x:c r="Y359" s="26" t="n">
        <x:v>0</x:v>
      </x:c>
      <x:c r="Z359" s="35" t="str">
        <x:v>Receipt allocated to FIN-00355</x:v>
      </x:c>
    </x:row>
    <x:row r="360">
      <x:c r="A360" s="20" t="str">
        <x:v>FIN-00357</x:v>
      </x:c>
      <x:c r="B360" s="23" t="n">
        <x:v>46508</x:v>
      </x:c>
      <x:c r="C360" s="23" t="n">
        <x:v>46508</x:v>
      </x:c>
      <x:c r="D360" s="20" t="str">
        <x:v>TenantCharge</x:v>
      </x:c>
      <x:c r="E360" s="20" t="str">
        <x:v>Rent</x:v>
      </x:c>
      <x:c r="F360" s="20" t="str">
        <x:v>P012</x:v>
      </x:c>
      <x:c r="G360" s="20" t="str">
        <x:v>U012</x:v>
      </x:c>
      <x:c r="H360" s="20" t="str">
        <x:v>L012</x:v>
      </x:c>
      <x:c r="I360" s="20" t="str">
        <x:v>Keira Adams</x:v>
      </x:c>
      <x:c r="J360" s="35" t="str">
        <x:v>System scheduled charge</x:v>
      </x:c>
      <x:c r="K360" s="20" t="str"/>
      <x:c r="L360" s="20" t="str">
        <x:v>RENT-202705-L012</x:v>
      </x:c>
      <x:c r="M360" s="26" t="n">
        <x:v>1050</x:v>
      </x:c>
      <x:c r="N360" s="26" t="n">
        <x:v>1050</x:v>
      </x:c>
      <x:c r="O360" s="26" t="n">
        <x:v>0</x:v>
      </x:c>
      <x:c r="P360" s="26" t="n">
        <x:v>0</x:v>
      </x:c>
      <x:c r="Q360" s="26" t="n">
        <x:v>0</x:v>
      </x:c>
      <x:c r="R360" s="26" t="n">
        <x:v>0</x:v>
      </x:c>
      <x:c r="S360" s="26" t="n">
        <x:v>0</x:v>
      </x:c>
      <x:c r="T360" s="26" t="n">
        <x:v>1050</x:v>
      </x:c>
      <x:c r="U360" s="26" t="n">
        <x:v>0</x:v>
      </x:c>
      <x:c r="V360" s="26" t="n">
        <x:v>0</x:v>
      </x:c>
      <x:c r="W360" s="26" t="n">
        <x:v>0</x:v>
      </x:c>
      <x:c r="X360" s="26" t="n">
        <x:v>0</x:v>
      </x:c>
      <x:c r="Y360" s="26" t="n">
        <x:v>0</x:v>
      </x:c>
      <x:c r="Z360" s="35" t="str">
        <x:v>May 2027 rent</x:v>
      </x:c>
    </x:row>
    <x:row r="361">
      <x:c r="A361" s="20" t="str">
        <x:v>FIN-00358</x:v>
      </x:c>
      <x:c r="B361" s="23" t="n">
        <x:v>46510</x:v>
      </x:c>
      <x:c r="C361" s="23" t="n">
        <x:v>46510</x:v>
      </x:c>
      <x:c r="D361" s="20" t="str">
        <x:v>TenantReceipt</x:v>
      </x:c>
      <x:c r="E361" s="20" t="str">
        <x:v>Rent receipt</x:v>
      </x:c>
      <x:c r="F361" s="20" t="str">
        <x:v>P012</x:v>
      </x:c>
      <x:c r="G361" s="20" t="str">
        <x:v>U012</x:v>
      </x:c>
      <x:c r="H361" s="20" t="str">
        <x:v>L012</x:v>
      </x:c>
      <x:c r="I361" s="20" t="str">
        <x:v>Keira Adams</x:v>
      </x:c>
      <x:c r="J361" s="35" t="str">
        <x:v>Scanned check</x:v>
      </x:c>
      <x:c r="K361" s="20" t="str">
        <x:v>SCN-0176</x:v>
      </x:c>
      <x:c r="L361" s="20" t="str">
        <x:v>PMT-20270503-L012</x:v>
      </x:c>
      <x:c r="M361" s="26" t="n">
        <x:v>1050</x:v>
      </x:c>
      <x:c r="N361" s="26" t="n">
        <x:v>-1050</x:v>
      </x:c>
      <x:c r="O361" s="26" t="n">
        <x:v>1050</x:v>
      </x:c>
      <x:c r="P361" s="26" t="n">
        <x:v>0</x:v>
      </x:c>
      <x:c r="Q361" s="26" t="n">
        <x:v>0</x:v>
      </x:c>
      <x:c r="R361" s="26" t="n">
        <x:v>0</x:v>
      </x:c>
      <x:c r="S361" s="26" t="n">
        <x:v>0</x:v>
      </x:c>
      <x:c r="T361" s="26" t="n">
        <x:v>0</x:v>
      </x:c>
      <x:c r="U361" s="26" t="n">
        <x:v>0</x:v>
      </x:c>
      <x:c r="V361" s="26" t="n">
        <x:v>0</x:v>
      </x:c>
      <x:c r="W361" s="26" t="n">
        <x:v>0</x:v>
      </x:c>
      <x:c r="X361" s="26" t="n">
        <x:v>0</x:v>
      </x:c>
      <x:c r="Y361" s="26" t="n">
        <x:v>0</x:v>
      </x:c>
      <x:c r="Z361" s="35" t="str">
        <x:v>Receipt allocated to FIN-00357</x:v>
      </x:c>
    </x:row>
    <x:row r="362">
      <x:c r="A362" s="20" t="str">
        <x:v>FIN-00359</x:v>
      </x:c>
      <x:c r="B362" s="23" t="n">
        <x:v>46508</x:v>
      </x:c>
      <x:c r="C362" s="23" t="n">
        <x:v>46508</x:v>
      </x:c>
      <x:c r="D362" s="20" t="str">
        <x:v>TenantCharge</x:v>
      </x:c>
      <x:c r="E362" s="20" t="str">
        <x:v>Rent</x:v>
      </x:c>
      <x:c r="F362" s="20" t="str">
        <x:v>P013</x:v>
      </x:c>
      <x:c r="G362" s="20" t="str">
        <x:v>U013</x:v>
      </x:c>
      <x:c r="H362" s="20" t="str">
        <x:v>L013</x:v>
      </x:c>
      <x:c r="I362" s="20" t="str">
        <x:v>Nolan Flores</x:v>
      </x:c>
      <x:c r="J362" s="35" t="str">
        <x:v>System scheduled charge</x:v>
      </x:c>
      <x:c r="K362" s="20" t="str"/>
      <x:c r="L362" s="20" t="str">
        <x:v>RENT-202705-L013</x:v>
      </x:c>
      <x:c r="M362" s="26" t="n">
        <x:v>1575</x:v>
      </x:c>
      <x:c r="N362" s="26" t="n">
        <x:v>1575</x:v>
      </x:c>
      <x:c r="O362" s="26" t="n">
        <x:v>0</x:v>
      </x:c>
      <x:c r="P362" s="26" t="n">
        <x:v>0</x:v>
      </x:c>
      <x:c r="Q362" s="26" t="n">
        <x:v>0</x:v>
      </x:c>
      <x:c r="R362" s="26" t="n">
        <x:v>0</x:v>
      </x:c>
      <x:c r="S362" s="26" t="n">
        <x:v>0</x:v>
      </x:c>
      <x:c r="T362" s="26" t="n">
        <x:v>1575</x:v>
      </x:c>
      <x:c r="U362" s="26" t="n">
        <x:v>0</x:v>
      </x:c>
      <x:c r="V362" s="26" t="n">
        <x:v>0</x:v>
      </x:c>
      <x:c r="W362" s="26" t="n">
        <x:v>0</x:v>
      </x:c>
      <x:c r="X362" s="26" t="n">
        <x:v>0</x:v>
      </x:c>
      <x:c r="Y362" s="26" t="n">
        <x:v>0</x:v>
      </x:c>
      <x:c r="Z362" s="35" t="str">
        <x:v>May 2027 rent</x:v>
      </x:c>
    </x:row>
    <x:row r="363">
      <x:c r="A363" s="20" t="str">
        <x:v>FIN-00360</x:v>
      </x:c>
      <x:c r="B363" s="23" t="n">
        <x:v>46513</x:v>
      </x:c>
      <x:c r="C363" s="23" t="n">
        <x:v>46513</x:v>
      </x:c>
      <x:c r="D363" s="20" t="str">
        <x:v>TenantCharge</x:v>
      </x:c>
      <x:c r="E363" s="20" t="str">
        <x:v>Late fee</x:v>
      </x:c>
      <x:c r="F363" s="20" t="str">
        <x:v>P013</x:v>
      </x:c>
      <x:c r="G363" s="20" t="str">
        <x:v>U013</x:v>
      </x:c>
      <x:c r="H363" s="20" t="str">
        <x:v>L013</x:v>
      </x:c>
      <x:c r="I363" s="20" t="str">
        <x:v>Nolan Flores</x:v>
      </x:c>
      <x:c r="J363" s="35" t="str">
        <x:v>System automation</x:v>
      </x:c>
      <x:c r="K363" s="20" t="str"/>
      <x:c r="L363" s="20" t="str">
        <x:v>LATE-202705-L013</x:v>
      </x:c>
      <x:c r="M363" s="26" t="n">
        <x:v>50</x:v>
      </x:c>
      <x:c r="N363" s="26" t="n">
        <x:v>50</x:v>
      </x:c>
      <x:c r="O363" s="26" t="n">
        <x:v>0</x:v>
      </x:c>
      <x:c r="P363" s="26" t="n">
        <x:v>0</x:v>
      </x:c>
      <x:c r="Q363" s="26" t="n">
        <x:v>0</x:v>
      </x:c>
      <x:c r="R363" s="26" t="n">
        <x:v>0</x:v>
      </x:c>
      <x:c r="S363" s="26" t="n">
        <x:v>0</x:v>
      </x:c>
      <x:c r="T363" s="26" t="n">
        <x:v>50</x:v>
      </x:c>
      <x:c r="U363" s="26" t="n">
        <x:v>0</x:v>
      </x:c>
      <x:c r="V363" s="26" t="n">
        <x:v>0</x:v>
      </x:c>
      <x:c r="W363" s="26" t="n">
        <x:v>0</x:v>
      </x:c>
      <x:c r="X363" s="26" t="n">
        <x:v>0</x:v>
      </x:c>
      <x:c r="Y363" s="26" t="n">
        <x:v>0</x:v>
      </x:c>
      <x:c r="Z363" s="35" t="str">
        <x:v>Synthetic lease-authorized late fee</x:v>
      </x:c>
    </x:row>
    <x:row r="364">
      <x:c r="A364" s="20" t="str">
        <x:v>FIN-00361</x:v>
      </x:c>
      <x:c r="B364" s="23" t="n">
        <x:v>46515</x:v>
      </x:c>
      <x:c r="C364" s="23" t="n">
        <x:v>46515</x:v>
      </x:c>
      <x:c r="D364" s="20" t="str">
        <x:v>TenantReceipt</x:v>
      </x:c>
      <x:c r="E364" s="20" t="str">
        <x:v>Rent receipt</x:v>
      </x:c>
      <x:c r="F364" s="20" t="str">
        <x:v>P013</x:v>
      </x:c>
      <x:c r="G364" s="20" t="str">
        <x:v>U013</x:v>
      </x:c>
      <x:c r="H364" s="20" t="str">
        <x:v>L013</x:v>
      </x:c>
      <x:c r="I364" s="20" t="str">
        <x:v>Nolan Flores</x:v>
      </x:c>
      <x:c r="J364" s="35" t="str">
        <x:v>Scanned check</x:v>
      </x:c>
      <x:c r="K364" s="20" t="str">
        <x:v>SCN-0177</x:v>
      </x:c>
      <x:c r="L364" s="20" t="str">
        <x:v>PMT-20270508-L013</x:v>
      </x:c>
      <x:c r="M364" s="26" t="n">
        <x:v>1625</x:v>
      </x:c>
      <x:c r="N364" s="26" t="n">
        <x:v>-1625</x:v>
      </x:c>
      <x:c r="O364" s="26" t="n">
        <x:v>1625</x:v>
      </x:c>
      <x:c r="P364" s="26" t="n">
        <x:v>0</x:v>
      </x:c>
      <x:c r="Q364" s="26" t="n">
        <x:v>0</x:v>
      </x:c>
      <x:c r="R364" s="26" t="n">
        <x:v>0</x:v>
      </x:c>
      <x:c r="S364" s="26" t="n">
        <x:v>0</x:v>
      </x:c>
      <x:c r="T364" s="26" t="n">
        <x:v>0</x:v>
      </x:c>
      <x:c r="U364" s="26" t="n">
        <x:v>0</x:v>
      </x:c>
      <x:c r="V364" s="26" t="n">
        <x:v>0</x:v>
      </x:c>
      <x:c r="W364" s="26" t="n">
        <x:v>0</x:v>
      </x:c>
      <x:c r="X364" s="26" t="n">
        <x:v>0</x:v>
      </x:c>
      <x:c r="Y364" s="26" t="n">
        <x:v>0</x:v>
      </x:c>
      <x:c r="Z364" s="35" t="str">
        <x:v>Receipt allocated to FIN-00360</x:v>
      </x:c>
    </x:row>
    <x:row r="365">
      <x:c r="A365" s="20" t="str">
        <x:v>FIN-00362</x:v>
      </x:c>
      <x:c r="B365" s="23" t="n">
        <x:v>46508</x:v>
      </x:c>
      <x:c r="C365" s="23" t="n">
        <x:v>46508</x:v>
      </x:c>
      <x:c r="D365" s="20" t="str">
        <x:v>TenantCharge</x:v>
      </x:c>
      <x:c r="E365" s="20" t="str">
        <x:v>Rent</x:v>
      </x:c>
      <x:c r="F365" s="20" t="str">
        <x:v>P014</x:v>
      </x:c>
      <x:c r="G365" s="20" t="str">
        <x:v>U014</x:v>
      </x:c>
      <x:c r="H365" s="20" t="str">
        <x:v>L014</x:v>
      </x:c>
      <x:c r="I365" s="20" t="str">
        <x:v>Rina King</x:v>
      </x:c>
      <x:c r="J365" s="35" t="str">
        <x:v>System scheduled charge</x:v>
      </x:c>
      <x:c r="K365" s="20" t="str"/>
      <x:c r="L365" s="20" t="str">
        <x:v>RENT-202705-L014</x:v>
      </x:c>
      <x:c r="M365" s="26" t="n">
        <x:v>1200</x:v>
      </x:c>
      <x:c r="N365" s="26" t="n">
        <x:v>1200</x:v>
      </x:c>
      <x:c r="O365" s="26" t="n">
        <x:v>0</x:v>
      </x:c>
      <x:c r="P365" s="26" t="n">
        <x:v>0</x:v>
      </x:c>
      <x:c r="Q365" s="26" t="n">
        <x:v>0</x:v>
      </x:c>
      <x:c r="R365" s="26" t="n">
        <x:v>0</x:v>
      </x:c>
      <x:c r="S365" s="26" t="n">
        <x:v>0</x:v>
      </x:c>
      <x:c r="T365" s="26" t="n">
        <x:v>1200</x:v>
      </x:c>
      <x:c r="U365" s="26" t="n">
        <x:v>0</x:v>
      </x:c>
      <x:c r="V365" s="26" t="n">
        <x:v>0</x:v>
      </x:c>
      <x:c r="W365" s="26" t="n">
        <x:v>0</x:v>
      </x:c>
      <x:c r="X365" s="26" t="n">
        <x:v>0</x:v>
      </x:c>
      <x:c r="Y365" s="26" t="n">
        <x:v>0</x:v>
      </x:c>
      <x:c r="Z365" s="35" t="str">
        <x:v>May 2027 rent</x:v>
      </x:c>
    </x:row>
    <x:row r="366">
      <x:c r="A366" s="20" t="str">
        <x:v>FIN-00363</x:v>
      </x:c>
      <x:c r="B366" s="23" t="n">
        <x:v>46512</x:v>
      </x:c>
      <x:c r="C366" s="23" t="n">
        <x:v>46512</x:v>
      </x:c>
      <x:c r="D366" s="20" t="str">
        <x:v>TenantReceipt</x:v>
      </x:c>
      <x:c r="E366" s="20" t="str">
        <x:v>Rent receipt</x:v>
      </x:c>
      <x:c r="F366" s="20" t="str">
        <x:v>P014</x:v>
      </x:c>
      <x:c r="G366" s="20" t="str">
        <x:v>U014</x:v>
      </x:c>
      <x:c r="H366" s="20" t="str">
        <x:v>L014</x:v>
      </x:c>
      <x:c r="I366" s="20" t="str">
        <x:v>Rina King</x:v>
      </x:c>
      <x:c r="J366" s="35" t="str">
        <x:v>Manual ACH</x:v>
      </x:c>
      <x:c r="K366" s="20" t="str"/>
      <x:c r="L366" s="20" t="str">
        <x:v>PMT-20270505-L014</x:v>
      </x:c>
      <x:c r="M366" s="26" t="n">
        <x:v>1200</x:v>
      </x:c>
      <x:c r="N366" s="26" t="n">
        <x:v>-1200</x:v>
      </x:c>
      <x:c r="O366" s="26" t="n">
        <x:v>1200</x:v>
      </x:c>
      <x:c r="P366" s="26" t="n">
        <x:v>0</x:v>
      </x:c>
      <x:c r="Q366" s="26" t="n">
        <x:v>0</x:v>
      </x:c>
      <x:c r="R366" s="26" t="n">
        <x:v>0</x:v>
      </x:c>
      <x:c r="S366" s="26" t="n">
        <x:v>0</x:v>
      </x:c>
      <x:c r="T366" s="26" t="n">
        <x:v>0</x:v>
      </x:c>
      <x:c r="U366" s="26" t="n">
        <x:v>0</x:v>
      </x:c>
      <x:c r="V366" s="26" t="n">
        <x:v>0</x:v>
      </x:c>
      <x:c r="W366" s="26" t="n">
        <x:v>0</x:v>
      </x:c>
      <x:c r="X366" s="26" t="n">
        <x:v>0</x:v>
      </x:c>
      <x:c r="Y366" s="26" t="n">
        <x:v>0</x:v>
      </x:c>
      <x:c r="Z366" s="35" t="str">
        <x:v>Receipt allocated to FIN-00362</x:v>
      </x:c>
    </x:row>
    <x:row r="367">
      <x:c r="A367" s="20" t="str">
        <x:v>FIN-00364</x:v>
      </x:c>
      <x:c r="B367" s="23" t="n">
        <x:v>46508</x:v>
      </x:c>
      <x:c r="C367" s="23" t="n">
        <x:v>46508</x:v>
      </x:c>
      <x:c r="D367" s="20" t="str">
        <x:v>TenantCharge</x:v>
      </x:c>
      <x:c r="E367" s="20" t="str">
        <x:v>Rent</x:v>
      </x:c>
      <x:c r="F367" s="20" t="str">
        <x:v>P015</x:v>
      </x:c>
      <x:c r="G367" s="20" t="str">
        <x:v>U015</x:v>
      </x:c>
      <x:c r="H367" s="20" t="str">
        <x:v>L015</x:v>
      </x:c>
      <x:c r="I367" s="20" t="str">
        <x:v>Uri Price</x:v>
      </x:c>
      <x:c r="J367" s="35" t="str">
        <x:v>System scheduled charge</x:v>
      </x:c>
      <x:c r="K367" s="20" t="str"/>
      <x:c r="L367" s="20" t="str">
        <x:v>RENT-202705-L015</x:v>
      </x:c>
      <x:c r="M367" s="26" t="n">
        <x:v>1725</x:v>
      </x:c>
      <x:c r="N367" s="26" t="n">
        <x:v>1725</x:v>
      </x:c>
      <x:c r="O367" s="26" t="n">
        <x:v>0</x:v>
      </x:c>
      <x:c r="P367" s="26" t="n">
        <x:v>0</x:v>
      </x:c>
      <x:c r="Q367" s="26" t="n">
        <x:v>0</x:v>
      </x:c>
      <x:c r="R367" s="26" t="n">
        <x:v>0</x:v>
      </x:c>
      <x:c r="S367" s="26" t="n">
        <x:v>0</x:v>
      </x:c>
      <x:c r="T367" s="26" t="n">
        <x:v>1725</x:v>
      </x:c>
      <x:c r="U367" s="26" t="n">
        <x:v>0</x:v>
      </x:c>
      <x:c r="V367" s="26" t="n">
        <x:v>0</x:v>
      </x:c>
      <x:c r="W367" s="26" t="n">
        <x:v>0</x:v>
      </x:c>
      <x:c r="X367" s="26" t="n">
        <x:v>0</x:v>
      </x:c>
      <x:c r="Y367" s="26" t="n">
        <x:v>0</x:v>
      </x:c>
      <x:c r="Z367" s="35" t="str">
        <x:v>May 2027 rent</x:v>
      </x:c>
    </x:row>
    <x:row r="368">
      <x:c r="A368" s="20" t="str">
        <x:v>FIN-00365</x:v>
      </x:c>
      <x:c r="B368" s="23" t="n">
        <x:v>46510</x:v>
      </x:c>
      <x:c r="C368" s="23" t="n">
        <x:v>46510</x:v>
      </x:c>
      <x:c r="D368" s="20" t="str">
        <x:v>TenantReceipt</x:v>
      </x:c>
      <x:c r="E368" s="20" t="str">
        <x:v>Rent receipt</x:v>
      </x:c>
      <x:c r="F368" s="20" t="str">
        <x:v>P015</x:v>
      </x:c>
      <x:c r="G368" s="20" t="str">
        <x:v>U015</x:v>
      </x:c>
      <x:c r="H368" s="20" t="str">
        <x:v>L015</x:v>
      </x:c>
      <x:c r="I368" s="20" t="str">
        <x:v>Uri Price</x:v>
      </x:c>
      <x:c r="J368" s="35" t="str">
        <x:v>Portal card</x:v>
      </x:c>
      <x:c r="K368" s="20" t="str"/>
      <x:c r="L368" s="20" t="str">
        <x:v>PMT-20270503-L015</x:v>
      </x:c>
      <x:c r="M368" s="26" t="n">
        <x:v>1725</x:v>
      </x:c>
      <x:c r="N368" s="26" t="n">
        <x:v>-1725</x:v>
      </x:c>
      <x:c r="O368" s="26" t="n">
        <x:v>1725</x:v>
      </x:c>
      <x:c r="P368" s="26" t="n">
        <x:v>0</x:v>
      </x:c>
      <x:c r="Q368" s="26" t="n">
        <x:v>0</x:v>
      </x:c>
      <x:c r="R368" s="26" t="n">
        <x:v>0</x:v>
      </x:c>
      <x:c r="S368" s="26" t="n">
        <x:v>0</x:v>
      </x:c>
      <x:c r="T368" s="26" t="n">
        <x:v>0</x:v>
      </x:c>
      <x:c r="U368" s="26" t="n">
        <x:v>0</x:v>
      </x:c>
      <x:c r="V368" s="26" t="n">
        <x:v>0</x:v>
      </x:c>
      <x:c r="W368" s="26" t="n">
        <x:v>0</x:v>
      </x:c>
      <x:c r="X368" s="26" t="n">
        <x:v>0</x:v>
      </x:c>
      <x:c r="Y368" s="26" t="n">
        <x:v>0</x:v>
      </x:c>
      <x:c r="Z368" s="35" t="str">
        <x:v>Receipt allocated to FIN-00364</x:v>
      </x:c>
    </x:row>
    <x:row r="369">
      <x:c r="A369" s="20" t="str">
        <x:v>FIN-00366</x:v>
      </x:c>
      <x:c r="B369" s="23" t="n">
        <x:v>46508</x:v>
      </x:c>
      <x:c r="C369" s="23" t="n">
        <x:v>46508</x:v>
      </x:c>
      <x:c r="D369" s="20" t="str">
        <x:v>TenantCharge</x:v>
      </x:c>
      <x:c r="E369" s="20" t="str">
        <x:v>Rent</x:v>
      </x:c>
      <x:c r="F369" s="20" t="str">
        <x:v>P016</x:v>
      </x:c>
      <x:c r="G369" s="20" t="str">
        <x:v>U016</x:v>
      </x:c>
      <x:c r="H369" s="20" t="str">
        <x:v>L016</x:v>
      </x:c>
      <x:c r="I369" s="20" t="str">
        <x:v>Avery Brooks</x:v>
      </x:c>
      <x:c r="J369" s="35" t="str">
        <x:v>System scheduled charge</x:v>
      </x:c>
      <x:c r="K369" s="20" t="str"/>
      <x:c r="L369" s="20" t="str">
        <x:v>RENT-202705-L016</x:v>
      </x:c>
      <x:c r="M369" s="26" t="n">
        <x:v>1350</x:v>
      </x:c>
      <x:c r="N369" s="26" t="n">
        <x:v>1350</x:v>
      </x:c>
      <x:c r="O369" s="26" t="n">
        <x:v>0</x:v>
      </x:c>
      <x:c r="P369" s="26" t="n">
        <x:v>0</x:v>
      </x:c>
      <x:c r="Q369" s="26" t="n">
        <x:v>0</x:v>
      </x:c>
      <x:c r="R369" s="26" t="n">
        <x:v>0</x:v>
      </x:c>
      <x:c r="S369" s="26" t="n">
        <x:v>0</x:v>
      </x:c>
      <x:c r="T369" s="26" t="n">
        <x:v>1350</x:v>
      </x:c>
      <x:c r="U369" s="26" t="n">
        <x:v>0</x:v>
      </x:c>
      <x:c r="V369" s="26" t="n">
        <x:v>0</x:v>
      </x:c>
      <x:c r="W369" s="26" t="n">
        <x:v>0</x:v>
      </x:c>
      <x:c r="X369" s="26" t="n">
        <x:v>0</x:v>
      </x:c>
      <x:c r="Y369" s="26" t="n">
        <x:v>0</x:v>
      </x:c>
      <x:c r="Z369" s="35" t="str">
        <x:v>May 2027 rent</x:v>
      </x:c>
    </x:row>
    <x:row r="370">
      <x:c r="A370" s="20" t="str">
        <x:v>FIN-00367</x:v>
      </x:c>
      <x:c r="B370" s="23" t="n">
        <x:v>46511</x:v>
      </x:c>
      <x:c r="C370" s="23" t="n">
        <x:v>46511</x:v>
      </x:c>
      <x:c r="D370" s="20" t="str">
        <x:v>TenantReceipt</x:v>
      </x:c>
      <x:c r="E370" s="20" t="str">
        <x:v>Rent receipt</x:v>
      </x:c>
      <x:c r="F370" s="20" t="str">
        <x:v>P016</x:v>
      </x:c>
      <x:c r="G370" s="20" t="str">
        <x:v>U016</x:v>
      </x:c>
      <x:c r="H370" s="20" t="str">
        <x:v>L016</x:v>
      </x:c>
      <x:c r="I370" s="20" t="str">
        <x:v>Avery Brooks</x:v>
      </x:c>
      <x:c r="J370" s="35" t="str">
        <x:v>Scanned check</x:v>
      </x:c>
      <x:c r="K370" s="20" t="str">
        <x:v>SCN-0178</x:v>
      </x:c>
      <x:c r="L370" s="20" t="str">
        <x:v>PMT-20270504-L016</x:v>
      </x:c>
      <x:c r="M370" s="26" t="n">
        <x:v>1350</x:v>
      </x:c>
      <x:c r="N370" s="26" t="n">
        <x:v>-1350</x:v>
      </x:c>
      <x:c r="O370" s="26" t="n">
        <x:v>1350</x:v>
      </x:c>
      <x:c r="P370" s="26" t="n">
        <x:v>0</x:v>
      </x:c>
      <x:c r="Q370" s="26" t="n">
        <x:v>0</x:v>
      </x:c>
      <x:c r="R370" s="26" t="n">
        <x:v>0</x:v>
      </x:c>
      <x:c r="S370" s="26" t="n">
        <x:v>0</x:v>
      </x:c>
      <x:c r="T370" s="26" t="n">
        <x:v>0</x:v>
      </x:c>
      <x:c r="U370" s="26" t="n">
        <x:v>0</x:v>
      </x:c>
      <x:c r="V370" s="26" t="n">
        <x:v>0</x:v>
      </x:c>
      <x:c r="W370" s="26" t="n">
        <x:v>0</x:v>
      </x:c>
      <x:c r="X370" s="26" t="n">
        <x:v>0</x:v>
      </x:c>
      <x:c r="Y370" s="26" t="n">
        <x:v>0</x:v>
      </x:c>
      <x:c r="Z370" s="35" t="str">
        <x:v>Receipt allocated to FIN-00366</x:v>
      </x:c>
    </x:row>
    <x:row r="371">
      <x:c r="A371" s="20" t="str">
        <x:v>FIN-00368</x:v>
      </x:c>
      <x:c r="B371" s="23" t="n">
        <x:v>46508</x:v>
      </x:c>
      <x:c r="C371" s="23" t="n">
        <x:v>46508</x:v>
      </x:c>
      <x:c r="D371" s="20" t="str">
        <x:v>TenantCharge</x:v>
      </x:c>
      <x:c r="E371" s="20" t="str">
        <x:v>Rent</x:v>
      </x:c>
      <x:c r="F371" s="20" t="str">
        <x:v>P017</x:v>
      </x:c>
      <x:c r="G371" s="20" t="str">
        <x:v>U017</x:v>
      </x:c>
      <x:c r="H371" s="20" t="str">
        <x:v>L017</x:v>
      </x:c>
      <x:c r="I371" s="20" t="str">
        <x:v>Dana Garcia</x:v>
      </x:c>
      <x:c r="J371" s="35" t="str">
        <x:v>System scheduled charge</x:v>
      </x:c>
      <x:c r="K371" s="20" t="str"/>
      <x:c r="L371" s="20" t="str">
        <x:v>RENT-202705-L017</x:v>
      </x:c>
      <x:c r="M371" s="26" t="n">
        <x:v>1875</x:v>
      </x:c>
      <x:c r="N371" s="26" t="n">
        <x:v>1875</x:v>
      </x:c>
      <x:c r="O371" s="26" t="n">
        <x:v>0</x:v>
      </x:c>
      <x:c r="P371" s="26" t="n">
        <x:v>0</x:v>
      </x:c>
      <x:c r="Q371" s="26" t="n">
        <x:v>0</x:v>
      </x:c>
      <x:c r="R371" s="26" t="n">
        <x:v>0</x:v>
      </x:c>
      <x:c r="S371" s="26" t="n">
        <x:v>0</x:v>
      </x:c>
      <x:c r="T371" s="26" t="n">
        <x:v>1875</x:v>
      </x:c>
      <x:c r="U371" s="26" t="n">
        <x:v>0</x:v>
      </x:c>
      <x:c r="V371" s="26" t="n">
        <x:v>0</x:v>
      </x:c>
      <x:c r="W371" s="26" t="n">
        <x:v>0</x:v>
      </x:c>
      <x:c r="X371" s="26" t="n">
        <x:v>0</x:v>
      </x:c>
      <x:c r="Y371" s="26" t="n">
        <x:v>0</x:v>
      </x:c>
      <x:c r="Z371" s="35" t="str">
        <x:v>May 2027 rent</x:v>
      </x:c>
    </x:row>
    <x:row r="372">
      <x:c r="A372" s="20" t="str">
        <x:v>FIN-00369</x:v>
      </x:c>
      <x:c r="B372" s="23" t="n">
        <x:v>46512</x:v>
      </x:c>
      <x:c r="C372" s="23" t="n">
        <x:v>46512</x:v>
      </x:c>
      <x:c r="D372" s="20" t="str">
        <x:v>TenantReceipt</x:v>
      </x:c>
      <x:c r="E372" s="20" t="str">
        <x:v>Rent receipt</x:v>
      </x:c>
      <x:c r="F372" s="20" t="str">
        <x:v>P017</x:v>
      </x:c>
      <x:c r="G372" s="20" t="str">
        <x:v>U017</x:v>
      </x:c>
      <x:c r="H372" s="20" t="str">
        <x:v>L017</x:v>
      </x:c>
      <x:c r="I372" s="20" t="str">
        <x:v>Dana Garcia</x:v>
      </x:c>
      <x:c r="J372" s="35" t="str">
        <x:v>Scanned money order</x:v>
      </x:c>
      <x:c r="K372" s="20" t="str">
        <x:v>SCN-0179</x:v>
      </x:c>
      <x:c r="L372" s="20" t="str">
        <x:v>PMT-20270505-L017</x:v>
      </x:c>
      <x:c r="M372" s="26" t="n">
        <x:v>1875</x:v>
      </x:c>
      <x:c r="N372" s="26" t="n">
        <x:v>-1875</x:v>
      </x:c>
      <x:c r="O372" s="26" t="n">
        <x:v>1875</x:v>
      </x:c>
      <x:c r="P372" s="26" t="n">
        <x:v>0</x:v>
      </x:c>
      <x:c r="Q372" s="26" t="n">
        <x:v>0</x:v>
      </x:c>
      <x:c r="R372" s="26" t="n">
        <x:v>0</x:v>
      </x:c>
      <x:c r="S372" s="26" t="n">
        <x:v>0</x:v>
      </x:c>
      <x:c r="T372" s="26" t="n">
        <x:v>0</x:v>
      </x:c>
      <x:c r="U372" s="26" t="n">
        <x:v>0</x:v>
      </x:c>
      <x:c r="V372" s="26" t="n">
        <x:v>0</x:v>
      </x:c>
      <x:c r="W372" s="26" t="n">
        <x:v>0</x:v>
      </x:c>
      <x:c r="X372" s="26" t="n">
        <x:v>0</x:v>
      </x:c>
      <x:c r="Y372" s="26" t="n">
        <x:v>0</x:v>
      </x:c>
      <x:c r="Z372" s="35" t="str">
        <x:v>Receipt allocated to FIN-00368</x:v>
      </x:c>
    </x:row>
    <x:row r="373">
      <x:c r="A373" s="20" t="str">
        <x:v>FIN-00370</x:v>
      </x:c>
      <x:c r="B373" s="23" t="n">
        <x:v>46508</x:v>
      </x:c>
      <x:c r="C373" s="23" t="n">
        <x:v>46508</x:v>
      </x:c>
      <x:c r="D373" s="20" t="str">
        <x:v>TenantCharge</x:v>
      </x:c>
      <x:c r="E373" s="20" t="str">
        <x:v>Rent</x:v>
      </x:c>
      <x:c r="F373" s="20" t="str">
        <x:v>P018</x:v>
      </x:c>
      <x:c r="G373" s="20" t="str">
        <x:v>U018</x:v>
      </x:c>
      <x:c r="H373" s="20" t="str">
        <x:v>L018</x:v>
      </x:c>
      <x:c r="I373" s="20" t="str">
        <x:v>Gray Lewis</x:v>
      </x:c>
      <x:c r="J373" s="35" t="str">
        <x:v>System scheduled charge</x:v>
      </x:c>
      <x:c r="K373" s="20" t="str"/>
      <x:c r="L373" s="20" t="str">
        <x:v>RENT-202705-L018</x:v>
      </x:c>
      <x:c r="M373" s="26" t="n">
        <x:v>1500</x:v>
      </x:c>
      <x:c r="N373" s="26" t="n">
        <x:v>1500</x:v>
      </x:c>
      <x:c r="O373" s="26" t="n">
        <x:v>0</x:v>
      </x:c>
      <x:c r="P373" s="26" t="n">
        <x:v>0</x:v>
      </x:c>
      <x:c r="Q373" s="26" t="n">
        <x:v>0</x:v>
      </x:c>
      <x:c r="R373" s="26" t="n">
        <x:v>0</x:v>
      </x:c>
      <x:c r="S373" s="26" t="n">
        <x:v>0</x:v>
      </x:c>
      <x:c r="T373" s="26" t="n">
        <x:v>1500</x:v>
      </x:c>
      <x:c r="U373" s="26" t="n">
        <x:v>0</x:v>
      </x:c>
      <x:c r="V373" s="26" t="n">
        <x:v>0</x:v>
      </x:c>
      <x:c r="W373" s="26" t="n">
        <x:v>0</x:v>
      </x:c>
      <x:c r="X373" s="26" t="n">
        <x:v>0</x:v>
      </x:c>
      <x:c r="Y373" s="26" t="n">
        <x:v>0</x:v>
      </x:c>
      <x:c r="Z373" s="35" t="str">
        <x:v>May 2027 rent</x:v>
      </x:c>
    </x:row>
    <x:row r="374">
      <x:c r="A374" s="20" t="str">
        <x:v>FIN-00371</x:v>
      </x:c>
      <x:c r="B374" s="23" t="n">
        <x:v>46510</x:v>
      </x:c>
      <x:c r="C374" s="23" t="n">
        <x:v>46510</x:v>
      </x:c>
      <x:c r="D374" s="20" t="str">
        <x:v>TenantReceipt</x:v>
      </x:c>
      <x:c r="E374" s="20" t="str">
        <x:v>Rent receipt</x:v>
      </x:c>
      <x:c r="F374" s="20" t="str">
        <x:v>P018</x:v>
      </x:c>
      <x:c r="G374" s="20" t="str">
        <x:v>U018</x:v>
      </x:c>
      <x:c r="H374" s="20" t="str">
        <x:v>L018</x:v>
      </x:c>
      <x:c r="I374" s="20" t="str">
        <x:v>Gray Lewis</x:v>
      </x:c>
      <x:c r="J374" s="35" t="str">
        <x:v>Manual ACH</x:v>
      </x:c>
      <x:c r="K374" s="20" t="str"/>
      <x:c r="L374" s="20" t="str">
        <x:v>PMT-20270503-L018</x:v>
      </x:c>
      <x:c r="M374" s="26" t="n">
        <x:v>1500</x:v>
      </x:c>
      <x:c r="N374" s="26" t="n">
        <x:v>-1500</x:v>
      </x:c>
      <x:c r="O374" s="26" t="n">
        <x:v>1500</x:v>
      </x:c>
      <x:c r="P374" s="26" t="n">
        <x:v>0</x:v>
      </x:c>
      <x:c r="Q374" s="26" t="n">
        <x:v>0</x:v>
      </x:c>
      <x:c r="R374" s="26" t="n">
        <x:v>0</x:v>
      </x:c>
      <x:c r="S374" s="26" t="n">
        <x:v>0</x:v>
      </x:c>
      <x:c r="T374" s="26" t="n">
        <x:v>0</x:v>
      </x:c>
      <x:c r="U374" s="26" t="n">
        <x:v>0</x:v>
      </x:c>
      <x:c r="V374" s="26" t="n">
        <x:v>0</x:v>
      </x:c>
      <x:c r="W374" s="26" t="n">
        <x:v>0</x:v>
      </x:c>
      <x:c r="X374" s="26" t="n">
        <x:v>0</x:v>
      </x:c>
      <x:c r="Y374" s="26" t="n">
        <x:v>0</x:v>
      </x:c>
      <x:c r="Z374" s="35" t="str">
        <x:v>Receipt allocated to FIN-00370</x:v>
      </x:c>
    </x:row>
    <x:row r="375">
      <x:c r="A375" s="20" t="str">
        <x:v>FIN-00372</x:v>
      </x:c>
      <x:c r="B375" s="23" t="n">
        <x:v>46508</x:v>
      </x:c>
      <x:c r="C375" s="23" t="n">
        <x:v>46508</x:v>
      </x:c>
      <x:c r="D375" s="20" t="str">
        <x:v>TenantCharge</x:v>
      </x:c>
      <x:c r="E375" s="20" t="str">
        <x:v>Rent</x:v>
      </x:c>
      <x:c r="F375" s="20" t="str">
        <x:v>P019</x:v>
      </x:c>
      <x:c r="G375" s="20" t="str">
        <x:v>U019</x:v>
      </x:c>
      <x:c r="H375" s="20" t="str">
        <x:v>L019</x:v>
      </x:c>
      <x:c r="I375" s="20" t="str">
        <x:v>Jordan Reed</x:v>
      </x:c>
      <x:c r="J375" s="35" t="str">
        <x:v>System scheduled charge</x:v>
      </x:c>
      <x:c r="K375" s="20" t="str"/>
      <x:c r="L375" s="20" t="str">
        <x:v>RENT-202705-L019</x:v>
      </x:c>
      <x:c r="M375" s="26" t="n">
        <x:v>1125</x:v>
      </x:c>
      <x:c r="N375" s="26" t="n">
        <x:v>1125</x:v>
      </x:c>
      <x:c r="O375" s="26" t="n">
        <x:v>0</x:v>
      </x:c>
      <x:c r="P375" s="26" t="n">
        <x:v>0</x:v>
      </x:c>
      <x:c r="Q375" s="26" t="n">
        <x:v>0</x:v>
      </x:c>
      <x:c r="R375" s="26" t="n">
        <x:v>0</x:v>
      </x:c>
      <x:c r="S375" s="26" t="n">
        <x:v>0</x:v>
      </x:c>
      <x:c r="T375" s="26" t="n">
        <x:v>1125</x:v>
      </x:c>
      <x:c r="U375" s="26" t="n">
        <x:v>0</x:v>
      </x:c>
      <x:c r="V375" s="26" t="n">
        <x:v>0</x:v>
      </x:c>
      <x:c r="W375" s="26" t="n">
        <x:v>0</x:v>
      </x:c>
      <x:c r="X375" s="26" t="n">
        <x:v>0</x:v>
      </x:c>
      <x:c r="Y375" s="26" t="n">
        <x:v>0</x:v>
      </x:c>
      <x:c r="Z375" s="35" t="str">
        <x:v>May 2027 rent</x:v>
      </x:c>
    </x:row>
    <x:row r="376">
      <x:c r="A376" s="20" t="str">
        <x:v>FIN-00373</x:v>
      </x:c>
      <x:c r="B376" s="23" t="n">
        <x:v>46511</x:v>
      </x:c>
      <x:c r="C376" s="23" t="n">
        <x:v>46511</x:v>
      </x:c>
      <x:c r="D376" s="20" t="str">
        <x:v>TenantReceipt</x:v>
      </x:c>
      <x:c r="E376" s="20" t="str">
        <x:v>Rent receipt</x:v>
      </x:c>
      <x:c r="F376" s="20" t="str">
        <x:v>P019</x:v>
      </x:c>
      <x:c r="G376" s="20" t="str">
        <x:v>U019</x:v>
      </x:c>
      <x:c r="H376" s="20" t="str">
        <x:v>L019</x:v>
      </x:c>
      <x:c r="I376" s="20" t="str">
        <x:v>Jordan Reed</x:v>
      </x:c>
      <x:c r="J376" s="35" t="str">
        <x:v>Portal card</x:v>
      </x:c>
      <x:c r="K376" s="20" t="str"/>
      <x:c r="L376" s="20" t="str">
        <x:v>PMT-20270504-L019</x:v>
      </x:c>
      <x:c r="M376" s="26" t="n">
        <x:v>1125</x:v>
      </x:c>
      <x:c r="N376" s="26" t="n">
        <x:v>-1125</x:v>
      </x:c>
      <x:c r="O376" s="26" t="n">
        <x:v>1125</x:v>
      </x:c>
      <x:c r="P376" s="26" t="n">
        <x:v>0</x:v>
      </x:c>
      <x:c r="Q376" s="26" t="n">
        <x:v>0</x:v>
      </x:c>
      <x:c r="R376" s="26" t="n">
        <x:v>0</x:v>
      </x:c>
      <x:c r="S376" s="26" t="n">
        <x:v>0</x:v>
      </x:c>
      <x:c r="T376" s="26" t="n">
        <x:v>0</x:v>
      </x:c>
      <x:c r="U376" s="26" t="n">
        <x:v>0</x:v>
      </x:c>
      <x:c r="V376" s="26" t="n">
        <x:v>0</x:v>
      </x:c>
      <x:c r="W376" s="26" t="n">
        <x:v>0</x:v>
      </x:c>
      <x:c r="X376" s="26" t="n">
        <x:v>0</x:v>
      </x:c>
      <x:c r="Y376" s="26" t="n">
        <x:v>0</x:v>
      </x:c>
      <x:c r="Z376" s="35" t="str">
        <x:v>Receipt allocated to FIN-00372</x:v>
      </x:c>
    </x:row>
    <x:row r="377">
      <x:c r="A377" s="20" t="str">
        <x:v>FIN-00374</x:v>
      </x:c>
      <x:c r="B377" s="23" t="n">
        <x:v>46508</x:v>
      </x:c>
      <x:c r="C377" s="23" t="n">
        <x:v>46508</x:v>
      </x:c>
      <x:c r="D377" s="20" t="str">
        <x:v>TenantCharge</x:v>
      </x:c>
      <x:c r="E377" s="20" t="str">
        <x:v>Rent</x:v>
      </x:c>
      <x:c r="F377" s="20" t="str">
        <x:v>P020</x:v>
      </x:c>
      <x:c r="G377" s="20" t="str">
        <x:v>U020</x:v>
      </x:c>
      <x:c r="H377" s="20" t="str">
        <x:v>L020</x:v>
      </x:c>
      <x:c r="I377" s="20" t="str">
        <x:v>Morgan Adams</x:v>
      </x:c>
      <x:c r="J377" s="35" t="str">
        <x:v>System scheduled charge</x:v>
      </x:c>
      <x:c r="K377" s="20" t="str"/>
      <x:c r="L377" s="20" t="str">
        <x:v>RENT-202705-L020</x:v>
      </x:c>
      <x:c r="M377" s="26" t="n">
        <x:v>1650</x:v>
      </x:c>
      <x:c r="N377" s="26" t="n">
        <x:v>1650</x:v>
      </x:c>
      <x:c r="O377" s="26" t="n">
        <x:v>0</x:v>
      </x:c>
      <x:c r="P377" s="26" t="n">
        <x:v>0</x:v>
      </x:c>
      <x:c r="Q377" s="26" t="n">
        <x:v>0</x:v>
      </x:c>
      <x:c r="R377" s="26" t="n">
        <x:v>0</x:v>
      </x:c>
      <x:c r="S377" s="26" t="n">
        <x:v>0</x:v>
      </x:c>
      <x:c r="T377" s="26" t="n">
        <x:v>1650</x:v>
      </x:c>
      <x:c r="U377" s="26" t="n">
        <x:v>0</x:v>
      </x:c>
      <x:c r="V377" s="26" t="n">
        <x:v>0</x:v>
      </x:c>
      <x:c r="W377" s="26" t="n">
        <x:v>0</x:v>
      </x:c>
      <x:c r="X377" s="26" t="n">
        <x:v>0</x:v>
      </x:c>
      <x:c r="Y377" s="26" t="n">
        <x:v>0</x:v>
      </x:c>
      <x:c r="Z377" s="35" t="str">
        <x:v>May 2027 rent</x:v>
      </x:c>
    </x:row>
    <x:row r="378">
      <x:c r="A378" s="20" t="str">
        <x:v>FIN-00375</x:v>
      </x:c>
      <x:c r="B378" s="23" t="n">
        <x:v>46512</x:v>
      </x:c>
      <x:c r="C378" s="23" t="n">
        <x:v>46512</x:v>
      </x:c>
      <x:c r="D378" s="20" t="str">
        <x:v>TenantReceipt</x:v>
      </x:c>
      <x:c r="E378" s="20" t="str">
        <x:v>Rent receipt</x:v>
      </x:c>
      <x:c r="F378" s="20" t="str">
        <x:v>P020</x:v>
      </x:c>
      <x:c r="G378" s="20" t="str">
        <x:v>U020</x:v>
      </x:c>
      <x:c r="H378" s="20" t="str">
        <x:v>L020</x:v>
      </x:c>
      <x:c r="I378" s="20" t="str">
        <x:v>Morgan Adams</x:v>
      </x:c>
      <x:c r="J378" s="35" t="str">
        <x:v>Scanned check</x:v>
      </x:c>
      <x:c r="K378" s="20" t="str">
        <x:v>SCN-0180</x:v>
      </x:c>
      <x:c r="L378" s="20" t="str">
        <x:v>PMT-20270505-L020</x:v>
      </x:c>
      <x:c r="M378" s="26" t="n">
        <x:v>1650</x:v>
      </x:c>
      <x:c r="N378" s="26" t="n">
        <x:v>-1650</x:v>
      </x:c>
      <x:c r="O378" s="26" t="n">
        <x:v>1650</x:v>
      </x:c>
      <x:c r="P378" s="26" t="n">
        <x:v>0</x:v>
      </x:c>
      <x:c r="Q378" s="26" t="n">
        <x:v>0</x:v>
      </x:c>
      <x:c r="R378" s="26" t="n">
        <x:v>0</x:v>
      </x:c>
      <x:c r="S378" s="26" t="n">
        <x:v>0</x:v>
      </x:c>
      <x:c r="T378" s="26" t="n">
        <x:v>0</x:v>
      </x:c>
      <x:c r="U378" s="26" t="n">
        <x:v>0</x:v>
      </x:c>
      <x:c r="V378" s="26" t="n">
        <x:v>0</x:v>
      </x:c>
      <x:c r="W378" s="26" t="n">
        <x:v>0</x:v>
      </x:c>
      <x:c r="X378" s="26" t="n">
        <x:v>0</x:v>
      </x:c>
      <x:c r="Y378" s="26" t="n">
        <x:v>0</x:v>
      </x:c>
      <x:c r="Z378" s="35" t="str">
        <x:v>Receipt allocated to FIN-00374</x:v>
      </x:c>
    </x:row>
    <x:row r="379">
      <x:c r="A379" s="20" t="str">
        <x:v>FIN-00376</x:v>
      </x:c>
      <x:c r="B379" s="23" t="n">
        <x:v>46508</x:v>
      </x:c>
      <x:c r="C379" s="23" t="n">
        <x:v>46508</x:v>
      </x:c>
      <x:c r="D379" s="20" t="str">
        <x:v>TenantCharge</x:v>
      </x:c>
      <x:c r="E379" s="20" t="str">
        <x:v>Rent</x:v>
      </x:c>
      <x:c r="F379" s="20" t="str">
        <x:v>P021</x:v>
      </x:c>
      <x:c r="G379" s="20" t="str">
        <x:v>U021</x:v>
      </x:c>
      <x:c r="H379" s="20" t="str">
        <x:v>L021</x:v>
      </x:c>
      <x:c r="I379" s="20" t="str">
        <x:v>Parker Flores</x:v>
      </x:c>
      <x:c r="J379" s="35" t="str">
        <x:v>System scheduled charge</x:v>
      </x:c>
      <x:c r="K379" s="20" t="str"/>
      <x:c r="L379" s="20" t="str">
        <x:v>RENT-202705-L021</x:v>
      </x:c>
      <x:c r="M379" s="26" t="n">
        <x:v>1375</x:v>
      </x:c>
      <x:c r="N379" s="26" t="n">
        <x:v>1375</x:v>
      </x:c>
      <x:c r="O379" s="26" t="n">
        <x:v>0</x:v>
      </x:c>
      <x:c r="P379" s="26" t="n">
        <x:v>0</x:v>
      </x:c>
      <x:c r="Q379" s="26" t="n">
        <x:v>0</x:v>
      </x:c>
      <x:c r="R379" s="26" t="n">
        <x:v>0</x:v>
      </x:c>
      <x:c r="S379" s="26" t="n">
        <x:v>0</x:v>
      </x:c>
      <x:c r="T379" s="26" t="n">
        <x:v>1375</x:v>
      </x:c>
      <x:c r="U379" s="26" t="n">
        <x:v>0</x:v>
      </x:c>
      <x:c r="V379" s="26" t="n">
        <x:v>0</x:v>
      </x:c>
      <x:c r="W379" s="26" t="n">
        <x:v>0</x:v>
      </x:c>
      <x:c r="X379" s="26" t="n">
        <x:v>0</x:v>
      </x:c>
      <x:c r="Y379" s="26" t="n">
        <x:v>0</x:v>
      </x:c>
      <x:c r="Z379" s="35" t="str">
        <x:v>May 2027 rent</x:v>
      </x:c>
    </x:row>
    <x:row r="380">
      <x:c r="A380" s="20" t="str">
        <x:v>FIN-00377</x:v>
      </x:c>
      <x:c r="B380" s="23" t="n">
        <x:v>46510</x:v>
      </x:c>
      <x:c r="C380" s="23" t="n">
        <x:v>46510</x:v>
      </x:c>
      <x:c r="D380" s="20" t="str">
        <x:v>TenantReceipt</x:v>
      </x:c>
      <x:c r="E380" s="20" t="str">
        <x:v>Rent receipt</x:v>
      </x:c>
      <x:c r="F380" s="20" t="str">
        <x:v>P021</x:v>
      </x:c>
      <x:c r="G380" s="20" t="str">
        <x:v>U021</x:v>
      </x:c>
      <x:c r="H380" s="20" t="str">
        <x:v>L021</x:v>
      </x:c>
      <x:c r="I380" s="20" t="str">
        <x:v>Parker Flores</x:v>
      </x:c>
      <x:c r="J380" s="35" t="str">
        <x:v>Scanned money order</x:v>
      </x:c>
      <x:c r="K380" s="20" t="str">
        <x:v>SCN-0181</x:v>
      </x:c>
      <x:c r="L380" s="20" t="str">
        <x:v>PMT-20270503-L021</x:v>
      </x:c>
      <x:c r="M380" s="26" t="n">
        <x:v>1375</x:v>
      </x:c>
      <x:c r="N380" s="26" t="n">
        <x:v>-1375</x:v>
      </x:c>
      <x:c r="O380" s="26" t="n">
        <x:v>1375</x:v>
      </x:c>
      <x:c r="P380" s="26" t="n">
        <x:v>0</x:v>
      </x:c>
      <x:c r="Q380" s="26" t="n">
        <x:v>0</x:v>
      </x:c>
      <x:c r="R380" s="26" t="n">
        <x:v>0</x:v>
      </x:c>
      <x:c r="S380" s="26" t="n">
        <x:v>0</x:v>
      </x:c>
      <x:c r="T380" s="26" t="n">
        <x:v>0</x:v>
      </x:c>
      <x:c r="U380" s="26" t="n">
        <x:v>0</x:v>
      </x:c>
      <x:c r="V380" s="26" t="n">
        <x:v>0</x:v>
      </x:c>
      <x:c r="W380" s="26" t="n">
        <x:v>0</x:v>
      </x:c>
      <x:c r="X380" s="26" t="n">
        <x:v>0</x:v>
      </x:c>
      <x:c r="Y380" s="26" t="n">
        <x:v>0</x:v>
      </x:c>
      <x:c r="Z380" s="35" t="str">
        <x:v>Receipt allocated to FIN-00376</x:v>
      </x:c>
    </x:row>
    <x:row r="381">
      <x:c r="A381" s="20" t="str">
        <x:v>FIN-00378</x:v>
      </x:c>
      <x:c r="B381" s="23" t="n">
        <x:v>46508</x:v>
      </x:c>
      <x:c r="C381" s="23" t="n">
        <x:v>46508</x:v>
      </x:c>
      <x:c r="D381" s="20" t="str">
        <x:v>TenantCharge</x:v>
      </x:c>
      <x:c r="E381" s="20" t="str">
        <x:v>Rent</x:v>
      </x:c>
      <x:c r="F381" s="20" t="str">
        <x:v>P021</x:v>
      </x:c>
      <x:c r="G381" s="20" t="str">
        <x:v>U022</x:v>
      </x:c>
      <x:c r="H381" s="20" t="str">
        <x:v>L022</x:v>
      </x:c>
      <x:c r="I381" s="20" t="str">
        <x:v>Sage King</x:v>
      </x:c>
      <x:c r="J381" s="35" t="str">
        <x:v>System scheduled charge</x:v>
      </x:c>
      <x:c r="K381" s="20" t="str"/>
      <x:c r="L381" s="20" t="str">
        <x:v>RENT-202705-L022</x:v>
      </x:c>
      <x:c r="M381" s="26" t="n">
        <x:v>1900</x:v>
      </x:c>
      <x:c r="N381" s="26" t="n">
        <x:v>1900</x:v>
      </x:c>
      <x:c r="O381" s="26" t="n">
        <x:v>0</x:v>
      </x:c>
      <x:c r="P381" s="26" t="n">
        <x:v>0</x:v>
      </x:c>
      <x:c r="Q381" s="26" t="n">
        <x:v>0</x:v>
      </x:c>
      <x:c r="R381" s="26" t="n">
        <x:v>0</x:v>
      </x:c>
      <x:c r="S381" s="26" t="n">
        <x:v>0</x:v>
      </x:c>
      <x:c r="T381" s="26" t="n">
        <x:v>1900</x:v>
      </x:c>
      <x:c r="U381" s="26" t="n">
        <x:v>0</x:v>
      </x:c>
      <x:c r="V381" s="26" t="n">
        <x:v>0</x:v>
      </x:c>
      <x:c r="W381" s="26" t="n">
        <x:v>0</x:v>
      </x:c>
      <x:c r="X381" s="26" t="n">
        <x:v>0</x:v>
      </x:c>
      <x:c r="Y381" s="26" t="n">
        <x:v>0</x:v>
      </x:c>
      <x:c r="Z381" s="35" t="str">
        <x:v>May 2027 rent</x:v>
      </x:c>
    </x:row>
    <x:row r="382">
      <x:c r="A382" s="20" t="str">
        <x:v>FIN-00379</x:v>
      </x:c>
      <x:c r="B382" s="23" t="n">
        <x:v>46510</x:v>
      </x:c>
      <x:c r="C382" s="23" t="n">
        <x:v>46510</x:v>
      </x:c>
      <x:c r="D382" s="20" t="str">
        <x:v>TenantReceipt</x:v>
      </x:c>
      <x:c r="E382" s="20" t="str">
        <x:v>Rent receipt</x:v>
      </x:c>
      <x:c r="F382" s="20" t="str">
        <x:v>P021</x:v>
      </x:c>
      <x:c r="G382" s="20" t="str">
        <x:v>U022</x:v>
      </x:c>
      <x:c r="H382" s="20" t="str">
        <x:v>L022</x:v>
      </x:c>
      <x:c r="I382" s="20" t="str">
        <x:v>Sage King</x:v>
      </x:c>
      <x:c r="J382" s="35" t="str">
        <x:v>Manual ACH</x:v>
      </x:c>
      <x:c r="K382" s="20" t="str"/>
      <x:c r="L382" s="20" t="str">
        <x:v>PMT-20270503-L022-A</x:v>
      </x:c>
      <x:c r="M382" s="26" t="n">
        <x:v>1140</x:v>
      </x:c>
      <x:c r="N382" s="26" t="n">
        <x:v>-1140</x:v>
      </x:c>
      <x:c r="O382" s="26" t="n">
        <x:v>1140</x:v>
      </x:c>
      <x:c r="P382" s="26" t="n">
        <x:v>0</x:v>
      </x:c>
      <x:c r="Q382" s="26" t="n">
        <x:v>0</x:v>
      </x:c>
      <x:c r="R382" s="26" t="n">
        <x:v>0</x:v>
      </x:c>
      <x:c r="S382" s="26" t="n">
        <x:v>0</x:v>
      </x:c>
      <x:c r="T382" s="26" t="n">
        <x:v>0</x:v>
      </x:c>
      <x:c r="U382" s="26" t="n">
        <x:v>0</x:v>
      </x:c>
      <x:c r="V382" s="26" t="n">
        <x:v>0</x:v>
      </x:c>
      <x:c r="W382" s="26" t="n">
        <x:v>0</x:v>
      </x:c>
      <x:c r="X382" s="26" t="n">
        <x:v>0</x:v>
      </x:c>
      <x:c r="Y382" s="26" t="n">
        <x:v>0</x:v>
      </x:c>
      <x:c r="Z382" s="35" t="str">
        <x:v>Receipt allocated to FIN-00378</x:v>
      </x:c>
    </x:row>
    <x:row r="383">
      <x:c r="A383" s="20" t="str">
        <x:v>FIN-00380</x:v>
      </x:c>
      <x:c r="B383" s="23" t="n">
        <x:v>46513</x:v>
      </x:c>
      <x:c r="C383" s="23" t="n">
        <x:v>46513</x:v>
      </x:c>
      <x:c r="D383" s="20" t="str">
        <x:v>TenantCharge</x:v>
      </x:c>
      <x:c r="E383" s="20" t="str">
        <x:v>Late fee</x:v>
      </x:c>
      <x:c r="F383" s="20" t="str">
        <x:v>P021</x:v>
      </x:c>
      <x:c r="G383" s="20" t="str">
        <x:v>U022</x:v>
      </x:c>
      <x:c r="H383" s="20" t="str">
        <x:v>L022</x:v>
      </x:c>
      <x:c r="I383" s="20" t="str">
        <x:v>Sage King</x:v>
      </x:c>
      <x:c r="J383" s="35" t="str">
        <x:v>System automation</x:v>
      </x:c>
      <x:c r="K383" s="20" t="str"/>
      <x:c r="L383" s="20" t="str">
        <x:v>LATE-202705-L022</x:v>
      </x:c>
      <x:c r="M383" s="26" t="n">
        <x:v>50</x:v>
      </x:c>
      <x:c r="N383" s="26" t="n">
        <x:v>50</x:v>
      </x:c>
      <x:c r="O383" s="26" t="n">
        <x:v>0</x:v>
      </x:c>
      <x:c r="P383" s="26" t="n">
        <x:v>0</x:v>
      </x:c>
      <x:c r="Q383" s="26" t="n">
        <x:v>0</x:v>
      </x:c>
      <x:c r="R383" s="26" t="n">
        <x:v>0</x:v>
      </x:c>
      <x:c r="S383" s="26" t="n">
        <x:v>0</x:v>
      </x:c>
      <x:c r="T383" s="26" t="n">
        <x:v>50</x:v>
      </x:c>
      <x:c r="U383" s="26" t="n">
        <x:v>0</x:v>
      </x:c>
      <x:c r="V383" s="26" t="n">
        <x:v>0</x:v>
      </x:c>
      <x:c r="W383" s="26" t="n">
        <x:v>0</x:v>
      </x:c>
      <x:c r="X383" s="26" t="n">
        <x:v>0</x:v>
      </x:c>
      <x:c r="Y383" s="26" t="n">
        <x:v>0</x:v>
      </x:c>
      <x:c r="Z383" s="35" t="str">
        <x:v>Synthetic lease-authorized late fee after partial payment</x:v>
      </x:c>
    </x:row>
    <x:row r="384">
      <x:c r="A384" s="20" t="str">
        <x:v>FIN-00381</x:v>
      </x:c>
      <x:c r="B384" s="23" t="n">
        <x:v>46519</x:v>
      </x:c>
      <x:c r="C384" s="23" t="n">
        <x:v>46519</x:v>
      </x:c>
      <x:c r="D384" s="20" t="str">
        <x:v>TenantReceipt</x:v>
      </x:c>
      <x:c r="E384" s="20" t="str">
        <x:v>Rent receipt</x:v>
      </x:c>
      <x:c r="F384" s="20" t="str">
        <x:v>P021</x:v>
      </x:c>
      <x:c r="G384" s="20" t="str">
        <x:v>U022</x:v>
      </x:c>
      <x:c r="H384" s="20" t="str">
        <x:v>L022</x:v>
      </x:c>
      <x:c r="I384" s="20" t="str">
        <x:v>Sage King</x:v>
      </x:c>
      <x:c r="J384" s="35" t="str">
        <x:v>Scanned check</x:v>
      </x:c>
      <x:c r="K384" s="20" t="str">
        <x:v>SCN-0182</x:v>
      </x:c>
      <x:c r="L384" s="20" t="str">
        <x:v>PMT-20270512-L022-B</x:v>
      </x:c>
      <x:c r="M384" s="26" t="n">
        <x:v>810</x:v>
      </x:c>
      <x:c r="N384" s="26" t="n">
        <x:v>-810</x:v>
      </x:c>
      <x:c r="O384" s="26" t="n">
        <x:v>810</x:v>
      </x:c>
      <x:c r="P384" s="26" t="n">
        <x:v>0</x:v>
      </x:c>
      <x:c r="Q384" s="26" t="n">
        <x:v>0</x:v>
      </x:c>
      <x:c r="R384" s="26" t="n">
        <x:v>0</x:v>
      </x:c>
      <x:c r="S384" s="26" t="n">
        <x:v>0</x:v>
      </x:c>
      <x:c r="T384" s="26" t="n">
        <x:v>0</x:v>
      </x:c>
      <x:c r="U384" s="26" t="n">
        <x:v>0</x:v>
      </x:c>
      <x:c r="V384" s="26" t="n">
        <x:v>0</x:v>
      </x:c>
      <x:c r="W384" s="26" t="n">
        <x:v>0</x:v>
      </x:c>
      <x:c r="X384" s="26" t="n">
        <x:v>0</x:v>
      </x:c>
      <x:c r="Y384" s="26" t="n">
        <x:v>0</x:v>
      </x:c>
      <x:c r="Z384" s="35" t="str">
        <x:v>Receipt allocated to FIN-00380</x:v>
      </x:c>
    </x:row>
    <x:row r="385">
      <x:c r="A385" s="20" t="str">
        <x:v>FIN-00382</x:v>
      </x:c>
      <x:c r="B385" s="23" t="n">
        <x:v>46508</x:v>
      </x:c>
      <x:c r="C385" s="23" t="n">
        <x:v>46508</x:v>
      </x:c>
      <x:c r="D385" s="20" t="str">
        <x:v>TenantCharge</x:v>
      </x:c>
      <x:c r="E385" s="20" t="str">
        <x:v>Rent</x:v>
      </x:c>
      <x:c r="F385" s="20" t="str">
        <x:v>P022</x:v>
      </x:c>
      <x:c r="G385" s="20" t="str">
        <x:v>U023</x:v>
      </x:c>
      <x:c r="H385" s="20" t="str">
        <x:v>L023</x:v>
      </x:c>
      <x:c r="I385" s="20" t="str">
        <x:v>Val Price</x:v>
      </x:c>
      <x:c r="J385" s="35" t="str">
        <x:v>System scheduled charge</x:v>
      </x:c>
      <x:c r="K385" s="20" t="str"/>
      <x:c r="L385" s="20" t="str">
        <x:v>RENT-202705-L023</x:v>
      </x:c>
      <x:c r="M385" s="26" t="n">
        <x:v>1525</x:v>
      </x:c>
      <x:c r="N385" s="26" t="n">
        <x:v>1525</x:v>
      </x:c>
      <x:c r="O385" s="26" t="n">
        <x:v>0</x:v>
      </x:c>
      <x:c r="P385" s="26" t="n">
        <x:v>0</x:v>
      </x:c>
      <x:c r="Q385" s="26" t="n">
        <x:v>0</x:v>
      </x:c>
      <x:c r="R385" s="26" t="n">
        <x:v>0</x:v>
      </x:c>
      <x:c r="S385" s="26" t="n">
        <x:v>0</x:v>
      </x:c>
      <x:c r="T385" s="26" t="n">
        <x:v>1525</x:v>
      </x:c>
      <x:c r="U385" s="26" t="n">
        <x:v>0</x:v>
      </x:c>
      <x:c r="V385" s="26" t="n">
        <x:v>0</x:v>
      </x:c>
      <x:c r="W385" s="26" t="n">
        <x:v>0</x:v>
      </x:c>
      <x:c r="X385" s="26" t="n">
        <x:v>0</x:v>
      </x:c>
      <x:c r="Y385" s="26" t="n">
        <x:v>0</x:v>
      </x:c>
      <x:c r="Z385" s="35" t="str">
        <x:v>May 2027 rent</x:v>
      </x:c>
    </x:row>
    <x:row r="386">
      <x:c r="A386" s="20" t="str">
        <x:v>FIN-00383</x:v>
      </x:c>
      <x:c r="B386" s="23" t="n">
        <x:v>46512</x:v>
      </x:c>
      <x:c r="C386" s="23" t="n">
        <x:v>46512</x:v>
      </x:c>
      <x:c r="D386" s="20" t="str">
        <x:v>TenantReceipt</x:v>
      </x:c>
      <x:c r="E386" s="20" t="str">
        <x:v>Rent receipt</x:v>
      </x:c>
      <x:c r="F386" s="20" t="str">
        <x:v>P022</x:v>
      </x:c>
      <x:c r="G386" s="20" t="str">
        <x:v>U023</x:v>
      </x:c>
      <x:c r="H386" s="20" t="str">
        <x:v>L023</x:v>
      </x:c>
      <x:c r="I386" s="20" t="str">
        <x:v>Val Price</x:v>
      </x:c>
      <x:c r="J386" s="35" t="str">
        <x:v>Portal card</x:v>
      </x:c>
      <x:c r="K386" s="20" t="str"/>
      <x:c r="L386" s="20" t="str">
        <x:v>PMT-20270505-L023</x:v>
      </x:c>
      <x:c r="M386" s="26" t="n">
        <x:v>1525</x:v>
      </x:c>
      <x:c r="N386" s="26" t="n">
        <x:v>-1525</x:v>
      </x:c>
      <x:c r="O386" s="26" t="n">
        <x:v>1525</x:v>
      </x:c>
      <x:c r="P386" s="26" t="n">
        <x:v>0</x:v>
      </x:c>
      <x:c r="Q386" s="26" t="n">
        <x:v>0</x:v>
      </x:c>
      <x:c r="R386" s="26" t="n">
        <x:v>0</x:v>
      </x:c>
      <x:c r="S386" s="26" t="n">
        <x:v>0</x:v>
      </x:c>
      <x:c r="T386" s="26" t="n">
        <x:v>0</x:v>
      </x:c>
      <x:c r="U386" s="26" t="n">
        <x:v>0</x:v>
      </x:c>
      <x:c r="V386" s="26" t="n">
        <x:v>0</x:v>
      </x:c>
      <x:c r="W386" s="26" t="n">
        <x:v>0</x:v>
      </x:c>
      <x:c r="X386" s="26" t="n">
        <x:v>0</x:v>
      </x:c>
      <x:c r="Y386" s="26" t="n">
        <x:v>0</x:v>
      </x:c>
      <x:c r="Z386" s="35" t="str">
        <x:v>Receipt allocated to FIN-00382</x:v>
      </x:c>
    </x:row>
    <x:row r="387">
      <x:c r="A387" s="20" t="str">
        <x:v>FIN-00384</x:v>
      </x:c>
      <x:c r="B387" s="23" t="n">
        <x:v>46508</x:v>
      </x:c>
      <x:c r="C387" s="23" t="n">
        <x:v>46508</x:v>
      </x:c>
      <x:c r="D387" s="20" t="str">
        <x:v>TenantCharge</x:v>
      </x:c>
      <x:c r="E387" s="20" t="str">
        <x:v>Rent</x:v>
      </x:c>
      <x:c r="F387" s="20" t="str">
        <x:v>P022</x:v>
      </x:c>
      <x:c r="G387" s="20" t="str">
        <x:v>U024</x:v>
      </x:c>
      <x:c r="H387" s="20" t="str">
        <x:v>L024</x:v>
      </x:c>
      <x:c r="I387" s="20" t="str">
        <x:v>Yara Brooks</x:v>
      </x:c>
      <x:c r="J387" s="35" t="str">
        <x:v>System scheduled charge</x:v>
      </x:c>
      <x:c r="K387" s="20" t="str"/>
      <x:c r="L387" s="20" t="str">
        <x:v>RENT-202705-L024</x:v>
      </x:c>
      <x:c r="M387" s="26" t="n">
        <x:v>1150</x:v>
      </x:c>
      <x:c r="N387" s="26" t="n">
        <x:v>1150</x:v>
      </x:c>
      <x:c r="O387" s="26" t="n">
        <x:v>0</x:v>
      </x:c>
      <x:c r="P387" s="26" t="n">
        <x:v>0</x:v>
      </x:c>
      <x:c r="Q387" s="26" t="n">
        <x:v>0</x:v>
      </x:c>
      <x:c r="R387" s="26" t="n">
        <x:v>0</x:v>
      </x:c>
      <x:c r="S387" s="26" t="n">
        <x:v>0</x:v>
      </x:c>
      <x:c r="T387" s="26" t="n">
        <x:v>1150</x:v>
      </x:c>
      <x:c r="U387" s="26" t="n">
        <x:v>0</x:v>
      </x:c>
      <x:c r="V387" s="26" t="n">
        <x:v>0</x:v>
      </x:c>
      <x:c r="W387" s="26" t="n">
        <x:v>0</x:v>
      </x:c>
      <x:c r="X387" s="26" t="n">
        <x:v>0</x:v>
      </x:c>
      <x:c r="Y387" s="26" t="n">
        <x:v>0</x:v>
      </x:c>
      <x:c r="Z387" s="35" t="str">
        <x:v>May 2027 rent</x:v>
      </x:c>
    </x:row>
    <x:row r="388">
      <x:c r="A388" s="20" t="str">
        <x:v>FIN-00385</x:v>
      </x:c>
      <x:c r="B388" s="23" t="n">
        <x:v>46510</x:v>
      </x:c>
      <x:c r="C388" s="23" t="n">
        <x:v>46510</x:v>
      </x:c>
      <x:c r="D388" s="20" t="str">
        <x:v>TenantReceipt</x:v>
      </x:c>
      <x:c r="E388" s="20" t="str">
        <x:v>Rent receipt</x:v>
      </x:c>
      <x:c r="F388" s="20" t="str">
        <x:v>P022</x:v>
      </x:c>
      <x:c r="G388" s="20" t="str">
        <x:v>U024</x:v>
      </x:c>
      <x:c r="H388" s="20" t="str">
        <x:v>L024</x:v>
      </x:c>
      <x:c r="I388" s="20" t="str">
        <x:v>Yara Brooks</x:v>
      </x:c>
      <x:c r="J388" s="35" t="str">
        <x:v>Scanned check</x:v>
      </x:c>
      <x:c r="K388" s="20" t="str">
        <x:v>SCN-0183</x:v>
      </x:c>
      <x:c r="L388" s="20" t="str">
        <x:v>PMT-20270503-L024</x:v>
      </x:c>
      <x:c r="M388" s="26" t="n">
        <x:v>1150</x:v>
      </x:c>
      <x:c r="N388" s="26" t="n">
        <x:v>-1150</x:v>
      </x:c>
      <x:c r="O388" s="26" t="n">
        <x:v>1150</x:v>
      </x:c>
      <x:c r="P388" s="26" t="n">
        <x:v>0</x:v>
      </x:c>
      <x:c r="Q388" s="26" t="n">
        <x:v>0</x:v>
      </x:c>
      <x:c r="R388" s="26" t="n">
        <x:v>0</x:v>
      </x:c>
      <x:c r="S388" s="26" t="n">
        <x:v>0</x:v>
      </x:c>
      <x:c r="T388" s="26" t="n">
        <x:v>0</x:v>
      </x:c>
      <x:c r="U388" s="26" t="n">
        <x:v>0</x:v>
      </x:c>
      <x:c r="V388" s="26" t="n">
        <x:v>0</x:v>
      </x:c>
      <x:c r="W388" s="26" t="n">
        <x:v>0</x:v>
      </x:c>
      <x:c r="X388" s="26" t="n">
        <x:v>0</x:v>
      </x:c>
      <x:c r="Y388" s="26" t="n">
        <x:v>0</x:v>
      </x:c>
      <x:c r="Z388" s="35" t="str">
        <x:v>Receipt allocated to FIN-00384</x:v>
      </x:c>
    </x:row>
    <x:row r="389">
      <x:c r="A389" s="20" t="str">
        <x:v>FIN-00386</x:v>
      </x:c>
      <x:c r="B389" s="23" t="n">
        <x:v>46508</x:v>
      </x:c>
      <x:c r="C389" s="23" t="n">
        <x:v>46508</x:v>
      </x:c>
      <x:c r="D389" s="20" t="str">
        <x:v>TenantCharge</x:v>
      </x:c>
      <x:c r="E389" s="20" t="str">
        <x:v>Rent</x:v>
      </x:c>
      <x:c r="F389" s="20" t="str">
        <x:v>P023</x:v>
      </x:c>
      <x:c r="G389" s="20" t="str">
        <x:v>U025</x:v>
      </x:c>
      <x:c r="H389" s="20" t="str">
        <x:v>L025</x:v>
      </x:c>
      <x:c r="I389" s="20" t="str">
        <x:v>Bennett Garcia</x:v>
      </x:c>
      <x:c r="J389" s="35" t="str">
        <x:v>System scheduled charge</x:v>
      </x:c>
      <x:c r="K389" s="20" t="str"/>
      <x:c r="L389" s="20" t="str">
        <x:v>RENT-202705-L025</x:v>
      </x:c>
      <x:c r="M389" s="26" t="n">
        <x:v>1675</x:v>
      </x:c>
      <x:c r="N389" s="26" t="n">
        <x:v>1675</x:v>
      </x:c>
      <x:c r="O389" s="26" t="n">
        <x:v>0</x:v>
      </x:c>
      <x:c r="P389" s="26" t="n">
        <x:v>0</x:v>
      </x:c>
      <x:c r="Q389" s="26" t="n">
        <x:v>0</x:v>
      </x:c>
      <x:c r="R389" s="26" t="n">
        <x:v>0</x:v>
      </x:c>
      <x:c r="S389" s="26" t="n">
        <x:v>0</x:v>
      </x:c>
      <x:c r="T389" s="26" t="n">
        <x:v>1675</x:v>
      </x:c>
      <x:c r="U389" s="26" t="n">
        <x:v>0</x:v>
      </x:c>
      <x:c r="V389" s="26" t="n">
        <x:v>0</x:v>
      </x:c>
      <x:c r="W389" s="26" t="n">
        <x:v>0</x:v>
      </x:c>
      <x:c r="X389" s="26" t="n">
        <x:v>0</x:v>
      </x:c>
      <x:c r="Y389" s="26" t="n">
        <x:v>0</x:v>
      </x:c>
      <x:c r="Z389" s="35" t="str">
        <x:v>May 2027 rent</x:v>
      </x:c>
    </x:row>
    <x:row r="390">
      <x:c r="A390" s="20" t="str">
        <x:v>FIN-00387</x:v>
      </x:c>
      <x:c r="B390" s="23" t="n">
        <x:v>46511</x:v>
      </x:c>
      <x:c r="C390" s="23" t="n">
        <x:v>46511</x:v>
      </x:c>
      <x:c r="D390" s="20" t="str">
        <x:v>TenantReceipt</x:v>
      </x:c>
      <x:c r="E390" s="20" t="str">
        <x:v>Rent receipt</x:v>
      </x:c>
      <x:c r="F390" s="20" t="str">
        <x:v>P023</x:v>
      </x:c>
      <x:c r="G390" s="20" t="str">
        <x:v>U025</x:v>
      </x:c>
      <x:c r="H390" s="20" t="str">
        <x:v>L025</x:v>
      </x:c>
      <x:c r="I390" s="20" t="str">
        <x:v>Bennett Garcia</x:v>
      </x:c>
      <x:c r="J390" s="35" t="str">
        <x:v>Scanned money order</x:v>
      </x:c>
      <x:c r="K390" s="20" t="str">
        <x:v>SCN-0184</x:v>
      </x:c>
      <x:c r="L390" s="20" t="str">
        <x:v>PMT-20270504-L025</x:v>
      </x:c>
      <x:c r="M390" s="26" t="n">
        <x:v>1675</x:v>
      </x:c>
      <x:c r="N390" s="26" t="n">
        <x:v>-1675</x:v>
      </x:c>
      <x:c r="O390" s="26" t="n">
        <x:v>1675</x:v>
      </x:c>
      <x:c r="P390" s="26" t="n">
        <x:v>0</x:v>
      </x:c>
      <x:c r="Q390" s="26" t="n">
        <x:v>0</x:v>
      </x:c>
      <x:c r="R390" s="26" t="n">
        <x:v>0</x:v>
      </x:c>
      <x:c r="S390" s="26" t="n">
        <x:v>0</x:v>
      </x:c>
      <x:c r="T390" s="26" t="n">
        <x:v>0</x:v>
      </x:c>
      <x:c r="U390" s="26" t="n">
        <x:v>0</x:v>
      </x:c>
      <x:c r="V390" s="26" t="n">
        <x:v>0</x:v>
      </x:c>
      <x:c r="W390" s="26" t="n">
        <x:v>0</x:v>
      </x:c>
      <x:c r="X390" s="26" t="n">
        <x:v>0</x:v>
      </x:c>
      <x:c r="Y390" s="26" t="n">
        <x:v>0</x:v>
      </x:c>
      <x:c r="Z390" s="35" t="str">
        <x:v>Receipt allocated to FIN-00386</x:v>
      </x:c>
    </x:row>
    <x:row r="391">
      <x:c r="A391" s="20" t="str">
        <x:v>FIN-00388</x:v>
      </x:c>
      <x:c r="B391" s="23" t="n">
        <x:v>46508</x:v>
      </x:c>
      <x:c r="C391" s="23" t="n">
        <x:v>46508</x:v>
      </x:c>
      <x:c r="D391" s="20" t="str">
        <x:v>TenantCharge</x:v>
      </x:c>
      <x:c r="E391" s="20" t="str">
        <x:v>Rent</x:v>
      </x:c>
      <x:c r="F391" s="20" t="str">
        <x:v>P023</x:v>
      </x:c>
      <x:c r="G391" s="20" t="str">
        <x:v>U026</x:v>
      </x:c>
      <x:c r="H391" s="20" t="str">
        <x:v>L026</x:v>
      </x:c>
      <x:c r="I391" s="20" t="str">
        <x:v>Elena Lewis</x:v>
      </x:c>
      <x:c r="J391" s="35" t="str">
        <x:v>System scheduled charge</x:v>
      </x:c>
      <x:c r="K391" s="20" t="str"/>
      <x:c r="L391" s="20" t="str">
        <x:v>RENT-202705-L026</x:v>
      </x:c>
      <x:c r="M391" s="26" t="n">
        <x:v>1300</x:v>
      </x:c>
      <x:c r="N391" s="26" t="n">
        <x:v>1300</x:v>
      </x:c>
      <x:c r="O391" s="26" t="n">
        <x:v>0</x:v>
      </x:c>
      <x:c r="P391" s="26" t="n">
        <x:v>0</x:v>
      </x:c>
      <x:c r="Q391" s="26" t="n">
        <x:v>0</x:v>
      </x:c>
      <x:c r="R391" s="26" t="n">
        <x:v>0</x:v>
      </x:c>
      <x:c r="S391" s="26" t="n">
        <x:v>0</x:v>
      </x:c>
      <x:c r="T391" s="26" t="n">
        <x:v>1300</x:v>
      </x:c>
      <x:c r="U391" s="26" t="n">
        <x:v>0</x:v>
      </x:c>
      <x:c r="V391" s="26" t="n">
        <x:v>0</x:v>
      </x:c>
      <x:c r="W391" s="26" t="n">
        <x:v>0</x:v>
      </x:c>
      <x:c r="X391" s="26" t="n">
        <x:v>0</x:v>
      </x:c>
      <x:c r="Y391" s="26" t="n">
        <x:v>0</x:v>
      </x:c>
      <x:c r="Z391" s="35" t="str">
        <x:v>May 2027 rent</x:v>
      </x:c>
    </x:row>
    <x:row r="392">
      <x:c r="A392" s="20" t="str">
        <x:v>FIN-00389</x:v>
      </x:c>
      <x:c r="B392" s="23" t="n">
        <x:v>46513</x:v>
      </x:c>
      <x:c r="C392" s="23" t="n">
        <x:v>46513</x:v>
      </x:c>
      <x:c r="D392" s="20" t="str">
        <x:v>TenantCharge</x:v>
      </x:c>
      <x:c r="E392" s="20" t="str">
        <x:v>Late fee</x:v>
      </x:c>
      <x:c r="F392" s="20" t="str">
        <x:v>P023</x:v>
      </x:c>
      <x:c r="G392" s="20" t="str">
        <x:v>U026</x:v>
      </x:c>
      <x:c r="H392" s="20" t="str">
        <x:v>L026</x:v>
      </x:c>
      <x:c r="I392" s="20" t="str">
        <x:v>Elena Lewis</x:v>
      </x:c>
      <x:c r="J392" s="35" t="str">
        <x:v>System automation</x:v>
      </x:c>
      <x:c r="K392" s="20" t="str"/>
      <x:c r="L392" s="20" t="str">
        <x:v>LATE-202705-L026</x:v>
      </x:c>
      <x:c r="M392" s="26" t="n">
        <x:v>50</x:v>
      </x:c>
      <x:c r="N392" s="26" t="n">
        <x:v>50</x:v>
      </x:c>
      <x:c r="O392" s="26" t="n">
        <x:v>0</x:v>
      </x:c>
      <x:c r="P392" s="26" t="n">
        <x:v>0</x:v>
      </x:c>
      <x:c r="Q392" s="26" t="n">
        <x:v>0</x:v>
      </x:c>
      <x:c r="R392" s="26" t="n">
        <x:v>0</x:v>
      </x:c>
      <x:c r="S392" s="26" t="n">
        <x:v>0</x:v>
      </x:c>
      <x:c r="T392" s="26" t="n">
        <x:v>50</x:v>
      </x:c>
      <x:c r="U392" s="26" t="n">
        <x:v>0</x:v>
      </x:c>
      <x:c r="V392" s="26" t="n">
        <x:v>0</x:v>
      </x:c>
      <x:c r="W392" s="26" t="n">
        <x:v>0</x:v>
      </x:c>
      <x:c r="X392" s="26" t="n">
        <x:v>0</x:v>
      </x:c>
      <x:c r="Y392" s="26" t="n">
        <x:v>0</x:v>
      </x:c>
      <x:c r="Z392" s="35" t="str">
        <x:v>Synthetic lease-authorized late fee</x:v>
      </x:c>
    </x:row>
    <x:row r="393">
      <x:c r="A393" s="20" t="str">
        <x:v>FIN-00390</x:v>
      </x:c>
      <x:c r="B393" s="23" t="n">
        <x:v>46515</x:v>
      </x:c>
      <x:c r="C393" s="23" t="n">
        <x:v>46515</x:v>
      </x:c>
      <x:c r="D393" s="20" t="str">
        <x:v>TenantReceipt</x:v>
      </x:c>
      <x:c r="E393" s="20" t="str">
        <x:v>Rent receipt</x:v>
      </x:c>
      <x:c r="F393" s="20" t="str">
        <x:v>P023</x:v>
      </x:c>
      <x:c r="G393" s="20" t="str">
        <x:v>U026</x:v>
      </x:c>
      <x:c r="H393" s="20" t="str">
        <x:v>L026</x:v>
      </x:c>
      <x:c r="I393" s="20" t="str">
        <x:v>Elena Lewis</x:v>
      </x:c>
      <x:c r="J393" s="35" t="str">
        <x:v>Scanned money order</x:v>
      </x:c>
      <x:c r="K393" s="20" t="str">
        <x:v>SCN-0185</x:v>
      </x:c>
      <x:c r="L393" s="20" t="str">
        <x:v>PMT-20270508-L026</x:v>
      </x:c>
      <x:c r="M393" s="26" t="n">
        <x:v>1350</x:v>
      </x:c>
      <x:c r="N393" s="26" t="n">
        <x:v>-1350</x:v>
      </x:c>
      <x:c r="O393" s="26" t="n">
        <x:v>1350</x:v>
      </x:c>
      <x:c r="P393" s="26" t="n">
        <x:v>0</x:v>
      </x:c>
      <x:c r="Q393" s="26" t="n">
        <x:v>0</x:v>
      </x:c>
      <x:c r="R393" s="26" t="n">
        <x:v>0</x:v>
      </x:c>
      <x:c r="S393" s="26" t="n">
        <x:v>0</x:v>
      </x:c>
      <x:c r="T393" s="26" t="n">
        <x:v>0</x:v>
      </x:c>
      <x:c r="U393" s="26" t="n">
        <x:v>0</x:v>
      </x:c>
      <x:c r="V393" s="26" t="n">
        <x:v>0</x:v>
      </x:c>
      <x:c r="W393" s="26" t="n">
        <x:v>0</x:v>
      </x:c>
      <x:c r="X393" s="26" t="n">
        <x:v>0</x:v>
      </x:c>
      <x:c r="Y393" s="26" t="n">
        <x:v>0</x:v>
      </x:c>
      <x:c r="Z393" s="35" t="str">
        <x:v>Receipt allocated to FIN-00389</x:v>
      </x:c>
    </x:row>
    <x:row r="394">
      <x:c r="A394" s="20" t="str">
        <x:v>FIN-00391</x:v>
      </x:c>
      <x:c r="B394" s="23" t="n">
        <x:v>46508</x:v>
      </x:c>
      <x:c r="C394" s="23" t="n">
        <x:v>46508</x:v>
      </x:c>
      <x:c r="D394" s="20" t="str">
        <x:v>TenantCharge</x:v>
      </x:c>
      <x:c r="E394" s="20" t="str">
        <x:v>Rent</x:v>
      </x:c>
      <x:c r="F394" s="20" t="str">
        <x:v>P024</x:v>
      </x:c>
      <x:c r="G394" s="20" t="str">
        <x:v>U027</x:v>
      </x:c>
      <x:c r="H394" s="20" t="str">
        <x:v>L027</x:v>
      </x:c>
      <x:c r="I394" s="20" t="str">
        <x:v>Hector Reed</x:v>
      </x:c>
      <x:c r="J394" s="35" t="str">
        <x:v>System scheduled charge</x:v>
      </x:c>
      <x:c r="K394" s="20" t="str"/>
      <x:c r="L394" s="20" t="str">
        <x:v>RENT-202705-L027</x:v>
      </x:c>
      <x:c r="M394" s="26" t="n">
        <x:v>1825</x:v>
      </x:c>
      <x:c r="N394" s="26" t="n">
        <x:v>1825</x:v>
      </x:c>
      <x:c r="O394" s="26" t="n">
        <x:v>0</x:v>
      </x:c>
      <x:c r="P394" s="26" t="n">
        <x:v>0</x:v>
      </x:c>
      <x:c r="Q394" s="26" t="n">
        <x:v>0</x:v>
      </x:c>
      <x:c r="R394" s="26" t="n">
        <x:v>0</x:v>
      </x:c>
      <x:c r="S394" s="26" t="n">
        <x:v>0</x:v>
      </x:c>
      <x:c r="T394" s="26" t="n">
        <x:v>1825</x:v>
      </x:c>
      <x:c r="U394" s="26" t="n">
        <x:v>0</x:v>
      </x:c>
      <x:c r="V394" s="26" t="n">
        <x:v>0</x:v>
      </x:c>
      <x:c r="W394" s="26" t="n">
        <x:v>0</x:v>
      </x:c>
      <x:c r="X394" s="26" t="n">
        <x:v>0</x:v>
      </x:c>
      <x:c r="Y394" s="26" t="n">
        <x:v>0</x:v>
      </x:c>
      <x:c r="Z394" s="35" t="str">
        <x:v>May 2027 rent</x:v>
      </x:c>
    </x:row>
    <x:row r="395">
      <x:c r="A395" s="20" t="str">
        <x:v>FIN-00392</x:v>
      </x:c>
      <x:c r="B395" s="23" t="n">
        <x:v>46510</x:v>
      </x:c>
      <x:c r="C395" s="23" t="n">
        <x:v>46510</x:v>
      </x:c>
      <x:c r="D395" s="20" t="str">
        <x:v>TenantReceipt</x:v>
      </x:c>
      <x:c r="E395" s="20" t="str">
        <x:v>Rent receipt</x:v>
      </x:c>
      <x:c r="F395" s="20" t="str">
        <x:v>P024</x:v>
      </x:c>
      <x:c r="G395" s="20" t="str">
        <x:v>U027</x:v>
      </x:c>
      <x:c r="H395" s="20" t="str">
        <x:v>L027</x:v>
      </x:c>
      <x:c r="I395" s="20" t="str">
        <x:v>Hector Reed</x:v>
      </x:c>
      <x:c r="J395" s="35" t="str">
        <x:v>Portal card</x:v>
      </x:c>
      <x:c r="K395" s="20" t="str"/>
      <x:c r="L395" s="20" t="str">
        <x:v>PMT-20270503-L027</x:v>
      </x:c>
      <x:c r="M395" s="26" t="n">
        <x:v>1825</x:v>
      </x:c>
      <x:c r="N395" s="26" t="n">
        <x:v>-1825</x:v>
      </x:c>
      <x:c r="O395" s="26" t="n">
        <x:v>1825</x:v>
      </x:c>
      <x:c r="P395" s="26" t="n">
        <x:v>0</x:v>
      </x:c>
      <x:c r="Q395" s="26" t="n">
        <x:v>0</x:v>
      </x:c>
      <x:c r="R395" s="26" t="n">
        <x:v>0</x:v>
      </x:c>
      <x:c r="S395" s="26" t="n">
        <x:v>0</x:v>
      </x:c>
      <x:c r="T395" s="26" t="n">
        <x:v>0</x:v>
      </x:c>
      <x:c r="U395" s="26" t="n">
        <x:v>0</x:v>
      </x:c>
      <x:c r="V395" s="26" t="n">
        <x:v>0</x:v>
      </x:c>
      <x:c r="W395" s="26" t="n">
        <x:v>0</x:v>
      </x:c>
      <x:c r="X395" s="26" t="n">
        <x:v>0</x:v>
      </x:c>
      <x:c r="Y395" s="26" t="n">
        <x:v>0</x:v>
      </x:c>
      <x:c r="Z395" s="35" t="str">
        <x:v>Receipt allocated to FIN-00391</x:v>
      </x:c>
    </x:row>
    <x:row r="396">
      <x:c r="A396" s="20" t="str">
        <x:v>FIN-00393</x:v>
      </x:c>
      <x:c r="B396" s="23" t="n">
        <x:v>46508</x:v>
      </x:c>
      <x:c r="C396" s="23" t="n">
        <x:v>46508</x:v>
      </x:c>
      <x:c r="D396" s="20" t="str">
        <x:v>TenantCharge</x:v>
      </x:c>
      <x:c r="E396" s="20" t="str">
        <x:v>Rent</x:v>
      </x:c>
      <x:c r="F396" s="20" t="str">
        <x:v>P024</x:v>
      </x:c>
      <x:c r="G396" s="20" t="str">
        <x:v>U028</x:v>
      </x:c>
      <x:c r="H396" s="20" t="str">
        <x:v>L028</x:v>
      </x:c>
      <x:c r="I396" s="20" t="str">
        <x:v>Keira Adams</x:v>
      </x:c>
      <x:c r="J396" s="35" t="str">
        <x:v>System scheduled charge</x:v>
      </x:c>
      <x:c r="K396" s="20" t="str"/>
      <x:c r="L396" s="20" t="str">
        <x:v>RENT-202705-L028</x:v>
      </x:c>
      <x:c r="M396" s="26" t="n">
        <x:v>1450</x:v>
      </x:c>
      <x:c r="N396" s="26" t="n">
        <x:v>1450</x:v>
      </x:c>
      <x:c r="O396" s="26" t="n">
        <x:v>0</x:v>
      </x:c>
      <x:c r="P396" s="26" t="n">
        <x:v>0</x:v>
      </x:c>
      <x:c r="Q396" s="26" t="n">
        <x:v>0</x:v>
      </x:c>
      <x:c r="R396" s="26" t="n">
        <x:v>0</x:v>
      </x:c>
      <x:c r="S396" s="26" t="n">
        <x:v>0</x:v>
      </x:c>
      <x:c r="T396" s="26" t="n">
        <x:v>1450</x:v>
      </x:c>
      <x:c r="U396" s="26" t="n">
        <x:v>0</x:v>
      </x:c>
      <x:c r="V396" s="26" t="n">
        <x:v>0</x:v>
      </x:c>
      <x:c r="W396" s="26" t="n">
        <x:v>0</x:v>
      </x:c>
      <x:c r="X396" s="26" t="n">
        <x:v>0</x:v>
      </x:c>
      <x:c r="Y396" s="26" t="n">
        <x:v>0</x:v>
      </x:c>
      <x:c r="Z396" s="35" t="str">
        <x:v>May 2027 rent</x:v>
      </x:c>
    </x:row>
    <x:row r="397">
      <x:c r="A397" s="20" t="str">
        <x:v>FIN-00394</x:v>
      </x:c>
      <x:c r="B397" s="23" t="n">
        <x:v>46511</x:v>
      </x:c>
      <x:c r="C397" s="23" t="n">
        <x:v>46511</x:v>
      </x:c>
      <x:c r="D397" s="20" t="str">
        <x:v>TenantReceipt</x:v>
      </x:c>
      <x:c r="E397" s="20" t="str">
        <x:v>Rent receipt</x:v>
      </x:c>
      <x:c r="F397" s="20" t="str">
        <x:v>P024</x:v>
      </x:c>
      <x:c r="G397" s="20" t="str">
        <x:v>U028</x:v>
      </x:c>
      <x:c r="H397" s="20" t="str">
        <x:v>L028</x:v>
      </x:c>
      <x:c r="I397" s="20" t="str">
        <x:v>Keira Adams</x:v>
      </x:c>
      <x:c r="J397" s="35" t="str">
        <x:v>Scanned check</x:v>
      </x:c>
      <x:c r="K397" s="20" t="str">
        <x:v>SCN-0186</x:v>
      </x:c>
      <x:c r="L397" s="20" t="str">
        <x:v>PMT-20270504-L028</x:v>
      </x:c>
      <x:c r="M397" s="26" t="n">
        <x:v>1450</x:v>
      </x:c>
      <x:c r="N397" s="26" t="n">
        <x:v>-1450</x:v>
      </x:c>
      <x:c r="O397" s="26" t="n">
        <x:v>1450</x:v>
      </x:c>
      <x:c r="P397" s="26" t="n">
        <x:v>0</x:v>
      </x:c>
      <x:c r="Q397" s="26" t="n">
        <x:v>0</x:v>
      </x:c>
      <x:c r="R397" s="26" t="n">
        <x:v>0</x:v>
      </x:c>
      <x:c r="S397" s="26" t="n">
        <x:v>0</x:v>
      </x:c>
      <x:c r="T397" s="26" t="n">
        <x:v>0</x:v>
      </x:c>
      <x:c r="U397" s="26" t="n">
        <x:v>0</x:v>
      </x:c>
      <x:c r="V397" s="26" t="n">
        <x:v>0</x:v>
      </x:c>
      <x:c r="W397" s="26" t="n">
        <x:v>0</x:v>
      </x:c>
      <x:c r="X397" s="26" t="n">
        <x:v>0</x:v>
      </x:c>
      <x:c r="Y397" s="26" t="n">
        <x:v>0</x:v>
      </x:c>
      <x:c r="Z397" s="35" t="str">
        <x:v>Receipt allocated to FIN-00393</x:v>
      </x:c>
    </x:row>
    <x:row r="398">
      <x:c r="A398" s="20" t="str">
        <x:v>FIN-00395</x:v>
      </x:c>
      <x:c r="B398" s="23" t="n">
        <x:v>46508</x:v>
      </x:c>
      <x:c r="C398" s="23" t="n">
        <x:v>46508</x:v>
      </x:c>
      <x:c r="D398" s="20" t="str">
        <x:v>TenantCharge</x:v>
      </x:c>
      <x:c r="E398" s="20" t="str">
        <x:v>Rent</x:v>
      </x:c>
      <x:c r="F398" s="20" t="str">
        <x:v>P025</x:v>
      </x:c>
      <x:c r="G398" s="20" t="str">
        <x:v>U029</x:v>
      </x:c>
      <x:c r="H398" s="20" t="str">
        <x:v>L029</x:v>
      </x:c>
      <x:c r="I398" s="20" t="str">
        <x:v>Nolan Flores</x:v>
      </x:c>
      <x:c r="J398" s="35" t="str">
        <x:v>System scheduled charge</x:v>
      </x:c>
      <x:c r="K398" s="20" t="str"/>
      <x:c r="L398" s="20" t="str">
        <x:v>RENT-202705-L029</x:v>
      </x:c>
      <x:c r="M398" s="26" t="n">
        <x:v>1975</x:v>
      </x:c>
      <x:c r="N398" s="26" t="n">
        <x:v>1975</x:v>
      </x:c>
      <x:c r="O398" s="26" t="n">
        <x:v>0</x:v>
      </x:c>
      <x:c r="P398" s="26" t="n">
        <x:v>0</x:v>
      </x:c>
      <x:c r="Q398" s="26" t="n">
        <x:v>0</x:v>
      </x:c>
      <x:c r="R398" s="26" t="n">
        <x:v>0</x:v>
      </x:c>
      <x:c r="S398" s="26" t="n">
        <x:v>0</x:v>
      </x:c>
      <x:c r="T398" s="26" t="n">
        <x:v>1975</x:v>
      </x:c>
      <x:c r="U398" s="26" t="n">
        <x:v>0</x:v>
      </x:c>
      <x:c r="V398" s="26" t="n">
        <x:v>0</x:v>
      </x:c>
      <x:c r="W398" s="26" t="n">
        <x:v>0</x:v>
      </x:c>
      <x:c r="X398" s="26" t="n">
        <x:v>0</x:v>
      </x:c>
      <x:c r="Y398" s="26" t="n">
        <x:v>0</x:v>
      </x:c>
      <x:c r="Z398" s="35" t="str">
        <x:v>May 2027 rent</x:v>
      </x:c>
    </x:row>
    <x:row r="399">
      <x:c r="A399" s="20" t="str">
        <x:v>FIN-00396</x:v>
      </x:c>
      <x:c r="B399" s="23" t="n">
        <x:v>46512</x:v>
      </x:c>
      <x:c r="C399" s="23" t="n">
        <x:v>46512</x:v>
      </x:c>
      <x:c r="D399" s="20" t="str">
        <x:v>TenantReceipt</x:v>
      </x:c>
      <x:c r="E399" s="20" t="str">
        <x:v>Rent receipt</x:v>
      </x:c>
      <x:c r="F399" s="20" t="str">
        <x:v>P025</x:v>
      </x:c>
      <x:c r="G399" s="20" t="str">
        <x:v>U029</x:v>
      </x:c>
      <x:c r="H399" s="20" t="str">
        <x:v>L029</x:v>
      </x:c>
      <x:c r="I399" s="20" t="str">
        <x:v>Nolan Flores</x:v>
      </x:c>
      <x:c r="J399" s="35" t="str">
        <x:v>Scanned money order</x:v>
      </x:c>
      <x:c r="K399" s="20" t="str">
        <x:v>SCN-0187</x:v>
      </x:c>
      <x:c r="L399" s="20" t="str">
        <x:v>PMT-20270505-L029</x:v>
      </x:c>
      <x:c r="M399" s="26" t="n">
        <x:v>1975</x:v>
      </x:c>
      <x:c r="N399" s="26" t="n">
        <x:v>-1975</x:v>
      </x:c>
      <x:c r="O399" s="26" t="n">
        <x:v>1975</x:v>
      </x:c>
      <x:c r="P399" s="26" t="n">
        <x:v>0</x:v>
      </x:c>
      <x:c r="Q399" s="26" t="n">
        <x:v>0</x:v>
      </x:c>
      <x:c r="R399" s="26" t="n">
        <x:v>0</x:v>
      </x:c>
      <x:c r="S399" s="26" t="n">
        <x:v>0</x:v>
      </x:c>
      <x:c r="T399" s="26" t="n">
        <x:v>0</x:v>
      </x:c>
      <x:c r="U399" s="26" t="n">
        <x:v>0</x:v>
      </x:c>
      <x:c r="V399" s="26" t="n">
        <x:v>0</x:v>
      </x:c>
      <x:c r="W399" s="26" t="n">
        <x:v>0</x:v>
      </x:c>
      <x:c r="X399" s="26" t="n">
        <x:v>0</x:v>
      </x:c>
      <x:c r="Y399" s="26" t="n">
        <x:v>0</x:v>
      </x:c>
      <x:c r="Z399" s="35" t="str">
        <x:v>Receipt allocated to FIN-00395</x:v>
      </x:c>
    </x:row>
    <x:row r="400">
      <x:c r="A400" s="20" t="str">
        <x:v>FIN-00397</x:v>
      </x:c>
      <x:c r="B400" s="23" t="n">
        <x:v>46508</x:v>
      </x:c>
      <x:c r="C400" s="23" t="n">
        <x:v>46508</x:v>
      </x:c>
      <x:c r="D400" s="20" t="str">
        <x:v>TenantCharge</x:v>
      </x:c>
      <x:c r="E400" s="20" t="str">
        <x:v>Rent</x:v>
      </x:c>
      <x:c r="F400" s="20" t="str">
        <x:v>P025</x:v>
      </x:c>
      <x:c r="G400" s="20" t="str">
        <x:v>U030</x:v>
      </x:c>
      <x:c r="H400" s="20" t="str">
        <x:v>L030</x:v>
      </x:c>
      <x:c r="I400" s="20" t="str">
        <x:v>Rina King</x:v>
      </x:c>
      <x:c r="J400" s="35" t="str">
        <x:v>System scheduled charge</x:v>
      </x:c>
      <x:c r="K400" s="20" t="str"/>
      <x:c r="L400" s="20" t="str">
        <x:v>RENT-202705-L030</x:v>
      </x:c>
      <x:c r="M400" s="26" t="n">
        <x:v>1600</x:v>
      </x:c>
      <x:c r="N400" s="26" t="n">
        <x:v>1600</x:v>
      </x:c>
      <x:c r="O400" s="26" t="n">
        <x:v>0</x:v>
      </x:c>
      <x:c r="P400" s="26" t="n">
        <x:v>0</x:v>
      </x:c>
      <x:c r="Q400" s="26" t="n">
        <x:v>0</x:v>
      </x:c>
      <x:c r="R400" s="26" t="n">
        <x:v>0</x:v>
      </x:c>
      <x:c r="S400" s="26" t="n">
        <x:v>0</x:v>
      </x:c>
      <x:c r="T400" s="26" t="n">
        <x:v>1600</x:v>
      </x:c>
      <x:c r="U400" s="26" t="n">
        <x:v>0</x:v>
      </x:c>
      <x:c r="V400" s="26" t="n">
        <x:v>0</x:v>
      </x:c>
      <x:c r="W400" s="26" t="n">
        <x:v>0</x:v>
      </x:c>
      <x:c r="X400" s="26" t="n">
        <x:v>0</x:v>
      </x:c>
      <x:c r="Y400" s="26" t="n">
        <x:v>0</x:v>
      </x:c>
      <x:c r="Z400" s="35" t="str">
        <x:v>May 2027 rent</x:v>
      </x:c>
    </x:row>
    <x:row r="401">
      <x:c r="A401" s="20" t="str">
        <x:v>FIN-00398</x:v>
      </x:c>
      <x:c r="B401" s="23" t="n">
        <x:v>46510</x:v>
      </x:c>
      <x:c r="C401" s="23" t="n">
        <x:v>46510</x:v>
      </x:c>
      <x:c r="D401" s="20" t="str">
        <x:v>TenantReceipt</x:v>
      </x:c>
      <x:c r="E401" s="20" t="str">
        <x:v>Rent receipt</x:v>
      </x:c>
      <x:c r="F401" s="20" t="str">
        <x:v>P025</x:v>
      </x:c>
      <x:c r="G401" s="20" t="str">
        <x:v>U030</x:v>
      </x:c>
      <x:c r="H401" s="20" t="str">
        <x:v>L030</x:v>
      </x:c>
      <x:c r="I401" s="20" t="str">
        <x:v>Rina King</x:v>
      </x:c>
      <x:c r="J401" s="35" t="str">
        <x:v>Manual ACH</x:v>
      </x:c>
      <x:c r="K401" s="20" t="str"/>
      <x:c r="L401" s="20" t="str">
        <x:v>PMT-20270503-L030</x:v>
      </x:c>
      <x:c r="M401" s="26" t="n">
        <x:v>1600</x:v>
      </x:c>
      <x:c r="N401" s="26" t="n">
        <x:v>-1600</x:v>
      </x:c>
      <x:c r="O401" s="26" t="n">
        <x:v>1600</x:v>
      </x:c>
      <x:c r="P401" s="26" t="n">
        <x:v>0</x:v>
      </x:c>
      <x:c r="Q401" s="26" t="n">
        <x:v>0</x:v>
      </x:c>
      <x:c r="R401" s="26" t="n">
        <x:v>0</x:v>
      </x:c>
      <x:c r="S401" s="26" t="n">
        <x:v>0</x:v>
      </x:c>
      <x:c r="T401" s="26" t="n">
        <x:v>0</x:v>
      </x:c>
      <x:c r="U401" s="26" t="n">
        <x:v>0</x:v>
      </x:c>
      <x:c r="V401" s="26" t="n">
        <x:v>0</x:v>
      </x:c>
      <x:c r="W401" s="26" t="n">
        <x:v>0</x:v>
      </x:c>
      <x:c r="X401" s="26" t="n">
        <x:v>0</x:v>
      </x:c>
      <x:c r="Y401" s="26" t="n">
        <x:v>0</x:v>
      </x:c>
      <x:c r="Z401" s="35" t="str">
        <x:v>Receipt allocated to FIN-00397</x:v>
      </x:c>
    </x:row>
    <x:row r="402">
      <x:c r="A402" s="20" t="str">
        <x:v>FIN-00399</x:v>
      </x:c>
      <x:c r="B402" s="23" t="n">
        <x:v>46508</x:v>
      </x:c>
      <x:c r="C402" s="23" t="n">
        <x:v>46508</x:v>
      </x:c>
      <x:c r="D402" s="20" t="str">
        <x:v>TenantCharge</x:v>
      </x:c>
      <x:c r="E402" s="20" t="str">
        <x:v>Rent</x:v>
      </x:c>
      <x:c r="F402" s="20" t="str">
        <x:v>P026</x:v>
      </x:c>
      <x:c r="G402" s="20" t="str">
        <x:v>U031</x:v>
      </x:c>
      <x:c r="H402" s="20" t="str">
        <x:v>L031</x:v>
      </x:c>
      <x:c r="I402" s="20" t="str">
        <x:v>Uri Price</x:v>
      </x:c>
      <x:c r="J402" s="35" t="str">
        <x:v>System scheduled charge</x:v>
      </x:c>
      <x:c r="K402" s="20" t="str"/>
      <x:c r="L402" s="20" t="str">
        <x:v>RENT-202705-L031</x:v>
      </x:c>
      <x:c r="M402" s="26" t="n">
        <x:v>1225</x:v>
      </x:c>
      <x:c r="N402" s="26" t="n">
        <x:v>1225</x:v>
      </x:c>
      <x:c r="O402" s="26" t="n">
        <x:v>0</x:v>
      </x:c>
      <x:c r="P402" s="26" t="n">
        <x:v>0</x:v>
      </x:c>
      <x:c r="Q402" s="26" t="n">
        <x:v>0</x:v>
      </x:c>
      <x:c r="R402" s="26" t="n">
        <x:v>0</x:v>
      </x:c>
      <x:c r="S402" s="26" t="n">
        <x:v>0</x:v>
      </x:c>
      <x:c r="T402" s="26" t="n">
        <x:v>1225</x:v>
      </x:c>
      <x:c r="U402" s="26" t="n">
        <x:v>0</x:v>
      </x:c>
      <x:c r="V402" s="26" t="n">
        <x:v>0</x:v>
      </x:c>
      <x:c r="W402" s="26" t="n">
        <x:v>0</x:v>
      </x:c>
      <x:c r="X402" s="26" t="n">
        <x:v>0</x:v>
      </x:c>
      <x:c r="Y402" s="26" t="n">
        <x:v>0</x:v>
      </x:c>
      <x:c r="Z402" s="35" t="str">
        <x:v>May 2027 rent</x:v>
      </x:c>
    </x:row>
    <x:row r="403">
      <x:c r="A403" s="20" t="str">
        <x:v>FIN-00400</x:v>
      </x:c>
      <x:c r="B403" s="23" t="n">
        <x:v>46511</x:v>
      </x:c>
      <x:c r="C403" s="23" t="n">
        <x:v>46511</x:v>
      </x:c>
      <x:c r="D403" s="20" t="str">
        <x:v>TenantReceipt</x:v>
      </x:c>
      <x:c r="E403" s="20" t="str">
        <x:v>Rent receipt</x:v>
      </x:c>
      <x:c r="F403" s="20" t="str">
        <x:v>P026</x:v>
      </x:c>
      <x:c r="G403" s="20" t="str">
        <x:v>U031</x:v>
      </x:c>
      <x:c r="H403" s="20" t="str">
        <x:v>L031</x:v>
      </x:c>
      <x:c r="I403" s="20" t="str">
        <x:v>Uri Price</x:v>
      </x:c>
      <x:c r="J403" s="35" t="str">
        <x:v>Portal card</x:v>
      </x:c>
      <x:c r="K403" s="20" t="str"/>
      <x:c r="L403" s="20" t="str">
        <x:v>PMT-20270504-L031</x:v>
      </x:c>
      <x:c r="M403" s="26" t="n">
        <x:v>1225</x:v>
      </x:c>
      <x:c r="N403" s="26" t="n">
        <x:v>-1225</x:v>
      </x:c>
      <x:c r="O403" s="26" t="n">
        <x:v>1225</x:v>
      </x:c>
      <x:c r="P403" s="26" t="n">
        <x:v>0</x:v>
      </x:c>
      <x:c r="Q403" s="26" t="n">
        <x:v>0</x:v>
      </x:c>
      <x:c r="R403" s="26" t="n">
        <x:v>0</x:v>
      </x:c>
      <x:c r="S403" s="26" t="n">
        <x:v>0</x:v>
      </x:c>
      <x:c r="T403" s="26" t="n">
        <x:v>0</x:v>
      </x:c>
      <x:c r="U403" s="26" t="n">
        <x:v>0</x:v>
      </x:c>
      <x:c r="V403" s="26" t="n">
        <x:v>0</x:v>
      </x:c>
      <x:c r="W403" s="26" t="n">
        <x:v>0</x:v>
      </x:c>
      <x:c r="X403" s="26" t="n">
        <x:v>0</x:v>
      </x:c>
      <x:c r="Y403" s="26" t="n">
        <x:v>0</x:v>
      </x:c>
      <x:c r="Z403" s="35" t="str">
        <x:v>Receipt allocated to FIN-00399</x:v>
      </x:c>
    </x:row>
    <x:row r="404">
      <x:c r="A404" s="20" t="str">
        <x:v>FIN-00401</x:v>
      </x:c>
      <x:c r="B404" s="23" t="n">
        <x:v>46508</x:v>
      </x:c>
      <x:c r="C404" s="23" t="n">
        <x:v>46508</x:v>
      </x:c>
      <x:c r="D404" s="20" t="str">
        <x:v>TenantCharge</x:v>
      </x:c>
      <x:c r="E404" s="20" t="str">
        <x:v>Rent</x:v>
      </x:c>
      <x:c r="F404" s="20" t="str">
        <x:v>P026</x:v>
      </x:c>
      <x:c r="G404" s="20" t="str">
        <x:v>U032</x:v>
      </x:c>
      <x:c r="H404" s="20" t="str">
        <x:v>L032</x:v>
      </x:c>
      <x:c r="I404" s="20" t="str">
        <x:v>Avery Brooks</x:v>
      </x:c>
      <x:c r="J404" s="35" t="str">
        <x:v>System scheduled charge</x:v>
      </x:c>
      <x:c r="K404" s="20" t="str"/>
      <x:c r="L404" s="20" t="str">
        <x:v>RENT-202705-L032</x:v>
      </x:c>
      <x:c r="M404" s="26" t="n">
        <x:v>1750</x:v>
      </x:c>
      <x:c r="N404" s="26" t="n">
        <x:v>1750</x:v>
      </x:c>
      <x:c r="O404" s="26" t="n">
        <x:v>0</x:v>
      </x:c>
      <x:c r="P404" s="26" t="n">
        <x:v>0</x:v>
      </x:c>
      <x:c r="Q404" s="26" t="n">
        <x:v>0</x:v>
      </x:c>
      <x:c r="R404" s="26" t="n">
        <x:v>0</x:v>
      </x:c>
      <x:c r="S404" s="26" t="n">
        <x:v>0</x:v>
      </x:c>
      <x:c r="T404" s="26" t="n">
        <x:v>1750</x:v>
      </x:c>
      <x:c r="U404" s="26" t="n">
        <x:v>0</x:v>
      </x:c>
      <x:c r="V404" s="26" t="n">
        <x:v>0</x:v>
      </x:c>
      <x:c r="W404" s="26" t="n">
        <x:v>0</x:v>
      </x:c>
      <x:c r="X404" s="26" t="n">
        <x:v>0</x:v>
      </x:c>
      <x:c r="Y404" s="26" t="n">
        <x:v>0</x:v>
      </x:c>
      <x:c r="Z404" s="35" t="str">
        <x:v>May 2027 rent</x:v>
      </x:c>
    </x:row>
    <x:row r="405">
      <x:c r="A405" s="20" t="str">
        <x:v>FIN-00402</x:v>
      </x:c>
      <x:c r="B405" s="23" t="n">
        <x:v>46512</x:v>
      </x:c>
      <x:c r="C405" s="23" t="n">
        <x:v>46512</x:v>
      </x:c>
      <x:c r="D405" s="20" t="str">
        <x:v>TenantReceipt</x:v>
      </x:c>
      <x:c r="E405" s="20" t="str">
        <x:v>Rent receipt</x:v>
      </x:c>
      <x:c r="F405" s="20" t="str">
        <x:v>P026</x:v>
      </x:c>
      <x:c r="G405" s="20" t="str">
        <x:v>U032</x:v>
      </x:c>
      <x:c r="H405" s="20" t="str">
        <x:v>L032</x:v>
      </x:c>
      <x:c r="I405" s="20" t="str">
        <x:v>Avery Brooks</x:v>
      </x:c>
      <x:c r="J405" s="35" t="str">
        <x:v>Scanned check</x:v>
      </x:c>
      <x:c r="K405" s="20" t="str">
        <x:v>SCN-0188</x:v>
      </x:c>
      <x:c r="L405" s="20" t="str">
        <x:v>PMT-20270505-L032</x:v>
      </x:c>
      <x:c r="M405" s="26" t="n">
        <x:v>1750</x:v>
      </x:c>
      <x:c r="N405" s="26" t="n">
        <x:v>-1750</x:v>
      </x:c>
      <x:c r="O405" s="26" t="n">
        <x:v>1750</x:v>
      </x:c>
      <x:c r="P405" s="26" t="n">
        <x:v>0</x:v>
      </x:c>
      <x:c r="Q405" s="26" t="n">
        <x:v>0</x:v>
      </x:c>
      <x:c r="R405" s="26" t="n">
        <x:v>0</x:v>
      </x:c>
      <x:c r="S405" s="26" t="n">
        <x:v>0</x:v>
      </x:c>
      <x:c r="T405" s="26" t="n">
        <x:v>0</x:v>
      </x:c>
      <x:c r="U405" s="26" t="n">
        <x:v>0</x:v>
      </x:c>
      <x:c r="V405" s="26" t="n">
        <x:v>0</x:v>
      </x:c>
      <x:c r="W405" s="26" t="n">
        <x:v>0</x:v>
      </x:c>
      <x:c r="X405" s="26" t="n">
        <x:v>0</x:v>
      </x:c>
      <x:c r="Y405" s="26" t="n">
        <x:v>0</x:v>
      </x:c>
      <x:c r="Z405" s="35" t="str">
        <x:v>Receipt allocated to FIN-00401</x:v>
      </x:c>
    </x:row>
    <x:row r="406">
      <x:c r="A406" s="20" t="str">
        <x:v>FIN-00403</x:v>
      </x:c>
      <x:c r="B406" s="23" t="n">
        <x:v>46508</x:v>
      </x:c>
      <x:c r="C406" s="23" t="n">
        <x:v>46508</x:v>
      </x:c>
      <x:c r="D406" s="20" t="str">
        <x:v>TenantCharge</x:v>
      </x:c>
      <x:c r="E406" s="20" t="str">
        <x:v>Rent</x:v>
      </x:c>
      <x:c r="F406" s="20" t="str">
        <x:v>P027</x:v>
      </x:c>
      <x:c r="G406" s="20" t="str">
        <x:v>U033</x:v>
      </x:c>
      <x:c r="H406" s="20" t="str">
        <x:v>L033</x:v>
      </x:c>
      <x:c r="I406" s="20" t="str">
        <x:v>Dana Garcia</x:v>
      </x:c>
      <x:c r="J406" s="35" t="str">
        <x:v>System scheduled charge</x:v>
      </x:c>
      <x:c r="K406" s="20" t="str"/>
      <x:c r="L406" s="20" t="str">
        <x:v>RENT-202705-L033</x:v>
      </x:c>
      <x:c r="M406" s="26" t="n">
        <x:v>1375</x:v>
      </x:c>
      <x:c r="N406" s="26" t="n">
        <x:v>1375</x:v>
      </x:c>
      <x:c r="O406" s="26" t="n">
        <x:v>0</x:v>
      </x:c>
      <x:c r="P406" s="26" t="n">
        <x:v>0</x:v>
      </x:c>
      <x:c r="Q406" s="26" t="n">
        <x:v>0</x:v>
      </x:c>
      <x:c r="R406" s="26" t="n">
        <x:v>0</x:v>
      </x:c>
      <x:c r="S406" s="26" t="n">
        <x:v>0</x:v>
      </x:c>
      <x:c r="T406" s="26" t="n">
        <x:v>1375</x:v>
      </x:c>
      <x:c r="U406" s="26" t="n">
        <x:v>0</x:v>
      </x:c>
      <x:c r="V406" s="26" t="n">
        <x:v>0</x:v>
      </x:c>
      <x:c r="W406" s="26" t="n">
        <x:v>0</x:v>
      </x:c>
      <x:c r="X406" s="26" t="n">
        <x:v>0</x:v>
      </x:c>
      <x:c r="Y406" s="26" t="n">
        <x:v>0</x:v>
      </x:c>
      <x:c r="Z406" s="35" t="str">
        <x:v>May 2027 rent</x:v>
      </x:c>
    </x:row>
    <x:row r="407">
      <x:c r="A407" s="20" t="str">
        <x:v>FIN-00404</x:v>
      </x:c>
      <x:c r="B407" s="23" t="n">
        <x:v>46510</x:v>
      </x:c>
      <x:c r="C407" s="23" t="n">
        <x:v>46510</x:v>
      </x:c>
      <x:c r="D407" s="20" t="str">
        <x:v>TenantReceipt</x:v>
      </x:c>
      <x:c r="E407" s="20" t="str">
        <x:v>Rent receipt</x:v>
      </x:c>
      <x:c r="F407" s="20" t="str">
        <x:v>P027</x:v>
      </x:c>
      <x:c r="G407" s="20" t="str">
        <x:v>U033</x:v>
      </x:c>
      <x:c r="H407" s="20" t="str">
        <x:v>L033</x:v>
      </x:c>
      <x:c r="I407" s="20" t="str">
        <x:v>Dana Garcia</x:v>
      </x:c>
      <x:c r="J407" s="35" t="str">
        <x:v>Scanned money order</x:v>
      </x:c>
      <x:c r="K407" s="20" t="str">
        <x:v>SCN-0189</x:v>
      </x:c>
      <x:c r="L407" s="20" t="str">
        <x:v>PMT-20270503-L033-A</x:v>
      </x:c>
      <x:c r="M407" s="26" t="n">
        <x:v>825</x:v>
      </x:c>
      <x:c r="N407" s="26" t="n">
        <x:v>-825</x:v>
      </x:c>
      <x:c r="O407" s="26" t="n">
        <x:v>825</x:v>
      </x:c>
      <x:c r="P407" s="26" t="n">
        <x:v>0</x:v>
      </x:c>
      <x:c r="Q407" s="26" t="n">
        <x:v>0</x:v>
      </x:c>
      <x:c r="R407" s="26" t="n">
        <x:v>0</x:v>
      </x:c>
      <x:c r="S407" s="26" t="n">
        <x:v>0</x:v>
      </x:c>
      <x:c r="T407" s="26" t="n">
        <x:v>0</x:v>
      </x:c>
      <x:c r="U407" s="26" t="n">
        <x:v>0</x:v>
      </x:c>
      <x:c r="V407" s="26" t="n">
        <x:v>0</x:v>
      </x:c>
      <x:c r="W407" s="26" t="n">
        <x:v>0</x:v>
      </x:c>
      <x:c r="X407" s="26" t="n">
        <x:v>0</x:v>
      </x:c>
      <x:c r="Y407" s="26" t="n">
        <x:v>0</x:v>
      </x:c>
      <x:c r="Z407" s="35" t="str">
        <x:v>Receipt allocated to FIN-00403</x:v>
      </x:c>
    </x:row>
    <x:row r="408">
      <x:c r="A408" s="20" t="str">
        <x:v>FIN-00405</x:v>
      </x:c>
      <x:c r="B408" s="23" t="n">
        <x:v>46513</x:v>
      </x:c>
      <x:c r="C408" s="23" t="n">
        <x:v>46513</x:v>
      </x:c>
      <x:c r="D408" s="20" t="str">
        <x:v>TenantCharge</x:v>
      </x:c>
      <x:c r="E408" s="20" t="str">
        <x:v>Late fee</x:v>
      </x:c>
      <x:c r="F408" s="20" t="str">
        <x:v>P027</x:v>
      </x:c>
      <x:c r="G408" s="20" t="str">
        <x:v>U033</x:v>
      </x:c>
      <x:c r="H408" s="20" t="str">
        <x:v>L033</x:v>
      </x:c>
      <x:c r="I408" s="20" t="str">
        <x:v>Dana Garcia</x:v>
      </x:c>
      <x:c r="J408" s="35" t="str">
        <x:v>System automation</x:v>
      </x:c>
      <x:c r="K408" s="20" t="str"/>
      <x:c r="L408" s="20" t="str">
        <x:v>LATE-202705-L033</x:v>
      </x:c>
      <x:c r="M408" s="26" t="n">
        <x:v>50</x:v>
      </x:c>
      <x:c r="N408" s="26" t="n">
        <x:v>50</x:v>
      </x:c>
      <x:c r="O408" s="26" t="n">
        <x:v>0</x:v>
      </x:c>
      <x:c r="P408" s="26" t="n">
        <x:v>0</x:v>
      </x:c>
      <x:c r="Q408" s="26" t="n">
        <x:v>0</x:v>
      </x:c>
      <x:c r="R408" s="26" t="n">
        <x:v>0</x:v>
      </x:c>
      <x:c r="S408" s="26" t="n">
        <x:v>0</x:v>
      </x:c>
      <x:c r="T408" s="26" t="n">
        <x:v>50</x:v>
      </x:c>
      <x:c r="U408" s="26" t="n">
        <x:v>0</x:v>
      </x:c>
      <x:c r="V408" s="26" t="n">
        <x:v>0</x:v>
      </x:c>
      <x:c r="W408" s="26" t="n">
        <x:v>0</x:v>
      </x:c>
      <x:c r="X408" s="26" t="n">
        <x:v>0</x:v>
      </x:c>
      <x:c r="Y408" s="26" t="n">
        <x:v>0</x:v>
      </x:c>
      <x:c r="Z408" s="35" t="str">
        <x:v>Synthetic lease-authorized late fee after partial payment</x:v>
      </x:c>
    </x:row>
    <x:row r="409">
      <x:c r="A409" s="20" t="str">
        <x:v>FIN-00406</x:v>
      </x:c>
      <x:c r="B409" s="23" t="n">
        <x:v>46519</x:v>
      </x:c>
      <x:c r="C409" s="23" t="n">
        <x:v>46519</x:v>
      </x:c>
      <x:c r="D409" s="20" t="str">
        <x:v>TenantReceipt</x:v>
      </x:c>
      <x:c r="E409" s="20" t="str">
        <x:v>Rent receipt</x:v>
      </x:c>
      <x:c r="F409" s="20" t="str">
        <x:v>P027</x:v>
      </x:c>
      <x:c r="G409" s="20" t="str">
        <x:v>U033</x:v>
      </x:c>
      <x:c r="H409" s="20" t="str">
        <x:v>L033</x:v>
      </x:c>
      <x:c r="I409" s="20" t="str">
        <x:v>Dana Garcia</x:v>
      </x:c>
      <x:c r="J409" s="35" t="str">
        <x:v>Portal card</x:v>
      </x:c>
      <x:c r="K409" s="20" t="str"/>
      <x:c r="L409" s="20" t="str">
        <x:v>PMT-20270512-L033-B</x:v>
      </x:c>
      <x:c r="M409" s="26" t="n">
        <x:v>600</x:v>
      </x:c>
      <x:c r="N409" s="26" t="n">
        <x:v>-600</x:v>
      </x:c>
      <x:c r="O409" s="26" t="n">
        <x:v>600</x:v>
      </x:c>
      <x:c r="P409" s="26" t="n">
        <x:v>0</x:v>
      </x:c>
      <x:c r="Q409" s="26" t="n">
        <x:v>0</x:v>
      </x:c>
      <x:c r="R409" s="26" t="n">
        <x:v>0</x:v>
      </x:c>
      <x:c r="S409" s="26" t="n">
        <x:v>0</x:v>
      </x:c>
      <x:c r="T409" s="26" t="n">
        <x:v>0</x:v>
      </x:c>
      <x:c r="U409" s="26" t="n">
        <x:v>0</x:v>
      </x:c>
      <x:c r="V409" s="26" t="n">
        <x:v>0</x:v>
      </x:c>
      <x:c r="W409" s="26" t="n">
        <x:v>0</x:v>
      </x:c>
      <x:c r="X409" s="26" t="n">
        <x:v>0</x:v>
      </x:c>
      <x:c r="Y409" s="26" t="n">
        <x:v>0</x:v>
      </x:c>
      <x:c r="Z409" s="35" t="str">
        <x:v>Receipt allocated to FIN-00405</x:v>
      </x:c>
    </x:row>
    <x:row r="410">
      <x:c r="A410" s="20" t="str">
        <x:v>FIN-00407</x:v>
      </x:c>
      <x:c r="B410" s="23" t="n">
        <x:v>46508</x:v>
      </x:c>
      <x:c r="C410" s="23" t="n">
        <x:v>46508</x:v>
      </x:c>
      <x:c r="D410" s="20" t="str">
        <x:v>TenantCharge</x:v>
      </x:c>
      <x:c r="E410" s="20" t="str">
        <x:v>Rent</x:v>
      </x:c>
      <x:c r="F410" s="20" t="str">
        <x:v>P027</x:v>
      </x:c>
      <x:c r="G410" s="20" t="str">
        <x:v>U034</x:v>
      </x:c>
      <x:c r="H410" s="20" t="str">
        <x:v>L034</x:v>
      </x:c>
      <x:c r="I410" s="20" t="str">
        <x:v>Gray Lewis</x:v>
      </x:c>
      <x:c r="J410" s="35" t="str">
        <x:v>System scheduled charge</x:v>
      </x:c>
      <x:c r="K410" s="20" t="str"/>
      <x:c r="L410" s="20" t="str">
        <x:v>RENT-202705-L034</x:v>
      </x:c>
      <x:c r="M410" s="26" t="n">
        <x:v>1900</x:v>
      </x:c>
      <x:c r="N410" s="26" t="n">
        <x:v>1900</x:v>
      </x:c>
      <x:c r="O410" s="26" t="n">
        <x:v>0</x:v>
      </x:c>
      <x:c r="P410" s="26" t="n">
        <x:v>0</x:v>
      </x:c>
      <x:c r="Q410" s="26" t="n">
        <x:v>0</x:v>
      </x:c>
      <x:c r="R410" s="26" t="n">
        <x:v>0</x:v>
      </x:c>
      <x:c r="S410" s="26" t="n">
        <x:v>0</x:v>
      </x:c>
      <x:c r="T410" s="26" t="n">
        <x:v>1900</x:v>
      </x:c>
      <x:c r="U410" s="26" t="n">
        <x:v>0</x:v>
      </x:c>
      <x:c r="V410" s="26" t="n">
        <x:v>0</x:v>
      </x:c>
      <x:c r="W410" s="26" t="n">
        <x:v>0</x:v>
      </x:c>
      <x:c r="X410" s="26" t="n">
        <x:v>0</x:v>
      </x:c>
      <x:c r="Y410" s="26" t="n">
        <x:v>0</x:v>
      </x:c>
      <x:c r="Z410" s="35" t="str">
        <x:v>May 2027 rent</x:v>
      </x:c>
    </x:row>
    <x:row r="411">
      <x:c r="A411" s="20" t="str">
        <x:v>FIN-00408</x:v>
      </x:c>
      <x:c r="B411" s="23" t="n">
        <x:v>46511</x:v>
      </x:c>
      <x:c r="C411" s="23" t="n">
        <x:v>46511</x:v>
      </x:c>
      <x:c r="D411" s="20" t="str">
        <x:v>TenantReceipt</x:v>
      </x:c>
      <x:c r="E411" s="20" t="str">
        <x:v>Rent receipt</x:v>
      </x:c>
      <x:c r="F411" s="20" t="str">
        <x:v>P027</x:v>
      </x:c>
      <x:c r="G411" s="20" t="str">
        <x:v>U034</x:v>
      </x:c>
      <x:c r="H411" s="20" t="str">
        <x:v>L034</x:v>
      </x:c>
      <x:c r="I411" s="20" t="str">
        <x:v>Gray Lewis</x:v>
      </x:c>
      <x:c r="J411" s="35" t="str">
        <x:v>Manual ACH</x:v>
      </x:c>
      <x:c r="K411" s="20" t="str"/>
      <x:c r="L411" s="20" t="str">
        <x:v>PMT-20270504-L034</x:v>
      </x:c>
      <x:c r="M411" s="26" t="n">
        <x:v>1900</x:v>
      </x:c>
      <x:c r="N411" s="26" t="n">
        <x:v>-1900</x:v>
      </x:c>
      <x:c r="O411" s="26" t="n">
        <x:v>1900</x:v>
      </x:c>
      <x:c r="P411" s="26" t="n">
        <x:v>0</x:v>
      </x:c>
      <x:c r="Q411" s="26" t="n">
        <x:v>0</x:v>
      </x:c>
      <x:c r="R411" s="26" t="n">
        <x:v>0</x:v>
      </x:c>
      <x:c r="S411" s="26" t="n">
        <x:v>0</x:v>
      </x:c>
      <x:c r="T411" s="26" t="n">
        <x:v>0</x:v>
      </x:c>
      <x:c r="U411" s="26" t="n">
        <x:v>0</x:v>
      </x:c>
      <x:c r="V411" s="26" t="n">
        <x:v>0</x:v>
      </x:c>
      <x:c r="W411" s="26" t="n">
        <x:v>0</x:v>
      </x:c>
      <x:c r="X411" s="26" t="n">
        <x:v>0</x:v>
      </x:c>
      <x:c r="Y411" s="26" t="n">
        <x:v>0</x:v>
      </x:c>
      <x:c r="Z411" s="35" t="str">
        <x:v>Receipt allocated to FIN-00407</x:v>
      </x:c>
    </x:row>
    <x:row r="412">
      <x:c r="A412" s="20" t="str">
        <x:v>FIN-00409</x:v>
      </x:c>
      <x:c r="B412" s="23" t="n">
        <x:v>46508</x:v>
      </x:c>
      <x:c r="C412" s="23" t="n">
        <x:v>46508</x:v>
      </x:c>
      <x:c r="D412" s="20" t="str">
        <x:v>TenantCharge</x:v>
      </x:c>
      <x:c r="E412" s="20" t="str">
        <x:v>Rent</x:v>
      </x:c>
      <x:c r="F412" s="20" t="str">
        <x:v>P028</x:v>
      </x:c>
      <x:c r="G412" s="20" t="str">
        <x:v>U035</x:v>
      </x:c>
      <x:c r="H412" s="20" t="str">
        <x:v>L035</x:v>
      </x:c>
      <x:c r="I412" s="20" t="str">
        <x:v>Jordan Reed</x:v>
      </x:c>
      <x:c r="J412" s="35" t="str">
        <x:v>System scheduled charge</x:v>
      </x:c>
      <x:c r="K412" s="20" t="str"/>
      <x:c r="L412" s="20" t="str">
        <x:v>RENT-202705-L035</x:v>
      </x:c>
      <x:c r="M412" s="26" t="n">
        <x:v>1525</x:v>
      </x:c>
      <x:c r="N412" s="26" t="n">
        <x:v>1525</x:v>
      </x:c>
      <x:c r="O412" s="26" t="n">
        <x:v>0</x:v>
      </x:c>
      <x:c r="P412" s="26" t="n">
        <x:v>0</x:v>
      </x:c>
      <x:c r="Q412" s="26" t="n">
        <x:v>0</x:v>
      </x:c>
      <x:c r="R412" s="26" t="n">
        <x:v>0</x:v>
      </x:c>
      <x:c r="S412" s="26" t="n">
        <x:v>0</x:v>
      </x:c>
      <x:c r="T412" s="26" t="n">
        <x:v>1525</x:v>
      </x:c>
      <x:c r="U412" s="26" t="n">
        <x:v>0</x:v>
      </x:c>
      <x:c r="V412" s="26" t="n">
        <x:v>0</x:v>
      </x:c>
      <x:c r="W412" s="26" t="n">
        <x:v>0</x:v>
      </x:c>
      <x:c r="X412" s="26" t="n">
        <x:v>0</x:v>
      </x:c>
      <x:c r="Y412" s="26" t="n">
        <x:v>0</x:v>
      </x:c>
      <x:c r="Z412" s="35" t="str">
        <x:v>May 2027 rent</x:v>
      </x:c>
    </x:row>
    <x:row r="413">
      <x:c r="A413" s="20" t="str">
        <x:v>FIN-00410</x:v>
      </x:c>
      <x:c r="B413" s="23" t="n">
        <x:v>46512</x:v>
      </x:c>
      <x:c r="C413" s="23" t="n">
        <x:v>46512</x:v>
      </x:c>
      <x:c r="D413" s="20" t="str">
        <x:v>TenantReceipt</x:v>
      </x:c>
      <x:c r="E413" s="20" t="str">
        <x:v>Rent receipt</x:v>
      </x:c>
      <x:c r="F413" s="20" t="str">
        <x:v>P028</x:v>
      </x:c>
      <x:c r="G413" s="20" t="str">
        <x:v>U035</x:v>
      </x:c>
      <x:c r="H413" s="20" t="str">
        <x:v>L035</x:v>
      </x:c>
      <x:c r="I413" s="20" t="str">
        <x:v>Jordan Reed</x:v>
      </x:c>
      <x:c r="J413" s="35" t="str">
        <x:v>Portal card</x:v>
      </x:c>
      <x:c r="K413" s="20" t="str"/>
      <x:c r="L413" s="20" t="str">
        <x:v>PMT-20270505-L035</x:v>
      </x:c>
      <x:c r="M413" s="26" t="n">
        <x:v>1525</x:v>
      </x:c>
      <x:c r="N413" s="26" t="n">
        <x:v>-1525</x:v>
      </x:c>
      <x:c r="O413" s="26" t="n">
        <x:v>1525</x:v>
      </x:c>
      <x:c r="P413" s="26" t="n">
        <x:v>0</x:v>
      </x:c>
      <x:c r="Q413" s="26" t="n">
        <x:v>0</x:v>
      </x:c>
      <x:c r="R413" s="26" t="n">
        <x:v>0</x:v>
      </x:c>
      <x:c r="S413" s="26" t="n">
        <x:v>0</x:v>
      </x:c>
      <x:c r="T413" s="26" t="n">
        <x:v>0</x:v>
      </x:c>
      <x:c r="U413" s="26" t="n">
        <x:v>0</x:v>
      </x:c>
      <x:c r="V413" s="26" t="n">
        <x:v>0</x:v>
      </x:c>
      <x:c r="W413" s="26" t="n">
        <x:v>0</x:v>
      </x:c>
      <x:c r="X413" s="26" t="n">
        <x:v>0</x:v>
      </x:c>
      <x:c r="Y413" s="26" t="n">
        <x:v>0</x:v>
      </x:c>
      <x:c r="Z413" s="35" t="str">
        <x:v>Receipt allocated to FIN-00409</x:v>
      </x:c>
    </x:row>
    <x:row r="414">
      <x:c r="A414" s="20" t="str">
        <x:v>FIN-00411</x:v>
      </x:c>
      <x:c r="B414" s="23" t="n">
        <x:v>46508</x:v>
      </x:c>
      <x:c r="C414" s="23" t="n">
        <x:v>46508</x:v>
      </x:c>
      <x:c r="D414" s="20" t="str">
        <x:v>TenantCharge</x:v>
      </x:c>
      <x:c r="E414" s="20" t="str">
        <x:v>Rent</x:v>
      </x:c>
      <x:c r="F414" s="20" t="str">
        <x:v>P028</x:v>
      </x:c>
      <x:c r="G414" s="20" t="str">
        <x:v>U036</x:v>
      </x:c>
      <x:c r="H414" s="20" t="str">
        <x:v>L036</x:v>
      </x:c>
      <x:c r="I414" s="20" t="str">
        <x:v>Morgan Adams</x:v>
      </x:c>
      <x:c r="J414" s="35" t="str">
        <x:v>System scheduled charge</x:v>
      </x:c>
      <x:c r="K414" s="20" t="str"/>
      <x:c r="L414" s="20" t="str">
        <x:v>RENT-202705-L036</x:v>
      </x:c>
      <x:c r="M414" s="26" t="n">
        <x:v>1150</x:v>
      </x:c>
      <x:c r="N414" s="26" t="n">
        <x:v>1150</x:v>
      </x:c>
      <x:c r="O414" s="26" t="n">
        <x:v>0</x:v>
      </x:c>
      <x:c r="P414" s="26" t="n">
        <x:v>0</x:v>
      </x:c>
      <x:c r="Q414" s="26" t="n">
        <x:v>0</x:v>
      </x:c>
      <x:c r="R414" s="26" t="n">
        <x:v>0</x:v>
      </x:c>
      <x:c r="S414" s="26" t="n">
        <x:v>0</x:v>
      </x:c>
      <x:c r="T414" s="26" t="n">
        <x:v>1150</x:v>
      </x:c>
      <x:c r="U414" s="26" t="n">
        <x:v>0</x:v>
      </x:c>
      <x:c r="V414" s="26" t="n">
        <x:v>0</x:v>
      </x:c>
      <x:c r="W414" s="26" t="n">
        <x:v>0</x:v>
      </x:c>
      <x:c r="X414" s="26" t="n">
        <x:v>0</x:v>
      </x:c>
      <x:c r="Y414" s="26" t="n">
        <x:v>0</x:v>
      </x:c>
      <x:c r="Z414" s="35" t="str">
        <x:v>May 2027 rent</x:v>
      </x:c>
    </x:row>
    <x:row r="415">
      <x:c r="A415" s="20" t="str">
        <x:v>FIN-00412</x:v>
      </x:c>
      <x:c r="B415" s="23" t="n">
        <x:v>46510</x:v>
      </x:c>
      <x:c r="C415" s="23" t="n">
        <x:v>46510</x:v>
      </x:c>
      <x:c r="D415" s="20" t="str">
        <x:v>TenantReceipt</x:v>
      </x:c>
      <x:c r="E415" s="20" t="str">
        <x:v>Rent receipt</x:v>
      </x:c>
      <x:c r="F415" s="20" t="str">
        <x:v>P028</x:v>
      </x:c>
      <x:c r="G415" s="20" t="str">
        <x:v>U036</x:v>
      </x:c>
      <x:c r="H415" s="20" t="str">
        <x:v>L036</x:v>
      </x:c>
      <x:c r="I415" s="20" t="str">
        <x:v>Morgan Adams</x:v>
      </x:c>
      <x:c r="J415" s="35" t="str">
        <x:v>Scanned check</x:v>
      </x:c>
      <x:c r="K415" s="20" t="str">
        <x:v>SCN-0190</x:v>
      </x:c>
      <x:c r="L415" s="20" t="str">
        <x:v>PMT-20270503-L036</x:v>
      </x:c>
      <x:c r="M415" s="26" t="n">
        <x:v>1150</x:v>
      </x:c>
      <x:c r="N415" s="26" t="n">
        <x:v>-1150</x:v>
      </x:c>
      <x:c r="O415" s="26" t="n">
        <x:v>1150</x:v>
      </x:c>
      <x:c r="P415" s="26" t="n">
        <x:v>0</x:v>
      </x:c>
      <x:c r="Q415" s="26" t="n">
        <x:v>0</x:v>
      </x:c>
      <x:c r="R415" s="26" t="n">
        <x:v>0</x:v>
      </x:c>
      <x:c r="S415" s="26" t="n">
        <x:v>0</x:v>
      </x:c>
      <x:c r="T415" s="26" t="n">
        <x:v>0</x:v>
      </x:c>
      <x:c r="U415" s="26" t="n">
        <x:v>0</x:v>
      </x:c>
      <x:c r="V415" s="26" t="n">
        <x:v>0</x:v>
      </x:c>
      <x:c r="W415" s="26" t="n">
        <x:v>0</x:v>
      </x:c>
      <x:c r="X415" s="26" t="n">
        <x:v>0</x:v>
      </x:c>
      <x:c r="Y415" s="26" t="n">
        <x:v>0</x:v>
      </x:c>
      <x:c r="Z415" s="35" t="str">
        <x:v>Receipt allocated to FIN-00411</x:v>
      </x:c>
    </x:row>
    <x:row r="416">
      <x:c r="A416" s="20" t="str">
        <x:v>FIN-00413</x:v>
      </x:c>
      <x:c r="B416" s="23" t="n">
        <x:v>46508</x:v>
      </x:c>
      <x:c r="C416" s="23" t="n">
        <x:v>46508</x:v>
      </x:c>
      <x:c r="D416" s="20" t="str">
        <x:v>TenantCharge</x:v>
      </x:c>
      <x:c r="E416" s="20" t="str">
        <x:v>Rent</x:v>
      </x:c>
      <x:c r="F416" s="20" t="str">
        <x:v>P005</x:v>
      </x:c>
      <x:c r="G416" s="20" t="str">
        <x:v>U005</x:v>
      </x:c>
      <x:c r="H416" s="20" t="str">
        <x:v>L037</x:v>
      </x:c>
      <x:c r="I416" s="20" t="str">
        <x:v>Parker Flores</x:v>
      </x:c>
      <x:c r="J416" s="35" t="str">
        <x:v>System scheduled charge</x:v>
      </x:c>
      <x:c r="K416" s="20" t="str"/>
      <x:c r="L416" s="20" t="str">
        <x:v>RENT-202705-L037</x:v>
      </x:c>
      <x:c r="M416" s="26" t="n">
        <x:v>1875</x:v>
      </x:c>
      <x:c r="N416" s="26" t="n">
        <x:v>1875</x:v>
      </x:c>
      <x:c r="O416" s="26" t="n">
        <x:v>0</x:v>
      </x:c>
      <x:c r="P416" s="26" t="n">
        <x:v>0</x:v>
      </x:c>
      <x:c r="Q416" s="26" t="n">
        <x:v>0</x:v>
      </x:c>
      <x:c r="R416" s="26" t="n">
        <x:v>0</x:v>
      </x:c>
      <x:c r="S416" s="26" t="n">
        <x:v>0</x:v>
      </x:c>
      <x:c r="T416" s="26" t="n">
        <x:v>1875</x:v>
      </x:c>
      <x:c r="U416" s="26" t="n">
        <x:v>0</x:v>
      </x:c>
      <x:c r="V416" s="26" t="n">
        <x:v>0</x:v>
      </x:c>
      <x:c r="W416" s="26" t="n">
        <x:v>0</x:v>
      </x:c>
      <x:c r="X416" s="26" t="n">
        <x:v>0</x:v>
      </x:c>
      <x:c r="Y416" s="26" t="n">
        <x:v>0</x:v>
      </x:c>
      <x:c r="Z416" s="35" t="str">
        <x:v>May 2027 rent</x:v>
      </x:c>
    </x:row>
    <x:row r="417">
      <x:c r="A417" s="20" t="str">
        <x:v>FIN-00414</x:v>
      </x:c>
      <x:c r="B417" s="23" t="n">
        <x:v>46511</x:v>
      </x:c>
      <x:c r="C417" s="23" t="n">
        <x:v>46511</x:v>
      </x:c>
      <x:c r="D417" s="20" t="str">
        <x:v>TenantReceipt</x:v>
      </x:c>
      <x:c r="E417" s="20" t="str">
        <x:v>Rent receipt</x:v>
      </x:c>
      <x:c r="F417" s="20" t="str">
        <x:v>P005</x:v>
      </x:c>
      <x:c r="G417" s="20" t="str">
        <x:v>U005</x:v>
      </x:c>
      <x:c r="H417" s="20" t="str">
        <x:v>L037</x:v>
      </x:c>
      <x:c r="I417" s="20" t="str">
        <x:v>Parker Flores</x:v>
      </x:c>
      <x:c r="J417" s="35" t="str">
        <x:v>Scanned money order</x:v>
      </x:c>
      <x:c r="K417" s="20" t="str">
        <x:v>SCN-0191</x:v>
      </x:c>
      <x:c r="L417" s="20" t="str">
        <x:v>PMT-20270504-L037</x:v>
      </x:c>
      <x:c r="M417" s="26" t="n">
        <x:v>1875</x:v>
      </x:c>
      <x:c r="N417" s="26" t="n">
        <x:v>-1875</x:v>
      </x:c>
      <x:c r="O417" s="26" t="n">
        <x:v>1875</x:v>
      </x:c>
      <x:c r="P417" s="26" t="n">
        <x:v>0</x:v>
      </x:c>
      <x:c r="Q417" s="26" t="n">
        <x:v>0</x:v>
      </x:c>
      <x:c r="R417" s="26" t="n">
        <x:v>0</x:v>
      </x:c>
      <x:c r="S417" s="26" t="n">
        <x:v>0</x:v>
      </x:c>
      <x:c r="T417" s="26" t="n">
        <x:v>0</x:v>
      </x:c>
      <x:c r="U417" s="26" t="n">
        <x:v>0</x:v>
      </x:c>
      <x:c r="V417" s="26" t="n">
        <x:v>0</x:v>
      </x:c>
      <x:c r="W417" s="26" t="n">
        <x:v>0</x:v>
      </x:c>
      <x:c r="X417" s="26" t="n">
        <x:v>0</x:v>
      </x:c>
      <x:c r="Y417" s="26" t="n">
        <x:v>0</x:v>
      </x:c>
      <x:c r="Z417" s="35" t="str">
        <x:v>Receipt allocated to FIN-00413</x:v>
      </x:c>
    </x:row>
    <x:row r="418">
      <x:c r="A418" s="20" t="str">
        <x:v>FIN-00415</x:v>
      </x:c>
      <x:c r="B418" s="23" t="n">
        <x:v>46508</x:v>
      </x:c>
      <x:c r="C418" s="23" t="n">
        <x:v>46508</x:v>
      </x:c>
      <x:c r="D418" s="20" t="str">
        <x:v>TenantCharge</x:v>
      </x:c>
      <x:c r="E418" s="20" t="str">
        <x:v>Rent</x:v>
      </x:c>
      <x:c r="F418" s="20" t="str">
        <x:v>P029</x:v>
      </x:c>
      <x:c r="G418" s="20" t="str">
        <x:v>U037</x:v>
      </x:c>
      <x:c r="H418" s="20" t="str">
        <x:v>L043</x:v>
      </x:c>
      <x:c r="I418" s="20" t="str">
        <x:v>Hector Reed</x:v>
      </x:c>
      <x:c r="J418" s="35" t="str">
        <x:v>System scheduled charge</x:v>
      </x:c>
      <x:c r="K418" s="20" t="str"/>
      <x:c r="L418" s="20" t="str">
        <x:v>RENT-202705-L043</x:v>
      </x:c>
      <x:c r="M418" s="26" t="n">
        <x:v>1675</x:v>
      </x:c>
      <x:c r="N418" s="26" t="n">
        <x:v>1675</x:v>
      </x:c>
      <x:c r="O418" s="26" t="n">
        <x:v>0</x:v>
      </x:c>
      <x:c r="P418" s="26" t="n">
        <x:v>0</x:v>
      </x:c>
      <x:c r="Q418" s="26" t="n">
        <x:v>0</x:v>
      </x:c>
      <x:c r="R418" s="26" t="n">
        <x:v>0</x:v>
      </x:c>
      <x:c r="S418" s="26" t="n">
        <x:v>0</x:v>
      </x:c>
      <x:c r="T418" s="26" t="n">
        <x:v>1675</x:v>
      </x:c>
      <x:c r="U418" s="26" t="n">
        <x:v>0</x:v>
      </x:c>
      <x:c r="V418" s="26" t="n">
        <x:v>0</x:v>
      </x:c>
      <x:c r="W418" s="26" t="n">
        <x:v>0</x:v>
      </x:c>
      <x:c r="X418" s="26" t="n">
        <x:v>0</x:v>
      </x:c>
      <x:c r="Y418" s="26" t="n">
        <x:v>0</x:v>
      </x:c>
      <x:c r="Z418" s="35" t="str">
        <x:v>May 2027 rent</x:v>
      </x:c>
    </x:row>
    <x:row r="419">
      <x:c r="A419" s="20" t="str">
        <x:v>FIN-00416</x:v>
      </x:c>
      <x:c r="B419" s="23" t="n">
        <x:v>46511</x:v>
      </x:c>
      <x:c r="C419" s="23" t="n">
        <x:v>46511</x:v>
      </x:c>
      <x:c r="D419" s="20" t="str">
        <x:v>TenantReceipt</x:v>
      </x:c>
      <x:c r="E419" s="20" t="str">
        <x:v>Rent receipt</x:v>
      </x:c>
      <x:c r="F419" s="20" t="str">
        <x:v>P029</x:v>
      </x:c>
      <x:c r="G419" s="20" t="str">
        <x:v>U037</x:v>
      </x:c>
      <x:c r="H419" s="20" t="str">
        <x:v>L043</x:v>
      </x:c>
      <x:c r="I419" s="20" t="str">
        <x:v>Hector Reed</x:v>
      </x:c>
      <x:c r="J419" s="35" t="str">
        <x:v>Portal card</x:v>
      </x:c>
      <x:c r="K419" s="20" t="str"/>
      <x:c r="L419" s="20" t="str">
        <x:v>PMT-20270504-L043</x:v>
      </x:c>
      <x:c r="M419" s="26" t="n">
        <x:v>1675</x:v>
      </x:c>
      <x:c r="N419" s="26" t="n">
        <x:v>-1675</x:v>
      </x:c>
      <x:c r="O419" s="26" t="n">
        <x:v>1675</x:v>
      </x:c>
      <x:c r="P419" s="26" t="n">
        <x:v>0</x:v>
      </x:c>
      <x:c r="Q419" s="26" t="n">
        <x:v>0</x:v>
      </x:c>
      <x:c r="R419" s="26" t="n">
        <x:v>0</x:v>
      </x:c>
      <x:c r="S419" s="26" t="n">
        <x:v>0</x:v>
      </x:c>
      <x:c r="T419" s="26" t="n">
        <x:v>0</x:v>
      </x:c>
      <x:c r="U419" s="26" t="n">
        <x:v>0</x:v>
      </x:c>
      <x:c r="V419" s="26" t="n">
        <x:v>0</x:v>
      </x:c>
      <x:c r="W419" s="26" t="n">
        <x:v>0</x:v>
      </x:c>
      <x:c r="X419" s="26" t="n">
        <x:v>0</x:v>
      </x:c>
      <x:c r="Y419" s="26" t="n">
        <x:v>0</x:v>
      </x:c>
      <x:c r="Z419" s="35" t="str">
        <x:v>Receipt allocated to FIN-00415</x:v>
      </x:c>
    </x:row>
    <x:row r="420">
      <x:c r="A420" s="20" t="str">
        <x:v>FIN-00417</x:v>
      </x:c>
      <x:c r="B420" s="23" t="n">
        <x:v>46508</x:v>
      </x:c>
      <x:c r="C420" s="23" t="n">
        <x:v>46508</x:v>
      </x:c>
      <x:c r="D420" s="20" t="str">
        <x:v>TenantCharge</x:v>
      </x:c>
      <x:c r="E420" s="20" t="str">
        <x:v>Rent</x:v>
      </x:c>
      <x:c r="F420" s="20" t="str">
        <x:v>P029</x:v>
      </x:c>
      <x:c r="G420" s="20" t="str">
        <x:v>U038</x:v>
      </x:c>
      <x:c r="H420" s="20" t="str">
        <x:v>L044</x:v>
      </x:c>
      <x:c r="I420" s="20" t="str">
        <x:v>Keira Adams</x:v>
      </x:c>
      <x:c r="J420" s="35" t="str">
        <x:v>System scheduled charge</x:v>
      </x:c>
      <x:c r="K420" s="20" t="str"/>
      <x:c r="L420" s="20" t="str">
        <x:v>RENT-202705-L044</x:v>
      </x:c>
      <x:c r="M420" s="26" t="n">
        <x:v>1300</x:v>
      </x:c>
      <x:c r="N420" s="26" t="n">
        <x:v>1300</x:v>
      </x:c>
      <x:c r="O420" s="26" t="n">
        <x:v>0</x:v>
      </x:c>
      <x:c r="P420" s="26" t="n">
        <x:v>0</x:v>
      </x:c>
      <x:c r="Q420" s="26" t="n">
        <x:v>0</x:v>
      </x:c>
      <x:c r="R420" s="26" t="n">
        <x:v>0</x:v>
      </x:c>
      <x:c r="S420" s="26" t="n">
        <x:v>0</x:v>
      </x:c>
      <x:c r="T420" s="26" t="n">
        <x:v>1300</x:v>
      </x:c>
      <x:c r="U420" s="26" t="n">
        <x:v>0</x:v>
      </x:c>
      <x:c r="V420" s="26" t="n">
        <x:v>0</x:v>
      </x:c>
      <x:c r="W420" s="26" t="n">
        <x:v>0</x:v>
      </x:c>
      <x:c r="X420" s="26" t="n">
        <x:v>0</x:v>
      </x:c>
      <x:c r="Y420" s="26" t="n">
        <x:v>0</x:v>
      </x:c>
      <x:c r="Z420" s="35" t="str">
        <x:v>May 2027 rent</x:v>
      </x:c>
    </x:row>
    <x:row r="421">
      <x:c r="A421" s="20" t="str">
        <x:v>FIN-00418</x:v>
      </x:c>
      <x:c r="B421" s="23" t="n">
        <x:v>46510</x:v>
      </x:c>
      <x:c r="C421" s="23" t="n">
        <x:v>46510</x:v>
      </x:c>
      <x:c r="D421" s="20" t="str">
        <x:v>TenantReceipt</x:v>
      </x:c>
      <x:c r="E421" s="20" t="str">
        <x:v>Rent receipt</x:v>
      </x:c>
      <x:c r="F421" s="20" t="str">
        <x:v>P029</x:v>
      </x:c>
      <x:c r="G421" s="20" t="str">
        <x:v>U038</x:v>
      </x:c>
      <x:c r="H421" s="20" t="str">
        <x:v>L044</x:v>
      </x:c>
      <x:c r="I421" s="20" t="str">
        <x:v>Keira Adams</x:v>
      </x:c>
      <x:c r="J421" s="35" t="str">
        <x:v>Scanned check</x:v>
      </x:c>
      <x:c r="K421" s="20" t="str">
        <x:v>SCN-0192</x:v>
      </x:c>
      <x:c r="L421" s="20" t="str">
        <x:v>PMT-20270503-L044-A</x:v>
      </x:c>
      <x:c r="M421" s="26" t="n">
        <x:v>780</x:v>
      </x:c>
      <x:c r="N421" s="26" t="n">
        <x:v>-780</x:v>
      </x:c>
      <x:c r="O421" s="26" t="n">
        <x:v>780</x:v>
      </x:c>
      <x:c r="P421" s="26" t="n">
        <x:v>0</x:v>
      </x:c>
      <x:c r="Q421" s="26" t="n">
        <x:v>0</x:v>
      </x:c>
      <x:c r="R421" s="26" t="n">
        <x:v>0</x:v>
      </x:c>
      <x:c r="S421" s="26" t="n">
        <x:v>0</x:v>
      </x:c>
      <x:c r="T421" s="26" t="n">
        <x:v>0</x:v>
      </x:c>
      <x:c r="U421" s="26" t="n">
        <x:v>0</x:v>
      </x:c>
      <x:c r="V421" s="26" t="n">
        <x:v>0</x:v>
      </x:c>
      <x:c r="W421" s="26" t="n">
        <x:v>0</x:v>
      </x:c>
      <x:c r="X421" s="26" t="n">
        <x:v>0</x:v>
      </x:c>
      <x:c r="Y421" s="26" t="n">
        <x:v>0</x:v>
      </x:c>
      <x:c r="Z421" s="35" t="str">
        <x:v>Receipt allocated to FIN-00417</x:v>
      </x:c>
    </x:row>
    <x:row r="422">
      <x:c r="A422" s="20" t="str">
        <x:v>FIN-00419</x:v>
      </x:c>
      <x:c r="B422" s="23" t="n">
        <x:v>46513</x:v>
      </x:c>
      <x:c r="C422" s="23" t="n">
        <x:v>46513</x:v>
      </x:c>
      <x:c r="D422" s="20" t="str">
        <x:v>TenantCharge</x:v>
      </x:c>
      <x:c r="E422" s="20" t="str">
        <x:v>Late fee</x:v>
      </x:c>
      <x:c r="F422" s="20" t="str">
        <x:v>P029</x:v>
      </x:c>
      <x:c r="G422" s="20" t="str">
        <x:v>U038</x:v>
      </x:c>
      <x:c r="H422" s="20" t="str">
        <x:v>L044</x:v>
      </x:c>
      <x:c r="I422" s="20" t="str">
        <x:v>Keira Adams</x:v>
      </x:c>
      <x:c r="J422" s="35" t="str">
        <x:v>System automation</x:v>
      </x:c>
      <x:c r="K422" s="20" t="str"/>
      <x:c r="L422" s="20" t="str">
        <x:v>LATE-202705-L044</x:v>
      </x:c>
      <x:c r="M422" s="26" t="n">
        <x:v>50</x:v>
      </x:c>
      <x:c r="N422" s="26" t="n">
        <x:v>50</x:v>
      </x:c>
      <x:c r="O422" s="26" t="n">
        <x:v>0</x:v>
      </x:c>
      <x:c r="P422" s="26" t="n">
        <x:v>0</x:v>
      </x:c>
      <x:c r="Q422" s="26" t="n">
        <x:v>0</x:v>
      </x:c>
      <x:c r="R422" s="26" t="n">
        <x:v>0</x:v>
      </x:c>
      <x:c r="S422" s="26" t="n">
        <x:v>0</x:v>
      </x:c>
      <x:c r="T422" s="26" t="n">
        <x:v>50</x:v>
      </x:c>
      <x:c r="U422" s="26" t="n">
        <x:v>0</x:v>
      </x:c>
      <x:c r="V422" s="26" t="n">
        <x:v>0</x:v>
      </x:c>
      <x:c r="W422" s="26" t="n">
        <x:v>0</x:v>
      </x:c>
      <x:c r="X422" s="26" t="n">
        <x:v>0</x:v>
      </x:c>
      <x:c r="Y422" s="26" t="n">
        <x:v>0</x:v>
      </x:c>
      <x:c r="Z422" s="35" t="str">
        <x:v>Synthetic lease-authorized late fee after partial payment</x:v>
      </x:c>
    </x:row>
    <x:row r="423">
      <x:c r="A423" s="20" t="str">
        <x:v>FIN-00420</x:v>
      </x:c>
      <x:c r="B423" s="23" t="n">
        <x:v>46519</x:v>
      </x:c>
      <x:c r="C423" s="23" t="n">
        <x:v>46519</x:v>
      </x:c>
      <x:c r="D423" s="20" t="str">
        <x:v>TenantReceipt</x:v>
      </x:c>
      <x:c r="E423" s="20" t="str">
        <x:v>Rent receipt</x:v>
      </x:c>
      <x:c r="F423" s="20" t="str">
        <x:v>P029</x:v>
      </x:c>
      <x:c r="G423" s="20" t="str">
        <x:v>U038</x:v>
      </x:c>
      <x:c r="H423" s="20" t="str">
        <x:v>L044</x:v>
      </x:c>
      <x:c r="I423" s="20" t="str">
        <x:v>Keira Adams</x:v>
      </x:c>
      <x:c r="J423" s="35" t="str">
        <x:v>Manual ACH</x:v>
      </x:c>
      <x:c r="K423" s="20" t="str"/>
      <x:c r="L423" s="20" t="str">
        <x:v>PMT-20270512-L044-B</x:v>
      </x:c>
      <x:c r="M423" s="26" t="n">
        <x:v>570</x:v>
      </x:c>
      <x:c r="N423" s="26" t="n">
        <x:v>-570</x:v>
      </x:c>
      <x:c r="O423" s="26" t="n">
        <x:v>570</x:v>
      </x:c>
      <x:c r="P423" s="26" t="n">
        <x:v>0</x:v>
      </x:c>
      <x:c r="Q423" s="26" t="n">
        <x:v>0</x:v>
      </x:c>
      <x:c r="R423" s="26" t="n">
        <x:v>0</x:v>
      </x:c>
      <x:c r="S423" s="26" t="n">
        <x:v>0</x:v>
      </x:c>
      <x:c r="T423" s="26" t="n">
        <x:v>0</x:v>
      </x:c>
      <x:c r="U423" s="26" t="n">
        <x:v>0</x:v>
      </x:c>
      <x:c r="V423" s="26" t="n">
        <x:v>0</x:v>
      </x:c>
      <x:c r="W423" s="26" t="n">
        <x:v>0</x:v>
      </x:c>
      <x:c r="X423" s="26" t="n">
        <x:v>0</x:v>
      </x:c>
      <x:c r="Y423" s="26" t="n">
        <x:v>0</x:v>
      </x:c>
      <x:c r="Z423" s="35" t="str">
        <x:v>Receipt allocated to FIN-00419</x:v>
      </x:c>
    </x:row>
    <x:row r="424">
      <x:c r="A424" s="20" t="str">
        <x:v>FIN-00421</x:v>
      </x:c>
      <x:c r="B424" s="23" t="n">
        <x:v>46539</x:v>
      </x:c>
      <x:c r="C424" s="23" t="n">
        <x:v>46539</x:v>
      </x:c>
      <x:c r="D424" s="20" t="str">
        <x:v>TenantCharge</x:v>
      </x:c>
      <x:c r="E424" s="20" t="str">
        <x:v>Rent</x:v>
      </x:c>
      <x:c r="F424" s="20" t="str">
        <x:v>P001</x:v>
      </x:c>
      <x:c r="G424" s="20" t="str">
        <x:v>U001</x:v>
      </x:c>
      <x:c r="H424" s="20" t="str">
        <x:v>L001</x:v>
      </x:c>
      <x:c r="I424" s="20" t="str">
        <x:v>Dana Garcia</x:v>
      </x:c>
      <x:c r="J424" s="35" t="str">
        <x:v>System scheduled charge</x:v>
      </x:c>
      <x:c r="K424" s="20" t="str"/>
      <x:c r="L424" s="20" t="str">
        <x:v>RENT-202706-L001</x:v>
      </x:c>
      <x:c r="M424" s="26" t="n">
        <x:v>1575</x:v>
      </x:c>
      <x:c r="N424" s="26" t="n">
        <x:v>1575</x:v>
      </x:c>
      <x:c r="O424" s="26" t="n">
        <x:v>0</x:v>
      </x:c>
      <x:c r="P424" s="26" t="n">
        <x:v>0</x:v>
      </x:c>
      <x:c r="Q424" s="26" t="n">
        <x:v>0</x:v>
      </x:c>
      <x:c r="R424" s="26" t="n">
        <x:v>0</x:v>
      </x:c>
      <x:c r="S424" s="26" t="n">
        <x:v>0</x:v>
      </x:c>
      <x:c r="T424" s="26" t="n">
        <x:v>1575</x:v>
      </x:c>
      <x:c r="U424" s="26" t="n">
        <x:v>0</x:v>
      </x:c>
      <x:c r="V424" s="26" t="n">
        <x:v>0</x:v>
      </x:c>
      <x:c r="W424" s="26" t="n">
        <x:v>0</x:v>
      </x:c>
      <x:c r="X424" s="26" t="n">
        <x:v>0</x:v>
      </x:c>
      <x:c r="Y424" s="26" t="n">
        <x:v>0</x:v>
      </x:c>
      <x:c r="Z424" s="35" t="str">
        <x:v>June 2027 rent</x:v>
      </x:c>
    </x:row>
    <x:row r="425">
      <x:c r="A425" s="20" t="str">
        <x:v>FIN-00422</x:v>
      </x:c>
      <x:c r="B425" s="23" t="n">
        <x:v>46542</x:v>
      </x:c>
      <x:c r="C425" s="23" t="n">
        <x:v>46542</x:v>
      </x:c>
      <x:c r="D425" s="20" t="str">
        <x:v>TenantReceipt</x:v>
      </x:c>
      <x:c r="E425" s="20" t="str">
        <x:v>Rent receipt</x:v>
      </x:c>
      <x:c r="F425" s="20" t="str">
        <x:v>P001</x:v>
      </x:c>
      <x:c r="G425" s="20" t="str">
        <x:v>U001</x:v>
      </x:c>
      <x:c r="H425" s="20" t="str">
        <x:v>L001</x:v>
      </x:c>
      <x:c r="I425" s="20" t="str">
        <x:v>Dana Garcia</x:v>
      </x:c>
      <x:c r="J425" s="35" t="str">
        <x:v>Scanned money order</x:v>
      </x:c>
      <x:c r="K425" s="20" t="str">
        <x:v>SCN-0193</x:v>
      </x:c>
      <x:c r="L425" s="20" t="str">
        <x:v>PMT-20270604-L001</x:v>
      </x:c>
      <x:c r="M425" s="26" t="n">
        <x:v>1575</x:v>
      </x:c>
      <x:c r="N425" s="26" t="n">
        <x:v>-1575</x:v>
      </x:c>
      <x:c r="O425" s="26" t="n">
        <x:v>1575</x:v>
      </x:c>
      <x:c r="P425" s="26" t="n">
        <x:v>0</x:v>
      </x:c>
      <x:c r="Q425" s="26" t="n">
        <x:v>0</x:v>
      </x:c>
      <x:c r="R425" s="26" t="n">
        <x:v>0</x:v>
      </x:c>
      <x:c r="S425" s="26" t="n">
        <x:v>0</x:v>
      </x:c>
      <x:c r="T425" s="26" t="n">
        <x:v>0</x:v>
      </x:c>
      <x:c r="U425" s="26" t="n">
        <x:v>0</x:v>
      </x:c>
      <x:c r="V425" s="26" t="n">
        <x:v>0</x:v>
      </x:c>
      <x:c r="W425" s="26" t="n">
        <x:v>0</x:v>
      </x:c>
      <x:c r="X425" s="26" t="n">
        <x:v>0</x:v>
      </x:c>
      <x:c r="Y425" s="26" t="n">
        <x:v>0</x:v>
      </x:c>
      <x:c r="Z425" s="35" t="str">
        <x:v>Receipt allocated to FIN-00421</x:v>
      </x:c>
    </x:row>
    <x:row r="426">
      <x:c r="A426" s="20" t="str">
        <x:v>FIN-00423</x:v>
      </x:c>
      <x:c r="B426" s="23" t="n">
        <x:v>46539</x:v>
      </x:c>
      <x:c r="C426" s="23" t="n">
        <x:v>46539</x:v>
      </x:c>
      <x:c r="D426" s="20" t="str">
        <x:v>TenantCharge</x:v>
      </x:c>
      <x:c r="E426" s="20" t="str">
        <x:v>Rent</x:v>
      </x:c>
      <x:c r="F426" s="20" t="str">
        <x:v>P002</x:v>
      </x:c>
      <x:c r="G426" s="20" t="str">
        <x:v>U002</x:v>
      </x:c>
      <x:c r="H426" s="20" t="str">
        <x:v>L002</x:v>
      </x:c>
      <x:c r="I426" s="20" t="str">
        <x:v>Gray Lewis</x:v>
      </x:c>
      <x:c r="J426" s="35" t="str">
        <x:v>System scheduled charge</x:v>
      </x:c>
      <x:c r="K426" s="20" t="str"/>
      <x:c r="L426" s="20" t="str">
        <x:v>RENT-202706-L002</x:v>
      </x:c>
      <x:c r="M426" s="26" t="n">
        <x:v>1200</x:v>
      </x:c>
      <x:c r="N426" s="26" t="n">
        <x:v>1200</x:v>
      </x:c>
      <x:c r="O426" s="26" t="n">
        <x:v>0</x:v>
      </x:c>
      <x:c r="P426" s="26" t="n">
        <x:v>0</x:v>
      </x:c>
      <x:c r="Q426" s="26" t="n">
        <x:v>0</x:v>
      </x:c>
      <x:c r="R426" s="26" t="n">
        <x:v>0</x:v>
      </x:c>
      <x:c r="S426" s="26" t="n">
        <x:v>0</x:v>
      </x:c>
      <x:c r="T426" s="26" t="n">
        <x:v>1200</x:v>
      </x:c>
      <x:c r="U426" s="26" t="n">
        <x:v>0</x:v>
      </x:c>
      <x:c r="V426" s="26" t="n">
        <x:v>0</x:v>
      </x:c>
      <x:c r="W426" s="26" t="n">
        <x:v>0</x:v>
      </x:c>
      <x:c r="X426" s="26" t="n">
        <x:v>0</x:v>
      </x:c>
      <x:c r="Y426" s="26" t="n">
        <x:v>0</x:v>
      </x:c>
      <x:c r="Z426" s="35" t="str">
        <x:v>June 2027 rent</x:v>
      </x:c>
    </x:row>
    <x:row r="427">
      <x:c r="A427" s="20" t="str">
        <x:v>FIN-00424</x:v>
      </x:c>
      <x:c r="B427" s="23" t="n">
        <x:v>46543</x:v>
      </x:c>
      <x:c r="C427" s="23" t="n">
        <x:v>46543</x:v>
      </x:c>
      <x:c r="D427" s="20" t="str">
        <x:v>TenantReceipt</x:v>
      </x:c>
      <x:c r="E427" s="20" t="str">
        <x:v>Rent receipt</x:v>
      </x:c>
      <x:c r="F427" s="20" t="str">
        <x:v>P002</x:v>
      </x:c>
      <x:c r="G427" s="20" t="str">
        <x:v>U002</x:v>
      </x:c>
      <x:c r="H427" s="20" t="str">
        <x:v>L002</x:v>
      </x:c>
      <x:c r="I427" s="20" t="str">
        <x:v>Gray Lewis</x:v>
      </x:c>
      <x:c r="J427" s="35" t="str">
        <x:v>Manual ACH</x:v>
      </x:c>
      <x:c r="K427" s="20" t="str"/>
      <x:c r="L427" s="20" t="str">
        <x:v>PMT-20270605-L002</x:v>
      </x:c>
      <x:c r="M427" s="26" t="n">
        <x:v>1200</x:v>
      </x:c>
      <x:c r="N427" s="26" t="n">
        <x:v>-1200</x:v>
      </x:c>
      <x:c r="O427" s="26" t="n">
        <x:v>1200</x:v>
      </x:c>
      <x:c r="P427" s="26" t="n">
        <x:v>0</x:v>
      </x:c>
      <x:c r="Q427" s="26" t="n">
        <x:v>0</x:v>
      </x:c>
      <x:c r="R427" s="26" t="n">
        <x:v>0</x:v>
      </x:c>
      <x:c r="S427" s="26" t="n">
        <x:v>0</x:v>
      </x:c>
      <x:c r="T427" s="26" t="n">
        <x:v>0</x:v>
      </x:c>
      <x:c r="U427" s="26" t="n">
        <x:v>0</x:v>
      </x:c>
      <x:c r="V427" s="26" t="n">
        <x:v>0</x:v>
      </x:c>
      <x:c r="W427" s="26" t="n">
        <x:v>0</x:v>
      </x:c>
      <x:c r="X427" s="26" t="n">
        <x:v>0</x:v>
      </x:c>
      <x:c r="Y427" s="26" t="n">
        <x:v>0</x:v>
      </x:c>
      <x:c r="Z427" s="35" t="str">
        <x:v>Receipt allocated to FIN-00423</x:v>
      </x:c>
    </x:row>
    <x:row r="428">
      <x:c r="A428" s="20" t="str">
        <x:v>FIN-00425</x:v>
      </x:c>
      <x:c r="B428" s="23" t="n">
        <x:v>46539</x:v>
      </x:c>
      <x:c r="C428" s="23" t="n">
        <x:v>46539</x:v>
      </x:c>
      <x:c r="D428" s="20" t="str">
        <x:v>TenantCharge</x:v>
      </x:c>
      <x:c r="E428" s="20" t="str">
        <x:v>Rent</x:v>
      </x:c>
      <x:c r="F428" s="20" t="str">
        <x:v>P003</x:v>
      </x:c>
      <x:c r="G428" s="20" t="str">
        <x:v>U003</x:v>
      </x:c>
      <x:c r="H428" s="20" t="str">
        <x:v>L003</x:v>
      </x:c>
      <x:c r="I428" s="20" t="str">
        <x:v>Jordan Reed</x:v>
      </x:c>
      <x:c r="J428" s="35" t="str">
        <x:v>System scheduled charge</x:v>
      </x:c>
      <x:c r="K428" s="20" t="str"/>
      <x:c r="L428" s="20" t="str">
        <x:v>RENT-202706-L003</x:v>
      </x:c>
      <x:c r="M428" s="26" t="n">
        <x:v>1725</x:v>
      </x:c>
      <x:c r="N428" s="26" t="n">
        <x:v>1725</x:v>
      </x:c>
      <x:c r="O428" s="26" t="n">
        <x:v>0</x:v>
      </x:c>
      <x:c r="P428" s="26" t="n">
        <x:v>0</x:v>
      </x:c>
      <x:c r="Q428" s="26" t="n">
        <x:v>0</x:v>
      </x:c>
      <x:c r="R428" s="26" t="n">
        <x:v>0</x:v>
      </x:c>
      <x:c r="S428" s="26" t="n">
        <x:v>0</x:v>
      </x:c>
      <x:c r="T428" s="26" t="n">
        <x:v>1725</x:v>
      </x:c>
      <x:c r="U428" s="26" t="n">
        <x:v>0</x:v>
      </x:c>
      <x:c r="V428" s="26" t="n">
        <x:v>0</x:v>
      </x:c>
      <x:c r="W428" s="26" t="n">
        <x:v>0</x:v>
      </x:c>
      <x:c r="X428" s="26" t="n">
        <x:v>0</x:v>
      </x:c>
      <x:c r="Y428" s="26" t="n">
        <x:v>0</x:v>
      </x:c>
      <x:c r="Z428" s="35" t="str">
        <x:v>June 2027 rent</x:v>
      </x:c>
    </x:row>
    <x:row r="429">
      <x:c r="A429" s="20" t="str">
        <x:v>FIN-00426</x:v>
      </x:c>
      <x:c r="B429" s="23" t="n">
        <x:v>46541</x:v>
      </x:c>
      <x:c r="C429" s="23" t="n">
        <x:v>46541</x:v>
      </x:c>
      <x:c r="D429" s="20" t="str">
        <x:v>TenantReceipt</x:v>
      </x:c>
      <x:c r="E429" s="20" t="str">
        <x:v>Rent receipt</x:v>
      </x:c>
      <x:c r="F429" s="20" t="str">
        <x:v>P003</x:v>
      </x:c>
      <x:c r="G429" s="20" t="str">
        <x:v>U003</x:v>
      </x:c>
      <x:c r="H429" s="20" t="str">
        <x:v>L003</x:v>
      </x:c>
      <x:c r="I429" s="20" t="str">
        <x:v>Jordan Reed</x:v>
      </x:c>
      <x:c r="J429" s="35" t="str">
        <x:v>Portal card</x:v>
      </x:c>
      <x:c r="K429" s="20" t="str"/>
      <x:c r="L429" s="20" t="str">
        <x:v>PMT-20270603-L003</x:v>
      </x:c>
      <x:c r="M429" s="26" t="n">
        <x:v>1725</x:v>
      </x:c>
      <x:c r="N429" s="26" t="n">
        <x:v>-1725</x:v>
      </x:c>
      <x:c r="O429" s="26" t="n">
        <x:v>1725</x:v>
      </x:c>
      <x:c r="P429" s="26" t="n">
        <x:v>0</x:v>
      </x:c>
      <x:c r="Q429" s="26" t="n">
        <x:v>0</x:v>
      </x:c>
      <x:c r="R429" s="26" t="n">
        <x:v>0</x:v>
      </x:c>
      <x:c r="S429" s="26" t="n">
        <x:v>0</x:v>
      </x:c>
      <x:c r="T429" s="26" t="n">
        <x:v>0</x:v>
      </x:c>
      <x:c r="U429" s="26" t="n">
        <x:v>0</x:v>
      </x:c>
      <x:c r="V429" s="26" t="n">
        <x:v>0</x:v>
      </x:c>
      <x:c r="W429" s="26" t="n">
        <x:v>0</x:v>
      </x:c>
      <x:c r="X429" s="26" t="n">
        <x:v>0</x:v>
      </x:c>
      <x:c r="Y429" s="26" t="n">
        <x:v>0</x:v>
      </x:c>
      <x:c r="Z429" s="35" t="str">
        <x:v>Receipt allocated to FIN-00425</x:v>
      </x:c>
    </x:row>
    <x:row r="430">
      <x:c r="A430" s="20" t="str">
        <x:v>FIN-00427</x:v>
      </x:c>
      <x:c r="B430" s="23" t="n">
        <x:v>46539</x:v>
      </x:c>
      <x:c r="C430" s="23" t="n">
        <x:v>46539</x:v>
      </x:c>
      <x:c r="D430" s="20" t="str">
        <x:v>TenantCharge</x:v>
      </x:c>
      <x:c r="E430" s="20" t="str">
        <x:v>Rent</x:v>
      </x:c>
      <x:c r="F430" s="20" t="str">
        <x:v>P004</x:v>
      </x:c>
      <x:c r="G430" s="20" t="str">
        <x:v>U004</x:v>
      </x:c>
      <x:c r="H430" s="20" t="str">
        <x:v>L004</x:v>
      </x:c>
      <x:c r="I430" s="20" t="str">
        <x:v>Morgan Adams</x:v>
      </x:c>
      <x:c r="J430" s="35" t="str">
        <x:v>System scheduled charge</x:v>
      </x:c>
      <x:c r="K430" s="20" t="str"/>
      <x:c r="L430" s="20" t="str">
        <x:v>RENT-202706-L004</x:v>
      </x:c>
      <x:c r="M430" s="26" t="n">
        <x:v>1350</x:v>
      </x:c>
      <x:c r="N430" s="26" t="n">
        <x:v>1350</x:v>
      </x:c>
      <x:c r="O430" s="26" t="n">
        <x:v>0</x:v>
      </x:c>
      <x:c r="P430" s="26" t="n">
        <x:v>0</x:v>
      </x:c>
      <x:c r="Q430" s="26" t="n">
        <x:v>0</x:v>
      </x:c>
      <x:c r="R430" s="26" t="n">
        <x:v>0</x:v>
      </x:c>
      <x:c r="S430" s="26" t="n">
        <x:v>0</x:v>
      </x:c>
      <x:c r="T430" s="26" t="n">
        <x:v>1350</x:v>
      </x:c>
      <x:c r="U430" s="26" t="n">
        <x:v>0</x:v>
      </x:c>
      <x:c r="V430" s="26" t="n">
        <x:v>0</x:v>
      </x:c>
      <x:c r="W430" s="26" t="n">
        <x:v>0</x:v>
      </x:c>
      <x:c r="X430" s="26" t="n">
        <x:v>0</x:v>
      </x:c>
      <x:c r="Y430" s="26" t="n">
        <x:v>0</x:v>
      </x:c>
      <x:c r="Z430" s="35" t="str">
        <x:v>June 2027 rent</x:v>
      </x:c>
    </x:row>
    <x:row r="431">
      <x:c r="A431" s="20" t="str">
        <x:v>FIN-00428</x:v>
      </x:c>
      <x:c r="B431" s="23" t="n">
        <x:v>46542</x:v>
      </x:c>
      <x:c r="C431" s="23" t="n">
        <x:v>46542</x:v>
      </x:c>
      <x:c r="D431" s="20" t="str">
        <x:v>TenantReceipt</x:v>
      </x:c>
      <x:c r="E431" s="20" t="str">
        <x:v>Rent receipt</x:v>
      </x:c>
      <x:c r="F431" s="20" t="str">
        <x:v>P004</x:v>
      </x:c>
      <x:c r="G431" s="20" t="str">
        <x:v>U004</x:v>
      </x:c>
      <x:c r="H431" s="20" t="str">
        <x:v>L004</x:v>
      </x:c>
      <x:c r="I431" s="20" t="str">
        <x:v>Morgan Adams</x:v>
      </x:c>
      <x:c r="J431" s="35" t="str">
        <x:v>Scanned check</x:v>
      </x:c>
      <x:c r="K431" s="20" t="str">
        <x:v>SCN-0194</x:v>
      </x:c>
      <x:c r="L431" s="20" t="str">
        <x:v>PMT-20270604-L004</x:v>
      </x:c>
      <x:c r="M431" s="26" t="n">
        <x:v>1350</x:v>
      </x:c>
      <x:c r="N431" s="26" t="n">
        <x:v>-1350</x:v>
      </x:c>
      <x:c r="O431" s="26" t="n">
        <x:v>1350</x:v>
      </x:c>
      <x:c r="P431" s="26" t="n">
        <x:v>0</x:v>
      </x:c>
      <x:c r="Q431" s="26" t="n">
        <x:v>0</x:v>
      </x:c>
      <x:c r="R431" s="26" t="n">
        <x:v>0</x:v>
      </x:c>
      <x:c r="S431" s="26" t="n">
        <x:v>0</x:v>
      </x:c>
      <x:c r="T431" s="26" t="n">
        <x:v>0</x:v>
      </x:c>
      <x:c r="U431" s="26" t="n">
        <x:v>0</x:v>
      </x:c>
      <x:c r="V431" s="26" t="n">
        <x:v>0</x:v>
      </x:c>
      <x:c r="W431" s="26" t="n">
        <x:v>0</x:v>
      </x:c>
      <x:c r="X431" s="26" t="n">
        <x:v>0</x:v>
      </x:c>
      <x:c r="Y431" s="26" t="n">
        <x:v>0</x:v>
      </x:c>
      <x:c r="Z431" s="35" t="str">
        <x:v>Receipt allocated to FIN-00427</x:v>
      </x:c>
    </x:row>
    <x:row r="432">
      <x:c r="A432" s="20" t="str">
        <x:v>FIN-00429</x:v>
      </x:c>
      <x:c r="B432" s="23" t="n">
        <x:v>46539</x:v>
      </x:c>
      <x:c r="C432" s="23" t="n">
        <x:v>46539</x:v>
      </x:c>
      <x:c r="D432" s="20" t="str">
        <x:v>TenantCharge</x:v>
      </x:c>
      <x:c r="E432" s="20" t="str">
        <x:v>Rent</x:v>
      </x:c>
      <x:c r="F432" s="20" t="str">
        <x:v>P006</x:v>
      </x:c>
      <x:c r="G432" s="20" t="str">
        <x:v>U006</x:v>
      </x:c>
      <x:c r="H432" s="20" t="str">
        <x:v>L006</x:v>
      </x:c>
      <x:c r="I432" s="20" t="str">
        <x:v>Sage King</x:v>
      </x:c>
      <x:c r="J432" s="35" t="str">
        <x:v>System scheduled charge</x:v>
      </x:c>
      <x:c r="K432" s="20" t="str"/>
      <x:c r="L432" s="20" t="str">
        <x:v>RENT-202706-L006</x:v>
      </x:c>
      <x:c r="M432" s="26" t="n">
        <x:v>1500</x:v>
      </x:c>
      <x:c r="N432" s="26" t="n">
        <x:v>1500</x:v>
      </x:c>
      <x:c r="O432" s="26" t="n">
        <x:v>0</x:v>
      </x:c>
      <x:c r="P432" s="26" t="n">
        <x:v>0</x:v>
      </x:c>
      <x:c r="Q432" s="26" t="n">
        <x:v>0</x:v>
      </x:c>
      <x:c r="R432" s="26" t="n">
        <x:v>0</x:v>
      </x:c>
      <x:c r="S432" s="26" t="n">
        <x:v>0</x:v>
      </x:c>
      <x:c r="T432" s="26" t="n">
        <x:v>1500</x:v>
      </x:c>
      <x:c r="U432" s="26" t="n">
        <x:v>0</x:v>
      </x:c>
      <x:c r="V432" s="26" t="n">
        <x:v>0</x:v>
      </x:c>
      <x:c r="W432" s="26" t="n">
        <x:v>0</x:v>
      </x:c>
      <x:c r="X432" s="26" t="n">
        <x:v>0</x:v>
      </x:c>
      <x:c r="Y432" s="26" t="n">
        <x:v>0</x:v>
      </x:c>
      <x:c r="Z432" s="35" t="str">
        <x:v>June 2027 rent</x:v>
      </x:c>
    </x:row>
    <x:row r="433">
      <x:c r="A433" s="20" t="str">
        <x:v>FIN-00430</x:v>
      </x:c>
      <x:c r="B433" s="23" t="n">
        <x:v>46541</x:v>
      </x:c>
      <x:c r="C433" s="23" t="n">
        <x:v>46541</x:v>
      </x:c>
      <x:c r="D433" s="20" t="str">
        <x:v>TenantReceipt</x:v>
      </x:c>
      <x:c r="E433" s="20" t="str">
        <x:v>Rent receipt</x:v>
      </x:c>
      <x:c r="F433" s="20" t="str">
        <x:v>P006</x:v>
      </x:c>
      <x:c r="G433" s="20" t="str">
        <x:v>U006</x:v>
      </x:c>
      <x:c r="H433" s="20" t="str">
        <x:v>L006</x:v>
      </x:c>
      <x:c r="I433" s="20" t="str">
        <x:v>Sage King</x:v>
      </x:c>
      <x:c r="J433" s="35" t="str">
        <x:v>Manual ACH</x:v>
      </x:c>
      <x:c r="K433" s="20" t="str"/>
      <x:c r="L433" s="20" t="str">
        <x:v>PMT-20270603-L006</x:v>
      </x:c>
      <x:c r="M433" s="26" t="n">
        <x:v>1500</x:v>
      </x:c>
      <x:c r="N433" s="26" t="n">
        <x:v>-1500</x:v>
      </x:c>
      <x:c r="O433" s="26" t="n">
        <x:v>1500</x:v>
      </x:c>
      <x:c r="P433" s="26" t="n">
        <x:v>0</x:v>
      </x:c>
      <x:c r="Q433" s="26" t="n">
        <x:v>0</x:v>
      </x:c>
      <x:c r="R433" s="26" t="n">
        <x:v>0</x:v>
      </x:c>
      <x:c r="S433" s="26" t="n">
        <x:v>0</x:v>
      </x:c>
      <x:c r="T433" s="26" t="n">
        <x:v>0</x:v>
      </x:c>
      <x:c r="U433" s="26" t="n">
        <x:v>0</x:v>
      </x:c>
      <x:c r="V433" s="26" t="n">
        <x:v>0</x:v>
      </x:c>
      <x:c r="W433" s="26" t="n">
        <x:v>0</x:v>
      </x:c>
      <x:c r="X433" s="26" t="n">
        <x:v>0</x:v>
      </x:c>
      <x:c r="Y433" s="26" t="n">
        <x:v>0</x:v>
      </x:c>
      <x:c r="Z433" s="35" t="str">
        <x:v>Receipt allocated to FIN-00429</x:v>
      </x:c>
    </x:row>
    <x:row r="434">
      <x:c r="A434" s="20" t="str">
        <x:v>FIN-00431</x:v>
      </x:c>
      <x:c r="B434" s="23" t="n">
        <x:v>46539</x:v>
      </x:c>
      <x:c r="C434" s="23" t="n">
        <x:v>46539</x:v>
      </x:c>
      <x:c r="D434" s="20" t="str">
        <x:v>TenantCharge</x:v>
      </x:c>
      <x:c r="E434" s="20" t="str">
        <x:v>Rent</x:v>
      </x:c>
      <x:c r="F434" s="20" t="str">
        <x:v>P007</x:v>
      </x:c>
      <x:c r="G434" s="20" t="str">
        <x:v>U007</x:v>
      </x:c>
      <x:c r="H434" s="20" t="str">
        <x:v>L007</x:v>
      </x:c>
      <x:c r="I434" s="20" t="str">
        <x:v>Val Price</x:v>
      </x:c>
      <x:c r="J434" s="35" t="str">
        <x:v>System scheduled charge</x:v>
      </x:c>
      <x:c r="K434" s="20" t="str"/>
      <x:c r="L434" s="20" t="str">
        <x:v>RENT-202706-L007</x:v>
      </x:c>
      <x:c r="M434" s="26" t="n">
        <x:v>1125</x:v>
      </x:c>
      <x:c r="N434" s="26" t="n">
        <x:v>1125</x:v>
      </x:c>
      <x:c r="O434" s="26" t="n">
        <x:v>0</x:v>
      </x:c>
      <x:c r="P434" s="26" t="n">
        <x:v>0</x:v>
      </x:c>
      <x:c r="Q434" s="26" t="n">
        <x:v>0</x:v>
      </x:c>
      <x:c r="R434" s="26" t="n">
        <x:v>0</x:v>
      </x:c>
      <x:c r="S434" s="26" t="n">
        <x:v>0</x:v>
      </x:c>
      <x:c r="T434" s="26" t="n">
        <x:v>1125</x:v>
      </x:c>
      <x:c r="U434" s="26" t="n">
        <x:v>0</x:v>
      </x:c>
      <x:c r="V434" s="26" t="n">
        <x:v>0</x:v>
      </x:c>
      <x:c r="W434" s="26" t="n">
        <x:v>0</x:v>
      </x:c>
      <x:c r="X434" s="26" t="n">
        <x:v>0</x:v>
      </x:c>
      <x:c r="Y434" s="26" t="n">
        <x:v>0</x:v>
      </x:c>
      <x:c r="Z434" s="35" t="str">
        <x:v>June 2027 rent</x:v>
      </x:c>
    </x:row>
    <x:row r="435">
      <x:c r="A435" s="20" t="str">
        <x:v>FIN-00432</x:v>
      </x:c>
      <x:c r="B435" s="23" t="n">
        <x:v>46542</x:v>
      </x:c>
      <x:c r="C435" s="23" t="n">
        <x:v>46542</x:v>
      </x:c>
      <x:c r="D435" s="20" t="str">
        <x:v>TenantReceipt</x:v>
      </x:c>
      <x:c r="E435" s="20" t="str">
        <x:v>Rent receipt</x:v>
      </x:c>
      <x:c r="F435" s="20" t="str">
        <x:v>P007</x:v>
      </x:c>
      <x:c r="G435" s="20" t="str">
        <x:v>U007</x:v>
      </x:c>
      <x:c r="H435" s="20" t="str">
        <x:v>L007</x:v>
      </x:c>
      <x:c r="I435" s="20" t="str">
        <x:v>Val Price</x:v>
      </x:c>
      <x:c r="J435" s="35" t="str">
        <x:v>Portal card</x:v>
      </x:c>
      <x:c r="K435" s="20" t="str"/>
      <x:c r="L435" s="20" t="str">
        <x:v>PMT-20270604-L007</x:v>
      </x:c>
      <x:c r="M435" s="26" t="n">
        <x:v>1125</x:v>
      </x:c>
      <x:c r="N435" s="26" t="n">
        <x:v>-1125</x:v>
      </x:c>
      <x:c r="O435" s="26" t="n">
        <x:v>1125</x:v>
      </x:c>
      <x:c r="P435" s="26" t="n">
        <x:v>0</x:v>
      </x:c>
      <x:c r="Q435" s="26" t="n">
        <x:v>0</x:v>
      </x:c>
      <x:c r="R435" s="26" t="n">
        <x:v>0</x:v>
      </x:c>
      <x:c r="S435" s="26" t="n">
        <x:v>0</x:v>
      </x:c>
      <x:c r="T435" s="26" t="n">
        <x:v>0</x:v>
      </x:c>
      <x:c r="U435" s="26" t="n">
        <x:v>0</x:v>
      </x:c>
      <x:c r="V435" s="26" t="n">
        <x:v>0</x:v>
      </x:c>
      <x:c r="W435" s="26" t="n">
        <x:v>0</x:v>
      </x:c>
      <x:c r="X435" s="26" t="n">
        <x:v>0</x:v>
      </x:c>
      <x:c r="Y435" s="26" t="n">
        <x:v>0</x:v>
      </x:c>
      <x:c r="Z435" s="35" t="str">
        <x:v>Receipt allocated to FIN-00431</x:v>
      </x:c>
    </x:row>
    <x:row r="436">
      <x:c r="A436" s="20" t="str">
        <x:v>FIN-00433</x:v>
      </x:c>
      <x:c r="B436" s="23" t="n">
        <x:v>46539</x:v>
      </x:c>
      <x:c r="C436" s="23" t="n">
        <x:v>46539</x:v>
      </x:c>
      <x:c r="D436" s="20" t="str">
        <x:v>TenantCharge</x:v>
      </x:c>
      <x:c r="E436" s="20" t="str">
        <x:v>Rent</x:v>
      </x:c>
      <x:c r="F436" s="20" t="str">
        <x:v>P008</x:v>
      </x:c>
      <x:c r="G436" s="20" t="str">
        <x:v>U008</x:v>
      </x:c>
      <x:c r="H436" s="20" t="str">
        <x:v>L008</x:v>
      </x:c>
      <x:c r="I436" s="20" t="str">
        <x:v>Yara Brooks</x:v>
      </x:c>
      <x:c r="J436" s="35" t="str">
        <x:v>System scheduled charge</x:v>
      </x:c>
      <x:c r="K436" s="20" t="str"/>
      <x:c r="L436" s="20" t="str">
        <x:v>RENT-202706-L008</x:v>
      </x:c>
      <x:c r="M436" s="26" t="n">
        <x:v>1650</x:v>
      </x:c>
      <x:c r="N436" s="26" t="n">
        <x:v>1650</x:v>
      </x:c>
      <x:c r="O436" s="26" t="n">
        <x:v>0</x:v>
      </x:c>
      <x:c r="P436" s="26" t="n">
        <x:v>0</x:v>
      </x:c>
      <x:c r="Q436" s="26" t="n">
        <x:v>0</x:v>
      </x:c>
      <x:c r="R436" s="26" t="n">
        <x:v>0</x:v>
      </x:c>
      <x:c r="S436" s="26" t="n">
        <x:v>0</x:v>
      </x:c>
      <x:c r="T436" s="26" t="n">
        <x:v>1650</x:v>
      </x:c>
      <x:c r="U436" s="26" t="n">
        <x:v>0</x:v>
      </x:c>
      <x:c r="V436" s="26" t="n">
        <x:v>0</x:v>
      </x:c>
      <x:c r="W436" s="26" t="n">
        <x:v>0</x:v>
      </x:c>
      <x:c r="X436" s="26" t="n">
        <x:v>0</x:v>
      </x:c>
      <x:c r="Y436" s="26" t="n">
        <x:v>0</x:v>
      </x:c>
      <x:c r="Z436" s="35" t="str">
        <x:v>June 2027 rent</x:v>
      </x:c>
    </x:row>
    <x:row r="437">
      <x:c r="A437" s="20" t="str">
        <x:v>FIN-00434</x:v>
      </x:c>
      <x:c r="B437" s="23" t="n">
        <x:v>46543</x:v>
      </x:c>
      <x:c r="C437" s="23" t="n">
        <x:v>46543</x:v>
      </x:c>
      <x:c r="D437" s="20" t="str">
        <x:v>TenantReceipt</x:v>
      </x:c>
      <x:c r="E437" s="20" t="str">
        <x:v>Rent receipt</x:v>
      </x:c>
      <x:c r="F437" s="20" t="str">
        <x:v>P008</x:v>
      </x:c>
      <x:c r="G437" s="20" t="str">
        <x:v>U008</x:v>
      </x:c>
      <x:c r="H437" s="20" t="str">
        <x:v>L008</x:v>
      </x:c>
      <x:c r="I437" s="20" t="str">
        <x:v>Yara Brooks</x:v>
      </x:c>
      <x:c r="J437" s="35" t="str">
        <x:v>Scanned check</x:v>
      </x:c>
      <x:c r="K437" s="20" t="str">
        <x:v>SCN-0195</x:v>
      </x:c>
      <x:c r="L437" s="20" t="str">
        <x:v>PMT-20270605-L008</x:v>
      </x:c>
      <x:c r="M437" s="26" t="n">
        <x:v>1650</x:v>
      </x:c>
      <x:c r="N437" s="26" t="n">
        <x:v>-1650</x:v>
      </x:c>
      <x:c r="O437" s="26" t="n">
        <x:v>1650</x:v>
      </x:c>
      <x:c r="P437" s="26" t="n">
        <x:v>0</x:v>
      </x:c>
      <x:c r="Q437" s="26" t="n">
        <x:v>0</x:v>
      </x:c>
      <x:c r="R437" s="26" t="n">
        <x:v>0</x:v>
      </x:c>
      <x:c r="S437" s="26" t="n">
        <x:v>0</x:v>
      </x:c>
      <x:c r="T437" s="26" t="n">
        <x:v>0</x:v>
      </x:c>
      <x:c r="U437" s="26" t="n">
        <x:v>0</x:v>
      </x:c>
      <x:c r="V437" s="26" t="n">
        <x:v>0</x:v>
      </x:c>
      <x:c r="W437" s="26" t="n">
        <x:v>0</x:v>
      </x:c>
      <x:c r="X437" s="26" t="n">
        <x:v>0</x:v>
      </x:c>
      <x:c r="Y437" s="26" t="n">
        <x:v>0</x:v>
      </x:c>
      <x:c r="Z437" s="35" t="str">
        <x:v>Receipt allocated to FIN-00433</x:v>
      </x:c>
    </x:row>
    <x:row r="438">
      <x:c r="A438" s="20" t="str">
        <x:v>FIN-00435</x:v>
      </x:c>
      <x:c r="B438" s="23" t="n">
        <x:v>46539</x:v>
      </x:c>
      <x:c r="C438" s="23" t="n">
        <x:v>46539</x:v>
      </x:c>
      <x:c r="D438" s="20" t="str">
        <x:v>TenantCharge</x:v>
      </x:c>
      <x:c r="E438" s="20" t="str">
        <x:v>Rent</x:v>
      </x:c>
      <x:c r="F438" s="20" t="str">
        <x:v>P009</x:v>
      </x:c>
      <x:c r="G438" s="20" t="str">
        <x:v>U009</x:v>
      </x:c>
      <x:c r="H438" s="20" t="str">
        <x:v>L009</x:v>
      </x:c>
      <x:c r="I438" s="20" t="str">
        <x:v>Bennett Garcia</x:v>
      </x:c>
      <x:c r="J438" s="35" t="str">
        <x:v>System scheduled charge</x:v>
      </x:c>
      <x:c r="K438" s="20" t="str"/>
      <x:c r="L438" s="20" t="str">
        <x:v>RENT-202706-L009</x:v>
      </x:c>
      <x:c r="M438" s="26" t="n">
        <x:v>1275</x:v>
      </x:c>
      <x:c r="N438" s="26" t="n">
        <x:v>1275</x:v>
      </x:c>
      <x:c r="O438" s="26" t="n">
        <x:v>0</x:v>
      </x:c>
      <x:c r="P438" s="26" t="n">
        <x:v>0</x:v>
      </x:c>
      <x:c r="Q438" s="26" t="n">
        <x:v>0</x:v>
      </x:c>
      <x:c r="R438" s="26" t="n">
        <x:v>0</x:v>
      </x:c>
      <x:c r="S438" s="26" t="n">
        <x:v>0</x:v>
      </x:c>
      <x:c r="T438" s="26" t="n">
        <x:v>1275</x:v>
      </x:c>
      <x:c r="U438" s="26" t="n">
        <x:v>0</x:v>
      </x:c>
      <x:c r="V438" s="26" t="n">
        <x:v>0</x:v>
      </x:c>
      <x:c r="W438" s="26" t="n">
        <x:v>0</x:v>
      </x:c>
      <x:c r="X438" s="26" t="n">
        <x:v>0</x:v>
      </x:c>
      <x:c r="Y438" s="26" t="n">
        <x:v>0</x:v>
      </x:c>
      <x:c r="Z438" s="35" t="str">
        <x:v>June 2027 rent</x:v>
      </x:c>
    </x:row>
    <x:row r="439">
      <x:c r="A439" s="20" t="str">
        <x:v>FIN-00436</x:v>
      </x:c>
      <x:c r="B439" s="23" t="n">
        <x:v>46541</x:v>
      </x:c>
      <x:c r="C439" s="23" t="n">
        <x:v>46541</x:v>
      </x:c>
      <x:c r="D439" s="20" t="str">
        <x:v>TenantReceipt</x:v>
      </x:c>
      <x:c r="E439" s="20" t="str">
        <x:v>Rent receipt</x:v>
      </x:c>
      <x:c r="F439" s="20" t="str">
        <x:v>P009</x:v>
      </x:c>
      <x:c r="G439" s="20" t="str">
        <x:v>U009</x:v>
      </x:c>
      <x:c r="H439" s="20" t="str">
        <x:v>L009</x:v>
      </x:c>
      <x:c r="I439" s="20" t="str">
        <x:v>Bennett Garcia</x:v>
      </x:c>
      <x:c r="J439" s="35" t="str">
        <x:v>Scanned money order</x:v>
      </x:c>
      <x:c r="K439" s="20" t="str">
        <x:v>SCN-0196</x:v>
      </x:c>
      <x:c r="L439" s="20" t="str">
        <x:v>PMT-20270603-L009</x:v>
      </x:c>
      <x:c r="M439" s="26" t="n">
        <x:v>1275</x:v>
      </x:c>
      <x:c r="N439" s="26" t="n">
        <x:v>-1275</x:v>
      </x:c>
      <x:c r="O439" s="26" t="n">
        <x:v>1275</x:v>
      </x:c>
      <x:c r="P439" s="26" t="n">
        <x:v>0</x:v>
      </x:c>
      <x:c r="Q439" s="26" t="n">
        <x:v>0</x:v>
      </x:c>
      <x:c r="R439" s="26" t="n">
        <x:v>0</x:v>
      </x:c>
      <x:c r="S439" s="26" t="n">
        <x:v>0</x:v>
      </x:c>
      <x:c r="T439" s="26" t="n">
        <x:v>0</x:v>
      </x:c>
      <x:c r="U439" s="26" t="n">
        <x:v>0</x:v>
      </x:c>
      <x:c r="V439" s="26" t="n">
        <x:v>0</x:v>
      </x:c>
      <x:c r="W439" s="26" t="n">
        <x:v>0</x:v>
      </x:c>
      <x:c r="X439" s="26" t="n">
        <x:v>0</x:v>
      </x:c>
      <x:c r="Y439" s="26" t="n">
        <x:v>0</x:v>
      </x:c>
      <x:c r="Z439" s="35" t="str">
        <x:v>Receipt allocated to FIN-00435</x:v>
      </x:c>
    </x:row>
    <x:row r="440">
      <x:c r="A440" s="20" t="str">
        <x:v>FIN-00437</x:v>
      </x:c>
      <x:c r="B440" s="23" t="n">
        <x:v>46539</x:v>
      </x:c>
      <x:c r="C440" s="23" t="n">
        <x:v>46539</x:v>
      </x:c>
      <x:c r="D440" s="20" t="str">
        <x:v>TenantCharge</x:v>
      </x:c>
      <x:c r="E440" s="20" t="str">
        <x:v>Rent</x:v>
      </x:c>
      <x:c r="F440" s="20" t="str">
        <x:v>P010</x:v>
      </x:c>
      <x:c r="G440" s="20" t="str">
        <x:v>U010</x:v>
      </x:c>
      <x:c r="H440" s="20" t="str">
        <x:v>L010</x:v>
      </x:c>
      <x:c r="I440" s="20" t="str">
        <x:v>Elena Lewis</x:v>
      </x:c>
      <x:c r="J440" s="35" t="str">
        <x:v>System scheduled charge</x:v>
      </x:c>
      <x:c r="K440" s="20" t="str"/>
      <x:c r="L440" s="20" t="str">
        <x:v>RENT-202706-L010</x:v>
      </x:c>
      <x:c r="M440" s="26" t="n">
        <x:v>1800</x:v>
      </x:c>
      <x:c r="N440" s="26" t="n">
        <x:v>1800</x:v>
      </x:c>
      <x:c r="O440" s="26" t="n">
        <x:v>0</x:v>
      </x:c>
      <x:c r="P440" s="26" t="n">
        <x:v>0</x:v>
      </x:c>
      <x:c r="Q440" s="26" t="n">
        <x:v>0</x:v>
      </x:c>
      <x:c r="R440" s="26" t="n">
        <x:v>0</x:v>
      </x:c>
      <x:c r="S440" s="26" t="n">
        <x:v>0</x:v>
      </x:c>
      <x:c r="T440" s="26" t="n">
        <x:v>1800</x:v>
      </x:c>
      <x:c r="U440" s="26" t="n">
        <x:v>0</x:v>
      </x:c>
      <x:c r="V440" s="26" t="n">
        <x:v>0</x:v>
      </x:c>
      <x:c r="W440" s="26" t="n">
        <x:v>0</x:v>
      </x:c>
      <x:c r="X440" s="26" t="n">
        <x:v>0</x:v>
      </x:c>
      <x:c r="Y440" s="26" t="n">
        <x:v>0</x:v>
      </x:c>
      <x:c r="Z440" s="35" t="str">
        <x:v>June 2027 rent</x:v>
      </x:c>
    </x:row>
    <x:row r="441">
      <x:c r="A441" s="20" t="str">
        <x:v>FIN-00438</x:v>
      </x:c>
      <x:c r="B441" s="23" t="n">
        <x:v>46542</x:v>
      </x:c>
      <x:c r="C441" s="23" t="n">
        <x:v>46542</x:v>
      </x:c>
      <x:c r="D441" s="20" t="str">
        <x:v>TenantReceipt</x:v>
      </x:c>
      <x:c r="E441" s="20" t="str">
        <x:v>Rent receipt</x:v>
      </x:c>
      <x:c r="F441" s="20" t="str">
        <x:v>P010</x:v>
      </x:c>
      <x:c r="G441" s="20" t="str">
        <x:v>U010</x:v>
      </x:c>
      <x:c r="H441" s="20" t="str">
        <x:v>L010</x:v>
      </x:c>
      <x:c r="I441" s="20" t="str">
        <x:v>Elena Lewis</x:v>
      </x:c>
      <x:c r="J441" s="35" t="str">
        <x:v>Manual ACH</x:v>
      </x:c>
      <x:c r="K441" s="20" t="str"/>
      <x:c r="L441" s="20" t="str">
        <x:v>PMT-20270604-L010</x:v>
      </x:c>
      <x:c r="M441" s="26" t="n">
        <x:v>1800</x:v>
      </x:c>
      <x:c r="N441" s="26" t="n">
        <x:v>-1800</x:v>
      </x:c>
      <x:c r="O441" s="26" t="n">
        <x:v>1800</x:v>
      </x:c>
      <x:c r="P441" s="26" t="n">
        <x:v>0</x:v>
      </x:c>
      <x:c r="Q441" s="26" t="n">
        <x:v>0</x:v>
      </x:c>
      <x:c r="R441" s="26" t="n">
        <x:v>0</x:v>
      </x:c>
      <x:c r="S441" s="26" t="n">
        <x:v>0</x:v>
      </x:c>
      <x:c r="T441" s="26" t="n">
        <x:v>0</x:v>
      </x:c>
      <x:c r="U441" s="26" t="n">
        <x:v>0</x:v>
      </x:c>
      <x:c r="V441" s="26" t="n">
        <x:v>0</x:v>
      </x:c>
      <x:c r="W441" s="26" t="n">
        <x:v>0</x:v>
      </x:c>
      <x:c r="X441" s="26" t="n">
        <x:v>0</x:v>
      </x:c>
      <x:c r="Y441" s="26" t="n">
        <x:v>0</x:v>
      </x:c>
      <x:c r="Z441" s="35" t="str">
        <x:v>Receipt allocated to FIN-00437</x:v>
      </x:c>
    </x:row>
    <x:row r="442">
      <x:c r="A442" s="20" t="str">
        <x:v>FIN-00439</x:v>
      </x:c>
      <x:c r="B442" s="23" t="n">
        <x:v>46539</x:v>
      </x:c>
      <x:c r="C442" s="23" t="n">
        <x:v>46539</x:v>
      </x:c>
      <x:c r="D442" s="20" t="str">
        <x:v>TenantCharge</x:v>
      </x:c>
      <x:c r="E442" s="20" t="str">
        <x:v>Rent</x:v>
      </x:c>
      <x:c r="F442" s="20" t="str">
        <x:v>P011</x:v>
      </x:c>
      <x:c r="G442" s="20" t="str">
        <x:v>U011</x:v>
      </x:c>
      <x:c r="H442" s="20" t="str">
        <x:v>L011</x:v>
      </x:c>
      <x:c r="I442" s="20" t="str">
        <x:v>Hector Reed</x:v>
      </x:c>
      <x:c r="J442" s="35" t="str">
        <x:v>System scheduled charge</x:v>
      </x:c>
      <x:c r="K442" s="20" t="str"/>
      <x:c r="L442" s="20" t="str">
        <x:v>RENT-202706-L011</x:v>
      </x:c>
      <x:c r="M442" s="26" t="n">
        <x:v>1425</x:v>
      </x:c>
      <x:c r="N442" s="26" t="n">
        <x:v>1425</x:v>
      </x:c>
      <x:c r="O442" s="26" t="n">
        <x:v>0</x:v>
      </x:c>
      <x:c r="P442" s="26" t="n">
        <x:v>0</x:v>
      </x:c>
      <x:c r="Q442" s="26" t="n">
        <x:v>0</x:v>
      </x:c>
      <x:c r="R442" s="26" t="n">
        <x:v>0</x:v>
      </x:c>
      <x:c r="S442" s="26" t="n">
        <x:v>0</x:v>
      </x:c>
      <x:c r="T442" s="26" t="n">
        <x:v>1425</x:v>
      </x:c>
      <x:c r="U442" s="26" t="n">
        <x:v>0</x:v>
      </x:c>
      <x:c r="V442" s="26" t="n">
        <x:v>0</x:v>
      </x:c>
      <x:c r="W442" s="26" t="n">
        <x:v>0</x:v>
      </x:c>
      <x:c r="X442" s="26" t="n">
        <x:v>0</x:v>
      </x:c>
      <x:c r="Y442" s="26" t="n">
        <x:v>0</x:v>
      </x:c>
      <x:c r="Z442" s="35" t="str">
        <x:v>June 2027 rent</x:v>
      </x:c>
    </x:row>
    <x:row r="443">
      <x:c r="A443" s="20" t="str">
        <x:v>FIN-00440</x:v>
      </x:c>
      <x:c r="B443" s="23" t="n">
        <x:v>46541</x:v>
      </x:c>
      <x:c r="C443" s="23" t="n">
        <x:v>46541</x:v>
      </x:c>
      <x:c r="D443" s="20" t="str">
        <x:v>TenantReceipt</x:v>
      </x:c>
      <x:c r="E443" s="20" t="str">
        <x:v>Rent receipt</x:v>
      </x:c>
      <x:c r="F443" s="20" t="str">
        <x:v>P011</x:v>
      </x:c>
      <x:c r="G443" s="20" t="str">
        <x:v>U011</x:v>
      </x:c>
      <x:c r="H443" s="20" t="str">
        <x:v>L011</x:v>
      </x:c>
      <x:c r="I443" s="20" t="str">
        <x:v>Hector Reed</x:v>
      </x:c>
      <x:c r="J443" s="35" t="str">
        <x:v>Portal card</x:v>
      </x:c>
      <x:c r="K443" s="20" t="str"/>
      <x:c r="L443" s="20" t="str">
        <x:v>PMT-20270603-L011-A</x:v>
      </x:c>
      <x:c r="M443" s="26" t="n">
        <x:v>855</x:v>
      </x:c>
      <x:c r="N443" s="26" t="n">
        <x:v>-855</x:v>
      </x:c>
      <x:c r="O443" s="26" t="n">
        <x:v>855</x:v>
      </x:c>
      <x:c r="P443" s="26" t="n">
        <x:v>0</x:v>
      </x:c>
      <x:c r="Q443" s="26" t="n">
        <x:v>0</x:v>
      </x:c>
      <x:c r="R443" s="26" t="n">
        <x:v>0</x:v>
      </x:c>
      <x:c r="S443" s="26" t="n">
        <x:v>0</x:v>
      </x:c>
      <x:c r="T443" s="26" t="n">
        <x:v>0</x:v>
      </x:c>
      <x:c r="U443" s="26" t="n">
        <x:v>0</x:v>
      </x:c>
      <x:c r="V443" s="26" t="n">
        <x:v>0</x:v>
      </x:c>
      <x:c r="W443" s="26" t="n">
        <x:v>0</x:v>
      </x:c>
      <x:c r="X443" s="26" t="n">
        <x:v>0</x:v>
      </x:c>
      <x:c r="Y443" s="26" t="n">
        <x:v>0</x:v>
      </x:c>
      <x:c r="Z443" s="35" t="str">
        <x:v>Receipt allocated to FIN-00439</x:v>
      </x:c>
    </x:row>
    <x:row r="444">
      <x:c r="A444" s="20" t="str">
        <x:v>FIN-00441</x:v>
      </x:c>
      <x:c r="B444" s="23" t="n">
        <x:v>46544</x:v>
      </x:c>
      <x:c r="C444" s="23" t="n">
        <x:v>46544</x:v>
      </x:c>
      <x:c r="D444" s="20" t="str">
        <x:v>TenantCharge</x:v>
      </x:c>
      <x:c r="E444" s="20" t="str">
        <x:v>Late fee</x:v>
      </x:c>
      <x:c r="F444" s="20" t="str">
        <x:v>P011</x:v>
      </x:c>
      <x:c r="G444" s="20" t="str">
        <x:v>U011</x:v>
      </x:c>
      <x:c r="H444" s="20" t="str">
        <x:v>L011</x:v>
      </x:c>
      <x:c r="I444" s="20" t="str">
        <x:v>Hector Reed</x:v>
      </x:c>
      <x:c r="J444" s="35" t="str">
        <x:v>System automation</x:v>
      </x:c>
      <x:c r="K444" s="20" t="str"/>
      <x:c r="L444" s="20" t="str">
        <x:v>LATE-202706-L011</x:v>
      </x:c>
      <x:c r="M444" s="26" t="n">
        <x:v>50</x:v>
      </x:c>
      <x:c r="N444" s="26" t="n">
        <x:v>50</x:v>
      </x:c>
      <x:c r="O444" s="26" t="n">
        <x:v>0</x:v>
      </x:c>
      <x:c r="P444" s="26" t="n">
        <x:v>0</x:v>
      </x:c>
      <x:c r="Q444" s="26" t="n">
        <x:v>0</x:v>
      </x:c>
      <x:c r="R444" s="26" t="n">
        <x:v>0</x:v>
      </x:c>
      <x:c r="S444" s="26" t="n">
        <x:v>0</x:v>
      </x:c>
      <x:c r="T444" s="26" t="n">
        <x:v>50</x:v>
      </x:c>
      <x:c r="U444" s="26" t="n">
        <x:v>0</x:v>
      </x:c>
      <x:c r="V444" s="26" t="n">
        <x:v>0</x:v>
      </x:c>
      <x:c r="W444" s="26" t="n">
        <x:v>0</x:v>
      </x:c>
      <x:c r="X444" s="26" t="n">
        <x:v>0</x:v>
      </x:c>
      <x:c r="Y444" s="26" t="n">
        <x:v>0</x:v>
      </x:c>
      <x:c r="Z444" s="35" t="str">
        <x:v>Synthetic lease-authorized late fee after partial payment</x:v>
      </x:c>
    </x:row>
    <x:row r="445">
      <x:c r="A445" s="20" t="str">
        <x:v>FIN-00442</x:v>
      </x:c>
      <x:c r="B445" s="23" t="n">
        <x:v>46550</x:v>
      </x:c>
      <x:c r="C445" s="23" t="n">
        <x:v>46550</x:v>
      </x:c>
      <x:c r="D445" s="20" t="str">
        <x:v>TenantReceipt</x:v>
      </x:c>
      <x:c r="E445" s="20" t="str">
        <x:v>Rent receipt</x:v>
      </x:c>
      <x:c r="F445" s="20" t="str">
        <x:v>P011</x:v>
      </x:c>
      <x:c r="G445" s="20" t="str">
        <x:v>U011</x:v>
      </x:c>
      <x:c r="H445" s="20" t="str">
        <x:v>L011</x:v>
      </x:c>
      <x:c r="I445" s="20" t="str">
        <x:v>Hector Reed</x:v>
      </x:c>
      <x:c r="J445" s="35" t="str">
        <x:v>Scanned money order</x:v>
      </x:c>
      <x:c r="K445" s="20" t="str">
        <x:v>SCN-0197</x:v>
      </x:c>
      <x:c r="L445" s="20" t="str">
        <x:v>PMT-20270612-L011-B</x:v>
      </x:c>
      <x:c r="M445" s="26" t="n">
        <x:v>620</x:v>
      </x:c>
      <x:c r="N445" s="26" t="n">
        <x:v>-620</x:v>
      </x:c>
      <x:c r="O445" s="26" t="n">
        <x:v>620</x:v>
      </x:c>
      <x:c r="P445" s="26" t="n">
        <x:v>0</x:v>
      </x:c>
      <x:c r="Q445" s="26" t="n">
        <x:v>0</x:v>
      </x:c>
      <x:c r="R445" s="26" t="n">
        <x:v>0</x:v>
      </x:c>
      <x:c r="S445" s="26" t="n">
        <x:v>0</x:v>
      </x:c>
      <x:c r="T445" s="26" t="n">
        <x:v>0</x:v>
      </x:c>
      <x:c r="U445" s="26" t="n">
        <x:v>0</x:v>
      </x:c>
      <x:c r="V445" s="26" t="n">
        <x:v>0</x:v>
      </x:c>
      <x:c r="W445" s="26" t="n">
        <x:v>0</x:v>
      </x:c>
      <x:c r="X445" s="26" t="n">
        <x:v>0</x:v>
      </x:c>
      <x:c r="Y445" s="26" t="n">
        <x:v>0</x:v>
      </x:c>
      <x:c r="Z445" s="35" t="str">
        <x:v>Receipt allocated to FIN-00441</x:v>
      </x:c>
    </x:row>
    <x:row r="446">
      <x:c r="A446" s="20" t="str">
        <x:v>FIN-00443</x:v>
      </x:c>
      <x:c r="B446" s="23" t="n">
        <x:v>46539</x:v>
      </x:c>
      <x:c r="C446" s="23" t="n">
        <x:v>46539</x:v>
      </x:c>
      <x:c r="D446" s="20" t="str">
        <x:v>TenantCharge</x:v>
      </x:c>
      <x:c r="E446" s="20" t="str">
        <x:v>Rent</x:v>
      </x:c>
      <x:c r="F446" s="20" t="str">
        <x:v>P012</x:v>
      </x:c>
      <x:c r="G446" s="20" t="str">
        <x:v>U012</x:v>
      </x:c>
      <x:c r="H446" s="20" t="str">
        <x:v>L012</x:v>
      </x:c>
      <x:c r="I446" s="20" t="str">
        <x:v>Keira Adams</x:v>
      </x:c>
      <x:c r="J446" s="35" t="str">
        <x:v>System scheduled charge</x:v>
      </x:c>
      <x:c r="K446" s="20" t="str"/>
      <x:c r="L446" s="20" t="str">
        <x:v>RENT-202706-L012</x:v>
      </x:c>
      <x:c r="M446" s="26" t="n">
        <x:v>1050</x:v>
      </x:c>
      <x:c r="N446" s="26" t="n">
        <x:v>1050</x:v>
      </x:c>
      <x:c r="O446" s="26" t="n">
        <x:v>0</x:v>
      </x:c>
      <x:c r="P446" s="26" t="n">
        <x:v>0</x:v>
      </x:c>
      <x:c r="Q446" s="26" t="n">
        <x:v>0</x:v>
      </x:c>
      <x:c r="R446" s="26" t="n">
        <x:v>0</x:v>
      </x:c>
      <x:c r="S446" s="26" t="n">
        <x:v>0</x:v>
      </x:c>
      <x:c r="T446" s="26" t="n">
        <x:v>1050</x:v>
      </x:c>
      <x:c r="U446" s="26" t="n">
        <x:v>0</x:v>
      </x:c>
      <x:c r="V446" s="26" t="n">
        <x:v>0</x:v>
      </x:c>
      <x:c r="W446" s="26" t="n">
        <x:v>0</x:v>
      </x:c>
      <x:c r="X446" s="26" t="n">
        <x:v>0</x:v>
      </x:c>
      <x:c r="Y446" s="26" t="n">
        <x:v>0</x:v>
      </x:c>
      <x:c r="Z446" s="35" t="str">
        <x:v>June 2027 rent</x:v>
      </x:c>
    </x:row>
    <x:row r="447">
      <x:c r="A447" s="20" t="str">
        <x:v>FIN-00444</x:v>
      </x:c>
      <x:c r="B447" s="23" t="n">
        <x:v>46541</x:v>
      </x:c>
      <x:c r="C447" s="23" t="n">
        <x:v>46541</x:v>
      </x:c>
      <x:c r="D447" s="20" t="str">
        <x:v>TenantReceipt</x:v>
      </x:c>
      <x:c r="E447" s="20" t="str">
        <x:v>Rent receipt</x:v>
      </x:c>
      <x:c r="F447" s="20" t="str">
        <x:v>P012</x:v>
      </x:c>
      <x:c r="G447" s="20" t="str">
        <x:v>U012</x:v>
      </x:c>
      <x:c r="H447" s="20" t="str">
        <x:v>L012</x:v>
      </x:c>
      <x:c r="I447" s="20" t="str">
        <x:v>Keira Adams</x:v>
      </x:c>
      <x:c r="J447" s="35" t="str">
        <x:v>Scanned check</x:v>
      </x:c>
      <x:c r="K447" s="20" t="str">
        <x:v>SCN-0198</x:v>
      </x:c>
      <x:c r="L447" s="20" t="str">
        <x:v>PMT-20270603-L012</x:v>
      </x:c>
      <x:c r="M447" s="26" t="n">
        <x:v>1050</x:v>
      </x:c>
      <x:c r="N447" s="26" t="n">
        <x:v>-1050</x:v>
      </x:c>
      <x:c r="O447" s="26" t="n">
        <x:v>1050</x:v>
      </x:c>
      <x:c r="P447" s="26" t="n">
        <x:v>0</x:v>
      </x:c>
      <x:c r="Q447" s="26" t="n">
        <x:v>0</x:v>
      </x:c>
      <x:c r="R447" s="26" t="n">
        <x:v>0</x:v>
      </x:c>
      <x:c r="S447" s="26" t="n">
        <x:v>0</x:v>
      </x:c>
      <x:c r="T447" s="26" t="n">
        <x:v>0</x:v>
      </x:c>
      <x:c r="U447" s="26" t="n">
        <x:v>0</x:v>
      </x:c>
      <x:c r="V447" s="26" t="n">
        <x:v>0</x:v>
      </x:c>
      <x:c r="W447" s="26" t="n">
        <x:v>0</x:v>
      </x:c>
      <x:c r="X447" s="26" t="n">
        <x:v>0</x:v>
      </x:c>
      <x:c r="Y447" s="26" t="n">
        <x:v>0</x:v>
      </x:c>
      <x:c r="Z447" s="35" t="str">
        <x:v>Receipt allocated to FIN-00443</x:v>
      </x:c>
    </x:row>
    <x:row r="448">
      <x:c r="A448" s="20" t="str">
        <x:v>FIN-00445</x:v>
      </x:c>
      <x:c r="B448" s="23" t="n">
        <x:v>46539</x:v>
      </x:c>
      <x:c r="C448" s="23" t="n">
        <x:v>46539</x:v>
      </x:c>
      <x:c r="D448" s="20" t="str">
        <x:v>TenantCharge</x:v>
      </x:c>
      <x:c r="E448" s="20" t="str">
        <x:v>Rent</x:v>
      </x:c>
      <x:c r="F448" s="20" t="str">
        <x:v>P013</x:v>
      </x:c>
      <x:c r="G448" s="20" t="str">
        <x:v>U013</x:v>
      </x:c>
      <x:c r="H448" s="20" t="str">
        <x:v>L013</x:v>
      </x:c>
      <x:c r="I448" s="20" t="str">
        <x:v>Nolan Flores</x:v>
      </x:c>
      <x:c r="J448" s="35" t="str">
        <x:v>System scheduled charge</x:v>
      </x:c>
      <x:c r="K448" s="20" t="str"/>
      <x:c r="L448" s="20" t="str">
        <x:v>RENT-202706-L013</x:v>
      </x:c>
      <x:c r="M448" s="26" t="n">
        <x:v>1575</x:v>
      </x:c>
      <x:c r="N448" s="26" t="n">
        <x:v>1575</x:v>
      </x:c>
      <x:c r="O448" s="26" t="n">
        <x:v>0</x:v>
      </x:c>
      <x:c r="P448" s="26" t="n">
        <x:v>0</x:v>
      </x:c>
      <x:c r="Q448" s="26" t="n">
        <x:v>0</x:v>
      </x:c>
      <x:c r="R448" s="26" t="n">
        <x:v>0</x:v>
      </x:c>
      <x:c r="S448" s="26" t="n">
        <x:v>0</x:v>
      </x:c>
      <x:c r="T448" s="26" t="n">
        <x:v>1575</x:v>
      </x:c>
      <x:c r="U448" s="26" t="n">
        <x:v>0</x:v>
      </x:c>
      <x:c r="V448" s="26" t="n">
        <x:v>0</x:v>
      </x:c>
      <x:c r="W448" s="26" t="n">
        <x:v>0</x:v>
      </x:c>
      <x:c r="X448" s="26" t="n">
        <x:v>0</x:v>
      </x:c>
      <x:c r="Y448" s="26" t="n">
        <x:v>0</x:v>
      </x:c>
      <x:c r="Z448" s="35" t="str">
        <x:v>June 2027 rent</x:v>
      </x:c>
    </x:row>
    <x:row r="449">
      <x:c r="A449" s="20" t="str">
        <x:v>FIN-00446</x:v>
      </x:c>
      <x:c r="B449" s="23" t="n">
        <x:v>46544</x:v>
      </x:c>
      <x:c r="C449" s="23" t="n">
        <x:v>46544</x:v>
      </x:c>
      <x:c r="D449" s="20" t="str">
        <x:v>TenantCharge</x:v>
      </x:c>
      <x:c r="E449" s="20" t="str">
        <x:v>Late fee</x:v>
      </x:c>
      <x:c r="F449" s="20" t="str">
        <x:v>P013</x:v>
      </x:c>
      <x:c r="G449" s="20" t="str">
        <x:v>U013</x:v>
      </x:c>
      <x:c r="H449" s="20" t="str">
        <x:v>L013</x:v>
      </x:c>
      <x:c r="I449" s="20" t="str">
        <x:v>Nolan Flores</x:v>
      </x:c>
      <x:c r="J449" s="35" t="str">
        <x:v>System automation</x:v>
      </x:c>
      <x:c r="K449" s="20" t="str"/>
      <x:c r="L449" s="20" t="str">
        <x:v>LATE-202706-L013</x:v>
      </x:c>
      <x:c r="M449" s="26" t="n">
        <x:v>50</x:v>
      </x:c>
      <x:c r="N449" s="26" t="n">
        <x:v>50</x:v>
      </x:c>
      <x:c r="O449" s="26" t="n">
        <x:v>0</x:v>
      </x:c>
      <x:c r="P449" s="26" t="n">
        <x:v>0</x:v>
      </x:c>
      <x:c r="Q449" s="26" t="n">
        <x:v>0</x:v>
      </x:c>
      <x:c r="R449" s="26" t="n">
        <x:v>0</x:v>
      </x:c>
      <x:c r="S449" s="26" t="n">
        <x:v>0</x:v>
      </x:c>
      <x:c r="T449" s="26" t="n">
        <x:v>50</x:v>
      </x:c>
      <x:c r="U449" s="26" t="n">
        <x:v>0</x:v>
      </x:c>
      <x:c r="V449" s="26" t="n">
        <x:v>0</x:v>
      </x:c>
      <x:c r="W449" s="26" t="n">
        <x:v>0</x:v>
      </x:c>
      <x:c r="X449" s="26" t="n">
        <x:v>0</x:v>
      </x:c>
      <x:c r="Y449" s="26" t="n">
        <x:v>0</x:v>
      </x:c>
      <x:c r="Z449" s="35" t="str">
        <x:v>Synthetic lease-authorized late fee</x:v>
      </x:c>
    </x:row>
    <x:row r="450">
      <x:c r="A450" s="20" t="str">
        <x:v>FIN-00447</x:v>
      </x:c>
      <x:c r="B450" s="23" t="n">
        <x:v>46546</x:v>
      </x:c>
      <x:c r="C450" s="23" t="n">
        <x:v>46546</x:v>
      </x:c>
      <x:c r="D450" s="20" t="str">
        <x:v>TenantReceipt</x:v>
      </x:c>
      <x:c r="E450" s="20" t="str">
        <x:v>Rent receipt</x:v>
      </x:c>
      <x:c r="F450" s="20" t="str">
        <x:v>P013</x:v>
      </x:c>
      <x:c r="G450" s="20" t="str">
        <x:v>U013</x:v>
      </x:c>
      <x:c r="H450" s="20" t="str">
        <x:v>L013</x:v>
      </x:c>
      <x:c r="I450" s="20" t="str">
        <x:v>Nolan Flores</x:v>
      </x:c>
      <x:c r="J450" s="35" t="str">
        <x:v>Scanned check</x:v>
      </x:c>
      <x:c r="K450" s="20" t="str">
        <x:v>SCN-0199</x:v>
      </x:c>
      <x:c r="L450" s="20" t="str">
        <x:v>PMT-20270608-L013</x:v>
      </x:c>
      <x:c r="M450" s="26" t="n">
        <x:v>1625</x:v>
      </x:c>
      <x:c r="N450" s="26" t="n">
        <x:v>-1625</x:v>
      </x:c>
      <x:c r="O450" s="26" t="n">
        <x:v>1625</x:v>
      </x:c>
      <x:c r="P450" s="26" t="n">
        <x:v>0</x:v>
      </x:c>
      <x:c r="Q450" s="26" t="n">
        <x:v>0</x:v>
      </x:c>
      <x:c r="R450" s="26" t="n">
        <x:v>0</x:v>
      </x:c>
      <x:c r="S450" s="26" t="n">
        <x:v>0</x:v>
      </x:c>
      <x:c r="T450" s="26" t="n">
        <x:v>0</x:v>
      </x:c>
      <x:c r="U450" s="26" t="n">
        <x:v>0</x:v>
      </x:c>
      <x:c r="V450" s="26" t="n">
        <x:v>0</x:v>
      </x:c>
      <x:c r="W450" s="26" t="n">
        <x:v>0</x:v>
      </x:c>
      <x:c r="X450" s="26" t="n">
        <x:v>0</x:v>
      </x:c>
      <x:c r="Y450" s="26" t="n">
        <x:v>0</x:v>
      </x:c>
      <x:c r="Z450" s="35" t="str">
        <x:v>Receipt allocated to FIN-00446</x:v>
      </x:c>
    </x:row>
    <x:row r="451">
      <x:c r="A451" s="20" t="str">
        <x:v>FIN-00448</x:v>
      </x:c>
      <x:c r="B451" s="23" t="n">
        <x:v>46539</x:v>
      </x:c>
      <x:c r="C451" s="23" t="n">
        <x:v>46539</x:v>
      </x:c>
      <x:c r="D451" s="20" t="str">
        <x:v>TenantCharge</x:v>
      </x:c>
      <x:c r="E451" s="20" t="str">
        <x:v>Rent</x:v>
      </x:c>
      <x:c r="F451" s="20" t="str">
        <x:v>P015</x:v>
      </x:c>
      <x:c r="G451" s="20" t="str">
        <x:v>U015</x:v>
      </x:c>
      <x:c r="H451" s="20" t="str">
        <x:v>L015</x:v>
      </x:c>
      <x:c r="I451" s="20" t="str">
        <x:v>Uri Price</x:v>
      </x:c>
      <x:c r="J451" s="35" t="str">
        <x:v>System scheduled charge</x:v>
      </x:c>
      <x:c r="K451" s="20" t="str"/>
      <x:c r="L451" s="20" t="str">
        <x:v>RENT-202706-L015</x:v>
      </x:c>
      <x:c r="M451" s="26" t="n">
        <x:v>1725</x:v>
      </x:c>
      <x:c r="N451" s="26" t="n">
        <x:v>1725</x:v>
      </x:c>
      <x:c r="O451" s="26" t="n">
        <x:v>0</x:v>
      </x:c>
      <x:c r="P451" s="26" t="n">
        <x:v>0</x:v>
      </x:c>
      <x:c r="Q451" s="26" t="n">
        <x:v>0</x:v>
      </x:c>
      <x:c r="R451" s="26" t="n">
        <x:v>0</x:v>
      </x:c>
      <x:c r="S451" s="26" t="n">
        <x:v>0</x:v>
      </x:c>
      <x:c r="T451" s="26" t="n">
        <x:v>1725</x:v>
      </x:c>
      <x:c r="U451" s="26" t="n">
        <x:v>0</x:v>
      </x:c>
      <x:c r="V451" s="26" t="n">
        <x:v>0</x:v>
      </x:c>
      <x:c r="W451" s="26" t="n">
        <x:v>0</x:v>
      </x:c>
      <x:c r="X451" s="26" t="n">
        <x:v>0</x:v>
      </x:c>
      <x:c r="Y451" s="26" t="n">
        <x:v>0</x:v>
      </x:c>
      <x:c r="Z451" s="35" t="str">
        <x:v>June 2027 rent</x:v>
      </x:c>
    </x:row>
    <x:row r="452">
      <x:c r="A452" s="20" t="str">
        <x:v>FIN-00449</x:v>
      </x:c>
      <x:c r="B452" s="23" t="n">
        <x:v>46541</x:v>
      </x:c>
      <x:c r="C452" s="23" t="n">
        <x:v>46541</x:v>
      </x:c>
      <x:c r="D452" s="20" t="str">
        <x:v>TenantReceipt</x:v>
      </x:c>
      <x:c r="E452" s="20" t="str">
        <x:v>Rent receipt</x:v>
      </x:c>
      <x:c r="F452" s="20" t="str">
        <x:v>P015</x:v>
      </x:c>
      <x:c r="G452" s="20" t="str">
        <x:v>U015</x:v>
      </x:c>
      <x:c r="H452" s="20" t="str">
        <x:v>L015</x:v>
      </x:c>
      <x:c r="I452" s="20" t="str">
        <x:v>Uri Price</x:v>
      </x:c>
      <x:c r="J452" s="35" t="str">
        <x:v>Portal card</x:v>
      </x:c>
      <x:c r="K452" s="20" t="str"/>
      <x:c r="L452" s="20" t="str">
        <x:v>PMT-20270603-L015</x:v>
      </x:c>
      <x:c r="M452" s="26" t="n">
        <x:v>1725</x:v>
      </x:c>
      <x:c r="N452" s="26" t="n">
        <x:v>-1725</x:v>
      </x:c>
      <x:c r="O452" s="26" t="n">
        <x:v>1725</x:v>
      </x:c>
      <x:c r="P452" s="26" t="n">
        <x:v>0</x:v>
      </x:c>
      <x:c r="Q452" s="26" t="n">
        <x:v>0</x:v>
      </x:c>
      <x:c r="R452" s="26" t="n">
        <x:v>0</x:v>
      </x:c>
      <x:c r="S452" s="26" t="n">
        <x:v>0</x:v>
      </x:c>
      <x:c r="T452" s="26" t="n">
        <x:v>0</x:v>
      </x:c>
      <x:c r="U452" s="26" t="n">
        <x:v>0</x:v>
      </x:c>
      <x:c r="V452" s="26" t="n">
        <x:v>0</x:v>
      </x:c>
      <x:c r="W452" s="26" t="n">
        <x:v>0</x:v>
      </x:c>
      <x:c r="X452" s="26" t="n">
        <x:v>0</x:v>
      </x:c>
      <x:c r="Y452" s="26" t="n">
        <x:v>0</x:v>
      </x:c>
      <x:c r="Z452" s="35" t="str">
        <x:v>Receipt allocated to FIN-00448</x:v>
      </x:c>
    </x:row>
    <x:row r="453">
      <x:c r="A453" s="20" t="str">
        <x:v>FIN-00450</x:v>
      </x:c>
      <x:c r="B453" s="23" t="n">
        <x:v>46539</x:v>
      </x:c>
      <x:c r="C453" s="23" t="n">
        <x:v>46539</x:v>
      </x:c>
      <x:c r="D453" s="20" t="str">
        <x:v>TenantCharge</x:v>
      </x:c>
      <x:c r="E453" s="20" t="str">
        <x:v>Rent</x:v>
      </x:c>
      <x:c r="F453" s="20" t="str">
        <x:v>P016</x:v>
      </x:c>
      <x:c r="G453" s="20" t="str">
        <x:v>U016</x:v>
      </x:c>
      <x:c r="H453" s="20" t="str">
        <x:v>L016</x:v>
      </x:c>
      <x:c r="I453" s="20" t="str">
        <x:v>Avery Brooks</x:v>
      </x:c>
      <x:c r="J453" s="35" t="str">
        <x:v>System scheduled charge</x:v>
      </x:c>
      <x:c r="K453" s="20" t="str"/>
      <x:c r="L453" s="20" t="str">
        <x:v>RENT-202706-L016</x:v>
      </x:c>
      <x:c r="M453" s="26" t="n">
        <x:v>1350</x:v>
      </x:c>
      <x:c r="N453" s="26" t="n">
        <x:v>1350</x:v>
      </x:c>
      <x:c r="O453" s="26" t="n">
        <x:v>0</x:v>
      </x:c>
      <x:c r="P453" s="26" t="n">
        <x:v>0</x:v>
      </x:c>
      <x:c r="Q453" s="26" t="n">
        <x:v>0</x:v>
      </x:c>
      <x:c r="R453" s="26" t="n">
        <x:v>0</x:v>
      </x:c>
      <x:c r="S453" s="26" t="n">
        <x:v>0</x:v>
      </x:c>
      <x:c r="T453" s="26" t="n">
        <x:v>1350</x:v>
      </x:c>
      <x:c r="U453" s="26" t="n">
        <x:v>0</x:v>
      </x:c>
      <x:c r="V453" s="26" t="n">
        <x:v>0</x:v>
      </x:c>
      <x:c r="W453" s="26" t="n">
        <x:v>0</x:v>
      </x:c>
      <x:c r="X453" s="26" t="n">
        <x:v>0</x:v>
      </x:c>
      <x:c r="Y453" s="26" t="n">
        <x:v>0</x:v>
      </x:c>
      <x:c r="Z453" s="35" t="str">
        <x:v>June 2027 rent</x:v>
      </x:c>
    </x:row>
    <x:row r="454">
      <x:c r="A454" s="20" t="str">
        <x:v>FIN-00451</x:v>
      </x:c>
      <x:c r="B454" s="23" t="n">
        <x:v>46542</x:v>
      </x:c>
      <x:c r="C454" s="23" t="n">
        <x:v>46542</x:v>
      </x:c>
      <x:c r="D454" s="20" t="str">
        <x:v>TenantReceipt</x:v>
      </x:c>
      <x:c r="E454" s="20" t="str">
        <x:v>Rent receipt</x:v>
      </x:c>
      <x:c r="F454" s="20" t="str">
        <x:v>P016</x:v>
      </x:c>
      <x:c r="G454" s="20" t="str">
        <x:v>U016</x:v>
      </x:c>
      <x:c r="H454" s="20" t="str">
        <x:v>L016</x:v>
      </x:c>
      <x:c r="I454" s="20" t="str">
        <x:v>Avery Brooks</x:v>
      </x:c>
      <x:c r="J454" s="35" t="str">
        <x:v>Scanned check</x:v>
      </x:c>
      <x:c r="K454" s="20" t="str">
        <x:v>SCN-0200</x:v>
      </x:c>
      <x:c r="L454" s="20" t="str">
        <x:v>PMT-20270604-L016</x:v>
      </x:c>
      <x:c r="M454" s="26" t="n">
        <x:v>1350</x:v>
      </x:c>
      <x:c r="N454" s="26" t="n">
        <x:v>-1350</x:v>
      </x:c>
      <x:c r="O454" s="26" t="n">
        <x:v>1350</x:v>
      </x:c>
      <x:c r="P454" s="26" t="n">
        <x:v>0</x:v>
      </x:c>
      <x:c r="Q454" s="26" t="n">
        <x:v>0</x:v>
      </x:c>
      <x:c r="R454" s="26" t="n">
        <x:v>0</x:v>
      </x:c>
      <x:c r="S454" s="26" t="n">
        <x:v>0</x:v>
      </x:c>
      <x:c r="T454" s="26" t="n">
        <x:v>0</x:v>
      </x:c>
      <x:c r="U454" s="26" t="n">
        <x:v>0</x:v>
      </x:c>
      <x:c r="V454" s="26" t="n">
        <x:v>0</x:v>
      </x:c>
      <x:c r="W454" s="26" t="n">
        <x:v>0</x:v>
      </x:c>
      <x:c r="X454" s="26" t="n">
        <x:v>0</x:v>
      </x:c>
      <x:c r="Y454" s="26" t="n">
        <x:v>0</x:v>
      </x:c>
      <x:c r="Z454" s="35" t="str">
        <x:v>Receipt allocated to FIN-00450</x:v>
      </x:c>
    </x:row>
    <x:row r="455">
      <x:c r="A455" s="20" t="str">
        <x:v>FIN-00452</x:v>
      </x:c>
      <x:c r="B455" s="23" t="n">
        <x:v>46539</x:v>
      </x:c>
      <x:c r="C455" s="23" t="n">
        <x:v>46539</x:v>
      </x:c>
      <x:c r="D455" s="20" t="str">
        <x:v>TenantCharge</x:v>
      </x:c>
      <x:c r="E455" s="20" t="str">
        <x:v>Rent</x:v>
      </x:c>
      <x:c r="F455" s="20" t="str">
        <x:v>P017</x:v>
      </x:c>
      <x:c r="G455" s="20" t="str">
        <x:v>U017</x:v>
      </x:c>
      <x:c r="H455" s="20" t="str">
        <x:v>L017</x:v>
      </x:c>
      <x:c r="I455" s="20" t="str">
        <x:v>Dana Garcia</x:v>
      </x:c>
      <x:c r="J455" s="35" t="str">
        <x:v>System scheduled charge</x:v>
      </x:c>
      <x:c r="K455" s="20" t="str"/>
      <x:c r="L455" s="20" t="str">
        <x:v>RENT-202706-L017</x:v>
      </x:c>
      <x:c r="M455" s="26" t="n">
        <x:v>1875</x:v>
      </x:c>
      <x:c r="N455" s="26" t="n">
        <x:v>1875</x:v>
      </x:c>
      <x:c r="O455" s="26" t="n">
        <x:v>0</x:v>
      </x:c>
      <x:c r="P455" s="26" t="n">
        <x:v>0</x:v>
      </x:c>
      <x:c r="Q455" s="26" t="n">
        <x:v>0</x:v>
      </x:c>
      <x:c r="R455" s="26" t="n">
        <x:v>0</x:v>
      </x:c>
      <x:c r="S455" s="26" t="n">
        <x:v>0</x:v>
      </x:c>
      <x:c r="T455" s="26" t="n">
        <x:v>1875</x:v>
      </x:c>
      <x:c r="U455" s="26" t="n">
        <x:v>0</x:v>
      </x:c>
      <x:c r="V455" s="26" t="n">
        <x:v>0</x:v>
      </x:c>
      <x:c r="W455" s="26" t="n">
        <x:v>0</x:v>
      </x:c>
      <x:c r="X455" s="26" t="n">
        <x:v>0</x:v>
      </x:c>
      <x:c r="Y455" s="26" t="n">
        <x:v>0</x:v>
      </x:c>
      <x:c r="Z455" s="35" t="str">
        <x:v>June 2027 rent</x:v>
      </x:c>
    </x:row>
    <x:row r="456">
      <x:c r="A456" s="20" t="str">
        <x:v>FIN-00453</x:v>
      </x:c>
      <x:c r="B456" s="23" t="n">
        <x:v>46553</x:v>
      </x:c>
      <x:c r="C456" s="23" t="n">
        <x:v>46553</x:v>
      </x:c>
      <x:c r="D456" s="20" t="str">
        <x:v>TenantReceipt</x:v>
      </x:c>
      <x:c r="E456" s="20" t="str">
        <x:v>Rent receipt</x:v>
      </x:c>
      <x:c r="F456" s="20" t="str">
        <x:v>P017</x:v>
      </x:c>
      <x:c r="G456" s="20" t="str">
        <x:v>U017</x:v>
      </x:c>
      <x:c r="H456" s="20" t="str">
        <x:v>L017</x:v>
      </x:c>
      <x:c r="I456" s="20" t="str">
        <x:v>Dana Garcia</x:v>
      </x:c>
      <x:c r="J456" s="35" t="str">
        <x:v>Scanned money order</x:v>
      </x:c>
      <x:c r="K456" s="20" t="str">
        <x:v>SCN-0201</x:v>
      </x:c>
      <x:c r="L456" s="20" t="str">
        <x:v>PMT-20270615-L017-PART</x:v>
      </x:c>
      <x:c r="M456" s="26" t="n">
        <x:v>300</x:v>
      </x:c>
      <x:c r="N456" s="26" t="n">
        <x:v>-300</x:v>
      </x:c>
      <x:c r="O456" s="26" t="n">
        <x:v>300</x:v>
      </x:c>
      <x:c r="P456" s="26" t="n">
        <x:v>0</x:v>
      </x:c>
      <x:c r="Q456" s="26" t="n">
        <x:v>0</x:v>
      </x:c>
      <x:c r="R456" s="26" t="n">
        <x:v>0</x:v>
      </x:c>
      <x:c r="S456" s="26" t="n">
        <x:v>0</x:v>
      </x:c>
      <x:c r="T456" s="26" t="n">
        <x:v>0</x:v>
      </x:c>
      <x:c r="U456" s="26" t="n">
        <x:v>0</x:v>
      </x:c>
      <x:c r="V456" s="26" t="n">
        <x:v>0</x:v>
      </x:c>
      <x:c r="W456" s="26" t="n">
        <x:v>0</x:v>
      </x:c>
      <x:c r="X456" s="26" t="n">
        <x:v>0</x:v>
      </x:c>
      <x:c r="Y456" s="26" t="n">
        <x:v>0</x:v>
      </x:c>
      <x:c r="Z456" s="35" t="str">
        <x:v>Receipt allocated to FIN-00452</x:v>
      </x:c>
    </x:row>
    <x:row r="457">
      <x:c r="A457" s="20" t="str">
        <x:v>FIN-00454</x:v>
      </x:c>
      <x:c r="B457" s="23" t="n">
        <x:v>46539</x:v>
      </x:c>
      <x:c r="C457" s="23" t="n">
        <x:v>46539</x:v>
      </x:c>
      <x:c r="D457" s="20" t="str">
        <x:v>TenantCharge</x:v>
      </x:c>
      <x:c r="E457" s="20" t="str">
        <x:v>Rent</x:v>
      </x:c>
      <x:c r="F457" s="20" t="str">
        <x:v>P018</x:v>
      </x:c>
      <x:c r="G457" s="20" t="str">
        <x:v>U018</x:v>
      </x:c>
      <x:c r="H457" s="20" t="str">
        <x:v>L018</x:v>
      </x:c>
      <x:c r="I457" s="20" t="str">
        <x:v>Gray Lewis</x:v>
      </x:c>
      <x:c r="J457" s="35" t="str">
        <x:v>System scheduled charge</x:v>
      </x:c>
      <x:c r="K457" s="20" t="str"/>
      <x:c r="L457" s="20" t="str">
        <x:v>RENT-202706-L018</x:v>
      </x:c>
      <x:c r="M457" s="26" t="n">
        <x:v>1500</x:v>
      </x:c>
      <x:c r="N457" s="26" t="n">
        <x:v>1500</x:v>
      </x:c>
      <x:c r="O457" s="26" t="n">
        <x:v>0</x:v>
      </x:c>
      <x:c r="P457" s="26" t="n">
        <x:v>0</x:v>
      </x:c>
      <x:c r="Q457" s="26" t="n">
        <x:v>0</x:v>
      </x:c>
      <x:c r="R457" s="26" t="n">
        <x:v>0</x:v>
      </x:c>
      <x:c r="S457" s="26" t="n">
        <x:v>0</x:v>
      </x:c>
      <x:c r="T457" s="26" t="n">
        <x:v>1500</x:v>
      </x:c>
      <x:c r="U457" s="26" t="n">
        <x:v>0</x:v>
      </x:c>
      <x:c r="V457" s="26" t="n">
        <x:v>0</x:v>
      </x:c>
      <x:c r="W457" s="26" t="n">
        <x:v>0</x:v>
      </x:c>
      <x:c r="X457" s="26" t="n">
        <x:v>0</x:v>
      </x:c>
      <x:c r="Y457" s="26" t="n">
        <x:v>0</x:v>
      </x:c>
      <x:c r="Z457" s="35" t="str">
        <x:v>June 2027 rent</x:v>
      </x:c>
    </x:row>
    <x:row r="458">
      <x:c r="A458" s="20" t="str">
        <x:v>FIN-00455</x:v>
      </x:c>
      <x:c r="B458" s="23" t="n">
        <x:v>46541</x:v>
      </x:c>
      <x:c r="C458" s="23" t="n">
        <x:v>46541</x:v>
      </x:c>
      <x:c r="D458" s="20" t="str">
        <x:v>TenantReceipt</x:v>
      </x:c>
      <x:c r="E458" s="20" t="str">
        <x:v>Rent receipt</x:v>
      </x:c>
      <x:c r="F458" s="20" t="str">
        <x:v>P018</x:v>
      </x:c>
      <x:c r="G458" s="20" t="str">
        <x:v>U018</x:v>
      </x:c>
      <x:c r="H458" s="20" t="str">
        <x:v>L018</x:v>
      </x:c>
      <x:c r="I458" s="20" t="str">
        <x:v>Gray Lewis</x:v>
      </x:c>
      <x:c r="J458" s="35" t="str">
        <x:v>Manual ACH</x:v>
      </x:c>
      <x:c r="K458" s="20" t="str"/>
      <x:c r="L458" s="20" t="str">
        <x:v>PMT-20270603-L018</x:v>
      </x:c>
      <x:c r="M458" s="26" t="n">
        <x:v>1500</x:v>
      </x:c>
      <x:c r="N458" s="26" t="n">
        <x:v>-1500</x:v>
      </x:c>
      <x:c r="O458" s="26" t="n">
        <x:v>1500</x:v>
      </x:c>
      <x:c r="P458" s="26" t="n">
        <x:v>0</x:v>
      </x:c>
      <x:c r="Q458" s="26" t="n">
        <x:v>0</x:v>
      </x:c>
      <x:c r="R458" s="26" t="n">
        <x:v>0</x:v>
      </x:c>
      <x:c r="S458" s="26" t="n">
        <x:v>0</x:v>
      </x:c>
      <x:c r="T458" s="26" t="n">
        <x:v>0</x:v>
      </x:c>
      <x:c r="U458" s="26" t="n">
        <x:v>0</x:v>
      </x:c>
      <x:c r="V458" s="26" t="n">
        <x:v>0</x:v>
      </x:c>
      <x:c r="W458" s="26" t="n">
        <x:v>0</x:v>
      </x:c>
      <x:c r="X458" s="26" t="n">
        <x:v>0</x:v>
      </x:c>
      <x:c r="Y458" s="26" t="n">
        <x:v>0</x:v>
      </x:c>
      <x:c r="Z458" s="35" t="str">
        <x:v>Receipt allocated to FIN-00454</x:v>
      </x:c>
    </x:row>
    <x:row r="459">
      <x:c r="A459" s="20" t="str">
        <x:v>FIN-00456</x:v>
      </x:c>
      <x:c r="B459" s="23" t="n">
        <x:v>46539</x:v>
      </x:c>
      <x:c r="C459" s="23" t="n">
        <x:v>46539</x:v>
      </x:c>
      <x:c r="D459" s="20" t="str">
        <x:v>TenantCharge</x:v>
      </x:c>
      <x:c r="E459" s="20" t="str">
        <x:v>Rent</x:v>
      </x:c>
      <x:c r="F459" s="20" t="str">
        <x:v>P019</x:v>
      </x:c>
      <x:c r="G459" s="20" t="str">
        <x:v>U019</x:v>
      </x:c>
      <x:c r="H459" s="20" t="str">
        <x:v>L019</x:v>
      </x:c>
      <x:c r="I459" s="20" t="str">
        <x:v>Jordan Reed</x:v>
      </x:c>
      <x:c r="J459" s="35" t="str">
        <x:v>System scheduled charge</x:v>
      </x:c>
      <x:c r="K459" s="20" t="str"/>
      <x:c r="L459" s="20" t="str">
        <x:v>RENT-202706-L019</x:v>
      </x:c>
      <x:c r="M459" s="26" t="n">
        <x:v>1125</x:v>
      </x:c>
      <x:c r="N459" s="26" t="n">
        <x:v>1125</x:v>
      </x:c>
      <x:c r="O459" s="26" t="n">
        <x:v>0</x:v>
      </x:c>
      <x:c r="P459" s="26" t="n">
        <x:v>0</x:v>
      </x:c>
      <x:c r="Q459" s="26" t="n">
        <x:v>0</x:v>
      </x:c>
      <x:c r="R459" s="26" t="n">
        <x:v>0</x:v>
      </x:c>
      <x:c r="S459" s="26" t="n">
        <x:v>0</x:v>
      </x:c>
      <x:c r="T459" s="26" t="n">
        <x:v>1125</x:v>
      </x:c>
      <x:c r="U459" s="26" t="n">
        <x:v>0</x:v>
      </x:c>
      <x:c r="V459" s="26" t="n">
        <x:v>0</x:v>
      </x:c>
      <x:c r="W459" s="26" t="n">
        <x:v>0</x:v>
      </x:c>
      <x:c r="X459" s="26" t="n">
        <x:v>0</x:v>
      </x:c>
      <x:c r="Y459" s="26" t="n">
        <x:v>0</x:v>
      </x:c>
      <x:c r="Z459" s="35" t="str">
        <x:v>June 2027 rent</x:v>
      </x:c>
    </x:row>
    <x:row r="460">
      <x:c r="A460" s="20" t="str">
        <x:v>FIN-00457</x:v>
      </x:c>
      <x:c r="B460" s="23" t="n">
        <x:v>46542</x:v>
      </x:c>
      <x:c r="C460" s="23" t="n">
        <x:v>46542</x:v>
      </x:c>
      <x:c r="D460" s="20" t="str">
        <x:v>TenantReceipt</x:v>
      </x:c>
      <x:c r="E460" s="20" t="str">
        <x:v>Rent receipt</x:v>
      </x:c>
      <x:c r="F460" s="20" t="str">
        <x:v>P019</x:v>
      </x:c>
      <x:c r="G460" s="20" t="str">
        <x:v>U019</x:v>
      </x:c>
      <x:c r="H460" s="20" t="str">
        <x:v>L019</x:v>
      </x:c>
      <x:c r="I460" s="20" t="str">
        <x:v>Jordan Reed</x:v>
      </x:c>
      <x:c r="J460" s="35" t="str">
        <x:v>Portal card</x:v>
      </x:c>
      <x:c r="K460" s="20" t="str"/>
      <x:c r="L460" s="20" t="str">
        <x:v>PMT-20270604-L019</x:v>
      </x:c>
      <x:c r="M460" s="26" t="n">
        <x:v>1125</x:v>
      </x:c>
      <x:c r="N460" s="26" t="n">
        <x:v>-1125</x:v>
      </x:c>
      <x:c r="O460" s="26" t="n">
        <x:v>1125</x:v>
      </x:c>
      <x:c r="P460" s="26" t="n">
        <x:v>0</x:v>
      </x:c>
      <x:c r="Q460" s="26" t="n">
        <x:v>0</x:v>
      </x:c>
      <x:c r="R460" s="26" t="n">
        <x:v>0</x:v>
      </x:c>
      <x:c r="S460" s="26" t="n">
        <x:v>0</x:v>
      </x:c>
      <x:c r="T460" s="26" t="n">
        <x:v>0</x:v>
      </x:c>
      <x:c r="U460" s="26" t="n">
        <x:v>0</x:v>
      </x:c>
      <x:c r="V460" s="26" t="n">
        <x:v>0</x:v>
      </x:c>
      <x:c r="W460" s="26" t="n">
        <x:v>0</x:v>
      </x:c>
      <x:c r="X460" s="26" t="n">
        <x:v>0</x:v>
      </x:c>
      <x:c r="Y460" s="26" t="n">
        <x:v>0</x:v>
      </x:c>
      <x:c r="Z460" s="35" t="str">
        <x:v>Receipt allocated to FIN-00456</x:v>
      </x:c>
    </x:row>
    <x:row r="461">
      <x:c r="A461" s="20" t="str">
        <x:v>FIN-00458</x:v>
      </x:c>
      <x:c r="B461" s="23" t="n">
        <x:v>46539</x:v>
      </x:c>
      <x:c r="C461" s="23" t="n">
        <x:v>46539</x:v>
      </x:c>
      <x:c r="D461" s="20" t="str">
        <x:v>TenantCharge</x:v>
      </x:c>
      <x:c r="E461" s="20" t="str">
        <x:v>Rent</x:v>
      </x:c>
      <x:c r="F461" s="20" t="str">
        <x:v>P020</x:v>
      </x:c>
      <x:c r="G461" s="20" t="str">
        <x:v>U020</x:v>
      </x:c>
      <x:c r="H461" s="20" t="str">
        <x:v>L020</x:v>
      </x:c>
      <x:c r="I461" s="20" t="str">
        <x:v>Morgan Adams</x:v>
      </x:c>
      <x:c r="J461" s="35" t="str">
        <x:v>System scheduled charge</x:v>
      </x:c>
      <x:c r="K461" s="20" t="str"/>
      <x:c r="L461" s="20" t="str">
        <x:v>RENT-202706-L020</x:v>
      </x:c>
      <x:c r="M461" s="26" t="n">
        <x:v>1650</x:v>
      </x:c>
      <x:c r="N461" s="26" t="n">
        <x:v>1650</x:v>
      </x:c>
      <x:c r="O461" s="26" t="n">
        <x:v>0</x:v>
      </x:c>
      <x:c r="P461" s="26" t="n">
        <x:v>0</x:v>
      </x:c>
      <x:c r="Q461" s="26" t="n">
        <x:v>0</x:v>
      </x:c>
      <x:c r="R461" s="26" t="n">
        <x:v>0</x:v>
      </x:c>
      <x:c r="S461" s="26" t="n">
        <x:v>0</x:v>
      </x:c>
      <x:c r="T461" s="26" t="n">
        <x:v>1650</x:v>
      </x:c>
      <x:c r="U461" s="26" t="n">
        <x:v>0</x:v>
      </x:c>
      <x:c r="V461" s="26" t="n">
        <x:v>0</x:v>
      </x:c>
      <x:c r="W461" s="26" t="n">
        <x:v>0</x:v>
      </x:c>
      <x:c r="X461" s="26" t="n">
        <x:v>0</x:v>
      </x:c>
      <x:c r="Y461" s="26" t="n">
        <x:v>0</x:v>
      </x:c>
      <x:c r="Z461" s="35" t="str">
        <x:v>June 2027 rent</x:v>
      </x:c>
    </x:row>
    <x:row r="462">
      <x:c r="A462" s="20" t="str">
        <x:v>FIN-00459</x:v>
      </x:c>
      <x:c r="B462" s="23" t="n">
        <x:v>46543</x:v>
      </x:c>
      <x:c r="C462" s="23" t="n">
        <x:v>46543</x:v>
      </x:c>
      <x:c r="D462" s="20" t="str">
        <x:v>TenantReceipt</x:v>
      </x:c>
      <x:c r="E462" s="20" t="str">
        <x:v>Rent receipt</x:v>
      </x:c>
      <x:c r="F462" s="20" t="str">
        <x:v>P020</x:v>
      </x:c>
      <x:c r="G462" s="20" t="str">
        <x:v>U020</x:v>
      </x:c>
      <x:c r="H462" s="20" t="str">
        <x:v>L020</x:v>
      </x:c>
      <x:c r="I462" s="20" t="str">
        <x:v>Morgan Adams</x:v>
      </x:c>
      <x:c r="J462" s="35" t="str">
        <x:v>Scanned check</x:v>
      </x:c>
      <x:c r="K462" s="20" t="str">
        <x:v>SCN-0202</x:v>
      </x:c>
      <x:c r="L462" s="20" t="str">
        <x:v>PMT-20270605-L020</x:v>
      </x:c>
      <x:c r="M462" s="26" t="n">
        <x:v>1650</x:v>
      </x:c>
      <x:c r="N462" s="26" t="n">
        <x:v>-1650</x:v>
      </x:c>
      <x:c r="O462" s="26" t="n">
        <x:v>1650</x:v>
      </x:c>
      <x:c r="P462" s="26" t="n">
        <x:v>0</x:v>
      </x:c>
      <x:c r="Q462" s="26" t="n">
        <x:v>0</x:v>
      </x:c>
      <x:c r="R462" s="26" t="n">
        <x:v>0</x:v>
      </x:c>
      <x:c r="S462" s="26" t="n">
        <x:v>0</x:v>
      </x:c>
      <x:c r="T462" s="26" t="n">
        <x:v>0</x:v>
      </x:c>
      <x:c r="U462" s="26" t="n">
        <x:v>0</x:v>
      </x:c>
      <x:c r="V462" s="26" t="n">
        <x:v>0</x:v>
      </x:c>
      <x:c r="W462" s="26" t="n">
        <x:v>0</x:v>
      </x:c>
      <x:c r="X462" s="26" t="n">
        <x:v>0</x:v>
      </x:c>
      <x:c r="Y462" s="26" t="n">
        <x:v>0</x:v>
      </x:c>
      <x:c r="Z462" s="35" t="str">
        <x:v>Receipt allocated to FIN-00458</x:v>
      </x:c>
    </x:row>
    <x:row r="463">
      <x:c r="A463" s="20" t="str">
        <x:v>FIN-00460</x:v>
      </x:c>
      <x:c r="B463" s="23" t="n">
        <x:v>46539</x:v>
      </x:c>
      <x:c r="C463" s="23" t="n">
        <x:v>46539</x:v>
      </x:c>
      <x:c r="D463" s="20" t="str">
        <x:v>TenantCharge</x:v>
      </x:c>
      <x:c r="E463" s="20" t="str">
        <x:v>Rent</x:v>
      </x:c>
      <x:c r="F463" s="20" t="str">
        <x:v>P021</x:v>
      </x:c>
      <x:c r="G463" s="20" t="str">
        <x:v>U021</x:v>
      </x:c>
      <x:c r="H463" s="20" t="str">
        <x:v>L021</x:v>
      </x:c>
      <x:c r="I463" s="20" t="str">
        <x:v>Parker Flores</x:v>
      </x:c>
      <x:c r="J463" s="35" t="str">
        <x:v>System scheduled charge</x:v>
      </x:c>
      <x:c r="K463" s="20" t="str"/>
      <x:c r="L463" s="20" t="str">
        <x:v>RENT-202706-L021</x:v>
      </x:c>
      <x:c r="M463" s="26" t="n">
        <x:v>1375</x:v>
      </x:c>
      <x:c r="N463" s="26" t="n">
        <x:v>1375</x:v>
      </x:c>
      <x:c r="O463" s="26" t="n">
        <x:v>0</x:v>
      </x:c>
      <x:c r="P463" s="26" t="n">
        <x:v>0</x:v>
      </x:c>
      <x:c r="Q463" s="26" t="n">
        <x:v>0</x:v>
      </x:c>
      <x:c r="R463" s="26" t="n">
        <x:v>0</x:v>
      </x:c>
      <x:c r="S463" s="26" t="n">
        <x:v>0</x:v>
      </x:c>
      <x:c r="T463" s="26" t="n">
        <x:v>1375</x:v>
      </x:c>
      <x:c r="U463" s="26" t="n">
        <x:v>0</x:v>
      </x:c>
      <x:c r="V463" s="26" t="n">
        <x:v>0</x:v>
      </x:c>
      <x:c r="W463" s="26" t="n">
        <x:v>0</x:v>
      </x:c>
      <x:c r="X463" s="26" t="n">
        <x:v>0</x:v>
      </x:c>
      <x:c r="Y463" s="26" t="n">
        <x:v>0</x:v>
      </x:c>
      <x:c r="Z463" s="35" t="str">
        <x:v>June 2027 rent</x:v>
      </x:c>
    </x:row>
    <x:row r="464">
      <x:c r="A464" s="20" t="str">
        <x:v>FIN-00461</x:v>
      </x:c>
      <x:c r="B464" s="23" t="n">
        <x:v>46541</x:v>
      </x:c>
      <x:c r="C464" s="23" t="n">
        <x:v>46541</x:v>
      </x:c>
      <x:c r="D464" s="20" t="str">
        <x:v>TenantReceipt</x:v>
      </x:c>
      <x:c r="E464" s="20" t="str">
        <x:v>Rent receipt</x:v>
      </x:c>
      <x:c r="F464" s="20" t="str">
        <x:v>P021</x:v>
      </x:c>
      <x:c r="G464" s="20" t="str">
        <x:v>U021</x:v>
      </x:c>
      <x:c r="H464" s="20" t="str">
        <x:v>L021</x:v>
      </x:c>
      <x:c r="I464" s="20" t="str">
        <x:v>Parker Flores</x:v>
      </x:c>
      <x:c r="J464" s="35" t="str">
        <x:v>Scanned money order</x:v>
      </x:c>
      <x:c r="K464" s="20" t="str">
        <x:v>SCN-0203</x:v>
      </x:c>
      <x:c r="L464" s="20" t="str">
        <x:v>PMT-20270603-L021</x:v>
      </x:c>
      <x:c r="M464" s="26" t="n">
        <x:v>1375</x:v>
      </x:c>
      <x:c r="N464" s="26" t="n">
        <x:v>-1375</x:v>
      </x:c>
      <x:c r="O464" s="26" t="n">
        <x:v>1375</x:v>
      </x:c>
      <x:c r="P464" s="26" t="n">
        <x:v>0</x:v>
      </x:c>
      <x:c r="Q464" s="26" t="n">
        <x:v>0</x:v>
      </x:c>
      <x:c r="R464" s="26" t="n">
        <x:v>0</x:v>
      </x:c>
      <x:c r="S464" s="26" t="n">
        <x:v>0</x:v>
      </x:c>
      <x:c r="T464" s="26" t="n">
        <x:v>0</x:v>
      </x:c>
      <x:c r="U464" s="26" t="n">
        <x:v>0</x:v>
      </x:c>
      <x:c r="V464" s="26" t="n">
        <x:v>0</x:v>
      </x:c>
      <x:c r="W464" s="26" t="n">
        <x:v>0</x:v>
      </x:c>
      <x:c r="X464" s="26" t="n">
        <x:v>0</x:v>
      </x:c>
      <x:c r="Y464" s="26" t="n">
        <x:v>0</x:v>
      </x:c>
      <x:c r="Z464" s="35" t="str">
        <x:v>Receipt allocated to FIN-00460</x:v>
      </x:c>
    </x:row>
    <x:row r="465">
      <x:c r="A465" s="20" t="str">
        <x:v>FIN-00462</x:v>
      </x:c>
      <x:c r="B465" s="23" t="n">
        <x:v>46539</x:v>
      </x:c>
      <x:c r="C465" s="23" t="n">
        <x:v>46539</x:v>
      </x:c>
      <x:c r="D465" s="20" t="str">
        <x:v>TenantCharge</x:v>
      </x:c>
      <x:c r="E465" s="20" t="str">
        <x:v>Rent</x:v>
      </x:c>
      <x:c r="F465" s="20" t="str">
        <x:v>P021</x:v>
      </x:c>
      <x:c r="G465" s="20" t="str">
        <x:v>U022</x:v>
      </x:c>
      <x:c r="H465" s="20" t="str">
        <x:v>L022</x:v>
      </x:c>
      <x:c r="I465" s="20" t="str">
        <x:v>Sage King</x:v>
      </x:c>
      <x:c r="J465" s="35" t="str">
        <x:v>System scheduled charge</x:v>
      </x:c>
      <x:c r="K465" s="20" t="str"/>
      <x:c r="L465" s="20" t="str">
        <x:v>RENT-202706-L022</x:v>
      </x:c>
      <x:c r="M465" s="26" t="n">
        <x:v>1900</x:v>
      </x:c>
      <x:c r="N465" s="26" t="n">
        <x:v>1900</x:v>
      </x:c>
      <x:c r="O465" s="26" t="n">
        <x:v>0</x:v>
      </x:c>
      <x:c r="P465" s="26" t="n">
        <x:v>0</x:v>
      </x:c>
      <x:c r="Q465" s="26" t="n">
        <x:v>0</x:v>
      </x:c>
      <x:c r="R465" s="26" t="n">
        <x:v>0</x:v>
      </x:c>
      <x:c r="S465" s="26" t="n">
        <x:v>0</x:v>
      </x:c>
      <x:c r="T465" s="26" t="n">
        <x:v>1900</x:v>
      </x:c>
      <x:c r="U465" s="26" t="n">
        <x:v>0</x:v>
      </x:c>
      <x:c r="V465" s="26" t="n">
        <x:v>0</x:v>
      </x:c>
      <x:c r="W465" s="26" t="n">
        <x:v>0</x:v>
      </x:c>
      <x:c r="X465" s="26" t="n">
        <x:v>0</x:v>
      </x:c>
      <x:c r="Y465" s="26" t="n">
        <x:v>0</x:v>
      </x:c>
      <x:c r="Z465" s="35" t="str">
        <x:v>June 2027 rent</x:v>
      </x:c>
    </x:row>
    <x:row r="466">
      <x:c r="A466" s="20" t="str">
        <x:v>FIN-00463</x:v>
      </x:c>
      <x:c r="B466" s="23" t="n">
        <x:v>46541</x:v>
      </x:c>
      <x:c r="C466" s="23" t="n">
        <x:v>46541</x:v>
      </x:c>
      <x:c r="D466" s="20" t="str">
        <x:v>TenantReceipt</x:v>
      </x:c>
      <x:c r="E466" s="20" t="str">
        <x:v>Rent receipt</x:v>
      </x:c>
      <x:c r="F466" s="20" t="str">
        <x:v>P021</x:v>
      </x:c>
      <x:c r="G466" s="20" t="str">
        <x:v>U022</x:v>
      </x:c>
      <x:c r="H466" s="20" t="str">
        <x:v>L022</x:v>
      </x:c>
      <x:c r="I466" s="20" t="str">
        <x:v>Sage King</x:v>
      </x:c>
      <x:c r="J466" s="35" t="str">
        <x:v>Manual ACH</x:v>
      </x:c>
      <x:c r="K466" s="20" t="str"/>
      <x:c r="L466" s="20" t="str">
        <x:v>PMT-20270603-L022-A</x:v>
      </x:c>
      <x:c r="M466" s="26" t="n">
        <x:v>1140</x:v>
      </x:c>
      <x:c r="N466" s="26" t="n">
        <x:v>-1140</x:v>
      </x:c>
      <x:c r="O466" s="26" t="n">
        <x:v>1140</x:v>
      </x:c>
      <x:c r="P466" s="26" t="n">
        <x:v>0</x:v>
      </x:c>
      <x:c r="Q466" s="26" t="n">
        <x:v>0</x:v>
      </x:c>
      <x:c r="R466" s="26" t="n">
        <x:v>0</x:v>
      </x:c>
      <x:c r="S466" s="26" t="n">
        <x:v>0</x:v>
      </x:c>
      <x:c r="T466" s="26" t="n">
        <x:v>0</x:v>
      </x:c>
      <x:c r="U466" s="26" t="n">
        <x:v>0</x:v>
      </x:c>
      <x:c r="V466" s="26" t="n">
        <x:v>0</x:v>
      </x:c>
      <x:c r="W466" s="26" t="n">
        <x:v>0</x:v>
      </x:c>
      <x:c r="X466" s="26" t="n">
        <x:v>0</x:v>
      </x:c>
      <x:c r="Y466" s="26" t="n">
        <x:v>0</x:v>
      </x:c>
      <x:c r="Z466" s="35" t="str">
        <x:v>Receipt allocated to FIN-00462</x:v>
      </x:c>
    </x:row>
    <x:row r="467">
      <x:c r="A467" s="20" t="str">
        <x:v>FIN-00464</x:v>
      </x:c>
      <x:c r="B467" s="23" t="n">
        <x:v>46544</x:v>
      </x:c>
      <x:c r="C467" s="23" t="n">
        <x:v>46544</x:v>
      </x:c>
      <x:c r="D467" s="20" t="str">
        <x:v>TenantCharge</x:v>
      </x:c>
      <x:c r="E467" s="20" t="str">
        <x:v>Late fee</x:v>
      </x:c>
      <x:c r="F467" s="20" t="str">
        <x:v>P021</x:v>
      </x:c>
      <x:c r="G467" s="20" t="str">
        <x:v>U022</x:v>
      </x:c>
      <x:c r="H467" s="20" t="str">
        <x:v>L022</x:v>
      </x:c>
      <x:c r="I467" s="20" t="str">
        <x:v>Sage King</x:v>
      </x:c>
      <x:c r="J467" s="35" t="str">
        <x:v>System automation</x:v>
      </x:c>
      <x:c r="K467" s="20" t="str"/>
      <x:c r="L467" s="20" t="str">
        <x:v>LATE-202706-L022</x:v>
      </x:c>
      <x:c r="M467" s="26" t="n">
        <x:v>50</x:v>
      </x:c>
      <x:c r="N467" s="26" t="n">
        <x:v>50</x:v>
      </x:c>
      <x:c r="O467" s="26" t="n">
        <x:v>0</x:v>
      </x:c>
      <x:c r="P467" s="26" t="n">
        <x:v>0</x:v>
      </x:c>
      <x:c r="Q467" s="26" t="n">
        <x:v>0</x:v>
      </x:c>
      <x:c r="R467" s="26" t="n">
        <x:v>0</x:v>
      </x:c>
      <x:c r="S467" s="26" t="n">
        <x:v>0</x:v>
      </x:c>
      <x:c r="T467" s="26" t="n">
        <x:v>50</x:v>
      </x:c>
      <x:c r="U467" s="26" t="n">
        <x:v>0</x:v>
      </x:c>
      <x:c r="V467" s="26" t="n">
        <x:v>0</x:v>
      </x:c>
      <x:c r="W467" s="26" t="n">
        <x:v>0</x:v>
      </x:c>
      <x:c r="X467" s="26" t="n">
        <x:v>0</x:v>
      </x:c>
      <x:c r="Y467" s="26" t="n">
        <x:v>0</x:v>
      </x:c>
      <x:c r="Z467" s="35" t="str">
        <x:v>Synthetic lease-authorized late fee after partial payment</x:v>
      </x:c>
    </x:row>
    <x:row r="468">
      <x:c r="A468" s="20" t="str">
        <x:v>FIN-00465</x:v>
      </x:c>
      <x:c r="B468" s="23" t="n">
        <x:v>46550</x:v>
      </x:c>
      <x:c r="C468" s="23" t="n">
        <x:v>46550</x:v>
      </x:c>
      <x:c r="D468" s="20" t="str">
        <x:v>TenantReceipt</x:v>
      </x:c>
      <x:c r="E468" s="20" t="str">
        <x:v>Rent receipt</x:v>
      </x:c>
      <x:c r="F468" s="20" t="str">
        <x:v>P021</x:v>
      </x:c>
      <x:c r="G468" s="20" t="str">
        <x:v>U022</x:v>
      </x:c>
      <x:c r="H468" s="20" t="str">
        <x:v>L022</x:v>
      </x:c>
      <x:c r="I468" s="20" t="str">
        <x:v>Sage King</x:v>
      </x:c>
      <x:c r="J468" s="35" t="str">
        <x:v>Scanned check</x:v>
      </x:c>
      <x:c r="K468" s="20" t="str">
        <x:v>SCN-0204</x:v>
      </x:c>
      <x:c r="L468" s="20" t="str">
        <x:v>PMT-20270612-L022-B</x:v>
      </x:c>
      <x:c r="M468" s="26" t="n">
        <x:v>810</x:v>
      </x:c>
      <x:c r="N468" s="26" t="n">
        <x:v>-810</x:v>
      </x:c>
      <x:c r="O468" s="26" t="n">
        <x:v>810</x:v>
      </x:c>
      <x:c r="P468" s="26" t="n">
        <x:v>0</x:v>
      </x:c>
      <x:c r="Q468" s="26" t="n">
        <x:v>0</x:v>
      </x:c>
      <x:c r="R468" s="26" t="n">
        <x:v>0</x:v>
      </x:c>
      <x:c r="S468" s="26" t="n">
        <x:v>0</x:v>
      </x:c>
      <x:c r="T468" s="26" t="n">
        <x:v>0</x:v>
      </x:c>
      <x:c r="U468" s="26" t="n">
        <x:v>0</x:v>
      </x:c>
      <x:c r="V468" s="26" t="n">
        <x:v>0</x:v>
      </x:c>
      <x:c r="W468" s="26" t="n">
        <x:v>0</x:v>
      </x:c>
      <x:c r="X468" s="26" t="n">
        <x:v>0</x:v>
      </x:c>
      <x:c r="Y468" s="26" t="n">
        <x:v>0</x:v>
      </x:c>
      <x:c r="Z468" s="35" t="str">
        <x:v>Receipt allocated to FIN-00464</x:v>
      </x:c>
    </x:row>
    <x:row r="469">
      <x:c r="A469" s="20" t="str">
        <x:v>FIN-00466</x:v>
      </x:c>
      <x:c r="B469" s="23" t="n">
        <x:v>46539</x:v>
      </x:c>
      <x:c r="C469" s="23" t="n">
        <x:v>46539</x:v>
      </x:c>
      <x:c r="D469" s="20" t="str">
        <x:v>TenantCharge</x:v>
      </x:c>
      <x:c r="E469" s="20" t="str">
        <x:v>Rent</x:v>
      </x:c>
      <x:c r="F469" s="20" t="str">
        <x:v>P022</x:v>
      </x:c>
      <x:c r="G469" s="20" t="str">
        <x:v>U023</x:v>
      </x:c>
      <x:c r="H469" s="20" t="str">
        <x:v>L023</x:v>
      </x:c>
      <x:c r="I469" s="20" t="str">
        <x:v>Val Price</x:v>
      </x:c>
      <x:c r="J469" s="35" t="str">
        <x:v>System scheduled charge</x:v>
      </x:c>
      <x:c r="K469" s="20" t="str"/>
      <x:c r="L469" s="20" t="str">
        <x:v>RENT-202706-L023</x:v>
      </x:c>
      <x:c r="M469" s="26" t="n">
        <x:v>1525</x:v>
      </x:c>
      <x:c r="N469" s="26" t="n">
        <x:v>1525</x:v>
      </x:c>
      <x:c r="O469" s="26" t="n">
        <x:v>0</x:v>
      </x:c>
      <x:c r="P469" s="26" t="n">
        <x:v>0</x:v>
      </x:c>
      <x:c r="Q469" s="26" t="n">
        <x:v>0</x:v>
      </x:c>
      <x:c r="R469" s="26" t="n">
        <x:v>0</x:v>
      </x:c>
      <x:c r="S469" s="26" t="n">
        <x:v>0</x:v>
      </x:c>
      <x:c r="T469" s="26" t="n">
        <x:v>1525</x:v>
      </x:c>
      <x:c r="U469" s="26" t="n">
        <x:v>0</x:v>
      </x:c>
      <x:c r="V469" s="26" t="n">
        <x:v>0</x:v>
      </x:c>
      <x:c r="W469" s="26" t="n">
        <x:v>0</x:v>
      </x:c>
      <x:c r="X469" s="26" t="n">
        <x:v>0</x:v>
      </x:c>
      <x:c r="Y469" s="26" t="n">
        <x:v>0</x:v>
      </x:c>
      <x:c r="Z469" s="35" t="str">
        <x:v>June 2027 rent</x:v>
      </x:c>
    </x:row>
    <x:row r="470">
      <x:c r="A470" s="20" t="str">
        <x:v>FIN-00467</x:v>
      </x:c>
      <x:c r="B470" s="23" t="n">
        <x:v>46543</x:v>
      </x:c>
      <x:c r="C470" s="23" t="n">
        <x:v>46543</x:v>
      </x:c>
      <x:c r="D470" s="20" t="str">
        <x:v>TenantReceipt</x:v>
      </x:c>
      <x:c r="E470" s="20" t="str">
        <x:v>Rent receipt</x:v>
      </x:c>
      <x:c r="F470" s="20" t="str">
        <x:v>P022</x:v>
      </x:c>
      <x:c r="G470" s="20" t="str">
        <x:v>U023</x:v>
      </x:c>
      <x:c r="H470" s="20" t="str">
        <x:v>L023</x:v>
      </x:c>
      <x:c r="I470" s="20" t="str">
        <x:v>Val Price</x:v>
      </x:c>
      <x:c r="J470" s="35" t="str">
        <x:v>Portal card</x:v>
      </x:c>
      <x:c r="K470" s="20" t="str"/>
      <x:c r="L470" s="20" t="str">
        <x:v>PMT-20270605-L023</x:v>
      </x:c>
      <x:c r="M470" s="26" t="n">
        <x:v>1525</x:v>
      </x:c>
      <x:c r="N470" s="26" t="n">
        <x:v>-1525</x:v>
      </x:c>
      <x:c r="O470" s="26" t="n">
        <x:v>1525</x:v>
      </x:c>
      <x:c r="P470" s="26" t="n">
        <x:v>0</x:v>
      </x:c>
      <x:c r="Q470" s="26" t="n">
        <x:v>0</x:v>
      </x:c>
      <x:c r="R470" s="26" t="n">
        <x:v>0</x:v>
      </x:c>
      <x:c r="S470" s="26" t="n">
        <x:v>0</x:v>
      </x:c>
      <x:c r="T470" s="26" t="n">
        <x:v>0</x:v>
      </x:c>
      <x:c r="U470" s="26" t="n">
        <x:v>0</x:v>
      </x:c>
      <x:c r="V470" s="26" t="n">
        <x:v>0</x:v>
      </x:c>
      <x:c r="W470" s="26" t="n">
        <x:v>0</x:v>
      </x:c>
      <x:c r="X470" s="26" t="n">
        <x:v>0</x:v>
      </x:c>
      <x:c r="Y470" s="26" t="n">
        <x:v>0</x:v>
      </x:c>
      <x:c r="Z470" s="35" t="str">
        <x:v>Receipt allocated to FIN-00466</x:v>
      </x:c>
    </x:row>
    <x:row r="471">
      <x:c r="A471" s="20" t="str">
        <x:v>FIN-00468</x:v>
      </x:c>
      <x:c r="B471" s="23" t="n">
        <x:v>46539</x:v>
      </x:c>
      <x:c r="C471" s="23" t="n">
        <x:v>46539</x:v>
      </x:c>
      <x:c r="D471" s="20" t="str">
        <x:v>TenantCharge</x:v>
      </x:c>
      <x:c r="E471" s="20" t="str">
        <x:v>Rent</x:v>
      </x:c>
      <x:c r="F471" s="20" t="str">
        <x:v>P022</x:v>
      </x:c>
      <x:c r="G471" s="20" t="str">
        <x:v>U024</x:v>
      </x:c>
      <x:c r="H471" s="20" t="str">
        <x:v>L024</x:v>
      </x:c>
      <x:c r="I471" s="20" t="str">
        <x:v>Yara Brooks</x:v>
      </x:c>
      <x:c r="J471" s="35" t="str">
        <x:v>System scheduled charge</x:v>
      </x:c>
      <x:c r="K471" s="20" t="str"/>
      <x:c r="L471" s="20" t="str">
        <x:v>RENT-202706-L024</x:v>
      </x:c>
      <x:c r="M471" s="26" t="n">
        <x:v>1150</x:v>
      </x:c>
      <x:c r="N471" s="26" t="n">
        <x:v>1150</x:v>
      </x:c>
      <x:c r="O471" s="26" t="n">
        <x:v>0</x:v>
      </x:c>
      <x:c r="P471" s="26" t="n">
        <x:v>0</x:v>
      </x:c>
      <x:c r="Q471" s="26" t="n">
        <x:v>0</x:v>
      </x:c>
      <x:c r="R471" s="26" t="n">
        <x:v>0</x:v>
      </x:c>
      <x:c r="S471" s="26" t="n">
        <x:v>0</x:v>
      </x:c>
      <x:c r="T471" s="26" t="n">
        <x:v>1150</x:v>
      </x:c>
      <x:c r="U471" s="26" t="n">
        <x:v>0</x:v>
      </x:c>
      <x:c r="V471" s="26" t="n">
        <x:v>0</x:v>
      </x:c>
      <x:c r="W471" s="26" t="n">
        <x:v>0</x:v>
      </x:c>
      <x:c r="X471" s="26" t="n">
        <x:v>0</x:v>
      </x:c>
      <x:c r="Y471" s="26" t="n">
        <x:v>0</x:v>
      </x:c>
      <x:c r="Z471" s="35" t="str">
        <x:v>June 2027 rent</x:v>
      </x:c>
    </x:row>
    <x:row r="472">
      <x:c r="A472" s="20" t="str">
        <x:v>FIN-00469</x:v>
      </x:c>
      <x:c r="B472" s="23" t="n">
        <x:v>46541</x:v>
      </x:c>
      <x:c r="C472" s="23" t="n">
        <x:v>46541</x:v>
      </x:c>
      <x:c r="D472" s="20" t="str">
        <x:v>TenantReceipt</x:v>
      </x:c>
      <x:c r="E472" s="20" t="str">
        <x:v>Rent receipt</x:v>
      </x:c>
      <x:c r="F472" s="20" t="str">
        <x:v>P022</x:v>
      </x:c>
      <x:c r="G472" s="20" t="str">
        <x:v>U024</x:v>
      </x:c>
      <x:c r="H472" s="20" t="str">
        <x:v>L024</x:v>
      </x:c>
      <x:c r="I472" s="20" t="str">
        <x:v>Yara Brooks</x:v>
      </x:c>
      <x:c r="J472" s="35" t="str">
        <x:v>Scanned check</x:v>
      </x:c>
      <x:c r="K472" s="20" t="str">
        <x:v>SCN-0205</x:v>
      </x:c>
      <x:c r="L472" s="20" t="str">
        <x:v>PMT-20270603-L024</x:v>
      </x:c>
      <x:c r="M472" s="26" t="n">
        <x:v>1150</x:v>
      </x:c>
      <x:c r="N472" s="26" t="n">
        <x:v>-1150</x:v>
      </x:c>
      <x:c r="O472" s="26" t="n">
        <x:v>1150</x:v>
      </x:c>
      <x:c r="P472" s="26" t="n">
        <x:v>0</x:v>
      </x:c>
      <x:c r="Q472" s="26" t="n">
        <x:v>0</x:v>
      </x:c>
      <x:c r="R472" s="26" t="n">
        <x:v>0</x:v>
      </x:c>
      <x:c r="S472" s="26" t="n">
        <x:v>0</x:v>
      </x:c>
      <x:c r="T472" s="26" t="n">
        <x:v>0</x:v>
      </x:c>
      <x:c r="U472" s="26" t="n">
        <x:v>0</x:v>
      </x:c>
      <x:c r="V472" s="26" t="n">
        <x:v>0</x:v>
      </x:c>
      <x:c r="W472" s="26" t="n">
        <x:v>0</x:v>
      </x:c>
      <x:c r="X472" s="26" t="n">
        <x:v>0</x:v>
      </x:c>
      <x:c r="Y472" s="26" t="n">
        <x:v>0</x:v>
      </x:c>
      <x:c r="Z472" s="35" t="str">
        <x:v>Receipt allocated to FIN-00468</x:v>
      </x:c>
    </x:row>
    <x:row r="473">
      <x:c r="A473" s="20" t="str">
        <x:v>FIN-00470</x:v>
      </x:c>
      <x:c r="B473" s="23" t="n">
        <x:v>46539</x:v>
      </x:c>
      <x:c r="C473" s="23" t="n">
        <x:v>46539</x:v>
      </x:c>
      <x:c r="D473" s="20" t="str">
        <x:v>TenantCharge</x:v>
      </x:c>
      <x:c r="E473" s="20" t="str">
        <x:v>Rent</x:v>
      </x:c>
      <x:c r="F473" s="20" t="str">
        <x:v>P023</x:v>
      </x:c>
      <x:c r="G473" s="20" t="str">
        <x:v>U025</x:v>
      </x:c>
      <x:c r="H473" s="20" t="str">
        <x:v>L025</x:v>
      </x:c>
      <x:c r="I473" s="20" t="str">
        <x:v>Bennett Garcia</x:v>
      </x:c>
      <x:c r="J473" s="35" t="str">
        <x:v>System scheduled charge</x:v>
      </x:c>
      <x:c r="K473" s="20" t="str"/>
      <x:c r="L473" s="20" t="str">
        <x:v>RENT-202706-L025</x:v>
      </x:c>
      <x:c r="M473" s="26" t="n">
        <x:v>1675</x:v>
      </x:c>
      <x:c r="N473" s="26" t="n">
        <x:v>1675</x:v>
      </x:c>
      <x:c r="O473" s="26" t="n">
        <x:v>0</x:v>
      </x:c>
      <x:c r="P473" s="26" t="n">
        <x:v>0</x:v>
      </x:c>
      <x:c r="Q473" s="26" t="n">
        <x:v>0</x:v>
      </x:c>
      <x:c r="R473" s="26" t="n">
        <x:v>0</x:v>
      </x:c>
      <x:c r="S473" s="26" t="n">
        <x:v>0</x:v>
      </x:c>
      <x:c r="T473" s="26" t="n">
        <x:v>1675</x:v>
      </x:c>
      <x:c r="U473" s="26" t="n">
        <x:v>0</x:v>
      </x:c>
      <x:c r="V473" s="26" t="n">
        <x:v>0</x:v>
      </x:c>
      <x:c r="W473" s="26" t="n">
        <x:v>0</x:v>
      </x:c>
      <x:c r="X473" s="26" t="n">
        <x:v>0</x:v>
      </x:c>
      <x:c r="Y473" s="26" t="n">
        <x:v>0</x:v>
      </x:c>
      <x:c r="Z473" s="35" t="str">
        <x:v>June 2027 rent</x:v>
      </x:c>
    </x:row>
    <x:row r="474">
      <x:c r="A474" s="20" t="str">
        <x:v>FIN-00471</x:v>
      </x:c>
      <x:c r="B474" s="23" t="n">
        <x:v>46542</x:v>
      </x:c>
      <x:c r="C474" s="23" t="n">
        <x:v>46542</x:v>
      </x:c>
      <x:c r="D474" s="20" t="str">
        <x:v>TenantReceipt</x:v>
      </x:c>
      <x:c r="E474" s="20" t="str">
        <x:v>Rent receipt</x:v>
      </x:c>
      <x:c r="F474" s="20" t="str">
        <x:v>P023</x:v>
      </x:c>
      <x:c r="G474" s="20" t="str">
        <x:v>U025</x:v>
      </x:c>
      <x:c r="H474" s="20" t="str">
        <x:v>L025</x:v>
      </x:c>
      <x:c r="I474" s="20" t="str">
        <x:v>Bennett Garcia</x:v>
      </x:c>
      <x:c r="J474" s="35" t="str">
        <x:v>Scanned money order</x:v>
      </x:c>
      <x:c r="K474" s="20" t="str">
        <x:v>SCN-0206</x:v>
      </x:c>
      <x:c r="L474" s="20" t="str">
        <x:v>PMT-20270604-L025</x:v>
      </x:c>
      <x:c r="M474" s="26" t="n">
        <x:v>1675</x:v>
      </x:c>
      <x:c r="N474" s="26" t="n">
        <x:v>-1675</x:v>
      </x:c>
      <x:c r="O474" s="26" t="n">
        <x:v>1675</x:v>
      </x:c>
      <x:c r="P474" s="26" t="n">
        <x:v>0</x:v>
      </x:c>
      <x:c r="Q474" s="26" t="n">
        <x:v>0</x:v>
      </x:c>
      <x:c r="R474" s="26" t="n">
        <x:v>0</x:v>
      </x:c>
      <x:c r="S474" s="26" t="n">
        <x:v>0</x:v>
      </x:c>
      <x:c r="T474" s="26" t="n">
        <x:v>0</x:v>
      </x:c>
      <x:c r="U474" s="26" t="n">
        <x:v>0</x:v>
      </x:c>
      <x:c r="V474" s="26" t="n">
        <x:v>0</x:v>
      </x:c>
      <x:c r="W474" s="26" t="n">
        <x:v>0</x:v>
      </x:c>
      <x:c r="X474" s="26" t="n">
        <x:v>0</x:v>
      </x:c>
      <x:c r="Y474" s="26" t="n">
        <x:v>0</x:v>
      </x:c>
      <x:c r="Z474" s="35" t="str">
        <x:v>Receipt allocated to FIN-00470</x:v>
      </x:c>
    </x:row>
    <x:row r="475">
      <x:c r="A475" s="20" t="str">
        <x:v>FIN-00472</x:v>
      </x:c>
      <x:c r="B475" s="23" t="n">
        <x:v>46539</x:v>
      </x:c>
      <x:c r="C475" s="23" t="n">
        <x:v>46539</x:v>
      </x:c>
      <x:c r="D475" s="20" t="str">
        <x:v>TenantCharge</x:v>
      </x:c>
      <x:c r="E475" s="20" t="str">
        <x:v>Rent</x:v>
      </x:c>
      <x:c r="F475" s="20" t="str">
        <x:v>P023</x:v>
      </x:c>
      <x:c r="G475" s="20" t="str">
        <x:v>U026</x:v>
      </x:c>
      <x:c r="H475" s="20" t="str">
        <x:v>L026</x:v>
      </x:c>
      <x:c r="I475" s="20" t="str">
        <x:v>Elena Lewis</x:v>
      </x:c>
      <x:c r="J475" s="35" t="str">
        <x:v>System scheduled charge</x:v>
      </x:c>
      <x:c r="K475" s="20" t="str"/>
      <x:c r="L475" s="20" t="str">
        <x:v>RENT-202706-L026</x:v>
      </x:c>
      <x:c r="M475" s="26" t="n">
        <x:v>1300</x:v>
      </x:c>
      <x:c r="N475" s="26" t="n">
        <x:v>1300</x:v>
      </x:c>
      <x:c r="O475" s="26" t="n">
        <x:v>0</x:v>
      </x:c>
      <x:c r="P475" s="26" t="n">
        <x:v>0</x:v>
      </x:c>
      <x:c r="Q475" s="26" t="n">
        <x:v>0</x:v>
      </x:c>
      <x:c r="R475" s="26" t="n">
        <x:v>0</x:v>
      </x:c>
      <x:c r="S475" s="26" t="n">
        <x:v>0</x:v>
      </x:c>
      <x:c r="T475" s="26" t="n">
        <x:v>1300</x:v>
      </x:c>
      <x:c r="U475" s="26" t="n">
        <x:v>0</x:v>
      </x:c>
      <x:c r="V475" s="26" t="n">
        <x:v>0</x:v>
      </x:c>
      <x:c r="W475" s="26" t="n">
        <x:v>0</x:v>
      </x:c>
      <x:c r="X475" s="26" t="n">
        <x:v>0</x:v>
      </x:c>
      <x:c r="Y475" s="26" t="n">
        <x:v>0</x:v>
      </x:c>
      <x:c r="Z475" s="35" t="str">
        <x:v>June 2027 rent</x:v>
      </x:c>
    </x:row>
    <x:row r="476">
      <x:c r="A476" s="20" t="str">
        <x:v>FIN-00473</x:v>
      </x:c>
      <x:c r="B476" s="23" t="n">
        <x:v>46544</x:v>
      </x:c>
      <x:c r="C476" s="23" t="n">
        <x:v>46544</x:v>
      </x:c>
      <x:c r="D476" s="20" t="str">
        <x:v>TenantCharge</x:v>
      </x:c>
      <x:c r="E476" s="20" t="str">
        <x:v>Late fee</x:v>
      </x:c>
      <x:c r="F476" s="20" t="str">
        <x:v>P023</x:v>
      </x:c>
      <x:c r="G476" s="20" t="str">
        <x:v>U026</x:v>
      </x:c>
      <x:c r="H476" s="20" t="str">
        <x:v>L026</x:v>
      </x:c>
      <x:c r="I476" s="20" t="str">
        <x:v>Elena Lewis</x:v>
      </x:c>
      <x:c r="J476" s="35" t="str">
        <x:v>System automation</x:v>
      </x:c>
      <x:c r="K476" s="20" t="str"/>
      <x:c r="L476" s="20" t="str">
        <x:v>LATE-202706-L026</x:v>
      </x:c>
      <x:c r="M476" s="26" t="n">
        <x:v>50</x:v>
      </x:c>
      <x:c r="N476" s="26" t="n">
        <x:v>50</x:v>
      </x:c>
      <x:c r="O476" s="26" t="n">
        <x:v>0</x:v>
      </x:c>
      <x:c r="P476" s="26" t="n">
        <x:v>0</x:v>
      </x:c>
      <x:c r="Q476" s="26" t="n">
        <x:v>0</x:v>
      </x:c>
      <x:c r="R476" s="26" t="n">
        <x:v>0</x:v>
      </x:c>
      <x:c r="S476" s="26" t="n">
        <x:v>0</x:v>
      </x:c>
      <x:c r="T476" s="26" t="n">
        <x:v>50</x:v>
      </x:c>
      <x:c r="U476" s="26" t="n">
        <x:v>0</x:v>
      </x:c>
      <x:c r="V476" s="26" t="n">
        <x:v>0</x:v>
      </x:c>
      <x:c r="W476" s="26" t="n">
        <x:v>0</x:v>
      </x:c>
      <x:c r="X476" s="26" t="n">
        <x:v>0</x:v>
      </x:c>
      <x:c r="Y476" s="26" t="n">
        <x:v>0</x:v>
      </x:c>
      <x:c r="Z476" s="35" t="str">
        <x:v>Synthetic lease-authorized late fee</x:v>
      </x:c>
    </x:row>
    <x:row r="477">
      <x:c r="A477" s="20" t="str">
        <x:v>FIN-00474</x:v>
      </x:c>
      <x:c r="B477" s="23" t="n">
        <x:v>46546</x:v>
      </x:c>
      <x:c r="C477" s="23" t="n">
        <x:v>46546</x:v>
      </x:c>
      <x:c r="D477" s="20" t="str">
        <x:v>TenantReceipt</x:v>
      </x:c>
      <x:c r="E477" s="20" t="str">
        <x:v>Rent receipt</x:v>
      </x:c>
      <x:c r="F477" s="20" t="str">
        <x:v>P023</x:v>
      </x:c>
      <x:c r="G477" s="20" t="str">
        <x:v>U026</x:v>
      </x:c>
      <x:c r="H477" s="20" t="str">
        <x:v>L026</x:v>
      </x:c>
      <x:c r="I477" s="20" t="str">
        <x:v>Elena Lewis</x:v>
      </x:c>
      <x:c r="J477" s="35" t="str">
        <x:v>Scanned money order</x:v>
      </x:c>
      <x:c r="K477" s="20" t="str">
        <x:v>SCN-0207</x:v>
      </x:c>
      <x:c r="L477" s="20" t="str">
        <x:v>PMT-20270608-L026</x:v>
      </x:c>
      <x:c r="M477" s="26" t="n">
        <x:v>1350</x:v>
      </x:c>
      <x:c r="N477" s="26" t="n">
        <x:v>-1350</x:v>
      </x:c>
      <x:c r="O477" s="26" t="n">
        <x:v>1350</x:v>
      </x:c>
      <x:c r="P477" s="26" t="n">
        <x:v>0</x:v>
      </x:c>
      <x:c r="Q477" s="26" t="n">
        <x:v>0</x:v>
      </x:c>
      <x:c r="R477" s="26" t="n">
        <x:v>0</x:v>
      </x:c>
      <x:c r="S477" s="26" t="n">
        <x:v>0</x:v>
      </x:c>
      <x:c r="T477" s="26" t="n">
        <x:v>0</x:v>
      </x:c>
      <x:c r="U477" s="26" t="n">
        <x:v>0</x:v>
      </x:c>
      <x:c r="V477" s="26" t="n">
        <x:v>0</x:v>
      </x:c>
      <x:c r="W477" s="26" t="n">
        <x:v>0</x:v>
      </x:c>
      <x:c r="X477" s="26" t="n">
        <x:v>0</x:v>
      </x:c>
      <x:c r="Y477" s="26" t="n">
        <x:v>0</x:v>
      </x:c>
      <x:c r="Z477" s="35" t="str">
        <x:v>Receipt allocated to FIN-00473</x:v>
      </x:c>
    </x:row>
    <x:row r="478">
      <x:c r="A478" s="20" t="str">
        <x:v>FIN-00475</x:v>
      </x:c>
      <x:c r="B478" s="23" t="n">
        <x:v>46539</x:v>
      </x:c>
      <x:c r="C478" s="23" t="n">
        <x:v>46539</x:v>
      </x:c>
      <x:c r="D478" s="20" t="str">
        <x:v>TenantCharge</x:v>
      </x:c>
      <x:c r="E478" s="20" t="str">
        <x:v>Rent</x:v>
      </x:c>
      <x:c r="F478" s="20" t="str">
        <x:v>P024</x:v>
      </x:c>
      <x:c r="G478" s="20" t="str">
        <x:v>U027</x:v>
      </x:c>
      <x:c r="H478" s="20" t="str">
        <x:v>L027</x:v>
      </x:c>
      <x:c r="I478" s="20" t="str">
        <x:v>Hector Reed</x:v>
      </x:c>
      <x:c r="J478" s="35" t="str">
        <x:v>System scheduled charge</x:v>
      </x:c>
      <x:c r="K478" s="20" t="str"/>
      <x:c r="L478" s="20" t="str">
        <x:v>RENT-202706-L027</x:v>
      </x:c>
      <x:c r="M478" s="26" t="n">
        <x:v>1825</x:v>
      </x:c>
      <x:c r="N478" s="26" t="n">
        <x:v>1825</x:v>
      </x:c>
      <x:c r="O478" s="26" t="n">
        <x:v>0</x:v>
      </x:c>
      <x:c r="P478" s="26" t="n">
        <x:v>0</x:v>
      </x:c>
      <x:c r="Q478" s="26" t="n">
        <x:v>0</x:v>
      </x:c>
      <x:c r="R478" s="26" t="n">
        <x:v>0</x:v>
      </x:c>
      <x:c r="S478" s="26" t="n">
        <x:v>0</x:v>
      </x:c>
      <x:c r="T478" s="26" t="n">
        <x:v>1825</x:v>
      </x:c>
      <x:c r="U478" s="26" t="n">
        <x:v>0</x:v>
      </x:c>
      <x:c r="V478" s="26" t="n">
        <x:v>0</x:v>
      </x:c>
      <x:c r="W478" s="26" t="n">
        <x:v>0</x:v>
      </x:c>
      <x:c r="X478" s="26" t="n">
        <x:v>0</x:v>
      </x:c>
      <x:c r="Y478" s="26" t="n">
        <x:v>0</x:v>
      </x:c>
      <x:c r="Z478" s="35" t="str">
        <x:v>June 2027 rent</x:v>
      </x:c>
    </x:row>
    <x:row r="479">
      <x:c r="A479" s="20" t="str">
        <x:v>FIN-00476</x:v>
      </x:c>
      <x:c r="B479" s="23" t="n">
        <x:v>46541</x:v>
      </x:c>
      <x:c r="C479" s="23" t="n">
        <x:v>46541</x:v>
      </x:c>
      <x:c r="D479" s="20" t="str">
        <x:v>TenantReceipt</x:v>
      </x:c>
      <x:c r="E479" s="20" t="str">
        <x:v>Rent receipt</x:v>
      </x:c>
      <x:c r="F479" s="20" t="str">
        <x:v>P024</x:v>
      </x:c>
      <x:c r="G479" s="20" t="str">
        <x:v>U027</x:v>
      </x:c>
      <x:c r="H479" s="20" t="str">
        <x:v>L027</x:v>
      </x:c>
      <x:c r="I479" s="20" t="str">
        <x:v>Hector Reed</x:v>
      </x:c>
      <x:c r="J479" s="35" t="str">
        <x:v>Portal card</x:v>
      </x:c>
      <x:c r="K479" s="20" t="str"/>
      <x:c r="L479" s="20" t="str">
        <x:v>PMT-20270603-L027</x:v>
      </x:c>
      <x:c r="M479" s="26" t="n">
        <x:v>1825</x:v>
      </x:c>
      <x:c r="N479" s="26" t="n">
        <x:v>-1825</x:v>
      </x:c>
      <x:c r="O479" s="26" t="n">
        <x:v>1825</x:v>
      </x:c>
      <x:c r="P479" s="26" t="n">
        <x:v>0</x:v>
      </x:c>
      <x:c r="Q479" s="26" t="n">
        <x:v>0</x:v>
      </x:c>
      <x:c r="R479" s="26" t="n">
        <x:v>0</x:v>
      </x:c>
      <x:c r="S479" s="26" t="n">
        <x:v>0</x:v>
      </x:c>
      <x:c r="T479" s="26" t="n">
        <x:v>0</x:v>
      </x:c>
      <x:c r="U479" s="26" t="n">
        <x:v>0</x:v>
      </x:c>
      <x:c r="V479" s="26" t="n">
        <x:v>0</x:v>
      </x:c>
      <x:c r="W479" s="26" t="n">
        <x:v>0</x:v>
      </x:c>
      <x:c r="X479" s="26" t="n">
        <x:v>0</x:v>
      </x:c>
      <x:c r="Y479" s="26" t="n">
        <x:v>0</x:v>
      </x:c>
      <x:c r="Z479" s="35" t="str">
        <x:v>Receipt allocated to FIN-00475</x:v>
      </x:c>
    </x:row>
    <x:row r="480">
      <x:c r="A480" s="20" t="str">
        <x:v>FIN-00477</x:v>
      </x:c>
      <x:c r="B480" s="23" t="n">
        <x:v>46539</x:v>
      </x:c>
      <x:c r="C480" s="23" t="n">
        <x:v>46539</x:v>
      </x:c>
      <x:c r="D480" s="20" t="str">
        <x:v>TenantCharge</x:v>
      </x:c>
      <x:c r="E480" s="20" t="str">
        <x:v>Rent</x:v>
      </x:c>
      <x:c r="F480" s="20" t="str">
        <x:v>P024</x:v>
      </x:c>
      <x:c r="G480" s="20" t="str">
        <x:v>U028</x:v>
      </x:c>
      <x:c r="H480" s="20" t="str">
        <x:v>L028</x:v>
      </x:c>
      <x:c r="I480" s="20" t="str">
        <x:v>Keira Adams</x:v>
      </x:c>
      <x:c r="J480" s="35" t="str">
        <x:v>System scheduled charge</x:v>
      </x:c>
      <x:c r="K480" s="20" t="str"/>
      <x:c r="L480" s="20" t="str">
        <x:v>RENT-202706-L028</x:v>
      </x:c>
      <x:c r="M480" s="26" t="n">
        <x:v>1450</x:v>
      </x:c>
      <x:c r="N480" s="26" t="n">
        <x:v>1450</x:v>
      </x:c>
      <x:c r="O480" s="26" t="n">
        <x:v>0</x:v>
      </x:c>
      <x:c r="P480" s="26" t="n">
        <x:v>0</x:v>
      </x:c>
      <x:c r="Q480" s="26" t="n">
        <x:v>0</x:v>
      </x:c>
      <x:c r="R480" s="26" t="n">
        <x:v>0</x:v>
      </x:c>
      <x:c r="S480" s="26" t="n">
        <x:v>0</x:v>
      </x:c>
      <x:c r="T480" s="26" t="n">
        <x:v>1450</x:v>
      </x:c>
      <x:c r="U480" s="26" t="n">
        <x:v>0</x:v>
      </x:c>
      <x:c r="V480" s="26" t="n">
        <x:v>0</x:v>
      </x:c>
      <x:c r="W480" s="26" t="n">
        <x:v>0</x:v>
      </x:c>
      <x:c r="X480" s="26" t="n">
        <x:v>0</x:v>
      </x:c>
      <x:c r="Y480" s="26" t="n">
        <x:v>0</x:v>
      </x:c>
      <x:c r="Z480" s="35" t="str">
        <x:v>June 2027 rent</x:v>
      </x:c>
    </x:row>
    <x:row r="481">
      <x:c r="A481" s="20" t="str">
        <x:v>FIN-00478</x:v>
      </x:c>
      <x:c r="B481" s="23" t="n">
        <x:v>46542</x:v>
      </x:c>
      <x:c r="C481" s="23" t="n">
        <x:v>46542</x:v>
      </x:c>
      <x:c r="D481" s="20" t="str">
        <x:v>TenantReceipt</x:v>
      </x:c>
      <x:c r="E481" s="20" t="str">
        <x:v>Rent receipt</x:v>
      </x:c>
      <x:c r="F481" s="20" t="str">
        <x:v>P024</x:v>
      </x:c>
      <x:c r="G481" s="20" t="str">
        <x:v>U028</x:v>
      </x:c>
      <x:c r="H481" s="20" t="str">
        <x:v>L028</x:v>
      </x:c>
      <x:c r="I481" s="20" t="str">
        <x:v>Keira Adams</x:v>
      </x:c>
      <x:c r="J481" s="35" t="str">
        <x:v>Scanned check</x:v>
      </x:c>
      <x:c r="K481" s="20" t="str">
        <x:v>SCN-0208</x:v>
      </x:c>
      <x:c r="L481" s="20" t="str">
        <x:v>PMT-20270604-L028</x:v>
      </x:c>
      <x:c r="M481" s="26" t="n">
        <x:v>1450</x:v>
      </x:c>
      <x:c r="N481" s="26" t="n">
        <x:v>-1450</x:v>
      </x:c>
      <x:c r="O481" s="26" t="n">
        <x:v>1450</x:v>
      </x:c>
      <x:c r="P481" s="26" t="n">
        <x:v>0</x:v>
      </x:c>
      <x:c r="Q481" s="26" t="n">
        <x:v>0</x:v>
      </x:c>
      <x:c r="R481" s="26" t="n">
        <x:v>0</x:v>
      </x:c>
      <x:c r="S481" s="26" t="n">
        <x:v>0</x:v>
      </x:c>
      <x:c r="T481" s="26" t="n">
        <x:v>0</x:v>
      </x:c>
      <x:c r="U481" s="26" t="n">
        <x:v>0</x:v>
      </x:c>
      <x:c r="V481" s="26" t="n">
        <x:v>0</x:v>
      </x:c>
      <x:c r="W481" s="26" t="n">
        <x:v>0</x:v>
      </x:c>
      <x:c r="X481" s="26" t="n">
        <x:v>0</x:v>
      </x:c>
      <x:c r="Y481" s="26" t="n">
        <x:v>0</x:v>
      </x:c>
      <x:c r="Z481" s="35" t="str">
        <x:v>Receipt allocated to FIN-00477</x:v>
      </x:c>
    </x:row>
    <x:row r="482">
      <x:c r="A482" s="20" t="str">
        <x:v>FIN-00479</x:v>
      </x:c>
      <x:c r="B482" s="23" t="n">
        <x:v>46539</x:v>
      </x:c>
      <x:c r="C482" s="23" t="n">
        <x:v>46539</x:v>
      </x:c>
      <x:c r="D482" s="20" t="str">
        <x:v>TenantCharge</x:v>
      </x:c>
      <x:c r="E482" s="20" t="str">
        <x:v>Rent</x:v>
      </x:c>
      <x:c r="F482" s="20" t="str">
        <x:v>P025</x:v>
      </x:c>
      <x:c r="G482" s="20" t="str">
        <x:v>U029</x:v>
      </x:c>
      <x:c r="H482" s="20" t="str">
        <x:v>L029</x:v>
      </x:c>
      <x:c r="I482" s="20" t="str">
        <x:v>Nolan Flores</x:v>
      </x:c>
      <x:c r="J482" s="35" t="str">
        <x:v>System scheduled charge</x:v>
      </x:c>
      <x:c r="K482" s="20" t="str"/>
      <x:c r="L482" s="20" t="str">
        <x:v>RENT-202706-L029</x:v>
      </x:c>
      <x:c r="M482" s="26" t="n">
        <x:v>1975</x:v>
      </x:c>
      <x:c r="N482" s="26" t="n">
        <x:v>1975</x:v>
      </x:c>
      <x:c r="O482" s="26" t="n">
        <x:v>0</x:v>
      </x:c>
      <x:c r="P482" s="26" t="n">
        <x:v>0</x:v>
      </x:c>
      <x:c r="Q482" s="26" t="n">
        <x:v>0</x:v>
      </x:c>
      <x:c r="R482" s="26" t="n">
        <x:v>0</x:v>
      </x:c>
      <x:c r="S482" s="26" t="n">
        <x:v>0</x:v>
      </x:c>
      <x:c r="T482" s="26" t="n">
        <x:v>1975</x:v>
      </x:c>
      <x:c r="U482" s="26" t="n">
        <x:v>0</x:v>
      </x:c>
      <x:c r="V482" s="26" t="n">
        <x:v>0</x:v>
      </x:c>
      <x:c r="W482" s="26" t="n">
        <x:v>0</x:v>
      </x:c>
      <x:c r="X482" s="26" t="n">
        <x:v>0</x:v>
      </x:c>
      <x:c r="Y482" s="26" t="n">
        <x:v>0</x:v>
      </x:c>
      <x:c r="Z482" s="35" t="str">
        <x:v>June 2027 rent</x:v>
      </x:c>
    </x:row>
    <x:row r="483">
      <x:c r="A483" s="20" t="str">
        <x:v>FIN-00480</x:v>
      </x:c>
      <x:c r="B483" s="23" t="n">
        <x:v>46543</x:v>
      </x:c>
      <x:c r="C483" s="23" t="n">
        <x:v>46543</x:v>
      </x:c>
      <x:c r="D483" s="20" t="str">
        <x:v>TenantReceipt</x:v>
      </x:c>
      <x:c r="E483" s="20" t="str">
        <x:v>Rent receipt</x:v>
      </x:c>
      <x:c r="F483" s="20" t="str">
        <x:v>P025</x:v>
      </x:c>
      <x:c r="G483" s="20" t="str">
        <x:v>U029</x:v>
      </x:c>
      <x:c r="H483" s="20" t="str">
        <x:v>L029</x:v>
      </x:c>
      <x:c r="I483" s="20" t="str">
        <x:v>Nolan Flores</x:v>
      </x:c>
      <x:c r="J483" s="35" t="str">
        <x:v>Scanned money order</x:v>
      </x:c>
      <x:c r="K483" s="20" t="str">
        <x:v>SCN-0209</x:v>
      </x:c>
      <x:c r="L483" s="20" t="str">
        <x:v>PMT-20270605-L029</x:v>
      </x:c>
      <x:c r="M483" s="26" t="n">
        <x:v>1975</x:v>
      </x:c>
      <x:c r="N483" s="26" t="n">
        <x:v>-1975</x:v>
      </x:c>
      <x:c r="O483" s="26" t="n">
        <x:v>1975</x:v>
      </x:c>
      <x:c r="P483" s="26" t="n">
        <x:v>0</x:v>
      </x:c>
      <x:c r="Q483" s="26" t="n">
        <x:v>0</x:v>
      </x:c>
      <x:c r="R483" s="26" t="n">
        <x:v>0</x:v>
      </x:c>
      <x:c r="S483" s="26" t="n">
        <x:v>0</x:v>
      </x:c>
      <x:c r="T483" s="26" t="n">
        <x:v>0</x:v>
      </x:c>
      <x:c r="U483" s="26" t="n">
        <x:v>0</x:v>
      </x:c>
      <x:c r="V483" s="26" t="n">
        <x:v>0</x:v>
      </x:c>
      <x:c r="W483" s="26" t="n">
        <x:v>0</x:v>
      </x:c>
      <x:c r="X483" s="26" t="n">
        <x:v>0</x:v>
      </x:c>
      <x:c r="Y483" s="26" t="n">
        <x:v>0</x:v>
      </x:c>
      <x:c r="Z483" s="35" t="str">
        <x:v>Receipt allocated to FIN-00479</x:v>
      </x:c>
    </x:row>
    <x:row r="484">
      <x:c r="A484" s="20" t="str">
        <x:v>FIN-00481</x:v>
      </x:c>
      <x:c r="B484" s="23" t="n">
        <x:v>46539</x:v>
      </x:c>
      <x:c r="C484" s="23" t="n">
        <x:v>46539</x:v>
      </x:c>
      <x:c r="D484" s="20" t="str">
        <x:v>TenantCharge</x:v>
      </x:c>
      <x:c r="E484" s="20" t="str">
        <x:v>Rent</x:v>
      </x:c>
      <x:c r="F484" s="20" t="str">
        <x:v>P025</x:v>
      </x:c>
      <x:c r="G484" s="20" t="str">
        <x:v>U030</x:v>
      </x:c>
      <x:c r="H484" s="20" t="str">
        <x:v>L030</x:v>
      </x:c>
      <x:c r="I484" s="20" t="str">
        <x:v>Rina King</x:v>
      </x:c>
      <x:c r="J484" s="35" t="str">
        <x:v>System scheduled charge</x:v>
      </x:c>
      <x:c r="K484" s="20" t="str"/>
      <x:c r="L484" s="20" t="str">
        <x:v>RENT-202706-L030</x:v>
      </x:c>
      <x:c r="M484" s="26" t="n">
        <x:v>1600</x:v>
      </x:c>
      <x:c r="N484" s="26" t="n">
        <x:v>1600</x:v>
      </x:c>
      <x:c r="O484" s="26" t="n">
        <x:v>0</x:v>
      </x:c>
      <x:c r="P484" s="26" t="n">
        <x:v>0</x:v>
      </x:c>
      <x:c r="Q484" s="26" t="n">
        <x:v>0</x:v>
      </x:c>
      <x:c r="R484" s="26" t="n">
        <x:v>0</x:v>
      </x:c>
      <x:c r="S484" s="26" t="n">
        <x:v>0</x:v>
      </x:c>
      <x:c r="T484" s="26" t="n">
        <x:v>1600</x:v>
      </x:c>
      <x:c r="U484" s="26" t="n">
        <x:v>0</x:v>
      </x:c>
      <x:c r="V484" s="26" t="n">
        <x:v>0</x:v>
      </x:c>
      <x:c r="W484" s="26" t="n">
        <x:v>0</x:v>
      </x:c>
      <x:c r="X484" s="26" t="n">
        <x:v>0</x:v>
      </x:c>
      <x:c r="Y484" s="26" t="n">
        <x:v>0</x:v>
      </x:c>
      <x:c r="Z484" s="35" t="str">
        <x:v>June 2027 rent</x:v>
      </x:c>
    </x:row>
    <x:row r="485">
      <x:c r="A485" s="20" t="str">
        <x:v>FIN-00482</x:v>
      </x:c>
      <x:c r="B485" s="23" t="n">
        <x:v>46541</x:v>
      </x:c>
      <x:c r="C485" s="23" t="n">
        <x:v>46541</x:v>
      </x:c>
      <x:c r="D485" s="20" t="str">
        <x:v>TenantReceipt</x:v>
      </x:c>
      <x:c r="E485" s="20" t="str">
        <x:v>Rent receipt</x:v>
      </x:c>
      <x:c r="F485" s="20" t="str">
        <x:v>P025</x:v>
      </x:c>
      <x:c r="G485" s="20" t="str">
        <x:v>U030</x:v>
      </x:c>
      <x:c r="H485" s="20" t="str">
        <x:v>L030</x:v>
      </x:c>
      <x:c r="I485" s="20" t="str">
        <x:v>Rina King</x:v>
      </x:c>
      <x:c r="J485" s="35" t="str">
        <x:v>Manual ACH</x:v>
      </x:c>
      <x:c r="K485" s="20" t="str"/>
      <x:c r="L485" s="20" t="str">
        <x:v>PMT-20270603-L030</x:v>
      </x:c>
      <x:c r="M485" s="26" t="n">
        <x:v>1600</x:v>
      </x:c>
      <x:c r="N485" s="26" t="n">
        <x:v>-1600</x:v>
      </x:c>
      <x:c r="O485" s="26" t="n">
        <x:v>1600</x:v>
      </x:c>
      <x:c r="P485" s="26" t="n">
        <x:v>0</x:v>
      </x:c>
      <x:c r="Q485" s="26" t="n">
        <x:v>0</x:v>
      </x:c>
      <x:c r="R485" s="26" t="n">
        <x:v>0</x:v>
      </x:c>
      <x:c r="S485" s="26" t="n">
        <x:v>0</x:v>
      </x:c>
      <x:c r="T485" s="26" t="n">
        <x:v>0</x:v>
      </x:c>
      <x:c r="U485" s="26" t="n">
        <x:v>0</x:v>
      </x:c>
      <x:c r="V485" s="26" t="n">
        <x:v>0</x:v>
      </x:c>
      <x:c r="W485" s="26" t="n">
        <x:v>0</x:v>
      </x:c>
      <x:c r="X485" s="26" t="n">
        <x:v>0</x:v>
      </x:c>
      <x:c r="Y485" s="26" t="n">
        <x:v>0</x:v>
      </x:c>
      <x:c r="Z485" s="35" t="str">
        <x:v>Receipt allocated to FIN-00481</x:v>
      </x:c>
    </x:row>
    <x:row r="486">
      <x:c r="A486" s="20" t="str">
        <x:v>FIN-00483</x:v>
      </x:c>
      <x:c r="B486" s="23" t="n">
        <x:v>46539</x:v>
      </x:c>
      <x:c r="C486" s="23" t="n">
        <x:v>46539</x:v>
      </x:c>
      <x:c r="D486" s="20" t="str">
        <x:v>TenantCharge</x:v>
      </x:c>
      <x:c r="E486" s="20" t="str">
        <x:v>Rent</x:v>
      </x:c>
      <x:c r="F486" s="20" t="str">
        <x:v>P026</x:v>
      </x:c>
      <x:c r="G486" s="20" t="str">
        <x:v>U031</x:v>
      </x:c>
      <x:c r="H486" s="20" t="str">
        <x:v>L031</x:v>
      </x:c>
      <x:c r="I486" s="20" t="str">
        <x:v>Uri Price</x:v>
      </x:c>
      <x:c r="J486" s="35" t="str">
        <x:v>System scheduled charge</x:v>
      </x:c>
      <x:c r="K486" s="20" t="str"/>
      <x:c r="L486" s="20" t="str">
        <x:v>RENT-202706-L031</x:v>
      </x:c>
      <x:c r="M486" s="26" t="n">
        <x:v>1225</x:v>
      </x:c>
      <x:c r="N486" s="26" t="n">
        <x:v>1225</x:v>
      </x:c>
      <x:c r="O486" s="26" t="n">
        <x:v>0</x:v>
      </x:c>
      <x:c r="P486" s="26" t="n">
        <x:v>0</x:v>
      </x:c>
      <x:c r="Q486" s="26" t="n">
        <x:v>0</x:v>
      </x:c>
      <x:c r="R486" s="26" t="n">
        <x:v>0</x:v>
      </x:c>
      <x:c r="S486" s="26" t="n">
        <x:v>0</x:v>
      </x:c>
      <x:c r="T486" s="26" t="n">
        <x:v>1225</x:v>
      </x:c>
      <x:c r="U486" s="26" t="n">
        <x:v>0</x:v>
      </x:c>
      <x:c r="V486" s="26" t="n">
        <x:v>0</x:v>
      </x:c>
      <x:c r="W486" s="26" t="n">
        <x:v>0</x:v>
      </x:c>
      <x:c r="X486" s="26" t="n">
        <x:v>0</x:v>
      </x:c>
      <x:c r="Y486" s="26" t="n">
        <x:v>0</x:v>
      </x:c>
      <x:c r="Z486" s="35" t="str">
        <x:v>June 2027 rent</x:v>
      </x:c>
    </x:row>
    <x:row r="487">
      <x:c r="A487" s="20" t="str">
        <x:v>FIN-00484</x:v>
      </x:c>
      <x:c r="B487" s="23" t="n">
        <x:v>46542</x:v>
      </x:c>
      <x:c r="C487" s="23" t="n">
        <x:v>46542</x:v>
      </x:c>
      <x:c r="D487" s="20" t="str">
        <x:v>TenantReceipt</x:v>
      </x:c>
      <x:c r="E487" s="20" t="str">
        <x:v>Rent receipt</x:v>
      </x:c>
      <x:c r="F487" s="20" t="str">
        <x:v>P026</x:v>
      </x:c>
      <x:c r="G487" s="20" t="str">
        <x:v>U031</x:v>
      </x:c>
      <x:c r="H487" s="20" t="str">
        <x:v>L031</x:v>
      </x:c>
      <x:c r="I487" s="20" t="str">
        <x:v>Uri Price</x:v>
      </x:c>
      <x:c r="J487" s="35" t="str">
        <x:v>Portal card</x:v>
      </x:c>
      <x:c r="K487" s="20" t="str"/>
      <x:c r="L487" s="20" t="str">
        <x:v>PMT-20270604-L031</x:v>
      </x:c>
      <x:c r="M487" s="26" t="n">
        <x:v>1225</x:v>
      </x:c>
      <x:c r="N487" s="26" t="n">
        <x:v>-1225</x:v>
      </x:c>
      <x:c r="O487" s="26" t="n">
        <x:v>1225</x:v>
      </x:c>
      <x:c r="P487" s="26" t="n">
        <x:v>0</x:v>
      </x:c>
      <x:c r="Q487" s="26" t="n">
        <x:v>0</x:v>
      </x:c>
      <x:c r="R487" s="26" t="n">
        <x:v>0</x:v>
      </x:c>
      <x:c r="S487" s="26" t="n">
        <x:v>0</x:v>
      </x:c>
      <x:c r="T487" s="26" t="n">
        <x:v>0</x:v>
      </x:c>
      <x:c r="U487" s="26" t="n">
        <x:v>0</x:v>
      </x:c>
      <x:c r="V487" s="26" t="n">
        <x:v>0</x:v>
      </x:c>
      <x:c r="W487" s="26" t="n">
        <x:v>0</x:v>
      </x:c>
      <x:c r="X487" s="26" t="n">
        <x:v>0</x:v>
      </x:c>
      <x:c r="Y487" s="26" t="n">
        <x:v>0</x:v>
      </x:c>
      <x:c r="Z487" s="35" t="str">
        <x:v>Receipt allocated to FIN-00483</x:v>
      </x:c>
    </x:row>
    <x:row r="488">
      <x:c r="A488" s="20" t="str">
        <x:v>FIN-00485</x:v>
      </x:c>
      <x:c r="B488" s="23" t="n">
        <x:v>46539</x:v>
      </x:c>
      <x:c r="C488" s="23" t="n">
        <x:v>46539</x:v>
      </x:c>
      <x:c r="D488" s="20" t="str">
        <x:v>TenantCharge</x:v>
      </x:c>
      <x:c r="E488" s="20" t="str">
        <x:v>Rent</x:v>
      </x:c>
      <x:c r="F488" s="20" t="str">
        <x:v>P026</x:v>
      </x:c>
      <x:c r="G488" s="20" t="str">
        <x:v>U032</x:v>
      </x:c>
      <x:c r="H488" s="20" t="str">
        <x:v>L032</x:v>
      </x:c>
      <x:c r="I488" s="20" t="str">
        <x:v>Avery Brooks</x:v>
      </x:c>
      <x:c r="J488" s="35" t="str">
        <x:v>System scheduled charge</x:v>
      </x:c>
      <x:c r="K488" s="20" t="str"/>
      <x:c r="L488" s="20" t="str">
        <x:v>RENT-202706-L032</x:v>
      </x:c>
      <x:c r="M488" s="26" t="n">
        <x:v>1750</x:v>
      </x:c>
      <x:c r="N488" s="26" t="n">
        <x:v>1750</x:v>
      </x:c>
      <x:c r="O488" s="26" t="n">
        <x:v>0</x:v>
      </x:c>
      <x:c r="P488" s="26" t="n">
        <x:v>0</x:v>
      </x:c>
      <x:c r="Q488" s="26" t="n">
        <x:v>0</x:v>
      </x:c>
      <x:c r="R488" s="26" t="n">
        <x:v>0</x:v>
      </x:c>
      <x:c r="S488" s="26" t="n">
        <x:v>0</x:v>
      </x:c>
      <x:c r="T488" s="26" t="n">
        <x:v>1750</x:v>
      </x:c>
      <x:c r="U488" s="26" t="n">
        <x:v>0</x:v>
      </x:c>
      <x:c r="V488" s="26" t="n">
        <x:v>0</x:v>
      </x:c>
      <x:c r="W488" s="26" t="n">
        <x:v>0</x:v>
      </x:c>
      <x:c r="X488" s="26" t="n">
        <x:v>0</x:v>
      </x:c>
      <x:c r="Y488" s="26" t="n">
        <x:v>0</x:v>
      </x:c>
      <x:c r="Z488" s="35" t="str">
        <x:v>June 2027 rent</x:v>
      </x:c>
    </x:row>
    <x:row r="489">
      <x:c r="A489" s="20" t="str">
        <x:v>FIN-00486</x:v>
      </x:c>
      <x:c r="B489" s="23" t="n">
        <x:v>46543</x:v>
      </x:c>
      <x:c r="C489" s="23" t="n">
        <x:v>46543</x:v>
      </x:c>
      <x:c r="D489" s="20" t="str">
        <x:v>TenantReceipt</x:v>
      </x:c>
      <x:c r="E489" s="20" t="str">
        <x:v>Rent receipt</x:v>
      </x:c>
      <x:c r="F489" s="20" t="str">
        <x:v>P026</x:v>
      </x:c>
      <x:c r="G489" s="20" t="str">
        <x:v>U032</x:v>
      </x:c>
      <x:c r="H489" s="20" t="str">
        <x:v>L032</x:v>
      </x:c>
      <x:c r="I489" s="20" t="str">
        <x:v>Avery Brooks</x:v>
      </x:c>
      <x:c r="J489" s="35" t="str">
        <x:v>Scanned check</x:v>
      </x:c>
      <x:c r="K489" s="20" t="str">
        <x:v>SCN-0210</x:v>
      </x:c>
      <x:c r="L489" s="20" t="str">
        <x:v>PMT-20270605-L032</x:v>
      </x:c>
      <x:c r="M489" s="26" t="n">
        <x:v>1750</x:v>
      </x:c>
      <x:c r="N489" s="26" t="n">
        <x:v>-1750</x:v>
      </x:c>
      <x:c r="O489" s="26" t="n">
        <x:v>1750</x:v>
      </x:c>
      <x:c r="P489" s="26" t="n">
        <x:v>0</x:v>
      </x:c>
      <x:c r="Q489" s="26" t="n">
        <x:v>0</x:v>
      </x:c>
      <x:c r="R489" s="26" t="n">
        <x:v>0</x:v>
      </x:c>
      <x:c r="S489" s="26" t="n">
        <x:v>0</x:v>
      </x:c>
      <x:c r="T489" s="26" t="n">
        <x:v>0</x:v>
      </x:c>
      <x:c r="U489" s="26" t="n">
        <x:v>0</x:v>
      </x:c>
      <x:c r="V489" s="26" t="n">
        <x:v>0</x:v>
      </x:c>
      <x:c r="W489" s="26" t="n">
        <x:v>0</x:v>
      </x:c>
      <x:c r="X489" s="26" t="n">
        <x:v>0</x:v>
      </x:c>
      <x:c r="Y489" s="26" t="n">
        <x:v>0</x:v>
      </x:c>
      <x:c r="Z489" s="35" t="str">
        <x:v>Receipt allocated to FIN-00485</x:v>
      </x:c>
    </x:row>
    <x:row r="490">
      <x:c r="A490" s="20" t="str">
        <x:v>FIN-00487</x:v>
      </x:c>
      <x:c r="B490" s="23" t="n">
        <x:v>46539</x:v>
      </x:c>
      <x:c r="C490" s="23" t="n">
        <x:v>46539</x:v>
      </x:c>
      <x:c r="D490" s="20" t="str">
        <x:v>TenantCharge</x:v>
      </x:c>
      <x:c r="E490" s="20" t="str">
        <x:v>Rent</x:v>
      </x:c>
      <x:c r="F490" s="20" t="str">
        <x:v>P027</x:v>
      </x:c>
      <x:c r="G490" s="20" t="str">
        <x:v>U033</x:v>
      </x:c>
      <x:c r="H490" s="20" t="str">
        <x:v>L033</x:v>
      </x:c>
      <x:c r="I490" s="20" t="str">
        <x:v>Dana Garcia</x:v>
      </x:c>
      <x:c r="J490" s="35" t="str">
        <x:v>System scheduled charge</x:v>
      </x:c>
      <x:c r="K490" s="20" t="str"/>
      <x:c r="L490" s="20" t="str">
        <x:v>RENT-202706-L033</x:v>
      </x:c>
      <x:c r="M490" s="26" t="n">
        <x:v>1375</x:v>
      </x:c>
      <x:c r="N490" s="26" t="n">
        <x:v>1375</x:v>
      </x:c>
      <x:c r="O490" s="26" t="n">
        <x:v>0</x:v>
      </x:c>
      <x:c r="P490" s="26" t="n">
        <x:v>0</x:v>
      </x:c>
      <x:c r="Q490" s="26" t="n">
        <x:v>0</x:v>
      </x:c>
      <x:c r="R490" s="26" t="n">
        <x:v>0</x:v>
      </x:c>
      <x:c r="S490" s="26" t="n">
        <x:v>0</x:v>
      </x:c>
      <x:c r="T490" s="26" t="n">
        <x:v>1375</x:v>
      </x:c>
      <x:c r="U490" s="26" t="n">
        <x:v>0</x:v>
      </x:c>
      <x:c r="V490" s="26" t="n">
        <x:v>0</x:v>
      </x:c>
      <x:c r="W490" s="26" t="n">
        <x:v>0</x:v>
      </x:c>
      <x:c r="X490" s="26" t="n">
        <x:v>0</x:v>
      </x:c>
      <x:c r="Y490" s="26" t="n">
        <x:v>0</x:v>
      </x:c>
      <x:c r="Z490" s="35" t="str">
        <x:v>June 2027 rent</x:v>
      </x:c>
    </x:row>
    <x:row r="491">
      <x:c r="A491" s="20" t="str">
        <x:v>FIN-00488</x:v>
      </x:c>
      <x:c r="B491" s="23" t="n">
        <x:v>46541</x:v>
      </x:c>
      <x:c r="C491" s="23" t="n">
        <x:v>46541</x:v>
      </x:c>
      <x:c r="D491" s="20" t="str">
        <x:v>TenantReceipt</x:v>
      </x:c>
      <x:c r="E491" s="20" t="str">
        <x:v>Rent receipt</x:v>
      </x:c>
      <x:c r="F491" s="20" t="str">
        <x:v>P027</x:v>
      </x:c>
      <x:c r="G491" s="20" t="str">
        <x:v>U033</x:v>
      </x:c>
      <x:c r="H491" s="20" t="str">
        <x:v>L033</x:v>
      </x:c>
      <x:c r="I491" s="20" t="str">
        <x:v>Dana Garcia</x:v>
      </x:c>
      <x:c r="J491" s="35" t="str">
        <x:v>Scanned money order</x:v>
      </x:c>
      <x:c r="K491" s="20" t="str">
        <x:v>SCN-0211</x:v>
      </x:c>
      <x:c r="L491" s="20" t="str">
        <x:v>PMT-20270603-L033-A</x:v>
      </x:c>
      <x:c r="M491" s="26" t="n">
        <x:v>825</x:v>
      </x:c>
      <x:c r="N491" s="26" t="n">
        <x:v>-825</x:v>
      </x:c>
      <x:c r="O491" s="26" t="n">
        <x:v>825</x:v>
      </x:c>
      <x:c r="P491" s="26" t="n">
        <x:v>0</x:v>
      </x:c>
      <x:c r="Q491" s="26" t="n">
        <x:v>0</x:v>
      </x:c>
      <x:c r="R491" s="26" t="n">
        <x:v>0</x:v>
      </x:c>
      <x:c r="S491" s="26" t="n">
        <x:v>0</x:v>
      </x:c>
      <x:c r="T491" s="26" t="n">
        <x:v>0</x:v>
      </x:c>
      <x:c r="U491" s="26" t="n">
        <x:v>0</x:v>
      </x:c>
      <x:c r="V491" s="26" t="n">
        <x:v>0</x:v>
      </x:c>
      <x:c r="W491" s="26" t="n">
        <x:v>0</x:v>
      </x:c>
      <x:c r="X491" s="26" t="n">
        <x:v>0</x:v>
      </x:c>
      <x:c r="Y491" s="26" t="n">
        <x:v>0</x:v>
      </x:c>
      <x:c r="Z491" s="35" t="str">
        <x:v>Receipt allocated to FIN-00487</x:v>
      </x:c>
    </x:row>
    <x:row r="492">
      <x:c r="A492" s="20" t="str">
        <x:v>FIN-00489</x:v>
      </x:c>
      <x:c r="B492" s="23" t="n">
        <x:v>46544</x:v>
      </x:c>
      <x:c r="C492" s="23" t="n">
        <x:v>46544</x:v>
      </x:c>
      <x:c r="D492" s="20" t="str">
        <x:v>TenantCharge</x:v>
      </x:c>
      <x:c r="E492" s="20" t="str">
        <x:v>Late fee</x:v>
      </x:c>
      <x:c r="F492" s="20" t="str">
        <x:v>P027</x:v>
      </x:c>
      <x:c r="G492" s="20" t="str">
        <x:v>U033</x:v>
      </x:c>
      <x:c r="H492" s="20" t="str">
        <x:v>L033</x:v>
      </x:c>
      <x:c r="I492" s="20" t="str">
        <x:v>Dana Garcia</x:v>
      </x:c>
      <x:c r="J492" s="35" t="str">
        <x:v>System automation</x:v>
      </x:c>
      <x:c r="K492" s="20" t="str"/>
      <x:c r="L492" s="20" t="str">
        <x:v>LATE-202706-L033</x:v>
      </x:c>
      <x:c r="M492" s="26" t="n">
        <x:v>50</x:v>
      </x:c>
      <x:c r="N492" s="26" t="n">
        <x:v>50</x:v>
      </x:c>
      <x:c r="O492" s="26" t="n">
        <x:v>0</x:v>
      </x:c>
      <x:c r="P492" s="26" t="n">
        <x:v>0</x:v>
      </x:c>
      <x:c r="Q492" s="26" t="n">
        <x:v>0</x:v>
      </x:c>
      <x:c r="R492" s="26" t="n">
        <x:v>0</x:v>
      </x:c>
      <x:c r="S492" s="26" t="n">
        <x:v>0</x:v>
      </x:c>
      <x:c r="T492" s="26" t="n">
        <x:v>50</x:v>
      </x:c>
      <x:c r="U492" s="26" t="n">
        <x:v>0</x:v>
      </x:c>
      <x:c r="V492" s="26" t="n">
        <x:v>0</x:v>
      </x:c>
      <x:c r="W492" s="26" t="n">
        <x:v>0</x:v>
      </x:c>
      <x:c r="X492" s="26" t="n">
        <x:v>0</x:v>
      </x:c>
      <x:c r="Y492" s="26" t="n">
        <x:v>0</x:v>
      </x:c>
      <x:c r="Z492" s="35" t="str">
        <x:v>Synthetic lease-authorized late fee after partial payment</x:v>
      </x:c>
    </x:row>
    <x:row r="493">
      <x:c r="A493" s="20" t="str">
        <x:v>FIN-00490</x:v>
      </x:c>
      <x:c r="B493" s="23" t="n">
        <x:v>46550</x:v>
      </x:c>
      <x:c r="C493" s="23" t="n">
        <x:v>46550</x:v>
      </x:c>
      <x:c r="D493" s="20" t="str">
        <x:v>TenantReceipt</x:v>
      </x:c>
      <x:c r="E493" s="20" t="str">
        <x:v>Rent receipt</x:v>
      </x:c>
      <x:c r="F493" s="20" t="str">
        <x:v>P027</x:v>
      </x:c>
      <x:c r="G493" s="20" t="str">
        <x:v>U033</x:v>
      </x:c>
      <x:c r="H493" s="20" t="str">
        <x:v>L033</x:v>
      </x:c>
      <x:c r="I493" s="20" t="str">
        <x:v>Dana Garcia</x:v>
      </x:c>
      <x:c r="J493" s="35" t="str">
        <x:v>Portal card</x:v>
      </x:c>
      <x:c r="K493" s="20" t="str"/>
      <x:c r="L493" s="20" t="str">
        <x:v>PMT-20270612-L033-B</x:v>
      </x:c>
      <x:c r="M493" s="26" t="n">
        <x:v>600</x:v>
      </x:c>
      <x:c r="N493" s="26" t="n">
        <x:v>-600</x:v>
      </x:c>
      <x:c r="O493" s="26" t="n">
        <x:v>600</x:v>
      </x:c>
      <x:c r="P493" s="26" t="n">
        <x:v>0</x:v>
      </x:c>
      <x:c r="Q493" s="26" t="n">
        <x:v>0</x:v>
      </x:c>
      <x:c r="R493" s="26" t="n">
        <x:v>0</x:v>
      </x:c>
      <x:c r="S493" s="26" t="n">
        <x:v>0</x:v>
      </x:c>
      <x:c r="T493" s="26" t="n">
        <x:v>0</x:v>
      </x:c>
      <x:c r="U493" s="26" t="n">
        <x:v>0</x:v>
      </x:c>
      <x:c r="V493" s="26" t="n">
        <x:v>0</x:v>
      </x:c>
      <x:c r="W493" s="26" t="n">
        <x:v>0</x:v>
      </x:c>
      <x:c r="X493" s="26" t="n">
        <x:v>0</x:v>
      </x:c>
      <x:c r="Y493" s="26" t="n">
        <x:v>0</x:v>
      </x:c>
      <x:c r="Z493" s="35" t="str">
        <x:v>Receipt allocated to FIN-00489</x:v>
      </x:c>
    </x:row>
    <x:row r="494">
      <x:c r="A494" s="20" t="str">
        <x:v>FIN-00491</x:v>
      </x:c>
      <x:c r="B494" s="23" t="n">
        <x:v>46539</x:v>
      </x:c>
      <x:c r="C494" s="23" t="n">
        <x:v>46539</x:v>
      </x:c>
      <x:c r="D494" s="20" t="str">
        <x:v>TenantCharge</x:v>
      </x:c>
      <x:c r="E494" s="20" t="str">
        <x:v>Rent</x:v>
      </x:c>
      <x:c r="F494" s="20" t="str">
        <x:v>P027</x:v>
      </x:c>
      <x:c r="G494" s="20" t="str">
        <x:v>U034</x:v>
      </x:c>
      <x:c r="H494" s="20" t="str">
        <x:v>L034</x:v>
      </x:c>
      <x:c r="I494" s="20" t="str">
        <x:v>Gray Lewis</x:v>
      </x:c>
      <x:c r="J494" s="35" t="str">
        <x:v>System scheduled charge</x:v>
      </x:c>
      <x:c r="K494" s="20" t="str"/>
      <x:c r="L494" s="20" t="str">
        <x:v>RENT-202706-L034</x:v>
      </x:c>
      <x:c r="M494" s="26" t="n">
        <x:v>1900</x:v>
      </x:c>
      <x:c r="N494" s="26" t="n">
        <x:v>1900</x:v>
      </x:c>
      <x:c r="O494" s="26" t="n">
        <x:v>0</x:v>
      </x:c>
      <x:c r="P494" s="26" t="n">
        <x:v>0</x:v>
      </x:c>
      <x:c r="Q494" s="26" t="n">
        <x:v>0</x:v>
      </x:c>
      <x:c r="R494" s="26" t="n">
        <x:v>0</x:v>
      </x:c>
      <x:c r="S494" s="26" t="n">
        <x:v>0</x:v>
      </x:c>
      <x:c r="T494" s="26" t="n">
        <x:v>1900</x:v>
      </x:c>
      <x:c r="U494" s="26" t="n">
        <x:v>0</x:v>
      </x:c>
      <x:c r="V494" s="26" t="n">
        <x:v>0</x:v>
      </x:c>
      <x:c r="W494" s="26" t="n">
        <x:v>0</x:v>
      </x:c>
      <x:c r="X494" s="26" t="n">
        <x:v>0</x:v>
      </x:c>
      <x:c r="Y494" s="26" t="n">
        <x:v>0</x:v>
      </x:c>
      <x:c r="Z494" s="35" t="str">
        <x:v>June 2027 rent</x:v>
      </x:c>
    </x:row>
    <x:row r="495">
      <x:c r="A495" s="20" t="str">
        <x:v>FIN-00492</x:v>
      </x:c>
      <x:c r="B495" s="23" t="n">
        <x:v>46542</x:v>
      </x:c>
      <x:c r="C495" s="23" t="n">
        <x:v>46542</x:v>
      </x:c>
      <x:c r="D495" s="20" t="str">
        <x:v>TenantReceipt</x:v>
      </x:c>
      <x:c r="E495" s="20" t="str">
        <x:v>Rent receipt</x:v>
      </x:c>
      <x:c r="F495" s="20" t="str">
        <x:v>P027</x:v>
      </x:c>
      <x:c r="G495" s="20" t="str">
        <x:v>U034</x:v>
      </x:c>
      <x:c r="H495" s="20" t="str">
        <x:v>L034</x:v>
      </x:c>
      <x:c r="I495" s="20" t="str">
        <x:v>Gray Lewis</x:v>
      </x:c>
      <x:c r="J495" s="35" t="str">
        <x:v>Manual ACH</x:v>
      </x:c>
      <x:c r="K495" s="20" t="str"/>
      <x:c r="L495" s="20" t="str">
        <x:v>PMT-20270604-L034</x:v>
      </x:c>
      <x:c r="M495" s="26" t="n">
        <x:v>1900</x:v>
      </x:c>
      <x:c r="N495" s="26" t="n">
        <x:v>-1900</x:v>
      </x:c>
      <x:c r="O495" s="26" t="n">
        <x:v>1900</x:v>
      </x:c>
      <x:c r="P495" s="26" t="n">
        <x:v>0</x:v>
      </x:c>
      <x:c r="Q495" s="26" t="n">
        <x:v>0</x:v>
      </x:c>
      <x:c r="R495" s="26" t="n">
        <x:v>0</x:v>
      </x:c>
      <x:c r="S495" s="26" t="n">
        <x:v>0</x:v>
      </x:c>
      <x:c r="T495" s="26" t="n">
        <x:v>0</x:v>
      </x:c>
      <x:c r="U495" s="26" t="n">
        <x:v>0</x:v>
      </x:c>
      <x:c r="V495" s="26" t="n">
        <x:v>0</x:v>
      </x:c>
      <x:c r="W495" s="26" t="n">
        <x:v>0</x:v>
      </x:c>
      <x:c r="X495" s="26" t="n">
        <x:v>0</x:v>
      </x:c>
      <x:c r="Y495" s="26" t="n">
        <x:v>0</x:v>
      </x:c>
      <x:c r="Z495" s="35" t="str">
        <x:v>Receipt allocated to FIN-00491</x:v>
      </x:c>
    </x:row>
    <x:row r="496">
      <x:c r="A496" s="20" t="str">
        <x:v>FIN-00493</x:v>
      </x:c>
      <x:c r="B496" s="23" t="n">
        <x:v>46539</x:v>
      </x:c>
      <x:c r="C496" s="23" t="n">
        <x:v>46539</x:v>
      </x:c>
      <x:c r="D496" s="20" t="str">
        <x:v>TenantCharge</x:v>
      </x:c>
      <x:c r="E496" s="20" t="str">
        <x:v>Rent</x:v>
      </x:c>
      <x:c r="F496" s="20" t="str">
        <x:v>P028</x:v>
      </x:c>
      <x:c r="G496" s="20" t="str">
        <x:v>U035</x:v>
      </x:c>
      <x:c r="H496" s="20" t="str">
        <x:v>L035</x:v>
      </x:c>
      <x:c r="I496" s="20" t="str">
        <x:v>Jordan Reed</x:v>
      </x:c>
      <x:c r="J496" s="35" t="str">
        <x:v>System scheduled charge</x:v>
      </x:c>
      <x:c r="K496" s="20" t="str"/>
      <x:c r="L496" s="20" t="str">
        <x:v>RENT-202706-L035</x:v>
      </x:c>
      <x:c r="M496" s="26" t="n">
        <x:v>1525</x:v>
      </x:c>
      <x:c r="N496" s="26" t="n">
        <x:v>1525</x:v>
      </x:c>
      <x:c r="O496" s="26" t="n">
        <x:v>0</x:v>
      </x:c>
      <x:c r="P496" s="26" t="n">
        <x:v>0</x:v>
      </x:c>
      <x:c r="Q496" s="26" t="n">
        <x:v>0</x:v>
      </x:c>
      <x:c r="R496" s="26" t="n">
        <x:v>0</x:v>
      </x:c>
      <x:c r="S496" s="26" t="n">
        <x:v>0</x:v>
      </x:c>
      <x:c r="T496" s="26" t="n">
        <x:v>1525</x:v>
      </x:c>
      <x:c r="U496" s="26" t="n">
        <x:v>0</x:v>
      </x:c>
      <x:c r="V496" s="26" t="n">
        <x:v>0</x:v>
      </x:c>
      <x:c r="W496" s="26" t="n">
        <x:v>0</x:v>
      </x:c>
      <x:c r="X496" s="26" t="n">
        <x:v>0</x:v>
      </x:c>
      <x:c r="Y496" s="26" t="n">
        <x:v>0</x:v>
      </x:c>
      <x:c r="Z496" s="35" t="str">
        <x:v>June 2027 rent</x:v>
      </x:c>
    </x:row>
    <x:row r="497">
      <x:c r="A497" s="20" t="str">
        <x:v>FIN-00494</x:v>
      </x:c>
      <x:c r="B497" s="23" t="n">
        <x:v>46543</x:v>
      </x:c>
      <x:c r="C497" s="23" t="n">
        <x:v>46543</x:v>
      </x:c>
      <x:c r="D497" s="20" t="str">
        <x:v>TenantReceipt</x:v>
      </x:c>
      <x:c r="E497" s="20" t="str">
        <x:v>Rent receipt</x:v>
      </x:c>
      <x:c r="F497" s="20" t="str">
        <x:v>P028</x:v>
      </x:c>
      <x:c r="G497" s="20" t="str">
        <x:v>U035</x:v>
      </x:c>
      <x:c r="H497" s="20" t="str">
        <x:v>L035</x:v>
      </x:c>
      <x:c r="I497" s="20" t="str">
        <x:v>Jordan Reed</x:v>
      </x:c>
      <x:c r="J497" s="35" t="str">
        <x:v>Portal card</x:v>
      </x:c>
      <x:c r="K497" s="20" t="str"/>
      <x:c r="L497" s="20" t="str">
        <x:v>PMT-20270605-L035</x:v>
      </x:c>
      <x:c r="M497" s="26" t="n">
        <x:v>1525</x:v>
      </x:c>
      <x:c r="N497" s="26" t="n">
        <x:v>-1525</x:v>
      </x:c>
      <x:c r="O497" s="26" t="n">
        <x:v>1525</x:v>
      </x:c>
      <x:c r="P497" s="26" t="n">
        <x:v>0</x:v>
      </x:c>
      <x:c r="Q497" s="26" t="n">
        <x:v>0</x:v>
      </x:c>
      <x:c r="R497" s="26" t="n">
        <x:v>0</x:v>
      </x:c>
      <x:c r="S497" s="26" t="n">
        <x:v>0</x:v>
      </x:c>
      <x:c r="T497" s="26" t="n">
        <x:v>0</x:v>
      </x:c>
      <x:c r="U497" s="26" t="n">
        <x:v>0</x:v>
      </x:c>
      <x:c r="V497" s="26" t="n">
        <x:v>0</x:v>
      </x:c>
      <x:c r="W497" s="26" t="n">
        <x:v>0</x:v>
      </x:c>
      <x:c r="X497" s="26" t="n">
        <x:v>0</x:v>
      </x:c>
      <x:c r="Y497" s="26" t="n">
        <x:v>0</x:v>
      </x:c>
      <x:c r="Z497" s="35" t="str">
        <x:v>Receipt allocated to FIN-00493</x:v>
      </x:c>
    </x:row>
    <x:row r="498">
      <x:c r="A498" s="20" t="str">
        <x:v>FIN-00495</x:v>
      </x:c>
      <x:c r="B498" s="23" t="n">
        <x:v>46539</x:v>
      </x:c>
      <x:c r="C498" s="23" t="n">
        <x:v>46539</x:v>
      </x:c>
      <x:c r="D498" s="20" t="str">
        <x:v>TenantCharge</x:v>
      </x:c>
      <x:c r="E498" s="20" t="str">
        <x:v>Rent</x:v>
      </x:c>
      <x:c r="F498" s="20" t="str">
        <x:v>P028</x:v>
      </x:c>
      <x:c r="G498" s="20" t="str">
        <x:v>U036</x:v>
      </x:c>
      <x:c r="H498" s="20" t="str">
        <x:v>L036</x:v>
      </x:c>
      <x:c r="I498" s="20" t="str">
        <x:v>Morgan Adams</x:v>
      </x:c>
      <x:c r="J498" s="35" t="str">
        <x:v>System scheduled charge</x:v>
      </x:c>
      <x:c r="K498" s="20" t="str"/>
      <x:c r="L498" s="20" t="str">
        <x:v>RENT-202706-L036</x:v>
      </x:c>
      <x:c r="M498" s="26" t="n">
        <x:v>1150</x:v>
      </x:c>
      <x:c r="N498" s="26" t="n">
        <x:v>1150</x:v>
      </x:c>
      <x:c r="O498" s="26" t="n">
        <x:v>0</x:v>
      </x:c>
      <x:c r="P498" s="26" t="n">
        <x:v>0</x:v>
      </x:c>
      <x:c r="Q498" s="26" t="n">
        <x:v>0</x:v>
      </x:c>
      <x:c r="R498" s="26" t="n">
        <x:v>0</x:v>
      </x:c>
      <x:c r="S498" s="26" t="n">
        <x:v>0</x:v>
      </x:c>
      <x:c r="T498" s="26" t="n">
        <x:v>1150</x:v>
      </x:c>
      <x:c r="U498" s="26" t="n">
        <x:v>0</x:v>
      </x:c>
      <x:c r="V498" s="26" t="n">
        <x:v>0</x:v>
      </x:c>
      <x:c r="W498" s="26" t="n">
        <x:v>0</x:v>
      </x:c>
      <x:c r="X498" s="26" t="n">
        <x:v>0</x:v>
      </x:c>
      <x:c r="Y498" s="26" t="n">
        <x:v>0</x:v>
      </x:c>
      <x:c r="Z498" s="35" t="str">
        <x:v>June 2027 rent</x:v>
      </x:c>
    </x:row>
    <x:row r="499">
      <x:c r="A499" s="20" t="str">
        <x:v>FIN-00496</x:v>
      </x:c>
      <x:c r="B499" s="23" t="n">
        <x:v>46541</x:v>
      </x:c>
      <x:c r="C499" s="23" t="n">
        <x:v>46541</x:v>
      </x:c>
      <x:c r="D499" s="20" t="str">
        <x:v>TenantReceipt</x:v>
      </x:c>
      <x:c r="E499" s="20" t="str">
        <x:v>Rent receipt</x:v>
      </x:c>
      <x:c r="F499" s="20" t="str">
        <x:v>P028</x:v>
      </x:c>
      <x:c r="G499" s="20" t="str">
        <x:v>U036</x:v>
      </x:c>
      <x:c r="H499" s="20" t="str">
        <x:v>L036</x:v>
      </x:c>
      <x:c r="I499" s="20" t="str">
        <x:v>Morgan Adams</x:v>
      </x:c>
      <x:c r="J499" s="35" t="str">
        <x:v>Scanned check</x:v>
      </x:c>
      <x:c r="K499" s="20" t="str">
        <x:v>SCN-0212</x:v>
      </x:c>
      <x:c r="L499" s="20" t="str">
        <x:v>PMT-20270603-L036</x:v>
      </x:c>
      <x:c r="M499" s="26" t="n">
        <x:v>1150</x:v>
      </x:c>
      <x:c r="N499" s="26" t="n">
        <x:v>-1150</x:v>
      </x:c>
      <x:c r="O499" s="26" t="n">
        <x:v>1150</x:v>
      </x:c>
      <x:c r="P499" s="26" t="n">
        <x:v>0</x:v>
      </x:c>
      <x:c r="Q499" s="26" t="n">
        <x:v>0</x:v>
      </x:c>
      <x:c r="R499" s="26" t="n">
        <x:v>0</x:v>
      </x:c>
      <x:c r="S499" s="26" t="n">
        <x:v>0</x:v>
      </x:c>
      <x:c r="T499" s="26" t="n">
        <x:v>0</x:v>
      </x:c>
      <x:c r="U499" s="26" t="n">
        <x:v>0</x:v>
      </x:c>
      <x:c r="V499" s="26" t="n">
        <x:v>0</x:v>
      </x:c>
      <x:c r="W499" s="26" t="n">
        <x:v>0</x:v>
      </x:c>
      <x:c r="X499" s="26" t="n">
        <x:v>0</x:v>
      </x:c>
      <x:c r="Y499" s="26" t="n">
        <x:v>0</x:v>
      </x:c>
      <x:c r="Z499" s="35" t="str">
        <x:v>Receipt allocated to FIN-00495</x:v>
      </x:c>
    </x:row>
    <x:row r="500">
      <x:c r="A500" s="20" t="str">
        <x:v>FIN-00497</x:v>
      </x:c>
      <x:c r="B500" s="23" t="n">
        <x:v>46539</x:v>
      </x:c>
      <x:c r="C500" s="23" t="n">
        <x:v>46539</x:v>
      </x:c>
      <x:c r="D500" s="20" t="str">
        <x:v>TenantCharge</x:v>
      </x:c>
      <x:c r="E500" s="20" t="str">
        <x:v>Rent</x:v>
      </x:c>
      <x:c r="F500" s="20" t="str">
        <x:v>P005</x:v>
      </x:c>
      <x:c r="G500" s="20" t="str">
        <x:v>U005</x:v>
      </x:c>
      <x:c r="H500" s="20" t="str">
        <x:v>L037</x:v>
      </x:c>
      <x:c r="I500" s="20" t="str">
        <x:v>Parker Flores</x:v>
      </x:c>
      <x:c r="J500" s="35" t="str">
        <x:v>System scheduled charge</x:v>
      </x:c>
      <x:c r="K500" s="20" t="str"/>
      <x:c r="L500" s="20" t="str">
        <x:v>RENT-202706-L037</x:v>
      </x:c>
      <x:c r="M500" s="26" t="n">
        <x:v>1875</x:v>
      </x:c>
      <x:c r="N500" s="26" t="n">
        <x:v>1875</x:v>
      </x:c>
      <x:c r="O500" s="26" t="n">
        <x:v>0</x:v>
      </x:c>
      <x:c r="P500" s="26" t="n">
        <x:v>0</x:v>
      </x:c>
      <x:c r="Q500" s="26" t="n">
        <x:v>0</x:v>
      </x:c>
      <x:c r="R500" s="26" t="n">
        <x:v>0</x:v>
      </x:c>
      <x:c r="S500" s="26" t="n">
        <x:v>0</x:v>
      </x:c>
      <x:c r="T500" s="26" t="n">
        <x:v>1875</x:v>
      </x:c>
      <x:c r="U500" s="26" t="n">
        <x:v>0</x:v>
      </x:c>
      <x:c r="V500" s="26" t="n">
        <x:v>0</x:v>
      </x:c>
      <x:c r="W500" s="26" t="n">
        <x:v>0</x:v>
      </x:c>
      <x:c r="X500" s="26" t="n">
        <x:v>0</x:v>
      </x:c>
      <x:c r="Y500" s="26" t="n">
        <x:v>0</x:v>
      </x:c>
      <x:c r="Z500" s="35" t="str">
        <x:v>June 2027 rent</x:v>
      </x:c>
    </x:row>
    <x:row r="501">
      <x:c r="A501" s="20" t="str">
        <x:v>FIN-00498</x:v>
      </x:c>
      <x:c r="B501" s="23" t="n">
        <x:v>46542</x:v>
      </x:c>
      <x:c r="C501" s="23" t="n">
        <x:v>46542</x:v>
      </x:c>
      <x:c r="D501" s="20" t="str">
        <x:v>TenantReceipt</x:v>
      </x:c>
      <x:c r="E501" s="20" t="str">
        <x:v>Rent receipt</x:v>
      </x:c>
      <x:c r="F501" s="20" t="str">
        <x:v>P005</x:v>
      </x:c>
      <x:c r="G501" s="20" t="str">
        <x:v>U005</x:v>
      </x:c>
      <x:c r="H501" s="20" t="str">
        <x:v>L037</x:v>
      </x:c>
      <x:c r="I501" s="20" t="str">
        <x:v>Parker Flores</x:v>
      </x:c>
      <x:c r="J501" s="35" t="str">
        <x:v>Scanned money order</x:v>
      </x:c>
      <x:c r="K501" s="20" t="str">
        <x:v>SCN-0213</x:v>
      </x:c>
      <x:c r="L501" s="20" t="str">
        <x:v>PMT-20270604-L037</x:v>
      </x:c>
      <x:c r="M501" s="26" t="n">
        <x:v>1875</x:v>
      </x:c>
      <x:c r="N501" s="26" t="n">
        <x:v>-1875</x:v>
      </x:c>
      <x:c r="O501" s="26" t="n">
        <x:v>1875</x:v>
      </x:c>
      <x:c r="P501" s="26" t="n">
        <x:v>0</x:v>
      </x:c>
      <x:c r="Q501" s="26" t="n">
        <x:v>0</x:v>
      </x:c>
      <x:c r="R501" s="26" t="n">
        <x:v>0</x:v>
      </x:c>
      <x:c r="S501" s="26" t="n">
        <x:v>0</x:v>
      </x:c>
      <x:c r="T501" s="26" t="n">
        <x:v>0</x:v>
      </x:c>
      <x:c r="U501" s="26" t="n">
        <x:v>0</x:v>
      </x:c>
      <x:c r="V501" s="26" t="n">
        <x:v>0</x:v>
      </x:c>
      <x:c r="W501" s="26" t="n">
        <x:v>0</x:v>
      </x:c>
      <x:c r="X501" s="26" t="n">
        <x:v>0</x:v>
      </x:c>
      <x:c r="Y501" s="26" t="n">
        <x:v>0</x:v>
      </x:c>
      <x:c r="Z501" s="35" t="str">
        <x:v>Receipt allocated to FIN-00497</x:v>
      </x:c>
    </x:row>
    <x:row r="502">
      <x:c r="A502" s="20" t="str">
        <x:v>FIN-00499</x:v>
      </x:c>
      <x:c r="B502" s="23" t="n">
        <x:v>46539</x:v>
      </x:c>
      <x:c r="C502" s="23" t="n">
        <x:v>46539</x:v>
      </x:c>
      <x:c r="D502" s="20" t="str">
        <x:v>TenantCharge</x:v>
      </x:c>
      <x:c r="E502" s="20" t="str">
        <x:v>Rent</x:v>
      </x:c>
      <x:c r="F502" s="20" t="str">
        <x:v>P029</x:v>
      </x:c>
      <x:c r="G502" s="20" t="str">
        <x:v>U037</x:v>
      </x:c>
      <x:c r="H502" s="20" t="str">
        <x:v>L043</x:v>
      </x:c>
      <x:c r="I502" s="20" t="str">
        <x:v>Hector Reed</x:v>
      </x:c>
      <x:c r="J502" s="35" t="str">
        <x:v>System scheduled charge</x:v>
      </x:c>
      <x:c r="K502" s="20" t="str"/>
      <x:c r="L502" s="20" t="str">
        <x:v>RENT-202706-L043</x:v>
      </x:c>
      <x:c r="M502" s="26" t="n">
        <x:v>1675</x:v>
      </x:c>
      <x:c r="N502" s="26" t="n">
        <x:v>1675</x:v>
      </x:c>
      <x:c r="O502" s="26" t="n">
        <x:v>0</x:v>
      </x:c>
      <x:c r="P502" s="26" t="n">
        <x:v>0</x:v>
      </x:c>
      <x:c r="Q502" s="26" t="n">
        <x:v>0</x:v>
      </x:c>
      <x:c r="R502" s="26" t="n">
        <x:v>0</x:v>
      </x:c>
      <x:c r="S502" s="26" t="n">
        <x:v>0</x:v>
      </x:c>
      <x:c r="T502" s="26" t="n">
        <x:v>1675</x:v>
      </x:c>
      <x:c r="U502" s="26" t="n">
        <x:v>0</x:v>
      </x:c>
      <x:c r="V502" s="26" t="n">
        <x:v>0</x:v>
      </x:c>
      <x:c r="W502" s="26" t="n">
        <x:v>0</x:v>
      </x:c>
      <x:c r="X502" s="26" t="n">
        <x:v>0</x:v>
      </x:c>
      <x:c r="Y502" s="26" t="n">
        <x:v>0</x:v>
      </x:c>
      <x:c r="Z502" s="35" t="str">
        <x:v>June 2027 rent</x:v>
      </x:c>
    </x:row>
    <x:row r="503">
      <x:c r="A503" s="20" t="str">
        <x:v>FIN-00500</x:v>
      </x:c>
      <x:c r="B503" s="23" t="n">
        <x:v>46542</x:v>
      </x:c>
      <x:c r="C503" s="23" t="n">
        <x:v>46542</x:v>
      </x:c>
      <x:c r="D503" s="20" t="str">
        <x:v>TenantReceipt</x:v>
      </x:c>
      <x:c r="E503" s="20" t="str">
        <x:v>Rent receipt</x:v>
      </x:c>
      <x:c r="F503" s="20" t="str">
        <x:v>P029</x:v>
      </x:c>
      <x:c r="G503" s="20" t="str">
        <x:v>U037</x:v>
      </x:c>
      <x:c r="H503" s="20" t="str">
        <x:v>L043</x:v>
      </x:c>
      <x:c r="I503" s="20" t="str">
        <x:v>Hector Reed</x:v>
      </x:c>
      <x:c r="J503" s="35" t="str">
        <x:v>Portal card</x:v>
      </x:c>
      <x:c r="K503" s="20" t="str"/>
      <x:c r="L503" s="20" t="str">
        <x:v>PMT-20270604-L043</x:v>
      </x:c>
      <x:c r="M503" s="26" t="n">
        <x:v>1675</x:v>
      </x:c>
      <x:c r="N503" s="26" t="n">
        <x:v>-1675</x:v>
      </x:c>
      <x:c r="O503" s="26" t="n">
        <x:v>1675</x:v>
      </x:c>
      <x:c r="P503" s="26" t="n">
        <x:v>0</x:v>
      </x:c>
      <x:c r="Q503" s="26" t="n">
        <x:v>0</x:v>
      </x:c>
      <x:c r="R503" s="26" t="n">
        <x:v>0</x:v>
      </x:c>
      <x:c r="S503" s="26" t="n">
        <x:v>0</x:v>
      </x:c>
      <x:c r="T503" s="26" t="n">
        <x:v>0</x:v>
      </x:c>
      <x:c r="U503" s="26" t="n">
        <x:v>0</x:v>
      </x:c>
      <x:c r="V503" s="26" t="n">
        <x:v>0</x:v>
      </x:c>
      <x:c r="W503" s="26" t="n">
        <x:v>0</x:v>
      </x:c>
      <x:c r="X503" s="26" t="n">
        <x:v>0</x:v>
      </x:c>
      <x:c r="Y503" s="26" t="n">
        <x:v>0</x:v>
      </x:c>
      <x:c r="Z503" s="35" t="str">
        <x:v>Receipt allocated to FIN-00499</x:v>
      </x:c>
    </x:row>
    <x:row r="504">
      <x:c r="A504" s="20" t="str">
        <x:v>FIN-00501</x:v>
      </x:c>
      <x:c r="B504" s="23" t="n">
        <x:v>46539</x:v>
      </x:c>
      <x:c r="C504" s="23" t="n">
        <x:v>46539</x:v>
      </x:c>
      <x:c r="D504" s="20" t="str">
        <x:v>TenantCharge</x:v>
      </x:c>
      <x:c r="E504" s="20" t="str">
        <x:v>Rent</x:v>
      </x:c>
      <x:c r="F504" s="20" t="str">
        <x:v>P029</x:v>
      </x:c>
      <x:c r="G504" s="20" t="str">
        <x:v>U038</x:v>
      </x:c>
      <x:c r="H504" s="20" t="str">
        <x:v>L044</x:v>
      </x:c>
      <x:c r="I504" s="20" t="str">
        <x:v>Keira Adams</x:v>
      </x:c>
      <x:c r="J504" s="35" t="str">
        <x:v>System scheduled charge</x:v>
      </x:c>
      <x:c r="K504" s="20" t="str"/>
      <x:c r="L504" s="20" t="str">
        <x:v>RENT-202706-L044</x:v>
      </x:c>
      <x:c r="M504" s="26" t="n">
        <x:v>1300</x:v>
      </x:c>
      <x:c r="N504" s="26" t="n">
        <x:v>1300</x:v>
      </x:c>
      <x:c r="O504" s="26" t="n">
        <x:v>0</x:v>
      </x:c>
      <x:c r="P504" s="26" t="n">
        <x:v>0</x:v>
      </x:c>
      <x:c r="Q504" s="26" t="n">
        <x:v>0</x:v>
      </x:c>
      <x:c r="R504" s="26" t="n">
        <x:v>0</x:v>
      </x:c>
      <x:c r="S504" s="26" t="n">
        <x:v>0</x:v>
      </x:c>
      <x:c r="T504" s="26" t="n">
        <x:v>1300</x:v>
      </x:c>
      <x:c r="U504" s="26" t="n">
        <x:v>0</x:v>
      </x:c>
      <x:c r="V504" s="26" t="n">
        <x:v>0</x:v>
      </x:c>
      <x:c r="W504" s="26" t="n">
        <x:v>0</x:v>
      </x:c>
      <x:c r="X504" s="26" t="n">
        <x:v>0</x:v>
      </x:c>
      <x:c r="Y504" s="26" t="n">
        <x:v>0</x:v>
      </x:c>
      <x:c r="Z504" s="35" t="str">
        <x:v>June 2027 rent</x:v>
      </x:c>
    </x:row>
    <x:row r="505">
      <x:c r="A505" s="20" t="str">
        <x:v>FIN-00502</x:v>
      </x:c>
      <x:c r="B505" s="23" t="n">
        <x:v>46541</x:v>
      </x:c>
      <x:c r="C505" s="23" t="n">
        <x:v>46541</x:v>
      </x:c>
      <x:c r="D505" s="20" t="str">
        <x:v>TenantReceipt</x:v>
      </x:c>
      <x:c r="E505" s="20" t="str">
        <x:v>Rent receipt</x:v>
      </x:c>
      <x:c r="F505" s="20" t="str">
        <x:v>P029</x:v>
      </x:c>
      <x:c r="G505" s="20" t="str">
        <x:v>U038</x:v>
      </x:c>
      <x:c r="H505" s="20" t="str">
        <x:v>L044</x:v>
      </x:c>
      <x:c r="I505" s="20" t="str">
        <x:v>Keira Adams</x:v>
      </x:c>
      <x:c r="J505" s="35" t="str">
        <x:v>Scanned check</x:v>
      </x:c>
      <x:c r="K505" s="20" t="str">
        <x:v>SCN-0214</x:v>
      </x:c>
      <x:c r="L505" s="20" t="str">
        <x:v>PMT-20270603-L044-A</x:v>
      </x:c>
      <x:c r="M505" s="26" t="n">
        <x:v>780</x:v>
      </x:c>
      <x:c r="N505" s="26" t="n">
        <x:v>-780</x:v>
      </x:c>
      <x:c r="O505" s="26" t="n">
        <x:v>780</x:v>
      </x:c>
      <x:c r="P505" s="26" t="n">
        <x:v>0</x:v>
      </x:c>
      <x:c r="Q505" s="26" t="n">
        <x:v>0</x:v>
      </x:c>
      <x:c r="R505" s="26" t="n">
        <x:v>0</x:v>
      </x:c>
      <x:c r="S505" s="26" t="n">
        <x:v>0</x:v>
      </x:c>
      <x:c r="T505" s="26" t="n">
        <x:v>0</x:v>
      </x:c>
      <x:c r="U505" s="26" t="n">
        <x:v>0</x:v>
      </x:c>
      <x:c r="V505" s="26" t="n">
        <x:v>0</x:v>
      </x:c>
      <x:c r="W505" s="26" t="n">
        <x:v>0</x:v>
      </x:c>
      <x:c r="X505" s="26" t="n">
        <x:v>0</x:v>
      </x:c>
      <x:c r="Y505" s="26" t="n">
        <x:v>0</x:v>
      </x:c>
      <x:c r="Z505" s="35" t="str">
        <x:v>Receipt allocated to FIN-00501</x:v>
      </x:c>
    </x:row>
    <x:row r="506">
      <x:c r="A506" s="20" t="str">
        <x:v>FIN-00503</x:v>
      </x:c>
      <x:c r="B506" s="23" t="n">
        <x:v>46544</x:v>
      </x:c>
      <x:c r="C506" s="23" t="n">
        <x:v>46544</x:v>
      </x:c>
      <x:c r="D506" s="20" t="str">
        <x:v>TenantCharge</x:v>
      </x:c>
      <x:c r="E506" s="20" t="str">
        <x:v>Late fee</x:v>
      </x:c>
      <x:c r="F506" s="20" t="str">
        <x:v>P029</x:v>
      </x:c>
      <x:c r="G506" s="20" t="str">
        <x:v>U038</x:v>
      </x:c>
      <x:c r="H506" s="20" t="str">
        <x:v>L044</x:v>
      </x:c>
      <x:c r="I506" s="20" t="str">
        <x:v>Keira Adams</x:v>
      </x:c>
      <x:c r="J506" s="35" t="str">
        <x:v>System automation</x:v>
      </x:c>
      <x:c r="K506" s="20" t="str"/>
      <x:c r="L506" s="20" t="str">
        <x:v>LATE-202706-L044</x:v>
      </x:c>
      <x:c r="M506" s="26" t="n">
        <x:v>50</x:v>
      </x:c>
      <x:c r="N506" s="26" t="n">
        <x:v>50</x:v>
      </x:c>
      <x:c r="O506" s="26" t="n">
        <x:v>0</x:v>
      </x:c>
      <x:c r="P506" s="26" t="n">
        <x:v>0</x:v>
      </x:c>
      <x:c r="Q506" s="26" t="n">
        <x:v>0</x:v>
      </x:c>
      <x:c r="R506" s="26" t="n">
        <x:v>0</x:v>
      </x:c>
      <x:c r="S506" s="26" t="n">
        <x:v>0</x:v>
      </x:c>
      <x:c r="T506" s="26" t="n">
        <x:v>50</x:v>
      </x:c>
      <x:c r="U506" s="26" t="n">
        <x:v>0</x:v>
      </x:c>
      <x:c r="V506" s="26" t="n">
        <x:v>0</x:v>
      </x:c>
      <x:c r="W506" s="26" t="n">
        <x:v>0</x:v>
      </x:c>
      <x:c r="X506" s="26" t="n">
        <x:v>0</x:v>
      </x:c>
      <x:c r="Y506" s="26" t="n">
        <x:v>0</x:v>
      </x:c>
      <x:c r="Z506" s="35" t="str">
        <x:v>Synthetic lease-authorized late fee after partial payment</x:v>
      </x:c>
    </x:row>
    <x:row r="507">
      <x:c r="A507" s="20" t="str">
        <x:v>FIN-00504</x:v>
      </x:c>
      <x:c r="B507" s="23" t="n">
        <x:v>46550</x:v>
      </x:c>
      <x:c r="C507" s="23" t="n">
        <x:v>46550</x:v>
      </x:c>
      <x:c r="D507" s="20" t="str">
        <x:v>TenantReceipt</x:v>
      </x:c>
      <x:c r="E507" s="20" t="str">
        <x:v>Rent receipt</x:v>
      </x:c>
      <x:c r="F507" s="20" t="str">
        <x:v>P029</x:v>
      </x:c>
      <x:c r="G507" s="20" t="str">
        <x:v>U038</x:v>
      </x:c>
      <x:c r="H507" s="20" t="str">
        <x:v>L044</x:v>
      </x:c>
      <x:c r="I507" s="20" t="str">
        <x:v>Keira Adams</x:v>
      </x:c>
      <x:c r="J507" s="35" t="str">
        <x:v>Manual ACH</x:v>
      </x:c>
      <x:c r="K507" s="20" t="str"/>
      <x:c r="L507" s="20" t="str">
        <x:v>PMT-20270612-L044-B</x:v>
      </x:c>
      <x:c r="M507" s="26" t="n">
        <x:v>570</x:v>
      </x:c>
      <x:c r="N507" s="26" t="n">
        <x:v>-570</x:v>
      </x:c>
      <x:c r="O507" s="26" t="n">
        <x:v>570</x:v>
      </x:c>
      <x:c r="P507" s="26" t="n">
        <x:v>0</x:v>
      </x:c>
      <x:c r="Q507" s="26" t="n">
        <x:v>0</x:v>
      </x:c>
      <x:c r="R507" s="26" t="n">
        <x:v>0</x:v>
      </x:c>
      <x:c r="S507" s="26" t="n">
        <x:v>0</x:v>
      </x:c>
      <x:c r="T507" s="26" t="n">
        <x:v>0</x:v>
      </x:c>
      <x:c r="U507" s="26" t="n">
        <x:v>0</x:v>
      </x:c>
      <x:c r="V507" s="26" t="n">
        <x:v>0</x:v>
      </x:c>
      <x:c r="W507" s="26" t="n">
        <x:v>0</x:v>
      </x:c>
      <x:c r="X507" s="26" t="n">
        <x:v>0</x:v>
      </x:c>
      <x:c r="Y507" s="26" t="n">
        <x:v>0</x:v>
      </x:c>
      <x:c r="Z507" s="35" t="str">
        <x:v>Receipt allocated to FIN-00503</x:v>
      </x:c>
    </x:row>
    <x:row r="508">
      <x:c r="A508" s="20" t="str">
        <x:v>FIN-00505</x:v>
      </x:c>
      <x:c r="B508" s="23" t="n">
        <x:v>46539</x:v>
      </x:c>
      <x:c r="C508" s="23" t="n">
        <x:v>46539</x:v>
      </x:c>
      <x:c r="D508" s="20" t="str">
        <x:v>TenantCharge</x:v>
      </x:c>
      <x:c r="E508" s="20" t="str">
        <x:v>Rent</x:v>
      </x:c>
      <x:c r="F508" s="20" t="str">
        <x:v>P030</x:v>
      </x:c>
      <x:c r="G508" s="20" t="str">
        <x:v>U039</x:v>
      </x:c>
      <x:c r="H508" s="20" t="str">
        <x:v>L045</x:v>
      </x:c>
      <x:c r="I508" s="20" t="str">
        <x:v>Nolan Flores</x:v>
      </x:c>
      <x:c r="J508" s="35" t="str">
        <x:v>System scheduled charge</x:v>
      </x:c>
      <x:c r="K508" s="20" t="str"/>
      <x:c r="L508" s="20" t="str">
        <x:v>RENT-202706-L045</x:v>
      </x:c>
      <x:c r="M508" s="26" t="n">
        <x:v>1825</x:v>
      </x:c>
      <x:c r="N508" s="26" t="n">
        <x:v>1825</x:v>
      </x:c>
      <x:c r="O508" s="26" t="n">
        <x:v>0</x:v>
      </x:c>
      <x:c r="P508" s="26" t="n">
        <x:v>0</x:v>
      </x:c>
      <x:c r="Q508" s="26" t="n">
        <x:v>0</x:v>
      </x:c>
      <x:c r="R508" s="26" t="n">
        <x:v>0</x:v>
      </x:c>
      <x:c r="S508" s="26" t="n">
        <x:v>0</x:v>
      </x:c>
      <x:c r="T508" s="26" t="n">
        <x:v>1825</x:v>
      </x:c>
      <x:c r="U508" s="26" t="n">
        <x:v>0</x:v>
      </x:c>
      <x:c r="V508" s="26" t="n">
        <x:v>0</x:v>
      </x:c>
      <x:c r="W508" s="26" t="n">
        <x:v>0</x:v>
      </x:c>
      <x:c r="X508" s="26" t="n">
        <x:v>0</x:v>
      </x:c>
      <x:c r="Y508" s="26" t="n">
        <x:v>0</x:v>
      </x:c>
      <x:c r="Z508" s="35" t="str">
        <x:v>June 2027 rent</x:v>
      </x:c>
    </x:row>
    <x:row r="509">
      <x:c r="A509" s="20" t="str">
        <x:v>FIN-00506</x:v>
      </x:c>
      <x:c r="B509" s="23" t="n">
        <x:v>46541</x:v>
      </x:c>
      <x:c r="C509" s="23" t="n">
        <x:v>46541</x:v>
      </x:c>
      <x:c r="D509" s="20" t="str">
        <x:v>TenantReceipt</x:v>
      </x:c>
      <x:c r="E509" s="20" t="str">
        <x:v>Rent receipt</x:v>
      </x:c>
      <x:c r="F509" s="20" t="str">
        <x:v>P030</x:v>
      </x:c>
      <x:c r="G509" s="20" t="str">
        <x:v>U039</x:v>
      </x:c>
      <x:c r="H509" s="20" t="str">
        <x:v>L045</x:v>
      </x:c>
      <x:c r="I509" s="20" t="str">
        <x:v>Nolan Flores</x:v>
      </x:c>
      <x:c r="J509" s="35" t="str">
        <x:v>Scanned money order</x:v>
      </x:c>
      <x:c r="K509" s="20" t="str">
        <x:v>SCN-0215</x:v>
      </x:c>
      <x:c r="L509" s="20" t="str">
        <x:v>PMT-20270603-L045</x:v>
      </x:c>
      <x:c r="M509" s="26" t="n">
        <x:v>1825</x:v>
      </x:c>
      <x:c r="N509" s="26" t="n">
        <x:v>-1825</x:v>
      </x:c>
      <x:c r="O509" s="26" t="n">
        <x:v>1825</x:v>
      </x:c>
      <x:c r="P509" s="26" t="n">
        <x:v>0</x:v>
      </x:c>
      <x:c r="Q509" s="26" t="n">
        <x:v>0</x:v>
      </x:c>
      <x:c r="R509" s="26" t="n">
        <x:v>0</x:v>
      </x:c>
      <x:c r="S509" s="26" t="n">
        <x:v>0</x:v>
      </x:c>
      <x:c r="T509" s="26" t="n">
        <x:v>0</x:v>
      </x:c>
      <x:c r="U509" s="26" t="n">
        <x:v>0</x:v>
      </x:c>
      <x:c r="V509" s="26" t="n">
        <x:v>0</x:v>
      </x:c>
      <x:c r="W509" s="26" t="n">
        <x:v>0</x:v>
      </x:c>
      <x:c r="X509" s="26" t="n">
        <x:v>0</x:v>
      </x:c>
      <x:c r="Y509" s="26" t="n">
        <x:v>0</x:v>
      </x:c>
      <x:c r="Z509" s="35" t="str">
        <x:v>Receipt allocated to FIN-00505</x:v>
      </x:c>
    </x:row>
    <x:row r="510">
      <x:c r="A510" s="20" t="str">
        <x:v>FIN-00507</x:v>
      </x:c>
      <x:c r="B510" s="23" t="n">
        <x:v>46569</x:v>
      </x:c>
      <x:c r="C510" s="23" t="n">
        <x:v>46569</x:v>
      </x:c>
      <x:c r="D510" s="20" t="str">
        <x:v>TenantCharge</x:v>
      </x:c>
      <x:c r="E510" s="20" t="str">
        <x:v>Rent</x:v>
      </x:c>
      <x:c r="F510" s="20" t="str">
        <x:v>P001</x:v>
      </x:c>
      <x:c r="G510" s="20" t="str">
        <x:v>U001</x:v>
      </x:c>
      <x:c r="H510" s="20" t="str">
        <x:v>L001</x:v>
      </x:c>
      <x:c r="I510" s="20" t="str">
        <x:v>Dana Garcia</x:v>
      </x:c>
      <x:c r="J510" s="35" t="str">
        <x:v>System scheduled charge</x:v>
      </x:c>
      <x:c r="K510" s="20" t="str"/>
      <x:c r="L510" s="20" t="str">
        <x:v>RENT-202707-L001</x:v>
      </x:c>
      <x:c r="M510" s="26" t="n">
        <x:v>1575</x:v>
      </x:c>
      <x:c r="N510" s="26" t="n">
        <x:v>1575</x:v>
      </x:c>
      <x:c r="O510" s="26" t="n">
        <x:v>0</x:v>
      </x:c>
      <x:c r="P510" s="26" t="n">
        <x:v>0</x:v>
      </x:c>
      <x:c r="Q510" s="26" t="n">
        <x:v>0</x:v>
      </x:c>
      <x:c r="R510" s="26" t="n">
        <x:v>0</x:v>
      </x:c>
      <x:c r="S510" s="26" t="n">
        <x:v>0</x:v>
      </x:c>
      <x:c r="T510" s="26" t="n">
        <x:v>1575</x:v>
      </x:c>
      <x:c r="U510" s="26" t="n">
        <x:v>0</x:v>
      </x:c>
      <x:c r="V510" s="26" t="n">
        <x:v>0</x:v>
      </x:c>
      <x:c r="W510" s="26" t="n">
        <x:v>0</x:v>
      </x:c>
      <x:c r="X510" s="26" t="n">
        <x:v>0</x:v>
      </x:c>
      <x:c r="Y510" s="26" t="n">
        <x:v>0</x:v>
      </x:c>
      <x:c r="Z510" s="35" t="str">
        <x:v>July 2027 rent</x:v>
      </x:c>
    </x:row>
    <x:row r="511">
      <x:c r="A511" s="20" t="str">
        <x:v>FIN-00508</x:v>
      </x:c>
      <x:c r="B511" s="23" t="n">
        <x:v>46572</x:v>
      </x:c>
      <x:c r="C511" s="23" t="n">
        <x:v>46572</x:v>
      </x:c>
      <x:c r="D511" s="20" t="str">
        <x:v>TenantReceipt</x:v>
      </x:c>
      <x:c r="E511" s="20" t="str">
        <x:v>Rent receipt</x:v>
      </x:c>
      <x:c r="F511" s="20" t="str">
        <x:v>P001</x:v>
      </x:c>
      <x:c r="G511" s="20" t="str">
        <x:v>U001</x:v>
      </x:c>
      <x:c r="H511" s="20" t="str">
        <x:v>L001</x:v>
      </x:c>
      <x:c r="I511" s="20" t="str">
        <x:v>Dana Garcia</x:v>
      </x:c>
      <x:c r="J511" s="35" t="str">
        <x:v>Scanned money order</x:v>
      </x:c>
      <x:c r="K511" s="20" t="str">
        <x:v>SCN-0216</x:v>
      </x:c>
      <x:c r="L511" s="20" t="str">
        <x:v>PMT-20270704-L001</x:v>
      </x:c>
      <x:c r="M511" s="26" t="n">
        <x:v>1575</x:v>
      </x:c>
      <x:c r="N511" s="26" t="n">
        <x:v>-1575</x:v>
      </x:c>
      <x:c r="O511" s="26" t="n">
        <x:v>1575</x:v>
      </x:c>
      <x:c r="P511" s="26" t="n">
        <x:v>0</x:v>
      </x:c>
      <x:c r="Q511" s="26" t="n">
        <x:v>0</x:v>
      </x:c>
      <x:c r="R511" s="26" t="n">
        <x:v>0</x:v>
      </x:c>
      <x:c r="S511" s="26" t="n">
        <x:v>0</x:v>
      </x:c>
      <x:c r="T511" s="26" t="n">
        <x:v>0</x:v>
      </x:c>
      <x:c r="U511" s="26" t="n">
        <x:v>0</x:v>
      </x:c>
      <x:c r="V511" s="26" t="n">
        <x:v>0</x:v>
      </x:c>
      <x:c r="W511" s="26" t="n">
        <x:v>0</x:v>
      </x:c>
      <x:c r="X511" s="26" t="n">
        <x:v>0</x:v>
      </x:c>
      <x:c r="Y511" s="26" t="n">
        <x:v>0</x:v>
      </x:c>
      <x:c r="Z511" s="35" t="str">
        <x:v>Receipt allocated to FIN-00507</x:v>
      </x:c>
    </x:row>
    <x:row r="512">
      <x:c r="A512" s="20" t="str">
        <x:v>FIN-00509</x:v>
      </x:c>
      <x:c r="B512" s="23" t="n">
        <x:v>46569</x:v>
      </x:c>
      <x:c r="C512" s="23" t="n">
        <x:v>46569</x:v>
      </x:c>
      <x:c r="D512" s="20" t="str">
        <x:v>TenantCharge</x:v>
      </x:c>
      <x:c r="E512" s="20" t="str">
        <x:v>Rent</x:v>
      </x:c>
      <x:c r="F512" s="20" t="str">
        <x:v>P002</x:v>
      </x:c>
      <x:c r="G512" s="20" t="str">
        <x:v>U002</x:v>
      </x:c>
      <x:c r="H512" s="20" t="str">
        <x:v>L002</x:v>
      </x:c>
      <x:c r="I512" s="20" t="str">
        <x:v>Gray Lewis</x:v>
      </x:c>
      <x:c r="J512" s="35" t="str">
        <x:v>System scheduled charge</x:v>
      </x:c>
      <x:c r="K512" s="20" t="str"/>
      <x:c r="L512" s="20" t="str">
        <x:v>RENT-202707-L002</x:v>
      </x:c>
      <x:c r="M512" s="26" t="n">
        <x:v>1200</x:v>
      </x:c>
      <x:c r="N512" s="26" t="n">
        <x:v>1200</x:v>
      </x:c>
      <x:c r="O512" s="26" t="n">
        <x:v>0</x:v>
      </x:c>
      <x:c r="P512" s="26" t="n">
        <x:v>0</x:v>
      </x:c>
      <x:c r="Q512" s="26" t="n">
        <x:v>0</x:v>
      </x:c>
      <x:c r="R512" s="26" t="n">
        <x:v>0</x:v>
      </x:c>
      <x:c r="S512" s="26" t="n">
        <x:v>0</x:v>
      </x:c>
      <x:c r="T512" s="26" t="n">
        <x:v>1200</x:v>
      </x:c>
      <x:c r="U512" s="26" t="n">
        <x:v>0</x:v>
      </x:c>
      <x:c r="V512" s="26" t="n">
        <x:v>0</x:v>
      </x:c>
      <x:c r="W512" s="26" t="n">
        <x:v>0</x:v>
      </x:c>
      <x:c r="X512" s="26" t="n">
        <x:v>0</x:v>
      </x:c>
      <x:c r="Y512" s="26" t="n">
        <x:v>0</x:v>
      </x:c>
      <x:c r="Z512" s="35" t="str">
        <x:v>July 2027 rent</x:v>
      </x:c>
    </x:row>
    <x:row r="513">
      <x:c r="A513" s="20" t="str">
        <x:v>FIN-00510</x:v>
      </x:c>
      <x:c r="B513" s="23" t="n">
        <x:v>46573</x:v>
      </x:c>
      <x:c r="C513" s="23" t="n">
        <x:v>46573</x:v>
      </x:c>
      <x:c r="D513" s="20" t="str">
        <x:v>TenantReceipt</x:v>
      </x:c>
      <x:c r="E513" s="20" t="str">
        <x:v>Rent receipt</x:v>
      </x:c>
      <x:c r="F513" s="20" t="str">
        <x:v>P002</x:v>
      </x:c>
      <x:c r="G513" s="20" t="str">
        <x:v>U002</x:v>
      </x:c>
      <x:c r="H513" s="20" t="str">
        <x:v>L002</x:v>
      </x:c>
      <x:c r="I513" s="20" t="str">
        <x:v>Gray Lewis</x:v>
      </x:c>
      <x:c r="J513" s="35" t="str">
        <x:v>Manual ACH</x:v>
      </x:c>
      <x:c r="K513" s="20" t="str"/>
      <x:c r="L513" s="20" t="str">
        <x:v>PMT-20270705-L002</x:v>
      </x:c>
      <x:c r="M513" s="26" t="n">
        <x:v>1200</x:v>
      </x:c>
      <x:c r="N513" s="26" t="n">
        <x:v>-1200</x:v>
      </x:c>
      <x:c r="O513" s="26" t="n">
        <x:v>1200</x:v>
      </x:c>
      <x:c r="P513" s="26" t="n">
        <x:v>0</x:v>
      </x:c>
      <x:c r="Q513" s="26" t="n">
        <x:v>0</x:v>
      </x:c>
      <x:c r="R513" s="26" t="n">
        <x:v>0</x:v>
      </x:c>
      <x:c r="S513" s="26" t="n">
        <x:v>0</x:v>
      </x:c>
      <x:c r="T513" s="26" t="n">
        <x:v>0</x:v>
      </x:c>
      <x:c r="U513" s="26" t="n">
        <x:v>0</x:v>
      </x:c>
      <x:c r="V513" s="26" t="n">
        <x:v>0</x:v>
      </x:c>
      <x:c r="W513" s="26" t="n">
        <x:v>0</x:v>
      </x:c>
      <x:c r="X513" s="26" t="n">
        <x:v>0</x:v>
      </x:c>
      <x:c r="Y513" s="26" t="n">
        <x:v>0</x:v>
      </x:c>
      <x:c r="Z513" s="35" t="str">
        <x:v>Receipt allocated to FIN-00509</x:v>
      </x:c>
    </x:row>
    <x:row r="514">
      <x:c r="A514" s="20" t="str">
        <x:v>FIN-00511</x:v>
      </x:c>
      <x:c r="B514" s="23" t="n">
        <x:v>46569</x:v>
      </x:c>
      <x:c r="C514" s="23" t="n">
        <x:v>46569</x:v>
      </x:c>
      <x:c r="D514" s="20" t="str">
        <x:v>TenantCharge</x:v>
      </x:c>
      <x:c r="E514" s="20" t="str">
        <x:v>Rent</x:v>
      </x:c>
      <x:c r="F514" s="20" t="str">
        <x:v>P003</x:v>
      </x:c>
      <x:c r="G514" s="20" t="str">
        <x:v>U003</x:v>
      </x:c>
      <x:c r="H514" s="20" t="str">
        <x:v>L003</x:v>
      </x:c>
      <x:c r="I514" s="20" t="str">
        <x:v>Jordan Reed</x:v>
      </x:c>
      <x:c r="J514" s="35" t="str">
        <x:v>System scheduled charge</x:v>
      </x:c>
      <x:c r="K514" s="20" t="str"/>
      <x:c r="L514" s="20" t="str">
        <x:v>RENT-202707-L003</x:v>
      </x:c>
      <x:c r="M514" s="26" t="n">
        <x:v>1725</x:v>
      </x:c>
      <x:c r="N514" s="26" t="n">
        <x:v>1725</x:v>
      </x:c>
      <x:c r="O514" s="26" t="n">
        <x:v>0</x:v>
      </x:c>
      <x:c r="P514" s="26" t="n">
        <x:v>0</x:v>
      </x:c>
      <x:c r="Q514" s="26" t="n">
        <x:v>0</x:v>
      </x:c>
      <x:c r="R514" s="26" t="n">
        <x:v>0</x:v>
      </x:c>
      <x:c r="S514" s="26" t="n">
        <x:v>0</x:v>
      </x:c>
      <x:c r="T514" s="26" t="n">
        <x:v>1725</x:v>
      </x:c>
      <x:c r="U514" s="26" t="n">
        <x:v>0</x:v>
      </x:c>
      <x:c r="V514" s="26" t="n">
        <x:v>0</x:v>
      </x:c>
      <x:c r="W514" s="26" t="n">
        <x:v>0</x:v>
      </x:c>
      <x:c r="X514" s="26" t="n">
        <x:v>0</x:v>
      </x:c>
      <x:c r="Y514" s="26" t="n">
        <x:v>0</x:v>
      </x:c>
      <x:c r="Z514" s="35" t="str">
        <x:v>July 2027 rent</x:v>
      </x:c>
    </x:row>
    <x:row r="515">
      <x:c r="A515" s="20" t="str">
        <x:v>FIN-00512</x:v>
      </x:c>
      <x:c r="B515" s="23" t="n">
        <x:v>46571</x:v>
      </x:c>
      <x:c r="C515" s="23" t="n">
        <x:v>46571</x:v>
      </x:c>
      <x:c r="D515" s="20" t="str">
        <x:v>TenantReceipt</x:v>
      </x:c>
      <x:c r="E515" s="20" t="str">
        <x:v>Rent receipt</x:v>
      </x:c>
      <x:c r="F515" s="20" t="str">
        <x:v>P003</x:v>
      </x:c>
      <x:c r="G515" s="20" t="str">
        <x:v>U003</x:v>
      </x:c>
      <x:c r="H515" s="20" t="str">
        <x:v>L003</x:v>
      </x:c>
      <x:c r="I515" s="20" t="str">
        <x:v>Jordan Reed</x:v>
      </x:c>
      <x:c r="J515" s="35" t="str">
        <x:v>Portal card</x:v>
      </x:c>
      <x:c r="K515" s="20" t="str"/>
      <x:c r="L515" s="20" t="str">
        <x:v>PMT-20270703-L003</x:v>
      </x:c>
      <x:c r="M515" s="26" t="n">
        <x:v>1725</x:v>
      </x:c>
      <x:c r="N515" s="26" t="n">
        <x:v>-1725</x:v>
      </x:c>
      <x:c r="O515" s="26" t="n">
        <x:v>1725</x:v>
      </x:c>
      <x:c r="P515" s="26" t="n">
        <x:v>0</x:v>
      </x:c>
      <x:c r="Q515" s="26" t="n">
        <x:v>0</x:v>
      </x:c>
      <x:c r="R515" s="26" t="n">
        <x:v>0</x:v>
      </x:c>
      <x:c r="S515" s="26" t="n">
        <x:v>0</x:v>
      </x:c>
      <x:c r="T515" s="26" t="n">
        <x:v>0</x:v>
      </x:c>
      <x:c r="U515" s="26" t="n">
        <x:v>0</x:v>
      </x:c>
      <x:c r="V515" s="26" t="n">
        <x:v>0</x:v>
      </x:c>
      <x:c r="W515" s="26" t="n">
        <x:v>0</x:v>
      </x:c>
      <x:c r="X515" s="26" t="n">
        <x:v>0</x:v>
      </x:c>
      <x:c r="Y515" s="26" t="n">
        <x:v>0</x:v>
      </x:c>
      <x:c r="Z515" s="35" t="str">
        <x:v>Receipt allocated to FIN-00511</x:v>
      </x:c>
    </x:row>
    <x:row r="516">
      <x:c r="A516" s="20" t="str">
        <x:v>FIN-00513</x:v>
      </x:c>
      <x:c r="B516" s="23" t="n">
        <x:v>46569</x:v>
      </x:c>
      <x:c r="C516" s="23" t="n">
        <x:v>46569</x:v>
      </x:c>
      <x:c r="D516" s="20" t="str">
        <x:v>TenantCharge</x:v>
      </x:c>
      <x:c r="E516" s="20" t="str">
        <x:v>Rent</x:v>
      </x:c>
      <x:c r="F516" s="20" t="str">
        <x:v>P004</x:v>
      </x:c>
      <x:c r="G516" s="20" t="str">
        <x:v>U004</x:v>
      </x:c>
      <x:c r="H516" s="20" t="str">
        <x:v>L004</x:v>
      </x:c>
      <x:c r="I516" s="20" t="str">
        <x:v>Morgan Adams</x:v>
      </x:c>
      <x:c r="J516" s="35" t="str">
        <x:v>System scheduled charge</x:v>
      </x:c>
      <x:c r="K516" s="20" t="str"/>
      <x:c r="L516" s="20" t="str">
        <x:v>RENT-202707-L004</x:v>
      </x:c>
      <x:c r="M516" s="26" t="n">
        <x:v>1350</x:v>
      </x:c>
      <x:c r="N516" s="26" t="n">
        <x:v>1350</x:v>
      </x:c>
      <x:c r="O516" s="26" t="n">
        <x:v>0</x:v>
      </x:c>
      <x:c r="P516" s="26" t="n">
        <x:v>0</x:v>
      </x:c>
      <x:c r="Q516" s="26" t="n">
        <x:v>0</x:v>
      </x:c>
      <x:c r="R516" s="26" t="n">
        <x:v>0</x:v>
      </x:c>
      <x:c r="S516" s="26" t="n">
        <x:v>0</x:v>
      </x:c>
      <x:c r="T516" s="26" t="n">
        <x:v>1350</x:v>
      </x:c>
      <x:c r="U516" s="26" t="n">
        <x:v>0</x:v>
      </x:c>
      <x:c r="V516" s="26" t="n">
        <x:v>0</x:v>
      </x:c>
      <x:c r="W516" s="26" t="n">
        <x:v>0</x:v>
      </x:c>
      <x:c r="X516" s="26" t="n">
        <x:v>0</x:v>
      </x:c>
      <x:c r="Y516" s="26" t="n">
        <x:v>0</x:v>
      </x:c>
      <x:c r="Z516" s="35" t="str">
        <x:v>July 2027 rent</x:v>
      </x:c>
    </x:row>
    <x:row r="517">
      <x:c r="A517" s="20" t="str">
        <x:v>FIN-00514</x:v>
      </x:c>
      <x:c r="B517" s="23" t="n">
        <x:v>46572</x:v>
      </x:c>
      <x:c r="C517" s="23" t="n">
        <x:v>46572</x:v>
      </x:c>
      <x:c r="D517" s="20" t="str">
        <x:v>TenantReceipt</x:v>
      </x:c>
      <x:c r="E517" s="20" t="str">
        <x:v>Rent receipt</x:v>
      </x:c>
      <x:c r="F517" s="20" t="str">
        <x:v>P004</x:v>
      </x:c>
      <x:c r="G517" s="20" t="str">
        <x:v>U004</x:v>
      </x:c>
      <x:c r="H517" s="20" t="str">
        <x:v>L004</x:v>
      </x:c>
      <x:c r="I517" s="20" t="str">
        <x:v>Morgan Adams</x:v>
      </x:c>
      <x:c r="J517" s="35" t="str">
        <x:v>Scanned check</x:v>
      </x:c>
      <x:c r="K517" s="20" t="str">
        <x:v>SCN-0217</x:v>
      </x:c>
      <x:c r="L517" s="20" t="str">
        <x:v>PMT-20270704-L004</x:v>
      </x:c>
      <x:c r="M517" s="26" t="n">
        <x:v>1350</x:v>
      </x:c>
      <x:c r="N517" s="26" t="n">
        <x:v>-1350</x:v>
      </x:c>
      <x:c r="O517" s="26" t="n">
        <x:v>1350</x:v>
      </x:c>
      <x:c r="P517" s="26" t="n">
        <x:v>0</x:v>
      </x:c>
      <x:c r="Q517" s="26" t="n">
        <x:v>0</x:v>
      </x:c>
      <x:c r="R517" s="26" t="n">
        <x:v>0</x:v>
      </x:c>
      <x:c r="S517" s="26" t="n">
        <x:v>0</x:v>
      </x:c>
      <x:c r="T517" s="26" t="n">
        <x:v>0</x:v>
      </x:c>
      <x:c r="U517" s="26" t="n">
        <x:v>0</x:v>
      </x:c>
      <x:c r="V517" s="26" t="n">
        <x:v>0</x:v>
      </x:c>
      <x:c r="W517" s="26" t="n">
        <x:v>0</x:v>
      </x:c>
      <x:c r="X517" s="26" t="n">
        <x:v>0</x:v>
      </x:c>
      <x:c r="Y517" s="26" t="n">
        <x:v>0</x:v>
      </x:c>
      <x:c r="Z517" s="35" t="str">
        <x:v>Receipt allocated to FIN-00513</x:v>
      </x:c>
    </x:row>
    <x:row r="518">
      <x:c r="A518" s="20" t="str">
        <x:v>FIN-00515</x:v>
      </x:c>
      <x:c r="B518" s="23" t="n">
        <x:v>46569</x:v>
      </x:c>
      <x:c r="C518" s="23" t="n">
        <x:v>46569</x:v>
      </x:c>
      <x:c r="D518" s="20" t="str">
        <x:v>TenantCharge</x:v>
      </x:c>
      <x:c r="E518" s="20" t="str">
        <x:v>Rent</x:v>
      </x:c>
      <x:c r="F518" s="20" t="str">
        <x:v>P006</x:v>
      </x:c>
      <x:c r="G518" s="20" t="str">
        <x:v>U006</x:v>
      </x:c>
      <x:c r="H518" s="20" t="str">
        <x:v>L006</x:v>
      </x:c>
      <x:c r="I518" s="20" t="str">
        <x:v>Sage King</x:v>
      </x:c>
      <x:c r="J518" s="35" t="str">
        <x:v>System scheduled charge</x:v>
      </x:c>
      <x:c r="K518" s="20" t="str"/>
      <x:c r="L518" s="20" t="str">
        <x:v>RENT-202707-L006</x:v>
      </x:c>
      <x:c r="M518" s="26" t="n">
        <x:v>1500</x:v>
      </x:c>
      <x:c r="N518" s="26" t="n">
        <x:v>1500</x:v>
      </x:c>
      <x:c r="O518" s="26" t="n">
        <x:v>0</x:v>
      </x:c>
      <x:c r="P518" s="26" t="n">
        <x:v>0</x:v>
      </x:c>
      <x:c r="Q518" s="26" t="n">
        <x:v>0</x:v>
      </x:c>
      <x:c r="R518" s="26" t="n">
        <x:v>0</x:v>
      </x:c>
      <x:c r="S518" s="26" t="n">
        <x:v>0</x:v>
      </x:c>
      <x:c r="T518" s="26" t="n">
        <x:v>1500</x:v>
      </x:c>
      <x:c r="U518" s="26" t="n">
        <x:v>0</x:v>
      </x:c>
      <x:c r="V518" s="26" t="n">
        <x:v>0</x:v>
      </x:c>
      <x:c r="W518" s="26" t="n">
        <x:v>0</x:v>
      </x:c>
      <x:c r="X518" s="26" t="n">
        <x:v>0</x:v>
      </x:c>
      <x:c r="Y518" s="26" t="n">
        <x:v>0</x:v>
      </x:c>
      <x:c r="Z518" s="35" t="str">
        <x:v>July 2027 rent</x:v>
      </x:c>
    </x:row>
    <x:row r="519">
      <x:c r="A519" s="20" t="str">
        <x:v>FIN-00516</x:v>
      </x:c>
      <x:c r="B519" s="23" t="n">
        <x:v>46571</x:v>
      </x:c>
      <x:c r="C519" s="23" t="n">
        <x:v>46571</x:v>
      </x:c>
      <x:c r="D519" s="20" t="str">
        <x:v>TenantReceipt</x:v>
      </x:c>
      <x:c r="E519" s="20" t="str">
        <x:v>Rent receipt</x:v>
      </x:c>
      <x:c r="F519" s="20" t="str">
        <x:v>P006</x:v>
      </x:c>
      <x:c r="G519" s="20" t="str">
        <x:v>U006</x:v>
      </x:c>
      <x:c r="H519" s="20" t="str">
        <x:v>L006</x:v>
      </x:c>
      <x:c r="I519" s="20" t="str">
        <x:v>Sage King</x:v>
      </x:c>
      <x:c r="J519" s="35" t="str">
        <x:v>Manual ACH</x:v>
      </x:c>
      <x:c r="K519" s="20" t="str"/>
      <x:c r="L519" s="20" t="str">
        <x:v>PMT-20270703-L006</x:v>
      </x:c>
      <x:c r="M519" s="26" t="n">
        <x:v>1500</x:v>
      </x:c>
      <x:c r="N519" s="26" t="n">
        <x:v>-1500</x:v>
      </x:c>
      <x:c r="O519" s="26" t="n">
        <x:v>1500</x:v>
      </x:c>
      <x:c r="P519" s="26" t="n">
        <x:v>0</x:v>
      </x:c>
      <x:c r="Q519" s="26" t="n">
        <x:v>0</x:v>
      </x:c>
      <x:c r="R519" s="26" t="n">
        <x:v>0</x:v>
      </x:c>
      <x:c r="S519" s="26" t="n">
        <x:v>0</x:v>
      </x:c>
      <x:c r="T519" s="26" t="n">
        <x:v>0</x:v>
      </x:c>
      <x:c r="U519" s="26" t="n">
        <x:v>0</x:v>
      </x:c>
      <x:c r="V519" s="26" t="n">
        <x:v>0</x:v>
      </x:c>
      <x:c r="W519" s="26" t="n">
        <x:v>0</x:v>
      </x:c>
      <x:c r="X519" s="26" t="n">
        <x:v>0</x:v>
      </x:c>
      <x:c r="Y519" s="26" t="n">
        <x:v>0</x:v>
      </x:c>
      <x:c r="Z519" s="35" t="str">
        <x:v>Receipt allocated to FIN-00515</x:v>
      </x:c>
    </x:row>
    <x:row r="520">
      <x:c r="A520" s="20" t="str">
        <x:v>FIN-00517</x:v>
      </x:c>
      <x:c r="B520" s="23" t="n">
        <x:v>46569</x:v>
      </x:c>
      <x:c r="C520" s="23" t="n">
        <x:v>46569</x:v>
      </x:c>
      <x:c r="D520" s="20" t="str">
        <x:v>TenantCharge</x:v>
      </x:c>
      <x:c r="E520" s="20" t="str">
        <x:v>Rent</x:v>
      </x:c>
      <x:c r="F520" s="20" t="str">
        <x:v>P007</x:v>
      </x:c>
      <x:c r="G520" s="20" t="str">
        <x:v>U007</x:v>
      </x:c>
      <x:c r="H520" s="20" t="str">
        <x:v>L007</x:v>
      </x:c>
      <x:c r="I520" s="20" t="str">
        <x:v>Val Price</x:v>
      </x:c>
      <x:c r="J520" s="35" t="str">
        <x:v>System scheduled charge</x:v>
      </x:c>
      <x:c r="K520" s="20" t="str"/>
      <x:c r="L520" s="20" t="str">
        <x:v>RENT-202707-L007</x:v>
      </x:c>
      <x:c r="M520" s="26" t="n">
        <x:v>1125</x:v>
      </x:c>
      <x:c r="N520" s="26" t="n">
        <x:v>1125</x:v>
      </x:c>
      <x:c r="O520" s="26" t="n">
        <x:v>0</x:v>
      </x:c>
      <x:c r="P520" s="26" t="n">
        <x:v>0</x:v>
      </x:c>
      <x:c r="Q520" s="26" t="n">
        <x:v>0</x:v>
      </x:c>
      <x:c r="R520" s="26" t="n">
        <x:v>0</x:v>
      </x:c>
      <x:c r="S520" s="26" t="n">
        <x:v>0</x:v>
      </x:c>
      <x:c r="T520" s="26" t="n">
        <x:v>1125</x:v>
      </x:c>
      <x:c r="U520" s="26" t="n">
        <x:v>0</x:v>
      </x:c>
      <x:c r="V520" s="26" t="n">
        <x:v>0</x:v>
      </x:c>
      <x:c r="W520" s="26" t="n">
        <x:v>0</x:v>
      </x:c>
      <x:c r="X520" s="26" t="n">
        <x:v>0</x:v>
      </x:c>
      <x:c r="Y520" s="26" t="n">
        <x:v>0</x:v>
      </x:c>
      <x:c r="Z520" s="35" t="str">
        <x:v>July 2027 rent</x:v>
      </x:c>
    </x:row>
    <x:row r="521">
      <x:c r="A521" s="20" t="str">
        <x:v>FIN-00518</x:v>
      </x:c>
      <x:c r="B521" s="23" t="n">
        <x:v>46572</x:v>
      </x:c>
      <x:c r="C521" s="23" t="n">
        <x:v>46572</x:v>
      </x:c>
      <x:c r="D521" s="20" t="str">
        <x:v>TenantReceipt</x:v>
      </x:c>
      <x:c r="E521" s="20" t="str">
        <x:v>Rent receipt</x:v>
      </x:c>
      <x:c r="F521" s="20" t="str">
        <x:v>P007</x:v>
      </x:c>
      <x:c r="G521" s="20" t="str">
        <x:v>U007</x:v>
      </x:c>
      <x:c r="H521" s="20" t="str">
        <x:v>L007</x:v>
      </x:c>
      <x:c r="I521" s="20" t="str">
        <x:v>Val Price</x:v>
      </x:c>
      <x:c r="J521" s="35" t="str">
        <x:v>Portal card</x:v>
      </x:c>
      <x:c r="K521" s="20" t="str"/>
      <x:c r="L521" s="20" t="str">
        <x:v>PMT-20270704-L007</x:v>
      </x:c>
      <x:c r="M521" s="26" t="n">
        <x:v>1125</x:v>
      </x:c>
      <x:c r="N521" s="26" t="n">
        <x:v>-1125</x:v>
      </x:c>
      <x:c r="O521" s="26" t="n">
        <x:v>1125</x:v>
      </x:c>
      <x:c r="P521" s="26" t="n">
        <x:v>0</x:v>
      </x:c>
      <x:c r="Q521" s="26" t="n">
        <x:v>0</x:v>
      </x:c>
      <x:c r="R521" s="26" t="n">
        <x:v>0</x:v>
      </x:c>
      <x:c r="S521" s="26" t="n">
        <x:v>0</x:v>
      </x:c>
      <x:c r="T521" s="26" t="n">
        <x:v>0</x:v>
      </x:c>
      <x:c r="U521" s="26" t="n">
        <x:v>0</x:v>
      </x:c>
      <x:c r="V521" s="26" t="n">
        <x:v>0</x:v>
      </x:c>
      <x:c r="W521" s="26" t="n">
        <x:v>0</x:v>
      </x:c>
      <x:c r="X521" s="26" t="n">
        <x:v>0</x:v>
      </x:c>
      <x:c r="Y521" s="26" t="n">
        <x:v>0</x:v>
      </x:c>
      <x:c r="Z521" s="35" t="str">
        <x:v>Receipt allocated to FIN-00517</x:v>
      </x:c>
    </x:row>
    <x:row r="522">
      <x:c r="A522" s="20" t="str">
        <x:v>FIN-00519</x:v>
      </x:c>
      <x:c r="B522" s="23" t="n">
        <x:v>46569</x:v>
      </x:c>
      <x:c r="C522" s="23" t="n">
        <x:v>46569</x:v>
      </x:c>
      <x:c r="D522" s="20" t="str">
        <x:v>TenantCharge</x:v>
      </x:c>
      <x:c r="E522" s="20" t="str">
        <x:v>Rent</x:v>
      </x:c>
      <x:c r="F522" s="20" t="str">
        <x:v>P008</x:v>
      </x:c>
      <x:c r="G522" s="20" t="str">
        <x:v>U008</x:v>
      </x:c>
      <x:c r="H522" s="20" t="str">
        <x:v>L008</x:v>
      </x:c>
      <x:c r="I522" s="20" t="str">
        <x:v>Yara Brooks</x:v>
      </x:c>
      <x:c r="J522" s="35" t="str">
        <x:v>System scheduled charge</x:v>
      </x:c>
      <x:c r="K522" s="20" t="str"/>
      <x:c r="L522" s="20" t="str">
        <x:v>RENT-202707-L008</x:v>
      </x:c>
      <x:c r="M522" s="26" t="n">
        <x:v>1650</x:v>
      </x:c>
      <x:c r="N522" s="26" t="n">
        <x:v>1650</x:v>
      </x:c>
      <x:c r="O522" s="26" t="n">
        <x:v>0</x:v>
      </x:c>
      <x:c r="P522" s="26" t="n">
        <x:v>0</x:v>
      </x:c>
      <x:c r="Q522" s="26" t="n">
        <x:v>0</x:v>
      </x:c>
      <x:c r="R522" s="26" t="n">
        <x:v>0</x:v>
      </x:c>
      <x:c r="S522" s="26" t="n">
        <x:v>0</x:v>
      </x:c>
      <x:c r="T522" s="26" t="n">
        <x:v>1650</x:v>
      </x:c>
      <x:c r="U522" s="26" t="n">
        <x:v>0</x:v>
      </x:c>
      <x:c r="V522" s="26" t="n">
        <x:v>0</x:v>
      </x:c>
      <x:c r="W522" s="26" t="n">
        <x:v>0</x:v>
      </x:c>
      <x:c r="X522" s="26" t="n">
        <x:v>0</x:v>
      </x:c>
      <x:c r="Y522" s="26" t="n">
        <x:v>0</x:v>
      </x:c>
      <x:c r="Z522" s="35" t="str">
        <x:v>July 2027 rent</x:v>
      </x:c>
    </x:row>
    <x:row r="523">
      <x:c r="A523" s="20" t="str">
        <x:v>FIN-00520</x:v>
      </x:c>
      <x:c r="B523" s="23" t="n">
        <x:v>46573</x:v>
      </x:c>
      <x:c r="C523" s="23" t="n">
        <x:v>46573</x:v>
      </x:c>
      <x:c r="D523" s="20" t="str">
        <x:v>TenantReceipt</x:v>
      </x:c>
      <x:c r="E523" s="20" t="str">
        <x:v>Rent receipt</x:v>
      </x:c>
      <x:c r="F523" s="20" t="str">
        <x:v>P008</x:v>
      </x:c>
      <x:c r="G523" s="20" t="str">
        <x:v>U008</x:v>
      </x:c>
      <x:c r="H523" s="20" t="str">
        <x:v>L008</x:v>
      </x:c>
      <x:c r="I523" s="20" t="str">
        <x:v>Yara Brooks</x:v>
      </x:c>
      <x:c r="J523" s="35" t="str">
        <x:v>Scanned check</x:v>
      </x:c>
      <x:c r="K523" s="20" t="str">
        <x:v>SCN-0218</x:v>
      </x:c>
      <x:c r="L523" s="20" t="str">
        <x:v>PMT-20270705-L008</x:v>
      </x:c>
      <x:c r="M523" s="26" t="n">
        <x:v>1650</x:v>
      </x:c>
      <x:c r="N523" s="26" t="n">
        <x:v>-1650</x:v>
      </x:c>
      <x:c r="O523" s="26" t="n">
        <x:v>1650</x:v>
      </x:c>
      <x:c r="P523" s="26" t="n">
        <x:v>0</x:v>
      </x:c>
      <x:c r="Q523" s="26" t="n">
        <x:v>0</x:v>
      </x:c>
      <x:c r="R523" s="26" t="n">
        <x:v>0</x:v>
      </x:c>
      <x:c r="S523" s="26" t="n">
        <x:v>0</x:v>
      </x:c>
      <x:c r="T523" s="26" t="n">
        <x:v>0</x:v>
      </x:c>
      <x:c r="U523" s="26" t="n">
        <x:v>0</x:v>
      </x:c>
      <x:c r="V523" s="26" t="n">
        <x:v>0</x:v>
      </x:c>
      <x:c r="W523" s="26" t="n">
        <x:v>0</x:v>
      </x:c>
      <x:c r="X523" s="26" t="n">
        <x:v>0</x:v>
      </x:c>
      <x:c r="Y523" s="26" t="n">
        <x:v>0</x:v>
      </x:c>
      <x:c r="Z523" s="35" t="str">
        <x:v>Receipt allocated to FIN-00519</x:v>
      </x:c>
    </x:row>
    <x:row r="524">
      <x:c r="A524" s="20" t="str">
        <x:v>FIN-00521</x:v>
      </x:c>
      <x:c r="B524" s="23" t="n">
        <x:v>46569</x:v>
      </x:c>
      <x:c r="C524" s="23" t="n">
        <x:v>46569</x:v>
      </x:c>
      <x:c r="D524" s="20" t="str">
        <x:v>TenantCharge</x:v>
      </x:c>
      <x:c r="E524" s="20" t="str">
        <x:v>Rent</x:v>
      </x:c>
      <x:c r="F524" s="20" t="str">
        <x:v>P009</x:v>
      </x:c>
      <x:c r="G524" s="20" t="str">
        <x:v>U009</x:v>
      </x:c>
      <x:c r="H524" s="20" t="str">
        <x:v>L009</x:v>
      </x:c>
      <x:c r="I524" s="20" t="str">
        <x:v>Bennett Garcia</x:v>
      </x:c>
      <x:c r="J524" s="35" t="str">
        <x:v>System scheduled charge</x:v>
      </x:c>
      <x:c r="K524" s="20" t="str"/>
      <x:c r="L524" s="20" t="str">
        <x:v>RENT-202707-L009</x:v>
      </x:c>
      <x:c r="M524" s="26" t="n">
        <x:v>1275</x:v>
      </x:c>
      <x:c r="N524" s="26" t="n">
        <x:v>1275</x:v>
      </x:c>
      <x:c r="O524" s="26" t="n">
        <x:v>0</x:v>
      </x:c>
      <x:c r="P524" s="26" t="n">
        <x:v>0</x:v>
      </x:c>
      <x:c r="Q524" s="26" t="n">
        <x:v>0</x:v>
      </x:c>
      <x:c r="R524" s="26" t="n">
        <x:v>0</x:v>
      </x:c>
      <x:c r="S524" s="26" t="n">
        <x:v>0</x:v>
      </x:c>
      <x:c r="T524" s="26" t="n">
        <x:v>1275</x:v>
      </x:c>
      <x:c r="U524" s="26" t="n">
        <x:v>0</x:v>
      </x:c>
      <x:c r="V524" s="26" t="n">
        <x:v>0</x:v>
      </x:c>
      <x:c r="W524" s="26" t="n">
        <x:v>0</x:v>
      </x:c>
      <x:c r="X524" s="26" t="n">
        <x:v>0</x:v>
      </x:c>
      <x:c r="Y524" s="26" t="n">
        <x:v>0</x:v>
      </x:c>
      <x:c r="Z524" s="35" t="str">
        <x:v>July 2027 rent</x:v>
      </x:c>
    </x:row>
    <x:row r="525">
      <x:c r="A525" s="20" t="str">
        <x:v>FIN-00522</x:v>
      </x:c>
      <x:c r="B525" s="23" t="n">
        <x:v>46571</x:v>
      </x:c>
      <x:c r="C525" s="23" t="n">
        <x:v>46571</x:v>
      </x:c>
      <x:c r="D525" s="20" t="str">
        <x:v>TenantReceipt</x:v>
      </x:c>
      <x:c r="E525" s="20" t="str">
        <x:v>Rent receipt</x:v>
      </x:c>
      <x:c r="F525" s="20" t="str">
        <x:v>P009</x:v>
      </x:c>
      <x:c r="G525" s="20" t="str">
        <x:v>U009</x:v>
      </x:c>
      <x:c r="H525" s="20" t="str">
        <x:v>L009</x:v>
      </x:c>
      <x:c r="I525" s="20" t="str">
        <x:v>Bennett Garcia</x:v>
      </x:c>
      <x:c r="J525" s="35" t="str">
        <x:v>Scanned money order</x:v>
      </x:c>
      <x:c r="K525" s="20" t="str">
        <x:v>SCN-0219</x:v>
      </x:c>
      <x:c r="L525" s="20" t="str">
        <x:v>PMT-20270703-L009</x:v>
      </x:c>
      <x:c r="M525" s="26" t="n">
        <x:v>1275</x:v>
      </x:c>
      <x:c r="N525" s="26" t="n">
        <x:v>-1275</x:v>
      </x:c>
      <x:c r="O525" s="26" t="n">
        <x:v>1275</x:v>
      </x:c>
      <x:c r="P525" s="26" t="n">
        <x:v>0</x:v>
      </x:c>
      <x:c r="Q525" s="26" t="n">
        <x:v>0</x:v>
      </x:c>
      <x:c r="R525" s="26" t="n">
        <x:v>0</x:v>
      </x:c>
      <x:c r="S525" s="26" t="n">
        <x:v>0</x:v>
      </x:c>
      <x:c r="T525" s="26" t="n">
        <x:v>0</x:v>
      </x:c>
      <x:c r="U525" s="26" t="n">
        <x:v>0</x:v>
      </x:c>
      <x:c r="V525" s="26" t="n">
        <x:v>0</x:v>
      </x:c>
      <x:c r="W525" s="26" t="n">
        <x:v>0</x:v>
      </x:c>
      <x:c r="X525" s="26" t="n">
        <x:v>0</x:v>
      </x:c>
      <x:c r="Y525" s="26" t="n">
        <x:v>0</x:v>
      </x:c>
      <x:c r="Z525" s="35" t="str">
        <x:v>Receipt allocated to FIN-00521</x:v>
      </x:c>
    </x:row>
    <x:row r="526">
      <x:c r="A526" s="20" t="str">
        <x:v>FIN-00523</x:v>
      </x:c>
      <x:c r="B526" s="23" t="n">
        <x:v>46569</x:v>
      </x:c>
      <x:c r="C526" s="23" t="n">
        <x:v>46569</x:v>
      </x:c>
      <x:c r="D526" s="20" t="str">
        <x:v>TenantCharge</x:v>
      </x:c>
      <x:c r="E526" s="20" t="str">
        <x:v>Rent</x:v>
      </x:c>
      <x:c r="F526" s="20" t="str">
        <x:v>P010</x:v>
      </x:c>
      <x:c r="G526" s="20" t="str">
        <x:v>U010</x:v>
      </x:c>
      <x:c r="H526" s="20" t="str">
        <x:v>L010</x:v>
      </x:c>
      <x:c r="I526" s="20" t="str">
        <x:v>Elena Lewis</x:v>
      </x:c>
      <x:c r="J526" s="35" t="str">
        <x:v>System scheduled charge</x:v>
      </x:c>
      <x:c r="K526" s="20" t="str"/>
      <x:c r="L526" s="20" t="str">
        <x:v>RENT-202707-L010</x:v>
      </x:c>
      <x:c r="M526" s="26" t="n">
        <x:v>1800</x:v>
      </x:c>
      <x:c r="N526" s="26" t="n">
        <x:v>1800</x:v>
      </x:c>
      <x:c r="O526" s="26" t="n">
        <x:v>0</x:v>
      </x:c>
      <x:c r="P526" s="26" t="n">
        <x:v>0</x:v>
      </x:c>
      <x:c r="Q526" s="26" t="n">
        <x:v>0</x:v>
      </x:c>
      <x:c r="R526" s="26" t="n">
        <x:v>0</x:v>
      </x:c>
      <x:c r="S526" s="26" t="n">
        <x:v>0</x:v>
      </x:c>
      <x:c r="T526" s="26" t="n">
        <x:v>1800</x:v>
      </x:c>
      <x:c r="U526" s="26" t="n">
        <x:v>0</x:v>
      </x:c>
      <x:c r="V526" s="26" t="n">
        <x:v>0</x:v>
      </x:c>
      <x:c r="W526" s="26" t="n">
        <x:v>0</x:v>
      </x:c>
      <x:c r="X526" s="26" t="n">
        <x:v>0</x:v>
      </x:c>
      <x:c r="Y526" s="26" t="n">
        <x:v>0</x:v>
      </x:c>
      <x:c r="Z526" s="35" t="str">
        <x:v>July 2027 rent</x:v>
      </x:c>
    </x:row>
    <x:row r="527">
      <x:c r="A527" s="20" t="str">
        <x:v>FIN-00524</x:v>
      </x:c>
      <x:c r="B527" s="23" t="n">
        <x:v>46572</x:v>
      </x:c>
      <x:c r="C527" s="23" t="n">
        <x:v>46572</x:v>
      </x:c>
      <x:c r="D527" s="20" t="str">
        <x:v>TenantReceipt</x:v>
      </x:c>
      <x:c r="E527" s="20" t="str">
        <x:v>Rent receipt</x:v>
      </x:c>
      <x:c r="F527" s="20" t="str">
        <x:v>P010</x:v>
      </x:c>
      <x:c r="G527" s="20" t="str">
        <x:v>U010</x:v>
      </x:c>
      <x:c r="H527" s="20" t="str">
        <x:v>L010</x:v>
      </x:c>
      <x:c r="I527" s="20" t="str">
        <x:v>Elena Lewis</x:v>
      </x:c>
      <x:c r="J527" s="35" t="str">
        <x:v>Manual ACH</x:v>
      </x:c>
      <x:c r="K527" s="20" t="str"/>
      <x:c r="L527" s="20" t="str">
        <x:v>PMT-20270704-L010</x:v>
      </x:c>
      <x:c r="M527" s="26" t="n">
        <x:v>1800</x:v>
      </x:c>
      <x:c r="N527" s="26" t="n">
        <x:v>-1800</x:v>
      </x:c>
      <x:c r="O527" s="26" t="n">
        <x:v>1800</x:v>
      </x:c>
      <x:c r="P527" s="26" t="n">
        <x:v>0</x:v>
      </x:c>
      <x:c r="Q527" s="26" t="n">
        <x:v>0</x:v>
      </x:c>
      <x:c r="R527" s="26" t="n">
        <x:v>0</x:v>
      </x:c>
      <x:c r="S527" s="26" t="n">
        <x:v>0</x:v>
      </x:c>
      <x:c r="T527" s="26" t="n">
        <x:v>0</x:v>
      </x:c>
      <x:c r="U527" s="26" t="n">
        <x:v>0</x:v>
      </x:c>
      <x:c r="V527" s="26" t="n">
        <x:v>0</x:v>
      </x:c>
      <x:c r="W527" s="26" t="n">
        <x:v>0</x:v>
      </x:c>
      <x:c r="X527" s="26" t="n">
        <x:v>0</x:v>
      </x:c>
      <x:c r="Y527" s="26" t="n">
        <x:v>0</x:v>
      </x:c>
      <x:c r="Z527" s="35" t="str">
        <x:v>Receipt allocated to FIN-00523</x:v>
      </x:c>
    </x:row>
    <x:row r="528">
      <x:c r="A528" s="20" t="str">
        <x:v>FIN-00525</x:v>
      </x:c>
      <x:c r="B528" s="23" t="n">
        <x:v>46569</x:v>
      </x:c>
      <x:c r="C528" s="23" t="n">
        <x:v>46569</x:v>
      </x:c>
      <x:c r="D528" s="20" t="str">
        <x:v>TenantCharge</x:v>
      </x:c>
      <x:c r="E528" s="20" t="str">
        <x:v>Rent</x:v>
      </x:c>
      <x:c r="F528" s="20" t="str">
        <x:v>P011</x:v>
      </x:c>
      <x:c r="G528" s="20" t="str">
        <x:v>U011</x:v>
      </x:c>
      <x:c r="H528" s="20" t="str">
        <x:v>L011</x:v>
      </x:c>
      <x:c r="I528" s="20" t="str">
        <x:v>Hector Reed</x:v>
      </x:c>
      <x:c r="J528" s="35" t="str">
        <x:v>System scheduled charge</x:v>
      </x:c>
      <x:c r="K528" s="20" t="str"/>
      <x:c r="L528" s="20" t="str">
        <x:v>RENT-202707-L011</x:v>
      </x:c>
      <x:c r="M528" s="26" t="n">
        <x:v>1425</x:v>
      </x:c>
      <x:c r="N528" s="26" t="n">
        <x:v>1425</x:v>
      </x:c>
      <x:c r="O528" s="26" t="n">
        <x:v>0</x:v>
      </x:c>
      <x:c r="P528" s="26" t="n">
        <x:v>0</x:v>
      </x:c>
      <x:c r="Q528" s="26" t="n">
        <x:v>0</x:v>
      </x:c>
      <x:c r="R528" s="26" t="n">
        <x:v>0</x:v>
      </x:c>
      <x:c r="S528" s="26" t="n">
        <x:v>0</x:v>
      </x:c>
      <x:c r="T528" s="26" t="n">
        <x:v>1425</x:v>
      </x:c>
      <x:c r="U528" s="26" t="n">
        <x:v>0</x:v>
      </x:c>
      <x:c r="V528" s="26" t="n">
        <x:v>0</x:v>
      </x:c>
      <x:c r="W528" s="26" t="n">
        <x:v>0</x:v>
      </x:c>
      <x:c r="X528" s="26" t="n">
        <x:v>0</x:v>
      </x:c>
      <x:c r="Y528" s="26" t="n">
        <x:v>0</x:v>
      </x:c>
      <x:c r="Z528" s="35" t="str">
        <x:v>July 2027 rent</x:v>
      </x:c>
    </x:row>
    <x:row r="529">
      <x:c r="A529" s="20" t="str">
        <x:v>FIN-00526</x:v>
      </x:c>
      <x:c r="B529" s="23" t="n">
        <x:v>46571</x:v>
      </x:c>
      <x:c r="C529" s="23" t="n">
        <x:v>46571</x:v>
      </x:c>
      <x:c r="D529" s="20" t="str">
        <x:v>TenantReceipt</x:v>
      </x:c>
      <x:c r="E529" s="20" t="str">
        <x:v>Rent receipt</x:v>
      </x:c>
      <x:c r="F529" s="20" t="str">
        <x:v>P011</x:v>
      </x:c>
      <x:c r="G529" s="20" t="str">
        <x:v>U011</x:v>
      </x:c>
      <x:c r="H529" s="20" t="str">
        <x:v>L011</x:v>
      </x:c>
      <x:c r="I529" s="20" t="str">
        <x:v>Hector Reed</x:v>
      </x:c>
      <x:c r="J529" s="35" t="str">
        <x:v>Portal card</x:v>
      </x:c>
      <x:c r="K529" s="20" t="str"/>
      <x:c r="L529" s="20" t="str">
        <x:v>PMT-20270703-L011-A</x:v>
      </x:c>
      <x:c r="M529" s="26" t="n">
        <x:v>855</x:v>
      </x:c>
      <x:c r="N529" s="26" t="n">
        <x:v>-855</x:v>
      </x:c>
      <x:c r="O529" s="26" t="n">
        <x:v>855</x:v>
      </x:c>
      <x:c r="P529" s="26" t="n">
        <x:v>0</x:v>
      </x:c>
      <x:c r="Q529" s="26" t="n">
        <x:v>0</x:v>
      </x:c>
      <x:c r="R529" s="26" t="n">
        <x:v>0</x:v>
      </x:c>
      <x:c r="S529" s="26" t="n">
        <x:v>0</x:v>
      </x:c>
      <x:c r="T529" s="26" t="n">
        <x:v>0</x:v>
      </x:c>
      <x:c r="U529" s="26" t="n">
        <x:v>0</x:v>
      </x:c>
      <x:c r="V529" s="26" t="n">
        <x:v>0</x:v>
      </x:c>
      <x:c r="W529" s="26" t="n">
        <x:v>0</x:v>
      </x:c>
      <x:c r="X529" s="26" t="n">
        <x:v>0</x:v>
      </x:c>
      <x:c r="Y529" s="26" t="n">
        <x:v>0</x:v>
      </x:c>
      <x:c r="Z529" s="35" t="str">
        <x:v>Receipt allocated to FIN-00525</x:v>
      </x:c>
    </x:row>
    <x:row r="530">
      <x:c r="A530" s="20" t="str">
        <x:v>FIN-00527</x:v>
      </x:c>
      <x:c r="B530" s="23" t="n">
        <x:v>46574</x:v>
      </x:c>
      <x:c r="C530" s="23" t="n">
        <x:v>46574</x:v>
      </x:c>
      <x:c r="D530" s="20" t="str">
        <x:v>TenantCharge</x:v>
      </x:c>
      <x:c r="E530" s="20" t="str">
        <x:v>Late fee</x:v>
      </x:c>
      <x:c r="F530" s="20" t="str">
        <x:v>P011</x:v>
      </x:c>
      <x:c r="G530" s="20" t="str">
        <x:v>U011</x:v>
      </x:c>
      <x:c r="H530" s="20" t="str">
        <x:v>L011</x:v>
      </x:c>
      <x:c r="I530" s="20" t="str">
        <x:v>Hector Reed</x:v>
      </x:c>
      <x:c r="J530" s="35" t="str">
        <x:v>System automation</x:v>
      </x:c>
      <x:c r="K530" s="20" t="str"/>
      <x:c r="L530" s="20" t="str">
        <x:v>LATE-202707-L011</x:v>
      </x:c>
      <x:c r="M530" s="26" t="n">
        <x:v>50</x:v>
      </x:c>
      <x:c r="N530" s="26" t="n">
        <x:v>50</x:v>
      </x:c>
      <x:c r="O530" s="26" t="n">
        <x:v>0</x:v>
      </x:c>
      <x:c r="P530" s="26" t="n">
        <x:v>0</x:v>
      </x:c>
      <x:c r="Q530" s="26" t="n">
        <x:v>0</x:v>
      </x:c>
      <x:c r="R530" s="26" t="n">
        <x:v>0</x:v>
      </x:c>
      <x:c r="S530" s="26" t="n">
        <x:v>0</x:v>
      </x:c>
      <x:c r="T530" s="26" t="n">
        <x:v>50</x:v>
      </x:c>
      <x:c r="U530" s="26" t="n">
        <x:v>0</x:v>
      </x:c>
      <x:c r="V530" s="26" t="n">
        <x:v>0</x:v>
      </x:c>
      <x:c r="W530" s="26" t="n">
        <x:v>0</x:v>
      </x:c>
      <x:c r="X530" s="26" t="n">
        <x:v>0</x:v>
      </x:c>
      <x:c r="Y530" s="26" t="n">
        <x:v>0</x:v>
      </x:c>
      <x:c r="Z530" s="35" t="str">
        <x:v>Synthetic lease-authorized late fee after partial payment</x:v>
      </x:c>
    </x:row>
    <x:row r="531">
      <x:c r="A531" s="20" t="str">
        <x:v>FIN-00528</x:v>
      </x:c>
      <x:c r="B531" s="23" t="n">
        <x:v>46580</x:v>
      </x:c>
      <x:c r="C531" s="23" t="n">
        <x:v>46580</x:v>
      </x:c>
      <x:c r="D531" s="20" t="str">
        <x:v>TenantReceipt</x:v>
      </x:c>
      <x:c r="E531" s="20" t="str">
        <x:v>Rent receipt</x:v>
      </x:c>
      <x:c r="F531" s="20" t="str">
        <x:v>P011</x:v>
      </x:c>
      <x:c r="G531" s="20" t="str">
        <x:v>U011</x:v>
      </x:c>
      <x:c r="H531" s="20" t="str">
        <x:v>L011</x:v>
      </x:c>
      <x:c r="I531" s="20" t="str">
        <x:v>Hector Reed</x:v>
      </x:c>
      <x:c r="J531" s="35" t="str">
        <x:v>Scanned money order</x:v>
      </x:c>
      <x:c r="K531" s="20" t="str">
        <x:v>SCN-0220</x:v>
      </x:c>
      <x:c r="L531" s="20" t="str">
        <x:v>PMT-20270712-L011-B</x:v>
      </x:c>
      <x:c r="M531" s="26" t="n">
        <x:v>620</x:v>
      </x:c>
      <x:c r="N531" s="26" t="n">
        <x:v>-620</x:v>
      </x:c>
      <x:c r="O531" s="26" t="n">
        <x:v>620</x:v>
      </x:c>
      <x:c r="P531" s="26" t="n">
        <x:v>0</x:v>
      </x:c>
      <x:c r="Q531" s="26" t="n">
        <x:v>0</x:v>
      </x:c>
      <x:c r="R531" s="26" t="n">
        <x:v>0</x:v>
      </x:c>
      <x:c r="S531" s="26" t="n">
        <x:v>0</x:v>
      </x:c>
      <x:c r="T531" s="26" t="n">
        <x:v>0</x:v>
      </x:c>
      <x:c r="U531" s="26" t="n">
        <x:v>0</x:v>
      </x:c>
      <x:c r="V531" s="26" t="n">
        <x:v>0</x:v>
      </x:c>
      <x:c r="W531" s="26" t="n">
        <x:v>0</x:v>
      </x:c>
      <x:c r="X531" s="26" t="n">
        <x:v>0</x:v>
      </x:c>
      <x:c r="Y531" s="26" t="n">
        <x:v>0</x:v>
      </x:c>
      <x:c r="Z531" s="35" t="str">
        <x:v>Receipt allocated to FIN-00527</x:v>
      </x:c>
    </x:row>
    <x:row r="532">
      <x:c r="A532" s="20" t="str">
        <x:v>FIN-00529</x:v>
      </x:c>
      <x:c r="B532" s="23" t="n">
        <x:v>46569</x:v>
      </x:c>
      <x:c r="C532" s="23" t="n">
        <x:v>46569</x:v>
      </x:c>
      <x:c r="D532" s="20" t="str">
        <x:v>TenantCharge</x:v>
      </x:c>
      <x:c r="E532" s="20" t="str">
        <x:v>Rent</x:v>
      </x:c>
      <x:c r="F532" s="20" t="str">
        <x:v>P012</x:v>
      </x:c>
      <x:c r="G532" s="20" t="str">
        <x:v>U012</x:v>
      </x:c>
      <x:c r="H532" s="20" t="str">
        <x:v>L012</x:v>
      </x:c>
      <x:c r="I532" s="20" t="str">
        <x:v>Keira Adams</x:v>
      </x:c>
      <x:c r="J532" s="35" t="str">
        <x:v>System scheduled charge</x:v>
      </x:c>
      <x:c r="K532" s="20" t="str"/>
      <x:c r="L532" s="20" t="str">
        <x:v>RENT-202707-L012</x:v>
      </x:c>
      <x:c r="M532" s="26" t="n">
        <x:v>1050</x:v>
      </x:c>
      <x:c r="N532" s="26" t="n">
        <x:v>1050</x:v>
      </x:c>
      <x:c r="O532" s="26" t="n">
        <x:v>0</x:v>
      </x:c>
      <x:c r="P532" s="26" t="n">
        <x:v>0</x:v>
      </x:c>
      <x:c r="Q532" s="26" t="n">
        <x:v>0</x:v>
      </x:c>
      <x:c r="R532" s="26" t="n">
        <x:v>0</x:v>
      </x:c>
      <x:c r="S532" s="26" t="n">
        <x:v>0</x:v>
      </x:c>
      <x:c r="T532" s="26" t="n">
        <x:v>1050</x:v>
      </x:c>
      <x:c r="U532" s="26" t="n">
        <x:v>0</x:v>
      </x:c>
      <x:c r="V532" s="26" t="n">
        <x:v>0</x:v>
      </x:c>
      <x:c r="W532" s="26" t="n">
        <x:v>0</x:v>
      </x:c>
      <x:c r="X532" s="26" t="n">
        <x:v>0</x:v>
      </x:c>
      <x:c r="Y532" s="26" t="n">
        <x:v>0</x:v>
      </x:c>
      <x:c r="Z532" s="35" t="str">
        <x:v>July 2027 rent</x:v>
      </x:c>
    </x:row>
    <x:row r="533">
      <x:c r="A533" s="20" t="str">
        <x:v>FIN-00530</x:v>
      </x:c>
      <x:c r="B533" s="23" t="n">
        <x:v>46571</x:v>
      </x:c>
      <x:c r="C533" s="23" t="n">
        <x:v>46571</x:v>
      </x:c>
      <x:c r="D533" s="20" t="str">
        <x:v>TenantReceipt</x:v>
      </x:c>
      <x:c r="E533" s="20" t="str">
        <x:v>Rent receipt</x:v>
      </x:c>
      <x:c r="F533" s="20" t="str">
        <x:v>P012</x:v>
      </x:c>
      <x:c r="G533" s="20" t="str">
        <x:v>U012</x:v>
      </x:c>
      <x:c r="H533" s="20" t="str">
        <x:v>L012</x:v>
      </x:c>
      <x:c r="I533" s="20" t="str">
        <x:v>Keira Adams</x:v>
      </x:c>
      <x:c r="J533" s="35" t="str">
        <x:v>Scanned check</x:v>
      </x:c>
      <x:c r="K533" s="20" t="str">
        <x:v>SCN-0221</x:v>
      </x:c>
      <x:c r="L533" s="20" t="str">
        <x:v>PMT-20270703-L012</x:v>
      </x:c>
      <x:c r="M533" s="26" t="n">
        <x:v>1050</x:v>
      </x:c>
      <x:c r="N533" s="26" t="n">
        <x:v>-1050</x:v>
      </x:c>
      <x:c r="O533" s="26" t="n">
        <x:v>1050</x:v>
      </x:c>
      <x:c r="P533" s="26" t="n">
        <x:v>0</x:v>
      </x:c>
      <x:c r="Q533" s="26" t="n">
        <x:v>0</x:v>
      </x:c>
      <x:c r="R533" s="26" t="n">
        <x:v>0</x:v>
      </x:c>
      <x:c r="S533" s="26" t="n">
        <x:v>0</x:v>
      </x:c>
      <x:c r="T533" s="26" t="n">
        <x:v>0</x:v>
      </x:c>
      <x:c r="U533" s="26" t="n">
        <x:v>0</x:v>
      </x:c>
      <x:c r="V533" s="26" t="n">
        <x:v>0</x:v>
      </x:c>
      <x:c r="W533" s="26" t="n">
        <x:v>0</x:v>
      </x:c>
      <x:c r="X533" s="26" t="n">
        <x:v>0</x:v>
      </x:c>
      <x:c r="Y533" s="26" t="n">
        <x:v>0</x:v>
      </x:c>
      <x:c r="Z533" s="35" t="str">
        <x:v>Receipt allocated to FIN-00529</x:v>
      </x:c>
    </x:row>
    <x:row r="534">
      <x:c r="A534" s="20" t="str">
        <x:v>FIN-00531</x:v>
      </x:c>
      <x:c r="B534" s="23" t="n">
        <x:v>46569</x:v>
      </x:c>
      <x:c r="C534" s="23" t="n">
        <x:v>46569</x:v>
      </x:c>
      <x:c r="D534" s="20" t="str">
        <x:v>TenantCharge</x:v>
      </x:c>
      <x:c r="E534" s="20" t="str">
        <x:v>Rent</x:v>
      </x:c>
      <x:c r="F534" s="20" t="str">
        <x:v>P013</x:v>
      </x:c>
      <x:c r="G534" s="20" t="str">
        <x:v>U013</x:v>
      </x:c>
      <x:c r="H534" s="20" t="str">
        <x:v>L013</x:v>
      </x:c>
      <x:c r="I534" s="20" t="str">
        <x:v>Nolan Flores</x:v>
      </x:c>
      <x:c r="J534" s="35" t="str">
        <x:v>System scheduled charge</x:v>
      </x:c>
      <x:c r="K534" s="20" t="str"/>
      <x:c r="L534" s="20" t="str">
        <x:v>RENT-202707-L013</x:v>
      </x:c>
      <x:c r="M534" s="26" t="n">
        <x:v>1575</x:v>
      </x:c>
      <x:c r="N534" s="26" t="n">
        <x:v>1575</x:v>
      </x:c>
      <x:c r="O534" s="26" t="n">
        <x:v>0</x:v>
      </x:c>
      <x:c r="P534" s="26" t="n">
        <x:v>0</x:v>
      </x:c>
      <x:c r="Q534" s="26" t="n">
        <x:v>0</x:v>
      </x:c>
      <x:c r="R534" s="26" t="n">
        <x:v>0</x:v>
      </x:c>
      <x:c r="S534" s="26" t="n">
        <x:v>0</x:v>
      </x:c>
      <x:c r="T534" s="26" t="n">
        <x:v>1575</x:v>
      </x:c>
      <x:c r="U534" s="26" t="n">
        <x:v>0</x:v>
      </x:c>
      <x:c r="V534" s="26" t="n">
        <x:v>0</x:v>
      </x:c>
      <x:c r="W534" s="26" t="n">
        <x:v>0</x:v>
      </x:c>
      <x:c r="X534" s="26" t="n">
        <x:v>0</x:v>
      </x:c>
      <x:c r="Y534" s="26" t="n">
        <x:v>0</x:v>
      </x:c>
      <x:c r="Z534" s="35" t="str">
        <x:v>July 2027 rent</x:v>
      </x:c>
    </x:row>
    <x:row r="535">
      <x:c r="A535" s="20" t="str">
        <x:v>FIN-00532</x:v>
      </x:c>
      <x:c r="B535" s="23" t="n">
        <x:v>46574</x:v>
      </x:c>
      <x:c r="C535" s="23" t="n">
        <x:v>46574</x:v>
      </x:c>
      <x:c r="D535" s="20" t="str">
        <x:v>TenantCharge</x:v>
      </x:c>
      <x:c r="E535" s="20" t="str">
        <x:v>Late fee</x:v>
      </x:c>
      <x:c r="F535" s="20" t="str">
        <x:v>P013</x:v>
      </x:c>
      <x:c r="G535" s="20" t="str">
        <x:v>U013</x:v>
      </x:c>
      <x:c r="H535" s="20" t="str">
        <x:v>L013</x:v>
      </x:c>
      <x:c r="I535" s="20" t="str">
        <x:v>Nolan Flores</x:v>
      </x:c>
      <x:c r="J535" s="35" t="str">
        <x:v>System automation</x:v>
      </x:c>
      <x:c r="K535" s="20" t="str"/>
      <x:c r="L535" s="20" t="str">
        <x:v>LATE-202707-L013</x:v>
      </x:c>
      <x:c r="M535" s="26" t="n">
        <x:v>50</x:v>
      </x:c>
      <x:c r="N535" s="26" t="n">
        <x:v>50</x:v>
      </x:c>
      <x:c r="O535" s="26" t="n">
        <x:v>0</x:v>
      </x:c>
      <x:c r="P535" s="26" t="n">
        <x:v>0</x:v>
      </x:c>
      <x:c r="Q535" s="26" t="n">
        <x:v>0</x:v>
      </x:c>
      <x:c r="R535" s="26" t="n">
        <x:v>0</x:v>
      </x:c>
      <x:c r="S535" s="26" t="n">
        <x:v>0</x:v>
      </x:c>
      <x:c r="T535" s="26" t="n">
        <x:v>50</x:v>
      </x:c>
      <x:c r="U535" s="26" t="n">
        <x:v>0</x:v>
      </x:c>
      <x:c r="V535" s="26" t="n">
        <x:v>0</x:v>
      </x:c>
      <x:c r="W535" s="26" t="n">
        <x:v>0</x:v>
      </x:c>
      <x:c r="X535" s="26" t="n">
        <x:v>0</x:v>
      </x:c>
      <x:c r="Y535" s="26" t="n">
        <x:v>0</x:v>
      </x:c>
      <x:c r="Z535" s="35" t="str">
        <x:v>Synthetic lease-authorized late fee</x:v>
      </x:c>
    </x:row>
    <x:row r="536">
      <x:c r="A536" s="20" t="str">
        <x:v>FIN-00533</x:v>
      </x:c>
      <x:c r="B536" s="23" t="n">
        <x:v>46576</x:v>
      </x:c>
      <x:c r="C536" s="23" t="n">
        <x:v>46576</x:v>
      </x:c>
      <x:c r="D536" s="20" t="str">
        <x:v>TenantReceipt</x:v>
      </x:c>
      <x:c r="E536" s="20" t="str">
        <x:v>Rent receipt</x:v>
      </x:c>
      <x:c r="F536" s="20" t="str">
        <x:v>P013</x:v>
      </x:c>
      <x:c r="G536" s="20" t="str">
        <x:v>U013</x:v>
      </x:c>
      <x:c r="H536" s="20" t="str">
        <x:v>L013</x:v>
      </x:c>
      <x:c r="I536" s="20" t="str">
        <x:v>Nolan Flores</x:v>
      </x:c>
      <x:c r="J536" s="35" t="str">
        <x:v>Scanned check</x:v>
      </x:c>
      <x:c r="K536" s="20" t="str">
        <x:v>SCN-0222</x:v>
      </x:c>
      <x:c r="L536" s="20" t="str">
        <x:v>PMT-20270708-L013</x:v>
      </x:c>
      <x:c r="M536" s="26" t="n">
        <x:v>1625</x:v>
      </x:c>
      <x:c r="N536" s="26" t="n">
        <x:v>-1625</x:v>
      </x:c>
      <x:c r="O536" s="26" t="n">
        <x:v>1625</x:v>
      </x:c>
      <x:c r="P536" s="26" t="n">
        <x:v>0</x:v>
      </x:c>
      <x:c r="Q536" s="26" t="n">
        <x:v>0</x:v>
      </x:c>
      <x:c r="R536" s="26" t="n">
        <x:v>0</x:v>
      </x:c>
      <x:c r="S536" s="26" t="n">
        <x:v>0</x:v>
      </x:c>
      <x:c r="T536" s="26" t="n">
        <x:v>0</x:v>
      </x:c>
      <x:c r="U536" s="26" t="n">
        <x:v>0</x:v>
      </x:c>
      <x:c r="V536" s="26" t="n">
        <x:v>0</x:v>
      </x:c>
      <x:c r="W536" s="26" t="n">
        <x:v>0</x:v>
      </x:c>
      <x:c r="X536" s="26" t="n">
        <x:v>0</x:v>
      </x:c>
      <x:c r="Y536" s="26" t="n">
        <x:v>0</x:v>
      </x:c>
      <x:c r="Z536" s="35" t="str">
        <x:v>Receipt allocated to FIN-00532</x:v>
      </x:c>
    </x:row>
    <x:row r="537">
      <x:c r="A537" s="20" t="str">
        <x:v>FIN-00534</x:v>
      </x:c>
      <x:c r="B537" s="23" t="n">
        <x:v>46569</x:v>
      </x:c>
      <x:c r="C537" s="23" t="n">
        <x:v>46569</x:v>
      </x:c>
      <x:c r="D537" s="20" t="str">
        <x:v>TenantCharge</x:v>
      </x:c>
      <x:c r="E537" s="20" t="str">
        <x:v>Rent</x:v>
      </x:c>
      <x:c r="F537" s="20" t="str">
        <x:v>P015</x:v>
      </x:c>
      <x:c r="G537" s="20" t="str">
        <x:v>U015</x:v>
      </x:c>
      <x:c r="H537" s="20" t="str">
        <x:v>L015</x:v>
      </x:c>
      <x:c r="I537" s="20" t="str">
        <x:v>Uri Price</x:v>
      </x:c>
      <x:c r="J537" s="35" t="str">
        <x:v>System scheduled charge</x:v>
      </x:c>
      <x:c r="K537" s="20" t="str"/>
      <x:c r="L537" s="20" t="str">
        <x:v>RENT-202707-L015</x:v>
      </x:c>
      <x:c r="M537" s="26" t="n">
        <x:v>1725</x:v>
      </x:c>
      <x:c r="N537" s="26" t="n">
        <x:v>1725</x:v>
      </x:c>
      <x:c r="O537" s="26" t="n">
        <x:v>0</x:v>
      </x:c>
      <x:c r="P537" s="26" t="n">
        <x:v>0</x:v>
      </x:c>
      <x:c r="Q537" s="26" t="n">
        <x:v>0</x:v>
      </x:c>
      <x:c r="R537" s="26" t="n">
        <x:v>0</x:v>
      </x:c>
      <x:c r="S537" s="26" t="n">
        <x:v>0</x:v>
      </x:c>
      <x:c r="T537" s="26" t="n">
        <x:v>1725</x:v>
      </x:c>
      <x:c r="U537" s="26" t="n">
        <x:v>0</x:v>
      </x:c>
      <x:c r="V537" s="26" t="n">
        <x:v>0</x:v>
      </x:c>
      <x:c r="W537" s="26" t="n">
        <x:v>0</x:v>
      </x:c>
      <x:c r="X537" s="26" t="n">
        <x:v>0</x:v>
      </x:c>
      <x:c r="Y537" s="26" t="n">
        <x:v>0</x:v>
      </x:c>
      <x:c r="Z537" s="35" t="str">
        <x:v>July 2027 rent</x:v>
      </x:c>
    </x:row>
    <x:row r="538">
      <x:c r="A538" s="20" t="str">
        <x:v>FIN-00535</x:v>
      </x:c>
      <x:c r="B538" s="23" t="n">
        <x:v>46571</x:v>
      </x:c>
      <x:c r="C538" s="23" t="n">
        <x:v>46571</x:v>
      </x:c>
      <x:c r="D538" s="20" t="str">
        <x:v>TenantReceipt</x:v>
      </x:c>
      <x:c r="E538" s="20" t="str">
        <x:v>Rent receipt</x:v>
      </x:c>
      <x:c r="F538" s="20" t="str">
        <x:v>P015</x:v>
      </x:c>
      <x:c r="G538" s="20" t="str">
        <x:v>U015</x:v>
      </x:c>
      <x:c r="H538" s="20" t="str">
        <x:v>L015</x:v>
      </x:c>
      <x:c r="I538" s="20" t="str">
        <x:v>Uri Price</x:v>
      </x:c>
      <x:c r="J538" s="35" t="str">
        <x:v>Portal card</x:v>
      </x:c>
      <x:c r="K538" s="20" t="str"/>
      <x:c r="L538" s="20" t="str">
        <x:v>PMT-20270703-L015</x:v>
      </x:c>
      <x:c r="M538" s="26" t="n">
        <x:v>1725</x:v>
      </x:c>
      <x:c r="N538" s="26" t="n">
        <x:v>-1725</x:v>
      </x:c>
      <x:c r="O538" s="26" t="n">
        <x:v>1725</x:v>
      </x:c>
      <x:c r="P538" s="26" t="n">
        <x:v>0</x:v>
      </x:c>
      <x:c r="Q538" s="26" t="n">
        <x:v>0</x:v>
      </x:c>
      <x:c r="R538" s="26" t="n">
        <x:v>0</x:v>
      </x:c>
      <x:c r="S538" s="26" t="n">
        <x:v>0</x:v>
      </x:c>
      <x:c r="T538" s="26" t="n">
        <x:v>0</x:v>
      </x:c>
      <x:c r="U538" s="26" t="n">
        <x:v>0</x:v>
      </x:c>
      <x:c r="V538" s="26" t="n">
        <x:v>0</x:v>
      </x:c>
      <x:c r="W538" s="26" t="n">
        <x:v>0</x:v>
      </x:c>
      <x:c r="X538" s="26" t="n">
        <x:v>0</x:v>
      </x:c>
      <x:c r="Y538" s="26" t="n">
        <x:v>0</x:v>
      </x:c>
      <x:c r="Z538" s="35" t="str">
        <x:v>Receipt allocated to FIN-00534</x:v>
      </x:c>
    </x:row>
    <x:row r="539">
      <x:c r="A539" s="20" t="str">
        <x:v>FIN-00536</x:v>
      </x:c>
      <x:c r="B539" s="23" t="n">
        <x:v>46569</x:v>
      </x:c>
      <x:c r="C539" s="23" t="n">
        <x:v>46569</x:v>
      </x:c>
      <x:c r="D539" s="20" t="str">
        <x:v>TenantCharge</x:v>
      </x:c>
      <x:c r="E539" s="20" t="str">
        <x:v>Rent</x:v>
      </x:c>
      <x:c r="F539" s="20" t="str">
        <x:v>P016</x:v>
      </x:c>
      <x:c r="G539" s="20" t="str">
        <x:v>U016</x:v>
      </x:c>
      <x:c r="H539" s="20" t="str">
        <x:v>L016</x:v>
      </x:c>
      <x:c r="I539" s="20" t="str">
        <x:v>Avery Brooks</x:v>
      </x:c>
      <x:c r="J539" s="35" t="str">
        <x:v>System scheduled charge</x:v>
      </x:c>
      <x:c r="K539" s="20" t="str"/>
      <x:c r="L539" s="20" t="str">
        <x:v>RENT-202707-L016</x:v>
      </x:c>
      <x:c r="M539" s="26" t="n">
        <x:v>1350</x:v>
      </x:c>
      <x:c r="N539" s="26" t="n">
        <x:v>1350</x:v>
      </x:c>
      <x:c r="O539" s="26" t="n">
        <x:v>0</x:v>
      </x:c>
      <x:c r="P539" s="26" t="n">
        <x:v>0</x:v>
      </x:c>
      <x:c r="Q539" s="26" t="n">
        <x:v>0</x:v>
      </x:c>
      <x:c r="R539" s="26" t="n">
        <x:v>0</x:v>
      </x:c>
      <x:c r="S539" s="26" t="n">
        <x:v>0</x:v>
      </x:c>
      <x:c r="T539" s="26" t="n">
        <x:v>1350</x:v>
      </x:c>
      <x:c r="U539" s="26" t="n">
        <x:v>0</x:v>
      </x:c>
      <x:c r="V539" s="26" t="n">
        <x:v>0</x:v>
      </x:c>
      <x:c r="W539" s="26" t="n">
        <x:v>0</x:v>
      </x:c>
      <x:c r="X539" s="26" t="n">
        <x:v>0</x:v>
      </x:c>
      <x:c r="Y539" s="26" t="n">
        <x:v>0</x:v>
      </x:c>
      <x:c r="Z539" s="35" t="str">
        <x:v>July 2027 rent</x:v>
      </x:c>
    </x:row>
    <x:row r="540">
      <x:c r="A540" s="20" t="str">
        <x:v>FIN-00537</x:v>
      </x:c>
      <x:c r="B540" s="23" t="n">
        <x:v>46572</x:v>
      </x:c>
      <x:c r="C540" s="23" t="n">
        <x:v>46572</x:v>
      </x:c>
      <x:c r="D540" s="20" t="str">
        <x:v>TenantReceipt</x:v>
      </x:c>
      <x:c r="E540" s="20" t="str">
        <x:v>Rent receipt</x:v>
      </x:c>
      <x:c r="F540" s="20" t="str">
        <x:v>P016</x:v>
      </x:c>
      <x:c r="G540" s="20" t="str">
        <x:v>U016</x:v>
      </x:c>
      <x:c r="H540" s="20" t="str">
        <x:v>L016</x:v>
      </x:c>
      <x:c r="I540" s="20" t="str">
        <x:v>Avery Brooks</x:v>
      </x:c>
      <x:c r="J540" s="35" t="str">
        <x:v>Scanned check</x:v>
      </x:c>
      <x:c r="K540" s="20" t="str">
        <x:v>SCN-0223</x:v>
      </x:c>
      <x:c r="L540" s="20" t="str">
        <x:v>PMT-20270704-L016</x:v>
      </x:c>
      <x:c r="M540" s="26" t="n">
        <x:v>1350</x:v>
      </x:c>
      <x:c r="N540" s="26" t="n">
        <x:v>-1350</x:v>
      </x:c>
      <x:c r="O540" s="26" t="n">
        <x:v>1350</x:v>
      </x:c>
      <x:c r="P540" s="26" t="n">
        <x:v>0</x:v>
      </x:c>
      <x:c r="Q540" s="26" t="n">
        <x:v>0</x:v>
      </x:c>
      <x:c r="R540" s="26" t="n">
        <x:v>0</x:v>
      </x:c>
      <x:c r="S540" s="26" t="n">
        <x:v>0</x:v>
      </x:c>
      <x:c r="T540" s="26" t="n">
        <x:v>0</x:v>
      </x:c>
      <x:c r="U540" s="26" t="n">
        <x:v>0</x:v>
      </x:c>
      <x:c r="V540" s="26" t="n">
        <x:v>0</x:v>
      </x:c>
      <x:c r="W540" s="26" t="n">
        <x:v>0</x:v>
      </x:c>
      <x:c r="X540" s="26" t="n">
        <x:v>0</x:v>
      </x:c>
      <x:c r="Y540" s="26" t="n">
        <x:v>0</x:v>
      </x:c>
      <x:c r="Z540" s="35" t="str">
        <x:v>Receipt allocated to FIN-00536</x:v>
      </x:c>
    </x:row>
    <x:row r="541">
      <x:c r="A541" s="20" t="str">
        <x:v>FIN-00538</x:v>
      </x:c>
      <x:c r="B541" s="23" t="n">
        <x:v>46569</x:v>
      </x:c>
      <x:c r="C541" s="23" t="n">
        <x:v>46569</x:v>
      </x:c>
      <x:c r="D541" s="20" t="str">
        <x:v>TenantCharge</x:v>
      </x:c>
      <x:c r="E541" s="20" t="str">
        <x:v>Rent</x:v>
      </x:c>
      <x:c r="F541" s="20" t="str">
        <x:v>P018</x:v>
      </x:c>
      <x:c r="G541" s="20" t="str">
        <x:v>U018</x:v>
      </x:c>
      <x:c r="H541" s="20" t="str">
        <x:v>L018</x:v>
      </x:c>
      <x:c r="I541" s="20" t="str">
        <x:v>Gray Lewis</x:v>
      </x:c>
      <x:c r="J541" s="35" t="str">
        <x:v>System scheduled charge</x:v>
      </x:c>
      <x:c r="K541" s="20" t="str"/>
      <x:c r="L541" s="20" t="str">
        <x:v>RENT-202707-L018</x:v>
      </x:c>
      <x:c r="M541" s="26" t="n">
        <x:v>1500</x:v>
      </x:c>
      <x:c r="N541" s="26" t="n">
        <x:v>1500</x:v>
      </x:c>
      <x:c r="O541" s="26" t="n">
        <x:v>0</x:v>
      </x:c>
      <x:c r="P541" s="26" t="n">
        <x:v>0</x:v>
      </x:c>
      <x:c r="Q541" s="26" t="n">
        <x:v>0</x:v>
      </x:c>
      <x:c r="R541" s="26" t="n">
        <x:v>0</x:v>
      </x:c>
      <x:c r="S541" s="26" t="n">
        <x:v>0</x:v>
      </x:c>
      <x:c r="T541" s="26" t="n">
        <x:v>1500</x:v>
      </x:c>
      <x:c r="U541" s="26" t="n">
        <x:v>0</x:v>
      </x:c>
      <x:c r="V541" s="26" t="n">
        <x:v>0</x:v>
      </x:c>
      <x:c r="W541" s="26" t="n">
        <x:v>0</x:v>
      </x:c>
      <x:c r="X541" s="26" t="n">
        <x:v>0</x:v>
      </x:c>
      <x:c r="Y541" s="26" t="n">
        <x:v>0</x:v>
      </x:c>
      <x:c r="Z541" s="35" t="str">
        <x:v>July 2027 rent</x:v>
      </x:c>
    </x:row>
    <x:row r="542">
      <x:c r="A542" s="20" t="str">
        <x:v>FIN-00539</x:v>
      </x:c>
      <x:c r="B542" s="23" t="n">
        <x:v>46571</x:v>
      </x:c>
      <x:c r="C542" s="23" t="n">
        <x:v>46571</x:v>
      </x:c>
      <x:c r="D542" s="20" t="str">
        <x:v>TenantReceipt</x:v>
      </x:c>
      <x:c r="E542" s="20" t="str">
        <x:v>Rent receipt</x:v>
      </x:c>
      <x:c r="F542" s="20" t="str">
        <x:v>P018</x:v>
      </x:c>
      <x:c r="G542" s="20" t="str">
        <x:v>U018</x:v>
      </x:c>
      <x:c r="H542" s="20" t="str">
        <x:v>L018</x:v>
      </x:c>
      <x:c r="I542" s="20" t="str">
        <x:v>Gray Lewis</x:v>
      </x:c>
      <x:c r="J542" s="35" t="str">
        <x:v>Manual ACH</x:v>
      </x:c>
      <x:c r="K542" s="20" t="str"/>
      <x:c r="L542" s="20" t="str">
        <x:v>PMT-20270703-L018</x:v>
      </x:c>
      <x:c r="M542" s="26" t="n">
        <x:v>1500</x:v>
      </x:c>
      <x:c r="N542" s="26" t="n">
        <x:v>-1500</x:v>
      </x:c>
      <x:c r="O542" s="26" t="n">
        <x:v>1500</x:v>
      </x:c>
      <x:c r="P542" s="26" t="n">
        <x:v>0</x:v>
      </x:c>
      <x:c r="Q542" s="26" t="n">
        <x:v>0</x:v>
      </x:c>
      <x:c r="R542" s="26" t="n">
        <x:v>0</x:v>
      </x:c>
      <x:c r="S542" s="26" t="n">
        <x:v>0</x:v>
      </x:c>
      <x:c r="T542" s="26" t="n">
        <x:v>0</x:v>
      </x:c>
      <x:c r="U542" s="26" t="n">
        <x:v>0</x:v>
      </x:c>
      <x:c r="V542" s="26" t="n">
        <x:v>0</x:v>
      </x:c>
      <x:c r="W542" s="26" t="n">
        <x:v>0</x:v>
      </x:c>
      <x:c r="X542" s="26" t="n">
        <x:v>0</x:v>
      </x:c>
      <x:c r="Y542" s="26" t="n">
        <x:v>0</x:v>
      </x:c>
      <x:c r="Z542" s="35" t="str">
        <x:v>Receipt allocated to FIN-00538</x:v>
      </x:c>
    </x:row>
    <x:row r="543">
      <x:c r="A543" s="20" t="str">
        <x:v>FIN-00540</x:v>
      </x:c>
      <x:c r="B543" s="23" t="n">
        <x:v>46569</x:v>
      </x:c>
      <x:c r="C543" s="23" t="n">
        <x:v>46569</x:v>
      </x:c>
      <x:c r="D543" s="20" t="str">
        <x:v>TenantCharge</x:v>
      </x:c>
      <x:c r="E543" s="20" t="str">
        <x:v>Rent</x:v>
      </x:c>
      <x:c r="F543" s="20" t="str">
        <x:v>P019</x:v>
      </x:c>
      <x:c r="G543" s="20" t="str">
        <x:v>U019</x:v>
      </x:c>
      <x:c r="H543" s="20" t="str">
        <x:v>L019</x:v>
      </x:c>
      <x:c r="I543" s="20" t="str">
        <x:v>Jordan Reed</x:v>
      </x:c>
      <x:c r="J543" s="35" t="str">
        <x:v>System scheduled charge</x:v>
      </x:c>
      <x:c r="K543" s="20" t="str"/>
      <x:c r="L543" s="20" t="str">
        <x:v>RENT-202707-L019</x:v>
      </x:c>
      <x:c r="M543" s="26" t="n">
        <x:v>1125</x:v>
      </x:c>
      <x:c r="N543" s="26" t="n">
        <x:v>1125</x:v>
      </x:c>
      <x:c r="O543" s="26" t="n">
        <x:v>0</x:v>
      </x:c>
      <x:c r="P543" s="26" t="n">
        <x:v>0</x:v>
      </x:c>
      <x:c r="Q543" s="26" t="n">
        <x:v>0</x:v>
      </x:c>
      <x:c r="R543" s="26" t="n">
        <x:v>0</x:v>
      </x:c>
      <x:c r="S543" s="26" t="n">
        <x:v>0</x:v>
      </x:c>
      <x:c r="T543" s="26" t="n">
        <x:v>1125</x:v>
      </x:c>
      <x:c r="U543" s="26" t="n">
        <x:v>0</x:v>
      </x:c>
      <x:c r="V543" s="26" t="n">
        <x:v>0</x:v>
      </x:c>
      <x:c r="W543" s="26" t="n">
        <x:v>0</x:v>
      </x:c>
      <x:c r="X543" s="26" t="n">
        <x:v>0</x:v>
      </x:c>
      <x:c r="Y543" s="26" t="n">
        <x:v>0</x:v>
      </x:c>
      <x:c r="Z543" s="35" t="str">
        <x:v>July 2027 rent</x:v>
      </x:c>
    </x:row>
    <x:row r="544">
      <x:c r="A544" s="20" t="str">
        <x:v>FIN-00541</x:v>
      </x:c>
      <x:c r="B544" s="23" t="n">
        <x:v>46572</x:v>
      </x:c>
      <x:c r="C544" s="23" t="n">
        <x:v>46572</x:v>
      </x:c>
      <x:c r="D544" s="20" t="str">
        <x:v>TenantReceipt</x:v>
      </x:c>
      <x:c r="E544" s="20" t="str">
        <x:v>Rent receipt</x:v>
      </x:c>
      <x:c r="F544" s="20" t="str">
        <x:v>P019</x:v>
      </x:c>
      <x:c r="G544" s="20" t="str">
        <x:v>U019</x:v>
      </x:c>
      <x:c r="H544" s="20" t="str">
        <x:v>L019</x:v>
      </x:c>
      <x:c r="I544" s="20" t="str">
        <x:v>Jordan Reed</x:v>
      </x:c>
      <x:c r="J544" s="35" t="str">
        <x:v>Portal card</x:v>
      </x:c>
      <x:c r="K544" s="20" t="str"/>
      <x:c r="L544" s="20" t="str">
        <x:v>PMT-20270704-L019</x:v>
      </x:c>
      <x:c r="M544" s="26" t="n">
        <x:v>1125</x:v>
      </x:c>
      <x:c r="N544" s="26" t="n">
        <x:v>-1125</x:v>
      </x:c>
      <x:c r="O544" s="26" t="n">
        <x:v>1125</x:v>
      </x:c>
      <x:c r="P544" s="26" t="n">
        <x:v>0</x:v>
      </x:c>
      <x:c r="Q544" s="26" t="n">
        <x:v>0</x:v>
      </x:c>
      <x:c r="R544" s="26" t="n">
        <x:v>0</x:v>
      </x:c>
      <x:c r="S544" s="26" t="n">
        <x:v>0</x:v>
      </x:c>
      <x:c r="T544" s="26" t="n">
        <x:v>0</x:v>
      </x:c>
      <x:c r="U544" s="26" t="n">
        <x:v>0</x:v>
      </x:c>
      <x:c r="V544" s="26" t="n">
        <x:v>0</x:v>
      </x:c>
      <x:c r="W544" s="26" t="n">
        <x:v>0</x:v>
      </x:c>
      <x:c r="X544" s="26" t="n">
        <x:v>0</x:v>
      </x:c>
      <x:c r="Y544" s="26" t="n">
        <x:v>0</x:v>
      </x:c>
      <x:c r="Z544" s="35" t="str">
        <x:v>Receipt allocated to FIN-00540</x:v>
      </x:c>
    </x:row>
    <x:row r="545">
      <x:c r="A545" s="20" t="str">
        <x:v>FIN-00542</x:v>
      </x:c>
      <x:c r="B545" s="23" t="n">
        <x:v>46569</x:v>
      </x:c>
      <x:c r="C545" s="23" t="n">
        <x:v>46569</x:v>
      </x:c>
      <x:c r="D545" s="20" t="str">
        <x:v>TenantCharge</x:v>
      </x:c>
      <x:c r="E545" s="20" t="str">
        <x:v>Rent</x:v>
      </x:c>
      <x:c r="F545" s="20" t="str">
        <x:v>P020</x:v>
      </x:c>
      <x:c r="G545" s="20" t="str">
        <x:v>U020</x:v>
      </x:c>
      <x:c r="H545" s="20" t="str">
        <x:v>L020</x:v>
      </x:c>
      <x:c r="I545" s="20" t="str">
        <x:v>Morgan Adams</x:v>
      </x:c>
      <x:c r="J545" s="35" t="str">
        <x:v>System scheduled charge</x:v>
      </x:c>
      <x:c r="K545" s="20" t="str"/>
      <x:c r="L545" s="20" t="str">
        <x:v>RENT-202707-L020</x:v>
      </x:c>
      <x:c r="M545" s="26" t="n">
        <x:v>1650</x:v>
      </x:c>
      <x:c r="N545" s="26" t="n">
        <x:v>1650</x:v>
      </x:c>
      <x:c r="O545" s="26" t="n">
        <x:v>0</x:v>
      </x:c>
      <x:c r="P545" s="26" t="n">
        <x:v>0</x:v>
      </x:c>
      <x:c r="Q545" s="26" t="n">
        <x:v>0</x:v>
      </x:c>
      <x:c r="R545" s="26" t="n">
        <x:v>0</x:v>
      </x:c>
      <x:c r="S545" s="26" t="n">
        <x:v>0</x:v>
      </x:c>
      <x:c r="T545" s="26" t="n">
        <x:v>1650</x:v>
      </x:c>
      <x:c r="U545" s="26" t="n">
        <x:v>0</x:v>
      </x:c>
      <x:c r="V545" s="26" t="n">
        <x:v>0</x:v>
      </x:c>
      <x:c r="W545" s="26" t="n">
        <x:v>0</x:v>
      </x:c>
      <x:c r="X545" s="26" t="n">
        <x:v>0</x:v>
      </x:c>
      <x:c r="Y545" s="26" t="n">
        <x:v>0</x:v>
      </x:c>
      <x:c r="Z545" s="35" t="str">
        <x:v>July 2027 rent</x:v>
      </x:c>
    </x:row>
    <x:row r="546">
      <x:c r="A546" s="20" t="str">
        <x:v>FIN-00543</x:v>
      </x:c>
      <x:c r="B546" s="23" t="n">
        <x:v>46573</x:v>
      </x:c>
      <x:c r="C546" s="23" t="n">
        <x:v>46573</x:v>
      </x:c>
      <x:c r="D546" s="20" t="str">
        <x:v>TenantReceipt</x:v>
      </x:c>
      <x:c r="E546" s="20" t="str">
        <x:v>Rent receipt</x:v>
      </x:c>
      <x:c r="F546" s="20" t="str">
        <x:v>P020</x:v>
      </x:c>
      <x:c r="G546" s="20" t="str">
        <x:v>U020</x:v>
      </x:c>
      <x:c r="H546" s="20" t="str">
        <x:v>L020</x:v>
      </x:c>
      <x:c r="I546" s="20" t="str">
        <x:v>Morgan Adams</x:v>
      </x:c>
      <x:c r="J546" s="35" t="str">
        <x:v>Scanned check</x:v>
      </x:c>
      <x:c r="K546" s="20" t="str">
        <x:v>SCN-0224</x:v>
      </x:c>
      <x:c r="L546" s="20" t="str">
        <x:v>PMT-20270705-L020</x:v>
      </x:c>
      <x:c r="M546" s="26" t="n">
        <x:v>1650</x:v>
      </x:c>
      <x:c r="N546" s="26" t="n">
        <x:v>-1650</x:v>
      </x:c>
      <x:c r="O546" s="26" t="n">
        <x:v>1650</x:v>
      </x:c>
      <x:c r="P546" s="26" t="n">
        <x:v>0</x:v>
      </x:c>
      <x:c r="Q546" s="26" t="n">
        <x:v>0</x:v>
      </x:c>
      <x:c r="R546" s="26" t="n">
        <x:v>0</x:v>
      </x:c>
      <x:c r="S546" s="26" t="n">
        <x:v>0</x:v>
      </x:c>
      <x:c r="T546" s="26" t="n">
        <x:v>0</x:v>
      </x:c>
      <x:c r="U546" s="26" t="n">
        <x:v>0</x:v>
      </x:c>
      <x:c r="V546" s="26" t="n">
        <x:v>0</x:v>
      </x:c>
      <x:c r="W546" s="26" t="n">
        <x:v>0</x:v>
      </x:c>
      <x:c r="X546" s="26" t="n">
        <x:v>0</x:v>
      </x:c>
      <x:c r="Y546" s="26" t="n">
        <x:v>0</x:v>
      </x:c>
      <x:c r="Z546" s="35" t="str">
        <x:v>Receipt allocated to FIN-00542</x:v>
      </x:c>
    </x:row>
    <x:row r="547">
      <x:c r="A547" s="20" t="str">
        <x:v>FIN-00544</x:v>
      </x:c>
      <x:c r="B547" s="23" t="n">
        <x:v>46569</x:v>
      </x:c>
      <x:c r="C547" s="23" t="n">
        <x:v>46569</x:v>
      </x:c>
      <x:c r="D547" s="20" t="str">
        <x:v>TenantCharge</x:v>
      </x:c>
      <x:c r="E547" s="20" t="str">
        <x:v>Rent</x:v>
      </x:c>
      <x:c r="F547" s="20" t="str">
        <x:v>P021</x:v>
      </x:c>
      <x:c r="G547" s="20" t="str">
        <x:v>U021</x:v>
      </x:c>
      <x:c r="H547" s="20" t="str">
        <x:v>L021</x:v>
      </x:c>
      <x:c r="I547" s="20" t="str">
        <x:v>Parker Flores</x:v>
      </x:c>
      <x:c r="J547" s="35" t="str">
        <x:v>System scheduled charge</x:v>
      </x:c>
      <x:c r="K547" s="20" t="str"/>
      <x:c r="L547" s="20" t="str">
        <x:v>RENT-202707-L021</x:v>
      </x:c>
      <x:c r="M547" s="26" t="n">
        <x:v>1375</x:v>
      </x:c>
      <x:c r="N547" s="26" t="n">
        <x:v>1375</x:v>
      </x:c>
      <x:c r="O547" s="26" t="n">
        <x:v>0</x:v>
      </x:c>
      <x:c r="P547" s="26" t="n">
        <x:v>0</x:v>
      </x:c>
      <x:c r="Q547" s="26" t="n">
        <x:v>0</x:v>
      </x:c>
      <x:c r="R547" s="26" t="n">
        <x:v>0</x:v>
      </x:c>
      <x:c r="S547" s="26" t="n">
        <x:v>0</x:v>
      </x:c>
      <x:c r="T547" s="26" t="n">
        <x:v>1375</x:v>
      </x:c>
      <x:c r="U547" s="26" t="n">
        <x:v>0</x:v>
      </x:c>
      <x:c r="V547" s="26" t="n">
        <x:v>0</x:v>
      </x:c>
      <x:c r="W547" s="26" t="n">
        <x:v>0</x:v>
      </x:c>
      <x:c r="X547" s="26" t="n">
        <x:v>0</x:v>
      </x:c>
      <x:c r="Y547" s="26" t="n">
        <x:v>0</x:v>
      </x:c>
      <x:c r="Z547" s="35" t="str">
        <x:v>July 2027 rent</x:v>
      </x:c>
    </x:row>
    <x:row r="548">
      <x:c r="A548" s="20" t="str">
        <x:v>FIN-00545</x:v>
      </x:c>
      <x:c r="B548" s="23" t="n">
        <x:v>46571</x:v>
      </x:c>
      <x:c r="C548" s="23" t="n">
        <x:v>46571</x:v>
      </x:c>
      <x:c r="D548" s="20" t="str">
        <x:v>TenantReceipt</x:v>
      </x:c>
      <x:c r="E548" s="20" t="str">
        <x:v>Rent receipt</x:v>
      </x:c>
      <x:c r="F548" s="20" t="str">
        <x:v>P021</x:v>
      </x:c>
      <x:c r="G548" s="20" t="str">
        <x:v>U021</x:v>
      </x:c>
      <x:c r="H548" s="20" t="str">
        <x:v>L021</x:v>
      </x:c>
      <x:c r="I548" s="20" t="str">
        <x:v>Parker Flores</x:v>
      </x:c>
      <x:c r="J548" s="35" t="str">
        <x:v>Scanned money order</x:v>
      </x:c>
      <x:c r="K548" s="20" t="str">
        <x:v>SCN-0225</x:v>
      </x:c>
      <x:c r="L548" s="20" t="str">
        <x:v>PMT-20270703-L021</x:v>
      </x:c>
      <x:c r="M548" s="26" t="n">
        <x:v>1375</x:v>
      </x:c>
      <x:c r="N548" s="26" t="n">
        <x:v>-1375</x:v>
      </x:c>
      <x:c r="O548" s="26" t="n">
        <x:v>1375</x:v>
      </x:c>
      <x:c r="P548" s="26" t="n">
        <x:v>0</x:v>
      </x:c>
      <x:c r="Q548" s="26" t="n">
        <x:v>0</x:v>
      </x:c>
      <x:c r="R548" s="26" t="n">
        <x:v>0</x:v>
      </x:c>
      <x:c r="S548" s="26" t="n">
        <x:v>0</x:v>
      </x:c>
      <x:c r="T548" s="26" t="n">
        <x:v>0</x:v>
      </x:c>
      <x:c r="U548" s="26" t="n">
        <x:v>0</x:v>
      </x:c>
      <x:c r="V548" s="26" t="n">
        <x:v>0</x:v>
      </x:c>
      <x:c r="W548" s="26" t="n">
        <x:v>0</x:v>
      </x:c>
      <x:c r="X548" s="26" t="n">
        <x:v>0</x:v>
      </x:c>
      <x:c r="Y548" s="26" t="n">
        <x:v>0</x:v>
      </x:c>
      <x:c r="Z548" s="35" t="str">
        <x:v>Receipt allocated to FIN-00544</x:v>
      </x:c>
    </x:row>
    <x:row r="549">
      <x:c r="A549" s="20" t="str">
        <x:v>FIN-00546</x:v>
      </x:c>
      <x:c r="B549" s="23" t="n">
        <x:v>46569</x:v>
      </x:c>
      <x:c r="C549" s="23" t="n">
        <x:v>46569</x:v>
      </x:c>
      <x:c r="D549" s="20" t="str">
        <x:v>TenantCharge</x:v>
      </x:c>
      <x:c r="E549" s="20" t="str">
        <x:v>Rent</x:v>
      </x:c>
      <x:c r="F549" s="20" t="str">
        <x:v>P021</x:v>
      </x:c>
      <x:c r="G549" s="20" t="str">
        <x:v>U022</x:v>
      </x:c>
      <x:c r="H549" s="20" t="str">
        <x:v>L022</x:v>
      </x:c>
      <x:c r="I549" s="20" t="str">
        <x:v>Sage King</x:v>
      </x:c>
      <x:c r="J549" s="35" t="str">
        <x:v>System scheduled charge</x:v>
      </x:c>
      <x:c r="K549" s="20" t="str"/>
      <x:c r="L549" s="20" t="str">
        <x:v>RENT-202707-L022</x:v>
      </x:c>
      <x:c r="M549" s="26" t="n">
        <x:v>1900</x:v>
      </x:c>
      <x:c r="N549" s="26" t="n">
        <x:v>1900</x:v>
      </x:c>
      <x:c r="O549" s="26" t="n">
        <x:v>0</x:v>
      </x:c>
      <x:c r="P549" s="26" t="n">
        <x:v>0</x:v>
      </x:c>
      <x:c r="Q549" s="26" t="n">
        <x:v>0</x:v>
      </x:c>
      <x:c r="R549" s="26" t="n">
        <x:v>0</x:v>
      </x:c>
      <x:c r="S549" s="26" t="n">
        <x:v>0</x:v>
      </x:c>
      <x:c r="T549" s="26" t="n">
        <x:v>1900</x:v>
      </x:c>
      <x:c r="U549" s="26" t="n">
        <x:v>0</x:v>
      </x:c>
      <x:c r="V549" s="26" t="n">
        <x:v>0</x:v>
      </x:c>
      <x:c r="W549" s="26" t="n">
        <x:v>0</x:v>
      </x:c>
      <x:c r="X549" s="26" t="n">
        <x:v>0</x:v>
      </x:c>
      <x:c r="Y549" s="26" t="n">
        <x:v>0</x:v>
      </x:c>
      <x:c r="Z549" s="35" t="str">
        <x:v>July 2027 rent</x:v>
      </x:c>
    </x:row>
    <x:row r="550">
      <x:c r="A550" s="20" t="str">
        <x:v>FIN-00547</x:v>
      </x:c>
      <x:c r="B550" s="23" t="n">
        <x:v>46571</x:v>
      </x:c>
      <x:c r="C550" s="23" t="n">
        <x:v>46571</x:v>
      </x:c>
      <x:c r="D550" s="20" t="str">
        <x:v>TenantReceipt</x:v>
      </x:c>
      <x:c r="E550" s="20" t="str">
        <x:v>Rent receipt</x:v>
      </x:c>
      <x:c r="F550" s="20" t="str">
        <x:v>P021</x:v>
      </x:c>
      <x:c r="G550" s="20" t="str">
        <x:v>U022</x:v>
      </x:c>
      <x:c r="H550" s="20" t="str">
        <x:v>L022</x:v>
      </x:c>
      <x:c r="I550" s="20" t="str">
        <x:v>Sage King</x:v>
      </x:c>
      <x:c r="J550" s="35" t="str">
        <x:v>Manual ACH</x:v>
      </x:c>
      <x:c r="K550" s="20" t="str"/>
      <x:c r="L550" s="20" t="str">
        <x:v>PMT-20270703-L022-A</x:v>
      </x:c>
      <x:c r="M550" s="26" t="n">
        <x:v>1140</x:v>
      </x:c>
      <x:c r="N550" s="26" t="n">
        <x:v>-1140</x:v>
      </x:c>
      <x:c r="O550" s="26" t="n">
        <x:v>1140</x:v>
      </x:c>
      <x:c r="P550" s="26" t="n">
        <x:v>0</x:v>
      </x:c>
      <x:c r="Q550" s="26" t="n">
        <x:v>0</x:v>
      </x:c>
      <x:c r="R550" s="26" t="n">
        <x:v>0</x:v>
      </x:c>
      <x:c r="S550" s="26" t="n">
        <x:v>0</x:v>
      </x:c>
      <x:c r="T550" s="26" t="n">
        <x:v>0</x:v>
      </x:c>
      <x:c r="U550" s="26" t="n">
        <x:v>0</x:v>
      </x:c>
      <x:c r="V550" s="26" t="n">
        <x:v>0</x:v>
      </x:c>
      <x:c r="W550" s="26" t="n">
        <x:v>0</x:v>
      </x:c>
      <x:c r="X550" s="26" t="n">
        <x:v>0</x:v>
      </x:c>
      <x:c r="Y550" s="26" t="n">
        <x:v>0</x:v>
      </x:c>
      <x:c r="Z550" s="35" t="str">
        <x:v>Receipt allocated to FIN-00546</x:v>
      </x:c>
    </x:row>
    <x:row r="551">
      <x:c r="A551" s="20" t="str">
        <x:v>FIN-00548</x:v>
      </x:c>
      <x:c r="B551" s="23" t="n">
        <x:v>46574</x:v>
      </x:c>
      <x:c r="C551" s="23" t="n">
        <x:v>46574</x:v>
      </x:c>
      <x:c r="D551" s="20" t="str">
        <x:v>TenantCharge</x:v>
      </x:c>
      <x:c r="E551" s="20" t="str">
        <x:v>Late fee</x:v>
      </x:c>
      <x:c r="F551" s="20" t="str">
        <x:v>P021</x:v>
      </x:c>
      <x:c r="G551" s="20" t="str">
        <x:v>U022</x:v>
      </x:c>
      <x:c r="H551" s="20" t="str">
        <x:v>L022</x:v>
      </x:c>
      <x:c r="I551" s="20" t="str">
        <x:v>Sage King</x:v>
      </x:c>
      <x:c r="J551" s="35" t="str">
        <x:v>System automation</x:v>
      </x:c>
      <x:c r="K551" s="20" t="str"/>
      <x:c r="L551" s="20" t="str">
        <x:v>LATE-202707-L022</x:v>
      </x:c>
      <x:c r="M551" s="26" t="n">
        <x:v>50</x:v>
      </x:c>
      <x:c r="N551" s="26" t="n">
        <x:v>50</x:v>
      </x:c>
      <x:c r="O551" s="26" t="n">
        <x:v>0</x:v>
      </x:c>
      <x:c r="P551" s="26" t="n">
        <x:v>0</x:v>
      </x:c>
      <x:c r="Q551" s="26" t="n">
        <x:v>0</x:v>
      </x:c>
      <x:c r="R551" s="26" t="n">
        <x:v>0</x:v>
      </x:c>
      <x:c r="S551" s="26" t="n">
        <x:v>0</x:v>
      </x:c>
      <x:c r="T551" s="26" t="n">
        <x:v>50</x:v>
      </x:c>
      <x:c r="U551" s="26" t="n">
        <x:v>0</x:v>
      </x:c>
      <x:c r="V551" s="26" t="n">
        <x:v>0</x:v>
      </x:c>
      <x:c r="W551" s="26" t="n">
        <x:v>0</x:v>
      </x:c>
      <x:c r="X551" s="26" t="n">
        <x:v>0</x:v>
      </x:c>
      <x:c r="Y551" s="26" t="n">
        <x:v>0</x:v>
      </x:c>
      <x:c r="Z551" s="35" t="str">
        <x:v>Synthetic lease-authorized late fee after partial payment</x:v>
      </x:c>
    </x:row>
    <x:row r="552">
      <x:c r="A552" s="20" t="str">
        <x:v>FIN-00549</x:v>
      </x:c>
      <x:c r="B552" s="23" t="n">
        <x:v>46580</x:v>
      </x:c>
      <x:c r="C552" s="23" t="n">
        <x:v>46580</x:v>
      </x:c>
      <x:c r="D552" s="20" t="str">
        <x:v>TenantReceipt</x:v>
      </x:c>
      <x:c r="E552" s="20" t="str">
        <x:v>Rent receipt</x:v>
      </x:c>
      <x:c r="F552" s="20" t="str">
        <x:v>P021</x:v>
      </x:c>
      <x:c r="G552" s="20" t="str">
        <x:v>U022</x:v>
      </x:c>
      <x:c r="H552" s="20" t="str">
        <x:v>L022</x:v>
      </x:c>
      <x:c r="I552" s="20" t="str">
        <x:v>Sage King</x:v>
      </x:c>
      <x:c r="J552" s="35" t="str">
        <x:v>Scanned check</x:v>
      </x:c>
      <x:c r="K552" s="20" t="str">
        <x:v>SCN-0226</x:v>
      </x:c>
      <x:c r="L552" s="20" t="str">
        <x:v>PMT-20270712-L022-B</x:v>
      </x:c>
      <x:c r="M552" s="26" t="n">
        <x:v>810</x:v>
      </x:c>
      <x:c r="N552" s="26" t="n">
        <x:v>-810</x:v>
      </x:c>
      <x:c r="O552" s="26" t="n">
        <x:v>810</x:v>
      </x:c>
      <x:c r="P552" s="26" t="n">
        <x:v>0</x:v>
      </x:c>
      <x:c r="Q552" s="26" t="n">
        <x:v>0</x:v>
      </x:c>
      <x:c r="R552" s="26" t="n">
        <x:v>0</x:v>
      </x:c>
      <x:c r="S552" s="26" t="n">
        <x:v>0</x:v>
      </x:c>
      <x:c r="T552" s="26" t="n">
        <x:v>0</x:v>
      </x:c>
      <x:c r="U552" s="26" t="n">
        <x:v>0</x:v>
      </x:c>
      <x:c r="V552" s="26" t="n">
        <x:v>0</x:v>
      </x:c>
      <x:c r="W552" s="26" t="n">
        <x:v>0</x:v>
      </x:c>
      <x:c r="X552" s="26" t="n">
        <x:v>0</x:v>
      </x:c>
      <x:c r="Y552" s="26" t="n">
        <x:v>0</x:v>
      </x:c>
      <x:c r="Z552" s="35" t="str">
        <x:v>Receipt allocated to FIN-00548</x:v>
      </x:c>
    </x:row>
    <x:row r="553">
      <x:c r="A553" s="20" t="str">
        <x:v>FIN-00550</x:v>
      </x:c>
      <x:c r="B553" s="23" t="n">
        <x:v>46569</x:v>
      </x:c>
      <x:c r="C553" s="23" t="n">
        <x:v>46569</x:v>
      </x:c>
      <x:c r="D553" s="20" t="str">
        <x:v>TenantCharge</x:v>
      </x:c>
      <x:c r="E553" s="20" t="str">
        <x:v>Rent</x:v>
      </x:c>
      <x:c r="F553" s="20" t="str">
        <x:v>P022</x:v>
      </x:c>
      <x:c r="G553" s="20" t="str">
        <x:v>U023</x:v>
      </x:c>
      <x:c r="H553" s="20" t="str">
        <x:v>L023</x:v>
      </x:c>
      <x:c r="I553" s="20" t="str">
        <x:v>Val Price</x:v>
      </x:c>
      <x:c r="J553" s="35" t="str">
        <x:v>System scheduled charge</x:v>
      </x:c>
      <x:c r="K553" s="20" t="str"/>
      <x:c r="L553" s="20" t="str">
        <x:v>RENT-202707-L023</x:v>
      </x:c>
      <x:c r="M553" s="26" t="n">
        <x:v>1525</x:v>
      </x:c>
      <x:c r="N553" s="26" t="n">
        <x:v>1525</x:v>
      </x:c>
      <x:c r="O553" s="26" t="n">
        <x:v>0</x:v>
      </x:c>
      <x:c r="P553" s="26" t="n">
        <x:v>0</x:v>
      </x:c>
      <x:c r="Q553" s="26" t="n">
        <x:v>0</x:v>
      </x:c>
      <x:c r="R553" s="26" t="n">
        <x:v>0</x:v>
      </x:c>
      <x:c r="S553" s="26" t="n">
        <x:v>0</x:v>
      </x:c>
      <x:c r="T553" s="26" t="n">
        <x:v>1525</x:v>
      </x:c>
      <x:c r="U553" s="26" t="n">
        <x:v>0</x:v>
      </x:c>
      <x:c r="V553" s="26" t="n">
        <x:v>0</x:v>
      </x:c>
      <x:c r="W553" s="26" t="n">
        <x:v>0</x:v>
      </x:c>
      <x:c r="X553" s="26" t="n">
        <x:v>0</x:v>
      </x:c>
      <x:c r="Y553" s="26" t="n">
        <x:v>0</x:v>
      </x:c>
      <x:c r="Z553" s="35" t="str">
        <x:v>July 2027 rent</x:v>
      </x:c>
    </x:row>
    <x:row r="554">
      <x:c r="A554" s="20" t="str">
        <x:v>FIN-00551</x:v>
      </x:c>
      <x:c r="B554" s="23" t="n">
        <x:v>46573</x:v>
      </x:c>
      <x:c r="C554" s="23" t="n">
        <x:v>46573</x:v>
      </x:c>
      <x:c r="D554" s="20" t="str">
        <x:v>TenantReceipt</x:v>
      </x:c>
      <x:c r="E554" s="20" t="str">
        <x:v>Rent receipt</x:v>
      </x:c>
      <x:c r="F554" s="20" t="str">
        <x:v>P022</x:v>
      </x:c>
      <x:c r="G554" s="20" t="str">
        <x:v>U023</x:v>
      </x:c>
      <x:c r="H554" s="20" t="str">
        <x:v>L023</x:v>
      </x:c>
      <x:c r="I554" s="20" t="str">
        <x:v>Val Price</x:v>
      </x:c>
      <x:c r="J554" s="35" t="str">
        <x:v>Portal card</x:v>
      </x:c>
      <x:c r="K554" s="20" t="str"/>
      <x:c r="L554" s="20" t="str">
        <x:v>PMT-20270705-L023</x:v>
      </x:c>
      <x:c r="M554" s="26" t="n">
        <x:v>1525</x:v>
      </x:c>
      <x:c r="N554" s="26" t="n">
        <x:v>-1525</x:v>
      </x:c>
      <x:c r="O554" s="26" t="n">
        <x:v>1525</x:v>
      </x:c>
      <x:c r="P554" s="26" t="n">
        <x:v>0</x:v>
      </x:c>
      <x:c r="Q554" s="26" t="n">
        <x:v>0</x:v>
      </x:c>
      <x:c r="R554" s="26" t="n">
        <x:v>0</x:v>
      </x:c>
      <x:c r="S554" s="26" t="n">
        <x:v>0</x:v>
      </x:c>
      <x:c r="T554" s="26" t="n">
        <x:v>0</x:v>
      </x:c>
      <x:c r="U554" s="26" t="n">
        <x:v>0</x:v>
      </x:c>
      <x:c r="V554" s="26" t="n">
        <x:v>0</x:v>
      </x:c>
      <x:c r="W554" s="26" t="n">
        <x:v>0</x:v>
      </x:c>
      <x:c r="X554" s="26" t="n">
        <x:v>0</x:v>
      </x:c>
      <x:c r="Y554" s="26" t="n">
        <x:v>0</x:v>
      </x:c>
      <x:c r="Z554" s="35" t="str">
        <x:v>Receipt allocated to FIN-00550</x:v>
      </x:c>
    </x:row>
    <x:row r="555">
      <x:c r="A555" s="20" t="str">
        <x:v>FIN-00552</x:v>
      </x:c>
      <x:c r="B555" s="23" t="n">
        <x:v>46569</x:v>
      </x:c>
      <x:c r="C555" s="23" t="n">
        <x:v>46569</x:v>
      </x:c>
      <x:c r="D555" s="20" t="str">
        <x:v>TenantCharge</x:v>
      </x:c>
      <x:c r="E555" s="20" t="str">
        <x:v>Rent</x:v>
      </x:c>
      <x:c r="F555" s="20" t="str">
        <x:v>P022</x:v>
      </x:c>
      <x:c r="G555" s="20" t="str">
        <x:v>U024</x:v>
      </x:c>
      <x:c r="H555" s="20" t="str">
        <x:v>L024</x:v>
      </x:c>
      <x:c r="I555" s="20" t="str">
        <x:v>Yara Brooks</x:v>
      </x:c>
      <x:c r="J555" s="35" t="str">
        <x:v>System scheduled charge</x:v>
      </x:c>
      <x:c r="K555" s="20" t="str"/>
      <x:c r="L555" s="20" t="str">
        <x:v>RENT-202707-L024</x:v>
      </x:c>
      <x:c r="M555" s="26" t="n">
        <x:v>1150</x:v>
      </x:c>
      <x:c r="N555" s="26" t="n">
        <x:v>1150</x:v>
      </x:c>
      <x:c r="O555" s="26" t="n">
        <x:v>0</x:v>
      </x:c>
      <x:c r="P555" s="26" t="n">
        <x:v>0</x:v>
      </x:c>
      <x:c r="Q555" s="26" t="n">
        <x:v>0</x:v>
      </x:c>
      <x:c r="R555" s="26" t="n">
        <x:v>0</x:v>
      </x:c>
      <x:c r="S555" s="26" t="n">
        <x:v>0</x:v>
      </x:c>
      <x:c r="T555" s="26" t="n">
        <x:v>1150</x:v>
      </x:c>
      <x:c r="U555" s="26" t="n">
        <x:v>0</x:v>
      </x:c>
      <x:c r="V555" s="26" t="n">
        <x:v>0</x:v>
      </x:c>
      <x:c r="W555" s="26" t="n">
        <x:v>0</x:v>
      </x:c>
      <x:c r="X555" s="26" t="n">
        <x:v>0</x:v>
      </x:c>
      <x:c r="Y555" s="26" t="n">
        <x:v>0</x:v>
      </x:c>
      <x:c r="Z555" s="35" t="str">
        <x:v>July 2027 rent</x:v>
      </x:c>
    </x:row>
    <x:row r="556">
      <x:c r="A556" s="20" t="str">
        <x:v>FIN-00553</x:v>
      </x:c>
      <x:c r="B556" s="23" t="n">
        <x:v>46571</x:v>
      </x:c>
      <x:c r="C556" s="23" t="n">
        <x:v>46571</x:v>
      </x:c>
      <x:c r="D556" s="20" t="str">
        <x:v>TenantReceipt</x:v>
      </x:c>
      <x:c r="E556" s="20" t="str">
        <x:v>Rent receipt</x:v>
      </x:c>
      <x:c r="F556" s="20" t="str">
        <x:v>P022</x:v>
      </x:c>
      <x:c r="G556" s="20" t="str">
        <x:v>U024</x:v>
      </x:c>
      <x:c r="H556" s="20" t="str">
        <x:v>L024</x:v>
      </x:c>
      <x:c r="I556" s="20" t="str">
        <x:v>Yara Brooks</x:v>
      </x:c>
      <x:c r="J556" s="35" t="str">
        <x:v>Scanned check</x:v>
      </x:c>
      <x:c r="K556" s="20" t="str">
        <x:v>SCN-0227</x:v>
      </x:c>
      <x:c r="L556" s="20" t="str">
        <x:v>PMT-20270703-L024</x:v>
      </x:c>
      <x:c r="M556" s="26" t="n">
        <x:v>1150</x:v>
      </x:c>
      <x:c r="N556" s="26" t="n">
        <x:v>-1150</x:v>
      </x:c>
      <x:c r="O556" s="26" t="n">
        <x:v>1150</x:v>
      </x:c>
      <x:c r="P556" s="26" t="n">
        <x:v>0</x:v>
      </x:c>
      <x:c r="Q556" s="26" t="n">
        <x:v>0</x:v>
      </x:c>
      <x:c r="R556" s="26" t="n">
        <x:v>0</x:v>
      </x:c>
      <x:c r="S556" s="26" t="n">
        <x:v>0</x:v>
      </x:c>
      <x:c r="T556" s="26" t="n">
        <x:v>0</x:v>
      </x:c>
      <x:c r="U556" s="26" t="n">
        <x:v>0</x:v>
      </x:c>
      <x:c r="V556" s="26" t="n">
        <x:v>0</x:v>
      </x:c>
      <x:c r="W556" s="26" t="n">
        <x:v>0</x:v>
      </x:c>
      <x:c r="X556" s="26" t="n">
        <x:v>0</x:v>
      </x:c>
      <x:c r="Y556" s="26" t="n">
        <x:v>0</x:v>
      </x:c>
      <x:c r="Z556" s="35" t="str">
        <x:v>Receipt allocated to FIN-00552</x:v>
      </x:c>
    </x:row>
    <x:row r="557">
      <x:c r="A557" s="20" t="str">
        <x:v>FIN-00554</x:v>
      </x:c>
      <x:c r="B557" s="23" t="n">
        <x:v>46569</x:v>
      </x:c>
      <x:c r="C557" s="23" t="n">
        <x:v>46569</x:v>
      </x:c>
      <x:c r="D557" s="20" t="str">
        <x:v>TenantCharge</x:v>
      </x:c>
      <x:c r="E557" s="20" t="str">
        <x:v>Rent</x:v>
      </x:c>
      <x:c r="F557" s="20" t="str">
        <x:v>P023</x:v>
      </x:c>
      <x:c r="G557" s="20" t="str">
        <x:v>U025</x:v>
      </x:c>
      <x:c r="H557" s="20" t="str">
        <x:v>L025</x:v>
      </x:c>
      <x:c r="I557" s="20" t="str">
        <x:v>Bennett Garcia</x:v>
      </x:c>
      <x:c r="J557" s="35" t="str">
        <x:v>System scheduled charge</x:v>
      </x:c>
      <x:c r="K557" s="20" t="str"/>
      <x:c r="L557" s="20" t="str">
        <x:v>RENT-202707-L025</x:v>
      </x:c>
      <x:c r="M557" s="26" t="n">
        <x:v>1675</x:v>
      </x:c>
      <x:c r="N557" s="26" t="n">
        <x:v>1675</x:v>
      </x:c>
      <x:c r="O557" s="26" t="n">
        <x:v>0</x:v>
      </x:c>
      <x:c r="P557" s="26" t="n">
        <x:v>0</x:v>
      </x:c>
      <x:c r="Q557" s="26" t="n">
        <x:v>0</x:v>
      </x:c>
      <x:c r="R557" s="26" t="n">
        <x:v>0</x:v>
      </x:c>
      <x:c r="S557" s="26" t="n">
        <x:v>0</x:v>
      </x:c>
      <x:c r="T557" s="26" t="n">
        <x:v>1675</x:v>
      </x:c>
      <x:c r="U557" s="26" t="n">
        <x:v>0</x:v>
      </x:c>
      <x:c r="V557" s="26" t="n">
        <x:v>0</x:v>
      </x:c>
      <x:c r="W557" s="26" t="n">
        <x:v>0</x:v>
      </x:c>
      <x:c r="X557" s="26" t="n">
        <x:v>0</x:v>
      </x:c>
      <x:c r="Y557" s="26" t="n">
        <x:v>0</x:v>
      </x:c>
      <x:c r="Z557" s="35" t="str">
        <x:v>July 2027 rent</x:v>
      </x:c>
    </x:row>
    <x:row r="558">
      <x:c r="A558" s="20" t="str">
        <x:v>FIN-00555</x:v>
      </x:c>
      <x:c r="B558" s="23" t="n">
        <x:v>46572</x:v>
      </x:c>
      <x:c r="C558" s="23" t="n">
        <x:v>46572</x:v>
      </x:c>
      <x:c r="D558" s="20" t="str">
        <x:v>TenantReceipt</x:v>
      </x:c>
      <x:c r="E558" s="20" t="str">
        <x:v>Rent receipt</x:v>
      </x:c>
      <x:c r="F558" s="20" t="str">
        <x:v>P023</x:v>
      </x:c>
      <x:c r="G558" s="20" t="str">
        <x:v>U025</x:v>
      </x:c>
      <x:c r="H558" s="20" t="str">
        <x:v>L025</x:v>
      </x:c>
      <x:c r="I558" s="20" t="str">
        <x:v>Bennett Garcia</x:v>
      </x:c>
      <x:c r="J558" s="35" t="str">
        <x:v>Scanned money order</x:v>
      </x:c>
      <x:c r="K558" s="20" t="str">
        <x:v>SCN-0228</x:v>
      </x:c>
      <x:c r="L558" s="20" t="str">
        <x:v>PMT-20270704-L025</x:v>
      </x:c>
      <x:c r="M558" s="26" t="n">
        <x:v>1675</x:v>
      </x:c>
      <x:c r="N558" s="26" t="n">
        <x:v>-1675</x:v>
      </x:c>
      <x:c r="O558" s="26" t="n">
        <x:v>1675</x:v>
      </x:c>
      <x:c r="P558" s="26" t="n">
        <x:v>0</x:v>
      </x:c>
      <x:c r="Q558" s="26" t="n">
        <x:v>0</x:v>
      </x:c>
      <x:c r="R558" s="26" t="n">
        <x:v>0</x:v>
      </x:c>
      <x:c r="S558" s="26" t="n">
        <x:v>0</x:v>
      </x:c>
      <x:c r="T558" s="26" t="n">
        <x:v>0</x:v>
      </x:c>
      <x:c r="U558" s="26" t="n">
        <x:v>0</x:v>
      </x:c>
      <x:c r="V558" s="26" t="n">
        <x:v>0</x:v>
      </x:c>
      <x:c r="W558" s="26" t="n">
        <x:v>0</x:v>
      </x:c>
      <x:c r="X558" s="26" t="n">
        <x:v>0</x:v>
      </x:c>
      <x:c r="Y558" s="26" t="n">
        <x:v>0</x:v>
      </x:c>
      <x:c r="Z558" s="35" t="str">
        <x:v>Receipt allocated to FIN-00554</x:v>
      </x:c>
    </x:row>
    <x:row r="559">
      <x:c r="A559" s="20" t="str">
        <x:v>FIN-00556</x:v>
      </x:c>
      <x:c r="B559" s="23" t="n">
        <x:v>46569</x:v>
      </x:c>
      <x:c r="C559" s="23" t="n">
        <x:v>46569</x:v>
      </x:c>
      <x:c r="D559" s="20" t="str">
        <x:v>TenantCharge</x:v>
      </x:c>
      <x:c r="E559" s="20" t="str">
        <x:v>Rent</x:v>
      </x:c>
      <x:c r="F559" s="20" t="str">
        <x:v>P023</x:v>
      </x:c>
      <x:c r="G559" s="20" t="str">
        <x:v>U026</x:v>
      </x:c>
      <x:c r="H559" s="20" t="str">
        <x:v>L026</x:v>
      </x:c>
      <x:c r="I559" s="20" t="str">
        <x:v>Elena Lewis</x:v>
      </x:c>
      <x:c r="J559" s="35" t="str">
        <x:v>System scheduled charge</x:v>
      </x:c>
      <x:c r="K559" s="20" t="str"/>
      <x:c r="L559" s="20" t="str">
        <x:v>RENT-202707-L026</x:v>
      </x:c>
      <x:c r="M559" s="26" t="n">
        <x:v>1300</x:v>
      </x:c>
      <x:c r="N559" s="26" t="n">
        <x:v>1300</x:v>
      </x:c>
      <x:c r="O559" s="26" t="n">
        <x:v>0</x:v>
      </x:c>
      <x:c r="P559" s="26" t="n">
        <x:v>0</x:v>
      </x:c>
      <x:c r="Q559" s="26" t="n">
        <x:v>0</x:v>
      </x:c>
      <x:c r="R559" s="26" t="n">
        <x:v>0</x:v>
      </x:c>
      <x:c r="S559" s="26" t="n">
        <x:v>0</x:v>
      </x:c>
      <x:c r="T559" s="26" t="n">
        <x:v>1300</x:v>
      </x:c>
      <x:c r="U559" s="26" t="n">
        <x:v>0</x:v>
      </x:c>
      <x:c r="V559" s="26" t="n">
        <x:v>0</x:v>
      </x:c>
      <x:c r="W559" s="26" t="n">
        <x:v>0</x:v>
      </x:c>
      <x:c r="X559" s="26" t="n">
        <x:v>0</x:v>
      </x:c>
      <x:c r="Y559" s="26" t="n">
        <x:v>0</x:v>
      </x:c>
      <x:c r="Z559" s="35" t="str">
        <x:v>July 2027 rent</x:v>
      </x:c>
    </x:row>
    <x:row r="560">
      <x:c r="A560" s="20" t="str">
        <x:v>FIN-00557</x:v>
      </x:c>
      <x:c r="B560" s="23" t="n">
        <x:v>46574</x:v>
      </x:c>
      <x:c r="C560" s="23" t="n">
        <x:v>46574</x:v>
      </x:c>
      <x:c r="D560" s="20" t="str">
        <x:v>TenantCharge</x:v>
      </x:c>
      <x:c r="E560" s="20" t="str">
        <x:v>Late fee</x:v>
      </x:c>
      <x:c r="F560" s="20" t="str">
        <x:v>P023</x:v>
      </x:c>
      <x:c r="G560" s="20" t="str">
        <x:v>U026</x:v>
      </x:c>
      <x:c r="H560" s="20" t="str">
        <x:v>L026</x:v>
      </x:c>
      <x:c r="I560" s="20" t="str">
        <x:v>Elena Lewis</x:v>
      </x:c>
      <x:c r="J560" s="35" t="str">
        <x:v>System automation</x:v>
      </x:c>
      <x:c r="K560" s="20" t="str"/>
      <x:c r="L560" s="20" t="str">
        <x:v>LATE-202707-L026</x:v>
      </x:c>
      <x:c r="M560" s="26" t="n">
        <x:v>50</x:v>
      </x:c>
      <x:c r="N560" s="26" t="n">
        <x:v>50</x:v>
      </x:c>
      <x:c r="O560" s="26" t="n">
        <x:v>0</x:v>
      </x:c>
      <x:c r="P560" s="26" t="n">
        <x:v>0</x:v>
      </x:c>
      <x:c r="Q560" s="26" t="n">
        <x:v>0</x:v>
      </x:c>
      <x:c r="R560" s="26" t="n">
        <x:v>0</x:v>
      </x:c>
      <x:c r="S560" s="26" t="n">
        <x:v>0</x:v>
      </x:c>
      <x:c r="T560" s="26" t="n">
        <x:v>50</x:v>
      </x:c>
      <x:c r="U560" s="26" t="n">
        <x:v>0</x:v>
      </x:c>
      <x:c r="V560" s="26" t="n">
        <x:v>0</x:v>
      </x:c>
      <x:c r="W560" s="26" t="n">
        <x:v>0</x:v>
      </x:c>
      <x:c r="X560" s="26" t="n">
        <x:v>0</x:v>
      </x:c>
      <x:c r="Y560" s="26" t="n">
        <x:v>0</x:v>
      </x:c>
      <x:c r="Z560" s="35" t="str">
        <x:v>Synthetic lease-authorized late fee</x:v>
      </x:c>
    </x:row>
    <x:row r="561">
      <x:c r="A561" s="20" t="str">
        <x:v>FIN-00558</x:v>
      </x:c>
      <x:c r="B561" s="23" t="n">
        <x:v>46576</x:v>
      </x:c>
      <x:c r="C561" s="23" t="n">
        <x:v>46576</x:v>
      </x:c>
      <x:c r="D561" s="20" t="str">
        <x:v>TenantReceipt</x:v>
      </x:c>
      <x:c r="E561" s="20" t="str">
        <x:v>Rent receipt</x:v>
      </x:c>
      <x:c r="F561" s="20" t="str">
        <x:v>P023</x:v>
      </x:c>
      <x:c r="G561" s="20" t="str">
        <x:v>U026</x:v>
      </x:c>
      <x:c r="H561" s="20" t="str">
        <x:v>L026</x:v>
      </x:c>
      <x:c r="I561" s="20" t="str">
        <x:v>Elena Lewis</x:v>
      </x:c>
      <x:c r="J561" s="35" t="str">
        <x:v>Scanned money order</x:v>
      </x:c>
      <x:c r="K561" s="20" t="str">
        <x:v>SCN-0229</x:v>
      </x:c>
      <x:c r="L561" s="20" t="str">
        <x:v>PMT-20270708-L026</x:v>
      </x:c>
      <x:c r="M561" s="26" t="n">
        <x:v>1350</x:v>
      </x:c>
      <x:c r="N561" s="26" t="n">
        <x:v>-1350</x:v>
      </x:c>
      <x:c r="O561" s="26" t="n">
        <x:v>1350</x:v>
      </x:c>
      <x:c r="P561" s="26" t="n">
        <x:v>0</x:v>
      </x:c>
      <x:c r="Q561" s="26" t="n">
        <x:v>0</x:v>
      </x:c>
      <x:c r="R561" s="26" t="n">
        <x:v>0</x:v>
      </x:c>
      <x:c r="S561" s="26" t="n">
        <x:v>0</x:v>
      </x:c>
      <x:c r="T561" s="26" t="n">
        <x:v>0</x:v>
      </x:c>
      <x:c r="U561" s="26" t="n">
        <x:v>0</x:v>
      </x:c>
      <x:c r="V561" s="26" t="n">
        <x:v>0</x:v>
      </x:c>
      <x:c r="W561" s="26" t="n">
        <x:v>0</x:v>
      </x:c>
      <x:c r="X561" s="26" t="n">
        <x:v>0</x:v>
      </x:c>
      <x:c r="Y561" s="26" t="n">
        <x:v>0</x:v>
      </x:c>
      <x:c r="Z561" s="35" t="str">
        <x:v>Receipt allocated to FIN-00557</x:v>
      </x:c>
    </x:row>
    <x:row r="562">
      <x:c r="A562" s="20" t="str">
        <x:v>FIN-00559</x:v>
      </x:c>
      <x:c r="B562" s="23" t="n">
        <x:v>46569</x:v>
      </x:c>
      <x:c r="C562" s="23" t="n">
        <x:v>46569</x:v>
      </x:c>
      <x:c r="D562" s="20" t="str">
        <x:v>TenantCharge</x:v>
      </x:c>
      <x:c r="E562" s="20" t="str">
        <x:v>Rent</x:v>
      </x:c>
      <x:c r="F562" s="20" t="str">
        <x:v>P024</x:v>
      </x:c>
      <x:c r="G562" s="20" t="str">
        <x:v>U027</x:v>
      </x:c>
      <x:c r="H562" s="20" t="str">
        <x:v>L027</x:v>
      </x:c>
      <x:c r="I562" s="20" t="str">
        <x:v>Hector Reed</x:v>
      </x:c>
      <x:c r="J562" s="35" t="str">
        <x:v>System scheduled charge</x:v>
      </x:c>
      <x:c r="K562" s="20" t="str"/>
      <x:c r="L562" s="20" t="str">
        <x:v>RENT-202707-L027</x:v>
      </x:c>
      <x:c r="M562" s="26" t="n">
        <x:v>1825</x:v>
      </x:c>
      <x:c r="N562" s="26" t="n">
        <x:v>1825</x:v>
      </x:c>
      <x:c r="O562" s="26" t="n">
        <x:v>0</x:v>
      </x:c>
      <x:c r="P562" s="26" t="n">
        <x:v>0</x:v>
      </x:c>
      <x:c r="Q562" s="26" t="n">
        <x:v>0</x:v>
      </x:c>
      <x:c r="R562" s="26" t="n">
        <x:v>0</x:v>
      </x:c>
      <x:c r="S562" s="26" t="n">
        <x:v>0</x:v>
      </x:c>
      <x:c r="T562" s="26" t="n">
        <x:v>1825</x:v>
      </x:c>
      <x:c r="U562" s="26" t="n">
        <x:v>0</x:v>
      </x:c>
      <x:c r="V562" s="26" t="n">
        <x:v>0</x:v>
      </x:c>
      <x:c r="W562" s="26" t="n">
        <x:v>0</x:v>
      </x:c>
      <x:c r="X562" s="26" t="n">
        <x:v>0</x:v>
      </x:c>
      <x:c r="Y562" s="26" t="n">
        <x:v>0</x:v>
      </x:c>
      <x:c r="Z562" s="35" t="str">
        <x:v>July 2027 rent</x:v>
      </x:c>
    </x:row>
    <x:row r="563">
      <x:c r="A563" s="20" t="str">
        <x:v>FIN-00560</x:v>
      </x:c>
      <x:c r="B563" s="23" t="n">
        <x:v>46571</x:v>
      </x:c>
      <x:c r="C563" s="23" t="n">
        <x:v>46571</x:v>
      </x:c>
      <x:c r="D563" s="20" t="str">
        <x:v>TenantReceipt</x:v>
      </x:c>
      <x:c r="E563" s="20" t="str">
        <x:v>Rent receipt</x:v>
      </x:c>
      <x:c r="F563" s="20" t="str">
        <x:v>P024</x:v>
      </x:c>
      <x:c r="G563" s="20" t="str">
        <x:v>U027</x:v>
      </x:c>
      <x:c r="H563" s="20" t="str">
        <x:v>L027</x:v>
      </x:c>
      <x:c r="I563" s="20" t="str">
        <x:v>Hector Reed</x:v>
      </x:c>
      <x:c r="J563" s="35" t="str">
        <x:v>Portal card</x:v>
      </x:c>
      <x:c r="K563" s="20" t="str"/>
      <x:c r="L563" s="20" t="str">
        <x:v>PMT-20270703-L027</x:v>
      </x:c>
      <x:c r="M563" s="26" t="n">
        <x:v>1825</x:v>
      </x:c>
      <x:c r="N563" s="26" t="n">
        <x:v>-1825</x:v>
      </x:c>
      <x:c r="O563" s="26" t="n">
        <x:v>1825</x:v>
      </x:c>
      <x:c r="P563" s="26" t="n">
        <x:v>0</x:v>
      </x:c>
      <x:c r="Q563" s="26" t="n">
        <x:v>0</x:v>
      </x:c>
      <x:c r="R563" s="26" t="n">
        <x:v>0</x:v>
      </x:c>
      <x:c r="S563" s="26" t="n">
        <x:v>0</x:v>
      </x:c>
      <x:c r="T563" s="26" t="n">
        <x:v>0</x:v>
      </x:c>
      <x:c r="U563" s="26" t="n">
        <x:v>0</x:v>
      </x:c>
      <x:c r="V563" s="26" t="n">
        <x:v>0</x:v>
      </x:c>
      <x:c r="W563" s="26" t="n">
        <x:v>0</x:v>
      </x:c>
      <x:c r="X563" s="26" t="n">
        <x:v>0</x:v>
      </x:c>
      <x:c r="Y563" s="26" t="n">
        <x:v>0</x:v>
      </x:c>
      <x:c r="Z563" s="35" t="str">
        <x:v>Receipt allocated to FIN-00559</x:v>
      </x:c>
    </x:row>
    <x:row r="564">
      <x:c r="A564" s="20" t="str">
        <x:v>FIN-00561</x:v>
      </x:c>
      <x:c r="B564" s="23" t="n">
        <x:v>46569</x:v>
      </x:c>
      <x:c r="C564" s="23" t="n">
        <x:v>46569</x:v>
      </x:c>
      <x:c r="D564" s="20" t="str">
        <x:v>TenantCharge</x:v>
      </x:c>
      <x:c r="E564" s="20" t="str">
        <x:v>Rent</x:v>
      </x:c>
      <x:c r="F564" s="20" t="str">
        <x:v>P024</x:v>
      </x:c>
      <x:c r="G564" s="20" t="str">
        <x:v>U028</x:v>
      </x:c>
      <x:c r="H564" s="20" t="str">
        <x:v>L028</x:v>
      </x:c>
      <x:c r="I564" s="20" t="str">
        <x:v>Keira Adams</x:v>
      </x:c>
      <x:c r="J564" s="35" t="str">
        <x:v>System scheduled charge</x:v>
      </x:c>
      <x:c r="K564" s="20" t="str"/>
      <x:c r="L564" s="20" t="str">
        <x:v>RENT-202707-L028</x:v>
      </x:c>
      <x:c r="M564" s="26" t="n">
        <x:v>1450</x:v>
      </x:c>
      <x:c r="N564" s="26" t="n">
        <x:v>1450</x:v>
      </x:c>
      <x:c r="O564" s="26" t="n">
        <x:v>0</x:v>
      </x:c>
      <x:c r="P564" s="26" t="n">
        <x:v>0</x:v>
      </x:c>
      <x:c r="Q564" s="26" t="n">
        <x:v>0</x:v>
      </x:c>
      <x:c r="R564" s="26" t="n">
        <x:v>0</x:v>
      </x:c>
      <x:c r="S564" s="26" t="n">
        <x:v>0</x:v>
      </x:c>
      <x:c r="T564" s="26" t="n">
        <x:v>1450</x:v>
      </x:c>
      <x:c r="U564" s="26" t="n">
        <x:v>0</x:v>
      </x:c>
      <x:c r="V564" s="26" t="n">
        <x:v>0</x:v>
      </x:c>
      <x:c r="W564" s="26" t="n">
        <x:v>0</x:v>
      </x:c>
      <x:c r="X564" s="26" t="n">
        <x:v>0</x:v>
      </x:c>
      <x:c r="Y564" s="26" t="n">
        <x:v>0</x:v>
      </x:c>
      <x:c r="Z564" s="35" t="str">
        <x:v>July 2027 rent</x:v>
      </x:c>
    </x:row>
    <x:row r="565">
      <x:c r="A565" s="20" t="str">
        <x:v>FIN-00562</x:v>
      </x:c>
      <x:c r="B565" s="23" t="n">
        <x:v>46572</x:v>
      </x:c>
      <x:c r="C565" s="23" t="n">
        <x:v>46572</x:v>
      </x:c>
      <x:c r="D565" s="20" t="str">
        <x:v>TenantReceipt</x:v>
      </x:c>
      <x:c r="E565" s="20" t="str">
        <x:v>Rent receipt</x:v>
      </x:c>
      <x:c r="F565" s="20" t="str">
        <x:v>P024</x:v>
      </x:c>
      <x:c r="G565" s="20" t="str">
        <x:v>U028</x:v>
      </x:c>
      <x:c r="H565" s="20" t="str">
        <x:v>L028</x:v>
      </x:c>
      <x:c r="I565" s="20" t="str">
        <x:v>Keira Adams</x:v>
      </x:c>
      <x:c r="J565" s="35" t="str">
        <x:v>Scanned check</x:v>
      </x:c>
      <x:c r="K565" s="20" t="str">
        <x:v>SCN-0230</x:v>
      </x:c>
      <x:c r="L565" s="20" t="str">
        <x:v>PMT-20270704-L028</x:v>
      </x:c>
      <x:c r="M565" s="26" t="n">
        <x:v>1450</x:v>
      </x:c>
      <x:c r="N565" s="26" t="n">
        <x:v>-1450</x:v>
      </x:c>
      <x:c r="O565" s="26" t="n">
        <x:v>1450</x:v>
      </x:c>
      <x:c r="P565" s="26" t="n">
        <x:v>0</x:v>
      </x:c>
      <x:c r="Q565" s="26" t="n">
        <x:v>0</x:v>
      </x:c>
      <x:c r="R565" s="26" t="n">
        <x:v>0</x:v>
      </x:c>
      <x:c r="S565" s="26" t="n">
        <x:v>0</x:v>
      </x:c>
      <x:c r="T565" s="26" t="n">
        <x:v>0</x:v>
      </x:c>
      <x:c r="U565" s="26" t="n">
        <x:v>0</x:v>
      </x:c>
      <x:c r="V565" s="26" t="n">
        <x:v>0</x:v>
      </x:c>
      <x:c r="W565" s="26" t="n">
        <x:v>0</x:v>
      </x:c>
      <x:c r="X565" s="26" t="n">
        <x:v>0</x:v>
      </x:c>
      <x:c r="Y565" s="26" t="n">
        <x:v>0</x:v>
      </x:c>
      <x:c r="Z565" s="35" t="str">
        <x:v>Receipt allocated to FIN-00561</x:v>
      </x:c>
    </x:row>
    <x:row r="566">
      <x:c r="A566" s="20" t="str">
        <x:v>FIN-00563</x:v>
      </x:c>
      <x:c r="B566" s="23" t="n">
        <x:v>46569</x:v>
      </x:c>
      <x:c r="C566" s="23" t="n">
        <x:v>46569</x:v>
      </x:c>
      <x:c r="D566" s="20" t="str">
        <x:v>TenantCharge</x:v>
      </x:c>
      <x:c r="E566" s="20" t="str">
        <x:v>Rent</x:v>
      </x:c>
      <x:c r="F566" s="20" t="str">
        <x:v>P025</x:v>
      </x:c>
      <x:c r="G566" s="20" t="str">
        <x:v>U029</x:v>
      </x:c>
      <x:c r="H566" s="20" t="str">
        <x:v>L029</x:v>
      </x:c>
      <x:c r="I566" s="20" t="str">
        <x:v>Nolan Flores</x:v>
      </x:c>
      <x:c r="J566" s="35" t="str">
        <x:v>System scheduled charge</x:v>
      </x:c>
      <x:c r="K566" s="20" t="str"/>
      <x:c r="L566" s="20" t="str">
        <x:v>RENT-202707-L029</x:v>
      </x:c>
      <x:c r="M566" s="26" t="n">
        <x:v>1975</x:v>
      </x:c>
      <x:c r="N566" s="26" t="n">
        <x:v>1975</x:v>
      </x:c>
      <x:c r="O566" s="26" t="n">
        <x:v>0</x:v>
      </x:c>
      <x:c r="P566" s="26" t="n">
        <x:v>0</x:v>
      </x:c>
      <x:c r="Q566" s="26" t="n">
        <x:v>0</x:v>
      </x:c>
      <x:c r="R566" s="26" t="n">
        <x:v>0</x:v>
      </x:c>
      <x:c r="S566" s="26" t="n">
        <x:v>0</x:v>
      </x:c>
      <x:c r="T566" s="26" t="n">
        <x:v>1975</x:v>
      </x:c>
      <x:c r="U566" s="26" t="n">
        <x:v>0</x:v>
      </x:c>
      <x:c r="V566" s="26" t="n">
        <x:v>0</x:v>
      </x:c>
      <x:c r="W566" s="26" t="n">
        <x:v>0</x:v>
      </x:c>
      <x:c r="X566" s="26" t="n">
        <x:v>0</x:v>
      </x:c>
      <x:c r="Y566" s="26" t="n">
        <x:v>0</x:v>
      </x:c>
      <x:c r="Z566" s="35" t="str">
        <x:v>July 2027 rent</x:v>
      </x:c>
    </x:row>
    <x:row r="567">
      <x:c r="A567" s="20" t="str">
        <x:v>FIN-00564</x:v>
      </x:c>
      <x:c r="B567" s="23" t="n">
        <x:v>46573</x:v>
      </x:c>
      <x:c r="C567" s="23" t="n">
        <x:v>46573</x:v>
      </x:c>
      <x:c r="D567" s="20" t="str">
        <x:v>TenantReceipt</x:v>
      </x:c>
      <x:c r="E567" s="20" t="str">
        <x:v>Rent receipt</x:v>
      </x:c>
      <x:c r="F567" s="20" t="str">
        <x:v>P025</x:v>
      </x:c>
      <x:c r="G567" s="20" t="str">
        <x:v>U029</x:v>
      </x:c>
      <x:c r="H567" s="20" t="str">
        <x:v>L029</x:v>
      </x:c>
      <x:c r="I567" s="20" t="str">
        <x:v>Nolan Flores</x:v>
      </x:c>
      <x:c r="J567" s="35" t="str">
        <x:v>Scanned money order</x:v>
      </x:c>
      <x:c r="K567" s="20" t="str">
        <x:v>SCN-0231</x:v>
      </x:c>
      <x:c r="L567" s="20" t="str">
        <x:v>PMT-20270705-L029</x:v>
      </x:c>
      <x:c r="M567" s="26" t="n">
        <x:v>1975</x:v>
      </x:c>
      <x:c r="N567" s="26" t="n">
        <x:v>-1975</x:v>
      </x:c>
      <x:c r="O567" s="26" t="n">
        <x:v>1975</x:v>
      </x:c>
      <x:c r="P567" s="26" t="n">
        <x:v>0</x:v>
      </x:c>
      <x:c r="Q567" s="26" t="n">
        <x:v>0</x:v>
      </x:c>
      <x:c r="R567" s="26" t="n">
        <x:v>0</x:v>
      </x:c>
      <x:c r="S567" s="26" t="n">
        <x:v>0</x:v>
      </x:c>
      <x:c r="T567" s="26" t="n">
        <x:v>0</x:v>
      </x:c>
      <x:c r="U567" s="26" t="n">
        <x:v>0</x:v>
      </x:c>
      <x:c r="V567" s="26" t="n">
        <x:v>0</x:v>
      </x:c>
      <x:c r="W567" s="26" t="n">
        <x:v>0</x:v>
      </x:c>
      <x:c r="X567" s="26" t="n">
        <x:v>0</x:v>
      </x:c>
      <x:c r="Y567" s="26" t="n">
        <x:v>0</x:v>
      </x:c>
      <x:c r="Z567" s="35" t="str">
        <x:v>Receipt allocated to FIN-00563</x:v>
      </x:c>
    </x:row>
    <x:row r="568">
      <x:c r="A568" s="20" t="str">
        <x:v>FIN-00565</x:v>
      </x:c>
      <x:c r="B568" s="23" t="n">
        <x:v>46569</x:v>
      </x:c>
      <x:c r="C568" s="23" t="n">
        <x:v>46569</x:v>
      </x:c>
      <x:c r="D568" s="20" t="str">
        <x:v>TenantCharge</x:v>
      </x:c>
      <x:c r="E568" s="20" t="str">
        <x:v>Rent</x:v>
      </x:c>
      <x:c r="F568" s="20" t="str">
        <x:v>P025</x:v>
      </x:c>
      <x:c r="G568" s="20" t="str">
        <x:v>U030</x:v>
      </x:c>
      <x:c r="H568" s="20" t="str">
        <x:v>L030</x:v>
      </x:c>
      <x:c r="I568" s="20" t="str">
        <x:v>Rina King</x:v>
      </x:c>
      <x:c r="J568" s="35" t="str">
        <x:v>System scheduled charge</x:v>
      </x:c>
      <x:c r="K568" s="20" t="str"/>
      <x:c r="L568" s="20" t="str">
        <x:v>RENT-202707-L030</x:v>
      </x:c>
      <x:c r="M568" s="26" t="n">
        <x:v>1600</x:v>
      </x:c>
      <x:c r="N568" s="26" t="n">
        <x:v>1600</x:v>
      </x:c>
      <x:c r="O568" s="26" t="n">
        <x:v>0</x:v>
      </x:c>
      <x:c r="P568" s="26" t="n">
        <x:v>0</x:v>
      </x:c>
      <x:c r="Q568" s="26" t="n">
        <x:v>0</x:v>
      </x:c>
      <x:c r="R568" s="26" t="n">
        <x:v>0</x:v>
      </x:c>
      <x:c r="S568" s="26" t="n">
        <x:v>0</x:v>
      </x:c>
      <x:c r="T568" s="26" t="n">
        <x:v>1600</x:v>
      </x:c>
      <x:c r="U568" s="26" t="n">
        <x:v>0</x:v>
      </x:c>
      <x:c r="V568" s="26" t="n">
        <x:v>0</x:v>
      </x:c>
      <x:c r="W568" s="26" t="n">
        <x:v>0</x:v>
      </x:c>
      <x:c r="X568" s="26" t="n">
        <x:v>0</x:v>
      </x:c>
      <x:c r="Y568" s="26" t="n">
        <x:v>0</x:v>
      </x:c>
      <x:c r="Z568" s="35" t="str">
        <x:v>July 2027 rent</x:v>
      </x:c>
    </x:row>
    <x:row r="569">
      <x:c r="A569" s="20" t="str">
        <x:v>FIN-00566</x:v>
      </x:c>
      <x:c r="B569" s="23" t="n">
        <x:v>46571</x:v>
      </x:c>
      <x:c r="C569" s="23" t="n">
        <x:v>46571</x:v>
      </x:c>
      <x:c r="D569" s="20" t="str">
        <x:v>TenantReceipt</x:v>
      </x:c>
      <x:c r="E569" s="20" t="str">
        <x:v>Rent receipt</x:v>
      </x:c>
      <x:c r="F569" s="20" t="str">
        <x:v>P025</x:v>
      </x:c>
      <x:c r="G569" s="20" t="str">
        <x:v>U030</x:v>
      </x:c>
      <x:c r="H569" s="20" t="str">
        <x:v>L030</x:v>
      </x:c>
      <x:c r="I569" s="20" t="str">
        <x:v>Rina King</x:v>
      </x:c>
      <x:c r="J569" s="35" t="str">
        <x:v>Manual ACH</x:v>
      </x:c>
      <x:c r="K569" s="20" t="str"/>
      <x:c r="L569" s="20" t="str">
        <x:v>PMT-20270703-L030</x:v>
      </x:c>
      <x:c r="M569" s="26" t="n">
        <x:v>1600</x:v>
      </x:c>
      <x:c r="N569" s="26" t="n">
        <x:v>-1600</x:v>
      </x:c>
      <x:c r="O569" s="26" t="n">
        <x:v>1600</x:v>
      </x:c>
      <x:c r="P569" s="26" t="n">
        <x:v>0</x:v>
      </x:c>
      <x:c r="Q569" s="26" t="n">
        <x:v>0</x:v>
      </x:c>
      <x:c r="R569" s="26" t="n">
        <x:v>0</x:v>
      </x:c>
      <x:c r="S569" s="26" t="n">
        <x:v>0</x:v>
      </x:c>
      <x:c r="T569" s="26" t="n">
        <x:v>0</x:v>
      </x:c>
      <x:c r="U569" s="26" t="n">
        <x:v>0</x:v>
      </x:c>
      <x:c r="V569" s="26" t="n">
        <x:v>0</x:v>
      </x:c>
      <x:c r="W569" s="26" t="n">
        <x:v>0</x:v>
      </x:c>
      <x:c r="X569" s="26" t="n">
        <x:v>0</x:v>
      </x:c>
      <x:c r="Y569" s="26" t="n">
        <x:v>0</x:v>
      </x:c>
      <x:c r="Z569" s="35" t="str">
        <x:v>Receipt allocated to FIN-00565</x:v>
      </x:c>
    </x:row>
    <x:row r="570">
      <x:c r="A570" s="20" t="str">
        <x:v>FIN-00567</x:v>
      </x:c>
      <x:c r="B570" s="23" t="n">
        <x:v>46569</x:v>
      </x:c>
      <x:c r="C570" s="23" t="n">
        <x:v>46569</x:v>
      </x:c>
      <x:c r="D570" s="20" t="str">
        <x:v>TenantCharge</x:v>
      </x:c>
      <x:c r="E570" s="20" t="str">
        <x:v>Rent</x:v>
      </x:c>
      <x:c r="F570" s="20" t="str">
        <x:v>P026</x:v>
      </x:c>
      <x:c r="G570" s="20" t="str">
        <x:v>U031</x:v>
      </x:c>
      <x:c r="H570" s="20" t="str">
        <x:v>L031</x:v>
      </x:c>
      <x:c r="I570" s="20" t="str">
        <x:v>Uri Price</x:v>
      </x:c>
      <x:c r="J570" s="35" t="str">
        <x:v>System scheduled charge</x:v>
      </x:c>
      <x:c r="K570" s="20" t="str"/>
      <x:c r="L570" s="20" t="str">
        <x:v>RENT-202707-L031</x:v>
      </x:c>
      <x:c r="M570" s="26" t="n">
        <x:v>1225</x:v>
      </x:c>
      <x:c r="N570" s="26" t="n">
        <x:v>1225</x:v>
      </x:c>
      <x:c r="O570" s="26" t="n">
        <x:v>0</x:v>
      </x:c>
      <x:c r="P570" s="26" t="n">
        <x:v>0</x:v>
      </x:c>
      <x:c r="Q570" s="26" t="n">
        <x:v>0</x:v>
      </x:c>
      <x:c r="R570" s="26" t="n">
        <x:v>0</x:v>
      </x:c>
      <x:c r="S570" s="26" t="n">
        <x:v>0</x:v>
      </x:c>
      <x:c r="T570" s="26" t="n">
        <x:v>1225</x:v>
      </x:c>
      <x:c r="U570" s="26" t="n">
        <x:v>0</x:v>
      </x:c>
      <x:c r="V570" s="26" t="n">
        <x:v>0</x:v>
      </x:c>
      <x:c r="W570" s="26" t="n">
        <x:v>0</x:v>
      </x:c>
      <x:c r="X570" s="26" t="n">
        <x:v>0</x:v>
      </x:c>
      <x:c r="Y570" s="26" t="n">
        <x:v>0</x:v>
      </x:c>
      <x:c r="Z570" s="35" t="str">
        <x:v>July 2027 rent</x:v>
      </x:c>
    </x:row>
    <x:row r="571">
      <x:c r="A571" s="20" t="str">
        <x:v>FIN-00568</x:v>
      </x:c>
      <x:c r="B571" s="23" t="n">
        <x:v>46572</x:v>
      </x:c>
      <x:c r="C571" s="23" t="n">
        <x:v>46572</x:v>
      </x:c>
      <x:c r="D571" s="20" t="str">
        <x:v>TenantReceipt</x:v>
      </x:c>
      <x:c r="E571" s="20" t="str">
        <x:v>Rent receipt</x:v>
      </x:c>
      <x:c r="F571" s="20" t="str">
        <x:v>P026</x:v>
      </x:c>
      <x:c r="G571" s="20" t="str">
        <x:v>U031</x:v>
      </x:c>
      <x:c r="H571" s="20" t="str">
        <x:v>L031</x:v>
      </x:c>
      <x:c r="I571" s="20" t="str">
        <x:v>Uri Price</x:v>
      </x:c>
      <x:c r="J571" s="35" t="str">
        <x:v>Portal card</x:v>
      </x:c>
      <x:c r="K571" s="20" t="str"/>
      <x:c r="L571" s="20" t="str">
        <x:v>PMT-20270704-L031</x:v>
      </x:c>
      <x:c r="M571" s="26" t="n">
        <x:v>1225</x:v>
      </x:c>
      <x:c r="N571" s="26" t="n">
        <x:v>-1225</x:v>
      </x:c>
      <x:c r="O571" s="26" t="n">
        <x:v>1225</x:v>
      </x:c>
      <x:c r="P571" s="26" t="n">
        <x:v>0</x:v>
      </x:c>
      <x:c r="Q571" s="26" t="n">
        <x:v>0</x:v>
      </x:c>
      <x:c r="R571" s="26" t="n">
        <x:v>0</x:v>
      </x:c>
      <x:c r="S571" s="26" t="n">
        <x:v>0</x:v>
      </x:c>
      <x:c r="T571" s="26" t="n">
        <x:v>0</x:v>
      </x:c>
      <x:c r="U571" s="26" t="n">
        <x:v>0</x:v>
      </x:c>
      <x:c r="V571" s="26" t="n">
        <x:v>0</x:v>
      </x:c>
      <x:c r="W571" s="26" t="n">
        <x:v>0</x:v>
      </x:c>
      <x:c r="X571" s="26" t="n">
        <x:v>0</x:v>
      </x:c>
      <x:c r="Y571" s="26" t="n">
        <x:v>0</x:v>
      </x:c>
      <x:c r="Z571" s="35" t="str">
        <x:v>Receipt allocated to FIN-00567</x:v>
      </x:c>
    </x:row>
    <x:row r="572">
      <x:c r="A572" s="20" t="str">
        <x:v>FIN-00569</x:v>
      </x:c>
      <x:c r="B572" s="23" t="n">
        <x:v>46569</x:v>
      </x:c>
      <x:c r="C572" s="23" t="n">
        <x:v>46569</x:v>
      </x:c>
      <x:c r="D572" s="20" t="str">
        <x:v>TenantCharge</x:v>
      </x:c>
      <x:c r="E572" s="20" t="str">
        <x:v>Rent</x:v>
      </x:c>
      <x:c r="F572" s="20" t="str">
        <x:v>P026</x:v>
      </x:c>
      <x:c r="G572" s="20" t="str">
        <x:v>U032</x:v>
      </x:c>
      <x:c r="H572" s="20" t="str">
        <x:v>L032</x:v>
      </x:c>
      <x:c r="I572" s="20" t="str">
        <x:v>Avery Brooks</x:v>
      </x:c>
      <x:c r="J572" s="35" t="str">
        <x:v>System scheduled charge</x:v>
      </x:c>
      <x:c r="K572" s="20" t="str"/>
      <x:c r="L572" s="20" t="str">
        <x:v>RENT-202707-L032</x:v>
      </x:c>
      <x:c r="M572" s="26" t="n">
        <x:v>1750</x:v>
      </x:c>
      <x:c r="N572" s="26" t="n">
        <x:v>1750</x:v>
      </x:c>
      <x:c r="O572" s="26" t="n">
        <x:v>0</x:v>
      </x:c>
      <x:c r="P572" s="26" t="n">
        <x:v>0</x:v>
      </x:c>
      <x:c r="Q572" s="26" t="n">
        <x:v>0</x:v>
      </x:c>
      <x:c r="R572" s="26" t="n">
        <x:v>0</x:v>
      </x:c>
      <x:c r="S572" s="26" t="n">
        <x:v>0</x:v>
      </x:c>
      <x:c r="T572" s="26" t="n">
        <x:v>1750</x:v>
      </x:c>
      <x:c r="U572" s="26" t="n">
        <x:v>0</x:v>
      </x:c>
      <x:c r="V572" s="26" t="n">
        <x:v>0</x:v>
      </x:c>
      <x:c r="W572" s="26" t="n">
        <x:v>0</x:v>
      </x:c>
      <x:c r="X572" s="26" t="n">
        <x:v>0</x:v>
      </x:c>
      <x:c r="Y572" s="26" t="n">
        <x:v>0</x:v>
      </x:c>
      <x:c r="Z572" s="35" t="str">
        <x:v>July 2027 rent</x:v>
      </x:c>
    </x:row>
    <x:row r="573">
      <x:c r="A573" s="20" t="str">
        <x:v>FIN-00570</x:v>
      </x:c>
      <x:c r="B573" s="23" t="n">
        <x:v>46573</x:v>
      </x:c>
      <x:c r="C573" s="23" t="n">
        <x:v>46573</x:v>
      </x:c>
      <x:c r="D573" s="20" t="str">
        <x:v>TenantReceipt</x:v>
      </x:c>
      <x:c r="E573" s="20" t="str">
        <x:v>Rent receipt</x:v>
      </x:c>
      <x:c r="F573" s="20" t="str">
        <x:v>P026</x:v>
      </x:c>
      <x:c r="G573" s="20" t="str">
        <x:v>U032</x:v>
      </x:c>
      <x:c r="H573" s="20" t="str">
        <x:v>L032</x:v>
      </x:c>
      <x:c r="I573" s="20" t="str">
        <x:v>Avery Brooks</x:v>
      </x:c>
      <x:c r="J573" s="35" t="str">
        <x:v>Scanned check</x:v>
      </x:c>
      <x:c r="K573" s="20" t="str">
        <x:v>SCN-0232</x:v>
      </x:c>
      <x:c r="L573" s="20" t="str">
        <x:v>PMT-20270705-L032</x:v>
      </x:c>
      <x:c r="M573" s="26" t="n">
        <x:v>1750</x:v>
      </x:c>
      <x:c r="N573" s="26" t="n">
        <x:v>-1750</x:v>
      </x:c>
      <x:c r="O573" s="26" t="n">
        <x:v>1750</x:v>
      </x:c>
      <x:c r="P573" s="26" t="n">
        <x:v>0</x:v>
      </x:c>
      <x:c r="Q573" s="26" t="n">
        <x:v>0</x:v>
      </x:c>
      <x:c r="R573" s="26" t="n">
        <x:v>0</x:v>
      </x:c>
      <x:c r="S573" s="26" t="n">
        <x:v>0</x:v>
      </x:c>
      <x:c r="T573" s="26" t="n">
        <x:v>0</x:v>
      </x:c>
      <x:c r="U573" s="26" t="n">
        <x:v>0</x:v>
      </x:c>
      <x:c r="V573" s="26" t="n">
        <x:v>0</x:v>
      </x:c>
      <x:c r="W573" s="26" t="n">
        <x:v>0</x:v>
      </x:c>
      <x:c r="X573" s="26" t="n">
        <x:v>0</x:v>
      </x:c>
      <x:c r="Y573" s="26" t="n">
        <x:v>0</x:v>
      </x:c>
      <x:c r="Z573" s="35" t="str">
        <x:v>Receipt allocated to FIN-00569</x:v>
      </x:c>
    </x:row>
    <x:row r="574">
      <x:c r="A574" s="20" t="str">
        <x:v>FIN-00571</x:v>
      </x:c>
      <x:c r="B574" s="23" t="n">
        <x:v>46569</x:v>
      </x:c>
      <x:c r="C574" s="23" t="n">
        <x:v>46569</x:v>
      </x:c>
      <x:c r="D574" s="20" t="str">
        <x:v>TenantCharge</x:v>
      </x:c>
      <x:c r="E574" s="20" t="str">
        <x:v>Rent</x:v>
      </x:c>
      <x:c r="F574" s="20" t="str">
        <x:v>P027</x:v>
      </x:c>
      <x:c r="G574" s="20" t="str">
        <x:v>U033</x:v>
      </x:c>
      <x:c r="H574" s="20" t="str">
        <x:v>L033</x:v>
      </x:c>
      <x:c r="I574" s="20" t="str">
        <x:v>Dana Garcia</x:v>
      </x:c>
      <x:c r="J574" s="35" t="str">
        <x:v>System scheduled charge</x:v>
      </x:c>
      <x:c r="K574" s="20" t="str"/>
      <x:c r="L574" s="20" t="str">
        <x:v>RENT-202707-L033</x:v>
      </x:c>
      <x:c r="M574" s="26" t="n">
        <x:v>1375</x:v>
      </x:c>
      <x:c r="N574" s="26" t="n">
        <x:v>1375</x:v>
      </x:c>
      <x:c r="O574" s="26" t="n">
        <x:v>0</x:v>
      </x:c>
      <x:c r="P574" s="26" t="n">
        <x:v>0</x:v>
      </x:c>
      <x:c r="Q574" s="26" t="n">
        <x:v>0</x:v>
      </x:c>
      <x:c r="R574" s="26" t="n">
        <x:v>0</x:v>
      </x:c>
      <x:c r="S574" s="26" t="n">
        <x:v>0</x:v>
      </x:c>
      <x:c r="T574" s="26" t="n">
        <x:v>1375</x:v>
      </x:c>
      <x:c r="U574" s="26" t="n">
        <x:v>0</x:v>
      </x:c>
      <x:c r="V574" s="26" t="n">
        <x:v>0</x:v>
      </x:c>
      <x:c r="W574" s="26" t="n">
        <x:v>0</x:v>
      </x:c>
      <x:c r="X574" s="26" t="n">
        <x:v>0</x:v>
      </x:c>
      <x:c r="Y574" s="26" t="n">
        <x:v>0</x:v>
      </x:c>
      <x:c r="Z574" s="35" t="str">
        <x:v>July 2027 rent</x:v>
      </x:c>
    </x:row>
    <x:row r="575">
      <x:c r="A575" s="20" t="str">
        <x:v>FIN-00572</x:v>
      </x:c>
      <x:c r="B575" s="23" t="n">
        <x:v>46571</x:v>
      </x:c>
      <x:c r="C575" s="23" t="n">
        <x:v>46571</x:v>
      </x:c>
      <x:c r="D575" s="20" t="str">
        <x:v>TenantReceipt</x:v>
      </x:c>
      <x:c r="E575" s="20" t="str">
        <x:v>Rent receipt</x:v>
      </x:c>
      <x:c r="F575" s="20" t="str">
        <x:v>P027</x:v>
      </x:c>
      <x:c r="G575" s="20" t="str">
        <x:v>U033</x:v>
      </x:c>
      <x:c r="H575" s="20" t="str">
        <x:v>L033</x:v>
      </x:c>
      <x:c r="I575" s="20" t="str">
        <x:v>Dana Garcia</x:v>
      </x:c>
      <x:c r="J575" s="35" t="str">
        <x:v>Scanned money order</x:v>
      </x:c>
      <x:c r="K575" s="20" t="str">
        <x:v>SCN-0233</x:v>
      </x:c>
      <x:c r="L575" s="20" t="str">
        <x:v>PMT-20270703-L033-A</x:v>
      </x:c>
      <x:c r="M575" s="26" t="n">
        <x:v>825</x:v>
      </x:c>
      <x:c r="N575" s="26" t="n">
        <x:v>-825</x:v>
      </x:c>
      <x:c r="O575" s="26" t="n">
        <x:v>825</x:v>
      </x:c>
      <x:c r="P575" s="26" t="n">
        <x:v>0</x:v>
      </x:c>
      <x:c r="Q575" s="26" t="n">
        <x:v>0</x:v>
      </x:c>
      <x:c r="R575" s="26" t="n">
        <x:v>0</x:v>
      </x:c>
      <x:c r="S575" s="26" t="n">
        <x:v>0</x:v>
      </x:c>
      <x:c r="T575" s="26" t="n">
        <x:v>0</x:v>
      </x:c>
      <x:c r="U575" s="26" t="n">
        <x:v>0</x:v>
      </x:c>
      <x:c r="V575" s="26" t="n">
        <x:v>0</x:v>
      </x:c>
      <x:c r="W575" s="26" t="n">
        <x:v>0</x:v>
      </x:c>
      <x:c r="X575" s="26" t="n">
        <x:v>0</x:v>
      </x:c>
      <x:c r="Y575" s="26" t="n">
        <x:v>0</x:v>
      </x:c>
      <x:c r="Z575" s="35" t="str">
        <x:v>Receipt allocated to FIN-00571</x:v>
      </x:c>
    </x:row>
    <x:row r="576">
      <x:c r="A576" s="20" t="str">
        <x:v>FIN-00573</x:v>
      </x:c>
      <x:c r="B576" s="23" t="n">
        <x:v>46574</x:v>
      </x:c>
      <x:c r="C576" s="23" t="n">
        <x:v>46574</x:v>
      </x:c>
      <x:c r="D576" s="20" t="str">
        <x:v>TenantCharge</x:v>
      </x:c>
      <x:c r="E576" s="20" t="str">
        <x:v>Late fee</x:v>
      </x:c>
      <x:c r="F576" s="20" t="str">
        <x:v>P027</x:v>
      </x:c>
      <x:c r="G576" s="20" t="str">
        <x:v>U033</x:v>
      </x:c>
      <x:c r="H576" s="20" t="str">
        <x:v>L033</x:v>
      </x:c>
      <x:c r="I576" s="20" t="str">
        <x:v>Dana Garcia</x:v>
      </x:c>
      <x:c r="J576" s="35" t="str">
        <x:v>System automation</x:v>
      </x:c>
      <x:c r="K576" s="20" t="str"/>
      <x:c r="L576" s="20" t="str">
        <x:v>LATE-202707-L033</x:v>
      </x:c>
      <x:c r="M576" s="26" t="n">
        <x:v>50</x:v>
      </x:c>
      <x:c r="N576" s="26" t="n">
        <x:v>50</x:v>
      </x:c>
      <x:c r="O576" s="26" t="n">
        <x:v>0</x:v>
      </x:c>
      <x:c r="P576" s="26" t="n">
        <x:v>0</x:v>
      </x:c>
      <x:c r="Q576" s="26" t="n">
        <x:v>0</x:v>
      </x:c>
      <x:c r="R576" s="26" t="n">
        <x:v>0</x:v>
      </x:c>
      <x:c r="S576" s="26" t="n">
        <x:v>0</x:v>
      </x:c>
      <x:c r="T576" s="26" t="n">
        <x:v>50</x:v>
      </x:c>
      <x:c r="U576" s="26" t="n">
        <x:v>0</x:v>
      </x:c>
      <x:c r="V576" s="26" t="n">
        <x:v>0</x:v>
      </x:c>
      <x:c r="W576" s="26" t="n">
        <x:v>0</x:v>
      </x:c>
      <x:c r="X576" s="26" t="n">
        <x:v>0</x:v>
      </x:c>
      <x:c r="Y576" s="26" t="n">
        <x:v>0</x:v>
      </x:c>
      <x:c r="Z576" s="35" t="str">
        <x:v>Synthetic lease-authorized late fee after partial payment</x:v>
      </x:c>
    </x:row>
    <x:row r="577">
      <x:c r="A577" s="20" t="str">
        <x:v>FIN-00574</x:v>
      </x:c>
      <x:c r="B577" s="23" t="n">
        <x:v>46580</x:v>
      </x:c>
      <x:c r="C577" s="23" t="n">
        <x:v>46580</x:v>
      </x:c>
      <x:c r="D577" s="20" t="str">
        <x:v>TenantReceipt</x:v>
      </x:c>
      <x:c r="E577" s="20" t="str">
        <x:v>Rent receipt</x:v>
      </x:c>
      <x:c r="F577" s="20" t="str">
        <x:v>P027</x:v>
      </x:c>
      <x:c r="G577" s="20" t="str">
        <x:v>U033</x:v>
      </x:c>
      <x:c r="H577" s="20" t="str">
        <x:v>L033</x:v>
      </x:c>
      <x:c r="I577" s="20" t="str">
        <x:v>Dana Garcia</x:v>
      </x:c>
      <x:c r="J577" s="35" t="str">
        <x:v>Portal card</x:v>
      </x:c>
      <x:c r="K577" s="20" t="str"/>
      <x:c r="L577" s="20" t="str">
        <x:v>PMT-20270712-L033-B</x:v>
      </x:c>
      <x:c r="M577" s="26" t="n">
        <x:v>600</x:v>
      </x:c>
      <x:c r="N577" s="26" t="n">
        <x:v>-600</x:v>
      </x:c>
      <x:c r="O577" s="26" t="n">
        <x:v>600</x:v>
      </x:c>
      <x:c r="P577" s="26" t="n">
        <x:v>0</x:v>
      </x:c>
      <x:c r="Q577" s="26" t="n">
        <x:v>0</x:v>
      </x:c>
      <x:c r="R577" s="26" t="n">
        <x:v>0</x:v>
      </x:c>
      <x:c r="S577" s="26" t="n">
        <x:v>0</x:v>
      </x:c>
      <x:c r="T577" s="26" t="n">
        <x:v>0</x:v>
      </x:c>
      <x:c r="U577" s="26" t="n">
        <x:v>0</x:v>
      </x:c>
      <x:c r="V577" s="26" t="n">
        <x:v>0</x:v>
      </x:c>
      <x:c r="W577" s="26" t="n">
        <x:v>0</x:v>
      </x:c>
      <x:c r="X577" s="26" t="n">
        <x:v>0</x:v>
      </x:c>
      <x:c r="Y577" s="26" t="n">
        <x:v>0</x:v>
      </x:c>
      <x:c r="Z577" s="35" t="str">
        <x:v>Receipt allocated to FIN-00573</x:v>
      </x:c>
    </x:row>
    <x:row r="578">
      <x:c r="A578" s="20" t="str">
        <x:v>FIN-00575</x:v>
      </x:c>
      <x:c r="B578" s="23" t="n">
        <x:v>46569</x:v>
      </x:c>
      <x:c r="C578" s="23" t="n">
        <x:v>46569</x:v>
      </x:c>
      <x:c r="D578" s="20" t="str">
        <x:v>TenantCharge</x:v>
      </x:c>
      <x:c r="E578" s="20" t="str">
        <x:v>Rent</x:v>
      </x:c>
      <x:c r="F578" s="20" t="str">
        <x:v>P027</x:v>
      </x:c>
      <x:c r="G578" s="20" t="str">
        <x:v>U034</x:v>
      </x:c>
      <x:c r="H578" s="20" t="str">
        <x:v>L034</x:v>
      </x:c>
      <x:c r="I578" s="20" t="str">
        <x:v>Gray Lewis</x:v>
      </x:c>
      <x:c r="J578" s="35" t="str">
        <x:v>System scheduled charge</x:v>
      </x:c>
      <x:c r="K578" s="20" t="str"/>
      <x:c r="L578" s="20" t="str">
        <x:v>RENT-202707-L034</x:v>
      </x:c>
      <x:c r="M578" s="26" t="n">
        <x:v>1900</x:v>
      </x:c>
      <x:c r="N578" s="26" t="n">
        <x:v>1900</x:v>
      </x:c>
      <x:c r="O578" s="26" t="n">
        <x:v>0</x:v>
      </x:c>
      <x:c r="P578" s="26" t="n">
        <x:v>0</x:v>
      </x:c>
      <x:c r="Q578" s="26" t="n">
        <x:v>0</x:v>
      </x:c>
      <x:c r="R578" s="26" t="n">
        <x:v>0</x:v>
      </x:c>
      <x:c r="S578" s="26" t="n">
        <x:v>0</x:v>
      </x:c>
      <x:c r="T578" s="26" t="n">
        <x:v>1900</x:v>
      </x:c>
      <x:c r="U578" s="26" t="n">
        <x:v>0</x:v>
      </x:c>
      <x:c r="V578" s="26" t="n">
        <x:v>0</x:v>
      </x:c>
      <x:c r="W578" s="26" t="n">
        <x:v>0</x:v>
      </x:c>
      <x:c r="X578" s="26" t="n">
        <x:v>0</x:v>
      </x:c>
      <x:c r="Y578" s="26" t="n">
        <x:v>0</x:v>
      </x:c>
      <x:c r="Z578" s="35" t="str">
        <x:v>July 2027 rent</x:v>
      </x:c>
    </x:row>
    <x:row r="579">
      <x:c r="A579" s="20" t="str">
        <x:v>FIN-00576</x:v>
      </x:c>
      <x:c r="B579" s="23" t="n">
        <x:v>46572</x:v>
      </x:c>
      <x:c r="C579" s="23" t="n">
        <x:v>46572</x:v>
      </x:c>
      <x:c r="D579" s="20" t="str">
        <x:v>TenantReceipt</x:v>
      </x:c>
      <x:c r="E579" s="20" t="str">
        <x:v>Rent receipt</x:v>
      </x:c>
      <x:c r="F579" s="20" t="str">
        <x:v>P027</x:v>
      </x:c>
      <x:c r="G579" s="20" t="str">
        <x:v>U034</x:v>
      </x:c>
      <x:c r="H579" s="20" t="str">
        <x:v>L034</x:v>
      </x:c>
      <x:c r="I579" s="20" t="str">
        <x:v>Gray Lewis</x:v>
      </x:c>
      <x:c r="J579" s="35" t="str">
        <x:v>Manual ACH</x:v>
      </x:c>
      <x:c r="K579" s="20" t="str"/>
      <x:c r="L579" s="20" t="str">
        <x:v>PMT-20270704-L034</x:v>
      </x:c>
      <x:c r="M579" s="26" t="n">
        <x:v>1900</x:v>
      </x:c>
      <x:c r="N579" s="26" t="n">
        <x:v>-1900</x:v>
      </x:c>
      <x:c r="O579" s="26" t="n">
        <x:v>1900</x:v>
      </x:c>
      <x:c r="P579" s="26" t="n">
        <x:v>0</x:v>
      </x:c>
      <x:c r="Q579" s="26" t="n">
        <x:v>0</x:v>
      </x:c>
      <x:c r="R579" s="26" t="n">
        <x:v>0</x:v>
      </x:c>
      <x:c r="S579" s="26" t="n">
        <x:v>0</x:v>
      </x:c>
      <x:c r="T579" s="26" t="n">
        <x:v>0</x:v>
      </x:c>
      <x:c r="U579" s="26" t="n">
        <x:v>0</x:v>
      </x:c>
      <x:c r="V579" s="26" t="n">
        <x:v>0</x:v>
      </x:c>
      <x:c r="W579" s="26" t="n">
        <x:v>0</x:v>
      </x:c>
      <x:c r="X579" s="26" t="n">
        <x:v>0</x:v>
      </x:c>
      <x:c r="Y579" s="26" t="n">
        <x:v>0</x:v>
      </x:c>
      <x:c r="Z579" s="35" t="str">
        <x:v>Receipt allocated to FIN-00575</x:v>
      </x:c>
    </x:row>
    <x:row r="580">
      <x:c r="A580" s="20" t="str">
        <x:v>FIN-00577</x:v>
      </x:c>
      <x:c r="B580" s="23" t="n">
        <x:v>46569</x:v>
      </x:c>
      <x:c r="C580" s="23" t="n">
        <x:v>46569</x:v>
      </x:c>
      <x:c r="D580" s="20" t="str">
        <x:v>TenantCharge</x:v>
      </x:c>
      <x:c r="E580" s="20" t="str">
        <x:v>Rent</x:v>
      </x:c>
      <x:c r="F580" s="20" t="str">
        <x:v>P028</x:v>
      </x:c>
      <x:c r="G580" s="20" t="str">
        <x:v>U035</x:v>
      </x:c>
      <x:c r="H580" s="20" t="str">
        <x:v>L035</x:v>
      </x:c>
      <x:c r="I580" s="20" t="str">
        <x:v>Jordan Reed</x:v>
      </x:c>
      <x:c r="J580" s="35" t="str">
        <x:v>System scheduled charge</x:v>
      </x:c>
      <x:c r="K580" s="20" t="str"/>
      <x:c r="L580" s="20" t="str">
        <x:v>RENT-202707-L035</x:v>
      </x:c>
      <x:c r="M580" s="26" t="n">
        <x:v>1525</x:v>
      </x:c>
      <x:c r="N580" s="26" t="n">
        <x:v>1525</x:v>
      </x:c>
      <x:c r="O580" s="26" t="n">
        <x:v>0</x:v>
      </x:c>
      <x:c r="P580" s="26" t="n">
        <x:v>0</x:v>
      </x:c>
      <x:c r="Q580" s="26" t="n">
        <x:v>0</x:v>
      </x:c>
      <x:c r="R580" s="26" t="n">
        <x:v>0</x:v>
      </x:c>
      <x:c r="S580" s="26" t="n">
        <x:v>0</x:v>
      </x:c>
      <x:c r="T580" s="26" t="n">
        <x:v>1525</x:v>
      </x:c>
      <x:c r="U580" s="26" t="n">
        <x:v>0</x:v>
      </x:c>
      <x:c r="V580" s="26" t="n">
        <x:v>0</x:v>
      </x:c>
      <x:c r="W580" s="26" t="n">
        <x:v>0</x:v>
      </x:c>
      <x:c r="X580" s="26" t="n">
        <x:v>0</x:v>
      </x:c>
      <x:c r="Y580" s="26" t="n">
        <x:v>0</x:v>
      </x:c>
      <x:c r="Z580" s="35" t="str">
        <x:v>July 2027 rent</x:v>
      </x:c>
    </x:row>
    <x:row r="581">
      <x:c r="A581" s="20" t="str">
        <x:v>FIN-00578</x:v>
      </x:c>
      <x:c r="B581" s="23" t="n">
        <x:v>46573</x:v>
      </x:c>
      <x:c r="C581" s="23" t="n">
        <x:v>46573</x:v>
      </x:c>
      <x:c r="D581" s="20" t="str">
        <x:v>TenantReceipt</x:v>
      </x:c>
      <x:c r="E581" s="20" t="str">
        <x:v>Rent receipt</x:v>
      </x:c>
      <x:c r="F581" s="20" t="str">
        <x:v>P028</x:v>
      </x:c>
      <x:c r="G581" s="20" t="str">
        <x:v>U035</x:v>
      </x:c>
      <x:c r="H581" s="20" t="str">
        <x:v>L035</x:v>
      </x:c>
      <x:c r="I581" s="20" t="str">
        <x:v>Jordan Reed</x:v>
      </x:c>
      <x:c r="J581" s="35" t="str">
        <x:v>Portal card</x:v>
      </x:c>
      <x:c r="K581" s="20" t="str"/>
      <x:c r="L581" s="20" t="str">
        <x:v>PMT-20270705-L035</x:v>
      </x:c>
      <x:c r="M581" s="26" t="n">
        <x:v>1525</x:v>
      </x:c>
      <x:c r="N581" s="26" t="n">
        <x:v>-1525</x:v>
      </x:c>
      <x:c r="O581" s="26" t="n">
        <x:v>1525</x:v>
      </x:c>
      <x:c r="P581" s="26" t="n">
        <x:v>0</x:v>
      </x:c>
      <x:c r="Q581" s="26" t="n">
        <x:v>0</x:v>
      </x:c>
      <x:c r="R581" s="26" t="n">
        <x:v>0</x:v>
      </x:c>
      <x:c r="S581" s="26" t="n">
        <x:v>0</x:v>
      </x:c>
      <x:c r="T581" s="26" t="n">
        <x:v>0</x:v>
      </x:c>
      <x:c r="U581" s="26" t="n">
        <x:v>0</x:v>
      </x:c>
      <x:c r="V581" s="26" t="n">
        <x:v>0</x:v>
      </x:c>
      <x:c r="W581" s="26" t="n">
        <x:v>0</x:v>
      </x:c>
      <x:c r="X581" s="26" t="n">
        <x:v>0</x:v>
      </x:c>
      <x:c r="Y581" s="26" t="n">
        <x:v>0</x:v>
      </x:c>
      <x:c r="Z581" s="35" t="str">
        <x:v>Receipt allocated to FIN-00577</x:v>
      </x:c>
    </x:row>
    <x:row r="582">
      <x:c r="A582" s="20" t="str">
        <x:v>FIN-00579</x:v>
      </x:c>
      <x:c r="B582" s="23" t="n">
        <x:v>46569</x:v>
      </x:c>
      <x:c r="C582" s="23" t="n">
        <x:v>46569</x:v>
      </x:c>
      <x:c r="D582" s="20" t="str">
        <x:v>TenantCharge</x:v>
      </x:c>
      <x:c r="E582" s="20" t="str">
        <x:v>Rent</x:v>
      </x:c>
      <x:c r="F582" s="20" t="str">
        <x:v>P028</x:v>
      </x:c>
      <x:c r="G582" s="20" t="str">
        <x:v>U036</x:v>
      </x:c>
      <x:c r="H582" s="20" t="str">
        <x:v>L036</x:v>
      </x:c>
      <x:c r="I582" s="20" t="str">
        <x:v>Morgan Adams</x:v>
      </x:c>
      <x:c r="J582" s="35" t="str">
        <x:v>System scheduled charge</x:v>
      </x:c>
      <x:c r="K582" s="20" t="str"/>
      <x:c r="L582" s="20" t="str">
        <x:v>RENT-202707-L036</x:v>
      </x:c>
      <x:c r="M582" s="26" t="n">
        <x:v>1150</x:v>
      </x:c>
      <x:c r="N582" s="26" t="n">
        <x:v>1150</x:v>
      </x:c>
      <x:c r="O582" s="26" t="n">
        <x:v>0</x:v>
      </x:c>
      <x:c r="P582" s="26" t="n">
        <x:v>0</x:v>
      </x:c>
      <x:c r="Q582" s="26" t="n">
        <x:v>0</x:v>
      </x:c>
      <x:c r="R582" s="26" t="n">
        <x:v>0</x:v>
      </x:c>
      <x:c r="S582" s="26" t="n">
        <x:v>0</x:v>
      </x:c>
      <x:c r="T582" s="26" t="n">
        <x:v>1150</x:v>
      </x:c>
      <x:c r="U582" s="26" t="n">
        <x:v>0</x:v>
      </x:c>
      <x:c r="V582" s="26" t="n">
        <x:v>0</x:v>
      </x:c>
      <x:c r="W582" s="26" t="n">
        <x:v>0</x:v>
      </x:c>
      <x:c r="X582" s="26" t="n">
        <x:v>0</x:v>
      </x:c>
      <x:c r="Y582" s="26" t="n">
        <x:v>0</x:v>
      </x:c>
      <x:c r="Z582" s="35" t="str">
        <x:v>July 2027 rent</x:v>
      </x:c>
    </x:row>
    <x:row r="583">
      <x:c r="A583" s="20" t="str">
        <x:v>FIN-00580</x:v>
      </x:c>
      <x:c r="B583" s="23" t="n">
        <x:v>46571</x:v>
      </x:c>
      <x:c r="C583" s="23" t="n">
        <x:v>46571</x:v>
      </x:c>
      <x:c r="D583" s="20" t="str">
        <x:v>TenantReceipt</x:v>
      </x:c>
      <x:c r="E583" s="20" t="str">
        <x:v>Rent receipt</x:v>
      </x:c>
      <x:c r="F583" s="20" t="str">
        <x:v>P028</x:v>
      </x:c>
      <x:c r="G583" s="20" t="str">
        <x:v>U036</x:v>
      </x:c>
      <x:c r="H583" s="20" t="str">
        <x:v>L036</x:v>
      </x:c>
      <x:c r="I583" s="20" t="str">
        <x:v>Morgan Adams</x:v>
      </x:c>
      <x:c r="J583" s="35" t="str">
        <x:v>Scanned check</x:v>
      </x:c>
      <x:c r="K583" s="20" t="str">
        <x:v>SCN-0234</x:v>
      </x:c>
      <x:c r="L583" s="20" t="str">
        <x:v>PMT-20270703-L036</x:v>
      </x:c>
      <x:c r="M583" s="26" t="n">
        <x:v>1150</x:v>
      </x:c>
      <x:c r="N583" s="26" t="n">
        <x:v>-1150</x:v>
      </x:c>
      <x:c r="O583" s="26" t="n">
        <x:v>1150</x:v>
      </x:c>
      <x:c r="P583" s="26" t="n">
        <x:v>0</x:v>
      </x:c>
      <x:c r="Q583" s="26" t="n">
        <x:v>0</x:v>
      </x:c>
      <x:c r="R583" s="26" t="n">
        <x:v>0</x:v>
      </x:c>
      <x:c r="S583" s="26" t="n">
        <x:v>0</x:v>
      </x:c>
      <x:c r="T583" s="26" t="n">
        <x:v>0</x:v>
      </x:c>
      <x:c r="U583" s="26" t="n">
        <x:v>0</x:v>
      </x:c>
      <x:c r="V583" s="26" t="n">
        <x:v>0</x:v>
      </x:c>
      <x:c r="W583" s="26" t="n">
        <x:v>0</x:v>
      </x:c>
      <x:c r="X583" s="26" t="n">
        <x:v>0</x:v>
      </x:c>
      <x:c r="Y583" s="26" t="n">
        <x:v>0</x:v>
      </x:c>
      <x:c r="Z583" s="35" t="str">
        <x:v>Receipt allocated to FIN-00579</x:v>
      </x:c>
    </x:row>
    <x:row r="584">
      <x:c r="A584" s="20" t="str">
        <x:v>FIN-00581</x:v>
      </x:c>
      <x:c r="B584" s="23" t="n">
        <x:v>46569</x:v>
      </x:c>
      <x:c r="C584" s="23" t="n">
        <x:v>46569</x:v>
      </x:c>
      <x:c r="D584" s="20" t="str">
        <x:v>TenantCharge</x:v>
      </x:c>
      <x:c r="E584" s="20" t="str">
        <x:v>Rent</x:v>
      </x:c>
      <x:c r="F584" s="20" t="str">
        <x:v>P005</x:v>
      </x:c>
      <x:c r="G584" s="20" t="str">
        <x:v>U005</x:v>
      </x:c>
      <x:c r="H584" s="20" t="str">
        <x:v>L037</x:v>
      </x:c>
      <x:c r="I584" s="20" t="str">
        <x:v>Parker Flores</x:v>
      </x:c>
      <x:c r="J584" s="35" t="str">
        <x:v>System scheduled charge</x:v>
      </x:c>
      <x:c r="K584" s="20" t="str"/>
      <x:c r="L584" s="20" t="str">
        <x:v>RENT-202707-L037</x:v>
      </x:c>
      <x:c r="M584" s="26" t="n">
        <x:v>1875</x:v>
      </x:c>
      <x:c r="N584" s="26" t="n">
        <x:v>1875</x:v>
      </x:c>
      <x:c r="O584" s="26" t="n">
        <x:v>0</x:v>
      </x:c>
      <x:c r="P584" s="26" t="n">
        <x:v>0</x:v>
      </x:c>
      <x:c r="Q584" s="26" t="n">
        <x:v>0</x:v>
      </x:c>
      <x:c r="R584" s="26" t="n">
        <x:v>0</x:v>
      </x:c>
      <x:c r="S584" s="26" t="n">
        <x:v>0</x:v>
      </x:c>
      <x:c r="T584" s="26" t="n">
        <x:v>1875</x:v>
      </x:c>
      <x:c r="U584" s="26" t="n">
        <x:v>0</x:v>
      </x:c>
      <x:c r="V584" s="26" t="n">
        <x:v>0</x:v>
      </x:c>
      <x:c r="W584" s="26" t="n">
        <x:v>0</x:v>
      </x:c>
      <x:c r="X584" s="26" t="n">
        <x:v>0</x:v>
      </x:c>
      <x:c r="Y584" s="26" t="n">
        <x:v>0</x:v>
      </x:c>
      <x:c r="Z584" s="35" t="str">
        <x:v>July 2027 rent</x:v>
      </x:c>
    </x:row>
    <x:row r="585">
      <x:c r="A585" s="20" t="str">
        <x:v>FIN-00582</x:v>
      </x:c>
      <x:c r="B585" s="23" t="n">
        <x:v>46572</x:v>
      </x:c>
      <x:c r="C585" s="23" t="n">
        <x:v>46572</x:v>
      </x:c>
      <x:c r="D585" s="20" t="str">
        <x:v>TenantReceipt</x:v>
      </x:c>
      <x:c r="E585" s="20" t="str">
        <x:v>Rent receipt</x:v>
      </x:c>
      <x:c r="F585" s="20" t="str">
        <x:v>P005</x:v>
      </x:c>
      <x:c r="G585" s="20" t="str">
        <x:v>U005</x:v>
      </x:c>
      <x:c r="H585" s="20" t="str">
        <x:v>L037</x:v>
      </x:c>
      <x:c r="I585" s="20" t="str">
        <x:v>Parker Flores</x:v>
      </x:c>
      <x:c r="J585" s="35" t="str">
        <x:v>Scanned money order</x:v>
      </x:c>
      <x:c r="K585" s="20" t="str">
        <x:v>SCN-0235</x:v>
      </x:c>
      <x:c r="L585" s="20" t="str">
        <x:v>PMT-20270704-L037</x:v>
      </x:c>
      <x:c r="M585" s="26" t="n">
        <x:v>1875</x:v>
      </x:c>
      <x:c r="N585" s="26" t="n">
        <x:v>-1875</x:v>
      </x:c>
      <x:c r="O585" s="26" t="n">
        <x:v>1875</x:v>
      </x:c>
      <x:c r="P585" s="26" t="n">
        <x:v>0</x:v>
      </x:c>
      <x:c r="Q585" s="26" t="n">
        <x:v>0</x:v>
      </x:c>
      <x:c r="R585" s="26" t="n">
        <x:v>0</x:v>
      </x:c>
      <x:c r="S585" s="26" t="n">
        <x:v>0</x:v>
      </x:c>
      <x:c r="T585" s="26" t="n">
        <x:v>0</x:v>
      </x:c>
      <x:c r="U585" s="26" t="n">
        <x:v>0</x:v>
      </x:c>
      <x:c r="V585" s="26" t="n">
        <x:v>0</x:v>
      </x:c>
      <x:c r="W585" s="26" t="n">
        <x:v>0</x:v>
      </x:c>
      <x:c r="X585" s="26" t="n">
        <x:v>0</x:v>
      </x:c>
      <x:c r="Y585" s="26" t="n">
        <x:v>0</x:v>
      </x:c>
      <x:c r="Z585" s="35" t="str">
        <x:v>Receipt allocated to FIN-00581</x:v>
      </x:c>
    </x:row>
    <x:row r="586">
      <x:c r="A586" s="20" t="str">
        <x:v>FIN-00583</x:v>
      </x:c>
      <x:c r="B586" s="23" t="n">
        <x:v>46569</x:v>
      </x:c>
      <x:c r="C586" s="23" t="n">
        <x:v>46569</x:v>
      </x:c>
      <x:c r="D586" s="20" t="str">
        <x:v>TenantCharge</x:v>
      </x:c>
      <x:c r="E586" s="20" t="str">
        <x:v>Rent</x:v>
      </x:c>
      <x:c r="F586" s="20" t="str">
        <x:v>P014</x:v>
      </x:c>
      <x:c r="G586" s="20" t="str">
        <x:v>U014</x:v>
      </x:c>
      <x:c r="H586" s="20" t="str">
        <x:v>L038</x:v>
      </x:c>
      <x:c r="I586" s="20" t="str">
        <x:v>Sage King</x:v>
      </x:c>
      <x:c r="J586" s="35" t="str">
        <x:v>System scheduled charge</x:v>
      </x:c>
      <x:c r="K586" s="20" t="str"/>
      <x:c r="L586" s="20" t="str">
        <x:v>RENT-202707-L038</x:v>
      </x:c>
      <x:c r="M586" s="26" t="n">
        <x:v>1200</x:v>
      </x:c>
      <x:c r="N586" s="26" t="n">
        <x:v>1200</x:v>
      </x:c>
      <x:c r="O586" s="26" t="n">
        <x:v>0</x:v>
      </x:c>
      <x:c r="P586" s="26" t="n">
        <x:v>0</x:v>
      </x:c>
      <x:c r="Q586" s="26" t="n">
        <x:v>0</x:v>
      </x:c>
      <x:c r="R586" s="26" t="n">
        <x:v>0</x:v>
      </x:c>
      <x:c r="S586" s="26" t="n">
        <x:v>0</x:v>
      </x:c>
      <x:c r="T586" s="26" t="n">
        <x:v>1200</x:v>
      </x:c>
      <x:c r="U586" s="26" t="n">
        <x:v>0</x:v>
      </x:c>
      <x:c r="V586" s="26" t="n">
        <x:v>0</x:v>
      </x:c>
      <x:c r="W586" s="26" t="n">
        <x:v>0</x:v>
      </x:c>
      <x:c r="X586" s="26" t="n">
        <x:v>0</x:v>
      </x:c>
      <x:c r="Y586" s="26" t="n">
        <x:v>0</x:v>
      </x:c>
      <x:c r="Z586" s="35" t="str">
        <x:v>July 2027 rent</x:v>
      </x:c>
    </x:row>
    <x:row r="587">
      <x:c r="A587" s="20" t="str">
        <x:v>FIN-00584</x:v>
      </x:c>
      <x:c r="B587" s="23" t="n">
        <x:v>46573</x:v>
      </x:c>
      <x:c r="C587" s="23" t="n">
        <x:v>46573</x:v>
      </x:c>
      <x:c r="D587" s="20" t="str">
        <x:v>TenantReceipt</x:v>
      </x:c>
      <x:c r="E587" s="20" t="str">
        <x:v>Rent receipt</x:v>
      </x:c>
      <x:c r="F587" s="20" t="str">
        <x:v>P014</x:v>
      </x:c>
      <x:c r="G587" s="20" t="str">
        <x:v>U014</x:v>
      </x:c>
      <x:c r="H587" s="20" t="str">
        <x:v>L038</x:v>
      </x:c>
      <x:c r="I587" s="20" t="str">
        <x:v>Sage King</x:v>
      </x:c>
      <x:c r="J587" s="35" t="str">
        <x:v>Manual ACH</x:v>
      </x:c>
      <x:c r="K587" s="20" t="str"/>
      <x:c r="L587" s="20" t="str">
        <x:v>PMT-20270705-L038</x:v>
      </x:c>
      <x:c r="M587" s="26" t="n">
        <x:v>1200</x:v>
      </x:c>
      <x:c r="N587" s="26" t="n">
        <x:v>-1200</x:v>
      </x:c>
      <x:c r="O587" s="26" t="n">
        <x:v>1200</x:v>
      </x:c>
      <x:c r="P587" s="26" t="n">
        <x:v>0</x:v>
      </x:c>
      <x:c r="Q587" s="26" t="n">
        <x:v>0</x:v>
      </x:c>
      <x:c r="R587" s="26" t="n">
        <x:v>0</x:v>
      </x:c>
      <x:c r="S587" s="26" t="n">
        <x:v>0</x:v>
      </x:c>
      <x:c r="T587" s="26" t="n">
        <x:v>0</x:v>
      </x:c>
      <x:c r="U587" s="26" t="n">
        <x:v>0</x:v>
      </x:c>
      <x:c r="V587" s="26" t="n">
        <x:v>0</x:v>
      </x:c>
      <x:c r="W587" s="26" t="n">
        <x:v>0</x:v>
      </x:c>
      <x:c r="X587" s="26" t="n">
        <x:v>0</x:v>
      </x:c>
      <x:c r="Y587" s="26" t="n">
        <x:v>0</x:v>
      </x:c>
      <x:c r="Z587" s="35" t="str">
        <x:v>Receipt allocated to FIN-00583</x:v>
      </x:c>
    </x:row>
    <x:row r="588">
      <x:c r="A588" s="20" t="str">
        <x:v>FIN-00585</x:v>
      </x:c>
      <x:c r="B588" s="23" t="n">
        <x:v>46569</x:v>
      </x:c>
      <x:c r="C588" s="23" t="n">
        <x:v>46569</x:v>
      </x:c>
      <x:c r="D588" s="20" t="str">
        <x:v>TenantCharge</x:v>
      </x:c>
      <x:c r="E588" s="20" t="str">
        <x:v>Rent</x:v>
      </x:c>
      <x:c r="F588" s="20" t="str">
        <x:v>P029</x:v>
      </x:c>
      <x:c r="G588" s="20" t="str">
        <x:v>U037</x:v>
      </x:c>
      <x:c r="H588" s="20" t="str">
        <x:v>L043</x:v>
      </x:c>
      <x:c r="I588" s="20" t="str">
        <x:v>Hector Reed</x:v>
      </x:c>
      <x:c r="J588" s="35" t="str">
        <x:v>System scheduled charge</x:v>
      </x:c>
      <x:c r="K588" s="20" t="str"/>
      <x:c r="L588" s="20" t="str">
        <x:v>RENT-202707-L043</x:v>
      </x:c>
      <x:c r="M588" s="26" t="n">
        <x:v>1675</x:v>
      </x:c>
      <x:c r="N588" s="26" t="n">
        <x:v>1675</x:v>
      </x:c>
      <x:c r="O588" s="26" t="n">
        <x:v>0</x:v>
      </x:c>
      <x:c r="P588" s="26" t="n">
        <x:v>0</x:v>
      </x:c>
      <x:c r="Q588" s="26" t="n">
        <x:v>0</x:v>
      </x:c>
      <x:c r="R588" s="26" t="n">
        <x:v>0</x:v>
      </x:c>
      <x:c r="S588" s="26" t="n">
        <x:v>0</x:v>
      </x:c>
      <x:c r="T588" s="26" t="n">
        <x:v>1675</x:v>
      </x:c>
      <x:c r="U588" s="26" t="n">
        <x:v>0</x:v>
      </x:c>
      <x:c r="V588" s="26" t="n">
        <x:v>0</x:v>
      </x:c>
      <x:c r="W588" s="26" t="n">
        <x:v>0</x:v>
      </x:c>
      <x:c r="X588" s="26" t="n">
        <x:v>0</x:v>
      </x:c>
      <x:c r="Y588" s="26" t="n">
        <x:v>0</x:v>
      </x:c>
      <x:c r="Z588" s="35" t="str">
        <x:v>July 2027 rent</x:v>
      </x:c>
    </x:row>
    <x:row r="589">
      <x:c r="A589" s="20" t="str">
        <x:v>FIN-00586</x:v>
      </x:c>
      <x:c r="B589" s="23" t="n">
        <x:v>46572</x:v>
      </x:c>
      <x:c r="C589" s="23" t="n">
        <x:v>46572</x:v>
      </x:c>
      <x:c r="D589" s="20" t="str">
        <x:v>TenantReceipt</x:v>
      </x:c>
      <x:c r="E589" s="20" t="str">
        <x:v>Rent receipt</x:v>
      </x:c>
      <x:c r="F589" s="20" t="str">
        <x:v>P029</x:v>
      </x:c>
      <x:c r="G589" s="20" t="str">
        <x:v>U037</x:v>
      </x:c>
      <x:c r="H589" s="20" t="str">
        <x:v>L043</x:v>
      </x:c>
      <x:c r="I589" s="20" t="str">
        <x:v>Hector Reed</x:v>
      </x:c>
      <x:c r="J589" s="35" t="str">
        <x:v>Portal card</x:v>
      </x:c>
      <x:c r="K589" s="20" t="str"/>
      <x:c r="L589" s="20" t="str">
        <x:v>PMT-20270704-L043</x:v>
      </x:c>
      <x:c r="M589" s="26" t="n">
        <x:v>1675</x:v>
      </x:c>
      <x:c r="N589" s="26" t="n">
        <x:v>-1675</x:v>
      </x:c>
      <x:c r="O589" s="26" t="n">
        <x:v>1675</x:v>
      </x:c>
      <x:c r="P589" s="26" t="n">
        <x:v>0</x:v>
      </x:c>
      <x:c r="Q589" s="26" t="n">
        <x:v>0</x:v>
      </x:c>
      <x:c r="R589" s="26" t="n">
        <x:v>0</x:v>
      </x:c>
      <x:c r="S589" s="26" t="n">
        <x:v>0</x:v>
      </x:c>
      <x:c r="T589" s="26" t="n">
        <x:v>0</x:v>
      </x:c>
      <x:c r="U589" s="26" t="n">
        <x:v>0</x:v>
      </x:c>
      <x:c r="V589" s="26" t="n">
        <x:v>0</x:v>
      </x:c>
      <x:c r="W589" s="26" t="n">
        <x:v>0</x:v>
      </x:c>
      <x:c r="X589" s="26" t="n">
        <x:v>0</x:v>
      </x:c>
      <x:c r="Y589" s="26" t="n">
        <x:v>0</x:v>
      </x:c>
      <x:c r="Z589" s="35" t="str">
        <x:v>Receipt allocated to FIN-00585</x:v>
      </x:c>
    </x:row>
    <x:row r="590">
      <x:c r="A590" s="20" t="str">
        <x:v>FIN-00587</x:v>
      </x:c>
      <x:c r="B590" s="23" t="n">
        <x:v>46569</x:v>
      </x:c>
      <x:c r="C590" s="23" t="n">
        <x:v>46569</x:v>
      </x:c>
      <x:c r="D590" s="20" t="str">
        <x:v>TenantCharge</x:v>
      </x:c>
      <x:c r="E590" s="20" t="str">
        <x:v>Rent</x:v>
      </x:c>
      <x:c r="F590" s="20" t="str">
        <x:v>P029</x:v>
      </x:c>
      <x:c r="G590" s="20" t="str">
        <x:v>U038</x:v>
      </x:c>
      <x:c r="H590" s="20" t="str">
        <x:v>L044</x:v>
      </x:c>
      <x:c r="I590" s="20" t="str">
        <x:v>Keira Adams</x:v>
      </x:c>
      <x:c r="J590" s="35" t="str">
        <x:v>System scheduled charge</x:v>
      </x:c>
      <x:c r="K590" s="20" t="str"/>
      <x:c r="L590" s="20" t="str">
        <x:v>RENT-202707-L044</x:v>
      </x:c>
      <x:c r="M590" s="26" t="n">
        <x:v>1300</x:v>
      </x:c>
      <x:c r="N590" s="26" t="n">
        <x:v>1300</x:v>
      </x:c>
      <x:c r="O590" s="26" t="n">
        <x:v>0</x:v>
      </x:c>
      <x:c r="P590" s="26" t="n">
        <x:v>0</x:v>
      </x:c>
      <x:c r="Q590" s="26" t="n">
        <x:v>0</x:v>
      </x:c>
      <x:c r="R590" s="26" t="n">
        <x:v>0</x:v>
      </x:c>
      <x:c r="S590" s="26" t="n">
        <x:v>0</x:v>
      </x:c>
      <x:c r="T590" s="26" t="n">
        <x:v>1300</x:v>
      </x:c>
      <x:c r="U590" s="26" t="n">
        <x:v>0</x:v>
      </x:c>
      <x:c r="V590" s="26" t="n">
        <x:v>0</x:v>
      </x:c>
      <x:c r="W590" s="26" t="n">
        <x:v>0</x:v>
      </x:c>
      <x:c r="X590" s="26" t="n">
        <x:v>0</x:v>
      </x:c>
      <x:c r="Y590" s="26" t="n">
        <x:v>0</x:v>
      </x:c>
      <x:c r="Z590" s="35" t="str">
        <x:v>July 2027 rent</x:v>
      </x:c>
    </x:row>
    <x:row r="591">
      <x:c r="A591" s="20" t="str">
        <x:v>FIN-00588</x:v>
      </x:c>
      <x:c r="B591" s="23" t="n">
        <x:v>46571</x:v>
      </x:c>
      <x:c r="C591" s="23" t="n">
        <x:v>46571</x:v>
      </x:c>
      <x:c r="D591" s="20" t="str">
        <x:v>TenantReceipt</x:v>
      </x:c>
      <x:c r="E591" s="20" t="str">
        <x:v>Rent receipt</x:v>
      </x:c>
      <x:c r="F591" s="20" t="str">
        <x:v>P029</x:v>
      </x:c>
      <x:c r="G591" s="20" t="str">
        <x:v>U038</x:v>
      </x:c>
      <x:c r="H591" s="20" t="str">
        <x:v>L044</x:v>
      </x:c>
      <x:c r="I591" s="20" t="str">
        <x:v>Keira Adams</x:v>
      </x:c>
      <x:c r="J591" s="35" t="str">
        <x:v>Scanned check</x:v>
      </x:c>
      <x:c r="K591" s="20" t="str">
        <x:v>SCN-0236</x:v>
      </x:c>
      <x:c r="L591" s="20" t="str">
        <x:v>PMT-20270703-L044-A</x:v>
      </x:c>
      <x:c r="M591" s="26" t="n">
        <x:v>780</x:v>
      </x:c>
      <x:c r="N591" s="26" t="n">
        <x:v>-780</x:v>
      </x:c>
      <x:c r="O591" s="26" t="n">
        <x:v>780</x:v>
      </x:c>
      <x:c r="P591" s="26" t="n">
        <x:v>0</x:v>
      </x:c>
      <x:c r="Q591" s="26" t="n">
        <x:v>0</x:v>
      </x:c>
      <x:c r="R591" s="26" t="n">
        <x:v>0</x:v>
      </x:c>
      <x:c r="S591" s="26" t="n">
        <x:v>0</x:v>
      </x:c>
      <x:c r="T591" s="26" t="n">
        <x:v>0</x:v>
      </x:c>
      <x:c r="U591" s="26" t="n">
        <x:v>0</x:v>
      </x:c>
      <x:c r="V591" s="26" t="n">
        <x:v>0</x:v>
      </x:c>
      <x:c r="W591" s="26" t="n">
        <x:v>0</x:v>
      </x:c>
      <x:c r="X591" s="26" t="n">
        <x:v>0</x:v>
      </x:c>
      <x:c r="Y591" s="26" t="n">
        <x:v>0</x:v>
      </x:c>
      <x:c r="Z591" s="35" t="str">
        <x:v>Receipt allocated to FIN-00587</x:v>
      </x:c>
    </x:row>
    <x:row r="592">
      <x:c r="A592" s="20" t="str">
        <x:v>FIN-00589</x:v>
      </x:c>
      <x:c r="B592" s="23" t="n">
        <x:v>46574</x:v>
      </x:c>
      <x:c r="C592" s="23" t="n">
        <x:v>46574</x:v>
      </x:c>
      <x:c r="D592" s="20" t="str">
        <x:v>TenantCharge</x:v>
      </x:c>
      <x:c r="E592" s="20" t="str">
        <x:v>Late fee</x:v>
      </x:c>
      <x:c r="F592" s="20" t="str">
        <x:v>P029</x:v>
      </x:c>
      <x:c r="G592" s="20" t="str">
        <x:v>U038</x:v>
      </x:c>
      <x:c r="H592" s="20" t="str">
        <x:v>L044</x:v>
      </x:c>
      <x:c r="I592" s="20" t="str">
        <x:v>Keira Adams</x:v>
      </x:c>
      <x:c r="J592" s="35" t="str">
        <x:v>System automation</x:v>
      </x:c>
      <x:c r="K592" s="20" t="str"/>
      <x:c r="L592" s="20" t="str">
        <x:v>LATE-202707-L044</x:v>
      </x:c>
      <x:c r="M592" s="26" t="n">
        <x:v>50</x:v>
      </x:c>
      <x:c r="N592" s="26" t="n">
        <x:v>50</x:v>
      </x:c>
      <x:c r="O592" s="26" t="n">
        <x:v>0</x:v>
      </x:c>
      <x:c r="P592" s="26" t="n">
        <x:v>0</x:v>
      </x:c>
      <x:c r="Q592" s="26" t="n">
        <x:v>0</x:v>
      </x:c>
      <x:c r="R592" s="26" t="n">
        <x:v>0</x:v>
      </x:c>
      <x:c r="S592" s="26" t="n">
        <x:v>0</x:v>
      </x:c>
      <x:c r="T592" s="26" t="n">
        <x:v>50</x:v>
      </x:c>
      <x:c r="U592" s="26" t="n">
        <x:v>0</x:v>
      </x:c>
      <x:c r="V592" s="26" t="n">
        <x:v>0</x:v>
      </x:c>
      <x:c r="W592" s="26" t="n">
        <x:v>0</x:v>
      </x:c>
      <x:c r="X592" s="26" t="n">
        <x:v>0</x:v>
      </x:c>
      <x:c r="Y592" s="26" t="n">
        <x:v>0</x:v>
      </x:c>
      <x:c r="Z592" s="35" t="str">
        <x:v>Synthetic lease-authorized late fee after partial payment</x:v>
      </x:c>
    </x:row>
    <x:row r="593">
      <x:c r="A593" s="20" t="str">
        <x:v>FIN-00590</x:v>
      </x:c>
      <x:c r="B593" s="23" t="n">
        <x:v>46580</x:v>
      </x:c>
      <x:c r="C593" s="23" t="n">
        <x:v>46580</x:v>
      </x:c>
      <x:c r="D593" s="20" t="str">
        <x:v>TenantReceipt</x:v>
      </x:c>
      <x:c r="E593" s="20" t="str">
        <x:v>Rent receipt</x:v>
      </x:c>
      <x:c r="F593" s="20" t="str">
        <x:v>P029</x:v>
      </x:c>
      <x:c r="G593" s="20" t="str">
        <x:v>U038</x:v>
      </x:c>
      <x:c r="H593" s="20" t="str">
        <x:v>L044</x:v>
      </x:c>
      <x:c r="I593" s="20" t="str">
        <x:v>Keira Adams</x:v>
      </x:c>
      <x:c r="J593" s="35" t="str">
        <x:v>Manual ACH</x:v>
      </x:c>
      <x:c r="K593" s="20" t="str"/>
      <x:c r="L593" s="20" t="str">
        <x:v>PMT-20270712-L044-B</x:v>
      </x:c>
      <x:c r="M593" s="26" t="n">
        <x:v>570</x:v>
      </x:c>
      <x:c r="N593" s="26" t="n">
        <x:v>-570</x:v>
      </x:c>
      <x:c r="O593" s="26" t="n">
        <x:v>570</x:v>
      </x:c>
      <x:c r="P593" s="26" t="n">
        <x:v>0</x:v>
      </x:c>
      <x:c r="Q593" s="26" t="n">
        <x:v>0</x:v>
      </x:c>
      <x:c r="R593" s="26" t="n">
        <x:v>0</x:v>
      </x:c>
      <x:c r="S593" s="26" t="n">
        <x:v>0</x:v>
      </x:c>
      <x:c r="T593" s="26" t="n">
        <x:v>0</x:v>
      </x:c>
      <x:c r="U593" s="26" t="n">
        <x:v>0</x:v>
      </x:c>
      <x:c r="V593" s="26" t="n">
        <x:v>0</x:v>
      </x:c>
      <x:c r="W593" s="26" t="n">
        <x:v>0</x:v>
      </x:c>
      <x:c r="X593" s="26" t="n">
        <x:v>0</x:v>
      </x:c>
      <x:c r="Y593" s="26" t="n">
        <x:v>0</x:v>
      </x:c>
      <x:c r="Z593" s="35" t="str">
        <x:v>Receipt allocated to FIN-00589</x:v>
      </x:c>
    </x:row>
    <x:row r="594">
      <x:c r="A594" s="20" t="str">
        <x:v>FIN-00591</x:v>
      </x:c>
      <x:c r="B594" s="23" t="n">
        <x:v>46569</x:v>
      </x:c>
      <x:c r="C594" s="23" t="n">
        <x:v>46569</x:v>
      </x:c>
      <x:c r="D594" s="20" t="str">
        <x:v>TenantCharge</x:v>
      </x:c>
      <x:c r="E594" s="20" t="str">
        <x:v>Rent</x:v>
      </x:c>
      <x:c r="F594" s="20" t="str">
        <x:v>P030</x:v>
      </x:c>
      <x:c r="G594" s="20" t="str">
        <x:v>U039</x:v>
      </x:c>
      <x:c r="H594" s="20" t="str">
        <x:v>L045</x:v>
      </x:c>
      <x:c r="I594" s="20" t="str">
        <x:v>Nolan Flores</x:v>
      </x:c>
      <x:c r="J594" s="35" t="str">
        <x:v>System scheduled charge</x:v>
      </x:c>
      <x:c r="K594" s="20" t="str"/>
      <x:c r="L594" s="20" t="str">
        <x:v>RENT-202707-L045</x:v>
      </x:c>
      <x:c r="M594" s="26" t="n">
        <x:v>1825</x:v>
      </x:c>
      <x:c r="N594" s="26" t="n">
        <x:v>1825</x:v>
      </x:c>
      <x:c r="O594" s="26" t="n">
        <x:v>0</x:v>
      </x:c>
      <x:c r="P594" s="26" t="n">
        <x:v>0</x:v>
      </x:c>
      <x:c r="Q594" s="26" t="n">
        <x:v>0</x:v>
      </x:c>
      <x:c r="R594" s="26" t="n">
        <x:v>0</x:v>
      </x:c>
      <x:c r="S594" s="26" t="n">
        <x:v>0</x:v>
      </x:c>
      <x:c r="T594" s="26" t="n">
        <x:v>1825</x:v>
      </x:c>
      <x:c r="U594" s="26" t="n">
        <x:v>0</x:v>
      </x:c>
      <x:c r="V594" s="26" t="n">
        <x:v>0</x:v>
      </x:c>
      <x:c r="W594" s="26" t="n">
        <x:v>0</x:v>
      </x:c>
      <x:c r="X594" s="26" t="n">
        <x:v>0</x:v>
      </x:c>
      <x:c r="Y594" s="26" t="n">
        <x:v>0</x:v>
      </x:c>
      <x:c r="Z594" s="35" t="str">
        <x:v>July 2027 rent</x:v>
      </x:c>
    </x:row>
    <x:row r="595">
      <x:c r="A595" s="20" t="str">
        <x:v>FIN-00592</x:v>
      </x:c>
      <x:c r="B595" s="23" t="n">
        <x:v>46571</x:v>
      </x:c>
      <x:c r="C595" s="23" t="n">
        <x:v>46571</x:v>
      </x:c>
      <x:c r="D595" s="20" t="str">
        <x:v>TenantReceipt</x:v>
      </x:c>
      <x:c r="E595" s="20" t="str">
        <x:v>Rent receipt</x:v>
      </x:c>
      <x:c r="F595" s="20" t="str">
        <x:v>P030</x:v>
      </x:c>
      <x:c r="G595" s="20" t="str">
        <x:v>U039</x:v>
      </x:c>
      <x:c r="H595" s="20" t="str">
        <x:v>L045</x:v>
      </x:c>
      <x:c r="I595" s="20" t="str">
        <x:v>Nolan Flores</x:v>
      </x:c>
      <x:c r="J595" s="35" t="str">
        <x:v>Scanned money order</x:v>
      </x:c>
      <x:c r="K595" s="20" t="str">
        <x:v>SCN-0237</x:v>
      </x:c>
      <x:c r="L595" s="20" t="str">
        <x:v>PMT-20270703-L045</x:v>
      </x:c>
      <x:c r="M595" s="26" t="n">
        <x:v>1825</x:v>
      </x:c>
      <x:c r="N595" s="26" t="n">
        <x:v>-1825</x:v>
      </x:c>
      <x:c r="O595" s="26" t="n">
        <x:v>1825</x:v>
      </x:c>
      <x:c r="P595" s="26" t="n">
        <x:v>0</x:v>
      </x:c>
      <x:c r="Q595" s="26" t="n">
        <x:v>0</x:v>
      </x:c>
      <x:c r="R595" s="26" t="n">
        <x:v>0</x:v>
      </x:c>
      <x:c r="S595" s="26" t="n">
        <x:v>0</x:v>
      </x:c>
      <x:c r="T595" s="26" t="n">
        <x:v>0</x:v>
      </x:c>
      <x:c r="U595" s="26" t="n">
        <x:v>0</x:v>
      </x:c>
      <x:c r="V595" s="26" t="n">
        <x:v>0</x:v>
      </x:c>
      <x:c r="W595" s="26" t="n">
        <x:v>0</x:v>
      </x:c>
      <x:c r="X595" s="26" t="n">
        <x:v>0</x:v>
      </x:c>
      <x:c r="Y595" s="26" t="n">
        <x:v>0</x:v>
      </x:c>
      <x:c r="Z595" s="35" t="str">
        <x:v>Receipt allocated to FIN-00591</x:v>
      </x:c>
    </x:row>
    <x:row r="596">
      <x:c r="A596" s="20" t="str">
        <x:v>FIN-00593</x:v>
      </x:c>
      <x:c r="B596" s="23" t="n">
        <x:v>46600</x:v>
      </x:c>
      <x:c r="C596" s="23" t="n">
        <x:v>46600</x:v>
      </x:c>
      <x:c r="D596" s="20" t="str">
        <x:v>TenantCharge</x:v>
      </x:c>
      <x:c r="E596" s="20" t="str">
        <x:v>Rent</x:v>
      </x:c>
      <x:c r="F596" s="20" t="str">
        <x:v>P001</x:v>
      </x:c>
      <x:c r="G596" s="20" t="str">
        <x:v>U001</x:v>
      </x:c>
      <x:c r="H596" s="20" t="str">
        <x:v>L001</x:v>
      </x:c>
      <x:c r="I596" s="20" t="str">
        <x:v>Dana Garcia</x:v>
      </x:c>
      <x:c r="J596" s="35" t="str">
        <x:v>System scheduled charge</x:v>
      </x:c>
      <x:c r="K596" s="20" t="str"/>
      <x:c r="L596" s="20" t="str">
        <x:v>RENT-202708-L001</x:v>
      </x:c>
      <x:c r="M596" s="26" t="n">
        <x:v>1575</x:v>
      </x:c>
      <x:c r="N596" s="26" t="n">
        <x:v>1575</x:v>
      </x:c>
      <x:c r="O596" s="26" t="n">
        <x:v>0</x:v>
      </x:c>
      <x:c r="P596" s="26" t="n">
        <x:v>0</x:v>
      </x:c>
      <x:c r="Q596" s="26" t="n">
        <x:v>0</x:v>
      </x:c>
      <x:c r="R596" s="26" t="n">
        <x:v>0</x:v>
      </x:c>
      <x:c r="S596" s="26" t="n">
        <x:v>0</x:v>
      </x:c>
      <x:c r="T596" s="26" t="n">
        <x:v>1575</x:v>
      </x:c>
      <x:c r="U596" s="26" t="n">
        <x:v>0</x:v>
      </x:c>
      <x:c r="V596" s="26" t="n">
        <x:v>0</x:v>
      </x:c>
      <x:c r="W596" s="26" t="n">
        <x:v>0</x:v>
      </x:c>
      <x:c r="X596" s="26" t="n">
        <x:v>0</x:v>
      </x:c>
      <x:c r="Y596" s="26" t="n">
        <x:v>0</x:v>
      </x:c>
      <x:c r="Z596" s="35" t="str">
        <x:v>August 2027 rent</x:v>
      </x:c>
    </x:row>
    <x:row r="597">
      <x:c r="A597" s="20" t="str">
        <x:v>FIN-00594</x:v>
      </x:c>
      <x:c r="B597" s="23" t="n">
        <x:v>46603</x:v>
      </x:c>
      <x:c r="C597" s="23" t="n">
        <x:v>46603</x:v>
      </x:c>
      <x:c r="D597" s="20" t="str">
        <x:v>TenantReceipt</x:v>
      </x:c>
      <x:c r="E597" s="20" t="str">
        <x:v>Rent receipt</x:v>
      </x:c>
      <x:c r="F597" s="20" t="str">
        <x:v>P001</x:v>
      </x:c>
      <x:c r="G597" s="20" t="str">
        <x:v>U001</x:v>
      </x:c>
      <x:c r="H597" s="20" t="str">
        <x:v>L001</x:v>
      </x:c>
      <x:c r="I597" s="20" t="str">
        <x:v>Dana Garcia</x:v>
      </x:c>
      <x:c r="J597" s="35" t="str">
        <x:v>Scanned money order</x:v>
      </x:c>
      <x:c r="K597" s="20" t="str">
        <x:v>SCN-0238</x:v>
      </x:c>
      <x:c r="L597" s="20" t="str">
        <x:v>PMT-20270804-L001</x:v>
      </x:c>
      <x:c r="M597" s="26" t="n">
        <x:v>1575</x:v>
      </x:c>
      <x:c r="N597" s="26" t="n">
        <x:v>-1575</x:v>
      </x:c>
      <x:c r="O597" s="26" t="n">
        <x:v>1575</x:v>
      </x:c>
      <x:c r="P597" s="26" t="n">
        <x:v>0</x:v>
      </x:c>
      <x:c r="Q597" s="26" t="n">
        <x:v>0</x:v>
      </x:c>
      <x:c r="R597" s="26" t="n">
        <x:v>0</x:v>
      </x:c>
      <x:c r="S597" s="26" t="n">
        <x:v>0</x:v>
      </x:c>
      <x:c r="T597" s="26" t="n">
        <x:v>0</x:v>
      </x:c>
      <x:c r="U597" s="26" t="n">
        <x:v>0</x:v>
      </x:c>
      <x:c r="V597" s="26" t="n">
        <x:v>0</x:v>
      </x:c>
      <x:c r="W597" s="26" t="n">
        <x:v>0</x:v>
      </x:c>
      <x:c r="X597" s="26" t="n">
        <x:v>0</x:v>
      </x:c>
      <x:c r="Y597" s="26" t="n">
        <x:v>0</x:v>
      </x:c>
      <x:c r="Z597" s="35" t="str">
        <x:v>Receipt allocated to FIN-00593</x:v>
      </x:c>
    </x:row>
    <x:row r="598">
      <x:c r="A598" s="20" t="str">
        <x:v>FIN-00595</x:v>
      </x:c>
      <x:c r="B598" s="23" t="n">
        <x:v>46600</x:v>
      </x:c>
      <x:c r="C598" s="23" t="n">
        <x:v>46600</x:v>
      </x:c>
      <x:c r="D598" s="20" t="str">
        <x:v>TenantCharge</x:v>
      </x:c>
      <x:c r="E598" s="20" t="str">
        <x:v>Rent</x:v>
      </x:c>
      <x:c r="F598" s="20" t="str">
        <x:v>P002</x:v>
      </x:c>
      <x:c r="G598" s="20" t="str">
        <x:v>U002</x:v>
      </x:c>
      <x:c r="H598" s="20" t="str">
        <x:v>L002</x:v>
      </x:c>
      <x:c r="I598" s="20" t="str">
        <x:v>Gray Lewis</x:v>
      </x:c>
      <x:c r="J598" s="35" t="str">
        <x:v>System scheduled charge</x:v>
      </x:c>
      <x:c r="K598" s="20" t="str"/>
      <x:c r="L598" s="20" t="str">
        <x:v>RENT-202708-L002</x:v>
      </x:c>
      <x:c r="M598" s="26" t="n">
        <x:v>1200</x:v>
      </x:c>
      <x:c r="N598" s="26" t="n">
        <x:v>1200</x:v>
      </x:c>
      <x:c r="O598" s="26" t="n">
        <x:v>0</x:v>
      </x:c>
      <x:c r="P598" s="26" t="n">
        <x:v>0</x:v>
      </x:c>
      <x:c r="Q598" s="26" t="n">
        <x:v>0</x:v>
      </x:c>
      <x:c r="R598" s="26" t="n">
        <x:v>0</x:v>
      </x:c>
      <x:c r="S598" s="26" t="n">
        <x:v>0</x:v>
      </x:c>
      <x:c r="T598" s="26" t="n">
        <x:v>1200</x:v>
      </x:c>
      <x:c r="U598" s="26" t="n">
        <x:v>0</x:v>
      </x:c>
      <x:c r="V598" s="26" t="n">
        <x:v>0</x:v>
      </x:c>
      <x:c r="W598" s="26" t="n">
        <x:v>0</x:v>
      </x:c>
      <x:c r="X598" s="26" t="n">
        <x:v>0</x:v>
      </x:c>
      <x:c r="Y598" s="26" t="n">
        <x:v>0</x:v>
      </x:c>
      <x:c r="Z598" s="35" t="str">
        <x:v>August 2027 rent</x:v>
      </x:c>
    </x:row>
    <x:row r="599">
      <x:c r="A599" s="20" t="str">
        <x:v>FIN-00596</x:v>
      </x:c>
      <x:c r="B599" s="23" t="n">
        <x:v>46604</x:v>
      </x:c>
      <x:c r="C599" s="23" t="n">
        <x:v>46604</x:v>
      </x:c>
      <x:c r="D599" s="20" t="str">
        <x:v>TenantReceipt</x:v>
      </x:c>
      <x:c r="E599" s="20" t="str">
        <x:v>Rent receipt</x:v>
      </x:c>
      <x:c r="F599" s="20" t="str">
        <x:v>P002</x:v>
      </x:c>
      <x:c r="G599" s="20" t="str">
        <x:v>U002</x:v>
      </x:c>
      <x:c r="H599" s="20" t="str">
        <x:v>L002</x:v>
      </x:c>
      <x:c r="I599" s="20" t="str">
        <x:v>Gray Lewis</x:v>
      </x:c>
      <x:c r="J599" s="35" t="str">
        <x:v>Manual ACH</x:v>
      </x:c>
      <x:c r="K599" s="20" t="str"/>
      <x:c r="L599" s="20" t="str">
        <x:v>PMT-20270805-L002</x:v>
      </x:c>
      <x:c r="M599" s="26" t="n">
        <x:v>1200</x:v>
      </x:c>
      <x:c r="N599" s="26" t="n">
        <x:v>-1200</x:v>
      </x:c>
      <x:c r="O599" s="26" t="n">
        <x:v>1200</x:v>
      </x:c>
      <x:c r="P599" s="26" t="n">
        <x:v>0</x:v>
      </x:c>
      <x:c r="Q599" s="26" t="n">
        <x:v>0</x:v>
      </x:c>
      <x:c r="R599" s="26" t="n">
        <x:v>0</x:v>
      </x:c>
      <x:c r="S599" s="26" t="n">
        <x:v>0</x:v>
      </x:c>
      <x:c r="T599" s="26" t="n">
        <x:v>0</x:v>
      </x:c>
      <x:c r="U599" s="26" t="n">
        <x:v>0</x:v>
      </x:c>
      <x:c r="V599" s="26" t="n">
        <x:v>0</x:v>
      </x:c>
      <x:c r="W599" s="26" t="n">
        <x:v>0</x:v>
      </x:c>
      <x:c r="X599" s="26" t="n">
        <x:v>0</x:v>
      </x:c>
      <x:c r="Y599" s="26" t="n">
        <x:v>0</x:v>
      </x:c>
      <x:c r="Z599" s="35" t="str">
        <x:v>Receipt allocated to FIN-00595</x:v>
      </x:c>
    </x:row>
    <x:row r="600">
      <x:c r="A600" s="20" t="str">
        <x:v>FIN-00597</x:v>
      </x:c>
      <x:c r="B600" s="23" t="n">
        <x:v>46600</x:v>
      </x:c>
      <x:c r="C600" s="23" t="n">
        <x:v>46600</x:v>
      </x:c>
      <x:c r="D600" s="20" t="str">
        <x:v>TenantCharge</x:v>
      </x:c>
      <x:c r="E600" s="20" t="str">
        <x:v>Rent</x:v>
      </x:c>
      <x:c r="F600" s="20" t="str">
        <x:v>P003</x:v>
      </x:c>
      <x:c r="G600" s="20" t="str">
        <x:v>U003</x:v>
      </x:c>
      <x:c r="H600" s="20" t="str">
        <x:v>L003</x:v>
      </x:c>
      <x:c r="I600" s="20" t="str">
        <x:v>Jordan Reed</x:v>
      </x:c>
      <x:c r="J600" s="35" t="str">
        <x:v>System scheduled charge</x:v>
      </x:c>
      <x:c r="K600" s="20" t="str"/>
      <x:c r="L600" s="20" t="str">
        <x:v>RENT-202708-L003</x:v>
      </x:c>
      <x:c r="M600" s="26" t="n">
        <x:v>1725</x:v>
      </x:c>
      <x:c r="N600" s="26" t="n">
        <x:v>1725</x:v>
      </x:c>
      <x:c r="O600" s="26" t="n">
        <x:v>0</x:v>
      </x:c>
      <x:c r="P600" s="26" t="n">
        <x:v>0</x:v>
      </x:c>
      <x:c r="Q600" s="26" t="n">
        <x:v>0</x:v>
      </x:c>
      <x:c r="R600" s="26" t="n">
        <x:v>0</x:v>
      </x:c>
      <x:c r="S600" s="26" t="n">
        <x:v>0</x:v>
      </x:c>
      <x:c r="T600" s="26" t="n">
        <x:v>1725</x:v>
      </x:c>
      <x:c r="U600" s="26" t="n">
        <x:v>0</x:v>
      </x:c>
      <x:c r="V600" s="26" t="n">
        <x:v>0</x:v>
      </x:c>
      <x:c r="W600" s="26" t="n">
        <x:v>0</x:v>
      </x:c>
      <x:c r="X600" s="26" t="n">
        <x:v>0</x:v>
      </x:c>
      <x:c r="Y600" s="26" t="n">
        <x:v>0</x:v>
      </x:c>
      <x:c r="Z600" s="35" t="str">
        <x:v>August 2027 rent</x:v>
      </x:c>
    </x:row>
    <x:row r="601">
      <x:c r="A601" s="20" t="str">
        <x:v>FIN-00598</x:v>
      </x:c>
      <x:c r="B601" s="23" t="n">
        <x:v>46602</x:v>
      </x:c>
      <x:c r="C601" s="23" t="n">
        <x:v>46602</x:v>
      </x:c>
      <x:c r="D601" s="20" t="str">
        <x:v>TenantReceipt</x:v>
      </x:c>
      <x:c r="E601" s="20" t="str">
        <x:v>Rent receipt</x:v>
      </x:c>
      <x:c r="F601" s="20" t="str">
        <x:v>P003</x:v>
      </x:c>
      <x:c r="G601" s="20" t="str">
        <x:v>U003</x:v>
      </x:c>
      <x:c r="H601" s="20" t="str">
        <x:v>L003</x:v>
      </x:c>
      <x:c r="I601" s="20" t="str">
        <x:v>Jordan Reed</x:v>
      </x:c>
      <x:c r="J601" s="35" t="str">
        <x:v>Portal card</x:v>
      </x:c>
      <x:c r="K601" s="20" t="str"/>
      <x:c r="L601" s="20" t="str">
        <x:v>PMT-20270803-L003</x:v>
      </x:c>
      <x:c r="M601" s="26" t="n">
        <x:v>1725</x:v>
      </x:c>
      <x:c r="N601" s="26" t="n">
        <x:v>-1725</x:v>
      </x:c>
      <x:c r="O601" s="26" t="n">
        <x:v>1725</x:v>
      </x:c>
      <x:c r="P601" s="26" t="n">
        <x:v>0</x:v>
      </x:c>
      <x:c r="Q601" s="26" t="n">
        <x:v>0</x:v>
      </x:c>
      <x:c r="R601" s="26" t="n">
        <x:v>0</x:v>
      </x:c>
      <x:c r="S601" s="26" t="n">
        <x:v>0</x:v>
      </x:c>
      <x:c r="T601" s="26" t="n">
        <x:v>0</x:v>
      </x:c>
      <x:c r="U601" s="26" t="n">
        <x:v>0</x:v>
      </x:c>
      <x:c r="V601" s="26" t="n">
        <x:v>0</x:v>
      </x:c>
      <x:c r="W601" s="26" t="n">
        <x:v>0</x:v>
      </x:c>
      <x:c r="X601" s="26" t="n">
        <x:v>0</x:v>
      </x:c>
      <x:c r="Y601" s="26" t="n">
        <x:v>0</x:v>
      </x:c>
      <x:c r="Z601" s="35" t="str">
        <x:v>Receipt allocated to FIN-00597</x:v>
      </x:c>
    </x:row>
    <x:row r="602">
      <x:c r="A602" s="20" t="str">
        <x:v>FIN-00599</x:v>
      </x:c>
      <x:c r="B602" s="23" t="n">
        <x:v>46600</x:v>
      </x:c>
      <x:c r="C602" s="23" t="n">
        <x:v>46600</x:v>
      </x:c>
      <x:c r="D602" s="20" t="str">
        <x:v>TenantCharge</x:v>
      </x:c>
      <x:c r="E602" s="20" t="str">
        <x:v>Rent</x:v>
      </x:c>
      <x:c r="F602" s="20" t="str">
        <x:v>P004</x:v>
      </x:c>
      <x:c r="G602" s="20" t="str">
        <x:v>U004</x:v>
      </x:c>
      <x:c r="H602" s="20" t="str">
        <x:v>L004</x:v>
      </x:c>
      <x:c r="I602" s="20" t="str">
        <x:v>Morgan Adams</x:v>
      </x:c>
      <x:c r="J602" s="35" t="str">
        <x:v>System scheduled charge</x:v>
      </x:c>
      <x:c r="K602" s="20" t="str"/>
      <x:c r="L602" s="20" t="str">
        <x:v>RENT-202708-L004</x:v>
      </x:c>
      <x:c r="M602" s="26" t="n">
        <x:v>1350</x:v>
      </x:c>
      <x:c r="N602" s="26" t="n">
        <x:v>1350</x:v>
      </x:c>
      <x:c r="O602" s="26" t="n">
        <x:v>0</x:v>
      </x:c>
      <x:c r="P602" s="26" t="n">
        <x:v>0</x:v>
      </x:c>
      <x:c r="Q602" s="26" t="n">
        <x:v>0</x:v>
      </x:c>
      <x:c r="R602" s="26" t="n">
        <x:v>0</x:v>
      </x:c>
      <x:c r="S602" s="26" t="n">
        <x:v>0</x:v>
      </x:c>
      <x:c r="T602" s="26" t="n">
        <x:v>1350</x:v>
      </x:c>
      <x:c r="U602" s="26" t="n">
        <x:v>0</x:v>
      </x:c>
      <x:c r="V602" s="26" t="n">
        <x:v>0</x:v>
      </x:c>
      <x:c r="W602" s="26" t="n">
        <x:v>0</x:v>
      </x:c>
      <x:c r="X602" s="26" t="n">
        <x:v>0</x:v>
      </x:c>
      <x:c r="Y602" s="26" t="n">
        <x:v>0</x:v>
      </x:c>
      <x:c r="Z602" s="35" t="str">
        <x:v>August 2027 rent</x:v>
      </x:c>
    </x:row>
    <x:row r="603">
      <x:c r="A603" s="20" t="str">
        <x:v>FIN-00600</x:v>
      </x:c>
      <x:c r="B603" s="23" t="n">
        <x:v>46603</x:v>
      </x:c>
      <x:c r="C603" s="23" t="n">
        <x:v>46603</x:v>
      </x:c>
      <x:c r="D603" s="20" t="str">
        <x:v>TenantReceipt</x:v>
      </x:c>
      <x:c r="E603" s="20" t="str">
        <x:v>Rent receipt</x:v>
      </x:c>
      <x:c r="F603" s="20" t="str">
        <x:v>P004</x:v>
      </x:c>
      <x:c r="G603" s="20" t="str">
        <x:v>U004</x:v>
      </x:c>
      <x:c r="H603" s="20" t="str">
        <x:v>L004</x:v>
      </x:c>
      <x:c r="I603" s="20" t="str">
        <x:v>Morgan Adams</x:v>
      </x:c>
      <x:c r="J603" s="35" t="str">
        <x:v>Scanned check</x:v>
      </x:c>
      <x:c r="K603" s="20" t="str">
        <x:v>SCN-0239</x:v>
      </x:c>
      <x:c r="L603" s="20" t="str">
        <x:v>PMT-20270804-L004</x:v>
      </x:c>
      <x:c r="M603" s="26" t="n">
        <x:v>1350</x:v>
      </x:c>
      <x:c r="N603" s="26" t="n">
        <x:v>-1350</x:v>
      </x:c>
      <x:c r="O603" s="26" t="n">
        <x:v>1350</x:v>
      </x:c>
      <x:c r="P603" s="26" t="n">
        <x:v>0</x:v>
      </x:c>
      <x:c r="Q603" s="26" t="n">
        <x:v>0</x:v>
      </x:c>
      <x:c r="R603" s="26" t="n">
        <x:v>0</x:v>
      </x:c>
      <x:c r="S603" s="26" t="n">
        <x:v>0</x:v>
      </x:c>
      <x:c r="T603" s="26" t="n">
        <x:v>0</x:v>
      </x:c>
      <x:c r="U603" s="26" t="n">
        <x:v>0</x:v>
      </x:c>
      <x:c r="V603" s="26" t="n">
        <x:v>0</x:v>
      </x:c>
      <x:c r="W603" s="26" t="n">
        <x:v>0</x:v>
      </x:c>
      <x:c r="X603" s="26" t="n">
        <x:v>0</x:v>
      </x:c>
      <x:c r="Y603" s="26" t="n">
        <x:v>0</x:v>
      </x:c>
      <x:c r="Z603" s="35" t="str">
        <x:v>Receipt allocated to FIN-00599</x:v>
      </x:c>
    </x:row>
    <x:row r="604">
      <x:c r="A604" s="20" t="str">
        <x:v>FIN-00601</x:v>
      </x:c>
      <x:c r="B604" s="23" t="n">
        <x:v>46600</x:v>
      </x:c>
      <x:c r="C604" s="23" t="n">
        <x:v>46600</x:v>
      </x:c>
      <x:c r="D604" s="20" t="str">
        <x:v>TenantCharge</x:v>
      </x:c>
      <x:c r="E604" s="20" t="str">
        <x:v>Rent</x:v>
      </x:c>
      <x:c r="F604" s="20" t="str">
        <x:v>P006</x:v>
      </x:c>
      <x:c r="G604" s="20" t="str">
        <x:v>U006</x:v>
      </x:c>
      <x:c r="H604" s="20" t="str">
        <x:v>L006</x:v>
      </x:c>
      <x:c r="I604" s="20" t="str">
        <x:v>Sage King</x:v>
      </x:c>
      <x:c r="J604" s="35" t="str">
        <x:v>System scheduled charge</x:v>
      </x:c>
      <x:c r="K604" s="20" t="str"/>
      <x:c r="L604" s="20" t="str">
        <x:v>RENT-202708-L006</x:v>
      </x:c>
      <x:c r="M604" s="26" t="n">
        <x:v>1500</x:v>
      </x:c>
      <x:c r="N604" s="26" t="n">
        <x:v>1500</x:v>
      </x:c>
      <x:c r="O604" s="26" t="n">
        <x:v>0</x:v>
      </x:c>
      <x:c r="P604" s="26" t="n">
        <x:v>0</x:v>
      </x:c>
      <x:c r="Q604" s="26" t="n">
        <x:v>0</x:v>
      </x:c>
      <x:c r="R604" s="26" t="n">
        <x:v>0</x:v>
      </x:c>
      <x:c r="S604" s="26" t="n">
        <x:v>0</x:v>
      </x:c>
      <x:c r="T604" s="26" t="n">
        <x:v>1500</x:v>
      </x:c>
      <x:c r="U604" s="26" t="n">
        <x:v>0</x:v>
      </x:c>
      <x:c r="V604" s="26" t="n">
        <x:v>0</x:v>
      </x:c>
      <x:c r="W604" s="26" t="n">
        <x:v>0</x:v>
      </x:c>
      <x:c r="X604" s="26" t="n">
        <x:v>0</x:v>
      </x:c>
      <x:c r="Y604" s="26" t="n">
        <x:v>0</x:v>
      </x:c>
      <x:c r="Z604" s="35" t="str">
        <x:v>August 2027 rent</x:v>
      </x:c>
    </x:row>
    <x:row r="605">
      <x:c r="A605" s="20" t="str">
        <x:v>FIN-00602</x:v>
      </x:c>
      <x:c r="B605" s="23" t="n">
        <x:v>46602</x:v>
      </x:c>
      <x:c r="C605" s="23" t="n">
        <x:v>46602</x:v>
      </x:c>
      <x:c r="D605" s="20" t="str">
        <x:v>TenantReceipt</x:v>
      </x:c>
      <x:c r="E605" s="20" t="str">
        <x:v>Rent receipt</x:v>
      </x:c>
      <x:c r="F605" s="20" t="str">
        <x:v>P006</x:v>
      </x:c>
      <x:c r="G605" s="20" t="str">
        <x:v>U006</x:v>
      </x:c>
      <x:c r="H605" s="20" t="str">
        <x:v>L006</x:v>
      </x:c>
      <x:c r="I605" s="20" t="str">
        <x:v>Sage King</x:v>
      </x:c>
      <x:c r="J605" s="35" t="str">
        <x:v>Manual ACH</x:v>
      </x:c>
      <x:c r="K605" s="20" t="str"/>
      <x:c r="L605" s="20" t="str">
        <x:v>PMT-20270803-L006</x:v>
      </x:c>
      <x:c r="M605" s="26" t="n">
        <x:v>1500</x:v>
      </x:c>
      <x:c r="N605" s="26" t="n">
        <x:v>-1500</x:v>
      </x:c>
      <x:c r="O605" s="26" t="n">
        <x:v>1500</x:v>
      </x:c>
      <x:c r="P605" s="26" t="n">
        <x:v>0</x:v>
      </x:c>
      <x:c r="Q605" s="26" t="n">
        <x:v>0</x:v>
      </x:c>
      <x:c r="R605" s="26" t="n">
        <x:v>0</x:v>
      </x:c>
      <x:c r="S605" s="26" t="n">
        <x:v>0</x:v>
      </x:c>
      <x:c r="T605" s="26" t="n">
        <x:v>0</x:v>
      </x:c>
      <x:c r="U605" s="26" t="n">
        <x:v>0</x:v>
      </x:c>
      <x:c r="V605" s="26" t="n">
        <x:v>0</x:v>
      </x:c>
      <x:c r="W605" s="26" t="n">
        <x:v>0</x:v>
      </x:c>
      <x:c r="X605" s="26" t="n">
        <x:v>0</x:v>
      </x:c>
      <x:c r="Y605" s="26" t="n">
        <x:v>0</x:v>
      </x:c>
      <x:c r="Z605" s="35" t="str">
        <x:v>Receipt allocated to FIN-00601</x:v>
      </x:c>
    </x:row>
    <x:row r="606">
      <x:c r="A606" s="20" t="str">
        <x:v>FIN-00603</x:v>
      </x:c>
      <x:c r="B606" s="23" t="n">
        <x:v>46600</x:v>
      </x:c>
      <x:c r="C606" s="23" t="n">
        <x:v>46600</x:v>
      </x:c>
      <x:c r="D606" s="20" t="str">
        <x:v>TenantCharge</x:v>
      </x:c>
      <x:c r="E606" s="20" t="str">
        <x:v>Rent</x:v>
      </x:c>
      <x:c r="F606" s="20" t="str">
        <x:v>P007</x:v>
      </x:c>
      <x:c r="G606" s="20" t="str">
        <x:v>U007</x:v>
      </x:c>
      <x:c r="H606" s="20" t="str">
        <x:v>L007</x:v>
      </x:c>
      <x:c r="I606" s="20" t="str">
        <x:v>Val Price</x:v>
      </x:c>
      <x:c r="J606" s="35" t="str">
        <x:v>System scheduled charge</x:v>
      </x:c>
      <x:c r="K606" s="20" t="str"/>
      <x:c r="L606" s="20" t="str">
        <x:v>RENT-202708-L007</x:v>
      </x:c>
      <x:c r="M606" s="26" t="n">
        <x:v>1125</x:v>
      </x:c>
      <x:c r="N606" s="26" t="n">
        <x:v>1125</x:v>
      </x:c>
      <x:c r="O606" s="26" t="n">
        <x:v>0</x:v>
      </x:c>
      <x:c r="P606" s="26" t="n">
        <x:v>0</x:v>
      </x:c>
      <x:c r="Q606" s="26" t="n">
        <x:v>0</x:v>
      </x:c>
      <x:c r="R606" s="26" t="n">
        <x:v>0</x:v>
      </x:c>
      <x:c r="S606" s="26" t="n">
        <x:v>0</x:v>
      </x:c>
      <x:c r="T606" s="26" t="n">
        <x:v>1125</x:v>
      </x:c>
      <x:c r="U606" s="26" t="n">
        <x:v>0</x:v>
      </x:c>
      <x:c r="V606" s="26" t="n">
        <x:v>0</x:v>
      </x:c>
      <x:c r="W606" s="26" t="n">
        <x:v>0</x:v>
      </x:c>
      <x:c r="X606" s="26" t="n">
        <x:v>0</x:v>
      </x:c>
      <x:c r="Y606" s="26" t="n">
        <x:v>0</x:v>
      </x:c>
      <x:c r="Z606" s="35" t="str">
        <x:v>August 2027 rent</x:v>
      </x:c>
    </x:row>
    <x:row r="607">
      <x:c r="A607" s="20" t="str">
        <x:v>FIN-00604</x:v>
      </x:c>
      <x:c r="B607" s="23" t="n">
        <x:v>46603</x:v>
      </x:c>
      <x:c r="C607" s="23" t="n">
        <x:v>46603</x:v>
      </x:c>
      <x:c r="D607" s="20" t="str">
        <x:v>TenantReceipt</x:v>
      </x:c>
      <x:c r="E607" s="20" t="str">
        <x:v>Rent receipt</x:v>
      </x:c>
      <x:c r="F607" s="20" t="str">
        <x:v>P007</x:v>
      </x:c>
      <x:c r="G607" s="20" t="str">
        <x:v>U007</x:v>
      </x:c>
      <x:c r="H607" s="20" t="str">
        <x:v>L007</x:v>
      </x:c>
      <x:c r="I607" s="20" t="str">
        <x:v>Val Price</x:v>
      </x:c>
      <x:c r="J607" s="35" t="str">
        <x:v>Portal card</x:v>
      </x:c>
      <x:c r="K607" s="20" t="str"/>
      <x:c r="L607" s="20" t="str">
        <x:v>PMT-20270804-L007</x:v>
      </x:c>
      <x:c r="M607" s="26" t="n">
        <x:v>1125</x:v>
      </x:c>
      <x:c r="N607" s="26" t="n">
        <x:v>-1125</x:v>
      </x:c>
      <x:c r="O607" s="26" t="n">
        <x:v>1125</x:v>
      </x:c>
      <x:c r="P607" s="26" t="n">
        <x:v>0</x:v>
      </x:c>
      <x:c r="Q607" s="26" t="n">
        <x:v>0</x:v>
      </x:c>
      <x:c r="R607" s="26" t="n">
        <x:v>0</x:v>
      </x:c>
      <x:c r="S607" s="26" t="n">
        <x:v>0</x:v>
      </x:c>
      <x:c r="T607" s="26" t="n">
        <x:v>0</x:v>
      </x:c>
      <x:c r="U607" s="26" t="n">
        <x:v>0</x:v>
      </x:c>
      <x:c r="V607" s="26" t="n">
        <x:v>0</x:v>
      </x:c>
      <x:c r="W607" s="26" t="n">
        <x:v>0</x:v>
      </x:c>
      <x:c r="X607" s="26" t="n">
        <x:v>0</x:v>
      </x:c>
      <x:c r="Y607" s="26" t="n">
        <x:v>0</x:v>
      </x:c>
      <x:c r="Z607" s="35" t="str">
        <x:v>Receipt allocated to FIN-00603</x:v>
      </x:c>
    </x:row>
    <x:row r="608">
      <x:c r="A608" s="20" t="str">
        <x:v>FIN-00605</x:v>
      </x:c>
      <x:c r="B608" s="23" t="n">
        <x:v>46600</x:v>
      </x:c>
      <x:c r="C608" s="23" t="n">
        <x:v>46600</x:v>
      </x:c>
      <x:c r="D608" s="20" t="str">
        <x:v>TenantCharge</x:v>
      </x:c>
      <x:c r="E608" s="20" t="str">
        <x:v>Rent</x:v>
      </x:c>
      <x:c r="F608" s="20" t="str">
        <x:v>P008</x:v>
      </x:c>
      <x:c r="G608" s="20" t="str">
        <x:v>U008</x:v>
      </x:c>
      <x:c r="H608" s="20" t="str">
        <x:v>L008</x:v>
      </x:c>
      <x:c r="I608" s="20" t="str">
        <x:v>Yara Brooks</x:v>
      </x:c>
      <x:c r="J608" s="35" t="str">
        <x:v>System scheduled charge</x:v>
      </x:c>
      <x:c r="K608" s="20" t="str"/>
      <x:c r="L608" s="20" t="str">
        <x:v>RENT-202708-L008</x:v>
      </x:c>
      <x:c r="M608" s="26" t="n">
        <x:v>1650</x:v>
      </x:c>
      <x:c r="N608" s="26" t="n">
        <x:v>1650</x:v>
      </x:c>
      <x:c r="O608" s="26" t="n">
        <x:v>0</x:v>
      </x:c>
      <x:c r="P608" s="26" t="n">
        <x:v>0</x:v>
      </x:c>
      <x:c r="Q608" s="26" t="n">
        <x:v>0</x:v>
      </x:c>
      <x:c r="R608" s="26" t="n">
        <x:v>0</x:v>
      </x:c>
      <x:c r="S608" s="26" t="n">
        <x:v>0</x:v>
      </x:c>
      <x:c r="T608" s="26" t="n">
        <x:v>1650</x:v>
      </x:c>
      <x:c r="U608" s="26" t="n">
        <x:v>0</x:v>
      </x:c>
      <x:c r="V608" s="26" t="n">
        <x:v>0</x:v>
      </x:c>
      <x:c r="W608" s="26" t="n">
        <x:v>0</x:v>
      </x:c>
      <x:c r="X608" s="26" t="n">
        <x:v>0</x:v>
      </x:c>
      <x:c r="Y608" s="26" t="n">
        <x:v>0</x:v>
      </x:c>
      <x:c r="Z608" s="35" t="str">
        <x:v>August 2027 rent</x:v>
      </x:c>
    </x:row>
    <x:row r="609">
      <x:c r="A609" s="20" t="str">
        <x:v>FIN-00606</x:v>
      </x:c>
      <x:c r="B609" s="23" t="n">
        <x:v>46604</x:v>
      </x:c>
      <x:c r="C609" s="23" t="n">
        <x:v>46604</x:v>
      </x:c>
      <x:c r="D609" s="20" t="str">
        <x:v>TenantReceipt</x:v>
      </x:c>
      <x:c r="E609" s="20" t="str">
        <x:v>Rent receipt</x:v>
      </x:c>
      <x:c r="F609" s="20" t="str">
        <x:v>P008</x:v>
      </x:c>
      <x:c r="G609" s="20" t="str">
        <x:v>U008</x:v>
      </x:c>
      <x:c r="H609" s="20" t="str">
        <x:v>L008</x:v>
      </x:c>
      <x:c r="I609" s="20" t="str">
        <x:v>Yara Brooks</x:v>
      </x:c>
      <x:c r="J609" s="35" t="str">
        <x:v>Scanned check</x:v>
      </x:c>
      <x:c r="K609" s="20" t="str">
        <x:v>SCN-0240</x:v>
      </x:c>
      <x:c r="L609" s="20" t="str">
        <x:v>PMT-20270805-L008</x:v>
      </x:c>
      <x:c r="M609" s="26" t="n">
        <x:v>1650</x:v>
      </x:c>
      <x:c r="N609" s="26" t="n">
        <x:v>-1650</x:v>
      </x:c>
      <x:c r="O609" s="26" t="n">
        <x:v>1650</x:v>
      </x:c>
      <x:c r="P609" s="26" t="n">
        <x:v>0</x:v>
      </x:c>
      <x:c r="Q609" s="26" t="n">
        <x:v>0</x:v>
      </x:c>
      <x:c r="R609" s="26" t="n">
        <x:v>0</x:v>
      </x:c>
      <x:c r="S609" s="26" t="n">
        <x:v>0</x:v>
      </x:c>
      <x:c r="T609" s="26" t="n">
        <x:v>0</x:v>
      </x:c>
      <x:c r="U609" s="26" t="n">
        <x:v>0</x:v>
      </x:c>
      <x:c r="V609" s="26" t="n">
        <x:v>0</x:v>
      </x:c>
      <x:c r="W609" s="26" t="n">
        <x:v>0</x:v>
      </x:c>
      <x:c r="X609" s="26" t="n">
        <x:v>0</x:v>
      </x:c>
      <x:c r="Y609" s="26" t="n">
        <x:v>0</x:v>
      </x:c>
      <x:c r="Z609" s="35" t="str">
        <x:v>Receipt allocated to FIN-00605</x:v>
      </x:c>
    </x:row>
    <x:row r="610">
      <x:c r="A610" s="20" t="str">
        <x:v>FIN-00607</x:v>
      </x:c>
      <x:c r="B610" s="23" t="n">
        <x:v>46600</x:v>
      </x:c>
      <x:c r="C610" s="23" t="n">
        <x:v>46600</x:v>
      </x:c>
      <x:c r="D610" s="20" t="str">
        <x:v>TenantCharge</x:v>
      </x:c>
      <x:c r="E610" s="20" t="str">
        <x:v>Rent</x:v>
      </x:c>
      <x:c r="F610" s="20" t="str">
        <x:v>P009</x:v>
      </x:c>
      <x:c r="G610" s="20" t="str">
        <x:v>U009</x:v>
      </x:c>
      <x:c r="H610" s="20" t="str">
        <x:v>L009</x:v>
      </x:c>
      <x:c r="I610" s="20" t="str">
        <x:v>Bennett Garcia</x:v>
      </x:c>
      <x:c r="J610" s="35" t="str">
        <x:v>System scheduled charge</x:v>
      </x:c>
      <x:c r="K610" s="20" t="str"/>
      <x:c r="L610" s="20" t="str">
        <x:v>RENT-202708-L009</x:v>
      </x:c>
      <x:c r="M610" s="26" t="n">
        <x:v>1275</x:v>
      </x:c>
      <x:c r="N610" s="26" t="n">
        <x:v>1275</x:v>
      </x:c>
      <x:c r="O610" s="26" t="n">
        <x:v>0</x:v>
      </x:c>
      <x:c r="P610" s="26" t="n">
        <x:v>0</x:v>
      </x:c>
      <x:c r="Q610" s="26" t="n">
        <x:v>0</x:v>
      </x:c>
      <x:c r="R610" s="26" t="n">
        <x:v>0</x:v>
      </x:c>
      <x:c r="S610" s="26" t="n">
        <x:v>0</x:v>
      </x:c>
      <x:c r="T610" s="26" t="n">
        <x:v>1275</x:v>
      </x:c>
      <x:c r="U610" s="26" t="n">
        <x:v>0</x:v>
      </x:c>
      <x:c r="V610" s="26" t="n">
        <x:v>0</x:v>
      </x:c>
      <x:c r="W610" s="26" t="n">
        <x:v>0</x:v>
      </x:c>
      <x:c r="X610" s="26" t="n">
        <x:v>0</x:v>
      </x:c>
      <x:c r="Y610" s="26" t="n">
        <x:v>0</x:v>
      </x:c>
      <x:c r="Z610" s="35" t="str">
        <x:v>August 2027 rent</x:v>
      </x:c>
    </x:row>
    <x:row r="611">
      <x:c r="A611" s="20" t="str">
        <x:v>FIN-00608</x:v>
      </x:c>
      <x:c r="B611" s="23" t="n">
        <x:v>46602</x:v>
      </x:c>
      <x:c r="C611" s="23" t="n">
        <x:v>46602</x:v>
      </x:c>
      <x:c r="D611" s="20" t="str">
        <x:v>TenantReceipt</x:v>
      </x:c>
      <x:c r="E611" s="20" t="str">
        <x:v>Rent receipt</x:v>
      </x:c>
      <x:c r="F611" s="20" t="str">
        <x:v>P009</x:v>
      </x:c>
      <x:c r="G611" s="20" t="str">
        <x:v>U009</x:v>
      </x:c>
      <x:c r="H611" s="20" t="str">
        <x:v>L009</x:v>
      </x:c>
      <x:c r="I611" s="20" t="str">
        <x:v>Bennett Garcia</x:v>
      </x:c>
      <x:c r="J611" s="35" t="str">
        <x:v>Scanned money order</x:v>
      </x:c>
      <x:c r="K611" s="20" t="str">
        <x:v>SCN-0241</x:v>
      </x:c>
      <x:c r="L611" s="20" t="str">
        <x:v>PMT-20270803-L009</x:v>
      </x:c>
      <x:c r="M611" s="26" t="n">
        <x:v>1275</x:v>
      </x:c>
      <x:c r="N611" s="26" t="n">
        <x:v>-1275</x:v>
      </x:c>
      <x:c r="O611" s="26" t="n">
        <x:v>1275</x:v>
      </x:c>
      <x:c r="P611" s="26" t="n">
        <x:v>0</x:v>
      </x:c>
      <x:c r="Q611" s="26" t="n">
        <x:v>0</x:v>
      </x:c>
      <x:c r="R611" s="26" t="n">
        <x:v>0</x:v>
      </x:c>
      <x:c r="S611" s="26" t="n">
        <x:v>0</x:v>
      </x:c>
      <x:c r="T611" s="26" t="n">
        <x:v>0</x:v>
      </x:c>
      <x:c r="U611" s="26" t="n">
        <x:v>0</x:v>
      </x:c>
      <x:c r="V611" s="26" t="n">
        <x:v>0</x:v>
      </x:c>
      <x:c r="W611" s="26" t="n">
        <x:v>0</x:v>
      </x:c>
      <x:c r="X611" s="26" t="n">
        <x:v>0</x:v>
      </x:c>
      <x:c r="Y611" s="26" t="n">
        <x:v>0</x:v>
      </x:c>
      <x:c r="Z611" s="35" t="str">
        <x:v>Receipt allocated to FIN-00607</x:v>
      </x:c>
    </x:row>
    <x:row r="612">
      <x:c r="A612" s="20" t="str">
        <x:v>FIN-00609</x:v>
      </x:c>
      <x:c r="B612" s="23" t="n">
        <x:v>46600</x:v>
      </x:c>
      <x:c r="C612" s="23" t="n">
        <x:v>46600</x:v>
      </x:c>
      <x:c r="D612" s="20" t="str">
        <x:v>TenantCharge</x:v>
      </x:c>
      <x:c r="E612" s="20" t="str">
        <x:v>Rent</x:v>
      </x:c>
      <x:c r="F612" s="20" t="str">
        <x:v>P010</x:v>
      </x:c>
      <x:c r="G612" s="20" t="str">
        <x:v>U010</x:v>
      </x:c>
      <x:c r="H612" s="20" t="str">
        <x:v>L010</x:v>
      </x:c>
      <x:c r="I612" s="20" t="str">
        <x:v>Elena Lewis</x:v>
      </x:c>
      <x:c r="J612" s="35" t="str">
        <x:v>System scheduled charge</x:v>
      </x:c>
      <x:c r="K612" s="20" t="str"/>
      <x:c r="L612" s="20" t="str">
        <x:v>RENT-202708-L010</x:v>
      </x:c>
      <x:c r="M612" s="26" t="n">
        <x:v>1800</x:v>
      </x:c>
      <x:c r="N612" s="26" t="n">
        <x:v>1800</x:v>
      </x:c>
      <x:c r="O612" s="26" t="n">
        <x:v>0</x:v>
      </x:c>
      <x:c r="P612" s="26" t="n">
        <x:v>0</x:v>
      </x:c>
      <x:c r="Q612" s="26" t="n">
        <x:v>0</x:v>
      </x:c>
      <x:c r="R612" s="26" t="n">
        <x:v>0</x:v>
      </x:c>
      <x:c r="S612" s="26" t="n">
        <x:v>0</x:v>
      </x:c>
      <x:c r="T612" s="26" t="n">
        <x:v>1800</x:v>
      </x:c>
      <x:c r="U612" s="26" t="n">
        <x:v>0</x:v>
      </x:c>
      <x:c r="V612" s="26" t="n">
        <x:v>0</x:v>
      </x:c>
      <x:c r="W612" s="26" t="n">
        <x:v>0</x:v>
      </x:c>
      <x:c r="X612" s="26" t="n">
        <x:v>0</x:v>
      </x:c>
      <x:c r="Y612" s="26" t="n">
        <x:v>0</x:v>
      </x:c>
      <x:c r="Z612" s="35" t="str">
        <x:v>August 2027 rent</x:v>
      </x:c>
    </x:row>
    <x:row r="613">
      <x:c r="A613" s="20" t="str">
        <x:v>FIN-00610</x:v>
      </x:c>
      <x:c r="B613" s="23" t="n">
        <x:v>46603</x:v>
      </x:c>
      <x:c r="C613" s="23" t="n">
        <x:v>46603</x:v>
      </x:c>
      <x:c r="D613" s="20" t="str">
        <x:v>TenantReceipt</x:v>
      </x:c>
      <x:c r="E613" s="20" t="str">
        <x:v>Rent receipt</x:v>
      </x:c>
      <x:c r="F613" s="20" t="str">
        <x:v>P010</x:v>
      </x:c>
      <x:c r="G613" s="20" t="str">
        <x:v>U010</x:v>
      </x:c>
      <x:c r="H613" s="20" t="str">
        <x:v>L010</x:v>
      </x:c>
      <x:c r="I613" s="20" t="str">
        <x:v>Elena Lewis</x:v>
      </x:c>
      <x:c r="J613" s="35" t="str">
        <x:v>Manual ACH</x:v>
      </x:c>
      <x:c r="K613" s="20" t="str"/>
      <x:c r="L613" s="20" t="str">
        <x:v>PMT-20270804-L010</x:v>
      </x:c>
      <x:c r="M613" s="26" t="n">
        <x:v>1800</x:v>
      </x:c>
      <x:c r="N613" s="26" t="n">
        <x:v>-1800</x:v>
      </x:c>
      <x:c r="O613" s="26" t="n">
        <x:v>1800</x:v>
      </x:c>
      <x:c r="P613" s="26" t="n">
        <x:v>0</x:v>
      </x:c>
      <x:c r="Q613" s="26" t="n">
        <x:v>0</x:v>
      </x:c>
      <x:c r="R613" s="26" t="n">
        <x:v>0</x:v>
      </x:c>
      <x:c r="S613" s="26" t="n">
        <x:v>0</x:v>
      </x:c>
      <x:c r="T613" s="26" t="n">
        <x:v>0</x:v>
      </x:c>
      <x:c r="U613" s="26" t="n">
        <x:v>0</x:v>
      </x:c>
      <x:c r="V613" s="26" t="n">
        <x:v>0</x:v>
      </x:c>
      <x:c r="W613" s="26" t="n">
        <x:v>0</x:v>
      </x:c>
      <x:c r="X613" s="26" t="n">
        <x:v>0</x:v>
      </x:c>
      <x:c r="Y613" s="26" t="n">
        <x:v>0</x:v>
      </x:c>
      <x:c r="Z613" s="35" t="str">
        <x:v>Receipt allocated to FIN-00609</x:v>
      </x:c>
    </x:row>
    <x:row r="614">
      <x:c r="A614" s="20" t="str">
        <x:v>FIN-00611</x:v>
      </x:c>
      <x:c r="B614" s="23" t="n">
        <x:v>46600</x:v>
      </x:c>
      <x:c r="C614" s="23" t="n">
        <x:v>46600</x:v>
      </x:c>
      <x:c r="D614" s="20" t="str">
        <x:v>TenantCharge</x:v>
      </x:c>
      <x:c r="E614" s="20" t="str">
        <x:v>Rent</x:v>
      </x:c>
      <x:c r="F614" s="20" t="str">
        <x:v>P011</x:v>
      </x:c>
      <x:c r="G614" s="20" t="str">
        <x:v>U011</x:v>
      </x:c>
      <x:c r="H614" s="20" t="str">
        <x:v>L011</x:v>
      </x:c>
      <x:c r="I614" s="20" t="str">
        <x:v>Hector Reed</x:v>
      </x:c>
      <x:c r="J614" s="35" t="str">
        <x:v>System scheduled charge</x:v>
      </x:c>
      <x:c r="K614" s="20" t="str"/>
      <x:c r="L614" s="20" t="str">
        <x:v>RENT-202708-L011</x:v>
      </x:c>
      <x:c r="M614" s="26" t="n">
        <x:v>1425</x:v>
      </x:c>
      <x:c r="N614" s="26" t="n">
        <x:v>1425</x:v>
      </x:c>
      <x:c r="O614" s="26" t="n">
        <x:v>0</x:v>
      </x:c>
      <x:c r="P614" s="26" t="n">
        <x:v>0</x:v>
      </x:c>
      <x:c r="Q614" s="26" t="n">
        <x:v>0</x:v>
      </x:c>
      <x:c r="R614" s="26" t="n">
        <x:v>0</x:v>
      </x:c>
      <x:c r="S614" s="26" t="n">
        <x:v>0</x:v>
      </x:c>
      <x:c r="T614" s="26" t="n">
        <x:v>1425</x:v>
      </x:c>
      <x:c r="U614" s="26" t="n">
        <x:v>0</x:v>
      </x:c>
      <x:c r="V614" s="26" t="n">
        <x:v>0</x:v>
      </x:c>
      <x:c r="W614" s="26" t="n">
        <x:v>0</x:v>
      </x:c>
      <x:c r="X614" s="26" t="n">
        <x:v>0</x:v>
      </x:c>
      <x:c r="Y614" s="26" t="n">
        <x:v>0</x:v>
      </x:c>
      <x:c r="Z614" s="35" t="str">
        <x:v>August 2027 rent</x:v>
      </x:c>
    </x:row>
    <x:row r="615">
      <x:c r="A615" s="20" t="str">
        <x:v>FIN-00612</x:v>
      </x:c>
      <x:c r="B615" s="23" t="n">
        <x:v>46602</x:v>
      </x:c>
      <x:c r="C615" s="23" t="n">
        <x:v>46602</x:v>
      </x:c>
      <x:c r="D615" s="20" t="str">
        <x:v>TenantReceipt</x:v>
      </x:c>
      <x:c r="E615" s="20" t="str">
        <x:v>Rent receipt</x:v>
      </x:c>
      <x:c r="F615" s="20" t="str">
        <x:v>P011</x:v>
      </x:c>
      <x:c r="G615" s="20" t="str">
        <x:v>U011</x:v>
      </x:c>
      <x:c r="H615" s="20" t="str">
        <x:v>L011</x:v>
      </x:c>
      <x:c r="I615" s="20" t="str">
        <x:v>Hector Reed</x:v>
      </x:c>
      <x:c r="J615" s="35" t="str">
        <x:v>Portal card</x:v>
      </x:c>
      <x:c r="K615" s="20" t="str"/>
      <x:c r="L615" s="20" t="str">
        <x:v>PMT-20270803-L011-A</x:v>
      </x:c>
      <x:c r="M615" s="26" t="n">
        <x:v>855</x:v>
      </x:c>
      <x:c r="N615" s="26" t="n">
        <x:v>-855</x:v>
      </x:c>
      <x:c r="O615" s="26" t="n">
        <x:v>855</x:v>
      </x:c>
      <x:c r="P615" s="26" t="n">
        <x:v>0</x:v>
      </x:c>
      <x:c r="Q615" s="26" t="n">
        <x:v>0</x:v>
      </x:c>
      <x:c r="R615" s="26" t="n">
        <x:v>0</x:v>
      </x:c>
      <x:c r="S615" s="26" t="n">
        <x:v>0</x:v>
      </x:c>
      <x:c r="T615" s="26" t="n">
        <x:v>0</x:v>
      </x:c>
      <x:c r="U615" s="26" t="n">
        <x:v>0</x:v>
      </x:c>
      <x:c r="V615" s="26" t="n">
        <x:v>0</x:v>
      </x:c>
      <x:c r="W615" s="26" t="n">
        <x:v>0</x:v>
      </x:c>
      <x:c r="X615" s="26" t="n">
        <x:v>0</x:v>
      </x:c>
      <x:c r="Y615" s="26" t="n">
        <x:v>0</x:v>
      </x:c>
      <x:c r="Z615" s="35" t="str">
        <x:v>Receipt allocated to FIN-00611</x:v>
      </x:c>
    </x:row>
    <x:row r="616">
      <x:c r="A616" s="20" t="str">
        <x:v>FIN-00613</x:v>
      </x:c>
      <x:c r="B616" s="23" t="n">
        <x:v>46605</x:v>
      </x:c>
      <x:c r="C616" s="23" t="n">
        <x:v>46605</x:v>
      </x:c>
      <x:c r="D616" s="20" t="str">
        <x:v>TenantCharge</x:v>
      </x:c>
      <x:c r="E616" s="20" t="str">
        <x:v>Late fee</x:v>
      </x:c>
      <x:c r="F616" s="20" t="str">
        <x:v>P011</x:v>
      </x:c>
      <x:c r="G616" s="20" t="str">
        <x:v>U011</x:v>
      </x:c>
      <x:c r="H616" s="20" t="str">
        <x:v>L011</x:v>
      </x:c>
      <x:c r="I616" s="20" t="str">
        <x:v>Hector Reed</x:v>
      </x:c>
      <x:c r="J616" s="35" t="str">
        <x:v>System automation</x:v>
      </x:c>
      <x:c r="K616" s="20" t="str"/>
      <x:c r="L616" s="20" t="str">
        <x:v>LATE-202708-L011</x:v>
      </x:c>
      <x:c r="M616" s="26" t="n">
        <x:v>50</x:v>
      </x:c>
      <x:c r="N616" s="26" t="n">
        <x:v>50</x:v>
      </x:c>
      <x:c r="O616" s="26" t="n">
        <x:v>0</x:v>
      </x:c>
      <x:c r="P616" s="26" t="n">
        <x:v>0</x:v>
      </x:c>
      <x:c r="Q616" s="26" t="n">
        <x:v>0</x:v>
      </x:c>
      <x:c r="R616" s="26" t="n">
        <x:v>0</x:v>
      </x:c>
      <x:c r="S616" s="26" t="n">
        <x:v>0</x:v>
      </x:c>
      <x:c r="T616" s="26" t="n">
        <x:v>50</x:v>
      </x:c>
      <x:c r="U616" s="26" t="n">
        <x:v>0</x:v>
      </x:c>
      <x:c r="V616" s="26" t="n">
        <x:v>0</x:v>
      </x:c>
      <x:c r="W616" s="26" t="n">
        <x:v>0</x:v>
      </x:c>
      <x:c r="X616" s="26" t="n">
        <x:v>0</x:v>
      </x:c>
      <x:c r="Y616" s="26" t="n">
        <x:v>0</x:v>
      </x:c>
      <x:c r="Z616" s="35" t="str">
        <x:v>Synthetic lease-authorized late fee after partial payment</x:v>
      </x:c>
    </x:row>
    <x:row r="617">
      <x:c r="A617" s="20" t="str">
        <x:v>FIN-00614</x:v>
      </x:c>
      <x:c r="B617" s="23" t="n">
        <x:v>46611</x:v>
      </x:c>
      <x:c r="C617" s="23" t="n">
        <x:v>46611</x:v>
      </x:c>
      <x:c r="D617" s="20" t="str">
        <x:v>TenantReceipt</x:v>
      </x:c>
      <x:c r="E617" s="20" t="str">
        <x:v>Rent receipt</x:v>
      </x:c>
      <x:c r="F617" s="20" t="str">
        <x:v>P011</x:v>
      </x:c>
      <x:c r="G617" s="20" t="str">
        <x:v>U011</x:v>
      </x:c>
      <x:c r="H617" s="20" t="str">
        <x:v>L011</x:v>
      </x:c>
      <x:c r="I617" s="20" t="str">
        <x:v>Hector Reed</x:v>
      </x:c>
      <x:c r="J617" s="35" t="str">
        <x:v>Scanned money order</x:v>
      </x:c>
      <x:c r="K617" s="20" t="str">
        <x:v>SCN-0242</x:v>
      </x:c>
      <x:c r="L617" s="20" t="str">
        <x:v>PMT-20270812-L011-B</x:v>
      </x:c>
      <x:c r="M617" s="26" t="n">
        <x:v>620</x:v>
      </x:c>
      <x:c r="N617" s="26" t="n">
        <x:v>-620</x:v>
      </x:c>
      <x:c r="O617" s="26" t="n">
        <x:v>620</x:v>
      </x:c>
      <x:c r="P617" s="26" t="n">
        <x:v>0</x:v>
      </x:c>
      <x:c r="Q617" s="26" t="n">
        <x:v>0</x:v>
      </x:c>
      <x:c r="R617" s="26" t="n">
        <x:v>0</x:v>
      </x:c>
      <x:c r="S617" s="26" t="n">
        <x:v>0</x:v>
      </x:c>
      <x:c r="T617" s="26" t="n">
        <x:v>0</x:v>
      </x:c>
      <x:c r="U617" s="26" t="n">
        <x:v>0</x:v>
      </x:c>
      <x:c r="V617" s="26" t="n">
        <x:v>0</x:v>
      </x:c>
      <x:c r="W617" s="26" t="n">
        <x:v>0</x:v>
      </x:c>
      <x:c r="X617" s="26" t="n">
        <x:v>0</x:v>
      </x:c>
      <x:c r="Y617" s="26" t="n">
        <x:v>0</x:v>
      </x:c>
      <x:c r="Z617" s="35" t="str">
        <x:v>Receipt allocated to FIN-00613</x:v>
      </x:c>
    </x:row>
    <x:row r="618">
      <x:c r="A618" s="20" t="str">
        <x:v>FIN-00615</x:v>
      </x:c>
      <x:c r="B618" s="23" t="n">
        <x:v>46600</x:v>
      </x:c>
      <x:c r="C618" s="23" t="n">
        <x:v>46600</x:v>
      </x:c>
      <x:c r="D618" s="20" t="str">
        <x:v>TenantCharge</x:v>
      </x:c>
      <x:c r="E618" s="20" t="str">
        <x:v>Rent</x:v>
      </x:c>
      <x:c r="F618" s="20" t="str">
        <x:v>P012</x:v>
      </x:c>
      <x:c r="G618" s="20" t="str">
        <x:v>U012</x:v>
      </x:c>
      <x:c r="H618" s="20" t="str">
        <x:v>L012</x:v>
      </x:c>
      <x:c r="I618" s="20" t="str">
        <x:v>Keira Adams</x:v>
      </x:c>
      <x:c r="J618" s="35" t="str">
        <x:v>System scheduled charge</x:v>
      </x:c>
      <x:c r="K618" s="20" t="str"/>
      <x:c r="L618" s="20" t="str">
        <x:v>RENT-202708-L012</x:v>
      </x:c>
      <x:c r="M618" s="26" t="n">
        <x:v>1050</x:v>
      </x:c>
      <x:c r="N618" s="26" t="n">
        <x:v>1050</x:v>
      </x:c>
      <x:c r="O618" s="26" t="n">
        <x:v>0</x:v>
      </x:c>
      <x:c r="P618" s="26" t="n">
        <x:v>0</x:v>
      </x:c>
      <x:c r="Q618" s="26" t="n">
        <x:v>0</x:v>
      </x:c>
      <x:c r="R618" s="26" t="n">
        <x:v>0</x:v>
      </x:c>
      <x:c r="S618" s="26" t="n">
        <x:v>0</x:v>
      </x:c>
      <x:c r="T618" s="26" t="n">
        <x:v>1050</x:v>
      </x:c>
      <x:c r="U618" s="26" t="n">
        <x:v>0</x:v>
      </x:c>
      <x:c r="V618" s="26" t="n">
        <x:v>0</x:v>
      </x:c>
      <x:c r="W618" s="26" t="n">
        <x:v>0</x:v>
      </x:c>
      <x:c r="X618" s="26" t="n">
        <x:v>0</x:v>
      </x:c>
      <x:c r="Y618" s="26" t="n">
        <x:v>0</x:v>
      </x:c>
      <x:c r="Z618" s="35" t="str">
        <x:v>August 2027 rent</x:v>
      </x:c>
    </x:row>
    <x:row r="619">
      <x:c r="A619" s="20" t="str">
        <x:v>FIN-00616</x:v>
      </x:c>
      <x:c r="B619" s="23" t="n">
        <x:v>46602</x:v>
      </x:c>
      <x:c r="C619" s="23" t="n">
        <x:v>46602</x:v>
      </x:c>
      <x:c r="D619" s="20" t="str">
        <x:v>TenantReceipt</x:v>
      </x:c>
      <x:c r="E619" s="20" t="str">
        <x:v>Rent receipt</x:v>
      </x:c>
      <x:c r="F619" s="20" t="str">
        <x:v>P012</x:v>
      </x:c>
      <x:c r="G619" s="20" t="str">
        <x:v>U012</x:v>
      </x:c>
      <x:c r="H619" s="20" t="str">
        <x:v>L012</x:v>
      </x:c>
      <x:c r="I619" s="20" t="str">
        <x:v>Keira Adams</x:v>
      </x:c>
      <x:c r="J619" s="35" t="str">
        <x:v>Scanned check</x:v>
      </x:c>
      <x:c r="K619" s="20" t="str">
        <x:v>SCN-0243</x:v>
      </x:c>
      <x:c r="L619" s="20" t="str">
        <x:v>PMT-20270803-L012</x:v>
      </x:c>
      <x:c r="M619" s="26" t="n">
        <x:v>1050</x:v>
      </x:c>
      <x:c r="N619" s="26" t="n">
        <x:v>-1050</x:v>
      </x:c>
      <x:c r="O619" s="26" t="n">
        <x:v>1050</x:v>
      </x:c>
      <x:c r="P619" s="26" t="n">
        <x:v>0</x:v>
      </x:c>
      <x:c r="Q619" s="26" t="n">
        <x:v>0</x:v>
      </x:c>
      <x:c r="R619" s="26" t="n">
        <x:v>0</x:v>
      </x:c>
      <x:c r="S619" s="26" t="n">
        <x:v>0</x:v>
      </x:c>
      <x:c r="T619" s="26" t="n">
        <x:v>0</x:v>
      </x:c>
      <x:c r="U619" s="26" t="n">
        <x:v>0</x:v>
      </x:c>
      <x:c r="V619" s="26" t="n">
        <x:v>0</x:v>
      </x:c>
      <x:c r="W619" s="26" t="n">
        <x:v>0</x:v>
      </x:c>
      <x:c r="X619" s="26" t="n">
        <x:v>0</x:v>
      </x:c>
      <x:c r="Y619" s="26" t="n">
        <x:v>0</x:v>
      </x:c>
      <x:c r="Z619" s="35" t="str">
        <x:v>Receipt allocated to FIN-00615</x:v>
      </x:c>
    </x:row>
    <x:row r="620">
      <x:c r="A620" s="20" t="str">
        <x:v>FIN-00617</x:v>
      </x:c>
      <x:c r="B620" s="23" t="n">
        <x:v>46600</x:v>
      </x:c>
      <x:c r="C620" s="23" t="n">
        <x:v>46600</x:v>
      </x:c>
      <x:c r="D620" s="20" t="str">
        <x:v>TenantCharge</x:v>
      </x:c>
      <x:c r="E620" s="20" t="str">
        <x:v>Rent</x:v>
      </x:c>
      <x:c r="F620" s="20" t="str">
        <x:v>P013</x:v>
      </x:c>
      <x:c r="G620" s="20" t="str">
        <x:v>U013</x:v>
      </x:c>
      <x:c r="H620" s="20" t="str">
        <x:v>L013</x:v>
      </x:c>
      <x:c r="I620" s="20" t="str">
        <x:v>Nolan Flores</x:v>
      </x:c>
      <x:c r="J620" s="35" t="str">
        <x:v>System scheduled charge</x:v>
      </x:c>
      <x:c r="K620" s="20" t="str"/>
      <x:c r="L620" s="20" t="str">
        <x:v>RENT-202708-L013</x:v>
      </x:c>
      <x:c r="M620" s="26" t="n">
        <x:v>1575</x:v>
      </x:c>
      <x:c r="N620" s="26" t="n">
        <x:v>1575</x:v>
      </x:c>
      <x:c r="O620" s="26" t="n">
        <x:v>0</x:v>
      </x:c>
      <x:c r="P620" s="26" t="n">
        <x:v>0</x:v>
      </x:c>
      <x:c r="Q620" s="26" t="n">
        <x:v>0</x:v>
      </x:c>
      <x:c r="R620" s="26" t="n">
        <x:v>0</x:v>
      </x:c>
      <x:c r="S620" s="26" t="n">
        <x:v>0</x:v>
      </x:c>
      <x:c r="T620" s="26" t="n">
        <x:v>1575</x:v>
      </x:c>
      <x:c r="U620" s="26" t="n">
        <x:v>0</x:v>
      </x:c>
      <x:c r="V620" s="26" t="n">
        <x:v>0</x:v>
      </x:c>
      <x:c r="W620" s="26" t="n">
        <x:v>0</x:v>
      </x:c>
      <x:c r="X620" s="26" t="n">
        <x:v>0</x:v>
      </x:c>
      <x:c r="Y620" s="26" t="n">
        <x:v>0</x:v>
      </x:c>
      <x:c r="Z620" s="35" t="str">
        <x:v>August 2027 rent</x:v>
      </x:c>
    </x:row>
    <x:row r="621">
      <x:c r="A621" s="20" t="str">
        <x:v>FIN-00618</x:v>
      </x:c>
      <x:c r="B621" s="23" t="n">
        <x:v>46605</x:v>
      </x:c>
      <x:c r="C621" s="23" t="n">
        <x:v>46605</x:v>
      </x:c>
      <x:c r="D621" s="20" t="str">
        <x:v>TenantCharge</x:v>
      </x:c>
      <x:c r="E621" s="20" t="str">
        <x:v>Late fee</x:v>
      </x:c>
      <x:c r="F621" s="20" t="str">
        <x:v>P013</x:v>
      </x:c>
      <x:c r="G621" s="20" t="str">
        <x:v>U013</x:v>
      </x:c>
      <x:c r="H621" s="20" t="str">
        <x:v>L013</x:v>
      </x:c>
      <x:c r="I621" s="20" t="str">
        <x:v>Nolan Flores</x:v>
      </x:c>
      <x:c r="J621" s="35" t="str">
        <x:v>System automation</x:v>
      </x:c>
      <x:c r="K621" s="20" t="str"/>
      <x:c r="L621" s="20" t="str">
        <x:v>LATE-202708-L013</x:v>
      </x:c>
      <x:c r="M621" s="26" t="n">
        <x:v>50</x:v>
      </x:c>
      <x:c r="N621" s="26" t="n">
        <x:v>50</x:v>
      </x:c>
      <x:c r="O621" s="26" t="n">
        <x:v>0</x:v>
      </x:c>
      <x:c r="P621" s="26" t="n">
        <x:v>0</x:v>
      </x:c>
      <x:c r="Q621" s="26" t="n">
        <x:v>0</x:v>
      </x:c>
      <x:c r="R621" s="26" t="n">
        <x:v>0</x:v>
      </x:c>
      <x:c r="S621" s="26" t="n">
        <x:v>0</x:v>
      </x:c>
      <x:c r="T621" s="26" t="n">
        <x:v>50</x:v>
      </x:c>
      <x:c r="U621" s="26" t="n">
        <x:v>0</x:v>
      </x:c>
      <x:c r="V621" s="26" t="n">
        <x:v>0</x:v>
      </x:c>
      <x:c r="W621" s="26" t="n">
        <x:v>0</x:v>
      </x:c>
      <x:c r="X621" s="26" t="n">
        <x:v>0</x:v>
      </x:c>
      <x:c r="Y621" s="26" t="n">
        <x:v>0</x:v>
      </x:c>
      <x:c r="Z621" s="35" t="str">
        <x:v>Synthetic lease-authorized late fee</x:v>
      </x:c>
    </x:row>
    <x:row r="622">
      <x:c r="A622" s="20" t="str">
        <x:v>FIN-00619</x:v>
      </x:c>
      <x:c r="B622" s="23" t="n">
        <x:v>46607</x:v>
      </x:c>
      <x:c r="C622" s="23" t="n">
        <x:v>46607</x:v>
      </x:c>
      <x:c r="D622" s="20" t="str">
        <x:v>TenantReceipt</x:v>
      </x:c>
      <x:c r="E622" s="20" t="str">
        <x:v>Rent receipt</x:v>
      </x:c>
      <x:c r="F622" s="20" t="str">
        <x:v>P013</x:v>
      </x:c>
      <x:c r="G622" s="20" t="str">
        <x:v>U013</x:v>
      </x:c>
      <x:c r="H622" s="20" t="str">
        <x:v>L013</x:v>
      </x:c>
      <x:c r="I622" s="20" t="str">
        <x:v>Nolan Flores</x:v>
      </x:c>
      <x:c r="J622" s="35" t="str">
        <x:v>Scanned check</x:v>
      </x:c>
      <x:c r="K622" s="20" t="str">
        <x:v>SCN-0244</x:v>
      </x:c>
      <x:c r="L622" s="20" t="str">
        <x:v>PMT-20270808-L013</x:v>
      </x:c>
      <x:c r="M622" s="26" t="n">
        <x:v>1625</x:v>
      </x:c>
      <x:c r="N622" s="26" t="n">
        <x:v>-1625</x:v>
      </x:c>
      <x:c r="O622" s="26" t="n">
        <x:v>1625</x:v>
      </x:c>
      <x:c r="P622" s="26" t="n">
        <x:v>0</x:v>
      </x:c>
      <x:c r="Q622" s="26" t="n">
        <x:v>0</x:v>
      </x:c>
      <x:c r="R622" s="26" t="n">
        <x:v>0</x:v>
      </x:c>
      <x:c r="S622" s="26" t="n">
        <x:v>0</x:v>
      </x:c>
      <x:c r="T622" s="26" t="n">
        <x:v>0</x:v>
      </x:c>
      <x:c r="U622" s="26" t="n">
        <x:v>0</x:v>
      </x:c>
      <x:c r="V622" s="26" t="n">
        <x:v>0</x:v>
      </x:c>
      <x:c r="W622" s="26" t="n">
        <x:v>0</x:v>
      </x:c>
      <x:c r="X622" s="26" t="n">
        <x:v>0</x:v>
      </x:c>
      <x:c r="Y622" s="26" t="n">
        <x:v>0</x:v>
      </x:c>
      <x:c r="Z622" s="35" t="str">
        <x:v>Receipt allocated to FIN-00618</x:v>
      </x:c>
    </x:row>
    <x:row r="623">
      <x:c r="A623" s="20" t="str">
        <x:v>FIN-00620</x:v>
      </x:c>
      <x:c r="B623" s="23" t="n">
        <x:v>46600</x:v>
      </x:c>
      <x:c r="C623" s="23" t="n">
        <x:v>46600</x:v>
      </x:c>
      <x:c r="D623" s="20" t="str">
        <x:v>TenantCharge</x:v>
      </x:c>
      <x:c r="E623" s="20" t="str">
        <x:v>Rent</x:v>
      </x:c>
      <x:c r="F623" s="20" t="str">
        <x:v>P015</x:v>
      </x:c>
      <x:c r="G623" s="20" t="str">
        <x:v>U015</x:v>
      </x:c>
      <x:c r="H623" s="20" t="str">
        <x:v>L015</x:v>
      </x:c>
      <x:c r="I623" s="20" t="str">
        <x:v>Uri Price</x:v>
      </x:c>
      <x:c r="J623" s="35" t="str">
        <x:v>System scheduled charge</x:v>
      </x:c>
      <x:c r="K623" s="20" t="str"/>
      <x:c r="L623" s="20" t="str">
        <x:v>RENT-202708-L015</x:v>
      </x:c>
      <x:c r="M623" s="26" t="n">
        <x:v>1725</x:v>
      </x:c>
      <x:c r="N623" s="26" t="n">
        <x:v>1725</x:v>
      </x:c>
      <x:c r="O623" s="26" t="n">
        <x:v>0</x:v>
      </x:c>
      <x:c r="P623" s="26" t="n">
        <x:v>0</x:v>
      </x:c>
      <x:c r="Q623" s="26" t="n">
        <x:v>0</x:v>
      </x:c>
      <x:c r="R623" s="26" t="n">
        <x:v>0</x:v>
      </x:c>
      <x:c r="S623" s="26" t="n">
        <x:v>0</x:v>
      </x:c>
      <x:c r="T623" s="26" t="n">
        <x:v>1725</x:v>
      </x:c>
      <x:c r="U623" s="26" t="n">
        <x:v>0</x:v>
      </x:c>
      <x:c r="V623" s="26" t="n">
        <x:v>0</x:v>
      </x:c>
      <x:c r="W623" s="26" t="n">
        <x:v>0</x:v>
      </x:c>
      <x:c r="X623" s="26" t="n">
        <x:v>0</x:v>
      </x:c>
      <x:c r="Y623" s="26" t="n">
        <x:v>0</x:v>
      </x:c>
      <x:c r="Z623" s="35" t="str">
        <x:v>August 2027 rent</x:v>
      </x:c>
    </x:row>
    <x:row r="624">
      <x:c r="A624" s="20" t="str">
        <x:v>FIN-00621</x:v>
      </x:c>
      <x:c r="B624" s="23" t="n">
        <x:v>46602</x:v>
      </x:c>
      <x:c r="C624" s="23" t="n">
        <x:v>46602</x:v>
      </x:c>
      <x:c r="D624" s="20" t="str">
        <x:v>TenantReceipt</x:v>
      </x:c>
      <x:c r="E624" s="20" t="str">
        <x:v>Rent receipt</x:v>
      </x:c>
      <x:c r="F624" s="20" t="str">
        <x:v>P015</x:v>
      </x:c>
      <x:c r="G624" s="20" t="str">
        <x:v>U015</x:v>
      </x:c>
      <x:c r="H624" s="20" t="str">
        <x:v>L015</x:v>
      </x:c>
      <x:c r="I624" s="20" t="str">
        <x:v>Uri Price</x:v>
      </x:c>
      <x:c r="J624" s="35" t="str">
        <x:v>Portal card</x:v>
      </x:c>
      <x:c r="K624" s="20" t="str"/>
      <x:c r="L624" s="20" t="str">
        <x:v>PMT-20270803-L015</x:v>
      </x:c>
      <x:c r="M624" s="26" t="n">
        <x:v>1725</x:v>
      </x:c>
      <x:c r="N624" s="26" t="n">
        <x:v>-1725</x:v>
      </x:c>
      <x:c r="O624" s="26" t="n">
        <x:v>1725</x:v>
      </x:c>
      <x:c r="P624" s="26" t="n">
        <x:v>0</x:v>
      </x:c>
      <x:c r="Q624" s="26" t="n">
        <x:v>0</x:v>
      </x:c>
      <x:c r="R624" s="26" t="n">
        <x:v>0</x:v>
      </x:c>
      <x:c r="S624" s="26" t="n">
        <x:v>0</x:v>
      </x:c>
      <x:c r="T624" s="26" t="n">
        <x:v>0</x:v>
      </x:c>
      <x:c r="U624" s="26" t="n">
        <x:v>0</x:v>
      </x:c>
      <x:c r="V624" s="26" t="n">
        <x:v>0</x:v>
      </x:c>
      <x:c r="W624" s="26" t="n">
        <x:v>0</x:v>
      </x:c>
      <x:c r="X624" s="26" t="n">
        <x:v>0</x:v>
      </x:c>
      <x:c r="Y624" s="26" t="n">
        <x:v>0</x:v>
      </x:c>
      <x:c r="Z624" s="35" t="str">
        <x:v>Receipt allocated to FIN-00620</x:v>
      </x:c>
    </x:row>
    <x:row r="625">
      <x:c r="A625" s="20" t="str">
        <x:v>FIN-00622</x:v>
      </x:c>
      <x:c r="B625" s="23" t="n">
        <x:v>46600</x:v>
      </x:c>
      <x:c r="C625" s="23" t="n">
        <x:v>46600</x:v>
      </x:c>
      <x:c r="D625" s="20" t="str">
        <x:v>TenantCharge</x:v>
      </x:c>
      <x:c r="E625" s="20" t="str">
        <x:v>Rent</x:v>
      </x:c>
      <x:c r="F625" s="20" t="str">
        <x:v>P016</x:v>
      </x:c>
      <x:c r="G625" s="20" t="str">
        <x:v>U016</x:v>
      </x:c>
      <x:c r="H625" s="20" t="str">
        <x:v>L016</x:v>
      </x:c>
      <x:c r="I625" s="20" t="str">
        <x:v>Avery Brooks</x:v>
      </x:c>
      <x:c r="J625" s="35" t="str">
        <x:v>System scheduled charge</x:v>
      </x:c>
      <x:c r="K625" s="20" t="str"/>
      <x:c r="L625" s="20" t="str">
        <x:v>RENT-202708-L016</x:v>
      </x:c>
      <x:c r="M625" s="26" t="n">
        <x:v>1350</x:v>
      </x:c>
      <x:c r="N625" s="26" t="n">
        <x:v>1350</x:v>
      </x:c>
      <x:c r="O625" s="26" t="n">
        <x:v>0</x:v>
      </x:c>
      <x:c r="P625" s="26" t="n">
        <x:v>0</x:v>
      </x:c>
      <x:c r="Q625" s="26" t="n">
        <x:v>0</x:v>
      </x:c>
      <x:c r="R625" s="26" t="n">
        <x:v>0</x:v>
      </x:c>
      <x:c r="S625" s="26" t="n">
        <x:v>0</x:v>
      </x:c>
      <x:c r="T625" s="26" t="n">
        <x:v>1350</x:v>
      </x:c>
      <x:c r="U625" s="26" t="n">
        <x:v>0</x:v>
      </x:c>
      <x:c r="V625" s="26" t="n">
        <x:v>0</x:v>
      </x:c>
      <x:c r="W625" s="26" t="n">
        <x:v>0</x:v>
      </x:c>
      <x:c r="X625" s="26" t="n">
        <x:v>0</x:v>
      </x:c>
      <x:c r="Y625" s="26" t="n">
        <x:v>0</x:v>
      </x:c>
      <x:c r="Z625" s="35" t="str">
        <x:v>August 2027 rent</x:v>
      </x:c>
    </x:row>
    <x:row r="626">
      <x:c r="A626" s="20" t="str">
        <x:v>FIN-00623</x:v>
      </x:c>
      <x:c r="B626" s="23" t="n">
        <x:v>46603</x:v>
      </x:c>
      <x:c r="C626" s="23" t="n">
        <x:v>46603</x:v>
      </x:c>
      <x:c r="D626" s="20" t="str">
        <x:v>TenantReceipt</x:v>
      </x:c>
      <x:c r="E626" s="20" t="str">
        <x:v>Rent receipt</x:v>
      </x:c>
      <x:c r="F626" s="20" t="str">
        <x:v>P016</x:v>
      </x:c>
      <x:c r="G626" s="20" t="str">
        <x:v>U016</x:v>
      </x:c>
      <x:c r="H626" s="20" t="str">
        <x:v>L016</x:v>
      </x:c>
      <x:c r="I626" s="20" t="str">
        <x:v>Avery Brooks</x:v>
      </x:c>
      <x:c r="J626" s="35" t="str">
        <x:v>Scanned check</x:v>
      </x:c>
      <x:c r="K626" s="20" t="str">
        <x:v>SCN-0245</x:v>
      </x:c>
      <x:c r="L626" s="20" t="str">
        <x:v>PMT-20270804-L016</x:v>
      </x:c>
      <x:c r="M626" s="26" t="n">
        <x:v>1350</x:v>
      </x:c>
      <x:c r="N626" s="26" t="n">
        <x:v>-1350</x:v>
      </x:c>
      <x:c r="O626" s="26" t="n">
        <x:v>1350</x:v>
      </x:c>
      <x:c r="P626" s="26" t="n">
        <x:v>0</x:v>
      </x:c>
      <x:c r="Q626" s="26" t="n">
        <x:v>0</x:v>
      </x:c>
      <x:c r="R626" s="26" t="n">
        <x:v>0</x:v>
      </x:c>
      <x:c r="S626" s="26" t="n">
        <x:v>0</x:v>
      </x:c>
      <x:c r="T626" s="26" t="n">
        <x:v>0</x:v>
      </x:c>
      <x:c r="U626" s="26" t="n">
        <x:v>0</x:v>
      </x:c>
      <x:c r="V626" s="26" t="n">
        <x:v>0</x:v>
      </x:c>
      <x:c r="W626" s="26" t="n">
        <x:v>0</x:v>
      </x:c>
      <x:c r="X626" s="26" t="n">
        <x:v>0</x:v>
      </x:c>
      <x:c r="Y626" s="26" t="n">
        <x:v>0</x:v>
      </x:c>
      <x:c r="Z626" s="35" t="str">
        <x:v>Receipt allocated to FIN-00622</x:v>
      </x:c>
    </x:row>
    <x:row r="627">
      <x:c r="A627" s="20" t="str">
        <x:v>FIN-00624</x:v>
      </x:c>
      <x:c r="B627" s="23" t="n">
        <x:v>46600</x:v>
      </x:c>
      <x:c r="C627" s="23" t="n">
        <x:v>46600</x:v>
      </x:c>
      <x:c r="D627" s="20" t="str">
        <x:v>TenantCharge</x:v>
      </x:c>
      <x:c r="E627" s="20" t="str">
        <x:v>Rent</x:v>
      </x:c>
      <x:c r="F627" s="20" t="str">
        <x:v>P018</x:v>
      </x:c>
      <x:c r="G627" s="20" t="str">
        <x:v>U018</x:v>
      </x:c>
      <x:c r="H627" s="20" t="str">
        <x:v>L018</x:v>
      </x:c>
      <x:c r="I627" s="20" t="str">
        <x:v>Gray Lewis</x:v>
      </x:c>
      <x:c r="J627" s="35" t="str">
        <x:v>System scheduled charge</x:v>
      </x:c>
      <x:c r="K627" s="20" t="str"/>
      <x:c r="L627" s="20" t="str">
        <x:v>RENT-202708-L018</x:v>
      </x:c>
      <x:c r="M627" s="26" t="n">
        <x:v>1500</x:v>
      </x:c>
      <x:c r="N627" s="26" t="n">
        <x:v>1500</x:v>
      </x:c>
      <x:c r="O627" s="26" t="n">
        <x:v>0</x:v>
      </x:c>
      <x:c r="P627" s="26" t="n">
        <x:v>0</x:v>
      </x:c>
      <x:c r="Q627" s="26" t="n">
        <x:v>0</x:v>
      </x:c>
      <x:c r="R627" s="26" t="n">
        <x:v>0</x:v>
      </x:c>
      <x:c r="S627" s="26" t="n">
        <x:v>0</x:v>
      </x:c>
      <x:c r="T627" s="26" t="n">
        <x:v>1500</x:v>
      </x:c>
      <x:c r="U627" s="26" t="n">
        <x:v>0</x:v>
      </x:c>
      <x:c r="V627" s="26" t="n">
        <x:v>0</x:v>
      </x:c>
      <x:c r="W627" s="26" t="n">
        <x:v>0</x:v>
      </x:c>
      <x:c r="X627" s="26" t="n">
        <x:v>0</x:v>
      </x:c>
      <x:c r="Y627" s="26" t="n">
        <x:v>0</x:v>
      </x:c>
      <x:c r="Z627" s="35" t="str">
        <x:v>August 2027 rent</x:v>
      </x:c>
    </x:row>
    <x:row r="628">
      <x:c r="A628" s="20" t="str">
        <x:v>FIN-00625</x:v>
      </x:c>
      <x:c r="B628" s="23" t="n">
        <x:v>46602</x:v>
      </x:c>
      <x:c r="C628" s="23" t="n">
        <x:v>46602</x:v>
      </x:c>
      <x:c r="D628" s="20" t="str">
        <x:v>TenantReceipt</x:v>
      </x:c>
      <x:c r="E628" s="20" t="str">
        <x:v>Rent receipt</x:v>
      </x:c>
      <x:c r="F628" s="20" t="str">
        <x:v>P018</x:v>
      </x:c>
      <x:c r="G628" s="20" t="str">
        <x:v>U018</x:v>
      </x:c>
      <x:c r="H628" s="20" t="str">
        <x:v>L018</x:v>
      </x:c>
      <x:c r="I628" s="20" t="str">
        <x:v>Gray Lewis</x:v>
      </x:c>
      <x:c r="J628" s="35" t="str">
        <x:v>Manual ACH</x:v>
      </x:c>
      <x:c r="K628" s="20" t="str"/>
      <x:c r="L628" s="20" t="str">
        <x:v>PMT-20270803-L018</x:v>
      </x:c>
      <x:c r="M628" s="26" t="n">
        <x:v>1500</x:v>
      </x:c>
      <x:c r="N628" s="26" t="n">
        <x:v>-1500</x:v>
      </x:c>
      <x:c r="O628" s="26" t="n">
        <x:v>1500</x:v>
      </x:c>
      <x:c r="P628" s="26" t="n">
        <x:v>0</x:v>
      </x:c>
      <x:c r="Q628" s="26" t="n">
        <x:v>0</x:v>
      </x:c>
      <x:c r="R628" s="26" t="n">
        <x:v>0</x:v>
      </x:c>
      <x:c r="S628" s="26" t="n">
        <x:v>0</x:v>
      </x:c>
      <x:c r="T628" s="26" t="n">
        <x:v>0</x:v>
      </x:c>
      <x:c r="U628" s="26" t="n">
        <x:v>0</x:v>
      </x:c>
      <x:c r="V628" s="26" t="n">
        <x:v>0</x:v>
      </x:c>
      <x:c r="W628" s="26" t="n">
        <x:v>0</x:v>
      </x:c>
      <x:c r="X628" s="26" t="n">
        <x:v>0</x:v>
      </x:c>
      <x:c r="Y628" s="26" t="n">
        <x:v>0</x:v>
      </x:c>
      <x:c r="Z628" s="35" t="str">
        <x:v>Receipt allocated to FIN-00624</x:v>
      </x:c>
    </x:row>
    <x:row r="629">
      <x:c r="A629" s="20" t="str">
        <x:v>FIN-00626</x:v>
      </x:c>
      <x:c r="B629" s="23" t="n">
        <x:v>46600</x:v>
      </x:c>
      <x:c r="C629" s="23" t="n">
        <x:v>46600</x:v>
      </x:c>
      <x:c r="D629" s="20" t="str">
        <x:v>TenantCharge</x:v>
      </x:c>
      <x:c r="E629" s="20" t="str">
        <x:v>Rent</x:v>
      </x:c>
      <x:c r="F629" s="20" t="str">
        <x:v>P019</x:v>
      </x:c>
      <x:c r="G629" s="20" t="str">
        <x:v>U019</x:v>
      </x:c>
      <x:c r="H629" s="20" t="str">
        <x:v>L019</x:v>
      </x:c>
      <x:c r="I629" s="20" t="str">
        <x:v>Jordan Reed</x:v>
      </x:c>
      <x:c r="J629" s="35" t="str">
        <x:v>System scheduled charge</x:v>
      </x:c>
      <x:c r="K629" s="20" t="str"/>
      <x:c r="L629" s="20" t="str">
        <x:v>RENT-202708-L019</x:v>
      </x:c>
      <x:c r="M629" s="26" t="n">
        <x:v>1125</x:v>
      </x:c>
      <x:c r="N629" s="26" t="n">
        <x:v>1125</x:v>
      </x:c>
      <x:c r="O629" s="26" t="n">
        <x:v>0</x:v>
      </x:c>
      <x:c r="P629" s="26" t="n">
        <x:v>0</x:v>
      </x:c>
      <x:c r="Q629" s="26" t="n">
        <x:v>0</x:v>
      </x:c>
      <x:c r="R629" s="26" t="n">
        <x:v>0</x:v>
      </x:c>
      <x:c r="S629" s="26" t="n">
        <x:v>0</x:v>
      </x:c>
      <x:c r="T629" s="26" t="n">
        <x:v>1125</x:v>
      </x:c>
      <x:c r="U629" s="26" t="n">
        <x:v>0</x:v>
      </x:c>
      <x:c r="V629" s="26" t="n">
        <x:v>0</x:v>
      </x:c>
      <x:c r="W629" s="26" t="n">
        <x:v>0</x:v>
      </x:c>
      <x:c r="X629" s="26" t="n">
        <x:v>0</x:v>
      </x:c>
      <x:c r="Y629" s="26" t="n">
        <x:v>0</x:v>
      </x:c>
      <x:c r="Z629" s="35" t="str">
        <x:v>August 2027 rent</x:v>
      </x:c>
    </x:row>
    <x:row r="630">
      <x:c r="A630" s="20" t="str">
        <x:v>FIN-00627</x:v>
      </x:c>
      <x:c r="B630" s="23" t="n">
        <x:v>46603</x:v>
      </x:c>
      <x:c r="C630" s="23" t="n">
        <x:v>46603</x:v>
      </x:c>
      <x:c r="D630" s="20" t="str">
        <x:v>TenantReceipt</x:v>
      </x:c>
      <x:c r="E630" s="20" t="str">
        <x:v>Rent receipt</x:v>
      </x:c>
      <x:c r="F630" s="20" t="str">
        <x:v>P019</x:v>
      </x:c>
      <x:c r="G630" s="20" t="str">
        <x:v>U019</x:v>
      </x:c>
      <x:c r="H630" s="20" t="str">
        <x:v>L019</x:v>
      </x:c>
      <x:c r="I630" s="20" t="str">
        <x:v>Jordan Reed</x:v>
      </x:c>
      <x:c r="J630" s="35" t="str">
        <x:v>Portal card</x:v>
      </x:c>
      <x:c r="K630" s="20" t="str"/>
      <x:c r="L630" s="20" t="str">
        <x:v>PMT-20270804-L019</x:v>
      </x:c>
      <x:c r="M630" s="26" t="n">
        <x:v>1125</x:v>
      </x:c>
      <x:c r="N630" s="26" t="n">
        <x:v>-1125</x:v>
      </x:c>
      <x:c r="O630" s="26" t="n">
        <x:v>1125</x:v>
      </x:c>
      <x:c r="P630" s="26" t="n">
        <x:v>0</x:v>
      </x:c>
      <x:c r="Q630" s="26" t="n">
        <x:v>0</x:v>
      </x:c>
      <x:c r="R630" s="26" t="n">
        <x:v>0</x:v>
      </x:c>
      <x:c r="S630" s="26" t="n">
        <x:v>0</x:v>
      </x:c>
      <x:c r="T630" s="26" t="n">
        <x:v>0</x:v>
      </x:c>
      <x:c r="U630" s="26" t="n">
        <x:v>0</x:v>
      </x:c>
      <x:c r="V630" s="26" t="n">
        <x:v>0</x:v>
      </x:c>
      <x:c r="W630" s="26" t="n">
        <x:v>0</x:v>
      </x:c>
      <x:c r="X630" s="26" t="n">
        <x:v>0</x:v>
      </x:c>
      <x:c r="Y630" s="26" t="n">
        <x:v>0</x:v>
      </x:c>
      <x:c r="Z630" s="35" t="str">
        <x:v>Receipt allocated to FIN-00626</x:v>
      </x:c>
    </x:row>
    <x:row r="631">
      <x:c r="A631" s="20" t="str">
        <x:v>FIN-00628</x:v>
      </x:c>
      <x:c r="B631" s="23" t="n">
        <x:v>46600</x:v>
      </x:c>
      <x:c r="C631" s="23" t="n">
        <x:v>46600</x:v>
      </x:c>
      <x:c r="D631" s="20" t="str">
        <x:v>TenantCharge</x:v>
      </x:c>
      <x:c r="E631" s="20" t="str">
        <x:v>Rent</x:v>
      </x:c>
      <x:c r="F631" s="20" t="str">
        <x:v>P020</x:v>
      </x:c>
      <x:c r="G631" s="20" t="str">
        <x:v>U020</x:v>
      </x:c>
      <x:c r="H631" s="20" t="str">
        <x:v>L020</x:v>
      </x:c>
      <x:c r="I631" s="20" t="str">
        <x:v>Morgan Adams</x:v>
      </x:c>
      <x:c r="J631" s="35" t="str">
        <x:v>System scheduled charge</x:v>
      </x:c>
      <x:c r="K631" s="20" t="str"/>
      <x:c r="L631" s="20" t="str">
        <x:v>RENT-202708-L020</x:v>
      </x:c>
      <x:c r="M631" s="26" t="n">
        <x:v>1650</x:v>
      </x:c>
      <x:c r="N631" s="26" t="n">
        <x:v>1650</x:v>
      </x:c>
      <x:c r="O631" s="26" t="n">
        <x:v>0</x:v>
      </x:c>
      <x:c r="P631" s="26" t="n">
        <x:v>0</x:v>
      </x:c>
      <x:c r="Q631" s="26" t="n">
        <x:v>0</x:v>
      </x:c>
      <x:c r="R631" s="26" t="n">
        <x:v>0</x:v>
      </x:c>
      <x:c r="S631" s="26" t="n">
        <x:v>0</x:v>
      </x:c>
      <x:c r="T631" s="26" t="n">
        <x:v>1650</x:v>
      </x:c>
      <x:c r="U631" s="26" t="n">
        <x:v>0</x:v>
      </x:c>
      <x:c r="V631" s="26" t="n">
        <x:v>0</x:v>
      </x:c>
      <x:c r="W631" s="26" t="n">
        <x:v>0</x:v>
      </x:c>
      <x:c r="X631" s="26" t="n">
        <x:v>0</x:v>
      </x:c>
      <x:c r="Y631" s="26" t="n">
        <x:v>0</x:v>
      </x:c>
      <x:c r="Z631" s="35" t="str">
        <x:v>August 2027 rent</x:v>
      </x:c>
    </x:row>
    <x:row r="632">
      <x:c r="A632" s="20" t="str">
        <x:v>FIN-00629</x:v>
      </x:c>
      <x:c r="B632" s="23" t="n">
        <x:v>46604</x:v>
      </x:c>
      <x:c r="C632" s="23" t="n">
        <x:v>46604</x:v>
      </x:c>
      <x:c r="D632" s="20" t="str">
        <x:v>TenantReceipt</x:v>
      </x:c>
      <x:c r="E632" s="20" t="str">
        <x:v>Rent receipt</x:v>
      </x:c>
      <x:c r="F632" s="20" t="str">
        <x:v>P020</x:v>
      </x:c>
      <x:c r="G632" s="20" t="str">
        <x:v>U020</x:v>
      </x:c>
      <x:c r="H632" s="20" t="str">
        <x:v>L020</x:v>
      </x:c>
      <x:c r="I632" s="20" t="str">
        <x:v>Morgan Adams</x:v>
      </x:c>
      <x:c r="J632" s="35" t="str">
        <x:v>Scanned check</x:v>
      </x:c>
      <x:c r="K632" s="20" t="str">
        <x:v>SCN-0246</x:v>
      </x:c>
      <x:c r="L632" s="20" t="str">
        <x:v>PMT-20270805-L020</x:v>
      </x:c>
      <x:c r="M632" s="26" t="n">
        <x:v>1650</x:v>
      </x:c>
      <x:c r="N632" s="26" t="n">
        <x:v>-1650</x:v>
      </x:c>
      <x:c r="O632" s="26" t="n">
        <x:v>1650</x:v>
      </x:c>
      <x:c r="P632" s="26" t="n">
        <x:v>0</x:v>
      </x:c>
      <x:c r="Q632" s="26" t="n">
        <x:v>0</x:v>
      </x:c>
      <x:c r="R632" s="26" t="n">
        <x:v>0</x:v>
      </x:c>
      <x:c r="S632" s="26" t="n">
        <x:v>0</x:v>
      </x:c>
      <x:c r="T632" s="26" t="n">
        <x:v>0</x:v>
      </x:c>
      <x:c r="U632" s="26" t="n">
        <x:v>0</x:v>
      </x:c>
      <x:c r="V632" s="26" t="n">
        <x:v>0</x:v>
      </x:c>
      <x:c r="W632" s="26" t="n">
        <x:v>0</x:v>
      </x:c>
      <x:c r="X632" s="26" t="n">
        <x:v>0</x:v>
      </x:c>
      <x:c r="Y632" s="26" t="n">
        <x:v>0</x:v>
      </x:c>
      <x:c r="Z632" s="35" t="str">
        <x:v>Receipt allocated to FIN-00628</x:v>
      </x:c>
    </x:row>
    <x:row r="633">
      <x:c r="A633" s="20" t="str">
        <x:v>FIN-00630</x:v>
      </x:c>
      <x:c r="B633" s="23" t="n">
        <x:v>46600</x:v>
      </x:c>
      <x:c r="C633" s="23" t="n">
        <x:v>46600</x:v>
      </x:c>
      <x:c r="D633" s="20" t="str">
        <x:v>TenantCharge</x:v>
      </x:c>
      <x:c r="E633" s="20" t="str">
        <x:v>Rent</x:v>
      </x:c>
      <x:c r="F633" s="20" t="str">
        <x:v>P021</x:v>
      </x:c>
      <x:c r="G633" s="20" t="str">
        <x:v>U021</x:v>
      </x:c>
      <x:c r="H633" s="20" t="str">
        <x:v>L021</x:v>
      </x:c>
      <x:c r="I633" s="20" t="str">
        <x:v>Parker Flores</x:v>
      </x:c>
      <x:c r="J633" s="35" t="str">
        <x:v>System scheduled charge</x:v>
      </x:c>
      <x:c r="K633" s="20" t="str"/>
      <x:c r="L633" s="20" t="str">
        <x:v>RENT-202708-L021</x:v>
      </x:c>
      <x:c r="M633" s="26" t="n">
        <x:v>1375</x:v>
      </x:c>
      <x:c r="N633" s="26" t="n">
        <x:v>1375</x:v>
      </x:c>
      <x:c r="O633" s="26" t="n">
        <x:v>0</x:v>
      </x:c>
      <x:c r="P633" s="26" t="n">
        <x:v>0</x:v>
      </x:c>
      <x:c r="Q633" s="26" t="n">
        <x:v>0</x:v>
      </x:c>
      <x:c r="R633" s="26" t="n">
        <x:v>0</x:v>
      </x:c>
      <x:c r="S633" s="26" t="n">
        <x:v>0</x:v>
      </x:c>
      <x:c r="T633" s="26" t="n">
        <x:v>1375</x:v>
      </x:c>
      <x:c r="U633" s="26" t="n">
        <x:v>0</x:v>
      </x:c>
      <x:c r="V633" s="26" t="n">
        <x:v>0</x:v>
      </x:c>
      <x:c r="W633" s="26" t="n">
        <x:v>0</x:v>
      </x:c>
      <x:c r="X633" s="26" t="n">
        <x:v>0</x:v>
      </x:c>
      <x:c r="Y633" s="26" t="n">
        <x:v>0</x:v>
      </x:c>
      <x:c r="Z633" s="35" t="str">
        <x:v>August 2027 rent</x:v>
      </x:c>
    </x:row>
    <x:row r="634">
      <x:c r="A634" s="20" t="str">
        <x:v>FIN-00631</x:v>
      </x:c>
      <x:c r="B634" s="23" t="n">
        <x:v>46602</x:v>
      </x:c>
      <x:c r="C634" s="23" t="n">
        <x:v>46602</x:v>
      </x:c>
      <x:c r="D634" s="20" t="str">
        <x:v>TenantReceipt</x:v>
      </x:c>
      <x:c r="E634" s="20" t="str">
        <x:v>Rent receipt</x:v>
      </x:c>
      <x:c r="F634" s="20" t="str">
        <x:v>P021</x:v>
      </x:c>
      <x:c r="G634" s="20" t="str">
        <x:v>U021</x:v>
      </x:c>
      <x:c r="H634" s="20" t="str">
        <x:v>L021</x:v>
      </x:c>
      <x:c r="I634" s="20" t="str">
        <x:v>Parker Flores</x:v>
      </x:c>
      <x:c r="J634" s="35" t="str">
        <x:v>Scanned money order</x:v>
      </x:c>
      <x:c r="K634" s="20" t="str">
        <x:v>SCN-0247</x:v>
      </x:c>
      <x:c r="L634" s="20" t="str">
        <x:v>PMT-20270803-L021</x:v>
      </x:c>
      <x:c r="M634" s="26" t="n">
        <x:v>1375</x:v>
      </x:c>
      <x:c r="N634" s="26" t="n">
        <x:v>-1375</x:v>
      </x:c>
      <x:c r="O634" s="26" t="n">
        <x:v>1375</x:v>
      </x:c>
      <x:c r="P634" s="26" t="n">
        <x:v>0</x:v>
      </x:c>
      <x:c r="Q634" s="26" t="n">
        <x:v>0</x:v>
      </x:c>
      <x:c r="R634" s="26" t="n">
        <x:v>0</x:v>
      </x:c>
      <x:c r="S634" s="26" t="n">
        <x:v>0</x:v>
      </x:c>
      <x:c r="T634" s="26" t="n">
        <x:v>0</x:v>
      </x:c>
      <x:c r="U634" s="26" t="n">
        <x:v>0</x:v>
      </x:c>
      <x:c r="V634" s="26" t="n">
        <x:v>0</x:v>
      </x:c>
      <x:c r="W634" s="26" t="n">
        <x:v>0</x:v>
      </x:c>
      <x:c r="X634" s="26" t="n">
        <x:v>0</x:v>
      </x:c>
      <x:c r="Y634" s="26" t="n">
        <x:v>0</x:v>
      </x:c>
      <x:c r="Z634" s="35" t="str">
        <x:v>Receipt allocated to FIN-00630</x:v>
      </x:c>
    </x:row>
    <x:row r="635">
      <x:c r="A635" s="20" t="str">
        <x:v>FIN-00632</x:v>
      </x:c>
      <x:c r="B635" s="23" t="n">
        <x:v>46600</x:v>
      </x:c>
      <x:c r="C635" s="23" t="n">
        <x:v>46600</x:v>
      </x:c>
      <x:c r="D635" s="20" t="str">
        <x:v>TenantCharge</x:v>
      </x:c>
      <x:c r="E635" s="20" t="str">
        <x:v>Rent</x:v>
      </x:c>
      <x:c r="F635" s="20" t="str">
        <x:v>P021</x:v>
      </x:c>
      <x:c r="G635" s="20" t="str">
        <x:v>U022</x:v>
      </x:c>
      <x:c r="H635" s="20" t="str">
        <x:v>L022</x:v>
      </x:c>
      <x:c r="I635" s="20" t="str">
        <x:v>Sage King</x:v>
      </x:c>
      <x:c r="J635" s="35" t="str">
        <x:v>System scheduled charge</x:v>
      </x:c>
      <x:c r="K635" s="20" t="str"/>
      <x:c r="L635" s="20" t="str">
        <x:v>RENT-202708-L022</x:v>
      </x:c>
      <x:c r="M635" s="26" t="n">
        <x:v>1900</x:v>
      </x:c>
      <x:c r="N635" s="26" t="n">
        <x:v>1900</x:v>
      </x:c>
      <x:c r="O635" s="26" t="n">
        <x:v>0</x:v>
      </x:c>
      <x:c r="P635" s="26" t="n">
        <x:v>0</x:v>
      </x:c>
      <x:c r="Q635" s="26" t="n">
        <x:v>0</x:v>
      </x:c>
      <x:c r="R635" s="26" t="n">
        <x:v>0</x:v>
      </x:c>
      <x:c r="S635" s="26" t="n">
        <x:v>0</x:v>
      </x:c>
      <x:c r="T635" s="26" t="n">
        <x:v>1900</x:v>
      </x:c>
      <x:c r="U635" s="26" t="n">
        <x:v>0</x:v>
      </x:c>
      <x:c r="V635" s="26" t="n">
        <x:v>0</x:v>
      </x:c>
      <x:c r="W635" s="26" t="n">
        <x:v>0</x:v>
      </x:c>
      <x:c r="X635" s="26" t="n">
        <x:v>0</x:v>
      </x:c>
      <x:c r="Y635" s="26" t="n">
        <x:v>0</x:v>
      </x:c>
      <x:c r="Z635" s="35" t="str">
        <x:v>August 2027 rent</x:v>
      </x:c>
    </x:row>
    <x:row r="636">
      <x:c r="A636" s="20" t="str">
        <x:v>FIN-00633</x:v>
      </x:c>
      <x:c r="B636" s="23" t="n">
        <x:v>46602</x:v>
      </x:c>
      <x:c r="C636" s="23" t="n">
        <x:v>46602</x:v>
      </x:c>
      <x:c r="D636" s="20" t="str">
        <x:v>TenantReceipt</x:v>
      </x:c>
      <x:c r="E636" s="20" t="str">
        <x:v>Rent receipt</x:v>
      </x:c>
      <x:c r="F636" s="20" t="str">
        <x:v>P021</x:v>
      </x:c>
      <x:c r="G636" s="20" t="str">
        <x:v>U022</x:v>
      </x:c>
      <x:c r="H636" s="20" t="str">
        <x:v>L022</x:v>
      </x:c>
      <x:c r="I636" s="20" t="str">
        <x:v>Sage King</x:v>
      </x:c>
      <x:c r="J636" s="35" t="str">
        <x:v>Manual ACH</x:v>
      </x:c>
      <x:c r="K636" s="20" t="str"/>
      <x:c r="L636" s="20" t="str">
        <x:v>PMT-20270803-L022-A</x:v>
      </x:c>
      <x:c r="M636" s="26" t="n">
        <x:v>1140</x:v>
      </x:c>
      <x:c r="N636" s="26" t="n">
        <x:v>-1140</x:v>
      </x:c>
      <x:c r="O636" s="26" t="n">
        <x:v>1140</x:v>
      </x:c>
      <x:c r="P636" s="26" t="n">
        <x:v>0</x:v>
      </x:c>
      <x:c r="Q636" s="26" t="n">
        <x:v>0</x:v>
      </x:c>
      <x:c r="R636" s="26" t="n">
        <x:v>0</x:v>
      </x:c>
      <x:c r="S636" s="26" t="n">
        <x:v>0</x:v>
      </x:c>
      <x:c r="T636" s="26" t="n">
        <x:v>0</x:v>
      </x:c>
      <x:c r="U636" s="26" t="n">
        <x:v>0</x:v>
      </x:c>
      <x:c r="V636" s="26" t="n">
        <x:v>0</x:v>
      </x:c>
      <x:c r="W636" s="26" t="n">
        <x:v>0</x:v>
      </x:c>
      <x:c r="X636" s="26" t="n">
        <x:v>0</x:v>
      </x:c>
      <x:c r="Y636" s="26" t="n">
        <x:v>0</x:v>
      </x:c>
      <x:c r="Z636" s="35" t="str">
        <x:v>Receipt allocated to FIN-00632</x:v>
      </x:c>
    </x:row>
    <x:row r="637">
      <x:c r="A637" s="20" t="str">
        <x:v>FIN-00634</x:v>
      </x:c>
      <x:c r="B637" s="23" t="n">
        <x:v>46605</x:v>
      </x:c>
      <x:c r="C637" s="23" t="n">
        <x:v>46605</x:v>
      </x:c>
      <x:c r="D637" s="20" t="str">
        <x:v>TenantCharge</x:v>
      </x:c>
      <x:c r="E637" s="20" t="str">
        <x:v>Late fee</x:v>
      </x:c>
      <x:c r="F637" s="20" t="str">
        <x:v>P021</x:v>
      </x:c>
      <x:c r="G637" s="20" t="str">
        <x:v>U022</x:v>
      </x:c>
      <x:c r="H637" s="20" t="str">
        <x:v>L022</x:v>
      </x:c>
      <x:c r="I637" s="20" t="str">
        <x:v>Sage King</x:v>
      </x:c>
      <x:c r="J637" s="35" t="str">
        <x:v>System automation</x:v>
      </x:c>
      <x:c r="K637" s="20" t="str"/>
      <x:c r="L637" s="20" t="str">
        <x:v>LATE-202708-L022</x:v>
      </x:c>
      <x:c r="M637" s="26" t="n">
        <x:v>50</x:v>
      </x:c>
      <x:c r="N637" s="26" t="n">
        <x:v>50</x:v>
      </x:c>
      <x:c r="O637" s="26" t="n">
        <x:v>0</x:v>
      </x:c>
      <x:c r="P637" s="26" t="n">
        <x:v>0</x:v>
      </x:c>
      <x:c r="Q637" s="26" t="n">
        <x:v>0</x:v>
      </x:c>
      <x:c r="R637" s="26" t="n">
        <x:v>0</x:v>
      </x:c>
      <x:c r="S637" s="26" t="n">
        <x:v>0</x:v>
      </x:c>
      <x:c r="T637" s="26" t="n">
        <x:v>50</x:v>
      </x:c>
      <x:c r="U637" s="26" t="n">
        <x:v>0</x:v>
      </x:c>
      <x:c r="V637" s="26" t="n">
        <x:v>0</x:v>
      </x:c>
      <x:c r="W637" s="26" t="n">
        <x:v>0</x:v>
      </x:c>
      <x:c r="X637" s="26" t="n">
        <x:v>0</x:v>
      </x:c>
      <x:c r="Y637" s="26" t="n">
        <x:v>0</x:v>
      </x:c>
      <x:c r="Z637" s="35" t="str">
        <x:v>Synthetic lease-authorized late fee after partial payment</x:v>
      </x:c>
    </x:row>
    <x:row r="638">
      <x:c r="A638" s="20" t="str">
        <x:v>FIN-00635</x:v>
      </x:c>
      <x:c r="B638" s="23" t="n">
        <x:v>46611</x:v>
      </x:c>
      <x:c r="C638" s="23" t="n">
        <x:v>46611</x:v>
      </x:c>
      <x:c r="D638" s="20" t="str">
        <x:v>TenantReceipt</x:v>
      </x:c>
      <x:c r="E638" s="20" t="str">
        <x:v>Rent receipt</x:v>
      </x:c>
      <x:c r="F638" s="20" t="str">
        <x:v>P021</x:v>
      </x:c>
      <x:c r="G638" s="20" t="str">
        <x:v>U022</x:v>
      </x:c>
      <x:c r="H638" s="20" t="str">
        <x:v>L022</x:v>
      </x:c>
      <x:c r="I638" s="20" t="str">
        <x:v>Sage King</x:v>
      </x:c>
      <x:c r="J638" s="35" t="str">
        <x:v>Scanned check</x:v>
      </x:c>
      <x:c r="K638" s="20" t="str">
        <x:v>SCN-0248</x:v>
      </x:c>
      <x:c r="L638" s="20" t="str">
        <x:v>PMT-20270812-L022-B</x:v>
      </x:c>
      <x:c r="M638" s="26" t="n">
        <x:v>810</x:v>
      </x:c>
      <x:c r="N638" s="26" t="n">
        <x:v>-810</x:v>
      </x:c>
      <x:c r="O638" s="26" t="n">
        <x:v>810</x:v>
      </x:c>
      <x:c r="P638" s="26" t="n">
        <x:v>0</x:v>
      </x:c>
      <x:c r="Q638" s="26" t="n">
        <x:v>0</x:v>
      </x:c>
      <x:c r="R638" s="26" t="n">
        <x:v>0</x:v>
      </x:c>
      <x:c r="S638" s="26" t="n">
        <x:v>0</x:v>
      </x:c>
      <x:c r="T638" s="26" t="n">
        <x:v>0</x:v>
      </x:c>
      <x:c r="U638" s="26" t="n">
        <x:v>0</x:v>
      </x:c>
      <x:c r="V638" s="26" t="n">
        <x:v>0</x:v>
      </x:c>
      <x:c r="W638" s="26" t="n">
        <x:v>0</x:v>
      </x:c>
      <x:c r="X638" s="26" t="n">
        <x:v>0</x:v>
      </x:c>
      <x:c r="Y638" s="26" t="n">
        <x:v>0</x:v>
      </x:c>
      <x:c r="Z638" s="35" t="str">
        <x:v>Receipt allocated to FIN-00634</x:v>
      </x:c>
    </x:row>
    <x:row r="639">
      <x:c r="A639" s="20" t="str">
        <x:v>FIN-00636</x:v>
      </x:c>
      <x:c r="B639" s="23" t="n">
        <x:v>46600</x:v>
      </x:c>
      <x:c r="C639" s="23" t="n">
        <x:v>46600</x:v>
      </x:c>
      <x:c r="D639" s="20" t="str">
        <x:v>TenantCharge</x:v>
      </x:c>
      <x:c r="E639" s="20" t="str">
        <x:v>Rent</x:v>
      </x:c>
      <x:c r="F639" s="20" t="str">
        <x:v>P022</x:v>
      </x:c>
      <x:c r="G639" s="20" t="str">
        <x:v>U023</x:v>
      </x:c>
      <x:c r="H639" s="20" t="str">
        <x:v>L023</x:v>
      </x:c>
      <x:c r="I639" s="20" t="str">
        <x:v>Val Price</x:v>
      </x:c>
      <x:c r="J639" s="35" t="str">
        <x:v>System scheduled charge</x:v>
      </x:c>
      <x:c r="K639" s="20" t="str"/>
      <x:c r="L639" s="20" t="str">
        <x:v>RENT-202708-L023</x:v>
      </x:c>
      <x:c r="M639" s="26" t="n">
        <x:v>1525</x:v>
      </x:c>
      <x:c r="N639" s="26" t="n">
        <x:v>1525</x:v>
      </x:c>
      <x:c r="O639" s="26" t="n">
        <x:v>0</x:v>
      </x:c>
      <x:c r="P639" s="26" t="n">
        <x:v>0</x:v>
      </x:c>
      <x:c r="Q639" s="26" t="n">
        <x:v>0</x:v>
      </x:c>
      <x:c r="R639" s="26" t="n">
        <x:v>0</x:v>
      </x:c>
      <x:c r="S639" s="26" t="n">
        <x:v>0</x:v>
      </x:c>
      <x:c r="T639" s="26" t="n">
        <x:v>1525</x:v>
      </x:c>
      <x:c r="U639" s="26" t="n">
        <x:v>0</x:v>
      </x:c>
      <x:c r="V639" s="26" t="n">
        <x:v>0</x:v>
      </x:c>
      <x:c r="W639" s="26" t="n">
        <x:v>0</x:v>
      </x:c>
      <x:c r="X639" s="26" t="n">
        <x:v>0</x:v>
      </x:c>
      <x:c r="Y639" s="26" t="n">
        <x:v>0</x:v>
      </x:c>
      <x:c r="Z639" s="35" t="str">
        <x:v>August 2027 rent</x:v>
      </x:c>
    </x:row>
    <x:row r="640">
      <x:c r="A640" s="20" t="str">
        <x:v>FIN-00637</x:v>
      </x:c>
      <x:c r="B640" s="23" t="n">
        <x:v>46604</x:v>
      </x:c>
      <x:c r="C640" s="23" t="n">
        <x:v>46604</x:v>
      </x:c>
      <x:c r="D640" s="20" t="str">
        <x:v>TenantReceipt</x:v>
      </x:c>
      <x:c r="E640" s="20" t="str">
        <x:v>Rent receipt</x:v>
      </x:c>
      <x:c r="F640" s="20" t="str">
        <x:v>P022</x:v>
      </x:c>
      <x:c r="G640" s="20" t="str">
        <x:v>U023</x:v>
      </x:c>
      <x:c r="H640" s="20" t="str">
        <x:v>L023</x:v>
      </x:c>
      <x:c r="I640" s="20" t="str">
        <x:v>Val Price</x:v>
      </x:c>
      <x:c r="J640" s="35" t="str">
        <x:v>Portal card</x:v>
      </x:c>
      <x:c r="K640" s="20" t="str"/>
      <x:c r="L640" s="20" t="str">
        <x:v>PMT-20270805-L023</x:v>
      </x:c>
      <x:c r="M640" s="26" t="n">
        <x:v>1525</x:v>
      </x:c>
      <x:c r="N640" s="26" t="n">
        <x:v>-1525</x:v>
      </x:c>
      <x:c r="O640" s="26" t="n">
        <x:v>1525</x:v>
      </x:c>
      <x:c r="P640" s="26" t="n">
        <x:v>0</x:v>
      </x:c>
      <x:c r="Q640" s="26" t="n">
        <x:v>0</x:v>
      </x:c>
      <x:c r="R640" s="26" t="n">
        <x:v>0</x:v>
      </x:c>
      <x:c r="S640" s="26" t="n">
        <x:v>0</x:v>
      </x:c>
      <x:c r="T640" s="26" t="n">
        <x:v>0</x:v>
      </x:c>
      <x:c r="U640" s="26" t="n">
        <x:v>0</x:v>
      </x:c>
      <x:c r="V640" s="26" t="n">
        <x:v>0</x:v>
      </x:c>
      <x:c r="W640" s="26" t="n">
        <x:v>0</x:v>
      </x:c>
      <x:c r="X640" s="26" t="n">
        <x:v>0</x:v>
      </x:c>
      <x:c r="Y640" s="26" t="n">
        <x:v>0</x:v>
      </x:c>
      <x:c r="Z640" s="35" t="str">
        <x:v>Receipt allocated to FIN-00636</x:v>
      </x:c>
    </x:row>
    <x:row r="641">
      <x:c r="A641" s="20" t="str">
        <x:v>FIN-00638</x:v>
      </x:c>
      <x:c r="B641" s="23" t="n">
        <x:v>46600</x:v>
      </x:c>
      <x:c r="C641" s="23" t="n">
        <x:v>46600</x:v>
      </x:c>
      <x:c r="D641" s="20" t="str">
        <x:v>TenantCharge</x:v>
      </x:c>
      <x:c r="E641" s="20" t="str">
        <x:v>Rent</x:v>
      </x:c>
      <x:c r="F641" s="20" t="str">
        <x:v>P022</x:v>
      </x:c>
      <x:c r="G641" s="20" t="str">
        <x:v>U024</x:v>
      </x:c>
      <x:c r="H641" s="20" t="str">
        <x:v>L024</x:v>
      </x:c>
      <x:c r="I641" s="20" t="str">
        <x:v>Yara Brooks</x:v>
      </x:c>
      <x:c r="J641" s="35" t="str">
        <x:v>System scheduled charge</x:v>
      </x:c>
      <x:c r="K641" s="20" t="str"/>
      <x:c r="L641" s="20" t="str">
        <x:v>RENT-202708-L024</x:v>
      </x:c>
      <x:c r="M641" s="26" t="n">
        <x:v>1150</x:v>
      </x:c>
      <x:c r="N641" s="26" t="n">
        <x:v>1150</x:v>
      </x:c>
      <x:c r="O641" s="26" t="n">
        <x:v>0</x:v>
      </x:c>
      <x:c r="P641" s="26" t="n">
        <x:v>0</x:v>
      </x:c>
      <x:c r="Q641" s="26" t="n">
        <x:v>0</x:v>
      </x:c>
      <x:c r="R641" s="26" t="n">
        <x:v>0</x:v>
      </x:c>
      <x:c r="S641" s="26" t="n">
        <x:v>0</x:v>
      </x:c>
      <x:c r="T641" s="26" t="n">
        <x:v>1150</x:v>
      </x:c>
      <x:c r="U641" s="26" t="n">
        <x:v>0</x:v>
      </x:c>
      <x:c r="V641" s="26" t="n">
        <x:v>0</x:v>
      </x:c>
      <x:c r="W641" s="26" t="n">
        <x:v>0</x:v>
      </x:c>
      <x:c r="X641" s="26" t="n">
        <x:v>0</x:v>
      </x:c>
      <x:c r="Y641" s="26" t="n">
        <x:v>0</x:v>
      </x:c>
      <x:c r="Z641" s="35" t="str">
        <x:v>August 2027 rent</x:v>
      </x:c>
    </x:row>
    <x:row r="642">
      <x:c r="A642" s="20" t="str">
        <x:v>FIN-00639</x:v>
      </x:c>
      <x:c r="B642" s="23" t="n">
        <x:v>46602</x:v>
      </x:c>
      <x:c r="C642" s="23" t="n">
        <x:v>46602</x:v>
      </x:c>
      <x:c r="D642" s="20" t="str">
        <x:v>TenantReceipt</x:v>
      </x:c>
      <x:c r="E642" s="20" t="str">
        <x:v>Rent receipt</x:v>
      </x:c>
      <x:c r="F642" s="20" t="str">
        <x:v>P022</x:v>
      </x:c>
      <x:c r="G642" s="20" t="str">
        <x:v>U024</x:v>
      </x:c>
      <x:c r="H642" s="20" t="str">
        <x:v>L024</x:v>
      </x:c>
      <x:c r="I642" s="20" t="str">
        <x:v>Yara Brooks</x:v>
      </x:c>
      <x:c r="J642" s="35" t="str">
        <x:v>Scanned check</x:v>
      </x:c>
      <x:c r="K642" s="20" t="str">
        <x:v>SCN-0249</x:v>
      </x:c>
      <x:c r="L642" s="20" t="str">
        <x:v>PMT-20270803-L024</x:v>
      </x:c>
      <x:c r="M642" s="26" t="n">
        <x:v>1150</x:v>
      </x:c>
      <x:c r="N642" s="26" t="n">
        <x:v>-1150</x:v>
      </x:c>
      <x:c r="O642" s="26" t="n">
        <x:v>1150</x:v>
      </x:c>
      <x:c r="P642" s="26" t="n">
        <x:v>0</x:v>
      </x:c>
      <x:c r="Q642" s="26" t="n">
        <x:v>0</x:v>
      </x:c>
      <x:c r="R642" s="26" t="n">
        <x:v>0</x:v>
      </x:c>
      <x:c r="S642" s="26" t="n">
        <x:v>0</x:v>
      </x:c>
      <x:c r="T642" s="26" t="n">
        <x:v>0</x:v>
      </x:c>
      <x:c r="U642" s="26" t="n">
        <x:v>0</x:v>
      </x:c>
      <x:c r="V642" s="26" t="n">
        <x:v>0</x:v>
      </x:c>
      <x:c r="W642" s="26" t="n">
        <x:v>0</x:v>
      </x:c>
      <x:c r="X642" s="26" t="n">
        <x:v>0</x:v>
      </x:c>
      <x:c r="Y642" s="26" t="n">
        <x:v>0</x:v>
      </x:c>
      <x:c r="Z642" s="35" t="str">
        <x:v>Receipt allocated to FIN-00638</x:v>
      </x:c>
    </x:row>
    <x:row r="643">
      <x:c r="A643" s="20" t="str">
        <x:v>FIN-00640</x:v>
      </x:c>
      <x:c r="B643" s="23" t="n">
        <x:v>46600</x:v>
      </x:c>
      <x:c r="C643" s="23" t="n">
        <x:v>46600</x:v>
      </x:c>
      <x:c r="D643" s="20" t="str">
        <x:v>TenantCharge</x:v>
      </x:c>
      <x:c r="E643" s="20" t="str">
        <x:v>Rent</x:v>
      </x:c>
      <x:c r="F643" s="20" t="str">
        <x:v>P023</x:v>
      </x:c>
      <x:c r="G643" s="20" t="str">
        <x:v>U025</x:v>
      </x:c>
      <x:c r="H643" s="20" t="str">
        <x:v>L025</x:v>
      </x:c>
      <x:c r="I643" s="20" t="str">
        <x:v>Bennett Garcia</x:v>
      </x:c>
      <x:c r="J643" s="35" t="str">
        <x:v>System scheduled charge</x:v>
      </x:c>
      <x:c r="K643" s="20" t="str"/>
      <x:c r="L643" s="20" t="str">
        <x:v>RENT-202708-L025</x:v>
      </x:c>
      <x:c r="M643" s="26" t="n">
        <x:v>1675</x:v>
      </x:c>
      <x:c r="N643" s="26" t="n">
        <x:v>1675</x:v>
      </x:c>
      <x:c r="O643" s="26" t="n">
        <x:v>0</x:v>
      </x:c>
      <x:c r="P643" s="26" t="n">
        <x:v>0</x:v>
      </x:c>
      <x:c r="Q643" s="26" t="n">
        <x:v>0</x:v>
      </x:c>
      <x:c r="R643" s="26" t="n">
        <x:v>0</x:v>
      </x:c>
      <x:c r="S643" s="26" t="n">
        <x:v>0</x:v>
      </x:c>
      <x:c r="T643" s="26" t="n">
        <x:v>1675</x:v>
      </x:c>
      <x:c r="U643" s="26" t="n">
        <x:v>0</x:v>
      </x:c>
      <x:c r="V643" s="26" t="n">
        <x:v>0</x:v>
      </x:c>
      <x:c r="W643" s="26" t="n">
        <x:v>0</x:v>
      </x:c>
      <x:c r="X643" s="26" t="n">
        <x:v>0</x:v>
      </x:c>
      <x:c r="Y643" s="26" t="n">
        <x:v>0</x:v>
      </x:c>
      <x:c r="Z643" s="35" t="str">
        <x:v>August 2027 rent</x:v>
      </x:c>
    </x:row>
    <x:row r="644">
      <x:c r="A644" s="20" t="str">
        <x:v>FIN-00641</x:v>
      </x:c>
      <x:c r="B644" s="23" t="n">
        <x:v>46603</x:v>
      </x:c>
      <x:c r="C644" s="23" t="n">
        <x:v>46603</x:v>
      </x:c>
      <x:c r="D644" s="20" t="str">
        <x:v>TenantReceipt</x:v>
      </x:c>
      <x:c r="E644" s="20" t="str">
        <x:v>Rent receipt</x:v>
      </x:c>
      <x:c r="F644" s="20" t="str">
        <x:v>P023</x:v>
      </x:c>
      <x:c r="G644" s="20" t="str">
        <x:v>U025</x:v>
      </x:c>
      <x:c r="H644" s="20" t="str">
        <x:v>L025</x:v>
      </x:c>
      <x:c r="I644" s="20" t="str">
        <x:v>Bennett Garcia</x:v>
      </x:c>
      <x:c r="J644" s="35" t="str">
        <x:v>Scanned money order</x:v>
      </x:c>
      <x:c r="K644" s="20" t="str">
        <x:v>SCN-0250</x:v>
      </x:c>
      <x:c r="L644" s="20" t="str">
        <x:v>PMT-20270804-L025</x:v>
      </x:c>
      <x:c r="M644" s="26" t="n">
        <x:v>1675</x:v>
      </x:c>
      <x:c r="N644" s="26" t="n">
        <x:v>-1675</x:v>
      </x:c>
      <x:c r="O644" s="26" t="n">
        <x:v>1675</x:v>
      </x:c>
      <x:c r="P644" s="26" t="n">
        <x:v>0</x:v>
      </x:c>
      <x:c r="Q644" s="26" t="n">
        <x:v>0</x:v>
      </x:c>
      <x:c r="R644" s="26" t="n">
        <x:v>0</x:v>
      </x:c>
      <x:c r="S644" s="26" t="n">
        <x:v>0</x:v>
      </x:c>
      <x:c r="T644" s="26" t="n">
        <x:v>0</x:v>
      </x:c>
      <x:c r="U644" s="26" t="n">
        <x:v>0</x:v>
      </x:c>
      <x:c r="V644" s="26" t="n">
        <x:v>0</x:v>
      </x:c>
      <x:c r="W644" s="26" t="n">
        <x:v>0</x:v>
      </x:c>
      <x:c r="X644" s="26" t="n">
        <x:v>0</x:v>
      </x:c>
      <x:c r="Y644" s="26" t="n">
        <x:v>0</x:v>
      </x:c>
      <x:c r="Z644" s="35" t="str">
        <x:v>Receipt allocated to FIN-00640</x:v>
      </x:c>
    </x:row>
    <x:row r="645">
      <x:c r="A645" s="20" t="str">
        <x:v>FIN-00642</x:v>
      </x:c>
      <x:c r="B645" s="23" t="n">
        <x:v>46600</x:v>
      </x:c>
      <x:c r="C645" s="23" t="n">
        <x:v>46600</x:v>
      </x:c>
      <x:c r="D645" s="20" t="str">
        <x:v>TenantCharge</x:v>
      </x:c>
      <x:c r="E645" s="20" t="str">
        <x:v>Rent</x:v>
      </x:c>
      <x:c r="F645" s="20" t="str">
        <x:v>P023</x:v>
      </x:c>
      <x:c r="G645" s="20" t="str">
        <x:v>U026</x:v>
      </x:c>
      <x:c r="H645" s="20" t="str">
        <x:v>L026</x:v>
      </x:c>
      <x:c r="I645" s="20" t="str">
        <x:v>Elena Lewis</x:v>
      </x:c>
      <x:c r="J645" s="35" t="str">
        <x:v>System scheduled charge</x:v>
      </x:c>
      <x:c r="K645" s="20" t="str"/>
      <x:c r="L645" s="20" t="str">
        <x:v>RENT-202708-L026</x:v>
      </x:c>
      <x:c r="M645" s="26" t="n">
        <x:v>1300</x:v>
      </x:c>
      <x:c r="N645" s="26" t="n">
        <x:v>1300</x:v>
      </x:c>
      <x:c r="O645" s="26" t="n">
        <x:v>0</x:v>
      </x:c>
      <x:c r="P645" s="26" t="n">
        <x:v>0</x:v>
      </x:c>
      <x:c r="Q645" s="26" t="n">
        <x:v>0</x:v>
      </x:c>
      <x:c r="R645" s="26" t="n">
        <x:v>0</x:v>
      </x:c>
      <x:c r="S645" s="26" t="n">
        <x:v>0</x:v>
      </x:c>
      <x:c r="T645" s="26" t="n">
        <x:v>1300</x:v>
      </x:c>
      <x:c r="U645" s="26" t="n">
        <x:v>0</x:v>
      </x:c>
      <x:c r="V645" s="26" t="n">
        <x:v>0</x:v>
      </x:c>
      <x:c r="W645" s="26" t="n">
        <x:v>0</x:v>
      </x:c>
      <x:c r="X645" s="26" t="n">
        <x:v>0</x:v>
      </x:c>
      <x:c r="Y645" s="26" t="n">
        <x:v>0</x:v>
      </x:c>
      <x:c r="Z645" s="35" t="str">
        <x:v>August 2027 rent</x:v>
      </x:c>
    </x:row>
    <x:row r="646">
      <x:c r="A646" s="20" t="str">
        <x:v>FIN-00643</x:v>
      </x:c>
      <x:c r="B646" s="23" t="n">
        <x:v>46605</x:v>
      </x:c>
      <x:c r="C646" s="23" t="n">
        <x:v>46605</x:v>
      </x:c>
      <x:c r="D646" s="20" t="str">
        <x:v>TenantCharge</x:v>
      </x:c>
      <x:c r="E646" s="20" t="str">
        <x:v>Late fee</x:v>
      </x:c>
      <x:c r="F646" s="20" t="str">
        <x:v>P023</x:v>
      </x:c>
      <x:c r="G646" s="20" t="str">
        <x:v>U026</x:v>
      </x:c>
      <x:c r="H646" s="20" t="str">
        <x:v>L026</x:v>
      </x:c>
      <x:c r="I646" s="20" t="str">
        <x:v>Elena Lewis</x:v>
      </x:c>
      <x:c r="J646" s="35" t="str">
        <x:v>System automation</x:v>
      </x:c>
      <x:c r="K646" s="20" t="str"/>
      <x:c r="L646" s="20" t="str">
        <x:v>LATE-202708-L026</x:v>
      </x:c>
      <x:c r="M646" s="26" t="n">
        <x:v>50</x:v>
      </x:c>
      <x:c r="N646" s="26" t="n">
        <x:v>50</x:v>
      </x:c>
      <x:c r="O646" s="26" t="n">
        <x:v>0</x:v>
      </x:c>
      <x:c r="P646" s="26" t="n">
        <x:v>0</x:v>
      </x:c>
      <x:c r="Q646" s="26" t="n">
        <x:v>0</x:v>
      </x:c>
      <x:c r="R646" s="26" t="n">
        <x:v>0</x:v>
      </x:c>
      <x:c r="S646" s="26" t="n">
        <x:v>0</x:v>
      </x:c>
      <x:c r="T646" s="26" t="n">
        <x:v>50</x:v>
      </x:c>
      <x:c r="U646" s="26" t="n">
        <x:v>0</x:v>
      </x:c>
      <x:c r="V646" s="26" t="n">
        <x:v>0</x:v>
      </x:c>
      <x:c r="W646" s="26" t="n">
        <x:v>0</x:v>
      </x:c>
      <x:c r="X646" s="26" t="n">
        <x:v>0</x:v>
      </x:c>
      <x:c r="Y646" s="26" t="n">
        <x:v>0</x:v>
      </x:c>
      <x:c r="Z646" s="35" t="str">
        <x:v>Synthetic lease-authorized late fee</x:v>
      </x:c>
    </x:row>
    <x:row r="647">
      <x:c r="A647" s="20" t="str">
        <x:v>FIN-00644</x:v>
      </x:c>
      <x:c r="B647" s="23" t="n">
        <x:v>46607</x:v>
      </x:c>
      <x:c r="C647" s="23" t="n">
        <x:v>46607</x:v>
      </x:c>
      <x:c r="D647" s="20" t="str">
        <x:v>TenantReceipt</x:v>
      </x:c>
      <x:c r="E647" s="20" t="str">
        <x:v>Rent receipt</x:v>
      </x:c>
      <x:c r="F647" s="20" t="str">
        <x:v>P023</x:v>
      </x:c>
      <x:c r="G647" s="20" t="str">
        <x:v>U026</x:v>
      </x:c>
      <x:c r="H647" s="20" t="str">
        <x:v>L026</x:v>
      </x:c>
      <x:c r="I647" s="20" t="str">
        <x:v>Elena Lewis</x:v>
      </x:c>
      <x:c r="J647" s="35" t="str">
        <x:v>Scanned money order</x:v>
      </x:c>
      <x:c r="K647" s="20" t="str">
        <x:v>SCN-0251</x:v>
      </x:c>
      <x:c r="L647" s="20" t="str">
        <x:v>PMT-20270808-L026</x:v>
      </x:c>
      <x:c r="M647" s="26" t="n">
        <x:v>1350</x:v>
      </x:c>
      <x:c r="N647" s="26" t="n">
        <x:v>-1350</x:v>
      </x:c>
      <x:c r="O647" s="26" t="n">
        <x:v>1350</x:v>
      </x:c>
      <x:c r="P647" s="26" t="n">
        <x:v>0</x:v>
      </x:c>
      <x:c r="Q647" s="26" t="n">
        <x:v>0</x:v>
      </x:c>
      <x:c r="R647" s="26" t="n">
        <x:v>0</x:v>
      </x:c>
      <x:c r="S647" s="26" t="n">
        <x:v>0</x:v>
      </x:c>
      <x:c r="T647" s="26" t="n">
        <x:v>0</x:v>
      </x:c>
      <x:c r="U647" s="26" t="n">
        <x:v>0</x:v>
      </x:c>
      <x:c r="V647" s="26" t="n">
        <x:v>0</x:v>
      </x:c>
      <x:c r="W647" s="26" t="n">
        <x:v>0</x:v>
      </x:c>
      <x:c r="X647" s="26" t="n">
        <x:v>0</x:v>
      </x:c>
      <x:c r="Y647" s="26" t="n">
        <x:v>0</x:v>
      </x:c>
      <x:c r="Z647" s="35" t="str">
        <x:v>Receipt allocated to FIN-00643</x:v>
      </x:c>
    </x:row>
    <x:row r="648">
      <x:c r="A648" s="20" t="str">
        <x:v>FIN-00645</x:v>
      </x:c>
      <x:c r="B648" s="23" t="n">
        <x:v>46600</x:v>
      </x:c>
      <x:c r="C648" s="23" t="n">
        <x:v>46600</x:v>
      </x:c>
      <x:c r="D648" s="20" t="str">
        <x:v>TenantCharge</x:v>
      </x:c>
      <x:c r="E648" s="20" t="str">
        <x:v>Rent</x:v>
      </x:c>
      <x:c r="F648" s="20" t="str">
        <x:v>P024</x:v>
      </x:c>
      <x:c r="G648" s="20" t="str">
        <x:v>U027</x:v>
      </x:c>
      <x:c r="H648" s="20" t="str">
        <x:v>L027</x:v>
      </x:c>
      <x:c r="I648" s="20" t="str">
        <x:v>Hector Reed</x:v>
      </x:c>
      <x:c r="J648" s="35" t="str">
        <x:v>System scheduled charge</x:v>
      </x:c>
      <x:c r="K648" s="20" t="str"/>
      <x:c r="L648" s="20" t="str">
        <x:v>RENT-202708-L027</x:v>
      </x:c>
      <x:c r="M648" s="26" t="n">
        <x:v>1825</x:v>
      </x:c>
      <x:c r="N648" s="26" t="n">
        <x:v>1825</x:v>
      </x:c>
      <x:c r="O648" s="26" t="n">
        <x:v>0</x:v>
      </x:c>
      <x:c r="P648" s="26" t="n">
        <x:v>0</x:v>
      </x:c>
      <x:c r="Q648" s="26" t="n">
        <x:v>0</x:v>
      </x:c>
      <x:c r="R648" s="26" t="n">
        <x:v>0</x:v>
      </x:c>
      <x:c r="S648" s="26" t="n">
        <x:v>0</x:v>
      </x:c>
      <x:c r="T648" s="26" t="n">
        <x:v>1825</x:v>
      </x:c>
      <x:c r="U648" s="26" t="n">
        <x:v>0</x:v>
      </x:c>
      <x:c r="V648" s="26" t="n">
        <x:v>0</x:v>
      </x:c>
      <x:c r="W648" s="26" t="n">
        <x:v>0</x:v>
      </x:c>
      <x:c r="X648" s="26" t="n">
        <x:v>0</x:v>
      </x:c>
      <x:c r="Y648" s="26" t="n">
        <x:v>0</x:v>
      </x:c>
      <x:c r="Z648" s="35" t="str">
        <x:v>August 2027 rent</x:v>
      </x:c>
    </x:row>
    <x:row r="649">
      <x:c r="A649" s="20" t="str">
        <x:v>FIN-00646</x:v>
      </x:c>
      <x:c r="B649" s="23" t="n">
        <x:v>46602</x:v>
      </x:c>
      <x:c r="C649" s="23" t="n">
        <x:v>46602</x:v>
      </x:c>
      <x:c r="D649" s="20" t="str">
        <x:v>TenantReceipt</x:v>
      </x:c>
      <x:c r="E649" s="20" t="str">
        <x:v>Rent receipt</x:v>
      </x:c>
      <x:c r="F649" s="20" t="str">
        <x:v>P024</x:v>
      </x:c>
      <x:c r="G649" s="20" t="str">
        <x:v>U027</x:v>
      </x:c>
      <x:c r="H649" s="20" t="str">
        <x:v>L027</x:v>
      </x:c>
      <x:c r="I649" s="20" t="str">
        <x:v>Hector Reed</x:v>
      </x:c>
      <x:c r="J649" s="35" t="str">
        <x:v>Portal card</x:v>
      </x:c>
      <x:c r="K649" s="20" t="str"/>
      <x:c r="L649" s="20" t="str">
        <x:v>PMT-20270803-L027</x:v>
      </x:c>
      <x:c r="M649" s="26" t="n">
        <x:v>1825</x:v>
      </x:c>
      <x:c r="N649" s="26" t="n">
        <x:v>-1825</x:v>
      </x:c>
      <x:c r="O649" s="26" t="n">
        <x:v>1825</x:v>
      </x:c>
      <x:c r="P649" s="26" t="n">
        <x:v>0</x:v>
      </x:c>
      <x:c r="Q649" s="26" t="n">
        <x:v>0</x:v>
      </x:c>
      <x:c r="R649" s="26" t="n">
        <x:v>0</x:v>
      </x:c>
      <x:c r="S649" s="26" t="n">
        <x:v>0</x:v>
      </x:c>
      <x:c r="T649" s="26" t="n">
        <x:v>0</x:v>
      </x:c>
      <x:c r="U649" s="26" t="n">
        <x:v>0</x:v>
      </x:c>
      <x:c r="V649" s="26" t="n">
        <x:v>0</x:v>
      </x:c>
      <x:c r="W649" s="26" t="n">
        <x:v>0</x:v>
      </x:c>
      <x:c r="X649" s="26" t="n">
        <x:v>0</x:v>
      </x:c>
      <x:c r="Y649" s="26" t="n">
        <x:v>0</x:v>
      </x:c>
      <x:c r="Z649" s="35" t="str">
        <x:v>Receipt allocated to FIN-00645</x:v>
      </x:c>
    </x:row>
    <x:row r="650">
      <x:c r="A650" s="20" t="str">
        <x:v>FIN-00647</x:v>
      </x:c>
      <x:c r="B650" s="23" t="n">
        <x:v>46600</x:v>
      </x:c>
      <x:c r="C650" s="23" t="n">
        <x:v>46600</x:v>
      </x:c>
      <x:c r="D650" s="20" t="str">
        <x:v>TenantCharge</x:v>
      </x:c>
      <x:c r="E650" s="20" t="str">
        <x:v>Rent</x:v>
      </x:c>
      <x:c r="F650" s="20" t="str">
        <x:v>P024</x:v>
      </x:c>
      <x:c r="G650" s="20" t="str">
        <x:v>U028</x:v>
      </x:c>
      <x:c r="H650" s="20" t="str">
        <x:v>L028</x:v>
      </x:c>
      <x:c r="I650" s="20" t="str">
        <x:v>Keira Adams</x:v>
      </x:c>
      <x:c r="J650" s="35" t="str">
        <x:v>System scheduled charge</x:v>
      </x:c>
      <x:c r="K650" s="20" t="str"/>
      <x:c r="L650" s="20" t="str">
        <x:v>RENT-202708-L028</x:v>
      </x:c>
      <x:c r="M650" s="26" t="n">
        <x:v>1450</x:v>
      </x:c>
      <x:c r="N650" s="26" t="n">
        <x:v>1450</x:v>
      </x:c>
      <x:c r="O650" s="26" t="n">
        <x:v>0</x:v>
      </x:c>
      <x:c r="P650" s="26" t="n">
        <x:v>0</x:v>
      </x:c>
      <x:c r="Q650" s="26" t="n">
        <x:v>0</x:v>
      </x:c>
      <x:c r="R650" s="26" t="n">
        <x:v>0</x:v>
      </x:c>
      <x:c r="S650" s="26" t="n">
        <x:v>0</x:v>
      </x:c>
      <x:c r="T650" s="26" t="n">
        <x:v>1450</x:v>
      </x:c>
      <x:c r="U650" s="26" t="n">
        <x:v>0</x:v>
      </x:c>
      <x:c r="V650" s="26" t="n">
        <x:v>0</x:v>
      </x:c>
      <x:c r="W650" s="26" t="n">
        <x:v>0</x:v>
      </x:c>
      <x:c r="X650" s="26" t="n">
        <x:v>0</x:v>
      </x:c>
      <x:c r="Y650" s="26" t="n">
        <x:v>0</x:v>
      </x:c>
      <x:c r="Z650" s="35" t="str">
        <x:v>August 2027 rent</x:v>
      </x:c>
    </x:row>
    <x:row r="651">
      <x:c r="A651" s="20" t="str">
        <x:v>FIN-00648</x:v>
      </x:c>
      <x:c r="B651" s="23" t="n">
        <x:v>46603</x:v>
      </x:c>
      <x:c r="C651" s="23" t="n">
        <x:v>46603</x:v>
      </x:c>
      <x:c r="D651" s="20" t="str">
        <x:v>TenantReceipt</x:v>
      </x:c>
      <x:c r="E651" s="20" t="str">
        <x:v>Rent receipt</x:v>
      </x:c>
      <x:c r="F651" s="20" t="str">
        <x:v>P024</x:v>
      </x:c>
      <x:c r="G651" s="20" t="str">
        <x:v>U028</x:v>
      </x:c>
      <x:c r="H651" s="20" t="str">
        <x:v>L028</x:v>
      </x:c>
      <x:c r="I651" s="20" t="str">
        <x:v>Keira Adams</x:v>
      </x:c>
      <x:c r="J651" s="35" t="str">
        <x:v>Scanned check</x:v>
      </x:c>
      <x:c r="K651" s="20" t="str">
        <x:v>SCN-0252</x:v>
      </x:c>
      <x:c r="L651" s="20" t="str">
        <x:v>PMT-20270804-L028</x:v>
      </x:c>
      <x:c r="M651" s="26" t="n">
        <x:v>1450</x:v>
      </x:c>
      <x:c r="N651" s="26" t="n">
        <x:v>-1450</x:v>
      </x:c>
      <x:c r="O651" s="26" t="n">
        <x:v>1450</x:v>
      </x:c>
      <x:c r="P651" s="26" t="n">
        <x:v>0</x:v>
      </x:c>
      <x:c r="Q651" s="26" t="n">
        <x:v>0</x:v>
      </x:c>
      <x:c r="R651" s="26" t="n">
        <x:v>0</x:v>
      </x:c>
      <x:c r="S651" s="26" t="n">
        <x:v>0</x:v>
      </x:c>
      <x:c r="T651" s="26" t="n">
        <x:v>0</x:v>
      </x:c>
      <x:c r="U651" s="26" t="n">
        <x:v>0</x:v>
      </x:c>
      <x:c r="V651" s="26" t="n">
        <x:v>0</x:v>
      </x:c>
      <x:c r="W651" s="26" t="n">
        <x:v>0</x:v>
      </x:c>
      <x:c r="X651" s="26" t="n">
        <x:v>0</x:v>
      </x:c>
      <x:c r="Y651" s="26" t="n">
        <x:v>0</x:v>
      </x:c>
      <x:c r="Z651" s="35" t="str">
        <x:v>Receipt allocated to FIN-00647</x:v>
      </x:c>
    </x:row>
    <x:row r="652">
      <x:c r="A652" s="20" t="str">
        <x:v>FIN-00649</x:v>
      </x:c>
      <x:c r="B652" s="23" t="n">
        <x:v>46600</x:v>
      </x:c>
      <x:c r="C652" s="23" t="n">
        <x:v>46600</x:v>
      </x:c>
      <x:c r="D652" s="20" t="str">
        <x:v>TenantCharge</x:v>
      </x:c>
      <x:c r="E652" s="20" t="str">
        <x:v>Rent</x:v>
      </x:c>
      <x:c r="F652" s="20" t="str">
        <x:v>P025</x:v>
      </x:c>
      <x:c r="G652" s="20" t="str">
        <x:v>U029</x:v>
      </x:c>
      <x:c r="H652" s="20" t="str">
        <x:v>L029</x:v>
      </x:c>
      <x:c r="I652" s="20" t="str">
        <x:v>Nolan Flores</x:v>
      </x:c>
      <x:c r="J652" s="35" t="str">
        <x:v>System scheduled charge</x:v>
      </x:c>
      <x:c r="K652" s="20" t="str"/>
      <x:c r="L652" s="20" t="str">
        <x:v>RENT-202708-L029</x:v>
      </x:c>
      <x:c r="M652" s="26" t="n">
        <x:v>1975</x:v>
      </x:c>
      <x:c r="N652" s="26" t="n">
        <x:v>1975</x:v>
      </x:c>
      <x:c r="O652" s="26" t="n">
        <x:v>0</x:v>
      </x:c>
      <x:c r="P652" s="26" t="n">
        <x:v>0</x:v>
      </x:c>
      <x:c r="Q652" s="26" t="n">
        <x:v>0</x:v>
      </x:c>
      <x:c r="R652" s="26" t="n">
        <x:v>0</x:v>
      </x:c>
      <x:c r="S652" s="26" t="n">
        <x:v>0</x:v>
      </x:c>
      <x:c r="T652" s="26" t="n">
        <x:v>1975</x:v>
      </x:c>
      <x:c r="U652" s="26" t="n">
        <x:v>0</x:v>
      </x:c>
      <x:c r="V652" s="26" t="n">
        <x:v>0</x:v>
      </x:c>
      <x:c r="W652" s="26" t="n">
        <x:v>0</x:v>
      </x:c>
      <x:c r="X652" s="26" t="n">
        <x:v>0</x:v>
      </x:c>
      <x:c r="Y652" s="26" t="n">
        <x:v>0</x:v>
      </x:c>
      <x:c r="Z652" s="35" t="str">
        <x:v>August 2027 rent</x:v>
      </x:c>
    </x:row>
    <x:row r="653">
      <x:c r="A653" s="20" t="str">
        <x:v>FIN-00650</x:v>
      </x:c>
      <x:c r="B653" s="23" t="n">
        <x:v>46604</x:v>
      </x:c>
      <x:c r="C653" s="23" t="n">
        <x:v>46604</x:v>
      </x:c>
      <x:c r="D653" s="20" t="str">
        <x:v>TenantReceipt</x:v>
      </x:c>
      <x:c r="E653" s="20" t="str">
        <x:v>Rent receipt</x:v>
      </x:c>
      <x:c r="F653" s="20" t="str">
        <x:v>P025</x:v>
      </x:c>
      <x:c r="G653" s="20" t="str">
        <x:v>U029</x:v>
      </x:c>
      <x:c r="H653" s="20" t="str">
        <x:v>L029</x:v>
      </x:c>
      <x:c r="I653" s="20" t="str">
        <x:v>Nolan Flores</x:v>
      </x:c>
      <x:c r="J653" s="35" t="str">
        <x:v>Scanned money order</x:v>
      </x:c>
      <x:c r="K653" s="20" t="str">
        <x:v>SCN-0253</x:v>
      </x:c>
      <x:c r="L653" s="20" t="str">
        <x:v>PMT-20270805-L029</x:v>
      </x:c>
      <x:c r="M653" s="26" t="n">
        <x:v>1975</x:v>
      </x:c>
      <x:c r="N653" s="26" t="n">
        <x:v>-1975</x:v>
      </x:c>
      <x:c r="O653" s="26" t="n">
        <x:v>1975</x:v>
      </x:c>
      <x:c r="P653" s="26" t="n">
        <x:v>0</x:v>
      </x:c>
      <x:c r="Q653" s="26" t="n">
        <x:v>0</x:v>
      </x:c>
      <x:c r="R653" s="26" t="n">
        <x:v>0</x:v>
      </x:c>
      <x:c r="S653" s="26" t="n">
        <x:v>0</x:v>
      </x:c>
      <x:c r="T653" s="26" t="n">
        <x:v>0</x:v>
      </x:c>
      <x:c r="U653" s="26" t="n">
        <x:v>0</x:v>
      </x:c>
      <x:c r="V653" s="26" t="n">
        <x:v>0</x:v>
      </x:c>
      <x:c r="W653" s="26" t="n">
        <x:v>0</x:v>
      </x:c>
      <x:c r="X653" s="26" t="n">
        <x:v>0</x:v>
      </x:c>
      <x:c r="Y653" s="26" t="n">
        <x:v>0</x:v>
      </x:c>
      <x:c r="Z653" s="35" t="str">
        <x:v>Receipt allocated to FIN-00649</x:v>
      </x:c>
    </x:row>
    <x:row r="654">
      <x:c r="A654" s="20" t="str">
        <x:v>FIN-00651</x:v>
      </x:c>
      <x:c r="B654" s="23" t="n">
        <x:v>46600</x:v>
      </x:c>
      <x:c r="C654" s="23" t="n">
        <x:v>46600</x:v>
      </x:c>
      <x:c r="D654" s="20" t="str">
        <x:v>TenantCharge</x:v>
      </x:c>
      <x:c r="E654" s="20" t="str">
        <x:v>Rent</x:v>
      </x:c>
      <x:c r="F654" s="20" t="str">
        <x:v>P025</x:v>
      </x:c>
      <x:c r="G654" s="20" t="str">
        <x:v>U030</x:v>
      </x:c>
      <x:c r="H654" s="20" t="str">
        <x:v>L030</x:v>
      </x:c>
      <x:c r="I654" s="20" t="str">
        <x:v>Rina King</x:v>
      </x:c>
      <x:c r="J654" s="35" t="str">
        <x:v>System scheduled charge</x:v>
      </x:c>
      <x:c r="K654" s="20" t="str"/>
      <x:c r="L654" s="20" t="str">
        <x:v>RENT-202708-L030</x:v>
      </x:c>
      <x:c r="M654" s="26" t="n">
        <x:v>1600</x:v>
      </x:c>
      <x:c r="N654" s="26" t="n">
        <x:v>1600</x:v>
      </x:c>
      <x:c r="O654" s="26" t="n">
        <x:v>0</x:v>
      </x:c>
      <x:c r="P654" s="26" t="n">
        <x:v>0</x:v>
      </x:c>
      <x:c r="Q654" s="26" t="n">
        <x:v>0</x:v>
      </x:c>
      <x:c r="R654" s="26" t="n">
        <x:v>0</x:v>
      </x:c>
      <x:c r="S654" s="26" t="n">
        <x:v>0</x:v>
      </x:c>
      <x:c r="T654" s="26" t="n">
        <x:v>1600</x:v>
      </x:c>
      <x:c r="U654" s="26" t="n">
        <x:v>0</x:v>
      </x:c>
      <x:c r="V654" s="26" t="n">
        <x:v>0</x:v>
      </x:c>
      <x:c r="W654" s="26" t="n">
        <x:v>0</x:v>
      </x:c>
      <x:c r="X654" s="26" t="n">
        <x:v>0</x:v>
      </x:c>
      <x:c r="Y654" s="26" t="n">
        <x:v>0</x:v>
      </x:c>
      <x:c r="Z654" s="35" t="str">
        <x:v>August 2027 rent</x:v>
      </x:c>
    </x:row>
    <x:row r="655">
      <x:c r="A655" s="20" t="str">
        <x:v>FIN-00652</x:v>
      </x:c>
      <x:c r="B655" s="23" t="n">
        <x:v>46602</x:v>
      </x:c>
      <x:c r="C655" s="23" t="n">
        <x:v>46602</x:v>
      </x:c>
      <x:c r="D655" s="20" t="str">
        <x:v>TenantReceipt</x:v>
      </x:c>
      <x:c r="E655" s="20" t="str">
        <x:v>Rent receipt</x:v>
      </x:c>
      <x:c r="F655" s="20" t="str">
        <x:v>P025</x:v>
      </x:c>
      <x:c r="G655" s="20" t="str">
        <x:v>U030</x:v>
      </x:c>
      <x:c r="H655" s="20" t="str">
        <x:v>L030</x:v>
      </x:c>
      <x:c r="I655" s="20" t="str">
        <x:v>Rina King</x:v>
      </x:c>
      <x:c r="J655" s="35" t="str">
        <x:v>Manual ACH</x:v>
      </x:c>
      <x:c r="K655" s="20" t="str"/>
      <x:c r="L655" s="20" t="str">
        <x:v>PMT-20270803-L030</x:v>
      </x:c>
      <x:c r="M655" s="26" t="n">
        <x:v>1600</x:v>
      </x:c>
      <x:c r="N655" s="26" t="n">
        <x:v>-1600</x:v>
      </x:c>
      <x:c r="O655" s="26" t="n">
        <x:v>1600</x:v>
      </x:c>
      <x:c r="P655" s="26" t="n">
        <x:v>0</x:v>
      </x:c>
      <x:c r="Q655" s="26" t="n">
        <x:v>0</x:v>
      </x:c>
      <x:c r="R655" s="26" t="n">
        <x:v>0</x:v>
      </x:c>
      <x:c r="S655" s="26" t="n">
        <x:v>0</x:v>
      </x:c>
      <x:c r="T655" s="26" t="n">
        <x:v>0</x:v>
      </x:c>
      <x:c r="U655" s="26" t="n">
        <x:v>0</x:v>
      </x:c>
      <x:c r="V655" s="26" t="n">
        <x:v>0</x:v>
      </x:c>
      <x:c r="W655" s="26" t="n">
        <x:v>0</x:v>
      </x:c>
      <x:c r="X655" s="26" t="n">
        <x:v>0</x:v>
      </x:c>
      <x:c r="Y655" s="26" t="n">
        <x:v>0</x:v>
      </x:c>
      <x:c r="Z655" s="35" t="str">
        <x:v>Receipt allocated to FIN-00651</x:v>
      </x:c>
    </x:row>
    <x:row r="656">
      <x:c r="A656" s="20" t="str">
        <x:v>FIN-00653</x:v>
      </x:c>
      <x:c r="B656" s="23" t="n">
        <x:v>46600</x:v>
      </x:c>
      <x:c r="C656" s="23" t="n">
        <x:v>46600</x:v>
      </x:c>
      <x:c r="D656" s="20" t="str">
        <x:v>TenantCharge</x:v>
      </x:c>
      <x:c r="E656" s="20" t="str">
        <x:v>Rent</x:v>
      </x:c>
      <x:c r="F656" s="20" t="str">
        <x:v>P026</x:v>
      </x:c>
      <x:c r="G656" s="20" t="str">
        <x:v>U031</x:v>
      </x:c>
      <x:c r="H656" s="20" t="str">
        <x:v>L031</x:v>
      </x:c>
      <x:c r="I656" s="20" t="str">
        <x:v>Uri Price</x:v>
      </x:c>
      <x:c r="J656" s="35" t="str">
        <x:v>System scheduled charge</x:v>
      </x:c>
      <x:c r="K656" s="20" t="str"/>
      <x:c r="L656" s="20" t="str">
        <x:v>RENT-202708-L031</x:v>
      </x:c>
      <x:c r="M656" s="26" t="n">
        <x:v>1225</x:v>
      </x:c>
      <x:c r="N656" s="26" t="n">
        <x:v>1225</x:v>
      </x:c>
      <x:c r="O656" s="26" t="n">
        <x:v>0</x:v>
      </x:c>
      <x:c r="P656" s="26" t="n">
        <x:v>0</x:v>
      </x:c>
      <x:c r="Q656" s="26" t="n">
        <x:v>0</x:v>
      </x:c>
      <x:c r="R656" s="26" t="n">
        <x:v>0</x:v>
      </x:c>
      <x:c r="S656" s="26" t="n">
        <x:v>0</x:v>
      </x:c>
      <x:c r="T656" s="26" t="n">
        <x:v>1225</x:v>
      </x:c>
      <x:c r="U656" s="26" t="n">
        <x:v>0</x:v>
      </x:c>
      <x:c r="V656" s="26" t="n">
        <x:v>0</x:v>
      </x:c>
      <x:c r="W656" s="26" t="n">
        <x:v>0</x:v>
      </x:c>
      <x:c r="X656" s="26" t="n">
        <x:v>0</x:v>
      </x:c>
      <x:c r="Y656" s="26" t="n">
        <x:v>0</x:v>
      </x:c>
      <x:c r="Z656" s="35" t="str">
        <x:v>August 2027 rent</x:v>
      </x:c>
    </x:row>
    <x:row r="657">
      <x:c r="A657" s="20" t="str">
        <x:v>FIN-00654</x:v>
      </x:c>
      <x:c r="B657" s="23" t="n">
        <x:v>46603</x:v>
      </x:c>
      <x:c r="C657" s="23" t="n">
        <x:v>46603</x:v>
      </x:c>
      <x:c r="D657" s="20" t="str">
        <x:v>TenantReceipt</x:v>
      </x:c>
      <x:c r="E657" s="20" t="str">
        <x:v>Rent receipt</x:v>
      </x:c>
      <x:c r="F657" s="20" t="str">
        <x:v>P026</x:v>
      </x:c>
      <x:c r="G657" s="20" t="str">
        <x:v>U031</x:v>
      </x:c>
      <x:c r="H657" s="20" t="str">
        <x:v>L031</x:v>
      </x:c>
      <x:c r="I657" s="20" t="str">
        <x:v>Uri Price</x:v>
      </x:c>
      <x:c r="J657" s="35" t="str">
        <x:v>Portal card</x:v>
      </x:c>
      <x:c r="K657" s="20" t="str"/>
      <x:c r="L657" s="20" t="str">
        <x:v>PMT-20270804-L031</x:v>
      </x:c>
      <x:c r="M657" s="26" t="n">
        <x:v>1225</x:v>
      </x:c>
      <x:c r="N657" s="26" t="n">
        <x:v>-1225</x:v>
      </x:c>
      <x:c r="O657" s="26" t="n">
        <x:v>1225</x:v>
      </x:c>
      <x:c r="P657" s="26" t="n">
        <x:v>0</x:v>
      </x:c>
      <x:c r="Q657" s="26" t="n">
        <x:v>0</x:v>
      </x:c>
      <x:c r="R657" s="26" t="n">
        <x:v>0</x:v>
      </x:c>
      <x:c r="S657" s="26" t="n">
        <x:v>0</x:v>
      </x:c>
      <x:c r="T657" s="26" t="n">
        <x:v>0</x:v>
      </x:c>
      <x:c r="U657" s="26" t="n">
        <x:v>0</x:v>
      </x:c>
      <x:c r="V657" s="26" t="n">
        <x:v>0</x:v>
      </x:c>
      <x:c r="W657" s="26" t="n">
        <x:v>0</x:v>
      </x:c>
      <x:c r="X657" s="26" t="n">
        <x:v>0</x:v>
      </x:c>
      <x:c r="Y657" s="26" t="n">
        <x:v>0</x:v>
      </x:c>
      <x:c r="Z657" s="35" t="str">
        <x:v>Receipt allocated to FIN-00653</x:v>
      </x:c>
    </x:row>
    <x:row r="658">
      <x:c r="A658" s="20" t="str">
        <x:v>FIN-00655</x:v>
      </x:c>
      <x:c r="B658" s="23" t="n">
        <x:v>46600</x:v>
      </x:c>
      <x:c r="C658" s="23" t="n">
        <x:v>46600</x:v>
      </x:c>
      <x:c r="D658" s="20" t="str">
        <x:v>TenantCharge</x:v>
      </x:c>
      <x:c r="E658" s="20" t="str">
        <x:v>Rent</x:v>
      </x:c>
      <x:c r="F658" s="20" t="str">
        <x:v>P026</x:v>
      </x:c>
      <x:c r="G658" s="20" t="str">
        <x:v>U032</x:v>
      </x:c>
      <x:c r="H658" s="20" t="str">
        <x:v>L032</x:v>
      </x:c>
      <x:c r="I658" s="20" t="str">
        <x:v>Avery Brooks</x:v>
      </x:c>
      <x:c r="J658" s="35" t="str">
        <x:v>System scheduled charge</x:v>
      </x:c>
      <x:c r="K658" s="20" t="str"/>
      <x:c r="L658" s="20" t="str">
        <x:v>RENT-202708-L032</x:v>
      </x:c>
      <x:c r="M658" s="26" t="n">
        <x:v>1750</x:v>
      </x:c>
      <x:c r="N658" s="26" t="n">
        <x:v>1750</x:v>
      </x:c>
      <x:c r="O658" s="26" t="n">
        <x:v>0</x:v>
      </x:c>
      <x:c r="P658" s="26" t="n">
        <x:v>0</x:v>
      </x:c>
      <x:c r="Q658" s="26" t="n">
        <x:v>0</x:v>
      </x:c>
      <x:c r="R658" s="26" t="n">
        <x:v>0</x:v>
      </x:c>
      <x:c r="S658" s="26" t="n">
        <x:v>0</x:v>
      </x:c>
      <x:c r="T658" s="26" t="n">
        <x:v>1750</x:v>
      </x:c>
      <x:c r="U658" s="26" t="n">
        <x:v>0</x:v>
      </x:c>
      <x:c r="V658" s="26" t="n">
        <x:v>0</x:v>
      </x:c>
      <x:c r="W658" s="26" t="n">
        <x:v>0</x:v>
      </x:c>
      <x:c r="X658" s="26" t="n">
        <x:v>0</x:v>
      </x:c>
      <x:c r="Y658" s="26" t="n">
        <x:v>0</x:v>
      </x:c>
      <x:c r="Z658" s="35" t="str">
        <x:v>August 2027 rent</x:v>
      </x:c>
    </x:row>
    <x:row r="659">
      <x:c r="A659" s="20" t="str">
        <x:v>FIN-00656</x:v>
      </x:c>
      <x:c r="B659" s="23" t="n">
        <x:v>46604</x:v>
      </x:c>
      <x:c r="C659" s="23" t="n">
        <x:v>46604</x:v>
      </x:c>
      <x:c r="D659" s="20" t="str">
        <x:v>TenantReceipt</x:v>
      </x:c>
      <x:c r="E659" s="20" t="str">
        <x:v>Rent receipt</x:v>
      </x:c>
      <x:c r="F659" s="20" t="str">
        <x:v>P026</x:v>
      </x:c>
      <x:c r="G659" s="20" t="str">
        <x:v>U032</x:v>
      </x:c>
      <x:c r="H659" s="20" t="str">
        <x:v>L032</x:v>
      </x:c>
      <x:c r="I659" s="20" t="str">
        <x:v>Avery Brooks</x:v>
      </x:c>
      <x:c r="J659" s="35" t="str">
        <x:v>Scanned check</x:v>
      </x:c>
      <x:c r="K659" s="20" t="str">
        <x:v>SCN-0254</x:v>
      </x:c>
      <x:c r="L659" s="20" t="str">
        <x:v>PMT-20270805-L032</x:v>
      </x:c>
      <x:c r="M659" s="26" t="n">
        <x:v>1750</x:v>
      </x:c>
      <x:c r="N659" s="26" t="n">
        <x:v>-1750</x:v>
      </x:c>
      <x:c r="O659" s="26" t="n">
        <x:v>1750</x:v>
      </x:c>
      <x:c r="P659" s="26" t="n">
        <x:v>0</x:v>
      </x:c>
      <x:c r="Q659" s="26" t="n">
        <x:v>0</x:v>
      </x:c>
      <x:c r="R659" s="26" t="n">
        <x:v>0</x:v>
      </x:c>
      <x:c r="S659" s="26" t="n">
        <x:v>0</x:v>
      </x:c>
      <x:c r="T659" s="26" t="n">
        <x:v>0</x:v>
      </x:c>
      <x:c r="U659" s="26" t="n">
        <x:v>0</x:v>
      </x:c>
      <x:c r="V659" s="26" t="n">
        <x:v>0</x:v>
      </x:c>
      <x:c r="W659" s="26" t="n">
        <x:v>0</x:v>
      </x:c>
      <x:c r="X659" s="26" t="n">
        <x:v>0</x:v>
      </x:c>
      <x:c r="Y659" s="26" t="n">
        <x:v>0</x:v>
      </x:c>
      <x:c r="Z659" s="35" t="str">
        <x:v>Receipt allocated to FIN-00655</x:v>
      </x:c>
    </x:row>
    <x:row r="660">
      <x:c r="A660" s="20" t="str">
        <x:v>FIN-00657</x:v>
      </x:c>
      <x:c r="B660" s="23" t="n">
        <x:v>46600</x:v>
      </x:c>
      <x:c r="C660" s="23" t="n">
        <x:v>46600</x:v>
      </x:c>
      <x:c r="D660" s="20" t="str">
        <x:v>TenantCharge</x:v>
      </x:c>
      <x:c r="E660" s="20" t="str">
        <x:v>Rent</x:v>
      </x:c>
      <x:c r="F660" s="20" t="str">
        <x:v>P027</x:v>
      </x:c>
      <x:c r="G660" s="20" t="str">
        <x:v>U033</x:v>
      </x:c>
      <x:c r="H660" s="20" t="str">
        <x:v>L033</x:v>
      </x:c>
      <x:c r="I660" s="20" t="str">
        <x:v>Dana Garcia</x:v>
      </x:c>
      <x:c r="J660" s="35" t="str">
        <x:v>System scheduled charge</x:v>
      </x:c>
      <x:c r="K660" s="20" t="str"/>
      <x:c r="L660" s="20" t="str">
        <x:v>RENT-202708-L033</x:v>
      </x:c>
      <x:c r="M660" s="26" t="n">
        <x:v>1375</x:v>
      </x:c>
      <x:c r="N660" s="26" t="n">
        <x:v>1375</x:v>
      </x:c>
      <x:c r="O660" s="26" t="n">
        <x:v>0</x:v>
      </x:c>
      <x:c r="P660" s="26" t="n">
        <x:v>0</x:v>
      </x:c>
      <x:c r="Q660" s="26" t="n">
        <x:v>0</x:v>
      </x:c>
      <x:c r="R660" s="26" t="n">
        <x:v>0</x:v>
      </x:c>
      <x:c r="S660" s="26" t="n">
        <x:v>0</x:v>
      </x:c>
      <x:c r="T660" s="26" t="n">
        <x:v>1375</x:v>
      </x:c>
      <x:c r="U660" s="26" t="n">
        <x:v>0</x:v>
      </x:c>
      <x:c r="V660" s="26" t="n">
        <x:v>0</x:v>
      </x:c>
      <x:c r="W660" s="26" t="n">
        <x:v>0</x:v>
      </x:c>
      <x:c r="X660" s="26" t="n">
        <x:v>0</x:v>
      </x:c>
      <x:c r="Y660" s="26" t="n">
        <x:v>0</x:v>
      </x:c>
      <x:c r="Z660" s="35" t="str">
        <x:v>August 2027 rent</x:v>
      </x:c>
    </x:row>
    <x:row r="661">
      <x:c r="A661" s="20" t="str">
        <x:v>FIN-00658</x:v>
      </x:c>
      <x:c r="B661" s="23" t="n">
        <x:v>46602</x:v>
      </x:c>
      <x:c r="C661" s="23" t="n">
        <x:v>46602</x:v>
      </x:c>
      <x:c r="D661" s="20" t="str">
        <x:v>TenantReceipt</x:v>
      </x:c>
      <x:c r="E661" s="20" t="str">
        <x:v>Rent receipt</x:v>
      </x:c>
      <x:c r="F661" s="20" t="str">
        <x:v>P027</x:v>
      </x:c>
      <x:c r="G661" s="20" t="str">
        <x:v>U033</x:v>
      </x:c>
      <x:c r="H661" s="20" t="str">
        <x:v>L033</x:v>
      </x:c>
      <x:c r="I661" s="20" t="str">
        <x:v>Dana Garcia</x:v>
      </x:c>
      <x:c r="J661" s="35" t="str">
        <x:v>Scanned money order</x:v>
      </x:c>
      <x:c r="K661" s="20" t="str">
        <x:v>SCN-0255</x:v>
      </x:c>
      <x:c r="L661" s="20" t="str">
        <x:v>PMT-20270803-L033-A</x:v>
      </x:c>
      <x:c r="M661" s="26" t="n">
        <x:v>825</x:v>
      </x:c>
      <x:c r="N661" s="26" t="n">
        <x:v>-825</x:v>
      </x:c>
      <x:c r="O661" s="26" t="n">
        <x:v>825</x:v>
      </x:c>
      <x:c r="P661" s="26" t="n">
        <x:v>0</x:v>
      </x:c>
      <x:c r="Q661" s="26" t="n">
        <x:v>0</x:v>
      </x:c>
      <x:c r="R661" s="26" t="n">
        <x:v>0</x:v>
      </x:c>
      <x:c r="S661" s="26" t="n">
        <x:v>0</x:v>
      </x:c>
      <x:c r="T661" s="26" t="n">
        <x:v>0</x:v>
      </x:c>
      <x:c r="U661" s="26" t="n">
        <x:v>0</x:v>
      </x:c>
      <x:c r="V661" s="26" t="n">
        <x:v>0</x:v>
      </x:c>
      <x:c r="W661" s="26" t="n">
        <x:v>0</x:v>
      </x:c>
      <x:c r="X661" s="26" t="n">
        <x:v>0</x:v>
      </x:c>
      <x:c r="Y661" s="26" t="n">
        <x:v>0</x:v>
      </x:c>
      <x:c r="Z661" s="35" t="str">
        <x:v>Receipt allocated to FIN-00657</x:v>
      </x:c>
    </x:row>
    <x:row r="662">
      <x:c r="A662" s="20" t="str">
        <x:v>FIN-00659</x:v>
      </x:c>
      <x:c r="B662" s="23" t="n">
        <x:v>46605</x:v>
      </x:c>
      <x:c r="C662" s="23" t="n">
        <x:v>46605</x:v>
      </x:c>
      <x:c r="D662" s="20" t="str">
        <x:v>TenantCharge</x:v>
      </x:c>
      <x:c r="E662" s="20" t="str">
        <x:v>Late fee</x:v>
      </x:c>
      <x:c r="F662" s="20" t="str">
        <x:v>P027</x:v>
      </x:c>
      <x:c r="G662" s="20" t="str">
        <x:v>U033</x:v>
      </x:c>
      <x:c r="H662" s="20" t="str">
        <x:v>L033</x:v>
      </x:c>
      <x:c r="I662" s="20" t="str">
        <x:v>Dana Garcia</x:v>
      </x:c>
      <x:c r="J662" s="35" t="str">
        <x:v>System automation</x:v>
      </x:c>
      <x:c r="K662" s="20" t="str"/>
      <x:c r="L662" s="20" t="str">
        <x:v>LATE-202708-L033</x:v>
      </x:c>
      <x:c r="M662" s="26" t="n">
        <x:v>50</x:v>
      </x:c>
      <x:c r="N662" s="26" t="n">
        <x:v>50</x:v>
      </x:c>
      <x:c r="O662" s="26" t="n">
        <x:v>0</x:v>
      </x:c>
      <x:c r="P662" s="26" t="n">
        <x:v>0</x:v>
      </x:c>
      <x:c r="Q662" s="26" t="n">
        <x:v>0</x:v>
      </x:c>
      <x:c r="R662" s="26" t="n">
        <x:v>0</x:v>
      </x:c>
      <x:c r="S662" s="26" t="n">
        <x:v>0</x:v>
      </x:c>
      <x:c r="T662" s="26" t="n">
        <x:v>50</x:v>
      </x:c>
      <x:c r="U662" s="26" t="n">
        <x:v>0</x:v>
      </x:c>
      <x:c r="V662" s="26" t="n">
        <x:v>0</x:v>
      </x:c>
      <x:c r="W662" s="26" t="n">
        <x:v>0</x:v>
      </x:c>
      <x:c r="X662" s="26" t="n">
        <x:v>0</x:v>
      </x:c>
      <x:c r="Y662" s="26" t="n">
        <x:v>0</x:v>
      </x:c>
      <x:c r="Z662" s="35" t="str">
        <x:v>Synthetic lease-authorized late fee after partial payment</x:v>
      </x:c>
    </x:row>
    <x:row r="663">
      <x:c r="A663" s="20" t="str">
        <x:v>FIN-00660</x:v>
      </x:c>
      <x:c r="B663" s="23" t="n">
        <x:v>46611</x:v>
      </x:c>
      <x:c r="C663" s="23" t="n">
        <x:v>46611</x:v>
      </x:c>
      <x:c r="D663" s="20" t="str">
        <x:v>TenantReceipt</x:v>
      </x:c>
      <x:c r="E663" s="20" t="str">
        <x:v>Rent receipt</x:v>
      </x:c>
      <x:c r="F663" s="20" t="str">
        <x:v>P027</x:v>
      </x:c>
      <x:c r="G663" s="20" t="str">
        <x:v>U033</x:v>
      </x:c>
      <x:c r="H663" s="20" t="str">
        <x:v>L033</x:v>
      </x:c>
      <x:c r="I663" s="20" t="str">
        <x:v>Dana Garcia</x:v>
      </x:c>
      <x:c r="J663" s="35" t="str">
        <x:v>Portal card</x:v>
      </x:c>
      <x:c r="K663" s="20" t="str"/>
      <x:c r="L663" s="20" t="str">
        <x:v>PMT-20270812-L033-B</x:v>
      </x:c>
      <x:c r="M663" s="26" t="n">
        <x:v>600</x:v>
      </x:c>
      <x:c r="N663" s="26" t="n">
        <x:v>-600</x:v>
      </x:c>
      <x:c r="O663" s="26" t="n">
        <x:v>600</x:v>
      </x:c>
      <x:c r="P663" s="26" t="n">
        <x:v>0</x:v>
      </x:c>
      <x:c r="Q663" s="26" t="n">
        <x:v>0</x:v>
      </x:c>
      <x:c r="R663" s="26" t="n">
        <x:v>0</x:v>
      </x:c>
      <x:c r="S663" s="26" t="n">
        <x:v>0</x:v>
      </x:c>
      <x:c r="T663" s="26" t="n">
        <x:v>0</x:v>
      </x:c>
      <x:c r="U663" s="26" t="n">
        <x:v>0</x:v>
      </x:c>
      <x:c r="V663" s="26" t="n">
        <x:v>0</x:v>
      </x:c>
      <x:c r="W663" s="26" t="n">
        <x:v>0</x:v>
      </x:c>
      <x:c r="X663" s="26" t="n">
        <x:v>0</x:v>
      </x:c>
      <x:c r="Y663" s="26" t="n">
        <x:v>0</x:v>
      </x:c>
      <x:c r="Z663" s="35" t="str">
        <x:v>Receipt allocated to FIN-00659</x:v>
      </x:c>
    </x:row>
    <x:row r="664">
      <x:c r="A664" s="20" t="str">
        <x:v>FIN-00661</x:v>
      </x:c>
      <x:c r="B664" s="23" t="n">
        <x:v>46600</x:v>
      </x:c>
      <x:c r="C664" s="23" t="n">
        <x:v>46600</x:v>
      </x:c>
      <x:c r="D664" s="20" t="str">
        <x:v>TenantCharge</x:v>
      </x:c>
      <x:c r="E664" s="20" t="str">
        <x:v>Rent</x:v>
      </x:c>
      <x:c r="F664" s="20" t="str">
        <x:v>P027</x:v>
      </x:c>
      <x:c r="G664" s="20" t="str">
        <x:v>U034</x:v>
      </x:c>
      <x:c r="H664" s="20" t="str">
        <x:v>L034</x:v>
      </x:c>
      <x:c r="I664" s="20" t="str">
        <x:v>Gray Lewis</x:v>
      </x:c>
      <x:c r="J664" s="35" t="str">
        <x:v>System scheduled charge</x:v>
      </x:c>
      <x:c r="K664" s="20" t="str"/>
      <x:c r="L664" s="20" t="str">
        <x:v>RENT-202708-L034</x:v>
      </x:c>
      <x:c r="M664" s="26" t="n">
        <x:v>1900</x:v>
      </x:c>
      <x:c r="N664" s="26" t="n">
        <x:v>1900</x:v>
      </x:c>
      <x:c r="O664" s="26" t="n">
        <x:v>0</x:v>
      </x:c>
      <x:c r="P664" s="26" t="n">
        <x:v>0</x:v>
      </x:c>
      <x:c r="Q664" s="26" t="n">
        <x:v>0</x:v>
      </x:c>
      <x:c r="R664" s="26" t="n">
        <x:v>0</x:v>
      </x:c>
      <x:c r="S664" s="26" t="n">
        <x:v>0</x:v>
      </x:c>
      <x:c r="T664" s="26" t="n">
        <x:v>1900</x:v>
      </x:c>
      <x:c r="U664" s="26" t="n">
        <x:v>0</x:v>
      </x:c>
      <x:c r="V664" s="26" t="n">
        <x:v>0</x:v>
      </x:c>
      <x:c r="W664" s="26" t="n">
        <x:v>0</x:v>
      </x:c>
      <x:c r="X664" s="26" t="n">
        <x:v>0</x:v>
      </x:c>
      <x:c r="Y664" s="26" t="n">
        <x:v>0</x:v>
      </x:c>
      <x:c r="Z664" s="35" t="str">
        <x:v>August 2027 rent</x:v>
      </x:c>
    </x:row>
    <x:row r="665">
      <x:c r="A665" s="20" t="str">
        <x:v>FIN-00662</x:v>
      </x:c>
      <x:c r="B665" s="23" t="n">
        <x:v>46603</x:v>
      </x:c>
      <x:c r="C665" s="23" t="n">
        <x:v>46603</x:v>
      </x:c>
      <x:c r="D665" s="20" t="str">
        <x:v>TenantReceipt</x:v>
      </x:c>
      <x:c r="E665" s="20" t="str">
        <x:v>Rent receipt</x:v>
      </x:c>
      <x:c r="F665" s="20" t="str">
        <x:v>P027</x:v>
      </x:c>
      <x:c r="G665" s="20" t="str">
        <x:v>U034</x:v>
      </x:c>
      <x:c r="H665" s="20" t="str">
        <x:v>L034</x:v>
      </x:c>
      <x:c r="I665" s="20" t="str">
        <x:v>Gray Lewis</x:v>
      </x:c>
      <x:c r="J665" s="35" t="str">
        <x:v>Manual ACH</x:v>
      </x:c>
      <x:c r="K665" s="20" t="str"/>
      <x:c r="L665" s="20" t="str">
        <x:v>PMT-20270804-L034</x:v>
      </x:c>
      <x:c r="M665" s="26" t="n">
        <x:v>1900</x:v>
      </x:c>
      <x:c r="N665" s="26" t="n">
        <x:v>-1900</x:v>
      </x:c>
      <x:c r="O665" s="26" t="n">
        <x:v>1900</x:v>
      </x:c>
      <x:c r="P665" s="26" t="n">
        <x:v>0</x:v>
      </x:c>
      <x:c r="Q665" s="26" t="n">
        <x:v>0</x:v>
      </x:c>
      <x:c r="R665" s="26" t="n">
        <x:v>0</x:v>
      </x:c>
      <x:c r="S665" s="26" t="n">
        <x:v>0</x:v>
      </x:c>
      <x:c r="T665" s="26" t="n">
        <x:v>0</x:v>
      </x:c>
      <x:c r="U665" s="26" t="n">
        <x:v>0</x:v>
      </x:c>
      <x:c r="V665" s="26" t="n">
        <x:v>0</x:v>
      </x:c>
      <x:c r="W665" s="26" t="n">
        <x:v>0</x:v>
      </x:c>
      <x:c r="X665" s="26" t="n">
        <x:v>0</x:v>
      </x:c>
      <x:c r="Y665" s="26" t="n">
        <x:v>0</x:v>
      </x:c>
      <x:c r="Z665" s="35" t="str">
        <x:v>Receipt allocated to FIN-00661</x:v>
      </x:c>
    </x:row>
    <x:row r="666">
      <x:c r="A666" s="20" t="str">
        <x:v>FIN-00663</x:v>
      </x:c>
      <x:c r="B666" s="23" t="n">
        <x:v>46600</x:v>
      </x:c>
      <x:c r="C666" s="23" t="n">
        <x:v>46600</x:v>
      </x:c>
      <x:c r="D666" s="20" t="str">
        <x:v>TenantCharge</x:v>
      </x:c>
      <x:c r="E666" s="20" t="str">
        <x:v>Rent</x:v>
      </x:c>
      <x:c r="F666" s="20" t="str">
        <x:v>P028</x:v>
      </x:c>
      <x:c r="G666" s="20" t="str">
        <x:v>U035</x:v>
      </x:c>
      <x:c r="H666" s="20" t="str">
        <x:v>L035</x:v>
      </x:c>
      <x:c r="I666" s="20" t="str">
        <x:v>Jordan Reed</x:v>
      </x:c>
      <x:c r="J666" s="35" t="str">
        <x:v>System scheduled charge</x:v>
      </x:c>
      <x:c r="K666" s="20" t="str"/>
      <x:c r="L666" s="20" t="str">
        <x:v>RENT-202708-L035</x:v>
      </x:c>
      <x:c r="M666" s="26" t="n">
        <x:v>1525</x:v>
      </x:c>
      <x:c r="N666" s="26" t="n">
        <x:v>1525</x:v>
      </x:c>
      <x:c r="O666" s="26" t="n">
        <x:v>0</x:v>
      </x:c>
      <x:c r="P666" s="26" t="n">
        <x:v>0</x:v>
      </x:c>
      <x:c r="Q666" s="26" t="n">
        <x:v>0</x:v>
      </x:c>
      <x:c r="R666" s="26" t="n">
        <x:v>0</x:v>
      </x:c>
      <x:c r="S666" s="26" t="n">
        <x:v>0</x:v>
      </x:c>
      <x:c r="T666" s="26" t="n">
        <x:v>1525</x:v>
      </x:c>
      <x:c r="U666" s="26" t="n">
        <x:v>0</x:v>
      </x:c>
      <x:c r="V666" s="26" t="n">
        <x:v>0</x:v>
      </x:c>
      <x:c r="W666" s="26" t="n">
        <x:v>0</x:v>
      </x:c>
      <x:c r="X666" s="26" t="n">
        <x:v>0</x:v>
      </x:c>
      <x:c r="Y666" s="26" t="n">
        <x:v>0</x:v>
      </x:c>
      <x:c r="Z666" s="35" t="str">
        <x:v>August 2027 rent</x:v>
      </x:c>
    </x:row>
    <x:row r="667">
      <x:c r="A667" s="20" t="str">
        <x:v>FIN-00664</x:v>
      </x:c>
      <x:c r="B667" s="23" t="n">
        <x:v>46604</x:v>
      </x:c>
      <x:c r="C667" s="23" t="n">
        <x:v>46604</x:v>
      </x:c>
      <x:c r="D667" s="20" t="str">
        <x:v>TenantReceipt</x:v>
      </x:c>
      <x:c r="E667" s="20" t="str">
        <x:v>Rent receipt</x:v>
      </x:c>
      <x:c r="F667" s="20" t="str">
        <x:v>P028</x:v>
      </x:c>
      <x:c r="G667" s="20" t="str">
        <x:v>U035</x:v>
      </x:c>
      <x:c r="H667" s="20" t="str">
        <x:v>L035</x:v>
      </x:c>
      <x:c r="I667" s="20" t="str">
        <x:v>Jordan Reed</x:v>
      </x:c>
      <x:c r="J667" s="35" t="str">
        <x:v>Portal card</x:v>
      </x:c>
      <x:c r="K667" s="20" t="str"/>
      <x:c r="L667" s="20" t="str">
        <x:v>PMT-20270805-L035</x:v>
      </x:c>
      <x:c r="M667" s="26" t="n">
        <x:v>1525</x:v>
      </x:c>
      <x:c r="N667" s="26" t="n">
        <x:v>-1525</x:v>
      </x:c>
      <x:c r="O667" s="26" t="n">
        <x:v>1525</x:v>
      </x:c>
      <x:c r="P667" s="26" t="n">
        <x:v>0</x:v>
      </x:c>
      <x:c r="Q667" s="26" t="n">
        <x:v>0</x:v>
      </x:c>
      <x:c r="R667" s="26" t="n">
        <x:v>0</x:v>
      </x:c>
      <x:c r="S667" s="26" t="n">
        <x:v>0</x:v>
      </x:c>
      <x:c r="T667" s="26" t="n">
        <x:v>0</x:v>
      </x:c>
      <x:c r="U667" s="26" t="n">
        <x:v>0</x:v>
      </x:c>
      <x:c r="V667" s="26" t="n">
        <x:v>0</x:v>
      </x:c>
      <x:c r="W667" s="26" t="n">
        <x:v>0</x:v>
      </x:c>
      <x:c r="X667" s="26" t="n">
        <x:v>0</x:v>
      </x:c>
      <x:c r="Y667" s="26" t="n">
        <x:v>0</x:v>
      </x:c>
      <x:c r="Z667" s="35" t="str">
        <x:v>Receipt allocated to FIN-00663</x:v>
      </x:c>
    </x:row>
    <x:row r="668">
      <x:c r="A668" s="20" t="str">
        <x:v>FIN-00665</x:v>
      </x:c>
      <x:c r="B668" s="23" t="n">
        <x:v>46600</x:v>
      </x:c>
      <x:c r="C668" s="23" t="n">
        <x:v>46600</x:v>
      </x:c>
      <x:c r="D668" s="20" t="str">
        <x:v>TenantCharge</x:v>
      </x:c>
      <x:c r="E668" s="20" t="str">
        <x:v>Rent</x:v>
      </x:c>
      <x:c r="F668" s="20" t="str">
        <x:v>P028</x:v>
      </x:c>
      <x:c r="G668" s="20" t="str">
        <x:v>U036</x:v>
      </x:c>
      <x:c r="H668" s="20" t="str">
        <x:v>L036</x:v>
      </x:c>
      <x:c r="I668" s="20" t="str">
        <x:v>Morgan Adams</x:v>
      </x:c>
      <x:c r="J668" s="35" t="str">
        <x:v>System scheduled charge</x:v>
      </x:c>
      <x:c r="K668" s="20" t="str"/>
      <x:c r="L668" s="20" t="str">
        <x:v>RENT-202708-L036</x:v>
      </x:c>
      <x:c r="M668" s="26" t="n">
        <x:v>1150</x:v>
      </x:c>
      <x:c r="N668" s="26" t="n">
        <x:v>1150</x:v>
      </x:c>
      <x:c r="O668" s="26" t="n">
        <x:v>0</x:v>
      </x:c>
      <x:c r="P668" s="26" t="n">
        <x:v>0</x:v>
      </x:c>
      <x:c r="Q668" s="26" t="n">
        <x:v>0</x:v>
      </x:c>
      <x:c r="R668" s="26" t="n">
        <x:v>0</x:v>
      </x:c>
      <x:c r="S668" s="26" t="n">
        <x:v>0</x:v>
      </x:c>
      <x:c r="T668" s="26" t="n">
        <x:v>1150</x:v>
      </x:c>
      <x:c r="U668" s="26" t="n">
        <x:v>0</x:v>
      </x:c>
      <x:c r="V668" s="26" t="n">
        <x:v>0</x:v>
      </x:c>
      <x:c r="W668" s="26" t="n">
        <x:v>0</x:v>
      </x:c>
      <x:c r="X668" s="26" t="n">
        <x:v>0</x:v>
      </x:c>
      <x:c r="Y668" s="26" t="n">
        <x:v>0</x:v>
      </x:c>
      <x:c r="Z668" s="35" t="str">
        <x:v>August 2027 rent</x:v>
      </x:c>
    </x:row>
    <x:row r="669">
      <x:c r="A669" s="20" t="str">
        <x:v>FIN-00666</x:v>
      </x:c>
      <x:c r="B669" s="23" t="n">
        <x:v>46602</x:v>
      </x:c>
      <x:c r="C669" s="23" t="n">
        <x:v>46602</x:v>
      </x:c>
      <x:c r="D669" s="20" t="str">
        <x:v>TenantReceipt</x:v>
      </x:c>
      <x:c r="E669" s="20" t="str">
        <x:v>Rent receipt</x:v>
      </x:c>
      <x:c r="F669" s="20" t="str">
        <x:v>P028</x:v>
      </x:c>
      <x:c r="G669" s="20" t="str">
        <x:v>U036</x:v>
      </x:c>
      <x:c r="H669" s="20" t="str">
        <x:v>L036</x:v>
      </x:c>
      <x:c r="I669" s="20" t="str">
        <x:v>Morgan Adams</x:v>
      </x:c>
      <x:c r="J669" s="35" t="str">
        <x:v>Scanned check</x:v>
      </x:c>
      <x:c r="K669" s="20" t="str">
        <x:v>SCN-0256</x:v>
      </x:c>
      <x:c r="L669" s="20" t="str">
        <x:v>PMT-20270803-L036</x:v>
      </x:c>
      <x:c r="M669" s="26" t="n">
        <x:v>1150</x:v>
      </x:c>
      <x:c r="N669" s="26" t="n">
        <x:v>-1150</x:v>
      </x:c>
      <x:c r="O669" s="26" t="n">
        <x:v>1150</x:v>
      </x:c>
      <x:c r="P669" s="26" t="n">
        <x:v>0</x:v>
      </x:c>
      <x:c r="Q669" s="26" t="n">
        <x:v>0</x:v>
      </x:c>
      <x:c r="R669" s="26" t="n">
        <x:v>0</x:v>
      </x:c>
      <x:c r="S669" s="26" t="n">
        <x:v>0</x:v>
      </x:c>
      <x:c r="T669" s="26" t="n">
        <x:v>0</x:v>
      </x:c>
      <x:c r="U669" s="26" t="n">
        <x:v>0</x:v>
      </x:c>
      <x:c r="V669" s="26" t="n">
        <x:v>0</x:v>
      </x:c>
      <x:c r="W669" s="26" t="n">
        <x:v>0</x:v>
      </x:c>
      <x:c r="X669" s="26" t="n">
        <x:v>0</x:v>
      </x:c>
      <x:c r="Y669" s="26" t="n">
        <x:v>0</x:v>
      </x:c>
      <x:c r="Z669" s="35" t="str">
        <x:v>Receipt allocated to FIN-00665</x:v>
      </x:c>
    </x:row>
    <x:row r="670">
      <x:c r="A670" s="20" t="str">
        <x:v>FIN-00667</x:v>
      </x:c>
      <x:c r="B670" s="23" t="n">
        <x:v>46600</x:v>
      </x:c>
      <x:c r="C670" s="23" t="n">
        <x:v>46600</x:v>
      </x:c>
      <x:c r="D670" s="20" t="str">
        <x:v>TenantCharge</x:v>
      </x:c>
      <x:c r="E670" s="20" t="str">
        <x:v>Rent</x:v>
      </x:c>
      <x:c r="F670" s="20" t="str">
        <x:v>P005</x:v>
      </x:c>
      <x:c r="G670" s="20" t="str">
        <x:v>U005</x:v>
      </x:c>
      <x:c r="H670" s="20" t="str">
        <x:v>L037</x:v>
      </x:c>
      <x:c r="I670" s="20" t="str">
        <x:v>Parker Flores</x:v>
      </x:c>
      <x:c r="J670" s="35" t="str">
        <x:v>System scheduled charge</x:v>
      </x:c>
      <x:c r="K670" s="20" t="str"/>
      <x:c r="L670" s="20" t="str">
        <x:v>RENT-202708-L037</x:v>
      </x:c>
      <x:c r="M670" s="26" t="n">
        <x:v>1875</x:v>
      </x:c>
      <x:c r="N670" s="26" t="n">
        <x:v>1875</x:v>
      </x:c>
      <x:c r="O670" s="26" t="n">
        <x:v>0</x:v>
      </x:c>
      <x:c r="P670" s="26" t="n">
        <x:v>0</x:v>
      </x:c>
      <x:c r="Q670" s="26" t="n">
        <x:v>0</x:v>
      </x:c>
      <x:c r="R670" s="26" t="n">
        <x:v>0</x:v>
      </x:c>
      <x:c r="S670" s="26" t="n">
        <x:v>0</x:v>
      </x:c>
      <x:c r="T670" s="26" t="n">
        <x:v>1875</x:v>
      </x:c>
      <x:c r="U670" s="26" t="n">
        <x:v>0</x:v>
      </x:c>
      <x:c r="V670" s="26" t="n">
        <x:v>0</x:v>
      </x:c>
      <x:c r="W670" s="26" t="n">
        <x:v>0</x:v>
      </x:c>
      <x:c r="X670" s="26" t="n">
        <x:v>0</x:v>
      </x:c>
      <x:c r="Y670" s="26" t="n">
        <x:v>0</x:v>
      </x:c>
      <x:c r="Z670" s="35" t="str">
        <x:v>August 2027 rent</x:v>
      </x:c>
    </x:row>
    <x:row r="671">
      <x:c r="A671" s="20" t="str">
        <x:v>FIN-00668</x:v>
      </x:c>
      <x:c r="B671" s="23" t="n">
        <x:v>46603</x:v>
      </x:c>
      <x:c r="C671" s="23" t="n">
        <x:v>46603</x:v>
      </x:c>
      <x:c r="D671" s="20" t="str">
        <x:v>TenantReceipt</x:v>
      </x:c>
      <x:c r="E671" s="20" t="str">
        <x:v>Rent receipt</x:v>
      </x:c>
      <x:c r="F671" s="20" t="str">
        <x:v>P005</x:v>
      </x:c>
      <x:c r="G671" s="20" t="str">
        <x:v>U005</x:v>
      </x:c>
      <x:c r="H671" s="20" t="str">
        <x:v>L037</x:v>
      </x:c>
      <x:c r="I671" s="20" t="str">
        <x:v>Parker Flores</x:v>
      </x:c>
      <x:c r="J671" s="35" t="str">
        <x:v>Scanned money order</x:v>
      </x:c>
      <x:c r="K671" s="20" t="str">
        <x:v>SCN-0257</x:v>
      </x:c>
      <x:c r="L671" s="20" t="str">
        <x:v>PMT-20270804-L037</x:v>
      </x:c>
      <x:c r="M671" s="26" t="n">
        <x:v>1875</x:v>
      </x:c>
      <x:c r="N671" s="26" t="n">
        <x:v>-1875</x:v>
      </x:c>
      <x:c r="O671" s="26" t="n">
        <x:v>1875</x:v>
      </x:c>
      <x:c r="P671" s="26" t="n">
        <x:v>0</x:v>
      </x:c>
      <x:c r="Q671" s="26" t="n">
        <x:v>0</x:v>
      </x:c>
      <x:c r="R671" s="26" t="n">
        <x:v>0</x:v>
      </x:c>
      <x:c r="S671" s="26" t="n">
        <x:v>0</x:v>
      </x:c>
      <x:c r="T671" s="26" t="n">
        <x:v>0</x:v>
      </x:c>
      <x:c r="U671" s="26" t="n">
        <x:v>0</x:v>
      </x:c>
      <x:c r="V671" s="26" t="n">
        <x:v>0</x:v>
      </x:c>
      <x:c r="W671" s="26" t="n">
        <x:v>0</x:v>
      </x:c>
      <x:c r="X671" s="26" t="n">
        <x:v>0</x:v>
      </x:c>
      <x:c r="Y671" s="26" t="n">
        <x:v>0</x:v>
      </x:c>
      <x:c r="Z671" s="35" t="str">
        <x:v>Receipt allocated to FIN-00667</x:v>
      </x:c>
    </x:row>
    <x:row r="672">
      <x:c r="A672" s="20" t="str">
        <x:v>FIN-00669</x:v>
      </x:c>
      <x:c r="B672" s="23" t="n">
        <x:v>46600</x:v>
      </x:c>
      <x:c r="C672" s="23" t="n">
        <x:v>46600</x:v>
      </x:c>
      <x:c r="D672" s="20" t="str">
        <x:v>TenantCharge</x:v>
      </x:c>
      <x:c r="E672" s="20" t="str">
        <x:v>Rent</x:v>
      </x:c>
      <x:c r="F672" s="20" t="str">
        <x:v>P014</x:v>
      </x:c>
      <x:c r="G672" s="20" t="str">
        <x:v>U014</x:v>
      </x:c>
      <x:c r="H672" s="20" t="str">
        <x:v>L038</x:v>
      </x:c>
      <x:c r="I672" s="20" t="str">
        <x:v>Sage King</x:v>
      </x:c>
      <x:c r="J672" s="35" t="str">
        <x:v>System scheduled charge</x:v>
      </x:c>
      <x:c r="K672" s="20" t="str"/>
      <x:c r="L672" s="20" t="str">
        <x:v>RENT-202708-L038</x:v>
      </x:c>
      <x:c r="M672" s="26" t="n">
        <x:v>1200</x:v>
      </x:c>
      <x:c r="N672" s="26" t="n">
        <x:v>1200</x:v>
      </x:c>
      <x:c r="O672" s="26" t="n">
        <x:v>0</x:v>
      </x:c>
      <x:c r="P672" s="26" t="n">
        <x:v>0</x:v>
      </x:c>
      <x:c r="Q672" s="26" t="n">
        <x:v>0</x:v>
      </x:c>
      <x:c r="R672" s="26" t="n">
        <x:v>0</x:v>
      </x:c>
      <x:c r="S672" s="26" t="n">
        <x:v>0</x:v>
      </x:c>
      <x:c r="T672" s="26" t="n">
        <x:v>1200</x:v>
      </x:c>
      <x:c r="U672" s="26" t="n">
        <x:v>0</x:v>
      </x:c>
      <x:c r="V672" s="26" t="n">
        <x:v>0</x:v>
      </x:c>
      <x:c r="W672" s="26" t="n">
        <x:v>0</x:v>
      </x:c>
      <x:c r="X672" s="26" t="n">
        <x:v>0</x:v>
      </x:c>
      <x:c r="Y672" s="26" t="n">
        <x:v>0</x:v>
      </x:c>
      <x:c r="Z672" s="35" t="str">
        <x:v>August 2027 rent</x:v>
      </x:c>
    </x:row>
    <x:row r="673">
      <x:c r="A673" s="20" t="str">
        <x:v>FIN-00670</x:v>
      </x:c>
      <x:c r="B673" s="23" t="n">
        <x:v>46604</x:v>
      </x:c>
      <x:c r="C673" s="23" t="n">
        <x:v>46604</x:v>
      </x:c>
      <x:c r="D673" s="20" t="str">
        <x:v>TenantReceipt</x:v>
      </x:c>
      <x:c r="E673" s="20" t="str">
        <x:v>Rent receipt</x:v>
      </x:c>
      <x:c r="F673" s="20" t="str">
        <x:v>P014</x:v>
      </x:c>
      <x:c r="G673" s="20" t="str">
        <x:v>U014</x:v>
      </x:c>
      <x:c r="H673" s="20" t="str">
        <x:v>L038</x:v>
      </x:c>
      <x:c r="I673" s="20" t="str">
        <x:v>Sage King</x:v>
      </x:c>
      <x:c r="J673" s="35" t="str">
        <x:v>Manual ACH</x:v>
      </x:c>
      <x:c r="K673" s="20" t="str"/>
      <x:c r="L673" s="20" t="str">
        <x:v>PMT-20270805-L038</x:v>
      </x:c>
      <x:c r="M673" s="26" t="n">
        <x:v>1200</x:v>
      </x:c>
      <x:c r="N673" s="26" t="n">
        <x:v>-1200</x:v>
      </x:c>
      <x:c r="O673" s="26" t="n">
        <x:v>1200</x:v>
      </x:c>
      <x:c r="P673" s="26" t="n">
        <x:v>0</x:v>
      </x:c>
      <x:c r="Q673" s="26" t="n">
        <x:v>0</x:v>
      </x:c>
      <x:c r="R673" s="26" t="n">
        <x:v>0</x:v>
      </x:c>
      <x:c r="S673" s="26" t="n">
        <x:v>0</x:v>
      </x:c>
      <x:c r="T673" s="26" t="n">
        <x:v>0</x:v>
      </x:c>
      <x:c r="U673" s="26" t="n">
        <x:v>0</x:v>
      </x:c>
      <x:c r="V673" s="26" t="n">
        <x:v>0</x:v>
      </x:c>
      <x:c r="W673" s="26" t="n">
        <x:v>0</x:v>
      </x:c>
      <x:c r="X673" s="26" t="n">
        <x:v>0</x:v>
      </x:c>
      <x:c r="Y673" s="26" t="n">
        <x:v>0</x:v>
      </x:c>
      <x:c r="Z673" s="35" t="str">
        <x:v>Receipt allocated to FIN-00669</x:v>
      </x:c>
    </x:row>
    <x:row r="674">
      <x:c r="A674" s="20" t="str">
        <x:v>FIN-00671</x:v>
      </x:c>
      <x:c r="B674" s="23" t="n">
        <x:v>46600</x:v>
      </x:c>
      <x:c r="C674" s="23" t="n">
        <x:v>46600</x:v>
      </x:c>
      <x:c r="D674" s="20" t="str">
        <x:v>TenantCharge</x:v>
      </x:c>
      <x:c r="E674" s="20" t="str">
        <x:v>Rent</x:v>
      </x:c>
      <x:c r="F674" s="20" t="str">
        <x:v>P017</x:v>
      </x:c>
      <x:c r="G674" s="20" t="str">
        <x:v>U017</x:v>
      </x:c>
      <x:c r="H674" s="20" t="str">
        <x:v>L039</x:v>
      </x:c>
      <x:c r="I674" s="20" t="str">
        <x:v>Val Price</x:v>
      </x:c>
      <x:c r="J674" s="35" t="str">
        <x:v>System scheduled charge</x:v>
      </x:c>
      <x:c r="K674" s="20" t="str"/>
      <x:c r="L674" s="20" t="str">
        <x:v>RENT-202708-L039</x:v>
      </x:c>
      <x:c r="M674" s="26" t="n">
        <x:v>1875</x:v>
      </x:c>
      <x:c r="N674" s="26" t="n">
        <x:v>1875</x:v>
      </x:c>
      <x:c r="O674" s="26" t="n">
        <x:v>0</x:v>
      </x:c>
      <x:c r="P674" s="26" t="n">
        <x:v>0</x:v>
      </x:c>
      <x:c r="Q674" s="26" t="n">
        <x:v>0</x:v>
      </x:c>
      <x:c r="R674" s="26" t="n">
        <x:v>0</x:v>
      </x:c>
      <x:c r="S674" s="26" t="n">
        <x:v>0</x:v>
      </x:c>
      <x:c r="T674" s="26" t="n">
        <x:v>1875</x:v>
      </x:c>
      <x:c r="U674" s="26" t="n">
        <x:v>0</x:v>
      </x:c>
      <x:c r="V674" s="26" t="n">
        <x:v>0</x:v>
      </x:c>
      <x:c r="W674" s="26" t="n">
        <x:v>0</x:v>
      </x:c>
      <x:c r="X674" s="26" t="n">
        <x:v>0</x:v>
      </x:c>
      <x:c r="Y674" s="26" t="n">
        <x:v>0</x:v>
      </x:c>
      <x:c r="Z674" s="35" t="str">
        <x:v>August 2027 rent</x:v>
      </x:c>
    </x:row>
    <x:row r="675">
      <x:c r="A675" s="20" t="str">
        <x:v>FIN-00672</x:v>
      </x:c>
      <x:c r="B675" s="23" t="n">
        <x:v>46605</x:v>
      </x:c>
      <x:c r="C675" s="23" t="n">
        <x:v>46605</x:v>
      </x:c>
      <x:c r="D675" s="20" t="str">
        <x:v>TenantCharge</x:v>
      </x:c>
      <x:c r="E675" s="20" t="str">
        <x:v>Late fee</x:v>
      </x:c>
      <x:c r="F675" s="20" t="str">
        <x:v>P017</x:v>
      </x:c>
      <x:c r="G675" s="20" t="str">
        <x:v>U017</x:v>
      </x:c>
      <x:c r="H675" s="20" t="str">
        <x:v>L039</x:v>
      </x:c>
      <x:c r="I675" s="20" t="str">
        <x:v>Val Price</x:v>
      </x:c>
      <x:c r="J675" s="35" t="str">
        <x:v>System automation</x:v>
      </x:c>
      <x:c r="K675" s="20" t="str"/>
      <x:c r="L675" s="20" t="str">
        <x:v>LATE-202708-L039</x:v>
      </x:c>
      <x:c r="M675" s="26" t="n">
        <x:v>50</x:v>
      </x:c>
      <x:c r="N675" s="26" t="n">
        <x:v>50</x:v>
      </x:c>
      <x:c r="O675" s="26" t="n">
        <x:v>0</x:v>
      </x:c>
      <x:c r="P675" s="26" t="n">
        <x:v>0</x:v>
      </x:c>
      <x:c r="Q675" s="26" t="n">
        <x:v>0</x:v>
      </x:c>
      <x:c r="R675" s="26" t="n">
        <x:v>0</x:v>
      </x:c>
      <x:c r="S675" s="26" t="n">
        <x:v>0</x:v>
      </x:c>
      <x:c r="T675" s="26" t="n">
        <x:v>50</x:v>
      </x:c>
      <x:c r="U675" s="26" t="n">
        <x:v>0</x:v>
      </x:c>
      <x:c r="V675" s="26" t="n">
        <x:v>0</x:v>
      </x:c>
      <x:c r="W675" s="26" t="n">
        <x:v>0</x:v>
      </x:c>
      <x:c r="X675" s="26" t="n">
        <x:v>0</x:v>
      </x:c>
      <x:c r="Y675" s="26" t="n">
        <x:v>0</x:v>
      </x:c>
      <x:c r="Z675" s="35" t="str">
        <x:v>Synthetic lease-authorized late fee</x:v>
      </x:c>
    </x:row>
    <x:row r="676">
      <x:c r="A676" s="20" t="str">
        <x:v>FIN-00673</x:v>
      </x:c>
      <x:c r="B676" s="23" t="n">
        <x:v>46607</x:v>
      </x:c>
      <x:c r="C676" s="23" t="n">
        <x:v>46607</x:v>
      </x:c>
      <x:c r="D676" s="20" t="str">
        <x:v>TenantReceipt</x:v>
      </x:c>
      <x:c r="E676" s="20" t="str">
        <x:v>Rent receipt</x:v>
      </x:c>
      <x:c r="F676" s="20" t="str">
        <x:v>P017</x:v>
      </x:c>
      <x:c r="G676" s="20" t="str">
        <x:v>U017</x:v>
      </x:c>
      <x:c r="H676" s="20" t="str">
        <x:v>L039</x:v>
      </x:c>
      <x:c r="I676" s="20" t="str">
        <x:v>Val Price</x:v>
      </x:c>
      <x:c r="J676" s="35" t="str">
        <x:v>Manual ACH</x:v>
      </x:c>
      <x:c r="K676" s="20" t="str"/>
      <x:c r="L676" s="20" t="str">
        <x:v>PMT-20270808-L039</x:v>
      </x:c>
      <x:c r="M676" s="26" t="n">
        <x:v>1925</x:v>
      </x:c>
      <x:c r="N676" s="26" t="n">
        <x:v>-1925</x:v>
      </x:c>
      <x:c r="O676" s="26" t="n">
        <x:v>1925</x:v>
      </x:c>
      <x:c r="P676" s="26" t="n">
        <x:v>0</x:v>
      </x:c>
      <x:c r="Q676" s="26" t="n">
        <x:v>0</x:v>
      </x:c>
      <x:c r="R676" s="26" t="n">
        <x:v>0</x:v>
      </x:c>
      <x:c r="S676" s="26" t="n">
        <x:v>0</x:v>
      </x:c>
      <x:c r="T676" s="26" t="n">
        <x:v>0</x:v>
      </x:c>
      <x:c r="U676" s="26" t="n">
        <x:v>0</x:v>
      </x:c>
      <x:c r="V676" s="26" t="n">
        <x:v>0</x:v>
      </x:c>
      <x:c r="W676" s="26" t="n">
        <x:v>0</x:v>
      </x:c>
      <x:c r="X676" s="26" t="n">
        <x:v>0</x:v>
      </x:c>
      <x:c r="Y676" s="26" t="n">
        <x:v>0</x:v>
      </x:c>
      <x:c r="Z676" s="35" t="str">
        <x:v>Receipt allocated to FIN-00672</x:v>
      </x:c>
    </x:row>
    <x:row r="677">
      <x:c r="A677" s="20" t="str">
        <x:v>FIN-00674</x:v>
      </x:c>
      <x:c r="B677" s="23" t="n">
        <x:v>46600</x:v>
      </x:c>
      <x:c r="C677" s="23" t="n">
        <x:v>46600</x:v>
      </x:c>
      <x:c r="D677" s="20" t="str">
        <x:v>TenantCharge</x:v>
      </x:c>
      <x:c r="E677" s="20" t="str">
        <x:v>Rent</x:v>
      </x:c>
      <x:c r="F677" s="20" t="str">
        <x:v>P029</x:v>
      </x:c>
      <x:c r="G677" s="20" t="str">
        <x:v>U037</x:v>
      </x:c>
      <x:c r="H677" s="20" t="str">
        <x:v>L043</x:v>
      </x:c>
      <x:c r="I677" s="20" t="str">
        <x:v>Hector Reed</x:v>
      </x:c>
      <x:c r="J677" s="35" t="str">
        <x:v>System scheduled charge</x:v>
      </x:c>
      <x:c r="K677" s="20" t="str"/>
      <x:c r="L677" s="20" t="str">
        <x:v>RENT-202708-L043</x:v>
      </x:c>
      <x:c r="M677" s="26" t="n">
        <x:v>1675</x:v>
      </x:c>
      <x:c r="N677" s="26" t="n">
        <x:v>1675</x:v>
      </x:c>
      <x:c r="O677" s="26" t="n">
        <x:v>0</x:v>
      </x:c>
      <x:c r="P677" s="26" t="n">
        <x:v>0</x:v>
      </x:c>
      <x:c r="Q677" s="26" t="n">
        <x:v>0</x:v>
      </x:c>
      <x:c r="R677" s="26" t="n">
        <x:v>0</x:v>
      </x:c>
      <x:c r="S677" s="26" t="n">
        <x:v>0</x:v>
      </x:c>
      <x:c r="T677" s="26" t="n">
        <x:v>1675</x:v>
      </x:c>
      <x:c r="U677" s="26" t="n">
        <x:v>0</x:v>
      </x:c>
      <x:c r="V677" s="26" t="n">
        <x:v>0</x:v>
      </x:c>
      <x:c r="W677" s="26" t="n">
        <x:v>0</x:v>
      </x:c>
      <x:c r="X677" s="26" t="n">
        <x:v>0</x:v>
      </x:c>
      <x:c r="Y677" s="26" t="n">
        <x:v>0</x:v>
      </x:c>
      <x:c r="Z677" s="35" t="str">
        <x:v>August 2027 rent</x:v>
      </x:c>
    </x:row>
    <x:row r="678">
      <x:c r="A678" s="20" t="str">
        <x:v>FIN-00675</x:v>
      </x:c>
      <x:c r="B678" s="23" t="n">
        <x:v>46603</x:v>
      </x:c>
      <x:c r="C678" s="23" t="n">
        <x:v>46603</x:v>
      </x:c>
      <x:c r="D678" s="20" t="str">
        <x:v>TenantReceipt</x:v>
      </x:c>
      <x:c r="E678" s="20" t="str">
        <x:v>Rent receipt</x:v>
      </x:c>
      <x:c r="F678" s="20" t="str">
        <x:v>P029</x:v>
      </x:c>
      <x:c r="G678" s="20" t="str">
        <x:v>U037</x:v>
      </x:c>
      <x:c r="H678" s="20" t="str">
        <x:v>L043</x:v>
      </x:c>
      <x:c r="I678" s="20" t="str">
        <x:v>Hector Reed</x:v>
      </x:c>
      <x:c r="J678" s="35" t="str">
        <x:v>Portal card</x:v>
      </x:c>
      <x:c r="K678" s="20" t="str"/>
      <x:c r="L678" s="20" t="str">
        <x:v>PMT-20270804-L043</x:v>
      </x:c>
      <x:c r="M678" s="26" t="n">
        <x:v>1675</x:v>
      </x:c>
      <x:c r="N678" s="26" t="n">
        <x:v>-1675</x:v>
      </x:c>
      <x:c r="O678" s="26" t="n">
        <x:v>1675</x:v>
      </x:c>
      <x:c r="P678" s="26" t="n">
        <x:v>0</x:v>
      </x:c>
      <x:c r="Q678" s="26" t="n">
        <x:v>0</x:v>
      </x:c>
      <x:c r="R678" s="26" t="n">
        <x:v>0</x:v>
      </x:c>
      <x:c r="S678" s="26" t="n">
        <x:v>0</x:v>
      </x:c>
      <x:c r="T678" s="26" t="n">
        <x:v>0</x:v>
      </x:c>
      <x:c r="U678" s="26" t="n">
        <x:v>0</x:v>
      </x:c>
      <x:c r="V678" s="26" t="n">
        <x:v>0</x:v>
      </x:c>
      <x:c r="W678" s="26" t="n">
        <x:v>0</x:v>
      </x:c>
      <x:c r="X678" s="26" t="n">
        <x:v>0</x:v>
      </x:c>
      <x:c r="Y678" s="26" t="n">
        <x:v>0</x:v>
      </x:c>
      <x:c r="Z678" s="35" t="str">
        <x:v>Receipt allocated to FIN-00674</x:v>
      </x:c>
    </x:row>
    <x:row r="679">
      <x:c r="A679" s="20" t="str">
        <x:v>FIN-00676</x:v>
      </x:c>
      <x:c r="B679" s="23" t="n">
        <x:v>46600</x:v>
      </x:c>
      <x:c r="C679" s="23" t="n">
        <x:v>46600</x:v>
      </x:c>
      <x:c r="D679" s="20" t="str">
        <x:v>TenantCharge</x:v>
      </x:c>
      <x:c r="E679" s="20" t="str">
        <x:v>Rent</x:v>
      </x:c>
      <x:c r="F679" s="20" t="str">
        <x:v>P029</x:v>
      </x:c>
      <x:c r="G679" s="20" t="str">
        <x:v>U038</x:v>
      </x:c>
      <x:c r="H679" s="20" t="str">
        <x:v>L044</x:v>
      </x:c>
      <x:c r="I679" s="20" t="str">
        <x:v>Keira Adams</x:v>
      </x:c>
      <x:c r="J679" s="35" t="str">
        <x:v>System scheduled charge</x:v>
      </x:c>
      <x:c r="K679" s="20" t="str"/>
      <x:c r="L679" s="20" t="str">
        <x:v>RENT-202708-L044</x:v>
      </x:c>
      <x:c r="M679" s="26" t="n">
        <x:v>1300</x:v>
      </x:c>
      <x:c r="N679" s="26" t="n">
        <x:v>1300</x:v>
      </x:c>
      <x:c r="O679" s="26" t="n">
        <x:v>0</x:v>
      </x:c>
      <x:c r="P679" s="26" t="n">
        <x:v>0</x:v>
      </x:c>
      <x:c r="Q679" s="26" t="n">
        <x:v>0</x:v>
      </x:c>
      <x:c r="R679" s="26" t="n">
        <x:v>0</x:v>
      </x:c>
      <x:c r="S679" s="26" t="n">
        <x:v>0</x:v>
      </x:c>
      <x:c r="T679" s="26" t="n">
        <x:v>1300</x:v>
      </x:c>
      <x:c r="U679" s="26" t="n">
        <x:v>0</x:v>
      </x:c>
      <x:c r="V679" s="26" t="n">
        <x:v>0</x:v>
      </x:c>
      <x:c r="W679" s="26" t="n">
        <x:v>0</x:v>
      </x:c>
      <x:c r="X679" s="26" t="n">
        <x:v>0</x:v>
      </x:c>
      <x:c r="Y679" s="26" t="n">
        <x:v>0</x:v>
      </x:c>
      <x:c r="Z679" s="35" t="str">
        <x:v>August 2027 rent</x:v>
      </x:c>
    </x:row>
    <x:row r="680">
      <x:c r="A680" s="20" t="str">
        <x:v>FIN-00677</x:v>
      </x:c>
      <x:c r="B680" s="23" t="n">
        <x:v>46602</x:v>
      </x:c>
      <x:c r="C680" s="23" t="n">
        <x:v>46602</x:v>
      </x:c>
      <x:c r="D680" s="20" t="str">
        <x:v>TenantReceipt</x:v>
      </x:c>
      <x:c r="E680" s="20" t="str">
        <x:v>Rent receipt</x:v>
      </x:c>
      <x:c r="F680" s="20" t="str">
        <x:v>P029</x:v>
      </x:c>
      <x:c r="G680" s="20" t="str">
        <x:v>U038</x:v>
      </x:c>
      <x:c r="H680" s="20" t="str">
        <x:v>L044</x:v>
      </x:c>
      <x:c r="I680" s="20" t="str">
        <x:v>Keira Adams</x:v>
      </x:c>
      <x:c r="J680" s="35" t="str">
        <x:v>Scanned check</x:v>
      </x:c>
      <x:c r="K680" s="20" t="str">
        <x:v>SCN-0258</x:v>
      </x:c>
      <x:c r="L680" s="20" t="str">
        <x:v>PMT-20270803-L044-A</x:v>
      </x:c>
      <x:c r="M680" s="26" t="n">
        <x:v>780</x:v>
      </x:c>
      <x:c r="N680" s="26" t="n">
        <x:v>-780</x:v>
      </x:c>
      <x:c r="O680" s="26" t="n">
        <x:v>780</x:v>
      </x:c>
      <x:c r="P680" s="26" t="n">
        <x:v>0</x:v>
      </x:c>
      <x:c r="Q680" s="26" t="n">
        <x:v>0</x:v>
      </x:c>
      <x:c r="R680" s="26" t="n">
        <x:v>0</x:v>
      </x:c>
      <x:c r="S680" s="26" t="n">
        <x:v>0</x:v>
      </x:c>
      <x:c r="T680" s="26" t="n">
        <x:v>0</x:v>
      </x:c>
      <x:c r="U680" s="26" t="n">
        <x:v>0</x:v>
      </x:c>
      <x:c r="V680" s="26" t="n">
        <x:v>0</x:v>
      </x:c>
      <x:c r="W680" s="26" t="n">
        <x:v>0</x:v>
      </x:c>
      <x:c r="X680" s="26" t="n">
        <x:v>0</x:v>
      </x:c>
      <x:c r="Y680" s="26" t="n">
        <x:v>0</x:v>
      </x:c>
      <x:c r="Z680" s="35" t="str">
        <x:v>Receipt allocated to FIN-00676</x:v>
      </x:c>
    </x:row>
    <x:row r="681">
      <x:c r="A681" s="20" t="str">
        <x:v>FIN-00678</x:v>
      </x:c>
      <x:c r="B681" s="23" t="n">
        <x:v>46605</x:v>
      </x:c>
      <x:c r="C681" s="23" t="n">
        <x:v>46605</x:v>
      </x:c>
      <x:c r="D681" s="20" t="str">
        <x:v>TenantCharge</x:v>
      </x:c>
      <x:c r="E681" s="20" t="str">
        <x:v>Late fee</x:v>
      </x:c>
      <x:c r="F681" s="20" t="str">
        <x:v>P029</x:v>
      </x:c>
      <x:c r="G681" s="20" t="str">
        <x:v>U038</x:v>
      </x:c>
      <x:c r="H681" s="20" t="str">
        <x:v>L044</x:v>
      </x:c>
      <x:c r="I681" s="20" t="str">
        <x:v>Keira Adams</x:v>
      </x:c>
      <x:c r="J681" s="35" t="str">
        <x:v>System automation</x:v>
      </x:c>
      <x:c r="K681" s="20" t="str"/>
      <x:c r="L681" s="20" t="str">
        <x:v>LATE-202708-L044</x:v>
      </x:c>
      <x:c r="M681" s="26" t="n">
        <x:v>50</x:v>
      </x:c>
      <x:c r="N681" s="26" t="n">
        <x:v>50</x:v>
      </x:c>
      <x:c r="O681" s="26" t="n">
        <x:v>0</x:v>
      </x:c>
      <x:c r="P681" s="26" t="n">
        <x:v>0</x:v>
      </x:c>
      <x:c r="Q681" s="26" t="n">
        <x:v>0</x:v>
      </x:c>
      <x:c r="R681" s="26" t="n">
        <x:v>0</x:v>
      </x:c>
      <x:c r="S681" s="26" t="n">
        <x:v>0</x:v>
      </x:c>
      <x:c r="T681" s="26" t="n">
        <x:v>50</x:v>
      </x:c>
      <x:c r="U681" s="26" t="n">
        <x:v>0</x:v>
      </x:c>
      <x:c r="V681" s="26" t="n">
        <x:v>0</x:v>
      </x:c>
      <x:c r="W681" s="26" t="n">
        <x:v>0</x:v>
      </x:c>
      <x:c r="X681" s="26" t="n">
        <x:v>0</x:v>
      </x:c>
      <x:c r="Y681" s="26" t="n">
        <x:v>0</x:v>
      </x:c>
      <x:c r="Z681" s="35" t="str">
        <x:v>Synthetic lease-authorized late fee after partial payment</x:v>
      </x:c>
    </x:row>
    <x:row r="682">
      <x:c r="A682" s="20" t="str">
        <x:v>FIN-00679</x:v>
      </x:c>
      <x:c r="B682" s="23" t="n">
        <x:v>46611</x:v>
      </x:c>
      <x:c r="C682" s="23" t="n">
        <x:v>46611</x:v>
      </x:c>
      <x:c r="D682" s="20" t="str">
        <x:v>TenantReceipt</x:v>
      </x:c>
      <x:c r="E682" s="20" t="str">
        <x:v>Rent receipt</x:v>
      </x:c>
      <x:c r="F682" s="20" t="str">
        <x:v>P029</x:v>
      </x:c>
      <x:c r="G682" s="20" t="str">
        <x:v>U038</x:v>
      </x:c>
      <x:c r="H682" s="20" t="str">
        <x:v>L044</x:v>
      </x:c>
      <x:c r="I682" s="20" t="str">
        <x:v>Keira Adams</x:v>
      </x:c>
      <x:c r="J682" s="35" t="str">
        <x:v>Manual ACH</x:v>
      </x:c>
      <x:c r="K682" s="20" t="str"/>
      <x:c r="L682" s="20" t="str">
        <x:v>PMT-20270812-L044-B</x:v>
      </x:c>
      <x:c r="M682" s="26" t="n">
        <x:v>570</x:v>
      </x:c>
      <x:c r="N682" s="26" t="n">
        <x:v>-570</x:v>
      </x:c>
      <x:c r="O682" s="26" t="n">
        <x:v>570</x:v>
      </x:c>
      <x:c r="P682" s="26" t="n">
        <x:v>0</x:v>
      </x:c>
      <x:c r="Q682" s="26" t="n">
        <x:v>0</x:v>
      </x:c>
      <x:c r="R682" s="26" t="n">
        <x:v>0</x:v>
      </x:c>
      <x:c r="S682" s="26" t="n">
        <x:v>0</x:v>
      </x:c>
      <x:c r="T682" s="26" t="n">
        <x:v>0</x:v>
      </x:c>
      <x:c r="U682" s="26" t="n">
        <x:v>0</x:v>
      </x:c>
      <x:c r="V682" s="26" t="n">
        <x:v>0</x:v>
      </x:c>
      <x:c r="W682" s="26" t="n">
        <x:v>0</x:v>
      </x:c>
      <x:c r="X682" s="26" t="n">
        <x:v>0</x:v>
      </x:c>
      <x:c r="Y682" s="26" t="n">
        <x:v>0</x:v>
      </x:c>
      <x:c r="Z682" s="35" t="str">
        <x:v>Receipt allocated to FIN-00678</x:v>
      </x:c>
    </x:row>
    <x:row r="683">
      <x:c r="A683" s="20" t="str">
        <x:v>FIN-00680</x:v>
      </x:c>
      <x:c r="B683" s="23" t="n">
        <x:v>46600</x:v>
      </x:c>
      <x:c r="C683" s="23" t="n">
        <x:v>46600</x:v>
      </x:c>
      <x:c r="D683" s="20" t="str">
        <x:v>TenantCharge</x:v>
      </x:c>
      <x:c r="E683" s="20" t="str">
        <x:v>Rent</x:v>
      </x:c>
      <x:c r="F683" s="20" t="str">
        <x:v>P030</x:v>
      </x:c>
      <x:c r="G683" s="20" t="str">
        <x:v>U039</x:v>
      </x:c>
      <x:c r="H683" s="20" t="str">
        <x:v>L045</x:v>
      </x:c>
      <x:c r="I683" s="20" t="str">
        <x:v>Nolan Flores</x:v>
      </x:c>
      <x:c r="J683" s="35" t="str">
        <x:v>System scheduled charge</x:v>
      </x:c>
      <x:c r="K683" s="20" t="str"/>
      <x:c r="L683" s="20" t="str">
        <x:v>RENT-202708-L045</x:v>
      </x:c>
      <x:c r="M683" s="26" t="n">
        <x:v>1825</x:v>
      </x:c>
      <x:c r="N683" s="26" t="n">
        <x:v>1825</x:v>
      </x:c>
      <x:c r="O683" s="26" t="n">
        <x:v>0</x:v>
      </x:c>
      <x:c r="P683" s="26" t="n">
        <x:v>0</x:v>
      </x:c>
      <x:c r="Q683" s="26" t="n">
        <x:v>0</x:v>
      </x:c>
      <x:c r="R683" s="26" t="n">
        <x:v>0</x:v>
      </x:c>
      <x:c r="S683" s="26" t="n">
        <x:v>0</x:v>
      </x:c>
      <x:c r="T683" s="26" t="n">
        <x:v>1825</x:v>
      </x:c>
      <x:c r="U683" s="26" t="n">
        <x:v>0</x:v>
      </x:c>
      <x:c r="V683" s="26" t="n">
        <x:v>0</x:v>
      </x:c>
      <x:c r="W683" s="26" t="n">
        <x:v>0</x:v>
      </x:c>
      <x:c r="X683" s="26" t="n">
        <x:v>0</x:v>
      </x:c>
      <x:c r="Y683" s="26" t="n">
        <x:v>0</x:v>
      </x:c>
      <x:c r="Z683" s="35" t="str">
        <x:v>August 2027 rent</x:v>
      </x:c>
    </x:row>
    <x:row r="684">
      <x:c r="A684" s="20" t="str">
        <x:v>FIN-00681</x:v>
      </x:c>
      <x:c r="B684" s="23" t="n">
        <x:v>46602</x:v>
      </x:c>
      <x:c r="C684" s="23" t="n">
        <x:v>46602</x:v>
      </x:c>
      <x:c r="D684" s="20" t="str">
        <x:v>TenantReceipt</x:v>
      </x:c>
      <x:c r="E684" s="20" t="str">
        <x:v>Rent receipt</x:v>
      </x:c>
      <x:c r="F684" s="20" t="str">
        <x:v>P030</x:v>
      </x:c>
      <x:c r="G684" s="20" t="str">
        <x:v>U039</x:v>
      </x:c>
      <x:c r="H684" s="20" t="str">
        <x:v>L045</x:v>
      </x:c>
      <x:c r="I684" s="20" t="str">
        <x:v>Nolan Flores</x:v>
      </x:c>
      <x:c r="J684" s="35" t="str">
        <x:v>Scanned money order</x:v>
      </x:c>
      <x:c r="K684" s="20" t="str">
        <x:v>SCN-0259</x:v>
      </x:c>
      <x:c r="L684" s="20" t="str">
        <x:v>PMT-20270803-L045</x:v>
      </x:c>
      <x:c r="M684" s="26" t="n">
        <x:v>1825</x:v>
      </x:c>
      <x:c r="N684" s="26" t="n">
        <x:v>-1825</x:v>
      </x:c>
      <x:c r="O684" s="26" t="n">
        <x:v>1825</x:v>
      </x:c>
      <x:c r="P684" s="26" t="n">
        <x:v>0</x:v>
      </x:c>
      <x:c r="Q684" s="26" t="n">
        <x:v>0</x:v>
      </x:c>
      <x:c r="R684" s="26" t="n">
        <x:v>0</x:v>
      </x:c>
      <x:c r="S684" s="26" t="n">
        <x:v>0</x:v>
      </x:c>
      <x:c r="T684" s="26" t="n">
        <x:v>0</x:v>
      </x:c>
      <x:c r="U684" s="26" t="n">
        <x:v>0</x:v>
      </x:c>
      <x:c r="V684" s="26" t="n">
        <x:v>0</x:v>
      </x:c>
      <x:c r="W684" s="26" t="n">
        <x:v>0</x:v>
      </x:c>
      <x:c r="X684" s="26" t="n">
        <x:v>0</x:v>
      </x:c>
      <x:c r="Y684" s="26" t="n">
        <x:v>0</x:v>
      </x:c>
      <x:c r="Z684" s="35" t="str">
        <x:v>Receipt allocated to FIN-00680</x:v>
      </x:c>
    </x:row>
    <x:row r="685">
      <x:c r="A685" s="20" t="str">
        <x:v>FIN-00682</x:v>
      </x:c>
      <x:c r="B685" s="23" t="n">
        <x:v>46631</x:v>
      </x:c>
      <x:c r="C685" s="23" t="n">
        <x:v>46631</x:v>
      </x:c>
      <x:c r="D685" s="20" t="str">
        <x:v>TenantCharge</x:v>
      </x:c>
      <x:c r="E685" s="20" t="str">
        <x:v>Rent</x:v>
      </x:c>
      <x:c r="F685" s="20" t="str">
        <x:v>P001</x:v>
      </x:c>
      <x:c r="G685" s="20" t="str">
        <x:v>U001</x:v>
      </x:c>
      <x:c r="H685" s="20" t="str">
        <x:v>L001</x:v>
      </x:c>
      <x:c r="I685" s="20" t="str">
        <x:v>Dana Garcia</x:v>
      </x:c>
      <x:c r="J685" s="35" t="str">
        <x:v>System scheduled charge</x:v>
      </x:c>
      <x:c r="K685" s="20" t="str"/>
      <x:c r="L685" s="20" t="str">
        <x:v>RENT-202709-L001</x:v>
      </x:c>
      <x:c r="M685" s="26" t="n">
        <x:v>1575</x:v>
      </x:c>
      <x:c r="N685" s="26" t="n">
        <x:v>1575</x:v>
      </x:c>
      <x:c r="O685" s="26" t="n">
        <x:v>0</x:v>
      </x:c>
      <x:c r="P685" s="26" t="n">
        <x:v>0</x:v>
      </x:c>
      <x:c r="Q685" s="26" t="n">
        <x:v>0</x:v>
      </x:c>
      <x:c r="R685" s="26" t="n">
        <x:v>0</x:v>
      </x:c>
      <x:c r="S685" s="26" t="n">
        <x:v>0</x:v>
      </x:c>
      <x:c r="T685" s="26" t="n">
        <x:v>1575</x:v>
      </x:c>
      <x:c r="U685" s="26" t="n">
        <x:v>0</x:v>
      </x:c>
      <x:c r="V685" s="26" t="n">
        <x:v>0</x:v>
      </x:c>
      <x:c r="W685" s="26" t="n">
        <x:v>0</x:v>
      </x:c>
      <x:c r="X685" s="26" t="n">
        <x:v>0</x:v>
      </x:c>
      <x:c r="Y685" s="26" t="n">
        <x:v>0</x:v>
      </x:c>
      <x:c r="Z685" s="35" t="str">
        <x:v>September 2027 rent</x:v>
      </x:c>
    </x:row>
    <x:row r="686">
      <x:c r="A686" s="20" t="str">
        <x:v>FIN-00683</x:v>
      </x:c>
      <x:c r="B686" s="23" t="n">
        <x:v>46634</x:v>
      </x:c>
      <x:c r="C686" s="23" t="n">
        <x:v>46634</x:v>
      </x:c>
      <x:c r="D686" s="20" t="str">
        <x:v>TenantReceipt</x:v>
      </x:c>
      <x:c r="E686" s="20" t="str">
        <x:v>Rent receipt</x:v>
      </x:c>
      <x:c r="F686" s="20" t="str">
        <x:v>P001</x:v>
      </x:c>
      <x:c r="G686" s="20" t="str">
        <x:v>U001</x:v>
      </x:c>
      <x:c r="H686" s="20" t="str">
        <x:v>L001</x:v>
      </x:c>
      <x:c r="I686" s="20" t="str">
        <x:v>Dana Garcia</x:v>
      </x:c>
      <x:c r="J686" s="35" t="str">
        <x:v>Scanned money order</x:v>
      </x:c>
      <x:c r="K686" s="20" t="str">
        <x:v>SCN-0260</x:v>
      </x:c>
      <x:c r="L686" s="20" t="str">
        <x:v>PMT-20270904-L001</x:v>
      </x:c>
      <x:c r="M686" s="26" t="n">
        <x:v>1575</x:v>
      </x:c>
      <x:c r="N686" s="26" t="n">
        <x:v>-1575</x:v>
      </x:c>
      <x:c r="O686" s="26" t="n">
        <x:v>1575</x:v>
      </x:c>
      <x:c r="P686" s="26" t="n">
        <x:v>0</x:v>
      </x:c>
      <x:c r="Q686" s="26" t="n">
        <x:v>0</x:v>
      </x:c>
      <x:c r="R686" s="26" t="n">
        <x:v>0</x:v>
      </x:c>
      <x:c r="S686" s="26" t="n">
        <x:v>0</x:v>
      </x:c>
      <x:c r="T686" s="26" t="n">
        <x:v>0</x:v>
      </x:c>
      <x:c r="U686" s="26" t="n">
        <x:v>0</x:v>
      </x:c>
      <x:c r="V686" s="26" t="n">
        <x:v>0</x:v>
      </x:c>
      <x:c r="W686" s="26" t="n">
        <x:v>0</x:v>
      </x:c>
      <x:c r="X686" s="26" t="n">
        <x:v>0</x:v>
      </x:c>
      <x:c r="Y686" s="26" t="n">
        <x:v>0</x:v>
      </x:c>
      <x:c r="Z686" s="35" t="str">
        <x:v>Receipt allocated to FIN-00682</x:v>
      </x:c>
    </x:row>
    <x:row r="687">
      <x:c r="A687" s="20" t="str">
        <x:v>FIN-00684</x:v>
      </x:c>
      <x:c r="B687" s="23" t="n">
        <x:v>46631</x:v>
      </x:c>
      <x:c r="C687" s="23" t="n">
        <x:v>46631</x:v>
      </x:c>
      <x:c r="D687" s="20" t="str">
        <x:v>TenantCharge</x:v>
      </x:c>
      <x:c r="E687" s="20" t="str">
        <x:v>Rent</x:v>
      </x:c>
      <x:c r="F687" s="20" t="str">
        <x:v>P002</x:v>
      </x:c>
      <x:c r="G687" s="20" t="str">
        <x:v>U002</x:v>
      </x:c>
      <x:c r="H687" s="20" t="str">
        <x:v>L002</x:v>
      </x:c>
      <x:c r="I687" s="20" t="str">
        <x:v>Gray Lewis</x:v>
      </x:c>
      <x:c r="J687" s="35" t="str">
        <x:v>System scheduled charge</x:v>
      </x:c>
      <x:c r="K687" s="20" t="str"/>
      <x:c r="L687" s="20" t="str">
        <x:v>RENT-202709-L002</x:v>
      </x:c>
      <x:c r="M687" s="26" t="n">
        <x:v>1200</x:v>
      </x:c>
      <x:c r="N687" s="26" t="n">
        <x:v>1200</x:v>
      </x:c>
      <x:c r="O687" s="26" t="n">
        <x:v>0</x:v>
      </x:c>
      <x:c r="P687" s="26" t="n">
        <x:v>0</x:v>
      </x:c>
      <x:c r="Q687" s="26" t="n">
        <x:v>0</x:v>
      </x:c>
      <x:c r="R687" s="26" t="n">
        <x:v>0</x:v>
      </x:c>
      <x:c r="S687" s="26" t="n">
        <x:v>0</x:v>
      </x:c>
      <x:c r="T687" s="26" t="n">
        <x:v>1200</x:v>
      </x:c>
      <x:c r="U687" s="26" t="n">
        <x:v>0</x:v>
      </x:c>
      <x:c r="V687" s="26" t="n">
        <x:v>0</x:v>
      </x:c>
      <x:c r="W687" s="26" t="n">
        <x:v>0</x:v>
      </x:c>
      <x:c r="X687" s="26" t="n">
        <x:v>0</x:v>
      </x:c>
      <x:c r="Y687" s="26" t="n">
        <x:v>0</x:v>
      </x:c>
      <x:c r="Z687" s="35" t="str">
        <x:v>September 2027 rent</x:v>
      </x:c>
    </x:row>
    <x:row r="688">
      <x:c r="A688" s="20" t="str">
        <x:v>FIN-00685</x:v>
      </x:c>
      <x:c r="B688" s="23" t="n">
        <x:v>46635</x:v>
      </x:c>
      <x:c r="C688" s="23" t="n">
        <x:v>46635</x:v>
      </x:c>
      <x:c r="D688" s="20" t="str">
        <x:v>TenantReceipt</x:v>
      </x:c>
      <x:c r="E688" s="20" t="str">
        <x:v>Rent receipt</x:v>
      </x:c>
      <x:c r="F688" s="20" t="str">
        <x:v>P002</x:v>
      </x:c>
      <x:c r="G688" s="20" t="str">
        <x:v>U002</x:v>
      </x:c>
      <x:c r="H688" s="20" t="str">
        <x:v>L002</x:v>
      </x:c>
      <x:c r="I688" s="20" t="str">
        <x:v>Gray Lewis</x:v>
      </x:c>
      <x:c r="J688" s="35" t="str">
        <x:v>Manual ACH</x:v>
      </x:c>
      <x:c r="K688" s="20" t="str"/>
      <x:c r="L688" s="20" t="str">
        <x:v>PMT-20270905-L002</x:v>
      </x:c>
      <x:c r="M688" s="26" t="n">
        <x:v>1200</x:v>
      </x:c>
      <x:c r="N688" s="26" t="n">
        <x:v>-1200</x:v>
      </x:c>
      <x:c r="O688" s="26" t="n">
        <x:v>1200</x:v>
      </x:c>
      <x:c r="P688" s="26" t="n">
        <x:v>0</x:v>
      </x:c>
      <x:c r="Q688" s="26" t="n">
        <x:v>0</x:v>
      </x:c>
      <x:c r="R688" s="26" t="n">
        <x:v>0</x:v>
      </x:c>
      <x:c r="S688" s="26" t="n">
        <x:v>0</x:v>
      </x:c>
      <x:c r="T688" s="26" t="n">
        <x:v>0</x:v>
      </x:c>
      <x:c r="U688" s="26" t="n">
        <x:v>0</x:v>
      </x:c>
      <x:c r="V688" s="26" t="n">
        <x:v>0</x:v>
      </x:c>
      <x:c r="W688" s="26" t="n">
        <x:v>0</x:v>
      </x:c>
      <x:c r="X688" s="26" t="n">
        <x:v>0</x:v>
      </x:c>
      <x:c r="Y688" s="26" t="n">
        <x:v>0</x:v>
      </x:c>
      <x:c r="Z688" s="35" t="str">
        <x:v>Receipt allocated to FIN-00684</x:v>
      </x:c>
    </x:row>
    <x:row r="689">
      <x:c r="A689" s="20" t="str">
        <x:v>FIN-00686</x:v>
      </x:c>
      <x:c r="B689" s="23" t="n">
        <x:v>46631</x:v>
      </x:c>
      <x:c r="C689" s="23" t="n">
        <x:v>46631</x:v>
      </x:c>
      <x:c r="D689" s="20" t="str">
        <x:v>TenantCharge</x:v>
      </x:c>
      <x:c r="E689" s="20" t="str">
        <x:v>Rent</x:v>
      </x:c>
      <x:c r="F689" s="20" t="str">
        <x:v>P003</x:v>
      </x:c>
      <x:c r="G689" s="20" t="str">
        <x:v>U003</x:v>
      </x:c>
      <x:c r="H689" s="20" t="str">
        <x:v>L003</x:v>
      </x:c>
      <x:c r="I689" s="20" t="str">
        <x:v>Jordan Reed</x:v>
      </x:c>
      <x:c r="J689" s="35" t="str">
        <x:v>System scheduled charge</x:v>
      </x:c>
      <x:c r="K689" s="20" t="str"/>
      <x:c r="L689" s="20" t="str">
        <x:v>RENT-202709-L003</x:v>
      </x:c>
      <x:c r="M689" s="26" t="n">
        <x:v>1725</x:v>
      </x:c>
      <x:c r="N689" s="26" t="n">
        <x:v>1725</x:v>
      </x:c>
      <x:c r="O689" s="26" t="n">
        <x:v>0</x:v>
      </x:c>
      <x:c r="P689" s="26" t="n">
        <x:v>0</x:v>
      </x:c>
      <x:c r="Q689" s="26" t="n">
        <x:v>0</x:v>
      </x:c>
      <x:c r="R689" s="26" t="n">
        <x:v>0</x:v>
      </x:c>
      <x:c r="S689" s="26" t="n">
        <x:v>0</x:v>
      </x:c>
      <x:c r="T689" s="26" t="n">
        <x:v>1725</x:v>
      </x:c>
      <x:c r="U689" s="26" t="n">
        <x:v>0</x:v>
      </x:c>
      <x:c r="V689" s="26" t="n">
        <x:v>0</x:v>
      </x:c>
      <x:c r="W689" s="26" t="n">
        <x:v>0</x:v>
      </x:c>
      <x:c r="X689" s="26" t="n">
        <x:v>0</x:v>
      </x:c>
      <x:c r="Y689" s="26" t="n">
        <x:v>0</x:v>
      </x:c>
      <x:c r="Z689" s="35" t="str">
        <x:v>September 2027 rent</x:v>
      </x:c>
    </x:row>
    <x:row r="690">
      <x:c r="A690" s="20" t="str">
        <x:v>FIN-00687</x:v>
      </x:c>
      <x:c r="B690" s="23" t="n">
        <x:v>46633</x:v>
      </x:c>
      <x:c r="C690" s="23" t="n">
        <x:v>46633</x:v>
      </x:c>
      <x:c r="D690" s="20" t="str">
        <x:v>TenantReceipt</x:v>
      </x:c>
      <x:c r="E690" s="20" t="str">
        <x:v>Rent receipt</x:v>
      </x:c>
      <x:c r="F690" s="20" t="str">
        <x:v>P003</x:v>
      </x:c>
      <x:c r="G690" s="20" t="str">
        <x:v>U003</x:v>
      </x:c>
      <x:c r="H690" s="20" t="str">
        <x:v>L003</x:v>
      </x:c>
      <x:c r="I690" s="20" t="str">
        <x:v>Jordan Reed</x:v>
      </x:c>
      <x:c r="J690" s="35" t="str">
        <x:v>Portal card</x:v>
      </x:c>
      <x:c r="K690" s="20" t="str"/>
      <x:c r="L690" s="20" t="str">
        <x:v>PMT-20270903-L003</x:v>
      </x:c>
      <x:c r="M690" s="26" t="n">
        <x:v>1725</x:v>
      </x:c>
      <x:c r="N690" s="26" t="n">
        <x:v>-1725</x:v>
      </x:c>
      <x:c r="O690" s="26" t="n">
        <x:v>1725</x:v>
      </x:c>
      <x:c r="P690" s="26" t="n">
        <x:v>0</x:v>
      </x:c>
      <x:c r="Q690" s="26" t="n">
        <x:v>0</x:v>
      </x:c>
      <x:c r="R690" s="26" t="n">
        <x:v>0</x:v>
      </x:c>
      <x:c r="S690" s="26" t="n">
        <x:v>0</x:v>
      </x:c>
      <x:c r="T690" s="26" t="n">
        <x:v>0</x:v>
      </x:c>
      <x:c r="U690" s="26" t="n">
        <x:v>0</x:v>
      </x:c>
      <x:c r="V690" s="26" t="n">
        <x:v>0</x:v>
      </x:c>
      <x:c r="W690" s="26" t="n">
        <x:v>0</x:v>
      </x:c>
      <x:c r="X690" s="26" t="n">
        <x:v>0</x:v>
      </x:c>
      <x:c r="Y690" s="26" t="n">
        <x:v>0</x:v>
      </x:c>
      <x:c r="Z690" s="35" t="str">
        <x:v>Receipt allocated to FIN-00686</x:v>
      </x:c>
    </x:row>
    <x:row r="691">
      <x:c r="A691" s="20" t="str">
        <x:v>FIN-00688</x:v>
      </x:c>
      <x:c r="B691" s="23" t="n">
        <x:v>46631</x:v>
      </x:c>
      <x:c r="C691" s="23" t="n">
        <x:v>46631</x:v>
      </x:c>
      <x:c r="D691" s="20" t="str">
        <x:v>TenantCharge</x:v>
      </x:c>
      <x:c r="E691" s="20" t="str">
        <x:v>Rent</x:v>
      </x:c>
      <x:c r="F691" s="20" t="str">
        <x:v>P004</x:v>
      </x:c>
      <x:c r="G691" s="20" t="str">
        <x:v>U004</x:v>
      </x:c>
      <x:c r="H691" s="20" t="str">
        <x:v>L004</x:v>
      </x:c>
      <x:c r="I691" s="20" t="str">
        <x:v>Morgan Adams</x:v>
      </x:c>
      <x:c r="J691" s="35" t="str">
        <x:v>System scheduled charge</x:v>
      </x:c>
      <x:c r="K691" s="20" t="str"/>
      <x:c r="L691" s="20" t="str">
        <x:v>RENT-202709-L004</x:v>
      </x:c>
      <x:c r="M691" s="26" t="n">
        <x:v>1350</x:v>
      </x:c>
      <x:c r="N691" s="26" t="n">
        <x:v>1350</x:v>
      </x:c>
      <x:c r="O691" s="26" t="n">
        <x:v>0</x:v>
      </x:c>
      <x:c r="P691" s="26" t="n">
        <x:v>0</x:v>
      </x:c>
      <x:c r="Q691" s="26" t="n">
        <x:v>0</x:v>
      </x:c>
      <x:c r="R691" s="26" t="n">
        <x:v>0</x:v>
      </x:c>
      <x:c r="S691" s="26" t="n">
        <x:v>0</x:v>
      </x:c>
      <x:c r="T691" s="26" t="n">
        <x:v>1350</x:v>
      </x:c>
      <x:c r="U691" s="26" t="n">
        <x:v>0</x:v>
      </x:c>
      <x:c r="V691" s="26" t="n">
        <x:v>0</x:v>
      </x:c>
      <x:c r="W691" s="26" t="n">
        <x:v>0</x:v>
      </x:c>
      <x:c r="X691" s="26" t="n">
        <x:v>0</x:v>
      </x:c>
      <x:c r="Y691" s="26" t="n">
        <x:v>0</x:v>
      </x:c>
      <x:c r="Z691" s="35" t="str">
        <x:v>September 2027 rent</x:v>
      </x:c>
    </x:row>
    <x:row r="692">
      <x:c r="A692" s="20" t="str">
        <x:v>FIN-00689</x:v>
      </x:c>
      <x:c r="B692" s="23" t="n">
        <x:v>46634</x:v>
      </x:c>
      <x:c r="C692" s="23" t="n">
        <x:v>46634</x:v>
      </x:c>
      <x:c r="D692" s="20" t="str">
        <x:v>TenantReceipt</x:v>
      </x:c>
      <x:c r="E692" s="20" t="str">
        <x:v>Rent receipt</x:v>
      </x:c>
      <x:c r="F692" s="20" t="str">
        <x:v>P004</x:v>
      </x:c>
      <x:c r="G692" s="20" t="str">
        <x:v>U004</x:v>
      </x:c>
      <x:c r="H692" s="20" t="str">
        <x:v>L004</x:v>
      </x:c>
      <x:c r="I692" s="20" t="str">
        <x:v>Morgan Adams</x:v>
      </x:c>
      <x:c r="J692" s="35" t="str">
        <x:v>Scanned check</x:v>
      </x:c>
      <x:c r="K692" s="20" t="str">
        <x:v>SCN-0261</x:v>
      </x:c>
      <x:c r="L692" s="20" t="str">
        <x:v>PMT-20270904-L004</x:v>
      </x:c>
      <x:c r="M692" s="26" t="n">
        <x:v>1350</x:v>
      </x:c>
      <x:c r="N692" s="26" t="n">
        <x:v>-1350</x:v>
      </x:c>
      <x:c r="O692" s="26" t="n">
        <x:v>1350</x:v>
      </x:c>
      <x:c r="P692" s="26" t="n">
        <x:v>0</x:v>
      </x:c>
      <x:c r="Q692" s="26" t="n">
        <x:v>0</x:v>
      </x:c>
      <x:c r="R692" s="26" t="n">
        <x:v>0</x:v>
      </x:c>
      <x:c r="S692" s="26" t="n">
        <x:v>0</x:v>
      </x:c>
      <x:c r="T692" s="26" t="n">
        <x:v>0</x:v>
      </x:c>
      <x:c r="U692" s="26" t="n">
        <x:v>0</x:v>
      </x:c>
      <x:c r="V692" s="26" t="n">
        <x:v>0</x:v>
      </x:c>
      <x:c r="W692" s="26" t="n">
        <x:v>0</x:v>
      </x:c>
      <x:c r="X692" s="26" t="n">
        <x:v>0</x:v>
      </x:c>
      <x:c r="Y692" s="26" t="n">
        <x:v>0</x:v>
      </x:c>
      <x:c r="Z692" s="35" t="str">
        <x:v>Receipt allocated to FIN-00688</x:v>
      </x:c>
    </x:row>
    <x:row r="693">
      <x:c r="A693" s="20" t="str">
        <x:v>FIN-00690</x:v>
      </x:c>
      <x:c r="B693" s="23" t="n">
        <x:v>46631</x:v>
      </x:c>
      <x:c r="C693" s="23" t="n">
        <x:v>46631</x:v>
      </x:c>
      <x:c r="D693" s="20" t="str">
        <x:v>TenantCharge</x:v>
      </x:c>
      <x:c r="E693" s="20" t="str">
        <x:v>Rent</x:v>
      </x:c>
      <x:c r="F693" s="20" t="str">
        <x:v>P006</x:v>
      </x:c>
      <x:c r="G693" s="20" t="str">
        <x:v>U006</x:v>
      </x:c>
      <x:c r="H693" s="20" t="str">
        <x:v>L006</x:v>
      </x:c>
      <x:c r="I693" s="20" t="str">
        <x:v>Sage King</x:v>
      </x:c>
      <x:c r="J693" s="35" t="str">
        <x:v>System scheduled charge</x:v>
      </x:c>
      <x:c r="K693" s="20" t="str"/>
      <x:c r="L693" s="20" t="str">
        <x:v>RENT-202709-L006</x:v>
      </x:c>
      <x:c r="M693" s="26" t="n">
        <x:v>1500</x:v>
      </x:c>
      <x:c r="N693" s="26" t="n">
        <x:v>1500</x:v>
      </x:c>
      <x:c r="O693" s="26" t="n">
        <x:v>0</x:v>
      </x:c>
      <x:c r="P693" s="26" t="n">
        <x:v>0</x:v>
      </x:c>
      <x:c r="Q693" s="26" t="n">
        <x:v>0</x:v>
      </x:c>
      <x:c r="R693" s="26" t="n">
        <x:v>0</x:v>
      </x:c>
      <x:c r="S693" s="26" t="n">
        <x:v>0</x:v>
      </x:c>
      <x:c r="T693" s="26" t="n">
        <x:v>1500</x:v>
      </x:c>
      <x:c r="U693" s="26" t="n">
        <x:v>0</x:v>
      </x:c>
      <x:c r="V693" s="26" t="n">
        <x:v>0</x:v>
      </x:c>
      <x:c r="W693" s="26" t="n">
        <x:v>0</x:v>
      </x:c>
      <x:c r="X693" s="26" t="n">
        <x:v>0</x:v>
      </x:c>
      <x:c r="Y693" s="26" t="n">
        <x:v>0</x:v>
      </x:c>
      <x:c r="Z693" s="35" t="str">
        <x:v>September 2027 rent</x:v>
      </x:c>
    </x:row>
    <x:row r="694">
      <x:c r="A694" s="20" t="str">
        <x:v>FIN-00691</x:v>
      </x:c>
      <x:c r="B694" s="23" t="n">
        <x:v>46633</x:v>
      </x:c>
      <x:c r="C694" s="23" t="n">
        <x:v>46633</x:v>
      </x:c>
      <x:c r="D694" s="20" t="str">
        <x:v>TenantReceipt</x:v>
      </x:c>
      <x:c r="E694" s="20" t="str">
        <x:v>Rent receipt</x:v>
      </x:c>
      <x:c r="F694" s="20" t="str">
        <x:v>P006</x:v>
      </x:c>
      <x:c r="G694" s="20" t="str">
        <x:v>U006</x:v>
      </x:c>
      <x:c r="H694" s="20" t="str">
        <x:v>L006</x:v>
      </x:c>
      <x:c r="I694" s="20" t="str">
        <x:v>Sage King</x:v>
      </x:c>
      <x:c r="J694" s="35" t="str">
        <x:v>Manual ACH</x:v>
      </x:c>
      <x:c r="K694" s="20" t="str"/>
      <x:c r="L694" s="20" t="str">
        <x:v>PMT-20270903-L006</x:v>
      </x:c>
      <x:c r="M694" s="26" t="n">
        <x:v>1500</x:v>
      </x:c>
      <x:c r="N694" s="26" t="n">
        <x:v>-1500</x:v>
      </x:c>
      <x:c r="O694" s="26" t="n">
        <x:v>1500</x:v>
      </x:c>
      <x:c r="P694" s="26" t="n">
        <x:v>0</x:v>
      </x:c>
      <x:c r="Q694" s="26" t="n">
        <x:v>0</x:v>
      </x:c>
      <x:c r="R694" s="26" t="n">
        <x:v>0</x:v>
      </x:c>
      <x:c r="S694" s="26" t="n">
        <x:v>0</x:v>
      </x:c>
      <x:c r="T694" s="26" t="n">
        <x:v>0</x:v>
      </x:c>
      <x:c r="U694" s="26" t="n">
        <x:v>0</x:v>
      </x:c>
      <x:c r="V694" s="26" t="n">
        <x:v>0</x:v>
      </x:c>
      <x:c r="W694" s="26" t="n">
        <x:v>0</x:v>
      </x:c>
      <x:c r="X694" s="26" t="n">
        <x:v>0</x:v>
      </x:c>
      <x:c r="Y694" s="26" t="n">
        <x:v>0</x:v>
      </x:c>
      <x:c r="Z694" s="35" t="str">
        <x:v>Receipt allocated to FIN-00690</x:v>
      </x:c>
    </x:row>
    <x:row r="695">
      <x:c r="A695" s="20" t="str">
        <x:v>FIN-00692</x:v>
      </x:c>
      <x:c r="B695" s="23" t="n">
        <x:v>46631</x:v>
      </x:c>
      <x:c r="C695" s="23" t="n">
        <x:v>46631</x:v>
      </x:c>
      <x:c r="D695" s="20" t="str">
        <x:v>TenantCharge</x:v>
      </x:c>
      <x:c r="E695" s="20" t="str">
        <x:v>Rent</x:v>
      </x:c>
      <x:c r="F695" s="20" t="str">
        <x:v>P007</x:v>
      </x:c>
      <x:c r="G695" s="20" t="str">
        <x:v>U007</x:v>
      </x:c>
      <x:c r="H695" s="20" t="str">
        <x:v>L007</x:v>
      </x:c>
      <x:c r="I695" s="20" t="str">
        <x:v>Val Price</x:v>
      </x:c>
      <x:c r="J695" s="35" t="str">
        <x:v>System scheduled charge</x:v>
      </x:c>
      <x:c r="K695" s="20" t="str"/>
      <x:c r="L695" s="20" t="str">
        <x:v>RENT-202709-L007</x:v>
      </x:c>
      <x:c r="M695" s="26" t="n">
        <x:v>1125</x:v>
      </x:c>
      <x:c r="N695" s="26" t="n">
        <x:v>1125</x:v>
      </x:c>
      <x:c r="O695" s="26" t="n">
        <x:v>0</x:v>
      </x:c>
      <x:c r="P695" s="26" t="n">
        <x:v>0</x:v>
      </x:c>
      <x:c r="Q695" s="26" t="n">
        <x:v>0</x:v>
      </x:c>
      <x:c r="R695" s="26" t="n">
        <x:v>0</x:v>
      </x:c>
      <x:c r="S695" s="26" t="n">
        <x:v>0</x:v>
      </x:c>
      <x:c r="T695" s="26" t="n">
        <x:v>1125</x:v>
      </x:c>
      <x:c r="U695" s="26" t="n">
        <x:v>0</x:v>
      </x:c>
      <x:c r="V695" s="26" t="n">
        <x:v>0</x:v>
      </x:c>
      <x:c r="W695" s="26" t="n">
        <x:v>0</x:v>
      </x:c>
      <x:c r="X695" s="26" t="n">
        <x:v>0</x:v>
      </x:c>
      <x:c r="Y695" s="26" t="n">
        <x:v>0</x:v>
      </x:c>
      <x:c r="Z695" s="35" t="str">
        <x:v>September 2027 rent</x:v>
      </x:c>
    </x:row>
    <x:row r="696">
      <x:c r="A696" s="20" t="str">
        <x:v>FIN-00693</x:v>
      </x:c>
      <x:c r="B696" s="23" t="n">
        <x:v>46634</x:v>
      </x:c>
      <x:c r="C696" s="23" t="n">
        <x:v>46634</x:v>
      </x:c>
      <x:c r="D696" s="20" t="str">
        <x:v>TenantReceipt</x:v>
      </x:c>
      <x:c r="E696" s="20" t="str">
        <x:v>Rent receipt</x:v>
      </x:c>
      <x:c r="F696" s="20" t="str">
        <x:v>P007</x:v>
      </x:c>
      <x:c r="G696" s="20" t="str">
        <x:v>U007</x:v>
      </x:c>
      <x:c r="H696" s="20" t="str">
        <x:v>L007</x:v>
      </x:c>
      <x:c r="I696" s="20" t="str">
        <x:v>Val Price</x:v>
      </x:c>
      <x:c r="J696" s="35" t="str">
        <x:v>Portal card</x:v>
      </x:c>
      <x:c r="K696" s="20" t="str"/>
      <x:c r="L696" s="20" t="str">
        <x:v>PMT-20270904-L007</x:v>
      </x:c>
      <x:c r="M696" s="26" t="n">
        <x:v>1125</x:v>
      </x:c>
      <x:c r="N696" s="26" t="n">
        <x:v>-1125</x:v>
      </x:c>
      <x:c r="O696" s="26" t="n">
        <x:v>1125</x:v>
      </x:c>
      <x:c r="P696" s="26" t="n">
        <x:v>0</x:v>
      </x:c>
      <x:c r="Q696" s="26" t="n">
        <x:v>0</x:v>
      </x:c>
      <x:c r="R696" s="26" t="n">
        <x:v>0</x:v>
      </x:c>
      <x:c r="S696" s="26" t="n">
        <x:v>0</x:v>
      </x:c>
      <x:c r="T696" s="26" t="n">
        <x:v>0</x:v>
      </x:c>
      <x:c r="U696" s="26" t="n">
        <x:v>0</x:v>
      </x:c>
      <x:c r="V696" s="26" t="n">
        <x:v>0</x:v>
      </x:c>
      <x:c r="W696" s="26" t="n">
        <x:v>0</x:v>
      </x:c>
      <x:c r="X696" s="26" t="n">
        <x:v>0</x:v>
      </x:c>
      <x:c r="Y696" s="26" t="n">
        <x:v>0</x:v>
      </x:c>
      <x:c r="Z696" s="35" t="str">
        <x:v>Receipt allocated to FIN-00692</x:v>
      </x:c>
    </x:row>
    <x:row r="697">
      <x:c r="A697" s="20" t="str">
        <x:v>FIN-00694</x:v>
      </x:c>
      <x:c r="B697" s="23" t="n">
        <x:v>46631</x:v>
      </x:c>
      <x:c r="C697" s="23" t="n">
        <x:v>46631</x:v>
      </x:c>
      <x:c r="D697" s="20" t="str">
        <x:v>TenantCharge</x:v>
      </x:c>
      <x:c r="E697" s="20" t="str">
        <x:v>Rent</x:v>
      </x:c>
      <x:c r="F697" s="20" t="str">
        <x:v>P009</x:v>
      </x:c>
      <x:c r="G697" s="20" t="str">
        <x:v>U009</x:v>
      </x:c>
      <x:c r="H697" s="20" t="str">
        <x:v>L009</x:v>
      </x:c>
      <x:c r="I697" s="20" t="str">
        <x:v>Bennett Garcia</x:v>
      </x:c>
      <x:c r="J697" s="35" t="str">
        <x:v>System scheduled charge</x:v>
      </x:c>
      <x:c r="K697" s="20" t="str"/>
      <x:c r="L697" s="20" t="str">
        <x:v>RENT-202709-L009</x:v>
      </x:c>
      <x:c r="M697" s="26" t="n">
        <x:v>1275</x:v>
      </x:c>
      <x:c r="N697" s="26" t="n">
        <x:v>1275</x:v>
      </x:c>
      <x:c r="O697" s="26" t="n">
        <x:v>0</x:v>
      </x:c>
      <x:c r="P697" s="26" t="n">
        <x:v>0</x:v>
      </x:c>
      <x:c r="Q697" s="26" t="n">
        <x:v>0</x:v>
      </x:c>
      <x:c r="R697" s="26" t="n">
        <x:v>0</x:v>
      </x:c>
      <x:c r="S697" s="26" t="n">
        <x:v>0</x:v>
      </x:c>
      <x:c r="T697" s="26" t="n">
        <x:v>1275</x:v>
      </x:c>
      <x:c r="U697" s="26" t="n">
        <x:v>0</x:v>
      </x:c>
      <x:c r="V697" s="26" t="n">
        <x:v>0</x:v>
      </x:c>
      <x:c r="W697" s="26" t="n">
        <x:v>0</x:v>
      </x:c>
      <x:c r="X697" s="26" t="n">
        <x:v>0</x:v>
      </x:c>
      <x:c r="Y697" s="26" t="n">
        <x:v>0</x:v>
      </x:c>
      <x:c r="Z697" s="35" t="str">
        <x:v>September 2027 rent</x:v>
      </x:c>
    </x:row>
    <x:row r="698">
      <x:c r="A698" s="20" t="str">
        <x:v>FIN-00695</x:v>
      </x:c>
      <x:c r="B698" s="23" t="n">
        <x:v>46633</x:v>
      </x:c>
      <x:c r="C698" s="23" t="n">
        <x:v>46633</x:v>
      </x:c>
      <x:c r="D698" s="20" t="str">
        <x:v>TenantReceipt</x:v>
      </x:c>
      <x:c r="E698" s="20" t="str">
        <x:v>Rent receipt</x:v>
      </x:c>
      <x:c r="F698" s="20" t="str">
        <x:v>P009</x:v>
      </x:c>
      <x:c r="G698" s="20" t="str">
        <x:v>U009</x:v>
      </x:c>
      <x:c r="H698" s="20" t="str">
        <x:v>L009</x:v>
      </x:c>
      <x:c r="I698" s="20" t="str">
        <x:v>Bennett Garcia</x:v>
      </x:c>
      <x:c r="J698" s="35" t="str">
        <x:v>Scanned money order</x:v>
      </x:c>
      <x:c r="K698" s="20" t="str">
        <x:v>SCN-0262</x:v>
      </x:c>
      <x:c r="L698" s="20" t="str">
        <x:v>PMT-20270903-L009</x:v>
      </x:c>
      <x:c r="M698" s="26" t="n">
        <x:v>1275</x:v>
      </x:c>
      <x:c r="N698" s="26" t="n">
        <x:v>-1275</x:v>
      </x:c>
      <x:c r="O698" s="26" t="n">
        <x:v>1275</x:v>
      </x:c>
      <x:c r="P698" s="26" t="n">
        <x:v>0</x:v>
      </x:c>
      <x:c r="Q698" s="26" t="n">
        <x:v>0</x:v>
      </x:c>
      <x:c r="R698" s="26" t="n">
        <x:v>0</x:v>
      </x:c>
      <x:c r="S698" s="26" t="n">
        <x:v>0</x:v>
      </x:c>
      <x:c r="T698" s="26" t="n">
        <x:v>0</x:v>
      </x:c>
      <x:c r="U698" s="26" t="n">
        <x:v>0</x:v>
      </x:c>
      <x:c r="V698" s="26" t="n">
        <x:v>0</x:v>
      </x:c>
      <x:c r="W698" s="26" t="n">
        <x:v>0</x:v>
      </x:c>
      <x:c r="X698" s="26" t="n">
        <x:v>0</x:v>
      </x:c>
      <x:c r="Y698" s="26" t="n">
        <x:v>0</x:v>
      </x:c>
      <x:c r="Z698" s="35" t="str">
        <x:v>Receipt allocated to FIN-00694</x:v>
      </x:c>
    </x:row>
    <x:row r="699">
      <x:c r="A699" s="20" t="str">
        <x:v>FIN-00696</x:v>
      </x:c>
      <x:c r="B699" s="23" t="n">
        <x:v>46631</x:v>
      </x:c>
      <x:c r="C699" s="23" t="n">
        <x:v>46631</x:v>
      </x:c>
      <x:c r="D699" s="20" t="str">
        <x:v>TenantCharge</x:v>
      </x:c>
      <x:c r="E699" s="20" t="str">
        <x:v>Rent</x:v>
      </x:c>
      <x:c r="F699" s="20" t="str">
        <x:v>P010</x:v>
      </x:c>
      <x:c r="G699" s="20" t="str">
        <x:v>U010</x:v>
      </x:c>
      <x:c r="H699" s="20" t="str">
        <x:v>L010</x:v>
      </x:c>
      <x:c r="I699" s="20" t="str">
        <x:v>Elena Lewis</x:v>
      </x:c>
      <x:c r="J699" s="35" t="str">
        <x:v>System scheduled charge</x:v>
      </x:c>
      <x:c r="K699" s="20" t="str"/>
      <x:c r="L699" s="20" t="str">
        <x:v>RENT-202709-L010</x:v>
      </x:c>
      <x:c r="M699" s="26" t="n">
        <x:v>1800</x:v>
      </x:c>
      <x:c r="N699" s="26" t="n">
        <x:v>1800</x:v>
      </x:c>
      <x:c r="O699" s="26" t="n">
        <x:v>0</x:v>
      </x:c>
      <x:c r="P699" s="26" t="n">
        <x:v>0</x:v>
      </x:c>
      <x:c r="Q699" s="26" t="n">
        <x:v>0</x:v>
      </x:c>
      <x:c r="R699" s="26" t="n">
        <x:v>0</x:v>
      </x:c>
      <x:c r="S699" s="26" t="n">
        <x:v>0</x:v>
      </x:c>
      <x:c r="T699" s="26" t="n">
        <x:v>1800</x:v>
      </x:c>
      <x:c r="U699" s="26" t="n">
        <x:v>0</x:v>
      </x:c>
      <x:c r="V699" s="26" t="n">
        <x:v>0</x:v>
      </x:c>
      <x:c r="W699" s="26" t="n">
        <x:v>0</x:v>
      </x:c>
      <x:c r="X699" s="26" t="n">
        <x:v>0</x:v>
      </x:c>
      <x:c r="Y699" s="26" t="n">
        <x:v>0</x:v>
      </x:c>
      <x:c r="Z699" s="35" t="str">
        <x:v>September 2027 rent</x:v>
      </x:c>
    </x:row>
    <x:row r="700">
      <x:c r="A700" s="20" t="str">
        <x:v>FIN-00697</x:v>
      </x:c>
      <x:c r="B700" s="23" t="n">
        <x:v>46634</x:v>
      </x:c>
      <x:c r="C700" s="23" t="n">
        <x:v>46634</x:v>
      </x:c>
      <x:c r="D700" s="20" t="str">
        <x:v>TenantReceipt</x:v>
      </x:c>
      <x:c r="E700" s="20" t="str">
        <x:v>Rent receipt</x:v>
      </x:c>
      <x:c r="F700" s="20" t="str">
        <x:v>P010</x:v>
      </x:c>
      <x:c r="G700" s="20" t="str">
        <x:v>U010</x:v>
      </x:c>
      <x:c r="H700" s="20" t="str">
        <x:v>L010</x:v>
      </x:c>
      <x:c r="I700" s="20" t="str">
        <x:v>Elena Lewis</x:v>
      </x:c>
      <x:c r="J700" s="35" t="str">
        <x:v>Manual ACH</x:v>
      </x:c>
      <x:c r="K700" s="20" t="str"/>
      <x:c r="L700" s="20" t="str">
        <x:v>PMT-20270904-L010</x:v>
      </x:c>
      <x:c r="M700" s="26" t="n">
        <x:v>1800</x:v>
      </x:c>
      <x:c r="N700" s="26" t="n">
        <x:v>-1800</x:v>
      </x:c>
      <x:c r="O700" s="26" t="n">
        <x:v>1800</x:v>
      </x:c>
      <x:c r="P700" s="26" t="n">
        <x:v>0</x:v>
      </x:c>
      <x:c r="Q700" s="26" t="n">
        <x:v>0</x:v>
      </x:c>
      <x:c r="R700" s="26" t="n">
        <x:v>0</x:v>
      </x:c>
      <x:c r="S700" s="26" t="n">
        <x:v>0</x:v>
      </x:c>
      <x:c r="T700" s="26" t="n">
        <x:v>0</x:v>
      </x:c>
      <x:c r="U700" s="26" t="n">
        <x:v>0</x:v>
      </x:c>
      <x:c r="V700" s="26" t="n">
        <x:v>0</x:v>
      </x:c>
      <x:c r="W700" s="26" t="n">
        <x:v>0</x:v>
      </x:c>
      <x:c r="X700" s="26" t="n">
        <x:v>0</x:v>
      </x:c>
      <x:c r="Y700" s="26" t="n">
        <x:v>0</x:v>
      </x:c>
      <x:c r="Z700" s="35" t="str">
        <x:v>Receipt allocated to FIN-00696</x:v>
      </x:c>
    </x:row>
    <x:row r="701">
      <x:c r="A701" s="20" t="str">
        <x:v>FIN-00698</x:v>
      </x:c>
      <x:c r="B701" s="23" t="n">
        <x:v>46631</x:v>
      </x:c>
      <x:c r="C701" s="23" t="n">
        <x:v>46631</x:v>
      </x:c>
      <x:c r="D701" s="20" t="str">
        <x:v>TenantCharge</x:v>
      </x:c>
      <x:c r="E701" s="20" t="str">
        <x:v>Rent</x:v>
      </x:c>
      <x:c r="F701" s="20" t="str">
        <x:v>P011</x:v>
      </x:c>
      <x:c r="G701" s="20" t="str">
        <x:v>U011</x:v>
      </x:c>
      <x:c r="H701" s="20" t="str">
        <x:v>L011</x:v>
      </x:c>
      <x:c r="I701" s="20" t="str">
        <x:v>Hector Reed</x:v>
      </x:c>
      <x:c r="J701" s="35" t="str">
        <x:v>System scheduled charge</x:v>
      </x:c>
      <x:c r="K701" s="20" t="str"/>
      <x:c r="L701" s="20" t="str">
        <x:v>RENT-202709-L011</x:v>
      </x:c>
      <x:c r="M701" s="26" t="n">
        <x:v>1425</x:v>
      </x:c>
      <x:c r="N701" s="26" t="n">
        <x:v>1425</x:v>
      </x:c>
      <x:c r="O701" s="26" t="n">
        <x:v>0</x:v>
      </x:c>
      <x:c r="P701" s="26" t="n">
        <x:v>0</x:v>
      </x:c>
      <x:c r="Q701" s="26" t="n">
        <x:v>0</x:v>
      </x:c>
      <x:c r="R701" s="26" t="n">
        <x:v>0</x:v>
      </x:c>
      <x:c r="S701" s="26" t="n">
        <x:v>0</x:v>
      </x:c>
      <x:c r="T701" s="26" t="n">
        <x:v>1425</x:v>
      </x:c>
      <x:c r="U701" s="26" t="n">
        <x:v>0</x:v>
      </x:c>
      <x:c r="V701" s="26" t="n">
        <x:v>0</x:v>
      </x:c>
      <x:c r="W701" s="26" t="n">
        <x:v>0</x:v>
      </x:c>
      <x:c r="X701" s="26" t="n">
        <x:v>0</x:v>
      </x:c>
      <x:c r="Y701" s="26" t="n">
        <x:v>0</x:v>
      </x:c>
      <x:c r="Z701" s="35" t="str">
        <x:v>September 2027 rent</x:v>
      </x:c>
    </x:row>
    <x:row r="702">
      <x:c r="A702" s="20" t="str">
        <x:v>FIN-00699</x:v>
      </x:c>
      <x:c r="B702" s="23" t="n">
        <x:v>46633</x:v>
      </x:c>
      <x:c r="C702" s="23" t="n">
        <x:v>46633</x:v>
      </x:c>
      <x:c r="D702" s="20" t="str">
        <x:v>TenantReceipt</x:v>
      </x:c>
      <x:c r="E702" s="20" t="str">
        <x:v>Rent receipt</x:v>
      </x:c>
      <x:c r="F702" s="20" t="str">
        <x:v>P011</x:v>
      </x:c>
      <x:c r="G702" s="20" t="str">
        <x:v>U011</x:v>
      </x:c>
      <x:c r="H702" s="20" t="str">
        <x:v>L011</x:v>
      </x:c>
      <x:c r="I702" s="20" t="str">
        <x:v>Hector Reed</x:v>
      </x:c>
      <x:c r="J702" s="35" t="str">
        <x:v>Portal card</x:v>
      </x:c>
      <x:c r="K702" s="20" t="str"/>
      <x:c r="L702" s="20" t="str">
        <x:v>PMT-20270903-L011-A</x:v>
      </x:c>
      <x:c r="M702" s="26" t="n">
        <x:v>855</x:v>
      </x:c>
      <x:c r="N702" s="26" t="n">
        <x:v>-855</x:v>
      </x:c>
      <x:c r="O702" s="26" t="n">
        <x:v>855</x:v>
      </x:c>
      <x:c r="P702" s="26" t="n">
        <x:v>0</x:v>
      </x:c>
      <x:c r="Q702" s="26" t="n">
        <x:v>0</x:v>
      </x:c>
      <x:c r="R702" s="26" t="n">
        <x:v>0</x:v>
      </x:c>
      <x:c r="S702" s="26" t="n">
        <x:v>0</x:v>
      </x:c>
      <x:c r="T702" s="26" t="n">
        <x:v>0</x:v>
      </x:c>
      <x:c r="U702" s="26" t="n">
        <x:v>0</x:v>
      </x:c>
      <x:c r="V702" s="26" t="n">
        <x:v>0</x:v>
      </x:c>
      <x:c r="W702" s="26" t="n">
        <x:v>0</x:v>
      </x:c>
      <x:c r="X702" s="26" t="n">
        <x:v>0</x:v>
      </x:c>
      <x:c r="Y702" s="26" t="n">
        <x:v>0</x:v>
      </x:c>
      <x:c r="Z702" s="35" t="str">
        <x:v>Receipt allocated to FIN-00698</x:v>
      </x:c>
    </x:row>
    <x:row r="703">
      <x:c r="A703" s="20" t="str">
        <x:v>FIN-00700</x:v>
      </x:c>
      <x:c r="B703" s="23" t="n">
        <x:v>46636</x:v>
      </x:c>
      <x:c r="C703" s="23" t="n">
        <x:v>46636</x:v>
      </x:c>
      <x:c r="D703" s="20" t="str">
        <x:v>TenantCharge</x:v>
      </x:c>
      <x:c r="E703" s="20" t="str">
        <x:v>Late fee</x:v>
      </x:c>
      <x:c r="F703" s="20" t="str">
        <x:v>P011</x:v>
      </x:c>
      <x:c r="G703" s="20" t="str">
        <x:v>U011</x:v>
      </x:c>
      <x:c r="H703" s="20" t="str">
        <x:v>L011</x:v>
      </x:c>
      <x:c r="I703" s="20" t="str">
        <x:v>Hector Reed</x:v>
      </x:c>
      <x:c r="J703" s="35" t="str">
        <x:v>System automation</x:v>
      </x:c>
      <x:c r="K703" s="20" t="str"/>
      <x:c r="L703" s="20" t="str">
        <x:v>LATE-202709-L011</x:v>
      </x:c>
      <x:c r="M703" s="26" t="n">
        <x:v>50</x:v>
      </x:c>
      <x:c r="N703" s="26" t="n">
        <x:v>50</x:v>
      </x:c>
      <x:c r="O703" s="26" t="n">
        <x:v>0</x:v>
      </x:c>
      <x:c r="P703" s="26" t="n">
        <x:v>0</x:v>
      </x:c>
      <x:c r="Q703" s="26" t="n">
        <x:v>0</x:v>
      </x:c>
      <x:c r="R703" s="26" t="n">
        <x:v>0</x:v>
      </x:c>
      <x:c r="S703" s="26" t="n">
        <x:v>0</x:v>
      </x:c>
      <x:c r="T703" s="26" t="n">
        <x:v>50</x:v>
      </x:c>
      <x:c r="U703" s="26" t="n">
        <x:v>0</x:v>
      </x:c>
      <x:c r="V703" s="26" t="n">
        <x:v>0</x:v>
      </x:c>
      <x:c r="W703" s="26" t="n">
        <x:v>0</x:v>
      </x:c>
      <x:c r="X703" s="26" t="n">
        <x:v>0</x:v>
      </x:c>
      <x:c r="Y703" s="26" t="n">
        <x:v>0</x:v>
      </x:c>
      <x:c r="Z703" s="35" t="str">
        <x:v>Synthetic lease-authorized late fee after partial payment</x:v>
      </x:c>
    </x:row>
    <x:row r="704">
      <x:c r="A704" s="20" t="str">
        <x:v>FIN-00701</x:v>
      </x:c>
      <x:c r="B704" s="23" t="n">
        <x:v>46642</x:v>
      </x:c>
      <x:c r="C704" s="23" t="n">
        <x:v>46642</x:v>
      </x:c>
      <x:c r="D704" s="20" t="str">
        <x:v>TenantReceipt</x:v>
      </x:c>
      <x:c r="E704" s="20" t="str">
        <x:v>Rent receipt</x:v>
      </x:c>
      <x:c r="F704" s="20" t="str">
        <x:v>P011</x:v>
      </x:c>
      <x:c r="G704" s="20" t="str">
        <x:v>U011</x:v>
      </x:c>
      <x:c r="H704" s="20" t="str">
        <x:v>L011</x:v>
      </x:c>
      <x:c r="I704" s="20" t="str">
        <x:v>Hector Reed</x:v>
      </x:c>
      <x:c r="J704" s="35" t="str">
        <x:v>Scanned money order</x:v>
      </x:c>
      <x:c r="K704" s="20" t="str">
        <x:v>SCN-0263</x:v>
      </x:c>
      <x:c r="L704" s="20" t="str">
        <x:v>PMT-20270912-L011-B</x:v>
      </x:c>
      <x:c r="M704" s="26" t="n">
        <x:v>620</x:v>
      </x:c>
      <x:c r="N704" s="26" t="n">
        <x:v>-620</x:v>
      </x:c>
      <x:c r="O704" s="26" t="n">
        <x:v>620</x:v>
      </x:c>
      <x:c r="P704" s="26" t="n">
        <x:v>0</x:v>
      </x:c>
      <x:c r="Q704" s="26" t="n">
        <x:v>0</x:v>
      </x:c>
      <x:c r="R704" s="26" t="n">
        <x:v>0</x:v>
      </x:c>
      <x:c r="S704" s="26" t="n">
        <x:v>0</x:v>
      </x:c>
      <x:c r="T704" s="26" t="n">
        <x:v>0</x:v>
      </x:c>
      <x:c r="U704" s="26" t="n">
        <x:v>0</x:v>
      </x:c>
      <x:c r="V704" s="26" t="n">
        <x:v>0</x:v>
      </x:c>
      <x:c r="W704" s="26" t="n">
        <x:v>0</x:v>
      </x:c>
      <x:c r="X704" s="26" t="n">
        <x:v>0</x:v>
      </x:c>
      <x:c r="Y704" s="26" t="n">
        <x:v>0</x:v>
      </x:c>
      <x:c r="Z704" s="35" t="str">
        <x:v>Receipt allocated to FIN-00700</x:v>
      </x:c>
    </x:row>
    <x:row r="705">
      <x:c r="A705" s="20" t="str">
        <x:v>FIN-00702</x:v>
      </x:c>
      <x:c r="B705" s="23" t="n">
        <x:v>46631</x:v>
      </x:c>
      <x:c r="C705" s="23" t="n">
        <x:v>46631</x:v>
      </x:c>
      <x:c r="D705" s="20" t="str">
        <x:v>TenantCharge</x:v>
      </x:c>
      <x:c r="E705" s="20" t="str">
        <x:v>Rent</x:v>
      </x:c>
      <x:c r="F705" s="20" t="str">
        <x:v>P012</x:v>
      </x:c>
      <x:c r="G705" s="20" t="str">
        <x:v>U012</x:v>
      </x:c>
      <x:c r="H705" s="20" t="str">
        <x:v>L012</x:v>
      </x:c>
      <x:c r="I705" s="20" t="str">
        <x:v>Keira Adams</x:v>
      </x:c>
      <x:c r="J705" s="35" t="str">
        <x:v>System scheduled charge</x:v>
      </x:c>
      <x:c r="K705" s="20" t="str"/>
      <x:c r="L705" s="20" t="str">
        <x:v>RENT-202709-L012</x:v>
      </x:c>
      <x:c r="M705" s="26" t="n">
        <x:v>1050</x:v>
      </x:c>
      <x:c r="N705" s="26" t="n">
        <x:v>1050</x:v>
      </x:c>
      <x:c r="O705" s="26" t="n">
        <x:v>0</x:v>
      </x:c>
      <x:c r="P705" s="26" t="n">
        <x:v>0</x:v>
      </x:c>
      <x:c r="Q705" s="26" t="n">
        <x:v>0</x:v>
      </x:c>
      <x:c r="R705" s="26" t="n">
        <x:v>0</x:v>
      </x:c>
      <x:c r="S705" s="26" t="n">
        <x:v>0</x:v>
      </x:c>
      <x:c r="T705" s="26" t="n">
        <x:v>1050</x:v>
      </x:c>
      <x:c r="U705" s="26" t="n">
        <x:v>0</x:v>
      </x:c>
      <x:c r="V705" s="26" t="n">
        <x:v>0</x:v>
      </x:c>
      <x:c r="W705" s="26" t="n">
        <x:v>0</x:v>
      </x:c>
      <x:c r="X705" s="26" t="n">
        <x:v>0</x:v>
      </x:c>
      <x:c r="Y705" s="26" t="n">
        <x:v>0</x:v>
      </x:c>
      <x:c r="Z705" s="35" t="str">
        <x:v>September 2027 rent</x:v>
      </x:c>
    </x:row>
    <x:row r="706">
      <x:c r="A706" s="20" t="str">
        <x:v>FIN-00703</x:v>
      </x:c>
      <x:c r="B706" s="23" t="n">
        <x:v>46633</x:v>
      </x:c>
      <x:c r="C706" s="23" t="n">
        <x:v>46633</x:v>
      </x:c>
      <x:c r="D706" s="20" t="str">
        <x:v>TenantReceipt</x:v>
      </x:c>
      <x:c r="E706" s="20" t="str">
        <x:v>Rent receipt</x:v>
      </x:c>
      <x:c r="F706" s="20" t="str">
        <x:v>P012</x:v>
      </x:c>
      <x:c r="G706" s="20" t="str">
        <x:v>U012</x:v>
      </x:c>
      <x:c r="H706" s="20" t="str">
        <x:v>L012</x:v>
      </x:c>
      <x:c r="I706" s="20" t="str">
        <x:v>Keira Adams</x:v>
      </x:c>
      <x:c r="J706" s="35" t="str">
        <x:v>Scanned check</x:v>
      </x:c>
      <x:c r="K706" s="20" t="str">
        <x:v>SCN-0264</x:v>
      </x:c>
      <x:c r="L706" s="20" t="str">
        <x:v>PMT-20270903-L012</x:v>
      </x:c>
      <x:c r="M706" s="26" t="n">
        <x:v>1050</x:v>
      </x:c>
      <x:c r="N706" s="26" t="n">
        <x:v>-1050</x:v>
      </x:c>
      <x:c r="O706" s="26" t="n">
        <x:v>1050</x:v>
      </x:c>
      <x:c r="P706" s="26" t="n">
        <x:v>0</x:v>
      </x:c>
      <x:c r="Q706" s="26" t="n">
        <x:v>0</x:v>
      </x:c>
      <x:c r="R706" s="26" t="n">
        <x:v>0</x:v>
      </x:c>
      <x:c r="S706" s="26" t="n">
        <x:v>0</x:v>
      </x:c>
      <x:c r="T706" s="26" t="n">
        <x:v>0</x:v>
      </x:c>
      <x:c r="U706" s="26" t="n">
        <x:v>0</x:v>
      </x:c>
      <x:c r="V706" s="26" t="n">
        <x:v>0</x:v>
      </x:c>
      <x:c r="W706" s="26" t="n">
        <x:v>0</x:v>
      </x:c>
      <x:c r="X706" s="26" t="n">
        <x:v>0</x:v>
      </x:c>
      <x:c r="Y706" s="26" t="n">
        <x:v>0</x:v>
      </x:c>
      <x:c r="Z706" s="35" t="str">
        <x:v>Receipt allocated to FIN-00702</x:v>
      </x:c>
    </x:row>
    <x:row r="707">
      <x:c r="A707" s="20" t="str">
        <x:v>FIN-00704</x:v>
      </x:c>
      <x:c r="B707" s="23" t="n">
        <x:v>46631</x:v>
      </x:c>
      <x:c r="C707" s="23" t="n">
        <x:v>46631</x:v>
      </x:c>
      <x:c r="D707" s="20" t="str">
        <x:v>TenantCharge</x:v>
      </x:c>
      <x:c r="E707" s="20" t="str">
        <x:v>Rent</x:v>
      </x:c>
      <x:c r="F707" s="20" t="str">
        <x:v>P013</x:v>
      </x:c>
      <x:c r="G707" s="20" t="str">
        <x:v>U013</x:v>
      </x:c>
      <x:c r="H707" s="20" t="str">
        <x:v>L013</x:v>
      </x:c>
      <x:c r="I707" s="20" t="str">
        <x:v>Nolan Flores</x:v>
      </x:c>
      <x:c r="J707" s="35" t="str">
        <x:v>System scheduled charge</x:v>
      </x:c>
      <x:c r="K707" s="20" t="str"/>
      <x:c r="L707" s="20" t="str">
        <x:v>RENT-202709-L013</x:v>
      </x:c>
      <x:c r="M707" s="26" t="n">
        <x:v>1575</x:v>
      </x:c>
      <x:c r="N707" s="26" t="n">
        <x:v>1575</x:v>
      </x:c>
      <x:c r="O707" s="26" t="n">
        <x:v>0</x:v>
      </x:c>
      <x:c r="P707" s="26" t="n">
        <x:v>0</x:v>
      </x:c>
      <x:c r="Q707" s="26" t="n">
        <x:v>0</x:v>
      </x:c>
      <x:c r="R707" s="26" t="n">
        <x:v>0</x:v>
      </x:c>
      <x:c r="S707" s="26" t="n">
        <x:v>0</x:v>
      </x:c>
      <x:c r="T707" s="26" t="n">
        <x:v>1575</x:v>
      </x:c>
      <x:c r="U707" s="26" t="n">
        <x:v>0</x:v>
      </x:c>
      <x:c r="V707" s="26" t="n">
        <x:v>0</x:v>
      </x:c>
      <x:c r="W707" s="26" t="n">
        <x:v>0</x:v>
      </x:c>
      <x:c r="X707" s="26" t="n">
        <x:v>0</x:v>
      </x:c>
      <x:c r="Y707" s="26" t="n">
        <x:v>0</x:v>
      </x:c>
      <x:c r="Z707" s="35" t="str">
        <x:v>September 2027 rent</x:v>
      </x:c>
    </x:row>
    <x:row r="708">
      <x:c r="A708" s="20" t="str">
        <x:v>FIN-00705</x:v>
      </x:c>
      <x:c r="B708" s="23" t="n">
        <x:v>46636</x:v>
      </x:c>
      <x:c r="C708" s="23" t="n">
        <x:v>46636</x:v>
      </x:c>
      <x:c r="D708" s="20" t="str">
        <x:v>TenantCharge</x:v>
      </x:c>
      <x:c r="E708" s="20" t="str">
        <x:v>Late fee</x:v>
      </x:c>
      <x:c r="F708" s="20" t="str">
        <x:v>P013</x:v>
      </x:c>
      <x:c r="G708" s="20" t="str">
        <x:v>U013</x:v>
      </x:c>
      <x:c r="H708" s="20" t="str">
        <x:v>L013</x:v>
      </x:c>
      <x:c r="I708" s="20" t="str">
        <x:v>Nolan Flores</x:v>
      </x:c>
      <x:c r="J708" s="35" t="str">
        <x:v>System automation</x:v>
      </x:c>
      <x:c r="K708" s="20" t="str"/>
      <x:c r="L708" s="20" t="str">
        <x:v>LATE-202709-L013</x:v>
      </x:c>
      <x:c r="M708" s="26" t="n">
        <x:v>50</x:v>
      </x:c>
      <x:c r="N708" s="26" t="n">
        <x:v>50</x:v>
      </x:c>
      <x:c r="O708" s="26" t="n">
        <x:v>0</x:v>
      </x:c>
      <x:c r="P708" s="26" t="n">
        <x:v>0</x:v>
      </x:c>
      <x:c r="Q708" s="26" t="n">
        <x:v>0</x:v>
      </x:c>
      <x:c r="R708" s="26" t="n">
        <x:v>0</x:v>
      </x:c>
      <x:c r="S708" s="26" t="n">
        <x:v>0</x:v>
      </x:c>
      <x:c r="T708" s="26" t="n">
        <x:v>50</x:v>
      </x:c>
      <x:c r="U708" s="26" t="n">
        <x:v>0</x:v>
      </x:c>
      <x:c r="V708" s="26" t="n">
        <x:v>0</x:v>
      </x:c>
      <x:c r="W708" s="26" t="n">
        <x:v>0</x:v>
      </x:c>
      <x:c r="X708" s="26" t="n">
        <x:v>0</x:v>
      </x:c>
      <x:c r="Y708" s="26" t="n">
        <x:v>0</x:v>
      </x:c>
      <x:c r="Z708" s="35" t="str">
        <x:v>Synthetic lease-authorized late fee</x:v>
      </x:c>
    </x:row>
    <x:row r="709">
      <x:c r="A709" s="20" t="str">
        <x:v>FIN-00706</x:v>
      </x:c>
      <x:c r="B709" s="23" t="n">
        <x:v>46638</x:v>
      </x:c>
      <x:c r="C709" s="23" t="n">
        <x:v>46638</x:v>
      </x:c>
      <x:c r="D709" s="20" t="str">
        <x:v>TenantReceipt</x:v>
      </x:c>
      <x:c r="E709" s="20" t="str">
        <x:v>Rent receipt</x:v>
      </x:c>
      <x:c r="F709" s="20" t="str">
        <x:v>P013</x:v>
      </x:c>
      <x:c r="G709" s="20" t="str">
        <x:v>U013</x:v>
      </x:c>
      <x:c r="H709" s="20" t="str">
        <x:v>L013</x:v>
      </x:c>
      <x:c r="I709" s="20" t="str">
        <x:v>Nolan Flores</x:v>
      </x:c>
      <x:c r="J709" s="35" t="str">
        <x:v>Scanned check</x:v>
      </x:c>
      <x:c r="K709" s="20" t="str">
        <x:v>SCN-0265</x:v>
      </x:c>
      <x:c r="L709" s="20" t="str">
        <x:v>PMT-20270908-L013</x:v>
      </x:c>
      <x:c r="M709" s="26" t="n">
        <x:v>1625</x:v>
      </x:c>
      <x:c r="N709" s="26" t="n">
        <x:v>-1625</x:v>
      </x:c>
      <x:c r="O709" s="26" t="n">
        <x:v>1625</x:v>
      </x:c>
      <x:c r="P709" s="26" t="n">
        <x:v>0</x:v>
      </x:c>
      <x:c r="Q709" s="26" t="n">
        <x:v>0</x:v>
      </x:c>
      <x:c r="R709" s="26" t="n">
        <x:v>0</x:v>
      </x:c>
      <x:c r="S709" s="26" t="n">
        <x:v>0</x:v>
      </x:c>
      <x:c r="T709" s="26" t="n">
        <x:v>0</x:v>
      </x:c>
      <x:c r="U709" s="26" t="n">
        <x:v>0</x:v>
      </x:c>
      <x:c r="V709" s="26" t="n">
        <x:v>0</x:v>
      </x:c>
      <x:c r="W709" s="26" t="n">
        <x:v>0</x:v>
      </x:c>
      <x:c r="X709" s="26" t="n">
        <x:v>0</x:v>
      </x:c>
      <x:c r="Y709" s="26" t="n">
        <x:v>0</x:v>
      </x:c>
      <x:c r="Z709" s="35" t="str">
        <x:v>Receipt allocated to FIN-00705</x:v>
      </x:c>
    </x:row>
    <x:row r="710">
      <x:c r="A710" s="20" t="str">
        <x:v>FIN-00707</x:v>
      </x:c>
      <x:c r="B710" s="23" t="n">
        <x:v>46631</x:v>
      </x:c>
      <x:c r="C710" s="23" t="n">
        <x:v>46631</x:v>
      </x:c>
      <x:c r="D710" s="20" t="str">
        <x:v>TenantCharge</x:v>
      </x:c>
      <x:c r="E710" s="20" t="str">
        <x:v>Rent</x:v>
      </x:c>
      <x:c r="F710" s="20" t="str">
        <x:v>P015</x:v>
      </x:c>
      <x:c r="G710" s="20" t="str">
        <x:v>U015</x:v>
      </x:c>
      <x:c r="H710" s="20" t="str">
        <x:v>L015</x:v>
      </x:c>
      <x:c r="I710" s="20" t="str">
        <x:v>Uri Price</x:v>
      </x:c>
      <x:c r="J710" s="35" t="str">
        <x:v>System scheduled charge</x:v>
      </x:c>
      <x:c r="K710" s="20" t="str"/>
      <x:c r="L710" s="20" t="str">
        <x:v>RENT-202709-L015</x:v>
      </x:c>
      <x:c r="M710" s="26" t="n">
        <x:v>1725</x:v>
      </x:c>
      <x:c r="N710" s="26" t="n">
        <x:v>1725</x:v>
      </x:c>
      <x:c r="O710" s="26" t="n">
        <x:v>0</x:v>
      </x:c>
      <x:c r="P710" s="26" t="n">
        <x:v>0</x:v>
      </x:c>
      <x:c r="Q710" s="26" t="n">
        <x:v>0</x:v>
      </x:c>
      <x:c r="R710" s="26" t="n">
        <x:v>0</x:v>
      </x:c>
      <x:c r="S710" s="26" t="n">
        <x:v>0</x:v>
      </x:c>
      <x:c r="T710" s="26" t="n">
        <x:v>1725</x:v>
      </x:c>
      <x:c r="U710" s="26" t="n">
        <x:v>0</x:v>
      </x:c>
      <x:c r="V710" s="26" t="n">
        <x:v>0</x:v>
      </x:c>
      <x:c r="W710" s="26" t="n">
        <x:v>0</x:v>
      </x:c>
      <x:c r="X710" s="26" t="n">
        <x:v>0</x:v>
      </x:c>
      <x:c r="Y710" s="26" t="n">
        <x:v>0</x:v>
      </x:c>
      <x:c r="Z710" s="35" t="str">
        <x:v>September 2027 rent</x:v>
      </x:c>
    </x:row>
    <x:row r="711">
      <x:c r="A711" s="20" t="str">
        <x:v>FIN-00708</x:v>
      </x:c>
      <x:c r="B711" s="23" t="n">
        <x:v>46633</x:v>
      </x:c>
      <x:c r="C711" s="23" t="n">
        <x:v>46633</x:v>
      </x:c>
      <x:c r="D711" s="20" t="str">
        <x:v>TenantReceipt</x:v>
      </x:c>
      <x:c r="E711" s="20" t="str">
        <x:v>Rent receipt</x:v>
      </x:c>
      <x:c r="F711" s="20" t="str">
        <x:v>P015</x:v>
      </x:c>
      <x:c r="G711" s="20" t="str">
        <x:v>U015</x:v>
      </x:c>
      <x:c r="H711" s="20" t="str">
        <x:v>L015</x:v>
      </x:c>
      <x:c r="I711" s="20" t="str">
        <x:v>Uri Price</x:v>
      </x:c>
      <x:c r="J711" s="35" t="str">
        <x:v>Portal card</x:v>
      </x:c>
      <x:c r="K711" s="20" t="str"/>
      <x:c r="L711" s="20" t="str">
        <x:v>PMT-20270903-L015</x:v>
      </x:c>
      <x:c r="M711" s="26" t="n">
        <x:v>1725</x:v>
      </x:c>
      <x:c r="N711" s="26" t="n">
        <x:v>-1725</x:v>
      </x:c>
      <x:c r="O711" s="26" t="n">
        <x:v>1725</x:v>
      </x:c>
      <x:c r="P711" s="26" t="n">
        <x:v>0</x:v>
      </x:c>
      <x:c r="Q711" s="26" t="n">
        <x:v>0</x:v>
      </x:c>
      <x:c r="R711" s="26" t="n">
        <x:v>0</x:v>
      </x:c>
      <x:c r="S711" s="26" t="n">
        <x:v>0</x:v>
      </x:c>
      <x:c r="T711" s="26" t="n">
        <x:v>0</x:v>
      </x:c>
      <x:c r="U711" s="26" t="n">
        <x:v>0</x:v>
      </x:c>
      <x:c r="V711" s="26" t="n">
        <x:v>0</x:v>
      </x:c>
      <x:c r="W711" s="26" t="n">
        <x:v>0</x:v>
      </x:c>
      <x:c r="X711" s="26" t="n">
        <x:v>0</x:v>
      </x:c>
      <x:c r="Y711" s="26" t="n">
        <x:v>0</x:v>
      </x:c>
      <x:c r="Z711" s="35" t="str">
        <x:v>Receipt allocated to FIN-00707</x:v>
      </x:c>
    </x:row>
    <x:row r="712">
      <x:c r="A712" s="20" t="str">
        <x:v>FIN-00709</x:v>
      </x:c>
      <x:c r="B712" s="23" t="n">
        <x:v>46631</x:v>
      </x:c>
      <x:c r="C712" s="23" t="n">
        <x:v>46631</x:v>
      </x:c>
      <x:c r="D712" s="20" t="str">
        <x:v>TenantCharge</x:v>
      </x:c>
      <x:c r="E712" s="20" t="str">
        <x:v>Rent</x:v>
      </x:c>
      <x:c r="F712" s="20" t="str">
        <x:v>P016</x:v>
      </x:c>
      <x:c r="G712" s="20" t="str">
        <x:v>U016</x:v>
      </x:c>
      <x:c r="H712" s="20" t="str">
        <x:v>L016</x:v>
      </x:c>
      <x:c r="I712" s="20" t="str">
        <x:v>Avery Brooks</x:v>
      </x:c>
      <x:c r="J712" s="35" t="str">
        <x:v>System scheduled charge</x:v>
      </x:c>
      <x:c r="K712" s="20" t="str"/>
      <x:c r="L712" s="20" t="str">
        <x:v>RENT-202709-L016</x:v>
      </x:c>
      <x:c r="M712" s="26" t="n">
        <x:v>1350</x:v>
      </x:c>
      <x:c r="N712" s="26" t="n">
        <x:v>1350</x:v>
      </x:c>
      <x:c r="O712" s="26" t="n">
        <x:v>0</x:v>
      </x:c>
      <x:c r="P712" s="26" t="n">
        <x:v>0</x:v>
      </x:c>
      <x:c r="Q712" s="26" t="n">
        <x:v>0</x:v>
      </x:c>
      <x:c r="R712" s="26" t="n">
        <x:v>0</x:v>
      </x:c>
      <x:c r="S712" s="26" t="n">
        <x:v>0</x:v>
      </x:c>
      <x:c r="T712" s="26" t="n">
        <x:v>1350</x:v>
      </x:c>
      <x:c r="U712" s="26" t="n">
        <x:v>0</x:v>
      </x:c>
      <x:c r="V712" s="26" t="n">
        <x:v>0</x:v>
      </x:c>
      <x:c r="W712" s="26" t="n">
        <x:v>0</x:v>
      </x:c>
      <x:c r="X712" s="26" t="n">
        <x:v>0</x:v>
      </x:c>
      <x:c r="Y712" s="26" t="n">
        <x:v>0</x:v>
      </x:c>
      <x:c r="Z712" s="35" t="str">
        <x:v>September 2027 rent</x:v>
      </x:c>
    </x:row>
    <x:row r="713">
      <x:c r="A713" s="20" t="str">
        <x:v>FIN-00710</x:v>
      </x:c>
      <x:c r="B713" s="23" t="n">
        <x:v>46634</x:v>
      </x:c>
      <x:c r="C713" s="23" t="n">
        <x:v>46634</x:v>
      </x:c>
      <x:c r="D713" s="20" t="str">
        <x:v>TenantReceipt</x:v>
      </x:c>
      <x:c r="E713" s="20" t="str">
        <x:v>Rent receipt</x:v>
      </x:c>
      <x:c r="F713" s="20" t="str">
        <x:v>P016</x:v>
      </x:c>
      <x:c r="G713" s="20" t="str">
        <x:v>U016</x:v>
      </x:c>
      <x:c r="H713" s="20" t="str">
        <x:v>L016</x:v>
      </x:c>
      <x:c r="I713" s="20" t="str">
        <x:v>Avery Brooks</x:v>
      </x:c>
      <x:c r="J713" s="35" t="str">
        <x:v>Scanned check</x:v>
      </x:c>
      <x:c r="K713" s="20" t="str">
        <x:v>SCN-0266</x:v>
      </x:c>
      <x:c r="L713" s="20" t="str">
        <x:v>PMT-20270904-L016</x:v>
      </x:c>
      <x:c r="M713" s="26" t="n">
        <x:v>1350</x:v>
      </x:c>
      <x:c r="N713" s="26" t="n">
        <x:v>-1350</x:v>
      </x:c>
      <x:c r="O713" s="26" t="n">
        <x:v>1350</x:v>
      </x:c>
      <x:c r="P713" s="26" t="n">
        <x:v>0</x:v>
      </x:c>
      <x:c r="Q713" s="26" t="n">
        <x:v>0</x:v>
      </x:c>
      <x:c r="R713" s="26" t="n">
        <x:v>0</x:v>
      </x:c>
      <x:c r="S713" s="26" t="n">
        <x:v>0</x:v>
      </x:c>
      <x:c r="T713" s="26" t="n">
        <x:v>0</x:v>
      </x:c>
      <x:c r="U713" s="26" t="n">
        <x:v>0</x:v>
      </x:c>
      <x:c r="V713" s="26" t="n">
        <x:v>0</x:v>
      </x:c>
      <x:c r="W713" s="26" t="n">
        <x:v>0</x:v>
      </x:c>
      <x:c r="X713" s="26" t="n">
        <x:v>0</x:v>
      </x:c>
      <x:c r="Y713" s="26" t="n">
        <x:v>0</x:v>
      </x:c>
      <x:c r="Z713" s="35" t="str">
        <x:v>Receipt allocated to FIN-00709</x:v>
      </x:c>
    </x:row>
    <x:row r="714">
      <x:c r="A714" s="20" t="str">
        <x:v>FIN-00711</x:v>
      </x:c>
      <x:c r="B714" s="23" t="n">
        <x:v>46631</x:v>
      </x:c>
      <x:c r="C714" s="23" t="n">
        <x:v>46631</x:v>
      </x:c>
      <x:c r="D714" s="20" t="str">
        <x:v>TenantCharge</x:v>
      </x:c>
      <x:c r="E714" s="20" t="str">
        <x:v>Rent</x:v>
      </x:c>
      <x:c r="F714" s="20" t="str">
        <x:v>P018</x:v>
      </x:c>
      <x:c r="G714" s="20" t="str">
        <x:v>U018</x:v>
      </x:c>
      <x:c r="H714" s="20" t="str">
        <x:v>L018</x:v>
      </x:c>
      <x:c r="I714" s="20" t="str">
        <x:v>Gray Lewis</x:v>
      </x:c>
      <x:c r="J714" s="35" t="str">
        <x:v>System scheduled charge</x:v>
      </x:c>
      <x:c r="K714" s="20" t="str"/>
      <x:c r="L714" s="20" t="str">
        <x:v>RENT-202709-L018</x:v>
      </x:c>
      <x:c r="M714" s="26" t="n">
        <x:v>1500</x:v>
      </x:c>
      <x:c r="N714" s="26" t="n">
        <x:v>1500</x:v>
      </x:c>
      <x:c r="O714" s="26" t="n">
        <x:v>0</x:v>
      </x:c>
      <x:c r="P714" s="26" t="n">
        <x:v>0</x:v>
      </x:c>
      <x:c r="Q714" s="26" t="n">
        <x:v>0</x:v>
      </x:c>
      <x:c r="R714" s="26" t="n">
        <x:v>0</x:v>
      </x:c>
      <x:c r="S714" s="26" t="n">
        <x:v>0</x:v>
      </x:c>
      <x:c r="T714" s="26" t="n">
        <x:v>1500</x:v>
      </x:c>
      <x:c r="U714" s="26" t="n">
        <x:v>0</x:v>
      </x:c>
      <x:c r="V714" s="26" t="n">
        <x:v>0</x:v>
      </x:c>
      <x:c r="W714" s="26" t="n">
        <x:v>0</x:v>
      </x:c>
      <x:c r="X714" s="26" t="n">
        <x:v>0</x:v>
      </x:c>
      <x:c r="Y714" s="26" t="n">
        <x:v>0</x:v>
      </x:c>
      <x:c r="Z714" s="35" t="str">
        <x:v>September 2027 rent</x:v>
      </x:c>
    </x:row>
    <x:row r="715">
      <x:c r="A715" s="20" t="str">
        <x:v>FIN-00712</x:v>
      </x:c>
      <x:c r="B715" s="23" t="n">
        <x:v>46633</x:v>
      </x:c>
      <x:c r="C715" s="23" t="n">
        <x:v>46633</x:v>
      </x:c>
      <x:c r="D715" s="20" t="str">
        <x:v>TenantReceipt</x:v>
      </x:c>
      <x:c r="E715" s="20" t="str">
        <x:v>Rent receipt</x:v>
      </x:c>
      <x:c r="F715" s="20" t="str">
        <x:v>P018</x:v>
      </x:c>
      <x:c r="G715" s="20" t="str">
        <x:v>U018</x:v>
      </x:c>
      <x:c r="H715" s="20" t="str">
        <x:v>L018</x:v>
      </x:c>
      <x:c r="I715" s="20" t="str">
        <x:v>Gray Lewis</x:v>
      </x:c>
      <x:c r="J715" s="35" t="str">
        <x:v>Manual ACH</x:v>
      </x:c>
      <x:c r="K715" s="20" t="str"/>
      <x:c r="L715" s="20" t="str">
        <x:v>PMT-20270903-L018</x:v>
      </x:c>
      <x:c r="M715" s="26" t="n">
        <x:v>1500</x:v>
      </x:c>
      <x:c r="N715" s="26" t="n">
        <x:v>-1500</x:v>
      </x:c>
      <x:c r="O715" s="26" t="n">
        <x:v>1500</x:v>
      </x:c>
      <x:c r="P715" s="26" t="n">
        <x:v>0</x:v>
      </x:c>
      <x:c r="Q715" s="26" t="n">
        <x:v>0</x:v>
      </x:c>
      <x:c r="R715" s="26" t="n">
        <x:v>0</x:v>
      </x:c>
      <x:c r="S715" s="26" t="n">
        <x:v>0</x:v>
      </x:c>
      <x:c r="T715" s="26" t="n">
        <x:v>0</x:v>
      </x:c>
      <x:c r="U715" s="26" t="n">
        <x:v>0</x:v>
      </x:c>
      <x:c r="V715" s="26" t="n">
        <x:v>0</x:v>
      </x:c>
      <x:c r="W715" s="26" t="n">
        <x:v>0</x:v>
      </x:c>
      <x:c r="X715" s="26" t="n">
        <x:v>0</x:v>
      </x:c>
      <x:c r="Y715" s="26" t="n">
        <x:v>0</x:v>
      </x:c>
      <x:c r="Z715" s="35" t="str">
        <x:v>Receipt allocated to FIN-00711</x:v>
      </x:c>
    </x:row>
    <x:row r="716">
      <x:c r="A716" s="20" t="str">
        <x:v>FIN-00713</x:v>
      </x:c>
      <x:c r="B716" s="23" t="n">
        <x:v>46631</x:v>
      </x:c>
      <x:c r="C716" s="23" t="n">
        <x:v>46631</x:v>
      </x:c>
      <x:c r="D716" s="20" t="str">
        <x:v>TenantCharge</x:v>
      </x:c>
      <x:c r="E716" s="20" t="str">
        <x:v>Rent</x:v>
      </x:c>
      <x:c r="F716" s="20" t="str">
        <x:v>P019</x:v>
      </x:c>
      <x:c r="G716" s="20" t="str">
        <x:v>U019</x:v>
      </x:c>
      <x:c r="H716" s="20" t="str">
        <x:v>L019</x:v>
      </x:c>
      <x:c r="I716" s="20" t="str">
        <x:v>Jordan Reed</x:v>
      </x:c>
      <x:c r="J716" s="35" t="str">
        <x:v>System scheduled charge</x:v>
      </x:c>
      <x:c r="K716" s="20" t="str"/>
      <x:c r="L716" s="20" t="str">
        <x:v>RENT-202709-L019</x:v>
      </x:c>
      <x:c r="M716" s="26" t="n">
        <x:v>1125</x:v>
      </x:c>
      <x:c r="N716" s="26" t="n">
        <x:v>1125</x:v>
      </x:c>
      <x:c r="O716" s="26" t="n">
        <x:v>0</x:v>
      </x:c>
      <x:c r="P716" s="26" t="n">
        <x:v>0</x:v>
      </x:c>
      <x:c r="Q716" s="26" t="n">
        <x:v>0</x:v>
      </x:c>
      <x:c r="R716" s="26" t="n">
        <x:v>0</x:v>
      </x:c>
      <x:c r="S716" s="26" t="n">
        <x:v>0</x:v>
      </x:c>
      <x:c r="T716" s="26" t="n">
        <x:v>1125</x:v>
      </x:c>
      <x:c r="U716" s="26" t="n">
        <x:v>0</x:v>
      </x:c>
      <x:c r="V716" s="26" t="n">
        <x:v>0</x:v>
      </x:c>
      <x:c r="W716" s="26" t="n">
        <x:v>0</x:v>
      </x:c>
      <x:c r="X716" s="26" t="n">
        <x:v>0</x:v>
      </x:c>
      <x:c r="Y716" s="26" t="n">
        <x:v>0</x:v>
      </x:c>
      <x:c r="Z716" s="35" t="str">
        <x:v>September 2027 rent</x:v>
      </x:c>
    </x:row>
    <x:row r="717">
      <x:c r="A717" s="20" t="str">
        <x:v>FIN-00714</x:v>
      </x:c>
      <x:c r="B717" s="23" t="n">
        <x:v>46634</x:v>
      </x:c>
      <x:c r="C717" s="23" t="n">
        <x:v>46634</x:v>
      </x:c>
      <x:c r="D717" s="20" t="str">
        <x:v>TenantReceipt</x:v>
      </x:c>
      <x:c r="E717" s="20" t="str">
        <x:v>Rent receipt</x:v>
      </x:c>
      <x:c r="F717" s="20" t="str">
        <x:v>P019</x:v>
      </x:c>
      <x:c r="G717" s="20" t="str">
        <x:v>U019</x:v>
      </x:c>
      <x:c r="H717" s="20" t="str">
        <x:v>L019</x:v>
      </x:c>
      <x:c r="I717" s="20" t="str">
        <x:v>Jordan Reed</x:v>
      </x:c>
      <x:c r="J717" s="35" t="str">
        <x:v>Portal card</x:v>
      </x:c>
      <x:c r="K717" s="20" t="str"/>
      <x:c r="L717" s="20" t="str">
        <x:v>PMT-20270904-L019</x:v>
      </x:c>
      <x:c r="M717" s="26" t="n">
        <x:v>1125</x:v>
      </x:c>
      <x:c r="N717" s="26" t="n">
        <x:v>-1125</x:v>
      </x:c>
      <x:c r="O717" s="26" t="n">
        <x:v>1125</x:v>
      </x:c>
      <x:c r="P717" s="26" t="n">
        <x:v>0</x:v>
      </x:c>
      <x:c r="Q717" s="26" t="n">
        <x:v>0</x:v>
      </x:c>
      <x:c r="R717" s="26" t="n">
        <x:v>0</x:v>
      </x:c>
      <x:c r="S717" s="26" t="n">
        <x:v>0</x:v>
      </x:c>
      <x:c r="T717" s="26" t="n">
        <x:v>0</x:v>
      </x:c>
      <x:c r="U717" s="26" t="n">
        <x:v>0</x:v>
      </x:c>
      <x:c r="V717" s="26" t="n">
        <x:v>0</x:v>
      </x:c>
      <x:c r="W717" s="26" t="n">
        <x:v>0</x:v>
      </x:c>
      <x:c r="X717" s="26" t="n">
        <x:v>0</x:v>
      </x:c>
      <x:c r="Y717" s="26" t="n">
        <x:v>0</x:v>
      </x:c>
      <x:c r="Z717" s="35" t="str">
        <x:v>Receipt allocated to FIN-00713</x:v>
      </x:c>
    </x:row>
    <x:row r="718">
      <x:c r="A718" s="20" t="str">
        <x:v>FIN-00715</x:v>
      </x:c>
      <x:c r="B718" s="23" t="n">
        <x:v>46631</x:v>
      </x:c>
      <x:c r="C718" s="23" t="n">
        <x:v>46631</x:v>
      </x:c>
      <x:c r="D718" s="20" t="str">
        <x:v>TenantCharge</x:v>
      </x:c>
      <x:c r="E718" s="20" t="str">
        <x:v>Rent</x:v>
      </x:c>
      <x:c r="F718" s="20" t="str">
        <x:v>P020</x:v>
      </x:c>
      <x:c r="G718" s="20" t="str">
        <x:v>U020</x:v>
      </x:c>
      <x:c r="H718" s="20" t="str">
        <x:v>L020</x:v>
      </x:c>
      <x:c r="I718" s="20" t="str">
        <x:v>Morgan Adams</x:v>
      </x:c>
      <x:c r="J718" s="35" t="str">
        <x:v>System scheduled charge</x:v>
      </x:c>
      <x:c r="K718" s="20" t="str"/>
      <x:c r="L718" s="20" t="str">
        <x:v>RENT-202709-L020</x:v>
      </x:c>
      <x:c r="M718" s="26" t="n">
        <x:v>1650</x:v>
      </x:c>
      <x:c r="N718" s="26" t="n">
        <x:v>1650</x:v>
      </x:c>
      <x:c r="O718" s="26" t="n">
        <x:v>0</x:v>
      </x:c>
      <x:c r="P718" s="26" t="n">
        <x:v>0</x:v>
      </x:c>
      <x:c r="Q718" s="26" t="n">
        <x:v>0</x:v>
      </x:c>
      <x:c r="R718" s="26" t="n">
        <x:v>0</x:v>
      </x:c>
      <x:c r="S718" s="26" t="n">
        <x:v>0</x:v>
      </x:c>
      <x:c r="T718" s="26" t="n">
        <x:v>1650</x:v>
      </x:c>
      <x:c r="U718" s="26" t="n">
        <x:v>0</x:v>
      </x:c>
      <x:c r="V718" s="26" t="n">
        <x:v>0</x:v>
      </x:c>
      <x:c r="W718" s="26" t="n">
        <x:v>0</x:v>
      </x:c>
      <x:c r="X718" s="26" t="n">
        <x:v>0</x:v>
      </x:c>
      <x:c r="Y718" s="26" t="n">
        <x:v>0</x:v>
      </x:c>
      <x:c r="Z718" s="35" t="str">
        <x:v>September 2027 rent</x:v>
      </x:c>
    </x:row>
    <x:row r="719">
      <x:c r="A719" s="20" t="str">
        <x:v>FIN-00716</x:v>
      </x:c>
      <x:c r="B719" s="23" t="n">
        <x:v>46635</x:v>
      </x:c>
      <x:c r="C719" s="23" t="n">
        <x:v>46635</x:v>
      </x:c>
      <x:c r="D719" s="20" t="str">
        <x:v>TenantReceipt</x:v>
      </x:c>
      <x:c r="E719" s="20" t="str">
        <x:v>Rent receipt</x:v>
      </x:c>
      <x:c r="F719" s="20" t="str">
        <x:v>P020</x:v>
      </x:c>
      <x:c r="G719" s="20" t="str">
        <x:v>U020</x:v>
      </x:c>
      <x:c r="H719" s="20" t="str">
        <x:v>L020</x:v>
      </x:c>
      <x:c r="I719" s="20" t="str">
        <x:v>Morgan Adams</x:v>
      </x:c>
      <x:c r="J719" s="35" t="str">
        <x:v>Scanned check</x:v>
      </x:c>
      <x:c r="K719" s="20" t="str">
        <x:v>SCN-0267</x:v>
      </x:c>
      <x:c r="L719" s="20" t="str">
        <x:v>PMT-20270905-L020</x:v>
      </x:c>
      <x:c r="M719" s="26" t="n">
        <x:v>1650</x:v>
      </x:c>
      <x:c r="N719" s="26" t="n">
        <x:v>-1650</x:v>
      </x:c>
      <x:c r="O719" s="26" t="n">
        <x:v>1650</x:v>
      </x:c>
      <x:c r="P719" s="26" t="n">
        <x:v>0</x:v>
      </x:c>
      <x:c r="Q719" s="26" t="n">
        <x:v>0</x:v>
      </x:c>
      <x:c r="R719" s="26" t="n">
        <x:v>0</x:v>
      </x:c>
      <x:c r="S719" s="26" t="n">
        <x:v>0</x:v>
      </x:c>
      <x:c r="T719" s="26" t="n">
        <x:v>0</x:v>
      </x:c>
      <x:c r="U719" s="26" t="n">
        <x:v>0</x:v>
      </x:c>
      <x:c r="V719" s="26" t="n">
        <x:v>0</x:v>
      </x:c>
      <x:c r="W719" s="26" t="n">
        <x:v>0</x:v>
      </x:c>
      <x:c r="X719" s="26" t="n">
        <x:v>0</x:v>
      </x:c>
      <x:c r="Y719" s="26" t="n">
        <x:v>0</x:v>
      </x:c>
      <x:c r="Z719" s="35" t="str">
        <x:v>Receipt allocated to FIN-00715</x:v>
      </x:c>
    </x:row>
    <x:row r="720">
      <x:c r="A720" s="20" t="str">
        <x:v>FIN-00717</x:v>
      </x:c>
      <x:c r="B720" s="23" t="n">
        <x:v>46631</x:v>
      </x:c>
      <x:c r="C720" s="23" t="n">
        <x:v>46631</x:v>
      </x:c>
      <x:c r="D720" s="20" t="str">
        <x:v>TenantCharge</x:v>
      </x:c>
      <x:c r="E720" s="20" t="str">
        <x:v>Rent</x:v>
      </x:c>
      <x:c r="F720" s="20" t="str">
        <x:v>P021</x:v>
      </x:c>
      <x:c r="G720" s="20" t="str">
        <x:v>U021</x:v>
      </x:c>
      <x:c r="H720" s="20" t="str">
        <x:v>L021</x:v>
      </x:c>
      <x:c r="I720" s="20" t="str">
        <x:v>Parker Flores</x:v>
      </x:c>
      <x:c r="J720" s="35" t="str">
        <x:v>System scheduled charge</x:v>
      </x:c>
      <x:c r="K720" s="20" t="str"/>
      <x:c r="L720" s="20" t="str">
        <x:v>RENT-202709-L021</x:v>
      </x:c>
      <x:c r="M720" s="26" t="n">
        <x:v>1375</x:v>
      </x:c>
      <x:c r="N720" s="26" t="n">
        <x:v>1375</x:v>
      </x:c>
      <x:c r="O720" s="26" t="n">
        <x:v>0</x:v>
      </x:c>
      <x:c r="P720" s="26" t="n">
        <x:v>0</x:v>
      </x:c>
      <x:c r="Q720" s="26" t="n">
        <x:v>0</x:v>
      </x:c>
      <x:c r="R720" s="26" t="n">
        <x:v>0</x:v>
      </x:c>
      <x:c r="S720" s="26" t="n">
        <x:v>0</x:v>
      </x:c>
      <x:c r="T720" s="26" t="n">
        <x:v>1375</x:v>
      </x:c>
      <x:c r="U720" s="26" t="n">
        <x:v>0</x:v>
      </x:c>
      <x:c r="V720" s="26" t="n">
        <x:v>0</x:v>
      </x:c>
      <x:c r="W720" s="26" t="n">
        <x:v>0</x:v>
      </x:c>
      <x:c r="X720" s="26" t="n">
        <x:v>0</x:v>
      </x:c>
      <x:c r="Y720" s="26" t="n">
        <x:v>0</x:v>
      </x:c>
      <x:c r="Z720" s="35" t="str">
        <x:v>September 2027 rent</x:v>
      </x:c>
    </x:row>
    <x:row r="721">
      <x:c r="A721" s="20" t="str">
        <x:v>FIN-00718</x:v>
      </x:c>
      <x:c r="B721" s="23" t="n">
        <x:v>46633</x:v>
      </x:c>
      <x:c r="C721" s="23" t="n">
        <x:v>46633</x:v>
      </x:c>
      <x:c r="D721" s="20" t="str">
        <x:v>TenantReceipt</x:v>
      </x:c>
      <x:c r="E721" s="20" t="str">
        <x:v>Rent receipt</x:v>
      </x:c>
      <x:c r="F721" s="20" t="str">
        <x:v>P021</x:v>
      </x:c>
      <x:c r="G721" s="20" t="str">
        <x:v>U021</x:v>
      </x:c>
      <x:c r="H721" s="20" t="str">
        <x:v>L021</x:v>
      </x:c>
      <x:c r="I721" s="20" t="str">
        <x:v>Parker Flores</x:v>
      </x:c>
      <x:c r="J721" s="35" t="str">
        <x:v>Scanned money order</x:v>
      </x:c>
      <x:c r="K721" s="20" t="str">
        <x:v>SCN-0268</x:v>
      </x:c>
      <x:c r="L721" s="20" t="str">
        <x:v>PMT-20270903-L021</x:v>
      </x:c>
      <x:c r="M721" s="26" t="n">
        <x:v>1375</x:v>
      </x:c>
      <x:c r="N721" s="26" t="n">
        <x:v>-1375</x:v>
      </x:c>
      <x:c r="O721" s="26" t="n">
        <x:v>1375</x:v>
      </x:c>
      <x:c r="P721" s="26" t="n">
        <x:v>0</x:v>
      </x:c>
      <x:c r="Q721" s="26" t="n">
        <x:v>0</x:v>
      </x:c>
      <x:c r="R721" s="26" t="n">
        <x:v>0</x:v>
      </x:c>
      <x:c r="S721" s="26" t="n">
        <x:v>0</x:v>
      </x:c>
      <x:c r="T721" s="26" t="n">
        <x:v>0</x:v>
      </x:c>
      <x:c r="U721" s="26" t="n">
        <x:v>0</x:v>
      </x:c>
      <x:c r="V721" s="26" t="n">
        <x:v>0</x:v>
      </x:c>
      <x:c r="W721" s="26" t="n">
        <x:v>0</x:v>
      </x:c>
      <x:c r="X721" s="26" t="n">
        <x:v>0</x:v>
      </x:c>
      <x:c r="Y721" s="26" t="n">
        <x:v>0</x:v>
      </x:c>
      <x:c r="Z721" s="35" t="str">
        <x:v>Receipt allocated to FIN-00717</x:v>
      </x:c>
    </x:row>
    <x:row r="722">
      <x:c r="A722" s="20" t="str">
        <x:v>FIN-00719</x:v>
      </x:c>
      <x:c r="B722" s="23" t="n">
        <x:v>46631</x:v>
      </x:c>
      <x:c r="C722" s="23" t="n">
        <x:v>46631</x:v>
      </x:c>
      <x:c r="D722" s="20" t="str">
        <x:v>TenantCharge</x:v>
      </x:c>
      <x:c r="E722" s="20" t="str">
        <x:v>Rent</x:v>
      </x:c>
      <x:c r="F722" s="20" t="str">
        <x:v>P022</x:v>
      </x:c>
      <x:c r="G722" s="20" t="str">
        <x:v>U023</x:v>
      </x:c>
      <x:c r="H722" s="20" t="str">
        <x:v>L023</x:v>
      </x:c>
      <x:c r="I722" s="20" t="str">
        <x:v>Val Price</x:v>
      </x:c>
      <x:c r="J722" s="35" t="str">
        <x:v>System scheduled charge</x:v>
      </x:c>
      <x:c r="K722" s="20" t="str"/>
      <x:c r="L722" s="20" t="str">
        <x:v>RENT-202709-L023</x:v>
      </x:c>
      <x:c r="M722" s="26" t="n">
        <x:v>1525</x:v>
      </x:c>
      <x:c r="N722" s="26" t="n">
        <x:v>1525</x:v>
      </x:c>
      <x:c r="O722" s="26" t="n">
        <x:v>0</x:v>
      </x:c>
      <x:c r="P722" s="26" t="n">
        <x:v>0</x:v>
      </x:c>
      <x:c r="Q722" s="26" t="n">
        <x:v>0</x:v>
      </x:c>
      <x:c r="R722" s="26" t="n">
        <x:v>0</x:v>
      </x:c>
      <x:c r="S722" s="26" t="n">
        <x:v>0</x:v>
      </x:c>
      <x:c r="T722" s="26" t="n">
        <x:v>1525</x:v>
      </x:c>
      <x:c r="U722" s="26" t="n">
        <x:v>0</x:v>
      </x:c>
      <x:c r="V722" s="26" t="n">
        <x:v>0</x:v>
      </x:c>
      <x:c r="W722" s="26" t="n">
        <x:v>0</x:v>
      </x:c>
      <x:c r="X722" s="26" t="n">
        <x:v>0</x:v>
      </x:c>
      <x:c r="Y722" s="26" t="n">
        <x:v>0</x:v>
      </x:c>
      <x:c r="Z722" s="35" t="str">
        <x:v>September 2027 rent</x:v>
      </x:c>
    </x:row>
    <x:row r="723">
      <x:c r="A723" s="20" t="str">
        <x:v>FIN-00720</x:v>
      </x:c>
      <x:c r="B723" s="23" t="n">
        <x:v>46635</x:v>
      </x:c>
      <x:c r="C723" s="23" t="n">
        <x:v>46635</x:v>
      </x:c>
      <x:c r="D723" s="20" t="str">
        <x:v>TenantReceipt</x:v>
      </x:c>
      <x:c r="E723" s="20" t="str">
        <x:v>Rent receipt</x:v>
      </x:c>
      <x:c r="F723" s="20" t="str">
        <x:v>P022</x:v>
      </x:c>
      <x:c r="G723" s="20" t="str">
        <x:v>U023</x:v>
      </x:c>
      <x:c r="H723" s="20" t="str">
        <x:v>L023</x:v>
      </x:c>
      <x:c r="I723" s="20" t="str">
        <x:v>Val Price</x:v>
      </x:c>
      <x:c r="J723" s="35" t="str">
        <x:v>Portal card</x:v>
      </x:c>
      <x:c r="K723" s="20" t="str"/>
      <x:c r="L723" s="20" t="str">
        <x:v>PMT-20270905-L023</x:v>
      </x:c>
      <x:c r="M723" s="26" t="n">
        <x:v>1525</x:v>
      </x:c>
      <x:c r="N723" s="26" t="n">
        <x:v>-1525</x:v>
      </x:c>
      <x:c r="O723" s="26" t="n">
        <x:v>1525</x:v>
      </x:c>
      <x:c r="P723" s="26" t="n">
        <x:v>0</x:v>
      </x:c>
      <x:c r="Q723" s="26" t="n">
        <x:v>0</x:v>
      </x:c>
      <x:c r="R723" s="26" t="n">
        <x:v>0</x:v>
      </x:c>
      <x:c r="S723" s="26" t="n">
        <x:v>0</x:v>
      </x:c>
      <x:c r="T723" s="26" t="n">
        <x:v>0</x:v>
      </x:c>
      <x:c r="U723" s="26" t="n">
        <x:v>0</x:v>
      </x:c>
      <x:c r="V723" s="26" t="n">
        <x:v>0</x:v>
      </x:c>
      <x:c r="W723" s="26" t="n">
        <x:v>0</x:v>
      </x:c>
      <x:c r="X723" s="26" t="n">
        <x:v>0</x:v>
      </x:c>
      <x:c r="Y723" s="26" t="n">
        <x:v>0</x:v>
      </x:c>
      <x:c r="Z723" s="35" t="str">
        <x:v>Receipt allocated to FIN-00719</x:v>
      </x:c>
    </x:row>
    <x:row r="724">
      <x:c r="A724" s="20" t="str">
        <x:v>FIN-00721</x:v>
      </x:c>
      <x:c r="B724" s="23" t="n">
        <x:v>46631</x:v>
      </x:c>
      <x:c r="C724" s="23" t="n">
        <x:v>46631</x:v>
      </x:c>
      <x:c r="D724" s="20" t="str">
        <x:v>TenantCharge</x:v>
      </x:c>
      <x:c r="E724" s="20" t="str">
        <x:v>Rent</x:v>
      </x:c>
      <x:c r="F724" s="20" t="str">
        <x:v>P022</x:v>
      </x:c>
      <x:c r="G724" s="20" t="str">
        <x:v>U024</x:v>
      </x:c>
      <x:c r="H724" s="20" t="str">
        <x:v>L024</x:v>
      </x:c>
      <x:c r="I724" s="20" t="str">
        <x:v>Yara Brooks</x:v>
      </x:c>
      <x:c r="J724" s="35" t="str">
        <x:v>System scheduled charge</x:v>
      </x:c>
      <x:c r="K724" s="20" t="str"/>
      <x:c r="L724" s="20" t="str">
        <x:v>RENT-202709-L024</x:v>
      </x:c>
      <x:c r="M724" s="26" t="n">
        <x:v>1150</x:v>
      </x:c>
      <x:c r="N724" s="26" t="n">
        <x:v>1150</x:v>
      </x:c>
      <x:c r="O724" s="26" t="n">
        <x:v>0</x:v>
      </x:c>
      <x:c r="P724" s="26" t="n">
        <x:v>0</x:v>
      </x:c>
      <x:c r="Q724" s="26" t="n">
        <x:v>0</x:v>
      </x:c>
      <x:c r="R724" s="26" t="n">
        <x:v>0</x:v>
      </x:c>
      <x:c r="S724" s="26" t="n">
        <x:v>0</x:v>
      </x:c>
      <x:c r="T724" s="26" t="n">
        <x:v>1150</x:v>
      </x:c>
      <x:c r="U724" s="26" t="n">
        <x:v>0</x:v>
      </x:c>
      <x:c r="V724" s="26" t="n">
        <x:v>0</x:v>
      </x:c>
      <x:c r="W724" s="26" t="n">
        <x:v>0</x:v>
      </x:c>
      <x:c r="X724" s="26" t="n">
        <x:v>0</x:v>
      </x:c>
      <x:c r="Y724" s="26" t="n">
        <x:v>0</x:v>
      </x:c>
      <x:c r="Z724" s="35" t="str">
        <x:v>September 2027 rent</x:v>
      </x:c>
    </x:row>
    <x:row r="725">
      <x:c r="A725" s="20" t="str">
        <x:v>FIN-00722</x:v>
      </x:c>
      <x:c r="B725" s="23" t="n">
        <x:v>46633</x:v>
      </x:c>
      <x:c r="C725" s="23" t="n">
        <x:v>46633</x:v>
      </x:c>
      <x:c r="D725" s="20" t="str">
        <x:v>TenantReceipt</x:v>
      </x:c>
      <x:c r="E725" s="20" t="str">
        <x:v>Rent receipt</x:v>
      </x:c>
      <x:c r="F725" s="20" t="str">
        <x:v>P022</x:v>
      </x:c>
      <x:c r="G725" s="20" t="str">
        <x:v>U024</x:v>
      </x:c>
      <x:c r="H725" s="20" t="str">
        <x:v>L024</x:v>
      </x:c>
      <x:c r="I725" s="20" t="str">
        <x:v>Yara Brooks</x:v>
      </x:c>
      <x:c r="J725" s="35" t="str">
        <x:v>Scanned check</x:v>
      </x:c>
      <x:c r="K725" s="20" t="str">
        <x:v>SCN-0269</x:v>
      </x:c>
      <x:c r="L725" s="20" t="str">
        <x:v>PMT-20270903-L024</x:v>
      </x:c>
      <x:c r="M725" s="26" t="n">
        <x:v>1150</x:v>
      </x:c>
      <x:c r="N725" s="26" t="n">
        <x:v>-1150</x:v>
      </x:c>
      <x:c r="O725" s="26" t="n">
        <x:v>1150</x:v>
      </x:c>
      <x:c r="P725" s="26" t="n">
        <x:v>0</x:v>
      </x:c>
      <x:c r="Q725" s="26" t="n">
        <x:v>0</x:v>
      </x:c>
      <x:c r="R725" s="26" t="n">
        <x:v>0</x:v>
      </x:c>
      <x:c r="S725" s="26" t="n">
        <x:v>0</x:v>
      </x:c>
      <x:c r="T725" s="26" t="n">
        <x:v>0</x:v>
      </x:c>
      <x:c r="U725" s="26" t="n">
        <x:v>0</x:v>
      </x:c>
      <x:c r="V725" s="26" t="n">
        <x:v>0</x:v>
      </x:c>
      <x:c r="W725" s="26" t="n">
        <x:v>0</x:v>
      </x:c>
      <x:c r="X725" s="26" t="n">
        <x:v>0</x:v>
      </x:c>
      <x:c r="Y725" s="26" t="n">
        <x:v>0</x:v>
      </x:c>
      <x:c r="Z725" s="35" t="str">
        <x:v>Receipt allocated to FIN-00721</x:v>
      </x:c>
    </x:row>
    <x:row r="726">
      <x:c r="A726" s="20" t="str">
        <x:v>FIN-00723</x:v>
      </x:c>
      <x:c r="B726" s="23" t="n">
        <x:v>46631</x:v>
      </x:c>
      <x:c r="C726" s="23" t="n">
        <x:v>46631</x:v>
      </x:c>
      <x:c r="D726" s="20" t="str">
        <x:v>TenantCharge</x:v>
      </x:c>
      <x:c r="E726" s="20" t="str">
        <x:v>Rent</x:v>
      </x:c>
      <x:c r="F726" s="20" t="str">
        <x:v>P023</x:v>
      </x:c>
      <x:c r="G726" s="20" t="str">
        <x:v>U025</x:v>
      </x:c>
      <x:c r="H726" s="20" t="str">
        <x:v>L025</x:v>
      </x:c>
      <x:c r="I726" s="20" t="str">
        <x:v>Bennett Garcia</x:v>
      </x:c>
      <x:c r="J726" s="35" t="str">
        <x:v>System scheduled charge</x:v>
      </x:c>
      <x:c r="K726" s="20" t="str"/>
      <x:c r="L726" s="20" t="str">
        <x:v>RENT-202709-L025</x:v>
      </x:c>
      <x:c r="M726" s="26" t="n">
        <x:v>1675</x:v>
      </x:c>
      <x:c r="N726" s="26" t="n">
        <x:v>1675</x:v>
      </x:c>
      <x:c r="O726" s="26" t="n">
        <x:v>0</x:v>
      </x:c>
      <x:c r="P726" s="26" t="n">
        <x:v>0</x:v>
      </x:c>
      <x:c r="Q726" s="26" t="n">
        <x:v>0</x:v>
      </x:c>
      <x:c r="R726" s="26" t="n">
        <x:v>0</x:v>
      </x:c>
      <x:c r="S726" s="26" t="n">
        <x:v>0</x:v>
      </x:c>
      <x:c r="T726" s="26" t="n">
        <x:v>1675</x:v>
      </x:c>
      <x:c r="U726" s="26" t="n">
        <x:v>0</x:v>
      </x:c>
      <x:c r="V726" s="26" t="n">
        <x:v>0</x:v>
      </x:c>
      <x:c r="W726" s="26" t="n">
        <x:v>0</x:v>
      </x:c>
      <x:c r="X726" s="26" t="n">
        <x:v>0</x:v>
      </x:c>
      <x:c r="Y726" s="26" t="n">
        <x:v>0</x:v>
      </x:c>
      <x:c r="Z726" s="35" t="str">
        <x:v>September 2027 rent</x:v>
      </x:c>
    </x:row>
    <x:row r="727">
      <x:c r="A727" s="20" t="str">
        <x:v>FIN-00724</x:v>
      </x:c>
      <x:c r="B727" s="23" t="n">
        <x:v>46634</x:v>
      </x:c>
      <x:c r="C727" s="23" t="n">
        <x:v>46634</x:v>
      </x:c>
      <x:c r="D727" s="20" t="str">
        <x:v>TenantReceipt</x:v>
      </x:c>
      <x:c r="E727" s="20" t="str">
        <x:v>Rent receipt</x:v>
      </x:c>
      <x:c r="F727" s="20" t="str">
        <x:v>P023</x:v>
      </x:c>
      <x:c r="G727" s="20" t="str">
        <x:v>U025</x:v>
      </x:c>
      <x:c r="H727" s="20" t="str">
        <x:v>L025</x:v>
      </x:c>
      <x:c r="I727" s="20" t="str">
        <x:v>Bennett Garcia</x:v>
      </x:c>
      <x:c r="J727" s="35" t="str">
        <x:v>Scanned money order</x:v>
      </x:c>
      <x:c r="K727" s="20" t="str">
        <x:v>SCN-0270</x:v>
      </x:c>
      <x:c r="L727" s="20" t="str">
        <x:v>PMT-20270904-L025</x:v>
      </x:c>
      <x:c r="M727" s="26" t="n">
        <x:v>1675</x:v>
      </x:c>
      <x:c r="N727" s="26" t="n">
        <x:v>-1675</x:v>
      </x:c>
      <x:c r="O727" s="26" t="n">
        <x:v>1675</x:v>
      </x:c>
      <x:c r="P727" s="26" t="n">
        <x:v>0</x:v>
      </x:c>
      <x:c r="Q727" s="26" t="n">
        <x:v>0</x:v>
      </x:c>
      <x:c r="R727" s="26" t="n">
        <x:v>0</x:v>
      </x:c>
      <x:c r="S727" s="26" t="n">
        <x:v>0</x:v>
      </x:c>
      <x:c r="T727" s="26" t="n">
        <x:v>0</x:v>
      </x:c>
      <x:c r="U727" s="26" t="n">
        <x:v>0</x:v>
      </x:c>
      <x:c r="V727" s="26" t="n">
        <x:v>0</x:v>
      </x:c>
      <x:c r="W727" s="26" t="n">
        <x:v>0</x:v>
      </x:c>
      <x:c r="X727" s="26" t="n">
        <x:v>0</x:v>
      </x:c>
      <x:c r="Y727" s="26" t="n">
        <x:v>0</x:v>
      </x:c>
      <x:c r="Z727" s="35" t="str">
        <x:v>Receipt allocated to FIN-00723</x:v>
      </x:c>
    </x:row>
    <x:row r="728">
      <x:c r="A728" s="20" t="str">
        <x:v>FIN-00725</x:v>
      </x:c>
      <x:c r="B728" s="23" t="n">
        <x:v>46631</x:v>
      </x:c>
      <x:c r="C728" s="23" t="n">
        <x:v>46631</x:v>
      </x:c>
      <x:c r="D728" s="20" t="str">
        <x:v>TenantCharge</x:v>
      </x:c>
      <x:c r="E728" s="20" t="str">
        <x:v>Rent</x:v>
      </x:c>
      <x:c r="F728" s="20" t="str">
        <x:v>P023</x:v>
      </x:c>
      <x:c r="G728" s="20" t="str">
        <x:v>U026</x:v>
      </x:c>
      <x:c r="H728" s="20" t="str">
        <x:v>L026</x:v>
      </x:c>
      <x:c r="I728" s="20" t="str">
        <x:v>Elena Lewis</x:v>
      </x:c>
      <x:c r="J728" s="35" t="str">
        <x:v>System scheduled charge</x:v>
      </x:c>
      <x:c r="K728" s="20" t="str"/>
      <x:c r="L728" s="20" t="str">
        <x:v>RENT-202709-L026</x:v>
      </x:c>
      <x:c r="M728" s="26" t="n">
        <x:v>1300</x:v>
      </x:c>
      <x:c r="N728" s="26" t="n">
        <x:v>1300</x:v>
      </x:c>
      <x:c r="O728" s="26" t="n">
        <x:v>0</x:v>
      </x:c>
      <x:c r="P728" s="26" t="n">
        <x:v>0</x:v>
      </x:c>
      <x:c r="Q728" s="26" t="n">
        <x:v>0</x:v>
      </x:c>
      <x:c r="R728" s="26" t="n">
        <x:v>0</x:v>
      </x:c>
      <x:c r="S728" s="26" t="n">
        <x:v>0</x:v>
      </x:c>
      <x:c r="T728" s="26" t="n">
        <x:v>1300</x:v>
      </x:c>
      <x:c r="U728" s="26" t="n">
        <x:v>0</x:v>
      </x:c>
      <x:c r="V728" s="26" t="n">
        <x:v>0</x:v>
      </x:c>
      <x:c r="W728" s="26" t="n">
        <x:v>0</x:v>
      </x:c>
      <x:c r="X728" s="26" t="n">
        <x:v>0</x:v>
      </x:c>
      <x:c r="Y728" s="26" t="n">
        <x:v>0</x:v>
      </x:c>
      <x:c r="Z728" s="35" t="str">
        <x:v>September 2027 rent</x:v>
      </x:c>
    </x:row>
    <x:row r="729">
      <x:c r="A729" s="20" t="str">
        <x:v>FIN-00726</x:v>
      </x:c>
      <x:c r="B729" s="23" t="n">
        <x:v>46636</x:v>
      </x:c>
      <x:c r="C729" s="23" t="n">
        <x:v>46636</x:v>
      </x:c>
      <x:c r="D729" s="20" t="str">
        <x:v>TenantCharge</x:v>
      </x:c>
      <x:c r="E729" s="20" t="str">
        <x:v>Late fee</x:v>
      </x:c>
      <x:c r="F729" s="20" t="str">
        <x:v>P023</x:v>
      </x:c>
      <x:c r="G729" s="20" t="str">
        <x:v>U026</x:v>
      </x:c>
      <x:c r="H729" s="20" t="str">
        <x:v>L026</x:v>
      </x:c>
      <x:c r="I729" s="20" t="str">
        <x:v>Elena Lewis</x:v>
      </x:c>
      <x:c r="J729" s="35" t="str">
        <x:v>System automation</x:v>
      </x:c>
      <x:c r="K729" s="20" t="str"/>
      <x:c r="L729" s="20" t="str">
        <x:v>LATE-202709-L026</x:v>
      </x:c>
      <x:c r="M729" s="26" t="n">
        <x:v>50</x:v>
      </x:c>
      <x:c r="N729" s="26" t="n">
        <x:v>50</x:v>
      </x:c>
      <x:c r="O729" s="26" t="n">
        <x:v>0</x:v>
      </x:c>
      <x:c r="P729" s="26" t="n">
        <x:v>0</x:v>
      </x:c>
      <x:c r="Q729" s="26" t="n">
        <x:v>0</x:v>
      </x:c>
      <x:c r="R729" s="26" t="n">
        <x:v>0</x:v>
      </x:c>
      <x:c r="S729" s="26" t="n">
        <x:v>0</x:v>
      </x:c>
      <x:c r="T729" s="26" t="n">
        <x:v>50</x:v>
      </x:c>
      <x:c r="U729" s="26" t="n">
        <x:v>0</x:v>
      </x:c>
      <x:c r="V729" s="26" t="n">
        <x:v>0</x:v>
      </x:c>
      <x:c r="W729" s="26" t="n">
        <x:v>0</x:v>
      </x:c>
      <x:c r="X729" s="26" t="n">
        <x:v>0</x:v>
      </x:c>
      <x:c r="Y729" s="26" t="n">
        <x:v>0</x:v>
      </x:c>
      <x:c r="Z729" s="35" t="str">
        <x:v>Synthetic lease-authorized late fee</x:v>
      </x:c>
    </x:row>
    <x:row r="730">
      <x:c r="A730" s="20" t="str">
        <x:v>FIN-00727</x:v>
      </x:c>
      <x:c r="B730" s="23" t="n">
        <x:v>46638</x:v>
      </x:c>
      <x:c r="C730" s="23" t="n">
        <x:v>46638</x:v>
      </x:c>
      <x:c r="D730" s="20" t="str">
        <x:v>TenantReceipt</x:v>
      </x:c>
      <x:c r="E730" s="20" t="str">
        <x:v>Rent receipt</x:v>
      </x:c>
      <x:c r="F730" s="20" t="str">
        <x:v>P023</x:v>
      </x:c>
      <x:c r="G730" s="20" t="str">
        <x:v>U026</x:v>
      </x:c>
      <x:c r="H730" s="20" t="str">
        <x:v>L026</x:v>
      </x:c>
      <x:c r="I730" s="20" t="str">
        <x:v>Elena Lewis</x:v>
      </x:c>
      <x:c r="J730" s="35" t="str">
        <x:v>Scanned money order</x:v>
      </x:c>
      <x:c r="K730" s="20" t="str">
        <x:v>SCN-0271</x:v>
      </x:c>
      <x:c r="L730" s="20" t="str">
        <x:v>PMT-20270908-L026</x:v>
      </x:c>
      <x:c r="M730" s="26" t="n">
        <x:v>1350</x:v>
      </x:c>
      <x:c r="N730" s="26" t="n">
        <x:v>-1350</x:v>
      </x:c>
      <x:c r="O730" s="26" t="n">
        <x:v>1350</x:v>
      </x:c>
      <x:c r="P730" s="26" t="n">
        <x:v>0</x:v>
      </x:c>
      <x:c r="Q730" s="26" t="n">
        <x:v>0</x:v>
      </x:c>
      <x:c r="R730" s="26" t="n">
        <x:v>0</x:v>
      </x:c>
      <x:c r="S730" s="26" t="n">
        <x:v>0</x:v>
      </x:c>
      <x:c r="T730" s="26" t="n">
        <x:v>0</x:v>
      </x:c>
      <x:c r="U730" s="26" t="n">
        <x:v>0</x:v>
      </x:c>
      <x:c r="V730" s="26" t="n">
        <x:v>0</x:v>
      </x:c>
      <x:c r="W730" s="26" t="n">
        <x:v>0</x:v>
      </x:c>
      <x:c r="X730" s="26" t="n">
        <x:v>0</x:v>
      </x:c>
      <x:c r="Y730" s="26" t="n">
        <x:v>0</x:v>
      </x:c>
      <x:c r="Z730" s="35" t="str">
        <x:v>Receipt allocated to FIN-00726</x:v>
      </x:c>
    </x:row>
    <x:row r="731">
      <x:c r="A731" s="20" t="str">
        <x:v>FIN-00728</x:v>
      </x:c>
      <x:c r="B731" s="23" t="n">
        <x:v>46631</x:v>
      </x:c>
      <x:c r="C731" s="23" t="n">
        <x:v>46631</x:v>
      </x:c>
      <x:c r="D731" s="20" t="str">
        <x:v>TenantCharge</x:v>
      </x:c>
      <x:c r="E731" s="20" t="str">
        <x:v>Rent</x:v>
      </x:c>
      <x:c r="F731" s="20" t="str">
        <x:v>P024</x:v>
      </x:c>
      <x:c r="G731" s="20" t="str">
        <x:v>U027</x:v>
      </x:c>
      <x:c r="H731" s="20" t="str">
        <x:v>L027</x:v>
      </x:c>
      <x:c r="I731" s="20" t="str">
        <x:v>Hector Reed</x:v>
      </x:c>
      <x:c r="J731" s="35" t="str">
        <x:v>System scheduled charge</x:v>
      </x:c>
      <x:c r="K731" s="20" t="str"/>
      <x:c r="L731" s="20" t="str">
        <x:v>RENT-202709-L027</x:v>
      </x:c>
      <x:c r="M731" s="26" t="n">
        <x:v>1825</x:v>
      </x:c>
      <x:c r="N731" s="26" t="n">
        <x:v>1825</x:v>
      </x:c>
      <x:c r="O731" s="26" t="n">
        <x:v>0</x:v>
      </x:c>
      <x:c r="P731" s="26" t="n">
        <x:v>0</x:v>
      </x:c>
      <x:c r="Q731" s="26" t="n">
        <x:v>0</x:v>
      </x:c>
      <x:c r="R731" s="26" t="n">
        <x:v>0</x:v>
      </x:c>
      <x:c r="S731" s="26" t="n">
        <x:v>0</x:v>
      </x:c>
      <x:c r="T731" s="26" t="n">
        <x:v>1825</x:v>
      </x:c>
      <x:c r="U731" s="26" t="n">
        <x:v>0</x:v>
      </x:c>
      <x:c r="V731" s="26" t="n">
        <x:v>0</x:v>
      </x:c>
      <x:c r="W731" s="26" t="n">
        <x:v>0</x:v>
      </x:c>
      <x:c r="X731" s="26" t="n">
        <x:v>0</x:v>
      </x:c>
      <x:c r="Y731" s="26" t="n">
        <x:v>0</x:v>
      </x:c>
      <x:c r="Z731" s="35" t="str">
        <x:v>September 2027 rent</x:v>
      </x:c>
    </x:row>
    <x:row r="732">
      <x:c r="A732" s="20" t="str">
        <x:v>FIN-00729</x:v>
      </x:c>
      <x:c r="B732" s="23" t="n">
        <x:v>46633</x:v>
      </x:c>
      <x:c r="C732" s="23" t="n">
        <x:v>46633</x:v>
      </x:c>
      <x:c r="D732" s="20" t="str">
        <x:v>TenantReceipt</x:v>
      </x:c>
      <x:c r="E732" s="20" t="str">
        <x:v>Rent receipt</x:v>
      </x:c>
      <x:c r="F732" s="20" t="str">
        <x:v>P024</x:v>
      </x:c>
      <x:c r="G732" s="20" t="str">
        <x:v>U027</x:v>
      </x:c>
      <x:c r="H732" s="20" t="str">
        <x:v>L027</x:v>
      </x:c>
      <x:c r="I732" s="20" t="str">
        <x:v>Hector Reed</x:v>
      </x:c>
      <x:c r="J732" s="35" t="str">
        <x:v>Portal card</x:v>
      </x:c>
      <x:c r="K732" s="20" t="str"/>
      <x:c r="L732" s="20" t="str">
        <x:v>PMT-20270903-L027</x:v>
      </x:c>
      <x:c r="M732" s="26" t="n">
        <x:v>1825</x:v>
      </x:c>
      <x:c r="N732" s="26" t="n">
        <x:v>-1825</x:v>
      </x:c>
      <x:c r="O732" s="26" t="n">
        <x:v>1825</x:v>
      </x:c>
      <x:c r="P732" s="26" t="n">
        <x:v>0</x:v>
      </x:c>
      <x:c r="Q732" s="26" t="n">
        <x:v>0</x:v>
      </x:c>
      <x:c r="R732" s="26" t="n">
        <x:v>0</x:v>
      </x:c>
      <x:c r="S732" s="26" t="n">
        <x:v>0</x:v>
      </x:c>
      <x:c r="T732" s="26" t="n">
        <x:v>0</x:v>
      </x:c>
      <x:c r="U732" s="26" t="n">
        <x:v>0</x:v>
      </x:c>
      <x:c r="V732" s="26" t="n">
        <x:v>0</x:v>
      </x:c>
      <x:c r="W732" s="26" t="n">
        <x:v>0</x:v>
      </x:c>
      <x:c r="X732" s="26" t="n">
        <x:v>0</x:v>
      </x:c>
      <x:c r="Y732" s="26" t="n">
        <x:v>0</x:v>
      </x:c>
      <x:c r="Z732" s="35" t="str">
        <x:v>Receipt allocated to FIN-00728</x:v>
      </x:c>
    </x:row>
    <x:row r="733">
      <x:c r="A733" s="20" t="str">
        <x:v>FIN-00730</x:v>
      </x:c>
      <x:c r="B733" s="23" t="n">
        <x:v>46631</x:v>
      </x:c>
      <x:c r="C733" s="23" t="n">
        <x:v>46631</x:v>
      </x:c>
      <x:c r="D733" s="20" t="str">
        <x:v>TenantCharge</x:v>
      </x:c>
      <x:c r="E733" s="20" t="str">
        <x:v>Rent</x:v>
      </x:c>
      <x:c r="F733" s="20" t="str">
        <x:v>P024</x:v>
      </x:c>
      <x:c r="G733" s="20" t="str">
        <x:v>U028</x:v>
      </x:c>
      <x:c r="H733" s="20" t="str">
        <x:v>L028</x:v>
      </x:c>
      <x:c r="I733" s="20" t="str">
        <x:v>Keira Adams</x:v>
      </x:c>
      <x:c r="J733" s="35" t="str">
        <x:v>System scheduled charge</x:v>
      </x:c>
      <x:c r="K733" s="20" t="str"/>
      <x:c r="L733" s="20" t="str">
        <x:v>RENT-202709-L028</x:v>
      </x:c>
      <x:c r="M733" s="26" t="n">
        <x:v>1450</x:v>
      </x:c>
      <x:c r="N733" s="26" t="n">
        <x:v>1450</x:v>
      </x:c>
      <x:c r="O733" s="26" t="n">
        <x:v>0</x:v>
      </x:c>
      <x:c r="P733" s="26" t="n">
        <x:v>0</x:v>
      </x:c>
      <x:c r="Q733" s="26" t="n">
        <x:v>0</x:v>
      </x:c>
      <x:c r="R733" s="26" t="n">
        <x:v>0</x:v>
      </x:c>
      <x:c r="S733" s="26" t="n">
        <x:v>0</x:v>
      </x:c>
      <x:c r="T733" s="26" t="n">
        <x:v>1450</x:v>
      </x:c>
      <x:c r="U733" s="26" t="n">
        <x:v>0</x:v>
      </x:c>
      <x:c r="V733" s="26" t="n">
        <x:v>0</x:v>
      </x:c>
      <x:c r="W733" s="26" t="n">
        <x:v>0</x:v>
      </x:c>
      <x:c r="X733" s="26" t="n">
        <x:v>0</x:v>
      </x:c>
      <x:c r="Y733" s="26" t="n">
        <x:v>0</x:v>
      </x:c>
      <x:c r="Z733" s="35" t="str">
        <x:v>September 2027 rent</x:v>
      </x:c>
    </x:row>
    <x:row r="734">
      <x:c r="A734" s="20" t="str">
        <x:v>FIN-00731</x:v>
      </x:c>
      <x:c r="B734" s="23" t="n">
        <x:v>46634</x:v>
      </x:c>
      <x:c r="C734" s="23" t="n">
        <x:v>46634</x:v>
      </x:c>
      <x:c r="D734" s="20" t="str">
        <x:v>TenantReceipt</x:v>
      </x:c>
      <x:c r="E734" s="20" t="str">
        <x:v>Rent receipt</x:v>
      </x:c>
      <x:c r="F734" s="20" t="str">
        <x:v>P024</x:v>
      </x:c>
      <x:c r="G734" s="20" t="str">
        <x:v>U028</x:v>
      </x:c>
      <x:c r="H734" s="20" t="str">
        <x:v>L028</x:v>
      </x:c>
      <x:c r="I734" s="20" t="str">
        <x:v>Keira Adams</x:v>
      </x:c>
      <x:c r="J734" s="35" t="str">
        <x:v>Scanned check</x:v>
      </x:c>
      <x:c r="K734" s="20" t="str">
        <x:v>SCN-0272</x:v>
      </x:c>
      <x:c r="L734" s="20" t="str">
        <x:v>PMT-20270904-L028</x:v>
      </x:c>
      <x:c r="M734" s="26" t="n">
        <x:v>1450</x:v>
      </x:c>
      <x:c r="N734" s="26" t="n">
        <x:v>-1450</x:v>
      </x:c>
      <x:c r="O734" s="26" t="n">
        <x:v>1450</x:v>
      </x:c>
      <x:c r="P734" s="26" t="n">
        <x:v>0</x:v>
      </x:c>
      <x:c r="Q734" s="26" t="n">
        <x:v>0</x:v>
      </x:c>
      <x:c r="R734" s="26" t="n">
        <x:v>0</x:v>
      </x:c>
      <x:c r="S734" s="26" t="n">
        <x:v>0</x:v>
      </x:c>
      <x:c r="T734" s="26" t="n">
        <x:v>0</x:v>
      </x:c>
      <x:c r="U734" s="26" t="n">
        <x:v>0</x:v>
      </x:c>
      <x:c r="V734" s="26" t="n">
        <x:v>0</x:v>
      </x:c>
      <x:c r="W734" s="26" t="n">
        <x:v>0</x:v>
      </x:c>
      <x:c r="X734" s="26" t="n">
        <x:v>0</x:v>
      </x:c>
      <x:c r="Y734" s="26" t="n">
        <x:v>0</x:v>
      </x:c>
      <x:c r="Z734" s="35" t="str">
        <x:v>Receipt allocated to FIN-00730</x:v>
      </x:c>
    </x:row>
    <x:row r="735">
      <x:c r="A735" s="20" t="str">
        <x:v>FIN-00732</x:v>
      </x:c>
      <x:c r="B735" s="23" t="n">
        <x:v>46631</x:v>
      </x:c>
      <x:c r="C735" s="23" t="n">
        <x:v>46631</x:v>
      </x:c>
      <x:c r="D735" s="20" t="str">
        <x:v>TenantCharge</x:v>
      </x:c>
      <x:c r="E735" s="20" t="str">
        <x:v>Rent</x:v>
      </x:c>
      <x:c r="F735" s="20" t="str">
        <x:v>P025</x:v>
      </x:c>
      <x:c r="G735" s="20" t="str">
        <x:v>U029</x:v>
      </x:c>
      <x:c r="H735" s="20" t="str">
        <x:v>L029</x:v>
      </x:c>
      <x:c r="I735" s="20" t="str">
        <x:v>Nolan Flores</x:v>
      </x:c>
      <x:c r="J735" s="35" t="str">
        <x:v>System scheduled charge</x:v>
      </x:c>
      <x:c r="K735" s="20" t="str"/>
      <x:c r="L735" s="20" t="str">
        <x:v>RENT-202709-L029</x:v>
      </x:c>
      <x:c r="M735" s="26" t="n">
        <x:v>1975</x:v>
      </x:c>
      <x:c r="N735" s="26" t="n">
        <x:v>1975</x:v>
      </x:c>
      <x:c r="O735" s="26" t="n">
        <x:v>0</x:v>
      </x:c>
      <x:c r="P735" s="26" t="n">
        <x:v>0</x:v>
      </x:c>
      <x:c r="Q735" s="26" t="n">
        <x:v>0</x:v>
      </x:c>
      <x:c r="R735" s="26" t="n">
        <x:v>0</x:v>
      </x:c>
      <x:c r="S735" s="26" t="n">
        <x:v>0</x:v>
      </x:c>
      <x:c r="T735" s="26" t="n">
        <x:v>1975</x:v>
      </x:c>
      <x:c r="U735" s="26" t="n">
        <x:v>0</x:v>
      </x:c>
      <x:c r="V735" s="26" t="n">
        <x:v>0</x:v>
      </x:c>
      <x:c r="W735" s="26" t="n">
        <x:v>0</x:v>
      </x:c>
      <x:c r="X735" s="26" t="n">
        <x:v>0</x:v>
      </x:c>
      <x:c r="Y735" s="26" t="n">
        <x:v>0</x:v>
      </x:c>
      <x:c r="Z735" s="35" t="str">
        <x:v>September 2027 rent</x:v>
      </x:c>
    </x:row>
    <x:row r="736">
      <x:c r="A736" s="20" t="str">
        <x:v>FIN-00733</x:v>
      </x:c>
      <x:c r="B736" s="23" t="n">
        <x:v>46635</x:v>
      </x:c>
      <x:c r="C736" s="23" t="n">
        <x:v>46635</x:v>
      </x:c>
      <x:c r="D736" s="20" t="str">
        <x:v>TenantReceipt</x:v>
      </x:c>
      <x:c r="E736" s="20" t="str">
        <x:v>Rent receipt</x:v>
      </x:c>
      <x:c r="F736" s="20" t="str">
        <x:v>P025</x:v>
      </x:c>
      <x:c r="G736" s="20" t="str">
        <x:v>U029</x:v>
      </x:c>
      <x:c r="H736" s="20" t="str">
        <x:v>L029</x:v>
      </x:c>
      <x:c r="I736" s="20" t="str">
        <x:v>Nolan Flores</x:v>
      </x:c>
      <x:c r="J736" s="35" t="str">
        <x:v>Scanned money order</x:v>
      </x:c>
      <x:c r="K736" s="20" t="str">
        <x:v>SCN-0273</x:v>
      </x:c>
      <x:c r="L736" s="20" t="str">
        <x:v>PMT-20270905-L029</x:v>
      </x:c>
      <x:c r="M736" s="26" t="n">
        <x:v>1975</x:v>
      </x:c>
      <x:c r="N736" s="26" t="n">
        <x:v>-1975</x:v>
      </x:c>
      <x:c r="O736" s="26" t="n">
        <x:v>1975</x:v>
      </x:c>
      <x:c r="P736" s="26" t="n">
        <x:v>0</x:v>
      </x:c>
      <x:c r="Q736" s="26" t="n">
        <x:v>0</x:v>
      </x:c>
      <x:c r="R736" s="26" t="n">
        <x:v>0</x:v>
      </x:c>
      <x:c r="S736" s="26" t="n">
        <x:v>0</x:v>
      </x:c>
      <x:c r="T736" s="26" t="n">
        <x:v>0</x:v>
      </x:c>
      <x:c r="U736" s="26" t="n">
        <x:v>0</x:v>
      </x:c>
      <x:c r="V736" s="26" t="n">
        <x:v>0</x:v>
      </x:c>
      <x:c r="W736" s="26" t="n">
        <x:v>0</x:v>
      </x:c>
      <x:c r="X736" s="26" t="n">
        <x:v>0</x:v>
      </x:c>
      <x:c r="Y736" s="26" t="n">
        <x:v>0</x:v>
      </x:c>
      <x:c r="Z736" s="35" t="str">
        <x:v>Receipt allocated to FIN-00732</x:v>
      </x:c>
    </x:row>
    <x:row r="737">
      <x:c r="A737" s="20" t="str">
        <x:v>FIN-00734</x:v>
      </x:c>
      <x:c r="B737" s="23" t="n">
        <x:v>46631</x:v>
      </x:c>
      <x:c r="C737" s="23" t="n">
        <x:v>46631</x:v>
      </x:c>
      <x:c r="D737" s="20" t="str">
        <x:v>TenantCharge</x:v>
      </x:c>
      <x:c r="E737" s="20" t="str">
        <x:v>Rent</x:v>
      </x:c>
      <x:c r="F737" s="20" t="str">
        <x:v>P025</x:v>
      </x:c>
      <x:c r="G737" s="20" t="str">
        <x:v>U030</x:v>
      </x:c>
      <x:c r="H737" s="20" t="str">
        <x:v>L030</x:v>
      </x:c>
      <x:c r="I737" s="20" t="str">
        <x:v>Rina King</x:v>
      </x:c>
      <x:c r="J737" s="35" t="str">
        <x:v>System scheduled charge</x:v>
      </x:c>
      <x:c r="K737" s="20" t="str"/>
      <x:c r="L737" s="20" t="str">
        <x:v>RENT-202709-L030</x:v>
      </x:c>
      <x:c r="M737" s="26" t="n">
        <x:v>1600</x:v>
      </x:c>
      <x:c r="N737" s="26" t="n">
        <x:v>1600</x:v>
      </x:c>
      <x:c r="O737" s="26" t="n">
        <x:v>0</x:v>
      </x:c>
      <x:c r="P737" s="26" t="n">
        <x:v>0</x:v>
      </x:c>
      <x:c r="Q737" s="26" t="n">
        <x:v>0</x:v>
      </x:c>
      <x:c r="R737" s="26" t="n">
        <x:v>0</x:v>
      </x:c>
      <x:c r="S737" s="26" t="n">
        <x:v>0</x:v>
      </x:c>
      <x:c r="T737" s="26" t="n">
        <x:v>1600</x:v>
      </x:c>
      <x:c r="U737" s="26" t="n">
        <x:v>0</x:v>
      </x:c>
      <x:c r="V737" s="26" t="n">
        <x:v>0</x:v>
      </x:c>
      <x:c r="W737" s="26" t="n">
        <x:v>0</x:v>
      </x:c>
      <x:c r="X737" s="26" t="n">
        <x:v>0</x:v>
      </x:c>
      <x:c r="Y737" s="26" t="n">
        <x:v>0</x:v>
      </x:c>
      <x:c r="Z737" s="35" t="str">
        <x:v>September 2027 rent</x:v>
      </x:c>
    </x:row>
    <x:row r="738">
      <x:c r="A738" s="20" t="str">
        <x:v>FIN-00735</x:v>
      </x:c>
      <x:c r="B738" s="23" t="n">
        <x:v>46633</x:v>
      </x:c>
      <x:c r="C738" s="23" t="n">
        <x:v>46633</x:v>
      </x:c>
      <x:c r="D738" s="20" t="str">
        <x:v>TenantReceipt</x:v>
      </x:c>
      <x:c r="E738" s="20" t="str">
        <x:v>Rent receipt</x:v>
      </x:c>
      <x:c r="F738" s="20" t="str">
        <x:v>P025</x:v>
      </x:c>
      <x:c r="G738" s="20" t="str">
        <x:v>U030</x:v>
      </x:c>
      <x:c r="H738" s="20" t="str">
        <x:v>L030</x:v>
      </x:c>
      <x:c r="I738" s="20" t="str">
        <x:v>Rina King</x:v>
      </x:c>
      <x:c r="J738" s="35" t="str">
        <x:v>Manual ACH</x:v>
      </x:c>
      <x:c r="K738" s="20" t="str"/>
      <x:c r="L738" s="20" t="str">
        <x:v>PMT-20270903-L030</x:v>
      </x:c>
      <x:c r="M738" s="26" t="n">
        <x:v>1600</x:v>
      </x:c>
      <x:c r="N738" s="26" t="n">
        <x:v>-1600</x:v>
      </x:c>
      <x:c r="O738" s="26" t="n">
        <x:v>1600</x:v>
      </x:c>
      <x:c r="P738" s="26" t="n">
        <x:v>0</x:v>
      </x:c>
      <x:c r="Q738" s="26" t="n">
        <x:v>0</x:v>
      </x:c>
      <x:c r="R738" s="26" t="n">
        <x:v>0</x:v>
      </x:c>
      <x:c r="S738" s="26" t="n">
        <x:v>0</x:v>
      </x:c>
      <x:c r="T738" s="26" t="n">
        <x:v>0</x:v>
      </x:c>
      <x:c r="U738" s="26" t="n">
        <x:v>0</x:v>
      </x:c>
      <x:c r="V738" s="26" t="n">
        <x:v>0</x:v>
      </x:c>
      <x:c r="W738" s="26" t="n">
        <x:v>0</x:v>
      </x:c>
      <x:c r="X738" s="26" t="n">
        <x:v>0</x:v>
      </x:c>
      <x:c r="Y738" s="26" t="n">
        <x:v>0</x:v>
      </x:c>
      <x:c r="Z738" s="35" t="str">
        <x:v>Receipt allocated to FIN-00734</x:v>
      </x:c>
    </x:row>
    <x:row r="739">
      <x:c r="A739" s="20" t="str">
        <x:v>FIN-00736</x:v>
      </x:c>
      <x:c r="B739" s="23" t="n">
        <x:v>46631</x:v>
      </x:c>
      <x:c r="C739" s="23" t="n">
        <x:v>46631</x:v>
      </x:c>
      <x:c r="D739" s="20" t="str">
        <x:v>TenantCharge</x:v>
      </x:c>
      <x:c r="E739" s="20" t="str">
        <x:v>Rent</x:v>
      </x:c>
      <x:c r="F739" s="20" t="str">
        <x:v>P026</x:v>
      </x:c>
      <x:c r="G739" s="20" t="str">
        <x:v>U031</x:v>
      </x:c>
      <x:c r="H739" s="20" t="str">
        <x:v>L031</x:v>
      </x:c>
      <x:c r="I739" s="20" t="str">
        <x:v>Uri Price</x:v>
      </x:c>
      <x:c r="J739" s="35" t="str">
        <x:v>System scheduled charge</x:v>
      </x:c>
      <x:c r="K739" s="20" t="str"/>
      <x:c r="L739" s="20" t="str">
        <x:v>RENT-202709-L031</x:v>
      </x:c>
      <x:c r="M739" s="26" t="n">
        <x:v>1225</x:v>
      </x:c>
      <x:c r="N739" s="26" t="n">
        <x:v>1225</x:v>
      </x:c>
      <x:c r="O739" s="26" t="n">
        <x:v>0</x:v>
      </x:c>
      <x:c r="P739" s="26" t="n">
        <x:v>0</x:v>
      </x:c>
      <x:c r="Q739" s="26" t="n">
        <x:v>0</x:v>
      </x:c>
      <x:c r="R739" s="26" t="n">
        <x:v>0</x:v>
      </x:c>
      <x:c r="S739" s="26" t="n">
        <x:v>0</x:v>
      </x:c>
      <x:c r="T739" s="26" t="n">
        <x:v>1225</x:v>
      </x:c>
      <x:c r="U739" s="26" t="n">
        <x:v>0</x:v>
      </x:c>
      <x:c r="V739" s="26" t="n">
        <x:v>0</x:v>
      </x:c>
      <x:c r="W739" s="26" t="n">
        <x:v>0</x:v>
      </x:c>
      <x:c r="X739" s="26" t="n">
        <x:v>0</x:v>
      </x:c>
      <x:c r="Y739" s="26" t="n">
        <x:v>0</x:v>
      </x:c>
      <x:c r="Z739" s="35" t="str">
        <x:v>September 2027 rent</x:v>
      </x:c>
    </x:row>
    <x:row r="740">
      <x:c r="A740" s="20" t="str">
        <x:v>FIN-00737</x:v>
      </x:c>
      <x:c r="B740" s="23" t="n">
        <x:v>46634</x:v>
      </x:c>
      <x:c r="C740" s="23" t="n">
        <x:v>46634</x:v>
      </x:c>
      <x:c r="D740" s="20" t="str">
        <x:v>TenantReceipt</x:v>
      </x:c>
      <x:c r="E740" s="20" t="str">
        <x:v>Rent receipt</x:v>
      </x:c>
      <x:c r="F740" s="20" t="str">
        <x:v>P026</x:v>
      </x:c>
      <x:c r="G740" s="20" t="str">
        <x:v>U031</x:v>
      </x:c>
      <x:c r="H740" s="20" t="str">
        <x:v>L031</x:v>
      </x:c>
      <x:c r="I740" s="20" t="str">
        <x:v>Uri Price</x:v>
      </x:c>
      <x:c r="J740" s="35" t="str">
        <x:v>Portal card</x:v>
      </x:c>
      <x:c r="K740" s="20" t="str"/>
      <x:c r="L740" s="20" t="str">
        <x:v>PMT-20270904-L031</x:v>
      </x:c>
      <x:c r="M740" s="26" t="n">
        <x:v>1225</x:v>
      </x:c>
      <x:c r="N740" s="26" t="n">
        <x:v>-1225</x:v>
      </x:c>
      <x:c r="O740" s="26" t="n">
        <x:v>1225</x:v>
      </x:c>
      <x:c r="P740" s="26" t="n">
        <x:v>0</x:v>
      </x:c>
      <x:c r="Q740" s="26" t="n">
        <x:v>0</x:v>
      </x:c>
      <x:c r="R740" s="26" t="n">
        <x:v>0</x:v>
      </x:c>
      <x:c r="S740" s="26" t="n">
        <x:v>0</x:v>
      </x:c>
      <x:c r="T740" s="26" t="n">
        <x:v>0</x:v>
      </x:c>
      <x:c r="U740" s="26" t="n">
        <x:v>0</x:v>
      </x:c>
      <x:c r="V740" s="26" t="n">
        <x:v>0</x:v>
      </x:c>
      <x:c r="W740" s="26" t="n">
        <x:v>0</x:v>
      </x:c>
      <x:c r="X740" s="26" t="n">
        <x:v>0</x:v>
      </x:c>
      <x:c r="Y740" s="26" t="n">
        <x:v>0</x:v>
      </x:c>
      <x:c r="Z740" s="35" t="str">
        <x:v>Receipt allocated to FIN-00736</x:v>
      </x:c>
    </x:row>
    <x:row r="741">
      <x:c r="A741" s="20" t="str">
        <x:v>FIN-00738</x:v>
      </x:c>
      <x:c r="B741" s="23" t="n">
        <x:v>46631</x:v>
      </x:c>
      <x:c r="C741" s="23" t="n">
        <x:v>46631</x:v>
      </x:c>
      <x:c r="D741" s="20" t="str">
        <x:v>TenantCharge</x:v>
      </x:c>
      <x:c r="E741" s="20" t="str">
        <x:v>Rent</x:v>
      </x:c>
      <x:c r="F741" s="20" t="str">
        <x:v>P026</x:v>
      </x:c>
      <x:c r="G741" s="20" t="str">
        <x:v>U032</x:v>
      </x:c>
      <x:c r="H741" s="20" t="str">
        <x:v>L032</x:v>
      </x:c>
      <x:c r="I741" s="20" t="str">
        <x:v>Avery Brooks</x:v>
      </x:c>
      <x:c r="J741" s="35" t="str">
        <x:v>System scheduled charge</x:v>
      </x:c>
      <x:c r="K741" s="20" t="str"/>
      <x:c r="L741" s="20" t="str">
        <x:v>RENT-202709-L032</x:v>
      </x:c>
      <x:c r="M741" s="26" t="n">
        <x:v>1750</x:v>
      </x:c>
      <x:c r="N741" s="26" t="n">
        <x:v>1750</x:v>
      </x:c>
      <x:c r="O741" s="26" t="n">
        <x:v>0</x:v>
      </x:c>
      <x:c r="P741" s="26" t="n">
        <x:v>0</x:v>
      </x:c>
      <x:c r="Q741" s="26" t="n">
        <x:v>0</x:v>
      </x:c>
      <x:c r="R741" s="26" t="n">
        <x:v>0</x:v>
      </x:c>
      <x:c r="S741" s="26" t="n">
        <x:v>0</x:v>
      </x:c>
      <x:c r="T741" s="26" t="n">
        <x:v>1750</x:v>
      </x:c>
      <x:c r="U741" s="26" t="n">
        <x:v>0</x:v>
      </x:c>
      <x:c r="V741" s="26" t="n">
        <x:v>0</x:v>
      </x:c>
      <x:c r="W741" s="26" t="n">
        <x:v>0</x:v>
      </x:c>
      <x:c r="X741" s="26" t="n">
        <x:v>0</x:v>
      </x:c>
      <x:c r="Y741" s="26" t="n">
        <x:v>0</x:v>
      </x:c>
      <x:c r="Z741" s="35" t="str">
        <x:v>September 2027 rent</x:v>
      </x:c>
    </x:row>
    <x:row r="742">
      <x:c r="A742" s="20" t="str">
        <x:v>FIN-00739</x:v>
      </x:c>
      <x:c r="B742" s="23" t="n">
        <x:v>46635</x:v>
      </x:c>
      <x:c r="C742" s="23" t="n">
        <x:v>46635</x:v>
      </x:c>
      <x:c r="D742" s="20" t="str">
        <x:v>TenantReceipt</x:v>
      </x:c>
      <x:c r="E742" s="20" t="str">
        <x:v>Rent receipt</x:v>
      </x:c>
      <x:c r="F742" s="20" t="str">
        <x:v>P026</x:v>
      </x:c>
      <x:c r="G742" s="20" t="str">
        <x:v>U032</x:v>
      </x:c>
      <x:c r="H742" s="20" t="str">
        <x:v>L032</x:v>
      </x:c>
      <x:c r="I742" s="20" t="str">
        <x:v>Avery Brooks</x:v>
      </x:c>
      <x:c r="J742" s="35" t="str">
        <x:v>Scanned check</x:v>
      </x:c>
      <x:c r="K742" s="20" t="str">
        <x:v>SCN-0274</x:v>
      </x:c>
      <x:c r="L742" s="20" t="str">
        <x:v>PMT-20270905-L032</x:v>
      </x:c>
      <x:c r="M742" s="26" t="n">
        <x:v>1750</x:v>
      </x:c>
      <x:c r="N742" s="26" t="n">
        <x:v>-1750</x:v>
      </x:c>
      <x:c r="O742" s="26" t="n">
        <x:v>1750</x:v>
      </x:c>
      <x:c r="P742" s="26" t="n">
        <x:v>0</x:v>
      </x:c>
      <x:c r="Q742" s="26" t="n">
        <x:v>0</x:v>
      </x:c>
      <x:c r="R742" s="26" t="n">
        <x:v>0</x:v>
      </x:c>
      <x:c r="S742" s="26" t="n">
        <x:v>0</x:v>
      </x:c>
      <x:c r="T742" s="26" t="n">
        <x:v>0</x:v>
      </x:c>
      <x:c r="U742" s="26" t="n">
        <x:v>0</x:v>
      </x:c>
      <x:c r="V742" s="26" t="n">
        <x:v>0</x:v>
      </x:c>
      <x:c r="W742" s="26" t="n">
        <x:v>0</x:v>
      </x:c>
      <x:c r="X742" s="26" t="n">
        <x:v>0</x:v>
      </x:c>
      <x:c r="Y742" s="26" t="n">
        <x:v>0</x:v>
      </x:c>
      <x:c r="Z742" s="35" t="str">
        <x:v>Receipt allocated to FIN-00738</x:v>
      </x:c>
    </x:row>
    <x:row r="743">
      <x:c r="A743" s="20" t="str">
        <x:v>FIN-00740</x:v>
      </x:c>
      <x:c r="B743" s="23" t="n">
        <x:v>46631</x:v>
      </x:c>
      <x:c r="C743" s="23" t="n">
        <x:v>46631</x:v>
      </x:c>
      <x:c r="D743" s="20" t="str">
        <x:v>TenantCharge</x:v>
      </x:c>
      <x:c r="E743" s="20" t="str">
        <x:v>Rent</x:v>
      </x:c>
      <x:c r="F743" s="20" t="str">
        <x:v>P027</x:v>
      </x:c>
      <x:c r="G743" s="20" t="str">
        <x:v>U033</x:v>
      </x:c>
      <x:c r="H743" s="20" t="str">
        <x:v>L033</x:v>
      </x:c>
      <x:c r="I743" s="20" t="str">
        <x:v>Dana Garcia</x:v>
      </x:c>
      <x:c r="J743" s="35" t="str">
        <x:v>System scheduled charge</x:v>
      </x:c>
      <x:c r="K743" s="20" t="str"/>
      <x:c r="L743" s="20" t="str">
        <x:v>RENT-202709-L033</x:v>
      </x:c>
      <x:c r="M743" s="26" t="n">
        <x:v>1375</x:v>
      </x:c>
      <x:c r="N743" s="26" t="n">
        <x:v>1375</x:v>
      </x:c>
      <x:c r="O743" s="26" t="n">
        <x:v>0</x:v>
      </x:c>
      <x:c r="P743" s="26" t="n">
        <x:v>0</x:v>
      </x:c>
      <x:c r="Q743" s="26" t="n">
        <x:v>0</x:v>
      </x:c>
      <x:c r="R743" s="26" t="n">
        <x:v>0</x:v>
      </x:c>
      <x:c r="S743" s="26" t="n">
        <x:v>0</x:v>
      </x:c>
      <x:c r="T743" s="26" t="n">
        <x:v>1375</x:v>
      </x:c>
      <x:c r="U743" s="26" t="n">
        <x:v>0</x:v>
      </x:c>
      <x:c r="V743" s="26" t="n">
        <x:v>0</x:v>
      </x:c>
      <x:c r="W743" s="26" t="n">
        <x:v>0</x:v>
      </x:c>
      <x:c r="X743" s="26" t="n">
        <x:v>0</x:v>
      </x:c>
      <x:c r="Y743" s="26" t="n">
        <x:v>0</x:v>
      </x:c>
      <x:c r="Z743" s="35" t="str">
        <x:v>September 2027 rent</x:v>
      </x:c>
    </x:row>
    <x:row r="744">
      <x:c r="A744" s="20" t="str">
        <x:v>FIN-00741</x:v>
      </x:c>
      <x:c r="B744" s="23" t="n">
        <x:v>46633</x:v>
      </x:c>
      <x:c r="C744" s="23" t="n">
        <x:v>46633</x:v>
      </x:c>
      <x:c r="D744" s="20" t="str">
        <x:v>TenantReceipt</x:v>
      </x:c>
      <x:c r="E744" s="20" t="str">
        <x:v>Rent receipt</x:v>
      </x:c>
      <x:c r="F744" s="20" t="str">
        <x:v>P027</x:v>
      </x:c>
      <x:c r="G744" s="20" t="str">
        <x:v>U033</x:v>
      </x:c>
      <x:c r="H744" s="20" t="str">
        <x:v>L033</x:v>
      </x:c>
      <x:c r="I744" s="20" t="str">
        <x:v>Dana Garcia</x:v>
      </x:c>
      <x:c r="J744" s="35" t="str">
        <x:v>Scanned money order</x:v>
      </x:c>
      <x:c r="K744" s="20" t="str">
        <x:v>SCN-0275</x:v>
      </x:c>
      <x:c r="L744" s="20" t="str">
        <x:v>PMT-20270903-L033-A</x:v>
      </x:c>
      <x:c r="M744" s="26" t="n">
        <x:v>825</x:v>
      </x:c>
      <x:c r="N744" s="26" t="n">
        <x:v>-825</x:v>
      </x:c>
      <x:c r="O744" s="26" t="n">
        <x:v>825</x:v>
      </x:c>
      <x:c r="P744" s="26" t="n">
        <x:v>0</x:v>
      </x:c>
      <x:c r="Q744" s="26" t="n">
        <x:v>0</x:v>
      </x:c>
      <x:c r="R744" s="26" t="n">
        <x:v>0</x:v>
      </x:c>
      <x:c r="S744" s="26" t="n">
        <x:v>0</x:v>
      </x:c>
      <x:c r="T744" s="26" t="n">
        <x:v>0</x:v>
      </x:c>
      <x:c r="U744" s="26" t="n">
        <x:v>0</x:v>
      </x:c>
      <x:c r="V744" s="26" t="n">
        <x:v>0</x:v>
      </x:c>
      <x:c r="W744" s="26" t="n">
        <x:v>0</x:v>
      </x:c>
      <x:c r="X744" s="26" t="n">
        <x:v>0</x:v>
      </x:c>
      <x:c r="Y744" s="26" t="n">
        <x:v>0</x:v>
      </x:c>
      <x:c r="Z744" s="35" t="str">
        <x:v>Receipt allocated to FIN-00740</x:v>
      </x:c>
    </x:row>
    <x:row r="745">
      <x:c r="A745" s="20" t="str">
        <x:v>FIN-00742</x:v>
      </x:c>
      <x:c r="B745" s="23" t="n">
        <x:v>46636</x:v>
      </x:c>
      <x:c r="C745" s="23" t="n">
        <x:v>46636</x:v>
      </x:c>
      <x:c r="D745" s="20" t="str">
        <x:v>TenantCharge</x:v>
      </x:c>
      <x:c r="E745" s="20" t="str">
        <x:v>Late fee</x:v>
      </x:c>
      <x:c r="F745" s="20" t="str">
        <x:v>P027</x:v>
      </x:c>
      <x:c r="G745" s="20" t="str">
        <x:v>U033</x:v>
      </x:c>
      <x:c r="H745" s="20" t="str">
        <x:v>L033</x:v>
      </x:c>
      <x:c r="I745" s="20" t="str">
        <x:v>Dana Garcia</x:v>
      </x:c>
      <x:c r="J745" s="35" t="str">
        <x:v>System automation</x:v>
      </x:c>
      <x:c r="K745" s="20" t="str"/>
      <x:c r="L745" s="20" t="str">
        <x:v>LATE-202709-L033</x:v>
      </x:c>
      <x:c r="M745" s="26" t="n">
        <x:v>50</x:v>
      </x:c>
      <x:c r="N745" s="26" t="n">
        <x:v>50</x:v>
      </x:c>
      <x:c r="O745" s="26" t="n">
        <x:v>0</x:v>
      </x:c>
      <x:c r="P745" s="26" t="n">
        <x:v>0</x:v>
      </x:c>
      <x:c r="Q745" s="26" t="n">
        <x:v>0</x:v>
      </x:c>
      <x:c r="R745" s="26" t="n">
        <x:v>0</x:v>
      </x:c>
      <x:c r="S745" s="26" t="n">
        <x:v>0</x:v>
      </x:c>
      <x:c r="T745" s="26" t="n">
        <x:v>50</x:v>
      </x:c>
      <x:c r="U745" s="26" t="n">
        <x:v>0</x:v>
      </x:c>
      <x:c r="V745" s="26" t="n">
        <x:v>0</x:v>
      </x:c>
      <x:c r="W745" s="26" t="n">
        <x:v>0</x:v>
      </x:c>
      <x:c r="X745" s="26" t="n">
        <x:v>0</x:v>
      </x:c>
      <x:c r="Y745" s="26" t="n">
        <x:v>0</x:v>
      </x:c>
      <x:c r="Z745" s="35" t="str">
        <x:v>Synthetic lease-authorized late fee after partial payment</x:v>
      </x:c>
    </x:row>
    <x:row r="746">
      <x:c r="A746" s="20" t="str">
        <x:v>FIN-00743</x:v>
      </x:c>
      <x:c r="B746" s="23" t="n">
        <x:v>46642</x:v>
      </x:c>
      <x:c r="C746" s="23" t="n">
        <x:v>46642</x:v>
      </x:c>
      <x:c r="D746" s="20" t="str">
        <x:v>TenantReceipt</x:v>
      </x:c>
      <x:c r="E746" s="20" t="str">
        <x:v>Rent receipt</x:v>
      </x:c>
      <x:c r="F746" s="20" t="str">
        <x:v>P027</x:v>
      </x:c>
      <x:c r="G746" s="20" t="str">
        <x:v>U033</x:v>
      </x:c>
      <x:c r="H746" s="20" t="str">
        <x:v>L033</x:v>
      </x:c>
      <x:c r="I746" s="20" t="str">
        <x:v>Dana Garcia</x:v>
      </x:c>
      <x:c r="J746" s="35" t="str">
        <x:v>Portal card</x:v>
      </x:c>
      <x:c r="K746" s="20" t="str"/>
      <x:c r="L746" s="20" t="str">
        <x:v>PMT-20270912-L033-B</x:v>
      </x:c>
      <x:c r="M746" s="26" t="n">
        <x:v>600</x:v>
      </x:c>
      <x:c r="N746" s="26" t="n">
        <x:v>-600</x:v>
      </x:c>
      <x:c r="O746" s="26" t="n">
        <x:v>600</x:v>
      </x:c>
      <x:c r="P746" s="26" t="n">
        <x:v>0</x:v>
      </x:c>
      <x:c r="Q746" s="26" t="n">
        <x:v>0</x:v>
      </x:c>
      <x:c r="R746" s="26" t="n">
        <x:v>0</x:v>
      </x:c>
      <x:c r="S746" s="26" t="n">
        <x:v>0</x:v>
      </x:c>
      <x:c r="T746" s="26" t="n">
        <x:v>0</x:v>
      </x:c>
      <x:c r="U746" s="26" t="n">
        <x:v>0</x:v>
      </x:c>
      <x:c r="V746" s="26" t="n">
        <x:v>0</x:v>
      </x:c>
      <x:c r="W746" s="26" t="n">
        <x:v>0</x:v>
      </x:c>
      <x:c r="X746" s="26" t="n">
        <x:v>0</x:v>
      </x:c>
      <x:c r="Y746" s="26" t="n">
        <x:v>0</x:v>
      </x:c>
      <x:c r="Z746" s="35" t="str">
        <x:v>Receipt allocated to FIN-00742</x:v>
      </x:c>
    </x:row>
    <x:row r="747">
      <x:c r="A747" s="20" t="str">
        <x:v>FIN-00744</x:v>
      </x:c>
      <x:c r="B747" s="23" t="n">
        <x:v>46631</x:v>
      </x:c>
      <x:c r="C747" s="23" t="n">
        <x:v>46631</x:v>
      </x:c>
      <x:c r="D747" s="20" t="str">
        <x:v>TenantCharge</x:v>
      </x:c>
      <x:c r="E747" s="20" t="str">
        <x:v>Rent</x:v>
      </x:c>
      <x:c r="F747" s="20" t="str">
        <x:v>P027</x:v>
      </x:c>
      <x:c r="G747" s="20" t="str">
        <x:v>U034</x:v>
      </x:c>
      <x:c r="H747" s="20" t="str">
        <x:v>L034</x:v>
      </x:c>
      <x:c r="I747" s="20" t="str">
        <x:v>Gray Lewis</x:v>
      </x:c>
      <x:c r="J747" s="35" t="str">
        <x:v>System scheduled charge</x:v>
      </x:c>
      <x:c r="K747" s="20" t="str"/>
      <x:c r="L747" s="20" t="str">
        <x:v>RENT-202709-L034</x:v>
      </x:c>
      <x:c r="M747" s="26" t="n">
        <x:v>1900</x:v>
      </x:c>
      <x:c r="N747" s="26" t="n">
        <x:v>1900</x:v>
      </x:c>
      <x:c r="O747" s="26" t="n">
        <x:v>0</x:v>
      </x:c>
      <x:c r="P747" s="26" t="n">
        <x:v>0</x:v>
      </x:c>
      <x:c r="Q747" s="26" t="n">
        <x:v>0</x:v>
      </x:c>
      <x:c r="R747" s="26" t="n">
        <x:v>0</x:v>
      </x:c>
      <x:c r="S747" s="26" t="n">
        <x:v>0</x:v>
      </x:c>
      <x:c r="T747" s="26" t="n">
        <x:v>1900</x:v>
      </x:c>
      <x:c r="U747" s="26" t="n">
        <x:v>0</x:v>
      </x:c>
      <x:c r="V747" s="26" t="n">
        <x:v>0</x:v>
      </x:c>
      <x:c r="W747" s="26" t="n">
        <x:v>0</x:v>
      </x:c>
      <x:c r="X747" s="26" t="n">
        <x:v>0</x:v>
      </x:c>
      <x:c r="Y747" s="26" t="n">
        <x:v>0</x:v>
      </x:c>
      <x:c r="Z747" s="35" t="str">
        <x:v>September 2027 rent</x:v>
      </x:c>
    </x:row>
    <x:row r="748">
      <x:c r="A748" s="20" t="str">
        <x:v>FIN-00745</x:v>
      </x:c>
      <x:c r="B748" s="23" t="n">
        <x:v>46634</x:v>
      </x:c>
      <x:c r="C748" s="23" t="n">
        <x:v>46634</x:v>
      </x:c>
      <x:c r="D748" s="20" t="str">
        <x:v>TenantReceipt</x:v>
      </x:c>
      <x:c r="E748" s="20" t="str">
        <x:v>Rent receipt</x:v>
      </x:c>
      <x:c r="F748" s="20" t="str">
        <x:v>P027</x:v>
      </x:c>
      <x:c r="G748" s="20" t="str">
        <x:v>U034</x:v>
      </x:c>
      <x:c r="H748" s="20" t="str">
        <x:v>L034</x:v>
      </x:c>
      <x:c r="I748" s="20" t="str">
        <x:v>Gray Lewis</x:v>
      </x:c>
      <x:c r="J748" s="35" t="str">
        <x:v>Manual ACH</x:v>
      </x:c>
      <x:c r="K748" s="20" t="str"/>
      <x:c r="L748" s="20" t="str">
        <x:v>PMT-20270904-L034</x:v>
      </x:c>
      <x:c r="M748" s="26" t="n">
        <x:v>1900</x:v>
      </x:c>
      <x:c r="N748" s="26" t="n">
        <x:v>-1900</x:v>
      </x:c>
      <x:c r="O748" s="26" t="n">
        <x:v>1900</x:v>
      </x:c>
      <x:c r="P748" s="26" t="n">
        <x:v>0</x:v>
      </x:c>
      <x:c r="Q748" s="26" t="n">
        <x:v>0</x:v>
      </x:c>
      <x:c r="R748" s="26" t="n">
        <x:v>0</x:v>
      </x:c>
      <x:c r="S748" s="26" t="n">
        <x:v>0</x:v>
      </x:c>
      <x:c r="T748" s="26" t="n">
        <x:v>0</x:v>
      </x:c>
      <x:c r="U748" s="26" t="n">
        <x:v>0</x:v>
      </x:c>
      <x:c r="V748" s="26" t="n">
        <x:v>0</x:v>
      </x:c>
      <x:c r="W748" s="26" t="n">
        <x:v>0</x:v>
      </x:c>
      <x:c r="X748" s="26" t="n">
        <x:v>0</x:v>
      </x:c>
      <x:c r="Y748" s="26" t="n">
        <x:v>0</x:v>
      </x:c>
      <x:c r="Z748" s="35" t="str">
        <x:v>Receipt allocated to FIN-00744</x:v>
      </x:c>
    </x:row>
    <x:row r="749">
      <x:c r="A749" s="20" t="str">
        <x:v>FIN-00746</x:v>
      </x:c>
      <x:c r="B749" s="23" t="n">
        <x:v>46631</x:v>
      </x:c>
      <x:c r="C749" s="23" t="n">
        <x:v>46631</x:v>
      </x:c>
      <x:c r="D749" s="20" t="str">
        <x:v>TenantCharge</x:v>
      </x:c>
      <x:c r="E749" s="20" t="str">
        <x:v>Rent</x:v>
      </x:c>
      <x:c r="F749" s="20" t="str">
        <x:v>P028</x:v>
      </x:c>
      <x:c r="G749" s="20" t="str">
        <x:v>U035</x:v>
      </x:c>
      <x:c r="H749" s="20" t="str">
        <x:v>L035</x:v>
      </x:c>
      <x:c r="I749" s="20" t="str">
        <x:v>Jordan Reed</x:v>
      </x:c>
      <x:c r="J749" s="35" t="str">
        <x:v>System scheduled charge</x:v>
      </x:c>
      <x:c r="K749" s="20" t="str"/>
      <x:c r="L749" s="20" t="str">
        <x:v>RENT-202709-L035</x:v>
      </x:c>
      <x:c r="M749" s="26" t="n">
        <x:v>1525</x:v>
      </x:c>
      <x:c r="N749" s="26" t="n">
        <x:v>1525</x:v>
      </x:c>
      <x:c r="O749" s="26" t="n">
        <x:v>0</x:v>
      </x:c>
      <x:c r="P749" s="26" t="n">
        <x:v>0</x:v>
      </x:c>
      <x:c r="Q749" s="26" t="n">
        <x:v>0</x:v>
      </x:c>
      <x:c r="R749" s="26" t="n">
        <x:v>0</x:v>
      </x:c>
      <x:c r="S749" s="26" t="n">
        <x:v>0</x:v>
      </x:c>
      <x:c r="T749" s="26" t="n">
        <x:v>1525</x:v>
      </x:c>
      <x:c r="U749" s="26" t="n">
        <x:v>0</x:v>
      </x:c>
      <x:c r="V749" s="26" t="n">
        <x:v>0</x:v>
      </x:c>
      <x:c r="W749" s="26" t="n">
        <x:v>0</x:v>
      </x:c>
      <x:c r="X749" s="26" t="n">
        <x:v>0</x:v>
      </x:c>
      <x:c r="Y749" s="26" t="n">
        <x:v>0</x:v>
      </x:c>
      <x:c r="Z749" s="35" t="str">
        <x:v>September 2027 rent</x:v>
      </x:c>
    </x:row>
    <x:row r="750">
      <x:c r="A750" s="20" t="str">
        <x:v>FIN-00747</x:v>
      </x:c>
      <x:c r="B750" s="23" t="n">
        <x:v>46635</x:v>
      </x:c>
      <x:c r="C750" s="23" t="n">
        <x:v>46635</x:v>
      </x:c>
      <x:c r="D750" s="20" t="str">
        <x:v>TenantReceipt</x:v>
      </x:c>
      <x:c r="E750" s="20" t="str">
        <x:v>Rent receipt</x:v>
      </x:c>
      <x:c r="F750" s="20" t="str">
        <x:v>P028</x:v>
      </x:c>
      <x:c r="G750" s="20" t="str">
        <x:v>U035</x:v>
      </x:c>
      <x:c r="H750" s="20" t="str">
        <x:v>L035</x:v>
      </x:c>
      <x:c r="I750" s="20" t="str">
        <x:v>Jordan Reed</x:v>
      </x:c>
      <x:c r="J750" s="35" t="str">
        <x:v>Portal card</x:v>
      </x:c>
      <x:c r="K750" s="20" t="str"/>
      <x:c r="L750" s="20" t="str">
        <x:v>PMT-20270905-L035</x:v>
      </x:c>
      <x:c r="M750" s="26" t="n">
        <x:v>1525</x:v>
      </x:c>
      <x:c r="N750" s="26" t="n">
        <x:v>-1525</x:v>
      </x:c>
      <x:c r="O750" s="26" t="n">
        <x:v>1525</x:v>
      </x:c>
      <x:c r="P750" s="26" t="n">
        <x:v>0</x:v>
      </x:c>
      <x:c r="Q750" s="26" t="n">
        <x:v>0</x:v>
      </x:c>
      <x:c r="R750" s="26" t="n">
        <x:v>0</x:v>
      </x:c>
      <x:c r="S750" s="26" t="n">
        <x:v>0</x:v>
      </x:c>
      <x:c r="T750" s="26" t="n">
        <x:v>0</x:v>
      </x:c>
      <x:c r="U750" s="26" t="n">
        <x:v>0</x:v>
      </x:c>
      <x:c r="V750" s="26" t="n">
        <x:v>0</x:v>
      </x:c>
      <x:c r="W750" s="26" t="n">
        <x:v>0</x:v>
      </x:c>
      <x:c r="X750" s="26" t="n">
        <x:v>0</x:v>
      </x:c>
      <x:c r="Y750" s="26" t="n">
        <x:v>0</x:v>
      </x:c>
      <x:c r="Z750" s="35" t="str">
        <x:v>Receipt allocated to FIN-00746</x:v>
      </x:c>
    </x:row>
    <x:row r="751">
      <x:c r="A751" s="20" t="str">
        <x:v>FIN-00748</x:v>
      </x:c>
      <x:c r="B751" s="23" t="n">
        <x:v>46631</x:v>
      </x:c>
      <x:c r="C751" s="23" t="n">
        <x:v>46631</x:v>
      </x:c>
      <x:c r="D751" s="20" t="str">
        <x:v>TenantCharge</x:v>
      </x:c>
      <x:c r="E751" s="20" t="str">
        <x:v>Rent</x:v>
      </x:c>
      <x:c r="F751" s="20" t="str">
        <x:v>P028</x:v>
      </x:c>
      <x:c r="G751" s="20" t="str">
        <x:v>U036</x:v>
      </x:c>
      <x:c r="H751" s="20" t="str">
        <x:v>L036</x:v>
      </x:c>
      <x:c r="I751" s="20" t="str">
        <x:v>Morgan Adams</x:v>
      </x:c>
      <x:c r="J751" s="35" t="str">
        <x:v>System scheduled charge</x:v>
      </x:c>
      <x:c r="K751" s="20" t="str"/>
      <x:c r="L751" s="20" t="str">
        <x:v>RENT-202709-L036</x:v>
      </x:c>
      <x:c r="M751" s="26" t="n">
        <x:v>1150</x:v>
      </x:c>
      <x:c r="N751" s="26" t="n">
        <x:v>1150</x:v>
      </x:c>
      <x:c r="O751" s="26" t="n">
        <x:v>0</x:v>
      </x:c>
      <x:c r="P751" s="26" t="n">
        <x:v>0</x:v>
      </x:c>
      <x:c r="Q751" s="26" t="n">
        <x:v>0</x:v>
      </x:c>
      <x:c r="R751" s="26" t="n">
        <x:v>0</x:v>
      </x:c>
      <x:c r="S751" s="26" t="n">
        <x:v>0</x:v>
      </x:c>
      <x:c r="T751" s="26" t="n">
        <x:v>1150</x:v>
      </x:c>
      <x:c r="U751" s="26" t="n">
        <x:v>0</x:v>
      </x:c>
      <x:c r="V751" s="26" t="n">
        <x:v>0</x:v>
      </x:c>
      <x:c r="W751" s="26" t="n">
        <x:v>0</x:v>
      </x:c>
      <x:c r="X751" s="26" t="n">
        <x:v>0</x:v>
      </x:c>
      <x:c r="Y751" s="26" t="n">
        <x:v>0</x:v>
      </x:c>
      <x:c r="Z751" s="35" t="str">
        <x:v>September 2027 rent</x:v>
      </x:c>
    </x:row>
    <x:row r="752">
      <x:c r="A752" s="20" t="str">
        <x:v>FIN-00749</x:v>
      </x:c>
      <x:c r="B752" s="23" t="n">
        <x:v>46633</x:v>
      </x:c>
      <x:c r="C752" s="23" t="n">
        <x:v>46633</x:v>
      </x:c>
      <x:c r="D752" s="20" t="str">
        <x:v>TenantReceipt</x:v>
      </x:c>
      <x:c r="E752" s="20" t="str">
        <x:v>Rent receipt</x:v>
      </x:c>
      <x:c r="F752" s="20" t="str">
        <x:v>P028</x:v>
      </x:c>
      <x:c r="G752" s="20" t="str">
        <x:v>U036</x:v>
      </x:c>
      <x:c r="H752" s="20" t="str">
        <x:v>L036</x:v>
      </x:c>
      <x:c r="I752" s="20" t="str">
        <x:v>Morgan Adams</x:v>
      </x:c>
      <x:c r="J752" s="35" t="str">
        <x:v>Scanned check</x:v>
      </x:c>
      <x:c r="K752" s="20" t="str">
        <x:v>SCN-0276</x:v>
      </x:c>
      <x:c r="L752" s="20" t="str">
        <x:v>PMT-20270903-L036</x:v>
      </x:c>
      <x:c r="M752" s="26" t="n">
        <x:v>1150</x:v>
      </x:c>
      <x:c r="N752" s="26" t="n">
        <x:v>-1150</x:v>
      </x:c>
      <x:c r="O752" s="26" t="n">
        <x:v>1150</x:v>
      </x:c>
      <x:c r="P752" s="26" t="n">
        <x:v>0</x:v>
      </x:c>
      <x:c r="Q752" s="26" t="n">
        <x:v>0</x:v>
      </x:c>
      <x:c r="R752" s="26" t="n">
        <x:v>0</x:v>
      </x:c>
      <x:c r="S752" s="26" t="n">
        <x:v>0</x:v>
      </x:c>
      <x:c r="T752" s="26" t="n">
        <x:v>0</x:v>
      </x:c>
      <x:c r="U752" s="26" t="n">
        <x:v>0</x:v>
      </x:c>
      <x:c r="V752" s="26" t="n">
        <x:v>0</x:v>
      </x:c>
      <x:c r="W752" s="26" t="n">
        <x:v>0</x:v>
      </x:c>
      <x:c r="X752" s="26" t="n">
        <x:v>0</x:v>
      </x:c>
      <x:c r="Y752" s="26" t="n">
        <x:v>0</x:v>
      </x:c>
      <x:c r="Z752" s="35" t="str">
        <x:v>Receipt allocated to FIN-00748</x:v>
      </x:c>
    </x:row>
    <x:row r="753">
      <x:c r="A753" s="20" t="str">
        <x:v>FIN-00750</x:v>
      </x:c>
      <x:c r="B753" s="23" t="n">
        <x:v>46631</x:v>
      </x:c>
      <x:c r="C753" s="23" t="n">
        <x:v>46631</x:v>
      </x:c>
      <x:c r="D753" s="20" t="str">
        <x:v>TenantCharge</x:v>
      </x:c>
      <x:c r="E753" s="20" t="str">
        <x:v>Rent</x:v>
      </x:c>
      <x:c r="F753" s="20" t="str">
        <x:v>P005</x:v>
      </x:c>
      <x:c r="G753" s="20" t="str">
        <x:v>U005</x:v>
      </x:c>
      <x:c r="H753" s="20" t="str">
        <x:v>L037</x:v>
      </x:c>
      <x:c r="I753" s="20" t="str">
        <x:v>Parker Flores</x:v>
      </x:c>
      <x:c r="J753" s="35" t="str">
        <x:v>System scheduled charge</x:v>
      </x:c>
      <x:c r="K753" s="20" t="str"/>
      <x:c r="L753" s="20" t="str">
        <x:v>RENT-202709-L037</x:v>
      </x:c>
      <x:c r="M753" s="26" t="n">
        <x:v>1875</x:v>
      </x:c>
      <x:c r="N753" s="26" t="n">
        <x:v>1875</x:v>
      </x:c>
      <x:c r="O753" s="26" t="n">
        <x:v>0</x:v>
      </x:c>
      <x:c r="P753" s="26" t="n">
        <x:v>0</x:v>
      </x:c>
      <x:c r="Q753" s="26" t="n">
        <x:v>0</x:v>
      </x:c>
      <x:c r="R753" s="26" t="n">
        <x:v>0</x:v>
      </x:c>
      <x:c r="S753" s="26" t="n">
        <x:v>0</x:v>
      </x:c>
      <x:c r="T753" s="26" t="n">
        <x:v>1875</x:v>
      </x:c>
      <x:c r="U753" s="26" t="n">
        <x:v>0</x:v>
      </x:c>
      <x:c r="V753" s="26" t="n">
        <x:v>0</x:v>
      </x:c>
      <x:c r="W753" s="26" t="n">
        <x:v>0</x:v>
      </x:c>
      <x:c r="X753" s="26" t="n">
        <x:v>0</x:v>
      </x:c>
      <x:c r="Y753" s="26" t="n">
        <x:v>0</x:v>
      </x:c>
      <x:c r="Z753" s="35" t="str">
        <x:v>September 2027 rent</x:v>
      </x:c>
    </x:row>
    <x:row r="754">
      <x:c r="A754" s="20" t="str">
        <x:v>FIN-00751</x:v>
      </x:c>
      <x:c r="B754" s="23" t="n">
        <x:v>46634</x:v>
      </x:c>
      <x:c r="C754" s="23" t="n">
        <x:v>46634</x:v>
      </x:c>
      <x:c r="D754" s="20" t="str">
        <x:v>TenantReceipt</x:v>
      </x:c>
      <x:c r="E754" s="20" t="str">
        <x:v>Rent receipt</x:v>
      </x:c>
      <x:c r="F754" s="20" t="str">
        <x:v>P005</x:v>
      </x:c>
      <x:c r="G754" s="20" t="str">
        <x:v>U005</x:v>
      </x:c>
      <x:c r="H754" s="20" t="str">
        <x:v>L037</x:v>
      </x:c>
      <x:c r="I754" s="20" t="str">
        <x:v>Parker Flores</x:v>
      </x:c>
      <x:c r="J754" s="35" t="str">
        <x:v>Scanned money order</x:v>
      </x:c>
      <x:c r="K754" s="20" t="str">
        <x:v>SCN-0277</x:v>
      </x:c>
      <x:c r="L754" s="20" t="str">
        <x:v>PMT-20270904-L037</x:v>
      </x:c>
      <x:c r="M754" s="26" t="n">
        <x:v>1875</x:v>
      </x:c>
      <x:c r="N754" s="26" t="n">
        <x:v>-1875</x:v>
      </x:c>
      <x:c r="O754" s="26" t="n">
        <x:v>1875</x:v>
      </x:c>
      <x:c r="P754" s="26" t="n">
        <x:v>0</x:v>
      </x:c>
      <x:c r="Q754" s="26" t="n">
        <x:v>0</x:v>
      </x:c>
      <x:c r="R754" s="26" t="n">
        <x:v>0</x:v>
      </x:c>
      <x:c r="S754" s="26" t="n">
        <x:v>0</x:v>
      </x:c>
      <x:c r="T754" s="26" t="n">
        <x:v>0</x:v>
      </x:c>
      <x:c r="U754" s="26" t="n">
        <x:v>0</x:v>
      </x:c>
      <x:c r="V754" s="26" t="n">
        <x:v>0</x:v>
      </x:c>
      <x:c r="W754" s="26" t="n">
        <x:v>0</x:v>
      </x:c>
      <x:c r="X754" s="26" t="n">
        <x:v>0</x:v>
      </x:c>
      <x:c r="Y754" s="26" t="n">
        <x:v>0</x:v>
      </x:c>
      <x:c r="Z754" s="35" t="str">
        <x:v>Receipt allocated to FIN-00750</x:v>
      </x:c>
    </x:row>
    <x:row r="755">
      <x:c r="A755" s="20" t="str">
        <x:v>FIN-00752</x:v>
      </x:c>
      <x:c r="B755" s="23" t="n">
        <x:v>46631</x:v>
      </x:c>
      <x:c r="C755" s="23" t="n">
        <x:v>46631</x:v>
      </x:c>
      <x:c r="D755" s="20" t="str">
        <x:v>TenantCharge</x:v>
      </x:c>
      <x:c r="E755" s="20" t="str">
        <x:v>Rent</x:v>
      </x:c>
      <x:c r="F755" s="20" t="str">
        <x:v>P014</x:v>
      </x:c>
      <x:c r="G755" s="20" t="str">
        <x:v>U014</x:v>
      </x:c>
      <x:c r="H755" s="20" t="str">
        <x:v>L038</x:v>
      </x:c>
      <x:c r="I755" s="20" t="str">
        <x:v>Sage King</x:v>
      </x:c>
      <x:c r="J755" s="35" t="str">
        <x:v>System scheduled charge</x:v>
      </x:c>
      <x:c r="K755" s="20" t="str"/>
      <x:c r="L755" s="20" t="str">
        <x:v>RENT-202709-L038</x:v>
      </x:c>
      <x:c r="M755" s="26" t="n">
        <x:v>1200</x:v>
      </x:c>
      <x:c r="N755" s="26" t="n">
        <x:v>1200</x:v>
      </x:c>
      <x:c r="O755" s="26" t="n">
        <x:v>0</x:v>
      </x:c>
      <x:c r="P755" s="26" t="n">
        <x:v>0</x:v>
      </x:c>
      <x:c r="Q755" s="26" t="n">
        <x:v>0</x:v>
      </x:c>
      <x:c r="R755" s="26" t="n">
        <x:v>0</x:v>
      </x:c>
      <x:c r="S755" s="26" t="n">
        <x:v>0</x:v>
      </x:c>
      <x:c r="T755" s="26" t="n">
        <x:v>1200</x:v>
      </x:c>
      <x:c r="U755" s="26" t="n">
        <x:v>0</x:v>
      </x:c>
      <x:c r="V755" s="26" t="n">
        <x:v>0</x:v>
      </x:c>
      <x:c r="W755" s="26" t="n">
        <x:v>0</x:v>
      </x:c>
      <x:c r="X755" s="26" t="n">
        <x:v>0</x:v>
      </x:c>
      <x:c r="Y755" s="26" t="n">
        <x:v>0</x:v>
      </x:c>
      <x:c r="Z755" s="35" t="str">
        <x:v>September 2027 rent</x:v>
      </x:c>
    </x:row>
    <x:row r="756">
      <x:c r="A756" s="20" t="str">
        <x:v>FIN-00753</x:v>
      </x:c>
      <x:c r="B756" s="23" t="n">
        <x:v>46635</x:v>
      </x:c>
      <x:c r="C756" s="23" t="n">
        <x:v>46635</x:v>
      </x:c>
      <x:c r="D756" s="20" t="str">
        <x:v>TenantReceipt</x:v>
      </x:c>
      <x:c r="E756" s="20" t="str">
        <x:v>Rent receipt</x:v>
      </x:c>
      <x:c r="F756" s="20" t="str">
        <x:v>P014</x:v>
      </x:c>
      <x:c r="G756" s="20" t="str">
        <x:v>U014</x:v>
      </x:c>
      <x:c r="H756" s="20" t="str">
        <x:v>L038</x:v>
      </x:c>
      <x:c r="I756" s="20" t="str">
        <x:v>Sage King</x:v>
      </x:c>
      <x:c r="J756" s="35" t="str">
        <x:v>Manual ACH</x:v>
      </x:c>
      <x:c r="K756" s="20" t="str"/>
      <x:c r="L756" s="20" t="str">
        <x:v>PMT-20270905-L038</x:v>
      </x:c>
      <x:c r="M756" s="26" t="n">
        <x:v>1200</x:v>
      </x:c>
      <x:c r="N756" s="26" t="n">
        <x:v>-1200</x:v>
      </x:c>
      <x:c r="O756" s="26" t="n">
        <x:v>1200</x:v>
      </x:c>
      <x:c r="P756" s="26" t="n">
        <x:v>0</x:v>
      </x:c>
      <x:c r="Q756" s="26" t="n">
        <x:v>0</x:v>
      </x:c>
      <x:c r="R756" s="26" t="n">
        <x:v>0</x:v>
      </x:c>
      <x:c r="S756" s="26" t="n">
        <x:v>0</x:v>
      </x:c>
      <x:c r="T756" s="26" t="n">
        <x:v>0</x:v>
      </x:c>
      <x:c r="U756" s="26" t="n">
        <x:v>0</x:v>
      </x:c>
      <x:c r="V756" s="26" t="n">
        <x:v>0</x:v>
      </x:c>
      <x:c r="W756" s="26" t="n">
        <x:v>0</x:v>
      </x:c>
      <x:c r="X756" s="26" t="n">
        <x:v>0</x:v>
      </x:c>
      <x:c r="Y756" s="26" t="n">
        <x:v>0</x:v>
      </x:c>
      <x:c r="Z756" s="35" t="str">
        <x:v>Receipt allocated to FIN-00752</x:v>
      </x:c>
    </x:row>
    <x:row r="757">
      <x:c r="A757" s="20" t="str">
        <x:v>FIN-00754</x:v>
      </x:c>
      <x:c r="B757" s="23" t="n">
        <x:v>46631</x:v>
      </x:c>
      <x:c r="C757" s="23" t="n">
        <x:v>46631</x:v>
      </x:c>
      <x:c r="D757" s="20" t="str">
        <x:v>TenantCharge</x:v>
      </x:c>
      <x:c r="E757" s="20" t="str">
        <x:v>Rent</x:v>
      </x:c>
      <x:c r="F757" s="20" t="str">
        <x:v>P017</x:v>
      </x:c>
      <x:c r="G757" s="20" t="str">
        <x:v>U017</x:v>
      </x:c>
      <x:c r="H757" s="20" t="str">
        <x:v>L039</x:v>
      </x:c>
      <x:c r="I757" s="20" t="str">
        <x:v>Val Price</x:v>
      </x:c>
      <x:c r="J757" s="35" t="str">
        <x:v>System scheduled charge</x:v>
      </x:c>
      <x:c r="K757" s="20" t="str"/>
      <x:c r="L757" s="20" t="str">
        <x:v>RENT-202709-L039</x:v>
      </x:c>
      <x:c r="M757" s="26" t="n">
        <x:v>1875</x:v>
      </x:c>
      <x:c r="N757" s="26" t="n">
        <x:v>1875</x:v>
      </x:c>
      <x:c r="O757" s="26" t="n">
        <x:v>0</x:v>
      </x:c>
      <x:c r="P757" s="26" t="n">
        <x:v>0</x:v>
      </x:c>
      <x:c r="Q757" s="26" t="n">
        <x:v>0</x:v>
      </x:c>
      <x:c r="R757" s="26" t="n">
        <x:v>0</x:v>
      </x:c>
      <x:c r="S757" s="26" t="n">
        <x:v>0</x:v>
      </x:c>
      <x:c r="T757" s="26" t="n">
        <x:v>1875</x:v>
      </x:c>
      <x:c r="U757" s="26" t="n">
        <x:v>0</x:v>
      </x:c>
      <x:c r="V757" s="26" t="n">
        <x:v>0</x:v>
      </x:c>
      <x:c r="W757" s="26" t="n">
        <x:v>0</x:v>
      </x:c>
      <x:c r="X757" s="26" t="n">
        <x:v>0</x:v>
      </x:c>
      <x:c r="Y757" s="26" t="n">
        <x:v>0</x:v>
      </x:c>
      <x:c r="Z757" s="35" t="str">
        <x:v>September 2027 rent</x:v>
      </x:c>
    </x:row>
    <x:row r="758">
      <x:c r="A758" s="20" t="str">
        <x:v>FIN-00755</x:v>
      </x:c>
      <x:c r="B758" s="23" t="n">
        <x:v>46636</x:v>
      </x:c>
      <x:c r="C758" s="23" t="n">
        <x:v>46636</x:v>
      </x:c>
      <x:c r="D758" s="20" t="str">
        <x:v>TenantCharge</x:v>
      </x:c>
      <x:c r="E758" s="20" t="str">
        <x:v>Late fee</x:v>
      </x:c>
      <x:c r="F758" s="20" t="str">
        <x:v>P017</x:v>
      </x:c>
      <x:c r="G758" s="20" t="str">
        <x:v>U017</x:v>
      </x:c>
      <x:c r="H758" s="20" t="str">
        <x:v>L039</x:v>
      </x:c>
      <x:c r="I758" s="20" t="str">
        <x:v>Val Price</x:v>
      </x:c>
      <x:c r="J758" s="35" t="str">
        <x:v>System automation</x:v>
      </x:c>
      <x:c r="K758" s="20" t="str"/>
      <x:c r="L758" s="20" t="str">
        <x:v>LATE-202709-L039</x:v>
      </x:c>
      <x:c r="M758" s="26" t="n">
        <x:v>50</x:v>
      </x:c>
      <x:c r="N758" s="26" t="n">
        <x:v>50</x:v>
      </x:c>
      <x:c r="O758" s="26" t="n">
        <x:v>0</x:v>
      </x:c>
      <x:c r="P758" s="26" t="n">
        <x:v>0</x:v>
      </x:c>
      <x:c r="Q758" s="26" t="n">
        <x:v>0</x:v>
      </x:c>
      <x:c r="R758" s="26" t="n">
        <x:v>0</x:v>
      </x:c>
      <x:c r="S758" s="26" t="n">
        <x:v>0</x:v>
      </x:c>
      <x:c r="T758" s="26" t="n">
        <x:v>50</x:v>
      </x:c>
      <x:c r="U758" s="26" t="n">
        <x:v>0</x:v>
      </x:c>
      <x:c r="V758" s="26" t="n">
        <x:v>0</x:v>
      </x:c>
      <x:c r="W758" s="26" t="n">
        <x:v>0</x:v>
      </x:c>
      <x:c r="X758" s="26" t="n">
        <x:v>0</x:v>
      </x:c>
      <x:c r="Y758" s="26" t="n">
        <x:v>0</x:v>
      </x:c>
      <x:c r="Z758" s="35" t="str">
        <x:v>Synthetic lease-authorized late fee</x:v>
      </x:c>
    </x:row>
    <x:row r="759">
      <x:c r="A759" s="20" t="str">
        <x:v>FIN-00756</x:v>
      </x:c>
      <x:c r="B759" s="23" t="n">
        <x:v>46638</x:v>
      </x:c>
      <x:c r="C759" s="23" t="n">
        <x:v>46638</x:v>
      </x:c>
      <x:c r="D759" s="20" t="str">
        <x:v>TenantReceipt</x:v>
      </x:c>
      <x:c r="E759" s="20" t="str">
        <x:v>Rent receipt</x:v>
      </x:c>
      <x:c r="F759" s="20" t="str">
        <x:v>P017</x:v>
      </x:c>
      <x:c r="G759" s="20" t="str">
        <x:v>U017</x:v>
      </x:c>
      <x:c r="H759" s="20" t="str">
        <x:v>L039</x:v>
      </x:c>
      <x:c r="I759" s="20" t="str">
        <x:v>Val Price</x:v>
      </x:c>
      <x:c r="J759" s="35" t="str">
        <x:v>Manual ACH</x:v>
      </x:c>
      <x:c r="K759" s="20" t="str"/>
      <x:c r="L759" s="20" t="str">
        <x:v>PMT-20270908-L039</x:v>
      </x:c>
      <x:c r="M759" s="26" t="n">
        <x:v>1925</x:v>
      </x:c>
      <x:c r="N759" s="26" t="n">
        <x:v>-1925</x:v>
      </x:c>
      <x:c r="O759" s="26" t="n">
        <x:v>1925</x:v>
      </x:c>
      <x:c r="P759" s="26" t="n">
        <x:v>0</x:v>
      </x:c>
      <x:c r="Q759" s="26" t="n">
        <x:v>0</x:v>
      </x:c>
      <x:c r="R759" s="26" t="n">
        <x:v>0</x:v>
      </x:c>
      <x:c r="S759" s="26" t="n">
        <x:v>0</x:v>
      </x:c>
      <x:c r="T759" s="26" t="n">
        <x:v>0</x:v>
      </x:c>
      <x:c r="U759" s="26" t="n">
        <x:v>0</x:v>
      </x:c>
      <x:c r="V759" s="26" t="n">
        <x:v>0</x:v>
      </x:c>
      <x:c r="W759" s="26" t="n">
        <x:v>0</x:v>
      </x:c>
      <x:c r="X759" s="26" t="n">
        <x:v>0</x:v>
      </x:c>
      <x:c r="Y759" s="26" t="n">
        <x:v>0</x:v>
      </x:c>
      <x:c r="Z759" s="35" t="str">
        <x:v>Receipt allocated to FIN-00755</x:v>
      </x:c>
    </x:row>
    <x:row r="760">
      <x:c r="A760" s="20" t="str">
        <x:v>FIN-00757</x:v>
      </x:c>
      <x:c r="B760" s="23" t="n">
        <x:v>46631</x:v>
      </x:c>
      <x:c r="C760" s="23" t="n">
        <x:v>46631</x:v>
      </x:c>
      <x:c r="D760" s="20" t="str">
        <x:v>TenantCharge</x:v>
      </x:c>
      <x:c r="E760" s="20" t="str">
        <x:v>Rent</x:v>
      </x:c>
      <x:c r="F760" s="20" t="str">
        <x:v>P030</x:v>
      </x:c>
      <x:c r="G760" s="20" t="str">
        <x:v>U040</x:v>
      </x:c>
      <x:c r="H760" s="20" t="str">
        <x:v>L041</x:v>
      </x:c>
      <x:c r="I760" s="20" t="str">
        <x:v>Yara Brooks</x:v>
      </x:c>
      <x:c r="J760" s="35" t="str">
        <x:v>System scheduled charge</x:v>
      </x:c>
      <x:c r="K760" s="20" t="str"/>
      <x:c r="L760" s="20" t="str">
        <x:v>RENT-202709-L041</x:v>
      </x:c>
      <x:c r="M760" s="26" t="n">
        <x:v>1450</x:v>
      </x:c>
      <x:c r="N760" s="26" t="n">
        <x:v>1450</x:v>
      </x:c>
      <x:c r="O760" s="26" t="n">
        <x:v>0</x:v>
      </x:c>
      <x:c r="P760" s="26" t="n">
        <x:v>0</x:v>
      </x:c>
      <x:c r="Q760" s="26" t="n">
        <x:v>0</x:v>
      </x:c>
      <x:c r="R760" s="26" t="n">
        <x:v>0</x:v>
      </x:c>
      <x:c r="S760" s="26" t="n">
        <x:v>0</x:v>
      </x:c>
      <x:c r="T760" s="26" t="n">
        <x:v>1450</x:v>
      </x:c>
      <x:c r="U760" s="26" t="n">
        <x:v>0</x:v>
      </x:c>
      <x:c r="V760" s="26" t="n">
        <x:v>0</x:v>
      </x:c>
      <x:c r="W760" s="26" t="n">
        <x:v>0</x:v>
      </x:c>
      <x:c r="X760" s="26" t="n">
        <x:v>0</x:v>
      </x:c>
      <x:c r="Y760" s="26" t="n">
        <x:v>0</x:v>
      </x:c>
      <x:c r="Z760" s="35" t="str">
        <x:v>September 2027 rent</x:v>
      </x:c>
    </x:row>
    <x:row r="761">
      <x:c r="A761" s="20" t="str">
        <x:v>FIN-00758</x:v>
      </x:c>
      <x:c r="B761" s="23" t="n">
        <x:v>46635</x:v>
      </x:c>
      <x:c r="C761" s="23" t="n">
        <x:v>46635</x:v>
      </x:c>
      <x:c r="D761" s="20" t="str">
        <x:v>TenantReceipt</x:v>
      </x:c>
      <x:c r="E761" s="20" t="str">
        <x:v>Rent receipt</x:v>
      </x:c>
      <x:c r="F761" s="20" t="str">
        <x:v>P030</x:v>
      </x:c>
      <x:c r="G761" s="20" t="str">
        <x:v>U040</x:v>
      </x:c>
      <x:c r="H761" s="20" t="str">
        <x:v>L041</x:v>
      </x:c>
      <x:c r="I761" s="20" t="str">
        <x:v>Yara Brooks</x:v>
      </x:c>
      <x:c r="J761" s="35" t="str">
        <x:v>Scanned money order</x:v>
      </x:c>
      <x:c r="K761" s="20" t="str">
        <x:v>SCN-0278</x:v>
      </x:c>
      <x:c r="L761" s="20" t="str">
        <x:v>PMT-20270905-L041</x:v>
      </x:c>
      <x:c r="M761" s="26" t="n">
        <x:v>1450</x:v>
      </x:c>
      <x:c r="N761" s="26" t="n">
        <x:v>-1450</x:v>
      </x:c>
      <x:c r="O761" s="26" t="n">
        <x:v>1450</x:v>
      </x:c>
      <x:c r="P761" s="26" t="n">
        <x:v>0</x:v>
      </x:c>
      <x:c r="Q761" s="26" t="n">
        <x:v>0</x:v>
      </x:c>
      <x:c r="R761" s="26" t="n">
        <x:v>0</x:v>
      </x:c>
      <x:c r="S761" s="26" t="n">
        <x:v>0</x:v>
      </x:c>
      <x:c r="T761" s="26" t="n">
        <x:v>0</x:v>
      </x:c>
      <x:c r="U761" s="26" t="n">
        <x:v>0</x:v>
      </x:c>
      <x:c r="V761" s="26" t="n">
        <x:v>0</x:v>
      </x:c>
      <x:c r="W761" s="26" t="n">
        <x:v>0</x:v>
      </x:c>
      <x:c r="X761" s="26" t="n">
        <x:v>0</x:v>
      </x:c>
      <x:c r="Y761" s="26" t="n">
        <x:v>0</x:v>
      </x:c>
      <x:c r="Z761" s="35" t="str">
        <x:v>Receipt allocated to FIN-00757</x:v>
      </x:c>
    </x:row>
    <x:row r="762">
      <x:c r="A762" s="20" t="str">
        <x:v>FIN-00759</x:v>
      </x:c>
      <x:c r="B762" s="23" t="n">
        <x:v>46631</x:v>
      </x:c>
      <x:c r="C762" s="23" t="n">
        <x:v>46631</x:v>
      </x:c>
      <x:c r="D762" s="20" t="str">
        <x:v>TenantCharge</x:v>
      </x:c>
      <x:c r="E762" s="20" t="str">
        <x:v>Rent</x:v>
      </x:c>
      <x:c r="F762" s="20" t="str">
        <x:v>P029</x:v>
      </x:c>
      <x:c r="G762" s="20" t="str">
        <x:v>U037</x:v>
      </x:c>
      <x:c r="H762" s="20" t="str">
        <x:v>L043</x:v>
      </x:c>
      <x:c r="I762" s="20" t="str">
        <x:v>Hector Reed</x:v>
      </x:c>
      <x:c r="J762" s="35" t="str">
        <x:v>System scheduled charge</x:v>
      </x:c>
      <x:c r="K762" s="20" t="str"/>
      <x:c r="L762" s="20" t="str">
        <x:v>RENT-202709-L043</x:v>
      </x:c>
      <x:c r="M762" s="26" t="n">
        <x:v>1675</x:v>
      </x:c>
      <x:c r="N762" s="26" t="n">
        <x:v>1675</x:v>
      </x:c>
      <x:c r="O762" s="26" t="n">
        <x:v>0</x:v>
      </x:c>
      <x:c r="P762" s="26" t="n">
        <x:v>0</x:v>
      </x:c>
      <x:c r="Q762" s="26" t="n">
        <x:v>0</x:v>
      </x:c>
      <x:c r="R762" s="26" t="n">
        <x:v>0</x:v>
      </x:c>
      <x:c r="S762" s="26" t="n">
        <x:v>0</x:v>
      </x:c>
      <x:c r="T762" s="26" t="n">
        <x:v>1675</x:v>
      </x:c>
      <x:c r="U762" s="26" t="n">
        <x:v>0</x:v>
      </x:c>
      <x:c r="V762" s="26" t="n">
        <x:v>0</x:v>
      </x:c>
      <x:c r="W762" s="26" t="n">
        <x:v>0</x:v>
      </x:c>
      <x:c r="X762" s="26" t="n">
        <x:v>0</x:v>
      </x:c>
      <x:c r="Y762" s="26" t="n">
        <x:v>0</x:v>
      </x:c>
      <x:c r="Z762" s="35" t="str">
        <x:v>September 2027 rent</x:v>
      </x:c>
    </x:row>
    <x:row r="763">
      <x:c r="A763" s="20" t="str">
        <x:v>FIN-00760</x:v>
      </x:c>
      <x:c r="B763" s="23" t="n">
        <x:v>46634</x:v>
      </x:c>
      <x:c r="C763" s="23" t="n">
        <x:v>46634</x:v>
      </x:c>
      <x:c r="D763" s="20" t="str">
        <x:v>TenantReceipt</x:v>
      </x:c>
      <x:c r="E763" s="20" t="str">
        <x:v>Rent receipt</x:v>
      </x:c>
      <x:c r="F763" s="20" t="str">
        <x:v>P029</x:v>
      </x:c>
      <x:c r="G763" s="20" t="str">
        <x:v>U037</x:v>
      </x:c>
      <x:c r="H763" s="20" t="str">
        <x:v>L043</x:v>
      </x:c>
      <x:c r="I763" s="20" t="str">
        <x:v>Hector Reed</x:v>
      </x:c>
      <x:c r="J763" s="35" t="str">
        <x:v>Portal card</x:v>
      </x:c>
      <x:c r="K763" s="20" t="str"/>
      <x:c r="L763" s="20" t="str">
        <x:v>PMT-20270904-L043</x:v>
      </x:c>
      <x:c r="M763" s="26" t="n">
        <x:v>1675</x:v>
      </x:c>
      <x:c r="N763" s="26" t="n">
        <x:v>-1675</x:v>
      </x:c>
      <x:c r="O763" s="26" t="n">
        <x:v>1675</x:v>
      </x:c>
      <x:c r="P763" s="26" t="n">
        <x:v>0</x:v>
      </x:c>
      <x:c r="Q763" s="26" t="n">
        <x:v>0</x:v>
      </x:c>
      <x:c r="R763" s="26" t="n">
        <x:v>0</x:v>
      </x:c>
      <x:c r="S763" s="26" t="n">
        <x:v>0</x:v>
      </x:c>
      <x:c r="T763" s="26" t="n">
        <x:v>0</x:v>
      </x:c>
      <x:c r="U763" s="26" t="n">
        <x:v>0</x:v>
      </x:c>
      <x:c r="V763" s="26" t="n">
        <x:v>0</x:v>
      </x:c>
      <x:c r="W763" s="26" t="n">
        <x:v>0</x:v>
      </x:c>
      <x:c r="X763" s="26" t="n">
        <x:v>0</x:v>
      </x:c>
      <x:c r="Y763" s="26" t="n">
        <x:v>0</x:v>
      </x:c>
      <x:c r="Z763" s="35" t="str">
        <x:v>Receipt allocated to FIN-00759</x:v>
      </x:c>
    </x:row>
    <x:row r="764">
      <x:c r="A764" s="20" t="str">
        <x:v>FIN-00761</x:v>
      </x:c>
      <x:c r="B764" s="23" t="n">
        <x:v>46631</x:v>
      </x:c>
      <x:c r="C764" s="23" t="n">
        <x:v>46631</x:v>
      </x:c>
      <x:c r="D764" s="20" t="str">
        <x:v>TenantCharge</x:v>
      </x:c>
      <x:c r="E764" s="20" t="str">
        <x:v>Rent</x:v>
      </x:c>
      <x:c r="F764" s="20" t="str">
        <x:v>P029</x:v>
      </x:c>
      <x:c r="G764" s="20" t="str">
        <x:v>U038</x:v>
      </x:c>
      <x:c r="H764" s="20" t="str">
        <x:v>L044</x:v>
      </x:c>
      <x:c r="I764" s="20" t="str">
        <x:v>Keira Adams</x:v>
      </x:c>
      <x:c r="J764" s="35" t="str">
        <x:v>System scheduled charge</x:v>
      </x:c>
      <x:c r="K764" s="20" t="str"/>
      <x:c r="L764" s="20" t="str">
        <x:v>RENT-202709-L044</x:v>
      </x:c>
      <x:c r="M764" s="26" t="n">
        <x:v>1300</x:v>
      </x:c>
      <x:c r="N764" s="26" t="n">
        <x:v>1300</x:v>
      </x:c>
      <x:c r="O764" s="26" t="n">
        <x:v>0</x:v>
      </x:c>
      <x:c r="P764" s="26" t="n">
        <x:v>0</x:v>
      </x:c>
      <x:c r="Q764" s="26" t="n">
        <x:v>0</x:v>
      </x:c>
      <x:c r="R764" s="26" t="n">
        <x:v>0</x:v>
      </x:c>
      <x:c r="S764" s="26" t="n">
        <x:v>0</x:v>
      </x:c>
      <x:c r="T764" s="26" t="n">
        <x:v>1300</x:v>
      </x:c>
      <x:c r="U764" s="26" t="n">
        <x:v>0</x:v>
      </x:c>
      <x:c r="V764" s="26" t="n">
        <x:v>0</x:v>
      </x:c>
      <x:c r="W764" s="26" t="n">
        <x:v>0</x:v>
      </x:c>
      <x:c r="X764" s="26" t="n">
        <x:v>0</x:v>
      </x:c>
      <x:c r="Y764" s="26" t="n">
        <x:v>0</x:v>
      </x:c>
      <x:c r="Z764" s="35" t="str">
        <x:v>September 2027 rent</x:v>
      </x:c>
    </x:row>
    <x:row r="765">
      <x:c r="A765" s="20" t="str">
        <x:v>FIN-00762</x:v>
      </x:c>
      <x:c r="B765" s="23" t="n">
        <x:v>46633</x:v>
      </x:c>
      <x:c r="C765" s="23" t="n">
        <x:v>46633</x:v>
      </x:c>
      <x:c r="D765" s="20" t="str">
        <x:v>TenantReceipt</x:v>
      </x:c>
      <x:c r="E765" s="20" t="str">
        <x:v>Rent receipt</x:v>
      </x:c>
      <x:c r="F765" s="20" t="str">
        <x:v>P029</x:v>
      </x:c>
      <x:c r="G765" s="20" t="str">
        <x:v>U038</x:v>
      </x:c>
      <x:c r="H765" s="20" t="str">
        <x:v>L044</x:v>
      </x:c>
      <x:c r="I765" s="20" t="str">
        <x:v>Keira Adams</x:v>
      </x:c>
      <x:c r="J765" s="35" t="str">
        <x:v>Scanned check</x:v>
      </x:c>
      <x:c r="K765" s="20" t="str">
        <x:v>SCN-0279</x:v>
      </x:c>
      <x:c r="L765" s="20" t="str">
        <x:v>PMT-20270903-L044-A</x:v>
      </x:c>
      <x:c r="M765" s="26" t="n">
        <x:v>780</x:v>
      </x:c>
      <x:c r="N765" s="26" t="n">
        <x:v>-780</x:v>
      </x:c>
      <x:c r="O765" s="26" t="n">
        <x:v>780</x:v>
      </x:c>
      <x:c r="P765" s="26" t="n">
        <x:v>0</x:v>
      </x:c>
      <x:c r="Q765" s="26" t="n">
        <x:v>0</x:v>
      </x:c>
      <x:c r="R765" s="26" t="n">
        <x:v>0</x:v>
      </x:c>
      <x:c r="S765" s="26" t="n">
        <x:v>0</x:v>
      </x:c>
      <x:c r="T765" s="26" t="n">
        <x:v>0</x:v>
      </x:c>
      <x:c r="U765" s="26" t="n">
        <x:v>0</x:v>
      </x:c>
      <x:c r="V765" s="26" t="n">
        <x:v>0</x:v>
      </x:c>
      <x:c r="W765" s="26" t="n">
        <x:v>0</x:v>
      </x:c>
      <x:c r="X765" s="26" t="n">
        <x:v>0</x:v>
      </x:c>
      <x:c r="Y765" s="26" t="n">
        <x:v>0</x:v>
      </x:c>
      <x:c r="Z765" s="35" t="str">
        <x:v>Receipt allocated to FIN-00761</x:v>
      </x:c>
    </x:row>
    <x:row r="766">
      <x:c r="A766" s="20" t="str">
        <x:v>FIN-00763</x:v>
      </x:c>
      <x:c r="B766" s="23" t="n">
        <x:v>46636</x:v>
      </x:c>
      <x:c r="C766" s="23" t="n">
        <x:v>46636</x:v>
      </x:c>
      <x:c r="D766" s="20" t="str">
        <x:v>TenantCharge</x:v>
      </x:c>
      <x:c r="E766" s="20" t="str">
        <x:v>Late fee</x:v>
      </x:c>
      <x:c r="F766" s="20" t="str">
        <x:v>P029</x:v>
      </x:c>
      <x:c r="G766" s="20" t="str">
        <x:v>U038</x:v>
      </x:c>
      <x:c r="H766" s="20" t="str">
        <x:v>L044</x:v>
      </x:c>
      <x:c r="I766" s="20" t="str">
        <x:v>Keira Adams</x:v>
      </x:c>
      <x:c r="J766" s="35" t="str">
        <x:v>System automation</x:v>
      </x:c>
      <x:c r="K766" s="20" t="str"/>
      <x:c r="L766" s="20" t="str">
        <x:v>LATE-202709-L044</x:v>
      </x:c>
      <x:c r="M766" s="26" t="n">
        <x:v>50</x:v>
      </x:c>
      <x:c r="N766" s="26" t="n">
        <x:v>50</x:v>
      </x:c>
      <x:c r="O766" s="26" t="n">
        <x:v>0</x:v>
      </x:c>
      <x:c r="P766" s="26" t="n">
        <x:v>0</x:v>
      </x:c>
      <x:c r="Q766" s="26" t="n">
        <x:v>0</x:v>
      </x:c>
      <x:c r="R766" s="26" t="n">
        <x:v>0</x:v>
      </x:c>
      <x:c r="S766" s="26" t="n">
        <x:v>0</x:v>
      </x:c>
      <x:c r="T766" s="26" t="n">
        <x:v>50</x:v>
      </x:c>
      <x:c r="U766" s="26" t="n">
        <x:v>0</x:v>
      </x:c>
      <x:c r="V766" s="26" t="n">
        <x:v>0</x:v>
      </x:c>
      <x:c r="W766" s="26" t="n">
        <x:v>0</x:v>
      </x:c>
      <x:c r="X766" s="26" t="n">
        <x:v>0</x:v>
      </x:c>
      <x:c r="Y766" s="26" t="n">
        <x:v>0</x:v>
      </x:c>
      <x:c r="Z766" s="35" t="str">
        <x:v>Synthetic lease-authorized late fee after partial payment</x:v>
      </x:c>
    </x:row>
    <x:row r="767">
      <x:c r="A767" s="20" t="str">
        <x:v>FIN-00764</x:v>
      </x:c>
      <x:c r="B767" s="23" t="n">
        <x:v>46642</x:v>
      </x:c>
      <x:c r="C767" s="23" t="n">
        <x:v>46642</x:v>
      </x:c>
      <x:c r="D767" s="20" t="str">
        <x:v>TenantReceipt</x:v>
      </x:c>
      <x:c r="E767" s="20" t="str">
        <x:v>Rent receipt</x:v>
      </x:c>
      <x:c r="F767" s="20" t="str">
        <x:v>P029</x:v>
      </x:c>
      <x:c r="G767" s="20" t="str">
        <x:v>U038</x:v>
      </x:c>
      <x:c r="H767" s="20" t="str">
        <x:v>L044</x:v>
      </x:c>
      <x:c r="I767" s="20" t="str">
        <x:v>Keira Adams</x:v>
      </x:c>
      <x:c r="J767" s="35" t="str">
        <x:v>Manual ACH</x:v>
      </x:c>
      <x:c r="K767" s="20" t="str"/>
      <x:c r="L767" s="20" t="str">
        <x:v>PMT-20270912-L044-B</x:v>
      </x:c>
      <x:c r="M767" s="26" t="n">
        <x:v>570</x:v>
      </x:c>
      <x:c r="N767" s="26" t="n">
        <x:v>-570</x:v>
      </x:c>
      <x:c r="O767" s="26" t="n">
        <x:v>570</x:v>
      </x:c>
      <x:c r="P767" s="26" t="n">
        <x:v>0</x:v>
      </x:c>
      <x:c r="Q767" s="26" t="n">
        <x:v>0</x:v>
      </x:c>
      <x:c r="R767" s="26" t="n">
        <x:v>0</x:v>
      </x:c>
      <x:c r="S767" s="26" t="n">
        <x:v>0</x:v>
      </x:c>
      <x:c r="T767" s="26" t="n">
        <x:v>0</x:v>
      </x:c>
      <x:c r="U767" s="26" t="n">
        <x:v>0</x:v>
      </x:c>
      <x:c r="V767" s="26" t="n">
        <x:v>0</x:v>
      </x:c>
      <x:c r="W767" s="26" t="n">
        <x:v>0</x:v>
      </x:c>
      <x:c r="X767" s="26" t="n">
        <x:v>0</x:v>
      </x:c>
      <x:c r="Y767" s="26" t="n">
        <x:v>0</x:v>
      </x:c>
      <x:c r="Z767" s="35" t="str">
        <x:v>Receipt allocated to FIN-00763</x:v>
      </x:c>
    </x:row>
    <x:row r="768">
      <x:c r="A768" s="20" t="str">
        <x:v>FIN-00765</x:v>
      </x:c>
      <x:c r="B768" s="23" t="n">
        <x:v>46631</x:v>
      </x:c>
      <x:c r="C768" s="23" t="n">
        <x:v>46631</x:v>
      </x:c>
      <x:c r="D768" s="20" t="str">
        <x:v>TenantCharge</x:v>
      </x:c>
      <x:c r="E768" s="20" t="str">
        <x:v>Rent</x:v>
      </x:c>
      <x:c r="F768" s="20" t="str">
        <x:v>P030</x:v>
      </x:c>
      <x:c r="G768" s="20" t="str">
        <x:v>U039</x:v>
      </x:c>
      <x:c r="H768" s="20" t="str">
        <x:v>L045</x:v>
      </x:c>
      <x:c r="I768" s="20" t="str">
        <x:v>Nolan Flores</x:v>
      </x:c>
      <x:c r="J768" s="35" t="str">
        <x:v>System scheduled charge</x:v>
      </x:c>
      <x:c r="K768" s="20" t="str"/>
      <x:c r="L768" s="20" t="str">
        <x:v>RENT-202709-L045</x:v>
      </x:c>
      <x:c r="M768" s="26" t="n">
        <x:v>1825</x:v>
      </x:c>
      <x:c r="N768" s="26" t="n">
        <x:v>1825</x:v>
      </x:c>
      <x:c r="O768" s="26" t="n">
        <x:v>0</x:v>
      </x:c>
      <x:c r="P768" s="26" t="n">
        <x:v>0</x:v>
      </x:c>
      <x:c r="Q768" s="26" t="n">
        <x:v>0</x:v>
      </x:c>
      <x:c r="R768" s="26" t="n">
        <x:v>0</x:v>
      </x:c>
      <x:c r="S768" s="26" t="n">
        <x:v>0</x:v>
      </x:c>
      <x:c r="T768" s="26" t="n">
        <x:v>1825</x:v>
      </x:c>
      <x:c r="U768" s="26" t="n">
        <x:v>0</x:v>
      </x:c>
      <x:c r="V768" s="26" t="n">
        <x:v>0</x:v>
      </x:c>
      <x:c r="W768" s="26" t="n">
        <x:v>0</x:v>
      </x:c>
      <x:c r="X768" s="26" t="n">
        <x:v>0</x:v>
      </x:c>
      <x:c r="Y768" s="26" t="n">
        <x:v>0</x:v>
      </x:c>
      <x:c r="Z768" s="35" t="str">
        <x:v>September 2027 rent</x:v>
      </x:c>
    </x:row>
    <x:row r="769">
      <x:c r="A769" s="20" t="str">
        <x:v>FIN-00766</x:v>
      </x:c>
      <x:c r="B769" s="23" t="n">
        <x:v>46633</x:v>
      </x:c>
      <x:c r="C769" s="23" t="n">
        <x:v>46633</x:v>
      </x:c>
      <x:c r="D769" s="20" t="str">
        <x:v>TenantReceipt</x:v>
      </x:c>
      <x:c r="E769" s="20" t="str">
        <x:v>Rent receipt</x:v>
      </x:c>
      <x:c r="F769" s="20" t="str">
        <x:v>P030</x:v>
      </x:c>
      <x:c r="G769" s="20" t="str">
        <x:v>U039</x:v>
      </x:c>
      <x:c r="H769" s="20" t="str">
        <x:v>L045</x:v>
      </x:c>
      <x:c r="I769" s="20" t="str">
        <x:v>Nolan Flores</x:v>
      </x:c>
      <x:c r="J769" s="35" t="str">
        <x:v>Scanned money order</x:v>
      </x:c>
      <x:c r="K769" s="20" t="str">
        <x:v>SCN-0280</x:v>
      </x:c>
      <x:c r="L769" s="20" t="str">
        <x:v>PMT-20270903-L045</x:v>
      </x:c>
      <x:c r="M769" s="26" t="n">
        <x:v>1825</x:v>
      </x:c>
      <x:c r="N769" s="26" t="n">
        <x:v>-1825</x:v>
      </x:c>
      <x:c r="O769" s="26" t="n">
        <x:v>1825</x:v>
      </x:c>
      <x:c r="P769" s="26" t="n">
        <x:v>0</x:v>
      </x:c>
      <x:c r="Q769" s="26" t="n">
        <x:v>0</x:v>
      </x:c>
      <x:c r="R769" s="26" t="n">
        <x:v>0</x:v>
      </x:c>
      <x:c r="S769" s="26" t="n">
        <x:v>0</x:v>
      </x:c>
      <x:c r="T769" s="26" t="n">
        <x:v>0</x:v>
      </x:c>
      <x:c r="U769" s="26" t="n">
        <x:v>0</x:v>
      </x:c>
      <x:c r="V769" s="26" t="n">
        <x:v>0</x:v>
      </x:c>
      <x:c r="W769" s="26" t="n">
        <x:v>0</x:v>
      </x:c>
      <x:c r="X769" s="26" t="n">
        <x:v>0</x:v>
      </x:c>
      <x:c r="Y769" s="26" t="n">
        <x:v>0</x:v>
      </x:c>
      <x:c r="Z769" s="35" t="str">
        <x:v>Receipt allocated to FIN-00765</x:v>
      </x:c>
    </x:row>
    <x:row r="770">
      <x:c r="A770" s="20" t="str">
        <x:v>FIN-00767</x:v>
      </x:c>
      <x:c r="B770" s="23" t="n">
        <x:v>46661</x:v>
      </x:c>
      <x:c r="C770" s="23" t="n">
        <x:v>46661</x:v>
      </x:c>
      <x:c r="D770" s="20" t="str">
        <x:v>TenantCharge</x:v>
      </x:c>
      <x:c r="E770" s="20" t="str">
        <x:v>Rent</x:v>
      </x:c>
      <x:c r="F770" s="20" t="str">
        <x:v>P001</x:v>
      </x:c>
      <x:c r="G770" s="20" t="str">
        <x:v>U001</x:v>
      </x:c>
      <x:c r="H770" s="20" t="str">
        <x:v>L001</x:v>
      </x:c>
      <x:c r="I770" s="20" t="str">
        <x:v>Dana Garcia</x:v>
      </x:c>
      <x:c r="J770" s="35" t="str">
        <x:v>System scheduled charge</x:v>
      </x:c>
      <x:c r="K770" s="20" t="str"/>
      <x:c r="L770" s="20" t="str">
        <x:v>RENT-202710-L001</x:v>
      </x:c>
      <x:c r="M770" s="26" t="n">
        <x:v>1575</x:v>
      </x:c>
      <x:c r="N770" s="26" t="n">
        <x:v>1575</x:v>
      </x:c>
      <x:c r="O770" s="26" t="n">
        <x:v>0</x:v>
      </x:c>
      <x:c r="P770" s="26" t="n">
        <x:v>0</x:v>
      </x:c>
      <x:c r="Q770" s="26" t="n">
        <x:v>0</x:v>
      </x:c>
      <x:c r="R770" s="26" t="n">
        <x:v>0</x:v>
      </x:c>
      <x:c r="S770" s="26" t="n">
        <x:v>0</x:v>
      </x:c>
      <x:c r="T770" s="26" t="n">
        <x:v>1575</x:v>
      </x:c>
      <x:c r="U770" s="26" t="n">
        <x:v>0</x:v>
      </x:c>
      <x:c r="V770" s="26" t="n">
        <x:v>0</x:v>
      </x:c>
      <x:c r="W770" s="26" t="n">
        <x:v>0</x:v>
      </x:c>
      <x:c r="X770" s="26" t="n">
        <x:v>0</x:v>
      </x:c>
      <x:c r="Y770" s="26" t="n">
        <x:v>0</x:v>
      </x:c>
      <x:c r="Z770" s="35" t="str">
        <x:v>October 2027 rent</x:v>
      </x:c>
    </x:row>
    <x:row r="771">
      <x:c r="A771" s="20" t="str">
        <x:v>FIN-00768</x:v>
      </x:c>
      <x:c r="B771" s="23" t="n">
        <x:v>46664</x:v>
      </x:c>
      <x:c r="C771" s="23" t="n">
        <x:v>46664</x:v>
      </x:c>
      <x:c r="D771" s="20" t="str">
        <x:v>TenantReceipt</x:v>
      </x:c>
      <x:c r="E771" s="20" t="str">
        <x:v>Rent receipt</x:v>
      </x:c>
      <x:c r="F771" s="20" t="str">
        <x:v>P001</x:v>
      </x:c>
      <x:c r="G771" s="20" t="str">
        <x:v>U001</x:v>
      </x:c>
      <x:c r="H771" s="20" t="str">
        <x:v>L001</x:v>
      </x:c>
      <x:c r="I771" s="20" t="str">
        <x:v>Dana Garcia</x:v>
      </x:c>
      <x:c r="J771" s="35" t="str">
        <x:v>Scanned money order</x:v>
      </x:c>
      <x:c r="K771" s="20" t="str">
        <x:v>SCN-0281</x:v>
      </x:c>
      <x:c r="L771" s="20" t="str">
        <x:v>PMT-20271004-L001</x:v>
      </x:c>
      <x:c r="M771" s="26" t="n">
        <x:v>1575</x:v>
      </x:c>
      <x:c r="N771" s="26" t="n">
        <x:v>-1575</x:v>
      </x:c>
      <x:c r="O771" s="26" t="n">
        <x:v>1575</x:v>
      </x:c>
      <x:c r="P771" s="26" t="n">
        <x:v>0</x:v>
      </x:c>
      <x:c r="Q771" s="26" t="n">
        <x:v>0</x:v>
      </x:c>
      <x:c r="R771" s="26" t="n">
        <x:v>0</x:v>
      </x:c>
      <x:c r="S771" s="26" t="n">
        <x:v>0</x:v>
      </x:c>
      <x:c r="T771" s="26" t="n">
        <x:v>0</x:v>
      </x:c>
      <x:c r="U771" s="26" t="n">
        <x:v>0</x:v>
      </x:c>
      <x:c r="V771" s="26" t="n">
        <x:v>0</x:v>
      </x:c>
      <x:c r="W771" s="26" t="n">
        <x:v>0</x:v>
      </x:c>
      <x:c r="X771" s="26" t="n">
        <x:v>0</x:v>
      </x:c>
      <x:c r="Y771" s="26" t="n">
        <x:v>0</x:v>
      </x:c>
      <x:c r="Z771" s="35" t="str">
        <x:v>Receipt allocated to FIN-00767</x:v>
      </x:c>
    </x:row>
    <x:row r="772">
      <x:c r="A772" s="20" t="str">
        <x:v>FIN-00769</x:v>
      </x:c>
      <x:c r="B772" s="23" t="n">
        <x:v>46661</x:v>
      </x:c>
      <x:c r="C772" s="23" t="n">
        <x:v>46661</x:v>
      </x:c>
      <x:c r="D772" s="20" t="str">
        <x:v>TenantCharge</x:v>
      </x:c>
      <x:c r="E772" s="20" t="str">
        <x:v>Rent</x:v>
      </x:c>
      <x:c r="F772" s="20" t="str">
        <x:v>P002</x:v>
      </x:c>
      <x:c r="G772" s="20" t="str">
        <x:v>U002</x:v>
      </x:c>
      <x:c r="H772" s="20" t="str">
        <x:v>L002</x:v>
      </x:c>
      <x:c r="I772" s="20" t="str">
        <x:v>Gray Lewis</x:v>
      </x:c>
      <x:c r="J772" s="35" t="str">
        <x:v>System scheduled charge</x:v>
      </x:c>
      <x:c r="K772" s="20" t="str"/>
      <x:c r="L772" s="20" t="str">
        <x:v>RENT-202710-L002</x:v>
      </x:c>
      <x:c r="M772" s="26" t="n">
        <x:v>1200</x:v>
      </x:c>
      <x:c r="N772" s="26" t="n">
        <x:v>1200</x:v>
      </x:c>
      <x:c r="O772" s="26" t="n">
        <x:v>0</x:v>
      </x:c>
      <x:c r="P772" s="26" t="n">
        <x:v>0</x:v>
      </x:c>
      <x:c r="Q772" s="26" t="n">
        <x:v>0</x:v>
      </x:c>
      <x:c r="R772" s="26" t="n">
        <x:v>0</x:v>
      </x:c>
      <x:c r="S772" s="26" t="n">
        <x:v>0</x:v>
      </x:c>
      <x:c r="T772" s="26" t="n">
        <x:v>1200</x:v>
      </x:c>
      <x:c r="U772" s="26" t="n">
        <x:v>0</x:v>
      </x:c>
      <x:c r="V772" s="26" t="n">
        <x:v>0</x:v>
      </x:c>
      <x:c r="W772" s="26" t="n">
        <x:v>0</x:v>
      </x:c>
      <x:c r="X772" s="26" t="n">
        <x:v>0</x:v>
      </x:c>
      <x:c r="Y772" s="26" t="n">
        <x:v>0</x:v>
      </x:c>
      <x:c r="Z772" s="35" t="str">
        <x:v>October 2027 rent</x:v>
      </x:c>
    </x:row>
    <x:row r="773">
      <x:c r="A773" s="20" t="str">
        <x:v>FIN-00770</x:v>
      </x:c>
      <x:c r="B773" s="23" t="n">
        <x:v>46665</x:v>
      </x:c>
      <x:c r="C773" s="23" t="n">
        <x:v>46665</x:v>
      </x:c>
      <x:c r="D773" s="20" t="str">
        <x:v>TenantReceipt</x:v>
      </x:c>
      <x:c r="E773" s="20" t="str">
        <x:v>Rent receipt</x:v>
      </x:c>
      <x:c r="F773" s="20" t="str">
        <x:v>P002</x:v>
      </x:c>
      <x:c r="G773" s="20" t="str">
        <x:v>U002</x:v>
      </x:c>
      <x:c r="H773" s="20" t="str">
        <x:v>L002</x:v>
      </x:c>
      <x:c r="I773" s="20" t="str">
        <x:v>Gray Lewis</x:v>
      </x:c>
      <x:c r="J773" s="35" t="str">
        <x:v>Manual ACH</x:v>
      </x:c>
      <x:c r="K773" s="20" t="str"/>
      <x:c r="L773" s="20" t="str">
        <x:v>PMT-20271005-L002</x:v>
      </x:c>
      <x:c r="M773" s="26" t="n">
        <x:v>1200</x:v>
      </x:c>
      <x:c r="N773" s="26" t="n">
        <x:v>-1200</x:v>
      </x:c>
      <x:c r="O773" s="26" t="n">
        <x:v>1200</x:v>
      </x:c>
      <x:c r="P773" s="26" t="n">
        <x:v>0</x:v>
      </x:c>
      <x:c r="Q773" s="26" t="n">
        <x:v>0</x:v>
      </x:c>
      <x:c r="R773" s="26" t="n">
        <x:v>0</x:v>
      </x:c>
      <x:c r="S773" s="26" t="n">
        <x:v>0</x:v>
      </x:c>
      <x:c r="T773" s="26" t="n">
        <x:v>0</x:v>
      </x:c>
      <x:c r="U773" s="26" t="n">
        <x:v>0</x:v>
      </x:c>
      <x:c r="V773" s="26" t="n">
        <x:v>0</x:v>
      </x:c>
      <x:c r="W773" s="26" t="n">
        <x:v>0</x:v>
      </x:c>
      <x:c r="X773" s="26" t="n">
        <x:v>0</x:v>
      </x:c>
      <x:c r="Y773" s="26" t="n">
        <x:v>0</x:v>
      </x:c>
      <x:c r="Z773" s="35" t="str">
        <x:v>Receipt allocated to FIN-00769</x:v>
      </x:c>
    </x:row>
    <x:row r="774">
      <x:c r="A774" s="20" t="str">
        <x:v>FIN-00771</x:v>
      </x:c>
      <x:c r="B774" s="23" t="n">
        <x:v>46661</x:v>
      </x:c>
      <x:c r="C774" s="23" t="n">
        <x:v>46661</x:v>
      </x:c>
      <x:c r="D774" s="20" t="str">
        <x:v>TenantCharge</x:v>
      </x:c>
      <x:c r="E774" s="20" t="str">
        <x:v>Rent</x:v>
      </x:c>
      <x:c r="F774" s="20" t="str">
        <x:v>P003</x:v>
      </x:c>
      <x:c r="G774" s="20" t="str">
        <x:v>U003</x:v>
      </x:c>
      <x:c r="H774" s="20" t="str">
        <x:v>L003</x:v>
      </x:c>
      <x:c r="I774" s="20" t="str">
        <x:v>Jordan Reed</x:v>
      </x:c>
      <x:c r="J774" s="35" t="str">
        <x:v>System scheduled charge</x:v>
      </x:c>
      <x:c r="K774" s="20" t="str"/>
      <x:c r="L774" s="20" t="str">
        <x:v>RENT-202710-L003</x:v>
      </x:c>
      <x:c r="M774" s="26" t="n">
        <x:v>1725</x:v>
      </x:c>
      <x:c r="N774" s="26" t="n">
        <x:v>1725</x:v>
      </x:c>
      <x:c r="O774" s="26" t="n">
        <x:v>0</x:v>
      </x:c>
      <x:c r="P774" s="26" t="n">
        <x:v>0</x:v>
      </x:c>
      <x:c r="Q774" s="26" t="n">
        <x:v>0</x:v>
      </x:c>
      <x:c r="R774" s="26" t="n">
        <x:v>0</x:v>
      </x:c>
      <x:c r="S774" s="26" t="n">
        <x:v>0</x:v>
      </x:c>
      <x:c r="T774" s="26" t="n">
        <x:v>1725</x:v>
      </x:c>
      <x:c r="U774" s="26" t="n">
        <x:v>0</x:v>
      </x:c>
      <x:c r="V774" s="26" t="n">
        <x:v>0</x:v>
      </x:c>
      <x:c r="W774" s="26" t="n">
        <x:v>0</x:v>
      </x:c>
      <x:c r="X774" s="26" t="n">
        <x:v>0</x:v>
      </x:c>
      <x:c r="Y774" s="26" t="n">
        <x:v>0</x:v>
      </x:c>
      <x:c r="Z774" s="35" t="str">
        <x:v>October 2027 rent</x:v>
      </x:c>
    </x:row>
    <x:row r="775">
      <x:c r="A775" s="20" t="str">
        <x:v>FIN-00772</x:v>
      </x:c>
      <x:c r="B775" s="23" t="n">
        <x:v>46663</x:v>
      </x:c>
      <x:c r="C775" s="23" t="n">
        <x:v>46663</x:v>
      </x:c>
      <x:c r="D775" s="20" t="str">
        <x:v>TenantReceipt</x:v>
      </x:c>
      <x:c r="E775" s="20" t="str">
        <x:v>Rent receipt</x:v>
      </x:c>
      <x:c r="F775" s="20" t="str">
        <x:v>P003</x:v>
      </x:c>
      <x:c r="G775" s="20" t="str">
        <x:v>U003</x:v>
      </x:c>
      <x:c r="H775" s="20" t="str">
        <x:v>L003</x:v>
      </x:c>
      <x:c r="I775" s="20" t="str">
        <x:v>Jordan Reed</x:v>
      </x:c>
      <x:c r="J775" s="35" t="str">
        <x:v>Portal card</x:v>
      </x:c>
      <x:c r="K775" s="20" t="str"/>
      <x:c r="L775" s="20" t="str">
        <x:v>PMT-20271003-L003</x:v>
      </x:c>
      <x:c r="M775" s="26" t="n">
        <x:v>1725</x:v>
      </x:c>
      <x:c r="N775" s="26" t="n">
        <x:v>-1725</x:v>
      </x:c>
      <x:c r="O775" s="26" t="n">
        <x:v>1725</x:v>
      </x:c>
      <x:c r="P775" s="26" t="n">
        <x:v>0</x:v>
      </x:c>
      <x:c r="Q775" s="26" t="n">
        <x:v>0</x:v>
      </x:c>
      <x:c r="R775" s="26" t="n">
        <x:v>0</x:v>
      </x:c>
      <x:c r="S775" s="26" t="n">
        <x:v>0</x:v>
      </x:c>
      <x:c r="T775" s="26" t="n">
        <x:v>0</x:v>
      </x:c>
      <x:c r="U775" s="26" t="n">
        <x:v>0</x:v>
      </x:c>
      <x:c r="V775" s="26" t="n">
        <x:v>0</x:v>
      </x:c>
      <x:c r="W775" s="26" t="n">
        <x:v>0</x:v>
      </x:c>
      <x:c r="X775" s="26" t="n">
        <x:v>0</x:v>
      </x:c>
      <x:c r="Y775" s="26" t="n">
        <x:v>0</x:v>
      </x:c>
      <x:c r="Z775" s="35" t="str">
        <x:v>Receipt allocated to FIN-00771</x:v>
      </x:c>
    </x:row>
    <x:row r="776">
      <x:c r="A776" s="20" t="str">
        <x:v>FIN-00773</x:v>
      </x:c>
      <x:c r="B776" s="23" t="n">
        <x:v>46661</x:v>
      </x:c>
      <x:c r="C776" s="23" t="n">
        <x:v>46661</x:v>
      </x:c>
      <x:c r="D776" s="20" t="str">
        <x:v>TenantCharge</x:v>
      </x:c>
      <x:c r="E776" s="20" t="str">
        <x:v>Rent</x:v>
      </x:c>
      <x:c r="F776" s="20" t="str">
        <x:v>P004</x:v>
      </x:c>
      <x:c r="G776" s="20" t="str">
        <x:v>U004</x:v>
      </x:c>
      <x:c r="H776" s="20" t="str">
        <x:v>L004</x:v>
      </x:c>
      <x:c r="I776" s="20" t="str">
        <x:v>Morgan Adams</x:v>
      </x:c>
      <x:c r="J776" s="35" t="str">
        <x:v>System scheduled charge</x:v>
      </x:c>
      <x:c r="K776" s="20" t="str"/>
      <x:c r="L776" s="20" t="str">
        <x:v>RENT-202710-L004</x:v>
      </x:c>
      <x:c r="M776" s="26" t="n">
        <x:v>1350</x:v>
      </x:c>
      <x:c r="N776" s="26" t="n">
        <x:v>1350</x:v>
      </x:c>
      <x:c r="O776" s="26" t="n">
        <x:v>0</x:v>
      </x:c>
      <x:c r="P776" s="26" t="n">
        <x:v>0</x:v>
      </x:c>
      <x:c r="Q776" s="26" t="n">
        <x:v>0</x:v>
      </x:c>
      <x:c r="R776" s="26" t="n">
        <x:v>0</x:v>
      </x:c>
      <x:c r="S776" s="26" t="n">
        <x:v>0</x:v>
      </x:c>
      <x:c r="T776" s="26" t="n">
        <x:v>1350</x:v>
      </x:c>
      <x:c r="U776" s="26" t="n">
        <x:v>0</x:v>
      </x:c>
      <x:c r="V776" s="26" t="n">
        <x:v>0</x:v>
      </x:c>
      <x:c r="W776" s="26" t="n">
        <x:v>0</x:v>
      </x:c>
      <x:c r="X776" s="26" t="n">
        <x:v>0</x:v>
      </x:c>
      <x:c r="Y776" s="26" t="n">
        <x:v>0</x:v>
      </x:c>
      <x:c r="Z776" s="35" t="str">
        <x:v>October 2027 rent</x:v>
      </x:c>
    </x:row>
    <x:row r="777">
      <x:c r="A777" s="20" t="str">
        <x:v>FIN-00774</x:v>
      </x:c>
      <x:c r="B777" s="23" t="n">
        <x:v>46664</x:v>
      </x:c>
      <x:c r="C777" s="23" t="n">
        <x:v>46664</x:v>
      </x:c>
      <x:c r="D777" s="20" t="str">
        <x:v>TenantReceipt</x:v>
      </x:c>
      <x:c r="E777" s="20" t="str">
        <x:v>Rent receipt</x:v>
      </x:c>
      <x:c r="F777" s="20" t="str">
        <x:v>P004</x:v>
      </x:c>
      <x:c r="G777" s="20" t="str">
        <x:v>U004</x:v>
      </x:c>
      <x:c r="H777" s="20" t="str">
        <x:v>L004</x:v>
      </x:c>
      <x:c r="I777" s="20" t="str">
        <x:v>Morgan Adams</x:v>
      </x:c>
      <x:c r="J777" s="35" t="str">
        <x:v>Scanned check</x:v>
      </x:c>
      <x:c r="K777" s="20" t="str">
        <x:v>SCN-0282</x:v>
      </x:c>
      <x:c r="L777" s="20" t="str">
        <x:v>PMT-20271004-L004</x:v>
      </x:c>
      <x:c r="M777" s="26" t="n">
        <x:v>1350</x:v>
      </x:c>
      <x:c r="N777" s="26" t="n">
        <x:v>-1350</x:v>
      </x:c>
      <x:c r="O777" s="26" t="n">
        <x:v>1350</x:v>
      </x:c>
      <x:c r="P777" s="26" t="n">
        <x:v>0</x:v>
      </x:c>
      <x:c r="Q777" s="26" t="n">
        <x:v>0</x:v>
      </x:c>
      <x:c r="R777" s="26" t="n">
        <x:v>0</x:v>
      </x:c>
      <x:c r="S777" s="26" t="n">
        <x:v>0</x:v>
      </x:c>
      <x:c r="T777" s="26" t="n">
        <x:v>0</x:v>
      </x:c>
      <x:c r="U777" s="26" t="n">
        <x:v>0</x:v>
      </x:c>
      <x:c r="V777" s="26" t="n">
        <x:v>0</x:v>
      </x:c>
      <x:c r="W777" s="26" t="n">
        <x:v>0</x:v>
      </x:c>
      <x:c r="X777" s="26" t="n">
        <x:v>0</x:v>
      </x:c>
      <x:c r="Y777" s="26" t="n">
        <x:v>0</x:v>
      </x:c>
      <x:c r="Z777" s="35" t="str">
        <x:v>Receipt allocated to FIN-00773</x:v>
      </x:c>
    </x:row>
    <x:row r="778">
      <x:c r="A778" s="20" t="str">
        <x:v>FIN-00775</x:v>
      </x:c>
      <x:c r="B778" s="23" t="n">
        <x:v>46661</x:v>
      </x:c>
      <x:c r="C778" s="23" t="n">
        <x:v>46661</x:v>
      </x:c>
      <x:c r="D778" s="20" t="str">
        <x:v>TenantCharge</x:v>
      </x:c>
      <x:c r="E778" s="20" t="str">
        <x:v>Rent</x:v>
      </x:c>
      <x:c r="F778" s="20" t="str">
        <x:v>P006</x:v>
      </x:c>
      <x:c r="G778" s="20" t="str">
        <x:v>U006</x:v>
      </x:c>
      <x:c r="H778" s="20" t="str">
        <x:v>L006</x:v>
      </x:c>
      <x:c r="I778" s="20" t="str">
        <x:v>Sage King</x:v>
      </x:c>
      <x:c r="J778" s="35" t="str">
        <x:v>System scheduled charge</x:v>
      </x:c>
      <x:c r="K778" s="20" t="str"/>
      <x:c r="L778" s="20" t="str">
        <x:v>RENT-202710-L006</x:v>
      </x:c>
      <x:c r="M778" s="26" t="n">
        <x:v>1500</x:v>
      </x:c>
      <x:c r="N778" s="26" t="n">
        <x:v>1500</x:v>
      </x:c>
      <x:c r="O778" s="26" t="n">
        <x:v>0</x:v>
      </x:c>
      <x:c r="P778" s="26" t="n">
        <x:v>0</x:v>
      </x:c>
      <x:c r="Q778" s="26" t="n">
        <x:v>0</x:v>
      </x:c>
      <x:c r="R778" s="26" t="n">
        <x:v>0</x:v>
      </x:c>
      <x:c r="S778" s="26" t="n">
        <x:v>0</x:v>
      </x:c>
      <x:c r="T778" s="26" t="n">
        <x:v>1500</x:v>
      </x:c>
      <x:c r="U778" s="26" t="n">
        <x:v>0</x:v>
      </x:c>
      <x:c r="V778" s="26" t="n">
        <x:v>0</x:v>
      </x:c>
      <x:c r="W778" s="26" t="n">
        <x:v>0</x:v>
      </x:c>
      <x:c r="X778" s="26" t="n">
        <x:v>0</x:v>
      </x:c>
      <x:c r="Y778" s="26" t="n">
        <x:v>0</x:v>
      </x:c>
      <x:c r="Z778" s="35" t="str">
        <x:v>October 2027 rent</x:v>
      </x:c>
    </x:row>
    <x:row r="779">
      <x:c r="A779" s="20" t="str">
        <x:v>FIN-00776</x:v>
      </x:c>
      <x:c r="B779" s="23" t="n">
        <x:v>46663</x:v>
      </x:c>
      <x:c r="C779" s="23" t="n">
        <x:v>46663</x:v>
      </x:c>
      <x:c r="D779" s="20" t="str">
        <x:v>TenantReceipt</x:v>
      </x:c>
      <x:c r="E779" s="20" t="str">
        <x:v>Rent receipt</x:v>
      </x:c>
      <x:c r="F779" s="20" t="str">
        <x:v>P006</x:v>
      </x:c>
      <x:c r="G779" s="20" t="str">
        <x:v>U006</x:v>
      </x:c>
      <x:c r="H779" s="20" t="str">
        <x:v>L006</x:v>
      </x:c>
      <x:c r="I779" s="20" t="str">
        <x:v>Sage King</x:v>
      </x:c>
      <x:c r="J779" s="35" t="str">
        <x:v>Manual ACH</x:v>
      </x:c>
      <x:c r="K779" s="20" t="str"/>
      <x:c r="L779" s="20" t="str">
        <x:v>PMT-20271003-L006</x:v>
      </x:c>
      <x:c r="M779" s="26" t="n">
        <x:v>1500</x:v>
      </x:c>
      <x:c r="N779" s="26" t="n">
        <x:v>-1500</x:v>
      </x:c>
      <x:c r="O779" s="26" t="n">
        <x:v>1500</x:v>
      </x:c>
      <x:c r="P779" s="26" t="n">
        <x:v>0</x:v>
      </x:c>
      <x:c r="Q779" s="26" t="n">
        <x:v>0</x:v>
      </x:c>
      <x:c r="R779" s="26" t="n">
        <x:v>0</x:v>
      </x:c>
      <x:c r="S779" s="26" t="n">
        <x:v>0</x:v>
      </x:c>
      <x:c r="T779" s="26" t="n">
        <x:v>0</x:v>
      </x:c>
      <x:c r="U779" s="26" t="n">
        <x:v>0</x:v>
      </x:c>
      <x:c r="V779" s="26" t="n">
        <x:v>0</x:v>
      </x:c>
      <x:c r="W779" s="26" t="n">
        <x:v>0</x:v>
      </x:c>
      <x:c r="X779" s="26" t="n">
        <x:v>0</x:v>
      </x:c>
      <x:c r="Y779" s="26" t="n">
        <x:v>0</x:v>
      </x:c>
      <x:c r="Z779" s="35" t="str">
        <x:v>Receipt allocated to FIN-00775</x:v>
      </x:c>
    </x:row>
    <x:row r="780">
      <x:c r="A780" s="20" t="str">
        <x:v>FIN-00777</x:v>
      </x:c>
      <x:c r="B780" s="23" t="n">
        <x:v>46661</x:v>
      </x:c>
      <x:c r="C780" s="23" t="n">
        <x:v>46661</x:v>
      </x:c>
      <x:c r="D780" s="20" t="str">
        <x:v>TenantCharge</x:v>
      </x:c>
      <x:c r="E780" s="20" t="str">
        <x:v>Rent</x:v>
      </x:c>
      <x:c r="F780" s="20" t="str">
        <x:v>P007</x:v>
      </x:c>
      <x:c r="G780" s="20" t="str">
        <x:v>U007</x:v>
      </x:c>
      <x:c r="H780" s="20" t="str">
        <x:v>L007</x:v>
      </x:c>
      <x:c r="I780" s="20" t="str">
        <x:v>Val Price</x:v>
      </x:c>
      <x:c r="J780" s="35" t="str">
        <x:v>System scheduled charge</x:v>
      </x:c>
      <x:c r="K780" s="20" t="str"/>
      <x:c r="L780" s="20" t="str">
        <x:v>RENT-202710-L007</x:v>
      </x:c>
      <x:c r="M780" s="26" t="n">
        <x:v>1125</x:v>
      </x:c>
      <x:c r="N780" s="26" t="n">
        <x:v>1125</x:v>
      </x:c>
      <x:c r="O780" s="26" t="n">
        <x:v>0</x:v>
      </x:c>
      <x:c r="P780" s="26" t="n">
        <x:v>0</x:v>
      </x:c>
      <x:c r="Q780" s="26" t="n">
        <x:v>0</x:v>
      </x:c>
      <x:c r="R780" s="26" t="n">
        <x:v>0</x:v>
      </x:c>
      <x:c r="S780" s="26" t="n">
        <x:v>0</x:v>
      </x:c>
      <x:c r="T780" s="26" t="n">
        <x:v>1125</x:v>
      </x:c>
      <x:c r="U780" s="26" t="n">
        <x:v>0</x:v>
      </x:c>
      <x:c r="V780" s="26" t="n">
        <x:v>0</x:v>
      </x:c>
      <x:c r="W780" s="26" t="n">
        <x:v>0</x:v>
      </x:c>
      <x:c r="X780" s="26" t="n">
        <x:v>0</x:v>
      </x:c>
      <x:c r="Y780" s="26" t="n">
        <x:v>0</x:v>
      </x:c>
      <x:c r="Z780" s="35" t="str">
        <x:v>October 2027 rent</x:v>
      </x:c>
    </x:row>
    <x:row r="781">
      <x:c r="A781" s="20" t="str">
        <x:v>FIN-00778</x:v>
      </x:c>
      <x:c r="B781" s="23" t="n">
        <x:v>46664</x:v>
      </x:c>
      <x:c r="C781" s="23" t="n">
        <x:v>46664</x:v>
      </x:c>
      <x:c r="D781" s="20" t="str">
        <x:v>TenantReceipt</x:v>
      </x:c>
      <x:c r="E781" s="20" t="str">
        <x:v>Rent receipt</x:v>
      </x:c>
      <x:c r="F781" s="20" t="str">
        <x:v>P007</x:v>
      </x:c>
      <x:c r="G781" s="20" t="str">
        <x:v>U007</x:v>
      </x:c>
      <x:c r="H781" s="20" t="str">
        <x:v>L007</x:v>
      </x:c>
      <x:c r="I781" s="20" t="str">
        <x:v>Val Price</x:v>
      </x:c>
      <x:c r="J781" s="35" t="str">
        <x:v>Portal card</x:v>
      </x:c>
      <x:c r="K781" s="20" t="str"/>
      <x:c r="L781" s="20" t="str">
        <x:v>PMT-20271004-L007</x:v>
      </x:c>
      <x:c r="M781" s="26" t="n">
        <x:v>1125</x:v>
      </x:c>
      <x:c r="N781" s="26" t="n">
        <x:v>-1125</x:v>
      </x:c>
      <x:c r="O781" s="26" t="n">
        <x:v>1125</x:v>
      </x:c>
      <x:c r="P781" s="26" t="n">
        <x:v>0</x:v>
      </x:c>
      <x:c r="Q781" s="26" t="n">
        <x:v>0</x:v>
      </x:c>
      <x:c r="R781" s="26" t="n">
        <x:v>0</x:v>
      </x:c>
      <x:c r="S781" s="26" t="n">
        <x:v>0</x:v>
      </x:c>
      <x:c r="T781" s="26" t="n">
        <x:v>0</x:v>
      </x:c>
      <x:c r="U781" s="26" t="n">
        <x:v>0</x:v>
      </x:c>
      <x:c r="V781" s="26" t="n">
        <x:v>0</x:v>
      </x:c>
      <x:c r="W781" s="26" t="n">
        <x:v>0</x:v>
      </x:c>
      <x:c r="X781" s="26" t="n">
        <x:v>0</x:v>
      </x:c>
      <x:c r="Y781" s="26" t="n">
        <x:v>0</x:v>
      </x:c>
      <x:c r="Z781" s="35" t="str">
        <x:v>Receipt allocated to FIN-00777</x:v>
      </x:c>
    </x:row>
    <x:row r="782">
      <x:c r="A782" s="20" t="str">
        <x:v>FIN-00779</x:v>
      </x:c>
      <x:c r="B782" s="23" t="n">
        <x:v>46661</x:v>
      </x:c>
      <x:c r="C782" s="23" t="n">
        <x:v>46661</x:v>
      </x:c>
      <x:c r="D782" s="20" t="str">
        <x:v>TenantCharge</x:v>
      </x:c>
      <x:c r="E782" s="20" t="str">
        <x:v>Rent</x:v>
      </x:c>
      <x:c r="F782" s="20" t="str">
        <x:v>P009</x:v>
      </x:c>
      <x:c r="G782" s="20" t="str">
        <x:v>U009</x:v>
      </x:c>
      <x:c r="H782" s="20" t="str">
        <x:v>L009</x:v>
      </x:c>
      <x:c r="I782" s="20" t="str">
        <x:v>Bennett Garcia</x:v>
      </x:c>
      <x:c r="J782" s="35" t="str">
        <x:v>System scheduled charge</x:v>
      </x:c>
      <x:c r="K782" s="20" t="str"/>
      <x:c r="L782" s="20" t="str">
        <x:v>RENT-202710-L009</x:v>
      </x:c>
      <x:c r="M782" s="26" t="n">
        <x:v>1275</x:v>
      </x:c>
      <x:c r="N782" s="26" t="n">
        <x:v>1275</x:v>
      </x:c>
      <x:c r="O782" s="26" t="n">
        <x:v>0</x:v>
      </x:c>
      <x:c r="P782" s="26" t="n">
        <x:v>0</x:v>
      </x:c>
      <x:c r="Q782" s="26" t="n">
        <x:v>0</x:v>
      </x:c>
      <x:c r="R782" s="26" t="n">
        <x:v>0</x:v>
      </x:c>
      <x:c r="S782" s="26" t="n">
        <x:v>0</x:v>
      </x:c>
      <x:c r="T782" s="26" t="n">
        <x:v>1275</x:v>
      </x:c>
      <x:c r="U782" s="26" t="n">
        <x:v>0</x:v>
      </x:c>
      <x:c r="V782" s="26" t="n">
        <x:v>0</x:v>
      </x:c>
      <x:c r="W782" s="26" t="n">
        <x:v>0</x:v>
      </x:c>
      <x:c r="X782" s="26" t="n">
        <x:v>0</x:v>
      </x:c>
      <x:c r="Y782" s="26" t="n">
        <x:v>0</x:v>
      </x:c>
      <x:c r="Z782" s="35" t="str">
        <x:v>October 2027 rent</x:v>
      </x:c>
    </x:row>
    <x:row r="783">
      <x:c r="A783" s="20" t="str">
        <x:v>FIN-00780</x:v>
      </x:c>
      <x:c r="B783" s="23" t="n">
        <x:v>46663</x:v>
      </x:c>
      <x:c r="C783" s="23" t="n">
        <x:v>46663</x:v>
      </x:c>
      <x:c r="D783" s="20" t="str">
        <x:v>TenantReceipt</x:v>
      </x:c>
      <x:c r="E783" s="20" t="str">
        <x:v>Rent receipt</x:v>
      </x:c>
      <x:c r="F783" s="20" t="str">
        <x:v>P009</x:v>
      </x:c>
      <x:c r="G783" s="20" t="str">
        <x:v>U009</x:v>
      </x:c>
      <x:c r="H783" s="20" t="str">
        <x:v>L009</x:v>
      </x:c>
      <x:c r="I783" s="20" t="str">
        <x:v>Bennett Garcia</x:v>
      </x:c>
      <x:c r="J783" s="35" t="str">
        <x:v>Scanned money order</x:v>
      </x:c>
      <x:c r="K783" s="20" t="str">
        <x:v>SCN-0283</x:v>
      </x:c>
      <x:c r="L783" s="20" t="str">
        <x:v>PMT-20271003-L009</x:v>
      </x:c>
      <x:c r="M783" s="26" t="n">
        <x:v>1275</x:v>
      </x:c>
      <x:c r="N783" s="26" t="n">
        <x:v>-1275</x:v>
      </x:c>
      <x:c r="O783" s="26" t="n">
        <x:v>1275</x:v>
      </x:c>
      <x:c r="P783" s="26" t="n">
        <x:v>0</x:v>
      </x:c>
      <x:c r="Q783" s="26" t="n">
        <x:v>0</x:v>
      </x:c>
      <x:c r="R783" s="26" t="n">
        <x:v>0</x:v>
      </x:c>
      <x:c r="S783" s="26" t="n">
        <x:v>0</x:v>
      </x:c>
      <x:c r="T783" s="26" t="n">
        <x:v>0</x:v>
      </x:c>
      <x:c r="U783" s="26" t="n">
        <x:v>0</x:v>
      </x:c>
      <x:c r="V783" s="26" t="n">
        <x:v>0</x:v>
      </x:c>
      <x:c r="W783" s="26" t="n">
        <x:v>0</x:v>
      </x:c>
      <x:c r="X783" s="26" t="n">
        <x:v>0</x:v>
      </x:c>
      <x:c r="Y783" s="26" t="n">
        <x:v>0</x:v>
      </x:c>
      <x:c r="Z783" s="35" t="str">
        <x:v>Receipt allocated to FIN-00779</x:v>
      </x:c>
    </x:row>
    <x:row r="784">
      <x:c r="A784" s="20" t="str">
        <x:v>FIN-00781</x:v>
      </x:c>
      <x:c r="B784" s="23" t="n">
        <x:v>46661</x:v>
      </x:c>
      <x:c r="C784" s="23" t="n">
        <x:v>46661</x:v>
      </x:c>
      <x:c r="D784" s="20" t="str">
        <x:v>TenantCharge</x:v>
      </x:c>
      <x:c r="E784" s="20" t="str">
        <x:v>Rent</x:v>
      </x:c>
      <x:c r="F784" s="20" t="str">
        <x:v>P010</x:v>
      </x:c>
      <x:c r="G784" s="20" t="str">
        <x:v>U010</x:v>
      </x:c>
      <x:c r="H784" s="20" t="str">
        <x:v>L010</x:v>
      </x:c>
      <x:c r="I784" s="20" t="str">
        <x:v>Elena Lewis</x:v>
      </x:c>
      <x:c r="J784" s="35" t="str">
        <x:v>System scheduled charge</x:v>
      </x:c>
      <x:c r="K784" s="20" t="str"/>
      <x:c r="L784" s="20" t="str">
        <x:v>RENT-202710-L010</x:v>
      </x:c>
      <x:c r="M784" s="26" t="n">
        <x:v>1800</x:v>
      </x:c>
      <x:c r="N784" s="26" t="n">
        <x:v>1800</x:v>
      </x:c>
      <x:c r="O784" s="26" t="n">
        <x:v>0</x:v>
      </x:c>
      <x:c r="P784" s="26" t="n">
        <x:v>0</x:v>
      </x:c>
      <x:c r="Q784" s="26" t="n">
        <x:v>0</x:v>
      </x:c>
      <x:c r="R784" s="26" t="n">
        <x:v>0</x:v>
      </x:c>
      <x:c r="S784" s="26" t="n">
        <x:v>0</x:v>
      </x:c>
      <x:c r="T784" s="26" t="n">
        <x:v>1800</x:v>
      </x:c>
      <x:c r="U784" s="26" t="n">
        <x:v>0</x:v>
      </x:c>
      <x:c r="V784" s="26" t="n">
        <x:v>0</x:v>
      </x:c>
      <x:c r="W784" s="26" t="n">
        <x:v>0</x:v>
      </x:c>
      <x:c r="X784" s="26" t="n">
        <x:v>0</x:v>
      </x:c>
      <x:c r="Y784" s="26" t="n">
        <x:v>0</x:v>
      </x:c>
      <x:c r="Z784" s="35" t="str">
        <x:v>October 2027 rent</x:v>
      </x:c>
    </x:row>
    <x:row r="785">
      <x:c r="A785" s="20" t="str">
        <x:v>FIN-00782</x:v>
      </x:c>
      <x:c r="B785" s="23" t="n">
        <x:v>46664</x:v>
      </x:c>
      <x:c r="C785" s="23" t="n">
        <x:v>46664</x:v>
      </x:c>
      <x:c r="D785" s="20" t="str">
        <x:v>TenantReceipt</x:v>
      </x:c>
      <x:c r="E785" s="20" t="str">
        <x:v>Rent receipt</x:v>
      </x:c>
      <x:c r="F785" s="20" t="str">
        <x:v>P010</x:v>
      </x:c>
      <x:c r="G785" s="20" t="str">
        <x:v>U010</x:v>
      </x:c>
      <x:c r="H785" s="20" t="str">
        <x:v>L010</x:v>
      </x:c>
      <x:c r="I785" s="20" t="str">
        <x:v>Elena Lewis</x:v>
      </x:c>
      <x:c r="J785" s="35" t="str">
        <x:v>Manual ACH</x:v>
      </x:c>
      <x:c r="K785" s="20" t="str"/>
      <x:c r="L785" s="20" t="str">
        <x:v>PMT-20271004-L010</x:v>
      </x:c>
      <x:c r="M785" s="26" t="n">
        <x:v>1800</x:v>
      </x:c>
      <x:c r="N785" s="26" t="n">
        <x:v>-1800</x:v>
      </x:c>
      <x:c r="O785" s="26" t="n">
        <x:v>1800</x:v>
      </x:c>
      <x:c r="P785" s="26" t="n">
        <x:v>0</x:v>
      </x:c>
      <x:c r="Q785" s="26" t="n">
        <x:v>0</x:v>
      </x:c>
      <x:c r="R785" s="26" t="n">
        <x:v>0</x:v>
      </x:c>
      <x:c r="S785" s="26" t="n">
        <x:v>0</x:v>
      </x:c>
      <x:c r="T785" s="26" t="n">
        <x:v>0</x:v>
      </x:c>
      <x:c r="U785" s="26" t="n">
        <x:v>0</x:v>
      </x:c>
      <x:c r="V785" s="26" t="n">
        <x:v>0</x:v>
      </x:c>
      <x:c r="W785" s="26" t="n">
        <x:v>0</x:v>
      </x:c>
      <x:c r="X785" s="26" t="n">
        <x:v>0</x:v>
      </x:c>
      <x:c r="Y785" s="26" t="n">
        <x:v>0</x:v>
      </x:c>
      <x:c r="Z785" s="35" t="str">
        <x:v>Receipt allocated to FIN-00781</x:v>
      </x:c>
    </x:row>
    <x:row r="786">
      <x:c r="A786" s="20" t="str">
        <x:v>FIN-00783</x:v>
      </x:c>
      <x:c r="B786" s="23" t="n">
        <x:v>46661</x:v>
      </x:c>
      <x:c r="C786" s="23" t="n">
        <x:v>46661</x:v>
      </x:c>
      <x:c r="D786" s="20" t="str">
        <x:v>TenantCharge</x:v>
      </x:c>
      <x:c r="E786" s="20" t="str">
        <x:v>Rent</x:v>
      </x:c>
      <x:c r="F786" s="20" t="str">
        <x:v>P011</x:v>
      </x:c>
      <x:c r="G786" s="20" t="str">
        <x:v>U011</x:v>
      </x:c>
      <x:c r="H786" s="20" t="str">
        <x:v>L011</x:v>
      </x:c>
      <x:c r="I786" s="20" t="str">
        <x:v>Hector Reed</x:v>
      </x:c>
      <x:c r="J786" s="35" t="str">
        <x:v>System scheduled charge</x:v>
      </x:c>
      <x:c r="K786" s="20" t="str"/>
      <x:c r="L786" s="20" t="str">
        <x:v>RENT-202710-L011</x:v>
      </x:c>
      <x:c r="M786" s="26" t="n">
        <x:v>1425</x:v>
      </x:c>
      <x:c r="N786" s="26" t="n">
        <x:v>1425</x:v>
      </x:c>
      <x:c r="O786" s="26" t="n">
        <x:v>0</x:v>
      </x:c>
      <x:c r="P786" s="26" t="n">
        <x:v>0</x:v>
      </x:c>
      <x:c r="Q786" s="26" t="n">
        <x:v>0</x:v>
      </x:c>
      <x:c r="R786" s="26" t="n">
        <x:v>0</x:v>
      </x:c>
      <x:c r="S786" s="26" t="n">
        <x:v>0</x:v>
      </x:c>
      <x:c r="T786" s="26" t="n">
        <x:v>1425</x:v>
      </x:c>
      <x:c r="U786" s="26" t="n">
        <x:v>0</x:v>
      </x:c>
      <x:c r="V786" s="26" t="n">
        <x:v>0</x:v>
      </x:c>
      <x:c r="W786" s="26" t="n">
        <x:v>0</x:v>
      </x:c>
      <x:c r="X786" s="26" t="n">
        <x:v>0</x:v>
      </x:c>
      <x:c r="Y786" s="26" t="n">
        <x:v>0</x:v>
      </x:c>
      <x:c r="Z786" s="35" t="str">
        <x:v>October 2027 rent</x:v>
      </x:c>
    </x:row>
    <x:row r="787">
      <x:c r="A787" s="20" t="str">
        <x:v>FIN-00784</x:v>
      </x:c>
      <x:c r="B787" s="23" t="n">
        <x:v>46663</x:v>
      </x:c>
      <x:c r="C787" s="23" t="n">
        <x:v>46663</x:v>
      </x:c>
      <x:c r="D787" s="20" t="str">
        <x:v>TenantReceipt</x:v>
      </x:c>
      <x:c r="E787" s="20" t="str">
        <x:v>Rent receipt</x:v>
      </x:c>
      <x:c r="F787" s="20" t="str">
        <x:v>P011</x:v>
      </x:c>
      <x:c r="G787" s="20" t="str">
        <x:v>U011</x:v>
      </x:c>
      <x:c r="H787" s="20" t="str">
        <x:v>L011</x:v>
      </x:c>
      <x:c r="I787" s="20" t="str">
        <x:v>Hector Reed</x:v>
      </x:c>
      <x:c r="J787" s="35" t="str">
        <x:v>Portal card</x:v>
      </x:c>
      <x:c r="K787" s="20" t="str"/>
      <x:c r="L787" s="20" t="str">
        <x:v>PMT-20271003-L011-A</x:v>
      </x:c>
      <x:c r="M787" s="26" t="n">
        <x:v>855</x:v>
      </x:c>
      <x:c r="N787" s="26" t="n">
        <x:v>-855</x:v>
      </x:c>
      <x:c r="O787" s="26" t="n">
        <x:v>855</x:v>
      </x:c>
      <x:c r="P787" s="26" t="n">
        <x:v>0</x:v>
      </x:c>
      <x:c r="Q787" s="26" t="n">
        <x:v>0</x:v>
      </x:c>
      <x:c r="R787" s="26" t="n">
        <x:v>0</x:v>
      </x:c>
      <x:c r="S787" s="26" t="n">
        <x:v>0</x:v>
      </x:c>
      <x:c r="T787" s="26" t="n">
        <x:v>0</x:v>
      </x:c>
      <x:c r="U787" s="26" t="n">
        <x:v>0</x:v>
      </x:c>
      <x:c r="V787" s="26" t="n">
        <x:v>0</x:v>
      </x:c>
      <x:c r="W787" s="26" t="n">
        <x:v>0</x:v>
      </x:c>
      <x:c r="X787" s="26" t="n">
        <x:v>0</x:v>
      </x:c>
      <x:c r="Y787" s="26" t="n">
        <x:v>0</x:v>
      </x:c>
      <x:c r="Z787" s="35" t="str">
        <x:v>Receipt allocated to FIN-00783</x:v>
      </x:c>
    </x:row>
    <x:row r="788">
      <x:c r="A788" s="20" t="str">
        <x:v>FIN-00785</x:v>
      </x:c>
      <x:c r="B788" s="23" t="n">
        <x:v>46666</x:v>
      </x:c>
      <x:c r="C788" s="23" t="n">
        <x:v>46666</x:v>
      </x:c>
      <x:c r="D788" s="20" t="str">
        <x:v>TenantCharge</x:v>
      </x:c>
      <x:c r="E788" s="20" t="str">
        <x:v>Late fee</x:v>
      </x:c>
      <x:c r="F788" s="20" t="str">
        <x:v>P011</x:v>
      </x:c>
      <x:c r="G788" s="20" t="str">
        <x:v>U011</x:v>
      </x:c>
      <x:c r="H788" s="20" t="str">
        <x:v>L011</x:v>
      </x:c>
      <x:c r="I788" s="20" t="str">
        <x:v>Hector Reed</x:v>
      </x:c>
      <x:c r="J788" s="35" t="str">
        <x:v>System automation</x:v>
      </x:c>
      <x:c r="K788" s="20" t="str"/>
      <x:c r="L788" s="20" t="str">
        <x:v>LATE-202710-L011</x:v>
      </x:c>
      <x:c r="M788" s="26" t="n">
        <x:v>50</x:v>
      </x:c>
      <x:c r="N788" s="26" t="n">
        <x:v>50</x:v>
      </x:c>
      <x:c r="O788" s="26" t="n">
        <x:v>0</x:v>
      </x:c>
      <x:c r="P788" s="26" t="n">
        <x:v>0</x:v>
      </x:c>
      <x:c r="Q788" s="26" t="n">
        <x:v>0</x:v>
      </x:c>
      <x:c r="R788" s="26" t="n">
        <x:v>0</x:v>
      </x:c>
      <x:c r="S788" s="26" t="n">
        <x:v>0</x:v>
      </x:c>
      <x:c r="T788" s="26" t="n">
        <x:v>50</x:v>
      </x:c>
      <x:c r="U788" s="26" t="n">
        <x:v>0</x:v>
      </x:c>
      <x:c r="V788" s="26" t="n">
        <x:v>0</x:v>
      </x:c>
      <x:c r="W788" s="26" t="n">
        <x:v>0</x:v>
      </x:c>
      <x:c r="X788" s="26" t="n">
        <x:v>0</x:v>
      </x:c>
      <x:c r="Y788" s="26" t="n">
        <x:v>0</x:v>
      </x:c>
      <x:c r="Z788" s="35" t="str">
        <x:v>Synthetic lease-authorized late fee after partial payment</x:v>
      </x:c>
    </x:row>
    <x:row r="789">
      <x:c r="A789" s="20" t="str">
        <x:v>FIN-00786</x:v>
      </x:c>
      <x:c r="B789" s="23" t="n">
        <x:v>46672</x:v>
      </x:c>
      <x:c r="C789" s="23" t="n">
        <x:v>46672</x:v>
      </x:c>
      <x:c r="D789" s="20" t="str">
        <x:v>TenantReceipt</x:v>
      </x:c>
      <x:c r="E789" s="20" t="str">
        <x:v>Rent receipt</x:v>
      </x:c>
      <x:c r="F789" s="20" t="str">
        <x:v>P011</x:v>
      </x:c>
      <x:c r="G789" s="20" t="str">
        <x:v>U011</x:v>
      </x:c>
      <x:c r="H789" s="20" t="str">
        <x:v>L011</x:v>
      </x:c>
      <x:c r="I789" s="20" t="str">
        <x:v>Hector Reed</x:v>
      </x:c>
      <x:c r="J789" s="35" t="str">
        <x:v>Scanned money order</x:v>
      </x:c>
      <x:c r="K789" s="20" t="str">
        <x:v>SCN-0284</x:v>
      </x:c>
      <x:c r="L789" s="20" t="str">
        <x:v>PMT-20271012-L011-B</x:v>
      </x:c>
      <x:c r="M789" s="26" t="n">
        <x:v>620</x:v>
      </x:c>
      <x:c r="N789" s="26" t="n">
        <x:v>-620</x:v>
      </x:c>
      <x:c r="O789" s="26" t="n">
        <x:v>620</x:v>
      </x:c>
      <x:c r="P789" s="26" t="n">
        <x:v>0</x:v>
      </x:c>
      <x:c r="Q789" s="26" t="n">
        <x:v>0</x:v>
      </x:c>
      <x:c r="R789" s="26" t="n">
        <x:v>0</x:v>
      </x:c>
      <x:c r="S789" s="26" t="n">
        <x:v>0</x:v>
      </x:c>
      <x:c r="T789" s="26" t="n">
        <x:v>0</x:v>
      </x:c>
      <x:c r="U789" s="26" t="n">
        <x:v>0</x:v>
      </x:c>
      <x:c r="V789" s="26" t="n">
        <x:v>0</x:v>
      </x:c>
      <x:c r="W789" s="26" t="n">
        <x:v>0</x:v>
      </x:c>
      <x:c r="X789" s="26" t="n">
        <x:v>0</x:v>
      </x:c>
      <x:c r="Y789" s="26" t="n">
        <x:v>0</x:v>
      </x:c>
      <x:c r="Z789" s="35" t="str">
        <x:v>Receipt allocated to FIN-00785</x:v>
      </x:c>
    </x:row>
    <x:row r="790">
      <x:c r="A790" s="20" t="str">
        <x:v>FIN-00787</x:v>
      </x:c>
      <x:c r="B790" s="23" t="n">
        <x:v>46661</x:v>
      </x:c>
      <x:c r="C790" s="23" t="n">
        <x:v>46661</x:v>
      </x:c>
      <x:c r="D790" s="20" t="str">
        <x:v>TenantCharge</x:v>
      </x:c>
      <x:c r="E790" s="20" t="str">
        <x:v>Rent</x:v>
      </x:c>
      <x:c r="F790" s="20" t="str">
        <x:v>P012</x:v>
      </x:c>
      <x:c r="G790" s="20" t="str">
        <x:v>U012</x:v>
      </x:c>
      <x:c r="H790" s="20" t="str">
        <x:v>L012</x:v>
      </x:c>
      <x:c r="I790" s="20" t="str">
        <x:v>Keira Adams</x:v>
      </x:c>
      <x:c r="J790" s="35" t="str">
        <x:v>System scheduled charge</x:v>
      </x:c>
      <x:c r="K790" s="20" t="str"/>
      <x:c r="L790" s="20" t="str">
        <x:v>RENT-202710-L012</x:v>
      </x:c>
      <x:c r="M790" s="26" t="n">
        <x:v>1050</x:v>
      </x:c>
      <x:c r="N790" s="26" t="n">
        <x:v>1050</x:v>
      </x:c>
      <x:c r="O790" s="26" t="n">
        <x:v>0</x:v>
      </x:c>
      <x:c r="P790" s="26" t="n">
        <x:v>0</x:v>
      </x:c>
      <x:c r="Q790" s="26" t="n">
        <x:v>0</x:v>
      </x:c>
      <x:c r="R790" s="26" t="n">
        <x:v>0</x:v>
      </x:c>
      <x:c r="S790" s="26" t="n">
        <x:v>0</x:v>
      </x:c>
      <x:c r="T790" s="26" t="n">
        <x:v>1050</x:v>
      </x:c>
      <x:c r="U790" s="26" t="n">
        <x:v>0</x:v>
      </x:c>
      <x:c r="V790" s="26" t="n">
        <x:v>0</x:v>
      </x:c>
      <x:c r="W790" s="26" t="n">
        <x:v>0</x:v>
      </x:c>
      <x:c r="X790" s="26" t="n">
        <x:v>0</x:v>
      </x:c>
      <x:c r="Y790" s="26" t="n">
        <x:v>0</x:v>
      </x:c>
      <x:c r="Z790" s="35" t="str">
        <x:v>October 2027 rent</x:v>
      </x:c>
    </x:row>
    <x:row r="791">
      <x:c r="A791" s="20" t="str">
        <x:v>FIN-00788</x:v>
      </x:c>
      <x:c r="B791" s="23" t="n">
        <x:v>46663</x:v>
      </x:c>
      <x:c r="C791" s="23" t="n">
        <x:v>46663</x:v>
      </x:c>
      <x:c r="D791" s="20" t="str">
        <x:v>TenantReceipt</x:v>
      </x:c>
      <x:c r="E791" s="20" t="str">
        <x:v>Rent receipt</x:v>
      </x:c>
      <x:c r="F791" s="20" t="str">
        <x:v>P012</x:v>
      </x:c>
      <x:c r="G791" s="20" t="str">
        <x:v>U012</x:v>
      </x:c>
      <x:c r="H791" s="20" t="str">
        <x:v>L012</x:v>
      </x:c>
      <x:c r="I791" s="20" t="str">
        <x:v>Keira Adams</x:v>
      </x:c>
      <x:c r="J791" s="35" t="str">
        <x:v>Scanned check</x:v>
      </x:c>
      <x:c r="K791" s="20" t="str">
        <x:v>SCN-0285</x:v>
      </x:c>
      <x:c r="L791" s="20" t="str">
        <x:v>PMT-20271003-L012</x:v>
      </x:c>
      <x:c r="M791" s="26" t="n">
        <x:v>1050</x:v>
      </x:c>
      <x:c r="N791" s="26" t="n">
        <x:v>-1050</x:v>
      </x:c>
      <x:c r="O791" s="26" t="n">
        <x:v>1050</x:v>
      </x:c>
      <x:c r="P791" s="26" t="n">
        <x:v>0</x:v>
      </x:c>
      <x:c r="Q791" s="26" t="n">
        <x:v>0</x:v>
      </x:c>
      <x:c r="R791" s="26" t="n">
        <x:v>0</x:v>
      </x:c>
      <x:c r="S791" s="26" t="n">
        <x:v>0</x:v>
      </x:c>
      <x:c r="T791" s="26" t="n">
        <x:v>0</x:v>
      </x:c>
      <x:c r="U791" s="26" t="n">
        <x:v>0</x:v>
      </x:c>
      <x:c r="V791" s="26" t="n">
        <x:v>0</x:v>
      </x:c>
      <x:c r="W791" s="26" t="n">
        <x:v>0</x:v>
      </x:c>
      <x:c r="X791" s="26" t="n">
        <x:v>0</x:v>
      </x:c>
      <x:c r="Y791" s="26" t="n">
        <x:v>0</x:v>
      </x:c>
      <x:c r="Z791" s="35" t="str">
        <x:v>Receipt allocated to FIN-00787</x:v>
      </x:c>
    </x:row>
    <x:row r="792">
      <x:c r="A792" s="20" t="str">
        <x:v>FIN-00789</x:v>
      </x:c>
      <x:c r="B792" s="23" t="n">
        <x:v>46661</x:v>
      </x:c>
      <x:c r="C792" s="23" t="n">
        <x:v>46661</x:v>
      </x:c>
      <x:c r="D792" s="20" t="str">
        <x:v>TenantCharge</x:v>
      </x:c>
      <x:c r="E792" s="20" t="str">
        <x:v>Rent</x:v>
      </x:c>
      <x:c r="F792" s="20" t="str">
        <x:v>P013</x:v>
      </x:c>
      <x:c r="G792" s="20" t="str">
        <x:v>U013</x:v>
      </x:c>
      <x:c r="H792" s="20" t="str">
        <x:v>L013</x:v>
      </x:c>
      <x:c r="I792" s="20" t="str">
        <x:v>Nolan Flores</x:v>
      </x:c>
      <x:c r="J792" s="35" t="str">
        <x:v>System scheduled charge</x:v>
      </x:c>
      <x:c r="K792" s="20" t="str"/>
      <x:c r="L792" s="20" t="str">
        <x:v>RENT-202710-L013</x:v>
      </x:c>
      <x:c r="M792" s="26" t="n">
        <x:v>1575</x:v>
      </x:c>
      <x:c r="N792" s="26" t="n">
        <x:v>1575</x:v>
      </x:c>
      <x:c r="O792" s="26" t="n">
        <x:v>0</x:v>
      </x:c>
      <x:c r="P792" s="26" t="n">
        <x:v>0</x:v>
      </x:c>
      <x:c r="Q792" s="26" t="n">
        <x:v>0</x:v>
      </x:c>
      <x:c r="R792" s="26" t="n">
        <x:v>0</x:v>
      </x:c>
      <x:c r="S792" s="26" t="n">
        <x:v>0</x:v>
      </x:c>
      <x:c r="T792" s="26" t="n">
        <x:v>1575</x:v>
      </x:c>
      <x:c r="U792" s="26" t="n">
        <x:v>0</x:v>
      </x:c>
      <x:c r="V792" s="26" t="n">
        <x:v>0</x:v>
      </x:c>
      <x:c r="W792" s="26" t="n">
        <x:v>0</x:v>
      </x:c>
      <x:c r="X792" s="26" t="n">
        <x:v>0</x:v>
      </x:c>
      <x:c r="Y792" s="26" t="n">
        <x:v>0</x:v>
      </x:c>
      <x:c r="Z792" s="35" t="str">
        <x:v>October 2027 rent</x:v>
      </x:c>
    </x:row>
    <x:row r="793">
      <x:c r="A793" s="20" t="str">
        <x:v>FIN-00790</x:v>
      </x:c>
      <x:c r="B793" s="23" t="n">
        <x:v>46666</x:v>
      </x:c>
      <x:c r="C793" s="23" t="n">
        <x:v>46666</x:v>
      </x:c>
      <x:c r="D793" s="20" t="str">
        <x:v>TenantCharge</x:v>
      </x:c>
      <x:c r="E793" s="20" t="str">
        <x:v>Late fee</x:v>
      </x:c>
      <x:c r="F793" s="20" t="str">
        <x:v>P013</x:v>
      </x:c>
      <x:c r="G793" s="20" t="str">
        <x:v>U013</x:v>
      </x:c>
      <x:c r="H793" s="20" t="str">
        <x:v>L013</x:v>
      </x:c>
      <x:c r="I793" s="20" t="str">
        <x:v>Nolan Flores</x:v>
      </x:c>
      <x:c r="J793" s="35" t="str">
        <x:v>System automation</x:v>
      </x:c>
      <x:c r="K793" s="20" t="str"/>
      <x:c r="L793" s="20" t="str">
        <x:v>LATE-202710-L013</x:v>
      </x:c>
      <x:c r="M793" s="26" t="n">
        <x:v>50</x:v>
      </x:c>
      <x:c r="N793" s="26" t="n">
        <x:v>50</x:v>
      </x:c>
      <x:c r="O793" s="26" t="n">
        <x:v>0</x:v>
      </x:c>
      <x:c r="P793" s="26" t="n">
        <x:v>0</x:v>
      </x:c>
      <x:c r="Q793" s="26" t="n">
        <x:v>0</x:v>
      </x:c>
      <x:c r="R793" s="26" t="n">
        <x:v>0</x:v>
      </x:c>
      <x:c r="S793" s="26" t="n">
        <x:v>0</x:v>
      </x:c>
      <x:c r="T793" s="26" t="n">
        <x:v>50</x:v>
      </x:c>
      <x:c r="U793" s="26" t="n">
        <x:v>0</x:v>
      </x:c>
      <x:c r="V793" s="26" t="n">
        <x:v>0</x:v>
      </x:c>
      <x:c r="W793" s="26" t="n">
        <x:v>0</x:v>
      </x:c>
      <x:c r="X793" s="26" t="n">
        <x:v>0</x:v>
      </x:c>
      <x:c r="Y793" s="26" t="n">
        <x:v>0</x:v>
      </x:c>
      <x:c r="Z793" s="35" t="str">
        <x:v>Synthetic lease-authorized late fee</x:v>
      </x:c>
    </x:row>
    <x:row r="794">
      <x:c r="A794" s="20" t="str">
        <x:v>FIN-00791</x:v>
      </x:c>
      <x:c r="B794" s="23" t="n">
        <x:v>46668</x:v>
      </x:c>
      <x:c r="C794" s="23" t="n">
        <x:v>46668</x:v>
      </x:c>
      <x:c r="D794" s="20" t="str">
        <x:v>TenantReceipt</x:v>
      </x:c>
      <x:c r="E794" s="20" t="str">
        <x:v>Rent receipt</x:v>
      </x:c>
      <x:c r="F794" s="20" t="str">
        <x:v>P013</x:v>
      </x:c>
      <x:c r="G794" s="20" t="str">
        <x:v>U013</x:v>
      </x:c>
      <x:c r="H794" s="20" t="str">
        <x:v>L013</x:v>
      </x:c>
      <x:c r="I794" s="20" t="str">
        <x:v>Nolan Flores</x:v>
      </x:c>
      <x:c r="J794" s="35" t="str">
        <x:v>Scanned check</x:v>
      </x:c>
      <x:c r="K794" s="20" t="str">
        <x:v>SCN-0286</x:v>
      </x:c>
      <x:c r="L794" s="20" t="str">
        <x:v>PMT-20271008-L013</x:v>
      </x:c>
      <x:c r="M794" s="26" t="n">
        <x:v>1625</x:v>
      </x:c>
      <x:c r="N794" s="26" t="n">
        <x:v>-1625</x:v>
      </x:c>
      <x:c r="O794" s="26" t="n">
        <x:v>1625</x:v>
      </x:c>
      <x:c r="P794" s="26" t="n">
        <x:v>0</x:v>
      </x:c>
      <x:c r="Q794" s="26" t="n">
        <x:v>0</x:v>
      </x:c>
      <x:c r="R794" s="26" t="n">
        <x:v>0</x:v>
      </x:c>
      <x:c r="S794" s="26" t="n">
        <x:v>0</x:v>
      </x:c>
      <x:c r="T794" s="26" t="n">
        <x:v>0</x:v>
      </x:c>
      <x:c r="U794" s="26" t="n">
        <x:v>0</x:v>
      </x:c>
      <x:c r="V794" s="26" t="n">
        <x:v>0</x:v>
      </x:c>
      <x:c r="W794" s="26" t="n">
        <x:v>0</x:v>
      </x:c>
      <x:c r="X794" s="26" t="n">
        <x:v>0</x:v>
      </x:c>
      <x:c r="Y794" s="26" t="n">
        <x:v>0</x:v>
      </x:c>
      <x:c r="Z794" s="35" t="str">
        <x:v>Receipt allocated to FIN-00790</x:v>
      </x:c>
    </x:row>
    <x:row r="795">
      <x:c r="A795" s="20" t="str">
        <x:v>FIN-00792</x:v>
      </x:c>
      <x:c r="B795" s="23" t="n">
        <x:v>46661</x:v>
      </x:c>
      <x:c r="C795" s="23" t="n">
        <x:v>46661</x:v>
      </x:c>
      <x:c r="D795" s="20" t="str">
        <x:v>TenantCharge</x:v>
      </x:c>
      <x:c r="E795" s="20" t="str">
        <x:v>Rent</x:v>
      </x:c>
      <x:c r="F795" s="20" t="str">
        <x:v>P015</x:v>
      </x:c>
      <x:c r="G795" s="20" t="str">
        <x:v>U015</x:v>
      </x:c>
      <x:c r="H795" s="20" t="str">
        <x:v>L015</x:v>
      </x:c>
      <x:c r="I795" s="20" t="str">
        <x:v>Uri Price</x:v>
      </x:c>
      <x:c r="J795" s="35" t="str">
        <x:v>System scheduled charge</x:v>
      </x:c>
      <x:c r="K795" s="20" t="str"/>
      <x:c r="L795" s="20" t="str">
        <x:v>RENT-202710-L015</x:v>
      </x:c>
      <x:c r="M795" s="26" t="n">
        <x:v>1725</x:v>
      </x:c>
      <x:c r="N795" s="26" t="n">
        <x:v>1725</x:v>
      </x:c>
      <x:c r="O795" s="26" t="n">
        <x:v>0</x:v>
      </x:c>
      <x:c r="P795" s="26" t="n">
        <x:v>0</x:v>
      </x:c>
      <x:c r="Q795" s="26" t="n">
        <x:v>0</x:v>
      </x:c>
      <x:c r="R795" s="26" t="n">
        <x:v>0</x:v>
      </x:c>
      <x:c r="S795" s="26" t="n">
        <x:v>0</x:v>
      </x:c>
      <x:c r="T795" s="26" t="n">
        <x:v>1725</x:v>
      </x:c>
      <x:c r="U795" s="26" t="n">
        <x:v>0</x:v>
      </x:c>
      <x:c r="V795" s="26" t="n">
        <x:v>0</x:v>
      </x:c>
      <x:c r="W795" s="26" t="n">
        <x:v>0</x:v>
      </x:c>
      <x:c r="X795" s="26" t="n">
        <x:v>0</x:v>
      </x:c>
      <x:c r="Y795" s="26" t="n">
        <x:v>0</x:v>
      </x:c>
      <x:c r="Z795" s="35" t="str">
        <x:v>October 2027 rent</x:v>
      </x:c>
    </x:row>
    <x:row r="796">
      <x:c r="A796" s="20" t="str">
        <x:v>FIN-00793</x:v>
      </x:c>
      <x:c r="B796" s="23" t="n">
        <x:v>46663</x:v>
      </x:c>
      <x:c r="C796" s="23" t="n">
        <x:v>46663</x:v>
      </x:c>
      <x:c r="D796" s="20" t="str">
        <x:v>TenantReceipt</x:v>
      </x:c>
      <x:c r="E796" s="20" t="str">
        <x:v>Rent receipt</x:v>
      </x:c>
      <x:c r="F796" s="20" t="str">
        <x:v>P015</x:v>
      </x:c>
      <x:c r="G796" s="20" t="str">
        <x:v>U015</x:v>
      </x:c>
      <x:c r="H796" s="20" t="str">
        <x:v>L015</x:v>
      </x:c>
      <x:c r="I796" s="20" t="str">
        <x:v>Uri Price</x:v>
      </x:c>
      <x:c r="J796" s="35" t="str">
        <x:v>Portal card</x:v>
      </x:c>
      <x:c r="K796" s="20" t="str"/>
      <x:c r="L796" s="20" t="str">
        <x:v>PMT-20271003-L015</x:v>
      </x:c>
      <x:c r="M796" s="26" t="n">
        <x:v>1725</x:v>
      </x:c>
      <x:c r="N796" s="26" t="n">
        <x:v>-1725</x:v>
      </x:c>
      <x:c r="O796" s="26" t="n">
        <x:v>1725</x:v>
      </x:c>
      <x:c r="P796" s="26" t="n">
        <x:v>0</x:v>
      </x:c>
      <x:c r="Q796" s="26" t="n">
        <x:v>0</x:v>
      </x:c>
      <x:c r="R796" s="26" t="n">
        <x:v>0</x:v>
      </x:c>
      <x:c r="S796" s="26" t="n">
        <x:v>0</x:v>
      </x:c>
      <x:c r="T796" s="26" t="n">
        <x:v>0</x:v>
      </x:c>
      <x:c r="U796" s="26" t="n">
        <x:v>0</x:v>
      </x:c>
      <x:c r="V796" s="26" t="n">
        <x:v>0</x:v>
      </x:c>
      <x:c r="W796" s="26" t="n">
        <x:v>0</x:v>
      </x:c>
      <x:c r="X796" s="26" t="n">
        <x:v>0</x:v>
      </x:c>
      <x:c r="Y796" s="26" t="n">
        <x:v>0</x:v>
      </x:c>
      <x:c r="Z796" s="35" t="str">
        <x:v>Receipt allocated to FIN-00792</x:v>
      </x:c>
    </x:row>
    <x:row r="797">
      <x:c r="A797" s="20" t="str">
        <x:v>FIN-00794</x:v>
      </x:c>
      <x:c r="B797" s="23" t="n">
        <x:v>46661</x:v>
      </x:c>
      <x:c r="C797" s="23" t="n">
        <x:v>46661</x:v>
      </x:c>
      <x:c r="D797" s="20" t="str">
        <x:v>TenantCharge</x:v>
      </x:c>
      <x:c r="E797" s="20" t="str">
        <x:v>Rent</x:v>
      </x:c>
      <x:c r="F797" s="20" t="str">
        <x:v>P016</x:v>
      </x:c>
      <x:c r="G797" s="20" t="str">
        <x:v>U016</x:v>
      </x:c>
      <x:c r="H797" s="20" t="str">
        <x:v>L016</x:v>
      </x:c>
      <x:c r="I797" s="20" t="str">
        <x:v>Avery Brooks</x:v>
      </x:c>
      <x:c r="J797" s="35" t="str">
        <x:v>System scheduled charge</x:v>
      </x:c>
      <x:c r="K797" s="20" t="str"/>
      <x:c r="L797" s="20" t="str">
        <x:v>RENT-202710-L016</x:v>
      </x:c>
      <x:c r="M797" s="26" t="n">
        <x:v>1350</x:v>
      </x:c>
      <x:c r="N797" s="26" t="n">
        <x:v>1350</x:v>
      </x:c>
      <x:c r="O797" s="26" t="n">
        <x:v>0</x:v>
      </x:c>
      <x:c r="P797" s="26" t="n">
        <x:v>0</x:v>
      </x:c>
      <x:c r="Q797" s="26" t="n">
        <x:v>0</x:v>
      </x:c>
      <x:c r="R797" s="26" t="n">
        <x:v>0</x:v>
      </x:c>
      <x:c r="S797" s="26" t="n">
        <x:v>0</x:v>
      </x:c>
      <x:c r="T797" s="26" t="n">
        <x:v>1350</x:v>
      </x:c>
      <x:c r="U797" s="26" t="n">
        <x:v>0</x:v>
      </x:c>
      <x:c r="V797" s="26" t="n">
        <x:v>0</x:v>
      </x:c>
      <x:c r="W797" s="26" t="n">
        <x:v>0</x:v>
      </x:c>
      <x:c r="X797" s="26" t="n">
        <x:v>0</x:v>
      </x:c>
      <x:c r="Y797" s="26" t="n">
        <x:v>0</x:v>
      </x:c>
      <x:c r="Z797" s="35" t="str">
        <x:v>October 2027 rent</x:v>
      </x:c>
    </x:row>
    <x:row r="798">
      <x:c r="A798" s="20" t="str">
        <x:v>FIN-00795</x:v>
      </x:c>
      <x:c r="B798" s="23" t="n">
        <x:v>46664</x:v>
      </x:c>
      <x:c r="C798" s="23" t="n">
        <x:v>46664</x:v>
      </x:c>
      <x:c r="D798" s="20" t="str">
        <x:v>TenantReceipt</x:v>
      </x:c>
      <x:c r="E798" s="20" t="str">
        <x:v>Rent receipt</x:v>
      </x:c>
      <x:c r="F798" s="20" t="str">
        <x:v>P016</x:v>
      </x:c>
      <x:c r="G798" s="20" t="str">
        <x:v>U016</x:v>
      </x:c>
      <x:c r="H798" s="20" t="str">
        <x:v>L016</x:v>
      </x:c>
      <x:c r="I798" s="20" t="str">
        <x:v>Avery Brooks</x:v>
      </x:c>
      <x:c r="J798" s="35" t="str">
        <x:v>Scanned check</x:v>
      </x:c>
      <x:c r="K798" s="20" t="str">
        <x:v>SCN-0287</x:v>
      </x:c>
      <x:c r="L798" s="20" t="str">
        <x:v>PMT-20271004-L016</x:v>
      </x:c>
      <x:c r="M798" s="26" t="n">
        <x:v>1350</x:v>
      </x:c>
      <x:c r="N798" s="26" t="n">
        <x:v>-1350</x:v>
      </x:c>
      <x:c r="O798" s="26" t="n">
        <x:v>1350</x:v>
      </x:c>
      <x:c r="P798" s="26" t="n">
        <x:v>0</x:v>
      </x:c>
      <x:c r="Q798" s="26" t="n">
        <x:v>0</x:v>
      </x:c>
      <x:c r="R798" s="26" t="n">
        <x:v>0</x:v>
      </x:c>
      <x:c r="S798" s="26" t="n">
        <x:v>0</x:v>
      </x:c>
      <x:c r="T798" s="26" t="n">
        <x:v>0</x:v>
      </x:c>
      <x:c r="U798" s="26" t="n">
        <x:v>0</x:v>
      </x:c>
      <x:c r="V798" s="26" t="n">
        <x:v>0</x:v>
      </x:c>
      <x:c r="W798" s="26" t="n">
        <x:v>0</x:v>
      </x:c>
      <x:c r="X798" s="26" t="n">
        <x:v>0</x:v>
      </x:c>
      <x:c r="Y798" s="26" t="n">
        <x:v>0</x:v>
      </x:c>
      <x:c r="Z798" s="35" t="str">
        <x:v>Receipt allocated to FIN-00794</x:v>
      </x:c>
    </x:row>
    <x:row r="799">
      <x:c r="A799" s="20" t="str">
        <x:v>FIN-00796</x:v>
      </x:c>
      <x:c r="B799" s="23" t="n">
        <x:v>46661</x:v>
      </x:c>
      <x:c r="C799" s="23" t="n">
        <x:v>46661</x:v>
      </x:c>
      <x:c r="D799" s="20" t="str">
        <x:v>TenantCharge</x:v>
      </x:c>
      <x:c r="E799" s="20" t="str">
        <x:v>Rent</x:v>
      </x:c>
      <x:c r="F799" s="20" t="str">
        <x:v>P018</x:v>
      </x:c>
      <x:c r="G799" s="20" t="str">
        <x:v>U018</x:v>
      </x:c>
      <x:c r="H799" s="20" t="str">
        <x:v>L018</x:v>
      </x:c>
      <x:c r="I799" s="20" t="str">
        <x:v>Gray Lewis</x:v>
      </x:c>
      <x:c r="J799" s="35" t="str">
        <x:v>System scheduled charge</x:v>
      </x:c>
      <x:c r="K799" s="20" t="str"/>
      <x:c r="L799" s="20" t="str">
        <x:v>RENT-202710-L018</x:v>
      </x:c>
      <x:c r="M799" s="26" t="n">
        <x:v>1500</x:v>
      </x:c>
      <x:c r="N799" s="26" t="n">
        <x:v>1500</x:v>
      </x:c>
      <x:c r="O799" s="26" t="n">
        <x:v>0</x:v>
      </x:c>
      <x:c r="P799" s="26" t="n">
        <x:v>0</x:v>
      </x:c>
      <x:c r="Q799" s="26" t="n">
        <x:v>0</x:v>
      </x:c>
      <x:c r="R799" s="26" t="n">
        <x:v>0</x:v>
      </x:c>
      <x:c r="S799" s="26" t="n">
        <x:v>0</x:v>
      </x:c>
      <x:c r="T799" s="26" t="n">
        <x:v>1500</x:v>
      </x:c>
      <x:c r="U799" s="26" t="n">
        <x:v>0</x:v>
      </x:c>
      <x:c r="V799" s="26" t="n">
        <x:v>0</x:v>
      </x:c>
      <x:c r="W799" s="26" t="n">
        <x:v>0</x:v>
      </x:c>
      <x:c r="X799" s="26" t="n">
        <x:v>0</x:v>
      </x:c>
      <x:c r="Y799" s="26" t="n">
        <x:v>0</x:v>
      </x:c>
      <x:c r="Z799" s="35" t="str">
        <x:v>October 2027 rent</x:v>
      </x:c>
    </x:row>
    <x:row r="800">
      <x:c r="A800" s="20" t="str">
        <x:v>FIN-00797</x:v>
      </x:c>
      <x:c r="B800" s="23" t="n">
        <x:v>46663</x:v>
      </x:c>
      <x:c r="C800" s="23" t="n">
        <x:v>46663</x:v>
      </x:c>
      <x:c r="D800" s="20" t="str">
        <x:v>TenantReceipt</x:v>
      </x:c>
      <x:c r="E800" s="20" t="str">
        <x:v>Rent receipt</x:v>
      </x:c>
      <x:c r="F800" s="20" t="str">
        <x:v>P018</x:v>
      </x:c>
      <x:c r="G800" s="20" t="str">
        <x:v>U018</x:v>
      </x:c>
      <x:c r="H800" s="20" t="str">
        <x:v>L018</x:v>
      </x:c>
      <x:c r="I800" s="20" t="str">
        <x:v>Gray Lewis</x:v>
      </x:c>
      <x:c r="J800" s="35" t="str">
        <x:v>Manual ACH</x:v>
      </x:c>
      <x:c r="K800" s="20" t="str"/>
      <x:c r="L800" s="20" t="str">
        <x:v>PMT-20271003-L018</x:v>
      </x:c>
      <x:c r="M800" s="26" t="n">
        <x:v>1500</x:v>
      </x:c>
      <x:c r="N800" s="26" t="n">
        <x:v>-1500</x:v>
      </x:c>
      <x:c r="O800" s="26" t="n">
        <x:v>1500</x:v>
      </x:c>
      <x:c r="P800" s="26" t="n">
        <x:v>0</x:v>
      </x:c>
      <x:c r="Q800" s="26" t="n">
        <x:v>0</x:v>
      </x:c>
      <x:c r="R800" s="26" t="n">
        <x:v>0</x:v>
      </x:c>
      <x:c r="S800" s="26" t="n">
        <x:v>0</x:v>
      </x:c>
      <x:c r="T800" s="26" t="n">
        <x:v>0</x:v>
      </x:c>
      <x:c r="U800" s="26" t="n">
        <x:v>0</x:v>
      </x:c>
      <x:c r="V800" s="26" t="n">
        <x:v>0</x:v>
      </x:c>
      <x:c r="W800" s="26" t="n">
        <x:v>0</x:v>
      </x:c>
      <x:c r="X800" s="26" t="n">
        <x:v>0</x:v>
      </x:c>
      <x:c r="Y800" s="26" t="n">
        <x:v>0</x:v>
      </x:c>
      <x:c r="Z800" s="35" t="str">
        <x:v>Receipt allocated to FIN-00796</x:v>
      </x:c>
    </x:row>
    <x:row r="801">
      <x:c r="A801" s="20" t="str">
        <x:v>FIN-00798</x:v>
      </x:c>
      <x:c r="B801" s="23" t="n">
        <x:v>46661</x:v>
      </x:c>
      <x:c r="C801" s="23" t="n">
        <x:v>46661</x:v>
      </x:c>
      <x:c r="D801" s="20" t="str">
        <x:v>TenantCharge</x:v>
      </x:c>
      <x:c r="E801" s="20" t="str">
        <x:v>Rent</x:v>
      </x:c>
      <x:c r="F801" s="20" t="str">
        <x:v>P019</x:v>
      </x:c>
      <x:c r="G801" s="20" t="str">
        <x:v>U019</x:v>
      </x:c>
      <x:c r="H801" s="20" t="str">
        <x:v>L019</x:v>
      </x:c>
      <x:c r="I801" s="20" t="str">
        <x:v>Jordan Reed</x:v>
      </x:c>
      <x:c r="J801" s="35" t="str">
        <x:v>System scheduled charge</x:v>
      </x:c>
      <x:c r="K801" s="20" t="str"/>
      <x:c r="L801" s="20" t="str">
        <x:v>RENT-202710-L019</x:v>
      </x:c>
      <x:c r="M801" s="26" t="n">
        <x:v>1125</x:v>
      </x:c>
      <x:c r="N801" s="26" t="n">
        <x:v>1125</x:v>
      </x:c>
      <x:c r="O801" s="26" t="n">
        <x:v>0</x:v>
      </x:c>
      <x:c r="P801" s="26" t="n">
        <x:v>0</x:v>
      </x:c>
      <x:c r="Q801" s="26" t="n">
        <x:v>0</x:v>
      </x:c>
      <x:c r="R801" s="26" t="n">
        <x:v>0</x:v>
      </x:c>
      <x:c r="S801" s="26" t="n">
        <x:v>0</x:v>
      </x:c>
      <x:c r="T801" s="26" t="n">
        <x:v>1125</x:v>
      </x:c>
      <x:c r="U801" s="26" t="n">
        <x:v>0</x:v>
      </x:c>
      <x:c r="V801" s="26" t="n">
        <x:v>0</x:v>
      </x:c>
      <x:c r="W801" s="26" t="n">
        <x:v>0</x:v>
      </x:c>
      <x:c r="X801" s="26" t="n">
        <x:v>0</x:v>
      </x:c>
      <x:c r="Y801" s="26" t="n">
        <x:v>0</x:v>
      </x:c>
      <x:c r="Z801" s="35" t="str">
        <x:v>October 2027 rent</x:v>
      </x:c>
    </x:row>
    <x:row r="802">
      <x:c r="A802" s="20" t="str">
        <x:v>FIN-00799</x:v>
      </x:c>
      <x:c r="B802" s="23" t="n">
        <x:v>46664</x:v>
      </x:c>
      <x:c r="C802" s="23" t="n">
        <x:v>46664</x:v>
      </x:c>
      <x:c r="D802" s="20" t="str">
        <x:v>TenantReceipt</x:v>
      </x:c>
      <x:c r="E802" s="20" t="str">
        <x:v>Rent receipt</x:v>
      </x:c>
      <x:c r="F802" s="20" t="str">
        <x:v>P019</x:v>
      </x:c>
      <x:c r="G802" s="20" t="str">
        <x:v>U019</x:v>
      </x:c>
      <x:c r="H802" s="20" t="str">
        <x:v>L019</x:v>
      </x:c>
      <x:c r="I802" s="20" t="str">
        <x:v>Jordan Reed</x:v>
      </x:c>
      <x:c r="J802" s="35" t="str">
        <x:v>Portal card</x:v>
      </x:c>
      <x:c r="K802" s="20" t="str"/>
      <x:c r="L802" s="20" t="str">
        <x:v>PMT-20271004-L019</x:v>
      </x:c>
      <x:c r="M802" s="26" t="n">
        <x:v>1125</x:v>
      </x:c>
      <x:c r="N802" s="26" t="n">
        <x:v>-1125</x:v>
      </x:c>
      <x:c r="O802" s="26" t="n">
        <x:v>1125</x:v>
      </x:c>
      <x:c r="P802" s="26" t="n">
        <x:v>0</x:v>
      </x:c>
      <x:c r="Q802" s="26" t="n">
        <x:v>0</x:v>
      </x:c>
      <x:c r="R802" s="26" t="n">
        <x:v>0</x:v>
      </x:c>
      <x:c r="S802" s="26" t="n">
        <x:v>0</x:v>
      </x:c>
      <x:c r="T802" s="26" t="n">
        <x:v>0</x:v>
      </x:c>
      <x:c r="U802" s="26" t="n">
        <x:v>0</x:v>
      </x:c>
      <x:c r="V802" s="26" t="n">
        <x:v>0</x:v>
      </x:c>
      <x:c r="W802" s="26" t="n">
        <x:v>0</x:v>
      </x:c>
      <x:c r="X802" s="26" t="n">
        <x:v>0</x:v>
      </x:c>
      <x:c r="Y802" s="26" t="n">
        <x:v>0</x:v>
      </x:c>
      <x:c r="Z802" s="35" t="str">
        <x:v>Receipt allocated to FIN-00798</x:v>
      </x:c>
    </x:row>
    <x:row r="803">
      <x:c r="A803" s="20" t="str">
        <x:v>FIN-00800</x:v>
      </x:c>
      <x:c r="B803" s="23" t="n">
        <x:v>46661</x:v>
      </x:c>
      <x:c r="C803" s="23" t="n">
        <x:v>46661</x:v>
      </x:c>
      <x:c r="D803" s="20" t="str">
        <x:v>TenantCharge</x:v>
      </x:c>
      <x:c r="E803" s="20" t="str">
        <x:v>Rent</x:v>
      </x:c>
      <x:c r="F803" s="20" t="str">
        <x:v>P020</x:v>
      </x:c>
      <x:c r="G803" s="20" t="str">
        <x:v>U020</x:v>
      </x:c>
      <x:c r="H803" s="20" t="str">
        <x:v>L020</x:v>
      </x:c>
      <x:c r="I803" s="20" t="str">
        <x:v>Morgan Adams</x:v>
      </x:c>
      <x:c r="J803" s="35" t="str">
        <x:v>System scheduled charge</x:v>
      </x:c>
      <x:c r="K803" s="20" t="str"/>
      <x:c r="L803" s="20" t="str">
        <x:v>RENT-202710-L020</x:v>
      </x:c>
      <x:c r="M803" s="26" t="n">
        <x:v>1650</x:v>
      </x:c>
      <x:c r="N803" s="26" t="n">
        <x:v>1650</x:v>
      </x:c>
      <x:c r="O803" s="26" t="n">
        <x:v>0</x:v>
      </x:c>
      <x:c r="P803" s="26" t="n">
        <x:v>0</x:v>
      </x:c>
      <x:c r="Q803" s="26" t="n">
        <x:v>0</x:v>
      </x:c>
      <x:c r="R803" s="26" t="n">
        <x:v>0</x:v>
      </x:c>
      <x:c r="S803" s="26" t="n">
        <x:v>0</x:v>
      </x:c>
      <x:c r="T803" s="26" t="n">
        <x:v>1650</x:v>
      </x:c>
      <x:c r="U803" s="26" t="n">
        <x:v>0</x:v>
      </x:c>
      <x:c r="V803" s="26" t="n">
        <x:v>0</x:v>
      </x:c>
      <x:c r="W803" s="26" t="n">
        <x:v>0</x:v>
      </x:c>
      <x:c r="X803" s="26" t="n">
        <x:v>0</x:v>
      </x:c>
      <x:c r="Y803" s="26" t="n">
        <x:v>0</x:v>
      </x:c>
      <x:c r="Z803" s="35" t="str">
        <x:v>October 2027 rent</x:v>
      </x:c>
    </x:row>
    <x:row r="804">
      <x:c r="A804" s="20" t="str">
        <x:v>FIN-00801</x:v>
      </x:c>
      <x:c r="B804" s="23" t="n">
        <x:v>46665</x:v>
      </x:c>
      <x:c r="C804" s="23" t="n">
        <x:v>46665</x:v>
      </x:c>
      <x:c r="D804" s="20" t="str">
        <x:v>TenantReceipt</x:v>
      </x:c>
      <x:c r="E804" s="20" t="str">
        <x:v>Rent receipt</x:v>
      </x:c>
      <x:c r="F804" s="20" t="str">
        <x:v>P020</x:v>
      </x:c>
      <x:c r="G804" s="20" t="str">
        <x:v>U020</x:v>
      </x:c>
      <x:c r="H804" s="20" t="str">
        <x:v>L020</x:v>
      </x:c>
      <x:c r="I804" s="20" t="str">
        <x:v>Morgan Adams</x:v>
      </x:c>
      <x:c r="J804" s="35" t="str">
        <x:v>Scanned check</x:v>
      </x:c>
      <x:c r="K804" s="20" t="str">
        <x:v>SCN-0288</x:v>
      </x:c>
      <x:c r="L804" s="20" t="str">
        <x:v>PMT-20271005-L020</x:v>
      </x:c>
      <x:c r="M804" s="26" t="n">
        <x:v>1650</x:v>
      </x:c>
      <x:c r="N804" s="26" t="n">
        <x:v>-1650</x:v>
      </x:c>
      <x:c r="O804" s="26" t="n">
        <x:v>1650</x:v>
      </x:c>
      <x:c r="P804" s="26" t="n">
        <x:v>0</x:v>
      </x:c>
      <x:c r="Q804" s="26" t="n">
        <x:v>0</x:v>
      </x:c>
      <x:c r="R804" s="26" t="n">
        <x:v>0</x:v>
      </x:c>
      <x:c r="S804" s="26" t="n">
        <x:v>0</x:v>
      </x:c>
      <x:c r="T804" s="26" t="n">
        <x:v>0</x:v>
      </x:c>
      <x:c r="U804" s="26" t="n">
        <x:v>0</x:v>
      </x:c>
      <x:c r="V804" s="26" t="n">
        <x:v>0</x:v>
      </x:c>
      <x:c r="W804" s="26" t="n">
        <x:v>0</x:v>
      </x:c>
      <x:c r="X804" s="26" t="n">
        <x:v>0</x:v>
      </x:c>
      <x:c r="Y804" s="26" t="n">
        <x:v>0</x:v>
      </x:c>
      <x:c r="Z804" s="35" t="str">
        <x:v>Receipt allocated to FIN-00800</x:v>
      </x:c>
    </x:row>
    <x:row r="805">
      <x:c r="A805" s="20" t="str">
        <x:v>FIN-00802</x:v>
      </x:c>
      <x:c r="B805" s="23" t="n">
        <x:v>46661</x:v>
      </x:c>
      <x:c r="C805" s="23" t="n">
        <x:v>46661</x:v>
      </x:c>
      <x:c r="D805" s="20" t="str">
        <x:v>TenantCharge</x:v>
      </x:c>
      <x:c r="E805" s="20" t="str">
        <x:v>Rent</x:v>
      </x:c>
      <x:c r="F805" s="20" t="str">
        <x:v>P021</x:v>
      </x:c>
      <x:c r="G805" s="20" t="str">
        <x:v>U021</x:v>
      </x:c>
      <x:c r="H805" s="20" t="str">
        <x:v>L021</x:v>
      </x:c>
      <x:c r="I805" s="20" t="str">
        <x:v>Parker Flores</x:v>
      </x:c>
      <x:c r="J805" s="35" t="str">
        <x:v>System scheduled charge</x:v>
      </x:c>
      <x:c r="K805" s="20" t="str"/>
      <x:c r="L805" s="20" t="str">
        <x:v>RENT-202710-L021</x:v>
      </x:c>
      <x:c r="M805" s="26" t="n">
        <x:v>1375</x:v>
      </x:c>
      <x:c r="N805" s="26" t="n">
        <x:v>1375</x:v>
      </x:c>
      <x:c r="O805" s="26" t="n">
        <x:v>0</x:v>
      </x:c>
      <x:c r="P805" s="26" t="n">
        <x:v>0</x:v>
      </x:c>
      <x:c r="Q805" s="26" t="n">
        <x:v>0</x:v>
      </x:c>
      <x:c r="R805" s="26" t="n">
        <x:v>0</x:v>
      </x:c>
      <x:c r="S805" s="26" t="n">
        <x:v>0</x:v>
      </x:c>
      <x:c r="T805" s="26" t="n">
        <x:v>1375</x:v>
      </x:c>
      <x:c r="U805" s="26" t="n">
        <x:v>0</x:v>
      </x:c>
      <x:c r="V805" s="26" t="n">
        <x:v>0</x:v>
      </x:c>
      <x:c r="W805" s="26" t="n">
        <x:v>0</x:v>
      </x:c>
      <x:c r="X805" s="26" t="n">
        <x:v>0</x:v>
      </x:c>
      <x:c r="Y805" s="26" t="n">
        <x:v>0</x:v>
      </x:c>
      <x:c r="Z805" s="35" t="str">
        <x:v>October 2027 rent</x:v>
      </x:c>
    </x:row>
    <x:row r="806">
      <x:c r="A806" s="20" t="str">
        <x:v>FIN-00803</x:v>
      </x:c>
      <x:c r="B806" s="23" t="n">
        <x:v>46663</x:v>
      </x:c>
      <x:c r="C806" s="23" t="n">
        <x:v>46663</x:v>
      </x:c>
      <x:c r="D806" s="20" t="str">
        <x:v>TenantReceipt</x:v>
      </x:c>
      <x:c r="E806" s="20" t="str">
        <x:v>Rent receipt</x:v>
      </x:c>
      <x:c r="F806" s="20" t="str">
        <x:v>P021</x:v>
      </x:c>
      <x:c r="G806" s="20" t="str">
        <x:v>U021</x:v>
      </x:c>
      <x:c r="H806" s="20" t="str">
        <x:v>L021</x:v>
      </x:c>
      <x:c r="I806" s="20" t="str">
        <x:v>Parker Flores</x:v>
      </x:c>
      <x:c r="J806" s="35" t="str">
        <x:v>Scanned money order</x:v>
      </x:c>
      <x:c r="K806" s="20" t="str">
        <x:v>SCN-0289</x:v>
      </x:c>
      <x:c r="L806" s="20" t="str">
        <x:v>PMT-20271003-L021</x:v>
      </x:c>
      <x:c r="M806" s="26" t="n">
        <x:v>1375</x:v>
      </x:c>
      <x:c r="N806" s="26" t="n">
        <x:v>-1375</x:v>
      </x:c>
      <x:c r="O806" s="26" t="n">
        <x:v>1375</x:v>
      </x:c>
      <x:c r="P806" s="26" t="n">
        <x:v>0</x:v>
      </x:c>
      <x:c r="Q806" s="26" t="n">
        <x:v>0</x:v>
      </x:c>
      <x:c r="R806" s="26" t="n">
        <x:v>0</x:v>
      </x:c>
      <x:c r="S806" s="26" t="n">
        <x:v>0</x:v>
      </x:c>
      <x:c r="T806" s="26" t="n">
        <x:v>0</x:v>
      </x:c>
      <x:c r="U806" s="26" t="n">
        <x:v>0</x:v>
      </x:c>
      <x:c r="V806" s="26" t="n">
        <x:v>0</x:v>
      </x:c>
      <x:c r="W806" s="26" t="n">
        <x:v>0</x:v>
      </x:c>
      <x:c r="X806" s="26" t="n">
        <x:v>0</x:v>
      </x:c>
      <x:c r="Y806" s="26" t="n">
        <x:v>0</x:v>
      </x:c>
      <x:c r="Z806" s="35" t="str">
        <x:v>Receipt allocated to FIN-00802</x:v>
      </x:c>
    </x:row>
    <x:row r="807">
      <x:c r="A807" s="20" t="str">
        <x:v>FIN-00804</x:v>
      </x:c>
      <x:c r="B807" s="23" t="n">
        <x:v>46661</x:v>
      </x:c>
      <x:c r="C807" s="23" t="n">
        <x:v>46661</x:v>
      </x:c>
      <x:c r="D807" s="20" t="str">
        <x:v>TenantCharge</x:v>
      </x:c>
      <x:c r="E807" s="20" t="str">
        <x:v>Rent</x:v>
      </x:c>
      <x:c r="F807" s="20" t="str">
        <x:v>P022</x:v>
      </x:c>
      <x:c r="G807" s="20" t="str">
        <x:v>U023</x:v>
      </x:c>
      <x:c r="H807" s="20" t="str">
        <x:v>L023</x:v>
      </x:c>
      <x:c r="I807" s="20" t="str">
        <x:v>Val Price</x:v>
      </x:c>
      <x:c r="J807" s="35" t="str">
        <x:v>System scheduled charge</x:v>
      </x:c>
      <x:c r="K807" s="20" t="str"/>
      <x:c r="L807" s="20" t="str">
        <x:v>RENT-202710-L023</x:v>
      </x:c>
      <x:c r="M807" s="26" t="n">
        <x:v>1525</x:v>
      </x:c>
      <x:c r="N807" s="26" t="n">
        <x:v>1525</x:v>
      </x:c>
      <x:c r="O807" s="26" t="n">
        <x:v>0</x:v>
      </x:c>
      <x:c r="P807" s="26" t="n">
        <x:v>0</x:v>
      </x:c>
      <x:c r="Q807" s="26" t="n">
        <x:v>0</x:v>
      </x:c>
      <x:c r="R807" s="26" t="n">
        <x:v>0</x:v>
      </x:c>
      <x:c r="S807" s="26" t="n">
        <x:v>0</x:v>
      </x:c>
      <x:c r="T807" s="26" t="n">
        <x:v>1525</x:v>
      </x:c>
      <x:c r="U807" s="26" t="n">
        <x:v>0</x:v>
      </x:c>
      <x:c r="V807" s="26" t="n">
        <x:v>0</x:v>
      </x:c>
      <x:c r="W807" s="26" t="n">
        <x:v>0</x:v>
      </x:c>
      <x:c r="X807" s="26" t="n">
        <x:v>0</x:v>
      </x:c>
      <x:c r="Y807" s="26" t="n">
        <x:v>0</x:v>
      </x:c>
      <x:c r="Z807" s="35" t="str">
        <x:v>October 2027 rent</x:v>
      </x:c>
    </x:row>
    <x:row r="808">
      <x:c r="A808" s="20" t="str">
        <x:v>FIN-00805</x:v>
      </x:c>
      <x:c r="B808" s="23" t="n">
        <x:v>46665</x:v>
      </x:c>
      <x:c r="C808" s="23" t="n">
        <x:v>46665</x:v>
      </x:c>
      <x:c r="D808" s="20" t="str">
        <x:v>TenantReceipt</x:v>
      </x:c>
      <x:c r="E808" s="20" t="str">
        <x:v>Rent receipt</x:v>
      </x:c>
      <x:c r="F808" s="20" t="str">
        <x:v>P022</x:v>
      </x:c>
      <x:c r="G808" s="20" t="str">
        <x:v>U023</x:v>
      </x:c>
      <x:c r="H808" s="20" t="str">
        <x:v>L023</x:v>
      </x:c>
      <x:c r="I808" s="20" t="str">
        <x:v>Val Price</x:v>
      </x:c>
      <x:c r="J808" s="35" t="str">
        <x:v>Portal card</x:v>
      </x:c>
      <x:c r="K808" s="20" t="str"/>
      <x:c r="L808" s="20" t="str">
        <x:v>PMT-20271005-L023</x:v>
      </x:c>
      <x:c r="M808" s="26" t="n">
        <x:v>1525</x:v>
      </x:c>
      <x:c r="N808" s="26" t="n">
        <x:v>-1525</x:v>
      </x:c>
      <x:c r="O808" s="26" t="n">
        <x:v>1525</x:v>
      </x:c>
      <x:c r="P808" s="26" t="n">
        <x:v>0</x:v>
      </x:c>
      <x:c r="Q808" s="26" t="n">
        <x:v>0</x:v>
      </x:c>
      <x:c r="R808" s="26" t="n">
        <x:v>0</x:v>
      </x:c>
      <x:c r="S808" s="26" t="n">
        <x:v>0</x:v>
      </x:c>
      <x:c r="T808" s="26" t="n">
        <x:v>0</x:v>
      </x:c>
      <x:c r="U808" s="26" t="n">
        <x:v>0</x:v>
      </x:c>
      <x:c r="V808" s="26" t="n">
        <x:v>0</x:v>
      </x:c>
      <x:c r="W808" s="26" t="n">
        <x:v>0</x:v>
      </x:c>
      <x:c r="X808" s="26" t="n">
        <x:v>0</x:v>
      </x:c>
      <x:c r="Y808" s="26" t="n">
        <x:v>0</x:v>
      </x:c>
      <x:c r="Z808" s="35" t="str">
        <x:v>Receipt allocated to FIN-00804</x:v>
      </x:c>
    </x:row>
    <x:row r="809">
      <x:c r="A809" s="20" t="str">
        <x:v>FIN-00806</x:v>
      </x:c>
      <x:c r="B809" s="23" t="n">
        <x:v>46661</x:v>
      </x:c>
      <x:c r="C809" s="23" t="n">
        <x:v>46661</x:v>
      </x:c>
      <x:c r="D809" s="20" t="str">
        <x:v>TenantCharge</x:v>
      </x:c>
      <x:c r="E809" s="20" t="str">
        <x:v>Rent</x:v>
      </x:c>
      <x:c r="F809" s="20" t="str">
        <x:v>P022</x:v>
      </x:c>
      <x:c r="G809" s="20" t="str">
        <x:v>U024</x:v>
      </x:c>
      <x:c r="H809" s="20" t="str">
        <x:v>L024</x:v>
      </x:c>
      <x:c r="I809" s="20" t="str">
        <x:v>Yara Brooks</x:v>
      </x:c>
      <x:c r="J809" s="35" t="str">
        <x:v>System scheduled charge</x:v>
      </x:c>
      <x:c r="K809" s="20" t="str"/>
      <x:c r="L809" s="20" t="str">
        <x:v>RENT-202710-L024</x:v>
      </x:c>
      <x:c r="M809" s="26" t="n">
        <x:v>1150</x:v>
      </x:c>
      <x:c r="N809" s="26" t="n">
        <x:v>1150</x:v>
      </x:c>
      <x:c r="O809" s="26" t="n">
        <x:v>0</x:v>
      </x:c>
      <x:c r="P809" s="26" t="n">
        <x:v>0</x:v>
      </x:c>
      <x:c r="Q809" s="26" t="n">
        <x:v>0</x:v>
      </x:c>
      <x:c r="R809" s="26" t="n">
        <x:v>0</x:v>
      </x:c>
      <x:c r="S809" s="26" t="n">
        <x:v>0</x:v>
      </x:c>
      <x:c r="T809" s="26" t="n">
        <x:v>1150</x:v>
      </x:c>
      <x:c r="U809" s="26" t="n">
        <x:v>0</x:v>
      </x:c>
      <x:c r="V809" s="26" t="n">
        <x:v>0</x:v>
      </x:c>
      <x:c r="W809" s="26" t="n">
        <x:v>0</x:v>
      </x:c>
      <x:c r="X809" s="26" t="n">
        <x:v>0</x:v>
      </x:c>
      <x:c r="Y809" s="26" t="n">
        <x:v>0</x:v>
      </x:c>
      <x:c r="Z809" s="35" t="str">
        <x:v>October 2027 rent</x:v>
      </x:c>
    </x:row>
    <x:row r="810">
      <x:c r="A810" s="20" t="str">
        <x:v>FIN-00807</x:v>
      </x:c>
      <x:c r="B810" s="23" t="n">
        <x:v>46663</x:v>
      </x:c>
      <x:c r="C810" s="23" t="n">
        <x:v>46663</x:v>
      </x:c>
      <x:c r="D810" s="20" t="str">
        <x:v>TenantReceipt</x:v>
      </x:c>
      <x:c r="E810" s="20" t="str">
        <x:v>Rent receipt</x:v>
      </x:c>
      <x:c r="F810" s="20" t="str">
        <x:v>P022</x:v>
      </x:c>
      <x:c r="G810" s="20" t="str">
        <x:v>U024</x:v>
      </x:c>
      <x:c r="H810" s="20" t="str">
        <x:v>L024</x:v>
      </x:c>
      <x:c r="I810" s="20" t="str">
        <x:v>Yara Brooks</x:v>
      </x:c>
      <x:c r="J810" s="35" t="str">
        <x:v>Scanned check</x:v>
      </x:c>
      <x:c r="K810" s="20" t="str">
        <x:v>SCN-0290</x:v>
      </x:c>
      <x:c r="L810" s="20" t="str">
        <x:v>PMT-20271003-L024</x:v>
      </x:c>
      <x:c r="M810" s="26" t="n">
        <x:v>1150</x:v>
      </x:c>
      <x:c r="N810" s="26" t="n">
        <x:v>-1150</x:v>
      </x:c>
      <x:c r="O810" s="26" t="n">
        <x:v>1150</x:v>
      </x:c>
      <x:c r="P810" s="26" t="n">
        <x:v>0</x:v>
      </x:c>
      <x:c r="Q810" s="26" t="n">
        <x:v>0</x:v>
      </x:c>
      <x:c r="R810" s="26" t="n">
        <x:v>0</x:v>
      </x:c>
      <x:c r="S810" s="26" t="n">
        <x:v>0</x:v>
      </x:c>
      <x:c r="T810" s="26" t="n">
        <x:v>0</x:v>
      </x:c>
      <x:c r="U810" s="26" t="n">
        <x:v>0</x:v>
      </x:c>
      <x:c r="V810" s="26" t="n">
        <x:v>0</x:v>
      </x:c>
      <x:c r="W810" s="26" t="n">
        <x:v>0</x:v>
      </x:c>
      <x:c r="X810" s="26" t="n">
        <x:v>0</x:v>
      </x:c>
      <x:c r="Y810" s="26" t="n">
        <x:v>0</x:v>
      </x:c>
      <x:c r="Z810" s="35" t="str">
        <x:v>Receipt allocated to FIN-00806</x:v>
      </x:c>
    </x:row>
    <x:row r="811">
      <x:c r="A811" s="20" t="str">
        <x:v>FIN-00808</x:v>
      </x:c>
      <x:c r="B811" s="23" t="n">
        <x:v>46661</x:v>
      </x:c>
      <x:c r="C811" s="23" t="n">
        <x:v>46661</x:v>
      </x:c>
      <x:c r="D811" s="20" t="str">
        <x:v>TenantCharge</x:v>
      </x:c>
      <x:c r="E811" s="20" t="str">
        <x:v>Rent</x:v>
      </x:c>
      <x:c r="F811" s="20" t="str">
        <x:v>P023</x:v>
      </x:c>
      <x:c r="G811" s="20" t="str">
        <x:v>U025</x:v>
      </x:c>
      <x:c r="H811" s="20" t="str">
        <x:v>L025</x:v>
      </x:c>
      <x:c r="I811" s="20" t="str">
        <x:v>Bennett Garcia</x:v>
      </x:c>
      <x:c r="J811" s="35" t="str">
        <x:v>System scheduled charge</x:v>
      </x:c>
      <x:c r="K811" s="20" t="str"/>
      <x:c r="L811" s="20" t="str">
        <x:v>RENT-202710-L025</x:v>
      </x:c>
      <x:c r="M811" s="26" t="n">
        <x:v>1675</x:v>
      </x:c>
      <x:c r="N811" s="26" t="n">
        <x:v>1675</x:v>
      </x:c>
      <x:c r="O811" s="26" t="n">
        <x:v>0</x:v>
      </x:c>
      <x:c r="P811" s="26" t="n">
        <x:v>0</x:v>
      </x:c>
      <x:c r="Q811" s="26" t="n">
        <x:v>0</x:v>
      </x:c>
      <x:c r="R811" s="26" t="n">
        <x:v>0</x:v>
      </x:c>
      <x:c r="S811" s="26" t="n">
        <x:v>0</x:v>
      </x:c>
      <x:c r="T811" s="26" t="n">
        <x:v>1675</x:v>
      </x:c>
      <x:c r="U811" s="26" t="n">
        <x:v>0</x:v>
      </x:c>
      <x:c r="V811" s="26" t="n">
        <x:v>0</x:v>
      </x:c>
      <x:c r="W811" s="26" t="n">
        <x:v>0</x:v>
      </x:c>
      <x:c r="X811" s="26" t="n">
        <x:v>0</x:v>
      </x:c>
      <x:c r="Y811" s="26" t="n">
        <x:v>0</x:v>
      </x:c>
      <x:c r="Z811" s="35" t="str">
        <x:v>October 2027 rent</x:v>
      </x:c>
    </x:row>
    <x:row r="812">
      <x:c r="A812" s="20" t="str">
        <x:v>FIN-00809</x:v>
      </x:c>
      <x:c r="B812" s="23" t="n">
        <x:v>46664</x:v>
      </x:c>
      <x:c r="C812" s="23" t="n">
        <x:v>46664</x:v>
      </x:c>
      <x:c r="D812" s="20" t="str">
        <x:v>TenantReceipt</x:v>
      </x:c>
      <x:c r="E812" s="20" t="str">
        <x:v>Rent receipt</x:v>
      </x:c>
      <x:c r="F812" s="20" t="str">
        <x:v>P023</x:v>
      </x:c>
      <x:c r="G812" s="20" t="str">
        <x:v>U025</x:v>
      </x:c>
      <x:c r="H812" s="20" t="str">
        <x:v>L025</x:v>
      </x:c>
      <x:c r="I812" s="20" t="str">
        <x:v>Bennett Garcia</x:v>
      </x:c>
      <x:c r="J812" s="35" t="str">
        <x:v>Scanned money order</x:v>
      </x:c>
      <x:c r="K812" s="20" t="str">
        <x:v>SCN-0291</x:v>
      </x:c>
      <x:c r="L812" s="20" t="str">
        <x:v>PMT-20271004-L025</x:v>
      </x:c>
      <x:c r="M812" s="26" t="n">
        <x:v>1675</x:v>
      </x:c>
      <x:c r="N812" s="26" t="n">
        <x:v>-1675</x:v>
      </x:c>
      <x:c r="O812" s="26" t="n">
        <x:v>1675</x:v>
      </x:c>
      <x:c r="P812" s="26" t="n">
        <x:v>0</x:v>
      </x:c>
      <x:c r="Q812" s="26" t="n">
        <x:v>0</x:v>
      </x:c>
      <x:c r="R812" s="26" t="n">
        <x:v>0</x:v>
      </x:c>
      <x:c r="S812" s="26" t="n">
        <x:v>0</x:v>
      </x:c>
      <x:c r="T812" s="26" t="n">
        <x:v>0</x:v>
      </x:c>
      <x:c r="U812" s="26" t="n">
        <x:v>0</x:v>
      </x:c>
      <x:c r="V812" s="26" t="n">
        <x:v>0</x:v>
      </x:c>
      <x:c r="W812" s="26" t="n">
        <x:v>0</x:v>
      </x:c>
      <x:c r="X812" s="26" t="n">
        <x:v>0</x:v>
      </x:c>
      <x:c r="Y812" s="26" t="n">
        <x:v>0</x:v>
      </x:c>
      <x:c r="Z812" s="35" t="str">
        <x:v>Receipt allocated to FIN-00808</x:v>
      </x:c>
    </x:row>
    <x:row r="813">
      <x:c r="A813" s="20" t="str">
        <x:v>FIN-00810</x:v>
      </x:c>
      <x:c r="B813" s="23" t="n">
        <x:v>46661</x:v>
      </x:c>
      <x:c r="C813" s="23" t="n">
        <x:v>46661</x:v>
      </x:c>
      <x:c r="D813" s="20" t="str">
        <x:v>TenantCharge</x:v>
      </x:c>
      <x:c r="E813" s="20" t="str">
        <x:v>Rent</x:v>
      </x:c>
      <x:c r="F813" s="20" t="str">
        <x:v>P023</x:v>
      </x:c>
      <x:c r="G813" s="20" t="str">
        <x:v>U026</x:v>
      </x:c>
      <x:c r="H813" s="20" t="str">
        <x:v>L026</x:v>
      </x:c>
      <x:c r="I813" s="20" t="str">
        <x:v>Elena Lewis</x:v>
      </x:c>
      <x:c r="J813" s="35" t="str">
        <x:v>System scheduled charge</x:v>
      </x:c>
      <x:c r="K813" s="20" t="str"/>
      <x:c r="L813" s="20" t="str">
        <x:v>RENT-202710-L026</x:v>
      </x:c>
      <x:c r="M813" s="26" t="n">
        <x:v>1300</x:v>
      </x:c>
      <x:c r="N813" s="26" t="n">
        <x:v>1300</x:v>
      </x:c>
      <x:c r="O813" s="26" t="n">
        <x:v>0</x:v>
      </x:c>
      <x:c r="P813" s="26" t="n">
        <x:v>0</x:v>
      </x:c>
      <x:c r="Q813" s="26" t="n">
        <x:v>0</x:v>
      </x:c>
      <x:c r="R813" s="26" t="n">
        <x:v>0</x:v>
      </x:c>
      <x:c r="S813" s="26" t="n">
        <x:v>0</x:v>
      </x:c>
      <x:c r="T813" s="26" t="n">
        <x:v>1300</x:v>
      </x:c>
      <x:c r="U813" s="26" t="n">
        <x:v>0</x:v>
      </x:c>
      <x:c r="V813" s="26" t="n">
        <x:v>0</x:v>
      </x:c>
      <x:c r="W813" s="26" t="n">
        <x:v>0</x:v>
      </x:c>
      <x:c r="X813" s="26" t="n">
        <x:v>0</x:v>
      </x:c>
      <x:c r="Y813" s="26" t="n">
        <x:v>0</x:v>
      </x:c>
      <x:c r="Z813" s="35" t="str">
        <x:v>October 2027 rent</x:v>
      </x:c>
    </x:row>
    <x:row r="814">
      <x:c r="A814" s="20" t="str">
        <x:v>FIN-00811</x:v>
      </x:c>
      <x:c r="B814" s="23" t="n">
        <x:v>46666</x:v>
      </x:c>
      <x:c r="C814" s="23" t="n">
        <x:v>46666</x:v>
      </x:c>
      <x:c r="D814" s="20" t="str">
        <x:v>TenantCharge</x:v>
      </x:c>
      <x:c r="E814" s="20" t="str">
        <x:v>Late fee</x:v>
      </x:c>
      <x:c r="F814" s="20" t="str">
        <x:v>P023</x:v>
      </x:c>
      <x:c r="G814" s="20" t="str">
        <x:v>U026</x:v>
      </x:c>
      <x:c r="H814" s="20" t="str">
        <x:v>L026</x:v>
      </x:c>
      <x:c r="I814" s="20" t="str">
        <x:v>Elena Lewis</x:v>
      </x:c>
      <x:c r="J814" s="35" t="str">
        <x:v>System automation</x:v>
      </x:c>
      <x:c r="K814" s="20" t="str"/>
      <x:c r="L814" s="20" t="str">
        <x:v>LATE-202710-L026</x:v>
      </x:c>
      <x:c r="M814" s="26" t="n">
        <x:v>50</x:v>
      </x:c>
      <x:c r="N814" s="26" t="n">
        <x:v>50</x:v>
      </x:c>
      <x:c r="O814" s="26" t="n">
        <x:v>0</x:v>
      </x:c>
      <x:c r="P814" s="26" t="n">
        <x:v>0</x:v>
      </x:c>
      <x:c r="Q814" s="26" t="n">
        <x:v>0</x:v>
      </x:c>
      <x:c r="R814" s="26" t="n">
        <x:v>0</x:v>
      </x:c>
      <x:c r="S814" s="26" t="n">
        <x:v>0</x:v>
      </x:c>
      <x:c r="T814" s="26" t="n">
        <x:v>50</x:v>
      </x:c>
      <x:c r="U814" s="26" t="n">
        <x:v>0</x:v>
      </x:c>
      <x:c r="V814" s="26" t="n">
        <x:v>0</x:v>
      </x:c>
      <x:c r="W814" s="26" t="n">
        <x:v>0</x:v>
      </x:c>
      <x:c r="X814" s="26" t="n">
        <x:v>0</x:v>
      </x:c>
      <x:c r="Y814" s="26" t="n">
        <x:v>0</x:v>
      </x:c>
      <x:c r="Z814" s="35" t="str">
        <x:v>Synthetic lease-authorized late fee</x:v>
      </x:c>
    </x:row>
    <x:row r="815">
      <x:c r="A815" s="20" t="str">
        <x:v>FIN-00812</x:v>
      </x:c>
      <x:c r="B815" s="23" t="n">
        <x:v>46668</x:v>
      </x:c>
      <x:c r="C815" s="23" t="n">
        <x:v>46668</x:v>
      </x:c>
      <x:c r="D815" s="20" t="str">
        <x:v>TenantReceipt</x:v>
      </x:c>
      <x:c r="E815" s="20" t="str">
        <x:v>Rent receipt</x:v>
      </x:c>
      <x:c r="F815" s="20" t="str">
        <x:v>P023</x:v>
      </x:c>
      <x:c r="G815" s="20" t="str">
        <x:v>U026</x:v>
      </x:c>
      <x:c r="H815" s="20" t="str">
        <x:v>L026</x:v>
      </x:c>
      <x:c r="I815" s="20" t="str">
        <x:v>Elena Lewis</x:v>
      </x:c>
      <x:c r="J815" s="35" t="str">
        <x:v>Scanned money order</x:v>
      </x:c>
      <x:c r="K815" s="20" t="str">
        <x:v>SCN-0292</x:v>
      </x:c>
      <x:c r="L815" s="20" t="str">
        <x:v>PMT-20271008-L026</x:v>
      </x:c>
      <x:c r="M815" s="26" t="n">
        <x:v>1350</x:v>
      </x:c>
      <x:c r="N815" s="26" t="n">
        <x:v>-1350</x:v>
      </x:c>
      <x:c r="O815" s="26" t="n">
        <x:v>1350</x:v>
      </x:c>
      <x:c r="P815" s="26" t="n">
        <x:v>0</x:v>
      </x:c>
      <x:c r="Q815" s="26" t="n">
        <x:v>0</x:v>
      </x:c>
      <x:c r="R815" s="26" t="n">
        <x:v>0</x:v>
      </x:c>
      <x:c r="S815" s="26" t="n">
        <x:v>0</x:v>
      </x:c>
      <x:c r="T815" s="26" t="n">
        <x:v>0</x:v>
      </x:c>
      <x:c r="U815" s="26" t="n">
        <x:v>0</x:v>
      </x:c>
      <x:c r="V815" s="26" t="n">
        <x:v>0</x:v>
      </x:c>
      <x:c r="W815" s="26" t="n">
        <x:v>0</x:v>
      </x:c>
      <x:c r="X815" s="26" t="n">
        <x:v>0</x:v>
      </x:c>
      <x:c r="Y815" s="26" t="n">
        <x:v>0</x:v>
      </x:c>
      <x:c r="Z815" s="35" t="str">
        <x:v>Receipt allocated to FIN-00811</x:v>
      </x:c>
    </x:row>
    <x:row r="816">
      <x:c r="A816" s="20" t="str">
        <x:v>FIN-00813</x:v>
      </x:c>
      <x:c r="B816" s="23" t="n">
        <x:v>46661</x:v>
      </x:c>
      <x:c r="C816" s="23" t="n">
        <x:v>46661</x:v>
      </x:c>
      <x:c r="D816" s="20" t="str">
        <x:v>TenantCharge</x:v>
      </x:c>
      <x:c r="E816" s="20" t="str">
        <x:v>Rent</x:v>
      </x:c>
      <x:c r="F816" s="20" t="str">
        <x:v>P024</x:v>
      </x:c>
      <x:c r="G816" s="20" t="str">
        <x:v>U027</x:v>
      </x:c>
      <x:c r="H816" s="20" t="str">
        <x:v>L027</x:v>
      </x:c>
      <x:c r="I816" s="20" t="str">
        <x:v>Hector Reed</x:v>
      </x:c>
      <x:c r="J816" s="35" t="str">
        <x:v>System scheduled charge</x:v>
      </x:c>
      <x:c r="K816" s="20" t="str"/>
      <x:c r="L816" s="20" t="str">
        <x:v>RENT-202710-L027</x:v>
      </x:c>
      <x:c r="M816" s="26" t="n">
        <x:v>1825</x:v>
      </x:c>
      <x:c r="N816" s="26" t="n">
        <x:v>1825</x:v>
      </x:c>
      <x:c r="O816" s="26" t="n">
        <x:v>0</x:v>
      </x:c>
      <x:c r="P816" s="26" t="n">
        <x:v>0</x:v>
      </x:c>
      <x:c r="Q816" s="26" t="n">
        <x:v>0</x:v>
      </x:c>
      <x:c r="R816" s="26" t="n">
        <x:v>0</x:v>
      </x:c>
      <x:c r="S816" s="26" t="n">
        <x:v>0</x:v>
      </x:c>
      <x:c r="T816" s="26" t="n">
        <x:v>1825</x:v>
      </x:c>
      <x:c r="U816" s="26" t="n">
        <x:v>0</x:v>
      </x:c>
      <x:c r="V816" s="26" t="n">
        <x:v>0</x:v>
      </x:c>
      <x:c r="W816" s="26" t="n">
        <x:v>0</x:v>
      </x:c>
      <x:c r="X816" s="26" t="n">
        <x:v>0</x:v>
      </x:c>
      <x:c r="Y816" s="26" t="n">
        <x:v>0</x:v>
      </x:c>
      <x:c r="Z816" s="35" t="str">
        <x:v>October 2027 rent</x:v>
      </x:c>
    </x:row>
    <x:row r="817">
      <x:c r="A817" s="20" t="str">
        <x:v>FIN-00814</x:v>
      </x:c>
      <x:c r="B817" s="23" t="n">
        <x:v>46663</x:v>
      </x:c>
      <x:c r="C817" s="23" t="n">
        <x:v>46663</x:v>
      </x:c>
      <x:c r="D817" s="20" t="str">
        <x:v>TenantReceipt</x:v>
      </x:c>
      <x:c r="E817" s="20" t="str">
        <x:v>Rent receipt</x:v>
      </x:c>
      <x:c r="F817" s="20" t="str">
        <x:v>P024</x:v>
      </x:c>
      <x:c r="G817" s="20" t="str">
        <x:v>U027</x:v>
      </x:c>
      <x:c r="H817" s="20" t="str">
        <x:v>L027</x:v>
      </x:c>
      <x:c r="I817" s="20" t="str">
        <x:v>Hector Reed</x:v>
      </x:c>
      <x:c r="J817" s="35" t="str">
        <x:v>Portal card</x:v>
      </x:c>
      <x:c r="K817" s="20" t="str"/>
      <x:c r="L817" s="20" t="str">
        <x:v>PMT-20271003-L027</x:v>
      </x:c>
      <x:c r="M817" s="26" t="n">
        <x:v>1825</x:v>
      </x:c>
      <x:c r="N817" s="26" t="n">
        <x:v>-1825</x:v>
      </x:c>
      <x:c r="O817" s="26" t="n">
        <x:v>1825</x:v>
      </x:c>
      <x:c r="P817" s="26" t="n">
        <x:v>0</x:v>
      </x:c>
      <x:c r="Q817" s="26" t="n">
        <x:v>0</x:v>
      </x:c>
      <x:c r="R817" s="26" t="n">
        <x:v>0</x:v>
      </x:c>
      <x:c r="S817" s="26" t="n">
        <x:v>0</x:v>
      </x:c>
      <x:c r="T817" s="26" t="n">
        <x:v>0</x:v>
      </x:c>
      <x:c r="U817" s="26" t="n">
        <x:v>0</x:v>
      </x:c>
      <x:c r="V817" s="26" t="n">
        <x:v>0</x:v>
      </x:c>
      <x:c r="W817" s="26" t="n">
        <x:v>0</x:v>
      </x:c>
      <x:c r="X817" s="26" t="n">
        <x:v>0</x:v>
      </x:c>
      <x:c r="Y817" s="26" t="n">
        <x:v>0</x:v>
      </x:c>
      <x:c r="Z817" s="35" t="str">
        <x:v>Receipt allocated to FIN-00813</x:v>
      </x:c>
    </x:row>
    <x:row r="818">
      <x:c r="A818" s="20" t="str">
        <x:v>FIN-00815</x:v>
      </x:c>
      <x:c r="B818" s="23" t="n">
        <x:v>46661</x:v>
      </x:c>
      <x:c r="C818" s="23" t="n">
        <x:v>46661</x:v>
      </x:c>
      <x:c r="D818" s="20" t="str">
        <x:v>TenantCharge</x:v>
      </x:c>
      <x:c r="E818" s="20" t="str">
        <x:v>Rent</x:v>
      </x:c>
      <x:c r="F818" s="20" t="str">
        <x:v>P024</x:v>
      </x:c>
      <x:c r="G818" s="20" t="str">
        <x:v>U028</x:v>
      </x:c>
      <x:c r="H818" s="20" t="str">
        <x:v>L028</x:v>
      </x:c>
      <x:c r="I818" s="20" t="str">
        <x:v>Keira Adams</x:v>
      </x:c>
      <x:c r="J818" s="35" t="str">
        <x:v>System scheduled charge</x:v>
      </x:c>
      <x:c r="K818" s="20" t="str"/>
      <x:c r="L818" s="20" t="str">
        <x:v>RENT-202710-L028</x:v>
      </x:c>
      <x:c r="M818" s="26" t="n">
        <x:v>1450</x:v>
      </x:c>
      <x:c r="N818" s="26" t="n">
        <x:v>1450</x:v>
      </x:c>
      <x:c r="O818" s="26" t="n">
        <x:v>0</x:v>
      </x:c>
      <x:c r="P818" s="26" t="n">
        <x:v>0</x:v>
      </x:c>
      <x:c r="Q818" s="26" t="n">
        <x:v>0</x:v>
      </x:c>
      <x:c r="R818" s="26" t="n">
        <x:v>0</x:v>
      </x:c>
      <x:c r="S818" s="26" t="n">
        <x:v>0</x:v>
      </x:c>
      <x:c r="T818" s="26" t="n">
        <x:v>1450</x:v>
      </x:c>
      <x:c r="U818" s="26" t="n">
        <x:v>0</x:v>
      </x:c>
      <x:c r="V818" s="26" t="n">
        <x:v>0</x:v>
      </x:c>
      <x:c r="W818" s="26" t="n">
        <x:v>0</x:v>
      </x:c>
      <x:c r="X818" s="26" t="n">
        <x:v>0</x:v>
      </x:c>
      <x:c r="Y818" s="26" t="n">
        <x:v>0</x:v>
      </x:c>
      <x:c r="Z818" s="35" t="str">
        <x:v>October 2027 rent</x:v>
      </x:c>
    </x:row>
    <x:row r="819">
      <x:c r="A819" s="20" t="str">
        <x:v>FIN-00816</x:v>
      </x:c>
      <x:c r="B819" s="23" t="n">
        <x:v>46664</x:v>
      </x:c>
      <x:c r="C819" s="23" t="n">
        <x:v>46664</x:v>
      </x:c>
      <x:c r="D819" s="20" t="str">
        <x:v>TenantReceipt</x:v>
      </x:c>
      <x:c r="E819" s="20" t="str">
        <x:v>Rent receipt</x:v>
      </x:c>
      <x:c r="F819" s="20" t="str">
        <x:v>P024</x:v>
      </x:c>
      <x:c r="G819" s="20" t="str">
        <x:v>U028</x:v>
      </x:c>
      <x:c r="H819" s="20" t="str">
        <x:v>L028</x:v>
      </x:c>
      <x:c r="I819" s="20" t="str">
        <x:v>Keira Adams</x:v>
      </x:c>
      <x:c r="J819" s="35" t="str">
        <x:v>Scanned check</x:v>
      </x:c>
      <x:c r="K819" s="20" t="str">
        <x:v>SCN-0293</x:v>
      </x:c>
      <x:c r="L819" s="20" t="str">
        <x:v>PMT-20271004-L028</x:v>
      </x:c>
      <x:c r="M819" s="26" t="n">
        <x:v>1450</x:v>
      </x:c>
      <x:c r="N819" s="26" t="n">
        <x:v>-1450</x:v>
      </x:c>
      <x:c r="O819" s="26" t="n">
        <x:v>1450</x:v>
      </x:c>
      <x:c r="P819" s="26" t="n">
        <x:v>0</x:v>
      </x:c>
      <x:c r="Q819" s="26" t="n">
        <x:v>0</x:v>
      </x:c>
      <x:c r="R819" s="26" t="n">
        <x:v>0</x:v>
      </x:c>
      <x:c r="S819" s="26" t="n">
        <x:v>0</x:v>
      </x:c>
      <x:c r="T819" s="26" t="n">
        <x:v>0</x:v>
      </x:c>
      <x:c r="U819" s="26" t="n">
        <x:v>0</x:v>
      </x:c>
      <x:c r="V819" s="26" t="n">
        <x:v>0</x:v>
      </x:c>
      <x:c r="W819" s="26" t="n">
        <x:v>0</x:v>
      </x:c>
      <x:c r="X819" s="26" t="n">
        <x:v>0</x:v>
      </x:c>
      <x:c r="Y819" s="26" t="n">
        <x:v>0</x:v>
      </x:c>
      <x:c r="Z819" s="35" t="str">
        <x:v>Receipt allocated to FIN-00815</x:v>
      </x:c>
    </x:row>
    <x:row r="820">
      <x:c r="A820" s="20" t="str">
        <x:v>FIN-00817</x:v>
      </x:c>
      <x:c r="B820" s="23" t="n">
        <x:v>46661</x:v>
      </x:c>
      <x:c r="C820" s="23" t="n">
        <x:v>46661</x:v>
      </x:c>
      <x:c r="D820" s="20" t="str">
        <x:v>TenantCharge</x:v>
      </x:c>
      <x:c r="E820" s="20" t="str">
        <x:v>Rent</x:v>
      </x:c>
      <x:c r="F820" s="20" t="str">
        <x:v>P025</x:v>
      </x:c>
      <x:c r="G820" s="20" t="str">
        <x:v>U029</x:v>
      </x:c>
      <x:c r="H820" s="20" t="str">
        <x:v>L029</x:v>
      </x:c>
      <x:c r="I820" s="20" t="str">
        <x:v>Nolan Flores</x:v>
      </x:c>
      <x:c r="J820" s="35" t="str">
        <x:v>System scheduled charge</x:v>
      </x:c>
      <x:c r="K820" s="20" t="str"/>
      <x:c r="L820" s="20" t="str">
        <x:v>RENT-202710-L029</x:v>
      </x:c>
      <x:c r="M820" s="26" t="n">
        <x:v>1975</x:v>
      </x:c>
      <x:c r="N820" s="26" t="n">
        <x:v>1975</x:v>
      </x:c>
      <x:c r="O820" s="26" t="n">
        <x:v>0</x:v>
      </x:c>
      <x:c r="P820" s="26" t="n">
        <x:v>0</x:v>
      </x:c>
      <x:c r="Q820" s="26" t="n">
        <x:v>0</x:v>
      </x:c>
      <x:c r="R820" s="26" t="n">
        <x:v>0</x:v>
      </x:c>
      <x:c r="S820" s="26" t="n">
        <x:v>0</x:v>
      </x:c>
      <x:c r="T820" s="26" t="n">
        <x:v>1975</x:v>
      </x:c>
      <x:c r="U820" s="26" t="n">
        <x:v>0</x:v>
      </x:c>
      <x:c r="V820" s="26" t="n">
        <x:v>0</x:v>
      </x:c>
      <x:c r="W820" s="26" t="n">
        <x:v>0</x:v>
      </x:c>
      <x:c r="X820" s="26" t="n">
        <x:v>0</x:v>
      </x:c>
      <x:c r="Y820" s="26" t="n">
        <x:v>0</x:v>
      </x:c>
      <x:c r="Z820" s="35" t="str">
        <x:v>October 2027 rent</x:v>
      </x:c>
    </x:row>
    <x:row r="821">
      <x:c r="A821" s="20" t="str">
        <x:v>FIN-00818</x:v>
      </x:c>
      <x:c r="B821" s="23" t="n">
        <x:v>46665</x:v>
      </x:c>
      <x:c r="C821" s="23" t="n">
        <x:v>46665</x:v>
      </x:c>
      <x:c r="D821" s="20" t="str">
        <x:v>TenantReceipt</x:v>
      </x:c>
      <x:c r="E821" s="20" t="str">
        <x:v>Rent receipt</x:v>
      </x:c>
      <x:c r="F821" s="20" t="str">
        <x:v>P025</x:v>
      </x:c>
      <x:c r="G821" s="20" t="str">
        <x:v>U029</x:v>
      </x:c>
      <x:c r="H821" s="20" t="str">
        <x:v>L029</x:v>
      </x:c>
      <x:c r="I821" s="20" t="str">
        <x:v>Nolan Flores</x:v>
      </x:c>
      <x:c r="J821" s="35" t="str">
        <x:v>Scanned money order</x:v>
      </x:c>
      <x:c r="K821" s="20" t="str">
        <x:v>SCN-0294</x:v>
      </x:c>
      <x:c r="L821" s="20" t="str">
        <x:v>PMT-20271005-L029</x:v>
      </x:c>
      <x:c r="M821" s="26" t="n">
        <x:v>1975</x:v>
      </x:c>
      <x:c r="N821" s="26" t="n">
        <x:v>-1975</x:v>
      </x:c>
      <x:c r="O821" s="26" t="n">
        <x:v>1975</x:v>
      </x:c>
      <x:c r="P821" s="26" t="n">
        <x:v>0</x:v>
      </x:c>
      <x:c r="Q821" s="26" t="n">
        <x:v>0</x:v>
      </x:c>
      <x:c r="R821" s="26" t="n">
        <x:v>0</x:v>
      </x:c>
      <x:c r="S821" s="26" t="n">
        <x:v>0</x:v>
      </x:c>
      <x:c r="T821" s="26" t="n">
        <x:v>0</x:v>
      </x:c>
      <x:c r="U821" s="26" t="n">
        <x:v>0</x:v>
      </x:c>
      <x:c r="V821" s="26" t="n">
        <x:v>0</x:v>
      </x:c>
      <x:c r="W821" s="26" t="n">
        <x:v>0</x:v>
      </x:c>
      <x:c r="X821" s="26" t="n">
        <x:v>0</x:v>
      </x:c>
      <x:c r="Y821" s="26" t="n">
        <x:v>0</x:v>
      </x:c>
      <x:c r="Z821" s="35" t="str">
        <x:v>Receipt allocated to FIN-00817</x:v>
      </x:c>
    </x:row>
    <x:row r="822">
      <x:c r="A822" s="20" t="str">
        <x:v>FIN-00819</x:v>
      </x:c>
      <x:c r="B822" s="23" t="n">
        <x:v>46661</x:v>
      </x:c>
      <x:c r="C822" s="23" t="n">
        <x:v>46661</x:v>
      </x:c>
      <x:c r="D822" s="20" t="str">
        <x:v>TenantCharge</x:v>
      </x:c>
      <x:c r="E822" s="20" t="str">
        <x:v>Rent</x:v>
      </x:c>
      <x:c r="F822" s="20" t="str">
        <x:v>P025</x:v>
      </x:c>
      <x:c r="G822" s="20" t="str">
        <x:v>U030</x:v>
      </x:c>
      <x:c r="H822" s="20" t="str">
        <x:v>L030</x:v>
      </x:c>
      <x:c r="I822" s="20" t="str">
        <x:v>Rina King</x:v>
      </x:c>
      <x:c r="J822" s="35" t="str">
        <x:v>System scheduled charge</x:v>
      </x:c>
      <x:c r="K822" s="20" t="str"/>
      <x:c r="L822" s="20" t="str">
        <x:v>RENT-202710-L030</x:v>
      </x:c>
      <x:c r="M822" s="26" t="n">
        <x:v>1600</x:v>
      </x:c>
      <x:c r="N822" s="26" t="n">
        <x:v>1600</x:v>
      </x:c>
      <x:c r="O822" s="26" t="n">
        <x:v>0</x:v>
      </x:c>
      <x:c r="P822" s="26" t="n">
        <x:v>0</x:v>
      </x:c>
      <x:c r="Q822" s="26" t="n">
        <x:v>0</x:v>
      </x:c>
      <x:c r="R822" s="26" t="n">
        <x:v>0</x:v>
      </x:c>
      <x:c r="S822" s="26" t="n">
        <x:v>0</x:v>
      </x:c>
      <x:c r="T822" s="26" t="n">
        <x:v>1600</x:v>
      </x:c>
      <x:c r="U822" s="26" t="n">
        <x:v>0</x:v>
      </x:c>
      <x:c r="V822" s="26" t="n">
        <x:v>0</x:v>
      </x:c>
      <x:c r="W822" s="26" t="n">
        <x:v>0</x:v>
      </x:c>
      <x:c r="X822" s="26" t="n">
        <x:v>0</x:v>
      </x:c>
      <x:c r="Y822" s="26" t="n">
        <x:v>0</x:v>
      </x:c>
      <x:c r="Z822" s="35" t="str">
        <x:v>October 2027 rent</x:v>
      </x:c>
    </x:row>
    <x:row r="823">
      <x:c r="A823" s="20" t="str">
        <x:v>FIN-00820</x:v>
      </x:c>
      <x:c r="B823" s="23" t="n">
        <x:v>46663</x:v>
      </x:c>
      <x:c r="C823" s="23" t="n">
        <x:v>46663</x:v>
      </x:c>
      <x:c r="D823" s="20" t="str">
        <x:v>TenantReceipt</x:v>
      </x:c>
      <x:c r="E823" s="20" t="str">
        <x:v>Rent receipt</x:v>
      </x:c>
      <x:c r="F823" s="20" t="str">
        <x:v>P025</x:v>
      </x:c>
      <x:c r="G823" s="20" t="str">
        <x:v>U030</x:v>
      </x:c>
      <x:c r="H823" s="20" t="str">
        <x:v>L030</x:v>
      </x:c>
      <x:c r="I823" s="20" t="str">
        <x:v>Rina King</x:v>
      </x:c>
      <x:c r="J823" s="35" t="str">
        <x:v>Manual ACH</x:v>
      </x:c>
      <x:c r="K823" s="20" t="str"/>
      <x:c r="L823" s="20" t="str">
        <x:v>PMT-20271003-L030</x:v>
      </x:c>
      <x:c r="M823" s="26" t="n">
        <x:v>1600</x:v>
      </x:c>
      <x:c r="N823" s="26" t="n">
        <x:v>-1600</x:v>
      </x:c>
      <x:c r="O823" s="26" t="n">
        <x:v>1600</x:v>
      </x:c>
      <x:c r="P823" s="26" t="n">
        <x:v>0</x:v>
      </x:c>
      <x:c r="Q823" s="26" t="n">
        <x:v>0</x:v>
      </x:c>
      <x:c r="R823" s="26" t="n">
        <x:v>0</x:v>
      </x:c>
      <x:c r="S823" s="26" t="n">
        <x:v>0</x:v>
      </x:c>
      <x:c r="T823" s="26" t="n">
        <x:v>0</x:v>
      </x:c>
      <x:c r="U823" s="26" t="n">
        <x:v>0</x:v>
      </x:c>
      <x:c r="V823" s="26" t="n">
        <x:v>0</x:v>
      </x:c>
      <x:c r="W823" s="26" t="n">
        <x:v>0</x:v>
      </x:c>
      <x:c r="X823" s="26" t="n">
        <x:v>0</x:v>
      </x:c>
      <x:c r="Y823" s="26" t="n">
        <x:v>0</x:v>
      </x:c>
      <x:c r="Z823" s="35" t="str">
        <x:v>Receipt allocated to FIN-00819</x:v>
      </x:c>
    </x:row>
    <x:row r="824">
      <x:c r="A824" s="20" t="str">
        <x:v>FIN-00821</x:v>
      </x:c>
      <x:c r="B824" s="23" t="n">
        <x:v>46661</x:v>
      </x:c>
      <x:c r="C824" s="23" t="n">
        <x:v>46661</x:v>
      </x:c>
      <x:c r="D824" s="20" t="str">
        <x:v>TenantCharge</x:v>
      </x:c>
      <x:c r="E824" s="20" t="str">
        <x:v>Rent</x:v>
      </x:c>
      <x:c r="F824" s="20" t="str">
        <x:v>P026</x:v>
      </x:c>
      <x:c r="G824" s="20" t="str">
        <x:v>U031</x:v>
      </x:c>
      <x:c r="H824" s="20" t="str">
        <x:v>L031</x:v>
      </x:c>
      <x:c r="I824" s="20" t="str">
        <x:v>Uri Price</x:v>
      </x:c>
      <x:c r="J824" s="35" t="str">
        <x:v>System scheduled charge</x:v>
      </x:c>
      <x:c r="K824" s="20" t="str"/>
      <x:c r="L824" s="20" t="str">
        <x:v>RENT-202710-L031</x:v>
      </x:c>
      <x:c r="M824" s="26" t="n">
        <x:v>1225</x:v>
      </x:c>
      <x:c r="N824" s="26" t="n">
        <x:v>1225</x:v>
      </x:c>
      <x:c r="O824" s="26" t="n">
        <x:v>0</x:v>
      </x:c>
      <x:c r="P824" s="26" t="n">
        <x:v>0</x:v>
      </x:c>
      <x:c r="Q824" s="26" t="n">
        <x:v>0</x:v>
      </x:c>
      <x:c r="R824" s="26" t="n">
        <x:v>0</x:v>
      </x:c>
      <x:c r="S824" s="26" t="n">
        <x:v>0</x:v>
      </x:c>
      <x:c r="T824" s="26" t="n">
        <x:v>1225</x:v>
      </x:c>
      <x:c r="U824" s="26" t="n">
        <x:v>0</x:v>
      </x:c>
      <x:c r="V824" s="26" t="n">
        <x:v>0</x:v>
      </x:c>
      <x:c r="W824" s="26" t="n">
        <x:v>0</x:v>
      </x:c>
      <x:c r="X824" s="26" t="n">
        <x:v>0</x:v>
      </x:c>
      <x:c r="Y824" s="26" t="n">
        <x:v>0</x:v>
      </x:c>
      <x:c r="Z824" s="35" t="str">
        <x:v>October 2027 rent</x:v>
      </x:c>
    </x:row>
    <x:row r="825">
      <x:c r="A825" s="20" t="str">
        <x:v>FIN-00822</x:v>
      </x:c>
      <x:c r="B825" s="23" t="n">
        <x:v>46664</x:v>
      </x:c>
      <x:c r="C825" s="23" t="n">
        <x:v>46664</x:v>
      </x:c>
      <x:c r="D825" s="20" t="str">
        <x:v>TenantReceipt</x:v>
      </x:c>
      <x:c r="E825" s="20" t="str">
        <x:v>Rent receipt</x:v>
      </x:c>
      <x:c r="F825" s="20" t="str">
        <x:v>P026</x:v>
      </x:c>
      <x:c r="G825" s="20" t="str">
        <x:v>U031</x:v>
      </x:c>
      <x:c r="H825" s="20" t="str">
        <x:v>L031</x:v>
      </x:c>
      <x:c r="I825" s="20" t="str">
        <x:v>Uri Price</x:v>
      </x:c>
      <x:c r="J825" s="35" t="str">
        <x:v>Portal card</x:v>
      </x:c>
      <x:c r="K825" s="20" t="str"/>
      <x:c r="L825" s="20" t="str">
        <x:v>PMT-20271004-L031</x:v>
      </x:c>
      <x:c r="M825" s="26" t="n">
        <x:v>1225</x:v>
      </x:c>
      <x:c r="N825" s="26" t="n">
        <x:v>-1225</x:v>
      </x:c>
      <x:c r="O825" s="26" t="n">
        <x:v>1225</x:v>
      </x:c>
      <x:c r="P825" s="26" t="n">
        <x:v>0</x:v>
      </x:c>
      <x:c r="Q825" s="26" t="n">
        <x:v>0</x:v>
      </x:c>
      <x:c r="R825" s="26" t="n">
        <x:v>0</x:v>
      </x:c>
      <x:c r="S825" s="26" t="n">
        <x:v>0</x:v>
      </x:c>
      <x:c r="T825" s="26" t="n">
        <x:v>0</x:v>
      </x:c>
      <x:c r="U825" s="26" t="n">
        <x:v>0</x:v>
      </x:c>
      <x:c r="V825" s="26" t="n">
        <x:v>0</x:v>
      </x:c>
      <x:c r="W825" s="26" t="n">
        <x:v>0</x:v>
      </x:c>
      <x:c r="X825" s="26" t="n">
        <x:v>0</x:v>
      </x:c>
      <x:c r="Y825" s="26" t="n">
        <x:v>0</x:v>
      </x:c>
      <x:c r="Z825" s="35" t="str">
        <x:v>Receipt allocated to FIN-00821</x:v>
      </x:c>
    </x:row>
    <x:row r="826">
      <x:c r="A826" s="20" t="str">
        <x:v>FIN-00823</x:v>
      </x:c>
      <x:c r="B826" s="23" t="n">
        <x:v>46661</x:v>
      </x:c>
      <x:c r="C826" s="23" t="n">
        <x:v>46661</x:v>
      </x:c>
      <x:c r="D826" s="20" t="str">
        <x:v>TenantCharge</x:v>
      </x:c>
      <x:c r="E826" s="20" t="str">
        <x:v>Rent</x:v>
      </x:c>
      <x:c r="F826" s="20" t="str">
        <x:v>P026</x:v>
      </x:c>
      <x:c r="G826" s="20" t="str">
        <x:v>U032</x:v>
      </x:c>
      <x:c r="H826" s="20" t="str">
        <x:v>L032</x:v>
      </x:c>
      <x:c r="I826" s="20" t="str">
        <x:v>Avery Brooks</x:v>
      </x:c>
      <x:c r="J826" s="35" t="str">
        <x:v>System scheduled charge</x:v>
      </x:c>
      <x:c r="K826" s="20" t="str"/>
      <x:c r="L826" s="20" t="str">
        <x:v>RENT-202710-L032</x:v>
      </x:c>
      <x:c r="M826" s="26" t="n">
        <x:v>1750</x:v>
      </x:c>
      <x:c r="N826" s="26" t="n">
        <x:v>1750</x:v>
      </x:c>
      <x:c r="O826" s="26" t="n">
        <x:v>0</x:v>
      </x:c>
      <x:c r="P826" s="26" t="n">
        <x:v>0</x:v>
      </x:c>
      <x:c r="Q826" s="26" t="n">
        <x:v>0</x:v>
      </x:c>
      <x:c r="R826" s="26" t="n">
        <x:v>0</x:v>
      </x:c>
      <x:c r="S826" s="26" t="n">
        <x:v>0</x:v>
      </x:c>
      <x:c r="T826" s="26" t="n">
        <x:v>1750</x:v>
      </x:c>
      <x:c r="U826" s="26" t="n">
        <x:v>0</x:v>
      </x:c>
      <x:c r="V826" s="26" t="n">
        <x:v>0</x:v>
      </x:c>
      <x:c r="W826" s="26" t="n">
        <x:v>0</x:v>
      </x:c>
      <x:c r="X826" s="26" t="n">
        <x:v>0</x:v>
      </x:c>
      <x:c r="Y826" s="26" t="n">
        <x:v>0</x:v>
      </x:c>
      <x:c r="Z826" s="35" t="str">
        <x:v>October 2027 rent</x:v>
      </x:c>
    </x:row>
    <x:row r="827">
      <x:c r="A827" s="20" t="str">
        <x:v>FIN-00824</x:v>
      </x:c>
      <x:c r="B827" s="23" t="n">
        <x:v>46665</x:v>
      </x:c>
      <x:c r="C827" s="23" t="n">
        <x:v>46665</x:v>
      </x:c>
      <x:c r="D827" s="20" t="str">
        <x:v>TenantReceipt</x:v>
      </x:c>
      <x:c r="E827" s="20" t="str">
        <x:v>Rent receipt</x:v>
      </x:c>
      <x:c r="F827" s="20" t="str">
        <x:v>P026</x:v>
      </x:c>
      <x:c r="G827" s="20" t="str">
        <x:v>U032</x:v>
      </x:c>
      <x:c r="H827" s="20" t="str">
        <x:v>L032</x:v>
      </x:c>
      <x:c r="I827" s="20" t="str">
        <x:v>Avery Brooks</x:v>
      </x:c>
      <x:c r="J827" s="35" t="str">
        <x:v>Scanned check</x:v>
      </x:c>
      <x:c r="K827" s="20" t="str">
        <x:v>SCN-0295</x:v>
      </x:c>
      <x:c r="L827" s="20" t="str">
        <x:v>PMT-20271005-L032</x:v>
      </x:c>
      <x:c r="M827" s="26" t="n">
        <x:v>1750</x:v>
      </x:c>
      <x:c r="N827" s="26" t="n">
        <x:v>-1750</x:v>
      </x:c>
      <x:c r="O827" s="26" t="n">
        <x:v>1750</x:v>
      </x:c>
      <x:c r="P827" s="26" t="n">
        <x:v>0</x:v>
      </x:c>
      <x:c r="Q827" s="26" t="n">
        <x:v>0</x:v>
      </x:c>
      <x:c r="R827" s="26" t="n">
        <x:v>0</x:v>
      </x:c>
      <x:c r="S827" s="26" t="n">
        <x:v>0</x:v>
      </x:c>
      <x:c r="T827" s="26" t="n">
        <x:v>0</x:v>
      </x:c>
      <x:c r="U827" s="26" t="n">
        <x:v>0</x:v>
      </x:c>
      <x:c r="V827" s="26" t="n">
        <x:v>0</x:v>
      </x:c>
      <x:c r="W827" s="26" t="n">
        <x:v>0</x:v>
      </x:c>
      <x:c r="X827" s="26" t="n">
        <x:v>0</x:v>
      </x:c>
      <x:c r="Y827" s="26" t="n">
        <x:v>0</x:v>
      </x:c>
      <x:c r="Z827" s="35" t="str">
        <x:v>Receipt allocated to FIN-00823</x:v>
      </x:c>
    </x:row>
    <x:row r="828">
      <x:c r="A828" s="20" t="str">
        <x:v>FIN-00825</x:v>
      </x:c>
      <x:c r="B828" s="23" t="n">
        <x:v>46661</x:v>
      </x:c>
      <x:c r="C828" s="23" t="n">
        <x:v>46661</x:v>
      </x:c>
      <x:c r="D828" s="20" t="str">
        <x:v>TenantCharge</x:v>
      </x:c>
      <x:c r="E828" s="20" t="str">
        <x:v>Rent</x:v>
      </x:c>
      <x:c r="F828" s="20" t="str">
        <x:v>P027</x:v>
      </x:c>
      <x:c r="G828" s="20" t="str">
        <x:v>U033</x:v>
      </x:c>
      <x:c r="H828" s="20" t="str">
        <x:v>L033</x:v>
      </x:c>
      <x:c r="I828" s="20" t="str">
        <x:v>Dana Garcia</x:v>
      </x:c>
      <x:c r="J828" s="35" t="str">
        <x:v>System scheduled charge</x:v>
      </x:c>
      <x:c r="K828" s="20" t="str"/>
      <x:c r="L828" s="20" t="str">
        <x:v>RENT-202710-L033</x:v>
      </x:c>
      <x:c r="M828" s="26" t="n">
        <x:v>1375</x:v>
      </x:c>
      <x:c r="N828" s="26" t="n">
        <x:v>1375</x:v>
      </x:c>
      <x:c r="O828" s="26" t="n">
        <x:v>0</x:v>
      </x:c>
      <x:c r="P828" s="26" t="n">
        <x:v>0</x:v>
      </x:c>
      <x:c r="Q828" s="26" t="n">
        <x:v>0</x:v>
      </x:c>
      <x:c r="R828" s="26" t="n">
        <x:v>0</x:v>
      </x:c>
      <x:c r="S828" s="26" t="n">
        <x:v>0</x:v>
      </x:c>
      <x:c r="T828" s="26" t="n">
        <x:v>1375</x:v>
      </x:c>
      <x:c r="U828" s="26" t="n">
        <x:v>0</x:v>
      </x:c>
      <x:c r="V828" s="26" t="n">
        <x:v>0</x:v>
      </x:c>
      <x:c r="W828" s="26" t="n">
        <x:v>0</x:v>
      </x:c>
      <x:c r="X828" s="26" t="n">
        <x:v>0</x:v>
      </x:c>
      <x:c r="Y828" s="26" t="n">
        <x:v>0</x:v>
      </x:c>
      <x:c r="Z828" s="35" t="str">
        <x:v>October 2027 rent</x:v>
      </x:c>
    </x:row>
    <x:row r="829">
      <x:c r="A829" s="20" t="str">
        <x:v>FIN-00826</x:v>
      </x:c>
      <x:c r="B829" s="23" t="n">
        <x:v>46663</x:v>
      </x:c>
      <x:c r="C829" s="23" t="n">
        <x:v>46663</x:v>
      </x:c>
      <x:c r="D829" s="20" t="str">
        <x:v>TenantReceipt</x:v>
      </x:c>
      <x:c r="E829" s="20" t="str">
        <x:v>Rent receipt</x:v>
      </x:c>
      <x:c r="F829" s="20" t="str">
        <x:v>P027</x:v>
      </x:c>
      <x:c r="G829" s="20" t="str">
        <x:v>U033</x:v>
      </x:c>
      <x:c r="H829" s="20" t="str">
        <x:v>L033</x:v>
      </x:c>
      <x:c r="I829" s="20" t="str">
        <x:v>Dana Garcia</x:v>
      </x:c>
      <x:c r="J829" s="35" t="str">
        <x:v>Scanned money order</x:v>
      </x:c>
      <x:c r="K829" s="20" t="str">
        <x:v>SCN-0296</x:v>
      </x:c>
      <x:c r="L829" s="20" t="str">
        <x:v>PMT-20271003-L033-A</x:v>
      </x:c>
      <x:c r="M829" s="26" t="n">
        <x:v>825</x:v>
      </x:c>
      <x:c r="N829" s="26" t="n">
        <x:v>-825</x:v>
      </x:c>
      <x:c r="O829" s="26" t="n">
        <x:v>825</x:v>
      </x:c>
      <x:c r="P829" s="26" t="n">
        <x:v>0</x:v>
      </x:c>
      <x:c r="Q829" s="26" t="n">
        <x:v>0</x:v>
      </x:c>
      <x:c r="R829" s="26" t="n">
        <x:v>0</x:v>
      </x:c>
      <x:c r="S829" s="26" t="n">
        <x:v>0</x:v>
      </x:c>
      <x:c r="T829" s="26" t="n">
        <x:v>0</x:v>
      </x:c>
      <x:c r="U829" s="26" t="n">
        <x:v>0</x:v>
      </x:c>
      <x:c r="V829" s="26" t="n">
        <x:v>0</x:v>
      </x:c>
      <x:c r="W829" s="26" t="n">
        <x:v>0</x:v>
      </x:c>
      <x:c r="X829" s="26" t="n">
        <x:v>0</x:v>
      </x:c>
      <x:c r="Y829" s="26" t="n">
        <x:v>0</x:v>
      </x:c>
      <x:c r="Z829" s="35" t="str">
        <x:v>Receipt allocated to FIN-00825</x:v>
      </x:c>
    </x:row>
    <x:row r="830">
      <x:c r="A830" s="20" t="str">
        <x:v>FIN-00827</x:v>
      </x:c>
      <x:c r="B830" s="23" t="n">
        <x:v>46666</x:v>
      </x:c>
      <x:c r="C830" s="23" t="n">
        <x:v>46666</x:v>
      </x:c>
      <x:c r="D830" s="20" t="str">
        <x:v>TenantCharge</x:v>
      </x:c>
      <x:c r="E830" s="20" t="str">
        <x:v>Late fee</x:v>
      </x:c>
      <x:c r="F830" s="20" t="str">
        <x:v>P027</x:v>
      </x:c>
      <x:c r="G830" s="20" t="str">
        <x:v>U033</x:v>
      </x:c>
      <x:c r="H830" s="20" t="str">
        <x:v>L033</x:v>
      </x:c>
      <x:c r="I830" s="20" t="str">
        <x:v>Dana Garcia</x:v>
      </x:c>
      <x:c r="J830" s="35" t="str">
        <x:v>System automation</x:v>
      </x:c>
      <x:c r="K830" s="20" t="str"/>
      <x:c r="L830" s="20" t="str">
        <x:v>LATE-202710-L033</x:v>
      </x:c>
      <x:c r="M830" s="26" t="n">
        <x:v>50</x:v>
      </x:c>
      <x:c r="N830" s="26" t="n">
        <x:v>50</x:v>
      </x:c>
      <x:c r="O830" s="26" t="n">
        <x:v>0</x:v>
      </x:c>
      <x:c r="P830" s="26" t="n">
        <x:v>0</x:v>
      </x:c>
      <x:c r="Q830" s="26" t="n">
        <x:v>0</x:v>
      </x:c>
      <x:c r="R830" s="26" t="n">
        <x:v>0</x:v>
      </x:c>
      <x:c r="S830" s="26" t="n">
        <x:v>0</x:v>
      </x:c>
      <x:c r="T830" s="26" t="n">
        <x:v>50</x:v>
      </x:c>
      <x:c r="U830" s="26" t="n">
        <x:v>0</x:v>
      </x:c>
      <x:c r="V830" s="26" t="n">
        <x:v>0</x:v>
      </x:c>
      <x:c r="W830" s="26" t="n">
        <x:v>0</x:v>
      </x:c>
      <x:c r="X830" s="26" t="n">
        <x:v>0</x:v>
      </x:c>
      <x:c r="Y830" s="26" t="n">
        <x:v>0</x:v>
      </x:c>
      <x:c r="Z830" s="35" t="str">
        <x:v>Synthetic lease-authorized late fee after partial payment</x:v>
      </x:c>
    </x:row>
    <x:row r="831">
      <x:c r="A831" s="20" t="str">
        <x:v>FIN-00828</x:v>
      </x:c>
      <x:c r="B831" s="23" t="n">
        <x:v>46672</x:v>
      </x:c>
      <x:c r="C831" s="23" t="n">
        <x:v>46672</x:v>
      </x:c>
      <x:c r="D831" s="20" t="str">
        <x:v>TenantReceipt</x:v>
      </x:c>
      <x:c r="E831" s="20" t="str">
        <x:v>Rent receipt</x:v>
      </x:c>
      <x:c r="F831" s="20" t="str">
        <x:v>P027</x:v>
      </x:c>
      <x:c r="G831" s="20" t="str">
        <x:v>U033</x:v>
      </x:c>
      <x:c r="H831" s="20" t="str">
        <x:v>L033</x:v>
      </x:c>
      <x:c r="I831" s="20" t="str">
        <x:v>Dana Garcia</x:v>
      </x:c>
      <x:c r="J831" s="35" t="str">
        <x:v>Portal card</x:v>
      </x:c>
      <x:c r="K831" s="20" t="str"/>
      <x:c r="L831" s="20" t="str">
        <x:v>PMT-20271012-L033-B</x:v>
      </x:c>
      <x:c r="M831" s="26" t="n">
        <x:v>600</x:v>
      </x:c>
      <x:c r="N831" s="26" t="n">
        <x:v>-600</x:v>
      </x:c>
      <x:c r="O831" s="26" t="n">
        <x:v>600</x:v>
      </x:c>
      <x:c r="P831" s="26" t="n">
        <x:v>0</x:v>
      </x:c>
      <x:c r="Q831" s="26" t="n">
        <x:v>0</x:v>
      </x:c>
      <x:c r="R831" s="26" t="n">
        <x:v>0</x:v>
      </x:c>
      <x:c r="S831" s="26" t="n">
        <x:v>0</x:v>
      </x:c>
      <x:c r="T831" s="26" t="n">
        <x:v>0</x:v>
      </x:c>
      <x:c r="U831" s="26" t="n">
        <x:v>0</x:v>
      </x:c>
      <x:c r="V831" s="26" t="n">
        <x:v>0</x:v>
      </x:c>
      <x:c r="W831" s="26" t="n">
        <x:v>0</x:v>
      </x:c>
      <x:c r="X831" s="26" t="n">
        <x:v>0</x:v>
      </x:c>
      <x:c r="Y831" s="26" t="n">
        <x:v>0</x:v>
      </x:c>
      <x:c r="Z831" s="35" t="str">
        <x:v>Receipt allocated to FIN-00827</x:v>
      </x:c>
    </x:row>
    <x:row r="832">
      <x:c r="A832" s="20" t="str">
        <x:v>FIN-00829</x:v>
      </x:c>
      <x:c r="B832" s="23" t="n">
        <x:v>46661</x:v>
      </x:c>
      <x:c r="C832" s="23" t="n">
        <x:v>46661</x:v>
      </x:c>
      <x:c r="D832" s="20" t="str">
        <x:v>TenantCharge</x:v>
      </x:c>
      <x:c r="E832" s="20" t="str">
        <x:v>Rent</x:v>
      </x:c>
      <x:c r="F832" s="20" t="str">
        <x:v>P027</x:v>
      </x:c>
      <x:c r="G832" s="20" t="str">
        <x:v>U034</x:v>
      </x:c>
      <x:c r="H832" s="20" t="str">
        <x:v>L034</x:v>
      </x:c>
      <x:c r="I832" s="20" t="str">
        <x:v>Gray Lewis</x:v>
      </x:c>
      <x:c r="J832" s="35" t="str">
        <x:v>System scheduled charge</x:v>
      </x:c>
      <x:c r="K832" s="20" t="str"/>
      <x:c r="L832" s="20" t="str">
        <x:v>RENT-202710-L034</x:v>
      </x:c>
      <x:c r="M832" s="26" t="n">
        <x:v>1900</x:v>
      </x:c>
      <x:c r="N832" s="26" t="n">
        <x:v>1900</x:v>
      </x:c>
      <x:c r="O832" s="26" t="n">
        <x:v>0</x:v>
      </x:c>
      <x:c r="P832" s="26" t="n">
        <x:v>0</x:v>
      </x:c>
      <x:c r="Q832" s="26" t="n">
        <x:v>0</x:v>
      </x:c>
      <x:c r="R832" s="26" t="n">
        <x:v>0</x:v>
      </x:c>
      <x:c r="S832" s="26" t="n">
        <x:v>0</x:v>
      </x:c>
      <x:c r="T832" s="26" t="n">
        <x:v>1900</x:v>
      </x:c>
      <x:c r="U832" s="26" t="n">
        <x:v>0</x:v>
      </x:c>
      <x:c r="V832" s="26" t="n">
        <x:v>0</x:v>
      </x:c>
      <x:c r="W832" s="26" t="n">
        <x:v>0</x:v>
      </x:c>
      <x:c r="X832" s="26" t="n">
        <x:v>0</x:v>
      </x:c>
      <x:c r="Y832" s="26" t="n">
        <x:v>0</x:v>
      </x:c>
      <x:c r="Z832" s="35" t="str">
        <x:v>October 2027 rent</x:v>
      </x:c>
    </x:row>
    <x:row r="833">
      <x:c r="A833" s="20" t="str">
        <x:v>FIN-00830</x:v>
      </x:c>
      <x:c r="B833" s="23" t="n">
        <x:v>46664</x:v>
      </x:c>
      <x:c r="C833" s="23" t="n">
        <x:v>46664</x:v>
      </x:c>
      <x:c r="D833" s="20" t="str">
        <x:v>TenantReceipt</x:v>
      </x:c>
      <x:c r="E833" s="20" t="str">
        <x:v>Rent receipt</x:v>
      </x:c>
      <x:c r="F833" s="20" t="str">
        <x:v>P027</x:v>
      </x:c>
      <x:c r="G833" s="20" t="str">
        <x:v>U034</x:v>
      </x:c>
      <x:c r="H833" s="20" t="str">
        <x:v>L034</x:v>
      </x:c>
      <x:c r="I833" s="20" t="str">
        <x:v>Gray Lewis</x:v>
      </x:c>
      <x:c r="J833" s="35" t="str">
        <x:v>Manual ACH</x:v>
      </x:c>
      <x:c r="K833" s="20" t="str"/>
      <x:c r="L833" s="20" t="str">
        <x:v>PMT-20271004-L034</x:v>
      </x:c>
      <x:c r="M833" s="26" t="n">
        <x:v>1900</x:v>
      </x:c>
      <x:c r="N833" s="26" t="n">
        <x:v>-1900</x:v>
      </x:c>
      <x:c r="O833" s="26" t="n">
        <x:v>1900</x:v>
      </x:c>
      <x:c r="P833" s="26" t="n">
        <x:v>0</x:v>
      </x:c>
      <x:c r="Q833" s="26" t="n">
        <x:v>0</x:v>
      </x:c>
      <x:c r="R833" s="26" t="n">
        <x:v>0</x:v>
      </x:c>
      <x:c r="S833" s="26" t="n">
        <x:v>0</x:v>
      </x:c>
      <x:c r="T833" s="26" t="n">
        <x:v>0</x:v>
      </x:c>
      <x:c r="U833" s="26" t="n">
        <x:v>0</x:v>
      </x:c>
      <x:c r="V833" s="26" t="n">
        <x:v>0</x:v>
      </x:c>
      <x:c r="W833" s="26" t="n">
        <x:v>0</x:v>
      </x:c>
      <x:c r="X833" s="26" t="n">
        <x:v>0</x:v>
      </x:c>
      <x:c r="Y833" s="26" t="n">
        <x:v>0</x:v>
      </x:c>
      <x:c r="Z833" s="35" t="str">
        <x:v>Receipt allocated to FIN-00829</x:v>
      </x:c>
    </x:row>
    <x:row r="834">
      <x:c r="A834" s="20" t="str">
        <x:v>FIN-00831</x:v>
      </x:c>
      <x:c r="B834" s="23" t="n">
        <x:v>46661</x:v>
      </x:c>
      <x:c r="C834" s="23" t="n">
        <x:v>46661</x:v>
      </x:c>
      <x:c r="D834" s="20" t="str">
        <x:v>TenantCharge</x:v>
      </x:c>
      <x:c r="E834" s="20" t="str">
        <x:v>Rent</x:v>
      </x:c>
      <x:c r="F834" s="20" t="str">
        <x:v>P028</x:v>
      </x:c>
      <x:c r="G834" s="20" t="str">
        <x:v>U035</x:v>
      </x:c>
      <x:c r="H834" s="20" t="str">
        <x:v>L035</x:v>
      </x:c>
      <x:c r="I834" s="20" t="str">
        <x:v>Jordan Reed</x:v>
      </x:c>
      <x:c r="J834" s="35" t="str">
        <x:v>System scheduled charge</x:v>
      </x:c>
      <x:c r="K834" s="20" t="str"/>
      <x:c r="L834" s="20" t="str">
        <x:v>RENT-202710-L035</x:v>
      </x:c>
      <x:c r="M834" s="26" t="n">
        <x:v>1525</x:v>
      </x:c>
      <x:c r="N834" s="26" t="n">
        <x:v>1525</x:v>
      </x:c>
      <x:c r="O834" s="26" t="n">
        <x:v>0</x:v>
      </x:c>
      <x:c r="P834" s="26" t="n">
        <x:v>0</x:v>
      </x:c>
      <x:c r="Q834" s="26" t="n">
        <x:v>0</x:v>
      </x:c>
      <x:c r="R834" s="26" t="n">
        <x:v>0</x:v>
      </x:c>
      <x:c r="S834" s="26" t="n">
        <x:v>0</x:v>
      </x:c>
      <x:c r="T834" s="26" t="n">
        <x:v>1525</x:v>
      </x:c>
      <x:c r="U834" s="26" t="n">
        <x:v>0</x:v>
      </x:c>
      <x:c r="V834" s="26" t="n">
        <x:v>0</x:v>
      </x:c>
      <x:c r="W834" s="26" t="n">
        <x:v>0</x:v>
      </x:c>
      <x:c r="X834" s="26" t="n">
        <x:v>0</x:v>
      </x:c>
      <x:c r="Y834" s="26" t="n">
        <x:v>0</x:v>
      </x:c>
      <x:c r="Z834" s="35" t="str">
        <x:v>October 2027 rent</x:v>
      </x:c>
    </x:row>
    <x:row r="835">
      <x:c r="A835" s="20" t="str">
        <x:v>FIN-00832</x:v>
      </x:c>
      <x:c r="B835" s="23" t="n">
        <x:v>46665</x:v>
      </x:c>
      <x:c r="C835" s="23" t="n">
        <x:v>46665</x:v>
      </x:c>
      <x:c r="D835" s="20" t="str">
        <x:v>TenantReceipt</x:v>
      </x:c>
      <x:c r="E835" s="20" t="str">
        <x:v>Rent receipt</x:v>
      </x:c>
      <x:c r="F835" s="20" t="str">
        <x:v>P028</x:v>
      </x:c>
      <x:c r="G835" s="20" t="str">
        <x:v>U035</x:v>
      </x:c>
      <x:c r="H835" s="20" t="str">
        <x:v>L035</x:v>
      </x:c>
      <x:c r="I835" s="20" t="str">
        <x:v>Jordan Reed</x:v>
      </x:c>
      <x:c r="J835" s="35" t="str">
        <x:v>Portal card</x:v>
      </x:c>
      <x:c r="K835" s="20" t="str"/>
      <x:c r="L835" s="20" t="str">
        <x:v>PMT-20271005-L035</x:v>
      </x:c>
      <x:c r="M835" s="26" t="n">
        <x:v>1525</x:v>
      </x:c>
      <x:c r="N835" s="26" t="n">
        <x:v>-1525</x:v>
      </x:c>
      <x:c r="O835" s="26" t="n">
        <x:v>1525</x:v>
      </x:c>
      <x:c r="P835" s="26" t="n">
        <x:v>0</x:v>
      </x:c>
      <x:c r="Q835" s="26" t="n">
        <x:v>0</x:v>
      </x:c>
      <x:c r="R835" s="26" t="n">
        <x:v>0</x:v>
      </x:c>
      <x:c r="S835" s="26" t="n">
        <x:v>0</x:v>
      </x:c>
      <x:c r="T835" s="26" t="n">
        <x:v>0</x:v>
      </x:c>
      <x:c r="U835" s="26" t="n">
        <x:v>0</x:v>
      </x:c>
      <x:c r="V835" s="26" t="n">
        <x:v>0</x:v>
      </x:c>
      <x:c r="W835" s="26" t="n">
        <x:v>0</x:v>
      </x:c>
      <x:c r="X835" s="26" t="n">
        <x:v>0</x:v>
      </x:c>
      <x:c r="Y835" s="26" t="n">
        <x:v>0</x:v>
      </x:c>
      <x:c r="Z835" s="35" t="str">
        <x:v>Receipt allocated to FIN-00831</x:v>
      </x:c>
    </x:row>
    <x:row r="836">
      <x:c r="A836" s="20" t="str">
        <x:v>FIN-00833</x:v>
      </x:c>
      <x:c r="B836" s="23" t="n">
        <x:v>46661</x:v>
      </x:c>
      <x:c r="C836" s="23" t="n">
        <x:v>46661</x:v>
      </x:c>
      <x:c r="D836" s="20" t="str">
        <x:v>TenantCharge</x:v>
      </x:c>
      <x:c r="E836" s="20" t="str">
        <x:v>Rent</x:v>
      </x:c>
      <x:c r="F836" s="20" t="str">
        <x:v>P028</x:v>
      </x:c>
      <x:c r="G836" s="20" t="str">
        <x:v>U036</x:v>
      </x:c>
      <x:c r="H836" s="20" t="str">
        <x:v>L036</x:v>
      </x:c>
      <x:c r="I836" s="20" t="str">
        <x:v>Morgan Adams</x:v>
      </x:c>
      <x:c r="J836" s="35" t="str">
        <x:v>System scheduled charge</x:v>
      </x:c>
      <x:c r="K836" s="20" t="str"/>
      <x:c r="L836" s="20" t="str">
        <x:v>RENT-202710-L036</x:v>
      </x:c>
      <x:c r="M836" s="26" t="n">
        <x:v>1150</x:v>
      </x:c>
      <x:c r="N836" s="26" t="n">
        <x:v>1150</x:v>
      </x:c>
      <x:c r="O836" s="26" t="n">
        <x:v>0</x:v>
      </x:c>
      <x:c r="P836" s="26" t="n">
        <x:v>0</x:v>
      </x:c>
      <x:c r="Q836" s="26" t="n">
        <x:v>0</x:v>
      </x:c>
      <x:c r="R836" s="26" t="n">
        <x:v>0</x:v>
      </x:c>
      <x:c r="S836" s="26" t="n">
        <x:v>0</x:v>
      </x:c>
      <x:c r="T836" s="26" t="n">
        <x:v>1150</x:v>
      </x:c>
      <x:c r="U836" s="26" t="n">
        <x:v>0</x:v>
      </x:c>
      <x:c r="V836" s="26" t="n">
        <x:v>0</x:v>
      </x:c>
      <x:c r="W836" s="26" t="n">
        <x:v>0</x:v>
      </x:c>
      <x:c r="X836" s="26" t="n">
        <x:v>0</x:v>
      </x:c>
      <x:c r="Y836" s="26" t="n">
        <x:v>0</x:v>
      </x:c>
      <x:c r="Z836" s="35" t="str">
        <x:v>October 2027 rent</x:v>
      </x:c>
    </x:row>
    <x:row r="837">
      <x:c r="A837" s="20" t="str">
        <x:v>FIN-00834</x:v>
      </x:c>
      <x:c r="B837" s="23" t="n">
        <x:v>46663</x:v>
      </x:c>
      <x:c r="C837" s="23" t="n">
        <x:v>46663</x:v>
      </x:c>
      <x:c r="D837" s="20" t="str">
        <x:v>TenantReceipt</x:v>
      </x:c>
      <x:c r="E837" s="20" t="str">
        <x:v>Rent receipt</x:v>
      </x:c>
      <x:c r="F837" s="20" t="str">
        <x:v>P028</x:v>
      </x:c>
      <x:c r="G837" s="20" t="str">
        <x:v>U036</x:v>
      </x:c>
      <x:c r="H837" s="20" t="str">
        <x:v>L036</x:v>
      </x:c>
      <x:c r="I837" s="20" t="str">
        <x:v>Morgan Adams</x:v>
      </x:c>
      <x:c r="J837" s="35" t="str">
        <x:v>Scanned check</x:v>
      </x:c>
      <x:c r="K837" s="20" t="str">
        <x:v>SCN-0297</x:v>
      </x:c>
      <x:c r="L837" s="20" t="str">
        <x:v>PMT-20271003-L036</x:v>
      </x:c>
      <x:c r="M837" s="26" t="n">
        <x:v>1150</x:v>
      </x:c>
      <x:c r="N837" s="26" t="n">
        <x:v>-1150</x:v>
      </x:c>
      <x:c r="O837" s="26" t="n">
        <x:v>1150</x:v>
      </x:c>
      <x:c r="P837" s="26" t="n">
        <x:v>0</x:v>
      </x:c>
      <x:c r="Q837" s="26" t="n">
        <x:v>0</x:v>
      </x:c>
      <x:c r="R837" s="26" t="n">
        <x:v>0</x:v>
      </x:c>
      <x:c r="S837" s="26" t="n">
        <x:v>0</x:v>
      </x:c>
      <x:c r="T837" s="26" t="n">
        <x:v>0</x:v>
      </x:c>
      <x:c r="U837" s="26" t="n">
        <x:v>0</x:v>
      </x:c>
      <x:c r="V837" s="26" t="n">
        <x:v>0</x:v>
      </x:c>
      <x:c r="W837" s="26" t="n">
        <x:v>0</x:v>
      </x:c>
      <x:c r="X837" s="26" t="n">
        <x:v>0</x:v>
      </x:c>
      <x:c r="Y837" s="26" t="n">
        <x:v>0</x:v>
      </x:c>
      <x:c r="Z837" s="35" t="str">
        <x:v>Receipt allocated to FIN-00833</x:v>
      </x:c>
    </x:row>
    <x:row r="838">
      <x:c r="A838" s="20" t="str">
        <x:v>FIN-00835</x:v>
      </x:c>
      <x:c r="B838" s="23" t="n">
        <x:v>46661</x:v>
      </x:c>
      <x:c r="C838" s="23" t="n">
        <x:v>46661</x:v>
      </x:c>
      <x:c r="D838" s="20" t="str">
        <x:v>TenantCharge</x:v>
      </x:c>
      <x:c r="E838" s="20" t="str">
        <x:v>Rent</x:v>
      </x:c>
      <x:c r="F838" s="20" t="str">
        <x:v>P005</x:v>
      </x:c>
      <x:c r="G838" s="20" t="str">
        <x:v>U005</x:v>
      </x:c>
      <x:c r="H838" s="20" t="str">
        <x:v>L037</x:v>
      </x:c>
      <x:c r="I838" s="20" t="str">
        <x:v>Parker Flores</x:v>
      </x:c>
      <x:c r="J838" s="35" t="str">
        <x:v>System scheduled charge</x:v>
      </x:c>
      <x:c r="K838" s="20" t="str"/>
      <x:c r="L838" s="20" t="str">
        <x:v>RENT-202710-L037</x:v>
      </x:c>
      <x:c r="M838" s="26" t="n">
        <x:v>1875</x:v>
      </x:c>
      <x:c r="N838" s="26" t="n">
        <x:v>1875</x:v>
      </x:c>
      <x:c r="O838" s="26" t="n">
        <x:v>0</x:v>
      </x:c>
      <x:c r="P838" s="26" t="n">
        <x:v>0</x:v>
      </x:c>
      <x:c r="Q838" s="26" t="n">
        <x:v>0</x:v>
      </x:c>
      <x:c r="R838" s="26" t="n">
        <x:v>0</x:v>
      </x:c>
      <x:c r="S838" s="26" t="n">
        <x:v>0</x:v>
      </x:c>
      <x:c r="T838" s="26" t="n">
        <x:v>1875</x:v>
      </x:c>
      <x:c r="U838" s="26" t="n">
        <x:v>0</x:v>
      </x:c>
      <x:c r="V838" s="26" t="n">
        <x:v>0</x:v>
      </x:c>
      <x:c r="W838" s="26" t="n">
        <x:v>0</x:v>
      </x:c>
      <x:c r="X838" s="26" t="n">
        <x:v>0</x:v>
      </x:c>
      <x:c r="Y838" s="26" t="n">
        <x:v>0</x:v>
      </x:c>
      <x:c r="Z838" s="35" t="str">
        <x:v>October 2027 rent</x:v>
      </x:c>
    </x:row>
    <x:row r="839">
      <x:c r="A839" s="20" t="str">
        <x:v>FIN-00836</x:v>
      </x:c>
      <x:c r="B839" s="23" t="n">
        <x:v>46664</x:v>
      </x:c>
      <x:c r="C839" s="23" t="n">
        <x:v>46664</x:v>
      </x:c>
      <x:c r="D839" s="20" t="str">
        <x:v>TenantReceipt</x:v>
      </x:c>
      <x:c r="E839" s="20" t="str">
        <x:v>Rent receipt</x:v>
      </x:c>
      <x:c r="F839" s="20" t="str">
        <x:v>P005</x:v>
      </x:c>
      <x:c r="G839" s="20" t="str">
        <x:v>U005</x:v>
      </x:c>
      <x:c r="H839" s="20" t="str">
        <x:v>L037</x:v>
      </x:c>
      <x:c r="I839" s="20" t="str">
        <x:v>Parker Flores</x:v>
      </x:c>
      <x:c r="J839" s="35" t="str">
        <x:v>Scanned money order</x:v>
      </x:c>
      <x:c r="K839" s="20" t="str">
        <x:v>SCN-0298</x:v>
      </x:c>
      <x:c r="L839" s="20" t="str">
        <x:v>PMT-20271004-L037</x:v>
      </x:c>
      <x:c r="M839" s="26" t="n">
        <x:v>1875</x:v>
      </x:c>
      <x:c r="N839" s="26" t="n">
        <x:v>-1875</x:v>
      </x:c>
      <x:c r="O839" s="26" t="n">
        <x:v>1875</x:v>
      </x:c>
      <x:c r="P839" s="26" t="n">
        <x:v>0</x:v>
      </x:c>
      <x:c r="Q839" s="26" t="n">
        <x:v>0</x:v>
      </x:c>
      <x:c r="R839" s="26" t="n">
        <x:v>0</x:v>
      </x:c>
      <x:c r="S839" s="26" t="n">
        <x:v>0</x:v>
      </x:c>
      <x:c r="T839" s="26" t="n">
        <x:v>0</x:v>
      </x:c>
      <x:c r="U839" s="26" t="n">
        <x:v>0</x:v>
      </x:c>
      <x:c r="V839" s="26" t="n">
        <x:v>0</x:v>
      </x:c>
      <x:c r="W839" s="26" t="n">
        <x:v>0</x:v>
      </x:c>
      <x:c r="X839" s="26" t="n">
        <x:v>0</x:v>
      </x:c>
      <x:c r="Y839" s="26" t="n">
        <x:v>0</x:v>
      </x:c>
      <x:c r="Z839" s="35" t="str">
        <x:v>Receipt allocated to FIN-00835</x:v>
      </x:c>
    </x:row>
    <x:row r="840">
      <x:c r="A840" s="20" t="str">
        <x:v>FIN-00837</x:v>
      </x:c>
      <x:c r="B840" s="23" t="n">
        <x:v>46661</x:v>
      </x:c>
      <x:c r="C840" s="23" t="n">
        <x:v>46661</x:v>
      </x:c>
      <x:c r="D840" s="20" t="str">
        <x:v>TenantCharge</x:v>
      </x:c>
      <x:c r="E840" s="20" t="str">
        <x:v>Rent</x:v>
      </x:c>
      <x:c r="F840" s="20" t="str">
        <x:v>P014</x:v>
      </x:c>
      <x:c r="G840" s="20" t="str">
        <x:v>U014</x:v>
      </x:c>
      <x:c r="H840" s="20" t="str">
        <x:v>L038</x:v>
      </x:c>
      <x:c r="I840" s="20" t="str">
        <x:v>Sage King</x:v>
      </x:c>
      <x:c r="J840" s="35" t="str">
        <x:v>System scheduled charge</x:v>
      </x:c>
      <x:c r="K840" s="20" t="str"/>
      <x:c r="L840" s="20" t="str">
        <x:v>RENT-202710-L038</x:v>
      </x:c>
      <x:c r="M840" s="26" t="n">
        <x:v>1200</x:v>
      </x:c>
      <x:c r="N840" s="26" t="n">
        <x:v>1200</x:v>
      </x:c>
      <x:c r="O840" s="26" t="n">
        <x:v>0</x:v>
      </x:c>
      <x:c r="P840" s="26" t="n">
        <x:v>0</x:v>
      </x:c>
      <x:c r="Q840" s="26" t="n">
        <x:v>0</x:v>
      </x:c>
      <x:c r="R840" s="26" t="n">
        <x:v>0</x:v>
      </x:c>
      <x:c r="S840" s="26" t="n">
        <x:v>0</x:v>
      </x:c>
      <x:c r="T840" s="26" t="n">
        <x:v>1200</x:v>
      </x:c>
      <x:c r="U840" s="26" t="n">
        <x:v>0</x:v>
      </x:c>
      <x:c r="V840" s="26" t="n">
        <x:v>0</x:v>
      </x:c>
      <x:c r="W840" s="26" t="n">
        <x:v>0</x:v>
      </x:c>
      <x:c r="X840" s="26" t="n">
        <x:v>0</x:v>
      </x:c>
      <x:c r="Y840" s="26" t="n">
        <x:v>0</x:v>
      </x:c>
      <x:c r="Z840" s="35" t="str">
        <x:v>October 2027 rent</x:v>
      </x:c>
    </x:row>
    <x:row r="841">
      <x:c r="A841" s="20" t="str">
        <x:v>FIN-00838</x:v>
      </x:c>
      <x:c r="B841" s="23" t="n">
        <x:v>46665</x:v>
      </x:c>
      <x:c r="C841" s="23" t="n">
        <x:v>46665</x:v>
      </x:c>
      <x:c r="D841" s="20" t="str">
        <x:v>TenantReceipt</x:v>
      </x:c>
      <x:c r="E841" s="20" t="str">
        <x:v>Rent receipt</x:v>
      </x:c>
      <x:c r="F841" s="20" t="str">
        <x:v>P014</x:v>
      </x:c>
      <x:c r="G841" s="20" t="str">
        <x:v>U014</x:v>
      </x:c>
      <x:c r="H841" s="20" t="str">
        <x:v>L038</x:v>
      </x:c>
      <x:c r="I841" s="20" t="str">
        <x:v>Sage King</x:v>
      </x:c>
      <x:c r="J841" s="35" t="str">
        <x:v>Manual ACH</x:v>
      </x:c>
      <x:c r="K841" s="20" t="str"/>
      <x:c r="L841" s="20" t="str">
        <x:v>PMT-20271005-L038</x:v>
      </x:c>
      <x:c r="M841" s="26" t="n">
        <x:v>1200</x:v>
      </x:c>
      <x:c r="N841" s="26" t="n">
        <x:v>-1200</x:v>
      </x:c>
      <x:c r="O841" s="26" t="n">
        <x:v>1200</x:v>
      </x:c>
      <x:c r="P841" s="26" t="n">
        <x:v>0</x:v>
      </x:c>
      <x:c r="Q841" s="26" t="n">
        <x:v>0</x:v>
      </x:c>
      <x:c r="R841" s="26" t="n">
        <x:v>0</x:v>
      </x:c>
      <x:c r="S841" s="26" t="n">
        <x:v>0</x:v>
      </x:c>
      <x:c r="T841" s="26" t="n">
        <x:v>0</x:v>
      </x:c>
      <x:c r="U841" s="26" t="n">
        <x:v>0</x:v>
      </x:c>
      <x:c r="V841" s="26" t="n">
        <x:v>0</x:v>
      </x:c>
      <x:c r="W841" s="26" t="n">
        <x:v>0</x:v>
      </x:c>
      <x:c r="X841" s="26" t="n">
        <x:v>0</x:v>
      </x:c>
      <x:c r="Y841" s="26" t="n">
        <x:v>0</x:v>
      </x:c>
      <x:c r="Z841" s="35" t="str">
        <x:v>Receipt allocated to FIN-00837</x:v>
      </x:c>
    </x:row>
    <x:row r="842">
      <x:c r="A842" s="20" t="str">
        <x:v>FIN-00839</x:v>
      </x:c>
      <x:c r="B842" s="23" t="n">
        <x:v>46661</x:v>
      </x:c>
      <x:c r="C842" s="23" t="n">
        <x:v>46661</x:v>
      </x:c>
      <x:c r="D842" s="20" t="str">
        <x:v>TenantCharge</x:v>
      </x:c>
      <x:c r="E842" s="20" t="str">
        <x:v>Rent</x:v>
      </x:c>
      <x:c r="F842" s="20" t="str">
        <x:v>P017</x:v>
      </x:c>
      <x:c r="G842" s="20" t="str">
        <x:v>U017</x:v>
      </x:c>
      <x:c r="H842" s="20" t="str">
        <x:v>L039</x:v>
      </x:c>
      <x:c r="I842" s="20" t="str">
        <x:v>Val Price</x:v>
      </x:c>
      <x:c r="J842" s="35" t="str">
        <x:v>System scheduled charge</x:v>
      </x:c>
      <x:c r="K842" s="20" t="str"/>
      <x:c r="L842" s="20" t="str">
        <x:v>RENT-202710-L039</x:v>
      </x:c>
      <x:c r="M842" s="26" t="n">
        <x:v>1875</x:v>
      </x:c>
      <x:c r="N842" s="26" t="n">
        <x:v>1875</x:v>
      </x:c>
      <x:c r="O842" s="26" t="n">
        <x:v>0</x:v>
      </x:c>
      <x:c r="P842" s="26" t="n">
        <x:v>0</x:v>
      </x:c>
      <x:c r="Q842" s="26" t="n">
        <x:v>0</x:v>
      </x:c>
      <x:c r="R842" s="26" t="n">
        <x:v>0</x:v>
      </x:c>
      <x:c r="S842" s="26" t="n">
        <x:v>0</x:v>
      </x:c>
      <x:c r="T842" s="26" t="n">
        <x:v>1875</x:v>
      </x:c>
      <x:c r="U842" s="26" t="n">
        <x:v>0</x:v>
      </x:c>
      <x:c r="V842" s="26" t="n">
        <x:v>0</x:v>
      </x:c>
      <x:c r="W842" s="26" t="n">
        <x:v>0</x:v>
      </x:c>
      <x:c r="X842" s="26" t="n">
        <x:v>0</x:v>
      </x:c>
      <x:c r="Y842" s="26" t="n">
        <x:v>0</x:v>
      </x:c>
      <x:c r="Z842" s="35" t="str">
        <x:v>October 2027 rent</x:v>
      </x:c>
    </x:row>
    <x:row r="843">
      <x:c r="A843" s="20" t="str">
        <x:v>FIN-00840</x:v>
      </x:c>
      <x:c r="B843" s="23" t="n">
        <x:v>46666</x:v>
      </x:c>
      <x:c r="C843" s="23" t="n">
        <x:v>46666</x:v>
      </x:c>
      <x:c r="D843" s="20" t="str">
        <x:v>TenantCharge</x:v>
      </x:c>
      <x:c r="E843" s="20" t="str">
        <x:v>Late fee</x:v>
      </x:c>
      <x:c r="F843" s="20" t="str">
        <x:v>P017</x:v>
      </x:c>
      <x:c r="G843" s="20" t="str">
        <x:v>U017</x:v>
      </x:c>
      <x:c r="H843" s="20" t="str">
        <x:v>L039</x:v>
      </x:c>
      <x:c r="I843" s="20" t="str">
        <x:v>Val Price</x:v>
      </x:c>
      <x:c r="J843" s="35" t="str">
        <x:v>System automation</x:v>
      </x:c>
      <x:c r="K843" s="20" t="str"/>
      <x:c r="L843" s="20" t="str">
        <x:v>LATE-202710-L039</x:v>
      </x:c>
      <x:c r="M843" s="26" t="n">
        <x:v>50</x:v>
      </x:c>
      <x:c r="N843" s="26" t="n">
        <x:v>50</x:v>
      </x:c>
      <x:c r="O843" s="26" t="n">
        <x:v>0</x:v>
      </x:c>
      <x:c r="P843" s="26" t="n">
        <x:v>0</x:v>
      </x:c>
      <x:c r="Q843" s="26" t="n">
        <x:v>0</x:v>
      </x:c>
      <x:c r="R843" s="26" t="n">
        <x:v>0</x:v>
      </x:c>
      <x:c r="S843" s="26" t="n">
        <x:v>0</x:v>
      </x:c>
      <x:c r="T843" s="26" t="n">
        <x:v>50</x:v>
      </x:c>
      <x:c r="U843" s="26" t="n">
        <x:v>0</x:v>
      </x:c>
      <x:c r="V843" s="26" t="n">
        <x:v>0</x:v>
      </x:c>
      <x:c r="W843" s="26" t="n">
        <x:v>0</x:v>
      </x:c>
      <x:c r="X843" s="26" t="n">
        <x:v>0</x:v>
      </x:c>
      <x:c r="Y843" s="26" t="n">
        <x:v>0</x:v>
      </x:c>
      <x:c r="Z843" s="35" t="str">
        <x:v>Synthetic lease-authorized late fee</x:v>
      </x:c>
    </x:row>
    <x:row r="844">
      <x:c r="A844" s="20" t="str">
        <x:v>FIN-00841</x:v>
      </x:c>
      <x:c r="B844" s="23" t="n">
        <x:v>46668</x:v>
      </x:c>
      <x:c r="C844" s="23" t="n">
        <x:v>46668</x:v>
      </x:c>
      <x:c r="D844" s="20" t="str">
        <x:v>TenantReceipt</x:v>
      </x:c>
      <x:c r="E844" s="20" t="str">
        <x:v>Rent receipt</x:v>
      </x:c>
      <x:c r="F844" s="20" t="str">
        <x:v>P017</x:v>
      </x:c>
      <x:c r="G844" s="20" t="str">
        <x:v>U017</x:v>
      </x:c>
      <x:c r="H844" s="20" t="str">
        <x:v>L039</x:v>
      </x:c>
      <x:c r="I844" s="20" t="str">
        <x:v>Val Price</x:v>
      </x:c>
      <x:c r="J844" s="35" t="str">
        <x:v>Manual ACH</x:v>
      </x:c>
      <x:c r="K844" s="20" t="str"/>
      <x:c r="L844" s="20" t="str">
        <x:v>PMT-20271008-L039</x:v>
      </x:c>
      <x:c r="M844" s="26" t="n">
        <x:v>1925</x:v>
      </x:c>
      <x:c r="N844" s="26" t="n">
        <x:v>-1925</x:v>
      </x:c>
      <x:c r="O844" s="26" t="n">
        <x:v>1925</x:v>
      </x:c>
      <x:c r="P844" s="26" t="n">
        <x:v>0</x:v>
      </x:c>
      <x:c r="Q844" s="26" t="n">
        <x:v>0</x:v>
      </x:c>
      <x:c r="R844" s="26" t="n">
        <x:v>0</x:v>
      </x:c>
      <x:c r="S844" s="26" t="n">
        <x:v>0</x:v>
      </x:c>
      <x:c r="T844" s="26" t="n">
        <x:v>0</x:v>
      </x:c>
      <x:c r="U844" s="26" t="n">
        <x:v>0</x:v>
      </x:c>
      <x:c r="V844" s="26" t="n">
        <x:v>0</x:v>
      </x:c>
      <x:c r="W844" s="26" t="n">
        <x:v>0</x:v>
      </x:c>
      <x:c r="X844" s="26" t="n">
        <x:v>0</x:v>
      </x:c>
      <x:c r="Y844" s="26" t="n">
        <x:v>0</x:v>
      </x:c>
      <x:c r="Z844" s="35" t="str">
        <x:v>Receipt allocated to FIN-00840</x:v>
      </x:c>
    </x:row>
    <x:row r="845">
      <x:c r="A845" s="20" t="str">
        <x:v>FIN-00842</x:v>
      </x:c>
      <x:c r="B845" s="23" t="n">
        <x:v>46661</x:v>
      </x:c>
      <x:c r="C845" s="23" t="n">
        <x:v>46661</x:v>
      </x:c>
      <x:c r="D845" s="20" t="str">
        <x:v>TenantCharge</x:v>
      </x:c>
      <x:c r="E845" s="20" t="str">
        <x:v>Rent</x:v>
      </x:c>
      <x:c r="F845" s="20" t="str">
        <x:v>P021</x:v>
      </x:c>
      <x:c r="G845" s="20" t="str">
        <x:v>U022</x:v>
      </x:c>
      <x:c r="H845" s="20" t="str">
        <x:v>L040</x:v>
      </x:c>
      <x:c r="I845" s="20" t="str">
        <x:v>Yara Brooks</x:v>
      </x:c>
      <x:c r="J845" s="35" t="str">
        <x:v>System scheduled charge</x:v>
      </x:c>
      <x:c r="K845" s="20" t="str"/>
      <x:c r="L845" s="20" t="str">
        <x:v>RENT-202710-L040</x:v>
      </x:c>
      <x:c r="M845" s="26" t="n">
        <x:v>1900</x:v>
      </x:c>
      <x:c r="N845" s="26" t="n">
        <x:v>1900</x:v>
      </x:c>
      <x:c r="O845" s="26" t="n">
        <x:v>0</x:v>
      </x:c>
      <x:c r="P845" s="26" t="n">
        <x:v>0</x:v>
      </x:c>
      <x:c r="Q845" s="26" t="n">
        <x:v>0</x:v>
      </x:c>
      <x:c r="R845" s="26" t="n">
        <x:v>0</x:v>
      </x:c>
      <x:c r="S845" s="26" t="n">
        <x:v>0</x:v>
      </x:c>
      <x:c r="T845" s="26" t="n">
        <x:v>1900</x:v>
      </x:c>
      <x:c r="U845" s="26" t="n">
        <x:v>0</x:v>
      </x:c>
      <x:c r="V845" s="26" t="n">
        <x:v>0</x:v>
      </x:c>
      <x:c r="W845" s="26" t="n">
        <x:v>0</x:v>
      </x:c>
      <x:c r="X845" s="26" t="n">
        <x:v>0</x:v>
      </x:c>
      <x:c r="Y845" s="26" t="n">
        <x:v>0</x:v>
      </x:c>
      <x:c r="Z845" s="35" t="str">
        <x:v>October 2027 rent</x:v>
      </x:c>
    </x:row>
    <x:row r="846">
      <x:c r="A846" s="20" t="str">
        <x:v>FIN-00843</x:v>
      </x:c>
      <x:c r="B846" s="23" t="n">
        <x:v>46664</x:v>
      </x:c>
      <x:c r="C846" s="23" t="n">
        <x:v>46664</x:v>
      </x:c>
      <x:c r="D846" s="20" t="str">
        <x:v>TenantReceipt</x:v>
      </x:c>
      <x:c r="E846" s="20" t="str">
        <x:v>Rent receipt</x:v>
      </x:c>
      <x:c r="F846" s="20" t="str">
        <x:v>P021</x:v>
      </x:c>
      <x:c r="G846" s="20" t="str">
        <x:v>U022</x:v>
      </x:c>
      <x:c r="H846" s="20" t="str">
        <x:v>L040</x:v>
      </x:c>
      <x:c r="I846" s="20" t="str">
        <x:v>Yara Brooks</x:v>
      </x:c>
      <x:c r="J846" s="35" t="str">
        <x:v>Scanned check</x:v>
      </x:c>
      <x:c r="K846" s="20" t="str">
        <x:v>SCN-0299</x:v>
      </x:c>
      <x:c r="L846" s="20" t="str">
        <x:v>PMT-20271004-L040</x:v>
      </x:c>
      <x:c r="M846" s="26" t="n">
        <x:v>1900</x:v>
      </x:c>
      <x:c r="N846" s="26" t="n">
        <x:v>-1900</x:v>
      </x:c>
      <x:c r="O846" s="26" t="n">
        <x:v>1900</x:v>
      </x:c>
      <x:c r="P846" s="26" t="n">
        <x:v>0</x:v>
      </x:c>
      <x:c r="Q846" s="26" t="n">
        <x:v>0</x:v>
      </x:c>
      <x:c r="R846" s="26" t="n">
        <x:v>0</x:v>
      </x:c>
      <x:c r="S846" s="26" t="n">
        <x:v>0</x:v>
      </x:c>
      <x:c r="T846" s="26" t="n">
        <x:v>0</x:v>
      </x:c>
      <x:c r="U846" s="26" t="n">
        <x:v>0</x:v>
      </x:c>
      <x:c r="V846" s="26" t="n">
        <x:v>0</x:v>
      </x:c>
      <x:c r="W846" s="26" t="n">
        <x:v>0</x:v>
      </x:c>
      <x:c r="X846" s="26" t="n">
        <x:v>0</x:v>
      </x:c>
      <x:c r="Y846" s="26" t="n">
        <x:v>0</x:v>
      </x:c>
      <x:c r="Z846" s="35" t="str">
        <x:v>Receipt allocated to FIN-00842</x:v>
      </x:c>
    </x:row>
    <x:row r="847">
      <x:c r="A847" s="20" t="str">
        <x:v>FIN-00844</x:v>
      </x:c>
      <x:c r="B847" s="23" t="n">
        <x:v>46661</x:v>
      </x:c>
      <x:c r="C847" s="23" t="n">
        <x:v>46661</x:v>
      </x:c>
      <x:c r="D847" s="20" t="str">
        <x:v>TenantCharge</x:v>
      </x:c>
      <x:c r="E847" s="20" t="str">
        <x:v>Rent</x:v>
      </x:c>
      <x:c r="F847" s="20" t="str">
        <x:v>P030</x:v>
      </x:c>
      <x:c r="G847" s="20" t="str">
        <x:v>U040</x:v>
      </x:c>
      <x:c r="H847" s="20" t="str">
        <x:v>L041</x:v>
      </x:c>
      <x:c r="I847" s="20" t="str">
        <x:v>Yara Brooks</x:v>
      </x:c>
      <x:c r="J847" s="35" t="str">
        <x:v>System scheduled charge</x:v>
      </x:c>
      <x:c r="K847" s="20" t="str"/>
      <x:c r="L847" s="20" t="str">
        <x:v>RENT-202710-L041</x:v>
      </x:c>
      <x:c r="M847" s="26" t="n">
        <x:v>1450</x:v>
      </x:c>
      <x:c r="N847" s="26" t="n">
        <x:v>1450</x:v>
      </x:c>
      <x:c r="O847" s="26" t="n">
        <x:v>0</x:v>
      </x:c>
      <x:c r="P847" s="26" t="n">
        <x:v>0</x:v>
      </x:c>
      <x:c r="Q847" s="26" t="n">
        <x:v>0</x:v>
      </x:c>
      <x:c r="R847" s="26" t="n">
        <x:v>0</x:v>
      </x:c>
      <x:c r="S847" s="26" t="n">
        <x:v>0</x:v>
      </x:c>
      <x:c r="T847" s="26" t="n">
        <x:v>1450</x:v>
      </x:c>
      <x:c r="U847" s="26" t="n">
        <x:v>0</x:v>
      </x:c>
      <x:c r="V847" s="26" t="n">
        <x:v>0</x:v>
      </x:c>
      <x:c r="W847" s="26" t="n">
        <x:v>0</x:v>
      </x:c>
      <x:c r="X847" s="26" t="n">
        <x:v>0</x:v>
      </x:c>
      <x:c r="Y847" s="26" t="n">
        <x:v>0</x:v>
      </x:c>
      <x:c r="Z847" s="35" t="str">
        <x:v>October 2027 rent</x:v>
      </x:c>
    </x:row>
    <x:row r="848">
      <x:c r="A848" s="20" t="str">
        <x:v>FIN-00845</x:v>
      </x:c>
      <x:c r="B848" s="23" t="n">
        <x:v>46665</x:v>
      </x:c>
      <x:c r="C848" s="23" t="n">
        <x:v>46665</x:v>
      </x:c>
      <x:c r="D848" s="20" t="str">
        <x:v>TenantReceipt</x:v>
      </x:c>
      <x:c r="E848" s="20" t="str">
        <x:v>Rent receipt</x:v>
      </x:c>
      <x:c r="F848" s="20" t="str">
        <x:v>P030</x:v>
      </x:c>
      <x:c r="G848" s="20" t="str">
        <x:v>U040</x:v>
      </x:c>
      <x:c r="H848" s="20" t="str">
        <x:v>L041</x:v>
      </x:c>
      <x:c r="I848" s="20" t="str">
        <x:v>Yara Brooks</x:v>
      </x:c>
      <x:c r="J848" s="35" t="str">
        <x:v>Scanned money order</x:v>
      </x:c>
      <x:c r="K848" s="20" t="str">
        <x:v>SCN-0300</x:v>
      </x:c>
      <x:c r="L848" s="20" t="str">
        <x:v>PMT-20271005-L041</x:v>
      </x:c>
      <x:c r="M848" s="26" t="n">
        <x:v>1450</x:v>
      </x:c>
      <x:c r="N848" s="26" t="n">
        <x:v>-1450</x:v>
      </x:c>
      <x:c r="O848" s="26" t="n">
        <x:v>1450</x:v>
      </x:c>
      <x:c r="P848" s="26" t="n">
        <x:v>0</x:v>
      </x:c>
      <x:c r="Q848" s="26" t="n">
        <x:v>0</x:v>
      </x:c>
      <x:c r="R848" s="26" t="n">
        <x:v>0</x:v>
      </x:c>
      <x:c r="S848" s="26" t="n">
        <x:v>0</x:v>
      </x:c>
      <x:c r="T848" s="26" t="n">
        <x:v>0</x:v>
      </x:c>
      <x:c r="U848" s="26" t="n">
        <x:v>0</x:v>
      </x:c>
      <x:c r="V848" s="26" t="n">
        <x:v>0</x:v>
      </x:c>
      <x:c r="W848" s="26" t="n">
        <x:v>0</x:v>
      </x:c>
      <x:c r="X848" s="26" t="n">
        <x:v>0</x:v>
      </x:c>
      <x:c r="Y848" s="26" t="n">
        <x:v>0</x:v>
      </x:c>
      <x:c r="Z848" s="35" t="str">
        <x:v>Receipt allocated to FIN-00844</x:v>
      </x:c>
    </x:row>
    <x:row r="849">
      <x:c r="A849" s="20" t="str">
        <x:v>FIN-00846</x:v>
      </x:c>
      <x:c r="B849" s="23" t="n">
        <x:v>46661</x:v>
      </x:c>
      <x:c r="C849" s="23" t="n">
        <x:v>46661</x:v>
      </x:c>
      <x:c r="D849" s="20" t="str">
        <x:v>TenantCharge</x:v>
      </x:c>
      <x:c r="E849" s="20" t="str">
        <x:v>Rent</x:v>
      </x:c>
      <x:c r="F849" s="20" t="str">
        <x:v>P029</x:v>
      </x:c>
      <x:c r="G849" s="20" t="str">
        <x:v>U037</x:v>
      </x:c>
      <x:c r="H849" s="20" t="str">
        <x:v>L043</x:v>
      </x:c>
      <x:c r="I849" s="20" t="str">
        <x:v>Hector Reed</x:v>
      </x:c>
      <x:c r="J849" s="35" t="str">
        <x:v>System scheduled charge</x:v>
      </x:c>
      <x:c r="K849" s="20" t="str"/>
      <x:c r="L849" s="20" t="str">
        <x:v>RENT-202710-L043</x:v>
      </x:c>
      <x:c r="M849" s="26" t="n">
        <x:v>1675</x:v>
      </x:c>
      <x:c r="N849" s="26" t="n">
        <x:v>1675</x:v>
      </x:c>
      <x:c r="O849" s="26" t="n">
        <x:v>0</x:v>
      </x:c>
      <x:c r="P849" s="26" t="n">
        <x:v>0</x:v>
      </x:c>
      <x:c r="Q849" s="26" t="n">
        <x:v>0</x:v>
      </x:c>
      <x:c r="R849" s="26" t="n">
        <x:v>0</x:v>
      </x:c>
      <x:c r="S849" s="26" t="n">
        <x:v>0</x:v>
      </x:c>
      <x:c r="T849" s="26" t="n">
        <x:v>1675</x:v>
      </x:c>
      <x:c r="U849" s="26" t="n">
        <x:v>0</x:v>
      </x:c>
      <x:c r="V849" s="26" t="n">
        <x:v>0</x:v>
      </x:c>
      <x:c r="W849" s="26" t="n">
        <x:v>0</x:v>
      </x:c>
      <x:c r="X849" s="26" t="n">
        <x:v>0</x:v>
      </x:c>
      <x:c r="Y849" s="26" t="n">
        <x:v>0</x:v>
      </x:c>
      <x:c r="Z849" s="35" t="str">
        <x:v>October 2027 rent</x:v>
      </x:c>
    </x:row>
    <x:row r="850">
      <x:c r="A850" s="20" t="str">
        <x:v>FIN-00847</x:v>
      </x:c>
      <x:c r="B850" s="23" t="n">
        <x:v>46664</x:v>
      </x:c>
      <x:c r="C850" s="23" t="n">
        <x:v>46664</x:v>
      </x:c>
      <x:c r="D850" s="20" t="str">
        <x:v>TenantReceipt</x:v>
      </x:c>
      <x:c r="E850" s="20" t="str">
        <x:v>Rent receipt</x:v>
      </x:c>
      <x:c r="F850" s="20" t="str">
        <x:v>P029</x:v>
      </x:c>
      <x:c r="G850" s="20" t="str">
        <x:v>U037</x:v>
      </x:c>
      <x:c r="H850" s="20" t="str">
        <x:v>L043</x:v>
      </x:c>
      <x:c r="I850" s="20" t="str">
        <x:v>Hector Reed</x:v>
      </x:c>
      <x:c r="J850" s="35" t="str">
        <x:v>Portal card</x:v>
      </x:c>
      <x:c r="K850" s="20" t="str"/>
      <x:c r="L850" s="20" t="str">
        <x:v>PMT-20271004-L043</x:v>
      </x:c>
      <x:c r="M850" s="26" t="n">
        <x:v>1675</x:v>
      </x:c>
      <x:c r="N850" s="26" t="n">
        <x:v>-1675</x:v>
      </x:c>
      <x:c r="O850" s="26" t="n">
        <x:v>1675</x:v>
      </x:c>
      <x:c r="P850" s="26" t="n">
        <x:v>0</x:v>
      </x:c>
      <x:c r="Q850" s="26" t="n">
        <x:v>0</x:v>
      </x:c>
      <x:c r="R850" s="26" t="n">
        <x:v>0</x:v>
      </x:c>
      <x:c r="S850" s="26" t="n">
        <x:v>0</x:v>
      </x:c>
      <x:c r="T850" s="26" t="n">
        <x:v>0</x:v>
      </x:c>
      <x:c r="U850" s="26" t="n">
        <x:v>0</x:v>
      </x:c>
      <x:c r="V850" s="26" t="n">
        <x:v>0</x:v>
      </x:c>
      <x:c r="W850" s="26" t="n">
        <x:v>0</x:v>
      </x:c>
      <x:c r="X850" s="26" t="n">
        <x:v>0</x:v>
      </x:c>
      <x:c r="Y850" s="26" t="n">
        <x:v>0</x:v>
      </x:c>
      <x:c r="Z850" s="35" t="str">
        <x:v>Receipt allocated to FIN-00846</x:v>
      </x:c>
    </x:row>
    <x:row r="851">
      <x:c r="A851" s="20" t="str">
        <x:v>FIN-00848</x:v>
      </x:c>
      <x:c r="B851" s="23" t="n">
        <x:v>46661</x:v>
      </x:c>
      <x:c r="C851" s="23" t="n">
        <x:v>46661</x:v>
      </x:c>
      <x:c r="D851" s="20" t="str">
        <x:v>TenantCharge</x:v>
      </x:c>
      <x:c r="E851" s="20" t="str">
        <x:v>Rent</x:v>
      </x:c>
      <x:c r="F851" s="20" t="str">
        <x:v>P029</x:v>
      </x:c>
      <x:c r="G851" s="20" t="str">
        <x:v>U038</x:v>
      </x:c>
      <x:c r="H851" s="20" t="str">
        <x:v>L044</x:v>
      </x:c>
      <x:c r="I851" s="20" t="str">
        <x:v>Keira Adams</x:v>
      </x:c>
      <x:c r="J851" s="35" t="str">
        <x:v>System scheduled charge</x:v>
      </x:c>
      <x:c r="K851" s="20" t="str"/>
      <x:c r="L851" s="20" t="str">
        <x:v>RENT-202710-L044</x:v>
      </x:c>
      <x:c r="M851" s="26" t="n">
        <x:v>1300</x:v>
      </x:c>
      <x:c r="N851" s="26" t="n">
        <x:v>1300</x:v>
      </x:c>
      <x:c r="O851" s="26" t="n">
        <x:v>0</x:v>
      </x:c>
      <x:c r="P851" s="26" t="n">
        <x:v>0</x:v>
      </x:c>
      <x:c r="Q851" s="26" t="n">
        <x:v>0</x:v>
      </x:c>
      <x:c r="R851" s="26" t="n">
        <x:v>0</x:v>
      </x:c>
      <x:c r="S851" s="26" t="n">
        <x:v>0</x:v>
      </x:c>
      <x:c r="T851" s="26" t="n">
        <x:v>1300</x:v>
      </x:c>
      <x:c r="U851" s="26" t="n">
        <x:v>0</x:v>
      </x:c>
      <x:c r="V851" s="26" t="n">
        <x:v>0</x:v>
      </x:c>
      <x:c r="W851" s="26" t="n">
        <x:v>0</x:v>
      </x:c>
      <x:c r="X851" s="26" t="n">
        <x:v>0</x:v>
      </x:c>
      <x:c r="Y851" s="26" t="n">
        <x:v>0</x:v>
      </x:c>
      <x:c r="Z851" s="35" t="str">
        <x:v>October 2027 rent</x:v>
      </x:c>
    </x:row>
    <x:row r="852">
      <x:c r="A852" s="20" t="str">
        <x:v>FIN-00849</x:v>
      </x:c>
      <x:c r="B852" s="23" t="n">
        <x:v>46663</x:v>
      </x:c>
      <x:c r="C852" s="23" t="n">
        <x:v>46663</x:v>
      </x:c>
      <x:c r="D852" s="20" t="str">
        <x:v>TenantReceipt</x:v>
      </x:c>
      <x:c r="E852" s="20" t="str">
        <x:v>Rent receipt</x:v>
      </x:c>
      <x:c r="F852" s="20" t="str">
        <x:v>P029</x:v>
      </x:c>
      <x:c r="G852" s="20" t="str">
        <x:v>U038</x:v>
      </x:c>
      <x:c r="H852" s="20" t="str">
        <x:v>L044</x:v>
      </x:c>
      <x:c r="I852" s="20" t="str">
        <x:v>Keira Adams</x:v>
      </x:c>
      <x:c r="J852" s="35" t="str">
        <x:v>Scanned check</x:v>
      </x:c>
      <x:c r="K852" s="20" t="str">
        <x:v>SCN-0301</x:v>
      </x:c>
      <x:c r="L852" s="20" t="str">
        <x:v>PMT-20271003-L044-A</x:v>
      </x:c>
      <x:c r="M852" s="26" t="n">
        <x:v>780</x:v>
      </x:c>
      <x:c r="N852" s="26" t="n">
        <x:v>-780</x:v>
      </x:c>
      <x:c r="O852" s="26" t="n">
        <x:v>780</x:v>
      </x:c>
      <x:c r="P852" s="26" t="n">
        <x:v>0</x:v>
      </x:c>
      <x:c r="Q852" s="26" t="n">
        <x:v>0</x:v>
      </x:c>
      <x:c r="R852" s="26" t="n">
        <x:v>0</x:v>
      </x:c>
      <x:c r="S852" s="26" t="n">
        <x:v>0</x:v>
      </x:c>
      <x:c r="T852" s="26" t="n">
        <x:v>0</x:v>
      </x:c>
      <x:c r="U852" s="26" t="n">
        <x:v>0</x:v>
      </x:c>
      <x:c r="V852" s="26" t="n">
        <x:v>0</x:v>
      </x:c>
      <x:c r="W852" s="26" t="n">
        <x:v>0</x:v>
      </x:c>
      <x:c r="X852" s="26" t="n">
        <x:v>0</x:v>
      </x:c>
      <x:c r="Y852" s="26" t="n">
        <x:v>0</x:v>
      </x:c>
      <x:c r="Z852" s="35" t="str">
        <x:v>Receipt allocated to FIN-00848</x:v>
      </x:c>
    </x:row>
    <x:row r="853">
      <x:c r="A853" s="20" t="str">
        <x:v>FIN-00850</x:v>
      </x:c>
      <x:c r="B853" s="23" t="n">
        <x:v>46666</x:v>
      </x:c>
      <x:c r="C853" s="23" t="n">
        <x:v>46666</x:v>
      </x:c>
      <x:c r="D853" s="20" t="str">
        <x:v>TenantCharge</x:v>
      </x:c>
      <x:c r="E853" s="20" t="str">
        <x:v>Late fee</x:v>
      </x:c>
      <x:c r="F853" s="20" t="str">
        <x:v>P029</x:v>
      </x:c>
      <x:c r="G853" s="20" t="str">
        <x:v>U038</x:v>
      </x:c>
      <x:c r="H853" s="20" t="str">
        <x:v>L044</x:v>
      </x:c>
      <x:c r="I853" s="20" t="str">
        <x:v>Keira Adams</x:v>
      </x:c>
      <x:c r="J853" s="35" t="str">
        <x:v>System automation</x:v>
      </x:c>
      <x:c r="K853" s="20" t="str"/>
      <x:c r="L853" s="20" t="str">
        <x:v>LATE-202710-L044</x:v>
      </x:c>
      <x:c r="M853" s="26" t="n">
        <x:v>50</x:v>
      </x:c>
      <x:c r="N853" s="26" t="n">
        <x:v>50</x:v>
      </x:c>
      <x:c r="O853" s="26" t="n">
        <x:v>0</x:v>
      </x:c>
      <x:c r="P853" s="26" t="n">
        <x:v>0</x:v>
      </x:c>
      <x:c r="Q853" s="26" t="n">
        <x:v>0</x:v>
      </x:c>
      <x:c r="R853" s="26" t="n">
        <x:v>0</x:v>
      </x:c>
      <x:c r="S853" s="26" t="n">
        <x:v>0</x:v>
      </x:c>
      <x:c r="T853" s="26" t="n">
        <x:v>50</x:v>
      </x:c>
      <x:c r="U853" s="26" t="n">
        <x:v>0</x:v>
      </x:c>
      <x:c r="V853" s="26" t="n">
        <x:v>0</x:v>
      </x:c>
      <x:c r="W853" s="26" t="n">
        <x:v>0</x:v>
      </x:c>
      <x:c r="X853" s="26" t="n">
        <x:v>0</x:v>
      </x:c>
      <x:c r="Y853" s="26" t="n">
        <x:v>0</x:v>
      </x:c>
      <x:c r="Z853" s="35" t="str">
        <x:v>Synthetic lease-authorized late fee after partial payment</x:v>
      </x:c>
    </x:row>
    <x:row r="854">
      <x:c r="A854" s="20" t="str">
        <x:v>FIN-00851</x:v>
      </x:c>
      <x:c r="B854" s="23" t="n">
        <x:v>46672</x:v>
      </x:c>
      <x:c r="C854" s="23" t="n">
        <x:v>46672</x:v>
      </x:c>
      <x:c r="D854" s="20" t="str">
        <x:v>TenantReceipt</x:v>
      </x:c>
      <x:c r="E854" s="20" t="str">
        <x:v>Rent receipt</x:v>
      </x:c>
      <x:c r="F854" s="20" t="str">
        <x:v>P029</x:v>
      </x:c>
      <x:c r="G854" s="20" t="str">
        <x:v>U038</x:v>
      </x:c>
      <x:c r="H854" s="20" t="str">
        <x:v>L044</x:v>
      </x:c>
      <x:c r="I854" s="20" t="str">
        <x:v>Keira Adams</x:v>
      </x:c>
      <x:c r="J854" s="35" t="str">
        <x:v>Manual ACH</x:v>
      </x:c>
      <x:c r="K854" s="20" t="str"/>
      <x:c r="L854" s="20" t="str">
        <x:v>PMT-20271012-L044-B</x:v>
      </x:c>
      <x:c r="M854" s="26" t="n">
        <x:v>570</x:v>
      </x:c>
      <x:c r="N854" s="26" t="n">
        <x:v>-570</x:v>
      </x:c>
      <x:c r="O854" s="26" t="n">
        <x:v>570</x:v>
      </x:c>
      <x:c r="P854" s="26" t="n">
        <x:v>0</x:v>
      </x:c>
      <x:c r="Q854" s="26" t="n">
        <x:v>0</x:v>
      </x:c>
      <x:c r="R854" s="26" t="n">
        <x:v>0</x:v>
      </x:c>
      <x:c r="S854" s="26" t="n">
        <x:v>0</x:v>
      </x:c>
      <x:c r="T854" s="26" t="n">
        <x:v>0</x:v>
      </x:c>
      <x:c r="U854" s="26" t="n">
        <x:v>0</x:v>
      </x:c>
      <x:c r="V854" s="26" t="n">
        <x:v>0</x:v>
      </x:c>
      <x:c r="W854" s="26" t="n">
        <x:v>0</x:v>
      </x:c>
      <x:c r="X854" s="26" t="n">
        <x:v>0</x:v>
      </x:c>
      <x:c r="Y854" s="26" t="n">
        <x:v>0</x:v>
      </x:c>
      <x:c r="Z854" s="35" t="str">
        <x:v>Receipt allocated to FIN-00850</x:v>
      </x:c>
    </x:row>
    <x:row r="855">
      <x:c r="A855" s="20" t="str">
        <x:v>FIN-00852</x:v>
      </x:c>
      <x:c r="B855" s="23" t="n">
        <x:v>46661</x:v>
      </x:c>
      <x:c r="C855" s="23" t="n">
        <x:v>46661</x:v>
      </x:c>
      <x:c r="D855" s="20" t="str">
        <x:v>TenantCharge</x:v>
      </x:c>
      <x:c r="E855" s="20" t="str">
        <x:v>Rent</x:v>
      </x:c>
      <x:c r="F855" s="20" t="str">
        <x:v>P030</x:v>
      </x:c>
      <x:c r="G855" s="20" t="str">
        <x:v>U039</x:v>
      </x:c>
      <x:c r="H855" s="20" t="str">
        <x:v>L045</x:v>
      </x:c>
      <x:c r="I855" s="20" t="str">
        <x:v>Nolan Flores</x:v>
      </x:c>
      <x:c r="J855" s="35" t="str">
        <x:v>System scheduled charge</x:v>
      </x:c>
      <x:c r="K855" s="20" t="str"/>
      <x:c r="L855" s="20" t="str">
        <x:v>RENT-202710-L045</x:v>
      </x:c>
      <x:c r="M855" s="26" t="n">
        <x:v>1825</x:v>
      </x:c>
      <x:c r="N855" s="26" t="n">
        <x:v>1825</x:v>
      </x:c>
      <x:c r="O855" s="26" t="n">
        <x:v>0</x:v>
      </x:c>
      <x:c r="P855" s="26" t="n">
        <x:v>0</x:v>
      </x:c>
      <x:c r="Q855" s="26" t="n">
        <x:v>0</x:v>
      </x:c>
      <x:c r="R855" s="26" t="n">
        <x:v>0</x:v>
      </x:c>
      <x:c r="S855" s="26" t="n">
        <x:v>0</x:v>
      </x:c>
      <x:c r="T855" s="26" t="n">
        <x:v>1825</x:v>
      </x:c>
      <x:c r="U855" s="26" t="n">
        <x:v>0</x:v>
      </x:c>
      <x:c r="V855" s="26" t="n">
        <x:v>0</x:v>
      </x:c>
      <x:c r="W855" s="26" t="n">
        <x:v>0</x:v>
      </x:c>
      <x:c r="X855" s="26" t="n">
        <x:v>0</x:v>
      </x:c>
      <x:c r="Y855" s="26" t="n">
        <x:v>0</x:v>
      </x:c>
      <x:c r="Z855" s="35" t="str">
        <x:v>October 2027 rent</x:v>
      </x:c>
    </x:row>
    <x:row r="856">
      <x:c r="A856" s="20" t="str">
        <x:v>FIN-00853</x:v>
      </x:c>
      <x:c r="B856" s="23" t="n">
        <x:v>46663</x:v>
      </x:c>
      <x:c r="C856" s="23" t="n">
        <x:v>46663</x:v>
      </x:c>
      <x:c r="D856" s="20" t="str">
        <x:v>TenantReceipt</x:v>
      </x:c>
      <x:c r="E856" s="20" t="str">
        <x:v>Rent receipt</x:v>
      </x:c>
      <x:c r="F856" s="20" t="str">
        <x:v>P030</x:v>
      </x:c>
      <x:c r="G856" s="20" t="str">
        <x:v>U039</x:v>
      </x:c>
      <x:c r="H856" s="20" t="str">
        <x:v>L045</x:v>
      </x:c>
      <x:c r="I856" s="20" t="str">
        <x:v>Nolan Flores</x:v>
      </x:c>
      <x:c r="J856" s="35" t="str">
        <x:v>Scanned money order</x:v>
      </x:c>
      <x:c r="K856" s="20" t="str">
        <x:v>SCN-0302</x:v>
      </x:c>
      <x:c r="L856" s="20" t="str">
        <x:v>PMT-20271003-L045</x:v>
      </x:c>
      <x:c r="M856" s="26" t="n">
        <x:v>1825</x:v>
      </x:c>
      <x:c r="N856" s="26" t="n">
        <x:v>-1825</x:v>
      </x:c>
      <x:c r="O856" s="26" t="n">
        <x:v>1825</x:v>
      </x:c>
      <x:c r="P856" s="26" t="n">
        <x:v>0</x:v>
      </x:c>
      <x:c r="Q856" s="26" t="n">
        <x:v>0</x:v>
      </x:c>
      <x:c r="R856" s="26" t="n">
        <x:v>0</x:v>
      </x:c>
      <x:c r="S856" s="26" t="n">
        <x:v>0</x:v>
      </x:c>
      <x:c r="T856" s="26" t="n">
        <x:v>0</x:v>
      </x:c>
      <x:c r="U856" s="26" t="n">
        <x:v>0</x:v>
      </x:c>
      <x:c r="V856" s="26" t="n">
        <x:v>0</x:v>
      </x:c>
      <x:c r="W856" s="26" t="n">
        <x:v>0</x:v>
      </x:c>
      <x:c r="X856" s="26" t="n">
        <x:v>0</x:v>
      </x:c>
      <x:c r="Y856" s="26" t="n">
        <x:v>0</x:v>
      </x:c>
      <x:c r="Z856" s="35" t="str">
        <x:v>Receipt allocated to FIN-00852</x:v>
      </x:c>
    </x:row>
    <x:row r="857">
      <x:c r="A857" s="20" t="str">
        <x:v>FIN-00854</x:v>
      </x:c>
      <x:c r="B857" s="23" t="n">
        <x:v>46692</x:v>
      </x:c>
      <x:c r="C857" s="23" t="n">
        <x:v>46692</x:v>
      </x:c>
      <x:c r="D857" s="20" t="str">
        <x:v>TenantCharge</x:v>
      </x:c>
      <x:c r="E857" s="20" t="str">
        <x:v>Rent</x:v>
      </x:c>
      <x:c r="F857" s="20" t="str">
        <x:v>P001</x:v>
      </x:c>
      <x:c r="G857" s="20" t="str">
        <x:v>U001</x:v>
      </x:c>
      <x:c r="H857" s="20" t="str">
        <x:v>L001</x:v>
      </x:c>
      <x:c r="I857" s="20" t="str">
        <x:v>Dana Garcia</x:v>
      </x:c>
      <x:c r="J857" s="35" t="str">
        <x:v>System scheduled charge</x:v>
      </x:c>
      <x:c r="K857" s="20" t="str"/>
      <x:c r="L857" s="20" t="str">
        <x:v>RENT-202711-L001</x:v>
      </x:c>
      <x:c r="M857" s="26" t="n">
        <x:v>1575</x:v>
      </x:c>
      <x:c r="N857" s="26" t="n">
        <x:v>1575</x:v>
      </x:c>
      <x:c r="O857" s="26" t="n">
        <x:v>0</x:v>
      </x:c>
      <x:c r="P857" s="26" t="n">
        <x:v>0</x:v>
      </x:c>
      <x:c r="Q857" s="26" t="n">
        <x:v>0</x:v>
      </x:c>
      <x:c r="R857" s="26" t="n">
        <x:v>0</x:v>
      </x:c>
      <x:c r="S857" s="26" t="n">
        <x:v>0</x:v>
      </x:c>
      <x:c r="T857" s="26" t="n">
        <x:v>1575</x:v>
      </x:c>
      <x:c r="U857" s="26" t="n">
        <x:v>0</x:v>
      </x:c>
      <x:c r="V857" s="26" t="n">
        <x:v>0</x:v>
      </x:c>
      <x:c r="W857" s="26" t="n">
        <x:v>0</x:v>
      </x:c>
      <x:c r="X857" s="26" t="n">
        <x:v>0</x:v>
      </x:c>
      <x:c r="Y857" s="26" t="n">
        <x:v>0</x:v>
      </x:c>
      <x:c r="Z857" s="35" t="str">
        <x:v>November 2027 rent</x:v>
      </x:c>
    </x:row>
    <x:row r="858">
      <x:c r="A858" s="20" t="str">
        <x:v>FIN-00855</x:v>
      </x:c>
      <x:c r="B858" s="23" t="n">
        <x:v>46695</x:v>
      </x:c>
      <x:c r="C858" s="23" t="n">
        <x:v>46695</x:v>
      </x:c>
      <x:c r="D858" s="20" t="str">
        <x:v>TenantReceipt</x:v>
      </x:c>
      <x:c r="E858" s="20" t="str">
        <x:v>Rent receipt</x:v>
      </x:c>
      <x:c r="F858" s="20" t="str">
        <x:v>P001</x:v>
      </x:c>
      <x:c r="G858" s="20" t="str">
        <x:v>U001</x:v>
      </x:c>
      <x:c r="H858" s="20" t="str">
        <x:v>L001</x:v>
      </x:c>
      <x:c r="I858" s="20" t="str">
        <x:v>Dana Garcia</x:v>
      </x:c>
      <x:c r="J858" s="35" t="str">
        <x:v>Scanned money order</x:v>
      </x:c>
      <x:c r="K858" s="20" t="str">
        <x:v>SCN-0303</x:v>
      </x:c>
      <x:c r="L858" s="20" t="str">
        <x:v>PMT-20271104-L001</x:v>
      </x:c>
      <x:c r="M858" s="26" t="n">
        <x:v>1575</x:v>
      </x:c>
      <x:c r="N858" s="26" t="n">
        <x:v>-1575</x:v>
      </x:c>
      <x:c r="O858" s="26" t="n">
        <x:v>1575</x:v>
      </x:c>
      <x:c r="P858" s="26" t="n">
        <x:v>0</x:v>
      </x:c>
      <x:c r="Q858" s="26" t="n">
        <x:v>0</x:v>
      </x:c>
      <x:c r="R858" s="26" t="n">
        <x:v>0</x:v>
      </x:c>
      <x:c r="S858" s="26" t="n">
        <x:v>0</x:v>
      </x:c>
      <x:c r="T858" s="26" t="n">
        <x:v>0</x:v>
      </x:c>
      <x:c r="U858" s="26" t="n">
        <x:v>0</x:v>
      </x:c>
      <x:c r="V858" s="26" t="n">
        <x:v>0</x:v>
      </x:c>
      <x:c r="W858" s="26" t="n">
        <x:v>0</x:v>
      </x:c>
      <x:c r="X858" s="26" t="n">
        <x:v>0</x:v>
      </x:c>
      <x:c r="Y858" s="26" t="n">
        <x:v>0</x:v>
      </x:c>
      <x:c r="Z858" s="35" t="str">
        <x:v>Receipt allocated to FIN-00854</x:v>
      </x:c>
    </x:row>
    <x:row r="859">
      <x:c r="A859" s="20" t="str">
        <x:v>FIN-00856</x:v>
      </x:c>
      <x:c r="B859" s="23" t="n">
        <x:v>46692</x:v>
      </x:c>
      <x:c r="C859" s="23" t="n">
        <x:v>46692</x:v>
      </x:c>
      <x:c r="D859" s="20" t="str">
        <x:v>TenantCharge</x:v>
      </x:c>
      <x:c r="E859" s="20" t="str">
        <x:v>Rent</x:v>
      </x:c>
      <x:c r="F859" s="20" t="str">
        <x:v>P002</x:v>
      </x:c>
      <x:c r="G859" s="20" t="str">
        <x:v>U002</x:v>
      </x:c>
      <x:c r="H859" s="20" t="str">
        <x:v>L002</x:v>
      </x:c>
      <x:c r="I859" s="20" t="str">
        <x:v>Gray Lewis</x:v>
      </x:c>
      <x:c r="J859" s="35" t="str">
        <x:v>System scheduled charge</x:v>
      </x:c>
      <x:c r="K859" s="20" t="str"/>
      <x:c r="L859" s="20" t="str">
        <x:v>RENT-202711-L002</x:v>
      </x:c>
      <x:c r="M859" s="26" t="n">
        <x:v>1200</x:v>
      </x:c>
      <x:c r="N859" s="26" t="n">
        <x:v>1200</x:v>
      </x:c>
      <x:c r="O859" s="26" t="n">
        <x:v>0</x:v>
      </x:c>
      <x:c r="P859" s="26" t="n">
        <x:v>0</x:v>
      </x:c>
      <x:c r="Q859" s="26" t="n">
        <x:v>0</x:v>
      </x:c>
      <x:c r="R859" s="26" t="n">
        <x:v>0</x:v>
      </x:c>
      <x:c r="S859" s="26" t="n">
        <x:v>0</x:v>
      </x:c>
      <x:c r="T859" s="26" t="n">
        <x:v>1200</x:v>
      </x:c>
      <x:c r="U859" s="26" t="n">
        <x:v>0</x:v>
      </x:c>
      <x:c r="V859" s="26" t="n">
        <x:v>0</x:v>
      </x:c>
      <x:c r="W859" s="26" t="n">
        <x:v>0</x:v>
      </x:c>
      <x:c r="X859" s="26" t="n">
        <x:v>0</x:v>
      </x:c>
      <x:c r="Y859" s="26" t="n">
        <x:v>0</x:v>
      </x:c>
      <x:c r="Z859" s="35" t="str">
        <x:v>November 2027 rent</x:v>
      </x:c>
    </x:row>
    <x:row r="860">
      <x:c r="A860" s="20" t="str">
        <x:v>FIN-00857</x:v>
      </x:c>
      <x:c r="B860" s="23" t="n">
        <x:v>46696</x:v>
      </x:c>
      <x:c r="C860" s="23" t="n">
        <x:v>46696</x:v>
      </x:c>
      <x:c r="D860" s="20" t="str">
        <x:v>TenantReceipt</x:v>
      </x:c>
      <x:c r="E860" s="20" t="str">
        <x:v>Rent receipt</x:v>
      </x:c>
      <x:c r="F860" s="20" t="str">
        <x:v>P002</x:v>
      </x:c>
      <x:c r="G860" s="20" t="str">
        <x:v>U002</x:v>
      </x:c>
      <x:c r="H860" s="20" t="str">
        <x:v>L002</x:v>
      </x:c>
      <x:c r="I860" s="20" t="str">
        <x:v>Gray Lewis</x:v>
      </x:c>
      <x:c r="J860" s="35" t="str">
        <x:v>Manual ACH</x:v>
      </x:c>
      <x:c r="K860" s="20" t="str"/>
      <x:c r="L860" s="20" t="str">
        <x:v>PMT-20271105-L002</x:v>
      </x:c>
      <x:c r="M860" s="26" t="n">
        <x:v>1200</x:v>
      </x:c>
      <x:c r="N860" s="26" t="n">
        <x:v>-1200</x:v>
      </x:c>
      <x:c r="O860" s="26" t="n">
        <x:v>1200</x:v>
      </x:c>
      <x:c r="P860" s="26" t="n">
        <x:v>0</x:v>
      </x:c>
      <x:c r="Q860" s="26" t="n">
        <x:v>0</x:v>
      </x:c>
      <x:c r="R860" s="26" t="n">
        <x:v>0</x:v>
      </x:c>
      <x:c r="S860" s="26" t="n">
        <x:v>0</x:v>
      </x:c>
      <x:c r="T860" s="26" t="n">
        <x:v>0</x:v>
      </x:c>
      <x:c r="U860" s="26" t="n">
        <x:v>0</x:v>
      </x:c>
      <x:c r="V860" s="26" t="n">
        <x:v>0</x:v>
      </x:c>
      <x:c r="W860" s="26" t="n">
        <x:v>0</x:v>
      </x:c>
      <x:c r="X860" s="26" t="n">
        <x:v>0</x:v>
      </x:c>
      <x:c r="Y860" s="26" t="n">
        <x:v>0</x:v>
      </x:c>
      <x:c r="Z860" s="35" t="str">
        <x:v>Receipt allocated to FIN-00856</x:v>
      </x:c>
    </x:row>
    <x:row r="861">
      <x:c r="A861" s="20" t="str">
        <x:v>FIN-00858</x:v>
      </x:c>
      <x:c r="B861" s="23" t="n">
        <x:v>46692</x:v>
      </x:c>
      <x:c r="C861" s="23" t="n">
        <x:v>46692</x:v>
      </x:c>
      <x:c r="D861" s="20" t="str">
        <x:v>TenantCharge</x:v>
      </x:c>
      <x:c r="E861" s="20" t="str">
        <x:v>Rent</x:v>
      </x:c>
      <x:c r="F861" s="20" t="str">
        <x:v>P004</x:v>
      </x:c>
      <x:c r="G861" s="20" t="str">
        <x:v>U004</x:v>
      </x:c>
      <x:c r="H861" s="20" t="str">
        <x:v>L004</x:v>
      </x:c>
      <x:c r="I861" s="20" t="str">
        <x:v>Morgan Adams</x:v>
      </x:c>
      <x:c r="J861" s="35" t="str">
        <x:v>System scheduled charge</x:v>
      </x:c>
      <x:c r="K861" s="20" t="str"/>
      <x:c r="L861" s="20" t="str">
        <x:v>RENT-202711-L004</x:v>
      </x:c>
      <x:c r="M861" s="26" t="n">
        <x:v>1350</x:v>
      </x:c>
      <x:c r="N861" s="26" t="n">
        <x:v>1350</x:v>
      </x:c>
      <x:c r="O861" s="26" t="n">
        <x:v>0</x:v>
      </x:c>
      <x:c r="P861" s="26" t="n">
        <x:v>0</x:v>
      </x:c>
      <x:c r="Q861" s="26" t="n">
        <x:v>0</x:v>
      </x:c>
      <x:c r="R861" s="26" t="n">
        <x:v>0</x:v>
      </x:c>
      <x:c r="S861" s="26" t="n">
        <x:v>0</x:v>
      </x:c>
      <x:c r="T861" s="26" t="n">
        <x:v>1350</x:v>
      </x:c>
      <x:c r="U861" s="26" t="n">
        <x:v>0</x:v>
      </x:c>
      <x:c r="V861" s="26" t="n">
        <x:v>0</x:v>
      </x:c>
      <x:c r="W861" s="26" t="n">
        <x:v>0</x:v>
      </x:c>
      <x:c r="X861" s="26" t="n">
        <x:v>0</x:v>
      </x:c>
      <x:c r="Y861" s="26" t="n">
        <x:v>0</x:v>
      </x:c>
      <x:c r="Z861" s="35" t="str">
        <x:v>November 2027 rent</x:v>
      </x:c>
    </x:row>
    <x:row r="862">
      <x:c r="A862" s="20" t="str">
        <x:v>FIN-00859</x:v>
      </x:c>
      <x:c r="B862" s="23" t="n">
        <x:v>46695</x:v>
      </x:c>
      <x:c r="C862" s="23" t="n">
        <x:v>46695</x:v>
      </x:c>
      <x:c r="D862" s="20" t="str">
        <x:v>TenantReceipt</x:v>
      </x:c>
      <x:c r="E862" s="20" t="str">
        <x:v>Rent receipt</x:v>
      </x:c>
      <x:c r="F862" s="20" t="str">
        <x:v>P004</x:v>
      </x:c>
      <x:c r="G862" s="20" t="str">
        <x:v>U004</x:v>
      </x:c>
      <x:c r="H862" s="20" t="str">
        <x:v>L004</x:v>
      </x:c>
      <x:c r="I862" s="20" t="str">
        <x:v>Morgan Adams</x:v>
      </x:c>
      <x:c r="J862" s="35" t="str">
        <x:v>Scanned check</x:v>
      </x:c>
      <x:c r="K862" s="20" t="str">
        <x:v>SCN-0304</x:v>
      </x:c>
      <x:c r="L862" s="20" t="str">
        <x:v>PMT-20271104-L004</x:v>
      </x:c>
      <x:c r="M862" s="26" t="n">
        <x:v>1350</x:v>
      </x:c>
      <x:c r="N862" s="26" t="n">
        <x:v>-1350</x:v>
      </x:c>
      <x:c r="O862" s="26" t="n">
        <x:v>1350</x:v>
      </x:c>
      <x:c r="P862" s="26" t="n">
        <x:v>0</x:v>
      </x:c>
      <x:c r="Q862" s="26" t="n">
        <x:v>0</x:v>
      </x:c>
      <x:c r="R862" s="26" t="n">
        <x:v>0</x:v>
      </x:c>
      <x:c r="S862" s="26" t="n">
        <x:v>0</x:v>
      </x:c>
      <x:c r="T862" s="26" t="n">
        <x:v>0</x:v>
      </x:c>
      <x:c r="U862" s="26" t="n">
        <x:v>0</x:v>
      </x:c>
      <x:c r="V862" s="26" t="n">
        <x:v>0</x:v>
      </x:c>
      <x:c r="W862" s="26" t="n">
        <x:v>0</x:v>
      </x:c>
      <x:c r="X862" s="26" t="n">
        <x:v>0</x:v>
      </x:c>
      <x:c r="Y862" s="26" t="n">
        <x:v>0</x:v>
      </x:c>
      <x:c r="Z862" s="35" t="str">
        <x:v>Receipt allocated to FIN-00858</x:v>
      </x:c>
    </x:row>
    <x:row r="863">
      <x:c r="A863" s="20" t="str">
        <x:v>FIN-00860</x:v>
      </x:c>
      <x:c r="B863" s="23" t="n">
        <x:v>46692</x:v>
      </x:c>
      <x:c r="C863" s="23" t="n">
        <x:v>46692</x:v>
      </x:c>
      <x:c r="D863" s="20" t="str">
        <x:v>TenantCharge</x:v>
      </x:c>
      <x:c r="E863" s="20" t="str">
        <x:v>Rent</x:v>
      </x:c>
      <x:c r="F863" s="20" t="str">
        <x:v>P006</x:v>
      </x:c>
      <x:c r="G863" s="20" t="str">
        <x:v>U006</x:v>
      </x:c>
      <x:c r="H863" s="20" t="str">
        <x:v>L006</x:v>
      </x:c>
      <x:c r="I863" s="20" t="str">
        <x:v>Sage King</x:v>
      </x:c>
      <x:c r="J863" s="35" t="str">
        <x:v>System scheduled charge</x:v>
      </x:c>
      <x:c r="K863" s="20" t="str"/>
      <x:c r="L863" s="20" t="str">
        <x:v>RENT-202711-L006</x:v>
      </x:c>
      <x:c r="M863" s="26" t="n">
        <x:v>1500</x:v>
      </x:c>
      <x:c r="N863" s="26" t="n">
        <x:v>1500</x:v>
      </x:c>
      <x:c r="O863" s="26" t="n">
        <x:v>0</x:v>
      </x:c>
      <x:c r="P863" s="26" t="n">
        <x:v>0</x:v>
      </x:c>
      <x:c r="Q863" s="26" t="n">
        <x:v>0</x:v>
      </x:c>
      <x:c r="R863" s="26" t="n">
        <x:v>0</x:v>
      </x:c>
      <x:c r="S863" s="26" t="n">
        <x:v>0</x:v>
      </x:c>
      <x:c r="T863" s="26" t="n">
        <x:v>1500</x:v>
      </x:c>
      <x:c r="U863" s="26" t="n">
        <x:v>0</x:v>
      </x:c>
      <x:c r="V863" s="26" t="n">
        <x:v>0</x:v>
      </x:c>
      <x:c r="W863" s="26" t="n">
        <x:v>0</x:v>
      </x:c>
      <x:c r="X863" s="26" t="n">
        <x:v>0</x:v>
      </x:c>
      <x:c r="Y863" s="26" t="n">
        <x:v>0</x:v>
      </x:c>
      <x:c r="Z863" s="35" t="str">
        <x:v>November 2027 rent</x:v>
      </x:c>
    </x:row>
    <x:row r="864">
      <x:c r="A864" s="20" t="str">
        <x:v>FIN-00861</x:v>
      </x:c>
      <x:c r="B864" s="23" t="n">
        <x:v>46694</x:v>
      </x:c>
      <x:c r="C864" s="23" t="n">
        <x:v>46694</x:v>
      </x:c>
      <x:c r="D864" s="20" t="str">
        <x:v>TenantReceipt</x:v>
      </x:c>
      <x:c r="E864" s="20" t="str">
        <x:v>Rent receipt</x:v>
      </x:c>
      <x:c r="F864" s="20" t="str">
        <x:v>P006</x:v>
      </x:c>
      <x:c r="G864" s="20" t="str">
        <x:v>U006</x:v>
      </x:c>
      <x:c r="H864" s="20" t="str">
        <x:v>L006</x:v>
      </x:c>
      <x:c r="I864" s="20" t="str">
        <x:v>Sage King</x:v>
      </x:c>
      <x:c r="J864" s="35" t="str">
        <x:v>Manual ACH</x:v>
      </x:c>
      <x:c r="K864" s="20" t="str"/>
      <x:c r="L864" s="20" t="str">
        <x:v>PMT-20271103-L006</x:v>
      </x:c>
      <x:c r="M864" s="26" t="n">
        <x:v>1500</x:v>
      </x:c>
      <x:c r="N864" s="26" t="n">
        <x:v>-1500</x:v>
      </x:c>
      <x:c r="O864" s="26" t="n">
        <x:v>1500</x:v>
      </x:c>
      <x:c r="P864" s="26" t="n">
        <x:v>0</x:v>
      </x:c>
      <x:c r="Q864" s="26" t="n">
        <x:v>0</x:v>
      </x:c>
      <x:c r="R864" s="26" t="n">
        <x:v>0</x:v>
      </x:c>
      <x:c r="S864" s="26" t="n">
        <x:v>0</x:v>
      </x:c>
      <x:c r="T864" s="26" t="n">
        <x:v>0</x:v>
      </x:c>
      <x:c r="U864" s="26" t="n">
        <x:v>0</x:v>
      </x:c>
      <x:c r="V864" s="26" t="n">
        <x:v>0</x:v>
      </x:c>
      <x:c r="W864" s="26" t="n">
        <x:v>0</x:v>
      </x:c>
      <x:c r="X864" s="26" t="n">
        <x:v>0</x:v>
      </x:c>
      <x:c r="Y864" s="26" t="n">
        <x:v>0</x:v>
      </x:c>
      <x:c r="Z864" s="35" t="str">
        <x:v>Receipt allocated to FIN-00860</x:v>
      </x:c>
    </x:row>
    <x:row r="865">
      <x:c r="A865" s="20" t="str">
        <x:v>FIN-00862</x:v>
      </x:c>
      <x:c r="B865" s="23" t="n">
        <x:v>46692</x:v>
      </x:c>
      <x:c r="C865" s="23" t="n">
        <x:v>46692</x:v>
      </x:c>
      <x:c r="D865" s="20" t="str">
        <x:v>TenantCharge</x:v>
      </x:c>
      <x:c r="E865" s="20" t="str">
        <x:v>Rent</x:v>
      </x:c>
      <x:c r="F865" s="20" t="str">
        <x:v>P007</x:v>
      </x:c>
      <x:c r="G865" s="20" t="str">
        <x:v>U007</x:v>
      </x:c>
      <x:c r="H865" s="20" t="str">
        <x:v>L007</x:v>
      </x:c>
      <x:c r="I865" s="20" t="str">
        <x:v>Val Price</x:v>
      </x:c>
      <x:c r="J865" s="35" t="str">
        <x:v>System scheduled charge</x:v>
      </x:c>
      <x:c r="K865" s="20" t="str"/>
      <x:c r="L865" s="20" t="str">
        <x:v>RENT-202711-L007</x:v>
      </x:c>
      <x:c r="M865" s="26" t="n">
        <x:v>1125</x:v>
      </x:c>
      <x:c r="N865" s="26" t="n">
        <x:v>1125</x:v>
      </x:c>
      <x:c r="O865" s="26" t="n">
        <x:v>0</x:v>
      </x:c>
      <x:c r="P865" s="26" t="n">
        <x:v>0</x:v>
      </x:c>
      <x:c r="Q865" s="26" t="n">
        <x:v>0</x:v>
      </x:c>
      <x:c r="R865" s="26" t="n">
        <x:v>0</x:v>
      </x:c>
      <x:c r="S865" s="26" t="n">
        <x:v>0</x:v>
      </x:c>
      <x:c r="T865" s="26" t="n">
        <x:v>1125</x:v>
      </x:c>
      <x:c r="U865" s="26" t="n">
        <x:v>0</x:v>
      </x:c>
      <x:c r="V865" s="26" t="n">
        <x:v>0</x:v>
      </x:c>
      <x:c r="W865" s="26" t="n">
        <x:v>0</x:v>
      </x:c>
      <x:c r="X865" s="26" t="n">
        <x:v>0</x:v>
      </x:c>
      <x:c r="Y865" s="26" t="n">
        <x:v>0</x:v>
      </x:c>
      <x:c r="Z865" s="35" t="str">
        <x:v>November 2027 rent</x:v>
      </x:c>
    </x:row>
    <x:row r="866">
      <x:c r="A866" s="20" t="str">
        <x:v>FIN-00863</x:v>
      </x:c>
      <x:c r="B866" s="23" t="n">
        <x:v>46695</x:v>
      </x:c>
      <x:c r="C866" s="23" t="n">
        <x:v>46695</x:v>
      </x:c>
      <x:c r="D866" s="20" t="str">
        <x:v>TenantReceipt</x:v>
      </x:c>
      <x:c r="E866" s="20" t="str">
        <x:v>Rent receipt</x:v>
      </x:c>
      <x:c r="F866" s="20" t="str">
        <x:v>P007</x:v>
      </x:c>
      <x:c r="G866" s="20" t="str">
        <x:v>U007</x:v>
      </x:c>
      <x:c r="H866" s="20" t="str">
        <x:v>L007</x:v>
      </x:c>
      <x:c r="I866" s="20" t="str">
        <x:v>Val Price</x:v>
      </x:c>
      <x:c r="J866" s="35" t="str">
        <x:v>Portal card</x:v>
      </x:c>
      <x:c r="K866" s="20" t="str"/>
      <x:c r="L866" s="20" t="str">
        <x:v>PMT-20271104-L007</x:v>
      </x:c>
      <x:c r="M866" s="26" t="n">
        <x:v>1125</x:v>
      </x:c>
      <x:c r="N866" s="26" t="n">
        <x:v>-1125</x:v>
      </x:c>
      <x:c r="O866" s="26" t="n">
        <x:v>1125</x:v>
      </x:c>
      <x:c r="P866" s="26" t="n">
        <x:v>0</x:v>
      </x:c>
      <x:c r="Q866" s="26" t="n">
        <x:v>0</x:v>
      </x:c>
      <x:c r="R866" s="26" t="n">
        <x:v>0</x:v>
      </x:c>
      <x:c r="S866" s="26" t="n">
        <x:v>0</x:v>
      </x:c>
      <x:c r="T866" s="26" t="n">
        <x:v>0</x:v>
      </x:c>
      <x:c r="U866" s="26" t="n">
        <x:v>0</x:v>
      </x:c>
      <x:c r="V866" s="26" t="n">
        <x:v>0</x:v>
      </x:c>
      <x:c r="W866" s="26" t="n">
        <x:v>0</x:v>
      </x:c>
      <x:c r="X866" s="26" t="n">
        <x:v>0</x:v>
      </x:c>
      <x:c r="Y866" s="26" t="n">
        <x:v>0</x:v>
      </x:c>
      <x:c r="Z866" s="35" t="str">
        <x:v>Receipt allocated to FIN-00862</x:v>
      </x:c>
    </x:row>
    <x:row r="867">
      <x:c r="A867" s="20" t="str">
        <x:v>FIN-00864</x:v>
      </x:c>
      <x:c r="B867" s="23" t="n">
        <x:v>46692</x:v>
      </x:c>
      <x:c r="C867" s="23" t="n">
        <x:v>46692</x:v>
      </x:c>
      <x:c r="D867" s="20" t="str">
        <x:v>TenantCharge</x:v>
      </x:c>
      <x:c r="E867" s="20" t="str">
        <x:v>Rent</x:v>
      </x:c>
      <x:c r="F867" s="20" t="str">
        <x:v>P009</x:v>
      </x:c>
      <x:c r="G867" s="20" t="str">
        <x:v>U009</x:v>
      </x:c>
      <x:c r="H867" s="20" t="str">
        <x:v>L009</x:v>
      </x:c>
      <x:c r="I867" s="20" t="str">
        <x:v>Bennett Garcia</x:v>
      </x:c>
      <x:c r="J867" s="35" t="str">
        <x:v>System scheduled charge</x:v>
      </x:c>
      <x:c r="K867" s="20" t="str"/>
      <x:c r="L867" s="20" t="str">
        <x:v>RENT-202711-L009</x:v>
      </x:c>
      <x:c r="M867" s="26" t="n">
        <x:v>1275</x:v>
      </x:c>
      <x:c r="N867" s="26" t="n">
        <x:v>1275</x:v>
      </x:c>
      <x:c r="O867" s="26" t="n">
        <x:v>0</x:v>
      </x:c>
      <x:c r="P867" s="26" t="n">
        <x:v>0</x:v>
      </x:c>
      <x:c r="Q867" s="26" t="n">
        <x:v>0</x:v>
      </x:c>
      <x:c r="R867" s="26" t="n">
        <x:v>0</x:v>
      </x:c>
      <x:c r="S867" s="26" t="n">
        <x:v>0</x:v>
      </x:c>
      <x:c r="T867" s="26" t="n">
        <x:v>1275</x:v>
      </x:c>
      <x:c r="U867" s="26" t="n">
        <x:v>0</x:v>
      </x:c>
      <x:c r="V867" s="26" t="n">
        <x:v>0</x:v>
      </x:c>
      <x:c r="W867" s="26" t="n">
        <x:v>0</x:v>
      </x:c>
      <x:c r="X867" s="26" t="n">
        <x:v>0</x:v>
      </x:c>
      <x:c r="Y867" s="26" t="n">
        <x:v>0</x:v>
      </x:c>
      <x:c r="Z867" s="35" t="str">
        <x:v>November 2027 rent</x:v>
      </x:c>
    </x:row>
    <x:row r="868">
      <x:c r="A868" s="20" t="str">
        <x:v>FIN-00865</x:v>
      </x:c>
      <x:c r="B868" s="23" t="n">
        <x:v>46694</x:v>
      </x:c>
      <x:c r="C868" s="23" t="n">
        <x:v>46694</x:v>
      </x:c>
      <x:c r="D868" s="20" t="str">
        <x:v>TenantReceipt</x:v>
      </x:c>
      <x:c r="E868" s="20" t="str">
        <x:v>Rent receipt</x:v>
      </x:c>
      <x:c r="F868" s="20" t="str">
        <x:v>P009</x:v>
      </x:c>
      <x:c r="G868" s="20" t="str">
        <x:v>U009</x:v>
      </x:c>
      <x:c r="H868" s="20" t="str">
        <x:v>L009</x:v>
      </x:c>
      <x:c r="I868" s="20" t="str">
        <x:v>Bennett Garcia</x:v>
      </x:c>
      <x:c r="J868" s="35" t="str">
        <x:v>Scanned money order</x:v>
      </x:c>
      <x:c r="K868" s="20" t="str">
        <x:v>SCN-0305</x:v>
      </x:c>
      <x:c r="L868" s="20" t="str">
        <x:v>PMT-20271103-L009</x:v>
      </x:c>
      <x:c r="M868" s="26" t="n">
        <x:v>1275</x:v>
      </x:c>
      <x:c r="N868" s="26" t="n">
        <x:v>-1275</x:v>
      </x:c>
      <x:c r="O868" s="26" t="n">
        <x:v>1275</x:v>
      </x:c>
      <x:c r="P868" s="26" t="n">
        <x:v>0</x:v>
      </x:c>
      <x:c r="Q868" s="26" t="n">
        <x:v>0</x:v>
      </x:c>
      <x:c r="R868" s="26" t="n">
        <x:v>0</x:v>
      </x:c>
      <x:c r="S868" s="26" t="n">
        <x:v>0</x:v>
      </x:c>
      <x:c r="T868" s="26" t="n">
        <x:v>0</x:v>
      </x:c>
      <x:c r="U868" s="26" t="n">
        <x:v>0</x:v>
      </x:c>
      <x:c r="V868" s="26" t="n">
        <x:v>0</x:v>
      </x:c>
      <x:c r="W868" s="26" t="n">
        <x:v>0</x:v>
      </x:c>
      <x:c r="X868" s="26" t="n">
        <x:v>0</x:v>
      </x:c>
      <x:c r="Y868" s="26" t="n">
        <x:v>0</x:v>
      </x:c>
      <x:c r="Z868" s="35" t="str">
        <x:v>Receipt allocated to FIN-00864</x:v>
      </x:c>
    </x:row>
    <x:row r="869">
      <x:c r="A869" s="20" t="str">
        <x:v>FIN-00866</x:v>
      </x:c>
      <x:c r="B869" s="23" t="n">
        <x:v>46692</x:v>
      </x:c>
      <x:c r="C869" s="23" t="n">
        <x:v>46692</x:v>
      </x:c>
      <x:c r="D869" s="20" t="str">
        <x:v>TenantCharge</x:v>
      </x:c>
      <x:c r="E869" s="20" t="str">
        <x:v>Rent</x:v>
      </x:c>
      <x:c r="F869" s="20" t="str">
        <x:v>P010</x:v>
      </x:c>
      <x:c r="G869" s="20" t="str">
        <x:v>U010</x:v>
      </x:c>
      <x:c r="H869" s="20" t="str">
        <x:v>L010</x:v>
      </x:c>
      <x:c r="I869" s="20" t="str">
        <x:v>Elena Lewis</x:v>
      </x:c>
      <x:c r="J869" s="35" t="str">
        <x:v>System scheduled charge</x:v>
      </x:c>
      <x:c r="K869" s="20" t="str"/>
      <x:c r="L869" s="20" t="str">
        <x:v>RENT-202711-L010</x:v>
      </x:c>
      <x:c r="M869" s="26" t="n">
        <x:v>1800</x:v>
      </x:c>
      <x:c r="N869" s="26" t="n">
        <x:v>1800</x:v>
      </x:c>
      <x:c r="O869" s="26" t="n">
        <x:v>0</x:v>
      </x:c>
      <x:c r="P869" s="26" t="n">
        <x:v>0</x:v>
      </x:c>
      <x:c r="Q869" s="26" t="n">
        <x:v>0</x:v>
      </x:c>
      <x:c r="R869" s="26" t="n">
        <x:v>0</x:v>
      </x:c>
      <x:c r="S869" s="26" t="n">
        <x:v>0</x:v>
      </x:c>
      <x:c r="T869" s="26" t="n">
        <x:v>1800</x:v>
      </x:c>
      <x:c r="U869" s="26" t="n">
        <x:v>0</x:v>
      </x:c>
      <x:c r="V869" s="26" t="n">
        <x:v>0</x:v>
      </x:c>
      <x:c r="W869" s="26" t="n">
        <x:v>0</x:v>
      </x:c>
      <x:c r="X869" s="26" t="n">
        <x:v>0</x:v>
      </x:c>
      <x:c r="Y869" s="26" t="n">
        <x:v>0</x:v>
      </x:c>
      <x:c r="Z869" s="35" t="str">
        <x:v>November 2027 rent</x:v>
      </x:c>
    </x:row>
    <x:row r="870">
      <x:c r="A870" s="20" t="str">
        <x:v>FIN-00867</x:v>
      </x:c>
      <x:c r="B870" s="23" t="n">
        <x:v>46695</x:v>
      </x:c>
      <x:c r="C870" s="23" t="n">
        <x:v>46695</x:v>
      </x:c>
      <x:c r="D870" s="20" t="str">
        <x:v>TenantReceipt</x:v>
      </x:c>
      <x:c r="E870" s="20" t="str">
        <x:v>Rent receipt</x:v>
      </x:c>
      <x:c r="F870" s="20" t="str">
        <x:v>P010</x:v>
      </x:c>
      <x:c r="G870" s="20" t="str">
        <x:v>U010</x:v>
      </x:c>
      <x:c r="H870" s="20" t="str">
        <x:v>L010</x:v>
      </x:c>
      <x:c r="I870" s="20" t="str">
        <x:v>Elena Lewis</x:v>
      </x:c>
      <x:c r="J870" s="35" t="str">
        <x:v>Manual ACH</x:v>
      </x:c>
      <x:c r="K870" s="20" t="str"/>
      <x:c r="L870" s="20" t="str">
        <x:v>PMT-20271104-L010</x:v>
      </x:c>
      <x:c r="M870" s="26" t="n">
        <x:v>1800</x:v>
      </x:c>
      <x:c r="N870" s="26" t="n">
        <x:v>-1800</x:v>
      </x:c>
      <x:c r="O870" s="26" t="n">
        <x:v>1800</x:v>
      </x:c>
      <x:c r="P870" s="26" t="n">
        <x:v>0</x:v>
      </x:c>
      <x:c r="Q870" s="26" t="n">
        <x:v>0</x:v>
      </x:c>
      <x:c r="R870" s="26" t="n">
        <x:v>0</x:v>
      </x:c>
      <x:c r="S870" s="26" t="n">
        <x:v>0</x:v>
      </x:c>
      <x:c r="T870" s="26" t="n">
        <x:v>0</x:v>
      </x:c>
      <x:c r="U870" s="26" t="n">
        <x:v>0</x:v>
      </x:c>
      <x:c r="V870" s="26" t="n">
        <x:v>0</x:v>
      </x:c>
      <x:c r="W870" s="26" t="n">
        <x:v>0</x:v>
      </x:c>
      <x:c r="X870" s="26" t="n">
        <x:v>0</x:v>
      </x:c>
      <x:c r="Y870" s="26" t="n">
        <x:v>0</x:v>
      </x:c>
      <x:c r="Z870" s="35" t="str">
        <x:v>Receipt allocated to FIN-00866</x:v>
      </x:c>
    </x:row>
    <x:row r="871">
      <x:c r="A871" s="20" t="str">
        <x:v>FIN-00868</x:v>
      </x:c>
      <x:c r="B871" s="23" t="n">
        <x:v>46692</x:v>
      </x:c>
      <x:c r="C871" s="23" t="n">
        <x:v>46692</x:v>
      </x:c>
      <x:c r="D871" s="20" t="str">
        <x:v>TenantCharge</x:v>
      </x:c>
      <x:c r="E871" s="20" t="str">
        <x:v>Rent</x:v>
      </x:c>
      <x:c r="F871" s="20" t="str">
        <x:v>P011</x:v>
      </x:c>
      <x:c r="G871" s="20" t="str">
        <x:v>U011</x:v>
      </x:c>
      <x:c r="H871" s="20" t="str">
        <x:v>L011</x:v>
      </x:c>
      <x:c r="I871" s="20" t="str">
        <x:v>Hector Reed</x:v>
      </x:c>
      <x:c r="J871" s="35" t="str">
        <x:v>System scheduled charge</x:v>
      </x:c>
      <x:c r="K871" s="20" t="str"/>
      <x:c r="L871" s="20" t="str">
        <x:v>RENT-202711-L011</x:v>
      </x:c>
      <x:c r="M871" s="26" t="n">
        <x:v>1425</x:v>
      </x:c>
      <x:c r="N871" s="26" t="n">
        <x:v>1425</x:v>
      </x:c>
      <x:c r="O871" s="26" t="n">
        <x:v>0</x:v>
      </x:c>
      <x:c r="P871" s="26" t="n">
        <x:v>0</x:v>
      </x:c>
      <x:c r="Q871" s="26" t="n">
        <x:v>0</x:v>
      </x:c>
      <x:c r="R871" s="26" t="n">
        <x:v>0</x:v>
      </x:c>
      <x:c r="S871" s="26" t="n">
        <x:v>0</x:v>
      </x:c>
      <x:c r="T871" s="26" t="n">
        <x:v>1425</x:v>
      </x:c>
      <x:c r="U871" s="26" t="n">
        <x:v>0</x:v>
      </x:c>
      <x:c r="V871" s="26" t="n">
        <x:v>0</x:v>
      </x:c>
      <x:c r="W871" s="26" t="n">
        <x:v>0</x:v>
      </x:c>
      <x:c r="X871" s="26" t="n">
        <x:v>0</x:v>
      </x:c>
      <x:c r="Y871" s="26" t="n">
        <x:v>0</x:v>
      </x:c>
      <x:c r="Z871" s="35" t="str">
        <x:v>November 2027 rent</x:v>
      </x:c>
    </x:row>
    <x:row r="872">
      <x:c r="A872" s="20" t="str">
        <x:v>FIN-00869</x:v>
      </x:c>
      <x:c r="B872" s="23" t="n">
        <x:v>46694</x:v>
      </x:c>
      <x:c r="C872" s="23" t="n">
        <x:v>46694</x:v>
      </x:c>
      <x:c r="D872" s="20" t="str">
        <x:v>TenantReceipt</x:v>
      </x:c>
      <x:c r="E872" s="20" t="str">
        <x:v>Rent receipt</x:v>
      </x:c>
      <x:c r="F872" s="20" t="str">
        <x:v>P011</x:v>
      </x:c>
      <x:c r="G872" s="20" t="str">
        <x:v>U011</x:v>
      </x:c>
      <x:c r="H872" s="20" t="str">
        <x:v>L011</x:v>
      </x:c>
      <x:c r="I872" s="20" t="str">
        <x:v>Hector Reed</x:v>
      </x:c>
      <x:c r="J872" s="35" t="str">
        <x:v>Portal card</x:v>
      </x:c>
      <x:c r="K872" s="20" t="str"/>
      <x:c r="L872" s="20" t="str">
        <x:v>PMT-20271103-L011-A</x:v>
      </x:c>
      <x:c r="M872" s="26" t="n">
        <x:v>855</x:v>
      </x:c>
      <x:c r="N872" s="26" t="n">
        <x:v>-855</x:v>
      </x:c>
      <x:c r="O872" s="26" t="n">
        <x:v>855</x:v>
      </x:c>
      <x:c r="P872" s="26" t="n">
        <x:v>0</x:v>
      </x:c>
      <x:c r="Q872" s="26" t="n">
        <x:v>0</x:v>
      </x:c>
      <x:c r="R872" s="26" t="n">
        <x:v>0</x:v>
      </x:c>
      <x:c r="S872" s="26" t="n">
        <x:v>0</x:v>
      </x:c>
      <x:c r="T872" s="26" t="n">
        <x:v>0</x:v>
      </x:c>
      <x:c r="U872" s="26" t="n">
        <x:v>0</x:v>
      </x:c>
      <x:c r="V872" s="26" t="n">
        <x:v>0</x:v>
      </x:c>
      <x:c r="W872" s="26" t="n">
        <x:v>0</x:v>
      </x:c>
      <x:c r="X872" s="26" t="n">
        <x:v>0</x:v>
      </x:c>
      <x:c r="Y872" s="26" t="n">
        <x:v>0</x:v>
      </x:c>
      <x:c r="Z872" s="35" t="str">
        <x:v>Receipt allocated to FIN-00868</x:v>
      </x:c>
    </x:row>
    <x:row r="873">
      <x:c r="A873" s="20" t="str">
        <x:v>FIN-00870</x:v>
      </x:c>
      <x:c r="B873" s="23" t="n">
        <x:v>46697</x:v>
      </x:c>
      <x:c r="C873" s="23" t="n">
        <x:v>46697</x:v>
      </x:c>
      <x:c r="D873" s="20" t="str">
        <x:v>TenantCharge</x:v>
      </x:c>
      <x:c r="E873" s="20" t="str">
        <x:v>Late fee</x:v>
      </x:c>
      <x:c r="F873" s="20" t="str">
        <x:v>P011</x:v>
      </x:c>
      <x:c r="G873" s="20" t="str">
        <x:v>U011</x:v>
      </x:c>
      <x:c r="H873" s="20" t="str">
        <x:v>L011</x:v>
      </x:c>
      <x:c r="I873" s="20" t="str">
        <x:v>Hector Reed</x:v>
      </x:c>
      <x:c r="J873" s="35" t="str">
        <x:v>System automation</x:v>
      </x:c>
      <x:c r="K873" s="20" t="str"/>
      <x:c r="L873" s="20" t="str">
        <x:v>LATE-202711-L011</x:v>
      </x:c>
      <x:c r="M873" s="26" t="n">
        <x:v>50</x:v>
      </x:c>
      <x:c r="N873" s="26" t="n">
        <x:v>50</x:v>
      </x:c>
      <x:c r="O873" s="26" t="n">
        <x:v>0</x:v>
      </x:c>
      <x:c r="P873" s="26" t="n">
        <x:v>0</x:v>
      </x:c>
      <x:c r="Q873" s="26" t="n">
        <x:v>0</x:v>
      </x:c>
      <x:c r="R873" s="26" t="n">
        <x:v>0</x:v>
      </x:c>
      <x:c r="S873" s="26" t="n">
        <x:v>0</x:v>
      </x:c>
      <x:c r="T873" s="26" t="n">
        <x:v>50</x:v>
      </x:c>
      <x:c r="U873" s="26" t="n">
        <x:v>0</x:v>
      </x:c>
      <x:c r="V873" s="26" t="n">
        <x:v>0</x:v>
      </x:c>
      <x:c r="W873" s="26" t="n">
        <x:v>0</x:v>
      </x:c>
      <x:c r="X873" s="26" t="n">
        <x:v>0</x:v>
      </x:c>
      <x:c r="Y873" s="26" t="n">
        <x:v>0</x:v>
      </x:c>
      <x:c r="Z873" s="35" t="str">
        <x:v>Synthetic lease-authorized late fee after partial payment</x:v>
      </x:c>
    </x:row>
    <x:row r="874">
      <x:c r="A874" s="20" t="str">
        <x:v>FIN-00871</x:v>
      </x:c>
      <x:c r="B874" s="23" t="n">
        <x:v>46703</x:v>
      </x:c>
      <x:c r="C874" s="23" t="n">
        <x:v>46703</x:v>
      </x:c>
      <x:c r="D874" s="20" t="str">
        <x:v>TenantReceipt</x:v>
      </x:c>
      <x:c r="E874" s="20" t="str">
        <x:v>Rent receipt</x:v>
      </x:c>
      <x:c r="F874" s="20" t="str">
        <x:v>P011</x:v>
      </x:c>
      <x:c r="G874" s="20" t="str">
        <x:v>U011</x:v>
      </x:c>
      <x:c r="H874" s="20" t="str">
        <x:v>L011</x:v>
      </x:c>
      <x:c r="I874" s="20" t="str">
        <x:v>Hector Reed</x:v>
      </x:c>
      <x:c r="J874" s="35" t="str">
        <x:v>Scanned money order</x:v>
      </x:c>
      <x:c r="K874" s="20" t="str">
        <x:v>SCN-0306</x:v>
      </x:c>
      <x:c r="L874" s="20" t="str">
        <x:v>PMT-20271112-L011-B</x:v>
      </x:c>
      <x:c r="M874" s="26" t="n">
        <x:v>620</x:v>
      </x:c>
      <x:c r="N874" s="26" t="n">
        <x:v>-620</x:v>
      </x:c>
      <x:c r="O874" s="26" t="n">
        <x:v>620</x:v>
      </x:c>
      <x:c r="P874" s="26" t="n">
        <x:v>0</x:v>
      </x:c>
      <x:c r="Q874" s="26" t="n">
        <x:v>0</x:v>
      </x:c>
      <x:c r="R874" s="26" t="n">
        <x:v>0</x:v>
      </x:c>
      <x:c r="S874" s="26" t="n">
        <x:v>0</x:v>
      </x:c>
      <x:c r="T874" s="26" t="n">
        <x:v>0</x:v>
      </x:c>
      <x:c r="U874" s="26" t="n">
        <x:v>0</x:v>
      </x:c>
      <x:c r="V874" s="26" t="n">
        <x:v>0</x:v>
      </x:c>
      <x:c r="W874" s="26" t="n">
        <x:v>0</x:v>
      </x:c>
      <x:c r="X874" s="26" t="n">
        <x:v>0</x:v>
      </x:c>
      <x:c r="Y874" s="26" t="n">
        <x:v>0</x:v>
      </x:c>
      <x:c r="Z874" s="35" t="str">
        <x:v>Receipt allocated to FIN-00870</x:v>
      </x:c>
    </x:row>
    <x:row r="875">
      <x:c r="A875" s="20" t="str">
        <x:v>FIN-00872</x:v>
      </x:c>
      <x:c r="B875" s="23" t="n">
        <x:v>46692</x:v>
      </x:c>
      <x:c r="C875" s="23" t="n">
        <x:v>46692</x:v>
      </x:c>
      <x:c r="D875" s="20" t="str">
        <x:v>TenantCharge</x:v>
      </x:c>
      <x:c r="E875" s="20" t="str">
        <x:v>Rent</x:v>
      </x:c>
      <x:c r="F875" s="20" t="str">
        <x:v>P012</x:v>
      </x:c>
      <x:c r="G875" s="20" t="str">
        <x:v>U012</x:v>
      </x:c>
      <x:c r="H875" s="20" t="str">
        <x:v>L012</x:v>
      </x:c>
      <x:c r="I875" s="20" t="str">
        <x:v>Keira Adams</x:v>
      </x:c>
      <x:c r="J875" s="35" t="str">
        <x:v>System scheduled charge</x:v>
      </x:c>
      <x:c r="K875" s="20" t="str"/>
      <x:c r="L875" s="20" t="str">
        <x:v>RENT-202711-L012</x:v>
      </x:c>
      <x:c r="M875" s="26" t="n">
        <x:v>1050</x:v>
      </x:c>
      <x:c r="N875" s="26" t="n">
        <x:v>1050</x:v>
      </x:c>
      <x:c r="O875" s="26" t="n">
        <x:v>0</x:v>
      </x:c>
      <x:c r="P875" s="26" t="n">
        <x:v>0</x:v>
      </x:c>
      <x:c r="Q875" s="26" t="n">
        <x:v>0</x:v>
      </x:c>
      <x:c r="R875" s="26" t="n">
        <x:v>0</x:v>
      </x:c>
      <x:c r="S875" s="26" t="n">
        <x:v>0</x:v>
      </x:c>
      <x:c r="T875" s="26" t="n">
        <x:v>1050</x:v>
      </x:c>
      <x:c r="U875" s="26" t="n">
        <x:v>0</x:v>
      </x:c>
      <x:c r="V875" s="26" t="n">
        <x:v>0</x:v>
      </x:c>
      <x:c r="W875" s="26" t="n">
        <x:v>0</x:v>
      </x:c>
      <x:c r="X875" s="26" t="n">
        <x:v>0</x:v>
      </x:c>
      <x:c r="Y875" s="26" t="n">
        <x:v>0</x:v>
      </x:c>
      <x:c r="Z875" s="35" t="str">
        <x:v>November 2027 rent</x:v>
      </x:c>
    </x:row>
    <x:row r="876">
      <x:c r="A876" s="20" t="str">
        <x:v>FIN-00873</x:v>
      </x:c>
      <x:c r="B876" s="23" t="n">
        <x:v>46694</x:v>
      </x:c>
      <x:c r="C876" s="23" t="n">
        <x:v>46694</x:v>
      </x:c>
      <x:c r="D876" s="20" t="str">
        <x:v>TenantReceipt</x:v>
      </x:c>
      <x:c r="E876" s="20" t="str">
        <x:v>Rent receipt</x:v>
      </x:c>
      <x:c r="F876" s="20" t="str">
        <x:v>P012</x:v>
      </x:c>
      <x:c r="G876" s="20" t="str">
        <x:v>U012</x:v>
      </x:c>
      <x:c r="H876" s="20" t="str">
        <x:v>L012</x:v>
      </x:c>
      <x:c r="I876" s="20" t="str">
        <x:v>Keira Adams</x:v>
      </x:c>
      <x:c r="J876" s="35" t="str">
        <x:v>Scanned check</x:v>
      </x:c>
      <x:c r="K876" s="20" t="str">
        <x:v>SCN-0307</x:v>
      </x:c>
      <x:c r="L876" s="20" t="str">
        <x:v>PMT-20271103-L012</x:v>
      </x:c>
      <x:c r="M876" s="26" t="n">
        <x:v>1050</x:v>
      </x:c>
      <x:c r="N876" s="26" t="n">
        <x:v>-1050</x:v>
      </x:c>
      <x:c r="O876" s="26" t="n">
        <x:v>1050</x:v>
      </x:c>
      <x:c r="P876" s="26" t="n">
        <x:v>0</x:v>
      </x:c>
      <x:c r="Q876" s="26" t="n">
        <x:v>0</x:v>
      </x:c>
      <x:c r="R876" s="26" t="n">
        <x:v>0</x:v>
      </x:c>
      <x:c r="S876" s="26" t="n">
        <x:v>0</x:v>
      </x:c>
      <x:c r="T876" s="26" t="n">
        <x:v>0</x:v>
      </x:c>
      <x:c r="U876" s="26" t="n">
        <x:v>0</x:v>
      </x:c>
      <x:c r="V876" s="26" t="n">
        <x:v>0</x:v>
      </x:c>
      <x:c r="W876" s="26" t="n">
        <x:v>0</x:v>
      </x:c>
      <x:c r="X876" s="26" t="n">
        <x:v>0</x:v>
      </x:c>
      <x:c r="Y876" s="26" t="n">
        <x:v>0</x:v>
      </x:c>
      <x:c r="Z876" s="35" t="str">
        <x:v>Receipt allocated to FIN-00872</x:v>
      </x:c>
    </x:row>
    <x:row r="877">
      <x:c r="A877" s="20" t="str">
        <x:v>FIN-00874</x:v>
      </x:c>
      <x:c r="B877" s="23" t="n">
        <x:v>46692</x:v>
      </x:c>
      <x:c r="C877" s="23" t="n">
        <x:v>46692</x:v>
      </x:c>
      <x:c r="D877" s="20" t="str">
        <x:v>TenantCharge</x:v>
      </x:c>
      <x:c r="E877" s="20" t="str">
        <x:v>Rent</x:v>
      </x:c>
      <x:c r="F877" s="20" t="str">
        <x:v>P013</x:v>
      </x:c>
      <x:c r="G877" s="20" t="str">
        <x:v>U013</x:v>
      </x:c>
      <x:c r="H877" s="20" t="str">
        <x:v>L013</x:v>
      </x:c>
      <x:c r="I877" s="20" t="str">
        <x:v>Nolan Flores</x:v>
      </x:c>
      <x:c r="J877" s="35" t="str">
        <x:v>System scheduled charge</x:v>
      </x:c>
      <x:c r="K877" s="20" t="str"/>
      <x:c r="L877" s="20" t="str">
        <x:v>RENT-202711-L013</x:v>
      </x:c>
      <x:c r="M877" s="26" t="n">
        <x:v>1575</x:v>
      </x:c>
      <x:c r="N877" s="26" t="n">
        <x:v>1575</x:v>
      </x:c>
      <x:c r="O877" s="26" t="n">
        <x:v>0</x:v>
      </x:c>
      <x:c r="P877" s="26" t="n">
        <x:v>0</x:v>
      </x:c>
      <x:c r="Q877" s="26" t="n">
        <x:v>0</x:v>
      </x:c>
      <x:c r="R877" s="26" t="n">
        <x:v>0</x:v>
      </x:c>
      <x:c r="S877" s="26" t="n">
        <x:v>0</x:v>
      </x:c>
      <x:c r="T877" s="26" t="n">
        <x:v>1575</x:v>
      </x:c>
      <x:c r="U877" s="26" t="n">
        <x:v>0</x:v>
      </x:c>
      <x:c r="V877" s="26" t="n">
        <x:v>0</x:v>
      </x:c>
      <x:c r="W877" s="26" t="n">
        <x:v>0</x:v>
      </x:c>
      <x:c r="X877" s="26" t="n">
        <x:v>0</x:v>
      </x:c>
      <x:c r="Y877" s="26" t="n">
        <x:v>0</x:v>
      </x:c>
      <x:c r="Z877" s="35" t="str">
        <x:v>November 2027 rent</x:v>
      </x:c>
    </x:row>
    <x:row r="878">
      <x:c r="A878" s="20" t="str">
        <x:v>FIN-00875</x:v>
      </x:c>
      <x:c r="B878" s="23" t="n">
        <x:v>46697</x:v>
      </x:c>
      <x:c r="C878" s="23" t="n">
        <x:v>46697</x:v>
      </x:c>
      <x:c r="D878" s="20" t="str">
        <x:v>TenantCharge</x:v>
      </x:c>
      <x:c r="E878" s="20" t="str">
        <x:v>Late fee</x:v>
      </x:c>
      <x:c r="F878" s="20" t="str">
        <x:v>P013</x:v>
      </x:c>
      <x:c r="G878" s="20" t="str">
        <x:v>U013</x:v>
      </x:c>
      <x:c r="H878" s="20" t="str">
        <x:v>L013</x:v>
      </x:c>
      <x:c r="I878" s="20" t="str">
        <x:v>Nolan Flores</x:v>
      </x:c>
      <x:c r="J878" s="35" t="str">
        <x:v>System automation</x:v>
      </x:c>
      <x:c r="K878" s="20" t="str"/>
      <x:c r="L878" s="20" t="str">
        <x:v>LATE-202711-L013</x:v>
      </x:c>
      <x:c r="M878" s="26" t="n">
        <x:v>50</x:v>
      </x:c>
      <x:c r="N878" s="26" t="n">
        <x:v>50</x:v>
      </x:c>
      <x:c r="O878" s="26" t="n">
        <x:v>0</x:v>
      </x:c>
      <x:c r="P878" s="26" t="n">
        <x:v>0</x:v>
      </x:c>
      <x:c r="Q878" s="26" t="n">
        <x:v>0</x:v>
      </x:c>
      <x:c r="R878" s="26" t="n">
        <x:v>0</x:v>
      </x:c>
      <x:c r="S878" s="26" t="n">
        <x:v>0</x:v>
      </x:c>
      <x:c r="T878" s="26" t="n">
        <x:v>50</x:v>
      </x:c>
      <x:c r="U878" s="26" t="n">
        <x:v>0</x:v>
      </x:c>
      <x:c r="V878" s="26" t="n">
        <x:v>0</x:v>
      </x:c>
      <x:c r="W878" s="26" t="n">
        <x:v>0</x:v>
      </x:c>
      <x:c r="X878" s="26" t="n">
        <x:v>0</x:v>
      </x:c>
      <x:c r="Y878" s="26" t="n">
        <x:v>0</x:v>
      </x:c>
      <x:c r="Z878" s="35" t="str">
        <x:v>Synthetic lease-authorized late fee</x:v>
      </x:c>
    </x:row>
    <x:row r="879">
      <x:c r="A879" s="20" t="str">
        <x:v>FIN-00876</x:v>
      </x:c>
      <x:c r="B879" s="23" t="n">
        <x:v>46699</x:v>
      </x:c>
      <x:c r="C879" s="23" t="n">
        <x:v>46699</x:v>
      </x:c>
      <x:c r="D879" s="20" t="str">
        <x:v>TenantReceipt</x:v>
      </x:c>
      <x:c r="E879" s="20" t="str">
        <x:v>Rent receipt</x:v>
      </x:c>
      <x:c r="F879" s="20" t="str">
        <x:v>P013</x:v>
      </x:c>
      <x:c r="G879" s="20" t="str">
        <x:v>U013</x:v>
      </x:c>
      <x:c r="H879" s="20" t="str">
        <x:v>L013</x:v>
      </x:c>
      <x:c r="I879" s="20" t="str">
        <x:v>Nolan Flores</x:v>
      </x:c>
      <x:c r="J879" s="35" t="str">
        <x:v>Scanned check</x:v>
      </x:c>
      <x:c r="K879" s="20" t="str">
        <x:v>SCN-0308</x:v>
      </x:c>
      <x:c r="L879" s="20" t="str">
        <x:v>PMT-20271108-L013</x:v>
      </x:c>
      <x:c r="M879" s="26" t="n">
        <x:v>1625</x:v>
      </x:c>
      <x:c r="N879" s="26" t="n">
        <x:v>-1625</x:v>
      </x:c>
      <x:c r="O879" s="26" t="n">
        <x:v>1625</x:v>
      </x:c>
      <x:c r="P879" s="26" t="n">
        <x:v>0</x:v>
      </x:c>
      <x:c r="Q879" s="26" t="n">
        <x:v>0</x:v>
      </x:c>
      <x:c r="R879" s="26" t="n">
        <x:v>0</x:v>
      </x:c>
      <x:c r="S879" s="26" t="n">
        <x:v>0</x:v>
      </x:c>
      <x:c r="T879" s="26" t="n">
        <x:v>0</x:v>
      </x:c>
      <x:c r="U879" s="26" t="n">
        <x:v>0</x:v>
      </x:c>
      <x:c r="V879" s="26" t="n">
        <x:v>0</x:v>
      </x:c>
      <x:c r="W879" s="26" t="n">
        <x:v>0</x:v>
      </x:c>
      <x:c r="X879" s="26" t="n">
        <x:v>0</x:v>
      </x:c>
      <x:c r="Y879" s="26" t="n">
        <x:v>0</x:v>
      </x:c>
      <x:c r="Z879" s="35" t="str">
        <x:v>Receipt allocated to FIN-00875</x:v>
      </x:c>
    </x:row>
    <x:row r="880">
      <x:c r="A880" s="20" t="str">
        <x:v>FIN-00877</x:v>
      </x:c>
      <x:c r="B880" s="23" t="n">
        <x:v>46692</x:v>
      </x:c>
      <x:c r="C880" s="23" t="n">
        <x:v>46692</x:v>
      </x:c>
      <x:c r="D880" s="20" t="str">
        <x:v>TenantCharge</x:v>
      </x:c>
      <x:c r="E880" s="20" t="str">
        <x:v>Rent</x:v>
      </x:c>
      <x:c r="F880" s="20" t="str">
        <x:v>P015</x:v>
      </x:c>
      <x:c r="G880" s="20" t="str">
        <x:v>U015</x:v>
      </x:c>
      <x:c r="H880" s="20" t="str">
        <x:v>L015</x:v>
      </x:c>
      <x:c r="I880" s="20" t="str">
        <x:v>Uri Price</x:v>
      </x:c>
      <x:c r="J880" s="35" t="str">
        <x:v>System scheduled charge</x:v>
      </x:c>
      <x:c r="K880" s="20" t="str"/>
      <x:c r="L880" s="20" t="str">
        <x:v>RENT-202711-L015</x:v>
      </x:c>
      <x:c r="M880" s="26" t="n">
        <x:v>1725</x:v>
      </x:c>
      <x:c r="N880" s="26" t="n">
        <x:v>1725</x:v>
      </x:c>
      <x:c r="O880" s="26" t="n">
        <x:v>0</x:v>
      </x:c>
      <x:c r="P880" s="26" t="n">
        <x:v>0</x:v>
      </x:c>
      <x:c r="Q880" s="26" t="n">
        <x:v>0</x:v>
      </x:c>
      <x:c r="R880" s="26" t="n">
        <x:v>0</x:v>
      </x:c>
      <x:c r="S880" s="26" t="n">
        <x:v>0</x:v>
      </x:c>
      <x:c r="T880" s="26" t="n">
        <x:v>1725</x:v>
      </x:c>
      <x:c r="U880" s="26" t="n">
        <x:v>0</x:v>
      </x:c>
      <x:c r="V880" s="26" t="n">
        <x:v>0</x:v>
      </x:c>
      <x:c r="W880" s="26" t="n">
        <x:v>0</x:v>
      </x:c>
      <x:c r="X880" s="26" t="n">
        <x:v>0</x:v>
      </x:c>
      <x:c r="Y880" s="26" t="n">
        <x:v>0</x:v>
      </x:c>
      <x:c r="Z880" s="35" t="str">
        <x:v>November 2027 rent</x:v>
      </x:c>
    </x:row>
    <x:row r="881">
      <x:c r="A881" s="20" t="str">
        <x:v>FIN-00878</x:v>
      </x:c>
      <x:c r="B881" s="23" t="n">
        <x:v>46694</x:v>
      </x:c>
      <x:c r="C881" s="23" t="n">
        <x:v>46694</x:v>
      </x:c>
      <x:c r="D881" s="20" t="str">
        <x:v>TenantReceipt</x:v>
      </x:c>
      <x:c r="E881" s="20" t="str">
        <x:v>Rent receipt</x:v>
      </x:c>
      <x:c r="F881" s="20" t="str">
        <x:v>P015</x:v>
      </x:c>
      <x:c r="G881" s="20" t="str">
        <x:v>U015</x:v>
      </x:c>
      <x:c r="H881" s="20" t="str">
        <x:v>L015</x:v>
      </x:c>
      <x:c r="I881" s="20" t="str">
        <x:v>Uri Price</x:v>
      </x:c>
      <x:c r="J881" s="35" t="str">
        <x:v>Portal card</x:v>
      </x:c>
      <x:c r="K881" s="20" t="str"/>
      <x:c r="L881" s="20" t="str">
        <x:v>PMT-20271103-L015</x:v>
      </x:c>
      <x:c r="M881" s="26" t="n">
        <x:v>1725</x:v>
      </x:c>
      <x:c r="N881" s="26" t="n">
        <x:v>-1725</x:v>
      </x:c>
      <x:c r="O881" s="26" t="n">
        <x:v>1725</x:v>
      </x:c>
      <x:c r="P881" s="26" t="n">
        <x:v>0</x:v>
      </x:c>
      <x:c r="Q881" s="26" t="n">
        <x:v>0</x:v>
      </x:c>
      <x:c r="R881" s="26" t="n">
        <x:v>0</x:v>
      </x:c>
      <x:c r="S881" s="26" t="n">
        <x:v>0</x:v>
      </x:c>
      <x:c r="T881" s="26" t="n">
        <x:v>0</x:v>
      </x:c>
      <x:c r="U881" s="26" t="n">
        <x:v>0</x:v>
      </x:c>
      <x:c r="V881" s="26" t="n">
        <x:v>0</x:v>
      </x:c>
      <x:c r="W881" s="26" t="n">
        <x:v>0</x:v>
      </x:c>
      <x:c r="X881" s="26" t="n">
        <x:v>0</x:v>
      </x:c>
      <x:c r="Y881" s="26" t="n">
        <x:v>0</x:v>
      </x:c>
      <x:c r="Z881" s="35" t="str">
        <x:v>Receipt allocated to FIN-00877</x:v>
      </x:c>
    </x:row>
    <x:row r="882">
      <x:c r="A882" s="20" t="str">
        <x:v>FIN-00879</x:v>
      </x:c>
      <x:c r="B882" s="23" t="n">
        <x:v>46692</x:v>
      </x:c>
      <x:c r="C882" s="23" t="n">
        <x:v>46692</x:v>
      </x:c>
      <x:c r="D882" s="20" t="str">
        <x:v>TenantCharge</x:v>
      </x:c>
      <x:c r="E882" s="20" t="str">
        <x:v>Rent</x:v>
      </x:c>
      <x:c r="F882" s="20" t="str">
        <x:v>P016</x:v>
      </x:c>
      <x:c r="G882" s="20" t="str">
        <x:v>U016</x:v>
      </x:c>
      <x:c r="H882" s="20" t="str">
        <x:v>L016</x:v>
      </x:c>
      <x:c r="I882" s="20" t="str">
        <x:v>Avery Brooks</x:v>
      </x:c>
      <x:c r="J882" s="35" t="str">
        <x:v>System scheduled charge</x:v>
      </x:c>
      <x:c r="K882" s="20" t="str"/>
      <x:c r="L882" s="20" t="str">
        <x:v>RENT-202711-L016</x:v>
      </x:c>
      <x:c r="M882" s="26" t="n">
        <x:v>1350</x:v>
      </x:c>
      <x:c r="N882" s="26" t="n">
        <x:v>1350</x:v>
      </x:c>
      <x:c r="O882" s="26" t="n">
        <x:v>0</x:v>
      </x:c>
      <x:c r="P882" s="26" t="n">
        <x:v>0</x:v>
      </x:c>
      <x:c r="Q882" s="26" t="n">
        <x:v>0</x:v>
      </x:c>
      <x:c r="R882" s="26" t="n">
        <x:v>0</x:v>
      </x:c>
      <x:c r="S882" s="26" t="n">
        <x:v>0</x:v>
      </x:c>
      <x:c r="T882" s="26" t="n">
        <x:v>1350</x:v>
      </x:c>
      <x:c r="U882" s="26" t="n">
        <x:v>0</x:v>
      </x:c>
      <x:c r="V882" s="26" t="n">
        <x:v>0</x:v>
      </x:c>
      <x:c r="W882" s="26" t="n">
        <x:v>0</x:v>
      </x:c>
      <x:c r="X882" s="26" t="n">
        <x:v>0</x:v>
      </x:c>
      <x:c r="Y882" s="26" t="n">
        <x:v>0</x:v>
      </x:c>
      <x:c r="Z882" s="35" t="str">
        <x:v>November 2027 rent</x:v>
      </x:c>
    </x:row>
    <x:row r="883">
      <x:c r="A883" s="20" t="str">
        <x:v>FIN-00880</x:v>
      </x:c>
      <x:c r="B883" s="23" t="n">
        <x:v>46695</x:v>
      </x:c>
      <x:c r="C883" s="23" t="n">
        <x:v>46695</x:v>
      </x:c>
      <x:c r="D883" s="20" t="str">
        <x:v>TenantReceipt</x:v>
      </x:c>
      <x:c r="E883" s="20" t="str">
        <x:v>Rent receipt</x:v>
      </x:c>
      <x:c r="F883" s="20" t="str">
        <x:v>P016</x:v>
      </x:c>
      <x:c r="G883" s="20" t="str">
        <x:v>U016</x:v>
      </x:c>
      <x:c r="H883" s="20" t="str">
        <x:v>L016</x:v>
      </x:c>
      <x:c r="I883" s="20" t="str">
        <x:v>Avery Brooks</x:v>
      </x:c>
      <x:c r="J883" s="35" t="str">
        <x:v>Scanned check</x:v>
      </x:c>
      <x:c r="K883" s="20" t="str">
        <x:v>SCN-0309</x:v>
      </x:c>
      <x:c r="L883" s="20" t="str">
        <x:v>PMT-20271104-L016</x:v>
      </x:c>
      <x:c r="M883" s="26" t="n">
        <x:v>1350</x:v>
      </x:c>
      <x:c r="N883" s="26" t="n">
        <x:v>-1350</x:v>
      </x:c>
      <x:c r="O883" s="26" t="n">
        <x:v>1350</x:v>
      </x:c>
      <x:c r="P883" s="26" t="n">
        <x:v>0</x:v>
      </x:c>
      <x:c r="Q883" s="26" t="n">
        <x:v>0</x:v>
      </x:c>
      <x:c r="R883" s="26" t="n">
        <x:v>0</x:v>
      </x:c>
      <x:c r="S883" s="26" t="n">
        <x:v>0</x:v>
      </x:c>
      <x:c r="T883" s="26" t="n">
        <x:v>0</x:v>
      </x:c>
      <x:c r="U883" s="26" t="n">
        <x:v>0</x:v>
      </x:c>
      <x:c r="V883" s="26" t="n">
        <x:v>0</x:v>
      </x:c>
      <x:c r="W883" s="26" t="n">
        <x:v>0</x:v>
      </x:c>
      <x:c r="X883" s="26" t="n">
        <x:v>0</x:v>
      </x:c>
      <x:c r="Y883" s="26" t="n">
        <x:v>0</x:v>
      </x:c>
      <x:c r="Z883" s="35" t="str">
        <x:v>Receipt allocated to FIN-00879</x:v>
      </x:c>
    </x:row>
    <x:row r="884">
      <x:c r="A884" s="20" t="str">
        <x:v>FIN-00881</x:v>
      </x:c>
      <x:c r="B884" s="23" t="n">
        <x:v>46692</x:v>
      </x:c>
      <x:c r="C884" s="23" t="n">
        <x:v>46692</x:v>
      </x:c>
      <x:c r="D884" s="20" t="str">
        <x:v>TenantCharge</x:v>
      </x:c>
      <x:c r="E884" s="20" t="str">
        <x:v>Rent</x:v>
      </x:c>
      <x:c r="F884" s="20" t="str">
        <x:v>P018</x:v>
      </x:c>
      <x:c r="G884" s="20" t="str">
        <x:v>U018</x:v>
      </x:c>
      <x:c r="H884" s="20" t="str">
        <x:v>L018</x:v>
      </x:c>
      <x:c r="I884" s="20" t="str">
        <x:v>Gray Lewis</x:v>
      </x:c>
      <x:c r="J884" s="35" t="str">
        <x:v>System scheduled charge</x:v>
      </x:c>
      <x:c r="K884" s="20" t="str"/>
      <x:c r="L884" s="20" t="str">
        <x:v>RENT-202711-L018</x:v>
      </x:c>
      <x:c r="M884" s="26" t="n">
        <x:v>1500</x:v>
      </x:c>
      <x:c r="N884" s="26" t="n">
        <x:v>1500</x:v>
      </x:c>
      <x:c r="O884" s="26" t="n">
        <x:v>0</x:v>
      </x:c>
      <x:c r="P884" s="26" t="n">
        <x:v>0</x:v>
      </x:c>
      <x:c r="Q884" s="26" t="n">
        <x:v>0</x:v>
      </x:c>
      <x:c r="R884" s="26" t="n">
        <x:v>0</x:v>
      </x:c>
      <x:c r="S884" s="26" t="n">
        <x:v>0</x:v>
      </x:c>
      <x:c r="T884" s="26" t="n">
        <x:v>1500</x:v>
      </x:c>
      <x:c r="U884" s="26" t="n">
        <x:v>0</x:v>
      </x:c>
      <x:c r="V884" s="26" t="n">
        <x:v>0</x:v>
      </x:c>
      <x:c r="W884" s="26" t="n">
        <x:v>0</x:v>
      </x:c>
      <x:c r="X884" s="26" t="n">
        <x:v>0</x:v>
      </x:c>
      <x:c r="Y884" s="26" t="n">
        <x:v>0</x:v>
      </x:c>
      <x:c r="Z884" s="35" t="str">
        <x:v>November 2027 rent</x:v>
      </x:c>
    </x:row>
    <x:row r="885">
      <x:c r="A885" s="20" t="str">
        <x:v>FIN-00882</x:v>
      </x:c>
      <x:c r="B885" s="23" t="n">
        <x:v>46694</x:v>
      </x:c>
      <x:c r="C885" s="23" t="n">
        <x:v>46694</x:v>
      </x:c>
      <x:c r="D885" s="20" t="str">
        <x:v>TenantReceipt</x:v>
      </x:c>
      <x:c r="E885" s="20" t="str">
        <x:v>Rent receipt</x:v>
      </x:c>
      <x:c r="F885" s="20" t="str">
        <x:v>P018</x:v>
      </x:c>
      <x:c r="G885" s="20" t="str">
        <x:v>U018</x:v>
      </x:c>
      <x:c r="H885" s="20" t="str">
        <x:v>L018</x:v>
      </x:c>
      <x:c r="I885" s="20" t="str">
        <x:v>Gray Lewis</x:v>
      </x:c>
      <x:c r="J885" s="35" t="str">
        <x:v>Manual ACH</x:v>
      </x:c>
      <x:c r="K885" s="20" t="str"/>
      <x:c r="L885" s="20" t="str">
        <x:v>PMT-20271103-L018</x:v>
      </x:c>
      <x:c r="M885" s="26" t="n">
        <x:v>1500</x:v>
      </x:c>
      <x:c r="N885" s="26" t="n">
        <x:v>-1500</x:v>
      </x:c>
      <x:c r="O885" s="26" t="n">
        <x:v>1500</x:v>
      </x:c>
      <x:c r="P885" s="26" t="n">
        <x:v>0</x:v>
      </x:c>
      <x:c r="Q885" s="26" t="n">
        <x:v>0</x:v>
      </x:c>
      <x:c r="R885" s="26" t="n">
        <x:v>0</x:v>
      </x:c>
      <x:c r="S885" s="26" t="n">
        <x:v>0</x:v>
      </x:c>
      <x:c r="T885" s="26" t="n">
        <x:v>0</x:v>
      </x:c>
      <x:c r="U885" s="26" t="n">
        <x:v>0</x:v>
      </x:c>
      <x:c r="V885" s="26" t="n">
        <x:v>0</x:v>
      </x:c>
      <x:c r="W885" s="26" t="n">
        <x:v>0</x:v>
      </x:c>
      <x:c r="X885" s="26" t="n">
        <x:v>0</x:v>
      </x:c>
      <x:c r="Y885" s="26" t="n">
        <x:v>0</x:v>
      </x:c>
      <x:c r="Z885" s="35" t="str">
        <x:v>Receipt allocated to FIN-00881</x:v>
      </x:c>
    </x:row>
    <x:row r="886">
      <x:c r="A886" s="20" t="str">
        <x:v>FIN-00883</x:v>
      </x:c>
      <x:c r="B886" s="23" t="n">
        <x:v>46692</x:v>
      </x:c>
      <x:c r="C886" s="23" t="n">
        <x:v>46692</x:v>
      </x:c>
      <x:c r="D886" s="20" t="str">
        <x:v>TenantCharge</x:v>
      </x:c>
      <x:c r="E886" s="20" t="str">
        <x:v>Rent</x:v>
      </x:c>
      <x:c r="F886" s="20" t="str">
        <x:v>P019</x:v>
      </x:c>
      <x:c r="G886" s="20" t="str">
        <x:v>U019</x:v>
      </x:c>
      <x:c r="H886" s="20" t="str">
        <x:v>L019</x:v>
      </x:c>
      <x:c r="I886" s="20" t="str">
        <x:v>Jordan Reed</x:v>
      </x:c>
      <x:c r="J886" s="35" t="str">
        <x:v>System scheduled charge</x:v>
      </x:c>
      <x:c r="K886" s="20" t="str"/>
      <x:c r="L886" s="20" t="str">
        <x:v>RENT-202711-L019</x:v>
      </x:c>
      <x:c r="M886" s="26" t="n">
        <x:v>1125</x:v>
      </x:c>
      <x:c r="N886" s="26" t="n">
        <x:v>1125</x:v>
      </x:c>
      <x:c r="O886" s="26" t="n">
        <x:v>0</x:v>
      </x:c>
      <x:c r="P886" s="26" t="n">
        <x:v>0</x:v>
      </x:c>
      <x:c r="Q886" s="26" t="n">
        <x:v>0</x:v>
      </x:c>
      <x:c r="R886" s="26" t="n">
        <x:v>0</x:v>
      </x:c>
      <x:c r="S886" s="26" t="n">
        <x:v>0</x:v>
      </x:c>
      <x:c r="T886" s="26" t="n">
        <x:v>1125</x:v>
      </x:c>
      <x:c r="U886" s="26" t="n">
        <x:v>0</x:v>
      </x:c>
      <x:c r="V886" s="26" t="n">
        <x:v>0</x:v>
      </x:c>
      <x:c r="W886" s="26" t="n">
        <x:v>0</x:v>
      </x:c>
      <x:c r="X886" s="26" t="n">
        <x:v>0</x:v>
      </x:c>
      <x:c r="Y886" s="26" t="n">
        <x:v>0</x:v>
      </x:c>
      <x:c r="Z886" s="35" t="str">
        <x:v>November 2027 rent</x:v>
      </x:c>
    </x:row>
    <x:row r="887">
      <x:c r="A887" s="20" t="str">
        <x:v>FIN-00884</x:v>
      </x:c>
      <x:c r="B887" s="23" t="n">
        <x:v>46695</x:v>
      </x:c>
      <x:c r="C887" s="23" t="n">
        <x:v>46695</x:v>
      </x:c>
      <x:c r="D887" s="20" t="str">
        <x:v>TenantReceipt</x:v>
      </x:c>
      <x:c r="E887" s="20" t="str">
        <x:v>Rent receipt</x:v>
      </x:c>
      <x:c r="F887" s="20" t="str">
        <x:v>P019</x:v>
      </x:c>
      <x:c r="G887" s="20" t="str">
        <x:v>U019</x:v>
      </x:c>
      <x:c r="H887" s="20" t="str">
        <x:v>L019</x:v>
      </x:c>
      <x:c r="I887" s="20" t="str">
        <x:v>Jordan Reed</x:v>
      </x:c>
      <x:c r="J887" s="35" t="str">
        <x:v>Portal card</x:v>
      </x:c>
      <x:c r="K887" s="20" t="str"/>
      <x:c r="L887" s="20" t="str">
        <x:v>PMT-20271104-L019</x:v>
      </x:c>
      <x:c r="M887" s="26" t="n">
        <x:v>1125</x:v>
      </x:c>
      <x:c r="N887" s="26" t="n">
        <x:v>-1125</x:v>
      </x:c>
      <x:c r="O887" s="26" t="n">
        <x:v>1125</x:v>
      </x:c>
      <x:c r="P887" s="26" t="n">
        <x:v>0</x:v>
      </x:c>
      <x:c r="Q887" s="26" t="n">
        <x:v>0</x:v>
      </x:c>
      <x:c r="R887" s="26" t="n">
        <x:v>0</x:v>
      </x:c>
      <x:c r="S887" s="26" t="n">
        <x:v>0</x:v>
      </x:c>
      <x:c r="T887" s="26" t="n">
        <x:v>0</x:v>
      </x:c>
      <x:c r="U887" s="26" t="n">
        <x:v>0</x:v>
      </x:c>
      <x:c r="V887" s="26" t="n">
        <x:v>0</x:v>
      </x:c>
      <x:c r="W887" s="26" t="n">
        <x:v>0</x:v>
      </x:c>
      <x:c r="X887" s="26" t="n">
        <x:v>0</x:v>
      </x:c>
      <x:c r="Y887" s="26" t="n">
        <x:v>0</x:v>
      </x:c>
      <x:c r="Z887" s="35" t="str">
        <x:v>Receipt allocated to FIN-00883</x:v>
      </x:c>
    </x:row>
    <x:row r="888">
      <x:c r="A888" s="20" t="str">
        <x:v>FIN-00885</x:v>
      </x:c>
      <x:c r="B888" s="23" t="n">
        <x:v>46692</x:v>
      </x:c>
      <x:c r="C888" s="23" t="n">
        <x:v>46692</x:v>
      </x:c>
      <x:c r="D888" s="20" t="str">
        <x:v>TenantCharge</x:v>
      </x:c>
      <x:c r="E888" s="20" t="str">
        <x:v>Rent</x:v>
      </x:c>
      <x:c r="F888" s="20" t="str">
        <x:v>P020</x:v>
      </x:c>
      <x:c r="G888" s="20" t="str">
        <x:v>U020</x:v>
      </x:c>
      <x:c r="H888" s="20" t="str">
        <x:v>L020</x:v>
      </x:c>
      <x:c r="I888" s="20" t="str">
        <x:v>Morgan Adams</x:v>
      </x:c>
      <x:c r="J888" s="35" t="str">
        <x:v>System scheduled charge</x:v>
      </x:c>
      <x:c r="K888" s="20" t="str"/>
      <x:c r="L888" s="20" t="str">
        <x:v>RENT-202711-L020</x:v>
      </x:c>
      <x:c r="M888" s="26" t="n">
        <x:v>1650</x:v>
      </x:c>
      <x:c r="N888" s="26" t="n">
        <x:v>1650</x:v>
      </x:c>
      <x:c r="O888" s="26" t="n">
        <x:v>0</x:v>
      </x:c>
      <x:c r="P888" s="26" t="n">
        <x:v>0</x:v>
      </x:c>
      <x:c r="Q888" s="26" t="n">
        <x:v>0</x:v>
      </x:c>
      <x:c r="R888" s="26" t="n">
        <x:v>0</x:v>
      </x:c>
      <x:c r="S888" s="26" t="n">
        <x:v>0</x:v>
      </x:c>
      <x:c r="T888" s="26" t="n">
        <x:v>1650</x:v>
      </x:c>
      <x:c r="U888" s="26" t="n">
        <x:v>0</x:v>
      </x:c>
      <x:c r="V888" s="26" t="n">
        <x:v>0</x:v>
      </x:c>
      <x:c r="W888" s="26" t="n">
        <x:v>0</x:v>
      </x:c>
      <x:c r="X888" s="26" t="n">
        <x:v>0</x:v>
      </x:c>
      <x:c r="Y888" s="26" t="n">
        <x:v>0</x:v>
      </x:c>
      <x:c r="Z888" s="35" t="str">
        <x:v>November 2027 rent</x:v>
      </x:c>
    </x:row>
    <x:row r="889">
      <x:c r="A889" s="20" t="str">
        <x:v>FIN-00886</x:v>
      </x:c>
      <x:c r="B889" s="23" t="n">
        <x:v>46696</x:v>
      </x:c>
      <x:c r="C889" s="23" t="n">
        <x:v>46696</x:v>
      </x:c>
      <x:c r="D889" s="20" t="str">
        <x:v>TenantReceipt</x:v>
      </x:c>
      <x:c r="E889" s="20" t="str">
        <x:v>Rent receipt</x:v>
      </x:c>
      <x:c r="F889" s="20" t="str">
        <x:v>P020</x:v>
      </x:c>
      <x:c r="G889" s="20" t="str">
        <x:v>U020</x:v>
      </x:c>
      <x:c r="H889" s="20" t="str">
        <x:v>L020</x:v>
      </x:c>
      <x:c r="I889" s="20" t="str">
        <x:v>Morgan Adams</x:v>
      </x:c>
      <x:c r="J889" s="35" t="str">
        <x:v>Scanned check</x:v>
      </x:c>
      <x:c r="K889" s="20" t="str">
        <x:v>SCN-0310</x:v>
      </x:c>
      <x:c r="L889" s="20" t="str">
        <x:v>PMT-20271105-L020</x:v>
      </x:c>
      <x:c r="M889" s="26" t="n">
        <x:v>1650</x:v>
      </x:c>
      <x:c r="N889" s="26" t="n">
        <x:v>-1650</x:v>
      </x:c>
      <x:c r="O889" s="26" t="n">
        <x:v>1650</x:v>
      </x:c>
      <x:c r="P889" s="26" t="n">
        <x:v>0</x:v>
      </x:c>
      <x:c r="Q889" s="26" t="n">
        <x:v>0</x:v>
      </x:c>
      <x:c r="R889" s="26" t="n">
        <x:v>0</x:v>
      </x:c>
      <x:c r="S889" s="26" t="n">
        <x:v>0</x:v>
      </x:c>
      <x:c r="T889" s="26" t="n">
        <x:v>0</x:v>
      </x:c>
      <x:c r="U889" s="26" t="n">
        <x:v>0</x:v>
      </x:c>
      <x:c r="V889" s="26" t="n">
        <x:v>0</x:v>
      </x:c>
      <x:c r="W889" s="26" t="n">
        <x:v>0</x:v>
      </x:c>
      <x:c r="X889" s="26" t="n">
        <x:v>0</x:v>
      </x:c>
      <x:c r="Y889" s="26" t="n">
        <x:v>0</x:v>
      </x:c>
      <x:c r="Z889" s="35" t="str">
        <x:v>Receipt allocated to FIN-00885</x:v>
      </x:c>
    </x:row>
    <x:row r="890">
      <x:c r="A890" s="20" t="str">
        <x:v>FIN-00887</x:v>
      </x:c>
      <x:c r="B890" s="23" t="n">
        <x:v>46692</x:v>
      </x:c>
      <x:c r="C890" s="23" t="n">
        <x:v>46692</x:v>
      </x:c>
      <x:c r="D890" s="20" t="str">
        <x:v>TenantCharge</x:v>
      </x:c>
      <x:c r="E890" s="20" t="str">
        <x:v>Rent</x:v>
      </x:c>
      <x:c r="F890" s="20" t="str">
        <x:v>P021</x:v>
      </x:c>
      <x:c r="G890" s="20" t="str">
        <x:v>U021</x:v>
      </x:c>
      <x:c r="H890" s="20" t="str">
        <x:v>L021</x:v>
      </x:c>
      <x:c r="I890" s="20" t="str">
        <x:v>Parker Flores</x:v>
      </x:c>
      <x:c r="J890" s="35" t="str">
        <x:v>System scheduled charge</x:v>
      </x:c>
      <x:c r="K890" s="20" t="str"/>
      <x:c r="L890" s="20" t="str">
        <x:v>RENT-202711-L021</x:v>
      </x:c>
      <x:c r="M890" s="26" t="n">
        <x:v>1375</x:v>
      </x:c>
      <x:c r="N890" s="26" t="n">
        <x:v>1375</x:v>
      </x:c>
      <x:c r="O890" s="26" t="n">
        <x:v>0</x:v>
      </x:c>
      <x:c r="P890" s="26" t="n">
        <x:v>0</x:v>
      </x:c>
      <x:c r="Q890" s="26" t="n">
        <x:v>0</x:v>
      </x:c>
      <x:c r="R890" s="26" t="n">
        <x:v>0</x:v>
      </x:c>
      <x:c r="S890" s="26" t="n">
        <x:v>0</x:v>
      </x:c>
      <x:c r="T890" s="26" t="n">
        <x:v>1375</x:v>
      </x:c>
      <x:c r="U890" s="26" t="n">
        <x:v>0</x:v>
      </x:c>
      <x:c r="V890" s="26" t="n">
        <x:v>0</x:v>
      </x:c>
      <x:c r="W890" s="26" t="n">
        <x:v>0</x:v>
      </x:c>
      <x:c r="X890" s="26" t="n">
        <x:v>0</x:v>
      </x:c>
      <x:c r="Y890" s="26" t="n">
        <x:v>0</x:v>
      </x:c>
      <x:c r="Z890" s="35" t="str">
        <x:v>November 2027 rent</x:v>
      </x:c>
    </x:row>
    <x:row r="891">
      <x:c r="A891" s="20" t="str">
        <x:v>FIN-00888</x:v>
      </x:c>
      <x:c r="B891" s="23" t="n">
        <x:v>46694</x:v>
      </x:c>
      <x:c r="C891" s="23" t="n">
        <x:v>46694</x:v>
      </x:c>
      <x:c r="D891" s="20" t="str">
        <x:v>TenantReceipt</x:v>
      </x:c>
      <x:c r="E891" s="20" t="str">
        <x:v>Rent receipt</x:v>
      </x:c>
      <x:c r="F891" s="20" t="str">
        <x:v>P021</x:v>
      </x:c>
      <x:c r="G891" s="20" t="str">
        <x:v>U021</x:v>
      </x:c>
      <x:c r="H891" s="20" t="str">
        <x:v>L021</x:v>
      </x:c>
      <x:c r="I891" s="20" t="str">
        <x:v>Parker Flores</x:v>
      </x:c>
      <x:c r="J891" s="35" t="str">
        <x:v>Scanned money order</x:v>
      </x:c>
      <x:c r="K891" s="20" t="str">
        <x:v>SCN-0311</x:v>
      </x:c>
      <x:c r="L891" s="20" t="str">
        <x:v>PMT-20271103-L021</x:v>
      </x:c>
      <x:c r="M891" s="26" t="n">
        <x:v>1375</x:v>
      </x:c>
      <x:c r="N891" s="26" t="n">
        <x:v>-1375</x:v>
      </x:c>
      <x:c r="O891" s="26" t="n">
        <x:v>1375</x:v>
      </x:c>
      <x:c r="P891" s="26" t="n">
        <x:v>0</x:v>
      </x:c>
      <x:c r="Q891" s="26" t="n">
        <x:v>0</x:v>
      </x:c>
      <x:c r="R891" s="26" t="n">
        <x:v>0</x:v>
      </x:c>
      <x:c r="S891" s="26" t="n">
        <x:v>0</x:v>
      </x:c>
      <x:c r="T891" s="26" t="n">
        <x:v>0</x:v>
      </x:c>
      <x:c r="U891" s="26" t="n">
        <x:v>0</x:v>
      </x:c>
      <x:c r="V891" s="26" t="n">
        <x:v>0</x:v>
      </x:c>
      <x:c r="W891" s="26" t="n">
        <x:v>0</x:v>
      </x:c>
      <x:c r="X891" s="26" t="n">
        <x:v>0</x:v>
      </x:c>
      <x:c r="Y891" s="26" t="n">
        <x:v>0</x:v>
      </x:c>
      <x:c r="Z891" s="35" t="str">
        <x:v>Receipt allocated to FIN-00887</x:v>
      </x:c>
    </x:row>
    <x:row r="892">
      <x:c r="A892" s="20" t="str">
        <x:v>FIN-00889</x:v>
      </x:c>
      <x:c r="B892" s="23" t="n">
        <x:v>46692</x:v>
      </x:c>
      <x:c r="C892" s="23" t="n">
        <x:v>46692</x:v>
      </x:c>
      <x:c r="D892" s="20" t="str">
        <x:v>TenantCharge</x:v>
      </x:c>
      <x:c r="E892" s="20" t="str">
        <x:v>Rent</x:v>
      </x:c>
      <x:c r="F892" s="20" t="str">
        <x:v>P022</x:v>
      </x:c>
      <x:c r="G892" s="20" t="str">
        <x:v>U023</x:v>
      </x:c>
      <x:c r="H892" s="20" t="str">
        <x:v>L023</x:v>
      </x:c>
      <x:c r="I892" s="20" t="str">
        <x:v>Val Price</x:v>
      </x:c>
      <x:c r="J892" s="35" t="str">
        <x:v>System scheduled charge</x:v>
      </x:c>
      <x:c r="K892" s="20" t="str"/>
      <x:c r="L892" s="20" t="str">
        <x:v>RENT-202711-L023</x:v>
      </x:c>
      <x:c r="M892" s="26" t="n">
        <x:v>1525</x:v>
      </x:c>
      <x:c r="N892" s="26" t="n">
        <x:v>1525</x:v>
      </x:c>
      <x:c r="O892" s="26" t="n">
        <x:v>0</x:v>
      </x:c>
      <x:c r="P892" s="26" t="n">
        <x:v>0</x:v>
      </x:c>
      <x:c r="Q892" s="26" t="n">
        <x:v>0</x:v>
      </x:c>
      <x:c r="R892" s="26" t="n">
        <x:v>0</x:v>
      </x:c>
      <x:c r="S892" s="26" t="n">
        <x:v>0</x:v>
      </x:c>
      <x:c r="T892" s="26" t="n">
        <x:v>1525</x:v>
      </x:c>
      <x:c r="U892" s="26" t="n">
        <x:v>0</x:v>
      </x:c>
      <x:c r="V892" s="26" t="n">
        <x:v>0</x:v>
      </x:c>
      <x:c r="W892" s="26" t="n">
        <x:v>0</x:v>
      </x:c>
      <x:c r="X892" s="26" t="n">
        <x:v>0</x:v>
      </x:c>
      <x:c r="Y892" s="26" t="n">
        <x:v>0</x:v>
      </x:c>
      <x:c r="Z892" s="35" t="str">
        <x:v>November 2027 rent</x:v>
      </x:c>
    </x:row>
    <x:row r="893">
      <x:c r="A893" s="20" t="str">
        <x:v>FIN-00890</x:v>
      </x:c>
      <x:c r="B893" s="23" t="n">
        <x:v>46696</x:v>
      </x:c>
      <x:c r="C893" s="23" t="n">
        <x:v>46696</x:v>
      </x:c>
      <x:c r="D893" s="20" t="str">
        <x:v>TenantReceipt</x:v>
      </x:c>
      <x:c r="E893" s="20" t="str">
        <x:v>Rent receipt</x:v>
      </x:c>
      <x:c r="F893" s="20" t="str">
        <x:v>P022</x:v>
      </x:c>
      <x:c r="G893" s="20" t="str">
        <x:v>U023</x:v>
      </x:c>
      <x:c r="H893" s="20" t="str">
        <x:v>L023</x:v>
      </x:c>
      <x:c r="I893" s="20" t="str">
        <x:v>Val Price</x:v>
      </x:c>
      <x:c r="J893" s="35" t="str">
        <x:v>Portal card</x:v>
      </x:c>
      <x:c r="K893" s="20" t="str"/>
      <x:c r="L893" s="20" t="str">
        <x:v>PMT-20271105-L023</x:v>
      </x:c>
      <x:c r="M893" s="26" t="n">
        <x:v>1525</x:v>
      </x:c>
      <x:c r="N893" s="26" t="n">
        <x:v>-1525</x:v>
      </x:c>
      <x:c r="O893" s="26" t="n">
        <x:v>1525</x:v>
      </x:c>
      <x:c r="P893" s="26" t="n">
        <x:v>0</x:v>
      </x:c>
      <x:c r="Q893" s="26" t="n">
        <x:v>0</x:v>
      </x:c>
      <x:c r="R893" s="26" t="n">
        <x:v>0</x:v>
      </x:c>
      <x:c r="S893" s="26" t="n">
        <x:v>0</x:v>
      </x:c>
      <x:c r="T893" s="26" t="n">
        <x:v>0</x:v>
      </x:c>
      <x:c r="U893" s="26" t="n">
        <x:v>0</x:v>
      </x:c>
      <x:c r="V893" s="26" t="n">
        <x:v>0</x:v>
      </x:c>
      <x:c r="W893" s="26" t="n">
        <x:v>0</x:v>
      </x:c>
      <x:c r="X893" s="26" t="n">
        <x:v>0</x:v>
      </x:c>
      <x:c r="Y893" s="26" t="n">
        <x:v>0</x:v>
      </x:c>
      <x:c r="Z893" s="35" t="str">
        <x:v>Receipt allocated to FIN-00889</x:v>
      </x:c>
    </x:row>
    <x:row r="894">
      <x:c r="A894" s="20" t="str">
        <x:v>FIN-00891</x:v>
      </x:c>
      <x:c r="B894" s="23" t="n">
        <x:v>46692</x:v>
      </x:c>
      <x:c r="C894" s="23" t="n">
        <x:v>46692</x:v>
      </x:c>
      <x:c r="D894" s="20" t="str">
        <x:v>TenantCharge</x:v>
      </x:c>
      <x:c r="E894" s="20" t="str">
        <x:v>Rent</x:v>
      </x:c>
      <x:c r="F894" s="20" t="str">
        <x:v>P022</x:v>
      </x:c>
      <x:c r="G894" s="20" t="str">
        <x:v>U024</x:v>
      </x:c>
      <x:c r="H894" s="20" t="str">
        <x:v>L024</x:v>
      </x:c>
      <x:c r="I894" s="20" t="str">
        <x:v>Yara Brooks</x:v>
      </x:c>
      <x:c r="J894" s="35" t="str">
        <x:v>System scheduled charge</x:v>
      </x:c>
      <x:c r="K894" s="20" t="str"/>
      <x:c r="L894" s="20" t="str">
        <x:v>RENT-202711-L024</x:v>
      </x:c>
      <x:c r="M894" s="26" t="n">
        <x:v>1150</x:v>
      </x:c>
      <x:c r="N894" s="26" t="n">
        <x:v>1150</x:v>
      </x:c>
      <x:c r="O894" s="26" t="n">
        <x:v>0</x:v>
      </x:c>
      <x:c r="P894" s="26" t="n">
        <x:v>0</x:v>
      </x:c>
      <x:c r="Q894" s="26" t="n">
        <x:v>0</x:v>
      </x:c>
      <x:c r="R894" s="26" t="n">
        <x:v>0</x:v>
      </x:c>
      <x:c r="S894" s="26" t="n">
        <x:v>0</x:v>
      </x:c>
      <x:c r="T894" s="26" t="n">
        <x:v>1150</x:v>
      </x:c>
      <x:c r="U894" s="26" t="n">
        <x:v>0</x:v>
      </x:c>
      <x:c r="V894" s="26" t="n">
        <x:v>0</x:v>
      </x:c>
      <x:c r="W894" s="26" t="n">
        <x:v>0</x:v>
      </x:c>
      <x:c r="X894" s="26" t="n">
        <x:v>0</x:v>
      </x:c>
      <x:c r="Y894" s="26" t="n">
        <x:v>0</x:v>
      </x:c>
      <x:c r="Z894" s="35" t="str">
        <x:v>November 2027 rent</x:v>
      </x:c>
    </x:row>
    <x:row r="895">
      <x:c r="A895" s="20" t="str">
        <x:v>FIN-00892</x:v>
      </x:c>
      <x:c r="B895" s="23" t="n">
        <x:v>46694</x:v>
      </x:c>
      <x:c r="C895" s="23" t="n">
        <x:v>46694</x:v>
      </x:c>
      <x:c r="D895" s="20" t="str">
        <x:v>TenantReceipt</x:v>
      </x:c>
      <x:c r="E895" s="20" t="str">
        <x:v>Rent receipt</x:v>
      </x:c>
      <x:c r="F895" s="20" t="str">
        <x:v>P022</x:v>
      </x:c>
      <x:c r="G895" s="20" t="str">
        <x:v>U024</x:v>
      </x:c>
      <x:c r="H895" s="20" t="str">
        <x:v>L024</x:v>
      </x:c>
      <x:c r="I895" s="20" t="str">
        <x:v>Yara Brooks</x:v>
      </x:c>
      <x:c r="J895" s="35" t="str">
        <x:v>Scanned check</x:v>
      </x:c>
      <x:c r="K895" s="20" t="str">
        <x:v>SCN-0312</x:v>
      </x:c>
      <x:c r="L895" s="20" t="str">
        <x:v>PMT-20271103-L024</x:v>
      </x:c>
      <x:c r="M895" s="26" t="n">
        <x:v>1150</x:v>
      </x:c>
      <x:c r="N895" s="26" t="n">
        <x:v>-1150</x:v>
      </x:c>
      <x:c r="O895" s="26" t="n">
        <x:v>1150</x:v>
      </x:c>
      <x:c r="P895" s="26" t="n">
        <x:v>0</x:v>
      </x:c>
      <x:c r="Q895" s="26" t="n">
        <x:v>0</x:v>
      </x:c>
      <x:c r="R895" s="26" t="n">
        <x:v>0</x:v>
      </x:c>
      <x:c r="S895" s="26" t="n">
        <x:v>0</x:v>
      </x:c>
      <x:c r="T895" s="26" t="n">
        <x:v>0</x:v>
      </x:c>
      <x:c r="U895" s="26" t="n">
        <x:v>0</x:v>
      </x:c>
      <x:c r="V895" s="26" t="n">
        <x:v>0</x:v>
      </x:c>
      <x:c r="W895" s="26" t="n">
        <x:v>0</x:v>
      </x:c>
      <x:c r="X895" s="26" t="n">
        <x:v>0</x:v>
      </x:c>
      <x:c r="Y895" s="26" t="n">
        <x:v>0</x:v>
      </x:c>
      <x:c r="Z895" s="35" t="str">
        <x:v>Receipt allocated to FIN-00891</x:v>
      </x:c>
    </x:row>
    <x:row r="896">
      <x:c r="A896" s="20" t="str">
        <x:v>FIN-00893</x:v>
      </x:c>
      <x:c r="B896" s="23" t="n">
        <x:v>46692</x:v>
      </x:c>
      <x:c r="C896" s="23" t="n">
        <x:v>46692</x:v>
      </x:c>
      <x:c r="D896" s="20" t="str">
        <x:v>TenantCharge</x:v>
      </x:c>
      <x:c r="E896" s="20" t="str">
        <x:v>Rent</x:v>
      </x:c>
      <x:c r="F896" s="20" t="str">
        <x:v>P023</x:v>
      </x:c>
      <x:c r="G896" s="20" t="str">
        <x:v>U025</x:v>
      </x:c>
      <x:c r="H896" s="20" t="str">
        <x:v>L025</x:v>
      </x:c>
      <x:c r="I896" s="20" t="str">
        <x:v>Bennett Garcia</x:v>
      </x:c>
      <x:c r="J896" s="35" t="str">
        <x:v>System scheduled charge</x:v>
      </x:c>
      <x:c r="K896" s="20" t="str"/>
      <x:c r="L896" s="20" t="str">
        <x:v>RENT-202711-L025</x:v>
      </x:c>
      <x:c r="M896" s="26" t="n">
        <x:v>1675</x:v>
      </x:c>
      <x:c r="N896" s="26" t="n">
        <x:v>1675</x:v>
      </x:c>
      <x:c r="O896" s="26" t="n">
        <x:v>0</x:v>
      </x:c>
      <x:c r="P896" s="26" t="n">
        <x:v>0</x:v>
      </x:c>
      <x:c r="Q896" s="26" t="n">
        <x:v>0</x:v>
      </x:c>
      <x:c r="R896" s="26" t="n">
        <x:v>0</x:v>
      </x:c>
      <x:c r="S896" s="26" t="n">
        <x:v>0</x:v>
      </x:c>
      <x:c r="T896" s="26" t="n">
        <x:v>1675</x:v>
      </x:c>
      <x:c r="U896" s="26" t="n">
        <x:v>0</x:v>
      </x:c>
      <x:c r="V896" s="26" t="n">
        <x:v>0</x:v>
      </x:c>
      <x:c r="W896" s="26" t="n">
        <x:v>0</x:v>
      </x:c>
      <x:c r="X896" s="26" t="n">
        <x:v>0</x:v>
      </x:c>
      <x:c r="Y896" s="26" t="n">
        <x:v>0</x:v>
      </x:c>
      <x:c r="Z896" s="35" t="str">
        <x:v>November 2027 rent</x:v>
      </x:c>
    </x:row>
    <x:row r="897">
      <x:c r="A897" s="20" t="str">
        <x:v>FIN-00894</x:v>
      </x:c>
      <x:c r="B897" s="23" t="n">
        <x:v>46695</x:v>
      </x:c>
      <x:c r="C897" s="23" t="n">
        <x:v>46695</x:v>
      </x:c>
      <x:c r="D897" s="20" t="str">
        <x:v>TenantReceipt</x:v>
      </x:c>
      <x:c r="E897" s="20" t="str">
        <x:v>Rent receipt</x:v>
      </x:c>
      <x:c r="F897" s="20" t="str">
        <x:v>P023</x:v>
      </x:c>
      <x:c r="G897" s="20" t="str">
        <x:v>U025</x:v>
      </x:c>
      <x:c r="H897" s="20" t="str">
        <x:v>L025</x:v>
      </x:c>
      <x:c r="I897" s="20" t="str">
        <x:v>Bennett Garcia</x:v>
      </x:c>
      <x:c r="J897" s="35" t="str">
        <x:v>Scanned money order</x:v>
      </x:c>
      <x:c r="K897" s="20" t="str">
        <x:v>SCN-0313</x:v>
      </x:c>
      <x:c r="L897" s="20" t="str">
        <x:v>PMT-20271104-L025</x:v>
      </x:c>
      <x:c r="M897" s="26" t="n">
        <x:v>1675</x:v>
      </x:c>
      <x:c r="N897" s="26" t="n">
        <x:v>-1675</x:v>
      </x:c>
      <x:c r="O897" s="26" t="n">
        <x:v>1675</x:v>
      </x:c>
      <x:c r="P897" s="26" t="n">
        <x:v>0</x:v>
      </x:c>
      <x:c r="Q897" s="26" t="n">
        <x:v>0</x:v>
      </x:c>
      <x:c r="R897" s="26" t="n">
        <x:v>0</x:v>
      </x:c>
      <x:c r="S897" s="26" t="n">
        <x:v>0</x:v>
      </x:c>
      <x:c r="T897" s="26" t="n">
        <x:v>0</x:v>
      </x:c>
      <x:c r="U897" s="26" t="n">
        <x:v>0</x:v>
      </x:c>
      <x:c r="V897" s="26" t="n">
        <x:v>0</x:v>
      </x:c>
      <x:c r="W897" s="26" t="n">
        <x:v>0</x:v>
      </x:c>
      <x:c r="X897" s="26" t="n">
        <x:v>0</x:v>
      </x:c>
      <x:c r="Y897" s="26" t="n">
        <x:v>0</x:v>
      </x:c>
      <x:c r="Z897" s="35" t="str">
        <x:v>Receipt allocated to FIN-00893</x:v>
      </x:c>
    </x:row>
    <x:row r="898">
      <x:c r="A898" s="20" t="str">
        <x:v>FIN-00895</x:v>
      </x:c>
      <x:c r="B898" s="23" t="n">
        <x:v>46692</x:v>
      </x:c>
      <x:c r="C898" s="23" t="n">
        <x:v>46692</x:v>
      </x:c>
      <x:c r="D898" s="20" t="str">
        <x:v>TenantCharge</x:v>
      </x:c>
      <x:c r="E898" s="20" t="str">
        <x:v>Rent</x:v>
      </x:c>
      <x:c r="F898" s="20" t="str">
        <x:v>P023</x:v>
      </x:c>
      <x:c r="G898" s="20" t="str">
        <x:v>U026</x:v>
      </x:c>
      <x:c r="H898" s="20" t="str">
        <x:v>L026</x:v>
      </x:c>
      <x:c r="I898" s="20" t="str">
        <x:v>Elena Lewis</x:v>
      </x:c>
      <x:c r="J898" s="35" t="str">
        <x:v>System scheduled charge</x:v>
      </x:c>
      <x:c r="K898" s="20" t="str"/>
      <x:c r="L898" s="20" t="str">
        <x:v>RENT-202711-L026</x:v>
      </x:c>
      <x:c r="M898" s="26" t="n">
        <x:v>1300</x:v>
      </x:c>
      <x:c r="N898" s="26" t="n">
        <x:v>1300</x:v>
      </x:c>
      <x:c r="O898" s="26" t="n">
        <x:v>0</x:v>
      </x:c>
      <x:c r="P898" s="26" t="n">
        <x:v>0</x:v>
      </x:c>
      <x:c r="Q898" s="26" t="n">
        <x:v>0</x:v>
      </x:c>
      <x:c r="R898" s="26" t="n">
        <x:v>0</x:v>
      </x:c>
      <x:c r="S898" s="26" t="n">
        <x:v>0</x:v>
      </x:c>
      <x:c r="T898" s="26" t="n">
        <x:v>1300</x:v>
      </x:c>
      <x:c r="U898" s="26" t="n">
        <x:v>0</x:v>
      </x:c>
      <x:c r="V898" s="26" t="n">
        <x:v>0</x:v>
      </x:c>
      <x:c r="W898" s="26" t="n">
        <x:v>0</x:v>
      </x:c>
      <x:c r="X898" s="26" t="n">
        <x:v>0</x:v>
      </x:c>
      <x:c r="Y898" s="26" t="n">
        <x:v>0</x:v>
      </x:c>
      <x:c r="Z898" s="35" t="str">
        <x:v>November 2027 rent</x:v>
      </x:c>
    </x:row>
    <x:row r="899">
      <x:c r="A899" s="20" t="str">
        <x:v>FIN-00896</x:v>
      </x:c>
      <x:c r="B899" s="23" t="n">
        <x:v>46697</x:v>
      </x:c>
      <x:c r="C899" s="23" t="n">
        <x:v>46697</x:v>
      </x:c>
      <x:c r="D899" s="20" t="str">
        <x:v>TenantCharge</x:v>
      </x:c>
      <x:c r="E899" s="20" t="str">
        <x:v>Late fee</x:v>
      </x:c>
      <x:c r="F899" s="20" t="str">
        <x:v>P023</x:v>
      </x:c>
      <x:c r="G899" s="20" t="str">
        <x:v>U026</x:v>
      </x:c>
      <x:c r="H899" s="20" t="str">
        <x:v>L026</x:v>
      </x:c>
      <x:c r="I899" s="20" t="str">
        <x:v>Elena Lewis</x:v>
      </x:c>
      <x:c r="J899" s="35" t="str">
        <x:v>System automation</x:v>
      </x:c>
      <x:c r="K899" s="20" t="str"/>
      <x:c r="L899" s="20" t="str">
        <x:v>LATE-202711-L026</x:v>
      </x:c>
      <x:c r="M899" s="26" t="n">
        <x:v>50</x:v>
      </x:c>
      <x:c r="N899" s="26" t="n">
        <x:v>50</x:v>
      </x:c>
      <x:c r="O899" s="26" t="n">
        <x:v>0</x:v>
      </x:c>
      <x:c r="P899" s="26" t="n">
        <x:v>0</x:v>
      </x:c>
      <x:c r="Q899" s="26" t="n">
        <x:v>0</x:v>
      </x:c>
      <x:c r="R899" s="26" t="n">
        <x:v>0</x:v>
      </x:c>
      <x:c r="S899" s="26" t="n">
        <x:v>0</x:v>
      </x:c>
      <x:c r="T899" s="26" t="n">
        <x:v>50</x:v>
      </x:c>
      <x:c r="U899" s="26" t="n">
        <x:v>0</x:v>
      </x:c>
      <x:c r="V899" s="26" t="n">
        <x:v>0</x:v>
      </x:c>
      <x:c r="W899" s="26" t="n">
        <x:v>0</x:v>
      </x:c>
      <x:c r="X899" s="26" t="n">
        <x:v>0</x:v>
      </x:c>
      <x:c r="Y899" s="26" t="n">
        <x:v>0</x:v>
      </x:c>
      <x:c r="Z899" s="35" t="str">
        <x:v>Synthetic lease-authorized late fee</x:v>
      </x:c>
    </x:row>
    <x:row r="900">
      <x:c r="A900" s="20" t="str">
        <x:v>FIN-00897</x:v>
      </x:c>
      <x:c r="B900" s="23" t="n">
        <x:v>46699</x:v>
      </x:c>
      <x:c r="C900" s="23" t="n">
        <x:v>46699</x:v>
      </x:c>
      <x:c r="D900" s="20" t="str">
        <x:v>TenantReceipt</x:v>
      </x:c>
      <x:c r="E900" s="20" t="str">
        <x:v>Rent receipt</x:v>
      </x:c>
      <x:c r="F900" s="20" t="str">
        <x:v>P023</x:v>
      </x:c>
      <x:c r="G900" s="20" t="str">
        <x:v>U026</x:v>
      </x:c>
      <x:c r="H900" s="20" t="str">
        <x:v>L026</x:v>
      </x:c>
      <x:c r="I900" s="20" t="str">
        <x:v>Elena Lewis</x:v>
      </x:c>
      <x:c r="J900" s="35" t="str">
        <x:v>Scanned money order</x:v>
      </x:c>
      <x:c r="K900" s="20" t="str">
        <x:v>SCN-0314</x:v>
      </x:c>
      <x:c r="L900" s="20" t="str">
        <x:v>PMT-20271108-L026</x:v>
      </x:c>
      <x:c r="M900" s="26" t="n">
        <x:v>1350</x:v>
      </x:c>
      <x:c r="N900" s="26" t="n">
        <x:v>-1350</x:v>
      </x:c>
      <x:c r="O900" s="26" t="n">
        <x:v>1350</x:v>
      </x:c>
      <x:c r="P900" s="26" t="n">
        <x:v>0</x:v>
      </x:c>
      <x:c r="Q900" s="26" t="n">
        <x:v>0</x:v>
      </x:c>
      <x:c r="R900" s="26" t="n">
        <x:v>0</x:v>
      </x:c>
      <x:c r="S900" s="26" t="n">
        <x:v>0</x:v>
      </x:c>
      <x:c r="T900" s="26" t="n">
        <x:v>0</x:v>
      </x:c>
      <x:c r="U900" s="26" t="n">
        <x:v>0</x:v>
      </x:c>
      <x:c r="V900" s="26" t="n">
        <x:v>0</x:v>
      </x:c>
      <x:c r="W900" s="26" t="n">
        <x:v>0</x:v>
      </x:c>
      <x:c r="X900" s="26" t="n">
        <x:v>0</x:v>
      </x:c>
      <x:c r="Y900" s="26" t="n">
        <x:v>0</x:v>
      </x:c>
      <x:c r="Z900" s="35" t="str">
        <x:v>Receipt allocated to FIN-00896</x:v>
      </x:c>
    </x:row>
    <x:row r="901">
      <x:c r="A901" s="20" t="str">
        <x:v>FIN-00898</x:v>
      </x:c>
      <x:c r="B901" s="23" t="n">
        <x:v>46692</x:v>
      </x:c>
      <x:c r="C901" s="23" t="n">
        <x:v>46692</x:v>
      </x:c>
      <x:c r="D901" s="20" t="str">
        <x:v>TenantCharge</x:v>
      </x:c>
      <x:c r="E901" s="20" t="str">
        <x:v>Rent</x:v>
      </x:c>
      <x:c r="F901" s="20" t="str">
        <x:v>P024</x:v>
      </x:c>
      <x:c r="G901" s="20" t="str">
        <x:v>U027</x:v>
      </x:c>
      <x:c r="H901" s="20" t="str">
        <x:v>L027</x:v>
      </x:c>
      <x:c r="I901" s="20" t="str">
        <x:v>Hector Reed</x:v>
      </x:c>
      <x:c r="J901" s="35" t="str">
        <x:v>System scheduled charge</x:v>
      </x:c>
      <x:c r="K901" s="20" t="str"/>
      <x:c r="L901" s="20" t="str">
        <x:v>RENT-202711-L027</x:v>
      </x:c>
      <x:c r="M901" s="26" t="n">
        <x:v>1825</x:v>
      </x:c>
      <x:c r="N901" s="26" t="n">
        <x:v>1825</x:v>
      </x:c>
      <x:c r="O901" s="26" t="n">
        <x:v>0</x:v>
      </x:c>
      <x:c r="P901" s="26" t="n">
        <x:v>0</x:v>
      </x:c>
      <x:c r="Q901" s="26" t="n">
        <x:v>0</x:v>
      </x:c>
      <x:c r="R901" s="26" t="n">
        <x:v>0</x:v>
      </x:c>
      <x:c r="S901" s="26" t="n">
        <x:v>0</x:v>
      </x:c>
      <x:c r="T901" s="26" t="n">
        <x:v>1825</x:v>
      </x:c>
      <x:c r="U901" s="26" t="n">
        <x:v>0</x:v>
      </x:c>
      <x:c r="V901" s="26" t="n">
        <x:v>0</x:v>
      </x:c>
      <x:c r="W901" s="26" t="n">
        <x:v>0</x:v>
      </x:c>
      <x:c r="X901" s="26" t="n">
        <x:v>0</x:v>
      </x:c>
      <x:c r="Y901" s="26" t="n">
        <x:v>0</x:v>
      </x:c>
      <x:c r="Z901" s="35" t="str">
        <x:v>November 2027 rent</x:v>
      </x:c>
    </x:row>
    <x:row r="902">
      <x:c r="A902" s="20" t="str">
        <x:v>FIN-00899</x:v>
      </x:c>
      <x:c r="B902" s="23" t="n">
        <x:v>46694</x:v>
      </x:c>
      <x:c r="C902" s="23" t="n">
        <x:v>46694</x:v>
      </x:c>
      <x:c r="D902" s="20" t="str">
        <x:v>TenantReceipt</x:v>
      </x:c>
      <x:c r="E902" s="20" t="str">
        <x:v>Rent receipt</x:v>
      </x:c>
      <x:c r="F902" s="20" t="str">
        <x:v>P024</x:v>
      </x:c>
      <x:c r="G902" s="20" t="str">
        <x:v>U027</x:v>
      </x:c>
      <x:c r="H902" s="20" t="str">
        <x:v>L027</x:v>
      </x:c>
      <x:c r="I902" s="20" t="str">
        <x:v>Hector Reed</x:v>
      </x:c>
      <x:c r="J902" s="35" t="str">
        <x:v>Portal card</x:v>
      </x:c>
      <x:c r="K902" s="20" t="str"/>
      <x:c r="L902" s="20" t="str">
        <x:v>PMT-20271103-L027</x:v>
      </x:c>
      <x:c r="M902" s="26" t="n">
        <x:v>1825</x:v>
      </x:c>
      <x:c r="N902" s="26" t="n">
        <x:v>-1825</x:v>
      </x:c>
      <x:c r="O902" s="26" t="n">
        <x:v>1825</x:v>
      </x:c>
      <x:c r="P902" s="26" t="n">
        <x:v>0</x:v>
      </x:c>
      <x:c r="Q902" s="26" t="n">
        <x:v>0</x:v>
      </x:c>
      <x:c r="R902" s="26" t="n">
        <x:v>0</x:v>
      </x:c>
      <x:c r="S902" s="26" t="n">
        <x:v>0</x:v>
      </x:c>
      <x:c r="T902" s="26" t="n">
        <x:v>0</x:v>
      </x:c>
      <x:c r="U902" s="26" t="n">
        <x:v>0</x:v>
      </x:c>
      <x:c r="V902" s="26" t="n">
        <x:v>0</x:v>
      </x:c>
      <x:c r="W902" s="26" t="n">
        <x:v>0</x:v>
      </x:c>
      <x:c r="X902" s="26" t="n">
        <x:v>0</x:v>
      </x:c>
      <x:c r="Y902" s="26" t="n">
        <x:v>0</x:v>
      </x:c>
      <x:c r="Z902" s="35" t="str">
        <x:v>Receipt allocated to FIN-00898</x:v>
      </x:c>
    </x:row>
    <x:row r="903">
      <x:c r="A903" s="20" t="str">
        <x:v>FIN-00900</x:v>
      </x:c>
      <x:c r="B903" s="23" t="n">
        <x:v>46692</x:v>
      </x:c>
      <x:c r="C903" s="23" t="n">
        <x:v>46692</x:v>
      </x:c>
      <x:c r="D903" s="20" t="str">
        <x:v>TenantCharge</x:v>
      </x:c>
      <x:c r="E903" s="20" t="str">
        <x:v>Rent</x:v>
      </x:c>
      <x:c r="F903" s="20" t="str">
        <x:v>P024</x:v>
      </x:c>
      <x:c r="G903" s="20" t="str">
        <x:v>U028</x:v>
      </x:c>
      <x:c r="H903" s="20" t="str">
        <x:v>L028</x:v>
      </x:c>
      <x:c r="I903" s="20" t="str">
        <x:v>Keira Adams</x:v>
      </x:c>
      <x:c r="J903" s="35" t="str">
        <x:v>System scheduled charge</x:v>
      </x:c>
      <x:c r="K903" s="20" t="str"/>
      <x:c r="L903" s="20" t="str">
        <x:v>RENT-202711-L028</x:v>
      </x:c>
      <x:c r="M903" s="26" t="n">
        <x:v>1450</x:v>
      </x:c>
      <x:c r="N903" s="26" t="n">
        <x:v>1450</x:v>
      </x:c>
      <x:c r="O903" s="26" t="n">
        <x:v>0</x:v>
      </x:c>
      <x:c r="P903" s="26" t="n">
        <x:v>0</x:v>
      </x:c>
      <x:c r="Q903" s="26" t="n">
        <x:v>0</x:v>
      </x:c>
      <x:c r="R903" s="26" t="n">
        <x:v>0</x:v>
      </x:c>
      <x:c r="S903" s="26" t="n">
        <x:v>0</x:v>
      </x:c>
      <x:c r="T903" s="26" t="n">
        <x:v>1450</x:v>
      </x:c>
      <x:c r="U903" s="26" t="n">
        <x:v>0</x:v>
      </x:c>
      <x:c r="V903" s="26" t="n">
        <x:v>0</x:v>
      </x:c>
      <x:c r="W903" s="26" t="n">
        <x:v>0</x:v>
      </x:c>
      <x:c r="X903" s="26" t="n">
        <x:v>0</x:v>
      </x:c>
      <x:c r="Y903" s="26" t="n">
        <x:v>0</x:v>
      </x:c>
      <x:c r="Z903" s="35" t="str">
        <x:v>November 2027 rent</x:v>
      </x:c>
    </x:row>
    <x:row r="904">
      <x:c r="A904" s="20" t="str">
        <x:v>FIN-00901</x:v>
      </x:c>
      <x:c r="B904" s="23" t="n">
        <x:v>46695</x:v>
      </x:c>
      <x:c r="C904" s="23" t="n">
        <x:v>46695</x:v>
      </x:c>
      <x:c r="D904" s="20" t="str">
        <x:v>TenantReceipt</x:v>
      </x:c>
      <x:c r="E904" s="20" t="str">
        <x:v>Rent receipt</x:v>
      </x:c>
      <x:c r="F904" s="20" t="str">
        <x:v>P024</x:v>
      </x:c>
      <x:c r="G904" s="20" t="str">
        <x:v>U028</x:v>
      </x:c>
      <x:c r="H904" s="20" t="str">
        <x:v>L028</x:v>
      </x:c>
      <x:c r="I904" s="20" t="str">
        <x:v>Keira Adams</x:v>
      </x:c>
      <x:c r="J904" s="35" t="str">
        <x:v>Scanned check</x:v>
      </x:c>
      <x:c r="K904" s="20" t="str">
        <x:v>SCN-0315</x:v>
      </x:c>
      <x:c r="L904" s="20" t="str">
        <x:v>PMT-20271104-L028</x:v>
      </x:c>
      <x:c r="M904" s="26" t="n">
        <x:v>1450</x:v>
      </x:c>
      <x:c r="N904" s="26" t="n">
        <x:v>-1450</x:v>
      </x:c>
      <x:c r="O904" s="26" t="n">
        <x:v>1450</x:v>
      </x:c>
      <x:c r="P904" s="26" t="n">
        <x:v>0</x:v>
      </x:c>
      <x:c r="Q904" s="26" t="n">
        <x:v>0</x:v>
      </x:c>
      <x:c r="R904" s="26" t="n">
        <x:v>0</x:v>
      </x:c>
      <x:c r="S904" s="26" t="n">
        <x:v>0</x:v>
      </x:c>
      <x:c r="T904" s="26" t="n">
        <x:v>0</x:v>
      </x:c>
      <x:c r="U904" s="26" t="n">
        <x:v>0</x:v>
      </x:c>
      <x:c r="V904" s="26" t="n">
        <x:v>0</x:v>
      </x:c>
      <x:c r="W904" s="26" t="n">
        <x:v>0</x:v>
      </x:c>
      <x:c r="X904" s="26" t="n">
        <x:v>0</x:v>
      </x:c>
      <x:c r="Y904" s="26" t="n">
        <x:v>0</x:v>
      </x:c>
      <x:c r="Z904" s="35" t="str">
        <x:v>Receipt allocated to FIN-00900</x:v>
      </x:c>
    </x:row>
    <x:row r="905">
      <x:c r="A905" s="20" t="str">
        <x:v>FIN-00902</x:v>
      </x:c>
      <x:c r="B905" s="23" t="n">
        <x:v>46692</x:v>
      </x:c>
      <x:c r="C905" s="23" t="n">
        <x:v>46692</x:v>
      </x:c>
      <x:c r="D905" s="20" t="str">
        <x:v>TenantCharge</x:v>
      </x:c>
      <x:c r="E905" s="20" t="str">
        <x:v>Rent</x:v>
      </x:c>
      <x:c r="F905" s="20" t="str">
        <x:v>P025</x:v>
      </x:c>
      <x:c r="G905" s="20" t="str">
        <x:v>U029</x:v>
      </x:c>
      <x:c r="H905" s="20" t="str">
        <x:v>L029</x:v>
      </x:c>
      <x:c r="I905" s="20" t="str">
        <x:v>Nolan Flores</x:v>
      </x:c>
      <x:c r="J905" s="35" t="str">
        <x:v>System scheduled charge</x:v>
      </x:c>
      <x:c r="K905" s="20" t="str"/>
      <x:c r="L905" s="20" t="str">
        <x:v>RENT-202711-L029</x:v>
      </x:c>
      <x:c r="M905" s="26" t="n">
        <x:v>1975</x:v>
      </x:c>
      <x:c r="N905" s="26" t="n">
        <x:v>1975</x:v>
      </x:c>
      <x:c r="O905" s="26" t="n">
        <x:v>0</x:v>
      </x:c>
      <x:c r="P905" s="26" t="n">
        <x:v>0</x:v>
      </x:c>
      <x:c r="Q905" s="26" t="n">
        <x:v>0</x:v>
      </x:c>
      <x:c r="R905" s="26" t="n">
        <x:v>0</x:v>
      </x:c>
      <x:c r="S905" s="26" t="n">
        <x:v>0</x:v>
      </x:c>
      <x:c r="T905" s="26" t="n">
        <x:v>1975</x:v>
      </x:c>
      <x:c r="U905" s="26" t="n">
        <x:v>0</x:v>
      </x:c>
      <x:c r="V905" s="26" t="n">
        <x:v>0</x:v>
      </x:c>
      <x:c r="W905" s="26" t="n">
        <x:v>0</x:v>
      </x:c>
      <x:c r="X905" s="26" t="n">
        <x:v>0</x:v>
      </x:c>
      <x:c r="Y905" s="26" t="n">
        <x:v>0</x:v>
      </x:c>
      <x:c r="Z905" s="35" t="str">
        <x:v>November 2027 rent</x:v>
      </x:c>
    </x:row>
    <x:row r="906">
      <x:c r="A906" s="20" t="str">
        <x:v>FIN-00903</x:v>
      </x:c>
      <x:c r="B906" s="23" t="n">
        <x:v>46696</x:v>
      </x:c>
      <x:c r="C906" s="23" t="n">
        <x:v>46696</x:v>
      </x:c>
      <x:c r="D906" s="20" t="str">
        <x:v>TenantReceipt</x:v>
      </x:c>
      <x:c r="E906" s="20" t="str">
        <x:v>Rent receipt</x:v>
      </x:c>
      <x:c r="F906" s="20" t="str">
        <x:v>P025</x:v>
      </x:c>
      <x:c r="G906" s="20" t="str">
        <x:v>U029</x:v>
      </x:c>
      <x:c r="H906" s="20" t="str">
        <x:v>L029</x:v>
      </x:c>
      <x:c r="I906" s="20" t="str">
        <x:v>Nolan Flores</x:v>
      </x:c>
      <x:c r="J906" s="35" t="str">
        <x:v>Scanned money order</x:v>
      </x:c>
      <x:c r="K906" s="20" t="str">
        <x:v>SCN-0316</x:v>
      </x:c>
      <x:c r="L906" s="20" t="str">
        <x:v>PMT-20271105-L029</x:v>
      </x:c>
      <x:c r="M906" s="26" t="n">
        <x:v>1975</x:v>
      </x:c>
      <x:c r="N906" s="26" t="n">
        <x:v>-1975</x:v>
      </x:c>
      <x:c r="O906" s="26" t="n">
        <x:v>1975</x:v>
      </x:c>
      <x:c r="P906" s="26" t="n">
        <x:v>0</x:v>
      </x:c>
      <x:c r="Q906" s="26" t="n">
        <x:v>0</x:v>
      </x:c>
      <x:c r="R906" s="26" t="n">
        <x:v>0</x:v>
      </x:c>
      <x:c r="S906" s="26" t="n">
        <x:v>0</x:v>
      </x:c>
      <x:c r="T906" s="26" t="n">
        <x:v>0</x:v>
      </x:c>
      <x:c r="U906" s="26" t="n">
        <x:v>0</x:v>
      </x:c>
      <x:c r="V906" s="26" t="n">
        <x:v>0</x:v>
      </x:c>
      <x:c r="W906" s="26" t="n">
        <x:v>0</x:v>
      </x:c>
      <x:c r="X906" s="26" t="n">
        <x:v>0</x:v>
      </x:c>
      <x:c r="Y906" s="26" t="n">
        <x:v>0</x:v>
      </x:c>
      <x:c r="Z906" s="35" t="str">
        <x:v>Receipt allocated to FIN-00902</x:v>
      </x:c>
    </x:row>
    <x:row r="907">
      <x:c r="A907" s="20" t="str">
        <x:v>FIN-00904</x:v>
      </x:c>
      <x:c r="B907" s="23" t="n">
        <x:v>46692</x:v>
      </x:c>
      <x:c r="C907" s="23" t="n">
        <x:v>46692</x:v>
      </x:c>
      <x:c r="D907" s="20" t="str">
        <x:v>TenantCharge</x:v>
      </x:c>
      <x:c r="E907" s="20" t="str">
        <x:v>Rent</x:v>
      </x:c>
      <x:c r="F907" s="20" t="str">
        <x:v>P025</x:v>
      </x:c>
      <x:c r="G907" s="20" t="str">
        <x:v>U030</x:v>
      </x:c>
      <x:c r="H907" s="20" t="str">
        <x:v>L030</x:v>
      </x:c>
      <x:c r="I907" s="20" t="str">
        <x:v>Rina King</x:v>
      </x:c>
      <x:c r="J907" s="35" t="str">
        <x:v>System scheduled charge</x:v>
      </x:c>
      <x:c r="K907" s="20" t="str"/>
      <x:c r="L907" s="20" t="str">
        <x:v>RENT-202711-L030</x:v>
      </x:c>
      <x:c r="M907" s="26" t="n">
        <x:v>1600</x:v>
      </x:c>
      <x:c r="N907" s="26" t="n">
        <x:v>1600</x:v>
      </x:c>
      <x:c r="O907" s="26" t="n">
        <x:v>0</x:v>
      </x:c>
      <x:c r="P907" s="26" t="n">
        <x:v>0</x:v>
      </x:c>
      <x:c r="Q907" s="26" t="n">
        <x:v>0</x:v>
      </x:c>
      <x:c r="R907" s="26" t="n">
        <x:v>0</x:v>
      </x:c>
      <x:c r="S907" s="26" t="n">
        <x:v>0</x:v>
      </x:c>
      <x:c r="T907" s="26" t="n">
        <x:v>1600</x:v>
      </x:c>
      <x:c r="U907" s="26" t="n">
        <x:v>0</x:v>
      </x:c>
      <x:c r="V907" s="26" t="n">
        <x:v>0</x:v>
      </x:c>
      <x:c r="W907" s="26" t="n">
        <x:v>0</x:v>
      </x:c>
      <x:c r="X907" s="26" t="n">
        <x:v>0</x:v>
      </x:c>
      <x:c r="Y907" s="26" t="n">
        <x:v>0</x:v>
      </x:c>
      <x:c r="Z907" s="35" t="str">
        <x:v>November 2027 rent</x:v>
      </x:c>
    </x:row>
    <x:row r="908">
      <x:c r="A908" s="20" t="str">
        <x:v>FIN-00905</x:v>
      </x:c>
      <x:c r="B908" s="23" t="n">
        <x:v>46694</x:v>
      </x:c>
      <x:c r="C908" s="23" t="n">
        <x:v>46694</x:v>
      </x:c>
      <x:c r="D908" s="20" t="str">
        <x:v>TenantReceipt</x:v>
      </x:c>
      <x:c r="E908" s="20" t="str">
        <x:v>Rent receipt</x:v>
      </x:c>
      <x:c r="F908" s="20" t="str">
        <x:v>P025</x:v>
      </x:c>
      <x:c r="G908" s="20" t="str">
        <x:v>U030</x:v>
      </x:c>
      <x:c r="H908" s="20" t="str">
        <x:v>L030</x:v>
      </x:c>
      <x:c r="I908" s="20" t="str">
        <x:v>Rina King</x:v>
      </x:c>
      <x:c r="J908" s="35" t="str">
        <x:v>Manual ACH</x:v>
      </x:c>
      <x:c r="K908" s="20" t="str"/>
      <x:c r="L908" s="20" t="str">
        <x:v>PMT-20271103-L030</x:v>
      </x:c>
      <x:c r="M908" s="26" t="n">
        <x:v>1600</x:v>
      </x:c>
      <x:c r="N908" s="26" t="n">
        <x:v>-1600</x:v>
      </x:c>
      <x:c r="O908" s="26" t="n">
        <x:v>1600</x:v>
      </x:c>
      <x:c r="P908" s="26" t="n">
        <x:v>0</x:v>
      </x:c>
      <x:c r="Q908" s="26" t="n">
        <x:v>0</x:v>
      </x:c>
      <x:c r="R908" s="26" t="n">
        <x:v>0</x:v>
      </x:c>
      <x:c r="S908" s="26" t="n">
        <x:v>0</x:v>
      </x:c>
      <x:c r="T908" s="26" t="n">
        <x:v>0</x:v>
      </x:c>
      <x:c r="U908" s="26" t="n">
        <x:v>0</x:v>
      </x:c>
      <x:c r="V908" s="26" t="n">
        <x:v>0</x:v>
      </x:c>
      <x:c r="W908" s="26" t="n">
        <x:v>0</x:v>
      </x:c>
      <x:c r="X908" s="26" t="n">
        <x:v>0</x:v>
      </x:c>
      <x:c r="Y908" s="26" t="n">
        <x:v>0</x:v>
      </x:c>
      <x:c r="Z908" s="35" t="str">
        <x:v>Receipt allocated to FIN-00904</x:v>
      </x:c>
    </x:row>
    <x:row r="909">
      <x:c r="A909" s="20" t="str">
        <x:v>FIN-00906</x:v>
      </x:c>
      <x:c r="B909" s="23" t="n">
        <x:v>46692</x:v>
      </x:c>
      <x:c r="C909" s="23" t="n">
        <x:v>46692</x:v>
      </x:c>
      <x:c r="D909" s="20" t="str">
        <x:v>TenantCharge</x:v>
      </x:c>
      <x:c r="E909" s="20" t="str">
        <x:v>Rent</x:v>
      </x:c>
      <x:c r="F909" s="20" t="str">
        <x:v>P026</x:v>
      </x:c>
      <x:c r="G909" s="20" t="str">
        <x:v>U031</x:v>
      </x:c>
      <x:c r="H909" s="20" t="str">
        <x:v>L031</x:v>
      </x:c>
      <x:c r="I909" s="20" t="str">
        <x:v>Uri Price</x:v>
      </x:c>
      <x:c r="J909" s="35" t="str">
        <x:v>System scheduled charge</x:v>
      </x:c>
      <x:c r="K909" s="20" t="str"/>
      <x:c r="L909" s="20" t="str">
        <x:v>RENT-202711-L031</x:v>
      </x:c>
      <x:c r="M909" s="26" t="n">
        <x:v>1225</x:v>
      </x:c>
      <x:c r="N909" s="26" t="n">
        <x:v>1225</x:v>
      </x:c>
      <x:c r="O909" s="26" t="n">
        <x:v>0</x:v>
      </x:c>
      <x:c r="P909" s="26" t="n">
        <x:v>0</x:v>
      </x:c>
      <x:c r="Q909" s="26" t="n">
        <x:v>0</x:v>
      </x:c>
      <x:c r="R909" s="26" t="n">
        <x:v>0</x:v>
      </x:c>
      <x:c r="S909" s="26" t="n">
        <x:v>0</x:v>
      </x:c>
      <x:c r="T909" s="26" t="n">
        <x:v>1225</x:v>
      </x:c>
      <x:c r="U909" s="26" t="n">
        <x:v>0</x:v>
      </x:c>
      <x:c r="V909" s="26" t="n">
        <x:v>0</x:v>
      </x:c>
      <x:c r="W909" s="26" t="n">
        <x:v>0</x:v>
      </x:c>
      <x:c r="X909" s="26" t="n">
        <x:v>0</x:v>
      </x:c>
      <x:c r="Y909" s="26" t="n">
        <x:v>0</x:v>
      </x:c>
      <x:c r="Z909" s="35" t="str">
        <x:v>November 2027 rent</x:v>
      </x:c>
    </x:row>
    <x:row r="910">
      <x:c r="A910" s="20" t="str">
        <x:v>FIN-00907</x:v>
      </x:c>
      <x:c r="B910" s="23" t="n">
        <x:v>46695</x:v>
      </x:c>
      <x:c r="C910" s="23" t="n">
        <x:v>46695</x:v>
      </x:c>
      <x:c r="D910" s="20" t="str">
        <x:v>TenantReceipt</x:v>
      </x:c>
      <x:c r="E910" s="20" t="str">
        <x:v>Rent receipt</x:v>
      </x:c>
      <x:c r="F910" s="20" t="str">
        <x:v>P026</x:v>
      </x:c>
      <x:c r="G910" s="20" t="str">
        <x:v>U031</x:v>
      </x:c>
      <x:c r="H910" s="20" t="str">
        <x:v>L031</x:v>
      </x:c>
      <x:c r="I910" s="20" t="str">
        <x:v>Uri Price</x:v>
      </x:c>
      <x:c r="J910" s="35" t="str">
        <x:v>Portal card</x:v>
      </x:c>
      <x:c r="K910" s="20" t="str"/>
      <x:c r="L910" s="20" t="str">
        <x:v>PMT-20271104-L031</x:v>
      </x:c>
      <x:c r="M910" s="26" t="n">
        <x:v>1225</x:v>
      </x:c>
      <x:c r="N910" s="26" t="n">
        <x:v>-1225</x:v>
      </x:c>
      <x:c r="O910" s="26" t="n">
        <x:v>1225</x:v>
      </x:c>
      <x:c r="P910" s="26" t="n">
        <x:v>0</x:v>
      </x:c>
      <x:c r="Q910" s="26" t="n">
        <x:v>0</x:v>
      </x:c>
      <x:c r="R910" s="26" t="n">
        <x:v>0</x:v>
      </x:c>
      <x:c r="S910" s="26" t="n">
        <x:v>0</x:v>
      </x:c>
      <x:c r="T910" s="26" t="n">
        <x:v>0</x:v>
      </x:c>
      <x:c r="U910" s="26" t="n">
        <x:v>0</x:v>
      </x:c>
      <x:c r="V910" s="26" t="n">
        <x:v>0</x:v>
      </x:c>
      <x:c r="W910" s="26" t="n">
        <x:v>0</x:v>
      </x:c>
      <x:c r="X910" s="26" t="n">
        <x:v>0</x:v>
      </x:c>
      <x:c r="Y910" s="26" t="n">
        <x:v>0</x:v>
      </x:c>
      <x:c r="Z910" s="35" t="str">
        <x:v>Receipt allocated to FIN-00906</x:v>
      </x:c>
    </x:row>
    <x:row r="911">
      <x:c r="A911" s="20" t="str">
        <x:v>FIN-00908</x:v>
      </x:c>
      <x:c r="B911" s="23" t="n">
        <x:v>46692</x:v>
      </x:c>
      <x:c r="C911" s="23" t="n">
        <x:v>46692</x:v>
      </x:c>
      <x:c r="D911" s="20" t="str">
        <x:v>TenantCharge</x:v>
      </x:c>
      <x:c r="E911" s="20" t="str">
        <x:v>Rent</x:v>
      </x:c>
      <x:c r="F911" s="20" t="str">
        <x:v>P026</x:v>
      </x:c>
      <x:c r="G911" s="20" t="str">
        <x:v>U032</x:v>
      </x:c>
      <x:c r="H911" s="20" t="str">
        <x:v>L032</x:v>
      </x:c>
      <x:c r="I911" s="20" t="str">
        <x:v>Avery Brooks</x:v>
      </x:c>
      <x:c r="J911" s="35" t="str">
        <x:v>System scheduled charge</x:v>
      </x:c>
      <x:c r="K911" s="20" t="str"/>
      <x:c r="L911" s="20" t="str">
        <x:v>RENT-202711-L032</x:v>
      </x:c>
      <x:c r="M911" s="26" t="n">
        <x:v>1750</x:v>
      </x:c>
      <x:c r="N911" s="26" t="n">
        <x:v>1750</x:v>
      </x:c>
      <x:c r="O911" s="26" t="n">
        <x:v>0</x:v>
      </x:c>
      <x:c r="P911" s="26" t="n">
        <x:v>0</x:v>
      </x:c>
      <x:c r="Q911" s="26" t="n">
        <x:v>0</x:v>
      </x:c>
      <x:c r="R911" s="26" t="n">
        <x:v>0</x:v>
      </x:c>
      <x:c r="S911" s="26" t="n">
        <x:v>0</x:v>
      </x:c>
      <x:c r="T911" s="26" t="n">
        <x:v>1750</x:v>
      </x:c>
      <x:c r="U911" s="26" t="n">
        <x:v>0</x:v>
      </x:c>
      <x:c r="V911" s="26" t="n">
        <x:v>0</x:v>
      </x:c>
      <x:c r="W911" s="26" t="n">
        <x:v>0</x:v>
      </x:c>
      <x:c r="X911" s="26" t="n">
        <x:v>0</x:v>
      </x:c>
      <x:c r="Y911" s="26" t="n">
        <x:v>0</x:v>
      </x:c>
      <x:c r="Z911" s="35" t="str">
        <x:v>November 2027 rent</x:v>
      </x:c>
    </x:row>
    <x:row r="912">
      <x:c r="A912" s="20" t="str">
        <x:v>FIN-00909</x:v>
      </x:c>
      <x:c r="B912" s="23" t="n">
        <x:v>46696</x:v>
      </x:c>
      <x:c r="C912" s="23" t="n">
        <x:v>46696</x:v>
      </x:c>
      <x:c r="D912" s="20" t="str">
        <x:v>TenantReceipt</x:v>
      </x:c>
      <x:c r="E912" s="20" t="str">
        <x:v>Rent receipt</x:v>
      </x:c>
      <x:c r="F912" s="20" t="str">
        <x:v>P026</x:v>
      </x:c>
      <x:c r="G912" s="20" t="str">
        <x:v>U032</x:v>
      </x:c>
      <x:c r="H912" s="20" t="str">
        <x:v>L032</x:v>
      </x:c>
      <x:c r="I912" s="20" t="str">
        <x:v>Avery Brooks</x:v>
      </x:c>
      <x:c r="J912" s="35" t="str">
        <x:v>Scanned check</x:v>
      </x:c>
      <x:c r="K912" s="20" t="str">
        <x:v>SCN-0317</x:v>
      </x:c>
      <x:c r="L912" s="20" t="str">
        <x:v>PMT-20271105-L032</x:v>
      </x:c>
      <x:c r="M912" s="26" t="n">
        <x:v>1750</x:v>
      </x:c>
      <x:c r="N912" s="26" t="n">
        <x:v>-1750</x:v>
      </x:c>
      <x:c r="O912" s="26" t="n">
        <x:v>1750</x:v>
      </x:c>
      <x:c r="P912" s="26" t="n">
        <x:v>0</x:v>
      </x:c>
      <x:c r="Q912" s="26" t="n">
        <x:v>0</x:v>
      </x:c>
      <x:c r="R912" s="26" t="n">
        <x:v>0</x:v>
      </x:c>
      <x:c r="S912" s="26" t="n">
        <x:v>0</x:v>
      </x:c>
      <x:c r="T912" s="26" t="n">
        <x:v>0</x:v>
      </x:c>
      <x:c r="U912" s="26" t="n">
        <x:v>0</x:v>
      </x:c>
      <x:c r="V912" s="26" t="n">
        <x:v>0</x:v>
      </x:c>
      <x:c r="W912" s="26" t="n">
        <x:v>0</x:v>
      </x:c>
      <x:c r="X912" s="26" t="n">
        <x:v>0</x:v>
      </x:c>
      <x:c r="Y912" s="26" t="n">
        <x:v>0</x:v>
      </x:c>
      <x:c r="Z912" s="35" t="str">
        <x:v>Receipt allocated to FIN-00908</x:v>
      </x:c>
    </x:row>
    <x:row r="913">
      <x:c r="A913" s="20" t="str">
        <x:v>FIN-00910</x:v>
      </x:c>
      <x:c r="B913" s="23" t="n">
        <x:v>46692</x:v>
      </x:c>
      <x:c r="C913" s="23" t="n">
        <x:v>46692</x:v>
      </x:c>
      <x:c r="D913" s="20" t="str">
        <x:v>TenantCharge</x:v>
      </x:c>
      <x:c r="E913" s="20" t="str">
        <x:v>Rent</x:v>
      </x:c>
      <x:c r="F913" s="20" t="str">
        <x:v>P027</x:v>
      </x:c>
      <x:c r="G913" s="20" t="str">
        <x:v>U033</x:v>
      </x:c>
      <x:c r="H913" s="20" t="str">
        <x:v>L033</x:v>
      </x:c>
      <x:c r="I913" s="20" t="str">
        <x:v>Dana Garcia</x:v>
      </x:c>
      <x:c r="J913" s="35" t="str">
        <x:v>System scheduled charge</x:v>
      </x:c>
      <x:c r="K913" s="20" t="str"/>
      <x:c r="L913" s="20" t="str">
        <x:v>RENT-202711-L033</x:v>
      </x:c>
      <x:c r="M913" s="26" t="n">
        <x:v>1375</x:v>
      </x:c>
      <x:c r="N913" s="26" t="n">
        <x:v>1375</x:v>
      </x:c>
      <x:c r="O913" s="26" t="n">
        <x:v>0</x:v>
      </x:c>
      <x:c r="P913" s="26" t="n">
        <x:v>0</x:v>
      </x:c>
      <x:c r="Q913" s="26" t="n">
        <x:v>0</x:v>
      </x:c>
      <x:c r="R913" s="26" t="n">
        <x:v>0</x:v>
      </x:c>
      <x:c r="S913" s="26" t="n">
        <x:v>0</x:v>
      </x:c>
      <x:c r="T913" s="26" t="n">
        <x:v>1375</x:v>
      </x:c>
      <x:c r="U913" s="26" t="n">
        <x:v>0</x:v>
      </x:c>
      <x:c r="V913" s="26" t="n">
        <x:v>0</x:v>
      </x:c>
      <x:c r="W913" s="26" t="n">
        <x:v>0</x:v>
      </x:c>
      <x:c r="X913" s="26" t="n">
        <x:v>0</x:v>
      </x:c>
      <x:c r="Y913" s="26" t="n">
        <x:v>0</x:v>
      </x:c>
      <x:c r="Z913" s="35" t="str">
        <x:v>November 2027 rent</x:v>
      </x:c>
    </x:row>
    <x:row r="914">
      <x:c r="A914" s="20" t="str">
        <x:v>FIN-00911</x:v>
      </x:c>
      <x:c r="B914" s="23" t="n">
        <x:v>46694</x:v>
      </x:c>
      <x:c r="C914" s="23" t="n">
        <x:v>46694</x:v>
      </x:c>
      <x:c r="D914" s="20" t="str">
        <x:v>TenantReceipt</x:v>
      </x:c>
      <x:c r="E914" s="20" t="str">
        <x:v>Rent receipt</x:v>
      </x:c>
      <x:c r="F914" s="20" t="str">
        <x:v>P027</x:v>
      </x:c>
      <x:c r="G914" s="20" t="str">
        <x:v>U033</x:v>
      </x:c>
      <x:c r="H914" s="20" t="str">
        <x:v>L033</x:v>
      </x:c>
      <x:c r="I914" s="20" t="str">
        <x:v>Dana Garcia</x:v>
      </x:c>
      <x:c r="J914" s="35" t="str">
        <x:v>Scanned money order</x:v>
      </x:c>
      <x:c r="K914" s="20" t="str">
        <x:v>SCN-0318</x:v>
      </x:c>
      <x:c r="L914" s="20" t="str">
        <x:v>PMT-20271103-L033-A</x:v>
      </x:c>
      <x:c r="M914" s="26" t="n">
        <x:v>825</x:v>
      </x:c>
      <x:c r="N914" s="26" t="n">
        <x:v>-825</x:v>
      </x:c>
      <x:c r="O914" s="26" t="n">
        <x:v>825</x:v>
      </x:c>
      <x:c r="P914" s="26" t="n">
        <x:v>0</x:v>
      </x:c>
      <x:c r="Q914" s="26" t="n">
        <x:v>0</x:v>
      </x:c>
      <x:c r="R914" s="26" t="n">
        <x:v>0</x:v>
      </x:c>
      <x:c r="S914" s="26" t="n">
        <x:v>0</x:v>
      </x:c>
      <x:c r="T914" s="26" t="n">
        <x:v>0</x:v>
      </x:c>
      <x:c r="U914" s="26" t="n">
        <x:v>0</x:v>
      </x:c>
      <x:c r="V914" s="26" t="n">
        <x:v>0</x:v>
      </x:c>
      <x:c r="W914" s="26" t="n">
        <x:v>0</x:v>
      </x:c>
      <x:c r="X914" s="26" t="n">
        <x:v>0</x:v>
      </x:c>
      <x:c r="Y914" s="26" t="n">
        <x:v>0</x:v>
      </x:c>
      <x:c r="Z914" s="35" t="str">
        <x:v>Receipt allocated to FIN-00910</x:v>
      </x:c>
    </x:row>
    <x:row r="915">
      <x:c r="A915" s="20" t="str">
        <x:v>FIN-00912</x:v>
      </x:c>
      <x:c r="B915" s="23" t="n">
        <x:v>46697</x:v>
      </x:c>
      <x:c r="C915" s="23" t="n">
        <x:v>46697</x:v>
      </x:c>
      <x:c r="D915" s="20" t="str">
        <x:v>TenantCharge</x:v>
      </x:c>
      <x:c r="E915" s="20" t="str">
        <x:v>Late fee</x:v>
      </x:c>
      <x:c r="F915" s="20" t="str">
        <x:v>P027</x:v>
      </x:c>
      <x:c r="G915" s="20" t="str">
        <x:v>U033</x:v>
      </x:c>
      <x:c r="H915" s="20" t="str">
        <x:v>L033</x:v>
      </x:c>
      <x:c r="I915" s="20" t="str">
        <x:v>Dana Garcia</x:v>
      </x:c>
      <x:c r="J915" s="35" t="str">
        <x:v>System automation</x:v>
      </x:c>
      <x:c r="K915" s="20" t="str"/>
      <x:c r="L915" s="20" t="str">
        <x:v>LATE-202711-L033</x:v>
      </x:c>
      <x:c r="M915" s="26" t="n">
        <x:v>50</x:v>
      </x:c>
      <x:c r="N915" s="26" t="n">
        <x:v>50</x:v>
      </x:c>
      <x:c r="O915" s="26" t="n">
        <x:v>0</x:v>
      </x:c>
      <x:c r="P915" s="26" t="n">
        <x:v>0</x:v>
      </x:c>
      <x:c r="Q915" s="26" t="n">
        <x:v>0</x:v>
      </x:c>
      <x:c r="R915" s="26" t="n">
        <x:v>0</x:v>
      </x:c>
      <x:c r="S915" s="26" t="n">
        <x:v>0</x:v>
      </x:c>
      <x:c r="T915" s="26" t="n">
        <x:v>50</x:v>
      </x:c>
      <x:c r="U915" s="26" t="n">
        <x:v>0</x:v>
      </x:c>
      <x:c r="V915" s="26" t="n">
        <x:v>0</x:v>
      </x:c>
      <x:c r="W915" s="26" t="n">
        <x:v>0</x:v>
      </x:c>
      <x:c r="X915" s="26" t="n">
        <x:v>0</x:v>
      </x:c>
      <x:c r="Y915" s="26" t="n">
        <x:v>0</x:v>
      </x:c>
      <x:c r="Z915" s="35" t="str">
        <x:v>Synthetic lease-authorized late fee after partial payment</x:v>
      </x:c>
    </x:row>
    <x:row r="916">
      <x:c r="A916" s="20" t="str">
        <x:v>FIN-00913</x:v>
      </x:c>
      <x:c r="B916" s="23" t="n">
        <x:v>46703</x:v>
      </x:c>
      <x:c r="C916" s="23" t="n">
        <x:v>46703</x:v>
      </x:c>
      <x:c r="D916" s="20" t="str">
        <x:v>TenantReceipt</x:v>
      </x:c>
      <x:c r="E916" s="20" t="str">
        <x:v>Rent receipt</x:v>
      </x:c>
      <x:c r="F916" s="20" t="str">
        <x:v>P027</x:v>
      </x:c>
      <x:c r="G916" s="20" t="str">
        <x:v>U033</x:v>
      </x:c>
      <x:c r="H916" s="20" t="str">
        <x:v>L033</x:v>
      </x:c>
      <x:c r="I916" s="20" t="str">
        <x:v>Dana Garcia</x:v>
      </x:c>
      <x:c r="J916" s="35" t="str">
        <x:v>Portal card</x:v>
      </x:c>
      <x:c r="K916" s="20" t="str"/>
      <x:c r="L916" s="20" t="str">
        <x:v>PMT-20271112-L033-B</x:v>
      </x:c>
      <x:c r="M916" s="26" t="n">
        <x:v>600</x:v>
      </x:c>
      <x:c r="N916" s="26" t="n">
        <x:v>-600</x:v>
      </x:c>
      <x:c r="O916" s="26" t="n">
        <x:v>600</x:v>
      </x:c>
      <x:c r="P916" s="26" t="n">
        <x:v>0</x:v>
      </x:c>
      <x:c r="Q916" s="26" t="n">
        <x:v>0</x:v>
      </x:c>
      <x:c r="R916" s="26" t="n">
        <x:v>0</x:v>
      </x:c>
      <x:c r="S916" s="26" t="n">
        <x:v>0</x:v>
      </x:c>
      <x:c r="T916" s="26" t="n">
        <x:v>0</x:v>
      </x:c>
      <x:c r="U916" s="26" t="n">
        <x:v>0</x:v>
      </x:c>
      <x:c r="V916" s="26" t="n">
        <x:v>0</x:v>
      </x:c>
      <x:c r="W916" s="26" t="n">
        <x:v>0</x:v>
      </x:c>
      <x:c r="X916" s="26" t="n">
        <x:v>0</x:v>
      </x:c>
      <x:c r="Y916" s="26" t="n">
        <x:v>0</x:v>
      </x:c>
      <x:c r="Z916" s="35" t="str">
        <x:v>Receipt allocated to FIN-00912</x:v>
      </x:c>
    </x:row>
    <x:row r="917">
      <x:c r="A917" s="20" t="str">
        <x:v>FIN-00914</x:v>
      </x:c>
      <x:c r="B917" s="23" t="n">
        <x:v>46692</x:v>
      </x:c>
      <x:c r="C917" s="23" t="n">
        <x:v>46692</x:v>
      </x:c>
      <x:c r="D917" s="20" t="str">
        <x:v>TenantCharge</x:v>
      </x:c>
      <x:c r="E917" s="20" t="str">
        <x:v>Rent</x:v>
      </x:c>
      <x:c r="F917" s="20" t="str">
        <x:v>P027</x:v>
      </x:c>
      <x:c r="G917" s="20" t="str">
        <x:v>U034</x:v>
      </x:c>
      <x:c r="H917" s="20" t="str">
        <x:v>L034</x:v>
      </x:c>
      <x:c r="I917" s="20" t="str">
        <x:v>Gray Lewis</x:v>
      </x:c>
      <x:c r="J917" s="35" t="str">
        <x:v>System scheduled charge</x:v>
      </x:c>
      <x:c r="K917" s="20" t="str"/>
      <x:c r="L917" s="20" t="str">
        <x:v>RENT-202711-L034</x:v>
      </x:c>
      <x:c r="M917" s="26" t="n">
        <x:v>1900</x:v>
      </x:c>
      <x:c r="N917" s="26" t="n">
        <x:v>1900</x:v>
      </x:c>
      <x:c r="O917" s="26" t="n">
        <x:v>0</x:v>
      </x:c>
      <x:c r="P917" s="26" t="n">
        <x:v>0</x:v>
      </x:c>
      <x:c r="Q917" s="26" t="n">
        <x:v>0</x:v>
      </x:c>
      <x:c r="R917" s="26" t="n">
        <x:v>0</x:v>
      </x:c>
      <x:c r="S917" s="26" t="n">
        <x:v>0</x:v>
      </x:c>
      <x:c r="T917" s="26" t="n">
        <x:v>1900</x:v>
      </x:c>
      <x:c r="U917" s="26" t="n">
        <x:v>0</x:v>
      </x:c>
      <x:c r="V917" s="26" t="n">
        <x:v>0</x:v>
      </x:c>
      <x:c r="W917" s="26" t="n">
        <x:v>0</x:v>
      </x:c>
      <x:c r="X917" s="26" t="n">
        <x:v>0</x:v>
      </x:c>
      <x:c r="Y917" s="26" t="n">
        <x:v>0</x:v>
      </x:c>
      <x:c r="Z917" s="35" t="str">
        <x:v>November 2027 rent</x:v>
      </x:c>
    </x:row>
    <x:row r="918">
      <x:c r="A918" s="20" t="str">
        <x:v>FIN-00915</x:v>
      </x:c>
      <x:c r="B918" s="23" t="n">
        <x:v>46695</x:v>
      </x:c>
      <x:c r="C918" s="23" t="n">
        <x:v>46695</x:v>
      </x:c>
      <x:c r="D918" s="20" t="str">
        <x:v>TenantReceipt</x:v>
      </x:c>
      <x:c r="E918" s="20" t="str">
        <x:v>Rent receipt</x:v>
      </x:c>
      <x:c r="F918" s="20" t="str">
        <x:v>P027</x:v>
      </x:c>
      <x:c r="G918" s="20" t="str">
        <x:v>U034</x:v>
      </x:c>
      <x:c r="H918" s="20" t="str">
        <x:v>L034</x:v>
      </x:c>
      <x:c r="I918" s="20" t="str">
        <x:v>Gray Lewis</x:v>
      </x:c>
      <x:c r="J918" s="35" t="str">
        <x:v>Manual ACH</x:v>
      </x:c>
      <x:c r="K918" s="20" t="str"/>
      <x:c r="L918" s="20" t="str">
        <x:v>PMT-20271104-L034</x:v>
      </x:c>
      <x:c r="M918" s="26" t="n">
        <x:v>1900</x:v>
      </x:c>
      <x:c r="N918" s="26" t="n">
        <x:v>-1900</x:v>
      </x:c>
      <x:c r="O918" s="26" t="n">
        <x:v>1900</x:v>
      </x:c>
      <x:c r="P918" s="26" t="n">
        <x:v>0</x:v>
      </x:c>
      <x:c r="Q918" s="26" t="n">
        <x:v>0</x:v>
      </x:c>
      <x:c r="R918" s="26" t="n">
        <x:v>0</x:v>
      </x:c>
      <x:c r="S918" s="26" t="n">
        <x:v>0</x:v>
      </x:c>
      <x:c r="T918" s="26" t="n">
        <x:v>0</x:v>
      </x:c>
      <x:c r="U918" s="26" t="n">
        <x:v>0</x:v>
      </x:c>
      <x:c r="V918" s="26" t="n">
        <x:v>0</x:v>
      </x:c>
      <x:c r="W918" s="26" t="n">
        <x:v>0</x:v>
      </x:c>
      <x:c r="X918" s="26" t="n">
        <x:v>0</x:v>
      </x:c>
      <x:c r="Y918" s="26" t="n">
        <x:v>0</x:v>
      </x:c>
      <x:c r="Z918" s="35" t="str">
        <x:v>Receipt allocated to FIN-00914</x:v>
      </x:c>
    </x:row>
    <x:row r="919">
      <x:c r="A919" s="20" t="str">
        <x:v>FIN-00916</x:v>
      </x:c>
      <x:c r="B919" s="23" t="n">
        <x:v>46692</x:v>
      </x:c>
      <x:c r="C919" s="23" t="n">
        <x:v>46692</x:v>
      </x:c>
      <x:c r="D919" s="20" t="str">
        <x:v>TenantCharge</x:v>
      </x:c>
      <x:c r="E919" s="20" t="str">
        <x:v>Rent</x:v>
      </x:c>
      <x:c r="F919" s="20" t="str">
        <x:v>P028</x:v>
      </x:c>
      <x:c r="G919" s="20" t="str">
        <x:v>U035</x:v>
      </x:c>
      <x:c r="H919" s="20" t="str">
        <x:v>L035</x:v>
      </x:c>
      <x:c r="I919" s="20" t="str">
        <x:v>Jordan Reed</x:v>
      </x:c>
      <x:c r="J919" s="35" t="str">
        <x:v>System scheduled charge</x:v>
      </x:c>
      <x:c r="K919" s="20" t="str"/>
      <x:c r="L919" s="20" t="str">
        <x:v>RENT-202711-L035</x:v>
      </x:c>
      <x:c r="M919" s="26" t="n">
        <x:v>1525</x:v>
      </x:c>
      <x:c r="N919" s="26" t="n">
        <x:v>1525</x:v>
      </x:c>
      <x:c r="O919" s="26" t="n">
        <x:v>0</x:v>
      </x:c>
      <x:c r="P919" s="26" t="n">
        <x:v>0</x:v>
      </x:c>
      <x:c r="Q919" s="26" t="n">
        <x:v>0</x:v>
      </x:c>
      <x:c r="R919" s="26" t="n">
        <x:v>0</x:v>
      </x:c>
      <x:c r="S919" s="26" t="n">
        <x:v>0</x:v>
      </x:c>
      <x:c r="T919" s="26" t="n">
        <x:v>1525</x:v>
      </x:c>
      <x:c r="U919" s="26" t="n">
        <x:v>0</x:v>
      </x:c>
      <x:c r="V919" s="26" t="n">
        <x:v>0</x:v>
      </x:c>
      <x:c r="W919" s="26" t="n">
        <x:v>0</x:v>
      </x:c>
      <x:c r="X919" s="26" t="n">
        <x:v>0</x:v>
      </x:c>
      <x:c r="Y919" s="26" t="n">
        <x:v>0</x:v>
      </x:c>
      <x:c r="Z919" s="35" t="str">
        <x:v>November 2027 rent</x:v>
      </x:c>
    </x:row>
    <x:row r="920">
      <x:c r="A920" s="20" t="str">
        <x:v>FIN-00917</x:v>
      </x:c>
      <x:c r="B920" s="23" t="n">
        <x:v>46696</x:v>
      </x:c>
      <x:c r="C920" s="23" t="n">
        <x:v>46696</x:v>
      </x:c>
      <x:c r="D920" s="20" t="str">
        <x:v>TenantReceipt</x:v>
      </x:c>
      <x:c r="E920" s="20" t="str">
        <x:v>Rent receipt</x:v>
      </x:c>
      <x:c r="F920" s="20" t="str">
        <x:v>P028</x:v>
      </x:c>
      <x:c r="G920" s="20" t="str">
        <x:v>U035</x:v>
      </x:c>
      <x:c r="H920" s="20" t="str">
        <x:v>L035</x:v>
      </x:c>
      <x:c r="I920" s="20" t="str">
        <x:v>Jordan Reed</x:v>
      </x:c>
      <x:c r="J920" s="35" t="str">
        <x:v>Portal card</x:v>
      </x:c>
      <x:c r="K920" s="20" t="str"/>
      <x:c r="L920" s="20" t="str">
        <x:v>PMT-20271105-L035</x:v>
      </x:c>
      <x:c r="M920" s="26" t="n">
        <x:v>1525</x:v>
      </x:c>
      <x:c r="N920" s="26" t="n">
        <x:v>-1525</x:v>
      </x:c>
      <x:c r="O920" s="26" t="n">
        <x:v>1525</x:v>
      </x:c>
      <x:c r="P920" s="26" t="n">
        <x:v>0</x:v>
      </x:c>
      <x:c r="Q920" s="26" t="n">
        <x:v>0</x:v>
      </x:c>
      <x:c r="R920" s="26" t="n">
        <x:v>0</x:v>
      </x:c>
      <x:c r="S920" s="26" t="n">
        <x:v>0</x:v>
      </x:c>
      <x:c r="T920" s="26" t="n">
        <x:v>0</x:v>
      </x:c>
      <x:c r="U920" s="26" t="n">
        <x:v>0</x:v>
      </x:c>
      <x:c r="V920" s="26" t="n">
        <x:v>0</x:v>
      </x:c>
      <x:c r="W920" s="26" t="n">
        <x:v>0</x:v>
      </x:c>
      <x:c r="X920" s="26" t="n">
        <x:v>0</x:v>
      </x:c>
      <x:c r="Y920" s="26" t="n">
        <x:v>0</x:v>
      </x:c>
      <x:c r="Z920" s="35" t="str">
        <x:v>Receipt allocated to FIN-00916</x:v>
      </x:c>
    </x:row>
    <x:row r="921">
      <x:c r="A921" s="20" t="str">
        <x:v>FIN-00918</x:v>
      </x:c>
      <x:c r="B921" s="23" t="n">
        <x:v>46692</x:v>
      </x:c>
      <x:c r="C921" s="23" t="n">
        <x:v>46692</x:v>
      </x:c>
      <x:c r="D921" s="20" t="str">
        <x:v>TenantCharge</x:v>
      </x:c>
      <x:c r="E921" s="20" t="str">
        <x:v>Rent</x:v>
      </x:c>
      <x:c r="F921" s="20" t="str">
        <x:v>P028</x:v>
      </x:c>
      <x:c r="G921" s="20" t="str">
        <x:v>U036</x:v>
      </x:c>
      <x:c r="H921" s="20" t="str">
        <x:v>L036</x:v>
      </x:c>
      <x:c r="I921" s="20" t="str">
        <x:v>Morgan Adams</x:v>
      </x:c>
      <x:c r="J921" s="35" t="str">
        <x:v>System scheduled charge</x:v>
      </x:c>
      <x:c r="K921" s="20" t="str"/>
      <x:c r="L921" s="20" t="str">
        <x:v>RENT-202711-L036</x:v>
      </x:c>
      <x:c r="M921" s="26" t="n">
        <x:v>1150</x:v>
      </x:c>
      <x:c r="N921" s="26" t="n">
        <x:v>1150</x:v>
      </x:c>
      <x:c r="O921" s="26" t="n">
        <x:v>0</x:v>
      </x:c>
      <x:c r="P921" s="26" t="n">
        <x:v>0</x:v>
      </x:c>
      <x:c r="Q921" s="26" t="n">
        <x:v>0</x:v>
      </x:c>
      <x:c r="R921" s="26" t="n">
        <x:v>0</x:v>
      </x:c>
      <x:c r="S921" s="26" t="n">
        <x:v>0</x:v>
      </x:c>
      <x:c r="T921" s="26" t="n">
        <x:v>1150</x:v>
      </x:c>
      <x:c r="U921" s="26" t="n">
        <x:v>0</x:v>
      </x:c>
      <x:c r="V921" s="26" t="n">
        <x:v>0</x:v>
      </x:c>
      <x:c r="W921" s="26" t="n">
        <x:v>0</x:v>
      </x:c>
      <x:c r="X921" s="26" t="n">
        <x:v>0</x:v>
      </x:c>
      <x:c r="Y921" s="26" t="n">
        <x:v>0</x:v>
      </x:c>
      <x:c r="Z921" s="35" t="str">
        <x:v>November 2027 rent</x:v>
      </x:c>
    </x:row>
    <x:row r="922">
      <x:c r="A922" s="20" t="str">
        <x:v>FIN-00919</x:v>
      </x:c>
      <x:c r="B922" s="23" t="n">
        <x:v>46694</x:v>
      </x:c>
      <x:c r="C922" s="23" t="n">
        <x:v>46694</x:v>
      </x:c>
      <x:c r="D922" s="20" t="str">
        <x:v>TenantReceipt</x:v>
      </x:c>
      <x:c r="E922" s="20" t="str">
        <x:v>Rent receipt</x:v>
      </x:c>
      <x:c r="F922" s="20" t="str">
        <x:v>P028</x:v>
      </x:c>
      <x:c r="G922" s="20" t="str">
        <x:v>U036</x:v>
      </x:c>
      <x:c r="H922" s="20" t="str">
        <x:v>L036</x:v>
      </x:c>
      <x:c r="I922" s="20" t="str">
        <x:v>Morgan Adams</x:v>
      </x:c>
      <x:c r="J922" s="35" t="str">
        <x:v>Scanned check</x:v>
      </x:c>
      <x:c r="K922" s="20" t="str">
        <x:v>SCN-0319</x:v>
      </x:c>
      <x:c r="L922" s="20" t="str">
        <x:v>PMT-20271103-L036</x:v>
      </x:c>
      <x:c r="M922" s="26" t="n">
        <x:v>1150</x:v>
      </x:c>
      <x:c r="N922" s="26" t="n">
        <x:v>-1150</x:v>
      </x:c>
      <x:c r="O922" s="26" t="n">
        <x:v>1150</x:v>
      </x:c>
      <x:c r="P922" s="26" t="n">
        <x:v>0</x:v>
      </x:c>
      <x:c r="Q922" s="26" t="n">
        <x:v>0</x:v>
      </x:c>
      <x:c r="R922" s="26" t="n">
        <x:v>0</x:v>
      </x:c>
      <x:c r="S922" s="26" t="n">
        <x:v>0</x:v>
      </x:c>
      <x:c r="T922" s="26" t="n">
        <x:v>0</x:v>
      </x:c>
      <x:c r="U922" s="26" t="n">
        <x:v>0</x:v>
      </x:c>
      <x:c r="V922" s="26" t="n">
        <x:v>0</x:v>
      </x:c>
      <x:c r="W922" s="26" t="n">
        <x:v>0</x:v>
      </x:c>
      <x:c r="X922" s="26" t="n">
        <x:v>0</x:v>
      </x:c>
      <x:c r="Y922" s="26" t="n">
        <x:v>0</x:v>
      </x:c>
      <x:c r="Z922" s="35" t="str">
        <x:v>Receipt allocated to FIN-00918</x:v>
      </x:c>
    </x:row>
    <x:row r="923">
      <x:c r="A923" s="20" t="str">
        <x:v>FIN-00920</x:v>
      </x:c>
      <x:c r="B923" s="23" t="n">
        <x:v>46692</x:v>
      </x:c>
      <x:c r="C923" s="23" t="n">
        <x:v>46692</x:v>
      </x:c>
      <x:c r="D923" s="20" t="str">
        <x:v>TenantCharge</x:v>
      </x:c>
      <x:c r="E923" s="20" t="str">
        <x:v>Rent</x:v>
      </x:c>
      <x:c r="F923" s="20" t="str">
        <x:v>P005</x:v>
      </x:c>
      <x:c r="G923" s="20" t="str">
        <x:v>U005</x:v>
      </x:c>
      <x:c r="H923" s="20" t="str">
        <x:v>L037</x:v>
      </x:c>
      <x:c r="I923" s="20" t="str">
        <x:v>Parker Flores</x:v>
      </x:c>
      <x:c r="J923" s="35" t="str">
        <x:v>System scheduled charge</x:v>
      </x:c>
      <x:c r="K923" s="20" t="str"/>
      <x:c r="L923" s="20" t="str">
        <x:v>RENT-202711-L037</x:v>
      </x:c>
      <x:c r="M923" s="26" t="n">
        <x:v>1875</x:v>
      </x:c>
      <x:c r="N923" s="26" t="n">
        <x:v>1875</x:v>
      </x:c>
      <x:c r="O923" s="26" t="n">
        <x:v>0</x:v>
      </x:c>
      <x:c r="P923" s="26" t="n">
        <x:v>0</x:v>
      </x:c>
      <x:c r="Q923" s="26" t="n">
        <x:v>0</x:v>
      </x:c>
      <x:c r="R923" s="26" t="n">
        <x:v>0</x:v>
      </x:c>
      <x:c r="S923" s="26" t="n">
        <x:v>0</x:v>
      </x:c>
      <x:c r="T923" s="26" t="n">
        <x:v>1875</x:v>
      </x:c>
      <x:c r="U923" s="26" t="n">
        <x:v>0</x:v>
      </x:c>
      <x:c r="V923" s="26" t="n">
        <x:v>0</x:v>
      </x:c>
      <x:c r="W923" s="26" t="n">
        <x:v>0</x:v>
      </x:c>
      <x:c r="X923" s="26" t="n">
        <x:v>0</x:v>
      </x:c>
      <x:c r="Y923" s="26" t="n">
        <x:v>0</x:v>
      </x:c>
      <x:c r="Z923" s="35" t="str">
        <x:v>November 2027 rent</x:v>
      </x:c>
    </x:row>
    <x:row r="924">
      <x:c r="A924" s="20" t="str">
        <x:v>FIN-00921</x:v>
      </x:c>
      <x:c r="B924" s="23" t="n">
        <x:v>46695</x:v>
      </x:c>
      <x:c r="C924" s="23" t="n">
        <x:v>46695</x:v>
      </x:c>
      <x:c r="D924" s="20" t="str">
        <x:v>TenantReceipt</x:v>
      </x:c>
      <x:c r="E924" s="20" t="str">
        <x:v>Rent receipt</x:v>
      </x:c>
      <x:c r="F924" s="20" t="str">
        <x:v>P005</x:v>
      </x:c>
      <x:c r="G924" s="20" t="str">
        <x:v>U005</x:v>
      </x:c>
      <x:c r="H924" s="20" t="str">
        <x:v>L037</x:v>
      </x:c>
      <x:c r="I924" s="20" t="str">
        <x:v>Parker Flores</x:v>
      </x:c>
      <x:c r="J924" s="35" t="str">
        <x:v>Scanned money order</x:v>
      </x:c>
      <x:c r="K924" s="20" t="str">
        <x:v>SCN-0320</x:v>
      </x:c>
      <x:c r="L924" s="20" t="str">
        <x:v>PMT-20271104-L037</x:v>
      </x:c>
      <x:c r="M924" s="26" t="n">
        <x:v>1875</x:v>
      </x:c>
      <x:c r="N924" s="26" t="n">
        <x:v>-1875</x:v>
      </x:c>
      <x:c r="O924" s="26" t="n">
        <x:v>1875</x:v>
      </x:c>
      <x:c r="P924" s="26" t="n">
        <x:v>0</x:v>
      </x:c>
      <x:c r="Q924" s="26" t="n">
        <x:v>0</x:v>
      </x:c>
      <x:c r="R924" s="26" t="n">
        <x:v>0</x:v>
      </x:c>
      <x:c r="S924" s="26" t="n">
        <x:v>0</x:v>
      </x:c>
      <x:c r="T924" s="26" t="n">
        <x:v>0</x:v>
      </x:c>
      <x:c r="U924" s="26" t="n">
        <x:v>0</x:v>
      </x:c>
      <x:c r="V924" s="26" t="n">
        <x:v>0</x:v>
      </x:c>
      <x:c r="W924" s="26" t="n">
        <x:v>0</x:v>
      </x:c>
      <x:c r="X924" s="26" t="n">
        <x:v>0</x:v>
      </x:c>
      <x:c r="Y924" s="26" t="n">
        <x:v>0</x:v>
      </x:c>
      <x:c r="Z924" s="35" t="str">
        <x:v>Receipt allocated to FIN-00920</x:v>
      </x:c>
    </x:row>
    <x:row r="925">
      <x:c r="A925" s="20" t="str">
        <x:v>FIN-00922</x:v>
      </x:c>
      <x:c r="B925" s="23" t="n">
        <x:v>46692</x:v>
      </x:c>
      <x:c r="C925" s="23" t="n">
        <x:v>46692</x:v>
      </x:c>
      <x:c r="D925" s="20" t="str">
        <x:v>TenantCharge</x:v>
      </x:c>
      <x:c r="E925" s="20" t="str">
        <x:v>Rent</x:v>
      </x:c>
      <x:c r="F925" s="20" t="str">
        <x:v>P014</x:v>
      </x:c>
      <x:c r="G925" s="20" t="str">
        <x:v>U014</x:v>
      </x:c>
      <x:c r="H925" s="20" t="str">
        <x:v>L038</x:v>
      </x:c>
      <x:c r="I925" s="20" t="str">
        <x:v>Sage King</x:v>
      </x:c>
      <x:c r="J925" s="35" t="str">
        <x:v>System scheduled charge</x:v>
      </x:c>
      <x:c r="K925" s="20" t="str"/>
      <x:c r="L925" s="20" t="str">
        <x:v>RENT-202711-L038</x:v>
      </x:c>
      <x:c r="M925" s="26" t="n">
        <x:v>1200</x:v>
      </x:c>
      <x:c r="N925" s="26" t="n">
        <x:v>1200</x:v>
      </x:c>
      <x:c r="O925" s="26" t="n">
        <x:v>0</x:v>
      </x:c>
      <x:c r="P925" s="26" t="n">
        <x:v>0</x:v>
      </x:c>
      <x:c r="Q925" s="26" t="n">
        <x:v>0</x:v>
      </x:c>
      <x:c r="R925" s="26" t="n">
        <x:v>0</x:v>
      </x:c>
      <x:c r="S925" s="26" t="n">
        <x:v>0</x:v>
      </x:c>
      <x:c r="T925" s="26" t="n">
        <x:v>1200</x:v>
      </x:c>
      <x:c r="U925" s="26" t="n">
        <x:v>0</x:v>
      </x:c>
      <x:c r="V925" s="26" t="n">
        <x:v>0</x:v>
      </x:c>
      <x:c r="W925" s="26" t="n">
        <x:v>0</x:v>
      </x:c>
      <x:c r="X925" s="26" t="n">
        <x:v>0</x:v>
      </x:c>
      <x:c r="Y925" s="26" t="n">
        <x:v>0</x:v>
      </x:c>
      <x:c r="Z925" s="35" t="str">
        <x:v>November 2027 rent</x:v>
      </x:c>
    </x:row>
    <x:row r="926">
      <x:c r="A926" s="20" t="str">
        <x:v>FIN-00923</x:v>
      </x:c>
      <x:c r="B926" s="23" t="n">
        <x:v>46696</x:v>
      </x:c>
      <x:c r="C926" s="23" t="n">
        <x:v>46696</x:v>
      </x:c>
      <x:c r="D926" s="20" t="str">
        <x:v>TenantReceipt</x:v>
      </x:c>
      <x:c r="E926" s="20" t="str">
        <x:v>Rent receipt</x:v>
      </x:c>
      <x:c r="F926" s="20" t="str">
        <x:v>P014</x:v>
      </x:c>
      <x:c r="G926" s="20" t="str">
        <x:v>U014</x:v>
      </x:c>
      <x:c r="H926" s="20" t="str">
        <x:v>L038</x:v>
      </x:c>
      <x:c r="I926" s="20" t="str">
        <x:v>Sage King</x:v>
      </x:c>
      <x:c r="J926" s="35" t="str">
        <x:v>Manual ACH</x:v>
      </x:c>
      <x:c r="K926" s="20" t="str"/>
      <x:c r="L926" s="20" t="str">
        <x:v>PMT-20271105-L038</x:v>
      </x:c>
      <x:c r="M926" s="26" t="n">
        <x:v>1200</x:v>
      </x:c>
      <x:c r="N926" s="26" t="n">
        <x:v>-1200</x:v>
      </x:c>
      <x:c r="O926" s="26" t="n">
        <x:v>1200</x:v>
      </x:c>
      <x:c r="P926" s="26" t="n">
        <x:v>0</x:v>
      </x:c>
      <x:c r="Q926" s="26" t="n">
        <x:v>0</x:v>
      </x:c>
      <x:c r="R926" s="26" t="n">
        <x:v>0</x:v>
      </x:c>
      <x:c r="S926" s="26" t="n">
        <x:v>0</x:v>
      </x:c>
      <x:c r="T926" s="26" t="n">
        <x:v>0</x:v>
      </x:c>
      <x:c r="U926" s="26" t="n">
        <x:v>0</x:v>
      </x:c>
      <x:c r="V926" s="26" t="n">
        <x:v>0</x:v>
      </x:c>
      <x:c r="W926" s="26" t="n">
        <x:v>0</x:v>
      </x:c>
      <x:c r="X926" s="26" t="n">
        <x:v>0</x:v>
      </x:c>
      <x:c r="Y926" s="26" t="n">
        <x:v>0</x:v>
      </x:c>
      <x:c r="Z926" s="35" t="str">
        <x:v>Receipt allocated to FIN-00922</x:v>
      </x:c>
    </x:row>
    <x:row r="927">
      <x:c r="A927" s="20" t="str">
        <x:v>FIN-00924</x:v>
      </x:c>
      <x:c r="B927" s="23" t="n">
        <x:v>46692</x:v>
      </x:c>
      <x:c r="C927" s="23" t="n">
        <x:v>46692</x:v>
      </x:c>
      <x:c r="D927" s="20" t="str">
        <x:v>TenantCharge</x:v>
      </x:c>
      <x:c r="E927" s="20" t="str">
        <x:v>Rent</x:v>
      </x:c>
      <x:c r="F927" s="20" t="str">
        <x:v>P017</x:v>
      </x:c>
      <x:c r="G927" s="20" t="str">
        <x:v>U017</x:v>
      </x:c>
      <x:c r="H927" s="20" t="str">
        <x:v>L039</x:v>
      </x:c>
      <x:c r="I927" s="20" t="str">
        <x:v>Val Price</x:v>
      </x:c>
      <x:c r="J927" s="35" t="str">
        <x:v>System scheduled charge</x:v>
      </x:c>
      <x:c r="K927" s="20" t="str"/>
      <x:c r="L927" s="20" t="str">
        <x:v>RENT-202711-L039</x:v>
      </x:c>
      <x:c r="M927" s="26" t="n">
        <x:v>1875</x:v>
      </x:c>
      <x:c r="N927" s="26" t="n">
        <x:v>1875</x:v>
      </x:c>
      <x:c r="O927" s="26" t="n">
        <x:v>0</x:v>
      </x:c>
      <x:c r="P927" s="26" t="n">
        <x:v>0</x:v>
      </x:c>
      <x:c r="Q927" s="26" t="n">
        <x:v>0</x:v>
      </x:c>
      <x:c r="R927" s="26" t="n">
        <x:v>0</x:v>
      </x:c>
      <x:c r="S927" s="26" t="n">
        <x:v>0</x:v>
      </x:c>
      <x:c r="T927" s="26" t="n">
        <x:v>1875</x:v>
      </x:c>
      <x:c r="U927" s="26" t="n">
        <x:v>0</x:v>
      </x:c>
      <x:c r="V927" s="26" t="n">
        <x:v>0</x:v>
      </x:c>
      <x:c r="W927" s="26" t="n">
        <x:v>0</x:v>
      </x:c>
      <x:c r="X927" s="26" t="n">
        <x:v>0</x:v>
      </x:c>
      <x:c r="Y927" s="26" t="n">
        <x:v>0</x:v>
      </x:c>
      <x:c r="Z927" s="35" t="str">
        <x:v>November 2027 rent</x:v>
      </x:c>
    </x:row>
    <x:row r="928">
      <x:c r="A928" s="20" t="str">
        <x:v>FIN-00925</x:v>
      </x:c>
      <x:c r="B928" s="23" t="n">
        <x:v>46697</x:v>
      </x:c>
      <x:c r="C928" s="23" t="n">
        <x:v>46697</x:v>
      </x:c>
      <x:c r="D928" s="20" t="str">
        <x:v>TenantCharge</x:v>
      </x:c>
      <x:c r="E928" s="20" t="str">
        <x:v>Late fee</x:v>
      </x:c>
      <x:c r="F928" s="20" t="str">
        <x:v>P017</x:v>
      </x:c>
      <x:c r="G928" s="20" t="str">
        <x:v>U017</x:v>
      </x:c>
      <x:c r="H928" s="20" t="str">
        <x:v>L039</x:v>
      </x:c>
      <x:c r="I928" s="20" t="str">
        <x:v>Val Price</x:v>
      </x:c>
      <x:c r="J928" s="35" t="str">
        <x:v>System automation</x:v>
      </x:c>
      <x:c r="K928" s="20" t="str"/>
      <x:c r="L928" s="20" t="str">
        <x:v>LATE-202711-L039</x:v>
      </x:c>
      <x:c r="M928" s="26" t="n">
        <x:v>50</x:v>
      </x:c>
      <x:c r="N928" s="26" t="n">
        <x:v>50</x:v>
      </x:c>
      <x:c r="O928" s="26" t="n">
        <x:v>0</x:v>
      </x:c>
      <x:c r="P928" s="26" t="n">
        <x:v>0</x:v>
      </x:c>
      <x:c r="Q928" s="26" t="n">
        <x:v>0</x:v>
      </x:c>
      <x:c r="R928" s="26" t="n">
        <x:v>0</x:v>
      </x:c>
      <x:c r="S928" s="26" t="n">
        <x:v>0</x:v>
      </x:c>
      <x:c r="T928" s="26" t="n">
        <x:v>50</x:v>
      </x:c>
      <x:c r="U928" s="26" t="n">
        <x:v>0</x:v>
      </x:c>
      <x:c r="V928" s="26" t="n">
        <x:v>0</x:v>
      </x:c>
      <x:c r="W928" s="26" t="n">
        <x:v>0</x:v>
      </x:c>
      <x:c r="X928" s="26" t="n">
        <x:v>0</x:v>
      </x:c>
      <x:c r="Y928" s="26" t="n">
        <x:v>0</x:v>
      </x:c>
      <x:c r="Z928" s="35" t="str">
        <x:v>Synthetic lease-authorized late fee</x:v>
      </x:c>
    </x:row>
    <x:row r="929">
      <x:c r="A929" s="20" t="str">
        <x:v>FIN-00926</x:v>
      </x:c>
      <x:c r="B929" s="23" t="n">
        <x:v>46699</x:v>
      </x:c>
      <x:c r="C929" s="23" t="n">
        <x:v>46699</x:v>
      </x:c>
      <x:c r="D929" s="20" t="str">
        <x:v>TenantReceipt</x:v>
      </x:c>
      <x:c r="E929" s="20" t="str">
        <x:v>Rent receipt</x:v>
      </x:c>
      <x:c r="F929" s="20" t="str">
        <x:v>P017</x:v>
      </x:c>
      <x:c r="G929" s="20" t="str">
        <x:v>U017</x:v>
      </x:c>
      <x:c r="H929" s="20" t="str">
        <x:v>L039</x:v>
      </x:c>
      <x:c r="I929" s="20" t="str">
        <x:v>Val Price</x:v>
      </x:c>
      <x:c r="J929" s="35" t="str">
        <x:v>Manual ACH</x:v>
      </x:c>
      <x:c r="K929" s="20" t="str"/>
      <x:c r="L929" s="20" t="str">
        <x:v>PMT-20271108-L039</x:v>
      </x:c>
      <x:c r="M929" s="26" t="n">
        <x:v>1925</x:v>
      </x:c>
      <x:c r="N929" s="26" t="n">
        <x:v>-1925</x:v>
      </x:c>
      <x:c r="O929" s="26" t="n">
        <x:v>1925</x:v>
      </x:c>
      <x:c r="P929" s="26" t="n">
        <x:v>0</x:v>
      </x:c>
      <x:c r="Q929" s="26" t="n">
        <x:v>0</x:v>
      </x:c>
      <x:c r="R929" s="26" t="n">
        <x:v>0</x:v>
      </x:c>
      <x:c r="S929" s="26" t="n">
        <x:v>0</x:v>
      </x:c>
      <x:c r="T929" s="26" t="n">
        <x:v>0</x:v>
      </x:c>
      <x:c r="U929" s="26" t="n">
        <x:v>0</x:v>
      </x:c>
      <x:c r="V929" s="26" t="n">
        <x:v>0</x:v>
      </x:c>
      <x:c r="W929" s="26" t="n">
        <x:v>0</x:v>
      </x:c>
      <x:c r="X929" s="26" t="n">
        <x:v>0</x:v>
      </x:c>
      <x:c r="Y929" s="26" t="n">
        <x:v>0</x:v>
      </x:c>
      <x:c r="Z929" s="35" t="str">
        <x:v>Receipt allocated to FIN-00925</x:v>
      </x:c>
    </x:row>
    <x:row r="930">
      <x:c r="A930" s="20" t="str">
        <x:v>FIN-00927</x:v>
      </x:c>
      <x:c r="B930" s="23" t="n">
        <x:v>46692</x:v>
      </x:c>
      <x:c r="C930" s="23" t="n">
        <x:v>46692</x:v>
      </x:c>
      <x:c r="D930" s="20" t="str">
        <x:v>TenantCharge</x:v>
      </x:c>
      <x:c r="E930" s="20" t="str">
        <x:v>Rent</x:v>
      </x:c>
      <x:c r="F930" s="20" t="str">
        <x:v>P021</x:v>
      </x:c>
      <x:c r="G930" s="20" t="str">
        <x:v>U022</x:v>
      </x:c>
      <x:c r="H930" s="20" t="str">
        <x:v>L040</x:v>
      </x:c>
      <x:c r="I930" s="20" t="str">
        <x:v>Yara Brooks</x:v>
      </x:c>
      <x:c r="J930" s="35" t="str">
        <x:v>System scheduled charge</x:v>
      </x:c>
      <x:c r="K930" s="20" t="str"/>
      <x:c r="L930" s="20" t="str">
        <x:v>RENT-202711-L040</x:v>
      </x:c>
      <x:c r="M930" s="26" t="n">
        <x:v>1900</x:v>
      </x:c>
      <x:c r="N930" s="26" t="n">
        <x:v>1900</x:v>
      </x:c>
      <x:c r="O930" s="26" t="n">
        <x:v>0</x:v>
      </x:c>
      <x:c r="P930" s="26" t="n">
        <x:v>0</x:v>
      </x:c>
      <x:c r="Q930" s="26" t="n">
        <x:v>0</x:v>
      </x:c>
      <x:c r="R930" s="26" t="n">
        <x:v>0</x:v>
      </x:c>
      <x:c r="S930" s="26" t="n">
        <x:v>0</x:v>
      </x:c>
      <x:c r="T930" s="26" t="n">
        <x:v>1900</x:v>
      </x:c>
      <x:c r="U930" s="26" t="n">
        <x:v>0</x:v>
      </x:c>
      <x:c r="V930" s="26" t="n">
        <x:v>0</x:v>
      </x:c>
      <x:c r="W930" s="26" t="n">
        <x:v>0</x:v>
      </x:c>
      <x:c r="X930" s="26" t="n">
        <x:v>0</x:v>
      </x:c>
      <x:c r="Y930" s="26" t="n">
        <x:v>0</x:v>
      </x:c>
      <x:c r="Z930" s="35" t="str">
        <x:v>November 2027 rent</x:v>
      </x:c>
    </x:row>
    <x:row r="931">
      <x:c r="A931" s="20" t="str">
        <x:v>FIN-00928</x:v>
      </x:c>
      <x:c r="B931" s="23" t="n">
        <x:v>46695</x:v>
      </x:c>
      <x:c r="C931" s="23" t="n">
        <x:v>46695</x:v>
      </x:c>
      <x:c r="D931" s="20" t="str">
        <x:v>TenantReceipt</x:v>
      </x:c>
      <x:c r="E931" s="20" t="str">
        <x:v>Rent receipt</x:v>
      </x:c>
      <x:c r="F931" s="20" t="str">
        <x:v>P021</x:v>
      </x:c>
      <x:c r="G931" s="20" t="str">
        <x:v>U022</x:v>
      </x:c>
      <x:c r="H931" s="20" t="str">
        <x:v>L040</x:v>
      </x:c>
      <x:c r="I931" s="20" t="str">
        <x:v>Yara Brooks</x:v>
      </x:c>
      <x:c r="J931" s="35" t="str">
        <x:v>Scanned check</x:v>
      </x:c>
      <x:c r="K931" s="20" t="str">
        <x:v>SCN-0321</x:v>
      </x:c>
      <x:c r="L931" s="20" t="str">
        <x:v>PMT-20271104-L040</x:v>
      </x:c>
      <x:c r="M931" s="26" t="n">
        <x:v>1900</x:v>
      </x:c>
      <x:c r="N931" s="26" t="n">
        <x:v>-1900</x:v>
      </x:c>
      <x:c r="O931" s="26" t="n">
        <x:v>1900</x:v>
      </x:c>
      <x:c r="P931" s="26" t="n">
        <x:v>0</x:v>
      </x:c>
      <x:c r="Q931" s="26" t="n">
        <x:v>0</x:v>
      </x:c>
      <x:c r="R931" s="26" t="n">
        <x:v>0</x:v>
      </x:c>
      <x:c r="S931" s="26" t="n">
        <x:v>0</x:v>
      </x:c>
      <x:c r="T931" s="26" t="n">
        <x:v>0</x:v>
      </x:c>
      <x:c r="U931" s="26" t="n">
        <x:v>0</x:v>
      </x:c>
      <x:c r="V931" s="26" t="n">
        <x:v>0</x:v>
      </x:c>
      <x:c r="W931" s="26" t="n">
        <x:v>0</x:v>
      </x:c>
      <x:c r="X931" s="26" t="n">
        <x:v>0</x:v>
      </x:c>
      <x:c r="Y931" s="26" t="n">
        <x:v>0</x:v>
      </x:c>
      <x:c r="Z931" s="35" t="str">
        <x:v>Receipt allocated to FIN-00927</x:v>
      </x:c>
    </x:row>
    <x:row r="932">
      <x:c r="A932" s="20" t="str">
        <x:v>FIN-00929</x:v>
      </x:c>
      <x:c r="B932" s="23" t="n">
        <x:v>46692</x:v>
      </x:c>
      <x:c r="C932" s="23" t="n">
        <x:v>46692</x:v>
      </x:c>
      <x:c r="D932" s="20" t="str">
        <x:v>TenantCharge</x:v>
      </x:c>
      <x:c r="E932" s="20" t="str">
        <x:v>Rent</x:v>
      </x:c>
      <x:c r="F932" s="20" t="str">
        <x:v>P030</x:v>
      </x:c>
      <x:c r="G932" s="20" t="str">
        <x:v>U040</x:v>
      </x:c>
      <x:c r="H932" s="20" t="str">
        <x:v>L041</x:v>
      </x:c>
      <x:c r="I932" s="20" t="str">
        <x:v>Yara Brooks</x:v>
      </x:c>
      <x:c r="J932" s="35" t="str">
        <x:v>System scheduled charge</x:v>
      </x:c>
      <x:c r="K932" s="20" t="str"/>
      <x:c r="L932" s="20" t="str">
        <x:v>RENT-202711-L041</x:v>
      </x:c>
      <x:c r="M932" s="26" t="n">
        <x:v>1450</x:v>
      </x:c>
      <x:c r="N932" s="26" t="n">
        <x:v>1450</x:v>
      </x:c>
      <x:c r="O932" s="26" t="n">
        <x:v>0</x:v>
      </x:c>
      <x:c r="P932" s="26" t="n">
        <x:v>0</x:v>
      </x:c>
      <x:c r="Q932" s="26" t="n">
        <x:v>0</x:v>
      </x:c>
      <x:c r="R932" s="26" t="n">
        <x:v>0</x:v>
      </x:c>
      <x:c r="S932" s="26" t="n">
        <x:v>0</x:v>
      </x:c>
      <x:c r="T932" s="26" t="n">
        <x:v>1450</x:v>
      </x:c>
      <x:c r="U932" s="26" t="n">
        <x:v>0</x:v>
      </x:c>
      <x:c r="V932" s="26" t="n">
        <x:v>0</x:v>
      </x:c>
      <x:c r="W932" s="26" t="n">
        <x:v>0</x:v>
      </x:c>
      <x:c r="X932" s="26" t="n">
        <x:v>0</x:v>
      </x:c>
      <x:c r="Y932" s="26" t="n">
        <x:v>0</x:v>
      </x:c>
      <x:c r="Z932" s="35" t="str">
        <x:v>November 2027 rent</x:v>
      </x:c>
    </x:row>
    <x:row r="933">
      <x:c r="A933" s="20" t="str">
        <x:v>FIN-00930</x:v>
      </x:c>
      <x:c r="B933" s="23" t="n">
        <x:v>46696</x:v>
      </x:c>
      <x:c r="C933" s="23" t="n">
        <x:v>46696</x:v>
      </x:c>
      <x:c r="D933" s="20" t="str">
        <x:v>TenantReceipt</x:v>
      </x:c>
      <x:c r="E933" s="20" t="str">
        <x:v>Rent receipt</x:v>
      </x:c>
      <x:c r="F933" s="20" t="str">
        <x:v>P030</x:v>
      </x:c>
      <x:c r="G933" s="20" t="str">
        <x:v>U040</x:v>
      </x:c>
      <x:c r="H933" s="20" t="str">
        <x:v>L041</x:v>
      </x:c>
      <x:c r="I933" s="20" t="str">
        <x:v>Yara Brooks</x:v>
      </x:c>
      <x:c r="J933" s="35" t="str">
        <x:v>Scanned money order</x:v>
      </x:c>
      <x:c r="K933" s="20" t="str">
        <x:v>SCN-0322</x:v>
      </x:c>
      <x:c r="L933" s="20" t="str">
        <x:v>PMT-20271105-L041</x:v>
      </x:c>
      <x:c r="M933" s="26" t="n">
        <x:v>1450</x:v>
      </x:c>
      <x:c r="N933" s="26" t="n">
        <x:v>-1450</x:v>
      </x:c>
      <x:c r="O933" s="26" t="n">
        <x:v>1450</x:v>
      </x:c>
      <x:c r="P933" s="26" t="n">
        <x:v>0</x:v>
      </x:c>
      <x:c r="Q933" s="26" t="n">
        <x:v>0</x:v>
      </x:c>
      <x:c r="R933" s="26" t="n">
        <x:v>0</x:v>
      </x:c>
      <x:c r="S933" s="26" t="n">
        <x:v>0</x:v>
      </x:c>
      <x:c r="T933" s="26" t="n">
        <x:v>0</x:v>
      </x:c>
      <x:c r="U933" s="26" t="n">
        <x:v>0</x:v>
      </x:c>
      <x:c r="V933" s="26" t="n">
        <x:v>0</x:v>
      </x:c>
      <x:c r="W933" s="26" t="n">
        <x:v>0</x:v>
      </x:c>
      <x:c r="X933" s="26" t="n">
        <x:v>0</x:v>
      </x:c>
      <x:c r="Y933" s="26" t="n">
        <x:v>0</x:v>
      </x:c>
      <x:c r="Z933" s="35" t="str">
        <x:v>Receipt allocated to FIN-00929</x:v>
      </x:c>
    </x:row>
    <x:row r="934">
      <x:c r="A934" s="20" t="str">
        <x:v>FIN-00931</x:v>
      </x:c>
      <x:c r="B934" s="23" t="n">
        <x:v>46692</x:v>
      </x:c>
      <x:c r="C934" s="23" t="n">
        <x:v>46692</x:v>
      </x:c>
      <x:c r="D934" s="20" t="str">
        <x:v>TenantCharge</x:v>
      </x:c>
      <x:c r="E934" s="20" t="str">
        <x:v>Rent</x:v>
      </x:c>
      <x:c r="F934" s="20" t="str">
        <x:v>P029</x:v>
      </x:c>
      <x:c r="G934" s="20" t="str">
        <x:v>U037</x:v>
      </x:c>
      <x:c r="H934" s="20" t="str">
        <x:v>L043</x:v>
      </x:c>
      <x:c r="I934" s="20" t="str">
        <x:v>Hector Reed</x:v>
      </x:c>
      <x:c r="J934" s="35" t="str">
        <x:v>System scheduled charge</x:v>
      </x:c>
      <x:c r="K934" s="20" t="str"/>
      <x:c r="L934" s="20" t="str">
        <x:v>RENT-202711-L043</x:v>
      </x:c>
      <x:c r="M934" s="26" t="n">
        <x:v>1675</x:v>
      </x:c>
      <x:c r="N934" s="26" t="n">
        <x:v>1675</x:v>
      </x:c>
      <x:c r="O934" s="26" t="n">
        <x:v>0</x:v>
      </x:c>
      <x:c r="P934" s="26" t="n">
        <x:v>0</x:v>
      </x:c>
      <x:c r="Q934" s="26" t="n">
        <x:v>0</x:v>
      </x:c>
      <x:c r="R934" s="26" t="n">
        <x:v>0</x:v>
      </x:c>
      <x:c r="S934" s="26" t="n">
        <x:v>0</x:v>
      </x:c>
      <x:c r="T934" s="26" t="n">
        <x:v>1675</x:v>
      </x:c>
      <x:c r="U934" s="26" t="n">
        <x:v>0</x:v>
      </x:c>
      <x:c r="V934" s="26" t="n">
        <x:v>0</x:v>
      </x:c>
      <x:c r="W934" s="26" t="n">
        <x:v>0</x:v>
      </x:c>
      <x:c r="X934" s="26" t="n">
        <x:v>0</x:v>
      </x:c>
      <x:c r="Y934" s="26" t="n">
        <x:v>0</x:v>
      </x:c>
      <x:c r="Z934" s="35" t="str">
        <x:v>November 2027 rent</x:v>
      </x:c>
    </x:row>
    <x:row r="935">
      <x:c r="A935" s="20" t="str">
        <x:v>FIN-00932</x:v>
      </x:c>
      <x:c r="B935" s="23" t="n">
        <x:v>46695</x:v>
      </x:c>
      <x:c r="C935" s="23" t="n">
        <x:v>46695</x:v>
      </x:c>
      <x:c r="D935" s="20" t="str">
        <x:v>TenantReceipt</x:v>
      </x:c>
      <x:c r="E935" s="20" t="str">
        <x:v>Rent receipt</x:v>
      </x:c>
      <x:c r="F935" s="20" t="str">
        <x:v>P029</x:v>
      </x:c>
      <x:c r="G935" s="20" t="str">
        <x:v>U037</x:v>
      </x:c>
      <x:c r="H935" s="20" t="str">
        <x:v>L043</x:v>
      </x:c>
      <x:c r="I935" s="20" t="str">
        <x:v>Hector Reed</x:v>
      </x:c>
      <x:c r="J935" s="35" t="str">
        <x:v>Portal card</x:v>
      </x:c>
      <x:c r="K935" s="20" t="str"/>
      <x:c r="L935" s="20" t="str">
        <x:v>PMT-20271104-L043</x:v>
      </x:c>
      <x:c r="M935" s="26" t="n">
        <x:v>1675</x:v>
      </x:c>
      <x:c r="N935" s="26" t="n">
        <x:v>-1675</x:v>
      </x:c>
      <x:c r="O935" s="26" t="n">
        <x:v>1675</x:v>
      </x:c>
      <x:c r="P935" s="26" t="n">
        <x:v>0</x:v>
      </x:c>
      <x:c r="Q935" s="26" t="n">
        <x:v>0</x:v>
      </x:c>
      <x:c r="R935" s="26" t="n">
        <x:v>0</x:v>
      </x:c>
      <x:c r="S935" s="26" t="n">
        <x:v>0</x:v>
      </x:c>
      <x:c r="T935" s="26" t="n">
        <x:v>0</x:v>
      </x:c>
      <x:c r="U935" s="26" t="n">
        <x:v>0</x:v>
      </x:c>
      <x:c r="V935" s="26" t="n">
        <x:v>0</x:v>
      </x:c>
      <x:c r="W935" s="26" t="n">
        <x:v>0</x:v>
      </x:c>
      <x:c r="X935" s="26" t="n">
        <x:v>0</x:v>
      </x:c>
      <x:c r="Y935" s="26" t="n">
        <x:v>0</x:v>
      </x:c>
      <x:c r="Z935" s="35" t="str">
        <x:v>Receipt allocated to FIN-00931</x:v>
      </x:c>
    </x:row>
    <x:row r="936">
      <x:c r="A936" s="20" t="str">
        <x:v>FIN-00933</x:v>
      </x:c>
      <x:c r="B936" s="23" t="n">
        <x:v>46692</x:v>
      </x:c>
      <x:c r="C936" s="23" t="n">
        <x:v>46692</x:v>
      </x:c>
      <x:c r="D936" s="20" t="str">
        <x:v>TenantCharge</x:v>
      </x:c>
      <x:c r="E936" s="20" t="str">
        <x:v>Rent</x:v>
      </x:c>
      <x:c r="F936" s="20" t="str">
        <x:v>P029</x:v>
      </x:c>
      <x:c r="G936" s="20" t="str">
        <x:v>U038</x:v>
      </x:c>
      <x:c r="H936" s="20" t="str">
        <x:v>L044</x:v>
      </x:c>
      <x:c r="I936" s="20" t="str">
        <x:v>Keira Adams</x:v>
      </x:c>
      <x:c r="J936" s="35" t="str">
        <x:v>System scheduled charge</x:v>
      </x:c>
      <x:c r="K936" s="20" t="str"/>
      <x:c r="L936" s="20" t="str">
        <x:v>RENT-202711-L044</x:v>
      </x:c>
      <x:c r="M936" s="26" t="n">
        <x:v>1300</x:v>
      </x:c>
      <x:c r="N936" s="26" t="n">
        <x:v>1300</x:v>
      </x:c>
      <x:c r="O936" s="26" t="n">
        <x:v>0</x:v>
      </x:c>
      <x:c r="P936" s="26" t="n">
        <x:v>0</x:v>
      </x:c>
      <x:c r="Q936" s="26" t="n">
        <x:v>0</x:v>
      </x:c>
      <x:c r="R936" s="26" t="n">
        <x:v>0</x:v>
      </x:c>
      <x:c r="S936" s="26" t="n">
        <x:v>0</x:v>
      </x:c>
      <x:c r="T936" s="26" t="n">
        <x:v>1300</x:v>
      </x:c>
      <x:c r="U936" s="26" t="n">
        <x:v>0</x:v>
      </x:c>
      <x:c r="V936" s="26" t="n">
        <x:v>0</x:v>
      </x:c>
      <x:c r="W936" s="26" t="n">
        <x:v>0</x:v>
      </x:c>
      <x:c r="X936" s="26" t="n">
        <x:v>0</x:v>
      </x:c>
      <x:c r="Y936" s="26" t="n">
        <x:v>0</x:v>
      </x:c>
      <x:c r="Z936" s="35" t="str">
        <x:v>November 2027 rent</x:v>
      </x:c>
    </x:row>
    <x:row r="937">
      <x:c r="A937" s="20" t="str">
        <x:v>FIN-00934</x:v>
      </x:c>
      <x:c r="B937" s="23" t="n">
        <x:v>46694</x:v>
      </x:c>
      <x:c r="C937" s="23" t="n">
        <x:v>46694</x:v>
      </x:c>
      <x:c r="D937" s="20" t="str">
        <x:v>TenantReceipt</x:v>
      </x:c>
      <x:c r="E937" s="20" t="str">
        <x:v>Rent receipt</x:v>
      </x:c>
      <x:c r="F937" s="20" t="str">
        <x:v>P029</x:v>
      </x:c>
      <x:c r="G937" s="20" t="str">
        <x:v>U038</x:v>
      </x:c>
      <x:c r="H937" s="20" t="str">
        <x:v>L044</x:v>
      </x:c>
      <x:c r="I937" s="20" t="str">
        <x:v>Keira Adams</x:v>
      </x:c>
      <x:c r="J937" s="35" t="str">
        <x:v>Scanned check</x:v>
      </x:c>
      <x:c r="K937" s="20" t="str">
        <x:v>SCN-0323</x:v>
      </x:c>
      <x:c r="L937" s="20" t="str">
        <x:v>PMT-20271103-L044-A</x:v>
      </x:c>
      <x:c r="M937" s="26" t="n">
        <x:v>780</x:v>
      </x:c>
      <x:c r="N937" s="26" t="n">
        <x:v>-780</x:v>
      </x:c>
      <x:c r="O937" s="26" t="n">
        <x:v>780</x:v>
      </x:c>
      <x:c r="P937" s="26" t="n">
        <x:v>0</x:v>
      </x:c>
      <x:c r="Q937" s="26" t="n">
        <x:v>0</x:v>
      </x:c>
      <x:c r="R937" s="26" t="n">
        <x:v>0</x:v>
      </x:c>
      <x:c r="S937" s="26" t="n">
        <x:v>0</x:v>
      </x:c>
      <x:c r="T937" s="26" t="n">
        <x:v>0</x:v>
      </x:c>
      <x:c r="U937" s="26" t="n">
        <x:v>0</x:v>
      </x:c>
      <x:c r="V937" s="26" t="n">
        <x:v>0</x:v>
      </x:c>
      <x:c r="W937" s="26" t="n">
        <x:v>0</x:v>
      </x:c>
      <x:c r="X937" s="26" t="n">
        <x:v>0</x:v>
      </x:c>
      <x:c r="Y937" s="26" t="n">
        <x:v>0</x:v>
      </x:c>
      <x:c r="Z937" s="35" t="str">
        <x:v>Receipt allocated to FIN-00933</x:v>
      </x:c>
    </x:row>
    <x:row r="938">
      <x:c r="A938" s="20" t="str">
        <x:v>FIN-00935</x:v>
      </x:c>
      <x:c r="B938" s="23" t="n">
        <x:v>46697</x:v>
      </x:c>
      <x:c r="C938" s="23" t="n">
        <x:v>46697</x:v>
      </x:c>
      <x:c r="D938" s="20" t="str">
        <x:v>TenantCharge</x:v>
      </x:c>
      <x:c r="E938" s="20" t="str">
        <x:v>Late fee</x:v>
      </x:c>
      <x:c r="F938" s="20" t="str">
        <x:v>P029</x:v>
      </x:c>
      <x:c r="G938" s="20" t="str">
        <x:v>U038</x:v>
      </x:c>
      <x:c r="H938" s="20" t="str">
        <x:v>L044</x:v>
      </x:c>
      <x:c r="I938" s="20" t="str">
        <x:v>Keira Adams</x:v>
      </x:c>
      <x:c r="J938" s="35" t="str">
        <x:v>System automation</x:v>
      </x:c>
      <x:c r="K938" s="20" t="str"/>
      <x:c r="L938" s="20" t="str">
        <x:v>LATE-202711-L044</x:v>
      </x:c>
      <x:c r="M938" s="26" t="n">
        <x:v>50</x:v>
      </x:c>
      <x:c r="N938" s="26" t="n">
        <x:v>50</x:v>
      </x:c>
      <x:c r="O938" s="26" t="n">
        <x:v>0</x:v>
      </x:c>
      <x:c r="P938" s="26" t="n">
        <x:v>0</x:v>
      </x:c>
      <x:c r="Q938" s="26" t="n">
        <x:v>0</x:v>
      </x:c>
      <x:c r="R938" s="26" t="n">
        <x:v>0</x:v>
      </x:c>
      <x:c r="S938" s="26" t="n">
        <x:v>0</x:v>
      </x:c>
      <x:c r="T938" s="26" t="n">
        <x:v>50</x:v>
      </x:c>
      <x:c r="U938" s="26" t="n">
        <x:v>0</x:v>
      </x:c>
      <x:c r="V938" s="26" t="n">
        <x:v>0</x:v>
      </x:c>
      <x:c r="W938" s="26" t="n">
        <x:v>0</x:v>
      </x:c>
      <x:c r="X938" s="26" t="n">
        <x:v>0</x:v>
      </x:c>
      <x:c r="Y938" s="26" t="n">
        <x:v>0</x:v>
      </x:c>
      <x:c r="Z938" s="35" t="str">
        <x:v>Synthetic lease-authorized late fee after partial payment</x:v>
      </x:c>
    </x:row>
    <x:row r="939">
      <x:c r="A939" s="20" t="str">
        <x:v>FIN-00936</x:v>
      </x:c>
      <x:c r="B939" s="23" t="n">
        <x:v>46703</x:v>
      </x:c>
      <x:c r="C939" s="23" t="n">
        <x:v>46703</x:v>
      </x:c>
      <x:c r="D939" s="20" t="str">
        <x:v>TenantReceipt</x:v>
      </x:c>
      <x:c r="E939" s="20" t="str">
        <x:v>Rent receipt</x:v>
      </x:c>
      <x:c r="F939" s="20" t="str">
        <x:v>P029</x:v>
      </x:c>
      <x:c r="G939" s="20" t="str">
        <x:v>U038</x:v>
      </x:c>
      <x:c r="H939" s="20" t="str">
        <x:v>L044</x:v>
      </x:c>
      <x:c r="I939" s="20" t="str">
        <x:v>Keira Adams</x:v>
      </x:c>
      <x:c r="J939" s="35" t="str">
        <x:v>Manual ACH</x:v>
      </x:c>
      <x:c r="K939" s="20" t="str"/>
      <x:c r="L939" s="20" t="str">
        <x:v>PMT-20271112-L044-B</x:v>
      </x:c>
      <x:c r="M939" s="26" t="n">
        <x:v>570</x:v>
      </x:c>
      <x:c r="N939" s="26" t="n">
        <x:v>-570</x:v>
      </x:c>
      <x:c r="O939" s="26" t="n">
        <x:v>570</x:v>
      </x:c>
      <x:c r="P939" s="26" t="n">
        <x:v>0</x:v>
      </x:c>
      <x:c r="Q939" s="26" t="n">
        <x:v>0</x:v>
      </x:c>
      <x:c r="R939" s="26" t="n">
        <x:v>0</x:v>
      </x:c>
      <x:c r="S939" s="26" t="n">
        <x:v>0</x:v>
      </x:c>
      <x:c r="T939" s="26" t="n">
        <x:v>0</x:v>
      </x:c>
      <x:c r="U939" s="26" t="n">
        <x:v>0</x:v>
      </x:c>
      <x:c r="V939" s="26" t="n">
        <x:v>0</x:v>
      </x:c>
      <x:c r="W939" s="26" t="n">
        <x:v>0</x:v>
      </x:c>
      <x:c r="X939" s="26" t="n">
        <x:v>0</x:v>
      </x:c>
      <x:c r="Y939" s="26" t="n">
        <x:v>0</x:v>
      </x:c>
      <x:c r="Z939" s="35" t="str">
        <x:v>Receipt allocated to FIN-00935</x:v>
      </x:c>
    </x:row>
    <x:row r="940">
      <x:c r="A940" s="20" t="str">
        <x:v>FIN-00937</x:v>
      </x:c>
      <x:c r="B940" s="23" t="n">
        <x:v>46692</x:v>
      </x:c>
      <x:c r="C940" s="23" t="n">
        <x:v>46692</x:v>
      </x:c>
      <x:c r="D940" s="20" t="str">
        <x:v>TenantCharge</x:v>
      </x:c>
      <x:c r="E940" s="20" t="str">
        <x:v>Rent</x:v>
      </x:c>
      <x:c r="F940" s="20" t="str">
        <x:v>P030</x:v>
      </x:c>
      <x:c r="G940" s="20" t="str">
        <x:v>U039</x:v>
      </x:c>
      <x:c r="H940" s="20" t="str">
        <x:v>L045</x:v>
      </x:c>
      <x:c r="I940" s="20" t="str">
        <x:v>Nolan Flores</x:v>
      </x:c>
      <x:c r="J940" s="35" t="str">
        <x:v>System scheduled charge</x:v>
      </x:c>
      <x:c r="K940" s="20" t="str"/>
      <x:c r="L940" s="20" t="str">
        <x:v>RENT-202711-L045</x:v>
      </x:c>
      <x:c r="M940" s="26" t="n">
        <x:v>1825</x:v>
      </x:c>
      <x:c r="N940" s="26" t="n">
        <x:v>1825</x:v>
      </x:c>
      <x:c r="O940" s="26" t="n">
        <x:v>0</x:v>
      </x:c>
      <x:c r="P940" s="26" t="n">
        <x:v>0</x:v>
      </x:c>
      <x:c r="Q940" s="26" t="n">
        <x:v>0</x:v>
      </x:c>
      <x:c r="R940" s="26" t="n">
        <x:v>0</x:v>
      </x:c>
      <x:c r="S940" s="26" t="n">
        <x:v>0</x:v>
      </x:c>
      <x:c r="T940" s="26" t="n">
        <x:v>1825</x:v>
      </x:c>
      <x:c r="U940" s="26" t="n">
        <x:v>0</x:v>
      </x:c>
      <x:c r="V940" s="26" t="n">
        <x:v>0</x:v>
      </x:c>
      <x:c r="W940" s="26" t="n">
        <x:v>0</x:v>
      </x:c>
      <x:c r="X940" s="26" t="n">
        <x:v>0</x:v>
      </x:c>
      <x:c r="Y940" s="26" t="n">
        <x:v>0</x:v>
      </x:c>
      <x:c r="Z940" s="35" t="str">
        <x:v>November 2027 rent</x:v>
      </x:c>
    </x:row>
    <x:row r="941">
      <x:c r="A941" s="20" t="str">
        <x:v>FIN-00938</x:v>
      </x:c>
      <x:c r="B941" s="23" t="n">
        <x:v>46694</x:v>
      </x:c>
      <x:c r="C941" s="23" t="n">
        <x:v>46694</x:v>
      </x:c>
      <x:c r="D941" s="20" t="str">
        <x:v>TenantReceipt</x:v>
      </x:c>
      <x:c r="E941" s="20" t="str">
        <x:v>Rent receipt</x:v>
      </x:c>
      <x:c r="F941" s="20" t="str">
        <x:v>P030</x:v>
      </x:c>
      <x:c r="G941" s="20" t="str">
        <x:v>U039</x:v>
      </x:c>
      <x:c r="H941" s="20" t="str">
        <x:v>L045</x:v>
      </x:c>
      <x:c r="I941" s="20" t="str">
        <x:v>Nolan Flores</x:v>
      </x:c>
      <x:c r="J941" s="35" t="str">
        <x:v>Scanned money order</x:v>
      </x:c>
      <x:c r="K941" s="20" t="str">
        <x:v>SCN-0324</x:v>
      </x:c>
      <x:c r="L941" s="20" t="str">
        <x:v>PMT-20271103-L045</x:v>
      </x:c>
      <x:c r="M941" s="26" t="n">
        <x:v>1825</x:v>
      </x:c>
      <x:c r="N941" s="26" t="n">
        <x:v>-1825</x:v>
      </x:c>
      <x:c r="O941" s="26" t="n">
        <x:v>1825</x:v>
      </x:c>
      <x:c r="P941" s="26" t="n">
        <x:v>0</x:v>
      </x:c>
      <x:c r="Q941" s="26" t="n">
        <x:v>0</x:v>
      </x:c>
      <x:c r="R941" s="26" t="n">
        <x:v>0</x:v>
      </x:c>
      <x:c r="S941" s="26" t="n">
        <x:v>0</x:v>
      </x:c>
      <x:c r="T941" s="26" t="n">
        <x:v>0</x:v>
      </x:c>
      <x:c r="U941" s="26" t="n">
        <x:v>0</x:v>
      </x:c>
      <x:c r="V941" s="26" t="n">
        <x:v>0</x:v>
      </x:c>
      <x:c r="W941" s="26" t="n">
        <x:v>0</x:v>
      </x:c>
      <x:c r="X941" s="26" t="n">
        <x:v>0</x:v>
      </x:c>
      <x:c r="Y941" s="26" t="n">
        <x:v>0</x:v>
      </x:c>
      <x:c r="Z941" s="35" t="str">
        <x:v>Receipt allocated to FIN-00937</x:v>
      </x:c>
    </x:row>
    <x:row r="942">
      <x:c r="A942" s="20" t="str">
        <x:v>FIN-00939</x:v>
      </x:c>
      <x:c r="B942" s="23" t="n">
        <x:v>46722</x:v>
      </x:c>
      <x:c r="C942" s="23" t="n">
        <x:v>46722</x:v>
      </x:c>
      <x:c r="D942" s="20" t="str">
        <x:v>TenantCharge</x:v>
      </x:c>
      <x:c r="E942" s="20" t="str">
        <x:v>Rent</x:v>
      </x:c>
      <x:c r="F942" s="20" t="str">
        <x:v>P001</x:v>
      </x:c>
      <x:c r="G942" s="20" t="str">
        <x:v>U001</x:v>
      </x:c>
      <x:c r="H942" s="20" t="str">
        <x:v>L001</x:v>
      </x:c>
      <x:c r="I942" s="20" t="str">
        <x:v>Dana Garcia</x:v>
      </x:c>
      <x:c r="J942" s="35" t="str">
        <x:v>System scheduled charge</x:v>
      </x:c>
      <x:c r="K942" s="20" t="str"/>
      <x:c r="L942" s="20" t="str">
        <x:v>RENT-202712-L001</x:v>
      </x:c>
      <x:c r="M942" s="26" t="n">
        <x:v>1575</x:v>
      </x:c>
      <x:c r="N942" s="26" t="n">
        <x:v>1575</x:v>
      </x:c>
      <x:c r="O942" s="26" t="n">
        <x:v>0</x:v>
      </x:c>
      <x:c r="P942" s="26" t="n">
        <x:v>0</x:v>
      </x:c>
      <x:c r="Q942" s="26" t="n">
        <x:v>0</x:v>
      </x:c>
      <x:c r="R942" s="26" t="n">
        <x:v>0</x:v>
      </x:c>
      <x:c r="S942" s="26" t="n">
        <x:v>0</x:v>
      </x:c>
      <x:c r="T942" s="26" t="n">
        <x:v>1575</x:v>
      </x:c>
      <x:c r="U942" s="26" t="n">
        <x:v>0</x:v>
      </x:c>
      <x:c r="V942" s="26" t="n">
        <x:v>0</x:v>
      </x:c>
      <x:c r="W942" s="26" t="n">
        <x:v>0</x:v>
      </x:c>
      <x:c r="X942" s="26" t="n">
        <x:v>0</x:v>
      </x:c>
      <x:c r="Y942" s="26" t="n">
        <x:v>0</x:v>
      </x:c>
      <x:c r="Z942" s="35" t="str">
        <x:v>December 2027 rent</x:v>
      </x:c>
    </x:row>
    <x:row r="943">
      <x:c r="A943" s="20" t="str">
        <x:v>FIN-00940</x:v>
      </x:c>
      <x:c r="B943" s="23" t="n">
        <x:v>46725</x:v>
      </x:c>
      <x:c r="C943" s="23" t="n">
        <x:v>46725</x:v>
      </x:c>
      <x:c r="D943" s="20" t="str">
        <x:v>TenantReceipt</x:v>
      </x:c>
      <x:c r="E943" s="20" t="str">
        <x:v>Rent receipt</x:v>
      </x:c>
      <x:c r="F943" s="20" t="str">
        <x:v>P001</x:v>
      </x:c>
      <x:c r="G943" s="20" t="str">
        <x:v>U001</x:v>
      </x:c>
      <x:c r="H943" s="20" t="str">
        <x:v>L001</x:v>
      </x:c>
      <x:c r="I943" s="20" t="str">
        <x:v>Dana Garcia</x:v>
      </x:c>
      <x:c r="J943" s="35" t="str">
        <x:v>Scanned money order</x:v>
      </x:c>
      <x:c r="K943" s="20" t="str">
        <x:v>SCN-0325</x:v>
      </x:c>
      <x:c r="L943" s="20" t="str">
        <x:v>PMT-20271204-L001</x:v>
      </x:c>
      <x:c r="M943" s="26" t="n">
        <x:v>1575</x:v>
      </x:c>
      <x:c r="N943" s="26" t="n">
        <x:v>-1575</x:v>
      </x:c>
      <x:c r="O943" s="26" t="n">
        <x:v>1575</x:v>
      </x:c>
      <x:c r="P943" s="26" t="n">
        <x:v>0</x:v>
      </x:c>
      <x:c r="Q943" s="26" t="n">
        <x:v>0</x:v>
      </x:c>
      <x:c r="R943" s="26" t="n">
        <x:v>0</x:v>
      </x:c>
      <x:c r="S943" s="26" t="n">
        <x:v>0</x:v>
      </x:c>
      <x:c r="T943" s="26" t="n">
        <x:v>0</x:v>
      </x:c>
      <x:c r="U943" s="26" t="n">
        <x:v>0</x:v>
      </x:c>
      <x:c r="V943" s="26" t="n">
        <x:v>0</x:v>
      </x:c>
      <x:c r="W943" s="26" t="n">
        <x:v>0</x:v>
      </x:c>
      <x:c r="X943" s="26" t="n">
        <x:v>0</x:v>
      </x:c>
      <x:c r="Y943" s="26" t="n">
        <x:v>0</x:v>
      </x:c>
      <x:c r="Z943" s="35" t="str">
        <x:v>Receipt allocated to FIN-00939</x:v>
      </x:c>
    </x:row>
    <x:row r="944">
      <x:c r="A944" s="20" t="str">
        <x:v>FIN-00941</x:v>
      </x:c>
      <x:c r="B944" s="23" t="n">
        <x:v>46722</x:v>
      </x:c>
      <x:c r="C944" s="23" t="n">
        <x:v>46722</x:v>
      </x:c>
      <x:c r="D944" s="20" t="str">
        <x:v>TenantCharge</x:v>
      </x:c>
      <x:c r="E944" s="20" t="str">
        <x:v>Rent</x:v>
      </x:c>
      <x:c r="F944" s="20" t="str">
        <x:v>P002</x:v>
      </x:c>
      <x:c r="G944" s="20" t="str">
        <x:v>U002</x:v>
      </x:c>
      <x:c r="H944" s="20" t="str">
        <x:v>L002</x:v>
      </x:c>
      <x:c r="I944" s="20" t="str">
        <x:v>Gray Lewis</x:v>
      </x:c>
      <x:c r="J944" s="35" t="str">
        <x:v>System scheduled charge</x:v>
      </x:c>
      <x:c r="K944" s="20" t="str"/>
      <x:c r="L944" s="20" t="str">
        <x:v>RENT-202712-L002</x:v>
      </x:c>
      <x:c r="M944" s="26" t="n">
        <x:v>1200</x:v>
      </x:c>
      <x:c r="N944" s="26" t="n">
        <x:v>1200</x:v>
      </x:c>
      <x:c r="O944" s="26" t="n">
        <x:v>0</x:v>
      </x:c>
      <x:c r="P944" s="26" t="n">
        <x:v>0</x:v>
      </x:c>
      <x:c r="Q944" s="26" t="n">
        <x:v>0</x:v>
      </x:c>
      <x:c r="R944" s="26" t="n">
        <x:v>0</x:v>
      </x:c>
      <x:c r="S944" s="26" t="n">
        <x:v>0</x:v>
      </x:c>
      <x:c r="T944" s="26" t="n">
        <x:v>1200</x:v>
      </x:c>
      <x:c r="U944" s="26" t="n">
        <x:v>0</x:v>
      </x:c>
      <x:c r="V944" s="26" t="n">
        <x:v>0</x:v>
      </x:c>
      <x:c r="W944" s="26" t="n">
        <x:v>0</x:v>
      </x:c>
      <x:c r="X944" s="26" t="n">
        <x:v>0</x:v>
      </x:c>
      <x:c r="Y944" s="26" t="n">
        <x:v>0</x:v>
      </x:c>
      <x:c r="Z944" s="35" t="str">
        <x:v>December 2027 rent</x:v>
      </x:c>
    </x:row>
    <x:row r="945">
      <x:c r="A945" s="20" t="str">
        <x:v>FIN-00942</x:v>
      </x:c>
      <x:c r="B945" s="23" t="n">
        <x:v>46726</x:v>
      </x:c>
      <x:c r="C945" s="23" t="n">
        <x:v>46726</x:v>
      </x:c>
      <x:c r="D945" s="20" t="str">
        <x:v>TenantReceipt</x:v>
      </x:c>
      <x:c r="E945" s="20" t="str">
        <x:v>Rent receipt</x:v>
      </x:c>
      <x:c r="F945" s="20" t="str">
        <x:v>P002</x:v>
      </x:c>
      <x:c r="G945" s="20" t="str">
        <x:v>U002</x:v>
      </x:c>
      <x:c r="H945" s="20" t="str">
        <x:v>L002</x:v>
      </x:c>
      <x:c r="I945" s="20" t="str">
        <x:v>Gray Lewis</x:v>
      </x:c>
      <x:c r="J945" s="35" t="str">
        <x:v>Manual ACH</x:v>
      </x:c>
      <x:c r="K945" s="20" t="str"/>
      <x:c r="L945" s="20" t="str">
        <x:v>PMT-20271205-L002</x:v>
      </x:c>
      <x:c r="M945" s="26" t="n">
        <x:v>1200</x:v>
      </x:c>
      <x:c r="N945" s="26" t="n">
        <x:v>-1200</x:v>
      </x:c>
      <x:c r="O945" s="26" t="n">
        <x:v>1200</x:v>
      </x:c>
      <x:c r="P945" s="26" t="n">
        <x:v>0</x:v>
      </x:c>
      <x:c r="Q945" s="26" t="n">
        <x:v>0</x:v>
      </x:c>
      <x:c r="R945" s="26" t="n">
        <x:v>0</x:v>
      </x:c>
      <x:c r="S945" s="26" t="n">
        <x:v>0</x:v>
      </x:c>
      <x:c r="T945" s="26" t="n">
        <x:v>0</x:v>
      </x:c>
      <x:c r="U945" s="26" t="n">
        <x:v>0</x:v>
      </x:c>
      <x:c r="V945" s="26" t="n">
        <x:v>0</x:v>
      </x:c>
      <x:c r="W945" s="26" t="n">
        <x:v>0</x:v>
      </x:c>
      <x:c r="X945" s="26" t="n">
        <x:v>0</x:v>
      </x:c>
      <x:c r="Y945" s="26" t="n">
        <x:v>0</x:v>
      </x:c>
      <x:c r="Z945" s="35" t="str">
        <x:v>Receipt allocated to FIN-00941</x:v>
      </x:c>
    </x:row>
    <x:row r="946">
      <x:c r="A946" s="20" t="str">
        <x:v>FIN-00943</x:v>
      </x:c>
      <x:c r="B946" s="23" t="n">
        <x:v>46722</x:v>
      </x:c>
      <x:c r="C946" s="23" t="n">
        <x:v>46722</x:v>
      </x:c>
      <x:c r="D946" s="20" t="str">
        <x:v>TenantCharge</x:v>
      </x:c>
      <x:c r="E946" s="20" t="str">
        <x:v>Rent</x:v>
      </x:c>
      <x:c r="F946" s="20" t="str">
        <x:v>P004</x:v>
      </x:c>
      <x:c r="G946" s="20" t="str">
        <x:v>U004</x:v>
      </x:c>
      <x:c r="H946" s="20" t="str">
        <x:v>L004</x:v>
      </x:c>
      <x:c r="I946" s="20" t="str">
        <x:v>Morgan Adams</x:v>
      </x:c>
      <x:c r="J946" s="35" t="str">
        <x:v>System scheduled charge</x:v>
      </x:c>
      <x:c r="K946" s="20" t="str"/>
      <x:c r="L946" s="20" t="str">
        <x:v>RENT-202712-L004</x:v>
      </x:c>
      <x:c r="M946" s="26" t="n">
        <x:v>1350</x:v>
      </x:c>
      <x:c r="N946" s="26" t="n">
        <x:v>1350</x:v>
      </x:c>
      <x:c r="O946" s="26" t="n">
        <x:v>0</x:v>
      </x:c>
      <x:c r="P946" s="26" t="n">
        <x:v>0</x:v>
      </x:c>
      <x:c r="Q946" s="26" t="n">
        <x:v>0</x:v>
      </x:c>
      <x:c r="R946" s="26" t="n">
        <x:v>0</x:v>
      </x:c>
      <x:c r="S946" s="26" t="n">
        <x:v>0</x:v>
      </x:c>
      <x:c r="T946" s="26" t="n">
        <x:v>1350</x:v>
      </x:c>
      <x:c r="U946" s="26" t="n">
        <x:v>0</x:v>
      </x:c>
      <x:c r="V946" s="26" t="n">
        <x:v>0</x:v>
      </x:c>
      <x:c r="W946" s="26" t="n">
        <x:v>0</x:v>
      </x:c>
      <x:c r="X946" s="26" t="n">
        <x:v>0</x:v>
      </x:c>
      <x:c r="Y946" s="26" t="n">
        <x:v>0</x:v>
      </x:c>
      <x:c r="Z946" s="35" t="str">
        <x:v>December 2027 rent</x:v>
      </x:c>
    </x:row>
    <x:row r="947">
      <x:c r="A947" s="20" t="str">
        <x:v>FIN-00944</x:v>
      </x:c>
      <x:c r="B947" s="23" t="n">
        <x:v>46725</x:v>
      </x:c>
      <x:c r="C947" s="23" t="n">
        <x:v>46725</x:v>
      </x:c>
      <x:c r="D947" s="20" t="str">
        <x:v>TenantReceipt</x:v>
      </x:c>
      <x:c r="E947" s="20" t="str">
        <x:v>Rent receipt</x:v>
      </x:c>
      <x:c r="F947" s="20" t="str">
        <x:v>P004</x:v>
      </x:c>
      <x:c r="G947" s="20" t="str">
        <x:v>U004</x:v>
      </x:c>
      <x:c r="H947" s="20" t="str">
        <x:v>L004</x:v>
      </x:c>
      <x:c r="I947" s="20" t="str">
        <x:v>Morgan Adams</x:v>
      </x:c>
      <x:c r="J947" s="35" t="str">
        <x:v>Scanned check</x:v>
      </x:c>
      <x:c r="K947" s="20" t="str">
        <x:v>SCN-0326</x:v>
      </x:c>
      <x:c r="L947" s="20" t="str">
        <x:v>PMT-20271204-L004</x:v>
      </x:c>
      <x:c r="M947" s="26" t="n">
        <x:v>1350</x:v>
      </x:c>
      <x:c r="N947" s="26" t="n">
        <x:v>-1350</x:v>
      </x:c>
      <x:c r="O947" s="26" t="n">
        <x:v>1350</x:v>
      </x:c>
      <x:c r="P947" s="26" t="n">
        <x:v>0</x:v>
      </x:c>
      <x:c r="Q947" s="26" t="n">
        <x:v>0</x:v>
      </x:c>
      <x:c r="R947" s="26" t="n">
        <x:v>0</x:v>
      </x:c>
      <x:c r="S947" s="26" t="n">
        <x:v>0</x:v>
      </x:c>
      <x:c r="T947" s="26" t="n">
        <x:v>0</x:v>
      </x:c>
      <x:c r="U947" s="26" t="n">
        <x:v>0</x:v>
      </x:c>
      <x:c r="V947" s="26" t="n">
        <x:v>0</x:v>
      </x:c>
      <x:c r="W947" s="26" t="n">
        <x:v>0</x:v>
      </x:c>
      <x:c r="X947" s="26" t="n">
        <x:v>0</x:v>
      </x:c>
      <x:c r="Y947" s="26" t="n">
        <x:v>0</x:v>
      </x:c>
      <x:c r="Z947" s="35" t="str">
        <x:v>Receipt allocated to FIN-00943</x:v>
      </x:c>
    </x:row>
    <x:row r="948">
      <x:c r="A948" s="20" t="str">
        <x:v>FIN-00945</x:v>
      </x:c>
      <x:c r="B948" s="23" t="n">
        <x:v>46722</x:v>
      </x:c>
      <x:c r="C948" s="23" t="n">
        <x:v>46722</x:v>
      </x:c>
      <x:c r="D948" s="20" t="str">
        <x:v>TenantCharge</x:v>
      </x:c>
      <x:c r="E948" s="20" t="str">
        <x:v>Rent</x:v>
      </x:c>
      <x:c r="F948" s="20" t="str">
        <x:v>P006</x:v>
      </x:c>
      <x:c r="G948" s="20" t="str">
        <x:v>U006</x:v>
      </x:c>
      <x:c r="H948" s="20" t="str">
        <x:v>L006</x:v>
      </x:c>
      <x:c r="I948" s="20" t="str">
        <x:v>Sage King</x:v>
      </x:c>
      <x:c r="J948" s="35" t="str">
        <x:v>System scheduled charge</x:v>
      </x:c>
      <x:c r="K948" s="20" t="str"/>
      <x:c r="L948" s="20" t="str">
        <x:v>RENT-202712-L006</x:v>
      </x:c>
      <x:c r="M948" s="26" t="n">
        <x:v>1500</x:v>
      </x:c>
      <x:c r="N948" s="26" t="n">
        <x:v>1500</x:v>
      </x:c>
      <x:c r="O948" s="26" t="n">
        <x:v>0</x:v>
      </x:c>
      <x:c r="P948" s="26" t="n">
        <x:v>0</x:v>
      </x:c>
      <x:c r="Q948" s="26" t="n">
        <x:v>0</x:v>
      </x:c>
      <x:c r="R948" s="26" t="n">
        <x:v>0</x:v>
      </x:c>
      <x:c r="S948" s="26" t="n">
        <x:v>0</x:v>
      </x:c>
      <x:c r="T948" s="26" t="n">
        <x:v>1500</x:v>
      </x:c>
      <x:c r="U948" s="26" t="n">
        <x:v>0</x:v>
      </x:c>
      <x:c r="V948" s="26" t="n">
        <x:v>0</x:v>
      </x:c>
      <x:c r="W948" s="26" t="n">
        <x:v>0</x:v>
      </x:c>
      <x:c r="X948" s="26" t="n">
        <x:v>0</x:v>
      </x:c>
      <x:c r="Y948" s="26" t="n">
        <x:v>0</x:v>
      </x:c>
      <x:c r="Z948" s="35" t="str">
        <x:v>December 2027 rent</x:v>
      </x:c>
    </x:row>
    <x:row r="949">
      <x:c r="A949" s="20" t="str">
        <x:v>FIN-00946</x:v>
      </x:c>
      <x:c r="B949" s="23" t="n">
        <x:v>46724</x:v>
      </x:c>
      <x:c r="C949" s="23" t="n">
        <x:v>46724</x:v>
      </x:c>
      <x:c r="D949" s="20" t="str">
        <x:v>TenantReceipt</x:v>
      </x:c>
      <x:c r="E949" s="20" t="str">
        <x:v>Rent receipt</x:v>
      </x:c>
      <x:c r="F949" s="20" t="str">
        <x:v>P006</x:v>
      </x:c>
      <x:c r="G949" s="20" t="str">
        <x:v>U006</x:v>
      </x:c>
      <x:c r="H949" s="20" t="str">
        <x:v>L006</x:v>
      </x:c>
      <x:c r="I949" s="20" t="str">
        <x:v>Sage King</x:v>
      </x:c>
      <x:c r="J949" s="35" t="str">
        <x:v>Manual ACH</x:v>
      </x:c>
      <x:c r="K949" s="20" t="str"/>
      <x:c r="L949" s="20" t="str">
        <x:v>PMT-20271203-L006</x:v>
      </x:c>
      <x:c r="M949" s="26" t="n">
        <x:v>1500</x:v>
      </x:c>
      <x:c r="N949" s="26" t="n">
        <x:v>-1500</x:v>
      </x:c>
      <x:c r="O949" s="26" t="n">
        <x:v>1500</x:v>
      </x:c>
      <x:c r="P949" s="26" t="n">
        <x:v>0</x:v>
      </x:c>
      <x:c r="Q949" s="26" t="n">
        <x:v>0</x:v>
      </x:c>
      <x:c r="R949" s="26" t="n">
        <x:v>0</x:v>
      </x:c>
      <x:c r="S949" s="26" t="n">
        <x:v>0</x:v>
      </x:c>
      <x:c r="T949" s="26" t="n">
        <x:v>0</x:v>
      </x:c>
      <x:c r="U949" s="26" t="n">
        <x:v>0</x:v>
      </x:c>
      <x:c r="V949" s="26" t="n">
        <x:v>0</x:v>
      </x:c>
      <x:c r="W949" s="26" t="n">
        <x:v>0</x:v>
      </x:c>
      <x:c r="X949" s="26" t="n">
        <x:v>0</x:v>
      </x:c>
      <x:c r="Y949" s="26" t="n">
        <x:v>0</x:v>
      </x:c>
      <x:c r="Z949" s="35" t="str">
        <x:v>Receipt allocated to FIN-00945</x:v>
      </x:c>
    </x:row>
    <x:row r="950">
      <x:c r="A950" s="20" t="str">
        <x:v>FIN-00947</x:v>
      </x:c>
      <x:c r="B950" s="23" t="n">
        <x:v>46722</x:v>
      </x:c>
      <x:c r="C950" s="23" t="n">
        <x:v>46722</x:v>
      </x:c>
      <x:c r="D950" s="20" t="str">
        <x:v>TenantCharge</x:v>
      </x:c>
      <x:c r="E950" s="20" t="str">
        <x:v>Rent</x:v>
      </x:c>
      <x:c r="F950" s="20" t="str">
        <x:v>P007</x:v>
      </x:c>
      <x:c r="G950" s="20" t="str">
        <x:v>U007</x:v>
      </x:c>
      <x:c r="H950" s="20" t="str">
        <x:v>L007</x:v>
      </x:c>
      <x:c r="I950" s="20" t="str">
        <x:v>Val Price</x:v>
      </x:c>
      <x:c r="J950" s="35" t="str">
        <x:v>System scheduled charge</x:v>
      </x:c>
      <x:c r="K950" s="20" t="str"/>
      <x:c r="L950" s="20" t="str">
        <x:v>RENT-202712-L007</x:v>
      </x:c>
      <x:c r="M950" s="26" t="n">
        <x:v>1125</x:v>
      </x:c>
      <x:c r="N950" s="26" t="n">
        <x:v>1125</x:v>
      </x:c>
      <x:c r="O950" s="26" t="n">
        <x:v>0</x:v>
      </x:c>
      <x:c r="P950" s="26" t="n">
        <x:v>0</x:v>
      </x:c>
      <x:c r="Q950" s="26" t="n">
        <x:v>0</x:v>
      </x:c>
      <x:c r="R950" s="26" t="n">
        <x:v>0</x:v>
      </x:c>
      <x:c r="S950" s="26" t="n">
        <x:v>0</x:v>
      </x:c>
      <x:c r="T950" s="26" t="n">
        <x:v>1125</x:v>
      </x:c>
      <x:c r="U950" s="26" t="n">
        <x:v>0</x:v>
      </x:c>
      <x:c r="V950" s="26" t="n">
        <x:v>0</x:v>
      </x:c>
      <x:c r="W950" s="26" t="n">
        <x:v>0</x:v>
      </x:c>
      <x:c r="X950" s="26" t="n">
        <x:v>0</x:v>
      </x:c>
      <x:c r="Y950" s="26" t="n">
        <x:v>0</x:v>
      </x:c>
      <x:c r="Z950" s="35" t="str">
        <x:v>December 2027 rent</x:v>
      </x:c>
    </x:row>
    <x:row r="951">
      <x:c r="A951" s="20" t="str">
        <x:v>FIN-00948</x:v>
      </x:c>
      <x:c r="B951" s="23" t="n">
        <x:v>46725</x:v>
      </x:c>
      <x:c r="C951" s="23" t="n">
        <x:v>46725</x:v>
      </x:c>
      <x:c r="D951" s="20" t="str">
        <x:v>TenantReceipt</x:v>
      </x:c>
      <x:c r="E951" s="20" t="str">
        <x:v>Rent receipt</x:v>
      </x:c>
      <x:c r="F951" s="20" t="str">
        <x:v>P007</x:v>
      </x:c>
      <x:c r="G951" s="20" t="str">
        <x:v>U007</x:v>
      </x:c>
      <x:c r="H951" s="20" t="str">
        <x:v>L007</x:v>
      </x:c>
      <x:c r="I951" s="20" t="str">
        <x:v>Val Price</x:v>
      </x:c>
      <x:c r="J951" s="35" t="str">
        <x:v>Portal card</x:v>
      </x:c>
      <x:c r="K951" s="20" t="str"/>
      <x:c r="L951" s="20" t="str">
        <x:v>PMT-20271204-L007</x:v>
      </x:c>
      <x:c r="M951" s="26" t="n">
        <x:v>1125</x:v>
      </x:c>
      <x:c r="N951" s="26" t="n">
        <x:v>-1125</x:v>
      </x:c>
      <x:c r="O951" s="26" t="n">
        <x:v>1125</x:v>
      </x:c>
      <x:c r="P951" s="26" t="n">
        <x:v>0</x:v>
      </x:c>
      <x:c r="Q951" s="26" t="n">
        <x:v>0</x:v>
      </x:c>
      <x:c r="R951" s="26" t="n">
        <x:v>0</x:v>
      </x:c>
      <x:c r="S951" s="26" t="n">
        <x:v>0</x:v>
      </x:c>
      <x:c r="T951" s="26" t="n">
        <x:v>0</x:v>
      </x:c>
      <x:c r="U951" s="26" t="n">
        <x:v>0</x:v>
      </x:c>
      <x:c r="V951" s="26" t="n">
        <x:v>0</x:v>
      </x:c>
      <x:c r="W951" s="26" t="n">
        <x:v>0</x:v>
      </x:c>
      <x:c r="X951" s="26" t="n">
        <x:v>0</x:v>
      </x:c>
      <x:c r="Y951" s="26" t="n">
        <x:v>0</x:v>
      </x:c>
      <x:c r="Z951" s="35" t="str">
        <x:v>Receipt allocated to FIN-00947</x:v>
      </x:c>
    </x:row>
    <x:row r="952">
      <x:c r="A952" s="20" t="str">
        <x:v>FIN-00949</x:v>
      </x:c>
      <x:c r="B952" s="23" t="n">
        <x:v>46722</x:v>
      </x:c>
      <x:c r="C952" s="23" t="n">
        <x:v>46722</x:v>
      </x:c>
      <x:c r="D952" s="20" t="str">
        <x:v>TenantCharge</x:v>
      </x:c>
      <x:c r="E952" s="20" t="str">
        <x:v>Rent</x:v>
      </x:c>
      <x:c r="F952" s="20" t="str">
        <x:v>P009</x:v>
      </x:c>
      <x:c r="G952" s="20" t="str">
        <x:v>U009</x:v>
      </x:c>
      <x:c r="H952" s="20" t="str">
        <x:v>L009</x:v>
      </x:c>
      <x:c r="I952" s="20" t="str">
        <x:v>Bennett Garcia</x:v>
      </x:c>
      <x:c r="J952" s="35" t="str">
        <x:v>System scheduled charge</x:v>
      </x:c>
      <x:c r="K952" s="20" t="str"/>
      <x:c r="L952" s="20" t="str">
        <x:v>RENT-202712-L009</x:v>
      </x:c>
      <x:c r="M952" s="26" t="n">
        <x:v>1275</x:v>
      </x:c>
      <x:c r="N952" s="26" t="n">
        <x:v>1275</x:v>
      </x:c>
      <x:c r="O952" s="26" t="n">
        <x:v>0</x:v>
      </x:c>
      <x:c r="P952" s="26" t="n">
        <x:v>0</x:v>
      </x:c>
      <x:c r="Q952" s="26" t="n">
        <x:v>0</x:v>
      </x:c>
      <x:c r="R952" s="26" t="n">
        <x:v>0</x:v>
      </x:c>
      <x:c r="S952" s="26" t="n">
        <x:v>0</x:v>
      </x:c>
      <x:c r="T952" s="26" t="n">
        <x:v>1275</x:v>
      </x:c>
      <x:c r="U952" s="26" t="n">
        <x:v>0</x:v>
      </x:c>
      <x:c r="V952" s="26" t="n">
        <x:v>0</x:v>
      </x:c>
      <x:c r="W952" s="26" t="n">
        <x:v>0</x:v>
      </x:c>
      <x:c r="X952" s="26" t="n">
        <x:v>0</x:v>
      </x:c>
      <x:c r="Y952" s="26" t="n">
        <x:v>0</x:v>
      </x:c>
      <x:c r="Z952" s="35" t="str">
        <x:v>December 2027 rent</x:v>
      </x:c>
    </x:row>
    <x:row r="953">
      <x:c r="A953" s="20" t="str">
        <x:v>FIN-00950</x:v>
      </x:c>
      <x:c r="B953" s="23" t="n">
        <x:v>46724</x:v>
      </x:c>
      <x:c r="C953" s="23" t="n">
        <x:v>46724</x:v>
      </x:c>
      <x:c r="D953" s="20" t="str">
        <x:v>TenantReceipt</x:v>
      </x:c>
      <x:c r="E953" s="20" t="str">
        <x:v>Rent receipt</x:v>
      </x:c>
      <x:c r="F953" s="20" t="str">
        <x:v>P009</x:v>
      </x:c>
      <x:c r="G953" s="20" t="str">
        <x:v>U009</x:v>
      </x:c>
      <x:c r="H953" s="20" t="str">
        <x:v>L009</x:v>
      </x:c>
      <x:c r="I953" s="20" t="str">
        <x:v>Bennett Garcia</x:v>
      </x:c>
      <x:c r="J953" s="35" t="str">
        <x:v>Scanned money order</x:v>
      </x:c>
      <x:c r="K953" s="20" t="str">
        <x:v>SCN-0327</x:v>
      </x:c>
      <x:c r="L953" s="20" t="str">
        <x:v>PMT-20271203-L009</x:v>
      </x:c>
      <x:c r="M953" s="26" t="n">
        <x:v>1275</x:v>
      </x:c>
      <x:c r="N953" s="26" t="n">
        <x:v>-1275</x:v>
      </x:c>
      <x:c r="O953" s="26" t="n">
        <x:v>1275</x:v>
      </x:c>
      <x:c r="P953" s="26" t="n">
        <x:v>0</x:v>
      </x:c>
      <x:c r="Q953" s="26" t="n">
        <x:v>0</x:v>
      </x:c>
      <x:c r="R953" s="26" t="n">
        <x:v>0</x:v>
      </x:c>
      <x:c r="S953" s="26" t="n">
        <x:v>0</x:v>
      </x:c>
      <x:c r="T953" s="26" t="n">
        <x:v>0</x:v>
      </x:c>
      <x:c r="U953" s="26" t="n">
        <x:v>0</x:v>
      </x:c>
      <x:c r="V953" s="26" t="n">
        <x:v>0</x:v>
      </x:c>
      <x:c r="W953" s="26" t="n">
        <x:v>0</x:v>
      </x:c>
      <x:c r="X953" s="26" t="n">
        <x:v>0</x:v>
      </x:c>
      <x:c r="Y953" s="26" t="n">
        <x:v>0</x:v>
      </x:c>
      <x:c r="Z953" s="35" t="str">
        <x:v>Receipt allocated to FIN-00949</x:v>
      </x:c>
    </x:row>
    <x:row r="954">
      <x:c r="A954" s="20" t="str">
        <x:v>FIN-00951</x:v>
      </x:c>
      <x:c r="B954" s="23" t="n">
        <x:v>46722</x:v>
      </x:c>
      <x:c r="C954" s="23" t="n">
        <x:v>46722</x:v>
      </x:c>
      <x:c r="D954" s="20" t="str">
        <x:v>TenantCharge</x:v>
      </x:c>
      <x:c r="E954" s="20" t="str">
        <x:v>Rent</x:v>
      </x:c>
      <x:c r="F954" s="20" t="str">
        <x:v>P010</x:v>
      </x:c>
      <x:c r="G954" s="20" t="str">
        <x:v>U010</x:v>
      </x:c>
      <x:c r="H954" s="20" t="str">
        <x:v>L010</x:v>
      </x:c>
      <x:c r="I954" s="20" t="str">
        <x:v>Elena Lewis</x:v>
      </x:c>
      <x:c r="J954" s="35" t="str">
        <x:v>System scheduled charge</x:v>
      </x:c>
      <x:c r="K954" s="20" t="str"/>
      <x:c r="L954" s="20" t="str">
        <x:v>RENT-202712-L010</x:v>
      </x:c>
      <x:c r="M954" s="26" t="n">
        <x:v>1800</x:v>
      </x:c>
      <x:c r="N954" s="26" t="n">
        <x:v>1800</x:v>
      </x:c>
      <x:c r="O954" s="26" t="n">
        <x:v>0</x:v>
      </x:c>
      <x:c r="P954" s="26" t="n">
        <x:v>0</x:v>
      </x:c>
      <x:c r="Q954" s="26" t="n">
        <x:v>0</x:v>
      </x:c>
      <x:c r="R954" s="26" t="n">
        <x:v>0</x:v>
      </x:c>
      <x:c r="S954" s="26" t="n">
        <x:v>0</x:v>
      </x:c>
      <x:c r="T954" s="26" t="n">
        <x:v>1800</x:v>
      </x:c>
      <x:c r="U954" s="26" t="n">
        <x:v>0</x:v>
      </x:c>
      <x:c r="V954" s="26" t="n">
        <x:v>0</x:v>
      </x:c>
      <x:c r="W954" s="26" t="n">
        <x:v>0</x:v>
      </x:c>
      <x:c r="X954" s="26" t="n">
        <x:v>0</x:v>
      </x:c>
      <x:c r="Y954" s="26" t="n">
        <x:v>0</x:v>
      </x:c>
      <x:c r="Z954" s="35" t="str">
        <x:v>December 2027 rent</x:v>
      </x:c>
    </x:row>
    <x:row r="955">
      <x:c r="A955" s="20" t="str">
        <x:v>FIN-00952</x:v>
      </x:c>
      <x:c r="B955" s="23" t="n">
        <x:v>46725</x:v>
      </x:c>
      <x:c r="C955" s="23" t="n">
        <x:v>46725</x:v>
      </x:c>
      <x:c r="D955" s="20" t="str">
        <x:v>TenantReceipt</x:v>
      </x:c>
      <x:c r="E955" s="20" t="str">
        <x:v>Rent receipt</x:v>
      </x:c>
      <x:c r="F955" s="20" t="str">
        <x:v>P010</x:v>
      </x:c>
      <x:c r="G955" s="20" t="str">
        <x:v>U010</x:v>
      </x:c>
      <x:c r="H955" s="20" t="str">
        <x:v>L010</x:v>
      </x:c>
      <x:c r="I955" s="20" t="str">
        <x:v>Elena Lewis</x:v>
      </x:c>
      <x:c r="J955" s="35" t="str">
        <x:v>Manual ACH</x:v>
      </x:c>
      <x:c r="K955" s="20" t="str"/>
      <x:c r="L955" s="20" t="str">
        <x:v>PMT-20271204-L010</x:v>
      </x:c>
      <x:c r="M955" s="26" t="n">
        <x:v>1800</x:v>
      </x:c>
      <x:c r="N955" s="26" t="n">
        <x:v>-1800</x:v>
      </x:c>
      <x:c r="O955" s="26" t="n">
        <x:v>1800</x:v>
      </x:c>
      <x:c r="P955" s="26" t="n">
        <x:v>0</x:v>
      </x:c>
      <x:c r="Q955" s="26" t="n">
        <x:v>0</x:v>
      </x:c>
      <x:c r="R955" s="26" t="n">
        <x:v>0</x:v>
      </x:c>
      <x:c r="S955" s="26" t="n">
        <x:v>0</x:v>
      </x:c>
      <x:c r="T955" s="26" t="n">
        <x:v>0</x:v>
      </x:c>
      <x:c r="U955" s="26" t="n">
        <x:v>0</x:v>
      </x:c>
      <x:c r="V955" s="26" t="n">
        <x:v>0</x:v>
      </x:c>
      <x:c r="W955" s="26" t="n">
        <x:v>0</x:v>
      </x:c>
      <x:c r="X955" s="26" t="n">
        <x:v>0</x:v>
      </x:c>
      <x:c r="Y955" s="26" t="n">
        <x:v>0</x:v>
      </x:c>
      <x:c r="Z955" s="35" t="str">
        <x:v>Receipt allocated to FIN-00951</x:v>
      </x:c>
    </x:row>
    <x:row r="956">
      <x:c r="A956" s="20" t="str">
        <x:v>FIN-00953</x:v>
      </x:c>
      <x:c r="B956" s="23" t="n">
        <x:v>46722</x:v>
      </x:c>
      <x:c r="C956" s="23" t="n">
        <x:v>46722</x:v>
      </x:c>
      <x:c r="D956" s="20" t="str">
        <x:v>TenantCharge</x:v>
      </x:c>
      <x:c r="E956" s="20" t="str">
        <x:v>Rent</x:v>
      </x:c>
      <x:c r="F956" s="20" t="str">
        <x:v>P011</x:v>
      </x:c>
      <x:c r="G956" s="20" t="str">
        <x:v>U011</x:v>
      </x:c>
      <x:c r="H956" s="20" t="str">
        <x:v>L011</x:v>
      </x:c>
      <x:c r="I956" s="20" t="str">
        <x:v>Hector Reed</x:v>
      </x:c>
      <x:c r="J956" s="35" t="str">
        <x:v>System scheduled charge</x:v>
      </x:c>
      <x:c r="K956" s="20" t="str"/>
      <x:c r="L956" s="20" t="str">
        <x:v>RENT-202712-L011</x:v>
      </x:c>
      <x:c r="M956" s="26" t="n">
        <x:v>1425</x:v>
      </x:c>
      <x:c r="N956" s="26" t="n">
        <x:v>1425</x:v>
      </x:c>
      <x:c r="O956" s="26" t="n">
        <x:v>0</x:v>
      </x:c>
      <x:c r="P956" s="26" t="n">
        <x:v>0</x:v>
      </x:c>
      <x:c r="Q956" s="26" t="n">
        <x:v>0</x:v>
      </x:c>
      <x:c r="R956" s="26" t="n">
        <x:v>0</x:v>
      </x:c>
      <x:c r="S956" s="26" t="n">
        <x:v>0</x:v>
      </x:c>
      <x:c r="T956" s="26" t="n">
        <x:v>1425</x:v>
      </x:c>
      <x:c r="U956" s="26" t="n">
        <x:v>0</x:v>
      </x:c>
      <x:c r="V956" s="26" t="n">
        <x:v>0</x:v>
      </x:c>
      <x:c r="W956" s="26" t="n">
        <x:v>0</x:v>
      </x:c>
      <x:c r="X956" s="26" t="n">
        <x:v>0</x:v>
      </x:c>
      <x:c r="Y956" s="26" t="n">
        <x:v>0</x:v>
      </x:c>
      <x:c r="Z956" s="35" t="str">
        <x:v>December 2027 rent</x:v>
      </x:c>
    </x:row>
    <x:row r="957">
      <x:c r="A957" s="20" t="str">
        <x:v>FIN-00954</x:v>
      </x:c>
      <x:c r="B957" s="23" t="n">
        <x:v>46724</x:v>
      </x:c>
      <x:c r="C957" s="23" t="n">
        <x:v>46724</x:v>
      </x:c>
      <x:c r="D957" s="20" t="str">
        <x:v>TenantReceipt</x:v>
      </x:c>
      <x:c r="E957" s="20" t="str">
        <x:v>Rent receipt</x:v>
      </x:c>
      <x:c r="F957" s="20" t="str">
        <x:v>P011</x:v>
      </x:c>
      <x:c r="G957" s="20" t="str">
        <x:v>U011</x:v>
      </x:c>
      <x:c r="H957" s="20" t="str">
        <x:v>L011</x:v>
      </x:c>
      <x:c r="I957" s="20" t="str">
        <x:v>Hector Reed</x:v>
      </x:c>
      <x:c r="J957" s="35" t="str">
        <x:v>Portal card</x:v>
      </x:c>
      <x:c r="K957" s="20" t="str"/>
      <x:c r="L957" s="20" t="str">
        <x:v>PMT-20271203-L011-A</x:v>
      </x:c>
      <x:c r="M957" s="26" t="n">
        <x:v>855</x:v>
      </x:c>
      <x:c r="N957" s="26" t="n">
        <x:v>-855</x:v>
      </x:c>
      <x:c r="O957" s="26" t="n">
        <x:v>855</x:v>
      </x:c>
      <x:c r="P957" s="26" t="n">
        <x:v>0</x:v>
      </x:c>
      <x:c r="Q957" s="26" t="n">
        <x:v>0</x:v>
      </x:c>
      <x:c r="R957" s="26" t="n">
        <x:v>0</x:v>
      </x:c>
      <x:c r="S957" s="26" t="n">
        <x:v>0</x:v>
      </x:c>
      <x:c r="T957" s="26" t="n">
        <x:v>0</x:v>
      </x:c>
      <x:c r="U957" s="26" t="n">
        <x:v>0</x:v>
      </x:c>
      <x:c r="V957" s="26" t="n">
        <x:v>0</x:v>
      </x:c>
      <x:c r="W957" s="26" t="n">
        <x:v>0</x:v>
      </x:c>
      <x:c r="X957" s="26" t="n">
        <x:v>0</x:v>
      </x:c>
      <x:c r="Y957" s="26" t="n">
        <x:v>0</x:v>
      </x:c>
      <x:c r="Z957" s="35" t="str">
        <x:v>Receipt allocated to FIN-00953</x:v>
      </x:c>
    </x:row>
    <x:row r="958">
      <x:c r="A958" s="20" t="str">
        <x:v>FIN-00955</x:v>
      </x:c>
      <x:c r="B958" s="23" t="n">
        <x:v>46727</x:v>
      </x:c>
      <x:c r="C958" s="23" t="n">
        <x:v>46727</x:v>
      </x:c>
      <x:c r="D958" s="20" t="str">
        <x:v>TenantCharge</x:v>
      </x:c>
      <x:c r="E958" s="20" t="str">
        <x:v>Late fee</x:v>
      </x:c>
      <x:c r="F958" s="20" t="str">
        <x:v>P011</x:v>
      </x:c>
      <x:c r="G958" s="20" t="str">
        <x:v>U011</x:v>
      </x:c>
      <x:c r="H958" s="20" t="str">
        <x:v>L011</x:v>
      </x:c>
      <x:c r="I958" s="20" t="str">
        <x:v>Hector Reed</x:v>
      </x:c>
      <x:c r="J958" s="35" t="str">
        <x:v>System automation</x:v>
      </x:c>
      <x:c r="K958" s="20" t="str"/>
      <x:c r="L958" s="20" t="str">
        <x:v>LATE-202712-L011</x:v>
      </x:c>
      <x:c r="M958" s="26" t="n">
        <x:v>50</x:v>
      </x:c>
      <x:c r="N958" s="26" t="n">
        <x:v>50</x:v>
      </x:c>
      <x:c r="O958" s="26" t="n">
        <x:v>0</x:v>
      </x:c>
      <x:c r="P958" s="26" t="n">
        <x:v>0</x:v>
      </x:c>
      <x:c r="Q958" s="26" t="n">
        <x:v>0</x:v>
      </x:c>
      <x:c r="R958" s="26" t="n">
        <x:v>0</x:v>
      </x:c>
      <x:c r="S958" s="26" t="n">
        <x:v>0</x:v>
      </x:c>
      <x:c r="T958" s="26" t="n">
        <x:v>50</x:v>
      </x:c>
      <x:c r="U958" s="26" t="n">
        <x:v>0</x:v>
      </x:c>
      <x:c r="V958" s="26" t="n">
        <x:v>0</x:v>
      </x:c>
      <x:c r="W958" s="26" t="n">
        <x:v>0</x:v>
      </x:c>
      <x:c r="X958" s="26" t="n">
        <x:v>0</x:v>
      </x:c>
      <x:c r="Y958" s="26" t="n">
        <x:v>0</x:v>
      </x:c>
      <x:c r="Z958" s="35" t="str">
        <x:v>Synthetic lease-authorized late fee after partial payment</x:v>
      </x:c>
    </x:row>
    <x:row r="959">
      <x:c r="A959" s="20" t="str">
        <x:v>FIN-00956</x:v>
      </x:c>
      <x:c r="B959" s="23" t="n">
        <x:v>46733</x:v>
      </x:c>
      <x:c r="C959" s="23" t="n">
        <x:v>46733</x:v>
      </x:c>
      <x:c r="D959" s="20" t="str">
        <x:v>TenantReceipt</x:v>
      </x:c>
      <x:c r="E959" s="20" t="str">
        <x:v>Rent receipt</x:v>
      </x:c>
      <x:c r="F959" s="20" t="str">
        <x:v>P011</x:v>
      </x:c>
      <x:c r="G959" s="20" t="str">
        <x:v>U011</x:v>
      </x:c>
      <x:c r="H959" s="20" t="str">
        <x:v>L011</x:v>
      </x:c>
      <x:c r="I959" s="20" t="str">
        <x:v>Hector Reed</x:v>
      </x:c>
      <x:c r="J959" s="35" t="str">
        <x:v>Scanned money order</x:v>
      </x:c>
      <x:c r="K959" s="20" t="str">
        <x:v>SCN-0328</x:v>
      </x:c>
      <x:c r="L959" s="20" t="str">
        <x:v>PMT-20271212-L011-B</x:v>
      </x:c>
      <x:c r="M959" s="26" t="n">
        <x:v>620</x:v>
      </x:c>
      <x:c r="N959" s="26" t="n">
        <x:v>-620</x:v>
      </x:c>
      <x:c r="O959" s="26" t="n">
        <x:v>620</x:v>
      </x:c>
      <x:c r="P959" s="26" t="n">
        <x:v>0</x:v>
      </x:c>
      <x:c r="Q959" s="26" t="n">
        <x:v>0</x:v>
      </x:c>
      <x:c r="R959" s="26" t="n">
        <x:v>0</x:v>
      </x:c>
      <x:c r="S959" s="26" t="n">
        <x:v>0</x:v>
      </x:c>
      <x:c r="T959" s="26" t="n">
        <x:v>0</x:v>
      </x:c>
      <x:c r="U959" s="26" t="n">
        <x:v>0</x:v>
      </x:c>
      <x:c r="V959" s="26" t="n">
        <x:v>0</x:v>
      </x:c>
      <x:c r="W959" s="26" t="n">
        <x:v>0</x:v>
      </x:c>
      <x:c r="X959" s="26" t="n">
        <x:v>0</x:v>
      </x:c>
      <x:c r="Y959" s="26" t="n">
        <x:v>0</x:v>
      </x:c>
      <x:c r="Z959" s="35" t="str">
        <x:v>Receipt allocated to FIN-00955</x:v>
      </x:c>
    </x:row>
    <x:row r="960">
      <x:c r="A960" s="20" t="str">
        <x:v>FIN-00957</x:v>
      </x:c>
      <x:c r="B960" s="23" t="n">
        <x:v>46722</x:v>
      </x:c>
      <x:c r="C960" s="23" t="n">
        <x:v>46722</x:v>
      </x:c>
      <x:c r="D960" s="20" t="str">
        <x:v>TenantCharge</x:v>
      </x:c>
      <x:c r="E960" s="20" t="str">
        <x:v>Rent</x:v>
      </x:c>
      <x:c r="F960" s="20" t="str">
        <x:v>P012</x:v>
      </x:c>
      <x:c r="G960" s="20" t="str">
        <x:v>U012</x:v>
      </x:c>
      <x:c r="H960" s="20" t="str">
        <x:v>L012</x:v>
      </x:c>
      <x:c r="I960" s="20" t="str">
        <x:v>Keira Adams</x:v>
      </x:c>
      <x:c r="J960" s="35" t="str">
        <x:v>System scheduled charge</x:v>
      </x:c>
      <x:c r="K960" s="20" t="str"/>
      <x:c r="L960" s="20" t="str">
        <x:v>RENT-202712-L012</x:v>
      </x:c>
      <x:c r="M960" s="26" t="n">
        <x:v>1050</x:v>
      </x:c>
      <x:c r="N960" s="26" t="n">
        <x:v>1050</x:v>
      </x:c>
      <x:c r="O960" s="26" t="n">
        <x:v>0</x:v>
      </x:c>
      <x:c r="P960" s="26" t="n">
        <x:v>0</x:v>
      </x:c>
      <x:c r="Q960" s="26" t="n">
        <x:v>0</x:v>
      </x:c>
      <x:c r="R960" s="26" t="n">
        <x:v>0</x:v>
      </x:c>
      <x:c r="S960" s="26" t="n">
        <x:v>0</x:v>
      </x:c>
      <x:c r="T960" s="26" t="n">
        <x:v>1050</x:v>
      </x:c>
      <x:c r="U960" s="26" t="n">
        <x:v>0</x:v>
      </x:c>
      <x:c r="V960" s="26" t="n">
        <x:v>0</x:v>
      </x:c>
      <x:c r="W960" s="26" t="n">
        <x:v>0</x:v>
      </x:c>
      <x:c r="X960" s="26" t="n">
        <x:v>0</x:v>
      </x:c>
      <x:c r="Y960" s="26" t="n">
        <x:v>0</x:v>
      </x:c>
      <x:c r="Z960" s="35" t="str">
        <x:v>December 2027 rent</x:v>
      </x:c>
    </x:row>
    <x:row r="961">
      <x:c r="A961" s="20" t="str">
        <x:v>FIN-00958</x:v>
      </x:c>
      <x:c r="B961" s="23" t="n">
        <x:v>46724</x:v>
      </x:c>
      <x:c r="C961" s="23" t="n">
        <x:v>46724</x:v>
      </x:c>
      <x:c r="D961" s="20" t="str">
        <x:v>TenantReceipt</x:v>
      </x:c>
      <x:c r="E961" s="20" t="str">
        <x:v>Rent receipt</x:v>
      </x:c>
      <x:c r="F961" s="20" t="str">
        <x:v>P012</x:v>
      </x:c>
      <x:c r="G961" s="20" t="str">
        <x:v>U012</x:v>
      </x:c>
      <x:c r="H961" s="20" t="str">
        <x:v>L012</x:v>
      </x:c>
      <x:c r="I961" s="20" t="str">
        <x:v>Keira Adams</x:v>
      </x:c>
      <x:c r="J961" s="35" t="str">
        <x:v>Scanned check</x:v>
      </x:c>
      <x:c r="K961" s="20" t="str">
        <x:v>SCN-0329</x:v>
      </x:c>
      <x:c r="L961" s="20" t="str">
        <x:v>PMT-20271203-L012</x:v>
      </x:c>
      <x:c r="M961" s="26" t="n">
        <x:v>1050</x:v>
      </x:c>
      <x:c r="N961" s="26" t="n">
        <x:v>-1050</x:v>
      </x:c>
      <x:c r="O961" s="26" t="n">
        <x:v>1050</x:v>
      </x:c>
      <x:c r="P961" s="26" t="n">
        <x:v>0</x:v>
      </x:c>
      <x:c r="Q961" s="26" t="n">
        <x:v>0</x:v>
      </x:c>
      <x:c r="R961" s="26" t="n">
        <x:v>0</x:v>
      </x:c>
      <x:c r="S961" s="26" t="n">
        <x:v>0</x:v>
      </x:c>
      <x:c r="T961" s="26" t="n">
        <x:v>0</x:v>
      </x:c>
      <x:c r="U961" s="26" t="n">
        <x:v>0</x:v>
      </x:c>
      <x:c r="V961" s="26" t="n">
        <x:v>0</x:v>
      </x:c>
      <x:c r="W961" s="26" t="n">
        <x:v>0</x:v>
      </x:c>
      <x:c r="X961" s="26" t="n">
        <x:v>0</x:v>
      </x:c>
      <x:c r="Y961" s="26" t="n">
        <x:v>0</x:v>
      </x:c>
      <x:c r="Z961" s="35" t="str">
        <x:v>Receipt allocated to FIN-00957</x:v>
      </x:c>
    </x:row>
    <x:row r="962">
      <x:c r="A962" s="20" t="str">
        <x:v>FIN-00959</x:v>
      </x:c>
      <x:c r="B962" s="23" t="n">
        <x:v>46722</x:v>
      </x:c>
      <x:c r="C962" s="23" t="n">
        <x:v>46722</x:v>
      </x:c>
      <x:c r="D962" s="20" t="str">
        <x:v>TenantCharge</x:v>
      </x:c>
      <x:c r="E962" s="20" t="str">
        <x:v>Rent</x:v>
      </x:c>
      <x:c r="F962" s="20" t="str">
        <x:v>P013</x:v>
      </x:c>
      <x:c r="G962" s="20" t="str">
        <x:v>U013</x:v>
      </x:c>
      <x:c r="H962" s="20" t="str">
        <x:v>L013</x:v>
      </x:c>
      <x:c r="I962" s="20" t="str">
        <x:v>Nolan Flores</x:v>
      </x:c>
      <x:c r="J962" s="35" t="str">
        <x:v>System scheduled charge</x:v>
      </x:c>
      <x:c r="K962" s="20" t="str"/>
      <x:c r="L962" s="20" t="str">
        <x:v>RENT-202712-L013</x:v>
      </x:c>
      <x:c r="M962" s="26" t="n">
        <x:v>1575</x:v>
      </x:c>
      <x:c r="N962" s="26" t="n">
        <x:v>1575</x:v>
      </x:c>
      <x:c r="O962" s="26" t="n">
        <x:v>0</x:v>
      </x:c>
      <x:c r="P962" s="26" t="n">
        <x:v>0</x:v>
      </x:c>
      <x:c r="Q962" s="26" t="n">
        <x:v>0</x:v>
      </x:c>
      <x:c r="R962" s="26" t="n">
        <x:v>0</x:v>
      </x:c>
      <x:c r="S962" s="26" t="n">
        <x:v>0</x:v>
      </x:c>
      <x:c r="T962" s="26" t="n">
        <x:v>1575</x:v>
      </x:c>
      <x:c r="U962" s="26" t="n">
        <x:v>0</x:v>
      </x:c>
      <x:c r="V962" s="26" t="n">
        <x:v>0</x:v>
      </x:c>
      <x:c r="W962" s="26" t="n">
        <x:v>0</x:v>
      </x:c>
      <x:c r="X962" s="26" t="n">
        <x:v>0</x:v>
      </x:c>
      <x:c r="Y962" s="26" t="n">
        <x:v>0</x:v>
      </x:c>
      <x:c r="Z962" s="35" t="str">
        <x:v>December 2027 rent</x:v>
      </x:c>
    </x:row>
    <x:row r="963">
      <x:c r="A963" s="20" t="str">
        <x:v>FIN-00960</x:v>
      </x:c>
      <x:c r="B963" s="23" t="n">
        <x:v>46727</x:v>
      </x:c>
      <x:c r="C963" s="23" t="n">
        <x:v>46727</x:v>
      </x:c>
      <x:c r="D963" s="20" t="str">
        <x:v>TenantCharge</x:v>
      </x:c>
      <x:c r="E963" s="20" t="str">
        <x:v>Late fee</x:v>
      </x:c>
      <x:c r="F963" s="20" t="str">
        <x:v>P013</x:v>
      </x:c>
      <x:c r="G963" s="20" t="str">
        <x:v>U013</x:v>
      </x:c>
      <x:c r="H963" s="20" t="str">
        <x:v>L013</x:v>
      </x:c>
      <x:c r="I963" s="20" t="str">
        <x:v>Nolan Flores</x:v>
      </x:c>
      <x:c r="J963" s="35" t="str">
        <x:v>System automation</x:v>
      </x:c>
      <x:c r="K963" s="20" t="str"/>
      <x:c r="L963" s="20" t="str">
        <x:v>LATE-202712-L013</x:v>
      </x:c>
      <x:c r="M963" s="26" t="n">
        <x:v>50</x:v>
      </x:c>
      <x:c r="N963" s="26" t="n">
        <x:v>50</x:v>
      </x:c>
      <x:c r="O963" s="26" t="n">
        <x:v>0</x:v>
      </x:c>
      <x:c r="P963" s="26" t="n">
        <x:v>0</x:v>
      </x:c>
      <x:c r="Q963" s="26" t="n">
        <x:v>0</x:v>
      </x:c>
      <x:c r="R963" s="26" t="n">
        <x:v>0</x:v>
      </x:c>
      <x:c r="S963" s="26" t="n">
        <x:v>0</x:v>
      </x:c>
      <x:c r="T963" s="26" t="n">
        <x:v>50</x:v>
      </x:c>
      <x:c r="U963" s="26" t="n">
        <x:v>0</x:v>
      </x:c>
      <x:c r="V963" s="26" t="n">
        <x:v>0</x:v>
      </x:c>
      <x:c r="W963" s="26" t="n">
        <x:v>0</x:v>
      </x:c>
      <x:c r="X963" s="26" t="n">
        <x:v>0</x:v>
      </x:c>
      <x:c r="Y963" s="26" t="n">
        <x:v>0</x:v>
      </x:c>
      <x:c r="Z963" s="35" t="str">
        <x:v>Synthetic lease-authorized late fee</x:v>
      </x:c>
    </x:row>
    <x:row r="964">
      <x:c r="A964" s="20" t="str">
        <x:v>FIN-00961</x:v>
      </x:c>
      <x:c r="B964" s="23" t="n">
        <x:v>46729</x:v>
      </x:c>
      <x:c r="C964" s="23" t="n">
        <x:v>46729</x:v>
      </x:c>
      <x:c r="D964" s="20" t="str">
        <x:v>TenantReceipt</x:v>
      </x:c>
      <x:c r="E964" s="20" t="str">
        <x:v>Rent receipt</x:v>
      </x:c>
      <x:c r="F964" s="20" t="str">
        <x:v>P013</x:v>
      </x:c>
      <x:c r="G964" s="20" t="str">
        <x:v>U013</x:v>
      </x:c>
      <x:c r="H964" s="20" t="str">
        <x:v>L013</x:v>
      </x:c>
      <x:c r="I964" s="20" t="str">
        <x:v>Nolan Flores</x:v>
      </x:c>
      <x:c r="J964" s="35" t="str">
        <x:v>Scanned check</x:v>
      </x:c>
      <x:c r="K964" s="20" t="str">
        <x:v>SCN-0330</x:v>
      </x:c>
      <x:c r="L964" s="20" t="str">
        <x:v>PMT-20271208-L013</x:v>
      </x:c>
      <x:c r="M964" s="26" t="n">
        <x:v>1625</x:v>
      </x:c>
      <x:c r="N964" s="26" t="n">
        <x:v>-1625</x:v>
      </x:c>
      <x:c r="O964" s="26" t="n">
        <x:v>1625</x:v>
      </x:c>
      <x:c r="P964" s="26" t="n">
        <x:v>0</x:v>
      </x:c>
      <x:c r="Q964" s="26" t="n">
        <x:v>0</x:v>
      </x:c>
      <x:c r="R964" s="26" t="n">
        <x:v>0</x:v>
      </x:c>
      <x:c r="S964" s="26" t="n">
        <x:v>0</x:v>
      </x:c>
      <x:c r="T964" s="26" t="n">
        <x:v>0</x:v>
      </x:c>
      <x:c r="U964" s="26" t="n">
        <x:v>0</x:v>
      </x:c>
      <x:c r="V964" s="26" t="n">
        <x:v>0</x:v>
      </x:c>
      <x:c r="W964" s="26" t="n">
        <x:v>0</x:v>
      </x:c>
      <x:c r="X964" s="26" t="n">
        <x:v>0</x:v>
      </x:c>
      <x:c r="Y964" s="26" t="n">
        <x:v>0</x:v>
      </x:c>
      <x:c r="Z964" s="35" t="str">
        <x:v>Receipt allocated to FIN-00960</x:v>
      </x:c>
    </x:row>
    <x:row r="965">
      <x:c r="A965" s="20" t="str">
        <x:v>FIN-00962</x:v>
      </x:c>
      <x:c r="B965" s="23" t="n">
        <x:v>46722</x:v>
      </x:c>
      <x:c r="C965" s="23" t="n">
        <x:v>46722</x:v>
      </x:c>
      <x:c r="D965" s="20" t="str">
        <x:v>TenantCharge</x:v>
      </x:c>
      <x:c r="E965" s="20" t="str">
        <x:v>Rent</x:v>
      </x:c>
      <x:c r="F965" s="20" t="str">
        <x:v>P015</x:v>
      </x:c>
      <x:c r="G965" s="20" t="str">
        <x:v>U015</x:v>
      </x:c>
      <x:c r="H965" s="20" t="str">
        <x:v>L015</x:v>
      </x:c>
      <x:c r="I965" s="20" t="str">
        <x:v>Uri Price</x:v>
      </x:c>
      <x:c r="J965" s="35" t="str">
        <x:v>System scheduled charge</x:v>
      </x:c>
      <x:c r="K965" s="20" t="str"/>
      <x:c r="L965" s="20" t="str">
        <x:v>RENT-202712-L015</x:v>
      </x:c>
      <x:c r="M965" s="26" t="n">
        <x:v>1725</x:v>
      </x:c>
      <x:c r="N965" s="26" t="n">
        <x:v>1725</x:v>
      </x:c>
      <x:c r="O965" s="26" t="n">
        <x:v>0</x:v>
      </x:c>
      <x:c r="P965" s="26" t="n">
        <x:v>0</x:v>
      </x:c>
      <x:c r="Q965" s="26" t="n">
        <x:v>0</x:v>
      </x:c>
      <x:c r="R965" s="26" t="n">
        <x:v>0</x:v>
      </x:c>
      <x:c r="S965" s="26" t="n">
        <x:v>0</x:v>
      </x:c>
      <x:c r="T965" s="26" t="n">
        <x:v>1725</x:v>
      </x:c>
      <x:c r="U965" s="26" t="n">
        <x:v>0</x:v>
      </x:c>
      <x:c r="V965" s="26" t="n">
        <x:v>0</x:v>
      </x:c>
      <x:c r="W965" s="26" t="n">
        <x:v>0</x:v>
      </x:c>
      <x:c r="X965" s="26" t="n">
        <x:v>0</x:v>
      </x:c>
      <x:c r="Y965" s="26" t="n">
        <x:v>0</x:v>
      </x:c>
      <x:c r="Z965" s="35" t="str">
        <x:v>December 2027 rent</x:v>
      </x:c>
    </x:row>
    <x:row r="966">
      <x:c r="A966" s="20" t="str">
        <x:v>FIN-00963</x:v>
      </x:c>
      <x:c r="B966" s="23" t="n">
        <x:v>46724</x:v>
      </x:c>
      <x:c r="C966" s="23" t="n">
        <x:v>46724</x:v>
      </x:c>
      <x:c r="D966" s="20" t="str">
        <x:v>TenantReceipt</x:v>
      </x:c>
      <x:c r="E966" s="20" t="str">
        <x:v>Rent receipt</x:v>
      </x:c>
      <x:c r="F966" s="20" t="str">
        <x:v>P015</x:v>
      </x:c>
      <x:c r="G966" s="20" t="str">
        <x:v>U015</x:v>
      </x:c>
      <x:c r="H966" s="20" t="str">
        <x:v>L015</x:v>
      </x:c>
      <x:c r="I966" s="20" t="str">
        <x:v>Uri Price</x:v>
      </x:c>
      <x:c r="J966" s="35" t="str">
        <x:v>Portal card</x:v>
      </x:c>
      <x:c r="K966" s="20" t="str"/>
      <x:c r="L966" s="20" t="str">
        <x:v>PMT-20271203-L015</x:v>
      </x:c>
      <x:c r="M966" s="26" t="n">
        <x:v>1725</x:v>
      </x:c>
      <x:c r="N966" s="26" t="n">
        <x:v>-1725</x:v>
      </x:c>
      <x:c r="O966" s="26" t="n">
        <x:v>1725</x:v>
      </x:c>
      <x:c r="P966" s="26" t="n">
        <x:v>0</x:v>
      </x:c>
      <x:c r="Q966" s="26" t="n">
        <x:v>0</x:v>
      </x:c>
      <x:c r="R966" s="26" t="n">
        <x:v>0</x:v>
      </x:c>
      <x:c r="S966" s="26" t="n">
        <x:v>0</x:v>
      </x:c>
      <x:c r="T966" s="26" t="n">
        <x:v>0</x:v>
      </x:c>
      <x:c r="U966" s="26" t="n">
        <x:v>0</x:v>
      </x:c>
      <x:c r="V966" s="26" t="n">
        <x:v>0</x:v>
      </x:c>
      <x:c r="W966" s="26" t="n">
        <x:v>0</x:v>
      </x:c>
      <x:c r="X966" s="26" t="n">
        <x:v>0</x:v>
      </x:c>
      <x:c r="Y966" s="26" t="n">
        <x:v>0</x:v>
      </x:c>
      <x:c r="Z966" s="35" t="str">
        <x:v>Receipt allocated to FIN-00962</x:v>
      </x:c>
    </x:row>
    <x:row r="967">
      <x:c r="A967" s="20" t="str">
        <x:v>FIN-00964</x:v>
      </x:c>
      <x:c r="B967" s="23" t="n">
        <x:v>46722</x:v>
      </x:c>
      <x:c r="C967" s="23" t="n">
        <x:v>46722</x:v>
      </x:c>
      <x:c r="D967" s="20" t="str">
        <x:v>TenantCharge</x:v>
      </x:c>
      <x:c r="E967" s="20" t="str">
        <x:v>Rent</x:v>
      </x:c>
      <x:c r="F967" s="20" t="str">
        <x:v>P016</x:v>
      </x:c>
      <x:c r="G967" s="20" t="str">
        <x:v>U016</x:v>
      </x:c>
      <x:c r="H967" s="20" t="str">
        <x:v>L016</x:v>
      </x:c>
      <x:c r="I967" s="20" t="str">
        <x:v>Avery Brooks</x:v>
      </x:c>
      <x:c r="J967" s="35" t="str">
        <x:v>System scheduled charge</x:v>
      </x:c>
      <x:c r="K967" s="20" t="str"/>
      <x:c r="L967" s="20" t="str">
        <x:v>RENT-202712-L016</x:v>
      </x:c>
      <x:c r="M967" s="26" t="n">
        <x:v>1350</x:v>
      </x:c>
      <x:c r="N967" s="26" t="n">
        <x:v>1350</x:v>
      </x:c>
      <x:c r="O967" s="26" t="n">
        <x:v>0</x:v>
      </x:c>
      <x:c r="P967" s="26" t="n">
        <x:v>0</x:v>
      </x:c>
      <x:c r="Q967" s="26" t="n">
        <x:v>0</x:v>
      </x:c>
      <x:c r="R967" s="26" t="n">
        <x:v>0</x:v>
      </x:c>
      <x:c r="S967" s="26" t="n">
        <x:v>0</x:v>
      </x:c>
      <x:c r="T967" s="26" t="n">
        <x:v>1350</x:v>
      </x:c>
      <x:c r="U967" s="26" t="n">
        <x:v>0</x:v>
      </x:c>
      <x:c r="V967" s="26" t="n">
        <x:v>0</x:v>
      </x:c>
      <x:c r="W967" s="26" t="n">
        <x:v>0</x:v>
      </x:c>
      <x:c r="X967" s="26" t="n">
        <x:v>0</x:v>
      </x:c>
      <x:c r="Y967" s="26" t="n">
        <x:v>0</x:v>
      </x:c>
      <x:c r="Z967" s="35" t="str">
        <x:v>December 2027 rent</x:v>
      </x:c>
    </x:row>
    <x:row r="968">
      <x:c r="A968" s="20" t="str">
        <x:v>FIN-00965</x:v>
      </x:c>
      <x:c r="B968" s="23" t="n">
        <x:v>46725</x:v>
      </x:c>
      <x:c r="C968" s="23" t="n">
        <x:v>46725</x:v>
      </x:c>
      <x:c r="D968" s="20" t="str">
        <x:v>TenantReceipt</x:v>
      </x:c>
      <x:c r="E968" s="20" t="str">
        <x:v>Rent receipt</x:v>
      </x:c>
      <x:c r="F968" s="20" t="str">
        <x:v>P016</x:v>
      </x:c>
      <x:c r="G968" s="20" t="str">
        <x:v>U016</x:v>
      </x:c>
      <x:c r="H968" s="20" t="str">
        <x:v>L016</x:v>
      </x:c>
      <x:c r="I968" s="20" t="str">
        <x:v>Avery Brooks</x:v>
      </x:c>
      <x:c r="J968" s="35" t="str">
        <x:v>Scanned check</x:v>
      </x:c>
      <x:c r="K968" s="20" t="str">
        <x:v>SCN-0331</x:v>
      </x:c>
      <x:c r="L968" s="20" t="str">
        <x:v>PMT-20271204-L016</x:v>
      </x:c>
      <x:c r="M968" s="26" t="n">
        <x:v>1350</x:v>
      </x:c>
      <x:c r="N968" s="26" t="n">
        <x:v>-1350</x:v>
      </x:c>
      <x:c r="O968" s="26" t="n">
        <x:v>1350</x:v>
      </x:c>
      <x:c r="P968" s="26" t="n">
        <x:v>0</x:v>
      </x:c>
      <x:c r="Q968" s="26" t="n">
        <x:v>0</x:v>
      </x:c>
      <x:c r="R968" s="26" t="n">
        <x:v>0</x:v>
      </x:c>
      <x:c r="S968" s="26" t="n">
        <x:v>0</x:v>
      </x:c>
      <x:c r="T968" s="26" t="n">
        <x:v>0</x:v>
      </x:c>
      <x:c r="U968" s="26" t="n">
        <x:v>0</x:v>
      </x:c>
      <x:c r="V968" s="26" t="n">
        <x:v>0</x:v>
      </x:c>
      <x:c r="W968" s="26" t="n">
        <x:v>0</x:v>
      </x:c>
      <x:c r="X968" s="26" t="n">
        <x:v>0</x:v>
      </x:c>
      <x:c r="Y968" s="26" t="n">
        <x:v>0</x:v>
      </x:c>
      <x:c r="Z968" s="35" t="str">
        <x:v>Receipt allocated to FIN-00964</x:v>
      </x:c>
    </x:row>
    <x:row r="969">
      <x:c r="A969" s="20" t="str">
        <x:v>FIN-00966</x:v>
      </x:c>
      <x:c r="B969" s="23" t="n">
        <x:v>46722</x:v>
      </x:c>
      <x:c r="C969" s="23" t="n">
        <x:v>46722</x:v>
      </x:c>
      <x:c r="D969" s="20" t="str">
        <x:v>TenantCharge</x:v>
      </x:c>
      <x:c r="E969" s="20" t="str">
        <x:v>Rent</x:v>
      </x:c>
      <x:c r="F969" s="20" t="str">
        <x:v>P018</x:v>
      </x:c>
      <x:c r="G969" s="20" t="str">
        <x:v>U018</x:v>
      </x:c>
      <x:c r="H969" s="20" t="str">
        <x:v>L018</x:v>
      </x:c>
      <x:c r="I969" s="20" t="str">
        <x:v>Gray Lewis</x:v>
      </x:c>
      <x:c r="J969" s="35" t="str">
        <x:v>System scheduled charge</x:v>
      </x:c>
      <x:c r="K969" s="20" t="str"/>
      <x:c r="L969" s="20" t="str">
        <x:v>RENT-202712-L018</x:v>
      </x:c>
      <x:c r="M969" s="26" t="n">
        <x:v>1500</x:v>
      </x:c>
      <x:c r="N969" s="26" t="n">
        <x:v>1500</x:v>
      </x:c>
      <x:c r="O969" s="26" t="n">
        <x:v>0</x:v>
      </x:c>
      <x:c r="P969" s="26" t="n">
        <x:v>0</x:v>
      </x:c>
      <x:c r="Q969" s="26" t="n">
        <x:v>0</x:v>
      </x:c>
      <x:c r="R969" s="26" t="n">
        <x:v>0</x:v>
      </x:c>
      <x:c r="S969" s="26" t="n">
        <x:v>0</x:v>
      </x:c>
      <x:c r="T969" s="26" t="n">
        <x:v>1500</x:v>
      </x:c>
      <x:c r="U969" s="26" t="n">
        <x:v>0</x:v>
      </x:c>
      <x:c r="V969" s="26" t="n">
        <x:v>0</x:v>
      </x:c>
      <x:c r="W969" s="26" t="n">
        <x:v>0</x:v>
      </x:c>
      <x:c r="X969" s="26" t="n">
        <x:v>0</x:v>
      </x:c>
      <x:c r="Y969" s="26" t="n">
        <x:v>0</x:v>
      </x:c>
      <x:c r="Z969" s="35" t="str">
        <x:v>December 2027 rent</x:v>
      </x:c>
    </x:row>
    <x:row r="970">
      <x:c r="A970" s="20" t="str">
        <x:v>FIN-00967</x:v>
      </x:c>
      <x:c r="B970" s="23" t="n">
        <x:v>46724</x:v>
      </x:c>
      <x:c r="C970" s="23" t="n">
        <x:v>46724</x:v>
      </x:c>
      <x:c r="D970" s="20" t="str">
        <x:v>TenantReceipt</x:v>
      </x:c>
      <x:c r="E970" s="20" t="str">
        <x:v>Rent receipt</x:v>
      </x:c>
      <x:c r="F970" s="20" t="str">
        <x:v>P018</x:v>
      </x:c>
      <x:c r="G970" s="20" t="str">
        <x:v>U018</x:v>
      </x:c>
      <x:c r="H970" s="20" t="str">
        <x:v>L018</x:v>
      </x:c>
      <x:c r="I970" s="20" t="str">
        <x:v>Gray Lewis</x:v>
      </x:c>
      <x:c r="J970" s="35" t="str">
        <x:v>Manual ACH</x:v>
      </x:c>
      <x:c r="K970" s="20" t="str"/>
      <x:c r="L970" s="20" t="str">
        <x:v>PMT-20271203-L018</x:v>
      </x:c>
      <x:c r="M970" s="26" t="n">
        <x:v>1500</x:v>
      </x:c>
      <x:c r="N970" s="26" t="n">
        <x:v>-1500</x:v>
      </x:c>
      <x:c r="O970" s="26" t="n">
        <x:v>1500</x:v>
      </x:c>
      <x:c r="P970" s="26" t="n">
        <x:v>0</x:v>
      </x:c>
      <x:c r="Q970" s="26" t="n">
        <x:v>0</x:v>
      </x:c>
      <x:c r="R970" s="26" t="n">
        <x:v>0</x:v>
      </x:c>
      <x:c r="S970" s="26" t="n">
        <x:v>0</x:v>
      </x:c>
      <x:c r="T970" s="26" t="n">
        <x:v>0</x:v>
      </x:c>
      <x:c r="U970" s="26" t="n">
        <x:v>0</x:v>
      </x:c>
      <x:c r="V970" s="26" t="n">
        <x:v>0</x:v>
      </x:c>
      <x:c r="W970" s="26" t="n">
        <x:v>0</x:v>
      </x:c>
      <x:c r="X970" s="26" t="n">
        <x:v>0</x:v>
      </x:c>
      <x:c r="Y970" s="26" t="n">
        <x:v>0</x:v>
      </x:c>
      <x:c r="Z970" s="35" t="str">
        <x:v>Receipt allocated to FIN-00966</x:v>
      </x:c>
    </x:row>
    <x:row r="971">
      <x:c r="A971" s="20" t="str">
        <x:v>FIN-00968</x:v>
      </x:c>
      <x:c r="B971" s="23" t="n">
        <x:v>46722</x:v>
      </x:c>
      <x:c r="C971" s="23" t="n">
        <x:v>46722</x:v>
      </x:c>
      <x:c r="D971" s="20" t="str">
        <x:v>TenantCharge</x:v>
      </x:c>
      <x:c r="E971" s="20" t="str">
        <x:v>Rent</x:v>
      </x:c>
      <x:c r="F971" s="20" t="str">
        <x:v>P019</x:v>
      </x:c>
      <x:c r="G971" s="20" t="str">
        <x:v>U019</x:v>
      </x:c>
      <x:c r="H971" s="20" t="str">
        <x:v>L019</x:v>
      </x:c>
      <x:c r="I971" s="20" t="str">
        <x:v>Jordan Reed</x:v>
      </x:c>
      <x:c r="J971" s="35" t="str">
        <x:v>System scheduled charge</x:v>
      </x:c>
      <x:c r="K971" s="20" t="str"/>
      <x:c r="L971" s="20" t="str">
        <x:v>RENT-202712-L019</x:v>
      </x:c>
      <x:c r="M971" s="26" t="n">
        <x:v>1125</x:v>
      </x:c>
      <x:c r="N971" s="26" t="n">
        <x:v>1125</x:v>
      </x:c>
      <x:c r="O971" s="26" t="n">
        <x:v>0</x:v>
      </x:c>
      <x:c r="P971" s="26" t="n">
        <x:v>0</x:v>
      </x:c>
      <x:c r="Q971" s="26" t="n">
        <x:v>0</x:v>
      </x:c>
      <x:c r="R971" s="26" t="n">
        <x:v>0</x:v>
      </x:c>
      <x:c r="S971" s="26" t="n">
        <x:v>0</x:v>
      </x:c>
      <x:c r="T971" s="26" t="n">
        <x:v>1125</x:v>
      </x:c>
      <x:c r="U971" s="26" t="n">
        <x:v>0</x:v>
      </x:c>
      <x:c r="V971" s="26" t="n">
        <x:v>0</x:v>
      </x:c>
      <x:c r="W971" s="26" t="n">
        <x:v>0</x:v>
      </x:c>
      <x:c r="X971" s="26" t="n">
        <x:v>0</x:v>
      </x:c>
      <x:c r="Y971" s="26" t="n">
        <x:v>0</x:v>
      </x:c>
      <x:c r="Z971" s="35" t="str">
        <x:v>December 2027 rent</x:v>
      </x:c>
    </x:row>
    <x:row r="972">
      <x:c r="A972" s="20" t="str">
        <x:v>FIN-00969</x:v>
      </x:c>
      <x:c r="B972" s="23" t="n">
        <x:v>46725</x:v>
      </x:c>
      <x:c r="C972" s="23" t="n">
        <x:v>46725</x:v>
      </x:c>
      <x:c r="D972" s="20" t="str">
        <x:v>TenantReceipt</x:v>
      </x:c>
      <x:c r="E972" s="20" t="str">
        <x:v>Rent receipt</x:v>
      </x:c>
      <x:c r="F972" s="20" t="str">
        <x:v>P019</x:v>
      </x:c>
      <x:c r="G972" s="20" t="str">
        <x:v>U019</x:v>
      </x:c>
      <x:c r="H972" s="20" t="str">
        <x:v>L019</x:v>
      </x:c>
      <x:c r="I972" s="20" t="str">
        <x:v>Jordan Reed</x:v>
      </x:c>
      <x:c r="J972" s="35" t="str">
        <x:v>Portal card</x:v>
      </x:c>
      <x:c r="K972" s="20" t="str"/>
      <x:c r="L972" s="20" t="str">
        <x:v>PMT-20271204-L019</x:v>
      </x:c>
      <x:c r="M972" s="26" t="n">
        <x:v>1125</x:v>
      </x:c>
      <x:c r="N972" s="26" t="n">
        <x:v>-1125</x:v>
      </x:c>
      <x:c r="O972" s="26" t="n">
        <x:v>1125</x:v>
      </x:c>
      <x:c r="P972" s="26" t="n">
        <x:v>0</x:v>
      </x:c>
      <x:c r="Q972" s="26" t="n">
        <x:v>0</x:v>
      </x:c>
      <x:c r="R972" s="26" t="n">
        <x:v>0</x:v>
      </x:c>
      <x:c r="S972" s="26" t="n">
        <x:v>0</x:v>
      </x:c>
      <x:c r="T972" s="26" t="n">
        <x:v>0</x:v>
      </x:c>
      <x:c r="U972" s="26" t="n">
        <x:v>0</x:v>
      </x:c>
      <x:c r="V972" s="26" t="n">
        <x:v>0</x:v>
      </x:c>
      <x:c r="W972" s="26" t="n">
        <x:v>0</x:v>
      </x:c>
      <x:c r="X972" s="26" t="n">
        <x:v>0</x:v>
      </x:c>
      <x:c r="Y972" s="26" t="n">
        <x:v>0</x:v>
      </x:c>
      <x:c r="Z972" s="35" t="str">
        <x:v>Receipt allocated to FIN-00968</x:v>
      </x:c>
    </x:row>
    <x:row r="973">
      <x:c r="A973" s="20" t="str">
        <x:v>FIN-00970</x:v>
      </x:c>
      <x:c r="B973" s="23" t="n">
        <x:v>46722</x:v>
      </x:c>
      <x:c r="C973" s="23" t="n">
        <x:v>46722</x:v>
      </x:c>
      <x:c r="D973" s="20" t="str">
        <x:v>TenantCharge</x:v>
      </x:c>
      <x:c r="E973" s="20" t="str">
        <x:v>Rent</x:v>
      </x:c>
      <x:c r="F973" s="20" t="str">
        <x:v>P020</x:v>
      </x:c>
      <x:c r="G973" s="20" t="str">
        <x:v>U020</x:v>
      </x:c>
      <x:c r="H973" s="20" t="str">
        <x:v>L020</x:v>
      </x:c>
      <x:c r="I973" s="20" t="str">
        <x:v>Morgan Adams</x:v>
      </x:c>
      <x:c r="J973" s="35" t="str">
        <x:v>System scheduled charge</x:v>
      </x:c>
      <x:c r="K973" s="20" t="str"/>
      <x:c r="L973" s="20" t="str">
        <x:v>RENT-202712-L020</x:v>
      </x:c>
      <x:c r="M973" s="26" t="n">
        <x:v>1650</x:v>
      </x:c>
      <x:c r="N973" s="26" t="n">
        <x:v>1650</x:v>
      </x:c>
      <x:c r="O973" s="26" t="n">
        <x:v>0</x:v>
      </x:c>
      <x:c r="P973" s="26" t="n">
        <x:v>0</x:v>
      </x:c>
      <x:c r="Q973" s="26" t="n">
        <x:v>0</x:v>
      </x:c>
      <x:c r="R973" s="26" t="n">
        <x:v>0</x:v>
      </x:c>
      <x:c r="S973" s="26" t="n">
        <x:v>0</x:v>
      </x:c>
      <x:c r="T973" s="26" t="n">
        <x:v>1650</x:v>
      </x:c>
      <x:c r="U973" s="26" t="n">
        <x:v>0</x:v>
      </x:c>
      <x:c r="V973" s="26" t="n">
        <x:v>0</x:v>
      </x:c>
      <x:c r="W973" s="26" t="n">
        <x:v>0</x:v>
      </x:c>
      <x:c r="X973" s="26" t="n">
        <x:v>0</x:v>
      </x:c>
      <x:c r="Y973" s="26" t="n">
        <x:v>0</x:v>
      </x:c>
      <x:c r="Z973" s="35" t="str">
        <x:v>December 2027 rent</x:v>
      </x:c>
    </x:row>
    <x:row r="974">
      <x:c r="A974" s="20" t="str">
        <x:v>FIN-00971</x:v>
      </x:c>
      <x:c r="B974" s="23" t="n">
        <x:v>46726</x:v>
      </x:c>
      <x:c r="C974" s="23" t="n">
        <x:v>46726</x:v>
      </x:c>
      <x:c r="D974" s="20" t="str">
        <x:v>TenantReceipt</x:v>
      </x:c>
      <x:c r="E974" s="20" t="str">
        <x:v>Rent receipt</x:v>
      </x:c>
      <x:c r="F974" s="20" t="str">
        <x:v>P020</x:v>
      </x:c>
      <x:c r="G974" s="20" t="str">
        <x:v>U020</x:v>
      </x:c>
      <x:c r="H974" s="20" t="str">
        <x:v>L020</x:v>
      </x:c>
      <x:c r="I974" s="20" t="str">
        <x:v>Morgan Adams</x:v>
      </x:c>
      <x:c r="J974" s="35" t="str">
        <x:v>Scanned check</x:v>
      </x:c>
      <x:c r="K974" s="20" t="str">
        <x:v>SCN-0332</x:v>
      </x:c>
      <x:c r="L974" s="20" t="str">
        <x:v>PMT-20271205-L020</x:v>
      </x:c>
      <x:c r="M974" s="26" t="n">
        <x:v>1650</x:v>
      </x:c>
      <x:c r="N974" s="26" t="n">
        <x:v>-1650</x:v>
      </x:c>
      <x:c r="O974" s="26" t="n">
        <x:v>1650</x:v>
      </x:c>
      <x:c r="P974" s="26" t="n">
        <x:v>0</x:v>
      </x:c>
      <x:c r="Q974" s="26" t="n">
        <x:v>0</x:v>
      </x:c>
      <x:c r="R974" s="26" t="n">
        <x:v>0</x:v>
      </x:c>
      <x:c r="S974" s="26" t="n">
        <x:v>0</x:v>
      </x:c>
      <x:c r="T974" s="26" t="n">
        <x:v>0</x:v>
      </x:c>
      <x:c r="U974" s="26" t="n">
        <x:v>0</x:v>
      </x:c>
      <x:c r="V974" s="26" t="n">
        <x:v>0</x:v>
      </x:c>
      <x:c r="W974" s="26" t="n">
        <x:v>0</x:v>
      </x:c>
      <x:c r="X974" s="26" t="n">
        <x:v>0</x:v>
      </x:c>
      <x:c r="Y974" s="26" t="n">
        <x:v>0</x:v>
      </x:c>
      <x:c r="Z974" s="35" t="str">
        <x:v>Receipt allocated to FIN-00970</x:v>
      </x:c>
    </x:row>
    <x:row r="975">
      <x:c r="A975" s="20" t="str">
        <x:v>FIN-00972</x:v>
      </x:c>
      <x:c r="B975" s="23" t="n">
        <x:v>46722</x:v>
      </x:c>
      <x:c r="C975" s="23" t="n">
        <x:v>46722</x:v>
      </x:c>
      <x:c r="D975" s="20" t="str">
        <x:v>TenantCharge</x:v>
      </x:c>
      <x:c r="E975" s="20" t="str">
        <x:v>Rent</x:v>
      </x:c>
      <x:c r="F975" s="20" t="str">
        <x:v>P021</x:v>
      </x:c>
      <x:c r="G975" s="20" t="str">
        <x:v>U021</x:v>
      </x:c>
      <x:c r="H975" s="20" t="str">
        <x:v>L021</x:v>
      </x:c>
      <x:c r="I975" s="20" t="str">
        <x:v>Parker Flores</x:v>
      </x:c>
      <x:c r="J975" s="35" t="str">
        <x:v>System scheduled charge</x:v>
      </x:c>
      <x:c r="K975" s="20" t="str"/>
      <x:c r="L975" s="20" t="str">
        <x:v>RENT-202712-L021</x:v>
      </x:c>
      <x:c r="M975" s="26" t="n">
        <x:v>1375</x:v>
      </x:c>
      <x:c r="N975" s="26" t="n">
        <x:v>1375</x:v>
      </x:c>
      <x:c r="O975" s="26" t="n">
        <x:v>0</x:v>
      </x:c>
      <x:c r="P975" s="26" t="n">
        <x:v>0</x:v>
      </x:c>
      <x:c r="Q975" s="26" t="n">
        <x:v>0</x:v>
      </x:c>
      <x:c r="R975" s="26" t="n">
        <x:v>0</x:v>
      </x:c>
      <x:c r="S975" s="26" t="n">
        <x:v>0</x:v>
      </x:c>
      <x:c r="T975" s="26" t="n">
        <x:v>1375</x:v>
      </x:c>
      <x:c r="U975" s="26" t="n">
        <x:v>0</x:v>
      </x:c>
      <x:c r="V975" s="26" t="n">
        <x:v>0</x:v>
      </x:c>
      <x:c r="W975" s="26" t="n">
        <x:v>0</x:v>
      </x:c>
      <x:c r="X975" s="26" t="n">
        <x:v>0</x:v>
      </x:c>
      <x:c r="Y975" s="26" t="n">
        <x:v>0</x:v>
      </x:c>
      <x:c r="Z975" s="35" t="str">
        <x:v>December 2027 rent</x:v>
      </x:c>
    </x:row>
    <x:row r="976">
      <x:c r="A976" s="20" t="str">
        <x:v>FIN-00973</x:v>
      </x:c>
      <x:c r="B976" s="23" t="n">
        <x:v>46724</x:v>
      </x:c>
      <x:c r="C976" s="23" t="n">
        <x:v>46724</x:v>
      </x:c>
      <x:c r="D976" s="20" t="str">
        <x:v>TenantReceipt</x:v>
      </x:c>
      <x:c r="E976" s="20" t="str">
        <x:v>Rent receipt</x:v>
      </x:c>
      <x:c r="F976" s="20" t="str">
        <x:v>P021</x:v>
      </x:c>
      <x:c r="G976" s="20" t="str">
        <x:v>U021</x:v>
      </x:c>
      <x:c r="H976" s="20" t="str">
        <x:v>L021</x:v>
      </x:c>
      <x:c r="I976" s="20" t="str">
        <x:v>Parker Flores</x:v>
      </x:c>
      <x:c r="J976" s="35" t="str">
        <x:v>Scanned money order</x:v>
      </x:c>
      <x:c r="K976" s="20" t="str">
        <x:v>SCN-0333</x:v>
      </x:c>
      <x:c r="L976" s="20" t="str">
        <x:v>PMT-20271203-L021</x:v>
      </x:c>
      <x:c r="M976" s="26" t="n">
        <x:v>1375</x:v>
      </x:c>
      <x:c r="N976" s="26" t="n">
        <x:v>-1375</x:v>
      </x:c>
      <x:c r="O976" s="26" t="n">
        <x:v>1375</x:v>
      </x:c>
      <x:c r="P976" s="26" t="n">
        <x:v>0</x:v>
      </x:c>
      <x:c r="Q976" s="26" t="n">
        <x:v>0</x:v>
      </x:c>
      <x:c r="R976" s="26" t="n">
        <x:v>0</x:v>
      </x:c>
      <x:c r="S976" s="26" t="n">
        <x:v>0</x:v>
      </x:c>
      <x:c r="T976" s="26" t="n">
        <x:v>0</x:v>
      </x:c>
      <x:c r="U976" s="26" t="n">
        <x:v>0</x:v>
      </x:c>
      <x:c r="V976" s="26" t="n">
        <x:v>0</x:v>
      </x:c>
      <x:c r="W976" s="26" t="n">
        <x:v>0</x:v>
      </x:c>
      <x:c r="X976" s="26" t="n">
        <x:v>0</x:v>
      </x:c>
      <x:c r="Y976" s="26" t="n">
        <x:v>0</x:v>
      </x:c>
      <x:c r="Z976" s="35" t="str">
        <x:v>Receipt allocated to FIN-00972</x:v>
      </x:c>
    </x:row>
    <x:row r="977">
      <x:c r="A977" s="20" t="str">
        <x:v>FIN-00974</x:v>
      </x:c>
      <x:c r="B977" s="23" t="n">
        <x:v>46722</x:v>
      </x:c>
      <x:c r="C977" s="23" t="n">
        <x:v>46722</x:v>
      </x:c>
      <x:c r="D977" s="20" t="str">
        <x:v>TenantCharge</x:v>
      </x:c>
      <x:c r="E977" s="20" t="str">
        <x:v>Rent</x:v>
      </x:c>
      <x:c r="F977" s="20" t="str">
        <x:v>P022</x:v>
      </x:c>
      <x:c r="G977" s="20" t="str">
        <x:v>U023</x:v>
      </x:c>
      <x:c r="H977" s="20" t="str">
        <x:v>L023</x:v>
      </x:c>
      <x:c r="I977" s="20" t="str">
        <x:v>Val Price</x:v>
      </x:c>
      <x:c r="J977" s="35" t="str">
        <x:v>System scheduled charge</x:v>
      </x:c>
      <x:c r="K977" s="20" t="str"/>
      <x:c r="L977" s="20" t="str">
        <x:v>RENT-202712-L023</x:v>
      </x:c>
      <x:c r="M977" s="26" t="n">
        <x:v>1525</x:v>
      </x:c>
      <x:c r="N977" s="26" t="n">
        <x:v>1525</x:v>
      </x:c>
      <x:c r="O977" s="26" t="n">
        <x:v>0</x:v>
      </x:c>
      <x:c r="P977" s="26" t="n">
        <x:v>0</x:v>
      </x:c>
      <x:c r="Q977" s="26" t="n">
        <x:v>0</x:v>
      </x:c>
      <x:c r="R977" s="26" t="n">
        <x:v>0</x:v>
      </x:c>
      <x:c r="S977" s="26" t="n">
        <x:v>0</x:v>
      </x:c>
      <x:c r="T977" s="26" t="n">
        <x:v>1525</x:v>
      </x:c>
      <x:c r="U977" s="26" t="n">
        <x:v>0</x:v>
      </x:c>
      <x:c r="V977" s="26" t="n">
        <x:v>0</x:v>
      </x:c>
      <x:c r="W977" s="26" t="n">
        <x:v>0</x:v>
      </x:c>
      <x:c r="X977" s="26" t="n">
        <x:v>0</x:v>
      </x:c>
      <x:c r="Y977" s="26" t="n">
        <x:v>0</x:v>
      </x:c>
      <x:c r="Z977" s="35" t="str">
        <x:v>December 2027 rent</x:v>
      </x:c>
    </x:row>
    <x:row r="978">
      <x:c r="A978" s="20" t="str">
        <x:v>FIN-00975</x:v>
      </x:c>
      <x:c r="B978" s="23" t="n">
        <x:v>46726</x:v>
      </x:c>
      <x:c r="C978" s="23" t="n">
        <x:v>46726</x:v>
      </x:c>
      <x:c r="D978" s="20" t="str">
        <x:v>TenantReceipt</x:v>
      </x:c>
      <x:c r="E978" s="20" t="str">
        <x:v>Rent receipt</x:v>
      </x:c>
      <x:c r="F978" s="20" t="str">
        <x:v>P022</x:v>
      </x:c>
      <x:c r="G978" s="20" t="str">
        <x:v>U023</x:v>
      </x:c>
      <x:c r="H978" s="20" t="str">
        <x:v>L023</x:v>
      </x:c>
      <x:c r="I978" s="20" t="str">
        <x:v>Val Price</x:v>
      </x:c>
      <x:c r="J978" s="35" t="str">
        <x:v>Portal card</x:v>
      </x:c>
      <x:c r="K978" s="20" t="str"/>
      <x:c r="L978" s="20" t="str">
        <x:v>PMT-20271205-L023</x:v>
      </x:c>
      <x:c r="M978" s="26" t="n">
        <x:v>1525</x:v>
      </x:c>
      <x:c r="N978" s="26" t="n">
        <x:v>-1525</x:v>
      </x:c>
      <x:c r="O978" s="26" t="n">
        <x:v>1525</x:v>
      </x:c>
      <x:c r="P978" s="26" t="n">
        <x:v>0</x:v>
      </x:c>
      <x:c r="Q978" s="26" t="n">
        <x:v>0</x:v>
      </x:c>
      <x:c r="R978" s="26" t="n">
        <x:v>0</x:v>
      </x:c>
      <x:c r="S978" s="26" t="n">
        <x:v>0</x:v>
      </x:c>
      <x:c r="T978" s="26" t="n">
        <x:v>0</x:v>
      </x:c>
      <x:c r="U978" s="26" t="n">
        <x:v>0</x:v>
      </x:c>
      <x:c r="V978" s="26" t="n">
        <x:v>0</x:v>
      </x:c>
      <x:c r="W978" s="26" t="n">
        <x:v>0</x:v>
      </x:c>
      <x:c r="X978" s="26" t="n">
        <x:v>0</x:v>
      </x:c>
      <x:c r="Y978" s="26" t="n">
        <x:v>0</x:v>
      </x:c>
      <x:c r="Z978" s="35" t="str">
        <x:v>Receipt allocated to FIN-00974</x:v>
      </x:c>
    </x:row>
    <x:row r="979">
      <x:c r="A979" s="20" t="str">
        <x:v>FIN-00976</x:v>
      </x:c>
      <x:c r="B979" s="23" t="n">
        <x:v>46722</x:v>
      </x:c>
      <x:c r="C979" s="23" t="n">
        <x:v>46722</x:v>
      </x:c>
      <x:c r="D979" s="20" t="str">
        <x:v>TenantCharge</x:v>
      </x:c>
      <x:c r="E979" s="20" t="str">
        <x:v>Rent</x:v>
      </x:c>
      <x:c r="F979" s="20" t="str">
        <x:v>P022</x:v>
      </x:c>
      <x:c r="G979" s="20" t="str">
        <x:v>U024</x:v>
      </x:c>
      <x:c r="H979" s="20" t="str">
        <x:v>L024</x:v>
      </x:c>
      <x:c r="I979" s="20" t="str">
        <x:v>Yara Brooks</x:v>
      </x:c>
      <x:c r="J979" s="35" t="str">
        <x:v>System scheduled charge</x:v>
      </x:c>
      <x:c r="K979" s="20" t="str"/>
      <x:c r="L979" s="20" t="str">
        <x:v>RENT-202712-L024</x:v>
      </x:c>
      <x:c r="M979" s="26" t="n">
        <x:v>1150</x:v>
      </x:c>
      <x:c r="N979" s="26" t="n">
        <x:v>1150</x:v>
      </x:c>
      <x:c r="O979" s="26" t="n">
        <x:v>0</x:v>
      </x:c>
      <x:c r="P979" s="26" t="n">
        <x:v>0</x:v>
      </x:c>
      <x:c r="Q979" s="26" t="n">
        <x:v>0</x:v>
      </x:c>
      <x:c r="R979" s="26" t="n">
        <x:v>0</x:v>
      </x:c>
      <x:c r="S979" s="26" t="n">
        <x:v>0</x:v>
      </x:c>
      <x:c r="T979" s="26" t="n">
        <x:v>1150</x:v>
      </x:c>
      <x:c r="U979" s="26" t="n">
        <x:v>0</x:v>
      </x:c>
      <x:c r="V979" s="26" t="n">
        <x:v>0</x:v>
      </x:c>
      <x:c r="W979" s="26" t="n">
        <x:v>0</x:v>
      </x:c>
      <x:c r="X979" s="26" t="n">
        <x:v>0</x:v>
      </x:c>
      <x:c r="Y979" s="26" t="n">
        <x:v>0</x:v>
      </x:c>
      <x:c r="Z979" s="35" t="str">
        <x:v>December 2027 rent</x:v>
      </x:c>
    </x:row>
    <x:row r="980">
      <x:c r="A980" s="20" t="str">
        <x:v>FIN-00977</x:v>
      </x:c>
      <x:c r="B980" s="23" t="n">
        <x:v>46724</x:v>
      </x:c>
      <x:c r="C980" s="23" t="n">
        <x:v>46724</x:v>
      </x:c>
      <x:c r="D980" s="20" t="str">
        <x:v>TenantReceipt</x:v>
      </x:c>
      <x:c r="E980" s="20" t="str">
        <x:v>Rent receipt</x:v>
      </x:c>
      <x:c r="F980" s="20" t="str">
        <x:v>P022</x:v>
      </x:c>
      <x:c r="G980" s="20" t="str">
        <x:v>U024</x:v>
      </x:c>
      <x:c r="H980" s="20" t="str">
        <x:v>L024</x:v>
      </x:c>
      <x:c r="I980" s="20" t="str">
        <x:v>Yara Brooks</x:v>
      </x:c>
      <x:c r="J980" s="35" t="str">
        <x:v>Scanned check</x:v>
      </x:c>
      <x:c r="K980" s="20" t="str">
        <x:v>SCN-0334</x:v>
      </x:c>
      <x:c r="L980" s="20" t="str">
        <x:v>PMT-20271203-L024</x:v>
      </x:c>
      <x:c r="M980" s="26" t="n">
        <x:v>1150</x:v>
      </x:c>
      <x:c r="N980" s="26" t="n">
        <x:v>-1150</x:v>
      </x:c>
      <x:c r="O980" s="26" t="n">
        <x:v>1150</x:v>
      </x:c>
      <x:c r="P980" s="26" t="n">
        <x:v>0</x:v>
      </x:c>
      <x:c r="Q980" s="26" t="n">
        <x:v>0</x:v>
      </x:c>
      <x:c r="R980" s="26" t="n">
        <x:v>0</x:v>
      </x:c>
      <x:c r="S980" s="26" t="n">
        <x:v>0</x:v>
      </x:c>
      <x:c r="T980" s="26" t="n">
        <x:v>0</x:v>
      </x:c>
      <x:c r="U980" s="26" t="n">
        <x:v>0</x:v>
      </x:c>
      <x:c r="V980" s="26" t="n">
        <x:v>0</x:v>
      </x:c>
      <x:c r="W980" s="26" t="n">
        <x:v>0</x:v>
      </x:c>
      <x:c r="X980" s="26" t="n">
        <x:v>0</x:v>
      </x:c>
      <x:c r="Y980" s="26" t="n">
        <x:v>0</x:v>
      </x:c>
      <x:c r="Z980" s="35" t="str">
        <x:v>Receipt allocated to FIN-00976</x:v>
      </x:c>
    </x:row>
    <x:row r="981">
      <x:c r="A981" s="20" t="str">
        <x:v>FIN-00978</x:v>
      </x:c>
      <x:c r="B981" s="23" t="n">
        <x:v>46722</x:v>
      </x:c>
      <x:c r="C981" s="23" t="n">
        <x:v>46722</x:v>
      </x:c>
      <x:c r="D981" s="20" t="str">
        <x:v>TenantCharge</x:v>
      </x:c>
      <x:c r="E981" s="20" t="str">
        <x:v>Rent</x:v>
      </x:c>
      <x:c r="F981" s="20" t="str">
        <x:v>P023</x:v>
      </x:c>
      <x:c r="G981" s="20" t="str">
        <x:v>U025</x:v>
      </x:c>
      <x:c r="H981" s="20" t="str">
        <x:v>L025</x:v>
      </x:c>
      <x:c r="I981" s="20" t="str">
        <x:v>Bennett Garcia</x:v>
      </x:c>
      <x:c r="J981" s="35" t="str">
        <x:v>System scheduled charge</x:v>
      </x:c>
      <x:c r="K981" s="20" t="str"/>
      <x:c r="L981" s="20" t="str">
        <x:v>RENT-202712-L025</x:v>
      </x:c>
      <x:c r="M981" s="26" t="n">
        <x:v>1675</x:v>
      </x:c>
      <x:c r="N981" s="26" t="n">
        <x:v>1675</x:v>
      </x:c>
      <x:c r="O981" s="26" t="n">
        <x:v>0</x:v>
      </x:c>
      <x:c r="P981" s="26" t="n">
        <x:v>0</x:v>
      </x:c>
      <x:c r="Q981" s="26" t="n">
        <x:v>0</x:v>
      </x:c>
      <x:c r="R981" s="26" t="n">
        <x:v>0</x:v>
      </x:c>
      <x:c r="S981" s="26" t="n">
        <x:v>0</x:v>
      </x:c>
      <x:c r="T981" s="26" t="n">
        <x:v>1675</x:v>
      </x:c>
      <x:c r="U981" s="26" t="n">
        <x:v>0</x:v>
      </x:c>
      <x:c r="V981" s="26" t="n">
        <x:v>0</x:v>
      </x:c>
      <x:c r="W981" s="26" t="n">
        <x:v>0</x:v>
      </x:c>
      <x:c r="X981" s="26" t="n">
        <x:v>0</x:v>
      </x:c>
      <x:c r="Y981" s="26" t="n">
        <x:v>0</x:v>
      </x:c>
      <x:c r="Z981" s="35" t="str">
        <x:v>December 2027 rent</x:v>
      </x:c>
    </x:row>
    <x:row r="982">
      <x:c r="A982" s="20" t="str">
        <x:v>FIN-00979</x:v>
      </x:c>
      <x:c r="B982" s="23" t="n">
        <x:v>46725</x:v>
      </x:c>
      <x:c r="C982" s="23" t="n">
        <x:v>46725</x:v>
      </x:c>
      <x:c r="D982" s="20" t="str">
        <x:v>TenantReceipt</x:v>
      </x:c>
      <x:c r="E982" s="20" t="str">
        <x:v>Rent receipt</x:v>
      </x:c>
      <x:c r="F982" s="20" t="str">
        <x:v>P023</x:v>
      </x:c>
      <x:c r="G982" s="20" t="str">
        <x:v>U025</x:v>
      </x:c>
      <x:c r="H982" s="20" t="str">
        <x:v>L025</x:v>
      </x:c>
      <x:c r="I982" s="20" t="str">
        <x:v>Bennett Garcia</x:v>
      </x:c>
      <x:c r="J982" s="35" t="str">
        <x:v>Scanned money order</x:v>
      </x:c>
      <x:c r="K982" s="20" t="str">
        <x:v>SCN-0335</x:v>
      </x:c>
      <x:c r="L982" s="20" t="str">
        <x:v>PMT-20271204-L025</x:v>
      </x:c>
      <x:c r="M982" s="26" t="n">
        <x:v>1675</x:v>
      </x:c>
      <x:c r="N982" s="26" t="n">
        <x:v>-1675</x:v>
      </x:c>
      <x:c r="O982" s="26" t="n">
        <x:v>1675</x:v>
      </x:c>
      <x:c r="P982" s="26" t="n">
        <x:v>0</x:v>
      </x:c>
      <x:c r="Q982" s="26" t="n">
        <x:v>0</x:v>
      </x:c>
      <x:c r="R982" s="26" t="n">
        <x:v>0</x:v>
      </x:c>
      <x:c r="S982" s="26" t="n">
        <x:v>0</x:v>
      </x:c>
      <x:c r="T982" s="26" t="n">
        <x:v>0</x:v>
      </x:c>
      <x:c r="U982" s="26" t="n">
        <x:v>0</x:v>
      </x:c>
      <x:c r="V982" s="26" t="n">
        <x:v>0</x:v>
      </x:c>
      <x:c r="W982" s="26" t="n">
        <x:v>0</x:v>
      </x:c>
      <x:c r="X982" s="26" t="n">
        <x:v>0</x:v>
      </x:c>
      <x:c r="Y982" s="26" t="n">
        <x:v>0</x:v>
      </x:c>
      <x:c r="Z982" s="35" t="str">
        <x:v>Receipt allocated to FIN-00978</x:v>
      </x:c>
    </x:row>
    <x:row r="983">
      <x:c r="A983" s="20" t="str">
        <x:v>FIN-00980</x:v>
      </x:c>
      <x:c r="B983" s="23" t="n">
        <x:v>46722</x:v>
      </x:c>
      <x:c r="C983" s="23" t="n">
        <x:v>46722</x:v>
      </x:c>
      <x:c r="D983" s="20" t="str">
        <x:v>TenantCharge</x:v>
      </x:c>
      <x:c r="E983" s="20" t="str">
        <x:v>Rent</x:v>
      </x:c>
      <x:c r="F983" s="20" t="str">
        <x:v>P023</x:v>
      </x:c>
      <x:c r="G983" s="20" t="str">
        <x:v>U026</x:v>
      </x:c>
      <x:c r="H983" s="20" t="str">
        <x:v>L026</x:v>
      </x:c>
      <x:c r="I983" s="20" t="str">
        <x:v>Elena Lewis</x:v>
      </x:c>
      <x:c r="J983" s="35" t="str">
        <x:v>System scheduled charge</x:v>
      </x:c>
      <x:c r="K983" s="20" t="str"/>
      <x:c r="L983" s="20" t="str">
        <x:v>RENT-202712-L026</x:v>
      </x:c>
      <x:c r="M983" s="26" t="n">
        <x:v>1300</x:v>
      </x:c>
      <x:c r="N983" s="26" t="n">
        <x:v>1300</x:v>
      </x:c>
      <x:c r="O983" s="26" t="n">
        <x:v>0</x:v>
      </x:c>
      <x:c r="P983" s="26" t="n">
        <x:v>0</x:v>
      </x:c>
      <x:c r="Q983" s="26" t="n">
        <x:v>0</x:v>
      </x:c>
      <x:c r="R983" s="26" t="n">
        <x:v>0</x:v>
      </x:c>
      <x:c r="S983" s="26" t="n">
        <x:v>0</x:v>
      </x:c>
      <x:c r="T983" s="26" t="n">
        <x:v>1300</x:v>
      </x:c>
      <x:c r="U983" s="26" t="n">
        <x:v>0</x:v>
      </x:c>
      <x:c r="V983" s="26" t="n">
        <x:v>0</x:v>
      </x:c>
      <x:c r="W983" s="26" t="n">
        <x:v>0</x:v>
      </x:c>
      <x:c r="X983" s="26" t="n">
        <x:v>0</x:v>
      </x:c>
      <x:c r="Y983" s="26" t="n">
        <x:v>0</x:v>
      </x:c>
      <x:c r="Z983" s="35" t="str">
        <x:v>December 2027 rent</x:v>
      </x:c>
    </x:row>
    <x:row r="984">
      <x:c r="A984" s="20" t="str">
        <x:v>FIN-00981</x:v>
      </x:c>
      <x:c r="B984" s="23" t="n">
        <x:v>46727</x:v>
      </x:c>
      <x:c r="C984" s="23" t="n">
        <x:v>46727</x:v>
      </x:c>
      <x:c r="D984" s="20" t="str">
        <x:v>TenantCharge</x:v>
      </x:c>
      <x:c r="E984" s="20" t="str">
        <x:v>Late fee</x:v>
      </x:c>
      <x:c r="F984" s="20" t="str">
        <x:v>P023</x:v>
      </x:c>
      <x:c r="G984" s="20" t="str">
        <x:v>U026</x:v>
      </x:c>
      <x:c r="H984" s="20" t="str">
        <x:v>L026</x:v>
      </x:c>
      <x:c r="I984" s="20" t="str">
        <x:v>Elena Lewis</x:v>
      </x:c>
      <x:c r="J984" s="35" t="str">
        <x:v>System automation</x:v>
      </x:c>
      <x:c r="K984" s="20" t="str"/>
      <x:c r="L984" s="20" t="str">
        <x:v>LATE-202712-L026</x:v>
      </x:c>
      <x:c r="M984" s="26" t="n">
        <x:v>50</x:v>
      </x:c>
      <x:c r="N984" s="26" t="n">
        <x:v>50</x:v>
      </x:c>
      <x:c r="O984" s="26" t="n">
        <x:v>0</x:v>
      </x:c>
      <x:c r="P984" s="26" t="n">
        <x:v>0</x:v>
      </x:c>
      <x:c r="Q984" s="26" t="n">
        <x:v>0</x:v>
      </x:c>
      <x:c r="R984" s="26" t="n">
        <x:v>0</x:v>
      </x:c>
      <x:c r="S984" s="26" t="n">
        <x:v>0</x:v>
      </x:c>
      <x:c r="T984" s="26" t="n">
        <x:v>50</x:v>
      </x:c>
      <x:c r="U984" s="26" t="n">
        <x:v>0</x:v>
      </x:c>
      <x:c r="V984" s="26" t="n">
        <x:v>0</x:v>
      </x:c>
      <x:c r="W984" s="26" t="n">
        <x:v>0</x:v>
      </x:c>
      <x:c r="X984" s="26" t="n">
        <x:v>0</x:v>
      </x:c>
      <x:c r="Y984" s="26" t="n">
        <x:v>0</x:v>
      </x:c>
      <x:c r="Z984" s="35" t="str">
        <x:v>Synthetic lease-authorized late fee</x:v>
      </x:c>
    </x:row>
    <x:row r="985">
      <x:c r="A985" s="20" t="str">
        <x:v>FIN-00982</x:v>
      </x:c>
      <x:c r="B985" s="23" t="n">
        <x:v>46729</x:v>
      </x:c>
      <x:c r="C985" s="23" t="n">
        <x:v>46729</x:v>
      </x:c>
      <x:c r="D985" s="20" t="str">
        <x:v>TenantReceipt</x:v>
      </x:c>
      <x:c r="E985" s="20" t="str">
        <x:v>Rent receipt</x:v>
      </x:c>
      <x:c r="F985" s="20" t="str">
        <x:v>P023</x:v>
      </x:c>
      <x:c r="G985" s="20" t="str">
        <x:v>U026</x:v>
      </x:c>
      <x:c r="H985" s="20" t="str">
        <x:v>L026</x:v>
      </x:c>
      <x:c r="I985" s="20" t="str">
        <x:v>Elena Lewis</x:v>
      </x:c>
      <x:c r="J985" s="35" t="str">
        <x:v>Scanned money order</x:v>
      </x:c>
      <x:c r="K985" s="20" t="str">
        <x:v>SCN-0336</x:v>
      </x:c>
      <x:c r="L985" s="20" t="str">
        <x:v>PMT-20271208-L026</x:v>
      </x:c>
      <x:c r="M985" s="26" t="n">
        <x:v>1350</x:v>
      </x:c>
      <x:c r="N985" s="26" t="n">
        <x:v>-1350</x:v>
      </x:c>
      <x:c r="O985" s="26" t="n">
        <x:v>1350</x:v>
      </x:c>
      <x:c r="P985" s="26" t="n">
        <x:v>0</x:v>
      </x:c>
      <x:c r="Q985" s="26" t="n">
        <x:v>0</x:v>
      </x:c>
      <x:c r="R985" s="26" t="n">
        <x:v>0</x:v>
      </x:c>
      <x:c r="S985" s="26" t="n">
        <x:v>0</x:v>
      </x:c>
      <x:c r="T985" s="26" t="n">
        <x:v>0</x:v>
      </x:c>
      <x:c r="U985" s="26" t="n">
        <x:v>0</x:v>
      </x:c>
      <x:c r="V985" s="26" t="n">
        <x:v>0</x:v>
      </x:c>
      <x:c r="W985" s="26" t="n">
        <x:v>0</x:v>
      </x:c>
      <x:c r="X985" s="26" t="n">
        <x:v>0</x:v>
      </x:c>
      <x:c r="Y985" s="26" t="n">
        <x:v>0</x:v>
      </x:c>
      <x:c r="Z985" s="35" t="str">
        <x:v>Receipt allocated to FIN-00981</x:v>
      </x:c>
    </x:row>
    <x:row r="986">
      <x:c r="A986" s="20" t="str">
        <x:v>FIN-00983</x:v>
      </x:c>
      <x:c r="B986" s="23" t="n">
        <x:v>46722</x:v>
      </x:c>
      <x:c r="C986" s="23" t="n">
        <x:v>46722</x:v>
      </x:c>
      <x:c r="D986" s="20" t="str">
        <x:v>TenantCharge</x:v>
      </x:c>
      <x:c r="E986" s="20" t="str">
        <x:v>Rent</x:v>
      </x:c>
      <x:c r="F986" s="20" t="str">
        <x:v>P024</x:v>
      </x:c>
      <x:c r="G986" s="20" t="str">
        <x:v>U027</x:v>
      </x:c>
      <x:c r="H986" s="20" t="str">
        <x:v>L027</x:v>
      </x:c>
      <x:c r="I986" s="20" t="str">
        <x:v>Hector Reed</x:v>
      </x:c>
      <x:c r="J986" s="35" t="str">
        <x:v>System scheduled charge</x:v>
      </x:c>
      <x:c r="K986" s="20" t="str"/>
      <x:c r="L986" s="20" t="str">
        <x:v>RENT-202712-L027</x:v>
      </x:c>
      <x:c r="M986" s="26" t="n">
        <x:v>1825</x:v>
      </x:c>
      <x:c r="N986" s="26" t="n">
        <x:v>1825</x:v>
      </x:c>
      <x:c r="O986" s="26" t="n">
        <x:v>0</x:v>
      </x:c>
      <x:c r="P986" s="26" t="n">
        <x:v>0</x:v>
      </x:c>
      <x:c r="Q986" s="26" t="n">
        <x:v>0</x:v>
      </x:c>
      <x:c r="R986" s="26" t="n">
        <x:v>0</x:v>
      </x:c>
      <x:c r="S986" s="26" t="n">
        <x:v>0</x:v>
      </x:c>
      <x:c r="T986" s="26" t="n">
        <x:v>1825</x:v>
      </x:c>
      <x:c r="U986" s="26" t="n">
        <x:v>0</x:v>
      </x:c>
      <x:c r="V986" s="26" t="n">
        <x:v>0</x:v>
      </x:c>
      <x:c r="W986" s="26" t="n">
        <x:v>0</x:v>
      </x:c>
      <x:c r="X986" s="26" t="n">
        <x:v>0</x:v>
      </x:c>
      <x:c r="Y986" s="26" t="n">
        <x:v>0</x:v>
      </x:c>
      <x:c r="Z986" s="35" t="str">
        <x:v>December 2027 rent</x:v>
      </x:c>
    </x:row>
    <x:row r="987">
      <x:c r="A987" s="20" t="str">
        <x:v>FIN-00984</x:v>
      </x:c>
      <x:c r="B987" s="23" t="n">
        <x:v>46724</x:v>
      </x:c>
      <x:c r="C987" s="23" t="n">
        <x:v>46724</x:v>
      </x:c>
      <x:c r="D987" s="20" t="str">
        <x:v>TenantReceipt</x:v>
      </x:c>
      <x:c r="E987" s="20" t="str">
        <x:v>Rent receipt</x:v>
      </x:c>
      <x:c r="F987" s="20" t="str">
        <x:v>P024</x:v>
      </x:c>
      <x:c r="G987" s="20" t="str">
        <x:v>U027</x:v>
      </x:c>
      <x:c r="H987" s="20" t="str">
        <x:v>L027</x:v>
      </x:c>
      <x:c r="I987" s="20" t="str">
        <x:v>Hector Reed</x:v>
      </x:c>
      <x:c r="J987" s="35" t="str">
        <x:v>Portal card</x:v>
      </x:c>
      <x:c r="K987" s="20" t="str"/>
      <x:c r="L987" s="20" t="str">
        <x:v>PMT-20271203-L027</x:v>
      </x:c>
      <x:c r="M987" s="26" t="n">
        <x:v>1825</x:v>
      </x:c>
      <x:c r="N987" s="26" t="n">
        <x:v>-1825</x:v>
      </x:c>
      <x:c r="O987" s="26" t="n">
        <x:v>1825</x:v>
      </x:c>
      <x:c r="P987" s="26" t="n">
        <x:v>0</x:v>
      </x:c>
      <x:c r="Q987" s="26" t="n">
        <x:v>0</x:v>
      </x:c>
      <x:c r="R987" s="26" t="n">
        <x:v>0</x:v>
      </x:c>
      <x:c r="S987" s="26" t="n">
        <x:v>0</x:v>
      </x:c>
      <x:c r="T987" s="26" t="n">
        <x:v>0</x:v>
      </x:c>
      <x:c r="U987" s="26" t="n">
        <x:v>0</x:v>
      </x:c>
      <x:c r="V987" s="26" t="n">
        <x:v>0</x:v>
      </x:c>
      <x:c r="W987" s="26" t="n">
        <x:v>0</x:v>
      </x:c>
      <x:c r="X987" s="26" t="n">
        <x:v>0</x:v>
      </x:c>
      <x:c r="Y987" s="26" t="n">
        <x:v>0</x:v>
      </x:c>
      <x:c r="Z987" s="35" t="str">
        <x:v>Receipt allocated to FIN-00983</x:v>
      </x:c>
    </x:row>
    <x:row r="988">
      <x:c r="A988" s="20" t="str">
        <x:v>FIN-00985</x:v>
      </x:c>
      <x:c r="B988" s="23" t="n">
        <x:v>46722</x:v>
      </x:c>
      <x:c r="C988" s="23" t="n">
        <x:v>46722</x:v>
      </x:c>
      <x:c r="D988" s="20" t="str">
        <x:v>TenantCharge</x:v>
      </x:c>
      <x:c r="E988" s="20" t="str">
        <x:v>Rent</x:v>
      </x:c>
      <x:c r="F988" s="20" t="str">
        <x:v>P024</x:v>
      </x:c>
      <x:c r="G988" s="20" t="str">
        <x:v>U028</x:v>
      </x:c>
      <x:c r="H988" s="20" t="str">
        <x:v>L028</x:v>
      </x:c>
      <x:c r="I988" s="20" t="str">
        <x:v>Keira Adams</x:v>
      </x:c>
      <x:c r="J988" s="35" t="str">
        <x:v>System scheduled charge</x:v>
      </x:c>
      <x:c r="K988" s="20" t="str"/>
      <x:c r="L988" s="20" t="str">
        <x:v>RENT-202712-L028</x:v>
      </x:c>
      <x:c r="M988" s="26" t="n">
        <x:v>1450</x:v>
      </x:c>
      <x:c r="N988" s="26" t="n">
        <x:v>1450</x:v>
      </x:c>
      <x:c r="O988" s="26" t="n">
        <x:v>0</x:v>
      </x:c>
      <x:c r="P988" s="26" t="n">
        <x:v>0</x:v>
      </x:c>
      <x:c r="Q988" s="26" t="n">
        <x:v>0</x:v>
      </x:c>
      <x:c r="R988" s="26" t="n">
        <x:v>0</x:v>
      </x:c>
      <x:c r="S988" s="26" t="n">
        <x:v>0</x:v>
      </x:c>
      <x:c r="T988" s="26" t="n">
        <x:v>1450</x:v>
      </x:c>
      <x:c r="U988" s="26" t="n">
        <x:v>0</x:v>
      </x:c>
      <x:c r="V988" s="26" t="n">
        <x:v>0</x:v>
      </x:c>
      <x:c r="W988" s="26" t="n">
        <x:v>0</x:v>
      </x:c>
      <x:c r="X988" s="26" t="n">
        <x:v>0</x:v>
      </x:c>
      <x:c r="Y988" s="26" t="n">
        <x:v>0</x:v>
      </x:c>
      <x:c r="Z988" s="35" t="str">
        <x:v>December 2027 rent</x:v>
      </x:c>
    </x:row>
    <x:row r="989">
      <x:c r="A989" s="20" t="str">
        <x:v>FIN-00986</x:v>
      </x:c>
      <x:c r="B989" s="23" t="n">
        <x:v>46725</x:v>
      </x:c>
      <x:c r="C989" s="23" t="n">
        <x:v>46725</x:v>
      </x:c>
      <x:c r="D989" s="20" t="str">
        <x:v>TenantReceipt</x:v>
      </x:c>
      <x:c r="E989" s="20" t="str">
        <x:v>Rent receipt</x:v>
      </x:c>
      <x:c r="F989" s="20" t="str">
        <x:v>P024</x:v>
      </x:c>
      <x:c r="G989" s="20" t="str">
        <x:v>U028</x:v>
      </x:c>
      <x:c r="H989" s="20" t="str">
        <x:v>L028</x:v>
      </x:c>
      <x:c r="I989" s="20" t="str">
        <x:v>Keira Adams</x:v>
      </x:c>
      <x:c r="J989" s="35" t="str">
        <x:v>Scanned check</x:v>
      </x:c>
      <x:c r="K989" s="20" t="str">
        <x:v>SCN-0337</x:v>
      </x:c>
      <x:c r="L989" s="20" t="str">
        <x:v>PMT-20271204-L028</x:v>
      </x:c>
      <x:c r="M989" s="26" t="n">
        <x:v>1450</x:v>
      </x:c>
      <x:c r="N989" s="26" t="n">
        <x:v>-1450</x:v>
      </x:c>
      <x:c r="O989" s="26" t="n">
        <x:v>1450</x:v>
      </x:c>
      <x:c r="P989" s="26" t="n">
        <x:v>0</x:v>
      </x:c>
      <x:c r="Q989" s="26" t="n">
        <x:v>0</x:v>
      </x:c>
      <x:c r="R989" s="26" t="n">
        <x:v>0</x:v>
      </x:c>
      <x:c r="S989" s="26" t="n">
        <x:v>0</x:v>
      </x:c>
      <x:c r="T989" s="26" t="n">
        <x:v>0</x:v>
      </x:c>
      <x:c r="U989" s="26" t="n">
        <x:v>0</x:v>
      </x:c>
      <x:c r="V989" s="26" t="n">
        <x:v>0</x:v>
      </x:c>
      <x:c r="W989" s="26" t="n">
        <x:v>0</x:v>
      </x:c>
      <x:c r="X989" s="26" t="n">
        <x:v>0</x:v>
      </x:c>
      <x:c r="Y989" s="26" t="n">
        <x:v>0</x:v>
      </x:c>
      <x:c r="Z989" s="35" t="str">
        <x:v>Receipt allocated to FIN-00985</x:v>
      </x:c>
    </x:row>
    <x:row r="990">
      <x:c r="A990" s="20" t="str">
        <x:v>FIN-00987</x:v>
      </x:c>
      <x:c r="B990" s="23" t="n">
        <x:v>46722</x:v>
      </x:c>
      <x:c r="C990" s="23" t="n">
        <x:v>46722</x:v>
      </x:c>
      <x:c r="D990" s="20" t="str">
        <x:v>TenantCharge</x:v>
      </x:c>
      <x:c r="E990" s="20" t="str">
        <x:v>Rent</x:v>
      </x:c>
      <x:c r="F990" s="20" t="str">
        <x:v>P025</x:v>
      </x:c>
      <x:c r="G990" s="20" t="str">
        <x:v>U029</x:v>
      </x:c>
      <x:c r="H990" s="20" t="str">
        <x:v>L029</x:v>
      </x:c>
      <x:c r="I990" s="20" t="str">
        <x:v>Nolan Flores</x:v>
      </x:c>
      <x:c r="J990" s="35" t="str">
        <x:v>System scheduled charge</x:v>
      </x:c>
      <x:c r="K990" s="20" t="str"/>
      <x:c r="L990" s="20" t="str">
        <x:v>RENT-202712-L029</x:v>
      </x:c>
      <x:c r="M990" s="26" t="n">
        <x:v>1975</x:v>
      </x:c>
      <x:c r="N990" s="26" t="n">
        <x:v>1975</x:v>
      </x:c>
      <x:c r="O990" s="26" t="n">
        <x:v>0</x:v>
      </x:c>
      <x:c r="P990" s="26" t="n">
        <x:v>0</x:v>
      </x:c>
      <x:c r="Q990" s="26" t="n">
        <x:v>0</x:v>
      </x:c>
      <x:c r="R990" s="26" t="n">
        <x:v>0</x:v>
      </x:c>
      <x:c r="S990" s="26" t="n">
        <x:v>0</x:v>
      </x:c>
      <x:c r="T990" s="26" t="n">
        <x:v>1975</x:v>
      </x:c>
      <x:c r="U990" s="26" t="n">
        <x:v>0</x:v>
      </x:c>
      <x:c r="V990" s="26" t="n">
        <x:v>0</x:v>
      </x:c>
      <x:c r="W990" s="26" t="n">
        <x:v>0</x:v>
      </x:c>
      <x:c r="X990" s="26" t="n">
        <x:v>0</x:v>
      </x:c>
      <x:c r="Y990" s="26" t="n">
        <x:v>0</x:v>
      </x:c>
      <x:c r="Z990" s="35" t="str">
        <x:v>December 2027 rent</x:v>
      </x:c>
    </x:row>
    <x:row r="991">
      <x:c r="A991" s="20" t="str">
        <x:v>FIN-00988</x:v>
      </x:c>
      <x:c r="B991" s="23" t="n">
        <x:v>46726</x:v>
      </x:c>
      <x:c r="C991" s="23" t="n">
        <x:v>46726</x:v>
      </x:c>
      <x:c r="D991" s="20" t="str">
        <x:v>TenantReceipt</x:v>
      </x:c>
      <x:c r="E991" s="20" t="str">
        <x:v>Rent receipt</x:v>
      </x:c>
      <x:c r="F991" s="20" t="str">
        <x:v>P025</x:v>
      </x:c>
      <x:c r="G991" s="20" t="str">
        <x:v>U029</x:v>
      </x:c>
      <x:c r="H991" s="20" t="str">
        <x:v>L029</x:v>
      </x:c>
      <x:c r="I991" s="20" t="str">
        <x:v>Nolan Flores</x:v>
      </x:c>
      <x:c r="J991" s="35" t="str">
        <x:v>Scanned money order</x:v>
      </x:c>
      <x:c r="K991" s="20" t="str">
        <x:v>SCN-0338</x:v>
      </x:c>
      <x:c r="L991" s="20" t="str">
        <x:v>PMT-20271205-L029</x:v>
      </x:c>
      <x:c r="M991" s="26" t="n">
        <x:v>1975</x:v>
      </x:c>
      <x:c r="N991" s="26" t="n">
        <x:v>-1975</x:v>
      </x:c>
      <x:c r="O991" s="26" t="n">
        <x:v>1975</x:v>
      </x:c>
      <x:c r="P991" s="26" t="n">
        <x:v>0</x:v>
      </x:c>
      <x:c r="Q991" s="26" t="n">
        <x:v>0</x:v>
      </x:c>
      <x:c r="R991" s="26" t="n">
        <x:v>0</x:v>
      </x:c>
      <x:c r="S991" s="26" t="n">
        <x:v>0</x:v>
      </x:c>
      <x:c r="T991" s="26" t="n">
        <x:v>0</x:v>
      </x:c>
      <x:c r="U991" s="26" t="n">
        <x:v>0</x:v>
      </x:c>
      <x:c r="V991" s="26" t="n">
        <x:v>0</x:v>
      </x:c>
      <x:c r="W991" s="26" t="n">
        <x:v>0</x:v>
      </x:c>
      <x:c r="X991" s="26" t="n">
        <x:v>0</x:v>
      </x:c>
      <x:c r="Y991" s="26" t="n">
        <x:v>0</x:v>
      </x:c>
      <x:c r="Z991" s="35" t="str">
        <x:v>Receipt allocated to FIN-00987</x:v>
      </x:c>
    </x:row>
    <x:row r="992">
      <x:c r="A992" s="20" t="str">
        <x:v>FIN-00989</x:v>
      </x:c>
      <x:c r="B992" s="23" t="n">
        <x:v>46722</x:v>
      </x:c>
      <x:c r="C992" s="23" t="n">
        <x:v>46722</x:v>
      </x:c>
      <x:c r="D992" s="20" t="str">
        <x:v>TenantCharge</x:v>
      </x:c>
      <x:c r="E992" s="20" t="str">
        <x:v>Rent</x:v>
      </x:c>
      <x:c r="F992" s="20" t="str">
        <x:v>P025</x:v>
      </x:c>
      <x:c r="G992" s="20" t="str">
        <x:v>U030</x:v>
      </x:c>
      <x:c r="H992" s="20" t="str">
        <x:v>L030</x:v>
      </x:c>
      <x:c r="I992" s="20" t="str">
        <x:v>Rina King</x:v>
      </x:c>
      <x:c r="J992" s="35" t="str">
        <x:v>System scheduled charge</x:v>
      </x:c>
      <x:c r="K992" s="20" t="str"/>
      <x:c r="L992" s="20" t="str">
        <x:v>RENT-202712-L030</x:v>
      </x:c>
      <x:c r="M992" s="26" t="n">
        <x:v>1600</x:v>
      </x:c>
      <x:c r="N992" s="26" t="n">
        <x:v>1600</x:v>
      </x:c>
      <x:c r="O992" s="26" t="n">
        <x:v>0</x:v>
      </x:c>
      <x:c r="P992" s="26" t="n">
        <x:v>0</x:v>
      </x:c>
      <x:c r="Q992" s="26" t="n">
        <x:v>0</x:v>
      </x:c>
      <x:c r="R992" s="26" t="n">
        <x:v>0</x:v>
      </x:c>
      <x:c r="S992" s="26" t="n">
        <x:v>0</x:v>
      </x:c>
      <x:c r="T992" s="26" t="n">
        <x:v>1600</x:v>
      </x:c>
      <x:c r="U992" s="26" t="n">
        <x:v>0</x:v>
      </x:c>
      <x:c r="V992" s="26" t="n">
        <x:v>0</x:v>
      </x:c>
      <x:c r="W992" s="26" t="n">
        <x:v>0</x:v>
      </x:c>
      <x:c r="X992" s="26" t="n">
        <x:v>0</x:v>
      </x:c>
      <x:c r="Y992" s="26" t="n">
        <x:v>0</x:v>
      </x:c>
      <x:c r="Z992" s="35" t="str">
        <x:v>December 2027 rent</x:v>
      </x:c>
    </x:row>
    <x:row r="993">
      <x:c r="A993" s="20" t="str">
        <x:v>FIN-00990</x:v>
      </x:c>
      <x:c r="B993" s="23" t="n">
        <x:v>46724</x:v>
      </x:c>
      <x:c r="C993" s="23" t="n">
        <x:v>46724</x:v>
      </x:c>
      <x:c r="D993" s="20" t="str">
        <x:v>TenantReceipt</x:v>
      </x:c>
      <x:c r="E993" s="20" t="str">
        <x:v>Rent receipt</x:v>
      </x:c>
      <x:c r="F993" s="20" t="str">
        <x:v>P025</x:v>
      </x:c>
      <x:c r="G993" s="20" t="str">
        <x:v>U030</x:v>
      </x:c>
      <x:c r="H993" s="20" t="str">
        <x:v>L030</x:v>
      </x:c>
      <x:c r="I993" s="20" t="str">
        <x:v>Rina King</x:v>
      </x:c>
      <x:c r="J993" s="35" t="str">
        <x:v>Manual ACH</x:v>
      </x:c>
      <x:c r="K993" s="20" t="str"/>
      <x:c r="L993" s="20" t="str">
        <x:v>PMT-20271203-L030</x:v>
      </x:c>
      <x:c r="M993" s="26" t="n">
        <x:v>1600</x:v>
      </x:c>
      <x:c r="N993" s="26" t="n">
        <x:v>-1600</x:v>
      </x:c>
      <x:c r="O993" s="26" t="n">
        <x:v>1600</x:v>
      </x:c>
      <x:c r="P993" s="26" t="n">
        <x:v>0</x:v>
      </x:c>
      <x:c r="Q993" s="26" t="n">
        <x:v>0</x:v>
      </x:c>
      <x:c r="R993" s="26" t="n">
        <x:v>0</x:v>
      </x:c>
      <x:c r="S993" s="26" t="n">
        <x:v>0</x:v>
      </x:c>
      <x:c r="T993" s="26" t="n">
        <x:v>0</x:v>
      </x:c>
      <x:c r="U993" s="26" t="n">
        <x:v>0</x:v>
      </x:c>
      <x:c r="V993" s="26" t="n">
        <x:v>0</x:v>
      </x:c>
      <x:c r="W993" s="26" t="n">
        <x:v>0</x:v>
      </x:c>
      <x:c r="X993" s="26" t="n">
        <x:v>0</x:v>
      </x:c>
      <x:c r="Y993" s="26" t="n">
        <x:v>0</x:v>
      </x:c>
      <x:c r="Z993" s="35" t="str">
        <x:v>Receipt allocated to FIN-00989</x:v>
      </x:c>
    </x:row>
    <x:row r="994">
      <x:c r="A994" s="20" t="str">
        <x:v>FIN-00991</x:v>
      </x:c>
      <x:c r="B994" s="23" t="n">
        <x:v>46722</x:v>
      </x:c>
      <x:c r="C994" s="23" t="n">
        <x:v>46722</x:v>
      </x:c>
      <x:c r="D994" s="20" t="str">
        <x:v>TenantCharge</x:v>
      </x:c>
      <x:c r="E994" s="20" t="str">
        <x:v>Rent</x:v>
      </x:c>
      <x:c r="F994" s="20" t="str">
        <x:v>P026</x:v>
      </x:c>
      <x:c r="G994" s="20" t="str">
        <x:v>U031</x:v>
      </x:c>
      <x:c r="H994" s="20" t="str">
        <x:v>L031</x:v>
      </x:c>
      <x:c r="I994" s="20" t="str">
        <x:v>Uri Price</x:v>
      </x:c>
      <x:c r="J994" s="35" t="str">
        <x:v>System scheduled charge</x:v>
      </x:c>
      <x:c r="K994" s="20" t="str"/>
      <x:c r="L994" s="20" t="str">
        <x:v>RENT-202712-L031</x:v>
      </x:c>
      <x:c r="M994" s="26" t="n">
        <x:v>1225</x:v>
      </x:c>
      <x:c r="N994" s="26" t="n">
        <x:v>1225</x:v>
      </x:c>
      <x:c r="O994" s="26" t="n">
        <x:v>0</x:v>
      </x:c>
      <x:c r="P994" s="26" t="n">
        <x:v>0</x:v>
      </x:c>
      <x:c r="Q994" s="26" t="n">
        <x:v>0</x:v>
      </x:c>
      <x:c r="R994" s="26" t="n">
        <x:v>0</x:v>
      </x:c>
      <x:c r="S994" s="26" t="n">
        <x:v>0</x:v>
      </x:c>
      <x:c r="T994" s="26" t="n">
        <x:v>1225</x:v>
      </x:c>
      <x:c r="U994" s="26" t="n">
        <x:v>0</x:v>
      </x:c>
      <x:c r="V994" s="26" t="n">
        <x:v>0</x:v>
      </x:c>
      <x:c r="W994" s="26" t="n">
        <x:v>0</x:v>
      </x:c>
      <x:c r="X994" s="26" t="n">
        <x:v>0</x:v>
      </x:c>
      <x:c r="Y994" s="26" t="n">
        <x:v>0</x:v>
      </x:c>
      <x:c r="Z994" s="35" t="str">
        <x:v>December 2027 rent</x:v>
      </x:c>
    </x:row>
    <x:row r="995">
      <x:c r="A995" s="20" t="str">
        <x:v>FIN-00992</x:v>
      </x:c>
      <x:c r="B995" s="23" t="n">
        <x:v>46725</x:v>
      </x:c>
      <x:c r="C995" s="23" t="n">
        <x:v>46725</x:v>
      </x:c>
      <x:c r="D995" s="20" t="str">
        <x:v>TenantReceipt</x:v>
      </x:c>
      <x:c r="E995" s="20" t="str">
        <x:v>Rent receipt</x:v>
      </x:c>
      <x:c r="F995" s="20" t="str">
        <x:v>P026</x:v>
      </x:c>
      <x:c r="G995" s="20" t="str">
        <x:v>U031</x:v>
      </x:c>
      <x:c r="H995" s="20" t="str">
        <x:v>L031</x:v>
      </x:c>
      <x:c r="I995" s="20" t="str">
        <x:v>Uri Price</x:v>
      </x:c>
      <x:c r="J995" s="35" t="str">
        <x:v>Portal card</x:v>
      </x:c>
      <x:c r="K995" s="20" t="str"/>
      <x:c r="L995" s="20" t="str">
        <x:v>PMT-20271204-L031</x:v>
      </x:c>
      <x:c r="M995" s="26" t="n">
        <x:v>1225</x:v>
      </x:c>
      <x:c r="N995" s="26" t="n">
        <x:v>-1225</x:v>
      </x:c>
      <x:c r="O995" s="26" t="n">
        <x:v>1225</x:v>
      </x:c>
      <x:c r="P995" s="26" t="n">
        <x:v>0</x:v>
      </x:c>
      <x:c r="Q995" s="26" t="n">
        <x:v>0</x:v>
      </x:c>
      <x:c r="R995" s="26" t="n">
        <x:v>0</x:v>
      </x:c>
      <x:c r="S995" s="26" t="n">
        <x:v>0</x:v>
      </x:c>
      <x:c r="T995" s="26" t="n">
        <x:v>0</x:v>
      </x:c>
      <x:c r="U995" s="26" t="n">
        <x:v>0</x:v>
      </x:c>
      <x:c r="V995" s="26" t="n">
        <x:v>0</x:v>
      </x:c>
      <x:c r="W995" s="26" t="n">
        <x:v>0</x:v>
      </x:c>
      <x:c r="X995" s="26" t="n">
        <x:v>0</x:v>
      </x:c>
      <x:c r="Y995" s="26" t="n">
        <x:v>0</x:v>
      </x:c>
      <x:c r="Z995" s="35" t="str">
        <x:v>Receipt allocated to FIN-00991</x:v>
      </x:c>
    </x:row>
    <x:row r="996">
      <x:c r="A996" s="20" t="str">
        <x:v>FIN-00993</x:v>
      </x:c>
      <x:c r="B996" s="23" t="n">
        <x:v>46722</x:v>
      </x:c>
      <x:c r="C996" s="23" t="n">
        <x:v>46722</x:v>
      </x:c>
      <x:c r="D996" s="20" t="str">
        <x:v>TenantCharge</x:v>
      </x:c>
      <x:c r="E996" s="20" t="str">
        <x:v>Rent</x:v>
      </x:c>
      <x:c r="F996" s="20" t="str">
        <x:v>P026</x:v>
      </x:c>
      <x:c r="G996" s="20" t="str">
        <x:v>U032</x:v>
      </x:c>
      <x:c r="H996" s="20" t="str">
        <x:v>L032</x:v>
      </x:c>
      <x:c r="I996" s="20" t="str">
        <x:v>Avery Brooks</x:v>
      </x:c>
      <x:c r="J996" s="35" t="str">
        <x:v>System scheduled charge</x:v>
      </x:c>
      <x:c r="K996" s="20" t="str"/>
      <x:c r="L996" s="20" t="str">
        <x:v>RENT-202712-L032</x:v>
      </x:c>
      <x:c r="M996" s="26" t="n">
        <x:v>1750</x:v>
      </x:c>
      <x:c r="N996" s="26" t="n">
        <x:v>1750</x:v>
      </x:c>
      <x:c r="O996" s="26" t="n">
        <x:v>0</x:v>
      </x:c>
      <x:c r="P996" s="26" t="n">
        <x:v>0</x:v>
      </x:c>
      <x:c r="Q996" s="26" t="n">
        <x:v>0</x:v>
      </x:c>
      <x:c r="R996" s="26" t="n">
        <x:v>0</x:v>
      </x:c>
      <x:c r="S996" s="26" t="n">
        <x:v>0</x:v>
      </x:c>
      <x:c r="T996" s="26" t="n">
        <x:v>1750</x:v>
      </x:c>
      <x:c r="U996" s="26" t="n">
        <x:v>0</x:v>
      </x:c>
      <x:c r="V996" s="26" t="n">
        <x:v>0</x:v>
      </x:c>
      <x:c r="W996" s="26" t="n">
        <x:v>0</x:v>
      </x:c>
      <x:c r="X996" s="26" t="n">
        <x:v>0</x:v>
      </x:c>
      <x:c r="Y996" s="26" t="n">
        <x:v>0</x:v>
      </x:c>
      <x:c r="Z996" s="35" t="str">
        <x:v>December 2027 rent</x:v>
      </x:c>
    </x:row>
    <x:row r="997">
      <x:c r="A997" s="20" t="str">
        <x:v>FIN-00994</x:v>
      </x:c>
      <x:c r="B997" s="23" t="n">
        <x:v>46726</x:v>
      </x:c>
      <x:c r="C997" s="23" t="n">
        <x:v>46726</x:v>
      </x:c>
      <x:c r="D997" s="20" t="str">
        <x:v>TenantReceipt</x:v>
      </x:c>
      <x:c r="E997" s="20" t="str">
        <x:v>Rent receipt</x:v>
      </x:c>
      <x:c r="F997" s="20" t="str">
        <x:v>P026</x:v>
      </x:c>
      <x:c r="G997" s="20" t="str">
        <x:v>U032</x:v>
      </x:c>
      <x:c r="H997" s="20" t="str">
        <x:v>L032</x:v>
      </x:c>
      <x:c r="I997" s="20" t="str">
        <x:v>Avery Brooks</x:v>
      </x:c>
      <x:c r="J997" s="35" t="str">
        <x:v>Scanned check</x:v>
      </x:c>
      <x:c r="K997" s="20" t="str">
        <x:v>SCN-0339</x:v>
      </x:c>
      <x:c r="L997" s="20" t="str">
        <x:v>PMT-20271205-L032</x:v>
      </x:c>
      <x:c r="M997" s="26" t="n">
        <x:v>1750</x:v>
      </x:c>
      <x:c r="N997" s="26" t="n">
        <x:v>-1750</x:v>
      </x:c>
      <x:c r="O997" s="26" t="n">
        <x:v>1750</x:v>
      </x:c>
      <x:c r="P997" s="26" t="n">
        <x:v>0</x:v>
      </x:c>
      <x:c r="Q997" s="26" t="n">
        <x:v>0</x:v>
      </x:c>
      <x:c r="R997" s="26" t="n">
        <x:v>0</x:v>
      </x:c>
      <x:c r="S997" s="26" t="n">
        <x:v>0</x:v>
      </x:c>
      <x:c r="T997" s="26" t="n">
        <x:v>0</x:v>
      </x:c>
      <x:c r="U997" s="26" t="n">
        <x:v>0</x:v>
      </x:c>
      <x:c r="V997" s="26" t="n">
        <x:v>0</x:v>
      </x:c>
      <x:c r="W997" s="26" t="n">
        <x:v>0</x:v>
      </x:c>
      <x:c r="X997" s="26" t="n">
        <x:v>0</x:v>
      </x:c>
      <x:c r="Y997" s="26" t="n">
        <x:v>0</x:v>
      </x:c>
      <x:c r="Z997" s="35" t="str">
        <x:v>Receipt allocated to FIN-00993</x:v>
      </x:c>
    </x:row>
    <x:row r="998">
      <x:c r="A998" s="20" t="str">
        <x:v>FIN-00995</x:v>
      </x:c>
      <x:c r="B998" s="23" t="n">
        <x:v>46722</x:v>
      </x:c>
      <x:c r="C998" s="23" t="n">
        <x:v>46722</x:v>
      </x:c>
      <x:c r="D998" s="20" t="str">
        <x:v>TenantCharge</x:v>
      </x:c>
      <x:c r="E998" s="20" t="str">
        <x:v>Rent</x:v>
      </x:c>
      <x:c r="F998" s="20" t="str">
        <x:v>P027</x:v>
      </x:c>
      <x:c r="G998" s="20" t="str">
        <x:v>U033</x:v>
      </x:c>
      <x:c r="H998" s="20" t="str">
        <x:v>L033</x:v>
      </x:c>
      <x:c r="I998" s="20" t="str">
        <x:v>Dana Garcia</x:v>
      </x:c>
      <x:c r="J998" s="35" t="str">
        <x:v>System scheduled charge</x:v>
      </x:c>
      <x:c r="K998" s="20" t="str"/>
      <x:c r="L998" s="20" t="str">
        <x:v>RENT-202712-L033</x:v>
      </x:c>
      <x:c r="M998" s="26" t="n">
        <x:v>1375</x:v>
      </x:c>
      <x:c r="N998" s="26" t="n">
        <x:v>1375</x:v>
      </x:c>
      <x:c r="O998" s="26" t="n">
        <x:v>0</x:v>
      </x:c>
      <x:c r="P998" s="26" t="n">
        <x:v>0</x:v>
      </x:c>
      <x:c r="Q998" s="26" t="n">
        <x:v>0</x:v>
      </x:c>
      <x:c r="R998" s="26" t="n">
        <x:v>0</x:v>
      </x:c>
      <x:c r="S998" s="26" t="n">
        <x:v>0</x:v>
      </x:c>
      <x:c r="T998" s="26" t="n">
        <x:v>1375</x:v>
      </x:c>
      <x:c r="U998" s="26" t="n">
        <x:v>0</x:v>
      </x:c>
      <x:c r="V998" s="26" t="n">
        <x:v>0</x:v>
      </x:c>
      <x:c r="W998" s="26" t="n">
        <x:v>0</x:v>
      </x:c>
      <x:c r="X998" s="26" t="n">
        <x:v>0</x:v>
      </x:c>
      <x:c r="Y998" s="26" t="n">
        <x:v>0</x:v>
      </x:c>
      <x:c r="Z998" s="35" t="str">
        <x:v>December 2027 rent</x:v>
      </x:c>
    </x:row>
    <x:row r="999">
      <x:c r="A999" s="20" t="str">
        <x:v>FIN-00996</x:v>
      </x:c>
      <x:c r="B999" s="23" t="n">
        <x:v>46724</x:v>
      </x:c>
      <x:c r="C999" s="23" t="n">
        <x:v>46724</x:v>
      </x:c>
      <x:c r="D999" s="20" t="str">
        <x:v>TenantReceipt</x:v>
      </x:c>
      <x:c r="E999" s="20" t="str">
        <x:v>Rent receipt</x:v>
      </x:c>
      <x:c r="F999" s="20" t="str">
        <x:v>P027</x:v>
      </x:c>
      <x:c r="G999" s="20" t="str">
        <x:v>U033</x:v>
      </x:c>
      <x:c r="H999" s="20" t="str">
        <x:v>L033</x:v>
      </x:c>
      <x:c r="I999" s="20" t="str">
        <x:v>Dana Garcia</x:v>
      </x:c>
      <x:c r="J999" s="35" t="str">
        <x:v>Scanned money order</x:v>
      </x:c>
      <x:c r="K999" s="20" t="str">
        <x:v>SCN-0340</x:v>
      </x:c>
      <x:c r="L999" s="20" t="str">
        <x:v>PMT-20271203-L033-A</x:v>
      </x:c>
      <x:c r="M999" s="26" t="n">
        <x:v>825</x:v>
      </x:c>
      <x:c r="N999" s="26" t="n">
        <x:v>-825</x:v>
      </x:c>
      <x:c r="O999" s="26" t="n">
        <x:v>825</x:v>
      </x:c>
      <x:c r="P999" s="26" t="n">
        <x:v>0</x:v>
      </x:c>
      <x:c r="Q999" s="26" t="n">
        <x:v>0</x:v>
      </x:c>
      <x:c r="R999" s="26" t="n">
        <x:v>0</x:v>
      </x:c>
      <x:c r="S999" s="26" t="n">
        <x:v>0</x:v>
      </x:c>
      <x:c r="T999" s="26" t="n">
        <x:v>0</x:v>
      </x:c>
      <x:c r="U999" s="26" t="n">
        <x:v>0</x:v>
      </x:c>
      <x:c r="V999" s="26" t="n">
        <x:v>0</x:v>
      </x:c>
      <x:c r="W999" s="26" t="n">
        <x:v>0</x:v>
      </x:c>
      <x:c r="X999" s="26" t="n">
        <x:v>0</x:v>
      </x:c>
      <x:c r="Y999" s="26" t="n">
        <x:v>0</x:v>
      </x:c>
      <x:c r="Z999" s="35" t="str">
        <x:v>Receipt allocated to FIN-00995</x:v>
      </x:c>
    </x:row>
    <x:row r="1000">
      <x:c r="A1000" s="20" t="str">
        <x:v>FIN-00997</x:v>
      </x:c>
      <x:c r="B1000" s="23" t="n">
        <x:v>46727</x:v>
      </x:c>
      <x:c r="C1000" s="23" t="n">
        <x:v>46727</x:v>
      </x:c>
      <x:c r="D1000" s="20" t="str">
        <x:v>TenantCharge</x:v>
      </x:c>
      <x:c r="E1000" s="20" t="str">
        <x:v>Late fee</x:v>
      </x:c>
      <x:c r="F1000" s="20" t="str">
        <x:v>P027</x:v>
      </x:c>
      <x:c r="G1000" s="20" t="str">
        <x:v>U033</x:v>
      </x:c>
      <x:c r="H1000" s="20" t="str">
        <x:v>L033</x:v>
      </x:c>
      <x:c r="I1000" s="20" t="str">
        <x:v>Dana Garcia</x:v>
      </x:c>
      <x:c r="J1000" s="35" t="str">
        <x:v>System automation</x:v>
      </x:c>
      <x:c r="K1000" s="20" t="str"/>
      <x:c r="L1000" s="20" t="str">
        <x:v>LATE-202712-L033</x:v>
      </x:c>
      <x:c r="M1000" s="26" t="n">
        <x:v>50</x:v>
      </x:c>
      <x:c r="N1000" s="26" t="n">
        <x:v>50</x:v>
      </x:c>
      <x:c r="O1000" s="26" t="n">
        <x:v>0</x:v>
      </x:c>
      <x:c r="P1000" s="26" t="n">
        <x:v>0</x:v>
      </x:c>
      <x:c r="Q1000" s="26" t="n">
        <x:v>0</x:v>
      </x:c>
      <x:c r="R1000" s="26" t="n">
        <x:v>0</x:v>
      </x:c>
      <x:c r="S1000" s="26" t="n">
        <x:v>0</x:v>
      </x:c>
      <x:c r="T1000" s="26" t="n">
        <x:v>50</x:v>
      </x:c>
      <x:c r="U1000" s="26" t="n">
        <x:v>0</x:v>
      </x:c>
      <x:c r="V1000" s="26" t="n">
        <x:v>0</x:v>
      </x:c>
      <x:c r="W1000" s="26" t="n">
        <x:v>0</x:v>
      </x:c>
      <x:c r="X1000" s="26" t="n">
        <x:v>0</x:v>
      </x:c>
      <x:c r="Y1000" s="26" t="n">
        <x:v>0</x:v>
      </x:c>
      <x:c r="Z1000" s="35" t="str">
        <x:v>Synthetic lease-authorized late fee after partial payment</x:v>
      </x:c>
    </x:row>
    <x:row r="1001">
      <x:c r="A1001" s="20" t="str">
        <x:v>FIN-00998</x:v>
      </x:c>
      <x:c r="B1001" s="23" t="n">
        <x:v>46733</x:v>
      </x:c>
      <x:c r="C1001" s="23" t="n">
        <x:v>46733</x:v>
      </x:c>
      <x:c r="D1001" s="20" t="str">
        <x:v>TenantReceipt</x:v>
      </x:c>
      <x:c r="E1001" s="20" t="str">
        <x:v>Rent receipt</x:v>
      </x:c>
      <x:c r="F1001" s="20" t="str">
        <x:v>P027</x:v>
      </x:c>
      <x:c r="G1001" s="20" t="str">
        <x:v>U033</x:v>
      </x:c>
      <x:c r="H1001" s="20" t="str">
        <x:v>L033</x:v>
      </x:c>
      <x:c r="I1001" s="20" t="str">
        <x:v>Dana Garcia</x:v>
      </x:c>
      <x:c r="J1001" s="35" t="str">
        <x:v>Portal card</x:v>
      </x:c>
      <x:c r="K1001" s="20" t="str"/>
      <x:c r="L1001" s="20" t="str">
        <x:v>PMT-20271212-L033-B</x:v>
      </x:c>
      <x:c r="M1001" s="26" t="n">
        <x:v>600</x:v>
      </x:c>
      <x:c r="N1001" s="26" t="n">
        <x:v>-600</x:v>
      </x:c>
      <x:c r="O1001" s="26" t="n">
        <x:v>600</x:v>
      </x:c>
      <x:c r="P1001" s="26" t="n">
        <x:v>0</x:v>
      </x:c>
      <x:c r="Q1001" s="26" t="n">
        <x:v>0</x:v>
      </x:c>
      <x:c r="R1001" s="26" t="n">
        <x:v>0</x:v>
      </x:c>
      <x:c r="S1001" s="26" t="n">
        <x:v>0</x:v>
      </x:c>
      <x:c r="T1001" s="26" t="n">
        <x:v>0</x:v>
      </x:c>
      <x:c r="U1001" s="26" t="n">
        <x:v>0</x:v>
      </x:c>
      <x:c r="V1001" s="26" t="n">
        <x:v>0</x:v>
      </x:c>
      <x:c r="W1001" s="26" t="n">
        <x:v>0</x:v>
      </x:c>
      <x:c r="X1001" s="26" t="n">
        <x:v>0</x:v>
      </x:c>
      <x:c r="Y1001" s="26" t="n">
        <x:v>0</x:v>
      </x:c>
      <x:c r="Z1001" s="35" t="str">
        <x:v>Receipt allocated to FIN-00997</x:v>
      </x:c>
    </x:row>
    <x:row r="1002">
      <x:c r="A1002" s="20" t="str">
        <x:v>FIN-00999</x:v>
      </x:c>
      <x:c r="B1002" s="23" t="n">
        <x:v>46722</x:v>
      </x:c>
      <x:c r="C1002" s="23" t="n">
        <x:v>46722</x:v>
      </x:c>
      <x:c r="D1002" s="20" t="str">
        <x:v>TenantCharge</x:v>
      </x:c>
      <x:c r="E1002" s="20" t="str">
        <x:v>Rent</x:v>
      </x:c>
      <x:c r="F1002" s="20" t="str">
        <x:v>P028</x:v>
      </x:c>
      <x:c r="G1002" s="20" t="str">
        <x:v>U035</x:v>
      </x:c>
      <x:c r="H1002" s="20" t="str">
        <x:v>L035</x:v>
      </x:c>
      <x:c r="I1002" s="20" t="str">
        <x:v>Jordan Reed</x:v>
      </x:c>
      <x:c r="J1002" s="35" t="str">
        <x:v>System scheduled charge</x:v>
      </x:c>
      <x:c r="K1002" s="20" t="str"/>
      <x:c r="L1002" s="20" t="str">
        <x:v>RENT-202712-L035</x:v>
      </x:c>
      <x:c r="M1002" s="26" t="n">
        <x:v>1525</x:v>
      </x:c>
      <x:c r="N1002" s="26" t="n">
        <x:v>1525</x:v>
      </x:c>
      <x:c r="O1002" s="26" t="n">
        <x:v>0</x:v>
      </x:c>
      <x:c r="P1002" s="26" t="n">
        <x:v>0</x:v>
      </x:c>
      <x:c r="Q1002" s="26" t="n">
        <x:v>0</x:v>
      </x:c>
      <x:c r="R1002" s="26" t="n">
        <x:v>0</x:v>
      </x:c>
      <x:c r="S1002" s="26" t="n">
        <x:v>0</x:v>
      </x:c>
      <x:c r="T1002" s="26" t="n">
        <x:v>1525</x:v>
      </x:c>
      <x:c r="U1002" s="26" t="n">
        <x:v>0</x:v>
      </x:c>
      <x:c r="V1002" s="26" t="n">
        <x:v>0</x:v>
      </x:c>
      <x:c r="W1002" s="26" t="n">
        <x:v>0</x:v>
      </x:c>
      <x:c r="X1002" s="26" t="n">
        <x:v>0</x:v>
      </x:c>
      <x:c r="Y1002" s="26" t="n">
        <x:v>0</x:v>
      </x:c>
      <x:c r="Z1002" s="35" t="str">
        <x:v>December 2027 rent</x:v>
      </x:c>
    </x:row>
    <x:row r="1003">
      <x:c r="A1003" s="20" t="str">
        <x:v>FIN-01000</x:v>
      </x:c>
      <x:c r="B1003" s="23" t="n">
        <x:v>46726</x:v>
      </x:c>
      <x:c r="C1003" s="23" t="n">
        <x:v>46726</x:v>
      </x:c>
      <x:c r="D1003" s="20" t="str">
        <x:v>TenantReceipt</x:v>
      </x:c>
      <x:c r="E1003" s="20" t="str">
        <x:v>Rent receipt</x:v>
      </x:c>
      <x:c r="F1003" s="20" t="str">
        <x:v>P028</x:v>
      </x:c>
      <x:c r="G1003" s="20" t="str">
        <x:v>U035</x:v>
      </x:c>
      <x:c r="H1003" s="20" t="str">
        <x:v>L035</x:v>
      </x:c>
      <x:c r="I1003" s="20" t="str">
        <x:v>Jordan Reed</x:v>
      </x:c>
      <x:c r="J1003" s="35" t="str">
        <x:v>Portal card</x:v>
      </x:c>
      <x:c r="K1003" s="20" t="str"/>
      <x:c r="L1003" s="20" t="str">
        <x:v>PMT-20271205-L035</x:v>
      </x:c>
      <x:c r="M1003" s="26" t="n">
        <x:v>1525</x:v>
      </x:c>
      <x:c r="N1003" s="26" t="n">
        <x:v>-1525</x:v>
      </x:c>
      <x:c r="O1003" s="26" t="n">
        <x:v>1525</x:v>
      </x:c>
      <x:c r="P1003" s="26" t="n">
        <x:v>0</x:v>
      </x:c>
      <x:c r="Q1003" s="26" t="n">
        <x:v>0</x:v>
      </x:c>
      <x:c r="R1003" s="26" t="n">
        <x:v>0</x:v>
      </x:c>
      <x:c r="S1003" s="26" t="n">
        <x:v>0</x:v>
      </x:c>
      <x:c r="T1003" s="26" t="n">
        <x:v>0</x:v>
      </x:c>
      <x:c r="U1003" s="26" t="n">
        <x:v>0</x:v>
      </x:c>
      <x:c r="V1003" s="26" t="n">
        <x:v>0</x:v>
      </x:c>
      <x:c r="W1003" s="26" t="n">
        <x:v>0</x:v>
      </x:c>
      <x:c r="X1003" s="26" t="n">
        <x:v>0</x:v>
      </x:c>
      <x:c r="Y1003" s="26" t="n">
        <x:v>0</x:v>
      </x:c>
      <x:c r="Z1003" s="35" t="str">
        <x:v>Receipt allocated to FIN-00999</x:v>
      </x:c>
    </x:row>
    <x:row r="1004">
      <x:c r="A1004" s="20" t="str">
        <x:v>FIN-01001</x:v>
      </x:c>
      <x:c r="B1004" s="23" t="n">
        <x:v>46722</x:v>
      </x:c>
      <x:c r="C1004" s="23" t="n">
        <x:v>46722</x:v>
      </x:c>
      <x:c r="D1004" s="20" t="str">
        <x:v>TenantCharge</x:v>
      </x:c>
      <x:c r="E1004" s="20" t="str">
        <x:v>Rent</x:v>
      </x:c>
      <x:c r="F1004" s="20" t="str">
        <x:v>P028</x:v>
      </x:c>
      <x:c r="G1004" s="20" t="str">
        <x:v>U036</x:v>
      </x:c>
      <x:c r="H1004" s="20" t="str">
        <x:v>L036</x:v>
      </x:c>
      <x:c r="I1004" s="20" t="str">
        <x:v>Morgan Adams</x:v>
      </x:c>
      <x:c r="J1004" s="35" t="str">
        <x:v>System scheduled charge</x:v>
      </x:c>
      <x:c r="K1004" s="20" t="str"/>
      <x:c r="L1004" s="20" t="str">
        <x:v>RENT-202712-L036</x:v>
      </x:c>
      <x:c r="M1004" s="26" t="n">
        <x:v>1150</x:v>
      </x:c>
      <x:c r="N1004" s="26" t="n">
        <x:v>1150</x:v>
      </x:c>
      <x:c r="O1004" s="26" t="n">
        <x:v>0</x:v>
      </x:c>
      <x:c r="P1004" s="26" t="n">
        <x:v>0</x:v>
      </x:c>
      <x:c r="Q1004" s="26" t="n">
        <x:v>0</x:v>
      </x:c>
      <x:c r="R1004" s="26" t="n">
        <x:v>0</x:v>
      </x:c>
      <x:c r="S1004" s="26" t="n">
        <x:v>0</x:v>
      </x:c>
      <x:c r="T1004" s="26" t="n">
        <x:v>1150</x:v>
      </x:c>
      <x:c r="U1004" s="26" t="n">
        <x:v>0</x:v>
      </x:c>
      <x:c r="V1004" s="26" t="n">
        <x:v>0</x:v>
      </x:c>
      <x:c r="W1004" s="26" t="n">
        <x:v>0</x:v>
      </x:c>
      <x:c r="X1004" s="26" t="n">
        <x:v>0</x:v>
      </x:c>
      <x:c r="Y1004" s="26" t="n">
        <x:v>0</x:v>
      </x:c>
      <x:c r="Z1004" s="35" t="str">
        <x:v>December 2027 rent</x:v>
      </x:c>
    </x:row>
    <x:row r="1005">
      <x:c r="A1005" s="20" t="str">
        <x:v>FIN-01002</x:v>
      </x:c>
      <x:c r="B1005" s="23" t="n">
        <x:v>46724</x:v>
      </x:c>
      <x:c r="C1005" s="23" t="n">
        <x:v>46724</x:v>
      </x:c>
      <x:c r="D1005" s="20" t="str">
        <x:v>TenantReceipt</x:v>
      </x:c>
      <x:c r="E1005" s="20" t="str">
        <x:v>Rent receipt</x:v>
      </x:c>
      <x:c r="F1005" s="20" t="str">
        <x:v>P028</x:v>
      </x:c>
      <x:c r="G1005" s="20" t="str">
        <x:v>U036</x:v>
      </x:c>
      <x:c r="H1005" s="20" t="str">
        <x:v>L036</x:v>
      </x:c>
      <x:c r="I1005" s="20" t="str">
        <x:v>Morgan Adams</x:v>
      </x:c>
      <x:c r="J1005" s="35" t="str">
        <x:v>Scanned check</x:v>
      </x:c>
      <x:c r="K1005" s="20" t="str">
        <x:v>SCN-0341</x:v>
      </x:c>
      <x:c r="L1005" s="20" t="str">
        <x:v>PMT-20271203-L036</x:v>
      </x:c>
      <x:c r="M1005" s="26" t="n">
        <x:v>1150</x:v>
      </x:c>
      <x:c r="N1005" s="26" t="n">
        <x:v>-1150</x:v>
      </x:c>
      <x:c r="O1005" s="26" t="n">
        <x:v>1150</x:v>
      </x:c>
      <x:c r="P1005" s="26" t="n">
        <x:v>0</x:v>
      </x:c>
      <x:c r="Q1005" s="26" t="n">
        <x:v>0</x:v>
      </x:c>
      <x:c r="R1005" s="26" t="n">
        <x:v>0</x:v>
      </x:c>
      <x:c r="S1005" s="26" t="n">
        <x:v>0</x:v>
      </x:c>
      <x:c r="T1005" s="26" t="n">
        <x:v>0</x:v>
      </x:c>
      <x:c r="U1005" s="26" t="n">
        <x:v>0</x:v>
      </x:c>
      <x:c r="V1005" s="26" t="n">
        <x:v>0</x:v>
      </x:c>
      <x:c r="W1005" s="26" t="n">
        <x:v>0</x:v>
      </x:c>
      <x:c r="X1005" s="26" t="n">
        <x:v>0</x:v>
      </x:c>
      <x:c r="Y1005" s="26" t="n">
        <x:v>0</x:v>
      </x:c>
      <x:c r="Z1005" s="35" t="str">
        <x:v>Receipt allocated to FIN-01001</x:v>
      </x:c>
    </x:row>
    <x:row r="1006">
      <x:c r="A1006" s="20" t="str">
        <x:v>FIN-01003</x:v>
      </x:c>
      <x:c r="B1006" s="23" t="n">
        <x:v>46722</x:v>
      </x:c>
      <x:c r="C1006" s="23" t="n">
        <x:v>46722</x:v>
      </x:c>
      <x:c r="D1006" s="20" t="str">
        <x:v>TenantCharge</x:v>
      </x:c>
      <x:c r="E1006" s="20" t="str">
        <x:v>Rent</x:v>
      </x:c>
      <x:c r="F1006" s="20" t="str">
        <x:v>P005</x:v>
      </x:c>
      <x:c r="G1006" s="20" t="str">
        <x:v>U005</x:v>
      </x:c>
      <x:c r="H1006" s="20" t="str">
        <x:v>L037</x:v>
      </x:c>
      <x:c r="I1006" s="20" t="str">
        <x:v>Parker Flores</x:v>
      </x:c>
      <x:c r="J1006" s="35" t="str">
        <x:v>System scheduled charge</x:v>
      </x:c>
      <x:c r="K1006" s="20" t="str"/>
      <x:c r="L1006" s="20" t="str">
        <x:v>RENT-202712-L037</x:v>
      </x:c>
      <x:c r="M1006" s="26" t="n">
        <x:v>1875</x:v>
      </x:c>
      <x:c r="N1006" s="26" t="n">
        <x:v>1875</x:v>
      </x:c>
      <x:c r="O1006" s="26" t="n">
        <x:v>0</x:v>
      </x:c>
      <x:c r="P1006" s="26" t="n">
        <x:v>0</x:v>
      </x:c>
      <x:c r="Q1006" s="26" t="n">
        <x:v>0</x:v>
      </x:c>
      <x:c r="R1006" s="26" t="n">
        <x:v>0</x:v>
      </x:c>
      <x:c r="S1006" s="26" t="n">
        <x:v>0</x:v>
      </x:c>
      <x:c r="T1006" s="26" t="n">
        <x:v>1875</x:v>
      </x:c>
      <x:c r="U1006" s="26" t="n">
        <x:v>0</x:v>
      </x:c>
      <x:c r="V1006" s="26" t="n">
        <x:v>0</x:v>
      </x:c>
      <x:c r="W1006" s="26" t="n">
        <x:v>0</x:v>
      </x:c>
      <x:c r="X1006" s="26" t="n">
        <x:v>0</x:v>
      </x:c>
      <x:c r="Y1006" s="26" t="n">
        <x:v>0</x:v>
      </x:c>
      <x:c r="Z1006" s="35" t="str">
        <x:v>December 2027 rent</x:v>
      </x:c>
    </x:row>
    <x:row r="1007">
      <x:c r="A1007" s="20" t="str">
        <x:v>FIN-01004</x:v>
      </x:c>
      <x:c r="B1007" s="23" t="n">
        <x:v>46725</x:v>
      </x:c>
      <x:c r="C1007" s="23" t="n">
        <x:v>46725</x:v>
      </x:c>
      <x:c r="D1007" s="20" t="str">
        <x:v>TenantReceipt</x:v>
      </x:c>
      <x:c r="E1007" s="20" t="str">
        <x:v>Rent receipt</x:v>
      </x:c>
      <x:c r="F1007" s="20" t="str">
        <x:v>P005</x:v>
      </x:c>
      <x:c r="G1007" s="20" t="str">
        <x:v>U005</x:v>
      </x:c>
      <x:c r="H1007" s="20" t="str">
        <x:v>L037</x:v>
      </x:c>
      <x:c r="I1007" s="20" t="str">
        <x:v>Parker Flores</x:v>
      </x:c>
      <x:c r="J1007" s="35" t="str">
        <x:v>Scanned money order</x:v>
      </x:c>
      <x:c r="K1007" s="20" t="str">
        <x:v>SCN-0342</x:v>
      </x:c>
      <x:c r="L1007" s="20" t="str">
        <x:v>PMT-20271204-L037</x:v>
      </x:c>
      <x:c r="M1007" s="26" t="n">
        <x:v>1875</x:v>
      </x:c>
      <x:c r="N1007" s="26" t="n">
        <x:v>-1875</x:v>
      </x:c>
      <x:c r="O1007" s="26" t="n">
        <x:v>1875</x:v>
      </x:c>
      <x:c r="P1007" s="26" t="n">
        <x:v>0</x:v>
      </x:c>
      <x:c r="Q1007" s="26" t="n">
        <x:v>0</x:v>
      </x:c>
      <x:c r="R1007" s="26" t="n">
        <x:v>0</x:v>
      </x:c>
      <x:c r="S1007" s="26" t="n">
        <x:v>0</x:v>
      </x:c>
      <x:c r="T1007" s="26" t="n">
        <x:v>0</x:v>
      </x:c>
      <x:c r="U1007" s="26" t="n">
        <x:v>0</x:v>
      </x:c>
      <x:c r="V1007" s="26" t="n">
        <x:v>0</x:v>
      </x:c>
      <x:c r="W1007" s="26" t="n">
        <x:v>0</x:v>
      </x:c>
      <x:c r="X1007" s="26" t="n">
        <x:v>0</x:v>
      </x:c>
      <x:c r="Y1007" s="26" t="n">
        <x:v>0</x:v>
      </x:c>
      <x:c r="Z1007" s="35" t="str">
        <x:v>Receipt allocated to FIN-01003</x:v>
      </x:c>
    </x:row>
    <x:row r="1008">
      <x:c r="A1008" s="20" t="str">
        <x:v>FIN-01005</x:v>
      </x:c>
      <x:c r="B1008" s="23" t="n">
        <x:v>46722</x:v>
      </x:c>
      <x:c r="C1008" s="23" t="n">
        <x:v>46722</x:v>
      </x:c>
      <x:c r="D1008" s="20" t="str">
        <x:v>TenantCharge</x:v>
      </x:c>
      <x:c r="E1008" s="20" t="str">
        <x:v>Rent</x:v>
      </x:c>
      <x:c r="F1008" s="20" t="str">
        <x:v>P014</x:v>
      </x:c>
      <x:c r="G1008" s="20" t="str">
        <x:v>U014</x:v>
      </x:c>
      <x:c r="H1008" s="20" t="str">
        <x:v>L038</x:v>
      </x:c>
      <x:c r="I1008" s="20" t="str">
        <x:v>Sage King</x:v>
      </x:c>
      <x:c r="J1008" s="35" t="str">
        <x:v>System scheduled charge</x:v>
      </x:c>
      <x:c r="K1008" s="20" t="str"/>
      <x:c r="L1008" s="20" t="str">
        <x:v>RENT-202712-L038</x:v>
      </x:c>
      <x:c r="M1008" s="26" t="n">
        <x:v>1200</x:v>
      </x:c>
      <x:c r="N1008" s="26" t="n">
        <x:v>1200</x:v>
      </x:c>
      <x:c r="O1008" s="26" t="n">
        <x:v>0</x:v>
      </x:c>
      <x:c r="P1008" s="26" t="n">
        <x:v>0</x:v>
      </x:c>
      <x:c r="Q1008" s="26" t="n">
        <x:v>0</x:v>
      </x:c>
      <x:c r="R1008" s="26" t="n">
        <x:v>0</x:v>
      </x:c>
      <x:c r="S1008" s="26" t="n">
        <x:v>0</x:v>
      </x:c>
      <x:c r="T1008" s="26" t="n">
        <x:v>1200</x:v>
      </x:c>
      <x:c r="U1008" s="26" t="n">
        <x:v>0</x:v>
      </x:c>
      <x:c r="V1008" s="26" t="n">
        <x:v>0</x:v>
      </x:c>
      <x:c r="W1008" s="26" t="n">
        <x:v>0</x:v>
      </x:c>
      <x:c r="X1008" s="26" t="n">
        <x:v>0</x:v>
      </x:c>
      <x:c r="Y1008" s="26" t="n">
        <x:v>0</x:v>
      </x:c>
      <x:c r="Z1008" s="35" t="str">
        <x:v>December 2027 rent</x:v>
      </x:c>
    </x:row>
    <x:row r="1009">
      <x:c r="A1009" s="20" t="str">
        <x:v>FIN-01006</x:v>
      </x:c>
      <x:c r="B1009" s="23" t="n">
        <x:v>46726</x:v>
      </x:c>
      <x:c r="C1009" s="23" t="n">
        <x:v>46726</x:v>
      </x:c>
      <x:c r="D1009" s="20" t="str">
        <x:v>TenantReceipt</x:v>
      </x:c>
      <x:c r="E1009" s="20" t="str">
        <x:v>Rent receipt</x:v>
      </x:c>
      <x:c r="F1009" s="20" t="str">
        <x:v>P014</x:v>
      </x:c>
      <x:c r="G1009" s="20" t="str">
        <x:v>U014</x:v>
      </x:c>
      <x:c r="H1009" s="20" t="str">
        <x:v>L038</x:v>
      </x:c>
      <x:c r="I1009" s="20" t="str">
        <x:v>Sage King</x:v>
      </x:c>
      <x:c r="J1009" s="35" t="str">
        <x:v>Manual ACH</x:v>
      </x:c>
      <x:c r="K1009" s="20" t="str"/>
      <x:c r="L1009" s="20" t="str">
        <x:v>PMT-20271205-L038</x:v>
      </x:c>
      <x:c r="M1009" s="26" t="n">
        <x:v>1200</x:v>
      </x:c>
      <x:c r="N1009" s="26" t="n">
        <x:v>-1200</x:v>
      </x:c>
      <x:c r="O1009" s="26" t="n">
        <x:v>1200</x:v>
      </x:c>
      <x:c r="P1009" s="26" t="n">
        <x:v>0</x:v>
      </x:c>
      <x:c r="Q1009" s="26" t="n">
        <x:v>0</x:v>
      </x:c>
      <x:c r="R1009" s="26" t="n">
        <x:v>0</x:v>
      </x:c>
      <x:c r="S1009" s="26" t="n">
        <x:v>0</x:v>
      </x:c>
      <x:c r="T1009" s="26" t="n">
        <x:v>0</x:v>
      </x:c>
      <x:c r="U1009" s="26" t="n">
        <x:v>0</x:v>
      </x:c>
      <x:c r="V1009" s="26" t="n">
        <x:v>0</x:v>
      </x:c>
      <x:c r="W1009" s="26" t="n">
        <x:v>0</x:v>
      </x:c>
      <x:c r="X1009" s="26" t="n">
        <x:v>0</x:v>
      </x:c>
      <x:c r="Y1009" s="26" t="n">
        <x:v>0</x:v>
      </x:c>
      <x:c r="Z1009" s="35" t="str">
        <x:v>Receipt allocated to FIN-01005</x:v>
      </x:c>
    </x:row>
    <x:row r="1010">
      <x:c r="A1010" s="20" t="str">
        <x:v>FIN-01007</x:v>
      </x:c>
      <x:c r="B1010" s="23" t="n">
        <x:v>46722</x:v>
      </x:c>
      <x:c r="C1010" s="23" t="n">
        <x:v>46722</x:v>
      </x:c>
      <x:c r="D1010" s="20" t="str">
        <x:v>TenantCharge</x:v>
      </x:c>
      <x:c r="E1010" s="20" t="str">
        <x:v>Rent</x:v>
      </x:c>
      <x:c r="F1010" s="20" t="str">
        <x:v>P017</x:v>
      </x:c>
      <x:c r="G1010" s="20" t="str">
        <x:v>U017</x:v>
      </x:c>
      <x:c r="H1010" s="20" t="str">
        <x:v>L039</x:v>
      </x:c>
      <x:c r="I1010" s="20" t="str">
        <x:v>Val Price</x:v>
      </x:c>
      <x:c r="J1010" s="35" t="str">
        <x:v>System scheduled charge</x:v>
      </x:c>
      <x:c r="K1010" s="20" t="str"/>
      <x:c r="L1010" s="20" t="str">
        <x:v>RENT-202712-L039</x:v>
      </x:c>
      <x:c r="M1010" s="26" t="n">
        <x:v>1875</x:v>
      </x:c>
      <x:c r="N1010" s="26" t="n">
        <x:v>1875</x:v>
      </x:c>
      <x:c r="O1010" s="26" t="n">
        <x:v>0</x:v>
      </x:c>
      <x:c r="P1010" s="26" t="n">
        <x:v>0</x:v>
      </x:c>
      <x:c r="Q1010" s="26" t="n">
        <x:v>0</x:v>
      </x:c>
      <x:c r="R1010" s="26" t="n">
        <x:v>0</x:v>
      </x:c>
      <x:c r="S1010" s="26" t="n">
        <x:v>0</x:v>
      </x:c>
      <x:c r="T1010" s="26" t="n">
        <x:v>1875</x:v>
      </x:c>
      <x:c r="U1010" s="26" t="n">
        <x:v>0</x:v>
      </x:c>
      <x:c r="V1010" s="26" t="n">
        <x:v>0</x:v>
      </x:c>
      <x:c r="W1010" s="26" t="n">
        <x:v>0</x:v>
      </x:c>
      <x:c r="X1010" s="26" t="n">
        <x:v>0</x:v>
      </x:c>
      <x:c r="Y1010" s="26" t="n">
        <x:v>0</x:v>
      </x:c>
      <x:c r="Z1010" s="35" t="str">
        <x:v>December 2027 rent</x:v>
      </x:c>
    </x:row>
    <x:row r="1011">
      <x:c r="A1011" s="20" t="str">
        <x:v>FIN-01008</x:v>
      </x:c>
      <x:c r="B1011" s="23" t="n">
        <x:v>46727</x:v>
      </x:c>
      <x:c r="C1011" s="23" t="n">
        <x:v>46727</x:v>
      </x:c>
      <x:c r="D1011" s="20" t="str">
        <x:v>TenantCharge</x:v>
      </x:c>
      <x:c r="E1011" s="20" t="str">
        <x:v>Late fee</x:v>
      </x:c>
      <x:c r="F1011" s="20" t="str">
        <x:v>P017</x:v>
      </x:c>
      <x:c r="G1011" s="20" t="str">
        <x:v>U017</x:v>
      </x:c>
      <x:c r="H1011" s="20" t="str">
        <x:v>L039</x:v>
      </x:c>
      <x:c r="I1011" s="20" t="str">
        <x:v>Val Price</x:v>
      </x:c>
      <x:c r="J1011" s="35" t="str">
        <x:v>System automation</x:v>
      </x:c>
      <x:c r="K1011" s="20" t="str"/>
      <x:c r="L1011" s="20" t="str">
        <x:v>LATE-202712-L039</x:v>
      </x:c>
      <x:c r="M1011" s="26" t="n">
        <x:v>50</x:v>
      </x:c>
      <x:c r="N1011" s="26" t="n">
        <x:v>50</x:v>
      </x:c>
      <x:c r="O1011" s="26" t="n">
        <x:v>0</x:v>
      </x:c>
      <x:c r="P1011" s="26" t="n">
        <x:v>0</x:v>
      </x:c>
      <x:c r="Q1011" s="26" t="n">
        <x:v>0</x:v>
      </x:c>
      <x:c r="R1011" s="26" t="n">
        <x:v>0</x:v>
      </x:c>
      <x:c r="S1011" s="26" t="n">
        <x:v>0</x:v>
      </x:c>
      <x:c r="T1011" s="26" t="n">
        <x:v>50</x:v>
      </x:c>
      <x:c r="U1011" s="26" t="n">
        <x:v>0</x:v>
      </x:c>
      <x:c r="V1011" s="26" t="n">
        <x:v>0</x:v>
      </x:c>
      <x:c r="W1011" s="26" t="n">
        <x:v>0</x:v>
      </x:c>
      <x:c r="X1011" s="26" t="n">
        <x:v>0</x:v>
      </x:c>
      <x:c r="Y1011" s="26" t="n">
        <x:v>0</x:v>
      </x:c>
      <x:c r="Z1011" s="35" t="str">
        <x:v>Synthetic lease-authorized late fee</x:v>
      </x:c>
    </x:row>
    <x:row r="1012">
      <x:c r="A1012" s="20" t="str">
        <x:v>FIN-01009</x:v>
      </x:c>
      <x:c r="B1012" s="23" t="n">
        <x:v>46729</x:v>
      </x:c>
      <x:c r="C1012" s="23" t="n">
        <x:v>46729</x:v>
      </x:c>
      <x:c r="D1012" s="20" t="str">
        <x:v>TenantReceipt</x:v>
      </x:c>
      <x:c r="E1012" s="20" t="str">
        <x:v>Rent receipt</x:v>
      </x:c>
      <x:c r="F1012" s="20" t="str">
        <x:v>P017</x:v>
      </x:c>
      <x:c r="G1012" s="20" t="str">
        <x:v>U017</x:v>
      </x:c>
      <x:c r="H1012" s="20" t="str">
        <x:v>L039</x:v>
      </x:c>
      <x:c r="I1012" s="20" t="str">
        <x:v>Val Price</x:v>
      </x:c>
      <x:c r="J1012" s="35" t="str">
        <x:v>Manual ACH</x:v>
      </x:c>
      <x:c r="K1012" s="20" t="str"/>
      <x:c r="L1012" s="20" t="str">
        <x:v>PMT-20271208-L039</x:v>
      </x:c>
      <x:c r="M1012" s="26" t="n">
        <x:v>1925</x:v>
      </x:c>
      <x:c r="N1012" s="26" t="n">
        <x:v>-1925</x:v>
      </x:c>
      <x:c r="O1012" s="26" t="n">
        <x:v>1925</x:v>
      </x:c>
      <x:c r="P1012" s="26" t="n">
        <x:v>0</x:v>
      </x:c>
      <x:c r="Q1012" s="26" t="n">
        <x:v>0</x:v>
      </x:c>
      <x:c r="R1012" s="26" t="n">
        <x:v>0</x:v>
      </x:c>
      <x:c r="S1012" s="26" t="n">
        <x:v>0</x:v>
      </x:c>
      <x:c r="T1012" s="26" t="n">
        <x:v>0</x:v>
      </x:c>
      <x:c r="U1012" s="26" t="n">
        <x:v>0</x:v>
      </x:c>
      <x:c r="V1012" s="26" t="n">
        <x:v>0</x:v>
      </x:c>
      <x:c r="W1012" s="26" t="n">
        <x:v>0</x:v>
      </x:c>
      <x:c r="X1012" s="26" t="n">
        <x:v>0</x:v>
      </x:c>
      <x:c r="Y1012" s="26" t="n">
        <x:v>0</x:v>
      </x:c>
      <x:c r="Z1012" s="35" t="str">
        <x:v>Receipt allocated to FIN-01008</x:v>
      </x:c>
    </x:row>
    <x:row r="1013">
      <x:c r="A1013" s="20" t="str">
        <x:v>FIN-01010</x:v>
      </x:c>
      <x:c r="B1013" s="23" t="n">
        <x:v>46722</x:v>
      </x:c>
      <x:c r="C1013" s="23" t="n">
        <x:v>46722</x:v>
      </x:c>
      <x:c r="D1013" s="20" t="str">
        <x:v>TenantCharge</x:v>
      </x:c>
      <x:c r="E1013" s="20" t="str">
        <x:v>Rent</x:v>
      </x:c>
      <x:c r="F1013" s="20" t="str">
        <x:v>P021</x:v>
      </x:c>
      <x:c r="G1013" s="20" t="str">
        <x:v>U022</x:v>
      </x:c>
      <x:c r="H1013" s="20" t="str">
        <x:v>L040</x:v>
      </x:c>
      <x:c r="I1013" s="20" t="str">
        <x:v>Yara Brooks</x:v>
      </x:c>
      <x:c r="J1013" s="35" t="str">
        <x:v>System scheduled charge</x:v>
      </x:c>
      <x:c r="K1013" s="20" t="str"/>
      <x:c r="L1013" s="20" t="str">
        <x:v>RENT-202712-L040</x:v>
      </x:c>
      <x:c r="M1013" s="26" t="n">
        <x:v>1900</x:v>
      </x:c>
      <x:c r="N1013" s="26" t="n">
        <x:v>1900</x:v>
      </x:c>
      <x:c r="O1013" s="26" t="n">
        <x:v>0</x:v>
      </x:c>
      <x:c r="P1013" s="26" t="n">
        <x:v>0</x:v>
      </x:c>
      <x:c r="Q1013" s="26" t="n">
        <x:v>0</x:v>
      </x:c>
      <x:c r="R1013" s="26" t="n">
        <x:v>0</x:v>
      </x:c>
      <x:c r="S1013" s="26" t="n">
        <x:v>0</x:v>
      </x:c>
      <x:c r="T1013" s="26" t="n">
        <x:v>1900</x:v>
      </x:c>
      <x:c r="U1013" s="26" t="n">
        <x:v>0</x:v>
      </x:c>
      <x:c r="V1013" s="26" t="n">
        <x:v>0</x:v>
      </x:c>
      <x:c r="W1013" s="26" t="n">
        <x:v>0</x:v>
      </x:c>
      <x:c r="X1013" s="26" t="n">
        <x:v>0</x:v>
      </x:c>
      <x:c r="Y1013" s="26" t="n">
        <x:v>0</x:v>
      </x:c>
      <x:c r="Z1013" s="35" t="str">
        <x:v>December 2027 rent</x:v>
      </x:c>
    </x:row>
    <x:row r="1014">
      <x:c r="A1014" s="20" t="str">
        <x:v>FIN-01011</x:v>
      </x:c>
      <x:c r="B1014" s="23" t="n">
        <x:v>46725</x:v>
      </x:c>
      <x:c r="C1014" s="23" t="n">
        <x:v>46725</x:v>
      </x:c>
      <x:c r="D1014" s="20" t="str">
        <x:v>TenantReceipt</x:v>
      </x:c>
      <x:c r="E1014" s="20" t="str">
        <x:v>Rent receipt</x:v>
      </x:c>
      <x:c r="F1014" s="20" t="str">
        <x:v>P021</x:v>
      </x:c>
      <x:c r="G1014" s="20" t="str">
        <x:v>U022</x:v>
      </x:c>
      <x:c r="H1014" s="20" t="str">
        <x:v>L040</x:v>
      </x:c>
      <x:c r="I1014" s="20" t="str">
        <x:v>Yara Brooks</x:v>
      </x:c>
      <x:c r="J1014" s="35" t="str">
        <x:v>Scanned check</x:v>
      </x:c>
      <x:c r="K1014" s="20" t="str">
        <x:v>SCN-0343</x:v>
      </x:c>
      <x:c r="L1014" s="20" t="str">
        <x:v>PMT-20271204-L040</x:v>
      </x:c>
      <x:c r="M1014" s="26" t="n">
        <x:v>1900</x:v>
      </x:c>
      <x:c r="N1014" s="26" t="n">
        <x:v>-1900</x:v>
      </x:c>
      <x:c r="O1014" s="26" t="n">
        <x:v>1900</x:v>
      </x:c>
      <x:c r="P1014" s="26" t="n">
        <x:v>0</x:v>
      </x:c>
      <x:c r="Q1014" s="26" t="n">
        <x:v>0</x:v>
      </x:c>
      <x:c r="R1014" s="26" t="n">
        <x:v>0</x:v>
      </x:c>
      <x:c r="S1014" s="26" t="n">
        <x:v>0</x:v>
      </x:c>
      <x:c r="T1014" s="26" t="n">
        <x:v>0</x:v>
      </x:c>
      <x:c r="U1014" s="26" t="n">
        <x:v>0</x:v>
      </x:c>
      <x:c r="V1014" s="26" t="n">
        <x:v>0</x:v>
      </x:c>
      <x:c r="W1014" s="26" t="n">
        <x:v>0</x:v>
      </x:c>
      <x:c r="X1014" s="26" t="n">
        <x:v>0</x:v>
      </x:c>
      <x:c r="Y1014" s="26" t="n">
        <x:v>0</x:v>
      </x:c>
      <x:c r="Z1014" s="35" t="str">
        <x:v>Receipt allocated to FIN-01010</x:v>
      </x:c>
    </x:row>
    <x:row r="1015">
      <x:c r="A1015" s="20" t="str">
        <x:v>FIN-01012</x:v>
      </x:c>
      <x:c r="B1015" s="23" t="n">
        <x:v>46722</x:v>
      </x:c>
      <x:c r="C1015" s="23" t="n">
        <x:v>46722</x:v>
      </x:c>
      <x:c r="D1015" s="20" t="str">
        <x:v>TenantCharge</x:v>
      </x:c>
      <x:c r="E1015" s="20" t="str">
        <x:v>Rent</x:v>
      </x:c>
      <x:c r="F1015" s="20" t="str">
        <x:v>P030</x:v>
      </x:c>
      <x:c r="G1015" s="20" t="str">
        <x:v>U040</x:v>
      </x:c>
      <x:c r="H1015" s="20" t="str">
        <x:v>L041</x:v>
      </x:c>
      <x:c r="I1015" s="20" t="str">
        <x:v>Yara Brooks</x:v>
      </x:c>
      <x:c r="J1015" s="35" t="str">
        <x:v>System scheduled charge</x:v>
      </x:c>
      <x:c r="K1015" s="20" t="str"/>
      <x:c r="L1015" s="20" t="str">
        <x:v>RENT-202712-L041</x:v>
      </x:c>
      <x:c r="M1015" s="26" t="n">
        <x:v>1450</x:v>
      </x:c>
      <x:c r="N1015" s="26" t="n">
        <x:v>1450</x:v>
      </x:c>
      <x:c r="O1015" s="26" t="n">
        <x:v>0</x:v>
      </x:c>
      <x:c r="P1015" s="26" t="n">
        <x:v>0</x:v>
      </x:c>
      <x:c r="Q1015" s="26" t="n">
        <x:v>0</x:v>
      </x:c>
      <x:c r="R1015" s="26" t="n">
        <x:v>0</x:v>
      </x:c>
      <x:c r="S1015" s="26" t="n">
        <x:v>0</x:v>
      </x:c>
      <x:c r="T1015" s="26" t="n">
        <x:v>1450</x:v>
      </x:c>
      <x:c r="U1015" s="26" t="n">
        <x:v>0</x:v>
      </x:c>
      <x:c r="V1015" s="26" t="n">
        <x:v>0</x:v>
      </x:c>
      <x:c r="W1015" s="26" t="n">
        <x:v>0</x:v>
      </x:c>
      <x:c r="X1015" s="26" t="n">
        <x:v>0</x:v>
      </x:c>
      <x:c r="Y1015" s="26" t="n">
        <x:v>0</x:v>
      </x:c>
      <x:c r="Z1015" s="35" t="str">
        <x:v>December 2027 rent</x:v>
      </x:c>
    </x:row>
    <x:row r="1016">
      <x:c r="A1016" s="20" t="str">
        <x:v>FIN-01013</x:v>
      </x:c>
      <x:c r="B1016" s="23" t="n">
        <x:v>46726</x:v>
      </x:c>
      <x:c r="C1016" s="23" t="n">
        <x:v>46726</x:v>
      </x:c>
      <x:c r="D1016" s="20" t="str">
        <x:v>TenantReceipt</x:v>
      </x:c>
      <x:c r="E1016" s="20" t="str">
        <x:v>Rent receipt</x:v>
      </x:c>
      <x:c r="F1016" s="20" t="str">
        <x:v>P030</x:v>
      </x:c>
      <x:c r="G1016" s="20" t="str">
        <x:v>U040</x:v>
      </x:c>
      <x:c r="H1016" s="20" t="str">
        <x:v>L041</x:v>
      </x:c>
      <x:c r="I1016" s="20" t="str">
        <x:v>Yara Brooks</x:v>
      </x:c>
      <x:c r="J1016" s="35" t="str">
        <x:v>Scanned money order</x:v>
      </x:c>
      <x:c r="K1016" s="20" t="str">
        <x:v>SCN-0344</x:v>
      </x:c>
      <x:c r="L1016" s="20" t="str">
        <x:v>PMT-20271205-L041</x:v>
      </x:c>
      <x:c r="M1016" s="26" t="n">
        <x:v>1450</x:v>
      </x:c>
      <x:c r="N1016" s="26" t="n">
        <x:v>-1450</x:v>
      </x:c>
      <x:c r="O1016" s="26" t="n">
        <x:v>1450</x:v>
      </x:c>
      <x:c r="P1016" s="26" t="n">
        <x:v>0</x:v>
      </x:c>
      <x:c r="Q1016" s="26" t="n">
        <x:v>0</x:v>
      </x:c>
      <x:c r="R1016" s="26" t="n">
        <x:v>0</x:v>
      </x:c>
      <x:c r="S1016" s="26" t="n">
        <x:v>0</x:v>
      </x:c>
      <x:c r="T1016" s="26" t="n">
        <x:v>0</x:v>
      </x:c>
      <x:c r="U1016" s="26" t="n">
        <x:v>0</x:v>
      </x:c>
      <x:c r="V1016" s="26" t="n">
        <x:v>0</x:v>
      </x:c>
      <x:c r="W1016" s="26" t="n">
        <x:v>0</x:v>
      </x:c>
      <x:c r="X1016" s="26" t="n">
        <x:v>0</x:v>
      </x:c>
      <x:c r="Y1016" s="26" t="n">
        <x:v>0</x:v>
      </x:c>
      <x:c r="Z1016" s="35" t="str">
        <x:v>Receipt allocated to FIN-01012</x:v>
      </x:c>
    </x:row>
    <x:row r="1017">
      <x:c r="A1017" s="20" t="str">
        <x:v>FIN-01014</x:v>
      </x:c>
      <x:c r="B1017" s="23" t="n">
        <x:v>46722</x:v>
      </x:c>
      <x:c r="C1017" s="23" t="n">
        <x:v>46736</x:v>
      </x:c>
      <x:c r="D1017" s="20" t="str">
        <x:v>TenantCharge</x:v>
      </x:c>
      <x:c r="E1017" s="20" t="str">
        <x:v>Rent</x:v>
      </x:c>
      <x:c r="F1017" s="20" t="str">
        <x:v>P027</x:v>
      </x:c>
      <x:c r="G1017" s="20" t="str">
        <x:v>U034</x:v>
      </x:c>
      <x:c r="H1017" s="20" t="str">
        <x:v>L042</x:v>
      </x:c>
      <x:c r="I1017" s="20" t="str">
        <x:v>Elena Lewis</x:v>
      </x:c>
      <x:c r="J1017" s="35" t="str">
        <x:v>System scheduled charge</x:v>
      </x:c>
      <x:c r="K1017" s="20" t="str"/>
      <x:c r="L1017" s="20" t="str">
        <x:v>RENT-202712-L042</x:v>
      </x:c>
      <x:c r="M1017" s="26" t="n">
        <x:v>1041.94</x:v>
      </x:c>
      <x:c r="N1017" s="26" t="n">
        <x:v>1041.94</x:v>
      </x:c>
      <x:c r="O1017" s="26" t="n">
        <x:v>0</x:v>
      </x:c>
      <x:c r="P1017" s="26" t="n">
        <x:v>0</x:v>
      </x:c>
      <x:c r="Q1017" s="26" t="n">
        <x:v>0</x:v>
      </x:c>
      <x:c r="R1017" s="26" t="n">
        <x:v>0</x:v>
      </x:c>
      <x:c r="S1017" s="26" t="n">
        <x:v>0</x:v>
      </x:c>
      <x:c r="T1017" s="26" t="n">
        <x:v>1041.94</x:v>
      </x:c>
      <x:c r="U1017" s="26" t="n">
        <x:v>0</x:v>
      </x:c>
      <x:c r="V1017" s="26" t="n">
        <x:v>0</x:v>
      </x:c>
      <x:c r="W1017" s="26" t="n">
        <x:v>0</x:v>
      </x:c>
      <x:c r="X1017" s="26" t="n">
        <x:v>0</x:v>
      </x:c>
      <x:c r="Y1017" s="26" t="n">
        <x:v>0</x:v>
      </x:c>
      <x:c r="Z1017" s="35" t="str">
        <x:v>December 2027 rent</x:v>
      </x:c>
    </x:row>
    <x:row r="1018">
      <x:c r="A1018" s="20" t="str">
        <x:v>FIN-01015</x:v>
      </x:c>
      <x:c r="B1018" s="23" t="n">
        <x:v>46724</x:v>
      </x:c>
      <x:c r="C1018" s="23" t="n">
        <x:v>46724</x:v>
      </x:c>
      <x:c r="D1018" s="20" t="str">
        <x:v>TenantReceipt</x:v>
      </x:c>
      <x:c r="E1018" s="20" t="str">
        <x:v>Rent receipt</x:v>
      </x:c>
      <x:c r="F1018" s="20" t="str">
        <x:v>P027</x:v>
      </x:c>
      <x:c r="G1018" s="20" t="str">
        <x:v>U034</x:v>
      </x:c>
      <x:c r="H1018" s="20" t="str">
        <x:v>L042</x:v>
      </x:c>
      <x:c r="I1018" s="20" t="str">
        <x:v>Elena Lewis</x:v>
      </x:c>
      <x:c r="J1018" s="35" t="str">
        <x:v>Manual ACH</x:v>
      </x:c>
      <x:c r="K1018" s="20" t="str"/>
      <x:c r="L1018" s="20" t="str">
        <x:v>PMT-20271203-L042</x:v>
      </x:c>
      <x:c r="M1018" s="26" t="n">
        <x:v>1041.94</x:v>
      </x:c>
      <x:c r="N1018" s="26" t="n">
        <x:v>-1041.94</x:v>
      </x:c>
      <x:c r="O1018" s="26" t="n">
        <x:v>1041.94</x:v>
      </x:c>
      <x:c r="P1018" s="26" t="n">
        <x:v>0</x:v>
      </x:c>
      <x:c r="Q1018" s="26" t="n">
        <x:v>0</x:v>
      </x:c>
      <x:c r="R1018" s="26" t="n">
        <x:v>0</x:v>
      </x:c>
      <x:c r="S1018" s="26" t="n">
        <x:v>0</x:v>
      </x:c>
      <x:c r="T1018" s="26" t="n">
        <x:v>0</x:v>
      </x:c>
      <x:c r="U1018" s="26" t="n">
        <x:v>0</x:v>
      </x:c>
      <x:c r="V1018" s="26" t="n">
        <x:v>0</x:v>
      </x:c>
      <x:c r="W1018" s="26" t="n">
        <x:v>0</x:v>
      </x:c>
      <x:c r="X1018" s="26" t="n">
        <x:v>0</x:v>
      </x:c>
      <x:c r="Y1018" s="26" t="n">
        <x:v>0</x:v>
      </x:c>
      <x:c r="Z1018" s="35" t="str">
        <x:v>Receipt allocated to FIN-01014</x:v>
      </x:c>
    </x:row>
    <x:row r="1019">
      <x:c r="A1019" s="20" t="str">
        <x:v>FIN-01016</x:v>
      </x:c>
      <x:c r="B1019" s="23" t="n">
        <x:v>46722</x:v>
      </x:c>
      <x:c r="C1019" s="23" t="n">
        <x:v>46722</x:v>
      </x:c>
      <x:c r="D1019" s="20" t="str">
        <x:v>TenantCharge</x:v>
      </x:c>
      <x:c r="E1019" s="20" t="str">
        <x:v>Rent</x:v>
      </x:c>
      <x:c r="F1019" s="20" t="str">
        <x:v>P029</x:v>
      </x:c>
      <x:c r="G1019" s="20" t="str">
        <x:v>U037</x:v>
      </x:c>
      <x:c r="H1019" s="20" t="str">
        <x:v>L043</x:v>
      </x:c>
      <x:c r="I1019" s="20" t="str">
        <x:v>Hector Reed</x:v>
      </x:c>
      <x:c r="J1019" s="35" t="str">
        <x:v>System scheduled charge</x:v>
      </x:c>
      <x:c r="K1019" s="20" t="str"/>
      <x:c r="L1019" s="20" t="str">
        <x:v>RENT-202712-L043</x:v>
      </x:c>
      <x:c r="M1019" s="26" t="n">
        <x:v>1675</x:v>
      </x:c>
      <x:c r="N1019" s="26" t="n">
        <x:v>1675</x:v>
      </x:c>
      <x:c r="O1019" s="26" t="n">
        <x:v>0</x:v>
      </x:c>
      <x:c r="P1019" s="26" t="n">
        <x:v>0</x:v>
      </x:c>
      <x:c r="Q1019" s="26" t="n">
        <x:v>0</x:v>
      </x:c>
      <x:c r="R1019" s="26" t="n">
        <x:v>0</x:v>
      </x:c>
      <x:c r="S1019" s="26" t="n">
        <x:v>0</x:v>
      </x:c>
      <x:c r="T1019" s="26" t="n">
        <x:v>1675</x:v>
      </x:c>
      <x:c r="U1019" s="26" t="n">
        <x:v>0</x:v>
      </x:c>
      <x:c r="V1019" s="26" t="n">
        <x:v>0</x:v>
      </x:c>
      <x:c r="W1019" s="26" t="n">
        <x:v>0</x:v>
      </x:c>
      <x:c r="X1019" s="26" t="n">
        <x:v>0</x:v>
      </x:c>
      <x:c r="Y1019" s="26" t="n">
        <x:v>0</x:v>
      </x:c>
      <x:c r="Z1019" s="35" t="str">
        <x:v>December 2027 rent</x:v>
      </x:c>
    </x:row>
    <x:row r="1020">
      <x:c r="A1020" s="20" t="str">
        <x:v>FIN-01017</x:v>
      </x:c>
      <x:c r="B1020" s="23" t="n">
        <x:v>46725</x:v>
      </x:c>
      <x:c r="C1020" s="23" t="n">
        <x:v>46725</x:v>
      </x:c>
      <x:c r="D1020" s="20" t="str">
        <x:v>TenantReceipt</x:v>
      </x:c>
      <x:c r="E1020" s="20" t="str">
        <x:v>Rent receipt</x:v>
      </x:c>
      <x:c r="F1020" s="20" t="str">
        <x:v>P029</x:v>
      </x:c>
      <x:c r="G1020" s="20" t="str">
        <x:v>U037</x:v>
      </x:c>
      <x:c r="H1020" s="20" t="str">
        <x:v>L043</x:v>
      </x:c>
      <x:c r="I1020" s="20" t="str">
        <x:v>Hector Reed</x:v>
      </x:c>
      <x:c r="J1020" s="35" t="str">
        <x:v>Portal card</x:v>
      </x:c>
      <x:c r="K1020" s="20" t="str"/>
      <x:c r="L1020" s="20" t="str">
        <x:v>PMT-20271204-L043</x:v>
      </x:c>
      <x:c r="M1020" s="26" t="n">
        <x:v>1675</x:v>
      </x:c>
      <x:c r="N1020" s="26" t="n">
        <x:v>-1675</x:v>
      </x:c>
      <x:c r="O1020" s="26" t="n">
        <x:v>1675</x:v>
      </x:c>
      <x:c r="P1020" s="26" t="n">
        <x:v>0</x:v>
      </x:c>
      <x:c r="Q1020" s="26" t="n">
        <x:v>0</x:v>
      </x:c>
      <x:c r="R1020" s="26" t="n">
        <x:v>0</x:v>
      </x:c>
      <x:c r="S1020" s="26" t="n">
        <x:v>0</x:v>
      </x:c>
      <x:c r="T1020" s="26" t="n">
        <x:v>0</x:v>
      </x:c>
      <x:c r="U1020" s="26" t="n">
        <x:v>0</x:v>
      </x:c>
      <x:c r="V1020" s="26" t="n">
        <x:v>0</x:v>
      </x:c>
      <x:c r="W1020" s="26" t="n">
        <x:v>0</x:v>
      </x:c>
      <x:c r="X1020" s="26" t="n">
        <x:v>0</x:v>
      </x:c>
      <x:c r="Y1020" s="26" t="n">
        <x:v>0</x:v>
      </x:c>
      <x:c r="Z1020" s="35" t="str">
        <x:v>Receipt allocated to FIN-01016</x:v>
      </x:c>
    </x:row>
    <x:row r="1021">
      <x:c r="A1021" s="20" t="str">
        <x:v>FIN-01018</x:v>
      </x:c>
      <x:c r="B1021" s="23" t="n">
        <x:v>46722</x:v>
      </x:c>
      <x:c r="C1021" s="23" t="n">
        <x:v>46722</x:v>
      </x:c>
      <x:c r="D1021" s="20" t="str">
        <x:v>TenantCharge</x:v>
      </x:c>
      <x:c r="E1021" s="20" t="str">
        <x:v>Rent</x:v>
      </x:c>
      <x:c r="F1021" s="20" t="str">
        <x:v>P029</x:v>
      </x:c>
      <x:c r="G1021" s="20" t="str">
        <x:v>U038</x:v>
      </x:c>
      <x:c r="H1021" s="20" t="str">
        <x:v>L044</x:v>
      </x:c>
      <x:c r="I1021" s="20" t="str">
        <x:v>Keira Adams</x:v>
      </x:c>
      <x:c r="J1021" s="35" t="str">
        <x:v>System scheduled charge</x:v>
      </x:c>
      <x:c r="K1021" s="20" t="str"/>
      <x:c r="L1021" s="20" t="str">
        <x:v>RENT-202712-L044</x:v>
      </x:c>
      <x:c r="M1021" s="26" t="n">
        <x:v>1300</x:v>
      </x:c>
      <x:c r="N1021" s="26" t="n">
        <x:v>1300</x:v>
      </x:c>
      <x:c r="O1021" s="26" t="n">
        <x:v>0</x:v>
      </x:c>
      <x:c r="P1021" s="26" t="n">
        <x:v>0</x:v>
      </x:c>
      <x:c r="Q1021" s="26" t="n">
        <x:v>0</x:v>
      </x:c>
      <x:c r="R1021" s="26" t="n">
        <x:v>0</x:v>
      </x:c>
      <x:c r="S1021" s="26" t="n">
        <x:v>0</x:v>
      </x:c>
      <x:c r="T1021" s="26" t="n">
        <x:v>1300</x:v>
      </x:c>
      <x:c r="U1021" s="26" t="n">
        <x:v>0</x:v>
      </x:c>
      <x:c r="V1021" s="26" t="n">
        <x:v>0</x:v>
      </x:c>
      <x:c r="W1021" s="26" t="n">
        <x:v>0</x:v>
      </x:c>
      <x:c r="X1021" s="26" t="n">
        <x:v>0</x:v>
      </x:c>
      <x:c r="Y1021" s="26" t="n">
        <x:v>0</x:v>
      </x:c>
      <x:c r="Z1021" s="35" t="str">
        <x:v>December 2027 rent</x:v>
      </x:c>
    </x:row>
    <x:row r="1022">
      <x:c r="A1022" s="20" t="str">
        <x:v>FIN-01019</x:v>
      </x:c>
      <x:c r="B1022" s="23" t="n">
        <x:v>46724</x:v>
      </x:c>
      <x:c r="C1022" s="23" t="n">
        <x:v>46724</x:v>
      </x:c>
      <x:c r="D1022" s="20" t="str">
        <x:v>TenantReceipt</x:v>
      </x:c>
      <x:c r="E1022" s="20" t="str">
        <x:v>Rent receipt</x:v>
      </x:c>
      <x:c r="F1022" s="20" t="str">
        <x:v>P029</x:v>
      </x:c>
      <x:c r="G1022" s="20" t="str">
        <x:v>U038</x:v>
      </x:c>
      <x:c r="H1022" s="20" t="str">
        <x:v>L044</x:v>
      </x:c>
      <x:c r="I1022" s="20" t="str">
        <x:v>Keira Adams</x:v>
      </x:c>
      <x:c r="J1022" s="35" t="str">
        <x:v>Scanned check</x:v>
      </x:c>
      <x:c r="K1022" s="20" t="str">
        <x:v>SCN-0345</x:v>
      </x:c>
      <x:c r="L1022" s="20" t="str">
        <x:v>PMT-20271203-L044-A</x:v>
      </x:c>
      <x:c r="M1022" s="26" t="n">
        <x:v>780</x:v>
      </x:c>
      <x:c r="N1022" s="26" t="n">
        <x:v>-780</x:v>
      </x:c>
      <x:c r="O1022" s="26" t="n">
        <x:v>780</x:v>
      </x:c>
      <x:c r="P1022" s="26" t="n">
        <x:v>0</x:v>
      </x:c>
      <x:c r="Q1022" s="26" t="n">
        <x:v>0</x:v>
      </x:c>
      <x:c r="R1022" s="26" t="n">
        <x:v>0</x:v>
      </x:c>
      <x:c r="S1022" s="26" t="n">
        <x:v>0</x:v>
      </x:c>
      <x:c r="T1022" s="26" t="n">
        <x:v>0</x:v>
      </x:c>
      <x:c r="U1022" s="26" t="n">
        <x:v>0</x:v>
      </x:c>
      <x:c r="V1022" s="26" t="n">
        <x:v>0</x:v>
      </x:c>
      <x:c r="W1022" s="26" t="n">
        <x:v>0</x:v>
      </x:c>
      <x:c r="X1022" s="26" t="n">
        <x:v>0</x:v>
      </x:c>
      <x:c r="Y1022" s="26" t="n">
        <x:v>0</x:v>
      </x:c>
      <x:c r="Z1022" s="35" t="str">
        <x:v>Receipt allocated to FIN-01018</x:v>
      </x:c>
    </x:row>
    <x:row r="1023">
      <x:c r="A1023" s="20" t="str">
        <x:v>FIN-01020</x:v>
      </x:c>
      <x:c r="B1023" s="23" t="n">
        <x:v>46727</x:v>
      </x:c>
      <x:c r="C1023" s="23" t="n">
        <x:v>46727</x:v>
      </x:c>
      <x:c r="D1023" s="20" t="str">
        <x:v>TenantCharge</x:v>
      </x:c>
      <x:c r="E1023" s="20" t="str">
        <x:v>Late fee</x:v>
      </x:c>
      <x:c r="F1023" s="20" t="str">
        <x:v>P029</x:v>
      </x:c>
      <x:c r="G1023" s="20" t="str">
        <x:v>U038</x:v>
      </x:c>
      <x:c r="H1023" s="20" t="str">
        <x:v>L044</x:v>
      </x:c>
      <x:c r="I1023" s="20" t="str">
        <x:v>Keira Adams</x:v>
      </x:c>
      <x:c r="J1023" s="35" t="str">
        <x:v>System automation</x:v>
      </x:c>
      <x:c r="K1023" s="20" t="str"/>
      <x:c r="L1023" s="20" t="str">
        <x:v>LATE-202712-L044</x:v>
      </x:c>
      <x:c r="M1023" s="26" t="n">
        <x:v>50</x:v>
      </x:c>
      <x:c r="N1023" s="26" t="n">
        <x:v>50</x:v>
      </x:c>
      <x:c r="O1023" s="26" t="n">
        <x:v>0</x:v>
      </x:c>
      <x:c r="P1023" s="26" t="n">
        <x:v>0</x:v>
      </x:c>
      <x:c r="Q1023" s="26" t="n">
        <x:v>0</x:v>
      </x:c>
      <x:c r="R1023" s="26" t="n">
        <x:v>0</x:v>
      </x:c>
      <x:c r="S1023" s="26" t="n">
        <x:v>0</x:v>
      </x:c>
      <x:c r="T1023" s="26" t="n">
        <x:v>50</x:v>
      </x:c>
      <x:c r="U1023" s="26" t="n">
        <x:v>0</x:v>
      </x:c>
      <x:c r="V1023" s="26" t="n">
        <x:v>0</x:v>
      </x:c>
      <x:c r="W1023" s="26" t="n">
        <x:v>0</x:v>
      </x:c>
      <x:c r="X1023" s="26" t="n">
        <x:v>0</x:v>
      </x:c>
      <x:c r="Y1023" s="26" t="n">
        <x:v>0</x:v>
      </x:c>
      <x:c r="Z1023" s="35" t="str">
        <x:v>Synthetic lease-authorized late fee after partial payment</x:v>
      </x:c>
    </x:row>
    <x:row r="1024">
      <x:c r="A1024" s="20" t="str">
        <x:v>FIN-01021</x:v>
      </x:c>
      <x:c r="B1024" s="23" t="n">
        <x:v>46733</x:v>
      </x:c>
      <x:c r="C1024" s="23" t="n">
        <x:v>46733</x:v>
      </x:c>
      <x:c r="D1024" s="20" t="str">
        <x:v>TenantReceipt</x:v>
      </x:c>
      <x:c r="E1024" s="20" t="str">
        <x:v>Rent receipt</x:v>
      </x:c>
      <x:c r="F1024" s="20" t="str">
        <x:v>P029</x:v>
      </x:c>
      <x:c r="G1024" s="20" t="str">
        <x:v>U038</x:v>
      </x:c>
      <x:c r="H1024" s="20" t="str">
        <x:v>L044</x:v>
      </x:c>
      <x:c r="I1024" s="20" t="str">
        <x:v>Keira Adams</x:v>
      </x:c>
      <x:c r="J1024" s="35" t="str">
        <x:v>Manual ACH</x:v>
      </x:c>
      <x:c r="K1024" s="20" t="str"/>
      <x:c r="L1024" s="20" t="str">
        <x:v>PMT-20271212-L044-B</x:v>
      </x:c>
      <x:c r="M1024" s="26" t="n">
        <x:v>570</x:v>
      </x:c>
      <x:c r="N1024" s="26" t="n">
        <x:v>-570</x:v>
      </x:c>
      <x:c r="O1024" s="26" t="n">
        <x:v>570</x:v>
      </x:c>
      <x:c r="P1024" s="26" t="n">
        <x:v>0</x:v>
      </x:c>
      <x:c r="Q1024" s="26" t="n">
        <x:v>0</x:v>
      </x:c>
      <x:c r="R1024" s="26" t="n">
        <x:v>0</x:v>
      </x:c>
      <x:c r="S1024" s="26" t="n">
        <x:v>0</x:v>
      </x:c>
      <x:c r="T1024" s="26" t="n">
        <x:v>0</x:v>
      </x:c>
      <x:c r="U1024" s="26" t="n">
        <x:v>0</x:v>
      </x:c>
      <x:c r="V1024" s="26" t="n">
        <x:v>0</x:v>
      </x:c>
      <x:c r="W1024" s="26" t="n">
        <x:v>0</x:v>
      </x:c>
      <x:c r="X1024" s="26" t="n">
        <x:v>0</x:v>
      </x:c>
      <x:c r="Y1024" s="26" t="n">
        <x:v>0</x:v>
      </x:c>
      <x:c r="Z1024" s="35" t="str">
        <x:v>Receipt allocated to FIN-01020</x:v>
      </x:c>
    </x:row>
    <x:row r="1025">
      <x:c r="A1025" s="20" t="str">
        <x:v>FIN-01022</x:v>
      </x:c>
      <x:c r="B1025" s="23" t="n">
        <x:v>46722</x:v>
      </x:c>
      <x:c r="C1025" s="23" t="n">
        <x:v>46722</x:v>
      </x:c>
      <x:c r="D1025" s="20" t="str">
        <x:v>TenantCharge</x:v>
      </x:c>
      <x:c r="E1025" s="20" t="str">
        <x:v>Rent</x:v>
      </x:c>
      <x:c r="F1025" s="20" t="str">
        <x:v>P030</x:v>
      </x:c>
      <x:c r="G1025" s="20" t="str">
        <x:v>U039</x:v>
      </x:c>
      <x:c r="H1025" s="20" t="str">
        <x:v>L045</x:v>
      </x:c>
      <x:c r="I1025" s="20" t="str">
        <x:v>Nolan Flores</x:v>
      </x:c>
      <x:c r="J1025" s="35" t="str">
        <x:v>System scheduled charge</x:v>
      </x:c>
      <x:c r="K1025" s="20" t="str"/>
      <x:c r="L1025" s="20" t="str">
        <x:v>RENT-202712-L045</x:v>
      </x:c>
      <x:c r="M1025" s="26" t="n">
        <x:v>1825</x:v>
      </x:c>
      <x:c r="N1025" s="26" t="n">
        <x:v>1825</x:v>
      </x:c>
      <x:c r="O1025" s="26" t="n">
        <x:v>0</x:v>
      </x:c>
      <x:c r="P1025" s="26" t="n">
        <x:v>0</x:v>
      </x:c>
      <x:c r="Q1025" s="26" t="n">
        <x:v>0</x:v>
      </x:c>
      <x:c r="R1025" s="26" t="n">
        <x:v>0</x:v>
      </x:c>
      <x:c r="S1025" s="26" t="n">
        <x:v>0</x:v>
      </x:c>
      <x:c r="T1025" s="26" t="n">
        <x:v>1825</x:v>
      </x:c>
      <x:c r="U1025" s="26" t="n">
        <x:v>0</x:v>
      </x:c>
      <x:c r="V1025" s="26" t="n">
        <x:v>0</x:v>
      </x:c>
      <x:c r="W1025" s="26" t="n">
        <x:v>0</x:v>
      </x:c>
      <x:c r="X1025" s="26" t="n">
        <x:v>0</x:v>
      </x:c>
      <x:c r="Y1025" s="26" t="n">
        <x:v>0</x:v>
      </x:c>
      <x:c r="Z1025" s="35" t="str">
        <x:v>December 2027 rent</x:v>
      </x:c>
    </x:row>
    <x:row r="1026">
      <x:c r="A1026" s="20" t="str">
        <x:v>FIN-01023</x:v>
      </x:c>
      <x:c r="B1026" s="23" t="n">
        <x:v>46724</x:v>
      </x:c>
      <x:c r="C1026" s="23" t="n">
        <x:v>46724</x:v>
      </x:c>
      <x:c r="D1026" s="20" t="str">
        <x:v>TenantReceipt</x:v>
      </x:c>
      <x:c r="E1026" s="20" t="str">
        <x:v>Rent receipt</x:v>
      </x:c>
      <x:c r="F1026" s="20" t="str">
        <x:v>P030</x:v>
      </x:c>
      <x:c r="G1026" s="20" t="str">
        <x:v>U039</x:v>
      </x:c>
      <x:c r="H1026" s="20" t="str">
        <x:v>L045</x:v>
      </x:c>
      <x:c r="I1026" s="20" t="str">
        <x:v>Nolan Flores</x:v>
      </x:c>
      <x:c r="J1026" s="35" t="str">
        <x:v>Scanned money order</x:v>
      </x:c>
      <x:c r="K1026" s="20" t="str">
        <x:v>SCN-0346</x:v>
      </x:c>
      <x:c r="L1026" s="20" t="str">
        <x:v>PMT-20271203-L045</x:v>
      </x:c>
      <x:c r="M1026" s="26" t="n">
        <x:v>1825</x:v>
      </x:c>
      <x:c r="N1026" s="26" t="n">
        <x:v>-1825</x:v>
      </x:c>
      <x:c r="O1026" s="26" t="n">
        <x:v>1825</x:v>
      </x:c>
      <x:c r="P1026" s="26" t="n">
        <x:v>0</x:v>
      </x:c>
      <x:c r="Q1026" s="26" t="n">
        <x:v>0</x:v>
      </x:c>
      <x:c r="R1026" s="26" t="n">
        <x:v>0</x:v>
      </x:c>
      <x:c r="S1026" s="26" t="n">
        <x:v>0</x:v>
      </x:c>
      <x:c r="T1026" s="26" t="n">
        <x:v>0</x:v>
      </x:c>
      <x:c r="U1026" s="26" t="n">
        <x:v>0</x:v>
      </x:c>
      <x:c r="V1026" s="26" t="n">
        <x:v>0</x:v>
      </x:c>
      <x:c r="W1026" s="26" t="n">
        <x:v>0</x:v>
      </x:c>
      <x:c r="X1026" s="26" t="n">
        <x:v>0</x:v>
      </x:c>
      <x:c r="Y1026" s="26" t="n">
        <x:v>0</x:v>
      </x:c>
      <x:c r="Z1026" s="35" t="str">
        <x:v>Receipt allocated to FIN-01022</x:v>
      </x:c>
    </x:row>
    <x:row r="1027">
      <x:c r="A1027" s="20" t="str">
        <x:v>FIN-01024</x:v>
      </x:c>
      <x:c r="B1027" s="23" t="n">
        <x:v>46392</x:v>
      </x:c>
      <x:c r="C1027" s="23" t="n">
        <x:v>46392</x:v>
      </x:c>
      <x:c r="D1027" s="20" t="str">
        <x:v>OperatingExpense</x:v>
      </x:c>
      <x:c r="E1027" s="20" t="str">
        <x:v>Repairs</x:v>
      </x:c>
      <x:c r="F1027" s="20" t="str">
        <x:v>P008</x:v>
      </x:c>
      <x:c r="G1027" s="20" t="str">
        <x:v>U008</x:v>
      </x:c>
      <x:c r="H1027" s="20" t="str"/>
      <x:c r="I1027" s="20" t="str">
        <x:v>ComfortZone HVAC</x:v>
      </x:c>
      <x:c r="J1027" s="35" t="str">
        <x:v>Scanned receipt/invoice</x:v>
      </x:c>
      <x:c r="K1027" s="20" t="str">
        <x:v>SCN-0348</x:v>
      </x:c>
      <x:c r="L1027" s="20" t="str">
        <x:v>EXP-20270105-001</x:v>
      </x:c>
      <x:c r="M1027" s="26" t="n">
        <x:v>147.8</x:v>
      </x:c>
      <x:c r="N1027" s="26" t="n">
        <x:v>0</x:v>
      </x:c>
      <x:c r="O1027" s="26" t="n">
        <x:v>-147.8</x:v>
      </x:c>
      <x:c r="P1027" s="26" t="n">
        <x:v>0</x:v>
      </x:c>
      <x:c r="Q1027" s="26" t="n">
        <x:v>0</x:v>
      </x:c>
      <x:c r="R1027" s="26" t="n">
        <x:v>0</x:v>
      </x:c>
      <x:c r="S1027" s="26" t="n">
        <x:v>0</x:v>
      </x:c>
      <x:c r="T1027" s="26" t="n">
        <x:v>0</x:v>
      </x:c>
      <x:c r="U1027" s="26" t="n">
        <x:v>147.8</x:v>
      </x:c>
      <x:c r="V1027" s="26" t="n">
        <x:v>0</x:v>
      </x:c>
      <x:c r="W1027" s="26" t="n">
        <x:v>0</x:v>
      </x:c>
      <x:c r="X1027" s="26" t="n">
        <x:v>0</x:v>
      </x:c>
      <x:c r="Y1027" s="26" t="n">
        <x:v>0</x:v>
      </x:c>
      <x:c r="Z1027" s="35" t="str">
        <x:v>ComfortZone HVAC; WO-2027-001</x:v>
      </x:c>
    </x:row>
    <x:row r="1028">
      <x:c r="A1028" s="20" t="str">
        <x:v>FIN-01025</x:v>
      </x:c>
      <x:c r="B1028" s="23" t="n">
        <x:v>46399</x:v>
      </x:c>
      <x:c r="C1028" s="23" t="n">
        <x:v>46399</x:v>
      </x:c>
      <x:c r="D1028" s="20" t="str">
        <x:v>OperatingExpense</x:v>
      </x:c>
      <x:c r="E1028" s="20" t="str">
        <x:v>Repairs</x:v>
      </x:c>
      <x:c r="F1028" s="20" t="str">
        <x:v>P015</x:v>
      </x:c>
      <x:c r="G1028" s="20" t="str">
        <x:v>U015</x:v>
      </x:c>
      <x:c r="H1028" s="20" t="str"/>
      <x:c r="I1028" s="20" t="str">
        <x:v>Metro Electric</x:v>
      </x:c>
      <x:c r="J1028" s="35" t="str">
        <x:v>Scanned receipt/invoice</x:v>
      </x:c>
      <x:c r="K1028" s="20" t="str">
        <x:v>SCN-0350</x:v>
      </x:c>
      <x:c r="L1028" s="20" t="str">
        <x:v>EXP-20270112-002</x:v>
      </x:c>
      <x:c r="M1028" s="26" t="n">
        <x:v>225</x:v>
      </x:c>
      <x:c r="N1028" s="26" t="n">
        <x:v>0</x:v>
      </x:c>
      <x:c r="O1028" s="26" t="n">
        <x:v>-225</x:v>
      </x:c>
      <x:c r="P1028" s="26" t="n">
        <x:v>0</x:v>
      </x:c>
      <x:c r="Q1028" s="26" t="n">
        <x:v>0</x:v>
      </x:c>
      <x:c r="R1028" s="26" t="n">
        <x:v>0</x:v>
      </x:c>
      <x:c r="S1028" s="26" t="n">
        <x:v>0</x:v>
      </x:c>
      <x:c r="T1028" s="26" t="n">
        <x:v>0</x:v>
      </x:c>
      <x:c r="U1028" s="26" t="n">
        <x:v>225</x:v>
      </x:c>
      <x:c r="V1028" s="26" t="n">
        <x:v>0</x:v>
      </x:c>
      <x:c r="W1028" s="26" t="n">
        <x:v>0</x:v>
      </x:c>
      <x:c r="X1028" s="26" t="n">
        <x:v>0</x:v>
      </x:c>
      <x:c r="Y1028" s="26" t="n">
        <x:v>0</x:v>
      </x:c>
      <x:c r="Z1028" s="35" t="str">
        <x:v>Metro Electric; WO-2027-002</x:v>
      </x:c>
    </x:row>
    <x:row r="1029">
      <x:c r="A1029" s="20" t="str">
        <x:v>FIN-01026</x:v>
      </x:c>
      <x:c r="B1029" s="23" t="n">
        <x:v>46406</x:v>
      </x:c>
      <x:c r="C1029" s="23" t="n">
        <x:v>46406</x:v>
      </x:c>
      <x:c r="D1029" s="20" t="str">
        <x:v>OperatingExpense</x:v>
      </x:c>
      <x:c r="E1029" s="20" t="str">
        <x:v>Repairs</x:v>
      </x:c>
      <x:c r="F1029" s="20" t="str">
        <x:v>P021</x:v>
      </x:c>
      <x:c r="G1029" s="20" t="str">
        <x:v>U022</x:v>
      </x:c>
      <x:c r="H1029" s="20" t="str"/>
      <x:c r="I1029" s="20" t="str">
        <x:v>Green Thumb Landscaping</x:v>
      </x:c>
      <x:c r="J1029" s="35" t="str">
        <x:v>Scanned receipt/invoice</x:v>
      </x:c>
      <x:c r="K1029" s="20" t="str">
        <x:v>SCN-0352</x:v>
      </x:c>
      <x:c r="L1029" s="20" t="str">
        <x:v>EXP-20270119-003</x:v>
      </x:c>
      <x:c r="M1029" s="26" t="n">
        <x:v>318.65</x:v>
      </x:c>
      <x:c r="N1029" s="26" t="n">
        <x:v>0</x:v>
      </x:c>
      <x:c r="O1029" s="26" t="n">
        <x:v>-318.65</x:v>
      </x:c>
      <x:c r="P1029" s="26" t="n">
        <x:v>0</x:v>
      </x:c>
      <x:c r="Q1029" s="26" t="n">
        <x:v>0</x:v>
      </x:c>
      <x:c r="R1029" s="26" t="n">
        <x:v>0</x:v>
      </x:c>
      <x:c r="S1029" s="26" t="n">
        <x:v>0</x:v>
      </x:c>
      <x:c r="T1029" s="26" t="n">
        <x:v>0</x:v>
      </x:c>
      <x:c r="U1029" s="26" t="n">
        <x:v>318.65</x:v>
      </x:c>
      <x:c r="V1029" s="26" t="n">
        <x:v>0</x:v>
      </x:c>
      <x:c r="W1029" s="26" t="n">
        <x:v>0</x:v>
      </x:c>
      <x:c r="X1029" s="26" t="n">
        <x:v>0</x:v>
      </x:c>
      <x:c r="Y1029" s="26" t="n">
        <x:v>0</x:v>
      </x:c>
      <x:c r="Z1029" s="35" t="str">
        <x:v>Green Thumb Landscaping; WO-2027-003</x:v>
      </x:c>
    </x:row>
    <x:row r="1030">
      <x:c r="A1030" s="20" t="str">
        <x:v>FIN-01027</x:v>
      </x:c>
      <x:c r="B1030" s="23" t="n">
        <x:v>46413</x:v>
      </x:c>
      <x:c r="C1030" s="23" t="n">
        <x:v>46413</x:v>
      </x:c>
      <x:c r="D1030" s="20" t="str">
        <x:v>OperatingExpense</x:v>
      </x:c>
      <x:c r="E1030" s="20" t="str">
        <x:v>Repairs</x:v>
      </x:c>
      <x:c r="F1030" s="20" t="str">
        <x:v>P025</x:v>
      </x:c>
      <x:c r="G1030" s="20" t="str">
        <x:v>U029</x:v>
      </x:c>
      <x:c r="H1030" s="20" t="str"/>
      <x:c r="I1030" s="20" t="str">
        <x:v>Summit Roofing</x:v>
      </x:c>
      <x:c r="J1030" s="35" t="str">
        <x:v>Scanned receipt/invoice</x:v>
      </x:c>
      <x:c r="K1030" s="20" t="str">
        <x:v>SCN-0354</x:v>
      </x:c>
      <x:c r="L1030" s="20" t="str">
        <x:v>EXP-20270126-004</x:v>
      </x:c>
      <x:c r="M1030" s="26" t="n">
        <x:v>475</x:v>
      </x:c>
      <x:c r="N1030" s="26" t="n">
        <x:v>0</x:v>
      </x:c>
      <x:c r="O1030" s="26" t="n">
        <x:v>-475</x:v>
      </x:c>
      <x:c r="P1030" s="26" t="n">
        <x:v>0</x:v>
      </x:c>
      <x:c r="Q1030" s="26" t="n">
        <x:v>0</x:v>
      </x:c>
      <x:c r="R1030" s="26" t="n">
        <x:v>0</x:v>
      </x:c>
      <x:c r="S1030" s="26" t="n">
        <x:v>0</x:v>
      </x:c>
      <x:c r="T1030" s="26" t="n">
        <x:v>0</x:v>
      </x:c>
      <x:c r="U1030" s="26" t="n">
        <x:v>475</x:v>
      </x:c>
      <x:c r="V1030" s="26" t="n">
        <x:v>0</x:v>
      </x:c>
      <x:c r="W1030" s="26" t="n">
        <x:v>0</x:v>
      </x:c>
      <x:c r="X1030" s="26" t="n">
        <x:v>0</x:v>
      </x:c>
      <x:c r="Y1030" s="26" t="n">
        <x:v>0</x:v>
      </x:c>
      <x:c r="Z1030" s="35" t="str">
        <x:v>Summit Roofing; WO-2027-004</x:v>
      </x:c>
    </x:row>
    <x:row r="1031">
      <x:c r="A1031" s="20" t="str">
        <x:v>FIN-01028</x:v>
      </x:c>
      <x:c r="B1031" s="23" t="n">
        <x:v>46420</x:v>
      </x:c>
      <x:c r="C1031" s="23" t="n">
        <x:v>46420</x:v>
      </x:c>
      <x:c r="D1031" s="20" t="str">
        <x:v>OperatingExpense</x:v>
      </x:c>
      <x:c r="E1031" s="20" t="str">
        <x:v>Repairs</x:v>
      </x:c>
      <x:c r="F1031" s="20" t="str">
        <x:v>P028</x:v>
      </x:c>
      <x:c r="G1031" s="20" t="str">
        <x:v>U036</x:v>
      </x:c>
      <x:c r="H1031" s="20" t="str"/>
      <x:c r="I1031" s="20" t="str">
        <x:v>Prime Pest Control</x:v>
      </x:c>
      <x:c r="J1031" s="35" t="str">
        <x:v>Manual web form</x:v>
      </x:c>
      <x:c r="K1031" s="20" t="str"/>
      <x:c r="L1031" s="20" t="str">
        <x:v>EXP-20270202-005</x:v>
      </x:c>
      <x:c r="M1031" s="26" t="n">
        <x:v>690.25</x:v>
      </x:c>
      <x:c r="N1031" s="26" t="n">
        <x:v>0</x:v>
      </x:c>
      <x:c r="O1031" s="26" t="n">
        <x:v>-690.25</x:v>
      </x:c>
      <x:c r="P1031" s="26" t="n">
        <x:v>0</x:v>
      </x:c>
      <x:c r="Q1031" s="26" t="n">
        <x:v>0</x:v>
      </x:c>
      <x:c r="R1031" s="26" t="n">
        <x:v>0</x:v>
      </x:c>
      <x:c r="S1031" s="26" t="n">
        <x:v>0</x:v>
      </x:c>
      <x:c r="T1031" s="26" t="n">
        <x:v>0</x:v>
      </x:c>
      <x:c r="U1031" s="26" t="n">
        <x:v>690.25</x:v>
      </x:c>
      <x:c r="V1031" s="26" t="n">
        <x:v>0</x:v>
      </x:c>
      <x:c r="W1031" s="26" t="n">
        <x:v>0</x:v>
      </x:c>
      <x:c r="X1031" s="26" t="n">
        <x:v>0</x:v>
      </x:c>
      <x:c r="Y1031" s="26" t="n">
        <x:v>0</x:v>
      </x:c>
      <x:c r="Z1031" s="35" t="str">
        <x:v>Prime Pest Control; WO-2027-005</x:v>
      </x:c>
    </x:row>
    <x:row r="1032">
      <x:c r="A1032" s="20" t="str">
        <x:v>FIN-01029</x:v>
      </x:c>
      <x:c r="B1032" s="23" t="n">
        <x:v>46427</x:v>
      </x:c>
      <x:c r="C1032" s="23" t="n">
        <x:v>46427</x:v>
      </x:c>
      <x:c r="D1032" s="20" t="str">
        <x:v>OperatingExpense</x:v>
      </x:c>
      <x:c r="E1032" s="20" t="str">
        <x:v>Repairs</x:v>
      </x:c>
      <x:c r="F1032" s="20" t="str">
        <x:v>P003</x:v>
      </x:c>
      <x:c r="G1032" s="20" t="str">
        <x:v>U003</x:v>
      </x:c>
      <x:c r="H1032" s="20" t="str"/>
      <x:c r="I1032" s="20" t="str">
        <x:v>Fresh Start Turnovers</x:v>
      </x:c>
      <x:c r="J1032" s="35" t="str">
        <x:v>Scanned receipt/invoice</x:v>
      </x:c>
      <x:c r="K1032" s="20" t="str">
        <x:v>SCN-0357</x:v>
      </x:c>
      <x:c r="L1032" s="20" t="str">
        <x:v>EXP-20270209-006</x:v>
      </x:c>
      <x:c r="M1032" s="26" t="n">
        <x:v>940</x:v>
      </x:c>
      <x:c r="N1032" s="26" t="n">
        <x:v>0</x:v>
      </x:c>
      <x:c r="O1032" s="26" t="n">
        <x:v>-940</x:v>
      </x:c>
      <x:c r="P1032" s="26" t="n">
        <x:v>0</x:v>
      </x:c>
      <x:c r="Q1032" s="26" t="n">
        <x:v>0</x:v>
      </x:c>
      <x:c r="R1032" s="26" t="n">
        <x:v>0</x:v>
      </x:c>
      <x:c r="S1032" s="26" t="n">
        <x:v>0</x:v>
      </x:c>
      <x:c r="T1032" s="26" t="n">
        <x:v>0</x:v>
      </x:c>
      <x:c r="U1032" s="26" t="n">
        <x:v>940</x:v>
      </x:c>
      <x:c r="V1032" s="26" t="n">
        <x:v>0</x:v>
      </x:c>
      <x:c r="W1032" s="26" t="n">
        <x:v>0</x:v>
      </x:c>
      <x:c r="X1032" s="26" t="n">
        <x:v>0</x:v>
      </x:c>
      <x:c r="Y1032" s="26" t="n">
        <x:v>0</x:v>
      </x:c>
      <x:c r="Z1032" s="35" t="str">
        <x:v>Fresh Start Turnovers; WO-2027-006</x:v>
      </x:c>
    </x:row>
    <x:row r="1033">
      <x:c r="A1033" s="20" t="str">
        <x:v>FIN-01030</x:v>
      </x:c>
      <x:c r="B1033" s="23" t="n">
        <x:v>46434</x:v>
      </x:c>
      <x:c r="C1033" s="23" t="n">
        <x:v>46434</x:v>
      </x:c>
      <x:c r="D1033" s="20" t="str">
        <x:v>OperatingExpense</x:v>
      </x:c>
      <x:c r="E1033" s="20" t="str">
        <x:v>Supplies</x:v>
      </x:c>
      <x:c r="F1033" s="20" t="str">
        <x:v>P010</x:v>
      </x:c>
      <x:c r="G1033" s="20" t="str">
        <x:v>U010</x:v>
      </x:c>
      <x:c r="H1033" s="20" t="str"/>
      <x:c r="I1033" s="20" t="str">
        <x:v>Hardware House</x:v>
      </x:c>
      <x:c r="J1033" s="35" t="str">
        <x:v>Scanned receipt/invoice</x:v>
      </x:c>
      <x:c r="K1033" s="20" t="str">
        <x:v>SCN-0359</x:v>
      </x:c>
      <x:c r="L1033" s="20" t="str">
        <x:v>EXP-20270216-007</x:v>
      </x:c>
      <x:c r="M1033" s="26" t="n">
        <x:v>89.45</x:v>
      </x:c>
      <x:c r="N1033" s="26" t="n">
        <x:v>0</x:v>
      </x:c>
      <x:c r="O1033" s="26" t="n">
        <x:v>-89.45</x:v>
      </x:c>
      <x:c r="P1033" s="26" t="n">
        <x:v>0</x:v>
      </x:c>
      <x:c r="Q1033" s="26" t="n">
        <x:v>0</x:v>
      </x:c>
      <x:c r="R1033" s="26" t="n">
        <x:v>0</x:v>
      </x:c>
      <x:c r="S1033" s="26" t="n">
        <x:v>0</x:v>
      </x:c>
      <x:c r="T1033" s="26" t="n">
        <x:v>0</x:v>
      </x:c>
      <x:c r="U1033" s="26" t="n">
        <x:v>89.45</x:v>
      </x:c>
      <x:c r="V1033" s="26" t="n">
        <x:v>0</x:v>
      </x:c>
      <x:c r="W1033" s="26" t="n">
        <x:v>0</x:v>
      </x:c>
      <x:c r="X1033" s="26" t="n">
        <x:v>0</x:v>
      </x:c>
      <x:c r="Y1033" s="26" t="n">
        <x:v>0</x:v>
      </x:c>
      <x:c r="Z1033" s="35" t="str">
        <x:v>Hardware House; WO-2027-007</x:v>
      </x:c>
    </x:row>
    <x:row r="1034">
      <x:c r="A1034" s="20" t="str">
        <x:v>FIN-01031</x:v>
      </x:c>
      <x:c r="B1034" s="23" t="n">
        <x:v>46441</x:v>
      </x:c>
      <x:c r="C1034" s="23" t="n">
        <x:v>46441</x:v>
      </x:c>
      <x:c r="D1034" s="20" t="str">
        <x:v>OperatingExpense</x:v>
      </x:c>
      <x:c r="E1034" s="20" t="str">
        <x:v>Repairs</x:v>
      </x:c>
      <x:c r="F1034" s="20" t="str">
        <x:v>P017</x:v>
      </x:c>
      <x:c r="G1034" s="20" t="str">
        <x:v>U017</x:v>
      </x:c>
      <x:c r="H1034" s="20" t="str"/>
      <x:c r="I1034" s="20" t="str">
        <x:v>SafeHome Locksmith</x:v>
      </x:c>
      <x:c r="J1034" s="35" t="str">
        <x:v>Scanned receipt/invoice</x:v>
      </x:c>
      <x:c r="K1034" s="20" t="str">
        <x:v>SCN-0361</x:v>
      </x:c>
      <x:c r="L1034" s="20" t="str">
        <x:v>EXP-20270223-008</x:v>
      </x:c>
      <x:c r="M1034" s="26" t="n">
        <x:v>147.8</x:v>
      </x:c>
      <x:c r="N1034" s="26" t="n">
        <x:v>0</x:v>
      </x:c>
      <x:c r="O1034" s="26" t="n">
        <x:v>-147.8</x:v>
      </x:c>
      <x:c r="P1034" s="26" t="n">
        <x:v>0</x:v>
      </x:c>
      <x:c r="Q1034" s="26" t="n">
        <x:v>0</x:v>
      </x:c>
      <x:c r="R1034" s="26" t="n">
        <x:v>0</x:v>
      </x:c>
      <x:c r="S1034" s="26" t="n">
        <x:v>0</x:v>
      </x:c>
      <x:c r="T1034" s="26" t="n">
        <x:v>0</x:v>
      </x:c>
      <x:c r="U1034" s="26" t="n">
        <x:v>147.8</x:v>
      </x:c>
      <x:c r="V1034" s="26" t="n">
        <x:v>0</x:v>
      </x:c>
      <x:c r="W1034" s="26" t="n">
        <x:v>0</x:v>
      </x:c>
      <x:c r="X1034" s="26" t="n">
        <x:v>0</x:v>
      </x:c>
      <x:c r="Y1034" s="26" t="n">
        <x:v>0</x:v>
      </x:c>
      <x:c r="Z1034" s="35" t="str">
        <x:v>SafeHome Locksmith; WO-2027-008</x:v>
      </x:c>
    </x:row>
    <x:row r="1035">
      <x:c r="A1035" s="20" t="str">
        <x:v>FIN-01032</x:v>
      </x:c>
      <x:c r="B1035" s="23" t="n">
        <x:v>46448</x:v>
      </x:c>
      <x:c r="C1035" s="23" t="n">
        <x:v>46448</x:v>
      </x:c>
      <x:c r="D1035" s="20" t="str">
        <x:v>OperatingExpense</x:v>
      </x:c>
      <x:c r="E1035" s="20" t="str">
        <x:v>Repairs</x:v>
      </x:c>
      <x:c r="F1035" s="20" t="str">
        <x:v>P022</x:v>
      </x:c>
      <x:c r="G1035" s="20" t="str">
        <x:v>U024</x:v>
      </x:c>
      <x:c r="H1035" s="20" t="str"/>
      <x:c r="I1035" s="20" t="str">
        <x:v>ClearFlow Restoration</x:v>
      </x:c>
      <x:c r="J1035" s="35" t="str">
        <x:v>Scanned receipt/invoice</x:v>
      </x:c>
      <x:c r="K1035" s="20" t="str">
        <x:v>SCN-0363</x:v>
      </x:c>
      <x:c r="L1035" s="20" t="str">
        <x:v>EXP-20270302-009</x:v>
      </x:c>
      <x:c r="M1035" s="26" t="n">
        <x:v>225</x:v>
      </x:c>
      <x:c r="N1035" s="26" t="n">
        <x:v>0</x:v>
      </x:c>
      <x:c r="O1035" s="26" t="n">
        <x:v>-225</x:v>
      </x:c>
      <x:c r="P1035" s="26" t="n">
        <x:v>0</x:v>
      </x:c>
      <x:c r="Q1035" s="26" t="n">
        <x:v>0</x:v>
      </x:c>
      <x:c r="R1035" s="26" t="n">
        <x:v>0</x:v>
      </x:c>
      <x:c r="S1035" s="26" t="n">
        <x:v>0</x:v>
      </x:c>
      <x:c r="T1035" s="26" t="n">
        <x:v>0</x:v>
      </x:c>
      <x:c r="U1035" s="26" t="n">
        <x:v>225</x:v>
      </x:c>
      <x:c r="V1035" s="26" t="n">
        <x:v>0</x:v>
      </x:c>
      <x:c r="W1035" s="26" t="n">
        <x:v>0</x:v>
      </x:c>
      <x:c r="X1035" s="26" t="n">
        <x:v>0</x:v>
      </x:c>
      <x:c r="Y1035" s="26" t="n">
        <x:v>0</x:v>
      </x:c>
      <x:c r="Z1035" s="35" t="str">
        <x:v>ClearFlow Restoration; WO-2027-009</x:v>
      </x:c>
    </x:row>
    <x:row r="1036">
      <x:c r="A1036" s="20" t="str">
        <x:v>FIN-01033</x:v>
      </x:c>
      <x:c r="B1036" s="23" t="n">
        <x:v>46455</x:v>
      </x:c>
      <x:c r="C1036" s="23" t="n">
        <x:v>46455</x:v>
      </x:c>
      <x:c r="D1036" s="20" t="str">
        <x:v>OperatingExpense</x:v>
      </x:c>
      <x:c r="E1036" s="20" t="str">
        <x:v>Repairs</x:v>
      </x:c>
      <x:c r="F1036" s="20" t="str">
        <x:v>P026</x:v>
      </x:c>
      <x:c r="G1036" s="20" t="str">
        <x:v>U031</x:v>
      </x:c>
      <x:c r="H1036" s="20" t="str"/>
      <x:c r="I1036" s="20" t="str">
        <x:v>Apex Plumbing</x:v>
      </x:c>
      <x:c r="J1036" s="35" t="str">
        <x:v>Manual mobile form</x:v>
      </x:c>
      <x:c r="K1036" s="20" t="str"/>
      <x:c r="L1036" s="20" t="str">
        <x:v>EXP-20270309-010</x:v>
      </x:c>
      <x:c r="M1036" s="26" t="n">
        <x:v>318.65</x:v>
      </x:c>
      <x:c r="N1036" s="26" t="n">
        <x:v>0</x:v>
      </x:c>
      <x:c r="O1036" s="26" t="n">
        <x:v>-318.65</x:v>
      </x:c>
      <x:c r="P1036" s="26" t="n">
        <x:v>0</x:v>
      </x:c>
      <x:c r="Q1036" s="26" t="n">
        <x:v>0</x:v>
      </x:c>
      <x:c r="R1036" s="26" t="n">
        <x:v>0</x:v>
      </x:c>
      <x:c r="S1036" s="26" t="n">
        <x:v>0</x:v>
      </x:c>
      <x:c r="T1036" s="26" t="n">
        <x:v>0</x:v>
      </x:c>
      <x:c r="U1036" s="26" t="n">
        <x:v>318.65</x:v>
      </x:c>
      <x:c r="V1036" s="26" t="n">
        <x:v>0</x:v>
      </x:c>
      <x:c r="W1036" s="26" t="n">
        <x:v>0</x:v>
      </x:c>
      <x:c r="X1036" s="26" t="n">
        <x:v>0</x:v>
      </x:c>
      <x:c r="Y1036" s="26" t="n">
        <x:v>0</x:v>
      </x:c>
      <x:c r="Z1036" s="35" t="str">
        <x:v>Apex Plumbing; WO-2027-010</x:v>
      </x:c>
    </x:row>
    <x:row r="1037">
      <x:c r="A1037" s="20" t="str">
        <x:v>FIN-01034</x:v>
      </x:c>
      <x:c r="B1037" s="23" t="n">
        <x:v>46462</x:v>
      </x:c>
      <x:c r="C1037" s="23" t="n">
        <x:v>46462</x:v>
      </x:c>
      <x:c r="D1037" s="20" t="str">
        <x:v>OperatingExpense</x:v>
      </x:c>
      <x:c r="E1037" s="20" t="str">
        <x:v>Repairs</x:v>
      </x:c>
      <x:c r="F1037" s="20" t="str">
        <x:v>P029</x:v>
      </x:c>
      <x:c r="G1037" s="20" t="str">
        <x:v>U038</x:v>
      </x:c>
      <x:c r="H1037" s="20" t="str"/>
      <x:c r="I1037" s="20" t="str">
        <x:v>ComfortZone HVAC</x:v>
      </x:c>
      <x:c r="J1037" s="35" t="str">
        <x:v>Scanned receipt/invoice</x:v>
      </x:c>
      <x:c r="K1037" s="20" t="str">
        <x:v>SCN-0366</x:v>
      </x:c>
      <x:c r="L1037" s="20" t="str">
        <x:v>EXP-20270316-011</x:v>
      </x:c>
      <x:c r="M1037" s="26" t="n">
        <x:v>475</x:v>
      </x:c>
      <x:c r="N1037" s="26" t="n">
        <x:v>0</x:v>
      </x:c>
      <x:c r="O1037" s="26" t="n">
        <x:v>-475</x:v>
      </x:c>
      <x:c r="P1037" s="26" t="n">
        <x:v>0</x:v>
      </x:c>
      <x:c r="Q1037" s="26" t="n">
        <x:v>0</x:v>
      </x:c>
      <x:c r="R1037" s="26" t="n">
        <x:v>0</x:v>
      </x:c>
      <x:c r="S1037" s="26" t="n">
        <x:v>0</x:v>
      </x:c>
      <x:c r="T1037" s="26" t="n">
        <x:v>0</x:v>
      </x:c>
      <x:c r="U1037" s="26" t="n">
        <x:v>475</x:v>
      </x:c>
      <x:c r="V1037" s="26" t="n">
        <x:v>0</x:v>
      </x:c>
      <x:c r="W1037" s="26" t="n">
        <x:v>0</x:v>
      </x:c>
      <x:c r="X1037" s="26" t="n">
        <x:v>0</x:v>
      </x:c>
      <x:c r="Y1037" s="26" t="n">
        <x:v>0</x:v>
      </x:c>
      <x:c r="Z1037" s="35" t="str">
        <x:v>ComfortZone HVAC; WO-2027-011</x:v>
      </x:c>
    </x:row>
    <x:row r="1038">
      <x:c r="A1038" s="20" t="str">
        <x:v>FIN-01035</x:v>
      </x:c>
      <x:c r="B1038" s="23" t="n">
        <x:v>46469</x:v>
      </x:c>
      <x:c r="C1038" s="23" t="n">
        <x:v>46469</x:v>
      </x:c>
      <x:c r="D1038" s="20" t="str">
        <x:v>OperatingExpense</x:v>
      </x:c>
      <x:c r="E1038" s="20" t="str">
        <x:v>Repairs</x:v>
      </x:c>
      <x:c r="F1038" s="20" t="str">
        <x:v>P005</x:v>
      </x:c>
      <x:c r="G1038" s="20" t="str">
        <x:v>U005</x:v>
      </x:c>
      <x:c r="H1038" s="20" t="str"/>
      <x:c r="I1038" s="20" t="str">
        <x:v>Metro Electric</x:v>
      </x:c>
      <x:c r="J1038" s="35" t="str">
        <x:v>Scanned receipt/invoice</x:v>
      </x:c>
      <x:c r="K1038" s="20" t="str">
        <x:v>SCN-0368</x:v>
      </x:c>
      <x:c r="L1038" s="20" t="str">
        <x:v>EXP-20270323-012</x:v>
      </x:c>
      <x:c r="M1038" s="26" t="n">
        <x:v>690.25</x:v>
      </x:c>
      <x:c r="N1038" s="26" t="n">
        <x:v>0</x:v>
      </x:c>
      <x:c r="O1038" s="26" t="n">
        <x:v>-690.25</x:v>
      </x:c>
      <x:c r="P1038" s="26" t="n">
        <x:v>0</x:v>
      </x:c>
      <x:c r="Q1038" s="26" t="n">
        <x:v>0</x:v>
      </x:c>
      <x:c r="R1038" s="26" t="n">
        <x:v>0</x:v>
      </x:c>
      <x:c r="S1038" s="26" t="n">
        <x:v>0</x:v>
      </x:c>
      <x:c r="T1038" s="26" t="n">
        <x:v>0</x:v>
      </x:c>
      <x:c r="U1038" s="26" t="n">
        <x:v>690.25</x:v>
      </x:c>
      <x:c r="V1038" s="26" t="n">
        <x:v>0</x:v>
      </x:c>
      <x:c r="W1038" s="26" t="n">
        <x:v>0</x:v>
      </x:c>
      <x:c r="X1038" s="26" t="n">
        <x:v>0</x:v>
      </x:c>
      <x:c r="Y1038" s="26" t="n">
        <x:v>0</x:v>
      </x:c>
      <x:c r="Z1038" s="35" t="str">
        <x:v>Metro Electric; WO-2027-012</x:v>
      </x:c>
    </x:row>
    <x:row r="1039">
      <x:c r="A1039" s="20" t="str">
        <x:v>FIN-01036</x:v>
      </x:c>
      <x:c r="B1039" s="23" t="n">
        <x:v>46476</x:v>
      </x:c>
      <x:c r="C1039" s="23" t="n">
        <x:v>46476</x:v>
      </x:c>
      <x:c r="D1039" s="20" t="str">
        <x:v>OperatingExpense</x:v>
      </x:c>
      <x:c r="E1039" s="20" t="str">
        <x:v>Turnover</x:v>
      </x:c>
      <x:c r="F1039" s="20" t="str">
        <x:v>P012</x:v>
      </x:c>
      <x:c r="G1039" s="20" t="str">
        <x:v>U012</x:v>
      </x:c>
      <x:c r="H1039" s="20" t="str"/>
      <x:c r="I1039" s="20" t="str">
        <x:v>Green Thumb Landscaping</x:v>
      </x:c>
      <x:c r="J1039" s="35" t="str">
        <x:v>Scanned receipt/invoice</x:v>
      </x:c>
      <x:c r="K1039" s="20" t="str">
        <x:v>SCN-0370</x:v>
      </x:c>
      <x:c r="L1039" s="20" t="str">
        <x:v>EXP-20270330-013</x:v>
      </x:c>
      <x:c r="M1039" s="26" t="n">
        <x:v>940</x:v>
      </x:c>
      <x:c r="N1039" s="26" t="n">
        <x:v>0</x:v>
      </x:c>
      <x:c r="O1039" s="26" t="n">
        <x:v>-940</x:v>
      </x:c>
      <x:c r="P1039" s="26" t="n">
        <x:v>0</x:v>
      </x:c>
      <x:c r="Q1039" s="26" t="n">
        <x:v>0</x:v>
      </x:c>
      <x:c r="R1039" s="26" t="n">
        <x:v>0</x:v>
      </x:c>
      <x:c r="S1039" s="26" t="n">
        <x:v>0</x:v>
      </x:c>
      <x:c r="T1039" s="26" t="n">
        <x:v>0</x:v>
      </x:c>
      <x:c r="U1039" s="26" t="n">
        <x:v>940</x:v>
      </x:c>
      <x:c r="V1039" s="26" t="n">
        <x:v>0</x:v>
      </x:c>
      <x:c r="W1039" s="26" t="n">
        <x:v>0</x:v>
      </x:c>
      <x:c r="X1039" s="26" t="n">
        <x:v>0</x:v>
      </x:c>
      <x:c r="Y1039" s="26" t="n">
        <x:v>0</x:v>
      </x:c>
      <x:c r="Z1039" s="35" t="str">
        <x:v>Green Thumb Landscaping; WO-2027-013</x:v>
      </x:c>
    </x:row>
    <x:row r="1040">
      <x:c r="A1040" s="20" t="str">
        <x:v>FIN-01037</x:v>
      </x:c>
      <x:c r="B1040" s="23" t="n">
        <x:v>46483</x:v>
      </x:c>
      <x:c r="C1040" s="23" t="n">
        <x:v>46483</x:v>
      </x:c>
      <x:c r="D1040" s="20" t="str">
        <x:v>OperatingExpense</x:v>
      </x:c>
      <x:c r="E1040" s="20" t="str">
        <x:v>Repairs</x:v>
      </x:c>
      <x:c r="F1040" s="20" t="str">
        <x:v>P019</x:v>
      </x:c>
      <x:c r="G1040" s="20" t="str">
        <x:v>U019</x:v>
      </x:c>
      <x:c r="H1040" s="20" t="str"/>
      <x:c r="I1040" s="20" t="str">
        <x:v>Summit Roofing</x:v>
      </x:c>
      <x:c r="J1040" s="35" t="str">
        <x:v>Scanned receipt/invoice</x:v>
      </x:c>
      <x:c r="K1040" s="20" t="str">
        <x:v>SCN-0372</x:v>
      </x:c>
      <x:c r="L1040" s="20" t="str">
        <x:v>EXP-20270406-014</x:v>
      </x:c>
      <x:c r="M1040" s="26" t="n">
        <x:v>89.45</x:v>
      </x:c>
      <x:c r="N1040" s="26" t="n">
        <x:v>0</x:v>
      </x:c>
      <x:c r="O1040" s="26" t="n">
        <x:v>-89.45</x:v>
      </x:c>
      <x:c r="P1040" s="26" t="n">
        <x:v>0</x:v>
      </x:c>
      <x:c r="Q1040" s="26" t="n">
        <x:v>0</x:v>
      </x:c>
      <x:c r="R1040" s="26" t="n">
        <x:v>0</x:v>
      </x:c>
      <x:c r="S1040" s="26" t="n">
        <x:v>0</x:v>
      </x:c>
      <x:c r="T1040" s="26" t="n">
        <x:v>0</x:v>
      </x:c>
      <x:c r="U1040" s="26" t="n">
        <x:v>89.45</x:v>
      </x:c>
      <x:c r="V1040" s="26" t="n">
        <x:v>0</x:v>
      </x:c>
      <x:c r="W1040" s="26" t="n">
        <x:v>0</x:v>
      </x:c>
      <x:c r="X1040" s="26" t="n">
        <x:v>0</x:v>
      </x:c>
      <x:c r="Y1040" s="26" t="n">
        <x:v>0</x:v>
      </x:c>
      <x:c r="Z1040" s="35" t="str">
        <x:v>Summit Roofing; WO-2027-014</x:v>
      </x:c>
    </x:row>
    <x:row r="1041">
      <x:c r="A1041" s="20" t="str">
        <x:v>FIN-01038</x:v>
      </x:c>
      <x:c r="B1041" s="23" t="n">
        <x:v>46490</x:v>
      </x:c>
      <x:c r="C1041" s="23" t="n">
        <x:v>46490</x:v>
      </x:c>
      <x:c r="D1041" s="20" t="str">
        <x:v>OperatingExpense</x:v>
      </x:c>
      <x:c r="E1041" s="20" t="str">
        <x:v>Repairs</x:v>
      </x:c>
      <x:c r="F1041" s="20" t="str">
        <x:v>P023</x:v>
      </x:c>
      <x:c r="G1041" s="20" t="str">
        <x:v>U026</x:v>
      </x:c>
      <x:c r="H1041" s="20" t="str"/>
      <x:c r="I1041" s="20" t="str">
        <x:v>Prime Pest Control</x:v>
      </x:c>
      <x:c r="J1041" s="35" t="str">
        <x:v>Manual web form</x:v>
      </x:c>
      <x:c r="K1041" s="20" t="str"/>
      <x:c r="L1041" s="20" t="str">
        <x:v>EXP-20270413-015</x:v>
      </x:c>
      <x:c r="M1041" s="26" t="n">
        <x:v>147.8</x:v>
      </x:c>
      <x:c r="N1041" s="26" t="n">
        <x:v>0</x:v>
      </x:c>
      <x:c r="O1041" s="26" t="n">
        <x:v>-147.8</x:v>
      </x:c>
      <x:c r="P1041" s="26" t="n">
        <x:v>0</x:v>
      </x:c>
      <x:c r="Q1041" s="26" t="n">
        <x:v>0</x:v>
      </x:c>
      <x:c r="R1041" s="26" t="n">
        <x:v>0</x:v>
      </x:c>
      <x:c r="S1041" s="26" t="n">
        <x:v>0</x:v>
      </x:c>
      <x:c r="T1041" s="26" t="n">
        <x:v>0</x:v>
      </x:c>
      <x:c r="U1041" s="26" t="n">
        <x:v>147.8</x:v>
      </x:c>
      <x:c r="V1041" s="26" t="n">
        <x:v>0</x:v>
      </x:c>
      <x:c r="W1041" s="26" t="n">
        <x:v>0</x:v>
      </x:c>
      <x:c r="X1041" s="26" t="n">
        <x:v>0</x:v>
      </x:c>
      <x:c r="Y1041" s="26" t="n">
        <x:v>0</x:v>
      </x:c>
      <x:c r="Z1041" s="35" t="str">
        <x:v>Prime Pest Control; WO-2027-015</x:v>
      </x:c>
    </x:row>
    <x:row r="1042">
      <x:c r="A1042" s="20" t="str">
        <x:v>FIN-01039</x:v>
      </x:c>
      <x:c r="B1042" s="23" t="n">
        <x:v>46497</x:v>
      </x:c>
      <x:c r="C1042" s="23" t="n">
        <x:v>46497</x:v>
      </x:c>
      <x:c r="D1042" s="20" t="str">
        <x:v>OperatingExpense</x:v>
      </x:c>
      <x:c r="E1042" s="20" t="str">
        <x:v>Repairs</x:v>
      </x:c>
      <x:c r="F1042" s="20" t="str">
        <x:v>P027</x:v>
      </x:c>
      <x:c r="G1042" s="20" t="str">
        <x:v>U033</x:v>
      </x:c>
      <x:c r="H1042" s="20" t="str"/>
      <x:c r="I1042" s="20" t="str">
        <x:v>Fresh Start Turnovers</x:v>
      </x:c>
      <x:c r="J1042" s="35" t="str">
        <x:v>Scanned receipt/invoice</x:v>
      </x:c>
      <x:c r="K1042" s="20" t="str">
        <x:v>SCN-0375</x:v>
      </x:c>
      <x:c r="L1042" s="20" t="str">
        <x:v>EXP-20270420-016</x:v>
      </x:c>
      <x:c r="M1042" s="26" t="n">
        <x:v>225</x:v>
      </x:c>
      <x:c r="N1042" s="26" t="n">
        <x:v>0</x:v>
      </x:c>
      <x:c r="O1042" s="26" t="n">
        <x:v>-225</x:v>
      </x:c>
      <x:c r="P1042" s="26" t="n">
        <x:v>0</x:v>
      </x:c>
      <x:c r="Q1042" s="26" t="n">
        <x:v>0</x:v>
      </x:c>
      <x:c r="R1042" s="26" t="n">
        <x:v>0</x:v>
      </x:c>
      <x:c r="S1042" s="26" t="n">
        <x:v>0</x:v>
      </x:c>
      <x:c r="T1042" s="26" t="n">
        <x:v>0</x:v>
      </x:c>
      <x:c r="U1042" s="26" t="n">
        <x:v>225</x:v>
      </x:c>
      <x:c r="V1042" s="26" t="n">
        <x:v>0</x:v>
      </x:c>
      <x:c r="W1042" s="26" t="n">
        <x:v>0</x:v>
      </x:c>
      <x:c r="X1042" s="26" t="n">
        <x:v>0</x:v>
      </x:c>
      <x:c r="Y1042" s="26" t="n">
        <x:v>0</x:v>
      </x:c>
      <x:c r="Z1042" s="35" t="str">
        <x:v>Fresh Start Turnovers; WO-2027-016</x:v>
      </x:c>
    </x:row>
    <x:row r="1043">
      <x:c r="A1043" s="20" t="str">
        <x:v>FIN-01040</x:v>
      </x:c>
      <x:c r="B1043" s="23" t="n">
        <x:v>46504</x:v>
      </x:c>
      <x:c r="C1043" s="23" t="n">
        <x:v>46504</x:v>
      </x:c>
      <x:c r="D1043" s="20" t="str">
        <x:v>OperatingExpense</x:v>
      </x:c>
      <x:c r="E1043" s="20" t="str">
        <x:v>Supplies</x:v>
      </x:c>
      <x:c r="F1043" s="20" t="str">
        <x:v>P030</x:v>
      </x:c>
      <x:c r="G1043" s="20" t="str">
        <x:v>U040</x:v>
      </x:c>
      <x:c r="H1043" s="20" t="str"/>
      <x:c r="I1043" s="20" t="str">
        <x:v>Hardware House</x:v>
      </x:c>
      <x:c r="J1043" s="35" t="str">
        <x:v>Scanned receipt/invoice</x:v>
      </x:c>
      <x:c r="K1043" s="20" t="str">
        <x:v>SCN-0377</x:v>
      </x:c>
      <x:c r="L1043" s="20" t="str">
        <x:v>EXP-20270427-017</x:v>
      </x:c>
      <x:c r="M1043" s="26" t="n">
        <x:v>318.65</x:v>
      </x:c>
      <x:c r="N1043" s="26" t="n">
        <x:v>0</x:v>
      </x:c>
      <x:c r="O1043" s="26" t="n">
        <x:v>-318.65</x:v>
      </x:c>
      <x:c r="P1043" s="26" t="n">
        <x:v>0</x:v>
      </x:c>
      <x:c r="Q1043" s="26" t="n">
        <x:v>0</x:v>
      </x:c>
      <x:c r="R1043" s="26" t="n">
        <x:v>0</x:v>
      </x:c>
      <x:c r="S1043" s="26" t="n">
        <x:v>0</x:v>
      </x:c>
      <x:c r="T1043" s="26" t="n">
        <x:v>0</x:v>
      </x:c>
      <x:c r="U1043" s="26" t="n">
        <x:v>318.65</x:v>
      </x:c>
      <x:c r="V1043" s="26" t="n">
        <x:v>0</x:v>
      </x:c>
      <x:c r="W1043" s="26" t="n">
        <x:v>0</x:v>
      </x:c>
      <x:c r="X1043" s="26" t="n">
        <x:v>0</x:v>
      </x:c>
      <x:c r="Y1043" s="26" t="n">
        <x:v>0</x:v>
      </x:c>
      <x:c r="Z1043" s="35" t="str">
        <x:v>Hardware House; WO-2027-017</x:v>
      </x:c>
    </x:row>
    <x:row r="1044">
      <x:c r="A1044" s="20" t="str">
        <x:v>FIN-01041</x:v>
      </x:c>
      <x:c r="B1044" s="23" t="n">
        <x:v>46511</x:v>
      </x:c>
      <x:c r="C1044" s="23" t="n">
        <x:v>46511</x:v>
      </x:c>
      <x:c r="D1044" s="20" t="str">
        <x:v>OperatingExpense</x:v>
      </x:c>
      <x:c r="E1044" s="20" t="str">
        <x:v>Repairs</x:v>
      </x:c>
      <x:c r="F1044" s="20" t="str">
        <x:v>P007</x:v>
      </x:c>
      <x:c r="G1044" s="20" t="str">
        <x:v>U007</x:v>
      </x:c>
      <x:c r="H1044" s="20" t="str"/>
      <x:c r="I1044" s="20" t="str">
        <x:v>SafeHome Locksmith</x:v>
      </x:c>
      <x:c r="J1044" s="35" t="str">
        <x:v>Scanned receipt/invoice</x:v>
      </x:c>
      <x:c r="K1044" s="20" t="str">
        <x:v>SCN-0379</x:v>
      </x:c>
      <x:c r="L1044" s="20" t="str">
        <x:v>EXP-20270504-018</x:v>
      </x:c>
      <x:c r="M1044" s="26" t="n">
        <x:v>475</x:v>
      </x:c>
      <x:c r="N1044" s="26" t="n">
        <x:v>0</x:v>
      </x:c>
      <x:c r="O1044" s="26" t="n">
        <x:v>-475</x:v>
      </x:c>
      <x:c r="P1044" s="26" t="n">
        <x:v>0</x:v>
      </x:c>
      <x:c r="Q1044" s="26" t="n">
        <x:v>0</x:v>
      </x:c>
      <x:c r="R1044" s="26" t="n">
        <x:v>0</x:v>
      </x:c>
      <x:c r="S1044" s="26" t="n">
        <x:v>0</x:v>
      </x:c>
      <x:c r="T1044" s="26" t="n">
        <x:v>0</x:v>
      </x:c>
      <x:c r="U1044" s="26" t="n">
        <x:v>475</x:v>
      </x:c>
      <x:c r="V1044" s="26" t="n">
        <x:v>0</x:v>
      </x:c>
      <x:c r="W1044" s="26" t="n">
        <x:v>0</x:v>
      </x:c>
      <x:c r="X1044" s="26" t="n">
        <x:v>0</x:v>
      </x:c>
      <x:c r="Y1044" s="26" t="n">
        <x:v>0</x:v>
      </x:c>
      <x:c r="Z1044" s="35" t="str">
        <x:v>SafeHome Locksmith; WO-2027-018</x:v>
      </x:c>
    </x:row>
    <x:row r="1045">
      <x:c r="A1045" s="20" t="str">
        <x:v>FIN-01042</x:v>
      </x:c>
      <x:c r="B1045" s="23" t="n">
        <x:v>46518</x:v>
      </x:c>
      <x:c r="C1045" s="23" t="n">
        <x:v>46518</x:v>
      </x:c>
      <x:c r="D1045" s="20" t="str">
        <x:v>OperatingExpense</x:v>
      </x:c>
      <x:c r="E1045" s="20" t="str">
        <x:v>Repairs</x:v>
      </x:c>
      <x:c r="F1045" s="20" t="str">
        <x:v>P014</x:v>
      </x:c>
      <x:c r="G1045" s="20" t="str">
        <x:v>U014</x:v>
      </x:c>
      <x:c r="H1045" s="20" t="str"/>
      <x:c r="I1045" s="20" t="str">
        <x:v>ClearFlow Restoration</x:v>
      </x:c>
      <x:c r="J1045" s="35" t="str">
        <x:v>Scanned receipt/invoice</x:v>
      </x:c>
      <x:c r="K1045" s="20" t="str">
        <x:v>SCN-0381</x:v>
      </x:c>
      <x:c r="L1045" s="20" t="str">
        <x:v>EXP-20270511-019</x:v>
      </x:c>
      <x:c r="M1045" s="26" t="n">
        <x:v>690.25</x:v>
      </x:c>
      <x:c r="N1045" s="26" t="n">
        <x:v>0</x:v>
      </x:c>
      <x:c r="O1045" s="26" t="n">
        <x:v>-690.25</x:v>
      </x:c>
      <x:c r="P1045" s="26" t="n">
        <x:v>0</x:v>
      </x:c>
      <x:c r="Q1045" s="26" t="n">
        <x:v>0</x:v>
      </x:c>
      <x:c r="R1045" s="26" t="n">
        <x:v>0</x:v>
      </x:c>
      <x:c r="S1045" s="26" t="n">
        <x:v>0</x:v>
      </x:c>
      <x:c r="T1045" s="26" t="n">
        <x:v>0</x:v>
      </x:c>
      <x:c r="U1045" s="26" t="n">
        <x:v>690.25</x:v>
      </x:c>
      <x:c r="V1045" s="26" t="n">
        <x:v>0</x:v>
      </x:c>
      <x:c r="W1045" s="26" t="n">
        <x:v>0</x:v>
      </x:c>
      <x:c r="X1045" s="26" t="n">
        <x:v>0</x:v>
      </x:c>
      <x:c r="Y1045" s="26" t="n">
        <x:v>0</x:v>
      </x:c>
      <x:c r="Z1045" s="35" t="str">
        <x:v>ClearFlow Restoration; WO-2027-019</x:v>
      </x:c>
    </x:row>
    <x:row r="1046">
      <x:c r="A1046" s="20" t="str">
        <x:v>FIN-01043</x:v>
      </x:c>
      <x:c r="B1046" s="23" t="n">
        <x:v>46525</x:v>
      </x:c>
      <x:c r="C1046" s="23" t="n">
        <x:v>46525</x:v>
      </x:c>
      <x:c r="D1046" s="20" t="str">
        <x:v>OperatingExpense</x:v>
      </x:c>
      <x:c r="E1046" s="20" t="str">
        <x:v>Repairs</x:v>
      </x:c>
      <x:c r="F1046" s="20" t="str">
        <x:v>P021</x:v>
      </x:c>
      <x:c r="G1046" s="20" t="str">
        <x:v>U021</x:v>
      </x:c>
      <x:c r="H1046" s="20" t="str"/>
      <x:c r="I1046" s="20" t="str">
        <x:v>Apex Plumbing</x:v>
      </x:c>
      <x:c r="J1046" s="35" t="str">
        <x:v>Manual mobile form</x:v>
      </x:c>
      <x:c r="K1046" s="20" t="str"/>
      <x:c r="L1046" s="20" t="str">
        <x:v>EXP-20270518-020</x:v>
      </x:c>
      <x:c r="M1046" s="26" t="n">
        <x:v>940</x:v>
      </x:c>
      <x:c r="N1046" s="26" t="n">
        <x:v>0</x:v>
      </x:c>
      <x:c r="O1046" s="26" t="n">
        <x:v>-940</x:v>
      </x:c>
      <x:c r="P1046" s="26" t="n">
        <x:v>0</x:v>
      </x:c>
      <x:c r="Q1046" s="26" t="n">
        <x:v>0</x:v>
      </x:c>
      <x:c r="R1046" s="26" t="n">
        <x:v>0</x:v>
      </x:c>
      <x:c r="S1046" s="26" t="n">
        <x:v>0</x:v>
      </x:c>
      <x:c r="T1046" s="26" t="n">
        <x:v>0</x:v>
      </x:c>
      <x:c r="U1046" s="26" t="n">
        <x:v>940</x:v>
      </x:c>
      <x:c r="V1046" s="26" t="n">
        <x:v>0</x:v>
      </x:c>
      <x:c r="W1046" s="26" t="n">
        <x:v>0</x:v>
      </x:c>
      <x:c r="X1046" s="26" t="n">
        <x:v>0</x:v>
      </x:c>
      <x:c r="Y1046" s="26" t="n">
        <x:v>0</x:v>
      </x:c>
      <x:c r="Z1046" s="35" t="str">
        <x:v>Apex Plumbing; WO-2027-020</x:v>
      </x:c>
    </x:row>
    <x:row r="1047">
      <x:c r="A1047" s="20" t="str">
        <x:v>FIN-01044</x:v>
      </x:c>
      <x:c r="B1047" s="23" t="n">
        <x:v>46532</x:v>
      </x:c>
      <x:c r="C1047" s="23" t="n">
        <x:v>46532</x:v>
      </x:c>
      <x:c r="D1047" s="20" t="str">
        <x:v>OperatingExpense</x:v>
      </x:c>
      <x:c r="E1047" s="20" t="str">
        <x:v>Repairs</x:v>
      </x:c>
      <x:c r="F1047" s="20" t="str">
        <x:v>P024</x:v>
      </x:c>
      <x:c r="G1047" s="20" t="str">
        <x:v>U028</x:v>
      </x:c>
      <x:c r="H1047" s="20" t="str"/>
      <x:c r="I1047" s="20" t="str">
        <x:v>ComfortZone HVAC</x:v>
      </x:c>
      <x:c r="J1047" s="35" t="str">
        <x:v>Scanned receipt/invoice</x:v>
      </x:c>
      <x:c r="K1047" s="20" t="str">
        <x:v>SCN-0384</x:v>
      </x:c>
      <x:c r="L1047" s="20" t="str">
        <x:v>EXP-20270525-021</x:v>
      </x:c>
      <x:c r="M1047" s="26" t="n">
        <x:v>89.45</x:v>
      </x:c>
      <x:c r="N1047" s="26" t="n">
        <x:v>0</x:v>
      </x:c>
      <x:c r="O1047" s="26" t="n">
        <x:v>-89.45</x:v>
      </x:c>
      <x:c r="P1047" s="26" t="n">
        <x:v>0</x:v>
      </x:c>
      <x:c r="Q1047" s="26" t="n">
        <x:v>0</x:v>
      </x:c>
      <x:c r="R1047" s="26" t="n">
        <x:v>0</x:v>
      </x:c>
      <x:c r="S1047" s="26" t="n">
        <x:v>0</x:v>
      </x:c>
      <x:c r="T1047" s="26" t="n">
        <x:v>0</x:v>
      </x:c>
      <x:c r="U1047" s="26" t="n">
        <x:v>89.45</x:v>
      </x:c>
      <x:c r="V1047" s="26" t="n">
        <x:v>0</x:v>
      </x:c>
      <x:c r="W1047" s="26" t="n">
        <x:v>0</x:v>
      </x:c>
      <x:c r="X1047" s="26" t="n">
        <x:v>0</x:v>
      </x:c>
      <x:c r="Y1047" s="26" t="n">
        <x:v>0</x:v>
      </x:c>
      <x:c r="Z1047" s="35" t="str">
        <x:v>ComfortZone HVAC; WO-2027-021</x:v>
      </x:c>
    </x:row>
    <x:row r="1048">
      <x:c r="A1048" s="20" t="str">
        <x:v>FIN-01045</x:v>
      </x:c>
      <x:c r="B1048" s="23" t="n">
        <x:v>46539</x:v>
      </x:c>
      <x:c r="C1048" s="23" t="n">
        <x:v>46539</x:v>
      </x:c>
      <x:c r="D1048" s="20" t="str">
        <x:v>OperatingExpense</x:v>
      </x:c>
      <x:c r="E1048" s="20" t="str">
        <x:v>Repairs</x:v>
      </x:c>
      <x:c r="F1048" s="20" t="str">
        <x:v>P028</x:v>
      </x:c>
      <x:c r="G1048" s="20" t="str">
        <x:v>U035</x:v>
      </x:c>
      <x:c r="H1048" s="20" t="str"/>
      <x:c r="I1048" s="20" t="str">
        <x:v>Metro Electric</x:v>
      </x:c>
      <x:c r="J1048" s="35" t="str">
        <x:v>Scanned receipt/invoice</x:v>
      </x:c>
      <x:c r="K1048" s="20" t="str">
        <x:v>SCN-0386</x:v>
      </x:c>
      <x:c r="L1048" s="20" t="str">
        <x:v>EXP-20270601-022</x:v>
      </x:c>
      <x:c r="M1048" s="26" t="n">
        <x:v>147.8</x:v>
      </x:c>
      <x:c r="N1048" s="26" t="n">
        <x:v>0</x:v>
      </x:c>
      <x:c r="O1048" s="26" t="n">
        <x:v>-147.8</x:v>
      </x:c>
      <x:c r="P1048" s="26" t="n">
        <x:v>0</x:v>
      </x:c>
      <x:c r="Q1048" s="26" t="n">
        <x:v>0</x:v>
      </x:c>
      <x:c r="R1048" s="26" t="n">
        <x:v>0</x:v>
      </x:c>
      <x:c r="S1048" s="26" t="n">
        <x:v>0</x:v>
      </x:c>
      <x:c r="T1048" s="26" t="n">
        <x:v>0</x:v>
      </x:c>
      <x:c r="U1048" s="26" t="n">
        <x:v>147.8</x:v>
      </x:c>
      <x:c r="V1048" s="26" t="n">
        <x:v>0</x:v>
      </x:c>
      <x:c r="W1048" s="26" t="n">
        <x:v>0</x:v>
      </x:c>
      <x:c r="X1048" s="26" t="n">
        <x:v>0</x:v>
      </x:c>
      <x:c r="Y1048" s="26" t="n">
        <x:v>0</x:v>
      </x:c>
      <x:c r="Z1048" s="35" t="str">
        <x:v>Metro Electric; WO-2027-022</x:v>
      </x:c>
    </x:row>
    <x:row r="1049">
      <x:c r="A1049" s="20" t="str">
        <x:v>FIN-01046</x:v>
      </x:c>
      <x:c r="B1049" s="23" t="n">
        <x:v>46546</x:v>
      </x:c>
      <x:c r="C1049" s="23" t="n">
        <x:v>46546</x:v>
      </x:c>
      <x:c r="D1049" s="20" t="str">
        <x:v>OperatingExpense</x:v>
      </x:c>
      <x:c r="E1049" s="20" t="str">
        <x:v>Repairs</x:v>
      </x:c>
      <x:c r="F1049" s="20" t="str">
        <x:v>P002</x:v>
      </x:c>
      <x:c r="G1049" s="20" t="str">
        <x:v>U002</x:v>
      </x:c>
      <x:c r="H1049" s="20" t="str"/>
      <x:c r="I1049" s="20" t="str">
        <x:v>Green Thumb Landscaping</x:v>
      </x:c>
      <x:c r="J1049" s="35" t="str">
        <x:v>Scanned receipt/invoice</x:v>
      </x:c>
      <x:c r="K1049" s="20" t="str">
        <x:v>SCN-0388</x:v>
      </x:c>
      <x:c r="L1049" s="20" t="str">
        <x:v>EXP-20270608-023</x:v>
      </x:c>
      <x:c r="M1049" s="26" t="n">
        <x:v>225</x:v>
      </x:c>
      <x:c r="N1049" s="26" t="n">
        <x:v>0</x:v>
      </x:c>
      <x:c r="O1049" s="26" t="n">
        <x:v>-225</x:v>
      </x:c>
      <x:c r="P1049" s="26" t="n">
        <x:v>0</x:v>
      </x:c>
      <x:c r="Q1049" s="26" t="n">
        <x:v>0</x:v>
      </x:c>
      <x:c r="R1049" s="26" t="n">
        <x:v>0</x:v>
      </x:c>
      <x:c r="S1049" s="26" t="n">
        <x:v>0</x:v>
      </x:c>
      <x:c r="T1049" s="26" t="n">
        <x:v>0</x:v>
      </x:c>
      <x:c r="U1049" s="26" t="n">
        <x:v>225</x:v>
      </x:c>
      <x:c r="V1049" s="26" t="n">
        <x:v>0</x:v>
      </x:c>
      <x:c r="W1049" s="26" t="n">
        <x:v>0</x:v>
      </x:c>
      <x:c r="X1049" s="26" t="n">
        <x:v>0</x:v>
      </x:c>
      <x:c r="Y1049" s="26" t="n">
        <x:v>0</x:v>
      </x:c>
      <x:c r="Z1049" s="35" t="str">
        <x:v>Green Thumb Landscaping; WO-2027-023</x:v>
      </x:c>
    </x:row>
    <x:row r="1050">
      <x:c r="A1050" s="20" t="str">
        <x:v>FIN-01047</x:v>
      </x:c>
      <x:c r="B1050" s="23" t="n">
        <x:v>46553</x:v>
      </x:c>
      <x:c r="C1050" s="23" t="n">
        <x:v>46553</x:v>
      </x:c>
      <x:c r="D1050" s="20" t="str">
        <x:v>OperatingExpense</x:v>
      </x:c>
      <x:c r="E1050" s="20" t="str">
        <x:v>Repairs</x:v>
      </x:c>
      <x:c r="F1050" s="20" t="str">
        <x:v>P009</x:v>
      </x:c>
      <x:c r="G1050" s="20" t="str">
        <x:v>U009</x:v>
      </x:c>
      <x:c r="H1050" s="20" t="str"/>
      <x:c r="I1050" s="20" t="str">
        <x:v>Summit Roofing</x:v>
      </x:c>
      <x:c r="J1050" s="35" t="str">
        <x:v>Scanned receipt/invoice</x:v>
      </x:c>
      <x:c r="K1050" s="20" t="str">
        <x:v>SCN-0390</x:v>
      </x:c>
      <x:c r="L1050" s="20" t="str">
        <x:v>EXP-20270615-024</x:v>
      </x:c>
      <x:c r="M1050" s="26" t="n">
        <x:v>318.65</x:v>
      </x:c>
      <x:c r="N1050" s="26" t="n">
        <x:v>0</x:v>
      </x:c>
      <x:c r="O1050" s="26" t="n">
        <x:v>-318.65</x:v>
      </x:c>
      <x:c r="P1050" s="26" t="n">
        <x:v>0</x:v>
      </x:c>
      <x:c r="Q1050" s="26" t="n">
        <x:v>0</x:v>
      </x:c>
      <x:c r="R1050" s="26" t="n">
        <x:v>0</x:v>
      </x:c>
      <x:c r="S1050" s="26" t="n">
        <x:v>0</x:v>
      </x:c>
      <x:c r="T1050" s="26" t="n">
        <x:v>0</x:v>
      </x:c>
      <x:c r="U1050" s="26" t="n">
        <x:v>318.65</x:v>
      </x:c>
      <x:c r="V1050" s="26" t="n">
        <x:v>0</x:v>
      </x:c>
      <x:c r="W1050" s="26" t="n">
        <x:v>0</x:v>
      </x:c>
      <x:c r="X1050" s="26" t="n">
        <x:v>0</x:v>
      </x:c>
      <x:c r="Y1050" s="26" t="n">
        <x:v>0</x:v>
      </x:c>
      <x:c r="Z1050" s="35" t="str">
        <x:v>Summit Roofing; WO-2027-024</x:v>
      </x:c>
    </x:row>
    <x:row r="1051">
      <x:c r="A1051" s="20" t="str">
        <x:v>FIN-01048</x:v>
      </x:c>
      <x:c r="B1051" s="23" t="n">
        <x:v>46560</x:v>
      </x:c>
      <x:c r="C1051" s="23" t="n">
        <x:v>46560</x:v>
      </x:c>
      <x:c r="D1051" s="20" t="str">
        <x:v>OperatingExpense</x:v>
      </x:c>
      <x:c r="E1051" s="20" t="str">
        <x:v>Repairs</x:v>
      </x:c>
      <x:c r="F1051" s="20" t="str">
        <x:v>P016</x:v>
      </x:c>
      <x:c r="G1051" s="20" t="str">
        <x:v>U016</x:v>
      </x:c>
      <x:c r="H1051" s="20" t="str"/>
      <x:c r="I1051" s="20" t="str">
        <x:v>Prime Pest Control</x:v>
      </x:c>
      <x:c r="J1051" s="35" t="str">
        <x:v>Manual web form</x:v>
      </x:c>
      <x:c r="K1051" s="20" t="str"/>
      <x:c r="L1051" s="20" t="str">
        <x:v>EXP-20270622-025</x:v>
      </x:c>
      <x:c r="M1051" s="26" t="n">
        <x:v>475</x:v>
      </x:c>
      <x:c r="N1051" s="26" t="n">
        <x:v>0</x:v>
      </x:c>
      <x:c r="O1051" s="26" t="n">
        <x:v>-475</x:v>
      </x:c>
      <x:c r="P1051" s="26" t="n">
        <x:v>0</x:v>
      </x:c>
      <x:c r="Q1051" s="26" t="n">
        <x:v>0</x:v>
      </x:c>
      <x:c r="R1051" s="26" t="n">
        <x:v>0</x:v>
      </x:c>
      <x:c r="S1051" s="26" t="n">
        <x:v>0</x:v>
      </x:c>
      <x:c r="T1051" s="26" t="n">
        <x:v>0</x:v>
      </x:c>
      <x:c r="U1051" s="26" t="n">
        <x:v>475</x:v>
      </x:c>
      <x:c r="V1051" s="26" t="n">
        <x:v>0</x:v>
      </x:c>
      <x:c r="W1051" s="26" t="n">
        <x:v>0</x:v>
      </x:c>
      <x:c r="X1051" s="26" t="n">
        <x:v>0</x:v>
      </x:c>
      <x:c r="Y1051" s="26" t="n">
        <x:v>0</x:v>
      </x:c>
      <x:c r="Z1051" s="35" t="str">
        <x:v>Prime Pest Control; WO-2027-025</x:v>
      </x:c>
    </x:row>
    <x:row r="1052">
      <x:c r="A1052" s="20" t="str">
        <x:v>FIN-01049</x:v>
      </x:c>
      <x:c r="B1052" s="23" t="n">
        <x:v>46567</x:v>
      </x:c>
      <x:c r="C1052" s="23" t="n">
        <x:v>46567</x:v>
      </x:c>
      <x:c r="D1052" s="20" t="str">
        <x:v>OperatingExpense</x:v>
      </x:c>
      <x:c r="E1052" s="20" t="str">
        <x:v>Turnover</x:v>
      </x:c>
      <x:c r="F1052" s="20" t="str">
        <x:v>P022</x:v>
      </x:c>
      <x:c r="G1052" s="20" t="str">
        <x:v>U023</x:v>
      </x:c>
      <x:c r="H1052" s="20" t="str"/>
      <x:c r="I1052" s="20" t="str">
        <x:v>Fresh Start Turnovers</x:v>
      </x:c>
      <x:c r="J1052" s="35" t="str">
        <x:v>Scanned receipt/invoice</x:v>
      </x:c>
      <x:c r="K1052" s="20" t="str">
        <x:v>SCN-0393</x:v>
      </x:c>
      <x:c r="L1052" s="20" t="str">
        <x:v>EXP-20270629-026</x:v>
      </x:c>
      <x:c r="M1052" s="26" t="n">
        <x:v>690.25</x:v>
      </x:c>
      <x:c r="N1052" s="26" t="n">
        <x:v>0</x:v>
      </x:c>
      <x:c r="O1052" s="26" t="n">
        <x:v>-690.25</x:v>
      </x:c>
      <x:c r="P1052" s="26" t="n">
        <x:v>0</x:v>
      </x:c>
      <x:c r="Q1052" s="26" t="n">
        <x:v>0</x:v>
      </x:c>
      <x:c r="R1052" s="26" t="n">
        <x:v>0</x:v>
      </x:c>
      <x:c r="S1052" s="26" t="n">
        <x:v>0</x:v>
      </x:c>
      <x:c r="T1052" s="26" t="n">
        <x:v>0</x:v>
      </x:c>
      <x:c r="U1052" s="26" t="n">
        <x:v>690.25</x:v>
      </x:c>
      <x:c r="V1052" s="26" t="n">
        <x:v>0</x:v>
      </x:c>
      <x:c r="W1052" s="26" t="n">
        <x:v>0</x:v>
      </x:c>
      <x:c r="X1052" s="26" t="n">
        <x:v>0</x:v>
      </x:c>
      <x:c r="Y1052" s="26" t="n">
        <x:v>0</x:v>
      </x:c>
      <x:c r="Z1052" s="35" t="str">
        <x:v>Fresh Start Turnovers; WO-2027-026</x:v>
      </x:c>
    </x:row>
    <x:row r="1053">
      <x:c r="A1053" s="20" t="str">
        <x:v>FIN-01050</x:v>
      </x:c>
      <x:c r="B1053" s="23" t="n">
        <x:v>46574</x:v>
      </x:c>
      <x:c r="C1053" s="23" t="n">
        <x:v>46574</x:v>
      </x:c>
      <x:c r="D1053" s="20" t="str">
        <x:v>OperatingExpense</x:v>
      </x:c>
      <x:c r="E1053" s="20" t="str">
        <x:v>Supplies</x:v>
      </x:c>
      <x:c r="F1053" s="20" t="str">
        <x:v>P025</x:v>
      </x:c>
      <x:c r="G1053" s="20" t="str">
        <x:v>U030</x:v>
      </x:c>
      <x:c r="H1053" s="20" t="str"/>
      <x:c r="I1053" s="20" t="str">
        <x:v>Hardware House</x:v>
      </x:c>
      <x:c r="J1053" s="35" t="str">
        <x:v>Scanned receipt/invoice</x:v>
      </x:c>
      <x:c r="K1053" s="20" t="str">
        <x:v>SCN-0395</x:v>
      </x:c>
      <x:c r="L1053" s="20" t="str">
        <x:v>EXP-20270706-027</x:v>
      </x:c>
      <x:c r="M1053" s="26" t="n">
        <x:v>940</x:v>
      </x:c>
      <x:c r="N1053" s="26" t="n">
        <x:v>0</x:v>
      </x:c>
      <x:c r="O1053" s="26" t="n">
        <x:v>-940</x:v>
      </x:c>
      <x:c r="P1053" s="26" t="n">
        <x:v>0</x:v>
      </x:c>
      <x:c r="Q1053" s="26" t="n">
        <x:v>0</x:v>
      </x:c>
      <x:c r="R1053" s="26" t="n">
        <x:v>0</x:v>
      </x:c>
      <x:c r="S1053" s="26" t="n">
        <x:v>0</x:v>
      </x:c>
      <x:c r="T1053" s="26" t="n">
        <x:v>0</x:v>
      </x:c>
      <x:c r="U1053" s="26" t="n">
        <x:v>940</x:v>
      </x:c>
      <x:c r="V1053" s="26" t="n">
        <x:v>0</x:v>
      </x:c>
      <x:c r="W1053" s="26" t="n">
        <x:v>0</x:v>
      </x:c>
      <x:c r="X1053" s="26" t="n">
        <x:v>0</x:v>
      </x:c>
      <x:c r="Y1053" s="26" t="n">
        <x:v>0</x:v>
      </x:c>
      <x:c r="Z1053" s="35" t="str">
        <x:v>Hardware House; WO-2027-027</x:v>
      </x:c>
    </x:row>
    <x:row r="1054">
      <x:c r="A1054" s="20" t="str">
        <x:v>FIN-01051</x:v>
      </x:c>
      <x:c r="B1054" s="23" t="n">
        <x:v>46581</x:v>
      </x:c>
      <x:c r="C1054" s="23" t="n">
        <x:v>46581</x:v>
      </x:c>
      <x:c r="D1054" s="20" t="str">
        <x:v>OperatingExpense</x:v>
      </x:c>
      <x:c r="E1054" s="20" t="str">
        <x:v>Repairs</x:v>
      </x:c>
      <x:c r="F1054" s="20" t="str">
        <x:v>P029</x:v>
      </x:c>
      <x:c r="G1054" s="20" t="str">
        <x:v>U037</x:v>
      </x:c>
      <x:c r="H1054" s="20" t="str"/>
      <x:c r="I1054" s="20" t="str">
        <x:v>SafeHome Locksmith</x:v>
      </x:c>
      <x:c r="J1054" s="35" t="str">
        <x:v>Scanned receipt/invoice</x:v>
      </x:c>
      <x:c r="K1054" s="20" t="str">
        <x:v>SCN-0397</x:v>
      </x:c>
      <x:c r="L1054" s="20" t="str">
        <x:v>EXP-20270713-028</x:v>
      </x:c>
      <x:c r="M1054" s="26" t="n">
        <x:v>89.45</x:v>
      </x:c>
      <x:c r="N1054" s="26" t="n">
        <x:v>0</x:v>
      </x:c>
      <x:c r="O1054" s="26" t="n">
        <x:v>-89.45</x:v>
      </x:c>
      <x:c r="P1054" s="26" t="n">
        <x:v>0</x:v>
      </x:c>
      <x:c r="Q1054" s="26" t="n">
        <x:v>0</x:v>
      </x:c>
      <x:c r="R1054" s="26" t="n">
        <x:v>0</x:v>
      </x:c>
      <x:c r="S1054" s="26" t="n">
        <x:v>0</x:v>
      </x:c>
      <x:c r="T1054" s="26" t="n">
        <x:v>0</x:v>
      </x:c>
      <x:c r="U1054" s="26" t="n">
        <x:v>89.45</x:v>
      </x:c>
      <x:c r="V1054" s="26" t="n">
        <x:v>0</x:v>
      </x:c>
      <x:c r="W1054" s="26" t="n">
        <x:v>0</x:v>
      </x:c>
      <x:c r="X1054" s="26" t="n">
        <x:v>0</x:v>
      </x:c>
      <x:c r="Y1054" s="26" t="n">
        <x:v>0</x:v>
      </x:c>
      <x:c r="Z1054" s="35" t="str">
        <x:v>SafeHome Locksmith; WO-2027-028</x:v>
      </x:c>
    </x:row>
    <x:row r="1055">
      <x:c r="A1055" s="20" t="str">
        <x:v>FIN-01052</x:v>
      </x:c>
      <x:c r="B1055" s="23" t="n">
        <x:v>46588</x:v>
      </x:c>
      <x:c r="C1055" s="23" t="n">
        <x:v>46588</x:v>
      </x:c>
      <x:c r="D1055" s="20" t="str">
        <x:v>OperatingExpense</x:v>
      </x:c>
      <x:c r="E1055" s="20" t="str">
        <x:v>Repairs</x:v>
      </x:c>
      <x:c r="F1055" s="20" t="str">
        <x:v>P004</x:v>
      </x:c>
      <x:c r="G1055" s="20" t="str">
        <x:v>U004</x:v>
      </x:c>
      <x:c r="H1055" s="20" t="str"/>
      <x:c r="I1055" s="20" t="str">
        <x:v>ClearFlow Restoration</x:v>
      </x:c>
      <x:c r="J1055" s="35" t="str">
        <x:v>Scanned receipt/invoice</x:v>
      </x:c>
      <x:c r="K1055" s="20" t="str">
        <x:v>SCN-0399</x:v>
      </x:c>
      <x:c r="L1055" s="20" t="str">
        <x:v>EXP-20270720-029</x:v>
      </x:c>
      <x:c r="M1055" s="26" t="n">
        <x:v>147.8</x:v>
      </x:c>
      <x:c r="N1055" s="26" t="n">
        <x:v>0</x:v>
      </x:c>
      <x:c r="O1055" s="26" t="n">
        <x:v>-147.8</x:v>
      </x:c>
      <x:c r="P1055" s="26" t="n">
        <x:v>0</x:v>
      </x:c>
      <x:c r="Q1055" s="26" t="n">
        <x:v>0</x:v>
      </x:c>
      <x:c r="R1055" s="26" t="n">
        <x:v>0</x:v>
      </x:c>
      <x:c r="S1055" s="26" t="n">
        <x:v>0</x:v>
      </x:c>
      <x:c r="T1055" s="26" t="n">
        <x:v>0</x:v>
      </x:c>
      <x:c r="U1055" s="26" t="n">
        <x:v>147.8</x:v>
      </x:c>
      <x:c r="V1055" s="26" t="n">
        <x:v>0</x:v>
      </x:c>
      <x:c r="W1055" s="26" t="n">
        <x:v>0</x:v>
      </x:c>
      <x:c r="X1055" s="26" t="n">
        <x:v>0</x:v>
      </x:c>
      <x:c r="Y1055" s="26" t="n">
        <x:v>0</x:v>
      </x:c>
      <x:c r="Z1055" s="35" t="str">
        <x:v>ClearFlow Restoration; WO-2027-029</x:v>
      </x:c>
    </x:row>
    <x:row r="1056">
      <x:c r="A1056" s="20" t="str">
        <x:v>FIN-01053</x:v>
      </x:c>
      <x:c r="B1056" s="23" t="n">
        <x:v>46595</x:v>
      </x:c>
      <x:c r="C1056" s="23" t="n">
        <x:v>46595</x:v>
      </x:c>
      <x:c r="D1056" s="20" t="str">
        <x:v>OperatingExpense</x:v>
      </x:c>
      <x:c r="E1056" s="20" t="str">
        <x:v>Repairs</x:v>
      </x:c>
      <x:c r="F1056" s="20" t="str">
        <x:v>P011</x:v>
      </x:c>
      <x:c r="G1056" s="20" t="str">
        <x:v>U011</x:v>
      </x:c>
      <x:c r="H1056" s="20" t="str"/>
      <x:c r="I1056" s="20" t="str">
        <x:v>Apex Plumbing</x:v>
      </x:c>
      <x:c r="J1056" s="35" t="str">
        <x:v>Manual mobile form</x:v>
      </x:c>
      <x:c r="K1056" s="20" t="str"/>
      <x:c r="L1056" s="20" t="str">
        <x:v>EXP-20270727-030</x:v>
      </x:c>
      <x:c r="M1056" s="26" t="n">
        <x:v>225</x:v>
      </x:c>
      <x:c r="N1056" s="26" t="n">
        <x:v>0</x:v>
      </x:c>
      <x:c r="O1056" s="26" t="n">
        <x:v>-225</x:v>
      </x:c>
      <x:c r="P1056" s="26" t="n">
        <x:v>0</x:v>
      </x:c>
      <x:c r="Q1056" s="26" t="n">
        <x:v>0</x:v>
      </x:c>
      <x:c r="R1056" s="26" t="n">
        <x:v>0</x:v>
      </x:c>
      <x:c r="S1056" s="26" t="n">
        <x:v>0</x:v>
      </x:c>
      <x:c r="T1056" s="26" t="n">
        <x:v>0</x:v>
      </x:c>
      <x:c r="U1056" s="26" t="n">
        <x:v>225</x:v>
      </x:c>
      <x:c r="V1056" s="26" t="n">
        <x:v>0</x:v>
      </x:c>
      <x:c r="W1056" s="26" t="n">
        <x:v>0</x:v>
      </x:c>
      <x:c r="X1056" s="26" t="n">
        <x:v>0</x:v>
      </x:c>
      <x:c r="Y1056" s="26" t="n">
        <x:v>0</x:v>
      </x:c>
      <x:c r="Z1056" s="35" t="str">
        <x:v>Apex Plumbing; WO-2027-030</x:v>
      </x:c>
    </x:row>
    <x:row r="1057">
      <x:c r="A1057" s="20" t="str">
        <x:v>FIN-01054</x:v>
      </x:c>
      <x:c r="B1057" s="23" t="n">
        <x:v>46602</x:v>
      </x:c>
      <x:c r="C1057" s="23" t="n">
        <x:v>46602</x:v>
      </x:c>
      <x:c r="D1057" s="20" t="str">
        <x:v>OperatingExpense</x:v>
      </x:c>
      <x:c r="E1057" s="20" t="str">
        <x:v>Repairs</x:v>
      </x:c>
      <x:c r="F1057" s="20" t="str">
        <x:v>P018</x:v>
      </x:c>
      <x:c r="G1057" s="20" t="str">
        <x:v>U018</x:v>
      </x:c>
      <x:c r="H1057" s="20" t="str"/>
      <x:c r="I1057" s="20" t="str">
        <x:v>ComfortZone HVAC</x:v>
      </x:c>
      <x:c r="J1057" s="35" t="str">
        <x:v>Scanned receipt/invoice</x:v>
      </x:c>
      <x:c r="K1057" s="20" t="str">
        <x:v>SCN-0402</x:v>
      </x:c>
      <x:c r="L1057" s="20" t="str">
        <x:v>EXP-20270803-031</x:v>
      </x:c>
      <x:c r="M1057" s="26" t="n">
        <x:v>318.65</x:v>
      </x:c>
      <x:c r="N1057" s="26" t="n">
        <x:v>0</x:v>
      </x:c>
      <x:c r="O1057" s="26" t="n">
        <x:v>-318.65</x:v>
      </x:c>
      <x:c r="P1057" s="26" t="n">
        <x:v>0</x:v>
      </x:c>
      <x:c r="Q1057" s="26" t="n">
        <x:v>0</x:v>
      </x:c>
      <x:c r="R1057" s="26" t="n">
        <x:v>0</x:v>
      </x:c>
      <x:c r="S1057" s="26" t="n">
        <x:v>0</x:v>
      </x:c>
      <x:c r="T1057" s="26" t="n">
        <x:v>0</x:v>
      </x:c>
      <x:c r="U1057" s="26" t="n">
        <x:v>318.65</x:v>
      </x:c>
      <x:c r="V1057" s="26" t="n">
        <x:v>0</x:v>
      </x:c>
      <x:c r="W1057" s="26" t="n">
        <x:v>0</x:v>
      </x:c>
      <x:c r="X1057" s="26" t="n">
        <x:v>0</x:v>
      </x:c>
      <x:c r="Y1057" s="26" t="n">
        <x:v>0</x:v>
      </x:c>
      <x:c r="Z1057" s="35" t="str">
        <x:v>ComfortZone HVAC; WO-2027-031</x:v>
      </x:c>
    </x:row>
    <x:row r="1058">
      <x:c r="A1058" s="20" t="str">
        <x:v>FIN-01055</x:v>
      </x:c>
      <x:c r="B1058" s="23" t="n">
        <x:v>46609</x:v>
      </x:c>
      <x:c r="C1058" s="23" t="n">
        <x:v>46609</x:v>
      </x:c>
      <x:c r="D1058" s="20" t="str">
        <x:v>OperatingExpense</x:v>
      </x:c>
      <x:c r="E1058" s="20" t="str">
        <x:v>Repairs</x:v>
      </x:c>
      <x:c r="F1058" s="20" t="str">
        <x:v>P023</x:v>
      </x:c>
      <x:c r="G1058" s="20" t="str">
        <x:v>U025</x:v>
      </x:c>
      <x:c r="H1058" s="20" t="str"/>
      <x:c r="I1058" s="20" t="str">
        <x:v>Metro Electric</x:v>
      </x:c>
      <x:c r="J1058" s="35" t="str">
        <x:v>Scanned receipt/invoice</x:v>
      </x:c>
      <x:c r="K1058" s="20" t="str">
        <x:v>SCN-0404</x:v>
      </x:c>
      <x:c r="L1058" s="20" t="str">
        <x:v>EXP-20270810-032</x:v>
      </x:c>
      <x:c r="M1058" s="26" t="n">
        <x:v>475</x:v>
      </x:c>
      <x:c r="N1058" s="26" t="n">
        <x:v>0</x:v>
      </x:c>
      <x:c r="O1058" s="26" t="n">
        <x:v>-475</x:v>
      </x:c>
      <x:c r="P1058" s="26" t="n">
        <x:v>0</x:v>
      </x:c>
      <x:c r="Q1058" s="26" t="n">
        <x:v>0</x:v>
      </x:c>
      <x:c r="R1058" s="26" t="n">
        <x:v>0</x:v>
      </x:c>
      <x:c r="S1058" s="26" t="n">
        <x:v>0</x:v>
      </x:c>
      <x:c r="T1058" s="26" t="n">
        <x:v>0</x:v>
      </x:c>
      <x:c r="U1058" s="26" t="n">
        <x:v>475</x:v>
      </x:c>
      <x:c r="V1058" s="26" t="n">
        <x:v>0</x:v>
      </x:c>
      <x:c r="W1058" s="26" t="n">
        <x:v>0</x:v>
      </x:c>
      <x:c r="X1058" s="26" t="n">
        <x:v>0</x:v>
      </x:c>
      <x:c r="Y1058" s="26" t="n">
        <x:v>0</x:v>
      </x:c>
      <x:c r="Z1058" s="35" t="str">
        <x:v>Metro Electric; WO-2027-032</x:v>
      </x:c>
    </x:row>
    <x:row r="1059">
      <x:c r="A1059" s="20" t="str">
        <x:v>FIN-01056</x:v>
      </x:c>
      <x:c r="B1059" s="23" t="n">
        <x:v>46616</x:v>
      </x:c>
      <x:c r="C1059" s="23" t="n">
        <x:v>46616</x:v>
      </x:c>
      <x:c r="D1059" s="20" t="str">
        <x:v>OperatingExpense</x:v>
      </x:c>
      <x:c r="E1059" s="20" t="str">
        <x:v>Repairs</x:v>
      </x:c>
      <x:c r="F1059" s="20" t="str">
        <x:v>P026</x:v>
      </x:c>
      <x:c r="G1059" s="20" t="str">
        <x:v>U032</x:v>
      </x:c>
      <x:c r="H1059" s="20" t="str"/>
      <x:c r="I1059" s="20" t="str">
        <x:v>Green Thumb Landscaping</x:v>
      </x:c>
      <x:c r="J1059" s="35" t="str">
        <x:v>Scanned receipt/invoice</x:v>
      </x:c>
      <x:c r="K1059" s="20" t="str">
        <x:v>SCN-0406</x:v>
      </x:c>
      <x:c r="L1059" s="20" t="str">
        <x:v>EXP-20270817-033</x:v>
      </x:c>
      <x:c r="M1059" s="26" t="n">
        <x:v>690.25</x:v>
      </x:c>
      <x:c r="N1059" s="26" t="n">
        <x:v>0</x:v>
      </x:c>
      <x:c r="O1059" s="26" t="n">
        <x:v>-690.25</x:v>
      </x:c>
      <x:c r="P1059" s="26" t="n">
        <x:v>0</x:v>
      </x:c>
      <x:c r="Q1059" s="26" t="n">
        <x:v>0</x:v>
      </x:c>
      <x:c r="R1059" s="26" t="n">
        <x:v>0</x:v>
      </x:c>
      <x:c r="S1059" s="26" t="n">
        <x:v>0</x:v>
      </x:c>
      <x:c r="T1059" s="26" t="n">
        <x:v>0</x:v>
      </x:c>
      <x:c r="U1059" s="26" t="n">
        <x:v>690.25</x:v>
      </x:c>
      <x:c r="V1059" s="26" t="n">
        <x:v>0</x:v>
      </x:c>
      <x:c r="W1059" s="26" t="n">
        <x:v>0</x:v>
      </x:c>
      <x:c r="X1059" s="26" t="n">
        <x:v>0</x:v>
      </x:c>
      <x:c r="Y1059" s="26" t="n">
        <x:v>0</x:v>
      </x:c>
      <x:c r="Z1059" s="35" t="str">
        <x:v>Green Thumb Landscaping; WO-2027-033</x:v>
      </x:c>
    </x:row>
    <x:row r="1060">
      <x:c r="A1060" s="20" t="str">
        <x:v>FIN-01057</x:v>
      </x:c>
      <x:c r="B1060" s="23" t="n">
        <x:v>46623</x:v>
      </x:c>
      <x:c r="C1060" s="23" t="n">
        <x:v>46623</x:v>
      </x:c>
      <x:c r="D1060" s="20" t="str">
        <x:v>OperatingExpense</x:v>
      </x:c>
      <x:c r="E1060" s="20" t="str">
        <x:v>Repairs</x:v>
      </x:c>
      <x:c r="F1060" s="20" t="str">
        <x:v>P030</x:v>
      </x:c>
      <x:c r="G1060" s="20" t="str">
        <x:v>U039</x:v>
      </x:c>
      <x:c r="H1060" s="20" t="str"/>
      <x:c r="I1060" s="20" t="str">
        <x:v>Summit Roofing</x:v>
      </x:c>
      <x:c r="J1060" s="35" t="str">
        <x:v>Scanned receipt/invoice</x:v>
      </x:c>
      <x:c r="K1060" s="20" t="str">
        <x:v>SCN-0408</x:v>
      </x:c>
      <x:c r="L1060" s="20" t="str">
        <x:v>EXP-20270824-034</x:v>
      </x:c>
      <x:c r="M1060" s="26" t="n">
        <x:v>940</x:v>
      </x:c>
      <x:c r="N1060" s="26" t="n">
        <x:v>0</x:v>
      </x:c>
      <x:c r="O1060" s="26" t="n">
        <x:v>-940</x:v>
      </x:c>
      <x:c r="P1060" s="26" t="n">
        <x:v>0</x:v>
      </x:c>
      <x:c r="Q1060" s="26" t="n">
        <x:v>0</x:v>
      </x:c>
      <x:c r="R1060" s="26" t="n">
        <x:v>0</x:v>
      </x:c>
      <x:c r="S1060" s="26" t="n">
        <x:v>0</x:v>
      </x:c>
      <x:c r="T1060" s="26" t="n">
        <x:v>0</x:v>
      </x:c>
      <x:c r="U1060" s="26" t="n">
        <x:v>940</x:v>
      </x:c>
      <x:c r="V1060" s="26" t="n">
        <x:v>0</x:v>
      </x:c>
      <x:c r="W1060" s="26" t="n">
        <x:v>0</x:v>
      </x:c>
      <x:c r="X1060" s="26" t="n">
        <x:v>0</x:v>
      </x:c>
      <x:c r="Y1060" s="26" t="n">
        <x:v>0</x:v>
      </x:c>
      <x:c r="Z1060" s="35" t="str">
        <x:v>Summit Roofing; WO-2027-034</x:v>
      </x:c>
    </x:row>
    <x:row r="1061">
      <x:c r="A1061" s="20" t="str">
        <x:v>FIN-01058</x:v>
      </x:c>
      <x:c r="B1061" s="23" t="n">
        <x:v>46630</x:v>
      </x:c>
      <x:c r="C1061" s="23" t="n">
        <x:v>46630</x:v>
      </x:c>
      <x:c r="D1061" s="20" t="str">
        <x:v>OperatingExpense</x:v>
      </x:c>
      <x:c r="E1061" s="20" t="str">
        <x:v>Repairs</x:v>
      </x:c>
      <x:c r="F1061" s="20" t="str">
        <x:v>P006</x:v>
      </x:c>
      <x:c r="G1061" s="20" t="str">
        <x:v>U006</x:v>
      </x:c>
      <x:c r="H1061" s="20" t="str"/>
      <x:c r="I1061" s="20" t="str">
        <x:v>Prime Pest Control</x:v>
      </x:c>
      <x:c r="J1061" s="35" t="str">
        <x:v>Manual web form</x:v>
      </x:c>
      <x:c r="K1061" s="20" t="str"/>
      <x:c r="L1061" s="20" t="str">
        <x:v>EXP-20270831-035</x:v>
      </x:c>
      <x:c r="M1061" s="26" t="n">
        <x:v>89.45</x:v>
      </x:c>
      <x:c r="N1061" s="26" t="n">
        <x:v>0</x:v>
      </x:c>
      <x:c r="O1061" s="26" t="n">
        <x:v>-89.45</x:v>
      </x:c>
      <x:c r="P1061" s="26" t="n">
        <x:v>0</x:v>
      </x:c>
      <x:c r="Q1061" s="26" t="n">
        <x:v>0</x:v>
      </x:c>
      <x:c r="R1061" s="26" t="n">
        <x:v>0</x:v>
      </x:c>
      <x:c r="S1061" s="26" t="n">
        <x:v>0</x:v>
      </x:c>
      <x:c r="T1061" s="26" t="n">
        <x:v>0</x:v>
      </x:c>
      <x:c r="U1061" s="26" t="n">
        <x:v>89.45</x:v>
      </x:c>
      <x:c r="V1061" s="26" t="n">
        <x:v>0</x:v>
      </x:c>
      <x:c r="W1061" s="26" t="n">
        <x:v>0</x:v>
      </x:c>
      <x:c r="X1061" s="26" t="n">
        <x:v>0</x:v>
      </x:c>
      <x:c r="Y1061" s="26" t="n">
        <x:v>0</x:v>
      </x:c>
      <x:c r="Z1061" s="35" t="str">
        <x:v>Prime Pest Control; WO-2027-035</x:v>
      </x:c>
    </x:row>
    <x:row r="1062">
      <x:c r="A1062" s="20" t="str">
        <x:v>FIN-01059</x:v>
      </x:c>
      <x:c r="B1062" s="23" t="n">
        <x:v>46637</x:v>
      </x:c>
      <x:c r="C1062" s="23" t="n">
        <x:v>46637</x:v>
      </x:c>
      <x:c r="D1062" s="20" t="str">
        <x:v>OperatingExpense</x:v>
      </x:c>
      <x:c r="E1062" s="20" t="str">
        <x:v>Repairs</x:v>
      </x:c>
      <x:c r="F1062" s="20" t="str">
        <x:v>P013</x:v>
      </x:c>
      <x:c r="G1062" s="20" t="str">
        <x:v>U013</x:v>
      </x:c>
      <x:c r="H1062" s="20" t="str"/>
      <x:c r="I1062" s="20" t="str">
        <x:v>Fresh Start Turnovers</x:v>
      </x:c>
      <x:c r="J1062" s="35" t="str">
        <x:v>Scanned receipt/invoice</x:v>
      </x:c>
      <x:c r="K1062" s="20" t="str">
        <x:v>SCN-0411</x:v>
      </x:c>
      <x:c r="L1062" s="20" t="str">
        <x:v>EXP-20270907-036</x:v>
      </x:c>
      <x:c r="M1062" s="26" t="n">
        <x:v>147.8</x:v>
      </x:c>
      <x:c r="N1062" s="26" t="n">
        <x:v>0</x:v>
      </x:c>
      <x:c r="O1062" s="26" t="n">
        <x:v>-147.8</x:v>
      </x:c>
      <x:c r="P1062" s="26" t="n">
        <x:v>0</x:v>
      </x:c>
      <x:c r="Q1062" s="26" t="n">
        <x:v>0</x:v>
      </x:c>
      <x:c r="R1062" s="26" t="n">
        <x:v>0</x:v>
      </x:c>
      <x:c r="S1062" s="26" t="n">
        <x:v>0</x:v>
      </x:c>
      <x:c r="T1062" s="26" t="n">
        <x:v>0</x:v>
      </x:c>
      <x:c r="U1062" s="26" t="n">
        <x:v>147.8</x:v>
      </x:c>
      <x:c r="V1062" s="26" t="n">
        <x:v>0</x:v>
      </x:c>
      <x:c r="W1062" s="26" t="n">
        <x:v>0</x:v>
      </x:c>
      <x:c r="X1062" s="26" t="n">
        <x:v>0</x:v>
      </x:c>
      <x:c r="Y1062" s="26" t="n">
        <x:v>0</x:v>
      </x:c>
      <x:c r="Z1062" s="35" t="str">
        <x:v>Fresh Start Turnovers; WO-2027-036</x:v>
      </x:c>
    </x:row>
    <x:row r="1063">
      <x:c r="A1063" s="20" t="str">
        <x:v>FIN-01060</x:v>
      </x:c>
      <x:c r="B1063" s="23" t="n">
        <x:v>46644</x:v>
      </x:c>
      <x:c r="C1063" s="23" t="n">
        <x:v>46644</x:v>
      </x:c>
      <x:c r="D1063" s="20" t="str">
        <x:v>OperatingExpense</x:v>
      </x:c>
      <x:c r="E1063" s="20" t="str">
        <x:v>Supplies</x:v>
      </x:c>
      <x:c r="F1063" s="20" t="str">
        <x:v>P020</x:v>
      </x:c>
      <x:c r="G1063" s="20" t="str">
        <x:v>U020</x:v>
      </x:c>
      <x:c r="H1063" s="20" t="str"/>
      <x:c r="I1063" s="20" t="str">
        <x:v>Hardware House</x:v>
      </x:c>
      <x:c r="J1063" s="35" t="str">
        <x:v>Scanned receipt/invoice</x:v>
      </x:c>
      <x:c r="K1063" s="20" t="str">
        <x:v>SCN-0413</x:v>
      </x:c>
      <x:c r="L1063" s="20" t="str">
        <x:v>EXP-20270914-037</x:v>
      </x:c>
      <x:c r="M1063" s="26" t="n">
        <x:v>225</x:v>
      </x:c>
      <x:c r="N1063" s="26" t="n">
        <x:v>0</x:v>
      </x:c>
      <x:c r="O1063" s="26" t="n">
        <x:v>-225</x:v>
      </x:c>
      <x:c r="P1063" s="26" t="n">
        <x:v>0</x:v>
      </x:c>
      <x:c r="Q1063" s="26" t="n">
        <x:v>0</x:v>
      </x:c>
      <x:c r="R1063" s="26" t="n">
        <x:v>0</x:v>
      </x:c>
      <x:c r="S1063" s="26" t="n">
        <x:v>0</x:v>
      </x:c>
      <x:c r="T1063" s="26" t="n">
        <x:v>0</x:v>
      </x:c>
      <x:c r="U1063" s="26" t="n">
        <x:v>225</x:v>
      </x:c>
      <x:c r="V1063" s="26" t="n">
        <x:v>0</x:v>
      </x:c>
      <x:c r="W1063" s="26" t="n">
        <x:v>0</x:v>
      </x:c>
      <x:c r="X1063" s="26" t="n">
        <x:v>0</x:v>
      </x:c>
      <x:c r="Y1063" s="26" t="n">
        <x:v>0</x:v>
      </x:c>
      <x:c r="Z1063" s="35" t="str">
        <x:v>Hardware House; WO-2027-037</x:v>
      </x:c>
    </x:row>
    <x:row r="1064">
      <x:c r="A1064" s="20" t="str">
        <x:v>FIN-01061</x:v>
      </x:c>
      <x:c r="B1064" s="23" t="n">
        <x:v>46651</x:v>
      </x:c>
      <x:c r="C1064" s="23" t="n">
        <x:v>46651</x:v>
      </x:c>
      <x:c r="D1064" s="20" t="str">
        <x:v>OperatingExpense</x:v>
      </x:c>
      <x:c r="E1064" s="20" t="str">
        <x:v>Repairs</x:v>
      </x:c>
      <x:c r="F1064" s="20" t="str">
        <x:v>P024</x:v>
      </x:c>
      <x:c r="G1064" s="20" t="str">
        <x:v>U027</x:v>
      </x:c>
      <x:c r="H1064" s="20" t="str"/>
      <x:c r="I1064" s="20" t="str">
        <x:v>SafeHome Locksmith</x:v>
      </x:c>
      <x:c r="J1064" s="35" t="str">
        <x:v>Scanned receipt/invoice</x:v>
      </x:c>
      <x:c r="K1064" s="20" t="str">
        <x:v>SCN-0415</x:v>
      </x:c>
      <x:c r="L1064" s="20" t="str">
        <x:v>EXP-20270921-038</x:v>
      </x:c>
      <x:c r="M1064" s="26" t="n">
        <x:v>318.65</x:v>
      </x:c>
      <x:c r="N1064" s="26" t="n">
        <x:v>0</x:v>
      </x:c>
      <x:c r="O1064" s="26" t="n">
        <x:v>-318.65</x:v>
      </x:c>
      <x:c r="P1064" s="26" t="n">
        <x:v>0</x:v>
      </x:c>
      <x:c r="Q1064" s="26" t="n">
        <x:v>0</x:v>
      </x:c>
      <x:c r="R1064" s="26" t="n">
        <x:v>0</x:v>
      </x:c>
      <x:c r="S1064" s="26" t="n">
        <x:v>0</x:v>
      </x:c>
      <x:c r="T1064" s="26" t="n">
        <x:v>0</x:v>
      </x:c>
      <x:c r="U1064" s="26" t="n">
        <x:v>318.65</x:v>
      </x:c>
      <x:c r="V1064" s="26" t="n">
        <x:v>0</x:v>
      </x:c>
      <x:c r="W1064" s="26" t="n">
        <x:v>0</x:v>
      </x:c>
      <x:c r="X1064" s="26" t="n">
        <x:v>0</x:v>
      </x:c>
      <x:c r="Y1064" s="26" t="n">
        <x:v>0</x:v>
      </x:c>
      <x:c r="Z1064" s="35" t="str">
        <x:v>SafeHome Locksmith; WO-2027-038</x:v>
      </x:c>
    </x:row>
    <x:row r="1065">
      <x:c r="A1065" s="20" t="str">
        <x:v>FIN-01062</x:v>
      </x:c>
      <x:c r="B1065" s="23" t="n">
        <x:v>46658</x:v>
      </x:c>
      <x:c r="C1065" s="23" t="n">
        <x:v>46658</x:v>
      </x:c>
      <x:c r="D1065" s="20" t="str">
        <x:v>OperatingExpense</x:v>
      </x:c>
      <x:c r="E1065" s="20" t="str">
        <x:v>Turnover</x:v>
      </x:c>
      <x:c r="F1065" s="20" t="str">
        <x:v>P027</x:v>
      </x:c>
      <x:c r="G1065" s="20" t="str">
        <x:v>U034</x:v>
      </x:c>
      <x:c r="H1065" s="20" t="str"/>
      <x:c r="I1065" s="20" t="str">
        <x:v>ClearFlow Restoration</x:v>
      </x:c>
      <x:c r="J1065" s="35" t="str">
        <x:v>Scanned receipt/invoice</x:v>
      </x:c>
      <x:c r="K1065" s="20" t="str">
        <x:v>SCN-0417</x:v>
      </x:c>
      <x:c r="L1065" s="20" t="str">
        <x:v>EXP-20270928-039</x:v>
      </x:c>
      <x:c r="M1065" s="26" t="n">
        <x:v>475</x:v>
      </x:c>
      <x:c r="N1065" s="26" t="n">
        <x:v>0</x:v>
      </x:c>
      <x:c r="O1065" s="26" t="n">
        <x:v>-475</x:v>
      </x:c>
      <x:c r="P1065" s="26" t="n">
        <x:v>0</x:v>
      </x:c>
      <x:c r="Q1065" s="26" t="n">
        <x:v>0</x:v>
      </x:c>
      <x:c r="R1065" s="26" t="n">
        <x:v>0</x:v>
      </x:c>
      <x:c r="S1065" s="26" t="n">
        <x:v>0</x:v>
      </x:c>
      <x:c r="T1065" s="26" t="n">
        <x:v>0</x:v>
      </x:c>
      <x:c r="U1065" s="26" t="n">
        <x:v>475</x:v>
      </x:c>
      <x:c r="V1065" s="26" t="n">
        <x:v>0</x:v>
      </x:c>
      <x:c r="W1065" s="26" t="n">
        <x:v>0</x:v>
      </x:c>
      <x:c r="X1065" s="26" t="n">
        <x:v>0</x:v>
      </x:c>
      <x:c r="Y1065" s="26" t="n">
        <x:v>0</x:v>
      </x:c>
      <x:c r="Z1065" s="35" t="str">
        <x:v>ClearFlow Restoration; WO-2027-039</x:v>
      </x:c>
    </x:row>
    <x:row r="1066">
      <x:c r="A1066" s="20" t="str">
        <x:v>FIN-01063</x:v>
      </x:c>
      <x:c r="B1066" s="23" t="n">
        <x:v>46665</x:v>
      </x:c>
      <x:c r="C1066" s="23" t="n">
        <x:v>46665</x:v>
      </x:c>
      <x:c r="D1066" s="20" t="str">
        <x:v>OperatingExpense</x:v>
      </x:c>
      <x:c r="E1066" s="20" t="str">
        <x:v>Repairs</x:v>
      </x:c>
      <x:c r="F1066" s="20" t="str">
        <x:v>P001</x:v>
      </x:c>
      <x:c r="G1066" s="20" t="str">
        <x:v>U001</x:v>
      </x:c>
      <x:c r="H1066" s="20" t="str"/>
      <x:c r="I1066" s="20" t="str">
        <x:v>Apex Plumbing</x:v>
      </x:c>
      <x:c r="J1066" s="35" t="str">
        <x:v>Manual mobile form</x:v>
      </x:c>
      <x:c r="K1066" s="20" t="str"/>
      <x:c r="L1066" s="20" t="str">
        <x:v>EXP-20271005-040</x:v>
      </x:c>
      <x:c r="M1066" s="26" t="n">
        <x:v>690.25</x:v>
      </x:c>
      <x:c r="N1066" s="26" t="n">
        <x:v>0</x:v>
      </x:c>
      <x:c r="O1066" s="26" t="n">
        <x:v>-690.25</x:v>
      </x:c>
      <x:c r="P1066" s="26" t="n">
        <x:v>0</x:v>
      </x:c>
      <x:c r="Q1066" s="26" t="n">
        <x:v>0</x:v>
      </x:c>
      <x:c r="R1066" s="26" t="n">
        <x:v>0</x:v>
      </x:c>
      <x:c r="S1066" s="26" t="n">
        <x:v>0</x:v>
      </x:c>
      <x:c r="T1066" s="26" t="n">
        <x:v>0</x:v>
      </x:c>
      <x:c r="U1066" s="26" t="n">
        <x:v>690.25</x:v>
      </x:c>
      <x:c r="V1066" s="26" t="n">
        <x:v>0</x:v>
      </x:c>
      <x:c r="W1066" s="26" t="n">
        <x:v>0</x:v>
      </x:c>
      <x:c r="X1066" s="26" t="n">
        <x:v>0</x:v>
      </x:c>
      <x:c r="Y1066" s="26" t="n">
        <x:v>0</x:v>
      </x:c>
      <x:c r="Z1066" s="35" t="str">
        <x:v>Apex Plumbing; WO-2027-040</x:v>
      </x:c>
    </x:row>
    <x:row r="1067">
      <x:c r="A1067" s="20" t="str">
        <x:v>FIN-01064</x:v>
      </x:c>
      <x:c r="B1067" s="23" t="n">
        <x:v>46672</x:v>
      </x:c>
      <x:c r="C1067" s="23" t="n">
        <x:v>46672</x:v>
      </x:c>
      <x:c r="D1067" s="20" t="str">
        <x:v>OperatingExpense</x:v>
      </x:c>
      <x:c r="E1067" s="20" t="str">
        <x:v>Repairs</x:v>
      </x:c>
      <x:c r="F1067" s="20" t="str">
        <x:v>P008</x:v>
      </x:c>
      <x:c r="G1067" s="20" t="str">
        <x:v>U008</x:v>
      </x:c>
      <x:c r="H1067" s="20" t="str"/>
      <x:c r="I1067" s="20" t="str">
        <x:v>ComfortZone HVAC</x:v>
      </x:c>
      <x:c r="J1067" s="35" t="str">
        <x:v>Scanned receipt/invoice</x:v>
      </x:c>
      <x:c r="K1067" s="20" t="str">
        <x:v>SCN-0420</x:v>
      </x:c>
      <x:c r="L1067" s="20" t="str">
        <x:v>EXP-20271012-041</x:v>
      </x:c>
      <x:c r="M1067" s="26" t="n">
        <x:v>940</x:v>
      </x:c>
      <x:c r="N1067" s="26" t="n">
        <x:v>0</x:v>
      </x:c>
      <x:c r="O1067" s="26" t="n">
        <x:v>-940</x:v>
      </x:c>
      <x:c r="P1067" s="26" t="n">
        <x:v>0</x:v>
      </x:c>
      <x:c r="Q1067" s="26" t="n">
        <x:v>0</x:v>
      </x:c>
      <x:c r="R1067" s="26" t="n">
        <x:v>0</x:v>
      </x:c>
      <x:c r="S1067" s="26" t="n">
        <x:v>0</x:v>
      </x:c>
      <x:c r="T1067" s="26" t="n">
        <x:v>0</x:v>
      </x:c>
      <x:c r="U1067" s="26" t="n">
        <x:v>940</x:v>
      </x:c>
      <x:c r="V1067" s="26" t="n">
        <x:v>0</x:v>
      </x:c>
      <x:c r="W1067" s="26" t="n">
        <x:v>0</x:v>
      </x:c>
      <x:c r="X1067" s="26" t="n">
        <x:v>0</x:v>
      </x:c>
      <x:c r="Y1067" s="26" t="n">
        <x:v>0</x:v>
      </x:c>
      <x:c r="Z1067" s="35" t="str">
        <x:v>ComfortZone HVAC; WO-2027-041</x:v>
      </x:c>
    </x:row>
    <x:row r="1068">
      <x:c r="A1068" s="20" t="str">
        <x:v>FIN-01065</x:v>
      </x:c>
      <x:c r="B1068" s="23" t="n">
        <x:v>46679</x:v>
      </x:c>
      <x:c r="C1068" s="23" t="n">
        <x:v>46679</x:v>
      </x:c>
      <x:c r="D1068" s="20" t="str">
        <x:v>OperatingExpense</x:v>
      </x:c>
      <x:c r="E1068" s="20" t="str">
        <x:v>Repairs</x:v>
      </x:c>
      <x:c r="F1068" s="20" t="str">
        <x:v>P015</x:v>
      </x:c>
      <x:c r="G1068" s="20" t="str">
        <x:v>U015</x:v>
      </x:c>
      <x:c r="H1068" s="20" t="str"/>
      <x:c r="I1068" s="20" t="str">
        <x:v>Metro Electric</x:v>
      </x:c>
      <x:c r="J1068" s="35" t="str">
        <x:v>Scanned receipt/invoice</x:v>
      </x:c>
      <x:c r="K1068" s="20" t="str">
        <x:v>SCN-0422</x:v>
      </x:c>
      <x:c r="L1068" s="20" t="str">
        <x:v>EXP-20271019-042</x:v>
      </x:c>
      <x:c r="M1068" s="26" t="n">
        <x:v>89.45</x:v>
      </x:c>
      <x:c r="N1068" s="26" t="n">
        <x:v>0</x:v>
      </x:c>
      <x:c r="O1068" s="26" t="n">
        <x:v>-89.45</x:v>
      </x:c>
      <x:c r="P1068" s="26" t="n">
        <x:v>0</x:v>
      </x:c>
      <x:c r="Q1068" s="26" t="n">
        <x:v>0</x:v>
      </x:c>
      <x:c r="R1068" s="26" t="n">
        <x:v>0</x:v>
      </x:c>
      <x:c r="S1068" s="26" t="n">
        <x:v>0</x:v>
      </x:c>
      <x:c r="T1068" s="26" t="n">
        <x:v>0</x:v>
      </x:c>
      <x:c r="U1068" s="26" t="n">
        <x:v>89.45</x:v>
      </x:c>
      <x:c r="V1068" s="26" t="n">
        <x:v>0</x:v>
      </x:c>
      <x:c r="W1068" s="26" t="n">
        <x:v>0</x:v>
      </x:c>
      <x:c r="X1068" s="26" t="n">
        <x:v>0</x:v>
      </x:c>
      <x:c r="Y1068" s="26" t="n">
        <x:v>0</x:v>
      </x:c>
      <x:c r="Z1068" s="35" t="str">
        <x:v>Metro Electric; WO-2027-042</x:v>
      </x:c>
    </x:row>
    <x:row r="1069">
      <x:c r="A1069" s="20" t="str">
        <x:v>FIN-01066</x:v>
      </x:c>
      <x:c r="B1069" s="23" t="n">
        <x:v>46686</x:v>
      </x:c>
      <x:c r="C1069" s="23" t="n">
        <x:v>46686</x:v>
      </x:c>
      <x:c r="D1069" s="20" t="str">
        <x:v>OperatingExpense</x:v>
      </x:c>
      <x:c r="E1069" s="20" t="str">
        <x:v>Repairs</x:v>
      </x:c>
      <x:c r="F1069" s="20" t="str">
        <x:v>P021</x:v>
      </x:c>
      <x:c r="G1069" s="20" t="str">
        <x:v>U022</x:v>
      </x:c>
      <x:c r="H1069" s="20" t="str"/>
      <x:c r="I1069" s="20" t="str">
        <x:v>Green Thumb Landscaping</x:v>
      </x:c>
      <x:c r="J1069" s="35" t="str">
        <x:v>Scanned receipt/invoice</x:v>
      </x:c>
      <x:c r="K1069" s="20" t="str">
        <x:v>SCN-0424</x:v>
      </x:c>
      <x:c r="L1069" s="20" t="str">
        <x:v>EXP-20271026-043</x:v>
      </x:c>
      <x:c r="M1069" s="26" t="n">
        <x:v>147.8</x:v>
      </x:c>
      <x:c r="N1069" s="26" t="n">
        <x:v>0</x:v>
      </x:c>
      <x:c r="O1069" s="26" t="n">
        <x:v>-147.8</x:v>
      </x:c>
      <x:c r="P1069" s="26" t="n">
        <x:v>0</x:v>
      </x:c>
      <x:c r="Q1069" s="26" t="n">
        <x:v>0</x:v>
      </x:c>
      <x:c r="R1069" s="26" t="n">
        <x:v>0</x:v>
      </x:c>
      <x:c r="S1069" s="26" t="n">
        <x:v>0</x:v>
      </x:c>
      <x:c r="T1069" s="26" t="n">
        <x:v>0</x:v>
      </x:c>
      <x:c r="U1069" s="26" t="n">
        <x:v>147.8</x:v>
      </x:c>
      <x:c r="V1069" s="26" t="n">
        <x:v>0</x:v>
      </x:c>
      <x:c r="W1069" s="26" t="n">
        <x:v>0</x:v>
      </x:c>
      <x:c r="X1069" s="26" t="n">
        <x:v>0</x:v>
      </x:c>
      <x:c r="Y1069" s="26" t="n">
        <x:v>0</x:v>
      </x:c>
      <x:c r="Z1069" s="35" t="str">
        <x:v>Green Thumb Landscaping; WO-2027-043</x:v>
      </x:c>
    </x:row>
    <x:row r="1070">
      <x:c r="A1070" s="20" t="str">
        <x:v>FIN-01067</x:v>
      </x:c>
      <x:c r="B1070" s="23" t="n">
        <x:v>46693</x:v>
      </x:c>
      <x:c r="C1070" s="23" t="n">
        <x:v>46693</x:v>
      </x:c>
      <x:c r="D1070" s="20" t="str">
        <x:v>OperatingExpense</x:v>
      </x:c>
      <x:c r="E1070" s="20" t="str">
        <x:v>Repairs</x:v>
      </x:c>
      <x:c r="F1070" s="20" t="str">
        <x:v>P025</x:v>
      </x:c>
      <x:c r="G1070" s="20" t="str">
        <x:v>U029</x:v>
      </x:c>
      <x:c r="H1070" s="20" t="str"/>
      <x:c r="I1070" s="20" t="str">
        <x:v>Summit Roofing</x:v>
      </x:c>
      <x:c r="J1070" s="35" t="str">
        <x:v>Scanned receipt/invoice</x:v>
      </x:c>
      <x:c r="K1070" s="20" t="str">
        <x:v>SCN-0426</x:v>
      </x:c>
      <x:c r="L1070" s="20" t="str">
        <x:v>EXP-20271102-044</x:v>
      </x:c>
      <x:c r="M1070" s="26" t="n">
        <x:v>225</x:v>
      </x:c>
      <x:c r="N1070" s="26" t="n">
        <x:v>0</x:v>
      </x:c>
      <x:c r="O1070" s="26" t="n">
        <x:v>-225</x:v>
      </x:c>
      <x:c r="P1070" s="26" t="n">
        <x:v>0</x:v>
      </x:c>
      <x:c r="Q1070" s="26" t="n">
        <x:v>0</x:v>
      </x:c>
      <x:c r="R1070" s="26" t="n">
        <x:v>0</x:v>
      </x:c>
      <x:c r="S1070" s="26" t="n">
        <x:v>0</x:v>
      </x:c>
      <x:c r="T1070" s="26" t="n">
        <x:v>0</x:v>
      </x:c>
      <x:c r="U1070" s="26" t="n">
        <x:v>225</x:v>
      </x:c>
      <x:c r="V1070" s="26" t="n">
        <x:v>0</x:v>
      </x:c>
      <x:c r="W1070" s="26" t="n">
        <x:v>0</x:v>
      </x:c>
      <x:c r="X1070" s="26" t="n">
        <x:v>0</x:v>
      </x:c>
      <x:c r="Y1070" s="26" t="n">
        <x:v>0</x:v>
      </x:c>
      <x:c r="Z1070" s="35" t="str">
        <x:v>Summit Roofing; WO-2027-044</x:v>
      </x:c>
    </x:row>
    <x:row r="1071">
      <x:c r="A1071" s="20" t="str">
        <x:v>FIN-01068</x:v>
      </x:c>
      <x:c r="B1071" s="23" t="n">
        <x:v>46700</x:v>
      </x:c>
      <x:c r="C1071" s="23" t="n">
        <x:v>46700</x:v>
      </x:c>
      <x:c r="D1071" s="20" t="str">
        <x:v>OperatingExpense</x:v>
      </x:c>
      <x:c r="E1071" s="20" t="str">
        <x:v>Repairs</x:v>
      </x:c>
      <x:c r="F1071" s="20" t="str">
        <x:v>P028</x:v>
      </x:c>
      <x:c r="G1071" s="20" t="str">
        <x:v>U036</x:v>
      </x:c>
      <x:c r="H1071" s="20" t="str"/>
      <x:c r="I1071" s="20" t="str">
        <x:v>Prime Pest Control</x:v>
      </x:c>
      <x:c r="J1071" s="35" t="str">
        <x:v>Manual web form</x:v>
      </x:c>
      <x:c r="K1071" s="20" t="str"/>
      <x:c r="L1071" s="20" t="str">
        <x:v>EXP-20271109-045</x:v>
      </x:c>
      <x:c r="M1071" s="26" t="n">
        <x:v>318.65</x:v>
      </x:c>
      <x:c r="N1071" s="26" t="n">
        <x:v>0</x:v>
      </x:c>
      <x:c r="O1071" s="26" t="n">
        <x:v>-318.65</x:v>
      </x:c>
      <x:c r="P1071" s="26" t="n">
        <x:v>0</x:v>
      </x:c>
      <x:c r="Q1071" s="26" t="n">
        <x:v>0</x:v>
      </x:c>
      <x:c r="R1071" s="26" t="n">
        <x:v>0</x:v>
      </x:c>
      <x:c r="S1071" s="26" t="n">
        <x:v>0</x:v>
      </x:c>
      <x:c r="T1071" s="26" t="n">
        <x:v>0</x:v>
      </x:c>
      <x:c r="U1071" s="26" t="n">
        <x:v>318.65</x:v>
      </x:c>
      <x:c r="V1071" s="26" t="n">
        <x:v>0</x:v>
      </x:c>
      <x:c r="W1071" s="26" t="n">
        <x:v>0</x:v>
      </x:c>
      <x:c r="X1071" s="26" t="n">
        <x:v>0</x:v>
      </x:c>
      <x:c r="Y1071" s="26" t="n">
        <x:v>0</x:v>
      </x:c>
      <x:c r="Z1071" s="35" t="str">
        <x:v>Prime Pest Control; WO-2027-045</x:v>
      </x:c>
    </x:row>
    <x:row r="1072">
      <x:c r="A1072" s="20" t="str">
        <x:v>FIN-01069</x:v>
      </x:c>
      <x:c r="B1072" s="23" t="n">
        <x:v>46707</x:v>
      </x:c>
      <x:c r="C1072" s="23" t="n">
        <x:v>46707</x:v>
      </x:c>
      <x:c r="D1072" s="20" t="str">
        <x:v>OperatingExpense</x:v>
      </x:c>
      <x:c r="E1072" s="20" t="str">
        <x:v>Repairs</x:v>
      </x:c>
      <x:c r="F1072" s="20" t="str">
        <x:v>P003</x:v>
      </x:c>
      <x:c r="G1072" s="20" t="str">
        <x:v>U003</x:v>
      </x:c>
      <x:c r="H1072" s="20" t="str"/>
      <x:c r="I1072" s="20" t="str">
        <x:v>Fresh Start Turnovers</x:v>
      </x:c>
      <x:c r="J1072" s="35" t="str">
        <x:v>Scanned receipt/invoice</x:v>
      </x:c>
      <x:c r="K1072" s="20" t="str">
        <x:v>SCN-0429</x:v>
      </x:c>
      <x:c r="L1072" s="20" t="str">
        <x:v>EXP-20271116-046</x:v>
      </x:c>
      <x:c r="M1072" s="26" t="n">
        <x:v>475</x:v>
      </x:c>
      <x:c r="N1072" s="26" t="n">
        <x:v>0</x:v>
      </x:c>
      <x:c r="O1072" s="26" t="n">
        <x:v>-475</x:v>
      </x:c>
      <x:c r="P1072" s="26" t="n">
        <x:v>0</x:v>
      </x:c>
      <x:c r="Q1072" s="26" t="n">
        <x:v>0</x:v>
      </x:c>
      <x:c r="R1072" s="26" t="n">
        <x:v>0</x:v>
      </x:c>
      <x:c r="S1072" s="26" t="n">
        <x:v>0</x:v>
      </x:c>
      <x:c r="T1072" s="26" t="n">
        <x:v>0</x:v>
      </x:c>
      <x:c r="U1072" s="26" t="n">
        <x:v>475</x:v>
      </x:c>
      <x:c r="V1072" s="26" t="n">
        <x:v>0</x:v>
      </x:c>
      <x:c r="W1072" s="26" t="n">
        <x:v>0</x:v>
      </x:c>
      <x:c r="X1072" s="26" t="n">
        <x:v>0</x:v>
      </x:c>
      <x:c r="Y1072" s="26" t="n">
        <x:v>0</x:v>
      </x:c>
      <x:c r="Z1072" s="35" t="str">
        <x:v>Fresh Start Turnovers; WO-2027-046</x:v>
      </x:c>
    </x:row>
    <x:row r="1073">
      <x:c r="A1073" s="20" t="str">
        <x:v>FIN-01070</x:v>
      </x:c>
      <x:c r="B1073" s="23" t="n">
        <x:v>46714</x:v>
      </x:c>
      <x:c r="C1073" s="23" t="n">
        <x:v>46714</x:v>
      </x:c>
      <x:c r="D1073" s="20" t="str">
        <x:v>OperatingExpense</x:v>
      </x:c>
      <x:c r="E1073" s="20" t="str">
        <x:v>Supplies</x:v>
      </x:c>
      <x:c r="F1073" s="20" t="str">
        <x:v>P010</x:v>
      </x:c>
      <x:c r="G1073" s="20" t="str">
        <x:v>U010</x:v>
      </x:c>
      <x:c r="H1073" s="20" t="str"/>
      <x:c r="I1073" s="20" t="str">
        <x:v>Hardware House</x:v>
      </x:c>
      <x:c r="J1073" s="35" t="str">
        <x:v>Scanned receipt/invoice</x:v>
      </x:c>
      <x:c r="K1073" s="20" t="str">
        <x:v>SCN-0431</x:v>
      </x:c>
      <x:c r="L1073" s="20" t="str">
        <x:v>EXP-20271123-047</x:v>
      </x:c>
      <x:c r="M1073" s="26" t="n">
        <x:v>690.25</x:v>
      </x:c>
      <x:c r="N1073" s="26" t="n">
        <x:v>0</x:v>
      </x:c>
      <x:c r="O1073" s="26" t="n">
        <x:v>-690.25</x:v>
      </x:c>
      <x:c r="P1073" s="26" t="n">
        <x:v>0</x:v>
      </x:c>
      <x:c r="Q1073" s="26" t="n">
        <x:v>0</x:v>
      </x:c>
      <x:c r="R1073" s="26" t="n">
        <x:v>0</x:v>
      </x:c>
      <x:c r="S1073" s="26" t="n">
        <x:v>0</x:v>
      </x:c>
      <x:c r="T1073" s="26" t="n">
        <x:v>0</x:v>
      </x:c>
      <x:c r="U1073" s="26" t="n">
        <x:v>690.25</x:v>
      </x:c>
      <x:c r="V1073" s="26" t="n">
        <x:v>0</x:v>
      </x:c>
      <x:c r="W1073" s="26" t="n">
        <x:v>0</x:v>
      </x:c>
      <x:c r="X1073" s="26" t="n">
        <x:v>0</x:v>
      </x:c>
      <x:c r="Y1073" s="26" t="n">
        <x:v>0</x:v>
      </x:c>
      <x:c r="Z1073" s="35" t="str">
        <x:v>Hardware House; WO-2027-047</x:v>
      </x:c>
    </x:row>
    <x:row r="1074">
      <x:c r="A1074" s="20" t="str">
        <x:v>FIN-01071</x:v>
      </x:c>
      <x:c r="B1074" s="23" t="n">
        <x:v>46721</x:v>
      </x:c>
      <x:c r="C1074" s="23" t="n">
        <x:v>46721</x:v>
      </x:c>
      <x:c r="D1074" s="20" t="str">
        <x:v>OperatingExpense</x:v>
      </x:c>
      <x:c r="E1074" s="20" t="str">
        <x:v>Repairs</x:v>
      </x:c>
      <x:c r="F1074" s="20" t="str">
        <x:v>P017</x:v>
      </x:c>
      <x:c r="G1074" s="20" t="str">
        <x:v>U017</x:v>
      </x:c>
      <x:c r="H1074" s="20" t="str"/>
      <x:c r="I1074" s="20" t="str">
        <x:v>SafeHome Locksmith</x:v>
      </x:c>
      <x:c r="J1074" s="35" t="str">
        <x:v>Scanned receipt/invoice</x:v>
      </x:c>
      <x:c r="K1074" s="20" t="str">
        <x:v>SCN-0433</x:v>
      </x:c>
      <x:c r="L1074" s="20" t="str">
        <x:v>EXP-20271130-048</x:v>
      </x:c>
      <x:c r="M1074" s="26" t="n">
        <x:v>940</x:v>
      </x:c>
      <x:c r="N1074" s="26" t="n">
        <x:v>0</x:v>
      </x:c>
      <x:c r="O1074" s="26" t="n">
        <x:v>-940</x:v>
      </x:c>
      <x:c r="P1074" s="26" t="n">
        <x:v>0</x:v>
      </x:c>
      <x:c r="Q1074" s="26" t="n">
        <x:v>0</x:v>
      </x:c>
      <x:c r="R1074" s="26" t="n">
        <x:v>0</x:v>
      </x:c>
      <x:c r="S1074" s="26" t="n">
        <x:v>0</x:v>
      </x:c>
      <x:c r="T1074" s="26" t="n">
        <x:v>0</x:v>
      </x:c>
      <x:c r="U1074" s="26" t="n">
        <x:v>940</x:v>
      </x:c>
      <x:c r="V1074" s="26" t="n">
        <x:v>0</x:v>
      </x:c>
      <x:c r="W1074" s="26" t="n">
        <x:v>0</x:v>
      </x:c>
      <x:c r="X1074" s="26" t="n">
        <x:v>0</x:v>
      </x:c>
      <x:c r="Y1074" s="26" t="n">
        <x:v>0</x:v>
      </x:c>
      <x:c r="Z1074" s="35" t="str">
        <x:v>SafeHome Locksmith; WO-2027-048</x:v>
      </x:c>
    </x:row>
    <x:row r="1075">
      <x:c r="A1075" s="20" t="str">
        <x:v>FIN-01072</x:v>
      </x:c>
      <x:c r="B1075" s="23" t="n">
        <x:v>46728</x:v>
      </x:c>
      <x:c r="C1075" s="23" t="n">
        <x:v>46728</x:v>
      </x:c>
      <x:c r="D1075" s="20" t="str">
        <x:v>OperatingExpense</x:v>
      </x:c>
      <x:c r="E1075" s="20" t="str">
        <x:v>Repairs</x:v>
      </x:c>
      <x:c r="F1075" s="20" t="str">
        <x:v>P022</x:v>
      </x:c>
      <x:c r="G1075" s="20" t="str">
        <x:v>U024</x:v>
      </x:c>
      <x:c r="H1075" s="20" t="str"/>
      <x:c r="I1075" s="20" t="str">
        <x:v>ClearFlow Restoration</x:v>
      </x:c>
      <x:c r="J1075" s="35" t="str">
        <x:v>Scanned receipt/invoice</x:v>
      </x:c>
      <x:c r="K1075" s="20" t="str">
        <x:v>SCN-0435</x:v>
      </x:c>
      <x:c r="L1075" s="20" t="str">
        <x:v>EXP-20271207-049</x:v>
      </x:c>
      <x:c r="M1075" s="26" t="n">
        <x:v>89.45</x:v>
      </x:c>
      <x:c r="N1075" s="26" t="n">
        <x:v>0</x:v>
      </x:c>
      <x:c r="O1075" s="26" t="n">
        <x:v>-89.45</x:v>
      </x:c>
      <x:c r="P1075" s="26" t="n">
        <x:v>0</x:v>
      </x:c>
      <x:c r="Q1075" s="26" t="n">
        <x:v>0</x:v>
      </x:c>
      <x:c r="R1075" s="26" t="n">
        <x:v>0</x:v>
      </x:c>
      <x:c r="S1075" s="26" t="n">
        <x:v>0</x:v>
      </x:c>
      <x:c r="T1075" s="26" t="n">
        <x:v>0</x:v>
      </x:c>
      <x:c r="U1075" s="26" t="n">
        <x:v>89.45</x:v>
      </x:c>
      <x:c r="V1075" s="26" t="n">
        <x:v>0</x:v>
      </x:c>
      <x:c r="W1075" s="26" t="n">
        <x:v>0</x:v>
      </x:c>
      <x:c r="X1075" s="26" t="n">
        <x:v>0</x:v>
      </x:c>
      <x:c r="Y1075" s="26" t="n">
        <x:v>0</x:v>
      </x:c>
      <x:c r="Z1075" s="35" t="str">
        <x:v>ClearFlow Restoration; WO-2027-049</x:v>
      </x:c>
    </x:row>
    <x:row r="1076">
      <x:c r="A1076" s="20" t="str">
        <x:v>FIN-01073</x:v>
      </x:c>
      <x:c r="B1076" s="23" t="n">
        <x:v>46735</x:v>
      </x:c>
      <x:c r="C1076" s="23" t="n">
        <x:v>46735</x:v>
      </x:c>
      <x:c r="D1076" s="20" t="str">
        <x:v>OperatingExpense</x:v>
      </x:c>
      <x:c r="E1076" s="20" t="str">
        <x:v>Repairs</x:v>
      </x:c>
      <x:c r="F1076" s="20" t="str">
        <x:v>P026</x:v>
      </x:c>
      <x:c r="G1076" s="20" t="str">
        <x:v>U031</x:v>
      </x:c>
      <x:c r="H1076" s="20" t="str"/>
      <x:c r="I1076" s="20" t="str">
        <x:v>Apex Plumbing</x:v>
      </x:c>
      <x:c r="J1076" s="35" t="str">
        <x:v>Manual mobile form</x:v>
      </x:c>
      <x:c r="K1076" s="20" t="str"/>
      <x:c r="L1076" s="20" t="str">
        <x:v>EXP-20271214-050</x:v>
      </x:c>
      <x:c r="M1076" s="26" t="n">
        <x:v>147.8</x:v>
      </x:c>
      <x:c r="N1076" s="26" t="n">
        <x:v>0</x:v>
      </x:c>
      <x:c r="O1076" s="26" t="n">
        <x:v>-147.8</x:v>
      </x:c>
      <x:c r="P1076" s="26" t="n">
        <x:v>0</x:v>
      </x:c>
      <x:c r="Q1076" s="26" t="n">
        <x:v>0</x:v>
      </x:c>
      <x:c r="R1076" s="26" t="n">
        <x:v>0</x:v>
      </x:c>
      <x:c r="S1076" s="26" t="n">
        <x:v>0</x:v>
      </x:c>
      <x:c r="T1076" s="26" t="n">
        <x:v>0</x:v>
      </x:c>
      <x:c r="U1076" s="26" t="n">
        <x:v>147.8</x:v>
      </x:c>
      <x:c r="V1076" s="26" t="n">
        <x:v>0</x:v>
      </x:c>
      <x:c r="W1076" s="26" t="n">
        <x:v>0</x:v>
      </x:c>
      <x:c r="X1076" s="26" t="n">
        <x:v>0</x:v>
      </x:c>
      <x:c r="Y1076" s="26" t="n">
        <x:v>0</x:v>
      </x:c>
      <x:c r="Z1076" s="35" t="str">
        <x:v>Apex Plumbing; WO-2027-050</x:v>
      </x:c>
    </x:row>
    <x:row r="1077">
      <x:c r="A1077" s="20" t="str">
        <x:v>FIN-01074</x:v>
      </x:c>
      <x:c r="B1077" s="23" t="n">
        <x:v>46742</x:v>
      </x:c>
      <x:c r="C1077" s="23" t="n">
        <x:v>46742</x:v>
      </x:c>
      <x:c r="D1077" s="20" t="str">
        <x:v>OperatingExpense</x:v>
      </x:c>
      <x:c r="E1077" s="20" t="str">
        <x:v>Repairs</x:v>
      </x:c>
      <x:c r="F1077" s="20" t="str">
        <x:v>P029</x:v>
      </x:c>
      <x:c r="G1077" s="20" t="str">
        <x:v>U038</x:v>
      </x:c>
      <x:c r="H1077" s="20" t="str"/>
      <x:c r="I1077" s="20" t="str">
        <x:v>ComfortZone HVAC</x:v>
      </x:c>
      <x:c r="J1077" s="35" t="str">
        <x:v>Scanned receipt/invoice</x:v>
      </x:c>
      <x:c r="K1077" s="20" t="str">
        <x:v>SCN-0438</x:v>
      </x:c>
      <x:c r="L1077" s="20" t="str">
        <x:v>EXP-20271221-051</x:v>
      </x:c>
      <x:c r="M1077" s="26" t="n">
        <x:v>225</x:v>
      </x:c>
      <x:c r="N1077" s="26" t="n">
        <x:v>0</x:v>
      </x:c>
      <x:c r="O1077" s="26" t="n">
        <x:v>-225</x:v>
      </x:c>
      <x:c r="P1077" s="26" t="n">
        <x:v>0</x:v>
      </x:c>
      <x:c r="Q1077" s="26" t="n">
        <x:v>0</x:v>
      </x:c>
      <x:c r="R1077" s="26" t="n">
        <x:v>0</x:v>
      </x:c>
      <x:c r="S1077" s="26" t="n">
        <x:v>0</x:v>
      </x:c>
      <x:c r="T1077" s="26" t="n">
        <x:v>0</x:v>
      </x:c>
      <x:c r="U1077" s="26" t="n">
        <x:v>225</x:v>
      </x:c>
      <x:c r="V1077" s="26" t="n">
        <x:v>0</x:v>
      </x:c>
      <x:c r="W1077" s="26" t="n">
        <x:v>0</x:v>
      </x:c>
      <x:c r="X1077" s="26" t="n">
        <x:v>0</x:v>
      </x:c>
      <x:c r="Y1077" s="26" t="n">
        <x:v>0</x:v>
      </x:c>
      <x:c r="Z1077" s="35" t="str">
        <x:v>ComfortZone HVAC; WO-2027-051</x:v>
      </x:c>
    </x:row>
    <x:row r="1078">
      <x:c r="A1078" s="20" t="str">
        <x:v>FIN-01075</x:v>
      </x:c>
      <x:c r="B1078" s="23" t="n">
        <x:v>46749</x:v>
      </x:c>
      <x:c r="C1078" s="23" t="n">
        <x:v>46749</x:v>
      </x:c>
      <x:c r="D1078" s="20" t="str">
        <x:v>OperatingExpense</x:v>
      </x:c>
      <x:c r="E1078" s="20" t="str">
        <x:v>Turnover</x:v>
      </x:c>
      <x:c r="F1078" s="20" t="str">
        <x:v>P005</x:v>
      </x:c>
      <x:c r="G1078" s="20" t="str">
        <x:v>U005</x:v>
      </x:c>
      <x:c r="H1078" s="20" t="str"/>
      <x:c r="I1078" s="20" t="str">
        <x:v>Metro Electric</x:v>
      </x:c>
      <x:c r="J1078" s="35" t="str">
        <x:v>Scanned receipt/invoice</x:v>
      </x:c>
      <x:c r="K1078" s="20" t="str">
        <x:v>SCN-0440</x:v>
      </x:c>
      <x:c r="L1078" s="20" t="str">
        <x:v>EXP-20271228-052</x:v>
      </x:c>
      <x:c r="M1078" s="26" t="n">
        <x:v>318.65</x:v>
      </x:c>
      <x:c r="N1078" s="26" t="n">
        <x:v>0</x:v>
      </x:c>
      <x:c r="O1078" s="26" t="n">
        <x:v>-318.65</x:v>
      </x:c>
      <x:c r="P1078" s="26" t="n">
        <x:v>0</x:v>
      </x:c>
      <x:c r="Q1078" s="26" t="n">
        <x:v>0</x:v>
      </x:c>
      <x:c r="R1078" s="26" t="n">
        <x:v>0</x:v>
      </x:c>
      <x:c r="S1078" s="26" t="n">
        <x:v>0</x:v>
      </x:c>
      <x:c r="T1078" s="26" t="n">
        <x:v>0</x:v>
      </x:c>
      <x:c r="U1078" s="26" t="n">
        <x:v>318.65</x:v>
      </x:c>
      <x:c r="V1078" s="26" t="n">
        <x:v>0</x:v>
      </x:c>
      <x:c r="W1078" s="26" t="n">
        <x:v>0</x:v>
      </x:c>
      <x:c r="X1078" s="26" t="n">
        <x:v>0</x:v>
      </x:c>
      <x:c r="Y1078" s="26" t="n">
        <x:v>0</x:v>
      </x:c>
      <x:c r="Z1078" s="35" t="str">
        <x:v>Metro Electric; WO-2027-052</x:v>
      </x:c>
    </x:row>
    <x:row r="1079">
      <x:c r="A1079" s="20" t="str">
        <x:v>FIN-01076</x:v>
      </x:c>
      <x:c r="B1079" s="23" t="n">
        <x:v>46402</x:v>
      </x:c>
      <x:c r="C1079" s="23" t="n">
        <x:v>46402</x:v>
      </x:c>
      <x:c r="D1079" s="20" t="str">
        <x:v>OperatingExpense</x:v>
      </x:c>
      <x:c r="E1079" s="20" t="str">
        <x:v>Utilities</x:v>
      </x:c>
      <x:c r="F1079" s="20" t="str">
        <x:v>P021</x:v>
      </x:c>
      <x:c r="G1079" s="20" t="str"/>
      <x:c r="H1079" s="20" t="str"/>
      <x:c r="I1079" s="20" t="str">
        <x:v>City Water &amp; Sewer</x:v>
      </x:c>
      <x:c r="J1079" s="35" t="str">
        <x:v>Scanned receipt/invoice</x:v>
      </x:c>
      <x:c r="K1079" s="20" t="str">
        <x:v>SCN-0441</x:v>
      </x:c>
      <x:c r="L1079" s="20" t="str">
        <x:v>EXP-20270115-1021</x:v>
      </x:c>
      <x:c r="M1079" s="26" t="n">
        <x:v>136</x:v>
      </x:c>
      <x:c r="N1079" s="26" t="n">
        <x:v>0</x:v>
      </x:c>
      <x:c r="O1079" s="26" t="n">
        <x:v>-136</x:v>
      </x:c>
      <x:c r="P1079" s="26" t="n">
        <x:v>0</x:v>
      </x:c>
      <x:c r="Q1079" s="26" t="n">
        <x:v>0</x:v>
      </x:c>
      <x:c r="R1079" s="26" t="n">
        <x:v>0</x:v>
      </x:c>
      <x:c r="S1079" s="26" t="n">
        <x:v>0</x:v>
      </x:c>
      <x:c r="T1079" s="26" t="n">
        <x:v>0</x:v>
      </x:c>
      <x:c r="U1079" s="26" t="n">
        <x:v>136</x:v>
      </x:c>
      <x:c r="V1079" s="26" t="n">
        <x:v>0</x:v>
      </x:c>
      <x:c r="W1079" s="26" t="n">
        <x:v>0</x:v>
      </x:c>
      <x:c r="X1079" s="26" t="n">
        <x:v>0</x:v>
      </x:c>
      <x:c r="Y1079" s="26" t="n">
        <x:v>0</x:v>
      </x:c>
      <x:c r="Z1079" s="35" t="str">
        <x:v>City Water &amp; Sewer</x:v>
      </x:c>
    </x:row>
    <x:row r="1080">
      <x:c r="A1080" s="20" t="str">
        <x:v>FIN-01077</x:v>
      </x:c>
      <x:c r="B1080" s="23" t="n">
        <x:v>46402</x:v>
      </x:c>
      <x:c r="C1080" s="23" t="n">
        <x:v>46402</x:v>
      </x:c>
      <x:c r="D1080" s="20" t="str">
        <x:v>OperatingExpense</x:v>
      </x:c>
      <x:c r="E1080" s="20" t="str">
        <x:v>Utilities</x:v>
      </x:c>
      <x:c r="F1080" s="20" t="str">
        <x:v>P022</x:v>
      </x:c>
      <x:c r="G1080" s="20" t="str"/>
      <x:c r="H1080" s="20" t="str"/>
      <x:c r="I1080" s="20" t="str">
        <x:v>City Water &amp; Sewer</x:v>
      </x:c>
      <x:c r="J1080" s="35" t="str">
        <x:v>Scanned receipt/invoice</x:v>
      </x:c>
      <x:c r="K1080" s="20" t="str">
        <x:v>SCN-0442</x:v>
      </x:c>
      <x:c r="L1080" s="20" t="str">
        <x:v>EXP-20270115-1022</x:v>
      </x:c>
      <x:c r="M1080" s="26" t="n">
        <x:v>143</x:v>
      </x:c>
      <x:c r="N1080" s="26" t="n">
        <x:v>0</x:v>
      </x:c>
      <x:c r="O1080" s="26" t="n">
        <x:v>-143</x:v>
      </x:c>
      <x:c r="P1080" s="26" t="n">
        <x:v>0</x:v>
      </x:c>
      <x:c r="Q1080" s="26" t="n">
        <x:v>0</x:v>
      </x:c>
      <x:c r="R1080" s="26" t="n">
        <x:v>0</x:v>
      </x:c>
      <x:c r="S1080" s="26" t="n">
        <x:v>0</x:v>
      </x:c>
      <x:c r="T1080" s="26" t="n">
        <x:v>0</x:v>
      </x:c>
      <x:c r="U1080" s="26" t="n">
        <x:v>143</x:v>
      </x:c>
      <x:c r="V1080" s="26" t="n">
        <x:v>0</x:v>
      </x:c>
      <x:c r="W1080" s="26" t="n">
        <x:v>0</x:v>
      </x:c>
      <x:c r="X1080" s="26" t="n">
        <x:v>0</x:v>
      </x:c>
      <x:c r="Y1080" s="26" t="n">
        <x:v>0</x:v>
      </x:c>
      <x:c r="Z1080" s="35" t="str">
        <x:v>City Water &amp; Sewer</x:v>
      </x:c>
    </x:row>
    <x:row r="1081">
      <x:c r="A1081" s="20" t="str">
        <x:v>FIN-01078</x:v>
      </x:c>
      <x:c r="B1081" s="23" t="n">
        <x:v>46402</x:v>
      </x:c>
      <x:c r="C1081" s="23" t="n">
        <x:v>46402</x:v>
      </x:c>
      <x:c r="D1081" s="20" t="str">
        <x:v>OperatingExpense</x:v>
      </x:c>
      <x:c r="E1081" s="20" t="str">
        <x:v>Utilities</x:v>
      </x:c>
      <x:c r="F1081" s="20" t="str">
        <x:v>P023</x:v>
      </x:c>
      <x:c r="G1081" s="20" t="str"/>
      <x:c r="H1081" s="20" t="str"/>
      <x:c r="I1081" s="20" t="str">
        <x:v>City Water &amp; Sewer</x:v>
      </x:c>
      <x:c r="J1081" s="35" t="str">
        <x:v>Scanned receipt/invoice</x:v>
      </x:c>
      <x:c r="K1081" s="20" t="str">
        <x:v>SCN-0443</x:v>
      </x:c>
      <x:c r="L1081" s="20" t="str">
        <x:v>EXP-20270115-1023</x:v>
      </x:c>
      <x:c r="M1081" s="26" t="n">
        <x:v>150</x:v>
      </x:c>
      <x:c r="N1081" s="26" t="n">
        <x:v>0</x:v>
      </x:c>
      <x:c r="O1081" s="26" t="n">
        <x:v>-150</x:v>
      </x:c>
      <x:c r="P1081" s="26" t="n">
        <x:v>0</x:v>
      </x:c>
      <x:c r="Q1081" s="26" t="n">
        <x:v>0</x:v>
      </x:c>
      <x:c r="R1081" s="26" t="n">
        <x:v>0</x:v>
      </x:c>
      <x:c r="S1081" s="26" t="n">
        <x:v>0</x:v>
      </x:c>
      <x:c r="T1081" s="26" t="n">
        <x:v>0</x:v>
      </x:c>
      <x:c r="U1081" s="26" t="n">
        <x:v>150</x:v>
      </x:c>
      <x:c r="V1081" s="26" t="n">
        <x:v>0</x:v>
      </x:c>
      <x:c r="W1081" s="26" t="n">
        <x:v>0</x:v>
      </x:c>
      <x:c r="X1081" s="26" t="n">
        <x:v>0</x:v>
      </x:c>
      <x:c r="Y1081" s="26" t="n">
        <x:v>0</x:v>
      </x:c>
      <x:c r="Z1081" s="35" t="str">
        <x:v>City Water &amp; Sewer</x:v>
      </x:c>
    </x:row>
    <x:row r="1082">
      <x:c r="A1082" s="20" t="str">
        <x:v>FIN-01079</x:v>
      </x:c>
      <x:c r="B1082" s="23" t="n">
        <x:v>46402</x:v>
      </x:c>
      <x:c r="C1082" s="23" t="n">
        <x:v>46402</x:v>
      </x:c>
      <x:c r="D1082" s="20" t="str">
        <x:v>OperatingExpense</x:v>
      </x:c>
      <x:c r="E1082" s="20" t="str">
        <x:v>Utilities</x:v>
      </x:c>
      <x:c r="F1082" s="20" t="str">
        <x:v>P024</x:v>
      </x:c>
      <x:c r="G1082" s="20" t="str"/>
      <x:c r="H1082" s="20" t="str"/>
      <x:c r="I1082" s="20" t="str">
        <x:v>City Water &amp; Sewer</x:v>
      </x:c>
      <x:c r="J1082" s="35" t="str">
        <x:v>Scanned receipt/invoice</x:v>
      </x:c>
      <x:c r="K1082" s="20" t="str">
        <x:v>SCN-0444</x:v>
      </x:c>
      <x:c r="L1082" s="20" t="str">
        <x:v>EXP-20270115-1024</x:v>
      </x:c>
      <x:c r="M1082" s="26" t="n">
        <x:v>157</x:v>
      </x:c>
      <x:c r="N1082" s="26" t="n">
        <x:v>0</x:v>
      </x:c>
      <x:c r="O1082" s="26" t="n">
        <x:v>-157</x:v>
      </x:c>
      <x:c r="P1082" s="26" t="n">
        <x:v>0</x:v>
      </x:c>
      <x:c r="Q1082" s="26" t="n">
        <x:v>0</x:v>
      </x:c>
      <x:c r="R1082" s="26" t="n">
        <x:v>0</x:v>
      </x:c>
      <x:c r="S1082" s="26" t="n">
        <x:v>0</x:v>
      </x:c>
      <x:c r="T1082" s="26" t="n">
        <x:v>0</x:v>
      </x:c>
      <x:c r="U1082" s="26" t="n">
        <x:v>157</x:v>
      </x:c>
      <x:c r="V1082" s="26" t="n">
        <x:v>0</x:v>
      </x:c>
      <x:c r="W1082" s="26" t="n">
        <x:v>0</x:v>
      </x:c>
      <x:c r="X1082" s="26" t="n">
        <x:v>0</x:v>
      </x:c>
      <x:c r="Y1082" s="26" t="n">
        <x:v>0</x:v>
      </x:c>
      <x:c r="Z1082" s="35" t="str">
        <x:v>City Water &amp; Sewer</x:v>
      </x:c>
    </x:row>
    <x:row r="1083">
      <x:c r="A1083" s="20" t="str">
        <x:v>FIN-01080</x:v>
      </x:c>
      <x:c r="B1083" s="23" t="n">
        <x:v>46402</x:v>
      </x:c>
      <x:c r="C1083" s="23" t="n">
        <x:v>46402</x:v>
      </x:c>
      <x:c r="D1083" s="20" t="str">
        <x:v>OperatingExpense</x:v>
      </x:c>
      <x:c r="E1083" s="20" t="str">
        <x:v>Utilities</x:v>
      </x:c>
      <x:c r="F1083" s="20" t="str">
        <x:v>P025</x:v>
      </x:c>
      <x:c r="G1083" s="20" t="str"/>
      <x:c r="H1083" s="20" t="str"/>
      <x:c r="I1083" s="20" t="str">
        <x:v>City Water &amp; Sewer</x:v>
      </x:c>
      <x:c r="J1083" s="35" t="str">
        <x:v>Manual web form</x:v>
      </x:c>
      <x:c r="K1083" s="20" t="str"/>
      <x:c r="L1083" s="20" t="str">
        <x:v>EXP-20270115-1025</x:v>
      </x:c>
      <x:c r="M1083" s="26" t="n">
        <x:v>164</x:v>
      </x:c>
      <x:c r="N1083" s="26" t="n">
        <x:v>0</x:v>
      </x:c>
      <x:c r="O1083" s="26" t="n">
        <x:v>-164</x:v>
      </x:c>
      <x:c r="P1083" s="26" t="n">
        <x:v>0</x:v>
      </x:c>
      <x:c r="Q1083" s="26" t="n">
        <x:v>0</x:v>
      </x:c>
      <x:c r="R1083" s="26" t="n">
        <x:v>0</x:v>
      </x:c>
      <x:c r="S1083" s="26" t="n">
        <x:v>0</x:v>
      </x:c>
      <x:c r="T1083" s="26" t="n">
        <x:v>0</x:v>
      </x:c>
      <x:c r="U1083" s="26" t="n">
        <x:v>164</x:v>
      </x:c>
      <x:c r="V1083" s="26" t="n">
        <x:v>0</x:v>
      </x:c>
      <x:c r="W1083" s="26" t="n">
        <x:v>0</x:v>
      </x:c>
      <x:c r="X1083" s="26" t="n">
        <x:v>0</x:v>
      </x:c>
      <x:c r="Y1083" s="26" t="n">
        <x:v>0</x:v>
      </x:c>
      <x:c r="Z1083" s="35" t="str">
        <x:v>City Water &amp; Sewer</x:v>
      </x:c>
    </x:row>
    <x:row r="1084">
      <x:c r="A1084" s="20" t="str">
        <x:v>FIN-01081</x:v>
      </x:c>
      <x:c r="B1084" s="23" t="n">
        <x:v>46402</x:v>
      </x:c>
      <x:c r="C1084" s="23" t="n">
        <x:v>46402</x:v>
      </x:c>
      <x:c r="D1084" s="20" t="str">
        <x:v>OperatingExpense</x:v>
      </x:c>
      <x:c r="E1084" s="20" t="str">
        <x:v>Utilities</x:v>
      </x:c>
      <x:c r="F1084" s="20" t="str">
        <x:v>P026</x:v>
      </x:c>
      <x:c r="G1084" s="20" t="str"/>
      <x:c r="H1084" s="20" t="str"/>
      <x:c r="I1084" s="20" t="str">
        <x:v>City Water &amp; Sewer</x:v>
      </x:c>
      <x:c r="J1084" s="35" t="str">
        <x:v>Scanned receipt/invoice</x:v>
      </x:c>
      <x:c r="K1084" s="20" t="str">
        <x:v>SCN-0445</x:v>
      </x:c>
      <x:c r="L1084" s="20" t="str">
        <x:v>EXP-20270115-1026</x:v>
      </x:c>
      <x:c r="M1084" s="26" t="n">
        <x:v>171</x:v>
      </x:c>
      <x:c r="N1084" s="26" t="n">
        <x:v>0</x:v>
      </x:c>
      <x:c r="O1084" s="26" t="n">
        <x:v>-171</x:v>
      </x:c>
      <x:c r="P1084" s="26" t="n">
        <x:v>0</x:v>
      </x:c>
      <x:c r="Q1084" s="26" t="n">
        <x:v>0</x:v>
      </x:c>
      <x:c r="R1084" s="26" t="n">
        <x:v>0</x:v>
      </x:c>
      <x:c r="S1084" s="26" t="n">
        <x:v>0</x:v>
      </x:c>
      <x:c r="T1084" s="26" t="n">
        <x:v>0</x:v>
      </x:c>
      <x:c r="U1084" s="26" t="n">
        <x:v>171</x:v>
      </x:c>
      <x:c r="V1084" s="26" t="n">
        <x:v>0</x:v>
      </x:c>
      <x:c r="W1084" s="26" t="n">
        <x:v>0</x:v>
      </x:c>
      <x:c r="X1084" s="26" t="n">
        <x:v>0</x:v>
      </x:c>
      <x:c r="Y1084" s="26" t="n">
        <x:v>0</x:v>
      </x:c>
      <x:c r="Z1084" s="35" t="str">
        <x:v>City Water &amp; Sewer</x:v>
      </x:c>
    </x:row>
    <x:row r="1085">
      <x:c r="A1085" s="20" t="str">
        <x:v>FIN-01082</x:v>
      </x:c>
      <x:c r="B1085" s="23" t="n">
        <x:v>46402</x:v>
      </x:c>
      <x:c r="C1085" s="23" t="n">
        <x:v>46402</x:v>
      </x:c>
      <x:c r="D1085" s="20" t="str">
        <x:v>OperatingExpense</x:v>
      </x:c>
      <x:c r="E1085" s="20" t="str">
        <x:v>Utilities</x:v>
      </x:c>
      <x:c r="F1085" s="20" t="str">
        <x:v>P027</x:v>
      </x:c>
      <x:c r="G1085" s="20" t="str"/>
      <x:c r="H1085" s="20" t="str"/>
      <x:c r="I1085" s="20" t="str">
        <x:v>City Water &amp; Sewer</x:v>
      </x:c>
      <x:c r="J1085" s="35" t="str">
        <x:v>Scanned receipt/invoice</x:v>
      </x:c>
      <x:c r="K1085" s="20" t="str">
        <x:v>SCN-0446</x:v>
      </x:c>
      <x:c r="L1085" s="20" t="str">
        <x:v>EXP-20270115-1027</x:v>
      </x:c>
      <x:c r="M1085" s="26" t="n">
        <x:v>178</x:v>
      </x:c>
      <x:c r="N1085" s="26" t="n">
        <x:v>0</x:v>
      </x:c>
      <x:c r="O1085" s="26" t="n">
        <x:v>-178</x:v>
      </x:c>
      <x:c r="P1085" s="26" t="n">
        <x:v>0</x:v>
      </x:c>
      <x:c r="Q1085" s="26" t="n">
        <x:v>0</x:v>
      </x:c>
      <x:c r="R1085" s="26" t="n">
        <x:v>0</x:v>
      </x:c>
      <x:c r="S1085" s="26" t="n">
        <x:v>0</x:v>
      </x:c>
      <x:c r="T1085" s="26" t="n">
        <x:v>0</x:v>
      </x:c>
      <x:c r="U1085" s="26" t="n">
        <x:v>178</x:v>
      </x:c>
      <x:c r="V1085" s="26" t="n">
        <x:v>0</x:v>
      </x:c>
      <x:c r="W1085" s="26" t="n">
        <x:v>0</x:v>
      </x:c>
      <x:c r="X1085" s="26" t="n">
        <x:v>0</x:v>
      </x:c>
      <x:c r="Y1085" s="26" t="n">
        <x:v>0</x:v>
      </x:c>
      <x:c r="Z1085" s="35" t="str">
        <x:v>City Water &amp; Sewer</x:v>
      </x:c>
    </x:row>
    <x:row r="1086">
      <x:c r="A1086" s="20" t="str">
        <x:v>FIN-01083</x:v>
      </x:c>
      <x:c r="B1086" s="23" t="n">
        <x:v>46402</x:v>
      </x:c>
      <x:c r="C1086" s="23" t="n">
        <x:v>46402</x:v>
      </x:c>
      <x:c r="D1086" s="20" t="str">
        <x:v>OperatingExpense</x:v>
      </x:c>
      <x:c r="E1086" s="20" t="str">
        <x:v>Utilities</x:v>
      </x:c>
      <x:c r="F1086" s="20" t="str">
        <x:v>P028</x:v>
      </x:c>
      <x:c r="G1086" s="20" t="str"/>
      <x:c r="H1086" s="20" t="str"/>
      <x:c r="I1086" s="20" t="str">
        <x:v>City Water &amp; Sewer</x:v>
      </x:c>
      <x:c r="J1086" s="35" t="str">
        <x:v>Scanned receipt/invoice</x:v>
      </x:c>
      <x:c r="K1086" s="20" t="str">
        <x:v>SCN-0447</x:v>
      </x:c>
      <x:c r="L1086" s="20" t="str">
        <x:v>EXP-20270115-1028</x:v>
      </x:c>
      <x:c r="M1086" s="26" t="n">
        <x:v>185</x:v>
      </x:c>
      <x:c r="N1086" s="26" t="n">
        <x:v>0</x:v>
      </x:c>
      <x:c r="O1086" s="26" t="n">
        <x:v>-185</x:v>
      </x:c>
      <x:c r="P1086" s="26" t="n">
        <x:v>0</x:v>
      </x:c>
      <x:c r="Q1086" s="26" t="n">
        <x:v>0</x:v>
      </x:c>
      <x:c r="R1086" s="26" t="n">
        <x:v>0</x:v>
      </x:c>
      <x:c r="S1086" s="26" t="n">
        <x:v>0</x:v>
      </x:c>
      <x:c r="T1086" s="26" t="n">
        <x:v>0</x:v>
      </x:c>
      <x:c r="U1086" s="26" t="n">
        <x:v>185</x:v>
      </x:c>
      <x:c r="V1086" s="26" t="n">
        <x:v>0</x:v>
      </x:c>
      <x:c r="W1086" s="26" t="n">
        <x:v>0</x:v>
      </x:c>
      <x:c r="X1086" s="26" t="n">
        <x:v>0</x:v>
      </x:c>
      <x:c r="Y1086" s="26" t="n">
        <x:v>0</x:v>
      </x:c>
      <x:c r="Z1086" s="35" t="str">
        <x:v>City Water &amp; Sewer</x:v>
      </x:c>
    </x:row>
    <x:row r="1087">
      <x:c r="A1087" s="20" t="str">
        <x:v>FIN-01084</x:v>
      </x:c>
      <x:c r="B1087" s="23" t="n">
        <x:v>46402</x:v>
      </x:c>
      <x:c r="C1087" s="23" t="n">
        <x:v>46402</x:v>
      </x:c>
      <x:c r="D1087" s="20" t="str">
        <x:v>OperatingExpense</x:v>
      </x:c>
      <x:c r="E1087" s="20" t="str">
        <x:v>Utilities</x:v>
      </x:c>
      <x:c r="F1087" s="20" t="str">
        <x:v>P029</x:v>
      </x:c>
      <x:c r="G1087" s="20" t="str"/>
      <x:c r="H1087" s="20" t="str"/>
      <x:c r="I1087" s="20" t="str">
        <x:v>City Water &amp; Sewer</x:v>
      </x:c>
      <x:c r="J1087" s="35" t="str">
        <x:v>Scanned receipt/invoice</x:v>
      </x:c>
      <x:c r="K1087" s="20" t="str">
        <x:v>SCN-0448</x:v>
      </x:c>
      <x:c r="L1087" s="20" t="str">
        <x:v>EXP-20270115-1029</x:v>
      </x:c>
      <x:c r="M1087" s="26" t="n">
        <x:v>192</x:v>
      </x:c>
      <x:c r="N1087" s="26" t="n">
        <x:v>0</x:v>
      </x:c>
      <x:c r="O1087" s="26" t="n">
        <x:v>-192</x:v>
      </x:c>
      <x:c r="P1087" s="26" t="n">
        <x:v>0</x:v>
      </x:c>
      <x:c r="Q1087" s="26" t="n">
        <x:v>0</x:v>
      </x:c>
      <x:c r="R1087" s="26" t="n">
        <x:v>0</x:v>
      </x:c>
      <x:c r="S1087" s="26" t="n">
        <x:v>0</x:v>
      </x:c>
      <x:c r="T1087" s="26" t="n">
        <x:v>0</x:v>
      </x:c>
      <x:c r="U1087" s="26" t="n">
        <x:v>192</x:v>
      </x:c>
      <x:c r="V1087" s="26" t="n">
        <x:v>0</x:v>
      </x:c>
      <x:c r="W1087" s="26" t="n">
        <x:v>0</x:v>
      </x:c>
      <x:c r="X1087" s="26" t="n">
        <x:v>0</x:v>
      </x:c>
      <x:c r="Y1087" s="26" t="n">
        <x:v>0</x:v>
      </x:c>
      <x:c r="Z1087" s="35" t="str">
        <x:v>City Water &amp; Sewer</x:v>
      </x:c>
    </x:row>
    <x:row r="1088">
      <x:c r="A1088" s="20" t="str">
        <x:v>FIN-01085</x:v>
      </x:c>
      <x:c r="B1088" s="23" t="n">
        <x:v>46402</x:v>
      </x:c>
      <x:c r="C1088" s="23" t="n">
        <x:v>46402</x:v>
      </x:c>
      <x:c r="D1088" s="20" t="str">
        <x:v>OperatingExpense</x:v>
      </x:c>
      <x:c r="E1088" s="20" t="str">
        <x:v>Utilities</x:v>
      </x:c>
      <x:c r="F1088" s="20" t="str">
        <x:v>P030</x:v>
      </x:c>
      <x:c r="G1088" s="20" t="str"/>
      <x:c r="H1088" s="20" t="str"/>
      <x:c r="I1088" s="20" t="str">
        <x:v>City Water &amp; Sewer</x:v>
      </x:c>
      <x:c r="J1088" s="35" t="str">
        <x:v>Manual mobile form</x:v>
      </x:c>
      <x:c r="K1088" s="20" t="str"/>
      <x:c r="L1088" s="20" t="str">
        <x:v>EXP-20270115-1030</x:v>
      </x:c>
      <x:c r="M1088" s="26" t="n">
        <x:v>199</x:v>
      </x:c>
      <x:c r="N1088" s="26" t="n">
        <x:v>0</x:v>
      </x:c>
      <x:c r="O1088" s="26" t="n">
        <x:v>-199</x:v>
      </x:c>
      <x:c r="P1088" s="26" t="n">
        <x:v>0</x:v>
      </x:c>
      <x:c r="Q1088" s="26" t="n">
        <x:v>0</x:v>
      </x:c>
      <x:c r="R1088" s="26" t="n">
        <x:v>0</x:v>
      </x:c>
      <x:c r="S1088" s="26" t="n">
        <x:v>0</x:v>
      </x:c>
      <x:c r="T1088" s="26" t="n">
        <x:v>0</x:v>
      </x:c>
      <x:c r="U1088" s="26" t="n">
        <x:v>199</x:v>
      </x:c>
      <x:c r="V1088" s="26" t="n">
        <x:v>0</x:v>
      </x:c>
      <x:c r="W1088" s="26" t="n">
        <x:v>0</x:v>
      </x:c>
      <x:c r="X1088" s="26" t="n">
        <x:v>0</x:v>
      </x:c>
      <x:c r="Y1088" s="26" t="n">
        <x:v>0</x:v>
      </x:c>
      <x:c r="Z1088" s="35" t="str">
        <x:v>City Water &amp; Sewer</x:v>
      </x:c>
    </x:row>
    <x:row r="1089">
      <x:c r="A1089" s="20" t="str">
        <x:v>FIN-01086</x:v>
      </x:c>
      <x:c r="B1089" s="23" t="n">
        <x:v>46407</x:v>
      </x:c>
      <x:c r="C1089" s="23" t="n">
        <x:v>46407</x:v>
      </x:c>
      <x:c r="D1089" s="20" t="str">
        <x:v>LoanPayment</x:v>
      </x:c>
      <x:c r="E1089" s="20" t="str">
        <x:v>Mortgage principal and interest</x:v>
      </x:c>
      <x:c r="F1089" s="20" t="str">
        <x:v>P001</x:v>
      </x:c>
      <x:c r="G1089" s="20" t="str"/>
      <x:c r="H1089" s="20" t="str"/>
      <x:c r="I1089" s="20" t="str">
        <x:v>First QA Mortgage</x:v>
      </x:c>
      <x:c r="J1089" s="35" t="str">
        <x:v>Recurring loan payment + scanned statement</x:v>
      </x:c>
      <x:c r="K1089" s="20" t="str">
        <x:v>SCN-0449</x:v>
      </x:c>
      <x:c r="L1089" s="20" t="str">
        <x:v>LN001-202701</x:v>
      </x:c>
      <x:c r="M1089" s="26" t="n">
        <x:v>1054</x:v>
      </x:c>
      <x:c r="N1089" s="26" t="n">
        <x:v>0</x:v>
      </x:c>
      <x:c r="O1089" s="26" t="n">
        <x:v>-1054</x:v>
      </x:c>
      <x:c r="P1089" s="26" t="n">
        <x:v>0</x:v>
      </x:c>
      <x:c r="Q1089" s="26" t="n">
        <x:v>0</x:v>
      </x:c>
      <x:c r="R1089" s="26" t="n">
        <x:v>0</x:v>
      </x:c>
      <x:c r="S1089" s="26" t="n">
        <x:v>-431</x:v>
      </x:c>
      <x:c r="T1089" s="26" t="n">
        <x:v>0</x:v>
      </x:c>
      <x:c r="U1089" s="26" t="n">
        <x:v>623</x:v>
      </x:c>
      <x:c r="V1089" s="26" t="n">
        <x:v>0</x:v>
      </x:c>
      <x:c r="W1089" s="26" t="n">
        <x:v>0</x:v>
      </x:c>
      <x:c r="X1089" s="26" t="n">
        <x:v>0</x:v>
      </x:c>
      <x:c r="Y1089" s="26" t="n">
        <x:v>0</x:v>
      </x:c>
      <x:c r="Z1089" s="35" t="str">
        <x:v>LN001 scheduled payment</x:v>
      </x:c>
    </x:row>
    <x:row r="1090">
      <x:c r="A1090" s="20" t="str">
        <x:v>FIN-01087</x:v>
      </x:c>
      <x:c r="B1090" s="23" t="n">
        <x:v>46407</x:v>
      </x:c>
      <x:c r="C1090" s="23" t="n">
        <x:v>46407</x:v>
      </x:c>
      <x:c r="D1090" s="20" t="str">
        <x:v>LoanPayment</x:v>
      </x:c>
      <x:c r="E1090" s="20" t="str">
        <x:v>Mortgage principal and interest</x:v>
      </x:c>
      <x:c r="F1090" s="20" t="str">
        <x:v>P002</x:v>
      </x:c>
      <x:c r="G1090" s="20" t="str"/>
      <x:c r="H1090" s="20" t="str"/>
      <x:c r="I1090" s="20" t="str">
        <x:v>First QA Mortgage</x:v>
      </x:c>
      <x:c r="J1090" s="35" t="str">
        <x:v>Recurring loan payment + scanned statement</x:v>
      </x:c>
      <x:c r="K1090" s="20" t="str">
        <x:v>SCN-0450</x:v>
      </x:c>
      <x:c r="L1090" s="20" t="str">
        <x:v>LN002-202701</x:v>
      </x:c>
      <x:c r="M1090" s="26" t="n">
        <x:v>1078</x:v>
      </x:c>
      <x:c r="N1090" s="26" t="n">
        <x:v>0</x:v>
      </x:c>
      <x:c r="O1090" s="26" t="n">
        <x:v>-1078</x:v>
      </x:c>
      <x:c r="P1090" s="26" t="n">
        <x:v>0</x:v>
      </x:c>
      <x:c r="Q1090" s="26" t="n">
        <x:v>0</x:v>
      </x:c>
      <x:c r="R1090" s="26" t="n">
        <x:v>0</x:v>
      </x:c>
      <x:c r="S1090" s="26" t="n">
        <x:v>-442</x:v>
      </x:c>
      <x:c r="T1090" s="26" t="n">
        <x:v>0</x:v>
      </x:c>
      <x:c r="U1090" s="26" t="n">
        <x:v>636</x:v>
      </x:c>
      <x:c r="V1090" s="26" t="n">
        <x:v>0</x:v>
      </x:c>
      <x:c r="W1090" s="26" t="n">
        <x:v>0</x:v>
      </x:c>
      <x:c r="X1090" s="26" t="n">
        <x:v>0</x:v>
      </x:c>
      <x:c r="Y1090" s="26" t="n">
        <x:v>0</x:v>
      </x:c>
      <x:c r="Z1090" s="35" t="str">
        <x:v>LN002 scheduled payment</x:v>
      </x:c>
    </x:row>
    <x:row r="1091">
      <x:c r="A1091" s="20" t="str">
        <x:v>FIN-01088</x:v>
      </x:c>
      <x:c r="B1091" s="23" t="n">
        <x:v>46407</x:v>
      </x:c>
      <x:c r="C1091" s="23" t="n">
        <x:v>46407</x:v>
      </x:c>
      <x:c r="D1091" s="20" t="str">
        <x:v>LoanPayment</x:v>
      </x:c>
      <x:c r="E1091" s="20" t="str">
        <x:v>Mortgage principal and interest</x:v>
      </x:c>
      <x:c r="F1091" s="20" t="str">
        <x:v>P004</x:v>
      </x:c>
      <x:c r="G1091" s="20" t="str"/>
      <x:c r="H1091" s="20" t="str"/>
      <x:c r="I1091" s="20" t="str">
        <x:v>First QA Mortgage</x:v>
      </x:c>
      <x:c r="J1091" s="35" t="str">
        <x:v>Recurring loan payment + scanned statement</x:v>
      </x:c>
      <x:c r="K1091" s="20" t="str">
        <x:v>SCN-0451</x:v>
      </x:c>
      <x:c r="L1091" s="20" t="str">
        <x:v>LN004-202701</x:v>
      </x:c>
      <x:c r="M1091" s="26" t="n">
        <x:v>1126</x:v>
      </x:c>
      <x:c r="N1091" s="26" t="n">
        <x:v>0</x:v>
      </x:c>
      <x:c r="O1091" s="26" t="n">
        <x:v>-1126</x:v>
      </x:c>
      <x:c r="P1091" s="26" t="n">
        <x:v>0</x:v>
      </x:c>
      <x:c r="Q1091" s="26" t="n">
        <x:v>0</x:v>
      </x:c>
      <x:c r="R1091" s="26" t="n">
        <x:v>0</x:v>
      </x:c>
      <x:c r="S1091" s="26" t="n">
        <x:v>-464</x:v>
      </x:c>
      <x:c r="T1091" s="26" t="n">
        <x:v>0</x:v>
      </x:c>
      <x:c r="U1091" s="26" t="n">
        <x:v>662</x:v>
      </x:c>
      <x:c r="V1091" s="26" t="n">
        <x:v>0</x:v>
      </x:c>
      <x:c r="W1091" s="26" t="n">
        <x:v>0</x:v>
      </x:c>
      <x:c r="X1091" s="26" t="n">
        <x:v>0</x:v>
      </x:c>
      <x:c r="Y1091" s="26" t="n">
        <x:v>0</x:v>
      </x:c>
      <x:c r="Z1091" s="35" t="str">
        <x:v>LN004 scheduled payment</x:v>
      </x:c>
    </x:row>
    <x:row r="1092">
      <x:c r="A1092" s="20" t="str">
        <x:v>FIN-01089</x:v>
      </x:c>
      <x:c r="B1092" s="23" t="n">
        <x:v>46407</x:v>
      </x:c>
      <x:c r="C1092" s="23" t="n">
        <x:v>46407</x:v>
      </x:c>
      <x:c r="D1092" s="20" t="str">
        <x:v>LoanPayment</x:v>
      </x:c>
      <x:c r="E1092" s="20" t="str">
        <x:v>Mortgage principal and interest</x:v>
      </x:c>
      <x:c r="F1092" s="20" t="str">
        <x:v>P005</x:v>
      </x:c>
      <x:c r="G1092" s="20" t="str"/>
      <x:c r="H1092" s="20" t="str"/>
      <x:c r="I1092" s="20" t="str">
        <x:v>First QA Mortgage</x:v>
      </x:c>
      <x:c r="J1092" s="35" t="str">
        <x:v>Recurring loan payment + scanned statement</x:v>
      </x:c>
      <x:c r="K1092" s="20" t="str">
        <x:v>SCN-0452</x:v>
      </x:c>
      <x:c r="L1092" s="20" t="str">
        <x:v>LN005-202701</x:v>
      </x:c>
      <x:c r="M1092" s="26" t="n">
        <x:v>1150</x:v>
      </x:c>
      <x:c r="N1092" s="26" t="n">
        <x:v>0</x:v>
      </x:c>
      <x:c r="O1092" s="26" t="n">
        <x:v>-1150</x:v>
      </x:c>
      <x:c r="P1092" s="26" t="n">
        <x:v>0</x:v>
      </x:c>
      <x:c r="Q1092" s="26" t="n">
        <x:v>0</x:v>
      </x:c>
      <x:c r="R1092" s="26" t="n">
        <x:v>0</x:v>
      </x:c>
      <x:c r="S1092" s="26" t="n">
        <x:v>-475</x:v>
      </x:c>
      <x:c r="T1092" s="26" t="n">
        <x:v>0</x:v>
      </x:c>
      <x:c r="U1092" s="26" t="n">
        <x:v>675</x:v>
      </x:c>
      <x:c r="V1092" s="26" t="n">
        <x:v>0</x:v>
      </x:c>
      <x:c r="W1092" s="26" t="n">
        <x:v>0</x:v>
      </x:c>
      <x:c r="X1092" s="26" t="n">
        <x:v>0</x:v>
      </x:c>
      <x:c r="Y1092" s="26" t="n">
        <x:v>0</x:v>
      </x:c>
      <x:c r="Z1092" s="35" t="str">
        <x:v>LN005 scheduled payment</x:v>
      </x:c>
    </x:row>
    <x:row r="1093">
      <x:c r="A1093" s="20" t="str">
        <x:v>FIN-01090</x:v>
      </x:c>
      <x:c r="B1093" s="23" t="n">
        <x:v>46407</x:v>
      </x:c>
      <x:c r="C1093" s="23" t="n">
        <x:v>46407</x:v>
      </x:c>
      <x:c r="D1093" s="20" t="str">
        <x:v>LoanPayment</x:v>
      </x:c>
      <x:c r="E1093" s="20" t="str">
        <x:v>Mortgage principal and interest</x:v>
      </x:c>
      <x:c r="F1093" s="20" t="str">
        <x:v>P007</x:v>
      </x:c>
      <x:c r="G1093" s="20" t="str"/>
      <x:c r="H1093" s="20" t="str"/>
      <x:c r="I1093" s="20" t="str">
        <x:v>First QA Mortgage</x:v>
      </x:c>
      <x:c r="J1093" s="35" t="str">
        <x:v>Recurring loan payment + scanned statement</x:v>
      </x:c>
      <x:c r="K1093" s="20" t="str">
        <x:v>SCN-0453</x:v>
      </x:c>
      <x:c r="L1093" s="20" t="str">
        <x:v>LN007-202701</x:v>
      </x:c>
      <x:c r="M1093" s="26" t="n">
        <x:v>1198</x:v>
      </x:c>
      <x:c r="N1093" s="26" t="n">
        <x:v>0</x:v>
      </x:c>
      <x:c r="O1093" s="26" t="n">
        <x:v>-1198</x:v>
      </x:c>
      <x:c r="P1093" s="26" t="n">
        <x:v>0</x:v>
      </x:c>
      <x:c r="Q1093" s="26" t="n">
        <x:v>0</x:v>
      </x:c>
      <x:c r="R1093" s="26" t="n">
        <x:v>0</x:v>
      </x:c>
      <x:c r="S1093" s="26" t="n">
        <x:v>-497</x:v>
      </x:c>
      <x:c r="T1093" s="26" t="n">
        <x:v>0</x:v>
      </x:c>
      <x:c r="U1093" s="26" t="n">
        <x:v>701</x:v>
      </x:c>
      <x:c r="V1093" s="26" t="n">
        <x:v>0</x:v>
      </x:c>
      <x:c r="W1093" s="26" t="n">
        <x:v>0</x:v>
      </x:c>
      <x:c r="X1093" s="26" t="n">
        <x:v>0</x:v>
      </x:c>
      <x:c r="Y1093" s="26" t="n">
        <x:v>0</x:v>
      </x:c>
      <x:c r="Z1093" s="35" t="str">
        <x:v>LN007 scheduled payment</x:v>
      </x:c>
    </x:row>
    <x:row r="1094">
      <x:c r="A1094" s="20" t="str">
        <x:v>FIN-01091</x:v>
      </x:c>
      <x:c r="B1094" s="23" t="n">
        <x:v>46407</x:v>
      </x:c>
      <x:c r="C1094" s="23" t="n">
        <x:v>46407</x:v>
      </x:c>
      <x:c r="D1094" s="20" t="str">
        <x:v>LoanPayment</x:v>
      </x:c>
      <x:c r="E1094" s="20" t="str">
        <x:v>Mortgage principal and interest</x:v>
      </x:c>
      <x:c r="F1094" s="20" t="str">
        <x:v>P008</x:v>
      </x:c>
      <x:c r="G1094" s="20" t="str"/>
      <x:c r="H1094" s="20" t="str"/>
      <x:c r="I1094" s="20" t="str">
        <x:v>First QA Mortgage</x:v>
      </x:c>
      <x:c r="J1094" s="35" t="str">
        <x:v>Recurring loan payment + scanned statement</x:v>
      </x:c>
      <x:c r="K1094" s="20" t="str">
        <x:v>SCN-0454</x:v>
      </x:c>
      <x:c r="L1094" s="20" t="str">
        <x:v>LN008-202701</x:v>
      </x:c>
      <x:c r="M1094" s="26" t="n">
        <x:v>1222</x:v>
      </x:c>
      <x:c r="N1094" s="26" t="n">
        <x:v>0</x:v>
      </x:c>
      <x:c r="O1094" s="26" t="n">
        <x:v>-1222</x:v>
      </x:c>
      <x:c r="P1094" s="26" t="n">
        <x:v>0</x:v>
      </x:c>
      <x:c r="Q1094" s="26" t="n">
        <x:v>0</x:v>
      </x:c>
      <x:c r="R1094" s="26" t="n">
        <x:v>0</x:v>
      </x:c>
      <x:c r="S1094" s="26" t="n">
        <x:v>-508</x:v>
      </x:c>
      <x:c r="T1094" s="26" t="n">
        <x:v>0</x:v>
      </x:c>
      <x:c r="U1094" s="26" t="n">
        <x:v>714</x:v>
      </x:c>
      <x:c r="V1094" s="26" t="n">
        <x:v>0</x:v>
      </x:c>
      <x:c r="W1094" s="26" t="n">
        <x:v>0</x:v>
      </x:c>
      <x:c r="X1094" s="26" t="n">
        <x:v>0</x:v>
      </x:c>
      <x:c r="Y1094" s="26" t="n">
        <x:v>0</x:v>
      </x:c>
      <x:c r="Z1094" s="35" t="str">
        <x:v>LN008 scheduled payment</x:v>
      </x:c>
    </x:row>
    <x:row r="1095">
      <x:c r="A1095" s="20" t="str">
        <x:v>FIN-01092</x:v>
      </x:c>
      <x:c r="B1095" s="23" t="n">
        <x:v>46407</x:v>
      </x:c>
      <x:c r="C1095" s="23" t="n">
        <x:v>46407</x:v>
      </x:c>
      <x:c r="D1095" s="20" t="str">
        <x:v>LoanPayment</x:v>
      </x:c>
      <x:c r="E1095" s="20" t="str">
        <x:v>Mortgage principal and interest</x:v>
      </x:c>
      <x:c r="F1095" s="20" t="str">
        <x:v>P010</x:v>
      </x:c>
      <x:c r="G1095" s="20" t="str"/>
      <x:c r="H1095" s="20" t="str"/>
      <x:c r="I1095" s="20" t="str">
        <x:v>First QA Mortgage</x:v>
      </x:c>
      <x:c r="J1095" s="35" t="str">
        <x:v>Recurring loan payment + scanned statement</x:v>
      </x:c>
      <x:c r="K1095" s="20" t="str">
        <x:v>SCN-0455</x:v>
      </x:c>
      <x:c r="L1095" s="20" t="str">
        <x:v>LN010-202701</x:v>
      </x:c>
      <x:c r="M1095" s="26" t="n">
        <x:v>1270</x:v>
      </x:c>
      <x:c r="N1095" s="26" t="n">
        <x:v>0</x:v>
      </x:c>
      <x:c r="O1095" s="26" t="n">
        <x:v>-1270</x:v>
      </x:c>
      <x:c r="P1095" s="26" t="n">
        <x:v>0</x:v>
      </x:c>
      <x:c r="Q1095" s="26" t="n">
        <x:v>0</x:v>
      </x:c>
      <x:c r="R1095" s="26" t="n">
        <x:v>0</x:v>
      </x:c>
      <x:c r="S1095" s="26" t="n">
        <x:v>-530</x:v>
      </x:c>
      <x:c r="T1095" s="26" t="n">
        <x:v>0</x:v>
      </x:c>
      <x:c r="U1095" s="26" t="n">
        <x:v>740</x:v>
      </x:c>
      <x:c r="V1095" s="26" t="n">
        <x:v>0</x:v>
      </x:c>
      <x:c r="W1095" s="26" t="n">
        <x:v>0</x:v>
      </x:c>
      <x:c r="X1095" s="26" t="n">
        <x:v>0</x:v>
      </x:c>
      <x:c r="Y1095" s="26" t="n">
        <x:v>0</x:v>
      </x:c>
      <x:c r="Z1095" s="35" t="str">
        <x:v>LN010 scheduled payment</x:v>
      </x:c>
    </x:row>
    <x:row r="1096">
      <x:c r="A1096" s="20" t="str">
        <x:v>FIN-01093</x:v>
      </x:c>
      <x:c r="B1096" s="23" t="n">
        <x:v>46407</x:v>
      </x:c>
      <x:c r="C1096" s="23" t="n">
        <x:v>46407</x:v>
      </x:c>
      <x:c r="D1096" s="20" t="str">
        <x:v>LoanPayment</x:v>
      </x:c>
      <x:c r="E1096" s="20" t="str">
        <x:v>Mortgage principal and interest</x:v>
      </x:c>
      <x:c r="F1096" s="20" t="str">
        <x:v>P011</x:v>
      </x:c>
      <x:c r="G1096" s="20" t="str"/>
      <x:c r="H1096" s="20" t="str"/>
      <x:c r="I1096" s="20" t="str">
        <x:v>First QA Mortgage</x:v>
      </x:c>
      <x:c r="J1096" s="35" t="str">
        <x:v>Recurring loan payment + scanned statement</x:v>
      </x:c>
      <x:c r="K1096" s="20" t="str">
        <x:v>SCN-0456</x:v>
      </x:c>
      <x:c r="L1096" s="20" t="str">
        <x:v>LN011-202701</x:v>
      </x:c>
      <x:c r="M1096" s="26" t="n">
        <x:v>1294</x:v>
      </x:c>
      <x:c r="N1096" s="26" t="n">
        <x:v>0</x:v>
      </x:c>
      <x:c r="O1096" s="26" t="n">
        <x:v>-1294</x:v>
      </x:c>
      <x:c r="P1096" s="26" t="n">
        <x:v>0</x:v>
      </x:c>
      <x:c r="Q1096" s="26" t="n">
        <x:v>0</x:v>
      </x:c>
      <x:c r="R1096" s="26" t="n">
        <x:v>0</x:v>
      </x:c>
      <x:c r="S1096" s="26" t="n">
        <x:v>-541</x:v>
      </x:c>
      <x:c r="T1096" s="26" t="n">
        <x:v>0</x:v>
      </x:c>
      <x:c r="U1096" s="26" t="n">
        <x:v>753</x:v>
      </x:c>
      <x:c r="V1096" s="26" t="n">
        <x:v>0</x:v>
      </x:c>
      <x:c r="W1096" s="26" t="n">
        <x:v>0</x:v>
      </x:c>
      <x:c r="X1096" s="26" t="n">
        <x:v>0</x:v>
      </x:c>
      <x:c r="Y1096" s="26" t="n">
        <x:v>0</x:v>
      </x:c>
      <x:c r="Z1096" s="35" t="str">
        <x:v>LN011 scheduled payment</x:v>
      </x:c>
    </x:row>
    <x:row r="1097">
      <x:c r="A1097" s="20" t="str">
        <x:v>FIN-01094</x:v>
      </x:c>
      <x:c r="B1097" s="23" t="n">
        <x:v>46407</x:v>
      </x:c>
      <x:c r="C1097" s="23" t="n">
        <x:v>46407</x:v>
      </x:c>
      <x:c r="D1097" s="20" t="str">
        <x:v>LoanPayment</x:v>
      </x:c>
      <x:c r="E1097" s="20" t="str">
        <x:v>Mortgage principal and interest</x:v>
      </x:c>
      <x:c r="F1097" s="20" t="str">
        <x:v>P013</x:v>
      </x:c>
      <x:c r="G1097" s="20" t="str"/>
      <x:c r="H1097" s="20" t="str"/>
      <x:c r="I1097" s="20" t="str">
        <x:v>First QA Mortgage</x:v>
      </x:c>
      <x:c r="J1097" s="35" t="str">
        <x:v>Recurring loan payment + scanned statement</x:v>
      </x:c>
      <x:c r="K1097" s="20" t="str">
        <x:v>SCN-0457</x:v>
      </x:c>
      <x:c r="L1097" s="20" t="str">
        <x:v>LN013-202701</x:v>
      </x:c>
      <x:c r="M1097" s="26" t="n">
        <x:v>1342</x:v>
      </x:c>
      <x:c r="N1097" s="26" t="n">
        <x:v>0</x:v>
      </x:c>
      <x:c r="O1097" s="26" t="n">
        <x:v>-1342</x:v>
      </x:c>
      <x:c r="P1097" s="26" t="n">
        <x:v>0</x:v>
      </x:c>
      <x:c r="Q1097" s="26" t="n">
        <x:v>0</x:v>
      </x:c>
      <x:c r="R1097" s="26" t="n">
        <x:v>0</x:v>
      </x:c>
      <x:c r="S1097" s="26" t="n">
        <x:v>-563</x:v>
      </x:c>
      <x:c r="T1097" s="26" t="n">
        <x:v>0</x:v>
      </x:c>
      <x:c r="U1097" s="26" t="n">
        <x:v>779</x:v>
      </x:c>
      <x:c r="V1097" s="26" t="n">
        <x:v>0</x:v>
      </x:c>
      <x:c r="W1097" s="26" t="n">
        <x:v>0</x:v>
      </x:c>
      <x:c r="X1097" s="26" t="n">
        <x:v>0</x:v>
      </x:c>
      <x:c r="Y1097" s="26" t="n">
        <x:v>0</x:v>
      </x:c>
      <x:c r="Z1097" s="35" t="str">
        <x:v>LN013 scheduled payment</x:v>
      </x:c>
    </x:row>
    <x:row r="1098">
      <x:c r="A1098" s="20" t="str">
        <x:v>FIN-01095</x:v>
      </x:c>
      <x:c r="B1098" s="23" t="n">
        <x:v>46407</x:v>
      </x:c>
      <x:c r="C1098" s="23" t="n">
        <x:v>46407</x:v>
      </x:c>
      <x:c r="D1098" s="20" t="str">
        <x:v>LoanPayment</x:v>
      </x:c>
      <x:c r="E1098" s="20" t="str">
        <x:v>Mortgage principal and interest</x:v>
      </x:c>
      <x:c r="F1098" s="20" t="str">
        <x:v>P014</x:v>
      </x:c>
      <x:c r="G1098" s="20" t="str"/>
      <x:c r="H1098" s="20" t="str"/>
      <x:c r="I1098" s="20" t="str">
        <x:v>First QA Mortgage</x:v>
      </x:c>
      <x:c r="J1098" s="35" t="str">
        <x:v>Recurring loan payment + scanned statement</x:v>
      </x:c>
      <x:c r="K1098" s="20" t="str">
        <x:v>SCN-0458</x:v>
      </x:c>
      <x:c r="L1098" s="20" t="str">
        <x:v>LN014-202701</x:v>
      </x:c>
      <x:c r="M1098" s="26" t="n">
        <x:v>1366</x:v>
      </x:c>
      <x:c r="N1098" s="26" t="n">
        <x:v>0</x:v>
      </x:c>
      <x:c r="O1098" s="26" t="n">
        <x:v>-1366</x:v>
      </x:c>
      <x:c r="P1098" s="26" t="n">
        <x:v>0</x:v>
      </x:c>
      <x:c r="Q1098" s="26" t="n">
        <x:v>0</x:v>
      </x:c>
      <x:c r="R1098" s="26" t="n">
        <x:v>0</x:v>
      </x:c>
      <x:c r="S1098" s="26" t="n">
        <x:v>-574</x:v>
      </x:c>
      <x:c r="T1098" s="26" t="n">
        <x:v>0</x:v>
      </x:c>
      <x:c r="U1098" s="26" t="n">
        <x:v>792</x:v>
      </x:c>
      <x:c r="V1098" s="26" t="n">
        <x:v>0</x:v>
      </x:c>
      <x:c r="W1098" s="26" t="n">
        <x:v>0</x:v>
      </x:c>
      <x:c r="X1098" s="26" t="n">
        <x:v>0</x:v>
      </x:c>
      <x:c r="Y1098" s="26" t="n">
        <x:v>0</x:v>
      </x:c>
      <x:c r="Z1098" s="35" t="str">
        <x:v>LN014 scheduled payment</x:v>
      </x:c>
    </x:row>
    <x:row r="1099">
      <x:c r="A1099" s="20" t="str">
        <x:v>FIN-01096</x:v>
      </x:c>
      <x:c r="B1099" s="23" t="n">
        <x:v>46407</x:v>
      </x:c>
      <x:c r="C1099" s="23" t="n">
        <x:v>46407</x:v>
      </x:c>
      <x:c r="D1099" s="20" t="str">
        <x:v>LoanPayment</x:v>
      </x:c>
      <x:c r="E1099" s="20" t="str">
        <x:v>Mortgage principal and interest</x:v>
      </x:c>
      <x:c r="F1099" s="20" t="str">
        <x:v>P016</x:v>
      </x:c>
      <x:c r="G1099" s="20" t="str"/>
      <x:c r="H1099" s="20" t="str"/>
      <x:c r="I1099" s="20" t="str">
        <x:v>First QA Mortgage</x:v>
      </x:c>
      <x:c r="J1099" s="35" t="str">
        <x:v>Recurring loan payment + scanned statement</x:v>
      </x:c>
      <x:c r="K1099" s="20" t="str">
        <x:v>SCN-0459</x:v>
      </x:c>
      <x:c r="L1099" s="20" t="str">
        <x:v>LN016-202701</x:v>
      </x:c>
      <x:c r="M1099" s="26" t="n">
        <x:v>1414</x:v>
      </x:c>
      <x:c r="N1099" s="26" t="n">
        <x:v>0</x:v>
      </x:c>
      <x:c r="O1099" s="26" t="n">
        <x:v>-1414</x:v>
      </x:c>
      <x:c r="P1099" s="26" t="n">
        <x:v>0</x:v>
      </x:c>
      <x:c r="Q1099" s="26" t="n">
        <x:v>0</x:v>
      </x:c>
      <x:c r="R1099" s="26" t="n">
        <x:v>0</x:v>
      </x:c>
      <x:c r="S1099" s="26" t="n">
        <x:v>-596</x:v>
      </x:c>
      <x:c r="T1099" s="26" t="n">
        <x:v>0</x:v>
      </x:c>
      <x:c r="U1099" s="26" t="n">
        <x:v>818</x:v>
      </x:c>
      <x:c r="V1099" s="26" t="n">
        <x:v>0</x:v>
      </x:c>
      <x:c r="W1099" s="26" t="n">
        <x:v>0</x:v>
      </x:c>
      <x:c r="X1099" s="26" t="n">
        <x:v>0</x:v>
      </x:c>
      <x:c r="Y1099" s="26" t="n">
        <x:v>0</x:v>
      </x:c>
      <x:c r="Z1099" s="35" t="str">
        <x:v>LN016 scheduled payment</x:v>
      </x:c>
    </x:row>
    <x:row r="1100">
      <x:c r="A1100" s="20" t="str">
        <x:v>FIN-01097</x:v>
      </x:c>
      <x:c r="B1100" s="23" t="n">
        <x:v>46407</x:v>
      </x:c>
      <x:c r="C1100" s="23" t="n">
        <x:v>46407</x:v>
      </x:c>
      <x:c r="D1100" s="20" t="str">
        <x:v>LoanPayment</x:v>
      </x:c>
      <x:c r="E1100" s="20" t="str">
        <x:v>Mortgage principal and interest</x:v>
      </x:c>
      <x:c r="F1100" s="20" t="str">
        <x:v>P017</x:v>
      </x:c>
      <x:c r="G1100" s="20" t="str"/>
      <x:c r="H1100" s="20" t="str"/>
      <x:c r="I1100" s="20" t="str">
        <x:v>First QA Mortgage</x:v>
      </x:c>
      <x:c r="J1100" s="35" t="str">
        <x:v>Recurring loan payment + scanned statement</x:v>
      </x:c>
      <x:c r="K1100" s="20" t="str">
        <x:v>SCN-0460</x:v>
      </x:c>
      <x:c r="L1100" s="20" t="str">
        <x:v>LN017-202701</x:v>
      </x:c>
      <x:c r="M1100" s="26" t="n">
        <x:v>1438</x:v>
      </x:c>
      <x:c r="N1100" s="26" t="n">
        <x:v>0</x:v>
      </x:c>
      <x:c r="O1100" s="26" t="n">
        <x:v>-1438</x:v>
      </x:c>
      <x:c r="P1100" s="26" t="n">
        <x:v>0</x:v>
      </x:c>
      <x:c r="Q1100" s="26" t="n">
        <x:v>0</x:v>
      </x:c>
      <x:c r="R1100" s="26" t="n">
        <x:v>0</x:v>
      </x:c>
      <x:c r="S1100" s="26" t="n">
        <x:v>-607</x:v>
      </x:c>
      <x:c r="T1100" s="26" t="n">
        <x:v>0</x:v>
      </x:c>
      <x:c r="U1100" s="26" t="n">
        <x:v>831</x:v>
      </x:c>
      <x:c r="V1100" s="26" t="n">
        <x:v>0</x:v>
      </x:c>
      <x:c r="W1100" s="26" t="n">
        <x:v>0</x:v>
      </x:c>
      <x:c r="X1100" s="26" t="n">
        <x:v>0</x:v>
      </x:c>
      <x:c r="Y1100" s="26" t="n">
        <x:v>0</x:v>
      </x:c>
      <x:c r="Z1100" s="35" t="str">
        <x:v>LN017 scheduled payment</x:v>
      </x:c>
    </x:row>
    <x:row r="1101">
      <x:c r="A1101" s="20" t="str">
        <x:v>FIN-01098</x:v>
      </x:c>
      <x:c r="B1101" s="23" t="n">
        <x:v>46407</x:v>
      </x:c>
      <x:c r="C1101" s="23" t="n">
        <x:v>46407</x:v>
      </x:c>
      <x:c r="D1101" s="20" t="str">
        <x:v>LoanPayment</x:v>
      </x:c>
      <x:c r="E1101" s="20" t="str">
        <x:v>Mortgage principal and interest</x:v>
      </x:c>
      <x:c r="F1101" s="20" t="str">
        <x:v>P019</x:v>
      </x:c>
      <x:c r="G1101" s="20" t="str"/>
      <x:c r="H1101" s="20" t="str"/>
      <x:c r="I1101" s="20" t="str">
        <x:v>First QA Mortgage</x:v>
      </x:c>
      <x:c r="J1101" s="35" t="str">
        <x:v>Recurring loan payment + scanned statement</x:v>
      </x:c>
      <x:c r="K1101" s="20" t="str">
        <x:v>SCN-0461</x:v>
      </x:c>
      <x:c r="L1101" s="20" t="str">
        <x:v>LN019-202701</x:v>
      </x:c>
      <x:c r="M1101" s="26" t="n">
        <x:v>1486</x:v>
      </x:c>
      <x:c r="N1101" s="26" t="n">
        <x:v>0</x:v>
      </x:c>
      <x:c r="O1101" s="26" t="n">
        <x:v>-1486</x:v>
      </x:c>
      <x:c r="P1101" s="26" t="n">
        <x:v>0</x:v>
      </x:c>
      <x:c r="Q1101" s="26" t="n">
        <x:v>0</x:v>
      </x:c>
      <x:c r="R1101" s="26" t="n">
        <x:v>0</x:v>
      </x:c>
      <x:c r="S1101" s="26" t="n">
        <x:v>-629</x:v>
      </x:c>
      <x:c r="T1101" s="26" t="n">
        <x:v>0</x:v>
      </x:c>
      <x:c r="U1101" s="26" t="n">
        <x:v>857</x:v>
      </x:c>
      <x:c r="V1101" s="26" t="n">
        <x:v>0</x:v>
      </x:c>
      <x:c r="W1101" s="26" t="n">
        <x:v>0</x:v>
      </x:c>
      <x:c r="X1101" s="26" t="n">
        <x:v>0</x:v>
      </x:c>
      <x:c r="Y1101" s="26" t="n">
        <x:v>0</x:v>
      </x:c>
      <x:c r="Z1101" s="35" t="str">
        <x:v>LN019 scheduled payment</x:v>
      </x:c>
    </x:row>
    <x:row r="1102">
      <x:c r="A1102" s="20" t="str">
        <x:v>FIN-01099</x:v>
      </x:c>
      <x:c r="B1102" s="23" t="n">
        <x:v>46407</x:v>
      </x:c>
      <x:c r="C1102" s="23" t="n">
        <x:v>46407</x:v>
      </x:c>
      <x:c r="D1102" s="20" t="str">
        <x:v>LoanPayment</x:v>
      </x:c>
      <x:c r="E1102" s="20" t="str">
        <x:v>Mortgage principal and interest</x:v>
      </x:c>
      <x:c r="F1102" s="20" t="str">
        <x:v>P020</x:v>
      </x:c>
      <x:c r="G1102" s="20" t="str"/>
      <x:c r="H1102" s="20" t="str"/>
      <x:c r="I1102" s="20" t="str">
        <x:v>First QA Mortgage</x:v>
      </x:c>
      <x:c r="J1102" s="35" t="str">
        <x:v>Recurring loan payment + scanned statement</x:v>
      </x:c>
      <x:c r="K1102" s="20" t="str">
        <x:v>SCN-0462</x:v>
      </x:c>
      <x:c r="L1102" s="20" t="str">
        <x:v>LN020-202701</x:v>
      </x:c>
      <x:c r="M1102" s="26" t="n">
        <x:v>1510</x:v>
      </x:c>
      <x:c r="N1102" s="26" t="n">
        <x:v>0</x:v>
      </x:c>
      <x:c r="O1102" s="26" t="n">
        <x:v>-1510</x:v>
      </x:c>
      <x:c r="P1102" s="26" t="n">
        <x:v>0</x:v>
      </x:c>
      <x:c r="Q1102" s="26" t="n">
        <x:v>0</x:v>
      </x:c>
      <x:c r="R1102" s="26" t="n">
        <x:v>0</x:v>
      </x:c>
      <x:c r="S1102" s="26" t="n">
        <x:v>-640</x:v>
      </x:c>
      <x:c r="T1102" s="26" t="n">
        <x:v>0</x:v>
      </x:c>
      <x:c r="U1102" s="26" t="n">
        <x:v>870</x:v>
      </x:c>
      <x:c r="V1102" s="26" t="n">
        <x:v>0</x:v>
      </x:c>
      <x:c r="W1102" s="26" t="n">
        <x:v>0</x:v>
      </x:c>
      <x:c r="X1102" s="26" t="n">
        <x:v>0</x:v>
      </x:c>
      <x:c r="Y1102" s="26" t="n">
        <x:v>0</x:v>
      </x:c>
      <x:c r="Z1102" s="35" t="str">
        <x:v>LN020 scheduled payment</x:v>
      </x:c>
    </x:row>
    <x:row r="1103">
      <x:c r="A1103" s="20" t="str">
        <x:v>FIN-01100</x:v>
      </x:c>
      <x:c r="B1103" s="23" t="n">
        <x:v>46407</x:v>
      </x:c>
      <x:c r="C1103" s="23" t="n">
        <x:v>46407</x:v>
      </x:c>
      <x:c r="D1103" s="20" t="str">
        <x:v>LoanPayment</x:v>
      </x:c>
      <x:c r="E1103" s="20" t="str">
        <x:v>Mortgage principal and interest</x:v>
      </x:c>
      <x:c r="F1103" s="20" t="str">
        <x:v>P022</x:v>
      </x:c>
      <x:c r="G1103" s="20" t="str"/>
      <x:c r="H1103" s="20" t="str"/>
      <x:c r="I1103" s="20" t="str">
        <x:v>First QA Mortgage</x:v>
      </x:c>
      <x:c r="J1103" s="35" t="str">
        <x:v>Recurring loan payment + scanned statement</x:v>
      </x:c>
      <x:c r="K1103" s="20" t="str">
        <x:v>SCN-0463</x:v>
      </x:c>
      <x:c r="L1103" s="20" t="str">
        <x:v>LN022-202701</x:v>
      </x:c>
      <x:c r="M1103" s="26" t="n">
        <x:v>1558</x:v>
      </x:c>
      <x:c r="N1103" s="26" t="n">
        <x:v>0</x:v>
      </x:c>
      <x:c r="O1103" s="26" t="n">
        <x:v>-1558</x:v>
      </x:c>
      <x:c r="P1103" s="26" t="n">
        <x:v>0</x:v>
      </x:c>
      <x:c r="Q1103" s="26" t="n">
        <x:v>0</x:v>
      </x:c>
      <x:c r="R1103" s="26" t="n">
        <x:v>0</x:v>
      </x:c>
      <x:c r="S1103" s="26" t="n">
        <x:v>-662</x:v>
      </x:c>
      <x:c r="T1103" s="26" t="n">
        <x:v>0</x:v>
      </x:c>
      <x:c r="U1103" s="26" t="n">
        <x:v>896</x:v>
      </x:c>
      <x:c r="V1103" s="26" t="n">
        <x:v>0</x:v>
      </x:c>
      <x:c r="W1103" s="26" t="n">
        <x:v>0</x:v>
      </x:c>
      <x:c r="X1103" s="26" t="n">
        <x:v>0</x:v>
      </x:c>
      <x:c r="Y1103" s="26" t="n">
        <x:v>0</x:v>
      </x:c>
      <x:c r="Z1103" s="35" t="str">
        <x:v>LN022 scheduled payment</x:v>
      </x:c>
    </x:row>
    <x:row r="1104">
      <x:c r="A1104" s="20" t="str">
        <x:v>FIN-01101</x:v>
      </x:c>
      <x:c r="B1104" s="23" t="n">
        <x:v>46407</x:v>
      </x:c>
      <x:c r="C1104" s="23" t="n">
        <x:v>46407</x:v>
      </x:c>
      <x:c r="D1104" s="20" t="str">
        <x:v>LoanPayment</x:v>
      </x:c>
      <x:c r="E1104" s="20" t="str">
        <x:v>Mortgage principal and interest</x:v>
      </x:c>
      <x:c r="F1104" s="20" t="str">
        <x:v>P023</x:v>
      </x:c>
      <x:c r="G1104" s="20" t="str"/>
      <x:c r="H1104" s="20" t="str"/>
      <x:c r="I1104" s="20" t="str">
        <x:v>First QA Mortgage</x:v>
      </x:c>
      <x:c r="J1104" s="35" t="str">
        <x:v>Recurring loan payment + scanned statement</x:v>
      </x:c>
      <x:c r="K1104" s="20" t="str">
        <x:v>SCN-0464</x:v>
      </x:c>
      <x:c r="L1104" s="20" t="str">
        <x:v>LN023-202701</x:v>
      </x:c>
      <x:c r="M1104" s="26" t="n">
        <x:v>1582</x:v>
      </x:c>
      <x:c r="N1104" s="26" t="n">
        <x:v>0</x:v>
      </x:c>
      <x:c r="O1104" s="26" t="n">
        <x:v>-1582</x:v>
      </x:c>
      <x:c r="P1104" s="26" t="n">
        <x:v>0</x:v>
      </x:c>
      <x:c r="Q1104" s="26" t="n">
        <x:v>0</x:v>
      </x:c>
      <x:c r="R1104" s="26" t="n">
        <x:v>0</x:v>
      </x:c>
      <x:c r="S1104" s="26" t="n">
        <x:v>-673</x:v>
      </x:c>
      <x:c r="T1104" s="26" t="n">
        <x:v>0</x:v>
      </x:c>
      <x:c r="U1104" s="26" t="n">
        <x:v>909</x:v>
      </x:c>
      <x:c r="V1104" s="26" t="n">
        <x:v>0</x:v>
      </x:c>
      <x:c r="W1104" s="26" t="n">
        <x:v>0</x:v>
      </x:c>
      <x:c r="X1104" s="26" t="n">
        <x:v>0</x:v>
      </x:c>
      <x:c r="Y1104" s="26" t="n">
        <x:v>0</x:v>
      </x:c>
      <x:c r="Z1104" s="35" t="str">
        <x:v>LN023 scheduled payment</x:v>
      </x:c>
    </x:row>
    <x:row r="1105">
      <x:c r="A1105" s="20" t="str">
        <x:v>FIN-01102</x:v>
      </x:c>
      <x:c r="B1105" s="23" t="n">
        <x:v>46407</x:v>
      </x:c>
      <x:c r="C1105" s="23" t="n">
        <x:v>46407</x:v>
      </x:c>
      <x:c r="D1105" s="20" t="str">
        <x:v>LoanPayment</x:v>
      </x:c>
      <x:c r="E1105" s="20" t="str">
        <x:v>Mortgage principal and interest</x:v>
      </x:c>
      <x:c r="F1105" s="20" t="str">
        <x:v>P025</x:v>
      </x:c>
      <x:c r="G1105" s="20" t="str"/>
      <x:c r="H1105" s="20" t="str"/>
      <x:c r="I1105" s="20" t="str">
        <x:v>First QA Mortgage</x:v>
      </x:c>
      <x:c r="J1105" s="35" t="str">
        <x:v>Recurring loan payment + scanned statement</x:v>
      </x:c>
      <x:c r="K1105" s="20" t="str">
        <x:v>SCN-0465</x:v>
      </x:c>
      <x:c r="L1105" s="20" t="str">
        <x:v>LN025-202701</x:v>
      </x:c>
      <x:c r="M1105" s="26" t="n">
        <x:v>1630</x:v>
      </x:c>
      <x:c r="N1105" s="26" t="n">
        <x:v>0</x:v>
      </x:c>
      <x:c r="O1105" s="26" t="n">
        <x:v>-1630</x:v>
      </x:c>
      <x:c r="P1105" s="26" t="n">
        <x:v>0</x:v>
      </x:c>
      <x:c r="Q1105" s="26" t="n">
        <x:v>0</x:v>
      </x:c>
      <x:c r="R1105" s="26" t="n">
        <x:v>0</x:v>
      </x:c>
      <x:c r="S1105" s="26" t="n">
        <x:v>-695</x:v>
      </x:c>
      <x:c r="T1105" s="26" t="n">
        <x:v>0</x:v>
      </x:c>
      <x:c r="U1105" s="26" t="n">
        <x:v>935</x:v>
      </x:c>
      <x:c r="V1105" s="26" t="n">
        <x:v>0</x:v>
      </x:c>
      <x:c r="W1105" s="26" t="n">
        <x:v>0</x:v>
      </x:c>
      <x:c r="X1105" s="26" t="n">
        <x:v>0</x:v>
      </x:c>
      <x:c r="Y1105" s="26" t="n">
        <x:v>0</x:v>
      </x:c>
      <x:c r="Z1105" s="35" t="str">
        <x:v>LN025 scheduled payment</x:v>
      </x:c>
    </x:row>
    <x:row r="1106">
      <x:c r="A1106" s="20" t="str">
        <x:v>FIN-01103</x:v>
      </x:c>
      <x:c r="B1106" s="23" t="n">
        <x:v>46407</x:v>
      </x:c>
      <x:c r="C1106" s="23" t="n">
        <x:v>46407</x:v>
      </x:c>
      <x:c r="D1106" s="20" t="str">
        <x:v>LoanPayment</x:v>
      </x:c>
      <x:c r="E1106" s="20" t="str">
        <x:v>Mortgage principal and interest</x:v>
      </x:c>
      <x:c r="F1106" s="20" t="str">
        <x:v>P026</x:v>
      </x:c>
      <x:c r="G1106" s="20" t="str"/>
      <x:c r="H1106" s="20" t="str"/>
      <x:c r="I1106" s="20" t="str">
        <x:v>First QA Mortgage</x:v>
      </x:c>
      <x:c r="J1106" s="35" t="str">
        <x:v>Recurring loan payment + scanned statement</x:v>
      </x:c>
      <x:c r="K1106" s="20" t="str">
        <x:v>SCN-0466</x:v>
      </x:c>
      <x:c r="L1106" s="20" t="str">
        <x:v>LN026-202701</x:v>
      </x:c>
      <x:c r="M1106" s="26" t="n">
        <x:v>1654</x:v>
      </x:c>
      <x:c r="N1106" s="26" t="n">
        <x:v>0</x:v>
      </x:c>
      <x:c r="O1106" s="26" t="n">
        <x:v>-1654</x:v>
      </x:c>
      <x:c r="P1106" s="26" t="n">
        <x:v>0</x:v>
      </x:c>
      <x:c r="Q1106" s="26" t="n">
        <x:v>0</x:v>
      </x:c>
      <x:c r="R1106" s="26" t="n">
        <x:v>0</x:v>
      </x:c>
      <x:c r="S1106" s="26" t="n">
        <x:v>-706</x:v>
      </x:c>
      <x:c r="T1106" s="26" t="n">
        <x:v>0</x:v>
      </x:c>
      <x:c r="U1106" s="26" t="n">
        <x:v>948</x:v>
      </x:c>
      <x:c r="V1106" s="26" t="n">
        <x:v>0</x:v>
      </x:c>
      <x:c r="W1106" s="26" t="n">
        <x:v>0</x:v>
      </x:c>
      <x:c r="X1106" s="26" t="n">
        <x:v>0</x:v>
      </x:c>
      <x:c r="Y1106" s="26" t="n">
        <x:v>0</x:v>
      </x:c>
      <x:c r="Z1106" s="35" t="str">
        <x:v>LN026 scheduled payment</x:v>
      </x:c>
    </x:row>
    <x:row r="1107">
      <x:c r="A1107" s="20" t="str">
        <x:v>FIN-01104</x:v>
      </x:c>
      <x:c r="B1107" s="23" t="n">
        <x:v>46407</x:v>
      </x:c>
      <x:c r="C1107" s="23" t="n">
        <x:v>46407</x:v>
      </x:c>
      <x:c r="D1107" s="20" t="str">
        <x:v>LoanPayment</x:v>
      </x:c>
      <x:c r="E1107" s="20" t="str">
        <x:v>Mortgage principal and interest</x:v>
      </x:c>
      <x:c r="F1107" s="20" t="str">
        <x:v>P028</x:v>
      </x:c>
      <x:c r="G1107" s="20" t="str"/>
      <x:c r="H1107" s="20" t="str"/>
      <x:c r="I1107" s="20" t="str">
        <x:v>First QA Mortgage</x:v>
      </x:c>
      <x:c r="J1107" s="35" t="str">
        <x:v>Recurring loan payment + scanned statement</x:v>
      </x:c>
      <x:c r="K1107" s="20" t="str">
        <x:v>SCN-0467</x:v>
      </x:c>
      <x:c r="L1107" s="20" t="str">
        <x:v>LN028-202701</x:v>
      </x:c>
      <x:c r="M1107" s="26" t="n">
        <x:v>1702</x:v>
      </x:c>
      <x:c r="N1107" s="26" t="n">
        <x:v>0</x:v>
      </x:c>
      <x:c r="O1107" s="26" t="n">
        <x:v>-1702</x:v>
      </x:c>
      <x:c r="P1107" s="26" t="n">
        <x:v>0</x:v>
      </x:c>
      <x:c r="Q1107" s="26" t="n">
        <x:v>0</x:v>
      </x:c>
      <x:c r="R1107" s="26" t="n">
        <x:v>0</x:v>
      </x:c>
      <x:c r="S1107" s="26" t="n">
        <x:v>-728</x:v>
      </x:c>
      <x:c r="T1107" s="26" t="n">
        <x:v>0</x:v>
      </x:c>
      <x:c r="U1107" s="26" t="n">
        <x:v>974</x:v>
      </x:c>
      <x:c r="V1107" s="26" t="n">
        <x:v>0</x:v>
      </x:c>
      <x:c r="W1107" s="26" t="n">
        <x:v>0</x:v>
      </x:c>
      <x:c r="X1107" s="26" t="n">
        <x:v>0</x:v>
      </x:c>
      <x:c r="Y1107" s="26" t="n">
        <x:v>0</x:v>
      </x:c>
      <x:c r="Z1107" s="35" t="str">
        <x:v>LN028 scheduled payment</x:v>
      </x:c>
    </x:row>
    <x:row r="1108">
      <x:c r="A1108" s="20" t="str">
        <x:v>FIN-01105</x:v>
      </x:c>
      <x:c r="B1108" s="23" t="n">
        <x:v>46407</x:v>
      </x:c>
      <x:c r="C1108" s="23" t="n">
        <x:v>46407</x:v>
      </x:c>
      <x:c r="D1108" s="20" t="str">
        <x:v>LoanPayment</x:v>
      </x:c>
      <x:c r="E1108" s="20" t="str">
        <x:v>Mortgage principal and interest</x:v>
      </x:c>
      <x:c r="F1108" s="20" t="str">
        <x:v>P029</x:v>
      </x:c>
      <x:c r="G1108" s="20" t="str"/>
      <x:c r="H1108" s="20" t="str"/>
      <x:c r="I1108" s="20" t="str">
        <x:v>First QA Mortgage</x:v>
      </x:c>
      <x:c r="J1108" s="35" t="str">
        <x:v>Recurring loan payment + scanned statement</x:v>
      </x:c>
      <x:c r="K1108" s="20" t="str">
        <x:v>SCN-0468</x:v>
      </x:c>
      <x:c r="L1108" s="20" t="str">
        <x:v>LN029-202701</x:v>
      </x:c>
      <x:c r="M1108" s="26" t="n">
        <x:v>1726</x:v>
      </x:c>
      <x:c r="N1108" s="26" t="n">
        <x:v>0</x:v>
      </x:c>
      <x:c r="O1108" s="26" t="n">
        <x:v>-1726</x:v>
      </x:c>
      <x:c r="P1108" s="26" t="n">
        <x:v>0</x:v>
      </x:c>
      <x:c r="Q1108" s="26" t="n">
        <x:v>0</x:v>
      </x:c>
      <x:c r="R1108" s="26" t="n">
        <x:v>0</x:v>
      </x:c>
      <x:c r="S1108" s="26" t="n">
        <x:v>-739</x:v>
      </x:c>
      <x:c r="T1108" s="26" t="n">
        <x:v>0</x:v>
      </x:c>
      <x:c r="U1108" s="26" t="n">
        <x:v>987</x:v>
      </x:c>
      <x:c r="V1108" s="26" t="n">
        <x:v>0</x:v>
      </x:c>
      <x:c r="W1108" s="26" t="n">
        <x:v>0</x:v>
      </x:c>
      <x:c r="X1108" s="26" t="n">
        <x:v>0</x:v>
      </x:c>
      <x:c r="Y1108" s="26" t="n">
        <x:v>0</x:v>
      </x:c>
      <x:c r="Z1108" s="35" t="str">
        <x:v>LN029 scheduled payment</x:v>
      </x:c>
    </x:row>
    <x:row r="1109">
      <x:c r="A1109" s="20" t="str">
        <x:v>FIN-01106</x:v>
      </x:c>
      <x:c r="B1109" s="23" t="n">
        <x:v>46412</x:v>
      </x:c>
      <x:c r="C1109" s="23" t="n">
        <x:v>46412</x:v>
      </x:c>
      <x:c r="D1109" s="20" t="str">
        <x:v>OwnerDistribution</x:v>
      </x:c>
      <x:c r="E1109" s="20" t="str">
        <x:v>Owner distribution</x:v>
      </x:c>
      <x:c r="F1109" s="20" t="str"/>
      <x:c r="G1109" s="20" t="str"/>
      <x:c r="H1109" s="20" t="str"/>
      <x:c r="I1109" s="20" t="str">
        <x:v>Blue Door Residential LLC</x:v>
      </x:c>
      <x:c r="J1109" s="35" t="str">
        <x:v>Manual approval and bank export</x:v>
      </x:c>
      <x:c r="K1109" s="20" t="str"/>
      <x:c r="L1109" s="20" t="str">
        <x:v>DIST-202701-O01</x:v>
      </x:c>
      <x:c r="M1109" s="26" t="n">
        <x:v>3050</x:v>
      </x:c>
      <x:c r="N1109" s="26" t="n">
        <x:v>0</x:v>
      </x:c>
      <x:c r="O1109" s="26" t="n">
        <x:v>-3050</x:v>
      </x:c>
      <x:c r="P1109" s="26" t="n">
        <x:v>0</x:v>
      </x:c>
      <x:c r="Q1109" s="26" t="n">
        <x:v>0</x:v>
      </x:c>
      <x:c r="R1109" s="26" t="n">
        <x:v>0</x:v>
      </x:c>
      <x:c r="S1109" s="26" t="n">
        <x:v>0</x:v>
      </x:c>
      <x:c r="T1109" s="26" t="n">
        <x:v>0</x:v>
      </x:c>
      <x:c r="U1109" s="26" t="n">
        <x:v>0</x:v>
      </x:c>
      <x:c r="V1109" s="26" t="n">
        <x:v>0</x:v>
      </x:c>
      <x:c r="W1109" s="26" t="n">
        <x:v>3050</x:v>
      </x:c>
      <x:c r="X1109" s="26" t="n">
        <x:v>0</x:v>
      </x:c>
      <x:c r="Y1109" s="26" t="n">
        <x:v>0</x:v>
      </x:c>
      <x:c r="Z1109" s="35" t="str">
        <x:v>Monthly distribution to Blue Door Residential LLC</x:v>
      </x:c>
    </x:row>
    <x:row r="1110">
      <x:c r="A1110" s="20" t="str">
        <x:v>FIN-01107</x:v>
      </x:c>
      <x:c r="B1110" s="23" t="n">
        <x:v>46412</x:v>
      </x:c>
      <x:c r="C1110" s="23" t="n">
        <x:v>46412</x:v>
      </x:c>
      <x:c r="D1110" s="20" t="str">
        <x:v>OwnerDistribution</x:v>
      </x:c>
      <x:c r="E1110" s="20" t="str">
        <x:v>Owner distribution</x:v>
      </x:c>
      <x:c r="F1110" s="20" t="str"/>
      <x:c r="G1110" s="20" t="str"/>
      <x:c r="H1110" s="20" t="str"/>
      <x:c r="I1110" s="20" t="str">
        <x:v>Coble Family Rentals LLC</x:v>
      </x:c>
      <x:c r="J1110" s="35" t="str">
        <x:v>Manual approval and bank export</x:v>
      </x:c>
      <x:c r="K1110" s="20" t="str"/>
      <x:c r="L1110" s="20" t="str">
        <x:v>DIST-202701-O02</x:v>
      </x:c>
      <x:c r="M1110" s="26" t="n">
        <x:v>3400</x:v>
      </x:c>
      <x:c r="N1110" s="26" t="n">
        <x:v>0</x:v>
      </x:c>
      <x:c r="O1110" s="26" t="n">
        <x:v>-3400</x:v>
      </x:c>
      <x:c r="P1110" s="26" t="n">
        <x:v>0</x:v>
      </x:c>
      <x:c r="Q1110" s="26" t="n">
        <x:v>0</x:v>
      </x:c>
      <x:c r="R1110" s="26" t="n">
        <x:v>0</x:v>
      </x:c>
      <x:c r="S1110" s="26" t="n">
        <x:v>0</x:v>
      </x:c>
      <x:c r="T1110" s="26" t="n">
        <x:v>0</x:v>
      </x:c>
      <x:c r="U1110" s="26" t="n">
        <x:v>0</x:v>
      </x:c>
      <x:c r="V1110" s="26" t="n">
        <x:v>0</x:v>
      </x:c>
      <x:c r="W1110" s="26" t="n">
        <x:v>3400</x:v>
      </x:c>
      <x:c r="X1110" s="26" t="n">
        <x:v>0</x:v>
      </x:c>
      <x:c r="Y1110" s="26" t="n">
        <x:v>0</x:v>
      </x:c>
      <x:c r="Z1110" s="35" t="str">
        <x:v>Monthly distribution to Coble Family Rentals LLC</x:v>
      </x:c>
    </x:row>
    <x:row r="1111">
      <x:c r="A1111" s="20" t="str">
        <x:v>FIN-01108</x:v>
      </x:c>
      <x:c r="B1111" s="23" t="n">
        <x:v>46412</x:v>
      </x:c>
      <x:c r="C1111" s="23" t="n">
        <x:v>46412</x:v>
      </x:c>
      <x:c r="D1111" s="20" t="str">
        <x:v>OwnerDistribution</x:v>
      </x:c>
      <x:c r="E1111" s="20" t="str">
        <x:v>Owner distribution</x:v>
      </x:c>
      <x:c r="F1111" s="20" t="str"/>
      <x:c r="G1111" s="20" t="str"/>
      <x:c r="H1111" s="20" t="str"/>
      <x:c r="I1111" s="20" t="str">
        <x:v>Northstar Property Partners LLC</x:v>
      </x:c>
      <x:c r="J1111" s="35" t="str">
        <x:v>Manual approval and bank export</x:v>
      </x:c>
      <x:c r="K1111" s="20" t="str"/>
      <x:c r="L1111" s="20" t="str">
        <x:v>DIST-202701-O03</x:v>
      </x:c>
      <x:c r="M1111" s="26" t="n">
        <x:v>3750</x:v>
      </x:c>
      <x:c r="N1111" s="26" t="n">
        <x:v>0</x:v>
      </x:c>
      <x:c r="O1111" s="26" t="n">
        <x:v>-3750</x:v>
      </x:c>
      <x:c r="P1111" s="26" t="n">
        <x:v>0</x:v>
      </x:c>
      <x:c r="Q1111" s="26" t="n">
        <x:v>0</x:v>
      </x:c>
      <x:c r="R1111" s="26" t="n">
        <x:v>0</x:v>
      </x:c>
      <x:c r="S1111" s="26" t="n">
        <x:v>0</x:v>
      </x:c>
      <x:c r="T1111" s="26" t="n">
        <x:v>0</x:v>
      </x:c>
      <x:c r="U1111" s="26" t="n">
        <x:v>0</x:v>
      </x:c>
      <x:c r="V1111" s="26" t="n">
        <x:v>0</x:v>
      </x:c>
      <x:c r="W1111" s="26" t="n">
        <x:v>3750</x:v>
      </x:c>
      <x:c r="X1111" s="26" t="n">
        <x:v>0</x:v>
      </x:c>
      <x:c r="Y1111" s="26" t="n">
        <x:v>0</x:v>
      </x:c>
      <x:c r="Z1111" s="35" t="str">
        <x:v>Monthly distribution to Northstar Property Partners LLC</x:v>
      </x:c>
    </x:row>
    <x:row r="1112">
      <x:c r="A1112" s="20" t="str">
        <x:v>FIN-01109</x:v>
      </x:c>
      <x:c r="B1112" s="23" t="n">
        <x:v>46412</x:v>
      </x:c>
      <x:c r="C1112" s="23" t="n">
        <x:v>46412</x:v>
      </x:c>
      <x:c r="D1112" s="20" t="str">
        <x:v>OwnerDistribution</x:v>
      </x:c>
      <x:c r="E1112" s="20" t="str">
        <x:v>Owner distribution</x:v>
      </x:c>
      <x:c r="F1112" s="20" t="str"/>
      <x:c r="G1112" s="20" t="str"/>
      <x:c r="H1112" s="20" t="str"/>
      <x:c r="I1112" s="20" t="str">
        <x:v>Riverbend Homes LLC</x:v>
      </x:c>
      <x:c r="J1112" s="35" t="str">
        <x:v>Manual approval and bank export</x:v>
      </x:c>
      <x:c r="K1112" s="20" t="str"/>
      <x:c r="L1112" s="20" t="str">
        <x:v>DIST-202701-O04</x:v>
      </x:c>
      <x:c r="M1112" s="26" t="n">
        <x:v>4100</x:v>
      </x:c>
      <x:c r="N1112" s="26" t="n">
        <x:v>0</x:v>
      </x:c>
      <x:c r="O1112" s="26" t="n">
        <x:v>-4100</x:v>
      </x:c>
      <x:c r="P1112" s="26" t="n">
        <x:v>0</x:v>
      </x:c>
      <x:c r="Q1112" s="26" t="n">
        <x:v>0</x:v>
      </x:c>
      <x:c r="R1112" s="26" t="n">
        <x:v>0</x:v>
      </x:c>
      <x:c r="S1112" s="26" t="n">
        <x:v>0</x:v>
      </x:c>
      <x:c r="T1112" s="26" t="n">
        <x:v>0</x:v>
      </x:c>
      <x:c r="U1112" s="26" t="n">
        <x:v>0</x:v>
      </x:c>
      <x:c r="V1112" s="26" t="n">
        <x:v>0</x:v>
      </x:c>
      <x:c r="W1112" s="26" t="n">
        <x:v>4100</x:v>
      </x:c>
      <x:c r="X1112" s="26" t="n">
        <x:v>0</x:v>
      </x:c>
      <x:c r="Y1112" s="26" t="n">
        <x:v>0</x:v>
      </x:c>
      <x:c r="Z1112" s="35" t="str">
        <x:v>Monthly distribution to Riverbend Homes LLC</x:v>
      </x:c>
    </x:row>
    <x:row r="1113">
      <x:c r="A1113" s="20" t="str">
        <x:v>FIN-01110</x:v>
      </x:c>
      <x:c r="B1113" s="23" t="n">
        <x:v>46412</x:v>
      </x:c>
      <x:c r="C1113" s="23" t="n">
        <x:v>46412</x:v>
      </x:c>
      <x:c r="D1113" s="20" t="str">
        <x:v>OwnerDistribution</x:v>
      </x:c>
      <x:c r="E1113" s="20" t="str">
        <x:v>Owner distribution</x:v>
      </x:c>
      <x:c r="F1113" s="20" t="str"/>
      <x:c r="G1113" s="20" t="str"/>
      <x:c r="H1113" s="20" t="str"/>
      <x:c r="I1113" s="20" t="str">
        <x:v>Juniper Street Holdings LLC</x:v>
      </x:c>
      <x:c r="J1113" s="35" t="str">
        <x:v>Manual approval and bank export</x:v>
      </x:c>
      <x:c r="K1113" s="20" t="str"/>
      <x:c r="L1113" s="20" t="str">
        <x:v>DIST-202701-O05</x:v>
      </x:c>
      <x:c r="M1113" s="26" t="n">
        <x:v>4450</x:v>
      </x:c>
      <x:c r="N1113" s="26" t="n">
        <x:v>0</x:v>
      </x:c>
      <x:c r="O1113" s="26" t="n">
        <x:v>-4450</x:v>
      </x:c>
      <x:c r="P1113" s="26" t="n">
        <x:v>0</x:v>
      </x:c>
      <x:c r="Q1113" s="26" t="n">
        <x:v>0</x:v>
      </x:c>
      <x:c r="R1113" s="26" t="n">
        <x:v>0</x:v>
      </x:c>
      <x:c r="S1113" s="26" t="n">
        <x:v>0</x:v>
      </x:c>
      <x:c r="T1113" s="26" t="n">
        <x:v>0</x:v>
      </x:c>
      <x:c r="U1113" s="26" t="n">
        <x:v>0</x:v>
      </x:c>
      <x:c r="V1113" s="26" t="n">
        <x:v>0</x:v>
      </x:c>
      <x:c r="W1113" s="26" t="n">
        <x:v>4450</x:v>
      </x:c>
      <x:c r="X1113" s="26" t="n">
        <x:v>0</x:v>
      </x:c>
      <x:c r="Y1113" s="26" t="n">
        <x:v>0</x:v>
      </x:c>
      <x:c r="Z1113" s="35" t="str">
        <x:v>Monthly distribution to Juniper Street Holdings LLC</x:v>
      </x:c>
    </x:row>
    <x:row r="1114">
      <x:c r="A1114" s="20" t="str">
        <x:v>FIN-01111</x:v>
      </x:c>
      <x:c r="B1114" s="23" t="n">
        <x:v>46433</x:v>
      </x:c>
      <x:c r="C1114" s="23" t="n">
        <x:v>46433</x:v>
      </x:c>
      <x:c r="D1114" s="20" t="str">
        <x:v>OperatingExpense</x:v>
      </x:c>
      <x:c r="E1114" s="20" t="str">
        <x:v>Utilities</x:v>
      </x:c>
      <x:c r="F1114" s="20" t="str">
        <x:v>P021</x:v>
      </x:c>
      <x:c r="G1114" s="20" t="str"/>
      <x:c r="H1114" s="20" t="str"/>
      <x:c r="I1114" s="20" t="str">
        <x:v>City Water &amp; Sewer</x:v>
      </x:c>
      <x:c r="J1114" s="35" t="str">
        <x:v>Scanned receipt/invoice</x:v>
      </x:c>
      <x:c r="K1114" s="20" t="str">
        <x:v>SCN-0470</x:v>
      </x:c>
      <x:c r="L1114" s="20" t="str">
        <x:v>EXP-20270215-1041</x:v>
      </x:c>
      <x:c r="M1114" s="26" t="n">
        <x:v>147</x:v>
      </x:c>
      <x:c r="N1114" s="26" t="n">
        <x:v>0</x:v>
      </x:c>
      <x:c r="O1114" s="26" t="n">
        <x:v>-147</x:v>
      </x:c>
      <x:c r="P1114" s="26" t="n">
        <x:v>0</x:v>
      </x:c>
      <x:c r="Q1114" s="26" t="n">
        <x:v>0</x:v>
      </x:c>
      <x:c r="R1114" s="26" t="n">
        <x:v>0</x:v>
      </x:c>
      <x:c r="S1114" s="26" t="n">
        <x:v>0</x:v>
      </x:c>
      <x:c r="T1114" s="26" t="n">
        <x:v>0</x:v>
      </x:c>
      <x:c r="U1114" s="26" t="n">
        <x:v>147</x:v>
      </x:c>
      <x:c r="V1114" s="26" t="n">
        <x:v>0</x:v>
      </x:c>
      <x:c r="W1114" s="26" t="n">
        <x:v>0</x:v>
      </x:c>
      <x:c r="X1114" s="26" t="n">
        <x:v>0</x:v>
      </x:c>
      <x:c r="Y1114" s="26" t="n">
        <x:v>0</x:v>
      </x:c>
      <x:c r="Z1114" s="35" t="str">
        <x:v>City Water &amp; Sewer</x:v>
      </x:c>
    </x:row>
    <x:row r="1115">
      <x:c r="A1115" s="20" t="str">
        <x:v>FIN-01112</x:v>
      </x:c>
      <x:c r="B1115" s="23" t="n">
        <x:v>46433</x:v>
      </x:c>
      <x:c r="C1115" s="23" t="n">
        <x:v>46433</x:v>
      </x:c>
      <x:c r="D1115" s="20" t="str">
        <x:v>OperatingExpense</x:v>
      </x:c>
      <x:c r="E1115" s="20" t="str">
        <x:v>Utilities</x:v>
      </x:c>
      <x:c r="F1115" s="20" t="str">
        <x:v>P022</x:v>
      </x:c>
      <x:c r="G1115" s="20" t="str"/>
      <x:c r="H1115" s="20" t="str"/>
      <x:c r="I1115" s="20" t="str">
        <x:v>City Water &amp; Sewer</x:v>
      </x:c>
      <x:c r="J1115" s="35" t="str">
        <x:v>Scanned receipt/invoice</x:v>
      </x:c>
      <x:c r="K1115" s="20" t="str">
        <x:v>SCN-0471</x:v>
      </x:c>
      <x:c r="L1115" s="20" t="str">
        <x:v>EXP-20270215-1042</x:v>
      </x:c>
      <x:c r="M1115" s="26" t="n">
        <x:v>154</x:v>
      </x:c>
      <x:c r="N1115" s="26" t="n">
        <x:v>0</x:v>
      </x:c>
      <x:c r="O1115" s="26" t="n">
        <x:v>-154</x:v>
      </x:c>
      <x:c r="P1115" s="26" t="n">
        <x:v>0</x:v>
      </x:c>
      <x:c r="Q1115" s="26" t="n">
        <x:v>0</x:v>
      </x:c>
      <x:c r="R1115" s="26" t="n">
        <x:v>0</x:v>
      </x:c>
      <x:c r="S1115" s="26" t="n">
        <x:v>0</x:v>
      </x:c>
      <x:c r="T1115" s="26" t="n">
        <x:v>0</x:v>
      </x:c>
      <x:c r="U1115" s="26" t="n">
        <x:v>154</x:v>
      </x:c>
      <x:c r="V1115" s="26" t="n">
        <x:v>0</x:v>
      </x:c>
      <x:c r="W1115" s="26" t="n">
        <x:v>0</x:v>
      </x:c>
      <x:c r="X1115" s="26" t="n">
        <x:v>0</x:v>
      </x:c>
      <x:c r="Y1115" s="26" t="n">
        <x:v>0</x:v>
      </x:c>
      <x:c r="Z1115" s="35" t="str">
        <x:v>City Water &amp; Sewer</x:v>
      </x:c>
    </x:row>
    <x:row r="1116">
      <x:c r="A1116" s="20" t="str">
        <x:v>FIN-01113</x:v>
      </x:c>
      <x:c r="B1116" s="23" t="n">
        <x:v>46433</x:v>
      </x:c>
      <x:c r="C1116" s="23" t="n">
        <x:v>46433</x:v>
      </x:c>
      <x:c r="D1116" s="20" t="str">
        <x:v>OperatingExpense</x:v>
      </x:c>
      <x:c r="E1116" s="20" t="str">
        <x:v>Utilities</x:v>
      </x:c>
      <x:c r="F1116" s="20" t="str">
        <x:v>P023</x:v>
      </x:c>
      <x:c r="G1116" s="20" t="str"/>
      <x:c r="H1116" s="20" t="str"/>
      <x:c r="I1116" s="20" t="str">
        <x:v>City Water &amp; Sewer</x:v>
      </x:c>
      <x:c r="J1116" s="35" t="str">
        <x:v>Scanned receipt/invoice</x:v>
      </x:c>
      <x:c r="K1116" s="20" t="str">
        <x:v>SCN-0472</x:v>
      </x:c>
      <x:c r="L1116" s="20" t="str">
        <x:v>EXP-20270215-1043</x:v>
      </x:c>
      <x:c r="M1116" s="26" t="n">
        <x:v>161</x:v>
      </x:c>
      <x:c r="N1116" s="26" t="n">
        <x:v>0</x:v>
      </x:c>
      <x:c r="O1116" s="26" t="n">
        <x:v>-161</x:v>
      </x:c>
      <x:c r="P1116" s="26" t="n">
        <x:v>0</x:v>
      </x:c>
      <x:c r="Q1116" s="26" t="n">
        <x:v>0</x:v>
      </x:c>
      <x:c r="R1116" s="26" t="n">
        <x:v>0</x:v>
      </x:c>
      <x:c r="S1116" s="26" t="n">
        <x:v>0</x:v>
      </x:c>
      <x:c r="T1116" s="26" t="n">
        <x:v>0</x:v>
      </x:c>
      <x:c r="U1116" s="26" t="n">
        <x:v>161</x:v>
      </x:c>
      <x:c r="V1116" s="26" t="n">
        <x:v>0</x:v>
      </x:c>
      <x:c r="W1116" s="26" t="n">
        <x:v>0</x:v>
      </x:c>
      <x:c r="X1116" s="26" t="n">
        <x:v>0</x:v>
      </x:c>
      <x:c r="Y1116" s="26" t="n">
        <x:v>0</x:v>
      </x:c>
      <x:c r="Z1116" s="35" t="str">
        <x:v>City Water &amp; Sewer</x:v>
      </x:c>
    </x:row>
    <x:row r="1117">
      <x:c r="A1117" s="20" t="str">
        <x:v>FIN-01114</x:v>
      </x:c>
      <x:c r="B1117" s="23" t="n">
        <x:v>46433</x:v>
      </x:c>
      <x:c r="C1117" s="23" t="n">
        <x:v>46433</x:v>
      </x:c>
      <x:c r="D1117" s="20" t="str">
        <x:v>OperatingExpense</x:v>
      </x:c>
      <x:c r="E1117" s="20" t="str">
        <x:v>Utilities</x:v>
      </x:c>
      <x:c r="F1117" s="20" t="str">
        <x:v>P024</x:v>
      </x:c>
      <x:c r="G1117" s="20" t="str"/>
      <x:c r="H1117" s="20" t="str"/>
      <x:c r="I1117" s="20" t="str">
        <x:v>City Water &amp; Sewer</x:v>
      </x:c>
      <x:c r="J1117" s="35" t="str">
        <x:v>Scanned receipt/invoice</x:v>
      </x:c>
      <x:c r="K1117" s="20" t="str">
        <x:v>SCN-0473</x:v>
      </x:c>
      <x:c r="L1117" s="20" t="str">
        <x:v>EXP-20270215-1044</x:v>
      </x:c>
      <x:c r="M1117" s="26" t="n">
        <x:v>168</x:v>
      </x:c>
      <x:c r="N1117" s="26" t="n">
        <x:v>0</x:v>
      </x:c>
      <x:c r="O1117" s="26" t="n">
        <x:v>-168</x:v>
      </x:c>
      <x:c r="P1117" s="26" t="n">
        <x:v>0</x:v>
      </x:c>
      <x:c r="Q1117" s="26" t="n">
        <x:v>0</x:v>
      </x:c>
      <x:c r="R1117" s="26" t="n">
        <x:v>0</x:v>
      </x:c>
      <x:c r="S1117" s="26" t="n">
        <x:v>0</x:v>
      </x:c>
      <x:c r="T1117" s="26" t="n">
        <x:v>0</x:v>
      </x:c>
      <x:c r="U1117" s="26" t="n">
        <x:v>168</x:v>
      </x:c>
      <x:c r="V1117" s="26" t="n">
        <x:v>0</x:v>
      </x:c>
      <x:c r="W1117" s="26" t="n">
        <x:v>0</x:v>
      </x:c>
      <x:c r="X1117" s="26" t="n">
        <x:v>0</x:v>
      </x:c>
      <x:c r="Y1117" s="26" t="n">
        <x:v>0</x:v>
      </x:c>
      <x:c r="Z1117" s="35" t="str">
        <x:v>City Water &amp; Sewer</x:v>
      </x:c>
    </x:row>
    <x:row r="1118">
      <x:c r="A1118" s="20" t="str">
        <x:v>FIN-01115</x:v>
      </x:c>
      <x:c r="B1118" s="23" t="n">
        <x:v>46433</x:v>
      </x:c>
      <x:c r="C1118" s="23" t="n">
        <x:v>46433</x:v>
      </x:c>
      <x:c r="D1118" s="20" t="str">
        <x:v>OperatingExpense</x:v>
      </x:c>
      <x:c r="E1118" s="20" t="str">
        <x:v>Utilities</x:v>
      </x:c>
      <x:c r="F1118" s="20" t="str">
        <x:v>P025</x:v>
      </x:c>
      <x:c r="G1118" s="20" t="str"/>
      <x:c r="H1118" s="20" t="str"/>
      <x:c r="I1118" s="20" t="str">
        <x:v>City Water &amp; Sewer</x:v>
      </x:c>
      <x:c r="J1118" s="35" t="str">
        <x:v>Manual web form</x:v>
      </x:c>
      <x:c r="K1118" s="20" t="str"/>
      <x:c r="L1118" s="20" t="str">
        <x:v>EXP-20270215-1045</x:v>
      </x:c>
      <x:c r="M1118" s="26" t="n">
        <x:v>175</x:v>
      </x:c>
      <x:c r="N1118" s="26" t="n">
        <x:v>0</x:v>
      </x:c>
      <x:c r="O1118" s="26" t="n">
        <x:v>-175</x:v>
      </x:c>
      <x:c r="P1118" s="26" t="n">
        <x:v>0</x:v>
      </x:c>
      <x:c r="Q1118" s="26" t="n">
        <x:v>0</x:v>
      </x:c>
      <x:c r="R1118" s="26" t="n">
        <x:v>0</x:v>
      </x:c>
      <x:c r="S1118" s="26" t="n">
        <x:v>0</x:v>
      </x:c>
      <x:c r="T1118" s="26" t="n">
        <x:v>0</x:v>
      </x:c>
      <x:c r="U1118" s="26" t="n">
        <x:v>175</x:v>
      </x:c>
      <x:c r="V1118" s="26" t="n">
        <x:v>0</x:v>
      </x:c>
      <x:c r="W1118" s="26" t="n">
        <x:v>0</x:v>
      </x:c>
      <x:c r="X1118" s="26" t="n">
        <x:v>0</x:v>
      </x:c>
      <x:c r="Y1118" s="26" t="n">
        <x:v>0</x:v>
      </x:c>
      <x:c r="Z1118" s="35" t="str">
        <x:v>City Water &amp; Sewer</x:v>
      </x:c>
    </x:row>
    <x:row r="1119">
      <x:c r="A1119" s="20" t="str">
        <x:v>FIN-01116</x:v>
      </x:c>
      <x:c r="B1119" s="23" t="n">
        <x:v>46433</x:v>
      </x:c>
      <x:c r="C1119" s="23" t="n">
        <x:v>46433</x:v>
      </x:c>
      <x:c r="D1119" s="20" t="str">
        <x:v>OperatingExpense</x:v>
      </x:c>
      <x:c r="E1119" s="20" t="str">
        <x:v>Utilities</x:v>
      </x:c>
      <x:c r="F1119" s="20" t="str">
        <x:v>P026</x:v>
      </x:c>
      <x:c r="G1119" s="20" t="str"/>
      <x:c r="H1119" s="20" t="str"/>
      <x:c r="I1119" s="20" t="str">
        <x:v>City Water &amp; Sewer</x:v>
      </x:c>
      <x:c r="J1119" s="35" t="str">
        <x:v>Scanned receipt/invoice</x:v>
      </x:c>
      <x:c r="K1119" s="20" t="str">
        <x:v>SCN-0474</x:v>
      </x:c>
      <x:c r="L1119" s="20" t="str">
        <x:v>EXP-20270215-1046</x:v>
      </x:c>
      <x:c r="M1119" s="26" t="n">
        <x:v>182</x:v>
      </x:c>
      <x:c r="N1119" s="26" t="n">
        <x:v>0</x:v>
      </x:c>
      <x:c r="O1119" s="26" t="n">
        <x:v>-182</x:v>
      </x:c>
      <x:c r="P1119" s="26" t="n">
        <x:v>0</x:v>
      </x:c>
      <x:c r="Q1119" s="26" t="n">
        <x:v>0</x:v>
      </x:c>
      <x:c r="R1119" s="26" t="n">
        <x:v>0</x:v>
      </x:c>
      <x:c r="S1119" s="26" t="n">
        <x:v>0</x:v>
      </x:c>
      <x:c r="T1119" s="26" t="n">
        <x:v>0</x:v>
      </x:c>
      <x:c r="U1119" s="26" t="n">
        <x:v>182</x:v>
      </x:c>
      <x:c r="V1119" s="26" t="n">
        <x:v>0</x:v>
      </x:c>
      <x:c r="W1119" s="26" t="n">
        <x:v>0</x:v>
      </x:c>
      <x:c r="X1119" s="26" t="n">
        <x:v>0</x:v>
      </x:c>
      <x:c r="Y1119" s="26" t="n">
        <x:v>0</x:v>
      </x:c>
      <x:c r="Z1119" s="35" t="str">
        <x:v>City Water &amp; Sewer</x:v>
      </x:c>
    </x:row>
    <x:row r="1120">
      <x:c r="A1120" s="20" t="str">
        <x:v>FIN-01117</x:v>
      </x:c>
      <x:c r="B1120" s="23" t="n">
        <x:v>46433</x:v>
      </x:c>
      <x:c r="C1120" s="23" t="n">
        <x:v>46433</x:v>
      </x:c>
      <x:c r="D1120" s="20" t="str">
        <x:v>OperatingExpense</x:v>
      </x:c>
      <x:c r="E1120" s="20" t="str">
        <x:v>Utilities</x:v>
      </x:c>
      <x:c r="F1120" s="20" t="str">
        <x:v>P027</x:v>
      </x:c>
      <x:c r="G1120" s="20" t="str"/>
      <x:c r="H1120" s="20" t="str"/>
      <x:c r="I1120" s="20" t="str">
        <x:v>City Water &amp; Sewer</x:v>
      </x:c>
      <x:c r="J1120" s="35" t="str">
        <x:v>Scanned receipt/invoice</x:v>
      </x:c>
      <x:c r="K1120" s="20" t="str">
        <x:v>SCN-0475</x:v>
      </x:c>
      <x:c r="L1120" s="20" t="str">
        <x:v>EXP-20270215-1047</x:v>
      </x:c>
      <x:c r="M1120" s="26" t="n">
        <x:v>189</x:v>
      </x:c>
      <x:c r="N1120" s="26" t="n">
        <x:v>0</x:v>
      </x:c>
      <x:c r="O1120" s="26" t="n">
        <x:v>-189</x:v>
      </x:c>
      <x:c r="P1120" s="26" t="n">
        <x:v>0</x:v>
      </x:c>
      <x:c r="Q1120" s="26" t="n">
        <x:v>0</x:v>
      </x:c>
      <x:c r="R1120" s="26" t="n">
        <x:v>0</x:v>
      </x:c>
      <x:c r="S1120" s="26" t="n">
        <x:v>0</x:v>
      </x:c>
      <x:c r="T1120" s="26" t="n">
        <x:v>0</x:v>
      </x:c>
      <x:c r="U1120" s="26" t="n">
        <x:v>189</x:v>
      </x:c>
      <x:c r="V1120" s="26" t="n">
        <x:v>0</x:v>
      </x:c>
      <x:c r="W1120" s="26" t="n">
        <x:v>0</x:v>
      </x:c>
      <x:c r="X1120" s="26" t="n">
        <x:v>0</x:v>
      </x:c>
      <x:c r="Y1120" s="26" t="n">
        <x:v>0</x:v>
      </x:c>
      <x:c r="Z1120" s="35" t="str">
        <x:v>City Water &amp; Sewer</x:v>
      </x:c>
    </x:row>
    <x:row r="1121">
      <x:c r="A1121" s="20" t="str">
        <x:v>FIN-01118</x:v>
      </x:c>
      <x:c r="B1121" s="23" t="n">
        <x:v>46433</x:v>
      </x:c>
      <x:c r="C1121" s="23" t="n">
        <x:v>46433</x:v>
      </x:c>
      <x:c r="D1121" s="20" t="str">
        <x:v>OperatingExpense</x:v>
      </x:c>
      <x:c r="E1121" s="20" t="str">
        <x:v>Utilities</x:v>
      </x:c>
      <x:c r="F1121" s="20" t="str">
        <x:v>P028</x:v>
      </x:c>
      <x:c r="G1121" s="20" t="str"/>
      <x:c r="H1121" s="20" t="str"/>
      <x:c r="I1121" s="20" t="str">
        <x:v>City Water &amp; Sewer</x:v>
      </x:c>
      <x:c r="J1121" s="35" t="str">
        <x:v>Scanned receipt/invoice</x:v>
      </x:c>
      <x:c r="K1121" s="20" t="str">
        <x:v>SCN-0476</x:v>
      </x:c>
      <x:c r="L1121" s="20" t="str">
        <x:v>EXP-20270215-1048</x:v>
      </x:c>
      <x:c r="M1121" s="26" t="n">
        <x:v>196</x:v>
      </x:c>
      <x:c r="N1121" s="26" t="n">
        <x:v>0</x:v>
      </x:c>
      <x:c r="O1121" s="26" t="n">
        <x:v>-196</x:v>
      </x:c>
      <x:c r="P1121" s="26" t="n">
        <x:v>0</x:v>
      </x:c>
      <x:c r="Q1121" s="26" t="n">
        <x:v>0</x:v>
      </x:c>
      <x:c r="R1121" s="26" t="n">
        <x:v>0</x:v>
      </x:c>
      <x:c r="S1121" s="26" t="n">
        <x:v>0</x:v>
      </x:c>
      <x:c r="T1121" s="26" t="n">
        <x:v>0</x:v>
      </x:c>
      <x:c r="U1121" s="26" t="n">
        <x:v>196</x:v>
      </x:c>
      <x:c r="V1121" s="26" t="n">
        <x:v>0</x:v>
      </x:c>
      <x:c r="W1121" s="26" t="n">
        <x:v>0</x:v>
      </x:c>
      <x:c r="X1121" s="26" t="n">
        <x:v>0</x:v>
      </x:c>
      <x:c r="Y1121" s="26" t="n">
        <x:v>0</x:v>
      </x:c>
      <x:c r="Z1121" s="35" t="str">
        <x:v>City Water &amp; Sewer</x:v>
      </x:c>
    </x:row>
    <x:row r="1122">
      <x:c r="A1122" s="20" t="str">
        <x:v>FIN-01119</x:v>
      </x:c>
      <x:c r="B1122" s="23" t="n">
        <x:v>46433</x:v>
      </x:c>
      <x:c r="C1122" s="23" t="n">
        <x:v>46433</x:v>
      </x:c>
      <x:c r="D1122" s="20" t="str">
        <x:v>OperatingExpense</x:v>
      </x:c>
      <x:c r="E1122" s="20" t="str">
        <x:v>Utilities</x:v>
      </x:c>
      <x:c r="F1122" s="20" t="str">
        <x:v>P029</x:v>
      </x:c>
      <x:c r="G1122" s="20" t="str"/>
      <x:c r="H1122" s="20" t="str"/>
      <x:c r="I1122" s="20" t="str">
        <x:v>City Water &amp; Sewer</x:v>
      </x:c>
      <x:c r="J1122" s="35" t="str">
        <x:v>Scanned receipt/invoice</x:v>
      </x:c>
      <x:c r="K1122" s="20" t="str">
        <x:v>SCN-0477</x:v>
      </x:c>
      <x:c r="L1122" s="20" t="str">
        <x:v>EXP-20270215-1049</x:v>
      </x:c>
      <x:c r="M1122" s="26" t="n">
        <x:v>203</x:v>
      </x:c>
      <x:c r="N1122" s="26" t="n">
        <x:v>0</x:v>
      </x:c>
      <x:c r="O1122" s="26" t="n">
        <x:v>-203</x:v>
      </x:c>
      <x:c r="P1122" s="26" t="n">
        <x:v>0</x:v>
      </x:c>
      <x:c r="Q1122" s="26" t="n">
        <x:v>0</x:v>
      </x:c>
      <x:c r="R1122" s="26" t="n">
        <x:v>0</x:v>
      </x:c>
      <x:c r="S1122" s="26" t="n">
        <x:v>0</x:v>
      </x:c>
      <x:c r="T1122" s="26" t="n">
        <x:v>0</x:v>
      </x:c>
      <x:c r="U1122" s="26" t="n">
        <x:v>203</x:v>
      </x:c>
      <x:c r="V1122" s="26" t="n">
        <x:v>0</x:v>
      </x:c>
      <x:c r="W1122" s="26" t="n">
        <x:v>0</x:v>
      </x:c>
      <x:c r="X1122" s="26" t="n">
        <x:v>0</x:v>
      </x:c>
      <x:c r="Y1122" s="26" t="n">
        <x:v>0</x:v>
      </x:c>
      <x:c r="Z1122" s="35" t="str">
        <x:v>City Water &amp; Sewer</x:v>
      </x:c>
    </x:row>
    <x:row r="1123">
      <x:c r="A1123" s="20" t="str">
        <x:v>FIN-01120</x:v>
      </x:c>
      <x:c r="B1123" s="23" t="n">
        <x:v>46433</x:v>
      </x:c>
      <x:c r="C1123" s="23" t="n">
        <x:v>46433</x:v>
      </x:c>
      <x:c r="D1123" s="20" t="str">
        <x:v>OperatingExpense</x:v>
      </x:c>
      <x:c r="E1123" s="20" t="str">
        <x:v>Utilities</x:v>
      </x:c>
      <x:c r="F1123" s="20" t="str">
        <x:v>P030</x:v>
      </x:c>
      <x:c r="G1123" s="20" t="str"/>
      <x:c r="H1123" s="20" t="str"/>
      <x:c r="I1123" s="20" t="str">
        <x:v>City Water &amp; Sewer</x:v>
      </x:c>
      <x:c r="J1123" s="35" t="str">
        <x:v>Manual mobile form</x:v>
      </x:c>
      <x:c r="K1123" s="20" t="str"/>
      <x:c r="L1123" s="20" t="str">
        <x:v>EXP-20270215-1050</x:v>
      </x:c>
      <x:c r="M1123" s="26" t="n">
        <x:v>120</x:v>
      </x:c>
      <x:c r="N1123" s="26" t="n">
        <x:v>0</x:v>
      </x:c>
      <x:c r="O1123" s="26" t="n">
        <x:v>-120</x:v>
      </x:c>
      <x:c r="P1123" s="26" t="n">
        <x:v>0</x:v>
      </x:c>
      <x:c r="Q1123" s="26" t="n">
        <x:v>0</x:v>
      </x:c>
      <x:c r="R1123" s="26" t="n">
        <x:v>0</x:v>
      </x:c>
      <x:c r="S1123" s="26" t="n">
        <x:v>0</x:v>
      </x:c>
      <x:c r="T1123" s="26" t="n">
        <x:v>0</x:v>
      </x:c>
      <x:c r="U1123" s="26" t="n">
        <x:v>120</x:v>
      </x:c>
      <x:c r="V1123" s="26" t="n">
        <x:v>0</x:v>
      </x:c>
      <x:c r="W1123" s="26" t="n">
        <x:v>0</x:v>
      </x:c>
      <x:c r="X1123" s="26" t="n">
        <x:v>0</x:v>
      </x:c>
      <x:c r="Y1123" s="26" t="n">
        <x:v>0</x:v>
      </x:c>
      <x:c r="Z1123" s="35" t="str">
        <x:v>City Water &amp; Sewer</x:v>
      </x:c>
    </x:row>
    <x:row r="1124">
      <x:c r="A1124" s="20" t="str">
        <x:v>FIN-01121</x:v>
      </x:c>
      <x:c r="B1124" s="23" t="n">
        <x:v>46438</x:v>
      </x:c>
      <x:c r="C1124" s="23" t="n">
        <x:v>46438</x:v>
      </x:c>
      <x:c r="D1124" s="20" t="str">
        <x:v>LoanPayment</x:v>
      </x:c>
      <x:c r="E1124" s="20" t="str">
        <x:v>Mortgage principal and interest</x:v>
      </x:c>
      <x:c r="F1124" s="20" t="str">
        <x:v>P001</x:v>
      </x:c>
      <x:c r="G1124" s="20" t="str"/>
      <x:c r="H1124" s="20" t="str"/>
      <x:c r="I1124" s="20" t="str">
        <x:v>First QA Mortgage</x:v>
      </x:c>
      <x:c r="J1124" s="35" t="str">
        <x:v>Recurring loan payment + scanned statement</x:v>
      </x:c>
      <x:c r="K1124" s="20" t="str">
        <x:v>SCN-0478</x:v>
      </x:c>
      <x:c r="L1124" s="20" t="str">
        <x:v>LN001-202702</x:v>
      </x:c>
      <x:c r="M1124" s="26" t="n">
        <x:v>1046</x:v>
      </x:c>
      <x:c r="N1124" s="26" t="n">
        <x:v>0</x:v>
      </x:c>
      <x:c r="O1124" s="26" t="n">
        <x:v>-1046</x:v>
      </x:c>
      <x:c r="P1124" s="26" t="n">
        <x:v>0</x:v>
      </x:c>
      <x:c r="Q1124" s="26" t="n">
        <x:v>0</x:v>
      </x:c>
      <x:c r="R1124" s="26" t="n">
        <x:v>0</x:v>
      </x:c>
      <x:c r="S1124" s="26" t="n">
        <x:v>-431</x:v>
      </x:c>
      <x:c r="T1124" s="26" t="n">
        <x:v>0</x:v>
      </x:c>
      <x:c r="U1124" s="26" t="n">
        <x:v>615</x:v>
      </x:c>
      <x:c r="V1124" s="26" t="n">
        <x:v>0</x:v>
      </x:c>
      <x:c r="W1124" s="26" t="n">
        <x:v>0</x:v>
      </x:c>
      <x:c r="X1124" s="26" t="n">
        <x:v>0</x:v>
      </x:c>
      <x:c r="Y1124" s="26" t="n">
        <x:v>0</x:v>
      </x:c>
      <x:c r="Z1124" s="35" t="str">
        <x:v>LN001 scheduled payment</x:v>
      </x:c>
    </x:row>
    <x:row r="1125">
      <x:c r="A1125" s="20" t="str">
        <x:v>FIN-01122</x:v>
      </x:c>
      <x:c r="B1125" s="23" t="n">
        <x:v>46438</x:v>
      </x:c>
      <x:c r="C1125" s="23" t="n">
        <x:v>46438</x:v>
      </x:c>
      <x:c r="D1125" s="20" t="str">
        <x:v>LoanPayment</x:v>
      </x:c>
      <x:c r="E1125" s="20" t="str">
        <x:v>Mortgage principal and interest</x:v>
      </x:c>
      <x:c r="F1125" s="20" t="str">
        <x:v>P002</x:v>
      </x:c>
      <x:c r="G1125" s="20" t="str"/>
      <x:c r="H1125" s="20" t="str"/>
      <x:c r="I1125" s="20" t="str">
        <x:v>First QA Mortgage</x:v>
      </x:c>
      <x:c r="J1125" s="35" t="str">
        <x:v>Recurring loan payment + scanned statement</x:v>
      </x:c>
      <x:c r="K1125" s="20" t="str">
        <x:v>SCN-0479</x:v>
      </x:c>
      <x:c r="L1125" s="20" t="str">
        <x:v>LN002-202702</x:v>
      </x:c>
      <x:c r="M1125" s="26" t="n">
        <x:v>1070</x:v>
      </x:c>
      <x:c r="N1125" s="26" t="n">
        <x:v>0</x:v>
      </x:c>
      <x:c r="O1125" s="26" t="n">
        <x:v>-1070</x:v>
      </x:c>
      <x:c r="P1125" s="26" t="n">
        <x:v>0</x:v>
      </x:c>
      <x:c r="Q1125" s="26" t="n">
        <x:v>0</x:v>
      </x:c>
      <x:c r="R1125" s="26" t="n">
        <x:v>0</x:v>
      </x:c>
      <x:c r="S1125" s="26" t="n">
        <x:v>-442</x:v>
      </x:c>
      <x:c r="T1125" s="26" t="n">
        <x:v>0</x:v>
      </x:c>
      <x:c r="U1125" s="26" t="n">
        <x:v>628</x:v>
      </x:c>
      <x:c r="V1125" s="26" t="n">
        <x:v>0</x:v>
      </x:c>
      <x:c r="W1125" s="26" t="n">
        <x:v>0</x:v>
      </x:c>
      <x:c r="X1125" s="26" t="n">
        <x:v>0</x:v>
      </x:c>
      <x:c r="Y1125" s="26" t="n">
        <x:v>0</x:v>
      </x:c>
      <x:c r="Z1125" s="35" t="str">
        <x:v>LN002 scheduled payment</x:v>
      </x:c>
    </x:row>
    <x:row r="1126">
      <x:c r="A1126" s="20" t="str">
        <x:v>FIN-01123</x:v>
      </x:c>
      <x:c r="B1126" s="23" t="n">
        <x:v>46438</x:v>
      </x:c>
      <x:c r="C1126" s="23" t="n">
        <x:v>46438</x:v>
      </x:c>
      <x:c r="D1126" s="20" t="str">
        <x:v>LoanPayment</x:v>
      </x:c>
      <x:c r="E1126" s="20" t="str">
        <x:v>Mortgage principal and interest</x:v>
      </x:c>
      <x:c r="F1126" s="20" t="str">
        <x:v>P004</x:v>
      </x:c>
      <x:c r="G1126" s="20" t="str"/>
      <x:c r="H1126" s="20" t="str"/>
      <x:c r="I1126" s="20" t="str">
        <x:v>First QA Mortgage</x:v>
      </x:c>
      <x:c r="J1126" s="35" t="str">
        <x:v>Recurring loan payment + scanned statement</x:v>
      </x:c>
      <x:c r="K1126" s="20" t="str">
        <x:v>SCN-0480</x:v>
      </x:c>
      <x:c r="L1126" s="20" t="str">
        <x:v>LN004-202702</x:v>
      </x:c>
      <x:c r="M1126" s="26" t="n">
        <x:v>1118</x:v>
      </x:c>
      <x:c r="N1126" s="26" t="n">
        <x:v>0</x:v>
      </x:c>
      <x:c r="O1126" s="26" t="n">
        <x:v>-1118</x:v>
      </x:c>
      <x:c r="P1126" s="26" t="n">
        <x:v>0</x:v>
      </x:c>
      <x:c r="Q1126" s="26" t="n">
        <x:v>0</x:v>
      </x:c>
      <x:c r="R1126" s="26" t="n">
        <x:v>0</x:v>
      </x:c>
      <x:c r="S1126" s="26" t="n">
        <x:v>-464</x:v>
      </x:c>
      <x:c r="T1126" s="26" t="n">
        <x:v>0</x:v>
      </x:c>
      <x:c r="U1126" s="26" t="n">
        <x:v>654</x:v>
      </x:c>
      <x:c r="V1126" s="26" t="n">
        <x:v>0</x:v>
      </x:c>
      <x:c r="W1126" s="26" t="n">
        <x:v>0</x:v>
      </x:c>
      <x:c r="X1126" s="26" t="n">
        <x:v>0</x:v>
      </x:c>
      <x:c r="Y1126" s="26" t="n">
        <x:v>0</x:v>
      </x:c>
      <x:c r="Z1126" s="35" t="str">
        <x:v>LN004 scheduled payment</x:v>
      </x:c>
    </x:row>
    <x:row r="1127">
      <x:c r="A1127" s="20" t="str">
        <x:v>FIN-01124</x:v>
      </x:c>
      <x:c r="B1127" s="23" t="n">
        <x:v>46438</x:v>
      </x:c>
      <x:c r="C1127" s="23" t="n">
        <x:v>46438</x:v>
      </x:c>
      <x:c r="D1127" s="20" t="str">
        <x:v>LoanPayment</x:v>
      </x:c>
      <x:c r="E1127" s="20" t="str">
        <x:v>Mortgage principal and interest</x:v>
      </x:c>
      <x:c r="F1127" s="20" t="str">
        <x:v>P005</x:v>
      </x:c>
      <x:c r="G1127" s="20" t="str"/>
      <x:c r="H1127" s="20" t="str"/>
      <x:c r="I1127" s="20" t="str">
        <x:v>First QA Mortgage</x:v>
      </x:c>
      <x:c r="J1127" s="35" t="str">
        <x:v>Recurring loan payment + scanned statement</x:v>
      </x:c>
      <x:c r="K1127" s="20" t="str">
        <x:v>SCN-0481</x:v>
      </x:c>
      <x:c r="L1127" s="20" t="str">
        <x:v>LN005-202702</x:v>
      </x:c>
      <x:c r="M1127" s="26" t="n">
        <x:v>1142</x:v>
      </x:c>
      <x:c r="N1127" s="26" t="n">
        <x:v>0</x:v>
      </x:c>
      <x:c r="O1127" s="26" t="n">
        <x:v>-1142</x:v>
      </x:c>
      <x:c r="P1127" s="26" t="n">
        <x:v>0</x:v>
      </x:c>
      <x:c r="Q1127" s="26" t="n">
        <x:v>0</x:v>
      </x:c>
      <x:c r="R1127" s="26" t="n">
        <x:v>0</x:v>
      </x:c>
      <x:c r="S1127" s="26" t="n">
        <x:v>-475</x:v>
      </x:c>
      <x:c r="T1127" s="26" t="n">
        <x:v>0</x:v>
      </x:c>
      <x:c r="U1127" s="26" t="n">
        <x:v>667</x:v>
      </x:c>
      <x:c r="V1127" s="26" t="n">
        <x:v>0</x:v>
      </x:c>
      <x:c r="W1127" s="26" t="n">
        <x:v>0</x:v>
      </x:c>
      <x:c r="X1127" s="26" t="n">
        <x:v>0</x:v>
      </x:c>
      <x:c r="Y1127" s="26" t="n">
        <x:v>0</x:v>
      </x:c>
      <x:c r="Z1127" s="35" t="str">
        <x:v>LN005 scheduled payment</x:v>
      </x:c>
    </x:row>
    <x:row r="1128">
      <x:c r="A1128" s="20" t="str">
        <x:v>FIN-01125</x:v>
      </x:c>
      <x:c r="B1128" s="23" t="n">
        <x:v>46438</x:v>
      </x:c>
      <x:c r="C1128" s="23" t="n">
        <x:v>46438</x:v>
      </x:c>
      <x:c r="D1128" s="20" t="str">
        <x:v>LoanPayment</x:v>
      </x:c>
      <x:c r="E1128" s="20" t="str">
        <x:v>Mortgage principal and interest</x:v>
      </x:c>
      <x:c r="F1128" s="20" t="str">
        <x:v>P007</x:v>
      </x:c>
      <x:c r="G1128" s="20" t="str"/>
      <x:c r="H1128" s="20" t="str"/>
      <x:c r="I1128" s="20" t="str">
        <x:v>First QA Mortgage</x:v>
      </x:c>
      <x:c r="J1128" s="35" t="str">
        <x:v>Recurring loan payment + scanned statement</x:v>
      </x:c>
      <x:c r="K1128" s="20" t="str">
        <x:v>SCN-0482</x:v>
      </x:c>
      <x:c r="L1128" s="20" t="str">
        <x:v>LN007-202702</x:v>
      </x:c>
      <x:c r="M1128" s="26" t="n">
        <x:v>1190</x:v>
      </x:c>
      <x:c r="N1128" s="26" t="n">
        <x:v>0</x:v>
      </x:c>
      <x:c r="O1128" s="26" t="n">
        <x:v>-1190</x:v>
      </x:c>
      <x:c r="P1128" s="26" t="n">
        <x:v>0</x:v>
      </x:c>
      <x:c r="Q1128" s="26" t="n">
        <x:v>0</x:v>
      </x:c>
      <x:c r="R1128" s="26" t="n">
        <x:v>0</x:v>
      </x:c>
      <x:c r="S1128" s="26" t="n">
        <x:v>-497</x:v>
      </x:c>
      <x:c r="T1128" s="26" t="n">
        <x:v>0</x:v>
      </x:c>
      <x:c r="U1128" s="26" t="n">
        <x:v>693</x:v>
      </x:c>
      <x:c r="V1128" s="26" t="n">
        <x:v>0</x:v>
      </x:c>
      <x:c r="W1128" s="26" t="n">
        <x:v>0</x:v>
      </x:c>
      <x:c r="X1128" s="26" t="n">
        <x:v>0</x:v>
      </x:c>
      <x:c r="Y1128" s="26" t="n">
        <x:v>0</x:v>
      </x:c>
      <x:c r="Z1128" s="35" t="str">
        <x:v>LN007 scheduled payment</x:v>
      </x:c>
    </x:row>
    <x:row r="1129">
      <x:c r="A1129" s="20" t="str">
        <x:v>FIN-01126</x:v>
      </x:c>
      <x:c r="B1129" s="23" t="n">
        <x:v>46438</x:v>
      </x:c>
      <x:c r="C1129" s="23" t="n">
        <x:v>46438</x:v>
      </x:c>
      <x:c r="D1129" s="20" t="str">
        <x:v>LoanPayment</x:v>
      </x:c>
      <x:c r="E1129" s="20" t="str">
        <x:v>Mortgage principal and interest</x:v>
      </x:c>
      <x:c r="F1129" s="20" t="str">
        <x:v>P008</x:v>
      </x:c>
      <x:c r="G1129" s="20" t="str"/>
      <x:c r="H1129" s="20" t="str"/>
      <x:c r="I1129" s="20" t="str">
        <x:v>First QA Mortgage</x:v>
      </x:c>
      <x:c r="J1129" s="35" t="str">
        <x:v>Recurring loan payment + scanned statement</x:v>
      </x:c>
      <x:c r="K1129" s="20" t="str">
        <x:v>SCN-0483</x:v>
      </x:c>
      <x:c r="L1129" s="20" t="str">
        <x:v>LN008-202702</x:v>
      </x:c>
      <x:c r="M1129" s="26" t="n">
        <x:v>1214</x:v>
      </x:c>
      <x:c r="N1129" s="26" t="n">
        <x:v>0</x:v>
      </x:c>
      <x:c r="O1129" s="26" t="n">
        <x:v>-1214</x:v>
      </x:c>
      <x:c r="P1129" s="26" t="n">
        <x:v>0</x:v>
      </x:c>
      <x:c r="Q1129" s="26" t="n">
        <x:v>0</x:v>
      </x:c>
      <x:c r="R1129" s="26" t="n">
        <x:v>0</x:v>
      </x:c>
      <x:c r="S1129" s="26" t="n">
        <x:v>-508</x:v>
      </x:c>
      <x:c r="T1129" s="26" t="n">
        <x:v>0</x:v>
      </x:c>
      <x:c r="U1129" s="26" t="n">
        <x:v>706</x:v>
      </x:c>
      <x:c r="V1129" s="26" t="n">
        <x:v>0</x:v>
      </x:c>
      <x:c r="W1129" s="26" t="n">
        <x:v>0</x:v>
      </x:c>
      <x:c r="X1129" s="26" t="n">
        <x:v>0</x:v>
      </x:c>
      <x:c r="Y1129" s="26" t="n">
        <x:v>0</x:v>
      </x:c>
      <x:c r="Z1129" s="35" t="str">
        <x:v>LN008 scheduled payment</x:v>
      </x:c>
    </x:row>
    <x:row r="1130">
      <x:c r="A1130" s="20" t="str">
        <x:v>FIN-01127</x:v>
      </x:c>
      <x:c r="B1130" s="23" t="n">
        <x:v>46438</x:v>
      </x:c>
      <x:c r="C1130" s="23" t="n">
        <x:v>46438</x:v>
      </x:c>
      <x:c r="D1130" s="20" t="str">
        <x:v>LoanPayment</x:v>
      </x:c>
      <x:c r="E1130" s="20" t="str">
        <x:v>Mortgage principal and interest</x:v>
      </x:c>
      <x:c r="F1130" s="20" t="str">
        <x:v>P010</x:v>
      </x:c>
      <x:c r="G1130" s="20" t="str"/>
      <x:c r="H1130" s="20" t="str"/>
      <x:c r="I1130" s="20" t="str">
        <x:v>First QA Mortgage</x:v>
      </x:c>
      <x:c r="J1130" s="35" t="str">
        <x:v>Recurring loan payment + scanned statement</x:v>
      </x:c>
      <x:c r="K1130" s="20" t="str">
        <x:v>SCN-0484</x:v>
      </x:c>
      <x:c r="L1130" s="20" t="str">
        <x:v>LN010-202702</x:v>
      </x:c>
      <x:c r="M1130" s="26" t="n">
        <x:v>1262</x:v>
      </x:c>
      <x:c r="N1130" s="26" t="n">
        <x:v>0</x:v>
      </x:c>
      <x:c r="O1130" s="26" t="n">
        <x:v>-1262</x:v>
      </x:c>
      <x:c r="P1130" s="26" t="n">
        <x:v>0</x:v>
      </x:c>
      <x:c r="Q1130" s="26" t="n">
        <x:v>0</x:v>
      </x:c>
      <x:c r="R1130" s="26" t="n">
        <x:v>0</x:v>
      </x:c>
      <x:c r="S1130" s="26" t="n">
        <x:v>-530</x:v>
      </x:c>
      <x:c r="T1130" s="26" t="n">
        <x:v>0</x:v>
      </x:c>
      <x:c r="U1130" s="26" t="n">
        <x:v>732</x:v>
      </x:c>
      <x:c r="V1130" s="26" t="n">
        <x:v>0</x:v>
      </x:c>
      <x:c r="W1130" s="26" t="n">
        <x:v>0</x:v>
      </x:c>
      <x:c r="X1130" s="26" t="n">
        <x:v>0</x:v>
      </x:c>
      <x:c r="Y1130" s="26" t="n">
        <x:v>0</x:v>
      </x:c>
      <x:c r="Z1130" s="35" t="str">
        <x:v>LN010 scheduled payment</x:v>
      </x:c>
    </x:row>
    <x:row r="1131">
      <x:c r="A1131" s="20" t="str">
        <x:v>FIN-01128</x:v>
      </x:c>
      <x:c r="B1131" s="23" t="n">
        <x:v>46438</x:v>
      </x:c>
      <x:c r="C1131" s="23" t="n">
        <x:v>46438</x:v>
      </x:c>
      <x:c r="D1131" s="20" t="str">
        <x:v>LoanPayment</x:v>
      </x:c>
      <x:c r="E1131" s="20" t="str">
        <x:v>Mortgage principal and interest</x:v>
      </x:c>
      <x:c r="F1131" s="20" t="str">
        <x:v>P011</x:v>
      </x:c>
      <x:c r="G1131" s="20" t="str"/>
      <x:c r="H1131" s="20" t="str"/>
      <x:c r="I1131" s="20" t="str">
        <x:v>First QA Mortgage</x:v>
      </x:c>
      <x:c r="J1131" s="35" t="str">
        <x:v>Recurring loan payment + scanned statement</x:v>
      </x:c>
      <x:c r="K1131" s="20" t="str">
        <x:v>SCN-0485</x:v>
      </x:c>
      <x:c r="L1131" s="20" t="str">
        <x:v>LN011-202702</x:v>
      </x:c>
      <x:c r="M1131" s="26" t="n">
        <x:v>1286</x:v>
      </x:c>
      <x:c r="N1131" s="26" t="n">
        <x:v>0</x:v>
      </x:c>
      <x:c r="O1131" s="26" t="n">
        <x:v>-1286</x:v>
      </x:c>
      <x:c r="P1131" s="26" t="n">
        <x:v>0</x:v>
      </x:c>
      <x:c r="Q1131" s="26" t="n">
        <x:v>0</x:v>
      </x:c>
      <x:c r="R1131" s="26" t="n">
        <x:v>0</x:v>
      </x:c>
      <x:c r="S1131" s="26" t="n">
        <x:v>-541</x:v>
      </x:c>
      <x:c r="T1131" s="26" t="n">
        <x:v>0</x:v>
      </x:c>
      <x:c r="U1131" s="26" t="n">
        <x:v>745</x:v>
      </x:c>
      <x:c r="V1131" s="26" t="n">
        <x:v>0</x:v>
      </x:c>
      <x:c r="W1131" s="26" t="n">
        <x:v>0</x:v>
      </x:c>
      <x:c r="X1131" s="26" t="n">
        <x:v>0</x:v>
      </x:c>
      <x:c r="Y1131" s="26" t="n">
        <x:v>0</x:v>
      </x:c>
      <x:c r="Z1131" s="35" t="str">
        <x:v>LN011 scheduled payment</x:v>
      </x:c>
    </x:row>
    <x:row r="1132">
      <x:c r="A1132" s="20" t="str">
        <x:v>FIN-01129</x:v>
      </x:c>
      <x:c r="B1132" s="23" t="n">
        <x:v>46438</x:v>
      </x:c>
      <x:c r="C1132" s="23" t="n">
        <x:v>46438</x:v>
      </x:c>
      <x:c r="D1132" s="20" t="str">
        <x:v>LoanPayment</x:v>
      </x:c>
      <x:c r="E1132" s="20" t="str">
        <x:v>Mortgage principal and interest</x:v>
      </x:c>
      <x:c r="F1132" s="20" t="str">
        <x:v>P013</x:v>
      </x:c>
      <x:c r="G1132" s="20" t="str"/>
      <x:c r="H1132" s="20" t="str"/>
      <x:c r="I1132" s="20" t="str">
        <x:v>First QA Mortgage</x:v>
      </x:c>
      <x:c r="J1132" s="35" t="str">
        <x:v>Recurring loan payment + scanned statement</x:v>
      </x:c>
      <x:c r="K1132" s="20" t="str">
        <x:v>SCN-0486</x:v>
      </x:c>
      <x:c r="L1132" s="20" t="str">
        <x:v>LN013-202702</x:v>
      </x:c>
      <x:c r="M1132" s="26" t="n">
        <x:v>1334</x:v>
      </x:c>
      <x:c r="N1132" s="26" t="n">
        <x:v>0</x:v>
      </x:c>
      <x:c r="O1132" s="26" t="n">
        <x:v>-1334</x:v>
      </x:c>
      <x:c r="P1132" s="26" t="n">
        <x:v>0</x:v>
      </x:c>
      <x:c r="Q1132" s="26" t="n">
        <x:v>0</x:v>
      </x:c>
      <x:c r="R1132" s="26" t="n">
        <x:v>0</x:v>
      </x:c>
      <x:c r="S1132" s="26" t="n">
        <x:v>-563</x:v>
      </x:c>
      <x:c r="T1132" s="26" t="n">
        <x:v>0</x:v>
      </x:c>
      <x:c r="U1132" s="26" t="n">
        <x:v>771</x:v>
      </x:c>
      <x:c r="V1132" s="26" t="n">
        <x:v>0</x:v>
      </x:c>
      <x:c r="W1132" s="26" t="n">
        <x:v>0</x:v>
      </x:c>
      <x:c r="X1132" s="26" t="n">
        <x:v>0</x:v>
      </x:c>
      <x:c r="Y1132" s="26" t="n">
        <x:v>0</x:v>
      </x:c>
      <x:c r="Z1132" s="35" t="str">
        <x:v>LN013 scheduled payment</x:v>
      </x:c>
    </x:row>
    <x:row r="1133">
      <x:c r="A1133" s="20" t="str">
        <x:v>FIN-01130</x:v>
      </x:c>
      <x:c r="B1133" s="23" t="n">
        <x:v>46438</x:v>
      </x:c>
      <x:c r="C1133" s="23" t="n">
        <x:v>46438</x:v>
      </x:c>
      <x:c r="D1133" s="20" t="str">
        <x:v>LoanPayment</x:v>
      </x:c>
      <x:c r="E1133" s="20" t="str">
        <x:v>Mortgage principal and interest</x:v>
      </x:c>
      <x:c r="F1133" s="20" t="str">
        <x:v>P014</x:v>
      </x:c>
      <x:c r="G1133" s="20" t="str"/>
      <x:c r="H1133" s="20" t="str"/>
      <x:c r="I1133" s="20" t="str">
        <x:v>First QA Mortgage</x:v>
      </x:c>
      <x:c r="J1133" s="35" t="str">
        <x:v>Recurring loan payment + scanned statement</x:v>
      </x:c>
      <x:c r="K1133" s="20" t="str">
        <x:v>SCN-0487</x:v>
      </x:c>
      <x:c r="L1133" s="20" t="str">
        <x:v>LN014-202702</x:v>
      </x:c>
      <x:c r="M1133" s="26" t="n">
        <x:v>1358</x:v>
      </x:c>
      <x:c r="N1133" s="26" t="n">
        <x:v>0</x:v>
      </x:c>
      <x:c r="O1133" s="26" t="n">
        <x:v>-1358</x:v>
      </x:c>
      <x:c r="P1133" s="26" t="n">
        <x:v>0</x:v>
      </x:c>
      <x:c r="Q1133" s="26" t="n">
        <x:v>0</x:v>
      </x:c>
      <x:c r="R1133" s="26" t="n">
        <x:v>0</x:v>
      </x:c>
      <x:c r="S1133" s="26" t="n">
        <x:v>-574</x:v>
      </x:c>
      <x:c r="T1133" s="26" t="n">
        <x:v>0</x:v>
      </x:c>
      <x:c r="U1133" s="26" t="n">
        <x:v>784</x:v>
      </x:c>
      <x:c r="V1133" s="26" t="n">
        <x:v>0</x:v>
      </x:c>
      <x:c r="W1133" s="26" t="n">
        <x:v>0</x:v>
      </x:c>
      <x:c r="X1133" s="26" t="n">
        <x:v>0</x:v>
      </x:c>
      <x:c r="Y1133" s="26" t="n">
        <x:v>0</x:v>
      </x:c>
      <x:c r="Z1133" s="35" t="str">
        <x:v>LN014 scheduled payment</x:v>
      </x:c>
    </x:row>
    <x:row r="1134">
      <x:c r="A1134" s="20" t="str">
        <x:v>FIN-01131</x:v>
      </x:c>
      <x:c r="B1134" s="23" t="n">
        <x:v>46438</x:v>
      </x:c>
      <x:c r="C1134" s="23" t="n">
        <x:v>46438</x:v>
      </x:c>
      <x:c r="D1134" s="20" t="str">
        <x:v>LoanPayment</x:v>
      </x:c>
      <x:c r="E1134" s="20" t="str">
        <x:v>Mortgage principal and interest</x:v>
      </x:c>
      <x:c r="F1134" s="20" t="str">
        <x:v>P016</x:v>
      </x:c>
      <x:c r="G1134" s="20" t="str"/>
      <x:c r="H1134" s="20" t="str"/>
      <x:c r="I1134" s="20" t="str">
        <x:v>First QA Mortgage</x:v>
      </x:c>
      <x:c r="J1134" s="35" t="str">
        <x:v>Recurring loan payment + scanned statement</x:v>
      </x:c>
      <x:c r="K1134" s="20" t="str">
        <x:v>SCN-0488</x:v>
      </x:c>
      <x:c r="L1134" s="20" t="str">
        <x:v>LN016-202702</x:v>
      </x:c>
      <x:c r="M1134" s="26" t="n">
        <x:v>1406</x:v>
      </x:c>
      <x:c r="N1134" s="26" t="n">
        <x:v>0</x:v>
      </x:c>
      <x:c r="O1134" s="26" t="n">
        <x:v>-1406</x:v>
      </x:c>
      <x:c r="P1134" s="26" t="n">
        <x:v>0</x:v>
      </x:c>
      <x:c r="Q1134" s="26" t="n">
        <x:v>0</x:v>
      </x:c>
      <x:c r="R1134" s="26" t="n">
        <x:v>0</x:v>
      </x:c>
      <x:c r="S1134" s="26" t="n">
        <x:v>-596</x:v>
      </x:c>
      <x:c r="T1134" s="26" t="n">
        <x:v>0</x:v>
      </x:c>
      <x:c r="U1134" s="26" t="n">
        <x:v>810</x:v>
      </x:c>
      <x:c r="V1134" s="26" t="n">
        <x:v>0</x:v>
      </x:c>
      <x:c r="W1134" s="26" t="n">
        <x:v>0</x:v>
      </x:c>
      <x:c r="X1134" s="26" t="n">
        <x:v>0</x:v>
      </x:c>
      <x:c r="Y1134" s="26" t="n">
        <x:v>0</x:v>
      </x:c>
      <x:c r="Z1134" s="35" t="str">
        <x:v>LN016 scheduled payment</x:v>
      </x:c>
    </x:row>
    <x:row r="1135">
      <x:c r="A1135" s="20" t="str">
        <x:v>FIN-01132</x:v>
      </x:c>
      <x:c r="B1135" s="23" t="n">
        <x:v>46438</x:v>
      </x:c>
      <x:c r="C1135" s="23" t="n">
        <x:v>46438</x:v>
      </x:c>
      <x:c r="D1135" s="20" t="str">
        <x:v>LoanPayment</x:v>
      </x:c>
      <x:c r="E1135" s="20" t="str">
        <x:v>Mortgage principal and interest</x:v>
      </x:c>
      <x:c r="F1135" s="20" t="str">
        <x:v>P017</x:v>
      </x:c>
      <x:c r="G1135" s="20" t="str"/>
      <x:c r="H1135" s="20" t="str"/>
      <x:c r="I1135" s="20" t="str">
        <x:v>First QA Mortgage</x:v>
      </x:c>
      <x:c r="J1135" s="35" t="str">
        <x:v>Recurring loan payment + scanned statement</x:v>
      </x:c>
      <x:c r="K1135" s="20" t="str">
        <x:v>SCN-0489</x:v>
      </x:c>
      <x:c r="L1135" s="20" t="str">
        <x:v>LN017-202702</x:v>
      </x:c>
      <x:c r="M1135" s="26" t="n">
        <x:v>1430</x:v>
      </x:c>
      <x:c r="N1135" s="26" t="n">
        <x:v>0</x:v>
      </x:c>
      <x:c r="O1135" s="26" t="n">
        <x:v>-1430</x:v>
      </x:c>
      <x:c r="P1135" s="26" t="n">
        <x:v>0</x:v>
      </x:c>
      <x:c r="Q1135" s="26" t="n">
        <x:v>0</x:v>
      </x:c>
      <x:c r="R1135" s="26" t="n">
        <x:v>0</x:v>
      </x:c>
      <x:c r="S1135" s="26" t="n">
        <x:v>-607</x:v>
      </x:c>
      <x:c r="T1135" s="26" t="n">
        <x:v>0</x:v>
      </x:c>
      <x:c r="U1135" s="26" t="n">
        <x:v>823</x:v>
      </x:c>
      <x:c r="V1135" s="26" t="n">
        <x:v>0</x:v>
      </x:c>
      <x:c r="W1135" s="26" t="n">
        <x:v>0</x:v>
      </x:c>
      <x:c r="X1135" s="26" t="n">
        <x:v>0</x:v>
      </x:c>
      <x:c r="Y1135" s="26" t="n">
        <x:v>0</x:v>
      </x:c>
      <x:c r="Z1135" s="35" t="str">
        <x:v>LN017 scheduled payment</x:v>
      </x:c>
    </x:row>
    <x:row r="1136">
      <x:c r="A1136" s="20" t="str">
        <x:v>FIN-01133</x:v>
      </x:c>
      <x:c r="B1136" s="23" t="n">
        <x:v>46438</x:v>
      </x:c>
      <x:c r="C1136" s="23" t="n">
        <x:v>46438</x:v>
      </x:c>
      <x:c r="D1136" s="20" t="str">
        <x:v>LoanPayment</x:v>
      </x:c>
      <x:c r="E1136" s="20" t="str">
        <x:v>Mortgage principal and interest</x:v>
      </x:c>
      <x:c r="F1136" s="20" t="str">
        <x:v>P019</x:v>
      </x:c>
      <x:c r="G1136" s="20" t="str"/>
      <x:c r="H1136" s="20" t="str"/>
      <x:c r="I1136" s="20" t="str">
        <x:v>First QA Mortgage</x:v>
      </x:c>
      <x:c r="J1136" s="35" t="str">
        <x:v>Recurring loan payment + scanned statement</x:v>
      </x:c>
      <x:c r="K1136" s="20" t="str">
        <x:v>SCN-0490</x:v>
      </x:c>
      <x:c r="L1136" s="20" t="str">
        <x:v>LN019-202702</x:v>
      </x:c>
      <x:c r="M1136" s="26" t="n">
        <x:v>1478</x:v>
      </x:c>
      <x:c r="N1136" s="26" t="n">
        <x:v>0</x:v>
      </x:c>
      <x:c r="O1136" s="26" t="n">
        <x:v>-1478</x:v>
      </x:c>
      <x:c r="P1136" s="26" t="n">
        <x:v>0</x:v>
      </x:c>
      <x:c r="Q1136" s="26" t="n">
        <x:v>0</x:v>
      </x:c>
      <x:c r="R1136" s="26" t="n">
        <x:v>0</x:v>
      </x:c>
      <x:c r="S1136" s="26" t="n">
        <x:v>-629</x:v>
      </x:c>
      <x:c r="T1136" s="26" t="n">
        <x:v>0</x:v>
      </x:c>
      <x:c r="U1136" s="26" t="n">
        <x:v>849</x:v>
      </x:c>
      <x:c r="V1136" s="26" t="n">
        <x:v>0</x:v>
      </x:c>
      <x:c r="W1136" s="26" t="n">
        <x:v>0</x:v>
      </x:c>
      <x:c r="X1136" s="26" t="n">
        <x:v>0</x:v>
      </x:c>
      <x:c r="Y1136" s="26" t="n">
        <x:v>0</x:v>
      </x:c>
      <x:c r="Z1136" s="35" t="str">
        <x:v>LN019 scheduled payment</x:v>
      </x:c>
    </x:row>
    <x:row r="1137">
      <x:c r="A1137" s="20" t="str">
        <x:v>FIN-01134</x:v>
      </x:c>
      <x:c r="B1137" s="23" t="n">
        <x:v>46438</x:v>
      </x:c>
      <x:c r="C1137" s="23" t="n">
        <x:v>46438</x:v>
      </x:c>
      <x:c r="D1137" s="20" t="str">
        <x:v>LoanPayment</x:v>
      </x:c>
      <x:c r="E1137" s="20" t="str">
        <x:v>Mortgage principal and interest</x:v>
      </x:c>
      <x:c r="F1137" s="20" t="str">
        <x:v>P020</x:v>
      </x:c>
      <x:c r="G1137" s="20" t="str"/>
      <x:c r="H1137" s="20" t="str"/>
      <x:c r="I1137" s="20" t="str">
        <x:v>First QA Mortgage</x:v>
      </x:c>
      <x:c r="J1137" s="35" t="str">
        <x:v>Recurring loan payment + scanned statement</x:v>
      </x:c>
      <x:c r="K1137" s="20" t="str">
        <x:v>SCN-0491</x:v>
      </x:c>
      <x:c r="L1137" s="20" t="str">
        <x:v>LN020-202702</x:v>
      </x:c>
      <x:c r="M1137" s="26" t="n">
        <x:v>1502</x:v>
      </x:c>
      <x:c r="N1137" s="26" t="n">
        <x:v>0</x:v>
      </x:c>
      <x:c r="O1137" s="26" t="n">
        <x:v>-1502</x:v>
      </x:c>
      <x:c r="P1137" s="26" t="n">
        <x:v>0</x:v>
      </x:c>
      <x:c r="Q1137" s="26" t="n">
        <x:v>0</x:v>
      </x:c>
      <x:c r="R1137" s="26" t="n">
        <x:v>0</x:v>
      </x:c>
      <x:c r="S1137" s="26" t="n">
        <x:v>-640</x:v>
      </x:c>
      <x:c r="T1137" s="26" t="n">
        <x:v>0</x:v>
      </x:c>
      <x:c r="U1137" s="26" t="n">
        <x:v>862</x:v>
      </x:c>
      <x:c r="V1137" s="26" t="n">
        <x:v>0</x:v>
      </x:c>
      <x:c r="W1137" s="26" t="n">
        <x:v>0</x:v>
      </x:c>
      <x:c r="X1137" s="26" t="n">
        <x:v>0</x:v>
      </x:c>
      <x:c r="Y1137" s="26" t="n">
        <x:v>0</x:v>
      </x:c>
      <x:c r="Z1137" s="35" t="str">
        <x:v>LN020 scheduled payment</x:v>
      </x:c>
    </x:row>
    <x:row r="1138">
      <x:c r="A1138" s="20" t="str">
        <x:v>FIN-01135</x:v>
      </x:c>
      <x:c r="B1138" s="23" t="n">
        <x:v>46438</x:v>
      </x:c>
      <x:c r="C1138" s="23" t="n">
        <x:v>46438</x:v>
      </x:c>
      <x:c r="D1138" s="20" t="str">
        <x:v>LoanPayment</x:v>
      </x:c>
      <x:c r="E1138" s="20" t="str">
        <x:v>Mortgage principal and interest</x:v>
      </x:c>
      <x:c r="F1138" s="20" t="str">
        <x:v>P022</x:v>
      </x:c>
      <x:c r="G1138" s="20" t="str"/>
      <x:c r="H1138" s="20" t="str"/>
      <x:c r="I1138" s="20" t="str">
        <x:v>First QA Mortgage</x:v>
      </x:c>
      <x:c r="J1138" s="35" t="str">
        <x:v>Recurring loan payment + scanned statement</x:v>
      </x:c>
      <x:c r="K1138" s="20" t="str">
        <x:v>SCN-0492</x:v>
      </x:c>
      <x:c r="L1138" s="20" t="str">
        <x:v>LN022-202702</x:v>
      </x:c>
      <x:c r="M1138" s="26" t="n">
        <x:v>1550</x:v>
      </x:c>
      <x:c r="N1138" s="26" t="n">
        <x:v>0</x:v>
      </x:c>
      <x:c r="O1138" s="26" t="n">
        <x:v>-1550</x:v>
      </x:c>
      <x:c r="P1138" s="26" t="n">
        <x:v>0</x:v>
      </x:c>
      <x:c r="Q1138" s="26" t="n">
        <x:v>0</x:v>
      </x:c>
      <x:c r="R1138" s="26" t="n">
        <x:v>0</x:v>
      </x:c>
      <x:c r="S1138" s="26" t="n">
        <x:v>-662</x:v>
      </x:c>
      <x:c r="T1138" s="26" t="n">
        <x:v>0</x:v>
      </x:c>
      <x:c r="U1138" s="26" t="n">
        <x:v>888</x:v>
      </x:c>
      <x:c r="V1138" s="26" t="n">
        <x:v>0</x:v>
      </x:c>
      <x:c r="W1138" s="26" t="n">
        <x:v>0</x:v>
      </x:c>
      <x:c r="X1138" s="26" t="n">
        <x:v>0</x:v>
      </x:c>
      <x:c r="Y1138" s="26" t="n">
        <x:v>0</x:v>
      </x:c>
      <x:c r="Z1138" s="35" t="str">
        <x:v>LN022 scheduled payment</x:v>
      </x:c>
    </x:row>
    <x:row r="1139">
      <x:c r="A1139" s="20" t="str">
        <x:v>FIN-01136</x:v>
      </x:c>
      <x:c r="B1139" s="23" t="n">
        <x:v>46438</x:v>
      </x:c>
      <x:c r="C1139" s="23" t="n">
        <x:v>46438</x:v>
      </x:c>
      <x:c r="D1139" s="20" t="str">
        <x:v>LoanPayment</x:v>
      </x:c>
      <x:c r="E1139" s="20" t="str">
        <x:v>Mortgage principal and interest</x:v>
      </x:c>
      <x:c r="F1139" s="20" t="str">
        <x:v>P023</x:v>
      </x:c>
      <x:c r="G1139" s="20" t="str"/>
      <x:c r="H1139" s="20" t="str"/>
      <x:c r="I1139" s="20" t="str">
        <x:v>First QA Mortgage</x:v>
      </x:c>
      <x:c r="J1139" s="35" t="str">
        <x:v>Recurring loan payment + scanned statement</x:v>
      </x:c>
      <x:c r="K1139" s="20" t="str">
        <x:v>SCN-0493</x:v>
      </x:c>
      <x:c r="L1139" s="20" t="str">
        <x:v>LN023-202702</x:v>
      </x:c>
      <x:c r="M1139" s="26" t="n">
        <x:v>1574</x:v>
      </x:c>
      <x:c r="N1139" s="26" t="n">
        <x:v>0</x:v>
      </x:c>
      <x:c r="O1139" s="26" t="n">
        <x:v>-1574</x:v>
      </x:c>
      <x:c r="P1139" s="26" t="n">
        <x:v>0</x:v>
      </x:c>
      <x:c r="Q1139" s="26" t="n">
        <x:v>0</x:v>
      </x:c>
      <x:c r="R1139" s="26" t="n">
        <x:v>0</x:v>
      </x:c>
      <x:c r="S1139" s="26" t="n">
        <x:v>-673</x:v>
      </x:c>
      <x:c r="T1139" s="26" t="n">
        <x:v>0</x:v>
      </x:c>
      <x:c r="U1139" s="26" t="n">
        <x:v>901</x:v>
      </x:c>
      <x:c r="V1139" s="26" t="n">
        <x:v>0</x:v>
      </x:c>
      <x:c r="W1139" s="26" t="n">
        <x:v>0</x:v>
      </x:c>
      <x:c r="X1139" s="26" t="n">
        <x:v>0</x:v>
      </x:c>
      <x:c r="Y1139" s="26" t="n">
        <x:v>0</x:v>
      </x:c>
      <x:c r="Z1139" s="35" t="str">
        <x:v>LN023 scheduled payment</x:v>
      </x:c>
    </x:row>
    <x:row r="1140">
      <x:c r="A1140" s="20" t="str">
        <x:v>FIN-01137</x:v>
      </x:c>
      <x:c r="B1140" s="23" t="n">
        <x:v>46438</x:v>
      </x:c>
      <x:c r="C1140" s="23" t="n">
        <x:v>46438</x:v>
      </x:c>
      <x:c r="D1140" s="20" t="str">
        <x:v>LoanPayment</x:v>
      </x:c>
      <x:c r="E1140" s="20" t="str">
        <x:v>Mortgage principal and interest</x:v>
      </x:c>
      <x:c r="F1140" s="20" t="str">
        <x:v>P025</x:v>
      </x:c>
      <x:c r="G1140" s="20" t="str"/>
      <x:c r="H1140" s="20" t="str"/>
      <x:c r="I1140" s="20" t="str">
        <x:v>First QA Mortgage</x:v>
      </x:c>
      <x:c r="J1140" s="35" t="str">
        <x:v>Recurring loan payment + scanned statement</x:v>
      </x:c>
      <x:c r="K1140" s="20" t="str">
        <x:v>SCN-0494</x:v>
      </x:c>
      <x:c r="L1140" s="20" t="str">
        <x:v>LN025-202702</x:v>
      </x:c>
      <x:c r="M1140" s="26" t="n">
        <x:v>1622</x:v>
      </x:c>
      <x:c r="N1140" s="26" t="n">
        <x:v>0</x:v>
      </x:c>
      <x:c r="O1140" s="26" t="n">
        <x:v>-1622</x:v>
      </x:c>
      <x:c r="P1140" s="26" t="n">
        <x:v>0</x:v>
      </x:c>
      <x:c r="Q1140" s="26" t="n">
        <x:v>0</x:v>
      </x:c>
      <x:c r="R1140" s="26" t="n">
        <x:v>0</x:v>
      </x:c>
      <x:c r="S1140" s="26" t="n">
        <x:v>-695</x:v>
      </x:c>
      <x:c r="T1140" s="26" t="n">
        <x:v>0</x:v>
      </x:c>
      <x:c r="U1140" s="26" t="n">
        <x:v>927</x:v>
      </x:c>
      <x:c r="V1140" s="26" t="n">
        <x:v>0</x:v>
      </x:c>
      <x:c r="W1140" s="26" t="n">
        <x:v>0</x:v>
      </x:c>
      <x:c r="X1140" s="26" t="n">
        <x:v>0</x:v>
      </x:c>
      <x:c r="Y1140" s="26" t="n">
        <x:v>0</x:v>
      </x:c>
      <x:c r="Z1140" s="35" t="str">
        <x:v>LN025 scheduled payment</x:v>
      </x:c>
    </x:row>
    <x:row r="1141">
      <x:c r="A1141" s="20" t="str">
        <x:v>FIN-01138</x:v>
      </x:c>
      <x:c r="B1141" s="23" t="n">
        <x:v>46438</x:v>
      </x:c>
      <x:c r="C1141" s="23" t="n">
        <x:v>46438</x:v>
      </x:c>
      <x:c r="D1141" s="20" t="str">
        <x:v>LoanPayment</x:v>
      </x:c>
      <x:c r="E1141" s="20" t="str">
        <x:v>Mortgage principal and interest</x:v>
      </x:c>
      <x:c r="F1141" s="20" t="str">
        <x:v>P026</x:v>
      </x:c>
      <x:c r="G1141" s="20" t="str"/>
      <x:c r="H1141" s="20" t="str"/>
      <x:c r="I1141" s="20" t="str">
        <x:v>First QA Mortgage</x:v>
      </x:c>
      <x:c r="J1141" s="35" t="str">
        <x:v>Recurring loan payment + scanned statement</x:v>
      </x:c>
      <x:c r="K1141" s="20" t="str">
        <x:v>SCN-0495</x:v>
      </x:c>
      <x:c r="L1141" s="20" t="str">
        <x:v>LN026-202702</x:v>
      </x:c>
      <x:c r="M1141" s="26" t="n">
        <x:v>1646</x:v>
      </x:c>
      <x:c r="N1141" s="26" t="n">
        <x:v>0</x:v>
      </x:c>
      <x:c r="O1141" s="26" t="n">
        <x:v>-1646</x:v>
      </x:c>
      <x:c r="P1141" s="26" t="n">
        <x:v>0</x:v>
      </x:c>
      <x:c r="Q1141" s="26" t="n">
        <x:v>0</x:v>
      </x:c>
      <x:c r="R1141" s="26" t="n">
        <x:v>0</x:v>
      </x:c>
      <x:c r="S1141" s="26" t="n">
        <x:v>-706</x:v>
      </x:c>
      <x:c r="T1141" s="26" t="n">
        <x:v>0</x:v>
      </x:c>
      <x:c r="U1141" s="26" t="n">
        <x:v>940</x:v>
      </x:c>
      <x:c r="V1141" s="26" t="n">
        <x:v>0</x:v>
      </x:c>
      <x:c r="W1141" s="26" t="n">
        <x:v>0</x:v>
      </x:c>
      <x:c r="X1141" s="26" t="n">
        <x:v>0</x:v>
      </x:c>
      <x:c r="Y1141" s="26" t="n">
        <x:v>0</x:v>
      </x:c>
      <x:c r="Z1141" s="35" t="str">
        <x:v>LN026 scheduled payment</x:v>
      </x:c>
    </x:row>
    <x:row r="1142">
      <x:c r="A1142" s="20" t="str">
        <x:v>FIN-01139</x:v>
      </x:c>
      <x:c r="B1142" s="23" t="n">
        <x:v>46438</x:v>
      </x:c>
      <x:c r="C1142" s="23" t="n">
        <x:v>46438</x:v>
      </x:c>
      <x:c r="D1142" s="20" t="str">
        <x:v>LoanPayment</x:v>
      </x:c>
      <x:c r="E1142" s="20" t="str">
        <x:v>Mortgage principal and interest</x:v>
      </x:c>
      <x:c r="F1142" s="20" t="str">
        <x:v>P028</x:v>
      </x:c>
      <x:c r="G1142" s="20" t="str"/>
      <x:c r="H1142" s="20" t="str"/>
      <x:c r="I1142" s="20" t="str">
        <x:v>First QA Mortgage</x:v>
      </x:c>
      <x:c r="J1142" s="35" t="str">
        <x:v>Recurring loan payment + scanned statement</x:v>
      </x:c>
      <x:c r="K1142" s="20" t="str">
        <x:v>SCN-0496</x:v>
      </x:c>
      <x:c r="L1142" s="20" t="str">
        <x:v>LN028-202702</x:v>
      </x:c>
      <x:c r="M1142" s="26" t="n">
        <x:v>1694</x:v>
      </x:c>
      <x:c r="N1142" s="26" t="n">
        <x:v>0</x:v>
      </x:c>
      <x:c r="O1142" s="26" t="n">
        <x:v>-1694</x:v>
      </x:c>
      <x:c r="P1142" s="26" t="n">
        <x:v>0</x:v>
      </x:c>
      <x:c r="Q1142" s="26" t="n">
        <x:v>0</x:v>
      </x:c>
      <x:c r="R1142" s="26" t="n">
        <x:v>0</x:v>
      </x:c>
      <x:c r="S1142" s="26" t="n">
        <x:v>-728</x:v>
      </x:c>
      <x:c r="T1142" s="26" t="n">
        <x:v>0</x:v>
      </x:c>
      <x:c r="U1142" s="26" t="n">
        <x:v>966</x:v>
      </x:c>
      <x:c r="V1142" s="26" t="n">
        <x:v>0</x:v>
      </x:c>
      <x:c r="W1142" s="26" t="n">
        <x:v>0</x:v>
      </x:c>
      <x:c r="X1142" s="26" t="n">
        <x:v>0</x:v>
      </x:c>
      <x:c r="Y1142" s="26" t="n">
        <x:v>0</x:v>
      </x:c>
      <x:c r="Z1142" s="35" t="str">
        <x:v>LN028 scheduled payment</x:v>
      </x:c>
    </x:row>
    <x:row r="1143">
      <x:c r="A1143" s="20" t="str">
        <x:v>FIN-01140</x:v>
      </x:c>
      <x:c r="B1143" s="23" t="n">
        <x:v>46438</x:v>
      </x:c>
      <x:c r="C1143" s="23" t="n">
        <x:v>46438</x:v>
      </x:c>
      <x:c r="D1143" s="20" t="str">
        <x:v>LoanPayment</x:v>
      </x:c>
      <x:c r="E1143" s="20" t="str">
        <x:v>Mortgage principal and interest</x:v>
      </x:c>
      <x:c r="F1143" s="20" t="str">
        <x:v>P029</x:v>
      </x:c>
      <x:c r="G1143" s="20" t="str"/>
      <x:c r="H1143" s="20" t="str"/>
      <x:c r="I1143" s="20" t="str">
        <x:v>First QA Mortgage</x:v>
      </x:c>
      <x:c r="J1143" s="35" t="str">
        <x:v>Recurring loan payment + scanned statement</x:v>
      </x:c>
      <x:c r="K1143" s="20" t="str">
        <x:v>SCN-0497</x:v>
      </x:c>
      <x:c r="L1143" s="20" t="str">
        <x:v>LN029-202702</x:v>
      </x:c>
      <x:c r="M1143" s="26" t="n">
        <x:v>1718</x:v>
      </x:c>
      <x:c r="N1143" s="26" t="n">
        <x:v>0</x:v>
      </x:c>
      <x:c r="O1143" s="26" t="n">
        <x:v>-1718</x:v>
      </x:c>
      <x:c r="P1143" s="26" t="n">
        <x:v>0</x:v>
      </x:c>
      <x:c r="Q1143" s="26" t="n">
        <x:v>0</x:v>
      </x:c>
      <x:c r="R1143" s="26" t="n">
        <x:v>0</x:v>
      </x:c>
      <x:c r="S1143" s="26" t="n">
        <x:v>-739</x:v>
      </x:c>
      <x:c r="T1143" s="26" t="n">
        <x:v>0</x:v>
      </x:c>
      <x:c r="U1143" s="26" t="n">
        <x:v>979</x:v>
      </x:c>
      <x:c r="V1143" s="26" t="n">
        <x:v>0</x:v>
      </x:c>
      <x:c r="W1143" s="26" t="n">
        <x:v>0</x:v>
      </x:c>
      <x:c r="X1143" s="26" t="n">
        <x:v>0</x:v>
      </x:c>
      <x:c r="Y1143" s="26" t="n">
        <x:v>0</x:v>
      </x:c>
      <x:c r="Z1143" s="35" t="str">
        <x:v>LN029 scheduled payment</x:v>
      </x:c>
    </x:row>
    <x:row r="1144">
      <x:c r="A1144" s="20" t="str">
        <x:v>FIN-01141</x:v>
      </x:c>
      <x:c r="B1144" s="23" t="n">
        <x:v>46443</x:v>
      </x:c>
      <x:c r="C1144" s="23" t="n">
        <x:v>46443</x:v>
      </x:c>
      <x:c r="D1144" s="20" t="str">
        <x:v>OwnerDistribution</x:v>
      </x:c>
      <x:c r="E1144" s="20" t="str">
        <x:v>Owner distribution</x:v>
      </x:c>
      <x:c r="F1144" s="20" t="str"/>
      <x:c r="G1144" s="20" t="str"/>
      <x:c r="H1144" s="20" t="str"/>
      <x:c r="I1144" s="20" t="str">
        <x:v>Blue Door Residential LLC</x:v>
      </x:c>
      <x:c r="J1144" s="35" t="str">
        <x:v>Manual approval and bank export</x:v>
      </x:c>
      <x:c r="K1144" s="20" t="str"/>
      <x:c r="L1144" s="20" t="str">
        <x:v>DIST-202702-O01</x:v>
      </x:c>
      <x:c r="M1144" s="26" t="n">
        <x:v>3250</x:v>
      </x:c>
      <x:c r="N1144" s="26" t="n">
        <x:v>0</x:v>
      </x:c>
      <x:c r="O1144" s="26" t="n">
        <x:v>-3250</x:v>
      </x:c>
      <x:c r="P1144" s="26" t="n">
        <x:v>0</x:v>
      </x:c>
      <x:c r="Q1144" s="26" t="n">
        <x:v>0</x:v>
      </x:c>
      <x:c r="R1144" s="26" t="n">
        <x:v>0</x:v>
      </x:c>
      <x:c r="S1144" s="26" t="n">
        <x:v>0</x:v>
      </x:c>
      <x:c r="T1144" s="26" t="n">
        <x:v>0</x:v>
      </x:c>
      <x:c r="U1144" s="26" t="n">
        <x:v>0</x:v>
      </x:c>
      <x:c r="V1144" s="26" t="n">
        <x:v>0</x:v>
      </x:c>
      <x:c r="W1144" s="26" t="n">
        <x:v>3250</x:v>
      </x:c>
      <x:c r="X1144" s="26" t="n">
        <x:v>0</x:v>
      </x:c>
      <x:c r="Y1144" s="26" t="n">
        <x:v>0</x:v>
      </x:c>
      <x:c r="Z1144" s="35" t="str">
        <x:v>Monthly distribution to Blue Door Residential LLC</x:v>
      </x:c>
    </x:row>
    <x:row r="1145">
      <x:c r="A1145" s="20" t="str">
        <x:v>FIN-01142</x:v>
      </x:c>
      <x:c r="B1145" s="23" t="n">
        <x:v>46443</x:v>
      </x:c>
      <x:c r="C1145" s="23" t="n">
        <x:v>46443</x:v>
      </x:c>
      <x:c r="D1145" s="20" t="str">
        <x:v>OwnerDistribution</x:v>
      </x:c>
      <x:c r="E1145" s="20" t="str">
        <x:v>Owner distribution</x:v>
      </x:c>
      <x:c r="F1145" s="20" t="str"/>
      <x:c r="G1145" s="20" t="str"/>
      <x:c r="H1145" s="20" t="str"/>
      <x:c r="I1145" s="20" t="str">
        <x:v>Coble Family Rentals LLC</x:v>
      </x:c>
      <x:c r="J1145" s="35" t="str">
        <x:v>Manual approval and bank export</x:v>
      </x:c>
      <x:c r="K1145" s="20" t="str"/>
      <x:c r="L1145" s="20" t="str">
        <x:v>DIST-202702-O02</x:v>
      </x:c>
      <x:c r="M1145" s="26" t="n">
        <x:v>3600</x:v>
      </x:c>
      <x:c r="N1145" s="26" t="n">
        <x:v>0</x:v>
      </x:c>
      <x:c r="O1145" s="26" t="n">
        <x:v>-3600</x:v>
      </x:c>
      <x:c r="P1145" s="26" t="n">
        <x:v>0</x:v>
      </x:c>
      <x:c r="Q1145" s="26" t="n">
        <x:v>0</x:v>
      </x:c>
      <x:c r="R1145" s="26" t="n">
        <x:v>0</x:v>
      </x:c>
      <x:c r="S1145" s="26" t="n">
        <x:v>0</x:v>
      </x:c>
      <x:c r="T1145" s="26" t="n">
        <x:v>0</x:v>
      </x:c>
      <x:c r="U1145" s="26" t="n">
        <x:v>0</x:v>
      </x:c>
      <x:c r="V1145" s="26" t="n">
        <x:v>0</x:v>
      </x:c>
      <x:c r="W1145" s="26" t="n">
        <x:v>3600</x:v>
      </x:c>
      <x:c r="X1145" s="26" t="n">
        <x:v>0</x:v>
      </x:c>
      <x:c r="Y1145" s="26" t="n">
        <x:v>0</x:v>
      </x:c>
      <x:c r="Z1145" s="35" t="str">
        <x:v>Monthly distribution to Coble Family Rentals LLC</x:v>
      </x:c>
    </x:row>
    <x:row r="1146">
      <x:c r="A1146" s="20" t="str">
        <x:v>FIN-01143</x:v>
      </x:c>
      <x:c r="B1146" s="23" t="n">
        <x:v>46443</x:v>
      </x:c>
      <x:c r="C1146" s="23" t="n">
        <x:v>46443</x:v>
      </x:c>
      <x:c r="D1146" s="20" t="str">
        <x:v>OwnerDistribution</x:v>
      </x:c>
      <x:c r="E1146" s="20" t="str">
        <x:v>Owner distribution</x:v>
      </x:c>
      <x:c r="F1146" s="20" t="str"/>
      <x:c r="G1146" s="20" t="str"/>
      <x:c r="H1146" s="20" t="str"/>
      <x:c r="I1146" s="20" t="str">
        <x:v>Northstar Property Partners LLC</x:v>
      </x:c>
      <x:c r="J1146" s="35" t="str">
        <x:v>Manual approval and bank export</x:v>
      </x:c>
      <x:c r="K1146" s="20" t="str"/>
      <x:c r="L1146" s="20" t="str">
        <x:v>DIST-202702-O03</x:v>
      </x:c>
      <x:c r="M1146" s="26" t="n">
        <x:v>3950</x:v>
      </x:c>
      <x:c r="N1146" s="26" t="n">
        <x:v>0</x:v>
      </x:c>
      <x:c r="O1146" s="26" t="n">
        <x:v>-3950</x:v>
      </x:c>
      <x:c r="P1146" s="26" t="n">
        <x:v>0</x:v>
      </x:c>
      <x:c r="Q1146" s="26" t="n">
        <x:v>0</x:v>
      </x:c>
      <x:c r="R1146" s="26" t="n">
        <x:v>0</x:v>
      </x:c>
      <x:c r="S1146" s="26" t="n">
        <x:v>0</x:v>
      </x:c>
      <x:c r="T1146" s="26" t="n">
        <x:v>0</x:v>
      </x:c>
      <x:c r="U1146" s="26" t="n">
        <x:v>0</x:v>
      </x:c>
      <x:c r="V1146" s="26" t="n">
        <x:v>0</x:v>
      </x:c>
      <x:c r="W1146" s="26" t="n">
        <x:v>3950</x:v>
      </x:c>
      <x:c r="X1146" s="26" t="n">
        <x:v>0</x:v>
      </x:c>
      <x:c r="Y1146" s="26" t="n">
        <x:v>0</x:v>
      </x:c>
      <x:c r="Z1146" s="35" t="str">
        <x:v>Monthly distribution to Northstar Property Partners LLC</x:v>
      </x:c>
    </x:row>
    <x:row r="1147">
      <x:c r="A1147" s="20" t="str">
        <x:v>FIN-01144</x:v>
      </x:c>
      <x:c r="B1147" s="23" t="n">
        <x:v>46443</x:v>
      </x:c>
      <x:c r="C1147" s="23" t="n">
        <x:v>46443</x:v>
      </x:c>
      <x:c r="D1147" s="20" t="str">
        <x:v>OwnerDistribution</x:v>
      </x:c>
      <x:c r="E1147" s="20" t="str">
        <x:v>Owner distribution</x:v>
      </x:c>
      <x:c r="F1147" s="20" t="str"/>
      <x:c r="G1147" s="20" t="str"/>
      <x:c r="H1147" s="20" t="str"/>
      <x:c r="I1147" s="20" t="str">
        <x:v>Riverbend Homes LLC</x:v>
      </x:c>
      <x:c r="J1147" s="35" t="str">
        <x:v>Manual approval and bank export</x:v>
      </x:c>
      <x:c r="K1147" s="20" t="str"/>
      <x:c r="L1147" s="20" t="str">
        <x:v>DIST-202702-O04</x:v>
      </x:c>
      <x:c r="M1147" s="26" t="n">
        <x:v>4300</x:v>
      </x:c>
      <x:c r="N1147" s="26" t="n">
        <x:v>0</x:v>
      </x:c>
      <x:c r="O1147" s="26" t="n">
        <x:v>-4300</x:v>
      </x:c>
      <x:c r="P1147" s="26" t="n">
        <x:v>0</x:v>
      </x:c>
      <x:c r="Q1147" s="26" t="n">
        <x:v>0</x:v>
      </x:c>
      <x:c r="R1147" s="26" t="n">
        <x:v>0</x:v>
      </x:c>
      <x:c r="S1147" s="26" t="n">
        <x:v>0</x:v>
      </x:c>
      <x:c r="T1147" s="26" t="n">
        <x:v>0</x:v>
      </x:c>
      <x:c r="U1147" s="26" t="n">
        <x:v>0</x:v>
      </x:c>
      <x:c r="V1147" s="26" t="n">
        <x:v>0</x:v>
      </x:c>
      <x:c r="W1147" s="26" t="n">
        <x:v>4300</x:v>
      </x:c>
      <x:c r="X1147" s="26" t="n">
        <x:v>0</x:v>
      </x:c>
      <x:c r="Y1147" s="26" t="n">
        <x:v>0</x:v>
      </x:c>
      <x:c r="Z1147" s="35" t="str">
        <x:v>Monthly distribution to Riverbend Homes LLC</x:v>
      </x:c>
    </x:row>
    <x:row r="1148">
      <x:c r="A1148" s="20" t="str">
        <x:v>FIN-01145</x:v>
      </x:c>
      <x:c r="B1148" s="23" t="n">
        <x:v>46443</x:v>
      </x:c>
      <x:c r="C1148" s="23" t="n">
        <x:v>46443</x:v>
      </x:c>
      <x:c r="D1148" s="20" t="str">
        <x:v>OwnerDistribution</x:v>
      </x:c>
      <x:c r="E1148" s="20" t="str">
        <x:v>Owner distribution</x:v>
      </x:c>
      <x:c r="F1148" s="20" t="str"/>
      <x:c r="G1148" s="20" t="str"/>
      <x:c r="H1148" s="20" t="str"/>
      <x:c r="I1148" s="20" t="str">
        <x:v>Juniper Street Holdings LLC</x:v>
      </x:c>
      <x:c r="J1148" s="35" t="str">
        <x:v>Manual approval and bank export</x:v>
      </x:c>
      <x:c r="K1148" s="20" t="str"/>
      <x:c r="L1148" s="20" t="str">
        <x:v>DIST-202702-O05</x:v>
      </x:c>
      <x:c r="M1148" s="26" t="n">
        <x:v>4650</x:v>
      </x:c>
      <x:c r="N1148" s="26" t="n">
        <x:v>0</x:v>
      </x:c>
      <x:c r="O1148" s="26" t="n">
        <x:v>-4650</x:v>
      </x:c>
      <x:c r="P1148" s="26" t="n">
        <x:v>0</x:v>
      </x:c>
      <x:c r="Q1148" s="26" t="n">
        <x:v>0</x:v>
      </x:c>
      <x:c r="R1148" s="26" t="n">
        <x:v>0</x:v>
      </x:c>
      <x:c r="S1148" s="26" t="n">
        <x:v>0</x:v>
      </x:c>
      <x:c r="T1148" s="26" t="n">
        <x:v>0</x:v>
      </x:c>
      <x:c r="U1148" s="26" t="n">
        <x:v>0</x:v>
      </x:c>
      <x:c r="V1148" s="26" t="n">
        <x:v>0</x:v>
      </x:c>
      <x:c r="W1148" s="26" t="n">
        <x:v>4650</x:v>
      </x:c>
      <x:c r="X1148" s="26" t="n">
        <x:v>0</x:v>
      </x:c>
      <x:c r="Y1148" s="26" t="n">
        <x:v>0</x:v>
      </x:c>
      <x:c r="Z1148" s="35" t="str">
        <x:v>Monthly distribution to Juniper Street Holdings LLC</x:v>
      </x:c>
    </x:row>
    <x:row r="1149">
      <x:c r="A1149" s="20" t="str">
        <x:v>FIN-01146</x:v>
      </x:c>
      <x:c r="B1149" s="23" t="n">
        <x:v>46461</x:v>
      </x:c>
      <x:c r="C1149" s="23" t="n">
        <x:v>46461</x:v>
      </x:c>
      <x:c r="D1149" s="20" t="str">
        <x:v>OperatingExpense</x:v>
      </x:c>
      <x:c r="E1149" s="20" t="str">
        <x:v>Utilities</x:v>
      </x:c>
      <x:c r="F1149" s="20" t="str">
        <x:v>P021</x:v>
      </x:c>
      <x:c r="G1149" s="20" t="str"/>
      <x:c r="H1149" s="20" t="str"/>
      <x:c r="I1149" s="20" t="str">
        <x:v>City Water &amp; Sewer</x:v>
      </x:c>
      <x:c r="J1149" s="35" t="str">
        <x:v>Scanned receipt/invoice</x:v>
      </x:c>
      <x:c r="K1149" s="20" t="str">
        <x:v>SCN-0499</x:v>
      </x:c>
      <x:c r="L1149" s="20" t="str">
        <x:v>EXP-20270315-1061</x:v>
      </x:c>
      <x:c r="M1149" s="26" t="n">
        <x:v>158</x:v>
      </x:c>
      <x:c r="N1149" s="26" t="n">
        <x:v>0</x:v>
      </x:c>
      <x:c r="O1149" s="26" t="n">
        <x:v>-158</x:v>
      </x:c>
      <x:c r="P1149" s="26" t="n">
        <x:v>0</x:v>
      </x:c>
      <x:c r="Q1149" s="26" t="n">
        <x:v>0</x:v>
      </x:c>
      <x:c r="R1149" s="26" t="n">
        <x:v>0</x:v>
      </x:c>
      <x:c r="S1149" s="26" t="n">
        <x:v>0</x:v>
      </x:c>
      <x:c r="T1149" s="26" t="n">
        <x:v>0</x:v>
      </x:c>
      <x:c r="U1149" s="26" t="n">
        <x:v>158</x:v>
      </x:c>
      <x:c r="V1149" s="26" t="n">
        <x:v>0</x:v>
      </x:c>
      <x:c r="W1149" s="26" t="n">
        <x:v>0</x:v>
      </x:c>
      <x:c r="X1149" s="26" t="n">
        <x:v>0</x:v>
      </x:c>
      <x:c r="Y1149" s="26" t="n">
        <x:v>0</x:v>
      </x:c>
      <x:c r="Z1149" s="35" t="str">
        <x:v>City Water &amp; Sewer</x:v>
      </x:c>
    </x:row>
    <x:row r="1150">
      <x:c r="A1150" s="20" t="str">
        <x:v>FIN-01147</x:v>
      </x:c>
      <x:c r="B1150" s="23" t="n">
        <x:v>46461</x:v>
      </x:c>
      <x:c r="C1150" s="23" t="n">
        <x:v>46461</x:v>
      </x:c>
      <x:c r="D1150" s="20" t="str">
        <x:v>OperatingExpense</x:v>
      </x:c>
      <x:c r="E1150" s="20" t="str">
        <x:v>Utilities</x:v>
      </x:c>
      <x:c r="F1150" s="20" t="str">
        <x:v>P022</x:v>
      </x:c>
      <x:c r="G1150" s="20" t="str"/>
      <x:c r="H1150" s="20" t="str"/>
      <x:c r="I1150" s="20" t="str">
        <x:v>City Water &amp; Sewer</x:v>
      </x:c>
      <x:c r="J1150" s="35" t="str">
        <x:v>Scanned receipt/invoice</x:v>
      </x:c>
      <x:c r="K1150" s="20" t="str">
        <x:v>SCN-0500</x:v>
      </x:c>
      <x:c r="L1150" s="20" t="str">
        <x:v>EXP-20270315-1062</x:v>
      </x:c>
      <x:c r="M1150" s="26" t="n">
        <x:v>165</x:v>
      </x:c>
      <x:c r="N1150" s="26" t="n">
        <x:v>0</x:v>
      </x:c>
      <x:c r="O1150" s="26" t="n">
        <x:v>-165</x:v>
      </x:c>
      <x:c r="P1150" s="26" t="n">
        <x:v>0</x:v>
      </x:c>
      <x:c r="Q1150" s="26" t="n">
        <x:v>0</x:v>
      </x:c>
      <x:c r="R1150" s="26" t="n">
        <x:v>0</x:v>
      </x:c>
      <x:c r="S1150" s="26" t="n">
        <x:v>0</x:v>
      </x:c>
      <x:c r="T1150" s="26" t="n">
        <x:v>0</x:v>
      </x:c>
      <x:c r="U1150" s="26" t="n">
        <x:v>165</x:v>
      </x:c>
      <x:c r="V1150" s="26" t="n">
        <x:v>0</x:v>
      </x:c>
      <x:c r="W1150" s="26" t="n">
        <x:v>0</x:v>
      </x:c>
      <x:c r="X1150" s="26" t="n">
        <x:v>0</x:v>
      </x:c>
      <x:c r="Y1150" s="26" t="n">
        <x:v>0</x:v>
      </x:c>
      <x:c r="Z1150" s="35" t="str">
        <x:v>City Water &amp; Sewer</x:v>
      </x:c>
    </x:row>
    <x:row r="1151">
      <x:c r="A1151" s="20" t="str">
        <x:v>FIN-01148</x:v>
      </x:c>
      <x:c r="B1151" s="23" t="n">
        <x:v>46461</x:v>
      </x:c>
      <x:c r="C1151" s="23" t="n">
        <x:v>46461</x:v>
      </x:c>
      <x:c r="D1151" s="20" t="str">
        <x:v>OperatingExpense</x:v>
      </x:c>
      <x:c r="E1151" s="20" t="str">
        <x:v>Utilities</x:v>
      </x:c>
      <x:c r="F1151" s="20" t="str">
        <x:v>P023</x:v>
      </x:c>
      <x:c r="G1151" s="20" t="str"/>
      <x:c r="H1151" s="20" t="str"/>
      <x:c r="I1151" s="20" t="str">
        <x:v>City Water &amp; Sewer</x:v>
      </x:c>
      <x:c r="J1151" s="35" t="str">
        <x:v>Scanned receipt/invoice</x:v>
      </x:c>
      <x:c r="K1151" s="20" t="str">
        <x:v>SCN-0501</x:v>
      </x:c>
      <x:c r="L1151" s="20" t="str">
        <x:v>EXP-20270315-1063</x:v>
      </x:c>
      <x:c r="M1151" s="26" t="n">
        <x:v>172</x:v>
      </x:c>
      <x:c r="N1151" s="26" t="n">
        <x:v>0</x:v>
      </x:c>
      <x:c r="O1151" s="26" t="n">
        <x:v>-172</x:v>
      </x:c>
      <x:c r="P1151" s="26" t="n">
        <x:v>0</x:v>
      </x:c>
      <x:c r="Q1151" s="26" t="n">
        <x:v>0</x:v>
      </x:c>
      <x:c r="R1151" s="26" t="n">
        <x:v>0</x:v>
      </x:c>
      <x:c r="S1151" s="26" t="n">
        <x:v>0</x:v>
      </x:c>
      <x:c r="T1151" s="26" t="n">
        <x:v>0</x:v>
      </x:c>
      <x:c r="U1151" s="26" t="n">
        <x:v>172</x:v>
      </x:c>
      <x:c r="V1151" s="26" t="n">
        <x:v>0</x:v>
      </x:c>
      <x:c r="W1151" s="26" t="n">
        <x:v>0</x:v>
      </x:c>
      <x:c r="X1151" s="26" t="n">
        <x:v>0</x:v>
      </x:c>
      <x:c r="Y1151" s="26" t="n">
        <x:v>0</x:v>
      </x:c>
      <x:c r="Z1151" s="35" t="str">
        <x:v>City Water &amp; Sewer</x:v>
      </x:c>
    </x:row>
    <x:row r="1152">
      <x:c r="A1152" s="20" t="str">
        <x:v>FIN-01149</x:v>
      </x:c>
      <x:c r="B1152" s="23" t="n">
        <x:v>46461</x:v>
      </x:c>
      <x:c r="C1152" s="23" t="n">
        <x:v>46461</x:v>
      </x:c>
      <x:c r="D1152" s="20" t="str">
        <x:v>OperatingExpense</x:v>
      </x:c>
      <x:c r="E1152" s="20" t="str">
        <x:v>Utilities</x:v>
      </x:c>
      <x:c r="F1152" s="20" t="str">
        <x:v>P024</x:v>
      </x:c>
      <x:c r="G1152" s="20" t="str"/>
      <x:c r="H1152" s="20" t="str"/>
      <x:c r="I1152" s="20" t="str">
        <x:v>City Water &amp; Sewer</x:v>
      </x:c>
      <x:c r="J1152" s="35" t="str">
        <x:v>Scanned receipt/invoice</x:v>
      </x:c>
      <x:c r="K1152" s="20" t="str">
        <x:v>SCN-0502</x:v>
      </x:c>
      <x:c r="L1152" s="20" t="str">
        <x:v>EXP-20270315-1064</x:v>
      </x:c>
      <x:c r="M1152" s="26" t="n">
        <x:v>179</x:v>
      </x:c>
      <x:c r="N1152" s="26" t="n">
        <x:v>0</x:v>
      </x:c>
      <x:c r="O1152" s="26" t="n">
        <x:v>-179</x:v>
      </x:c>
      <x:c r="P1152" s="26" t="n">
        <x:v>0</x:v>
      </x:c>
      <x:c r="Q1152" s="26" t="n">
        <x:v>0</x:v>
      </x:c>
      <x:c r="R1152" s="26" t="n">
        <x:v>0</x:v>
      </x:c>
      <x:c r="S1152" s="26" t="n">
        <x:v>0</x:v>
      </x:c>
      <x:c r="T1152" s="26" t="n">
        <x:v>0</x:v>
      </x:c>
      <x:c r="U1152" s="26" t="n">
        <x:v>179</x:v>
      </x:c>
      <x:c r="V1152" s="26" t="n">
        <x:v>0</x:v>
      </x:c>
      <x:c r="W1152" s="26" t="n">
        <x:v>0</x:v>
      </x:c>
      <x:c r="X1152" s="26" t="n">
        <x:v>0</x:v>
      </x:c>
      <x:c r="Y1152" s="26" t="n">
        <x:v>0</x:v>
      </x:c>
      <x:c r="Z1152" s="35" t="str">
        <x:v>City Water &amp; Sewer</x:v>
      </x:c>
    </x:row>
    <x:row r="1153">
      <x:c r="A1153" s="20" t="str">
        <x:v>FIN-01150</x:v>
      </x:c>
      <x:c r="B1153" s="23" t="n">
        <x:v>46461</x:v>
      </x:c>
      <x:c r="C1153" s="23" t="n">
        <x:v>46461</x:v>
      </x:c>
      <x:c r="D1153" s="20" t="str">
        <x:v>OperatingExpense</x:v>
      </x:c>
      <x:c r="E1153" s="20" t="str">
        <x:v>Utilities</x:v>
      </x:c>
      <x:c r="F1153" s="20" t="str">
        <x:v>P025</x:v>
      </x:c>
      <x:c r="G1153" s="20" t="str"/>
      <x:c r="H1153" s="20" t="str"/>
      <x:c r="I1153" s="20" t="str">
        <x:v>City Water &amp; Sewer</x:v>
      </x:c>
      <x:c r="J1153" s="35" t="str">
        <x:v>Manual web form</x:v>
      </x:c>
      <x:c r="K1153" s="20" t="str"/>
      <x:c r="L1153" s="20" t="str">
        <x:v>EXP-20270315-1065</x:v>
      </x:c>
      <x:c r="M1153" s="26" t="n">
        <x:v>186</x:v>
      </x:c>
      <x:c r="N1153" s="26" t="n">
        <x:v>0</x:v>
      </x:c>
      <x:c r="O1153" s="26" t="n">
        <x:v>-186</x:v>
      </x:c>
      <x:c r="P1153" s="26" t="n">
        <x:v>0</x:v>
      </x:c>
      <x:c r="Q1153" s="26" t="n">
        <x:v>0</x:v>
      </x:c>
      <x:c r="R1153" s="26" t="n">
        <x:v>0</x:v>
      </x:c>
      <x:c r="S1153" s="26" t="n">
        <x:v>0</x:v>
      </x:c>
      <x:c r="T1153" s="26" t="n">
        <x:v>0</x:v>
      </x:c>
      <x:c r="U1153" s="26" t="n">
        <x:v>186</x:v>
      </x:c>
      <x:c r="V1153" s="26" t="n">
        <x:v>0</x:v>
      </x:c>
      <x:c r="W1153" s="26" t="n">
        <x:v>0</x:v>
      </x:c>
      <x:c r="X1153" s="26" t="n">
        <x:v>0</x:v>
      </x:c>
      <x:c r="Y1153" s="26" t="n">
        <x:v>0</x:v>
      </x:c>
      <x:c r="Z1153" s="35" t="str">
        <x:v>City Water &amp; Sewer</x:v>
      </x:c>
    </x:row>
    <x:row r="1154">
      <x:c r="A1154" s="20" t="str">
        <x:v>FIN-01151</x:v>
      </x:c>
      <x:c r="B1154" s="23" t="n">
        <x:v>46461</x:v>
      </x:c>
      <x:c r="C1154" s="23" t="n">
        <x:v>46461</x:v>
      </x:c>
      <x:c r="D1154" s="20" t="str">
        <x:v>OperatingExpense</x:v>
      </x:c>
      <x:c r="E1154" s="20" t="str">
        <x:v>Utilities</x:v>
      </x:c>
      <x:c r="F1154" s="20" t="str">
        <x:v>P026</x:v>
      </x:c>
      <x:c r="G1154" s="20" t="str"/>
      <x:c r="H1154" s="20" t="str"/>
      <x:c r="I1154" s="20" t="str">
        <x:v>City Water &amp; Sewer</x:v>
      </x:c>
      <x:c r="J1154" s="35" t="str">
        <x:v>Scanned receipt/invoice</x:v>
      </x:c>
      <x:c r="K1154" s="20" t="str">
        <x:v>SCN-0503</x:v>
      </x:c>
      <x:c r="L1154" s="20" t="str">
        <x:v>EXP-20270315-1066</x:v>
      </x:c>
      <x:c r="M1154" s="26" t="n">
        <x:v>193</x:v>
      </x:c>
      <x:c r="N1154" s="26" t="n">
        <x:v>0</x:v>
      </x:c>
      <x:c r="O1154" s="26" t="n">
        <x:v>-193</x:v>
      </x:c>
      <x:c r="P1154" s="26" t="n">
        <x:v>0</x:v>
      </x:c>
      <x:c r="Q1154" s="26" t="n">
        <x:v>0</x:v>
      </x:c>
      <x:c r="R1154" s="26" t="n">
        <x:v>0</x:v>
      </x:c>
      <x:c r="S1154" s="26" t="n">
        <x:v>0</x:v>
      </x:c>
      <x:c r="T1154" s="26" t="n">
        <x:v>0</x:v>
      </x:c>
      <x:c r="U1154" s="26" t="n">
        <x:v>193</x:v>
      </x:c>
      <x:c r="V1154" s="26" t="n">
        <x:v>0</x:v>
      </x:c>
      <x:c r="W1154" s="26" t="n">
        <x:v>0</x:v>
      </x:c>
      <x:c r="X1154" s="26" t="n">
        <x:v>0</x:v>
      </x:c>
      <x:c r="Y1154" s="26" t="n">
        <x:v>0</x:v>
      </x:c>
      <x:c r="Z1154" s="35" t="str">
        <x:v>City Water &amp; Sewer</x:v>
      </x:c>
    </x:row>
    <x:row r="1155">
      <x:c r="A1155" s="20" t="str">
        <x:v>FIN-01152</x:v>
      </x:c>
      <x:c r="B1155" s="23" t="n">
        <x:v>46461</x:v>
      </x:c>
      <x:c r="C1155" s="23" t="n">
        <x:v>46461</x:v>
      </x:c>
      <x:c r="D1155" s="20" t="str">
        <x:v>OperatingExpense</x:v>
      </x:c>
      <x:c r="E1155" s="20" t="str">
        <x:v>Utilities</x:v>
      </x:c>
      <x:c r="F1155" s="20" t="str">
        <x:v>P027</x:v>
      </x:c>
      <x:c r="G1155" s="20" t="str"/>
      <x:c r="H1155" s="20" t="str"/>
      <x:c r="I1155" s="20" t="str">
        <x:v>City Water &amp; Sewer</x:v>
      </x:c>
      <x:c r="J1155" s="35" t="str">
        <x:v>Scanned receipt/invoice</x:v>
      </x:c>
      <x:c r="K1155" s="20" t="str">
        <x:v>SCN-0504</x:v>
      </x:c>
      <x:c r="L1155" s="20" t="str">
        <x:v>EXP-20270315-1067</x:v>
      </x:c>
      <x:c r="M1155" s="26" t="n">
        <x:v>200</x:v>
      </x:c>
      <x:c r="N1155" s="26" t="n">
        <x:v>0</x:v>
      </x:c>
      <x:c r="O1155" s="26" t="n">
        <x:v>-200</x:v>
      </x:c>
      <x:c r="P1155" s="26" t="n">
        <x:v>0</x:v>
      </x:c>
      <x:c r="Q1155" s="26" t="n">
        <x:v>0</x:v>
      </x:c>
      <x:c r="R1155" s="26" t="n">
        <x:v>0</x:v>
      </x:c>
      <x:c r="S1155" s="26" t="n">
        <x:v>0</x:v>
      </x:c>
      <x:c r="T1155" s="26" t="n">
        <x:v>0</x:v>
      </x:c>
      <x:c r="U1155" s="26" t="n">
        <x:v>200</x:v>
      </x:c>
      <x:c r="V1155" s="26" t="n">
        <x:v>0</x:v>
      </x:c>
      <x:c r="W1155" s="26" t="n">
        <x:v>0</x:v>
      </x:c>
      <x:c r="X1155" s="26" t="n">
        <x:v>0</x:v>
      </x:c>
      <x:c r="Y1155" s="26" t="n">
        <x:v>0</x:v>
      </x:c>
      <x:c r="Z1155" s="35" t="str">
        <x:v>City Water &amp; Sewer</x:v>
      </x:c>
    </x:row>
    <x:row r="1156">
      <x:c r="A1156" s="20" t="str">
        <x:v>FIN-01153</x:v>
      </x:c>
      <x:c r="B1156" s="23" t="n">
        <x:v>46461</x:v>
      </x:c>
      <x:c r="C1156" s="23" t="n">
        <x:v>46461</x:v>
      </x:c>
      <x:c r="D1156" s="20" t="str">
        <x:v>OperatingExpense</x:v>
      </x:c>
      <x:c r="E1156" s="20" t="str">
        <x:v>Utilities</x:v>
      </x:c>
      <x:c r="F1156" s="20" t="str">
        <x:v>P028</x:v>
      </x:c>
      <x:c r="G1156" s="20" t="str"/>
      <x:c r="H1156" s="20" t="str"/>
      <x:c r="I1156" s="20" t="str">
        <x:v>City Water &amp; Sewer</x:v>
      </x:c>
      <x:c r="J1156" s="35" t="str">
        <x:v>Scanned receipt/invoice</x:v>
      </x:c>
      <x:c r="K1156" s="20" t="str">
        <x:v>SCN-0505</x:v>
      </x:c>
      <x:c r="L1156" s="20" t="str">
        <x:v>EXP-20270315-1068</x:v>
      </x:c>
      <x:c r="M1156" s="26" t="n">
        <x:v>207</x:v>
      </x:c>
      <x:c r="N1156" s="26" t="n">
        <x:v>0</x:v>
      </x:c>
      <x:c r="O1156" s="26" t="n">
        <x:v>-207</x:v>
      </x:c>
      <x:c r="P1156" s="26" t="n">
        <x:v>0</x:v>
      </x:c>
      <x:c r="Q1156" s="26" t="n">
        <x:v>0</x:v>
      </x:c>
      <x:c r="R1156" s="26" t="n">
        <x:v>0</x:v>
      </x:c>
      <x:c r="S1156" s="26" t="n">
        <x:v>0</x:v>
      </x:c>
      <x:c r="T1156" s="26" t="n">
        <x:v>0</x:v>
      </x:c>
      <x:c r="U1156" s="26" t="n">
        <x:v>207</x:v>
      </x:c>
      <x:c r="V1156" s="26" t="n">
        <x:v>0</x:v>
      </x:c>
      <x:c r="W1156" s="26" t="n">
        <x:v>0</x:v>
      </x:c>
      <x:c r="X1156" s="26" t="n">
        <x:v>0</x:v>
      </x:c>
      <x:c r="Y1156" s="26" t="n">
        <x:v>0</x:v>
      </x:c>
      <x:c r="Z1156" s="35" t="str">
        <x:v>City Water &amp; Sewer</x:v>
      </x:c>
    </x:row>
    <x:row r="1157">
      <x:c r="A1157" s="20" t="str">
        <x:v>FIN-01154</x:v>
      </x:c>
      <x:c r="B1157" s="23" t="n">
        <x:v>46461</x:v>
      </x:c>
      <x:c r="C1157" s="23" t="n">
        <x:v>46461</x:v>
      </x:c>
      <x:c r="D1157" s="20" t="str">
        <x:v>OperatingExpense</x:v>
      </x:c>
      <x:c r="E1157" s="20" t="str">
        <x:v>Utilities</x:v>
      </x:c>
      <x:c r="F1157" s="20" t="str">
        <x:v>P029</x:v>
      </x:c>
      <x:c r="G1157" s="20" t="str"/>
      <x:c r="H1157" s="20" t="str"/>
      <x:c r="I1157" s="20" t="str">
        <x:v>City Water &amp; Sewer</x:v>
      </x:c>
      <x:c r="J1157" s="35" t="str">
        <x:v>Scanned receipt/invoice</x:v>
      </x:c>
      <x:c r="K1157" s="20" t="str">
        <x:v>SCN-0506</x:v>
      </x:c>
      <x:c r="L1157" s="20" t="str">
        <x:v>EXP-20270315-1069</x:v>
      </x:c>
      <x:c r="M1157" s="26" t="n">
        <x:v>124</x:v>
      </x:c>
      <x:c r="N1157" s="26" t="n">
        <x:v>0</x:v>
      </x:c>
      <x:c r="O1157" s="26" t="n">
        <x:v>-124</x:v>
      </x:c>
      <x:c r="P1157" s="26" t="n">
        <x:v>0</x:v>
      </x:c>
      <x:c r="Q1157" s="26" t="n">
        <x:v>0</x:v>
      </x:c>
      <x:c r="R1157" s="26" t="n">
        <x:v>0</x:v>
      </x:c>
      <x:c r="S1157" s="26" t="n">
        <x:v>0</x:v>
      </x:c>
      <x:c r="T1157" s="26" t="n">
        <x:v>0</x:v>
      </x:c>
      <x:c r="U1157" s="26" t="n">
        <x:v>124</x:v>
      </x:c>
      <x:c r="V1157" s="26" t="n">
        <x:v>0</x:v>
      </x:c>
      <x:c r="W1157" s="26" t="n">
        <x:v>0</x:v>
      </x:c>
      <x:c r="X1157" s="26" t="n">
        <x:v>0</x:v>
      </x:c>
      <x:c r="Y1157" s="26" t="n">
        <x:v>0</x:v>
      </x:c>
      <x:c r="Z1157" s="35" t="str">
        <x:v>City Water &amp; Sewer</x:v>
      </x:c>
    </x:row>
    <x:row r="1158">
      <x:c r="A1158" s="20" t="str">
        <x:v>FIN-01155</x:v>
      </x:c>
      <x:c r="B1158" s="23" t="n">
        <x:v>46461</x:v>
      </x:c>
      <x:c r="C1158" s="23" t="n">
        <x:v>46461</x:v>
      </x:c>
      <x:c r="D1158" s="20" t="str">
        <x:v>OperatingExpense</x:v>
      </x:c>
      <x:c r="E1158" s="20" t="str">
        <x:v>Utilities</x:v>
      </x:c>
      <x:c r="F1158" s="20" t="str">
        <x:v>P030</x:v>
      </x:c>
      <x:c r="G1158" s="20" t="str"/>
      <x:c r="H1158" s="20" t="str"/>
      <x:c r="I1158" s="20" t="str">
        <x:v>City Water &amp; Sewer</x:v>
      </x:c>
      <x:c r="J1158" s="35" t="str">
        <x:v>Manual mobile form</x:v>
      </x:c>
      <x:c r="K1158" s="20" t="str"/>
      <x:c r="L1158" s="20" t="str">
        <x:v>EXP-20270315-1070</x:v>
      </x:c>
      <x:c r="M1158" s="26" t="n">
        <x:v>131</x:v>
      </x:c>
      <x:c r="N1158" s="26" t="n">
        <x:v>0</x:v>
      </x:c>
      <x:c r="O1158" s="26" t="n">
        <x:v>-131</x:v>
      </x:c>
      <x:c r="P1158" s="26" t="n">
        <x:v>0</x:v>
      </x:c>
      <x:c r="Q1158" s="26" t="n">
        <x:v>0</x:v>
      </x:c>
      <x:c r="R1158" s="26" t="n">
        <x:v>0</x:v>
      </x:c>
      <x:c r="S1158" s="26" t="n">
        <x:v>0</x:v>
      </x:c>
      <x:c r="T1158" s="26" t="n">
        <x:v>0</x:v>
      </x:c>
      <x:c r="U1158" s="26" t="n">
        <x:v>131</x:v>
      </x:c>
      <x:c r="V1158" s="26" t="n">
        <x:v>0</x:v>
      </x:c>
      <x:c r="W1158" s="26" t="n">
        <x:v>0</x:v>
      </x:c>
      <x:c r="X1158" s="26" t="n">
        <x:v>0</x:v>
      </x:c>
      <x:c r="Y1158" s="26" t="n">
        <x:v>0</x:v>
      </x:c>
      <x:c r="Z1158" s="35" t="str">
        <x:v>City Water &amp; Sewer</x:v>
      </x:c>
    </x:row>
    <x:row r="1159">
      <x:c r="A1159" s="20" t="str">
        <x:v>FIN-01156</x:v>
      </x:c>
      <x:c r="B1159" s="23" t="n">
        <x:v>46466</x:v>
      </x:c>
      <x:c r="C1159" s="23" t="n">
        <x:v>46466</x:v>
      </x:c>
      <x:c r="D1159" s="20" t="str">
        <x:v>LoanPayment</x:v>
      </x:c>
      <x:c r="E1159" s="20" t="str">
        <x:v>Mortgage principal and interest</x:v>
      </x:c>
      <x:c r="F1159" s="20" t="str">
        <x:v>P001</x:v>
      </x:c>
      <x:c r="G1159" s="20" t="str"/>
      <x:c r="H1159" s="20" t="str"/>
      <x:c r="I1159" s="20" t="str">
        <x:v>First QA Mortgage</x:v>
      </x:c>
      <x:c r="J1159" s="35" t="str">
        <x:v>Recurring loan payment + scanned statement</x:v>
      </x:c>
      <x:c r="K1159" s="20" t="str">
        <x:v>SCN-0507</x:v>
      </x:c>
      <x:c r="L1159" s="20" t="str">
        <x:v>LN001-202703</x:v>
      </x:c>
      <x:c r="M1159" s="26" t="n">
        <x:v>1038</x:v>
      </x:c>
      <x:c r="N1159" s="26" t="n">
        <x:v>0</x:v>
      </x:c>
      <x:c r="O1159" s="26" t="n">
        <x:v>-1038</x:v>
      </x:c>
      <x:c r="P1159" s="26" t="n">
        <x:v>0</x:v>
      </x:c>
      <x:c r="Q1159" s="26" t="n">
        <x:v>0</x:v>
      </x:c>
      <x:c r="R1159" s="26" t="n">
        <x:v>0</x:v>
      </x:c>
      <x:c r="S1159" s="26" t="n">
        <x:v>-431</x:v>
      </x:c>
      <x:c r="T1159" s="26" t="n">
        <x:v>0</x:v>
      </x:c>
      <x:c r="U1159" s="26" t="n">
        <x:v>607</x:v>
      </x:c>
      <x:c r="V1159" s="26" t="n">
        <x:v>0</x:v>
      </x:c>
      <x:c r="W1159" s="26" t="n">
        <x:v>0</x:v>
      </x:c>
      <x:c r="X1159" s="26" t="n">
        <x:v>0</x:v>
      </x:c>
      <x:c r="Y1159" s="26" t="n">
        <x:v>0</x:v>
      </x:c>
      <x:c r="Z1159" s="35" t="str">
        <x:v>LN001 scheduled payment</x:v>
      </x:c>
    </x:row>
    <x:row r="1160">
      <x:c r="A1160" s="20" t="str">
        <x:v>FIN-01157</x:v>
      </x:c>
      <x:c r="B1160" s="23" t="n">
        <x:v>46466</x:v>
      </x:c>
      <x:c r="C1160" s="23" t="n">
        <x:v>46466</x:v>
      </x:c>
      <x:c r="D1160" s="20" t="str">
        <x:v>LoanPayment</x:v>
      </x:c>
      <x:c r="E1160" s="20" t="str">
        <x:v>Mortgage principal and interest</x:v>
      </x:c>
      <x:c r="F1160" s="20" t="str">
        <x:v>P002</x:v>
      </x:c>
      <x:c r="G1160" s="20" t="str"/>
      <x:c r="H1160" s="20" t="str"/>
      <x:c r="I1160" s="20" t="str">
        <x:v>First QA Mortgage</x:v>
      </x:c>
      <x:c r="J1160" s="35" t="str">
        <x:v>Recurring loan payment + scanned statement</x:v>
      </x:c>
      <x:c r="K1160" s="20" t="str">
        <x:v>SCN-0508</x:v>
      </x:c>
      <x:c r="L1160" s="20" t="str">
        <x:v>LN002-202703</x:v>
      </x:c>
      <x:c r="M1160" s="26" t="n">
        <x:v>1062</x:v>
      </x:c>
      <x:c r="N1160" s="26" t="n">
        <x:v>0</x:v>
      </x:c>
      <x:c r="O1160" s="26" t="n">
        <x:v>-1062</x:v>
      </x:c>
      <x:c r="P1160" s="26" t="n">
        <x:v>0</x:v>
      </x:c>
      <x:c r="Q1160" s="26" t="n">
        <x:v>0</x:v>
      </x:c>
      <x:c r="R1160" s="26" t="n">
        <x:v>0</x:v>
      </x:c>
      <x:c r="S1160" s="26" t="n">
        <x:v>-442</x:v>
      </x:c>
      <x:c r="T1160" s="26" t="n">
        <x:v>0</x:v>
      </x:c>
      <x:c r="U1160" s="26" t="n">
        <x:v>620</x:v>
      </x:c>
      <x:c r="V1160" s="26" t="n">
        <x:v>0</x:v>
      </x:c>
      <x:c r="W1160" s="26" t="n">
        <x:v>0</x:v>
      </x:c>
      <x:c r="X1160" s="26" t="n">
        <x:v>0</x:v>
      </x:c>
      <x:c r="Y1160" s="26" t="n">
        <x:v>0</x:v>
      </x:c>
      <x:c r="Z1160" s="35" t="str">
        <x:v>LN002 scheduled payment</x:v>
      </x:c>
    </x:row>
    <x:row r="1161">
      <x:c r="A1161" s="20" t="str">
        <x:v>FIN-01158</x:v>
      </x:c>
      <x:c r="B1161" s="23" t="n">
        <x:v>46466</x:v>
      </x:c>
      <x:c r="C1161" s="23" t="n">
        <x:v>46466</x:v>
      </x:c>
      <x:c r="D1161" s="20" t="str">
        <x:v>LoanPayment</x:v>
      </x:c>
      <x:c r="E1161" s="20" t="str">
        <x:v>Mortgage principal and interest</x:v>
      </x:c>
      <x:c r="F1161" s="20" t="str">
        <x:v>P004</x:v>
      </x:c>
      <x:c r="G1161" s="20" t="str"/>
      <x:c r="H1161" s="20" t="str"/>
      <x:c r="I1161" s="20" t="str">
        <x:v>First QA Mortgage</x:v>
      </x:c>
      <x:c r="J1161" s="35" t="str">
        <x:v>Recurring loan payment + scanned statement</x:v>
      </x:c>
      <x:c r="K1161" s="20" t="str">
        <x:v>SCN-0509</x:v>
      </x:c>
      <x:c r="L1161" s="20" t="str">
        <x:v>LN004-202703</x:v>
      </x:c>
      <x:c r="M1161" s="26" t="n">
        <x:v>1110</x:v>
      </x:c>
      <x:c r="N1161" s="26" t="n">
        <x:v>0</x:v>
      </x:c>
      <x:c r="O1161" s="26" t="n">
        <x:v>-1110</x:v>
      </x:c>
      <x:c r="P1161" s="26" t="n">
        <x:v>0</x:v>
      </x:c>
      <x:c r="Q1161" s="26" t="n">
        <x:v>0</x:v>
      </x:c>
      <x:c r="R1161" s="26" t="n">
        <x:v>0</x:v>
      </x:c>
      <x:c r="S1161" s="26" t="n">
        <x:v>-464</x:v>
      </x:c>
      <x:c r="T1161" s="26" t="n">
        <x:v>0</x:v>
      </x:c>
      <x:c r="U1161" s="26" t="n">
        <x:v>646</x:v>
      </x:c>
      <x:c r="V1161" s="26" t="n">
        <x:v>0</x:v>
      </x:c>
      <x:c r="W1161" s="26" t="n">
        <x:v>0</x:v>
      </x:c>
      <x:c r="X1161" s="26" t="n">
        <x:v>0</x:v>
      </x:c>
      <x:c r="Y1161" s="26" t="n">
        <x:v>0</x:v>
      </x:c>
      <x:c r="Z1161" s="35" t="str">
        <x:v>LN004 scheduled payment</x:v>
      </x:c>
    </x:row>
    <x:row r="1162">
      <x:c r="A1162" s="20" t="str">
        <x:v>FIN-01159</x:v>
      </x:c>
      <x:c r="B1162" s="23" t="n">
        <x:v>46466</x:v>
      </x:c>
      <x:c r="C1162" s="23" t="n">
        <x:v>46466</x:v>
      </x:c>
      <x:c r="D1162" s="20" t="str">
        <x:v>LoanPayment</x:v>
      </x:c>
      <x:c r="E1162" s="20" t="str">
        <x:v>Mortgage principal and interest</x:v>
      </x:c>
      <x:c r="F1162" s="20" t="str">
        <x:v>P005</x:v>
      </x:c>
      <x:c r="G1162" s="20" t="str"/>
      <x:c r="H1162" s="20" t="str"/>
      <x:c r="I1162" s="20" t="str">
        <x:v>First QA Mortgage</x:v>
      </x:c>
      <x:c r="J1162" s="35" t="str">
        <x:v>Recurring loan payment + scanned statement</x:v>
      </x:c>
      <x:c r="K1162" s="20" t="str">
        <x:v>SCN-0510</x:v>
      </x:c>
      <x:c r="L1162" s="20" t="str">
        <x:v>LN005-202703</x:v>
      </x:c>
      <x:c r="M1162" s="26" t="n">
        <x:v>1134</x:v>
      </x:c>
      <x:c r="N1162" s="26" t="n">
        <x:v>0</x:v>
      </x:c>
      <x:c r="O1162" s="26" t="n">
        <x:v>-1134</x:v>
      </x:c>
      <x:c r="P1162" s="26" t="n">
        <x:v>0</x:v>
      </x:c>
      <x:c r="Q1162" s="26" t="n">
        <x:v>0</x:v>
      </x:c>
      <x:c r="R1162" s="26" t="n">
        <x:v>0</x:v>
      </x:c>
      <x:c r="S1162" s="26" t="n">
        <x:v>-475</x:v>
      </x:c>
      <x:c r="T1162" s="26" t="n">
        <x:v>0</x:v>
      </x:c>
      <x:c r="U1162" s="26" t="n">
        <x:v>659</x:v>
      </x:c>
      <x:c r="V1162" s="26" t="n">
        <x:v>0</x:v>
      </x:c>
      <x:c r="W1162" s="26" t="n">
        <x:v>0</x:v>
      </x:c>
      <x:c r="X1162" s="26" t="n">
        <x:v>0</x:v>
      </x:c>
      <x:c r="Y1162" s="26" t="n">
        <x:v>0</x:v>
      </x:c>
      <x:c r="Z1162" s="35" t="str">
        <x:v>LN005 scheduled payment</x:v>
      </x:c>
    </x:row>
    <x:row r="1163">
      <x:c r="A1163" s="20" t="str">
        <x:v>FIN-01160</x:v>
      </x:c>
      <x:c r="B1163" s="23" t="n">
        <x:v>46466</x:v>
      </x:c>
      <x:c r="C1163" s="23" t="n">
        <x:v>46466</x:v>
      </x:c>
      <x:c r="D1163" s="20" t="str">
        <x:v>LoanPayment</x:v>
      </x:c>
      <x:c r="E1163" s="20" t="str">
        <x:v>Mortgage principal and interest</x:v>
      </x:c>
      <x:c r="F1163" s="20" t="str">
        <x:v>P007</x:v>
      </x:c>
      <x:c r="G1163" s="20" t="str"/>
      <x:c r="H1163" s="20" t="str"/>
      <x:c r="I1163" s="20" t="str">
        <x:v>First QA Mortgage</x:v>
      </x:c>
      <x:c r="J1163" s="35" t="str">
        <x:v>Recurring loan payment + scanned statement</x:v>
      </x:c>
      <x:c r="K1163" s="20" t="str">
        <x:v>SCN-0511</x:v>
      </x:c>
      <x:c r="L1163" s="20" t="str">
        <x:v>LN007-202703</x:v>
      </x:c>
      <x:c r="M1163" s="26" t="n">
        <x:v>1182</x:v>
      </x:c>
      <x:c r="N1163" s="26" t="n">
        <x:v>0</x:v>
      </x:c>
      <x:c r="O1163" s="26" t="n">
        <x:v>-1182</x:v>
      </x:c>
      <x:c r="P1163" s="26" t="n">
        <x:v>0</x:v>
      </x:c>
      <x:c r="Q1163" s="26" t="n">
        <x:v>0</x:v>
      </x:c>
      <x:c r="R1163" s="26" t="n">
        <x:v>0</x:v>
      </x:c>
      <x:c r="S1163" s="26" t="n">
        <x:v>-497</x:v>
      </x:c>
      <x:c r="T1163" s="26" t="n">
        <x:v>0</x:v>
      </x:c>
      <x:c r="U1163" s="26" t="n">
        <x:v>685</x:v>
      </x:c>
      <x:c r="V1163" s="26" t="n">
        <x:v>0</x:v>
      </x:c>
      <x:c r="W1163" s="26" t="n">
        <x:v>0</x:v>
      </x:c>
      <x:c r="X1163" s="26" t="n">
        <x:v>0</x:v>
      </x:c>
      <x:c r="Y1163" s="26" t="n">
        <x:v>0</x:v>
      </x:c>
      <x:c r="Z1163" s="35" t="str">
        <x:v>LN007 scheduled payment</x:v>
      </x:c>
    </x:row>
    <x:row r="1164">
      <x:c r="A1164" s="20" t="str">
        <x:v>FIN-01161</x:v>
      </x:c>
      <x:c r="B1164" s="23" t="n">
        <x:v>46466</x:v>
      </x:c>
      <x:c r="C1164" s="23" t="n">
        <x:v>46466</x:v>
      </x:c>
      <x:c r="D1164" s="20" t="str">
        <x:v>LoanPayment</x:v>
      </x:c>
      <x:c r="E1164" s="20" t="str">
        <x:v>Mortgage principal and interest</x:v>
      </x:c>
      <x:c r="F1164" s="20" t="str">
        <x:v>P008</x:v>
      </x:c>
      <x:c r="G1164" s="20" t="str"/>
      <x:c r="H1164" s="20" t="str"/>
      <x:c r="I1164" s="20" t="str">
        <x:v>First QA Mortgage</x:v>
      </x:c>
      <x:c r="J1164" s="35" t="str">
        <x:v>Recurring loan payment + scanned statement</x:v>
      </x:c>
      <x:c r="K1164" s="20" t="str">
        <x:v>SCN-0512</x:v>
      </x:c>
      <x:c r="L1164" s="20" t="str">
        <x:v>LN008-202703</x:v>
      </x:c>
      <x:c r="M1164" s="26" t="n">
        <x:v>1206</x:v>
      </x:c>
      <x:c r="N1164" s="26" t="n">
        <x:v>0</x:v>
      </x:c>
      <x:c r="O1164" s="26" t="n">
        <x:v>-1206</x:v>
      </x:c>
      <x:c r="P1164" s="26" t="n">
        <x:v>0</x:v>
      </x:c>
      <x:c r="Q1164" s="26" t="n">
        <x:v>0</x:v>
      </x:c>
      <x:c r="R1164" s="26" t="n">
        <x:v>0</x:v>
      </x:c>
      <x:c r="S1164" s="26" t="n">
        <x:v>-508</x:v>
      </x:c>
      <x:c r="T1164" s="26" t="n">
        <x:v>0</x:v>
      </x:c>
      <x:c r="U1164" s="26" t="n">
        <x:v>698</x:v>
      </x:c>
      <x:c r="V1164" s="26" t="n">
        <x:v>0</x:v>
      </x:c>
      <x:c r="W1164" s="26" t="n">
        <x:v>0</x:v>
      </x:c>
      <x:c r="X1164" s="26" t="n">
        <x:v>0</x:v>
      </x:c>
      <x:c r="Y1164" s="26" t="n">
        <x:v>0</x:v>
      </x:c>
      <x:c r="Z1164" s="35" t="str">
        <x:v>LN008 scheduled payment</x:v>
      </x:c>
    </x:row>
    <x:row r="1165">
      <x:c r="A1165" s="20" t="str">
        <x:v>FIN-01162</x:v>
      </x:c>
      <x:c r="B1165" s="23" t="n">
        <x:v>46466</x:v>
      </x:c>
      <x:c r="C1165" s="23" t="n">
        <x:v>46466</x:v>
      </x:c>
      <x:c r="D1165" s="20" t="str">
        <x:v>LoanPayment</x:v>
      </x:c>
      <x:c r="E1165" s="20" t="str">
        <x:v>Mortgage principal and interest</x:v>
      </x:c>
      <x:c r="F1165" s="20" t="str">
        <x:v>P010</x:v>
      </x:c>
      <x:c r="G1165" s="20" t="str"/>
      <x:c r="H1165" s="20" t="str"/>
      <x:c r="I1165" s="20" t="str">
        <x:v>First QA Mortgage</x:v>
      </x:c>
      <x:c r="J1165" s="35" t="str">
        <x:v>Recurring loan payment + scanned statement</x:v>
      </x:c>
      <x:c r="K1165" s="20" t="str">
        <x:v>SCN-0513</x:v>
      </x:c>
      <x:c r="L1165" s="20" t="str">
        <x:v>LN010-202703</x:v>
      </x:c>
      <x:c r="M1165" s="26" t="n">
        <x:v>1254</x:v>
      </x:c>
      <x:c r="N1165" s="26" t="n">
        <x:v>0</x:v>
      </x:c>
      <x:c r="O1165" s="26" t="n">
        <x:v>-1254</x:v>
      </x:c>
      <x:c r="P1165" s="26" t="n">
        <x:v>0</x:v>
      </x:c>
      <x:c r="Q1165" s="26" t="n">
        <x:v>0</x:v>
      </x:c>
      <x:c r="R1165" s="26" t="n">
        <x:v>0</x:v>
      </x:c>
      <x:c r="S1165" s="26" t="n">
        <x:v>-530</x:v>
      </x:c>
      <x:c r="T1165" s="26" t="n">
        <x:v>0</x:v>
      </x:c>
      <x:c r="U1165" s="26" t="n">
        <x:v>724</x:v>
      </x:c>
      <x:c r="V1165" s="26" t="n">
        <x:v>0</x:v>
      </x:c>
      <x:c r="W1165" s="26" t="n">
        <x:v>0</x:v>
      </x:c>
      <x:c r="X1165" s="26" t="n">
        <x:v>0</x:v>
      </x:c>
      <x:c r="Y1165" s="26" t="n">
        <x:v>0</x:v>
      </x:c>
      <x:c r="Z1165" s="35" t="str">
        <x:v>LN010 scheduled payment</x:v>
      </x:c>
    </x:row>
    <x:row r="1166">
      <x:c r="A1166" s="20" t="str">
        <x:v>FIN-01163</x:v>
      </x:c>
      <x:c r="B1166" s="23" t="n">
        <x:v>46466</x:v>
      </x:c>
      <x:c r="C1166" s="23" t="n">
        <x:v>46466</x:v>
      </x:c>
      <x:c r="D1166" s="20" t="str">
        <x:v>LoanPayment</x:v>
      </x:c>
      <x:c r="E1166" s="20" t="str">
        <x:v>Mortgage principal and interest</x:v>
      </x:c>
      <x:c r="F1166" s="20" t="str">
        <x:v>P011</x:v>
      </x:c>
      <x:c r="G1166" s="20" t="str"/>
      <x:c r="H1166" s="20" t="str"/>
      <x:c r="I1166" s="20" t="str">
        <x:v>First QA Mortgage</x:v>
      </x:c>
      <x:c r="J1166" s="35" t="str">
        <x:v>Recurring loan payment + scanned statement</x:v>
      </x:c>
      <x:c r="K1166" s="20" t="str">
        <x:v>SCN-0514</x:v>
      </x:c>
      <x:c r="L1166" s="20" t="str">
        <x:v>LN011-202703</x:v>
      </x:c>
      <x:c r="M1166" s="26" t="n">
        <x:v>1278</x:v>
      </x:c>
      <x:c r="N1166" s="26" t="n">
        <x:v>0</x:v>
      </x:c>
      <x:c r="O1166" s="26" t="n">
        <x:v>-1278</x:v>
      </x:c>
      <x:c r="P1166" s="26" t="n">
        <x:v>0</x:v>
      </x:c>
      <x:c r="Q1166" s="26" t="n">
        <x:v>0</x:v>
      </x:c>
      <x:c r="R1166" s="26" t="n">
        <x:v>0</x:v>
      </x:c>
      <x:c r="S1166" s="26" t="n">
        <x:v>-541</x:v>
      </x:c>
      <x:c r="T1166" s="26" t="n">
        <x:v>0</x:v>
      </x:c>
      <x:c r="U1166" s="26" t="n">
        <x:v>737</x:v>
      </x:c>
      <x:c r="V1166" s="26" t="n">
        <x:v>0</x:v>
      </x:c>
      <x:c r="W1166" s="26" t="n">
        <x:v>0</x:v>
      </x:c>
      <x:c r="X1166" s="26" t="n">
        <x:v>0</x:v>
      </x:c>
      <x:c r="Y1166" s="26" t="n">
        <x:v>0</x:v>
      </x:c>
      <x:c r="Z1166" s="35" t="str">
        <x:v>LN011 scheduled payment</x:v>
      </x:c>
    </x:row>
    <x:row r="1167">
      <x:c r="A1167" s="20" t="str">
        <x:v>FIN-01164</x:v>
      </x:c>
      <x:c r="B1167" s="23" t="n">
        <x:v>46466</x:v>
      </x:c>
      <x:c r="C1167" s="23" t="n">
        <x:v>46466</x:v>
      </x:c>
      <x:c r="D1167" s="20" t="str">
        <x:v>LoanPayment</x:v>
      </x:c>
      <x:c r="E1167" s="20" t="str">
        <x:v>Mortgage principal and interest</x:v>
      </x:c>
      <x:c r="F1167" s="20" t="str">
        <x:v>P013</x:v>
      </x:c>
      <x:c r="G1167" s="20" t="str"/>
      <x:c r="H1167" s="20" t="str"/>
      <x:c r="I1167" s="20" t="str">
        <x:v>First QA Mortgage</x:v>
      </x:c>
      <x:c r="J1167" s="35" t="str">
        <x:v>Recurring loan payment + scanned statement</x:v>
      </x:c>
      <x:c r="K1167" s="20" t="str">
        <x:v>SCN-0515</x:v>
      </x:c>
      <x:c r="L1167" s="20" t="str">
        <x:v>LN013-202703</x:v>
      </x:c>
      <x:c r="M1167" s="26" t="n">
        <x:v>1326</x:v>
      </x:c>
      <x:c r="N1167" s="26" t="n">
        <x:v>0</x:v>
      </x:c>
      <x:c r="O1167" s="26" t="n">
        <x:v>-1326</x:v>
      </x:c>
      <x:c r="P1167" s="26" t="n">
        <x:v>0</x:v>
      </x:c>
      <x:c r="Q1167" s="26" t="n">
        <x:v>0</x:v>
      </x:c>
      <x:c r="R1167" s="26" t="n">
        <x:v>0</x:v>
      </x:c>
      <x:c r="S1167" s="26" t="n">
        <x:v>-563</x:v>
      </x:c>
      <x:c r="T1167" s="26" t="n">
        <x:v>0</x:v>
      </x:c>
      <x:c r="U1167" s="26" t="n">
        <x:v>763</x:v>
      </x:c>
      <x:c r="V1167" s="26" t="n">
        <x:v>0</x:v>
      </x:c>
      <x:c r="W1167" s="26" t="n">
        <x:v>0</x:v>
      </x:c>
      <x:c r="X1167" s="26" t="n">
        <x:v>0</x:v>
      </x:c>
      <x:c r="Y1167" s="26" t="n">
        <x:v>0</x:v>
      </x:c>
      <x:c r="Z1167" s="35" t="str">
        <x:v>LN013 scheduled payment</x:v>
      </x:c>
    </x:row>
    <x:row r="1168">
      <x:c r="A1168" s="20" t="str">
        <x:v>FIN-01165</x:v>
      </x:c>
      <x:c r="B1168" s="23" t="n">
        <x:v>46466</x:v>
      </x:c>
      <x:c r="C1168" s="23" t="n">
        <x:v>46466</x:v>
      </x:c>
      <x:c r="D1168" s="20" t="str">
        <x:v>LoanPayment</x:v>
      </x:c>
      <x:c r="E1168" s="20" t="str">
        <x:v>Mortgage principal and interest</x:v>
      </x:c>
      <x:c r="F1168" s="20" t="str">
        <x:v>P014</x:v>
      </x:c>
      <x:c r="G1168" s="20" t="str"/>
      <x:c r="H1168" s="20" t="str"/>
      <x:c r="I1168" s="20" t="str">
        <x:v>First QA Mortgage</x:v>
      </x:c>
      <x:c r="J1168" s="35" t="str">
        <x:v>Recurring loan payment + scanned statement</x:v>
      </x:c>
      <x:c r="K1168" s="20" t="str">
        <x:v>SCN-0516</x:v>
      </x:c>
      <x:c r="L1168" s="20" t="str">
        <x:v>LN014-202703</x:v>
      </x:c>
      <x:c r="M1168" s="26" t="n">
        <x:v>1350</x:v>
      </x:c>
      <x:c r="N1168" s="26" t="n">
        <x:v>0</x:v>
      </x:c>
      <x:c r="O1168" s="26" t="n">
        <x:v>-1350</x:v>
      </x:c>
      <x:c r="P1168" s="26" t="n">
        <x:v>0</x:v>
      </x:c>
      <x:c r="Q1168" s="26" t="n">
        <x:v>0</x:v>
      </x:c>
      <x:c r="R1168" s="26" t="n">
        <x:v>0</x:v>
      </x:c>
      <x:c r="S1168" s="26" t="n">
        <x:v>-574</x:v>
      </x:c>
      <x:c r="T1168" s="26" t="n">
        <x:v>0</x:v>
      </x:c>
      <x:c r="U1168" s="26" t="n">
        <x:v>776</x:v>
      </x:c>
      <x:c r="V1168" s="26" t="n">
        <x:v>0</x:v>
      </x:c>
      <x:c r="W1168" s="26" t="n">
        <x:v>0</x:v>
      </x:c>
      <x:c r="X1168" s="26" t="n">
        <x:v>0</x:v>
      </x:c>
      <x:c r="Y1168" s="26" t="n">
        <x:v>0</x:v>
      </x:c>
      <x:c r="Z1168" s="35" t="str">
        <x:v>LN014 scheduled payment</x:v>
      </x:c>
    </x:row>
    <x:row r="1169">
      <x:c r="A1169" s="20" t="str">
        <x:v>FIN-01166</x:v>
      </x:c>
      <x:c r="B1169" s="23" t="n">
        <x:v>46466</x:v>
      </x:c>
      <x:c r="C1169" s="23" t="n">
        <x:v>46466</x:v>
      </x:c>
      <x:c r="D1169" s="20" t="str">
        <x:v>LoanPayment</x:v>
      </x:c>
      <x:c r="E1169" s="20" t="str">
        <x:v>Mortgage principal and interest</x:v>
      </x:c>
      <x:c r="F1169" s="20" t="str">
        <x:v>P016</x:v>
      </x:c>
      <x:c r="G1169" s="20" t="str"/>
      <x:c r="H1169" s="20" t="str"/>
      <x:c r="I1169" s="20" t="str">
        <x:v>First QA Mortgage</x:v>
      </x:c>
      <x:c r="J1169" s="35" t="str">
        <x:v>Recurring loan payment + scanned statement</x:v>
      </x:c>
      <x:c r="K1169" s="20" t="str">
        <x:v>SCN-0517</x:v>
      </x:c>
      <x:c r="L1169" s="20" t="str">
        <x:v>LN016-202703</x:v>
      </x:c>
      <x:c r="M1169" s="26" t="n">
        <x:v>1398</x:v>
      </x:c>
      <x:c r="N1169" s="26" t="n">
        <x:v>0</x:v>
      </x:c>
      <x:c r="O1169" s="26" t="n">
        <x:v>-1398</x:v>
      </x:c>
      <x:c r="P1169" s="26" t="n">
        <x:v>0</x:v>
      </x:c>
      <x:c r="Q1169" s="26" t="n">
        <x:v>0</x:v>
      </x:c>
      <x:c r="R1169" s="26" t="n">
        <x:v>0</x:v>
      </x:c>
      <x:c r="S1169" s="26" t="n">
        <x:v>-596</x:v>
      </x:c>
      <x:c r="T1169" s="26" t="n">
        <x:v>0</x:v>
      </x:c>
      <x:c r="U1169" s="26" t="n">
        <x:v>802</x:v>
      </x:c>
      <x:c r="V1169" s="26" t="n">
        <x:v>0</x:v>
      </x:c>
      <x:c r="W1169" s="26" t="n">
        <x:v>0</x:v>
      </x:c>
      <x:c r="X1169" s="26" t="n">
        <x:v>0</x:v>
      </x:c>
      <x:c r="Y1169" s="26" t="n">
        <x:v>0</x:v>
      </x:c>
      <x:c r="Z1169" s="35" t="str">
        <x:v>LN016 scheduled payment</x:v>
      </x:c>
    </x:row>
    <x:row r="1170">
      <x:c r="A1170" s="20" t="str">
        <x:v>FIN-01167</x:v>
      </x:c>
      <x:c r="B1170" s="23" t="n">
        <x:v>46466</x:v>
      </x:c>
      <x:c r="C1170" s="23" t="n">
        <x:v>46466</x:v>
      </x:c>
      <x:c r="D1170" s="20" t="str">
        <x:v>LoanPayment</x:v>
      </x:c>
      <x:c r="E1170" s="20" t="str">
        <x:v>Mortgage principal and interest</x:v>
      </x:c>
      <x:c r="F1170" s="20" t="str">
        <x:v>P017</x:v>
      </x:c>
      <x:c r="G1170" s="20" t="str"/>
      <x:c r="H1170" s="20" t="str"/>
      <x:c r="I1170" s="20" t="str">
        <x:v>First QA Mortgage</x:v>
      </x:c>
      <x:c r="J1170" s="35" t="str">
        <x:v>Recurring loan payment + scanned statement</x:v>
      </x:c>
      <x:c r="K1170" s="20" t="str">
        <x:v>SCN-0518</x:v>
      </x:c>
      <x:c r="L1170" s="20" t="str">
        <x:v>LN017-202703</x:v>
      </x:c>
      <x:c r="M1170" s="26" t="n">
        <x:v>1422</x:v>
      </x:c>
      <x:c r="N1170" s="26" t="n">
        <x:v>0</x:v>
      </x:c>
      <x:c r="O1170" s="26" t="n">
        <x:v>-1422</x:v>
      </x:c>
      <x:c r="P1170" s="26" t="n">
        <x:v>0</x:v>
      </x:c>
      <x:c r="Q1170" s="26" t="n">
        <x:v>0</x:v>
      </x:c>
      <x:c r="R1170" s="26" t="n">
        <x:v>0</x:v>
      </x:c>
      <x:c r="S1170" s="26" t="n">
        <x:v>-607</x:v>
      </x:c>
      <x:c r="T1170" s="26" t="n">
        <x:v>0</x:v>
      </x:c>
      <x:c r="U1170" s="26" t="n">
        <x:v>815</x:v>
      </x:c>
      <x:c r="V1170" s="26" t="n">
        <x:v>0</x:v>
      </x:c>
      <x:c r="W1170" s="26" t="n">
        <x:v>0</x:v>
      </x:c>
      <x:c r="X1170" s="26" t="n">
        <x:v>0</x:v>
      </x:c>
      <x:c r="Y1170" s="26" t="n">
        <x:v>0</x:v>
      </x:c>
      <x:c r="Z1170" s="35" t="str">
        <x:v>LN017 scheduled payment</x:v>
      </x:c>
    </x:row>
    <x:row r="1171">
      <x:c r="A1171" s="20" t="str">
        <x:v>FIN-01168</x:v>
      </x:c>
      <x:c r="B1171" s="23" t="n">
        <x:v>46466</x:v>
      </x:c>
      <x:c r="C1171" s="23" t="n">
        <x:v>46466</x:v>
      </x:c>
      <x:c r="D1171" s="20" t="str">
        <x:v>LoanPayment</x:v>
      </x:c>
      <x:c r="E1171" s="20" t="str">
        <x:v>Mortgage principal and interest</x:v>
      </x:c>
      <x:c r="F1171" s="20" t="str">
        <x:v>P019</x:v>
      </x:c>
      <x:c r="G1171" s="20" t="str"/>
      <x:c r="H1171" s="20" t="str"/>
      <x:c r="I1171" s="20" t="str">
        <x:v>First QA Mortgage</x:v>
      </x:c>
      <x:c r="J1171" s="35" t="str">
        <x:v>Recurring loan payment + scanned statement</x:v>
      </x:c>
      <x:c r="K1171" s="20" t="str">
        <x:v>SCN-0519</x:v>
      </x:c>
      <x:c r="L1171" s="20" t="str">
        <x:v>LN019-202703</x:v>
      </x:c>
      <x:c r="M1171" s="26" t="n">
        <x:v>1470</x:v>
      </x:c>
      <x:c r="N1171" s="26" t="n">
        <x:v>0</x:v>
      </x:c>
      <x:c r="O1171" s="26" t="n">
        <x:v>-1470</x:v>
      </x:c>
      <x:c r="P1171" s="26" t="n">
        <x:v>0</x:v>
      </x:c>
      <x:c r="Q1171" s="26" t="n">
        <x:v>0</x:v>
      </x:c>
      <x:c r="R1171" s="26" t="n">
        <x:v>0</x:v>
      </x:c>
      <x:c r="S1171" s="26" t="n">
        <x:v>-629</x:v>
      </x:c>
      <x:c r="T1171" s="26" t="n">
        <x:v>0</x:v>
      </x:c>
      <x:c r="U1171" s="26" t="n">
        <x:v>841</x:v>
      </x:c>
      <x:c r="V1171" s="26" t="n">
        <x:v>0</x:v>
      </x:c>
      <x:c r="W1171" s="26" t="n">
        <x:v>0</x:v>
      </x:c>
      <x:c r="X1171" s="26" t="n">
        <x:v>0</x:v>
      </x:c>
      <x:c r="Y1171" s="26" t="n">
        <x:v>0</x:v>
      </x:c>
      <x:c r="Z1171" s="35" t="str">
        <x:v>LN019 scheduled payment</x:v>
      </x:c>
    </x:row>
    <x:row r="1172">
      <x:c r="A1172" s="20" t="str">
        <x:v>FIN-01169</x:v>
      </x:c>
      <x:c r="B1172" s="23" t="n">
        <x:v>46466</x:v>
      </x:c>
      <x:c r="C1172" s="23" t="n">
        <x:v>46466</x:v>
      </x:c>
      <x:c r="D1172" s="20" t="str">
        <x:v>LoanPayment</x:v>
      </x:c>
      <x:c r="E1172" s="20" t="str">
        <x:v>Mortgage principal and interest</x:v>
      </x:c>
      <x:c r="F1172" s="20" t="str">
        <x:v>P020</x:v>
      </x:c>
      <x:c r="G1172" s="20" t="str"/>
      <x:c r="H1172" s="20" t="str"/>
      <x:c r="I1172" s="20" t="str">
        <x:v>First QA Mortgage</x:v>
      </x:c>
      <x:c r="J1172" s="35" t="str">
        <x:v>Recurring loan payment + scanned statement</x:v>
      </x:c>
      <x:c r="K1172" s="20" t="str">
        <x:v>SCN-0520</x:v>
      </x:c>
      <x:c r="L1172" s="20" t="str">
        <x:v>LN020-202703</x:v>
      </x:c>
      <x:c r="M1172" s="26" t="n">
        <x:v>1494</x:v>
      </x:c>
      <x:c r="N1172" s="26" t="n">
        <x:v>0</x:v>
      </x:c>
      <x:c r="O1172" s="26" t="n">
        <x:v>-1494</x:v>
      </x:c>
      <x:c r="P1172" s="26" t="n">
        <x:v>0</x:v>
      </x:c>
      <x:c r="Q1172" s="26" t="n">
        <x:v>0</x:v>
      </x:c>
      <x:c r="R1172" s="26" t="n">
        <x:v>0</x:v>
      </x:c>
      <x:c r="S1172" s="26" t="n">
        <x:v>-640</x:v>
      </x:c>
      <x:c r="T1172" s="26" t="n">
        <x:v>0</x:v>
      </x:c>
      <x:c r="U1172" s="26" t="n">
        <x:v>854</x:v>
      </x:c>
      <x:c r="V1172" s="26" t="n">
        <x:v>0</x:v>
      </x:c>
      <x:c r="W1172" s="26" t="n">
        <x:v>0</x:v>
      </x:c>
      <x:c r="X1172" s="26" t="n">
        <x:v>0</x:v>
      </x:c>
      <x:c r="Y1172" s="26" t="n">
        <x:v>0</x:v>
      </x:c>
      <x:c r="Z1172" s="35" t="str">
        <x:v>LN020 scheduled payment</x:v>
      </x:c>
    </x:row>
    <x:row r="1173">
      <x:c r="A1173" s="20" t="str">
        <x:v>FIN-01170</x:v>
      </x:c>
      <x:c r="B1173" s="23" t="n">
        <x:v>46466</x:v>
      </x:c>
      <x:c r="C1173" s="23" t="n">
        <x:v>46466</x:v>
      </x:c>
      <x:c r="D1173" s="20" t="str">
        <x:v>LoanPayment</x:v>
      </x:c>
      <x:c r="E1173" s="20" t="str">
        <x:v>Mortgage principal and interest</x:v>
      </x:c>
      <x:c r="F1173" s="20" t="str">
        <x:v>P022</x:v>
      </x:c>
      <x:c r="G1173" s="20" t="str"/>
      <x:c r="H1173" s="20" t="str"/>
      <x:c r="I1173" s="20" t="str">
        <x:v>First QA Mortgage</x:v>
      </x:c>
      <x:c r="J1173" s="35" t="str">
        <x:v>Recurring loan payment + scanned statement</x:v>
      </x:c>
      <x:c r="K1173" s="20" t="str">
        <x:v>SCN-0521</x:v>
      </x:c>
      <x:c r="L1173" s="20" t="str">
        <x:v>LN022-202703</x:v>
      </x:c>
      <x:c r="M1173" s="26" t="n">
        <x:v>1542</x:v>
      </x:c>
      <x:c r="N1173" s="26" t="n">
        <x:v>0</x:v>
      </x:c>
      <x:c r="O1173" s="26" t="n">
        <x:v>-1542</x:v>
      </x:c>
      <x:c r="P1173" s="26" t="n">
        <x:v>0</x:v>
      </x:c>
      <x:c r="Q1173" s="26" t="n">
        <x:v>0</x:v>
      </x:c>
      <x:c r="R1173" s="26" t="n">
        <x:v>0</x:v>
      </x:c>
      <x:c r="S1173" s="26" t="n">
        <x:v>-662</x:v>
      </x:c>
      <x:c r="T1173" s="26" t="n">
        <x:v>0</x:v>
      </x:c>
      <x:c r="U1173" s="26" t="n">
        <x:v>880</x:v>
      </x:c>
      <x:c r="V1173" s="26" t="n">
        <x:v>0</x:v>
      </x:c>
      <x:c r="W1173" s="26" t="n">
        <x:v>0</x:v>
      </x:c>
      <x:c r="X1173" s="26" t="n">
        <x:v>0</x:v>
      </x:c>
      <x:c r="Y1173" s="26" t="n">
        <x:v>0</x:v>
      </x:c>
      <x:c r="Z1173" s="35" t="str">
        <x:v>LN022 scheduled payment</x:v>
      </x:c>
    </x:row>
    <x:row r="1174">
      <x:c r="A1174" s="20" t="str">
        <x:v>FIN-01171</x:v>
      </x:c>
      <x:c r="B1174" s="23" t="n">
        <x:v>46466</x:v>
      </x:c>
      <x:c r="C1174" s="23" t="n">
        <x:v>46466</x:v>
      </x:c>
      <x:c r="D1174" s="20" t="str">
        <x:v>LoanPayment</x:v>
      </x:c>
      <x:c r="E1174" s="20" t="str">
        <x:v>Mortgage principal and interest</x:v>
      </x:c>
      <x:c r="F1174" s="20" t="str">
        <x:v>P023</x:v>
      </x:c>
      <x:c r="G1174" s="20" t="str"/>
      <x:c r="H1174" s="20" t="str"/>
      <x:c r="I1174" s="20" t="str">
        <x:v>First QA Mortgage</x:v>
      </x:c>
      <x:c r="J1174" s="35" t="str">
        <x:v>Recurring loan payment + scanned statement</x:v>
      </x:c>
      <x:c r="K1174" s="20" t="str">
        <x:v>SCN-0522</x:v>
      </x:c>
      <x:c r="L1174" s="20" t="str">
        <x:v>LN023-202703</x:v>
      </x:c>
      <x:c r="M1174" s="26" t="n">
        <x:v>1566</x:v>
      </x:c>
      <x:c r="N1174" s="26" t="n">
        <x:v>0</x:v>
      </x:c>
      <x:c r="O1174" s="26" t="n">
        <x:v>-1566</x:v>
      </x:c>
      <x:c r="P1174" s="26" t="n">
        <x:v>0</x:v>
      </x:c>
      <x:c r="Q1174" s="26" t="n">
        <x:v>0</x:v>
      </x:c>
      <x:c r="R1174" s="26" t="n">
        <x:v>0</x:v>
      </x:c>
      <x:c r="S1174" s="26" t="n">
        <x:v>-673</x:v>
      </x:c>
      <x:c r="T1174" s="26" t="n">
        <x:v>0</x:v>
      </x:c>
      <x:c r="U1174" s="26" t="n">
        <x:v>893</x:v>
      </x:c>
      <x:c r="V1174" s="26" t="n">
        <x:v>0</x:v>
      </x:c>
      <x:c r="W1174" s="26" t="n">
        <x:v>0</x:v>
      </x:c>
      <x:c r="X1174" s="26" t="n">
        <x:v>0</x:v>
      </x:c>
      <x:c r="Y1174" s="26" t="n">
        <x:v>0</x:v>
      </x:c>
      <x:c r="Z1174" s="35" t="str">
        <x:v>LN023 scheduled payment</x:v>
      </x:c>
    </x:row>
    <x:row r="1175">
      <x:c r="A1175" s="20" t="str">
        <x:v>FIN-01172</x:v>
      </x:c>
      <x:c r="B1175" s="23" t="n">
        <x:v>46466</x:v>
      </x:c>
      <x:c r="C1175" s="23" t="n">
        <x:v>46466</x:v>
      </x:c>
      <x:c r="D1175" s="20" t="str">
        <x:v>LoanPayment</x:v>
      </x:c>
      <x:c r="E1175" s="20" t="str">
        <x:v>Mortgage principal and interest</x:v>
      </x:c>
      <x:c r="F1175" s="20" t="str">
        <x:v>P025</x:v>
      </x:c>
      <x:c r="G1175" s="20" t="str"/>
      <x:c r="H1175" s="20" t="str"/>
      <x:c r="I1175" s="20" t="str">
        <x:v>First QA Mortgage</x:v>
      </x:c>
      <x:c r="J1175" s="35" t="str">
        <x:v>Recurring loan payment + scanned statement</x:v>
      </x:c>
      <x:c r="K1175" s="20" t="str">
        <x:v>SCN-0523</x:v>
      </x:c>
      <x:c r="L1175" s="20" t="str">
        <x:v>LN025-202703</x:v>
      </x:c>
      <x:c r="M1175" s="26" t="n">
        <x:v>1614</x:v>
      </x:c>
      <x:c r="N1175" s="26" t="n">
        <x:v>0</x:v>
      </x:c>
      <x:c r="O1175" s="26" t="n">
        <x:v>-1614</x:v>
      </x:c>
      <x:c r="P1175" s="26" t="n">
        <x:v>0</x:v>
      </x:c>
      <x:c r="Q1175" s="26" t="n">
        <x:v>0</x:v>
      </x:c>
      <x:c r="R1175" s="26" t="n">
        <x:v>0</x:v>
      </x:c>
      <x:c r="S1175" s="26" t="n">
        <x:v>-695</x:v>
      </x:c>
      <x:c r="T1175" s="26" t="n">
        <x:v>0</x:v>
      </x:c>
      <x:c r="U1175" s="26" t="n">
        <x:v>919</x:v>
      </x:c>
      <x:c r="V1175" s="26" t="n">
        <x:v>0</x:v>
      </x:c>
      <x:c r="W1175" s="26" t="n">
        <x:v>0</x:v>
      </x:c>
      <x:c r="X1175" s="26" t="n">
        <x:v>0</x:v>
      </x:c>
      <x:c r="Y1175" s="26" t="n">
        <x:v>0</x:v>
      </x:c>
      <x:c r="Z1175" s="35" t="str">
        <x:v>LN025 scheduled payment</x:v>
      </x:c>
    </x:row>
    <x:row r="1176">
      <x:c r="A1176" s="20" t="str">
        <x:v>FIN-01173</x:v>
      </x:c>
      <x:c r="B1176" s="23" t="n">
        <x:v>46466</x:v>
      </x:c>
      <x:c r="C1176" s="23" t="n">
        <x:v>46466</x:v>
      </x:c>
      <x:c r="D1176" s="20" t="str">
        <x:v>LoanPayment</x:v>
      </x:c>
      <x:c r="E1176" s="20" t="str">
        <x:v>Mortgage principal and interest</x:v>
      </x:c>
      <x:c r="F1176" s="20" t="str">
        <x:v>P026</x:v>
      </x:c>
      <x:c r="G1176" s="20" t="str"/>
      <x:c r="H1176" s="20" t="str"/>
      <x:c r="I1176" s="20" t="str">
        <x:v>First QA Mortgage</x:v>
      </x:c>
      <x:c r="J1176" s="35" t="str">
        <x:v>Recurring loan payment + scanned statement</x:v>
      </x:c>
      <x:c r="K1176" s="20" t="str">
        <x:v>SCN-0524</x:v>
      </x:c>
      <x:c r="L1176" s="20" t="str">
        <x:v>LN026-202703</x:v>
      </x:c>
      <x:c r="M1176" s="26" t="n">
        <x:v>1638</x:v>
      </x:c>
      <x:c r="N1176" s="26" t="n">
        <x:v>0</x:v>
      </x:c>
      <x:c r="O1176" s="26" t="n">
        <x:v>-1638</x:v>
      </x:c>
      <x:c r="P1176" s="26" t="n">
        <x:v>0</x:v>
      </x:c>
      <x:c r="Q1176" s="26" t="n">
        <x:v>0</x:v>
      </x:c>
      <x:c r="R1176" s="26" t="n">
        <x:v>0</x:v>
      </x:c>
      <x:c r="S1176" s="26" t="n">
        <x:v>-706</x:v>
      </x:c>
      <x:c r="T1176" s="26" t="n">
        <x:v>0</x:v>
      </x:c>
      <x:c r="U1176" s="26" t="n">
        <x:v>932</x:v>
      </x:c>
      <x:c r="V1176" s="26" t="n">
        <x:v>0</x:v>
      </x:c>
      <x:c r="W1176" s="26" t="n">
        <x:v>0</x:v>
      </x:c>
      <x:c r="X1176" s="26" t="n">
        <x:v>0</x:v>
      </x:c>
      <x:c r="Y1176" s="26" t="n">
        <x:v>0</x:v>
      </x:c>
      <x:c r="Z1176" s="35" t="str">
        <x:v>LN026 scheduled payment</x:v>
      </x:c>
    </x:row>
    <x:row r="1177">
      <x:c r="A1177" s="20" t="str">
        <x:v>FIN-01174</x:v>
      </x:c>
      <x:c r="B1177" s="23" t="n">
        <x:v>46466</x:v>
      </x:c>
      <x:c r="C1177" s="23" t="n">
        <x:v>46466</x:v>
      </x:c>
      <x:c r="D1177" s="20" t="str">
        <x:v>LoanPayment</x:v>
      </x:c>
      <x:c r="E1177" s="20" t="str">
        <x:v>Mortgage principal and interest</x:v>
      </x:c>
      <x:c r="F1177" s="20" t="str">
        <x:v>P028</x:v>
      </x:c>
      <x:c r="G1177" s="20" t="str"/>
      <x:c r="H1177" s="20" t="str"/>
      <x:c r="I1177" s="20" t="str">
        <x:v>First QA Mortgage</x:v>
      </x:c>
      <x:c r="J1177" s="35" t="str">
        <x:v>Recurring loan payment + scanned statement</x:v>
      </x:c>
      <x:c r="K1177" s="20" t="str">
        <x:v>SCN-0525</x:v>
      </x:c>
      <x:c r="L1177" s="20" t="str">
        <x:v>LN028-202703</x:v>
      </x:c>
      <x:c r="M1177" s="26" t="n">
        <x:v>1686</x:v>
      </x:c>
      <x:c r="N1177" s="26" t="n">
        <x:v>0</x:v>
      </x:c>
      <x:c r="O1177" s="26" t="n">
        <x:v>-1686</x:v>
      </x:c>
      <x:c r="P1177" s="26" t="n">
        <x:v>0</x:v>
      </x:c>
      <x:c r="Q1177" s="26" t="n">
        <x:v>0</x:v>
      </x:c>
      <x:c r="R1177" s="26" t="n">
        <x:v>0</x:v>
      </x:c>
      <x:c r="S1177" s="26" t="n">
        <x:v>-728</x:v>
      </x:c>
      <x:c r="T1177" s="26" t="n">
        <x:v>0</x:v>
      </x:c>
      <x:c r="U1177" s="26" t="n">
        <x:v>958</x:v>
      </x:c>
      <x:c r="V1177" s="26" t="n">
        <x:v>0</x:v>
      </x:c>
      <x:c r="W1177" s="26" t="n">
        <x:v>0</x:v>
      </x:c>
      <x:c r="X1177" s="26" t="n">
        <x:v>0</x:v>
      </x:c>
      <x:c r="Y1177" s="26" t="n">
        <x:v>0</x:v>
      </x:c>
      <x:c r="Z1177" s="35" t="str">
        <x:v>LN028 scheduled payment</x:v>
      </x:c>
    </x:row>
    <x:row r="1178">
      <x:c r="A1178" s="20" t="str">
        <x:v>FIN-01175</x:v>
      </x:c>
      <x:c r="B1178" s="23" t="n">
        <x:v>46466</x:v>
      </x:c>
      <x:c r="C1178" s="23" t="n">
        <x:v>46466</x:v>
      </x:c>
      <x:c r="D1178" s="20" t="str">
        <x:v>LoanPayment</x:v>
      </x:c>
      <x:c r="E1178" s="20" t="str">
        <x:v>Mortgage principal and interest</x:v>
      </x:c>
      <x:c r="F1178" s="20" t="str">
        <x:v>P029</x:v>
      </x:c>
      <x:c r="G1178" s="20" t="str"/>
      <x:c r="H1178" s="20" t="str"/>
      <x:c r="I1178" s="20" t="str">
        <x:v>First QA Mortgage</x:v>
      </x:c>
      <x:c r="J1178" s="35" t="str">
        <x:v>Recurring loan payment + scanned statement</x:v>
      </x:c>
      <x:c r="K1178" s="20" t="str">
        <x:v>SCN-0526</x:v>
      </x:c>
      <x:c r="L1178" s="20" t="str">
        <x:v>LN029-202703</x:v>
      </x:c>
      <x:c r="M1178" s="26" t="n">
        <x:v>1710</x:v>
      </x:c>
      <x:c r="N1178" s="26" t="n">
        <x:v>0</x:v>
      </x:c>
      <x:c r="O1178" s="26" t="n">
        <x:v>-1710</x:v>
      </x:c>
      <x:c r="P1178" s="26" t="n">
        <x:v>0</x:v>
      </x:c>
      <x:c r="Q1178" s="26" t="n">
        <x:v>0</x:v>
      </x:c>
      <x:c r="R1178" s="26" t="n">
        <x:v>0</x:v>
      </x:c>
      <x:c r="S1178" s="26" t="n">
        <x:v>-739</x:v>
      </x:c>
      <x:c r="T1178" s="26" t="n">
        <x:v>0</x:v>
      </x:c>
      <x:c r="U1178" s="26" t="n">
        <x:v>971</x:v>
      </x:c>
      <x:c r="V1178" s="26" t="n">
        <x:v>0</x:v>
      </x:c>
      <x:c r="W1178" s="26" t="n">
        <x:v>0</x:v>
      </x:c>
      <x:c r="X1178" s="26" t="n">
        <x:v>0</x:v>
      </x:c>
      <x:c r="Y1178" s="26" t="n">
        <x:v>0</x:v>
      </x:c>
      <x:c r="Z1178" s="35" t="str">
        <x:v>LN029 scheduled payment</x:v>
      </x:c>
    </x:row>
    <x:row r="1179">
      <x:c r="A1179" s="20" t="str">
        <x:v>FIN-01176</x:v>
      </x:c>
      <x:c r="B1179" s="23" t="n">
        <x:v>46471</x:v>
      </x:c>
      <x:c r="C1179" s="23" t="n">
        <x:v>46471</x:v>
      </x:c>
      <x:c r="D1179" s="20" t="str">
        <x:v>OwnerDistribution</x:v>
      </x:c>
      <x:c r="E1179" s="20" t="str">
        <x:v>Owner distribution</x:v>
      </x:c>
      <x:c r="F1179" s="20" t="str"/>
      <x:c r="G1179" s="20" t="str"/>
      <x:c r="H1179" s="20" t="str"/>
      <x:c r="I1179" s="20" t="str">
        <x:v>Blue Door Residential LLC</x:v>
      </x:c>
      <x:c r="J1179" s="35" t="str">
        <x:v>Manual approval and bank export</x:v>
      </x:c>
      <x:c r="K1179" s="20" t="str"/>
      <x:c r="L1179" s="20" t="str">
        <x:v>DIST-202703-O01</x:v>
      </x:c>
      <x:c r="M1179" s="26" t="n">
        <x:v>2850</x:v>
      </x:c>
      <x:c r="N1179" s="26" t="n">
        <x:v>0</x:v>
      </x:c>
      <x:c r="O1179" s="26" t="n">
        <x:v>-2850</x:v>
      </x:c>
      <x:c r="P1179" s="26" t="n">
        <x:v>0</x:v>
      </x:c>
      <x:c r="Q1179" s="26" t="n">
        <x:v>0</x:v>
      </x:c>
      <x:c r="R1179" s="26" t="n">
        <x:v>0</x:v>
      </x:c>
      <x:c r="S1179" s="26" t="n">
        <x:v>0</x:v>
      </x:c>
      <x:c r="T1179" s="26" t="n">
        <x:v>0</x:v>
      </x:c>
      <x:c r="U1179" s="26" t="n">
        <x:v>0</x:v>
      </x:c>
      <x:c r="V1179" s="26" t="n">
        <x:v>0</x:v>
      </x:c>
      <x:c r="W1179" s="26" t="n">
        <x:v>2850</x:v>
      </x:c>
      <x:c r="X1179" s="26" t="n">
        <x:v>0</x:v>
      </x:c>
      <x:c r="Y1179" s="26" t="n">
        <x:v>0</x:v>
      </x:c>
      <x:c r="Z1179" s="35" t="str">
        <x:v>Monthly distribution to Blue Door Residential LLC</x:v>
      </x:c>
    </x:row>
    <x:row r="1180">
      <x:c r="A1180" s="20" t="str">
        <x:v>FIN-01177</x:v>
      </x:c>
      <x:c r="B1180" s="23" t="n">
        <x:v>46471</x:v>
      </x:c>
      <x:c r="C1180" s="23" t="n">
        <x:v>46471</x:v>
      </x:c>
      <x:c r="D1180" s="20" t="str">
        <x:v>OwnerDistribution</x:v>
      </x:c>
      <x:c r="E1180" s="20" t="str">
        <x:v>Owner distribution</x:v>
      </x:c>
      <x:c r="F1180" s="20" t="str"/>
      <x:c r="G1180" s="20" t="str"/>
      <x:c r="H1180" s="20" t="str"/>
      <x:c r="I1180" s="20" t="str">
        <x:v>Coble Family Rentals LLC</x:v>
      </x:c>
      <x:c r="J1180" s="35" t="str">
        <x:v>Manual approval and bank export</x:v>
      </x:c>
      <x:c r="K1180" s="20" t="str"/>
      <x:c r="L1180" s="20" t="str">
        <x:v>DIST-202703-O02</x:v>
      </x:c>
      <x:c r="M1180" s="26" t="n">
        <x:v>3200</x:v>
      </x:c>
      <x:c r="N1180" s="26" t="n">
        <x:v>0</x:v>
      </x:c>
      <x:c r="O1180" s="26" t="n">
        <x:v>-3200</x:v>
      </x:c>
      <x:c r="P1180" s="26" t="n">
        <x:v>0</x:v>
      </x:c>
      <x:c r="Q1180" s="26" t="n">
        <x:v>0</x:v>
      </x:c>
      <x:c r="R1180" s="26" t="n">
        <x:v>0</x:v>
      </x:c>
      <x:c r="S1180" s="26" t="n">
        <x:v>0</x:v>
      </x:c>
      <x:c r="T1180" s="26" t="n">
        <x:v>0</x:v>
      </x:c>
      <x:c r="U1180" s="26" t="n">
        <x:v>0</x:v>
      </x:c>
      <x:c r="V1180" s="26" t="n">
        <x:v>0</x:v>
      </x:c>
      <x:c r="W1180" s="26" t="n">
        <x:v>3200</x:v>
      </x:c>
      <x:c r="X1180" s="26" t="n">
        <x:v>0</x:v>
      </x:c>
      <x:c r="Y1180" s="26" t="n">
        <x:v>0</x:v>
      </x:c>
      <x:c r="Z1180" s="35" t="str">
        <x:v>Monthly distribution to Coble Family Rentals LLC</x:v>
      </x:c>
    </x:row>
    <x:row r="1181">
      <x:c r="A1181" s="20" t="str">
        <x:v>FIN-01178</x:v>
      </x:c>
      <x:c r="B1181" s="23" t="n">
        <x:v>46471</x:v>
      </x:c>
      <x:c r="C1181" s="23" t="n">
        <x:v>46471</x:v>
      </x:c>
      <x:c r="D1181" s="20" t="str">
        <x:v>OwnerDistribution</x:v>
      </x:c>
      <x:c r="E1181" s="20" t="str">
        <x:v>Owner distribution</x:v>
      </x:c>
      <x:c r="F1181" s="20" t="str"/>
      <x:c r="G1181" s="20" t="str"/>
      <x:c r="H1181" s="20" t="str"/>
      <x:c r="I1181" s="20" t="str">
        <x:v>Northstar Property Partners LLC</x:v>
      </x:c>
      <x:c r="J1181" s="35" t="str">
        <x:v>Manual approval and bank export</x:v>
      </x:c>
      <x:c r="K1181" s="20" t="str"/>
      <x:c r="L1181" s="20" t="str">
        <x:v>DIST-202703-O03</x:v>
      </x:c>
      <x:c r="M1181" s="26" t="n">
        <x:v>3550</x:v>
      </x:c>
      <x:c r="N1181" s="26" t="n">
        <x:v>0</x:v>
      </x:c>
      <x:c r="O1181" s="26" t="n">
        <x:v>-3550</x:v>
      </x:c>
      <x:c r="P1181" s="26" t="n">
        <x:v>0</x:v>
      </x:c>
      <x:c r="Q1181" s="26" t="n">
        <x:v>0</x:v>
      </x:c>
      <x:c r="R1181" s="26" t="n">
        <x:v>0</x:v>
      </x:c>
      <x:c r="S1181" s="26" t="n">
        <x:v>0</x:v>
      </x:c>
      <x:c r="T1181" s="26" t="n">
        <x:v>0</x:v>
      </x:c>
      <x:c r="U1181" s="26" t="n">
        <x:v>0</x:v>
      </x:c>
      <x:c r="V1181" s="26" t="n">
        <x:v>0</x:v>
      </x:c>
      <x:c r="W1181" s="26" t="n">
        <x:v>3550</x:v>
      </x:c>
      <x:c r="X1181" s="26" t="n">
        <x:v>0</x:v>
      </x:c>
      <x:c r="Y1181" s="26" t="n">
        <x:v>0</x:v>
      </x:c>
      <x:c r="Z1181" s="35" t="str">
        <x:v>Monthly distribution to Northstar Property Partners LLC</x:v>
      </x:c>
    </x:row>
    <x:row r="1182">
      <x:c r="A1182" s="20" t="str">
        <x:v>FIN-01179</x:v>
      </x:c>
      <x:c r="B1182" s="23" t="n">
        <x:v>46471</x:v>
      </x:c>
      <x:c r="C1182" s="23" t="n">
        <x:v>46471</x:v>
      </x:c>
      <x:c r="D1182" s="20" t="str">
        <x:v>OwnerDistribution</x:v>
      </x:c>
      <x:c r="E1182" s="20" t="str">
        <x:v>Owner distribution</x:v>
      </x:c>
      <x:c r="F1182" s="20" t="str"/>
      <x:c r="G1182" s="20" t="str"/>
      <x:c r="H1182" s="20" t="str"/>
      <x:c r="I1182" s="20" t="str">
        <x:v>Riverbend Homes LLC</x:v>
      </x:c>
      <x:c r="J1182" s="35" t="str">
        <x:v>Manual approval and bank export</x:v>
      </x:c>
      <x:c r="K1182" s="20" t="str"/>
      <x:c r="L1182" s="20" t="str">
        <x:v>DIST-202703-O04</x:v>
      </x:c>
      <x:c r="M1182" s="26" t="n">
        <x:v>3900</x:v>
      </x:c>
      <x:c r="N1182" s="26" t="n">
        <x:v>0</x:v>
      </x:c>
      <x:c r="O1182" s="26" t="n">
        <x:v>-3900</x:v>
      </x:c>
      <x:c r="P1182" s="26" t="n">
        <x:v>0</x:v>
      </x:c>
      <x:c r="Q1182" s="26" t="n">
        <x:v>0</x:v>
      </x:c>
      <x:c r="R1182" s="26" t="n">
        <x:v>0</x:v>
      </x:c>
      <x:c r="S1182" s="26" t="n">
        <x:v>0</x:v>
      </x:c>
      <x:c r="T1182" s="26" t="n">
        <x:v>0</x:v>
      </x:c>
      <x:c r="U1182" s="26" t="n">
        <x:v>0</x:v>
      </x:c>
      <x:c r="V1182" s="26" t="n">
        <x:v>0</x:v>
      </x:c>
      <x:c r="W1182" s="26" t="n">
        <x:v>3900</x:v>
      </x:c>
      <x:c r="X1182" s="26" t="n">
        <x:v>0</x:v>
      </x:c>
      <x:c r="Y1182" s="26" t="n">
        <x:v>0</x:v>
      </x:c>
      <x:c r="Z1182" s="35" t="str">
        <x:v>Monthly distribution to Riverbend Homes LLC</x:v>
      </x:c>
    </x:row>
    <x:row r="1183">
      <x:c r="A1183" s="20" t="str">
        <x:v>FIN-01180</x:v>
      </x:c>
      <x:c r="B1183" s="23" t="n">
        <x:v>46471</x:v>
      </x:c>
      <x:c r="C1183" s="23" t="n">
        <x:v>46471</x:v>
      </x:c>
      <x:c r="D1183" s="20" t="str">
        <x:v>OwnerDistribution</x:v>
      </x:c>
      <x:c r="E1183" s="20" t="str">
        <x:v>Owner distribution</x:v>
      </x:c>
      <x:c r="F1183" s="20" t="str"/>
      <x:c r="G1183" s="20" t="str"/>
      <x:c r="H1183" s="20" t="str"/>
      <x:c r="I1183" s="20" t="str">
        <x:v>Juniper Street Holdings LLC</x:v>
      </x:c>
      <x:c r="J1183" s="35" t="str">
        <x:v>Manual approval and bank export</x:v>
      </x:c>
      <x:c r="K1183" s="20" t="str"/>
      <x:c r="L1183" s="20" t="str">
        <x:v>DIST-202703-O05</x:v>
      </x:c>
      <x:c r="M1183" s="26" t="n">
        <x:v>4250</x:v>
      </x:c>
      <x:c r="N1183" s="26" t="n">
        <x:v>0</x:v>
      </x:c>
      <x:c r="O1183" s="26" t="n">
        <x:v>-4250</x:v>
      </x:c>
      <x:c r="P1183" s="26" t="n">
        <x:v>0</x:v>
      </x:c>
      <x:c r="Q1183" s="26" t="n">
        <x:v>0</x:v>
      </x:c>
      <x:c r="R1183" s="26" t="n">
        <x:v>0</x:v>
      </x:c>
      <x:c r="S1183" s="26" t="n">
        <x:v>0</x:v>
      </x:c>
      <x:c r="T1183" s="26" t="n">
        <x:v>0</x:v>
      </x:c>
      <x:c r="U1183" s="26" t="n">
        <x:v>0</x:v>
      </x:c>
      <x:c r="V1183" s="26" t="n">
        <x:v>0</x:v>
      </x:c>
      <x:c r="W1183" s="26" t="n">
        <x:v>4250</x:v>
      </x:c>
      <x:c r="X1183" s="26" t="n">
        <x:v>0</x:v>
      </x:c>
      <x:c r="Y1183" s="26" t="n">
        <x:v>0</x:v>
      </x:c>
      <x:c r="Z1183" s="35" t="str">
        <x:v>Monthly distribution to Juniper Street Holdings LLC</x:v>
      </x:c>
    </x:row>
    <x:row r="1184">
      <x:c r="A1184" s="20" t="str">
        <x:v>FIN-01181</x:v>
      </x:c>
      <x:c r="B1184" s="23" t="n">
        <x:v>46477</x:v>
      </x:c>
      <x:c r="C1184" s="23" t="n">
        <x:v>46477</x:v>
      </x:c>
      <x:c r="D1184" s="20" t="str">
        <x:v>BankFee</x:v>
      </x:c>
      <x:c r="E1184" s="20" t="str">
        <x:v>Bank fee</x:v>
      </x:c>
      <x:c r="F1184" s="20" t="str"/>
      <x:c r="G1184" s="20" t="str"/>
      <x:c r="H1184" s="20" t="str"/>
      <x:c r="I1184" s="20" t="str">
        <x:v>First QA Bank</x:v>
      </x:c>
      <x:c r="J1184" s="35" t="str">
        <x:v>Bank statement match</x:v>
      </x:c>
      <x:c r="K1184" s="20" t="str">
        <x:v>SCN-0527</x:v>
      </x:c>
      <x:c r="L1184" s="20" t="str">
        <x:v>BANKFEE-202703</x:v>
      </x:c>
      <x:c r="M1184" s="26" t="n">
        <x:v>18</x:v>
      </x:c>
      <x:c r="N1184" s="26" t="n">
        <x:v>0</x:v>
      </x:c>
      <x:c r="O1184" s="26" t="n">
        <x:v>-18</x:v>
      </x:c>
      <x:c r="P1184" s="26" t="n">
        <x:v>0</x:v>
      </x:c>
      <x:c r="Q1184" s="26" t="n">
        <x:v>0</x:v>
      </x:c>
      <x:c r="R1184" s="26" t="n">
        <x:v>0</x:v>
      </x:c>
      <x:c r="S1184" s="26" t="n">
        <x:v>0</x:v>
      </x:c>
      <x:c r="T1184" s="26" t="n">
        <x:v>0</x:v>
      </x:c>
      <x:c r="U1184" s="26" t="n">
        <x:v>18</x:v>
      </x:c>
      <x:c r="V1184" s="26" t="n">
        <x:v>0</x:v>
      </x:c>
      <x:c r="W1184" s="26" t="n">
        <x:v>0</x:v>
      </x:c>
      <x:c r="X1184" s="26" t="n">
        <x:v>0</x:v>
      </x:c>
      <x:c r="Y1184" s="26" t="n">
        <x:v>0</x:v>
      </x:c>
      <x:c r="Z1184" s="35" t="str">
        <x:v>Quarterly account analysis fee</x:v>
      </x:c>
    </x:row>
    <x:row r="1185">
      <x:c r="A1185" s="20" t="str">
        <x:v>FIN-01182</x:v>
      </x:c>
      <x:c r="B1185" s="23" t="n">
        <x:v>46492</x:v>
      </x:c>
      <x:c r="C1185" s="23" t="n">
        <x:v>46492</x:v>
      </x:c>
      <x:c r="D1185" s="20" t="str">
        <x:v>OperatingExpense</x:v>
      </x:c>
      <x:c r="E1185" s="20" t="str">
        <x:v>Utilities</x:v>
      </x:c>
      <x:c r="F1185" s="20" t="str">
        <x:v>P021</x:v>
      </x:c>
      <x:c r="G1185" s="20" t="str"/>
      <x:c r="H1185" s="20" t="str"/>
      <x:c r="I1185" s="20" t="str">
        <x:v>City Water &amp; Sewer</x:v>
      </x:c>
      <x:c r="J1185" s="35" t="str">
        <x:v>Scanned receipt/invoice</x:v>
      </x:c>
      <x:c r="K1185" s="20" t="str">
        <x:v>SCN-0528</x:v>
      </x:c>
      <x:c r="L1185" s="20" t="str">
        <x:v>EXP-20270415-1081</x:v>
      </x:c>
      <x:c r="M1185" s="26" t="n">
        <x:v>169</x:v>
      </x:c>
      <x:c r="N1185" s="26" t="n">
        <x:v>0</x:v>
      </x:c>
      <x:c r="O1185" s="26" t="n">
        <x:v>-169</x:v>
      </x:c>
      <x:c r="P1185" s="26" t="n">
        <x:v>0</x:v>
      </x:c>
      <x:c r="Q1185" s="26" t="n">
        <x:v>0</x:v>
      </x:c>
      <x:c r="R1185" s="26" t="n">
        <x:v>0</x:v>
      </x:c>
      <x:c r="S1185" s="26" t="n">
        <x:v>0</x:v>
      </x:c>
      <x:c r="T1185" s="26" t="n">
        <x:v>0</x:v>
      </x:c>
      <x:c r="U1185" s="26" t="n">
        <x:v>169</x:v>
      </x:c>
      <x:c r="V1185" s="26" t="n">
        <x:v>0</x:v>
      </x:c>
      <x:c r="W1185" s="26" t="n">
        <x:v>0</x:v>
      </x:c>
      <x:c r="X1185" s="26" t="n">
        <x:v>0</x:v>
      </x:c>
      <x:c r="Y1185" s="26" t="n">
        <x:v>0</x:v>
      </x:c>
      <x:c r="Z1185" s="35" t="str">
        <x:v>City Water &amp; Sewer</x:v>
      </x:c>
    </x:row>
    <x:row r="1186">
      <x:c r="A1186" s="20" t="str">
        <x:v>FIN-01183</x:v>
      </x:c>
      <x:c r="B1186" s="23" t="n">
        <x:v>46492</x:v>
      </x:c>
      <x:c r="C1186" s="23" t="n">
        <x:v>46492</x:v>
      </x:c>
      <x:c r="D1186" s="20" t="str">
        <x:v>OperatingExpense</x:v>
      </x:c>
      <x:c r="E1186" s="20" t="str">
        <x:v>Utilities</x:v>
      </x:c>
      <x:c r="F1186" s="20" t="str">
        <x:v>P022</x:v>
      </x:c>
      <x:c r="G1186" s="20" t="str"/>
      <x:c r="H1186" s="20" t="str"/>
      <x:c r="I1186" s="20" t="str">
        <x:v>City Water &amp; Sewer</x:v>
      </x:c>
      <x:c r="J1186" s="35" t="str">
        <x:v>Scanned receipt/invoice</x:v>
      </x:c>
      <x:c r="K1186" s="20" t="str">
        <x:v>SCN-0529</x:v>
      </x:c>
      <x:c r="L1186" s="20" t="str">
        <x:v>EXP-20270415-1082</x:v>
      </x:c>
      <x:c r="M1186" s="26" t="n">
        <x:v>176</x:v>
      </x:c>
      <x:c r="N1186" s="26" t="n">
        <x:v>0</x:v>
      </x:c>
      <x:c r="O1186" s="26" t="n">
        <x:v>-176</x:v>
      </x:c>
      <x:c r="P1186" s="26" t="n">
        <x:v>0</x:v>
      </x:c>
      <x:c r="Q1186" s="26" t="n">
        <x:v>0</x:v>
      </x:c>
      <x:c r="R1186" s="26" t="n">
        <x:v>0</x:v>
      </x:c>
      <x:c r="S1186" s="26" t="n">
        <x:v>0</x:v>
      </x:c>
      <x:c r="T1186" s="26" t="n">
        <x:v>0</x:v>
      </x:c>
      <x:c r="U1186" s="26" t="n">
        <x:v>176</x:v>
      </x:c>
      <x:c r="V1186" s="26" t="n">
        <x:v>0</x:v>
      </x:c>
      <x:c r="W1186" s="26" t="n">
        <x:v>0</x:v>
      </x:c>
      <x:c r="X1186" s="26" t="n">
        <x:v>0</x:v>
      </x:c>
      <x:c r="Y1186" s="26" t="n">
        <x:v>0</x:v>
      </x:c>
      <x:c r="Z1186" s="35" t="str">
        <x:v>City Water &amp; Sewer</x:v>
      </x:c>
    </x:row>
    <x:row r="1187">
      <x:c r="A1187" s="20" t="str">
        <x:v>FIN-01184</x:v>
      </x:c>
      <x:c r="B1187" s="23" t="n">
        <x:v>46492</x:v>
      </x:c>
      <x:c r="C1187" s="23" t="n">
        <x:v>46492</x:v>
      </x:c>
      <x:c r="D1187" s="20" t="str">
        <x:v>OperatingExpense</x:v>
      </x:c>
      <x:c r="E1187" s="20" t="str">
        <x:v>Utilities</x:v>
      </x:c>
      <x:c r="F1187" s="20" t="str">
        <x:v>P023</x:v>
      </x:c>
      <x:c r="G1187" s="20" t="str"/>
      <x:c r="H1187" s="20" t="str"/>
      <x:c r="I1187" s="20" t="str">
        <x:v>City Water &amp; Sewer</x:v>
      </x:c>
      <x:c r="J1187" s="35" t="str">
        <x:v>Scanned receipt/invoice</x:v>
      </x:c>
      <x:c r="K1187" s="20" t="str">
        <x:v>SCN-0530</x:v>
      </x:c>
      <x:c r="L1187" s="20" t="str">
        <x:v>EXP-20270415-1083</x:v>
      </x:c>
      <x:c r="M1187" s="26" t="n">
        <x:v>183</x:v>
      </x:c>
      <x:c r="N1187" s="26" t="n">
        <x:v>0</x:v>
      </x:c>
      <x:c r="O1187" s="26" t="n">
        <x:v>-183</x:v>
      </x:c>
      <x:c r="P1187" s="26" t="n">
        <x:v>0</x:v>
      </x:c>
      <x:c r="Q1187" s="26" t="n">
        <x:v>0</x:v>
      </x:c>
      <x:c r="R1187" s="26" t="n">
        <x:v>0</x:v>
      </x:c>
      <x:c r="S1187" s="26" t="n">
        <x:v>0</x:v>
      </x:c>
      <x:c r="T1187" s="26" t="n">
        <x:v>0</x:v>
      </x:c>
      <x:c r="U1187" s="26" t="n">
        <x:v>183</x:v>
      </x:c>
      <x:c r="V1187" s="26" t="n">
        <x:v>0</x:v>
      </x:c>
      <x:c r="W1187" s="26" t="n">
        <x:v>0</x:v>
      </x:c>
      <x:c r="X1187" s="26" t="n">
        <x:v>0</x:v>
      </x:c>
      <x:c r="Y1187" s="26" t="n">
        <x:v>0</x:v>
      </x:c>
      <x:c r="Z1187" s="35" t="str">
        <x:v>City Water &amp; Sewer</x:v>
      </x:c>
    </x:row>
    <x:row r="1188">
      <x:c r="A1188" s="20" t="str">
        <x:v>FIN-01185</x:v>
      </x:c>
      <x:c r="B1188" s="23" t="n">
        <x:v>46492</x:v>
      </x:c>
      <x:c r="C1188" s="23" t="n">
        <x:v>46492</x:v>
      </x:c>
      <x:c r="D1188" s="20" t="str">
        <x:v>OperatingExpense</x:v>
      </x:c>
      <x:c r="E1188" s="20" t="str">
        <x:v>Utilities</x:v>
      </x:c>
      <x:c r="F1188" s="20" t="str">
        <x:v>P024</x:v>
      </x:c>
      <x:c r="G1188" s="20" t="str"/>
      <x:c r="H1188" s="20" t="str"/>
      <x:c r="I1188" s="20" t="str">
        <x:v>City Water &amp; Sewer</x:v>
      </x:c>
      <x:c r="J1188" s="35" t="str">
        <x:v>Scanned receipt/invoice</x:v>
      </x:c>
      <x:c r="K1188" s="20" t="str">
        <x:v>SCN-0531</x:v>
      </x:c>
      <x:c r="L1188" s="20" t="str">
        <x:v>EXP-20270415-1084</x:v>
      </x:c>
      <x:c r="M1188" s="26" t="n">
        <x:v>190</x:v>
      </x:c>
      <x:c r="N1188" s="26" t="n">
        <x:v>0</x:v>
      </x:c>
      <x:c r="O1188" s="26" t="n">
        <x:v>-190</x:v>
      </x:c>
      <x:c r="P1188" s="26" t="n">
        <x:v>0</x:v>
      </x:c>
      <x:c r="Q1188" s="26" t="n">
        <x:v>0</x:v>
      </x:c>
      <x:c r="R1188" s="26" t="n">
        <x:v>0</x:v>
      </x:c>
      <x:c r="S1188" s="26" t="n">
        <x:v>0</x:v>
      </x:c>
      <x:c r="T1188" s="26" t="n">
        <x:v>0</x:v>
      </x:c>
      <x:c r="U1188" s="26" t="n">
        <x:v>190</x:v>
      </x:c>
      <x:c r="V1188" s="26" t="n">
        <x:v>0</x:v>
      </x:c>
      <x:c r="W1188" s="26" t="n">
        <x:v>0</x:v>
      </x:c>
      <x:c r="X1188" s="26" t="n">
        <x:v>0</x:v>
      </x:c>
      <x:c r="Y1188" s="26" t="n">
        <x:v>0</x:v>
      </x:c>
      <x:c r="Z1188" s="35" t="str">
        <x:v>City Water &amp; Sewer</x:v>
      </x:c>
    </x:row>
    <x:row r="1189">
      <x:c r="A1189" s="20" t="str">
        <x:v>FIN-01186</x:v>
      </x:c>
      <x:c r="B1189" s="23" t="n">
        <x:v>46492</x:v>
      </x:c>
      <x:c r="C1189" s="23" t="n">
        <x:v>46492</x:v>
      </x:c>
      <x:c r="D1189" s="20" t="str">
        <x:v>OperatingExpense</x:v>
      </x:c>
      <x:c r="E1189" s="20" t="str">
        <x:v>Utilities</x:v>
      </x:c>
      <x:c r="F1189" s="20" t="str">
        <x:v>P025</x:v>
      </x:c>
      <x:c r="G1189" s="20" t="str"/>
      <x:c r="H1189" s="20" t="str"/>
      <x:c r="I1189" s="20" t="str">
        <x:v>City Water &amp; Sewer</x:v>
      </x:c>
      <x:c r="J1189" s="35" t="str">
        <x:v>Manual web form</x:v>
      </x:c>
      <x:c r="K1189" s="20" t="str"/>
      <x:c r="L1189" s="20" t="str">
        <x:v>EXP-20270415-1085</x:v>
      </x:c>
      <x:c r="M1189" s="26" t="n">
        <x:v>197</x:v>
      </x:c>
      <x:c r="N1189" s="26" t="n">
        <x:v>0</x:v>
      </x:c>
      <x:c r="O1189" s="26" t="n">
        <x:v>-197</x:v>
      </x:c>
      <x:c r="P1189" s="26" t="n">
        <x:v>0</x:v>
      </x:c>
      <x:c r="Q1189" s="26" t="n">
        <x:v>0</x:v>
      </x:c>
      <x:c r="R1189" s="26" t="n">
        <x:v>0</x:v>
      </x:c>
      <x:c r="S1189" s="26" t="n">
        <x:v>0</x:v>
      </x:c>
      <x:c r="T1189" s="26" t="n">
        <x:v>0</x:v>
      </x:c>
      <x:c r="U1189" s="26" t="n">
        <x:v>197</x:v>
      </x:c>
      <x:c r="V1189" s="26" t="n">
        <x:v>0</x:v>
      </x:c>
      <x:c r="W1189" s="26" t="n">
        <x:v>0</x:v>
      </x:c>
      <x:c r="X1189" s="26" t="n">
        <x:v>0</x:v>
      </x:c>
      <x:c r="Y1189" s="26" t="n">
        <x:v>0</x:v>
      </x:c>
      <x:c r="Z1189" s="35" t="str">
        <x:v>City Water &amp; Sewer</x:v>
      </x:c>
    </x:row>
    <x:row r="1190">
      <x:c r="A1190" s="20" t="str">
        <x:v>FIN-01187</x:v>
      </x:c>
      <x:c r="B1190" s="23" t="n">
        <x:v>46492</x:v>
      </x:c>
      <x:c r="C1190" s="23" t="n">
        <x:v>46492</x:v>
      </x:c>
      <x:c r="D1190" s="20" t="str">
        <x:v>OperatingExpense</x:v>
      </x:c>
      <x:c r="E1190" s="20" t="str">
        <x:v>Utilities</x:v>
      </x:c>
      <x:c r="F1190" s="20" t="str">
        <x:v>P026</x:v>
      </x:c>
      <x:c r="G1190" s="20" t="str"/>
      <x:c r="H1190" s="20" t="str"/>
      <x:c r="I1190" s="20" t="str">
        <x:v>City Water &amp; Sewer</x:v>
      </x:c>
      <x:c r="J1190" s="35" t="str">
        <x:v>Scanned receipt/invoice</x:v>
      </x:c>
      <x:c r="K1190" s="20" t="str">
        <x:v>SCN-0532</x:v>
      </x:c>
      <x:c r="L1190" s="20" t="str">
        <x:v>EXP-20270415-1086</x:v>
      </x:c>
      <x:c r="M1190" s="26" t="n">
        <x:v>204</x:v>
      </x:c>
      <x:c r="N1190" s="26" t="n">
        <x:v>0</x:v>
      </x:c>
      <x:c r="O1190" s="26" t="n">
        <x:v>-204</x:v>
      </x:c>
      <x:c r="P1190" s="26" t="n">
        <x:v>0</x:v>
      </x:c>
      <x:c r="Q1190" s="26" t="n">
        <x:v>0</x:v>
      </x:c>
      <x:c r="R1190" s="26" t="n">
        <x:v>0</x:v>
      </x:c>
      <x:c r="S1190" s="26" t="n">
        <x:v>0</x:v>
      </x:c>
      <x:c r="T1190" s="26" t="n">
        <x:v>0</x:v>
      </x:c>
      <x:c r="U1190" s="26" t="n">
        <x:v>204</x:v>
      </x:c>
      <x:c r="V1190" s="26" t="n">
        <x:v>0</x:v>
      </x:c>
      <x:c r="W1190" s="26" t="n">
        <x:v>0</x:v>
      </x:c>
      <x:c r="X1190" s="26" t="n">
        <x:v>0</x:v>
      </x:c>
      <x:c r="Y1190" s="26" t="n">
        <x:v>0</x:v>
      </x:c>
      <x:c r="Z1190" s="35" t="str">
        <x:v>City Water &amp; Sewer</x:v>
      </x:c>
    </x:row>
    <x:row r="1191">
      <x:c r="A1191" s="20" t="str">
        <x:v>FIN-01188</x:v>
      </x:c>
      <x:c r="B1191" s="23" t="n">
        <x:v>46492</x:v>
      </x:c>
      <x:c r="C1191" s="23" t="n">
        <x:v>46492</x:v>
      </x:c>
      <x:c r="D1191" s="20" t="str">
        <x:v>OperatingExpense</x:v>
      </x:c>
      <x:c r="E1191" s="20" t="str">
        <x:v>Utilities</x:v>
      </x:c>
      <x:c r="F1191" s="20" t="str">
        <x:v>P027</x:v>
      </x:c>
      <x:c r="G1191" s="20" t="str"/>
      <x:c r="H1191" s="20" t="str"/>
      <x:c r="I1191" s="20" t="str">
        <x:v>City Water &amp; Sewer</x:v>
      </x:c>
      <x:c r="J1191" s="35" t="str">
        <x:v>Scanned receipt/invoice</x:v>
      </x:c>
      <x:c r="K1191" s="20" t="str">
        <x:v>SCN-0533</x:v>
      </x:c>
      <x:c r="L1191" s="20" t="str">
        <x:v>EXP-20270415-1087</x:v>
      </x:c>
      <x:c r="M1191" s="26" t="n">
        <x:v>121</x:v>
      </x:c>
      <x:c r="N1191" s="26" t="n">
        <x:v>0</x:v>
      </x:c>
      <x:c r="O1191" s="26" t="n">
        <x:v>-121</x:v>
      </x:c>
      <x:c r="P1191" s="26" t="n">
        <x:v>0</x:v>
      </x:c>
      <x:c r="Q1191" s="26" t="n">
        <x:v>0</x:v>
      </x:c>
      <x:c r="R1191" s="26" t="n">
        <x:v>0</x:v>
      </x:c>
      <x:c r="S1191" s="26" t="n">
        <x:v>0</x:v>
      </x:c>
      <x:c r="T1191" s="26" t="n">
        <x:v>0</x:v>
      </x:c>
      <x:c r="U1191" s="26" t="n">
        <x:v>121</x:v>
      </x:c>
      <x:c r="V1191" s="26" t="n">
        <x:v>0</x:v>
      </x:c>
      <x:c r="W1191" s="26" t="n">
        <x:v>0</x:v>
      </x:c>
      <x:c r="X1191" s="26" t="n">
        <x:v>0</x:v>
      </x:c>
      <x:c r="Y1191" s="26" t="n">
        <x:v>0</x:v>
      </x:c>
      <x:c r="Z1191" s="35" t="str">
        <x:v>City Water &amp; Sewer</x:v>
      </x:c>
    </x:row>
    <x:row r="1192">
      <x:c r="A1192" s="20" t="str">
        <x:v>FIN-01189</x:v>
      </x:c>
      <x:c r="B1192" s="23" t="n">
        <x:v>46492</x:v>
      </x:c>
      <x:c r="C1192" s="23" t="n">
        <x:v>46492</x:v>
      </x:c>
      <x:c r="D1192" s="20" t="str">
        <x:v>OperatingExpense</x:v>
      </x:c>
      <x:c r="E1192" s="20" t="str">
        <x:v>Utilities</x:v>
      </x:c>
      <x:c r="F1192" s="20" t="str">
        <x:v>P028</x:v>
      </x:c>
      <x:c r="G1192" s="20" t="str"/>
      <x:c r="H1192" s="20" t="str"/>
      <x:c r="I1192" s="20" t="str">
        <x:v>City Water &amp; Sewer</x:v>
      </x:c>
      <x:c r="J1192" s="35" t="str">
        <x:v>Scanned receipt/invoice</x:v>
      </x:c>
      <x:c r="K1192" s="20" t="str">
        <x:v>SCN-0534</x:v>
      </x:c>
      <x:c r="L1192" s="20" t="str">
        <x:v>EXP-20270415-1088</x:v>
      </x:c>
      <x:c r="M1192" s="26" t="n">
        <x:v>128</x:v>
      </x:c>
      <x:c r="N1192" s="26" t="n">
        <x:v>0</x:v>
      </x:c>
      <x:c r="O1192" s="26" t="n">
        <x:v>-128</x:v>
      </x:c>
      <x:c r="P1192" s="26" t="n">
        <x:v>0</x:v>
      </x:c>
      <x:c r="Q1192" s="26" t="n">
        <x:v>0</x:v>
      </x:c>
      <x:c r="R1192" s="26" t="n">
        <x:v>0</x:v>
      </x:c>
      <x:c r="S1192" s="26" t="n">
        <x:v>0</x:v>
      </x:c>
      <x:c r="T1192" s="26" t="n">
        <x:v>0</x:v>
      </x:c>
      <x:c r="U1192" s="26" t="n">
        <x:v>128</x:v>
      </x:c>
      <x:c r="V1192" s="26" t="n">
        <x:v>0</x:v>
      </x:c>
      <x:c r="W1192" s="26" t="n">
        <x:v>0</x:v>
      </x:c>
      <x:c r="X1192" s="26" t="n">
        <x:v>0</x:v>
      </x:c>
      <x:c r="Y1192" s="26" t="n">
        <x:v>0</x:v>
      </x:c>
      <x:c r="Z1192" s="35" t="str">
        <x:v>City Water &amp; Sewer</x:v>
      </x:c>
    </x:row>
    <x:row r="1193">
      <x:c r="A1193" s="20" t="str">
        <x:v>FIN-01190</x:v>
      </x:c>
      <x:c r="B1193" s="23" t="n">
        <x:v>46492</x:v>
      </x:c>
      <x:c r="C1193" s="23" t="n">
        <x:v>46492</x:v>
      </x:c>
      <x:c r="D1193" s="20" t="str">
        <x:v>OperatingExpense</x:v>
      </x:c>
      <x:c r="E1193" s="20" t="str">
        <x:v>Utilities</x:v>
      </x:c>
      <x:c r="F1193" s="20" t="str">
        <x:v>P029</x:v>
      </x:c>
      <x:c r="G1193" s="20" t="str"/>
      <x:c r="H1193" s="20" t="str"/>
      <x:c r="I1193" s="20" t="str">
        <x:v>City Water &amp; Sewer</x:v>
      </x:c>
      <x:c r="J1193" s="35" t="str">
        <x:v>Scanned receipt/invoice</x:v>
      </x:c>
      <x:c r="K1193" s="20" t="str">
        <x:v>SCN-0535</x:v>
      </x:c>
      <x:c r="L1193" s="20" t="str">
        <x:v>EXP-20270415-1089</x:v>
      </x:c>
      <x:c r="M1193" s="26" t="n">
        <x:v>135</x:v>
      </x:c>
      <x:c r="N1193" s="26" t="n">
        <x:v>0</x:v>
      </x:c>
      <x:c r="O1193" s="26" t="n">
        <x:v>-135</x:v>
      </x:c>
      <x:c r="P1193" s="26" t="n">
        <x:v>0</x:v>
      </x:c>
      <x:c r="Q1193" s="26" t="n">
        <x:v>0</x:v>
      </x:c>
      <x:c r="R1193" s="26" t="n">
        <x:v>0</x:v>
      </x:c>
      <x:c r="S1193" s="26" t="n">
        <x:v>0</x:v>
      </x:c>
      <x:c r="T1193" s="26" t="n">
        <x:v>0</x:v>
      </x:c>
      <x:c r="U1193" s="26" t="n">
        <x:v>135</x:v>
      </x:c>
      <x:c r="V1193" s="26" t="n">
        <x:v>0</x:v>
      </x:c>
      <x:c r="W1193" s="26" t="n">
        <x:v>0</x:v>
      </x:c>
      <x:c r="X1193" s="26" t="n">
        <x:v>0</x:v>
      </x:c>
      <x:c r="Y1193" s="26" t="n">
        <x:v>0</x:v>
      </x:c>
      <x:c r="Z1193" s="35" t="str">
        <x:v>City Water &amp; Sewer</x:v>
      </x:c>
    </x:row>
    <x:row r="1194">
      <x:c r="A1194" s="20" t="str">
        <x:v>FIN-01191</x:v>
      </x:c>
      <x:c r="B1194" s="23" t="n">
        <x:v>46492</x:v>
      </x:c>
      <x:c r="C1194" s="23" t="n">
        <x:v>46492</x:v>
      </x:c>
      <x:c r="D1194" s="20" t="str">
        <x:v>OperatingExpense</x:v>
      </x:c>
      <x:c r="E1194" s="20" t="str">
        <x:v>Utilities</x:v>
      </x:c>
      <x:c r="F1194" s="20" t="str">
        <x:v>P030</x:v>
      </x:c>
      <x:c r="G1194" s="20" t="str"/>
      <x:c r="H1194" s="20" t="str"/>
      <x:c r="I1194" s="20" t="str">
        <x:v>City Water &amp; Sewer</x:v>
      </x:c>
      <x:c r="J1194" s="35" t="str">
        <x:v>Manual mobile form</x:v>
      </x:c>
      <x:c r="K1194" s="20" t="str"/>
      <x:c r="L1194" s="20" t="str">
        <x:v>EXP-20270415-1090</x:v>
      </x:c>
      <x:c r="M1194" s="26" t="n">
        <x:v>142</x:v>
      </x:c>
      <x:c r="N1194" s="26" t="n">
        <x:v>0</x:v>
      </x:c>
      <x:c r="O1194" s="26" t="n">
        <x:v>-142</x:v>
      </x:c>
      <x:c r="P1194" s="26" t="n">
        <x:v>0</x:v>
      </x:c>
      <x:c r="Q1194" s="26" t="n">
        <x:v>0</x:v>
      </x:c>
      <x:c r="R1194" s="26" t="n">
        <x:v>0</x:v>
      </x:c>
      <x:c r="S1194" s="26" t="n">
        <x:v>0</x:v>
      </x:c>
      <x:c r="T1194" s="26" t="n">
        <x:v>0</x:v>
      </x:c>
      <x:c r="U1194" s="26" t="n">
        <x:v>142</x:v>
      </x:c>
      <x:c r="V1194" s="26" t="n">
        <x:v>0</x:v>
      </x:c>
      <x:c r="W1194" s="26" t="n">
        <x:v>0</x:v>
      </x:c>
      <x:c r="X1194" s="26" t="n">
        <x:v>0</x:v>
      </x:c>
      <x:c r="Y1194" s="26" t="n">
        <x:v>0</x:v>
      </x:c>
      <x:c r="Z1194" s="35" t="str">
        <x:v>City Water &amp; Sewer</x:v>
      </x:c>
    </x:row>
    <x:row r="1195">
      <x:c r="A1195" s="20" t="str">
        <x:v>FIN-01192</x:v>
      </x:c>
      <x:c r="B1195" s="23" t="n">
        <x:v>46497</x:v>
      </x:c>
      <x:c r="C1195" s="23" t="n">
        <x:v>46497</x:v>
      </x:c>
      <x:c r="D1195" s="20" t="str">
        <x:v>LoanPayment</x:v>
      </x:c>
      <x:c r="E1195" s="20" t="str">
        <x:v>Mortgage principal and interest</x:v>
      </x:c>
      <x:c r="F1195" s="20" t="str">
        <x:v>P001</x:v>
      </x:c>
      <x:c r="G1195" s="20" t="str"/>
      <x:c r="H1195" s="20" t="str"/>
      <x:c r="I1195" s="20" t="str">
        <x:v>First QA Mortgage</x:v>
      </x:c>
      <x:c r="J1195" s="35" t="str">
        <x:v>Recurring loan payment + scanned statement</x:v>
      </x:c>
      <x:c r="K1195" s="20" t="str">
        <x:v>SCN-0536</x:v>
      </x:c>
      <x:c r="L1195" s="20" t="str">
        <x:v>LN001-202704</x:v>
      </x:c>
      <x:c r="M1195" s="26" t="n">
        <x:v>1030</x:v>
      </x:c>
      <x:c r="N1195" s="26" t="n">
        <x:v>0</x:v>
      </x:c>
      <x:c r="O1195" s="26" t="n">
        <x:v>-1030</x:v>
      </x:c>
      <x:c r="P1195" s="26" t="n">
        <x:v>0</x:v>
      </x:c>
      <x:c r="Q1195" s="26" t="n">
        <x:v>0</x:v>
      </x:c>
      <x:c r="R1195" s="26" t="n">
        <x:v>0</x:v>
      </x:c>
      <x:c r="S1195" s="26" t="n">
        <x:v>-431</x:v>
      </x:c>
      <x:c r="T1195" s="26" t="n">
        <x:v>0</x:v>
      </x:c>
      <x:c r="U1195" s="26" t="n">
        <x:v>599</x:v>
      </x:c>
      <x:c r="V1195" s="26" t="n">
        <x:v>0</x:v>
      </x:c>
      <x:c r="W1195" s="26" t="n">
        <x:v>0</x:v>
      </x:c>
      <x:c r="X1195" s="26" t="n">
        <x:v>0</x:v>
      </x:c>
      <x:c r="Y1195" s="26" t="n">
        <x:v>0</x:v>
      </x:c>
      <x:c r="Z1195" s="35" t="str">
        <x:v>LN001 scheduled payment</x:v>
      </x:c>
    </x:row>
    <x:row r="1196">
      <x:c r="A1196" s="20" t="str">
        <x:v>FIN-01193</x:v>
      </x:c>
      <x:c r="B1196" s="23" t="n">
        <x:v>46497</x:v>
      </x:c>
      <x:c r="C1196" s="23" t="n">
        <x:v>46497</x:v>
      </x:c>
      <x:c r="D1196" s="20" t="str">
        <x:v>LoanPayment</x:v>
      </x:c>
      <x:c r="E1196" s="20" t="str">
        <x:v>Mortgage principal and interest</x:v>
      </x:c>
      <x:c r="F1196" s="20" t="str">
        <x:v>P002</x:v>
      </x:c>
      <x:c r="G1196" s="20" t="str"/>
      <x:c r="H1196" s="20" t="str"/>
      <x:c r="I1196" s="20" t="str">
        <x:v>First QA Mortgage</x:v>
      </x:c>
      <x:c r="J1196" s="35" t="str">
        <x:v>Recurring loan payment + scanned statement</x:v>
      </x:c>
      <x:c r="K1196" s="20" t="str">
        <x:v>SCN-0537</x:v>
      </x:c>
      <x:c r="L1196" s="20" t="str">
        <x:v>LN002-202704</x:v>
      </x:c>
      <x:c r="M1196" s="26" t="n">
        <x:v>1054</x:v>
      </x:c>
      <x:c r="N1196" s="26" t="n">
        <x:v>0</x:v>
      </x:c>
      <x:c r="O1196" s="26" t="n">
        <x:v>-1054</x:v>
      </x:c>
      <x:c r="P1196" s="26" t="n">
        <x:v>0</x:v>
      </x:c>
      <x:c r="Q1196" s="26" t="n">
        <x:v>0</x:v>
      </x:c>
      <x:c r="R1196" s="26" t="n">
        <x:v>0</x:v>
      </x:c>
      <x:c r="S1196" s="26" t="n">
        <x:v>-442</x:v>
      </x:c>
      <x:c r="T1196" s="26" t="n">
        <x:v>0</x:v>
      </x:c>
      <x:c r="U1196" s="26" t="n">
        <x:v>612</x:v>
      </x:c>
      <x:c r="V1196" s="26" t="n">
        <x:v>0</x:v>
      </x:c>
      <x:c r="W1196" s="26" t="n">
        <x:v>0</x:v>
      </x:c>
      <x:c r="X1196" s="26" t="n">
        <x:v>0</x:v>
      </x:c>
      <x:c r="Y1196" s="26" t="n">
        <x:v>0</x:v>
      </x:c>
      <x:c r="Z1196" s="35" t="str">
        <x:v>LN002 scheduled payment</x:v>
      </x:c>
    </x:row>
    <x:row r="1197">
      <x:c r="A1197" s="20" t="str">
        <x:v>FIN-01194</x:v>
      </x:c>
      <x:c r="B1197" s="23" t="n">
        <x:v>46497</x:v>
      </x:c>
      <x:c r="C1197" s="23" t="n">
        <x:v>46497</x:v>
      </x:c>
      <x:c r="D1197" s="20" t="str">
        <x:v>LoanPayment</x:v>
      </x:c>
      <x:c r="E1197" s="20" t="str">
        <x:v>Mortgage principal and interest</x:v>
      </x:c>
      <x:c r="F1197" s="20" t="str">
        <x:v>P004</x:v>
      </x:c>
      <x:c r="G1197" s="20" t="str"/>
      <x:c r="H1197" s="20" t="str"/>
      <x:c r="I1197" s="20" t="str">
        <x:v>First QA Mortgage</x:v>
      </x:c>
      <x:c r="J1197" s="35" t="str">
        <x:v>Recurring loan payment + scanned statement</x:v>
      </x:c>
      <x:c r="K1197" s="20" t="str">
        <x:v>SCN-0538</x:v>
      </x:c>
      <x:c r="L1197" s="20" t="str">
        <x:v>LN004-202704</x:v>
      </x:c>
      <x:c r="M1197" s="26" t="n">
        <x:v>1102</x:v>
      </x:c>
      <x:c r="N1197" s="26" t="n">
        <x:v>0</x:v>
      </x:c>
      <x:c r="O1197" s="26" t="n">
        <x:v>-1102</x:v>
      </x:c>
      <x:c r="P1197" s="26" t="n">
        <x:v>0</x:v>
      </x:c>
      <x:c r="Q1197" s="26" t="n">
        <x:v>0</x:v>
      </x:c>
      <x:c r="R1197" s="26" t="n">
        <x:v>0</x:v>
      </x:c>
      <x:c r="S1197" s="26" t="n">
        <x:v>-464</x:v>
      </x:c>
      <x:c r="T1197" s="26" t="n">
        <x:v>0</x:v>
      </x:c>
      <x:c r="U1197" s="26" t="n">
        <x:v>638</x:v>
      </x:c>
      <x:c r="V1197" s="26" t="n">
        <x:v>0</x:v>
      </x:c>
      <x:c r="W1197" s="26" t="n">
        <x:v>0</x:v>
      </x:c>
      <x:c r="X1197" s="26" t="n">
        <x:v>0</x:v>
      </x:c>
      <x:c r="Y1197" s="26" t="n">
        <x:v>0</x:v>
      </x:c>
      <x:c r="Z1197" s="35" t="str">
        <x:v>LN004 scheduled payment</x:v>
      </x:c>
    </x:row>
    <x:row r="1198">
      <x:c r="A1198" s="20" t="str">
        <x:v>FIN-01195</x:v>
      </x:c>
      <x:c r="B1198" s="23" t="n">
        <x:v>46497</x:v>
      </x:c>
      <x:c r="C1198" s="23" t="n">
        <x:v>46497</x:v>
      </x:c>
      <x:c r="D1198" s="20" t="str">
        <x:v>LoanPayment</x:v>
      </x:c>
      <x:c r="E1198" s="20" t="str">
        <x:v>Mortgage principal and interest</x:v>
      </x:c>
      <x:c r="F1198" s="20" t="str">
        <x:v>P005</x:v>
      </x:c>
      <x:c r="G1198" s="20" t="str"/>
      <x:c r="H1198" s="20" t="str"/>
      <x:c r="I1198" s="20" t="str">
        <x:v>First QA Mortgage</x:v>
      </x:c>
      <x:c r="J1198" s="35" t="str">
        <x:v>Recurring loan payment + scanned statement</x:v>
      </x:c>
      <x:c r="K1198" s="20" t="str">
        <x:v>SCN-0539</x:v>
      </x:c>
      <x:c r="L1198" s="20" t="str">
        <x:v>LN005-202704</x:v>
      </x:c>
      <x:c r="M1198" s="26" t="n">
        <x:v>1126</x:v>
      </x:c>
      <x:c r="N1198" s="26" t="n">
        <x:v>0</x:v>
      </x:c>
      <x:c r="O1198" s="26" t="n">
        <x:v>-1126</x:v>
      </x:c>
      <x:c r="P1198" s="26" t="n">
        <x:v>0</x:v>
      </x:c>
      <x:c r="Q1198" s="26" t="n">
        <x:v>0</x:v>
      </x:c>
      <x:c r="R1198" s="26" t="n">
        <x:v>0</x:v>
      </x:c>
      <x:c r="S1198" s="26" t="n">
        <x:v>-475</x:v>
      </x:c>
      <x:c r="T1198" s="26" t="n">
        <x:v>0</x:v>
      </x:c>
      <x:c r="U1198" s="26" t="n">
        <x:v>651</x:v>
      </x:c>
      <x:c r="V1198" s="26" t="n">
        <x:v>0</x:v>
      </x:c>
      <x:c r="W1198" s="26" t="n">
        <x:v>0</x:v>
      </x:c>
      <x:c r="X1198" s="26" t="n">
        <x:v>0</x:v>
      </x:c>
      <x:c r="Y1198" s="26" t="n">
        <x:v>0</x:v>
      </x:c>
      <x:c r="Z1198" s="35" t="str">
        <x:v>LN005 scheduled payment</x:v>
      </x:c>
    </x:row>
    <x:row r="1199">
      <x:c r="A1199" s="20" t="str">
        <x:v>FIN-01196</x:v>
      </x:c>
      <x:c r="B1199" s="23" t="n">
        <x:v>46497</x:v>
      </x:c>
      <x:c r="C1199" s="23" t="n">
        <x:v>46497</x:v>
      </x:c>
      <x:c r="D1199" s="20" t="str">
        <x:v>LoanPayment</x:v>
      </x:c>
      <x:c r="E1199" s="20" t="str">
        <x:v>Mortgage principal and interest</x:v>
      </x:c>
      <x:c r="F1199" s="20" t="str">
        <x:v>P007</x:v>
      </x:c>
      <x:c r="G1199" s="20" t="str"/>
      <x:c r="H1199" s="20" t="str"/>
      <x:c r="I1199" s="20" t="str">
        <x:v>First QA Mortgage</x:v>
      </x:c>
      <x:c r="J1199" s="35" t="str">
        <x:v>Recurring loan payment + scanned statement</x:v>
      </x:c>
      <x:c r="K1199" s="20" t="str">
        <x:v>SCN-0540</x:v>
      </x:c>
      <x:c r="L1199" s="20" t="str">
        <x:v>LN007-202704</x:v>
      </x:c>
      <x:c r="M1199" s="26" t="n">
        <x:v>1174</x:v>
      </x:c>
      <x:c r="N1199" s="26" t="n">
        <x:v>0</x:v>
      </x:c>
      <x:c r="O1199" s="26" t="n">
        <x:v>-1174</x:v>
      </x:c>
      <x:c r="P1199" s="26" t="n">
        <x:v>0</x:v>
      </x:c>
      <x:c r="Q1199" s="26" t="n">
        <x:v>0</x:v>
      </x:c>
      <x:c r="R1199" s="26" t="n">
        <x:v>0</x:v>
      </x:c>
      <x:c r="S1199" s="26" t="n">
        <x:v>-497</x:v>
      </x:c>
      <x:c r="T1199" s="26" t="n">
        <x:v>0</x:v>
      </x:c>
      <x:c r="U1199" s="26" t="n">
        <x:v>677</x:v>
      </x:c>
      <x:c r="V1199" s="26" t="n">
        <x:v>0</x:v>
      </x:c>
      <x:c r="W1199" s="26" t="n">
        <x:v>0</x:v>
      </x:c>
      <x:c r="X1199" s="26" t="n">
        <x:v>0</x:v>
      </x:c>
      <x:c r="Y1199" s="26" t="n">
        <x:v>0</x:v>
      </x:c>
      <x:c r="Z1199" s="35" t="str">
        <x:v>LN007 scheduled payment</x:v>
      </x:c>
    </x:row>
    <x:row r="1200">
      <x:c r="A1200" s="20" t="str">
        <x:v>FIN-01197</x:v>
      </x:c>
      <x:c r="B1200" s="23" t="n">
        <x:v>46497</x:v>
      </x:c>
      <x:c r="C1200" s="23" t="n">
        <x:v>46497</x:v>
      </x:c>
      <x:c r="D1200" s="20" t="str">
        <x:v>LoanPayment</x:v>
      </x:c>
      <x:c r="E1200" s="20" t="str">
        <x:v>Mortgage principal and interest</x:v>
      </x:c>
      <x:c r="F1200" s="20" t="str">
        <x:v>P008</x:v>
      </x:c>
      <x:c r="G1200" s="20" t="str"/>
      <x:c r="H1200" s="20" t="str"/>
      <x:c r="I1200" s="20" t="str">
        <x:v>First QA Mortgage</x:v>
      </x:c>
      <x:c r="J1200" s="35" t="str">
        <x:v>Recurring loan payment + scanned statement</x:v>
      </x:c>
      <x:c r="K1200" s="20" t="str">
        <x:v>SCN-0541</x:v>
      </x:c>
      <x:c r="L1200" s="20" t="str">
        <x:v>LN008-202704</x:v>
      </x:c>
      <x:c r="M1200" s="26" t="n">
        <x:v>1198</x:v>
      </x:c>
      <x:c r="N1200" s="26" t="n">
        <x:v>0</x:v>
      </x:c>
      <x:c r="O1200" s="26" t="n">
        <x:v>-1198</x:v>
      </x:c>
      <x:c r="P1200" s="26" t="n">
        <x:v>0</x:v>
      </x:c>
      <x:c r="Q1200" s="26" t="n">
        <x:v>0</x:v>
      </x:c>
      <x:c r="R1200" s="26" t="n">
        <x:v>0</x:v>
      </x:c>
      <x:c r="S1200" s="26" t="n">
        <x:v>-508</x:v>
      </x:c>
      <x:c r="T1200" s="26" t="n">
        <x:v>0</x:v>
      </x:c>
      <x:c r="U1200" s="26" t="n">
        <x:v>690</x:v>
      </x:c>
      <x:c r="V1200" s="26" t="n">
        <x:v>0</x:v>
      </x:c>
      <x:c r="W1200" s="26" t="n">
        <x:v>0</x:v>
      </x:c>
      <x:c r="X1200" s="26" t="n">
        <x:v>0</x:v>
      </x:c>
      <x:c r="Y1200" s="26" t="n">
        <x:v>0</x:v>
      </x:c>
      <x:c r="Z1200" s="35" t="str">
        <x:v>LN008 scheduled payment</x:v>
      </x:c>
    </x:row>
    <x:row r="1201">
      <x:c r="A1201" s="20" t="str">
        <x:v>FIN-01198</x:v>
      </x:c>
      <x:c r="B1201" s="23" t="n">
        <x:v>46497</x:v>
      </x:c>
      <x:c r="C1201" s="23" t="n">
        <x:v>46497</x:v>
      </x:c>
      <x:c r="D1201" s="20" t="str">
        <x:v>LoanPayment</x:v>
      </x:c>
      <x:c r="E1201" s="20" t="str">
        <x:v>Mortgage principal and interest</x:v>
      </x:c>
      <x:c r="F1201" s="20" t="str">
        <x:v>P010</x:v>
      </x:c>
      <x:c r="G1201" s="20" t="str"/>
      <x:c r="H1201" s="20" t="str"/>
      <x:c r="I1201" s="20" t="str">
        <x:v>First QA Mortgage</x:v>
      </x:c>
      <x:c r="J1201" s="35" t="str">
        <x:v>Recurring loan payment + scanned statement</x:v>
      </x:c>
      <x:c r="K1201" s="20" t="str">
        <x:v>SCN-0542</x:v>
      </x:c>
      <x:c r="L1201" s="20" t="str">
        <x:v>LN010-202704</x:v>
      </x:c>
      <x:c r="M1201" s="26" t="n">
        <x:v>1246</x:v>
      </x:c>
      <x:c r="N1201" s="26" t="n">
        <x:v>0</x:v>
      </x:c>
      <x:c r="O1201" s="26" t="n">
        <x:v>-1246</x:v>
      </x:c>
      <x:c r="P1201" s="26" t="n">
        <x:v>0</x:v>
      </x:c>
      <x:c r="Q1201" s="26" t="n">
        <x:v>0</x:v>
      </x:c>
      <x:c r="R1201" s="26" t="n">
        <x:v>0</x:v>
      </x:c>
      <x:c r="S1201" s="26" t="n">
        <x:v>-530</x:v>
      </x:c>
      <x:c r="T1201" s="26" t="n">
        <x:v>0</x:v>
      </x:c>
      <x:c r="U1201" s="26" t="n">
        <x:v>716</x:v>
      </x:c>
      <x:c r="V1201" s="26" t="n">
        <x:v>0</x:v>
      </x:c>
      <x:c r="W1201" s="26" t="n">
        <x:v>0</x:v>
      </x:c>
      <x:c r="X1201" s="26" t="n">
        <x:v>0</x:v>
      </x:c>
      <x:c r="Y1201" s="26" t="n">
        <x:v>0</x:v>
      </x:c>
      <x:c r="Z1201" s="35" t="str">
        <x:v>LN010 scheduled payment</x:v>
      </x:c>
    </x:row>
    <x:row r="1202">
      <x:c r="A1202" s="20" t="str">
        <x:v>FIN-01199</x:v>
      </x:c>
      <x:c r="B1202" s="23" t="n">
        <x:v>46497</x:v>
      </x:c>
      <x:c r="C1202" s="23" t="n">
        <x:v>46497</x:v>
      </x:c>
      <x:c r="D1202" s="20" t="str">
        <x:v>LoanPayment</x:v>
      </x:c>
      <x:c r="E1202" s="20" t="str">
        <x:v>Mortgage principal and interest</x:v>
      </x:c>
      <x:c r="F1202" s="20" t="str">
        <x:v>P011</x:v>
      </x:c>
      <x:c r="G1202" s="20" t="str"/>
      <x:c r="H1202" s="20" t="str"/>
      <x:c r="I1202" s="20" t="str">
        <x:v>First QA Mortgage</x:v>
      </x:c>
      <x:c r="J1202" s="35" t="str">
        <x:v>Recurring loan payment + scanned statement</x:v>
      </x:c>
      <x:c r="K1202" s="20" t="str">
        <x:v>SCN-0543</x:v>
      </x:c>
      <x:c r="L1202" s="20" t="str">
        <x:v>LN011-202704</x:v>
      </x:c>
      <x:c r="M1202" s="26" t="n">
        <x:v>1270</x:v>
      </x:c>
      <x:c r="N1202" s="26" t="n">
        <x:v>0</x:v>
      </x:c>
      <x:c r="O1202" s="26" t="n">
        <x:v>-1270</x:v>
      </x:c>
      <x:c r="P1202" s="26" t="n">
        <x:v>0</x:v>
      </x:c>
      <x:c r="Q1202" s="26" t="n">
        <x:v>0</x:v>
      </x:c>
      <x:c r="R1202" s="26" t="n">
        <x:v>0</x:v>
      </x:c>
      <x:c r="S1202" s="26" t="n">
        <x:v>-541</x:v>
      </x:c>
      <x:c r="T1202" s="26" t="n">
        <x:v>0</x:v>
      </x:c>
      <x:c r="U1202" s="26" t="n">
        <x:v>729</x:v>
      </x:c>
      <x:c r="V1202" s="26" t="n">
        <x:v>0</x:v>
      </x:c>
      <x:c r="W1202" s="26" t="n">
        <x:v>0</x:v>
      </x:c>
      <x:c r="X1202" s="26" t="n">
        <x:v>0</x:v>
      </x:c>
      <x:c r="Y1202" s="26" t="n">
        <x:v>0</x:v>
      </x:c>
      <x:c r="Z1202" s="35" t="str">
        <x:v>LN011 scheduled payment</x:v>
      </x:c>
    </x:row>
    <x:row r="1203">
      <x:c r="A1203" s="20" t="str">
        <x:v>FIN-01200</x:v>
      </x:c>
      <x:c r="B1203" s="23" t="n">
        <x:v>46497</x:v>
      </x:c>
      <x:c r="C1203" s="23" t="n">
        <x:v>46497</x:v>
      </x:c>
      <x:c r="D1203" s="20" t="str">
        <x:v>LoanPayment</x:v>
      </x:c>
      <x:c r="E1203" s="20" t="str">
        <x:v>Mortgage principal and interest</x:v>
      </x:c>
      <x:c r="F1203" s="20" t="str">
        <x:v>P013</x:v>
      </x:c>
      <x:c r="G1203" s="20" t="str"/>
      <x:c r="H1203" s="20" t="str"/>
      <x:c r="I1203" s="20" t="str">
        <x:v>First QA Mortgage</x:v>
      </x:c>
      <x:c r="J1203" s="35" t="str">
        <x:v>Recurring loan payment + scanned statement</x:v>
      </x:c>
      <x:c r="K1203" s="20" t="str">
        <x:v>SCN-0544</x:v>
      </x:c>
      <x:c r="L1203" s="20" t="str">
        <x:v>LN013-202704</x:v>
      </x:c>
      <x:c r="M1203" s="26" t="n">
        <x:v>1318</x:v>
      </x:c>
      <x:c r="N1203" s="26" t="n">
        <x:v>0</x:v>
      </x:c>
      <x:c r="O1203" s="26" t="n">
        <x:v>-1318</x:v>
      </x:c>
      <x:c r="P1203" s="26" t="n">
        <x:v>0</x:v>
      </x:c>
      <x:c r="Q1203" s="26" t="n">
        <x:v>0</x:v>
      </x:c>
      <x:c r="R1203" s="26" t="n">
        <x:v>0</x:v>
      </x:c>
      <x:c r="S1203" s="26" t="n">
        <x:v>-563</x:v>
      </x:c>
      <x:c r="T1203" s="26" t="n">
        <x:v>0</x:v>
      </x:c>
      <x:c r="U1203" s="26" t="n">
        <x:v>755</x:v>
      </x:c>
      <x:c r="V1203" s="26" t="n">
        <x:v>0</x:v>
      </x:c>
      <x:c r="W1203" s="26" t="n">
        <x:v>0</x:v>
      </x:c>
      <x:c r="X1203" s="26" t="n">
        <x:v>0</x:v>
      </x:c>
      <x:c r="Y1203" s="26" t="n">
        <x:v>0</x:v>
      </x:c>
      <x:c r="Z1203" s="35" t="str">
        <x:v>LN013 scheduled payment</x:v>
      </x:c>
    </x:row>
    <x:row r="1204">
      <x:c r="A1204" s="20" t="str">
        <x:v>FIN-01201</x:v>
      </x:c>
      <x:c r="B1204" s="23" t="n">
        <x:v>46497</x:v>
      </x:c>
      <x:c r="C1204" s="23" t="n">
        <x:v>46497</x:v>
      </x:c>
      <x:c r="D1204" s="20" t="str">
        <x:v>LoanPayment</x:v>
      </x:c>
      <x:c r="E1204" s="20" t="str">
        <x:v>Mortgage principal and interest</x:v>
      </x:c>
      <x:c r="F1204" s="20" t="str">
        <x:v>P014</x:v>
      </x:c>
      <x:c r="G1204" s="20" t="str"/>
      <x:c r="H1204" s="20" t="str"/>
      <x:c r="I1204" s="20" t="str">
        <x:v>First QA Mortgage</x:v>
      </x:c>
      <x:c r="J1204" s="35" t="str">
        <x:v>Recurring loan payment + scanned statement</x:v>
      </x:c>
      <x:c r="K1204" s="20" t="str">
        <x:v>SCN-0545</x:v>
      </x:c>
      <x:c r="L1204" s="20" t="str">
        <x:v>LN014-202704</x:v>
      </x:c>
      <x:c r="M1204" s="26" t="n">
        <x:v>1342</x:v>
      </x:c>
      <x:c r="N1204" s="26" t="n">
        <x:v>0</x:v>
      </x:c>
      <x:c r="O1204" s="26" t="n">
        <x:v>-1342</x:v>
      </x:c>
      <x:c r="P1204" s="26" t="n">
        <x:v>0</x:v>
      </x:c>
      <x:c r="Q1204" s="26" t="n">
        <x:v>0</x:v>
      </x:c>
      <x:c r="R1204" s="26" t="n">
        <x:v>0</x:v>
      </x:c>
      <x:c r="S1204" s="26" t="n">
        <x:v>-574</x:v>
      </x:c>
      <x:c r="T1204" s="26" t="n">
        <x:v>0</x:v>
      </x:c>
      <x:c r="U1204" s="26" t="n">
        <x:v>768</x:v>
      </x:c>
      <x:c r="V1204" s="26" t="n">
        <x:v>0</x:v>
      </x:c>
      <x:c r="W1204" s="26" t="n">
        <x:v>0</x:v>
      </x:c>
      <x:c r="X1204" s="26" t="n">
        <x:v>0</x:v>
      </x:c>
      <x:c r="Y1204" s="26" t="n">
        <x:v>0</x:v>
      </x:c>
      <x:c r="Z1204" s="35" t="str">
        <x:v>LN014 scheduled payment</x:v>
      </x:c>
    </x:row>
    <x:row r="1205">
      <x:c r="A1205" s="20" t="str">
        <x:v>FIN-01202</x:v>
      </x:c>
      <x:c r="B1205" s="23" t="n">
        <x:v>46497</x:v>
      </x:c>
      <x:c r="C1205" s="23" t="n">
        <x:v>46497</x:v>
      </x:c>
      <x:c r="D1205" s="20" t="str">
        <x:v>LoanPayment</x:v>
      </x:c>
      <x:c r="E1205" s="20" t="str">
        <x:v>Mortgage principal and interest</x:v>
      </x:c>
      <x:c r="F1205" s="20" t="str">
        <x:v>P016</x:v>
      </x:c>
      <x:c r="G1205" s="20" t="str"/>
      <x:c r="H1205" s="20" t="str"/>
      <x:c r="I1205" s="20" t="str">
        <x:v>First QA Mortgage</x:v>
      </x:c>
      <x:c r="J1205" s="35" t="str">
        <x:v>Recurring loan payment + scanned statement</x:v>
      </x:c>
      <x:c r="K1205" s="20" t="str">
        <x:v>SCN-0546</x:v>
      </x:c>
      <x:c r="L1205" s="20" t="str">
        <x:v>LN016-202704</x:v>
      </x:c>
      <x:c r="M1205" s="26" t="n">
        <x:v>1390</x:v>
      </x:c>
      <x:c r="N1205" s="26" t="n">
        <x:v>0</x:v>
      </x:c>
      <x:c r="O1205" s="26" t="n">
        <x:v>-1390</x:v>
      </x:c>
      <x:c r="P1205" s="26" t="n">
        <x:v>0</x:v>
      </x:c>
      <x:c r="Q1205" s="26" t="n">
        <x:v>0</x:v>
      </x:c>
      <x:c r="R1205" s="26" t="n">
        <x:v>0</x:v>
      </x:c>
      <x:c r="S1205" s="26" t="n">
        <x:v>-596</x:v>
      </x:c>
      <x:c r="T1205" s="26" t="n">
        <x:v>0</x:v>
      </x:c>
      <x:c r="U1205" s="26" t="n">
        <x:v>794</x:v>
      </x:c>
      <x:c r="V1205" s="26" t="n">
        <x:v>0</x:v>
      </x:c>
      <x:c r="W1205" s="26" t="n">
        <x:v>0</x:v>
      </x:c>
      <x:c r="X1205" s="26" t="n">
        <x:v>0</x:v>
      </x:c>
      <x:c r="Y1205" s="26" t="n">
        <x:v>0</x:v>
      </x:c>
      <x:c r="Z1205" s="35" t="str">
        <x:v>LN016 scheduled payment</x:v>
      </x:c>
    </x:row>
    <x:row r="1206">
      <x:c r="A1206" s="20" t="str">
        <x:v>FIN-01203</x:v>
      </x:c>
      <x:c r="B1206" s="23" t="n">
        <x:v>46497</x:v>
      </x:c>
      <x:c r="C1206" s="23" t="n">
        <x:v>46497</x:v>
      </x:c>
      <x:c r="D1206" s="20" t="str">
        <x:v>LoanPayment</x:v>
      </x:c>
      <x:c r="E1206" s="20" t="str">
        <x:v>Mortgage principal and interest</x:v>
      </x:c>
      <x:c r="F1206" s="20" t="str">
        <x:v>P017</x:v>
      </x:c>
      <x:c r="G1206" s="20" t="str"/>
      <x:c r="H1206" s="20" t="str"/>
      <x:c r="I1206" s="20" t="str">
        <x:v>First QA Mortgage</x:v>
      </x:c>
      <x:c r="J1206" s="35" t="str">
        <x:v>Recurring loan payment + scanned statement</x:v>
      </x:c>
      <x:c r="K1206" s="20" t="str">
        <x:v>SCN-0547</x:v>
      </x:c>
      <x:c r="L1206" s="20" t="str">
        <x:v>LN017-202704</x:v>
      </x:c>
      <x:c r="M1206" s="26" t="n">
        <x:v>1414</x:v>
      </x:c>
      <x:c r="N1206" s="26" t="n">
        <x:v>0</x:v>
      </x:c>
      <x:c r="O1206" s="26" t="n">
        <x:v>-1414</x:v>
      </x:c>
      <x:c r="P1206" s="26" t="n">
        <x:v>0</x:v>
      </x:c>
      <x:c r="Q1206" s="26" t="n">
        <x:v>0</x:v>
      </x:c>
      <x:c r="R1206" s="26" t="n">
        <x:v>0</x:v>
      </x:c>
      <x:c r="S1206" s="26" t="n">
        <x:v>-607</x:v>
      </x:c>
      <x:c r="T1206" s="26" t="n">
        <x:v>0</x:v>
      </x:c>
      <x:c r="U1206" s="26" t="n">
        <x:v>807</x:v>
      </x:c>
      <x:c r="V1206" s="26" t="n">
        <x:v>0</x:v>
      </x:c>
      <x:c r="W1206" s="26" t="n">
        <x:v>0</x:v>
      </x:c>
      <x:c r="X1206" s="26" t="n">
        <x:v>0</x:v>
      </x:c>
      <x:c r="Y1206" s="26" t="n">
        <x:v>0</x:v>
      </x:c>
      <x:c r="Z1206" s="35" t="str">
        <x:v>LN017 scheduled payment</x:v>
      </x:c>
    </x:row>
    <x:row r="1207">
      <x:c r="A1207" s="20" t="str">
        <x:v>FIN-01204</x:v>
      </x:c>
      <x:c r="B1207" s="23" t="n">
        <x:v>46497</x:v>
      </x:c>
      <x:c r="C1207" s="23" t="n">
        <x:v>46497</x:v>
      </x:c>
      <x:c r="D1207" s="20" t="str">
        <x:v>LoanPayment</x:v>
      </x:c>
      <x:c r="E1207" s="20" t="str">
        <x:v>Mortgage principal and interest</x:v>
      </x:c>
      <x:c r="F1207" s="20" t="str">
        <x:v>P019</x:v>
      </x:c>
      <x:c r="G1207" s="20" t="str"/>
      <x:c r="H1207" s="20" t="str"/>
      <x:c r="I1207" s="20" t="str">
        <x:v>First QA Mortgage</x:v>
      </x:c>
      <x:c r="J1207" s="35" t="str">
        <x:v>Recurring loan payment + scanned statement</x:v>
      </x:c>
      <x:c r="K1207" s="20" t="str">
        <x:v>SCN-0548</x:v>
      </x:c>
      <x:c r="L1207" s="20" t="str">
        <x:v>LN019-202704</x:v>
      </x:c>
      <x:c r="M1207" s="26" t="n">
        <x:v>1462</x:v>
      </x:c>
      <x:c r="N1207" s="26" t="n">
        <x:v>0</x:v>
      </x:c>
      <x:c r="O1207" s="26" t="n">
        <x:v>-1462</x:v>
      </x:c>
      <x:c r="P1207" s="26" t="n">
        <x:v>0</x:v>
      </x:c>
      <x:c r="Q1207" s="26" t="n">
        <x:v>0</x:v>
      </x:c>
      <x:c r="R1207" s="26" t="n">
        <x:v>0</x:v>
      </x:c>
      <x:c r="S1207" s="26" t="n">
        <x:v>-629</x:v>
      </x:c>
      <x:c r="T1207" s="26" t="n">
        <x:v>0</x:v>
      </x:c>
      <x:c r="U1207" s="26" t="n">
        <x:v>833</x:v>
      </x:c>
      <x:c r="V1207" s="26" t="n">
        <x:v>0</x:v>
      </x:c>
      <x:c r="W1207" s="26" t="n">
        <x:v>0</x:v>
      </x:c>
      <x:c r="X1207" s="26" t="n">
        <x:v>0</x:v>
      </x:c>
      <x:c r="Y1207" s="26" t="n">
        <x:v>0</x:v>
      </x:c>
      <x:c r="Z1207" s="35" t="str">
        <x:v>LN019 scheduled payment</x:v>
      </x:c>
    </x:row>
    <x:row r="1208">
      <x:c r="A1208" s="20" t="str">
        <x:v>FIN-01205</x:v>
      </x:c>
      <x:c r="B1208" s="23" t="n">
        <x:v>46497</x:v>
      </x:c>
      <x:c r="C1208" s="23" t="n">
        <x:v>46497</x:v>
      </x:c>
      <x:c r="D1208" s="20" t="str">
        <x:v>LoanPayment</x:v>
      </x:c>
      <x:c r="E1208" s="20" t="str">
        <x:v>Mortgage principal and interest</x:v>
      </x:c>
      <x:c r="F1208" s="20" t="str">
        <x:v>P020</x:v>
      </x:c>
      <x:c r="G1208" s="20" t="str"/>
      <x:c r="H1208" s="20" t="str"/>
      <x:c r="I1208" s="20" t="str">
        <x:v>First QA Mortgage</x:v>
      </x:c>
      <x:c r="J1208" s="35" t="str">
        <x:v>Recurring loan payment + scanned statement</x:v>
      </x:c>
      <x:c r="K1208" s="20" t="str">
        <x:v>SCN-0549</x:v>
      </x:c>
      <x:c r="L1208" s="20" t="str">
        <x:v>LN020-202704</x:v>
      </x:c>
      <x:c r="M1208" s="26" t="n">
        <x:v>1486</x:v>
      </x:c>
      <x:c r="N1208" s="26" t="n">
        <x:v>0</x:v>
      </x:c>
      <x:c r="O1208" s="26" t="n">
        <x:v>-1486</x:v>
      </x:c>
      <x:c r="P1208" s="26" t="n">
        <x:v>0</x:v>
      </x:c>
      <x:c r="Q1208" s="26" t="n">
        <x:v>0</x:v>
      </x:c>
      <x:c r="R1208" s="26" t="n">
        <x:v>0</x:v>
      </x:c>
      <x:c r="S1208" s="26" t="n">
        <x:v>-640</x:v>
      </x:c>
      <x:c r="T1208" s="26" t="n">
        <x:v>0</x:v>
      </x:c>
      <x:c r="U1208" s="26" t="n">
        <x:v>846</x:v>
      </x:c>
      <x:c r="V1208" s="26" t="n">
        <x:v>0</x:v>
      </x:c>
      <x:c r="W1208" s="26" t="n">
        <x:v>0</x:v>
      </x:c>
      <x:c r="X1208" s="26" t="n">
        <x:v>0</x:v>
      </x:c>
      <x:c r="Y1208" s="26" t="n">
        <x:v>0</x:v>
      </x:c>
      <x:c r="Z1208" s="35" t="str">
        <x:v>LN020 scheduled payment</x:v>
      </x:c>
    </x:row>
    <x:row r="1209">
      <x:c r="A1209" s="20" t="str">
        <x:v>FIN-01206</x:v>
      </x:c>
      <x:c r="B1209" s="23" t="n">
        <x:v>46497</x:v>
      </x:c>
      <x:c r="C1209" s="23" t="n">
        <x:v>46497</x:v>
      </x:c>
      <x:c r="D1209" s="20" t="str">
        <x:v>LoanPayment</x:v>
      </x:c>
      <x:c r="E1209" s="20" t="str">
        <x:v>Mortgage principal and interest</x:v>
      </x:c>
      <x:c r="F1209" s="20" t="str">
        <x:v>P022</x:v>
      </x:c>
      <x:c r="G1209" s="20" t="str"/>
      <x:c r="H1209" s="20" t="str"/>
      <x:c r="I1209" s="20" t="str">
        <x:v>First QA Mortgage</x:v>
      </x:c>
      <x:c r="J1209" s="35" t="str">
        <x:v>Recurring loan payment + scanned statement</x:v>
      </x:c>
      <x:c r="K1209" s="20" t="str">
        <x:v>SCN-0550</x:v>
      </x:c>
      <x:c r="L1209" s="20" t="str">
        <x:v>LN022-202704</x:v>
      </x:c>
      <x:c r="M1209" s="26" t="n">
        <x:v>1534</x:v>
      </x:c>
      <x:c r="N1209" s="26" t="n">
        <x:v>0</x:v>
      </x:c>
      <x:c r="O1209" s="26" t="n">
        <x:v>-1534</x:v>
      </x:c>
      <x:c r="P1209" s="26" t="n">
        <x:v>0</x:v>
      </x:c>
      <x:c r="Q1209" s="26" t="n">
        <x:v>0</x:v>
      </x:c>
      <x:c r="R1209" s="26" t="n">
        <x:v>0</x:v>
      </x:c>
      <x:c r="S1209" s="26" t="n">
        <x:v>-662</x:v>
      </x:c>
      <x:c r="T1209" s="26" t="n">
        <x:v>0</x:v>
      </x:c>
      <x:c r="U1209" s="26" t="n">
        <x:v>872</x:v>
      </x:c>
      <x:c r="V1209" s="26" t="n">
        <x:v>0</x:v>
      </x:c>
      <x:c r="W1209" s="26" t="n">
        <x:v>0</x:v>
      </x:c>
      <x:c r="X1209" s="26" t="n">
        <x:v>0</x:v>
      </x:c>
      <x:c r="Y1209" s="26" t="n">
        <x:v>0</x:v>
      </x:c>
      <x:c r="Z1209" s="35" t="str">
        <x:v>LN022 scheduled payment</x:v>
      </x:c>
    </x:row>
    <x:row r="1210">
      <x:c r="A1210" s="20" t="str">
        <x:v>FIN-01207</x:v>
      </x:c>
      <x:c r="B1210" s="23" t="n">
        <x:v>46497</x:v>
      </x:c>
      <x:c r="C1210" s="23" t="n">
        <x:v>46497</x:v>
      </x:c>
      <x:c r="D1210" s="20" t="str">
        <x:v>LoanPayment</x:v>
      </x:c>
      <x:c r="E1210" s="20" t="str">
        <x:v>Mortgage principal and interest</x:v>
      </x:c>
      <x:c r="F1210" s="20" t="str">
        <x:v>P023</x:v>
      </x:c>
      <x:c r="G1210" s="20" t="str"/>
      <x:c r="H1210" s="20" t="str"/>
      <x:c r="I1210" s="20" t="str">
        <x:v>First QA Mortgage</x:v>
      </x:c>
      <x:c r="J1210" s="35" t="str">
        <x:v>Recurring loan payment + scanned statement</x:v>
      </x:c>
      <x:c r="K1210" s="20" t="str">
        <x:v>SCN-0551</x:v>
      </x:c>
      <x:c r="L1210" s="20" t="str">
        <x:v>LN023-202704</x:v>
      </x:c>
      <x:c r="M1210" s="26" t="n">
        <x:v>1558</x:v>
      </x:c>
      <x:c r="N1210" s="26" t="n">
        <x:v>0</x:v>
      </x:c>
      <x:c r="O1210" s="26" t="n">
        <x:v>-1558</x:v>
      </x:c>
      <x:c r="P1210" s="26" t="n">
        <x:v>0</x:v>
      </x:c>
      <x:c r="Q1210" s="26" t="n">
        <x:v>0</x:v>
      </x:c>
      <x:c r="R1210" s="26" t="n">
        <x:v>0</x:v>
      </x:c>
      <x:c r="S1210" s="26" t="n">
        <x:v>-673</x:v>
      </x:c>
      <x:c r="T1210" s="26" t="n">
        <x:v>0</x:v>
      </x:c>
      <x:c r="U1210" s="26" t="n">
        <x:v>885</x:v>
      </x:c>
      <x:c r="V1210" s="26" t="n">
        <x:v>0</x:v>
      </x:c>
      <x:c r="W1210" s="26" t="n">
        <x:v>0</x:v>
      </x:c>
      <x:c r="X1210" s="26" t="n">
        <x:v>0</x:v>
      </x:c>
      <x:c r="Y1210" s="26" t="n">
        <x:v>0</x:v>
      </x:c>
      <x:c r="Z1210" s="35" t="str">
        <x:v>LN023 scheduled payment</x:v>
      </x:c>
    </x:row>
    <x:row r="1211">
      <x:c r="A1211" s="20" t="str">
        <x:v>FIN-01208</x:v>
      </x:c>
      <x:c r="B1211" s="23" t="n">
        <x:v>46497</x:v>
      </x:c>
      <x:c r="C1211" s="23" t="n">
        <x:v>46497</x:v>
      </x:c>
      <x:c r="D1211" s="20" t="str">
        <x:v>LoanPayment</x:v>
      </x:c>
      <x:c r="E1211" s="20" t="str">
        <x:v>Mortgage principal and interest</x:v>
      </x:c>
      <x:c r="F1211" s="20" t="str">
        <x:v>P025</x:v>
      </x:c>
      <x:c r="G1211" s="20" t="str"/>
      <x:c r="H1211" s="20" t="str"/>
      <x:c r="I1211" s="20" t="str">
        <x:v>First QA Mortgage</x:v>
      </x:c>
      <x:c r="J1211" s="35" t="str">
        <x:v>Recurring loan payment + scanned statement</x:v>
      </x:c>
      <x:c r="K1211" s="20" t="str">
        <x:v>SCN-0552</x:v>
      </x:c>
      <x:c r="L1211" s="20" t="str">
        <x:v>LN025-202704</x:v>
      </x:c>
      <x:c r="M1211" s="26" t="n">
        <x:v>1606</x:v>
      </x:c>
      <x:c r="N1211" s="26" t="n">
        <x:v>0</x:v>
      </x:c>
      <x:c r="O1211" s="26" t="n">
        <x:v>-1606</x:v>
      </x:c>
      <x:c r="P1211" s="26" t="n">
        <x:v>0</x:v>
      </x:c>
      <x:c r="Q1211" s="26" t="n">
        <x:v>0</x:v>
      </x:c>
      <x:c r="R1211" s="26" t="n">
        <x:v>0</x:v>
      </x:c>
      <x:c r="S1211" s="26" t="n">
        <x:v>-695</x:v>
      </x:c>
      <x:c r="T1211" s="26" t="n">
        <x:v>0</x:v>
      </x:c>
      <x:c r="U1211" s="26" t="n">
        <x:v>911</x:v>
      </x:c>
      <x:c r="V1211" s="26" t="n">
        <x:v>0</x:v>
      </x:c>
      <x:c r="W1211" s="26" t="n">
        <x:v>0</x:v>
      </x:c>
      <x:c r="X1211" s="26" t="n">
        <x:v>0</x:v>
      </x:c>
      <x:c r="Y1211" s="26" t="n">
        <x:v>0</x:v>
      </x:c>
      <x:c r="Z1211" s="35" t="str">
        <x:v>LN025 scheduled payment</x:v>
      </x:c>
    </x:row>
    <x:row r="1212">
      <x:c r="A1212" s="20" t="str">
        <x:v>FIN-01209</x:v>
      </x:c>
      <x:c r="B1212" s="23" t="n">
        <x:v>46497</x:v>
      </x:c>
      <x:c r="C1212" s="23" t="n">
        <x:v>46497</x:v>
      </x:c>
      <x:c r="D1212" s="20" t="str">
        <x:v>LoanPayment</x:v>
      </x:c>
      <x:c r="E1212" s="20" t="str">
        <x:v>Mortgage principal and interest</x:v>
      </x:c>
      <x:c r="F1212" s="20" t="str">
        <x:v>P026</x:v>
      </x:c>
      <x:c r="G1212" s="20" t="str"/>
      <x:c r="H1212" s="20" t="str"/>
      <x:c r="I1212" s="20" t="str">
        <x:v>First QA Mortgage</x:v>
      </x:c>
      <x:c r="J1212" s="35" t="str">
        <x:v>Recurring loan payment + scanned statement</x:v>
      </x:c>
      <x:c r="K1212" s="20" t="str">
        <x:v>SCN-0553</x:v>
      </x:c>
      <x:c r="L1212" s="20" t="str">
        <x:v>LN026-202704</x:v>
      </x:c>
      <x:c r="M1212" s="26" t="n">
        <x:v>1630</x:v>
      </x:c>
      <x:c r="N1212" s="26" t="n">
        <x:v>0</x:v>
      </x:c>
      <x:c r="O1212" s="26" t="n">
        <x:v>-1630</x:v>
      </x:c>
      <x:c r="P1212" s="26" t="n">
        <x:v>0</x:v>
      </x:c>
      <x:c r="Q1212" s="26" t="n">
        <x:v>0</x:v>
      </x:c>
      <x:c r="R1212" s="26" t="n">
        <x:v>0</x:v>
      </x:c>
      <x:c r="S1212" s="26" t="n">
        <x:v>-706</x:v>
      </x:c>
      <x:c r="T1212" s="26" t="n">
        <x:v>0</x:v>
      </x:c>
      <x:c r="U1212" s="26" t="n">
        <x:v>924</x:v>
      </x:c>
      <x:c r="V1212" s="26" t="n">
        <x:v>0</x:v>
      </x:c>
      <x:c r="W1212" s="26" t="n">
        <x:v>0</x:v>
      </x:c>
      <x:c r="X1212" s="26" t="n">
        <x:v>0</x:v>
      </x:c>
      <x:c r="Y1212" s="26" t="n">
        <x:v>0</x:v>
      </x:c>
      <x:c r="Z1212" s="35" t="str">
        <x:v>LN026 scheduled payment</x:v>
      </x:c>
    </x:row>
    <x:row r="1213">
      <x:c r="A1213" s="20" t="str">
        <x:v>FIN-01210</x:v>
      </x:c>
      <x:c r="B1213" s="23" t="n">
        <x:v>46497</x:v>
      </x:c>
      <x:c r="C1213" s="23" t="n">
        <x:v>46497</x:v>
      </x:c>
      <x:c r="D1213" s="20" t="str">
        <x:v>LoanPayment</x:v>
      </x:c>
      <x:c r="E1213" s="20" t="str">
        <x:v>Mortgage principal and interest</x:v>
      </x:c>
      <x:c r="F1213" s="20" t="str">
        <x:v>P028</x:v>
      </x:c>
      <x:c r="G1213" s="20" t="str"/>
      <x:c r="H1213" s="20" t="str"/>
      <x:c r="I1213" s="20" t="str">
        <x:v>First QA Mortgage</x:v>
      </x:c>
      <x:c r="J1213" s="35" t="str">
        <x:v>Recurring loan payment + scanned statement</x:v>
      </x:c>
      <x:c r="K1213" s="20" t="str">
        <x:v>SCN-0554</x:v>
      </x:c>
      <x:c r="L1213" s="20" t="str">
        <x:v>LN028-202704</x:v>
      </x:c>
      <x:c r="M1213" s="26" t="n">
        <x:v>1678</x:v>
      </x:c>
      <x:c r="N1213" s="26" t="n">
        <x:v>0</x:v>
      </x:c>
      <x:c r="O1213" s="26" t="n">
        <x:v>-1678</x:v>
      </x:c>
      <x:c r="P1213" s="26" t="n">
        <x:v>0</x:v>
      </x:c>
      <x:c r="Q1213" s="26" t="n">
        <x:v>0</x:v>
      </x:c>
      <x:c r="R1213" s="26" t="n">
        <x:v>0</x:v>
      </x:c>
      <x:c r="S1213" s="26" t="n">
        <x:v>-728</x:v>
      </x:c>
      <x:c r="T1213" s="26" t="n">
        <x:v>0</x:v>
      </x:c>
      <x:c r="U1213" s="26" t="n">
        <x:v>950</x:v>
      </x:c>
      <x:c r="V1213" s="26" t="n">
        <x:v>0</x:v>
      </x:c>
      <x:c r="W1213" s="26" t="n">
        <x:v>0</x:v>
      </x:c>
      <x:c r="X1213" s="26" t="n">
        <x:v>0</x:v>
      </x:c>
      <x:c r="Y1213" s="26" t="n">
        <x:v>0</x:v>
      </x:c>
      <x:c r="Z1213" s="35" t="str">
        <x:v>LN028 scheduled payment</x:v>
      </x:c>
    </x:row>
    <x:row r="1214">
      <x:c r="A1214" s="20" t="str">
        <x:v>FIN-01211</x:v>
      </x:c>
      <x:c r="B1214" s="23" t="n">
        <x:v>46497</x:v>
      </x:c>
      <x:c r="C1214" s="23" t="n">
        <x:v>46497</x:v>
      </x:c>
      <x:c r="D1214" s="20" t="str">
        <x:v>LoanPayment</x:v>
      </x:c>
      <x:c r="E1214" s="20" t="str">
        <x:v>Mortgage principal and interest</x:v>
      </x:c>
      <x:c r="F1214" s="20" t="str">
        <x:v>P029</x:v>
      </x:c>
      <x:c r="G1214" s="20" t="str"/>
      <x:c r="H1214" s="20" t="str"/>
      <x:c r="I1214" s="20" t="str">
        <x:v>First QA Mortgage</x:v>
      </x:c>
      <x:c r="J1214" s="35" t="str">
        <x:v>Recurring loan payment + scanned statement</x:v>
      </x:c>
      <x:c r="K1214" s="20" t="str">
        <x:v>SCN-0555</x:v>
      </x:c>
      <x:c r="L1214" s="20" t="str">
        <x:v>LN029-202704</x:v>
      </x:c>
      <x:c r="M1214" s="26" t="n">
        <x:v>1702</x:v>
      </x:c>
      <x:c r="N1214" s="26" t="n">
        <x:v>0</x:v>
      </x:c>
      <x:c r="O1214" s="26" t="n">
        <x:v>-1702</x:v>
      </x:c>
      <x:c r="P1214" s="26" t="n">
        <x:v>0</x:v>
      </x:c>
      <x:c r="Q1214" s="26" t="n">
        <x:v>0</x:v>
      </x:c>
      <x:c r="R1214" s="26" t="n">
        <x:v>0</x:v>
      </x:c>
      <x:c r="S1214" s="26" t="n">
        <x:v>-739</x:v>
      </x:c>
      <x:c r="T1214" s="26" t="n">
        <x:v>0</x:v>
      </x:c>
      <x:c r="U1214" s="26" t="n">
        <x:v>963</x:v>
      </x:c>
      <x:c r="V1214" s="26" t="n">
        <x:v>0</x:v>
      </x:c>
      <x:c r="W1214" s="26" t="n">
        <x:v>0</x:v>
      </x:c>
      <x:c r="X1214" s="26" t="n">
        <x:v>0</x:v>
      </x:c>
      <x:c r="Y1214" s="26" t="n">
        <x:v>0</x:v>
      </x:c>
      <x:c r="Z1214" s="35" t="str">
        <x:v>LN029 scheduled payment</x:v>
      </x:c>
    </x:row>
    <x:row r="1215">
      <x:c r="A1215" s="20" t="str">
        <x:v>FIN-01212</x:v>
      </x:c>
      <x:c r="B1215" s="23" t="n">
        <x:v>46502</x:v>
      </x:c>
      <x:c r="C1215" s="23" t="n">
        <x:v>46502</x:v>
      </x:c>
      <x:c r="D1215" s="20" t="str">
        <x:v>OwnerDistribution</x:v>
      </x:c>
      <x:c r="E1215" s="20" t="str">
        <x:v>Owner distribution</x:v>
      </x:c>
      <x:c r="F1215" s="20" t="str"/>
      <x:c r="G1215" s="20" t="str"/>
      <x:c r="H1215" s="20" t="str"/>
      <x:c r="I1215" s="20" t="str">
        <x:v>Blue Door Residential LLC</x:v>
      </x:c>
      <x:c r="J1215" s="35" t="str">
        <x:v>Manual approval and bank export</x:v>
      </x:c>
      <x:c r="K1215" s="20" t="str"/>
      <x:c r="L1215" s="20" t="str">
        <x:v>DIST-202704-O01</x:v>
      </x:c>
      <x:c r="M1215" s="26" t="n">
        <x:v>3050</x:v>
      </x:c>
      <x:c r="N1215" s="26" t="n">
        <x:v>0</x:v>
      </x:c>
      <x:c r="O1215" s="26" t="n">
        <x:v>-3050</x:v>
      </x:c>
      <x:c r="P1215" s="26" t="n">
        <x:v>0</x:v>
      </x:c>
      <x:c r="Q1215" s="26" t="n">
        <x:v>0</x:v>
      </x:c>
      <x:c r="R1215" s="26" t="n">
        <x:v>0</x:v>
      </x:c>
      <x:c r="S1215" s="26" t="n">
        <x:v>0</x:v>
      </x:c>
      <x:c r="T1215" s="26" t="n">
        <x:v>0</x:v>
      </x:c>
      <x:c r="U1215" s="26" t="n">
        <x:v>0</x:v>
      </x:c>
      <x:c r="V1215" s="26" t="n">
        <x:v>0</x:v>
      </x:c>
      <x:c r="W1215" s="26" t="n">
        <x:v>3050</x:v>
      </x:c>
      <x:c r="X1215" s="26" t="n">
        <x:v>0</x:v>
      </x:c>
      <x:c r="Y1215" s="26" t="n">
        <x:v>0</x:v>
      </x:c>
      <x:c r="Z1215" s="35" t="str">
        <x:v>Monthly distribution to Blue Door Residential LLC</x:v>
      </x:c>
    </x:row>
    <x:row r="1216">
      <x:c r="A1216" s="20" t="str">
        <x:v>FIN-01213</x:v>
      </x:c>
      <x:c r="B1216" s="23" t="n">
        <x:v>46502</x:v>
      </x:c>
      <x:c r="C1216" s="23" t="n">
        <x:v>46502</x:v>
      </x:c>
      <x:c r="D1216" s="20" t="str">
        <x:v>OwnerDistribution</x:v>
      </x:c>
      <x:c r="E1216" s="20" t="str">
        <x:v>Owner distribution</x:v>
      </x:c>
      <x:c r="F1216" s="20" t="str"/>
      <x:c r="G1216" s="20" t="str"/>
      <x:c r="H1216" s="20" t="str"/>
      <x:c r="I1216" s="20" t="str">
        <x:v>Coble Family Rentals LLC</x:v>
      </x:c>
      <x:c r="J1216" s="35" t="str">
        <x:v>Manual approval and bank export</x:v>
      </x:c>
      <x:c r="K1216" s="20" t="str"/>
      <x:c r="L1216" s="20" t="str">
        <x:v>DIST-202704-O02</x:v>
      </x:c>
      <x:c r="M1216" s="26" t="n">
        <x:v>3400</x:v>
      </x:c>
      <x:c r="N1216" s="26" t="n">
        <x:v>0</x:v>
      </x:c>
      <x:c r="O1216" s="26" t="n">
        <x:v>-3400</x:v>
      </x:c>
      <x:c r="P1216" s="26" t="n">
        <x:v>0</x:v>
      </x:c>
      <x:c r="Q1216" s="26" t="n">
        <x:v>0</x:v>
      </x:c>
      <x:c r="R1216" s="26" t="n">
        <x:v>0</x:v>
      </x:c>
      <x:c r="S1216" s="26" t="n">
        <x:v>0</x:v>
      </x:c>
      <x:c r="T1216" s="26" t="n">
        <x:v>0</x:v>
      </x:c>
      <x:c r="U1216" s="26" t="n">
        <x:v>0</x:v>
      </x:c>
      <x:c r="V1216" s="26" t="n">
        <x:v>0</x:v>
      </x:c>
      <x:c r="W1216" s="26" t="n">
        <x:v>3400</x:v>
      </x:c>
      <x:c r="X1216" s="26" t="n">
        <x:v>0</x:v>
      </x:c>
      <x:c r="Y1216" s="26" t="n">
        <x:v>0</x:v>
      </x:c>
      <x:c r="Z1216" s="35" t="str">
        <x:v>Monthly distribution to Coble Family Rentals LLC</x:v>
      </x:c>
    </x:row>
    <x:row r="1217">
      <x:c r="A1217" s="20" t="str">
        <x:v>FIN-01214</x:v>
      </x:c>
      <x:c r="B1217" s="23" t="n">
        <x:v>46502</x:v>
      </x:c>
      <x:c r="C1217" s="23" t="n">
        <x:v>46502</x:v>
      </x:c>
      <x:c r="D1217" s="20" t="str">
        <x:v>OwnerDistribution</x:v>
      </x:c>
      <x:c r="E1217" s="20" t="str">
        <x:v>Owner distribution</x:v>
      </x:c>
      <x:c r="F1217" s="20" t="str"/>
      <x:c r="G1217" s="20" t="str"/>
      <x:c r="H1217" s="20" t="str"/>
      <x:c r="I1217" s="20" t="str">
        <x:v>Northstar Property Partners LLC</x:v>
      </x:c>
      <x:c r="J1217" s="35" t="str">
        <x:v>Manual approval and bank export</x:v>
      </x:c>
      <x:c r="K1217" s="20" t="str"/>
      <x:c r="L1217" s="20" t="str">
        <x:v>DIST-202704-O03</x:v>
      </x:c>
      <x:c r="M1217" s="26" t="n">
        <x:v>3750</x:v>
      </x:c>
      <x:c r="N1217" s="26" t="n">
        <x:v>0</x:v>
      </x:c>
      <x:c r="O1217" s="26" t="n">
        <x:v>-3750</x:v>
      </x:c>
      <x:c r="P1217" s="26" t="n">
        <x:v>0</x:v>
      </x:c>
      <x:c r="Q1217" s="26" t="n">
        <x:v>0</x:v>
      </x:c>
      <x:c r="R1217" s="26" t="n">
        <x:v>0</x:v>
      </x:c>
      <x:c r="S1217" s="26" t="n">
        <x:v>0</x:v>
      </x:c>
      <x:c r="T1217" s="26" t="n">
        <x:v>0</x:v>
      </x:c>
      <x:c r="U1217" s="26" t="n">
        <x:v>0</x:v>
      </x:c>
      <x:c r="V1217" s="26" t="n">
        <x:v>0</x:v>
      </x:c>
      <x:c r="W1217" s="26" t="n">
        <x:v>3750</x:v>
      </x:c>
      <x:c r="X1217" s="26" t="n">
        <x:v>0</x:v>
      </x:c>
      <x:c r="Y1217" s="26" t="n">
        <x:v>0</x:v>
      </x:c>
      <x:c r="Z1217" s="35" t="str">
        <x:v>Monthly distribution to Northstar Property Partners LLC</x:v>
      </x:c>
    </x:row>
    <x:row r="1218">
      <x:c r="A1218" s="20" t="str">
        <x:v>FIN-01215</x:v>
      </x:c>
      <x:c r="B1218" s="23" t="n">
        <x:v>46502</x:v>
      </x:c>
      <x:c r="C1218" s="23" t="n">
        <x:v>46502</x:v>
      </x:c>
      <x:c r="D1218" s="20" t="str">
        <x:v>OwnerDistribution</x:v>
      </x:c>
      <x:c r="E1218" s="20" t="str">
        <x:v>Owner distribution</x:v>
      </x:c>
      <x:c r="F1218" s="20" t="str"/>
      <x:c r="G1218" s="20" t="str"/>
      <x:c r="H1218" s="20" t="str"/>
      <x:c r="I1218" s="20" t="str">
        <x:v>Riverbend Homes LLC</x:v>
      </x:c>
      <x:c r="J1218" s="35" t="str">
        <x:v>Manual approval and bank export</x:v>
      </x:c>
      <x:c r="K1218" s="20" t="str"/>
      <x:c r="L1218" s="20" t="str">
        <x:v>DIST-202704-O04</x:v>
      </x:c>
      <x:c r="M1218" s="26" t="n">
        <x:v>4100</x:v>
      </x:c>
      <x:c r="N1218" s="26" t="n">
        <x:v>0</x:v>
      </x:c>
      <x:c r="O1218" s="26" t="n">
        <x:v>-4100</x:v>
      </x:c>
      <x:c r="P1218" s="26" t="n">
        <x:v>0</x:v>
      </x:c>
      <x:c r="Q1218" s="26" t="n">
        <x:v>0</x:v>
      </x:c>
      <x:c r="R1218" s="26" t="n">
        <x:v>0</x:v>
      </x:c>
      <x:c r="S1218" s="26" t="n">
        <x:v>0</x:v>
      </x:c>
      <x:c r="T1218" s="26" t="n">
        <x:v>0</x:v>
      </x:c>
      <x:c r="U1218" s="26" t="n">
        <x:v>0</x:v>
      </x:c>
      <x:c r="V1218" s="26" t="n">
        <x:v>0</x:v>
      </x:c>
      <x:c r="W1218" s="26" t="n">
        <x:v>4100</x:v>
      </x:c>
      <x:c r="X1218" s="26" t="n">
        <x:v>0</x:v>
      </x:c>
      <x:c r="Y1218" s="26" t="n">
        <x:v>0</x:v>
      </x:c>
      <x:c r="Z1218" s="35" t="str">
        <x:v>Monthly distribution to Riverbend Homes LLC</x:v>
      </x:c>
    </x:row>
    <x:row r="1219">
      <x:c r="A1219" s="20" t="str">
        <x:v>FIN-01216</x:v>
      </x:c>
      <x:c r="B1219" s="23" t="n">
        <x:v>46502</x:v>
      </x:c>
      <x:c r="C1219" s="23" t="n">
        <x:v>46502</x:v>
      </x:c>
      <x:c r="D1219" s="20" t="str">
        <x:v>OwnerDistribution</x:v>
      </x:c>
      <x:c r="E1219" s="20" t="str">
        <x:v>Owner distribution</x:v>
      </x:c>
      <x:c r="F1219" s="20" t="str"/>
      <x:c r="G1219" s="20" t="str"/>
      <x:c r="H1219" s="20" t="str"/>
      <x:c r="I1219" s="20" t="str">
        <x:v>Juniper Street Holdings LLC</x:v>
      </x:c>
      <x:c r="J1219" s="35" t="str">
        <x:v>Manual approval and bank export</x:v>
      </x:c>
      <x:c r="K1219" s="20" t="str"/>
      <x:c r="L1219" s="20" t="str">
        <x:v>DIST-202704-O05</x:v>
      </x:c>
      <x:c r="M1219" s="26" t="n">
        <x:v>4450</x:v>
      </x:c>
      <x:c r="N1219" s="26" t="n">
        <x:v>0</x:v>
      </x:c>
      <x:c r="O1219" s="26" t="n">
        <x:v>-4450</x:v>
      </x:c>
      <x:c r="P1219" s="26" t="n">
        <x:v>0</x:v>
      </x:c>
      <x:c r="Q1219" s="26" t="n">
        <x:v>0</x:v>
      </x:c>
      <x:c r="R1219" s="26" t="n">
        <x:v>0</x:v>
      </x:c>
      <x:c r="S1219" s="26" t="n">
        <x:v>0</x:v>
      </x:c>
      <x:c r="T1219" s="26" t="n">
        <x:v>0</x:v>
      </x:c>
      <x:c r="U1219" s="26" t="n">
        <x:v>0</x:v>
      </x:c>
      <x:c r="V1219" s="26" t="n">
        <x:v>0</x:v>
      </x:c>
      <x:c r="W1219" s="26" t="n">
        <x:v>4450</x:v>
      </x:c>
      <x:c r="X1219" s="26" t="n">
        <x:v>0</x:v>
      </x:c>
      <x:c r="Y1219" s="26" t="n">
        <x:v>0</x:v>
      </x:c>
      <x:c r="Z1219" s="35" t="str">
        <x:v>Monthly distribution to Juniper Street Holdings LLC</x:v>
      </x:c>
    </x:row>
    <x:row r="1220">
      <x:c r="A1220" s="20" t="str">
        <x:v>FIN-01217</x:v>
      </x:c>
      <x:c r="B1220" s="23" t="n">
        <x:v>46522</x:v>
      </x:c>
      <x:c r="C1220" s="23" t="n">
        <x:v>46522</x:v>
      </x:c>
      <x:c r="D1220" s="20" t="str">
        <x:v>OperatingExpense</x:v>
      </x:c>
      <x:c r="E1220" s="20" t="str">
        <x:v>Utilities</x:v>
      </x:c>
      <x:c r="F1220" s="20" t="str">
        <x:v>P021</x:v>
      </x:c>
      <x:c r="G1220" s="20" t="str"/>
      <x:c r="H1220" s="20" t="str"/>
      <x:c r="I1220" s="20" t="str">
        <x:v>City Water &amp; Sewer</x:v>
      </x:c>
      <x:c r="J1220" s="35" t="str">
        <x:v>Scanned receipt/invoice</x:v>
      </x:c>
      <x:c r="K1220" s="20" t="str">
        <x:v>SCN-0557</x:v>
      </x:c>
      <x:c r="L1220" s="20" t="str">
        <x:v>EXP-20270515-1101</x:v>
      </x:c>
      <x:c r="M1220" s="26" t="n">
        <x:v>180</x:v>
      </x:c>
      <x:c r="N1220" s="26" t="n">
        <x:v>0</x:v>
      </x:c>
      <x:c r="O1220" s="26" t="n">
        <x:v>-180</x:v>
      </x:c>
      <x:c r="P1220" s="26" t="n">
        <x:v>0</x:v>
      </x:c>
      <x:c r="Q1220" s="26" t="n">
        <x:v>0</x:v>
      </x:c>
      <x:c r="R1220" s="26" t="n">
        <x:v>0</x:v>
      </x:c>
      <x:c r="S1220" s="26" t="n">
        <x:v>0</x:v>
      </x:c>
      <x:c r="T1220" s="26" t="n">
        <x:v>0</x:v>
      </x:c>
      <x:c r="U1220" s="26" t="n">
        <x:v>180</x:v>
      </x:c>
      <x:c r="V1220" s="26" t="n">
        <x:v>0</x:v>
      </x:c>
      <x:c r="W1220" s="26" t="n">
        <x:v>0</x:v>
      </x:c>
      <x:c r="X1220" s="26" t="n">
        <x:v>0</x:v>
      </x:c>
      <x:c r="Y1220" s="26" t="n">
        <x:v>0</x:v>
      </x:c>
      <x:c r="Z1220" s="35" t="str">
        <x:v>City Water &amp; Sewer</x:v>
      </x:c>
    </x:row>
    <x:row r="1221">
      <x:c r="A1221" s="20" t="str">
        <x:v>FIN-01218</x:v>
      </x:c>
      <x:c r="B1221" s="23" t="n">
        <x:v>46522</x:v>
      </x:c>
      <x:c r="C1221" s="23" t="n">
        <x:v>46522</x:v>
      </x:c>
      <x:c r="D1221" s="20" t="str">
        <x:v>OperatingExpense</x:v>
      </x:c>
      <x:c r="E1221" s="20" t="str">
        <x:v>Utilities</x:v>
      </x:c>
      <x:c r="F1221" s="20" t="str">
        <x:v>P022</x:v>
      </x:c>
      <x:c r="G1221" s="20" t="str"/>
      <x:c r="H1221" s="20" t="str"/>
      <x:c r="I1221" s="20" t="str">
        <x:v>City Water &amp; Sewer</x:v>
      </x:c>
      <x:c r="J1221" s="35" t="str">
        <x:v>Scanned receipt/invoice</x:v>
      </x:c>
      <x:c r="K1221" s="20" t="str">
        <x:v>SCN-0558</x:v>
      </x:c>
      <x:c r="L1221" s="20" t="str">
        <x:v>EXP-20270515-1102</x:v>
      </x:c>
      <x:c r="M1221" s="26" t="n">
        <x:v>187</x:v>
      </x:c>
      <x:c r="N1221" s="26" t="n">
        <x:v>0</x:v>
      </x:c>
      <x:c r="O1221" s="26" t="n">
        <x:v>-187</x:v>
      </x:c>
      <x:c r="P1221" s="26" t="n">
        <x:v>0</x:v>
      </x:c>
      <x:c r="Q1221" s="26" t="n">
        <x:v>0</x:v>
      </x:c>
      <x:c r="R1221" s="26" t="n">
        <x:v>0</x:v>
      </x:c>
      <x:c r="S1221" s="26" t="n">
        <x:v>0</x:v>
      </x:c>
      <x:c r="T1221" s="26" t="n">
        <x:v>0</x:v>
      </x:c>
      <x:c r="U1221" s="26" t="n">
        <x:v>187</x:v>
      </x:c>
      <x:c r="V1221" s="26" t="n">
        <x:v>0</x:v>
      </x:c>
      <x:c r="W1221" s="26" t="n">
        <x:v>0</x:v>
      </x:c>
      <x:c r="X1221" s="26" t="n">
        <x:v>0</x:v>
      </x:c>
      <x:c r="Y1221" s="26" t="n">
        <x:v>0</x:v>
      </x:c>
      <x:c r="Z1221" s="35" t="str">
        <x:v>City Water &amp; Sewer</x:v>
      </x:c>
    </x:row>
    <x:row r="1222">
      <x:c r="A1222" s="20" t="str">
        <x:v>FIN-01219</x:v>
      </x:c>
      <x:c r="B1222" s="23" t="n">
        <x:v>46522</x:v>
      </x:c>
      <x:c r="C1222" s="23" t="n">
        <x:v>46522</x:v>
      </x:c>
      <x:c r="D1222" s="20" t="str">
        <x:v>OperatingExpense</x:v>
      </x:c>
      <x:c r="E1222" s="20" t="str">
        <x:v>Utilities</x:v>
      </x:c>
      <x:c r="F1222" s="20" t="str">
        <x:v>P023</x:v>
      </x:c>
      <x:c r="G1222" s="20" t="str"/>
      <x:c r="H1222" s="20" t="str"/>
      <x:c r="I1222" s="20" t="str">
        <x:v>City Water &amp; Sewer</x:v>
      </x:c>
      <x:c r="J1222" s="35" t="str">
        <x:v>Scanned receipt/invoice</x:v>
      </x:c>
      <x:c r="K1222" s="20" t="str">
        <x:v>SCN-0559</x:v>
      </x:c>
      <x:c r="L1222" s="20" t="str">
        <x:v>EXP-20270515-1103</x:v>
      </x:c>
      <x:c r="M1222" s="26" t="n">
        <x:v>194</x:v>
      </x:c>
      <x:c r="N1222" s="26" t="n">
        <x:v>0</x:v>
      </x:c>
      <x:c r="O1222" s="26" t="n">
        <x:v>-194</x:v>
      </x:c>
      <x:c r="P1222" s="26" t="n">
        <x:v>0</x:v>
      </x:c>
      <x:c r="Q1222" s="26" t="n">
        <x:v>0</x:v>
      </x:c>
      <x:c r="R1222" s="26" t="n">
        <x:v>0</x:v>
      </x:c>
      <x:c r="S1222" s="26" t="n">
        <x:v>0</x:v>
      </x:c>
      <x:c r="T1222" s="26" t="n">
        <x:v>0</x:v>
      </x:c>
      <x:c r="U1222" s="26" t="n">
        <x:v>194</x:v>
      </x:c>
      <x:c r="V1222" s="26" t="n">
        <x:v>0</x:v>
      </x:c>
      <x:c r="W1222" s="26" t="n">
        <x:v>0</x:v>
      </x:c>
      <x:c r="X1222" s="26" t="n">
        <x:v>0</x:v>
      </x:c>
      <x:c r="Y1222" s="26" t="n">
        <x:v>0</x:v>
      </x:c>
      <x:c r="Z1222" s="35" t="str">
        <x:v>City Water &amp; Sewer</x:v>
      </x:c>
    </x:row>
    <x:row r="1223">
      <x:c r="A1223" s="20" t="str">
        <x:v>FIN-01220</x:v>
      </x:c>
      <x:c r="B1223" s="23" t="n">
        <x:v>46522</x:v>
      </x:c>
      <x:c r="C1223" s="23" t="n">
        <x:v>46522</x:v>
      </x:c>
      <x:c r="D1223" s="20" t="str">
        <x:v>OperatingExpense</x:v>
      </x:c>
      <x:c r="E1223" s="20" t="str">
        <x:v>Utilities</x:v>
      </x:c>
      <x:c r="F1223" s="20" t="str">
        <x:v>P024</x:v>
      </x:c>
      <x:c r="G1223" s="20" t="str"/>
      <x:c r="H1223" s="20" t="str"/>
      <x:c r="I1223" s="20" t="str">
        <x:v>City Water &amp; Sewer</x:v>
      </x:c>
      <x:c r="J1223" s="35" t="str">
        <x:v>Scanned receipt/invoice</x:v>
      </x:c>
      <x:c r="K1223" s="20" t="str">
        <x:v>SCN-0560</x:v>
      </x:c>
      <x:c r="L1223" s="20" t="str">
        <x:v>EXP-20270515-1104</x:v>
      </x:c>
      <x:c r="M1223" s="26" t="n">
        <x:v>201</x:v>
      </x:c>
      <x:c r="N1223" s="26" t="n">
        <x:v>0</x:v>
      </x:c>
      <x:c r="O1223" s="26" t="n">
        <x:v>-201</x:v>
      </x:c>
      <x:c r="P1223" s="26" t="n">
        <x:v>0</x:v>
      </x:c>
      <x:c r="Q1223" s="26" t="n">
        <x:v>0</x:v>
      </x:c>
      <x:c r="R1223" s="26" t="n">
        <x:v>0</x:v>
      </x:c>
      <x:c r="S1223" s="26" t="n">
        <x:v>0</x:v>
      </x:c>
      <x:c r="T1223" s="26" t="n">
        <x:v>0</x:v>
      </x:c>
      <x:c r="U1223" s="26" t="n">
        <x:v>201</x:v>
      </x:c>
      <x:c r="V1223" s="26" t="n">
        <x:v>0</x:v>
      </x:c>
      <x:c r="W1223" s="26" t="n">
        <x:v>0</x:v>
      </x:c>
      <x:c r="X1223" s="26" t="n">
        <x:v>0</x:v>
      </x:c>
      <x:c r="Y1223" s="26" t="n">
        <x:v>0</x:v>
      </x:c>
      <x:c r="Z1223" s="35" t="str">
        <x:v>City Water &amp; Sewer</x:v>
      </x:c>
    </x:row>
    <x:row r="1224">
      <x:c r="A1224" s="20" t="str">
        <x:v>FIN-01221</x:v>
      </x:c>
      <x:c r="B1224" s="23" t="n">
        <x:v>46522</x:v>
      </x:c>
      <x:c r="C1224" s="23" t="n">
        <x:v>46522</x:v>
      </x:c>
      <x:c r="D1224" s="20" t="str">
        <x:v>OperatingExpense</x:v>
      </x:c>
      <x:c r="E1224" s="20" t="str">
        <x:v>Utilities</x:v>
      </x:c>
      <x:c r="F1224" s="20" t="str">
        <x:v>P025</x:v>
      </x:c>
      <x:c r="G1224" s="20" t="str"/>
      <x:c r="H1224" s="20" t="str"/>
      <x:c r="I1224" s="20" t="str">
        <x:v>City Water &amp; Sewer</x:v>
      </x:c>
      <x:c r="J1224" s="35" t="str">
        <x:v>Manual web form</x:v>
      </x:c>
      <x:c r="K1224" s="20" t="str"/>
      <x:c r="L1224" s="20" t="str">
        <x:v>EXP-20270515-1105</x:v>
      </x:c>
      <x:c r="M1224" s="26" t="n">
        <x:v>118</x:v>
      </x:c>
      <x:c r="N1224" s="26" t="n">
        <x:v>0</x:v>
      </x:c>
      <x:c r="O1224" s="26" t="n">
        <x:v>-118</x:v>
      </x:c>
      <x:c r="P1224" s="26" t="n">
        <x:v>0</x:v>
      </x:c>
      <x:c r="Q1224" s="26" t="n">
        <x:v>0</x:v>
      </x:c>
      <x:c r="R1224" s="26" t="n">
        <x:v>0</x:v>
      </x:c>
      <x:c r="S1224" s="26" t="n">
        <x:v>0</x:v>
      </x:c>
      <x:c r="T1224" s="26" t="n">
        <x:v>0</x:v>
      </x:c>
      <x:c r="U1224" s="26" t="n">
        <x:v>118</x:v>
      </x:c>
      <x:c r="V1224" s="26" t="n">
        <x:v>0</x:v>
      </x:c>
      <x:c r="W1224" s="26" t="n">
        <x:v>0</x:v>
      </x:c>
      <x:c r="X1224" s="26" t="n">
        <x:v>0</x:v>
      </x:c>
      <x:c r="Y1224" s="26" t="n">
        <x:v>0</x:v>
      </x:c>
      <x:c r="Z1224" s="35" t="str">
        <x:v>City Water &amp; Sewer</x:v>
      </x:c>
    </x:row>
    <x:row r="1225">
      <x:c r="A1225" s="20" t="str">
        <x:v>FIN-01222</x:v>
      </x:c>
      <x:c r="B1225" s="23" t="n">
        <x:v>46522</x:v>
      </x:c>
      <x:c r="C1225" s="23" t="n">
        <x:v>46522</x:v>
      </x:c>
      <x:c r="D1225" s="20" t="str">
        <x:v>OperatingExpense</x:v>
      </x:c>
      <x:c r="E1225" s="20" t="str">
        <x:v>Utilities</x:v>
      </x:c>
      <x:c r="F1225" s="20" t="str">
        <x:v>P026</x:v>
      </x:c>
      <x:c r="G1225" s="20" t="str"/>
      <x:c r="H1225" s="20" t="str"/>
      <x:c r="I1225" s="20" t="str">
        <x:v>City Water &amp; Sewer</x:v>
      </x:c>
      <x:c r="J1225" s="35" t="str">
        <x:v>Scanned receipt/invoice</x:v>
      </x:c>
      <x:c r="K1225" s="20" t="str">
        <x:v>SCN-0561</x:v>
      </x:c>
      <x:c r="L1225" s="20" t="str">
        <x:v>EXP-20270515-1106</x:v>
      </x:c>
      <x:c r="M1225" s="26" t="n">
        <x:v>125</x:v>
      </x:c>
      <x:c r="N1225" s="26" t="n">
        <x:v>0</x:v>
      </x:c>
      <x:c r="O1225" s="26" t="n">
        <x:v>-125</x:v>
      </x:c>
      <x:c r="P1225" s="26" t="n">
        <x:v>0</x:v>
      </x:c>
      <x:c r="Q1225" s="26" t="n">
        <x:v>0</x:v>
      </x:c>
      <x:c r="R1225" s="26" t="n">
        <x:v>0</x:v>
      </x:c>
      <x:c r="S1225" s="26" t="n">
        <x:v>0</x:v>
      </x:c>
      <x:c r="T1225" s="26" t="n">
        <x:v>0</x:v>
      </x:c>
      <x:c r="U1225" s="26" t="n">
        <x:v>125</x:v>
      </x:c>
      <x:c r="V1225" s="26" t="n">
        <x:v>0</x:v>
      </x:c>
      <x:c r="W1225" s="26" t="n">
        <x:v>0</x:v>
      </x:c>
      <x:c r="X1225" s="26" t="n">
        <x:v>0</x:v>
      </x:c>
      <x:c r="Y1225" s="26" t="n">
        <x:v>0</x:v>
      </x:c>
      <x:c r="Z1225" s="35" t="str">
        <x:v>City Water &amp; Sewer</x:v>
      </x:c>
    </x:row>
    <x:row r="1226">
      <x:c r="A1226" s="20" t="str">
        <x:v>FIN-01223</x:v>
      </x:c>
      <x:c r="B1226" s="23" t="n">
        <x:v>46522</x:v>
      </x:c>
      <x:c r="C1226" s="23" t="n">
        <x:v>46522</x:v>
      </x:c>
      <x:c r="D1226" s="20" t="str">
        <x:v>OperatingExpense</x:v>
      </x:c>
      <x:c r="E1226" s="20" t="str">
        <x:v>Utilities</x:v>
      </x:c>
      <x:c r="F1226" s="20" t="str">
        <x:v>P027</x:v>
      </x:c>
      <x:c r="G1226" s="20" t="str"/>
      <x:c r="H1226" s="20" t="str"/>
      <x:c r="I1226" s="20" t="str">
        <x:v>City Water &amp; Sewer</x:v>
      </x:c>
      <x:c r="J1226" s="35" t="str">
        <x:v>Scanned receipt/invoice</x:v>
      </x:c>
      <x:c r="K1226" s="20" t="str">
        <x:v>SCN-0562</x:v>
      </x:c>
      <x:c r="L1226" s="20" t="str">
        <x:v>EXP-20270515-1107</x:v>
      </x:c>
      <x:c r="M1226" s="26" t="n">
        <x:v>132</x:v>
      </x:c>
      <x:c r="N1226" s="26" t="n">
        <x:v>0</x:v>
      </x:c>
      <x:c r="O1226" s="26" t="n">
        <x:v>-132</x:v>
      </x:c>
      <x:c r="P1226" s="26" t="n">
        <x:v>0</x:v>
      </x:c>
      <x:c r="Q1226" s="26" t="n">
        <x:v>0</x:v>
      </x:c>
      <x:c r="R1226" s="26" t="n">
        <x:v>0</x:v>
      </x:c>
      <x:c r="S1226" s="26" t="n">
        <x:v>0</x:v>
      </x:c>
      <x:c r="T1226" s="26" t="n">
        <x:v>0</x:v>
      </x:c>
      <x:c r="U1226" s="26" t="n">
        <x:v>132</x:v>
      </x:c>
      <x:c r="V1226" s="26" t="n">
        <x:v>0</x:v>
      </x:c>
      <x:c r="W1226" s="26" t="n">
        <x:v>0</x:v>
      </x:c>
      <x:c r="X1226" s="26" t="n">
        <x:v>0</x:v>
      </x:c>
      <x:c r="Y1226" s="26" t="n">
        <x:v>0</x:v>
      </x:c>
      <x:c r="Z1226" s="35" t="str">
        <x:v>City Water &amp; Sewer</x:v>
      </x:c>
    </x:row>
    <x:row r="1227">
      <x:c r="A1227" s="20" t="str">
        <x:v>FIN-01224</x:v>
      </x:c>
      <x:c r="B1227" s="23" t="n">
        <x:v>46522</x:v>
      </x:c>
      <x:c r="C1227" s="23" t="n">
        <x:v>46522</x:v>
      </x:c>
      <x:c r="D1227" s="20" t="str">
        <x:v>OperatingExpense</x:v>
      </x:c>
      <x:c r="E1227" s="20" t="str">
        <x:v>Utilities</x:v>
      </x:c>
      <x:c r="F1227" s="20" t="str">
        <x:v>P028</x:v>
      </x:c>
      <x:c r="G1227" s="20" t="str"/>
      <x:c r="H1227" s="20" t="str"/>
      <x:c r="I1227" s="20" t="str">
        <x:v>City Water &amp; Sewer</x:v>
      </x:c>
      <x:c r="J1227" s="35" t="str">
        <x:v>Scanned receipt/invoice</x:v>
      </x:c>
      <x:c r="K1227" s="20" t="str">
        <x:v>SCN-0563</x:v>
      </x:c>
      <x:c r="L1227" s="20" t="str">
        <x:v>EXP-20270515-1108</x:v>
      </x:c>
      <x:c r="M1227" s="26" t="n">
        <x:v>139</x:v>
      </x:c>
      <x:c r="N1227" s="26" t="n">
        <x:v>0</x:v>
      </x:c>
      <x:c r="O1227" s="26" t="n">
        <x:v>-139</x:v>
      </x:c>
      <x:c r="P1227" s="26" t="n">
        <x:v>0</x:v>
      </x:c>
      <x:c r="Q1227" s="26" t="n">
        <x:v>0</x:v>
      </x:c>
      <x:c r="R1227" s="26" t="n">
        <x:v>0</x:v>
      </x:c>
      <x:c r="S1227" s="26" t="n">
        <x:v>0</x:v>
      </x:c>
      <x:c r="T1227" s="26" t="n">
        <x:v>0</x:v>
      </x:c>
      <x:c r="U1227" s="26" t="n">
        <x:v>139</x:v>
      </x:c>
      <x:c r="V1227" s="26" t="n">
        <x:v>0</x:v>
      </x:c>
      <x:c r="W1227" s="26" t="n">
        <x:v>0</x:v>
      </x:c>
      <x:c r="X1227" s="26" t="n">
        <x:v>0</x:v>
      </x:c>
      <x:c r="Y1227" s="26" t="n">
        <x:v>0</x:v>
      </x:c>
      <x:c r="Z1227" s="35" t="str">
        <x:v>City Water &amp; Sewer</x:v>
      </x:c>
    </x:row>
    <x:row r="1228">
      <x:c r="A1228" s="20" t="str">
        <x:v>FIN-01225</x:v>
      </x:c>
      <x:c r="B1228" s="23" t="n">
        <x:v>46522</x:v>
      </x:c>
      <x:c r="C1228" s="23" t="n">
        <x:v>46522</x:v>
      </x:c>
      <x:c r="D1228" s="20" t="str">
        <x:v>OperatingExpense</x:v>
      </x:c>
      <x:c r="E1228" s="20" t="str">
        <x:v>Utilities</x:v>
      </x:c>
      <x:c r="F1228" s="20" t="str">
        <x:v>P029</x:v>
      </x:c>
      <x:c r="G1228" s="20" t="str"/>
      <x:c r="H1228" s="20" t="str"/>
      <x:c r="I1228" s="20" t="str">
        <x:v>City Water &amp; Sewer</x:v>
      </x:c>
      <x:c r="J1228" s="35" t="str">
        <x:v>Scanned receipt/invoice</x:v>
      </x:c>
      <x:c r="K1228" s="20" t="str">
        <x:v>SCN-0564</x:v>
      </x:c>
      <x:c r="L1228" s="20" t="str">
        <x:v>EXP-20270515-1109</x:v>
      </x:c>
      <x:c r="M1228" s="26" t="n">
        <x:v>146</x:v>
      </x:c>
      <x:c r="N1228" s="26" t="n">
        <x:v>0</x:v>
      </x:c>
      <x:c r="O1228" s="26" t="n">
        <x:v>-146</x:v>
      </x:c>
      <x:c r="P1228" s="26" t="n">
        <x:v>0</x:v>
      </x:c>
      <x:c r="Q1228" s="26" t="n">
        <x:v>0</x:v>
      </x:c>
      <x:c r="R1228" s="26" t="n">
        <x:v>0</x:v>
      </x:c>
      <x:c r="S1228" s="26" t="n">
        <x:v>0</x:v>
      </x:c>
      <x:c r="T1228" s="26" t="n">
        <x:v>0</x:v>
      </x:c>
      <x:c r="U1228" s="26" t="n">
        <x:v>146</x:v>
      </x:c>
      <x:c r="V1228" s="26" t="n">
        <x:v>0</x:v>
      </x:c>
      <x:c r="W1228" s="26" t="n">
        <x:v>0</x:v>
      </x:c>
      <x:c r="X1228" s="26" t="n">
        <x:v>0</x:v>
      </x:c>
      <x:c r="Y1228" s="26" t="n">
        <x:v>0</x:v>
      </x:c>
      <x:c r="Z1228" s="35" t="str">
        <x:v>City Water &amp; Sewer</x:v>
      </x:c>
    </x:row>
    <x:row r="1229">
      <x:c r="A1229" s="20" t="str">
        <x:v>FIN-01226</x:v>
      </x:c>
      <x:c r="B1229" s="23" t="n">
        <x:v>46522</x:v>
      </x:c>
      <x:c r="C1229" s="23" t="n">
        <x:v>46522</x:v>
      </x:c>
      <x:c r="D1229" s="20" t="str">
        <x:v>OperatingExpense</x:v>
      </x:c>
      <x:c r="E1229" s="20" t="str">
        <x:v>Utilities</x:v>
      </x:c>
      <x:c r="F1229" s="20" t="str">
        <x:v>P030</x:v>
      </x:c>
      <x:c r="G1229" s="20" t="str"/>
      <x:c r="H1229" s="20" t="str"/>
      <x:c r="I1229" s="20" t="str">
        <x:v>City Water &amp; Sewer</x:v>
      </x:c>
      <x:c r="J1229" s="35" t="str">
        <x:v>Manual mobile form</x:v>
      </x:c>
      <x:c r="K1229" s="20" t="str"/>
      <x:c r="L1229" s="20" t="str">
        <x:v>EXP-20270515-1110</x:v>
      </x:c>
      <x:c r="M1229" s="26" t="n">
        <x:v>153</x:v>
      </x:c>
      <x:c r="N1229" s="26" t="n">
        <x:v>0</x:v>
      </x:c>
      <x:c r="O1229" s="26" t="n">
        <x:v>-153</x:v>
      </x:c>
      <x:c r="P1229" s="26" t="n">
        <x:v>0</x:v>
      </x:c>
      <x:c r="Q1229" s="26" t="n">
        <x:v>0</x:v>
      </x:c>
      <x:c r="R1229" s="26" t="n">
        <x:v>0</x:v>
      </x:c>
      <x:c r="S1229" s="26" t="n">
        <x:v>0</x:v>
      </x:c>
      <x:c r="T1229" s="26" t="n">
        <x:v>0</x:v>
      </x:c>
      <x:c r="U1229" s="26" t="n">
        <x:v>153</x:v>
      </x:c>
      <x:c r="V1229" s="26" t="n">
        <x:v>0</x:v>
      </x:c>
      <x:c r="W1229" s="26" t="n">
        <x:v>0</x:v>
      </x:c>
      <x:c r="X1229" s="26" t="n">
        <x:v>0</x:v>
      </x:c>
      <x:c r="Y1229" s="26" t="n">
        <x:v>0</x:v>
      </x:c>
      <x:c r="Z1229" s="35" t="str">
        <x:v>City Water &amp; Sewer</x:v>
      </x:c>
    </x:row>
    <x:row r="1230">
      <x:c r="A1230" s="20" t="str">
        <x:v>FIN-01227</x:v>
      </x:c>
      <x:c r="B1230" s="23" t="n">
        <x:v>46527</x:v>
      </x:c>
      <x:c r="C1230" s="23" t="n">
        <x:v>46527</x:v>
      </x:c>
      <x:c r="D1230" s="20" t="str">
        <x:v>LoanPayment</x:v>
      </x:c>
      <x:c r="E1230" s="20" t="str">
        <x:v>Mortgage principal and interest</x:v>
      </x:c>
      <x:c r="F1230" s="20" t="str">
        <x:v>P001</x:v>
      </x:c>
      <x:c r="G1230" s="20" t="str"/>
      <x:c r="H1230" s="20" t="str"/>
      <x:c r="I1230" s="20" t="str">
        <x:v>First QA Mortgage</x:v>
      </x:c>
      <x:c r="J1230" s="35" t="str">
        <x:v>Recurring loan payment + scanned statement</x:v>
      </x:c>
      <x:c r="K1230" s="20" t="str">
        <x:v>SCN-0565</x:v>
      </x:c>
      <x:c r="L1230" s="20" t="str">
        <x:v>LN001-202705</x:v>
      </x:c>
      <x:c r="M1230" s="26" t="n">
        <x:v>1022</x:v>
      </x:c>
      <x:c r="N1230" s="26" t="n">
        <x:v>0</x:v>
      </x:c>
      <x:c r="O1230" s="26" t="n">
        <x:v>-1022</x:v>
      </x:c>
      <x:c r="P1230" s="26" t="n">
        <x:v>0</x:v>
      </x:c>
      <x:c r="Q1230" s="26" t="n">
        <x:v>0</x:v>
      </x:c>
      <x:c r="R1230" s="26" t="n">
        <x:v>0</x:v>
      </x:c>
      <x:c r="S1230" s="26" t="n">
        <x:v>-431</x:v>
      </x:c>
      <x:c r="T1230" s="26" t="n">
        <x:v>0</x:v>
      </x:c>
      <x:c r="U1230" s="26" t="n">
        <x:v>591</x:v>
      </x:c>
      <x:c r="V1230" s="26" t="n">
        <x:v>0</x:v>
      </x:c>
      <x:c r="W1230" s="26" t="n">
        <x:v>0</x:v>
      </x:c>
      <x:c r="X1230" s="26" t="n">
        <x:v>0</x:v>
      </x:c>
      <x:c r="Y1230" s="26" t="n">
        <x:v>0</x:v>
      </x:c>
      <x:c r="Z1230" s="35" t="str">
        <x:v>LN001 scheduled payment</x:v>
      </x:c>
    </x:row>
    <x:row r="1231">
      <x:c r="A1231" s="20" t="str">
        <x:v>FIN-01228</x:v>
      </x:c>
      <x:c r="B1231" s="23" t="n">
        <x:v>46527</x:v>
      </x:c>
      <x:c r="C1231" s="23" t="n">
        <x:v>46527</x:v>
      </x:c>
      <x:c r="D1231" s="20" t="str">
        <x:v>LoanPayment</x:v>
      </x:c>
      <x:c r="E1231" s="20" t="str">
        <x:v>Mortgage principal and interest</x:v>
      </x:c>
      <x:c r="F1231" s="20" t="str">
        <x:v>P002</x:v>
      </x:c>
      <x:c r="G1231" s="20" t="str"/>
      <x:c r="H1231" s="20" t="str"/>
      <x:c r="I1231" s="20" t="str">
        <x:v>First QA Mortgage</x:v>
      </x:c>
      <x:c r="J1231" s="35" t="str">
        <x:v>Recurring loan payment + scanned statement</x:v>
      </x:c>
      <x:c r="K1231" s="20" t="str">
        <x:v>SCN-0566</x:v>
      </x:c>
      <x:c r="L1231" s="20" t="str">
        <x:v>LN002-202705</x:v>
      </x:c>
      <x:c r="M1231" s="26" t="n">
        <x:v>1046</x:v>
      </x:c>
      <x:c r="N1231" s="26" t="n">
        <x:v>0</x:v>
      </x:c>
      <x:c r="O1231" s="26" t="n">
        <x:v>-1046</x:v>
      </x:c>
      <x:c r="P1231" s="26" t="n">
        <x:v>0</x:v>
      </x:c>
      <x:c r="Q1231" s="26" t="n">
        <x:v>0</x:v>
      </x:c>
      <x:c r="R1231" s="26" t="n">
        <x:v>0</x:v>
      </x:c>
      <x:c r="S1231" s="26" t="n">
        <x:v>-442</x:v>
      </x:c>
      <x:c r="T1231" s="26" t="n">
        <x:v>0</x:v>
      </x:c>
      <x:c r="U1231" s="26" t="n">
        <x:v>604</x:v>
      </x:c>
      <x:c r="V1231" s="26" t="n">
        <x:v>0</x:v>
      </x:c>
      <x:c r="W1231" s="26" t="n">
        <x:v>0</x:v>
      </x:c>
      <x:c r="X1231" s="26" t="n">
        <x:v>0</x:v>
      </x:c>
      <x:c r="Y1231" s="26" t="n">
        <x:v>0</x:v>
      </x:c>
      <x:c r="Z1231" s="35" t="str">
        <x:v>LN002 scheduled payment</x:v>
      </x:c>
    </x:row>
    <x:row r="1232">
      <x:c r="A1232" s="20" t="str">
        <x:v>FIN-01229</x:v>
      </x:c>
      <x:c r="B1232" s="23" t="n">
        <x:v>46527</x:v>
      </x:c>
      <x:c r="C1232" s="23" t="n">
        <x:v>46527</x:v>
      </x:c>
      <x:c r="D1232" s="20" t="str">
        <x:v>LoanPayment</x:v>
      </x:c>
      <x:c r="E1232" s="20" t="str">
        <x:v>Mortgage principal and interest</x:v>
      </x:c>
      <x:c r="F1232" s="20" t="str">
        <x:v>P004</x:v>
      </x:c>
      <x:c r="G1232" s="20" t="str"/>
      <x:c r="H1232" s="20" t="str"/>
      <x:c r="I1232" s="20" t="str">
        <x:v>First QA Mortgage</x:v>
      </x:c>
      <x:c r="J1232" s="35" t="str">
        <x:v>Recurring loan payment + scanned statement</x:v>
      </x:c>
      <x:c r="K1232" s="20" t="str">
        <x:v>SCN-0567</x:v>
      </x:c>
      <x:c r="L1232" s="20" t="str">
        <x:v>LN004-202705</x:v>
      </x:c>
      <x:c r="M1232" s="26" t="n">
        <x:v>1094</x:v>
      </x:c>
      <x:c r="N1232" s="26" t="n">
        <x:v>0</x:v>
      </x:c>
      <x:c r="O1232" s="26" t="n">
        <x:v>-1094</x:v>
      </x:c>
      <x:c r="P1232" s="26" t="n">
        <x:v>0</x:v>
      </x:c>
      <x:c r="Q1232" s="26" t="n">
        <x:v>0</x:v>
      </x:c>
      <x:c r="R1232" s="26" t="n">
        <x:v>0</x:v>
      </x:c>
      <x:c r="S1232" s="26" t="n">
        <x:v>-464</x:v>
      </x:c>
      <x:c r="T1232" s="26" t="n">
        <x:v>0</x:v>
      </x:c>
      <x:c r="U1232" s="26" t="n">
        <x:v>630</x:v>
      </x:c>
      <x:c r="V1232" s="26" t="n">
        <x:v>0</x:v>
      </x:c>
      <x:c r="W1232" s="26" t="n">
        <x:v>0</x:v>
      </x:c>
      <x:c r="X1232" s="26" t="n">
        <x:v>0</x:v>
      </x:c>
      <x:c r="Y1232" s="26" t="n">
        <x:v>0</x:v>
      </x:c>
      <x:c r="Z1232" s="35" t="str">
        <x:v>LN004 scheduled payment</x:v>
      </x:c>
    </x:row>
    <x:row r="1233">
      <x:c r="A1233" s="20" t="str">
        <x:v>FIN-01230</x:v>
      </x:c>
      <x:c r="B1233" s="23" t="n">
        <x:v>46527</x:v>
      </x:c>
      <x:c r="C1233" s="23" t="n">
        <x:v>46527</x:v>
      </x:c>
      <x:c r="D1233" s="20" t="str">
        <x:v>LoanPayment</x:v>
      </x:c>
      <x:c r="E1233" s="20" t="str">
        <x:v>Mortgage principal and interest</x:v>
      </x:c>
      <x:c r="F1233" s="20" t="str">
        <x:v>P005</x:v>
      </x:c>
      <x:c r="G1233" s="20" t="str"/>
      <x:c r="H1233" s="20" t="str"/>
      <x:c r="I1233" s="20" t="str">
        <x:v>First QA Mortgage</x:v>
      </x:c>
      <x:c r="J1233" s="35" t="str">
        <x:v>Recurring loan payment + scanned statement</x:v>
      </x:c>
      <x:c r="K1233" s="20" t="str">
        <x:v>SCN-0568</x:v>
      </x:c>
      <x:c r="L1233" s="20" t="str">
        <x:v>LN005-202705</x:v>
      </x:c>
      <x:c r="M1233" s="26" t="n">
        <x:v>1118</x:v>
      </x:c>
      <x:c r="N1233" s="26" t="n">
        <x:v>0</x:v>
      </x:c>
      <x:c r="O1233" s="26" t="n">
        <x:v>-1118</x:v>
      </x:c>
      <x:c r="P1233" s="26" t="n">
        <x:v>0</x:v>
      </x:c>
      <x:c r="Q1233" s="26" t="n">
        <x:v>0</x:v>
      </x:c>
      <x:c r="R1233" s="26" t="n">
        <x:v>0</x:v>
      </x:c>
      <x:c r="S1233" s="26" t="n">
        <x:v>-475</x:v>
      </x:c>
      <x:c r="T1233" s="26" t="n">
        <x:v>0</x:v>
      </x:c>
      <x:c r="U1233" s="26" t="n">
        <x:v>643</x:v>
      </x:c>
      <x:c r="V1233" s="26" t="n">
        <x:v>0</x:v>
      </x:c>
      <x:c r="W1233" s="26" t="n">
        <x:v>0</x:v>
      </x:c>
      <x:c r="X1233" s="26" t="n">
        <x:v>0</x:v>
      </x:c>
      <x:c r="Y1233" s="26" t="n">
        <x:v>0</x:v>
      </x:c>
      <x:c r="Z1233" s="35" t="str">
        <x:v>LN005 scheduled payment</x:v>
      </x:c>
    </x:row>
    <x:row r="1234">
      <x:c r="A1234" s="20" t="str">
        <x:v>FIN-01231</x:v>
      </x:c>
      <x:c r="B1234" s="23" t="n">
        <x:v>46527</x:v>
      </x:c>
      <x:c r="C1234" s="23" t="n">
        <x:v>46527</x:v>
      </x:c>
      <x:c r="D1234" s="20" t="str">
        <x:v>LoanPayment</x:v>
      </x:c>
      <x:c r="E1234" s="20" t="str">
        <x:v>Mortgage principal and interest</x:v>
      </x:c>
      <x:c r="F1234" s="20" t="str">
        <x:v>P007</x:v>
      </x:c>
      <x:c r="G1234" s="20" t="str"/>
      <x:c r="H1234" s="20" t="str"/>
      <x:c r="I1234" s="20" t="str">
        <x:v>First QA Mortgage</x:v>
      </x:c>
      <x:c r="J1234" s="35" t="str">
        <x:v>Recurring loan payment + scanned statement</x:v>
      </x:c>
      <x:c r="K1234" s="20" t="str">
        <x:v>SCN-0569</x:v>
      </x:c>
      <x:c r="L1234" s="20" t="str">
        <x:v>LN007-202705</x:v>
      </x:c>
      <x:c r="M1234" s="26" t="n">
        <x:v>1166</x:v>
      </x:c>
      <x:c r="N1234" s="26" t="n">
        <x:v>0</x:v>
      </x:c>
      <x:c r="O1234" s="26" t="n">
        <x:v>-1166</x:v>
      </x:c>
      <x:c r="P1234" s="26" t="n">
        <x:v>0</x:v>
      </x:c>
      <x:c r="Q1234" s="26" t="n">
        <x:v>0</x:v>
      </x:c>
      <x:c r="R1234" s="26" t="n">
        <x:v>0</x:v>
      </x:c>
      <x:c r="S1234" s="26" t="n">
        <x:v>-497</x:v>
      </x:c>
      <x:c r="T1234" s="26" t="n">
        <x:v>0</x:v>
      </x:c>
      <x:c r="U1234" s="26" t="n">
        <x:v>669</x:v>
      </x:c>
      <x:c r="V1234" s="26" t="n">
        <x:v>0</x:v>
      </x:c>
      <x:c r="W1234" s="26" t="n">
        <x:v>0</x:v>
      </x:c>
      <x:c r="X1234" s="26" t="n">
        <x:v>0</x:v>
      </x:c>
      <x:c r="Y1234" s="26" t="n">
        <x:v>0</x:v>
      </x:c>
      <x:c r="Z1234" s="35" t="str">
        <x:v>LN007 scheduled payment</x:v>
      </x:c>
    </x:row>
    <x:row r="1235">
      <x:c r="A1235" s="20" t="str">
        <x:v>FIN-01232</x:v>
      </x:c>
      <x:c r="B1235" s="23" t="n">
        <x:v>46527</x:v>
      </x:c>
      <x:c r="C1235" s="23" t="n">
        <x:v>46527</x:v>
      </x:c>
      <x:c r="D1235" s="20" t="str">
        <x:v>LoanPayment</x:v>
      </x:c>
      <x:c r="E1235" s="20" t="str">
        <x:v>Mortgage principal and interest</x:v>
      </x:c>
      <x:c r="F1235" s="20" t="str">
        <x:v>P008</x:v>
      </x:c>
      <x:c r="G1235" s="20" t="str"/>
      <x:c r="H1235" s="20" t="str"/>
      <x:c r="I1235" s="20" t="str">
        <x:v>First QA Mortgage</x:v>
      </x:c>
      <x:c r="J1235" s="35" t="str">
        <x:v>Recurring loan payment + scanned statement</x:v>
      </x:c>
      <x:c r="K1235" s="20" t="str">
        <x:v>SCN-0570</x:v>
      </x:c>
      <x:c r="L1235" s="20" t="str">
        <x:v>LN008-202705</x:v>
      </x:c>
      <x:c r="M1235" s="26" t="n">
        <x:v>1190</x:v>
      </x:c>
      <x:c r="N1235" s="26" t="n">
        <x:v>0</x:v>
      </x:c>
      <x:c r="O1235" s="26" t="n">
        <x:v>-1190</x:v>
      </x:c>
      <x:c r="P1235" s="26" t="n">
        <x:v>0</x:v>
      </x:c>
      <x:c r="Q1235" s="26" t="n">
        <x:v>0</x:v>
      </x:c>
      <x:c r="R1235" s="26" t="n">
        <x:v>0</x:v>
      </x:c>
      <x:c r="S1235" s="26" t="n">
        <x:v>-508</x:v>
      </x:c>
      <x:c r="T1235" s="26" t="n">
        <x:v>0</x:v>
      </x:c>
      <x:c r="U1235" s="26" t="n">
        <x:v>682</x:v>
      </x:c>
      <x:c r="V1235" s="26" t="n">
        <x:v>0</x:v>
      </x:c>
      <x:c r="W1235" s="26" t="n">
        <x:v>0</x:v>
      </x:c>
      <x:c r="X1235" s="26" t="n">
        <x:v>0</x:v>
      </x:c>
      <x:c r="Y1235" s="26" t="n">
        <x:v>0</x:v>
      </x:c>
      <x:c r="Z1235" s="35" t="str">
        <x:v>LN008 scheduled payment</x:v>
      </x:c>
    </x:row>
    <x:row r="1236">
      <x:c r="A1236" s="20" t="str">
        <x:v>FIN-01233</x:v>
      </x:c>
      <x:c r="B1236" s="23" t="n">
        <x:v>46527</x:v>
      </x:c>
      <x:c r="C1236" s="23" t="n">
        <x:v>46527</x:v>
      </x:c>
      <x:c r="D1236" s="20" t="str">
        <x:v>LoanPayment</x:v>
      </x:c>
      <x:c r="E1236" s="20" t="str">
        <x:v>Mortgage principal and interest</x:v>
      </x:c>
      <x:c r="F1236" s="20" t="str">
        <x:v>P010</x:v>
      </x:c>
      <x:c r="G1236" s="20" t="str"/>
      <x:c r="H1236" s="20" t="str"/>
      <x:c r="I1236" s="20" t="str">
        <x:v>First QA Mortgage</x:v>
      </x:c>
      <x:c r="J1236" s="35" t="str">
        <x:v>Recurring loan payment + scanned statement</x:v>
      </x:c>
      <x:c r="K1236" s="20" t="str">
        <x:v>SCN-0571</x:v>
      </x:c>
      <x:c r="L1236" s="20" t="str">
        <x:v>LN010-202705</x:v>
      </x:c>
      <x:c r="M1236" s="26" t="n">
        <x:v>1238</x:v>
      </x:c>
      <x:c r="N1236" s="26" t="n">
        <x:v>0</x:v>
      </x:c>
      <x:c r="O1236" s="26" t="n">
        <x:v>-1238</x:v>
      </x:c>
      <x:c r="P1236" s="26" t="n">
        <x:v>0</x:v>
      </x:c>
      <x:c r="Q1236" s="26" t="n">
        <x:v>0</x:v>
      </x:c>
      <x:c r="R1236" s="26" t="n">
        <x:v>0</x:v>
      </x:c>
      <x:c r="S1236" s="26" t="n">
        <x:v>-530</x:v>
      </x:c>
      <x:c r="T1236" s="26" t="n">
        <x:v>0</x:v>
      </x:c>
      <x:c r="U1236" s="26" t="n">
        <x:v>708</x:v>
      </x:c>
      <x:c r="V1236" s="26" t="n">
        <x:v>0</x:v>
      </x:c>
      <x:c r="W1236" s="26" t="n">
        <x:v>0</x:v>
      </x:c>
      <x:c r="X1236" s="26" t="n">
        <x:v>0</x:v>
      </x:c>
      <x:c r="Y1236" s="26" t="n">
        <x:v>0</x:v>
      </x:c>
      <x:c r="Z1236" s="35" t="str">
        <x:v>LN010 scheduled payment</x:v>
      </x:c>
    </x:row>
    <x:row r="1237">
      <x:c r="A1237" s="20" t="str">
        <x:v>FIN-01234</x:v>
      </x:c>
      <x:c r="B1237" s="23" t="n">
        <x:v>46527</x:v>
      </x:c>
      <x:c r="C1237" s="23" t="n">
        <x:v>46527</x:v>
      </x:c>
      <x:c r="D1237" s="20" t="str">
        <x:v>LoanPayment</x:v>
      </x:c>
      <x:c r="E1237" s="20" t="str">
        <x:v>Mortgage principal and interest</x:v>
      </x:c>
      <x:c r="F1237" s="20" t="str">
        <x:v>P011</x:v>
      </x:c>
      <x:c r="G1237" s="20" t="str"/>
      <x:c r="H1237" s="20" t="str"/>
      <x:c r="I1237" s="20" t="str">
        <x:v>First QA Mortgage</x:v>
      </x:c>
      <x:c r="J1237" s="35" t="str">
        <x:v>Recurring loan payment + scanned statement</x:v>
      </x:c>
      <x:c r="K1237" s="20" t="str">
        <x:v>SCN-0572</x:v>
      </x:c>
      <x:c r="L1237" s="20" t="str">
        <x:v>LN011-202705</x:v>
      </x:c>
      <x:c r="M1237" s="26" t="n">
        <x:v>1262</x:v>
      </x:c>
      <x:c r="N1237" s="26" t="n">
        <x:v>0</x:v>
      </x:c>
      <x:c r="O1237" s="26" t="n">
        <x:v>-1262</x:v>
      </x:c>
      <x:c r="P1237" s="26" t="n">
        <x:v>0</x:v>
      </x:c>
      <x:c r="Q1237" s="26" t="n">
        <x:v>0</x:v>
      </x:c>
      <x:c r="R1237" s="26" t="n">
        <x:v>0</x:v>
      </x:c>
      <x:c r="S1237" s="26" t="n">
        <x:v>-541</x:v>
      </x:c>
      <x:c r="T1237" s="26" t="n">
        <x:v>0</x:v>
      </x:c>
      <x:c r="U1237" s="26" t="n">
        <x:v>721</x:v>
      </x:c>
      <x:c r="V1237" s="26" t="n">
        <x:v>0</x:v>
      </x:c>
      <x:c r="W1237" s="26" t="n">
        <x:v>0</x:v>
      </x:c>
      <x:c r="X1237" s="26" t="n">
        <x:v>0</x:v>
      </x:c>
      <x:c r="Y1237" s="26" t="n">
        <x:v>0</x:v>
      </x:c>
      <x:c r="Z1237" s="35" t="str">
        <x:v>LN011 scheduled payment</x:v>
      </x:c>
    </x:row>
    <x:row r="1238">
      <x:c r="A1238" s="20" t="str">
        <x:v>FIN-01235</x:v>
      </x:c>
      <x:c r="B1238" s="23" t="n">
        <x:v>46527</x:v>
      </x:c>
      <x:c r="C1238" s="23" t="n">
        <x:v>46527</x:v>
      </x:c>
      <x:c r="D1238" s="20" t="str">
        <x:v>LoanPayment</x:v>
      </x:c>
      <x:c r="E1238" s="20" t="str">
        <x:v>Mortgage principal and interest</x:v>
      </x:c>
      <x:c r="F1238" s="20" t="str">
        <x:v>P013</x:v>
      </x:c>
      <x:c r="G1238" s="20" t="str"/>
      <x:c r="H1238" s="20" t="str"/>
      <x:c r="I1238" s="20" t="str">
        <x:v>First QA Mortgage</x:v>
      </x:c>
      <x:c r="J1238" s="35" t="str">
        <x:v>Recurring loan payment + scanned statement</x:v>
      </x:c>
      <x:c r="K1238" s="20" t="str">
        <x:v>SCN-0573</x:v>
      </x:c>
      <x:c r="L1238" s="20" t="str">
        <x:v>LN013-202705</x:v>
      </x:c>
      <x:c r="M1238" s="26" t="n">
        <x:v>1310</x:v>
      </x:c>
      <x:c r="N1238" s="26" t="n">
        <x:v>0</x:v>
      </x:c>
      <x:c r="O1238" s="26" t="n">
        <x:v>-1310</x:v>
      </x:c>
      <x:c r="P1238" s="26" t="n">
        <x:v>0</x:v>
      </x:c>
      <x:c r="Q1238" s="26" t="n">
        <x:v>0</x:v>
      </x:c>
      <x:c r="R1238" s="26" t="n">
        <x:v>0</x:v>
      </x:c>
      <x:c r="S1238" s="26" t="n">
        <x:v>-563</x:v>
      </x:c>
      <x:c r="T1238" s="26" t="n">
        <x:v>0</x:v>
      </x:c>
      <x:c r="U1238" s="26" t="n">
        <x:v>747</x:v>
      </x:c>
      <x:c r="V1238" s="26" t="n">
        <x:v>0</x:v>
      </x:c>
      <x:c r="W1238" s="26" t="n">
        <x:v>0</x:v>
      </x:c>
      <x:c r="X1238" s="26" t="n">
        <x:v>0</x:v>
      </x:c>
      <x:c r="Y1238" s="26" t="n">
        <x:v>0</x:v>
      </x:c>
      <x:c r="Z1238" s="35" t="str">
        <x:v>LN013 scheduled payment</x:v>
      </x:c>
    </x:row>
    <x:row r="1239">
      <x:c r="A1239" s="20" t="str">
        <x:v>FIN-01236</x:v>
      </x:c>
      <x:c r="B1239" s="23" t="n">
        <x:v>46527</x:v>
      </x:c>
      <x:c r="C1239" s="23" t="n">
        <x:v>46527</x:v>
      </x:c>
      <x:c r="D1239" s="20" t="str">
        <x:v>LoanPayment</x:v>
      </x:c>
      <x:c r="E1239" s="20" t="str">
        <x:v>Mortgage principal and interest</x:v>
      </x:c>
      <x:c r="F1239" s="20" t="str">
        <x:v>P014</x:v>
      </x:c>
      <x:c r="G1239" s="20" t="str"/>
      <x:c r="H1239" s="20" t="str"/>
      <x:c r="I1239" s="20" t="str">
        <x:v>First QA Mortgage</x:v>
      </x:c>
      <x:c r="J1239" s="35" t="str">
        <x:v>Recurring loan payment + scanned statement</x:v>
      </x:c>
      <x:c r="K1239" s="20" t="str">
        <x:v>SCN-0574</x:v>
      </x:c>
      <x:c r="L1239" s="20" t="str">
        <x:v>LN014-202705</x:v>
      </x:c>
      <x:c r="M1239" s="26" t="n">
        <x:v>1334</x:v>
      </x:c>
      <x:c r="N1239" s="26" t="n">
        <x:v>0</x:v>
      </x:c>
      <x:c r="O1239" s="26" t="n">
        <x:v>-1334</x:v>
      </x:c>
      <x:c r="P1239" s="26" t="n">
        <x:v>0</x:v>
      </x:c>
      <x:c r="Q1239" s="26" t="n">
        <x:v>0</x:v>
      </x:c>
      <x:c r="R1239" s="26" t="n">
        <x:v>0</x:v>
      </x:c>
      <x:c r="S1239" s="26" t="n">
        <x:v>-574</x:v>
      </x:c>
      <x:c r="T1239" s="26" t="n">
        <x:v>0</x:v>
      </x:c>
      <x:c r="U1239" s="26" t="n">
        <x:v>760</x:v>
      </x:c>
      <x:c r="V1239" s="26" t="n">
        <x:v>0</x:v>
      </x:c>
      <x:c r="W1239" s="26" t="n">
        <x:v>0</x:v>
      </x:c>
      <x:c r="X1239" s="26" t="n">
        <x:v>0</x:v>
      </x:c>
      <x:c r="Y1239" s="26" t="n">
        <x:v>0</x:v>
      </x:c>
      <x:c r="Z1239" s="35" t="str">
        <x:v>LN014 scheduled payment</x:v>
      </x:c>
    </x:row>
    <x:row r="1240">
      <x:c r="A1240" s="20" t="str">
        <x:v>FIN-01237</x:v>
      </x:c>
      <x:c r="B1240" s="23" t="n">
        <x:v>46527</x:v>
      </x:c>
      <x:c r="C1240" s="23" t="n">
        <x:v>46527</x:v>
      </x:c>
      <x:c r="D1240" s="20" t="str">
        <x:v>LoanPayment</x:v>
      </x:c>
      <x:c r="E1240" s="20" t="str">
        <x:v>Mortgage principal and interest</x:v>
      </x:c>
      <x:c r="F1240" s="20" t="str">
        <x:v>P016</x:v>
      </x:c>
      <x:c r="G1240" s="20" t="str"/>
      <x:c r="H1240" s="20" t="str"/>
      <x:c r="I1240" s="20" t="str">
        <x:v>First QA Mortgage</x:v>
      </x:c>
      <x:c r="J1240" s="35" t="str">
        <x:v>Recurring loan payment + scanned statement</x:v>
      </x:c>
      <x:c r="K1240" s="20" t="str">
        <x:v>SCN-0575</x:v>
      </x:c>
      <x:c r="L1240" s="20" t="str">
        <x:v>LN016-202705</x:v>
      </x:c>
      <x:c r="M1240" s="26" t="n">
        <x:v>1382</x:v>
      </x:c>
      <x:c r="N1240" s="26" t="n">
        <x:v>0</x:v>
      </x:c>
      <x:c r="O1240" s="26" t="n">
        <x:v>-1382</x:v>
      </x:c>
      <x:c r="P1240" s="26" t="n">
        <x:v>0</x:v>
      </x:c>
      <x:c r="Q1240" s="26" t="n">
        <x:v>0</x:v>
      </x:c>
      <x:c r="R1240" s="26" t="n">
        <x:v>0</x:v>
      </x:c>
      <x:c r="S1240" s="26" t="n">
        <x:v>-596</x:v>
      </x:c>
      <x:c r="T1240" s="26" t="n">
        <x:v>0</x:v>
      </x:c>
      <x:c r="U1240" s="26" t="n">
        <x:v>786</x:v>
      </x:c>
      <x:c r="V1240" s="26" t="n">
        <x:v>0</x:v>
      </x:c>
      <x:c r="W1240" s="26" t="n">
        <x:v>0</x:v>
      </x:c>
      <x:c r="X1240" s="26" t="n">
        <x:v>0</x:v>
      </x:c>
      <x:c r="Y1240" s="26" t="n">
        <x:v>0</x:v>
      </x:c>
      <x:c r="Z1240" s="35" t="str">
        <x:v>LN016 scheduled payment</x:v>
      </x:c>
    </x:row>
    <x:row r="1241">
      <x:c r="A1241" s="20" t="str">
        <x:v>FIN-01238</x:v>
      </x:c>
      <x:c r="B1241" s="23" t="n">
        <x:v>46527</x:v>
      </x:c>
      <x:c r="C1241" s="23" t="n">
        <x:v>46527</x:v>
      </x:c>
      <x:c r="D1241" s="20" t="str">
        <x:v>LoanPayment</x:v>
      </x:c>
      <x:c r="E1241" s="20" t="str">
        <x:v>Mortgage principal and interest</x:v>
      </x:c>
      <x:c r="F1241" s="20" t="str">
        <x:v>P017</x:v>
      </x:c>
      <x:c r="G1241" s="20" t="str"/>
      <x:c r="H1241" s="20" t="str"/>
      <x:c r="I1241" s="20" t="str">
        <x:v>First QA Mortgage</x:v>
      </x:c>
      <x:c r="J1241" s="35" t="str">
        <x:v>Recurring loan payment + scanned statement</x:v>
      </x:c>
      <x:c r="K1241" s="20" t="str">
        <x:v>SCN-0576</x:v>
      </x:c>
      <x:c r="L1241" s="20" t="str">
        <x:v>LN017-202705</x:v>
      </x:c>
      <x:c r="M1241" s="26" t="n">
        <x:v>1406</x:v>
      </x:c>
      <x:c r="N1241" s="26" t="n">
        <x:v>0</x:v>
      </x:c>
      <x:c r="O1241" s="26" t="n">
        <x:v>-1406</x:v>
      </x:c>
      <x:c r="P1241" s="26" t="n">
        <x:v>0</x:v>
      </x:c>
      <x:c r="Q1241" s="26" t="n">
        <x:v>0</x:v>
      </x:c>
      <x:c r="R1241" s="26" t="n">
        <x:v>0</x:v>
      </x:c>
      <x:c r="S1241" s="26" t="n">
        <x:v>-607</x:v>
      </x:c>
      <x:c r="T1241" s="26" t="n">
        <x:v>0</x:v>
      </x:c>
      <x:c r="U1241" s="26" t="n">
        <x:v>799</x:v>
      </x:c>
      <x:c r="V1241" s="26" t="n">
        <x:v>0</x:v>
      </x:c>
      <x:c r="W1241" s="26" t="n">
        <x:v>0</x:v>
      </x:c>
      <x:c r="X1241" s="26" t="n">
        <x:v>0</x:v>
      </x:c>
      <x:c r="Y1241" s="26" t="n">
        <x:v>0</x:v>
      </x:c>
      <x:c r="Z1241" s="35" t="str">
        <x:v>LN017 scheduled payment</x:v>
      </x:c>
    </x:row>
    <x:row r="1242">
      <x:c r="A1242" s="20" t="str">
        <x:v>FIN-01239</x:v>
      </x:c>
      <x:c r="B1242" s="23" t="n">
        <x:v>46527</x:v>
      </x:c>
      <x:c r="C1242" s="23" t="n">
        <x:v>46527</x:v>
      </x:c>
      <x:c r="D1242" s="20" t="str">
        <x:v>LoanPayment</x:v>
      </x:c>
      <x:c r="E1242" s="20" t="str">
        <x:v>Mortgage principal and interest</x:v>
      </x:c>
      <x:c r="F1242" s="20" t="str">
        <x:v>P019</x:v>
      </x:c>
      <x:c r="G1242" s="20" t="str"/>
      <x:c r="H1242" s="20" t="str"/>
      <x:c r="I1242" s="20" t="str">
        <x:v>First QA Mortgage</x:v>
      </x:c>
      <x:c r="J1242" s="35" t="str">
        <x:v>Recurring loan payment + scanned statement</x:v>
      </x:c>
      <x:c r="K1242" s="20" t="str">
        <x:v>SCN-0577</x:v>
      </x:c>
      <x:c r="L1242" s="20" t="str">
        <x:v>LN019-202705</x:v>
      </x:c>
      <x:c r="M1242" s="26" t="n">
        <x:v>1454</x:v>
      </x:c>
      <x:c r="N1242" s="26" t="n">
        <x:v>0</x:v>
      </x:c>
      <x:c r="O1242" s="26" t="n">
        <x:v>-1454</x:v>
      </x:c>
      <x:c r="P1242" s="26" t="n">
        <x:v>0</x:v>
      </x:c>
      <x:c r="Q1242" s="26" t="n">
        <x:v>0</x:v>
      </x:c>
      <x:c r="R1242" s="26" t="n">
        <x:v>0</x:v>
      </x:c>
      <x:c r="S1242" s="26" t="n">
        <x:v>-629</x:v>
      </x:c>
      <x:c r="T1242" s="26" t="n">
        <x:v>0</x:v>
      </x:c>
      <x:c r="U1242" s="26" t="n">
        <x:v>825</x:v>
      </x:c>
      <x:c r="V1242" s="26" t="n">
        <x:v>0</x:v>
      </x:c>
      <x:c r="W1242" s="26" t="n">
        <x:v>0</x:v>
      </x:c>
      <x:c r="X1242" s="26" t="n">
        <x:v>0</x:v>
      </x:c>
      <x:c r="Y1242" s="26" t="n">
        <x:v>0</x:v>
      </x:c>
      <x:c r="Z1242" s="35" t="str">
        <x:v>LN019 scheduled payment</x:v>
      </x:c>
    </x:row>
    <x:row r="1243">
      <x:c r="A1243" s="20" t="str">
        <x:v>FIN-01240</x:v>
      </x:c>
      <x:c r="B1243" s="23" t="n">
        <x:v>46527</x:v>
      </x:c>
      <x:c r="C1243" s="23" t="n">
        <x:v>46527</x:v>
      </x:c>
      <x:c r="D1243" s="20" t="str">
        <x:v>LoanPayment</x:v>
      </x:c>
      <x:c r="E1243" s="20" t="str">
        <x:v>Mortgage principal and interest</x:v>
      </x:c>
      <x:c r="F1243" s="20" t="str">
        <x:v>P020</x:v>
      </x:c>
      <x:c r="G1243" s="20" t="str"/>
      <x:c r="H1243" s="20" t="str"/>
      <x:c r="I1243" s="20" t="str">
        <x:v>First QA Mortgage</x:v>
      </x:c>
      <x:c r="J1243" s="35" t="str">
        <x:v>Recurring loan payment + scanned statement</x:v>
      </x:c>
      <x:c r="K1243" s="20" t="str">
        <x:v>SCN-0578</x:v>
      </x:c>
      <x:c r="L1243" s="20" t="str">
        <x:v>LN020-202705</x:v>
      </x:c>
      <x:c r="M1243" s="26" t="n">
        <x:v>1478</x:v>
      </x:c>
      <x:c r="N1243" s="26" t="n">
        <x:v>0</x:v>
      </x:c>
      <x:c r="O1243" s="26" t="n">
        <x:v>-1478</x:v>
      </x:c>
      <x:c r="P1243" s="26" t="n">
        <x:v>0</x:v>
      </x:c>
      <x:c r="Q1243" s="26" t="n">
        <x:v>0</x:v>
      </x:c>
      <x:c r="R1243" s="26" t="n">
        <x:v>0</x:v>
      </x:c>
      <x:c r="S1243" s="26" t="n">
        <x:v>-640</x:v>
      </x:c>
      <x:c r="T1243" s="26" t="n">
        <x:v>0</x:v>
      </x:c>
      <x:c r="U1243" s="26" t="n">
        <x:v>838</x:v>
      </x:c>
      <x:c r="V1243" s="26" t="n">
        <x:v>0</x:v>
      </x:c>
      <x:c r="W1243" s="26" t="n">
        <x:v>0</x:v>
      </x:c>
      <x:c r="X1243" s="26" t="n">
        <x:v>0</x:v>
      </x:c>
      <x:c r="Y1243" s="26" t="n">
        <x:v>0</x:v>
      </x:c>
      <x:c r="Z1243" s="35" t="str">
        <x:v>LN020 scheduled payment</x:v>
      </x:c>
    </x:row>
    <x:row r="1244">
      <x:c r="A1244" s="20" t="str">
        <x:v>FIN-01241</x:v>
      </x:c>
      <x:c r="B1244" s="23" t="n">
        <x:v>46527</x:v>
      </x:c>
      <x:c r="C1244" s="23" t="n">
        <x:v>46527</x:v>
      </x:c>
      <x:c r="D1244" s="20" t="str">
        <x:v>LoanPayment</x:v>
      </x:c>
      <x:c r="E1244" s="20" t="str">
        <x:v>Mortgage principal and interest</x:v>
      </x:c>
      <x:c r="F1244" s="20" t="str">
        <x:v>P022</x:v>
      </x:c>
      <x:c r="G1244" s="20" t="str"/>
      <x:c r="H1244" s="20" t="str"/>
      <x:c r="I1244" s="20" t="str">
        <x:v>First QA Mortgage</x:v>
      </x:c>
      <x:c r="J1244" s="35" t="str">
        <x:v>Recurring loan payment + scanned statement</x:v>
      </x:c>
      <x:c r="K1244" s="20" t="str">
        <x:v>SCN-0579</x:v>
      </x:c>
      <x:c r="L1244" s="20" t="str">
        <x:v>LN022-202705</x:v>
      </x:c>
      <x:c r="M1244" s="26" t="n">
        <x:v>1526</x:v>
      </x:c>
      <x:c r="N1244" s="26" t="n">
        <x:v>0</x:v>
      </x:c>
      <x:c r="O1244" s="26" t="n">
        <x:v>-1526</x:v>
      </x:c>
      <x:c r="P1244" s="26" t="n">
        <x:v>0</x:v>
      </x:c>
      <x:c r="Q1244" s="26" t="n">
        <x:v>0</x:v>
      </x:c>
      <x:c r="R1244" s="26" t="n">
        <x:v>0</x:v>
      </x:c>
      <x:c r="S1244" s="26" t="n">
        <x:v>-662</x:v>
      </x:c>
      <x:c r="T1244" s="26" t="n">
        <x:v>0</x:v>
      </x:c>
      <x:c r="U1244" s="26" t="n">
        <x:v>864</x:v>
      </x:c>
      <x:c r="V1244" s="26" t="n">
        <x:v>0</x:v>
      </x:c>
      <x:c r="W1244" s="26" t="n">
        <x:v>0</x:v>
      </x:c>
      <x:c r="X1244" s="26" t="n">
        <x:v>0</x:v>
      </x:c>
      <x:c r="Y1244" s="26" t="n">
        <x:v>0</x:v>
      </x:c>
      <x:c r="Z1244" s="35" t="str">
        <x:v>LN022 scheduled payment</x:v>
      </x:c>
    </x:row>
    <x:row r="1245">
      <x:c r="A1245" s="20" t="str">
        <x:v>FIN-01242</x:v>
      </x:c>
      <x:c r="B1245" s="23" t="n">
        <x:v>46527</x:v>
      </x:c>
      <x:c r="C1245" s="23" t="n">
        <x:v>46527</x:v>
      </x:c>
      <x:c r="D1245" s="20" t="str">
        <x:v>LoanPayment</x:v>
      </x:c>
      <x:c r="E1245" s="20" t="str">
        <x:v>Mortgage principal and interest</x:v>
      </x:c>
      <x:c r="F1245" s="20" t="str">
        <x:v>P023</x:v>
      </x:c>
      <x:c r="G1245" s="20" t="str"/>
      <x:c r="H1245" s="20" t="str"/>
      <x:c r="I1245" s="20" t="str">
        <x:v>First QA Mortgage</x:v>
      </x:c>
      <x:c r="J1245" s="35" t="str">
        <x:v>Recurring loan payment + scanned statement</x:v>
      </x:c>
      <x:c r="K1245" s="20" t="str">
        <x:v>SCN-0580</x:v>
      </x:c>
      <x:c r="L1245" s="20" t="str">
        <x:v>LN023-202705</x:v>
      </x:c>
      <x:c r="M1245" s="26" t="n">
        <x:v>1550</x:v>
      </x:c>
      <x:c r="N1245" s="26" t="n">
        <x:v>0</x:v>
      </x:c>
      <x:c r="O1245" s="26" t="n">
        <x:v>-1550</x:v>
      </x:c>
      <x:c r="P1245" s="26" t="n">
        <x:v>0</x:v>
      </x:c>
      <x:c r="Q1245" s="26" t="n">
        <x:v>0</x:v>
      </x:c>
      <x:c r="R1245" s="26" t="n">
        <x:v>0</x:v>
      </x:c>
      <x:c r="S1245" s="26" t="n">
        <x:v>-673</x:v>
      </x:c>
      <x:c r="T1245" s="26" t="n">
        <x:v>0</x:v>
      </x:c>
      <x:c r="U1245" s="26" t="n">
        <x:v>877</x:v>
      </x:c>
      <x:c r="V1245" s="26" t="n">
        <x:v>0</x:v>
      </x:c>
      <x:c r="W1245" s="26" t="n">
        <x:v>0</x:v>
      </x:c>
      <x:c r="X1245" s="26" t="n">
        <x:v>0</x:v>
      </x:c>
      <x:c r="Y1245" s="26" t="n">
        <x:v>0</x:v>
      </x:c>
      <x:c r="Z1245" s="35" t="str">
        <x:v>LN023 scheduled payment</x:v>
      </x:c>
    </x:row>
    <x:row r="1246">
      <x:c r="A1246" s="20" t="str">
        <x:v>FIN-01243</x:v>
      </x:c>
      <x:c r="B1246" s="23" t="n">
        <x:v>46527</x:v>
      </x:c>
      <x:c r="C1246" s="23" t="n">
        <x:v>46527</x:v>
      </x:c>
      <x:c r="D1246" s="20" t="str">
        <x:v>LoanPayment</x:v>
      </x:c>
      <x:c r="E1246" s="20" t="str">
        <x:v>Mortgage principal and interest</x:v>
      </x:c>
      <x:c r="F1246" s="20" t="str">
        <x:v>P025</x:v>
      </x:c>
      <x:c r="G1246" s="20" t="str"/>
      <x:c r="H1246" s="20" t="str"/>
      <x:c r="I1246" s="20" t="str">
        <x:v>First QA Mortgage</x:v>
      </x:c>
      <x:c r="J1246" s="35" t="str">
        <x:v>Recurring loan payment + scanned statement</x:v>
      </x:c>
      <x:c r="K1246" s="20" t="str">
        <x:v>SCN-0581</x:v>
      </x:c>
      <x:c r="L1246" s="20" t="str">
        <x:v>LN025-202705</x:v>
      </x:c>
      <x:c r="M1246" s="26" t="n">
        <x:v>1598</x:v>
      </x:c>
      <x:c r="N1246" s="26" t="n">
        <x:v>0</x:v>
      </x:c>
      <x:c r="O1246" s="26" t="n">
        <x:v>-1598</x:v>
      </x:c>
      <x:c r="P1246" s="26" t="n">
        <x:v>0</x:v>
      </x:c>
      <x:c r="Q1246" s="26" t="n">
        <x:v>0</x:v>
      </x:c>
      <x:c r="R1246" s="26" t="n">
        <x:v>0</x:v>
      </x:c>
      <x:c r="S1246" s="26" t="n">
        <x:v>-695</x:v>
      </x:c>
      <x:c r="T1246" s="26" t="n">
        <x:v>0</x:v>
      </x:c>
      <x:c r="U1246" s="26" t="n">
        <x:v>903</x:v>
      </x:c>
      <x:c r="V1246" s="26" t="n">
        <x:v>0</x:v>
      </x:c>
      <x:c r="W1246" s="26" t="n">
        <x:v>0</x:v>
      </x:c>
      <x:c r="X1246" s="26" t="n">
        <x:v>0</x:v>
      </x:c>
      <x:c r="Y1246" s="26" t="n">
        <x:v>0</x:v>
      </x:c>
      <x:c r="Z1246" s="35" t="str">
        <x:v>LN025 scheduled payment</x:v>
      </x:c>
    </x:row>
    <x:row r="1247">
      <x:c r="A1247" s="20" t="str">
        <x:v>FIN-01244</x:v>
      </x:c>
      <x:c r="B1247" s="23" t="n">
        <x:v>46527</x:v>
      </x:c>
      <x:c r="C1247" s="23" t="n">
        <x:v>46527</x:v>
      </x:c>
      <x:c r="D1247" s="20" t="str">
        <x:v>LoanPayment</x:v>
      </x:c>
      <x:c r="E1247" s="20" t="str">
        <x:v>Mortgage principal and interest</x:v>
      </x:c>
      <x:c r="F1247" s="20" t="str">
        <x:v>P026</x:v>
      </x:c>
      <x:c r="G1247" s="20" t="str"/>
      <x:c r="H1247" s="20" t="str"/>
      <x:c r="I1247" s="20" t="str">
        <x:v>First QA Mortgage</x:v>
      </x:c>
      <x:c r="J1247" s="35" t="str">
        <x:v>Recurring loan payment + scanned statement</x:v>
      </x:c>
      <x:c r="K1247" s="20" t="str">
        <x:v>SCN-0582</x:v>
      </x:c>
      <x:c r="L1247" s="20" t="str">
        <x:v>LN026-202705</x:v>
      </x:c>
      <x:c r="M1247" s="26" t="n">
        <x:v>1622</x:v>
      </x:c>
      <x:c r="N1247" s="26" t="n">
        <x:v>0</x:v>
      </x:c>
      <x:c r="O1247" s="26" t="n">
        <x:v>-1622</x:v>
      </x:c>
      <x:c r="P1247" s="26" t="n">
        <x:v>0</x:v>
      </x:c>
      <x:c r="Q1247" s="26" t="n">
        <x:v>0</x:v>
      </x:c>
      <x:c r="R1247" s="26" t="n">
        <x:v>0</x:v>
      </x:c>
      <x:c r="S1247" s="26" t="n">
        <x:v>-706</x:v>
      </x:c>
      <x:c r="T1247" s="26" t="n">
        <x:v>0</x:v>
      </x:c>
      <x:c r="U1247" s="26" t="n">
        <x:v>916</x:v>
      </x:c>
      <x:c r="V1247" s="26" t="n">
        <x:v>0</x:v>
      </x:c>
      <x:c r="W1247" s="26" t="n">
        <x:v>0</x:v>
      </x:c>
      <x:c r="X1247" s="26" t="n">
        <x:v>0</x:v>
      </x:c>
      <x:c r="Y1247" s="26" t="n">
        <x:v>0</x:v>
      </x:c>
      <x:c r="Z1247" s="35" t="str">
        <x:v>LN026 scheduled payment</x:v>
      </x:c>
    </x:row>
    <x:row r="1248">
      <x:c r="A1248" s="20" t="str">
        <x:v>FIN-01245</x:v>
      </x:c>
      <x:c r="B1248" s="23" t="n">
        <x:v>46527</x:v>
      </x:c>
      <x:c r="C1248" s="23" t="n">
        <x:v>46527</x:v>
      </x:c>
      <x:c r="D1248" s="20" t="str">
        <x:v>LoanPayment</x:v>
      </x:c>
      <x:c r="E1248" s="20" t="str">
        <x:v>Mortgage principal and interest</x:v>
      </x:c>
      <x:c r="F1248" s="20" t="str">
        <x:v>P028</x:v>
      </x:c>
      <x:c r="G1248" s="20" t="str"/>
      <x:c r="H1248" s="20" t="str"/>
      <x:c r="I1248" s="20" t="str">
        <x:v>First QA Mortgage</x:v>
      </x:c>
      <x:c r="J1248" s="35" t="str">
        <x:v>Recurring loan payment + scanned statement</x:v>
      </x:c>
      <x:c r="K1248" s="20" t="str">
        <x:v>SCN-0583</x:v>
      </x:c>
      <x:c r="L1248" s="20" t="str">
        <x:v>LN028-202705</x:v>
      </x:c>
      <x:c r="M1248" s="26" t="n">
        <x:v>1670</x:v>
      </x:c>
      <x:c r="N1248" s="26" t="n">
        <x:v>0</x:v>
      </x:c>
      <x:c r="O1248" s="26" t="n">
        <x:v>-1670</x:v>
      </x:c>
      <x:c r="P1248" s="26" t="n">
        <x:v>0</x:v>
      </x:c>
      <x:c r="Q1248" s="26" t="n">
        <x:v>0</x:v>
      </x:c>
      <x:c r="R1248" s="26" t="n">
        <x:v>0</x:v>
      </x:c>
      <x:c r="S1248" s="26" t="n">
        <x:v>-728</x:v>
      </x:c>
      <x:c r="T1248" s="26" t="n">
        <x:v>0</x:v>
      </x:c>
      <x:c r="U1248" s="26" t="n">
        <x:v>942</x:v>
      </x:c>
      <x:c r="V1248" s="26" t="n">
        <x:v>0</x:v>
      </x:c>
      <x:c r="W1248" s="26" t="n">
        <x:v>0</x:v>
      </x:c>
      <x:c r="X1248" s="26" t="n">
        <x:v>0</x:v>
      </x:c>
      <x:c r="Y1248" s="26" t="n">
        <x:v>0</x:v>
      </x:c>
      <x:c r="Z1248" s="35" t="str">
        <x:v>LN028 scheduled payment</x:v>
      </x:c>
    </x:row>
    <x:row r="1249">
      <x:c r="A1249" s="20" t="str">
        <x:v>FIN-01246</x:v>
      </x:c>
      <x:c r="B1249" s="23" t="n">
        <x:v>46527</x:v>
      </x:c>
      <x:c r="C1249" s="23" t="n">
        <x:v>46527</x:v>
      </x:c>
      <x:c r="D1249" s="20" t="str">
        <x:v>LoanPayment</x:v>
      </x:c>
      <x:c r="E1249" s="20" t="str">
        <x:v>Mortgage principal and interest</x:v>
      </x:c>
      <x:c r="F1249" s="20" t="str">
        <x:v>P029</x:v>
      </x:c>
      <x:c r="G1249" s="20" t="str"/>
      <x:c r="H1249" s="20" t="str"/>
      <x:c r="I1249" s="20" t="str">
        <x:v>First QA Mortgage</x:v>
      </x:c>
      <x:c r="J1249" s="35" t="str">
        <x:v>Recurring loan payment + scanned statement</x:v>
      </x:c>
      <x:c r="K1249" s="20" t="str">
        <x:v>SCN-0584</x:v>
      </x:c>
      <x:c r="L1249" s="20" t="str">
        <x:v>LN029-202705</x:v>
      </x:c>
      <x:c r="M1249" s="26" t="n">
        <x:v>1694</x:v>
      </x:c>
      <x:c r="N1249" s="26" t="n">
        <x:v>0</x:v>
      </x:c>
      <x:c r="O1249" s="26" t="n">
        <x:v>-1694</x:v>
      </x:c>
      <x:c r="P1249" s="26" t="n">
        <x:v>0</x:v>
      </x:c>
      <x:c r="Q1249" s="26" t="n">
        <x:v>0</x:v>
      </x:c>
      <x:c r="R1249" s="26" t="n">
        <x:v>0</x:v>
      </x:c>
      <x:c r="S1249" s="26" t="n">
        <x:v>-739</x:v>
      </x:c>
      <x:c r="T1249" s="26" t="n">
        <x:v>0</x:v>
      </x:c>
      <x:c r="U1249" s="26" t="n">
        <x:v>955</x:v>
      </x:c>
      <x:c r="V1249" s="26" t="n">
        <x:v>0</x:v>
      </x:c>
      <x:c r="W1249" s="26" t="n">
        <x:v>0</x:v>
      </x:c>
      <x:c r="X1249" s="26" t="n">
        <x:v>0</x:v>
      </x:c>
      <x:c r="Y1249" s="26" t="n">
        <x:v>0</x:v>
      </x:c>
      <x:c r="Z1249" s="35" t="str">
        <x:v>LN029 scheduled payment</x:v>
      </x:c>
    </x:row>
    <x:row r="1250">
      <x:c r="A1250" s="20" t="str">
        <x:v>FIN-01247</x:v>
      </x:c>
      <x:c r="B1250" s="23" t="n">
        <x:v>46532</x:v>
      </x:c>
      <x:c r="C1250" s="23" t="n">
        <x:v>46532</x:v>
      </x:c>
      <x:c r="D1250" s="20" t="str">
        <x:v>OwnerDistribution</x:v>
      </x:c>
      <x:c r="E1250" s="20" t="str">
        <x:v>Owner distribution</x:v>
      </x:c>
      <x:c r="F1250" s="20" t="str"/>
      <x:c r="G1250" s="20" t="str"/>
      <x:c r="H1250" s="20" t="str"/>
      <x:c r="I1250" s="20" t="str">
        <x:v>Blue Door Residential LLC</x:v>
      </x:c>
      <x:c r="J1250" s="35" t="str">
        <x:v>Manual approval and bank export</x:v>
      </x:c>
      <x:c r="K1250" s="20" t="str"/>
      <x:c r="L1250" s="20" t="str">
        <x:v>DIST-202705-O01</x:v>
      </x:c>
      <x:c r="M1250" s="26" t="n">
        <x:v>3250</x:v>
      </x:c>
      <x:c r="N1250" s="26" t="n">
        <x:v>0</x:v>
      </x:c>
      <x:c r="O1250" s="26" t="n">
        <x:v>-3250</x:v>
      </x:c>
      <x:c r="P1250" s="26" t="n">
        <x:v>0</x:v>
      </x:c>
      <x:c r="Q1250" s="26" t="n">
        <x:v>0</x:v>
      </x:c>
      <x:c r="R1250" s="26" t="n">
        <x:v>0</x:v>
      </x:c>
      <x:c r="S1250" s="26" t="n">
        <x:v>0</x:v>
      </x:c>
      <x:c r="T1250" s="26" t="n">
        <x:v>0</x:v>
      </x:c>
      <x:c r="U1250" s="26" t="n">
        <x:v>0</x:v>
      </x:c>
      <x:c r="V1250" s="26" t="n">
        <x:v>0</x:v>
      </x:c>
      <x:c r="W1250" s="26" t="n">
        <x:v>3250</x:v>
      </x:c>
      <x:c r="X1250" s="26" t="n">
        <x:v>0</x:v>
      </x:c>
      <x:c r="Y1250" s="26" t="n">
        <x:v>0</x:v>
      </x:c>
      <x:c r="Z1250" s="35" t="str">
        <x:v>Monthly distribution to Blue Door Residential LLC</x:v>
      </x:c>
    </x:row>
    <x:row r="1251">
      <x:c r="A1251" s="20" t="str">
        <x:v>FIN-01248</x:v>
      </x:c>
      <x:c r="B1251" s="23" t="n">
        <x:v>46532</x:v>
      </x:c>
      <x:c r="C1251" s="23" t="n">
        <x:v>46532</x:v>
      </x:c>
      <x:c r="D1251" s="20" t="str">
        <x:v>OwnerDistribution</x:v>
      </x:c>
      <x:c r="E1251" s="20" t="str">
        <x:v>Owner distribution</x:v>
      </x:c>
      <x:c r="F1251" s="20" t="str"/>
      <x:c r="G1251" s="20" t="str"/>
      <x:c r="H1251" s="20" t="str"/>
      <x:c r="I1251" s="20" t="str">
        <x:v>Coble Family Rentals LLC</x:v>
      </x:c>
      <x:c r="J1251" s="35" t="str">
        <x:v>Manual approval and bank export</x:v>
      </x:c>
      <x:c r="K1251" s="20" t="str"/>
      <x:c r="L1251" s="20" t="str">
        <x:v>DIST-202705-O02</x:v>
      </x:c>
      <x:c r="M1251" s="26" t="n">
        <x:v>3600</x:v>
      </x:c>
      <x:c r="N1251" s="26" t="n">
        <x:v>0</x:v>
      </x:c>
      <x:c r="O1251" s="26" t="n">
        <x:v>-3600</x:v>
      </x:c>
      <x:c r="P1251" s="26" t="n">
        <x:v>0</x:v>
      </x:c>
      <x:c r="Q1251" s="26" t="n">
        <x:v>0</x:v>
      </x:c>
      <x:c r="R1251" s="26" t="n">
        <x:v>0</x:v>
      </x:c>
      <x:c r="S1251" s="26" t="n">
        <x:v>0</x:v>
      </x:c>
      <x:c r="T1251" s="26" t="n">
        <x:v>0</x:v>
      </x:c>
      <x:c r="U1251" s="26" t="n">
        <x:v>0</x:v>
      </x:c>
      <x:c r="V1251" s="26" t="n">
        <x:v>0</x:v>
      </x:c>
      <x:c r="W1251" s="26" t="n">
        <x:v>3600</x:v>
      </x:c>
      <x:c r="X1251" s="26" t="n">
        <x:v>0</x:v>
      </x:c>
      <x:c r="Y1251" s="26" t="n">
        <x:v>0</x:v>
      </x:c>
      <x:c r="Z1251" s="35" t="str">
        <x:v>Monthly distribution to Coble Family Rentals LLC</x:v>
      </x:c>
    </x:row>
    <x:row r="1252">
      <x:c r="A1252" s="20" t="str">
        <x:v>FIN-01249</x:v>
      </x:c>
      <x:c r="B1252" s="23" t="n">
        <x:v>46532</x:v>
      </x:c>
      <x:c r="C1252" s="23" t="n">
        <x:v>46532</x:v>
      </x:c>
      <x:c r="D1252" s="20" t="str">
        <x:v>OwnerDistribution</x:v>
      </x:c>
      <x:c r="E1252" s="20" t="str">
        <x:v>Owner distribution</x:v>
      </x:c>
      <x:c r="F1252" s="20" t="str"/>
      <x:c r="G1252" s="20" t="str"/>
      <x:c r="H1252" s="20" t="str"/>
      <x:c r="I1252" s="20" t="str">
        <x:v>Northstar Property Partners LLC</x:v>
      </x:c>
      <x:c r="J1252" s="35" t="str">
        <x:v>Manual approval and bank export</x:v>
      </x:c>
      <x:c r="K1252" s="20" t="str"/>
      <x:c r="L1252" s="20" t="str">
        <x:v>DIST-202705-O03</x:v>
      </x:c>
      <x:c r="M1252" s="26" t="n">
        <x:v>3950</x:v>
      </x:c>
      <x:c r="N1252" s="26" t="n">
        <x:v>0</x:v>
      </x:c>
      <x:c r="O1252" s="26" t="n">
        <x:v>-3950</x:v>
      </x:c>
      <x:c r="P1252" s="26" t="n">
        <x:v>0</x:v>
      </x:c>
      <x:c r="Q1252" s="26" t="n">
        <x:v>0</x:v>
      </x:c>
      <x:c r="R1252" s="26" t="n">
        <x:v>0</x:v>
      </x:c>
      <x:c r="S1252" s="26" t="n">
        <x:v>0</x:v>
      </x:c>
      <x:c r="T1252" s="26" t="n">
        <x:v>0</x:v>
      </x:c>
      <x:c r="U1252" s="26" t="n">
        <x:v>0</x:v>
      </x:c>
      <x:c r="V1252" s="26" t="n">
        <x:v>0</x:v>
      </x:c>
      <x:c r="W1252" s="26" t="n">
        <x:v>3950</x:v>
      </x:c>
      <x:c r="X1252" s="26" t="n">
        <x:v>0</x:v>
      </x:c>
      <x:c r="Y1252" s="26" t="n">
        <x:v>0</x:v>
      </x:c>
      <x:c r="Z1252" s="35" t="str">
        <x:v>Monthly distribution to Northstar Property Partners LLC</x:v>
      </x:c>
    </x:row>
    <x:row r="1253">
      <x:c r="A1253" s="20" t="str">
        <x:v>FIN-01250</x:v>
      </x:c>
      <x:c r="B1253" s="23" t="n">
        <x:v>46532</x:v>
      </x:c>
      <x:c r="C1253" s="23" t="n">
        <x:v>46532</x:v>
      </x:c>
      <x:c r="D1253" s="20" t="str">
        <x:v>OwnerDistribution</x:v>
      </x:c>
      <x:c r="E1253" s="20" t="str">
        <x:v>Owner distribution</x:v>
      </x:c>
      <x:c r="F1253" s="20" t="str"/>
      <x:c r="G1253" s="20" t="str"/>
      <x:c r="H1253" s="20" t="str"/>
      <x:c r="I1253" s="20" t="str">
        <x:v>Riverbend Homes LLC</x:v>
      </x:c>
      <x:c r="J1253" s="35" t="str">
        <x:v>Manual approval and bank export</x:v>
      </x:c>
      <x:c r="K1253" s="20" t="str"/>
      <x:c r="L1253" s="20" t="str">
        <x:v>DIST-202705-O04</x:v>
      </x:c>
      <x:c r="M1253" s="26" t="n">
        <x:v>4300</x:v>
      </x:c>
      <x:c r="N1253" s="26" t="n">
        <x:v>0</x:v>
      </x:c>
      <x:c r="O1253" s="26" t="n">
        <x:v>-4300</x:v>
      </x:c>
      <x:c r="P1253" s="26" t="n">
        <x:v>0</x:v>
      </x:c>
      <x:c r="Q1253" s="26" t="n">
        <x:v>0</x:v>
      </x:c>
      <x:c r="R1253" s="26" t="n">
        <x:v>0</x:v>
      </x:c>
      <x:c r="S1253" s="26" t="n">
        <x:v>0</x:v>
      </x:c>
      <x:c r="T1253" s="26" t="n">
        <x:v>0</x:v>
      </x:c>
      <x:c r="U1253" s="26" t="n">
        <x:v>0</x:v>
      </x:c>
      <x:c r="V1253" s="26" t="n">
        <x:v>0</x:v>
      </x:c>
      <x:c r="W1253" s="26" t="n">
        <x:v>4300</x:v>
      </x:c>
      <x:c r="X1253" s="26" t="n">
        <x:v>0</x:v>
      </x:c>
      <x:c r="Y1253" s="26" t="n">
        <x:v>0</x:v>
      </x:c>
      <x:c r="Z1253" s="35" t="str">
        <x:v>Monthly distribution to Riverbend Homes LLC</x:v>
      </x:c>
    </x:row>
    <x:row r="1254">
      <x:c r="A1254" s="20" t="str">
        <x:v>FIN-01251</x:v>
      </x:c>
      <x:c r="B1254" s="23" t="n">
        <x:v>46532</x:v>
      </x:c>
      <x:c r="C1254" s="23" t="n">
        <x:v>46532</x:v>
      </x:c>
      <x:c r="D1254" s="20" t="str">
        <x:v>OwnerDistribution</x:v>
      </x:c>
      <x:c r="E1254" s="20" t="str">
        <x:v>Owner distribution</x:v>
      </x:c>
      <x:c r="F1254" s="20" t="str"/>
      <x:c r="G1254" s="20" t="str"/>
      <x:c r="H1254" s="20" t="str"/>
      <x:c r="I1254" s="20" t="str">
        <x:v>Juniper Street Holdings LLC</x:v>
      </x:c>
      <x:c r="J1254" s="35" t="str">
        <x:v>Manual approval and bank export</x:v>
      </x:c>
      <x:c r="K1254" s="20" t="str"/>
      <x:c r="L1254" s="20" t="str">
        <x:v>DIST-202705-O05</x:v>
      </x:c>
      <x:c r="M1254" s="26" t="n">
        <x:v>4650</x:v>
      </x:c>
      <x:c r="N1254" s="26" t="n">
        <x:v>0</x:v>
      </x:c>
      <x:c r="O1254" s="26" t="n">
        <x:v>-4650</x:v>
      </x:c>
      <x:c r="P1254" s="26" t="n">
        <x:v>0</x:v>
      </x:c>
      <x:c r="Q1254" s="26" t="n">
        <x:v>0</x:v>
      </x:c>
      <x:c r="R1254" s="26" t="n">
        <x:v>0</x:v>
      </x:c>
      <x:c r="S1254" s="26" t="n">
        <x:v>0</x:v>
      </x:c>
      <x:c r="T1254" s="26" t="n">
        <x:v>0</x:v>
      </x:c>
      <x:c r="U1254" s="26" t="n">
        <x:v>0</x:v>
      </x:c>
      <x:c r="V1254" s="26" t="n">
        <x:v>0</x:v>
      </x:c>
      <x:c r="W1254" s="26" t="n">
        <x:v>4650</x:v>
      </x:c>
      <x:c r="X1254" s="26" t="n">
        <x:v>0</x:v>
      </x:c>
      <x:c r="Y1254" s="26" t="n">
        <x:v>0</x:v>
      </x:c>
      <x:c r="Z1254" s="35" t="str">
        <x:v>Monthly distribution to Juniper Street Holdings LLC</x:v>
      </x:c>
    </x:row>
    <x:row r="1255">
      <x:c r="A1255" s="20" t="str">
        <x:v>FIN-01252</x:v>
      </x:c>
      <x:c r="B1255" s="23" t="n">
        <x:v>46553</x:v>
      </x:c>
      <x:c r="C1255" s="23" t="n">
        <x:v>46553</x:v>
      </x:c>
      <x:c r="D1255" s="20" t="str">
        <x:v>OperatingExpense</x:v>
      </x:c>
      <x:c r="E1255" s="20" t="str">
        <x:v>Utilities</x:v>
      </x:c>
      <x:c r="F1255" s="20" t="str">
        <x:v>P021</x:v>
      </x:c>
      <x:c r="G1255" s="20" t="str"/>
      <x:c r="H1255" s="20" t="str"/>
      <x:c r="I1255" s="20" t="str">
        <x:v>City Water &amp; Sewer</x:v>
      </x:c>
      <x:c r="J1255" s="35" t="str">
        <x:v>Scanned receipt/invoice</x:v>
      </x:c>
      <x:c r="K1255" s="20" t="str">
        <x:v>SCN-0586</x:v>
      </x:c>
      <x:c r="L1255" s="20" t="str">
        <x:v>EXP-20270615-1121</x:v>
      </x:c>
      <x:c r="M1255" s="26" t="n">
        <x:v>191</x:v>
      </x:c>
      <x:c r="N1255" s="26" t="n">
        <x:v>0</x:v>
      </x:c>
      <x:c r="O1255" s="26" t="n">
        <x:v>-191</x:v>
      </x:c>
      <x:c r="P1255" s="26" t="n">
        <x:v>0</x:v>
      </x:c>
      <x:c r="Q1255" s="26" t="n">
        <x:v>0</x:v>
      </x:c>
      <x:c r="R1255" s="26" t="n">
        <x:v>0</x:v>
      </x:c>
      <x:c r="S1255" s="26" t="n">
        <x:v>0</x:v>
      </x:c>
      <x:c r="T1255" s="26" t="n">
        <x:v>0</x:v>
      </x:c>
      <x:c r="U1255" s="26" t="n">
        <x:v>191</x:v>
      </x:c>
      <x:c r="V1255" s="26" t="n">
        <x:v>0</x:v>
      </x:c>
      <x:c r="W1255" s="26" t="n">
        <x:v>0</x:v>
      </x:c>
      <x:c r="X1255" s="26" t="n">
        <x:v>0</x:v>
      </x:c>
      <x:c r="Y1255" s="26" t="n">
        <x:v>0</x:v>
      </x:c>
      <x:c r="Z1255" s="35" t="str">
        <x:v>City Water &amp; Sewer</x:v>
      </x:c>
    </x:row>
    <x:row r="1256">
      <x:c r="A1256" s="20" t="str">
        <x:v>FIN-01253</x:v>
      </x:c>
      <x:c r="B1256" s="23" t="n">
        <x:v>46553</x:v>
      </x:c>
      <x:c r="C1256" s="23" t="n">
        <x:v>46553</x:v>
      </x:c>
      <x:c r="D1256" s="20" t="str">
        <x:v>OperatingExpense</x:v>
      </x:c>
      <x:c r="E1256" s="20" t="str">
        <x:v>Utilities</x:v>
      </x:c>
      <x:c r="F1256" s="20" t="str">
        <x:v>P022</x:v>
      </x:c>
      <x:c r="G1256" s="20" t="str"/>
      <x:c r="H1256" s="20" t="str"/>
      <x:c r="I1256" s="20" t="str">
        <x:v>City Water &amp; Sewer</x:v>
      </x:c>
      <x:c r="J1256" s="35" t="str">
        <x:v>Scanned receipt/invoice</x:v>
      </x:c>
      <x:c r="K1256" s="20" t="str">
        <x:v>SCN-0587</x:v>
      </x:c>
      <x:c r="L1256" s="20" t="str">
        <x:v>EXP-20270615-1122</x:v>
      </x:c>
      <x:c r="M1256" s="26" t="n">
        <x:v>198</x:v>
      </x:c>
      <x:c r="N1256" s="26" t="n">
        <x:v>0</x:v>
      </x:c>
      <x:c r="O1256" s="26" t="n">
        <x:v>-198</x:v>
      </x:c>
      <x:c r="P1256" s="26" t="n">
        <x:v>0</x:v>
      </x:c>
      <x:c r="Q1256" s="26" t="n">
        <x:v>0</x:v>
      </x:c>
      <x:c r="R1256" s="26" t="n">
        <x:v>0</x:v>
      </x:c>
      <x:c r="S1256" s="26" t="n">
        <x:v>0</x:v>
      </x:c>
      <x:c r="T1256" s="26" t="n">
        <x:v>0</x:v>
      </x:c>
      <x:c r="U1256" s="26" t="n">
        <x:v>198</x:v>
      </x:c>
      <x:c r="V1256" s="26" t="n">
        <x:v>0</x:v>
      </x:c>
      <x:c r="W1256" s="26" t="n">
        <x:v>0</x:v>
      </x:c>
      <x:c r="X1256" s="26" t="n">
        <x:v>0</x:v>
      </x:c>
      <x:c r="Y1256" s="26" t="n">
        <x:v>0</x:v>
      </x:c>
      <x:c r="Z1256" s="35" t="str">
        <x:v>City Water &amp; Sewer</x:v>
      </x:c>
    </x:row>
    <x:row r="1257">
      <x:c r="A1257" s="20" t="str">
        <x:v>FIN-01254</x:v>
      </x:c>
      <x:c r="B1257" s="23" t="n">
        <x:v>46553</x:v>
      </x:c>
      <x:c r="C1257" s="23" t="n">
        <x:v>46553</x:v>
      </x:c>
      <x:c r="D1257" s="20" t="str">
        <x:v>OperatingExpense</x:v>
      </x:c>
      <x:c r="E1257" s="20" t="str">
        <x:v>Utilities</x:v>
      </x:c>
      <x:c r="F1257" s="20" t="str">
        <x:v>P023</x:v>
      </x:c>
      <x:c r="G1257" s="20" t="str"/>
      <x:c r="H1257" s="20" t="str"/>
      <x:c r="I1257" s="20" t="str">
        <x:v>City Water &amp; Sewer</x:v>
      </x:c>
      <x:c r="J1257" s="35" t="str">
        <x:v>Scanned receipt/invoice</x:v>
      </x:c>
      <x:c r="K1257" s="20" t="str">
        <x:v>SCN-0588</x:v>
      </x:c>
      <x:c r="L1257" s="20" t="str">
        <x:v>EXP-20270615-1123</x:v>
      </x:c>
      <x:c r="M1257" s="26" t="n">
        <x:v>205</x:v>
      </x:c>
      <x:c r="N1257" s="26" t="n">
        <x:v>0</x:v>
      </x:c>
      <x:c r="O1257" s="26" t="n">
        <x:v>-205</x:v>
      </x:c>
      <x:c r="P1257" s="26" t="n">
        <x:v>0</x:v>
      </x:c>
      <x:c r="Q1257" s="26" t="n">
        <x:v>0</x:v>
      </x:c>
      <x:c r="R1257" s="26" t="n">
        <x:v>0</x:v>
      </x:c>
      <x:c r="S1257" s="26" t="n">
        <x:v>0</x:v>
      </x:c>
      <x:c r="T1257" s="26" t="n">
        <x:v>0</x:v>
      </x:c>
      <x:c r="U1257" s="26" t="n">
        <x:v>205</x:v>
      </x:c>
      <x:c r="V1257" s="26" t="n">
        <x:v>0</x:v>
      </x:c>
      <x:c r="W1257" s="26" t="n">
        <x:v>0</x:v>
      </x:c>
      <x:c r="X1257" s="26" t="n">
        <x:v>0</x:v>
      </x:c>
      <x:c r="Y1257" s="26" t="n">
        <x:v>0</x:v>
      </x:c>
      <x:c r="Z1257" s="35" t="str">
        <x:v>City Water &amp; Sewer</x:v>
      </x:c>
    </x:row>
    <x:row r="1258">
      <x:c r="A1258" s="20" t="str">
        <x:v>FIN-01255</x:v>
      </x:c>
      <x:c r="B1258" s="23" t="n">
        <x:v>46553</x:v>
      </x:c>
      <x:c r="C1258" s="23" t="n">
        <x:v>46553</x:v>
      </x:c>
      <x:c r="D1258" s="20" t="str">
        <x:v>OperatingExpense</x:v>
      </x:c>
      <x:c r="E1258" s="20" t="str">
        <x:v>Utilities</x:v>
      </x:c>
      <x:c r="F1258" s="20" t="str">
        <x:v>P024</x:v>
      </x:c>
      <x:c r="G1258" s="20" t="str"/>
      <x:c r="H1258" s="20" t="str"/>
      <x:c r="I1258" s="20" t="str">
        <x:v>City Water &amp; Sewer</x:v>
      </x:c>
      <x:c r="J1258" s="35" t="str">
        <x:v>Scanned receipt/invoice</x:v>
      </x:c>
      <x:c r="K1258" s="20" t="str">
        <x:v>SCN-0589</x:v>
      </x:c>
      <x:c r="L1258" s="20" t="str">
        <x:v>EXP-20270615-1124</x:v>
      </x:c>
      <x:c r="M1258" s="26" t="n">
        <x:v>122</x:v>
      </x:c>
      <x:c r="N1258" s="26" t="n">
        <x:v>0</x:v>
      </x:c>
      <x:c r="O1258" s="26" t="n">
        <x:v>-122</x:v>
      </x:c>
      <x:c r="P1258" s="26" t="n">
        <x:v>0</x:v>
      </x:c>
      <x:c r="Q1258" s="26" t="n">
        <x:v>0</x:v>
      </x:c>
      <x:c r="R1258" s="26" t="n">
        <x:v>0</x:v>
      </x:c>
      <x:c r="S1258" s="26" t="n">
        <x:v>0</x:v>
      </x:c>
      <x:c r="T1258" s="26" t="n">
        <x:v>0</x:v>
      </x:c>
      <x:c r="U1258" s="26" t="n">
        <x:v>122</x:v>
      </x:c>
      <x:c r="V1258" s="26" t="n">
        <x:v>0</x:v>
      </x:c>
      <x:c r="W1258" s="26" t="n">
        <x:v>0</x:v>
      </x:c>
      <x:c r="X1258" s="26" t="n">
        <x:v>0</x:v>
      </x:c>
      <x:c r="Y1258" s="26" t="n">
        <x:v>0</x:v>
      </x:c>
      <x:c r="Z1258" s="35" t="str">
        <x:v>City Water &amp; Sewer</x:v>
      </x:c>
    </x:row>
    <x:row r="1259">
      <x:c r="A1259" s="20" t="str">
        <x:v>FIN-01256</x:v>
      </x:c>
      <x:c r="B1259" s="23" t="n">
        <x:v>46553</x:v>
      </x:c>
      <x:c r="C1259" s="23" t="n">
        <x:v>46553</x:v>
      </x:c>
      <x:c r="D1259" s="20" t="str">
        <x:v>OperatingExpense</x:v>
      </x:c>
      <x:c r="E1259" s="20" t="str">
        <x:v>Utilities</x:v>
      </x:c>
      <x:c r="F1259" s="20" t="str">
        <x:v>P025</x:v>
      </x:c>
      <x:c r="G1259" s="20" t="str"/>
      <x:c r="H1259" s="20" t="str"/>
      <x:c r="I1259" s="20" t="str">
        <x:v>City Water &amp; Sewer</x:v>
      </x:c>
      <x:c r="J1259" s="35" t="str">
        <x:v>Manual web form</x:v>
      </x:c>
      <x:c r="K1259" s="20" t="str"/>
      <x:c r="L1259" s="20" t="str">
        <x:v>EXP-20270615-1125</x:v>
      </x:c>
      <x:c r="M1259" s="26" t="n">
        <x:v>129</x:v>
      </x:c>
      <x:c r="N1259" s="26" t="n">
        <x:v>0</x:v>
      </x:c>
      <x:c r="O1259" s="26" t="n">
        <x:v>-129</x:v>
      </x:c>
      <x:c r="P1259" s="26" t="n">
        <x:v>0</x:v>
      </x:c>
      <x:c r="Q1259" s="26" t="n">
        <x:v>0</x:v>
      </x:c>
      <x:c r="R1259" s="26" t="n">
        <x:v>0</x:v>
      </x:c>
      <x:c r="S1259" s="26" t="n">
        <x:v>0</x:v>
      </x:c>
      <x:c r="T1259" s="26" t="n">
        <x:v>0</x:v>
      </x:c>
      <x:c r="U1259" s="26" t="n">
        <x:v>129</x:v>
      </x:c>
      <x:c r="V1259" s="26" t="n">
        <x:v>0</x:v>
      </x:c>
      <x:c r="W1259" s="26" t="n">
        <x:v>0</x:v>
      </x:c>
      <x:c r="X1259" s="26" t="n">
        <x:v>0</x:v>
      </x:c>
      <x:c r="Y1259" s="26" t="n">
        <x:v>0</x:v>
      </x:c>
      <x:c r="Z1259" s="35" t="str">
        <x:v>City Water &amp; Sewer</x:v>
      </x:c>
    </x:row>
    <x:row r="1260">
      <x:c r="A1260" s="20" t="str">
        <x:v>FIN-01257</x:v>
      </x:c>
      <x:c r="B1260" s="23" t="n">
        <x:v>46553</x:v>
      </x:c>
      <x:c r="C1260" s="23" t="n">
        <x:v>46553</x:v>
      </x:c>
      <x:c r="D1260" s="20" t="str">
        <x:v>OperatingExpense</x:v>
      </x:c>
      <x:c r="E1260" s="20" t="str">
        <x:v>Utilities</x:v>
      </x:c>
      <x:c r="F1260" s="20" t="str">
        <x:v>P026</x:v>
      </x:c>
      <x:c r="G1260" s="20" t="str"/>
      <x:c r="H1260" s="20" t="str"/>
      <x:c r="I1260" s="20" t="str">
        <x:v>City Water &amp; Sewer</x:v>
      </x:c>
      <x:c r="J1260" s="35" t="str">
        <x:v>Scanned receipt/invoice</x:v>
      </x:c>
      <x:c r="K1260" s="20" t="str">
        <x:v>SCN-0590</x:v>
      </x:c>
      <x:c r="L1260" s="20" t="str">
        <x:v>EXP-20270615-1126</x:v>
      </x:c>
      <x:c r="M1260" s="26" t="n">
        <x:v>136</x:v>
      </x:c>
      <x:c r="N1260" s="26" t="n">
        <x:v>0</x:v>
      </x:c>
      <x:c r="O1260" s="26" t="n">
        <x:v>-136</x:v>
      </x:c>
      <x:c r="P1260" s="26" t="n">
        <x:v>0</x:v>
      </x:c>
      <x:c r="Q1260" s="26" t="n">
        <x:v>0</x:v>
      </x:c>
      <x:c r="R1260" s="26" t="n">
        <x:v>0</x:v>
      </x:c>
      <x:c r="S1260" s="26" t="n">
        <x:v>0</x:v>
      </x:c>
      <x:c r="T1260" s="26" t="n">
        <x:v>0</x:v>
      </x:c>
      <x:c r="U1260" s="26" t="n">
        <x:v>136</x:v>
      </x:c>
      <x:c r="V1260" s="26" t="n">
        <x:v>0</x:v>
      </x:c>
      <x:c r="W1260" s="26" t="n">
        <x:v>0</x:v>
      </x:c>
      <x:c r="X1260" s="26" t="n">
        <x:v>0</x:v>
      </x:c>
      <x:c r="Y1260" s="26" t="n">
        <x:v>0</x:v>
      </x:c>
      <x:c r="Z1260" s="35" t="str">
        <x:v>City Water &amp; Sewer</x:v>
      </x:c>
    </x:row>
    <x:row r="1261">
      <x:c r="A1261" s="20" t="str">
        <x:v>FIN-01258</x:v>
      </x:c>
      <x:c r="B1261" s="23" t="n">
        <x:v>46553</x:v>
      </x:c>
      <x:c r="C1261" s="23" t="n">
        <x:v>46553</x:v>
      </x:c>
      <x:c r="D1261" s="20" t="str">
        <x:v>OperatingExpense</x:v>
      </x:c>
      <x:c r="E1261" s="20" t="str">
        <x:v>Utilities</x:v>
      </x:c>
      <x:c r="F1261" s="20" t="str">
        <x:v>P027</x:v>
      </x:c>
      <x:c r="G1261" s="20" t="str"/>
      <x:c r="H1261" s="20" t="str"/>
      <x:c r="I1261" s="20" t="str">
        <x:v>City Water &amp; Sewer</x:v>
      </x:c>
      <x:c r="J1261" s="35" t="str">
        <x:v>Scanned receipt/invoice</x:v>
      </x:c>
      <x:c r="K1261" s="20" t="str">
        <x:v>SCN-0591</x:v>
      </x:c>
      <x:c r="L1261" s="20" t="str">
        <x:v>EXP-20270615-1127</x:v>
      </x:c>
      <x:c r="M1261" s="26" t="n">
        <x:v>143</x:v>
      </x:c>
      <x:c r="N1261" s="26" t="n">
        <x:v>0</x:v>
      </x:c>
      <x:c r="O1261" s="26" t="n">
        <x:v>-143</x:v>
      </x:c>
      <x:c r="P1261" s="26" t="n">
        <x:v>0</x:v>
      </x:c>
      <x:c r="Q1261" s="26" t="n">
        <x:v>0</x:v>
      </x:c>
      <x:c r="R1261" s="26" t="n">
        <x:v>0</x:v>
      </x:c>
      <x:c r="S1261" s="26" t="n">
        <x:v>0</x:v>
      </x:c>
      <x:c r="T1261" s="26" t="n">
        <x:v>0</x:v>
      </x:c>
      <x:c r="U1261" s="26" t="n">
        <x:v>143</x:v>
      </x:c>
      <x:c r="V1261" s="26" t="n">
        <x:v>0</x:v>
      </x:c>
      <x:c r="W1261" s="26" t="n">
        <x:v>0</x:v>
      </x:c>
      <x:c r="X1261" s="26" t="n">
        <x:v>0</x:v>
      </x:c>
      <x:c r="Y1261" s="26" t="n">
        <x:v>0</x:v>
      </x:c>
      <x:c r="Z1261" s="35" t="str">
        <x:v>City Water &amp; Sewer</x:v>
      </x:c>
    </x:row>
    <x:row r="1262">
      <x:c r="A1262" s="20" t="str">
        <x:v>FIN-01259</x:v>
      </x:c>
      <x:c r="B1262" s="23" t="n">
        <x:v>46553</x:v>
      </x:c>
      <x:c r="C1262" s="23" t="n">
        <x:v>46553</x:v>
      </x:c>
      <x:c r="D1262" s="20" t="str">
        <x:v>OperatingExpense</x:v>
      </x:c>
      <x:c r="E1262" s="20" t="str">
        <x:v>Utilities</x:v>
      </x:c>
      <x:c r="F1262" s="20" t="str">
        <x:v>P028</x:v>
      </x:c>
      <x:c r="G1262" s="20" t="str"/>
      <x:c r="H1262" s="20" t="str"/>
      <x:c r="I1262" s="20" t="str">
        <x:v>City Water &amp; Sewer</x:v>
      </x:c>
      <x:c r="J1262" s="35" t="str">
        <x:v>Scanned receipt/invoice</x:v>
      </x:c>
      <x:c r="K1262" s="20" t="str">
        <x:v>SCN-0592</x:v>
      </x:c>
      <x:c r="L1262" s="20" t="str">
        <x:v>EXP-20270615-1128</x:v>
      </x:c>
      <x:c r="M1262" s="26" t="n">
        <x:v>150</x:v>
      </x:c>
      <x:c r="N1262" s="26" t="n">
        <x:v>0</x:v>
      </x:c>
      <x:c r="O1262" s="26" t="n">
        <x:v>-150</x:v>
      </x:c>
      <x:c r="P1262" s="26" t="n">
        <x:v>0</x:v>
      </x:c>
      <x:c r="Q1262" s="26" t="n">
        <x:v>0</x:v>
      </x:c>
      <x:c r="R1262" s="26" t="n">
        <x:v>0</x:v>
      </x:c>
      <x:c r="S1262" s="26" t="n">
        <x:v>0</x:v>
      </x:c>
      <x:c r="T1262" s="26" t="n">
        <x:v>0</x:v>
      </x:c>
      <x:c r="U1262" s="26" t="n">
        <x:v>150</x:v>
      </x:c>
      <x:c r="V1262" s="26" t="n">
        <x:v>0</x:v>
      </x:c>
      <x:c r="W1262" s="26" t="n">
        <x:v>0</x:v>
      </x:c>
      <x:c r="X1262" s="26" t="n">
        <x:v>0</x:v>
      </x:c>
      <x:c r="Y1262" s="26" t="n">
        <x:v>0</x:v>
      </x:c>
      <x:c r="Z1262" s="35" t="str">
        <x:v>City Water &amp; Sewer</x:v>
      </x:c>
    </x:row>
    <x:row r="1263">
      <x:c r="A1263" s="20" t="str">
        <x:v>FIN-01260</x:v>
      </x:c>
      <x:c r="B1263" s="23" t="n">
        <x:v>46553</x:v>
      </x:c>
      <x:c r="C1263" s="23" t="n">
        <x:v>46553</x:v>
      </x:c>
      <x:c r="D1263" s="20" t="str">
        <x:v>OperatingExpense</x:v>
      </x:c>
      <x:c r="E1263" s="20" t="str">
        <x:v>Utilities</x:v>
      </x:c>
      <x:c r="F1263" s="20" t="str">
        <x:v>P029</x:v>
      </x:c>
      <x:c r="G1263" s="20" t="str"/>
      <x:c r="H1263" s="20" t="str"/>
      <x:c r="I1263" s="20" t="str">
        <x:v>City Water &amp; Sewer</x:v>
      </x:c>
      <x:c r="J1263" s="35" t="str">
        <x:v>Scanned receipt/invoice</x:v>
      </x:c>
      <x:c r="K1263" s="20" t="str">
        <x:v>SCN-0593</x:v>
      </x:c>
      <x:c r="L1263" s="20" t="str">
        <x:v>EXP-20270615-1129</x:v>
      </x:c>
      <x:c r="M1263" s="26" t="n">
        <x:v>157</x:v>
      </x:c>
      <x:c r="N1263" s="26" t="n">
        <x:v>0</x:v>
      </x:c>
      <x:c r="O1263" s="26" t="n">
        <x:v>-157</x:v>
      </x:c>
      <x:c r="P1263" s="26" t="n">
        <x:v>0</x:v>
      </x:c>
      <x:c r="Q1263" s="26" t="n">
        <x:v>0</x:v>
      </x:c>
      <x:c r="R1263" s="26" t="n">
        <x:v>0</x:v>
      </x:c>
      <x:c r="S1263" s="26" t="n">
        <x:v>0</x:v>
      </x:c>
      <x:c r="T1263" s="26" t="n">
        <x:v>0</x:v>
      </x:c>
      <x:c r="U1263" s="26" t="n">
        <x:v>157</x:v>
      </x:c>
      <x:c r="V1263" s="26" t="n">
        <x:v>0</x:v>
      </x:c>
      <x:c r="W1263" s="26" t="n">
        <x:v>0</x:v>
      </x:c>
      <x:c r="X1263" s="26" t="n">
        <x:v>0</x:v>
      </x:c>
      <x:c r="Y1263" s="26" t="n">
        <x:v>0</x:v>
      </x:c>
      <x:c r="Z1263" s="35" t="str">
        <x:v>City Water &amp; Sewer</x:v>
      </x:c>
    </x:row>
    <x:row r="1264">
      <x:c r="A1264" s="20" t="str">
        <x:v>FIN-01261</x:v>
      </x:c>
      <x:c r="B1264" s="23" t="n">
        <x:v>46553</x:v>
      </x:c>
      <x:c r="C1264" s="23" t="n">
        <x:v>46553</x:v>
      </x:c>
      <x:c r="D1264" s="20" t="str">
        <x:v>OperatingExpense</x:v>
      </x:c>
      <x:c r="E1264" s="20" t="str">
        <x:v>Utilities</x:v>
      </x:c>
      <x:c r="F1264" s="20" t="str">
        <x:v>P030</x:v>
      </x:c>
      <x:c r="G1264" s="20" t="str"/>
      <x:c r="H1264" s="20" t="str"/>
      <x:c r="I1264" s="20" t="str">
        <x:v>City Water &amp; Sewer</x:v>
      </x:c>
      <x:c r="J1264" s="35" t="str">
        <x:v>Manual mobile form</x:v>
      </x:c>
      <x:c r="K1264" s="20" t="str"/>
      <x:c r="L1264" s="20" t="str">
        <x:v>EXP-20270615-1130</x:v>
      </x:c>
      <x:c r="M1264" s="26" t="n">
        <x:v>164</x:v>
      </x:c>
      <x:c r="N1264" s="26" t="n">
        <x:v>0</x:v>
      </x:c>
      <x:c r="O1264" s="26" t="n">
        <x:v>-164</x:v>
      </x:c>
      <x:c r="P1264" s="26" t="n">
        <x:v>0</x:v>
      </x:c>
      <x:c r="Q1264" s="26" t="n">
        <x:v>0</x:v>
      </x:c>
      <x:c r="R1264" s="26" t="n">
        <x:v>0</x:v>
      </x:c>
      <x:c r="S1264" s="26" t="n">
        <x:v>0</x:v>
      </x:c>
      <x:c r="T1264" s="26" t="n">
        <x:v>0</x:v>
      </x:c>
      <x:c r="U1264" s="26" t="n">
        <x:v>164</x:v>
      </x:c>
      <x:c r="V1264" s="26" t="n">
        <x:v>0</x:v>
      </x:c>
      <x:c r="W1264" s="26" t="n">
        <x:v>0</x:v>
      </x:c>
      <x:c r="X1264" s="26" t="n">
        <x:v>0</x:v>
      </x:c>
      <x:c r="Y1264" s="26" t="n">
        <x:v>0</x:v>
      </x:c>
      <x:c r="Z1264" s="35" t="str">
        <x:v>City Water &amp; Sewer</x:v>
      </x:c>
    </x:row>
    <x:row r="1265">
      <x:c r="A1265" s="20" t="str">
        <x:v>FIN-01262</x:v>
      </x:c>
      <x:c r="B1265" s="23" t="n">
        <x:v>46558</x:v>
      </x:c>
      <x:c r="C1265" s="23" t="n">
        <x:v>46558</x:v>
      </x:c>
      <x:c r="D1265" s="20" t="str">
        <x:v>LoanPayment</x:v>
      </x:c>
      <x:c r="E1265" s="20" t="str">
        <x:v>Mortgage principal and interest</x:v>
      </x:c>
      <x:c r="F1265" s="20" t="str">
        <x:v>P001</x:v>
      </x:c>
      <x:c r="G1265" s="20" t="str"/>
      <x:c r="H1265" s="20" t="str"/>
      <x:c r="I1265" s="20" t="str">
        <x:v>First QA Mortgage</x:v>
      </x:c>
      <x:c r="J1265" s="35" t="str">
        <x:v>Recurring loan payment + scanned statement</x:v>
      </x:c>
      <x:c r="K1265" s="20" t="str">
        <x:v>SCN-0594</x:v>
      </x:c>
      <x:c r="L1265" s="20" t="str">
        <x:v>LN001-202706</x:v>
      </x:c>
      <x:c r="M1265" s="26" t="n">
        <x:v>1014</x:v>
      </x:c>
      <x:c r="N1265" s="26" t="n">
        <x:v>0</x:v>
      </x:c>
      <x:c r="O1265" s="26" t="n">
        <x:v>-1014</x:v>
      </x:c>
      <x:c r="P1265" s="26" t="n">
        <x:v>0</x:v>
      </x:c>
      <x:c r="Q1265" s="26" t="n">
        <x:v>0</x:v>
      </x:c>
      <x:c r="R1265" s="26" t="n">
        <x:v>0</x:v>
      </x:c>
      <x:c r="S1265" s="26" t="n">
        <x:v>-431</x:v>
      </x:c>
      <x:c r="T1265" s="26" t="n">
        <x:v>0</x:v>
      </x:c>
      <x:c r="U1265" s="26" t="n">
        <x:v>583</x:v>
      </x:c>
      <x:c r="V1265" s="26" t="n">
        <x:v>0</x:v>
      </x:c>
      <x:c r="W1265" s="26" t="n">
        <x:v>0</x:v>
      </x:c>
      <x:c r="X1265" s="26" t="n">
        <x:v>0</x:v>
      </x:c>
      <x:c r="Y1265" s="26" t="n">
        <x:v>0</x:v>
      </x:c>
      <x:c r="Z1265" s="35" t="str">
        <x:v>LN001 scheduled payment</x:v>
      </x:c>
    </x:row>
    <x:row r="1266">
      <x:c r="A1266" s="20" t="str">
        <x:v>FIN-01263</x:v>
      </x:c>
      <x:c r="B1266" s="23" t="n">
        <x:v>46558</x:v>
      </x:c>
      <x:c r="C1266" s="23" t="n">
        <x:v>46558</x:v>
      </x:c>
      <x:c r="D1266" s="20" t="str">
        <x:v>LoanPayment</x:v>
      </x:c>
      <x:c r="E1266" s="20" t="str">
        <x:v>Mortgage principal and interest</x:v>
      </x:c>
      <x:c r="F1266" s="20" t="str">
        <x:v>P002</x:v>
      </x:c>
      <x:c r="G1266" s="20" t="str"/>
      <x:c r="H1266" s="20" t="str"/>
      <x:c r="I1266" s="20" t="str">
        <x:v>First QA Mortgage</x:v>
      </x:c>
      <x:c r="J1266" s="35" t="str">
        <x:v>Recurring loan payment + scanned statement</x:v>
      </x:c>
      <x:c r="K1266" s="20" t="str">
        <x:v>SCN-0595</x:v>
      </x:c>
      <x:c r="L1266" s="20" t="str">
        <x:v>LN002-202706</x:v>
      </x:c>
      <x:c r="M1266" s="26" t="n">
        <x:v>1038</x:v>
      </x:c>
      <x:c r="N1266" s="26" t="n">
        <x:v>0</x:v>
      </x:c>
      <x:c r="O1266" s="26" t="n">
        <x:v>-1038</x:v>
      </x:c>
      <x:c r="P1266" s="26" t="n">
        <x:v>0</x:v>
      </x:c>
      <x:c r="Q1266" s="26" t="n">
        <x:v>0</x:v>
      </x:c>
      <x:c r="R1266" s="26" t="n">
        <x:v>0</x:v>
      </x:c>
      <x:c r="S1266" s="26" t="n">
        <x:v>-442</x:v>
      </x:c>
      <x:c r="T1266" s="26" t="n">
        <x:v>0</x:v>
      </x:c>
      <x:c r="U1266" s="26" t="n">
        <x:v>596</x:v>
      </x:c>
      <x:c r="V1266" s="26" t="n">
        <x:v>0</x:v>
      </x:c>
      <x:c r="W1266" s="26" t="n">
        <x:v>0</x:v>
      </x:c>
      <x:c r="X1266" s="26" t="n">
        <x:v>0</x:v>
      </x:c>
      <x:c r="Y1266" s="26" t="n">
        <x:v>0</x:v>
      </x:c>
      <x:c r="Z1266" s="35" t="str">
        <x:v>LN002 scheduled payment</x:v>
      </x:c>
    </x:row>
    <x:row r="1267">
      <x:c r="A1267" s="20" t="str">
        <x:v>FIN-01264</x:v>
      </x:c>
      <x:c r="B1267" s="23" t="n">
        <x:v>46558</x:v>
      </x:c>
      <x:c r="C1267" s="23" t="n">
        <x:v>46558</x:v>
      </x:c>
      <x:c r="D1267" s="20" t="str">
        <x:v>LoanPayment</x:v>
      </x:c>
      <x:c r="E1267" s="20" t="str">
        <x:v>Mortgage principal and interest</x:v>
      </x:c>
      <x:c r="F1267" s="20" t="str">
        <x:v>P004</x:v>
      </x:c>
      <x:c r="G1267" s="20" t="str"/>
      <x:c r="H1267" s="20" t="str"/>
      <x:c r="I1267" s="20" t="str">
        <x:v>First QA Mortgage</x:v>
      </x:c>
      <x:c r="J1267" s="35" t="str">
        <x:v>Recurring loan payment + scanned statement</x:v>
      </x:c>
      <x:c r="K1267" s="20" t="str">
        <x:v>SCN-0596</x:v>
      </x:c>
      <x:c r="L1267" s="20" t="str">
        <x:v>LN004-202706</x:v>
      </x:c>
      <x:c r="M1267" s="26" t="n">
        <x:v>1086</x:v>
      </x:c>
      <x:c r="N1267" s="26" t="n">
        <x:v>0</x:v>
      </x:c>
      <x:c r="O1267" s="26" t="n">
        <x:v>-1086</x:v>
      </x:c>
      <x:c r="P1267" s="26" t="n">
        <x:v>0</x:v>
      </x:c>
      <x:c r="Q1267" s="26" t="n">
        <x:v>0</x:v>
      </x:c>
      <x:c r="R1267" s="26" t="n">
        <x:v>0</x:v>
      </x:c>
      <x:c r="S1267" s="26" t="n">
        <x:v>-464</x:v>
      </x:c>
      <x:c r="T1267" s="26" t="n">
        <x:v>0</x:v>
      </x:c>
      <x:c r="U1267" s="26" t="n">
        <x:v>622</x:v>
      </x:c>
      <x:c r="V1267" s="26" t="n">
        <x:v>0</x:v>
      </x:c>
      <x:c r="W1267" s="26" t="n">
        <x:v>0</x:v>
      </x:c>
      <x:c r="X1267" s="26" t="n">
        <x:v>0</x:v>
      </x:c>
      <x:c r="Y1267" s="26" t="n">
        <x:v>0</x:v>
      </x:c>
      <x:c r="Z1267" s="35" t="str">
        <x:v>LN004 scheduled payment</x:v>
      </x:c>
    </x:row>
    <x:row r="1268">
      <x:c r="A1268" s="20" t="str">
        <x:v>FIN-01265</x:v>
      </x:c>
      <x:c r="B1268" s="23" t="n">
        <x:v>46558</x:v>
      </x:c>
      <x:c r="C1268" s="23" t="n">
        <x:v>46558</x:v>
      </x:c>
      <x:c r="D1268" s="20" t="str">
        <x:v>LoanPayment</x:v>
      </x:c>
      <x:c r="E1268" s="20" t="str">
        <x:v>Mortgage principal and interest</x:v>
      </x:c>
      <x:c r="F1268" s="20" t="str">
        <x:v>P005</x:v>
      </x:c>
      <x:c r="G1268" s="20" t="str"/>
      <x:c r="H1268" s="20" t="str"/>
      <x:c r="I1268" s="20" t="str">
        <x:v>First QA Mortgage</x:v>
      </x:c>
      <x:c r="J1268" s="35" t="str">
        <x:v>Recurring loan payment + scanned statement</x:v>
      </x:c>
      <x:c r="K1268" s="20" t="str">
        <x:v>SCN-0597</x:v>
      </x:c>
      <x:c r="L1268" s="20" t="str">
        <x:v>LN005-202706</x:v>
      </x:c>
      <x:c r="M1268" s="26" t="n">
        <x:v>1110</x:v>
      </x:c>
      <x:c r="N1268" s="26" t="n">
        <x:v>0</x:v>
      </x:c>
      <x:c r="O1268" s="26" t="n">
        <x:v>-1110</x:v>
      </x:c>
      <x:c r="P1268" s="26" t="n">
        <x:v>0</x:v>
      </x:c>
      <x:c r="Q1268" s="26" t="n">
        <x:v>0</x:v>
      </x:c>
      <x:c r="R1268" s="26" t="n">
        <x:v>0</x:v>
      </x:c>
      <x:c r="S1268" s="26" t="n">
        <x:v>-475</x:v>
      </x:c>
      <x:c r="T1268" s="26" t="n">
        <x:v>0</x:v>
      </x:c>
      <x:c r="U1268" s="26" t="n">
        <x:v>635</x:v>
      </x:c>
      <x:c r="V1268" s="26" t="n">
        <x:v>0</x:v>
      </x:c>
      <x:c r="W1268" s="26" t="n">
        <x:v>0</x:v>
      </x:c>
      <x:c r="X1268" s="26" t="n">
        <x:v>0</x:v>
      </x:c>
      <x:c r="Y1268" s="26" t="n">
        <x:v>0</x:v>
      </x:c>
      <x:c r="Z1268" s="35" t="str">
        <x:v>LN005 scheduled payment</x:v>
      </x:c>
    </x:row>
    <x:row r="1269">
      <x:c r="A1269" s="20" t="str">
        <x:v>FIN-01266</x:v>
      </x:c>
      <x:c r="B1269" s="23" t="n">
        <x:v>46558</x:v>
      </x:c>
      <x:c r="C1269" s="23" t="n">
        <x:v>46558</x:v>
      </x:c>
      <x:c r="D1269" s="20" t="str">
        <x:v>LoanPayment</x:v>
      </x:c>
      <x:c r="E1269" s="20" t="str">
        <x:v>Mortgage principal and interest</x:v>
      </x:c>
      <x:c r="F1269" s="20" t="str">
        <x:v>P007</x:v>
      </x:c>
      <x:c r="G1269" s="20" t="str"/>
      <x:c r="H1269" s="20" t="str"/>
      <x:c r="I1269" s="20" t="str">
        <x:v>First QA Mortgage</x:v>
      </x:c>
      <x:c r="J1269" s="35" t="str">
        <x:v>Recurring loan payment + scanned statement</x:v>
      </x:c>
      <x:c r="K1269" s="20" t="str">
        <x:v>SCN-0598</x:v>
      </x:c>
      <x:c r="L1269" s="20" t="str">
        <x:v>LN007-202706</x:v>
      </x:c>
      <x:c r="M1269" s="26" t="n">
        <x:v>1158</x:v>
      </x:c>
      <x:c r="N1269" s="26" t="n">
        <x:v>0</x:v>
      </x:c>
      <x:c r="O1269" s="26" t="n">
        <x:v>-1158</x:v>
      </x:c>
      <x:c r="P1269" s="26" t="n">
        <x:v>0</x:v>
      </x:c>
      <x:c r="Q1269" s="26" t="n">
        <x:v>0</x:v>
      </x:c>
      <x:c r="R1269" s="26" t="n">
        <x:v>0</x:v>
      </x:c>
      <x:c r="S1269" s="26" t="n">
        <x:v>-497</x:v>
      </x:c>
      <x:c r="T1269" s="26" t="n">
        <x:v>0</x:v>
      </x:c>
      <x:c r="U1269" s="26" t="n">
        <x:v>661</x:v>
      </x:c>
      <x:c r="V1269" s="26" t="n">
        <x:v>0</x:v>
      </x:c>
      <x:c r="W1269" s="26" t="n">
        <x:v>0</x:v>
      </x:c>
      <x:c r="X1269" s="26" t="n">
        <x:v>0</x:v>
      </x:c>
      <x:c r="Y1269" s="26" t="n">
        <x:v>0</x:v>
      </x:c>
      <x:c r="Z1269" s="35" t="str">
        <x:v>LN007 scheduled payment</x:v>
      </x:c>
    </x:row>
    <x:row r="1270">
      <x:c r="A1270" s="20" t="str">
        <x:v>FIN-01267</x:v>
      </x:c>
      <x:c r="B1270" s="23" t="n">
        <x:v>46558</x:v>
      </x:c>
      <x:c r="C1270" s="23" t="n">
        <x:v>46558</x:v>
      </x:c>
      <x:c r="D1270" s="20" t="str">
        <x:v>LoanPayment</x:v>
      </x:c>
      <x:c r="E1270" s="20" t="str">
        <x:v>Mortgage principal and interest</x:v>
      </x:c>
      <x:c r="F1270" s="20" t="str">
        <x:v>P008</x:v>
      </x:c>
      <x:c r="G1270" s="20" t="str"/>
      <x:c r="H1270" s="20" t="str"/>
      <x:c r="I1270" s="20" t="str">
        <x:v>First QA Mortgage</x:v>
      </x:c>
      <x:c r="J1270" s="35" t="str">
        <x:v>Recurring loan payment + scanned statement</x:v>
      </x:c>
      <x:c r="K1270" s="20" t="str">
        <x:v>SCN-0599</x:v>
      </x:c>
      <x:c r="L1270" s="20" t="str">
        <x:v>LN008-202706</x:v>
      </x:c>
      <x:c r="M1270" s="26" t="n">
        <x:v>1182</x:v>
      </x:c>
      <x:c r="N1270" s="26" t="n">
        <x:v>0</x:v>
      </x:c>
      <x:c r="O1270" s="26" t="n">
        <x:v>-1182</x:v>
      </x:c>
      <x:c r="P1270" s="26" t="n">
        <x:v>0</x:v>
      </x:c>
      <x:c r="Q1270" s="26" t="n">
        <x:v>0</x:v>
      </x:c>
      <x:c r="R1270" s="26" t="n">
        <x:v>0</x:v>
      </x:c>
      <x:c r="S1270" s="26" t="n">
        <x:v>-508</x:v>
      </x:c>
      <x:c r="T1270" s="26" t="n">
        <x:v>0</x:v>
      </x:c>
      <x:c r="U1270" s="26" t="n">
        <x:v>674</x:v>
      </x:c>
      <x:c r="V1270" s="26" t="n">
        <x:v>0</x:v>
      </x:c>
      <x:c r="W1270" s="26" t="n">
        <x:v>0</x:v>
      </x:c>
      <x:c r="X1270" s="26" t="n">
        <x:v>0</x:v>
      </x:c>
      <x:c r="Y1270" s="26" t="n">
        <x:v>0</x:v>
      </x:c>
      <x:c r="Z1270" s="35" t="str">
        <x:v>LN008 scheduled payment</x:v>
      </x:c>
    </x:row>
    <x:row r="1271">
      <x:c r="A1271" s="20" t="str">
        <x:v>FIN-01268</x:v>
      </x:c>
      <x:c r="B1271" s="23" t="n">
        <x:v>46558</x:v>
      </x:c>
      <x:c r="C1271" s="23" t="n">
        <x:v>46558</x:v>
      </x:c>
      <x:c r="D1271" s="20" t="str">
        <x:v>LoanPayment</x:v>
      </x:c>
      <x:c r="E1271" s="20" t="str">
        <x:v>Mortgage principal and interest</x:v>
      </x:c>
      <x:c r="F1271" s="20" t="str">
        <x:v>P010</x:v>
      </x:c>
      <x:c r="G1271" s="20" t="str"/>
      <x:c r="H1271" s="20" t="str"/>
      <x:c r="I1271" s="20" t="str">
        <x:v>First QA Mortgage</x:v>
      </x:c>
      <x:c r="J1271" s="35" t="str">
        <x:v>Recurring loan payment + scanned statement</x:v>
      </x:c>
      <x:c r="K1271" s="20" t="str">
        <x:v>SCN-0600</x:v>
      </x:c>
      <x:c r="L1271" s="20" t="str">
        <x:v>LN010-202706</x:v>
      </x:c>
      <x:c r="M1271" s="26" t="n">
        <x:v>1230</x:v>
      </x:c>
      <x:c r="N1271" s="26" t="n">
        <x:v>0</x:v>
      </x:c>
      <x:c r="O1271" s="26" t="n">
        <x:v>-1230</x:v>
      </x:c>
      <x:c r="P1271" s="26" t="n">
        <x:v>0</x:v>
      </x:c>
      <x:c r="Q1271" s="26" t="n">
        <x:v>0</x:v>
      </x:c>
      <x:c r="R1271" s="26" t="n">
        <x:v>0</x:v>
      </x:c>
      <x:c r="S1271" s="26" t="n">
        <x:v>-530</x:v>
      </x:c>
      <x:c r="T1271" s="26" t="n">
        <x:v>0</x:v>
      </x:c>
      <x:c r="U1271" s="26" t="n">
        <x:v>700</x:v>
      </x:c>
      <x:c r="V1271" s="26" t="n">
        <x:v>0</x:v>
      </x:c>
      <x:c r="W1271" s="26" t="n">
        <x:v>0</x:v>
      </x:c>
      <x:c r="X1271" s="26" t="n">
        <x:v>0</x:v>
      </x:c>
      <x:c r="Y1271" s="26" t="n">
        <x:v>0</x:v>
      </x:c>
      <x:c r="Z1271" s="35" t="str">
        <x:v>LN010 scheduled payment</x:v>
      </x:c>
    </x:row>
    <x:row r="1272">
      <x:c r="A1272" s="20" t="str">
        <x:v>FIN-01269</x:v>
      </x:c>
      <x:c r="B1272" s="23" t="n">
        <x:v>46558</x:v>
      </x:c>
      <x:c r="C1272" s="23" t="n">
        <x:v>46558</x:v>
      </x:c>
      <x:c r="D1272" s="20" t="str">
        <x:v>LoanPayment</x:v>
      </x:c>
      <x:c r="E1272" s="20" t="str">
        <x:v>Mortgage principal and interest</x:v>
      </x:c>
      <x:c r="F1272" s="20" t="str">
        <x:v>P011</x:v>
      </x:c>
      <x:c r="G1272" s="20" t="str"/>
      <x:c r="H1272" s="20" t="str"/>
      <x:c r="I1272" s="20" t="str">
        <x:v>First QA Mortgage</x:v>
      </x:c>
      <x:c r="J1272" s="35" t="str">
        <x:v>Recurring loan payment + scanned statement</x:v>
      </x:c>
      <x:c r="K1272" s="20" t="str">
        <x:v>SCN-0601</x:v>
      </x:c>
      <x:c r="L1272" s="20" t="str">
        <x:v>LN011-202706</x:v>
      </x:c>
      <x:c r="M1272" s="26" t="n">
        <x:v>1254</x:v>
      </x:c>
      <x:c r="N1272" s="26" t="n">
        <x:v>0</x:v>
      </x:c>
      <x:c r="O1272" s="26" t="n">
        <x:v>-1254</x:v>
      </x:c>
      <x:c r="P1272" s="26" t="n">
        <x:v>0</x:v>
      </x:c>
      <x:c r="Q1272" s="26" t="n">
        <x:v>0</x:v>
      </x:c>
      <x:c r="R1272" s="26" t="n">
        <x:v>0</x:v>
      </x:c>
      <x:c r="S1272" s="26" t="n">
        <x:v>-541</x:v>
      </x:c>
      <x:c r="T1272" s="26" t="n">
        <x:v>0</x:v>
      </x:c>
      <x:c r="U1272" s="26" t="n">
        <x:v>713</x:v>
      </x:c>
      <x:c r="V1272" s="26" t="n">
        <x:v>0</x:v>
      </x:c>
      <x:c r="W1272" s="26" t="n">
        <x:v>0</x:v>
      </x:c>
      <x:c r="X1272" s="26" t="n">
        <x:v>0</x:v>
      </x:c>
      <x:c r="Y1272" s="26" t="n">
        <x:v>0</x:v>
      </x:c>
      <x:c r="Z1272" s="35" t="str">
        <x:v>LN011 scheduled payment</x:v>
      </x:c>
    </x:row>
    <x:row r="1273">
      <x:c r="A1273" s="20" t="str">
        <x:v>FIN-01270</x:v>
      </x:c>
      <x:c r="B1273" s="23" t="n">
        <x:v>46558</x:v>
      </x:c>
      <x:c r="C1273" s="23" t="n">
        <x:v>46558</x:v>
      </x:c>
      <x:c r="D1273" s="20" t="str">
        <x:v>LoanPayment</x:v>
      </x:c>
      <x:c r="E1273" s="20" t="str">
        <x:v>Mortgage principal and interest</x:v>
      </x:c>
      <x:c r="F1273" s="20" t="str">
        <x:v>P013</x:v>
      </x:c>
      <x:c r="G1273" s="20" t="str"/>
      <x:c r="H1273" s="20" t="str"/>
      <x:c r="I1273" s="20" t="str">
        <x:v>First QA Mortgage</x:v>
      </x:c>
      <x:c r="J1273" s="35" t="str">
        <x:v>Recurring loan payment + scanned statement</x:v>
      </x:c>
      <x:c r="K1273" s="20" t="str">
        <x:v>SCN-0602</x:v>
      </x:c>
      <x:c r="L1273" s="20" t="str">
        <x:v>LN013-202706</x:v>
      </x:c>
      <x:c r="M1273" s="26" t="n">
        <x:v>1302</x:v>
      </x:c>
      <x:c r="N1273" s="26" t="n">
        <x:v>0</x:v>
      </x:c>
      <x:c r="O1273" s="26" t="n">
        <x:v>-1302</x:v>
      </x:c>
      <x:c r="P1273" s="26" t="n">
        <x:v>0</x:v>
      </x:c>
      <x:c r="Q1273" s="26" t="n">
        <x:v>0</x:v>
      </x:c>
      <x:c r="R1273" s="26" t="n">
        <x:v>0</x:v>
      </x:c>
      <x:c r="S1273" s="26" t="n">
        <x:v>-563</x:v>
      </x:c>
      <x:c r="T1273" s="26" t="n">
        <x:v>0</x:v>
      </x:c>
      <x:c r="U1273" s="26" t="n">
        <x:v>739</x:v>
      </x:c>
      <x:c r="V1273" s="26" t="n">
        <x:v>0</x:v>
      </x:c>
      <x:c r="W1273" s="26" t="n">
        <x:v>0</x:v>
      </x:c>
      <x:c r="X1273" s="26" t="n">
        <x:v>0</x:v>
      </x:c>
      <x:c r="Y1273" s="26" t="n">
        <x:v>0</x:v>
      </x:c>
      <x:c r="Z1273" s="35" t="str">
        <x:v>LN013 scheduled payment</x:v>
      </x:c>
    </x:row>
    <x:row r="1274">
      <x:c r="A1274" s="20" t="str">
        <x:v>FIN-01271</x:v>
      </x:c>
      <x:c r="B1274" s="23" t="n">
        <x:v>46558</x:v>
      </x:c>
      <x:c r="C1274" s="23" t="n">
        <x:v>46558</x:v>
      </x:c>
      <x:c r="D1274" s="20" t="str">
        <x:v>LoanPayment</x:v>
      </x:c>
      <x:c r="E1274" s="20" t="str">
        <x:v>Mortgage principal and interest</x:v>
      </x:c>
      <x:c r="F1274" s="20" t="str">
        <x:v>P014</x:v>
      </x:c>
      <x:c r="G1274" s="20" t="str"/>
      <x:c r="H1274" s="20" t="str"/>
      <x:c r="I1274" s="20" t="str">
        <x:v>First QA Mortgage</x:v>
      </x:c>
      <x:c r="J1274" s="35" t="str">
        <x:v>Recurring loan payment + scanned statement</x:v>
      </x:c>
      <x:c r="K1274" s="20" t="str">
        <x:v>SCN-0603</x:v>
      </x:c>
      <x:c r="L1274" s="20" t="str">
        <x:v>LN014-202706</x:v>
      </x:c>
      <x:c r="M1274" s="26" t="n">
        <x:v>1326</x:v>
      </x:c>
      <x:c r="N1274" s="26" t="n">
        <x:v>0</x:v>
      </x:c>
      <x:c r="O1274" s="26" t="n">
        <x:v>-1326</x:v>
      </x:c>
      <x:c r="P1274" s="26" t="n">
        <x:v>0</x:v>
      </x:c>
      <x:c r="Q1274" s="26" t="n">
        <x:v>0</x:v>
      </x:c>
      <x:c r="R1274" s="26" t="n">
        <x:v>0</x:v>
      </x:c>
      <x:c r="S1274" s="26" t="n">
        <x:v>-574</x:v>
      </x:c>
      <x:c r="T1274" s="26" t="n">
        <x:v>0</x:v>
      </x:c>
      <x:c r="U1274" s="26" t="n">
        <x:v>752</x:v>
      </x:c>
      <x:c r="V1274" s="26" t="n">
        <x:v>0</x:v>
      </x:c>
      <x:c r="W1274" s="26" t="n">
        <x:v>0</x:v>
      </x:c>
      <x:c r="X1274" s="26" t="n">
        <x:v>0</x:v>
      </x:c>
      <x:c r="Y1274" s="26" t="n">
        <x:v>0</x:v>
      </x:c>
      <x:c r="Z1274" s="35" t="str">
        <x:v>LN014 scheduled payment</x:v>
      </x:c>
    </x:row>
    <x:row r="1275">
      <x:c r="A1275" s="20" t="str">
        <x:v>FIN-01272</x:v>
      </x:c>
      <x:c r="B1275" s="23" t="n">
        <x:v>46558</x:v>
      </x:c>
      <x:c r="C1275" s="23" t="n">
        <x:v>46558</x:v>
      </x:c>
      <x:c r="D1275" s="20" t="str">
        <x:v>LoanPayment</x:v>
      </x:c>
      <x:c r="E1275" s="20" t="str">
        <x:v>Mortgage principal and interest</x:v>
      </x:c>
      <x:c r="F1275" s="20" t="str">
        <x:v>P016</x:v>
      </x:c>
      <x:c r="G1275" s="20" t="str"/>
      <x:c r="H1275" s="20" t="str"/>
      <x:c r="I1275" s="20" t="str">
        <x:v>First QA Mortgage</x:v>
      </x:c>
      <x:c r="J1275" s="35" t="str">
        <x:v>Recurring loan payment + scanned statement</x:v>
      </x:c>
      <x:c r="K1275" s="20" t="str">
        <x:v>SCN-0604</x:v>
      </x:c>
      <x:c r="L1275" s="20" t="str">
        <x:v>LN016-202706</x:v>
      </x:c>
      <x:c r="M1275" s="26" t="n">
        <x:v>1374</x:v>
      </x:c>
      <x:c r="N1275" s="26" t="n">
        <x:v>0</x:v>
      </x:c>
      <x:c r="O1275" s="26" t="n">
        <x:v>-1374</x:v>
      </x:c>
      <x:c r="P1275" s="26" t="n">
        <x:v>0</x:v>
      </x:c>
      <x:c r="Q1275" s="26" t="n">
        <x:v>0</x:v>
      </x:c>
      <x:c r="R1275" s="26" t="n">
        <x:v>0</x:v>
      </x:c>
      <x:c r="S1275" s="26" t="n">
        <x:v>-596</x:v>
      </x:c>
      <x:c r="T1275" s="26" t="n">
        <x:v>0</x:v>
      </x:c>
      <x:c r="U1275" s="26" t="n">
        <x:v>778</x:v>
      </x:c>
      <x:c r="V1275" s="26" t="n">
        <x:v>0</x:v>
      </x:c>
      <x:c r="W1275" s="26" t="n">
        <x:v>0</x:v>
      </x:c>
      <x:c r="X1275" s="26" t="n">
        <x:v>0</x:v>
      </x:c>
      <x:c r="Y1275" s="26" t="n">
        <x:v>0</x:v>
      </x:c>
      <x:c r="Z1275" s="35" t="str">
        <x:v>LN016 scheduled payment</x:v>
      </x:c>
    </x:row>
    <x:row r="1276">
      <x:c r="A1276" s="20" t="str">
        <x:v>FIN-01273</x:v>
      </x:c>
      <x:c r="B1276" s="23" t="n">
        <x:v>46558</x:v>
      </x:c>
      <x:c r="C1276" s="23" t="n">
        <x:v>46558</x:v>
      </x:c>
      <x:c r="D1276" s="20" t="str">
        <x:v>LoanPayment</x:v>
      </x:c>
      <x:c r="E1276" s="20" t="str">
        <x:v>Mortgage principal and interest</x:v>
      </x:c>
      <x:c r="F1276" s="20" t="str">
        <x:v>P017</x:v>
      </x:c>
      <x:c r="G1276" s="20" t="str"/>
      <x:c r="H1276" s="20" t="str"/>
      <x:c r="I1276" s="20" t="str">
        <x:v>First QA Mortgage</x:v>
      </x:c>
      <x:c r="J1276" s="35" t="str">
        <x:v>Recurring loan payment + scanned statement</x:v>
      </x:c>
      <x:c r="K1276" s="20" t="str">
        <x:v>SCN-0605</x:v>
      </x:c>
      <x:c r="L1276" s="20" t="str">
        <x:v>LN017-202706</x:v>
      </x:c>
      <x:c r="M1276" s="26" t="n">
        <x:v>1398</x:v>
      </x:c>
      <x:c r="N1276" s="26" t="n">
        <x:v>0</x:v>
      </x:c>
      <x:c r="O1276" s="26" t="n">
        <x:v>-1398</x:v>
      </x:c>
      <x:c r="P1276" s="26" t="n">
        <x:v>0</x:v>
      </x:c>
      <x:c r="Q1276" s="26" t="n">
        <x:v>0</x:v>
      </x:c>
      <x:c r="R1276" s="26" t="n">
        <x:v>0</x:v>
      </x:c>
      <x:c r="S1276" s="26" t="n">
        <x:v>-607</x:v>
      </x:c>
      <x:c r="T1276" s="26" t="n">
        <x:v>0</x:v>
      </x:c>
      <x:c r="U1276" s="26" t="n">
        <x:v>791</x:v>
      </x:c>
      <x:c r="V1276" s="26" t="n">
        <x:v>0</x:v>
      </x:c>
      <x:c r="W1276" s="26" t="n">
        <x:v>0</x:v>
      </x:c>
      <x:c r="X1276" s="26" t="n">
        <x:v>0</x:v>
      </x:c>
      <x:c r="Y1276" s="26" t="n">
        <x:v>0</x:v>
      </x:c>
      <x:c r="Z1276" s="35" t="str">
        <x:v>LN017 scheduled payment</x:v>
      </x:c>
    </x:row>
    <x:row r="1277">
      <x:c r="A1277" s="20" t="str">
        <x:v>FIN-01274</x:v>
      </x:c>
      <x:c r="B1277" s="23" t="n">
        <x:v>46558</x:v>
      </x:c>
      <x:c r="C1277" s="23" t="n">
        <x:v>46558</x:v>
      </x:c>
      <x:c r="D1277" s="20" t="str">
        <x:v>LoanPayment</x:v>
      </x:c>
      <x:c r="E1277" s="20" t="str">
        <x:v>Mortgage principal and interest</x:v>
      </x:c>
      <x:c r="F1277" s="20" t="str">
        <x:v>P019</x:v>
      </x:c>
      <x:c r="G1277" s="20" t="str"/>
      <x:c r="H1277" s="20" t="str"/>
      <x:c r="I1277" s="20" t="str">
        <x:v>First QA Mortgage</x:v>
      </x:c>
      <x:c r="J1277" s="35" t="str">
        <x:v>Recurring loan payment + scanned statement</x:v>
      </x:c>
      <x:c r="K1277" s="20" t="str">
        <x:v>SCN-0606</x:v>
      </x:c>
      <x:c r="L1277" s="20" t="str">
        <x:v>LN019-202706</x:v>
      </x:c>
      <x:c r="M1277" s="26" t="n">
        <x:v>1446</x:v>
      </x:c>
      <x:c r="N1277" s="26" t="n">
        <x:v>0</x:v>
      </x:c>
      <x:c r="O1277" s="26" t="n">
        <x:v>-1446</x:v>
      </x:c>
      <x:c r="P1277" s="26" t="n">
        <x:v>0</x:v>
      </x:c>
      <x:c r="Q1277" s="26" t="n">
        <x:v>0</x:v>
      </x:c>
      <x:c r="R1277" s="26" t="n">
        <x:v>0</x:v>
      </x:c>
      <x:c r="S1277" s="26" t="n">
        <x:v>-629</x:v>
      </x:c>
      <x:c r="T1277" s="26" t="n">
        <x:v>0</x:v>
      </x:c>
      <x:c r="U1277" s="26" t="n">
        <x:v>817</x:v>
      </x:c>
      <x:c r="V1277" s="26" t="n">
        <x:v>0</x:v>
      </x:c>
      <x:c r="W1277" s="26" t="n">
        <x:v>0</x:v>
      </x:c>
      <x:c r="X1277" s="26" t="n">
        <x:v>0</x:v>
      </x:c>
      <x:c r="Y1277" s="26" t="n">
        <x:v>0</x:v>
      </x:c>
      <x:c r="Z1277" s="35" t="str">
        <x:v>LN019 scheduled payment</x:v>
      </x:c>
    </x:row>
    <x:row r="1278">
      <x:c r="A1278" s="20" t="str">
        <x:v>FIN-01275</x:v>
      </x:c>
      <x:c r="B1278" s="23" t="n">
        <x:v>46558</x:v>
      </x:c>
      <x:c r="C1278" s="23" t="n">
        <x:v>46558</x:v>
      </x:c>
      <x:c r="D1278" s="20" t="str">
        <x:v>LoanPayment</x:v>
      </x:c>
      <x:c r="E1278" s="20" t="str">
        <x:v>Mortgage principal and interest</x:v>
      </x:c>
      <x:c r="F1278" s="20" t="str">
        <x:v>P020</x:v>
      </x:c>
      <x:c r="G1278" s="20" t="str"/>
      <x:c r="H1278" s="20" t="str"/>
      <x:c r="I1278" s="20" t="str">
        <x:v>First QA Mortgage</x:v>
      </x:c>
      <x:c r="J1278" s="35" t="str">
        <x:v>Recurring loan payment + scanned statement</x:v>
      </x:c>
      <x:c r="K1278" s="20" t="str">
        <x:v>SCN-0607</x:v>
      </x:c>
      <x:c r="L1278" s="20" t="str">
        <x:v>LN020-202706</x:v>
      </x:c>
      <x:c r="M1278" s="26" t="n">
        <x:v>1470</x:v>
      </x:c>
      <x:c r="N1278" s="26" t="n">
        <x:v>0</x:v>
      </x:c>
      <x:c r="O1278" s="26" t="n">
        <x:v>-1470</x:v>
      </x:c>
      <x:c r="P1278" s="26" t="n">
        <x:v>0</x:v>
      </x:c>
      <x:c r="Q1278" s="26" t="n">
        <x:v>0</x:v>
      </x:c>
      <x:c r="R1278" s="26" t="n">
        <x:v>0</x:v>
      </x:c>
      <x:c r="S1278" s="26" t="n">
        <x:v>-640</x:v>
      </x:c>
      <x:c r="T1278" s="26" t="n">
        <x:v>0</x:v>
      </x:c>
      <x:c r="U1278" s="26" t="n">
        <x:v>830</x:v>
      </x:c>
      <x:c r="V1278" s="26" t="n">
        <x:v>0</x:v>
      </x:c>
      <x:c r="W1278" s="26" t="n">
        <x:v>0</x:v>
      </x:c>
      <x:c r="X1278" s="26" t="n">
        <x:v>0</x:v>
      </x:c>
      <x:c r="Y1278" s="26" t="n">
        <x:v>0</x:v>
      </x:c>
      <x:c r="Z1278" s="35" t="str">
        <x:v>LN020 scheduled payment</x:v>
      </x:c>
    </x:row>
    <x:row r="1279">
      <x:c r="A1279" s="20" t="str">
        <x:v>FIN-01276</x:v>
      </x:c>
      <x:c r="B1279" s="23" t="n">
        <x:v>46558</x:v>
      </x:c>
      <x:c r="C1279" s="23" t="n">
        <x:v>46558</x:v>
      </x:c>
      <x:c r="D1279" s="20" t="str">
        <x:v>LoanPayment</x:v>
      </x:c>
      <x:c r="E1279" s="20" t="str">
        <x:v>Mortgage principal and interest</x:v>
      </x:c>
      <x:c r="F1279" s="20" t="str">
        <x:v>P022</x:v>
      </x:c>
      <x:c r="G1279" s="20" t="str"/>
      <x:c r="H1279" s="20" t="str"/>
      <x:c r="I1279" s="20" t="str">
        <x:v>First QA Mortgage</x:v>
      </x:c>
      <x:c r="J1279" s="35" t="str">
        <x:v>Recurring loan payment + scanned statement</x:v>
      </x:c>
      <x:c r="K1279" s="20" t="str">
        <x:v>SCN-0608</x:v>
      </x:c>
      <x:c r="L1279" s="20" t="str">
        <x:v>LN022-202706</x:v>
      </x:c>
      <x:c r="M1279" s="26" t="n">
        <x:v>1518</x:v>
      </x:c>
      <x:c r="N1279" s="26" t="n">
        <x:v>0</x:v>
      </x:c>
      <x:c r="O1279" s="26" t="n">
        <x:v>-1518</x:v>
      </x:c>
      <x:c r="P1279" s="26" t="n">
        <x:v>0</x:v>
      </x:c>
      <x:c r="Q1279" s="26" t="n">
        <x:v>0</x:v>
      </x:c>
      <x:c r="R1279" s="26" t="n">
        <x:v>0</x:v>
      </x:c>
      <x:c r="S1279" s="26" t="n">
        <x:v>-662</x:v>
      </x:c>
      <x:c r="T1279" s="26" t="n">
        <x:v>0</x:v>
      </x:c>
      <x:c r="U1279" s="26" t="n">
        <x:v>856</x:v>
      </x:c>
      <x:c r="V1279" s="26" t="n">
        <x:v>0</x:v>
      </x:c>
      <x:c r="W1279" s="26" t="n">
        <x:v>0</x:v>
      </x:c>
      <x:c r="X1279" s="26" t="n">
        <x:v>0</x:v>
      </x:c>
      <x:c r="Y1279" s="26" t="n">
        <x:v>0</x:v>
      </x:c>
      <x:c r="Z1279" s="35" t="str">
        <x:v>LN022 scheduled payment</x:v>
      </x:c>
    </x:row>
    <x:row r="1280">
      <x:c r="A1280" s="20" t="str">
        <x:v>FIN-01277</x:v>
      </x:c>
      <x:c r="B1280" s="23" t="n">
        <x:v>46558</x:v>
      </x:c>
      <x:c r="C1280" s="23" t="n">
        <x:v>46558</x:v>
      </x:c>
      <x:c r="D1280" s="20" t="str">
        <x:v>LoanPayment</x:v>
      </x:c>
      <x:c r="E1280" s="20" t="str">
        <x:v>Mortgage principal and interest</x:v>
      </x:c>
      <x:c r="F1280" s="20" t="str">
        <x:v>P023</x:v>
      </x:c>
      <x:c r="G1280" s="20" t="str"/>
      <x:c r="H1280" s="20" t="str"/>
      <x:c r="I1280" s="20" t="str">
        <x:v>First QA Mortgage</x:v>
      </x:c>
      <x:c r="J1280" s="35" t="str">
        <x:v>Recurring loan payment + scanned statement</x:v>
      </x:c>
      <x:c r="K1280" s="20" t="str">
        <x:v>SCN-0609</x:v>
      </x:c>
      <x:c r="L1280" s="20" t="str">
        <x:v>LN023-202706</x:v>
      </x:c>
      <x:c r="M1280" s="26" t="n">
        <x:v>1542</x:v>
      </x:c>
      <x:c r="N1280" s="26" t="n">
        <x:v>0</x:v>
      </x:c>
      <x:c r="O1280" s="26" t="n">
        <x:v>-1542</x:v>
      </x:c>
      <x:c r="P1280" s="26" t="n">
        <x:v>0</x:v>
      </x:c>
      <x:c r="Q1280" s="26" t="n">
        <x:v>0</x:v>
      </x:c>
      <x:c r="R1280" s="26" t="n">
        <x:v>0</x:v>
      </x:c>
      <x:c r="S1280" s="26" t="n">
        <x:v>-673</x:v>
      </x:c>
      <x:c r="T1280" s="26" t="n">
        <x:v>0</x:v>
      </x:c>
      <x:c r="U1280" s="26" t="n">
        <x:v>869</x:v>
      </x:c>
      <x:c r="V1280" s="26" t="n">
        <x:v>0</x:v>
      </x:c>
      <x:c r="W1280" s="26" t="n">
        <x:v>0</x:v>
      </x:c>
      <x:c r="X1280" s="26" t="n">
        <x:v>0</x:v>
      </x:c>
      <x:c r="Y1280" s="26" t="n">
        <x:v>0</x:v>
      </x:c>
      <x:c r="Z1280" s="35" t="str">
        <x:v>LN023 scheduled payment</x:v>
      </x:c>
    </x:row>
    <x:row r="1281">
      <x:c r="A1281" s="20" t="str">
        <x:v>FIN-01278</x:v>
      </x:c>
      <x:c r="B1281" s="23" t="n">
        <x:v>46558</x:v>
      </x:c>
      <x:c r="C1281" s="23" t="n">
        <x:v>46558</x:v>
      </x:c>
      <x:c r="D1281" s="20" t="str">
        <x:v>LoanPayment</x:v>
      </x:c>
      <x:c r="E1281" s="20" t="str">
        <x:v>Mortgage principal and interest</x:v>
      </x:c>
      <x:c r="F1281" s="20" t="str">
        <x:v>P025</x:v>
      </x:c>
      <x:c r="G1281" s="20" t="str"/>
      <x:c r="H1281" s="20" t="str"/>
      <x:c r="I1281" s="20" t="str">
        <x:v>First QA Mortgage</x:v>
      </x:c>
      <x:c r="J1281" s="35" t="str">
        <x:v>Recurring loan payment + scanned statement</x:v>
      </x:c>
      <x:c r="K1281" s="20" t="str">
        <x:v>SCN-0610</x:v>
      </x:c>
      <x:c r="L1281" s="20" t="str">
        <x:v>LN025-202706</x:v>
      </x:c>
      <x:c r="M1281" s="26" t="n">
        <x:v>1590</x:v>
      </x:c>
      <x:c r="N1281" s="26" t="n">
        <x:v>0</x:v>
      </x:c>
      <x:c r="O1281" s="26" t="n">
        <x:v>-1590</x:v>
      </x:c>
      <x:c r="P1281" s="26" t="n">
        <x:v>0</x:v>
      </x:c>
      <x:c r="Q1281" s="26" t="n">
        <x:v>0</x:v>
      </x:c>
      <x:c r="R1281" s="26" t="n">
        <x:v>0</x:v>
      </x:c>
      <x:c r="S1281" s="26" t="n">
        <x:v>-695</x:v>
      </x:c>
      <x:c r="T1281" s="26" t="n">
        <x:v>0</x:v>
      </x:c>
      <x:c r="U1281" s="26" t="n">
        <x:v>895</x:v>
      </x:c>
      <x:c r="V1281" s="26" t="n">
        <x:v>0</x:v>
      </x:c>
      <x:c r="W1281" s="26" t="n">
        <x:v>0</x:v>
      </x:c>
      <x:c r="X1281" s="26" t="n">
        <x:v>0</x:v>
      </x:c>
      <x:c r="Y1281" s="26" t="n">
        <x:v>0</x:v>
      </x:c>
      <x:c r="Z1281" s="35" t="str">
        <x:v>LN025 scheduled payment</x:v>
      </x:c>
    </x:row>
    <x:row r="1282">
      <x:c r="A1282" s="20" t="str">
        <x:v>FIN-01279</x:v>
      </x:c>
      <x:c r="B1282" s="23" t="n">
        <x:v>46558</x:v>
      </x:c>
      <x:c r="C1282" s="23" t="n">
        <x:v>46558</x:v>
      </x:c>
      <x:c r="D1282" s="20" t="str">
        <x:v>LoanPayment</x:v>
      </x:c>
      <x:c r="E1282" s="20" t="str">
        <x:v>Mortgage principal and interest</x:v>
      </x:c>
      <x:c r="F1282" s="20" t="str">
        <x:v>P026</x:v>
      </x:c>
      <x:c r="G1282" s="20" t="str"/>
      <x:c r="H1282" s="20" t="str"/>
      <x:c r="I1282" s="20" t="str">
        <x:v>First QA Mortgage</x:v>
      </x:c>
      <x:c r="J1282" s="35" t="str">
        <x:v>Recurring loan payment + scanned statement</x:v>
      </x:c>
      <x:c r="K1282" s="20" t="str">
        <x:v>SCN-0611</x:v>
      </x:c>
      <x:c r="L1282" s="20" t="str">
        <x:v>LN026-202706</x:v>
      </x:c>
      <x:c r="M1282" s="26" t="n">
        <x:v>1614</x:v>
      </x:c>
      <x:c r="N1282" s="26" t="n">
        <x:v>0</x:v>
      </x:c>
      <x:c r="O1282" s="26" t="n">
        <x:v>-1614</x:v>
      </x:c>
      <x:c r="P1282" s="26" t="n">
        <x:v>0</x:v>
      </x:c>
      <x:c r="Q1282" s="26" t="n">
        <x:v>0</x:v>
      </x:c>
      <x:c r="R1282" s="26" t="n">
        <x:v>0</x:v>
      </x:c>
      <x:c r="S1282" s="26" t="n">
        <x:v>-706</x:v>
      </x:c>
      <x:c r="T1282" s="26" t="n">
        <x:v>0</x:v>
      </x:c>
      <x:c r="U1282" s="26" t="n">
        <x:v>908</x:v>
      </x:c>
      <x:c r="V1282" s="26" t="n">
        <x:v>0</x:v>
      </x:c>
      <x:c r="W1282" s="26" t="n">
        <x:v>0</x:v>
      </x:c>
      <x:c r="X1282" s="26" t="n">
        <x:v>0</x:v>
      </x:c>
      <x:c r="Y1282" s="26" t="n">
        <x:v>0</x:v>
      </x:c>
      <x:c r="Z1282" s="35" t="str">
        <x:v>LN026 scheduled payment</x:v>
      </x:c>
    </x:row>
    <x:row r="1283">
      <x:c r="A1283" s="20" t="str">
        <x:v>FIN-01280</x:v>
      </x:c>
      <x:c r="B1283" s="23" t="n">
        <x:v>46558</x:v>
      </x:c>
      <x:c r="C1283" s="23" t="n">
        <x:v>46558</x:v>
      </x:c>
      <x:c r="D1283" s="20" t="str">
        <x:v>LoanPayment</x:v>
      </x:c>
      <x:c r="E1283" s="20" t="str">
        <x:v>Mortgage principal and interest</x:v>
      </x:c>
      <x:c r="F1283" s="20" t="str">
        <x:v>P028</x:v>
      </x:c>
      <x:c r="G1283" s="20" t="str"/>
      <x:c r="H1283" s="20" t="str"/>
      <x:c r="I1283" s="20" t="str">
        <x:v>First QA Mortgage</x:v>
      </x:c>
      <x:c r="J1283" s="35" t="str">
        <x:v>Recurring loan payment + scanned statement</x:v>
      </x:c>
      <x:c r="K1283" s="20" t="str">
        <x:v>SCN-0612</x:v>
      </x:c>
      <x:c r="L1283" s="20" t="str">
        <x:v>LN028-202706</x:v>
      </x:c>
      <x:c r="M1283" s="26" t="n">
        <x:v>1662</x:v>
      </x:c>
      <x:c r="N1283" s="26" t="n">
        <x:v>0</x:v>
      </x:c>
      <x:c r="O1283" s="26" t="n">
        <x:v>-1662</x:v>
      </x:c>
      <x:c r="P1283" s="26" t="n">
        <x:v>0</x:v>
      </x:c>
      <x:c r="Q1283" s="26" t="n">
        <x:v>0</x:v>
      </x:c>
      <x:c r="R1283" s="26" t="n">
        <x:v>0</x:v>
      </x:c>
      <x:c r="S1283" s="26" t="n">
        <x:v>-728</x:v>
      </x:c>
      <x:c r="T1283" s="26" t="n">
        <x:v>0</x:v>
      </x:c>
      <x:c r="U1283" s="26" t="n">
        <x:v>934</x:v>
      </x:c>
      <x:c r="V1283" s="26" t="n">
        <x:v>0</x:v>
      </x:c>
      <x:c r="W1283" s="26" t="n">
        <x:v>0</x:v>
      </x:c>
      <x:c r="X1283" s="26" t="n">
        <x:v>0</x:v>
      </x:c>
      <x:c r="Y1283" s="26" t="n">
        <x:v>0</x:v>
      </x:c>
      <x:c r="Z1283" s="35" t="str">
        <x:v>LN028 scheduled payment</x:v>
      </x:c>
    </x:row>
    <x:row r="1284">
      <x:c r="A1284" s="20" t="str">
        <x:v>FIN-01281</x:v>
      </x:c>
      <x:c r="B1284" s="23" t="n">
        <x:v>46558</x:v>
      </x:c>
      <x:c r="C1284" s="23" t="n">
        <x:v>46558</x:v>
      </x:c>
      <x:c r="D1284" s="20" t="str">
        <x:v>LoanPayment</x:v>
      </x:c>
      <x:c r="E1284" s="20" t="str">
        <x:v>Mortgage principal and interest</x:v>
      </x:c>
      <x:c r="F1284" s="20" t="str">
        <x:v>P029</x:v>
      </x:c>
      <x:c r="G1284" s="20" t="str"/>
      <x:c r="H1284" s="20" t="str"/>
      <x:c r="I1284" s="20" t="str">
        <x:v>First QA Mortgage</x:v>
      </x:c>
      <x:c r="J1284" s="35" t="str">
        <x:v>Recurring loan payment + scanned statement</x:v>
      </x:c>
      <x:c r="K1284" s="20" t="str">
        <x:v>SCN-0613</x:v>
      </x:c>
      <x:c r="L1284" s="20" t="str">
        <x:v>LN029-202706</x:v>
      </x:c>
      <x:c r="M1284" s="26" t="n">
        <x:v>1686</x:v>
      </x:c>
      <x:c r="N1284" s="26" t="n">
        <x:v>0</x:v>
      </x:c>
      <x:c r="O1284" s="26" t="n">
        <x:v>-1686</x:v>
      </x:c>
      <x:c r="P1284" s="26" t="n">
        <x:v>0</x:v>
      </x:c>
      <x:c r="Q1284" s="26" t="n">
        <x:v>0</x:v>
      </x:c>
      <x:c r="R1284" s="26" t="n">
        <x:v>0</x:v>
      </x:c>
      <x:c r="S1284" s="26" t="n">
        <x:v>-739</x:v>
      </x:c>
      <x:c r="T1284" s="26" t="n">
        <x:v>0</x:v>
      </x:c>
      <x:c r="U1284" s="26" t="n">
        <x:v>947</x:v>
      </x:c>
      <x:c r="V1284" s="26" t="n">
        <x:v>0</x:v>
      </x:c>
      <x:c r="W1284" s="26" t="n">
        <x:v>0</x:v>
      </x:c>
      <x:c r="X1284" s="26" t="n">
        <x:v>0</x:v>
      </x:c>
      <x:c r="Y1284" s="26" t="n">
        <x:v>0</x:v>
      </x:c>
      <x:c r="Z1284" s="35" t="str">
        <x:v>LN029 scheduled payment</x:v>
      </x:c>
    </x:row>
    <x:row r="1285">
      <x:c r="A1285" s="20" t="str">
        <x:v>FIN-01282</x:v>
      </x:c>
      <x:c r="B1285" s="23" t="n">
        <x:v>46563</x:v>
      </x:c>
      <x:c r="C1285" s="23" t="n">
        <x:v>46563</x:v>
      </x:c>
      <x:c r="D1285" s="20" t="str">
        <x:v>OwnerDistribution</x:v>
      </x:c>
      <x:c r="E1285" s="20" t="str">
        <x:v>Owner distribution</x:v>
      </x:c>
      <x:c r="F1285" s="20" t="str"/>
      <x:c r="G1285" s="20" t="str"/>
      <x:c r="H1285" s="20" t="str"/>
      <x:c r="I1285" s="20" t="str">
        <x:v>Blue Door Residential LLC</x:v>
      </x:c>
      <x:c r="J1285" s="35" t="str">
        <x:v>Manual approval and bank export</x:v>
      </x:c>
      <x:c r="K1285" s="20" t="str"/>
      <x:c r="L1285" s="20" t="str">
        <x:v>DIST-202706-O01</x:v>
      </x:c>
      <x:c r="M1285" s="26" t="n">
        <x:v>2850</x:v>
      </x:c>
      <x:c r="N1285" s="26" t="n">
        <x:v>0</x:v>
      </x:c>
      <x:c r="O1285" s="26" t="n">
        <x:v>-2850</x:v>
      </x:c>
      <x:c r="P1285" s="26" t="n">
        <x:v>0</x:v>
      </x:c>
      <x:c r="Q1285" s="26" t="n">
        <x:v>0</x:v>
      </x:c>
      <x:c r="R1285" s="26" t="n">
        <x:v>0</x:v>
      </x:c>
      <x:c r="S1285" s="26" t="n">
        <x:v>0</x:v>
      </x:c>
      <x:c r="T1285" s="26" t="n">
        <x:v>0</x:v>
      </x:c>
      <x:c r="U1285" s="26" t="n">
        <x:v>0</x:v>
      </x:c>
      <x:c r="V1285" s="26" t="n">
        <x:v>0</x:v>
      </x:c>
      <x:c r="W1285" s="26" t="n">
        <x:v>2850</x:v>
      </x:c>
      <x:c r="X1285" s="26" t="n">
        <x:v>0</x:v>
      </x:c>
      <x:c r="Y1285" s="26" t="n">
        <x:v>0</x:v>
      </x:c>
      <x:c r="Z1285" s="35" t="str">
        <x:v>Monthly distribution to Blue Door Residential LLC</x:v>
      </x:c>
    </x:row>
    <x:row r="1286">
      <x:c r="A1286" s="20" t="str">
        <x:v>FIN-01283</x:v>
      </x:c>
      <x:c r="B1286" s="23" t="n">
        <x:v>46563</x:v>
      </x:c>
      <x:c r="C1286" s="23" t="n">
        <x:v>46563</x:v>
      </x:c>
      <x:c r="D1286" s="20" t="str">
        <x:v>OwnerDistribution</x:v>
      </x:c>
      <x:c r="E1286" s="20" t="str">
        <x:v>Owner distribution</x:v>
      </x:c>
      <x:c r="F1286" s="20" t="str"/>
      <x:c r="G1286" s="20" t="str"/>
      <x:c r="H1286" s="20" t="str"/>
      <x:c r="I1286" s="20" t="str">
        <x:v>Coble Family Rentals LLC</x:v>
      </x:c>
      <x:c r="J1286" s="35" t="str">
        <x:v>Manual approval and bank export</x:v>
      </x:c>
      <x:c r="K1286" s="20" t="str"/>
      <x:c r="L1286" s="20" t="str">
        <x:v>DIST-202706-O02</x:v>
      </x:c>
      <x:c r="M1286" s="26" t="n">
        <x:v>3200</x:v>
      </x:c>
      <x:c r="N1286" s="26" t="n">
        <x:v>0</x:v>
      </x:c>
      <x:c r="O1286" s="26" t="n">
        <x:v>-3200</x:v>
      </x:c>
      <x:c r="P1286" s="26" t="n">
        <x:v>0</x:v>
      </x:c>
      <x:c r="Q1286" s="26" t="n">
        <x:v>0</x:v>
      </x:c>
      <x:c r="R1286" s="26" t="n">
        <x:v>0</x:v>
      </x:c>
      <x:c r="S1286" s="26" t="n">
        <x:v>0</x:v>
      </x:c>
      <x:c r="T1286" s="26" t="n">
        <x:v>0</x:v>
      </x:c>
      <x:c r="U1286" s="26" t="n">
        <x:v>0</x:v>
      </x:c>
      <x:c r="V1286" s="26" t="n">
        <x:v>0</x:v>
      </x:c>
      <x:c r="W1286" s="26" t="n">
        <x:v>3200</x:v>
      </x:c>
      <x:c r="X1286" s="26" t="n">
        <x:v>0</x:v>
      </x:c>
      <x:c r="Y1286" s="26" t="n">
        <x:v>0</x:v>
      </x:c>
      <x:c r="Z1286" s="35" t="str">
        <x:v>Monthly distribution to Coble Family Rentals LLC</x:v>
      </x:c>
    </x:row>
    <x:row r="1287">
      <x:c r="A1287" s="20" t="str">
        <x:v>FIN-01284</x:v>
      </x:c>
      <x:c r="B1287" s="23" t="n">
        <x:v>46563</x:v>
      </x:c>
      <x:c r="C1287" s="23" t="n">
        <x:v>46563</x:v>
      </x:c>
      <x:c r="D1287" s="20" t="str">
        <x:v>OwnerDistribution</x:v>
      </x:c>
      <x:c r="E1287" s="20" t="str">
        <x:v>Owner distribution</x:v>
      </x:c>
      <x:c r="F1287" s="20" t="str"/>
      <x:c r="G1287" s="20" t="str"/>
      <x:c r="H1287" s="20" t="str"/>
      <x:c r="I1287" s="20" t="str">
        <x:v>Northstar Property Partners LLC</x:v>
      </x:c>
      <x:c r="J1287" s="35" t="str">
        <x:v>Manual approval and bank export</x:v>
      </x:c>
      <x:c r="K1287" s="20" t="str"/>
      <x:c r="L1287" s="20" t="str">
        <x:v>DIST-202706-O03</x:v>
      </x:c>
      <x:c r="M1287" s="26" t="n">
        <x:v>3550</x:v>
      </x:c>
      <x:c r="N1287" s="26" t="n">
        <x:v>0</x:v>
      </x:c>
      <x:c r="O1287" s="26" t="n">
        <x:v>-3550</x:v>
      </x:c>
      <x:c r="P1287" s="26" t="n">
        <x:v>0</x:v>
      </x:c>
      <x:c r="Q1287" s="26" t="n">
        <x:v>0</x:v>
      </x:c>
      <x:c r="R1287" s="26" t="n">
        <x:v>0</x:v>
      </x:c>
      <x:c r="S1287" s="26" t="n">
        <x:v>0</x:v>
      </x:c>
      <x:c r="T1287" s="26" t="n">
        <x:v>0</x:v>
      </x:c>
      <x:c r="U1287" s="26" t="n">
        <x:v>0</x:v>
      </x:c>
      <x:c r="V1287" s="26" t="n">
        <x:v>0</x:v>
      </x:c>
      <x:c r="W1287" s="26" t="n">
        <x:v>3550</x:v>
      </x:c>
      <x:c r="X1287" s="26" t="n">
        <x:v>0</x:v>
      </x:c>
      <x:c r="Y1287" s="26" t="n">
        <x:v>0</x:v>
      </x:c>
      <x:c r="Z1287" s="35" t="str">
        <x:v>Monthly distribution to Northstar Property Partners LLC</x:v>
      </x:c>
    </x:row>
    <x:row r="1288">
      <x:c r="A1288" s="20" t="str">
        <x:v>FIN-01285</x:v>
      </x:c>
      <x:c r="B1288" s="23" t="n">
        <x:v>46563</x:v>
      </x:c>
      <x:c r="C1288" s="23" t="n">
        <x:v>46563</x:v>
      </x:c>
      <x:c r="D1288" s="20" t="str">
        <x:v>OwnerDistribution</x:v>
      </x:c>
      <x:c r="E1288" s="20" t="str">
        <x:v>Owner distribution</x:v>
      </x:c>
      <x:c r="F1288" s="20" t="str"/>
      <x:c r="G1288" s="20" t="str"/>
      <x:c r="H1288" s="20" t="str"/>
      <x:c r="I1288" s="20" t="str">
        <x:v>Riverbend Homes LLC</x:v>
      </x:c>
      <x:c r="J1288" s="35" t="str">
        <x:v>Manual approval and bank export</x:v>
      </x:c>
      <x:c r="K1288" s="20" t="str"/>
      <x:c r="L1288" s="20" t="str">
        <x:v>DIST-202706-O04</x:v>
      </x:c>
      <x:c r="M1288" s="26" t="n">
        <x:v>3900</x:v>
      </x:c>
      <x:c r="N1288" s="26" t="n">
        <x:v>0</x:v>
      </x:c>
      <x:c r="O1288" s="26" t="n">
        <x:v>-3900</x:v>
      </x:c>
      <x:c r="P1288" s="26" t="n">
        <x:v>0</x:v>
      </x:c>
      <x:c r="Q1288" s="26" t="n">
        <x:v>0</x:v>
      </x:c>
      <x:c r="R1288" s="26" t="n">
        <x:v>0</x:v>
      </x:c>
      <x:c r="S1288" s="26" t="n">
        <x:v>0</x:v>
      </x:c>
      <x:c r="T1288" s="26" t="n">
        <x:v>0</x:v>
      </x:c>
      <x:c r="U1288" s="26" t="n">
        <x:v>0</x:v>
      </x:c>
      <x:c r="V1288" s="26" t="n">
        <x:v>0</x:v>
      </x:c>
      <x:c r="W1288" s="26" t="n">
        <x:v>3900</x:v>
      </x:c>
      <x:c r="X1288" s="26" t="n">
        <x:v>0</x:v>
      </x:c>
      <x:c r="Y1288" s="26" t="n">
        <x:v>0</x:v>
      </x:c>
      <x:c r="Z1288" s="35" t="str">
        <x:v>Monthly distribution to Riverbend Homes LLC</x:v>
      </x:c>
    </x:row>
    <x:row r="1289">
      <x:c r="A1289" s="20" t="str">
        <x:v>FIN-01286</x:v>
      </x:c>
      <x:c r="B1289" s="23" t="n">
        <x:v>46563</x:v>
      </x:c>
      <x:c r="C1289" s="23" t="n">
        <x:v>46563</x:v>
      </x:c>
      <x:c r="D1289" s="20" t="str">
        <x:v>OwnerDistribution</x:v>
      </x:c>
      <x:c r="E1289" s="20" t="str">
        <x:v>Owner distribution</x:v>
      </x:c>
      <x:c r="F1289" s="20" t="str"/>
      <x:c r="G1289" s="20" t="str"/>
      <x:c r="H1289" s="20" t="str"/>
      <x:c r="I1289" s="20" t="str">
        <x:v>Juniper Street Holdings LLC</x:v>
      </x:c>
      <x:c r="J1289" s="35" t="str">
        <x:v>Manual approval and bank export</x:v>
      </x:c>
      <x:c r="K1289" s="20" t="str"/>
      <x:c r="L1289" s="20" t="str">
        <x:v>DIST-202706-O05</x:v>
      </x:c>
      <x:c r="M1289" s="26" t="n">
        <x:v>4250</x:v>
      </x:c>
      <x:c r="N1289" s="26" t="n">
        <x:v>0</x:v>
      </x:c>
      <x:c r="O1289" s="26" t="n">
        <x:v>-4250</x:v>
      </x:c>
      <x:c r="P1289" s="26" t="n">
        <x:v>0</x:v>
      </x:c>
      <x:c r="Q1289" s="26" t="n">
        <x:v>0</x:v>
      </x:c>
      <x:c r="R1289" s="26" t="n">
        <x:v>0</x:v>
      </x:c>
      <x:c r="S1289" s="26" t="n">
        <x:v>0</x:v>
      </x:c>
      <x:c r="T1289" s="26" t="n">
        <x:v>0</x:v>
      </x:c>
      <x:c r="U1289" s="26" t="n">
        <x:v>0</x:v>
      </x:c>
      <x:c r="V1289" s="26" t="n">
        <x:v>0</x:v>
      </x:c>
      <x:c r="W1289" s="26" t="n">
        <x:v>4250</x:v>
      </x:c>
      <x:c r="X1289" s="26" t="n">
        <x:v>0</x:v>
      </x:c>
      <x:c r="Y1289" s="26" t="n">
        <x:v>0</x:v>
      </x:c>
      <x:c r="Z1289" s="35" t="str">
        <x:v>Monthly distribution to Juniper Street Holdings LLC</x:v>
      </x:c>
    </x:row>
    <x:row r="1290">
      <x:c r="A1290" s="20" t="str">
        <x:v>FIN-01287</x:v>
      </x:c>
      <x:c r="B1290" s="23" t="n">
        <x:v>46568</x:v>
      </x:c>
      <x:c r="C1290" s="23" t="n">
        <x:v>46568</x:v>
      </x:c>
      <x:c r="D1290" s="20" t="str">
        <x:v>BankFee</x:v>
      </x:c>
      <x:c r="E1290" s="20" t="str">
        <x:v>Bank fee</x:v>
      </x:c>
      <x:c r="F1290" s="20" t="str"/>
      <x:c r="G1290" s="20" t="str"/>
      <x:c r="H1290" s="20" t="str"/>
      <x:c r="I1290" s="20" t="str">
        <x:v>First QA Bank</x:v>
      </x:c>
      <x:c r="J1290" s="35" t="str">
        <x:v>Bank statement match</x:v>
      </x:c>
      <x:c r="K1290" s="20" t="str">
        <x:v>SCN-0614</x:v>
      </x:c>
      <x:c r="L1290" s="20" t="str">
        <x:v>BANKFEE-202706</x:v>
      </x:c>
      <x:c r="M1290" s="26" t="n">
        <x:v>18</x:v>
      </x:c>
      <x:c r="N1290" s="26" t="n">
        <x:v>0</x:v>
      </x:c>
      <x:c r="O1290" s="26" t="n">
        <x:v>-18</x:v>
      </x:c>
      <x:c r="P1290" s="26" t="n">
        <x:v>0</x:v>
      </x:c>
      <x:c r="Q1290" s="26" t="n">
        <x:v>0</x:v>
      </x:c>
      <x:c r="R1290" s="26" t="n">
        <x:v>0</x:v>
      </x:c>
      <x:c r="S1290" s="26" t="n">
        <x:v>0</x:v>
      </x:c>
      <x:c r="T1290" s="26" t="n">
        <x:v>0</x:v>
      </x:c>
      <x:c r="U1290" s="26" t="n">
        <x:v>18</x:v>
      </x:c>
      <x:c r="V1290" s="26" t="n">
        <x:v>0</x:v>
      </x:c>
      <x:c r="W1290" s="26" t="n">
        <x:v>0</x:v>
      </x:c>
      <x:c r="X1290" s="26" t="n">
        <x:v>0</x:v>
      </x:c>
      <x:c r="Y1290" s="26" t="n">
        <x:v>0</x:v>
      </x:c>
      <x:c r="Z1290" s="35" t="str">
        <x:v>Quarterly account analysis fee</x:v>
      </x:c>
    </x:row>
    <x:row r="1291">
      <x:c r="A1291" s="20" t="str">
        <x:v>FIN-01288</x:v>
      </x:c>
      <x:c r="B1291" s="23" t="n">
        <x:v>46583</x:v>
      </x:c>
      <x:c r="C1291" s="23" t="n">
        <x:v>46583</x:v>
      </x:c>
      <x:c r="D1291" s="20" t="str">
        <x:v>OperatingExpense</x:v>
      </x:c>
      <x:c r="E1291" s="20" t="str">
        <x:v>Utilities</x:v>
      </x:c>
      <x:c r="F1291" s="20" t="str">
        <x:v>P021</x:v>
      </x:c>
      <x:c r="G1291" s="20" t="str"/>
      <x:c r="H1291" s="20" t="str"/>
      <x:c r="I1291" s="20" t="str">
        <x:v>City Water &amp; Sewer</x:v>
      </x:c>
      <x:c r="J1291" s="35" t="str">
        <x:v>Scanned receipt/invoice</x:v>
      </x:c>
      <x:c r="K1291" s="20" t="str">
        <x:v>SCN-0615</x:v>
      </x:c>
      <x:c r="L1291" s="20" t="str">
        <x:v>EXP-20270715-1141</x:v>
      </x:c>
      <x:c r="M1291" s="26" t="n">
        <x:v>202</x:v>
      </x:c>
      <x:c r="N1291" s="26" t="n">
        <x:v>0</x:v>
      </x:c>
      <x:c r="O1291" s="26" t="n">
        <x:v>-202</x:v>
      </x:c>
      <x:c r="P1291" s="26" t="n">
        <x:v>0</x:v>
      </x:c>
      <x:c r="Q1291" s="26" t="n">
        <x:v>0</x:v>
      </x:c>
      <x:c r="R1291" s="26" t="n">
        <x:v>0</x:v>
      </x:c>
      <x:c r="S1291" s="26" t="n">
        <x:v>0</x:v>
      </x:c>
      <x:c r="T1291" s="26" t="n">
        <x:v>0</x:v>
      </x:c>
      <x:c r="U1291" s="26" t="n">
        <x:v>202</x:v>
      </x:c>
      <x:c r="V1291" s="26" t="n">
        <x:v>0</x:v>
      </x:c>
      <x:c r="W1291" s="26" t="n">
        <x:v>0</x:v>
      </x:c>
      <x:c r="X1291" s="26" t="n">
        <x:v>0</x:v>
      </x:c>
      <x:c r="Y1291" s="26" t="n">
        <x:v>0</x:v>
      </x:c>
      <x:c r="Z1291" s="35" t="str">
        <x:v>City Water &amp; Sewer</x:v>
      </x:c>
    </x:row>
    <x:row r="1292">
      <x:c r="A1292" s="20" t="str">
        <x:v>FIN-01289</x:v>
      </x:c>
      <x:c r="B1292" s="23" t="n">
        <x:v>46583</x:v>
      </x:c>
      <x:c r="C1292" s="23" t="n">
        <x:v>46583</x:v>
      </x:c>
      <x:c r="D1292" s="20" t="str">
        <x:v>OperatingExpense</x:v>
      </x:c>
      <x:c r="E1292" s="20" t="str">
        <x:v>Utilities</x:v>
      </x:c>
      <x:c r="F1292" s="20" t="str">
        <x:v>P022</x:v>
      </x:c>
      <x:c r="G1292" s="20" t="str"/>
      <x:c r="H1292" s="20" t="str"/>
      <x:c r="I1292" s="20" t="str">
        <x:v>City Water &amp; Sewer</x:v>
      </x:c>
      <x:c r="J1292" s="35" t="str">
        <x:v>Scanned receipt/invoice</x:v>
      </x:c>
      <x:c r="K1292" s="20" t="str">
        <x:v>SCN-0616</x:v>
      </x:c>
      <x:c r="L1292" s="20" t="str">
        <x:v>EXP-20270715-1142</x:v>
      </x:c>
      <x:c r="M1292" s="26" t="n">
        <x:v>119</x:v>
      </x:c>
      <x:c r="N1292" s="26" t="n">
        <x:v>0</x:v>
      </x:c>
      <x:c r="O1292" s="26" t="n">
        <x:v>-119</x:v>
      </x:c>
      <x:c r="P1292" s="26" t="n">
        <x:v>0</x:v>
      </x:c>
      <x:c r="Q1292" s="26" t="n">
        <x:v>0</x:v>
      </x:c>
      <x:c r="R1292" s="26" t="n">
        <x:v>0</x:v>
      </x:c>
      <x:c r="S1292" s="26" t="n">
        <x:v>0</x:v>
      </x:c>
      <x:c r="T1292" s="26" t="n">
        <x:v>0</x:v>
      </x:c>
      <x:c r="U1292" s="26" t="n">
        <x:v>119</x:v>
      </x:c>
      <x:c r="V1292" s="26" t="n">
        <x:v>0</x:v>
      </x:c>
      <x:c r="W1292" s="26" t="n">
        <x:v>0</x:v>
      </x:c>
      <x:c r="X1292" s="26" t="n">
        <x:v>0</x:v>
      </x:c>
      <x:c r="Y1292" s="26" t="n">
        <x:v>0</x:v>
      </x:c>
      <x:c r="Z1292" s="35" t="str">
        <x:v>City Water &amp; Sewer</x:v>
      </x:c>
    </x:row>
    <x:row r="1293">
      <x:c r="A1293" s="20" t="str">
        <x:v>FIN-01290</x:v>
      </x:c>
      <x:c r="B1293" s="23" t="n">
        <x:v>46583</x:v>
      </x:c>
      <x:c r="C1293" s="23" t="n">
        <x:v>46583</x:v>
      </x:c>
      <x:c r="D1293" s="20" t="str">
        <x:v>OperatingExpense</x:v>
      </x:c>
      <x:c r="E1293" s="20" t="str">
        <x:v>Utilities</x:v>
      </x:c>
      <x:c r="F1293" s="20" t="str">
        <x:v>P023</x:v>
      </x:c>
      <x:c r="G1293" s="20" t="str"/>
      <x:c r="H1293" s="20" t="str"/>
      <x:c r="I1293" s="20" t="str">
        <x:v>City Water &amp; Sewer</x:v>
      </x:c>
      <x:c r="J1293" s="35" t="str">
        <x:v>Scanned receipt/invoice</x:v>
      </x:c>
      <x:c r="K1293" s="20" t="str">
        <x:v>SCN-0617</x:v>
      </x:c>
      <x:c r="L1293" s="20" t="str">
        <x:v>EXP-20270715-1143</x:v>
      </x:c>
      <x:c r="M1293" s="26" t="n">
        <x:v>126</x:v>
      </x:c>
      <x:c r="N1293" s="26" t="n">
        <x:v>0</x:v>
      </x:c>
      <x:c r="O1293" s="26" t="n">
        <x:v>-126</x:v>
      </x:c>
      <x:c r="P1293" s="26" t="n">
        <x:v>0</x:v>
      </x:c>
      <x:c r="Q1293" s="26" t="n">
        <x:v>0</x:v>
      </x:c>
      <x:c r="R1293" s="26" t="n">
        <x:v>0</x:v>
      </x:c>
      <x:c r="S1293" s="26" t="n">
        <x:v>0</x:v>
      </x:c>
      <x:c r="T1293" s="26" t="n">
        <x:v>0</x:v>
      </x:c>
      <x:c r="U1293" s="26" t="n">
        <x:v>126</x:v>
      </x:c>
      <x:c r="V1293" s="26" t="n">
        <x:v>0</x:v>
      </x:c>
      <x:c r="W1293" s="26" t="n">
        <x:v>0</x:v>
      </x:c>
      <x:c r="X1293" s="26" t="n">
        <x:v>0</x:v>
      </x:c>
      <x:c r="Y1293" s="26" t="n">
        <x:v>0</x:v>
      </x:c>
      <x:c r="Z1293" s="35" t="str">
        <x:v>City Water &amp; Sewer</x:v>
      </x:c>
    </x:row>
    <x:row r="1294">
      <x:c r="A1294" s="20" t="str">
        <x:v>FIN-01291</x:v>
      </x:c>
      <x:c r="B1294" s="23" t="n">
        <x:v>46583</x:v>
      </x:c>
      <x:c r="C1294" s="23" t="n">
        <x:v>46583</x:v>
      </x:c>
      <x:c r="D1294" s="20" t="str">
        <x:v>OperatingExpense</x:v>
      </x:c>
      <x:c r="E1294" s="20" t="str">
        <x:v>Utilities</x:v>
      </x:c>
      <x:c r="F1294" s="20" t="str">
        <x:v>P024</x:v>
      </x:c>
      <x:c r="G1294" s="20" t="str"/>
      <x:c r="H1294" s="20" t="str"/>
      <x:c r="I1294" s="20" t="str">
        <x:v>City Water &amp; Sewer</x:v>
      </x:c>
      <x:c r="J1294" s="35" t="str">
        <x:v>Scanned receipt/invoice</x:v>
      </x:c>
      <x:c r="K1294" s="20" t="str">
        <x:v>SCN-0618</x:v>
      </x:c>
      <x:c r="L1294" s="20" t="str">
        <x:v>EXP-20270715-1144</x:v>
      </x:c>
      <x:c r="M1294" s="26" t="n">
        <x:v>133</x:v>
      </x:c>
      <x:c r="N1294" s="26" t="n">
        <x:v>0</x:v>
      </x:c>
      <x:c r="O1294" s="26" t="n">
        <x:v>-133</x:v>
      </x:c>
      <x:c r="P1294" s="26" t="n">
        <x:v>0</x:v>
      </x:c>
      <x:c r="Q1294" s="26" t="n">
        <x:v>0</x:v>
      </x:c>
      <x:c r="R1294" s="26" t="n">
        <x:v>0</x:v>
      </x:c>
      <x:c r="S1294" s="26" t="n">
        <x:v>0</x:v>
      </x:c>
      <x:c r="T1294" s="26" t="n">
        <x:v>0</x:v>
      </x:c>
      <x:c r="U1294" s="26" t="n">
        <x:v>133</x:v>
      </x:c>
      <x:c r="V1294" s="26" t="n">
        <x:v>0</x:v>
      </x:c>
      <x:c r="W1294" s="26" t="n">
        <x:v>0</x:v>
      </x:c>
      <x:c r="X1294" s="26" t="n">
        <x:v>0</x:v>
      </x:c>
      <x:c r="Y1294" s="26" t="n">
        <x:v>0</x:v>
      </x:c>
      <x:c r="Z1294" s="35" t="str">
        <x:v>City Water &amp; Sewer</x:v>
      </x:c>
    </x:row>
    <x:row r="1295">
      <x:c r="A1295" s="20" t="str">
        <x:v>FIN-01292</x:v>
      </x:c>
      <x:c r="B1295" s="23" t="n">
        <x:v>46583</x:v>
      </x:c>
      <x:c r="C1295" s="23" t="n">
        <x:v>46583</x:v>
      </x:c>
      <x:c r="D1295" s="20" t="str">
        <x:v>OperatingExpense</x:v>
      </x:c>
      <x:c r="E1295" s="20" t="str">
        <x:v>Utilities</x:v>
      </x:c>
      <x:c r="F1295" s="20" t="str">
        <x:v>P025</x:v>
      </x:c>
      <x:c r="G1295" s="20" t="str"/>
      <x:c r="H1295" s="20" t="str"/>
      <x:c r="I1295" s="20" t="str">
        <x:v>City Water &amp; Sewer</x:v>
      </x:c>
      <x:c r="J1295" s="35" t="str">
        <x:v>Manual web form</x:v>
      </x:c>
      <x:c r="K1295" s="20" t="str"/>
      <x:c r="L1295" s="20" t="str">
        <x:v>EXP-20270715-1145</x:v>
      </x:c>
      <x:c r="M1295" s="26" t="n">
        <x:v>140</x:v>
      </x:c>
      <x:c r="N1295" s="26" t="n">
        <x:v>0</x:v>
      </x:c>
      <x:c r="O1295" s="26" t="n">
        <x:v>-140</x:v>
      </x:c>
      <x:c r="P1295" s="26" t="n">
        <x:v>0</x:v>
      </x:c>
      <x:c r="Q1295" s="26" t="n">
        <x:v>0</x:v>
      </x:c>
      <x:c r="R1295" s="26" t="n">
        <x:v>0</x:v>
      </x:c>
      <x:c r="S1295" s="26" t="n">
        <x:v>0</x:v>
      </x:c>
      <x:c r="T1295" s="26" t="n">
        <x:v>0</x:v>
      </x:c>
      <x:c r="U1295" s="26" t="n">
        <x:v>140</x:v>
      </x:c>
      <x:c r="V1295" s="26" t="n">
        <x:v>0</x:v>
      </x:c>
      <x:c r="W1295" s="26" t="n">
        <x:v>0</x:v>
      </x:c>
      <x:c r="X1295" s="26" t="n">
        <x:v>0</x:v>
      </x:c>
      <x:c r="Y1295" s="26" t="n">
        <x:v>0</x:v>
      </x:c>
      <x:c r="Z1295" s="35" t="str">
        <x:v>City Water &amp; Sewer</x:v>
      </x:c>
    </x:row>
    <x:row r="1296">
      <x:c r="A1296" s="20" t="str">
        <x:v>FIN-01293</x:v>
      </x:c>
      <x:c r="B1296" s="23" t="n">
        <x:v>46583</x:v>
      </x:c>
      <x:c r="C1296" s="23" t="n">
        <x:v>46583</x:v>
      </x:c>
      <x:c r="D1296" s="20" t="str">
        <x:v>OperatingExpense</x:v>
      </x:c>
      <x:c r="E1296" s="20" t="str">
        <x:v>Utilities</x:v>
      </x:c>
      <x:c r="F1296" s="20" t="str">
        <x:v>P026</x:v>
      </x:c>
      <x:c r="G1296" s="20" t="str"/>
      <x:c r="H1296" s="20" t="str"/>
      <x:c r="I1296" s="20" t="str">
        <x:v>City Water &amp; Sewer</x:v>
      </x:c>
      <x:c r="J1296" s="35" t="str">
        <x:v>Scanned receipt/invoice</x:v>
      </x:c>
      <x:c r="K1296" s="20" t="str">
        <x:v>SCN-0619</x:v>
      </x:c>
      <x:c r="L1296" s="20" t="str">
        <x:v>EXP-20270715-1146</x:v>
      </x:c>
      <x:c r="M1296" s="26" t="n">
        <x:v>147</x:v>
      </x:c>
      <x:c r="N1296" s="26" t="n">
        <x:v>0</x:v>
      </x:c>
      <x:c r="O1296" s="26" t="n">
        <x:v>-147</x:v>
      </x:c>
      <x:c r="P1296" s="26" t="n">
        <x:v>0</x:v>
      </x:c>
      <x:c r="Q1296" s="26" t="n">
        <x:v>0</x:v>
      </x:c>
      <x:c r="R1296" s="26" t="n">
        <x:v>0</x:v>
      </x:c>
      <x:c r="S1296" s="26" t="n">
        <x:v>0</x:v>
      </x:c>
      <x:c r="T1296" s="26" t="n">
        <x:v>0</x:v>
      </x:c>
      <x:c r="U1296" s="26" t="n">
        <x:v>147</x:v>
      </x:c>
      <x:c r="V1296" s="26" t="n">
        <x:v>0</x:v>
      </x:c>
      <x:c r="W1296" s="26" t="n">
        <x:v>0</x:v>
      </x:c>
      <x:c r="X1296" s="26" t="n">
        <x:v>0</x:v>
      </x:c>
      <x:c r="Y1296" s="26" t="n">
        <x:v>0</x:v>
      </x:c>
      <x:c r="Z1296" s="35" t="str">
        <x:v>City Water &amp; Sewer</x:v>
      </x:c>
    </x:row>
    <x:row r="1297">
      <x:c r="A1297" s="20" t="str">
        <x:v>FIN-01294</x:v>
      </x:c>
      <x:c r="B1297" s="23" t="n">
        <x:v>46583</x:v>
      </x:c>
      <x:c r="C1297" s="23" t="n">
        <x:v>46583</x:v>
      </x:c>
      <x:c r="D1297" s="20" t="str">
        <x:v>OperatingExpense</x:v>
      </x:c>
      <x:c r="E1297" s="20" t="str">
        <x:v>Utilities</x:v>
      </x:c>
      <x:c r="F1297" s="20" t="str">
        <x:v>P027</x:v>
      </x:c>
      <x:c r="G1297" s="20" t="str"/>
      <x:c r="H1297" s="20" t="str"/>
      <x:c r="I1297" s="20" t="str">
        <x:v>City Water &amp; Sewer</x:v>
      </x:c>
      <x:c r="J1297" s="35" t="str">
        <x:v>Scanned receipt/invoice</x:v>
      </x:c>
      <x:c r="K1297" s="20" t="str">
        <x:v>SCN-0620</x:v>
      </x:c>
      <x:c r="L1297" s="20" t="str">
        <x:v>EXP-20270715-1147</x:v>
      </x:c>
      <x:c r="M1297" s="26" t="n">
        <x:v>154</x:v>
      </x:c>
      <x:c r="N1297" s="26" t="n">
        <x:v>0</x:v>
      </x:c>
      <x:c r="O1297" s="26" t="n">
        <x:v>-154</x:v>
      </x:c>
      <x:c r="P1297" s="26" t="n">
        <x:v>0</x:v>
      </x:c>
      <x:c r="Q1297" s="26" t="n">
        <x:v>0</x:v>
      </x:c>
      <x:c r="R1297" s="26" t="n">
        <x:v>0</x:v>
      </x:c>
      <x:c r="S1297" s="26" t="n">
        <x:v>0</x:v>
      </x:c>
      <x:c r="T1297" s="26" t="n">
        <x:v>0</x:v>
      </x:c>
      <x:c r="U1297" s="26" t="n">
        <x:v>154</x:v>
      </x:c>
      <x:c r="V1297" s="26" t="n">
        <x:v>0</x:v>
      </x:c>
      <x:c r="W1297" s="26" t="n">
        <x:v>0</x:v>
      </x:c>
      <x:c r="X1297" s="26" t="n">
        <x:v>0</x:v>
      </x:c>
      <x:c r="Y1297" s="26" t="n">
        <x:v>0</x:v>
      </x:c>
      <x:c r="Z1297" s="35" t="str">
        <x:v>City Water &amp; Sewer</x:v>
      </x:c>
    </x:row>
    <x:row r="1298">
      <x:c r="A1298" s="20" t="str">
        <x:v>FIN-01295</x:v>
      </x:c>
      <x:c r="B1298" s="23" t="n">
        <x:v>46583</x:v>
      </x:c>
      <x:c r="C1298" s="23" t="n">
        <x:v>46583</x:v>
      </x:c>
      <x:c r="D1298" s="20" t="str">
        <x:v>OperatingExpense</x:v>
      </x:c>
      <x:c r="E1298" s="20" t="str">
        <x:v>Utilities</x:v>
      </x:c>
      <x:c r="F1298" s="20" t="str">
        <x:v>P028</x:v>
      </x:c>
      <x:c r="G1298" s="20" t="str"/>
      <x:c r="H1298" s="20" t="str"/>
      <x:c r="I1298" s="20" t="str">
        <x:v>City Water &amp; Sewer</x:v>
      </x:c>
      <x:c r="J1298" s="35" t="str">
        <x:v>Scanned receipt/invoice</x:v>
      </x:c>
      <x:c r="K1298" s="20" t="str">
        <x:v>SCN-0621</x:v>
      </x:c>
      <x:c r="L1298" s="20" t="str">
        <x:v>EXP-20270715-1148</x:v>
      </x:c>
      <x:c r="M1298" s="26" t="n">
        <x:v>161</x:v>
      </x:c>
      <x:c r="N1298" s="26" t="n">
        <x:v>0</x:v>
      </x:c>
      <x:c r="O1298" s="26" t="n">
        <x:v>-161</x:v>
      </x:c>
      <x:c r="P1298" s="26" t="n">
        <x:v>0</x:v>
      </x:c>
      <x:c r="Q1298" s="26" t="n">
        <x:v>0</x:v>
      </x:c>
      <x:c r="R1298" s="26" t="n">
        <x:v>0</x:v>
      </x:c>
      <x:c r="S1298" s="26" t="n">
        <x:v>0</x:v>
      </x:c>
      <x:c r="T1298" s="26" t="n">
        <x:v>0</x:v>
      </x:c>
      <x:c r="U1298" s="26" t="n">
        <x:v>161</x:v>
      </x:c>
      <x:c r="V1298" s="26" t="n">
        <x:v>0</x:v>
      </x:c>
      <x:c r="W1298" s="26" t="n">
        <x:v>0</x:v>
      </x:c>
      <x:c r="X1298" s="26" t="n">
        <x:v>0</x:v>
      </x:c>
      <x:c r="Y1298" s="26" t="n">
        <x:v>0</x:v>
      </x:c>
      <x:c r="Z1298" s="35" t="str">
        <x:v>City Water &amp; Sewer</x:v>
      </x:c>
    </x:row>
    <x:row r="1299">
      <x:c r="A1299" s="20" t="str">
        <x:v>FIN-01296</x:v>
      </x:c>
      <x:c r="B1299" s="23" t="n">
        <x:v>46583</x:v>
      </x:c>
      <x:c r="C1299" s="23" t="n">
        <x:v>46583</x:v>
      </x:c>
      <x:c r="D1299" s="20" t="str">
        <x:v>OperatingExpense</x:v>
      </x:c>
      <x:c r="E1299" s="20" t="str">
        <x:v>Utilities</x:v>
      </x:c>
      <x:c r="F1299" s="20" t="str">
        <x:v>P029</x:v>
      </x:c>
      <x:c r="G1299" s="20" t="str"/>
      <x:c r="H1299" s="20" t="str"/>
      <x:c r="I1299" s="20" t="str">
        <x:v>City Water &amp; Sewer</x:v>
      </x:c>
      <x:c r="J1299" s="35" t="str">
        <x:v>Scanned receipt/invoice</x:v>
      </x:c>
      <x:c r="K1299" s="20" t="str">
        <x:v>SCN-0622</x:v>
      </x:c>
      <x:c r="L1299" s="20" t="str">
        <x:v>EXP-20270715-1149</x:v>
      </x:c>
      <x:c r="M1299" s="26" t="n">
        <x:v>168</x:v>
      </x:c>
      <x:c r="N1299" s="26" t="n">
        <x:v>0</x:v>
      </x:c>
      <x:c r="O1299" s="26" t="n">
        <x:v>-168</x:v>
      </x:c>
      <x:c r="P1299" s="26" t="n">
        <x:v>0</x:v>
      </x:c>
      <x:c r="Q1299" s="26" t="n">
        <x:v>0</x:v>
      </x:c>
      <x:c r="R1299" s="26" t="n">
        <x:v>0</x:v>
      </x:c>
      <x:c r="S1299" s="26" t="n">
        <x:v>0</x:v>
      </x:c>
      <x:c r="T1299" s="26" t="n">
        <x:v>0</x:v>
      </x:c>
      <x:c r="U1299" s="26" t="n">
        <x:v>168</x:v>
      </x:c>
      <x:c r="V1299" s="26" t="n">
        <x:v>0</x:v>
      </x:c>
      <x:c r="W1299" s="26" t="n">
        <x:v>0</x:v>
      </x:c>
      <x:c r="X1299" s="26" t="n">
        <x:v>0</x:v>
      </x:c>
      <x:c r="Y1299" s="26" t="n">
        <x:v>0</x:v>
      </x:c>
      <x:c r="Z1299" s="35" t="str">
        <x:v>City Water &amp; Sewer</x:v>
      </x:c>
    </x:row>
    <x:row r="1300">
      <x:c r="A1300" s="20" t="str">
        <x:v>FIN-01297</x:v>
      </x:c>
      <x:c r="B1300" s="23" t="n">
        <x:v>46583</x:v>
      </x:c>
      <x:c r="C1300" s="23" t="n">
        <x:v>46583</x:v>
      </x:c>
      <x:c r="D1300" s="20" t="str">
        <x:v>OperatingExpense</x:v>
      </x:c>
      <x:c r="E1300" s="20" t="str">
        <x:v>Utilities</x:v>
      </x:c>
      <x:c r="F1300" s="20" t="str">
        <x:v>P030</x:v>
      </x:c>
      <x:c r="G1300" s="20" t="str"/>
      <x:c r="H1300" s="20" t="str"/>
      <x:c r="I1300" s="20" t="str">
        <x:v>City Water &amp; Sewer</x:v>
      </x:c>
      <x:c r="J1300" s="35" t="str">
        <x:v>Manual mobile form</x:v>
      </x:c>
      <x:c r="K1300" s="20" t="str"/>
      <x:c r="L1300" s="20" t="str">
        <x:v>EXP-20270715-1150</x:v>
      </x:c>
      <x:c r="M1300" s="26" t="n">
        <x:v>175</x:v>
      </x:c>
      <x:c r="N1300" s="26" t="n">
        <x:v>0</x:v>
      </x:c>
      <x:c r="O1300" s="26" t="n">
        <x:v>-175</x:v>
      </x:c>
      <x:c r="P1300" s="26" t="n">
        <x:v>0</x:v>
      </x:c>
      <x:c r="Q1300" s="26" t="n">
        <x:v>0</x:v>
      </x:c>
      <x:c r="R1300" s="26" t="n">
        <x:v>0</x:v>
      </x:c>
      <x:c r="S1300" s="26" t="n">
        <x:v>0</x:v>
      </x:c>
      <x:c r="T1300" s="26" t="n">
        <x:v>0</x:v>
      </x:c>
      <x:c r="U1300" s="26" t="n">
        <x:v>175</x:v>
      </x:c>
      <x:c r="V1300" s="26" t="n">
        <x:v>0</x:v>
      </x:c>
      <x:c r="W1300" s="26" t="n">
        <x:v>0</x:v>
      </x:c>
      <x:c r="X1300" s="26" t="n">
        <x:v>0</x:v>
      </x:c>
      <x:c r="Y1300" s="26" t="n">
        <x:v>0</x:v>
      </x:c>
      <x:c r="Z1300" s="35" t="str">
        <x:v>City Water &amp; Sewer</x:v>
      </x:c>
    </x:row>
    <x:row r="1301">
      <x:c r="A1301" s="20" t="str">
        <x:v>FIN-01298</x:v>
      </x:c>
      <x:c r="B1301" s="23" t="n">
        <x:v>46588</x:v>
      </x:c>
      <x:c r="C1301" s="23" t="n">
        <x:v>46588</x:v>
      </x:c>
      <x:c r="D1301" s="20" t="str">
        <x:v>LoanPayment</x:v>
      </x:c>
      <x:c r="E1301" s="20" t="str">
        <x:v>Mortgage principal and interest</x:v>
      </x:c>
      <x:c r="F1301" s="20" t="str">
        <x:v>P001</x:v>
      </x:c>
      <x:c r="G1301" s="20" t="str"/>
      <x:c r="H1301" s="20" t="str"/>
      <x:c r="I1301" s="20" t="str">
        <x:v>First QA Mortgage</x:v>
      </x:c>
      <x:c r="J1301" s="35" t="str">
        <x:v>Recurring loan payment + scanned statement</x:v>
      </x:c>
      <x:c r="K1301" s="20" t="str">
        <x:v>SCN-0623</x:v>
      </x:c>
      <x:c r="L1301" s="20" t="str">
        <x:v>LN001-202707</x:v>
      </x:c>
      <x:c r="M1301" s="26" t="n">
        <x:v>1006</x:v>
      </x:c>
      <x:c r="N1301" s="26" t="n">
        <x:v>0</x:v>
      </x:c>
      <x:c r="O1301" s="26" t="n">
        <x:v>-1006</x:v>
      </x:c>
      <x:c r="P1301" s="26" t="n">
        <x:v>0</x:v>
      </x:c>
      <x:c r="Q1301" s="26" t="n">
        <x:v>0</x:v>
      </x:c>
      <x:c r="R1301" s="26" t="n">
        <x:v>0</x:v>
      </x:c>
      <x:c r="S1301" s="26" t="n">
        <x:v>-431</x:v>
      </x:c>
      <x:c r="T1301" s="26" t="n">
        <x:v>0</x:v>
      </x:c>
      <x:c r="U1301" s="26" t="n">
        <x:v>575</x:v>
      </x:c>
      <x:c r="V1301" s="26" t="n">
        <x:v>0</x:v>
      </x:c>
      <x:c r="W1301" s="26" t="n">
        <x:v>0</x:v>
      </x:c>
      <x:c r="X1301" s="26" t="n">
        <x:v>0</x:v>
      </x:c>
      <x:c r="Y1301" s="26" t="n">
        <x:v>0</x:v>
      </x:c>
      <x:c r="Z1301" s="35" t="str">
        <x:v>LN001 scheduled payment</x:v>
      </x:c>
    </x:row>
    <x:row r="1302">
      <x:c r="A1302" s="20" t="str">
        <x:v>FIN-01299</x:v>
      </x:c>
      <x:c r="B1302" s="23" t="n">
        <x:v>46588</x:v>
      </x:c>
      <x:c r="C1302" s="23" t="n">
        <x:v>46588</x:v>
      </x:c>
      <x:c r="D1302" s="20" t="str">
        <x:v>LoanPayment</x:v>
      </x:c>
      <x:c r="E1302" s="20" t="str">
        <x:v>Mortgage principal and interest</x:v>
      </x:c>
      <x:c r="F1302" s="20" t="str">
        <x:v>P002</x:v>
      </x:c>
      <x:c r="G1302" s="20" t="str"/>
      <x:c r="H1302" s="20" t="str"/>
      <x:c r="I1302" s="20" t="str">
        <x:v>First QA Mortgage</x:v>
      </x:c>
      <x:c r="J1302" s="35" t="str">
        <x:v>Recurring loan payment + scanned statement</x:v>
      </x:c>
      <x:c r="K1302" s="20" t="str">
        <x:v>SCN-0624</x:v>
      </x:c>
      <x:c r="L1302" s="20" t="str">
        <x:v>LN002-202707</x:v>
      </x:c>
      <x:c r="M1302" s="26" t="n">
        <x:v>1030</x:v>
      </x:c>
      <x:c r="N1302" s="26" t="n">
        <x:v>0</x:v>
      </x:c>
      <x:c r="O1302" s="26" t="n">
        <x:v>-1030</x:v>
      </x:c>
      <x:c r="P1302" s="26" t="n">
        <x:v>0</x:v>
      </x:c>
      <x:c r="Q1302" s="26" t="n">
        <x:v>0</x:v>
      </x:c>
      <x:c r="R1302" s="26" t="n">
        <x:v>0</x:v>
      </x:c>
      <x:c r="S1302" s="26" t="n">
        <x:v>-442</x:v>
      </x:c>
      <x:c r="T1302" s="26" t="n">
        <x:v>0</x:v>
      </x:c>
      <x:c r="U1302" s="26" t="n">
        <x:v>588</x:v>
      </x:c>
      <x:c r="V1302" s="26" t="n">
        <x:v>0</x:v>
      </x:c>
      <x:c r="W1302" s="26" t="n">
        <x:v>0</x:v>
      </x:c>
      <x:c r="X1302" s="26" t="n">
        <x:v>0</x:v>
      </x:c>
      <x:c r="Y1302" s="26" t="n">
        <x:v>0</x:v>
      </x:c>
      <x:c r="Z1302" s="35" t="str">
        <x:v>LN002 scheduled payment</x:v>
      </x:c>
    </x:row>
    <x:row r="1303">
      <x:c r="A1303" s="20" t="str">
        <x:v>FIN-01300</x:v>
      </x:c>
      <x:c r="B1303" s="23" t="n">
        <x:v>46588</x:v>
      </x:c>
      <x:c r="C1303" s="23" t="n">
        <x:v>46588</x:v>
      </x:c>
      <x:c r="D1303" s="20" t="str">
        <x:v>LoanPayment</x:v>
      </x:c>
      <x:c r="E1303" s="20" t="str">
        <x:v>Mortgage principal and interest</x:v>
      </x:c>
      <x:c r="F1303" s="20" t="str">
        <x:v>P004</x:v>
      </x:c>
      <x:c r="G1303" s="20" t="str"/>
      <x:c r="H1303" s="20" t="str"/>
      <x:c r="I1303" s="20" t="str">
        <x:v>First QA Mortgage</x:v>
      </x:c>
      <x:c r="J1303" s="35" t="str">
        <x:v>Recurring loan payment + scanned statement</x:v>
      </x:c>
      <x:c r="K1303" s="20" t="str">
        <x:v>SCN-0625</x:v>
      </x:c>
      <x:c r="L1303" s="20" t="str">
        <x:v>LN004-202707</x:v>
      </x:c>
      <x:c r="M1303" s="26" t="n">
        <x:v>1078</x:v>
      </x:c>
      <x:c r="N1303" s="26" t="n">
        <x:v>0</x:v>
      </x:c>
      <x:c r="O1303" s="26" t="n">
        <x:v>-1078</x:v>
      </x:c>
      <x:c r="P1303" s="26" t="n">
        <x:v>0</x:v>
      </x:c>
      <x:c r="Q1303" s="26" t="n">
        <x:v>0</x:v>
      </x:c>
      <x:c r="R1303" s="26" t="n">
        <x:v>0</x:v>
      </x:c>
      <x:c r="S1303" s="26" t="n">
        <x:v>-464</x:v>
      </x:c>
      <x:c r="T1303" s="26" t="n">
        <x:v>0</x:v>
      </x:c>
      <x:c r="U1303" s="26" t="n">
        <x:v>614</x:v>
      </x:c>
      <x:c r="V1303" s="26" t="n">
        <x:v>0</x:v>
      </x:c>
      <x:c r="W1303" s="26" t="n">
        <x:v>0</x:v>
      </x:c>
      <x:c r="X1303" s="26" t="n">
        <x:v>0</x:v>
      </x:c>
      <x:c r="Y1303" s="26" t="n">
        <x:v>0</x:v>
      </x:c>
      <x:c r="Z1303" s="35" t="str">
        <x:v>LN004 scheduled payment</x:v>
      </x:c>
    </x:row>
    <x:row r="1304">
      <x:c r="A1304" s="20" t="str">
        <x:v>FIN-01301</x:v>
      </x:c>
      <x:c r="B1304" s="23" t="n">
        <x:v>46588</x:v>
      </x:c>
      <x:c r="C1304" s="23" t="n">
        <x:v>46588</x:v>
      </x:c>
      <x:c r="D1304" s="20" t="str">
        <x:v>LoanPayment</x:v>
      </x:c>
      <x:c r="E1304" s="20" t="str">
        <x:v>Mortgage principal and interest</x:v>
      </x:c>
      <x:c r="F1304" s="20" t="str">
        <x:v>P005</x:v>
      </x:c>
      <x:c r="G1304" s="20" t="str"/>
      <x:c r="H1304" s="20" t="str"/>
      <x:c r="I1304" s="20" t="str">
        <x:v>First QA Mortgage</x:v>
      </x:c>
      <x:c r="J1304" s="35" t="str">
        <x:v>Recurring loan payment + scanned statement</x:v>
      </x:c>
      <x:c r="K1304" s="20" t="str">
        <x:v>SCN-0626</x:v>
      </x:c>
      <x:c r="L1304" s="20" t="str">
        <x:v>LN005-202707</x:v>
      </x:c>
      <x:c r="M1304" s="26" t="n">
        <x:v>1102</x:v>
      </x:c>
      <x:c r="N1304" s="26" t="n">
        <x:v>0</x:v>
      </x:c>
      <x:c r="O1304" s="26" t="n">
        <x:v>-1102</x:v>
      </x:c>
      <x:c r="P1304" s="26" t="n">
        <x:v>0</x:v>
      </x:c>
      <x:c r="Q1304" s="26" t="n">
        <x:v>0</x:v>
      </x:c>
      <x:c r="R1304" s="26" t="n">
        <x:v>0</x:v>
      </x:c>
      <x:c r="S1304" s="26" t="n">
        <x:v>-475</x:v>
      </x:c>
      <x:c r="T1304" s="26" t="n">
        <x:v>0</x:v>
      </x:c>
      <x:c r="U1304" s="26" t="n">
        <x:v>627</x:v>
      </x:c>
      <x:c r="V1304" s="26" t="n">
        <x:v>0</x:v>
      </x:c>
      <x:c r="W1304" s="26" t="n">
        <x:v>0</x:v>
      </x:c>
      <x:c r="X1304" s="26" t="n">
        <x:v>0</x:v>
      </x:c>
      <x:c r="Y1304" s="26" t="n">
        <x:v>0</x:v>
      </x:c>
      <x:c r="Z1304" s="35" t="str">
        <x:v>LN005 scheduled payment</x:v>
      </x:c>
    </x:row>
    <x:row r="1305">
      <x:c r="A1305" s="20" t="str">
        <x:v>FIN-01302</x:v>
      </x:c>
      <x:c r="B1305" s="23" t="n">
        <x:v>46588</x:v>
      </x:c>
      <x:c r="C1305" s="23" t="n">
        <x:v>46588</x:v>
      </x:c>
      <x:c r="D1305" s="20" t="str">
        <x:v>LoanPayment</x:v>
      </x:c>
      <x:c r="E1305" s="20" t="str">
        <x:v>Mortgage principal and interest</x:v>
      </x:c>
      <x:c r="F1305" s="20" t="str">
        <x:v>P007</x:v>
      </x:c>
      <x:c r="G1305" s="20" t="str"/>
      <x:c r="H1305" s="20" t="str"/>
      <x:c r="I1305" s="20" t="str">
        <x:v>First QA Mortgage</x:v>
      </x:c>
      <x:c r="J1305" s="35" t="str">
        <x:v>Recurring loan payment + scanned statement</x:v>
      </x:c>
      <x:c r="K1305" s="20" t="str">
        <x:v>SCN-0627</x:v>
      </x:c>
      <x:c r="L1305" s="20" t="str">
        <x:v>LN007-202707</x:v>
      </x:c>
      <x:c r="M1305" s="26" t="n">
        <x:v>1150</x:v>
      </x:c>
      <x:c r="N1305" s="26" t="n">
        <x:v>0</x:v>
      </x:c>
      <x:c r="O1305" s="26" t="n">
        <x:v>-1150</x:v>
      </x:c>
      <x:c r="P1305" s="26" t="n">
        <x:v>0</x:v>
      </x:c>
      <x:c r="Q1305" s="26" t="n">
        <x:v>0</x:v>
      </x:c>
      <x:c r="R1305" s="26" t="n">
        <x:v>0</x:v>
      </x:c>
      <x:c r="S1305" s="26" t="n">
        <x:v>-497</x:v>
      </x:c>
      <x:c r="T1305" s="26" t="n">
        <x:v>0</x:v>
      </x:c>
      <x:c r="U1305" s="26" t="n">
        <x:v>653</x:v>
      </x:c>
      <x:c r="V1305" s="26" t="n">
        <x:v>0</x:v>
      </x:c>
      <x:c r="W1305" s="26" t="n">
        <x:v>0</x:v>
      </x:c>
      <x:c r="X1305" s="26" t="n">
        <x:v>0</x:v>
      </x:c>
      <x:c r="Y1305" s="26" t="n">
        <x:v>0</x:v>
      </x:c>
      <x:c r="Z1305" s="35" t="str">
        <x:v>LN007 scheduled payment</x:v>
      </x:c>
    </x:row>
    <x:row r="1306">
      <x:c r="A1306" s="20" t="str">
        <x:v>FIN-01303</x:v>
      </x:c>
      <x:c r="B1306" s="23" t="n">
        <x:v>46588</x:v>
      </x:c>
      <x:c r="C1306" s="23" t="n">
        <x:v>46588</x:v>
      </x:c>
      <x:c r="D1306" s="20" t="str">
        <x:v>LoanPayment</x:v>
      </x:c>
      <x:c r="E1306" s="20" t="str">
        <x:v>Mortgage principal and interest</x:v>
      </x:c>
      <x:c r="F1306" s="20" t="str">
        <x:v>P008</x:v>
      </x:c>
      <x:c r="G1306" s="20" t="str"/>
      <x:c r="H1306" s="20" t="str"/>
      <x:c r="I1306" s="20" t="str">
        <x:v>First QA Mortgage</x:v>
      </x:c>
      <x:c r="J1306" s="35" t="str">
        <x:v>Recurring loan payment + scanned statement</x:v>
      </x:c>
      <x:c r="K1306" s="20" t="str">
        <x:v>SCN-0628</x:v>
      </x:c>
      <x:c r="L1306" s="20" t="str">
        <x:v>LN008-202707</x:v>
      </x:c>
      <x:c r="M1306" s="26" t="n">
        <x:v>1174</x:v>
      </x:c>
      <x:c r="N1306" s="26" t="n">
        <x:v>0</x:v>
      </x:c>
      <x:c r="O1306" s="26" t="n">
        <x:v>-1174</x:v>
      </x:c>
      <x:c r="P1306" s="26" t="n">
        <x:v>0</x:v>
      </x:c>
      <x:c r="Q1306" s="26" t="n">
        <x:v>0</x:v>
      </x:c>
      <x:c r="R1306" s="26" t="n">
        <x:v>0</x:v>
      </x:c>
      <x:c r="S1306" s="26" t="n">
        <x:v>-508</x:v>
      </x:c>
      <x:c r="T1306" s="26" t="n">
        <x:v>0</x:v>
      </x:c>
      <x:c r="U1306" s="26" t="n">
        <x:v>666</x:v>
      </x:c>
      <x:c r="V1306" s="26" t="n">
        <x:v>0</x:v>
      </x:c>
      <x:c r="W1306" s="26" t="n">
        <x:v>0</x:v>
      </x:c>
      <x:c r="X1306" s="26" t="n">
        <x:v>0</x:v>
      </x:c>
      <x:c r="Y1306" s="26" t="n">
        <x:v>0</x:v>
      </x:c>
      <x:c r="Z1306" s="35" t="str">
        <x:v>LN008 scheduled payment</x:v>
      </x:c>
    </x:row>
    <x:row r="1307">
      <x:c r="A1307" s="20" t="str">
        <x:v>FIN-01304</x:v>
      </x:c>
      <x:c r="B1307" s="23" t="n">
        <x:v>46588</x:v>
      </x:c>
      <x:c r="C1307" s="23" t="n">
        <x:v>46588</x:v>
      </x:c>
      <x:c r="D1307" s="20" t="str">
        <x:v>LoanPayment</x:v>
      </x:c>
      <x:c r="E1307" s="20" t="str">
        <x:v>Mortgage principal and interest</x:v>
      </x:c>
      <x:c r="F1307" s="20" t="str">
        <x:v>P010</x:v>
      </x:c>
      <x:c r="G1307" s="20" t="str"/>
      <x:c r="H1307" s="20" t="str"/>
      <x:c r="I1307" s="20" t="str">
        <x:v>First QA Mortgage</x:v>
      </x:c>
      <x:c r="J1307" s="35" t="str">
        <x:v>Recurring loan payment + scanned statement</x:v>
      </x:c>
      <x:c r="K1307" s="20" t="str">
        <x:v>SCN-0629</x:v>
      </x:c>
      <x:c r="L1307" s="20" t="str">
        <x:v>LN010-202707</x:v>
      </x:c>
      <x:c r="M1307" s="26" t="n">
        <x:v>1222</x:v>
      </x:c>
      <x:c r="N1307" s="26" t="n">
        <x:v>0</x:v>
      </x:c>
      <x:c r="O1307" s="26" t="n">
        <x:v>-1222</x:v>
      </x:c>
      <x:c r="P1307" s="26" t="n">
        <x:v>0</x:v>
      </x:c>
      <x:c r="Q1307" s="26" t="n">
        <x:v>0</x:v>
      </x:c>
      <x:c r="R1307" s="26" t="n">
        <x:v>0</x:v>
      </x:c>
      <x:c r="S1307" s="26" t="n">
        <x:v>-530</x:v>
      </x:c>
      <x:c r="T1307" s="26" t="n">
        <x:v>0</x:v>
      </x:c>
      <x:c r="U1307" s="26" t="n">
        <x:v>692</x:v>
      </x:c>
      <x:c r="V1307" s="26" t="n">
        <x:v>0</x:v>
      </x:c>
      <x:c r="W1307" s="26" t="n">
        <x:v>0</x:v>
      </x:c>
      <x:c r="X1307" s="26" t="n">
        <x:v>0</x:v>
      </x:c>
      <x:c r="Y1307" s="26" t="n">
        <x:v>0</x:v>
      </x:c>
      <x:c r="Z1307" s="35" t="str">
        <x:v>LN010 scheduled payment</x:v>
      </x:c>
    </x:row>
    <x:row r="1308">
      <x:c r="A1308" s="20" t="str">
        <x:v>FIN-01305</x:v>
      </x:c>
      <x:c r="B1308" s="23" t="n">
        <x:v>46588</x:v>
      </x:c>
      <x:c r="C1308" s="23" t="n">
        <x:v>46588</x:v>
      </x:c>
      <x:c r="D1308" s="20" t="str">
        <x:v>LoanPayment</x:v>
      </x:c>
      <x:c r="E1308" s="20" t="str">
        <x:v>Mortgage principal and interest</x:v>
      </x:c>
      <x:c r="F1308" s="20" t="str">
        <x:v>P011</x:v>
      </x:c>
      <x:c r="G1308" s="20" t="str"/>
      <x:c r="H1308" s="20" t="str"/>
      <x:c r="I1308" s="20" t="str">
        <x:v>First QA Mortgage</x:v>
      </x:c>
      <x:c r="J1308" s="35" t="str">
        <x:v>Recurring loan payment + scanned statement</x:v>
      </x:c>
      <x:c r="K1308" s="20" t="str">
        <x:v>SCN-0630</x:v>
      </x:c>
      <x:c r="L1308" s="20" t="str">
        <x:v>LN011-202707</x:v>
      </x:c>
      <x:c r="M1308" s="26" t="n">
        <x:v>1246</x:v>
      </x:c>
      <x:c r="N1308" s="26" t="n">
        <x:v>0</x:v>
      </x:c>
      <x:c r="O1308" s="26" t="n">
        <x:v>-1246</x:v>
      </x:c>
      <x:c r="P1308" s="26" t="n">
        <x:v>0</x:v>
      </x:c>
      <x:c r="Q1308" s="26" t="n">
        <x:v>0</x:v>
      </x:c>
      <x:c r="R1308" s="26" t="n">
        <x:v>0</x:v>
      </x:c>
      <x:c r="S1308" s="26" t="n">
        <x:v>-541</x:v>
      </x:c>
      <x:c r="T1308" s="26" t="n">
        <x:v>0</x:v>
      </x:c>
      <x:c r="U1308" s="26" t="n">
        <x:v>705</x:v>
      </x:c>
      <x:c r="V1308" s="26" t="n">
        <x:v>0</x:v>
      </x:c>
      <x:c r="W1308" s="26" t="n">
        <x:v>0</x:v>
      </x:c>
      <x:c r="X1308" s="26" t="n">
        <x:v>0</x:v>
      </x:c>
      <x:c r="Y1308" s="26" t="n">
        <x:v>0</x:v>
      </x:c>
      <x:c r="Z1308" s="35" t="str">
        <x:v>LN011 scheduled payment</x:v>
      </x:c>
    </x:row>
    <x:row r="1309">
      <x:c r="A1309" s="20" t="str">
        <x:v>FIN-01306</x:v>
      </x:c>
      <x:c r="B1309" s="23" t="n">
        <x:v>46588</x:v>
      </x:c>
      <x:c r="C1309" s="23" t="n">
        <x:v>46588</x:v>
      </x:c>
      <x:c r="D1309" s="20" t="str">
        <x:v>LoanPayment</x:v>
      </x:c>
      <x:c r="E1309" s="20" t="str">
        <x:v>Mortgage principal and interest</x:v>
      </x:c>
      <x:c r="F1309" s="20" t="str">
        <x:v>P013</x:v>
      </x:c>
      <x:c r="G1309" s="20" t="str"/>
      <x:c r="H1309" s="20" t="str"/>
      <x:c r="I1309" s="20" t="str">
        <x:v>First QA Mortgage</x:v>
      </x:c>
      <x:c r="J1309" s="35" t="str">
        <x:v>Recurring loan payment + scanned statement</x:v>
      </x:c>
      <x:c r="K1309" s="20" t="str">
        <x:v>SCN-0631</x:v>
      </x:c>
      <x:c r="L1309" s="20" t="str">
        <x:v>LN013-202707</x:v>
      </x:c>
      <x:c r="M1309" s="26" t="n">
        <x:v>1294</x:v>
      </x:c>
      <x:c r="N1309" s="26" t="n">
        <x:v>0</x:v>
      </x:c>
      <x:c r="O1309" s="26" t="n">
        <x:v>-1294</x:v>
      </x:c>
      <x:c r="P1309" s="26" t="n">
        <x:v>0</x:v>
      </x:c>
      <x:c r="Q1309" s="26" t="n">
        <x:v>0</x:v>
      </x:c>
      <x:c r="R1309" s="26" t="n">
        <x:v>0</x:v>
      </x:c>
      <x:c r="S1309" s="26" t="n">
        <x:v>-563</x:v>
      </x:c>
      <x:c r="T1309" s="26" t="n">
        <x:v>0</x:v>
      </x:c>
      <x:c r="U1309" s="26" t="n">
        <x:v>731</x:v>
      </x:c>
      <x:c r="V1309" s="26" t="n">
        <x:v>0</x:v>
      </x:c>
      <x:c r="W1309" s="26" t="n">
        <x:v>0</x:v>
      </x:c>
      <x:c r="X1309" s="26" t="n">
        <x:v>0</x:v>
      </x:c>
      <x:c r="Y1309" s="26" t="n">
        <x:v>0</x:v>
      </x:c>
      <x:c r="Z1309" s="35" t="str">
        <x:v>LN013 scheduled payment</x:v>
      </x:c>
    </x:row>
    <x:row r="1310">
      <x:c r="A1310" s="20" t="str">
        <x:v>FIN-01307</x:v>
      </x:c>
      <x:c r="B1310" s="23" t="n">
        <x:v>46588</x:v>
      </x:c>
      <x:c r="C1310" s="23" t="n">
        <x:v>46588</x:v>
      </x:c>
      <x:c r="D1310" s="20" t="str">
        <x:v>LoanPayment</x:v>
      </x:c>
      <x:c r="E1310" s="20" t="str">
        <x:v>Mortgage principal and interest</x:v>
      </x:c>
      <x:c r="F1310" s="20" t="str">
        <x:v>P014</x:v>
      </x:c>
      <x:c r="G1310" s="20" t="str"/>
      <x:c r="H1310" s="20" t="str"/>
      <x:c r="I1310" s="20" t="str">
        <x:v>First QA Mortgage</x:v>
      </x:c>
      <x:c r="J1310" s="35" t="str">
        <x:v>Recurring loan payment + scanned statement</x:v>
      </x:c>
      <x:c r="K1310" s="20" t="str">
        <x:v>SCN-0632</x:v>
      </x:c>
      <x:c r="L1310" s="20" t="str">
        <x:v>LN014-202707</x:v>
      </x:c>
      <x:c r="M1310" s="26" t="n">
        <x:v>1318</x:v>
      </x:c>
      <x:c r="N1310" s="26" t="n">
        <x:v>0</x:v>
      </x:c>
      <x:c r="O1310" s="26" t="n">
        <x:v>-1318</x:v>
      </x:c>
      <x:c r="P1310" s="26" t="n">
        <x:v>0</x:v>
      </x:c>
      <x:c r="Q1310" s="26" t="n">
        <x:v>0</x:v>
      </x:c>
      <x:c r="R1310" s="26" t="n">
        <x:v>0</x:v>
      </x:c>
      <x:c r="S1310" s="26" t="n">
        <x:v>-574</x:v>
      </x:c>
      <x:c r="T1310" s="26" t="n">
        <x:v>0</x:v>
      </x:c>
      <x:c r="U1310" s="26" t="n">
        <x:v>744</x:v>
      </x:c>
      <x:c r="V1310" s="26" t="n">
        <x:v>0</x:v>
      </x:c>
      <x:c r="W1310" s="26" t="n">
        <x:v>0</x:v>
      </x:c>
      <x:c r="X1310" s="26" t="n">
        <x:v>0</x:v>
      </x:c>
      <x:c r="Y1310" s="26" t="n">
        <x:v>0</x:v>
      </x:c>
      <x:c r="Z1310" s="35" t="str">
        <x:v>LN014 scheduled payment</x:v>
      </x:c>
    </x:row>
    <x:row r="1311">
      <x:c r="A1311" s="20" t="str">
        <x:v>FIN-01308</x:v>
      </x:c>
      <x:c r="B1311" s="23" t="n">
        <x:v>46588</x:v>
      </x:c>
      <x:c r="C1311" s="23" t="n">
        <x:v>46588</x:v>
      </x:c>
      <x:c r="D1311" s="20" t="str">
        <x:v>LoanPayment</x:v>
      </x:c>
      <x:c r="E1311" s="20" t="str">
        <x:v>Mortgage principal and interest</x:v>
      </x:c>
      <x:c r="F1311" s="20" t="str">
        <x:v>P016</x:v>
      </x:c>
      <x:c r="G1311" s="20" t="str"/>
      <x:c r="H1311" s="20" t="str"/>
      <x:c r="I1311" s="20" t="str">
        <x:v>First QA Mortgage</x:v>
      </x:c>
      <x:c r="J1311" s="35" t="str">
        <x:v>Recurring loan payment + scanned statement</x:v>
      </x:c>
      <x:c r="K1311" s="20" t="str">
        <x:v>SCN-0633</x:v>
      </x:c>
      <x:c r="L1311" s="20" t="str">
        <x:v>LN016-202707</x:v>
      </x:c>
      <x:c r="M1311" s="26" t="n">
        <x:v>1366</x:v>
      </x:c>
      <x:c r="N1311" s="26" t="n">
        <x:v>0</x:v>
      </x:c>
      <x:c r="O1311" s="26" t="n">
        <x:v>-1366</x:v>
      </x:c>
      <x:c r="P1311" s="26" t="n">
        <x:v>0</x:v>
      </x:c>
      <x:c r="Q1311" s="26" t="n">
        <x:v>0</x:v>
      </x:c>
      <x:c r="R1311" s="26" t="n">
        <x:v>0</x:v>
      </x:c>
      <x:c r="S1311" s="26" t="n">
        <x:v>-596</x:v>
      </x:c>
      <x:c r="T1311" s="26" t="n">
        <x:v>0</x:v>
      </x:c>
      <x:c r="U1311" s="26" t="n">
        <x:v>770</x:v>
      </x:c>
      <x:c r="V1311" s="26" t="n">
        <x:v>0</x:v>
      </x:c>
      <x:c r="W1311" s="26" t="n">
        <x:v>0</x:v>
      </x:c>
      <x:c r="X1311" s="26" t="n">
        <x:v>0</x:v>
      </x:c>
      <x:c r="Y1311" s="26" t="n">
        <x:v>0</x:v>
      </x:c>
      <x:c r="Z1311" s="35" t="str">
        <x:v>LN016 scheduled payment</x:v>
      </x:c>
    </x:row>
    <x:row r="1312">
      <x:c r="A1312" s="20" t="str">
        <x:v>FIN-01309</x:v>
      </x:c>
      <x:c r="B1312" s="23" t="n">
        <x:v>46588</x:v>
      </x:c>
      <x:c r="C1312" s="23" t="n">
        <x:v>46588</x:v>
      </x:c>
      <x:c r="D1312" s="20" t="str">
        <x:v>LoanPayment</x:v>
      </x:c>
      <x:c r="E1312" s="20" t="str">
        <x:v>Mortgage principal and interest</x:v>
      </x:c>
      <x:c r="F1312" s="20" t="str">
        <x:v>P017</x:v>
      </x:c>
      <x:c r="G1312" s="20" t="str"/>
      <x:c r="H1312" s="20" t="str"/>
      <x:c r="I1312" s="20" t="str">
        <x:v>First QA Mortgage</x:v>
      </x:c>
      <x:c r="J1312" s="35" t="str">
        <x:v>Recurring loan payment + scanned statement</x:v>
      </x:c>
      <x:c r="K1312" s="20" t="str">
        <x:v>SCN-0634</x:v>
      </x:c>
      <x:c r="L1312" s="20" t="str">
        <x:v>LN017-202707</x:v>
      </x:c>
      <x:c r="M1312" s="26" t="n">
        <x:v>1390</x:v>
      </x:c>
      <x:c r="N1312" s="26" t="n">
        <x:v>0</x:v>
      </x:c>
      <x:c r="O1312" s="26" t="n">
        <x:v>-1390</x:v>
      </x:c>
      <x:c r="P1312" s="26" t="n">
        <x:v>0</x:v>
      </x:c>
      <x:c r="Q1312" s="26" t="n">
        <x:v>0</x:v>
      </x:c>
      <x:c r="R1312" s="26" t="n">
        <x:v>0</x:v>
      </x:c>
      <x:c r="S1312" s="26" t="n">
        <x:v>-607</x:v>
      </x:c>
      <x:c r="T1312" s="26" t="n">
        <x:v>0</x:v>
      </x:c>
      <x:c r="U1312" s="26" t="n">
        <x:v>783</x:v>
      </x:c>
      <x:c r="V1312" s="26" t="n">
        <x:v>0</x:v>
      </x:c>
      <x:c r="W1312" s="26" t="n">
        <x:v>0</x:v>
      </x:c>
      <x:c r="X1312" s="26" t="n">
        <x:v>0</x:v>
      </x:c>
      <x:c r="Y1312" s="26" t="n">
        <x:v>0</x:v>
      </x:c>
      <x:c r="Z1312" s="35" t="str">
        <x:v>LN017 scheduled payment</x:v>
      </x:c>
    </x:row>
    <x:row r="1313">
      <x:c r="A1313" s="20" t="str">
        <x:v>FIN-01310</x:v>
      </x:c>
      <x:c r="B1313" s="23" t="n">
        <x:v>46588</x:v>
      </x:c>
      <x:c r="C1313" s="23" t="n">
        <x:v>46588</x:v>
      </x:c>
      <x:c r="D1313" s="20" t="str">
        <x:v>LoanPayment</x:v>
      </x:c>
      <x:c r="E1313" s="20" t="str">
        <x:v>Mortgage principal and interest</x:v>
      </x:c>
      <x:c r="F1313" s="20" t="str">
        <x:v>P019</x:v>
      </x:c>
      <x:c r="G1313" s="20" t="str"/>
      <x:c r="H1313" s="20" t="str"/>
      <x:c r="I1313" s="20" t="str">
        <x:v>First QA Mortgage</x:v>
      </x:c>
      <x:c r="J1313" s="35" t="str">
        <x:v>Recurring loan payment + scanned statement</x:v>
      </x:c>
      <x:c r="K1313" s="20" t="str">
        <x:v>SCN-0635</x:v>
      </x:c>
      <x:c r="L1313" s="20" t="str">
        <x:v>LN019-202707</x:v>
      </x:c>
      <x:c r="M1313" s="26" t="n">
        <x:v>1438</x:v>
      </x:c>
      <x:c r="N1313" s="26" t="n">
        <x:v>0</x:v>
      </x:c>
      <x:c r="O1313" s="26" t="n">
        <x:v>-1438</x:v>
      </x:c>
      <x:c r="P1313" s="26" t="n">
        <x:v>0</x:v>
      </x:c>
      <x:c r="Q1313" s="26" t="n">
        <x:v>0</x:v>
      </x:c>
      <x:c r="R1313" s="26" t="n">
        <x:v>0</x:v>
      </x:c>
      <x:c r="S1313" s="26" t="n">
        <x:v>-629</x:v>
      </x:c>
      <x:c r="T1313" s="26" t="n">
        <x:v>0</x:v>
      </x:c>
      <x:c r="U1313" s="26" t="n">
        <x:v>809</x:v>
      </x:c>
      <x:c r="V1313" s="26" t="n">
        <x:v>0</x:v>
      </x:c>
      <x:c r="W1313" s="26" t="n">
        <x:v>0</x:v>
      </x:c>
      <x:c r="X1313" s="26" t="n">
        <x:v>0</x:v>
      </x:c>
      <x:c r="Y1313" s="26" t="n">
        <x:v>0</x:v>
      </x:c>
      <x:c r="Z1313" s="35" t="str">
        <x:v>LN019 scheduled payment</x:v>
      </x:c>
    </x:row>
    <x:row r="1314">
      <x:c r="A1314" s="20" t="str">
        <x:v>FIN-01311</x:v>
      </x:c>
      <x:c r="B1314" s="23" t="n">
        <x:v>46588</x:v>
      </x:c>
      <x:c r="C1314" s="23" t="n">
        <x:v>46588</x:v>
      </x:c>
      <x:c r="D1314" s="20" t="str">
        <x:v>LoanPayment</x:v>
      </x:c>
      <x:c r="E1314" s="20" t="str">
        <x:v>Mortgage principal and interest</x:v>
      </x:c>
      <x:c r="F1314" s="20" t="str">
        <x:v>P020</x:v>
      </x:c>
      <x:c r="G1314" s="20" t="str"/>
      <x:c r="H1314" s="20" t="str"/>
      <x:c r="I1314" s="20" t="str">
        <x:v>First QA Mortgage</x:v>
      </x:c>
      <x:c r="J1314" s="35" t="str">
        <x:v>Recurring loan payment + scanned statement</x:v>
      </x:c>
      <x:c r="K1314" s="20" t="str">
        <x:v>SCN-0636</x:v>
      </x:c>
      <x:c r="L1314" s="20" t="str">
        <x:v>LN020-202707</x:v>
      </x:c>
      <x:c r="M1314" s="26" t="n">
        <x:v>1462</x:v>
      </x:c>
      <x:c r="N1314" s="26" t="n">
        <x:v>0</x:v>
      </x:c>
      <x:c r="O1314" s="26" t="n">
        <x:v>-1462</x:v>
      </x:c>
      <x:c r="P1314" s="26" t="n">
        <x:v>0</x:v>
      </x:c>
      <x:c r="Q1314" s="26" t="n">
        <x:v>0</x:v>
      </x:c>
      <x:c r="R1314" s="26" t="n">
        <x:v>0</x:v>
      </x:c>
      <x:c r="S1314" s="26" t="n">
        <x:v>-640</x:v>
      </x:c>
      <x:c r="T1314" s="26" t="n">
        <x:v>0</x:v>
      </x:c>
      <x:c r="U1314" s="26" t="n">
        <x:v>822</x:v>
      </x:c>
      <x:c r="V1314" s="26" t="n">
        <x:v>0</x:v>
      </x:c>
      <x:c r="W1314" s="26" t="n">
        <x:v>0</x:v>
      </x:c>
      <x:c r="X1314" s="26" t="n">
        <x:v>0</x:v>
      </x:c>
      <x:c r="Y1314" s="26" t="n">
        <x:v>0</x:v>
      </x:c>
      <x:c r="Z1314" s="35" t="str">
        <x:v>LN020 scheduled payment</x:v>
      </x:c>
    </x:row>
    <x:row r="1315">
      <x:c r="A1315" s="20" t="str">
        <x:v>FIN-01312</x:v>
      </x:c>
      <x:c r="B1315" s="23" t="n">
        <x:v>46588</x:v>
      </x:c>
      <x:c r="C1315" s="23" t="n">
        <x:v>46588</x:v>
      </x:c>
      <x:c r="D1315" s="20" t="str">
        <x:v>LoanPayment</x:v>
      </x:c>
      <x:c r="E1315" s="20" t="str">
        <x:v>Mortgage principal and interest</x:v>
      </x:c>
      <x:c r="F1315" s="20" t="str">
        <x:v>P022</x:v>
      </x:c>
      <x:c r="G1315" s="20" t="str"/>
      <x:c r="H1315" s="20" t="str"/>
      <x:c r="I1315" s="20" t="str">
        <x:v>First QA Mortgage</x:v>
      </x:c>
      <x:c r="J1315" s="35" t="str">
        <x:v>Recurring loan payment + scanned statement</x:v>
      </x:c>
      <x:c r="K1315" s="20" t="str">
        <x:v>SCN-0637</x:v>
      </x:c>
      <x:c r="L1315" s="20" t="str">
        <x:v>LN022-202707</x:v>
      </x:c>
      <x:c r="M1315" s="26" t="n">
        <x:v>1510</x:v>
      </x:c>
      <x:c r="N1315" s="26" t="n">
        <x:v>0</x:v>
      </x:c>
      <x:c r="O1315" s="26" t="n">
        <x:v>-1510</x:v>
      </x:c>
      <x:c r="P1315" s="26" t="n">
        <x:v>0</x:v>
      </x:c>
      <x:c r="Q1315" s="26" t="n">
        <x:v>0</x:v>
      </x:c>
      <x:c r="R1315" s="26" t="n">
        <x:v>0</x:v>
      </x:c>
      <x:c r="S1315" s="26" t="n">
        <x:v>-662</x:v>
      </x:c>
      <x:c r="T1315" s="26" t="n">
        <x:v>0</x:v>
      </x:c>
      <x:c r="U1315" s="26" t="n">
        <x:v>848</x:v>
      </x:c>
      <x:c r="V1315" s="26" t="n">
        <x:v>0</x:v>
      </x:c>
      <x:c r="W1315" s="26" t="n">
        <x:v>0</x:v>
      </x:c>
      <x:c r="X1315" s="26" t="n">
        <x:v>0</x:v>
      </x:c>
      <x:c r="Y1315" s="26" t="n">
        <x:v>0</x:v>
      </x:c>
      <x:c r="Z1315" s="35" t="str">
        <x:v>LN022 scheduled payment</x:v>
      </x:c>
    </x:row>
    <x:row r="1316">
      <x:c r="A1316" s="20" t="str">
        <x:v>FIN-01313</x:v>
      </x:c>
      <x:c r="B1316" s="23" t="n">
        <x:v>46588</x:v>
      </x:c>
      <x:c r="C1316" s="23" t="n">
        <x:v>46588</x:v>
      </x:c>
      <x:c r="D1316" s="20" t="str">
        <x:v>LoanPayment</x:v>
      </x:c>
      <x:c r="E1316" s="20" t="str">
        <x:v>Mortgage principal and interest</x:v>
      </x:c>
      <x:c r="F1316" s="20" t="str">
        <x:v>P023</x:v>
      </x:c>
      <x:c r="G1316" s="20" t="str"/>
      <x:c r="H1316" s="20" t="str"/>
      <x:c r="I1316" s="20" t="str">
        <x:v>First QA Mortgage</x:v>
      </x:c>
      <x:c r="J1316" s="35" t="str">
        <x:v>Recurring loan payment + scanned statement</x:v>
      </x:c>
      <x:c r="K1316" s="20" t="str">
        <x:v>SCN-0638</x:v>
      </x:c>
      <x:c r="L1316" s="20" t="str">
        <x:v>LN023-202707</x:v>
      </x:c>
      <x:c r="M1316" s="26" t="n">
        <x:v>1534</x:v>
      </x:c>
      <x:c r="N1316" s="26" t="n">
        <x:v>0</x:v>
      </x:c>
      <x:c r="O1316" s="26" t="n">
        <x:v>-1534</x:v>
      </x:c>
      <x:c r="P1316" s="26" t="n">
        <x:v>0</x:v>
      </x:c>
      <x:c r="Q1316" s="26" t="n">
        <x:v>0</x:v>
      </x:c>
      <x:c r="R1316" s="26" t="n">
        <x:v>0</x:v>
      </x:c>
      <x:c r="S1316" s="26" t="n">
        <x:v>-673</x:v>
      </x:c>
      <x:c r="T1316" s="26" t="n">
        <x:v>0</x:v>
      </x:c>
      <x:c r="U1316" s="26" t="n">
        <x:v>861</x:v>
      </x:c>
      <x:c r="V1316" s="26" t="n">
        <x:v>0</x:v>
      </x:c>
      <x:c r="W1316" s="26" t="n">
        <x:v>0</x:v>
      </x:c>
      <x:c r="X1316" s="26" t="n">
        <x:v>0</x:v>
      </x:c>
      <x:c r="Y1316" s="26" t="n">
        <x:v>0</x:v>
      </x:c>
      <x:c r="Z1316" s="35" t="str">
        <x:v>LN023 scheduled payment</x:v>
      </x:c>
    </x:row>
    <x:row r="1317">
      <x:c r="A1317" s="20" t="str">
        <x:v>FIN-01314</x:v>
      </x:c>
      <x:c r="B1317" s="23" t="n">
        <x:v>46588</x:v>
      </x:c>
      <x:c r="C1317" s="23" t="n">
        <x:v>46588</x:v>
      </x:c>
      <x:c r="D1317" s="20" t="str">
        <x:v>LoanPayment</x:v>
      </x:c>
      <x:c r="E1317" s="20" t="str">
        <x:v>Mortgage principal and interest</x:v>
      </x:c>
      <x:c r="F1317" s="20" t="str">
        <x:v>P025</x:v>
      </x:c>
      <x:c r="G1317" s="20" t="str"/>
      <x:c r="H1317" s="20" t="str"/>
      <x:c r="I1317" s="20" t="str">
        <x:v>First QA Mortgage</x:v>
      </x:c>
      <x:c r="J1317" s="35" t="str">
        <x:v>Recurring loan payment + scanned statement</x:v>
      </x:c>
      <x:c r="K1317" s="20" t="str">
        <x:v>SCN-0639</x:v>
      </x:c>
      <x:c r="L1317" s="20" t="str">
        <x:v>LN025-202707</x:v>
      </x:c>
      <x:c r="M1317" s="26" t="n">
        <x:v>1582</x:v>
      </x:c>
      <x:c r="N1317" s="26" t="n">
        <x:v>0</x:v>
      </x:c>
      <x:c r="O1317" s="26" t="n">
        <x:v>-1582</x:v>
      </x:c>
      <x:c r="P1317" s="26" t="n">
        <x:v>0</x:v>
      </x:c>
      <x:c r="Q1317" s="26" t="n">
        <x:v>0</x:v>
      </x:c>
      <x:c r="R1317" s="26" t="n">
        <x:v>0</x:v>
      </x:c>
      <x:c r="S1317" s="26" t="n">
        <x:v>-695</x:v>
      </x:c>
      <x:c r="T1317" s="26" t="n">
        <x:v>0</x:v>
      </x:c>
      <x:c r="U1317" s="26" t="n">
        <x:v>887</x:v>
      </x:c>
      <x:c r="V1317" s="26" t="n">
        <x:v>0</x:v>
      </x:c>
      <x:c r="W1317" s="26" t="n">
        <x:v>0</x:v>
      </x:c>
      <x:c r="X1317" s="26" t="n">
        <x:v>0</x:v>
      </x:c>
      <x:c r="Y1317" s="26" t="n">
        <x:v>0</x:v>
      </x:c>
      <x:c r="Z1317" s="35" t="str">
        <x:v>LN025 scheduled payment</x:v>
      </x:c>
    </x:row>
    <x:row r="1318">
      <x:c r="A1318" s="20" t="str">
        <x:v>FIN-01315</x:v>
      </x:c>
      <x:c r="B1318" s="23" t="n">
        <x:v>46588</x:v>
      </x:c>
      <x:c r="C1318" s="23" t="n">
        <x:v>46588</x:v>
      </x:c>
      <x:c r="D1318" s="20" t="str">
        <x:v>LoanPayment</x:v>
      </x:c>
      <x:c r="E1318" s="20" t="str">
        <x:v>Mortgage principal and interest</x:v>
      </x:c>
      <x:c r="F1318" s="20" t="str">
        <x:v>P026</x:v>
      </x:c>
      <x:c r="G1318" s="20" t="str"/>
      <x:c r="H1318" s="20" t="str"/>
      <x:c r="I1318" s="20" t="str">
        <x:v>First QA Mortgage</x:v>
      </x:c>
      <x:c r="J1318" s="35" t="str">
        <x:v>Recurring loan payment + scanned statement</x:v>
      </x:c>
      <x:c r="K1318" s="20" t="str">
        <x:v>SCN-0640</x:v>
      </x:c>
      <x:c r="L1318" s="20" t="str">
        <x:v>LN026-202707</x:v>
      </x:c>
      <x:c r="M1318" s="26" t="n">
        <x:v>1606</x:v>
      </x:c>
      <x:c r="N1318" s="26" t="n">
        <x:v>0</x:v>
      </x:c>
      <x:c r="O1318" s="26" t="n">
        <x:v>-1606</x:v>
      </x:c>
      <x:c r="P1318" s="26" t="n">
        <x:v>0</x:v>
      </x:c>
      <x:c r="Q1318" s="26" t="n">
        <x:v>0</x:v>
      </x:c>
      <x:c r="R1318" s="26" t="n">
        <x:v>0</x:v>
      </x:c>
      <x:c r="S1318" s="26" t="n">
        <x:v>-706</x:v>
      </x:c>
      <x:c r="T1318" s="26" t="n">
        <x:v>0</x:v>
      </x:c>
      <x:c r="U1318" s="26" t="n">
        <x:v>900</x:v>
      </x:c>
      <x:c r="V1318" s="26" t="n">
        <x:v>0</x:v>
      </x:c>
      <x:c r="W1318" s="26" t="n">
        <x:v>0</x:v>
      </x:c>
      <x:c r="X1318" s="26" t="n">
        <x:v>0</x:v>
      </x:c>
      <x:c r="Y1318" s="26" t="n">
        <x:v>0</x:v>
      </x:c>
      <x:c r="Z1318" s="35" t="str">
        <x:v>LN026 scheduled payment</x:v>
      </x:c>
    </x:row>
    <x:row r="1319">
      <x:c r="A1319" s="20" t="str">
        <x:v>FIN-01316</x:v>
      </x:c>
      <x:c r="B1319" s="23" t="n">
        <x:v>46588</x:v>
      </x:c>
      <x:c r="C1319" s="23" t="n">
        <x:v>46588</x:v>
      </x:c>
      <x:c r="D1319" s="20" t="str">
        <x:v>LoanPayment</x:v>
      </x:c>
      <x:c r="E1319" s="20" t="str">
        <x:v>Mortgage principal and interest</x:v>
      </x:c>
      <x:c r="F1319" s="20" t="str">
        <x:v>P028</x:v>
      </x:c>
      <x:c r="G1319" s="20" t="str"/>
      <x:c r="H1319" s="20" t="str"/>
      <x:c r="I1319" s="20" t="str">
        <x:v>First QA Mortgage</x:v>
      </x:c>
      <x:c r="J1319" s="35" t="str">
        <x:v>Recurring loan payment + scanned statement</x:v>
      </x:c>
      <x:c r="K1319" s="20" t="str">
        <x:v>SCN-0641</x:v>
      </x:c>
      <x:c r="L1319" s="20" t="str">
        <x:v>LN028-202707</x:v>
      </x:c>
      <x:c r="M1319" s="26" t="n">
        <x:v>1654</x:v>
      </x:c>
      <x:c r="N1319" s="26" t="n">
        <x:v>0</x:v>
      </x:c>
      <x:c r="O1319" s="26" t="n">
        <x:v>-1654</x:v>
      </x:c>
      <x:c r="P1319" s="26" t="n">
        <x:v>0</x:v>
      </x:c>
      <x:c r="Q1319" s="26" t="n">
        <x:v>0</x:v>
      </x:c>
      <x:c r="R1319" s="26" t="n">
        <x:v>0</x:v>
      </x:c>
      <x:c r="S1319" s="26" t="n">
        <x:v>-728</x:v>
      </x:c>
      <x:c r="T1319" s="26" t="n">
        <x:v>0</x:v>
      </x:c>
      <x:c r="U1319" s="26" t="n">
        <x:v>926</x:v>
      </x:c>
      <x:c r="V1319" s="26" t="n">
        <x:v>0</x:v>
      </x:c>
      <x:c r="W1319" s="26" t="n">
        <x:v>0</x:v>
      </x:c>
      <x:c r="X1319" s="26" t="n">
        <x:v>0</x:v>
      </x:c>
      <x:c r="Y1319" s="26" t="n">
        <x:v>0</x:v>
      </x:c>
      <x:c r="Z1319" s="35" t="str">
        <x:v>LN028 scheduled payment</x:v>
      </x:c>
    </x:row>
    <x:row r="1320">
      <x:c r="A1320" s="20" t="str">
        <x:v>FIN-01317</x:v>
      </x:c>
      <x:c r="B1320" s="23" t="n">
        <x:v>46588</x:v>
      </x:c>
      <x:c r="C1320" s="23" t="n">
        <x:v>46588</x:v>
      </x:c>
      <x:c r="D1320" s="20" t="str">
        <x:v>LoanPayment</x:v>
      </x:c>
      <x:c r="E1320" s="20" t="str">
        <x:v>Mortgage principal and interest</x:v>
      </x:c>
      <x:c r="F1320" s="20" t="str">
        <x:v>P029</x:v>
      </x:c>
      <x:c r="G1320" s="20" t="str"/>
      <x:c r="H1320" s="20" t="str"/>
      <x:c r="I1320" s="20" t="str">
        <x:v>First QA Mortgage</x:v>
      </x:c>
      <x:c r="J1320" s="35" t="str">
        <x:v>Recurring loan payment + scanned statement</x:v>
      </x:c>
      <x:c r="K1320" s="20" t="str">
        <x:v>SCN-0642</x:v>
      </x:c>
      <x:c r="L1320" s="20" t="str">
        <x:v>LN029-202707</x:v>
      </x:c>
      <x:c r="M1320" s="26" t="n">
        <x:v>1678</x:v>
      </x:c>
      <x:c r="N1320" s="26" t="n">
        <x:v>0</x:v>
      </x:c>
      <x:c r="O1320" s="26" t="n">
        <x:v>-1678</x:v>
      </x:c>
      <x:c r="P1320" s="26" t="n">
        <x:v>0</x:v>
      </x:c>
      <x:c r="Q1320" s="26" t="n">
        <x:v>0</x:v>
      </x:c>
      <x:c r="R1320" s="26" t="n">
        <x:v>0</x:v>
      </x:c>
      <x:c r="S1320" s="26" t="n">
        <x:v>-739</x:v>
      </x:c>
      <x:c r="T1320" s="26" t="n">
        <x:v>0</x:v>
      </x:c>
      <x:c r="U1320" s="26" t="n">
        <x:v>939</x:v>
      </x:c>
      <x:c r="V1320" s="26" t="n">
        <x:v>0</x:v>
      </x:c>
      <x:c r="W1320" s="26" t="n">
        <x:v>0</x:v>
      </x:c>
      <x:c r="X1320" s="26" t="n">
        <x:v>0</x:v>
      </x:c>
      <x:c r="Y1320" s="26" t="n">
        <x:v>0</x:v>
      </x:c>
      <x:c r="Z1320" s="35" t="str">
        <x:v>LN029 scheduled payment</x:v>
      </x:c>
    </x:row>
    <x:row r="1321">
      <x:c r="A1321" s="20" t="str">
        <x:v>FIN-01318</x:v>
      </x:c>
      <x:c r="B1321" s="23" t="n">
        <x:v>46593</x:v>
      </x:c>
      <x:c r="C1321" s="23" t="n">
        <x:v>46593</x:v>
      </x:c>
      <x:c r="D1321" s="20" t="str">
        <x:v>OwnerDistribution</x:v>
      </x:c>
      <x:c r="E1321" s="20" t="str">
        <x:v>Owner distribution</x:v>
      </x:c>
      <x:c r="F1321" s="20" t="str"/>
      <x:c r="G1321" s="20" t="str"/>
      <x:c r="H1321" s="20" t="str"/>
      <x:c r="I1321" s="20" t="str">
        <x:v>Blue Door Residential LLC</x:v>
      </x:c>
      <x:c r="J1321" s="35" t="str">
        <x:v>Manual approval and bank export</x:v>
      </x:c>
      <x:c r="K1321" s="20" t="str"/>
      <x:c r="L1321" s="20" t="str">
        <x:v>DIST-202707-O01</x:v>
      </x:c>
      <x:c r="M1321" s="26" t="n">
        <x:v>3050</x:v>
      </x:c>
      <x:c r="N1321" s="26" t="n">
        <x:v>0</x:v>
      </x:c>
      <x:c r="O1321" s="26" t="n">
        <x:v>-3050</x:v>
      </x:c>
      <x:c r="P1321" s="26" t="n">
        <x:v>0</x:v>
      </x:c>
      <x:c r="Q1321" s="26" t="n">
        <x:v>0</x:v>
      </x:c>
      <x:c r="R1321" s="26" t="n">
        <x:v>0</x:v>
      </x:c>
      <x:c r="S1321" s="26" t="n">
        <x:v>0</x:v>
      </x:c>
      <x:c r="T1321" s="26" t="n">
        <x:v>0</x:v>
      </x:c>
      <x:c r="U1321" s="26" t="n">
        <x:v>0</x:v>
      </x:c>
      <x:c r="V1321" s="26" t="n">
        <x:v>0</x:v>
      </x:c>
      <x:c r="W1321" s="26" t="n">
        <x:v>3050</x:v>
      </x:c>
      <x:c r="X1321" s="26" t="n">
        <x:v>0</x:v>
      </x:c>
      <x:c r="Y1321" s="26" t="n">
        <x:v>0</x:v>
      </x:c>
      <x:c r="Z1321" s="35" t="str">
        <x:v>Monthly distribution to Blue Door Residential LLC</x:v>
      </x:c>
    </x:row>
    <x:row r="1322">
      <x:c r="A1322" s="20" t="str">
        <x:v>FIN-01319</x:v>
      </x:c>
      <x:c r="B1322" s="23" t="n">
        <x:v>46593</x:v>
      </x:c>
      <x:c r="C1322" s="23" t="n">
        <x:v>46593</x:v>
      </x:c>
      <x:c r="D1322" s="20" t="str">
        <x:v>OwnerDistribution</x:v>
      </x:c>
      <x:c r="E1322" s="20" t="str">
        <x:v>Owner distribution</x:v>
      </x:c>
      <x:c r="F1322" s="20" t="str"/>
      <x:c r="G1322" s="20" t="str"/>
      <x:c r="H1322" s="20" t="str"/>
      <x:c r="I1322" s="20" t="str">
        <x:v>Coble Family Rentals LLC</x:v>
      </x:c>
      <x:c r="J1322" s="35" t="str">
        <x:v>Manual approval and bank export</x:v>
      </x:c>
      <x:c r="K1322" s="20" t="str"/>
      <x:c r="L1322" s="20" t="str">
        <x:v>DIST-202707-O02</x:v>
      </x:c>
      <x:c r="M1322" s="26" t="n">
        <x:v>3400</x:v>
      </x:c>
      <x:c r="N1322" s="26" t="n">
        <x:v>0</x:v>
      </x:c>
      <x:c r="O1322" s="26" t="n">
        <x:v>-3400</x:v>
      </x:c>
      <x:c r="P1322" s="26" t="n">
        <x:v>0</x:v>
      </x:c>
      <x:c r="Q1322" s="26" t="n">
        <x:v>0</x:v>
      </x:c>
      <x:c r="R1322" s="26" t="n">
        <x:v>0</x:v>
      </x:c>
      <x:c r="S1322" s="26" t="n">
        <x:v>0</x:v>
      </x:c>
      <x:c r="T1322" s="26" t="n">
        <x:v>0</x:v>
      </x:c>
      <x:c r="U1322" s="26" t="n">
        <x:v>0</x:v>
      </x:c>
      <x:c r="V1322" s="26" t="n">
        <x:v>0</x:v>
      </x:c>
      <x:c r="W1322" s="26" t="n">
        <x:v>3400</x:v>
      </x:c>
      <x:c r="X1322" s="26" t="n">
        <x:v>0</x:v>
      </x:c>
      <x:c r="Y1322" s="26" t="n">
        <x:v>0</x:v>
      </x:c>
      <x:c r="Z1322" s="35" t="str">
        <x:v>Monthly distribution to Coble Family Rentals LLC</x:v>
      </x:c>
    </x:row>
    <x:row r="1323">
      <x:c r="A1323" s="20" t="str">
        <x:v>FIN-01320</x:v>
      </x:c>
      <x:c r="B1323" s="23" t="n">
        <x:v>46593</x:v>
      </x:c>
      <x:c r="C1323" s="23" t="n">
        <x:v>46593</x:v>
      </x:c>
      <x:c r="D1323" s="20" t="str">
        <x:v>OwnerDistribution</x:v>
      </x:c>
      <x:c r="E1323" s="20" t="str">
        <x:v>Owner distribution</x:v>
      </x:c>
      <x:c r="F1323" s="20" t="str"/>
      <x:c r="G1323" s="20" t="str"/>
      <x:c r="H1323" s="20" t="str"/>
      <x:c r="I1323" s="20" t="str">
        <x:v>Northstar Property Partners LLC</x:v>
      </x:c>
      <x:c r="J1323" s="35" t="str">
        <x:v>Manual approval and bank export</x:v>
      </x:c>
      <x:c r="K1323" s="20" t="str"/>
      <x:c r="L1323" s="20" t="str">
        <x:v>DIST-202707-O03</x:v>
      </x:c>
      <x:c r="M1323" s="26" t="n">
        <x:v>3750</x:v>
      </x:c>
      <x:c r="N1323" s="26" t="n">
        <x:v>0</x:v>
      </x:c>
      <x:c r="O1323" s="26" t="n">
        <x:v>-3750</x:v>
      </x:c>
      <x:c r="P1323" s="26" t="n">
        <x:v>0</x:v>
      </x:c>
      <x:c r="Q1323" s="26" t="n">
        <x:v>0</x:v>
      </x:c>
      <x:c r="R1323" s="26" t="n">
        <x:v>0</x:v>
      </x:c>
      <x:c r="S1323" s="26" t="n">
        <x:v>0</x:v>
      </x:c>
      <x:c r="T1323" s="26" t="n">
        <x:v>0</x:v>
      </x:c>
      <x:c r="U1323" s="26" t="n">
        <x:v>0</x:v>
      </x:c>
      <x:c r="V1323" s="26" t="n">
        <x:v>0</x:v>
      </x:c>
      <x:c r="W1323" s="26" t="n">
        <x:v>3750</x:v>
      </x:c>
      <x:c r="X1323" s="26" t="n">
        <x:v>0</x:v>
      </x:c>
      <x:c r="Y1323" s="26" t="n">
        <x:v>0</x:v>
      </x:c>
      <x:c r="Z1323" s="35" t="str">
        <x:v>Monthly distribution to Northstar Property Partners LLC</x:v>
      </x:c>
    </x:row>
    <x:row r="1324">
      <x:c r="A1324" s="20" t="str">
        <x:v>FIN-01321</x:v>
      </x:c>
      <x:c r="B1324" s="23" t="n">
        <x:v>46593</x:v>
      </x:c>
      <x:c r="C1324" s="23" t="n">
        <x:v>46593</x:v>
      </x:c>
      <x:c r="D1324" s="20" t="str">
        <x:v>OwnerDistribution</x:v>
      </x:c>
      <x:c r="E1324" s="20" t="str">
        <x:v>Owner distribution</x:v>
      </x:c>
      <x:c r="F1324" s="20" t="str"/>
      <x:c r="G1324" s="20" t="str"/>
      <x:c r="H1324" s="20" t="str"/>
      <x:c r="I1324" s="20" t="str">
        <x:v>Riverbend Homes LLC</x:v>
      </x:c>
      <x:c r="J1324" s="35" t="str">
        <x:v>Manual approval and bank export</x:v>
      </x:c>
      <x:c r="K1324" s="20" t="str"/>
      <x:c r="L1324" s="20" t="str">
        <x:v>DIST-202707-O04</x:v>
      </x:c>
      <x:c r="M1324" s="26" t="n">
        <x:v>4100</x:v>
      </x:c>
      <x:c r="N1324" s="26" t="n">
        <x:v>0</x:v>
      </x:c>
      <x:c r="O1324" s="26" t="n">
        <x:v>-4100</x:v>
      </x:c>
      <x:c r="P1324" s="26" t="n">
        <x:v>0</x:v>
      </x:c>
      <x:c r="Q1324" s="26" t="n">
        <x:v>0</x:v>
      </x:c>
      <x:c r="R1324" s="26" t="n">
        <x:v>0</x:v>
      </x:c>
      <x:c r="S1324" s="26" t="n">
        <x:v>0</x:v>
      </x:c>
      <x:c r="T1324" s="26" t="n">
        <x:v>0</x:v>
      </x:c>
      <x:c r="U1324" s="26" t="n">
        <x:v>0</x:v>
      </x:c>
      <x:c r="V1324" s="26" t="n">
        <x:v>0</x:v>
      </x:c>
      <x:c r="W1324" s="26" t="n">
        <x:v>4100</x:v>
      </x:c>
      <x:c r="X1324" s="26" t="n">
        <x:v>0</x:v>
      </x:c>
      <x:c r="Y1324" s="26" t="n">
        <x:v>0</x:v>
      </x:c>
      <x:c r="Z1324" s="35" t="str">
        <x:v>Monthly distribution to Riverbend Homes LLC</x:v>
      </x:c>
    </x:row>
    <x:row r="1325">
      <x:c r="A1325" s="20" t="str">
        <x:v>FIN-01322</x:v>
      </x:c>
      <x:c r="B1325" s="23" t="n">
        <x:v>46593</x:v>
      </x:c>
      <x:c r="C1325" s="23" t="n">
        <x:v>46593</x:v>
      </x:c>
      <x:c r="D1325" s="20" t="str">
        <x:v>OwnerDistribution</x:v>
      </x:c>
      <x:c r="E1325" s="20" t="str">
        <x:v>Owner distribution</x:v>
      </x:c>
      <x:c r="F1325" s="20" t="str"/>
      <x:c r="G1325" s="20" t="str"/>
      <x:c r="H1325" s="20" t="str"/>
      <x:c r="I1325" s="20" t="str">
        <x:v>Juniper Street Holdings LLC</x:v>
      </x:c>
      <x:c r="J1325" s="35" t="str">
        <x:v>Manual approval and bank export</x:v>
      </x:c>
      <x:c r="K1325" s="20" t="str"/>
      <x:c r="L1325" s="20" t="str">
        <x:v>DIST-202707-O05</x:v>
      </x:c>
      <x:c r="M1325" s="26" t="n">
        <x:v>4450</x:v>
      </x:c>
      <x:c r="N1325" s="26" t="n">
        <x:v>0</x:v>
      </x:c>
      <x:c r="O1325" s="26" t="n">
        <x:v>-4450</x:v>
      </x:c>
      <x:c r="P1325" s="26" t="n">
        <x:v>0</x:v>
      </x:c>
      <x:c r="Q1325" s="26" t="n">
        <x:v>0</x:v>
      </x:c>
      <x:c r="R1325" s="26" t="n">
        <x:v>0</x:v>
      </x:c>
      <x:c r="S1325" s="26" t="n">
        <x:v>0</x:v>
      </x:c>
      <x:c r="T1325" s="26" t="n">
        <x:v>0</x:v>
      </x:c>
      <x:c r="U1325" s="26" t="n">
        <x:v>0</x:v>
      </x:c>
      <x:c r="V1325" s="26" t="n">
        <x:v>0</x:v>
      </x:c>
      <x:c r="W1325" s="26" t="n">
        <x:v>4450</x:v>
      </x:c>
      <x:c r="X1325" s="26" t="n">
        <x:v>0</x:v>
      </x:c>
      <x:c r="Y1325" s="26" t="n">
        <x:v>0</x:v>
      </x:c>
      <x:c r="Z1325" s="35" t="str">
        <x:v>Monthly distribution to Juniper Street Holdings LLC</x:v>
      </x:c>
    </x:row>
    <x:row r="1326">
      <x:c r="A1326" s="20" t="str">
        <x:v>FIN-01323</x:v>
      </x:c>
      <x:c r="B1326" s="23" t="n">
        <x:v>46614</x:v>
      </x:c>
      <x:c r="C1326" s="23" t="n">
        <x:v>46614</x:v>
      </x:c>
      <x:c r="D1326" s="20" t="str">
        <x:v>OperatingExpense</x:v>
      </x:c>
      <x:c r="E1326" s="20" t="str">
        <x:v>Utilities</x:v>
      </x:c>
      <x:c r="F1326" s="20" t="str">
        <x:v>P021</x:v>
      </x:c>
      <x:c r="G1326" s="20" t="str"/>
      <x:c r="H1326" s="20" t="str"/>
      <x:c r="I1326" s="20" t="str">
        <x:v>City Water &amp; Sewer</x:v>
      </x:c>
      <x:c r="J1326" s="35" t="str">
        <x:v>Scanned receipt/invoice</x:v>
      </x:c>
      <x:c r="K1326" s="20" t="str">
        <x:v>SCN-0644</x:v>
      </x:c>
      <x:c r="L1326" s="20" t="str">
        <x:v>EXP-20270815-1161</x:v>
      </x:c>
      <x:c r="M1326" s="26" t="n">
        <x:v>123</x:v>
      </x:c>
      <x:c r="N1326" s="26" t="n">
        <x:v>0</x:v>
      </x:c>
      <x:c r="O1326" s="26" t="n">
        <x:v>-123</x:v>
      </x:c>
      <x:c r="P1326" s="26" t="n">
        <x:v>0</x:v>
      </x:c>
      <x:c r="Q1326" s="26" t="n">
        <x:v>0</x:v>
      </x:c>
      <x:c r="R1326" s="26" t="n">
        <x:v>0</x:v>
      </x:c>
      <x:c r="S1326" s="26" t="n">
        <x:v>0</x:v>
      </x:c>
      <x:c r="T1326" s="26" t="n">
        <x:v>0</x:v>
      </x:c>
      <x:c r="U1326" s="26" t="n">
        <x:v>123</x:v>
      </x:c>
      <x:c r="V1326" s="26" t="n">
        <x:v>0</x:v>
      </x:c>
      <x:c r="W1326" s="26" t="n">
        <x:v>0</x:v>
      </x:c>
      <x:c r="X1326" s="26" t="n">
        <x:v>0</x:v>
      </x:c>
      <x:c r="Y1326" s="26" t="n">
        <x:v>0</x:v>
      </x:c>
      <x:c r="Z1326" s="35" t="str">
        <x:v>City Water &amp; Sewer</x:v>
      </x:c>
    </x:row>
    <x:row r="1327">
      <x:c r="A1327" s="20" t="str">
        <x:v>FIN-01324</x:v>
      </x:c>
      <x:c r="B1327" s="23" t="n">
        <x:v>46614</x:v>
      </x:c>
      <x:c r="C1327" s="23" t="n">
        <x:v>46614</x:v>
      </x:c>
      <x:c r="D1327" s="20" t="str">
        <x:v>OperatingExpense</x:v>
      </x:c>
      <x:c r="E1327" s="20" t="str">
        <x:v>Utilities</x:v>
      </x:c>
      <x:c r="F1327" s="20" t="str">
        <x:v>P022</x:v>
      </x:c>
      <x:c r="G1327" s="20" t="str"/>
      <x:c r="H1327" s="20" t="str"/>
      <x:c r="I1327" s="20" t="str">
        <x:v>City Water &amp; Sewer</x:v>
      </x:c>
      <x:c r="J1327" s="35" t="str">
        <x:v>Scanned receipt/invoice</x:v>
      </x:c>
      <x:c r="K1327" s="20" t="str">
        <x:v>SCN-0645</x:v>
      </x:c>
      <x:c r="L1327" s="20" t="str">
        <x:v>EXP-20270815-1162</x:v>
      </x:c>
      <x:c r="M1327" s="26" t="n">
        <x:v>130</x:v>
      </x:c>
      <x:c r="N1327" s="26" t="n">
        <x:v>0</x:v>
      </x:c>
      <x:c r="O1327" s="26" t="n">
        <x:v>-130</x:v>
      </x:c>
      <x:c r="P1327" s="26" t="n">
        <x:v>0</x:v>
      </x:c>
      <x:c r="Q1327" s="26" t="n">
        <x:v>0</x:v>
      </x:c>
      <x:c r="R1327" s="26" t="n">
        <x:v>0</x:v>
      </x:c>
      <x:c r="S1327" s="26" t="n">
        <x:v>0</x:v>
      </x:c>
      <x:c r="T1327" s="26" t="n">
        <x:v>0</x:v>
      </x:c>
      <x:c r="U1327" s="26" t="n">
        <x:v>130</x:v>
      </x:c>
      <x:c r="V1327" s="26" t="n">
        <x:v>0</x:v>
      </x:c>
      <x:c r="W1327" s="26" t="n">
        <x:v>0</x:v>
      </x:c>
      <x:c r="X1327" s="26" t="n">
        <x:v>0</x:v>
      </x:c>
      <x:c r="Y1327" s="26" t="n">
        <x:v>0</x:v>
      </x:c>
      <x:c r="Z1327" s="35" t="str">
        <x:v>City Water &amp; Sewer</x:v>
      </x:c>
    </x:row>
    <x:row r="1328">
      <x:c r="A1328" s="20" t="str">
        <x:v>FIN-01325</x:v>
      </x:c>
      <x:c r="B1328" s="23" t="n">
        <x:v>46614</x:v>
      </x:c>
      <x:c r="C1328" s="23" t="n">
        <x:v>46614</x:v>
      </x:c>
      <x:c r="D1328" s="20" t="str">
        <x:v>OperatingExpense</x:v>
      </x:c>
      <x:c r="E1328" s="20" t="str">
        <x:v>Utilities</x:v>
      </x:c>
      <x:c r="F1328" s="20" t="str">
        <x:v>P023</x:v>
      </x:c>
      <x:c r="G1328" s="20" t="str"/>
      <x:c r="H1328" s="20" t="str"/>
      <x:c r="I1328" s="20" t="str">
        <x:v>City Water &amp; Sewer</x:v>
      </x:c>
      <x:c r="J1328" s="35" t="str">
        <x:v>Scanned receipt/invoice</x:v>
      </x:c>
      <x:c r="K1328" s="20" t="str">
        <x:v>SCN-0646</x:v>
      </x:c>
      <x:c r="L1328" s="20" t="str">
        <x:v>EXP-20270815-1163</x:v>
      </x:c>
      <x:c r="M1328" s="26" t="n">
        <x:v>137</x:v>
      </x:c>
      <x:c r="N1328" s="26" t="n">
        <x:v>0</x:v>
      </x:c>
      <x:c r="O1328" s="26" t="n">
        <x:v>-137</x:v>
      </x:c>
      <x:c r="P1328" s="26" t="n">
        <x:v>0</x:v>
      </x:c>
      <x:c r="Q1328" s="26" t="n">
        <x:v>0</x:v>
      </x:c>
      <x:c r="R1328" s="26" t="n">
        <x:v>0</x:v>
      </x:c>
      <x:c r="S1328" s="26" t="n">
        <x:v>0</x:v>
      </x:c>
      <x:c r="T1328" s="26" t="n">
        <x:v>0</x:v>
      </x:c>
      <x:c r="U1328" s="26" t="n">
        <x:v>137</x:v>
      </x:c>
      <x:c r="V1328" s="26" t="n">
        <x:v>0</x:v>
      </x:c>
      <x:c r="W1328" s="26" t="n">
        <x:v>0</x:v>
      </x:c>
      <x:c r="X1328" s="26" t="n">
        <x:v>0</x:v>
      </x:c>
      <x:c r="Y1328" s="26" t="n">
        <x:v>0</x:v>
      </x:c>
      <x:c r="Z1328" s="35" t="str">
        <x:v>City Water &amp; Sewer</x:v>
      </x:c>
    </x:row>
    <x:row r="1329">
      <x:c r="A1329" s="20" t="str">
        <x:v>FIN-01326</x:v>
      </x:c>
      <x:c r="B1329" s="23" t="n">
        <x:v>46614</x:v>
      </x:c>
      <x:c r="C1329" s="23" t="n">
        <x:v>46614</x:v>
      </x:c>
      <x:c r="D1329" s="20" t="str">
        <x:v>OperatingExpense</x:v>
      </x:c>
      <x:c r="E1329" s="20" t="str">
        <x:v>Utilities</x:v>
      </x:c>
      <x:c r="F1329" s="20" t="str">
        <x:v>P024</x:v>
      </x:c>
      <x:c r="G1329" s="20" t="str"/>
      <x:c r="H1329" s="20" t="str"/>
      <x:c r="I1329" s="20" t="str">
        <x:v>City Water &amp; Sewer</x:v>
      </x:c>
      <x:c r="J1329" s="35" t="str">
        <x:v>Scanned receipt/invoice</x:v>
      </x:c>
      <x:c r="K1329" s="20" t="str">
        <x:v>SCN-0647</x:v>
      </x:c>
      <x:c r="L1329" s="20" t="str">
        <x:v>EXP-20270815-1164</x:v>
      </x:c>
      <x:c r="M1329" s="26" t="n">
        <x:v>144</x:v>
      </x:c>
      <x:c r="N1329" s="26" t="n">
        <x:v>0</x:v>
      </x:c>
      <x:c r="O1329" s="26" t="n">
        <x:v>-144</x:v>
      </x:c>
      <x:c r="P1329" s="26" t="n">
        <x:v>0</x:v>
      </x:c>
      <x:c r="Q1329" s="26" t="n">
        <x:v>0</x:v>
      </x:c>
      <x:c r="R1329" s="26" t="n">
        <x:v>0</x:v>
      </x:c>
      <x:c r="S1329" s="26" t="n">
        <x:v>0</x:v>
      </x:c>
      <x:c r="T1329" s="26" t="n">
        <x:v>0</x:v>
      </x:c>
      <x:c r="U1329" s="26" t="n">
        <x:v>144</x:v>
      </x:c>
      <x:c r="V1329" s="26" t="n">
        <x:v>0</x:v>
      </x:c>
      <x:c r="W1329" s="26" t="n">
        <x:v>0</x:v>
      </x:c>
      <x:c r="X1329" s="26" t="n">
        <x:v>0</x:v>
      </x:c>
      <x:c r="Y1329" s="26" t="n">
        <x:v>0</x:v>
      </x:c>
      <x:c r="Z1329" s="35" t="str">
        <x:v>City Water &amp; Sewer</x:v>
      </x:c>
    </x:row>
    <x:row r="1330">
      <x:c r="A1330" s="20" t="str">
        <x:v>FIN-01327</x:v>
      </x:c>
      <x:c r="B1330" s="23" t="n">
        <x:v>46614</x:v>
      </x:c>
      <x:c r="C1330" s="23" t="n">
        <x:v>46614</x:v>
      </x:c>
      <x:c r="D1330" s="20" t="str">
        <x:v>OperatingExpense</x:v>
      </x:c>
      <x:c r="E1330" s="20" t="str">
        <x:v>Utilities</x:v>
      </x:c>
      <x:c r="F1330" s="20" t="str">
        <x:v>P025</x:v>
      </x:c>
      <x:c r="G1330" s="20" t="str"/>
      <x:c r="H1330" s="20" t="str"/>
      <x:c r="I1330" s="20" t="str">
        <x:v>City Water &amp; Sewer</x:v>
      </x:c>
      <x:c r="J1330" s="35" t="str">
        <x:v>Manual web form</x:v>
      </x:c>
      <x:c r="K1330" s="20" t="str"/>
      <x:c r="L1330" s="20" t="str">
        <x:v>EXP-20270815-1165</x:v>
      </x:c>
      <x:c r="M1330" s="26" t="n">
        <x:v>151</x:v>
      </x:c>
      <x:c r="N1330" s="26" t="n">
        <x:v>0</x:v>
      </x:c>
      <x:c r="O1330" s="26" t="n">
        <x:v>-151</x:v>
      </x:c>
      <x:c r="P1330" s="26" t="n">
        <x:v>0</x:v>
      </x:c>
      <x:c r="Q1330" s="26" t="n">
        <x:v>0</x:v>
      </x:c>
      <x:c r="R1330" s="26" t="n">
        <x:v>0</x:v>
      </x:c>
      <x:c r="S1330" s="26" t="n">
        <x:v>0</x:v>
      </x:c>
      <x:c r="T1330" s="26" t="n">
        <x:v>0</x:v>
      </x:c>
      <x:c r="U1330" s="26" t="n">
        <x:v>151</x:v>
      </x:c>
      <x:c r="V1330" s="26" t="n">
        <x:v>0</x:v>
      </x:c>
      <x:c r="W1330" s="26" t="n">
        <x:v>0</x:v>
      </x:c>
      <x:c r="X1330" s="26" t="n">
        <x:v>0</x:v>
      </x:c>
      <x:c r="Y1330" s="26" t="n">
        <x:v>0</x:v>
      </x:c>
      <x:c r="Z1330" s="35" t="str">
        <x:v>City Water &amp; Sewer</x:v>
      </x:c>
    </x:row>
    <x:row r="1331">
      <x:c r="A1331" s="20" t="str">
        <x:v>FIN-01328</x:v>
      </x:c>
      <x:c r="B1331" s="23" t="n">
        <x:v>46614</x:v>
      </x:c>
      <x:c r="C1331" s="23" t="n">
        <x:v>46614</x:v>
      </x:c>
      <x:c r="D1331" s="20" t="str">
        <x:v>OperatingExpense</x:v>
      </x:c>
      <x:c r="E1331" s="20" t="str">
        <x:v>Utilities</x:v>
      </x:c>
      <x:c r="F1331" s="20" t="str">
        <x:v>P026</x:v>
      </x:c>
      <x:c r="G1331" s="20" t="str"/>
      <x:c r="H1331" s="20" t="str"/>
      <x:c r="I1331" s="20" t="str">
        <x:v>City Water &amp; Sewer</x:v>
      </x:c>
      <x:c r="J1331" s="35" t="str">
        <x:v>Scanned receipt/invoice</x:v>
      </x:c>
      <x:c r="K1331" s="20" t="str">
        <x:v>SCN-0648</x:v>
      </x:c>
      <x:c r="L1331" s="20" t="str">
        <x:v>EXP-20270815-1166</x:v>
      </x:c>
      <x:c r="M1331" s="26" t="n">
        <x:v>158</x:v>
      </x:c>
      <x:c r="N1331" s="26" t="n">
        <x:v>0</x:v>
      </x:c>
      <x:c r="O1331" s="26" t="n">
        <x:v>-158</x:v>
      </x:c>
      <x:c r="P1331" s="26" t="n">
        <x:v>0</x:v>
      </x:c>
      <x:c r="Q1331" s="26" t="n">
        <x:v>0</x:v>
      </x:c>
      <x:c r="R1331" s="26" t="n">
        <x:v>0</x:v>
      </x:c>
      <x:c r="S1331" s="26" t="n">
        <x:v>0</x:v>
      </x:c>
      <x:c r="T1331" s="26" t="n">
        <x:v>0</x:v>
      </x:c>
      <x:c r="U1331" s="26" t="n">
        <x:v>158</x:v>
      </x:c>
      <x:c r="V1331" s="26" t="n">
        <x:v>0</x:v>
      </x:c>
      <x:c r="W1331" s="26" t="n">
        <x:v>0</x:v>
      </x:c>
      <x:c r="X1331" s="26" t="n">
        <x:v>0</x:v>
      </x:c>
      <x:c r="Y1331" s="26" t="n">
        <x:v>0</x:v>
      </x:c>
      <x:c r="Z1331" s="35" t="str">
        <x:v>City Water &amp; Sewer</x:v>
      </x:c>
    </x:row>
    <x:row r="1332">
      <x:c r="A1332" s="20" t="str">
        <x:v>FIN-01329</x:v>
      </x:c>
      <x:c r="B1332" s="23" t="n">
        <x:v>46614</x:v>
      </x:c>
      <x:c r="C1332" s="23" t="n">
        <x:v>46614</x:v>
      </x:c>
      <x:c r="D1332" s="20" t="str">
        <x:v>OperatingExpense</x:v>
      </x:c>
      <x:c r="E1332" s="20" t="str">
        <x:v>Utilities</x:v>
      </x:c>
      <x:c r="F1332" s="20" t="str">
        <x:v>P027</x:v>
      </x:c>
      <x:c r="G1332" s="20" t="str"/>
      <x:c r="H1332" s="20" t="str"/>
      <x:c r="I1332" s="20" t="str">
        <x:v>City Water &amp; Sewer</x:v>
      </x:c>
      <x:c r="J1332" s="35" t="str">
        <x:v>Scanned receipt/invoice</x:v>
      </x:c>
      <x:c r="K1332" s="20" t="str">
        <x:v>SCN-0649</x:v>
      </x:c>
      <x:c r="L1332" s="20" t="str">
        <x:v>EXP-20270815-1167</x:v>
      </x:c>
      <x:c r="M1332" s="26" t="n">
        <x:v>165</x:v>
      </x:c>
      <x:c r="N1332" s="26" t="n">
        <x:v>0</x:v>
      </x:c>
      <x:c r="O1332" s="26" t="n">
        <x:v>-165</x:v>
      </x:c>
      <x:c r="P1332" s="26" t="n">
        <x:v>0</x:v>
      </x:c>
      <x:c r="Q1332" s="26" t="n">
        <x:v>0</x:v>
      </x:c>
      <x:c r="R1332" s="26" t="n">
        <x:v>0</x:v>
      </x:c>
      <x:c r="S1332" s="26" t="n">
        <x:v>0</x:v>
      </x:c>
      <x:c r="T1332" s="26" t="n">
        <x:v>0</x:v>
      </x:c>
      <x:c r="U1332" s="26" t="n">
        <x:v>165</x:v>
      </x:c>
      <x:c r="V1332" s="26" t="n">
        <x:v>0</x:v>
      </x:c>
      <x:c r="W1332" s="26" t="n">
        <x:v>0</x:v>
      </x:c>
      <x:c r="X1332" s="26" t="n">
        <x:v>0</x:v>
      </x:c>
      <x:c r="Y1332" s="26" t="n">
        <x:v>0</x:v>
      </x:c>
      <x:c r="Z1332" s="35" t="str">
        <x:v>City Water &amp; Sewer</x:v>
      </x:c>
    </x:row>
    <x:row r="1333">
      <x:c r="A1333" s="20" t="str">
        <x:v>FIN-01330</x:v>
      </x:c>
      <x:c r="B1333" s="23" t="n">
        <x:v>46614</x:v>
      </x:c>
      <x:c r="C1333" s="23" t="n">
        <x:v>46614</x:v>
      </x:c>
      <x:c r="D1333" s="20" t="str">
        <x:v>OperatingExpense</x:v>
      </x:c>
      <x:c r="E1333" s="20" t="str">
        <x:v>Utilities</x:v>
      </x:c>
      <x:c r="F1333" s="20" t="str">
        <x:v>P028</x:v>
      </x:c>
      <x:c r="G1333" s="20" t="str"/>
      <x:c r="H1333" s="20" t="str"/>
      <x:c r="I1333" s="20" t="str">
        <x:v>City Water &amp; Sewer</x:v>
      </x:c>
      <x:c r="J1333" s="35" t="str">
        <x:v>Scanned receipt/invoice</x:v>
      </x:c>
      <x:c r="K1333" s="20" t="str">
        <x:v>SCN-0650</x:v>
      </x:c>
      <x:c r="L1333" s="20" t="str">
        <x:v>EXP-20270815-1168</x:v>
      </x:c>
      <x:c r="M1333" s="26" t="n">
        <x:v>172</x:v>
      </x:c>
      <x:c r="N1333" s="26" t="n">
        <x:v>0</x:v>
      </x:c>
      <x:c r="O1333" s="26" t="n">
        <x:v>-172</x:v>
      </x:c>
      <x:c r="P1333" s="26" t="n">
        <x:v>0</x:v>
      </x:c>
      <x:c r="Q1333" s="26" t="n">
        <x:v>0</x:v>
      </x:c>
      <x:c r="R1333" s="26" t="n">
        <x:v>0</x:v>
      </x:c>
      <x:c r="S1333" s="26" t="n">
        <x:v>0</x:v>
      </x:c>
      <x:c r="T1333" s="26" t="n">
        <x:v>0</x:v>
      </x:c>
      <x:c r="U1333" s="26" t="n">
        <x:v>172</x:v>
      </x:c>
      <x:c r="V1333" s="26" t="n">
        <x:v>0</x:v>
      </x:c>
      <x:c r="W1333" s="26" t="n">
        <x:v>0</x:v>
      </x:c>
      <x:c r="X1333" s="26" t="n">
        <x:v>0</x:v>
      </x:c>
      <x:c r="Y1333" s="26" t="n">
        <x:v>0</x:v>
      </x:c>
      <x:c r="Z1333" s="35" t="str">
        <x:v>City Water &amp; Sewer</x:v>
      </x:c>
    </x:row>
    <x:row r="1334">
      <x:c r="A1334" s="20" t="str">
        <x:v>FIN-01331</x:v>
      </x:c>
      <x:c r="B1334" s="23" t="n">
        <x:v>46614</x:v>
      </x:c>
      <x:c r="C1334" s="23" t="n">
        <x:v>46614</x:v>
      </x:c>
      <x:c r="D1334" s="20" t="str">
        <x:v>OperatingExpense</x:v>
      </x:c>
      <x:c r="E1334" s="20" t="str">
        <x:v>Utilities</x:v>
      </x:c>
      <x:c r="F1334" s="20" t="str">
        <x:v>P029</x:v>
      </x:c>
      <x:c r="G1334" s="20" t="str"/>
      <x:c r="H1334" s="20" t="str"/>
      <x:c r="I1334" s="20" t="str">
        <x:v>City Water &amp; Sewer</x:v>
      </x:c>
      <x:c r="J1334" s="35" t="str">
        <x:v>Scanned receipt/invoice</x:v>
      </x:c>
      <x:c r="K1334" s="20" t="str">
        <x:v>SCN-0651</x:v>
      </x:c>
      <x:c r="L1334" s="20" t="str">
        <x:v>EXP-20270815-1169</x:v>
      </x:c>
      <x:c r="M1334" s="26" t="n">
        <x:v>179</x:v>
      </x:c>
      <x:c r="N1334" s="26" t="n">
        <x:v>0</x:v>
      </x:c>
      <x:c r="O1334" s="26" t="n">
        <x:v>-179</x:v>
      </x:c>
      <x:c r="P1334" s="26" t="n">
        <x:v>0</x:v>
      </x:c>
      <x:c r="Q1334" s="26" t="n">
        <x:v>0</x:v>
      </x:c>
      <x:c r="R1334" s="26" t="n">
        <x:v>0</x:v>
      </x:c>
      <x:c r="S1334" s="26" t="n">
        <x:v>0</x:v>
      </x:c>
      <x:c r="T1334" s="26" t="n">
        <x:v>0</x:v>
      </x:c>
      <x:c r="U1334" s="26" t="n">
        <x:v>179</x:v>
      </x:c>
      <x:c r="V1334" s="26" t="n">
        <x:v>0</x:v>
      </x:c>
      <x:c r="W1334" s="26" t="n">
        <x:v>0</x:v>
      </x:c>
      <x:c r="X1334" s="26" t="n">
        <x:v>0</x:v>
      </x:c>
      <x:c r="Y1334" s="26" t="n">
        <x:v>0</x:v>
      </x:c>
      <x:c r="Z1334" s="35" t="str">
        <x:v>City Water &amp; Sewer</x:v>
      </x:c>
    </x:row>
    <x:row r="1335">
      <x:c r="A1335" s="20" t="str">
        <x:v>FIN-01332</x:v>
      </x:c>
      <x:c r="B1335" s="23" t="n">
        <x:v>46614</x:v>
      </x:c>
      <x:c r="C1335" s="23" t="n">
        <x:v>46614</x:v>
      </x:c>
      <x:c r="D1335" s="20" t="str">
        <x:v>OperatingExpense</x:v>
      </x:c>
      <x:c r="E1335" s="20" t="str">
        <x:v>Utilities</x:v>
      </x:c>
      <x:c r="F1335" s="20" t="str">
        <x:v>P030</x:v>
      </x:c>
      <x:c r="G1335" s="20" t="str"/>
      <x:c r="H1335" s="20" t="str"/>
      <x:c r="I1335" s="20" t="str">
        <x:v>City Water &amp; Sewer</x:v>
      </x:c>
      <x:c r="J1335" s="35" t="str">
        <x:v>Manual mobile form</x:v>
      </x:c>
      <x:c r="K1335" s="20" t="str"/>
      <x:c r="L1335" s="20" t="str">
        <x:v>EXP-20270815-1170</x:v>
      </x:c>
      <x:c r="M1335" s="26" t="n">
        <x:v>186</x:v>
      </x:c>
      <x:c r="N1335" s="26" t="n">
        <x:v>0</x:v>
      </x:c>
      <x:c r="O1335" s="26" t="n">
        <x:v>-186</x:v>
      </x:c>
      <x:c r="P1335" s="26" t="n">
        <x:v>0</x:v>
      </x:c>
      <x:c r="Q1335" s="26" t="n">
        <x:v>0</x:v>
      </x:c>
      <x:c r="R1335" s="26" t="n">
        <x:v>0</x:v>
      </x:c>
      <x:c r="S1335" s="26" t="n">
        <x:v>0</x:v>
      </x:c>
      <x:c r="T1335" s="26" t="n">
        <x:v>0</x:v>
      </x:c>
      <x:c r="U1335" s="26" t="n">
        <x:v>186</x:v>
      </x:c>
      <x:c r="V1335" s="26" t="n">
        <x:v>0</x:v>
      </x:c>
      <x:c r="W1335" s="26" t="n">
        <x:v>0</x:v>
      </x:c>
      <x:c r="X1335" s="26" t="n">
        <x:v>0</x:v>
      </x:c>
      <x:c r="Y1335" s="26" t="n">
        <x:v>0</x:v>
      </x:c>
      <x:c r="Z1335" s="35" t="str">
        <x:v>City Water &amp; Sewer</x:v>
      </x:c>
    </x:row>
    <x:row r="1336">
      <x:c r="A1336" s="20" t="str">
        <x:v>FIN-01333</x:v>
      </x:c>
      <x:c r="B1336" s="23" t="n">
        <x:v>46619</x:v>
      </x:c>
      <x:c r="C1336" s="23" t="n">
        <x:v>46619</x:v>
      </x:c>
      <x:c r="D1336" s="20" t="str">
        <x:v>LoanPayment</x:v>
      </x:c>
      <x:c r="E1336" s="20" t="str">
        <x:v>Mortgage principal and interest</x:v>
      </x:c>
      <x:c r="F1336" s="20" t="str">
        <x:v>P001</x:v>
      </x:c>
      <x:c r="G1336" s="20" t="str"/>
      <x:c r="H1336" s="20" t="str"/>
      <x:c r="I1336" s="20" t="str">
        <x:v>First QA Mortgage</x:v>
      </x:c>
      <x:c r="J1336" s="35" t="str">
        <x:v>Recurring loan payment + scanned statement</x:v>
      </x:c>
      <x:c r="K1336" s="20" t="str">
        <x:v>SCN-0652</x:v>
      </x:c>
      <x:c r="L1336" s="20" t="str">
        <x:v>LN001-202708</x:v>
      </x:c>
      <x:c r="M1336" s="26" t="n">
        <x:v>998</x:v>
      </x:c>
      <x:c r="N1336" s="26" t="n">
        <x:v>0</x:v>
      </x:c>
      <x:c r="O1336" s="26" t="n">
        <x:v>-998</x:v>
      </x:c>
      <x:c r="P1336" s="26" t="n">
        <x:v>0</x:v>
      </x:c>
      <x:c r="Q1336" s="26" t="n">
        <x:v>0</x:v>
      </x:c>
      <x:c r="R1336" s="26" t="n">
        <x:v>0</x:v>
      </x:c>
      <x:c r="S1336" s="26" t="n">
        <x:v>-431</x:v>
      </x:c>
      <x:c r="T1336" s="26" t="n">
        <x:v>0</x:v>
      </x:c>
      <x:c r="U1336" s="26" t="n">
        <x:v>567</x:v>
      </x:c>
      <x:c r="V1336" s="26" t="n">
        <x:v>0</x:v>
      </x:c>
      <x:c r="W1336" s="26" t="n">
        <x:v>0</x:v>
      </x:c>
      <x:c r="X1336" s="26" t="n">
        <x:v>0</x:v>
      </x:c>
      <x:c r="Y1336" s="26" t="n">
        <x:v>0</x:v>
      </x:c>
      <x:c r="Z1336" s="35" t="str">
        <x:v>LN001 scheduled payment</x:v>
      </x:c>
    </x:row>
    <x:row r="1337">
      <x:c r="A1337" s="20" t="str">
        <x:v>FIN-01334</x:v>
      </x:c>
      <x:c r="B1337" s="23" t="n">
        <x:v>46619</x:v>
      </x:c>
      <x:c r="C1337" s="23" t="n">
        <x:v>46619</x:v>
      </x:c>
      <x:c r="D1337" s="20" t="str">
        <x:v>LoanPayment</x:v>
      </x:c>
      <x:c r="E1337" s="20" t="str">
        <x:v>Mortgage principal and interest</x:v>
      </x:c>
      <x:c r="F1337" s="20" t="str">
        <x:v>P002</x:v>
      </x:c>
      <x:c r="G1337" s="20" t="str"/>
      <x:c r="H1337" s="20" t="str"/>
      <x:c r="I1337" s="20" t="str">
        <x:v>First QA Mortgage</x:v>
      </x:c>
      <x:c r="J1337" s="35" t="str">
        <x:v>Recurring loan payment + scanned statement</x:v>
      </x:c>
      <x:c r="K1337" s="20" t="str">
        <x:v>SCN-0653</x:v>
      </x:c>
      <x:c r="L1337" s="20" t="str">
        <x:v>LN002-202708</x:v>
      </x:c>
      <x:c r="M1337" s="26" t="n">
        <x:v>1022</x:v>
      </x:c>
      <x:c r="N1337" s="26" t="n">
        <x:v>0</x:v>
      </x:c>
      <x:c r="O1337" s="26" t="n">
        <x:v>-1022</x:v>
      </x:c>
      <x:c r="P1337" s="26" t="n">
        <x:v>0</x:v>
      </x:c>
      <x:c r="Q1337" s="26" t="n">
        <x:v>0</x:v>
      </x:c>
      <x:c r="R1337" s="26" t="n">
        <x:v>0</x:v>
      </x:c>
      <x:c r="S1337" s="26" t="n">
        <x:v>-442</x:v>
      </x:c>
      <x:c r="T1337" s="26" t="n">
        <x:v>0</x:v>
      </x:c>
      <x:c r="U1337" s="26" t="n">
        <x:v>580</x:v>
      </x:c>
      <x:c r="V1337" s="26" t="n">
        <x:v>0</x:v>
      </x:c>
      <x:c r="W1337" s="26" t="n">
        <x:v>0</x:v>
      </x:c>
      <x:c r="X1337" s="26" t="n">
        <x:v>0</x:v>
      </x:c>
      <x:c r="Y1337" s="26" t="n">
        <x:v>0</x:v>
      </x:c>
      <x:c r="Z1337" s="35" t="str">
        <x:v>LN002 scheduled payment</x:v>
      </x:c>
    </x:row>
    <x:row r="1338">
      <x:c r="A1338" s="20" t="str">
        <x:v>FIN-01335</x:v>
      </x:c>
      <x:c r="B1338" s="23" t="n">
        <x:v>46619</x:v>
      </x:c>
      <x:c r="C1338" s="23" t="n">
        <x:v>46619</x:v>
      </x:c>
      <x:c r="D1338" s="20" t="str">
        <x:v>LoanPayment</x:v>
      </x:c>
      <x:c r="E1338" s="20" t="str">
        <x:v>Mortgage principal and interest</x:v>
      </x:c>
      <x:c r="F1338" s="20" t="str">
        <x:v>P004</x:v>
      </x:c>
      <x:c r="G1338" s="20" t="str"/>
      <x:c r="H1338" s="20" t="str"/>
      <x:c r="I1338" s="20" t="str">
        <x:v>First QA Mortgage</x:v>
      </x:c>
      <x:c r="J1338" s="35" t="str">
        <x:v>Recurring loan payment + scanned statement</x:v>
      </x:c>
      <x:c r="K1338" s="20" t="str">
        <x:v>SCN-0654</x:v>
      </x:c>
      <x:c r="L1338" s="20" t="str">
        <x:v>LN004-202708</x:v>
      </x:c>
      <x:c r="M1338" s="26" t="n">
        <x:v>1070</x:v>
      </x:c>
      <x:c r="N1338" s="26" t="n">
        <x:v>0</x:v>
      </x:c>
      <x:c r="O1338" s="26" t="n">
        <x:v>-1070</x:v>
      </x:c>
      <x:c r="P1338" s="26" t="n">
        <x:v>0</x:v>
      </x:c>
      <x:c r="Q1338" s="26" t="n">
        <x:v>0</x:v>
      </x:c>
      <x:c r="R1338" s="26" t="n">
        <x:v>0</x:v>
      </x:c>
      <x:c r="S1338" s="26" t="n">
        <x:v>-464</x:v>
      </x:c>
      <x:c r="T1338" s="26" t="n">
        <x:v>0</x:v>
      </x:c>
      <x:c r="U1338" s="26" t="n">
        <x:v>606</x:v>
      </x:c>
      <x:c r="V1338" s="26" t="n">
        <x:v>0</x:v>
      </x:c>
      <x:c r="W1338" s="26" t="n">
        <x:v>0</x:v>
      </x:c>
      <x:c r="X1338" s="26" t="n">
        <x:v>0</x:v>
      </x:c>
      <x:c r="Y1338" s="26" t="n">
        <x:v>0</x:v>
      </x:c>
      <x:c r="Z1338" s="35" t="str">
        <x:v>LN004 scheduled payment</x:v>
      </x:c>
    </x:row>
    <x:row r="1339">
      <x:c r="A1339" s="20" t="str">
        <x:v>FIN-01336</x:v>
      </x:c>
      <x:c r="B1339" s="23" t="n">
        <x:v>46619</x:v>
      </x:c>
      <x:c r="C1339" s="23" t="n">
        <x:v>46619</x:v>
      </x:c>
      <x:c r="D1339" s="20" t="str">
        <x:v>LoanPayment</x:v>
      </x:c>
      <x:c r="E1339" s="20" t="str">
        <x:v>Mortgage principal and interest</x:v>
      </x:c>
      <x:c r="F1339" s="20" t="str">
        <x:v>P005</x:v>
      </x:c>
      <x:c r="G1339" s="20" t="str"/>
      <x:c r="H1339" s="20" t="str"/>
      <x:c r="I1339" s="20" t="str">
        <x:v>First QA Mortgage</x:v>
      </x:c>
      <x:c r="J1339" s="35" t="str">
        <x:v>Recurring loan payment + scanned statement</x:v>
      </x:c>
      <x:c r="K1339" s="20" t="str">
        <x:v>SCN-0655</x:v>
      </x:c>
      <x:c r="L1339" s="20" t="str">
        <x:v>LN005-202708</x:v>
      </x:c>
      <x:c r="M1339" s="26" t="n">
        <x:v>1094</x:v>
      </x:c>
      <x:c r="N1339" s="26" t="n">
        <x:v>0</x:v>
      </x:c>
      <x:c r="O1339" s="26" t="n">
        <x:v>-1094</x:v>
      </x:c>
      <x:c r="P1339" s="26" t="n">
        <x:v>0</x:v>
      </x:c>
      <x:c r="Q1339" s="26" t="n">
        <x:v>0</x:v>
      </x:c>
      <x:c r="R1339" s="26" t="n">
        <x:v>0</x:v>
      </x:c>
      <x:c r="S1339" s="26" t="n">
        <x:v>-475</x:v>
      </x:c>
      <x:c r="T1339" s="26" t="n">
        <x:v>0</x:v>
      </x:c>
      <x:c r="U1339" s="26" t="n">
        <x:v>619</x:v>
      </x:c>
      <x:c r="V1339" s="26" t="n">
        <x:v>0</x:v>
      </x:c>
      <x:c r="W1339" s="26" t="n">
        <x:v>0</x:v>
      </x:c>
      <x:c r="X1339" s="26" t="n">
        <x:v>0</x:v>
      </x:c>
      <x:c r="Y1339" s="26" t="n">
        <x:v>0</x:v>
      </x:c>
      <x:c r="Z1339" s="35" t="str">
        <x:v>LN005 scheduled payment</x:v>
      </x:c>
    </x:row>
    <x:row r="1340">
      <x:c r="A1340" s="20" t="str">
        <x:v>FIN-01337</x:v>
      </x:c>
      <x:c r="B1340" s="23" t="n">
        <x:v>46619</x:v>
      </x:c>
      <x:c r="C1340" s="23" t="n">
        <x:v>46619</x:v>
      </x:c>
      <x:c r="D1340" s="20" t="str">
        <x:v>LoanPayment</x:v>
      </x:c>
      <x:c r="E1340" s="20" t="str">
        <x:v>Mortgage principal and interest</x:v>
      </x:c>
      <x:c r="F1340" s="20" t="str">
        <x:v>P007</x:v>
      </x:c>
      <x:c r="G1340" s="20" t="str"/>
      <x:c r="H1340" s="20" t="str"/>
      <x:c r="I1340" s="20" t="str">
        <x:v>First QA Mortgage</x:v>
      </x:c>
      <x:c r="J1340" s="35" t="str">
        <x:v>Recurring loan payment + scanned statement</x:v>
      </x:c>
      <x:c r="K1340" s="20" t="str">
        <x:v>SCN-0656</x:v>
      </x:c>
      <x:c r="L1340" s="20" t="str">
        <x:v>LN007-202708</x:v>
      </x:c>
      <x:c r="M1340" s="26" t="n">
        <x:v>1142</x:v>
      </x:c>
      <x:c r="N1340" s="26" t="n">
        <x:v>0</x:v>
      </x:c>
      <x:c r="O1340" s="26" t="n">
        <x:v>-1142</x:v>
      </x:c>
      <x:c r="P1340" s="26" t="n">
        <x:v>0</x:v>
      </x:c>
      <x:c r="Q1340" s="26" t="n">
        <x:v>0</x:v>
      </x:c>
      <x:c r="R1340" s="26" t="n">
        <x:v>0</x:v>
      </x:c>
      <x:c r="S1340" s="26" t="n">
        <x:v>-497</x:v>
      </x:c>
      <x:c r="T1340" s="26" t="n">
        <x:v>0</x:v>
      </x:c>
      <x:c r="U1340" s="26" t="n">
        <x:v>645</x:v>
      </x:c>
      <x:c r="V1340" s="26" t="n">
        <x:v>0</x:v>
      </x:c>
      <x:c r="W1340" s="26" t="n">
        <x:v>0</x:v>
      </x:c>
      <x:c r="X1340" s="26" t="n">
        <x:v>0</x:v>
      </x:c>
      <x:c r="Y1340" s="26" t="n">
        <x:v>0</x:v>
      </x:c>
      <x:c r="Z1340" s="35" t="str">
        <x:v>LN007 scheduled payment</x:v>
      </x:c>
    </x:row>
    <x:row r="1341">
      <x:c r="A1341" s="20" t="str">
        <x:v>FIN-01338</x:v>
      </x:c>
      <x:c r="B1341" s="23" t="n">
        <x:v>46619</x:v>
      </x:c>
      <x:c r="C1341" s="23" t="n">
        <x:v>46619</x:v>
      </x:c>
      <x:c r="D1341" s="20" t="str">
        <x:v>LoanPayment</x:v>
      </x:c>
      <x:c r="E1341" s="20" t="str">
        <x:v>Mortgage principal and interest</x:v>
      </x:c>
      <x:c r="F1341" s="20" t="str">
        <x:v>P008</x:v>
      </x:c>
      <x:c r="G1341" s="20" t="str"/>
      <x:c r="H1341" s="20" t="str"/>
      <x:c r="I1341" s="20" t="str">
        <x:v>First QA Mortgage</x:v>
      </x:c>
      <x:c r="J1341" s="35" t="str">
        <x:v>Recurring loan payment + scanned statement</x:v>
      </x:c>
      <x:c r="K1341" s="20" t="str">
        <x:v>SCN-0657</x:v>
      </x:c>
      <x:c r="L1341" s="20" t="str">
        <x:v>LN008-202708</x:v>
      </x:c>
      <x:c r="M1341" s="26" t="n">
        <x:v>1166</x:v>
      </x:c>
      <x:c r="N1341" s="26" t="n">
        <x:v>0</x:v>
      </x:c>
      <x:c r="O1341" s="26" t="n">
        <x:v>-1166</x:v>
      </x:c>
      <x:c r="P1341" s="26" t="n">
        <x:v>0</x:v>
      </x:c>
      <x:c r="Q1341" s="26" t="n">
        <x:v>0</x:v>
      </x:c>
      <x:c r="R1341" s="26" t="n">
        <x:v>0</x:v>
      </x:c>
      <x:c r="S1341" s="26" t="n">
        <x:v>-508</x:v>
      </x:c>
      <x:c r="T1341" s="26" t="n">
        <x:v>0</x:v>
      </x:c>
      <x:c r="U1341" s="26" t="n">
        <x:v>658</x:v>
      </x:c>
      <x:c r="V1341" s="26" t="n">
        <x:v>0</x:v>
      </x:c>
      <x:c r="W1341" s="26" t="n">
        <x:v>0</x:v>
      </x:c>
      <x:c r="X1341" s="26" t="n">
        <x:v>0</x:v>
      </x:c>
      <x:c r="Y1341" s="26" t="n">
        <x:v>0</x:v>
      </x:c>
      <x:c r="Z1341" s="35" t="str">
        <x:v>LN008 scheduled payment</x:v>
      </x:c>
    </x:row>
    <x:row r="1342">
      <x:c r="A1342" s="20" t="str">
        <x:v>FIN-01339</x:v>
      </x:c>
      <x:c r="B1342" s="23" t="n">
        <x:v>46619</x:v>
      </x:c>
      <x:c r="C1342" s="23" t="n">
        <x:v>46619</x:v>
      </x:c>
      <x:c r="D1342" s="20" t="str">
        <x:v>LoanPayment</x:v>
      </x:c>
      <x:c r="E1342" s="20" t="str">
        <x:v>Mortgage principal and interest</x:v>
      </x:c>
      <x:c r="F1342" s="20" t="str">
        <x:v>P010</x:v>
      </x:c>
      <x:c r="G1342" s="20" t="str"/>
      <x:c r="H1342" s="20" t="str"/>
      <x:c r="I1342" s="20" t="str">
        <x:v>First QA Mortgage</x:v>
      </x:c>
      <x:c r="J1342" s="35" t="str">
        <x:v>Recurring loan payment + scanned statement</x:v>
      </x:c>
      <x:c r="K1342" s="20" t="str">
        <x:v>SCN-0658</x:v>
      </x:c>
      <x:c r="L1342" s="20" t="str">
        <x:v>LN010-202708</x:v>
      </x:c>
      <x:c r="M1342" s="26" t="n">
        <x:v>1214</x:v>
      </x:c>
      <x:c r="N1342" s="26" t="n">
        <x:v>0</x:v>
      </x:c>
      <x:c r="O1342" s="26" t="n">
        <x:v>-1214</x:v>
      </x:c>
      <x:c r="P1342" s="26" t="n">
        <x:v>0</x:v>
      </x:c>
      <x:c r="Q1342" s="26" t="n">
        <x:v>0</x:v>
      </x:c>
      <x:c r="R1342" s="26" t="n">
        <x:v>0</x:v>
      </x:c>
      <x:c r="S1342" s="26" t="n">
        <x:v>-530</x:v>
      </x:c>
      <x:c r="T1342" s="26" t="n">
        <x:v>0</x:v>
      </x:c>
      <x:c r="U1342" s="26" t="n">
        <x:v>684</x:v>
      </x:c>
      <x:c r="V1342" s="26" t="n">
        <x:v>0</x:v>
      </x:c>
      <x:c r="W1342" s="26" t="n">
        <x:v>0</x:v>
      </x:c>
      <x:c r="X1342" s="26" t="n">
        <x:v>0</x:v>
      </x:c>
      <x:c r="Y1342" s="26" t="n">
        <x:v>0</x:v>
      </x:c>
      <x:c r="Z1342" s="35" t="str">
        <x:v>LN010 scheduled payment</x:v>
      </x:c>
    </x:row>
    <x:row r="1343">
      <x:c r="A1343" s="20" t="str">
        <x:v>FIN-01340</x:v>
      </x:c>
      <x:c r="B1343" s="23" t="n">
        <x:v>46619</x:v>
      </x:c>
      <x:c r="C1343" s="23" t="n">
        <x:v>46619</x:v>
      </x:c>
      <x:c r="D1343" s="20" t="str">
        <x:v>LoanPayment</x:v>
      </x:c>
      <x:c r="E1343" s="20" t="str">
        <x:v>Mortgage principal and interest</x:v>
      </x:c>
      <x:c r="F1343" s="20" t="str">
        <x:v>P011</x:v>
      </x:c>
      <x:c r="G1343" s="20" t="str"/>
      <x:c r="H1343" s="20" t="str"/>
      <x:c r="I1343" s="20" t="str">
        <x:v>First QA Mortgage</x:v>
      </x:c>
      <x:c r="J1343" s="35" t="str">
        <x:v>Recurring loan payment + scanned statement</x:v>
      </x:c>
      <x:c r="K1343" s="20" t="str">
        <x:v>SCN-0659</x:v>
      </x:c>
      <x:c r="L1343" s="20" t="str">
        <x:v>LN011-202708</x:v>
      </x:c>
      <x:c r="M1343" s="26" t="n">
        <x:v>1238</x:v>
      </x:c>
      <x:c r="N1343" s="26" t="n">
        <x:v>0</x:v>
      </x:c>
      <x:c r="O1343" s="26" t="n">
        <x:v>-1238</x:v>
      </x:c>
      <x:c r="P1343" s="26" t="n">
        <x:v>0</x:v>
      </x:c>
      <x:c r="Q1343" s="26" t="n">
        <x:v>0</x:v>
      </x:c>
      <x:c r="R1343" s="26" t="n">
        <x:v>0</x:v>
      </x:c>
      <x:c r="S1343" s="26" t="n">
        <x:v>-541</x:v>
      </x:c>
      <x:c r="T1343" s="26" t="n">
        <x:v>0</x:v>
      </x:c>
      <x:c r="U1343" s="26" t="n">
        <x:v>697</x:v>
      </x:c>
      <x:c r="V1343" s="26" t="n">
        <x:v>0</x:v>
      </x:c>
      <x:c r="W1343" s="26" t="n">
        <x:v>0</x:v>
      </x:c>
      <x:c r="X1343" s="26" t="n">
        <x:v>0</x:v>
      </x:c>
      <x:c r="Y1343" s="26" t="n">
        <x:v>0</x:v>
      </x:c>
      <x:c r="Z1343" s="35" t="str">
        <x:v>LN011 scheduled payment</x:v>
      </x:c>
    </x:row>
    <x:row r="1344">
      <x:c r="A1344" s="20" t="str">
        <x:v>FIN-01341</x:v>
      </x:c>
      <x:c r="B1344" s="23" t="n">
        <x:v>46619</x:v>
      </x:c>
      <x:c r="C1344" s="23" t="n">
        <x:v>46619</x:v>
      </x:c>
      <x:c r="D1344" s="20" t="str">
        <x:v>LoanPayment</x:v>
      </x:c>
      <x:c r="E1344" s="20" t="str">
        <x:v>Mortgage principal and interest</x:v>
      </x:c>
      <x:c r="F1344" s="20" t="str">
        <x:v>P013</x:v>
      </x:c>
      <x:c r="G1344" s="20" t="str"/>
      <x:c r="H1344" s="20" t="str"/>
      <x:c r="I1344" s="20" t="str">
        <x:v>First QA Mortgage</x:v>
      </x:c>
      <x:c r="J1344" s="35" t="str">
        <x:v>Recurring loan payment + scanned statement</x:v>
      </x:c>
      <x:c r="K1344" s="20" t="str">
        <x:v>SCN-0660</x:v>
      </x:c>
      <x:c r="L1344" s="20" t="str">
        <x:v>LN013-202708</x:v>
      </x:c>
      <x:c r="M1344" s="26" t="n">
        <x:v>1286</x:v>
      </x:c>
      <x:c r="N1344" s="26" t="n">
        <x:v>0</x:v>
      </x:c>
      <x:c r="O1344" s="26" t="n">
        <x:v>-1286</x:v>
      </x:c>
      <x:c r="P1344" s="26" t="n">
        <x:v>0</x:v>
      </x:c>
      <x:c r="Q1344" s="26" t="n">
        <x:v>0</x:v>
      </x:c>
      <x:c r="R1344" s="26" t="n">
        <x:v>0</x:v>
      </x:c>
      <x:c r="S1344" s="26" t="n">
        <x:v>-563</x:v>
      </x:c>
      <x:c r="T1344" s="26" t="n">
        <x:v>0</x:v>
      </x:c>
      <x:c r="U1344" s="26" t="n">
        <x:v>723</x:v>
      </x:c>
      <x:c r="V1344" s="26" t="n">
        <x:v>0</x:v>
      </x:c>
      <x:c r="W1344" s="26" t="n">
        <x:v>0</x:v>
      </x:c>
      <x:c r="X1344" s="26" t="n">
        <x:v>0</x:v>
      </x:c>
      <x:c r="Y1344" s="26" t="n">
        <x:v>0</x:v>
      </x:c>
      <x:c r="Z1344" s="35" t="str">
        <x:v>LN013 scheduled payment</x:v>
      </x:c>
    </x:row>
    <x:row r="1345">
      <x:c r="A1345" s="20" t="str">
        <x:v>FIN-01342</x:v>
      </x:c>
      <x:c r="B1345" s="23" t="n">
        <x:v>46619</x:v>
      </x:c>
      <x:c r="C1345" s="23" t="n">
        <x:v>46619</x:v>
      </x:c>
      <x:c r="D1345" s="20" t="str">
        <x:v>LoanPayment</x:v>
      </x:c>
      <x:c r="E1345" s="20" t="str">
        <x:v>Mortgage principal and interest</x:v>
      </x:c>
      <x:c r="F1345" s="20" t="str">
        <x:v>P014</x:v>
      </x:c>
      <x:c r="G1345" s="20" t="str"/>
      <x:c r="H1345" s="20" t="str"/>
      <x:c r="I1345" s="20" t="str">
        <x:v>First QA Mortgage</x:v>
      </x:c>
      <x:c r="J1345" s="35" t="str">
        <x:v>Recurring loan payment + scanned statement</x:v>
      </x:c>
      <x:c r="K1345" s="20" t="str">
        <x:v>SCN-0661</x:v>
      </x:c>
      <x:c r="L1345" s="20" t="str">
        <x:v>LN014-202708</x:v>
      </x:c>
      <x:c r="M1345" s="26" t="n">
        <x:v>1310</x:v>
      </x:c>
      <x:c r="N1345" s="26" t="n">
        <x:v>0</x:v>
      </x:c>
      <x:c r="O1345" s="26" t="n">
        <x:v>-1310</x:v>
      </x:c>
      <x:c r="P1345" s="26" t="n">
        <x:v>0</x:v>
      </x:c>
      <x:c r="Q1345" s="26" t="n">
        <x:v>0</x:v>
      </x:c>
      <x:c r="R1345" s="26" t="n">
        <x:v>0</x:v>
      </x:c>
      <x:c r="S1345" s="26" t="n">
        <x:v>-574</x:v>
      </x:c>
      <x:c r="T1345" s="26" t="n">
        <x:v>0</x:v>
      </x:c>
      <x:c r="U1345" s="26" t="n">
        <x:v>736</x:v>
      </x:c>
      <x:c r="V1345" s="26" t="n">
        <x:v>0</x:v>
      </x:c>
      <x:c r="W1345" s="26" t="n">
        <x:v>0</x:v>
      </x:c>
      <x:c r="X1345" s="26" t="n">
        <x:v>0</x:v>
      </x:c>
      <x:c r="Y1345" s="26" t="n">
        <x:v>0</x:v>
      </x:c>
      <x:c r="Z1345" s="35" t="str">
        <x:v>LN014 scheduled payment</x:v>
      </x:c>
    </x:row>
    <x:row r="1346">
      <x:c r="A1346" s="20" t="str">
        <x:v>FIN-01343</x:v>
      </x:c>
      <x:c r="B1346" s="23" t="n">
        <x:v>46619</x:v>
      </x:c>
      <x:c r="C1346" s="23" t="n">
        <x:v>46619</x:v>
      </x:c>
      <x:c r="D1346" s="20" t="str">
        <x:v>LoanPayment</x:v>
      </x:c>
      <x:c r="E1346" s="20" t="str">
        <x:v>Mortgage principal and interest</x:v>
      </x:c>
      <x:c r="F1346" s="20" t="str">
        <x:v>P016</x:v>
      </x:c>
      <x:c r="G1346" s="20" t="str"/>
      <x:c r="H1346" s="20" t="str"/>
      <x:c r="I1346" s="20" t="str">
        <x:v>First QA Mortgage</x:v>
      </x:c>
      <x:c r="J1346" s="35" t="str">
        <x:v>Recurring loan payment + scanned statement</x:v>
      </x:c>
      <x:c r="K1346" s="20" t="str">
        <x:v>SCN-0662</x:v>
      </x:c>
      <x:c r="L1346" s="20" t="str">
        <x:v>LN016-202708</x:v>
      </x:c>
      <x:c r="M1346" s="26" t="n">
        <x:v>1358</x:v>
      </x:c>
      <x:c r="N1346" s="26" t="n">
        <x:v>0</x:v>
      </x:c>
      <x:c r="O1346" s="26" t="n">
        <x:v>-1358</x:v>
      </x:c>
      <x:c r="P1346" s="26" t="n">
        <x:v>0</x:v>
      </x:c>
      <x:c r="Q1346" s="26" t="n">
        <x:v>0</x:v>
      </x:c>
      <x:c r="R1346" s="26" t="n">
        <x:v>0</x:v>
      </x:c>
      <x:c r="S1346" s="26" t="n">
        <x:v>-596</x:v>
      </x:c>
      <x:c r="T1346" s="26" t="n">
        <x:v>0</x:v>
      </x:c>
      <x:c r="U1346" s="26" t="n">
        <x:v>762</x:v>
      </x:c>
      <x:c r="V1346" s="26" t="n">
        <x:v>0</x:v>
      </x:c>
      <x:c r="W1346" s="26" t="n">
        <x:v>0</x:v>
      </x:c>
      <x:c r="X1346" s="26" t="n">
        <x:v>0</x:v>
      </x:c>
      <x:c r="Y1346" s="26" t="n">
        <x:v>0</x:v>
      </x:c>
      <x:c r="Z1346" s="35" t="str">
        <x:v>LN016 scheduled payment</x:v>
      </x:c>
    </x:row>
    <x:row r="1347">
      <x:c r="A1347" s="20" t="str">
        <x:v>FIN-01344</x:v>
      </x:c>
      <x:c r="B1347" s="23" t="n">
        <x:v>46619</x:v>
      </x:c>
      <x:c r="C1347" s="23" t="n">
        <x:v>46619</x:v>
      </x:c>
      <x:c r="D1347" s="20" t="str">
        <x:v>LoanPayment</x:v>
      </x:c>
      <x:c r="E1347" s="20" t="str">
        <x:v>Mortgage principal and interest</x:v>
      </x:c>
      <x:c r="F1347" s="20" t="str">
        <x:v>P017</x:v>
      </x:c>
      <x:c r="G1347" s="20" t="str"/>
      <x:c r="H1347" s="20" t="str"/>
      <x:c r="I1347" s="20" t="str">
        <x:v>First QA Mortgage</x:v>
      </x:c>
      <x:c r="J1347" s="35" t="str">
        <x:v>Recurring loan payment + scanned statement</x:v>
      </x:c>
      <x:c r="K1347" s="20" t="str">
        <x:v>SCN-0663</x:v>
      </x:c>
      <x:c r="L1347" s="20" t="str">
        <x:v>LN017-202708</x:v>
      </x:c>
      <x:c r="M1347" s="26" t="n">
        <x:v>1382</x:v>
      </x:c>
      <x:c r="N1347" s="26" t="n">
        <x:v>0</x:v>
      </x:c>
      <x:c r="O1347" s="26" t="n">
        <x:v>-1382</x:v>
      </x:c>
      <x:c r="P1347" s="26" t="n">
        <x:v>0</x:v>
      </x:c>
      <x:c r="Q1347" s="26" t="n">
        <x:v>0</x:v>
      </x:c>
      <x:c r="R1347" s="26" t="n">
        <x:v>0</x:v>
      </x:c>
      <x:c r="S1347" s="26" t="n">
        <x:v>-607</x:v>
      </x:c>
      <x:c r="T1347" s="26" t="n">
        <x:v>0</x:v>
      </x:c>
      <x:c r="U1347" s="26" t="n">
        <x:v>775</x:v>
      </x:c>
      <x:c r="V1347" s="26" t="n">
        <x:v>0</x:v>
      </x:c>
      <x:c r="W1347" s="26" t="n">
        <x:v>0</x:v>
      </x:c>
      <x:c r="X1347" s="26" t="n">
        <x:v>0</x:v>
      </x:c>
      <x:c r="Y1347" s="26" t="n">
        <x:v>0</x:v>
      </x:c>
      <x:c r="Z1347" s="35" t="str">
        <x:v>LN017 scheduled payment</x:v>
      </x:c>
    </x:row>
    <x:row r="1348">
      <x:c r="A1348" s="20" t="str">
        <x:v>FIN-01345</x:v>
      </x:c>
      <x:c r="B1348" s="23" t="n">
        <x:v>46619</x:v>
      </x:c>
      <x:c r="C1348" s="23" t="n">
        <x:v>46619</x:v>
      </x:c>
      <x:c r="D1348" s="20" t="str">
        <x:v>LoanPayment</x:v>
      </x:c>
      <x:c r="E1348" s="20" t="str">
        <x:v>Mortgage principal and interest</x:v>
      </x:c>
      <x:c r="F1348" s="20" t="str">
        <x:v>P019</x:v>
      </x:c>
      <x:c r="G1348" s="20" t="str"/>
      <x:c r="H1348" s="20" t="str"/>
      <x:c r="I1348" s="20" t="str">
        <x:v>First QA Mortgage</x:v>
      </x:c>
      <x:c r="J1348" s="35" t="str">
        <x:v>Recurring loan payment + scanned statement</x:v>
      </x:c>
      <x:c r="K1348" s="20" t="str">
        <x:v>SCN-0664</x:v>
      </x:c>
      <x:c r="L1348" s="20" t="str">
        <x:v>LN019-202708</x:v>
      </x:c>
      <x:c r="M1348" s="26" t="n">
        <x:v>1430</x:v>
      </x:c>
      <x:c r="N1348" s="26" t="n">
        <x:v>0</x:v>
      </x:c>
      <x:c r="O1348" s="26" t="n">
        <x:v>-1430</x:v>
      </x:c>
      <x:c r="P1348" s="26" t="n">
        <x:v>0</x:v>
      </x:c>
      <x:c r="Q1348" s="26" t="n">
        <x:v>0</x:v>
      </x:c>
      <x:c r="R1348" s="26" t="n">
        <x:v>0</x:v>
      </x:c>
      <x:c r="S1348" s="26" t="n">
        <x:v>-629</x:v>
      </x:c>
      <x:c r="T1348" s="26" t="n">
        <x:v>0</x:v>
      </x:c>
      <x:c r="U1348" s="26" t="n">
        <x:v>801</x:v>
      </x:c>
      <x:c r="V1348" s="26" t="n">
        <x:v>0</x:v>
      </x:c>
      <x:c r="W1348" s="26" t="n">
        <x:v>0</x:v>
      </x:c>
      <x:c r="X1348" s="26" t="n">
        <x:v>0</x:v>
      </x:c>
      <x:c r="Y1348" s="26" t="n">
        <x:v>0</x:v>
      </x:c>
      <x:c r="Z1348" s="35" t="str">
        <x:v>LN019 scheduled payment</x:v>
      </x:c>
    </x:row>
    <x:row r="1349">
      <x:c r="A1349" s="20" t="str">
        <x:v>FIN-01346</x:v>
      </x:c>
      <x:c r="B1349" s="23" t="n">
        <x:v>46619</x:v>
      </x:c>
      <x:c r="C1349" s="23" t="n">
        <x:v>46619</x:v>
      </x:c>
      <x:c r="D1349" s="20" t="str">
        <x:v>LoanPayment</x:v>
      </x:c>
      <x:c r="E1349" s="20" t="str">
        <x:v>Mortgage principal and interest</x:v>
      </x:c>
      <x:c r="F1349" s="20" t="str">
        <x:v>P020</x:v>
      </x:c>
      <x:c r="G1349" s="20" t="str"/>
      <x:c r="H1349" s="20" t="str"/>
      <x:c r="I1349" s="20" t="str">
        <x:v>First QA Mortgage</x:v>
      </x:c>
      <x:c r="J1349" s="35" t="str">
        <x:v>Recurring loan payment + scanned statement</x:v>
      </x:c>
      <x:c r="K1349" s="20" t="str">
        <x:v>SCN-0665</x:v>
      </x:c>
      <x:c r="L1349" s="20" t="str">
        <x:v>LN020-202708</x:v>
      </x:c>
      <x:c r="M1349" s="26" t="n">
        <x:v>1454</x:v>
      </x:c>
      <x:c r="N1349" s="26" t="n">
        <x:v>0</x:v>
      </x:c>
      <x:c r="O1349" s="26" t="n">
        <x:v>-1454</x:v>
      </x:c>
      <x:c r="P1349" s="26" t="n">
        <x:v>0</x:v>
      </x:c>
      <x:c r="Q1349" s="26" t="n">
        <x:v>0</x:v>
      </x:c>
      <x:c r="R1349" s="26" t="n">
        <x:v>0</x:v>
      </x:c>
      <x:c r="S1349" s="26" t="n">
        <x:v>-640</x:v>
      </x:c>
      <x:c r="T1349" s="26" t="n">
        <x:v>0</x:v>
      </x:c>
      <x:c r="U1349" s="26" t="n">
        <x:v>814</x:v>
      </x:c>
      <x:c r="V1349" s="26" t="n">
        <x:v>0</x:v>
      </x:c>
      <x:c r="W1349" s="26" t="n">
        <x:v>0</x:v>
      </x:c>
      <x:c r="X1349" s="26" t="n">
        <x:v>0</x:v>
      </x:c>
      <x:c r="Y1349" s="26" t="n">
        <x:v>0</x:v>
      </x:c>
      <x:c r="Z1349" s="35" t="str">
        <x:v>LN020 scheduled payment</x:v>
      </x:c>
    </x:row>
    <x:row r="1350">
      <x:c r="A1350" s="20" t="str">
        <x:v>FIN-01347</x:v>
      </x:c>
      <x:c r="B1350" s="23" t="n">
        <x:v>46619</x:v>
      </x:c>
      <x:c r="C1350" s="23" t="n">
        <x:v>46619</x:v>
      </x:c>
      <x:c r="D1350" s="20" t="str">
        <x:v>LoanPayment</x:v>
      </x:c>
      <x:c r="E1350" s="20" t="str">
        <x:v>Mortgage principal and interest</x:v>
      </x:c>
      <x:c r="F1350" s="20" t="str">
        <x:v>P022</x:v>
      </x:c>
      <x:c r="G1350" s="20" t="str"/>
      <x:c r="H1350" s="20" t="str"/>
      <x:c r="I1350" s="20" t="str">
        <x:v>First QA Mortgage</x:v>
      </x:c>
      <x:c r="J1350" s="35" t="str">
        <x:v>Recurring loan payment + scanned statement</x:v>
      </x:c>
      <x:c r="K1350" s="20" t="str">
        <x:v>SCN-0666</x:v>
      </x:c>
      <x:c r="L1350" s="20" t="str">
        <x:v>LN022-202708</x:v>
      </x:c>
      <x:c r="M1350" s="26" t="n">
        <x:v>1502</x:v>
      </x:c>
      <x:c r="N1350" s="26" t="n">
        <x:v>0</x:v>
      </x:c>
      <x:c r="O1350" s="26" t="n">
        <x:v>-1502</x:v>
      </x:c>
      <x:c r="P1350" s="26" t="n">
        <x:v>0</x:v>
      </x:c>
      <x:c r="Q1350" s="26" t="n">
        <x:v>0</x:v>
      </x:c>
      <x:c r="R1350" s="26" t="n">
        <x:v>0</x:v>
      </x:c>
      <x:c r="S1350" s="26" t="n">
        <x:v>-662</x:v>
      </x:c>
      <x:c r="T1350" s="26" t="n">
        <x:v>0</x:v>
      </x:c>
      <x:c r="U1350" s="26" t="n">
        <x:v>840</x:v>
      </x:c>
      <x:c r="V1350" s="26" t="n">
        <x:v>0</x:v>
      </x:c>
      <x:c r="W1350" s="26" t="n">
        <x:v>0</x:v>
      </x:c>
      <x:c r="X1350" s="26" t="n">
        <x:v>0</x:v>
      </x:c>
      <x:c r="Y1350" s="26" t="n">
        <x:v>0</x:v>
      </x:c>
      <x:c r="Z1350" s="35" t="str">
        <x:v>LN022 scheduled payment</x:v>
      </x:c>
    </x:row>
    <x:row r="1351">
      <x:c r="A1351" s="20" t="str">
        <x:v>FIN-01348</x:v>
      </x:c>
      <x:c r="B1351" s="23" t="n">
        <x:v>46619</x:v>
      </x:c>
      <x:c r="C1351" s="23" t="n">
        <x:v>46619</x:v>
      </x:c>
      <x:c r="D1351" s="20" t="str">
        <x:v>LoanPayment</x:v>
      </x:c>
      <x:c r="E1351" s="20" t="str">
        <x:v>Mortgage principal and interest</x:v>
      </x:c>
      <x:c r="F1351" s="20" t="str">
        <x:v>P023</x:v>
      </x:c>
      <x:c r="G1351" s="20" t="str"/>
      <x:c r="H1351" s="20" t="str"/>
      <x:c r="I1351" s="20" t="str">
        <x:v>First QA Mortgage</x:v>
      </x:c>
      <x:c r="J1351" s="35" t="str">
        <x:v>Recurring loan payment + scanned statement</x:v>
      </x:c>
      <x:c r="K1351" s="20" t="str">
        <x:v>SCN-0667</x:v>
      </x:c>
      <x:c r="L1351" s="20" t="str">
        <x:v>LN023-202708</x:v>
      </x:c>
      <x:c r="M1351" s="26" t="n">
        <x:v>1526</x:v>
      </x:c>
      <x:c r="N1351" s="26" t="n">
        <x:v>0</x:v>
      </x:c>
      <x:c r="O1351" s="26" t="n">
        <x:v>-1526</x:v>
      </x:c>
      <x:c r="P1351" s="26" t="n">
        <x:v>0</x:v>
      </x:c>
      <x:c r="Q1351" s="26" t="n">
        <x:v>0</x:v>
      </x:c>
      <x:c r="R1351" s="26" t="n">
        <x:v>0</x:v>
      </x:c>
      <x:c r="S1351" s="26" t="n">
        <x:v>-673</x:v>
      </x:c>
      <x:c r="T1351" s="26" t="n">
        <x:v>0</x:v>
      </x:c>
      <x:c r="U1351" s="26" t="n">
        <x:v>853</x:v>
      </x:c>
      <x:c r="V1351" s="26" t="n">
        <x:v>0</x:v>
      </x:c>
      <x:c r="W1351" s="26" t="n">
        <x:v>0</x:v>
      </x:c>
      <x:c r="X1351" s="26" t="n">
        <x:v>0</x:v>
      </x:c>
      <x:c r="Y1351" s="26" t="n">
        <x:v>0</x:v>
      </x:c>
      <x:c r="Z1351" s="35" t="str">
        <x:v>LN023 scheduled payment</x:v>
      </x:c>
    </x:row>
    <x:row r="1352">
      <x:c r="A1352" s="20" t="str">
        <x:v>FIN-01349</x:v>
      </x:c>
      <x:c r="B1352" s="23" t="n">
        <x:v>46619</x:v>
      </x:c>
      <x:c r="C1352" s="23" t="n">
        <x:v>46619</x:v>
      </x:c>
      <x:c r="D1352" s="20" t="str">
        <x:v>LoanPayment</x:v>
      </x:c>
      <x:c r="E1352" s="20" t="str">
        <x:v>Mortgage principal and interest</x:v>
      </x:c>
      <x:c r="F1352" s="20" t="str">
        <x:v>P025</x:v>
      </x:c>
      <x:c r="G1352" s="20" t="str"/>
      <x:c r="H1352" s="20" t="str"/>
      <x:c r="I1352" s="20" t="str">
        <x:v>First QA Mortgage</x:v>
      </x:c>
      <x:c r="J1352" s="35" t="str">
        <x:v>Recurring loan payment + scanned statement</x:v>
      </x:c>
      <x:c r="K1352" s="20" t="str">
        <x:v>SCN-0668</x:v>
      </x:c>
      <x:c r="L1352" s="20" t="str">
        <x:v>LN025-202708</x:v>
      </x:c>
      <x:c r="M1352" s="26" t="n">
        <x:v>1574</x:v>
      </x:c>
      <x:c r="N1352" s="26" t="n">
        <x:v>0</x:v>
      </x:c>
      <x:c r="O1352" s="26" t="n">
        <x:v>-1574</x:v>
      </x:c>
      <x:c r="P1352" s="26" t="n">
        <x:v>0</x:v>
      </x:c>
      <x:c r="Q1352" s="26" t="n">
        <x:v>0</x:v>
      </x:c>
      <x:c r="R1352" s="26" t="n">
        <x:v>0</x:v>
      </x:c>
      <x:c r="S1352" s="26" t="n">
        <x:v>-695</x:v>
      </x:c>
      <x:c r="T1352" s="26" t="n">
        <x:v>0</x:v>
      </x:c>
      <x:c r="U1352" s="26" t="n">
        <x:v>879</x:v>
      </x:c>
      <x:c r="V1352" s="26" t="n">
        <x:v>0</x:v>
      </x:c>
      <x:c r="W1352" s="26" t="n">
        <x:v>0</x:v>
      </x:c>
      <x:c r="X1352" s="26" t="n">
        <x:v>0</x:v>
      </x:c>
      <x:c r="Y1352" s="26" t="n">
        <x:v>0</x:v>
      </x:c>
      <x:c r="Z1352" s="35" t="str">
        <x:v>LN025 scheduled payment</x:v>
      </x:c>
    </x:row>
    <x:row r="1353">
      <x:c r="A1353" s="20" t="str">
        <x:v>FIN-01350</x:v>
      </x:c>
      <x:c r="B1353" s="23" t="n">
        <x:v>46619</x:v>
      </x:c>
      <x:c r="C1353" s="23" t="n">
        <x:v>46619</x:v>
      </x:c>
      <x:c r="D1353" s="20" t="str">
        <x:v>LoanPayment</x:v>
      </x:c>
      <x:c r="E1353" s="20" t="str">
        <x:v>Mortgage principal and interest</x:v>
      </x:c>
      <x:c r="F1353" s="20" t="str">
        <x:v>P026</x:v>
      </x:c>
      <x:c r="G1353" s="20" t="str"/>
      <x:c r="H1353" s="20" t="str"/>
      <x:c r="I1353" s="20" t="str">
        <x:v>First QA Mortgage</x:v>
      </x:c>
      <x:c r="J1353" s="35" t="str">
        <x:v>Recurring loan payment + scanned statement</x:v>
      </x:c>
      <x:c r="K1353" s="20" t="str">
        <x:v>SCN-0669</x:v>
      </x:c>
      <x:c r="L1353" s="20" t="str">
        <x:v>LN026-202708</x:v>
      </x:c>
      <x:c r="M1353" s="26" t="n">
        <x:v>1598</x:v>
      </x:c>
      <x:c r="N1353" s="26" t="n">
        <x:v>0</x:v>
      </x:c>
      <x:c r="O1353" s="26" t="n">
        <x:v>-1598</x:v>
      </x:c>
      <x:c r="P1353" s="26" t="n">
        <x:v>0</x:v>
      </x:c>
      <x:c r="Q1353" s="26" t="n">
        <x:v>0</x:v>
      </x:c>
      <x:c r="R1353" s="26" t="n">
        <x:v>0</x:v>
      </x:c>
      <x:c r="S1353" s="26" t="n">
        <x:v>-706</x:v>
      </x:c>
      <x:c r="T1353" s="26" t="n">
        <x:v>0</x:v>
      </x:c>
      <x:c r="U1353" s="26" t="n">
        <x:v>892</x:v>
      </x:c>
      <x:c r="V1353" s="26" t="n">
        <x:v>0</x:v>
      </x:c>
      <x:c r="W1353" s="26" t="n">
        <x:v>0</x:v>
      </x:c>
      <x:c r="X1353" s="26" t="n">
        <x:v>0</x:v>
      </x:c>
      <x:c r="Y1353" s="26" t="n">
        <x:v>0</x:v>
      </x:c>
      <x:c r="Z1353" s="35" t="str">
        <x:v>LN026 scheduled payment</x:v>
      </x:c>
    </x:row>
    <x:row r="1354">
      <x:c r="A1354" s="20" t="str">
        <x:v>FIN-01351</x:v>
      </x:c>
      <x:c r="B1354" s="23" t="n">
        <x:v>46619</x:v>
      </x:c>
      <x:c r="C1354" s="23" t="n">
        <x:v>46619</x:v>
      </x:c>
      <x:c r="D1354" s="20" t="str">
        <x:v>LoanPayment</x:v>
      </x:c>
      <x:c r="E1354" s="20" t="str">
        <x:v>Mortgage principal and interest</x:v>
      </x:c>
      <x:c r="F1354" s="20" t="str">
        <x:v>P028</x:v>
      </x:c>
      <x:c r="G1354" s="20" t="str"/>
      <x:c r="H1354" s="20" t="str"/>
      <x:c r="I1354" s="20" t="str">
        <x:v>First QA Mortgage</x:v>
      </x:c>
      <x:c r="J1354" s="35" t="str">
        <x:v>Recurring loan payment + scanned statement</x:v>
      </x:c>
      <x:c r="K1354" s="20" t="str">
        <x:v>SCN-0670</x:v>
      </x:c>
      <x:c r="L1354" s="20" t="str">
        <x:v>LN028-202708</x:v>
      </x:c>
      <x:c r="M1354" s="26" t="n">
        <x:v>1646</x:v>
      </x:c>
      <x:c r="N1354" s="26" t="n">
        <x:v>0</x:v>
      </x:c>
      <x:c r="O1354" s="26" t="n">
        <x:v>-1646</x:v>
      </x:c>
      <x:c r="P1354" s="26" t="n">
        <x:v>0</x:v>
      </x:c>
      <x:c r="Q1354" s="26" t="n">
        <x:v>0</x:v>
      </x:c>
      <x:c r="R1354" s="26" t="n">
        <x:v>0</x:v>
      </x:c>
      <x:c r="S1354" s="26" t="n">
        <x:v>-728</x:v>
      </x:c>
      <x:c r="T1354" s="26" t="n">
        <x:v>0</x:v>
      </x:c>
      <x:c r="U1354" s="26" t="n">
        <x:v>918</x:v>
      </x:c>
      <x:c r="V1354" s="26" t="n">
        <x:v>0</x:v>
      </x:c>
      <x:c r="W1354" s="26" t="n">
        <x:v>0</x:v>
      </x:c>
      <x:c r="X1354" s="26" t="n">
        <x:v>0</x:v>
      </x:c>
      <x:c r="Y1354" s="26" t="n">
        <x:v>0</x:v>
      </x:c>
      <x:c r="Z1354" s="35" t="str">
        <x:v>LN028 scheduled payment</x:v>
      </x:c>
    </x:row>
    <x:row r="1355">
      <x:c r="A1355" s="20" t="str">
        <x:v>FIN-01352</x:v>
      </x:c>
      <x:c r="B1355" s="23" t="n">
        <x:v>46619</x:v>
      </x:c>
      <x:c r="C1355" s="23" t="n">
        <x:v>46619</x:v>
      </x:c>
      <x:c r="D1355" s="20" t="str">
        <x:v>LoanPayment</x:v>
      </x:c>
      <x:c r="E1355" s="20" t="str">
        <x:v>Mortgage principal and interest</x:v>
      </x:c>
      <x:c r="F1355" s="20" t="str">
        <x:v>P029</x:v>
      </x:c>
      <x:c r="G1355" s="20" t="str"/>
      <x:c r="H1355" s="20" t="str"/>
      <x:c r="I1355" s="20" t="str">
        <x:v>First QA Mortgage</x:v>
      </x:c>
      <x:c r="J1355" s="35" t="str">
        <x:v>Recurring loan payment + scanned statement</x:v>
      </x:c>
      <x:c r="K1355" s="20" t="str">
        <x:v>SCN-0671</x:v>
      </x:c>
      <x:c r="L1355" s="20" t="str">
        <x:v>LN029-202708</x:v>
      </x:c>
      <x:c r="M1355" s="26" t="n">
        <x:v>1670</x:v>
      </x:c>
      <x:c r="N1355" s="26" t="n">
        <x:v>0</x:v>
      </x:c>
      <x:c r="O1355" s="26" t="n">
        <x:v>-1670</x:v>
      </x:c>
      <x:c r="P1355" s="26" t="n">
        <x:v>0</x:v>
      </x:c>
      <x:c r="Q1355" s="26" t="n">
        <x:v>0</x:v>
      </x:c>
      <x:c r="R1355" s="26" t="n">
        <x:v>0</x:v>
      </x:c>
      <x:c r="S1355" s="26" t="n">
        <x:v>-739</x:v>
      </x:c>
      <x:c r="T1355" s="26" t="n">
        <x:v>0</x:v>
      </x:c>
      <x:c r="U1355" s="26" t="n">
        <x:v>931</x:v>
      </x:c>
      <x:c r="V1355" s="26" t="n">
        <x:v>0</x:v>
      </x:c>
      <x:c r="W1355" s="26" t="n">
        <x:v>0</x:v>
      </x:c>
      <x:c r="X1355" s="26" t="n">
        <x:v>0</x:v>
      </x:c>
      <x:c r="Y1355" s="26" t="n">
        <x:v>0</x:v>
      </x:c>
      <x:c r="Z1355" s="35" t="str">
        <x:v>LN029 scheduled payment</x:v>
      </x:c>
    </x:row>
    <x:row r="1356">
      <x:c r="A1356" s="20" t="str">
        <x:v>FIN-01353</x:v>
      </x:c>
      <x:c r="B1356" s="23" t="n">
        <x:v>46624</x:v>
      </x:c>
      <x:c r="C1356" s="23" t="n">
        <x:v>46624</x:v>
      </x:c>
      <x:c r="D1356" s="20" t="str">
        <x:v>OwnerDistribution</x:v>
      </x:c>
      <x:c r="E1356" s="20" t="str">
        <x:v>Owner distribution</x:v>
      </x:c>
      <x:c r="F1356" s="20" t="str"/>
      <x:c r="G1356" s="20" t="str"/>
      <x:c r="H1356" s="20" t="str"/>
      <x:c r="I1356" s="20" t="str">
        <x:v>Blue Door Residential LLC</x:v>
      </x:c>
      <x:c r="J1356" s="35" t="str">
        <x:v>Manual approval and bank export</x:v>
      </x:c>
      <x:c r="K1356" s="20" t="str"/>
      <x:c r="L1356" s="20" t="str">
        <x:v>DIST-202708-O01</x:v>
      </x:c>
      <x:c r="M1356" s="26" t="n">
        <x:v>3250</x:v>
      </x:c>
      <x:c r="N1356" s="26" t="n">
        <x:v>0</x:v>
      </x:c>
      <x:c r="O1356" s="26" t="n">
        <x:v>-3250</x:v>
      </x:c>
      <x:c r="P1356" s="26" t="n">
        <x:v>0</x:v>
      </x:c>
      <x:c r="Q1356" s="26" t="n">
        <x:v>0</x:v>
      </x:c>
      <x:c r="R1356" s="26" t="n">
        <x:v>0</x:v>
      </x:c>
      <x:c r="S1356" s="26" t="n">
        <x:v>0</x:v>
      </x:c>
      <x:c r="T1356" s="26" t="n">
        <x:v>0</x:v>
      </x:c>
      <x:c r="U1356" s="26" t="n">
        <x:v>0</x:v>
      </x:c>
      <x:c r="V1356" s="26" t="n">
        <x:v>0</x:v>
      </x:c>
      <x:c r="W1356" s="26" t="n">
        <x:v>3250</x:v>
      </x:c>
      <x:c r="X1356" s="26" t="n">
        <x:v>0</x:v>
      </x:c>
      <x:c r="Y1356" s="26" t="n">
        <x:v>0</x:v>
      </x:c>
      <x:c r="Z1356" s="35" t="str">
        <x:v>Monthly distribution to Blue Door Residential LLC</x:v>
      </x:c>
    </x:row>
    <x:row r="1357">
      <x:c r="A1357" s="20" t="str">
        <x:v>FIN-01354</x:v>
      </x:c>
      <x:c r="B1357" s="23" t="n">
        <x:v>46624</x:v>
      </x:c>
      <x:c r="C1357" s="23" t="n">
        <x:v>46624</x:v>
      </x:c>
      <x:c r="D1357" s="20" t="str">
        <x:v>OwnerDistribution</x:v>
      </x:c>
      <x:c r="E1357" s="20" t="str">
        <x:v>Owner distribution</x:v>
      </x:c>
      <x:c r="F1357" s="20" t="str"/>
      <x:c r="G1357" s="20" t="str"/>
      <x:c r="H1357" s="20" t="str"/>
      <x:c r="I1357" s="20" t="str">
        <x:v>Coble Family Rentals LLC</x:v>
      </x:c>
      <x:c r="J1357" s="35" t="str">
        <x:v>Manual approval and bank export</x:v>
      </x:c>
      <x:c r="K1357" s="20" t="str"/>
      <x:c r="L1357" s="20" t="str">
        <x:v>DIST-202708-O02</x:v>
      </x:c>
      <x:c r="M1357" s="26" t="n">
        <x:v>3600</x:v>
      </x:c>
      <x:c r="N1357" s="26" t="n">
        <x:v>0</x:v>
      </x:c>
      <x:c r="O1357" s="26" t="n">
        <x:v>-3600</x:v>
      </x:c>
      <x:c r="P1357" s="26" t="n">
        <x:v>0</x:v>
      </x:c>
      <x:c r="Q1357" s="26" t="n">
        <x:v>0</x:v>
      </x:c>
      <x:c r="R1357" s="26" t="n">
        <x:v>0</x:v>
      </x:c>
      <x:c r="S1357" s="26" t="n">
        <x:v>0</x:v>
      </x:c>
      <x:c r="T1357" s="26" t="n">
        <x:v>0</x:v>
      </x:c>
      <x:c r="U1357" s="26" t="n">
        <x:v>0</x:v>
      </x:c>
      <x:c r="V1357" s="26" t="n">
        <x:v>0</x:v>
      </x:c>
      <x:c r="W1357" s="26" t="n">
        <x:v>3600</x:v>
      </x:c>
      <x:c r="X1357" s="26" t="n">
        <x:v>0</x:v>
      </x:c>
      <x:c r="Y1357" s="26" t="n">
        <x:v>0</x:v>
      </x:c>
      <x:c r="Z1357" s="35" t="str">
        <x:v>Monthly distribution to Coble Family Rentals LLC</x:v>
      </x:c>
    </x:row>
    <x:row r="1358">
      <x:c r="A1358" s="20" t="str">
        <x:v>FIN-01355</x:v>
      </x:c>
      <x:c r="B1358" s="23" t="n">
        <x:v>46624</x:v>
      </x:c>
      <x:c r="C1358" s="23" t="n">
        <x:v>46624</x:v>
      </x:c>
      <x:c r="D1358" s="20" t="str">
        <x:v>OwnerDistribution</x:v>
      </x:c>
      <x:c r="E1358" s="20" t="str">
        <x:v>Owner distribution</x:v>
      </x:c>
      <x:c r="F1358" s="20" t="str"/>
      <x:c r="G1358" s="20" t="str"/>
      <x:c r="H1358" s="20" t="str"/>
      <x:c r="I1358" s="20" t="str">
        <x:v>Northstar Property Partners LLC</x:v>
      </x:c>
      <x:c r="J1358" s="35" t="str">
        <x:v>Manual approval and bank export</x:v>
      </x:c>
      <x:c r="K1358" s="20" t="str"/>
      <x:c r="L1358" s="20" t="str">
        <x:v>DIST-202708-O03</x:v>
      </x:c>
      <x:c r="M1358" s="26" t="n">
        <x:v>3950</x:v>
      </x:c>
      <x:c r="N1358" s="26" t="n">
        <x:v>0</x:v>
      </x:c>
      <x:c r="O1358" s="26" t="n">
        <x:v>-3950</x:v>
      </x:c>
      <x:c r="P1358" s="26" t="n">
        <x:v>0</x:v>
      </x:c>
      <x:c r="Q1358" s="26" t="n">
        <x:v>0</x:v>
      </x:c>
      <x:c r="R1358" s="26" t="n">
        <x:v>0</x:v>
      </x:c>
      <x:c r="S1358" s="26" t="n">
        <x:v>0</x:v>
      </x:c>
      <x:c r="T1358" s="26" t="n">
        <x:v>0</x:v>
      </x:c>
      <x:c r="U1358" s="26" t="n">
        <x:v>0</x:v>
      </x:c>
      <x:c r="V1358" s="26" t="n">
        <x:v>0</x:v>
      </x:c>
      <x:c r="W1358" s="26" t="n">
        <x:v>3950</x:v>
      </x:c>
      <x:c r="X1358" s="26" t="n">
        <x:v>0</x:v>
      </x:c>
      <x:c r="Y1358" s="26" t="n">
        <x:v>0</x:v>
      </x:c>
      <x:c r="Z1358" s="35" t="str">
        <x:v>Monthly distribution to Northstar Property Partners LLC</x:v>
      </x:c>
    </x:row>
    <x:row r="1359">
      <x:c r="A1359" s="20" t="str">
        <x:v>FIN-01356</x:v>
      </x:c>
      <x:c r="B1359" s="23" t="n">
        <x:v>46624</x:v>
      </x:c>
      <x:c r="C1359" s="23" t="n">
        <x:v>46624</x:v>
      </x:c>
      <x:c r="D1359" s="20" t="str">
        <x:v>OwnerDistribution</x:v>
      </x:c>
      <x:c r="E1359" s="20" t="str">
        <x:v>Owner distribution</x:v>
      </x:c>
      <x:c r="F1359" s="20" t="str"/>
      <x:c r="G1359" s="20" t="str"/>
      <x:c r="H1359" s="20" t="str"/>
      <x:c r="I1359" s="20" t="str">
        <x:v>Riverbend Homes LLC</x:v>
      </x:c>
      <x:c r="J1359" s="35" t="str">
        <x:v>Manual approval and bank export</x:v>
      </x:c>
      <x:c r="K1359" s="20" t="str"/>
      <x:c r="L1359" s="20" t="str">
        <x:v>DIST-202708-O04</x:v>
      </x:c>
      <x:c r="M1359" s="26" t="n">
        <x:v>4300</x:v>
      </x:c>
      <x:c r="N1359" s="26" t="n">
        <x:v>0</x:v>
      </x:c>
      <x:c r="O1359" s="26" t="n">
        <x:v>-4300</x:v>
      </x:c>
      <x:c r="P1359" s="26" t="n">
        <x:v>0</x:v>
      </x:c>
      <x:c r="Q1359" s="26" t="n">
        <x:v>0</x:v>
      </x:c>
      <x:c r="R1359" s="26" t="n">
        <x:v>0</x:v>
      </x:c>
      <x:c r="S1359" s="26" t="n">
        <x:v>0</x:v>
      </x:c>
      <x:c r="T1359" s="26" t="n">
        <x:v>0</x:v>
      </x:c>
      <x:c r="U1359" s="26" t="n">
        <x:v>0</x:v>
      </x:c>
      <x:c r="V1359" s="26" t="n">
        <x:v>0</x:v>
      </x:c>
      <x:c r="W1359" s="26" t="n">
        <x:v>4300</x:v>
      </x:c>
      <x:c r="X1359" s="26" t="n">
        <x:v>0</x:v>
      </x:c>
      <x:c r="Y1359" s="26" t="n">
        <x:v>0</x:v>
      </x:c>
      <x:c r="Z1359" s="35" t="str">
        <x:v>Monthly distribution to Riverbend Homes LLC</x:v>
      </x:c>
    </x:row>
    <x:row r="1360">
      <x:c r="A1360" s="20" t="str">
        <x:v>FIN-01357</x:v>
      </x:c>
      <x:c r="B1360" s="23" t="n">
        <x:v>46624</x:v>
      </x:c>
      <x:c r="C1360" s="23" t="n">
        <x:v>46624</x:v>
      </x:c>
      <x:c r="D1360" s="20" t="str">
        <x:v>OwnerDistribution</x:v>
      </x:c>
      <x:c r="E1360" s="20" t="str">
        <x:v>Owner distribution</x:v>
      </x:c>
      <x:c r="F1360" s="20" t="str"/>
      <x:c r="G1360" s="20" t="str"/>
      <x:c r="H1360" s="20" t="str"/>
      <x:c r="I1360" s="20" t="str">
        <x:v>Juniper Street Holdings LLC</x:v>
      </x:c>
      <x:c r="J1360" s="35" t="str">
        <x:v>Manual approval and bank export</x:v>
      </x:c>
      <x:c r="K1360" s="20" t="str"/>
      <x:c r="L1360" s="20" t="str">
        <x:v>DIST-202708-O05</x:v>
      </x:c>
      <x:c r="M1360" s="26" t="n">
        <x:v>4650</x:v>
      </x:c>
      <x:c r="N1360" s="26" t="n">
        <x:v>0</x:v>
      </x:c>
      <x:c r="O1360" s="26" t="n">
        <x:v>-4650</x:v>
      </x:c>
      <x:c r="P1360" s="26" t="n">
        <x:v>0</x:v>
      </x:c>
      <x:c r="Q1360" s="26" t="n">
        <x:v>0</x:v>
      </x:c>
      <x:c r="R1360" s="26" t="n">
        <x:v>0</x:v>
      </x:c>
      <x:c r="S1360" s="26" t="n">
        <x:v>0</x:v>
      </x:c>
      <x:c r="T1360" s="26" t="n">
        <x:v>0</x:v>
      </x:c>
      <x:c r="U1360" s="26" t="n">
        <x:v>0</x:v>
      </x:c>
      <x:c r="V1360" s="26" t="n">
        <x:v>0</x:v>
      </x:c>
      <x:c r="W1360" s="26" t="n">
        <x:v>4650</x:v>
      </x:c>
      <x:c r="X1360" s="26" t="n">
        <x:v>0</x:v>
      </x:c>
      <x:c r="Y1360" s="26" t="n">
        <x:v>0</x:v>
      </x:c>
      <x:c r="Z1360" s="35" t="str">
        <x:v>Monthly distribution to Juniper Street Holdings LLC</x:v>
      </x:c>
    </x:row>
    <x:row r="1361">
      <x:c r="A1361" s="20" t="str">
        <x:v>FIN-01358</x:v>
      </x:c>
      <x:c r="B1361" s="23" t="n">
        <x:v>46645</x:v>
      </x:c>
      <x:c r="C1361" s="23" t="n">
        <x:v>46645</x:v>
      </x:c>
      <x:c r="D1361" s="20" t="str">
        <x:v>OperatingExpense</x:v>
      </x:c>
      <x:c r="E1361" s="20" t="str">
        <x:v>Utilities</x:v>
      </x:c>
      <x:c r="F1361" s="20" t="str">
        <x:v>P021</x:v>
      </x:c>
      <x:c r="G1361" s="20" t="str"/>
      <x:c r="H1361" s="20" t="str"/>
      <x:c r="I1361" s="20" t="str">
        <x:v>City Water &amp; Sewer</x:v>
      </x:c>
      <x:c r="J1361" s="35" t="str">
        <x:v>Scanned receipt/invoice</x:v>
      </x:c>
      <x:c r="K1361" s="20" t="str">
        <x:v>SCN-0673</x:v>
      </x:c>
      <x:c r="L1361" s="20" t="str">
        <x:v>EXP-20270915-1181</x:v>
      </x:c>
      <x:c r="M1361" s="26" t="n">
        <x:v>134</x:v>
      </x:c>
      <x:c r="N1361" s="26" t="n">
        <x:v>0</x:v>
      </x:c>
      <x:c r="O1361" s="26" t="n">
        <x:v>-134</x:v>
      </x:c>
      <x:c r="P1361" s="26" t="n">
        <x:v>0</x:v>
      </x:c>
      <x:c r="Q1361" s="26" t="n">
        <x:v>0</x:v>
      </x:c>
      <x:c r="R1361" s="26" t="n">
        <x:v>0</x:v>
      </x:c>
      <x:c r="S1361" s="26" t="n">
        <x:v>0</x:v>
      </x:c>
      <x:c r="T1361" s="26" t="n">
        <x:v>0</x:v>
      </x:c>
      <x:c r="U1361" s="26" t="n">
        <x:v>134</x:v>
      </x:c>
      <x:c r="V1361" s="26" t="n">
        <x:v>0</x:v>
      </x:c>
      <x:c r="W1361" s="26" t="n">
        <x:v>0</x:v>
      </x:c>
      <x:c r="X1361" s="26" t="n">
        <x:v>0</x:v>
      </x:c>
      <x:c r="Y1361" s="26" t="n">
        <x:v>0</x:v>
      </x:c>
      <x:c r="Z1361" s="35" t="str">
        <x:v>City Water &amp; Sewer</x:v>
      </x:c>
    </x:row>
    <x:row r="1362">
      <x:c r="A1362" s="20" t="str">
        <x:v>FIN-01359</x:v>
      </x:c>
      <x:c r="B1362" s="23" t="n">
        <x:v>46645</x:v>
      </x:c>
      <x:c r="C1362" s="23" t="n">
        <x:v>46645</x:v>
      </x:c>
      <x:c r="D1362" s="20" t="str">
        <x:v>OperatingExpense</x:v>
      </x:c>
      <x:c r="E1362" s="20" t="str">
        <x:v>Utilities</x:v>
      </x:c>
      <x:c r="F1362" s="20" t="str">
        <x:v>P022</x:v>
      </x:c>
      <x:c r="G1362" s="20" t="str"/>
      <x:c r="H1362" s="20" t="str"/>
      <x:c r="I1362" s="20" t="str">
        <x:v>City Water &amp; Sewer</x:v>
      </x:c>
      <x:c r="J1362" s="35" t="str">
        <x:v>Scanned receipt/invoice</x:v>
      </x:c>
      <x:c r="K1362" s="20" t="str">
        <x:v>SCN-0674</x:v>
      </x:c>
      <x:c r="L1362" s="20" t="str">
        <x:v>EXP-20270915-1182</x:v>
      </x:c>
      <x:c r="M1362" s="26" t="n">
        <x:v>141</x:v>
      </x:c>
      <x:c r="N1362" s="26" t="n">
        <x:v>0</x:v>
      </x:c>
      <x:c r="O1362" s="26" t="n">
        <x:v>-141</x:v>
      </x:c>
      <x:c r="P1362" s="26" t="n">
        <x:v>0</x:v>
      </x:c>
      <x:c r="Q1362" s="26" t="n">
        <x:v>0</x:v>
      </x:c>
      <x:c r="R1362" s="26" t="n">
        <x:v>0</x:v>
      </x:c>
      <x:c r="S1362" s="26" t="n">
        <x:v>0</x:v>
      </x:c>
      <x:c r="T1362" s="26" t="n">
        <x:v>0</x:v>
      </x:c>
      <x:c r="U1362" s="26" t="n">
        <x:v>141</x:v>
      </x:c>
      <x:c r="V1362" s="26" t="n">
        <x:v>0</x:v>
      </x:c>
      <x:c r="W1362" s="26" t="n">
        <x:v>0</x:v>
      </x:c>
      <x:c r="X1362" s="26" t="n">
        <x:v>0</x:v>
      </x:c>
      <x:c r="Y1362" s="26" t="n">
        <x:v>0</x:v>
      </x:c>
      <x:c r="Z1362" s="35" t="str">
        <x:v>City Water &amp; Sewer</x:v>
      </x:c>
    </x:row>
    <x:row r="1363">
      <x:c r="A1363" s="20" t="str">
        <x:v>FIN-01360</x:v>
      </x:c>
      <x:c r="B1363" s="23" t="n">
        <x:v>46645</x:v>
      </x:c>
      <x:c r="C1363" s="23" t="n">
        <x:v>46645</x:v>
      </x:c>
      <x:c r="D1363" s="20" t="str">
        <x:v>OperatingExpense</x:v>
      </x:c>
      <x:c r="E1363" s="20" t="str">
        <x:v>Utilities</x:v>
      </x:c>
      <x:c r="F1363" s="20" t="str">
        <x:v>P023</x:v>
      </x:c>
      <x:c r="G1363" s="20" t="str"/>
      <x:c r="H1363" s="20" t="str"/>
      <x:c r="I1363" s="20" t="str">
        <x:v>City Water &amp; Sewer</x:v>
      </x:c>
      <x:c r="J1363" s="35" t="str">
        <x:v>Scanned receipt/invoice</x:v>
      </x:c>
      <x:c r="K1363" s="20" t="str">
        <x:v>SCN-0675</x:v>
      </x:c>
      <x:c r="L1363" s="20" t="str">
        <x:v>EXP-20270915-1183</x:v>
      </x:c>
      <x:c r="M1363" s="26" t="n">
        <x:v>148</x:v>
      </x:c>
      <x:c r="N1363" s="26" t="n">
        <x:v>0</x:v>
      </x:c>
      <x:c r="O1363" s="26" t="n">
        <x:v>-148</x:v>
      </x:c>
      <x:c r="P1363" s="26" t="n">
        <x:v>0</x:v>
      </x:c>
      <x:c r="Q1363" s="26" t="n">
        <x:v>0</x:v>
      </x:c>
      <x:c r="R1363" s="26" t="n">
        <x:v>0</x:v>
      </x:c>
      <x:c r="S1363" s="26" t="n">
        <x:v>0</x:v>
      </x:c>
      <x:c r="T1363" s="26" t="n">
        <x:v>0</x:v>
      </x:c>
      <x:c r="U1363" s="26" t="n">
        <x:v>148</x:v>
      </x:c>
      <x:c r="V1363" s="26" t="n">
        <x:v>0</x:v>
      </x:c>
      <x:c r="W1363" s="26" t="n">
        <x:v>0</x:v>
      </x:c>
      <x:c r="X1363" s="26" t="n">
        <x:v>0</x:v>
      </x:c>
      <x:c r="Y1363" s="26" t="n">
        <x:v>0</x:v>
      </x:c>
      <x:c r="Z1363" s="35" t="str">
        <x:v>City Water &amp; Sewer</x:v>
      </x:c>
    </x:row>
    <x:row r="1364">
      <x:c r="A1364" s="20" t="str">
        <x:v>FIN-01361</x:v>
      </x:c>
      <x:c r="B1364" s="23" t="n">
        <x:v>46645</x:v>
      </x:c>
      <x:c r="C1364" s="23" t="n">
        <x:v>46645</x:v>
      </x:c>
      <x:c r="D1364" s="20" t="str">
        <x:v>OperatingExpense</x:v>
      </x:c>
      <x:c r="E1364" s="20" t="str">
        <x:v>Utilities</x:v>
      </x:c>
      <x:c r="F1364" s="20" t="str">
        <x:v>P024</x:v>
      </x:c>
      <x:c r="G1364" s="20" t="str"/>
      <x:c r="H1364" s="20" t="str"/>
      <x:c r="I1364" s="20" t="str">
        <x:v>City Water &amp; Sewer</x:v>
      </x:c>
      <x:c r="J1364" s="35" t="str">
        <x:v>Scanned receipt/invoice</x:v>
      </x:c>
      <x:c r="K1364" s="20" t="str">
        <x:v>SCN-0676</x:v>
      </x:c>
      <x:c r="L1364" s="20" t="str">
        <x:v>EXP-20270915-1184</x:v>
      </x:c>
      <x:c r="M1364" s="26" t="n">
        <x:v>155</x:v>
      </x:c>
      <x:c r="N1364" s="26" t="n">
        <x:v>0</x:v>
      </x:c>
      <x:c r="O1364" s="26" t="n">
        <x:v>-155</x:v>
      </x:c>
      <x:c r="P1364" s="26" t="n">
        <x:v>0</x:v>
      </x:c>
      <x:c r="Q1364" s="26" t="n">
        <x:v>0</x:v>
      </x:c>
      <x:c r="R1364" s="26" t="n">
        <x:v>0</x:v>
      </x:c>
      <x:c r="S1364" s="26" t="n">
        <x:v>0</x:v>
      </x:c>
      <x:c r="T1364" s="26" t="n">
        <x:v>0</x:v>
      </x:c>
      <x:c r="U1364" s="26" t="n">
        <x:v>155</x:v>
      </x:c>
      <x:c r="V1364" s="26" t="n">
        <x:v>0</x:v>
      </x:c>
      <x:c r="W1364" s="26" t="n">
        <x:v>0</x:v>
      </x:c>
      <x:c r="X1364" s="26" t="n">
        <x:v>0</x:v>
      </x:c>
      <x:c r="Y1364" s="26" t="n">
        <x:v>0</x:v>
      </x:c>
      <x:c r="Z1364" s="35" t="str">
        <x:v>City Water &amp; Sewer</x:v>
      </x:c>
    </x:row>
    <x:row r="1365">
      <x:c r="A1365" s="20" t="str">
        <x:v>FIN-01362</x:v>
      </x:c>
      <x:c r="B1365" s="23" t="n">
        <x:v>46645</x:v>
      </x:c>
      <x:c r="C1365" s="23" t="n">
        <x:v>46645</x:v>
      </x:c>
      <x:c r="D1365" s="20" t="str">
        <x:v>OperatingExpense</x:v>
      </x:c>
      <x:c r="E1365" s="20" t="str">
        <x:v>Utilities</x:v>
      </x:c>
      <x:c r="F1365" s="20" t="str">
        <x:v>P025</x:v>
      </x:c>
      <x:c r="G1365" s="20" t="str"/>
      <x:c r="H1365" s="20" t="str"/>
      <x:c r="I1365" s="20" t="str">
        <x:v>City Water &amp; Sewer</x:v>
      </x:c>
      <x:c r="J1365" s="35" t="str">
        <x:v>Manual web form</x:v>
      </x:c>
      <x:c r="K1365" s="20" t="str"/>
      <x:c r="L1365" s="20" t="str">
        <x:v>EXP-20270915-1185</x:v>
      </x:c>
      <x:c r="M1365" s="26" t="n">
        <x:v>162</x:v>
      </x:c>
      <x:c r="N1365" s="26" t="n">
        <x:v>0</x:v>
      </x:c>
      <x:c r="O1365" s="26" t="n">
        <x:v>-162</x:v>
      </x:c>
      <x:c r="P1365" s="26" t="n">
        <x:v>0</x:v>
      </x:c>
      <x:c r="Q1365" s="26" t="n">
        <x:v>0</x:v>
      </x:c>
      <x:c r="R1365" s="26" t="n">
        <x:v>0</x:v>
      </x:c>
      <x:c r="S1365" s="26" t="n">
        <x:v>0</x:v>
      </x:c>
      <x:c r="T1365" s="26" t="n">
        <x:v>0</x:v>
      </x:c>
      <x:c r="U1365" s="26" t="n">
        <x:v>162</x:v>
      </x:c>
      <x:c r="V1365" s="26" t="n">
        <x:v>0</x:v>
      </x:c>
      <x:c r="W1365" s="26" t="n">
        <x:v>0</x:v>
      </x:c>
      <x:c r="X1365" s="26" t="n">
        <x:v>0</x:v>
      </x:c>
      <x:c r="Y1365" s="26" t="n">
        <x:v>0</x:v>
      </x:c>
      <x:c r="Z1365" s="35" t="str">
        <x:v>City Water &amp; Sewer</x:v>
      </x:c>
    </x:row>
    <x:row r="1366">
      <x:c r="A1366" s="20" t="str">
        <x:v>FIN-01363</x:v>
      </x:c>
      <x:c r="B1366" s="23" t="n">
        <x:v>46645</x:v>
      </x:c>
      <x:c r="C1366" s="23" t="n">
        <x:v>46645</x:v>
      </x:c>
      <x:c r="D1366" s="20" t="str">
        <x:v>OperatingExpense</x:v>
      </x:c>
      <x:c r="E1366" s="20" t="str">
        <x:v>Utilities</x:v>
      </x:c>
      <x:c r="F1366" s="20" t="str">
        <x:v>P026</x:v>
      </x:c>
      <x:c r="G1366" s="20" t="str"/>
      <x:c r="H1366" s="20" t="str"/>
      <x:c r="I1366" s="20" t="str">
        <x:v>City Water &amp; Sewer</x:v>
      </x:c>
      <x:c r="J1366" s="35" t="str">
        <x:v>Scanned receipt/invoice</x:v>
      </x:c>
      <x:c r="K1366" s="20" t="str">
        <x:v>SCN-0677</x:v>
      </x:c>
      <x:c r="L1366" s="20" t="str">
        <x:v>EXP-20270915-1186</x:v>
      </x:c>
      <x:c r="M1366" s="26" t="n">
        <x:v>169</x:v>
      </x:c>
      <x:c r="N1366" s="26" t="n">
        <x:v>0</x:v>
      </x:c>
      <x:c r="O1366" s="26" t="n">
        <x:v>-169</x:v>
      </x:c>
      <x:c r="P1366" s="26" t="n">
        <x:v>0</x:v>
      </x:c>
      <x:c r="Q1366" s="26" t="n">
        <x:v>0</x:v>
      </x:c>
      <x:c r="R1366" s="26" t="n">
        <x:v>0</x:v>
      </x:c>
      <x:c r="S1366" s="26" t="n">
        <x:v>0</x:v>
      </x:c>
      <x:c r="T1366" s="26" t="n">
        <x:v>0</x:v>
      </x:c>
      <x:c r="U1366" s="26" t="n">
        <x:v>169</x:v>
      </x:c>
      <x:c r="V1366" s="26" t="n">
        <x:v>0</x:v>
      </x:c>
      <x:c r="W1366" s="26" t="n">
        <x:v>0</x:v>
      </x:c>
      <x:c r="X1366" s="26" t="n">
        <x:v>0</x:v>
      </x:c>
      <x:c r="Y1366" s="26" t="n">
        <x:v>0</x:v>
      </x:c>
      <x:c r="Z1366" s="35" t="str">
        <x:v>City Water &amp; Sewer</x:v>
      </x:c>
    </x:row>
    <x:row r="1367">
      <x:c r="A1367" s="20" t="str">
        <x:v>FIN-01364</x:v>
      </x:c>
      <x:c r="B1367" s="23" t="n">
        <x:v>46645</x:v>
      </x:c>
      <x:c r="C1367" s="23" t="n">
        <x:v>46645</x:v>
      </x:c>
      <x:c r="D1367" s="20" t="str">
        <x:v>OperatingExpense</x:v>
      </x:c>
      <x:c r="E1367" s="20" t="str">
        <x:v>Utilities</x:v>
      </x:c>
      <x:c r="F1367" s="20" t="str">
        <x:v>P027</x:v>
      </x:c>
      <x:c r="G1367" s="20" t="str"/>
      <x:c r="H1367" s="20" t="str"/>
      <x:c r="I1367" s="20" t="str">
        <x:v>City Water &amp; Sewer</x:v>
      </x:c>
      <x:c r="J1367" s="35" t="str">
        <x:v>Scanned receipt/invoice</x:v>
      </x:c>
      <x:c r="K1367" s="20" t="str">
        <x:v>SCN-0678</x:v>
      </x:c>
      <x:c r="L1367" s="20" t="str">
        <x:v>EXP-20270915-1187</x:v>
      </x:c>
      <x:c r="M1367" s="26" t="n">
        <x:v>176</x:v>
      </x:c>
      <x:c r="N1367" s="26" t="n">
        <x:v>0</x:v>
      </x:c>
      <x:c r="O1367" s="26" t="n">
        <x:v>-176</x:v>
      </x:c>
      <x:c r="P1367" s="26" t="n">
        <x:v>0</x:v>
      </x:c>
      <x:c r="Q1367" s="26" t="n">
        <x:v>0</x:v>
      </x:c>
      <x:c r="R1367" s="26" t="n">
        <x:v>0</x:v>
      </x:c>
      <x:c r="S1367" s="26" t="n">
        <x:v>0</x:v>
      </x:c>
      <x:c r="T1367" s="26" t="n">
        <x:v>0</x:v>
      </x:c>
      <x:c r="U1367" s="26" t="n">
        <x:v>176</x:v>
      </x:c>
      <x:c r="V1367" s="26" t="n">
        <x:v>0</x:v>
      </x:c>
      <x:c r="W1367" s="26" t="n">
        <x:v>0</x:v>
      </x:c>
      <x:c r="X1367" s="26" t="n">
        <x:v>0</x:v>
      </x:c>
      <x:c r="Y1367" s="26" t="n">
        <x:v>0</x:v>
      </x:c>
      <x:c r="Z1367" s="35" t="str">
        <x:v>City Water &amp; Sewer</x:v>
      </x:c>
    </x:row>
    <x:row r="1368">
      <x:c r="A1368" s="20" t="str">
        <x:v>FIN-01365</x:v>
      </x:c>
      <x:c r="B1368" s="23" t="n">
        <x:v>46645</x:v>
      </x:c>
      <x:c r="C1368" s="23" t="n">
        <x:v>46645</x:v>
      </x:c>
      <x:c r="D1368" s="20" t="str">
        <x:v>OperatingExpense</x:v>
      </x:c>
      <x:c r="E1368" s="20" t="str">
        <x:v>Utilities</x:v>
      </x:c>
      <x:c r="F1368" s="20" t="str">
        <x:v>P028</x:v>
      </x:c>
      <x:c r="G1368" s="20" t="str"/>
      <x:c r="H1368" s="20" t="str"/>
      <x:c r="I1368" s="20" t="str">
        <x:v>City Water &amp; Sewer</x:v>
      </x:c>
      <x:c r="J1368" s="35" t="str">
        <x:v>Scanned receipt/invoice</x:v>
      </x:c>
      <x:c r="K1368" s="20" t="str">
        <x:v>SCN-0679</x:v>
      </x:c>
      <x:c r="L1368" s="20" t="str">
        <x:v>EXP-20270915-1188</x:v>
      </x:c>
      <x:c r="M1368" s="26" t="n">
        <x:v>183</x:v>
      </x:c>
      <x:c r="N1368" s="26" t="n">
        <x:v>0</x:v>
      </x:c>
      <x:c r="O1368" s="26" t="n">
        <x:v>-183</x:v>
      </x:c>
      <x:c r="P1368" s="26" t="n">
        <x:v>0</x:v>
      </x:c>
      <x:c r="Q1368" s="26" t="n">
        <x:v>0</x:v>
      </x:c>
      <x:c r="R1368" s="26" t="n">
        <x:v>0</x:v>
      </x:c>
      <x:c r="S1368" s="26" t="n">
        <x:v>0</x:v>
      </x:c>
      <x:c r="T1368" s="26" t="n">
        <x:v>0</x:v>
      </x:c>
      <x:c r="U1368" s="26" t="n">
        <x:v>183</x:v>
      </x:c>
      <x:c r="V1368" s="26" t="n">
        <x:v>0</x:v>
      </x:c>
      <x:c r="W1368" s="26" t="n">
        <x:v>0</x:v>
      </x:c>
      <x:c r="X1368" s="26" t="n">
        <x:v>0</x:v>
      </x:c>
      <x:c r="Y1368" s="26" t="n">
        <x:v>0</x:v>
      </x:c>
      <x:c r="Z1368" s="35" t="str">
        <x:v>City Water &amp; Sewer</x:v>
      </x:c>
    </x:row>
    <x:row r="1369">
      <x:c r="A1369" s="20" t="str">
        <x:v>FIN-01366</x:v>
      </x:c>
      <x:c r="B1369" s="23" t="n">
        <x:v>46645</x:v>
      </x:c>
      <x:c r="C1369" s="23" t="n">
        <x:v>46645</x:v>
      </x:c>
      <x:c r="D1369" s="20" t="str">
        <x:v>OperatingExpense</x:v>
      </x:c>
      <x:c r="E1369" s="20" t="str">
        <x:v>Utilities</x:v>
      </x:c>
      <x:c r="F1369" s="20" t="str">
        <x:v>P029</x:v>
      </x:c>
      <x:c r="G1369" s="20" t="str"/>
      <x:c r="H1369" s="20" t="str"/>
      <x:c r="I1369" s="20" t="str">
        <x:v>City Water &amp; Sewer</x:v>
      </x:c>
      <x:c r="J1369" s="35" t="str">
        <x:v>Scanned receipt/invoice</x:v>
      </x:c>
      <x:c r="K1369" s="20" t="str">
        <x:v>SCN-0680</x:v>
      </x:c>
      <x:c r="L1369" s="20" t="str">
        <x:v>EXP-20270915-1189</x:v>
      </x:c>
      <x:c r="M1369" s="26" t="n">
        <x:v>190</x:v>
      </x:c>
      <x:c r="N1369" s="26" t="n">
        <x:v>0</x:v>
      </x:c>
      <x:c r="O1369" s="26" t="n">
        <x:v>-190</x:v>
      </x:c>
      <x:c r="P1369" s="26" t="n">
        <x:v>0</x:v>
      </x:c>
      <x:c r="Q1369" s="26" t="n">
        <x:v>0</x:v>
      </x:c>
      <x:c r="R1369" s="26" t="n">
        <x:v>0</x:v>
      </x:c>
      <x:c r="S1369" s="26" t="n">
        <x:v>0</x:v>
      </x:c>
      <x:c r="T1369" s="26" t="n">
        <x:v>0</x:v>
      </x:c>
      <x:c r="U1369" s="26" t="n">
        <x:v>190</x:v>
      </x:c>
      <x:c r="V1369" s="26" t="n">
        <x:v>0</x:v>
      </x:c>
      <x:c r="W1369" s="26" t="n">
        <x:v>0</x:v>
      </x:c>
      <x:c r="X1369" s="26" t="n">
        <x:v>0</x:v>
      </x:c>
      <x:c r="Y1369" s="26" t="n">
        <x:v>0</x:v>
      </x:c>
      <x:c r="Z1369" s="35" t="str">
        <x:v>City Water &amp; Sewer</x:v>
      </x:c>
    </x:row>
    <x:row r="1370">
      <x:c r="A1370" s="20" t="str">
        <x:v>FIN-01367</x:v>
      </x:c>
      <x:c r="B1370" s="23" t="n">
        <x:v>46645</x:v>
      </x:c>
      <x:c r="C1370" s="23" t="n">
        <x:v>46645</x:v>
      </x:c>
      <x:c r="D1370" s="20" t="str">
        <x:v>OperatingExpense</x:v>
      </x:c>
      <x:c r="E1370" s="20" t="str">
        <x:v>Utilities</x:v>
      </x:c>
      <x:c r="F1370" s="20" t="str">
        <x:v>P030</x:v>
      </x:c>
      <x:c r="G1370" s="20" t="str"/>
      <x:c r="H1370" s="20" t="str"/>
      <x:c r="I1370" s="20" t="str">
        <x:v>City Water &amp; Sewer</x:v>
      </x:c>
      <x:c r="J1370" s="35" t="str">
        <x:v>Manual mobile form</x:v>
      </x:c>
      <x:c r="K1370" s="20" t="str"/>
      <x:c r="L1370" s="20" t="str">
        <x:v>EXP-20270915-1190</x:v>
      </x:c>
      <x:c r="M1370" s="26" t="n">
        <x:v>197</x:v>
      </x:c>
      <x:c r="N1370" s="26" t="n">
        <x:v>0</x:v>
      </x:c>
      <x:c r="O1370" s="26" t="n">
        <x:v>-197</x:v>
      </x:c>
      <x:c r="P1370" s="26" t="n">
        <x:v>0</x:v>
      </x:c>
      <x:c r="Q1370" s="26" t="n">
        <x:v>0</x:v>
      </x:c>
      <x:c r="R1370" s="26" t="n">
        <x:v>0</x:v>
      </x:c>
      <x:c r="S1370" s="26" t="n">
        <x:v>0</x:v>
      </x:c>
      <x:c r="T1370" s="26" t="n">
        <x:v>0</x:v>
      </x:c>
      <x:c r="U1370" s="26" t="n">
        <x:v>197</x:v>
      </x:c>
      <x:c r="V1370" s="26" t="n">
        <x:v>0</x:v>
      </x:c>
      <x:c r="W1370" s="26" t="n">
        <x:v>0</x:v>
      </x:c>
      <x:c r="X1370" s="26" t="n">
        <x:v>0</x:v>
      </x:c>
      <x:c r="Y1370" s="26" t="n">
        <x:v>0</x:v>
      </x:c>
      <x:c r="Z1370" s="35" t="str">
        <x:v>City Water &amp; Sewer</x:v>
      </x:c>
    </x:row>
    <x:row r="1371">
      <x:c r="A1371" s="20" t="str">
        <x:v>FIN-01368</x:v>
      </x:c>
      <x:c r="B1371" s="23" t="n">
        <x:v>46650</x:v>
      </x:c>
      <x:c r="C1371" s="23" t="n">
        <x:v>46650</x:v>
      </x:c>
      <x:c r="D1371" s="20" t="str">
        <x:v>LoanPayment</x:v>
      </x:c>
      <x:c r="E1371" s="20" t="str">
        <x:v>Mortgage principal and interest</x:v>
      </x:c>
      <x:c r="F1371" s="20" t="str">
        <x:v>P001</x:v>
      </x:c>
      <x:c r="G1371" s="20" t="str"/>
      <x:c r="H1371" s="20" t="str"/>
      <x:c r="I1371" s="20" t="str">
        <x:v>First QA Mortgage</x:v>
      </x:c>
      <x:c r="J1371" s="35" t="str">
        <x:v>Recurring loan payment + scanned statement</x:v>
      </x:c>
      <x:c r="K1371" s="20" t="str">
        <x:v>SCN-0681</x:v>
      </x:c>
      <x:c r="L1371" s="20" t="str">
        <x:v>LN001-202709</x:v>
      </x:c>
      <x:c r="M1371" s="26" t="n">
        <x:v>990</x:v>
      </x:c>
      <x:c r="N1371" s="26" t="n">
        <x:v>0</x:v>
      </x:c>
      <x:c r="O1371" s="26" t="n">
        <x:v>-990</x:v>
      </x:c>
      <x:c r="P1371" s="26" t="n">
        <x:v>0</x:v>
      </x:c>
      <x:c r="Q1371" s="26" t="n">
        <x:v>0</x:v>
      </x:c>
      <x:c r="R1371" s="26" t="n">
        <x:v>0</x:v>
      </x:c>
      <x:c r="S1371" s="26" t="n">
        <x:v>-431</x:v>
      </x:c>
      <x:c r="T1371" s="26" t="n">
        <x:v>0</x:v>
      </x:c>
      <x:c r="U1371" s="26" t="n">
        <x:v>559</x:v>
      </x:c>
      <x:c r="V1371" s="26" t="n">
        <x:v>0</x:v>
      </x:c>
      <x:c r="W1371" s="26" t="n">
        <x:v>0</x:v>
      </x:c>
      <x:c r="X1371" s="26" t="n">
        <x:v>0</x:v>
      </x:c>
      <x:c r="Y1371" s="26" t="n">
        <x:v>0</x:v>
      </x:c>
      <x:c r="Z1371" s="35" t="str">
        <x:v>LN001 scheduled payment</x:v>
      </x:c>
    </x:row>
    <x:row r="1372">
      <x:c r="A1372" s="20" t="str">
        <x:v>FIN-01369</x:v>
      </x:c>
      <x:c r="B1372" s="23" t="n">
        <x:v>46650</x:v>
      </x:c>
      <x:c r="C1372" s="23" t="n">
        <x:v>46650</x:v>
      </x:c>
      <x:c r="D1372" s="20" t="str">
        <x:v>LoanPayment</x:v>
      </x:c>
      <x:c r="E1372" s="20" t="str">
        <x:v>Mortgage principal and interest</x:v>
      </x:c>
      <x:c r="F1372" s="20" t="str">
        <x:v>P002</x:v>
      </x:c>
      <x:c r="G1372" s="20" t="str"/>
      <x:c r="H1372" s="20" t="str"/>
      <x:c r="I1372" s="20" t="str">
        <x:v>First QA Mortgage</x:v>
      </x:c>
      <x:c r="J1372" s="35" t="str">
        <x:v>Recurring loan payment + scanned statement</x:v>
      </x:c>
      <x:c r="K1372" s="20" t="str">
        <x:v>SCN-0682</x:v>
      </x:c>
      <x:c r="L1372" s="20" t="str">
        <x:v>LN002-202709</x:v>
      </x:c>
      <x:c r="M1372" s="26" t="n">
        <x:v>1014</x:v>
      </x:c>
      <x:c r="N1372" s="26" t="n">
        <x:v>0</x:v>
      </x:c>
      <x:c r="O1372" s="26" t="n">
        <x:v>-1014</x:v>
      </x:c>
      <x:c r="P1372" s="26" t="n">
        <x:v>0</x:v>
      </x:c>
      <x:c r="Q1372" s="26" t="n">
        <x:v>0</x:v>
      </x:c>
      <x:c r="R1372" s="26" t="n">
        <x:v>0</x:v>
      </x:c>
      <x:c r="S1372" s="26" t="n">
        <x:v>-442</x:v>
      </x:c>
      <x:c r="T1372" s="26" t="n">
        <x:v>0</x:v>
      </x:c>
      <x:c r="U1372" s="26" t="n">
        <x:v>572</x:v>
      </x:c>
      <x:c r="V1372" s="26" t="n">
        <x:v>0</x:v>
      </x:c>
      <x:c r="W1372" s="26" t="n">
        <x:v>0</x:v>
      </x:c>
      <x:c r="X1372" s="26" t="n">
        <x:v>0</x:v>
      </x:c>
      <x:c r="Y1372" s="26" t="n">
        <x:v>0</x:v>
      </x:c>
      <x:c r="Z1372" s="35" t="str">
        <x:v>LN002 scheduled payment</x:v>
      </x:c>
    </x:row>
    <x:row r="1373">
      <x:c r="A1373" s="20" t="str">
        <x:v>FIN-01370</x:v>
      </x:c>
      <x:c r="B1373" s="23" t="n">
        <x:v>46650</x:v>
      </x:c>
      <x:c r="C1373" s="23" t="n">
        <x:v>46650</x:v>
      </x:c>
      <x:c r="D1373" s="20" t="str">
        <x:v>LoanPayment</x:v>
      </x:c>
      <x:c r="E1373" s="20" t="str">
        <x:v>Mortgage principal and interest</x:v>
      </x:c>
      <x:c r="F1373" s="20" t="str">
        <x:v>P004</x:v>
      </x:c>
      <x:c r="G1373" s="20" t="str"/>
      <x:c r="H1373" s="20" t="str"/>
      <x:c r="I1373" s="20" t="str">
        <x:v>First QA Mortgage</x:v>
      </x:c>
      <x:c r="J1373" s="35" t="str">
        <x:v>Recurring loan payment + scanned statement</x:v>
      </x:c>
      <x:c r="K1373" s="20" t="str">
        <x:v>SCN-0683</x:v>
      </x:c>
      <x:c r="L1373" s="20" t="str">
        <x:v>LN004-202709</x:v>
      </x:c>
      <x:c r="M1373" s="26" t="n">
        <x:v>1062</x:v>
      </x:c>
      <x:c r="N1373" s="26" t="n">
        <x:v>0</x:v>
      </x:c>
      <x:c r="O1373" s="26" t="n">
        <x:v>-1062</x:v>
      </x:c>
      <x:c r="P1373" s="26" t="n">
        <x:v>0</x:v>
      </x:c>
      <x:c r="Q1373" s="26" t="n">
        <x:v>0</x:v>
      </x:c>
      <x:c r="R1373" s="26" t="n">
        <x:v>0</x:v>
      </x:c>
      <x:c r="S1373" s="26" t="n">
        <x:v>-464</x:v>
      </x:c>
      <x:c r="T1373" s="26" t="n">
        <x:v>0</x:v>
      </x:c>
      <x:c r="U1373" s="26" t="n">
        <x:v>598</x:v>
      </x:c>
      <x:c r="V1373" s="26" t="n">
        <x:v>0</x:v>
      </x:c>
      <x:c r="W1373" s="26" t="n">
        <x:v>0</x:v>
      </x:c>
      <x:c r="X1373" s="26" t="n">
        <x:v>0</x:v>
      </x:c>
      <x:c r="Y1373" s="26" t="n">
        <x:v>0</x:v>
      </x:c>
      <x:c r="Z1373" s="35" t="str">
        <x:v>LN004 scheduled payment</x:v>
      </x:c>
    </x:row>
    <x:row r="1374">
      <x:c r="A1374" s="20" t="str">
        <x:v>FIN-01371</x:v>
      </x:c>
      <x:c r="B1374" s="23" t="n">
        <x:v>46650</x:v>
      </x:c>
      <x:c r="C1374" s="23" t="n">
        <x:v>46650</x:v>
      </x:c>
      <x:c r="D1374" s="20" t="str">
        <x:v>LoanPayment</x:v>
      </x:c>
      <x:c r="E1374" s="20" t="str">
        <x:v>Mortgage principal and interest</x:v>
      </x:c>
      <x:c r="F1374" s="20" t="str">
        <x:v>P005</x:v>
      </x:c>
      <x:c r="G1374" s="20" t="str"/>
      <x:c r="H1374" s="20" t="str"/>
      <x:c r="I1374" s="20" t="str">
        <x:v>First QA Mortgage</x:v>
      </x:c>
      <x:c r="J1374" s="35" t="str">
        <x:v>Recurring loan payment + scanned statement</x:v>
      </x:c>
      <x:c r="K1374" s="20" t="str">
        <x:v>SCN-0684</x:v>
      </x:c>
      <x:c r="L1374" s="20" t="str">
        <x:v>LN005-202709</x:v>
      </x:c>
      <x:c r="M1374" s="26" t="n">
        <x:v>1086</x:v>
      </x:c>
      <x:c r="N1374" s="26" t="n">
        <x:v>0</x:v>
      </x:c>
      <x:c r="O1374" s="26" t="n">
        <x:v>-1086</x:v>
      </x:c>
      <x:c r="P1374" s="26" t="n">
        <x:v>0</x:v>
      </x:c>
      <x:c r="Q1374" s="26" t="n">
        <x:v>0</x:v>
      </x:c>
      <x:c r="R1374" s="26" t="n">
        <x:v>0</x:v>
      </x:c>
      <x:c r="S1374" s="26" t="n">
        <x:v>-475</x:v>
      </x:c>
      <x:c r="T1374" s="26" t="n">
        <x:v>0</x:v>
      </x:c>
      <x:c r="U1374" s="26" t="n">
        <x:v>611</x:v>
      </x:c>
      <x:c r="V1374" s="26" t="n">
        <x:v>0</x:v>
      </x:c>
      <x:c r="W1374" s="26" t="n">
        <x:v>0</x:v>
      </x:c>
      <x:c r="X1374" s="26" t="n">
        <x:v>0</x:v>
      </x:c>
      <x:c r="Y1374" s="26" t="n">
        <x:v>0</x:v>
      </x:c>
      <x:c r="Z1374" s="35" t="str">
        <x:v>LN005 scheduled payment</x:v>
      </x:c>
    </x:row>
    <x:row r="1375">
      <x:c r="A1375" s="20" t="str">
        <x:v>FIN-01372</x:v>
      </x:c>
      <x:c r="B1375" s="23" t="n">
        <x:v>46650</x:v>
      </x:c>
      <x:c r="C1375" s="23" t="n">
        <x:v>46650</x:v>
      </x:c>
      <x:c r="D1375" s="20" t="str">
        <x:v>LoanPayment</x:v>
      </x:c>
      <x:c r="E1375" s="20" t="str">
        <x:v>Mortgage principal and interest</x:v>
      </x:c>
      <x:c r="F1375" s="20" t="str">
        <x:v>P007</x:v>
      </x:c>
      <x:c r="G1375" s="20" t="str"/>
      <x:c r="H1375" s="20" t="str"/>
      <x:c r="I1375" s="20" t="str">
        <x:v>First QA Mortgage</x:v>
      </x:c>
      <x:c r="J1375" s="35" t="str">
        <x:v>Recurring loan payment + scanned statement</x:v>
      </x:c>
      <x:c r="K1375" s="20" t="str">
        <x:v>SCN-0685</x:v>
      </x:c>
      <x:c r="L1375" s="20" t="str">
        <x:v>LN007-202709</x:v>
      </x:c>
      <x:c r="M1375" s="26" t="n">
        <x:v>1134</x:v>
      </x:c>
      <x:c r="N1375" s="26" t="n">
        <x:v>0</x:v>
      </x:c>
      <x:c r="O1375" s="26" t="n">
        <x:v>-1134</x:v>
      </x:c>
      <x:c r="P1375" s="26" t="n">
        <x:v>0</x:v>
      </x:c>
      <x:c r="Q1375" s="26" t="n">
        <x:v>0</x:v>
      </x:c>
      <x:c r="R1375" s="26" t="n">
        <x:v>0</x:v>
      </x:c>
      <x:c r="S1375" s="26" t="n">
        <x:v>-497</x:v>
      </x:c>
      <x:c r="T1375" s="26" t="n">
        <x:v>0</x:v>
      </x:c>
      <x:c r="U1375" s="26" t="n">
        <x:v>637</x:v>
      </x:c>
      <x:c r="V1375" s="26" t="n">
        <x:v>0</x:v>
      </x:c>
      <x:c r="W1375" s="26" t="n">
        <x:v>0</x:v>
      </x:c>
      <x:c r="X1375" s="26" t="n">
        <x:v>0</x:v>
      </x:c>
      <x:c r="Y1375" s="26" t="n">
        <x:v>0</x:v>
      </x:c>
      <x:c r="Z1375" s="35" t="str">
        <x:v>LN007 scheduled payment</x:v>
      </x:c>
    </x:row>
    <x:row r="1376">
      <x:c r="A1376" s="20" t="str">
        <x:v>FIN-01373</x:v>
      </x:c>
      <x:c r="B1376" s="23" t="n">
        <x:v>46650</x:v>
      </x:c>
      <x:c r="C1376" s="23" t="n">
        <x:v>46650</x:v>
      </x:c>
      <x:c r="D1376" s="20" t="str">
        <x:v>LoanPayment</x:v>
      </x:c>
      <x:c r="E1376" s="20" t="str">
        <x:v>Mortgage principal and interest</x:v>
      </x:c>
      <x:c r="F1376" s="20" t="str">
        <x:v>P008</x:v>
      </x:c>
      <x:c r="G1376" s="20" t="str"/>
      <x:c r="H1376" s="20" t="str"/>
      <x:c r="I1376" s="20" t="str">
        <x:v>First QA Mortgage</x:v>
      </x:c>
      <x:c r="J1376" s="35" t="str">
        <x:v>Recurring loan payment + scanned statement</x:v>
      </x:c>
      <x:c r="K1376" s="20" t="str">
        <x:v>SCN-0686</x:v>
      </x:c>
      <x:c r="L1376" s="20" t="str">
        <x:v>LN008-202709</x:v>
      </x:c>
      <x:c r="M1376" s="26" t="n">
        <x:v>1158</x:v>
      </x:c>
      <x:c r="N1376" s="26" t="n">
        <x:v>0</x:v>
      </x:c>
      <x:c r="O1376" s="26" t="n">
        <x:v>-1158</x:v>
      </x:c>
      <x:c r="P1376" s="26" t="n">
        <x:v>0</x:v>
      </x:c>
      <x:c r="Q1376" s="26" t="n">
        <x:v>0</x:v>
      </x:c>
      <x:c r="R1376" s="26" t="n">
        <x:v>0</x:v>
      </x:c>
      <x:c r="S1376" s="26" t="n">
        <x:v>-508</x:v>
      </x:c>
      <x:c r="T1376" s="26" t="n">
        <x:v>0</x:v>
      </x:c>
      <x:c r="U1376" s="26" t="n">
        <x:v>650</x:v>
      </x:c>
      <x:c r="V1376" s="26" t="n">
        <x:v>0</x:v>
      </x:c>
      <x:c r="W1376" s="26" t="n">
        <x:v>0</x:v>
      </x:c>
      <x:c r="X1376" s="26" t="n">
        <x:v>0</x:v>
      </x:c>
      <x:c r="Y1376" s="26" t="n">
        <x:v>0</x:v>
      </x:c>
      <x:c r="Z1376" s="35" t="str">
        <x:v>LN008 scheduled payment</x:v>
      </x:c>
    </x:row>
    <x:row r="1377">
      <x:c r="A1377" s="20" t="str">
        <x:v>FIN-01374</x:v>
      </x:c>
      <x:c r="B1377" s="23" t="n">
        <x:v>46650</x:v>
      </x:c>
      <x:c r="C1377" s="23" t="n">
        <x:v>46650</x:v>
      </x:c>
      <x:c r="D1377" s="20" t="str">
        <x:v>LoanPayment</x:v>
      </x:c>
      <x:c r="E1377" s="20" t="str">
        <x:v>Mortgage principal and interest</x:v>
      </x:c>
      <x:c r="F1377" s="20" t="str">
        <x:v>P010</x:v>
      </x:c>
      <x:c r="G1377" s="20" t="str"/>
      <x:c r="H1377" s="20" t="str"/>
      <x:c r="I1377" s="20" t="str">
        <x:v>First QA Mortgage</x:v>
      </x:c>
      <x:c r="J1377" s="35" t="str">
        <x:v>Recurring loan payment + scanned statement</x:v>
      </x:c>
      <x:c r="K1377" s="20" t="str">
        <x:v>SCN-0687</x:v>
      </x:c>
      <x:c r="L1377" s="20" t="str">
        <x:v>LN010-202709</x:v>
      </x:c>
      <x:c r="M1377" s="26" t="n">
        <x:v>1206</x:v>
      </x:c>
      <x:c r="N1377" s="26" t="n">
        <x:v>0</x:v>
      </x:c>
      <x:c r="O1377" s="26" t="n">
        <x:v>-1206</x:v>
      </x:c>
      <x:c r="P1377" s="26" t="n">
        <x:v>0</x:v>
      </x:c>
      <x:c r="Q1377" s="26" t="n">
        <x:v>0</x:v>
      </x:c>
      <x:c r="R1377" s="26" t="n">
        <x:v>0</x:v>
      </x:c>
      <x:c r="S1377" s="26" t="n">
        <x:v>-530</x:v>
      </x:c>
      <x:c r="T1377" s="26" t="n">
        <x:v>0</x:v>
      </x:c>
      <x:c r="U1377" s="26" t="n">
        <x:v>676</x:v>
      </x:c>
      <x:c r="V1377" s="26" t="n">
        <x:v>0</x:v>
      </x:c>
      <x:c r="W1377" s="26" t="n">
        <x:v>0</x:v>
      </x:c>
      <x:c r="X1377" s="26" t="n">
        <x:v>0</x:v>
      </x:c>
      <x:c r="Y1377" s="26" t="n">
        <x:v>0</x:v>
      </x:c>
      <x:c r="Z1377" s="35" t="str">
        <x:v>LN010 scheduled payment</x:v>
      </x:c>
    </x:row>
    <x:row r="1378">
      <x:c r="A1378" s="20" t="str">
        <x:v>FIN-01375</x:v>
      </x:c>
      <x:c r="B1378" s="23" t="n">
        <x:v>46650</x:v>
      </x:c>
      <x:c r="C1378" s="23" t="n">
        <x:v>46650</x:v>
      </x:c>
      <x:c r="D1378" s="20" t="str">
        <x:v>LoanPayment</x:v>
      </x:c>
      <x:c r="E1378" s="20" t="str">
        <x:v>Mortgage principal and interest</x:v>
      </x:c>
      <x:c r="F1378" s="20" t="str">
        <x:v>P011</x:v>
      </x:c>
      <x:c r="G1378" s="20" t="str"/>
      <x:c r="H1378" s="20" t="str"/>
      <x:c r="I1378" s="20" t="str">
        <x:v>First QA Mortgage</x:v>
      </x:c>
      <x:c r="J1378" s="35" t="str">
        <x:v>Recurring loan payment + scanned statement</x:v>
      </x:c>
      <x:c r="K1378" s="20" t="str">
        <x:v>SCN-0688</x:v>
      </x:c>
      <x:c r="L1378" s="20" t="str">
        <x:v>LN011-202709</x:v>
      </x:c>
      <x:c r="M1378" s="26" t="n">
        <x:v>1230</x:v>
      </x:c>
      <x:c r="N1378" s="26" t="n">
        <x:v>0</x:v>
      </x:c>
      <x:c r="O1378" s="26" t="n">
        <x:v>-1230</x:v>
      </x:c>
      <x:c r="P1378" s="26" t="n">
        <x:v>0</x:v>
      </x:c>
      <x:c r="Q1378" s="26" t="n">
        <x:v>0</x:v>
      </x:c>
      <x:c r="R1378" s="26" t="n">
        <x:v>0</x:v>
      </x:c>
      <x:c r="S1378" s="26" t="n">
        <x:v>-541</x:v>
      </x:c>
      <x:c r="T1378" s="26" t="n">
        <x:v>0</x:v>
      </x:c>
      <x:c r="U1378" s="26" t="n">
        <x:v>689</x:v>
      </x:c>
      <x:c r="V1378" s="26" t="n">
        <x:v>0</x:v>
      </x:c>
      <x:c r="W1378" s="26" t="n">
        <x:v>0</x:v>
      </x:c>
      <x:c r="X1378" s="26" t="n">
        <x:v>0</x:v>
      </x:c>
      <x:c r="Y1378" s="26" t="n">
        <x:v>0</x:v>
      </x:c>
      <x:c r="Z1378" s="35" t="str">
        <x:v>LN011 scheduled payment</x:v>
      </x:c>
    </x:row>
    <x:row r="1379">
      <x:c r="A1379" s="20" t="str">
        <x:v>FIN-01376</x:v>
      </x:c>
      <x:c r="B1379" s="23" t="n">
        <x:v>46650</x:v>
      </x:c>
      <x:c r="C1379" s="23" t="n">
        <x:v>46650</x:v>
      </x:c>
      <x:c r="D1379" s="20" t="str">
        <x:v>LoanPayment</x:v>
      </x:c>
      <x:c r="E1379" s="20" t="str">
        <x:v>Mortgage principal and interest</x:v>
      </x:c>
      <x:c r="F1379" s="20" t="str">
        <x:v>P013</x:v>
      </x:c>
      <x:c r="G1379" s="20" t="str"/>
      <x:c r="H1379" s="20" t="str"/>
      <x:c r="I1379" s="20" t="str">
        <x:v>First QA Mortgage</x:v>
      </x:c>
      <x:c r="J1379" s="35" t="str">
        <x:v>Recurring loan payment + scanned statement</x:v>
      </x:c>
      <x:c r="K1379" s="20" t="str">
        <x:v>SCN-0689</x:v>
      </x:c>
      <x:c r="L1379" s="20" t="str">
        <x:v>LN013-202709</x:v>
      </x:c>
      <x:c r="M1379" s="26" t="n">
        <x:v>1278</x:v>
      </x:c>
      <x:c r="N1379" s="26" t="n">
        <x:v>0</x:v>
      </x:c>
      <x:c r="O1379" s="26" t="n">
        <x:v>-1278</x:v>
      </x:c>
      <x:c r="P1379" s="26" t="n">
        <x:v>0</x:v>
      </x:c>
      <x:c r="Q1379" s="26" t="n">
        <x:v>0</x:v>
      </x:c>
      <x:c r="R1379" s="26" t="n">
        <x:v>0</x:v>
      </x:c>
      <x:c r="S1379" s="26" t="n">
        <x:v>-563</x:v>
      </x:c>
      <x:c r="T1379" s="26" t="n">
        <x:v>0</x:v>
      </x:c>
      <x:c r="U1379" s="26" t="n">
        <x:v>715</x:v>
      </x:c>
      <x:c r="V1379" s="26" t="n">
        <x:v>0</x:v>
      </x:c>
      <x:c r="W1379" s="26" t="n">
        <x:v>0</x:v>
      </x:c>
      <x:c r="X1379" s="26" t="n">
        <x:v>0</x:v>
      </x:c>
      <x:c r="Y1379" s="26" t="n">
        <x:v>0</x:v>
      </x:c>
      <x:c r="Z1379" s="35" t="str">
        <x:v>LN013 scheduled payment</x:v>
      </x:c>
    </x:row>
    <x:row r="1380">
      <x:c r="A1380" s="20" t="str">
        <x:v>FIN-01377</x:v>
      </x:c>
      <x:c r="B1380" s="23" t="n">
        <x:v>46650</x:v>
      </x:c>
      <x:c r="C1380" s="23" t="n">
        <x:v>46650</x:v>
      </x:c>
      <x:c r="D1380" s="20" t="str">
        <x:v>LoanPayment</x:v>
      </x:c>
      <x:c r="E1380" s="20" t="str">
        <x:v>Mortgage principal and interest</x:v>
      </x:c>
      <x:c r="F1380" s="20" t="str">
        <x:v>P014</x:v>
      </x:c>
      <x:c r="G1380" s="20" t="str"/>
      <x:c r="H1380" s="20" t="str"/>
      <x:c r="I1380" s="20" t="str">
        <x:v>First QA Mortgage</x:v>
      </x:c>
      <x:c r="J1380" s="35" t="str">
        <x:v>Recurring loan payment + scanned statement</x:v>
      </x:c>
      <x:c r="K1380" s="20" t="str">
        <x:v>SCN-0690</x:v>
      </x:c>
      <x:c r="L1380" s="20" t="str">
        <x:v>LN014-202709</x:v>
      </x:c>
      <x:c r="M1380" s="26" t="n">
        <x:v>1302</x:v>
      </x:c>
      <x:c r="N1380" s="26" t="n">
        <x:v>0</x:v>
      </x:c>
      <x:c r="O1380" s="26" t="n">
        <x:v>-1302</x:v>
      </x:c>
      <x:c r="P1380" s="26" t="n">
        <x:v>0</x:v>
      </x:c>
      <x:c r="Q1380" s="26" t="n">
        <x:v>0</x:v>
      </x:c>
      <x:c r="R1380" s="26" t="n">
        <x:v>0</x:v>
      </x:c>
      <x:c r="S1380" s="26" t="n">
        <x:v>-574</x:v>
      </x:c>
      <x:c r="T1380" s="26" t="n">
        <x:v>0</x:v>
      </x:c>
      <x:c r="U1380" s="26" t="n">
        <x:v>728</x:v>
      </x:c>
      <x:c r="V1380" s="26" t="n">
        <x:v>0</x:v>
      </x:c>
      <x:c r="W1380" s="26" t="n">
        <x:v>0</x:v>
      </x:c>
      <x:c r="X1380" s="26" t="n">
        <x:v>0</x:v>
      </x:c>
      <x:c r="Y1380" s="26" t="n">
        <x:v>0</x:v>
      </x:c>
      <x:c r="Z1380" s="35" t="str">
        <x:v>LN014 scheduled payment</x:v>
      </x:c>
    </x:row>
    <x:row r="1381">
      <x:c r="A1381" s="20" t="str">
        <x:v>FIN-01378</x:v>
      </x:c>
      <x:c r="B1381" s="23" t="n">
        <x:v>46650</x:v>
      </x:c>
      <x:c r="C1381" s="23" t="n">
        <x:v>46650</x:v>
      </x:c>
      <x:c r="D1381" s="20" t="str">
        <x:v>LoanPayment</x:v>
      </x:c>
      <x:c r="E1381" s="20" t="str">
        <x:v>Mortgage principal and interest</x:v>
      </x:c>
      <x:c r="F1381" s="20" t="str">
        <x:v>P016</x:v>
      </x:c>
      <x:c r="G1381" s="20" t="str"/>
      <x:c r="H1381" s="20" t="str"/>
      <x:c r="I1381" s="20" t="str">
        <x:v>First QA Mortgage</x:v>
      </x:c>
      <x:c r="J1381" s="35" t="str">
        <x:v>Recurring loan payment + scanned statement</x:v>
      </x:c>
      <x:c r="K1381" s="20" t="str">
        <x:v>SCN-0691</x:v>
      </x:c>
      <x:c r="L1381" s="20" t="str">
        <x:v>LN016-202709</x:v>
      </x:c>
      <x:c r="M1381" s="26" t="n">
        <x:v>1350</x:v>
      </x:c>
      <x:c r="N1381" s="26" t="n">
        <x:v>0</x:v>
      </x:c>
      <x:c r="O1381" s="26" t="n">
        <x:v>-1350</x:v>
      </x:c>
      <x:c r="P1381" s="26" t="n">
        <x:v>0</x:v>
      </x:c>
      <x:c r="Q1381" s="26" t="n">
        <x:v>0</x:v>
      </x:c>
      <x:c r="R1381" s="26" t="n">
        <x:v>0</x:v>
      </x:c>
      <x:c r="S1381" s="26" t="n">
        <x:v>-596</x:v>
      </x:c>
      <x:c r="T1381" s="26" t="n">
        <x:v>0</x:v>
      </x:c>
      <x:c r="U1381" s="26" t="n">
        <x:v>754</x:v>
      </x:c>
      <x:c r="V1381" s="26" t="n">
        <x:v>0</x:v>
      </x:c>
      <x:c r="W1381" s="26" t="n">
        <x:v>0</x:v>
      </x:c>
      <x:c r="X1381" s="26" t="n">
        <x:v>0</x:v>
      </x:c>
      <x:c r="Y1381" s="26" t="n">
        <x:v>0</x:v>
      </x:c>
      <x:c r="Z1381" s="35" t="str">
        <x:v>LN016 scheduled payment</x:v>
      </x:c>
    </x:row>
    <x:row r="1382">
      <x:c r="A1382" s="20" t="str">
        <x:v>FIN-01379</x:v>
      </x:c>
      <x:c r="B1382" s="23" t="n">
        <x:v>46650</x:v>
      </x:c>
      <x:c r="C1382" s="23" t="n">
        <x:v>46650</x:v>
      </x:c>
      <x:c r="D1382" s="20" t="str">
        <x:v>LoanPayment</x:v>
      </x:c>
      <x:c r="E1382" s="20" t="str">
        <x:v>Mortgage principal and interest</x:v>
      </x:c>
      <x:c r="F1382" s="20" t="str">
        <x:v>P017</x:v>
      </x:c>
      <x:c r="G1382" s="20" t="str"/>
      <x:c r="H1382" s="20" t="str"/>
      <x:c r="I1382" s="20" t="str">
        <x:v>First QA Mortgage</x:v>
      </x:c>
      <x:c r="J1382" s="35" t="str">
        <x:v>Recurring loan payment + scanned statement</x:v>
      </x:c>
      <x:c r="K1382" s="20" t="str">
        <x:v>SCN-0692</x:v>
      </x:c>
      <x:c r="L1382" s="20" t="str">
        <x:v>LN017-202709</x:v>
      </x:c>
      <x:c r="M1382" s="26" t="n">
        <x:v>1374</x:v>
      </x:c>
      <x:c r="N1382" s="26" t="n">
        <x:v>0</x:v>
      </x:c>
      <x:c r="O1382" s="26" t="n">
        <x:v>-1374</x:v>
      </x:c>
      <x:c r="P1382" s="26" t="n">
        <x:v>0</x:v>
      </x:c>
      <x:c r="Q1382" s="26" t="n">
        <x:v>0</x:v>
      </x:c>
      <x:c r="R1382" s="26" t="n">
        <x:v>0</x:v>
      </x:c>
      <x:c r="S1382" s="26" t="n">
        <x:v>-607</x:v>
      </x:c>
      <x:c r="T1382" s="26" t="n">
        <x:v>0</x:v>
      </x:c>
      <x:c r="U1382" s="26" t="n">
        <x:v>767</x:v>
      </x:c>
      <x:c r="V1382" s="26" t="n">
        <x:v>0</x:v>
      </x:c>
      <x:c r="W1382" s="26" t="n">
        <x:v>0</x:v>
      </x:c>
      <x:c r="X1382" s="26" t="n">
        <x:v>0</x:v>
      </x:c>
      <x:c r="Y1382" s="26" t="n">
        <x:v>0</x:v>
      </x:c>
      <x:c r="Z1382" s="35" t="str">
        <x:v>LN017 scheduled payment</x:v>
      </x:c>
    </x:row>
    <x:row r="1383">
      <x:c r="A1383" s="20" t="str">
        <x:v>FIN-01380</x:v>
      </x:c>
      <x:c r="B1383" s="23" t="n">
        <x:v>46650</x:v>
      </x:c>
      <x:c r="C1383" s="23" t="n">
        <x:v>46650</x:v>
      </x:c>
      <x:c r="D1383" s="20" t="str">
        <x:v>LoanPayment</x:v>
      </x:c>
      <x:c r="E1383" s="20" t="str">
        <x:v>Mortgage principal and interest</x:v>
      </x:c>
      <x:c r="F1383" s="20" t="str">
        <x:v>P019</x:v>
      </x:c>
      <x:c r="G1383" s="20" t="str"/>
      <x:c r="H1383" s="20" t="str"/>
      <x:c r="I1383" s="20" t="str">
        <x:v>First QA Mortgage</x:v>
      </x:c>
      <x:c r="J1383" s="35" t="str">
        <x:v>Recurring loan payment + scanned statement</x:v>
      </x:c>
      <x:c r="K1383" s="20" t="str">
        <x:v>SCN-0693</x:v>
      </x:c>
      <x:c r="L1383" s="20" t="str">
        <x:v>LN019-202709</x:v>
      </x:c>
      <x:c r="M1383" s="26" t="n">
        <x:v>1422</x:v>
      </x:c>
      <x:c r="N1383" s="26" t="n">
        <x:v>0</x:v>
      </x:c>
      <x:c r="O1383" s="26" t="n">
        <x:v>-1422</x:v>
      </x:c>
      <x:c r="P1383" s="26" t="n">
        <x:v>0</x:v>
      </x:c>
      <x:c r="Q1383" s="26" t="n">
        <x:v>0</x:v>
      </x:c>
      <x:c r="R1383" s="26" t="n">
        <x:v>0</x:v>
      </x:c>
      <x:c r="S1383" s="26" t="n">
        <x:v>-629</x:v>
      </x:c>
      <x:c r="T1383" s="26" t="n">
        <x:v>0</x:v>
      </x:c>
      <x:c r="U1383" s="26" t="n">
        <x:v>793</x:v>
      </x:c>
      <x:c r="V1383" s="26" t="n">
        <x:v>0</x:v>
      </x:c>
      <x:c r="W1383" s="26" t="n">
        <x:v>0</x:v>
      </x:c>
      <x:c r="X1383" s="26" t="n">
        <x:v>0</x:v>
      </x:c>
      <x:c r="Y1383" s="26" t="n">
        <x:v>0</x:v>
      </x:c>
      <x:c r="Z1383" s="35" t="str">
        <x:v>LN019 scheduled payment</x:v>
      </x:c>
    </x:row>
    <x:row r="1384">
      <x:c r="A1384" s="20" t="str">
        <x:v>FIN-01381</x:v>
      </x:c>
      <x:c r="B1384" s="23" t="n">
        <x:v>46650</x:v>
      </x:c>
      <x:c r="C1384" s="23" t="n">
        <x:v>46650</x:v>
      </x:c>
      <x:c r="D1384" s="20" t="str">
        <x:v>LoanPayment</x:v>
      </x:c>
      <x:c r="E1384" s="20" t="str">
        <x:v>Mortgage principal and interest</x:v>
      </x:c>
      <x:c r="F1384" s="20" t="str">
        <x:v>P020</x:v>
      </x:c>
      <x:c r="G1384" s="20" t="str"/>
      <x:c r="H1384" s="20" t="str"/>
      <x:c r="I1384" s="20" t="str">
        <x:v>First QA Mortgage</x:v>
      </x:c>
      <x:c r="J1384" s="35" t="str">
        <x:v>Recurring loan payment + scanned statement</x:v>
      </x:c>
      <x:c r="K1384" s="20" t="str">
        <x:v>SCN-0694</x:v>
      </x:c>
      <x:c r="L1384" s="20" t="str">
        <x:v>LN020-202709</x:v>
      </x:c>
      <x:c r="M1384" s="26" t="n">
        <x:v>1446</x:v>
      </x:c>
      <x:c r="N1384" s="26" t="n">
        <x:v>0</x:v>
      </x:c>
      <x:c r="O1384" s="26" t="n">
        <x:v>-1446</x:v>
      </x:c>
      <x:c r="P1384" s="26" t="n">
        <x:v>0</x:v>
      </x:c>
      <x:c r="Q1384" s="26" t="n">
        <x:v>0</x:v>
      </x:c>
      <x:c r="R1384" s="26" t="n">
        <x:v>0</x:v>
      </x:c>
      <x:c r="S1384" s="26" t="n">
        <x:v>-640</x:v>
      </x:c>
      <x:c r="T1384" s="26" t="n">
        <x:v>0</x:v>
      </x:c>
      <x:c r="U1384" s="26" t="n">
        <x:v>806</x:v>
      </x:c>
      <x:c r="V1384" s="26" t="n">
        <x:v>0</x:v>
      </x:c>
      <x:c r="W1384" s="26" t="n">
        <x:v>0</x:v>
      </x:c>
      <x:c r="X1384" s="26" t="n">
        <x:v>0</x:v>
      </x:c>
      <x:c r="Y1384" s="26" t="n">
        <x:v>0</x:v>
      </x:c>
      <x:c r="Z1384" s="35" t="str">
        <x:v>LN020 scheduled payment</x:v>
      </x:c>
    </x:row>
    <x:row r="1385">
      <x:c r="A1385" s="20" t="str">
        <x:v>FIN-01382</x:v>
      </x:c>
      <x:c r="B1385" s="23" t="n">
        <x:v>46650</x:v>
      </x:c>
      <x:c r="C1385" s="23" t="n">
        <x:v>46650</x:v>
      </x:c>
      <x:c r="D1385" s="20" t="str">
        <x:v>LoanPayment</x:v>
      </x:c>
      <x:c r="E1385" s="20" t="str">
        <x:v>Mortgage principal and interest</x:v>
      </x:c>
      <x:c r="F1385" s="20" t="str">
        <x:v>P022</x:v>
      </x:c>
      <x:c r="G1385" s="20" t="str"/>
      <x:c r="H1385" s="20" t="str"/>
      <x:c r="I1385" s="20" t="str">
        <x:v>First QA Mortgage</x:v>
      </x:c>
      <x:c r="J1385" s="35" t="str">
        <x:v>Recurring loan payment + scanned statement</x:v>
      </x:c>
      <x:c r="K1385" s="20" t="str">
        <x:v>SCN-0695</x:v>
      </x:c>
      <x:c r="L1385" s="20" t="str">
        <x:v>LN022-202709</x:v>
      </x:c>
      <x:c r="M1385" s="26" t="n">
        <x:v>1494</x:v>
      </x:c>
      <x:c r="N1385" s="26" t="n">
        <x:v>0</x:v>
      </x:c>
      <x:c r="O1385" s="26" t="n">
        <x:v>-1494</x:v>
      </x:c>
      <x:c r="P1385" s="26" t="n">
        <x:v>0</x:v>
      </x:c>
      <x:c r="Q1385" s="26" t="n">
        <x:v>0</x:v>
      </x:c>
      <x:c r="R1385" s="26" t="n">
        <x:v>0</x:v>
      </x:c>
      <x:c r="S1385" s="26" t="n">
        <x:v>-662</x:v>
      </x:c>
      <x:c r="T1385" s="26" t="n">
        <x:v>0</x:v>
      </x:c>
      <x:c r="U1385" s="26" t="n">
        <x:v>832</x:v>
      </x:c>
      <x:c r="V1385" s="26" t="n">
        <x:v>0</x:v>
      </x:c>
      <x:c r="W1385" s="26" t="n">
        <x:v>0</x:v>
      </x:c>
      <x:c r="X1385" s="26" t="n">
        <x:v>0</x:v>
      </x:c>
      <x:c r="Y1385" s="26" t="n">
        <x:v>0</x:v>
      </x:c>
      <x:c r="Z1385" s="35" t="str">
        <x:v>LN022 scheduled payment</x:v>
      </x:c>
    </x:row>
    <x:row r="1386">
      <x:c r="A1386" s="20" t="str">
        <x:v>FIN-01383</x:v>
      </x:c>
      <x:c r="B1386" s="23" t="n">
        <x:v>46650</x:v>
      </x:c>
      <x:c r="C1386" s="23" t="n">
        <x:v>46650</x:v>
      </x:c>
      <x:c r="D1386" s="20" t="str">
        <x:v>LoanPayment</x:v>
      </x:c>
      <x:c r="E1386" s="20" t="str">
        <x:v>Mortgage principal and interest</x:v>
      </x:c>
      <x:c r="F1386" s="20" t="str">
        <x:v>P023</x:v>
      </x:c>
      <x:c r="G1386" s="20" t="str"/>
      <x:c r="H1386" s="20" t="str"/>
      <x:c r="I1386" s="20" t="str">
        <x:v>First QA Mortgage</x:v>
      </x:c>
      <x:c r="J1386" s="35" t="str">
        <x:v>Recurring loan payment + scanned statement</x:v>
      </x:c>
      <x:c r="K1386" s="20" t="str">
        <x:v>SCN-0696</x:v>
      </x:c>
      <x:c r="L1386" s="20" t="str">
        <x:v>LN023-202709</x:v>
      </x:c>
      <x:c r="M1386" s="26" t="n">
        <x:v>1518</x:v>
      </x:c>
      <x:c r="N1386" s="26" t="n">
        <x:v>0</x:v>
      </x:c>
      <x:c r="O1386" s="26" t="n">
        <x:v>-1518</x:v>
      </x:c>
      <x:c r="P1386" s="26" t="n">
        <x:v>0</x:v>
      </x:c>
      <x:c r="Q1386" s="26" t="n">
        <x:v>0</x:v>
      </x:c>
      <x:c r="R1386" s="26" t="n">
        <x:v>0</x:v>
      </x:c>
      <x:c r="S1386" s="26" t="n">
        <x:v>-673</x:v>
      </x:c>
      <x:c r="T1386" s="26" t="n">
        <x:v>0</x:v>
      </x:c>
      <x:c r="U1386" s="26" t="n">
        <x:v>845</x:v>
      </x:c>
      <x:c r="V1386" s="26" t="n">
        <x:v>0</x:v>
      </x:c>
      <x:c r="W1386" s="26" t="n">
        <x:v>0</x:v>
      </x:c>
      <x:c r="X1386" s="26" t="n">
        <x:v>0</x:v>
      </x:c>
      <x:c r="Y1386" s="26" t="n">
        <x:v>0</x:v>
      </x:c>
      <x:c r="Z1386" s="35" t="str">
        <x:v>LN023 scheduled payment</x:v>
      </x:c>
    </x:row>
    <x:row r="1387">
      <x:c r="A1387" s="20" t="str">
        <x:v>FIN-01384</x:v>
      </x:c>
      <x:c r="B1387" s="23" t="n">
        <x:v>46650</x:v>
      </x:c>
      <x:c r="C1387" s="23" t="n">
        <x:v>46650</x:v>
      </x:c>
      <x:c r="D1387" s="20" t="str">
        <x:v>LoanPayment</x:v>
      </x:c>
      <x:c r="E1387" s="20" t="str">
        <x:v>Mortgage principal and interest</x:v>
      </x:c>
      <x:c r="F1387" s="20" t="str">
        <x:v>P025</x:v>
      </x:c>
      <x:c r="G1387" s="20" t="str"/>
      <x:c r="H1387" s="20" t="str"/>
      <x:c r="I1387" s="20" t="str">
        <x:v>First QA Mortgage</x:v>
      </x:c>
      <x:c r="J1387" s="35" t="str">
        <x:v>Recurring loan payment + scanned statement</x:v>
      </x:c>
      <x:c r="K1387" s="20" t="str">
        <x:v>SCN-0697</x:v>
      </x:c>
      <x:c r="L1387" s="20" t="str">
        <x:v>LN025-202709</x:v>
      </x:c>
      <x:c r="M1387" s="26" t="n">
        <x:v>1566</x:v>
      </x:c>
      <x:c r="N1387" s="26" t="n">
        <x:v>0</x:v>
      </x:c>
      <x:c r="O1387" s="26" t="n">
        <x:v>-1566</x:v>
      </x:c>
      <x:c r="P1387" s="26" t="n">
        <x:v>0</x:v>
      </x:c>
      <x:c r="Q1387" s="26" t="n">
        <x:v>0</x:v>
      </x:c>
      <x:c r="R1387" s="26" t="n">
        <x:v>0</x:v>
      </x:c>
      <x:c r="S1387" s="26" t="n">
        <x:v>-695</x:v>
      </x:c>
      <x:c r="T1387" s="26" t="n">
        <x:v>0</x:v>
      </x:c>
      <x:c r="U1387" s="26" t="n">
        <x:v>871</x:v>
      </x:c>
      <x:c r="V1387" s="26" t="n">
        <x:v>0</x:v>
      </x:c>
      <x:c r="W1387" s="26" t="n">
        <x:v>0</x:v>
      </x:c>
      <x:c r="X1387" s="26" t="n">
        <x:v>0</x:v>
      </x:c>
      <x:c r="Y1387" s="26" t="n">
        <x:v>0</x:v>
      </x:c>
      <x:c r="Z1387" s="35" t="str">
        <x:v>LN025 scheduled payment</x:v>
      </x:c>
    </x:row>
    <x:row r="1388">
      <x:c r="A1388" s="20" t="str">
        <x:v>FIN-01385</x:v>
      </x:c>
      <x:c r="B1388" s="23" t="n">
        <x:v>46650</x:v>
      </x:c>
      <x:c r="C1388" s="23" t="n">
        <x:v>46650</x:v>
      </x:c>
      <x:c r="D1388" s="20" t="str">
        <x:v>LoanPayment</x:v>
      </x:c>
      <x:c r="E1388" s="20" t="str">
        <x:v>Mortgage principal and interest</x:v>
      </x:c>
      <x:c r="F1388" s="20" t="str">
        <x:v>P026</x:v>
      </x:c>
      <x:c r="G1388" s="20" t="str"/>
      <x:c r="H1388" s="20" t="str"/>
      <x:c r="I1388" s="20" t="str">
        <x:v>First QA Mortgage</x:v>
      </x:c>
      <x:c r="J1388" s="35" t="str">
        <x:v>Recurring loan payment + scanned statement</x:v>
      </x:c>
      <x:c r="K1388" s="20" t="str">
        <x:v>SCN-0698</x:v>
      </x:c>
      <x:c r="L1388" s="20" t="str">
        <x:v>LN026-202709</x:v>
      </x:c>
      <x:c r="M1388" s="26" t="n">
        <x:v>1590</x:v>
      </x:c>
      <x:c r="N1388" s="26" t="n">
        <x:v>0</x:v>
      </x:c>
      <x:c r="O1388" s="26" t="n">
        <x:v>-1590</x:v>
      </x:c>
      <x:c r="P1388" s="26" t="n">
        <x:v>0</x:v>
      </x:c>
      <x:c r="Q1388" s="26" t="n">
        <x:v>0</x:v>
      </x:c>
      <x:c r="R1388" s="26" t="n">
        <x:v>0</x:v>
      </x:c>
      <x:c r="S1388" s="26" t="n">
        <x:v>-706</x:v>
      </x:c>
      <x:c r="T1388" s="26" t="n">
        <x:v>0</x:v>
      </x:c>
      <x:c r="U1388" s="26" t="n">
        <x:v>884</x:v>
      </x:c>
      <x:c r="V1388" s="26" t="n">
        <x:v>0</x:v>
      </x:c>
      <x:c r="W1388" s="26" t="n">
        <x:v>0</x:v>
      </x:c>
      <x:c r="X1388" s="26" t="n">
        <x:v>0</x:v>
      </x:c>
      <x:c r="Y1388" s="26" t="n">
        <x:v>0</x:v>
      </x:c>
      <x:c r="Z1388" s="35" t="str">
        <x:v>LN026 scheduled payment</x:v>
      </x:c>
    </x:row>
    <x:row r="1389">
      <x:c r="A1389" s="20" t="str">
        <x:v>FIN-01386</x:v>
      </x:c>
      <x:c r="B1389" s="23" t="n">
        <x:v>46650</x:v>
      </x:c>
      <x:c r="C1389" s="23" t="n">
        <x:v>46650</x:v>
      </x:c>
      <x:c r="D1389" s="20" t="str">
        <x:v>LoanPayment</x:v>
      </x:c>
      <x:c r="E1389" s="20" t="str">
        <x:v>Mortgage principal and interest</x:v>
      </x:c>
      <x:c r="F1389" s="20" t="str">
        <x:v>P028</x:v>
      </x:c>
      <x:c r="G1389" s="20" t="str"/>
      <x:c r="H1389" s="20" t="str"/>
      <x:c r="I1389" s="20" t="str">
        <x:v>First QA Mortgage</x:v>
      </x:c>
      <x:c r="J1389" s="35" t="str">
        <x:v>Recurring loan payment + scanned statement</x:v>
      </x:c>
      <x:c r="K1389" s="20" t="str">
        <x:v>SCN-0699</x:v>
      </x:c>
      <x:c r="L1389" s="20" t="str">
        <x:v>LN028-202709</x:v>
      </x:c>
      <x:c r="M1389" s="26" t="n">
        <x:v>1638</x:v>
      </x:c>
      <x:c r="N1389" s="26" t="n">
        <x:v>0</x:v>
      </x:c>
      <x:c r="O1389" s="26" t="n">
        <x:v>-1638</x:v>
      </x:c>
      <x:c r="P1389" s="26" t="n">
        <x:v>0</x:v>
      </x:c>
      <x:c r="Q1389" s="26" t="n">
        <x:v>0</x:v>
      </x:c>
      <x:c r="R1389" s="26" t="n">
        <x:v>0</x:v>
      </x:c>
      <x:c r="S1389" s="26" t="n">
        <x:v>-728</x:v>
      </x:c>
      <x:c r="T1389" s="26" t="n">
        <x:v>0</x:v>
      </x:c>
      <x:c r="U1389" s="26" t="n">
        <x:v>910</x:v>
      </x:c>
      <x:c r="V1389" s="26" t="n">
        <x:v>0</x:v>
      </x:c>
      <x:c r="W1389" s="26" t="n">
        <x:v>0</x:v>
      </x:c>
      <x:c r="X1389" s="26" t="n">
        <x:v>0</x:v>
      </x:c>
      <x:c r="Y1389" s="26" t="n">
        <x:v>0</x:v>
      </x:c>
      <x:c r="Z1389" s="35" t="str">
        <x:v>LN028 scheduled payment</x:v>
      </x:c>
    </x:row>
    <x:row r="1390">
      <x:c r="A1390" s="20" t="str">
        <x:v>FIN-01387</x:v>
      </x:c>
      <x:c r="B1390" s="23" t="n">
        <x:v>46650</x:v>
      </x:c>
      <x:c r="C1390" s="23" t="n">
        <x:v>46650</x:v>
      </x:c>
      <x:c r="D1390" s="20" t="str">
        <x:v>LoanPayment</x:v>
      </x:c>
      <x:c r="E1390" s="20" t="str">
        <x:v>Mortgage principal and interest</x:v>
      </x:c>
      <x:c r="F1390" s="20" t="str">
        <x:v>P029</x:v>
      </x:c>
      <x:c r="G1390" s="20" t="str"/>
      <x:c r="H1390" s="20" t="str"/>
      <x:c r="I1390" s="20" t="str">
        <x:v>First QA Mortgage</x:v>
      </x:c>
      <x:c r="J1390" s="35" t="str">
        <x:v>Recurring loan payment + scanned statement</x:v>
      </x:c>
      <x:c r="K1390" s="20" t="str">
        <x:v>SCN-0700</x:v>
      </x:c>
      <x:c r="L1390" s="20" t="str">
        <x:v>LN029-202709</x:v>
      </x:c>
      <x:c r="M1390" s="26" t="n">
        <x:v>1662</x:v>
      </x:c>
      <x:c r="N1390" s="26" t="n">
        <x:v>0</x:v>
      </x:c>
      <x:c r="O1390" s="26" t="n">
        <x:v>-1662</x:v>
      </x:c>
      <x:c r="P1390" s="26" t="n">
        <x:v>0</x:v>
      </x:c>
      <x:c r="Q1390" s="26" t="n">
        <x:v>0</x:v>
      </x:c>
      <x:c r="R1390" s="26" t="n">
        <x:v>0</x:v>
      </x:c>
      <x:c r="S1390" s="26" t="n">
        <x:v>-739</x:v>
      </x:c>
      <x:c r="T1390" s="26" t="n">
        <x:v>0</x:v>
      </x:c>
      <x:c r="U1390" s="26" t="n">
        <x:v>923</x:v>
      </x:c>
      <x:c r="V1390" s="26" t="n">
        <x:v>0</x:v>
      </x:c>
      <x:c r="W1390" s="26" t="n">
        <x:v>0</x:v>
      </x:c>
      <x:c r="X1390" s="26" t="n">
        <x:v>0</x:v>
      </x:c>
      <x:c r="Y1390" s="26" t="n">
        <x:v>0</x:v>
      </x:c>
      <x:c r="Z1390" s="35" t="str">
        <x:v>LN029 scheduled payment</x:v>
      </x:c>
    </x:row>
    <x:row r="1391">
      <x:c r="A1391" s="20" t="str">
        <x:v>FIN-01388</x:v>
      </x:c>
      <x:c r="B1391" s="23" t="n">
        <x:v>46655</x:v>
      </x:c>
      <x:c r="C1391" s="23" t="n">
        <x:v>46655</x:v>
      </x:c>
      <x:c r="D1391" s="20" t="str">
        <x:v>OwnerDistribution</x:v>
      </x:c>
      <x:c r="E1391" s="20" t="str">
        <x:v>Owner distribution</x:v>
      </x:c>
      <x:c r="F1391" s="20" t="str"/>
      <x:c r="G1391" s="20" t="str"/>
      <x:c r="H1391" s="20" t="str"/>
      <x:c r="I1391" s="20" t="str">
        <x:v>Blue Door Residential LLC</x:v>
      </x:c>
      <x:c r="J1391" s="35" t="str">
        <x:v>Manual approval and bank export</x:v>
      </x:c>
      <x:c r="K1391" s="20" t="str"/>
      <x:c r="L1391" s="20" t="str">
        <x:v>DIST-202709-O01</x:v>
      </x:c>
      <x:c r="M1391" s="26" t="n">
        <x:v>2850</x:v>
      </x:c>
      <x:c r="N1391" s="26" t="n">
        <x:v>0</x:v>
      </x:c>
      <x:c r="O1391" s="26" t="n">
        <x:v>-2850</x:v>
      </x:c>
      <x:c r="P1391" s="26" t="n">
        <x:v>0</x:v>
      </x:c>
      <x:c r="Q1391" s="26" t="n">
        <x:v>0</x:v>
      </x:c>
      <x:c r="R1391" s="26" t="n">
        <x:v>0</x:v>
      </x:c>
      <x:c r="S1391" s="26" t="n">
        <x:v>0</x:v>
      </x:c>
      <x:c r="T1391" s="26" t="n">
        <x:v>0</x:v>
      </x:c>
      <x:c r="U1391" s="26" t="n">
        <x:v>0</x:v>
      </x:c>
      <x:c r="V1391" s="26" t="n">
        <x:v>0</x:v>
      </x:c>
      <x:c r="W1391" s="26" t="n">
        <x:v>2850</x:v>
      </x:c>
      <x:c r="X1391" s="26" t="n">
        <x:v>0</x:v>
      </x:c>
      <x:c r="Y1391" s="26" t="n">
        <x:v>0</x:v>
      </x:c>
      <x:c r="Z1391" s="35" t="str">
        <x:v>Monthly distribution to Blue Door Residential LLC</x:v>
      </x:c>
    </x:row>
    <x:row r="1392">
      <x:c r="A1392" s="20" t="str">
        <x:v>FIN-01389</x:v>
      </x:c>
      <x:c r="B1392" s="23" t="n">
        <x:v>46655</x:v>
      </x:c>
      <x:c r="C1392" s="23" t="n">
        <x:v>46655</x:v>
      </x:c>
      <x:c r="D1392" s="20" t="str">
        <x:v>OwnerDistribution</x:v>
      </x:c>
      <x:c r="E1392" s="20" t="str">
        <x:v>Owner distribution</x:v>
      </x:c>
      <x:c r="F1392" s="20" t="str"/>
      <x:c r="G1392" s="20" t="str"/>
      <x:c r="H1392" s="20" t="str"/>
      <x:c r="I1392" s="20" t="str">
        <x:v>Coble Family Rentals LLC</x:v>
      </x:c>
      <x:c r="J1392" s="35" t="str">
        <x:v>Manual approval and bank export</x:v>
      </x:c>
      <x:c r="K1392" s="20" t="str"/>
      <x:c r="L1392" s="20" t="str">
        <x:v>DIST-202709-O02</x:v>
      </x:c>
      <x:c r="M1392" s="26" t="n">
        <x:v>3200</x:v>
      </x:c>
      <x:c r="N1392" s="26" t="n">
        <x:v>0</x:v>
      </x:c>
      <x:c r="O1392" s="26" t="n">
        <x:v>-3200</x:v>
      </x:c>
      <x:c r="P1392" s="26" t="n">
        <x:v>0</x:v>
      </x:c>
      <x:c r="Q1392" s="26" t="n">
        <x:v>0</x:v>
      </x:c>
      <x:c r="R1392" s="26" t="n">
        <x:v>0</x:v>
      </x:c>
      <x:c r="S1392" s="26" t="n">
        <x:v>0</x:v>
      </x:c>
      <x:c r="T1392" s="26" t="n">
        <x:v>0</x:v>
      </x:c>
      <x:c r="U1392" s="26" t="n">
        <x:v>0</x:v>
      </x:c>
      <x:c r="V1392" s="26" t="n">
        <x:v>0</x:v>
      </x:c>
      <x:c r="W1392" s="26" t="n">
        <x:v>3200</x:v>
      </x:c>
      <x:c r="X1392" s="26" t="n">
        <x:v>0</x:v>
      </x:c>
      <x:c r="Y1392" s="26" t="n">
        <x:v>0</x:v>
      </x:c>
      <x:c r="Z1392" s="35" t="str">
        <x:v>Monthly distribution to Coble Family Rentals LLC</x:v>
      </x:c>
    </x:row>
    <x:row r="1393">
      <x:c r="A1393" s="20" t="str">
        <x:v>FIN-01390</x:v>
      </x:c>
      <x:c r="B1393" s="23" t="n">
        <x:v>46655</x:v>
      </x:c>
      <x:c r="C1393" s="23" t="n">
        <x:v>46655</x:v>
      </x:c>
      <x:c r="D1393" s="20" t="str">
        <x:v>OwnerDistribution</x:v>
      </x:c>
      <x:c r="E1393" s="20" t="str">
        <x:v>Owner distribution</x:v>
      </x:c>
      <x:c r="F1393" s="20" t="str"/>
      <x:c r="G1393" s="20" t="str"/>
      <x:c r="H1393" s="20" t="str"/>
      <x:c r="I1393" s="20" t="str">
        <x:v>Northstar Property Partners LLC</x:v>
      </x:c>
      <x:c r="J1393" s="35" t="str">
        <x:v>Manual approval and bank export</x:v>
      </x:c>
      <x:c r="K1393" s="20" t="str"/>
      <x:c r="L1393" s="20" t="str">
        <x:v>DIST-202709-O03</x:v>
      </x:c>
      <x:c r="M1393" s="26" t="n">
        <x:v>3550</x:v>
      </x:c>
      <x:c r="N1393" s="26" t="n">
        <x:v>0</x:v>
      </x:c>
      <x:c r="O1393" s="26" t="n">
        <x:v>-3550</x:v>
      </x:c>
      <x:c r="P1393" s="26" t="n">
        <x:v>0</x:v>
      </x:c>
      <x:c r="Q1393" s="26" t="n">
        <x:v>0</x:v>
      </x:c>
      <x:c r="R1393" s="26" t="n">
        <x:v>0</x:v>
      </x:c>
      <x:c r="S1393" s="26" t="n">
        <x:v>0</x:v>
      </x:c>
      <x:c r="T1393" s="26" t="n">
        <x:v>0</x:v>
      </x:c>
      <x:c r="U1393" s="26" t="n">
        <x:v>0</x:v>
      </x:c>
      <x:c r="V1393" s="26" t="n">
        <x:v>0</x:v>
      </x:c>
      <x:c r="W1393" s="26" t="n">
        <x:v>3550</x:v>
      </x:c>
      <x:c r="X1393" s="26" t="n">
        <x:v>0</x:v>
      </x:c>
      <x:c r="Y1393" s="26" t="n">
        <x:v>0</x:v>
      </x:c>
      <x:c r="Z1393" s="35" t="str">
        <x:v>Monthly distribution to Northstar Property Partners LLC</x:v>
      </x:c>
    </x:row>
    <x:row r="1394">
      <x:c r="A1394" s="20" t="str">
        <x:v>FIN-01391</x:v>
      </x:c>
      <x:c r="B1394" s="23" t="n">
        <x:v>46655</x:v>
      </x:c>
      <x:c r="C1394" s="23" t="n">
        <x:v>46655</x:v>
      </x:c>
      <x:c r="D1394" s="20" t="str">
        <x:v>OwnerDistribution</x:v>
      </x:c>
      <x:c r="E1394" s="20" t="str">
        <x:v>Owner distribution</x:v>
      </x:c>
      <x:c r="F1394" s="20" t="str"/>
      <x:c r="G1394" s="20" t="str"/>
      <x:c r="H1394" s="20" t="str"/>
      <x:c r="I1394" s="20" t="str">
        <x:v>Riverbend Homes LLC</x:v>
      </x:c>
      <x:c r="J1394" s="35" t="str">
        <x:v>Manual approval and bank export</x:v>
      </x:c>
      <x:c r="K1394" s="20" t="str"/>
      <x:c r="L1394" s="20" t="str">
        <x:v>DIST-202709-O04</x:v>
      </x:c>
      <x:c r="M1394" s="26" t="n">
        <x:v>3900</x:v>
      </x:c>
      <x:c r="N1394" s="26" t="n">
        <x:v>0</x:v>
      </x:c>
      <x:c r="O1394" s="26" t="n">
        <x:v>-3900</x:v>
      </x:c>
      <x:c r="P1394" s="26" t="n">
        <x:v>0</x:v>
      </x:c>
      <x:c r="Q1394" s="26" t="n">
        <x:v>0</x:v>
      </x:c>
      <x:c r="R1394" s="26" t="n">
        <x:v>0</x:v>
      </x:c>
      <x:c r="S1394" s="26" t="n">
        <x:v>0</x:v>
      </x:c>
      <x:c r="T1394" s="26" t="n">
        <x:v>0</x:v>
      </x:c>
      <x:c r="U1394" s="26" t="n">
        <x:v>0</x:v>
      </x:c>
      <x:c r="V1394" s="26" t="n">
        <x:v>0</x:v>
      </x:c>
      <x:c r="W1394" s="26" t="n">
        <x:v>3900</x:v>
      </x:c>
      <x:c r="X1394" s="26" t="n">
        <x:v>0</x:v>
      </x:c>
      <x:c r="Y1394" s="26" t="n">
        <x:v>0</x:v>
      </x:c>
      <x:c r="Z1394" s="35" t="str">
        <x:v>Monthly distribution to Riverbend Homes LLC</x:v>
      </x:c>
    </x:row>
    <x:row r="1395">
      <x:c r="A1395" s="20" t="str">
        <x:v>FIN-01392</x:v>
      </x:c>
      <x:c r="B1395" s="23" t="n">
        <x:v>46655</x:v>
      </x:c>
      <x:c r="C1395" s="23" t="n">
        <x:v>46655</x:v>
      </x:c>
      <x:c r="D1395" s="20" t="str">
        <x:v>OwnerDistribution</x:v>
      </x:c>
      <x:c r="E1395" s="20" t="str">
        <x:v>Owner distribution</x:v>
      </x:c>
      <x:c r="F1395" s="20" t="str"/>
      <x:c r="G1395" s="20" t="str"/>
      <x:c r="H1395" s="20" t="str"/>
      <x:c r="I1395" s="20" t="str">
        <x:v>Juniper Street Holdings LLC</x:v>
      </x:c>
      <x:c r="J1395" s="35" t="str">
        <x:v>Manual approval and bank export</x:v>
      </x:c>
      <x:c r="K1395" s="20" t="str"/>
      <x:c r="L1395" s="20" t="str">
        <x:v>DIST-202709-O05</x:v>
      </x:c>
      <x:c r="M1395" s="26" t="n">
        <x:v>4250</x:v>
      </x:c>
      <x:c r="N1395" s="26" t="n">
        <x:v>0</x:v>
      </x:c>
      <x:c r="O1395" s="26" t="n">
        <x:v>-4250</x:v>
      </x:c>
      <x:c r="P1395" s="26" t="n">
        <x:v>0</x:v>
      </x:c>
      <x:c r="Q1395" s="26" t="n">
        <x:v>0</x:v>
      </x:c>
      <x:c r="R1395" s="26" t="n">
        <x:v>0</x:v>
      </x:c>
      <x:c r="S1395" s="26" t="n">
        <x:v>0</x:v>
      </x:c>
      <x:c r="T1395" s="26" t="n">
        <x:v>0</x:v>
      </x:c>
      <x:c r="U1395" s="26" t="n">
        <x:v>0</x:v>
      </x:c>
      <x:c r="V1395" s="26" t="n">
        <x:v>0</x:v>
      </x:c>
      <x:c r="W1395" s="26" t="n">
        <x:v>4250</x:v>
      </x:c>
      <x:c r="X1395" s="26" t="n">
        <x:v>0</x:v>
      </x:c>
      <x:c r="Y1395" s="26" t="n">
        <x:v>0</x:v>
      </x:c>
      <x:c r="Z1395" s="35" t="str">
        <x:v>Monthly distribution to Juniper Street Holdings LLC</x:v>
      </x:c>
    </x:row>
    <x:row r="1396">
      <x:c r="A1396" s="20" t="str">
        <x:v>FIN-01393</x:v>
      </x:c>
      <x:c r="B1396" s="23" t="n">
        <x:v>46660</x:v>
      </x:c>
      <x:c r="C1396" s="23" t="n">
        <x:v>46660</x:v>
      </x:c>
      <x:c r="D1396" s="20" t="str">
        <x:v>BankFee</x:v>
      </x:c>
      <x:c r="E1396" s="20" t="str">
        <x:v>Bank fee</x:v>
      </x:c>
      <x:c r="F1396" s="20" t="str"/>
      <x:c r="G1396" s="20" t="str"/>
      <x:c r="H1396" s="20" t="str"/>
      <x:c r="I1396" s="20" t="str">
        <x:v>First QA Bank</x:v>
      </x:c>
      <x:c r="J1396" s="35" t="str">
        <x:v>Bank statement match</x:v>
      </x:c>
      <x:c r="K1396" s="20" t="str">
        <x:v>SCN-0701</x:v>
      </x:c>
      <x:c r="L1396" s="20" t="str">
        <x:v>BANKFEE-202709</x:v>
      </x:c>
      <x:c r="M1396" s="26" t="n">
        <x:v>18</x:v>
      </x:c>
      <x:c r="N1396" s="26" t="n">
        <x:v>0</x:v>
      </x:c>
      <x:c r="O1396" s="26" t="n">
        <x:v>-18</x:v>
      </x:c>
      <x:c r="P1396" s="26" t="n">
        <x:v>0</x:v>
      </x:c>
      <x:c r="Q1396" s="26" t="n">
        <x:v>0</x:v>
      </x:c>
      <x:c r="R1396" s="26" t="n">
        <x:v>0</x:v>
      </x:c>
      <x:c r="S1396" s="26" t="n">
        <x:v>0</x:v>
      </x:c>
      <x:c r="T1396" s="26" t="n">
        <x:v>0</x:v>
      </x:c>
      <x:c r="U1396" s="26" t="n">
        <x:v>18</x:v>
      </x:c>
      <x:c r="V1396" s="26" t="n">
        <x:v>0</x:v>
      </x:c>
      <x:c r="W1396" s="26" t="n">
        <x:v>0</x:v>
      </x:c>
      <x:c r="X1396" s="26" t="n">
        <x:v>0</x:v>
      </x:c>
      <x:c r="Y1396" s="26" t="n">
        <x:v>0</x:v>
      </x:c>
      <x:c r="Z1396" s="35" t="str">
        <x:v>Quarterly account analysis fee</x:v>
      </x:c>
    </x:row>
    <x:row r="1397">
      <x:c r="A1397" s="20" t="str">
        <x:v>FIN-01394</x:v>
      </x:c>
      <x:c r="B1397" s="23" t="n">
        <x:v>46675</x:v>
      </x:c>
      <x:c r="C1397" s="23" t="n">
        <x:v>46675</x:v>
      </x:c>
      <x:c r="D1397" s="20" t="str">
        <x:v>OperatingExpense</x:v>
      </x:c>
      <x:c r="E1397" s="20" t="str">
        <x:v>Utilities</x:v>
      </x:c>
      <x:c r="F1397" s="20" t="str">
        <x:v>P021</x:v>
      </x:c>
      <x:c r="G1397" s="20" t="str"/>
      <x:c r="H1397" s="20" t="str"/>
      <x:c r="I1397" s="20" t="str">
        <x:v>City Water &amp; Sewer</x:v>
      </x:c>
      <x:c r="J1397" s="35" t="str">
        <x:v>Scanned receipt/invoice</x:v>
      </x:c>
      <x:c r="K1397" s="20" t="str">
        <x:v>SCN-0702</x:v>
      </x:c>
      <x:c r="L1397" s="20" t="str">
        <x:v>EXP-20271015-1201</x:v>
      </x:c>
      <x:c r="M1397" s="26" t="n">
        <x:v>145</x:v>
      </x:c>
      <x:c r="N1397" s="26" t="n">
        <x:v>0</x:v>
      </x:c>
      <x:c r="O1397" s="26" t="n">
        <x:v>-145</x:v>
      </x:c>
      <x:c r="P1397" s="26" t="n">
        <x:v>0</x:v>
      </x:c>
      <x:c r="Q1397" s="26" t="n">
        <x:v>0</x:v>
      </x:c>
      <x:c r="R1397" s="26" t="n">
        <x:v>0</x:v>
      </x:c>
      <x:c r="S1397" s="26" t="n">
        <x:v>0</x:v>
      </x:c>
      <x:c r="T1397" s="26" t="n">
        <x:v>0</x:v>
      </x:c>
      <x:c r="U1397" s="26" t="n">
        <x:v>145</x:v>
      </x:c>
      <x:c r="V1397" s="26" t="n">
        <x:v>0</x:v>
      </x:c>
      <x:c r="W1397" s="26" t="n">
        <x:v>0</x:v>
      </x:c>
      <x:c r="X1397" s="26" t="n">
        <x:v>0</x:v>
      </x:c>
      <x:c r="Y1397" s="26" t="n">
        <x:v>0</x:v>
      </x:c>
      <x:c r="Z1397" s="35" t="str">
        <x:v>City Water &amp; Sewer</x:v>
      </x:c>
    </x:row>
    <x:row r="1398">
      <x:c r="A1398" s="20" t="str">
        <x:v>FIN-01395</x:v>
      </x:c>
      <x:c r="B1398" s="23" t="n">
        <x:v>46675</x:v>
      </x:c>
      <x:c r="C1398" s="23" t="n">
        <x:v>46675</x:v>
      </x:c>
      <x:c r="D1398" s="20" t="str">
        <x:v>OperatingExpense</x:v>
      </x:c>
      <x:c r="E1398" s="20" t="str">
        <x:v>Utilities</x:v>
      </x:c>
      <x:c r="F1398" s="20" t="str">
        <x:v>P022</x:v>
      </x:c>
      <x:c r="G1398" s="20" t="str"/>
      <x:c r="H1398" s="20" t="str"/>
      <x:c r="I1398" s="20" t="str">
        <x:v>City Water &amp; Sewer</x:v>
      </x:c>
      <x:c r="J1398" s="35" t="str">
        <x:v>Scanned receipt/invoice</x:v>
      </x:c>
      <x:c r="K1398" s="20" t="str">
        <x:v>SCN-0703</x:v>
      </x:c>
      <x:c r="L1398" s="20" t="str">
        <x:v>EXP-20271015-1202</x:v>
      </x:c>
      <x:c r="M1398" s="26" t="n">
        <x:v>152</x:v>
      </x:c>
      <x:c r="N1398" s="26" t="n">
        <x:v>0</x:v>
      </x:c>
      <x:c r="O1398" s="26" t="n">
        <x:v>-152</x:v>
      </x:c>
      <x:c r="P1398" s="26" t="n">
        <x:v>0</x:v>
      </x:c>
      <x:c r="Q1398" s="26" t="n">
        <x:v>0</x:v>
      </x:c>
      <x:c r="R1398" s="26" t="n">
        <x:v>0</x:v>
      </x:c>
      <x:c r="S1398" s="26" t="n">
        <x:v>0</x:v>
      </x:c>
      <x:c r="T1398" s="26" t="n">
        <x:v>0</x:v>
      </x:c>
      <x:c r="U1398" s="26" t="n">
        <x:v>152</x:v>
      </x:c>
      <x:c r="V1398" s="26" t="n">
        <x:v>0</x:v>
      </x:c>
      <x:c r="W1398" s="26" t="n">
        <x:v>0</x:v>
      </x:c>
      <x:c r="X1398" s="26" t="n">
        <x:v>0</x:v>
      </x:c>
      <x:c r="Y1398" s="26" t="n">
        <x:v>0</x:v>
      </x:c>
      <x:c r="Z1398" s="35" t="str">
        <x:v>City Water &amp; Sewer</x:v>
      </x:c>
    </x:row>
    <x:row r="1399">
      <x:c r="A1399" s="20" t="str">
        <x:v>FIN-01396</x:v>
      </x:c>
      <x:c r="B1399" s="23" t="n">
        <x:v>46675</x:v>
      </x:c>
      <x:c r="C1399" s="23" t="n">
        <x:v>46675</x:v>
      </x:c>
      <x:c r="D1399" s="20" t="str">
        <x:v>OperatingExpense</x:v>
      </x:c>
      <x:c r="E1399" s="20" t="str">
        <x:v>Utilities</x:v>
      </x:c>
      <x:c r="F1399" s="20" t="str">
        <x:v>P023</x:v>
      </x:c>
      <x:c r="G1399" s="20" t="str"/>
      <x:c r="H1399" s="20" t="str"/>
      <x:c r="I1399" s="20" t="str">
        <x:v>City Water &amp; Sewer</x:v>
      </x:c>
      <x:c r="J1399" s="35" t="str">
        <x:v>Scanned receipt/invoice</x:v>
      </x:c>
      <x:c r="K1399" s="20" t="str">
        <x:v>SCN-0704</x:v>
      </x:c>
      <x:c r="L1399" s="20" t="str">
        <x:v>EXP-20271015-1203</x:v>
      </x:c>
      <x:c r="M1399" s="26" t="n">
        <x:v>159</x:v>
      </x:c>
      <x:c r="N1399" s="26" t="n">
        <x:v>0</x:v>
      </x:c>
      <x:c r="O1399" s="26" t="n">
        <x:v>-159</x:v>
      </x:c>
      <x:c r="P1399" s="26" t="n">
        <x:v>0</x:v>
      </x:c>
      <x:c r="Q1399" s="26" t="n">
        <x:v>0</x:v>
      </x:c>
      <x:c r="R1399" s="26" t="n">
        <x:v>0</x:v>
      </x:c>
      <x:c r="S1399" s="26" t="n">
        <x:v>0</x:v>
      </x:c>
      <x:c r="T1399" s="26" t="n">
        <x:v>0</x:v>
      </x:c>
      <x:c r="U1399" s="26" t="n">
        <x:v>159</x:v>
      </x:c>
      <x:c r="V1399" s="26" t="n">
        <x:v>0</x:v>
      </x:c>
      <x:c r="W1399" s="26" t="n">
        <x:v>0</x:v>
      </x:c>
      <x:c r="X1399" s="26" t="n">
        <x:v>0</x:v>
      </x:c>
      <x:c r="Y1399" s="26" t="n">
        <x:v>0</x:v>
      </x:c>
      <x:c r="Z1399" s="35" t="str">
        <x:v>City Water &amp; Sewer</x:v>
      </x:c>
    </x:row>
    <x:row r="1400">
      <x:c r="A1400" s="20" t="str">
        <x:v>FIN-01397</x:v>
      </x:c>
      <x:c r="B1400" s="23" t="n">
        <x:v>46675</x:v>
      </x:c>
      <x:c r="C1400" s="23" t="n">
        <x:v>46675</x:v>
      </x:c>
      <x:c r="D1400" s="20" t="str">
        <x:v>OperatingExpense</x:v>
      </x:c>
      <x:c r="E1400" s="20" t="str">
        <x:v>Utilities</x:v>
      </x:c>
      <x:c r="F1400" s="20" t="str">
        <x:v>P024</x:v>
      </x:c>
      <x:c r="G1400" s="20" t="str"/>
      <x:c r="H1400" s="20" t="str"/>
      <x:c r="I1400" s="20" t="str">
        <x:v>City Water &amp; Sewer</x:v>
      </x:c>
      <x:c r="J1400" s="35" t="str">
        <x:v>Scanned receipt/invoice</x:v>
      </x:c>
      <x:c r="K1400" s="20" t="str">
        <x:v>SCN-0705</x:v>
      </x:c>
      <x:c r="L1400" s="20" t="str">
        <x:v>EXP-20271015-1204</x:v>
      </x:c>
      <x:c r="M1400" s="26" t="n">
        <x:v>166</x:v>
      </x:c>
      <x:c r="N1400" s="26" t="n">
        <x:v>0</x:v>
      </x:c>
      <x:c r="O1400" s="26" t="n">
        <x:v>-166</x:v>
      </x:c>
      <x:c r="P1400" s="26" t="n">
        <x:v>0</x:v>
      </x:c>
      <x:c r="Q1400" s="26" t="n">
        <x:v>0</x:v>
      </x:c>
      <x:c r="R1400" s="26" t="n">
        <x:v>0</x:v>
      </x:c>
      <x:c r="S1400" s="26" t="n">
        <x:v>0</x:v>
      </x:c>
      <x:c r="T1400" s="26" t="n">
        <x:v>0</x:v>
      </x:c>
      <x:c r="U1400" s="26" t="n">
        <x:v>166</x:v>
      </x:c>
      <x:c r="V1400" s="26" t="n">
        <x:v>0</x:v>
      </x:c>
      <x:c r="W1400" s="26" t="n">
        <x:v>0</x:v>
      </x:c>
      <x:c r="X1400" s="26" t="n">
        <x:v>0</x:v>
      </x:c>
      <x:c r="Y1400" s="26" t="n">
        <x:v>0</x:v>
      </x:c>
      <x:c r="Z1400" s="35" t="str">
        <x:v>City Water &amp; Sewer</x:v>
      </x:c>
    </x:row>
    <x:row r="1401">
      <x:c r="A1401" s="20" t="str">
        <x:v>FIN-01398</x:v>
      </x:c>
      <x:c r="B1401" s="23" t="n">
        <x:v>46675</x:v>
      </x:c>
      <x:c r="C1401" s="23" t="n">
        <x:v>46675</x:v>
      </x:c>
      <x:c r="D1401" s="20" t="str">
        <x:v>OperatingExpense</x:v>
      </x:c>
      <x:c r="E1401" s="20" t="str">
        <x:v>Utilities</x:v>
      </x:c>
      <x:c r="F1401" s="20" t="str">
        <x:v>P025</x:v>
      </x:c>
      <x:c r="G1401" s="20" t="str"/>
      <x:c r="H1401" s="20" t="str"/>
      <x:c r="I1401" s="20" t="str">
        <x:v>City Water &amp; Sewer</x:v>
      </x:c>
      <x:c r="J1401" s="35" t="str">
        <x:v>Manual web form</x:v>
      </x:c>
      <x:c r="K1401" s="20" t="str"/>
      <x:c r="L1401" s="20" t="str">
        <x:v>EXP-20271015-1205</x:v>
      </x:c>
      <x:c r="M1401" s="26" t="n">
        <x:v>173</x:v>
      </x:c>
      <x:c r="N1401" s="26" t="n">
        <x:v>0</x:v>
      </x:c>
      <x:c r="O1401" s="26" t="n">
        <x:v>-173</x:v>
      </x:c>
      <x:c r="P1401" s="26" t="n">
        <x:v>0</x:v>
      </x:c>
      <x:c r="Q1401" s="26" t="n">
        <x:v>0</x:v>
      </x:c>
      <x:c r="R1401" s="26" t="n">
        <x:v>0</x:v>
      </x:c>
      <x:c r="S1401" s="26" t="n">
        <x:v>0</x:v>
      </x:c>
      <x:c r="T1401" s="26" t="n">
        <x:v>0</x:v>
      </x:c>
      <x:c r="U1401" s="26" t="n">
        <x:v>173</x:v>
      </x:c>
      <x:c r="V1401" s="26" t="n">
        <x:v>0</x:v>
      </x:c>
      <x:c r="W1401" s="26" t="n">
        <x:v>0</x:v>
      </x:c>
      <x:c r="X1401" s="26" t="n">
        <x:v>0</x:v>
      </x:c>
      <x:c r="Y1401" s="26" t="n">
        <x:v>0</x:v>
      </x:c>
      <x:c r="Z1401" s="35" t="str">
        <x:v>City Water &amp; Sewer</x:v>
      </x:c>
    </x:row>
    <x:row r="1402">
      <x:c r="A1402" s="20" t="str">
        <x:v>FIN-01399</x:v>
      </x:c>
      <x:c r="B1402" s="23" t="n">
        <x:v>46675</x:v>
      </x:c>
      <x:c r="C1402" s="23" t="n">
        <x:v>46675</x:v>
      </x:c>
      <x:c r="D1402" s="20" t="str">
        <x:v>OperatingExpense</x:v>
      </x:c>
      <x:c r="E1402" s="20" t="str">
        <x:v>Utilities</x:v>
      </x:c>
      <x:c r="F1402" s="20" t="str">
        <x:v>P026</x:v>
      </x:c>
      <x:c r="G1402" s="20" t="str"/>
      <x:c r="H1402" s="20" t="str"/>
      <x:c r="I1402" s="20" t="str">
        <x:v>City Water &amp; Sewer</x:v>
      </x:c>
      <x:c r="J1402" s="35" t="str">
        <x:v>Scanned receipt/invoice</x:v>
      </x:c>
      <x:c r="K1402" s="20" t="str">
        <x:v>SCN-0706</x:v>
      </x:c>
      <x:c r="L1402" s="20" t="str">
        <x:v>EXP-20271015-1206</x:v>
      </x:c>
      <x:c r="M1402" s="26" t="n">
        <x:v>180</x:v>
      </x:c>
      <x:c r="N1402" s="26" t="n">
        <x:v>0</x:v>
      </x:c>
      <x:c r="O1402" s="26" t="n">
        <x:v>-180</x:v>
      </x:c>
      <x:c r="P1402" s="26" t="n">
        <x:v>0</x:v>
      </x:c>
      <x:c r="Q1402" s="26" t="n">
        <x:v>0</x:v>
      </x:c>
      <x:c r="R1402" s="26" t="n">
        <x:v>0</x:v>
      </x:c>
      <x:c r="S1402" s="26" t="n">
        <x:v>0</x:v>
      </x:c>
      <x:c r="T1402" s="26" t="n">
        <x:v>0</x:v>
      </x:c>
      <x:c r="U1402" s="26" t="n">
        <x:v>180</x:v>
      </x:c>
      <x:c r="V1402" s="26" t="n">
        <x:v>0</x:v>
      </x:c>
      <x:c r="W1402" s="26" t="n">
        <x:v>0</x:v>
      </x:c>
      <x:c r="X1402" s="26" t="n">
        <x:v>0</x:v>
      </x:c>
      <x:c r="Y1402" s="26" t="n">
        <x:v>0</x:v>
      </x:c>
      <x:c r="Z1402" s="35" t="str">
        <x:v>City Water &amp; Sewer</x:v>
      </x:c>
    </x:row>
    <x:row r="1403">
      <x:c r="A1403" s="20" t="str">
        <x:v>FIN-01400</x:v>
      </x:c>
      <x:c r="B1403" s="23" t="n">
        <x:v>46675</x:v>
      </x:c>
      <x:c r="C1403" s="23" t="n">
        <x:v>46675</x:v>
      </x:c>
      <x:c r="D1403" s="20" t="str">
        <x:v>OperatingExpense</x:v>
      </x:c>
      <x:c r="E1403" s="20" t="str">
        <x:v>Utilities</x:v>
      </x:c>
      <x:c r="F1403" s="20" t="str">
        <x:v>P027</x:v>
      </x:c>
      <x:c r="G1403" s="20" t="str"/>
      <x:c r="H1403" s="20" t="str"/>
      <x:c r="I1403" s="20" t="str">
        <x:v>City Water &amp; Sewer</x:v>
      </x:c>
      <x:c r="J1403" s="35" t="str">
        <x:v>Scanned receipt/invoice</x:v>
      </x:c>
      <x:c r="K1403" s="20" t="str">
        <x:v>SCN-0707</x:v>
      </x:c>
      <x:c r="L1403" s="20" t="str">
        <x:v>EXP-20271015-1207</x:v>
      </x:c>
      <x:c r="M1403" s="26" t="n">
        <x:v>187</x:v>
      </x:c>
      <x:c r="N1403" s="26" t="n">
        <x:v>0</x:v>
      </x:c>
      <x:c r="O1403" s="26" t="n">
        <x:v>-187</x:v>
      </x:c>
      <x:c r="P1403" s="26" t="n">
        <x:v>0</x:v>
      </x:c>
      <x:c r="Q1403" s="26" t="n">
        <x:v>0</x:v>
      </x:c>
      <x:c r="R1403" s="26" t="n">
        <x:v>0</x:v>
      </x:c>
      <x:c r="S1403" s="26" t="n">
        <x:v>0</x:v>
      </x:c>
      <x:c r="T1403" s="26" t="n">
        <x:v>0</x:v>
      </x:c>
      <x:c r="U1403" s="26" t="n">
        <x:v>187</x:v>
      </x:c>
      <x:c r="V1403" s="26" t="n">
        <x:v>0</x:v>
      </x:c>
      <x:c r="W1403" s="26" t="n">
        <x:v>0</x:v>
      </x:c>
      <x:c r="X1403" s="26" t="n">
        <x:v>0</x:v>
      </x:c>
      <x:c r="Y1403" s="26" t="n">
        <x:v>0</x:v>
      </x:c>
      <x:c r="Z1403" s="35" t="str">
        <x:v>City Water &amp; Sewer</x:v>
      </x:c>
    </x:row>
    <x:row r="1404">
      <x:c r="A1404" s="20" t="str">
        <x:v>FIN-01401</x:v>
      </x:c>
      <x:c r="B1404" s="23" t="n">
        <x:v>46675</x:v>
      </x:c>
      <x:c r="C1404" s="23" t="n">
        <x:v>46675</x:v>
      </x:c>
      <x:c r="D1404" s="20" t="str">
        <x:v>OperatingExpense</x:v>
      </x:c>
      <x:c r="E1404" s="20" t="str">
        <x:v>Utilities</x:v>
      </x:c>
      <x:c r="F1404" s="20" t="str">
        <x:v>P028</x:v>
      </x:c>
      <x:c r="G1404" s="20" t="str"/>
      <x:c r="H1404" s="20" t="str"/>
      <x:c r="I1404" s="20" t="str">
        <x:v>City Water &amp; Sewer</x:v>
      </x:c>
      <x:c r="J1404" s="35" t="str">
        <x:v>Scanned receipt/invoice</x:v>
      </x:c>
      <x:c r="K1404" s="20" t="str">
        <x:v>SCN-0708</x:v>
      </x:c>
      <x:c r="L1404" s="20" t="str">
        <x:v>EXP-20271015-1208</x:v>
      </x:c>
      <x:c r="M1404" s="26" t="n">
        <x:v>194</x:v>
      </x:c>
      <x:c r="N1404" s="26" t="n">
        <x:v>0</x:v>
      </x:c>
      <x:c r="O1404" s="26" t="n">
        <x:v>-194</x:v>
      </x:c>
      <x:c r="P1404" s="26" t="n">
        <x:v>0</x:v>
      </x:c>
      <x:c r="Q1404" s="26" t="n">
        <x:v>0</x:v>
      </x:c>
      <x:c r="R1404" s="26" t="n">
        <x:v>0</x:v>
      </x:c>
      <x:c r="S1404" s="26" t="n">
        <x:v>0</x:v>
      </x:c>
      <x:c r="T1404" s="26" t="n">
        <x:v>0</x:v>
      </x:c>
      <x:c r="U1404" s="26" t="n">
        <x:v>194</x:v>
      </x:c>
      <x:c r="V1404" s="26" t="n">
        <x:v>0</x:v>
      </x:c>
      <x:c r="W1404" s="26" t="n">
        <x:v>0</x:v>
      </x:c>
      <x:c r="X1404" s="26" t="n">
        <x:v>0</x:v>
      </x:c>
      <x:c r="Y1404" s="26" t="n">
        <x:v>0</x:v>
      </x:c>
      <x:c r="Z1404" s="35" t="str">
        <x:v>City Water &amp; Sewer</x:v>
      </x:c>
    </x:row>
    <x:row r="1405">
      <x:c r="A1405" s="20" t="str">
        <x:v>FIN-01402</x:v>
      </x:c>
      <x:c r="B1405" s="23" t="n">
        <x:v>46675</x:v>
      </x:c>
      <x:c r="C1405" s="23" t="n">
        <x:v>46675</x:v>
      </x:c>
      <x:c r="D1405" s="20" t="str">
        <x:v>OperatingExpense</x:v>
      </x:c>
      <x:c r="E1405" s="20" t="str">
        <x:v>Utilities</x:v>
      </x:c>
      <x:c r="F1405" s="20" t="str">
        <x:v>P029</x:v>
      </x:c>
      <x:c r="G1405" s="20" t="str"/>
      <x:c r="H1405" s="20" t="str"/>
      <x:c r="I1405" s="20" t="str">
        <x:v>City Water &amp; Sewer</x:v>
      </x:c>
      <x:c r="J1405" s="35" t="str">
        <x:v>Scanned receipt/invoice</x:v>
      </x:c>
      <x:c r="K1405" s="20" t="str">
        <x:v>SCN-0709</x:v>
      </x:c>
      <x:c r="L1405" s="20" t="str">
        <x:v>EXP-20271015-1209</x:v>
      </x:c>
      <x:c r="M1405" s="26" t="n">
        <x:v>201</x:v>
      </x:c>
      <x:c r="N1405" s="26" t="n">
        <x:v>0</x:v>
      </x:c>
      <x:c r="O1405" s="26" t="n">
        <x:v>-201</x:v>
      </x:c>
      <x:c r="P1405" s="26" t="n">
        <x:v>0</x:v>
      </x:c>
      <x:c r="Q1405" s="26" t="n">
        <x:v>0</x:v>
      </x:c>
      <x:c r="R1405" s="26" t="n">
        <x:v>0</x:v>
      </x:c>
      <x:c r="S1405" s="26" t="n">
        <x:v>0</x:v>
      </x:c>
      <x:c r="T1405" s="26" t="n">
        <x:v>0</x:v>
      </x:c>
      <x:c r="U1405" s="26" t="n">
        <x:v>201</x:v>
      </x:c>
      <x:c r="V1405" s="26" t="n">
        <x:v>0</x:v>
      </x:c>
      <x:c r="W1405" s="26" t="n">
        <x:v>0</x:v>
      </x:c>
      <x:c r="X1405" s="26" t="n">
        <x:v>0</x:v>
      </x:c>
      <x:c r="Y1405" s="26" t="n">
        <x:v>0</x:v>
      </x:c>
      <x:c r="Z1405" s="35" t="str">
        <x:v>City Water &amp; Sewer</x:v>
      </x:c>
    </x:row>
    <x:row r="1406">
      <x:c r="A1406" s="20" t="str">
        <x:v>FIN-01403</x:v>
      </x:c>
      <x:c r="B1406" s="23" t="n">
        <x:v>46675</x:v>
      </x:c>
      <x:c r="C1406" s="23" t="n">
        <x:v>46675</x:v>
      </x:c>
      <x:c r="D1406" s="20" t="str">
        <x:v>OperatingExpense</x:v>
      </x:c>
      <x:c r="E1406" s="20" t="str">
        <x:v>Utilities</x:v>
      </x:c>
      <x:c r="F1406" s="20" t="str">
        <x:v>P030</x:v>
      </x:c>
      <x:c r="G1406" s="20" t="str"/>
      <x:c r="H1406" s="20" t="str"/>
      <x:c r="I1406" s="20" t="str">
        <x:v>City Water &amp; Sewer</x:v>
      </x:c>
      <x:c r="J1406" s="35" t="str">
        <x:v>Manual mobile form</x:v>
      </x:c>
      <x:c r="K1406" s="20" t="str"/>
      <x:c r="L1406" s="20" t="str">
        <x:v>EXP-20271015-1210</x:v>
      </x:c>
      <x:c r="M1406" s="26" t="n">
        <x:v>118</x:v>
      </x:c>
      <x:c r="N1406" s="26" t="n">
        <x:v>0</x:v>
      </x:c>
      <x:c r="O1406" s="26" t="n">
        <x:v>-118</x:v>
      </x:c>
      <x:c r="P1406" s="26" t="n">
        <x:v>0</x:v>
      </x:c>
      <x:c r="Q1406" s="26" t="n">
        <x:v>0</x:v>
      </x:c>
      <x:c r="R1406" s="26" t="n">
        <x:v>0</x:v>
      </x:c>
      <x:c r="S1406" s="26" t="n">
        <x:v>0</x:v>
      </x:c>
      <x:c r="T1406" s="26" t="n">
        <x:v>0</x:v>
      </x:c>
      <x:c r="U1406" s="26" t="n">
        <x:v>118</x:v>
      </x:c>
      <x:c r="V1406" s="26" t="n">
        <x:v>0</x:v>
      </x:c>
      <x:c r="W1406" s="26" t="n">
        <x:v>0</x:v>
      </x:c>
      <x:c r="X1406" s="26" t="n">
        <x:v>0</x:v>
      </x:c>
      <x:c r="Y1406" s="26" t="n">
        <x:v>0</x:v>
      </x:c>
      <x:c r="Z1406" s="35" t="str">
        <x:v>City Water &amp; Sewer</x:v>
      </x:c>
    </x:row>
    <x:row r="1407">
      <x:c r="A1407" s="20" t="str">
        <x:v>FIN-01404</x:v>
      </x:c>
      <x:c r="B1407" s="23" t="n">
        <x:v>46680</x:v>
      </x:c>
      <x:c r="C1407" s="23" t="n">
        <x:v>46680</x:v>
      </x:c>
      <x:c r="D1407" s="20" t="str">
        <x:v>LoanPayment</x:v>
      </x:c>
      <x:c r="E1407" s="20" t="str">
        <x:v>Mortgage principal and interest</x:v>
      </x:c>
      <x:c r="F1407" s="20" t="str">
        <x:v>P001</x:v>
      </x:c>
      <x:c r="G1407" s="20" t="str"/>
      <x:c r="H1407" s="20" t="str"/>
      <x:c r="I1407" s="20" t="str">
        <x:v>First QA Mortgage</x:v>
      </x:c>
      <x:c r="J1407" s="35" t="str">
        <x:v>Recurring loan payment + scanned statement</x:v>
      </x:c>
      <x:c r="K1407" s="20" t="str">
        <x:v>SCN-0710</x:v>
      </x:c>
      <x:c r="L1407" s="20" t="str">
        <x:v>LN001-202710</x:v>
      </x:c>
      <x:c r="M1407" s="26" t="n">
        <x:v>982</x:v>
      </x:c>
      <x:c r="N1407" s="26" t="n">
        <x:v>0</x:v>
      </x:c>
      <x:c r="O1407" s="26" t="n">
        <x:v>-982</x:v>
      </x:c>
      <x:c r="P1407" s="26" t="n">
        <x:v>0</x:v>
      </x:c>
      <x:c r="Q1407" s="26" t="n">
        <x:v>0</x:v>
      </x:c>
      <x:c r="R1407" s="26" t="n">
        <x:v>0</x:v>
      </x:c>
      <x:c r="S1407" s="26" t="n">
        <x:v>-431</x:v>
      </x:c>
      <x:c r="T1407" s="26" t="n">
        <x:v>0</x:v>
      </x:c>
      <x:c r="U1407" s="26" t="n">
        <x:v>551</x:v>
      </x:c>
      <x:c r="V1407" s="26" t="n">
        <x:v>0</x:v>
      </x:c>
      <x:c r="W1407" s="26" t="n">
        <x:v>0</x:v>
      </x:c>
      <x:c r="X1407" s="26" t="n">
        <x:v>0</x:v>
      </x:c>
      <x:c r="Y1407" s="26" t="n">
        <x:v>0</x:v>
      </x:c>
      <x:c r="Z1407" s="35" t="str">
        <x:v>LN001 scheduled payment</x:v>
      </x:c>
    </x:row>
    <x:row r="1408">
      <x:c r="A1408" s="20" t="str">
        <x:v>FIN-01405</x:v>
      </x:c>
      <x:c r="B1408" s="23" t="n">
        <x:v>46680</x:v>
      </x:c>
      <x:c r="C1408" s="23" t="n">
        <x:v>46680</x:v>
      </x:c>
      <x:c r="D1408" s="20" t="str">
        <x:v>LoanPayment</x:v>
      </x:c>
      <x:c r="E1408" s="20" t="str">
        <x:v>Mortgage principal and interest</x:v>
      </x:c>
      <x:c r="F1408" s="20" t="str">
        <x:v>P002</x:v>
      </x:c>
      <x:c r="G1408" s="20" t="str"/>
      <x:c r="H1408" s="20" t="str"/>
      <x:c r="I1408" s="20" t="str">
        <x:v>First QA Mortgage</x:v>
      </x:c>
      <x:c r="J1408" s="35" t="str">
        <x:v>Recurring loan payment + scanned statement</x:v>
      </x:c>
      <x:c r="K1408" s="20" t="str">
        <x:v>SCN-0711</x:v>
      </x:c>
      <x:c r="L1408" s="20" t="str">
        <x:v>LN002-202710</x:v>
      </x:c>
      <x:c r="M1408" s="26" t="n">
        <x:v>1006</x:v>
      </x:c>
      <x:c r="N1408" s="26" t="n">
        <x:v>0</x:v>
      </x:c>
      <x:c r="O1408" s="26" t="n">
        <x:v>-1006</x:v>
      </x:c>
      <x:c r="P1408" s="26" t="n">
        <x:v>0</x:v>
      </x:c>
      <x:c r="Q1408" s="26" t="n">
        <x:v>0</x:v>
      </x:c>
      <x:c r="R1408" s="26" t="n">
        <x:v>0</x:v>
      </x:c>
      <x:c r="S1408" s="26" t="n">
        <x:v>-442</x:v>
      </x:c>
      <x:c r="T1408" s="26" t="n">
        <x:v>0</x:v>
      </x:c>
      <x:c r="U1408" s="26" t="n">
        <x:v>564</x:v>
      </x:c>
      <x:c r="V1408" s="26" t="n">
        <x:v>0</x:v>
      </x:c>
      <x:c r="W1408" s="26" t="n">
        <x:v>0</x:v>
      </x:c>
      <x:c r="X1408" s="26" t="n">
        <x:v>0</x:v>
      </x:c>
      <x:c r="Y1408" s="26" t="n">
        <x:v>0</x:v>
      </x:c>
      <x:c r="Z1408" s="35" t="str">
        <x:v>LN002 scheduled payment</x:v>
      </x:c>
    </x:row>
    <x:row r="1409">
      <x:c r="A1409" s="20" t="str">
        <x:v>FIN-01406</x:v>
      </x:c>
      <x:c r="B1409" s="23" t="n">
        <x:v>46680</x:v>
      </x:c>
      <x:c r="C1409" s="23" t="n">
        <x:v>46680</x:v>
      </x:c>
      <x:c r="D1409" s="20" t="str">
        <x:v>LoanPayment</x:v>
      </x:c>
      <x:c r="E1409" s="20" t="str">
        <x:v>Mortgage principal and interest</x:v>
      </x:c>
      <x:c r="F1409" s="20" t="str">
        <x:v>P004</x:v>
      </x:c>
      <x:c r="G1409" s="20" t="str"/>
      <x:c r="H1409" s="20" t="str"/>
      <x:c r="I1409" s="20" t="str">
        <x:v>First QA Mortgage</x:v>
      </x:c>
      <x:c r="J1409" s="35" t="str">
        <x:v>Recurring loan payment + scanned statement</x:v>
      </x:c>
      <x:c r="K1409" s="20" t="str">
        <x:v>SCN-0712</x:v>
      </x:c>
      <x:c r="L1409" s="20" t="str">
        <x:v>LN004-202710</x:v>
      </x:c>
      <x:c r="M1409" s="26" t="n">
        <x:v>1054</x:v>
      </x:c>
      <x:c r="N1409" s="26" t="n">
        <x:v>0</x:v>
      </x:c>
      <x:c r="O1409" s="26" t="n">
        <x:v>-1054</x:v>
      </x:c>
      <x:c r="P1409" s="26" t="n">
        <x:v>0</x:v>
      </x:c>
      <x:c r="Q1409" s="26" t="n">
        <x:v>0</x:v>
      </x:c>
      <x:c r="R1409" s="26" t="n">
        <x:v>0</x:v>
      </x:c>
      <x:c r="S1409" s="26" t="n">
        <x:v>-464</x:v>
      </x:c>
      <x:c r="T1409" s="26" t="n">
        <x:v>0</x:v>
      </x:c>
      <x:c r="U1409" s="26" t="n">
        <x:v>590</x:v>
      </x:c>
      <x:c r="V1409" s="26" t="n">
        <x:v>0</x:v>
      </x:c>
      <x:c r="W1409" s="26" t="n">
        <x:v>0</x:v>
      </x:c>
      <x:c r="X1409" s="26" t="n">
        <x:v>0</x:v>
      </x:c>
      <x:c r="Y1409" s="26" t="n">
        <x:v>0</x:v>
      </x:c>
      <x:c r="Z1409" s="35" t="str">
        <x:v>LN004 scheduled payment</x:v>
      </x:c>
    </x:row>
    <x:row r="1410">
      <x:c r="A1410" s="20" t="str">
        <x:v>FIN-01407</x:v>
      </x:c>
      <x:c r="B1410" s="23" t="n">
        <x:v>46680</x:v>
      </x:c>
      <x:c r="C1410" s="23" t="n">
        <x:v>46680</x:v>
      </x:c>
      <x:c r="D1410" s="20" t="str">
        <x:v>LoanPayment</x:v>
      </x:c>
      <x:c r="E1410" s="20" t="str">
        <x:v>Mortgage principal and interest</x:v>
      </x:c>
      <x:c r="F1410" s="20" t="str">
        <x:v>P005</x:v>
      </x:c>
      <x:c r="G1410" s="20" t="str"/>
      <x:c r="H1410" s="20" t="str"/>
      <x:c r="I1410" s="20" t="str">
        <x:v>First QA Mortgage</x:v>
      </x:c>
      <x:c r="J1410" s="35" t="str">
        <x:v>Recurring loan payment + scanned statement</x:v>
      </x:c>
      <x:c r="K1410" s="20" t="str">
        <x:v>SCN-0713</x:v>
      </x:c>
      <x:c r="L1410" s="20" t="str">
        <x:v>LN005-202710</x:v>
      </x:c>
      <x:c r="M1410" s="26" t="n">
        <x:v>1078</x:v>
      </x:c>
      <x:c r="N1410" s="26" t="n">
        <x:v>0</x:v>
      </x:c>
      <x:c r="O1410" s="26" t="n">
        <x:v>-1078</x:v>
      </x:c>
      <x:c r="P1410" s="26" t="n">
        <x:v>0</x:v>
      </x:c>
      <x:c r="Q1410" s="26" t="n">
        <x:v>0</x:v>
      </x:c>
      <x:c r="R1410" s="26" t="n">
        <x:v>0</x:v>
      </x:c>
      <x:c r="S1410" s="26" t="n">
        <x:v>-475</x:v>
      </x:c>
      <x:c r="T1410" s="26" t="n">
        <x:v>0</x:v>
      </x:c>
      <x:c r="U1410" s="26" t="n">
        <x:v>603</x:v>
      </x:c>
      <x:c r="V1410" s="26" t="n">
        <x:v>0</x:v>
      </x:c>
      <x:c r="W1410" s="26" t="n">
        <x:v>0</x:v>
      </x:c>
      <x:c r="X1410" s="26" t="n">
        <x:v>0</x:v>
      </x:c>
      <x:c r="Y1410" s="26" t="n">
        <x:v>0</x:v>
      </x:c>
      <x:c r="Z1410" s="35" t="str">
        <x:v>LN005 scheduled payment</x:v>
      </x:c>
    </x:row>
    <x:row r="1411">
      <x:c r="A1411" s="20" t="str">
        <x:v>FIN-01408</x:v>
      </x:c>
      <x:c r="B1411" s="23" t="n">
        <x:v>46680</x:v>
      </x:c>
      <x:c r="C1411" s="23" t="n">
        <x:v>46680</x:v>
      </x:c>
      <x:c r="D1411" s="20" t="str">
        <x:v>LoanPayment</x:v>
      </x:c>
      <x:c r="E1411" s="20" t="str">
        <x:v>Mortgage principal and interest</x:v>
      </x:c>
      <x:c r="F1411" s="20" t="str">
        <x:v>P007</x:v>
      </x:c>
      <x:c r="G1411" s="20" t="str"/>
      <x:c r="H1411" s="20" t="str"/>
      <x:c r="I1411" s="20" t="str">
        <x:v>First QA Mortgage</x:v>
      </x:c>
      <x:c r="J1411" s="35" t="str">
        <x:v>Recurring loan payment + scanned statement</x:v>
      </x:c>
      <x:c r="K1411" s="20" t="str">
        <x:v>SCN-0714</x:v>
      </x:c>
      <x:c r="L1411" s="20" t="str">
        <x:v>LN007-202710</x:v>
      </x:c>
      <x:c r="M1411" s="26" t="n">
        <x:v>1126</x:v>
      </x:c>
      <x:c r="N1411" s="26" t="n">
        <x:v>0</x:v>
      </x:c>
      <x:c r="O1411" s="26" t="n">
        <x:v>-1126</x:v>
      </x:c>
      <x:c r="P1411" s="26" t="n">
        <x:v>0</x:v>
      </x:c>
      <x:c r="Q1411" s="26" t="n">
        <x:v>0</x:v>
      </x:c>
      <x:c r="R1411" s="26" t="n">
        <x:v>0</x:v>
      </x:c>
      <x:c r="S1411" s="26" t="n">
        <x:v>-497</x:v>
      </x:c>
      <x:c r="T1411" s="26" t="n">
        <x:v>0</x:v>
      </x:c>
      <x:c r="U1411" s="26" t="n">
        <x:v>629</x:v>
      </x:c>
      <x:c r="V1411" s="26" t="n">
        <x:v>0</x:v>
      </x:c>
      <x:c r="W1411" s="26" t="n">
        <x:v>0</x:v>
      </x:c>
      <x:c r="X1411" s="26" t="n">
        <x:v>0</x:v>
      </x:c>
      <x:c r="Y1411" s="26" t="n">
        <x:v>0</x:v>
      </x:c>
      <x:c r="Z1411" s="35" t="str">
        <x:v>LN007 scheduled payment</x:v>
      </x:c>
    </x:row>
    <x:row r="1412">
      <x:c r="A1412" s="20" t="str">
        <x:v>FIN-01409</x:v>
      </x:c>
      <x:c r="B1412" s="23" t="n">
        <x:v>46680</x:v>
      </x:c>
      <x:c r="C1412" s="23" t="n">
        <x:v>46680</x:v>
      </x:c>
      <x:c r="D1412" s="20" t="str">
        <x:v>LoanPayment</x:v>
      </x:c>
      <x:c r="E1412" s="20" t="str">
        <x:v>Mortgage principal and interest</x:v>
      </x:c>
      <x:c r="F1412" s="20" t="str">
        <x:v>P008</x:v>
      </x:c>
      <x:c r="G1412" s="20" t="str"/>
      <x:c r="H1412" s="20" t="str"/>
      <x:c r="I1412" s="20" t="str">
        <x:v>First QA Mortgage</x:v>
      </x:c>
      <x:c r="J1412" s="35" t="str">
        <x:v>Recurring loan payment + scanned statement</x:v>
      </x:c>
      <x:c r="K1412" s="20" t="str">
        <x:v>SCN-0715</x:v>
      </x:c>
      <x:c r="L1412" s="20" t="str">
        <x:v>LN008-202710</x:v>
      </x:c>
      <x:c r="M1412" s="26" t="n">
        <x:v>1150</x:v>
      </x:c>
      <x:c r="N1412" s="26" t="n">
        <x:v>0</x:v>
      </x:c>
      <x:c r="O1412" s="26" t="n">
        <x:v>-1150</x:v>
      </x:c>
      <x:c r="P1412" s="26" t="n">
        <x:v>0</x:v>
      </x:c>
      <x:c r="Q1412" s="26" t="n">
        <x:v>0</x:v>
      </x:c>
      <x:c r="R1412" s="26" t="n">
        <x:v>0</x:v>
      </x:c>
      <x:c r="S1412" s="26" t="n">
        <x:v>-508</x:v>
      </x:c>
      <x:c r="T1412" s="26" t="n">
        <x:v>0</x:v>
      </x:c>
      <x:c r="U1412" s="26" t="n">
        <x:v>642</x:v>
      </x:c>
      <x:c r="V1412" s="26" t="n">
        <x:v>0</x:v>
      </x:c>
      <x:c r="W1412" s="26" t="n">
        <x:v>0</x:v>
      </x:c>
      <x:c r="X1412" s="26" t="n">
        <x:v>0</x:v>
      </x:c>
      <x:c r="Y1412" s="26" t="n">
        <x:v>0</x:v>
      </x:c>
      <x:c r="Z1412" s="35" t="str">
        <x:v>LN008 scheduled payment</x:v>
      </x:c>
    </x:row>
    <x:row r="1413">
      <x:c r="A1413" s="20" t="str">
        <x:v>FIN-01410</x:v>
      </x:c>
      <x:c r="B1413" s="23" t="n">
        <x:v>46680</x:v>
      </x:c>
      <x:c r="C1413" s="23" t="n">
        <x:v>46680</x:v>
      </x:c>
      <x:c r="D1413" s="20" t="str">
        <x:v>LoanPayment</x:v>
      </x:c>
      <x:c r="E1413" s="20" t="str">
        <x:v>Mortgage principal and interest</x:v>
      </x:c>
      <x:c r="F1413" s="20" t="str">
        <x:v>P010</x:v>
      </x:c>
      <x:c r="G1413" s="20" t="str"/>
      <x:c r="H1413" s="20" t="str"/>
      <x:c r="I1413" s="20" t="str">
        <x:v>First QA Mortgage</x:v>
      </x:c>
      <x:c r="J1413" s="35" t="str">
        <x:v>Recurring loan payment + scanned statement</x:v>
      </x:c>
      <x:c r="K1413" s="20" t="str">
        <x:v>SCN-0716</x:v>
      </x:c>
      <x:c r="L1413" s="20" t="str">
        <x:v>LN010-202710</x:v>
      </x:c>
      <x:c r="M1413" s="26" t="n">
        <x:v>1198</x:v>
      </x:c>
      <x:c r="N1413" s="26" t="n">
        <x:v>0</x:v>
      </x:c>
      <x:c r="O1413" s="26" t="n">
        <x:v>-1198</x:v>
      </x:c>
      <x:c r="P1413" s="26" t="n">
        <x:v>0</x:v>
      </x:c>
      <x:c r="Q1413" s="26" t="n">
        <x:v>0</x:v>
      </x:c>
      <x:c r="R1413" s="26" t="n">
        <x:v>0</x:v>
      </x:c>
      <x:c r="S1413" s="26" t="n">
        <x:v>-530</x:v>
      </x:c>
      <x:c r="T1413" s="26" t="n">
        <x:v>0</x:v>
      </x:c>
      <x:c r="U1413" s="26" t="n">
        <x:v>668</x:v>
      </x:c>
      <x:c r="V1413" s="26" t="n">
        <x:v>0</x:v>
      </x:c>
      <x:c r="W1413" s="26" t="n">
        <x:v>0</x:v>
      </x:c>
      <x:c r="X1413" s="26" t="n">
        <x:v>0</x:v>
      </x:c>
      <x:c r="Y1413" s="26" t="n">
        <x:v>0</x:v>
      </x:c>
      <x:c r="Z1413" s="35" t="str">
        <x:v>LN010 scheduled payment</x:v>
      </x:c>
    </x:row>
    <x:row r="1414">
      <x:c r="A1414" s="20" t="str">
        <x:v>FIN-01411</x:v>
      </x:c>
      <x:c r="B1414" s="23" t="n">
        <x:v>46680</x:v>
      </x:c>
      <x:c r="C1414" s="23" t="n">
        <x:v>46680</x:v>
      </x:c>
      <x:c r="D1414" s="20" t="str">
        <x:v>LoanPayment</x:v>
      </x:c>
      <x:c r="E1414" s="20" t="str">
        <x:v>Mortgage principal and interest</x:v>
      </x:c>
      <x:c r="F1414" s="20" t="str">
        <x:v>P011</x:v>
      </x:c>
      <x:c r="G1414" s="20" t="str"/>
      <x:c r="H1414" s="20" t="str"/>
      <x:c r="I1414" s="20" t="str">
        <x:v>First QA Mortgage</x:v>
      </x:c>
      <x:c r="J1414" s="35" t="str">
        <x:v>Recurring loan payment + scanned statement</x:v>
      </x:c>
      <x:c r="K1414" s="20" t="str">
        <x:v>SCN-0717</x:v>
      </x:c>
      <x:c r="L1414" s="20" t="str">
        <x:v>LN011-202710</x:v>
      </x:c>
      <x:c r="M1414" s="26" t="n">
        <x:v>1222</x:v>
      </x:c>
      <x:c r="N1414" s="26" t="n">
        <x:v>0</x:v>
      </x:c>
      <x:c r="O1414" s="26" t="n">
        <x:v>-1222</x:v>
      </x:c>
      <x:c r="P1414" s="26" t="n">
        <x:v>0</x:v>
      </x:c>
      <x:c r="Q1414" s="26" t="n">
        <x:v>0</x:v>
      </x:c>
      <x:c r="R1414" s="26" t="n">
        <x:v>0</x:v>
      </x:c>
      <x:c r="S1414" s="26" t="n">
        <x:v>-541</x:v>
      </x:c>
      <x:c r="T1414" s="26" t="n">
        <x:v>0</x:v>
      </x:c>
      <x:c r="U1414" s="26" t="n">
        <x:v>681</x:v>
      </x:c>
      <x:c r="V1414" s="26" t="n">
        <x:v>0</x:v>
      </x:c>
      <x:c r="W1414" s="26" t="n">
        <x:v>0</x:v>
      </x:c>
      <x:c r="X1414" s="26" t="n">
        <x:v>0</x:v>
      </x:c>
      <x:c r="Y1414" s="26" t="n">
        <x:v>0</x:v>
      </x:c>
      <x:c r="Z1414" s="35" t="str">
        <x:v>LN011 scheduled payment</x:v>
      </x:c>
    </x:row>
    <x:row r="1415">
      <x:c r="A1415" s="20" t="str">
        <x:v>FIN-01412</x:v>
      </x:c>
      <x:c r="B1415" s="23" t="n">
        <x:v>46680</x:v>
      </x:c>
      <x:c r="C1415" s="23" t="n">
        <x:v>46680</x:v>
      </x:c>
      <x:c r="D1415" s="20" t="str">
        <x:v>LoanPayment</x:v>
      </x:c>
      <x:c r="E1415" s="20" t="str">
        <x:v>Mortgage principal and interest</x:v>
      </x:c>
      <x:c r="F1415" s="20" t="str">
        <x:v>P013</x:v>
      </x:c>
      <x:c r="G1415" s="20" t="str"/>
      <x:c r="H1415" s="20" t="str"/>
      <x:c r="I1415" s="20" t="str">
        <x:v>First QA Mortgage</x:v>
      </x:c>
      <x:c r="J1415" s="35" t="str">
        <x:v>Recurring loan payment + scanned statement</x:v>
      </x:c>
      <x:c r="K1415" s="20" t="str">
        <x:v>SCN-0718</x:v>
      </x:c>
      <x:c r="L1415" s="20" t="str">
        <x:v>LN013-202710</x:v>
      </x:c>
      <x:c r="M1415" s="26" t="n">
        <x:v>1270</x:v>
      </x:c>
      <x:c r="N1415" s="26" t="n">
        <x:v>0</x:v>
      </x:c>
      <x:c r="O1415" s="26" t="n">
        <x:v>-1270</x:v>
      </x:c>
      <x:c r="P1415" s="26" t="n">
        <x:v>0</x:v>
      </x:c>
      <x:c r="Q1415" s="26" t="n">
        <x:v>0</x:v>
      </x:c>
      <x:c r="R1415" s="26" t="n">
        <x:v>0</x:v>
      </x:c>
      <x:c r="S1415" s="26" t="n">
        <x:v>-563</x:v>
      </x:c>
      <x:c r="T1415" s="26" t="n">
        <x:v>0</x:v>
      </x:c>
      <x:c r="U1415" s="26" t="n">
        <x:v>707</x:v>
      </x:c>
      <x:c r="V1415" s="26" t="n">
        <x:v>0</x:v>
      </x:c>
      <x:c r="W1415" s="26" t="n">
        <x:v>0</x:v>
      </x:c>
      <x:c r="X1415" s="26" t="n">
        <x:v>0</x:v>
      </x:c>
      <x:c r="Y1415" s="26" t="n">
        <x:v>0</x:v>
      </x:c>
      <x:c r="Z1415" s="35" t="str">
        <x:v>LN013 scheduled payment</x:v>
      </x:c>
    </x:row>
    <x:row r="1416">
      <x:c r="A1416" s="20" t="str">
        <x:v>FIN-01413</x:v>
      </x:c>
      <x:c r="B1416" s="23" t="n">
        <x:v>46680</x:v>
      </x:c>
      <x:c r="C1416" s="23" t="n">
        <x:v>46680</x:v>
      </x:c>
      <x:c r="D1416" s="20" t="str">
        <x:v>LoanPayment</x:v>
      </x:c>
      <x:c r="E1416" s="20" t="str">
        <x:v>Mortgage principal and interest</x:v>
      </x:c>
      <x:c r="F1416" s="20" t="str">
        <x:v>P014</x:v>
      </x:c>
      <x:c r="G1416" s="20" t="str"/>
      <x:c r="H1416" s="20" t="str"/>
      <x:c r="I1416" s="20" t="str">
        <x:v>First QA Mortgage</x:v>
      </x:c>
      <x:c r="J1416" s="35" t="str">
        <x:v>Recurring loan payment + scanned statement</x:v>
      </x:c>
      <x:c r="K1416" s="20" t="str">
        <x:v>SCN-0719</x:v>
      </x:c>
      <x:c r="L1416" s="20" t="str">
        <x:v>LN014-202710</x:v>
      </x:c>
      <x:c r="M1416" s="26" t="n">
        <x:v>1294</x:v>
      </x:c>
      <x:c r="N1416" s="26" t="n">
        <x:v>0</x:v>
      </x:c>
      <x:c r="O1416" s="26" t="n">
        <x:v>-1294</x:v>
      </x:c>
      <x:c r="P1416" s="26" t="n">
        <x:v>0</x:v>
      </x:c>
      <x:c r="Q1416" s="26" t="n">
        <x:v>0</x:v>
      </x:c>
      <x:c r="R1416" s="26" t="n">
        <x:v>0</x:v>
      </x:c>
      <x:c r="S1416" s="26" t="n">
        <x:v>-574</x:v>
      </x:c>
      <x:c r="T1416" s="26" t="n">
        <x:v>0</x:v>
      </x:c>
      <x:c r="U1416" s="26" t="n">
        <x:v>720</x:v>
      </x:c>
      <x:c r="V1416" s="26" t="n">
        <x:v>0</x:v>
      </x:c>
      <x:c r="W1416" s="26" t="n">
        <x:v>0</x:v>
      </x:c>
      <x:c r="X1416" s="26" t="n">
        <x:v>0</x:v>
      </x:c>
      <x:c r="Y1416" s="26" t="n">
        <x:v>0</x:v>
      </x:c>
      <x:c r="Z1416" s="35" t="str">
        <x:v>LN014 scheduled payment</x:v>
      </x:c>
    </x:row>
    <x:row r="1417">
      <x:c r="A1417" s="20" t="str">
        <x:v>FIN-01414</x:v>
      </x:c>
      <x:c r="B1417" s="23" t="n">
        <x:v>46680</x:v>
      </x:c>
      <x:c r="C1417" s="23" t="n">
        <x:v>46680</x:v>
      </x:c>
      <x:c r="D1417" s="20" t="str">
        <x:v>LoanPayment</x:v>
      </x:c>
      <x:c r="E1417" s="20" t="str">
        <x:v>Mortgage principal and interest</x:v>
      </x:c>
      <x:c r="F1417" s="20" t="str">
        <x:v>P016</x:v>
      </x:c>
      <x:c r="G1417" s="20" t="str"/>
      <x:c r="H1417" s="20" t="str"/>
      <x:c r="I1417" s="20" t="str">
        <x:v>First QA Mortgage</x:v>
      </x:c>
      <x:c r="J1417" s="35" t="str">
        <x:v>Recurring loan payment + scanned statement</x:v>
      </x:c>
      <x:c r="K1417" s="20" t="str">
        <x:v>SCN-0720</x:v>
      </x:c>
      <x:c r="L1417" s="20" t="str">
        <x:v>LN016-202710</x:v>
      </x:c>
      <x:c r="M1417" s="26" t="n">
        <x:v>1342</x:v>
      </x:c>
      <x:c r="N1417" s="26" t="n">
        <x:v>0</x:v>
      </x:c>
      <x:c r="O1417" s="26" t="n">
        <x:v>-1342</x:v>
      </x:c>
      <x:c r="P1417" s="26" t="n">
        <x:v>0</x:v>
      </x:c>
      <x:c r="Q1417" s="26" t="n">
        <x:v>0</x:v>
      </x:c>
      <x:c r="R1417" s="26" t="n">
        <x:v>0</x:v>
      </x:c>
      <x:c r="S1417" s="26" t="n">
        <x:v>-596</x:v>
      </x:c>
      <x:c r="T1417" s="26" t="n">
        <x:v>0</x:v>
      </x:c>
      <x:c r="U1417" s="26" t="n">
        <x:v>746</x:v>
      </x:c>
      <x:c r="V1417" s="26" t="n">
        <x:v>0</x:v>
      </x:c>
      <x:c r="W1417" s="26" t="n">
        <x:v>0</x:v>
      </x:c>
      <x:c r="X1417" s="26" t="n">
        <x:v>0</x:v>
      </x:c>
      <x:c r="Y1417" s="26" t="n">
        <x:v>0</x:v>
      </x:c>
      <x:c r="Z1417" s="35" t="str">
        <x:v>LN016 scheduled payment</x:v>
      </x:c>
    </x:row>
    <x:row r="1418">
      <x:c r="A1418" s="20" t="str">
        <x:v>FIN-01415</x:v>
      </x:c>
      <x:c r="B1418" s="23" t="n">
        <x:v>46680</x:v>
      </x:c>
      <x:c r="C1418" s="23" t="n">
        <x:v>46680</x:v>
      </x:c>
      <x:c r="D1418" s="20" t="str">
        <x:v>LoanPayment</x:v>
      </x:c>
      <x:c r="E1418" s="20" t="str">
        <x:v>Mortgage principal and interest</x:v>
      </x:c>
      <x:c r="F1418" s="20" t="str">
        <x:v>P017</x:v>
      </x:c>
      <x:c r="G1418" s="20" t="str"/>
      <x:c r="H1418" s="20" t="str"/>
      <x:c r="I1418" s="20" t="str">
        <x:v>First QA Mortgage</x:v>
      </x:c>
      <x:c r="J1418" s="35" t="str">
        <x:v>Recurring loan payment + scanned statement</x:v>
      </x:c>
      <x:c r="K1418" s="20" t="str">
        <x:v>SCN-0721</x:v>
      </x:c>
      <x:c r="L1418" s="20" t="str">
        <x:v>LN017-202710</x:v>
      </x:c>
      <x:c r="M1418" s="26" t="n">
        <x:v>1366</x:v>
      </x:c>
      <x:c r="N1418" s="26" t="n">
        <x:v>0</x:v>
      </x:c>
      <x:c r="O1418" s="26" t="n">
        <x:v>-1366</x:v>
      </x:c>
      <x:c r="P1418" s="26" t="n">
        <x:v>0</x:v>
      </x:c>
      <x:c r="Q1418" s="26" t="n">
        <x:v>0</x:v>
      </x:c>
      <x:c r="R1418" s="26" t="n">
        <x:v>0</x:v>
      </x:c>
      <x:c r="S1418" s="26" t="n">
        <x:v>-607</x:v>
      </x:c>
      <x:c r="T1418" s="26" t="n">
        <x:v>0</x:v>
      </x:c>
      <x:c r="U1418" s="26" t="n">
        <x:v>759</x:v>
      </x:c>
      <x:c r="V1418" s="26" t="n">
        <x:v>0</x:v>
      </x:c>
      <x:c r="W1418" s="26" t="n">
        <x:v>0</x:v>
      </x:c>
      <x:c r="X1418" s="26" t="n">
        <x:v>0</x:v>
      </x:c>
      <x:c r="Y1418" s="26" t="n">
        <x:v>0</x:v>
      </x:c>
      <x:c r="Z1418" s="35" t="str">
        <x:v>LN017 scheduled payment</x:v>
      </x:c>
    </x:row>
    <x:row r="1419">
      <x:c r="A1419" s="20" t="str">
        <x:v>FIN-01416</x:v>
      </x:c>
      <x:c r="B1419" s="23" t="n">
        <x:v>46680</x:v>
      </x:c>
      <x:c r="C1419" s="23" t="n">
        <x:v>46680</x:v>
      </x:c>
      <x:c r="D1419" s="20" t="str">
        <x:v>LoanPayment</x:v>
      </x:c>
      <x:c r="E1419" s="20" t="str">
        <x:v>Mortgage principal and interest</x:v>
      </x:c>
      <x:c r="F1419" s="20" t="str">
        <x:v>P019</x:v>
      </x:c>
      <x:c r="G1419" s="20" t="str"/>
      <x:c r="H1419" s="20" t="str"/>
      <x:c r="I1419" s="20" t="str">
        <x:v>First QA Mortgage</x:v>
      </x:c>
      <x:c r="J1419" s="35" t="str">
        <x:v>Recurring loan payment + scanned statement</x:v>
      </x:c>
      <x:c r="K1419" s="20" t="str">
        <x:v>SCN-0722</x:v>
      </x:c>
      <x:c r="L1419" s="20" t="str">
        <x:v>LN019-202710</x:v>
      </x:c>
      <x:c r="M1419" s="26" t="n">
        <x:v>1414</x:v>
      </x:c>
      <x:c r="N1419" s="26" t="n">
        <x:v>0</x:v>
      </x:c>
      <x:c r="O1419" s="26" t="n">
        <x:v>-1414</x:v>
      </x:c>
      <x:c r="P1419" s="26" t="n">
        <x:v>0</x:v>
      </x:c>
      <x:c r="Q1419" s="26" t="n">
        <x:v>0</x:v>
      </x:c>
      <x:c r="R1419" s="26" t="n">
        <x:v>0</x:v>
      </x:c>
      <x:c r="S1419" s="26" t="n">
        <x:v>-629</x:v>
      </x:c>
      <x:c r="T1419" s="26" t="n">
        <x:v>0</x:v>
      </x:c>
      <x:c r="U1419" s="26" t="n">
        <x:v>785</x:v>
      </x:c>
      <x:c r="V1419" s="26" t="n">
        <x:v>0</x:v>
      </x:c>
      <x:c r="W1419" s="26" t="n">
        <x:v>0</x:v>
      </x:c>
      <x:c r="X1419" s="26" t="n">
        <x:v>0</x:v>
      </x:c>
      <x:c r="Y1419" s="26" t="n">
        <x:v>0</x:v>
      </x:c>
      <x:c r="Z1419" s="35" t="str">
        <x:v>LN019 scheduled payment</x:v>
      </x:c>
    </x:row>
    <x:row r="1420">
      <x:c r="A1420" s="20" t="str">
        <x:v>FIN-01417</x:v>
      </x:c>
      <x:c r="B1420" s="23" t="n">
        <x:v>46680</x:v>
      </x:c>
      <x:c r="C1420" s="23" t="n">
        <x:v>46680</x:v>
      </x:c>
      <x:c r="D1420" s="20" t="str">
        <x:v>LoanPayment</x:v>
      </x:c>
      <x:c r="E1420" s="20" t="str">
        <x:v>Mortgage principal and interest</x:v>
      </x:c>
      <x:c r="F1420" s="20" t="str">
        <x:v>P020</x:v>
      </x:c>
      <x:c r="G1420" s="20" t="str"/>
      <x:c r="H1420" s="20" t="str"/>
      <x:c r="I1420" s="20" t="str">
        <x:v>First QA Mortgage</x:v>
      </x:c>
      <x:c r="J1420" s="35" t="str">
        <x:v>Recurring loan payment + scanned statement</x:v>
      </x:c>
      <x:c r="K1420" s="20" t="str">
        <x:v>SCN-0723</x:v>
      </x:c>
      <x:c r="L1420" s="20" t="str">
        <x:v>LN020-202710</x:v>
      </x:c>
      <x:c r="M1420" s="26" t="n">
        <x:v>1438</x:v>
      </x:c>
      <x:c r="N1420" s="26" t="n">
        <x:v>0</x:v>
      </x:c>
      <x:c r="O1420" s="26" t="n">
        <x:v>-1438</x:v>
      </x:c>
      <x:c r="P1420" s="26" t="n">
        <x:v>0</x:v>
      </x:c>
      <x:c r="Q1420" s="26" t="n">
        <x:v>0</x:v>
      </x:c>
      <x:c r="R1420" s="26" t="n">
        <x:v>0</x:v>
      </x:c>
      <x:c r="S1420" s="26" t="n">
        <x:v>-640</x:v>
      </x:c>
      <x:c r="T1420" s="26" t="n">
        <x:v>0</x:v>
      </x:c>
      <x:c r="U1420" s="26" t="n">
        <x:v>798</x:v>
      </x:c>
      <x:c r="V1420" s="26" t="n">
        <x:v>0</x:v>
      </x:c>
      <x:c r="W1420" s="26" t="n">
        <x:v>0</x:v>
      </x:c>
      <x:c r="X1420" s="26" t="n">
        <x:v>0</x:v>
      </x:c>
      <x:c r="Y1420" s="26" t="n">
        <x:v>0</x:v>
      </x:c>
      <x:c r="Z1420" s="35" t="str">
        <x:v>LN020 scheduled payment</x:v>
      </x:c>
    </x:row>
    <x:row r="1421">
      <x:c r="A1421" s="20" t="str">
        <x:v>FIN-01418</x:v>
      </x:c>
      <x:c r="B1421" s="23" t="n">
        <x:v>46680</x:v>
      </x:c>
      <x:c r="C1421" s="23" t="n">
        <x:v>46680</x:v>
      </x:c>
      <x:c r="D1421" s="20" t="str">
        <x:v>LoanPayment</x:v>
      </x:c>
      <x:c r="E1421" s="20" t="str">
        <x:v>Mortgage principal and interest</x:v>
      </x:c>
      <x:c r="F1421" s="20" t="str">
        <x:v>P022</x:v>
      </x:c>
      <x:c r="G1421" s="20" t="str"/>
      <x:c r="H1421" s="20" t="str"/>
      <x:c r="I1421" s="20" t="str">
        <x:v>First QA Mortgage</x:v>
      </x:c>
      <x:c r="J1421" s="35" t="str">
        <x:v>Recurring loan payment + scanned statement</x:v>
      </x:c>
      <x:c r="K1421" s="20" t="str">
        <x:v>SCN-0724</x:v>
      </x:c>
      <x:c r="L1421" s="20" t="str">
        <x:v>LN022-202710</x:v>
      </x:c>
      <x:c r="M1421" s="26" t="n">
        <x:v>1486</x:v>
      </x:c>
      <x:c r="N1421" s="26" t="n">
        <x:v>0</x:v>
      </x:c>
      <x:c r="O1421" s="26" t="n">
        <x:v>-1486</x:v>
      </x:c>
      <x:c r="P1421" s="26" t="n">
        <x:v>0</x:v>
      </x:c>
      <x:c r="Q1421" s="26" t="n">
        <x:v>0</x:v>
      </x:c>
      <x:c r="R1421" s="26" t="n">
        <x:v>0</x:v>
      </x:c>
      <x:c r="S1421" s="26" t="n">
        <x:v>-662</x:v>
      </x:c>
      <x:c r="T1421" s="26" t="n">
        <x:v>0</x:v>
      </x:c>
      <x:c r="U1421" s="26" t="n">
        <x:v>824</x:v>
      </x:c>
      <x:c r="V1421" s="26" t="n">
        <x:v>0</x:v>
      </x:c>
      <x:c r="W1421" s="26" t="n">
        <x:v>0</x:v>
      </x:c>
      <x:c r="X1421" s="26" t="n">
        <x:v>0</x:v>
      </x:c>
      <x:c r="Y1421" s="26" t="n">
        <x:v>0</x:v>
      </x:c>
      <x:c r="Z1421" s="35" t="str">
        <x:v>LN022 scheduled payment</x:v>
      </x:c>
    </x:row>
    <x:row r="1422">
      <x:c r="A1422" s="20" t="str">
        <x:v>FIN-01419</x:v>
      </x:c>
      <x:c r="B1422" s="23" t="n">
        <x:v>46680</x:v>
      </x:c>
      <x:c r="C1422" s="23" t="n">
        <x:v>46680</x:v>
      </x:c>
      <x:c r="D1422" s="20" t="str">
        <x:v>LoanPayment</x:v>
      </x:c>
      <x:c r="E1422" s="20" t="str">
        <x:v>Mortgage principal and interest</x:v>
      </x:c>
      <x:c r="F1422" s="20" t="str">
        <x:v>P023</x:v>
      </x:c>
      <x:c r="G1422" s="20" t="str"/>
      <x:c r="H1422" s="20" t="str"/>
      <x:c r="I1422" s="20" t="str">
        <x:v>First QA Mortgage</x:v>
      </x:c>
      <x:c r="J1422" s="35" t="str">
        <x:v>Recurring loan payment + scanned statement</x:v>
      </x:c>
      <x:c r="K1422" s="20" t="str">
        <x:v>SCN-0725</x:v>
      </x:c>
      <x:c r="L1422" s="20" t="str">
        <x:v>LN023-202710</x:v>
      </x:c>
      <x:c r="M1422" s="26" t="n">
        <x:v>1510</x:v>
      </x:c>
      <x:c r="N1422" s="26" t="n">
        <x:v>0</x:v>
      </x:c>
      <x:c r="O1422" s="26" t="n">
        <x:v>-1510</x:v>
      </x:c>
      <x:c r="P1422" s="26" t="n">
        <x:v>0</x:v>
      </x:c>
      <x:c r="Q1422" s="26" t="n">
        <x:v>0</x:v>
      </x:c>
      <x:c r="R1422" s="26" t="n">
        <x:v>0</x:v>
      </x:c>
      <x:c r="S1422" s="26" t="n">
        <x:v>-673</x:v>
      </x:c>
      <x:c r="T1422" s="26" t="n">
        <x:v>0</x:v>
      </x:c>
      <x:c r="U1422" s="26" t="n">
        <x:v>837</x:v>
      </x:c>
      <x:c r="V1422" s="26" t="n">
        <x:v>0</x:v>
      </x:c>
      <x:c r="W1422" s="26" t="n">
        <x:v>0</x:v>
      </x:c>
      <x:c r="X1422" s="26" t="n">
        <x:v>0</x:v>
      </x:c>
      <x:c r="Y1422" s="26" t="n">
        <x:v>0</x:v>
      </x:c>
      <x:c r="Z1422" s="35" t="str">
        <x:v>LN023 scheduled payment</x:v>
      </x:c>
    </x:row>
    <x:row r="1423">
      <x:c r="A1423" s="20" t="str">
        <x:v>FIN-01420</x:v>
      </x:c>
      <x:c r="B1423" s="23" t="n">
        <x:v>46680</x:v>
      </x:c>
      <x:c r="C1423" s="23" t="n">
        <x:v>46680</x:v>
      </x:c>
      <x:c r="D1423" s="20" t="str">
        <x:v>LoanPayment</x:v>
      </x:c>
      <x:c r="E1423" s="20" t="str">
        <x:v>Mortgage principal and interest</x:v>
      </x:c>
      <x:c r="F1423" s="20" t="str">
        <x:v>P025</x:v>
      </x:c>
      <x:c r="G1423" s="20" t="str"/>
      <x:c r="H1423" s="20" t="str"/>
      <x:c r="I1423" s="20" t="str">
        <x:v>First QA Mortgage</x:v>
      </x:c>
      <x:c r="J1423" s="35" t="str">
        <x:v>Recurring loan payment + scanned statement</x:v>
      </x:c>
      <x:c r="K1423" s="20" t="str">
        <x:v>SCN-0726</x:v>
      </x:c>
      <x:c r="L1423" s="20" t="str">
        <x:v>LN025-202710</x:v>
      </x:c>
      <x:c r="M1423" s="26" t="n">
        <x:v>1558</x:v>
      </x:c>
      <x:c r="N1423" s="26" t="n">
        <x:v>0</x:v>
      </x:c>
      <x:c r="O1423" s="26" t="n">
        <x:v>-1558</x:v>
      </x:c>
      <x:c r="P1423" s="26" t="n">
        <x:v>0</x:v>
      </x:c>
      <x:c r="Q1423" s="26" t="n">
        <x:v>0</x:v>
      </x:c>
      <x:c r="R1423" s="26" t="n">
        <x:v>0</x:v>
      </x:c>
      <x:c r="S1423" s="26" t="n">
        <x:v>-695</x:v>
      </x:c>
      <x:c r="T1423" s="26" t="n">
        <x:v>0</x:v>
      </x:c>
      <x:c r="U1423" s="26" t="n">
        <x:v>863</x:v>
      </x:c>
      <x:c r="V1423" s="26" t="n">
        <x:v>0</x:v>
      </x:c>
      <x:c r="W1423" s="26" t="n">
        <x:v>0</x:v>
      </x:c>
      <x:c r="X1423" s="26" t="n">
        <x:v>0</x:v>
      </x:c>
      <x:c r="Y1423" s="26" t="n">
        <x:v>0</x:v>
      </x:c>
      <x:c r="Z1423" s="35" t="str">
        <x:v>LN025 scheduled payment</x:v>
      </x:c>
    </x:row>
    <x:row r="1424">
      <x:c r="A1424" s="20" t="str">
        <x:v>FIN-01421</x:v>
      </x:c>
      <x:c r="B1424" s="23" t="n">
        <x:v>46680</x:v>
      </x:c>
      <x:c r="C1424" s="23" t="n">
        <x:v>46680</x:v>
      </x:c>
      <x:c r="D1424" s="20" t="str">
        <x:v>LoanPayment</x:v>
      </x:c>
      <x:c r="E1424" s="20" t="str">
        <x:v>Mortgage principal and interest</x:v>
      </x:c>
      <x:c r="F1424" s="20" t="str">
        <x:v>P026</x:v>
      </x:c>
      <x:c r="G1424" s="20" t="str"/>
      <x:c r="H1424" s="20" t="str"/>
      <x:c r="I1424" s="20" t="str">
        <x:v>First QA Mortgage</x:v>
      </x:c>
      <x:c r="J1424" s="35" t="str">
        <x:v>Recurring loan payment + scanned statement</x:v>
      </x:c>
      <x:c r="K1424" s="20" t="str">
        <x:v>SCN-0727</x:v>
      </x:c>
      <x:c r="L1424" s="20" t="str">
        <x:v>LN026-202710</x:v>
      </x:c>
      <x:c r="M1424" s="26" t="n">
        <x:v>1582</x:v>
      </x:c>
      <x:c r="N1424" s="26" t="n">
        <x:v>0</x:v>
      </x:c>
      <x:c r="O1424" s="26" t="n">
        <x:v>-1582</x:v>
      </x:c>
      <x:c r="P1424" s="26" t="n">
        <x:v>0</x:v>
      </x:c>
      <x:c r="Q1424" s="26" t="n">
        <x:v>0</x:v>
      </x:c>
      <x:c r="R1424" s="26" t="n">
        <x:v>0</x:v>
      </x:c>
      <x:c r="S1424" s="26" t="n">
        <x:v>-706</x:v>
      </x:c>
      <x:c r="T1424" s="26" t="n">
        <x:v>0</x:v>
      </x:c>
      <x:c r="U1424" s="26" t="n">
        <x:v>876</x:v>
      </x:c>
      <x:c r="V1424" s="26" t="n">
        <x:v>0</x:v>
      </x:c>
      <x:c r="W1424" s="26" t="n">
        <x:v>0</x:v>
      </x:c>
      <x:c r="X1424" s="26" t="n">
        <x:v>0</x:v>
      </x:c>
      <x:c r="Y1424" s="26" t="n">
        <x:v>0</x:v>
      </x:c>
      <x:c r="Z1424" s="35" t="str">
        <x:v>LN026 scheduled payment</x:v>
      </x:c>
    </x:row>
    <x:row r="1425">
      <x:c r="A1425" s="20" t="str">
        <x:v>FIN-01422</x:v>
      </x:c>
      <x:c r="B1425" s="23" t="n">
        <x:v>46680</x:v>
      </x:c>
      <x:c r="C1425" s="23" t="n">
        <x:v>46680</x:v>
      </x:c>
      <x:c r="D1425" s="20" t="str">
        <x:v>LoanPayment</x:v>
      </x:c>
      <x:c r="E1425" s="20" t="str">
        <x:v>Mortgage principal and interest</x:v>
      </x:c>
      <x:c r="F1425" s="20" t="str">
        <x:v>P028</x:v>
      </x:c>
      <x:c r="G1425" s="20" t="str"/>
      <x:c r="H1425" s="20" t="str"/>
      <x:c r="I1425" s="20" t="str">
        <x:v>First QA Mortgage</x:v>
      </x:c>
      <x:c r="J1425" s="35" t="str">
        <x:v>Recurring loan payment + scanned statement</x:v>
      </x:c>
      <x:c r="K1425" s="20" t="str">
        <x:v>SCN-0728</x:v>
      </x:c>
      <x:c r="L1425" s="20" t="str">
        <x:v>LN028-202710</x:v>
      </x:c>
      <x:c r="M1425" s="26" t="n">
        <x:v>1630</x:v>
      </x:c>
      <x:c r="N1425" s="26" t="n">
        <x:v>0</x:v>
      </x:c>
      <x:c r="O1425" s="26" t="n">
        <x:v>-1630</x:v>
      </x:c>
      <x:c r="P1425" s="26" t="n">
        <x:v>0</x:v>
      </x:c>
      <x:c r="Q1425" s="26" t="n">
        <x:v>0</x:v>
      </x:c>
      <x:c r="R1425" s="26" t="n">
        <x:v>0</x:v>
      </x:c>
      <x:c r="S1425" s="26" t="n">
        <x:v>-728</x:v>
      </x:c>
      <x:c r="T1425" s="26" t="n">
        <x:v>0</x:v>
      </x:c>
      <x:c r="U1425" s="26" t="n">
        <x:v>902</x:v>
      </x:c>
      <x:c r="V1425" s="26" t="n">
        <x:v>0</x:v>
      </x:c>
      <x:c r="W1425" s="26" t="n">
        <x:v>0</x:v>
      </x:c>
      <x:c r="X1425" s="26" t="n">
        <x:v>0</x:v>
      </x:c>
      <x:c r="Y1425" s="26" t="n">
        <x:v>0</x:v>
      </x:c>
      <x:c r="Z1425" s="35" t="str">
        <x:v>LN028 scheduled payment</x:v>
      </x:c>
    </x:row>
    <x:row r="1426">
      <x:c r="A1426" s="20" t="str">
        <x:v>FIN-01423</x:v>
      </x:c>
      <x:c r="B1426" s="23" t="n">
        <x:v>46680</x:v>
      </x:c>
      <x:c r="C1426" s="23" t="n">
        <x:v>46680</x:v>
      </x:c>
      <x:c r="D1426" s="20" t="str">
        <x:v>LoanPayment</x:v>
      </x:c>
      <x:c r="E1426" s="20" t="str">
        <x:v>Mortgage principal and interest</x:v>
      </x:c>
      <x:c r="F1426" s="20" t="str">
        <x:v>P029</x:v>
      </x:c>
      <x:c r="G1426" s="20" t="str"/>
      <x:c r="H1426" s="20" t="str"/>
      <x:c r="I1426" s="20" t="str">
        <x:v>First QA Mortgage</x:v>
      </x:c>
      <x:c r="J1426" s="35" t="str">
        <x:v>Recurring loan payment + scanned statement</x:v>
      </x:c>
      <x:c r="K1426" s="20" t="str">
        <x:v>SCN-0729</x:v>
      </x:c>
      <x:c r="L1426" s="20" t="str">
        <x:v>LN029-202710</x:v>
      </x:c>
      <x:c r="M1426" s="26" t="n">
        <x:v>1654</x:v>
      </x:c>
      <x:c r="N1426" s="26" t="n">
        <x:v>0</x:v>
      </x:c>
      <x:c r="O1426" s="26" t="n">
        <x:v>-1654</x:v>
      </x:c>
      <x:c r="P1426" s="26" t="n">
        <x:v>0</x:v>
      </x:c>
      <x:c r="Q1426" s="26" t="n">
        <x:v>0</x:v>
      </x:c>
      <x:c r="R1426" s="26" t="n">
        <x:v>0</x:v>
      </x:c>
      <x:c r="S1426" s="26" t="n">
        <x:v>-739</x:v>
      </x:c>
      <x:c r="T1426" s="26" t="n">
        <x:v>0</x:v>
      </x:c>
      <x:c r="U1426" s="26" t="n">
        <x:v>915</x:v>
      </x:c>
      <x:c r="V1426" s="26" t="n">
        <x:v>0</x:v>
      </x:c>
      <x:c r="W1426" s="26" t="n">
        <x:v>0</x:v>
      </x:c>
      <x:c r="X1426" s="26" t="n">
        <x:v>0</x:v>
      </x:c>
      <x:c r="Y1426" s="26" t="n">
        <x:v>0</x:v>
      </x:c>
      <x:c r="Z1426" s="35" t="str">
        <x:v>LN029 scheduled payment</x:v>
      </x:c>
    </x:row>
    <x:row r="1427">
      <x:c r="A1427" s="20" t="str">
        <x:v>FIN-01424</x:v>
      </x:c>
      <x:c r="B1427" s="23" t="n">
        <x:v>46685</x:v>
      </x:c>
      <x:c r="C1427" s="23" t="n">
        <x:v>46685</x:v>
      </x:c>
      <x:c r="D1427" s="20" t="str">
        <x:v>OwnerDistribution</x:v>
      </x:c>
      <x:c r="E1427" s="20" t="str">
        <x:v>Owner distribution</x:v>
      </x:c>
      <x:c r="F1427" s="20" t="str"/>
      <x:c r="G1427" s="20" t="str"/>
      <x:c r="H1427" s="20" t="str"/>
      <x:c r="I1427" s="20" t="str">
        <x:v>Blue Door Residential LLC</x:v>
      </x:c>
      <x:c r="J1427" s="35" t="str">
        <x:v>Manual approval and bank export</x:v>
      </x:c>
      <x:c r="K1427" s="20" t="str"/>
      <x:c r="L1427" s="20" t="str">
        <x:v>DIST-202710-O01</x:v>
      </x:c>
      <x:c r="M1427" s="26" t="n">
        <x:v>3050</x:v>
      </x:c>
      <x:c r="N1427" s="26" t="n">
        <x:v>0</x:v>
      </x:c>
      <x:c r="O1427" s="26" t="n">
        <x:v>-3050</x:v>
      </x:c>
      <x:c r="P1427" s="26" t="n">
        <x:v>0</x:v>
      </x:c>
      <x:c r="Q1427" s="26" t="n">
        <x:v>0</x:v>
      </x:c>
      <x:c r="R1427" s="26" t="n">
        <x:v>0</x:v>
      </x:c>
      <x:c r="S1427" s="26" t="n">
        <x:v>0</x:v>
      </x:c>
      <x:c r="T1427" s="26" t="n">
        <x:v>0</x:v>
      </x:c>
      <x:c r="U1427" s="26" t="n">
        <x:v>0</x:v>
      </x:c>
      <x:c r="V1427" s="26" t="n">
        <x:v>0</x:v>
      </x:c>
      <x:c r="W1427" s="26" t="n">
        <x:v>3050</x:v>
      </x:c>
      <x:c r="X1427" s="26" t="n">
        <x:v>0</x:v>
      </x:c>
      <x:c r="Y1427" s="26" t="n">
        <x:v>0</x:v>
      </x:c>
      <x:c r="Z1427" s="35" t="str">
        <x:v>Monthly distribution to Blue Door Residential LLC</x:v>
      </x:c>
    </x:row>
    <x:row r="1428">
      <x:c r="A1428" s="20" t="str">
        <x:v>FIN-01425</x:v>
      </x:c>
      <x:c r="B1428" s="23" t="n">
        <x:v>46685</x:v>
      </x:c>
      <x:c r="C1428" s="23" t="n">
        <x:v>46685</x:v>
      </x:c>
      <x:c r="D1428" s="20" t="str">
        <x:v>OwnerDistribution</x:v>
      </x:c>
      <x:c r="E1428" s="20" t="str">
        <x:v>Owner distribution</x:v>
      </x:c>
      <x:c r="F1428" s="20" t="str"/>
      <x:c r="G1428" s="20" t="str"/>
      <x:c r="H1428" s="20" t="str"/>
      <x:c r="I1428" s="20" t="str">
        <x:v>Coble Family Rentals LLC</x:v>
      </x:c>
      <x:c r="J1428" s="35" t="str">
        <x:v>Manual approval and bank export</x:v>
      </x:c>
      <x:c r="K1428" s="20" t="str"/>
      <x:c r="L1428" s="20" t="str">
        <x:v>DIST-202710-O02</x:v>
      </x:c>
      <x:c r="M1428" s="26" t="n">
        <x:v>3400</x:v>
      </x:c>
      <x:c r="N1428" s="26" t="n">
        <x:v>0</x:v>
      </x:c>
      <x:c r="O1428" s="26" t="n">
        <x:v>-3400</x:v>
      </x:c>
      <x:c r="P1428" s="26" t="n">
        <x:v>0</x:v>
      </x:c>
      <x:c r="Q1428" s="26" t="n">
        <x:v>0</x:v>
      </x:c>
      <x:c r="R1428" s="26" t="n">
        <x:v>0</x:v>
      </x:c>
      <x:c r="S1428" s="26" t="n">
        <x:v>0</x:v>
      </x:c>
      <x:c r="T1428" s="26" t="n">
        <x:v>0</x:v>
      </x:c>
      <x:c r="U1428" s="26" t="n">
        <x:v>0</x:v>
      </x:c>
      <x:c r="V1428" s="26" t="n">
        <x:v>0</x:v>
      </x:c>
      <x:c r="W1428" s="26" t="n">
        <x:v>3400</x:v>
      </x:c>
      <x:c r="X1428" s="26" t="n">
        <x:v>0</x:v>
      </x:c>
      <x:c r="Y1428" s="26" t="n">
        <x:v>0</x:v>
      </x:c>
      <x:c r="Z1428" s="35" t="str">
        <x:v>Monthly distribution to Coble Family Rentals LLC</x:v>
      </x:c>
    </x:row>
    <x:row r="1429">
      <x:c r="A1429" s="20" t="str">
        <x:v>FIN-01426</x:v>
      </x:c>
      <x:c r="B1429" s="23" t="n">
        <x:v>46685</x:v>
      </x:c>
      <x:c r="C1429" s="23" t="n">
        <x:v>46685</x:v>
      </x:c>
      <x:c r="D1429" s="20" t="str">
        <x:v>OwnerDistribution</x:v>
      </x:c>
      <x:c r="E1429" s="20" t="str">
        <x:v>Owner distribution</x:v>
      </x:c>
      <x:c r="F1429" s="20" t="str"/>
      <x:c r="G1429" s="20" t="str"/>
      <x:c r="H1429" s="20" t="str"/>
      <x:c r="I1429" s="20" t="str">
        <x:v>Northstar Property Partners LLC</x:v>
      </x:c>
      <x:c r="J1429" s="35" t="str">
        <x:v>Manual approval and bank export</x:v>
      </x:c>
      <x:c r="K1429" s="20" t="str"/>
      <x:c r="L1429" s="20" t="str">
        <x:v>DIST-202710-O03</x:v>
      </x:c>
      <x:c r="M1429" s="26" t="n">
        <x:v>3750</x:v>
      </x:c>
      <x:c r="N1429" s="26" t="n">
        <x:v>0</x:v>
      </x:c>
      <x:c r="O1429" s="26" t="n">
        <x:v>-3750</x:v>
      </x:c>
      <x:c r="P1429" s="26" t="n">
        <x:v>0</x:v>
      </x:c>
      <x:c r="Q1429" s="26" t="n">
        <x:v>0</x:v>
      </x:c>
      <x:c r="R1429" s="26" t="n">
        <x:v>0</x:v>
      </x:c>
      <x:c r="S1429" s="26" t="n">
        <x:v>0</x:v>
      </x:c>
      <x:c r="T1429" s="26" t="n">
        <x:v>0</x:v>
      </x:c>
      <x:c r="U1429" s="26" t="n">
        <x:v>0</x:v>
      </x:c>
      <x:c r="V1429" s="26" t="n">
        <x:v>0</x:v>
      </x:c>
      <x:c r="W1429" s="26" t="n">
        <x:v>3750</x:v>
      </x:c>
      <x:c r="X1429" s="26" t="n">
        <x:v>0</x:v>
      </x:c>
      <x:c r="Y1429" s="26" t="n">
        <x:v>0</x:v>
      </x:c>
      <x:c r="Z1429" s="35" t="str">
        <x:v>Monthly distribution to Northstar Property Partners LLC</x:v>
      </x:c>
    </x:row>
    <x:row r="1430">
      <x:c r="A1430" s="20" t="str">
        <x:v>FIN-01427</x:v>
      </x:c>
      <x:c r="B1430" s="23" t="n">
        <x:v>46685</x:v>
      </x:c>
      <x:c r="C1430" s="23" t="n">
        <x:v>46685</x:v>
      </x:c>
      <x:c r="D1430" s="20" t="str">
        <x:v>OwnerDistribution</x:v>
      </x:c>
      <x:c r="E1430" s="20" t="str">
        <x:v>Owner distribution</x:v>
      </x:c>
      <x:c r="F1430" s="20" t="str"/>
      <x:c r="G1430" s="20" t="str"/>
      <x:c r="H1430" s="20" t="str"/>
      <x:c r="I1430" s="20" t="str">
        <x:v>Riverbend Homes LLC</x:v>
      </x:c>
      <x:c r="J1430" s="35" t="str">
        <x:v>Manual approval and bank export</x:v>
      </x:c>
      <x:c r="K1430" s="20" t="str"/>
      <x:c r="L1430" s="20" t="str">
        <x:v>DIST-202710-O04</x:v>
      </x:c>
      <x:c r="M1430" s="26" t="n">
        <x:v>4100</x:v>
      </x:c>
      <x:c r="N1430" s="26" t="n">
        <x:v>0</x:v>
      </x:c>
      <x:c r="O1430" s="26" t="n">
        <x:v>-4100</x:v>
      </x:c>
      <x:c r="P1430" s="26" t="n">
        <x:v>0</x:v>
      </x:c>
      <x:c r="Q1430" s="26" t="n">
        <x:v>0</x:v>
      </x:c>
      <x:c r="R1430" s="26" t="n">
        <x:v>0</x:v>
      </x:c>
      <x:c r="S1430" s="26" t="n">
        <x:v>0</x:v>
      </x:c>
      <x:c r="T1430" s="26" t="n">
        <x:v>0</x:v>
      </x:c>
      <x:c r="U1430" s="26" t="n">
        <x:v>0</x:v>
      </x:c>
      <x:c r="V1430" s="26" t="n">
        <x:v>0</x:v>
      </x:c>
      <x:c r="W1430" s="26" t="n">
        <x:v>4100</x:v>
      </x:c>
      <x:c r="X1430" s="26" t="n">
        <x:v>0</x:v>
      </x:c>
      <x:c r="Y1430" s="26" t="n">
        <x:v>0</x:v>
      </x:c>
      <x:c r="Z1430" s="35" t="str">
        <x:v>Monthly distribution to Riverbend Homes LLC</x:v>
      </x:c>
    </x:row>
    <x:row r="1431">
      <x:c r="A1431" s="20" t="str">
        <x:v>FIN-01428</x:v>
      </x:c>
      <x:c r="B1431" s="23" t="n">
        <x:v>46685</x:v>
      </x:c>
      <x:c r="C1431" s="23" t="n">
        <x:v>46685</x:v>
      </x:c>
      <x:c r="D1431" s="20" t="str">
        <x:v>OwnerDistribution</x:v>
      </x:c>
      <x:c r="E1431" s="20" t="str">
        <x:v>Owner distribution</x:v>
      </x:c>
      <x:c r="F1431" s="20" t="str"/>
      <x:c r="G1431" s="20" t="str"/>
      <x:c r="H1431" s="20" t="str"/>
      <x:c r="I1431" s="20" t="str">
        <x:v>Juniper Street Holdings LLC</x:v>
      </x:c>
      <x:c r="J1431" s="35" t="str">
        <x:v>Manual approval and bank export</x:v>
      </x:c>
      <x:c r="K1431" s="20" t="str"/>
      <x:c r="L1431" s="20" t="str">
        <x:v>DIST-202710-O05</x:v>
      </x:c>
      <x:c r="M1431" s="26" t="n">
        <x:v>4450</x:v>
      </x:c>
      <x:c r="N1431" s="26" t="n">
        <x:v>0</x:v>
      </x:c>
      <x:c r="O1431" s="26" t="n">
        <x:v>-4450</x:v>
      </x:c>
      <x:c r="P1431" s="26" t="n">
        <x:v>0</x:v>
      </x:c>
      <x:c r="Q1431" s="26" t="n">
        <x:v>0</x:v>
      </x:c>
      <x:c r="R1431" s="26" t="n">
        <x:v>0</x:v>
      </x:c>
      <x:c r="S1431" s="26" t="n">
        <x:v>0</x:v>
      </x:c>
      <x:c r="T1431" s="26" t="n">
        <x:v>0</x:v>
      </x:c>
      <x:c r="U1431" s="26" t="n">
        <x:v>0</x:v>
      </x:c>
      <x:c r="V1431" s="26" t="n">
        <x:v>0</x:v>
      </x:c>
      <x:c r="W1431" s="26" t="n">
        <x:v>4450</x:v>
      </x:c>
      <x:c r="X1431" s="26" t="n">
        <x:v>0</x:v>
      </x:c>
      <x:c r="Y1431" s="26" t="n">
        <x:v>0</x:v>
      </x:c>
      <x:c r="Z1431" s="35" t="str">
        <x:v>Monthly distribution to Juniper Street Holdings LLC</x:v>
      </x:c>
    </x:row>
    <x:row r="1432">
      <x:c r="A1432" s="20" t="str">
        <x:v>FIN-01429</x:v>
      </x:c>
      <x:c r="B1432" s="23" t="n">
        <x:v>46706</x:v>
      </x:c>
      <x:c r="C1432" s="23" t="n">
        <x:v>46706</x:v>
      </x:c>
      <x:c r="D1432" s="20" t="str">
        <x:v>OperatingExpense</x:v>
      </x:c>
      <x:c r="E1432" s="20" t="str">
        <x:v>Utilities</x:v>
      </x:c>
      <x:c r="F1432" s="20" t="str">
        <x:v>P021</x:v>
      </x:c>
      <x:c r="G1432" s="20" t="str"/>
      <x:c r="H1432" s="20" t="str"/>
      <x:c r="I1432" s="20" t="str">
        <x:v>City Water &amp; Sewer</x:v>
      </x:c>
      <x:c r="J1432" s="35" t="str">
        <x:v>Scanned receipt/invoice</x:v>
      </x:c>
      <x:c r="K1432" s="20" t="str">
        <x:v>SCN-0731</x:v>
      </x:c>
      <x:c r="L1432" s="20" t="str">
        <x:v>EXP-20271115-1221</x:v>
      </x:c>
      <x:c r="M1432" s="26" t="n">
        <x:v>156</x:v>
      </x:c>
      <x:c r="N1432" s="26" t="n">
        <x:v>0</x:v>
      </x:c>
      <x:c r="O1432" s="26" t="n">
        <x:v>-156</x:v>
      </x:c>
      <x:c r="P1432" s="26" t="n">
        <x:v>0</x:v>
      </x:c>
      <x:c r="Q1432" s="26" t="n">
        <x:v>0</x:v>
      </x:c>
      <x:c r="R1432" s="26" t="n">
        <x:v>0</x:v>
      </x:c>
      <x:c r="S1432" s="26" t="n">
        <x:v>0</x:v>
      </x:c>
      <x:c r="T1432" s="26" t="n">
        <x:v>0</x:v>
      </x:c>
      <x:c r="U1432" s="26" t="n">
        <x:v>156</x:v>
      </x:c>
      <x:c r="V1432" s="26" t="n">
        <x:v>0</x:v>
      </x:c>
      <x:c r="W1432" s="26" t="n">
        <x:v>0</x:v>
      </x:c>
      <x:c r="X1432" s="26" t="n">
        <x:v>0</x:v>
      </x:c>
      <x:c r="Y1432" s="26" t="n">
        <x:v>0</x:v>
      </x:c>
      <x:c r="Z1432" s="35" t="str">
        <x:v>City Water &amp; Sewer</x:v>
      </x:c>
    </x:row>
    <x:row r="1433">
      <x:c r="A1433" s="20" t="str">
        <x:v>FIN-01430</x:v>
      </x:c>
      <x:c r="B1433" s="23" t="n">
        <x:v>46706</x:v>
      </x:c>
      <x:c r="C1433" s="23" t="n">
        <x:v>46706</x:v>
      </x:c>
      <x:c r="D1433" s="20" t="str">
        <x:v>OperatingExpense</x:v>
      </x:c>
      <x:c r="E1433" s="20" t="str">
        <x:v>Utilities</x:v>
      </x:c>
      <x:c r="F1433" s="20" t="str">
        <x:v>P022</x:v>
      </x:c>
      <x:c r="G1433" s="20" t="str"/>
      <x:c r="H1433" s="20" t="str"/>
      <x:c r="I1433" s="20" t="str">
        <x:v>City Water &amp; Sewer</x:v>
      </x:c>
      <x:c r="J1433" s="35" t="str">
        <x:v>Scanned receipt/invoice</x:v>
      </x:c>
      <x:c r="K1433" s="20" t="str">
        <x:v>SCN-0732</x:v>
      </x:c>
      <x:c r="L1433" s="20" t="str">
        <x:v>EXP-20271115-1222</x:v>
      </x:c>
      <x:c r="M1433" s="26" t="n">
        <x:v>163</x:v>
      </x:c>
      <x:c r="N1433" s="26" t="n">
        <x:v>0</x:v>
      </x:c>
      <x:c r="O1433" s="26" t="n">
        <x:v>-163</x:v>
      </x:c>
      <x:c r="P1433" s="26" t="n">
        <x:v>0</x:v>
      </x:c>
      <x:c r="Q1433" s="26" t="n">
        <x:v>0</x:v>
      </x:c>
      <x:c r="R1433" s="26" t="n">
        <x:v>0</x:v>
      </x:c>
      <x:c r="S1433" s="26" t="n">
        <x:v>0</x:v>
      </x:c>
      <x:c r="T1433" s="26" t="n">
        <x:v>0</x:v>
      </x:c>
      <x:c r="U1433" s="26" t="n">
        <x:v>163</x:v>
      </x:c>
      <x:c r="V1433" s="26" t="n">
        <x:v>0</x:v>
      </x:c>
      <x:c r="W1433" s="26" t="n">
        <x:v>0</x:v>
      </x:c>
      <x:c r="X1433" s="26" t="n">
        <x:v>0</x:v>
      </x:c>
      <x:c r="Y1433" s="26" t="n">
        <x:v>0</x:v>
      </x:c>
      <x:c r="Z1433" s="35" t="str">
        <x:v>City Water &amp; Sewer</x:v>
      </x:c>
    </x:row>
    <x:row r="1434">
      <x:c r="A1434" s="20" t="str">
        <x:v>FIN-01431</x:v>
      </x:c>
      <x:c r="B1434" s="23" t="n">
        <x:v>46706</x:v>
      </x:c>
      <x:c r="C1434" s="23" t="n">
        <x:v>46706</x:v>
      </x:c>
      <x:c r="D1434" s="20" t="str">
        <x:v>OperatingExpense</x:v>
      </x:c>
      <x:c r="E1434" s="20" t="str">
        <x:v>Utilities</x:v>
      </x:c>
      <x:c r="F1434" s="20" t="str">
        <x:v>P023</x:v>
      </x:c>
      <x:c r="G1434" s="20" t="str"/>
      <x:c r="H1434" s="20" t="str"/>
      <x:c r="I1434" s="20" t="str">
        <x:v>City Water &amp; Sewer</x:v>
      </x:c>
      <x:c r="J1434" s="35" t="str">
        <x:v>Scanned receipt/invoice</x:v>
      </x:c>
      <x:c r="K1434" s="20" t="str">
        <x:v>SCN-0733</x:v>
      </x:c>
      <x:c r="L1434" s="20" t="str">
        <x:v>EXP-20271115-1223</x:v>
      </x:c>
      <x:c r="M1434" s="26" t="n">
        <x:v>170</x:v>
      </x:c>
      <x:c r="N1434" s="26" t="n">
        <x:v>0</x:v>
      </x:c>
      <x:c r="O1434" s="26" t="n">
        <x:v>-170</x:v>
      </x:c>
      <x:c r="P1434" s="26" t="n">
        <x:v>0</x:v>
      </x:c>
      <x:c r="Q1434" s="26" t="n">
        <x:v>0</x:v>
      </x:c>
      <x:c r="R1434" s="26" t="n">
        <x:v>0</x:v>
      </x:c>
      <x:c r="S1434" s="26" t="n">
        <x:v>0</x:v>
      </x:c>
      <x:c r="T1434" s="26" t="n">
        <x:v>0</x:v>
      </x:c>
      <x:c r="U1434" s="26" t="n">
        <x:v>170</x:v>
      </x:c>
      <x:c r="V1434" s="26" t="n">
        <x:v>0</x:v>
      </x:c>
      <x:c r="W1434" s="26" t="n">
        <x:v>0</x:v>
      </x:c>
      <x:c r="X1434" s="26" t="n">
        <x:v>0</x:v>
      </x:c>
      <x:c r="Y1434" s="26" t="n">
        <x:v>0</x:v>
      </x:c>
      <x:c r="Z1434" s="35" t="str">
        <x:v>City Water &amp; Sewer</x:v>
      </x:c>
    </x:row>
    <x:row r="1435">
      <x:c r="A1435" s="20" t="str">
        <x:v>FIN-01432</x:v>
      </x:c>
      <x:c r="B1435" s="23" t="n">
        <x:v>46706</x:v>
      </x:c>
      <x:c r="C1435" s="23" t="n">
        <x:v>46706</x:v>
      </x:c>
      <x:c r="D1435" s="20" t="str">
        <x:v>OperatingExpense</x:v>
      </x:c>
      <x:c r="E1435" s="20" t="str">
        <x:v>Utilities</x:v>
      </x:c>
      <x:c r="F1435" s="20" t="str">
        <x:v>P024</x:v>
      </x:c>
      <x:c r="G1435" s="20" t="str"/>
      <x:c r="H1435" s="20" t="str"/>
      <x:c r="I1435" s="20" t="str">
        <x:v>City Water &amp; Sewer</x:v>
      </x:c>
      <x:c r="J1435" s="35" t="str">
        <x:v>Scanned receipt/invoice</x:v>
      </x:c>
      <x:c r="K1435" s="20" t="str">
        <x:v>SCN-0734</x:v>
      </x:c>
      <x:c r="L1435" s="20" t="str">
        <x:v>EXP-20271115-1224</x:v>
      </x:c>
      <x:c r="M1435" s="26" t="n">
        <x:v>177</x:v>
      </x:c>
      <x:c r="N1435" s="26" t="n">
        <x:v>0</x:v>
      </x:c>
      <x:c r="O1435" s="26" t="n">
        <x:v>-177</x:v>
      </x:c>
      <x:c r="P1435" s="26" t="n">
        <x:v>0</x:v>
      </x:c>
      <x:c r="Q1435" s="26" t="n">
        <x:v>0</x:v>
      </x:c>
      <x:c r="R1435" s="26" t="n">
        <x:v>0</x:v>
      </x:c>
      <x:c r="S1435" s="26" t="n">
        <x:v>0</x:v>
      </x:c>
      <x:c r="T1435" s="26" t="n">
        <x:v>0</x:v>
      </x:c>
      <x:c r="U1435" s="26" t="n">
        <x:v>177</x:v>
      </x:c>
      <x:c r="V1435" s="26" t="n">
        <x:v>0</x:v>
      </x:c>
      <x:c r="W1435" s="26" t="n">
        <x:v>0</x:v>
      </x:c>
      <x:c r="X1435" s="26" t="n">
        <x:v>0</x:v>
      </x:c>
      <x:c r="Y1435" s="26" t="n">
        <x:v>0</x:v>
      </x:c>
      <x:c r="Z1435" s="35" t="str">
        <x:v>City Water &amp; Sewer</x:v>
      </x:c>
    </x:row>
    <x:row r="1436">
      <x:c r="A1436" s="20" t="str">
        <x:v>FIN-01433</x:v>
      </x:c>
      <x:c r="B1436" s="23" t="n">
        <x:v>46706</x:v>
      </x:c>
      <x:c r="C1436" s="23" t="n">
        <x:v>46706</x:v>
      </x:c>
      <x:c r="D1436" s="20" t="str">
        <x:v>OperatingExpense</x:v>
      </x:c>
      <x:c r="E1436" s="20" t="str">
        <x:v>Utilities</x:v>
      </x:c>
      <x:c r="F1436" s="20" t="str">
        <x:v>P025</x:v>
      </x:c>
      <x:c r="G1436" s="20" t="str"/>
      <x:c r="H1436" s="20" t="str"/>
      <x:c r="I1436" s="20" t="str">
        <x:v>City Water &amp; Sewer</x:v>
      </x:c>
      <x:c r="J1436" s="35" t="str">
        <x:v>Manual web form</x:v>
      </x:c>
      <x:c r="K1436" s="20" t="str"/>
      <x:c r="L1436" s="20" t="str">
        <x:v>EXP-20271115-1225</x:v>
      </x:c>
      <x:c r="M1436" s="26" t="n">
        <x:v>184</x:v>
      </x:c>
      <x:c r="N1436" s="26" t="n">
        <x:v>0</x:v>
      </x:c>
      <x:c r="O1436" s="26" t="n">
        <x:v>-184</x:v>
      </x:c>
      <x:c r="P1436" s="26" t="n">
        <x:v>0</x:v>
      </x:c>
      <x:c r="Q1436" s="26" t="n">
        <x:v>0</x:v>
      </x:c>
      <x:c r="R1436" s="26" t="n">
        <x:v>0</x:v>
      </x:c>
      <x:c r="S1436" s="26" t="n">
        <x:v>0</x:v>
      </x:c>
      <x:c r="T1436" s="26" t="n">
        <x:v>0</x:v>
      </x:c>
      <x:c r="U1436" s="26" t="n">
        <x:v>184</x:v>
      </x:c>
      <x:c r="V1436" s="26" t="n">
        <x:v>0</x:v>
      </x:c>
      <x:c r="W1436" s="26" t="n">
        <x:v>0</x:v>
      </x:c>
      <x:c r="X1436" s="26" t="n">
        <x:v>0</x:v>
      </x:c>
      <x:c r="Y1436" s="26" t="n">
        <x:v>0</x:v>
      </x:c>
      <x:c r="Z1436" s="35" t="str">
        <x:v>City Water &amp; Sewer</x:v>
      </x:c>
    </x:row>
    <x:row r="1437">
      <x:c r="A1437" s="20" t="str">
        <x:v>FIN-01434</x:v>
      </x:c>
      <x:c r="B1437" s="23" t="n">
        <x:v>46706</x:v>
      </x:c>
      <x:c r="C1437" s="23" t="n">
        <x:v>46706</x:v>
      </x:c>
      <x:c r="D1437" s="20" t="str">
        <x:v>OperatingExpense</x:v>
      </x:c>
      <x:c r="E1437" s="20" t="str">
        <x:v>Utilities</x:v>
      </x:c>
      <x:c r="F1437" s="20" t="str">
        <x:v>P026</x:v>
      </x:c>
      <x:c r="G1437" s="20" t="str"/>
      <x:c r="H1437" s="20" t="str"/>
      <x:c r="I1437" s="20" t="str">
        <x:v>City Water &amp; Sewer</x:v>
      </x:c>
      <x:c r="J1437" s="35" t="str">
        <x:v>Scanned receipt/invoice</x:v>
      </x:c>
      <x:c r="K1437" s="20" t="str">
        <x:v>SCN-0735</x:v>
      </x:c>
      <x:c r="L1437" s="20" t="str">
        <x:v>EXP-20271115-1226</x:v>
      </x:c>
      <x:c r="M1437" s="26" t="n">
        <x:v>191</x:v>
      </x:c>
      <x:c r="N1437" s="26" t="n">
        <x:v>0</x:v>
      </x:c>
      <x:c r="O1437" s="26" t="n">
        <x:v>-191</x:v>
      </x:c>
      <x:c r="P1437" s="26" t="n">
        <x:v>0</x:v>
      </x:c>
      <x:c r="Q1437" s="26" t="n">
        <x:v>0</x:v>
      </x:c>
      <x:c r="R1437" s="26" t="n">
        <x:v>0</x:v>
      </x:c>
      <x:c r="S1437" s="26" t="n">
        <x:v>0</x:v>
      </x:c>
      <x:c r="T1437" s="26" t="n">
        <x:v>0</x:v>
      </x:c>
      <x:c r="U1437" s="26" t="n">
        <x:v>191</x:v>
      </x:c>
      <x:c r="V1437" s="26" t="n">
        <x:v>0</x:v>
      </x:c>
      <x:c r="W1437" s="26" t="n">
        <x:v>0</x:v>
      </x:c>
      <x:c r="X1437" s="26" t="n">
        <x:v>0</x:v>
      </x:c>
      <x:c r="Y1437" s="26" t="n">
        <x:v>0</x:v>
      </x:c>
      <x:c r="Z1437" s="35" t="str">
        <x:v>City Water &amp; Sewer</x:v>
      </x:c>
    </x:row>
    <x:row r="1438">
      <x:c r="A1438" s="20" t="str">
        <x:v>FIN-01435</x:v>
      </x:c>
      <x:c r="B1438" s="23" t="n">
        <x:v>46706</x:v>
      </x:c>
      <x:c r="C1438" s="23" t="n">
        <x:v>46706</x:v>
      </x:c>
      <x:c r="D1438" s="20" t="str">
        <x:v>OperatingExpense</x:v>
      </x:c>
      <x:c r="E1438" s="20" t="str">
        <x:v>Utilities</x:v>
      </x:c>
      <x:c r="F1438" s="20" t="str">
        <x:v>P027</x:v>
      </x:c>
      <x:c r="G1438" s="20" t="str"/>
      <x:c r="H1438" s="20" t="str"/>
      <x:c r="I1438" s="20" t="str">
        <x:v>City Water &amp; Sewer</x:v>
      </x:c>
      <x:c r="J1438" s="35" t="str">
        <x:v>Scanned receipt/invoice</x:v>
      </x:c>
      <x:c r="K1438" s="20" t="str">
        <x:v>SCN-0736</x:v>
      </x:c>
      <x:c r="L1438" s="20" t="str">
        <x:v>EXP-20271115-1227</x:v>
      </x:c>
      <x:c r="M1438" s="26" t="n">
        <x:v>198</x:v>
      </x:c>
      <x:c r="N1438" s="26" t="n">
        <x:v>0</x:v>
      </x:c>
      <x:c r="O1438" s="26" t="n">
        <x:v>-198</x:v>
      </x:c>
      <x:c r="P1438" s="26" t="n">
        <x:v>0</x:v>
      </x:c>
      <x:c r="Q1438" s="26" t="n">
        <x:v>0</x:v>
      </x:c>
      <x:c r="R1438" s="26" t="n">
        <x:v>0</x:v>
      </x:c>
      <x:c r="S1438" s="26" t="n">
        <x:v>0</x:v>
      </x:c>
      <x:c r="T1438" s="26" t="n">
        <x:v>0</x:v>
      </x:c>
      <x:c r="U1438" s="26" t="n">
        <x:v>198</x:v>
      </x:c>
      <x:c r="V1438" s="26" t="n">
        <x:v>0</x:v>
      </x:c>
      <x:c r="W1438" s="26" t="n">
        <x:v>0</x:v>
      </x:c>
      <x:c r="X1438" s="26" t="n">
        <x:v>0</x:v>
      </x:c>
      <x:c r="Y1438" s="26" t="n">
        <x:v>0</x:v>
      </x:c>
      <x:c r="Z1438" s="35" t="str">
        <x:v>City Water &amp; Sewer</x:v>
      </x:c>
    </x:row>
    <x:row r="1439">
      <x:c r="A1439" s="20" t="str">
        <x:v>FIN-01436</x:v>
      </x:c>
      <x:c r="B1439" s="23" t="n">
        <x:v>46706</x:v>
      </x:c>
      <x:c r="C1439" s="23" t="n">
        <x:v>46706</x:v>
      </x:c>
      <x:c r="D1439" s="20" t="str">
        <x:v>OperatingExpense</x:v>
      </x:c>
      <x:c r="E1439" s="20" t="str">
        <x:v>Utilities</x:v>
      </x:c>
      <x:c r="F1439" s="20" t="str">
        <x:v>P028</x:v>
      </x:c>
      <x:c r="G1439" s="20" t="str"/>
      <x:c r="H1439" s="20" t="str"/>
      <x:c r="I1439" s="20" t="str">
        <x:v>City Water &amp; Sewer</x:v>
      </x:c>
      <x:c r="J1439" s="35" t="str">
        <x:v>Scanned receipt/invoice</x:v>
      </x:c>
      <x:c r="K1439" s="20" t="str">
        <x:v>SCN-0737</x:v>
      </x:c>
      <x:c r="L1439" s="20" t="str">
        <x:v>EXP-20271115-1228</x:v>
      </x:c>
      <x:c r="M1439" s="26" t="n">
        <x:v>205</x:v>
      </x:c>
      <x:c r="N1439" s="26" t="n">
        <x:v>0</x:v>
      </x:c>
      <x:c r="O1439" s="26" t="n">
        <x:v>-205</x:v>
      </x:c>
      <x:c r="P1439" s="26" t="n">
        <x:v>0</x:v>
      </x:c>
      <x:c r="Q1439" s="26" t="n">
        <x:v>0</x:v>
      </x:c>
      <x:c r="R1439" s="26" t="n">
        <x:v>0</x:v>
      </x:c>
      <x:c r="S1439" s="26" t="n">
        <x:v>0</x:v>
      </x:c>
      <x:c r="T1439" s="26" t="n">
        <x:v>0</x:v>
      </x:c>
      <x:c r="U1439" s="26" t="n">
        <x:v>205</x:v>
      </x:c>
      <x:c r="V1439" s="26" t="n">
        <x:v>0</x:v>
      </x:c>
      <x:c r="W1439" s="26" t="n">
        <x:v>0</x:v>
      </x:c>
      <x:c r="X1439" s="26" t="n">
        <x:v>0</x:v>
      </x:c>
      <x:c r="Y1439" s="26" t="n">
        <x:v>0</x:v>
      </x:c>
      <x:c r="Z1439" s="35" t="str">
        <x:v>City Water &amp; Sewer</x:v>
      </x:c>
    </x:row>
    <x:row r="1440">
      <x:c r="A1440" s="20" t="str">
        <x:v>FIN-01437</x:v>
      </x:c>
      <x:c r="B1440" s="23" t="n">
        <x:v>46706</x:v>
      </x:c>
      <x:c r="C1440" s="23" t="n">
        <x:v>46706</x:v>
      </x:c>
      <x:c r="D1440" s="20" t="str">
        <x:v>OperatingExpense</x:v>
      </x:c>
      <x:c r="E1440" s="20" t="str">
        <x:v>Utilities</x:v>
      </x:c>
      <x:c r="F1440" s="20" t="str">
        <x:v>P029</x:v>
      </x:c>
      <x:c r="G1440" s="20" t="str"/>
      <x:c r="H1440" s="20" t="str"/>
      <x:c r="I1440" s="20" t="str">
        <x:v>City Water &amp; Sewer</x:v>
      </x:c>
      <x:c r="J1440" s="35" t="str">
        <x:v>Scanned receipt/invoice</x:v>
      </x:c>
      <x:c r="K1440" s="20" t="str">
        <x:v>SCN-0738</x:v>
      </x:c>
      <x:c r="L1440" s="20" t="str">
        <x:v>EXP-20271115-1229</x:v>
      </x:c>
      <x:c r="M1440" s="26" t="n">
        <x:v>122</x:v>
      </x:c>
      <x:c r="N1440" s="26" t="n">
        <x:v>0</x:v>
      </x:c>
      <x:c r="O1440" s="26" t="n">
        <x:v>-122</x:v>
      </x:c>
      <x:c r="P1440" s="26" t="n">
        <x:v>0</x:v>
      </x:c>
      <x:c r="Q1440" s="26" t="n">
        <x:v>0</x:v>
      </x:c>
      <x:c r="R1440" s="26" t="n">
        <x:v>0</x:v>
      </x:c>
      <x:c r="S1440" s="26" t="n">
        <x:v>0</x:v>
      </x:c>
      <x:c r="T1440" s="26" t="n">
        <x:v>0</x:v>
      </x:c>
      <x:c r="U1440" s="26" t="n">
        <x:v>122</x:v>
      </x:c>
      <x:c r="V1440" s="26" t="n">
        <x:v>0</x:v>
      </x:c>
      <x:c r="W1440" s="26" t="n">
        <x:v>0</x:v>
      </x:c>
      <x:c r="X1440" s="26" t="n">
        <x:v>0</x:v>
      </x:c>
      <x:c r="Y1440" s="26" t="n">
        <x:v>0</x:v>
      </x:c>
      <x:c r="Z1440" s="35" t="str">
        <x:v>City Water &amp; Sewer</x:v>
      </x:c>
    </x:row>
    <x:row r="1441">
      <x:c r="A1441" s="20" t="str">
        <x:v>FIN-01438</x:v>
      </x:c>
      <x:c r="B1441" s="23" t="n">
        <x:v>46706</x:v>
      </x:c>
      <x:c r="C1441" s="23" t="n">
        <x:v>46706</x:v>
      </x:c>
      <x:c r="D1441" s="20" t="str">
        <x:v>OperatingExpense</x:v>
      </x:c>
      <x:c r="E1441" s="20" t="str">
        <x:v>Utilities</x:v>
      </x:c>
      <x:c r="F1441" s="20" t="str">
        <x:v>P030</x:v>
      </x:c>
      <x:c r="G1441" s="20" t="str"/>
      <x:c r="H1441" s="20" t="str"/>
      <x:c r="I1441" s="20" t="str">
        <x:v>City Water &amp; Sewer</x:v>
      </x:c>
      <x:c r="J1441" s="35" t="str">
        <x:v>Manual mobile form</x:v>
      </x:c>
      <x:c r="K1441" s="20" t="str"/>
      <x:c r="L1441" s="20" t="str">
        <x:v>EXP-20271115-1230</x:v>
      </x:c>
      <x:c r="M1441" s="26" t="n">
        <x:v>129</x:v>
      </x:c>
      <x:c r="N1441" s="26" t="n">
        <x:v>0</x:v>
      </x:c>
      <x:c r="O1441" s="26" t="n">
        <x:v>-129</x:v>
      </x:c>
      <x:c r="P1441" s="26" t="n">
        <x:v>0</x:v>
      </x:c>
      <x:c r="Q1441" s="26" t="n">
        <x:v>0</x:v>
      </x:c>
      <x:c r="R1441" s="26" t="n">
        <x:v>0</x:v>
      </x:c>
      <x:c r="S1441" s="26" t="n">
        <x:v>0</x:v>
      </x:c>
      <x:c r="T1441" s="26" t="n">
        <x:v>0</x:v>
      </x:c>
      <x:c r="U1441" s="26" t="n">
        <x:v>129</x:v>
      </x:c>
      <x:c r="V1441" s="26" t="n">
        <x:v>0</x:v>
      </x:c>
      <x:c r="W1441" s="26" t="n">
        <x:v>0</x:v>
      </x:c>
      <x:c r="X1441" s="26" t="n">
        <x:v>0</x:v>
      </x:c>
      <x:c r="Y1441" s="26" t="n">
        <x:v>0</x:v>
      </x:c>
      <x:c r="Z1441" s="35" t="str">
        <x:v>City Water &amp; Sewer</x:v>
      </x:c>
    </x:row>
    <x:row r="1442">
      <x:c r="A1442" s="20" t="str">
        <x:v>FIN-01439</x:v>
      </x:c>
      <x:c r="B1442" s="23" t="n">
        <x:v>46711</x:v>
      </x:c>
      <x:c r="C1442" s="23" t="n">
        <x:v>46711</x:v>
      </x:c>
      <x:c r="D1442" s="20" t="str">
        <x:v>LoanPayment</x:v>
      </x:c>
      <x:c r="E1442" s="20" t="str">
        <x:v>Mortgage principal and interest</x:v>
      </x:c>
      <x:c r="F1442" s="20" t="str">
        <x:v>P001</x:v>
      </x:c>
      <x:c r="G1442" s="20" t="str"/>
      <x:c r="H1442" s="20" t="str"/>
      <x:c r="I1442" s="20" t="str">
        <x:v>First QA Mortgage</x:v>
      </x:c>
      <x:c r="J1442" s="35" t="str">
        <x:v>Recurring loan payment + scanned statement</x:v>
      </x:c>
      <x:c r="K1442" s="20" t="str">
        <x:v>SCN-0739</x:v>
      </x:c>
      <x:c r="L1442" s="20" t="str">
        <x:v>LN001-202711</x:v>
      </x:c>
      <x:c r="M1442" s="26" t="n">
        <x:v>974</x:v>
      </x:c>
      <x:c r="N1442" s="26" t="n">
        <x:v>0</x:v>
      </x:c>
      <x:c r="O1442" s="26" t="n">
        <x:v>-974</x:v>
      </x:c>
      <x:c r="P1442" s="26" t="n">
        <x:v>0</x:v>
      </x:c>
      <x:c r="Q1442" s="26" t="n">
        <x:v>0</x:v>
      </x:c>
      <x:c r="R1442" s="26" t="n">
        <x:v>0</x:v>
      </x:c>
      <x:c r="S1442" s="26" t="n">
        <x:v>-431</x:v>
      </x:c>
      <x:c r="T1442" s="26" t="n">
        <x:v>0</x:v>
      </x:c>
      <x:c r="U1442" s="26" t="n">
        <x:v>543</x:v>
      </x:c>
      <x:c r="V1442" s="26" t="n">
        <x:v>0</x:v>
      </x:c>
      <x:c r="W1442" s="26" t="n">
        <x:v>0</x:v>
      </x:c>
      <x:c r="X1442" s="26" t="n">
        <x:v>0</x:v>
      </x:c>
      <x:c r="Y1442" s="26" t="n">
        <x:v>0</x:v>
      </x:c>
      <x:c r="Z1442" s="35" t="str">
        <x:v>LN001 scheduled payment</x:v>
      </x:c>
    </x:row>
    <x:row r="1443">
      <x:c r="A1443" s="20" t="str">
        <x:v>FIN-01440</x:v>
      </x:c>
      <x:c r="B1443" s="23" t="n">
        <x:v>46711</x:v>
      </x:c>
      <x:c r="C1443" s="23" t="n">
        <x:v>46711</x:v>
      </x:c>
      <x:c r="D1443" s="20" t="str">
        <x:v>LoanPayment</x:v>
      </x:c>
      <x:c r="E1443" s="20" t="str">
        <x:v>Mortgage principal and interest</x:v>
      </x:c>
      <x:c r="F1443" s="20" t="str">
        <x:v>P002</x:v>
      </x:c>
      <x:c r="G1443" s="20" t="str"/>
      <x:c r="H1443" s="20" t="str"/>
      <x:c r="I1443" s="20" t="str">
        <x:v>First QA Mortgage</x:v>
      </x:c>
      <x:c r="J1443" s="35" t="str">
        <x:v>Recurring loan payment + scanned statement</x:v>
      </x:c>
      <x:c r="K1443" s="20" t="str">
        <x:v>SCN-0740</x:v>
      </x:c>
      <x:c r="L1443" s="20" t="str">
        <x:v>LN002-202711</x:v>
      </x:c>
      <x:c r="M1443" s="26" t="n">
        <x:v>998</x:v>
      </x:c>
      <x:c r="N1443" s="26" t="n">
        <x:v>0</x:v>
      </x:c>
      <x:c r="O1443" s="26" t="n">
        <x:v>-998</x:v>
      </x:c>
      <x:c r="P1443" s="26" t="n">
        <x:v>0</x:v>
      </x:c>
      <x:c r="Q1443" s="26" t="n">
        <x:v>0</x:v>
      </x:c>
      <x:c r="R1443" s="26" t="n">
        <x:v>0</x:v>
      </x:c>
      <x:c r="S1443" s="26" t="n">
        <x:v>-442</x:v>
      </x:c>
      <x:c r="T1443" s="26" t="n">
        <x:v>0</x:v>
      </x:c>
      <x:c r="U1443" s="26" t="n">
        <x:v>556</x:v>
      </x:c>
      <x:c r="V1443" s="26" t="n">
        <x:v>0</x:v>
      </x:c>
      <x:c r="W1443" s="26" t="n">
        <x:v>0</x:v>
      </x:c>
      <x:c r="X1443" s="26" t="n">
        <x:v>0</x:v>
      </x:c>
      <x:c r="Y1443" s="26" t="n">
        <x:v>0</x:v>
      </x:c>
      <x:c r="Z1443" s="35" t="str">
        <x:v>LN002 scheduled payment</x:v>
      </x:c>
    </x:row>
    <x:row r="1444">
      <x:c r="A1444" s="20" t="str">
        <x:v>FIN-01441</x:v>
      </x:c>
      <x:c r="B1444" s="23" t="n">
        <x:v>46711</x:v>
      </x:c>
      <x:c r="C1444" s="23" t="n">
        <x:v>46711</x:v>
      </x:c>
      <x:c r="D1444" s="20" t="str">
        <x:v>LoanPayment</x:v>
      </x:c>
      <x:c r="E1444" s="20" t="str">
        <x:v>Mortgage principal and interest</x:v>
      </x:c>
      <x:c r="F1444" s="20" t="str">
        <x:v>P004</x:v>
      </x:c>
      <x:c r="G1444" s="20" t="str"/>
      <x:c r="H1444" s="20" t="str"/>
      <x:c r="I1444" s="20" t="str">
        <x:v>First QA Mortgage</x:v>
      </x:c>
      <x:c r="J1444" s="35" t="str">
        <x:v>Recurring loan payment + scanned statement</x:v>
      </x:c>
      <x:c r="K1444" s="20" t="str">
        <x:v>SCN-0741</x:v>
      </x:c>
      <x:c r="L1444" s="20" t="str">
        <x:v>LN004-202711</x:v>
      </x:c>
      <x:c r="M1444" s="26" t="n">
        <x:v>1046</x:v>
      </x:c>
      <x:c r="N1444" s="26" t="n">
        <x:v>0</x:v>
      </x:c>
      <x:c r="O1444" s="26" t="n">
        <x:v>-1046</x:v>
      </x:c>
      <x:c r="P1444" s="26" t="n">
        <x:v>0</x:v>
      </x:c>
      <x:c r="Q1444" s="26" t="n">
        <x:v>0</x:v>
      </x:c>
      <x:c r="R1444" s="26" t="n">
        <x:v>0</x:v>
      </x:c>
      <x:c r="S1444" s="26" t="n">
        <x:v>-464</x:v>
      </x:c>
      <x:c r="T1444" s="26" t="n">
        <x:v>0</x:v>
      </x:c>
      <x:c r="U1444" s="26" t="n">
        <x:v>582</x:v>
      </x:c>
      <x:c r="V1444" s="26" t="n">
        <x:v>0</x:v>
      </x:c>
      <x:c r="W1444" s="26" t="n">
        <x:v>0</x:v>
      </x:c>
      <x:c r="X1444" s="26" t="n">
        <x:v>0</x:v>
      </x:c>
      <x:c r="Y1444" s="26" t="n">
        <x:v>0</x:v>
      </x:c>
      <x:c r="Z1444" s="35" t="str">
        <x:v>LN004 scheduled payment</x:v>
      </x:c>
    </x:row>
    <x:row r="1445">
      <x:c r="A1445" s="20" t="str">
        <x:v>FIN-01442</x:v>
      </x:c>
      <x:c r="B1445" s="23" t="n">
        <x:v>46711</x:v>
      </x:c>
      <x:c r="C1445" s="23" t="n">
        <x:v>46711</x:v>
      </x:c>
      <x:c r="D1445" s="20" t="str">
        <x:v>LoanPayment</x:v>
      </x:c>
      <x:c r="E1445" s="20" t="str">
        <x:v>Mortgage principal and interest</x:v>
      </x:c>
      <x:c r="F1445" s="20" t="str">
        <x:v>P005</x:v>
      </x:c>
      <x:c r="G1445" s="20" t="str"/>
      <x:c r="H1445" s="20" t="str"/>
      <x:c r="I1445" s="20" t="str">
        <x:v>First QA Mortgage</x:v>
      </x:c>
      <x:c r="J1445" s="35" t="str">
        <x:v>Recurring loan payment + scanned statement</x:v>
      </x:c>
      <x:c r="K1445" s="20" t="str">
        <x:v>SCN-0742</x:v>
      </x:c>
      <x:c r="L1445" s="20" t="str">
        <x:v>LN005-202711</x:v>
      </x:c>
      <x:c r="M1445" s="26" t="n">
        <x:v>1070</x:v>
      </x:c>
      <x:c r="N1445" s="26" t="n">
        <x:v>0</x:v>
      </x:c>
      <x:c r="O1445" s="26" t="n">
        <x:v>-1070</x:v>
      </x:c>
      <x:c r="P1445" s="26" t="n">
        <x:v>0</x:v>
      </x:c>
      <x:c r="Q1445" s="26" t="n">
        <x:v>0</x:v>
      </x:c>
      <x:c r="R1445" s="26" t="n">
        <x:v>0</x:v>
      </x:c>
      <x:c r="S1445" s="26" t="n">
        <x:v>-475</x:v>
      </x:c>
      <x:c r="T1445" s="26" t="n">
        <x:v>0</x:v>
      </x:c>
      <x:c r="U1445" s="26" t="n">
        <x:v>595</x:v>
      </x:c>
      <x:c r="V1445" s="26" t="n">
        <x:v>0</x:v>
      </x:c>
      <x:c r="W1445" s="26" t="n">
        <x:v>0</x:v>
      </x:c>
      <x:c r="X1445" s="26" t="n">
        <x:v>0</x:v>
      </x:c>
      <x:c r="Y1445" s="26" t="n">
        <x:v>0</x:v>
      </x:c>
      <x:c r="Z1445" s="35" t="str">
        <x:v>LN005 scheduled payment</x:v>
      </x:c>
    </x:row>
    <x:row r="1446">
      <x:c r="A1446" s="20" t="str">
        <x:v>FIN-01443</x:v>
      </x:c>
      <x:c r="B1446" s="23" t="n">
        <x:v>46711</x:v>
      </x:c>
      <x:c r="C1446" s="23" t="n">
        <x:v>46711</x:v>
      </x:c>
      <x:c r="D1446" s="20" t="str">
        <x:v>LoanPayment</x:v>
      </x:c>
      <x:c r="E1446" s="20" t="str">
        <x:v>Mortgage principal and interest</x:v>
      </x:c>
      <x:c r="F1446" s="20" t="str">
        <x:v>P007</x:v>
      </x:c>
      <x:c r="G1446" s="20" t="str"/>
      <x:c r="H1446" s="20" t="str"/>
      <x:c r="I1446" s="20" t="str">
        <x:v>First QA Mortgage</x:v>
      </x:c>
      <x:c r="J1446" s="35" t="str">
        <x:v>Recurring loan payment + scanned statement</x:v>
      </x:c>
      <x:c r="K1446" s="20" t="str">
        <x:v>SCN-0743</x:v>
      </x:c>
      <x:c r="L1446" s="20" t="str">
        <x:v>LN007-202711</x:v>
      </x:c>
      <x:c r="M1446" s="26" t="n">
        <x:v>1118</x:v>
      </x:c>
      <x:c r="N1446" s="26" t="n">
        <x:v>0</x:v>
      </x:c>
      <x:c r="O1446" s="26" t="n">
        <x:v>-1118</x:v>
      </x:c>
      <x:c r="P1446" s="26" t="n">
        <x:v>0</x:v>
      </x:c>
      <x:c r="Q1446" s="26" t="n">
        <x:v>0</x:v>
      </x:c>
      <x:c r="R1446" s="26" t="n">
        <x:v>0</x:v>
      </x:c>
      <x:c r="S1446" s="26" t="n">
        <x:v>-497</x:v>
      </x:c>
      <x:c r="T1446" s="26" t="n">
        <x:v>0</x:v>
      </x:c>
      <x:c r="U1446" s="26" t="n">
        <x:v>621</x:v>
      </x:c>
      <x:c r="V1446" s="26" t="n">
        <x:v>0</x:v>
      </x:c>
      <x:c r="W1446" s="26" t="n">
        <x:v>0</x:v>
      </x:c>
      <x:c r="X1446" s="26" t="n">
        <x:v>0</x:v>
      </x:c>
      <x:c r="Y1446" s="26" t="n">
        <x:v>0</x:v>
      </x:c>
      <x:c r="Z1446" s="35" t="str">
        <x:v>LN007 scheduled payment</x:v>
      </x:c>
    </x:row>
    <x:row r="1447">
      <x:c r="A1447" s="20" t="str">
        <x:v>FIN-01444</x:v>
      </x:c>
      <x:c r="B1447" s="23" t="n">
        <x:v>46711</x:v>
      </x:c>
      <x:c r="C1447" s="23" t="n">
        <x:v>46711</x:v>
      </x:c>
      <x:c r="D1447" s="20" t="str">
        <x:v>LoanPayment</x:v>
      </x:c>
      <x:c r="E1447" s="20" t="str">
        <x:v>Mortgage principal and interest</x:v>
      </x:c>
      <x:c r="F1447" s="20" t="str">
        <x:v>P008</x:v>
      </x:c>
      <x:c r="G1447" s="20" t="str"/>
      <x:c r="H1447" s="20" t="str"/>
      <x:c r="I1447" s="20" t="str">
        <x:v>First QA Mortgage</x:v>
      </x:c>
      <x:c r="J1447" s="35" t="str">
        <x:v>Recurring loan payment + scanned statement</x:v>
      </x:c>
      <x:c r="K1447" s="20" t="str">
        <x:v>SCN-0744</x:v>
      </x:c>
      <x:c r="L1447" s="20" t="str">
        <x:v>LN008-202711</x:v>
      </x:c>
      <x:c r="M1447" s="26" t="n">
        <x:v>1142</x:v>
      </x:c>
      <x:c r="N1447" s="26" t="n">
        <x:v>0</x:v>
      </x:c>
      <x:c r="O1447" s="26" t="n">
        <x:v>-1142</x:v>
      </x:c>
      <x:c r="P1447" s="26" t="n">
        <x:v>0</x:v>
      </x:c>
      <x:c r="Q1447" s="26" t="n">
        <x:v>0</x:v>
      </x:c>
      <x:c r="R1447" s="26" t="n">
        <x:v>0</x:v>
      </x:c>
      <x:c r="S1447" s="26" t="n">
        <x:v>-508</x:v>
      </x:c>
      <x:c r="T1447" s="26" t="n">
        <x:v>0</x:v>
      </x:c>
      <x:c r="U1447" s="26" t="n">
        <x:v>634</x:v>
      </x:c>
      <x:c r="V1447" s="26" t="n">
        <x:v>0</x:v>
      </x:c>
      <x:c r="W1447" s="26" t="n">
        <x:v>0</x:v>
      </x:c>
      <x:c r="X1447" s="26" t="n">
        <x:v>0</x:v>
      </x:c>
      <x:c r="Y1447" s="26" t="n">
        <x:v>0</x:v>
      </x:c>
      <x:c r="Z1447" s="35" t="str">
        <x:v>LN008 scheduled payment</x:v>
      </x:c>
    </x:row>
    <x:row r="1448">
      <x:c r="A1448" s="20" t="str">
        <x:v>FIN-01445</x:v>
      </x:c>
      <x:c r="B1448" s="23" t="n">
        <x:v>46711</x:v>
      </x:c>
      <x:c r="C1448" s="23" t="n">
        <x:v>46711</x:v>
      </x:c>
      <x:c r="D1448" s="20" t="str">
        <x:v>LoanPayment</x:v>
      </x:c>
      <x:c r="E1448" s="20" t="str">
        <x:v>Mortgage principal and interest</x:v>
      </x:c>
      <x:c r="F1448" s="20" t="str">
        <x:v>P010</x:v>
      </x:c>
      <x:c r="G1448" s="20" t="str"/>
      <x:c r="H1448" s="20" t="str"/>
      <x:c r="I1448" s="20" t="str">
        <x:v>First QA Mortgage</x:v>
      </x:c>
      <x:c r="J1448" s="35" t="str">
        <x:v>Recurring loan payment + scanned statement</x:v>
      </x:c>
      <x:c r="K1448" s="20" t="str">
        <x:v>SCN-0745</x:v>
      </x:c>
      <x:c r="L1448" s="20" t="str">
        <x:v>LN010-202711</x:v>
      </x:c>
      <x:c r="M1448" s="26" t="n">
        <x:v>1190</x:v>
      </x:c>
      <x:c r="N1448" s="26" t="n">
        <x:v>0</x:v>
      </x:c>
      <x:c r="O1448" s="26" t="n">
        <x:v>-1190</x:v>
      </x:c>
      <x:c r="P1448" s="26" t="n">
        <x:v>0</x:v>
      </x:c>
      <x:c r="Q1448" s="26" t="n">
        <x:v>0</x:v>
      </x:c>
      <x:c r="R1448" s="26" t="n">
        <x:v>0</x:v>
      </x:c>
      <x:c r="S1448" s="26" t="n">
        <x:v>-530</x:v>
      </x:c>
      <x:c r="T1448" s="26" t="n">
        <x:v>0</x:v>
      </x:c>
      <x:c r="U1448" s="26" t="n">
        <x:v>660</x:v>
      </x:c>
      <x:c r="V1448" s="26" t="n">
        <x:v>0</x:v>
      </x:c>
      <x:c r="W1448" s="26" t="n">
        <x:v>0</x:v>
      </x:c>
      <x:c r="X1448" s="26" t="n">
        <x:v>0</x:v>
      </x:c>
      <x:c r="Y1448" s="26" t="n">
        <x:v>0</x:v>
      </x:c>
      <x:c r="Z1448" s="35" t="str">
        <x:v>LN010 scheduled payment</x:v>
      </x:c>
    </x:row>
    <x:row r="1449">
      <x:c r="A1449" s="20" t="str">
        <x:v>FIN-01446</x:v>
      </x:c>
      <x:c r="B1449" s="23" t="n">
        <x:v>46711</x:v>
      </x:c>
      <x:c r="C1449" s="23" t="n">
        <x:v>46711</x:v>
      </x:c>
      <x:c r="D1449" s="20" t="str">
        <x:v>LoanPayment</x:v>
      </x:c>
      <x:c r="E1449" s="20" t="str">
        <x:v>Mortgage principal and interest</x:v>
      </x:c>
      <x:c r="F1449" s="20" t="str">
        <x:v>P011</x:v>
      </x:c>
      <x:c r="G1449" s="20" t="str"/>
      <x:c r="H1449" s="20" t="str"/>
      <x:c r="I1449" s="20" t="str">
        <x:v>First QA Mortgage</x:v>
      </x:c>
      <x:c r="J1449" s="35" t="str">
        <x:v>Recurring loan payment + scanned statement</x:v>
      </x:c>
      <x:c r="K1449" s="20" t="str">
        <x:v>SCN-0746</x:v>
      </x:c>
      <x:c r="L1449" s="20" t="str">
        <x:v>LN011-202711</x:v>
      </x:c>
      <x:c r="M1449" s="26" t="n">
        <x:v>1214</x:v>
      </x:c>
      <x:c r="N1449" s="26" t="n">
        <x:v>0</x:v>
      </x:c>
      <x:c r="O1449" s="26" t="n">
        <x:v>-1214</x:v>
      </x:c>
      <x:c r="P1449" s="26" t="n">
        <x:v>0</x:v>
      </x:c>
      <x:c r="Q1449" s="26" t="n">
        <x:v>0</x:v>
      </x:c>
      <x:c r="R1449" s="26" t="n">
        <x:v>0</x:v>
      </x:c>
      <x:c r="S1449" s="26" t="n">
        <x:v>-541</x:v>
      </x:c>
      <x:c r="T1449" s="26" t="n">
        <x:v>0</x:v>
      </x:c>
      <x:c r="U1449" s="26" t="n">
        <x:v>673</x:v>
      </x:c>
      <x:c r="V1449" s="26" t="n">
        <x:v>0</x:v>
      </x:c>
      <x:c r="W1449" s="26" t="n">
        <x:v>0</x:v>
      </x:c>
      <x:c r="X1449" s="26" t="n">
        <x:v>0</x:v>
      </x:c>
      <x:c r="Y1449" s="26" t="n">
        <x:v>0</x:v>
      </x:c>
      <x:c r="Z1449" s="35" t="str">
        <x:v>LN011 scheduled payment</x:v>
      </x:c>
    </x:row>
    <x:row r="1450">
      <x:c r="A1450" s="20" t="str">
        <x:v>FIN-01447</x:v>
      </x:c>
      <x:c r="B1450" s="23" t="n">
        <x:v>46711</x:v>
      </x:c>
      <x:c r="C1450" s="23" t="n">
        <x:v>46711</x:v>
      </x:c>
      <x:c r="D1450" s="20" t="str">
        <x:v>LoanPayment</x:v>
      </x:c>
      <x:c r="E1450" s="20" t="str">
        <x:v>Mortgage principal and interest</x:v>
      </x:c>
      <x:c r="F1450" s="20" t="str">
        <x:v>P013</x:v>
      </x:c>
      <x:c r="G1450" s="20" t="str"/>
      <x:c r="H1450" s="20" t="str"/>
      <x:c r="I1450" s="20" t="str">
        <x:v>First QA Mortgage</x:v>
      </x:c>
      <x:c r="J1450" s="35" t="str">
        <x:v>Recurring loan payment + scanned statement</x:v>
      </x:c>
      <x:c r="K1450" s="20" t="str">
        <x:v>SCN-0747</x:v>
      </x:c>
      <x:c r="L1450" s="20" t="str">
        <x:v>LN013-202711</x:v>
      </x:c>
      <x:c r="M1450" s="26" t="n">
        <x:v>1262</x:v>
      </x:c>
      <x:c r="N1450" s="26" t="n">
        <x:v>0</x:v>
      </x:c>
      <x:c r="O1450" s="26" t="n">
        <x:v>-1262</x:v>
      </x:c>
      <x:c r="P1450" s="26" t="n">
        <x:v>0</x:v>
      </x:c>
      <x:c r="Q1450" s="26" t="n">
        <x:v>0</x:v>
      </x:c>
      <x:c r="R1450" s="26" t="n">
        <x:v>0</x:v>
      </x:c>
      <x:c r="S1450" s="26" t="n">
        <x:v>-563</x:v>
      </x:c>
      <x:c r="T1450" s="26" t="n">
        <x:v>0</x:v>
      </x:c>
      <x:c r="U1450" s="26" t="n">
        <x:v>699</x:v>
      </x:c>
      <x:c r="V1450" s="26" t="n">
        <x:v>0</x:v>
      </x:c>
      <x:c r="W1450" s="26" t="n">
        <x:v>0</x:v>
      </x:c>
      <x:c r="X1450" s="26" t="n">
        <x:v>0</x:v>
      </x:c>
      <x:c r="Y1450" s="26" t="n">
        <x:v>0</x:v>
      </x:c>
      <x:c r="Z1450" s="35" t="str">
        <x:v>LN013 scheduled payment</x:v>
      </x:c>
    </x:row>
    <x:row r="1451">
      <x:c r="A1451" s="20" t="str">
        <x:v>FIN-01448</x:v>
      </x:c>
      <x:c r="B1451" s="23" t="n">
        <x:v>46711</x:v>
      </x:c>
      <x:c r="C1451" s="23" t="n">
        <x:v>46711</x:v>
      </x:c>
      <x:c r="D1451" s="20" t="str">
        <x:v>LoanPayment</x:v>
      </x:c>
      <x:c r="E1451" s="20" t="str">
        <x:v>Mortgage principal and interest</x:v>
      </x:c>
      <x:c r="F1451" s="20" t="str">
        <x:v>P014</x:v>
      </x:c>
      <x:c r="G1451" s="20" t="str"/>
      <x:c r="H1451" s="20" t="str"/>
      <x:c r="I1451" s="20" t="str">
        <x:v>First QA Mortgage</x:v>
      </x:c>
      <x:c r="J1451" s="35" t="str">
        <x:v>Recurring loan payment + scanned statement</x:v>
      </x:c>
      <x:c r="K1451" s="20" t="str">
        <x:v>SCN-0748</x:v>
      </x:c>
      <x:c r="L1451" s="20" t="str">
        <x:v>LN014-202711</x:v>
      </x:c>
      <x:c r="M1451" s="26" t="n">
        <x:v>1286</x:v>
      </x:c>
      <x:c r="N1451" s="26" t="n">
        <x:v>0</x:v>
      </x:c>
      <x:c r="O1451" s="26" t="n">
        <x:v>-1286</x:v>
      </x:c>
      <x:c r="P1451" s="26" t="n">
        <x:v>0</x:v>
      </x:c>
      <x:c r="Q1451" s="26" t="n">
        <x:v>0</x:v>
      </x:c>
      <x:c r="R1451" s="26" t="n">
        <x:v>0</x:v>
      </x:c>
      <x:c r="S1451" s="26" t="n">
        <x:v>-574</x:v>
      </x:c>
      <x:c r="T1451" s="26" t="n">
        <x:v>0</x:v>
      </x:c>
      <x:c r="U1451" s="26" t="n">
        <x:v>712</x:v>
      </x:c>
      <x:c r="V1451" s="26" t="n">
        <x:v>0</x:v>
      </x:c>
      <x:c r="W1451" s="26" t="n">
        <x:v>0</x:v>
      </x:c>
      <x:c r="X1451" s="26" t="n">
        <x:v>0</x:v>
      </x:c>
      <x:c r="Y1451" s="26" t="n">
        <x:v>0</x:v>
      </x:c>
      <x:c r="Z1451" s="35" t="str">
        <x:v>LN014 scheduled payment</x:v>
      </x:c>
    </x:row>
    <x:row r="1452">
      <x:c r="A1452" s="20" t="str">
        <x:v>FIN-01449</x:v>
      </x:c>
      <x:c r="B1452" s="23" t="n">
        <x:v>46711</x:v>
      </x:c>
      <x:c r="C1452" s="23" t="n">
        <x:v>46711</x:v>
      </x:c>
      <x:c r="D1452" s="20" t="str">
        <x:v>LoanPayment</x:v>
      </x:c>
      <x:c r="E1452" s="20" t="str">
        <x:v>Mortgage principal and interest</x:v>
      </x:c>
      <x:c r="F1452" s="20" t="str">
        <x:v>P016</x:v>
      </x:c>
      <x:c r="G1452" s="20" t="str"/>
      <x:c r="H1452" s="20" t="str"/>
      <x:c r="I1452" s="20" t="str">
        <x:v>First QA Mortgage</x:v>
      </x:c>
      <x:c r="J1452" s="35" t="str">
        <x:v>Recurring loan payment + scanned statement</x:v>
      </x:c>
      <x:c r="K1452" s="20" t="str">
        <x:v>SCN-0749</x:v>
      </x:c>
      <x:c r="L1452" s="20" t="str">
        <x:v>LN016-202711</x:v>
      </x:c>
      <x:c r="M1452" s="26" t="n">
        <x:v>1334</x:v>
      </x:c>
      <x:c r="N1452" s="26" t="n">
        <x:v>0</x:v>
      </x:c>
      <x:c r="O1452" s="26" t="n">
        <x:v>-1334</x:v>
      </x:c>
      <x:c r="P1452" s="26" t="n">
        <x:v>0</x:v>
      </x:c>
      <x:c r="Q1452" s="26" t="n">
        <x:v>0</x:v>
      </x:c>
      <x:c r="R1452" s="26" t="n">
        <x:v>0</x:v>
      </x:c>
      <x:c r="S1452" s="26" t="n">
        <x:v>-596</x:v>
      </x:c>
      <x:c r="T1452" s="26" t="n">
        <x:v>0</x:v>
      </x:c>
      <x:c r="U1452" s="26" t="n">
        <x:v>738</x:v>
      </x:c>
      <x:c r="V1452" s="26" t="n">
        <x:v>0</x:v>
      </x:c>
      <x:c r="W1452" s="26" t="n">
        <x:v>0</x:v>
      </x:c>
      <x:c r="X1452" s="26" t="n">
        <x:v>0</x:v>
      </x:c>
      <x:c r="Y1452" s="26" t="n">
        <x:v>0</x:v>
      </x:c>
      <x:c r="Z1452" s="35" t="str">
        <x:v>LN016 scheduled payment</x:v>
      </x:c>
    </x:row>
    <x:row r="1453">
      <x:c r="A1453" s="20" t="str">
        <x:v>FIN-01450</x:v>
      </x:c>
      <x:c r="B1453" s="23" t="n">
        <x:v>46711</x:v>
      </x:c>
      <x:c r="C1453" s="23" t="n">
        <x:v>46711</x:v>
      </x:c>
      <x:c r="D1453" s="20" t="str">
        <x:v>LoanPayment</x:v>
      </x:c>
      <x:c r="E1453" s="20" t="str">
        <x:v>Mortgage principal and interest</x:v>
      </x:c>
      <x:c r="F1453" s="20" t="str">
        <x:v>P017</x:v>
      </x:c>
      <x:c r="G1453" s="20" t="str"/>
      <x:c r="H1453" s="20" t="str"/>
      <x:c r="I1453" s="20" t="str">
        <x:v>First QA Mortgage</x:v>
      </x:c>
      <x:c r="J1453" s="35" t="str">
        <x:v>Recurring loan payment + scanned statement</x:v>
      </x:c>
      <x:c r="K1453" s="20" t="str">
        <x:v>SCN-0750</x:v>
      </x:c>
      <x:c r="L1453" s="20" t="str">
        <x:v>LN017-202711</x:v>
      </x:c>
      <x:c r="M1453" s="26" t="n">
        <x:v>1358</x:v>
      </x:c>
      <x:c r="N1453" s="26" t="n">
        <x:v>0</x:v>
      </x:c>
      <x:c r="O1453" s="26" t="n">
        <x:v>-1358</x:v>
      </x:c>
      <x:c r="P1453" s="26" t="n">
        <x:v>0</x:v>
      </x:c>
      <x:c r="Q1453" s="26" t="n">
        <x:v>0</x:v>
      </x:c>
      <x:c r="R1453" s="26" t="n">
        <x:v>0</x:v>
      </x:c>
      <x:c r="S1453" s="26" t="n">
        <x:v>-607</x:v>
      </x:c>
      <x:c r="T1453" s="26" t="n">
        <x:v>0</x:v>
      </x:c>
      <x:c r="U1453" s="26" t="n">
        <x:v>751</x:v>
      </x:c>
      <x:c r="V1453" s="26" t="n">
        <x:v>0</x:v>
      </x:c>
      <x:c r="W1453" s="26" t="n">
        <x:v>0</x:v>
      </x:c>
      <x:c r="X1453" s="26" t="n">
        <x:v>0</x:v>
      </x:c>
      <x:c r="Y1453" s="26" t="n">
        <x:v>0</x:v>
      </x:c>
      <x:c r="Z1453" s="35" t="str">
        <x:v>LN017 scheduled payment</x:v>
      </x:c>
    </x:row>
    <x:row r="1454">
      <x:c r="A1454" s="20" t="str">
        <x:v>FIN-01451</x:v>
      </x:c>
      <x:c r="B1454" s="23" t="n">
        <x:v>46711</x:v>
      </x:c>
      <x:c r="C1454" s="23" t="n">
        <x:v>46711</x:v>
      </x:c>
      <x:c r="D1454" s="20" t="str">
        <x:v>LoanPayment</x:v>
      </x:c>
      <x:c r="E1454" s="20" t="str">
        <x:v>Mortgage principal and interest</x:v>
      </x:c>
      <x:c r="F1454" s="20" t="str">
        <x:v>P019</x:v>
      </x:c>
      <x:c r="G1454" s="20" t="str"/>
      <x:c r="H1454" s="20" t="str"/>
      <x:c r="I1454" s="20" t="str">
        <x:v>First QA Mortgage</x:v>
      </x:c>
      <x:c r="J1454" s="35" t="str">
        <x:v>Recurring loan payment + scanned statement</x:v>
      </x:c>
      <x:c r="K1454" s="20" t="str">
        <x:v>SCN-0751</x:v>
      </x:c>
      <x:c r="L1454" s="20" t="str">
        <x:v>LN019-202711</x:v>
      </x:c>
      <x:c r="M1454" s="26" t="n">
        <x:v>1406</x:v>
      </x:c>
      <x:c r="N1454" s="26" t="n">
        <x:v>0</x:v>
      </x:c>
      <x:c r="O1454" s="26" t="n">
        <x:v>-1406</x:v>
      </x:c>
      <x:c r="P1454" s="26" t="n">
        <x:v>0</x:v>
      </x:c>
      <x:c r="Q1454" s="26" t="n">
        <x:v>0</x:v>
      </x:c>
      <x:c r="R1454" s="26" t="n">
        <x:v>0</x:v>
      </x:c>
      <x:c r="S1454" s="26" t="n">
        <x:v>-629</x:v>
      </x:c>
      <x:c r="T1454" s="26" t="n">
        <x:v>0</x:v>
      </x:c>
      <x:c r="U1454" s="26" t="n">
        <x:v>777</x:v>
      </x:c>
      <x:c r="V1454" s="26" t="n">
        <x:v>0</x:v>
      </x:c>
      <x:c r="W1454" s="26" t="n">
        <x:v>0</x:v>
      </x:c>
      <x:c r="X1454" s="26" t="n">
        <x:v>0</x:v>
      </x:c>
      <x:c r="Y1454" s="26" t="n">
        <x:v>0</x:v>
      </x:c>
      <x:c r="Z1454" s="35" t="str">
        <x:v>LN019 scheduled payment</x:v>
      </x:c>
    </x:row>
    <x:row r="1455">
      <x:c r="A1455" s="20" t="str">
        <x:v>FIN-01452</x:v>
      </x:c>
      <x:c r="B1455" s="23" t="n">
        <x:v>46711</x:v>
      </x:c>
      <x:c r="C1455" s="23" t="n">
        <x:v>46711</x:v>
      </x:c>
      <x:c r="D1455" s="20" t="str">
        <x:v>LoanPayment</x:v>
      </x:c>
      <x:c r="E1455" s="20" t="str">
        <x:v>Mortgage principal and interest</x:v>
      </x:c>
      <x:c r="F1455" s="20" t="str">
        <x:v>P020</x:v>
      </x:c>
      <x:c r="G1455" s="20" t="str"/>
      <x:c r="H1455" s="20" t="str"/>
      <x:c r="I1455" s="20" t="str">
        <x:v>First QA Mortgage</x:v>
      </x:c>
      <x:c r="J1455" s="35" t="str">
        <x:v>Recurring loan payment + scanned statement</x:v>
      </x:c>
      <x:c r="K1455" s="20" t="str">
        <x:v>SCN-0752</x:v>
      </x:c>
      <x:c r="L1455" s="20" t="str">
        <x:v>LN020-202711</x:v>
      </x:c>
      <x:c r="M1455" s="26" t="n">
        <x:v>1430</x:v>
      </x:c>
      <x:c r="N1455" s="26" t="n">
        <x:v>0</x:v>
      </x:c>
      <x:c r="O1455" s="26" t="n">
        <x:v>-1430</x:v>
      </x:c>
      <x:c r="P1455" s="26" t="n">
        <x:v>0</x:v>
      </x:c>
      <x:c r="Q1455" s="26" t="n">
        <x:v>0</x:v>
      </x:c>
      <x:c r="R1455" s="26" t="n">
        <x:v>0</x:v>
      </x:c>
      <x:c r="S1455" s="26" t="n">
        <x:v>-640</x:v>
      </x:c>
      <x:c r="T1455" s="26" t="n">
        <x:v>0</x:v>
      </x:c>
      <x:c r="U1455" s="26" t="n">
        <x:v>790</x:v>
      </x:c>
      <x:c r="V1455" s="26" t="n">
        <x:v>0</x:v>
      </x:c>
      <x:c r="W1455" s="26" t="n">
        <x:v>0</x:v>
      </x:c>
      <x:c r="X1455" s="26" t="n">
        <x:v>0</x:v>
      </x:c>
      <x:c r="Y1455" s="26" t="n">
        <x:v>0</x:v>
      </x:c>
      <x:c r="Z1455" s="35" t="str">
        <x:v>LN020 scheduled payment</x:v>
      </x:c>
    </x:row>
    <x:row r="1456">
      <x:c r="A1456" s="20" t="str">
        <x:v>FIN-01453</x:v>
      </x:c>
      <x:c r="B1456" s="23" t="n">
        <x:v>46711</x:v>
      </x:c>
      <x:c r="C1456" s="23" t="n">
        <x:v>46711</x:v>
      </x:c>
      <x:c r="D1456" s="20" t="str">
        <x:v>LoanPayment</x:v>
      </x:c>
      <x:c r="E1456" s="20" t="str">
        <x:v>Mortgage principal and interest</x:v>
      </x:c>
      <x:c r="F1456" s="20" t="str">
        <x:v>P022</x:v>
      </x:c>
      <x:c r="G1456" s="20" t="str"/>
      <x:c r="H1456" s="20" t="str"/>
      <x:c r="I1456" s="20" t="str">
        <x:v>First QA Mortgage</x:v>
      </x:c>
      <x:c r="J1456" s="35" t="str">
        <x:v>Recurring loan payment + scanned statement</x:v>
      </x:c>
      <x:c r="K1456" s="20" t="str">
        <x:v>SCN-0753</x:v>
      </x:c>
      <x:c r="L1456" s="20" t="str">
        <x:v>LN022-202711</x:v>
      </x:c>
      <x:c r="M1456" s="26" t="n">
        <x:v>1478</x:v>
      </x:c>
      <x:c r="N1456" s="26" t="n">
        <x:v>0</x:v>
      </x:c>
      <x:c r="O1456" s="26" t="n">
        <x:v>-1478</x:v>
      </x:c>
      <x:c r="P1456" s="26" t="n">
        <x:v>0</x:v>
      </x:c>
      <x:c r="Q1456" s="26" t="n">
        <x:v>0</x:v>
      </x:c>
      <x:c r="R1456" s="26" t="n">
        <x:v>0</x:v>
      </x:c>
      <x:c r="S1456" s="26" t="n">
        <x:v>-662</x:v>
      </x:c>
      <x:c r="T1456" s="26" t="n">
        <x:v>0</x:v>
      </x:c>
      <x:c r="U1456" s="26" t="n">
        <x:v>816</x:v>
      </x:c>
      <x:c r="V1456" s="26" t="n">
        <x:v>0</x:v>
      </x:c>
      <x:c r="W1456" s="26" t="n">
        <x:v>0</x:v>
      </x:c>
      <x:c r="X1456" s="26" t="n">
        <x:v>0</x:v>
      </x:c>
      <x:c r="Y1456" s="26" t="n">
        <x:v>0</x:v>
      </x:c>
      <x:c r="Z1456" s="35" t="str">
        <x:v>LN022 scheduled payment</x:v>
      </x:c>
    </x:row>
    <x:row r="1457">
      <x:c r="A1457" s="20" t="str">
        <x:v>FIN-01454</x:v>
      </x:c>
      <x:c r="B1457" s="23" t="n">
        <x:v>46711</x:v>
      </x:c>
      <x:c r="C1457" s="23" t="n">
        <x:v>46711</x:v>
      </x:c>
      <x:c r="D1457" s="20" t="str">
        <x:v>LoanPayment</x:v>
      </x:c>
      <x:c r="E1457" s="20" t="str">
        <x:v>Mortgage principal and interest</x:v>
      </x:c>
      <x:c r="F1457" s="20" t="str">
        <x:v>P023</x:v>
      </x:c>
      <x:c r="G1457" s="20" t="str"/>
      <x:c r="H1457" s="20" t="str"/>
      <x:c r="I1457" s="20" t="str">
        <x:v>First QA Mortgage</x:v>
      </x:c>
      <x:c r="J1457" s="35" t="str">
        <x:v>Recurring loan payment + scanned statement</x:v>
      </x:c>
      <x:c r="K1457" s="20" t="str">
        <x:v>SCN-0754</x:v>
      </x:c>
      <x:c r="L1457" s="20" t="str">
        <x:v>LN023-202711</x:v>
      </x:c>
      <x:c r="M1457" s="26" t="n">
        <x:v>1502</x:v>
      </x:c>
      <x:c r="N1457" s="26" t="n">
        <x:v>0</x:v>
      </x:c>
      <x:c r="O1457" s="26" t="n">
        <x:v>-1502</x:v>
      </x:c>
      <x:c r="P1457" s="26" t="n">
        <x:v>0</x:v>
      </x:c>
      <x:c r="Q1457" s="26" t="n">
        <x:v>0</x:v>
      </x:c>
      <x:c r="R1457" s="26" t="n">
        <x:v>0</x:v>
      </x:c>
      <x:c r="S1457" s="26" t="n">
        <x:v>-673</x:v>
      </x:c>
      <x:c r="T1457" s="26" t="n">
        <x:v>0</x:v>
      </x:c>
      <x:c r="U1457" s="26" t="n">
        <x:v>829</x:v>
      </x:c>
      <x:c r="V1457" s="26" t="n">
        <x:v>0</x:v>
      </x:c>
      <x:c r="W1457" s="26" t="n">
        <x:v>0</x:v>
      </x:c>
      <x:c r="X1457" s="26" t="n">
        <x:v>0</x:v>
      </x:c>
      <x:c r="Y1457" s="26" t="n">
        <x:v>0</x:v>
      </x:c>
      <x:c r="Z1457" s="35" t="str">
        <x:v>LN023 scheduled payment</x:v>
      </x:c>
    </x:row>
    <x:row r="1458">
      <x:c r="A1458" s="20" t="str">
        <x:v>FIN-01455</x:v>
      </x:c>
      <x:c r="B1458" s="23" t="n">
        <x:v>46711</x:v>
      </x:c>
      <x:c r="C1458" s="23" t="n">
        <x:v>46711</x:v>
      </x:c>
      <x:c r="D1458" s="20" t="str">
        <x:v>LoanPayment</x:v>
      </x:c>
      <x:c r="E1458" s="20" t="str">
        <x:v>Mortgage principal and interest</x:v>
      </x:c>
      <x:c r="F1458" s="20" t="str">
        <x:v>P025</x:v>
      </x:c>
      <x:c r="G1458" s="20" t="str"/>
      <x:c r="H1458" s="20" t="str"/>
      <x:c r="I1458" s="20" t="str">
        <x:v>First QA Mortgage</x:v>
      </x:c>
      <x:c r="J1458" s="35" t="str">
        <x:v>Recurring loan payment + scanned statement</x:v>
      </x:c>
      <x:c r="K1458" s="20" t="str">
        <x:v>SCN-0755</x:v>
      </x:c>
      <x:c r="L1458" s="20" t="str">
        <x:v>LN025-202711</x:v>
      </x:c>
      <x:c r="M1458" s="26" t="n">
        <x:v>1550</x:v>
      </x:c>
      <x:c r="N1458" s="26" t="n">
        <x:v>0</x:v>
      </x:c>
      <x:c r="O1458" s="26" t="n">
        <x:v>-1550</x:v>
      </x:c>
      <x:c r="P1458" s="26" t="n">
        <x:v>0</x:v>
      </x:c>
      <x:c r="Q1458" s="26" t="n">
        <x:v>0</x:v>
      </x:c>
      <x:c r="R1458" s="26" t="n">
        <x:v>0</x:v>
      </x:c>
      <x:c r="S1458" s="26" t="n">
        <x:v>-695</x:v>
      </x:c>
      <x:c r="T1458" s="26" t="n">
        <x:v>0</x:v>
      </x:c>
      <x:c r="U1458" s="26" t="n">
        <x:v>855</x:v>
      </x:c>
      <x:c r="V1458" s="26" t="n">
        <x:v>0</x:v>
      </x:c>
      <x:c r="W1458" s="26" t="n">
        <x:v>0</x:v>
      </x:c>
      <x:c r="X1458" s="26" t="n">
        <x:v>0</x:v>
      </x:c>
      <x:c r="Y1458" s="26" t="n">
        <x:v>0</x:v>
      </x:c>
      <x:c r="Z1458" s="35" t="str">
        <x:v>LN025 scheduled payment</x:v>
      </x:c>
    </x:row>
    <x:row r="1459">
      <x:c r="A1459" s="20" t="str">
        <x:v>FIN-01456</x:v>
      </x:c>
      <x:c r="B1459" s="23" t="n">
        <x:v>46711</x:v>
      </x:c>
      <x:c r="C1459" s="23" t="n">
        <x:v>46711</x:v>
      </x:c>
      <x:c r="D1459" s="20" t="str">
        <x:v>LoanPayment</x:v>
      </x:c>
      <x:c r="E1459" s="20" t="str">
        <x:v>Mortgage principal and interest</x:v>
      </x:c>
      <x:c r="F1459" s="20" t="str">
        <x:v>P026</x:v>
      </x:c>
      <x:c r="G1459" s="20" t="str"/>
      <x:c r="H1459" s="20" t="str"/>
      <x:c r="I1459" s="20" t="str">
        <x:v>First QA Mortgage</x:v>
      </x:c>
      <x:c r="J1459" s="35" t="str">
        <x:v>Recurring loan payment + scanned statement</x:v>
      </x:c>
      <x:c r="K1459" s="20" t="str">
        <x:v>SCN-0756</x:v>
      </x:c>
      <x:c r="L1459" s="20" t="str">
        <x:v>LN026-202711</x:v>
      </x:c>
      <x:c r="M1459" s="26" t="n">
        <x:v>1574</x:v>
      </x:c>
      <x:c r="N1459" s="26" t="n">
        <x:v>0</x:v>
      </x:c>
      <x:c r="O1459" s="26" t="n">
        <x:v>-1574</x:v>
      </x:c>
      <x:c r="P1459" s="26" t="n">
        <x:v>0</x:v>
      </x:c>
      <x:c r="Q1459" s="26" t="n">
        <x:v>0</x:v>
      </x:c>
      <x:c r="R1459" s="26" t="n">
        <x:v>0</x:v>
      </x:c>
      <x:c r="S1459" s="26" t="n">
        <x:v>-706</x:v>
      </x:c>
      <x:c r="T1459" s="26" t="n">
        <x:v>0</x:v>
      </x:c>
      <x:c r="U1459" s="26" t="n">
        <x:v>868</x:v>
      </x:c>
      <x:c r="V1459" s="26" t="n">
        <x:v>0</x:v>
      </x:c>
      <x:c r="W1459" s="26" t="n">
        <x:v>0</x:v>
      </x:c>
      <x:c r="X1459" s="26" t="n">
        <x:v>0</x:v>
      </x:c>
      <x:c r="Y1459" s="26" t="n">
        <x:v>0</x:v>
      </x:c>
      <x:c r="Z1459" s="35" t="str">
        <x:v>LN026 scheduled payment</x:v>
      </x:c>
    </x:row>
    <x:row r="1460">
      <x:c r="A1460" s="20" t="str">
        <x:v>FIN-01457</x:v>
      </x:c>
      <x:c r="B1460" s="23" t="n">
        <x:v>46711</x:v>
      </x:c>
      <x:c r="C1460" s="23" t="n">
        <x:v>46711</x:v>
      </x:c>
      <x:c r="D1460" s="20" t="str">
        <x:v>LoanPayment</x:v>
      </x:c>
      <x:c r="E1460" s="20" t="str">
        <x:v>Mortgage principal and interest</x:v>
      </x:c>
      <x:c r="F1460" s="20" t="str">
        <x:v>P028</x:v>
      </x:c>
      <x:c r="G1460" s="20" t="str"/>
      <x:c r="H1460" s="20" t="str"/>
      <x:c r="I1460" s="20" t="str">
        <x:v>First QA Mortgage</x:v>
      </x:c>
      <x:c r="J1460" s="35" t="str">
        <x:v>Recurring loan payment + scanned statement</x:v>
      </x:c>
      <x:c r="K1460" s="20" t="str">
        <x:v>SCN-0757</x:v>
      </x:c>
      <x:c r="L1460" s="20" t="str">
        <x:v>LN028-202711</x:v>
      </x:c>
      <x:c r="M1460" s="26" t="n">
        <x:v>1622</x:v>
      </x:c>
      <x:c r="N1460" s="26" t="n">
        <x:v>0</x:v>
      </x:c>
      <x:c r="O1460" s="26" t="n">
        <x:v>-1622</x:v>
      </x:c>
      <x:c r="P1460" s="26" t="n">
        <x:v>0</x:v>
      </x:c>
      <x:c r="Q1460" s="26" t="n">
        <x:v>0</x:v>
      </x:c>
      <x:c r="R1460" s="26" t="n">
        <x:v>0</x:v>
      </x:c>
      <x:c r="S1460" s="26" t="n">
        <x:v>-728</x:v>
      </x:c>
      <x:c r="T1460" s="26" t="n">
        <x:v>0</x:v>
      </x:c>
      <x:c r="U1460" s="26" t="n">
        <x:v>894</x:v>
      </x:c>
      <x:c r="V1460" s="26" t="n">
        <x:v>0</x:v>
      </x:c>
      <x:c r="W1460" s="26" t="n">
        <x:v>0</x:v>
      </x:c>
      <x:c r="X1460" s="26" t="n">
        <x:v>0</x:v>
      </x:c>
      <x:c r="Y1460" s="26" t="n">
        <x:v>0</x:v>
      </x:c>
      <x:c r="Z1460" s="35" t="str">
        <x:v>LN028 scheduled payment</x:v>
      </x:c>
    </x:row>
    <x:row r="1461">
      <x:c r="A1461" s="20" t="str">
        <x:v>FIN-01458</x:v>
      </x:c>
      <x:c r="B1461" s="23" t="n">
        <x:v>46711</x:v>
      </x:c>
      <x:c r="C1461" s="23" t="n">
        <x:v>46711</x:v>
      </x:c>
      <x:c r="D1461" s="20" t="str">
        <x:v>LoanPayment</x:v>
      </x:c>
      <x:c r="E1461" s="20" t="str">
        <x:v>Mortgage principal and interest</x:v>
      </x:c>
      <x:c r="F1461" s="20" t="str">
        <x:v>P029</x:v>
      </x:c>
      <x:c r="G1461" s="20" t="str"/>
      <x:c r="H1461" s="20" t="str"/>
      <x:c r="I1461" s="20" t="str">
        <x:v>First QA Mortgage</x:v>
      </x:c>
      <x:c r="J1461" s="35" t="str">
        <x:v>Recurring loan payment + scanned statement</x:v>
      </x:c>
      <x:c r="K1461" s="20" t="str">
        <x:v>SCN-0758</x:v>
      </x:c>
      <x:c r="L1461" s="20" t="str">
        <x:v>LN029-202711</x:v>
      </x:c>
      <x:c r="M1461" s="26" t="n">
        <x:v>1646</x:v>
      </x:c>
      <x:c r="N1461" s="26" t="n">
        <x:v>0</x:v>
      </x:c>
      <x:c r="O1461" s="26" t="n">
        <x:v>-1646</x:v>
      </x:c>
      <x:c r="P1461" s="26" t="n">
        <x:v>0</x:v>
      </x:c>
      <x:c r="Q1461" s="26" t="n">
        <x:v>0</x:v>
      </x:c>
      <x:c r="R1461" s="26" t="n">
        <x:v>0</x:v>
      </x:c>
      <x:c r="S1461" s="26" t="n">
        <x:v>-739</x:v>
      </x:c>
      <x:c r="T1461" s="26" t="n">
        <x:v>0</x:v>
      </x:c>
      <x:c r="U1461" s="26" t="n">
        <x:v>907</x:v>
      </x:c>
      <x:c r="V1461" s="26" t="n">
        <x:v>0</x:v>
      </x:c>
      <x:c r="W1461" s="26" t="n">
        <x:v>0</x:v>
      </x:c>
      <x:c r="X1461" s="26" t="n">
        <x:v>0</x:v>
      </x:c>
      <x:c r="Y1461" s="26" t="n">
        <x:v>0</x:v>
      </x:c>
      <x:c r="Z1461" s="35" t="str">
        <x:v>LN029 scheduled payment</x:v>
      </x:c>
    </x:row>
    <x:row r="1462">
      <x:c r="A1462" s="20" t="str">
        <x:v>FIN-01459</x:v>
      </x:c>
      <x:c r="B1462" s="23" t="n">
        <x:v>46716</x:v>
      </x:c>
      <x:c r="C1462" s="23" t="n">
        <x:v>46716</x:v>
      </x:c>
      <x:c r="D1462" s="20" t="str">
        <x:v>OwnerDistribution</x:v>
      </x:c>
      <x:c r="E1462" s="20" t="str">
        <x:v>Owner distribution</x:v>
      </x:c>
      <x:c r="F1462" s="20" t="str"/>
      <x:c r="G1462" s="20" t="str"/>
      <x:c r="H1462" s="20" t="str"/>
      <x:c r="I1462" s="20" t="str">
        <x:v>Blue Door Residential LLC</x:v>
      </x:c>
      <x:c r="J1462" s="35" t="str">
        <x:v>Manual approval and bank export</x:v>
      </x:c>
      <x:c r="K1462" s="20" t="str"/>
      <x:c r="L1462" s="20" t="str">
        <x:v>DIST-202711-O01</x:v>
      </x:c>
      <x:c r="M1462" s="26" t="n">
        <x:v>3250</x:v>
      </x:c>
      <x:c r="N1462" s="26" t="n">
        <x:v>0</x:v>
      </x:c>
      <x:c r="O1462" s="26" t="n">
        <x:v>-3250</x:v>
      </x:c>
      <x:c r="P1462" s="26" t="n">
        <x:v>0</x:v>
      </x:c>
      <x:c r="Q1462" s="26" t="n">
        <x:v>0</x:v>
      </x:c>
      <x:c r="R1462" s="26" t="n">
        <x:v>0</x:v>
      </x:c>
      <x:c r="S1462" s="26" t="n">
        <x:v>0</x:v>
      </x:c>
      <x:c r="T1462" s="26" t="n">
        <x:v>0</x:v>
      </x:c>
      <x:c r="U1462" s="26" t="n">
        <x:v>0</x:v>
      </x:c>
      <x:c r="V1462" s="26" t="n">
        <x:v>0</x:v>
      </x:c>
      <x:c r="W1462" s="26" t="n">
        <x:v>3250</x:v>
      </x:c>
      <x:c r="X1462" s="26" t="n">
        <x:v>0</x:v>
      </x:c>
      <x:c r="Y1462" s="26" t="n">
        <x:v>0</x:v>
      </x:c>
      <x:c r="Z1462" s="35" t="str">
        <x:v>Monthly distribution to Blue Door Residential LLC</x:v>
      </x:c>
    </x:row>
    <x:row r="1463">
      <x:c r="A1463" s="20" t="str">
        <x:v>FIN-01460</x:v>
      </x:c>
      <x:c r="B1463" s="23" t="n">
        <x:v>46716</x:v>
      </x:c>
      <x:c r="C1463" s="23" t="n">
        <x:v>46716</x:v>
      </x:c>
      <x:c r="D1463" s="20" t="str">
        <x:v>OwnerDistribution</x:v>
      </x:c>
      <x:c r="E1463" s="20" t="str">
        <x:v>Owner distribution</x:v>
      </x:c>
      <x:c r="F1463" s="20" t="str"/>
      <x:c r="G1463" s="20" t="str"/>
      <x:c r="H1463" s="20" t="str"/>
      <x:c r="I1463" s="20" t="str">
        <x:v>Coble Family Rentals LLC</x:v>
      </x:c>
      <x:c r="J1463" s="35" t="str">
        <x:v>Manual approval and bank export</x:v>
      </x:c>
      <x:c r="K1463" s="20" t="str"/>
      <x:c r="L1463" s="20" t="str">
        <x:v>DIST-202711-O02</x:v>
      </x:c>
      <x:c r="M1463" s="26" t="n">
        <x:v>3600</x:v>
      </x:c>
      <x:c r="N1463" s="26" t="n">
        <x:v>0</x:v>
      </x:c>
      <x:c r="O1463" s="26" t="n">
        <x:v>-3600</x:v>
      </x:c>
      <x:c r="P1463" s="26" t="n">
        <x:v>0</x:v>
      </x:c>
      <x:c r="Q1463" s="26" t="n">
        <x:v>0</x:v>
      </x:c>
      <x:c r="R1463" s="26" t="n">
        <x:v>0</x:v>
      </x:c>
      <x:c r="S1463" s="26" t="n">
        <x:v>0</x:v>
      </x:c>
      <x:c r="T1463" s="26" t="n">
        <x:v>0</x:v>
      </x:c>
      <x:c r="U1463" s="26" t="n">
        <x:v>0</x:v>
      </x:c>
      <x:c r="V1463" s="26" t="n">
        <x:v>0</x:v>
      </x:c>
      <x:c r="W1463" s="26" t="n">
        <x:v>3600</x:v>
      </x:c>
      <x:c r="X1463" s="26" t="n">
        <x:v>0</x:v>
      </x:c>
      <x:c r="Y1463" s="26" t="n">
        <x:v>0</x:v>
      </x:c>
      <x:c r="Z1463" s="35" t="str">
        <x:v>Monthly distribution to Coble Family Rentals LLC</x:v>
      </x:c>
    </x:row>
    <x:row r="1464">
      <x:c r="A1464" s="20" t="str">
        <x:v>FIN-01461</x:v>
      </x:c>
      <x:c r="B1464" s="23" t="n">
        <x:v>46716</x:v>
      </x:c>
      <x:c r="C1464" s="23" t="n">
        <x:v>46716</x:v>
      </x:c>
      <x:c r="D1464" s="20" t="str">
        <x:v>OwnerDistribution</x:v>
      </x:c>
      <x:c r="E1464" s="20" t="str">
        <x:v>Owner distribution</x:v>
      </x:c>
      <x:c r="F1464" s="20" t="str"/>
      <x:c r="G1464" s="20" t="str"/>
      <x:c r="H1464" s="20" t="str"/>
      <x:c r="I1464" s="20" t="str">
        <x:v>Northstar Property Partners LLC</x:v>
      </x:c>
      <x:c r="J1464" s="35" t="str">
        <x:v>Manual approval and bank export</x:v>
      </x:c>
      <x:c r="K1464" s="20" t="str"/>
      <x:c r="L1464" s="20" t="str">
        <x:v>DIST-202711-O03</x:v>
      </x:c>
      <x:c r="M1464" s="26" t="n">
        <x:v>3950</x:v>
      </x:c>
      <x:c r="N1464" s="26" t="n">
        <x:v>0</x:v>
      </x:c>
      <x:c r="O1464" s="26" t="n">
        <x:v>-3950</x:v>
      </x:c>
      <x:c r="P1464" s="26" t="n">
        <x:v>0</x:v>
      </x:c>
      <x:c r="Q1464" s="26" t="n">
        <x:v>0</x:v>
      </x:c>
      <x:c r="R1464" s="26" t="n">
        <x:v>0</x:v>
      </x:c>
      <x:c r="S1464" s="26" t="n">
        <x:v>0</x:v>
      </x:c>
      <x:c r="T1464" s="26" t="n">
        <x:v>0</x:v>
      </x:c>
      <x:c r="U1464" s="26" t="n">
        <x:v>0</x:v>
      </x:c>
      <x:c r="V1464" s="26" t="n">
        <x:v>0</x:v>
      </x:c>
      <x:c r="W1464" s="26" t="n">
        <x:v>3950</x:v>
      </x:c>
      <x:c r="X1464" s="26" t="n">
        <x:v>0</x:v>
      </x:c>
      <x:c r="Y1464" s="26" t="n">
        <x:v>0</x:v>
      </x:c>
      <x:c r="Z1464" s="35" t="str">
        <x:v>Monthly distribution to Northstar Property Partners LLC</x:v>
      </x:c>
    </x:row>
    <x:row r="1465">
      <x:c r="A1465" s="20" t="str">
        <x:v>FIN-01462</x:v>
      </x:c>
      <x:c r="B1465" s="23" t="n">
        <x:v>46716</x:v>
      </x:c>
      <x:c r="C1465" s="23" t="n">
        <x:v>46716</x:v>
      </x:c>
      <x:c r="D1465" s="20" t="str">
        <x:v>OwnerDistribution</x:v>
      </x:c>
      <x:c r="E1465" s="20" t="str">
        <x:v>Owner distribution</x:v>
      </x:c>
      <x:c r="F1465" s="20" t="str"/>
      <x:c r="G1465" s="20" t="str"/>
      <x:c r="H1465" s="20" t="str"/>
      <x:c r="I1465" s="20" t="str">
        <x:v>Riverbend Homes LLC</x:v>
      </x:c>
      <x:c r="J1465" s="35" t="str">
        <x:v>Manual approval and bank export</x:v>
      </x:c>
      <x:c r="K1465" s="20" t="str"/>
      <x:c r="L1465" s="20" t="str">
        <x:v>DIST-202711-O04</x:v>
      </x:c>
      <x:c r="M1465" s="26" t="n">
        <x:v>4300</x:v>
      </x:c>
      <x:c r="N1465" s="26" t="n">
        <x:v>0</x:v>
      </x:c>
      <x:c r="O1465" s="26" t="n">
        <x:v>-4300</x:v>
      </x:c>
      <x:c r="P1465" s="26" t="n">
        <x:v>0</x:v>
      </x:c>
      <x:c r="Q1465" s="26" t="n">
        <x:v>0</x:v>
      </x:c>
      <x:c r="R1465" s="26" t="n">
        <x:v>0</x:v>
      </x:c>
      <x:c r="S1465" s="26" t="n">
        <x:v>0</x:v>
      </x:c>
      <x:c r="T1465" s="26" t="n">
        <x:v>0</x:v>
      </x:c>
      <x:c r="U1465" s="26" t="n">
        <x:v>0</x:v>
      </x:c>
      <x:c r="V1465" s="26" t="n">
        <x:v>0</x:v>
      </x:c>
      <x:c r="W1465" s="26" t="n">
        <x:v>4300</x:v>
      </x:c>
      <x:c r="X1465" s="26" t="n">
        <x:v>0</x:v>
      </x:c>
      <x:c r="Y1465" s="26" t="n">
        <x:v>0</x:v>
      </x:c>
      <x:c r="Z1465" s="35" t="str">
        <x:v>Monthly distribution to Riverbend Homes LLC</x:v>
      </x:c>
    </x:row>
    <x:row r="1466">
      <x:c r="A1466" s="20" t="str">
        <x:v>FIN-01463</x:v>
      </x:c>
      <x:c r="B1466" s="23" t="n">
        <x:v>46716</x:v>
      </x:c>
      <x:c r="C1466" s="23" t="n">
        <x:v>46716</x:v>
      </x:c>
      <x:c r="D1466" s="20" t="str">
        <x:v>OwnerDistribution</x:v>
      </x:c>
      <x:c r="E1466" s="20" t="str">
        <x:v>Owner distribution</x:v>
      </x:c>
      <x:c r="F1466" s="20" t="str"/>
      <x:c r="G1466" s="20" t="str"/>
      <x:c r="H1466" s="20" t="str"/>
      <x:c r="I1466" s="20" t="str">
        <x:v>Juniper Street Holdings LLC</x:v>
      </x:c>
      <x:c r="J1466" s="35" t="str">
        <x:v>Manual approval and bank export</x:v>
      </x:c>
      <x:c r="K1466" s="20" t="str"/>
      <x:c r="L1466" s="20" t="str">
        <x:v>DIST-202711-O05</x:v>
      </x:c>
      <x:c r="M1466" s="26" t="n">
        <x:v>4650</x:v>
      </x:c>
      <x:c r="N1466" s="26" t="n">
        <x:v>0</x:v>
      </x:c>
      <x:c r="O1466" s="26" t="n">
        <x:v>-4650</x:v>
      </x:c>
      <x:c r="P1466" s="26" t="n">
        <x:v>0</x:v>
      </x:c>
      <x:c r="Q1466" s="26" t="n">
        <x:v>0</x:v>
      </x:c>
      <x:c r="R1466" s="26" t="n">
        <x:v>0</x:v>
      </x:c>
      <x:c r="S1466" s="26" t="n">
        <x:v>0</x:v>
      </x:c>
      <x:c r="T1466" s="26" t="n">
        <x:v>0</x:v>
      </x:c>
      <x:c r="U1466" s="26" t="n">
        <x:v>0</x:v>
      </x:c>
      <x:c r="V1466" s="26" t="n">
        <x:v>0</x:v>
      </x:c>
      <x:c r="W1466" s="26" t="n">
        <x:v>4650</x:v>
      </x:c>
      <x:c r="X1466" s="26" t="n">
        <x:v>0</x:v>
      </x:c>
      <x:c r="Y1466" s="26" t="n">
        <x:v>0</x:v>
      </x:c>
      <x:c r="Z1466" s="35" t="str">
        <x:v>Monthly distribution to Juniper Street Holdings LLC</x:v>
      </x:c>
    </x:row>
    <x:row r="1467">
      <x:c r="A1467" s="20" t="str">
        <x:v>FIN-01464</x:v>
      </x:c>
      <x:c r="B1467" s="23" t="n">
        <x:v>46736</x:v>
      </x:c>
      <x:c r="C1467" s="23" t="n">
        <x:v>46736</x:v>
      </x:c>
      <x:c r="D1467" s="20" t="str">
        <x:v>OperatingExpense</x:v>
      </x:c>
      <x:c r="E1467" s="20" t="str">
        <x:v>Utilities</x:v>
      </x:c>
      <x:c r="F1467" s="20" t="str">
        <x:v>P021</x:v>
      </x:c>
      <x:c r="G1467" s="20" t="str"/>
      <x:c r="H1467" s="20" t="str"/>
      <x:c r="I1467" s="20" t="str">
        <x:v>City Water &amp; Sewer</x:v>
      </x:c>
      <x:c r="J1467" s="35" t="str">
        <x:v>Scanned receipt/invoice</x:v>
      </x:c>
      <x:c r="K1467" s="20" t="str">
        <x:v>SCN-0760</x:v>
      </x:c>
      <x:c r="L1467" s="20" t="str">
        <x:v>EXP-20271215-1241</x:v>
      </x:c>
      <x:c r="M1467" s="26" t="n">
        <x:v>167</x:v>
      </x:c>
      <x:c r="N1467" s="26" t="n">
        <x:v>0</x:v>
      </x:c>
      <x:c r="O1467" s="26" t="n">
        <x:v>-167</x:v>
      </x:c>
      <x:c r="P1467" s="26" t="n">
        <x:v>0</x:v>
      </x:c>
      <x:c r="Q1467" s="26" t="n">
        <x:v>0</x:v>
      </x:c>
      <x:c r="R1467" s="26" t="n">
        <x:v>0</x:v>
      </x:c>
      <x:c r="S1467" s="26" t="n">
        <x:v>0</x:v>
      </x:c>
      <x:c r="T1467" s="26" t="n">
        <x:v>0</x:v>
      </x:c>
      <x:c r="U1467" s="26" t="n">
        <x:v>167</x:v>
      </x:c>
      <x:c r="V1467" s="26" t="n">
        <x:v>0</x:v>
      </x:c>
      <x:c r="W1467" s="26" t="n">
        <x:v>0</x:v>
      </x:c>
      <x:c r="X1467" s="26" t="n">
        <x:v>0</x:v>
      </x:c>
      <x:c r="Y1467" s="26" t="n">
        <x:v>0</x:v>
      </x:c>
      <x:c r="Z1467" s="35" t="str">
        <x:v>City Water &amp; Sewer</x:v>
      </x:c>
    </x:row>
    <x:row r="1468">
      <x:c r="A1468" s="20" t="str">
        <x:v>FIN-01465</x:v>
      </x:c>
      <x:c r="B1468" s="23" t="n">
        <x:v>46736</x:v>
      </x:c>
      <x:c r="C1468" s="23" t="n">
        <x:v>46736</x:v>
      </x:c>
      <x:c r="D1468" s="20" t="str">
        <x:v>OperatingExpense</x:v>
      </x:c>
      <x:c r="E1468" s="20" t="str">
        <x:v>Utilities</x:v>
      </x:c>
      <x:c r="F1468" s="20" t="str">
        <x:v>P022</x:v>
      </x:c>
      <x:c r="G1468" s="20" t="str"/>
      <x:c r="H1468" s="20" t="str"/>
      <x:c r="I1468" s="20" t="str">
        <x:v>City Water &amp; Sewer</x:v>
      </x:c>
      <x:c r="J1468" s="35" t="str">
        <x:v>Scanned receipt/invoice</x:v>
      </x:c>
      <x:c r="K1468" s="20" t="str">
        <x:v>SCN-0761</x:v>
      </x:c>
      <x:c r="L1468" s="20" t="str">
        <x:v>EXP-20271215-1242</x:v>
      </x:c>
      <x:c r="M1468" s="26" t="n">
        <x:v>174</x:v>
      </x:c>
      <x:c r="N1468" s="26" t="n">
        <x:v>0</x:v>
      </x:c>
      <x:c r="O1468" s="26" t="n">
        <x:v>-174</x:v>
      </x:c>
      <x:c r="P1468" s="26" t="n">
        <x:v>0</x:v>
      </x:c>
      <x:c r="Q1468" s="26" t="n">
        <x:v>0</x:v>
      </x:c>
      <x:c r="R1468" s="26" t="n">
        <x:v>0</x:v>
      </x:c>
      <x:c r="S1468" s="26" t="n">
        <x:v>0</x:v>
      </x:c>
      <x:c r="T1468" s="26" t="n">
        <x:v>0</x:v>
      </x:c>
      <x:c r="U1468" s="26" t="n">
        <x:v>174</x:v>
      </x:c>
      <x:c r="V1468" s="26" t="n">
        <x:v>0</x:v>
      </x:c>
      <x:c r="W1468" s="26" t="n">
        <x:v>0</x:v>
      </x:c>
      <x:c r="X1468" s="26" t="n">
        <x:v>0</x:v>
      </x:c>
      <x:c r="Y1468" s="26" t="n">
        <x:v>0</x:v>
      </x:c>
      <x:c r="Z1468" s="35" t="str">
        <x:v>City Water &amp; Sewer</x:v>
      </x:c>
    </x:row>
    <x:row r="1469">
      <x:c r="A1469" s="20" t="str">
        <x:v>FIN-01466</x:v>
      </x:c>
      <x:c r="B1469" s="23" t="n">
        <x:v>46736</x:v>
      </x:c>
      <x:c r="C1469" s="23" t="n">
        <x:v>46736</x:v>
      </x:c>
      <x:c r="D1469" s="20" t="str">
        <x:v>OperatingExpense</x:v>
      </x:c>
      <x:c r="E1469" s="20" t="str">
        <x:v>Utilities</x:v>
      </x:c>
      <x:c r="F1469" s="20" t="str">
        <x:v>P023</x:v>
      </x:c>
      <x:c r="G1469" s="20" t="str"/>
      <x:c r="H1469" s="20" t="str"/>
      <x:c r="I1469" s="20" t="str">
        <x:v>City Water &amp; Sewer</x:v>
      </x:c>
      <x:c r="J1469" s="35" t="str">
        <x:v>Scanned receipt/invoice</x:v>
      </x:c>
      <x:c r="K1469" s="20" t="str">
        <x:v>SCN-0762</x:v>
      </x:c>
      <x:c r="L1469" s="20" t="str">
        <x:v>EXP-20271215-1243</x:v>
      </x:c>
      <x:c r="M1469" s="26" t="n">
        <x:v>181</x:v>
      </x:c>
      <x:c r="N1469" s="26" t="n">
        <x:v>0</x:v>
      </x:c>
      <x:c r="O1469" s="26" t="n">
        <x:v>-181</x:v>
      </x:c>
      <x:c r="P1469" s="26" t="n">
        <x:v>0</x:v>
      </x:c>
      <x:c r="Q1469" s="26" t="n">
        <x:v>0</x:v>
      </x:c>
      <x:c r="R1469" s="26" t="n">
        <x:v>0</x:v>
      </x:c>
      <x:c r="S1469" s="26" t="n">
        <x:v>0</x:v>
      </x:c>
      <x:c r="T1469" s="26" t="n">
        <x:v>0</x:v>
      </x:c>
      <x:c r="U1469" s="26" t="n">
        <x:v>181</x:v>
      </x:c>
      <x:c r="V1469" s="26" t="n">
        <x:v>0</x:v>
      </x:c>
      <x:c r="W1469" s="26" t="n">
        <x:v>0</x:v>
      </x:c>
      <x:c r="X1469" s="26" t="n">
        <x:v>0</x:v>
      </x:c>
      <x:c r="Y1469" s="26" t="n">
        <x:v>0</x:v>
      </x:c>
      <x:c r="Z1469" s="35" t="str">
        <x:v>City Water &amp; Sewer</x:v>
      </x:c>
    </x:row>
    <x:row r="1470">
      <x:c r="A1470" s="20" t="str">
        <x:v>FIN-01467</x:v>
      </x:c>
      <x:c r="B1470" s="23" t="n">
        <x:v>46736</x:v>
      </x:c>
      <x:c r="C1470" s="23" t="n">
        <x:v>46736</x:v>
      </x:c>
      <x:c r="D1470" s="20" t="str">
        <x:v>OperatingExpense</x:v>
      </x:c>
      <x:c r="E1470" s="20" t="str">
        <x:v>Utilities</x:v>
      </x:c>
      <x:c r="F1470" s="20" t="str">
        <x:v>P024</x:v>
      </x:c>
      <x:c r="G1470" s="20" t="str"/>
      <x:c r="H1470" s="20" t="str"/>
      <x:c r="I1470" s="20" t="str">
        <x:v>City Water &amp; Sewer</x:v>
      </x:c>
      <x:c r="J1470" s="35" t="str">
        <x:v>Scanned receipt/invoice</x:v>
      </x:c>
      <x:c r="K1470" s="20" t="str">
        <x:v>SCN-0763</x:v>
      </x:c>
      <x:c r="L1470" s="20" t="str">
        <x:v>EXP-20271215-1244</x:v>
      </x:c>
      <x:c r="M1470" s="26" t="n">
        <x:v>188</x:v>
      </x:c>
      <x:c r="N1470" s="26" t="n">
        <x:v>0</x:v>
      </x:c>
      <x:c r="O1470" s="26" t="n">
        <x:v>-188</x:v>
      </x:c>
      <x:c r="P1470" s="26" t="n">
        <x:v>0</x:v>
      </x:c>
      <x:c r="Q1470" s="26" t="n">
        <x:v>0</x:v>
      </x:c>
      <x:c r="R1470" s="26" t="n">
        <x:v>0</x:v>
      </x:c>
      <x:c r="S1470" s="26" t="n">
        <x:v>0</x:v>
      </x:c>
      <x:c r="T1470" s="26" t="n">
        <x:v>0</x:v>
      </x:c>
      <x:c r="U1470" s="26" t="n">
        <x:v>188</x:v>
      </x:c>
      <x:c r="V1470" s="26" t="n">
        <x:v>0</x:v>
      </x:c>
      <x:c r="W1470" s="26" t="n">
        <x:v>0</x:v>
      </x:c>
      <x:c r="X1470" s="26" t="n">
        <x:v>0</x:v>
      </x:c>
      <x:c r="Y1470" s="26" t="n">
        <x:v>0</x:v>
      </x:c>
      <x:c r="Z1470" s="35" t="str">
        <x:v>City Water &amp; Sewer</x:v>
      </x:c>
    </x:row>
    <x:row r="1471">
      <x:c r="A1471" s="20" t="str">
        <x:v>FIN-01468</x:v>
      </x:c>
      <x:c r="B1471" s="23" t="n">
        <x:v>46736</x:v>
      </x:c>
      <x:c r="C1471" s="23" t="n">
        <x:v>46736</x:v>
      </x:c>
      <x:c r="D1471" s="20" t="str">
        <x:v>OperatingExpense</x:v>
      </x:c>
      <x:c r="E1471" s="20" t="str">
        <x:v>Utilities</x:v>
      </x:c>
      <x:c r="F1471" s="20" t="str">
        <x:v>P025</x:v>
      </x:c>
      <x:c r="G1471" s="20" t="str"/>
      <x:c r="H1471" s="20" t="str"/>
      <x:c r="I1471" s="20" t="str">
        <x:v>City Water &amp; Sewer</x:v>
      </x:c>
      <x:c r="J1471" s="35" t="str">
        <x:v>Manual web form</x:v>
      </x:c>
      <x:c r="K1471" s="20" t="str"/>
      <x:c r="L1471" s="20" t="str">
        <x:v>EXP-20271215-1245</x:v>
      </x:c>
      <x:c r="M1471" s="26" t="n">
        <x:v>195</x:v>
      </x:c>
      <x:c r="N1471" s="26" t="n">
        <x:v>0</x:v>
      </x:c>
      <x:c r="O1471" s="26" t="n">
        <x:v>-195</x:v>
      </x:c>
      <x:c r="P1471" s="26" t="n">
        <x:v>0</x:v>
      </x:c>
      <x:c r="Q1471" s="26" t="n">
        <x:v>0</x:v>
      </x:c>
      <x:c r="R1471" s="26" t="n">
        <x:v>0</x:v>
      </x:c>
      <x:c r="S1471" s="26" t="n">
        <x:v>0</x:v>
      </x:c>
      <x:c r="T1471" s="26" t="n">
        <x:v>0</x:v>
      </x:c>
      <x:c r="U1471" s="26" t="n">
        <x:v>195</x:v>
      </x:c>
      <x:c r="V1471" s="26" t="n">
        <x:v>0</x:v>
      </x:c>
      <x:c r="W1471" s="26" t="n">
        <x:v>0</x:v>
      </x:c>
      <x:c r="X1471" s="26" t="n">
        <x:v>0</x:v>
      </x:c>
      <x:c r="Y1471" s="26" t="n">
        <x:v>0</x:v>
      </x:c>
      <x:c r="Z1471" s="35" t="str">
        <x:v>City Water &amp; Sewer</x:v>
      </x:c>
    </x:row>
    <x:row r="1472">
      <x:c r="A1472" s="20" t="str">
        <x:v>FIN-01469</x:v>
      </x:c>
      <x:c r="B1472" s="23" t="n">
        <x:v>46736</x:v>
      </x:c>
      <x:c r="C1472" s="23" t="n">
        <x:v>46736</x:v>
      </x:c>
      <x:c r="D1472" s="20" t="str">
        <x:v>OperatingExpense</x:v>
      </x:c>
      <x:c r="E1472" s="20" t="str">
        <x:v>Utilities</x:v>
      </x:c>
      <x:c r="F1472" s="20" t="str">
        <x:v>P026</x:v>
      </x:c>
      <x:c r="G1472" s="20" t="str"/>
      <x:c r="H1472" s="20" t="str"/>
      <x:c r="I1472" s="20" t="str">
        <x:v>City Water &amp; Sewer</x:v>
      </x:c>
      <x:c r="J1472" s="35" t="str">
        <x:v>Scanned receipt/invoice</x:v>
      </x:c>
      <x:c r="K1472" s="20" t="str">
        <x:v>SCN-0764</x:v>
      </x:c>
      <x:c r="L1472" s="20" t="str">
        <x:v>EXP-20271215-1246</x:v>
      </x:c>
      <x:c r="M1472" s="26" t="n">
        <x:v>202</x:v>
      </x:c>
      <x:c r="N1472" s="26" t="n">
        <x:v>0</x:v>
      </x:c>
      <x:c r="O1472" s="26" t="n">
        <x:v>-202</x:v>
      </x:c>
      <x:c r="P1472" s="26" t="n">
        <x:v>0</x:v>
      </x:c>
      <x:c r="Q1472" s="26" t="n">
        <x:v>0</x:v>
      </x:c>
      <x:c r="R1472" s="26" t="n">
        <x:v>0</x:v>
      </x:c>
      <x:c r="S1472" s="26" t="n">
        <x:v>0</x:v>
      </x:c>
      <x:c r="T1472" s="26" t="n">
        <x:v>0</x:v>
      </x:c>
      <x:c r="U1472" s="26" t="n">
        <x:v>202</x:v>
      </x:c>
      <x:c r="V1472" s="26" t="n">
        <x:v>0</x:v>
      </x:c>
      <x:c r="W1472" s="26" t="n">
        <x:v>0</x:v>
      </x:c>
      <x:c r="X1472" s="26" t="n">
        <x:v>0</x:v>
      </x:c>
      <x:c r="Y1472" s="26" t="n">
        <x:v>0</x:v>
      </x:c>
      <x:c r="Z1472" s="35" t="str">
        <x:v>City Water &amp; Sewer</x:v>
      </x:c>
    </x:row>
    <x:row r="1473">
      <x:c r="A1473" s="20" t="str">
        <x:v>FIN-01470</x:v>
      </x:c>
      <x:c r="B1473" s="23" t="n">
        <x:v>46736</x:v>
      </x:c>
      <x:c r="C1473" s="23" t="n">
        <x:v>46736</x:v>
      </x:c>
      <x:c r="D1473" s="20" t="str">
        <x:v>OperatingExpense</x:v>
      </x:c>
      <x:c r="E1473" s="20" t="str">
        <x:v>Utilities</x:v>
      </x:c>
      <x:c r="F1473" s="20" t="str">
        <x:v>P027</x:v>
      </x:c>
      <x:c r="G1473" s="20" t="str"/>
      <x:c r="H1473" s="20" t="str"/>
      <x:c r="I1473" s="20" t="str">
        <x:v>City Water &amp; Sewer</x:v>
      </x:c>
      <x:c r="J1473" s="35" t="str">
        <x:v>Scanned receipt/invoice</x:v>
      </x:c>
      <x:c r="K1473" s="20" t="str">
        <x:v>SCN-0765</x:v>
      </x:c>
      <x:c r="L1473" s="20" t="str">
        <x:v>EXP-20271215-1247</x:v>
      </x:c>
      <x:c r="M1473" s="26" t="n">
        <x:v>119</x:v>
      </x:c>
      <x:c r="N1473" s="26" t="n">
        <x:v>0</x:v>
      </x:c>
      <x:c r="O1473" s="26" t="n">
        <x:v>-119</x:v>
      </x:c>
      <x:c r="P1473" s="26" t="n">
        <x:v>0</x:v>
      </x:c>
      <x:c r="Q1473" s="26" t="n">
        <x:v>0</x:v>
      </x:c>
      <x:c r="R1473" s="26" t="n">
        <x:v>0</x:v>
      </x:c>
      <x:c r="S1473" s="26" t="n">
        <x:v>0</x:v>
      </x:c>
      <x:c r="T1473" s="26" t="n">
        <x:v>0</x:v>
      </x:c>
      <x:c r="U1473" s="26" t="n">
        <x:v>119</x:v>
      </x:c>
      <x:c r="V1473" s="26" t="n">
        <x:v>0</x:v>
      </x:c>
      <x:c r="W1473" s="26" t="n">
        <x:v>0</x:v>
      </x:c>
      <x:c r="X1473" s="26" t="n">
        <x:v>0</x:v>
      </x:c>
      <x:c r="Y1473" s="26" t="n">
        <x:v>0</x:v>
      </x:c>
      <x:c r="Z1473" s="35" t="str">
        <x:v>City Water &amp; Sewer</x:v>
      </x:c>
    </x:row>
    <x:row r="1474">
      <x:c r="A1474" s="20" t="str">
        <x:v>FIN-01471</x:v>
      </x:c>
      <x:c r="B1474" s="23" t="n">
        <x:v>46736</x:v>
      </x:c>
      <x:c r="C1474" s="23" t="n">
        <x:v>46736</x:v>
      </x:c>
      <x:c r="D1474" s="20" t="str">
        <x:v>OperatingExpense</x:v>
      </x:c>
      <x:c r="E1474" s="20" t="str">
        <x:v>Utilities</x:v>
      </x:c>
      <x:c r="F1474" s="20" t="str">
        <x:v>P028</x:v>
      </x:c>
      <x:c r="G1474" s="20" t="str"/>
      <x:c r="H1474" s="20" t="str"/>
      <x:c r="I1474" s="20" t="str">
        <x:v>City Water &amp; Sewer</x:v>
      </x:c>
      <x:c r="J1474" s="35" t="str">
        <x:v>Scanned receipt/invoice</x:v>
      </x:c>
      <x:c r="K1474" s="20" t="str">
        <x:v>SCN-0766</x:v>
      </x:c>
      <x:c r="L1474" s="20" t="str">
        <x:v>EXP-20271215-1248</x:v>
      </x:c>
      <x:c r="M1474" s="26" t="n">
        <x:v>126</x:v>
      </x:c>
      <x:c r="N1474" s="26" t="n">
        <x:v>0</x:v>
      </x:c>
      <x:c r="O1474" s="26" t="n">
        <x:v>-126</x:v>
      </x:c>
      <x:c r="P1474" s="26" t="n">
        <x:v>0</x:v>
      </x:c>
      <x:c r="Q1474" s="26" t="n">
        <x:v>0</x:v>
      </x:c>
      <x:c r="R1474" s="26" t="n">
        <x:v>0</x:v>
      </x:c>
      <x:c r="S1474" s="26" t="n">
        <x:v>0</x:v>
      </x:c>
      <x:c r="T1474" s="26" t="n">
        <x:v>0</x:v>
      </x:c>
      <x:c r="U1474" s="26" t="n">
        <x:v>126</x:v>
      </x:c>
      <x:c r="V1474" s="26" t="n">
        <x:v>0</x:v>
      </x:c>
      <x:c r="W1474" s="26" t="n">
        <x:v>0</x:v>
      </x:c>
      <x:c r="X1474" s="26" t="n">
        <x:v>0</x:v>
      </x:c>
      <x:c r="Y1474" s="26" t="n">
        <x:v>0</x:v>
      </x:c>
      <x:c r="Z1474" s="35" t="str">
        <x:v>City Water &amp; Sewer</x:v>
      </x:c>
    </x:row>
    <x:row r="1475">
      <x:c r="A1475" s="20" t="str">
        <x:v>FIN-01472</x:v>
      </x:c>
      <x:c r="B1475" s="23" t="n">
        <x:v>46736</x:v>
      </x:c>
      <x:c r="C1475" s="23" t="n">
        <x:v>46736</x:v>
      </x:c>
      <x:c r="D1475" s="20" t="str">
        <x:v>OperatingExpense</x:v>
      </x:c>
      <x:c r="E1475" s="20" t="str">
        <x:v>Utilities</x:v>
      </x:c>
      <x:c r="F1475" s="20" t="str">
        <x:v>P029</x:v>
      </x:c>
      <x:c r="G1475" s="20" t="str"/>
      <x:c r="H1475" s="20" t="str"/>
      <x:c r="I1475" s="20" t="str">
        <x:v>City Water &amp; Sewer</x:v>
      </x:c>
      <x:c r="J1475" s="35" t="str">
        <x:v>Scanned receipt/invoice</x:v>
      </x:c>
      <x:c r="K1475" s="20" t="str">
        <x:v>SCN-0767</x:v>
      </x:c>
      <x:c r="L1475" s="20" t="str">
        <x:v>EXP-20271215-1249</x:v>
      </x:c>
      <x:c r="M1475" s="26" t="n">
        <x:v>133</x:v>
      </x:c>
      <x:c r="N1475" s="26" t="n">
        <x:v>0</x:v>
      </x:c>
      <x:c r="O1475" s="26" t="n">
        <x:v>-133</x:v>
      </x:c>
      <x:c r="P1475" s="26" t="n">
        <x:v>0</x:v>
      </x:c>
      <x:c r="Q1475" s="26" t="n">
        <x:v>0</x:v>
      </x:c>
      <x:c r="R1475" s="26" t="n">
        <x:v>0</x:v>
      </x:c>
      <x:c r="S1475" s="26" t="n">
        <x:v>0</x:v>
      </x:c>
      <x:c r="T1475" s="26" t="n">
        <x:v>0</x:v>
      </x:c>
      <x:c r="U1475" s="26" t="n">
        <x:v>133</x:v>
      </x:c>
      <x:c r="V1475" s="26" t="n">
        <x:v>0</x:v>
      </x:c>
      <x:c r="W1475" s="26" t="n">
        <x:v>0</x:v>
      </x:c>
      <x:c r="X1475" s="26" t="n">
        <x:v>0</x:v>
      </x:c>
      <x:c r="Y1475" s="26" t="n">
        <x:v>0</x:v>
      </x:c>
      <x:c r="Z1475" s="35" t="str">
        <x:v>City Water &amp; Sewer</x:v>
      </x:c>
    </x:row>
    <x:row r="1476">
      <x:c r="A1476" s="20" t="str">
        <x:v>FIN-01473</x:v>
      </x:c>
      <x:c r="B1476" s="23" t="n">
        <x:v>46736</x:v>
      </x:c>
      <x:c r="C1476" s="23" t="n">
        <x:v>46736</x:v>
      </x:c>
      <x:c r="D1476" s="20" t="str">
        <x:v>OperatingExpense</x:v>
      </x:c>
      <x:c r="E1476" s="20" t="str">
        <x:v>Utilities</x:v>
      </x:c>
      <x:c r="F1476" s="20" t="str">
        <x:v>P030</x:v>
      </x:c>
      <x:c r="G1476" s="20" t="str"/>
      <x:c r="H1476" s="20" t="str"/>
      <x:c r="I1476" s="20" t="str">
        <x:v>City Water &amp; Sewer</x:v>
      </x:c>
      <x:c r="J1476" s="35" t="str">
        <x:v>Manual mobile form</x:v>
      </x:c>
      <x:c r="K1476" s="20" t="str"/>
      <x:c r="L1476" s="20" t="str">
        <x:v>EXP-20271215-1250</x:v>
      </x:c>
      <x:c r="M1476" s="26" t="n">
        <x:v>140</x:v>
      </x:c>
      <x:c r="N1476" s="26" t="n">
        <x:v>0</x:v>
      </x:c>
      <x:c r="O1476" s="26" t="n">
        <x:v>-140</x:v>
      </x:c>
      <x:c r="P1476" s="26" t="n">
        <x:v>0</x:v>
      </x:c>
      <x:c r="Q1476" s="26" t="n">
        <x:v>0</x:v>
      </x:c>
      <x:c r="R1476" s="26" t="n">
        <x:v>0</x:v>
      </x:c>
      <x:c r="S1476" s="26" t="n">
        <x:v>0</x:v>
      </x:c>
      <x:c r="T1476" s="26" t="n">
        <x:v>0</x:v>
      </x:c>
      <x:c r="U1476" s="26" t="n">
        <x:v>140</x:v>
      </x:c>
      <x:c r="V1476" s="26" t="n">
        <x:v>0</x:v>
      </x:c>
      <x:c r="W1476" s="26" t="n">
        <x:v>0</x:v>
      </x:c>
      <x:c r="X1476" s="26" t="n">
        <x:v>0</x:v>
      </x:c>
      <x:c r="Y1476" s="26" t="n">
        <x:v>0</x:v>
      </x:c>
      <x:c r="Z1476" s="35" t="str">
        <x:v>City Water &amp; Sewer</x:v>
      </x:c>
    </x:row>
    <x:row r="1477">
      <x:c r="A1477" s="20" t="str">
        <x:v>FIN-01474</x:v>
      </x:c>
      <x:c r="B1477" s="23" t="n">
        <x:v>46741</x:v>
      </x:c>
      <x:c r="C1477" s="23" t="n">
        <x:v>46741</x:v>
      </x:c>
      <x:c r="D1477" s="20" t="str">
        <x:v>LoanPayment</x:v>
      </x:c>
      <x:c r="E1477" s="20" t="str">
        <x:v>Mortgage principal and interest</x:v>
      </x:c>
      <x:c r="F1477" s="20" t="str">
        <x:v>P001</x:v>
      </x:c>
      <x:c r="G1477" s="20" t="str"/>
      <x:c r="H1477" s="20" t="str"/>
      <x:c r="I1477" s="20" t="str">
        <x:v>First QA Mortgage</x:v>
      </x:c>
      <x:c r="J1477" s="35" t="str">
        <x:v>Recurring loan payment + scanned statement</x:v>
      </x:c>
      <x:c r="K1477" s="20" t="str">
        <x:v>SCN-0768</x:v>
      </x:c>
      <x:c r="L1477" s="20" t="str">
        <x:v>LN001-202712</x:v>
      </x:c>
      <x:c r="M1477" s="26" t="n">
        <x:v>966</x:v>
      </x:c>
      <x:c r="N1477" s="26" t="n">
        <x:v>0</x:v>
      </x:c>
      <x:c r="O1477" s="26" t="n">
        <x:v>-966</x:v>
      </x:c>
      <x:c r="P1477" s="26" t="n">
        <x:v>0</x:v>
      </x:c>
      <x:c r="Q1477" s="26" t="n">
        <x:v>0</x:v>
      </x:c>
      <x:c r="R1477" s="26" t="n">
        <x:v>0</x:v>
      </x:c>
      <x:c r="S1477" s="26" t="n">
        <x:v>-431</x:v>
      </x:c>
      <x:c r="T1477" s="26" t="n">
        <x:v>0</x:v>
      </x:c>
      <x:c r="U1477" s="26" t="n">
        <x:v>535</x:v>
      </x:c>
      <x:c r="V1477" s="26" t="n">
        <x:v>0</x:v>
      </x:c>
      <x:c r="W1477" s="26" t="n">
        <x:v>0</x:v>
      </x:c>
      <x:c r="X1477" s="26" t="n">
        <x:v>0</x:v>
      </x:c>
      <x:c r="Y1477" s="26" t="n">
        <x:v>0</x:v>
      </x:c>
      <x:c r="Z1477" s="35" t="str">
        <x:v>LN001 scheduled payment</x:v>
      </x:c>
    </x:row>
    <x:row r="1478">
      <x:c r="A1478" s="20" t="str">
        <x:v>FIN-01475</x:v>
      </x:c>
      <x:c r="B1478" s="23" t="n">
        <x:v>46741</x:v>
      </x:c>
      <x:c r="C1478" s="23" t="n">
        <x:v>46741</x:v>
      </x:c>
      <x:c r="D1478" s="20" t="str">
        <x:v>LoanPayment</x:v>
      </x:c>
      <x:c r="E1478" s="20" t="str">
        <x:v>Mortgage principal and interest</x:v>
      </x:c>
      <x:c r="F1478" s="20" t="str">
        <x:v>P002</x:v>
      </x:c>
      <x:c r="G1478" s="20" t="str"/>
      <x:c r="H1478" s="20" t="str"/>
      <x:c r="I1478" s="20" t="str">
        <x:v>First QA Mortgage</x:v>
      </x:c>
      <x:c r="J1478" s="35" t="str">
        <x:v>Recurring loan payment + scanned statement</x:v>
      </x:c>
      <x:c r="K1478" s="20" t="str">
        <x:v>SCN-0769</x:v>
      </x:c>
      <x:c r="L1478" s="20" t="str">
        <x:v>LN002-202712</x:v>
      </x:c>
      <x:c r="M1478" s="26" t="n">
        <x:v>990</x:v>
      </x:c>
      <x:c r="N1478" s="26" t="n">
        <x:v>0</x:v>
      </x:c>
      <x:c r="O1478" s="26" t="n">
        <x:v>-990</x:v>
      </x:c>
      <x:c r="P1478" s="26" t="n">
        <x:v>0</x:v>
      </x:c>
      <x:c r="Q1478" s="26" t="n">
        <x:v>0</x:v>
      </x:c>
      <x:c r="R1478" s="26" t="n">
        <x:v>0</x:v>
      </x:c>
      <x:c r="S1478" s="26" t="n">
        <x:v>-442</x:v>
      </x:c>
      <x:c r="T1478" s="26" t="n">
        <x:v>0</x:v>
      </x:c>
      <x:c r="U1478" s="26" t="n">
        <x:v>548</x:v>
      </x:c>
      <x:c r="V1478" s="26" t="n">
        <x:v>0</x:v>
      </x:c>
      <x:c r="W1478" s="26" t="n">
        <x:v>0</x:v>
      </x:c>
      <x:c r="X1478" s="26" t="n">
        <x:v>0</x:v>
      </x:c>
      <x:c r="Y1478" s="26" t="n">
        <x:v>0</x:v>
      </x:c>
      <x:c r="Z1478" s="35" t="str">
        <x:v>LN002 scheduled payment</x:v>
      </x:c>
    </x:row>
    <x:row r="1479">
      <x:c r="A1479" s="20" t="str">
        <x:v>FIN-01476</x:v>
      </x:c>
      <x:c r="B1479" s="23" t="n">
        <x:v>46741</x:v>
      </x:c>
      <x:c r="C1479" s="23" t="n">
        <x:v>46741</x:v>
      </x:c>
      <x:c r="D1479" s="20" t="str">
        <x:v>LoanPayment</x:v>
      </x:c>
      <x:c r="E1479" s="20" t="str">
        <x:v>Mortgage principal and interest</x:v>
      </x:c>
      <x:c r="F1479" s="20" t="str">
        <x:v>P004</x:v>
      </x:c>
      <x:c r="G1479" s="20" t="str"/>
      <x:c r="H1479" s="20" t="str"/>
      <x:c r="I1479" s="20" t="str">
        <x:v>First QA Mortgage</x:v>
      </x:c>
      <x:c r="J1479" s="35" t="str">
        <x:v>Recurring loan payment + scanned statement</x:v>
      </x:c>
      <x:c r="K1479" s="20" t="str">
        <x:v>SCN-0770</x:v>
      </x:c>
      <x:c r="L1479" s="20" t="str">
        <x:v>LN004-202712</x:v>
      </x:c>
      <x:c r="M1479" s="26" t="n">
        <x:v>1038</x:v>
      </x:c>
      <x:c r="N1479" s="26" t="n">
        <x:v>0</x:v>
      </x:c>
      <x:c r="O1479" s="26" t="n">
        <x:v>-1038</x:v>
      </x:c>
      <x:c r="P1479" s="26" t="n">
        <x:v>0</x:v>
      </x:c>
      <x:c r="Q1479" s="26" t="n">
        <x:v>0</x:v>
      </x:c>
      <x:c r="R1479" s="26" t="n">
        <x:v>0</x:v>
      </x:c>
      <x:c r="S1479" s="26" t="n">
        <x:v>-464</x:v>
      </x:c>
      <x:c r="T1479" s="26" t="n">
        <x:v>0</x:v>
      </x:c>
      <x:c r="U1479" s="26" t="n">
        <x:v>574</x:v>
      </x:c>
      <x:c r="V1479" s="26" t="n">
        <x:v>0</x:v>
      </x:c>
      <x:c r="W1479" s="26" t="n">
        <x:v>0</x:v>
      </x:c>
      <x:c r="X1479" s="26" t="n">
        <x:v>0</x:v>
      </x:c>
      <x:c r="Y1479" s="26" t="n">
        <x:v>0</x:v>
      </x:c>
      <x:c r="Z1479" s="35" t="str">
        <x:v>LN004 scheduled payment</x:v>
      </x:c>
    </x:row>
    <x:row r="1480">
      <x:c r="A1480" s="20" t="str">
        <x:v>FIN-01477</x:v>
      </x:c>
      <x:c r="B1480" s="23" t="n">
        <x:v>46741</x:v>
      </x:c>
      <x:c r="C1480" s="23" t="n">
        <x:v>46741</x:v>
      </x:c>
      <x:c r="D1480" s="20" t="str">
        <x:v>LoanPayment</x:v>
      </x:c>
      <x:c r="E1480" s="20" t="str">
        <x:v>Mortgage principal and interest</x:v>
      </x:c>
      <x:c r="F1480" s="20" t="str">
        <x:v>P005</x:v>
      </x:c>
      <x:c r="G1480" s="20" t="str"/>
      <x:c r="H1480" s="20" t="str"/>
      <x:c r="I1480" s="20" t="str">
        <x:v>First QA Mortgage</x:v>
      </x:c>
      <x:c r="J1480" s="35" t="str">
        <x:v>Recurring loan payment + scanned statement</x:v>
      </x:c>
      <x:c r="K1480" s="20" t="str">
        <x:v>SCN-0771</x:v>
      </x:c>
      <x:c r="L1480" s="20" t="str">
        <x:v>LN005-202712</x:v>
      </x:c>
      <x:c r="M1480" s="26" t="n">
        <x:v>1062</x:v>
      </x:c>
      <x:c r="N1480" s="26" t="n">
        <x:v>0</x:v>
      </x:c>
      <x:c r="O1480" s="26" t="n">
        <x:v>-1062</x:v>
      </x:c>
      <x:c r="P1480" s="26" t="n">
        <x:v>0</x:v>
      </x:c>
      <x:c r="Q1480" s="26" t="n">
        <x:v>0</x:v>
      </x:c>
      <x:c r="R1480" s="26" t="n">
        <x:v>0</x:v>
      </x:c>
      <x:c r="S1480" s="26" t="n">
        <x:v>-475</x:v>
      </x:c>
      <x:c r="T1480" s="26" t="n">
        <x:v>0</x:v>
      </x:c>
      <x:c r="U1480" s="26" t="n">
        <x:v>587</x:v>
      </x:c>
      <x:c r="V1480" s="26" t="n">
        <x:v>0</x:v>
      </x:c>
      <x:c r="W1480" s="26" t="n">
        <x:v>0</x:v>
      </x:c>
      <x:c r="X1480" s="26" t="n">
        <x:v>0</x:v>
      </x:c>
      <x:c r="Y1480" s="26" t="n">
        <x:v>0</x:v>
      </x:c>
      <x:c r="Z1480" s="35" t="str">
        <x:v>LN005 scheduled payment</x:v>
      </x:c>
    </x:row>
    <x:row r="1481">
      <x:c r="A1481" s="20" t="str">
        <x:v>FIN-01478</x:v>
      </x:c>
      <x:c r="B1481" s="23" t="n">
        <x:v>46741</x:v>
      </x:c>
      <x:c r="C1481" s="23" t="n">
        <x:v>46741</x:v>
      </x:c>
      <x:c r="D1481" s="20" t="str">
        <x:v>LoanPayment</x:v>
      </x:c>
      <x:c r="E1481" s="20" t="str">
        <x:v>Mortgage principal and interest</x:v>
      </x:c>
      <x:c r="F1481" s="20" t="str">
        <x:v>P007</x:v>
      </x:c>
      <x:c r="G1481" s="20" t="str"/>
      <x:c r="H1481" s="20" t="str"/>
      <x:c r="I1481" s="20" t="str">
        <x:v>First QA Mortgage</x:v>
      </x:c>
      <x:c r="J1481" s="35" t="str">
        <x:v>Recurring loan payment + scanned statement</x:v>
      </x:c>
      <x:c r="K1481" s="20" t="str">
        <x:v>SCN-0772</x:v>
      </x:c>
      <x:c r="L1481" s="20" t="str">
        <x:v>LN007-202712</x:v>
      </x:c>
      <x:c r="M1481" s="26" t="n">
        <x:v>1110</x:v>
      </x:c>
      <x:c r="N1481" s="26" t="n">
        <x:v>0</x:v>
      </x:c>
      <x:c r="O1481" s="26" t="n">
        <x:v>-1110</x:v>
      </x:c>
      <x:c r="P1481" s="26" t="n">
        <x:v>0</x:v>
      </x:c>
      <x:c r="Q1481" s="26" t="n">
        <x:v>0</x:v>
      </x:c>
      <x:c r="R1481" s="26" t="n">
        <x:v>0</x:v>
      </x:c>
      <x:c r="S1481" s="26" t="n">
        <x:v>-497</x:v>
      </x:c>
      <x:c r="T1481" s="26" t="n">
        <x:v>0</x:v>
      </x:c>
      <x:c r="U1481" s="26" t="n">
        <x:v>613</x:v>
      </x:c>
      <x:c r="V1481" s="26" t="n">
        <x:v>0</x:v>
      </x:c>
      <x:c r="W1481" s="26" t="n">
        <x:v>0</x:v>
      </x:c>
      <x:c r="X1481" s="26" t="n">
        <x:v>0</x:v>
      </x:c>
      <x:c r="Y1481" s="26" t="n">
        <x:v>0</x:v>
      </x:c>
      <x:c r="Z1481" s="35" t="str">
        <x:v>LN007 scheduled payment</x:v>
      </x:c>
    </x:row>
    <x:row r="1482">
      <x:c r="A1482" s="20" t="str">
        <x:v>FIN-01479</x:v>
      </x:c>
      <x:c r="B1482" s="23" t="n">
        <x:v>46741</x:v>
      </x:c>
      <x:c r="C1482" s="23" t="n">
        <x:v>46741</x:v>
      </x:c>
      <x:c r="D1482" s="20" t="str">
        <x:v>LoanPayment</x:v>
      </x:c>
      <x:c r="E1482" s="20" t="str">
        <x:v>Mortgage principal and interest</x:v>
      </x:c>
      <x:c r="F1482" s="20" t="str">
        <x:v>P008</x:v>
      </x:c>
      <x:c r="G1482" s="20" t="str"/>
      <x:c r="H1482" s="20" t="str"/>
      <x:c r="I1482" s="20" t="str">
        <x:v>First QA Mortgage</x:v>
      </x:c>
      <x:c r="J1482" s="35" t="str">
        <x:v>Recurring loan payment + scanned statement</x:v>
      </x:c>
      <x:c r="K1482" s="20" t="str">
        <x:v>SCN-0773</x:v>
      </x:c>
      <x:c r="L1482" s="20" t="str">
        <x:v>LN008-202712</x:v>
      </x:c>
      <x:c r="M1482" s="26" t="n">
        <x:v>1134</x:v>
      </x:c>
      <x:c r="N1482" s="26" t="n">
        <x:v>0</x:v>
      </x:c>
      <x:c r="O1482" s="26" t="n">
        <x:v>-1134</x:v>
      </x:c>
      <x:c r="P1482" s="26" t="n">
        <x:v>0</x:v>
      </x:c>
      <x:c r="Q1482" s="26" t="n">
        <x:v>0</x:v>
      </x:c>
      <x:c r="R1482" s="26" t="n">
        <x:v>0</x:v>
      </x:c>
      <x:c r="S1482" s="26" t="n">
        <x:v>-508</x:v>
      </x:c>
      <x:c r="T1482" s="26" t="n">
        <x:v>0</x:v>
      </x:c>
      <x:c r="U1482" s="26" t="n">
        <x:v>626</x:v>
      </x:c>
      <x:c r="V1482" s="26" t="n">
        <x:v>0</x:v>
      </x:c>
      <x:c r="W1482" s="26" t="n">
        <x:v>0</x:v>
      </x:c>
      <x:c r="X1482" s="26" t="n">
        <x:v>0</x:v>
      </x:c>
      <x:c r="Y1482" s="26" t="n">
        <x:v>0</x:v>
      </x:c>
      <x:c r="Z1482" s="35" t="str">
        <x:v>LN008 scheduled payment</x:v>
      </x:c>
    </x:row>
    <x:row r="1483">
      <x:c r="A1483" s="20" t="str">
        <x:v>FIN-01480</x:v>
      </x:c>
      <x:c r="B1483" s="23" t="n">
        <x:v>46741</x:v>
      </x:c>
      <x:c r="C1483" s="23" t="n">
        <x:v>46741</x:v>
      </x:c>
      <x:c r="D1483" s="20" t="str">
        <x:v>LoanPayment</x:v>
      </x:c>
      <x:c r="E1483" s="20" t="str">
        <x:v>Mortgage principal and interest</x:v>
      </x:c>
      <x:c r="F1483" s="20" t="str">
        <x:v>P010</x:v>
      </x:c>
      <x:c r="G1483" s="20" t="str"/>
      <x:c r="H1483" s="20" t="str"/>
      <x:c r="I1483" s="20" t="str">
        <x:v>First QA Mortgage</x:v>
      </x:c>
      <x:c r="J1483" s="35" t="str">
        <x:v>Recurring loan payment + scanned statement</x:v>
      </x:c>
      <x:c r="K1483" s="20" t="str">
        <x:v>SCN-0774</x:v>
      </x:c>
      <x:c r="L1483" s="20" t="str">
        <x:v>LN010-202712</x:v>
      </x:c>
      <x:c r="M1483" s="26" t="n">
        <x:v>1182</x:v>
      </x:c>
      <x:c r="N1483" s="26" t="n">
        <x:v>0</x:v>
      </x:c>
      <x:c r="O1483" s="26" t="n">
        <x:v>-1182</x:v>
      </x:c>
      <x:c r="P1483" s="26" t="n">
        <x:v>0</x:v>
      </x:c>
      <x:c r="Q1483" s="26" t="n">
        <x:v>0</x:v>
      </x:c>
      <x:c r="R1483" s="26" t="n">
        <x:v>0</x:v>
      </x:c>
      <x:c r="S1483" s="26" t="n">
        <x:v>-530</x:v>
      </x:c>
      <x:c r="T1483" s="26" t="n">
        <x:v>0</x:v>
      </x:c>
      <x:c r="U1483" s="26" t="n">
        <x:v>652</x:v>
      </x:c>
      <x:c r="V1483" s="26" t="n">
        <x:v>0</x:v>
      </x:c>
      <x:c r="W1483" s="26" t="n">
        <x:v>0</x:v>
      </x:c>
      <x:c r="X1483" s="26" t="n">
        <x:v>0</x:v>
      </x:c>
      <x:c r="Y1483" s="26" t="n">
        <x:v>0</x:v>
      </x:c>
      <x:c r="Z1483" s="35" t="str">
        <x:v>LN010 scheduled payment</x:v>
      </x:c>
    </x:row>
    <x:row r="1484">
      <x:c r="A1484" s="20" t="str">
        <x:v>FIN-01481</x:v>
      </x:c>
      <x:c r="B1484" s="23" t="n">
        <x:v>46741</x:v>
      </x:c>
      <x:c r="C1484" s="23" t="n">
        <x:v>46741</x:v>
      </x:c>
      <x:c r="D1484" s="20" t="str">
        <x:v>LoanPayment</x:v>
      </x:c>
      <x:c r="E1484" s="20" t="str">
        <x:v>Mortgage principal and interest</x:v>
      </x:c>
      <x:c r="F1484" s="20" t="str">
        <x:v>P011</x:v>
      </x:c>
      <x:c r="G1484" s="20" t="str"/>
      <x:c r="H1484" s="20" t="str"/>
      <x:c r="I1484" s="20" t="str">
        <x:v>First QA Mortgage</x:v>
      </x:c>
      <x:c r="J1484" s="35" t="str">
        <x:v>Recurring loan payment + scanned statement</x:v>
      </x:c>
      <x:c r="K1484" s="20" t="str">
        <x:v>SCN-0775</x:v>
      </x:c>
      <x:c r="L1484" s="20" t="str">
        <x:v>LN011-202712</x:v>
      </x:c>
      <x:c r="M1484" s="26" t="n">
        <x:v>1206</x:v>
      </x:c>
      <x:c r="N1484" s="26" t="n">
        <x:v>0</x:v>
      </x:c>
      <x:c r="O1484" s="26" t="n">
        <x:v>-1206</x:v>
      </x:c>
      <x:c r="P1484" s="26" t="n">
        <x:v>0</x:v>
      </x:c>
      <x:c r="Q1484" s="26" t="n">
        <x:v>0</x:v>
      </x:c>
      <x:c r="R1484" s="26" t="n">
        <x:v>0</x:v>
      </x:c>
      <x:c r="S1484" s="26" t="n">
        <x:v>-541</x:v>
      </x:c>
      <x:c r="T1484" s="26" t="n">
        <x:v>0</x:v>
      </x:c>
      <x:c r="U1484" s="26" t="n">
        <x:v>665</x:v>
      </x:c>
      <x:c r="V1484" s="26" t="n">
        <x:v>0</x:v>
      </x:c>
      <x:c r="W1484" s="26" t="n">
        <x:v>0</x:v>
      </x:c>
      <x:c r="X1484" s="26" t="n">
        <x:v>0</x:v>
      </x:c>
      <x:c r="Y1484" s="26" t="n">
        <x:v>0</x:v>
      </x:c>
      <x:c r="Z1484" s="35" t="str">
        <x:v>LN011 scheduled payment</x:v>
      </x:c>
    </x:row>
    <x:row r="1485">
      <x:c r="A1485" s="20" t="str">
        <x:v>FIN-01482</x:v>
      </x:c>
      <x:c r="B1485" s="23" t="n">
        <x:v>46741</x:v>
      </x:c>
      <x:c r="C1485" s="23" t="n">
        <x:v>46741</x:v>
      </x:c>
      <x:c r="D1485" s="20" t="str">
        <x:v>LoanPayment</x:v>
      </x:c>
      <x:c r="E1485" s="20" t="str">
        <x:v>Mortgage principal and interest</x:v>
      </x:c>
      <x:c r="F1485" s="20" t="str">
        <x:v>P013</x:v>
      </x:c>
      <x:c r="G1485" s="20" t="str"/>
      <x:c r="H1485" s="20" t="str"/>
      <x:c r="I1485" s="20" t="str">
        <x:v>First QA Mortgage</x:v>
      </x:c>
      <x:c r="J1485" s="35" t="str">
        <x:v>Recurring loan payment + scanned statement</x:v>
      </x:c>
      <x:c r="K1485" s="20" t="str">
        <x:v>SCN-0776</x:v>
      </x:c>
      <x:c r="L1485" s="20" t="str">
        <x:v>LN013-202712</x:v>
      </x:c>
      <x:c r="M1485" s="26" t="n">
        <x:v>1254</x:v>
      </x:c>
      <x:c r="N1485" s="26" t="n">
        <x:v>0</x:v>
      </x:c>
      <x:c r="O1485" s="26" t="n">
        <x:v>-1254</x:v>
      </x:c>
      <x:c r="P1485" s="26" t="n">
        <x:v>0</x:v>
      </x:c>
      <x:c r="Q1485" s="26" t="n">
        <x:v>0</x:v>
      </x:c>
      <x:c r="R1485" s="26" t="n">
        <x:v>0</x:v>
      </x:c>
      <x:c r="S1485" s="26" t="n">
        <x:v>-563</x:v>
      </x:c>
      <x:c r="T1485" s="26" t="n">
        <x:v>0</x:v>
      </x:c>
      <x:c r="U1485" s="26" t="n">
        <x:v>691</x:v>
      </x:c>
      <x:c r="V1485" s="26" t="n">
        <x:v>0</x:v>
      </x:c>
      <x:c r="W1485" s="26" t="n">
        <x:v>0</x:v>
      </x:c>
      <x:c r="X1485" s="26" t="n">
        <x:v>0</x:v>
      </x:c>
      <x:c r="Y1485" s="26" t="n">
        <x:v>0</x:v>
      </x:c>
      <x:c r="Z1485" s="35" t="str">
        <x:v>LN013 scheduled payment</x:v>
      </x:c>
    </x:row>
    <x:row r="1486">
      <x:c r="A1486" s="20" t="str">
        <x:v>FIN-01483</x:v>
      </x:c>
      <x:c r="B1486" s="23" t="n">
        <x:v>46741</x:v>
      </x:c>
      <x:c r="C1486" s="23" t="n">
        <x:v>46741</x:v>
      </x:c>
      <x:c r="D1486" s="20" t="str">
        <x:v>LoanPayment</x:v>
      </x:c>
      <x:c r="E1486" s="20" t="str">
        <x:v>Mortgage principal and interest</x:v>
      </x:c>
      <x:c r="F1486" s="20" t="str">
        <x:v>P014</x:v>
      </x:c>
      <x:c r="G1486" s="20" t="str"/>
      <x:c r="H1486" s="20" t="str"/>
      <x:c r="I1486" s="20" t="str">
        <x:v>First QA Mortgage</x:v>
      </x:c>
      <x:c r="J1486" s="35" t="str">
        <x:v>Recurring loan payment + scanned statement</x:v>
      </x:c>
      <x:c r="K1486" s="20" t="str">
        <x:v>SCN-0777</x:v>
      </x:c>
      <x:c r="L1486" s="20" t="str">
        <x:v>LN014-202712</x:v>
      </x:c>
      <x:c r="M1486" s="26" t="n">
        <x:v>1278</x:v>
      </x:c>
      <x:c r="N1486" s="26" t="n">
        <x:v>0</x:v>
      </x:c>
      <x:c r="O1486" s="26" t="n">
        <x:v>-1278</x:v>
      </x:c>
      <x:c r="P1486" s="26" t="n">
        <x:v>0</x:v>
      </x:c>
      <x:c r="Q1486" s="26" t="n">
        <x:v>0</x:v>
      </x:c>
      <x:c r="R1486" s="26" t="n">
        <x:v>0</x:v>
      </x:c>
      <x:c r="S1486" s="26" t="n">
        <x:v>-574</x:v>
      </x:c>
      <x:c r="T1486" s="26" t="n">
        <x:v>0</x:v>
      </x:c>
      <x:c r="U1486" s="26" t="n">
        <x:v>704</x:v>
      </x:c>
      <x:c r="V1486" s="26" t="n">
        <x:v>0</x:v>
      </x:c>
      <x:c r="W1486" s="26" t="n">
        <x:v>0</x:v>
      </x:c>
      <x:c r="X1486" s="26" t="n">
        <x:v>0</x:v>
      </x:c>
      <x:c r="Y1486" s="26" t="n">
        <x:v>0</x:v>
      </x:c>
      <x:c r="Z1486" s="35" t="str">
        <x:v>LN014 scheduled payment</x:v>
      </x:c>
    </x:row>
    <x:row r="1487">
      <x:c r="A1487" s="20" t="str">
        <x:v>FIN-01484</x:v>
      </x:c>
      <x:c r="B1487" s="23" t="n">
        <x:v>46741</x:v>
      </x:c>
      <x:c r="C1487" s="23" t="n">
        <x:v>46741</x:v>
      </x:c>
      <x:c r="D1487" s="20" t="str">
        <x:v>LoanPayment</x:v>
      </x:c>
      <x:c r="E1487" s="20" t="str">
        <x:v>Mortgage principal and interest</x:v>
      </x:c>
      <x:c r="F1487" s="20" t="str">
        <x:v>P016</x:v>
      </x:c>
      <x:c r="G1487" s="20" t="str"/>
      <x:c r="H1487" s="20" t="str"/>
      <x:c r="I1487" s="20" t="str">
        <x:v>First QA Mortgage</x:v>
      </x:c>
      <x:c r="J1487" s="35" t="str">
        <x:v>Recurring loan payment + scanned statement</x:v>
      </x:c>
      <x:c r="K1487" s="20" t="str">
        <x:v>SCN-0778</x:v>
      </x:c>
      <x:c r="L1487" s="20" t="str">
        <x:v>LN016-202712</x:v>
      </x:c>
      <x:c r="M1487" s="26" t="n">
        <x:v>1326</x:v>
      </x:c>
      <x:c r="N1487" s="26" t="n">
        <x:v>0</x:v>
      </x:c>
      <x:c r="O1487" s="26" t="n">
        <x:v>-1326</x:v>
      </x:c>
      <x:c r="P1487" s="26" t="n">
        <x:v>0</x:v>
      </x:c>
      <x:c r="Q1487" s="26" t="n">
        <x:v>0</x:v>
      </x:c>
      <x:c r="R1487" s="26" t="n">
        <x:v>0</x:v>
      </x:c>
      <x:c r="S1487" s="26" t="n">
        <x:v>-596</x:v>
      </x:c>
      <x:c r="T1487" s="26" t="n">
        <x:v>0</x:v>
      </x:c>
      <x:c r="U1487" s="26" t="n">
        <x:v>730</x:v>
      </x:c>
      <x:c r="V1487" s="26" t="n">
        <x:v>0</x:v>
      </x:c>
      <x:c r="W1487" s="26" t="n">
        <x:v>0</x:v>
      </x:c>
      <x:c r="X1487" s="26" t="n">
        <x:v>0</x:v>
      </x:c>
      <x:c r="Y1487" s="26" t="n">
        <x:v>0</x:v>
      </x:c>
      <x:c r="Z1487" s="35" t="str">
        <x:v>LN016 scheduled payment</x:v>
      </x:c>
    </x:row>
    <x:row r="1488">
      <x:c r="A1488" s="20" t="str">
        <x:v>FIN-01485</x:v>
      </x:c>
      <x:c r="B1488" s="23" t="n">
        <x:v>46741</x:v>
      </x:c>
      <x:c r="C1488" s="23" t="n">
        <x:v>46741</x:v>
      </x:c>
      <x:c r="D1488" s="20" t="str">
        <x:v>LoanPayment</x:v>
      </x:c>
      <x:c r="E1488" s="20" t="str">
        <x:v>Mortgage principal and interest</x:v>
      </x:c>
      <x:c r="F1488" s="20" t="str">
        <x:v>P017</x:v>
      </x:c>
      <x:c r="G1488" s="20" t="str"/>
      <x:c r="H1488" s="20" t="str"/>
      <x:c r="I1488" s="20" t="str">
        <x:v>First QA Mortgage</x:v>
      </x:c>
      <x:c r="J1488" s="35" t="str">
        <x:v>Recurring loan payment + scanned statement</x:v>
      </x:c>
      <x:c r="K1488" s="20" t="str">
        <x:v>SCN-0779</x:v>
      </x:c>
      <x:c r="L1488" s="20" t="str">
        <x:v>LN017-202712</x:v>
      </x:c>
      <x:c r="M1488" s="26" t="n">
        <x:v>1350</x:v>
      </x:c>
      <x:c r="N1488" s="26" t="n">
        <x:v>0</x:v>
      </x:c>
      <x:c r="O1488" s="26" t="n">
        <x:v>-1350</x:v>
      </x:c>
      <x:c r="P1488" s="26" t="n">
        <x:v>0</x:v>
      </x:c>
      <x:c r="Q1488" s="26" t="n">
        <x:v>0</x:v>
      </x:c>
      <x:c r="R1488" s="26" t="n">
        <x:v>0</x:v>
      </x:c>
      <x:c r="S1488" s="26" t="n">
        <x:v>-607</x:v>
      </x:c>
      <x:c r="T1488" s="26" t="n">
        <x:v>0</x:v>
      </x:c>
      <x:c r="U1488" s="26" t="n">
        <x:v>743</x:v>
      </x:c>
      <x:c r="V1488" s="26" t="n">
        <x:v>0</x:v>
      </x:c>
      <x:c r="W1488" s="26" t="n">
        <x:v>0</x:v>
      </x:c>
      <x:c r="X1488" s="26" t="n">
        <x:v>0</x:v>
      </x:c>
      <x:c r="Y1488" s="26" t="n">
        <x:v>0</x:v>
      </x:c>
      <x:c r="Z1488" s="35" t="str">
        <x:v>LN017 scheduled payment</x:v>
      </x:c>
    </x:row>
    <x:row r="1489">
      <x:c r="A1489" s="20" t="str">
        <x:v>FIN-01486</x:v>
      </x:c>
      <x:c r="B1489" s="23" t="n">
        <x:v>46741</x:v>
      </x:c>
      <x:c r="C1489" s="23" t="n">
        <x:v>46741</x:v>
      </x:c>
      <x:c r="D1489" s="20" t="str">
        <x:v>LoanPayment</x:v>
      </x:c>
      <x:c r="E1489" s="20" t="str">
        <x:v>Mortgage principal and interest</x:v>
      </x:c>
      <x:c r="F1489" s="20" t="str">
        <x:v>P019</x:v>
      </x:c>
      <x:c r="G1489" s="20" t="str"/>
      <x:c r="H1489" s="20" t="str"/>
      <x:c r="I1489" s="20" t="str">
        <x:v>First QA Mortgage</x:v>
      </x:c>
      <x:c r="J1489" s="35" t="str">
        <x:v>Recurring loan payment + scanned statement</x:v>
      </x:c>
      <x:c r="K1489" s="20" t="str">
        <x:v>SCN-0780</x:v>
      </x:c>
      <x:c r="L1489" s="20" t="str">
        <x:v>LN019-202712</x:v>
      </x:c>
      <x:c r="M1489" s="26" t="n">
        <x:v>1398</x:v>
      </x:c>
      <x:c r="N1489" s="26" t="n">
        <x:v>0</x:v>
      </x:c>
      <x:c r="O1489" s="26" t="n">
        <x:v>-1398</x:v>
      </x:c>
      <x:c r="P1489" s="26" t="n">
        <x:v>0</x:v>
      </x:c>
      <x:c r="Q1489" s="26" t="n">
        <x:v>0</x:v>
      </x:c>
      <x:c r="R1489" s="26" t="n">
        <x:v>0</x:v>
      </x:c>
      <x:c r="S1489" s="26" t="n">
        <x:v>-629</x:v>
      </x:c>
      <x:c r="T1489" s="26" t="n">
        <x:v>0</x:v>
      </x:c>
      <x:c r="U1489" s="26" t="n">
        <x:v>769</x:v>
      </x:c>
      <x:c r="V1489" s="26" t="n">
        <x:v>0</x:v>
      </x:c>
      <x:c r="W1489" s="26" t="n">
        <x:v>0</x:v>
      </x:c>
      <x:c r="X1489" s="26" t="n">
        <x:v>0</x:v>
      </x:c>
      <x:c r="Y1489" s="26" t="n">
        <x:v>0</x:v>
      </x:c>
      <x:c r="Z1489" s="35" t="str">
        <x:v>LN019 scheduled payment</x:v>
      </x:c>
    </x:row>
    <x:row r="1490">
      <x:c r="A1490" s="20" t="str">
        <x:v>FIN-01487</x:v>
      </x:c>
      <x:c r="B1490" s="23" t="n">
        <x:v>46741</x:v>
      </x:c>
      <x:c r="C1490" s="23" t="n">
        <x:v>46741</x:v>
      </x:c>
      <x:c r="D1490" s="20" t="str">
        <x:v>LoanPayment</x:v>
      </x:c>
      <x:c r="E1490" s="20" t="str">
        <x:v>Mortgage principal and interest</x:v>
      </x:c>
      <x:c r="F1490" s="20" t="str">
        <x:v>P020</x:v>
      </x:c>
      <x:c r="G1490" s="20" t="str"/>
      <x:c r="H1490" s="20" t="str"/>
      <x:c r="I1490" s="20" t="str">
        <x:v>First QA Mortgage</x:v>
      </x:c>
      <x:c r="J1490" s="35" t="str">
        <x:v>Recurring loan payment + scanned statement</x:v>
      </x:c>
      <x:c r="K1490" s="20" t="str">
        <x:v>SCN-0781</x:v>
      </x:c>
      <x:c r="L1490" s="20" t="str">
        <x:v>LN020-202712</x:v>
      </x:c>
      <x:c r="M1490" s="26" t="n">
        <x:v>1422</x:v>
      </x:c>
      <x:c r="N1490" s="26" t="n">
        <x:v>0</x:v>
      </x:c>
      <x:c r="O1490" s="26" t="n">
        <x:v>-1422</x:v>
      </x:c>
      <x:c r="P1490" s="26" t="n">
        <x:v>0</x:v>
      </x:c>
      <x:c r="Q1490" s="26" t="n">
        <x:v>0</x:v>
      </x:c>
      <x:c r="R1490" s="26" t="n">
        <x:v>0</x:v>
      </x:c>
      <x:c r="S1490" s="26" t="n">
        <x:v>-640</x:v>
      </x:c>
      <x:c r="T1490" s="26" t="n">
        <x:v>0</x:v>
      </x:c>
      <x:c r="U1490" s="26" t="n">
        <x:v>782</x:v>
      </x:c>
      <x:c r="V1490" s="26" t="n">
        <x:v>0</x:v>
      </x:c>
      <x:c r="W1490" s="26" t="n">
        <x:v>0</x:v>
      </x:c>
      <x:c r="X1490" s="26" t="n">
        <x:v>0</x:v>
      </x:c>
      <x:c r="Y1490" s="26" t="n">
        <x:v>0</x:v>
      </x:c>
      <x:c r="Z1490" s="35" t="str">
        <x:v>LN020 scheduled payment</x:v>
      </x:c>
    </x:row>
    <x:row r="1491">
      <x:c r="A1491" s="20" t="str">
        <x:v>FIN-01488</x:v>
      </x:c>
      <x:c r="B1491" s="23" t="n">
        <x:v>46741</x:v>
      </x:c>
      <x:c r="C1491" s="23" t="n">
        <x:v>46741</x:v>
      </x:c>
      <x:c r="D1491" s="20" t="str">
        <x:v>LoanPayment</x:v>
      </x:c>
      <x:c r="E1491" s="20" t="str">
        <x:v>Mortgage principal and interest</x:v>
      </x:c>
      <x:c r="F1491" s="20" t="str">
        <x:v>P022</x:v>
      </x:c>
      <x:c r="G1491" s="20" t="str"/>
      <x:c r="H1491" s="20" t="str"/>
      <x:c r="I1491" s="20" t="str">
        <x:v>First QA Mortgage</x:v>
      </x:c>
      <x:c r="J1491" s="35" t="str">
        <x:v>Recurring loan payment + scanned statement</x:v>
      </x:c>
      <x:c r="K1491" s="20" t="str">
        <x:v>SCN-0782</x:v>
      </x:c>
      <x:c r="L1491" s="20" t="str">
        <x:v>LN022-202712</x:v>
      </x:c>
      <x:c r="M1491" s="26" t="n">
        <x:v>1470</x:v>
      </x:c>
      <x:c r="N1491" s="26" t="n">
        <x:v>0</x:v>
      </x:c>
      <x:c r="O1491" s="26" t="n">
        <x:v>-1470</x:v>
      </x:c>
      <x:c r="P1491" s="26" t="n">
        <x:v>0</x:v>
      </x:c>
      <x:c r="Q1491" s="26" t="n">
        <x:v>0</x:v>
      </x:c>
      <x:c r="R1491" s="26" t="n">
        <x:v>0</x:v>
      </x:c>
      <x:c r="S1491" s="26" t="n">
        <x:v>-662</x:v>
      </x:c>
      <x:c r="T1491" s="26" t="n">
        <x:v>0</x:v>
      </x:c>
      <x:c r="U1491" s="26" t="n">
        <x:v>808</x:v>
      </x:c>
      <x:c r="V1491" s="26" t="n">
        <x:v>0</x:v>
      </x:c>
      <x:c r="W1491" s="26" t="n">
        <x:v>0</x:v>
      </x:c>
      <x:c r="X1491" s="26" t="n">
        <x:v>0</x:v>
      </x:c>
      <x:c r="Y1491" s="26" t="n">
        <x:v>0</x:v>
      </x:c>
      <x:c r="Z1491" s="35" t="str">
        <x:v>LN022 scheduled payment</x:v>
      </x:c>
    </x:row>
    <x:row r="1492">
      <x:c r="A1492" s="20" t="str">
        <x:v>FIN-01489</x:v>
      </x:c>
      <x:c r="B1492" s="23" t="n">
        <x:v>46741</x:v>
      </x:c>
      <x:c r="C1492" s="23" t="n">
        <x:v>46741</x:v>
      </x:c>
      <x:c r="D1492" s="20" t="str">
        <x:v>LoanPayment</x:v>
      </x:c>
      <x:c r="E1492" s="20" t="str">
        <x:v>Mortgage principal and interest</x:v>
      </x:c>
      <x:c r="F1492" s="20" t="str">
        <x:v>P023</x:v>
      </x:c>
      <x:c r="G1492" s="20" t="str"/>
      <x:c r="H1492" s="20" t="str"/>
      <x:c r="I1492" s="20" t="str">
        <x:v>First QA Mortgage</x:v>
      </x:c>
      <x:c r="J1492" s="35" t="str">
        <x:v>Recurring loan payment + scanned statement</x:v>
      </x:c>
      <x:c r="K1492" s="20" t="str">
        <x:v>SCN-0783</x:v>
      </x:c>
      <x:c r="L1492" s="20" t="str">
        <x:v>LN023-202712</x:v>
      </x:c>
      <x:c r="M1492" s="26" t="n">
        <x:v>1494</x:v>
      </x:c>
      <x:c r="N1492" s="26" t="n">
        <x:v>0</x:v>
      </x:c>
      <x:c r="O1492" s="26" t="n">
        <x:v>-1494</x:v>
      </x:c>
      <x:c r="P1492" s="26" t="n">
        <x:v>0</x:v>
      </x:c>
      <x:c r="Q1492" s="26" t="n">
        <x:v>0</x:v>
      </x:c>
      <x:c r="R1492" s="26" t="n">
        <x:v>0</x:v>
      </x:c>
      <x:c r="S1492" s="26" t="n">
        <x:v>-673</x:v>
      </x:c>
      <x:c r="T1492" s="26" t="n">
        <x:v>0</x:v>
      </x:c>
      <x:c r="U1492" s="26" t="n">
        <x:v>821</x:v>
      </x:c>
      <x:c r="V1492" s="26" t="n">
        <x:v>0</x:v>
      </x:c>
      <x:c r="W1492" s="26" t="n">
        <x:v>0</x:v>
      </x:c>
      <x:c r="X1492" s="26" t="n">
        <x:v>0</x:v>
      </x:c>
      <x:c r="Y1492" s="26" t="n">
        <x:v>0</x:v>
      </x:c>
      <x:c r="Z1492" s="35" t="str">
        <x:v>LN023 scheduled payment</x:v>
      </x:c>
    </x:row>
    <x:row r="1493">
      <x:c r="A1493" s="20" t="str">
        <x:v>FIN-01490</x:v>
      </x:c>
      <x:c r="B1493" s="23" t="n">
        <x:v>46741</x:v>
      </x:c>
      <x:c r="C1493" s="23" t="n">
        <x:v>46741</x:v>
      </x:c>
      <x:c r="D1493" s="20" t="str">
        <x:v>LoanPayment</x:v>
      </x:c>
      <x:c r="E1493" s="20" t="str">
        <x:v>Mortgage principal and interest</x:v>
      </x:c>
      <x:c r="F1493" s="20" t="str">
        <x:v>P025</x:v>
      </x:c>
      <x:c r="G1493" s="20" t="str"/>
      <x:c r="H1493" s="20" t="str"/>
      <x:c r="I1493" s="20" t="str">
        <x:v>First QA Mortgage</x:v>
      </x:c>
      <x:c r="J1493" s="35" t="str">
        <x:v>Recurring loan payment + scanned statement</x:v>
      </x:c>
      <x:c r="K1493" s="20" t="str">
        <x:v>SCN-0784</x:v>
      </x:c>
      <x:c r="L1493" s="20" t="str">
        <x:v>LN025-202712</x:v>
      </x:c>
      <x:c r="M1493" s="26" t="n">
        <x:v>1542</x:v>
      </x:c>
      <x:c r="N1493" s="26" t="n">
        <x:v>0</x:v>
      </x:c>
      <x:c r="O1493" s="26" t="n">
        <x:v>-1542</x:v>
      </x:c>
      <x:c r="P1493" s="26" t="n">
        <x:v>0</x:v>
      </x:c>
      <x:c r="Q1493" s="26" t="n">
        <x:v>0</x:v>
      </x:c>
      <x:c r="R1493" s="26" t="n">
        <x:v>0</x:v>
      </x:c>
      <x:c r="S1493" s="26" t="n">
        <x:v>-695</x:v>
      </x:c>
      <x:c r="T1493" s="26" t="n">
        <x:v>0</x:v>
      </x:c>
      <x:c r="U1493" s="26" t="n">
        <x:v>847</x:v>
      </x:c>
      <x:c r="V1493" s="26" t="n">
        <x:v>0</x:v>
      </x:c>
      <x:c r="W1493" s="26" t="n">
        <x:v>0</x:v>
      </x:c>
      <x:c r="X1493" s="26" t="n">
        <x:v>0</x:v>
      </x:c>
      <x:c r="Y1493" s="26" t="n">
        <x:v>0</x:v>
      </x:c>
      <x:c r="Z1493" s="35" t="str">
        <x:v>LN025 scheduled payment</x:v>
      </x:c>
    </x:row>
    <x:row r="1494">
      <x:c r="A1494" s="20" t="str">
        <x:v>FIN-01491</x:v>
      </x:c>
      <x:c r="B1494" s="23" t="n">
        <x:v>46741</x:v>
      </x:c>
      <x:c r="C1494" s="23" t="n">
        <x:v>46741</x:v>
      </x:c>
      <x:c r="D1494" s="20" t="str">
        <x:v>LoanPayment</x:v>
      </x:c>
      <x:c r="E1494" s="20" t="str">
        <x:v>Mortgage principal and interest</x:v>
      </x:c>
      <x:c r="F1494" s="20" t="str">
        <x:v>P026</x:v>
      </x:c>
      <x:c r="G1494" s="20" t="str"/>
      <x:c r="H1494" s="20" t="str"/>
      <x:c r="I1494" s="20" t="str">
        <x:v>First QA Mortgage</x:v>
      </x:c>
      <x:c r="J1494" s="35" t="str">
        <x:v>Recurring loan payment + scanned statement</x:v>
      </x:c>
      <x:c r="K1494" s="20" t="str">
        <x:v>SCN-0785</x:v>
      </x:c>
      <x:c r="L1494" s="20" t="str">
        <x:v>LN026-202712</x:v>
      </x:c>
      <x:c r="M1494" s="26" t="n">
        <x:v>1566</x:v>
      </x:c>
      <x:c r="N1494" s="26" t="n">
        <x:v>0</x:v>
      </x:c>
      <x:c r="O1494" s="26" t="n">
        <x:v>-1566</x:v>
      </x:c>
      <x:c r="P1494" s="26" t="n">
        <x:v>0</x:v>
      </x:c>
      <x:c r="Q1494" s="26" t="n">
        <x:v>0</x:v>
      </x:c>
      <x:c r="R1494" s="26" t="n">
        <x:v>0</x:v>
      </x:c>
      <x:c r="S1494" s="26" t="n">
        <x:v>-706</x:v>
      </x:c>
      <x:c r="T1494" s="26" t="n">
        <x:v>0</x:v>
      </x:c>
      <x:c r="U1494" s="26" t="n">
        <x:v>860</x:v>
      </x:c>
      <x:c r="V1494" s="26" t="n">
        <x:v>0</x:v>
      </x:c>
      <x:c r="W1494" s="26" t="n">
        <x:v>0</x:v>
      </x:c>
      <x:c r="X1494" s="26" t="n">
        <x:v>0</x:v>
      </x:c>
      <x:c r="Y1494" s="26" t="n">
        <x:v>0</x:v>
      </x:c>
      <x:c r="Z1494" s="35" t="str">
        <x:v>LN026 scheduled payment</x:v>
      </x:c>
    </x:row>
    <x:row r="1495">
      <x:c r="A1495" s="20" t="str">
        <x:v>FIN-01492</x:v>
      </x:c>
      <x:c r="B1495" s="23" t="n">
        <x:v>46741</x:v>
      </x:c>
      <x:c r="C1495" s="23" t="n">
        <x:v>46741</x:v>
      </x:c>
      <x:c r="D1495" s="20" t="str">
        <x:v>LoanPayment</x:v>
      </x:c>
      <x:c r="E1495" s="20" t="str">
        <x:v>Mortgage principal and interest</x:v>
      </x:c>
      <x:c r="F1495" s="20" t="str">
        <x:v>P028</x:v>
      </x:c>
      <x:c r="G1495" s="20" t="str"/>
      <x:c r="H1495" s="20" t="str"/>
      <x:c r="I1495" s="20" t="str">
        <x:v>First QA Mortgage</x:v>
      </x:c>
      <x:c r="J1495" s="35" t="str">
        <x:v>Recurring loan payment + scanned statement</x:v>
      </x:c>
      <x:c r="K1495" s="20" t="str">
        <x:v>SCN-0786</x:v>
      </x:c>
      <x:c r="L1495" s="20" t="str">
        <x:v>LN028-202712</x:v>
      </x:c>
      <x:c r="M1495" s="26" t="n">
        <x:v>1614</x:v>
      </x:c>
      <x:c r="N1495" s="26" t="n">
        <x:v>0</x:v>
      </x:c>
      <x:c r="O1495" s="26" t="n">
        <x:v>-1614</x:v>
      </x:c>
      <x:c r="P1495" s="26" t="n">
        <x:v>0</x:v>
      </x:c>
      <x:c r="Q1495" s="26" t="n">
        <x:v>0</x:v>
      </x:c>
      <x:c r="R1495" s="26" t="n">
        <x:v>0</x:v>
      </x:c>
      <x:c r="S1495" s="26" t="n">
        <x:v>-728</x:v>
      </x:c>
      <x:c r="T1495" s="26" t="n">
        <x:v>0</x:v>
      </x:c>
      <x:c r="U1495" s="26" t="n">
        <x:v>886</x:v>
      </x:c>
      <x:c r="V1495" s="26" t="n">
        <x:v>0</x:v>
      </x:c>
      <x:c r="W1495" s="26" t="n">
        <x:v>0</x:v>
      </x:c>
      <x:c r="X1495" s="26" t="n">
        <x:v>0</x:v>
      </x:c>
      <x:c r="Y1495" s="26" t="n">
        <x:v>0</x:v>
      </x:c>
      <x:c r="Z1495" s="35" t="str">
        <x:v>LN028 scheduled payment</x:v>
      </x:c>
    </x:row>
    <x:row r="1496">
      <x:c r="A1496" s="20" t="str">
        <x:v>FIN-01493</x:v>
      </x:c>
      <x:c r="B1496" s="23" t="n">
        <x:v>46741</x:v>
      </x:c>
      <x:c r="C1496" s="23" t="n">
        <x:v>46741</x:v>
      </x:c>
      <x:c r="D1496" s="20" t="str">
        <x:v>LoanPayment</x:v>
      </x:c>
      <x:c r="E1496" s="20" t="str">
        <x:v>Mortgage principal and interest</x:v>
      </x:c>
      <x:c r="F1496" s="20" t="str">
        <x:v>P029</x:v>
      </x:c>
      <x:c r="G1496" s="20" t="str"/>
      <x:c r="H1496" s="20" t="str"/>
      <x:c r="I1496" s="20" t="str">
        <x:v>First QA Mortgage</x:v>
      </x:c>
      <x:c r="J1496" s="35" t="str">
        <x:v>Recurring loan payment + scanned statement</x:v>
      </x:c>
      <x:c r="K1496" s="20" t="str">
        <x:v>SCN-0787</x:v>
      </x:c>
      <x:c r="L1496" s="20" t="str">
        <x:v>LN029-202712</x:v>
      </x:c>
      <x:c r="M1496" s="26" t="n">
        <x:v>1638</x:v>
      </x:c>
      <x:c r="N1496" s="26" t="n">
        <x:v>0</x:v>
      </x:c>
      <x:c r="O1496" s="26" t="n">
        <x:v>-1638</x:v>
      </x:c>
      <x:c r="P1496" s="26" t="n">
        <x:v>0</x:v>
      </x:c>
      <x:c r="Q1496" s="26" t="n">
        <x:v>0</x:v>
      </x:c>
      <x:c r="R1496" s="26" t="n">
        <x:v>0</x:v>
      </x:c>
      <x:c r="S1496" s="26" t="n">
        <x:v>-739</x:v>
      </x:c>
      <x:c r="T1496" s="26" t="n">
        <x:v>0</x:v>
      </x:c>
      <x:c r="U1496" s="26" t="n">
        <x:v>899</x:v>
      </x:c>
      <x:c r="V1496" s="26" t="n">
        <x:v>0</x:v>
      </x:c>
      <x:c r="W1496" s="26" t="n">
        <x:v>0</x:v>
      </x:c>
      <x:c r="X1496" s="26" t="n">
        <x:v>0</x:v>
      </x:c>
      <x:c r="Y1496" s="26" t="n">
        <x:v>0</x:v>
      </x:c>
      <x:c r="Z1496" s="35" t="str">
        <x:v>LN029 scheduled payment</x:v>
      </x:c>
    </x:row>
    <x:row r="1497">
      <x:c r="A1497" s="20" t="str">
        <x:v>FIN-01494</x:v>
      </x:c>
      <x:c r="B1497" s="23" t="n">
        <x:v>46746</x:v>
      </x:c>
      <x:c r="C1497" s="23" t="n">
        <x:v>46746</x:v>
      </x:c>
      <x:c r="D1497" s="20" t="str">
        <x:v>OwnerDistribution</x:v>
      </x:c>
      <x:c r="E1497" s="20" t="str">
        <x:v>Owner distribution</x:v>
      </x:c>
      <x:c r="F1497" s="20" t="str"/>
      <x:c r="G1497" s="20" t="str"/>
      <x:c r="H1497" s="20" t="str"/>
      <x:c r="I1497" s="20" t="str">
        <x:v>Blue Door Residential LLC</x:v>
      </x:c>
      <x:c r="J1497" s="35" t="str">
        <x:v>Manual approval and bank export</x:v>
      </x:c>
      <x:c r="K1497" s="20" t="str"/>
      <x:c r="L1497" s="20" t="str">
        <x:v>DIST-202712-O01</x:v>
      </x:c>
      <x:c r="M1497" s="26" t="n">
        <x:v>2850</x:v>
      </x:c>
      <x:c r="N1497" s="26" t="n">
        <x:v>0</x:v>
      </x:c>
      <x:c r="O1497" s="26" t="n">
        <x:v>-2850</x:v>
      </x:c>
      <x:c r="P1497" s="26" t="n">
        <x:v>0</x:v>
      </x:c>
      <x:c r="Q1497" s="26" t="n">
        <x:v>0</x:v>
      </x:c>
      <x:c r="R1497" s="26" t="n">
        <x:v>0</x:v>
      </x:c>
      <x:c r="S1497" s="26" t="n">
        <x:v>0</x:v>
      </x:c>
      <x:c r="T1497" s="26" t="n">
        <x:v>0</x:v>
      </x:c>
      <x:c r="U1497" s="26" t="n">
        <x:v>0</x:v>
      </x:c>
      <x:c r="V1497" s="26" t="n">
        <x:v>0</x:v>
      </x:c>
      <x:c r="W1497" s="26" t="n">
        <x:v>2850</x:v>
      </x:c>
      <x:c r="X1497" s="26" t="n">
        <x:v>0</x:v>
      </x:c>
      <x:c r="Y1497" s="26" t="n">
        <x:v>0</x:v>
      </x:c>
      <x:c r="Z1497" s="35" t="str">
        <x:v>Monthly distribution to Blue Door Residential LLC</x:v>
      </x:c>
    </x:row>
    <x:row r="1498">
      <x:c r="A1498" s="20" t="str">
        <x:v>FIN-01495</x:v>
      </x:c>
      <x:c r="B1498" s="23" t="n">
        <x:v>46746</x:v>
      </x:c>
      <x:c r="C1498" s="23" t="n">
        <x:v>46746</x:v>
      </x:c>
      <x:c r="D1498" s="20" t="str">
        <x:v>OwnerDistribution</x:v>
      </x:c>
      <x:c r="E1498" s="20" t="str">
        <x:v>Owner distribution</x:v>
      </x:c>
      <x:c r="F1498" s="20" t="str"/>
      <x:c r="G1498" s="20" t="str"/>
      <x:c r="H1498" s="20" t="str"/>
      <x:c r="I1498" s="20" t="str">
        <x:v>Coble Family Rentals LLC</x:v>
      </x:c>
      <x:c r="J1498" s="35" t="str">
        <x:v>Manual approval and bank export</x:v>
      </x:c>
      <x:c r="K1498" s="20" t="str"/>
      <x:c r="L1498" s="20" t="str">
        <x:v>DIST-202712-O02</x:v>
      </x:c>
      <x:c r="M1498" s="26" t="n">
        <x:v>3200</x:v>
      </x:c>
      <x:c r="N1498" s="26" t="n">
        <x:v>0</x:v>
      </x:c>
      <x:c r="O1498" s="26" t="n">
        <x:v>-3200</x:v>
      </x:c>
      <x:c r="P1498" s="26" t="n">
        <x:v>0</x:v>
      </x:c>
      <x:c r="Q1498" s="26" t="n">
        <x:v>0</x:v>
      </x:c>
      <x:c r="R1498" s="26" t="n">
        <x:v>0</x:v>
      </x:c>
      <x:c r="S1498" s="26" t="n">
        <x:v>0</x:v>
      </x:c>
      <x:c r="T1498" s="26" t="n">
        <x:v>0</x:v>
      </x:c>
      <x:c r="U1498" s="26" t="n">
        <x:v>0</x:v>
      </x:c>
      <x:c r="V1498" s="26" t="n">
        <x:v>0</x:v>
      </x:c>
      <x:c r="W1498" s="26" t="n">
        <x:v>3200</x:v>
      </x:c>
      <x:c r="X1498" s="26" t="n">
        <x:v>0</x:v>
      </x:c>
      <x:c r="Y1498" s="26" t="n">
        <x:v>0</x:v>
      </x:c>
      <x:c r="Z1498" s="35" t="str">
        <x:v>Monthly distribution to Coble Family Rentals LLC</x:v>
      </x:c>
    </x:row>
    <x:row r="1499">
      <x:c r="A1499" s="20" t="str">
        <x:v>FIN-01496</x:v>
      </x:c>
      <x:c r="B1499" s="23" t="n">
        <x:v>46746</x:v>
      </x:c>
      <x:c r="C1499" s="23" t="n">
        <x:v>46746</x:v>
      </x:c>
      <x:c r="D1499" s="20" t="str">
        <x:v>OwnerDistribution</x:v>
      </x:c>
      <x:c r="E1499" s="20" t="str">
        <x:v>Owner distribution</x:v>
      </x:c>
      <x:c r="F1499" s="20" t="str"/>
      <x:c r="G1499" s="20" t="str"/>
      <x:c r="H1499" s="20" t="str"/>
      <x:c r="I1499" s="20" t="str">
        <x:v>Northstar Property Partners LLC</x:v>
      </x:c>
      <x:c r="J1499" s="35" t="str">
        <x:v>Manual approval and bank export</x:v>
      </x:c>
      <x:c r="K1499" s="20" t="str"/>
      <x:c r="L1499" s="20" t="str">
        <x:v>DIST-202712-O03</x:v>
      </x:c>
      <x:c r="M1499" s="26" t="n">
        <x:v>3550</x:v>
      </x:c>
      <x:c r="N1499" s="26" t="n">
        <x:v>0</x:v>
      </x:c>
      <x:c r="O1499" s="26" t="n">
        <x:v>-3550</x:v>
      </x:c>
      <x:c r="P1499" s="26" t="n">
        <x:v>0</x:v>
      </x:c>
      <x:c r="Q1499" s="26" t="n">
        <x:v>0</x:v>
      </x:c>
      <x:c r="R1499" s="26" t="n">
        <x:v>0</x:v>
      </x:c>
      <x:c r="S1499" s="26" t="n">
        <x:v>0</x:v>
      </x:c>
      <x:c r="T1499" s="26" t="n">
        <x:v>0</x:v>
      </x:c>
      <x:c r="U1499" s="26" t="n">
        <x:v>0</x:v>
      </x:c>
      <x:c r="V1499" s="26" t="n">
        <x:v>0</x:v>
      </x:c>
      <x:c r="W1499" s="26" t="n">
        <x:v>3550</x:v>
      </x:c>
      <x:c r="X1499" s="26" t="n">
        <x:v>0</x:v>
      </x:c>
      <x:c r="Y1499" s="26" t="n">
        <x:v>0</x:v>
      </x:c>
      <x:c r="Z1499" s="35" t="str">
        <x:v>Monthly distribution to Northstar Property Partners LLC</x:v>
      </x:c>
    </x:row>
    <x:row r="1500">
      <x:c r="A1500" s="20" t="str">
        <x:v>FIN-01497</x:v>
      </x:c>
      <x:c r="B1500" s="23" t="n">
        <x:v>46746</x:v>
      </x:c>
      <x:c r="C1500" s="23" t="n">
        <x:v>46746</x:v>
      </x:c>
      <x:c r="D1500" s="20" t="str">
        <x:v>OwnerDistribution</x:v>
      </x:c>
      <x:c r="E1500" s="20" t="str">
        <x:v>Owner distribution</x:v>
      </x:c>
      <x:c r="F1500" s="20" t="str"/>
      <x:c r="G1500" s="20" t="str"/>
      <x:c r="H1500" s="20" t="str"/>
      <x:c r="I1500" s="20" t="str">
        <x:v>Riverbend Homes LLC</x:v>
      </x:c>
      <x:c r="J1500" s="35" t="str">
        <x:v>Manual approval and bank export</x:v>
      </x:c>
      <x:c r="K1500" s="20" t="str"/>
      <x:c r="L1500" s="20" t="str">
        <x:v>DIST-202712-O04</x:v>
      </x:c>
      <x:c r="M1500" s="26" t="n">
        <x:v>3900</x:v>
      </x:c>
      <x:c r="N1500" s="26" t="n">
        <x:v>0</x:v>
      </x:c>
      <x:c r="O1500" s="26" t="n">
        <x:v>-3900</x:v>
      </x:c>
      <x:c r="P1500" s="26" t="n">
        <x:v>0</x:v>
      </x:c>
      <x:c r="Q1500" s="26" t="n">
        <x:v>0</x:v>
      </x:c>
      <x:c r="R1500" s="26" t="n">
        <x:v>0</x:v>
      </x:c>
      <x:c r="S1500" s="26" t="n">
        <x:v>0</x:v>
      </x:c>
      <x:c r="T1500" s="26" t="n">
        <x:v>0</x:v>
      </x:c>
      <x:c r="U1500" s="26" t="n">
        <x:v>0</x:v>
      </x:c>
      <x:c r="V1500" s="26" t="n">
        <x:v>0</x:v>
      </x:c>
      <x:c r="W1500" s="26" t="n">
        <x:v>3900</x:v>
      </x:c>
      <x:c r="X1500" s="26" t="n">
        <x:v>0</x:v>
      </x:c>
      <x:c r="Y1500" s="26" t="n">
        <x:v>0</x:v>
      </x:c>
      <x:c r="Z1500" s="35" t="str">
        <x:v>Monthly distribution to Riverbend Homes LLC</x:v>
      </x:c>
    </x:row>
    <x:row r="1501">
      <x:c r="A1501" s="20" t="str">
        <x:v>FIN-01498</x:v>
      </x:c>
      <x:c r="B1501" s="23" t="n">
        <x:v>46746</x:v>
      </x:c>
      <x:c r="C1501" s="23" t="n">
        <x:v>46746</x:v>
      </x:c>
      <x:c r="D1501" s="20" t="str">
        <x:v>OwnerDistribution</x:v>
      </x:c>
      <x:c r="E1501" s="20" t="str">
        <x:v>Owner distribution</x:v>
      </x:c>
      <x:c r="F1501" s="20" t="str"/>
      <x:c r="G1501" s="20" t="str"/>
      <x:c r="H1501" s="20" t="str"/>
      <x:c r="I1501" s="20" t="str">
        <x:v>Juniper Street Holdings LLC</x:v>
      </x:c>
      <x:c r="J1501" s="35" t="str">
        <x:v>Manual approval and bank export</x:v>
      </x:c>
      <x:c r="K1501" s="20" t="str"/>
      <x:c r="L1501" s="20" t="str">
        <x:v>DIST-202712-O05</x:v>
      </x:c>
      <x:c r="M1501" s="26" t="n">
        <x:v>4250</x:v>
      </x:c>
      <x:c r="N1501" s="26" t="n">
        <x:v>0</x:v>
      </x:c>
      <x:c r="O1501" s="26" t="n">
        <x:v>-4250</x:v>
      </x:c>
      <x:c r="P1501" s="26" t="n">
        <x:v>0</x:v>
      </x:c>
      <x:c r="Q1501" s="26" t="n">
        <x:v>0</x:v>
      </x:c>
      <x:c r="R1501" s="26" t="n">
        <x:v>0</x:v>
      </x:c>
      <x:c r="S1501" s="26" t="n">
        <x:v>0</x:v>
      </x:c>
      <x:c r="T1501" s="26" t="n">
        <x:v>0</x:v>
      </x:c>
      <x:c r="U1501" s="26" t="n">
        <x:v>0</x:v>
      </x:c>
      <x:c r="V1501" s="26" t="n">
        <x:v>0</x:v>
      </x:c>
      <x:c r="W1501" s="26" t="n">
        <x:v>4250</x:v>
      </x:c>
      <x:c r="X1501" s="26" t="n">
        <x:v>0</x:v>
      </x:c>
      <x:c r="Y1501" s="26" t="n">
        <x:v>0</x:v>
      </x:c>
      <x:c r="Z1501" s="35" t="str">
        <x:v>Monthly distribution to Juniper Street Holdings LLC</x:v>
      </x:c>
    </x:row>
    <x:row r="1502">
      <x:c r="A1502" s="20" t="str">
        <x:v>FIN-01499</x:v>
      </x:c>
      <x:c r="B1502" s="23" t="n">
        <x:v>46752</x:v>
      </x:c>
      <x:c r="C1502" s="23" t="n">
        <x:v>46752</x:v>
      </x:c>
      <x:c r="D1502" s="20" t="str">
        <x:v>BankFee</x:v>
      </x:c>
      <x:c r="E1502" s="20" t="str">
        <x:v>Bank fee</x:v>
      </x:c>
      <x:c r="F1502" s="20" t="str"/>
      <x:c r="G1502" s="20" t="str"/>
      <x:c r="H1502" s="20" t="str"/>
      <x:c r="I1502" s="20" t="str">
        <x:v>First QA Bank</x:v>
      </x:c>
      <x:c r="J1502" s="35" t="str">
        <x:v>Bank statement match</x:v>
      </x:c>
      <x:c r="K1502" s="20" t="str">
        <x:v>SCN-0788</x:v>
      </x:c>
      <x:c r="L1502" s="20" t="str">
        <x:v>BANKFEE-202712</x:v>
      </x:c>
      <x:c r="M1502" s="26" t="n">
        <x:v>18</x:v>
      </x:c>
      <x:c r="N1502" s="26" t="n">
        <x:v>0</x:v>
      </x:c>
      <x:c r="O1502" s="26" t="n">
        <x:v>-18</x:v>
      </x:c>
      <x:c r="P1502" s="26" t="n">
        <x:v>0</x:v>
      </x:c>
      <x:c r="Q1502" s="26" t="n">
        <x:v>0</x:v>
      </x:c>
      <x:c r="R1502" s="26" t="n">
        <x:v>0</x:v>
      </x:c>
      <x:c r="S1502" s="26" t="n">
        <x:v>0</x:v>
      </x:c>
      <x:c r="T1502" s="26" t="n">
        <x:v>0</x:v>
      </x:c>
      <x:c r="U1502" s="26" t="n">
        <x:v>18</x:v>
      </x:c>
      <x:c r="V1502" s="26" t="n">
        <x:v>0</x:v>
      </x:c>
      <x:c r="W1502" s="26" t="n">
        <x:v>0</x:v>
      </x:c>
      <x:c r="X1502" s="26" t="n">
        <x:v>0</x:v>
      </x:c>
      <x:c r="Y1502" s="26" t="n">
        <x:v>0</x:v>
      </x:c>
      <x:c r="Z1502" s="35" t="str">
        <x:v>Quarterly account analysis fee</x:v>
      </x:c>
    </x:row>
    <x:row r="1503">
      <x:c r="A1503" s="20" t="str">
        <x:v>FIN-01500</x:v>
      </x:c>
      <x:c r="B1503" s="23" t="n">
        <x:v>46405</x:v>
      </x:c>
      <x:c r="C1503" s="23" t="n">
        <x:v>46405</x:v>
      </x:c>
      <x:c r="D1503" s="20" t="str">
        <x:v>OperatingExpense</x:v>
      </x:c>
      <x:c r="E1503" s="20" t="str">
        <x:v>Insurance</x:v>
      </x:c>
      <x:c r="F1503" s="20" t="str">
        <x:v>P001</x:v>
      </x:c>
      <x:c r="G1503" s="20" t="str"/>
      <x:c r="H1503" s="20" t="str"/>
      <x:c r="I1503" s="20" t="str">
        <x:v>Buckeye Mutual Insurance</x:v>
      </x:c>
      <x:c r="J1503" s="35" t="str">
        <x:v>Scanned receipt/invoice</x:v>
      </x:c>
      <x:c r="K1503" s="20" t="str">
        <x:v>SCN-0789</x:v>
      </x:c>
      <x:c r="L1503" s="20" t="str">
        <x:v>EXP-20270118-2001</x:v>
      </x:c>
      <x:c r="M1503" s="26" t="n">
        <x:v>997</x:v>
      </x:c>
      <x:c r="N1503" s="26" t="n">
        <x:v>0</x:v>
      </x:c>
      <x:c r="O1503" s="26" t="n">
        <x:v>-997</x:v>
      </x:c>
      <x:c r="P1503" s="26" t="n">
        <x:v>0</x:v>
      </x:c>
      <x:c r="Q1503" s="26" t="n">
        <x:v>0</x:v>
      </x:c>
      <x:c r="R1503" s="26" t="n">
        <x:v>0</x:v>
      </x:c>
      <x:c r="S1503" s="26" t="n">
        <x:v>0</x:v>
      </x:c>
      <x:c r="T1503" s="26" t="n">
        <x:v>0</x:v>
      </x:c>
      <x:c r="U1503" s="26" t="n">
        <x:v>997</x:v>
      </x:c>
      <x:c r="V1503" s="26" t="n">
        <x:v>0</x:v>
      </x:c>
      <x:c r="W1503" s="26" t="n">
        <x:v>0</x:v>
      </x:c>
      <x:c r="X1503" s="26" t="n">
        <x:v>0</x:v>
      </x:c>
      <x:c r="Y1503" s="26" t="n">
        <x:v>0</x:v>
      </x:c>
      <x:c r="Z1503" s="35" t="str">
        <x:v>Buckeye Mutual Insurance</x:v>
      </x:c>
    </x:row>
    <x:row r="1504">
      <x:c r="A1504" s="20" t="str">
        <x:v>FIN-01501</x:v>
      </x:c>
      <x:c r="B1504" s="23" t="n">
        <x:v>46474</x:v>
      </x:c>
      <x:c r="C1504" s="23" t="n">
        <x:v>46474</x:v>
      </x:c>
      <x:c r="D1504" s="20" t="str">
        <x:v>OperatingExpense</x:v>
      </x:c>
      <x:c r="E1504" s="20" t="str">
        <x:v>Property tax</x:v>
      </x:c>
      <x:c r="F1504" s="20" t="str">
        <x:v>P001</x:v>
      </x:c>
      <x:c r="G1504" s="20" t="str"/>
      <x:c r="H1504" s="20" t="str"/>
      <x:c r="I1504" s="20" t="str">
        <x:v>Franklin County Treasurer</x:v>
      </x:c>
      <x:c r="J1504" s="35" t="str">
        <x:v>Scanned receipt/invoice</x:v>
      </x:c>
      <x:c r="K1504" s="20" t="str">
        <x:v>SCN-0790</x:v>
      </x:c>
      <x:c r="L1504" s="20" t="str">
        <x:v>EXP-20270328-3101</x:v>
      </x:c>
      <x:c r="M1504" s="26" t="n">
        <x:v>530</x:v>
      </x:c>
      <x:c r="N1504" s="26" t="n">
        <x:v>0</x:v>
      </x:c>
      <x:c r="O1504" s="26" t="n">
        <x:v>-530</x:v>
      </x:c>
      <x:c r="P1504" s="26" t="n">
        <x:v>0</x:v>
      </x:c>
      <x:c r="Q1504" s="26" t="n">
        <x:v>0</x:v>
      </x:c>
      <x:c r="R1504" s="26" t="n">
        <x:v>0</x:v>
      </x:c>
      <x:c r="S1504" s="26" t="n">
        <x:v>0</x:v>
      </x:c>
      <x:c r="T1504" s="26" t="n">
        <x:v>0</x:v>
      </x:c>
      <x:c r="U1504" s="26" t="n">
        <x:v>530</x:v>
      </x:c>
      <x:c r="V1504" s="26" t="n">
        <x:v>0</x:v>
      </x:c>
      <x:c r="W1504" s="26" t="n">
        <x:v>0</x:v>
      </x:c>
      <x:c r="X1504" s="26" t="n">
        <x:v>0</x:v>
      </x:c>
      <x:c r="Y1504" s="26" t="n">
        <x:v>0</x:v>
      </x:c>
      <x:c r="Z1504" s="35" t="str">
        <x:v>Franklin County Treasurer</x:v>
      </x:c>
    </x:row>
    <x:row r="1505">
      <x:c r="A1505" s="20" t="str">
        <x:v>FIN-01502</x:v>
      </x:c>
      <x:c r="B1505" s="23" t="n">
        <x:v>46566</x:v>
      </x:c>
      <x:c r="C1505" s="23" t="n">
        <x:v>46566</x:v>
      </x:c>
      <x:c r="D1505" s="20" t="str">
        <x:v>OperatingExpense</x:v>
      </x:c>
      <x:c r="E1505" s="20" t="str">
        <x:v>Property tax</x:v>
      </x:c>
      <x:c r="F1505" s="20" t="str">
        <x:v>P001</x:v>
      </x:c>
      <x:c r="G1505" s="20" t="str"/>
      <x:c r="H1505" s="20" t="str"/>
      <x:c r="I1505" s="20" t="str">
        <x:v>Franklin County Treasurer</x:v>
      </x:c>
      <x:c r="J1505" s="35" t="str">
        <x:v>Scanned receipt/invoice</x:v>
      </x:c>
      <x:c r="K1505" s="20" t="str">
        <x:v>SCN-0791</x:v>
      </x:c>
      <x:c r="L1505" s="20" t="str">
        <x:v>EXP-20270628-3201</x:v>
      </x:c>
      <x:c r="M1505" s="26" t="n">
        <x:v>537</x:v>
      </x:c>
      <x:c r="N1505" s="26" t="n">
        <x:v>0</x:v>
      </x:c>
      <x:c r="O1505" s="26" t="n">
        <x:v>-537</x:v>
      </x:c>
      <x:c r="P1505" s="26" t="n">
        <x:v>0</x:v>
      </x:c>
      <x:c r="Q1505" s="26" t="n">
        <x:v>0</x:v>
      </x:c>
      <x:c r="R1505" s="26" t="n">
        <x:v>0</x:v>
      </x:c>
      <x:c r="S1505" s="26" t="n">
        <x:v>0</x:v>
      </x:c>
      <x:c r="T1505" s="26" t="n">
        <x:v>0</x:v>
      </x:c>
      <x:c r="U1505" s="26" t="n">
        <x:v>537</x:v>
      </x:c>
      <x:c r="V1505" s="26" t="n">
        <x:v>0</x:v>
      </x:c>
      <x:c r="W1505" s="26" t="n">
        <x:v>0</x:v>
      </x:c>
      <x:c r="X1505" s="26" t="n">
        <x:v>0</x:v>
      </x:c>
      <x:c r="Y1505" s="26" t="n">
        <x:v>0</x:v>
      </x:c>
      <x:c r="Z1505" s="35" t="str">
        <x:v>Franklin County Treasurer</x:v>
      </x:c>
    </x:row>
    <x:row r="1506">
      <x:c r="A1506" s="20" t="str">
        <x:v>FIN-01503</x:v>
      </x:c>
      <x:c r="B1506" s="23" t="n">
        <x:v>46658</x:v>
      </x:c>
      <x:c r="C1506" s="23" t="n">
        <x:v>46658</x:v>
      </x:c>
      <x:c r="D1506" s="20" t="str">
        <x:v>OperatingExpense</x:v>
      </x:c>
      <x:c r="E1506" s="20" t="str">
        <x:v>Property tax</x:v>
      </x:c>
      <x:c r="F1506" s="20" t="str">
        <x:v>P001</x:v>
      </x:c>
      <x:c r="G1506" s="20" t="str"/>
      <x:c r="H1506" s="20" t="str"/>
      <x:c r="I1506" s="20" t="str">
        <x:v>Franklin County Treasurer</x:v>
      </x:c>
      <x:c r="J1506" s="35" t="str">
        <x:v>Scanned receipt/invoice</x:v>
      </x:c>
      <x:c r="K1506" s="20" t="str">
        <x:v>SCN-0792</x:v>
      </x:c>
      <x:c r="L1506" s="20" t="str">
        <x:v>EXP-20270928-3301</x:v>
      </x:c>
      <x:c r="M1506" s="26" t="n">
        <x:v>544</x:v>
      </x:c>
      <x:c r="N1506" s="26" t="n">
        <x:v>0</x:v>
      </x:c>
      <x:c r="O1506" s="26" t="n">
        <x:v>-544</x:v>
      </x:c>
      <x:c r="P1506" s="26" t="n">
        <x:v>0</x:v>
      </x:c>
      <x:c r="Q1506" s="26" t="n">
        <x:v>0</x:v>
      </x:c>
      <x:c r="R1506" s="26" t="n">
        <x:v>0</x:v>
      </x:c>
      <x:c r="S1506" s="26" t="n">
        <x:v>0</x:v>
      </x:c>
      <x:c r="T1506" s="26" t="n">
        <x:v>0</x:v>
      </x:c>
      <x:c r="U1506" s="26" t="n">
        <x:v>544</x:v>
      </x:c>
      <x:c r="V1506" s="26" t="n">
        <x:v>0</x:v>
      </x:c>
      <x:c r="W1506" s="26" t="n">
        <x:v>0</x:v>
      </x:c>
      <x:c r="X1506" s="26" t="n">
        <x:v>0</x:v>
      </x:c>
      <x:c r="Y1506" s="26" t="n">
        <x:v>0</x:v>
      </x:c>
      <x:c r="Z1506" s="35" t="str">
        <x:v>Franklin County Treasurer</x:v>
      </x:c>
    </x:row>
    <x:row r="1507">
      <x:c r="A1507" s="20" t="str">
        <x:v>FIN-01504</x:v>
      </x:c>
      <x:c r="B1507" s="23" t="n">
        <x:v>46749</x:v>
      </x:c>
      <x:c r="C1507" s="23" t="n">
        <x:v>46749</x:v>
      </x:c>
      <x:c r="D1507" s="20" t="str">
        <x:v>OperatingExpense</x:v>
      </x:c>
      <x:c r="E1507" s="20" t="str">
        <x:v>Property tax</x:v>
      </x:c>
      <x:c r="F1507" s="20" t="str">
        <x:v>P001</x:v>
      </x:c>
      <x:c r="G1507" s="20" t="str"/>
      <x:c r="H1507" s="20" t="str"/>
      <x:c r="I1507" s="20" t="str">
        <x:v>Franklin County Treasurer</x:v>
      </x:c>
      <x:c r="J1507" s="35" t="str">
        <x:v>Scanned receipt/invoice</x:v>
      </x:c>
      <x:c r="K1507" s="20" t="str">
        <x:v>SCN-0793</x:v>
      </x:c>
      <x:c r="L1507" s="20" t="str">
        <x:v>EXP-20271228-3401</x:v>
      </x:c>
      <x:c r="M1507" s="26" t="n">
        <x:v>551</x:v>
      </x:c>
      <x:c r="N1507" s="26" t="n">
        <x:v>0</x:v>
      </x:c>
      <x:c r="O1507" s="26" t="n">
        <x:v>-551</x:v>
      </x:c>
      <x:c r="P1507" s="26" t="n">
        <x:v>0</x:v>
      </x:c>
      <x:c r="Q1507" s="26" t="n">
        <x:v>0</x:v>
      </x:c>
      <x:c r="R1507" s="26" t="n">
        <x:v>0</x:v>
      </x:c>
      <x:c r="S1507" s="26" t="n">
        <x:v>0</x:v>
      </x:c>
      <x:c r="T1507" s="26" t="n">
        <x:v>0</x:v>
      </x:c>
      <x:c r="U1507" s="26" t="n">
        <x:v>551</x:v>
      </x:c>
      <x:c r="V1507" s="26" t="n">
        <x:v>0</x:v>
      </x:c>
      <x:c r="W1507" s="26" t="n">
        <x:v>0</x:v>
      </x:c>
      <x:c r="X1507" s="26" t="n">
        <x:v>0</x:v>
      </x:c>
      <x:c r="Y1507" s="26" t="n">
        <x:v>0</x:v>
      </x:c>
      <x:c r="Z1507" s="35" t="str">
        <x:v>Franklin County Treasurer</x:v>
      </x:c>
    </x:row>
    <x:row r="1508">
      <x:c r="A1508" s="20" t="str">
        <x:v>FIN-01505</x:v>
      </x:c>
      <x:c r="B1508" s="23" t="n">
        <x:v>46436</x:v>
      </x:c>
      <x:c r="C1508" s="23" t="n">
        <x:v>46436</x:v>
      </x:c>
      <x:c r="D1508" s="20" t="str">
        <x:v>OperatingExpense</x:v>
      </x:c>
      <x:c r="E1508" s="20" t="str">
        <x:v>Insurance</x:v>
      </x:c>
      <x:c r="F1508" s="20" t="str">
        <x:v>P002</x:v>
      </x:c>
      <x:c r="G1508" s="20" t="str"/>
      <x:c r="H1508" s="20" t="str"/>
      <x:c r="I1508" s="20" t="str">
        <x:v>Buckeye Mutual Insurance</x:v>
      </x:c>
      <x:c r="J1508" s="35" t="str">
        <x:v>Scanned receipt/invoice</x:v>
      </x:c>
      <x:c r="K1508" s="20" t="str">
        <x:v>SCN-0794</x:v>
      </x:c>
      <x:c r="L1508" s="20" t="str">
        <x:v>EXP-20270218-2002</x:v>
      </x:c>
      <x:c r="M1508" s="26" t="n">
        <x:v>1014</x:v>
      </x:c>
      <x:c r="N1508" s="26" t="n">
        <x:v>0</x:v>
      </x:c>
      <x:c r="O1508" s="26" t="n">
        <x:v>-1014</x:v>
      </x:c>
      <x:c r="P1508" s="26" t="n">
        <x:v>0</x:v>
      </x:c>
      <x:c r="Q1508" s="26" t="n">
        <x:v>0</x:v>
      </x:c>
      <x:c r="R1508" s="26" t="n">
        <x:v>0</x:v>
      </x:c>
      <x:c r="S1508" s="26" t="n">
        <x:v>0</x:v>
      </x:c>
      <x:c r="T1508" s="26" t="n">
        <x:v>0</x:v>
      </x:c>
      <x:c r="U1508" s="26" t="n">
        <x:v>1014</x:v>
      </x:c>
      <x:c r="V1508" s="26" t="n">
        <x:v>0</x:v>
      </x:c>
      <x:c r="W1508" s="26" t="n">
        <x:v>0</x:v>
      </x:c>
      <x:c r="X1508" s="26" t="n">
        <x:v>0</x:v>
      </x:c>
      <x:c r="Y1508" s="26" t="n">
        <x:v>0</x:v>
      </x:c>
      <x:c r="Z1508" s="35" t="str">
        <x:v>Buckeye Mutual Insurance</x:v>
      </x:c>
    </x:row>
    <x:row r="1509">
      <x:c r="A1509" s="20" t="str">
        <x:v>FIN-01506</x:v>
      </x:c>
      <x:c r="B1509" s="23" t="n">
        <x:v>46474</x:v>
      </x:c>
      <x:c r="C1509" s="23" t="n">
        <x:v>46474</x:v>
      </x:c>
      <x:c r="D1509" s="20" t="str">
        <x:v>OperatingExpense</x:v>
      </x:c>
      <x:c r="E1509" s="20" t="str">
        <x:v>Property tax</x:v>
      </x:c>
      <x:c r="F1509" s="20" t="str">
        <x:v>P002</x:v>
      </x:c>
      <x:c r="G1509" s="20" t="str"/>
      <x:c r="H1509" s="20" t="str"/>
      <x:c r="I1509" s="20" t="str">
        <x:v>Franklin County Treasurer</x:v>
      </x:c>
      <x:c r="J1509" s="35" t="str">
        <x:v>Scanned receipt/invoice</x:v>
      </x:c>
      <x:c r="K1509" s="20" t="str">
        <x:v>SCN-0795</x:v>
      </x:c>
      <x:c r="L1509" s="20" t="str">
        <x:v>EXP-20270328-3102</x:v>
      </x:c>
      <x:c r="M1509" s="26" t="n">
        <x:v>543</x:v>
      </x:c>
      <x:c r="N1509" s="26" t="n">
        <x:v>0</x:v>
      </x:c>
      <x:c r="O1509" s="26" t="n">
        <x:v>-543</x:v>
      </x:c>
      <x:c r="P1509" s="26" t="n">
        <x:v>0</x:v>
      </x:c>
      <x:c r="Q1509" s="26" t="n">
        <x:v>0</x:v>
      </x:c>
      <x:c r="R1509" s="26" t="n">
        <x:v>0</x:v>
      </x:c>
      <x:c r="S1509" s="26" t="n">
        <x:v>0</x:v>
      </x:c>
      <x:c r="T1509" s="26" t="n">
        <x:v>0</x:v>
      </x:c>
      <x:c r="U1509" s="26" t="n">
        <x:v>543</x:v>
      </x:c>
      <x:c r="V1509" s="26" t="n">
        <x:v>0</x:v>
      </x:c>
      <x:c r="W1509" s="26" t="n">
        <x:v>0</x:v>
      </x:c>
      <x:c r="X1509" s="26" t="n">
        <x:v>0</x:v>
      </x:c>
      <x:c r="Y1509" s="26" t="n">
        <x:v>0</x:v>
      </x:c>
      <x:c r="Z1509" s="35" t="str">
        <x:v>Franklin County Treasurer</x:v>
      </x:c>
    </x:row>
    <x:row r="1510">
      <x:c r="A1510" s="20" t="str">
        <x:v>FIN-01507</x:v>
      </x:c>
      <x:c r="B1510" s="23" t="n">
        <x:v>46566</x:v>
      </x:c>
      <x:c r="C1510" s="23" t="n">
        <x:v>46566</x:v>
      </x:c>
      <x:c r="D1510" s="20" t="str">
        <x:v>OperatingExpense</x:v>
      </x:c>
      <x:c r="E1510" s="20" t="str">
        <x:v>Property tax</x:v>
      </x:c>
      <x:c r="F1510" s="20" t="str">
        <x:v>P002</x:v>
      </x:c>
      <x:c r="G1510" s="20" t="str"/>
      <x:c r="H1510" s="20" t="str"/>
      <x:c r="I1510" s="20" t="str">
        <x:v>Franklin County Treasurer</x:v>
      </x:c>
      <x:c r="J1510" s="35" t="str">
        <x:v>Scanned receipt/invoice</x:v>
      </x:c>
      <x:c r="K1510" s="20" t="str">
        <x:v>SCN-0796</x:v>
      </x:c>
      <x:c r="L1510" s="20" t="str">
        <x:v>EXP-20270628-3202</x:v>
      </x:c>
      <x:c r="M1510" s="26" t="n">
        <x:v>550</x:v>
      </x:c>
      <x:c r="N1510" s="26" t="n">
        <x:v>0</x:v>
      </x:c>
      <x:c r="O1510" s="26" t="n">
        <x:v>-550</x:v>
      </x:c>
      <x:c r="P1510" s="26" t="n">
        <x:v>0</x:v>
      </x:c>
      <x:c r="Q1510" s="26" t="n">
        <x:v>0</x:v>
      </x:c>
      <x:c r="R1510" s="26" t="n">
        <x:v>0</x:v>
      </x:c>
      <x:c r="S1510" s="26" t="n">
        <x:v>0</x:v>
      </x:c>
      <x:c r="T1510" s="26" t="n">
        <x:v>0</x:v>
      </x:c>
      <x:c r="U1510" s="26" t="n">
        <x:v>550</x:v>
      </x:c>
      <x:c r="V1510" s="26" t="n">
        <x:v>0</x:v>
      </x:c>
      <x:c r="W1510" s="26" t="n">
        <x:v>0</x:v>
      </x:c>
      <x:c r="X1510" s="26" t="n">
        <x:v>0</x:v>
      </x:c>
      <x:c r="Y1510" s="26" t="n">
        <x:v>0</x:v>
      </x:c>
      <x:c r="Z1510" s="35" t="str">
        <x:v>Franklin County Treasurer</x:v>
      </x:c>
    </x:row>
    <x:row r="1511">
      <x:c r="A1511" s="20" t="str">
        <x:v>FIN-01508</x:v>
      </x:c>
      <x:c r="B1511" s="23" t="n">
        <x:v>46658</x:v>
      </x:c>
      <x:c r="C1511" s="23" t="n">
        <x:v>46658</x:v>
      </x:c>
      <x:c r="D1511" s="20" t="str">
        <x:v>OperatingExpense</x:v>
      </x:c>
      <x:c r="E1511" s="20" t="str">
        <x:v>Property tax</x:v>
      </x:c>
      <x:c r="F1511" s="20" t="str">
        <x:v>P002</x:v>
      </x:c>
      <x:c r="G1511" s="20" t="str"/>
      <x:c r="H1511" s="20" t="str"/>
      <x:c r="I1511" s="20" t="str">
        <x:v>Franklin County Treasurer</x:v>
      </x:c>
      <x:c r="J1511" s="35" t="str">
        <x:v>Scanned receipt/invoice</x:v>
      </x:c>
      <x:c r="K1511" s="20" t="str">
        <x:v>SCN-0797</x:v>
      </x:c>
      <x:c r="L1511" s="20" t="str">
        <x:v>EXP-20270928-3302</x:v>
      </x:c>
      <x:c r="M1511" s="26" t="n">
        <x:v>557</x:v>
      </x:c>
      <x:c r="N1511" s="26" t="n">
        <x:v>0</x:v>
      </x:c>
      <x:c r="O1511" s="26" t="n">
        <x:v>-557</x:v>
      </x:c>
      <x:c r="P1511" s="26" t="n">
        <x:v>0</x:v>
      </x:c>
      <x:c r="Q1511" s="26" t="n">
        <x:v>0</x:v>
      </x:c>
      <x:c r="R1511" s="26" t="n">
        <x:v>0</x:v>
      </x:c>
      <x:c r="S1511" s="26" t="n">
        <x:v>0</x:v>
      </x:c>
      <x:c r="T1511" s="26" t="n">
        <x:v>0</x:v>
      </x:c>
      <x:c r="U1511" s="26" t="n">
        <x:v>557</x:v>
      </x:c>
      <x:c r="V1511" s="26" t="n">
        <x:v>0</x:v>
      </x:c>
      <x:c r="W1511" s="26" t="n">
        <x:v>0</x:v>
      </x:c>
      <x:c r="X1511" s="26" t="n">
        <x:v>0</x:v>
      </x:c>
      <x:c r="Y1511" s="26" t="n">
        <x:v>0</x:v>
      </x:c>
      <x:c r="Z1511" s="35" t="str">
        <x:v>Franklin County Treasurer</x:v>
      </x:c>
    </x:row>
    <x:row r="1512">
      <x:c r="A1512" s="20" t="str">
        <x:v>FIN-01509</x:v>
      </x:c>
      <x:c r="B1512" s="23" t="n">
        <x:v>46749</x:v>
      </x:c>
      <x:c r="C1512" s="23" t="n">
        <x:v>46749</x:v>
      </x:c>
      <x:c r="D1512" s="20" t="str">
        <x:v>OperatingExpense</x:v>
      </x:c>
      <x:c r="E1512" s="20" t="str">
        <x:v>Property tax</x:v>
      </x:c>
      <x:c r="F1512" s="20" t="str">
        <x:v>P002</x:v>
      </x:c>
      <x:c r="G1512" s="20" t="str"/>
      <x:c r="H1512" s="20" t="str"/>
      <x:c r="I1512" s="20" t="str">
        <x:v>Franklin County Treasurer</x:v>
      </x:c>
      <x:c r="J1512" s="35" t="str">
        <x:v>Scanned receipt/invoice</x:v>
      </x:c>
      <x:c r="K1512" s="20" t="str">
        <x:v>SCN-0798</x:v>
      </x:c>
      <x:c r="L1512" s="20" t="str">
        <x:v>EXP-20271228-3402</x:v>
      </x:c>
      <x:c r="M1512" s="26" t="n">
        <x:v>564</x:v>
      </x:c>
      <x:c r="N1512" s="26" t="n">
        <x:v>0</x:v>
      </x:c>
      <x:c r="O1512" s="26" t="n">
        <x:v>-564</x:v>
      </x:c>
      <x:c r="P1512" s="26" t="n">
        <x:v>0</x:v>
      </x:c>
      <x:c r="Q1512" s="26" t="n">
        <x:v>0</x:v>
      </x:c>
      <x:c r="R1512" s="26" t="n">
        <x:v>0</x:v>
      </x:c>
      <x:c r="S1512" s="26" t="n">
        <x:v>0</x:v>
      </x:c>
      <x:c r="T1512" s="26" t="n">
        <x:v>0</x:v>
      </x:c>
      <x:c r="U1512" s="26" t="n">
        <x:v>564</x:v>
      </x:c>
      <x:c r="V1512" s="26" t="n">
        <x:v>0</x:v>
      </x:c>
      <x:c r="W1512" s="26" t="n">
        <x:v>0</x:v>
      </x:c>
      <x:c r="X1512" s="26" t="n">
        <x:v>0</x:v>
      </x:c>
      <x:c r="Y1512" s="26" t="n">
        <x:v>0</x:v>
      </x:c>
      <x:c r="Z1512" s="35" t="str">
        <x:v>Franklin County Treasurer</x:v>
      </x:c>
    </x:row>
    <x:row r="1513">
      <x:c r="A1513" s="20" t="str">
        <x:v>FIN-01510</x:v>
      </x:c>
      <x:c r="B1513" s="23" t="n">
        <x:v>46464</x:v>
      </x:c>
      <x:c r="C1513" s="23" t="n">
        <x:v>46464</x:v>
      </x:c>
      <x:c r="D1513" s="20" t="str">
        <x:v>OperatingExpense</x:v>
      </x:c>
      <x:c r="E1513" s="20" t="str">
        <x:v>Insurance</x:v>
      </x:c>
      <x:c r="F1513" s="20" t="str">
        <x:v>P003</x:v>
      </x:c>
      <x:c r="G1513" s="20" t="str"/>
      <x:c r="H1513" s="20" t="str"/>
      <x:c r="I1513" s="20" t="str">
        <x:v>Buckeye Mutual Insurance</x:v>
      </x:c>
      <x:c r="J1513" s="35" t="str">
        <x:v>Scanned receipt/invoice</x:v>
      </x:c>
      <x:c r="K1513" s="20" t="str">
        <x:v>SCN-0799</x:v>
      </x:c>
      <x:c r="L1513" s="20" t="str">
        <x:v>EXP-20270318-2003</x:v>
      </x:c>
      <x:c r="M1513" s="26" t="n">
        <x:v>1031</x:v>
      </x:c>
      <x:c r="N1513" s="26" t="n">
        <x:v>0</x:v>
      </x:c>
      <x:c r="O1513" s="26" t="n">
        <x:v>-1031</x:v>
      </x:c>
      <x:c r="P1513" s="26" t="n">
        <x:v>0</x:v>
      </x:c>
      <x:c r="Q1513" s="26" t="n">
        <x:v>0</x:v>
      </x:c>
      <x:c r="R1513" s="26" t="n">
        <x:v>0</x:v>
      </x:c>
      <x:c r="S1513" s="26" t="n">
        <x:v>0</x:v>
      </x:c>
      <x:c r="T1513" s="26" t="n">
        <x:v>0</x:v>
      </x:c>
      <x:c r="U1513" s="26" t="n">
        <x:v>1031</x:v>
      </x:c>
      <x:c r="V1513" s="26" t="n">
        <x:v>0</x:v>
      </x:c>
      <x:c r="W1513" s="26" t="n">
        <x:v>0</x:v>
      </x:c>
      <x:c r="X1513" s="26" t="n">
        <x:v>0</x:v>
      </x:c>
      <x:c r="Y1513" s="26" t="n">
        <x:v>0</x:v>
      </x:c>
      <x:c r="Z1513" s="35" t="str">
        <x:v>Buckeye Mutual Insurance</x:v>
      </x:c>
    </x:row>
    <x:row r="1514">
      <x:c r="A1514" s="20" t="str">
        <x:v>FIN-01511</x:v>
      </x:c>
      <x:c r="B1514" s="23" t="n">
        <x:v>46474</x:v>
      </x:c>
      <x:c r="C1514" s="23" t="n">
        <x:v>46474</x:v>
      </x:c>
      <x:c r="D1514" s="20" t="str">
        <x:v>OperatingExpense</x:v>
      </x:c>
      <x:c r="E1514" s="20" t="str">
        <x:v>Property tax</x:v>
      </x:c>
      <x:c r="F1514" s="20" t="str">
        <x:v>P003</x:v>
      </x:c>
      <x:c r="G1514" s="20" t="str"/>
      <x:c r="H1514" s="20" t="str"/>
      <x:c r="I1514" s="20" t="str">
        <x:v>Franklin County Treasurer</x:v>
      </x:c>
      <x:c r="J1514" s="35" t="str">
        <x:v>Scanned receipt/invoice</x:v>
      </x:c>
      <x:c r="K1514" s="20" t="str">
        <x:v>SCN-0800</x:v>
      </x:c>
      <x:c r="L1514" s="20" t="str">
        <x:v>EXP-20270328-3103</x:v>
      </x:c>
      <x:c r="M1514" s="26" t="n">
        <x:v>556</x:v>
      </x:c>
      <x:c r="N1514" s="26" t="n">
        <x:v>0</x:v>
      </x:c>
      <x:c r="O1514" s="26" t="n">
        <x:v>-556</x:v>
      </x:c>
      <x:c r="P1514" s="26" t="n">
        <x:v>0</x:v>
      </x:c>
      <x:c r="Q1514" s="26" t="n">
        <x:v>0</x:v>
      </x:c>
      <x:c r="R1514" s="26" t="n">
        <x:v>0</x:v>
      </x:c>
      <x:c r="S1514" s="26" t="n">
        <x:v>0</x:v>
      </x:c>
      <x:c r="T1514" s="26" t="n">
        <x:v>0</x:v>
      </x:c>
      <x:c r="U1514" s="26" t="n">
        <x:v>556</x:v>
      </x:c>
      <x:c r="V1514" s="26" t="n">
        <x:v>0</x:v>
      </x:c>
      <x:c r="W1514" s="26" t="n">
        <x:v>0</x:v>
      </x:c>
      <x:c r="X1514" s="26" t="n">
        <x:v>0</x:v>
      </x:c>
      <x:c r="Y1514" s="26" t="n">
        <x:v>0</x:v>
      </x:c>
      <x:c r="Z1514" s="35" t="str">
        <x:v>Franklin County Treasurer</x:v>
      </x:c>
    </x:row>
    <x:row r="1515">
      <x:c r="A1515" s="20" t="str">
        <x:v>FIN-01512</x:v>
      </x:c>
      <x:c r="B1515" s="23" t="n">
        <x:v>46566</x:v>
      </x:c>
      <x:c r="C1515" s="23" t="n">
        <x:v>46566</x:v>
      </x:c>
      <x:c r="D1515" s="20" t="str">
        <x:v>OperatingExpense</x:v>
      </x:c>
      <x:c r="E1515" s="20" t="str">
        <x:v>Property tax</x:v>
      </x:c>
      <x:c r="F1515" s="20" t="str">
        <x:v>P003</x:v>
      </x:c>
      <x:c r="G1515" s="20" t="str"/>
      <x:c r="H1515" s="20" t="str"/>
      <x:c r="I1515" s="20" t="str">
        <x:v>Franklin County Treasurer</x:v>
      </x:c>
      <x:c r="J1515" s="35" t="str">
        <x:v>Scanned receipt/invoice</x:v>
      </x:c>
      <x:c r="K1515" s="20" t="str">
        <x:v>SCN-0801</x:v>
      </x:c>
      <x:c r="L1515" s="20" t="str">
        <x:v>EXP-20270628-3203</x:v>
      </x:c>
      <x:c r="M1515" s="26" t="n">
        <x:v>563</x:v>
      </x:c>
      <x:c r="N1515" s="26" t="n">
        <x:v>0</x:v>
      </x:c>
      <x:c r="O1515" s="26" t="n">
        <x:v>-563</x:v>
      </x:c>
      <x:c r="P1515" s="26" t="n">
        <x:v>0</x:v>
      </x:c>
      <x:c r="Q1515" s="26" t="n">
        <x:v>0</x:v>
      </x:c>
      <x:c r="R1515" s="26" t="n">
        <x:v>0</x:v>
      </x:c>
      <x:c r="S1515" s="26" t="n">
        <x:v>0</x:v>
      </x:c>
      <x:c r="T1515" s="26" t="n">
        <x:v>0</x:v>
      </x:c>
      <x:c r="U1515" s="26" t="n">
        <x:v>563</x:v>
      </x:c>
      <x:c r="V1515" s="26" t="n">
        <x:v>0</x:v>
      </x:c>
      <x:c r="W1515" s="26" t="n">
        <x:v>0</x:v>
      </x:c>
      <x:c r="X1515" s="26" t="n">
        <x:v>0</x:v>
      </x:c>
      <x:c r="Y1515" s="26" t="n">
        <x:v>0</x:v>
      </x:c>
      <x:c r="Z1515" s="35" t="str">
        <x:v>Franklin County Treasurer</x:v>
      </x:c>
    </x:row>
    <x:row r="1516">
      <x:c r="A1516" s="20" t="str">
        <x:v>FIN-01513</x:v>
      </x:c>
      <x:c r="B1516" s="23" t="n">
        <x:v>46658</x:v>
      </x:c>
      <x:c r="C1516" s="23" t="n">
        <x:v>46658</x:v>
      </x:c>
      <x:c r="D1516" s="20" t="str">
        <x:v>OperatingExpense</x:v>
      </x:c>
      <x:c r="E1516" s="20" t="str">
        <x:v>Property tax</x:v>
      </x:c>
      <x:c r="F1516" s="20" t="str">
        <x:v>P003</x:v>
      </x:c>
      <x:c r="G1516" s="20" t="str"/>
      <x:c r="H1516" s="20" t="str"/>
      <x:c r="I1516" s="20" t="str">
        <x:v>Franklin County Treasurer</x:v>
      </x:c>
      <x:c r="J1516" s="35" t="str">
        <x:v>Scanned receipt/invoice</x:v>
      </x:c>
      <x:c r="K1516" s="20" t="str">
        <x:v>SCN-0802</x:v>
      </x:c>
      <x:c r="L1516" s="20" t="str">
        <x:v>EXP-20270928-3303</x:v>
      </x:c>
      <x:c r="M1516" s="26" t="n">
        <x:v>570</x:v>
      </x:c>
      <x:c r="N1516" s="26" t="n">
        <x:v>0</x:v>
      </x:c>
      <x:c r="O1516" s="26" t="n">
        <x:v>-570</x:v>
      </x:c>
      <x:c r="P1516" s="26" t="n">
        <x:v>0</x:v>
      </x:c>
      <x:c r="Q1516" s="26" t="n">
        <x:v>0</x:v>
      </x:c>
      <x:c r="R1516" s="26" t="n">
        <x:v>0</x:v>
      </x:c>
      <x:c r="S1516" s="26" t="n">
        <x:v>0</x:v>
      </x:c>
      <x:c r="T1516" s="26" t="n">
        <x:v>0</x:v>
      </x:c>
      <x:c r="U1516" s="26" t="n">
        <x:v>570</x:v>
      </x:c>
      <x:c r="V1516" s="26" t="n">
        <x:v>0</x:v>
      </x:c>
      <x:c r="W1516" s="26" t="n">
        <x:v>0</x:v>
      </x:c>
      <x:c r="X1516" s="26" t="n">
        <x:v>0</x:v>
      </x:c>
      <x:c r="Y1516" s="26" t="n">
        <x:v>0</x:v>
      </x:c>
      <x:c r="Z1516" s="35" t="str">
        <x:v>Franklin County Treasurer</x:v>
      </x:c>
    </x:row>
    <x:row r="1517">
      <x:c r="A1517" s="20" t="str">
        <x:v>FIN-01514</x:v>
      </x:c>
      <x:c r="B1517" s="23" t="n">
        <x:v>46749</x:v>
      </x:c>
      <x:c r="C1517" s="23" t="n">
        <x:v>46749</x:v>
      </x:c>
      <x:c r="D1517" s="20" t="str">
        <x:v>OperatingExpense</x:v>
      </x:c>
      <x:c r="E1517" s="20" t="str">
        <x:v>Property tax</x:v>
      </x:c>
      <x:c r="F1517" s="20" t="str">
        <x:v>P003</x:v>
      </x:c>
      <x:c r="G1517" s="20" t="str"/>
      <x:c r="H1517" s="20" t="str"/>
      <x:c r="I1517" s="20" t="str">
        <x:v>Franklin County Treasurer</x:v>
      </x:c>
      <x:c r="J1517" s="35" t="str">
        <x:v>Scanned receipt/invoice</x:v>
      </x:c>
      <x:c r="K1517" s="20" t="str">
        <x:v>SCN-0803</x:v>
      </x:c>
      <x:c r="L1517" s="20" t="str">
        <x:v>EXP-20271228-3403</x:v>
      </x:c>
      <x:c r="M1517" s="26" t="n">
        <x:v>577</x:v>
      </x:c>
      <x:c r="N1517" s="26" t="n">
        <x:v>0</x:v>
      </x:c>
      <x:c r="O1517" s="26" t="n">
        <x:v>-577</x:v>
      </x:c>
      <x:c r="P1517" s="26" t="n">
        <x:v>0</x:v>
      </x:c>
      <x:c r="Q1517" s="26" t="n">
        <x:v>0</x:v>
      </x:c>
      <x:c r="R1517" s="26" t="n">
        <x:v>0</x:v>
      </x:c>
      <x:c r="S1517" s="26" t="n">
        <x:v>0</x:v>
      </x:c>
      <x:c r="T1517" s="26" t="n">
        <x:v>0</x:v>
      </x:c>
      <x:c r="U1517" s="26" t="n">
        <x:v>577</x:v>
      </x:c>
      <x:c r="V1517" s="26" t="n">
        <x:v>0</x:v>
      </x:c>
      <x:c r="W1517" s="26" t="n">
        <x:v>0</x:v>
      </x:c>
      <x:c r="X1517" s="26" t="n">
        <x:v>0</x:v>
      </x:c>
      <x:c r="Y1517" s="26" t="n">
        <x:v>0</x:v>
      </x:c>
      <x:c r="Z1517" s="35" t="str">
        <x:v>Franklin County Treasurer</x:v>
      </x:c>
    </x:row>
    <x:row r="1518">
      <x:c r="A1518" s="20" t="str">
        <x:v>FIN-01515</x:v>
      </x:c>
      <x:c r="B1518" s="23" t="n">
        <x:v>46495</x:v>
      </x:c>
      <x:c r="C1518" s="23" t="n">
        <x:v>46495</x:v>
      </x:c>
      <x:c r="D1518" s="20" t="str">
        <x:v>OperatingExpense</x:v>
      </x:c>
      <x:c r="E1518" s="20" t="str">
        <x:v>Insurance</x:v>
      </x:c>
      <x:c r="F1518" s="20" t="str">
        <x:v>P004</x:v>
      </x:c>
      <x:c r="G1518" s="20" t="str"/>
      <x:c r="H1518" s="20" t="str"/>
      <x:c r="I1518" s="20" t="str">
        <x:v>Buckeye Mutual Insurance</x:v>
      </x:c>
      <x:c r="J1518" s="35" t="str">
        <x:v>Scanned receipt/invoice</x:v>
      </x:c>
      <x:c r="K1518" s="20" t="str">
        <x:v>SCN-0804</x:v>
      </x:c>
      <x:c r="L1518" s="20" t="str">
        <x:v>EXP-20270418-2004</x:v>
      </x:c>
      <x:c r="M1518" s="26" t="n">
        <x:v>1048</x:v>
      </x:c>
      <x:c r="N1518" s="26" t="n">
        <x:v>0</x:v>
      </x:c>
      <x:c r="O1518" s="26" t="n">
        <x:v>-1048</x:v>
      </x:c>
      <x:c r="P1518" s="26" t="n">
        <x:v>0</x:v>
      </x:c>
      <x:c r="Q1518" s="26" t="n">
        <x:v>0</x:v>
      </x:c>
      <x:c r="R1518" s="26" t="n">
        <x:v>0</x:v>
      </x:c>
      <x:c r="S1518" s="26" t="n">
        <x:v>0</x:v>
      </x:c>
      <x:c r="T1518" s="26" t="n">
        <x:v>0</x:v>
      </x:c>
      <x:c r="U1518" s="26" t="n">
        <x:v>1048</x:v>
      </x:c>
      <x:c r="V1518" s="26" t="n">
        <x:v>0</x:v>
      </x:c>
      <x:c r="W1518" s="26" t="n">
        <x:v>0</x:v>
      </x:c>
      <x:c r="X1518" s="26" t="n">
        <x:v>0</x:v>
      </x:c>
      <x:c r="Y1518" s="26" t="n">
        <x:v>0</x:v>
      </x:c>
      <x:c r="Z1518" s="35" t="str">
        <x:v>Buckeye Mutual Insurance</x:v>
      </x:c>
    </x:row>
    <x:row r="1519">
      <x:c r="A1519" s="20" t="str">
        <x:v>FIN-01516</x:v>
      </x:c>
      <x:c r="B1519" s="23" t="n">
        <x:v>46474</x:v>
      </x:c>
      <x:c r="C1519" s="23" t="n">
        <x:v>46474</x:v>
      </x:c>
      <x:c r="D1519" s="20" t="str">
        <x:v>OperatingExpense</x:v>
      </x:c>
      <x:c r="E1519" s="20" t="str">
        <x:v>Property tax</x:v>
      </x:c>
      <x:c r="F1519" s="20" t="str">
        <x:v>P004</x:v>
      </x:c>
      <x:c r="G1519" s="20" t="str"/>
      <x:c r="H1519" s="20" t="str"/>
      <x:c r="I1519" s="20" t="str">
        <x:v>Franklin County Treasurer</x:v>
      </x:c>
      <x:c r="J1519" s="35" t="str">
        <x:v>Scanned receipt/invoice</x:v>
      </x:c>
      <x:c r="K1519" s="20" t="str">
        <x:v>SCN-0805</x:v>
      </x:c>
      <x:c r="L1519" s="20" t="str">
        <x:v>EXP-20270328-3104</x:v>
      </x:c>
      <x:c r="M1519" s="26" t="n">
        <x:v>569</x:v>
      </x:c>
      <x:c r="N1519" s="26" t="n">
        <x:v>0</x:v>
      </x:c>
      <x:c r="O1519" s="26" t="n">
        <x:v>-569</x:v>
      </x:c>
      <x:c r="P1519" s="26" t="n">
        <x:v>0</x:v>
      </x:c>
      <x:c r="Q1519" s="26" t="n">
        <x:v>0</x:v>
      </x:c>
      <x:c r="R1519" s="26" t="n">
        <x:v>0</x:v>
      </x:c>
      <x:c r="S1519" s="26" t="n">
        <x:v>0</x:v>
      </x:c>
      <x:c r="T1519" s="26" t="n">
        <x:v>0</x:v>
      </x:c>
      <x:c r="U1519" s="26" t="n">
        <x:v>569</x:v>
      </x:c>
      <x:c r="V1519" s="26" t="n">
        <x:v>0</x:v>
      </x:c>
      <x:c r="W1519" s="26" t="n">
        <x:v>0</x:v>
      </x:c>
      <x:c r="X1519" s="26" t="n">
        <x:v>0</x:v>
      </x:c>
      <x:c r="Y1519" s="26" t="n">
        <x:v>0</x:v>
      </x:c>
      <x:c r="Z1519" s="35" t="str">
        <x:v>Franklin County Treasurer</x:v>
      </x:c>
    </x:row>
    <x:row r="1520">
      <x:c r="A1520" s="20" t="str">
        <x:v>FIN-01517</x:v>
      </x:c>
      <x:c r="B1520" s="23" t="n">
        <x:v>46566</x:v>
      </x:c>
      <x:c r="C1520" s="23" t="n">
        <x:v>46566</x:v>
      </x:c>
      <x:c r="D1520" s="20" t="str">
        <x:v>OperatingExpense</x:v>
      </x:c>
      <x:c r="E1520" s="20" t="str">
        <x:v>Property tax</x:v>
      </x:c>
      <x:c r="F1520" s="20" t="str">
        <x:v>P004</x:v>
      </x:c>
      <x:c r="G1520" s="20" t="str"/>
      <x:c r="H1520" s="20" t="str"/>
      <x:c r="I1520" s="20" t="str">
        <x:v>Franklin County Treasurer</x:v>
      </x:c>
      <x:c r="J1520" s="35" t="str">
        <x:v>Scanned receipt/invoice</x:v>
      </x:c>
      <x:c r="K1520" s="20" t="str">
        <x:v>SCN-0806</x:v>
      </x:c>
      <x:c r="L1520" s="20" t="str">
        <x:v>EXP-20270628-3204</x:v>
      </x:c>
      <x:c r="M1520" s="26" t="n">
        <x:v>576</x:v>
      </x:c>
      <x:c r="N1520" s="26" t="n">
        <x:v>0</x:v>
      </x:c>
      <x:c r="O1520" s="26" t="n">
        <x:v>-576</x:v>
      </x:c>
      <x:c r="P1520" s="26" t="n">
        <x:v>0</x:v>
      </x:c>
      <x:c r="Q1520" s="26" t="n">
        <x:v>0</x:v>
      </x:c>
      <x:c r="R1520" s="26" t="n">
        <x:v>0</x:v>
      </x:c>
      <x:c r="S1520" s="26" t="n">
        <x:v>0</x:v>
      </x:c>
      <x:c r="T1520" s="26" t="n">
        <x:v>0</x:v>
      </x:c>
      <x:c r="U1520" s="26" t="n">
        <x:v>576</x:v>
      </x:c>
      <x:c r="V1520" s="26" t="n">
        <x:v>0</x:v>
      </x:c>
      <x:c r="W1520" s="26" t="n">
        <x:v>0</x:v>
      </x:c>
      <x:c r="X1520" s="26" t="n">
        <x:v>0</x:v>
      </x:c>
      <x:c r="Y1520" s="26" t="n">
        <x:v>0</x:v>
      </x:c>
      <x:c r="Z1520" s="35" t="str">
        <x:v>Franklin County Treasurer</x:v>
      </x:c>
    </x:row>
    <x:row r="1521">
      <x:c r="A1521" s="20" t="str">
        <x:v>FIN-01518</x:v>
      </x:c>
      <x:c r="B1521" s="23" t="n">
        <x:v>46658</x:v>
      </x:c>
      <x:c r="C1521" s="23" t="n">
        <x:v>46658</x:v>
      </x:c>
      <x:c r="D1521" s="20" t="str">
        <x:v>OperatingExpense</x:v>
      </x:c>
      <x:c r="E1521" s="20" t="str">
        <x:v>Property tax</x:v>
      </x:c>
      <x:c r="F1521" s="20" t="str">
        <x:v>P004</x:v>
      </x:c>
      <x:c r="G1521" s="20" t="str"/>
      <x:c r="H1521" s="20" t="str"/>
      <x:c r="I1521" s="20" t="str">
        <x:v>Franklin County Treasurer</x:v>
      </x:c>
      <x:c r="J1521" s="35" t="str">
        <x:v>Scanned receipt/invoice</x:v>
      </x:c>
      <x:c r="K1521" s="20" t="str">
        <x:v>SCN-0807</x:v>
      </x:c>
      <x:c r="L1521" s="20" t="str">
        <x:v>EXP-20270928-3304</x:v>
      </x:c>
      <x:c r="M1521" s="26" t="n">
        <x:v>583</x:v>
      </x:c>
      <x:c r="N1521" s="26" t="n">
        <x:v>0</x:v>
      </x:c>
      <x:c r="O1521" s="26" t="n">
        <x:v>-583</x:v>
      </x:c>
      <x:c r="P1521" s="26" t="n">
        <x:v>0</x:v>
      </x:c>
      <x:c r="Q1521" s="26" t="n">
        <x:v>0</x:v>
      </x:c>
      <x:c r="R1521" s="26" t="n">
        <x:v>0</x:v>
      </x:c>
      <x:c r="S1521" s="26" t="n">
        <x:v>0</x:v>
      </x:c>
      <x:c r="T1521" s="26" t="n">
        <x:v>0</x:v>
      </x:c>
      <x:c r="U1521" s="26" t="n">
        <x:v>583</x:v>
      </x:c>
      <x:c r="V1521" s="26" t="n">
        <x:v>0</x:v>
      </x:c>
      <x:c r="W1521" s="26" t="n">
        <x:v>0</x:v>
      </x:c>
      <x:c r="X1521" s="26" t="n">
        <x:v>0</x:v>
      </x:c>
      <x:c r="Y1521" s="26" t="n">
        <x:v>0</x:v>
      </x:c>
      <x:c r="Z1521" s="35" t="str">
        <x:v>Franklin County Treasurer</x:v>
      </x:c>
    </x:row>
    <x:row r="1522">
      <x:c r="A1522" s="20" t="str">
        <x:v>FIN-01519</x:v>
      </x:c>
      <x:c r="B1522" s="23" t="n">
        <x:v>46749</x:v>
      </x:c>
      <x:c r="C1522" s="23" t="n">
        <x:v>46749</x:v>
      </x:c>
      <x:c r="D1522" s="20" t="str">
        <x:v>OperatingExpense</x:v>
      </x:c>
      <x:c r="E1522" s="20" t="str">
        <x:v>Property tax</x:v>
      </x:c>
      <x:c r="F1522" s="20" t="str">
        <x:v>P004</x:v>
      </x:c>
      <x:c r="G1522" s="20" t="str"/>
      <x:c r="H1522" s="20" t="str"/>
      <x:c r="I1522" s="20" t="str">
        <x:v>Franklin County Treasurer</x:v>
      </x:c>
      <x:c r="J1522" s="35" t="str">
        <x:v>Scanned receipt/invoice</x:v>
      </x:c>
      <x:c r="K1522" s="20" t="str">
        <x:v>SCN-0808</x:v>
      </x:c>
      <x:c r="L1522" s="20" t="str">
        <x:v>EXP-20271228-3404</x:v>
      </x:c>
      <x:c r="M1522" s="26" t="n">
        <x:v>590</x:v>
      </x:c>
      <x:c r="N1522" s="26" t="n">
        <x:v>0</x:v>
      </x:c>
      <x:c r="O1522" s="26" t="n">
        <x:v>-590</x:v>
      </x:c>
      <x:c r="P1522" s="26" t="n">
        <x:v>0</x:v>
      </x:c>
      <x:c r="Q1522" s="26" t="n">
        <x:v>0</x:v>
      </x:c>
      <x:c r="R1522" s="26" t="n">
        <x:v>0</x:v>
      </x:c>
      <x:c r="S1522" s="26" t="n">
        <x:v>0</x:v>
      </x:c>
      <x:c r="T1522" s="26" t="n">
        <x:v>0</x:v>
      </x:c>
      <x:c r="U1522" s="26" t="n">
        <x:v>590</x:v>
      </x:c>
      <x:c r="V1522" s="26" t="n">
        <x:v>0</x:v>
      </x:c>
      <x:c r="W1522" s="26" t="n">
        <x:v>0</x:v>
      </x:c>
      <x:c r="X1522" s="26" t="n">
        <x:v>0</x:v>
      </x:c>
      <x:c r="Y1522" s="26" t="n">
        <x:v>0</x:v>
      </x:c>
      <x:c r="Z1522" s="35" t="str">
        <x:v>Franklin County Treasurer</x:v>
      </x:c>
    </x:row>
    <x:row r="1523">
      <x:c r="A1523" s="20" t="str">
        <x:v>FIN-01520</x:v>
      </x:c>
      <x:c r="B1523" s="23" t="n">
        <x:v>46525</x:v>
      </x:c>
      <x:c r="C1523" s="23" t="n">
        <x:v>46525</x:v>
      </x:c>
      <x:c r="D1523" s="20" t="str">
        <x:v>OperatingExpense</x:v>
      </x:c>
      <x:c r="E1523" s="20" t="str">
        <x:v>Insurance</x:v>
      </x:c>
      <x:c r="F1523" s="20" t="str">
        <x:v>P005</x:v>
      </x:c>
      <x:c r="G1523" s="20" t="str"/>
      <x:c r="H1523" s="20" t="str"/>
      <x:c r="I1523" s="20" t="str">
        <x:v>Buckeye Mutual Insurance</x:v>
      </x:c>
      <x:c r="J1523" s="35" t="str">
        <x:v>Manual web form</x:v>
      </x:c>
      <x:c r="K1523" s="20" t="str"/>
      <x:c r="L1523" s="20" t="str">
        <x:v>EXP-20270518-2005</x:v>
      </x:c>
      <x:c r="M1523" s="26" t="n">
        <x:v>1065</x:v>
      </x:c>
      <x:c r="N1523" s="26" t="n">
        <x:v>0</x:v>
      </x:c>
      <x:c r="O1523" s="26" t="n">
        <x:v>-1065</x:v>
      </x:c>
      <x:c r="P1523" s="26" t="n">
        <x:v>0</x:v>
      </x:c>
      <x:c r="Q1523" s="26" t="n">
        <x:v>0</x:v>
      </x:c>
      <x:c r="R1523" s="26" t="n">
        <x:v>0</x:v>
      </x:c>
      <x:c r="S1523" s="26" t="n">
        <x:v>0</x:v>
      </x:c>
      <x:c r="T1523" s="26" t="n">
        <x:v>0</x:v>
      </x:c>
      <x:c r="U1523" s="26" t="n">
        <x:v>1065</x:v>
      </x:c>
      <x:c r="V1523" s="26" t="n">
        <x:v>0</x:v>
      </x:c>
      <x:c r="W1523" s="26" t="n">
        <x:v>0</x:v>
      </x:c>
      <x:c r="X1523" s="26" t="n">
        <x:v>0</x:v>
      </x:c>
      <x:c r="Y1523" s="26" t="n">
        <x:v>0</x:v>
      </x:c>
      <x:c r="Z1523" s="35" t="str">
        <x:v>Buckeye Mutual Insurance</x:v>
      </x:c>
    </x:row>
    <x:row r="1524">
      <x:c r="A1524" s="20" t="str">
        <x:v>FIN-01521</x:v>
      </x:c>
      <x:c r="B1524" s="23" t="n">
        <x:v>46474</x:v>
      </x:c>
      <x:c r="C1524" s="23" t="n">
        <x:v>46474</x:v>
      </x:c>
      <x:c r="D1524" s="20" t="str">
        <x:v>OperatingExpense</x:v>
      </x:c>
      <x:c r="E1524" s="20" t="str">
        <x:v>Property tax</x:v>
      </x:c>
      <x:c r="F1524" s="20" t="str">
        <x:v>P005</x:v>
      </x:c>
      <x:c r="G1524" s="20" t="str"/>
      <x:c r="H1524" s="20" t="str"/>
      <x:c r="I1524" s="20" t="str">
        <x:v>Franklin County Treasurer</x:v>
      </x:c>
      <x:c r="J1524" s="35" t="str">
        <x:v>Manual web form</x:v>
      </x:c>
      <x:c r="K1524" s="20" t="str"/>
      <x:c r="L1524" s="20" t="str">
        <x:v>EXP-20270328-3105</x:v>
      </x:c>
      <x:c r="M1524" s="26" t="n">
        <x:v>582</x:v>
      </x:c>
      <x:c r="N1524" s="26" t="n">
        <x:v>0</x:v>
      </x:c>
      <x:c r="O1524" s="26" t="n">
        <x:v>-582</x:v>
      </x:c>
      <x:c r="P1524" s="26" t="n">
        <x:v>0</x:v>
      </x:c>
      <x:c r="Q1524" s="26" t="n">
        <x:v>0</x:v>
      </x:c>
      <x:c r="R1524" s="26" t="n">
        <x:v>0</x:v>
      </x:c>
      <x:c r="S1524" s="26" t="n">
        <x:v>0</x:v>
      </x:c>
      <x:c r="T1524" s="26" t="n">
        <x:v>0</x:v>
      </x:c>
      <x:c r="U1524" s="26" t="n">
        <x:v>582</x:v>
      </x:c>
      <x:c r="V1524" s="26" t="n">
        <x:v>0</x:v>
      </x:c>
      <x:c r="W1524" s="26" t="n">
        <x:v>0</x:v>
      </x:c>
      <x:c r="X1524" s="26" t="n">
        <x:v>0</x:v>
      </x:c>
      <x:c r="Y1524" s="26" t="n">
        <x:v>0</x:v>
      </x:c>
      <x:c r="Z1524" s="35" t="str">
        <x:v>Franklin County Treasurer</x:v>
      </x:c>
    </x:row>
    <x:row r="1525">
      <x:c r="A1525" s="20" t="str">
        <x:v>FIN-01522</x:v>
      </x:c>
      <x:c r="B1525" s="23" t="n">
        <x:v>46566</x:v>
      </x:c>
      <x:c r="C1525" s="23" t="n">
        <x:v>46566</x:v>
      </x:c>
      <x:c r="D1525" s="20" t="str">
        <x:v>OperatingExpense</x:v>
      </x:c>
      <x:c r="E1525" s="20" t="str">
        <x:v>Property tax</x:v>
      </x:c>
      <x:c r="F1525" s="20" t="str">
        <x:v>P005</x:v>
      </x:c>
      <x:c r="G1525" s="20" t="str"/>
      <x:c r="H1525" s="20" t="str"/>
      <x:c r="I1525" s="20" t="str">
        <x:v>Franklin County Treasurer</x:v>
      </x:c>
      <x:c r="J1525" s="35" t="str">
        <x:v>Manual web form</x:v>
      </x:c>
      <x:c r="K1525" s="20" t="str"/>
      <x:c r="L1525" s="20" t="str">
        <x:v>EXP-20270628-3205</x:v>
      </x:c>
      <x:c r="M1525" s="26" t="n">
        <x:v>589</x:v>
      </x:c>
      <x:c r="N1525" s="26" t="n">
        <x:v>0</x:v>
      </x:c>
      <x:c r="O1525" s="26" t="n">
        <x:v>-589</x:v>
      </x:c>
      <x:c r="P1525" s="26" t="n">
        <x:v>0</x:v>
      </x:c>
      <x:c r="Q1525" s="26" t="n">
        <x:v>0</x:v>
      </x:c>
      <x:c r="R1525" s="26" t="n">
        <x:v>0</x:v>
      </x:c>
      <x:c r="S1525" s="26" t="n">
        <x:v>0</x:v>
      </x:c>
      <x:c r="T1525" s="26" t="n">
        <x:v>0</x:v>
      </x:c>
      <x:c r="U1525" s="26" t="n">
        <x:v>589</x:v>
      </x:c>
      <x:c r="V1525" s="26" t="n">
        <x:v>0</x:v>
      </x:c>
      <x:c r="W1525" s="26" t="n">
        <x:v>0</x:v>
      </x:c>
      <x:c r="X1525" s="26" t="n">
        <x:v>0</x:v>
      </x:c>
      <x:c r="Y1525" s="26" t="n">
        <x:v>0</x:v>
      </x:c>
      <x:c r="Z1525" s="35" t="str">
        <x:v>Franklin County Treasurer</x:v>
      </x:c>
    </x:row>
    <x:row r="1526">
      <x:c r="A1526" s="20" t="str">
        <x:v>FIN-01523</x:v>
      </x:c>
      <x:c r="B1526" s="23" t="n">
        <x:v>46658</x:v>
      </x:c>
      <x:c r="C1526" s="23" t="n">
        <x:v>46658</x:v>
      </x:c>
      <x:c r="D1526" s="20" t="str">
        <x:v>OperatingExpense</x:v>
      </x:c>
      <x:c r="E1526" s="20" t="str">
        <x:v>Property tax</x:v>
      </x:c>
      <x:c r="F1526" s="20" t="str">
        <x:v>P005</x:v>
      </x:c>
      <x:c r="G1526" s="20" t="str"/>
      <x:c r="H1526" s="20" t="str"/>
      <x:c r="I1526" s="20" t="str">
        <x:v>Franklin County Treasurer</x:v>
      </x:c>
      <x:c r="J1526" s="35" t="str">
        <x:v>Manual web form</x:v>
      </x:c>
      <x:c r="K1526" s="20" t="str"/>
      <x:c r="L1526" s="20" t="str">
        <x:v>EXP-20270928-3305</x:v>
      </x:c>
      <x:c r="M1526" s="26" t="n">
        <x:v>596</x:v>
      </x:c>
      <x:c r="N1526" s="26" t="n">
        <x:v>0</x:v>
      </x:c>
      <x:c r="O1526" s="26" t="n">
        <x:v>-596</x:v>
      </x:c>
      <x:c r="P1526" s="26" t="n">
        <x:v>0</x:v>
      </x:c>
      <x:c r="Q1526" s="26" t="n">
        <x:v>0</x:v>
      </x:c>
      <x:c r="R1526" s="26" t="n">
        <x:v>0</x:v>
      </x:c>
      <x:c r="S1526" s="26" t="n">
        <x:v>0</x:v>
      </x:c>
      <x:c r="T1526" s="26" t="n">
        <x:v>0</x:v>
      </x:c>
      <x:c r="U1526" s="26" t="n">
        <x:v>596</x:v>
      </x:c>
      <x:c r="V1526" s="26" t="n">
        <x:v>0</x:v>
      </x:c>
      <x:c r="W1526" s="26" t="n">
        <x:v>0</x:v>
      </x:c>
      <x:c r="X1526" s="26" t="n">
        <x:v>0</x:v>
      </x:c>
      <x:c r="Y1526" s="26" t="n">
        <x:v>0</x:v>
      </x:c>
      <x:c r="Z1526" s="35" t="str">
        <x:v>Franklin County Treasurer</x:v>
      </x:c>
    </x:row>
    <x:row r="1527">
      <x:c r="A1527" s="20" t="str">
        <x:v>FIN-01524</x:v>
      </x:c>
      <x:c r="B1527" s="23" t="n">
        <x:v>46749</x:v>
      </x:c>
      <x:c r="C1527" s="23" t="n">
        <x:v>46749</x:v>
      </x:c>
      <x:c r="D1527" s="20" t="str">
        <x:v>OperatingExpense</x:v>
      </x:c>
      <x:c r="E1527" s="20" t="str">
        <x:v>Property tax</x:v>
      </x:c>
      <x:c r="F1527" s="20" t="str">
        <x:v>P005</x:v>
      </x:c>
      <x:c r="G1527" s="20" t="str"/>
      <x:c r="H1527" s="20" t="str"/>
      <x:c r="I1527" s="20" t="str">
        <x:v>Franklin County Treasurer</x:v>
      </x:c>
      <x:c r="J1527" s="35" t="str">
        <x:v>Manual web form</x:v>
      </x:c>
      <x:c r="K1527" s="20" t="str"/>
      <x:c r="L1527" s="20" t="str">
        <x:v>EXP-20271228-3405</x:v>
      </x:c>
      <x:c r="M1527" s="26" t="n">
        <x:v>603</x:v>
      </x:c>
      <x:c r="N1527" s="26" t="n">
        <x:v>0</x:v>
      </x:c>
      <x:c r="O1527" s="26" t="n">
        <x:v>-603</x:v>
      </x:c>
      <x:c r="P1527" s="26" t="n">
        <x:v>0</x:v>
      </x:c>
      <x:c r="Q1527" s="26" t="n">
        <x:v>0</x:v>
      </x:c>
      <x:c r="R1527" s="26" t="n">
        <x:v>0</x:v>
      </x:c>
      <x:c r="S1527" s="26" t="n">
        <x:v>0</x:v>
      </x:c>
      <x:c r="T1527" s="26" t="n">
        <x:v>0</x:v>
      </x:c>
      <x:c r="U1527" s="26" t="n">
        <x:v>603</x:v>
      </x:c>
      <x:c r="V1527" s="26" t="n">
        <x:v>0</x:v>
      </x:c>
      <x:c r="W1527" s="26" t="n">
        <x:v>0</x:v>
      </x:c>
      <x:c r="X1527" s="26" t="n">
        <x:v>0</x:v>
      </x:c>
      <x:c r="Y1527" s="26" t="n">
        <x:v>0</x:v>
      </x:c>
      <x:c r="Z1527" s="35" t="str">
        <x:v>Franklin County Treasurer</x:v>
      </x:c>
    </x:row>
    <x:row r="1528">
      <x:c r="A1528" s="20" t="str">
        <x:v>FIN-01525</x:v>
      </x:c>
      <x:c r="B1528" s="23" t="n">
        <x:v>46556</x:v>
      </x:c>
      <x:c r="C1528" s="23" t="n">
        <x:v>46556</x:v>
      </x:c>
      <x:c r="D1528" s="20" t="str">
        <x:v>OperatingExpense</x:v>
      </x:c>
      <x:c r="E1528" s="20" t="str">
        <x:v>Insurance</x:v>
      </x:c>
      <x:c r="F1528" s="20" t="str">
        <x:v>P006</x:v>
      </x:c>
      <x:c r="G1528" s="20" t="str"/>
      <x:c r="H1528" s="20" t="str"/>
      <x:c r="I1528" s="20" t="str">
        <x:v>Buckeye Mutual Insurance</x:v>
      </x:c>
      <x:c r="J1528" s="35" t="str">
        <x:v>Scanned receipt/invoice</x:v>
      </x:c>
      <x:c r="K1528" s="20" t="str">
        <x:v>SCN-0809</x:v>
      </x:c>
      <x:c r="L1528" s="20" t="str">
        <x:v>EXP-20270618-2006</x:v>
      </x:c>
      <x:c r="M1528" s="26" t="n">
        <x:v>1082</x:v>
      </x:c>
      <x:c r="N1528" s="26" t="n">
        <x:v>0</x:v>
      </x:c>
      <x:c r="O1528" s="26" t="n">
        <x:v>-1082</x:v>
      </x:c>
      <x:c r="P1528" s="26" t="n">
        <x:v>0</x:v>
      </x:c>
      <x:c r="Q1528" s="26" t="n">
        <x:v>0</x:v>
      </x:c>
      <x:c r="R1528" s="26" t="n">
        <x:v>0</x:v>
      </x:c>
      <x:c r="S1528" s="26" t="n">
        <x:v>0</x:v>
      </x:c>
      <x:c r="T1528" s="26" t="n">
        <x:v>0</x:v>
      </x:c>
      <x:c r="U1528" s="26" t="n">
        <x:v>1082</x:v>
      </x:c>
      <x:c r="V1528" s="26" t="n">
        <x:v>0</x:v>
      </x:c>
      <x:c r="W1528" s="26" t="n">
        <x:v>0</x:v>
      </x:c>
      <x:c r="X1528" s="26" t="n">
        <x:v>0</x:v>
      </x:c>
      <x:c r="Y1528" s="26" t="n">
        <x:v>0</x:v>
      </x:c>
      <x:c r="Z1528" s="35" t="str">
        <x:v>Buckeye Mutual Insurance</x:v>
      </x:c>
    </x:row>
    <x:row r="1529">
      <x:c r="A1529" s="20" t="str">
        <x:v>FIN-01526</x:v>
      </x:c>
      <x:c r="B1529" s="23" t="n">
        <x:v>46474</x:v>
      </x:c>
      <x:c r="C1529" s="23" t="n">
        <x:v>46474</x:v>
      </x:c>
      <x:c r="D1529" s="20" t="str">
        <x:v>OperatingExpense</x:v>
      </x:c>
      <x:c r="E1529" s="20" t="str">
        <x:v>Property tax</x:v>
      </x:c>
      <x:c r="F1529" s="20" t="str">
        <x:v>P006</x:v>
      </x:c>
      <x:c r="G1529" s="20" t="str"/>
      <x:c r="H1529" s="20" t="str"/>
      <x:c r="I1529" s="20" t="str">
        <x:v>Franklin County Treasurer</x:v>
      </x:c>
      <x:c r="J1529" s="35" t="str">
        <x:v>Scanned receipt/invoice</x:v>
      </x:c>
      <x:c r="K1529" s="20" t="str">
        <x:v>SCN-0810</x:v>
      </x:c>
      <x:c r="L1529" s="20" t="str">
        <x:v>EXP-20270328-3106</x:v>
      </x:c>
      <x:c r="M1529" s="26" t="n">
        <x:v>595</x:v>
      </x:c>
      <x:c r="N1529" s="26" t="n">
        <x:v>0</x:v>
      </x:c>
      <x:c r="O1529" s="26" t="n">
        <x:v>-595</x:v>
      </x:c>
      <x:c r="P1529" s="26" t="n">
        <x:v>0</x:v>
      </x:c>
      <x:c r="Q1529" s="26" t="n">
        <x:v>0</x:v>
      </x:c>
      <x:c r="R1529" s="26" t="n">
        <x:v>0</x:v>
      </x:c>
      <x:c r="S1529" s="26" t="n">
        <x:v>0</x:v>
      </x:c>
      <x:c r="T1529" s="26" t="n">
        <x:v>0</x:v>
      </x:c>
      <x:c r="U1529" s="26" t="n">
        <x:v>595</x:v>
      </x:c>
      <x:c r="V1529" s="26" t="n">
        <x:v>0</x:v>
      </x:c>
      <x:c r="W1529" s="26" t="n">
        <x:v>0</x:v>
      </x:c>
      <x:c r="X1529" s="26" t="n">
        <x:v>0</x:v>
      </x:c>
      <x:c r="Y1529" s="26" t="n">
        <x:v>0</x:v>
      </x:c>
      <x:c r="Z1529" s="35" t="str">
        <x:v>Franklin County Treasurer</x:v>
      </x:c>
    </x:row>
    <x:row r="1530">
      <x:c r="A1530" s="20" t="str">
        <x:v>FIN-01527</x:v>
      </x:c>
      <x:c r="B1530" s="23" t="n">
        <x:v>46566</x:v>
      </x:c>
      <x:c r="C1530" s="23" t="n">
        <x:v>46566</x:v>
      </x:c>
      <x:c r="D1530" s="20" t="str">
        <x:v>OperatingExpense</x:v>
      </x:c>
      <x:c r="E1530" s="20" t="str">
        <x:v>Property tax</x:v>
      </x:c>
      <x:c r="F1530" s="20" t="str">
        <x:v>P006</x:v>
      </x:c>
      <x:c r="G1530" s="20" t="str"/>
      <x:c r="H1530" s="20" t="str"/>
      <x:c r="I1530" s="20" t="str">
        <x:v>Franklin County Treasurer</x:v>
      </x:c>
      <x:c r="J1530" s="35" t="str">
        <x:v>Scanned receipt/invoice</x:v>
      </x:c>
      <x:c r="K1530" s="20" t="str">
        <x:v>SCN-0811</x:v>
      </x:c>
      <x:c r="L1530" s="20" t="str">
        <x:v>EXP-20270628-3206</x:v>
      </x:c>
      <x:c r="M1530" s="26" t="n">
        <x:v>602</x:v>
      </x:c>
      <x:c r="N1530" s="26" t="n">
        <x:v>0</x:v>
      </x:c>
      <x:c r="O1530" s="26" t="n">
        <x:v>-602</x:v>
      </x:c>
      <x:c r="P1530" s="26" t="n">
        <x:v>0</x:v>
      </x:c>
      <x:c r="Q1530" s="26" t="n">
        <x:v>0</x:v>
      </x:c>
      <x:c r="R1530" s="26" t="n">
        <x:v>0</x:v>
      </x:c>
      <x:c r="S1530" s="26" t="n">
        <x:v>0</x:v>
      </x:c>
      <x:c r="T1530" s="26" t="n">
        <x:v>0</x:v>
      </x:c>
      <x:c r="U1530" s="26" t="n">
        <x:v>602</x:v>
      </x:c>
      <x:c r="V1530" s="26" t="n">
        <x:v>0</x:v>
      </x:c>
      <x:c r="W1530" s="26" t="n">
        <x:v>0</x:v>
      </x:c>
      <x:c r="X1530" s="26" t="n">
        <x:v>0</x:v>
      </x:c>
      <x:c r="Y1530" s="26" t="n">
        <x:v>0</x:v>
      </x:c>
      <x:c r="Z1530" s="35" t="str">
        <x:v>Franklin County Treasurer</x:v>
      </x:c>
    </x:row>
    <x:row r="1531">
      <x:c r="A1531" s="20" t="str">
        <x:v>FIN-01528</x:v>
      </x:c>
      <x:c r="B1531" s="23" t="n">
        <x:v>46658</x:v>
      </x:c>
      <x:c r="C1531" s="23" t="n">
        <x:v>46658</x:v>
      </x:c>
      <x:c r="D1531" s="20" t="str">
        <x:v>OperatingExpense</x:v>
      </x:c>
      <x:c r="E1531" s="20" t="str">
        <x:v>Property tax</x:v>
      </x:c>
      <x:c r="F1531" s="20" t="str">
        <x:v>P006</x:v>
      </x:c>
      <x:c r="G1531" s="20" t="str"/>
      <x:c r="H1531" s="20" t="str"/>
      <x:c r="I1531" s="20" t="str">
        <x:v>Franklin County Treasurer</x:v>
      </x:c>
      <x:c r="J1531" s="35" t="str">
        <x:v>Scanned receipt/invoice</x:v>
      </x:c>
      <x:c r="K1531" s="20" t="str">
        <x:v>SCN-0812</x:v>
      </x:c>
      <x:c r="L1531" s="20" t="str">
        <x:v>EXP-20270928-3306</x:v>
      </x:c>
      <x:c r="M1531" s="26" t="n">
        <x:v>609</x:v>
      </x:c>
      <x:c r="N1531" s="26" t="n">
        <x:v>0</x:v>
      </x:c>
      <x:c r="O1531" s="26" t="n">
        <x:v>-609</x:v>
      </x:c>
      <x:c r="P1531" s="26" t="n">
        <x:v>0</x:v>
      </x:c>
      <x:c r="Q1531" s="26" t="n">
        <x:v>0</x:v>
      </x:c>
      <x:c r="R1531" s="26" t="n">
        <x:v>0</x:v>
      </x:c>
      <x:c r="S1531" s="26" t="n">
        <x:v>0</x:v>
      </x:c>
      <x:c r="T1531" s="26" t="n">
        <x:v>0</x:v>
      </x:c>
      <x:c r="U1531" s="26" t="n">
        <x:v>609</x:v>
      </x:c>
      <x:c r="V1531" s="26" t="n">
        <x:v>0</x:v>
      </x:c>
      <x:c r="W1531" s="26" t="n">
        <x:v>0</x:v>
      </x:c>
      <x:c r="X1531" s="26" t="n">
        <x:v>0</x:v>
      </x:c>
      <x:c r="Y1531" s="26" t="n">
        <x:v>0</x:v>
      </x:c>
      <x:c r="Z1531" s="35" t="str">
        <x:v>Franklin County Treasurer</x:v>
      </x:c>
    </x:row>
    <x:row r="1532">
      <x:c r="A1532" s="20" t="str">
        <x:v>FIN-01529</x:v>
      </x:c>
      <x:c r="B1532" s="23" t="n">
        <x:v>46749</x:v>
      </x:c>
      <x:c r="C1532" s="23" t="n">
        <x:v>46749</x:v>
      </x:c>
      <x:c r="D1532" s="20" t="str">
        <x:v>OperatingExpense</x:v>
      </x:c>
      <x:c r="E1532" s="20" t="str">
        <x:v>Property tax</x:v>
      </x:c>
      <x:c r="F1532" s="20" t="str">
        <x:v>P006</x:v>
      </x:c>
      <x:c r="G1532" s="20" t="str"/>
      <x:c r="H1532" s="20" t="str"/>
      <x:c r="I1532" s="20" t="str">
        <x:v>Franklin County Treasurer</x:v>
      </x:c>
      <x:c r="J1532" s="35" t="str">
        <x:v>Scanned receipt/invoice</x:v>
      </x:c>
      <x:c r="K1532" s="20" t="str">
        <x:v>SCN-0813</x:v>
      </x:c>
      <x:c r="L1532" s="20" t="str">
        <x:v>EXP-20271228-3406</x:v>
      </x:c>
      <x:c r="M1532" s="26" t="n">
        <x:v>616</x:v>
      </x:c>
      <x:c r="N1532" s="26" t="n">
        <x:v>0</x:v>
      </x:c>
      <x:c r="O1532" s="26" t="n">
        <x:v>-616</x:v>
      </x:c>
      <x:c r="P1532" s="26" t="n">
        <x:v>0</x:v>
      </x:c>
      <x:c r="Q1532" s="26" t="n">
        <x:v>0</x:v>
      </x:c>
      <x:c r="R1532" s="26" t="n">
        <x:v>0</x:v>
      </x:c>
      <x:c r="S1532" s="26" t="n">
        <x:v>0</x:v>
      </x:c>
      <x:c r="T1532" s="26" t="n">
        <x:v>0</x:v>
      </x:c>
      <x:c r="U1532" s="26" t="n">
        <x:v>616</x:v>
      </x:c>
      <x:c r="V1532" s="26" t="n">
        <x:v>0</x:v>
      </x:c>
      <x:c r="W1532" s="26" t="n">
        <x:v>0</x:v>
      </x:c>
      <x:c r="X1532" s="26" t="n">
        <x:v>0</x:v>
      </x:c>
      <x:c r="Y1532" s="26" t="n">
        <x:v>0</x:v>
      </x:c>
      <x:c r="Z1532" s="35" t="str">
        <x:v>Franklin County Treasurer</x:v>
      </x:c>
    </x:row>
    <x:row r="1533">
      <x:c r="A1533" s="20" t="str">
        <x:v>FIN-01530</x:v>
      </x:c>
      <x:c r="B1533" s="23" t="n">
        <x:v>46586</x:v>
      </x:c>
      <x:c r="C1533" s="23" t="n">
        <x:v>46586</x:v>
      </x:c>
      <x:c r="D1533" s="20" t="str">
        <x:v>OperatingExpense</x:v>
      </x:c>
      <x:c r="E1533" s="20" t="str">
        <x:v>Insurance</x:v>
      </x:c>
      <x:c r="F1533" s="20" t="str">
        <x:v>P007</x:v>
      </x:c>
      <x:c r="G1533" s="20" t="str"/>
      <x:c r="H1533" s="20" t="str"/>
      <x:c r="I1533" s="20" t="str">
        <x:v>Buckeye Mutual Insurance</x:v>
      </x:c>
      <x:c r="J1533" s="35" t="str">
        <x:v>Scanned receipt/invoice</x:v>
      </x:c>
      <x:c r="K1533" s="20" t="str">
        <x:v>SCN-0814</x:v>
      </x:c>
      <x:c r="L1533" s="20" t="str">
        <x:v>EXP-20270718-2007</x:v>
      </x:c>
      <x:c r="M1533" s="26" t="n">
        <x:v>1099</x:v>
      </x:c>
      <x:c r="N1533" s="26" t="n">
        <x:v>0</x:v>
      </x:c>
      <x:c r="O1533" s="26" t="n">
        <x:v>-1099</x:v>
      </x:c>
      <x:c r="P1533" s="26" t="n">
        <x:v>0</x:v>
      </x:c>
      <x:c r="Q1533" s="26" t="n">
        <x:v>0</x:v>
      </x:c>
      <x:c r="R1533" s="26" t="n">
        <x:v>0</x:v>
      </x:c>
      <x:c r="S1533" s="26" t="n">
        <x:v>0</x:v>
      </x:c>
      <x:c r="T1533" s="26" t="n">
        <x:v>0</x:v>
      </x:c>
      <x:c r="U1533" s="26" t="n">
        <x:v>1099</x:v>
      </x:c>
      <x:c r="V1533" s="26" t="n">
        <x:v>0</x:v>
      </x:c>
      <x:c r="W1533" s="26" t="n">
        <x:v>0</x:v>
      </x:c>
      <x:c r="X1533" s="26" t="n">
        <x:v>0</x:v>
      </x:c>
      <x:c r="Y1533" s="26" t="n">
        <x:v>0</x:v>
      </x:c>
      <x:c r="Z1533" s="35" t="str">
        <x:v>Buckeye Mutual Insurance</x:v>
      </x:c>
    </x:row>
    <x:row r="1534">
      <x:c r="A1534" s="20" t="str">
        <x:v>FIN-01531</x:v>
      </x:c>
      <x:c r="B1534" s="23" t="n">
        <x:v>46474</x:v>
      </x:c>
      <x:c r="C1534" s="23" t="n">
        <x:v>46474</x:v>
      </x:c>
      <x:c r="D1534" s="20" t="str">
        <x:v>OperatingExpense</x:v>
      </x:c>
      <x:c r="E1534" s="20" t="str">
        <x:v>Property tax</x:v>
      </x:c>
      <x:c r="F1534" s="20" t="str">
        <x:v>P007</x:v>
      </x:c>
      <x:c r="G1534" s="20" t="str"/>
      <x:c r="H1534" s="20" t="str"/>
      <x:c r="I1534" s="20" t="str">
        <x:v>Franklin County Treasurer</x:v>
      </x:c>
      <x:c r="J1534" s="35" t="str">
        <x:v>Scanned receipt/invoice</x:v>
      </x:c>
      <x:c r="K1534" s="20" t="str">
        <x:v>SCN-0815</x:v>
      </x:c>
      <x:c r="L1534" s="20" t="str">
        <x:v>EXP-20270328-3107</x:v>
      </x:c>
      <x:c r="M1534" s="26" t="n">
        <x:v>608</x:v>
      </x:c>
      <x:c r="N1534" s="26" t="n">
        <x:v>0</x:v>
      </x:c>
      <x:c r="O1534" s="26" t="n">
        <x:v>-608</x:v>
      </x:c>
      <x:c r="P1534" s="26" t="n">
        <x:v>0</x:v>
      </x:c>
      <x:c r="Q1534" s="26" t="n">
        <x:v>0</x:v>
      </x:c>
      <x:c r="R1534" s="26" t="n">
        <x:v>0</x:v>
      </x:c>
      <x:c r="S1534" s="26" t="n">
        <x:v>0</x:v>
      </x:c>
      <x:c r="T1534" s="26" t="n">
        <x:v>0</x:v>
      </x:c>
      <x:c r="U1534" s="26" t="n">
        <x:v>608</x:v>
      </x:c>
      <x:c r="V1534" s="26" t="n">
        <x:v>0</x:v>
      </x:c>
      <x:c r="W1534" s="26" t="n">
        <x:v>0</x:v>
      </x:c>
      <x:c r="X1534" s="26" t="n">
        <x:v>0</x:v>
      </x:c>
      <x:c r="Y1534" s="26" t="n">
        <x:v>0</x:v>
      </x:c>
      <x:c r="Z1534" s="35" t="str">
        <x:v>Franklin County Treasurer</x:v>
      </x:c>
    </x:row>
    <x:row r="1535">
      <x:c r="A1535" s="20" t="str">
        <x:v>FIN-01532</x:v>
      </x:c>
      <x:c r="B1535" s="23" t="n">
        <x:v>46566</x:v>
      </x:c>
      <x:c r="C1535" s="23" t="n">
        <x:v>46566</x:v>
      </x:c>
      <x:c r="D1535" s="20" t="str">
        <x:v>OperatingExpense</x:v>
      </x:c>
      <x:c r="E1535" s="20" t="str">
        <x:v>Property tax</x:v>
      </x:c>
      <x:c r="F1535" s="20" t="str">
        <x:v>P007</x:v>
      </x:c>
      <x:c r="G1535" s="20" t="str"/>
      <x:c r="H1535" s="20" t="str"/>
      <x:c r="I1535" s="20" t="str">
        <x:v>Franklin County Treasurer</x:v>
      </x:c>
      <x:c r="J1535" s="35" t="str">
        <x:v>Scanned receipt/invoice</x:v>
      </x:c>
      <x:c r="K1535" s="20" t="str">
        <x:v>SCN-0816</x:v>
      </x:c>
      <x:c r="L1535" s="20" t="str">
        <x:v>EXP-20270628-3207</x:v>
      </x:c>
      <x:c r="M1535" s="26" t="n">
        <x:v>615</x:v>
      </x:c>
      <x:c r="N1535" s="26" t="n">
        <x:v>0</x:v>
      </x:c>
      <x:c r="O1535" s="26" t="n">
        <x:v>-615</x:v>
      </x:c>
      <x:c r="P1535" s="26" t="n">
        <x:v>0</x:v>
      </x:c>
      <x:c r="Q1535" s="26" t="n">
        <x:v>0</x:v>
      </x:c>
      <x:c r="R1535" s="26" t="n">
        <x:v>0</x:v>
      </x:c>
      <x:c r="S1535" s="26" t="n">
        <x:v>0</x:v>
      </x:c>
      <x:c r="T1535" s="26" t="n">
        <x:v>0</x:v>
      </x:c>
      <x:c r="U1535" s="26" t="n">
        <x:v>615</x:v>
      </x:c>
      <x:c r="V1535" s="26" t="n">
        <x:v>0</x:v>
      </x:c>
      <x:c r="W1535" s="26" t="n">
        <x:v>0</x:v>
      </x:c>
      <x:c r="X1535" s="26" t="n">
        <x:v>0</x:v>
      </x:c>
      <x:c r="Y1535" s="26" t="n">
        <x:v>0</x:v>
      </x:c>
      <x:c r="Z1535" s="35" t="str">
        <x:v>Franklin County Treasurer</x:v>
      </x:c>
    </x:row>
    <x:row r="1536">
      <x:c r="A1536" s="20" t="str">
        <x:v>FIN-01533</x:v>
      </x:c>
      <x:c r="B1536" s="23" t="n">
        <x:v>46658</x:v>
      </x:c>
      <x:c r="C1536" s="23" t="n">
        <x:v>46658</x:v>
      </x:c>
      <x:c r="D1536" s="20" t="str">
        <x:v>OperatingExpense</x:v>
      </x:c>
      <x:c r="E1536" s="20" t="str">
        <x:v>Property tax</x:v>
      </x:c>
      <x:c r="F1536" s="20" t="str">
        <x:v>P007</x:v>
      </x:c>
      <x:c r="G1536" s="20" t="str"/>
      <x:c r="H1536" s="20" t="str"/>
      <x:c r="I1536" s="20" t="str">
        <x:v>Franklin County Treasurer</x:v>
      </x:c>
      <x:c r="J1536" s="35" t="str">
        <x:v>Scanned receipt/invoice</x:v>
      </x:c>
      <x:c r="K1536" s="20" t="str">
        <x:v>SCN-0817</x:v>
      </x:c>
      <x:c r="L1536" s="20" t="str">
        <x:v>EXP-20270928-3307</x:v>
      </x:c>
      <x:c r="M1536" s="26" t="n">
        <x:v>622</x:v>
      </x:c>
      <x:c r="N1536" s="26" t="n">
        <x:v>0</x:v>
      </x:c>
      <x:c r="O1536" s="26" t="n">
        <x:v>-622</x:v>
      </x:c>
      <x:c r="P1536" s="26" t="n">
        <x:v>0</x:v>
      </x:c>
      <x:c r="Q1536" s="26" t="n">
        <x:v>0</x:v>
      </x:c>
      <x:c r="R1536" s="26" t="n">
        <x:v>0</x:v>
      </x:c>
      <x:c r="S1536" s="26" t="n">
        <x:v>0</x:v>
      </x:c>
      <x:c r="T1536" s="26" t="n">
        <x:v>0</x:v>
      </x:c>
      <x:c r="U1536" s="26" t="n">
        <x:v>622</x:v>
      </x:c>
      <x:c r="V1536" s="26" t="n">
        <x:v>0</x:v>
      </x:c>
      <x:c r="W1536" s="26" t="n">
        <x:v>0</x:v>
      </x:c>
      <x:c r="X1536" s="26" t="n">
        <x:v>0</x:v>
      </x:c>
      <x:c r="Y1536" s="26" t="n">
        <x:v>0</x:v>
      </x:c>
      <x:c r="Z1536" s="35" t="str">
        <x:v>Franklin County Treasurer</x:v>
      </x:c>
    </x:row>
    <x:row r="1537">
      <x:c r="A1537" s="20" t="str">
        <x:v>FIN-01534</x:v>
      </x:c>
      <x:c r="B1537" s="23" t="n">
        <x:v>46749</x:v>
      </x:c>
      <x:c r="C1537" s="23" t="n">
        <x:v>46749</x:v>
      </x:c>
      <x:c r="D1537" s="20" t="str">
        <x:v>OperatingExpense</x:v>
      </x:c>
      <x:c r="E1537" s="20" t="str">
        <x:v>Property tax</x:v>
      </x:c>
      <x:c r="F1537" s="20" t="str">
        <x:v>P007</x:v>
      </x:c>
      <x:c r="G1537" s="20" t="str"/>
      <x:c r="H1537" s="20" t="str"/>
      <x:c r="I1537" s="20" t="str">
        <x:v>Franklin County Treasurer</x:v>
      </x:c>
      <x:c r="J1537" s="35" t="str">
        <x:v>Scanned receipt/invoice</x:v>
      </x:c>
      <x:c r="K1537" s="20" t="str">
        <x:v>SCN-0818</x:v>
      </x:c>
      <x:c r="L1537" s="20" t="str">
        <x:v>EXP-20271228-3407</x:v>
      </x:c>
      <x:c r="M1537" s="26" t="n">
        <x:v>629</x:v>
      </x:c>
      <x:c r="N1537" s="26" t="n">
        <x:v>0</x:v>
      </x:c>
      <x:c r="O1537" s="26" t="n">
        <x:v>-629</x:v>
      </x:c>
      <x:c r="P1537" s="26" t="n">
        <x:v>0</x:v>
      </x:c>
      <x:c r="Q1537" s="26" t="n">
        <x:v>0</x:v>
      </x:c>
      <x:c r="R1537" s="26" t="n">
        <x:v>0</x:v>
      </x:c>
      <x:c r="S1537" s="26" t="n">
        <x:v>0</x:v>
      </x:c>
      <x:c r="T1537" s="26" t="n">
        <x:v>0</x:v>
      </x:c>
      <x:c r="U1537" s="26" t="n">
        <x:v>629</x:v>
      </x:c>
      <x:c r="V1537" s="26" t="n">
        <x:v>0</x:v>
      </x:c>
      <x:c r="W1537" s="26" t="n">
        <x:v>0</x:v>
      </x:c>
      <x:c r="X1537" s="26" t="n">
        <x:v>0</x:v>
      </x:c>
      <x:c r="Y1537" s="26" t="n">
        <x:v>0</x:v>
      </x:c>
      <x:c r="Z1537" s="35" t="str">
        <x:v>Franklin County Treasurer</x:v>
      </x:c>
    </x:row>
    <x:row r="1538">
      <x:c r="A1538" s="20" t="str">
        <x:v>FIN-01535</x:v>
      </x:c>
      <x:c r="B1538" s="23" t="n">
        <x:v>46617</x:v>
      </x:c>
      <x:c r="C1538" s="23" t="n">
        <x:v>46617</x:v>
      </x:c>
      <x:c r="D1538" s="20" t="str">
        <x:v>OperatingExpense</x:v>
      </x:c>
      <x:c r="E1538" s="20" t="str">
        <x:v>Insurance</x:v>
      </x:c>
      <x:c r="F1538" s="20" t="str">
        <x:v>P008</x:v>
      </x:c>
      <x:c r="G1538" s="20" t="str"/>
      <x:c r="H1538" s="20" t="str"/>
      <x:c r="I1538" s="20" t="str">
        <x:v>Buckeye Mutual Insurance</x:v>
      </x:c>
      <x:c r="J1538" s="35" t="str">
        <x:v>Scanned receipt/invoice</x:v>
      </x:c>
      <x:c r="K1538" s="20" t="str">
        <x:v>SCN-0819</x:v>
      </x:c>
      <x:c r="L1538" s="20" t="str">
        <x:v>EXP-20270818-2008</x:v>
      </x:c>
      <x:c r="M1538" s="26" t="n">
        <x:v>1116</x:v>
      </x:c>
      <x:c r="N1538" s="26" t="n">
        <x:v>0</x:v>
      </x:c>
      <x:c r="O1538" s="26" t="n">
        <x:v>-1116</x:v>
      </x:c>
      <x:c r="P1538" s="26" t="n">
        <x:v>0</x:v>
      </x:c>
      <x:c r="Q1538" s="26" t="n">
        <x:v>0</x:v>
      </x:c>
      <x:c r="R1538" s="26" t="n">
        <x:v>0</x:v>
      </x:c>
      <x:c r="S1538" s="26" t="n">
        <x:v>0</x:v>
      </x:c>
      <x:c r="T1538" s="26" t="n">
        <x:v>0</x:v>
      </x:c>
      <x:c r="U1538" s="26" t="n">
        <x:v>1116</x:v>
      </x:c>
      <x:c r="V1538" s="26" t="n">
        <x:v>0</x:v>
      </x:c>
      <x:c r="W1538" s="26" t="n">
        <x:v>0</x:v>
      </x:c>
      <x:c r="X1538" s="26" t="n">
        <x:v>0</x:v>
      </x:c>
      <x:c r="Y1538" s="26" t="n">
        <x:v>0</x:v>
      </x:c>
      <x:c r="Z1538" s="35" t="str">
        <x:v>Buckeye Mutual Insurance</x:v>
      </x:c>
    </x:row>
    <x:row r="1539">
      <x:c r="A1539" s="20" t="str">
        <x:v>FIN-01536</x:v>
      </x:c>
      <x:c r="B1539" s="23" t="n">
        <x:v>46474</x:v>
      </x:c>
      <x:c r="C1539" s="23" t="n">
        <x:v>46474</x:v>
      </x:c>
      <x:c r="D1539" s="20" t="str">
        <x:v>OperatingExpense</x:v>
      </x:c>
      <x:c r="E1539" s="20" t="str">
        <x:v>Property tax</x:v>
      </x:c>
      <x:c r="F1539" s="20" t="str">
        <x:v>P008</x:v>
      </x:c>
      <x:c r="G1539" s="20" t="str"/>
      <x:c r="H1539" s="20" t="str"/>
      <x:c r="I1539" s="20" t="str">
        <x:v>Franklin County Treasurer</x:v>
      </x:c>
      <x:c r="J1539" s="35" t="str">
        <x:v>Scanned receipt/invoice</x:v>
      </x:c>
      <x:c r="K1539" s="20" t="str">
        <x:v>SCN-0820</x:v>
      </x:c>
      <x:c r="L1539" s="20" t="str">
        <x:v>EXP-20270328-3108</x:v>
      </x:c>
      <x:c r="M1539" s="26" t="n">
        <x:v>621</x:v>
      </x:c>
      <x:c r="N1539" s="26" t="n">
        <x:v>0</x:v>
      </x:c>
      <x:c r="O1539" s="26" t="n">
        <x:v>-621</x:v>
      </x:c>
      <x:c r="P1539" s="26" t="n">
        <x:v>0</x:v>
      </x:c>
      <x:c r="Q1539" s="26" t="n">
        <x:v>0</x:v>
      </x:c>
      <x:c r="R1539" s="26" t="n">
        <x:v>0</x:v>
      </x:c>
      <x:c r="S1539" s="26" t="n">
        <x:v>0</x:v>
      </x:c>
      <x:c r="T1539" s="26" t="n">
        <x:v>0</x:v>
      </x:c>
      <x:c r="U1539" s="26" t="n">
        <x:v>621</x:v>
      </x:c>
      <x:c r="V1539" s="26" t="n">
        <x:v>0</x:v>
      </x:c>
      <x:c r="W1539" s="26" t="n">
        <x:v>0</x:v>
      </x:c>
      <x:c r="X1539" s="26" t="n">
        <x:v>0</x:v>
      </x:c>
      <x:c r="Y1539" s="26" t="n">
        <x:v>0</x:v>
      </x:c>
      <x:c r="Z1539" s="35" t="str">
        <x:v>Franklin County Treasurer</x:v>
      </x:c>
    </x:row>
    <x:row r="1540">
      <x:c r="A1540" s="20" t="str">
        <x:v>FIN-01537</x:v>
      </x:c>
      <x:c r="B1540" s="23" t="n">
        <x:v>46566</x:v>
      </x:c>
      <x:c r="C1540" s="23" t="n">
        <x:v>46566</x:v>
      </x:c>
      <x:c r="D1540" s="20" t="str">
        <x:v>OperatingExpense</x:v>
      </x:c>
      <x:c r="E1540" s="20" t="str">
        <x:v>Property tax</x:v>
      </x:c>
      <x:c r="F1540" s="20" t="str">
        <x:v>P008</x:v>
      </x:c>
      <x:c r="G1540" s="20" t="str"/>
      <x:c r="H1540" s="20" t="str"/>
      <x:c r="I1540" s="20" t="str">
        <x:v>Franklin County Treasurer</x:v>
      </x:c>
      <x:c r="J1540" s="35" t="str">
        <x:v>Scanned receipt/invoice</x:v>
      </x:c>
      <x:c r="K1540" s="20" t="str">
        <x:v>SCN-0821</x:v>
      </x:c>
      <x:c r="L1540" s="20" t="str">
        <x:v>EXP-20270628-3208</x:v>
      </x:c>
      <x:c r="M1540" s="26" t="n">
        <x:v>628</x:v>
      </x:c>
      <x:c r="N1540" s="26" t="n">
        <x:v>0</x:v>
      </x:c>
      <x:c r="O1540" s="26" t="n">
        <x:v>-628</x:v>
      </x:c>
      <x:c r="P1540" s="26" t="n">
        <x:v>0</x:v>
      </x:c>
      <x:c r="Q1540" s="26" t="n">
        <x:v>0</x:v>
      </x:c>
      <x:c r="R1540" s="26" t="n">
        <x:v>0</x:v>
      </x:c>
      <x:c r="S1540" s="26" t="n">
        <x:v>0</x:v>
      </x:c>
      <x:c r="T1540" s="26" t="n">
        <x:v>0</x:v>
      </x:c>
      <x:c r="U1540" s="26" t="n">
        <x:v>628</x:v>
      </x:c>
      <x:c r="V1540" s="26" t="n">
        <x:v>0</x:v>
      </x:c>
      <x:c r="W1540" s="26" t="n">
        <x:v>0</x:v>
      </x:c>
      <x:c r="X1540" s="26" t="n">
        <x:v>0</x:v>
      </x:c>
      <x:c r="Y1540" s="26" t="n">
        <x:v>0</x:v>
      </x:c>
      <x:c r="Z1540" s="35" t="str">
        <x:v>Franklin County Treasurer</x:v>
      </x:c>
    </x:row>
    <x:row r="1541">
      <x:c r="A1541" s="20" t="str">
        <x:v>FIN-01538</x:v>
      </x:c>
      <x:c r="B1541" s="23" t="n">
        <x:v>46658</x:v>
      </x:c>
      <x:c r="C1541" s="23" t="n">
        <x:v>46658</x:v>
      </x:c>
      <x:c r="D1541" s="20" t="str">
        <x:v>OperatingExpense</x:v>
      </x:c>
      <x:c r="E1541" s="20" t="str">
        <x:v>Property tax</x:v>
      </x:c>
      <x:c r="F1541" s="20" t="str">
        <x:v>P008</x:v>
      </x:c>
      <x:c r="G1541" s="20" t="str"/>
      <x:c r="H1541" s="20" t="str"/>
      <x:c r="I1541" s="20" t="str">
        <x:v>Franklin County Treasurer</x:v>
      </x:c>
      <x:c r="J1541" s="35" t="str">
        <x:v>Scanned receipt/invoice</x:v>
      </x:c>
      <x:c r="K1541" s="20" t="str">
        <x:v>SCN-0822</x:v>
      </x:c>
      <x:c r="L1541" s="20" t="str">
        <x:v>EXP-20270928-3308</x:v>
      </x:c>
      <x:c r="M1541" s="26" t="n">
        <x:v>635</x:v>
      </x:c>
      <x:c r="N1541" s="26" t="n">
        <x:v>0</x:v>
      </x:c>
      <x:c r="O1541" s="26" t="n">
        <x:v>-635</x:v>
      </x:c>
      <x:c r="P1541" s="26" t="n">
        <x:v>0</x:v>
      </x:c>
      <x:c r="Q1541" s="26" t="n">
        <x:v>0</x:v>
      </x:c>
      <x:c r="R1541" s="26" t="n">
        <x:v>0</x:v>
      </x:c>
      <x:c r="S1541" s="26" t="n">
        <x:v>0</x:v>
      </x:c>
      <x:c r="T1541" s="26" t="n">
        <x:v>0</x:v>
      </x:c>
      <x:c r="U1541" s="26" t="n">
        <x:v>635</x:v>
      </x:c>
      <x:c r="V1541" s="26" t="n">
        <x:v>0</x:v>
      </x:c>
      <x:c r="W1541" s="26" t="n">
        <x:v>0</x:v>
      </x:c>
      <x:c r="X1541" s="26" t="n">
        <x:v>0</x:v>
      </x:c>
      <x:c r="Y1541" s="26" t="n">
        <x:v>0</x:v>
      </x:c>
      <x:c r="Z1541" s="35" t="str">
        <x:v>Franklin County Treasurer</x:v>
      </x:c>
    </x:row>
    <x:row r="1542">
      <x:c r="A1542" s="20" t="str">
        <x:v>FIN-01539</x:v>
      </x:c>
      <x:c r="B1542" s="23" t="n">
        <x:v>46749</x:v>
      </x:c>
      <x:c r="C1542" s="23" t="n">
        <x:v>46749</x:v>
      </x:c>
      <x:c r="D1542" s="20" t="str">
        <x:v>OperatingExpense</x:v>
      </x:c>
      <x:c r="E1542" s="20" t="str">
        <x:v>Property tax</x:v>
      </x:c>
      <x:c r="F1542" s="20" t="str">
        <x:v>P008</x:v>
      </x:c>
      <x:c r="G1542" s="20" t="str"/>
      <x:c r="H1542" s="20" t="str"/>
      <x:c r="I1542" s="20" t="str">
        <x:v>Franklin County Treasurer</x:v>
      </x:c>
      <x:c r="J1542" s="35" t="str">
        <x:v>Scanned receipt/invoice</x:v>
      </x:c>
      <x:c r="K1542" s="20" t="str">
        <x:v>SCN-0823</x:v>
      </x:c>
      <x:c r="L1542" s="20" t="str">
        <x:v>EXP-20271228-3408</x:v>
      </x:c>
      <x:c r="M1542" s="26" t="n">
        <x:v>642</x:v>
      </x:c>
      <x:c r="N1542" s="26" t="n">
        <x:v>0</x:v>
      </x:c>
      <x:c r="O1542" s="26" t="n">
        <x:v>-642</x:v>
      </x:c>
      <x:c r="P1542" s="26" t="n">
        <x:v>0</x:v>
      </x:c>
      <x:c r="Q1542" s="26" t="n">
        <x:v>0</x:v>
      </x:c>
      <x:c r="R1542" s="26" t="n">
        <x:v>0</x:v>
      </x:c>
      <x:c r="S1542" s="26" t="n">
        <x:v>0</x:v>
      </x:c>
      <x:c r="T1542" s="26" t="n">
        <x:v>0</x:v>
      </x:c>
      <x:c r="U1542" s="26" t="n">
        <x:v>642</x:v>
      </x:c>
      <x:c r="V1542" s="26" t="n">
        <x:v>0</x:v>
      </x:c>
      <x:c r="W1542" s="26" t="n">
        <x:v>0</x:v>
      </x:c>
      <x:c r="X1542" s="26" t="n">
        <x:v>0</x:v>
      </x:c>
      <x:c r="Y1542" s="26" t="n">
        <x:v>0</x:v>
      </x:c>
      <x:c r="Z1542" s="35" t="str">
        <x:v>Franklin County Treasurer</x:v>
      </x:c>
    </x:row>
    <x:row r="1543">
      <x:c r="A1543" s="20" t="str">
        <x:v>FIN-01540</x:v>
      </x:c>
      <x:c r="B1543" s="23" t="n">
        <x:v>46648</x:v>
      </x:c>
      <x:c r="C1543" s="23" t="n">
        <x:v>46648</x:v>
      </x:c>
      <x:c r="D1543" s="20" t="str">
        <x:v>OperatingExpense</x:v>
      </x:c>
      <x:c r="E1543" s="20" t="str">
        <x:v>Insurance</x:v>
      </x:c>
      <x:c r="F1543" s="20" t="str">
        <x:v>P009</x:v>
      </x:c>
      <x:c r="G1543" s="20" t="str"/>
      <x:c r="H1543" s="20" t="str"/>
      <x:c r="I1543" s="20" t="str">
        <x:v>Buckeye Mutual Insurance</x:v>
      </x:c>
      <x:c r="J1543" s="35" t="str">
        <x:v>Scanned receipt/invoice</x:v>
      </x:c>
      <x:c r="K1543" s="20" t="str">
        <x:v>SCN-0824</x:v>
      </x:c>
      <x:c r="L1543" s="20" t="str">
        <x:v>EXP-20270918-2009</x:v>
      </x:c>
      <x:c r="M1543" s="26" t="n">
        <x:v>1133</x:v>
      </x:c>
      <x:c r="N1543" s="26" t="n">
        <x:v>0</x:v>
      </x:c>
      <x:c r="O1543" s="26" t="n">
        <x:v>-1133</x:v>
      </x:c>
      <x:c r="P1543" s="26" t="n">
        <x:v>0</x:v>
      </x:c>
      <x:c r="Q1543" s="26" t="n">
        <x:v>0</x:v>
      </x:c>
      <x:c r="R1543" s="26" t="n">
        <x:v>0</x:v>
      </x:c>
      <x:c r="S1543" s="26" t="n">
        <x:v>0</x:v>
      </x:c>
      <x:c r="T1543" s="26" t="n">
        <x:v>0</x:v>
      </x:c>
      <x:c r="U1543" s="26" t="n">
        <x:v>1133</x:v>
      </x:c>
      <x:c r="V1543" s="26" t="n">
        <x:v>0</x:v>
      </x:c>
      <x:c r="W1543" s="26" t="n">
        <x:v>0</x:v>
      </x:c>
      <x:c r="X1543" s="26" t="n">
        <x:v>0</x:v>
      </x:c>
      <x:c r="Y1543" s="26" t="n">
        <x:v>0</x:v>
      </x:c>
      <x:c r="Z1543" s="35" t="str">
        <x:v>Buckeye Mutual Insurance</x:v>
      </x:c>
    </x:row>
    <x:row r="1544">
      <x:c r="A1544" s="20" t="str">
        <x:v>FIN-01541</x:v>
      </x:c>
      <x:c r="B1544" s="23" t="n">
        <x:v>46474</x:v>
      </x:c>
      <x:c r="C1544" s="23" t="n">
        <x:v>46474</x:v>
      </x:c>
      <x:c r="D1544" s="20" t="str">
        <x:v>OperatingExpense</x:v>
      </x:c>
      <x:c r="E1544" s="20" t="str">
        <x:v>Property tax</x:v>
      </x:c>
      <x:c r="F1544" s="20" t="str">
        <x:v>P009</x:v>
      </x:c>
      <x:c r="G1544" s="20" t="str"/>
      <x:c r="H1544" s="20" t="str"/>
      <x:c r="I1544" s="20" t="str">
        <x:v>Franklin County Treasurer</x:v>
      </x:c>
      <x:c r="J1544" s="35" t="str">
        <x:v>Scanned receipt/invoice</x:v>
      </x:c>
      <x:c r="K1544" s="20" t="str">
        <x:v>SCN-0825</x:v>
      </x:c>
      <x:c r="L1544" s="20" t="str">
        <x:v>EXP-20270328-3109</x:v>
      </x:c>
      <x:c r="M1544" s="26" t="n">
        <x:v>634</x:v>
      </x:c>
      <x:c r="N1544" s="26" t="n">
        <x:v>0</x:v>
      </x:c>
      <x:c r="O1544" s="26" t="n">
        <x:v>-634</x:v>
      </x:c>
      <x:c r="P1544" s="26" t="n">
        <x:v>0</x:v>
      </x:c>
      <x:c r="Q1544" s="26" t="n">
        <x:v>0</x:v>
      </x:c>
      <x:c r="R1544" s="26" t="n">
        <x:v>0</x:v>
      </x:c>
      <x:c r="S1544" s="26" t="n">
        <x:v>0</x:v>
      </x:c>
      <x:c r="T1544" s="26" t="n">
        <x:v>0</x:v>
      </x:c>
      <x:c r="U1544" s="26" t="n">
        <x:v>634</x:v>
      </x:c>
      <x:c r="V1544" s="26" t="n">
        <x:v>0</x:v>
      </x:c>
      <x:c r="W1544" s="26" t="n">
        <x:v>0</x:v>
      </x:c>
      <x:c r="X1544" s="26" t="n">
        <x:v>0</x:v>
      </x:c>
      <x:c r="Y1544" s="26" t="n">
        <x:v>0</x:v>
      </x:c>
      <x:c r="Z1544" s="35" t="str">
        <x:v>Franklin County Treasurer</x:v>
      </x:c>
    </x:row>
    <x:row r="1545">
      <x:c r="A1545" s="20" t="str">
        <x:v>FIN-01542</x:v>
      </x:c>
      <x:c r="B1545" s="23" t="n">
        <x:v>46566</x:v>
      </x:c>
      <x:c r="C1545" s="23" t="n">
        <x:v>46566</x:v>
      </x:c>
      <x:c r="D1545" s="20" t="str">
        <x:v>OperatingExpense</x:v>
      </x:c>
      <x:c r="E1545" s="20" t="str">
        <x:v>Property tax</x:v>
      </x:c>
      <x:c r="F1545" s="20" t="str">
        <x:v>P009</x:v>
      </x:c>
      <x:c r="G1545" s="20" t="str"/>
      <x:c r="H1545" s="20" t="str"/>
      <x:c r="I1545" s="20" t="str">
        <x:v>Franklin County Treasurer</x:v>
      </x:c>
      <x:c r="J1545" s="35" t="str">
        <x:v>Scanned receipt/invoice</x:v>
      </x:c>
      <x:c r="K1545" s="20" t="str">
        <x:v>SCN-0826</x:v>
      </x:c>
      <x:c r="L1545" s="20" t="str">
        <x:v>EXP-20270628-3209</x:v>
      </x:c>
      <x:c r="M1545" s="26" t="n">
        <x:v>641</x:v>
      </x:c>
      <x:c r="N1545" s="26" t="n">
        <x:v>0</x:v>
      </x:c>
      <x:c r="O1545" s="26" t="n">
        <x:v>-641</x:v>
      </x:c>
      <x:c r="P1545" s="26" t="n">
        <x:v>0</x:v>
      </x:c>
      <x:c r="Q1545" s="26" t="n">
        <x:v>0</x:v>
      </x:c>
      <x:c r="R1545" s="26" t="n">
        <x:v>0</x:v>
      </x:c>
      <x:c r="S1545" s="26" t="n">
        <x:v>0</x:v>
      </x:c>
      <x:c r="T1545" s="26" t="n">
        <x:v>0</x:v>
      </x:c>
      <x:c r="U1545" s="26" t="n">
        <x:v>641</x:v>
      </x:c>
      <x:c r="V1545" s="26" t="n">
        <x:v>0</x:v>
      </x:c>
      <x:c r="W1545" s="26" t="n">
        <x:v>0</x:v>
      </x:c>
      <x:c r="X1545" s="26" t="n">
        <x:v>0</x:v>
      </x:c>
      <x:c r="Y1545" s="26" t="n">
        <x:v>0</x:v>
      </x:c>
      <x:c r="Z1545" s="35" t="str">
        <x:v>Franklin County Treasurer</x:v>
      </x:c>
    </x:row>
    <x:row r="1546">
      <x:c r="A1546" s="20" t="str">
        <x:v>FIN-01543</x:v>
      </x:c>
      <x:c r="B1546" s="23" t="n">
        <x:v>46658</x:v>
      </x:c>
      <x:c r="C1546" s="23" t="n">
        <x:v>46658</x:v>
      </x:c>
      <x:c r="D1546" s="20" t="str">
        <x:v>OperatingExpense</x:v>
      </x:c>
      <x:c r="E1546" s="20" t="str">
        <x:v>Property tax</x:v>
      </x:c>
      <x:c r="F1546" s="20" t="str">
        <x:v>P009</x:v>
      </x:c>
      <x:c r="G1546" s="20" t="str"/>
      <x:c r="H1546" s="20" t="str"/>
      <x:c r="I1546" s="20" t="str">
        <x:v>Franklin County Treasurer</x:v>
      </x:c>
      <x:c r="J1546" s="35" t="str">
        <x:v>Scanned receipt/invoice</x:v>
      </x:c>
      <x:c r="K1546" s="20" t="str">
        <x:v>SCN-0827</x:v>
      </x:c>
      <x:c r="L1546" s="20" t="str">
        <x:v>EXP-20270928-3309</x:v>
      </x:c>
      <x:c r="M1546" s="26" t="n">
        <x:v>648</x:v>
      </x:c>
      <x:c r="N1546" s="26" t="n">
        <x:v>0</x:v>
      </x:c>
      <x:c r="O1546" s="26" t="n">
        <x:v>-648</x:v>
      </x:c>
      <x:c r="P1546" s="26" t="n">
        <x:v>0</x:v>
      </x:c>
      <x:c r="Q1546" s="26" t="n">
        <x:v>0</x:v>
      </x:c>
      <x:c r="R1546" s="26" t="n">
        <x:v>0</x:v>
      </x:c>
      <x:c r="S1546" s="26" t="n">
        <x:v>0</x:v>
      </x:c>
      <x:c r="T1546" s="26" t="n">
        <x:v>0</x:v>
      </x:c>
      <x:c r="U1546" s="26" t="n">
        <x:v>648</x:v>
      </x:c>
      <x:c r="V1546" s="26" t="n">
        <x:v>0</x:v>
      </x:c>
      <x:c r="W1546" s="26" t="n">
        <x:v>0</x:v>
      </x:c>
      <x:c r="X1546" s="26" t="n">
        <x:v>0</x:v>
      </x:c>
      <x:c r="Y1546" s="26" t="n">
        <x:v>0</x:v>
      </x:c>
      <x:c r="Z1546" s="35" t="str">
        <x:v>Franklin County Treasurer</x:v>
      </x:c>
    </x:row>
    <x:row r="1547">
      <x:c r="A1547" s="20" t="str">
        <x:v>FIN-01544</x:v>
      </x:c>
      <x:c r="B1547" s="23" t="n">
        <x:v>46749</x:v>
      </x:c>
      <x:c r="C1547" s="23" t="n">
        <x:v>46749</x:v>
      </x:c>
      <x:c r="D1547" s="20" t="str">
        <x:v>OperatingExpense</x:v>
      </x:c>
      <x:c r="E1547" s="20" t="str">
        <x:v>Property tax</x:v>
      </x:c>
      <x:c r="F1547" s="20" t="str">
        <x:v>P009</x:v>
      </x:c>
      <x:c r="G1547" s="20" t="str"/>
      <x:c r="H1547" s="20" t="str"/>
      <x:c r="I1547" s="20" t="str">
        <x:v>Franklin County Treasurer</x:v>
      </x:c>
      <x:c r="J1547" s="35" t="str">
        <x:v>Scanned receipt/invoice</x:v>
      </x:c>
      <x:c r="K1547" s="20" t="str">
        <x:v>SCN-0828</x:v>
      </x:c>
      <x:c r="L1547" s="20" t="str">
        <x:v>EXP-20271228-3409</x:v>
      </x:c>
      <x:c r="M1547" s="26" t="n">
        <x:v>655</x:v>
      </x:c>
      <x:c r="N1547" s="26" t="n">
        <x:v>0</x:v>
      </x:c>
      <x:c r="O1547" s="26" t="n">
        <x:v>-655</x:v>
      </x:c>
      <x:c r="P1547" s="26" t="n">
        <x:v>0</x:v>
      </x:c>
      <x:c r="Q1547" s="26" t="n">
        <x:v>0</x:v>
      </x:c>
      <x:c r="R1547" s="26" t="n">
        <x:v>0</x:v>
      </x:c>
      <x:c r="S1547" s="26" t="n">
        <x:v>0</x:v>
      </x:c>
      <x:c r="T1547" s="26" t="n">
        <x:v>0</x:v>
      </x:c>
      <x:c r="U1547" s="26" t="n">
        <x:v>655</x:v>
      </x:c>
      <x:c r="V1547" s="26" t="n">
        <x:v>0</x:v>
      </x:c>
      <x:c r="W1547" s="26" t="n">
        <x:v>0</x:v>
      </x:c>
      <x:c r="X1547" s="26" t="n">
        <x:v>0</x:v>
      </x:c>
      <x:c r="Y1547" s="26" t="n">
        <x:v>0</x:v>
      </x:c>
      <x:c r="Z1547" s="35" t="str">
        <x:v>Franklin County Treasurer</x:v>
      </x:c>
    </x:row>
    <x:row r="1548">
      <x:c r="A1548" s="20" t="str">
        <x:v>FIN-01545</x:v>
      </x:c>
      <x:c r="B1548" s="23" t="n">
        <x:v>46678</x:v>
      </x:c>
      <x:c r="C1548" s="23" t="n">
        <x:v>46678</x:v>
      </x:c>
      <x:c r="D1548" s="20" t="str">
        <x:v>OperatingExpense</x:v>
      </x:c>
      <x:c r="E1548" s="20" t="str">
        <x:v>Insurance</x:v>
      </x:c>
      <x:c r="F1548" s="20" t="str">
        <x:v>P010</x:v>
      </x:c>
      <x:c r="G1548" s="20" t="str"/>
      <x:c r="H1548" s="20" t="str"/>
      <x:c r="I1548" s="20" t="str">
        <x:v>Buckeye Mutual Insurance</x:v>
      </x:c>
      <x:c r="J1548" s="35" t="str">
        <x:v>Manual mobile form</x:v>
      </x:c>
      <x:c r="K1548" s="20" t="str"/>
      <x:c r="L1548" s="20" t="str">
        <x:v>EXP-20271018-2010</x:v>
      </x:c>
      <x:c r="M1548" s="26" t="n">
        <x:v>1150</x:v>
      </x:c>
      <x:c r="N1548" s="26" t="n">
        <x:v>0</x:v>
      </x:c>
      <x:c r="O1548" s="26" t="n">
        <x:v>-1150</x:v>
      </x:c>
      <x:c r="P1548" s="26" t="n">
        <x:v>0</x:v>
      </x:c>
      <x:c r="Q1548" s="26" t="n">
        <x:v>0</x:v>
      </x:c>
      <x:c r="R1548" s="26" t="n">
        <x:v>0</x:v>
      </x:c>
      <x:c r="S1548" s="26" t="n">
        <x:v>0</x:v>
      </x:c>
      <x:c r="T1548" s="26" t="n">
        <x:v>0</x:v>
      </x:c>
      <x:c r="U1548" s="26" t="n">
        <x:v>1150</x:v>
      </x:c>
      <x:c r="V1548" s="26" t="n">
        <x:v>0</x:v>
      </x:c>
      <x:c r="W1548" s="26" t="n">
        <x:v>0</x:v>
      </x:c>
      <x:c r="X1548" s="26" t="n">
        <x:v>0</x:v>
      </x:c>
      <x:c r="Y1548" s="26" t="n">
        <x:v>0</x:v>
      </x:c>
      <x:c r="Z1548" s="35" t="str">
        <x:v>Buckeye Mutual Insurance</x:v>
      </x:c>
    </x:row>
    <x:row r="1549">
      <x:c r="A1549" s="20" t="str">
        <x:v>FIN-01546</x:v>
      </x:c>
      <x:c r="B1549" s="23" t="n">
        <x:v>46474</x:v>
      </x:c>
      <x:c r="C1549" s="23" t="n">
        <x:v>46474</x:v>
      </x:c>
      <x:c r="D1549" s="20" t="str">
        <x:v>OperatingExpense</x:v>
      </x:c>
      <x:c r="E1549" s="20" t="str">
        <x:v>Property tax</x:v>
      </x:c>
      <x:c r="F1549" s="20" t="str">
        <x:v>P010</x:v>
      </x:c>
      <x:c r="G1549" s="20" t="str"/>
      <x:c r="H1549" s="20" t="str"/>
      <x:c r="I1549" s="20" t="str">
        <x:v>Franklin County Treasurer</x:v>
      </x:c>
      <x:c r="J1549" s="35" t="str">
        <x:v>Manual mobile form</x:v>
      </x:c>
      <x:c r="K1549" s="20" t="str"/>
      <x:c r="L1549" s="20" t="str">
        <x:v>EXP-20270328-3110</x:v>
      </x:c>
      <x:c r="M1549" s="26" t="n">
        <x:v>647</x:v>
      </x:c>
      <x:c r="N1549" s="26" t="n">
        <x:v>0</x:v>
      </x:c>
      <x:c r="O1549" s="26" t="n">
        <x:v>-647</x:v>
      </x:c>
      <x:c r="P1549" s="26" t="n">
        <x:v>0</x:v>
      </x:c>
      <x:c r="Q1549" s="26" t="n">
        <x:v>0</x:v>
      </x:c>
      <x:c r="R1549" s="26" t="n">
        <x:v>0</x:v>
      </x:c>
      <x:c r="S1549" s="26" t="n">
        <x:v>0</x:v>
      </x:c>
      <x:c r="T1549" s="26" t="n">
        <x:v>0</x:v>
      </x:c>
      <x:c r="U1549" s="26" t="n">
        <x:v>647</x:v>
      </x:c>
      <x:c r="V1549" s="26" t="n">
        <x:v>0</x:v>
      </x:c>
      <x:c r="W1549" s="26" t="n">
        <x:v>0</x:v>
      </x:c>
      <x:c r="X1549" s="26" t="n">
        <x:v>0</x:v>
      </x:c>
      <x:c r="Y1549" s="26" t="n">
        <x:v>0</x:v>
      </x:c>
      <x:c r="Z1549" s="35" t="str">
        <x:v>Franklin County Treasurer</x:v>
      </x:c>
    </x:row>
    <x:row r="1550">
      <x:c r="A1550" s="20" t="str">
        <x:v>FIN-01547</x:v>
      </x:c>
      <x:c r="B1550" s="23" t="n">
        <x:v>46566</x:v>
      </x:c>
      <x:c r="C1550" s="23" t="n">
        <x:v>46566</x:v>
      </x:c>
      <x:c r="D1550" s="20" t="str">
        <x:v>OperatingExpense</x:v>
      </x:c>
      <x:c r="E1550" s="20" t="str">
        <x:v>Property tax</x:v>
      </x:c>
      <x:c r="F1550" s="20" t="str">
        <x:v>P010</x:v>
      </x:c>
      <x:c r="G1550" s="20" t="str"/>
      <x:c r="H1550" s="20" t="str"/>
      <x:c r="I1550" s="20" t="str">
        <x:v>Franklin County Treasurer</x:v>
      </x:c>
      <x:c r="J1550" s="35" t="str">
        <x:v>Manual mobile form</x:v>
      </x:c>
      <x:c r="K1550" s="20" t="str"/>
      <x:c r="L1550" s="20" t="str">
        <x:v>EXP-20270628-3210</x:v>
      </x:c>
      <x:c r="M1550" s="26" t="n">
        <x:v>654</x:v>
      </x:c>
      <x:c r="N1550" s="26" t="n">
        <x:v>0</x:v>
      </x:c>
      <x:c r="O1550" s="26" t="n">
        <x:v>-654</x:v>
      </x:c>
      <x:c r="P1550" s="26" t="n">
        <x:v>0</x:v>
      </x:c>
      <x:c r="Q1550" s="26" t="n">
        <x:v>0</x:v>
      </x:c>
      <x:c r="R1550" s="26" t="n">
        <x:v>0</x:v>
      </x:c>
      <x:c r="S1550" s="26" t="n">
        <x:v>0</x:v>
      </x:c>
      <x:c r="T1550" s="26" t="n">
        <x:v>0</x:v>
      </x:c>
      <x:c r="U1550" s="26" t="n">
        <x:v>654</x:v>
      </x:c>
      <x:c r="V1550" s="26" t="n">
        <x:v>0</x:v>
      </x:c>
      <x:c r="W1550" s="26" t="n">
        <x:v>0</x:v>
      </x:c>
      <x:c r="X1550" s="26" t="n">
        <x:v>0</x:v>
      </x:c>
      <x:c r="Y1550" s="26" t="n">
        <x:v>0</x:v>
      </x:c>
      <x:c r="Z1550" s="35" t="str">
        <x:v>Franklin County Treasurer</x:v>
      </x:c>
    </x:row>
    <x:row r="1551">
      <x:c r="A1551" s="20" t="str">
        <x:v>FIN-01548</x:v>
      </x:c>
      <x:c r="B1551" s="23" t="n">
        <x:v>46658</x:v>
      </x:c>
      <x:c r="C1551" s="23" t="n">
        <x:v>46658</x:v>
      </x:c>
      <x:c r="D1551" s="20" t="str">
        <x:v>OperatingExpense</x:v>
      </x:c>
      <x:c r="E1551" s="20" t="str">
        <x:v>Property tax</x:v>
      </x:c>
      <x:c r="F1551" s="20" t="str">
        <x:v>P010</x:v>
      </x:c>
      <x:c r="G1551" s="20" t="str"/>
      <x:c r="H1551" s="20" t="str"/>
      <x:c r="I1551" s="20" t="str">
        <x:v>Franklin County Treasurer</x:v>
      </x:c>
      <x:c r="J1551" s="35" t="str">
        <x:v>Manual mobile form</x:v>
      </x:c>
      <x:c r="K1551" s="20" t="str"/>
      <x:c r="L1551" s="20" t="str">
        <x:v>EXP-20270928-3310</x:v>
      </x:c>
      <x:c r="M1551" s="26" t="n">
        <x:v>661</x:v>
      </x:c>
      <x:c r="N1551" s="26" t="n">
        <x:v>0</x:v>
      </x:c>
      <x:c r="O1551" s="26" t="n">
        <x:v>-661</x:v>
      </x:c>
      <x:c r="P1551" s="26" t="n">
        <x:v>0</x:v>
      </x:c>
      <x:c r="Q1551" s="26" t="n">
        <x:v>0</x:v>
      </x:c>
      <x:c r="R1551" s="26" t="n">
        <x:v>0</x:v>
      </x:c>
      <x:c r="S1551" s="26" t="n">
        <x:v>0</x:v>
      </x:c>
      <x:c r="T1551" s="26" t="n">
        <x:v>0</x:v>
      </x:c>
      <x:c r="U1551" s="26" t="n">
        <x:v>661</x:v>
      </x:c>
      <x:c r="V1551" s="26" t="n">
        <x:v>0</x:v>
      </x:c>
      <x:c r="W1551" s="26" t="n">
        <x:v>0</x:v>
      </x:c>
      <x:c r="X1551" s="26" t="n">
        <x:v>0</x:v>
      </x:c>
      <x:c r="Y1551" s="26" t="n">
        <x:v>0</x:v>
      </x:c>
      <x:c r="Z1551" s="35" t="str">
        <x:v>Franklin County Treasurer</x:v>
      </x:c>
    </x:row>
    <x:row r="1552">
      <x:c r="A1552" s="20" t="str">
        <x:v>FIN-01549</x:v>
      </x:c>
      <x:c r="B1552" s="23" t="n">
        <x:v>46749</x:v>
      </x:c>
      <x:c r="C1552" s="23" t="n">
        <x:v>46749</x:v>
      </x:c>
      <x:c r="D1552" s="20" t="str">
        <x:v>OperatingExpense</x:v>
      </x:c>
      <x:c r="E1552" s="20" t="str">
        <x:v>Property tax</x:v>
      </x:c>
      <x:c r="F1552" s="20" t="str">
        <x:v>P010</x:v>
      </x:c>
      <x:c r="G1552" s="20" t="str"/>
      <x:c r="H1552" s="20" t="str"/>
      <x:c r="I1552" s="20" t="str">
        <x:v>Franklin County Treasurer</x:v>
      </x:c>
      <x:c r="J1552" s="35" t="str">
        <x:v>Manual mobile form</x:v>
      </x:c>
      <x:c r="K1552" s="20" t="str"/>
      <x:c r="L1552" s="20" t="str">
        <x:v>EXP-20271228-3410</x:v>
      </x:c>
      <x:c r="M1552" s="26" t="n">
        <x:v>668</x:v>
      </x:c>
      <x:c r="N1552" s="26" t="n">
        <x:v>0</x:v>
      </x:c>
      <x:c r="O1552" s="26" t="n">
        <x:v>-668</x:v>
      </x:c>
      <x:c r="P1552" s="26" t="n">
        <x:v>0</x:v>
      </x:c>
      <x:c r="Q1552" s="26" t="n">
        <x:v>0</x:v>
      </x:c>
      <x:c r="R1552" s="26" t="n">
        <x:v>0</x:v>
      </x:c>
      <x:c r="S1552" s="26" t="n">
        <x:v>0</x:v>
      </x:c>
      <x:c r="T1552" s="26" t="n">
        <x:v>0</x:v>
      </x:c>
      <x:c r="U1552" s="26" t="n">
        <x:v>668</x:v>
      </x:c>
      <x:c r="V1552" s="26" t="n">
        <x:v>0</x:v>
      </x:c>
      <x:c r="W1552" s="26" t="n">
        <x:v>0</x:v>
      </x:c>
      <x:c r="X1552" s="26" t="n">
        <x:v>0</x:v>
      </x:c>
      <x:c r="Y1552" s="26" t="n">
        <x:v>0</x:v>
      </x:c>
      <x:c r="Z1552" s="35" t="str">
        <x:v>Franklin County Treasurer</x:v>
      </x:c>
    </x:row>
    <x:row r="1553">
      <x:c r="A1553" s="20" t="str">
        <x:v>FIN-01550</x:v>
      </x:c>
      <x:c r="B1553" s="23" t="n">
        <x:v>46709</x:v>
      </x:c>
      <x:c r="C1553" s="23" t="n">
        <x:v>46709</x:v>
      </x:c>
      <x:c r="D1553" s="20" t="str">
        <x:v>OperatingExpense</x:v>
      </x:c>
      <x:c r="E1553" s="20" t="str">
        <x:v>Insurance</x:v>
      </x:c>
      <x:c r="F1553" s="20" t="str">
        <x:v>P011</x:v>
      </x:c>
      <x:c r="G1553" s="20" t="str"/>
      <x:c r="H1553" s="20" t="str"/>
      <x:c r="I1553" s="20" t="str">
        <x:v>Buckeye Mutual Insurance</x:v>
      </x:c>
      <x:c r="J1553" s="35" t="str">
        <x:v>Scanned receipt/invoice</x:v>
      </x:c>
      <x:c r="K1553" s="20" t="str">
        <x:v>SCN-0829</x:v>
      </x:c>
      <x:c r="L1553" s="20" t="str">
        <x:v>EXP-20271118-2011</x:v>
      </x:c>
      <x:c r="M1553" s="26" t="n">
        <x:v>1167</x:v>
      </x:c>
      <x:c r="N1553" s="26" t="n">
        <x:v>0</x:v>
      </x:c>
      <x:c r="O1553" s="26" t="n">
        <x:v>-1167</x:v>
      </x:c>
      <x:c r="P1553" s="26" t="n">
        <x:v>0</x:v>
      </x:c>
      <x:c r="Q1553" s="26" t="n">
        <x:v>0</x:v>
      </x:c>
      <x:c r="R1553" s="26" t="n">
        <x:v>0</x:v>
      </x:c>
      <x:c r="S1553" s="26" t="n">
        <x:v>0</x:v>
      </x:c>
      <x:c r="T1553" s="26" t="n">
        <x:v>0</x:v>
      </x:c>
      <x:c r="U1553" s="26" t="n">
        <x:v>1167</x:v>
      </x:c>
      <x:c r="V1553" s="26" t="n">
        <x:v>0</x:v>
      </x:c>
      <x:c r="W1553" s="26" t="n">
        <x:v>0</x:v>
      </x:c>
      <x:c r="X1553" s="26" t="n">
        <x:v>0</x:v>
      </x:c>
      <x:c r="Y1553" s="26" t="n">
        <x:v>0</x:v>
      </x:c>
      <x:c r="Z1553" s="35" t="str">
        <x:v>Buckeye Mutual Insurance</x:v>
      </x:c>
    </x:row>
    <x:row r="1554">
      <x:c r="A1554" s="20" t="str">
        <x:v>FIN-01551</x:v>
      </x:c>
      <x:c r="B1554" s="23" t="n">
        <x:v>46474</x:v>
      </x:c>
      <x:c r="C1554" s="23" t="n">
        <x:v>46474</x:v>
      </x:c>
      <x:c r="D1554" s="20" t="str">
        <x:v>OperatingExpense</x:v>
      </x:c>
      <x:c r="E1554" s="20" t="str">
        <x:v>Property tax</x:v>
      </x:c>
      <x:c r="F1554" s="20" t="str">
        <x:v>P011</x:v>
      </x:c>
      <x:c r="G1554" s="20" t="str"/>
      <x:c r="H1554" s="20" t="str"/>
      <x:c r="I1554" s="20" t="str">
        <x:v>Franklin County Treasurer</x:v>
      </x:c>
      <x:c r="J1554" s="35" t="str">
        <x:v>Scanned receipt/invoice</x:v>
      </x:c>
      <x:c r="K1554" s="20" t="str">
        <x:v>SCN-0830</x:v>
      </x:c>
      <x:c r="L1554" s="20" t="str">
        <x:v>EXP-20270328-3111</x:v>
      </x:c>
      <x:c r="M1554" s="26" t="n">
        <x:v>660</x:v>
      </x:c>
      <x:c r="N1554" s="26" t="n">
        <x:v>0</x:v>
      </x:c>
      <x:c r="O1554" s="26" t="n">
        <x:v>-660</x:v>
      </x:c>
      <x:c r="P1554" s="26" t="n">
        <x:v>0</x:v>
      </x:c>
      <x:c r="Q1554" s="26" t="n">
        <x:v>0</x:v>
      </x:c>
      <x:c r="R1554" s="26" t="n">
        <x:v>0</x:v>
      </x:c>
      <x:c r="S1554" s="26" t="n">
        <x:v>0</x:v>
      </x:c>
      <x:c r="T1554" s="26" t="n">
        <x:v>0</x:v>
      </x:c>
      <x:c r="U1554" s="26" t="n">
        <x:v>660</x:v>
      </x:c>
      <x:c r="V1554" s="26" t="n">
        <x:v>0</x:v>
      </x:c>
      <x:c r="W1554" s="26" t="n">
        <x:v>0</x:v>
      </x:c>
      <x:c r="X1554" s="26" t="n">
        <x:v>0</x:v>
      </x:c>
      <x:c r="Y1554" s="26" t="n">
        <x:v>0</x:v>
      </x:c>
      <x:c r="Z1554" s="35" t="str">
        <x:v>Franklin County Treasurer</x:v>
      </x:c>
    </x:row>
    <x:row r="1555">
      <x:c r="A1555" s="20" t="str">
        <x:v>FIN-01552</x:v>
      </x:c>
      <x:c r="B1555" s="23" t="n">
        <x:v>46566</x:v>
      </x:c>
      <x:c r="C1555" s="23" t="n">
        <x:v>46566</x:v>
      </x:c>
      <x:c r="D1555" s="20" t="str">
        <x:v>OperatingExpense</x:v>
      </x:c>
      <x:c r="E1555" s="20" t="str">
        <x:v>Property tax</x:v>
      </x:c>
      <x:c r="F1555" s="20" t="str">
        <x:v>P011</x:v>
      </x:c>
      <x:c r="G1555" s="20" t="str"/>
      <x:c r="H1555" s="20" t="str"/>
      <x:c r="I1555" s="20" t="str">
        <x:v>Franklin County Treasurer</x:v>
      </x:c>
      <x:c r="J1555" s="35" t="str">
        <x:v>Scanned receipt/invoice</x:v>
      </x:c>
      <x:c r="K1555" s="20" t="str">
        <x:v>SCN-0831</x:v>
      </x:c>
      <x:c r="L1555" s="20" t="str">
        <x:v>EXP-20270628-3211</x:v>
      </x:c>
      <x:c r="M1555" s="26" t="n">
        <x:v>667</x:v>
      </x:c>
      <x:c r="N1555" s="26" t="n">
        <x:v>0</x:v>
      </x:c>
      <x:c r="O1555" s="26" t="n">
        <x:v>-667</x:v>
      </x:c>
      <x:c r="P1555" s="26" t="n">
        <x:v>0</x:v>
      </x:c>
      <x:c r="Q1555" s="26" t="n">
        <x:v>0</x:v>
      </x:c>
      <x:c r="R1555" s="26" t="n">
        <x:v>0</x:v>
      </x:c>
      <x:c r="S1555" s="26" t="n">
        <x:v>0</x:v>
      </x:c>
      <x:c r="T1555" s="26" t="n">
        <x:v>0</x:v>
      </x:c>
      <x:c r="U1555" s="26" t="n">
        <x:v>667</x:v>
      </x:c>
      <x:c r="V1555" s="26" t="n">
        <x:v>0</x:v>
      </x:c>
      <x:c r="W1555" s="26" t="n">
        <x:v>0</x:v>
      </x:c>
      <x:c r="X1555" s="26" t="n">
        <x:v>0</x:v>
      </x:c>
      <x:c r="Y1555" s="26" t="n">
        <x:v>0</x:v>
      </x:c>
      <x:c r="Z1555" s="35" t="str">
        <x:v>Franklin County Treasurer</x:v>
      </x:c>
    </x:row>
    <x:row r="1556">
      <x:c r="A1556" s="20" t="str">
        <x:v>FIN-01553</x:v>
      </x:c>
      <x:c r="B1556" s="23" t="n">
        <x:v>46658</x:v>
      </x:c>
      <x:c r="C1556" s="23" t="n">
        <x:v>46658</x:v>
      </x:c>
      <x:c r="D1556" s="20" t="str">
        <x:v>OperatingExpense</x:v>
      </x:c>
      <x:c r="E1556" s="20" t="str">
        <x:v>Property tax</x:v>
      </x:c>
      <x:c r="F1556" s="20" t="str">
        <x:v>P011</x:v>
      </x:c>
      <x:c r="G1556" s="20" t="str"/>
      <x:c r="H1556" s="20" t="str"/>
      <x:c r="I1556" s="20" t="str">
        <x:v>Franklin County Treasurer</x:v>
      </x:c>
      <x:c r="J1556" s="35" t="str">
        <x:v>Scanned receipt/invoice</x:v>
      </x:c>
      <x:c r="K1556" s="20" t="str">
        <x:v>SCN-0832</x:v>
      </x:c>
      <x:c r="L1556" s="20" t="str">
        <x:v>EXP-20270928-3311</x:v>
      </x:c>
      <x:c r="M1556" s="26" t="n">
        <x:v>674</x:v>
      </x:c>
      <x:c r="N1556" s="26" t="n">
        <x:v>0</x:v>
      </x:c>
      <x:c r="O1556" s="26" t="n">
        <x:v>-674</x:v>
      </x:c>
      <x:c r="P1556" s="26" t="n">
        <x:v>0</x:v>
      </x:c>
      <x:c r="Q1556" s="26" t="n">
        <x:v>0</x:v>
      </x:c>
      <x:c r="R1556" s="26" t="n">
        <x:v>0</x:v>
      </x:c>
      <x:c r="S1556" s="26" t="n">
        <x:v>0</x:v>
      </x:c>
      <x:c r="T1556" s="26" t="n">
        <x:v>0</x:v>
      </x:c>
      <x:c r="U1556" s="26" t="n">
        <x:v>674</x:v>
      </x:c>
      <x:c r="V1556" s="26" t="n">
        <x:v>0</x:v>
      </x:c>
      <x:c r="W1556" s="26" t="n">
        <x:v>0</x:v>
      </x:c>
      <x:c r="X1556" s="26" t="n">
        <x:v>0</x:v>
      </x:c>
      <x:c r="Y1556" s="26" t="n">
        <x:v>0</x:v>
      </x:c>
      <x:c r="Z1556" s="35" t="str">
        <x:v>Franklin County Treasurer</x:v>
      </x:c>
    </x:row>
    <x:row r="1557">
      <x:c r="A1557" s="20" t="str">
        <x:v>FIN-01554</x:v>
      </x:c>
      <x:c r="B1557" s="23" t="n">
        <x:v>46749</x:v>
      </x:c>
      <x:c r="C1557" s="23" t="n">
        <x:v>46749</x:v>
      </x:c>
      <x:c r="D1557" s="20" t="str">
        <x:v>OperatingExpense</x:v>
      </x:c>
      <x:c r="E1557" s="20" t="str">
        <x:v>Property tax</x:v>
      </x:c>
      <x:c r="F1557" s="20" t="str">
        <x:v>P011</x:v>
      </x:c>
      <x:c r="G1557" s="20" t="str"/>
      <x:c r="H1557" s="20" t="str"/>
      <x:c r="I1557" s="20" t="str">
        <x:v>Franklin County Treasurer</x:v>
      </x:c>
      <x:c r="J1557" s="35" t="str">
        <x:v>Scanned receipt/invoice</x:v>
      </x:c>
      <x:c r="K1557" s="20" t="str">
        <x:v>SCN-0833</x:v>
      </x:c>
      <x:c r="L1557" s="20" t="str">
        <x:v>EXP-20271228-3411</x:v>
      </x:c>
      <x:c r="M1557" s="26" t="n">
        <x:v>681</x:v>
      </x:c>
      <x:c r="N1557" s="26" t="n">
        <x:v>0</x:v>
      </x:c>
      <x:c r="O1557" s="26" t="n">
        <x:v>-681</x:v>
      </x:c>
      <x:c r="P1557" s="26" t="n">
        <x:v>0</x:v>
      </x:c>
      <x:c r="Q1557" s="26" t="n">
        <x:v>0</x:v>
      </x:c>
      <x:c r="R1557" s="26" t="n">
        <x:v>0</x:v>
      </x:c>
      <x:c r="S1557" s="26" t="n">
        <x:v>0</x:v>
      </x:c>
      <x:c r="T1557" s="26" t="n">
        <x:v>0</x:v>
      </x:c>
      <x:c r="U1557" s="26" t="n">
        <x:v>681</x:v>
      </x:c>
      <x:c r="V1557" s="26" t="n">
        <x:v>0</x:v>
      </x:c>
      <x:c r="W1557" s="26" t="n">
        <x:v>0</x:v>
      </x:c>
      <x:c r="X1557" s="26" t="n">
        <x:v>0</x:v>
      </x:c>
      <x:c r="Y1557" s="26" t="n">
        <x:v>0</x:v>
      </x:c>
      <x:c r="Z1557" s="35" t="str">
        <x:v>Franklin County Treasurer</x:v>
      </x:c>
    </x:row>
    <x:row r="1558">
      <x:c r="A1558" s="20" t="str">
        <x:v>FIN-01555</x:v>
      </x:c>
      <x:c r="B1558" s="23" t="n">
        <x:v>46739</x:v>
      </x:c>
      <x:c r="C1558" s="23" t="n">
        <x:v>46739</x:v>
      </x:c>
      <x:c r="D1558" s="20" t="str">
        <x:v>OperatingExpense</x:v>
      </x:c>
      <x:c r="E1558" s="20" t="str">
        <x:v>Insurance</x:v>
      </x:c>
      <x:c r="F1558" s="20" t="str">
        <x:v>P012</x:v>
      </x:c>
      <x:c r="G1558" s="20" t="str"/>
      <x:c r="H1558" s="20" t="str"/>
      <x:c r="I1558" s="20" t="str">
        <x:v>Buckeye Mutual Insurance</x:v>
      </x:c>
      <x:c r="J1558" s="35" t="str">
        <x:v>Scanned receipt/invoice</x:v>
      </x:c>
      <x:c r="K1558" s="20" t="str">
        <x:v>SCN-0834</x:v>
      </x:c>
      <x:c r="L1558" s="20" t="str">
        <x:v>EXP-20271218-2012</x:v>
      </x:c>
      <x:c r="M1558" s="26" t="n">
        <x:v>1184</x:v>
      </x:c>
      <x:c r="N1558" s="26" t="n">
        <x:v>0</x:v>
      </x:c>
      <x:c r="O1558" s="26" t="n">
        <x:v>-1184</x:v>
      </x:c>
      <x:c r="P1558" s="26" t="n">
        <x:v>0</x:v>
      </x:c>
      <x:c r="Q1558" s="26" t="n">
        <x:v>0</x:v>
      </x:c>
      <x:c r="R1558" s="26" t="n">
        <x:v>0</x:v>
      </x:c>
      <x:c r="S1558" s="26" t="n">
        <x:v>0</x:v>
      </x:c>
      <x:c r="T1558" s="26" t="n">
        <x:v>0</x:v>
      </x:c>
      <x:c r="U1558" s="26" t="n">
        <x:v>1184</x:v>
      </x:c>
      <x:c r="V1558" s="26" t="n">
        <x:v>0</x:v>
      </x:c>
      <x:c r="W1558" s="26" t="n">
        <x:v>0</x:v>
      </x:c>
      <x:c r="X1558" s="26" t="n">
        <x:v>0</x:v>
      </x:c>
      <x:c r="Y1558" s="26" t="n">
        <x:v>0</x:v>
      </x:c>
      <x:c r="Z1558" s="35" t="str">
        <x:v>Buckeye Mutual Insurance</x:v>
      </x:c>
    </x:row>
    <x:row r="1559">
      <x:c r="A1559" s="20" t="str">
        <x:v>FIN-01556</x:v>
      </x:c>
      <x:c r="B1559" s="23" t="n">
        <x:v>46474</x:v>
      </x:c>
      <x:c r="C1559" s="23" t="n">
        <x:v>46474</x:v>
      </x:c>
      <x:c r="D1559" s="20" t="str">
        <x:v>OperatingExpense</x:v>
      </x:c>
      <x:c r="E1559" s="20" t="str">
        <x:v>Property tax</x:v>
      </x:c>
      <x:c r="F1559" s="20" t="str">
        <x:v>P012</x:v>
      </x:c>
      <x:c r="G1559" s="20" t="str"/>
      <x:c r="H1559" s="20" t="str"/>
      <x:c r="I1559" s="20" t="str">
        <x:v>Franklin County Treasurer</x:v>
      </x:c>
      <x:c r="J1559" s="35" t="str">
        <x:v>Scanned receipt/invoice</x:v>
      </x:c>
      <x:c r="K1559" s="20" t="str">
        <x:v>SCN-0835</x:v>
      </x:c>
      <x:c r="L1559" s="20" t="str">
        <x:v>EXP-20270328-3112</x:v>
      </x:c>
      <x:c r="M1559" s="26" t="n">
        <x:v>673</x:v>
      </x:c>
      <x:c r="N1559" s="26" t="n">
        <x:v>0</x:v>
      </x:c>
      <x:c r="O1559" s="26" t="n">
        <x:v>-673</x:v>
      </x:c>
      <x:c r="P1559" s="26" t="n">
        <x:v>0</x:v>
      </x:c>
      <x:c r="Q1559" s="26" t="n">
        <x:v>0</x:v>
      </x:c>
      <x:c r="R1559" s="26" t="n">
        <x:v>0</x:v>
      </x:c>
      <x:c r="S1559" s="26" t="n">
        <x:v>0</x:v>
      </x:c>
      <x:c r="T1559" s="26" t="n">
        <x:v>0</x:v>
      </x:c>
      <x:c r="U1559" s="26" t="n">
        <x:v>673</x:v>
      </x:c>
      <x:c r="V1559" s="26" t="n">
        <x:v>0</x:v>
      </x:c>
      <x:c r="W1559" s="26" t="n">
        <x:v>0</x:v>
      </x:c>
      <x:c r="X1559" s="26" t="n">
        <x:v>0</x:v>
      </x:c>
      <x:c r="Y1559" s="26" t="n">
        <x:v>0</x:v>
      </x:c>
      <x:c r="Z1559" s="35" t="str">
        <x:v>Franklin County Treasurer</x:v>
      </x:c>
    </x:row>
    <x:row r="1560">
      <x:c r="A1560" s="20" t="str">
        <x:v>FIN-01557</x:v>
      </x:c>
      <x:c r="B1560" s="23" t="n">
        <x:v>46566</x:v>
      </x:c>
      <x:c r="C1560" s="23" t="n">
        <x:v>46566</x:v>
      </x:c>
      <x:c r="D1560" s="20" t="str">
        <x:v>OperatingExpense</x:v>
      </x:c>
      <x:c r="E1560" s="20" t="str">
        <x:v>Property tax</x:v>
      </x:c>
      <x:c r="F1560" s="20" t="str">
        <x:v>P012</x:v>
      </x:c>
      <x:c r="G1560" s="20" t="str"/>
      <x:c r="H1560" s="20" t="str"/>
      <x:c r="I1560" s="20" t="str">
        <x:v>Franklin County Treasurer</x:v>
      </x:c>
      <x:c r="J1560" s="35" t="str">
        <x:v>Scanned receipt/invoice</x:v>
      </x:c>
      <x:c r="K1560" s="20" t="str">
        <x:v>SCN-0836</x:v>
      </x:c>
      <x:c r="L1560" s="20" t="str">
        <x:v>EXP-20270628-3212</x:v>
      </x:c>
      <x:c r="M1560" s="26" t="n">
        <x:v>680</x:v>
      </x:c>
      <x:c r="N1560" s="26" t="n">
        <x:v>0</x:v>
      </x:c>
      <x:c r="O1560" s="26" t="n">
        <x:v>-680</x:v>
      </x:c>
      <x:c r="P1560" s="26" t="n">
        <x:v>0</x:v>
      </x:c>
      <x:c r="Q1560" s="26" t="n">
        <x:v>0</x:v>
      </x:c>
      <x:c r="R1560" s="26" t="n">
        <x:v>0</x:v>
      </x:c>
      <x:c r="S1560" s="26" t="n">
        <x:v>0</x:v>
      </x:c>
      <x:c r="T1560" s="26" t="n">
        <x:v>0</x:v>
      </x:c>
      <x:c r="U1560" s="26" t="n">
        <x:v>680</x:v>
      </x:c>
      <x:c r="V1560" s="26" t="n">
        <x:v>0</x:v>
      </x:c>
      <x:c r="W1560" s="26" t="n">
        <x:v>0</x:v>
      </x:c>
      <x:c r="X1560" s="26" t="n">
        <x:v>0</x:v>
      </x:c>
      <x:c r="Y1560" s="26" t="n">
        <x:v>0</x:v>
      </x:c>
      <x:c r="Z1560" s="35" t="str">
        <x:v>Franklin County Treasurer</x:v>
      </x:c>
    </x:row>
    <x:row r="1561">
      <x:c r="A1561" s="20" t="str">
        <x:v>FIN-01558</x:v>
      </x:c>
      <x:c r="B1561" s="23" t="n">
        <x:v>46658</x:v>
      </x:c>
      <x:c r="C1561" s="23" t="n">
        <x:v>46658</x:v>
      </x:c>
      <x:c r="D1561" s="20" t="str">
        <x:v>OperatingExpense</x:v>
      </x:c>
      <x:c r="E1561" s="20" t="str">
        <x:v>Property tax</x:v>
      </x:c>
      <x:c r="F1561" s="20" t="str">
        <x:v>P012</x:v>
      </x:c>
      <x:c r="G1561" s="20" t="str"/>
      <x:c r="H1561" s="20" t="str"/>
      <x:c r="I1561" s="20" t="str">
        <x:v>Franklin County Treasurer</x:v>
      </x:c>
      <x:c r="J1561" s="35" t="str">
        <x:v>Scanned receipt/invoice</x:v>
      </x:c>
      <x:c r="K1561" s="20" t="str">
        <x:v>SCN-0837</x:v>
      </x:c>
      <x:c r="L1561" s="20" t="str">
        <x:v>EXP-20270928-3312</x:v>
      </x:c>
      <x:c r="M1561" s="26" t="n">
        <x:v>687</x:v>
      </x:c>
      <x:c r="N1561" s="26" t="n">
        <x:v>0</x:v>
      </x:c>
      <x:c r="O1561" s="26" t="n">
        <x:v>-687</x:v>
      </x:c>
      <x:c r="P1561" s="26" t="n">
        <x:v>0</x:v>
      </x:c>
      <x:c r="Q1561" s="26" t="n">
        <x:v>0</x:v>
      </x:c>
      <x:c r="R1561" s="26" t="n">
        <x:v>0</x:v>
      </x:c>
      <x:c r="S1561" s="26" t="n">
        <x:v>0</x:v>
      </x:c>
      <x:c r="T1561" s="26" t="n">
        <x:v>0</x:v>
      </x:c>
      <x:c r="U1561" s="26" t="n">
        <x:v>687</x:v>
      </x:c>
      <x:c r="V1561" s="26" t="n">
        <x:v>0</x:v>
      </x:c>
      <x:c r="W1561" s="26" t="n">
        <x:v>0</x:v>
      </x:c>
      <x:c r="X1561" s="26" t="n">
        <x:v>0</x:v>
      </x:c>
      <x:c r="Y1561" s="26" t="n">
        <x:v>0</x:v>
      </x:c>
      <x:c r="Z1561" s="35" t="str">
        <x:v>Franklin County Treasurer</x:v>
      </x:c>
    </x:row>
    <x:row r="1562">
      <x:c r="A1562" s="20" t="str">
        <x:v>FIN-01559</x:v>
      </x:c>
      <x:c r="B1562" s="23" t="n">
        <x:v>46749</x:v>
      </x:c>
      <x:c r="C1562" s="23" t="n">
        <x:v>46749</x:v>
      </x:c>
      <x:c r="D1562" s="20" t="str">
        <x:v>OperatingExpense</x:v>
      </x:c>
      <x:c r="E1562" s="20" t="str">
        <x:v>Property tax</x:v>
      </x:c>
      <x:c r="F1562" s="20" t="str">
        <x:v>P012</x:v>
      </x:c>
      <x:c r="G1562" s="20" t="str"/>
      <x:c r="H1562" s="20" t="str"/>
      <x:c r="I1562" s="20" t="str">
        <x:v>Franklin County Treasurer</x:v>
      </x:c>
      <x:c r="J1562" s="35" t="str">
        <x:v>Scanned receipt/invoice</x:v>
      </x:c>
      <x:c r="K1562" s="20" t="str">
        <x:v>SCN-0838</x:v>
      </x:c>
      <x:c r="L1562" s="20" t="str">
        <x:v>EXP-20271228-3412</x:v>
      </x:c>
      <x:c r="M1562" s="26" t="n">
        <x:v>694</x:v>
      </x:c>
      <x:c r="N1562" s="26" t="n">
        <x:v>0</x:v>
      </x:c>
      <x:c r="O1562" s="26" t="n">
        <x:v>-694</x:v>
      </x:c>
      <x:c r="P1562" s="26" t="n">
        <x:v>0</x:v>
      </x:c>
      <x:c r="Q1562" s="26" t="n">
        <x:v>0</x:v>
      </x:c>
      <x:c r="R1562" s="26" t="n">
        <x:v>0</x:v>
      </x:c>
      <x:c r="S1562" s="26" t="n">
        <x:v>0</x:v>
      </x:c>
      <x:c r="T1562" s="26" t="n">
        <x:v>0</x:v>
      </x:c>
      <x:c r="U1562" s="26" t="n">
        <x:v>694</x:v>
      </x:c>
      <x:c r="V1562" s="26" t="n">
        <x:v>0</x:v>
      </x:c>
      <x:c r="W1562" s="26" t="n">
        <x:v>0</x:v>
      </x:c>
      <x:c r="X1562" s="26" t="n">
        <x:v>0</x:v>
      </x:c>
      <x:c r="Y1562" s="26" t="n">
        <x:v>0</x:v>
      </x:c>
      <x:c r="Z1562" s="35" t="str">
        <x:v>Franklin County Treasurer</x:v>
      </x:c>
    </x:row>
    <x:row r="1563">
      <x:c r="A1563" s="20" t="str">
        <x:v>FIN-01560</x:v>
      </x:c>
      <x:c r="B1563" s="23" t="n">
        <x:v>46405</x:v>
      </x:c>
      <x:c r="C1563" s="23" t="n">
        <x:v>46405</x:v>
      </x:c>
      <x:c r="D1563" s="20" t="str">
        <x:v>OperatingExpense</x:v>
      </x:c>
      <x:c r="E1563" s="20" t="str">
        <x:v>Insurance</x:v>
      </x:c>
      <x:c r="F1563" s="20" t="str">
        <x:v>P013</x:v>
      </x:c>
      <x:c r="G1563" s="20" t="str"/>
      <x:c r="H1563" s="20" t="str"/>
      <x:c r="I1563" s="20" t="str">
        <x:v>Buckeye Mutual Insurance</x:v>
      </x:c>
      <x:c r="J1563" s="35" t="str">
        <x:v>Scanned receipt/invoice</x:v>
      </x:c>
      <x:c r="K1563" s="20" t="str">
        <x:v>SCN-0839</x:v>
      </x:c>
      <x:c r="L1563" s="20" t="str">
        <x:v>EXP-20270118-2013</x:v>
      </x:c>
      <x:c r="M1563" s="26" t="n">
        <x:v>1201</x:v>
      </x:c>
      <x:c r="N1563" s="26" t="n">
        <x:v>0</x:v>
      </x:c>
      <x:c r="O1563" s="26" t="n">
        <x:v>-1201</x:v>
      </x:c>
      <x:c r="P1563" s="26" t="n">
        <x:v>0</x:v>
      </x:c>
      <x:c r="Q1563" s="26" t="n">
        <x:v>0</x:v>
      </x:c>
      <x:c r="R1563" s="26" t="n">
        <x:v>0</x:v>
      </x:c>
      <x:c r="S1563" s="26" t="n">
        <x:v>0</x:v>
      </x:c>
      <x:c r="T1563" s="26" t="n">
        <x:v>0</x:v>
      </x:c>
      <x:c r="U1563" s="26" t="n">
        <x:v>1201</x:v>
      </x:c>
      <x:c r="V1563" s="26" t="n">
        <x:v>0</x:v>
      </x:c>
      <x:c r="W1563" s="26" t="n">
        <x:v>0</x:v>
      </x:c>
      <x:c r="X1563" s="26" t="n">
        <x:v>0</x:v>
      </x:c>
      <x:c r="Y1563" s="26" t="n">
        <x:v>0</x:v>
      </x:c>
      <x:c r="Z1563" s="35" t="str">
        <x:v>Buckeye Mutual Insurance</x:v>
      </x:c>
    </x:row>
    <x:row r="1564">
      <x:c r="A1564" s="20" t="str">
        <x:v>FIN-01561</x:v>
      </x:c>
      <x:c r="B1564" s="23" t="n">
        <x:v>46474</x:v>
      </x:c>
      <x:c r="C1564" s="23" t="n">
        <x:v>46474</x:v>
      </x:c>
      <x:c r="D1564" s="20" t="str">
        <x:v>OperatingExpense</x:v>
      </x:c>
      <x:c r="E1564" s="20" t="str">
        <x:v>Property tax</x:v>
      </x:c>
      <x:c r="F1564" s="20" t="str">
        <x:v>P013</x:v>
      </x:c>
      <x:c r="G1564" s="20" t="str"/>
      <x:c r="H1564" s="20" t="str"/>
      <x:c r="I1564" s="20" t="str">
        <x:v>Franklin County Treasurer</x:v>
      </x:c>
      <x:c r="J1564" s="35" t="str">
        <x:v>Scanned receipt/invoice</x:v>
      </x:c>
      <x:c r="K1564" s="20" t="str">
        <x:v>SCN-0840</x:v>
      </x:c>
      <x:c r="L1564" s="20" t="str">
        <x:v>EXP-20270328-3113</x:v>
      </x:c>
      <x:c r="M1564" s="26" t="n">
        <x:v>686</x:v>
      </x:c>
      <x:c r="N1564" s="26" t="n">
        <x:v>0</x:v>
      </x:c>
      <x:c r="O1564" s="26" t="n">
        <x:v>-686</x:v>
      </x:c>
      <x:c r="P1564" s="26" t="n">
        <x:v>0</x:v>
      </x:c>
      <x:c r="Q1564" s="26" t="n">
        <x:v>0</x:v>
      </x:c>
      <x:c r="R1564" s="26" t="n">
        <x:v>0</x:v>
      </x:c>
      <x:c r="S1564" s="26" t="n">
        <x:v>0</x:v>
      </x:c>
      <x:c r="T1564" s="26" t="n">
        <x:v>0</x:v>
      </x:c>
      <x:c r="U1564" s="26" t="n">
        <x:v>686</x:v>
      </x:c>
      <x:c r="V1564" s="26" t="n">
        <x:v>0</x:v>
      </x:c>
      <x:c r="W1564" s="26" t="n">
        <x:v>0</x:v>
      </x:c>
      <x:c r="X1564" s="26" t="n">
        <x:v>0</x:v>
      </x:c>
      <x:c r="Y1564" s="26" t="n">
        <x:v>0</x:v>
      </x:c>
      <x:c r="Z1564" s="35" t="str">
        <x:v>Franklin County Treasurer</x:v>
      </x:c>
    </x:row>
    <x:row r="1565">
      <x:c r="A1565" s="20" t="str">
        <x:v>FIN-01562</x:v>
      </x:c>
      <x:c r="B1565" s="23" t="n">
        <x:v>46566</x:v>
      </x:c>
      <x:c r="C1565" s="23" t="n">
        <x:v>46566</x:v>
      </x:c>
      <x:c r="D1565" s="20" t="str">
        <x:v>OperatingExpense</x:v>
      </x:c>
      <x:c r="E1565" s="20" t="str">
        <x:v>Property tax</x:v>
      </x:c>
      <x:c r="F1565" s="20" t="str">
        <x:v>P013</x:v>
      </x:c>
      <x:c r="G1565" s="20" t="str"/>
      <x:c r="H1565" s="20" t="str"/>
      <x:c r="I1565" s="20" t="str">
        <x:v>Franklin County Treasurer</x:v>
      </x:c>
      <x:c r="J1565" s="35" t="str">
        <x:v>Scanned receipt/invoice</x:v>
      </x:c>
      <x:c r="K1565" s="20" t="str">
        <x:v>SCN-0841</x:v>
      </x:c>
      <x:c r="L1565" s="20" t="str">
        <x:v>EXP-20270628-3213</x:v>
      </x:c>
      <x:c r="M1565" s="26" t="n">
        <x:v>693</x:v>
      </x:c>
      <x:c r="N1565" s="26" t="n">
        <x:v>0</x:v>
      </x:c>
      <x:c r="O1565" s="26" t="n">
        <x:v>-693</x:v>
      </x:c>
      <x:c r="P1565" s="26" t="n">
        <x:v>0</x:v>
      </x:c>
      <x:c r="Q1565" s="26" t="n">
        <x:v>0</x:v>
      </x:c>
      <x:c r="R1565" s="26" t="n">
        <x:v>0</x:v>
      </x:c>
      <x:c r="S1565" s="26" t="n">
        <x:v>0</x:v>
      </x:c>
      <x:c r="T1565" s="26" t="n">
        <x:v>0</x:v>
      </x:c>
      <x:c r="U1565" s="26" t="n">
        <x:v>693</x:v>
      </x:c>
      <x:c r="V1565" s="26" t="n">
        <x:v>0</x:v>
      </x:c>
      <x:c r="W1565" s="26" t="n">
        <x:v>0</x:v>
      </x:c>
      <x:c r="X1565" s="26" t="n">
        <x:v>0</x:v>
      </x:c>
      <x:c r="Y1565" s="26" t="n">
        <x:v>0</x:v>
      </x:c>
      <x:c r="Z1565" s="35" t="str">
        <x:v>Franklin County Treasurer</x:v>
      </x:c>
    </x:row>
    <x:row r="1566">
      <x:c r="A1566" s="20" t="str">
        <x:v>FIN-01563</x:v>
      </x:c>
      <x:c r="B1566" s="23" t="n">
        <x:v>46658</x:v>
      </x:c>
      <x:c r="C1566" s="23" t="n">
        <x:v>46658</x:v>
      </x:c>
      <x:c r="D1566" s="20" t="str">
        <x:v>OperatingExpense</x:v>
      </x:c>
      <x:c r="E1566" s="20" t="str">
        <x:v>Property tax</x:v>
      </x:c>
      <x:c r="F1566" s="20" t="str">
        <x:v>P013</x:v>
      </x:c>
      <x:c r="G1566" s="20" t="str"/>
      <x:c r="H1566" s="20" t="str"/>
      <x:c r="I1566" s="20" t="str">
        <x:v>Franklin County Treasurer</x:v>
      </x:c>
      <x:c r="J1566" s="35" t="str">
        <x:v>Scanned receipt/invoice</x:v>
      </x:c>
      <x:c r="K1566" s="20" t="str">
        <x:v>SCN-0842</x:v>
      </x:c>
      <x:c r="L1566" s="20" t="str">
        <x:v>EXP-20270928-3313</x:v>
      </x:c>
      <x:c r="M1566" s="26" t="n">
        <x:v>700</x:v>
      </x:c>
      <x:c r="N1566" s="26" t="n">
        <x:v>0</x:v>
      </x:c>
      <x:c r="O1566" s="26" t="n">
        <x:v>-700</x:v>
      </x:c>
      <x:c r="P1566" s="26" t="n">
        <x:v>0</x:v>
      </x:c>
      <x:c r="Q1566" s="26" t="n">
        <x:v>0</x:v>
      </x:c>
      <x:c r="R1566" s="26" t="n">
        <x:v>0</x:v>
      </x:c>
      <x:c r="S1566" s="26" t="n">
        <x:v>0</x:v>
      </x:c>
      <x:c r="T1566" s="26" t="n">
        <x:v>0</x:v>
      </x:c>
      <x:c r="U1566" s="26" t="n">
        <x:v>700</x:v>
      </x:c>
      <x:c r="V1566" s="26" t="n">
        <x:v>0</x:v>
      </x:c>
      <x:c r="W1566" s="26" t="n">
        <x:v>0</x:v>
      </x:c>
      <x:c r="X1566" s="26" t="n">
        <x:v>0</x:v>
      </x:c>
      <x:c r="Y1566" s="26" t="n">
        <x:v>0</x:v>
      </x:c>
      <x:c r="Z1566" s="35" t="str">
        <x:v>Franklin County Treasurer</x:v>
      </x:c>
    </x:row>
    <x:row r="1567">
      <x:c r="A1567" s="20" t="str">
        <x:v>FIN-01564</x:v>
      </x:c>
      <x:c r="B1567" s="23" t="n">
        <x:v>46749</x:v>
      </x:c>
      <x:c r="C1567" s="23" t="n">
        <x:v>46749</x:v>
      </x:c>
      <x:c r="D1567" s="20" t="str">
        <x:v>OperatingExpense</x:v>
      </x:c>
      <x:c r="E1567" s="20" t="str">
        <x:v>Property tax</x:v>
      </x:c>
      <x:c r="F1567" s="20" t="str">
        <x:v>P013</x:v>
      </x:c>
      <x:c r="G1567" s="20" t="str"/>
      <x:c r="H1567" s="20" t="str"/>
      <x:c r="I1567" s="20" t="str">
        <x:v>Franklin County Treasurer</x:v>
      </x:c>
      <x:c r="J1567" s="35" t="str">
        <x:v>Scanned receipt/invoice</x:v>
      </x:c>
      <x:c r="K1567" s="20" t="str">
        <x:v>SCN-0843</x:v>
      </x:c>
      <x:c r="L1567" s="20" t="str">
        <x:v>EXP-20271228-3413</x:v>
      </x:c>
      <x:c r="M1567" s="26" t="n">
        <x:v>707</x:v>
      </x:c>
      <x:c r="N1567" s="26" t="n">
        <x:v>0</x:v>
      </x:c>
      <x:c r="O1567" s="26" t="n">
        <x:v>-707</x:v>
      </x:c>
      <x:c r="P1567" s="26" t="n">
        <x:v>0</x:v>
      </x:c>
      <x:c r="Q1567" s="26" t="n">
        <x:v>0</x:v>
      </x:c>
      <x:c r="R1567" s="26" t="n">
        <x:v>0</x:v>
      </x:c>
      <x:c r="S1567" s="26" t="n">
        <x:v>0</x:v>
      </x:c>
      <x:c r="T1567" s="26" t="n">
        <x:v>0</x:v>
      </x:c>
      <x:c r="U1567" s="26" t="n">
        <x:v>707</x:v>
      </x:c>
      <x:c r="V1567" s="26" t="n">
        <x:v>0</x:v>
      </x:c>
      <x:c r="W1567" s="26" t="n">
        <x:v>0</x:v>
      </x:c>
      <x:c r="X1567" s="26" t="n">
        <x:v>0</x:v>
      </x:c>
      <x:c r="Y1567" s="26" t="n">
        <x:v>0</x:v>
      </x:c>
      <x:c r="Z1567" s="35" t="str">
        <x:v>Franklin County Treasurer</x:v>
      </x:c>
    </x:row>
    <x:row r="1568">
      <x:c r="A1568" s="20" t="str">
        <x:v>FIN-01565</x:v>
      </x:c>
      <x:c r="B1568" s="23" t="n">
        <x:v>46436</x:v>
      </x:c>
      <x:c r="C1568" s="23" t="n">
        <x:v>46436</x:v>
      </x:c>
      <x:c r="D1568" s="20" t="str">
        <x:v>OperatingExpense</x:v>
      </x:c>
      <x:c r="E1568" s="20" t="str">
        <x:v>Insurance</x:v>
      </x:c>
      <x:c r="F1568" s="20" t="str">
        <x:v>P014</x:v>
      </x:c>
      <x:c r="G1568" s="20" t="str"/>
      <x:c r="H1568" s="20" t="str"/>
      <x:c r="I1568" s="20" t="str">
        <x:v>Buckeye Mutual Insurance</x:v>
      </x:c>
      <x:c r="J1568" s="35" t="str">
        <x:v>Scanned receipt/invoice</x:v>
      </x:c>
      <x:c r="K1568" s="20" t="str">
        <x:v>SCN-0844</x:v>
      </x:c>
      <x:c r="L1568" s="20" t="str">
        <x:v>EXP-20270218-2014</x:v>
      </x:c>
      <x:c r="M1568" s="26" t="n">
        <x:v>1218</x:v>
      </x:c>
      <x:c r="N1568" s="26" t="n">
        <x:v>0</x:v>
      </x:c>
      <x:c r="O1568" s="26" t="n">
        <x:v>-1218</x:v>
      </x:c>
      <x:c r="P1568" s="26" t="n">
        <x:v>0</x:v>
      </x:c>
      <x:c r="Q1568" s="26" t="n">
        <x:v>0</x:v>
      </x:c>
      <x:c r="R1568" s="26" t="n">
        <x:v>0</x:v>
      </x:c>
      <x:c r="S1568" s="26" t="n">
        <x:v>0</x:v>
      </x:c>
      <x:c r="T1568" s="26" t="n">
        <x:v>0</x:v>
      </x:c>
      <x:c r="U1568" s="26" t="n">
        <x:v>1218</x:v>
      </x:c>
      <x:c r="V1568" s="26" t="n">
        <x:v>0</x:v>
      </x:c>
      <x:c r="W1568" s="26" t="n">
        <x:v>0</x:v>
      </x:c>
      <x:c r="X1568" s="26" t="n">
        <x:v>0</x:v>
      </x:c>
      <x:c r="Y1568" s="26" t="n">
        <x:v>0</x:v>
      </x:c>
      <x:c r="Z1568" s="35" t="str">
        <x:v>Buckeye Mutual Insurance</x:v>
      </x:c>
    </x:row>
    <x:row r="1569">
      <x:c r="A1569" s="20" t="str">
        <x:v>FIN-01566</x:v>
      </x:c>
      <x:c r="B1569" s="23" t="n">
        <x:v>46474</x:v>
      </x:c>
      <x:c r="C1569" s="23" t="n">
        <x:v>46474</x:v>
      </x:c>
      <x:c r="D1569" s="20" t="str">
        <x:v>OperatingExpense</x:v>
      </x:c>
      <x:c r="E1569" s="20" t="str">
        <x:v>Property tax</x:v>
      </x:c>
      <x:c r="F1569" s="20" t="str">
        <x:v>P014</x:v>
      </x:c>
      <x:c r="G1569" s="20" t="str"/>
      <x:c r="H1569" s="20" t="str"/>
      <x:c r="I1569" s="20" t="str">
        <x:v>Franklin County Treasurer</x:v>
      </x:c>
      <x:c r="J1569" s="35" t="str">
        <x:v>Scanned receipt/invoice</x:v>
      </x:c>
      <x:c r="K1569" s="20" t="str">
        <x:v>SCN-0845</x:v>
      </x:c>
      <x:c r="L1569" s="20" t="str">
        <x:v>EXP-20270328-3114</x:v>
      </x:c>
      <x:c r="M1569" s="26" t="n">
        <x:v>699</x:v>
      </x:c>
      <x:c r="N1569" s="26" t="n">
        <x:v>0</x:v>
      </x:c>
      <x:c r="O1569" s="26" t="n">
        <x:v>-699</x:v>
      </x:c>
      <x:c r="P1569" s="26" t="n">
        <x:v>0</x:v>
      </x:c>
      <x:c r="Q1569" s="26" t="n">
        <x:v>0</x:v>
      </x:c>
      <x:c r="R1569" s="26" t="n">
        <x:v>0</x:v>
      </x:c>
      <x:c r="S1569" s="26" t="n">
        <x:v>0</x:v>
      </x:c>
      <x:c r="T1569" s="26" t="n">
        <x:v>0</x:v>
      </x:c>
      <x:c r="U1569" s="26" t="n">
        <x:v>699</x:v>
      </x:c>
      <x:c r="V1569" s="26" t="n">
        <x:v>0</x:v>
      </x:c>
      <x:c r="W1569" s="26" t="n">
        <x:v>0</x:v>
      </x:c>
      <x:c r="X1569" s="26" t="n">
        <x:v>0</x:v>
      </x:c>
      <x:c r="Y1569" s="26" t="n">
        <x:v>0</x:v>
      </x:c>
      <x:c r="Z1569" s="35" t="str">
        <x:v>Franklin County Treasurer</x:v>
      </x:c>
    </x:row>
    <x:row r="1570">
      <x:c r="A1570" s="20" t="str">
        <x:v>FIN-01567</x:v>
      </x:c>
      <x:c r="B1570" s="23" t="n">
        <x:v>46566</x:v>
      </x:c>
      <x:c r="C1570" s="23" t="n">
        <x:v>46566</x:v>
      </x:c>
      <x:c r="D1570" s="20" t="str">
        <x:v>OperatingExpense</x:v>
      </x:c>
      <x:c r="E1570" s="20" t="str">
        <x:v>Property tax</x:v>
      </x:c>
      <x:c r="F1570" s="20" t="str">
        <x:v>P014</x:v>
      </x:c>
      <x:c r="G1570" s="20" t="str"/>
      <x:c r="H1570" s="20" t="str"/>
      <x:c r="I1570" s="20" t="str">
        <x:v>Franklin County Treasurer</x:v>
      </x:c>
      <x:c r="J1570" s="35" t="str">
        <x:v>Scanned receipt/invoice</x:v>
      </x:c>
      <x:c r="K1570" s="20" t="str">
        <x:v>SCN-0846</x:v>
      </x:c>
      <x:c r="L1570" s="20" t="str">
        <x:v>EXP-20270628-3214</x:v>
      </x:c>
      <x:c r="M1570" s="26" t="n">
        <x:v>706</x:v>
      </x:c>
      <x:c r="N1570" s="26" t="n">
        <x:v>0</x:v>
      </x:c>
      <x:c r="O1570" s="26" t="n">
        <x:v>-706</x:v>
      </x:c>
      <x:c r="P1570" s="26" t="n">
        <x:v>0</x:v>
      </x:c>
      <x:c r="Q1570" s="26" t="n">
        <x:v>0</x:v>
      </x:c>
      <x:c r="R1570" s="26" t="n">
        <x:v>0</x:v>
      </x:c>
      <x:c r="S1570" s="26" t="n">
        <x:v>0</x:v>
      </x:c>
      <x:c r="T1570" s="26" t="n">
        <x:v>0</x:v>
      </x:c>
      <x:c r="U1570" s="26" t="n">
        <x:v>706</x:v>
      </x:c>
      <x:c r="V1570" s="26" t="n">
        <x:v>0</x:v>
      </x:c>
      <x:c r="W1570" s="26" t="n">
        <x:v>0</x:v>
      </x:c>
      <x:c r="X1570" s="26" t="n">
        <x:v>0</x:v>
      </x:c>
      <x:c r="Y1570" s="26" t="n">
        <x:v>0</x:v>
      </x:c>
      <x:c r="Z1570" s="35" t="str">
        <x:v>Franklin County Treasurer</x:v>
      </x:c>
    </x:row>
    <x:row r="1571">
      <x:c r="A1571" s="20" t="str">
        <x:v>FIN-01568</x:v>
      </x:c>
      <x:c r="B1571" s="23" t="n">
        <x:v>46658</x:v>
      </x:c>
      <x:c r="C1571" s="23" t="n">
        <x:v>46658</x:v>
      </x:c>
      <x:c r="D1571" s="20" t="str">
        <x:v>OperatingExpense</x:v>
      </x:c>
      <x:c r="E1571" s="20" t="str">
        <x:v>Property tax</x:v>
      </x:c>
      <x:c r="F1571" s="20" t="str">
        <x:v>P014</x:v>
      </x:c>
      <x:c r="G1571" s="20" t="str"/>
      <x:c r="H1571" s="20" t="str"/>
      <x:c r="I1571" s="20" t="str">
        <x:v>Franklin County Treasurer</x:v>
      </x:c>
      <x:c r="J1571" s="35" t="str">
        <x:v>Scanned receipt/invoice</x:v>
      </x:c>
      <x:c r="K1571" s="20" t="str">
        <x:v>SCN-0847</x:v>
      </x:c>
      <x:c r="L1571" s="20" t="str">
        <x:v>EXP-20270928-3314</x:v>
      </x:c>
      <x:c r="M1571" s="26" t="n">
        <x:v>713</x:v>
      </x:c>
      <x:c r="N1571" s="26" t="n">
        <x:v>0</x:v>
      </x:c>
      <x:c r="O1571" s="26" t="n">
        <x:v>-713</x:v>
      </x:c>
      <x:c r="P1571" s="26" t="n">
        <x:v>0</x:v>
      </x:c>
      <x:c r="Q1571" s="26" t="n">
        <x:v>0</x:v>
      </x:c>
      <x:c r="R1571" s="26" t="n">
        <x:v>0</x:v>
      </x:c>
      <x:c r="S1571" s="26" t="n">
        <x:v>0</x:v>
      </x:c>
      <x:c r="T1571" s="26" t="n">
        <x:v>0</x:v>
      </x:c>
      <x:c r="U1571" s="26" t="n">
        <x:v>713</x:v>
      </x:c>
      <x:c r="V1571" s="26" t="n">
        <x:v>0</x:v>
      </x:c>
      <x:c r="W1571" s="26" t="n">
        <x:v>0</x:v>
      </x:c>
      <x:c r="X1571" s="26" t="n">
        <x:v>0</x:v>
      </x:c>
      <x:c r="Y1571" s="26" t="n">
        <x:v>0</x:v>
      </x:c>
      <x:c r="Z1571" s="35" t="str">
        <x:v>Franklin County Treasurer</x:v>
      </x:c>
    </x:row>
    <x:row r="1572">
      <x:c r="A1572" s="20" t="str">
        <x:v>FIN-01569</x:v>
      </x:c>
      <x:c r="B1572" s="23" t="n">
        <x:v>46749</x:v>
      </x:c>
      <x:c r="C1572" s="23" t="n">
        <x:v>46749</x:v>
      </x:c>
      <x:c r="D1572" s="20" t="str">
        <x:v>OperatingExpense</x:v>
      </x:c>
      <x:c r="E1572" s="20" t="str">
        <x:v>Property tax</x:v>
      </x:c>
      <x:c r="F1572" s="20" t="str">
        <x:v>P014</x:v>
      </x:c>
      <x:c r="G1572" s="20" t="str"/>
      <x:c r="H1572" s="20" t="str"/>
      <x:c r="I1572" s="20" t="str">
        <x:v>Franklin County Treasurer</x:v>
      </x:c>
      <x:c r="J1572" s="35" t="str">
        <x:v>Scanned receipt/invoice</x:v>
      </x:c>
      <x:c r="K1572" s="20" t="str">
        <x:v>SCN-0848</x:v>
      </x:c>
      <x:c r="L1572" s="20" t="str">
        <x:v>EXP-20271228-3414</x:v>
      </x:c>
      <x:c r="M1572" s="26" t="n">
        <x:v>720</x:v>
      </x:c>
      <x:c r="N1572" s="26" t="n">
        <x:v>0</x:v>
      </x:c>
      <x:c r="O1572" s="26" t="n">
        <x:v>-720</x:v>
      </x:c>
      <x:c r="P1572" s="26" t="n">
        <x:v>0</x:v>
      </x:c>
      <x:c r="Q1572" s="26" t="n">
        <x:v>0</x:v>
      </x:c>
      <x:c r="R1572" s="26" t="n">
        <x:v>0</x:v>
      </x:c>
      <x:c r="S1572" s="26" t="n">
        <x:v>0</x:v>
      </x:c>
      <x:c r="T1572" s="26" t="n">
        <x:v>0</x:v>
      </x:c>
      <x:c r="U1572" s="26" t="n">
        <x:v>720</x:v>
      </x:c>
      <x:c r="V1572" s="26" t="n">
        <x:v>0</x:v>
      </x:c>
      <x:c r="W1572" s="26" t="n">
        <x:v>0</x:v>
      </x:c>
      <x:c r="X1572" s="26" t="n">
        <x:v>0</x:v>
      </x:c>
      <x:c r="Y1572" s="26" t="n">
        <x:v>0</x:v>
      </x:c>
      <x:c r="Z1572" s="35" t="str">
        <x:v>Franklin County Treasurer</x:v>
      </x:c>
    </x:row>
    <x:row r="1573">
      <x:c r="A1573" s="20" t="str">
        <x:v>FIN-01570</x:v>
      </x:c>
      <x:c r="B1573" s="23" t="n">
        <x:v>46464</x:v>
      </x:c>
      <x:c r="C1573" s="23" t="n">
        <x:v>46464</x:v>
      </x:c>
      <x:c r="D1573" s="20" t="str">
        <x:v>OperatingExpense</x:v>
      </x:c>
      <x:c r="E1573" s="20" t="str">
        <x:v>Insurance</x:v>
      </x:c>
      <x:c r="F1573" s="20" t="str">
        <x:v>P015</x:v>
      </x:c>
      <x:c r="G1573" s="20" t="str"/>
      <x:c r="H1573" s="20" t="str"/>
      <x:c r="I1573" s="20" t="str">
        <x:v>Buckeye Mutual Insurance</x:v>
      </x:c>
      <x:c r="J1573" s="35" t="str">
        <x:v>Manual web form</x:v>
      </x:c>
      <x:c r="K1573" s="20" t="str"/>
      <x:c r="L1573" s="20" t="str">
        <x:v>EXP-20270318-2015</x:v>
      </x:c>
      <x:c r="M1573" s="26" t="n">
        <x:v>1235</x:v>
      </x:c>
      <x:c r="N1573" s="26" t="n">
        <x:v>0</x:v>
      </x:c>
      <x:c r="O1573" s="26" t="n">
        <x:v>-1235</x:v>
      </x:c>
      <x:c r="P1573" s="26" t="n">
        <x:v>0</x:v>
      </x:c>
      <x:c r="Q1573" s="26" t="n">
        <x:v>0</x:v>
      </x:c>
      <x:c r="R1573" s="26" t="n">
        <x:v>0</x:v>
      </x:c>
      <x:c r="S1573" s="26" t="n">
        <x:v>0</x:v>
      </x:c>
      <x:c r="T1573" s="26" t="n">
        <x:v>0</x:v>
      </x:c>
      <x:c r="U1573" s="26" t="n">
        <x:v>1235</x:v>
      </x:c>
      <x:c r="V1573" s="26" t="n">
        <x:v>0</x:v>
      </x:c>
      <x:c r="W1573" s="26" t="n">
        <x:v>0</x:v>
      </x:c>
      <x:c r="X1573" s="26" t="n">
        <x:v>0</x:v>
      </x:c>
      <x:c r="Y1573" s="26" t="n">
        <x:v>0</x:v>
      </x:c>
      <x:c r="Z1573" s="35" t="str">
        <x:v>Buckeye Mutual Insurance</x:v>
      </x:c>
    </x:row>
    <x:row r="1574">
      <x:c r="A1574" s="20" t="str">
        <x:v>FIN-01571</x:v>
      </x:c>
      <x:c r="B1574" s="23" t="n">
        <x:v>46474</x:v>
      </x:c>
      <x:c r="C1574" s="23" t="n">
        <x:v>46474</x:v>
      </x:c>
      <x:c r="D1574" s="20" t="str">
        <x:v>OperatingExpense</x:v>
      </x:c>
      <x:c r="E1574" s="20" t="str">
        <x:v>Property tax</x:v>
      </x:c>
      <x:c r="F1574" s="20" t="str">
        <x:v>P015</x:v>
      </x:c>
      <x:c r="G1574" s="20" t="str"/>
      <x:c r="H1574" s="20" t="str"/>
      <x:c r="I1574" s="20" t="str">
        <x:v>Franklin County Treasurer</x:v>
      </x:c>
      <x:c r="J1574" s="35" t="str">
        <x:v>Manual web form</x:v>
      </x:c>
      <x:c r="K1574" s="20" t="str"/>
      <x:c r="L1574" s="20" t="str">
        <x:v>EXP-20270328-3115</x:v>
      </x:c>
      <x:c r="M1574" s="26" t="n">
        <x:v>712</x:v>
      </x:c>
      <x:c r="N1574" s="26" t="n">
        <x:v>0</x:v>
      </x:c>
      <x:c r="O1574" s="26" t="n">
        <x:v>-712</x:v>
      </x:c>
      <x:c r="P1574" s="26" t="n">
        <x:v>0</x:v>
      </x:c>
      <x:c r="Q1574" s="26" t="n">
        <x:v>0</x:v>
      </x:c>
      <x:c r="R1574" s="26" t="n">
        <x:v>0</x:v>
      </x:c>
      <x:c r="S1574" s="26" t="n">
        <x:v>0</x:v>
      </x:c>
      <x:c r="T1574" s="26" t="n">
        <x:v>0</x:v>
      </x:c>
      <x:c r="U1574" s="26" t="n">
        <x:v>712</x:v>
      </x:c>
      <x:c r="V1574" s="26" t="n">
        <x:v>0</x:v>
      </x:c>
      <x:c r="W1574" s="26" t="n">
        <x:v>0</x:v>
      </x:c>
      <x:c r="X1574" s="26" t="n">
        <x:v>0</x:v>
      </x:c>
      <x:c r="Y1574" s="26" t="n">
        <x:v>0</x:v>
      </x:c>
      <x:c r="Z1574" s="35" t="str">
        <x:v>Franklin County Treasurer</x:v>
      </x:c>
    </x:row>
    <x:row r="1575">
      <x:c r="A1575" s="20" t="str">
        <x:v>FIN-01572</x:v>
      </x:c>
      <x:c r="B1575" s="23" t="n">
        <x:v>46566</x:v>
      </x:c>
      <x:c r="C1575" s="23" t="n">
        <x:v>46566</x:v>
      </x:c>
      <x:c r="D1575" s="20" t="str">
        <x:v>OperatingExpense</x:v>
      </x:c>
      <x:c r="E1575" s="20" t="str">
        <x:v>Property tax</x:v>
      </x:c>
      <x:c r="F1575" s="20" t="str">
        <x:v>P015</x:v>
      </x:c>
      <x:c r="G1575" s="20" t="str"/>
      <x:c r="H1575" s="20" t="str"/>
      <x:c r="I1575" s="20" t="str">
        <x:v>Franklin County Treasurer</x:v>
      </x:c>
      <x:c r="J1575" s="35" t="str">
        <x:v>Manual web form</x:v>
      </x:c>
      <x:c r="K1575" s="20" t="str"/>
      <x:c r="L1575" s="20" t="str">
        <x:v>EXP-20270628-3215</x:v>
      </x:c>
      <x:c r="M1575" s="26" t="n">
        <x:v>719</x:v>
      </x:c>
      <x:c r="N1575" s="26" t="n">
        <x:v>0</x:v>
      </x:c>
      <x:c r="O1575" s="26" t="n">
        <x:v>-719</x:v>
      </x:c>
      <x:c r="P1575" s="26" t="n">
        <x:v>0</x:v>
      </x:c>
      <x:c r="Q1575" s="26" t="n">
        <x:v>0</x:v>
      </x:c>
      <x:c r="R1575" s="26" t="n">
        <x:v>0</x:v>
      </x:c>
      <x:c r="S1575" s="26" t="n">
        <x:v>0</x:v>
      </x:c>
      <x:c r="T1575" s="26" t="n">
        <x:v>0</x:v>
      </x:c>
      <x:c r="U1575" s="26" t="n">
        <x:v>719</x:v>
      </x:c>
      <x:c r="V1575" s="26" t="n">
        <x:v>0</x:v>
      </x:c>
      <x:c r="W1575" s="26" t="n">
        <x:v>0</x:v>
      </x:c>
      <x:c r="X1575" s="26" t="n">
        <x:v>0</x:v>
      </x:c>
      <x:c r="Y1575" s="26" t="n">
        <x:v>0</x:v>
      </x:c>
      <x:c r="Z1575" s="35" t="str">
        <x:v>Franklin County Treasurer</x:v>
      </x:c>
    </x:row>
    <x:row r="1576">
      <x:c r="A1576" s="20" t="str">
        <x:v>FIN-01573</x:v>
      </x:c>
      <x:c r="B1576" s="23" t="n">
        <x:v>46658</x:v>
      </x:c>
      <x:c r="C1576" s="23" t="n">
        <x:v>46658</x:v>
      </x:c>
      <x:c r="D1576" s="20" t="str">
        <x:v>OperatingExpense</x:v>
      </x:c>
      <x:c r="E1576" s="20" t="str">
        <x:v>Property tax</x:v>
      </x:c>
      <x:c r="F1576" s="20" t="str">
        <x:v>P015</x:v>
      </x:c>
      <x:c r="G1576" s="20" t="str"/>
      <x:c r="H1576" s="20" t="str"/>
      <x:c r="I1576" s="20" t="str">
        <x:v>Franklin County Treasurer</x:v>
      </x:c>
      <x:c r="J1576" s="35" t="str">
        <x:v>Manual web form</x:v>
      </x:c>
      <x:c r="K1576" s="20" t="str"/>
      <x:c r="L1576" s="20" t="str">
        <x:v>EXP-20270928-3315</x:v>
      </x:c>
      <x:c r="M1576" s="26" t="n">
        <x:v>726</x:v>
      </x:c>
      <x:c r="N1576" s="26" t="n">
        <x:v>0</x:v>
      </x:c>
      <x:c r="O1576" s="26" t="n">
        <x:v>-726</x:v>
      </x:c>
      <x:c r="P1576" s="26" t="n">
        <x:v>0</x:v>
      </x:c>
      <x:c r="Q1576" s="26" t="n">
        <x:v>0</x:v>
      </x:c>
      <x:c r="R1576" s="26" t="n">
        <x:v>0</x:v>
      </x:c>
      <x:c r="S1576" s="26" t="n">
        <x:v>0</x:v>
      </x:c>
      <x:c r="T1576" s="26" t="n">
        <x:v>0</x:v>
      </x:c>
      <x:c r="U1576" s="26" t="n">
        <x:v>726</x:v>
      </x:c>
      <x:c r="V1576" s="26" t="n">
        <x:v>0</x:v>
      </x:c>
      <x:c r="W1576" s="26" t="n">
        <x:v>0</x:v>
      </x:c>
      <x:c r="X1576" s="26" t="n">
        <x:v>0</x:v>
      </x:c>
      <x:c r="Y1576" s="26" t="n">
        <x:v>0</x:v>
      </x:c>
      <x:c r="Z1576" s="35" t="str">
        <x:v>Franklin County Treasurer</x:v>
      </x:c>
    </x:row>
    <x:row r="1577">
      <x:c r="A1577" s="20" t="str">
        <x:v>FIN-01574</x:v>
      </x:c>
      <x:c r="B1577" s="23" t="n">
        <x:v>46749</x:v>
      </x:c>
      <x:c r="C1577" s="23" t="n">
        <x:v>46749</x:v>
      </x:c>
      <x:c r="D1577" s="20" t="str">
        <x:v>OperatingExpense</x:v>
      </x:c>
      <x:c r="E1577" s="20" t="str">
        <x:v>Property tax</x:v>
      </x:c>
      <x:c r="F1577" s="20" t="str">
        <x:v>P015</x:v>
      </x:c>
      <x:c r="G1577" s="20" t="str"/>
      <x:c r="H1577" s="20" t="str"/>
      <x:c r="I1577" s="20" t="str">
        <x:v>Franklin County Treasurer</x:v>
      </x:c>
      <x:c r="J1577" s="35" t="str">
        <x:v>Manual web form</x:v>
      </x:c>
      <x:c r="K1577" s="20" t="str"/>
      <x:c r="L1577" s="20" t="str">
        <x:v>EXP-20271228-3415</x:v>
      </x:c>
      <x:c r="M1577" s="26" t="n">
        <x:v>733</x:v>
      </x:c>
      <x:c r="N1577" s="26" t="n">
        <x:v>0</x:v>
      </x:c>
      <x:c r="O1577" s="26" t="n">
        <x:v>-733</x:v>
      </x:c>
      <x:c r="P1577" s="26" t="n">
        <x:v>0</x:v>
      </x:c>
      <x:c r="Q1577" s="26" t="n">
        <x:v>0</x:v>
      </x:c>
      <x:c r="R1577" s="26" t="n">
        <x:v>0</x:v>
      </x:c>
      <x:c r="S1577" s="26" t="n">
        <x:v>0</x:v>
      </x:c>
      <x:c r="T1577" s="26" t="n">
        <x:v>0</x:v>
      </x:c>
      <x:c r="U1577" s="26" t="n">
        <x:v>733</x:v>
      </x:c>
      <x:c r="V1577" s="26" t="n">
        <x:v>0</x:v>
      </x:c>
      <x:c r="W1577" s="26" t="n">
        <x:v>0</x:v>
      </x:c>
      <x:c r="X1577" s="26" t="n">
        <x:v>0</x:v>
      </x:c>
      <x:c r="Y1577" s="26" t="n">
        <x:v>0</x:v>
      </x:c>
      <x:c r="Z1577" s="35" t="str">
        <x:v>Franklin County Treasurer</x:v>
      </x:c>
    </x:row>
    <x:row r="1578">
      <x:c r="A1578" s="20" t="str">
        <x:v>FIN-01575</x:v>
      </x:c>
      <x:c r="B1578" s="23" t="n">
        <x:v>46495</x:v>
      </x:c>
      <x:c r="C1578" s="23" t="n">
        <x:v>46495</x:v>
      </x:c>
      <x:c r="D1578" s="20" t="str">
        <x:v>OperatingExpense</x:v>
      </x:c>
      <x:c r="E1578" s="20" t="str">
        <x:v>Insurance</x:v>
      </x:c>
      <x:c r="F1578" s="20" t="str">
        <x:v>P016</x:v>
      </x:c>
      <x:c r="G1578" s="20" t="str"/>
      <x:c r="H1578" s="20" t="str"/>
      <x:c r="I1578" s="20" t="str">
        <x:v>Buckeye Mutual Insurance</x:v>
      </x:c>
      <x:c r="J1578" s="35" t="str">
        <x:v>Scanned receipt/invoice</x:v>
      </x:c>
      <x:c r="K1578" s="20" t="str">
        <x:v>SCN-0849</x:v>
      </x:c>
      <x:c r="L1578" s="20" t="str">
        <x:v>EXP-20270418-2016</x:v>
      </x:c>
      <x:c r="M1578" s="26" t="n">
        <x:v>1252</x:v>
      </x:c>
      <x:c r="N1578" s="26" t="n">
        <x:v>0</x:v>
      </x:c>
      <x:c r="O1578" s="26" t="n">
        <x:v>-1252</x:v>
      </x:c>
      <x:c r="P1578" s="26" t="n">
        <x:v>0</x:v>
      </x:c>
      <x:c r="Q1578" s="26" t="n">
        <x:v>0</x:v>
      </x:c>
      <x:c r="R1578" s="26" t="n">
        <x:v>0</x:v>
      </x:c>
      <x:c r="S1578" s="26" t="n">
        <x:v>0</x:v>
      </x:c>
      <x:c r="T1578" s="26" t="n">
        <x:v>0</x:v>
      </x:c>
      <x:c r="U1578" s="26" t="n">
        <x:v>1252</x:v>
      </x:c>
      <x:c r="V1578" s="26" t="n">
        <x:v>0</x:v>
      </x:c>
      <x:c r="W1578" s="26" t="n">
        <x:v>0</x:v>
      </x:c>
      <x:c r="X1578" s="26" t="n">
        <x:v>0</x:v>
      </x:c>
      <x:c r="Y1578" s="26" t="n">
        <x:v>0</x:v>
      </x:c>
      <x:c r="Z1578" s="35" t="str">
        <x:v>Buckeye Mutual Insurance</x:v>
      </x:c>
    </x:row>
    <x:row r="1579">
      <x:c r="A1579" s="20" t="str">
        <x:v>FIN-01576</x:v>
      </x:c>
      <x:c r="B1579" s="23" t="n">
        <x:v>46474</x:v>
      </x:c>
      <x:c r="C1579" s="23" t="n">
        <x:v>46474</x:v>
      </x:c>
      <x:c r="D1579" s="20" t="str">
        <x:v>OperatingExpense</x:v>
      </x:c>
      <x:c r="E1579" s="20" t="str">
        <x:v>Property tax</x:v>
      </x:c>
      <x:c r="F1579" s="20" t="str">
        <x:v>P016</x:v>
      </x:c>
      <x:c r="G1579" s="20" t="str"/>
      <x:c r="H1579" s="20" t="str"/>
      <x:c r="I1579" s="20" t="str">
        <x:v>Franklin County Treasurer</x:v>
      </x:c>
      <x:c r="J1579" s="35" t="str">
        <x:v>Scanned receipt/invoice</x:v>
      </x:c>
      <x:c r="K1579" s="20" t="str">
        <x:v>SCN-0850</x:v>
      </x:c>
      <x:c r="L1579" s="20" t="str">
        <x:v>EXP-20270328-3116</x:v>
      </x:c>
      <x:c r="M1579" s="26" t="n">
        <x:v>725</x:v>
      </x:c>
      <x:c r="N1579" s="26" t="n">
        <x:v>0</x:v>
      </x:c>
      <x:c r="O1579" s="26" t="n">
        <x:v>-725</x:v>
      </x:c>
      <x:c r="P1579" s="26" t="n">
        <x:v>0</x:v>
      </x:c>
      <x:c r="Q1579" s="26" t="n">
        <x:v>0</x:v>
      </x:c>
      <x:c r="R1579" s="26" t="n">
        <x:v>0</x:v>
      </x:c>
      <x:c r="S1579" s="26" t="n">
        <x:v>0</x:v>
      </x:c>
      <x:c r="T1579" s="26" t="n">
        <x:v>0</x:v>
      </x:c>
      <x:c r="U1579" s="26" t="n">
        <x:v>725</x:v>
      </x:c>
      <x:c r="V1579" s="26" t="n">
        <x:v>0</x:v>
      </x:c>
      <x:c r="W1579" s="26" t="n">
        <x:v>0</x:v>
      </x:c>
      <x:c r="X1579" s="26" t="n">
        <x:v>0</x:v>
      </x:c>
      <x:c r="Y1579" s="26" t="n">
        <x:v>0</x:v>
      </x:c>
      <x:c r="Z1579" s="35" t="str">
        <x:v>Franklin County Treasurer</x:v>
      </x:c>
    </x:row>
    <x:row r="1580">
      <x:c r="A1580" s="20" t="str">
        <x:v>FIN-01577</x:v>
      </x:c>
      <x:c r="B1580" s="23" t="n">
        <x:v>46566</x:v>
      </x:c>
      <x:c r="C1580" s="23" t="n">
        <x:v>46566</x:v>
      </x:c>
      <x:c r="D1580" s="20" t="str">
        <x:v>OperatingExpense</x:v>
      </x:c>
      <x:c r="E1580" s="20" t="str">
        <x:v>Property tax</x:v>
      </x:c>
      <x:c r="F1580" s="20" t="str">
        <x:v>P016</x:v>
      </x:c>
      <x:c r="G1580" s="20" t="str"/>
      <x:c r="H1580" s="20" t="str"/>
      <x:c r="I1580" s="20" t="str">
        <x:v>Franklin County Treasurer</x:v>
      </x:c>
      <x:c r="J1580" s="35" t="str">
        <x:v>Scanned receipt/invoice</x:v>
      </x:c>
      <x:c r="K1580" s="20" t="str">
        <x:v>SCN-0851</x:v>
      </x:c>
      <x:c r="L1580" s="20" t="str">
        <x:v>EXP-20270628-3216</x:v>
      </x:c>
      <x:c r="M1580" s="26" t="n">
        <x:v>732</x:v>
      </x:c>
      <x:c r="N1580" s="26" t="n">
        <x:v>0</x:v>
      </x:c>
      <x:c r="O1580" s="26" t="n">
        <x:v>-732</x:v>
      </x:c>
      <x:c r="P1580" s="26" t="n">
        <x:v>0</x:v>
      </x:c>
      <x:c r="Q1580" s="26" t="n">
        <x:v>0</x:v>
      </x:c>
      <x:c r="R1580" s="26" t="n">
        <x:v>0</x:v>
      </x:c>
      <x:c r="S1580" s="26" t="n">
        <x:v>0</x:v>
      </x:c>
      <x:c r="T1580" s="26" t="n">
        <x:v>0</x:v>
      </x:c>
      <x:c r="U1580" s="26" t="n">
        <x:v>732</x:v>
      </x:c>
      <x:c r="V1580" s="26" t="n">
        <x:v>0</x:v>
      </x:c>
      <x:c r="W1580" s="26" t="n">
        <x:v>0</x:v>
      </x:c>
      <x:c r="X1580" s="26" t="n">
        <x:v>0</x:v>
      </x:c>
      <x:c r="Y1580" s="26" t="n">
        <x:v>0</x:v>
      </x:c>
      <x:c r="Z1580" s="35" t="str">
        <x:v>Franklin County Treasurer</x:v>
      </x:c>
    </x:row>
    <x:row r="1581">
      <x:c r="A1581" s="20" t="str">
        <x:v>FIN-01578</x:v>
      </x:c>
      <x:c r="B1581" s="23" t="n">
        <x:v>46658</x:v>
      </x:c>
      <x:c r="C1581" s="23" t="n">
        <x:v>46658</x:v>
      </x:c>
      <x:c r="D1581" s="20" t="str">
        <x:v>OperatingExpense</x:v>
      </x:c>
      <x:c r="E1581" s="20" t="str">
        <x:v>Property tax</x:v>
      </x:c>
      <x:c r="F1581" s="20" t="str">
        <x:v>P016</x:v>
      </x:c>
      <x:c r="G1581" s="20" t="str"/>
      <x:c r="H1581" s="20" t="str"/>
      <x:c r="I1581" s="20" t="str">
        <x:v>Franklin County Treasurer</x:v>
      </x:c>
      <x:c r="J1581" s="35" t="str">
        <x:v>Scanned receipt/invoice</x:v>
      </x:c>
      <x:c r="K1581" s="20" t="str">
        <x:v>SCN-0852</x:v>
      </x:c>
      <x:c r="L1581" s="20" t="str">
        <x:v>EXP-20270928-3316</x:v>
      </x:c>
      <x:c r="M1581" s="26" t="n">
        <x:v>739</x:v>
      </x:c>
      <x:c r="N1581" s="26" t="n">
        <x:v>0</x:v>
      </x:c>
      <x:c r="O1581" s="26" t="n">
        <x:v>-739</x:v>
      </x:c>
      <x:c r="P1581" s="26" t="n">
        <x:v>0</x:v>
      </x:c>
      <x:c r="Q1581" s="26" t="n">
        <x:v>0</x:v>
      </x:c>
      <x:c r="R1581" s="26" t="n">
        <x:v>0</x:v>
      </x:c>
      <x:c r="S1581" s="26" t="n">
        <x:v>0</x:v>
      </x:c>
      <x:c r="T1581" s="26" t="n">
        <x:v>0</x:v>
      </x:c>
      <x:c r="U1581" s="26" t="n">
        <x:v>739</x:v>
      </x:c>
      <x:c r="V1581" s="26" t="n">
        <x:v>0</x:v>
      </x:c>
      <x:c r="W1581" s="26" t="n">
        <x:v>0</x:v>
      </x:c>
      <x:c r="X1581" s="26" t="n">
        <x:v>0</x:v>
      </x:c>
      <x:c r="Y1581" s="26" t="n">
        <x:v>0</x:v>
      </x:c>
      <x:c r="Z1581" s="35" t="str">
        <x:v>Franklin County Treasurer</x:v>
      </x:c>
    </x:row>
    <x:row r="1582">
      <x:c r="A1582" s="20" t="str">
        <x:v>FIN-01579</x:v>
      </x:c>
      <x:c r="B1582" s="23" t="n">
        <x:v>46749</x:v>
      </x:c>
      <x:c r="C1582" s="23" t="n">
        <x:v>46749</x:v>
      </x:c>
      <x:c r="D1582" s="20" t="str">
        <x:v>OperatingExpense</x:v>
      </x:c>
      <x:c r="E1582" s="20" t="str">
        <x:v>Property tax</x:v>
      </x:c>
      <x:c r="F1582" s="20" t="str">
        <x:v>P016</x:v>
      </x:c>
      <x:c r="G1582" s="20" t="str"/>
      <x:c r="H1582" s="20" t="str"/>
      <x:c r="I1582" s="20" t="str">
        <x:v>Franklin County Treasurer</x:v>
      </x:c>
      <x:c r="J1582" s="35" t="str">
        <x:v>Scanned receipt/invoice</x:v>
      </x:c>
      <x:c r="K1582" s="20" t="str">
        <x:v>SCN-0853</x:v>
      </x:c>
      <x:c r="L1582" s="20" t="str">
        <x:v>EXP-20271228-3416</x:v>
      </x:c>
      <x:c r="M1582" s="26" t="n">
        <x:v>746</x:v>
      </x:c>
      <x:c r="N1582" s="26" t="n">
        <x:v>0</x:v>
      </x:c>
      <x:c r="O1582" s="26" t="n">
        <x:v>-746</x:v>
      </x:c>
      <x:c r="P1582" s="26" t="n">
        <x:v>0</x:v>
      </x:c>
      <x:c r="Q1582" s="26" t="n">
        <x:v>0</x:v>
      </x:c>
      <x:c r="R1582" s="26" t="n">
        <x:v>0</x:v>
      </x:c>
      <x:c r="S1582" s="26" t="n">
        <x:v>0</x:v>
      </x:c>
      <x:c r="T1582" s="26" t="n">
        <x:v>0</x:v>
      </x:c>
      <x:c r="U1582" s="26" t="n">
        <x:v>746</x:v>
      </x:c>
      <x:c r="V1582" s="26" t="n">
        <x:v>0</x:v>
      </x:c>
      <x:c r="W1582" s="26" t="n">
        <x:v>0</x:v>
      </x:c>
      <x:c r="X1582" s="26" t="n">
        <x:v>0</x:v>
      </x:c>
      <x:c r="Y1582" s="26" t="n">
        <x:v>0</x:v>
      </x:c>
      <x:c r="Z1582" s="35" t="str">
        <x:v>Franklin County Treasurer</x:v>
      </x:c>
    </x:row>
    <x:row r="1583">
      <x:c r="A1583" s="20" t="str">
        <x:v>FIN-01580</x:v>
      </x:c>
      <x:c r="B1583" s="23" t="n">
        <x:v>46525</x:v>
      </x:c>
      <x:c r="C1583" s="23" t="n">
        <x:v>46525</x:v>
      </x:c>
      <x:c r="D1583" s="20" t="str">
        <x:v>OperatingExpense</x:v>
      </x:c>
      <x:c r="E1583" s="20" t="str">
        <x:v>Insurance</x:v>
      </x:c>
      <x:c r="F1583" s="20" t="str">
        <x:v>P017</x:v>
      </x:c>
      <x:c r="G1583" s="20" t="str"/>
      <x:c r="H1583" s="20" t="str"/>
      <x:c r="I1583" s="20" t="str">
        <x:v>Buckeye Mutual Insurance</x:v>
      </x:c>
      <x:c r="J1583" s="35" t="str">
        <x:v>Scanned receipt/invoice</x:v>
      </x:c>
      <x:c r="K1583" s="20" t="str">
        <x:v>SCN-0854</x:v>
      </x:c>
      <x:c r="L1583" s="20" t="str">
        <x:v>EXP-20270518-2017</x:v>
      </x:c>
      <x:c r="M1583" s="26" t="n">
        <x:v>1269</x:v>
      </x:c>
      <x:c r="N1583" s="26" t="n">
        <x:v>0</x:v>
      </x:c>
      <x:c r="O1583" s="26" t="n">
        <x:v>-1269</x:v>
      </x:c>
      <x:c r="P1583" s="26" t="n">
        <x:v>0</x:v>
      </x:c>
      <x:c r="Q1583" s="26" t="n">
        <x:v>0</x:v>
      </x:c>
      <x:c r="R1583" s="26" t="n">
        <x:v>0</x:v>
      </x:c>
      <x:c r="S1583" s="26" t="n">
        <x:v>0</x:v>
      </x:c>
      <x:c r="T1583" s="26" t="n">
        <x:v>0</x:v>
      </x:c>
      <x:c r="U1583" s="26" t="n">
        <x:v>1269</x:v>
      </x:c>
      <x:c r="V1583" s="26" t="n">
        <x:v>0</x:v>
      </x:c>
      <x:c r="W1583" s="26" t="n">
        <x:v>0</x:v>
      </x:c>
      <x:c r="X1583" s="26" t="n">
        <x:v>0</x:v>
      </x:c>
      <x:c r="Y1583" s="26" t="n">
        <x:v>0</x:v>
      </x:c>
      <x:c r="Z1583" s="35" t="str">
        <x:v>Buckeye Mutual Insurance</x:v>
      </x:c>
    </x:row>
    <x:row r="1584">
      <x:c r="A1584" s="20" t="str">
        <x:v>FIN-01581</x:v>
      </x:c>
      <x:c r="B1584" s="23" t="n">
        <x:v>46474</x:v>
      </x:c>
      <x:c r="C1584" s="23" t="n">
        <x:v>46474</x:v>
      </x:c>
      <x:c r="D1584" s="20" t="str">
        <x:v>OperatingExpense</x:v>
      </x:c>
      <x:c r="E1584" s="20" t="str">
        <x:v>Property tax</x:v>
      </x:c>
      <x:c r="F1584" s="20" t="str">
        <x:v>P017</x:v>
      </x:c>
      <x:c r="G1584" s="20" t="str"/>
      <x:c r="H1584" s="20" t="str"/>
      <x:c r="I1584" s="20" t="str">
        <x:v>Franklin County Treasurer</x:v>
      </x:c>
      <x:c r="J1584" s="35" t="str">
        <x:v>Scanned receipt/invoice</x:v>
      </x:c>
      <x:c r="K1584" s="20" t="str">
        <x:v>SCN-0855</x:v>
      </x:c>
      <x:c r="L1584" s="20" t="str">
        <x:v>EXP-20270328-3117</x:v>
      </x:c>
      <x:c r="M1584" s="26" t="n">
        <x:v>738</x:v>
      </x:c>
      <x:c r="N1584" s="26" t="n">
        <x:v>0</x:v>
      </x:c>
      <x:c r="O1584" s="26" t="n">
        <x:v>-738</x:v>
      </x:c>
      <x:c r="P1584" s="26" t="n">
        <x:v>0</x:v>
      </x:c>
      <x:c r="Q1584" s="26" t="n">
        <x:v>0</x:v>
      </x:c>
      <x:c r="R1584" s="26" t="n">
        <x:v>0</x:v>
      </x:c>
      <x:c r="S1584" s="26" t="n">
        <x:v>0</x:v>
      </x:c>
      <x:c r="T1584" s="26" t="n">
        <x:v>0</x:v>
      </x:c>
      <x:c r="U1584" s="26" t="n">
        <x:v>738</x:v>
      </x:c>
      <x:c r="V1584" s="26" t="n">
        <x:v>0</x:v>
      </x:c>
      <x:c r="W1584" s="26" t="n">
        <x:v>0</x:v>
      </x:c>
      <x:c r="X1584" s="26" t="n">
        <x:v>0</x:v>
      </x:c>
      <x:c r="Y1584" s="26" t="n">
        <x:v>0</x:v>
      </x:c>
      <x:c r="Z1584" s="35" t="str">
        <x:v>Franklin County Treasurer</x:v>
      </x:c>
    </x:row>
    <x:row r="1585">
      <x:c r="A1585" s="20" t="str">
        <x:v>FIN-01582</x:v>
      </x:c>
      <x:c r="B1585" s="23" t="n">
        <x:v>46566</x:v>
      </x:c>
      <x:c r="C1585" s="23" t="n">
        <x:v>46566</x:v>
      </x:c>
      <x:c r="D1585" s="20" t="str">
        <x:v>OperatingExpense</x:v>
      </x:c>
      <x:c r="E1585" s="20" t="str">
        <x:v>Property tax</x:v>
      </x:c>
      <x:c r="F1585" s="20" t="str">
        <x:v>P017</x:v>
      </x:c>
      <x:c r="G1585" s="20" t="str"/>
      <x:c r="H1585" s="20" t="str"/>
      <x:c r="I1585" s="20" t="str">
        <x:v>Franklin County Treasurer</x:v>
      </x:c>
      <x:c r="J1585" s="35" t="str">
        <x:v>Scanned receipt/invoice</x:v>
      </x:c>
      <x:c r="K1585" s="20" t="str">
        <x:v>SCN-0856</x:v>
      </x:c>
      <x:c r="L1585" s="20" t="str">
        <x:v>EXP-20270628-3217</x:v>
      </x:c>
      <x:c r="M1585" s="26" t="n">
        <x:v>745</x:v>
      </x:c>
      <x:c r="N1585" s="26" t="n">
        <x:v>0</x:v>
      </x:c>
      <x:c r="O1585" s="26" t="n">
        <x:v>-745</x:v>
      </x:c>
      <x:c r="P1585" s="26" t="n">
        <x:v>0</x:v>
      </x:c>
      <x:c r="Q1585" s="26" t="n">
        <x:v>0</x:v>
      </x:c>
      <x:c r="R1585" s="26" t="n">
        <x:v>0</x:v>
      </x:c>
      <x:c r="S1585" s="26" t="n">
        <x:v>0</x:v>
      </x:c>
      <x:c r="T1585" s="26" t="n">
        <x:v>0</x:v>
      </x:c>
      <x:c r="U1585" s="26" t="n">
        <x:v>745</x:v>
      </x:c>
      <x:c r="V1585" s="26" t="n">
        <x:v>0</x:v>
      </x:c>
      <x:c r="W1585" s="26" t="n">
        <x:v>0</x:v>
      </x:c>
      <x:c r="X1585" s="26" t="n">
        <x:v>0</x:v>
      </x:c>
      <x:c r="Y1585" s="26" t="n">
        <x:v>0</x:v>
      </x:c>
      <x:c r="Z1585" s="35" t="str">
        <x:v>Franklin County Treasurer</x:v>
      </x:c>
    </x:row>
    <x:row r="1586">
      <x:c r="A1586" s="20" t="str">
        <x:v>FIN-01583</x:v>
      </x:c>
      <x:c r="B1586" s="23" t="n">
        <x:v>46658</x:v>
      </x:c>
      <x:c r="C1586" s="23" t="n">
        <x:v>46658</x:v>
      </x:c>
      <x:c r="D1586" s="20" t="str">
        <x:v>OperatingExpense</x:v>
      </x:c>
      <x:c r="E1586" s="20" t="str">
        <x:v>Property tax</x:v>
      </x:c>
      <x:c r="F1586" s="20" t="str">
        <x:v>P017</x:v>
      </x:c>
      <x:c r="G1586" s="20" t="str"/>
      <x:c r="H1586" s="20" t="str"/>
      <x:c r="I1586" s="20" t="str">
        <x:v>Franklin County Treasurer</x:v>
      </x:c>
      <x:c r="J1586" s="35" t="str">
        <x:v>Scanned receipt/invoice</x:v>
      </x:c>
      <x:c r="K1586" s="20" t="str">
        <x:v>SCN-0857</x:v>
      </x:c>
      <x:c r="L1586" s="20" t="str">
        <x:v>EXP-20270928-3317</x:v>
      </x:c>
      <x:c r="M1586" s="26" t="n">
        <x:v>752</x:v>
      </x:c>
      <x:c r="N1586" s="26" t="n">
        <x:v>0</x:v>
      </x:c>
      <x:c r="O1586" s="26" t="n">
        <x:v>-752</x:v>
      </x:c>
      <x:c r="P1586" s="26" t="n">
        <x:v>0</x:v>
      </x:c>
      <x:c r="Q1586" s="26" t="n">
        <x:v>0</x:v>
      </x:c>
      <x:c r="R1586" s="26" t="n">
        <x:v>0</x:v>
      </x:c>
      <x:c r="S1586" s="26" t="n">
        <x:v>0</x:v>
      </x:c>
      <x:c r="T1586" s="26" t="n">
        <x:v>0</x:v>
      </x:c>
      <x:c r="U1586" s="26" t="n">
        <x:v>752</x:v>
      </x:c>
      <x:c r="V1586" s="26" t="n">
        <x:v>0</x:v>
      </x:c>
      <x:c r="W1586" s="26" t="n">
        <x:v>0</x:v>
      </x:c>
      <x:c r="X1586" s="26" t="n">
        <x:v>0</x:v>
      </x:c>
      <x:c r="Y1586" s="26" t="n">
        <x:v>0</x:v>
      </x:c>
      <x:c r="Z1586" s="35" t="str">
        <x:v>Franklin County Treasurer</x:v>
      </x:c>
    </x:row>
    <x:row r="1587">
      <x:c r="A1587" s="20" t="str">
        <x:v>FIN-01584</x:v>
      </x:c>
      <x:c r="B1587" s="23" t="n">
        <x:v>46749</x:v>
      </x:c>
      <x:c r="C1587" s="23" t="n">
        <x:v>46749</x:v>
      </x:c>
      <x:c r="D1587" s="20" t="str">
        <x:v>OperatingExpense</x:v>
      </x:c>
      <x:c r="E1587" s="20" t="str">
        <x:v>Property tax</x:v>
      </x:c>
      <x:c r="F1587" s="20" t="str">
        <x:v>P017</x:v>
      </x:c>
      <x:c r="G1587" s="20" t="str"/>
      <x:c r="H1587" s="20" t="str"/>
      <x:c r="I1587" s="20" t="str">
        <x:v>Franklin County Treasurer</x:v>
      </x:c>
      <x:c r="J1587" s="35" t="str">
        <x:v>Scanned receipt/invoice</x:v>
      </x:c>
      <x:c r="K1587" s="20" t="str">
        <x:v>SCN-0858</x:v>
      </x:c>
      <x:c r="L1587" s="20" t="str">
        <x:v>EXP-20271228-3417</x:v>
      </x:c>
      <x:c r="M1587" s="26" t="n">
        <x:v>759</x:v>
      </x:c>
      <x:c r="N1587" s="26" t="n">
        <x:v>0</x:v>
      </x:c>
      <x:c r="O1587" s="26" t="n">
        <x:v>-759</x:v>
      </x:c>
      <x:c r="P1587" s="26" t="n">
        <x:v>0</x:v>
      </x:c>
      <x:c r="Q1587" s="26" t="n">
        <x:v>0</x:v>
      </x:c>
      <x:c r="R1587" s="26" t="n">
        <x:v>0</x:v>
      </x:c>
      <x:c r="S1587" s="26" t="n">
        <x:v>0</x:v>
      </x:c>
      <x:c r="T1587" s="26" t="n">
        <x:v>0</x:v>
      </x:c>
      <x:c r="U1587" s="26" t="n">
        <x:v>759</x:v>
      </x:c>
      <x:c r="V1587" s="26" t="n">
        <x:v>0</x:v>
      </x:c>
      <x:c r="W1587" s="26" t="n">
        <x:v>0</x:v>
      </x:c>
      <x:c r="X1587" s="26" t="n">
        <x:v>0</x:v>
      </x:c>
      <x:c r="Y1587" s="26" t="n">
        <x:v>0</x:v>
      </x:c>
      <x:c r="Z1587" s="35" t="str">
        <x:v>Franklin County Treasurer</x:v>
      </x:c>
    </x:row>
    <x:row r="1588">
      <x:c r="A1588" s="20" t="str">
        <x:v>FIN-01585</x:v>
      </x:c>
      <x:c r="B1588" s="23" t="n">
        <x:v>46556</x:v>
      </x:c>
      <x:c r="C1588" s="23" t="n">
        <x:v>46556</x:v>
      </x:c>
      <x:c r="D1588" s="20" t="str">
        <x:v>OperatingExpense</x:v>
      </x:c>
      <x:c r="E1588" s="20" t="str">
        <x:v>Insurance</x:v>
      </x:c>
      <x:c r="F1588" s="20" t="str">
        <x:v>P018</x:v>
      </x:c>
      <x:c r="G1588" s="20" t="str"/>
      <x:c r="H1588" s="20" t="str"/>
      <x:c r="I1588" s="20" t="str">
        <x:v>Buckeye Mutual Insurance</x:v>
      </x:c>
      <x:c r="J1588" s="35" t="str">
        <x:v>Scanned receipt/invoice</x:v>
      </x:c>
      <x:c r="K1588" s="20" t="str">
        <x:v>SCN-0859</x:v>
      </x:c>
      <x:c r="L1588" s="20" t="str">
        <x:v>EXP-20270618-2018</x:v>
      </x:c>
      <x:c r="M1588" s="26" t="n">
        <x:v>1286</x:v>
      </x:c>
      <x:c r="N1588" s="26" t="n">
        <x:v>0</x:v>
      </x:c>
      <x:c r="O1588" s="26" t="n">
        <x:v>-1286</x:v>
      </x:c>
      <x:c r="P1588" s="26" t="n">
        <x:v>0</x:v>
      </x:c>
      <x:c r="Q1588" s="26" t="n">
        <x:v>0</x:v>
      </x:c>
      <x:c r="R1588" s="26" t="n">
        <x:v>0</x:v>
      </x:c>
      <x:c r="S1588" s="26" t="n">
        <x:v>0</x:v>
      </x:c>
      <x:c r="T1588" s="26" t="n">
        <x:v>0</x:v>
      </x:c>
      <x:c r="U1588" s="26" t="n">
        <x:v>1286</x:v>
      </x:c>
      <x:c r="V1588" s="26" t="n">
        <x:v>0</x:v>
      </x:c>
      <x:c r="W1588" s="26" t="n">
        <x:v>0</x:v>
      </x:c>
      <x:c r="X1588" s="26" t="n">
        <x:v>0</x:v>
      </x:c>
      <x:c r="Y1588" s="26" t="n">
        <x:v>0</x:v>
      </x:c>
      <x:c r="Z1588" s="35" t="str">
        <x:v>Buckeye Mutual Insurance</x:v>
      </x:c>
    </x:row>
    <x:row r="1589">
      <x:c r="A1589" s="20" t="str">
        <x:v>FIN-01586</x:v>
      </x:c>
      <x:c r="B1589" s="23" t="n">
        <x:v>46474</x:v>
      </x:c>
      <x:c r="C1589" s="23" t="n">
        <x:v>46474</x:v>
      </x:c>
      <x:c r="D1589" s="20" t="str">
        <x:v>OperatingExpense</x:v>
      </x:c>
      <x:c r="E1589" s="20" t="str">
        <x:v>Property tax</x:v>
      </x:c>
      <x:c r="F1589" s="20" t="str">
        <x:v>P018</x:v>
      </x:c>
      <x:c r="G1589" s="20" t="str"/>
      <x:c r="H1589" s="20" t="str"/>
      <x:c r="I1589" s="20" t="str">
        <x:v>Franklin County Treasurer</x:v>
      </x:c>
      <x:c r="J1589" s="35" t="str">
        <x:v>Scanned receipt/invoice</x:v>
      </x:c>
      <x:c r="K1589" s="20" t="str">
        <x:v>SCN-0860</x:v>
      </x:c>
      <x:c r="L1589" s="20" t="str">
        <x:v>EXP-20270328-3118</x:v>
      </x:c>
      <x:c r="M1589" s="26" t="n">
        <x:v>751</x:v>
      </x:c>
      <x:c r="N1589" s="26" t="n">
        <x:v>0</x:v>
      </x:c>
      <x:c r="O1589" s="26" t="n">
        <x:v>-751</x:v>
      </x:c>
      <x:c r="P1589" s="26" t="n">
        <x:v>0</x:v>
      </x:c>
      <x:c r="Q1589" s="26" t="n">
        <x:v>0</x:v>
      </x:c>
      <x:c r="R1589" s="26" t="n">
        <x:v>0</x:v>
      </x:c>
      <x:c r="S1589" s="26" t="n">
        <x:v>0</x:v>
      </x:c>
      <x:c r="T1589" s="26" t="n">
        <x:v>0</x:v>
      </x:c>
      <x:c r="U1589" s="26" t="n">
        <x:v>751</x:v>
      </x:c>
      <x:c r="V1589" s="26" t="n">
        <x:v>0</x:v>
      </x:c>
      <x:c r="W1589" s="26" t="n">
        <x:v>0</x:v>
      </x:c>
      <x:c r="X1589" s="26" t="n">
        <x:v>0</x:v>
      </x:c>
      <x:c r="Y1589" s="26" t="n">
        <x:v>0</x:v>
      </x:c>
      <x:c r="Z1589" s="35" t="str">
        <x:v>Franklin County Treasurer</x:v>
      </x:c>
    </x:row>
    <x:row r="1590">
      <x:c r="A1590" s="20" t="str">
        <x:v>FIN-01587</x:v>
      </x:c>
      <x:c r="B1590" s="23" t="n">
        <x:v>46566</x:v>
      </x:c>
      <x:c r="C1590" s="23" t="n">
        <x:v>46566</x:v>
      </x:c>
      <x:c r="D1590" s="20" t="str">
        <x:v>OperatingExpense</x:v>
      </x:c>
      <x:c r="E1590" s="20" t="str">
        <x:v>Property tax</x:v>
      </x:c>
      <x:c r="F1590" s="20" t="str">
        <x:v>P018</x:v>
      </x:c>
      <x:c r="G1590" s="20" t="str"/>
      <x:c r="H1590" s="20" t="str"/>
      <x:c r="I1590" s="20" t="str">
        <x:v>Franklin County Treasurer</x:v>
      </x:c>
      <x:c r="J1590" s="35" t="str">
        <x:v>Scanned receipt/invoice</x:v>
      </x:c>
      <x:c r="K1590" s="20" t="str">
        <x:v>SCN-0861</x:v>
      </x:c>
      <x:c r="L1590" s="20" t="str">
        <x:v>EXP-20270628-3218</x:v>
      </x:c>
      <x:c r="M1590" s="26" t="n">
        <x:v>758</x:v>
      </x:c>
      <x:c r="N1590" s="26" t="n">
        <x:v>0</x:v>
      </x:c>
      <x:c r="O1590" s="26" t="n">
        <x:v>-758</x:v>
      </x:c>
      <x:c r="P1590" s="26" t="n">
        <x:v>0</x:v>
      </x:c>
      <x:c r="Q1590" s="26" t="n">
        <x:v>0</x:v>
      </x:c>
      <x:c r="R1590" s="26" t="n">
        <x:v>0</x:v>
      </x:c>
      <x:c r="S1590" s="26" t="n">
        <x:v>0</x:v>
      </x:c>
      <x:c r="T1590" s="26" t="n">
        <x:v>0</x:v>
      </x:c>
      <x:c r="U1590" s="26" t="n">
        <x:v>758</x:v>
      </x:c>
      <x:c r="V1590" s="26" t="n">
        <x:v>0</x:v>
      </x:c>
      <x:c r="W1590" s="26" t="n">
        <x:v>0</x:v>
      </x:c>
      <x:c r="X1590" s="26" t="n">
        <x:v>0</x:v>
      </x:c>
      <x:c r="Y1590" s="26" t="n">
        <x:v>0</x:v>
      </x:c>
      <x:c r="Z1590" s="35" t="str">
        <x:v>Franklin County Treasurer</x:v>
      </x:c>
    </x:row>
    <x:row r="1591">
      <x:c r="A1591" s="20" t="str">
        <x:v>FIN-01588</x:v>
      </x:c>
      <x:c r="B1591" s="23" t="n">
        <x:v>46658</x:v>
      </x:c>
      <x:c r="C1591" s="23" t="n">
        <x:v>46658</x:v>
      </x:c>
      <x:c r="D1591" s="20" t="str">
        <x:v>OperatingExpense</x:v>
      </x:c>
      <x:c r="E1591" s="20" t="str">
        <x:v>Property tax</x:v>
      </x:c>
      <x:c r="F1591" s="20" t="str">
        <x:v>P018</x:v>
      </x:c>
      <x:c r="G1591" s="20" t="str"/>
      <x:c r="H1591" s="20" t="str"/>
      <x:c r="I1591" s="20" t="str">
        <x:v>Franklin County Treasurer</x:v>
      </x:c>
      <x:c r="J1591" s="35" t="str">
        <x:v>Scanned receipt/invoice</x:v>
      </x:c>
      <x:c r="K1591" s="20" t="str">
        <x:v>SCN-0862</x:v>
      </x:c>
      <x:c r="L1591" s="20" t="str">
        <x:v>EXP-20270928-3318</x:v>
      </x:c>
      <x:c r="M1591" s="26" t="n">
        <x:v>765</x:v>
      </x:c>
      <x:c r="N1591" s="26" t="n">
        <x:v>0</x:v>
      </x:c>
      <x:c r="O1591" s="26" t="n">
        <x:v>-765</x:v>
      </x:c>
      <x:c r="P1591" s="26" t="n">
        <x:v>0</x:v>
      </x:c>
      <x:c r="Q1591" s="26" t="n">
        <x:v>0</x:v>
      </x:c>
      <x:c r="R1591" s="26" t="n">
        <x:v>0</x:v>
      </x:c>
      <x:c r="S1591" s="26" t="n">
        <x:v>0</x:v>
      </x:c>
      <x:c r="T1591" s="26" t="n">
        <x:v>0</x:v>
      </x:c>
      <x:c r="U1591" s="26" t="n">
        <x:v>765</x:v>
      </x:c>
      <x:c r="V1591" s="26" t="n">
        <x:v>0</x:v>
      </x:c>
      <x:c r="W1591" s="26" t="n">
        <x:v>0</x:v>
      </x:c>
      <x:c r="X1591" s="26" t="n">
        <x:v>0</x:v>
      </x:c>
      <x:c r="Y1591" s="26" t="n">
        <x:v>0</x:v>
      </x:c>
      <x:c r="Z1591" s="35" t="str">
        <x:v>Franklin County Treasurer</x:v>
      </x:c>
    </x:row>
    <x:row r="1592">
      <x:c r="A1592" s="20" t="str">
        <x:v>FIN-01589</x:v>
      </x:c>
      <x:c r="B1592" s="23" t="n">
        <x:v>46749</x:v>
      </x:c>
      <x:c r="C1592" s="23" t="n">
        <x:v>46749</x:v>
      </x:c>
      <x:c r="D1592" s="20" t="str">
        <x:v>OperatingExpense</x:v>
      </x:c>
      <x:c r="E1592" s="20" t="str">
        <x:v>Property tax</x:v>
      </x:c>
      <x:c r="F1592" s="20" t="str">
        <x:v>P018</x:v>
      </x:c>
      <x:c r="G1592" s="20" t="str"/>
      <x:c r="H1592" s="20" t="str"/>
      <x:c r="I1592" s="20" t="str">
        <x:v>Franklin County Treasurer</x:v>
      </x:c>
      <x:c r="J1592" s="35" t="str">
        <x:v>Scanned receipt/invoice</x:v>
      </x:c>
      <x:c r="K1592" s="20" t="str">
        <x:v>SCN-0863</x:v>
      </x:c>
      <x:c r="L1592" s="20" t="str">
        <x:v>EXP-20271228-3418</x:v>
      </x:c>
      <x:c r="M1592" s="26" t="n">
        <x:v>772</x:v>
      </x:c>
      <x:c r="N1592" s="26" t="n">
        <x:v>0</x:v>
      </x:c>
      <x:c r="O1592" s="26" t="n">
        <x:v>-772</x:v>
      </x:c>
      <x:c r="P1592" s="26" t="n">
        <x:v>0</x:v>
      </x:c>
      <x:c r="Q1592" s="26" t="n">
        <x:v>0</x:v>
      </x:c>
      <x:c r="R1592" s="26" t="n">
        <x:v>0</x:v>
      </x:c>
      <x:c r="S1592" s="26" t="n">
        <x:v>0</x:v>
      </x:c>
      <x:c r="T1592" s="26" t="n">
        <x:v>0</x:v>
      </x:c>
      <x:c r="U1592" s="26" t="n">
        <x:v>772</x:v>
      </x:c>
      <x:c r="V1592" s="26" t="n">
        <x:v>0</x:v>
      </x:c>
      <x:c r="W1592" s="26" t="n">
        <x:v>0</x:v>
      </x:c>
      <x:c r="X1592" s="26" t="n">
        <x:v>0</x:v>
      </x:c>
      <x:c r="Y1592" s="26" t="n">
        <x:v>0</x:v>
      </x:c>
      <x:c r="Z1592" s="35" t="str">
        <x:v>Franklin County Treasurer</x:v>
      </x:c>
    </x:row>
    <x:row r="1593">
      <x:c r="A1593" s="20" t="str">
        <x:v>FIN-01590</x:v>
      </x:c>
      <x:c r="B1593" s="23" t="n">
        <x:v>46586</x:v>
      </x:c>
      <x:c r="C1593" s="23" t="n">
        <x:v>46586</x:v>
      </x:c>
      <x:c r="D1593" s="20" t="str">
        <x:v>OperatingExpense</x:v>
      </x:c>
      <x:c r="E1593" s="20" t="str">
        <x:v>Insurance</x:v>
      </x:c>
      <x:c r="F1593" s="20" t="str">
        <x:v>P019</x:v>
      </x:c>
      <x:c r="G1593" s="20" t="str"/>
      <x:c r="H1593" s="20" t="str"/>
      <x:c r="I1593" s="20" t="str">
        <x:v>Buckeye Mutual Insurance</x:v>
      </x:c>
      <x:c r="J1593" s="35" t="str">
        <x:v>Scanned receipt/invoice</x:v>
      </x:c>
      <x:c r="K1593" s="20" t="str">
        <x:v>SCN-0864</x:v>
      </x:c>
      <x:c r="L1593" s="20" t="str">
        <x:v>EXP-20270718-2019</x:v>
      </x:c>
      <x:c r="M1593" s="26" t="n">
        <x:v>1303</x:v>
      </x:c>
      <x:c r="N1593" s="26" t="n">
        <x:v>0</x:v>
      </x:c>
      <x:c r="O1593" s="26" t="n">
        <x:v>-1303</x:v>
      </x:c>
      <x:c r="P1593" s="26" t="n">
        <x:v>0</x:v>
      </x:c>
      <x:c r="Q1593" s="26" t="n">
        <x:v>0</x:v>
      </x:c>
      <x:c r="R1593" s="26" t="n">
        <x:v>0</x:v>
      </x:c>
      <x:c r="S1593" s="26" t="n">
        <x:v>0</x:v>
      </x:c>
      <x:c r="T1593" s="26" t="n">
        <x:v>0</x:v>
      </x:c>
      <x:c r="U1593" s="26" t="n">
        <x:v>1303</x:v>
      </x:c>
      <x:c r="V1593" s="26" t="n">
        <x:v>0</x:v>
      </x:c>
      <x:c r="W1593" s="26" t="n">
        <x:v>0</x:v>
      </x:c>
      <x:c r="X1593" s="26" t="n">
        <x:v>0</x:v>
      </x:c>
      <x:c r="Y1593" s="26" t="n">
        <x:v>0</x:v>
      </x:c>
      <x:c r="Z1593" s="35" t="str">
        <x:v>Buckeye Mutual Insurance</x:v>
      </x:c>
    </x:row>
    <x:row r="1594">
      <x:c r="A1594" s="20" t="str">
        <x:v>FIN-01591</x:v>
      </x:c>
      <x:c r="B1594" s="23" t="n">
        <x:v>46474</x:v>
      </x:c>
      <x:c r="C1594" s="23" t="n">
        <x:v>46474</x:v>
      </x:c>
      <x:c r="D1594" s="20" t="str">
        <x:v>OperatingExpense</x:v>
      </x:c>
      <x:c r="E1594" s="20" t="str">
        <x:v>Property tax</x:v>
      </x:c>
      <x:c r="F1594" s="20" t="str">
        <x:v>P019</x:v>
      </x:c>
      <x:c r="G1594" s="20" t="str"/>
      <x:c r="H1594" s="20" t="str"/>
      <x:c r="I1594" s="20" t="str">
        <x:v>Franklin County Treasurer</x:v>
      </x:c>
      <x:c r="J1594" s="35" t="str">
        <x:v>Scanned receipt/invoice</x:v>
      </x:c>
      <x:c r="K1594" s="20" t="str">
        <x:v>SCN-0865</x:v>
      </x:c>
      <x:c r="L1594" s="20" t="str">
        <x:v>EXP-20270328-3119</x:v>
      </x:c>
      <x:c r="M1594" s="26" t="n">
        <x:v>764</x:v>
      </x:c>
      <x:c r="N1594" s="26" t="n">
        <x:v>0</x:v>
      </x:c>
      <x:c r="O1594" s="26" t="n">
        <x:v>-764</x:v>
      </x:c>
      <x:c r="P1594" s="26" t="n">
        <x:v>0</x:v>
      </x:c>
      <x:c r="Q1594" s="26" t="n">
        <x:v>0</x:v>
      </x:c>
      <x:c r="R1594" s="26" t="n">
        <x:v>0</x:v>
      </x:c>
      <x:c r="S1594" s="26" t="n">
        <x:v>0</x:v>
      </x:c>
      <x:c r="T1594" s="26" t="n">
        <x:v>0</x:v>
      </x:c>
      <x:c r="U1594" s="26" t="n">
        <x:v>764</x:v>
      </x:c>
      <x:c r="V1594" s="26" t="n">
        <x:v>0</x:v>
      </x:c>
      <x:c r="W1594" s="26" t="n">
        <x:v>0</x:v>
      </x:c>
      <x:c r="X1594" s="26" t="n">
        <x:v>0</x:v>
      </x:c>
      <x:c r="Y1594" s="26" t="n">
        <x:v>0</x:v>
      </x:c>
      <x:c r="Z1594" s="35" t="str">
        <x:v>Franklin County Treasurer</x:v>
      </x:c>
    </x:row>
    <x:row r="1595">
      <x:c r="A1595" s="20" t="str">
        <x:v>FIN-01592</x:v>
      </x:c>
      <x:c r="B1595" s="23" t="n">
        <x:v>46566</x:v>
      </x:c>
      <x:c r="C1595" s="23" t="n">
        <x:v>46566</x:v>
      </x:c>
      <x:c r="D1595" s="20" t="str">
        <x:v>OperatingExpense</x:v>
      </x:c>
      <x:c r="E1595" s="20" t="str">
        <x:v>Property tax</x:v>
      </x:c>
      <x:c r="F1595" s="20" t="str">
        <x:v>P019</x:v>
      </x:c>
      <x:c r="G1595" s="20" t="str"/>
      <x:c r="H1595" s="20" t="str"/>
      <x:c r="I1595" s="20" t="str">
        <x:v>Franklin County Treasurer</x:v>
      </x:c>
      <x:c r="J1595" s="35" t="str">
        <x:v>Scanned receipt/invoice</x:v>
      </x:c>
      <x:c r="K1595" s="20" t="str">
        <x:v>SCN-0866</x:v>
      </x:c>
      <x:c r="L1595" s="20" t="str">
        <x:v>EXP-20270628-3219</x:v>
      </x:c>
      <x:c r="M1595" s="26" t="n">
        <x:v>771</x:v>
      </x:c>
      <x:c r="N1595" s="26" t="n">
        <x:v>0</x:v>
      </x:c>
      <x:c r="O1595" s="26" t="n">
        <x:v>-771</x:v>
      </x:c>
      <x:c r="P1595" s="26" t="n">
        <x:v>0</x:v>
      </x:c>
      <x:c r="Q1595" s="26" t="n">
        <x:v>0</x:v>
      </x:c>
      <x:c r="R1595" s="26" t="n">
        <x:v>0</x:v>
      </x:c>
      <x:c r="S1595" s="26" t="n">
        <x:v>0</x:v>
      </x:c>
      <x:c r="T1595" s="26" t="n">
        <x:v>0</x:v>
      </x:c>
      <x:c r="U1595" s="26" t="n">
        <x:v>771</x:v>
      </x:c>
      <x:c r="V1595" s="26" t="n">
        <x:v>0</x:v>
      </x:c>
      <x:c r="W1595" s="26" t="n">
        <x:v>0</x:v>
      </x:c>
      <x:c r="X1595" s="26" t="n">
        <x:v>0</x:v>
      </x:c>
      <x:c r="Y1595" s="26" t="n">
        <x:v>0</x:v>
      </x:c>
      <x:c r="Z1595" s="35" t="str">
        <x:v>Franklin County Treasurer</x:v>
      </x:c>
    </x:row>
    <x:row r="1596">
      <x:c r="A1596" s="20" t="str">
        <x:v>FIN-01593</x:v>
      </x:c>
      <x:c r="B1596" s="23" t="n">
        <x:v>46658</x:v>
      </x:c>
      <x:c r="C1596" s="23" t="n">
        <x:v>46658</x:v>
      </x:c>
      <x:c r="D1596" s="20" t="str">
        <x:v>OperatingExpense</x:v>
      </x:c>
      <x:c r="E1596" s="20" t="str">
        <x:v>Property tax</x:v>
      </x:c>
      <x:c r="F1596" s="20" t="str">
        <x:v>P019</x:v>
      </x:c>
      <x:c r="G1596" s="20" t="str"/>
      <x:c r="H1596" s="20" t="str"/>
      <x:c r="I1596" s="20" t="str">
        <x:v>Franklin County Treasurer</x:v>
      </x:c>
      <x:c r="J1596" s="35" t="str">
        <x:v>Scanned receipt/invoice</x:v>
      </x:c>
      <x:c r="K1596" s="20" t="str">
        <x:v>SCN-0867</x:v>
      </x:c>
      <x:c r="L1596" s="20" t="str">
        <x:v>EXP-20270928-3319</x:v>
      </x:c>
      <x:c r="M1596" s="26" t="n">
        <x:v>778</x:v>
      </x:c>
      <x:c r="N1596" s="26" t="n">
        <x:v>0</x:v>
      </x:c>
      <x:c r="O1596" s="26" t="n">
        <x:v>-778</x:v>
      </x:c>
      <x:c r="P1596" s="26" t="n">
        <x:v>0</x:v>
      </x:c>
      <x:c r="Q1596" s="26" t="n">
        <x:v>0</x:v>
      </x:c>
      <x:c r="R1596" s="26" t="n">
        <x:v>0</x:v>
      </x:c>
      <x:c r="S1596" s="26" t="n">
        <x:v>0</x:v>
      </x:c>
      <x:c r="T1596" s="26" t="n">
        <x:v>0</x:v>
      </x:c>
      <x:c r="U1596" s="26" t="n">
        <x:v>778</x:v>
      </x:c>
      <x:c r="V1596" s="26" t="n">
        <x:v>0</x:v>
      </x:c>
      <x:c r="W1596" s="26" t="n">
        <x:v>0</x:v>
      </x:c>
      <x:c r="X1596" s="26" t="n">
        <x:v>0</x:v>
      </x:c>
      <x:c r="Y1596" s="26" t="n">
        <x:v>0</x:v>
      </x:c>
      <x:c r="Z1596" s="35" t="str">
        <x:v>Franklin County Treasurer</x:v>
      </x:c>
    </x:row>
    <x:row r="1597">
      <x:c r="A1597" s="20" t="str">
        <x:v>FIN-01594</x:v>
      </x:c>
      <x:c r="B1597" s="23" t="n">
        <x:v>46749</x:v>
      </x:c>
      <x:c r="C1597" s="23" t="n">
        <x:v>46749</x:v>
      </x:c>
      <x:c r="D1597" s="20" t="str">
        <x:v>OperatingExpense</x:v>
      </x:c>
      <x:c r="E1597" s="20" t="str">
        <x:v>Property tax</x:v>
      </x:c>
      <x:c r="F1597" s="20" t="str">
        <x:v>P019</x:v>
      </x:c>
      <x:c r="G1597" s="20" t="str"/>
      <x:c r="H1597" s="20" t="str"/>
      <x:c r="I1597" s="20" t="str">
        <x:v>Franklin County Treasurer</x:v>
      </x:c>
      <x:c r="J1597" s="35" t="str">
        <x:v>Scanned receipt/invoice</x:v>
      </x:c>
      <x:c r="K1597" s="20" t="str">
        <x:v>SCN-0868</x:v>
      </x:c>
      <x:c r="L1597" s="20" t="str">
        <x:v>EXP-20271228-3419</x:v>
      </x:c>
      <x:c r="M1597" s="26" t="n">
        <x:v>785</x:v>
      </x:c>
      <x:c r="N1597" s="26" t="n">
        <x:v>0</x:v>
      </x:c>
      <x:c r="O1597" s="26" t="n">
        <x:v>-785</x:v>
      </x:c>
      <x:c r="P1597" s="26" t="n">
        <x:v>0</x:v>
      </x:c>
      <x:c r="Q1597" s="26" t="n">
        <x:v>0</x:v>
      </x:c>
      <x:c r="R1597" s="26" t="n">
        <x:v>0</x:v>
      </x:c>
      <x:c r="S1597" s="26" t="n">
        <x:v>0</x:v>
      </x:c>
      <x:c r="T1597" s="26" t="n">
        <x:v>0</x:v>
      </x:c>
      <x:c r="U1597" s="26" t="n">
        <x:v>785</x:v>
      </x:c>
      <x:c r="V1597" s="26" t="n">
        <x:v>0</x:v>
      </x:c>
      <x:c r="W1597" s="26" t="n">
        <x:v>0</x:v>
      </x:c>
      <x:c r="X1597" s="26" t="n">
        <x:v>0</x:v>
      </x:c>
      <x:c r="Y1597" s="26" t="n">
        <x:v>0</x:v>
      </x:c>
      <x:c r="Z1597" s="35" t="str">
        <x:v>Franklin County Treasurer</x:v>
      </x:c>
    </x:row>
    <x:row r="1598">
      <x:c r="A1598" s="20" t="str">
        <x:v>FIN-01595</x:v>
      </x:c>
      <x:c r="B1598" s="23" t="n">
        <x:v>46617</x:v>
      </x:c>
      <x:c r="C1598" s="23" t="n">
        <x:v>46617</x:v>
      </x:c>
      <x:c r="D1598" s="20" t="str">
        <x:v>OperatingExpense</x:v>
      </x:c>
      <x:c r="E1598" s="20" t="str">
        <x:v>Insurance</x:v>
      </x:c>
      <x:c r="F1598" s="20" t="str">
        <x:v>P020</x:v>
      </x:c>
      <x:c r="G1598" s="20" t="str"/>
      <x:c r="H1598" s="20" t="str"/>
      <x:c r="I1598" s="20" t="str">
        <x:v>Buckeye Mutual Insurance</x:v>
      </x:c>
      <x:c r="J1598" s="35" t="str">
        <x:v>Manual mobile form</x:v>
      </x:c>
      <x:c r="K1598" s="20" t="str"/>
      <x:c r="L1598" s="20" t="str">
        <x:v>EXP-20270818-2020</x:v>
      </x:c>
      <x:c r="M1598" s="26" t="n">
        <x:v>1320</x:v>
      </x:c>
      <x:c r="N1598" s="26" t="n">
        <x:v>0</x:v>
      </x:c>
      <x:c r="O1598" s="26" t="n">
        <x:v>-1320</x:v>
      </x:c>
      <x:c r="P1598" s="26" t="n">
        <x:v>0</x:v>
      </x:c>
      <x:c r="Q1598" s="26" t="n">
        <x:v>0</x:v>
      </x:c>
      <x:c r="R1598" s="26" t="n">
        <x:v>0</x:v>
      </x:c>
      <x:c r="S1598" s="26" t="n">
        <x:v>0</x:v>
      </x:c>
      <x:c r="T1598" s="26" t="n">
        <x:v>0</x:v>
      </x:c>
      <x:c r="U1598" s="26" t="n">
        <x:v>1320</x:v>
      </x:c>
      <x:c r="V1598" s="26" t="n">
        <x:v>0</x:v>
      </x:c>
      <x:c r="W1598" s="26" t="n">
        <x:v>0</x:v>
      </x:c>
      <x:c r="X1598" s="26" t="n">
        <x:v>0</x:v>
      </x:c>
      <x:c r="Y1598" s="26" t="n">
        <x:v>0</x:v>
      </x:c>
      <x:c r="Z1598" s="35" t="str">
        <x:v>Buckeye Mutual Insurance</x:v>
      </x:c>
    </x:row>
    <x:row r="1599">
      <x:c r="A1599" s="20" t="str">
        <x:v>FIN-01596</x:v>
      </x:c>
      <x:c r="B1599" s="23" t="n">
        <x:v>46474</x:v>
      </x:c>
      <x:c r="C1599" s="23" t="n">
        <x:v>46474</x:v>
      </x:c>
      <x:c r="D1599" s="20" t="str">
        <x:v>OperatingExpense</x:v>
      </x:c>
      <x:c r="E1599" s="20" t="str">
        <x:v>Property tax</x:v>
      </x:c>
      <x:c r="F1599" s="20" t="str">
        <x:v>P020</x:v>
      </x:c>
      <x:c r="G1599" s="20" t="str"/>
      <x:c r="H1599" s="20" t="str"/>
      <x:c r="I1599" s="20" t="str">
        <x:v>Franklin County Treasurer</x:v>
      </x:c>
      <x:c r="J1599" s="35" t="str">
        <x:v>Manual mobile form</x:v>
      </x:c>
      <x:c r="K1599" s="20" t="str"/>
      <x:c r="L1599" s="20" t="str">
        <x:v>EXP-20270328-3120</x:v>
      </x:c>
      <x:c r="M1599" s="26" t="n">
        <x:v>777</x:v>
      </x:c>
      <x:c r="N1599" s="26" t="n">
        <x:v>0</x:v>
      </x:c>
      <x:c r="O1599" s="26" t="n">
        <x:v>-777</x:v>
      </x:c>
      <x:c r="P1599" s="26" t="n">
        <x:v>0</x:v>
      </x:c>
      <x:c r="Q1599" s="26" t="n">
        <x:v>0</x:v>
      </x:c>
      <x:c r="R1599" s="26" t="n">
        <x:v>0</x:v>
      </x:c>
      <x:c r="S1599" s="26" t="n">
        <x:v>0</x:v>
      </x:c>
      <x:c r="T1599" s="26" t="n">
        <x:v>0</x:v>
      </x:c>
      <x:c r="U1599" s="26" t="n">
        <x:v>777</x:v>
      </x:c>
      <x:c r="V1599" s="26" t="n">
        <x:v>0</x:v>
      </x:c>
      <x:c r="W1599" s="26" t="n">
        <x:v>0</x:v>
      </x:c>
      <x:c r="X1599" s="26" t="n">
        <x:v>0</x:v>
      </x:c>
      <x:c r="Y1599" s="26" t="n">
        <x:v>0</x:v>
      </x:c>
      <x:c r="Z1599" s="35" t="str">
        <x:v>Franklin County Treasurer</x:v>
      </x:c>
    </x:row>
    <x:row r="1600">
      <x:c r="A1600" s="20" t="str">
        <x:v>FIN-01597</x:v>
      </x:c>
      <x:c r="B1600" s="23" t="n">
        <x:v>46566</x:v>
      </x:c>
      <x:c r="C1600" s="23" t="n">
        <x:v>46566</x:v>
      </x:c>
      <x:c r="D1600" s="20" t="str">
        <x:v>OperatingExpense</x:v>
      </x:c>
      <x:c r="E1600" s="20" t="str">
        <x:v>Property tax</x:v>
      </x:c>
      <x:c r="F1600" s="20" t="str">
        <x:v>P020</x:v>
      </x:c>
      <x:c r="G1600" s="20" t="str"/>
      <x:c r="H1600" s="20" t="str"/>
      <x:c r="I1600" s="20" t="str">
        <x:v>Franklin County Treasurer</x:v>
      </x:c>
      <x:c r="J1600" s="35" t="str">
        <x:v>Manual mobile form</x:v>
      </x:c>
      <x:c r="K1600" s="20" t="str"/>
      <x:c r="L1600" s="20" t="str">
        <x:v>EXP-20270628-3220</x:v>
      </x:c>
      <x:c r="M1600" s="26" t="n">
        <x:v>784</x:v>
      </x:c>
      <x:c r="N1600" s="26" t="n">
        <x:v>0</x:v>
      </x:c>
      <x:c r="O1600" s="26" t="n">
        <x:v>-784</x:v>
      </x:c>
      <x:c r="P1600" s="26" t="n">
        <x:v>0</x:v>
      </x:c>
      <x:c r="Q1600" s="26" t="n">
        <x:v>0</x:v>
      </x:c>
      <x:c r="R1600" s="26" t="n">
        <x:v>0</x:v>
      </x:c>
      <x:c r="S1600" s="26" t="n">
        <x:v>0</x:v>
      </x:c>
      <x:c r="T1600" s="26" t="n">
        <x:v>0</x:v>
      </x:c>
      <x:c r="U1600" s="26" t="n">
        <x:v>784</x:v>
      </x:c>
      <x:c r="V1600" s="26" t="n">
        <x:v>0</x:v>
      </x:c>
      <x:c r="W1600" s="26" t="n">
        <x:v>0</x:v>
      </x:c>
      <x:c r="X1600" s="26" t="n">
        <x:v>0</x:v>
      </x:c>
      <x:c r="Y1600" s="26" t="n">
        <x:v>0</x:v>
      </x:c>
      <x:c r="Z1600" s="35" t="str">
        <x:v>Franklin County Treasurer</x:v>
      </x:c>
    </x:row>
    <x:row r="1601">
      <x:c r="A1601" s="20" t="str">
        <x:v>FIN-01598</x:v>
      </x:c>
      <x:c r="B1601" s="23" t="n">
        <x:v>46658</x:v>
      </x:c>
      <x:c r="C1601" s="23" t="n">
        <x:v>46658</x:v>
      </x:c>
      <x:c r="D1601" s="20" t="str">
        <x:v>OperatingExpense</x:v>
      </x:c>
      <x:c r="E1601" s="20" t="str">
        <x:v>Property tax</x:v>
      </x:c>
      <x:c r="F1601" s="20" t="str">
        <x:v>P020</x:v>
      </x:c>
      <x:c r="G1601" s="20" t="str"/>
      <x:c r="H1601" s="20" t="str"/>
      <x:c r="I1601" s="20" t="str">
        <x:v>Franklin County Treasurer</x:v>
      </x:c>
      <x:c r="J1601" s="35" t="str">
        <x:v>Manual mobile form</x:v>
      </x:c>
      <x:c r="K1601" s="20" t="str"/>
      <x:c r="L1601" s="20" t="str">
        <x:v>EXP-20270928-3320</x:v>
      </x:c>
      <x:c r="M1601" s="26" t="n">
        <x:v>791</x:v>
      </x:c>
      <x:c r="N1601" s="26" t="n">
        <x:v>0</x:v>
      </x:c>
      <x:c r="O1601" s="26" t="n">
        <x:v>-791</x:v>
      </x:c>
      <x:c r="P1601" s="26" t="n">
        <x:v>0</x:v>
      </x:c>
      <x:c r="Q1601" s="26" t="n">
        <x:v>0</x:v>
      </x:c>
      <x:c r="R1601" s="26" t="n">
        <x:v>0</x:v>
      </x:c>
      <x:c r="S1601" s="26" t="n">
        <x:v>0</x:v>
      </x:c>
      <x:c r="T1601" s="26" t="n">
        <x:v>0</x:v>
      </x:c>
      <x:c r="U1601" s="26" t="n">
        <x:v>791</x:v>
      </x:c>
      <x:c r="V1601" s="26" t="n">
        <x:v>0</x:v>
      </x:c>
      <x:c r="W1601" s="26" t="n">
        <x:v>0</x:v>
      </x:c>
      <x:c r="X1601" s="26" t="n">
        <x:v>0</x:v>
      </x:c>
      <x:c r="Y1601" s="26" t="n">
        <x:v>0</x:v>
      </x:c>
      <x:c r="Z1601" s="35" t="str">
        <x:v>Franklin County Treasurer</x:v>
      </x:c>
    </x:row>
    <x:row r="1602">
      <x:c r="A1602" s="20" t="str">
        <x:v>FIN-01599</x:v>
      </x:c>
      <x:c r="B1602" s="23" t="n">
        <x:v>46749</x:v>
      </x:c>
      <x:c r="C1602" s="23" t="n">
        <x:v>46749</x:v>
      </x:c>
      <x:c r="D1602" s="20" t="str">
        <x:v>OperatingExpense</x:v>
      </x:c>
      <x:c r="E1602" s="20" t="str">
        <x:v>Property tax</x:v>
      </x:c>
      <x:c r="F1602" s="20" t="str">
        <x:v>P020</x:v>
      </x:c>
      <x:c r="G1602" s="20" t="str"/>
      <x:c r="H1602" s="20" t="str"/>
      <x:c r="I1602" s="20" t="str">
        <x:v>Franklin County Treasurer</x:v>
      </x:c>
      <x:c r="J1602" s="35" t="str">
        <x:v>Manual mobile form</x:v>
      </x:c>
      <x:c r="K1602" s="20" t="str"/>
      <x:c r="L1602" s="20" t="str">
        <x:v>EXP-20271228-3420</x:v>
      </x:c>
      <x:c r="M1602" s="26" t="n">
        <x:v>798</x:v>
      </x:c>
      <x:c r="N1602" s="26" t="n">
        <x:v>0</x:v>
      </x:c>
      <x:c r="O1602" s="26" t="n">
        <x:v>-798</x:v>
      </x:c>
      <x:c r="P1602" s="26" t="n">
        <x:v>0</x:v>
      </x:c>
      <x:c r="Q1602" s="26" t="n">
        <x:v>0</x:v>
      </x:c>
      <x:c r="R1602" s="26" t="n">
        <x:v>0</x:v>
      </x:c>
      <x:c r="S1602" s="26" t="n">
        <x:v>0</x:v>
      </x:c>
      <x:c r="T1602" s="26" t="n">
        <x:v>0</x:v>
      </x:c>
      <x:c r="U1602" s="26" t="n">
        <x:v>798</x:v>
      </x:c>
      <x:c r="V1602" s="26" t="n">
        <x:v>0</x:v>
      </x:c>
      <x:c r="W1602" s="26" t="n">
        <x:v>0</x:v>
      </x:c>
      <x:c r="X1602" s="26" t="n">
        <x:v>0</x:v>
      </x:c>
      <x:c r="Y1602" s="26" t="n">
        <x:v>0</x:v>
      </x:c>
      <x:c r="Z1602" s="35" t="str">
        <x:v>Franklin County Treasurer</x:v>
      </x:c>
    </x:row>
    <x:row r="1603">
      <x:c r="A1603" s="20" t="str">
        <x:v>FIN-01600</x:v>
      </x:c>
      <x:c r="B1603" s="23" t="n">
        <x:v>46648</x:v>
      </x:c>
      <x:c r="C1603" s="23" t="n">
        <x:v>46648</x:v>
      </x:c>
      <x:c r="D1603" s="20" t="str">
        <x:v>OperatingExpense</x:v>
      </x:c>
      <x:c r="E1603" s="20" t="str">
        <x:v>Insurance</x:v>
      </x:c>
      <x:c r="F1603" s="20" t="str">
        <x:v>P021</x:v>
      </x:c>
      <x:c r="G1603" s="20" t="str"/>
      <x:c r="H1603" s="20" t="str"/>
      <x:c r="I1603" s="20" t="str">
        <x:v>Buckeye Mutual Insurance</x:v>
      </x:c>
      <x:c r="J1603" s="35" t="str">
        <x:v>Scanned receipt/invoice</x:v>
      </x:c>
      <x:c r="K1603" s="20" t="str">
        <x:v>SCN-0869</x:v>
      </x:c>
      <x:c r="L1603" s="20" t="str">
        <x:v>EXP-20270918-2021</x:v>
      </x:c>
      <x:c r="M1603" s="26" t="n">
        <x:v>1337</x:v>
      </x:c>
      <x:c r="N1603" s="26" t="n">
        <x:v>0</x:v>
      </x:c>
      <x:c r="O1603" s="26" t="n">
        <x:v>-1337</x:v>
      </x:c>
      <x:c r="P1603" s="26" t="n">
        <x:v>0</x:v>
      </x:c>
      <x:c r="Q1603" s="26" t="n">
        <x:v>0</x:v>
      </x:c>
      <x:c r="R1603" s="26" t="n">
        <x:v>0</x:v>
      </x:c>
      <x:c r="S1603" s="26" t="n">
        <x:v>0</x:v>
      </x:c>
      <x:c r="T1603" s="26" t="n">
        <x:v>0</x:v>
      </x:c>
      <x:c r="U1603" s="26" t="n">
        <x:v>1337</x:v>
      </x:c>
      <x:c r="V1603" s="26" t="n">
        <x:v>0</x:v>
      </x:c>
      <x:c r="W1603" s="26" t="n">
        <x:v>0</x:v>
      </x:c>
      <x:c r="X1603" s="26" t="n">
        <x:v>0</x:v>
      </x:c>
      <x:c r="Y1603" s="26" t="n">
        <x:v>0</x:v>
      </x:c>
      <x:c r="Z1603" s="35" t="str">
        <x:v>Buckeye Mutual Insurance</x:v>
      </x:c>
    </x:row>
    <x:row r="1604">
      <x:c r="A1604" s="20" t="str">
        <x:v>FIN-01601</x:v>
      </x:c>
      <x:c r="B1604" s="23" t="n">
        <x:v>46474</x:v>
      </x:c>
      <x:c r="C1604" s="23" t="n">
        <x:v>46474</x:v>
      </x:c>
      <x:c r="D1604" s="20" t="str">
        <x:v>OperatingExpense</x:v>
      </x:c>
      <x:c r="E1604" s="20" t="str">
        <x:v>Property tax</x:v>
      </x:c>
      <x:c r="F1604" s="20" t="str">
        <x:v>P021</x:v>
      </x:c>
      <x:c r="G1604" s="20" t="str"/>
      <x:c r="H1604" s="20" t="str"/>
      <x:c r="I1604" s="20" t="str">
        <x:v>Franklin County Treasurer</x:v>
      </x:c>
      <x:c r="J1604" s="35" t="str">
        <x:v>Scanned receipt/invoice</x:v>
      </x:c>
      <x:c r="K1604" s="20" t="str">
        <x:v>SCN-0870</x:v>
      </x:c>
      <x:c r="L1604" s="20" t="str">
        <x:v>EXP-20270328-3121</x:v>
      </x:c>
      <x:c r="M1604" s="26" t="n">
        <x:v>790</x:v>
      </x:c>
      <x:c r="N1604" s="26" t="n">
        <x:v>0</x:v>
      </x:c>
      <x:c r="O1604" s="26" t="n">
        <x:v>-790</x:v>
      </x:c>
      <x:c r="P1604" s="26" t="n">
        <x:v>0</x:v>
      </x:c>
      <x:c r="Q1604" s="26" t="n">
        <x:v>0</x:v>
      </x:c>
      <x:c r="R1604" s="26" t="n">
        <x:v>0</x:v>
      </x:c>
      <x:c r="S1604" s="26" t="n">
        <x:v>0</x:v>
      </x:c>
      <x:c r="T1604" s="26" t="n">
        <x:v>0</x:v>
      </x:c>
      <x:c r="U1604" s="26" t="n">
        <x:v>790</x:v>
      </x:c>
      <x:c r="V1604" s="26" t="n">
        <x:v>0</x:v>
      </x:c>
      <x:c r="W1604" s="26" t="n">
        <x:v>0</x:v>
      </x:c>
      <x:c r="X1604" s="26" t="n">
        <x:v>0</x:v>
      </x:c>
      <x:c r="Y1604" s="26" t="n">
        <x:v>0</x:v>
      </x:c>
      <x:c r="Z1604" s="35" t="str">
        <x:v>Franklin County Treasurer</x:v>
      </x:c>
    </x:row>
    <x:row r="1605">
      <x:c r="A1605" s="20" t="str">
        <x:v>FIN-01602</x:v>
      </x:c>
      <x:c r="B1605" s="23" t="n">
        <x:v>46566</x:v>
      </x:c>
      <x:c r="C1605" s="23" t="n">
        <x:v>46566</x:v>
      </x:c>
      <x:c r="D1605" s="20" t="str">
        <x:v>OperatingExpense</x:v>
      </x:c>
      <x:c r="E1605" s="20" t="str">
        <x:v>Property tax</x:v>
      </x:c>
      <x:c r="F1605" s="20" t="str">
        <x:v>P021</x:v>
      </x:c>
      <x:c r="G1605" s="20" t="str"/>
      <x:c r="H1605" s="20" t="str"/>
      <x:c r="I1605" s="20" t="str">
        <x:v>Franklin County Treasurer</x:v>
      </x:c>
      <x:c r="J1605" s="35" t="str">
        <x:v>Scanned receipt/invoice</x:v>
      </x:c>
      <x:c r="K1605" s="20" t="str">
        <x:v>SCN-0871</x:v>
      </x:c>
      <x:c r="L1605" s="20" t="str">
        <x:v>EXP-20270628-3221</x:v>
      </x:c>
      <x:c r="M1605" s="26" t="n">
        <x:v>797</x:v>
      </x:c>
      <x:c r="N1605" s="26" t="n">
        <x:v>0</x:v>
      </x:c>
      <x:c r="O1605" s="26" t="n">
        <x:v>-797</x:v>
      </x:c>
      <x:c r="P1605" s="26" t="n">
        <x:v>0</x:v>
      </x:c>
      <x:c r="Q1605" s="26" t="n">
        <x:v>0</x:v>
      </x:c>
      <x:c r="R1605" s="26" t="n">
        <x:v>0</x:v>
      </x:c>
      <x:c r="S1605" s="26" t="n">
        <x:v>0</x:v>
      </x:c>
      <x:c r="T1605" s="26" t="n">
        <x:v>0</x:v>
      </x:c>
      <x:c r="U1605" s="26" t="n">
        <x:v>797</x:v>
      </x:c>
      <x:c r="V1605" s="26" t="n">
        <x:v>0</x:v>
      </x:c>
      <x:c r="W1605" s="26" t="n">
        <x:v>0</x:v>
      </x:c>
      <x:c r="X1605" s="26" t="n">
        <x:v>0</x:v>
      </x:c>
      <x:c r="Y1605" s="26" t="n">
        <x:v>0</x:v>
      </x:c>
      <x:c r="Z1605" s="35" t="str">
        <x:v>Franklin County Treasurer</x:v>
      </x:c>
    </x:row>
    <x:row r="1606">
      <x:c r="A1606" s="20" t="str">
        <x:v>FIN-01603</x:v>
      </x:c>
      <x:c r="B1606" s="23" t="n">
        <x:v>46658</x:v>
      </x:c>
      <x:c r="C1606" s="23" t="n">
        <x:v>46658</x:v>
      </x:c>
      <x:c r="D1606" s="20" t="str">
        <x:v>OperatingExpense</x:v>
      </x:c>
      <x:c r="E1606" s="20" t="str">
        <x:v>Property tax</x:v>
      </x:c>
      <x:c r="F1606" s="20" t="str">
        <x:v>P021</x:v>
      </x:c>
      <x:c r="G1606" s="20" t="str"/>
      <x:c r="H1606" s="20" t="str"/>
      <x:c r="I1606" s="20" t="str">
        <x:v>Franklin County Treasurer</x:v>
      </x:c>
      <x:c r="J1606" s="35" t="str">
        <x:v>Scanned receipt/invoice</x:v>
      </x:c>
      <x:c r="K1606" s="20" t="str">
        <x:v>SCN-0872</x:v>
      </x:c>
      <x:c r="L1606" s="20" t="str">
        <x:v>EXP-20270928-3321</x:v>
      </x:c>
      <x:c r="M1606" s="26" t="n">
        <x:v>804</x:v>
      </x:c>
      <x:c r="N1606" s="26" t="n">
        <x:v>0</x:v>
      </x:c>
      <x:c r="O1606" s="26" t="n">
        <x:v>-804</x:v>
      </x:c>
      <x:c r="P1606" s="26" t="n">
        <x:v>0</x:v>
      </x:c>
      <x:c r="Q1606" s="26" t="n">
        <x:v>0</x:v>
      </x:c>
      <x:c r="R1606" s="26" t="n">
        <x:v>0</x:v>
      </x:c>
      <x:c r="S1606" s="26" t="n">
        <x:v>0</x:v>
      </x:c>
      <x:c r="T1606" s="26" t="n">
        <x:v>0</x:v>
      </x:c>
      <x:c r="U1606" s="26" t="n">
        <x:v>804</x:v>
      </x:c>
      <x:c r="V1606" s="26" t="n">
        <x:v>0</x:v>
      </x:c>
      <x:c r="W1606" s="26" t="n">
        <x:v>0</x:v>
      </x:c>
      <x:c r="X1606" s="26" t="n">
        <x:v>0</x:v>
      </x:c>
      <x:c r="Y1606" s="26" t="n">
        <x:v>0</x:v>
      </x:c>
      <x:c r="Z1606" s="35" t="str">
        <x:v>Franklin County Treasurer</x:v>
      </x:c>
    </x:row>
    <x:row r="1607">
      <x:c r="A1607" s="20" t="str">
        <x:v>FIN-01604</x:v>
      </x:c>
      <x:c r="B1607" s="23" t="n">
        <x:v>46749</x:v>
      </x:c>
      <x:c r="C1607" s="23" t="n">
        <x:v>46749</x:v>
      </x:c>
      <x:c r="D1607" s="20" t="str">
        <x:v>OperatingExpense</x:v>
      </x:c>
      <x:c r="E1607" s="20" t="str">
        <x:v>Property tax</x:v>
      </x:c>
      <x:c r="F1607" s="20" t="str">
        <x:v>P021</x:v>
      </x:c>
      <x:c r="G1607" s="20" t="str"/>
      <x:c r="H1607" s="20" t="str"/>
      <x:c r="I1607" s="20" t="str">
        <x:v>Franklin County Treasurer</x:v>
      </x:c>
      <x:c r="J1607" s="35" t="str">
        <x:v>Scanned receipt/invoice</x:v>
      </x:c>
      <x:c r="K1607" s="20" t="str">
        <x:v>SCN-0873</x:v>
      </x:c>
      <x:c r="L1607" s="20" t="str">
        <x:v>EXP-20271228-3421</x:v>
      </x:c>
      <x:c r="M1607" s="26" t="n">
        <x:v>811</x:v>
      </x:c>
      <x:c r="N1607" s="26" t="n">
        <x:v>0</x:v>
      </x:c>
      <x:c r="O1607" s="26" t="n">
        <x:v>-811</x:v>
      </x:c>
      <x:c r="P1607" s="26" t="n">
        <x:v>0</x:v>
      </x:c>
      <x:c r="Q1607" s="26" t="n">
        <x:v>0</x:v>
      </x:c>
      <x:c r="R1607" s="26" t="n">
        <x:v>0</x:v>
      </x:c>
      <x:c r="S1607" s="26" t="n">
        <x:v>0</x:v>
      </x:c>
      <x:c r="T1607" s="26" t="n">
        <x:v>0</x:v>
      </x:c>
      <x:c r="U1607" s="26" t="n">
        <x:v>811</x:v>
      </x:c>
      <x:c r="V1607" s="26" t="n">
        <x:v>0</x:v>
      </x:c>
      <x:c r="W1607" s="26" t="n">
        <x:v>0</x:v>
      </x:c>
      <x:c r="X1607" s="26" t="n">
        <x:v>0</x:v>
      </x:c>
      <x:c r="Y1607" s="26" t="n">
        <x:v>0</x:v>
      </x:c>
      <x:c r="Z1607" s="35" t="str">
        <x:v>Franklin County Treasurer</x:v>
      </x:c>
    </x:row>
    <x:row r="1608">
      <x:c r="A1608" s="20" t="str">
        <x:v>FIN-01605</x:v>
      </x:c>
      <x:c r="B1608" s="23" t="n">
        <x:v>46678</x:v>
      </x:c>
      <x:c r="C1608" s="23" t="n">
        <x:v>46678</x:v>
      </x:c>
      <x:c r="D1608" s="20" t="str">
        <x:v>OperatingExpense</x:v>
      </x:c>
      <x:c r="E1608" s="20" t="str">
        <x:v>Insurance</x:v>
      </x:c>
      <x:c r="F1608" s="20" t="str">
        <x:v>P022</x:v>
      </x:c>
      <x:c r="G1608" s="20" t="str"/>
      <x:c r="H1608" s="20" t="str"/>
      <x:c r="I1608" s="20" t="str">
        <x:v>Buckeye Mutual Insurance</x:v>
      </x:c>
      <x:c r="J1608" s="35" t="str">
        <x:v>Scanned receipt/invoice</x:v>
      </x:c>
      <x:c r="K1608" s="20" t="str">
        <x:v>SCN-0874</x:v>
      </x:c>
      <x:c r="L1608" s="20" t="str">
        <x:v>EXP-20271018-2022</x:v>
      </x:c>
      <x:c r="M1608" s="26" t="n">
        <x:v>1354</x:v>
      </x:c>
      <x:c r="N1608" s="26" t="n">
        <x:v>0</x:v>
      </x:c>
      <x:c r="O1608" s="26" t="n">
        <x:v>-1354</x:v>
      </x:c>
      <x:c r="P1608" s="26" t="n">
        <x:v>0</x:v>
      </x:c>
      <x:c r="Q1608" s="26" t="n">
        <x:v>0</x:v>
      </x:c>
      <x:c r="R1608" s="26" t="n">
        <x:v>0</x:v>
      </x:c>
      <x:c r="S1608" s="26" t="n">
        <x:v>0</x:v>
      </x:c>
      <x:c r="T1608" s="26" t="n">
        <x:v>0</x:v>
      </x:c>
      <x:c r="U1608" s="26" t="n">
        <x:v>1354</x:v>
      </x:c>
      <x:c r="V1608" s="26" t="n">
        <x:v>0</x:v>
      </x:c>
      <x:c r="W1608" s="26" t="n">
        <x:v>0</x:v>
      </x:c>
      <x:c r="X1608" s="26" t="n">
        <x:v>0</x:v>
      </x:c>
      <x:c r="Y1608" s="26" t="n">
        <x:v>0</x:v>
      </x:c>
      <x:c r="Z1608" s="35" t="str">
        <x:v>Buckeye Mutual Insurance</x:v>
      </x:c>
    </x:row>
    <x:row r="1609">
      <x:c r="A1609" s="20" t="str">
        <x:v>FIN-01606</x:v>
      </x:c>
      <x:c r="B1609" s="23" t="n">
        <x:v>46474</x:v>
      </x:c>
      <x:c r="C1609" s="23" t="n">
        <x:v>46474</x:v>
      </x:c>
      <x:c r="D1609" s="20" t="str">
        <x:v>OperatingExpense</x:v>
      </x:c>
      <x:c r="E1609" s="20" t="str">
        <x:v>Property tax</x:v>
      </x:c>
      <x:c r="F1609" s="20" t="str">
        <x:v>P022</x:v>
      </x:c>
      <x:c r="G1609" s="20" t="str"/>
      <x:c r="H1609" s="20" t="str"/>
      <x:c r="I1609" s="20" t="str">
        <x:v>Franklin County Treasurer</x:v>
      </x:c>
      <x:c r="J1609" s="35" t="str">
        <x:v>Scanned receipt/invoice</x:v>
      </x:c>
      <x:c r="K1609" s="20" t="str">
        <x:v>SCN-0875</x:v>
      </x:c>
      <x:c r="L1609" s="20" t="str">
        <x:v>EXP-20270328-3122</x:v>
      </x:c>
      <x:c r="M1609" s="26" t="n">
        <x:v>803</x:v>
      </x:c>
      <x:c r="N1609" s="26" t="n">
        <x:v>0</x:v>
      </x:c>
      <x:c r="O1609" s="26" t="n">
        <x:v>-803</x:v>
      </x:c>
      <x:c r="P1609" s="26" t="n">
        <x:v>0</x:v>
      </x:c>
      <x:c r="Q1609" s="26" t="n">
        <x:v>0</x:v>
      </x:c>
      <x:c r="R1609" s="26" t="n">
        <x:v>0</x:v>
      </x:c>
      <x:c r="S1609" s="26" t="n">
        <x:v>0</x:v>
      </x:c>
      <x:c r="T1609" s="26" t="n">
        <x:v>0</x:v>
      </x:c>
      <x:c r="U1609" s="26" t="n">
        <x:v>803</x:v>
      </x:c>
      <x:c r="V1609" s="26" t="n">
        <x:v>0</x:v>
      </x:c>
      <x:c r="W1609" s="26" t="n">
        <x:v>0</x:v>
      </x:c>
      <x:c r="X1609" s="26" t="n">
        <x:v>0</x:v>
      </x:c>
      <x:c r="Y1609" s="26" t="n">
        <x:v>0</x:v>
      </x:c>
      <x:c r="Z1609" s="35" t="str">
        <x:v>Franklin County Treasurer</x:v>
      </x:c>
    </x:row>
    <x:row r="1610">
      <x:c r="A1610" s="20" t="str">
        <x:v>FIN-01607</x:v>
      </x:c>
      <x:c r="B1610" s="23" t="n">
        <x:v>46566</x:v>
      </x:c>
      <x:c r="C1610" s="23" t="n">
        <x:v>46566</x:v>
      </x:c>
      <x:c r="D1610" s="20" t="str">
        <x:v>OperatingExpense</x:v>
      </x:c>
      <x:c r="E1610" s="20" t="str">
        <x:v>Property tax</x:v>
      </x:c>
      <x:c r="F1610" s="20" t="str">
        <x:v>P022</x:v>
      </x:c>
      <x:c r="G1610" s="20" t="str"/>
      <x:c r="H1610" s="20" t="str"/>
      <x:c r="I1610" s="20" t="str">
        <x:v>Franklin County Treasurer</x:v>
      </x:c>
      <x:c r="J1610" s="35" t="str">
        <x:v>Scanned receipt/invoice</x:v>
      </x:c>
      <x:c r="K1610" s="20" t="str">
        <x:v>SCN-0876</x:v>
      </x:c>
      <x:c r="L1610" s="20" t="str">
        <x:v>EXP-20270628-3222</x:v>
      </x:c>
      <x:c r="M1610" s="26" t="n">
        <x:v>810</x:v>
      </x:c>
      <x:c r="N1610" s="26" t="n">
        <x:v>0</x:v>
      </x:c>
      <x:c r="O1610" s="26" t="n">
        <x:v>-810</x:v>
      </x:c>
      <x:c r="P1610" s="26" t="n">
        <x:v>0</x:v>
      </x:c>
      <x:c r="Q1610" s="26" t="n">
        <x:v>0</x:v>
      </x:c>
      <x:c r="R1610" s="26" t="n">
        <x:v>0</x:v>
      </x:c>
      <x:c r="S1610" s="26" t="n">
        <x:v>0</x:v>
      </x:c>
      <x:c r="T1610" s="26" t="n">
        <x:v>0</x:v>
      </x:c>
      <x:c r="U1610" s="26" t="n">
        <x:v>810</x:v>
      </x:c>
      <x:c r="V1610" s="26" t="n">
        <x:v>0</x:v>
      </x:c>
      <x:c r="W1610" s="26" t="n">
        <x:v>0</x:v>
      </x:c>
      <x:c r="X1610" s="26" t="n">
        <x:v>0</x:v>
      </x:c>
      <x:c r="Y1610" s="26" t="n">
        <x:v>0</x:v>
      </x:c>
      <x:c r="Z1610" s="35" t="str">
        <x:v>Franklin County Treasurer</x:v>
      </x:c>
    </x:row>
    <x:row r="1611">
      <x:c r="A1611" s="20" t="str">
        <x:v>FIN-01608</x:v>
      </x:c>
      <x:c r="B1611" s="23" t="n">
        <x:v>46658</x:v>
      </x:c>
      <x:c r="C1611" s="23" t="n">
        <x:v>46658</x:v>
      </x:c>
      <x:c r="D1611" s="20" t="str">
        <x:v>OperatingExpense</x:v>
      </x:c>
      <x:c r="E1611" s="20" t="str">
        <x:v>Property tax</x:v>
      </x:c>
      <x:c r="F1611" s="20" t="str">
        <x:v>P022</x:v>
      </x:c>
      <x:c r="G1611" s="20" t="str"/>
      <x:c r="H1611" s="20" t="str"/>
      <x:c r="I1611" s="20" t="str">
        <x:v>Franklin County Treasurer</x:v>
      </x:c>
      <x:c r="J1611" s="35" t="str">
        <x:v>Scanned receipt/invoice</x:v>
      </x:c>
      <x:c r="K1611" s="20" t="str">
        <x:v>SCN-0877</x:v>
      </x:c>
      <x:c r="L1611" s="20" t="str">
        <x:v>EXP-20270928-3322</x:v>
      </x:c>
      <x:c r="M1611" s="26" t="n">
        <x:v>817</x:v>
      </x:c>
      <x:c r="N1611" s="26" t="n">
        <x:v>0</x:v>
      </x:c>
      <x:c r="O1611" s="26" t="n">
        <x:v>-817</x:v>
      </x:c>
      <x:c r="P1611" s="26" t="n">
        <x:v>0</x:v>
      </x:c>
      <x:c r="Q1611" s="26" t="n">
        <x:v>0</x:v>
      </x:c>
      <x:c r="R1611" s="26" t="n">
        <x:v>0</x:v>
      </x:c>
      <x:c r="S1611" s="26" t="n">
        <x:v>0</x:v>
      </x:c>
      <x:c r="T1611" s="26" t="n">
        <x:v>0</x:v>
      </x:c>
      <x:c r="U1611" s="26" t="n">
        <x:v>817</x:v>
      </x:c>
      <x:c r="V1611" s="26" t="n">
        <x:v>0</x:v>
      </x:c>
      <x:c r="W1611" s="26" t="n">
        <x:v>0</x:v>
      </x:c>
      <x:c r="X1611" s="26" t="n">
        <x:v>0</x:v>
      </x:c>
      <x:c r="Y1611" s="26" t="n">
        <x:v>0</x:v>
      </x:c>
      <x:c r="Z1611" s="35" t="str">
        <x:v>Franklin County Treasurer</x:v>
      </x:c>
    </x:row>
    <x:row r="1612">
      <x:c r="A1612" s="20" t="str">
        <x:v>FIN-01609</x:v>
      </x:c>
      <x:c r="B1612" s="23" t="n">
        <x:v>46749</x:v>
      </x:c>
      <x:c r="C1612" s="23" t="n">
        <x:v>46749</x:v>
      </x:c>
      <x:c r="D1612" s="20" t="str">
        <x:v>OperatingExpense</x:v>
      </x:c>
      <x:c r="E1612" s="20" t="str">
        <x:v>Property tax</x:v>
      </x:c>
      <x:c r="F1612" s="20" t="str">
        <x:v>P022</x:v>
      </x:c>
      <x:c r="G1612" s="20" t="str"/>
      <x:c r="H1612" s="20" t="str"/>
      <x:c r="I1612" s="20" t="str">
        <x:v>Franklin County Treasurer</x:v>
      </x:c>
      <x:c r="J1612" s="35" t="str">
        <x:v>Scanned receipt/invoice</x:v>
      </x:c>
      <x:c r="K1612" s="20" t="str">
        <x:v>SCN-0878</x:v>
      </x:c>
      <x:c r="L1612" s="20" t="str">
        <x:v>EXP-20271228-3422</x:v>
      </x:c>
      <x:c r="M1612" s="26" t="n">
        <x:v>824</x:v>
      </x:c>
      <x:c r="N1612" s="26" t="n">
        <x:v>0</x:v>
      </x:c>
      <x:c r="O1612" s="26" t="n">
        <x:v>-824</x:v>
      </x:c>
      <x:c r="P1612" s="26" t="n">
        <x:v>0</x:v>
      </x:c>
      <x:c r="Q1612" s="26" t="n">
        <x:v>0</x:v>
      </x:c>
      <x:c r="R1612" s="26" t="n">
        <x:v>0</x:v>
      </x:c>
      <x:c r="S1612" s="26" t="n">
        <x:v>0</x:v>
      </x:c>
      <x:c r="T1612" s="26" t="n">
        <x:v>0</x:v>
      </x:c>
      <x:c r="U1612" s="26" t="n">
        <x:v>824</x:v>
      </x:c>
      <x:c r="V1612" s="26" t="n">
        <x:v>0</x:v>
      </x:c>
      <x:c r="W1612" s="26" t="n">
        <x:v>0</x:v>
      </x:c>
      <x:c r="X1612" s="26" t="n">
        <x:v>0</x:v>
      </x:c>
      <x:c r="Y1612" s="26" t="n">
        <x:v>0</x:v>
      </x:c>
      <x:c r="Z1612" s="35" t="str">
        <x:v>Franklin County Treasurer</x:v>
      </x:c>
    </x:row>
    <x:row r="1613">
      <x:c r="A1613" s="20" t="str">
        <x:v>FIN-01610</x:v>
      </x:c>
      <x:c r="B1613" s="23" t="n">
        <x:v>46709</x:v>
      </x:c>
      <x:c r="C1613" s="23" t="n">
        <x:v>46709</x:v>
      </x:c>
      <x:c r="D1613" s="20" t="str">
        <x:v>OperatingExpense</x:v>
      </x:c>
      <x:c r="E1613" s="20" t="str">
        <x:v>Insurance</x:v>
      </x:c>
      <x:c r="F1613" s="20" t="str">
        <x:v>P023</x:v>
      </x:c>
      <x:c r="G1613" s="20" t="str"/>
      <x:c r="H1613" s="20" t="str"/>
      <x:c r="I1613" s="20" t="str">
        <x:v>Buckeye Mutual Insurance</x:v>
      </x:c>
      <x:c r="J1613" s="35" t="str">
        <x:v>Scanned receipt/invoice</x:v>
      </x:c>
      <x:c r="K1613" s="20" t="str">
        <x:v>SCN-0879</x:v>
      </x:c>
      <x:c r="L1613" s="20" t="str">
        <x:v>EXP-20271118-2023</x:v>
      </x:c>
      <x:c r="M1613" s="26" t="n">
        <x:v>1371</x:v>
      </x:c>
      <x:c r="N1613" s="26" t="n">
        <x:v>0</x:v>
      </x:c>
      <x:c r="O1613" s="26" t="n">
        <x:v>-1371</x:v>
      </x:c>
      <x:c r="P1613" s="26" t="n">
        <x:v>0</x:v>
      </x:c>
      <x:c r="Q1613" s="26" t="n">
        <x:v>0</x:v>
      </x:c>
      <x:c r="R1613" s="26" t="n">
        <x:v>0</x:v>
      </x:c>
      <x:c r="S1613" s="26" t="n">
        <x:v>0</x:v>
      </x:c>
      <x:c r="T1613" s="26" t="n">
        <x:v>0</x:v>
      </x:c>
      <x:c r="U1613" s="26" t="n">
        <x:v>1371</x:v>
      </x:c>
      <x:c r="V1613" s="26" t="n">
        <x:v>0</x:v>
      </x:c>
      <x:c r="W1613" s="26" t="n">
        <x:v>0</x:v>
      </x:c>
      <x:c r="X1613" s="26" t="n">
        <x:v>0</x:v>
      </x:c>
      <x:c r="Y1613" s="26" t="n">
        <x:v>0</x:v>
      </x:c>
      <x:c r="Z1613" s="35" t="str">
        <x:v>Buckeye Mutual Insurance</x:v>
      </x:c>
    </x:row>
    <x:row r="1614">
      <x:c r="A1614" s="20" t="str">
        <x:v>FIN-01611</x:v>
      </x:c>
      <x:c r="B1614" s="23" t="n">
        <x:v>46474</x:v>
      </x:c>
      <x:c r="C1614" s="23" t="n">
        <x:v>46474</x:v>
      </x:c>
      <x:c r="D1614" s="20" t="str">
        <x:v>OperatingExpense</x:v>
      </x:c>
      <x:c r="E1614" s="20" t="str">
        <x:v>Property tax</x:v>
      </x:c>
      <x:c r="F1614" s="20" t="str">
        <x:v>P023</x:v>
      </x:c>
      <x:c r="G1614" s="20" t="str"/>
      <x:c r="H1614" s="20" t="str"/>
      <x:c r="I1614" s="20" t="str">
        <x:v>Franklin County Treasurer</x:v>
      </x:c>
      <x:c r="J1614" s="35" t="str">
        <x:v>Scanned receipt/invoice</x:v>
      </x:c>
      <x:c r="K1614" s="20" t="str">
        <x:v>SCN-0880</x:v>
      </x:c>
      <x:c r="L1614" s="20" t="str">
        <x:v>EXP-20270328-3123</x:v>
      </x:c>
      <x:c r="M1614" s="26" t="n">
        <x:v>816</x:v>
      </x:c>
      <x:c r="N1614" s="26" t="n">
        <x:v>0</x:v>
      </x:c>
      <x:c r="O1614" s="26" t="n">
        <x:v>-816</x:v>
      </x:c>
      <x:c r="P1614" s="26" t="n">
        <x:v>0</x:v>
      </x:c>
      <x:c r="Q1614" s="26" t="n">
        <x:v>0</x:v>
      </x:c>
      <x:c r="R1614" s="26" t="n">
        <x:v>0</x:v>
      </x:c>
      <x:c r="S1614" s="26" t="n">
        <x:v>0</x:v>
      </x:c>
      <x:c r="T1614" s="26" t="n">
        <x:v>0</x:v>
      </x:c>
      <x:c r="U1614" s="26" t="n">
        <x:v>816</x:v>
      </x:c>
      <x:c r="V1614" s="26" t="n">
        <x:v>0</x:v>
      </x:c>
      <x:c r="W1614" s="26" t="n">
        <x:v>0</x:v>
      </x:c>
      <x:c r="X1614" s="26" t="n">
        <x:v>0</x:v>
      </x:c>
      <x:c r="Y1614" s="26" t="n">
        <x:v>0</x:v>
      </x:c>
      <x:c r="Z1614" s="35" t="str">
        <x:v>Franklin County Treasurer</x:v>
      </x:c>
    </x:row>
    <x:row r="1615">
      <x:c r="A1615" s="20" t="str">
        <x:v>FIN-01612</x:v>
      </x:c>
      <x:c r="B1615" s="23" t="n">
        <x:v>46566</x:v>
      </x:c>
      <x:c r="C1615" s="23" t="n">
        <x:v>46566</x:v>
      </x:c>
      <x:c r="D1615" s="20" t="str">
        <x:v>OperatingExpense</x:v>
      </x:c>
      <x:c r="E1615" s="20" t="str">
        <x:v>Property tax</x:v>
      </x:c>
      <x:c r="F1615" s="20" t="str">
        <x:v>P023</x:v>
      </x:c>
      <x:c r="G1615" s="20" t="str"/>
      <x:c r="H1615" s="20" t="str"/>
      <x:c r="I1615" s="20" t="str">
        <x:v>Franklin County Treasurer</x:v>
      </x:c>
      <x:c r="J1615" s="35" t="str">
        <x:v>Scanned receipt/invoice</x:v>
      </x:c>
      <x:c r="K1615" s="20" t="str">
        <x:v>SCN-0881</x:v>
      </x:c>
      <x:c r="L1615" s="20" t="str">
        <x:v>EXP-20270628-3223</x:v>
      </x:c>
      <x:c r="M1615" s="26" t="n">
        <x:v>823</x:v>
      </x:c>
      <x:c r="N1615" s="26" t="n">
        <x:v>0</x:v>
      </x:c>
      <x:c r="O1615" s="26" t="n">
        <x:v>-823</x:v>
      </x:c>
      <x:c r="P1615" s="26" t="n">
        <x:v>0</x:v>
      </x:c>
      <x:c r="Q1615" s="26" t="n">
        <x:v>0</x:v>
      </x:c>
      <x:c r="R1615" s="26" t="n">
        <x:v>0</x:v>
      </x:c>
      <x:c r="S1615" s="26" t="n">
        <x:v>0</x:v>
      </x:c>
      <x:c r="T1615" s="26" t="n">
        <x:v>0</x:v>
      </x:c>
      <x:c r="U1615" s="26" t="n">
        <x:v>823</x:v>
      </x:c>
      <x:c r="V1615" s="26" t="n">
        <x:v>0</x:v>
      </x:c>
      <x:c r="W1615" s="26" t="n">
        <x:v>0</x:v>
      </x:c>
      <x:c r="X1615" s="26" t="n">
        <x:v>0</x:v>
      </x:c>
      <x:c r="Y1615" s="26" t="n">
        <x:v>0</x:v>
      </x:c>
      <x:c r="Z1615" s="35" t="str">
        <x:v>Franklin County Treasurer</x:v>
      </x:c>
    </x:row>
    <x:row r="1616">
      <x:c r="A1616" s="20" t="str">
        <x:v>FIN-01613</x:v>
      </x:c>
      <x:c r="B1616" s="23" t="n">
        <x:v>46658</x:v>
      </x:c>
      <x:c r="C1616" s="23" t="n">
        <x:v>46658</x:v>
      </x:c>
      <x:c r="D1616" s="20" t="str">
        <x:v>OperatingExpense</x:v>
      </x:c>
      <x:c r="E1616" s="20" t="str">
        <x:v>Property tax</x:v>
      </x:c>
      <x:c r="F1616" s="20" t="str">
        <x:v>P023</x:v>
      </x:c>
      <x:c r="G1616" s="20" t="str"/>
      <x:c r="H1616" s="20" t="str"/>
      <x:c r="I1616" s="20" t="str">
        <x:v>Franklin County Treasurer</x:v>
      </x:c>
      <x:c r="J1616" s="35" t="str">
        <x:v>Scanned receipt/invoice</x:v>
      </x:c>
      <x:c r="K1616" s="20" t="str">
        <x:v>SCN-0882</x:v>
      </x:c>
      <x:c r="L1616" s="20" t="str">
        <x:v>EXP-20270928-3323</x:v>
      </x:c>
      <x:c r="M1616" s="26" t="n">
        <x:v>830</x:v>
      </x:c>
      <x:c r="N1616" s="26" t="n">
        <x:v>0</x:v>
      </x:c>
      <x:c r="O1616" s="26" t="n">
        <x:v>-830</x:v>
      </x:c>
      <x:c r="P1616" s="26" t="n">
        <x:v>0</x:v>
      </x:c>
      <x:c r="Q1616" s="26" t="n">
        <x:v>0</x:v>
      </x:c>
      <x:c r="R1616" s="26" t="n">
        <x:v>0</x:v>
      </x:c>
      <x:c r="S1616" s="26" t="n">
        <x:v>0</x:v>
      </x:c>
      <x:c r="T1616" s="26" t="n">
        <x:v>0</x:v>
      </x:c>
      <x:c r="U1616" s="26" t="n">
        <x:v>830</x:v>
      </x:c>
      <x:c r="V1616" s="26" t="n">
        <x:v>0</x:v>
      </x:c>
      <x:c r="W1616" s="26" t="n">
        <x:v>0</x:v>
      </x:c>
      <x:c r="X1616" s="26" t="n">
        <x:v>0</x:v>
      </x:c>
      <x:c r="Y1616" s="26" t="n">
        <x:v>0</x:v>
      </x:c>
      <x:c r="Z1616" s="35" t="str">
        <x:v>Franklin County Treasurer</x:v>
      </x:c>
    </x:row>
    <x:row r="1617">
      <x:c r="A1617" s="20" t="str">
        <x:v>FIN-01614</x:v>
      </x:c>
      <x:c r="B1617" s="23" t="n">
        <x:v>46749</x:v>
      </x:c>
      <x:c r="C1617" s="23" t="n">
        <x:v>46749</x:v>
      </x:c>
      <x:c r="D1617" s="20" t="str">
        <x:v>OperatingExpense</x:v>
      </x:c>
      <x:c r="E1617" s="20" t="str">
        <x:v>Property tax</x:v>
      </x:c>
      <x:c r="F1617" s="20" t="str">
        <x:v>P023</x:v>
      </x:c>
      <x:c r="G1617" s="20" t="str"/>
      <x:c r="H1617" s="20" t="str"/>
      <x:c r="I1617" s="20" t="str">
        <x:v>Franklin County Treasurer</x:v>
      </x:c>
      <x:c r="J1617" s="35" t="str">
        <x:v>Scanned receipt/invoice</x:v>
      </x:c>
      <x:c r="K1617" s="20" t="str">
        <x:v>SCN-0883</x:v>
      </x:c>
      <x:c r="L1617" s="20" t="str">
        <x:v>EXP-20271228-3423</x:v>
      </x:c>
      <x:c r="M1617" s="26" t="n">
        <x:v>837</x:v>
      </x:c>
      <x:c r="N1617" s="26" t="n">
        <x:v>0</x:v>
      </x:c>
      <x:c r="O1617" s="26" t="n">
        <x:v>-837</x:v>
      </x:c>
      <x:c r="P1617" s="26" t="n">
        <x:v>0</x:v>
      </x:c>
      <x:c r="Q1617" s="26" t="n">
        <x:v>0</x:v>
      </x:c>
      <x:c r="R1617" s="26" t="n">
        <x:v>0</x:v>
      </x:c>
      <x:c r="S1617" s="26" t="n">
        <x:v>0</x:v>
      </x:c>
      <x:c r="T1617" s="26" t="n">
        <x:v>0</x:v>
      </x:c>
      <x:c r="U1617" s="26" t="n">
        <x:v>837</x:v>
      </x:c>
      <x:c r="V1617" s="26" t="n">
        <x:v>0</x:v>
      </x:c>
      <x:c r="W1617" s="26" t="n">
        <x:v>0</x:v>
      </x:c>
      <x:c r="X1617" s="26" t="n">
        <x:v>0</x:v>
      </x:c>
      <x:c r="Y1617" s="26" t="n">
        <x:v>0</x:v>
      </x:c>
      <x:c r="Z1617" s="35" t="str">
        <x:v>Franklin County Treasurer</x:v>
      </x:c>
    </x:row>
    <x:row r="1618">
      <x:c r="A1618" s="20" t="str">
        <x:v>FIN-01615</x:v>
      </x:c>
      <x:c r="B1618" s="23" t="n">
        <x:v>46739</x:v>
      </x:c>
      <x:c r="C1618" s="23" t="n">
        <x:v>46739</x:v>
      </x:c>
      <x:c r="D1618" s="20" t="str">
        <x:v>OperatingExpense</x:v>
      </x:c>
      <x:c r="E1618" s="20" t="str">
        <x:v>Insurance</x:v>
      </x:c>
      <x:c r="F1618" s="20" t="str">
        <x:v>P024</x:v>
      </x:c>
      <x:c r="G1618" s="20" t="str"/>
      <x:c r="H1618" s="20" t="str"/>
      <x:c r="I1618" s="20" t="str">
        <x:v>Buckeye Mutual Insurance</x:v>
      </x:c>
      <x:c r="J1618" s="35" t="str">
        <x:v>Scanned receipt/invoice</x:v>
      </x:c>
      <x:c r="K1618" s="20" t="str">
        <x:v>SCN-0884</x:v>
      </x:c>
      <x:c r="L1618" s="20" t="str">
        <x:v>EXP-20271218-2024</x:v>
      </x:c>
      <x:c r="M1618" s="26" t="n">
        <x:v>1388</x:v>
      </x:c>
      <x:c r="N1618" s="26" t="n">
        <x:v>0</x:v>
      </x:c>
      <x:c r="O1618" s="26" t="n">
        <x:v>-1388</x:v>
      </x:c>
      <x:c r="P1618" s="26" t="n">
        <x:v>0</x:v>
      </x:c>
      <x:c r="Q1618" s="26" t="n">
        <x:v>0</x:v>
      </x:c>
      <x:c r="R1618" s="26" t="n">
        <x:v>0</x:v>
      </x:c>
      <x:c r="S1618" s="26" t="n">
        <x:v>0</x:v>
      </x:c>
      <x:c r="T1618" s="26" t="n">
        <x:v>0</x:v>
      </x:c>
      <x:c r="U1618" s="26" t="n">
        <x:v>1388</x:v>
      </x:c>
      <x:c r="V1618" s="26" t="n">
        <x:v>0</x:v>
      </x:c>
      <x:c r="W1618" s="26" t="n">
        <x:v>0</x:v>
      </x:c>
      <x:c r="X1618" s="26" t="n">
        <x:v>0</x:v>
      </x:c>
      <x:c r="Y1618" s="26" t="n">
        <x:v>0</x:v>
      </x:c>
      <x:c r="Z1618" s="35" t="str">
        <x:v>Buckeye Mutual Insurance</x:v>
      </x:c>
    </x:row>
    <x:row r="1619">
      <x:c r="A1619" s="20" t="str">
        <x:v>FIN-01616</x:v>
      </x:c>
      <x:c r="B1619" s="23" t="n">
        <x:v>46474</x:v>
      </x:c>
      <x:c r="C1619" s="23" t="n">
        <x:v>46474</x:v>
      </x:c>
      <x:c r="D1619" s="20" t="str">
        <x:v>OperatingExpense</x:v>
      </x:c>
      <x:c r="E1619" s="20" t="str">
        <x:v>Property tax</x:v>
      </x:c>
      <x:c r="F1619" s="20" t="str">
        <x:v>P024</x:v>
      </x:c>
      <x:c r="G1619" s="20" t="str"/>
      <x:c r="H1619" s="20" t="str"/>
      <x:c r="I1619" s="20" t="str">
        <x:v>Franklin County Treasurer</x:v>
      </x:c>
      <x:c r="J1619" s="35" t="str">
        <x:v>Scanned receipt/invoice</x:v>
      </x:c>
      <x:c r="K1619" s="20" t="str">
        <x:v>SCN-0885</x:v>
      </x:c>
      <x:c r="L1619" s="20" t="str">
        <x:v>EXP-20270328-3124</x:v>
      </x:c>
      <x:c r="M1619" s="26" t="n">
        <x:v>829</x:v>
      </x:c>
      <x:c r="N1619" s="26" t="n">
        <x:v>0</x:v>
      </x:c>
      <x:c r="O1619" s="26" t="n">
        <x:v>-829</x:v>
      </x:c>
      <x:c r="P1619" s="26" t="n">
        <x:v>0</x:v>
      </x:c>
      <x:c r="Q1619" s="26" t="n">
        <x:v>0</x:v>
      </x:c>
      <x:c r="R1619" s="26" t="n">
        <x:v>0</x:v>
      </x:c>
      <x:c r="S1619" s="26" t="n">
        <x:v>0</x:v>
      </x:c>
      <x:c r="T1619" s="26" t="n">
        <x:v>0</x:v>
      </x:c>
      <x:c r="U1619" s="26" t="n">
        <x:v>829</x:v>
      </x:c>
      <x:c r="V1619" s="26" t="n">
        <x:v>0</x:v>
      </x:c>
      <x:c r="W1619" s="26" t="n">
        <x:v>0</x:v>
      </x:c>
      <x:c r="X1619" s="26" t="n">
        <x:v>0</x:v>
      </x:c>
      <x:c r="Y1619" s="26" t="n">
        <x:v>0</x:v>
      </x:c>
      <x:c r="Z1619" s="35" t="str">
        <x:v>Franklin County Treasurer</x:v>
      </x:c>
    </x:row>
    <x:row r="1620">
      <x:c r="A1620" s="20" t="str">
        <x:v>FIN-01617</x:v>
      </x:c>
      <x:c r="B1620" s="23" t="n">
        <x:v>46566</x:v>
      </x:c>
      <x:c r="C1620" s="23" t="n">
        <x:v>46566</x:v>
      </x:c>
      <x:c r="D1620" s="20" t="str">
        <x:v>OperatingExpense</x:v>
      </x:c>
      <x:c r="E1620" s="20" t="str">
        <x:v>Property tax</x:v>
      </x:c>
      <x:c r="F1620" s="20" t="str">
        <x:v>P024</x:v>
      </x:c>
      <x:c r="G1620" s="20" t="str"/>
      <x:c r="H1620" s="20" t="str"/>
      <x:c r="I1620" s="20" t="str">
        <x:v>Franklin County Treasurer</x:v>
      </x:c>
      <x:c r="J1620" s="35" t="str">
        <x:v>Scanned receipt/invoice</x:v>
      </x:c>
      <x:c r="K1620" s="20" t="str">
        <x:v>SCN-0886</x:v>
      </x:c>
      <x:c r="L1620" s="20" t="str">
        <x:v>EXP-20270628-3224</x:v>
      </x:c>
      <x:c r="M1620" s="26" t="n">
        <x:v>836</x:v>
      </x:c>
      <x:c r="N1620" s="26" t="n">
        <x:v>0</x:v>
      </x:c>
      <x:c r="O1620" s="26" t="n">
        <x:v>-836</x:v>
      </x:c>
      <x:c r="P1620" s="26" t="n">
        <x:v>0</x:v>
      </x:c>
      <x:c r="Q1620" s="26" t="n">
        <x:v>0</x:v>
      </x:c>
      <x:c r="R1620" s="26" t="n">
        <x:v>0</x:v>
      </x:c>
      <x:c r="S1620" s="26" t="n">
        <x:v>0</x:v>
      </x:c>
      <x:c r="T1620" s="26" t="n">
        <x:v>0</x:v>
      </x:c>
      <x:c r="U1620" s="26" t="n">
        <x:v>836</x:v>
      </x:c>
      <x:c r="V1620" s="26" t="n">
        <x:v>0</x:v>
      </x:c>
      <x:c r="W1620" s="26" t="n">
        <x:v>0</x:v>
      </x:c>
      <x:c r="X1620" s="26" t="n">
        <x:v>0</x:v>
      </x:c>
      <x:c r="Y1620" s="26" t="n">
        <x:v>0</x:v>
      </x:c>
      <x:c r="Z1620" s="35" t="str">
        <x:v>Franklin County Treasurer</x:v>
      </x:c>
    </x:row>
    <x:row r="1621">
      <x:c r="A1621" s="20" t="str">
        <x:v>FIN-01618</x:v>
      </x:c>
      <x:c r="B1621" s="23" t="n">
        <x:v>46658</x:v>
      </x:c>
      <x:c r="C1621" s="23" t="n">
        <x:v>46658</x:v>
      </x:c>
      <x:c r="D1621" s="20" t="str">
        <x:v>OperatingExpense</x:v>
      </x:c>
      <x:c r="E1621" s="20" t="str">
        <x:v>Property tax</x:v>
      </x:c>
      <x:c r="F1621" s="20" t="str">
        <x:v>P024</x:v>
      </x:c>
      <x:c r="G1621" s="20" t="str"/>
      <x:c r="H1621" s="20" t="str"/>
      <x:c r="I1621" s="20" t="str">
        <x:v>Franklin County Treasurer</x:v>
      </x:c>
      <x:c r="J1621" s="35" t="str">
        <x:v>Scanned receipt/invoice</x:v>
      </x:c>
      <x:c r="K1621" s="20" t="str">
        <x:v>SCN-0887</x:v>
      </x:c>
      <x:c r="L1621" s="20" t="str">
        <x:v>EXP-20270928-3324</x:v>
      </x:c>
      <x:c r="M1621" s="26" t="n">
        <x:v>843</x:v>
      </x:c>
      <x:c r="N1621" s="26" t="n">
        <x:v>0</x:v>
      </x:c>
      <x:c r="O1621" s="26" t="n">
        <x:v>-843</x:v>
      </x:c>
      <x:c r="P1621" s="26" t="n">
        <x:v>0</x:v>
      </x:c>
      <x:c r="Q1621" s="26" t="n">
        <x:v>0</x:v>
      </x:c>
      <x:c r="R1621" s="26" t="n">
        <x:v>0</x:v>
      </x:c>
      <x:c r="S1621" s="26" t="n">
        <x:v>0</x:v>
      </x:c>
      <x:c r="T1621" s="26" t="n">
        <x:v>0</x:v>
      </x:c>
      <x:c r="U1621" s="26" t="n">
        <x:v>843</x:v>
      </x:c>
      <x:c r="V1621" s="26" t="n">
        <x:v>0</x:v>
      </x:c>
      <x:c r="W1621" s="26" t="n">
        <x:v>0</x:v>
      </x:c>
      <x:c r="X1621" s="26" t="n">
        <x:v>0</x:v>
      </x:c>
      <x:c r="Y1621" s="26" t="n">
        <x:v>0</x:v>
      </x:c>
      <x:c r="Z1621" s="35" t="str">
        <x:v>Franklin County Treasurer</x:v>
      </x:c>
    </x:row>
    <x:row r="1622">
      <x:c r="A1622" s="20" t="str">
        <x:v>FIN-01619</x:v>
      </x:c>
      <x:c r="B1622" s="23" t="n">
        <x:v>46749</x:v>
      </x:c>
      <x:c r="C1622" s="23" t="n">
        <x:v>46749</x:v>
      </x:c>
      <x:c r="D1622" s="20" t="str">
        <x:v>OperatingExpense</x:v>
      </x:c>
      <x:c r="E1622" s="20" t="str">
        <x:v>Property tax</x:v>
      </x:c>
      <x:c r="F1622" s="20" t="str">
        <x:v>P024</x:v>
      </x:c>
      <x:c r="G1622" s="20" t="str"/>
      <x:c r="H1622" s="20" t="str"/>
      <x:c r="I1622" s="20" t="str">
        <x:v>Franklin County Treasurer</x:v>
      </x:c>
      <x:c r="J1622" s="35" t="str">
        <x:v>Scanned receipt/invoice</x:v>
      </x:c>
      <x:c r="K1622" s="20" t="str">
        <x:v>SCN-0888</x:v>
      </x:c>
      <x:c r="L1622" s="20" t="str">
        <x:v>EXP-20271228-3424</x:v>
      </x:c>
      <x:c r="M1622" s="26" t="n">
        <x:v>850</x:v>
      </x:c>
      <x:c r="N1622" s="26" t="n">
        <x:v>0</x:v>
      </x:c>
      <x:c r="O1622" s="26" t="n">
        <x:v>-850</x:v>
      </x:c>
      <x:c r="P1622" s="26" t="n">
        <x:v>0</x:v>
      </x:c>
      <x:c r="Q1622" s="26" t="n">
        <x:v>0</x:v>
      </x:c>
      <x:c r="R1622" s="26" t="n">
        <x:v>0</x:v>
      </x:c>
      <x:c r="S1622" s="26" t="n">
        <x:v>0</x:v>
      </x:c>
      <x:c r="T1622" s="26" t="n">
        <x:v>0</x:v>
      </x:c>
      <x:c r="U1622" s="26" t="n">
        <x:v>850</x:v>
      </x:c>
      <x:c r="V1622" s="26" t="n">
        <x:v>0</x:v>
      </x:c>
      <x:c r="W1622" s="26" t="n">
        <x:v>0</x:v>
      </x:c>
      <x:c r="X1622" s="26" t="n">
        <x:v>0</x:v>
      </x:c>
      <x:c r="Y1622" s="26" t="n">
        <x:v>0</x:v>
      </x:c>
      <x:c r="Z1622" s="35" t="str">
        <x:v>Franklin County Treasurer</x:v>
      </x:c>
    </x:row>
    <x:row r="1623">
      <x:c r="A1623" s="20" t="str">
        <x:v>FIN-01620</x:v>
      </x:c>
      <x:c r="B1623" s="23" t="n">
        <x:v>46405</x:v>
      </x:c>
      <x:c r="C1623" s="23" t="n">
        <x:v>46405</x:v>
      </x:c>
      <x:c r="D1623" s="20" t="str">
        <x:v>OperatingExpense</x:v>
      </x:c>
      <x:c r="E1623" s="20" t="str">
        <x:v>Insurance</x:v>
      </x:c>
      <x:c r="F1623" s="20" t="str">
        <x:v>P025</x:v>
      </x:c>
      <x:c r="G1623" s="20" t="str"/>
      <x:c r="H1623" s="20" t="str"/>
      <x:c r="I1623" s="20" t="str">
        <x:v>Buckeye Mutual Insurance</x:v>
      </x:c>
      <x:c r="J1623" s="35" t="str">
        <x:v>Manual web form</x:v>
      </x:c>
      <x:c r="K1623" s="20" t="str"/>
      <x:c r="L1623" s="20" t="str">
        <x:v>EXP-20270118-2025</x:v>
      </x:c>
      <x:c r="M1623" s="26" t="n">
        <x:v>1405</x:v>
      </x:c>
      <x:c r="N1623" s="26" t="n">
        <x:v>0</x:v>
      </x:c>
      <x:c r="O1623" s="26" t="n">
        <x:v>-1405</x:v>
      </x:c>
      <x:c r="P1623" s="26" t="n">
        <x:v>0</x:v>
      </x:c>
      <x:c r="Q1623" s="26" t="n">
        <x:v>0</x:v>
      </x:c>
      <x:c r="R1623" s="26" t="n">
        <x:v>0</x:v>
      </x:c>
      <x:c r="S1623" s="26" t="n">
        <x:v>0</x:v>
      </x:c>
      <x:c r="T1623" s="26" t="n">
        <x:v>0</x:v>
      </x:c>
      <x:c r="U1623" s="26" t="n">
        <x:v>1405</x:v>
      </x:c>
      <x:c r="V1623" s="26" t="n">
        <x:v>0</x:v>
      </x:c>
      <x:c r="W1623" s="26" t="n">
        <x:v>0</x:v>
      </x:c>
      <x:c r="X1623" s="26" t="n">
        <x:v>0</x:v>
      </x:c>
      <x:c r="Y1623" s="26" t="n">
        <x:v>0</x:v>
      </x:c>
      <x:c r="Z1623" s="35" t="str">
        <x:v>Buckeye Mutual Insurance</x:v>
      </x:c>
    </x:row>
    <x:row r="1624">
      <x:c r="A1624" s="20" t="str">
        <x:v>FIN-01621</x:v>
      </x:c>
      <x:c r="B1624" s="23" t="n">
        <x:v>46474</x:v>
      </x:c>
      <x:c r="C1624" s="23" t="n">
        <x:v>46474</x:v>
      </x:c>
      <x:c r="D1624" s="20" t="str">
        <x:v>OperatingExpense</x:v>
      </x:c>
      <x:c r="E1624" s="20" t="str">
        <x:v>Property tax</x:v>
      </x:c>
      <x:c r="F1624" s="20" t="str">
        <x:v>P025</x:v>
      </x:c>
      <x:c r="G1624" s="20" t="str"/>
      <x:c r="H1624" s="20" t="str"/>
      <x:c r="I1624" s="20" t="str">
        <x:v>Franklin County Treasurer</x:v>
      </x:c>
      <x:c r="J1624" s="35" t="str">
        <x:v>Manual web form</x:v>
      </x:c>
      <x:c r="K1624" s="20" t="str"/>
      <x:c r="L1624" s="20" t="str">
        <x:v>EXP-20270328-3125</x:v>
      </x:c>
      <x:c r="M1624" s="26" t="n">
        <x:v>842</x:v>
      </x:c>
      <x:c r="N1624" s="26" t="n">
        <x:v>0</x:v>
      </x:c>
      <x:c r="O1624" s="26" t="n">
        <x:v>-842</x:v>
      </x:c>
      <x:c r="P1624" s="26" t="n">
        <x:v>0</x:v>
      </x:c>
      <x:c r="Q1624" s="26" t="n">
        <x:v>0</x:v>
      </x:c>
      <x:c r="R1624" s="26" t="n">
        <x:v>0</x:v>
      </x:c>
      <x:c r="S1624" s="26" t="n">
        <x:v>0</x:v>
      </x:c>
      <x:c r="T1624" s="26" t="n">
        <x:v>0</x:v>
      </x:c>
      <x:c r="U1624" s="26" t="n">
        <x:v>842</x:v>
      </x:c>
      <x:c r="V1624" s="26" t="n">
        <x:v>0</x:v>
      </x:c>
      <x:c r="W1624" s="26" t="n">
        <x:v>0</x:v>
      </x:c>
      <x:c r="X1624" s="26" t="n">
        <x:v>0</x:v>
      </x:c>
      <x:c r="Y1624" s="26" t="n">
        <x:v>0</x:v>
      </x:c>
      <x:c r="Z1624" s="35" t="str">
        <x:v>Franklin County Treasurer</x:v>
      </x:c>
    </x:row>
    <x:row r="1625">
      <x:c r="A1625" s="20" t="str">
        <x:v>FIN-01622</x:v>
      </x:c>
      <x:c r="B1625" s="23" t="n">
        <x:v>46566</x:v>
      </x:c>
      <x:c r="C1625" s="23" t="n">
        <x:v>46566</x:v>
      </x:c>
      <x:c r="D1625" s="20" t="str">
        <x:v>OperatingExpense</x:v>
      </x:c>
      <x:c r="E1625" s="20" t="str">
        <x:v>Property tax</x:v>
      </x:c>
      <x:c r="F1625" s="20" t="str">
        <x:v>P025</x:v>
      </x:c>
      <x:c r="G1625" s="20" t="str"/>
      <x:c r="H1625" s="20" t="str"/>
      <x:c r="I1625" s="20" t="str">
        <x:v>Franklin County Treasurer</x:v>
      </x:c>
      <x:c r="J1625" s="35" t="str">
        <x:v>Manual web form</x:v>
      </x:c>
      <x:c r="K1625" s="20" t="str"/>
      <x:c r="L1625" s="20" t="str">
        <x:v>EXP-20270628-3225</x:v>
      </x:c>
      <x:c r="M1625" s="26" t="n">
        <x:v>849</x:v>
      </x:c>
      <x:c r="N1625" s="26" t="n">
        <x:v>0</x:v>
      </x:c>
      <x:c r="O1625" s="26" t="n">
        <x:v>-849</x:v>
      </x:c>
      <x:c r="P1625" s="26" t="n">
        <x:v>0</x:v>
      </x:c>
      <x:c r="Q1625" s="26" t="n">
        <x:v>0</x:v>
      </x:c>
      <x:c r="R1625" s="26" t="n">
        <x:v>0</x:v>
      </x:c>
      <x:c r="S1625" s="26" t="n">
        <x:v>0</x:v>
      </x:c>
      <x:c r="T1625" s="26" t="n">
        <x:v>0</x:v>
      </x:c>
      <x:c r="U1625" s="26" t="n">
        <x:v>849</x:v>
      </x:c>
      <x:c r="V1625" s="26" t="n">
        <x:v>0</x:v>
      </x:c>
      <x:c r="W1625" s="26" t="n">
        <x:v>0</x:v>
      </x:c>
      <x:c r="X1625" s="26" t="n">
        <x:v>0</x:v>
      </x:c>
      <x:c r="Y1625" s="26" t="n">
        <x:v>0</x:v>
      </x:c>
      <x:c r="Z1625" s="35" t="str">
        <x:v>Franklin County Treasurer</x:v>
      </x:c>
    </x:row>
    <x:row r="1626">
      <x:c r="A1626" s="20" t="str">
        <x:v>FIN-01623</x:v>
      </x:c>
      <x:c r="B1626" s="23" t="n">
        <x:v>46658</x:v>
      </x:c>
      <x:c r="C1626" s="23" t="n">
        <x:v>46658</x:v>
      </x:c>
      <x:c r="D1626" s="20" t="str">
        <x:v>OperatingExpense</x:v>
      </x:c>
      <x:c r="E1626" s="20" t="str">
        <x:v>Property tax</x:v>
      </x:c>
      <x:c r="F1626" s="20" t="str">
        <x:v>P025</x:v>
      </x:c>
      <x:c r="G1626" s="20" t="str"/>
      <x:c r="H1626" s="20" t="str"/>
      <x:c r="I1626" s="20" t="str">
        <x:v>Franklin County Treasurer</x:v>
      </x:c>
      <x:c r="J1626" s="35" t="str">
        <x:v>Manual web form</x:v>
      </x:c>
      <x:c r="K1626" s="20" t="str"/>
      <x:c r="L1626" s="20" t="str">
        <x:v>EXP-20270928-3325</x:v>
      </x:c>
      <x:c r="M1626" s="26" t="n">
        <x:v>856</x:v>
      </x:c>
      <x:c r="N1626" s="26" t="n">
        <x:v>0</x:v>
      </x:c>
      <x:c r="O1626" s="26" t="n">
        <x:v>-856</x:v>
      </x:c>
      <x:c r="P1626" s="26" t="n">
        <x:v>0</x:v>
      </x:c>
      <x:c r="Q1626" s="26" t="n">
        <x:v>0</x:v>
      </x:c>
      <x:c r="R1626" s="26" t="n">
        <x:v>0</x:v>
      </x:c>
      <x:c r="S1626" s="26" t="n">
        <x:v>0</x:v>
      </x:c>
      <x:c r="T1626" s="26" t="n">
        <x:v>0</x:v>
      </x:c>
      <x:c r="U1626" s="26" t="n">
        <x:v>856</x:v>
      </x:c>
      <x:c r="V1626" s="26" t="n">
        <x:v>0</x:v>
      </x:c>
      <x:c r="W1626" s="26" t="n">
        <x:v>0</x:v>
      </x:c>
      <x:c r="X1626" s="26" t="n">
        <x:v>0</x:v>
      </x:c>
      <x:c r="Y1626" s="26" t="n">
        <x:v>0</x:v>
      </x:c>
      <x:c r="Z1626" s="35" t="str">
        <x:v>Franklin County Treasurer</x:v>
      </x:c>
    </x:row>
    <x:row r="1627">
      <x:c r="A1627" s="20" t="str">
        <x:v>FIN-01624</x:v>
      </x:c>
      <x:c r="B1627" s="23" t="n">
        <x:v>46749</x:v>
      </x:c>
      <x:c r="C1627" s="23" t="n">
        <x:v>46749</x:v>
      </x:c>
      <x:c r="D1627" s="20" t="str">
        <x:v>OperatingExpense</x:v>
      </x:c>
      <x:c r="E1627" s="20" t="str">
        <x:v>Property tax</x:v>
      </x:c>
      <x:c r="F1627" s="20" t="str">
        <x:v>P025</x:v>
      </x:c>
      <x:c r="G1627" s="20" t="str"/>
      <x:c r="H1627" s="20" t="str"/>
      <x:c r="I1627" s="20" t="str">
        <x:v>Franklin County Treasurer</x:v>
      </x:c>
      <x:c r="J1627" s="35" t="str">
        <x:v>Manual web form</x:v>
      </x:c>
      <x:c r="K1627" s="20" t="str"/>
      <x:c r="L1627" s="20" t="str">
        <x:v>EXP-20271228-3425</x:v>
      </x:c>
      <x:c r="M1627" s="26" t="n">
        <x:v>863</x:v>
      </x:c>
      <x:c r="N1627" s="26" t="n">
        <x:v>0</x:v>
      </x:c>
      <x:c r="O1627" s="26" t="n">
        <x:v>-863</x:v>
      </x:c>
      <x:c r="P1627" s="26" t="n">
        <x:v>0</x:v>
      </x:c>
      <x:c r="Q1627" s="26" t="n">
        <x:v>0</x:v>
      </x:c>
      <x:c r="R1627" s="26" t="n">
        <x:v>0</x:v>
      </x:c>
      <x:c r="S1627" s="26" t="n">
        <x:v>0</x:v>
      </x:c>
      <x:c r="T1627" s="26" t="n">
        <x:v>0</x:v>
      </x:c>
      <x:c r="U1627" s="26" t="n">
        <x:v>863</x:v>
      </x:c>
      <x:c r="V1627" s="26" t="n">
        <x:v>0</x:v>
      </x:c>
      <x:c r="W1627" s="26" t="n">
        <x:v>0</x:v>
      </x:c>
      <x:c r="X1627" s="26" t="n">
        <x:v>0</x:v>
      </x:c>
      <x:c r="Y1627" s="26" t="n">
        <x:v>0</x:v>
      </x:c>
      <x:c r="Z1627" s="35" t="str">
        <x:v>Franklin County Treasurer</x:v>
      </x:c>
    </x:row>
    <x:row r="1628">
      <x:c r="A1628" s="20" t="str">
        <x:v>FIN-01625</x:v>
      </x:c>
      <x:c r="B1628" s="23" t="n">
        <x:v>46436</x:v>
      </x:c>
      <x:c r="C1628" s="23" t="n">
        <x:v>46436</x:v>
      </x:c>
      <x:c r="D1628" s="20" t="str">
        <x:v>OperatingExpense</x:v>
      </x:c>
      <x:c r="E1628" s="20" t="str">
        <x:v>Insurance</x:v>
      </x:c>
      <x:c r="F1628" s="20" t="str">
        <x:v>P026</x:v>
      </x:c>
      <x:c r="G1628" s="20" t="str"/>
      <x:c r="H1628" s="20" t="str"/>
      <x:c r="I1628" s="20" t="str">
        <x:v>Buckeye Mutual Insurance</x:v>
      </x:c>
      <x:c r="J1628" s="35" t="str">
        <x:v>Scanned receipt/invoice</x:v>
      </x:c>
      <x:c r="K1628" s="20" t="str">
        <x:v>SCN-0889</x:v>
      </x:c>
      <x:c r="L1628" s="20" t="str">
        <x:v>EXP-20270218-2026</x:v>
      </x:c>
      <x:c r="M1628" s="26" t="n">
        <x:v>1422</x:v>
      </x:c>
      <x:c r="N1628" s="26" t="n">
        <x:v>0</x:v>
      </x:c>
      <x:c r="O1628" s="26" t="n">
        <x:v>-1422</x:v>
      </x:c>
      <x:c r="P1628" s="26" t="n">
        <x:v>0</x:v>
      </x:c>
      <x:c r="Q1628" s="26" t="n">
        <x:v>0</x:v>
      </x:c>
      <x:c r="R1628" s="26" t="n">
        <x:v>0</x:v>
      </x:c>
      <x:c r="S1628" s="26" t="n">
        <x:v>0</x:v>
      </x:c>
      <x:c r="T1628" s="26" t="n">
        <x:v>0</x:v>
      </x:c>
      <x:c r="U1628" s="26" t="n">
        <x:v>1422</x:v>
      </x:c>
      <x:c r="V1628" s="26" t="n">
        <x:v>0</x:v>
      </x:c>
      <x:c r="W1628" s="26" t="n">
        <x:v>0</x:v>
      </x:c>
      <x:c r="X1628" s="26" t="n">
        <x:v>0</x:v>
      </x:c>
      <x:c r="Y1628" s="26" t="n">
        <x:v>0</x:v>
      </x:c>
      <x:c r="Z1628" s="35" t="str">
        <x:v>Buckeye Mutual Insurance</x:v>
      </x:c>
    </x:row>
    <x:row r="1629">
      <x:c r="A1629" s="20" t="str">
        <x:v>FIN-01626</x:v>
      </x:c>
      <x:c r="B1629" s="23" t="n">
        <x:v>46474</x:v>
      </x:c>
      <x:c r="C1629" s="23" t="n">
        <x:v>46474</x:v>
      </x:c>
      <x:c r="D1629" s="20" t="str">
        <x:v>OperatingExpense</x:v>
      </x:c>
      <x:c r="E1629" s="20" t="str">
        <x:v>Property tax</x:v>
      </x:c>
      <x:c r="F1629" s="20" t="str">
        <x:v>P026</x:v>
      </x:c>
      <x:c r="G1629" s="20" t="str"/>
      <x:c r="H1629" s="20" t="str"/>
      <x:c r="I1629" s="20" t="str">
        <x:v>Franklin County Treasurer</x:v>
      </x:c>
      <x:c r="J1629" s="35" t="str">
        <x:v>Scanned receipt/invoice</x:v>
      </x:c>
      <x:c r="K1629" s="20" t="str">
        <x:v>SCN-0890</x:v>
      </x:c>
      <x:c r="L1629" s="20" t="str">
        <x:v>EXP-20270328-3126</x:v>
      </x:c>
      <x:c r="M1629" s="26" t="n">
        <x:v>855</x:v>
      </x:c>
      <x:c r="N1629" s="26" t="n">
        <x:v>0</x:v>
      </x:c>
      <x:c r="O1629" s="26" t="n">
        <x:v>-855</x:v>
      </x:c>
      <x:c r="P1629" s="26" t="n">
        <x:v>0</x:v>
      </x:c>
      <x:c r="Q1629" s="26" t="n">
        <x:v>0</x:v>
      </x:c>
      <x:c r="R1629" s="26" t="n">
        <x:v>0</x:v>
      </x:c>
      <x:c r="S1629" s="26" t="n">
        <x:v>0</x:v>
      </x:c>
      <x:c r="T1629" s="26" t="n">
        <x:v>0</x:v>
      </x:c>
      <x:c r="U1629" s="26" t="n">
        <x:v>855</x:v>
      </x:c>
      <x:c r="V1629" s="26" t="n">
        <x:v>0</x:v>
      </x:c>
      <x:c r="W1629" s="26" t="n">
        <x:v>0</x:v>
      </x:c>
      <x:c r="X1629" s="26" t="n">
        <x:v>0</x:v>
      </x:c>
      <x:c r="Y1629" s="26" t="n">
        <x:v>0</x:v>
      </x:c>
      <x:c r="Z1629" s="35" t="str">
        <x:v>Franklin County Treasurer</x:v>
      </x:c>
    </x:row>
    <x:row r="1630">
      <x:c r="A1630" s="20" t="str">
        <x:v>FIN-01627</x:v>
      </x:c>
      <x:c r="B1630" s="23" t="n">
        <x:v>46566</x:v>
      </x:c>
      <x:c r="C1630" s="23" t="n">
        <x:v>46566</x:v>
      </x:c>
      <x:c r="D1630" s="20" t="str">
        <x:v>OperatingExpense</x:v>
      </x:c>
      <x:c r="E1630" s="20" t="str">
        <x:v>Property tax</x:v>
      </x:c>
      <x:c r="F1630" s="20" t="str">
        <x:v>P026</x:v>
      </x:c>
      <x:c r="G1630" s="20" t="str"/>
      <x:c r="H1630" s="20" t="str"/>
      <x:c r="I1630" s="20" t="str">
        <x:v>Franklin County Treasurer</x:v>
      </x:c>
      <x:c r="J1630" s="35" t="str">
        <x:v>Scanned receipt/invoice</x:v>
      </x:c>
      <x:c r="K1630" s="20" t="str">
        <x:v>SCN-0891</x:v>
      </x:c>
      <x:c r="L1630" s="20" t="str">
        <x:v>EXP-20270628-3226</x:v>
      </x:c>
      <x:c r="M1630" s="26" t="n">
        <x:v>862</x:v>
      </x:c>
      <x:c r="N1630" s="26" t="n">
        <x:v>0</x:v>
      </x:c>
      <x:c r="O1630" s="26" t="n">
        <x:v>-862</x:v>
      </x:c>
      <x:c r="P1630" s="26" t="n">
        <x:v>0</x:v>
      </x:c>
      <x:c r="Q1630" s="26" t="n">
        <x:v>0</x:v>
      </x:c>
      <x:c r="R1630" s="26" t="n">
        <x:v>0</x:v>
      </x:c>
      <x:c r="S1630" s="26" t="n">
        <x:v>0</x:v>
      </x:c>
      <x:c r="T1630" s="26" t="n">
        <x:v>0</x:v>
      </x:c>
      <x:c r="U1630" s="26" t="n">
        <x:v>862</x:v>
      </x:c>
      <x:c r="V1630" s="26" t="n">
        <x:v>0</x:v>
      </x:c>
      <x:c r="W1630" s="26" t="n">
        <x:v>0</x:v>
      </x:c>
      <x:c r="X1630" s="26" t="n">
        <x:v>0</x:v>
      </x:c>
      <x:c r="Y1630" s="26" t="n">
        <x:v>0</x:v>
      </x:c>
      <x:c r="Z1630" s="35" t="str">
        <x:v>Franklin County Treasurer</x:v>
      </x:c>
    </x:row>
    <x:row r="1631">
      <x:c r="A1631" s="20" t="str">
        <x:v>FIN-01628</x:v>
      </x:c>
      <x:c r="B1631" s="23" t="n">
        <x:v>46658</x:v>
      </x:c>
      <x:c r="C1631" s="23" t="n">
        <x:v>46658</x:v>
      </x:c>
      <x:c r="D1631" s="20" t="str">
        <x:v>OperatingExpense</x:v>
      </x:c>
      <x:c r="E1631" s="20" t="str">
        <x:v>Property tax</x:v>
      </x:c>
      <x:c r="F1631" s="20" t="str">
        <x:v>P026</x:v>
      </x:c>
      <x:c r="G1631" s="20" t="str"/>
      <x:c r="H1631" s="20" t="str"/>
      <x:c r="I1631" s="20" t="str">
        <x:v>Franklin County Treasurer</x:v>
      </x:c>
      <x:c r="J1631" s="35" t="str">
        <x:v>Scanned receipt/invoice</x:v>
      </x:c>
      <x:c r="K1631" s="20" t="str">
        <x:v>SCN-0892</x:v>
      </x:c>
      <x:c r="L1631" s="20" t="str">
        <x:v>EXP-20270928-3326</x:v>
      </x:c>
      <x:c r="M1631" s="26" t="n">
        <x:v>869</x:v>
      </x:c>
      <x:c r="N1631" s="26" t="n">
        <x:v>0</x:v>
      </x:c>
      <x:c r="O1631" s="26" t="n">
        <x:v>-869</x:v>
      </x:c>
      <x:c r="P1631" s="26" t="n">
        <x:v>0</x:v>
      </x:c>
      <x:c r="Q1631" s="26" t="n">
        <x:v>0</x:v>
      </x:c>
      <x:c r="R1631" s="26" t="n">
        <x:v>0</x:v>
      </x:c>
      <x:c r="S1631" s="26" t="n">
        <x:v>0</x:v>
      </x:c>
      <x:c r="T1631" s="26" t="n">
        <x:v>0</x:v>
      </x:c>
      <x:c r="U1631" s="26" t="n">
        <x:v>869</x:v>
      </x:c>
      <x:c r="V1631" s="26" t="n">
        <x:v>0</x:v>
      </x:c>
      <x:c r="W1631" s="26" t="n">
        <x:v>0</x:v>
      </x:c>
      <x:c r="X1631" s="26" t="n">
        <x:v>0</x:v>
      </x:c>
      <x:c r="Y1631" s="26" t="n">
        <x:v>0</x:v>
      </x:c>
      <x:c r="Z1631" s="35" t="str">
        <x:v>Franklin County Treasurer</x:v>
      </x:c>
    </x:row>
    <x:row r="1632">
      <x:c r="A1632" s="20" t="str">
        <x:v>FIN-01629</x:v>
      </x:c>
      <x:c r="B1632" s="23" t="n">
        <x:v>46749</x:v>
      </x:c>
      <x:c r="C1632" s="23" t="n">
        <x:v>46749</x:v>
      </x:c>
      <x:c r="D1632" s="20" t="str">
        <x:v>OperatingExpense</x:v>
      </x:c>
      <x:c r="E1632" s="20" t="str">
        <x:v>Property tax</x:v>
      </x:c>
      <x:c r="F1632" s="20" t="str">
        <x:v>P026</x:v>
      </x:c>
      <x:c r="G1632" s="20" t="str"/>
      <x:c r="H1632" s="20" t="str"/>
      <x:c r="I1632" s="20" t="str">
        <x:v>Franklin County Treasurer</x:v>
      </x:c>
      <x:c r="J1632" s="35" t="str">
        <x:v>Scanned receipt/invoice</x:v>
      </x:c>
      <x:c r="K1632" s="20" t="str">
        <x:v>SCN-0893</x:v>
      </x:c>
      <x:c r="L1632" s="20" t="str">
        <x:v>EXP-20271228-3426</x:v>
      </x:c>
      <x:c r="M1632" s="26" t="n">
        <x:v>876</x:v>
      </x:c>
      <x:c r="N1632" s="26" t="n">
        <x:v>0</x:v>
      </x:c>
      <x:c r="O1632" s="26" t="n">
        <x:v>-876</x:v>
      </x:c>
      <x:c r="P1632" s="26" t="n">
        <x:v>0</x:v>
      </x:c>
      <x:c r="Q1632" s="26" t="n">
        <x:v>0</x:v>
      </x:c>
      <x:c r="R1632" s="26" t="n">
        <x:v>0</x:v>
      </x:c>
      <x:c r="S1632" s="26" t="n">
        <x:v>0</x:v>
      </x:c>
      <x:c r="T1632" s="26" t="n">
        <x:v>0</x:v>
      </x:c>
      <x:c r="U1632" s="26" t="n">
        <x:v>876</x:v>
      </x:c>
      <x:c r="V1632" s="26" t="n">
        <x:v>0</x:v>
      </x:c>
      <x:c r="W1632" s="26" t="n">
        <x:v>0</x:v>
      </x:c>
      <x:c r="X1632" s="26" t="n">
        <x:v>0</x:v>
      </x:c>
      <x:c r="Y1632" s="26" t="n">
        <x:v>0</x:v>
      </x:c>
      <x:c r="Z1632" s="35" t="str">
        <x:v>Franklin County Treasurer</x:v>
      </x:c>
    </x:row>
    <x:row r="1633">
      <x:c r="A1633" s="20" t="str">
        <x:v>FIN-01630</x:v>
      </x:c>
      <x:c r="B1633" s="23" t="n">
        <x:v>46464</x:v>
      </x:c>
      <x:c r="C1633" s="23" t="n">
        <x:v>46464</x:v>
      </x:c>
      <x:c r="D1633" s="20" t="str">
        <x:v>OperatingExpense</x:v>
      </x:c>
      <x:c r="E1633" s="20" t="str">
        <x:v>Insurance</x:v>
      </x:c>
      <x:c r="F1633" s="20" t="str">
        <x:v>P027</x:v>
      </x:c>
      <x:c r="G1633" s="20" t="str"/>
      <x:c r="H1633" s="20" t="str"/>
      <x:c r="I1633" s="20" t="str">
        <x:v>Buckeye Mutual Insurance</x:v>
      </x:c>
      <x:c r="J1633" s="35" t="str">
        <x:v>Scanned receipt/invoice</x:v>
      </x:c>
      <x:c r="K1633" s="20" t="str">
        <x:v>SCN-0894</x:v>
      </x:c>
      <x:c r="L1633" s="20" t="str">
        <x:v>EXP-20270318-2027</x:v>
      </x:c>
      <x:c r="M1633" s="26" t="n">
        <x:v>1439</x:v>
      </x:c>
      <x:c r="N1633" s="26" t="n">
        <x:v>0</x:v>
      </x:c>
      <x:c r="O1633" s="26" t="n">
        <x:v>-1439</x:v>
      </x:c>
      <x:c r="P1633" s="26" t="n">
        <x:v>0</x:v>
      </x:c>
      <x:c r="Q1633" s="26" t="n">
        <x:v>0</x:v>
      </x:c>
      <x:c r="R1633" s="26" t="n">
        <x:v>0</x:v>
      </x:c>
      <x:c r="S1633" s="26" t="n">
        <x:v>0</x:v>
      </x:c>
      <x:c r="T1633" s="26" t="n">
        <x:v>0</x:v>
      </x:c>
      <x:c r="U1633" s="26" t="n">
        <x:v>1439</x:v>
      </x:c>
      <x:c r="V1633" s="26" t="n">
        <x:v>0</x:v>
      </x:c>
      <x:c r="W1633" s="26" t="n">
        <x:v>0</x:v>
      </x:c>
      <x:c r="X1633" s="26" t="n">
        <x:v>0</x:v>
      </x:c>
      <x:c r="Y1633" s="26" t="n">
        <x:v>0</x:v>
      </x:c>
      <x:c r="Z1633" s="35" t="str">
        <x:v>Buckeye Mutual Insurance</x:v>
      </x:c>
    </x:row>
    <x:row r="1634">
      <x:c r="A1634" s="20" t="str">
        <x:v>FIN-01631</x:v>
      </x:c>
      <x:c r="B1634" s="23" t="n">
        <x:v>46474</x:v>
      </x:c>
      <x:c r="C1634" s="23" t="n">
        <x:v>46474</x:v>
      </x:c>
      <x:c r="D1634" s="20" t="str">
        <x:v>OperatingExpense</x:v>
      </x:c>
      <x:c r="E1634" s="20" t="str">
        <x:v>Property tax</x:v>
      </x:c>
      <x:c r="F1634" s="20" t="str">
        <x:v>P027</x:v>
      </x:c>
      <x:c r="G1634" s="20" t="str"/>
      <x:c r="H1634" s="20" t="str"/>
      <x:c r="I1634" s="20" t="str">
        <x:v>Franklin County Treasurer</x:v>
      </x:c>
      <x:c r="J1634" s="35" t="str">
        <x:v>Scanned receipt/invoice</x:v>
      </x:c>
      <x:c r="K1634" s="20" t="str">
        <x:v>SCN-0895</x:v>
      </x:c>
      <x:c r="L1634" s="20" t="str">
        <x:v>EXP-20270328-3127</x:v>
      </x:c>
      <x:c r="M1634" s="26" t="n">
        <x:v>868</x:v>
      </x:c>
      <x:c r="N1634" s="26" t="n">
        <x:v>0</x:v>
      </x:c>
      <x:c r="O1634" s="26" t="n">
        <x:v>-868</x:v>
      </x:c>
      <x:c r="P1634" s="26" t="n">
        <x:v>0</x:v>
      </x:c>
      <x:c r="Q1634" s="26" t="n">
        <x:v>0</x:v>
      </x:c>
      <x:c r="R1634" s="26" t="n">
        <x:v>0</x:v>
      </x:c>
      <x:c r="S1634" s="26" t="n">
        <x:v>0</x:v>
      </x:c>
      <x:c r="T1634" s="26" t="n">
        <x:v>0</x:v>
      </x:c>
      <x:c r="U1634" s="26" t="n">
        <x:v>868</x:v>
      </x:c>
      <x:c r="V1634" s="26" t="n">
        <x:v>0</x:v>
      </x:c>
      <x:c r="W1634" s="26" t="n">
        <x:v>0</x:v>
      </x:c>
      <x:c r="X1634" s="26" t="n">
        <x:v>0</x:v>
      </x:c>
      <x:c r="Y1634" s="26" t="n">
        <x:v>0</x:v>
      </x:c>
      <x:c r="Z1634" s="35" t="str">
        <x:v>Franklin County Treasurer</x:v>
      </x:c>
    </x:row>
    <x:row r="1635">
      <x:c r="A1635" s="20" t="str">
        <x:v>FIN-01632</x:v>
      </x:c>
      <x:c r="B1635" s="23" t="n">
        <x:v>46566</x:v>
      </x:c>
      <x:c r="C1635" s="23" t="n">
        <x:v>46566</x:v>
      </x:c>
      <x:c r="D1635" s="20" t="str">
        <x:v>OperatingExpense</x:v>
      </x:c>
      <x:c r="E1635" s="20" t="str">
        <x:v>Property tax</x:v>
      </x:c>
      <x:c r="F1635" s="20" t="str">
        <x:v>P027</x:v>
      </x:c>
      <x:c r="G1635" s="20" t="str"/>
      <x:c r="H1635" s="20" t="str"/>
      <x:c r="I1635" s="20" t="str">
        <x:v>Franklin County Treasurer</x:v>
      </x:c>
      <x:c r="J1635" s="35" t="str">
        <x:v>Scanned receipt/invoice</x:v>
      </x:c>
      <x:c r="K1635" s="20" t="str">
        <x:v>SCN-0896</x:v>
      </x:c>
      <x:c r="L1635" s="20" t="str">
        <x:v>EXP-20270628-3227</x:v>
      </x:c>
      <x:c r="M1635" s="26" t="n">
        <x:v>875</x:v>
      </x:c>
      <x:c r="N1635" s="26" t="n">
        <x:v>0</x:v>
      </x:c>
      <x:c r="O1635" s="26" t="n">
        <x:v>-875</x:v>
      </x:c>
      <x:c r="P1635" s="26" t="n">
        <x:v>0</x:v>
      </x:c>
      <x:c r="Q1635" s="26" t="n">
        <x:v>0</x:v>
      </x:c>
      <x:c r="R1635" s="26" t="n">
        <x:v>0</x:v>
      </x:c>
      <x:c r="S1635" s="26" t="n">
        <x:v>0</x:v>
      </x:c>
      <x:c r="T1635" s="26" t="n">
        <x:v>0</x:v>
      </x:c>
      <x:c r="U1635" s="26" t="n">
        <x:v>875</x:v>
      </x:c>
      <x:c r="V1635" s="26" t="n">
        <x:v>0</x:v>
      </x:c>
      <x:c r="W1635" s="26" t="n">
        <x:v>0</x:v>
      </x:c>
      <x:c r="X1635" s="26" t="n">
        <x:v>0</x:v>
      </x:c>
      <x:c r="Y1635" s="26" t="n">
        <x:v>0</x:v>
      </x:c>
      <x:c r="Z1635" s="35" t="str">
        <x:v>Franklin County Treasurer</x:v>
      </x:c>
    </x:row>
    <x:row r="1636">
      <x:c r="A1636" s="20" t="str">
        <x:v>FIN-01633</x:v>
      </x:c>
      <x:c r="B1636" s="23" t="n">
        <x:v>46658</x:v>
      </x:c>
      <x:c r="C1636" s="23" t="n">
        <x:v>46658</x:v>
      </x:c>
      <x:c r="D1636" s="20" t="str">
        <x:v>OperatingExpense</x:v>
      </x:c>
      <x:c r="E1636" s="20" t="str">
        <x:v>Property tax</x:v>
      </x:c>
      <x:c r="F1636" s="20" t="str">
        <x:v>P027</x:v>
      </x:c>
      <x:c r="G1636" s="20" t="str"/>
      <x:c r="H1636" s="20" t="str"/>
      <x:c r="I1636" s="20" t="str">
        <x:v>Franklin County Treasurer</x:v>
      </x:c>
      <x:c r="J1636" s="35" t="str">
        <x:v>Scanned receipt/invoice</x:v>
      </x:c>
      <x:c r="K1636" s="20" t="str">
        <x:v>SCN-0897</x:v>
      </x:c>
      <x:c r="L1636" s="20" t="str">
        <x:v>EXP-20270928-3327</x:v>
      </x:c>
      <x:c r="M1636" s="26" t="n">
        <x:v>882</x:v>
      </x:c>
      <x:c r="N1636" s="26" t="n">
        <x:v>0</x:v>
      </x:c>
      <x:c r="O1636" s="26" t="n">
        <x:v>-882</x:v>
      </x:c>
      <x:c r="P1636" s="26" t="n">
        <x:v>0</x:v>
      </x:c>
      <x:c r="Q1636" s="26" t="n">
        <x:v>0</x:v>
      </x:c>
      <x:c r="R1636" s="26" t="n">
        <x:v>0</x:v>
      </x:c>
      <x:c r="S1636" s="26" t="n">
        <x:v>0</x:v>
      </x:c>
      <x:c r="T1636" s="26" t="n">
        <x:v>0</x:v>
      </x:c>
      <x:c r="U1636" s="26" t="n">
        <x:v>882</x:v>
      </x:c>
      <x:c r="V1636" s="26" t="n">
        <x:v>0</x:v>
      </x:c>
      <x:c r="W1636" s="26" t="n">
        <x:v>0</x:v>
      </x:c>
      <x:c r="X1636" s="26" t="n">
        <x:v>0</x:v>
      </x:c>
      <x:c r="Y1636" s="26" t="n">
        <x:v>0</x:v>
      </x:c>
      <x:c r="Z1636" s="35" t="str">
        <x:v>Franklin County Treasurer</x:v>
      </x:c>
    </x:row>
    <x:row r="1637">
      <x:c r="A1637" s="20" t="str">
        <x:v>FIN-01634</x:v>
      </x:c>
      <x:c r="B1637" s="23" t="n">
        <x:v>46749</x:v>
      </x:c>
      <x:c r="C1637" s="23" t="n">
        <x:v>46749</x:v>
      </x:c>
      <x:c r="D1637" s="20" t="str">
        <x:v>OperatingExpense</x:v>
      </x:c>
      <x:c r="E1637" s="20" t="str">
        <x:v>Property tax</x:v>
      </x:c>
      <x:c r="F1637" s="20" t="str">
        <x:v>P027</x:v>
      </x:c>
      <x:c r="G1637" s="20" t="str"/>
      <x:c r="H1637" s="20" t="str"/>
      <x:c r="I1637" s="20" t="str">
        <x:v>Franklin County Treasurer</x:v>
      </x:c>
      <x:c r="J1637" s="35" t="str">
        <x:v>Scanned receipt/invoice</x:v>
      </x:c>
      <x:c r="K1637" s="20" t="str">
        <x:v>SCN-0898</x:v>
      </x:c>
      <x:c r="L1637" s="20" t="str">
        <x:v>EXP-20271228-3427</x:v>
      </x:c>
      <x:c r="M1637" s="26" t="n">
        <x:v>889</x:v>
      </x:c>
      <x:c r="N1637" s="26" t="n">
        <x:v>0</x:v>
      </x:c>
      <x:c r="O1637" s="26" t="n">
        <x:v>-889</x:v>
      </x:c>
      <x:c r="P1637" s="26" t="n">
        <x:v>0</x:v>
      </x:c>
      <x:c r="Q1637" s="26" t="n">
        <x:v>0</x:v>
      </x:c>
      <x:c r="R1637" s="26" t="n">
        <x:v>0</x:v>
      </x:c>
      <x:c r="S1637" s="26" t="n">
        <x:v>0</x:v>
      </x:c>
      <x:c r="T1637" s="26" t="n">
        <x:v>0</x:v>
      </x:c>
      <x:c r="U1637" s="26" t="n">
        <x:v>889</x:v>
      </x:c>
      <x:c r="V1637" s="26" t="n">
        <x:v>0</x:v>
      </x:c>
      <x:c r="W1637" s="26" t="n">
        <x:v>0</x:v>
      </x:c>
      <x:c r="X1637" s="26" t="n">
        <x:v>0</x:v>
      </x:c>
      <x:c r="Y1637" s="26" t="n">
        <x:v>0</x:v>
      </x:c>
      <x:c r="Z1637" s="35" t="str">
        <x:v>Franklin County Treasurer</x:v>
      </x:c>
    </x:row>
    <x:row r="1638">
      <x:c r="A1638" s="20" t="str">
        <x:v>FIN-01635</x:v>
      </x:c>
      <x:c r="B1638" s="23" t="n">
        <x:v>46495</x:v>
      </x:c>
      <x:c r="C1638" s="23" t="n">
        <x:v>46495</x:v>
      </x:c>
      <x:c r="D1638" s="20" t="str">
        <x:v>OperatingExpense</x:v>
      </x:c>
      <x:c r="E1638" s="20" t="str">
        <x:v>Insurance</x:v>
      </x:c>
      <x:c r="F1638" s="20" t="str">
        <x:v>P028</x:v>
      </x:c>
      <x:c r="G1638" s="20" t="str"/>
      <x:c r="H1638" s="20" t="str"/>
      <x:c r="I1638" s="20" t="str">
        <x:v>Buckeye Mutual Insurance</x:v>
      </x:c>
      <x:c r="J1638" s="35" t="str">
        <x:v>Scanned receipt/invoice</x:v>
      </x:c>
      <x:c r="K1638" s="20" t="str">
        <x:v>SCN-0899</x:v>
      </x:c>
      <x:c r="L1638" s="20" t="str">
        <x:v>EXP-20270418-2028</x:v>
      </x:c>
      <x:c r="M1638" s="26" t="n">
        <x:v>1456</x:v>
      </x:c>
      <x:c r="N1638" s="26" t="n">
        <x:v>0</x:v>
      </x:c>
      <x:c r="O1638" s="26" t="n">
        <x:v>-1456</x:v>
      </x:c>
      <x:c r="P1638" s="26" t="n">
        <x:v>0</x:v>
      </x:c>
      <x:c r="Q1638" s="26" t="n">
        <x:v>0</x:v>
      </x:c>
      <x:c r="R1638" s="26" t="n">
        <x:v>0</x:v>
      </x:c>
      <x:c r="S1638" s="26" t="n">
        <x:v>0</x:v>
      </x:c>
      <x:c r="T1638" s="26" t="n">
        <x:v>0</x:v>
      </x:c>
      <x:c r="U1638" s="26" t="n">
        <x:v>1456</x:v>
      </x:c>
      <x:c r="V1638" s="26" t="n">
        <x:v>0</x:v>
      </x:c>
      <x:c r="W1638" s="26" t="n">
        <x:v>0</x:v>
      </x:c>
      <x:c r="X1638" s="26" t="n">
        <x:v>0</x:v>
      </x:c>
      <x:c r="Y1638" s="26" t="n">
        <x:v>0</x:v>
      </x:c>
      <x:c r="Z1638" s="35" t="str">
        <x:v>Buckeye Mutual Insurance</x:v>
      </x:c>
    </x:row>
    <x:row r="1639">
      <x:c r="A1639" s="20" t="str">
        <x:v>FIN-01636</x:v>
      </x:c>
      <x:c r="B1639" s="23" t="n">
        <x:v>46474</x:v>
      </x:c>
      <x:c r="C1639" s="23" t="n">
        <x:v>46474</x:v>
      </x:c>
      <x:c r="D1639" s="20" t="str">
        <x:v>OperatingExpense</x:v>
      </x:c>
      <x:c r="E1639" s="20" t="str">
        <x:v>Property tax</x:v>
      </x:c>
      <x:c r="F1639" s="20" t="str">
        <x:v>P028</x:v>
      </x:c>
      <x:c r="G1639" s="20" t="str"/>
      <x:c r="H1639" s="20" t="str"/>
      <x:c r="I1639" s="20" t="str">
        <x:v>Franklin County Treasurer</x:v>
      </x:c>
      <x:c r="J1639" s="35" t="str">
        <x:v>Scanned receipt/invoice</x:v>
      </x:c>
      <x:c r="K1639" s="20" t="str">
        <x:v>SCN-0900</x:v>
      </x:c>
      <x:c r="L1639" s="20" t="str">
        <x:v>EXP-20270328-3128</x:v>
      </x:c>
      <x:c r="M1639" s="26" t="n">
        <x:v>881</x:v>
      </x:c>
      <x:c r="N1639" s="26" t="n">
        <x:v>0</x:v>
      </x:c>
      <x:c r="O1639" s="26" t="n">
        <x:v>-881</x:v>
      </x:c>
      <x:c r="P1639" s="26" t="n">
        <x:v>0</x:v>
      </x:c>
      <x:c r="Q1639" s="26" t="n">
        <x:v>0</x:v>
      </x:c>
      <x:c r="R1639" s="26" t="n">
        <x:v>0</x:v>
      </x:c>
      <x:c r="S1639" s="26" t="n">
        <x:v>0</x:v>
      </x:c>
      <x:c r="T1639" s="26" t="n">
        <x:v>0</x:v>
      </x:c>
      <x:c r="U1639" s="26" t="n">
        <x:v>881</x:v>
      </x:c>
      <x:c r="V1639" s="26" t="n">
        <x:v>0</x:v>
      </x:c>
      <x:c r="W1639" s="26" t="n">
        <x:v>0</x:v>
      </x:c>
      <x:c r="X1639" s="26" t="n">
        <x:v>0</x:v>
      </x:c>
      <x:c r="Y1639" s="26" t="n">
        <x:v>0</x:v>
      </x:c>
      <x:c r="Z1639" s="35" t="str">
        <x:v>Franklin County Treasurer</x:v>
      </x:c>
    </x:row>
    <x:row r="1640">
      <x:c r="A1640" s="20" t="str">
        <x:v>FIN-01637</x:v>
      </x:c>
      <x:c r="B1640" s="23" t="n">
        <x:v>46566</x:v>
      </x:c>
      <x:c r="C1640" s="23" t="n">
        <x:v>46566</x:v>
      </x:c>
      <x:c r="D1640" s="20" t="str">
        <x:v>OperatingExpense</x:v>
      </x:c>
      <x:c r="E1640" s="20" t="str">
        <x:v>Property tax</x:v>
      </x:c>
      <x:c r="F1640" s="20" t="str">
        <x:v>P028</x:v>
      </x:c>
      <x:c r="G1640" s="20" t="str"/>
      <x:c r="H1640" s="20" t="str"/>
      <x:c r="I1640" s="20" t="str">
        <x:v>Franklin County Treasurer</x:v>
      </x:c>
      <x:c r="J1640" s="35" t="str">
        <x:v>Scanned receipt/invoice</x:v>
      </x:c>
      <x:c r="K1640" s="20" t="str">
        <x:v>SCN-0901</x:v>
      </x:c>
      <x:c r="L1640" s="20" t="str">
        <x:v>EXP-20270628-3228</x:v>
      </x:c>
      <x:c r="M1640" s="26" t="n">
        <x:v>888</x:v>
      </x:c>
      <x:c r="N1640" s="26" t="n">
        <x:v>0</x:v>
      </x:c>
      <x:c r="O1640" s="26" t="n">
        <x:v>-888</x:v>
      </x:c>
      <x:c r="P1640" s="26" t="n">
        <x:v>0</x:v>
      </x:c>
      <x:c r="Q1640" s="26" t="n">
        <x:v>0</x:v>
      </x:c>
      <x:c r="R1640" s="26" t="n">
        <x:v>0</x:v>
      </x:c>
      <x:c r="S1640" s="26" t="n">
        <x:v>0</x:v>
      </x:c>
      <x:c r="T1640" s="26" t="n">
        <x:v>0</x:v>
      </x:c>
      <x:c r="U1640" s="26" t="n">
        <x:v>888</x:v>
      </x:c>
      <x:c r="V1640" s="26" t="n">
        <x:v>0</x:v>
      </x:c>
      <x:c r="W1640" s="26" t="n">
        <x:v>0</x:v>
      </x:c>
      <x:c r="X1640" s="26" t="n">
        <x:v>0</x:v>
      </x:c>
      <x:c r="Y1640" s="26" t="n">
        <x:v>0</x:v>
      </x:c>
      <x:c r="Z1640" s="35" t="str">
        <x:v>Franklin County Treasurer</x:v>
      </x:c>
    </x:row>
    <x:row r="1641">
      <x:c r="A1641" s="20" t="str">
        <x:v>FIN-01638</x:v>
      </x:c>
      <x:c r="B1641" s="23" t="n">
        <x:v>46658</x:v>
      </x:c>
      <x:c r="C1641" s="23" t="n">
        <x:v>46658</x:v>
      </x:c>
      <x:c r="D1641" s="20" t="str">
        <x:v>OperatingExpense</x:v>
      </x:c>
      <x:c r="E1641" s="20" t="str">
        <x:v>Property tax</x:v>
      </x:c>
      <x:c r="F1641" s="20" t="str">
        <x:v>P028</x:v>
      </x:c>
      <x:c r="G1641" s="20" t="str"/>
      <x:c r="H1641" s="20" t="str"/>
      <x:c r="I1641" s="20" t="str">
        <x:v>Franklin County Treasurer</x:v>
      </x:c>
      <x:c r="J1641" s="35" t="str">
        <x:v>Scanned receipt/invoice</x:v>
      </x:c>
      <x:c r="K1641" s="20" t="str">
        <x:v>SCN-0902</x:v>
      </x:c>
      <x:c r="L1641" s="20" t="str">
        <x:v>EXP-20270928-3328</x:v>
      </x:c>
      <x:c r="M1641" s="26" t="n">
        <x:v>895</x:v>
      </x:c>
      <x:c r="N1641" s="26" t="n">
        <x:v>0</x:v>
      </x:c>
      <x:c r="O1641" s="26" t="n">
        <x:v>-895</x:v>
      </x:c>
      <x:c r="P1641" s="26" t="n">
        <x:v>0</x:v>
      </x:c>
      <x:c r="Q1641" s="26" t="n">
        <x:v>0</x:v>
      </x:c>
      <x:c r="R1641" s="26" t="n">
        <x:v>0</x:v>
      </x:c>
      <x:c r="S1641" s="26" t="n">
        <x:v>0</x:v>
      </x:c>
      <x:c r="T1641" s="26" t="n">
        <x:v>0</x:v>
      </x:c>
      <x:c r="U1641" s="26" t="n">
        <x:v>895</x:v>
      </x:c>
      <x:c r="V1641" s="26" t="n">
        <x:v>0</x:v>
      </x:c>
      <x:c r="W1641" s="26" t="n">
        <x:v>0</x:v>
      </x:c>
      <x:c r="X1641" s="26" t="n">
        <x:v>0</x:v>
      </x:c>
      <x:c r="Y1641" s="26" t="n">
        <x:v>0</x:v>
      </x:c>
      <x:c r="Z1641" s="35" t="str">
        <x:v>Franklin County Treasurer</x:v>
      </x:c>
    </x:row>
    <x:row r="1642">
      <x:c r="A1642" s="20" t="str">
        <x:v>FIN-01639</x:v>
      </x:c>
      <x:c r="B1642" s="23" t="n">
        <x:v>46749</x:v>
      </x:c>
      <x:c r="C1642" s="23" t="n">
        <x:v>46749</x:v>
      </x:c>
      <x:c r="D1642" s="20" t="str">
        <x:v>OperatingExpense</x:v>
      </x:c>
      <x:c r="E1642" s="20" t="str">
        <x:v>Property tax</x:v>
      </x:c>
      <x:c r="F1642" s="20" t="str">
        <x:v>P028</x:v>
      </x:c>
      <x:c r="G1642" s="20" t="str"/>
      <x:c r="H1642" s="20" t="str"/>
      <x:c r="I1642" s="20" t="str">
        <x:v>Franklin County Treasurer</x:v>
      </x:c>
      <x:c r="J1642" s="35" t="str">
        <x:v>Scanned receipt/invoice</x:v>
      </x:c>
      <x:c r="K1642" s="20" t="str">
        <x:v>SCN-0903</x:v>
      </x:c>
      <x:c r="L1642" s="20" t="str">
        <x:v>EXP-20271228-3428</x:v>
      </x:c>
      <x:c r="M1642" s="26" t="n">
        <x:v>902</x:v>
      </x:c>
      <x:c r="N1642" s="26" t="n">
        <x:v>0</x:v>
      </x:c>
      <x:c r="O1642" s="26" t="n">
        <x:v>-902</x:v>
      </x:c>
      <x:c r="P1642" s="26" t="n">
        <x:v>0</x:v>
      </x:c>
      <x:c r="Q1642" s="26" t="n">
        <x:v>0</x:v>
      </x:c>
      <x:c r="R1642" s="26" t="n">
        <x:v>0</x:v>
      </x:c>
      <x:c r="S1642" s="26" t="n">
        <x:v>0</x:v>
      </x:c>
      <x:c r="T1642" s="26" t="n">
        <x:v>0</x:v>
      </x:c>
      <x:c r="U1642" s="26" t="n">
        <x:v>902</x:v>
      </x:c>
      <x:c r="V1642" s="26" t="n">
        <x:v>0</x:v>
      </x:c>
      <x:c r="W1642" s="26" t="n">
        <x:v>0</x:v>
      </x:c>
      <x:c r="X1642" s="26" t="n">
        <x:v>0</x:v>
      </x:c>
      <x:c r="Y1642" s="26" t="n">
        <x:v>0</x:v>
      </x:c>
      <x:c r="Z1642" s="35" t="str">
        <x:v>Franklin County Treasurer</x:v>
      </x:c>
    </x:row>
    <x:row r="1643">
      <x:c r="A1643" s="20" t="str">
        <x:v>FIN-01640</x:v>
      </x:c>
      <x:c r="B1643" s="23" t="n">
        <x:v>46525</x:v>
      </x:c>
      <x:c r="C1643" s="23" t="n">
        <x:v>46525</x:v>
      </x:c>
      <x:c r="D1643" s="20" t="str">
        <x:v>OperatingExpense</x:v>
      </x:c>
      <x:c r="E1643" s="20" t="str">
        <x:v>Insurance</x:v>
      </x:c>
      <x:c r="F1643" s="20" t="str">
        <x:v>P029</x:v>
      </x:c>
      <x:c r="G1643" s="20" t="str"/>
      <x:c r="H1643" s="20" t="str"/>
      <x:c r="I1643" s="20" t="str">
        <x:v>Buckeye Mutual Insurance</x:v>
      </x:c>
      <x:c r="J1643" s="35" t="str">
        <x:v>Scanned receipt/invoice</x:v>
      </x:c>
      <x:c r="K1643" s="20" t="str">
        <x:v>SCN-0904</x:v>
      </x:c>
      <x:c r="L1643" s="20" t="str">
        <x:v>EXP-20270518-2029</x:v>
      </x:c>
      <x:c r="M1643" s="26" t="n">
        <x:v>1473</x:v>
      </x:c>
      <x:c r="N1643" s="26" t="n">
        <x:v>0</x:v>
      </x:c>
      <x:c r="O1643" s="26" t="n">
        <x:v>-1473</x:v>
      </x:c>
      <x:c r="P1643" s="26" t="n">
        <x:v>0</x:v>
      </x:c>
      <x:c r="Q1643" s="26" t="n">
        <x:v>0</x:v>
      </x:c>
      <x:c r="R1643" s="26" t="n">
        <x:v>0</x:v>
      </x:c>
      <x:c r="S1643" s="26" t="n">
        <x:v>0</x:v>
      </x:c>
      <x:c r="T1643" s="26" t="n">
        <x:v>0</x:v>
      </x:c>
      <x:c r="U1643" s="26" t="n">
        <x:v>1473</x:v>
      </x:c>
      <x:c r="V1643" s="26" t="n">
        <x:v>0</x:v>
      </x:c>
      <x:c r="W1643" s="26" t="n">
        <x:v>0</x:v>
      </x:c>
      <x:c r="X1643" s="26" t="n">
        <x:v>0</x:v>
      </x:c>
      <x:c r="Y1643" s="26" t="n">
        <x:v>0</x:v>
      </x:c>
      <x:c r="Z1643" s="35" t="str">
        <x:v>Buckeye Mutual Insurance</x:v>
      </x:c>
    </x:row>
    <x:row r="1644">
      <x:c r="A1644" s="20" t="str">
        <x:v>FIN-01641</x:v>
      </x:c>
      <x:c r="B1644" s="23" t="n">
        <x:v>46474</x:v>
      </x:c>
      <x:c r="C1644" s="23" t="n">
        <x:v>46474</x:v>
      </x:c>
      <x:c r="D1644" s="20" t="str">
        <x:v>OperatingExpense</x:v>
      </x:c>
      <x:c r="E1644" s="20" t="str">
        <x:v>Property tax</x:v>
      </x:c>
      <x:c r="F1644" s="20" t="str">
        <x:v>P029</x:v>
      </x:c>
      <x:c r="G1644" s="20" t="str"/>
      <x:c r="H1644" s="20" t="str"/>
      <x:c r="I1644" s="20" t="str">
        <x:v>Franklin County Treasurer</x:v>
      </x:c>
      <x:c r="J1644" s="35" t="str">
        <x:v>Scanned receipt/invoice</x:v>
      </x:c>
      <x:c r="K1644" s="20" t="str">
        <x:v>SCN-0905</x:v>
      </x:c>
      <x:c r="L1644" s="20" t="str">
        <x:v>EXP-20270328-3129</x:v>
      </x:c>
      <x:c r="M1644" s="26" t="n">
        <x:v>894</x:v>
      </x:c>
      <x:c r="N1644" s="26" t="n">
        <x:v>0</x:v>
      </x:c>
      <x:c r="O1644" s="26" t="n">
        <x:v>-894</x:v>
      </x:c>
      <x:c r="P1644" s="26" t="n">
        <x:v>0</x:v>
      </x:c>
      <x:c r="Q1644" s="26" t="n">
        <x:v>0</x:v>
      </x:c>
      <x:c r="R1644" s="26" t="n">
        <x:v>0</x:v>
      </x:c>
      <x:c r="S1644" s="26" t="n">
        <x:v>0</x:v>
      </x:c>
      <x:c r="T1644" s="26" t="n">
        <x:v>0</x:v>
      </x:c>
      <x:c r="U1644" s="26" t="n">
        <x:v>894</x:v>
      </x:c>
      <x:c r="V1644" s="26" t="n">
        <x:v>0</x:v>
      </x:c>
      <x:c r="W1644" s="26" t="n">
        <x:v>0</x:v>
      </x:c>
      <x:c r="X1644" s="26" t="n">
        <x:v>0</x:v>
      </x:c>
      <x:c r="Y1644" s="26" t="n">
        <x:v>0</x:v>
      </x:c>
      <x:c r="Z1644" s="35" t="str">
        <x:v>Franklin County Treasurer</x:v>
      </x:c>
    </x:row>
    <x:row r="1645">
      <x:c r="A1645" s="20" t="str">
        <x:v>FIN-01642</x:v>
      </x:c>
      <x:c r="B1645" s="23" t="n">
        <x:v>46566</x:v>
      </x:c>
      <x:c r="C1645" s="23" t="n">
        <x:v>46566</x:v>
      </x:c>
      <x:c r="D1645" s="20" t="str">
        <x:v>OperatingExpense</x:v>
      </x:c>
      <x:c r="E1645" s="20" t="str">
        <x:v>Property tax</x:v>
      </x:c>
      <x:c r="F1645" s="20" t="str">
        <x:v>P029</x:v>
      </x:c>
      <x:c r="G1645" s="20" t="str"/>
      <x:c r="H1645" s="20" t="str"/>
      <x:c r="I1645" s="20" t="str">
        <x:v>Franklin County Treasurer</x:v>
      </x:c>
      <x:c r="J1645" s="35" t="str">
        <x:v>Scanned receipt/invoice</x:v>
      </x:c>
      <x:c r="K1645" s="20" t="str">
        <x:v>SCN-0906</x:v>
      </x:c>
      <x:c r="L1645" s="20" t="str">
        <x:v>EXP-20270628-3229</x:v>
      </x:c>
      <x:c r="M1645" s="26" t="n">
        <x:v>901</x:v>
      </x:c>
      <x:c r="N1645" s="26" t="n">
        <x:v>0</x:v>
      </x:c>
      <x:c r="O1645" s="26" t="n">
        <x:v>-901</x:v>
      </x:c>
      <x:c r="P1645" s="26" t="n">
        <x:v>0</x:v>
      </x:c>
      <x:c r="Q1645" s="26" t="n">
        <x:v>0</x:v>
      </x:c>
      <x:c r="R1645" s="26" t="n">
        <x:v>0</x:v>
      </x:c>
      <x:c r="S1645" s="26" t="n">
        <x:v>0</x:v>
      </x:c>
      <x:c r="T1645" s="26" t="n">
        <x:v>0</x:v>
      </x:c>
      <x:c r="U1645" s="26" t="n">
        <x:v>901</x:v>
      </x:c>
      <x:c r="V1645" s="26" t="n">
        <x:v>0</x:v>
      </x:c>
      <x:c r="W1645" s="26" t="n">
        <x:v>0</x:v>
      </x:c>
      <x:c r="X1645" s="26" t="n">
        <x:v>0</x:v>
      </x:c>
      <x:c r="Y1645" s="26" t="n">
        <x:v>0</x:v>
      </x:c>
      <x:c r="Z1645" s="35" t="str">
        <x:v>Franklin County Treasurer</x:v>
      </x:c>
    </x:row>
    <x:row r="1646">
      <x:c r="A1646" s="20" t="str">
        <x:v>FIN-01643</x:v>
      </x:c>
      <x:c r="B1646" s="23" t="n">
        <x:v>46658</x:v>
      </x:c>
      <x:c r="C1646" s="23" t="n">
        <x:v>46658</x:v>
      </x:c>
      <x:c r="D1646" s="20" t="str">
        <x:v>OperatingExpense</x:v>
      </x:c>
      <x:c r="E1646" s="20" t="str">
        <x:v>Property tax</x:v>
      </x:c>
      <x:c r="F1646" s="20" t="str">
        <x:v>P029</x:v>
      </x:c>
      <x:c r="G1646" s="20" t="str"/>
      <x:c r="H1646" s="20" t="str"/>
      <x:c r="I1646" s="20" t="str">
        <x:v>Franklin County Treasurer</x:v>
      </x:c>
      <x:c r="J1646" s="35" t="str">
        <x:v>Scanned receipt/invoice</x:v>
      </x:c>
      <x:c r="K1646" s="20" t="str">
        <x:v>SCN-0907</x:v>
      </x:c>
      <x:c r="L1646" s="20" t="str">
        <x:v>EXP-20270928-3329</x:v>
      </x:c>
      <x:c r="M1646" s="26" t="n">
        <x:v>908</x:v>
      </x:c>
      <x:c r="N1646" s="26" t="n">
        <x:v>0</x:v>
      </x:c>
      <x:c r="O1646" s="26" t="n">
        <x:v>-908</x:v>
      </x:c>
      <x:c r="P1646" s="26" t="n">
        <x:v>0</x:v>
      </x:c>
      <x:c r="Q1646" s="26" t="n">
        <x:v>0</x:v>
      </x:c>
      <x:c r="R1646" s="26" t="n">
        <x:v>0</x:v>
      </x:c>
      <x:c r="S1646" s="26" t="n">
        <x:v>0</x:v>
      </x:c>
      <x:c r="T1646" s="26" t="n">
        <x:v>0</x:v>
      </x:c>
      <x:c r="U1646" s="26" t="n">
        <x:v>908</x:v>
      </x:c>
      <x:c r="V1646" s="26" t="n">
        <x:v>0</x:v>
      </x:c>
      <x:c r="W1646" s="26" t="n">
        <x:v>0</x:v>
      </x:c>
      <x:c r="X1646" s="26" t="n">
        <x:v>0</x:v>
      </x:c>
      <x:c r="Y1646" s="26" t="n">
        <x:v>0</x:v>
      </x:c>
      <x:c r="Z1646" s="35" t="str">
        <x:v>Franklin County Treasurer</x:v>
      </x:c>
    </x:row>
    <x:row r="1647">
      <x:c r="A1647" s="20" t="str">
        <x:v>FIN-01644</x:v>
      </x:c>
      <x:c r="B1647" s="23" t="n">
        <x:v>46749</x:v>
      </x:c>
      <x:c r="C1647" s="23" t="n">
        <x:v>46749</x:v>
      </x:c>
      <x:c r="D1647" s="20" t="str">
        <x:v>OperatingExpense</x:v>
      </x:c>
      <x:c r="E1647" s="20" t="str">
        <x:v>Property tax</x:v>
      </x:c>
      <x:c r="F1647" s="20" t="str">
        <x:v>P029</x:v>
      </x:c>
      <x:c r="G1647" s="20" t="str"/>
      <x:c r="H1647" s="20" t="str"/>
      <x:c r="I1647" s="20" t="str">
        <x:v>Franklin County Treasurer</x:v>
      </x:c>
      <x:c r="J1647" s="35" t="str">
        <x:v>Scanned receipt/invoice</x:v>
      </x:c>
      <x:c r="K1647" s="20" t="str">
        <x:v>SCN-0908</x:v>
      </x:c>
      <x:c r="L1647" s="20" t="str">
        <x:v>EXP-20271228-3429</x:v>
      </x:c>
      <x:c r="M1647" s="26" t="n">
        <x:v>915</x:v>
      </x:c>
      <x:c r="N1647" s="26" t="n">
        <x:v>0</x:v>
      </x:c>
      <x:c r="O1647" s="26" t="n">
        <x:v>-915</x:v>
      </x:c>
      <x:c r="P1647" s="26" t="n">
        <x:v>0</x:v>
      </x:c>
      <x:c r="Q1647" s="26" t="n">
        <x:v>0</x:v>
      </x:c>
      <x:c r="R1647" s="26" t="n">
        <x:v>0</x:v>
      </x:c>
      <x:c r="S1647" s="26" t="n">
        <x:v>0</x:v>
      </x:c>
      <x:c r="T1647" s="26" t="n">
        <x:v>0</x:v>
      </x:c>
      <x:c r="U1647" s="26" t="n">
        <x:v>915</x:v>
      </x:c>
      <x:c r="V1647" s="26" t="n">
        <x:v>0</x:v>
      </x:c>
      <x:c r="W1647" s="26" t="n">
        <x:v>0</x:v>
      </x:c>
      <x:c r="X1647" s="26" t="n">
        <x:v>0</x:v>
      </x:c>
      <x:c r="Y1647" s="26" t="n">
        <x:v>0</x:v>
      </x:c>
      <x:c r="Z1647" s="35" t="str">
        <x:v>Franklin County Treasurer</x:v>
      </x:c>
    </x:row>
    <x:row r="1648">
      <x:c r="A1648" s="20" t="str">
        <x:v>FIN-01645</x:v>
      </x:c>
      <x:c r="B1648" s="23" t="n">
        <x:v>46556</x:v>
      </x:c>
      <x:c r="C1648" s="23" t="n">
        <x:v>46556</x:v>
      </x:c>
      <x:c r="D1648" s="20" t="str">
        <x:v>OperatingExpense</x:v>
      </x:c>
      <x:c r="E1648" s="20" t="str">
        <x:v>Insurance</x:v>
      </x:c>
      <x:c r="F1648" s="20" t="str">
        <x:v>P030</x:v>
      </x:c>
      <x:c r="G1648" s="20" t="str"/>
      <x:c r="H1648" s="20" t="str"/>
      <x:c r="I1648" s="20" t="str">
        <x:v>Buckeye Mutual Insurance</x:v>
      </x:c>
      <x:c r="J1648" s="35" t="str">
        <x:v>Manual mobile form</x:v>
      </x:c>
      <x:c r="K1648" s="20" t="str"/>
      <x:c r="L1648" s="20" t="str">
        <x:v>EXP-20270618-2030</x:v>
      </x:c>
      <x:c r="M1648" s="26" t="n">
        <x:v>1490</x:v>
      </x:c>
      <x:c r="N1648" s="26" t="n">
        <x:v>0</x:v>
      </x:c>
      <x:c r="O1648" s="26" t="n">
        <x:v>-1490</x:v>
      </x:c>
      <x:c r="P1648" s="26" t="n">
        <x:v>0</x:v>
      </x:c>
      <x:c r="Q1648" s="26" t="n">
        <x:v>0</x:v>
      </x:c>
      <x:c r="R1648" s="26" t="n">
        <x:v>0</x:v>
      </x:c>
      <x:c r="S1648" s="26" t="n">
        <x:v>0</x:v>
      </x:c>
      <x:c r="T1648" s="26" t="n">
        <x:v>0</x:v>
      </x:c>
      <x:c r="U1648" s="26" t="n">
        <x:v>1490</x:v>
      </x:c>
      <x:c r="V1648" s="26" t="n">
        <x:v>0</x:v>
      </x:c>
      <x:c r="W1648" s="26" t="n">
        <x:v>0</x:v>
      </x:c>
      <x:c r="X1648" s="26" t="n">
        <x:v>0</x:v>
      </x:c>
      <x:c r="Y1648" s="26" t="n">
        <x:v>0</x:v>
      </x:c>
      <x:c r="Z1648" s="35" t="str">
        <x:v>Buckeye Mutual Insurance</x:v>
      </x:c>
    </x:row>
    <x:row r="1649">
      <x:c r="A1649" s="20" t="str">
        <x:v>FIN-01646</x:v>
      </x:c>
      <x:c r="B1649" s="23" t="n">
        <x:v>46474</x:v>
      </x:c>
      <x:c r="C1649" s="23" t="n">
        <x:v>46474</x:v>
      </x:c>
      <x:c r="D1649" s="20" t="str">
        <x:v>OperatingExpense</x:v>
      </x:c>
      <x:c r="E1649" s="20" t="str">
        <x:v>Property tax</x:v>
      </x:c>
      <x:c r="F1649" s="20" t="str">
        <x:v>P030</x:v>
      </x:c>
      <x:c r="G1649" s="20" t="str"/>
      <x:c r="H1649" s="20" t="str"/>
      <x:c r="I1649" s="20" t="str">
        <x:v>Franklin County Treasurer</x:v>
      </x:c>
      <x:c r="J1649" s="35" t="str">
        <x:v>Manual mobile form</x:v>
      </x:c>
      <x:c r="K1649" s="20" t="str"/>
      <x:c r="L1649" s="20" t="str">
        <x:v>EXP-20270328-3130</x:v>
      </x:c>
      <x:c r="M1649" s="26" t="n">
        <x:v>907</x:v>
      </x:c>
      <x:c r="N1649" s="26" t="n">
        <x:v>0</x:v>
      </x:c>
      <x:c r="O1649" s="26" t="n">
        <x:v>-907</x:v>
      </x:c>
      <x:c r="P1649" s="26" t="n">
        <x:v>0</x:v>
      </x:c>
      <x:c r="Q1649" s="26" t="n">
        <x:v>0</x:v>
      </x:c>
      <x:c r="R1649" s="26" t="n">
        <x:v>0</x:v>
      </x:c>
      <x:c r="S1649" s="26" t="n">
        <x:v>0</x:v>
      </x:c>
      <x:c r="T1649" s="26" t="n">
        <x:v>0</x:v>
      </x:c>
      <x:c r="U1649" s="26" t="n">
        <x:v>907</x:v>
      </x:c>
      <x:c r="V1649" s="26" t="n">
        <x:v>0</x:v>
      </x:c>
      <x:c r="W1649" s="26" t="n">
        <x:v>0</x:v>
      </x:c>
      <x:c r="X1649" s="26" t="n">
        <x:v>0</x:v>
      </x:c>
      <x:c r="Y1649" s="26" t="n">
        <x:v>0</x:v>
      </x:c>
      <x:c r="Z1649" s="35" t="str">
        <x:v>Franklin County Treasurer</x:v>
      </x:c>
    </x:row>
    <x:row r="1650">
      <x:c r="A1650" s="20" t="str">
        <x:v>FIN-01647</x:v>
      </x:c>
      <x:c r="B1650" s="23" t="n">
        <x:v>46566</x:v>
      </x:c>
      <x:c r="C1650" s="23" t="n">
        <x:v>46566</x:v>
      </x:c>
      <x:c r="D1650" s="20" t="str">
        <x:v>OperatingExpense</x:v>
      </x:c>
      <x:c r="E1650" s="20" t="str">
        <x:v>Property tax</x:v>
      </x:c>
      <x:c r="F1650" s="20" t="str">
        <x:v>P030</x:v>
      </x:c>
      <x:c r="G1650" s="20" t="str"/>
      <x:c r="H1650" s="20" t="str"/>
      <x:c r="I1650" s="20" t="str">
        <x:v>Franklin County Treasurer</x:v>
      </x:c>
      <x:c r="J1650" s="35" t="str">
        <x:v>Manual mobile form</x:v>
      </x:c>
      <x:c r="K1650" s="20" t="str"/>
      <x:c r="L1650" s="20" t="str">
        <x:v>EXP-20270628-3230</x:v>
      </x:c>
      <x:c r="M1650" s="26" t="n">
        <x:v>914</x:v>
      </x:c>
      <x:c r="N1650" s="26" t="n">
        <x:v>0</x:v>
      </x:c>
      <x:c r="O1650" s="26" t="n">
        <x:v>-914</x:v>
      </x:c>
      <x:c r="P1650" s="26" t="n">
        <x:v>0</x:v>
      </x:c>
      <x:c r="Q1650" s="26" t="n">
        <x:v>0</x:v>
      </x:c>
      <x:c r="R1650" s="26" t="n">
        <x:v>0</x:v>
      </x:c>
      <x:c r="S1650" s="26" t="n">
        <x:v>0</x:v>
      </x:c>
      <x:c r="T1650" s="26" t="n">
        <x:v>0</x:v>
      </x:c>
      <x:c r="U1650" s="26" t="n">
        <x:v>914</x:v>
      </x:c>
      <x:c r="V1650" s="26" t="n">
        <x:v>0</x:v>
      </x:c>
      <x:c r="W1650" s="26" t="n">
        <x:v>0</x:v>
      </x:c>
      <x:c r="X1650" s="26" t="n">
        <x:v>0</x:v>
      </x:c>
      <x:c r="Y1650" s="26" t="n">
        <x:v>0</x:v>
      </x:c>
      <x:c r="Z1650" s="35" t="str">
        <x:v>Franklin County Treasurer</x:v>
      </x:c>
    </x:row>
    <x:row r="1651">
      <x:c r="A1651" s="20" t="str">
        <x:v>FIN-01648</x:v>
      </x:c>
      <x:c r="B1651" s="23" t="n">
        <x:v>46658</x:v>
      </x:c>
      <x:c r="C1651" s="23" t="n">
        <x:v>46658</x:v>
      </x:c>
      <x:c r="D1651" s="20" t="str">
        <x:v>OperatingExpense</x:v>
      </x:c>
      <x:c r="E1651" s="20" t="str">
        <x:v>Property tax</x:v>
      </x:c>
      <x:c r="F1651" s="20" t="str">
        <x:v>P030</x:v>
      </x:c>
      <x:c r="G1651" s="20" t="str"/>
      <x:c r="H1651" s="20" t="str"/>
      <x:c r="I1651" s="20" t="str">
        <x:v>Franklin County Treasurer</x:v>
      </x:c>
      <x:c r="J1651" s="35" t="str">
        <x:v>Manual mobile form</x:v>
      </x:c>
      <x:c r="K1651" s="20" t="str"/>
      <x:c r="L1651" s="20" t="str">
        <x:v>EXP-20270928-3330</x:v>
      </x:c>
      <x:c r="M1651" s="26" t="n">
        <x:v>921</x:v>
      </x:c>
      <x:c r="N1651" s="26" t="n">
        <x:v>0</x:v>
      </x:c>
      <x:c r="O1651" s="26" t="n">
        <x:v>-921</x:v>
      </x:c>
      <x:c r="P1651" s="26" t="n">
        <x:v>0</x:v>
      </x:c>
      <x:c r="Q1651" s="26" t="n">
        <x:v>0</x:v>
      </x:c>
      <x:c r="R1651" s="26" t="n">
        <x:v>0</x:v>
      </x:c>
      <x:c r="S1651" s="26" t="n">
        <x:v>0</x:v>
      </x:c>
      <x:c r="T1651" s="26" t="n">
        <x:v>0</x:v>
      </x:c>
      <x:c r="U1651" s="26" t="n">
        <x:v>921</x:v>
      </x:c>
      <x:c r="V1651" s="26" t="n">
        <x:v>0</x:v>
      </x:c>
      <x:c r="W1651" s="26" t="n">
        <x:v>0</x:v>
      </x:c>
      <x:c r="X1651" s="26" t="n">
        <x:v>0</x:v>
      </x:c>
      <x:c r="Y1651" s="26" t="n">
        <x:v>0</x:v>
      </x:c>
      <x:c r="Z1651" s="35" t="str">
        <x:v>Franklin County Treasurer</x:v>
      </x:c>
    </x:row>
    <x:row r="1652">
      <x:c r="A1652" s="20" t="str">
        <x:v>FIN-01649</x:v>
      </x:c>
      <x:c r="B1652" s="23" t="n">
        <x:v>46749</x:v>
      </x:c>
      <x:c r="C1652" s="23" t="n">
        <x:v>46749</x:v>
      </x:c>
      <x:c r="D1652" s="20" t="str">
        <x:v>OperatingExpense</x:v>
      </x:c>
      <x:c r="E1652" s="20" t="str">
        <x:v>Property tax</x:v>
      </x:c>
      <x:c r="F1652" s="20" t="str">
        <x:v>P030</x:v>
      </x:c>
      <x:c r="G1652" s="20" t="str"/>
      <x:c r="H1652" s="20" t="str"/>
      <x:c r="I1652" s="20" t="str">
        <x:v>Franklin County Treasurer</x:v>
      </x:c>
      <x:c r="J1652" s="35" t="str">
        <x:v>Manual mobile form</x:v>
      </x:c>
      <x:c r="K1652" s="20" t="str"/>
      <x:c r="L1652" s="20" t="str">
        <x:v>EXP-20271228-3430</x:v>
      </x:c>
      <x:c r="M1652" s="26" t="n">
        <x:v>928</x:v>
      </x:c>
      <x:c r="N1652" s="26" t="n">
        <x:v>0</x:v>
      </x:c>
      <x:c r="O1652" s="26" t="n">
        <x:v>-928</x:v>
      </x:c>
      <x:c r="P1652" s="26" t="n">
        <x:v>0</x:v>
      </x:c>
      <x:c r="Q1652" s="26" t="n">
        <x:v>0</x:v>
      </x:c>
      <x:c r="R1652" s="26" t="n">
        <x:v>0</x:v>
      </x:c>
      <x:c r="S1652" s="26" t="n">
        <x:v>0</x:v>
      </x:c>
      <x:c r="T1652" s="26" t="n">
        <x:v>0</x:v>
      </x:c>
      <x:c r="U1652" s="26" t="n">
        <x:v>928</x:v>
      </x:c>
      <x:c r="V1652" s="26" t="n">
        <x:v>0</x:v>
      </x:c>
      <x:c r="W1652" s="26" t="n">
        <x:v>0</x:v>
      </x:c>
      <x:c r="X1652" s="26" t="n">
        <x:v>0</x:v>
      </x:c>
      <x:c r="Y1652" s="26" t="n">
        <x:v>0</x:v>
      </x:c>
      <x:c r="Z1652" s="35" t="str">
        <x:v>Franklin County Treasurer</x:v>
      </x:c>
    </x:row>
    <x:row r="1653">
      <x:c r="A1653" s="20" t="str">
        <x:v>FIN-01650</x:v>
      </x:c>
      <x:c r="B1653" s="23" t="n">
        <x:v>46471</x:v>
      </x:c>
      <x:c r="C1653" s="23" t="n">
        <x:v>46471</x:v>
      </x:c>
      <x:c r="D1653" s="20" t="str">
        <x:v>SecurityDepositCollection</x:v>
      </x:c>
      <x:c r="E1653" s="20" t="str">
        <x:v>Security deposit</x:v>
      </x:c>
      <x:c r="F1653" s="20" t="str">
        <x:v>P005</x:v>
      </x:c>
      <x:c r="G1653" s="20" t="str">
        <x:v>U005</x:v>
      </x:c>
      <x:c r="H1653" s="20" t="str">
        <x:v>L037</x:v>
      </x:c>
      <x:c r="I1653" s="20" t="str">
        <x:v>Parker Flores</x:v>
      </x:c>
      <x:c r="J1653" s="35" t="str">
        <x:v>Scanned money order + deposit confirmation</x:v>
      </x:c>
      <x:c r="K1653" s="20" t="str">
        <x:v>SCN-0911</x:v>
      </x:c>
      <x:c r="L1653" s="20" t="str">
        <x:v>DEP-L037</x:v>
      </x:c>
      <x:c r="M1653" s="26" t="n">
        <x:v>1875</x:v>
      </x:c>
      <x:c r="N1653" s="26" t="n">
        <x:v>0</x:v>
      </x:c>
      <x:c r="O1653" s="26" t="n">
        <x:v>0</x:v>
      </x:c>
      <x:c r="P1653" s="26" t="n">
        <x:v>1875</x:v>
      </x:c>
      <x:c r="Q1653" s="26" t="n">
        <x:v>0</x:v>
      </x:c>
      <x:c r="R1653" s="26" t="n">
        <x:v>1875</x:v>
      </x:c>
      <x:c r="S1653" s="26" t="n">
        <x:v>0</x:v>
      </x:c>
      <x:c r="T1653" s="26" t="n">
        <x:v>0</x:v>
      </x:c>
      <x:c r="U1653" s="26" t="n">
        <x:v>0</x:v>
      </x:c>
      <x:c r="V1653" s="26" t="n">
        <x:v>0</x:v>
      </x:c>
      <x:c r="W1653" s="26" t="n">
        <x:v>0</x:v>
      </x:c>
      <x:c r="X1653" s="26" t="n">
        <x:v>0</x:v>
      </x:c>
      <x:c r="Y1653" s="26" t="n">
        <x:v>0</x:v>
      </x:c>
      <x:c r="Z1653" s="35" t="str">
        <x:v>Deposit held in synthetic trust account; not rental income</x:v>
      </x:c>
    </x:row>
    <x:row r="1654">
      <x:c r="A1654" s="20" t="str">
        <x:v>FIN-01651</x:v>
      </x:c>
      <x:c r="B1654" s="23" t="n">
        <x:v>46562</x:v>
      </x:c>
      <x:c r="C1654" s="23" t="n">
        <x:v>46562</x:v>
      </x:c>
      <x:c r="D1654" s="20" t="str">
        <x:v>SecurityDepositCollection</x:v>
      </x:c>
      <x:c r="E1654" s="20" t="str">
        <x:v>Security deposit</x:v>
      </x:c>
      <x:c r="F1654" s="20" t="str">
        <x:v>P014</x:v>
      </x:c>
      <x:c r="G1654" s="20" t="str">
        <x:v>U014</x:v>
      </x:c>
      <x:c r="H1654" s="20" t="str">
        <x:v>L038</x:v>
      </x:c>
      <x:c r="I1654" s="20" t="str">
        <x:v>Sage King</x:v>
      </x:c>
      <x:c r="J1654" s="35" t="str">
        <x:v>Scanned money order + deposit confirmation</x:v>
      </x:c>
      <x:c r="K1654" s="20" t="str">
        <x:v>SCN-0914</x:v>
      </x:c>
      <x:c r="L1654" s="20" t="str">
        <x:v>DEP-L038</x:v>
      </x:c>
      <x:c r="M1654" s="26" t="n">
        <x:v>1200</x:v>
      </x:c>
      <x:c r="N1654" s="26" t="n">
        <x:v>0</x:v>
      </x:c>
      <x:c r="O1654" s="26" t="n">
        <x:v>0</x:v>
      </x:c>
      <x:c r="P1654" s="26" t="n">
        <x:v>1200</x:v>
      </x:c>
      <x:c r="Q1654" s="26" t="n">
        <x:v>0</x:v>
      </x:c>
      <x:c r="R1654" s="26" t="n">
        <x:v>1200</x:v>
      </x:c>
      <x:c r="S1654" s="26" t="n">
        <x:v>0</x:v>
      </x:c>
      <x:c r="T1654" s="26" t="n">
        <x:v>0</x:v>
      </x:c>
      <x:c r="U1654" s="26" t="n">
        <x:v>0</x:v>
      </x:c>
      <x:c r="V1654" s="26" t="n">
        <x:v>0</x:v>
      </x:c>
      <x:c r="W1654" s="26" t="n">
        <x:v>0</x:v>
      </x:c>
      <x:c r="X1654" s="26" t="n">
        <x:v>0</x:v>
      </x:c>
      <x:c r="Y1654" s="26" t="n">
        <x:v>0</x:v>
      </x:c>
      <x:c r="Z1654" s="35" t="str">
        <x:v>Deposit held in synthetic trust account; not rental income</x:v>
      </x:c>
    </x:row>
    <x:row r="1655">
      <x:c r="A1655" s="20" t="str">
        <x:v>FIN-01652</x:v>
      </x:c>
      <x:c r="B1655" s="23" t="n">
        <x:v>46593</x:v>
      </x:c>
      <x:c r="C1655" s="23" t="n">
        <x:v>46593</x:v>
      </x:c>
      <x:c r="D1655" s="20" t="str">
        <x:v>SecurityDepositCollection</x:v>
      </x:c>
      <x:c r="E1655" s="20" t="str">
        <x:v>Security deposit</x:v>
      </x:c>
      <x:c r="F1655" s="20" t="str">
        <x:v>P017</x:v>
      </x:c>
      <x:c r="G1655" s="20" t="str">
        <x:v>U017</x:v>
      </x:c>
      <x:c r="H1655" s="20" t="str">
        <x:v>L039</x:v>
      </x:c>
      <x:c r="I1655" s="20" t="str">
        <x:v>Val Price</x:v>
      </x:c>
      <x:c r="J1655" s="35" t="str">
        <x:v>Scanned money order + deposit confirmation</x:v>
      </x:c>
      <x:c r="K1655" s="20" t="str">
        <x:v>SCN-0917</x:v>
      </x:c>
      <x:c r="L1655" s="20" t="str">
        <x:v>DEP-L039</x:v>
      </x:c>
      <x:c r="M1655" s="26" t="n">
        <x:v>1875</x:v>
      </x:c>
      <x:c r="N1655" s="26" t="n">
        <x:v>0</x:v>
      </x:c>
      <x:c r="O1655" s="26" t="n">
        <x:v>0</x:v>
      </x:c>
      <x:c r="P1655" s="26" t="n">
        <x:v>1875</x:v>
      </x:c>
      <x:c r="Q1655" s="26" t="n">
        <x:v>0</x:v>
      </x:c>
      <x:c r="R1655" s="26" t="n">
        <x:v>1875</x:v>
      </x:c>
      <x:c r="S1655" s="26" t="n">
        <x:v>0</x:v>
      </x:c>
      <x:c r="T1655" s="26" t="n">
        <x:v>0</x:v>
      </x:c>
      <x:c r="U1655" s="26" t="n">
        <x:v>0</x:v>
      </x:c>
      <x:c r="V1655" s="26" t="n">
        <x:v>0</x:v>
      </x:c>
      <x:c r="W1655" s="26" t="n">
        <x:v>0</x:v>
      </x:c>
      <x:c r="X1655" s="26" t="n">
        <x:v>0</x:v>
      </x:c>
      <x:c r="Y1655" s="26" t="n">
        <x:v>0</x:v>
      </x:c>
      <x:c r="Z1655" s="35" t="str">
        <x:v>Deposit held in synthetic trust account; not rental income</x:v>
      </x:c>
    </x:row>
    <x:row r="1656">
      <x:c r="A1656" s="20" t="str">
        <x:v>FIN-01653</x:v>
      </x:c>
      <x:c r="B1656" s="23" t="n">
        <x:v>46654</x:v>
      </x:c>
      <x:c r="C1656" s="23" t="n">
        <x:v>46654</x:v>
      </x:c>
      <x:c r="D1656" s="20" t="str">
        <x:v>SecurityDepositCollection</x:v>
      </x:c>
      <x:c r="E1656" s="20" t="str">
        <x:v>Security deposit</x:v>
      </x:c>
      <x:c r="F1656" s="20" t="str">
        <x:v>P021</x:v>
      </x:c>
      <x:c r="G1656" s="20" t="str">
        <x:v>U022</x:v>
      </x:c>
      <x:c r="H1656" s="20" t="str">
        <x:v>L040</x:v>
      </x:c>
      <x:c r="I1656" s="20" t="str">
        <x:v>Yara Brooks</x:v>
      </x:c>
      <x:c r="J1656" s="35" t="str">
        <x:v>Scanned money order + deposit confirmation</x:v>
      </x:c>
      <x:c r="K1656" s="20" t="str">
        <x:v>SCN-0920</x:v>
      </x:c>
      <x:c r="L1656" s="20" t="str">
        <x:v>DEP-L040</x:v>
      </x:c>
      <x:c r="M1656" s="26" t="n">
        <x:v>1900</x:v>
      </x:c>
      <x:c r="N1656" s="26" t="n">
        <x:v>0</x:v>
      </x:c>
      <x:c r="O1656" s="26" t="n">
        <x:v>0</x:v>
      </x:c>
      <x:c r="P1656" s="26" t="n">
        <x:v>1900</x:v>
      </x:c>
      <x:c r="Q1656" s="26" t="n">
        <x:v>0</x:v>
      </x:c>
      <x:c r="R1656" s="26" t="n">
        <x:v>1900</x:v>
      </x:c>
      <x:c r="S1656" s="26" t="n">
        <x:v>0</x:v>
      </x:c>
      <x:c r="T1656" s="26" t="n">
        <x:v>0</x:v>
      </x:c>
      <x:c r="U1656" s="26" t="n">
        <x:v>0</x:v>
      </x:c>
      <x:c r="V1656" s="26" t="n">
        <x:v>0</x:v>
      </x:c>
      <x:c r="W1656" s="26" t="n">
        <x:v>0</x:v>
      </x:c>
      <x:c r="X1656" s="26" t="n">
        <x:v>0</x:v>
      </x:c>
      <x:c r="Y1656" s="26" t="n">
        <x:v>0</x:v>
      </x:c>
      <x:c r="Z1656" s="35" t="str">
        <x:v>Deposit held in synthetic trust account; not rental income</x:v>
      </x:c>
    </x:row>
    <x:row r="1657">
      <x:c r="A1657" s="20" t="str">
        <x:v>FIN-01654</x:v>
      </x:c>
      <x:c r="B1657" s="23" t="n">
        <x:v>46729</x:v>
      </x:c>
      <x:c r="C1657" s="23" t="n">
        <x:v>46729</x:v>
      </x:c>
      <x:c r="D1657" s="20" t="str">
        <x:v>SecurityDepositCollection</x:v>
      </x:c>
      <x:c r="E1657" s="20" t="str">
        <x:v>Security deposit</x:v>
      </x:c>
      <x:c r="F1657" s="20" t="str">
        <x:v>P027</x:v>
      </x:c>
      <x:c r="G1657" s="20" t="str">
        <x:v>U034</x:v>
      </x:c>
      <x:c r="H1657" s="20" t="str">
        <x:v>L042</x:v>
      </x:c>
      <x:c r="I1657" s="20" t="str">
        <x:v>Elena Lewis</x:v>
      </x:c>
      <x:c r="J1657" s="35" t="str">
        <x:v>Scanned money order + deposit confirmation</x:v>
      </x:c>
      <x:c r="K1657" s="20" t="str">
        <x:v>SCN-0923</x:v>
      </x:c>
      <x:c r="L1657" s="20" t="str">
        <x:v>DEP-L042</x:v>
      </x:c>
      <x:c r="M1657" s="26" t="n">
        <x:v>1900</x:v>
      </x:c>
      <x:c r="N1657" s="26" t="n">
        <x:v>0</x:v>
      </x:c>
      <x:c r="O1657" s="26" t="n">
        <x:v>0</x:v>
      </x:c>
      <x:c r="P1657" s="26" t="n">
        <x:v>1900</x:v>
      </x:c>
      <x:c r="Q1657" s="26" t="n">
        <x:v>0</x:v>
      </x:c>
      <x:c r="R1657" s="26" t="n">
        <x:v>1900</x:v>
      </x:c>
      <x:c r="S1657" s="26" t="n">
        <x:v>0</x:v>
      </x:c>
      <x:c r="T1657" s="26" t="n">
        <x:v>0</x:v>
      </x:c>
      <x:c r="U1657" s="26" t="n">
        <x:v>0</x:v>
      </x:c>
      <x:c r="V1657" s="26" t="n">
        <x:v>0</x:v>
      </x:c>
      <x:c r="W1657" s="26" t="n">
        <x:v>0</x:v>
      </x:c>
      <x:c r="X1657" s="26" t="n">
        <x:v>0</x:v>
      </x:c>
      <x:c r="Y1657" s="26" t="n">
        <x:v>0</x:v>
      </x:c>
      <x:c r="Z1657" s="35" t="str">
        <x:v>Deposit held in synthetic trust account; not rental income</x:v>
      </x:c>
    </x:row>
    <x:row r="1658">
      <x:c r="A1658" s="20" t="str">
        <x:v>FIN-01655</x:v>
      </x:c>
      <x:c r="B1658" s="23" t="n">
        <x:v>46412</x:v>
      </x:c>
      <x:c r="C1658" s="23" t="n">
        <x:v>46412</x:v>
      </x:c>
      <x:c r="D1658" s="20" t="str">
        <x:v>SecurityDepositCollection</x:v>
      </x:c>
      <x:c r="E1658" s="20" t="str">
        <x:v>Security deposit</x:v>
      </x:c>
      <x:c r="F1658" s="20" t="str">
        <x:v>P029</x:v>
      </x:c>
      <x:c r="G1658" s="20" t="str">
        <x:v>U037</x:v>
      </x:c>
      <x:c r="H1658" s="20" t="str">
        <x:v>L043</x:v>
      </x:c>
      <x:c r="I1658" s="20" t="str">
        <x:v>Hector Reed</x:v>
      </x:c>
      <x:c r="J1658" s="35" t="str">
        <x:v>Scanned money order + deposit confirmation</x:v>
      </x:c>
      <x:c r="K1658" s="20" t="str">
        <x:v>SCN-0926</x:v>
      </x:c>
      <x:c r="L1658" s="20" t="str">
        <x:v>DEP-L043</x:v>
      </x:c>
      <x:c r="M1658" s="26" t="n">
        <x:v>1675</x:v>
      </x:c>
      <x:c r="N1658" s="26" t="n">
        <x:v>0</x:v>
      </x:c>
      <x:c r="O1658" s="26" t="n">
        <x:v>0</x:v>
      </x:c>
      <x:c r="P1658" s="26" t="n">
        <x:v>1675</x:v>
      </x:c>
      <x:c r="Q1658" s="26" t="n">
        <x:v>0</x:v>
      </x:c>
      <x:c r="R1658" s="26" t="n">
        <x:v>1675</x:v>
      </x:c>
      <x:c r="S1658" s="26" t="n">
        <x:v>0</x:v>
      </x:c>
      <x:c r="T1658" s="26" t="n">
        <x:v>0</x:v>
      </x:c>
      <x:c r="U1658" s="26" t="n">
        <x:v>0</x:v>
      </x:c>
      <x:c r="V1658" s="26" t="n">
        <x:v>0</x:v>
      </x:c>
      <x:c r="W1658" s="26" t="n">
        <x:v>0</x:v>
      </x:c>
      <x:c r="X1658" s="26" t="n">
        <x:v>0</x:v>
      </x:c>
      <x:c r="Y1658" s="26" t="n">
        <x:v>0</x:v>
      </x:c>
      <x:c r="Z1658" s="35" t="str">
        <x:v>Deposit held in synthetic trust account; not rental income</x:v>
      </x:c>
    </x:row>
    <x:row r="1659">
      <x:c r="A1659" s="20" t="str">
        <x:v>FIN-01656</x:v>
      </x:c>
      <x:c r="B1659" s="23" t="n">
        <x:v>46454</x:v>
      </x:c>
      <x:c r="C1659" s="23" t="n">
        <x:v>46454</x:v>
      </x:c>
      <x:c r="D1659" s="20" t="str">
        <x:v>SecurityDepositCollection</x:v>
      </x:c>
      <x:c r="E1659" s="20" t="str">
        <x:v>Security deposit</x:v>
      </x:c>
      <x:c r="F1659" s="20" t="str">
        <x:v>P029</x:v>
      </x:c>
      <x:c r="G1659" s="20" t="str">
        <x:v>U038</x:v>
      </x:c>
      <x:c r="H1659" s="20" t="str">
        <x:v>L044</x:v>
      </x:c>
      <x:c r="I1659" s="20" t="str">
        <x:v>Keira Adams</x:v>
      </x:c>
      <x:c r="J1659" s="35" t="str">
        <x:v>Scanned money order + deposit confirmation</x:v>
      </x:c>
      <x:c r="K1659" s="20" t="str">
        <x:v>SCN-0929</x:v>
      </x:c>
      <x:c r="L1659" s="20" t="str">
        <x:v>DEP-L044</x:v>
      </x:c>
      <x:c r="M1659" s="26" t="n">
        <x:v>1300</x:v>
      </x:c>
      <x:c r="N1659" s="26" t="n">
        <x:v>0</x:v>
      </x:c>
      <x:c r="O1659" s="26" t="n">
        <x:v>0</x:v>
      </x:c>
      <x:c r="P1659" s="26" t="n">
        <x:v>1300</x:v>
      </x:c>
      <x:c r="Q1659" s="26" t="n">
        <x:v>0</x:v>
      </x:c>
      <x:c r="R1659" s="26" t="n">
        <x:v>1300</x:v>
      </x:c>
      <x:c r="S1659" s="26" t="n">
        <x:v>0</x:v>
      </x:c>
      <x:c r="T1659" s="26" t="n">
        <x:v>0</x:v>
      </x:c>
      <x:c r="U1659" s="26" t="n">
        <x:v>0</x:v>
      </x:c>
      <x:c r="V1659" s="26" t="n">
        <x:v>0</x:v>
      </x:c>
      <x:c r="W1659" s="26" t="n">
        <x:v>0</x:v>
      </x:c>
      <x:c r="X1659" s="26" t="n">
        <x:v>0</x:v>
      </x:c>
      <x:c r="Y1659" s="26" t="n">
        <x:v>0</x:v>
      </x:c>
      <x:c r="Z1659" s="35" t="str">
        <x:v>Deposit held in synthetic trust account; not rental income</x:v>
      </x:c>
    </x:row>
    <x:row r="1660">
      <x:c r="A1660" s="20" t="str">
        <x:v>FIN-01657</x:v>
      </x:c>
      <x:c r="B1660" s="23" t="n">
        <x:v>46532</x:v>
      </x:c>
      <x:c r="C1660" s="23" t="n">
        <x:v>46532</x:v>
      </x:c>
      <x:c r="D1660" s="20" t="str">
        <x:v>SecurityDepositCollection</x:v>
      </x:c>
      <x:c r="E1660" s="20" t="str">
        <x:v>Security deposit</x:v>
      </x:c>
      <x:c r="F1660" s="20" t="str">
        <x:v>P030</x:v>
      </x:c>
      <x:c r="G1660" s="20" t="str">
        <x:v>U039</x:v>
      </x:c>
      <x:c r="H1660" s="20" t="str">
        <x:v>L045</x:v>
      </x:c>
      <x:c r="I1660" s="20" t="str">
        <x:v>Nolan Flores</x:v>
      </x:c>
      <x:c r="J1660" s="35" t="str">
        <x:v>Scanned money order + deposit confirmation</x:v>
      </x:c>
      <x:c r="K1660" s="20" t="str">
        <x:v>SCN-0932</x:v>
      </x:c>
      <x:c r="L1660" s="20" t="str">
        <x:v>DEP-L045</x:v>
      </x:c>
      <x:c r="M1660" s="26" t="n">
        <x:v>1825</x:v>
      </x:c>
      <x:c r="N1660" s="26" t="n">
        <x:v>0</x:v>
      </x:c>
      <x:c r="O1660" s="26" t="n">
        <x:v>0</x:v>
      </x:c>
      <x:c r="P1660" s="26" t="n">
        <x:v>1825</x:v>
      </x:c>
      <x:c r="Q1660" s="26" t="n">
        <x:v>0</x:v>
      </x:c>
      <x:c r="R1660" s="26" t="n">
        <x:v>1825</x:v>
      </x:c>
      <x:c r="S1660" s="26" t="n">
        <x:v>0</x:v>
      </x:c>
      <x:c r="T1660" s="26" t="n">
        <x:v>0</x:v>
      </x:c>
      <x:c r="U1660" s="26" t="n">
        <x:v>0</x:v>
      </x:c>
      <x:c r="V1660" s="26" t="n">
        <x:v>0</x:v>
      </x:c>
      <x:c r="W1660" s="26" t="n">
        <x:v>0</x:v>
      </x:c>
      <x:c r="X1660" s="26" t="n">
        <x:v>0</x:v>
      </x:c>
      <x:c r="Y1660" s="26" t="n">
        <x:v>0</x:v>
      </x:c>
      <x:c r="Z1660" s="35" t="str">
        <x:v>Deposit held in synthetic trust account; not rental income</x:v>
      </x:c>
    </x:row>
    <x:row r="1661">
      <x:c r="A1661" s="20" t="str">
        <x:v>FIN-01658</x:v>
      </x:c>
      <x:c r="B1661" s="23" t="n">
        <x:v>46696</x:v>
      </x:c>
      <x:c r="C1661" s="23" t="n">
        <x:v>46696</x:v>
      </x:c>
      <x:c r="D1661" s="20" t="str">
        <x:v>SecurityDepositRefund</x:v>
      </x:c>
      <x:c r="E1661" s="20" t="str">
        <x:v>Deposit refund</x:v>
      </x:c>
      <x:c r="F1661" s="20" t="str">
        <x:v>P003</x:v>
      </x:c>
      <x:c r="G1661" s="20" t="str">
        <x:v>U003</x:v>
      </x:c>
      <x:c r="H1661" s="20" t="str">
        <x:v>L003</x:v>
      </x:c>
      <x:c r="I1661" s="20" t="str">
        <x:v>Jordan Reed</x:v>
      </x:c>
      <x:c r="J1661" s="35" t="str">
        <x:v>Manual disposition</x:v>
      </x:c>
      <x:c r="K1661" s="20" t="str"/>
      <x:c r="L1661" s="20" t="str">
        <x:v>DEP-REFUND-L003</x:v>
      </x:c>
      <x:c r="M1661" s="26" t="n">
        <x:v>1725</x:v>
      </x:c>
      <x:c r="N1661" s="26" t="n">
        <x:v>0</x:v>
      </x:c>
      <x:c r="O1661" s="26" t="n">
        <x:v>0</x:v>
      </x:c>
      <x:c r="P1661" s="26" t="n">
        <x:v>-1725</x:v>
      </x:c>
      <x:c r="Q1661" s="26" t="n">
        <x:v>0</x:v>
      </x:c>
      <x:c r="R1661" s="26" t="n">
        <x:v>-1725</x:v>
      </x:c>
      <x:c r="S1661" s="26" t="n">
        <x:v>0</x:v>
      </x:c>
      <x:c r="T1661" s="26" t="n">
        <x:v>0</x:v>
      </x:c>
      <x:c r="U1661" s="26" t="n">
        <x:v>0</x:v>
      </x:c>
      <x:c r="V1661" s="26" t="n">
        <x:v>0</x:v>
      </x:c>
      <x:c r="W1661" s="26" t="n">
        <x:v>0</x:v>
      </x:c>
      <x:c r="X1661" s="26" t="n">
        <x:v>0</x:v>
      </x:c>
      <x:c r="Y1661" s="26" t="n">
        <x:v>0</x:v>
      </x:c>
      <x:c r="Z1661" s="35" t="str">
        <x:v>Refund of remaining security deposit liability</x:v>
      </x:c>
    </x:row>
    <x:row r="1662">
      <x:c r="A1662" s="20" t="str">
        <x:v>FIN-01659</x:v>
      </x:c>
      <x:c r="B1662" s="23" t="n">
        <x:v>46451</x:v>
      </x:c>
      <x:c r="C1662" s="23" t="n">
        <x:v>46451</x:v>
      </x:c>
      <x:c r="D1662" s="20" t="str">
        <x:v>SecurityDepositRefund</x:v>
      </x:c>
      <x:c r="E1662" s="20" t="str">
        <x:v>Deposit refund</x:v>
      </x:c>
      <x:c r="F1662" s="20" t="str">
        <x:v>P005</x:v>
      </x:c>
      <x:c r="G1662" s="20" t="str">
        <x:v>U005</x:v>
      </x:c>
      <x:c r="H1662" s="20" t="str">
        <x:v>L005</x:v>
      </x:c>
      <x:c r="I1662" s="20" t="str">
        <x:v>Parker Flores</x:v>
      </x:c>
      <x:c r="J1662" s="35" t="str">
        <x:v>Manual disposition</x:v>
      </x:c>
      <x:c r="K1662" s="20" t="str"/>
      <x:c r="L1662" s="20" t="str">
        <x:v>DEP-REFUND-L005</x:v>
      </x:c>
      <x:c r="M1662" s="26" t="n">
        <x:v>1875</x:v>
      </x:c>
      <x:c r="N1662" s="26" t="n">
        <x:v>0</x:v>
      </x:c>
      <x:c r="O1662" s="26" t="n">
        <x:v>0</x:v>
      </x:c>
      <x:c r="P1662" s="26" t="n">
        <x:v>-1875</x:v>
      </x:c>
      <x:c r="Q1662" s="26" t="n">
        <x:v>0</x:v>
      </x:c>
      <x:c r="R1662" s="26" t="n">
        <x:v>-1875</x:v>
      </x:c>
      <x:c r="S1662" s="26" t="n">
        <x:v>0</x:v>
      </x:c>
      <x:c r="T1662" s="26" t="n">
        <x:v>0</x:v>
      </x:c>
      <x:c r="U1662" s="26" t="n">
        <x:v>0</x:v>
      </x:c>
      <x:c r="V1662" s="26" t="n">
        <x:v>0</x:v>
      </x:c>
      <x:c r="W1662" s="26" t="n">
        <x:v>0</x:v>
      </x:c>
      <x:c r="X1662" s="26" t="n">
        <x:v>0</x:v>
      </x:c>
      <x:c r="Y1662" s="26" t="n">
        <x:v>0</x:v>
      </x:c>
      <x:c r="Z1662" s="35" t="str">
        <x:v>Refund of remaining security deposit liability</x:v>
      </x:c>
    </x:row>
    <x:row r="1663">
      <x:c r="A1663" s="20" t="str">
        <x:v>FIN-01660</x:v>
      </x:c>
      <x:c r="B1663" s="23" t="n">
        <x:v>46635</x:v>
      </x:c>
      <x:c r="C1663" s="23" t="n">
        <x:v>46630</x:v>
      </x:c>
      <x:c r="D1663" s="20" t="str">
        <x:v>TenantCharge</x:v>
      </x:c>
      <x:c r="E1663" s="20" t="str">
        <x:v>Damage reimbursement</x:v>
      </x:c>
      <x:c r="F1663" s="20" t="str">
        <x:v>P008</x:v>
      </x:c>
      <x:c r="G1663" s="20" t="str">
        <x:v>U008</x:v>
      </x:c>
      <x:c r="H1663" s="20" t="str">
        <x:v>L008</x:v>
      </x:c>
      <x:c r="I1663" s="20" t="str">
        <x:v>Yara Brooks</x:v>
      </x:c>
      <x:c r="J1663" s="35" t="str">
        <x:v>Manual from completed inspection</x:v>
      </x:c>
      <x:c r="K1663" s="20" t="str">
        <x:v>SCN-0938</x:v>
      </x:c>
      <x:c r="L1663" s="20" t="str">
        <x:v>DAMAGE-L008</x:v>
      </x:c>
      <x:c r="M1663" s="26" t="n">
        <x:v>125</x:v>
      </x:c>
      <x:c r="N1663" s="26" t="n">
        <x:v>125</x:v>
      </x:c>
      <x:c r="O1663" s="26" t="n">
        <x:v>0</x:v>
      </x:c>
      <x:c r="P1663" s="26" t="n">
        <x:v>0</x:v>
      </x:c>
      <x:c r="Q1663" s="26" t="n">
        <x:v>0</x:v>
      </x:c>
      <x:c r="R1663" s="26" t="n">
        <x:v>0</x:v>
      </x:c>
      <x:c r="S1663" s="26" t="n">
        <x:v>0</x:v>
      </x:c>
      <x:c r="T1663" s="26" t="n">
        <x:v>125</x:v>
      </x:c>
      <x:c r="U1663" s="26" t="n">
        <x:v>0</x:v>
      </x:c>
      <x:c r="V1663" s="26" t="n">
        <x:v>0</x:v>
      </x:c>
      <x:c r="W1663" s="26" t="n">
        <x:v>0</x:v>
      </x:c>
      <x:c r="X1663" s="26" t="n">
        <x:v>0</x:v>
      </x:c>
      <x:c r="Y1663" s="26" t="n">
        <x:v>0</x:v>
      </x:c>
      <x:c r="Z1663" s="35" t="str">
        <x:v>Chargeable damage supported by completed inspection</x:v>
      </x:c>
    </x:row>
    <x:row r="1664">
      <x:c r="A1664" s="20" t="str">
        <x:v>FIN-01661</x:v>
      </x:c>
      <x:c r="B1664" s="23" t="n">
        <x:v>46635</x:v>
      </x:c>
      <x:c r="C1664" s="23" t="n">
        <x:v>46635</x:v>
      </x:c>
      <x:c r="D1664" s="20" t="str">
        <x:v>SecurityDepositApplication</x:v>
      </x:c>
      <x:c r="E1664" s="20" t="str">
        <x:v>Deposit applied to tenant balance</x:v>
      </x:c>
      <x:c r="F1664" s="20" t="str">
        <x:v>P008</x:v>
      </x:c>
      <x:c r="G1664" s="20" t="str">
        <x:v>U008</x:v>
      </x:c>
      <x:c r="H1664" s="20" t="str">
        <x:v>L008</x:v>
      </x:c>
      <x:c r="I1664" s="20" t="str">
        <x:v>Yara Brooks</x:v>
      </x:c>
      <x:c r="J1664" s="35" t="str">
        <x:v>Manual disposition</x:v>
      </x:c>
      <x:c r="K1664" s="20" t="str"/>
      <x:c r="L1664" s="20" t="str">
        <x:v>DEP-APPLY-L008</x:v>
      </x:c>
      <x:c r="M1664" s="26" t="n">
        <x:v>125</x:v>
      </x:c>
      <x:c r="N1664" s="26" t="n">
        <x:v>-125</x:v>
      </x:c>
      <x:c r="O1664" s="26" t="n">
        <x:v>125</x:v>
      </x:c>
      <x:c r="P1664" s="26" t="n">
        <x:v>-125</x:v>
      </x:c>
      <x:c r="Q1664" s="26" t="n">
        <x:v>0</x:v>
      </x:c>
      <x:c r="R1664" s="26" t="n">
        <x:v>-125</x:v>
      </x:c>
      <x:c r="S1664" s="26" t="n">
        <x:v>0</x:v>
      </x:c>
      <x:c r="T1664" s="26" t="n">
        <x:v>0</x:v>
      </x:c>
      <x:c r="U1664" s="26" t="n">
        <x:v>0</x:v>
      </x:c>
      <x:c r="V1664" s="26" t="n">
        <x:v>0</x:v>
      </x:c>
      <x:c r="W1664" s="26" t="n">
        <x:v>0</x:v>
      </x:c>
      <x:c r="X1664" s="26" t="n">
        <x:v>0</x:v>
      </x:c>
      <x:c r="Y1664" s="26" t="n">
        <x:v>0</x:v>
      </x:c>
      <x:c r="Z1664" s="35" t="str">
        <x:v>Deposit applied with trust-to-operating cash transfer</x:v>
      </x:c>
    </x:row>
    <x:row r="1665">
      <x:c r="A1665" s="20" t="str">
        <x:v>FIN-01662</x:v>
      </x:c>
      <x:c r="B1665" s="23" t="n">
        <x:v>46635</x:v>
      </x:c>
      <x:c r="C1665" s="23" t="n">
        <x:v>46635</x:v>
      </x:c>
      <x:c r="D1665" s="20" t="str">
        <x:v>SecurityDepositRefund</x:v>
      </x:c>
      <x:c r="E1665" s="20" t="str">
        <x:v>Deposit refund</x:v>
      </x:c>
      <x:c r="F1665" s="20" t="str">
        <x:v>P008</x:v>
      </x:c>
      <x:c r="G1665" s="20" t="str">
        <x:v>U008</x:v>
      </x:c>
      <x:c r="H1665" s="20" t="str">
        <x:v>L008</x:v>
      </x:c>
      <x:c r="I1665" s="20" t="str">
        <x:v>Yara Brooks</x:v>
      </x:c>
      <x:c r="J1665" s="35" t="str">
        <x:v>Manual disposition</x:v>
      </x:c>
      <x:c r="K1665" s="20" t="str"/>
      <x:c r="L1665" s="20" t="str">
        <x:v>DEP-REFUND-L008</x:v>
      </x:c>
      <x:c r="M1665" s="26" t="n">
        <x:v>1525</x:v>
      </x:c>
      <x:c r="N1665" s="26" t="n">
        <x:v>0</x:v>
      </x:c>
      <x:c r="O1665" s="26" t="n">
        <x:v>0</x:v>
      </x:c>
      <x:c r="P1665" s="26" t="n">
        <x:v>-1525</x:v>
      </x:c>
      <x:c r="Q1665" s="26" t="n">
        <x:v>0</x:v>
      </x:c>
      <x:c r="R1665" s="26" t="n">
        <x:v>-1525</x:v>
      </x:c>
      <x:c r="S1665" s="26" t="n">
        <x:v>0</x:v>
      </x:c>
      <x:c r="T1665" s="26" t="n">
        <x:v>0</x:v>
      </x:c>
      <x:c r="U1665" s="26" t="n">
        <x:v>0</x:v>
      </x:c>
      <x:c r="V1665" s="26" t="n">
        <x:v>0</x:v>
      </x:c>
      <x:c r="W1665" s="26" t="n">
        <x:v>0</x:v>
      </x:c>
      <x:c r="X1665" s="26" t="n">
        <x:v>0</x:v>
      </x:c>
      <x:c r="Y1665" s="26" t="n">
        <x:v>0</x:v>
      </x:c>
      <x:c r="Z1665" s="35" t="str">
        <x:v>Refund of remaining security deposit liability</x:v>
      </x:c>
    </x:row>
    <x:row r="1666">
      <x:c r="A1666" s="20" t="str">
        <x:v>FIN-01663</x:v>
      </x:c>
      <x:c r="B1666" s="23" t="n">
        <x:v>46543</x:v>
      </x:c>
      <x:c r="C1666" s="23" t="n">
        <x:v>46538</x:v>
      </x:c>
      <x:c r="D1666" s="20" t="str">
        <x:v>TenantCharge</x:v>
      </x:c>
      <x:c r="E1666" s="20" t="str">
        <x:v>Damage reimbursement</x:v>
      </x:c>
      <x:c r="F1666" s="20" t="str">
        <x:v>P014</x:v>
      </x:c>
      <x:c r="G1666" s="20" t="str">
        <x:v>U014</x:v>
      </x:c>
      <x:c r="H1666" s="20" t="str">
        <x:v>L014</x:v>
      </x:c>
      <x:c r="I1666" s="20" t="str">
        <x:v>Rina King</x:v>
      </x:c>
      <x:c r="J1666" s="35" t="str">
        <x:v>Manual from completed inspection</x:v>
      </x:c>
      <x:c r="K1666" s="20" t="str">
        <x:v>SCN-0940</x:v>
      </x:c>
      <x:c r="L1666" s="20" t="str">
        <x:v>DAMAGE-L014</x:v>
      </x:c>
      <x:c r="M1666" s="26" t="n">
        <x:v>425</x:v>
      </x:c>
      <x:c r="N1666" s="26" t="n">
        <x:v>425</x:v>
      </x:c>
      <x:c r="O1666" s="26" t="n">
        <x:v>0</x:v>
      </x:c>
      <x:c r="P1666" s="26" t="n">
        <x:v>0</x:v>
      </x:c>
      <x:c r="Q1666" s="26" t="n">
        <x:v>0</x:v>
      </x:c>
      <x:c r="R1666" s="26" t="n">
        <x:v>0</x:v>
      </x:c>
      <x:c r="S1666" s="26" t="n">
        <x:v>0</x:v>
      </x:c>
      <x:c r="T1666" s="26" t="n">
        <x:v>425</x:v>
      </x:c>
      <x:c r="U1666" s="26" t="n">
        <x:v>0</x:v>
      </x:c>
      <x:c r="V1666" s="26" t="n">
        <x:v>0</x:v>
      </x:c>
      <x:c r="W1666" s="26" t="n">
        <x:v>0</x:v>
      </x:c>
      <x:c r="X1666" s="26" t="n">
        <x:v>0</x:v>
      </x:c>
      <x:c r="Y1666" s="26" t="n">
        <x:v>0</x:v>
      </x:c>
      <x:c r="Z1666" s="35" t="str">
        <x:v>Chargeable damage supported by completed inspection</x:v>
      </x:c>
    </x:row>
    <x:row r="1667">
      <x:c r="A1667" s="20" t="str">
        <x:v>FIN-01664</x:v>
      </x:c>
      <x:c r="B1667" s="23" t="n">
        <x:v>46543</x:v>
      </x:c>
      <x:c r="C1667" s="23" t="n">
        <x:v>46543</x:v>
      </x:c>
      <x:c r="D1667" s="20" t="str">
        <x:v>SecurityDepositApplication</x:v>
      </x:c>
      <x:c r="E1667" s="20" t="str">
        <x:v>Deposit applied to tenant balance</x:v>
      </x:c>
      <x:c r="F1667" s="20" t="str">
        <x:v>P014</x:v>
      </x:c>
      <x:c r="G1667" s="20" t="str">
        <x:v>U014</x:v>
      </x:c>
      <x:c r="H1667" s="20" t="str">
        <x:v>L014</x:v>
      </x:c>
      <x:c r="I1667" s="20" t="str">
        <x:v>Rina King</x:v>
      </x:c>
      <x:c r="J1667" s="35" t="str">
        <x:v>Manual disposition</x:v>
      </x:c>
      <x:c r="K1667" s="20" t="str"/>
      <x:c r="L1667" s="20" t="str">
        <x:v>DEP-APPLY-L014</x:v>
      </x:c>
      <x:c r="M1667" s="26" t="n">
        <x:v>425</x:v>
      </x:c>
      <x:c r="N1667" s="26" t="n">
        <x:v>-425</x:v>
      </x:c>
      <x:c r="O1667" s="26" t="n">
        <x:v>425</x:v>
      </x:c>
      <x:c r="P1667" s="26" t="n">
        <x:v>-425</x:v>
      </x:c>
      <x:c r="Q1667" s="26" t="n">
        <x:v>0</x:v>
      </x:c>
      <x:c r="R1667" s="26" t="n">
        <x:v>-425</x:v>
      </x:c>
      <x:c r="S1667" s="26" t="n">
        <x:v>0</x:v>
      </x:c>
      <x:c r="T1667" s="26" t="n">
        <x:v>0</x:v>
      </x:c>
      <x:c r="U1667" s="26" t="n">
        <x:v>0</x:v>
      </x:c>
      <x:c r="V1667" s="26" t="n">
        <x:v>0</x:v>
      </x:c>
      <x:c r="W1667" s="26" t="n">
        <x:v>0</x:v>
      </x:c>
      <x:c r="X1667" s="26" t="n">
        <x:v>0</x:v>
      </x:c>
      <x:c r="Y1667" s="26" t="n">
        <x:v>0</x:v>
      </x:c>
      <x:c r="Z1667" s="35" t="str">
        <x:v>Deposit applied with trust-to-operating cash transfer</x:v>
      </x:c>
    </x:row>
    <x:row r="1668">
      <x:c r="A1668" s="20" t="str">
        <x:v>FIN-01665</x:v>
      </x:c>
      <x:c r="B1668" s="23" t="n">
        <x:v>46543</x:v>
      </x:c>
      <x:c r="C1668" s="23" t="n">
        <x:v>46543</x:v>
      </x:c>
      <x:c r="D1668" s="20" t="str">
        <x:v>SecurityDepositRefund</x:v>
      </x:c>
      <x:c r="E1668" s="20" t="str">
        <x:v>Deposit refund</x:v>
      </x:c>
      <x:c r="F1668" s="20" t="str">
        <x:v>P014</x:v>
      </x:c>
      <x:c r="G1668" s="20" t="str">
        <x:v>U014</x:v>
      </x:c>
      <x:c r="H1668" s="20" t="str">
        <x:v>L014</x:v>
      </x:c>
      <x:c r="I1668" s="20" t="str">
        <x:v>Rina King</x:v>
      </x:c>
      <x:c r="J1668" s="35" t="str">
        <x:v>Manual disposition</x:v>
      </x:c>
      <x:c r="K1668" s="20" t="str"/>
      <x:c r="L1668" s="20" t="str">
        <x:v>DEP-REFUND-L014</x:v>
      </x:c>
      <x:c r="M1668" s="26" t="n">
        <x:v>775</x:v>
      </x:c>
      <x:c r="N1668" s="26" t="n">
        <x:v>0</x:v>
      </x:c>
      <x:c r="O1668" s="26" t="n">
        <x:v>0</x:v>
      </x:c>
      <x:c r="P1668" s="26" t="n">
        <x:v>-775</x:v>
      </x:c>
      <x:c r="Q1668" s="26" t="n">
        <x:v>0</x:v>
      </x:c>
      <x:c r="R1668" s="26" t="n">
        <x:v>-775</x:v>
      </x:c>
      <x:c r="S1668" s="26" t="n">
        <x:v>0</x:v>
      </x:c>
      <x:c r="T1668" s="26" t="n">
        <x:v>0</x:v>
      </x:c>
      <x:c r="U1668" s="26" t="n">
        <x:v>0</x:v>
      </x:c>
      <x:c r="V1668" s="26" t="n">
        <x:v>0</x:v>
      </x:c>
      <x:c r="W1668" s="26" t="n">
        <x:v>0</x:v>
      </x:c>
      <x:c r="X1668" s="26" t="n">
        <x:v>0</x:v>
      </x:c>
      <x:c r="Y1668" s="26" t="n">
        <x:v>0</x:v>
      </x:c>
      <x:c r="Z1668" s="35" t="str">
        <x:v>Refund of remaining security deposit liability</x:v>
      </x:c>
    </x:row>
    <x:row r="1669">
      <x:c r="A1669" s="20" t="str">
        <x:v>FIN-01666</x:v>
      </x:c>
      <x:c r="B1669" s="23" t="n">
        <x:v>46563</x:v>
      </x:c>
      <x:c r="C1669" s="23" t="n">
        <x:v>46558</x:v>
      </x:c>
      <x:c r="D1669" s="20" t="str">
        <x:v>TenantCharge</x:v>
      </x:c>
      <x:c r="E1669" s="20" t="str">
        <x:v>Damage reimbursement</x:v>
      </x:c>
      <x:c r="F1669" s="20" t="str">
        <x:v>P017</x:v>
      </x:c>
      <x:c r="G1669" s="20" t="str">
        <x:v>U017</x:v>
      </x:c>
      <x:c r="H1669" s="20" t="str">
        <x:v>L017</x:v>
      </x:c>
      <x:c r="I1669" s="20" t="str">
        <x:v>Dana Garcia</x:v>
      </x:c>
      <x:c r="J1669" s="35" t="str">
        <x:v>Manual from completed inspection</x:v>
      </x:c>
      <x:c r="K1669" s="20" t="str">
        <x:v>SCN-0942</x:v>
      </x:c>
      <x:c r="L1669" s="20" t="str">
        <x:v>DAMAGE-L017</x:v>
      </x:c>
      <x:c r="M1669" s="26" t="n">
        <x:v>650</x:v>
      </x:c>
      <x:c r="N1669" s="26" t="n">
        <x:v>650</x:v>
      </x:c>
      <x:c r="O1669" s="26" t="n">
        <x:v>0</x:v>
      </x:c>
      <x:c r="P1669" s="26" t="n">
        <x:v>0</x:v>
      </x:c>
      <x:c r="Q1669" s="26" t="n">
        <x:v>0</x:v>
      </x:c>
      <x:c r="R1669" s="26" t="n">
        <x:v>0</x:v>
      </x:c>
      <x:c r="S1669" s="26" t="n">
        <x:v>0</x:v>
      </x:c>
      <x:c r="T1669" s="26" t="n">
        <x:v>650</x:v>
      </x:c>
      <x:c r="U1669" s="26" t="n">
        <x:v>0</x:v>
      </x:c>
      <x:c r="V1669" s="26" t="n">
        <x:v>0</x:v>
      </x:c>
      <x:c r="W1669" s="26" t="n">
        <x:v>0</x:v>
      </x:c>
      <x:c r="X1669" s="26" t="n">
        <x:v>0</x:v>
      </x:c>
      <x:c r="Y1669" s="26" t="n">
        <x:v>0</x:v>
      </x:c>
      <x:c r="Z1669" s="35" t="str">
        <x:v>Chargeable damage supported by completed inspection</x:v>
      </x:c>
    </x:row>
    <x:row r="1670">
      <x:c r="A1670" s="20" t="str">
        <x:v>FIN-01667</x:v>
      </x:c>
      <x:c r="B1670" s="23" t="n">
        <x:v>46563</x:v>
      </x:c>
      <x:c r="C1670" s="23" t="n">
        <x:v>46563</x:v>
      </x:c>
      <x:c r="D1670" s="20" t="str">
        <x:v>SecurityDepositApplication</x:v>
      </x:c>
      <x:c r="E1670" s="20" t="str">
        <x:v>Deposit applied to tenant balance</x:v>
      </x:c>
      <x:c r="F1670" s="20" t="str">
        <x:v>P017</x:v>
      </x:c>
      <x:c r="G1670" s="20" t="str">
        <x:v>U017</x:v>
      </x:c>
      <x:c r="H1670" s="20" t="str">
        <x:v>L017</x:v>
      </x:c>
      <x:c r="I1670" s="20" t="str">
        <x:v>Dana Garcia</x:v>
      </x:c>
      <x:c r="J1670" s="35" t="str">
        <x:v>Manual disposition</x:v>
      </x:c>
      <x:c r="K1670" s="20" t="str"/>
      <x:c r="L1670" s="20" t="str">
        <x:v>DEP-APPLY-L017</x:v>
      </x:c>
      <x:c r="M1670" s="26" t="n">
        <x:v>1875</x:v>
      </x:c>
      <x:c r="N1670" s="26" t="n">
        <x:v>-1875</x:v>
      </x:c>
      <x:c r="O1670" s="26" t="n">
        <x:v>1875</x:v>
      </x:c>
      <x:c r="P1670" s="26" t="n">
        <x:v>-1875</x:v>
      </x:c>
      <x:c r="Q1670" s="26" t="n">
        <x:v>0</x:v>
      </x:c>
      <x:c r="R1670" s="26" t="n">
        <x:v>-1875</x:v>
      </x:c>
      <x:c r="S1670" s="26" t="n">
        <x:v>0</x:v>
      </x:c>
      <x:c r="T1670" s="26" t="n">
        <x:v>0</x:v>
      </x:c>
      <x:c r="U1670" s="26" t="n">
        <x:v>0</x:v>
      </x:c>
      <x:c r="V1670" s="26" t="n">
        <x:v>0</x:v>
      </x:c>
      <x:c r="W1670" s="26" t="n">
        <x:v>0</x:v>
      </x:c>
      <x:c r="X1670" s="26" t="n">
        <x:v>0</x:v>
      </x:c>
      <x:c r="Y1670" s="26" t="n">
        <x:v>0</x:v>
      </x:c>
      <x:c r="Z1670" s="35" t="str">
        <x:v>Deposit applied with trust-to-operating cash transfer</x:v>
      </x:c>
    </x:row>
    <x:row r="1671">
      <x:c r="A1671" s="20" t="str">
        <x:v>FIN-01668</x:v>
      </x:c>
      <x:c r="B1671" s="23" t="n">
        <x:v>46635</x:v>
      </x:c>
      <x:c r="C1671" s="23" t="n">
        <x:v>46630</x:v>
      </x:c>
      <x:c r="D1671" s="20" t="str">
        <x:v>TenantCharge</x:v>
      </x:c>
      <x:c r="E1671" s="20" t="str">
        <x:v>Damage reimbursement</x:v>
      </x:c>
      <x:c r="F1671" s="20" t="str">
        <x:v>P021</x:v>
      </x:c>
      <x:c r="G1671" s="20" t="str">
        <x:v>U022</x:v>
      </x:c>
      <x:c r="H1671" s="20" t="str">
        <x:v>L022</x:v>
      </x:c>
      <x:c r="I1671" s="20" t="str">
        <x:v>Sage King</x:v>
      </x:c>
      <x:c r="J1671" s="35" t="str">
        <x:v>Manual from completed inspection</x:v>
      </x:c>
      <x:c r="K1671" s="20" t="str">
        <x:v>SCN-0944</x:v>
      </x:c>
      <x:c r="L1671" s="20" t="str">
        <x:v>DAMAGE-L022</x:v>
      </x:c>
      <x:c r="M1671" s="26" t="n">
        <x:v>200</x:v>
      </x:c>
      <x:c r="N1671" s="26" t="n">
        <x:v>200</x:v>
      </x:c>
      <x:c r="O1671" s="26" t="n">
        <x:v>0</x:v>
      </x:c>
      <x:c r="P1671" s="26" t="n">
        <x:v>0</x:v>
      </x:c>
      <x:c r="Q1671" s="26" t="n">
        <x:v>0</x:v>
      </x:c>
      <x:c r="R1671" s="26" t="n">
        <x:v>0</x:v>
      </x:c>
      <x:c r="S1671" s="26" t="n">
        <x:v>0</x:v>
      </x:c>
      <x:c r="T1671" s="26" t="n">
        <x:v>200</x:v>
      </x:c>
      <x:c r="U1671" s="26" t="n">
        <x:v>0</x:v>
      </x:c>
      <x:c r="V1671" s="26" t="n">
        <x:v>0</x:v>
      </x:c>
      <x:c r="W1671" s="26" t="n">
        <x:v>0</x:v>
      </x:c>
      <x:c r="X1671" s="26" t="n">
        <x:v>0</x:v>
      </x:c>
      <x:c r="Y1671" s="26" t="n">
        <x:v>0</x:v>
      </x:c>
      <x:c r="Z1671" s="35" t="str">
        <x:v>Chargeable damage supported by completed inspection</x:v>
      </x:c>
    </x:row>
    <x:row r="1672">
      <x:c r="A1672" s="20" t="str">
        <x:v>FIN-01669</x:v>
      </x:c>
      <x:c r="B1672" s="23" t="n">
        <x:v>46635</x:v>
      </x:c>
      <x:c r="C1672" s="23" t="n">
        <x:v>46635</x:v>
      </x:c>
      <x:c r="D1672" s="20" t="str">
        <x:v>SecurityDepositApplication</x:v>
      </x:c>
      <x:c r="E1672" s="20" t="str">
        <x:v>Deposit applied to tenant balance</x:v>
      </x:c>
      <x:c r="F1672" s="20" t="str">
        <x:v>P021</x:v>
      </x:c>
      <x:c r="G1672" s="20" t="str">
        <x:v>U022</x:v>
      </x:c>
      <x:c r="H1672" s="20" t="str">
        <x:v>L022</x:v>
      </x:c>
      <x:c r="I1672" s="20" t="str">
        <x:v>Sage King</x:v>
      </x:c>
      <x:c r="J1672" s="35" t="str">
        <x:v>Manual disposition</x:v>
      </x:c>
      <x:c r="K1672" s="20" t="str"/>
      <x:c r="L1672" s="20" t="str">
        <x:v>DEP-APPLY-L022</x:v>
      </x:c>
      <x:c r="M1672" s="26" t="n">
        <x:v>200</x:v>
      </x:c>
      <x:c r="N1672" s="26" t="n">
        <x:v>-200</x:v>
      </x:c>
      <x:c r="O1672" s="26" t="n">
        <x:v>200</x:v>
      </x:c>
      <x:c r="P1672" s="26" t="n">
        <x:v>-200</x:v>
      </x:c>
      <x:c r="Q1672" s="26" t="n">
        <x:v>0</x:v>
      </x:c>
      <x:c r="R1672" s="26" t="n">
        <x:v>-200</x:v>
      </x:c>
      <x:c r="S1672" s="26" t="n">
        <x:v>0</x:v>
      </x:c>
      <x:c r="T1672" s="26" t="n">
        <x:v>0</x:v>
      </x:c>
      <x:c r="U1672" s="26" t="n">
        <x:v>0</x:v>
      </x:c>
      <x:c r="V1672" s="26" t="n">
        <x:v>0</x:v>
      </x:c>
      <x:c r="W1672" s="26" t="n">
        <x:v>0</x:v>
      </x:c>
      <x:c r="X1672" s="26" t="n">
        <x:v>0</x:v>
      </x:c>
      <x:c r="Y1672" s="26" t="n">
        <x:v>0</x:v>
      </x:c>
      <x:c r="Z1672" s="35" t="str">
        <x:v>Deposit applied with trust-to-operating cash transfer</x:v>
      </x:c>
    </x:row>
    <x:row r="1673">
      <x:c r="A1673" s="20" t="str">
        <x:v>FIN-01670</x:v>
      </x:c>
      <x:c r="B1673" s="23" t="n">
        <x:v>46635</x:v>
      </x:c>
      <x:c r="C1673" s="23" t="n">
        <x:v>46635</x:v>
      </x:c>
      <x:c r="D1673" s="20" t="str">
        <x:v>SecurityDepositRefund</x:v>
      </x:c>
      <x:c r="E1673" s="20" t="str">
        <x:v>Deposit refund</x:v>
      </x:c>
      <x:c r="F1673" s="20" t="str">
        <x:v>P021</x:v>
      </x:c>
      <x:c r="G1673" s="20" t="str">
        <x:v>U022</x:v>
      </x:c>
      <x:c r="H1673" s="20" t="str">
        <x:v>L022</x:v>
      </x:c>
      <x:c r="I1673" s="20" t="str">
        <x:v>Sage King</x:v>
      </x:c>
      <x:c r="J1673" s="35" t="str">
        <x:v>Manual disposition</x:v>
      </x:c>
      <x:c r="K1673" s="20" t="str"/>
      <x:c r="L1673" s="20" t="str">
        <x:v>DEP-REFUND-L022</x:v>
      </x:c>
      <x:c r="M1673" s="26" t="n">
        <x:v>1700</x:v>
      </x:c>
      <x:c r="N1673" s="26" t="n">
        <x:v>0</x:v>
      </x:c>
      <x:c r="O1673" s="26" t="n">
        <x:v>0</x:v>
      </x:c>
      <x:c r="P1673" s="26" t="n">
        <x:v>-1700</x:v>
      </x:c>
      <x:c r="Q1673" s="26" t="n">
        <x:v>0</x:v>
      </x:c>
      <x:c r="R1673" s="26" t="n">
        <x:v>-1700</x:v>
      </x:c>
      <x:c r="S1673" s="26" t="n">
        <x:v>0</x:v>
      </x:c>
      <x:c r="T1673" s="26" t="n">
        <x:v>0</x:v>
      </x:c>
      <x:c r="U1673" s="26" t="n">
        <x:v>0</x:v>
      </x:c>
      <x:c r="V1673" s="26" t="n">
        <x:v>0</x:v>
      </x:c>
      <x:c r="W1673" s="26" t="n">
        <x:v>0</x:v>
      </x:c>
      <x:c r="X1673" s="26" t="n">
        <x:v>0</x:v>
      </x:c>
      <x:c r="Y1673" s="26" t="n">
        <x:v>0</x:v>
      </x:c>
      <x:c r="Z1673" s="35" t="str">
        <x:v>Refund of remaining security deposit liability</x:v>
      </x:c>
    </x:row>
    <x:row r="1674">
      <x:c r="A1674" s="20" t="str">
        <x:v>FIN-01671</x:v>
      </x:c>
      <x:c r="B1674" s="23" t="n">
        <x:v>46726</x:v>
      </x:c>
      <x:c r="C1674" s="23" t="n">
        <x:v>46721</x:v>
      </x:c>
      <x:c r="D1674" s="20" t="str">
        <x:v>TenantCharge</x:v>
      </x:c>
      <x:c r="E1674" s="20" t="str">
        <x:v>Damage reimbursement</x:v>
      </x:c>
      <x:c r="F1674" s="20" t="str">
        <x:v>P027</x:v>
      </x:c>
      <x:c r="G1674" s="20" t="str">
        <x:v>U034</x:v>
      </x:c>
      <x:c r="H1674" s="20" t="str">
        <x:v>L034</x:v>
      </x:c>
      <x:c r="I1674" s="20" t="str">
        <x:v>Gray Lewis</x:v>
      </x:c>
      <x:c r="J1674" s="35" t="str">
        <x:v>Manual from completed inspection</x:v>
      </x:c>
      <x:c r="K1674" s="20" t="str">
        <x:v>SCN-0946</x:v>
      </x:c>
      <x:c r="L1674" s="20" t="str">
        <x:v>DAMAGE-L034</x:v>
      </x:c>
      <x:c r="M1674" s="26" t="n">
        <x:v>310</x:v>
      </x:c>
      <x:c r="N1674" s="26" t="n">
        <x:v>310</x:v>
      </x:c>
      <x:c r="O1674" s="26" t="n">
        <x:v>0</x:v>
      </x:c>
      <x:c r="P1674" s="26" t="n">
        <x:v>0</x:v>
      </x:c>
      <x:c r="Q1674" s="26" t="n">
        <x:v>0</x:v>
      </x:c>
      <x:c r="R1674" s="26" t="n">
        <x:v>0</x:v>
      </x:c>
      <x:c r="S1674" s="26" t="n">
        <x:v>0</x:v>
      </x:c>
      <x:c r="T1674" s="26" t="n">
        <x:v>310</x:v>
      </x:c>
      <x:c r="U1674" s="26" t="n">
        <x:v>0</x:v>
      </x:c>
      <x:c r="V1674" s="26" t="n">
        <x:v>0</x:v>
      </x:c>
      <x:c r="W1674" s="26" t="n">
        <x:v>0</x:v>
      </x:c>
      <x:c r="X1674" s="26" t="n">
        <x:v>0</x:v>
      </x:c>
      <x:c r="Y1674" s="26" t="n">
        <x:v>0</x:v>
      </x:c>
      <x:c r="Z1674" s="35" t="str">
        <x:v>Chargeable damage supported by completed inspection</x:v>
      </x:c>
    </x:row>
    <x:row r="1675">
      <x:c r="A1675" s="20" t="str">
        <x:v>FIN-01672</x:v>
      </x:c>
      <x:c r="B1675" s="23" t="n">
        <x:v>46726</x:v>
      </x:c>
      <x:c r="C1675" s="23" t="n">
        <x:v>46726</x:v>
      </x:c>
      <x:c r="D1675" s="20" t="str">
        <x:v>SecurityDepositApplication</x:v>
      </x:c>
      <x:c r="E1675" s="20" t="str">
        <x:v>Deposit applied to tenant balance</x:v>
      </x:c>
      <x:c r="F1675" s="20" t="str">
        <x:v>P027</x:v>
      </x:c>
      <x:c r="G1675" s="20" t="str">
        <x:v>U034</x:v>
      </x:c>
      <x:c r="H1675" s="20" t="str">
        <x:v>L034</x:v>
      </x:c>
      <x:c r="I1675" s="20" t="str">
        <x:v>Gray Lewis</x:v>
      </x:c>
      <x:c r="J1675" s="35" t="str">
        <x:v>Manual disposition</x:v>
      </x:c>
      <x:c r="K1675" s="20" t="str"/>
      <x:c r="L1675" s="20" t="str">
        <x:v>DEP-APPLY-L034</x:v>
      </x:c>
      <x:c r="M1675" s="26" t="n">
        <x:v>310</x:v>
      </x:c>
      <x:c r="N1675" s="26" t="n">
        <x:v>-310</x:v>
      </x:c>
      <x:c r="O1675" s="26" t="n">
        <x:v>310</x:v>
      </x:c>
      <x:c r="P1675" s="26" t="n">
        <x:v>-310</x:v>
      </x:c>
      <x:c r="Q1675" s="26" t="n">
        <x:v>0</x:v>
      </x:c>
      <x:c r="R1675" s="26" t="n">
        <x:v>-310</x:v>
      </x:c>
      <x:c r="S1675" s="26" t="n">
        <x:v>0</x:v>
      </x:c>
      <x:c r="T1675" s="26" t="n">
        <x:v>0</x:v>
      </x:c>
      <x:c r="U1675" s="26" t="n">
        <x:v>0</x:v>
      </x:c>
      <x:c r="V1675" s="26" t="n">
        <x:v>0</x:v>
      </x:c>
      <x:c r="W1675" s="26" t="n">
        <x:v>0</x:v>
      </x:c>
      <x:c r="X1675" s="26" t="n">
        <x:v>0</x:v>
      </x:c>
      <x:c r="Y1675" s="26" t="n">
        <x:v>0</x:v>
      </x:c>
      <x:c r="Z1675" s="35" t="str">
        <x:v>Deposit applied with trust-to-operating cash transfer</x:v>
      </x:c>
    </x:row>
    <x:row r="1676">
      <x:c r="A1676" s="20" t="str">
        <x:v>FIN-01673</x:v>
      </x:c>
      <x:c r="B1676" s="23" t="n">
        <x:v>46726</x:v>
      </x:c>
      <x:c r="C1676" s="23" t="n">
        <x:v>46726</x:v>
      </x:c>
      <x:c r="D1676" s="20" t="str">
        <x:v>SecurityDepositRefund</x:v>
      </x:c>
      <x:c r="E1676" s="20" t="str">
        <x:v>Deposit refund</x:v>
      </x:c>
      <x:c r="F1676" s="20" t="str">
        <x:v>P027</x:v>
      </x:c>
      <x:c r="G1676" s="20" t="str">
        <x:v>U034</x:v>
      </x:c>
      <x:c r="H1676" s="20" t="str">
        <x:v>L034</x:v>
      </x:c>
      <x:c r="I1676" s="20" t="str">
        <x:v>Gray Lewis</x:v>
      </x:c>
      <x:c r="J1676" s="35" t="str">
        <x:v>Manual disposition</x:v>
      </x:c>
      <x:c r="K1676" s="20" t="str"/>
      <x:c r="L1676" s="20" t="str">
        <x:v>DEP-REFUND-L034</x:v>
      </x:c>
      <x:c r="M1676" s="26" t="n">
        <x:v>1590</x:v>
      </x:c>
      <x:c r="N1676" s="26" t="n">
        <x:v>0</x:v>
      </x:c>
      <x:c r="O1676" s="26" t="n">
        <x:v>0</x:v>
      </x:c>
      <x:c r="P1676" s="26" t="n">
        <x:v>-1590</x:v>
      </x:c>
      <x:c r="Q1676" s="26" t="n">
        <x:v>0</x:v>
      </x:c>
      <x:c r="R1676" s="26" t="n">
        <x:v>-1590</x:v>
      </x:c>
      <x:c r="S1676" s="26" t="n">
        <x:v>0</x:v>
      </x:c>
      <x:c r="T1676" s="26" t="n">
        <x:v>0</x:v>
      </x:c>
      <x:c r="U1676" s="26" t="n">
        <x:v>0</x:v>
      </x:c>
      <x:c r="V1676" s="26" t="n">
        <x:v>0</x:v>
      </x:c>
      <x:c r="W1676" s="26" t="n">
        <x:v>0</x:v>
      </x:c>
      <x:c r="X1676" s="26" t="n">
        <x:v>0</x:v>
      </x:c>
      <x:c r="Y1676" s="26" t="n">
        <x:v>0</x:v>
      </x:c>
      <x:c r="Z1676" s="35" t="str">
        <x:v>Refund of remaining security deposit liability</x:v>
      </x:c>
    </x:row>
    <x:row r="1677">
      <x:c r="A1677" s="20" t="str">
        <x:v>FIN-01674</x:v>
      </x:c>
      <x:c r="B1677" s="23" t="n">
        <x:v>46556</x:v>
      </x:c>
      <x:c r="C1677" s="23" t="n">
        <x:v>46556</x:v>
      </x:c>
      <x:c r="D1677" s="20" t="str">
        <x:v>OperatingExpense</x:v>
      </x:c>
      <x:c r="E1677" s="20" t="str">
        <x:v>Legal</x:v>
      </x:c>
      <x:c r="F1677" s="20" t="str">
        <x:v>P017</x:v>
      </x:c>
      <x:c r="G1677" s="20" t="str">
        <x:v>U017</x:v>
      </x:c>
      <x:c r="H1677" s="20" t="str"/>
      <x:c r="I1677" s="20" t="str">
        <x:v>Buckeye Legal Services</x:v>
      </x:c>
      <x:c r="J1677" s="35" t="str">
        <x:v>Scanned receipt/invoice</x:v>
      </x:c>
      <x:c r="K1677" s="20" t="str">
        <x:v>SCN-0951</x:v>
      </x:c>
      <x:c r="L1677" s="20" t="str">
        <x:v>EXP-20270618-4017</x:v>
      </x:c>
      <x:c r="M1677" s="26" t="n">
        <x:v>900</x:v>
      </x:c>
      <x:c r="N1677" s="26" t="n">
        <x:v>0</x:v>
      </x:c>
      <x:c r="O1677" s="26" t="n">
        <x:v>-900</x:v>
      </x:c>
      <x:c r="P1677" s="26" t="n">
        <x:v>0</x:v>
      </x:c>
      <x:c r="Q1677" s="26" t="n">
        <x:v>0</x:v>
      </x:c>
      <x:c r="R1677" s="26" t="n">
        <x:v>0</x:v>
      </x:c>
      <x:c r="S1677" s="26" t="n">
        <x:v>0</x:v>
      </x:c>
      <x:c r="T1677" s="26" t="n">
        <x:v>0</x:v>
      </x:c>
      <x:c r="U1677" s="26" t="n">
        <x:v>900</x:v>
      </x:c>
      <x:c r="V1677" s="26" t="n">
        <x:v>0</x:v>
      </x:c>
      <x:c r="W1677" s="26" t="n">
        <x:v>0</x:v>
      </x:c>
      <x:c r="X1677" s="26" t="n">
        <x:v>0</x:v>
      </x:c>
      <x:c r="Y1677" s="26" t="n">
        <x:v>0</x:v>
      </x:c>
      <x:c r="Z1677" s="35" t="str">
        <x:v>Buckeye Legal Services; EVICT-L017</x:v>
      </x:c>
    </x:row>
    <x:row r="1678">
      <x:c r="A1678" s="20" t="str">
        <x:v>FIN-01675</x:v>
      </x:c>
      <x:c r="B1678" s="23" t="n">
        <x:v>46525</x:v>
      </x:c>
      <x:c r="C1678" s="23" t="n">
        <x:v>46525</x:v>
      </x:c>
      <x:c r="D1678" s="20" t="str">
        <x:v>CapitalAssetPurchase</x:v>
      </x:c>
      <x:c r="E1678" s="20" t="str">
        <x:v>Building improvement</x:v>
      </x:c>
      <x:c r="F1678" s="20" t="str">
        <x:v>P012</x:v>
      </x:c>
      <x:c r="G1678" s="20" t="str">
        <x:v>U012</x:v>
      </x:c>
      <x:c r="H1678" s="20" t="str"/>
      <x:c r="I1678" s="20" t="str">
        <x:v>ComfortZone HVAC</x:v>
      </x:c>
      <x:c r="J1678" s="35" t="str">
        <x:v>Scanned invoice + manual capitalization</x:v>
      </x:c>
      <x:c r="K1678" s="20" t="str">
        <x:v>SCN-0952</x:v>
      </x:c>
      <x:c r="L1678" s="20" t="str">
        <x:v>CAP-2027-001</x:v>
      </x:c>
      <x:c r="M1678" s="26" t="n">
        <x:v>6200</x:v>
      </x:c>
      <x:c r="N1678" s="26" t="n">
        <x:v>0</x:v>
      </x:c>
      <x:c r="O1678" s="26" t="n">
        <x:v>-6200</x:v>
      </x:c>
      <x:c r="P1678" s="26" t="n">
        <x:v>0</x:v>
      </x:c>
      <x:c r="Q1678" s="26" t="n">
        <x:v>0</x:v>
      </x:c>
      <x:c r="R1678" s="26" t="n">
        <x:v>0</x:v>
      </x:c>
      <x:c r="S1678" s="26" t="n">
        <x:v>0</x:v>
      </x:c>
      <x:c r="T1678" s="26" t="n">
        <x:v>0</x:v>
      </x:c>
      <x:c r="U1678" s="26" t="n">
        <x:v>0</x:v>
      </x:c>
      <x:c r="V1678" s="26" t="n">
        <x:v>0</x:v>
      </x:c>
      <x:c r="W1678" s="26" t="n">
        <x:v>0</x:v>
      </x:c>
      <x:c r="X1678" s="26" t="n">
        <x:v>6200</x:v>
      </x:c>
      <x:c r="Y1678" s="26" t="n">
        <x:v>0</x:v>
      </x:c>
      <x:c r="Z1678" s="35" t="str">
        <x:v>Water-heater system placed in service; 27.5-year residential recovery class</x:v>
      </x:c>
    </x:row>
    <x:row r="1679">
      <x:c r="A1679" s="20" t="str">
        <x:v>FIN-01676</x:v>
      </x:c>
      <x:c r="B1679" s="23" t="n">
        <x:v>46706</x:v>
      </x:c>
      <x:c r="C1679" s="23" t="n">
        <x:v>46706</x:v>
      </x:c>
      <x:c r="D1679" s="20" t="str">
        <x:v>PropertyDisposition</x:v>
      </x:c>
      <x:c r="E1679" s="20" t="str">
        <x:v>Property sale</x:v>
      </x:c>
      <x:c r="F1679" s="20" t="str">
        <x:v>P003</x:v>
      </x:c>
      <x:c r="G1679" s="20" t="str"/>
      <x:c r="H1679" s="20" t="str"/>
      <x:c r="I1679" s="20" t="str">
        <x:v>Synthetic Buyer LLC</x:v>
      </x:c>
      <x:c r="J1679" s="35" t="str">
        <x:v>Scanned closing packet + manual disposition</x:v>
      </x:c>
      <x:c r="K1679" s="20" t="str">
        <x:v>SCN-0953</x:v>
      </x:c>
      <x:c r="L1679" s="20" t="str">
        <x:v>SALE-P003-20271115</x:v>
      </x:c>
      <x:c r="M1679" s="26" t="n">
        <x:v>265000</x:v>
      </x:c>
      <x:c r="N1679" s="26" t="n">
        <x:v>0</x:v>
      </x:c>
      <x:c r="O1679" s="26" t="n">
        <x:v>249100</x:v>
      </x:c>
      <x:c r="P1679" s="26" t="n">
        <x:v>0</x:v>
      </x:c>
      <x:c r="Q1679" s="26" t="n">
        <x:v>0</x:v>
      </x:c>
      <x:c r="R1679" s="26" t="n">
        <x:v>0</x:v>
      </x:c>
      <x:c r="S1679" s="26" t="n">
        <x:v>0</x:v>
      </x:c>
      <x:c r="T1679" s="26" t="n">
        <x:v>70750</x:v>
      </x:c>
      <x:c r="U1679" s="26" t="n">
        <x:v>15900</x:v>
      </x:c>
      <x:c r="V1679" s="26" t="n">
        <x:v>0</x:v>
      </x:c>
      <x:c r="W1679" s="26" t="n">
        <x:v>0</x:v>
      </x:c>
      <x:c r="X1679" s="26" t="n">
        <x:v>-194250</x:v>
      </x:c>
      <x:c r="Y1679" s="26" t="n">
        <x:v>0</x:v>
      </x:c>
      <x:c r="Z1679" s="35" t="str">
        <x:v>Synthetic property disposition; gain is simplified book gain for reconciliation</x:v>
      </x:c>
    </x:row>
    <x:row r="1680">
      <x:c r="A1680" s="20" t="str">
        <x:v>FIN-01677</x:v>
      </x:c>
      <x:c r="B1680" s="23" t="n">
        <x:v>46752</x:v>
      </x:c>
      <x:c r="C1680" s="23" t="n">
        <x:v>46752</x:v>
      </x:c>
      <x:c r="D1680" s="20" t="str">
        <x:v>Depreciation</x:v>
      </x:c>
      <x:c r="E1680" s="20" t="str">
        <x:v>Residential rental depreciation</x:v>
      </x:c>
      <x:c r="F1680" s="20" t="str">
        <x:v>P001</x:v>
      </x:c>
      <x:c r="G1680" s="20" t="str"/>
      <x:c r="H1680" s="20" t="str"/>
      <x:c r="I1680" s="20" t="str">
        <x:v>System calculation</x:v>
      </x:c>
      <x:c r="J1680" s="35" t="str">
        <x:v>System DB-side report</x:v>
      </x:c>
      <x:c r="K1680" s="20" t="str"/>
      <x:c r="L1680" s="20" t="str">
        <x:v>DEPR-P001-2027</x:v>
      </x:c>
      <x:c r="M1680" s="26" t="n">
        <x:v>5229.09</x:v>
      </x:c>
      <x:c r="N1680" s="26" t="n">
        <x:v>0</x:v>
      </x:c>
      <x:c r="O1680" s="26" t="n">
        <x:v>0</x:v>
      </x:c>
      <x:c r="P1680" s="26" t="n">
        <x:v>0</x:v>
      </x:c>
      <x:c r="Q1680" s="26" t="n">
        <x:v>0</x:v>
      </x:c>
      <x:c r="R1680" s="26" t="n">
        <x:v>0</x:v>
      </x:c>
      <x:c r="S1680" s="26" t="n">
        <x:v>0</x:v>
      </x:c>
      <x:c r="T1680" s="26" t="n">
        <x:v>0</x:v>
      </x:c>
      <x:c r="U1680" s="26" t="n">
        <x:v>5229.09</x:v>
      </x:c>
      <x:c r="V1680" s="26" t="n">
        <x:v>0</x:v>
      </x:c>
      <x:c r="W1680" s="26" t="n">
        <x:v>0</x:v>
      </x:c>
      <x:c r="X1680" s="26" t="n">
        <x:v>0</x:v>
      </x:c>
      <x:c r="Y1680" s="26" t="n">
        <x:v>5229.09</x:v>
      </x:c>
      <x:c r="Z1680" s="35" t="str">
        <x:v>Independent straight-line control; final system comparison must use configured recovery rules</x:v>
      </x:c>
    </x:row>
    <x:row r="1681">
      <x:c r="A1681" s="20" t="str">
        <x:v>FIN-01678</x:v>
      </x:c>
      <x:c r="B1681" s="23" t="n">
        <x:v>46752</x:v>
      </x:c>
      <x:c r="C1681" s="23" t="n">
        <x:v>46752</x:v>
      </x:c>
      <x:c r="D1681" s="20" t="str">
        <x:v>Depreciation</x:v>
      </x:c>
      <x:c r="E1681" s="20" t="str">
        <x:v>Residential rental depreciation</x:v>
      </x:c>
      <x:c r="F1681" s="20" t="str">
        <x:v>P002</x:v>
      </x:c>
      <x:c r="G1681" s="20" t="str"/>
      <x:c r="H1681" s="20" t="str"/>
      <x:c r="I1681" s="20" t="str">
        <x:v>System calculation</x:v>
      </x:c>
      <x:c r="J1681" s="35" t="str">
        <x:v>System DB-side report</x:v>
      </x:c>
      <x:c r="K1681" s="20" t="str"/>
      <x:c r="L1681" s="20" t="str">
        <x:v>DEPR-P002-2027</x:v>
      </x:c>
      <x:c r="M1681" s="26" t="n">
        <x:v>5440</x:v>
      </x:c>
      <x:c r="N1681" s="26" t="n">
        <x:v>0</x:v>
      </x:c>
      <x:c r="O1681" s="26" t="n">
        <x:v>0</x:v>
      </x:c>
      <x:c r="P1681" s="26" t="n">
        <x:v>0</x:v>
      </x:c>
      <x:c r="Q1681" s="26" t="n">
        <x:v>0</x:v>
      </x:c>
      <x:c r="R1681" s="26" t="n">
        <x:v>0</x:v>
      </x:c>
      <x:c r="S1681" s="26" t="n">
        <x:v>0</x:v>
      </x:c>
      <x:c r="T1681" s="26" t="n">
        <x:v>0</x:v>
      </x:c>
      <x:c r="U1681" s="26" t="n">
        <x:v>5440</x:v>
      </x:c>
      <x:c r="V1681" s="26" t="n">
        <x:v>0</x:v>
      </x:c>
      <x:c r="W1681" s="26" t="n">
        <x:v>0</x:v>
      </x:c>
      <x:c r="X1681" s="26" t="n">
        <x:v>0</x:v>
      </x:c>
      <x:c r="Y1681" s="26" t="n">
        <x:v>5440</x:v>
      </x:c>
      <x:c r="Z1681" s="35" t="str">
        <x:v>Independent straight-line control; final system comparison must use configured recovery rules</x:v>
      </x:c>
    </x:row>
    <x:row r="1682">
      <x:c r="A1682" s="20" t="str">
        <x:v>FIN-01679</x:v>
      </x:c>
      <x:c r="B1682" s="23" t="n">
        <x:v>46752</x:v>
      </x:c>
      <x:c r="C1682" s="23" t="n">
        <x:v>46752</x:v>
      </x:c>
      <x:c r="D1682" s="20" t="str">
        <x:v>Depreciation</x:v>
      </x:c>
      <x:c r="E1682" s="20" t="str">
        <x:v>Residential rental depreciation</x:v>
      </x:c>
      <x:c r="F1682" s="20" t="str">
        <x:v>P003</x:v>
      </x:c>
      <x:c r="G1682" s="20" t="str"/>
      <x:c r="H1682" s="20" t="str"/>
      <x:c r="I1682" s="20" t="str">
        <x:v>System calculation</x:v>
      </x:c>
      <x:c r="J1682" s="35" t="str">
        <x:v>System DB-side report</x:v>
      </x:c>
      <x:c r="K1682" s="20" t="str"/>
      <x:c r="L1682" s="20" t="str">
        <x:v>DEPR-P003-2027</x:v>
      </x:c>
      <x:c r="M1682" s="26" t="n">
        <x:v>4709.09</x:v>
      </x:c>
      <x:c r="N1682" s="26" t="n">
        <x:v>0</x:v>
      </x:c>
      <x:c r="O1682" s="26" t="n">
        <x:v>0</x:v>
      </x:c>
      <x:c r="P1682" s="26" t="n">
        <x:v>0</x:v>
      </x:c>
      <x:c r="Q1682" s="26" t="n">
        <x:v>0</x:v>
      </x:c>
      <x:c r="R1682" s="26" t="n">
        <x:v>0</x:v>
      </x:c>
      <x:c r="S1682" s="26" t="n">
        <x:v>0</x:v>
      </x:c>
      <x:c r="T1682" s="26" t="n">
        <x:v>0</x:v>
      </x:c>
      <x:c r="U1682" s="26" t="n">
        <x:v>4709.09</x:v>
      </x:c>
      <x:c r="V1682" s="26" t="n">
        <x:v>0</x:v>
      </x:c>
      <x:c r="W1682" s="26" t="n">
        <x:v>0</x:v>
      </x:c>
      <x:c r="X1682" s="26" t="n">
        <x:v>0</x:v>
      </x:c>
      <x:c r="Y1682" s="26" t="n">
        <x:v>4709.09</x:v>
      </x:c>
      <x:c r="Z1682" s="35" t="str">
        <x:v>Independent straight-line control; final system comparison must use configured recovery rules</x:v>
      </x:c>
    </x:row>
    <x:row r="1683">
      <x:c r="A1683" s="20" t="str">
        <x:v>FIN-01680</x:v>
      </x:c>
      <x:c r="B1683" s="23" t="n">
        <x:v>46752</x:v>
      </x:c>
      <x:c r="C1683" s="23" t="n">
        <x:v>46752</x:v>
      </x:c>
      <x:c r="D1683" s="20" t="str">
        <x:v>Depreciation</x:v>
      </x:c>
      <x:c r="E1683" s="20" t="str">
        <x:v>Residential rental depreciation</x:v>
      </x:c>
      <x:c r="F1683" s="20" t="str">
        <x:v>P004</x:v>
      </x:c>
      <x:c r="G1683" s="20" t="str"/>
      <x:c r="H1683" s="20" t="str"/>
      <x:c r="I1683" s="20" t="str">
        <x:v>System calculation</x:v>
      </x:c>
      <x:c r="J1683" s="35" t="str">
        <x:v>System DB-side report</x:v>
      </x:c>
      <x:c r="K1683" s="20" t="str"/>
      <x:c r="L1683" s="20" t="str">
        <x:v>DEPR-P004-2027</x:v>
      </x:c>
      <x:c r="M1683" s="26" t="n">
        <x:v>5861.82</x:v>
      </x:c>
      <x:c r="N1683" s="26" t="n">
        <x:v>0</x:v>
      </x:c>
      <x:c r="O1683" s="26" t="n">
        <x:v>0</x:v>
      </x:c>
      <x:c r="P1683" s="26" t="n">
        <x:v>0</x:v>
      </x:c>
      <x:c r="Q1683" s="26" t="n">
        <x:v>0</x:v>
      </x:c>
      <x:c r="R1683" s="26" t="n">
        <x:v>0</x:v>
      </x:c>
      <x:c r="S1683" s="26" t="n">
        <x:v>0</x:v>
      </x:c>
      <x:c r="T1683" s="26" t="n">
        <x:v>0</x:v>
      </x:c>
      <x:c r="U1683" s="26" t="n">
        <x:v>5861.82</x:v>
      </x:c>
      <x:c r="V1683" s="26" t="n">
        <x:v>0</x:v>
      </x:c>
      <x:c r="W1683" s="26" t="n">
        <x:v>0</x:v>
      </x:c>
      <x:c r="X1683" s="26" t="n">
        <x:v>0</x:v>
      </x:c>
      <x:c r="Y1683" s="26" t="n">
        <x:v>5861.82</x:v>
      </x:c>
      <x:c r="Z1683" s="35" t="str">
        <x:v>Independent straight-line control; final system comparison must use configured recovery rules</x:v>
      </x:c>
    </x:row>
    <x:row r="1684">
      <x:c r="A1684" s="20" t="str">
        <x:v>FIN-01681</x:v>
      </x:c>
      <x:c r="B1684" s="23" t="n">
        <x:v>46752</x:v>
      </x:c>
      <x:c r="C1684" s="23" t="n">
        <x:v>46752</x:v>
      </x:c>
      <x:c r="D1684" s="20" t="str">
        <x:v>Depreciation</x:v>
      </x:c>
      <x:c r="E1684" s="20" t="str">
        <x:v>Residential rental depreciation</x:v>
      </x:c>
      <x:c r="F1684" s="20" t="str">
        <x:v>P005</x:v>
      </x:c>
      <x:c r="G1684" s="20" t="str"/>
      <x:c r="H1684" s="20" t="str"/>
      <x:c r="I1684" s="20" t="str">
        <x:v>System calculation</x:v>
      </x:c>
      <x:c r="J1684" s="35" t="str">
        <x:v>System DB-side report</x:v>
      </x:c>
      <x:c r="K1684" s="20" t="str"/>
      <x:c r="L1684" s="20" t="str">
        <x:v>DEPR-P005-2027</x:v>
      </x:c>
      <x:c r="M1684" s="26" t="n">
        <x:v>6072.73</x:v>
      </x:c>
      <x:c r="N1684" s="26" t="n">
        <x:v>0</x:v>
      </x:c>
      <x:c r="O1684" s="26" t="n">
        <x:v>0</x:v>
      </x:c>
      <x:c r="P1684" s="26" t="n">
        <x:v>0</x:v>
      </x:c>
      <x:c r="Q1684" s="26" t="n">
        <x:v>0</x:v>
      </x:c>
      <x:c r="R1684" s="26" t="n">
        <x:v>0</x:v>
      </x:c>
      <x:c r="S1684" s="26" t="n">
        <x:v>0</x:v>
      </x:c>
      <x:c r="T1684" s="26" t="n">
        <x:v>0</x:v>
      </x:c>
      <x:c r="U1684" s="26" t="n">
        <x:v>6072.73</x:v>
      </x:c>
      <x:c r="V1684" s="26" t="n">
        <x:v>0</x:v>
      </x:c>
      <x:c r="W1684" s="26" t="n">
        <x:v>0</x:v>
      </x:c>
      <x:c r="X1684" s="26" t="n">
        <x:v>0</x:v>
      </x:c>
      <x:c r="Y1684" s="26" t="n">
        <x:v>6072.73</x:v>
      </x:c>
      <x:c r="Z1684" s="35" t="str">
        <x:v>Independent straight-line control; final system comparison must use configured recovery rules</x:v>
      </x:c>
    </x:row>
    <x:row r="1685">
      <x:c r="A1685" s="20" t="str">
        <x:v>FIN-01682</x:v>
      </x:c>
      <x:c r="B1685" s="23" t="n">
        <x:v>46752</x:v>
      </x:c>
      <x:c r="C1685" s="23" t="n">
        <x:v>46752</x:v>
      </x:c>
      <x:c r="D1685" s="20" t="str">
        <x:v>Depreciation</x:v>
      </x:c>
      <x:c r="E1685" s="20" t="str">
        <x:v>Residential rental depreciation</x:v>
      </x:c>
      <x:c r="F1685" s="20" t="str">
        <x:v>P006</x:v>
      </x:c>
      <x:c r="G1685" s="20" t="str"/>
      <x:c r="H1685" s="20" t="str"/>
      <x:c r="I1685" s="20" t="str">
        <x:v>System calculation</x:v>
      </x:c>
      <x:c r="J1685" s="35" t="str">
        <x:v>System DB-side report</x:v>
      </x:c>
      <x:c r="K1685" s="20" t="str"/>
      <x:c r="L1685" s="20" t="str">
        <x:v>DEPR-P006-2027</x:v>
      </x:c>
      <x:c r="M1685" s="26" t="n">
        <x:v>6283.64</x:v>
      </x:c>
      <x:c r="N1685" s="26" t="n">
        <x:v>0</x:v>
      </x:c>
      <x:c r="O1685" s="26" t="n">
        <x:v>0</x:v>
      </x:c>
      <x:c r="P1685" s="26" t="n">
        <x:v>0</x:v>
      </x:c>
      <x:c r="Q1685" s="26" t="n">
        <x:v>0</x:v>
      </x:c>
      <x:c r="R1685" s="26" t="n">
        <x:v>0</x:v>
      </x:c>
      <x:c r="S1685" s="26" t="n">
        <x:v>0</x:v>
      </x:c>
      <x:c r="T1685" s="26" t="n">
        <x:v>0</x:v>
      </x:c>
      <x:c r="U1685" s="26" t="n">
        <x:v>6283.64</x:v>
      </x:c>
      <x:c r="V1685" s="26" t="n">
        <x:v>0</x:v>
      </x:c>
      <x:c r="W1685" s="26" t="n">
        <x:v>0</x:v>
      </x:c>
      <x:c r="X1685" s="26" t="n">
        <x:v>0</x:v>
      </x:c>
      <x:c r="Y1685" s="26" t="n">
        <x:v>6283.64</x:v>
      </x:c>
      <x:c r="Z1685" s="35" t="str">
        <x:v>Independent straight-line control; final system comparison must use configured recovery rules</x:v>
      </x:c>
    </x:row>
    <x:row r="1686">
      <x:c r="A1686" s="20" t="str">
        <x:v>FIN-01683</x:v>
      </x:c>
      <x:c r="B1686" s="23" t="n">
        <x:v>46752</x:v>
      </x:c>
      <x:c r="C1686" s="23" t="n">
        <x:v>46752</x:v>
      </x:c>
      <x:c r="D1686" s="20" t="str">
        <x:v>Depreciation</x:v>
      </x:c>
      <x:c r="E1686" s="20" t="str">
        <x:v>Residential rental depreciation</x:v>
      </x:c>
      <x:c r="F1686" s="20" t="str">
        <x:v>P007</x:v>
      </x:c>
      <x:c r="G1686" s="20" t="str"/>
      <x:c r="H1686" s="20" t="str"/>
      <x:c r="I1686" s="20" t="str">
        <x:v>System calculation</x:v>
      </x:c>
      <x:c r="J1686" s="35" t="str">
        <x:v>System DB-side report</x:v>
      </x:c>
      <x:c r="K1686" s="20" t="str"/>
      <x:c r="L1686" s="20" t="str">
        <x:v>DEPR-P007-2027</x:v>
      </x:c>
      <x:c r="M1686" s="26" t="n">
        <x:v>6494.55</x:v>
      </x:c>
      <x:c r="N1686" s="26" t="n">
        <x:v>0</x:v>
      </x:c>
      <x:c r="O1686" s="26" t="n">
        <x:v>0</x:v>
      </x:c>
      <x:c r="P1686" s="26" t="n">
        <x:v>0</x:v>
      </x:c>
      <x:c r="Q1686" s="26" t="n">
        <x:v>0</x:v>
      </x:c>
      <x:c r="R1686" s="26" t="n">
        <x:v>0</x:v>
      </x:c>
      <x:c r="S1686" s="26" t="n">
        <x:v>0</x:v>
      </x:c>
      <x:c r="T1686" s="26" t="n">
        <x:v>0</x:v>
      </x:c>
      <x:c r="U1686" s="26" t="n">
        <x:v>6494.55</x:v>
      </x:c>
      <x:c r="V1686" s="26" t="n">
        <x:v>0</x:v>
      </x:c>
      <x:c r="W1686" s="26" t="n">
        <x:v>0</x:v>
      </x:c>
      <x:c r="X1686" s="26" t="n">
        <x:v>0</x:v>
      </x:c>
      <x:c r="Y1686" s="26" t="n">
        <x:v>6494.55</x:v>
      </x:c>
      <x:c r="Z1686" s="35" t="str">
        <x:v>Independent straight-line control; final system comparison must use configured recovery rules</x:v>
      </x:c>
    </x:row>
    <x:row r="1687">
      <x:c r="A1687" s="20" t="str">
        <x:v>FIN-01684</x:v>
      </x:c>
      <x:c r="B1687" s="23" t="n">
        <x:v>46752</x:v>
      </x:c>
      <x:c r="C1687" s="23" t="n">
        <x:v>46752</x:v>
      </x:c>
      <x:c r="D1687" s="20" t="str">
        <x:v>Depreciation</x:v>
      </x:c>
      <x:c r="E1687" s="20" t="str">
        <x:v>Residential rental depreciation</x:v>
      </x:c>
      <x:c r="F1687" s="20" t="str">
        <x:v>P008</x:v>
      </x:c>
      <x:c r="G1687" s="20" t="str"/>
      <x:c r="H1687" s="20" t="str"/>
      <x:c r="I1687" s="20" t="str">
        <x:v>System calculation</x:v>
      </x:c>
      <x:c r="J1687" s="35" t="str">
        <x:v>System DB-side report</x:v>
      </x:c>
      <x:c r="K1687" s="20" t="str"/>
      <x:c r="L1687" s="20" t="str">
        <x:v>DEPR-P008-2027</x:v>
      </x:c>
      <x:c r="M1687" s="26" t="n">
        <x:v>6705.45</x:v>
      </x:c>
      <x:c r="N1687" s="26" t="n">
        <x:v>0</x:v>
      </x:c>
      <x:c r="O1687" s="26" t="n">
        <x:v>0</x:v>
      </x:c>
      <x:c r="P1687" s="26" t="n">
        <x:v>0</x:v>
      </x:c>
      <x:c r="Q1687" s="26" t="n">
        <x:v>0</x:v>
      </x:c>
      <x:c r="R1687" s="26" t="n">
        <x:v>0</x:v>
      </x:c>
      <x:c r="S1687" s="26" t="n">
        <x:v>0</x:v>
      </x:c>
      <x:c r="T1687" s="26" t="n">
        <x:v>0</x:v>
      </x:c>
      <x:c r="U1687" s="26" t="n">
        <x:v>6705.45</x:v>
      </x:c>
      <x:c r="V1687" s="26" t="n">
        <x:v>0</x:v>
      </x:c>
      <x:c r="W1687" s="26" t="n">
        <x:v>0</x:v>
      </x:c>
      <x:c r="X1687" s="26" t="n">
        <x:v>0</x:v>
      </x:c>
      <x:c r="Y1687" s="26" t="n">
        <x:v>6705.45</x:v>
      </x:c>
      <x:c r="Z1687" s="35" t="str">
        <x:v>Independent straight-line control; final system comparison must use configured recovery rules</x:v>
      </x:c>
    </x:row>
    <x:row r="1688">
      <x:c r="A1688" s="20" t="str">
        <x:v>FIN-01685</x:v>
      </x:c>
      <x:c r="B1688" s="23" t="n">
        <x:v>46752</x:v>
      </x:c>
      <x:c r="C1688" s="23" t="n">
        <x:v>46752</x:v>
      </x:c>
      <x:c r="D1688" s="20" t="str">
        <x:v>Depreciation</x:v>
      </x:c>
      <x:c r="E1688" s="20" t="str">
        <x:v>Residential rental depreciation</x:v>
      </x:c>
      <x:c r="F1688" s="20" t="str">
        <x:v>P009</x:v>
      </x:c>
      <x:c r="G1688" s="20" t="str"/>
      <x:c r="H1688" s="20" t="str"/>
      <x:c r="I1688" s="20" t="str">
        <x:v>System calculation</x:v>
      </x:c>
      <x:c r="J1688" s="35" t="str">
        <x:v>System DB-side report</x:v>
      </x:c>
      <x:c r="K1688" s="20" t="str"/>
      <x:c r="L1688" s="20" t="str">
        <x:v>DEPR-P009-2027</x:v>
      </x:c>
      <x:c r="M1688" s="26" t="n">
        <x:v>6916.36</x:v>
      </x:c>
      <x:c r="N1688" s="26" t="n">
        <x:v>0</x:v>
      </x:c>
      <x:c r="O1688" s="26" t="n">
        <x:v>0</x:v>
      </x:c>
      <x:c r="P1688" s="26" t="n">
        <x:v>0</x:v>
      </x:c>
      <x:c r="Q1688" s="26" t="n">
        <x:v>0</x:v>
      </x:c>
      <x:c r="R1688" s="26" t="n">
        <x:v>0</x:v>
      </x:c>
      <x:c r="S1688" s="26" t="n">
        <x:v>0</x:v>
      </x:c>
      <x:c r="T1688" s="26" t="n">
        <x:v>0</x:v>
      </x:c>
      <x:c r="U1688" s="26" t="n">
        <x:v>6916.36</x:v>
      </x:c>
      <x:c r="V1688" s="26" t="n">
        <x:v>0</x:v>
      </x:c>
      <x:c r="W1688" s="26" t="n">
        <x:v>0</x:v>
      </x:c>
      <x:c r="X1688" s="26" t="n">
        <x:v>0</x:v>
      </x:c>
      <x:c r="Y1688" s="26" t="n">
        <x:v>6916.36</x:v>
      </x:c>
      <x:c r="Z1688" s="35" t="str">
        <x:v>Independent straight-line control; final system comparison must use configured recovery rules</x:v>
      </x:c>
    </x:row>
    <x:row r="1689">
      <x:c r="A1689" s="20" t="str">
        <x:v>FIN-01686</x:v>
      </x:c>
      <x:c r="B1689" s="23" t="n">
        <x:v>46752</x:v>
      </x:c>
      <x:c r="C1689" s="23" t="n">
        <x:v>46752</x:v>
      </x:c>
      <x:c r="D1689" s="20" t="str">
        <x:v>Depreciation</x:v>
      </x:c>
      <x:c r="E1689" s="20" t="str">
        <x:v>Residential rental depreciation</x:v>
      </x:c>
      <x:c r="F1689" s="20" t="str">
        <x:v>P010</x:v>
      </x:c>
      <x:c r="G1689" s="20" t="str"/>
      <x:c r="H1689" s="20" t="str"/>
      <x:c r="I1689" s="20" t="str">
        <x:v>System calculation</x:v>
      </x:c>
      <x:c r="J1689" s="35" t="str">
        <x:v>System DB-side report</x:v>
      </x:c>
      <x:c r="K1689" s="20" t="str"/>
      <x:c r="L1689" s="20" t="str">
        <x:v>DEPR-P010-2027</x:v>
      </x:c>
      <x:c r="M1689" s="26" t="n">
        <x:v>7127.27</x:v>
      </x:c>
      <x:c r="N1689" s="26" t="n">
        <x:v>0</x:v>
      </x:c>
      <x:c r="O1689" s="26" t="n">
        <x:v>0</x:v>
      </x:c>
      <x:c r="P1689" s="26" t="n">
        <x:v>0</x:v>
      </x:c>
      <x:c r="Q1689" s="26" t="n">
        <x:v>0</x:v>
      </x:c>
      <x:c r="R1689" s="26" t="n">
        <x:v>0</x:v>
      </x:c>
      <x:c r="S1689" s="26" t="n">
        <x:v>0</x:v>
      </x:c>
      <x:c r="T1689" s="26" t="n">
        <x:v>0</x:v>
      </x:c>
      <x:c r="U1689" s="26" t="n">
        <x:v>7127.27</x:v>
      </x:c>
      <x:c r="V1689" s="26" t="n">
        <x:v>0</x:v>
      </x:c>
      <x:c r="W1689" s="26" t="n">
        <x:v>0</x:v>
      </x:c>
      <x:c r="X1689" s="26" t="n">
        <x:v>0</x:v>
      </x:c>
      <x:c r="Y1689" s="26" t="n">
        <x:v>7127.27</x:v>
      </x:c>
      <x:c r="Z1689" s="35" t="str">
        <x:v>Independent straight-line control; final system comparison must use configured recovery rules</x:v>
      </x:c>
    </x:row>
    <x:row r="1690">
      <x:c r="A1690" s="20" t="str">
        <x:v>FIN-01687</x:v>
      </x:c>
      <x:c r="B1690" s="23" t="n">
        <x:v>46752</x:v>
      </x:c>
      <x:c r="C1690" s="23" t="n">
        <x:v>46752</x:v>
      </x:c>
      <x:c r="D1690" s="20" t="str">
        <x:v>Depreciation</x:v>
      </x:c>
      <x:c r="E1690" s="20" t="str">
        <x:v>Residential rental depreciation</x:v>
      </x:c>
      <x:c r="F1690" s="20" t="str">
        <x:v>P011</x:v>
      </x:c>
      <x:c r="G1690" s="20" t="str"/>
      <x:c r="H1690" s="20" t="str"/>
      <x:c r="I1690" s="20" t="str">
        <x:v>System calculation</x:v>
      </x:c>
      <x:c r="J1690" s="35" t="str">
        <x:v>System DB-side report</x:v>
      </x:c>
      <x:c r="K1690" s="20" t="str"/>
      <x:c r="L1690" s="20" t="str">
        <x:v>DEPR-P011-2027</x:v>
      </x:c>
      <x:c r="M1690" s="26" t="n">
        <x:v>7338.18</x:v>
      </x:c>
      <x:c r="N1690" s="26" t="n">
        <x:v>0</x:v>
      </x:c>
      <x:c r="O1690" s="26" t="n">
        <x:v>0</x:v>
      </x:c>
      <x:c r="P1690" s="26" t="n">
        <x:v>0</x:v>
      </x:c>
      <x:c r="Q1690" s="26" t="n">
        <x:v>0</x:v>
      </x:c>
      <x:c r="R1690" s="26" t="n">
        <x:v>0</x:v>
      </x:c>
      <x:c r="S1690" s="26" t="n">
        <x:v>0</x:v>
      </x:c>
      <x:c r="T1690" s="26" t="n">
        <x:v>0</x:v>
      </x:c>
      <x:c r="U1690" s="26" t="n">
        <x:v>7338.18</x:v>
      </x:c>
      <x:c r="V1690" s="26" t="n">
        <x:v>0</x:v>
      </x:c>
      <x:c r="W1690" s="26" t="n">
        <x:v>0</x:v>
      </x:c>
      <x:c r="X1690" s="26" t="n">
        <x:v>0</x:v>
      </x:c>
      <x:c r="Y1690" s="26" t="n">
        <x:v>7338.18</x:v>
      </x:c>
      <x:c r="Z1690" s="35" t="str">
        <x:v>Independent straight-line control; final system comparison must use configured recovery rules</x:v>
      </x:c>
    </x:row>
    <x:row r="1691">
      <x:c r="A1691" s="20" t="str">
        <x:v>FIN-01688</x:v>
      </x:c>
      <x:c r="B1691" s="23" t="n">
        <x:v>46752</x:v>
      </x:c>
      <x:c r="C1691" s="23" t="n">
        <x:v>46752</x:v>
      </x:c>
      <x:c r="D1691" s="20" t="str">
        <x:v>Depreciation</x:v>
      </x:c>
      <x:c r="E1691" s="20" t="str">
        <x:v>Residential rental depreciation</x:v>
      </x:c>
      <x:c r="F1691" s="20" t="str">
        <x:v>P012</x:v>
      </x:c>
      <x:c r="G1691" s="20" t="str"/>
      <x:c r="H1691" s="20" t="str"/>
      <x:c r="I1691" s="20" t="str">
        <x:v>System calculation</x:v>
      </x:c>
      <x:c r="J1691" s="35" t="str">
        <x:v>System DB-side report</x:v>
      </x:c>
      <x:c r="K1691" s="20" t="str"/>
      <x:c r="L1691" s="20" t="str">
        <x:v>DEPR-P012-2027</x:v>
      </x:c>
      <x:c r="M1691" s="26" t="n">
        <x:v>7549.09</x:v>
      </x:c>
      <x:c r="N1691" s="26" t="n">
        <x:v>0</x:v>
      </x:c>
      <x:c r="O1691" s="26" t="n">
        <x:v>0</x:v>
      </x:c>
      <x:c r="P1691" s="26" t="n">
        <x:v>0</x:v>
      </x:c>
      <x:c r="Q1691" s="26" t="n">
        <x:v>0</x:v>
      </x:c>
      <x:c r="R1691" s="26" t="n">
        <x:v>0</x:v>
      </x:c>
      <x:c r="S1691" s="26" t="n">
        <x:v>0</x:v>
      </x:c>
      <x:c r="T1691" s="26" t="n">
        <x:v>0</x:v>
      </x:c>
      <x:c r="U1691" s="26" t="n">
        <x:v>7549.09</x:v>
      </x:c>
      <x:c r="V1691" s="26" t="n">
        <x:v>0</x:v>
      </x:c>
      <x:c r="W1691" s="26" t="n">
        <x:v>0</x:v>
      </x:c>
      <x:c r="X1691" s="26" t="n">
        <x:v>0</x:v>
      </x:c>
      <x:c r="Y1691" s="26" t="n">
        <x:v>7549.09</x:v>
      </x:c>
      <x:c r="Z1691" s="35" t="str">
        <x:v>Independent straight-line control; final system comparison must use configured recovery rules</x:v>
      </x:c>
    </x:row>
    <x:row r="1692">
      <x:c r="A1692" s="20" t="str">
        <x:v>FIN-01689</x:v>
      </x:c>
      <x:c r="B1692" s="23" t="n">
        <x:v>46752</x:v>
      </x:c>
      <x:c r="C1692" s="23" t="n">
        <x:v>46752</x:v>
      </x:c>
      <x:c r="D1692" s="20" t="str">
        <x:v>Depreciation</x:v>
      </x:c>
      <x:c r="E1692" s="20" t="str">
        <x:v>Residential rental depreciation</x:v>
      </x:c>
      <x:c r="F1692" s="20" t="str">
        <x:v>P013</x:v>
      </x:c>
      <x:c r="G1692" s="20" t="str"/>
      <x:c r="H1692" s="20" t="str"/>
      <x:c r="I1692" s="20" t="str">
        <x:v>System calculation</x:v>
      </x:c>
      <x:c r="J1692" s="35" t="str">
        <x:v>System DB-side report</x:v>
      </x:c>
      <x:c r="K1692" s="20" t="str"/>
      <x:c r="L1692" s="20" t="str">
        <x:v>DEPR-P013-2027</x:v>
      </x:c>
      <x:c r="M1692" s="26" t="n">
        <x:v>7760</x:v>
      </x:c>
      <x:c r="N1692" s="26" t="n">
        <x:v>0</x:v>
      </x:c>
      <x:c r="O1692" s="26" t="n">
        <x:v>0</x:v>
      </x:c>
      <x:c r="P1692" s="26" t="n">
        <x:v>0</x:v>
      </x:c>
      <x:c r="Q1692" s="26" t="n">
        <x:v>0</x:v>
      </x:c>
      <x:c r="R1692" s="26" t="n">
        <x:v>0</x:v>
      </x:c>
      <x:c r="S1692" s="26" t="n">
        <x:v>0</x:v>
      </x:c>
      <x:c r="T1692" s="26" t="n">
        <x:v>0</x:v>
      </x:c>
      <x:c r="U1692" s="26" t="n">
        <x:v>7760</x:v>
      </x:c>
      <x:c r="V1692" s="26" t="n">
        <x:v>0</x:v>
      </x:c>
      <x:c r="W1692" s="26" t="n">
        <x:v>0</x:v>
      </x:c>
      <x:c r="X1692" s="26" t="n">
        <x:v>0</x:v>
      </x:c>
      <x:c r="Y1692" s="26" t="n">
        <x:v>7760</x:v>
      </x:c>
      <x:c r="Z1692" s="35" t="str">
        <x:v>Independent straight-line control; final system comparison must use configured recovery rules</x:v>
      </x:c>
    </x:row>
    <x:row r="1693">
      <x:c r="A1693" s="20" t="str">
        <x:v>FIN-01690</x:v>
      </x:c>
      <x:c r="B1693" s="23" t="n">
        <x:v>46752</x:v>
      </x:c>
      <x:c r="C1693" s="23" t="n">
        <x:v>46752</x:v>
      </x:c>
      <x:c r="D1693" s="20" t="str">
        <x:v>Depreciation</x:v>
      </x:c>
      <x:c r="E1693" s="20" t="str">
        <x:v>Residential rental depreciation</x:v>
      </x:c>
      <x:c r="F1693" s="20" t="str">
        <x:v>P014</x:v>
      </x:c>
      <x:c r="G1693" s="20" t="str"/>
      <x:c r="H1693" s="20" t="str"/>
      <x:c r="I1693" s="20" t="str">
        <x:v>System calculation</x:v>
      </x:c>
      <x:c r="J1693" s="35" t="str">
        <x:v>System DB-side report</x:v>
      </x:c>
      <x:c r="K1693" s="20" t="str"/>
      <x:c r="L1693" s="20" t="str">
        <x:v>DEPR-P014-2027</x:v>
      </x:c>
      <x:c r="M1693" s="26" t="n">
        <x:v>7970.91</x:v>
      </x:c>
      <x:c r="N1693" s="26" t="n">
        <x:v>0</x:v>
      </x:c>
      <x:c r="O1693" s="26" t="n">
        <x:v>0</x:v>
      </x:c>
      <x:c r="P1693" s="26" t="n">
        <x:v>0</x:v>
      </x:c>
      <x:c r="Q1693" s="26" t="n">
        <x:v>0</x:v>
      </x:c>
      <x:c r="R1693" s="26" t="n">
        <x:v>0</x:v>
      </x:c>
      <x:c r="S1693" s="26" t="n">
        <x:v>0</x:v>
      </x:c>
      <x:c r="T1693" s="26" t="n">
        <x:v>0</x:v>
      </x:c>
      <x:c r="U1693" s="26" t="n">
        <x:v>7970.91</x:v>
      </x:c>
      <x:c r="V1693" s="26" t="n">
        <x:v>0</x:v>
      </x:c>
      <x:c r="W1693" s="26" t="n">
        <x:v>0</x:v>
      </x:c>
      <x:c r="X1693" s="26" t="n">
        <x:v>0</x:v>
      </x:c>
      <x:c r="Y1693" s="26" t="n">
        <x:v>7970.91</x:v>
      </x:c>
      <x:c r="Z1693" s="35" t="str">
        <x:v>Independent straight-line control; final system comparison must use configured recovery rules</x:v>
      </x:c>
    </x:row>
    <x:row r="1694">
      <x:c r="A1694" s="20" t="str">
        <x:v>FIN-01691</x:v>
      </x:c>
      <x:c r="B1694" s="23" t="n">
        <x:v>46752</x:v>
      </x:c>
      <x:c r="C1694" s="23" t="n">
        <x:v>46752</x:v>
      </x:c>
      <x:c r="D1694" s="20" t="str">
        <x:v>Depreciation</x:v>
      </x:c>
      <x:c r="E1694" s="20" t="str">
        <x:v>Residential rental depreciation</x:v>
      </x:c>
      <x:c r="F1694" s="20" t="str">
        <x:v>P015</x:v>
      </x:c>
      <x:c r="G1694" s="20" t="str"/>
      <x:c r="H1694" s="20" t="str"/>
      <x:c r="I1694" s="20" t="str">
        <x:v>System calculation</x:v>
      </x:c>
      <x:c r="J1694" s="35" t="str">
        <x:v>System DB-side report</x:v>
      </x:c>
      <x:c r="K1694" s="20" t="str"/>
      <x:c r="L1694" s="20" t="str">
        <x:v>DEPR-P015-2027</x:v>
      </x:c>
      <x:c r="M1694" s="26" t="n">
        <x:v>8181.82</x:v>
      </x:c>
      <x:c r="N1694" s="26" t="n">
        <x:v>0</x:v>
      </x:c>
      <x:c r="O1694" s="26" t="n">
        <x:v>0</x:v>
      </x:c>
      <x:c r="P1694" s="26" t="n">
        <x:v>0</x:v>
      </x:c>
      <x:c r="Q1694" s="26" t="n">
        <x:v>0</x:v>
      </x:c>
      <x:c r="R1694" s="26" t="n">
        <x:v>0</x:v>
      </x:c>
      <x:c r="S1694" s="26" t="n">
        <x:v>0</x:v>
      </x:c>
      <x:c r="T1694" s="26" t="n">
        <x:v>0</x:v>
      </x:c>
      <x:c r="U1694" s="26" t="n">
        <x:v>8181.82</x:v>
      </x:c>
      <x:c r="V1694" s="26" t="n">
        <x:v>0</x:v>
      </x:c>
      <x:c r="W1694" s="26" t="n">
        <x:v>0</x:v>
      </x:c>
      <x:c r="X1694" s="26" t="n">
        <x:v>0</x:v>
      </x:c>
      <x:c r="Y1694" s="26" t="n">
        <x:v>8181.82</x:v>
      </x:c>
      <x:c r="Z1694" s="35" t="str">
        <x:v>Independent straight-line control; final system comparison must use configured recovery rules</x:v>
      </x:c>
    </x:row>
    <x:row r="1695">
      <x:c r="A1695" s="20" t="str">
        <x:v>FIN-01692</x:v>
      </x:c>
      <x:c r="B1695" s="23" t="n">
        <x:v>46752</x:v>
      </x:c>
      <x:c r="C1695" s="23" t="n">
        <x:v>46752</x:v>
      </x:c>
      <x:c r="D1695" s="20" t="str">
        <x:v>Depreciation</x:v>
      </x:c>
      <x:c r="E1695" s="20" t="str">
        <x:v>Residential rental depreciation</x:v>
      </x:c>
      <x:c r="F1695" s="20" t="str">
        <x:v>P016</x:v>
      </x:c>
      <x:c r="G1695" s="20" t="str"/>
      <x:c r="H1695" s="20" t="str"/>
      <x:c r="I1695" s="20" t="str">
        <x:v>System calculation</x:v>
      </x:c>
      <x:c r="J1695" s="35" t="str">
        <x:v>System DB-side report</x:v>
      </x:c>
      <x:c r="K1695" s="20" t="str"/>
      <x:c r="L1695" s="20" t="str">
        <x:v>DEPR-P016-2027</x:v>
      </x:c>
      <x:c r="M1695" s="26" t="n">
        <x:v>8392.73</x:v>
      </x:c>
      <x:c r="N1695" s="26" t="n">
        <x:v>0</x:v>
      </x:c>
      <x:c r="O1695" s="26" t="n">
        <x:v>0</x:v>
      </x:c>
      <x:c r="P1695" s="26" t="n">
        <x:v>0</x:v>
      </x:c>
      <x:c r="Q1695" s="26" t="n">
        <x:v>0</x:v>
      </x:c>
      <x:c r="R1695" s="26" t="n">
        <x:v>0</x:v>
      </x:c>
      <x:c r="S1695" s="26" t="n">
        <x:v>0</x:v>
      </x:c>
      <x:c r="T1695" s="26" t="n">
        <x:v>0</x:v>
      </x:c>
      <x:c r="U1695" s="26" t="n">
        <x:v>8392.73</x:v>
      </x:c>
      <x:c r="V1695" s="26" t="n">
        <x:v>0</x:v>
      </x:c>
      <x:c r="W1695" s="26" t="n">
        <x:v>0</x:v>
      </x:c>
      <x:c r="X1695" s="26" t="n">
        <x:v>0</x:v>
      </x:c>
      <x:c r="Y1695" s="26" t="n">
        <x:v>8392.73</x:v>
      </x:c>
      <x:c r="Z1695" s="35" t="str">
        <x:v>Independent straight-line control; final system comparison must use configured recovery rules</x:v>
      </x:c>
    </x:row>
    <x:row r="1696">
      <x:c r="A1696" s="20" t="str">
        <x:v>FIN-01693</x:v>
      </x:c>
      <x:c r="B1696" s="23" t="n">
        <x:v>46752</x:v>
      </x:c>
      <x:c r="C1696" s="23" t="n">
        <x:v>46752</x:v>
      </x:c>
      <x:c r="D1696" s="20" t="str">
        <x:v>Depreciation</x:v>
      </x:c>
      <x:c r="E1696" s="20" t="str">
        <x:v>Residential rental depreciation</x:v>
      </x:c>
      <x:c r="F1696" s="20" t="str">
        <x:v>P017</x:v>
      </x:c>
      <x:c r="G1696" s="20" t="str"/>
      <x:c r="H1696" s="20" t="str"/>
      <x:c r="I1696" s="20" t="str">
        <x:v>System calculation</x:v>
      </x:c>
      <x:c r="J1696" s="35" t="str">
        <x:v>System DB-side report</x:v>
      </x:c>
      <x:c r="K1696" s="20" t="str"/>
      <x:c r="L1696" s="20" t="str">
        <x:v>DEPR-P017-2027</x:v>
      </x:c>
      <x:c r="M1696" s="26" t="n">
        <x:v>8603.64</x:v>
      </x:c>
      <x:c r="N1696" s="26" t="n">
        <x:v>0</x:v>
      </x:c>
      <x:c r="O1696" s="26" t="n">
        <x:v>0</x:v>
      </x:c>
      <x:c r="P1696" s="26" t="n">
        <x:v>0</x:v>
      </x:c>
      <x:c r="Q1696" s="26" t="n">
        <x:v>0</x:v>
      </x:c>
      <x:c r="R1696" s="26" t="n">
        <x:v>0</x:v>
      </x:c>
      <x:c r="S1696" s="26" t="n">
        <x:v>0</x:v>
      </x:c>
      <x:c r="T1696" s="26" t="n">
        <x:v>0</x:v>
      </x:c>
      <x:c r="U1696" s="26" t="n">
        <x:v>8603.64</x:v>
      </x:c>
      <x:c r="V1696" s="26" t="n">
        <x:v>0</x:v>
      </x:c>
      <x:c r="W1696" s="26" t="n">
        <x:v>0</x:v>
      </x:c>
      <x:c r="X1696" s="26" t="n">
        <x:v>0</x:v>
      </x:c>
      <x:c r="Y1696" s="26" t="n">
        <x:v>8603.64</x:v>
      </x:c>
      <x:c r="Z1696" s="35" t="str">
        <x:v>Independent straight-line control; final system comparison must use configured recovery rules</x:v>
      </x:c>
    </x:row>
    <x:row r="1697">
      <x:c r="A1697" s="20" t="str">
        <x:v>FIN-01694</x:v>
      </x:c>
      <x:c r="B1697" s="23" t="n">
        <x:v>46752</x:v>
      </x:c>
      <x:c r="C1697" s="23" t="n">
        <x:v>46752</x:v>
      </x:c>
      <x:c r="D1697" s="20" t="str">
        <x:v>Depreciation</x:v>
      </x:c>
      <x:c r="E1697" s="20" t="str">
        <x:v>Residential rental depreciation</x:v>
      </x:c>
      <x:c r="F1697" s="20" t="str">
        <x:v>P018</x:v>
      </x:c>
      <x:c r="G1697" s="20" t="str"/>
      <x:c r="H1697" s="20" t="str"/>
      <x:c r="I1697" s="20" t="str">
        <x:v>System calculation</x:v>
      </x:c>
      <x:c r="J1697" s="35" t="str">
        <x:v>System DB-side report</x:v>
      </x:c>
      <x:c r="K1697" s="20" t="str"/>
      <x:c r="L1697" s="20" t="str">
        <x:v>DEPR-P018-2027</x:v>
      </x:c>
      <x:c r="M1697" s="26" t="n">
        <x:v>8814.55</x:v>
      </x:c>
      <x:c r="N1697" s="26" t="n">
        <x:v>0</x:v>
      </x:c>
      <x:c r="O1697" s="26" t="n">
        <x:v>0</x:v>
      </x:c>
      <x:c r="P1697" s="26" t="n">
        <x:v>0</x:v>
      </x:c>
      <x:c r="Q1697" s="26" t="n">
        <x:v>0</x:v>
      </x:c>
      <x:c r="R1697" s="26" t="n">
        <x:v>0</x:v>
      </x:c>
      <x:c r="S1697" s="26" t="n">
        <x:v>0</x:v>
      </x:c>
      <x:c r="T1697" s="26" t="n">
        <x:v>0</x:v>
      </x:c>
      <x:c r="U1697" s="26" t="n">
        <x:v>8814.55</x:v>
      </x:c>
      <x:c r="V1697" s="26" t="n">
        <x:v>0</x:v>
      </x:c>
      <x:c r="W1697" s="26" t="n">
        <x:v>0</x:v>
      </x:c>
      <x:c r="X1697" s="26" t="n">
        <x:v>0</x:v>
      </x:c>
      <x:c r="Y1697" s="26" t="n">
        <x:v>8814.55</x:v>
      </x:c>
      <x:c r="Z1697" s="35" t="str">
        <x:v>Independent straight-line control; final system comparison must use configured recovery rules</x:v>
      </x:c>
    </x:row>
    <x:row r="1698">
      <x:c r="A1698" s="20" t="str">
        <x:v>FIN-01695</x:v>
      </x:c>
      <x:c r="B1698" s="23" t="n">
        <x:v>46752</x:v>
      </x:c>
      <x:c r="C1698" s="23" t="n">
        <x:v>46752</x:v>
      </x:c>
      <x:c r="D1698" s="20" t="str">
        <x:v>Depreciation</x:v>
      </x:c>
      <x:c r="E1698" s="20" t="str">
        <x:v>Residential rental depreciation</x:v>
      </x:c>
      <x:c r="F1698" s="20" t="str">
        <x:v>P019</x:v>
      </x:c>
      <x:c r="G1698" s="20" t="str"/>
      <x:c r="H1698" s="20" t="str"/>
      <x:c r="I1698" s="20" t="str">
        <x:v>System calculation</x:v>
      </x:c>
      <x:c r="J1698" s="35" t="str">
        <x:v>System DB-side report</x:v>
      </x:c>
      <x:c r="K1698" s="20" t="str"/>
      <x:c r="L1698" s="20" t="str">
        <x:v>DEPR-P019-2027</x:v>
      </x:c>
      <x:c r="M1698" s="26" t="n">
        <x:v>9025.45</x:v>
      </x:c>
      <x:c r="N1698" s="26" t="n">
        <x:v>0</x:v>
      </x:c>
      <x:c r="O1698" s="26" t="n">
        <x:v>0</x:v>
      </x:c>
      <x:c r="P1698" s="26" t="n">
        <x:v>0</x:v>
      </x:c>
      <x:c r="Q1698" s="26" t="n">
        <x:v>0</x:v>
      </x:c>
      <x:c r="R1698" s="26" t="n">
        <x:v>0</x:v>
      </x:c>
      <x:c r="S1698" s="26" t="n">
        <x:v>0</x:v>
      </x:c>
      <x:c r="T1698" s="26" t="n">
        <x:v>0</x:v>
      </x:c>
      <x:c r="U1698" s="26" t="n">
        <x:v>9025.45</x:v>
      </x:c>
      <x:c r="V1698" s="26" t="n">
        <x:v>0</x:v>
      </x:c>
      <x:c r="W1698" s="26" t="n">
        <x:v>0</x:v>
      </x:c>
      <x:c r="X1698" s="26" t="n">
        <x:v>0</x:v>
      </x:c>
      <x:c r="Y1698" s="26" t="n">
        <x:v>9025.45</x:v>
      </x:c>
      <x:c r="Z1698" s="35" t="str">
        <x:v>Independent straight-line control; final system comparison must use configured recovery rules</x:v>
      </x:c>
    </x:row>
    <x:row r="1699">
      <x:c r="A1699" s="20" t="str">
        <x:v>FIN-01696</x:v>
      </x:c>
      <x:c r="B1699" s="23" t="n">
        <x:v>46752</x:v>
      </x:c>
      <x:c r="C1699" s="23" t="n">
        <x:v>46752</x:v>
      </x:c>
      <x:c r="D1699" s="20" t="str">
        <x:v>Depreciation</x:v>
      </x:c>
      <x:c r="E1699" s="20" t="str">
        <x:v>Residential rental depreciation</x:v>
      </x:c>
      <x:c r="F1699" s="20" t="str">
        <x:v>P020</x:v>
      </x:c>
      <x:c r="G1699" s="20" t="str"/>
      <x:c r="H1699" s="20" t="str"/>
      <x:c r="I1699" s="20" t="str">
        <x:v>System calculation</x:v>
      </x:c>
      <x:c r="J1699" s="35" t="str">
        <x:v>System DB-side report</x:v>
      </x:c>
      <x:c r="K1699" s="20" t="str"/>
      <x:c r="L1699" s="20" t="str">
        <x:v>DEPR-P020-2027</x:v>
      </x:c>
      <x:c r="M1699" s="26" t="n">
        <x:v>9236.36</x:v>
      </x:c>
      <x:c r="N1699" s="26" t="n">
        <x:v>0</x:v>
      </x:c>
      <x:c r="O1699" s="26" t="n">
        <x:v>0</x:v>
      </x:c>
      <x:c r="P1699" s="26" t="n">
        <x:v>0</x:v>
      </x:c>
      <x:c r="Q1699" s="26" t="n">
        <x:v>0</x:v>
      </x:c>
      <x:c r="R1699" s="26" t="n">
        <x:v>0</x:v>
      </x:c>
      <x:c r="S1699" s="26" t="n">
        <x:v>0</x:v>
      </x:c>
      <x:c r="T1699" s="26" t="n">
        <x:v>0</x:v>
      </x:c>
      <x:c r="U1699" s="26" t="n">
        <x:v>9236.36</x:v>
      </x:c>
      <x:c r="V1699" s="26" t="n">
        <x:v>0</x:v>
      </x:c>
      <x:c r="W1699" s="26" t="n">
        <x:v>0</x:v>
      </x:c>
      <x:c r="X1699" s="26" t="n">
        <x:v>0</x:v>
      </x:c>
      <x:c r="Y1699" s="26" t="n">
        <x:v>9236.36</x:v>
      </x:c>
      <x:c r="Z1699" s="35" t="str">
        <x:v>Independent straight-line control; final system comparison must use configured recovery rules</x:v>
      </x:c>
    </x:row>
    <x:row r="1700">
      <x:c r="A1700" s="20" t="str">
        <x:v>FIN-01697</x:v>
      </x:c>
      <x:c r="B1700" s="23" t="n">
        <x:v>46752</x:v>
      </x:c>
      <x:c r="C1700" s="23" t="n">
        <x:v>46752</x:v>
      </x:c>
      <x:c r="D1700" s="20" t="str">
        <x:v>Depreciation</x:v>
      </x:c>
      <x:c r="E1700" s="20" t="str">
        <x:v>Residential rental depreciation</x:v>
      </x:c>
      <x:c r="F1700" s="20" t="str">
        <x:v>P021</x:v>
      </x:c>
      <x:c r="G1700" s="20" t="str"/>
      <x:c r="H1700" s="20" t="str"/>
      <x:c r="I1700" s="20" t="str">
        <x:v>System calculation</x:v>
      </x:c>
      <x:c r="J1700" s="35" t="str">
        <x:v>System DB-side report</x:v>
      </x:c>
      <x:c r="K1700" s="20" t="str"/>
      <x:c r="L1700" s="20" t="str">
        <x:v>DEPR-P021-2027</x:v>
      </x:c>
      <x:c r="M1700" s="26" t="n">
        <x:v>10756.36</x:v>
      </x:c>
      <x:c r="N1700" s="26" t="n">
        <x:v>0</x:v>
      </x:c>
      <x:c r="O1700" s="26" t="n">
        <x:v>0</x:v>
      </x:c>
      <x:c r="P1700" s="26" t="n">
        <x:v>0</x:v>
      </x:c>
      <x:c r="Q1700" s="26" t="n">
        <x:v>0</x:v>
      </x:c>
      <x:c r="R1700" s="26" t="n">
        <x:v>0</x:v>
      </x:c>
      <x:c r="S1700" s="26" t="n">
        <x:v>0</x:v>
      </x:c>
      <x:c r="T1700" s="26" t="n">
        <x:v>0</x:v>
      </x:c>
      <x:c r="U1700" s="26" t="n">
        <x:v>10756.36</x:v>
      </x:c>
      <x:c r="V1700" s="26" t="n">
        <x:v>0</x:v>
      </x:c>
      <x:c r="W1700" s="26" t="n">
        <x:v>0</x:v>
      </x:c>
      <x:c r="X1700" s="26" t="n">
        <x:v>0</x:v>
      </x:c>
      <x:c r="Y1700" s="26" t="n">
        <x:v>10756.36</x:v>
      </x:c>
      <x:c r="Z1700" s="35" t="str">
        <x:v>Independent straight-line control; final system comparison must use configured recovery rules</x:v>
      </x:c>
    </x:row>
    <x:row r="1701">
      <x:c r="A1701" s="20" t="str">
        <x:v>FIN-01698</x:v>
      </x:c>
      <x:c r="B1701" s="23" t="n">
        <x:v>46752</x:v>
      </x:c>
      <x:c r="C1701" s="23" t="n">
        <x:v>46752</x:v>
      </x:c>
      <x:c r="D1701" s="20" t="str">
        <x:v>Depreciation</x:v>
      </x:c>
      <x:c r="E1701" s="20" t="str">
        <x:v>Residential rental depreciation</x:v>
      </x:c>
      <x:c r="F1701" s="20" t="str">
        <x:v>P022</x:v>
      </x:c>
      <x:c r="G1701" s="20" t="str"/>
      <x:c r="H1701" s="20" t="str"/>
      <x:c r="I1701" s="20" t="str">
        <x:v>System calculation</x:v>
      </x:c>
      <x:c r="J1701" s="35" t="str">
        <x:v>System DB-side report</x:v>
      </x:c>
      <x:c r="K1701" s="20" t="str"/>
      <x:c r="L1701" s="20" t="str">
        <x:v>DEPR-P022-2027</x:v>
      </x:c>
      <x:c r="M1701" s="26" t="n">
        <x:v>10967.27</x:v>
      </x:c>
      <x:c r="N1701" s="26" t="n">
        <x:v>0</x:v>
      </x:c>
      <x:c r="O1701" s="26" t="n">
        <x:v>0</x:v>
      </x:c>
      <x:c r="P1701" s="26" t="n">
        <x:v>0</x:v>
      </x:c>
      <x:c r="Q1701" s="26" t="n">
        <x:v>0</x:v>
      </x:c>
      <x:c r="R1701" s="26" t="n">
        <x:v>0</x:v>
      </x:c>
      <x:c r="S1701" s="26" t="n">
        <x:v>0</x:v>
      </x:c>
      <x:c r="T1701" s="26" t="n">
        <x:v>0</x:v>
      </x:c>
      <x:c r="U1701" s="26" t="n">
        <x:v>10967.27</x:v>
      </x:c>
      <x:c r="V1701" s="26" t="n">
        <x:v>0</x:v>
      </x:c>
      <x:c r="W1701" s="26" t="n">
        <x:v>0</x:v>
      </x:c>
      <x:c r="X1701" s="26" t="n">
        <x:v>0</x:v>
      </x:c>
      <x:c r="Y1701" s="26" t="n">
        <x:v>10967.27</x:v>
      </x:c>
      <x:c r="Z1701" s="35" t="str">
        <x:v>Independent straight-line control; final system comparison must use configured recovery rules</x:v>
      </x:c>
    </x:row>
    <x:row r="1702">
      <x:c r="A1702" s="20" t="str">
        <x:v>FIN-01699</x:v>
      </x:c>
      <x:c r="B1702" s="23" t="n">
        <x:v>46752</x:v>
      </x:c>
      <x:c r="C1702" s="23" t="n">
        <x:v>46752</x:v>
      </x:c>
      <x:c r="D1702" s="20" t="str">
        <x:v>Depreciation</x:v>
      </x:c>
      <x:c r="E1702" s="20" t="str">
        <x:v>Residential rental depreciation</x:v>
      </x:c>
      <x:c r="F1702" s="20" t="str">
        <x:v>P023</x:v>
      </x:c>
      <x:c r="G1702" s="20" t="str"/>
      <x:c r="H1702" s="20" t="str"/>
      <x:c r="I1702" s="20" t="str">
        <x:v>System calculation</x:v>
      </x:c>
      <x:c r="J1702" s="35" t="str">
        <x:v>System DB-side report</x:v>
      </x:c>
      <x:c r="K1702" s="20" t="str"/>
      <x:c r="L1702" s="20" t="str">
        <x:v>DEPR-P023-2027</x:v>
      </x:c>
      <x:c r="M1702" s="26" t="n">
        <x:v>11178.18</x:v>
      </x:c>
      <x:c r="N1702" s="26" t="n">
        <x:v>0</x:v>
      </x:c>
      <x:c r="O1702" s="26" t="n">
        <x:v>0</x:v>
      </x:c>
      <x:c r="P1702" s="26" t="n">
        <x:v>0</x:v>
      </x:c>
      <x:c r="Q1702" s="26" t="n">
        <x:v>0</x:v>
      </x:c>
      <x:c r="R1702" s="26" t="n">
        <x:v>0</x:v>
      </x:c>
      <x:c r="S1702" s="26" t="n">
        <x:v>0</x:v>
      </x:c>
      <x:c r="T1702" s="26" t="n">
        <x:v>0</x:v>
      </x:c>
      <x:c r="U1702" s="26" t="n">
        <x:v>11178.18</x:v>
      </x:c>
      <x:c r="V1702" s="26" t="n">
        <x:v>0</x:v>
      </x:c>
      <x:c r="W1702" s="26" t="n">
        <x:v>0</x:v>
      </x:c>
      <x:c r="X1702" s="26" t="n">
        <x:v>0</x:v>
      </x:c>
      <x:c r="Y1702" s="26" t="n">
        <x:v>11178.18</x:v>
      </x:c>
      <x:c r="Z1702" s="35" t="str">
        <x:v>Independent straight-line control; final system comparison must use configured recovery rules</x:v>
      </x:c>
    </x:row>
    <x:row r="1703">
      <x:c r="A1703" s="20" t="str">
        <x:v>FIN-01700</x:v>
      </x:c>
      <x:c r="B1703" s="23" t="n">
        <x:v>46752</x:v>
      </x:c>
      <x:c r="C1703" s="23" t="n">
        <x:v>46752</x:v>
      </x:c>
      <x:c r="D1703" s="20" t="str">
        <x:v>Depreciation</x:v>
      </x:c>
      <x:c r="E1703" s="20" t="str">
        <x:v>Residential rental depreciation</x:v>
      </x:c>
      <x:c r="F1703" s="20" t="str">
        <x:v>P024</x:v>
      </x:c>
      <x:c r="G1703" s="20" t="str"/>
      <x:c r="H1703" s="20" t="str"/>
      <x:c r="I1703" s="20" t="str">
        <x:v>System calculation</x:v>
      </x:c>
      <x:c r="J1703" s="35" t="str">
        <x:v>System DB-side report</x:v>
      </x:c>
      <x:c r="K1703" s="20" t="str"/>
      <x:c r="L1703" s="20" t="str">
        <x:v>DEPR-P024-2027</x:v>
      </x:c>
      <x:c r="M1703" s="26" t="n">
        <x:v>11389.09</x:v>
      </x:c>
      <x:c r="N1703" s="26" t="n">
        <x:v>0</x:v>
      </x:c>
      <x:c r="O1703" s="26" t="n">
        <x:v>0</x:v>
      </x:c>
      <x:c r="P1703" s="26" t="n">
        <x:v>0</x:v>
      </x:c>
      <x:c r="Q1703" s="26" t="n">
        <x:v>0</x:v>
      </x:c>
      <x:c r="R1703" s="26" t="n">
        <x:v>0</x:v>
      </x:c>
      <x:c r="S1703" s="26" t="n">
        <x:v>0</x:v>
      </x:c>
      <x:c r="T1703" s="26" t="n">
        <x:v>0</x:v>
      </x:c>
      <x:c r="U1703" s="26" t="n">
        <x:v>11389.09</x:v>
      </x:c>
      <x:c r="V1703" s="26" t="n">
        <x:v>0</x:v>
      </x:c>
      <x:c r="W1703" s="26" t="n">
        <x:v>0</x:v>
      </x:c>
      <x:c r="X1703" s="26" t="n">
        <x:v>0</x:v>
      </x:c>
      <x:c r="Y1703" s="26" t="n">
        <x:v>11389.09</x:v>
      </x:c>
      <x:c r="Z1703" s="35" t="str">
        <x:v>Independent straight-line control; final system comparison must use configured recovery rules</x:v>
      </x:c>
    </x:row>
    <x:row r="1704">
      <x:c r="A1704" s="20" t="str">
        <x:v>FIN-01701</x:v>
      </x:c>
      <x:c r="B1704" s="23" t="n">
        <x:v>46752</x:v>
      </x:c>
      <x:c r="C1704" s="23" t="n">
        <x:v>46752</x:v>
      </x:c>
      <x:c r="D1704" s="20" t="str">
        <x:v>Depreciation</x:v>
      </x:c>
      <x:c r="E1704" s="20" t="str">
        <x:v>Residential rental depreciation</x:v>
      </x:c>
      <x:c r="F1704" s="20" t="str">
        <x:v>P025</x:v>
      </x:c>
      <x:c r="G1704" s="20" t="str"/>
      <x:c r="H1704" s="20" t="str"/>
      <x:c r="I1704" s="20" t="str">
        <x:v>System calculation</x:v>
      </x:c>
      <x:c r="J1704" s="35" t="str">
        <x:v>System DB-side report</x:v>
      </x:c>
      <x:c r="K1704" s="20" t="str"/>
      <x:c r="L1704" s="20" t="str">
        <x:v>DEPR-P025-2027</x:v>
      </x:c>
      <x:c r="M1704" s="26" t="n">
        <x:v>11600</x:v>
      </x:c>
      <x:c r="N1704" s="26" t="n">
        <x:v>0</x:v>
      </x:c>
      <x:c r="O1704" s="26" t="n">
        <x:v>0</x:v>
      </x:c>
      <x:c r="P1704" s="26" t="n">
        <x:v>0</x:v>
      </x:c>
      <x:c r="Q1704" s="26" t="n">
        <x:v>0</x:v>
      </x:c>
      <x:c r="R1704" s="26" t="n">
        <x:v>0</x:v>
      </x:c>
      <x:c r="S1704" s="26" t="n">
        <x:v>0</x:v>
      </x:c>
      <x:c r="T1704" s="26" t="n">
        <x:v>0</x:v>
      </x:c>
      <x:c r="U1704" s="26" t="n">
        <x:v>11600</x:v>
      </x:c>
      <x:c r="V1704" s="26" t="n">
        <x:v>0</x:v>
      </x:c>
      <x:c r="W1704" s="26" t="n">
        <x:v>0</x:v>
      </x:c>
      <x:c r="X1704" s="26" t="n">
        <x:v>0</x:v>
      </x:c>
      <x:c r="Y1704" s="26" t="n">
        <x:v>11600</x:v>
      </x:c>
      <x:c r="Z1704" s="35" t="str">
        <x:v>Independent straight-line control; final system comparison must use configured recovery rules</x:v>
      </x:c>
    </x:row>
    <x:row r="1705">
      <x:c r="A1705" s="20" t="str">
        <x:v>FIN-01702</x:v>
      </x:c>
      <x:c r="B1705" s="23" t="n">
        <x:v>46752</x:v>
      </x:c>
      <x:c r="C1705" s="23" t="n">
        <x:v>46752</x:v>
      </x:c>
      <x:c r="D1705" s="20" t="str">
        <x:v>Depreciation</x:v>
      </x:c>
      <x:c r="E1705" s="20" t="str">
        <x:v>Residential rental depreciation</x:v>
      </x:c>
      <x:c r="F1705" s="20" t="str">
        <x:v>P026</x:v>
      </x:c>
      <x:c r="G1705" s="20" t="str"/>
      <x:c r="H1705" s="20" t="str"/>
      <x:c r="I1705" s="20" t="str">
        <x:v>System calculation</x:v>
      </x:c>
      <x:c r="J1705" s="35" t="str">
        <x:v>System DB-side report</x:v>
      </x:c>
      <x:c r="K1705" s="20" t="str"/>
      <x:c r="L1705" s="20" t="str">
        <x:v>DEPR-P026-2027</x:v>
      </x:c>
      <x:c r="M1705" s="26" t="n">
        <x:v>11810.91</x:v>
      </x:c>
      <x:c r="N1705" s="26" t="n">
        <x:v>0</x:v>
      </x:c>
      <x:c r="O1705" s="26" t="n">
        <x:v>0</x:v>
      </x:c>
      <x:c r="P1705" s="26" t="n">
        <x:v>0</x:v>
      </x:c>
      <x:c r="Q1705" s="26" t="n">
        <x:v>0</x:v>
      </x:c>
      <x:c r="R1705" s="26" t="n">
        <x:v>0</x:v>
      </x:c>
      <x:c r="S1705" s="26" t="n">
        <x:v>0</x:v>
      </x:c>
      <x:c r="T1705" s="26" t="n">
        <x:v>0</x:v>
      </x:c>
      <x:c r="U1705" s="26" t="n">
        <x:v>11810.91</x:v>
      </x:c>
      <x:c r="V1705" s="26" t="n">
        <x:v>0</x:v>
      </x:c>
      <x:c r="W1705" s="26" t="n">
        <x:v>0</x:v>
      </x:c>
      <x:c r="X1705" s="26" t="n">
        <x:v>0</x:v>
      </x:c>
      <x:c r="Y1705" s="26" t="n">
        <x:v>11810.91</x:v>
      </x:c>
      <x:c r="Z1705" s="35" t="str">
        <x:v>Independent straight-line control; final system comparison must use configured recovery rules</x:v>
      </x:c>
    </x:row>
    <x:row r="1706">
      <x:c r="A1706" s="20" t="str">
        <x:v>FIN-01703</x:v>
      </x:c>
      <x:c r="B1706" s="23" t="n">
        <x:v>46752</x:v>
      </x:c>
      <x:c r="C1706" s="23" t="n">
        <x:v>46752</x:v>
      </x:c>
      <x:c r="D1706" s="20" t="str">
        <x:v>Depreciation</x:v>
      </x:c>
      <x:c r="E1706" s="20" t="str">
        <x:v>Residential rental depreciation</x:v>
      </x:c>
      <x:c r="F1706" s="20" t="str">
        <x:v>P027</x:v>
      </x:c>
      <x:c r="G1706" s="20" t="str"/>
      <x:c r="H1706" s="20" t="str"/>
      <x:c r="I1706" s="20" t="str">
        <x:v>System calculation</x:v>
      </x:c>
      <x:c r="J1706" s="35" t="str">
        <x:v>System DB-side report</x:v>
      </x:c>
      <x:c r="K1706" s="20" t="str"/>
      <x:c r="L1706" s="20" t="str">
        <x:v>DEPR-P027-2027</x:v>
      </x:c>
      <x:c r="M1706" s="26" t="n">
        <x:v>12021.82</x:v>
      </x:c>
      <x:c r="N1706" s="26" t="n">
        <x:v>0</x:v>
      </x:c>
      <x:c r="O1706" s="26" t="n">
        <x:v>0</x:v>
      </x:c>
      <x:c r="P1706" s="26" t="n">
        <x:v>0</x:v>
      </x:c>
      <x:c r="Q1706" s="26" t="n">
        <x:v>0</x:v>
      </x:c>
      <x:c r="R1706" s="26" t="n">
        <x:v>0</x:v>
      </x:c>
      <x:c r="S1706" s="26" t="n">
        <x:v>0</x:v>
      </x:c>
      <x:c r="T1706" s="26" t="n">
        <x:v>0</x:v>
      </x:c>
      <x:c r="U1706" s="26" t="n">
        <x:v>12021.82</x:v>
      </x:c>
      <x:c r="V1706" s="26" t="n">
        <x:v>0</x:v>
      </x:c>
      <x:c r="W1706" s="26" t="n">
        <x:v>0</x:v>
      </x:c>
      <x:c r="X1706" s="26" t="n">
        <x:v>0</x:v>
      </x:c>
      <x:c r="Y1706" s="26" t="n">
        <x:v>12021.82</x:v>
      </x:c>
      <x:c r="Z1706" s="35" t="str">
        <x:v>Independent straight-line control; final system comparison must use configured recovery rules</x:v>
      </x:c>
    </x:row>
    <x:row r="1707">
      <x:c r="A1707" s="20" t="str">
        <x:v>FIN-01704</x:v>
      </x:c>
      <x:c r="B1707" s="23" t="n">
        <x:v>46752</x:v>
      </x:c>
      <x:c r="C1707" s="23" t="n">
        <x:v>46752</x:v>
      </x:c>
      <x:c r="D1707" s="20" t="str">
        <x:v>Depreciation</x:v>
      </x:c>
      <x:c r="E1707" s="20" t="str">
        <x:v>Residential rental depreciation</x:v>
      </x:c>
      <x:c r="F1707" s="20" t="str">
        <x:v>P028</x:v>
      </x:c>
      <x:c r="G1707" s="20" t="str"/>
      <x:c r="H1707" s="20" t="str"/>
      <x:c r="I1707" s="20" t="str">
        <x:v>System calculation</x:v>
      </x:c>
      <x:c r="J1707" s="35" t="str">
        <x:v>System DB-side report</x:v>
      </x:c>
      <x:c r="K1707" s="20" t="str"/>
      <x:c r="L1707" s="20" t="str">
        <x:v>DEPR-P028-2027</x:v>
      </x:c>
      <x:c r="M1707" s="26" t="n">
        <x:v>12232.73</x:v>
      </x:c>
      <x:c r="N1707" s="26" t="n">
        <x:v>0</x:v>
      </x:c>
      <x:c r="O1707" s="26" t="n">
        <x:v>0</x:v>
      </x:c>
      <x:c r="P1707" s="26" t="n">
        <x:v>0</x:v>
      </x:c>
      <x:c r="Q1707" s="26" t="n">
        <x:v>0</x:v>
      </x:c>
      <x:c r="R1707" s="26" t="n">
        <x:v>0</x:v>
      </x:c>
      <x:c r="S1707" s="26" t="n">
        <x:v>0</x:v>
      </x:c>
      <x:c r="T1707" s="26" t="n">
        <x:v>0</x:v>
      </x:c>
      <x:c r="U1707" s="26" t="n">
        <x:v>12232.73</x:v>
      </x:c>
      <x:c r="V1707" s="26" t="n">
        <x:v>0</x:v>
      </x:c>
      <x:c r="W1707" s="26" t="n">
        <x:v>0</x:v>
      </x:c>
      <x:c r="X1707" s="26" t="n">
        <x:v>0</x:v>
      </x:c>
      <x:c r="Y1707" s="26" t="n">
        <x:v>12232.73</x:v>
      </x:c>
      <x:c r="Z1707" s="35" t="str">
        <x:v>Independent straight-line control; final system comparison must use configured recovery rules</x:v>
      </x:c>
    </x:row>
    <x:row r="1708">
      <x:c r="A1708" s="20" t="str">
        <x:v>FIN-01705</x:v>
      </x:c>
      <x:c r="B1708" s="23" t="n">
        <x:v>46752</x:v>
      </x:c>
      <x:c r="C1708" s="23" t="n">
        <x:v>46752</x:v>
      </x:c>
      <x:c r="D1708" s="20" t="str">
        <x:v>Depreciation</x:v>
      </x:c>
      <x:c r="E1708" s="20" t="str">
        <x:v>Residential rental depreciation</x:v>
      </x:c>
      <x:c r="F1708" s="20" t="str">
        <x:v>P029</x:v>
      </x:c>
      <x:c r="G1708" s="20" t="str"/>
      <x:c r="H1708" s="20" t="str"/>
      <x:c r="I1708" s="20" t="str">
        <x:v>System calculation</x:v>
      </x:c>
      <x:c r="J1708" s="35" t="str">
        <x:v>System DB-side report</x:v>
      </x:c>
      <x:c r="K1708" s="20" t="str"/>
      <x:c r="L1708" s="20" t="str">
        <x:v>DEPR-P029-2027</x:v>
      </x:c>
      <x:c r="M1708" s="26" t="n">
        <x:v>12443.64</x:v>
      </x:c>
      <x:c r="N1708" s="26" t="n">
        <x:v>0</x:v>
      </x:c>
      <x:c r="O1708" s="26" t="n">
        <x:v>0</x:v>
      </x:c>
      <x:c r="P1708" s="26" t="n">
        <x:v>0</x:v>
      </x:c>
      <x:c r="Q1708" s="26" t="n">
        <x:v>0</x:v>
      </x:c>
      <x:c r="R1708" s="26" t="n">
        <x:v>0</x:v>
      </x:c>
      <x:c r="S1708" s="26" t="n">
        <x:v>0</x:v>
      </x:c>
      <x:c r="T1708" s="26" t="n">
        <x:v>0</x:v>
      </x:c>
      <x:c r="U1708" s="26" t="n">
        <x:v>12443.64</x:v>
      </x:c>
      <x:c r="V1708" s="26" t="n">
        <x:v>0</x:v>
      </x:c>
      <x:c r="W1708" s="26" t="n">
        <x:v>0</x:v>
      </x:c>
      <x:c r="X1708" s="26" t="n">
        <x:v>0</x:v>
      </x:c>
      <x:c r="Y1708" s="26" t="n">
        <x:v>12443.64</x:v>
      </x:c>
      <x:c r="Z1708" s="35" t="str">
        <x:v>Independent straight-line control; final system comparison must use configured recovery rules</x:v>
      </x:c>
    </x:row>
    <x:row r="1709">
      <x:c r="A1709" s="21" t="str">
        <x:v>FIN-01706</x:v>
      </x:c>
      <x:c r="B1709" s="24" t="n">
        <x:v>46752</x:v>
      </x:c>
      <x:c r="C1709" s="24" t="n">
        <x:v>46752</x:v>
      </x:c>
      <x:c r="D1709" s="21" t="str">
        <x:v>Depreciation</x:v>
      </x:c>
      <x:c r="E1709" s="21" t="str">
        <x:v>Residential rental depreciation</x:v>
      </x:c>
      <x:c r="F1709" s="21" t="str">
        <x:v>P030</x:v>
      </x:c>
      <x:c r="G1709" s="21" t="str"/>
      <x:c r="H1709" s="21" t="str"/>
      <x:c r="I1709" s="21" t="str">
        <x:v>System calculation</x:v>
      </x:c>
      <x:c r="J1709" s="36" t="str">
        <x:v>System DB-side report</x:v>
      </x:c>
      <x:c r="K1709" s="21" t="str"/>
      <x:c r="L1709" s="21" t="str">
        <x:v>DEPR-P030-2027</x:v>
      </x:c>
      <x:c r="M1709" s="27" t="n">
        <x:v>12654.55</x:v>
      </x:c>
      <x:c r="N1709" s="27" t="n">
        <x:v>0</x:v>
      </x:c>
      <x:c r="O1709" s="27" t="n">
        <x:v>0</x:v>
      </x:c>
      <x:c r="P1709" s="27" t="n">
        <x:v>0</x:v>
      </x:c>
      <x:c r="Q1709" s="27" t="n">
        <x:v>0</x:v>
      </x:c>
      <x:c r="R1709" s="27" t="n">
        <x:v>0</x:v>
      </x:c>
      <x:c r="S1709" s="27" t="n">
        <x:v>0</x:v>
      </x:c>
      <x:c r="T1709" s="27" t="n">
        <x:v>0</x:v>
      </x:c>
      <x:c r="U1709" s="27" t="n">
        <x:v>12654.55</x:v>
      </x:c>
      <x:c r="V1709" s="27" t="n">
        <x:v>0</x:v>
      </x:c>
      <x:c r="W1709" s="27" t="n">
        <x:v>0</x:v>
      </x:c>
      <x:c r="X1709" s="27" t="n">
        <x:v>0</x:v>
      </x:c>
      <x:c r="Y1709" s="27" t="n">
        <x:v>12654.55</x:v>
      </x:c>
      <x:c r="Z1709" s="36" t="str">
        <x:v>Independent straight-line control; final system comparison must use configured recovery rules</x:v>
      </x:c>
    </x:row>
  </x:sheetData>
  <x:mergeCells>
    <x:mergeCell ref="A1:Z1"/>
  </x:mergeCells>
  <x:pageMargins left="0.7" right="0.7" top="0.75" bottom="0.75" header="0.3" footer="0.3"/>
  <x:tableParts count="1">
    <x:tablePart xmlns:r="http://schemas.openxmlformats.org/officeDocument/2006/relationships" r:id="Rba61c818df5248c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14" hidden="0" customWidth="1"/>
    <x:col min="4" max="4" width="14" hidden="0" customWidth="1"/>
    <x:col min="8" max="8" width="34" hidden="0" customWidth="1"/>
    <x:col min="9" max="9" width="17" hidden="0" customWidth="1"/>
    <x:col min="10" max="10" width="17" hidden="0" customWidth="1"/>
    <x:col min="11" max="11" width="54" hidden="0" customWidth="1"/>
  </x:cols>
  <x:sheetData>
    <x:row r="1" ht="34" customHeight="1">
      <x:c r="A1" s="3" t="str">
        <x:v>Balanced Double-Entry Journal</x:v>
      </x:c>
      <x:c r="B1" s="3" t="str">
        <x:v>Balanced Double-Entry Journal</x:v>
      </x:c>
      <x:c r="C1" s="3" t="str">
        <x:v>Balanced Double-Entry Journal</x:v>
      </x:c>
      <x:c r="D1" s="3" t="str">
        <x:v>Balanced Double-Entry Journal</x:v>
      </x:c>
      <x:c r="E1" s="3" t="str">
        <x:v>Balanced Double-Entry Journal</x:v>
      </x:c>
      <x:c r="F1" s="3" t="str">
        <x:v>Balanced Double-Entry Journal</x:v>
      </x:c>
      <x:c r="G1" s="3" t="str">
        <x:v>Balanced Double-Entry Journal</x:v>
      </x:c>
      <x:c r="H1" s="3" t="str">
        <x:v>Balanced Double-Entry Journal</x:v>
      </x:c>
      <x:c r="I1" s="3" t="str">
        <x:v>Balanced Double-Entry Journal</x:v>
      </x:c>
      <x:c r="J1" s="3" t="str">
        <x:v>Balanced Double-Entry Journal</x:v>
      </x:c>
      <x:c r="K1" s="3" t="str">
        <x:v>Balanced Double-Entry Journal</x:v>
      </x:c>
    </x:row>
    <x:row r="3" ht="30" customHeight="1">
      <x:c r="A3" s="12" t="str">
        <x:v>Event ID</x:v>
      </x:c>
      <x:c r="B3" s="13" t="str">
        <x:v>Line</x:v>
      </x:c>
      <x:c r="C3" s="13" t="str">
        <x:v>Entry Date</x:v>
      </x:c>
      <x:c r="D3" s="13" t="str">
        <x:v>Effective Date</x:v>
      </x:c>
      <x:c r="E3" s="13" t="str">
        <x:v>Property ID</x:v>
      </x:c>
      <x:c r="F3" s="13" t="str">
        <x:v>Unit ID</x:v>
      </x:c>
      <x:c r="G3" s="13" t="str">
        <x:v>Lease ID</x:v>
      </x:c>
      <x:c r="H3" s="13" t="str">
        <x:v>Account</x:v>
      </x:c>
      <x:c r="I3" s="13" t="str">
        <x:v>Debit</x:v>
      </x:c>
      <x:c r="J3" s="13" t="str">
        <x:v>Credit</x:v>
      </x:c>
      <x:c r="K3" s="14" t="str">
        <x:v>Memo</x:v>
      </x:c>
    </x:row>
    <x:row r="4">
      <x:c r="A4" s="19" t="str">
        <x:v>FIN-00001</x:v>
      </x:c>
      <x:c r="B4" s="31" t="n">
        <x:v>1</x:v>
      </x:c>
      <x:c r="C4" s="22" t="n">
        <x:v>46388</x:v>
      </x:c>
      <x:c r="D4" s="22" t="n">
        <x:v>46388</x:v>
      </x:c>
      <x:c r="E4" s="19" t="str"/>
      <x:c r="F4" s="19" t="str"/>
      <x:c r="G4" s="19" t="str"/>
      <x:c r="H4" s="19" t="str">
        <x:v>1000 Operating Cash</x:v>
      </x:c>
      <x:c r="I4" s="25" t="n">
        <x:v>150000</x:v>
      </x:c>
      <x:c r="J4" s="25" t="n">
        <x:v>0</x:v>
      </x:c>
      <x:c r="K4" s="34" t="str">
        <x:v>Opening control balances for the independent financial oracle</x:v>
      </x:c>
    </x:row>
    <x:row r="5">
      <x:c r="A5" s="20" t="str">
        <x:v>FIN-00001</x:v>
      </x:c>
      <x:c r="B5" s="32" t="n">
        <x:v>2</x:v>
      </x:c>
      <x:c r="C5" s="23" t="n">
        <x:v>46388</x:v>
      </x:c>
      <x:c r="D5" s="23" t="n">
        <x:v>46388</x:v>
      </x:c>
      <x:c r="E5" s="20" t="str"/>
      <x:c r="F5" s="20" t="str"/>
      <x:c r="G5" s="20" t="str"/>
      <x:c r="H5" s="20" t="str">
        <x:v>1010 Security Deposit Trust Cash</x:v>
      </x:c>
      <x:c r="I5" s="26" t="n">
        <x:v>54250</x:v>
      </x:c>
      <x:c r="J5" s="26" t="n">
        <x:v>0</x:v>
      </x:c>
      <x:c r="K5" s="35" t="str">
        <x:v>Opening control balances for the independent financial oracle</x:v>
      </x:c>
    </x:row>
    <x:row r="6">
      <x:c r="A6" s="20" t="str">
        <x:v>FIN-00001</x:v>
      </x:c>
      <x:c r="B6" s="32" t="n">
        <x:v>3</x:v>
      </x:c>
      <x:c r="C6" s="23" t="n">
        <x:v>46388</x:v>
      </x:c>
      <x:c r="D6" s="23" t="n">
        <x:v>46388</x:v>
      </x:c>
      <x:c r="E6" s="20" t="str"/>
      <x:c r="F6" s="20" t="str"/>
      <x:c r="G6" s="20" t="str"/>
      <x:c r="H6" s="20" t="str">
        <x:v>1020 Reserve Cash</x:v>
      </x:c>
      <x:c r="I6" s="26" t="n">
        <x:v>50000</x:v>
      </x:c>
      <x:c r="J6" s="26" t="n">
        <x:v>0</x:v>
      </x:c>
      <x:c r="K6" s="35" t="str">
        <x:v>Opening control balances for the independent financial oracle</x:v>
      </x:c>
    </x:row>
    <x:row r="7">
      <x:c r="A7" s="20" t="str">
        <x:v>FIN-00001</x:v>
      </x:c>
      <x:c r="B7" s="32" t="n">
        <x:v>4</x:v>
      </x:c>
      <x:c r="C7" s="23" t="n">
        <x:v>46388</x:v>
      </x:c>
      <x:c r="D7" s="23" t="n">
        <x:v>46388</x:v>
      </x:c>
      <x:c r="E7" s="20" t="str"/>
      <x:c r="F7" s="20" t="str"/>
      <x:c r="G7" s="20" t="str"/>
      <x:c r="H7" s="20" t="str">
        <x:v>1500 Rental Property Basis</x:v>
      </x:c>
      <x:c r="I7" s="26" t="n">
        <x:v>8996250</x:v>
      </x:c>
      <x:c r="J7" s="26" t="n">
        <x:v>0</x:v>
      </x:c>
      <x:c r="K7" s="35" t="str">
        <x:v>Opening control balances for the independent financial oracle</x:v>
      </x:c>
    </x:row>
    <x:row r="8">
      <x:c r="A8" s="20" t="str">
        <x:v>FIN-00001</x:v>
      </x:c>
      <x:c r="B8" s="32" t="n">
        <x:v>5</x:v>
      </x:c>
      <x:c r="C8" s="23" t="n">
        <x:v>46388</x:v>
      </x:c>
      <x:c r="D8" s="23" t="n">
        <x:v>46388</x:v>
      </x:c>
      <x:c r="E8" s="20" t="str"/>
      <x:c r="F8" s="20" t="str"/>
      <x:c r="G8" s="20" t="str"/>
      <x:c r="H8" s="20" t="str">
        <x:v>2000 Security Deposit Liability</x:v>
      </x:c>
      <x:c r="I8" s="26" t="n">
        <x:v>0</x:v>
      </x:c>
      <x:c r="J8" s="26" t="n">
        <x:v>54250</x:v>
      </x:c>
      <x:c r="K8" s="35" t="str">
        <x:v>Opening control balances for the independent financial oracle</x:v>
      </x:c>
    </x:row>
    <x:row r="9">
      <x:c r="A9" s="20" t="str">
        <x:v>FIN-00001</x:v>
      </x:c>
      <x:c r="B9" s="32" t="n">
        <x:v>6</x:v>
      </x:c>
      <x:c r="C9" s="23" t="n">
        <x:v>46388</x:v>
      </x:c>
      <x:c r="D9" s="23" t="n">
        <x:v>46388</x:v>
      </x:c>
      <x:c r="E9" s="20" t="str"/>
      <x:c r="F9" s="20" t="str"/>
      <x:c r="G9" s="20" t="str"/>
      <x:c r="H9" s="20" t="str">
        <x:v>2200 Mortgage Loans Payable</x:v>
      </x:c>
      <x:c r="I9" s="26" t="n">
        <x:v>0</x:v>
      </x:c>
      <x:c r="J9" s="26" t="n">
        <x:v>4126500</x:v>
      </x:c>
      <x:c r="K9" s="35" t="str">
        <x:v>Opening control balances for the independent financial oracle</x:v>
      </x:c>
    </x:row>
    <x:row r="10">
      <x:c r="A10" s="20" t="str">
        <x:v>FIN-00001</x:v>
      </x:c>
      <x:c r="B10" s="32" t="n">
        <x:v>7</x:v>
      </x:c>
      <x:c r="C10" s="23" t="n">
        <x:v>46388</x:v>
      </x:c>
      <x:c r="D10" s="23" t="n">
        <x:v>46388</x:v>
      </x:c>
      <x:c r="E10" s="20" t="str"/>
      <x:c r="F10" s="20" t="str"/>
      <x:c r="G10" s="20" t="str"/>
      <x:c r="H10" s="20" t="str">
        <x:v>3000 Owner Equity</x:v>
      </x:c>
      <x:c r="I10" s="26" t="n">
        <x:v>0</x:v>
      </x:c>
      <x:c r="J10" s="26" t="n">
        <x:v>5069750</x:v>
      </x:c>
      <x:c r="K10" s="35" t="str">
        <x:v>Opening control balances for the independent financial oracle</x:v>
      </x:c>
    </x:row>
    <x:row r="11">
      <x:c r="A11" s="20" t="str">
        <x:v>FIN-00002</x:v>
      </x:c>
      <x:c r="B11" s="32" t="n">
        <x:v>1</x:v>
      </x:c>
      <x:c r="C11" s="23" t="n">
        <x:v>46388</x:v>
      </x:c>
      <x:c r="D11" s="23" t="n">
        <x:v>46388</x:v>
      </x:c>
      <x:c r="E11" s="20" t="str">
        <x:v>P001</x:v>
      </x:c>
      <x:c r="F11" s="20" t="str">
        <x:v>U001</x:v>
      </x:c>
      <x:c r="G11" s="20" t="str">
        <x:v>L001</x:v>
      </x:c>
      <x:c r="H11" s="20" t="str">
        <x:v>1100 Tenant Accounts Receivable</x:v>
      </x:c>
      <x:c r="I11" s="26" t="n">
        <x:v>1575</x:v>
      </x:c>
      <x:c r="J11" s="26" t="n">
        <x:v>0</x:v>
      </x:c>
      <x:c r="K11" s="35" t="str">
        <x:v>January 2027 rent</x:v>
      </x:c>
    </x:row>
    <x:row r="12">
      <x:c r="A12" s="20" t="str">
        <x:v>FIN-00002</x:v>
      </x:c>
      <x:c r="B12" s="32" t="n">
        <x:v>2</x:v>
      </x:c>
      <x:c r="C12" s="23" t="n">
        <x:v>46388</x:v>
      </x:c>
      <x:c r="D12" s="23" t="n">
        <x:v>46388</x:v>
      </x:c>
      <x:c r="E12" s="20" t="str">
        <x:v>P001</x:v>
      </x:c>
      <x:c r="F12" s="20" t="str">
        <x:v>U001</x:v>
      </x:c>
      <x:c r="G12" s="20" t="str">
        <x:v>L001</x:v>
      </x:c>
      <x:c r="H12" s="20" t="str">
        <x:v>4000 Rental Income</x:v>
      </x:c>
      <x:c r="I12" s="26" t="n">
        <x:v>0</x:v>
      </x:c>
      <x:c r="J12" s="26" t="n">
        <x:v>1575</x:v>
      </x:c>
      <x:c r="K12" s="35" t="str">
        <x:v>January 2027 rent</x:v>
      </x:c>
    </x:row>
    <x:row r="13">
      <x:c r="A13" s="20" t="str">
        <x:v>FIN-00003</x:v>
      </x:c>
      <x:c r="B13" s="32" t="n">
        <x:v>1</x:v>
      </x:c>
      <x:c r="C13" s="23" t="n">
        <x:v>46391</x:v>
      </x:c>
      <x:c r="D13" s="23" t="n">
        <x:v>46391</x:v>
      </x:c>
      <x:c r="E13" s="20" t="str">
        <x:v>P001</x:v>
      </x:c>
      <x:c r="F13" s="20" t="str">
        <x:v>U001</x:v>
      </x:c>
      <x:c r="G13" s="20" t="str">
        <x:v>L001</x:v>
      </x:c>
      <x:c r="H13" s="20" t="str">
        <x:v>1000 Operating Cash</x:v>
      </x:c>
      <x:c r="I13" s="26" t="n">
        <x:v>1575</x:v>
      </x:c>
      <x:c r="J13" s="26" t="n">
        <x:v>0</x:v>
      </x:c>
      <x:c r="K13" s="35" t="str">
        <x:v>Receipt allocated to FIN-00002</x:v>
      </x:c>
    </x:row>
    <x:row r="14">
      <x:c r="A14" s="20" t="str">
        <x:v>FIN-00003</x:v>
      </x:c>
      <x:c r="B14" s="32" t="n">
        <x:v>2</x:v>
      </x:c>
      <x:c r="C14" s="23" t="n">
        <x:v>46391</x:v>
      </x:c>
      <x:c r="D14" s="23" t="n">
        <x:v>46391</x:v>
      </x:c>
      <x:c r="E14" s="20" t="str">
        <x:v>P001</x:v>
      </x:c>
      <x:c r="F14" s="20" t="str">
        <x:v>U001</x:v>
      </x:c>
      <x:c r="G14" s="20" t="str">
        <x:v>L001</x:v>
      </x:c>
      <x:c r="H14" s="20" t="str">
        <x:v>1100 Tenant Accounts Receivable</x:v>
      </x:c>
      <x:c r="I14" s="26" t="n">
        <x:v>0</x:v>
      </x:c>
      <x:c r="J14" s="26" t="n">
        <x:v>1575</x:v>
      </x:c>
      <x:c r="K14" s="35" t="str">
        <x:v>Receipt allocated to FIN-00002</x:v>
      </x:c>
    </x:row>
    <x:row r="15">
      <x:c r="A15" s="20" t="str">
        <x:v>FIN-00004</x:v>
      </x:c>
      <x:c r="B15" s="32" t="n">
        <x:v>1</x:v>
      </x:c>
      <x:c r="C15" s="23" t="n">
        <x:v>46388</x:v>
      </x:c>
      <x:c r="D15" s="23" t="n">
        <x:v>46388</x:v>
      </x:c>
      <x:c r="E15" s="20" t="str">
        <x:v>P002</x:v>
      </x:c>
      <x:c r="F15" s="20" t="str">
        <x:v>U002</x:v>
      </x:c>
      <x:c r="G15" s="20" t="str">
        <x:v>L002</x:v>
      </x:c>
      <x:c r="H15" s="20" t="str">
        <x:v>1100 Tenant Accounts Receivable</x:v>
      </x:c>
      <x:c r="I15" s="26" t="n">
        <x:v>1200</x:v>
      </x:c>
      <x:c r="J15" s="26" t="n">
        <x:v>0</x:v>
      </x:c>
      <x:c r="K15" s="35" t="str">
        <x:v>January 2027 rent</x:v>
      </x:c>
    </x:row>
    <x:row r="16">
      <x:c r="A16" s="20" t="str">
        <x:v>FIN-00004</x:v>
      </x:c>
      <x:c r="B16" s="32" t="n">
        <x:v>2</x:v>
      </x:c>
      <x:c r="C16" s="23" t="n">
        <x:v>46388</x:v>
      </x:c>
      <x:c r="D16" s="23" t="n">
        <x:v>46388</x:v>
      </x:c>
      <x:c r="E16" s="20" t="str">
        <x:v>P002</x:v>
      </x:c>
      <x:c r="F16" s="20" t="str">
        <x:v>U002</x:v>
      </x:c>
      <x:c r="G16" s="20" t="str">
        <x:v>L002</x:v>
      </x:c>
      <x:c r="H16" s="20" t="str">
        <x:v>4000 Rental Income</x:v>
      </x:c>
      <x:c r="I16" s="26" t="n">
        <x:v>0</x:v>
      </x:c>
      <x:c r="J16" s="26" t="n">
        <x:v>1200</x:v>
      </x:c>
      <x:c r="K16" s="35" t="str">
        <x:v>January 2027 rent</x:v>
      </x:c>
    </x:row>
    <x:row r="17">
      <x:c r="A17" s="20" t="str">
        <x:v>FIN-00005</x:v>
      </x:c>
      <x:c r="B17" s="32" t="n">
        <x:v>1</x:v>
      </x:c>
      <x:c r="C17" s="23" t="n">
        <x:v>46392</x:v>
      </x:c>
      <x:c r="D17" s="23" t="n">
        <x:v>46392</x:v>
      </x:c>
      <x:c r="E17" s="20" t="str">
        <x:v>P002</x:v>
      </x:c>
      <x:c r="F17" s="20" t="str">
        <x:v>U002</x:v>
      </x:c>
      <x:c r="G17" s="20" t="str">
        <x:v>L002</x:v>
      </x:c>
      <x:c r="H17" s="20" t="str">
        <x:v>1000 Operating Cash</x:v>
      </x:c>
      <x:c r="I17" s="26" t="n">
        <x:v>1200</x:v>
      </x:c>
      <x:c r="J17" s="26" t="n">
        <x:v>0</x:v>
      </x:c>
      <x:c r="K17" s="35" t="str">
        <x:v>Receipt allocated to FIN-00004</x:v>
      </x:c>
    </x:row>
    <x:row r="18">
      <x:c r="A18" s="20" t="str">
        <x:v>FIN-00005</x:v>
      </x:c>
      <x:c r="B18" s="32" t="n">
        <x:v>2</x:v>
      </x:c>
      <x:c r="C18" s="23" t="n">
        <x:v>46392</x:v>
      </x:c>
      <x:c r="D18" s="23" t="n">
        <x:v>46392</x:v>
      </x:c>
      <x:c r="E18" s="20" t="str">
        <x:v>P002</x:v>
      </x:c>
      <x:c r="F18" s="20" t="str">
        <x:v>U002</x:v>
      </x:c>
      <x:c r="G18" s="20" t="str">
        <x:v>L002</x:v>
      </x:c>
      <x:c r="H18" s="20" t="str">
        <x:v>1100 Tenant Accounts Receivable</x:v>
      </x:c>
      <x:c r="I18" s="26" t="n">
        <x:v>0</x:v>
      </x:c>
      <x:c r="J18" s="26" t="n">
        <x:v>1200</x:v>
      </x:c>
      <x:c r="K18" s="35" t="str">
        <x:v>Receipt allocated to FIN-00004</x:v>
      </x:c>
    </x:row>
    <x:row r="19">
      <x:c r="A19" s="20" t="str">
        <x:v>FIN-00006</x:v>
      </x:c>
      <x:c r="B19" s="32" t="n">
        <x:v>1</x:v>
      </x:c>
      <x:c r="C19" s="23" t="n">
        <x:v>46388</x:v>
      </x:c>
      <x:c r="D19" s="23" t="n">
        <x:v>46388</x:v>
      </x:c>
      <x:c r="E19" s="20" t="str">
        <x:v>P003</x:v>
      </x:c>
      <x:c r="F19" s="20" t="str">
        <x:v>U003</x:v>
      </x:c>
      <x:c r="G19" s="20" t="str">
        <x:v>L003</x:v>
      </x:c>
      <x:c r="H19" s="20" t="str">
        <x:v>1100 Tenant Accounts Receivable</x:v>
      </x:c>
      <x:c r="I19" s="26" t="n">
        <x:v>1725</x:v>
      </x:c>
      <x:c r="J19" s="26" t="n">
        <x:v>0</x:v>
      </x:c>
      <x:c r="K19" s="35" t="str">
        <x:v>January 2027 rent</x:v>
      </x:c>
    </x:row>
    <x:row r="20">
      <x:c r="A20" s="20" t="str">
        <x:v>FIN-00006</x:v>
      </x:c>
      <x:c r="B20" s="32" t="n">
        <x:v>2</x:v>
      </x:c>
      <x:c r="C20" s="23" t="n">
        <x:v>46388</x:v>
      </x:c>
      <x:c r="D20" s="23" t="n">
        <x:v>46388</x:v>
      </x:c>
      <x:c r="E20" s="20" t="str">
        <x:v>P003</x:v>
      </x:c>
      <x:c r="F20" s="20" t="str">
        <x:v>U003</x:v>
      </x:c>
      <x:c r="G20" s="20" t="str">
        <x:v>L003</x:v>
      </x:c>
      <x:c r="H20" s="20" t="str">
        <x:v>4000 Rental Income</x:v>
      </x:c>
      <x:c r="I20" s="26" t="n">
        <x:v>0</x:v>
      </x:c>
      <x:c r="J20" s="26" t="n">
        <x:v>1725</x:v>
      </x:c>
      <x:c r="K20" s="35" t="str">
        <x:v>January 2027 rent</x:v>
      </x:c>
    </x:row>
    <x:row r="21">
      <x:c r="A21" s="20" t="str">
        <x:v>FIN-00007</x:v>
      </x:c>
      <x:c r="B21" s="32" t="n">
        <x:v>1</x:v>
      </x:c>
      <x:c r="C21" s="23" t="n">
        <x:v>46390</x:v>
      </x:c>
      <x:c r="D21" s="23" t="n">
        <x:v>46390</x:v>
      </x:c>
      <x:c r="E21" s="20" t="str">
        <x:v>P003</x:v>
      </x:c>
      <x:c r="F21" s="20" t="str">
        <x:v>U003</x:v>
      </x:c>
      <x:c r="G21" s="20" t="str">
        <x:v>L003</x:v>
      </x:c>
      <x:c r="H21" s="20" t="str">
        <x:v>1000 Operating Cash</x:v>
      </x:c>
      <x:c r="I21" s="26" t="n">
        <x:v>1725</x:v>
      </x:c>
      <x:c r="J21" s="26" t="n">
        <x:v>0</x:v>
      </x:c>
      <x:c r="K21" s="35" t="str">
        <x:v>Receipt allocated to FIN-00006</x:v>
      </x:c>
    </x:row>
    <x:row r="22">
      <x:c r="A22" s="20" t="str">
        <x:v>FIN-00007</x:v>
      </x:c>
      <x:c r="B22" s="32" t="n">
        <x:v>2</x:v>
      </x:c>
      <x:c r="C22" s="23" t="n">
        <x:v>46390</x:v>
      </x:c>
      <x:c r="D22" s="23" t="n">
        <x:v>46390</x:v>
      </x:c>
      <x:c r="E22" s="20" t="str">
        <x:v>P003</x:v>
      </x:c>
      <x:c r="F22" s="20" t="str">
        <x:v>U003</x:v>
      </x:c>
      <x:c r="G22" s="20" t="str">
        <x:v>L003</x:v>
      </x:c>
      <x:c r="H22" s="20" t="str">
        <x:v>1100 Tenant Accounts Receivable</x:v>
      </x:c>
      <x:c r="I22" s="26" t="n">
        <x:v>0</x:v>
      </x:c>
      <x:c r="J22" s="26" t="n">
        <x:v>1725</x:v>
      </x:c>
      <x:c r="K22" s="35" t="str">
        <x:v>Receipt allocated to FIN-00006</x:v>
      </x:c>
    </x:row>
    <x:row r="23">
      <x:c r="A23" s="20" t="str">
        <x:v>FIN-00008</x:v>
      </x:c>
      <x:c r="B23" s="32" t="n">
        <x:v>1</x:v>
      </x:c>
      <x:c r="C23" s="23" t="n">
        <x:v>46388</x:v>
      </x:c>
      <x:c r="D23" s="23" t="n">
        <x:v>46388</x:v>
      </x:c>
      <x:c r="E23" s="20" t="str">
        <x:v>P004</x:v>
      </x:c>
      <x:c r="F23" s="20" t="str">
        <x:v>U004</x:v>
      </x:c>
      <x:c r="G23" s="20" t="str">
        <x:v>L004</x:v>
      </x:c>
      <x:c r="H23" s="20" t="str">
        <x:v>1100 Tenant Accounts Receivable</x:v>
      </x:c>
      <x:c r="I23" s="26" t="n">
        <x:v>1350</x:v>
      </x:c>
      <x:c r="J23" s="26" t="n">
        <x:v>0</x:v>
      </x:c>
      <x:c r="K23" s="35" t="str">
        <x:v>January 2027 rent</x:v>
      </x:c>
    </x:row>
    <x:row r="24">
      <x:c r="A24" s="20" t="str">
        <x:v>FIN-00008</x:v>
      </x:c>
      <x:c r="B24" s="32" t="n">
        <x:v>2</x:v>
      </x:c>
      <x:c r="C24" s="23" t="n">
        <x:v>46388</x:v>
      </x:c>
      <x:c r="D24" s="23" t="n">
        <x:v>46388</x:v>
      </x:c>
      <x:c r="E24" s="20" t="str">
        <x:v>P004</x:v>
      </x:c>
      <x:c r="F24" s="20" t="str">
        <x:v>U004</x:v>
      </x:c>
      <x:c r="G24" s="20" t="str">
        <x:v>L004</x:v>
      </x:c>
      <x:c r="H24" s="20" t="str">
        <x:v>4000 Rental Income</x:v>
      </x:c>
      <x:c r="I24" s="26" t="n">
        <x:v>0</x:v>
      </x:c>
      <x:c r="J24" s="26" t="n">
        <x:v>1350</x:v>
      </x:c>
      <x:c r="K24" s="35" t="str">
        <x:v>January 2027 rent</x:v>
      </x:c>
    </x:row>
    <x:row r="25">
      <x:c r="A25" s="20" t="str">
        <x:v>FIN-00009</x:v>
      </x:c>
      <x:c r="B25" s="32" t="n">
        <x:v>1</x:v>
      </x:c>
      <x:c r="C25" s="23" t="n">
        <x:v>46391</x:v>
      </x:c>
      <x:c r="D25" s="23" t="n">
        <x:v>46391</x:v>
      </x:c>
      <x:c r="E25" s="20" t="str">
        <x:v>P004</x:v>
      </x:c>
      <x:c r="F25" s="20" t="str">
        <x:v>U004</x:v>
      </x:c>
      <x:c r="G25" s="20" t="str">
        <x:v>L004</x:v>
      </x:c>
      <x:c r="H25" s="20" t="str">
        <x:v>1000 Operating Cash</x:v>
      </x:c>
      <x:c r="I25" s="26" t="n">
        <x:v>1350</x:v>
      </x:c>
      <x:c r="J25" s="26" t="n">
        <x:v>0</x:v>
      </x:c>
      <x:c r="K25" s="35" t="str">
        <x:v>Receipt allocated to FIN-00008</x:v>
      </x:c>
    </x:row>
    <x:row r="26">
      <x:c r="A26" s="20" t="str">
        <x:v>FIN-00009</x:v>
      </x:c>
      <x:c r="B26" s="32" t="n">
        <x:v>2</x:v>
      </x:c>
      <x:c r="C26" s="23" t="n">
        <x:v>46391</x:v>
      </x:c>
      <x:c r="D26" s="23" t="n">
        <x:v>46391</x:v>
      </x:c>
      <x:c r="E26" s="20" t="str">
        <x:v>P004</x:v>
      </x:c>
      <x:c r="F26" s="20" t="str">
        <x:v>U004</x:v>
      </x:c>
      <x:c r="G26" s="20" t="str">
        <x:v>L004</x:v>
      </x:c>
      <x:c r="H26" s="20" t="str">
        <x:v>1100 Tenant Accounts Receivable</x:v>
      </x:c>
      <x:c r="I26" s="26" t="n">
        <x:v>0</x:v>
      </x:c>
      <x:c r="J26" s="26" t="n">
        <x:v>1350</x:v>
      </x:c>
      <x:c r="K26" s="35" t="str">
        <x:v>Receipt allocated to FIN-00008</x:v>
      </x:c>
    </x:row>
    <x:row r="27">
      <x:c r="A27" s="20" t="str">
        <x:v>FIN-00010</x:v>
      </x:c>
      <x:c r="B27" s="32" t="n">
        <x:v>1</x:v>
      </x:c>
      <x:c r="C27" s="23" t="n">
        <x:v>46388</x:v>
      </x:c>
      <x:c r="D27" s="23" t="n">
        <x:v>46388</x:v>
      </x:c>
      <x:c r="E27" s="20" t="str">
        <x:v>P005</x:v>
      </x:c>
      <x:c r="F27" s="20" t="str">
        <x:v>U005</x:v>
      </x:c>
      <x:c r="G27" s="20" t="str">
        <x:v>L005</x:v>
      </x:c>
      <x:c r="H27" s="20" t="str">
        <x:v>1100 Tenant Accounts Receivable</x:v>
      </x:c>
      <x:c r="I27" s="26" t="n">
        <x:v>1875</x:v>
      </x:c>
      <x:c r="J27" s="26" t="n">
        <x:v>0</x:v>
      </x:c>
      <x:c r="K27" s="35" t="str">
        <x:v>January 2027 rent</x:v>
      </x:c>
    </x:row>
    <x:row r="28">
      <x:c r="A28" s="20" t="str">
        <x:v>FIN-00010</x:v>
      </x:c>
      <x:c r="B28" s="32" t="n">
        <x:v>2</x:v>
      </x:c>
      <x:c r="C28" s="23" t="n">
        <x:v>46388</x:v>
      </x:c>
      <x:c r="D28" s="23" t="n">
        <x:v>46388</x:v>
      </x:c>
      <x:c r="E28" s="20" t="str">
        <x:v>P005</x:v>
      </x:c>
      <x:c r="F28" s="20" t="str">
        <x:v>U005</x:v>
      </x:c>
      <x:c r="G28" s="20" t="str">
        <x:v>L005</x:v>
      </x:c>
      <x:c r="H28" s="20" t="str">
        <x:v>4000 Rental Income</x:v>
      </x:c>
      <x:c r="I28" s="26" t="n">
        <x:v>0</x:v>
      </x:c>
      <x:c r="J28" s="26" t="n">
        <x:v>1875</x:v>
      </x:c>
      <x:c r="K28" s="35" t="str">
        <x:v>January 2027 rent</x:v>
      </x:c>
    </x:row>
    <x:row r="29">
      <x:c r="A29" s="20" t="str">
        <x:v>FIN-00011</x:v>
      </x:c>
      <x:c r="B29" s="32" t="n">
        <x:v>1</x:v>
      </x:c>
      <x:c r="C29" s="23" t="n">
        <x:v>46392</x:v>
      </x:c>
      <x:c r="D29" s="23" t="n">
        <x:v>46392</x:v>
      </x:c>
      <x:c r="E29" s="20" t="str">
        <x:v>P005</x:v>
      </x:c>
      <x:c r="F29" s="20" t="str">
        <x:v>U005</x:v>
      </x:c>
      <x:c r="G29" s="20" t="str">
        <x:v>L005</x:v>
      </x:c>
      <x:c r="H29" s="20" t="str">
        <x:v>1000 Operating Cash</x:v>
      </x:c>
      <x:c r="I29" s="26" t="n">
        <x:v>1875</x:v>
      </x:c>
      <x:c r="J29" s="26" t="n">
        <x:v>0</x:v>
      </x:c>
      <x:c r="K29" s="35" t="str">
        <x:v>Receipt allocated to FIN-00010</x:v>
      </x:c>
    </x:row>
    <x:row r="30">
      <x:c r="A30" s="20" t="str">
        <x:v>FIN-00011</x:v>
      </x:c>
      <x:c r="B30" s="32" t="n">
        <x:v>2</x:v>
      </x:c>
      <x:c r="C30" s="23" t="n">
        <x:v>46392</x:v>
      </x:c>
      <x:c r="D30" s="23" t="n">
        <x:v>46392</x:v>
      </x:c>
      <x:c r="E30" s="20" t="str">
        <x:v>P005</x:v>
      </x:c>
      <x:c r="F30" s="20" t="str">
        <x:v>U005</x:v>
      </x:c>
      <x:c r="G30" s="20" t="str">
        <x:v>L005</x:v>
      </x:c>
      <x:c r="H30" s="20" t="str">
        <x:v>1100 Tenant Accounts Receivable</x:v>
      </x:c>
      <x:c r="I30" s="26" t="n">
        <x:v>0</x:v>
      </x:c>
      <x:c r="J30" s="26" t="n">
        <x:v>1875</x:v>
      </x:c>
      <x:c r="K30" s="35" t="str">
        <x:v>Receipt allocated to FIN-00010</x:v>
      </x:c>
    </x:row>
    <x:row r="31">
      <x:c r="A31" s="20" t="str">
        <x:v>FIN-00012</x:v>
      </x:c>
      <x:c r="B31" s="32" t="n">
        <x:v>1</x:v>
      </x:c>
      <x:c r="C31" s="23" t="n">
        <x:v>46388</x:v>
      </x:c>
      <x:c r="D31" s="23" t="n">
        <x:v>46388</x:v>
      </x:c>
      <x:c r="E31" s="20" t="str">
        <x:v>P006</x:v>
      </x:c>
      <x:c r="F31" s="20" t="str">
        <x:v>U006</x:v>
      </x:c>
      <x:c r="G31" s="20" t="str">
        <x:v>L006</x:v>
      </x:c>
      <x:c r="H31" s="20" t="str">
        <x:v>1100 Tenant Accounts Receivable</x:v>
      </x:c>
      <x:c r="I31" s="26" t="n">
        <x:v>1500</x:v>
      </x:c>
      <x:c r="J31" s="26" t="n">
        <x:v>0</x:v>
      </x:c>
      <x:c r="K31" s="35" t="str">
        <x:v>January 2027 rent</x:v>
      </x:c>
    </x:row>
    <x:row r="32">
      <x:c r="A32" s="20" t="str">
        <x:v>FIN-00012</x:v>
      </x:c>
      <x:c r="B32" s="32" t="n">
        <x:v>2</x:v>
      </x:c>
      <x:c r="C32" s="23" t="n">
        <x:v>46388</x:v>
      </x:c>
      <x:c r="D32" s="23" t="n">
        <x:v>46388</x:v>
      </x:c>
      <x:c r="E32" s="20" t="str">
        <x:v>P006</x:v>
      </x:c>
      <x:c r="F32" s="20" t="str">
        <x:v>U006</x:v>
      </x:c>
      <x:c r="G32" s="20" t="str">
        <x:v>L006</x:v>
      </x:c>
      <x:c r="H32" s="20" t="str">
        <x:v>4000 Rental Income</x:v>
      </x:c>
      <x:c r="I32" s="26" t="n">
        <x:v>0</x:v>
      </x:c>
      <x:c r="J32" s="26" t="n">
        <x:v>1500</x:v>
      </x:c>
      <x:c r="K32" s="35" t="str">
        <x:v>January 2027 rent</x:v>
      </x:c>
    </x:row>
    <x:row r="33">
      <x:c r="A33" s="20" t="str">
        <x:v>FIN-00013</x:v>
      </x:c>
      <x:c r="B33" s="32" t="n">
        <x:v>1</x:v>
      </x:c>
      <x:c r="C33" s="23" t="n">
        <x:v>46390</x:v>
      </x:c>
      <x:c r="D33" s="23" t="n">
        <x:v>46390</x:v>
      </x:c>
      <x:c r="E33" s="20" t="str">
        <x:v>P006</x:v>
      </x:c>
      <x:c r="F33" s="20" t="str">
        <x:v>U006</x:v>
      </x:c>
      <x:c r="G33" s="20" t="str">
        <x:v>L006</x:v>
      </x:c>
      <x:c r="H33" s="20" t="str">
        <x:v>1000 Operating Cash</x:v>
      </x:c>
      <x:c r="I33" s="26" t="n">
        <x:v>1500</x:v>
      </x:c>
      <x:c r="J33" s="26" t="n">
        <x:v>0</x:v>
      </x:c>
      <x:c r="K33" s="35" t="str">
        <x:v>Receipt allocated to FIN-00012</x:v>
      </x:c>
    </x:row>
    <x:row r="34">
      <x:c r="A34" s="20" t="str">
        <x:v>FIN-00013</x:v>
      </x:c>
      <x:c r="B34" s="32" t="n">
        <x:v>2</x:v>
      </x:c>
      <x:c r="C34" s="23" t="n">
        <x:v>46390</x:v>
      </x:c>
      <x:c r="D34" s="23" t="n">
        <x:v>46390</x:v>
      </x:c>
      <x:c r="E34" s="20" t="str">
        <x:v>P006</x:v>
      </x:c>
      <x:c r="F34" s="20" t="str">
        <x:v>U006</x:v>
      </x:c>
      <x:c r="G34" s="20" t="str">
        <x:v>L006</x:v>
      </x:c>
      <x:c r="H34" s="20" t="str">
        <x:v>1100 Tenant Accounts Receivable</x:v>
      </x:c>
      <x:c r="I34" s="26" t="n">
        <x:v>0</x:v>
      </x:c>
      <x:c r="J34" s="26" t="n">
        <x:v>1500</x:v>
      </x:c>
      <x:c r="K34" s="35" t="str">
        <x:v>Receipt allocated to FIN-00012</x:v>
      </x:c>
    </x:row>
    <x:row r="35">
      <x:c r="A35" s="20" t="str">
        <x:v>FIN-00014</x:v>
      </x:c>
      <x:c r="B35" s="32" t="n">
        <x:v>1</x:v>
      </x:c>
      <x:c r="C35" s="23" t="n">
        <x:v>46388</x:v>
      </x:c>
      <x:c r="D35" s="23" t="n">
        <x:v>46388</x:v>
      </x:c>
      <x:c r="E35" s="20" t="str">
        <x:v>P007</x:v>
      </x:c>
      <x:c r="F35" s="20" t="str">
        <x:v>U007</x:v>
      </x:c>
      <x:c r="G35" s="20" t="str">
        <x:v>L007</x:v>
      </x:c>
      <x:c r="H35" s="20" t="str">
        <x:v>1100 Tenant Accounts Receivable</x:v>
      </x:c>
      <x:c r="I35" s="26" t="n">
        <x:v>1125</x:v>
      </x:c>
      <x:c r="J35" s="26" t="n">
        <x:v>0</x:v>
      </x:c>
      <x:c r="K35" s="35" t="str">
        <x:v>January 2027 rent</x:v>
      </x:c>
    </x:row>
    <x:row r="36">
      <x:c r="A36" s="20" t="str">
        <x:v>FIN-00014</x:v>
      </x:c>
      <x:c r="B36" s="32" t="n">
        <x:v>2</x:v>
      </x:c>
      <x:c r="C36" s="23" t="n">
        <x:v>46388</x:v>
      </x:c>
      <x:c r="D36" s="23" t="n">
        <x:v>46388</x:v>
      </x:c>
      <x:c r="E36" s="20" t="str">
        <x:v>P007</x:v>
      </x:c>
      <x:c r="F36" s="20" t="str">
        <x:v>U007</x:v>
      </x:c>
      <x:c r="G36" s="20" t="str">
        <x:v>L007</x:v>
      </x:c>
      <x:c r="H36" s="20" t="str">
        <x:v>4000 Rental Income</x:v>
      </x:c>
      <x:c r="I36" s="26" t="n">
        <x:v>0</x:v>
      </x:c>
      <x:c r="J36" s="26" t="n">
        <x:v>1125</x:v>
      </x:c>
      <x:c r="K36" s="35" t="str">
        <x:v>January 2027 rent</x:v>
      </x:c>
    </x:row>
    <x:row r="37">
      <x:c r="A37" s="20" t="str">
        <x:v>FIN-00015</x:v>
      </x:c>
      <x:c r="B37" s="32" t="n">
        <x:v>1</x:v>
      </x:c>
      <x:c r="C37" s="23" t="n">
        <x:v>46391</x:v>
      </x:c>
      <x:c r="D37" s="23" t="n">
        <x:v>46391</x:v>
      </x:c>
      <x:c r="E37" s="20" t="str">
        <x:v>P007</x:v>
      </x:c>
      <x:c r="F37" s="20" t="str">
        <x:v>U007</x:v>
      </x:c>
      <x:c r="G37" s="20" t="str">
        <x:v>L007</x:v>
      </x:c>
      <x:c r="H37" s="20" t="str">
        <x:v>1000 Operating Cash</x:v>
      </x:c>
      <x:c r="I37" s="26" t="n">
        <x:v>1125</x:v>
      </x:c>
      <x:c r="J37" s="26" t="n">
        <x:v>0</x:v>
      </x:c>
      <x:c r="K37" s="35" t="str">
        <x:v>Receipt allocated to FIN-00014</x:v>
      </x:c>
    </x:row>
    <x:row r="38">
      <x:c r="A38" s="20" t="str">
        <x:v>FIN-00015</x:v>
      </x:c>
      <x:c r="B38" s="32" t="n">
        <x:v>2</x:v>
      </x:c>
      <x:c r="C38" s="23" t="n">
        <x:v>46391</x:v>
      </x:c>
      <x:c r="D38" s="23" t="n">
        <x:v>46391</x:v>
      </x:c>
      <x:c r="E38" s="20" t="str">
        <x:v>P007</x:v>
      </x:c>
      <x:c r="F38" s="20" t="str">
        <x:v>U007</x:v>
      </x:c>
      <x:c r="G38" s="20" t="str">
        <x:v>L007</x:v>
      </x:c>
      <x:c r="H38" s="20" t="str">
        <x:v>1100 Tenant Accounts Receivable</x:v>
      </x:c>
      <x:c r="I38" s="26" t="n">
        <x:v>0</x:v>
      </x:c>
      <x:c r="J38" s="26" t="n">
        <x:v>1125</x:v>
      </x:c>
      <x:c r="K38" s="35" t="str">
        <x:v>Receipt allocated to FIN-00014</x:v>
      </x:c>
    </x:row>
    <x:row r="39">
      <x:c r="A39" s="20" t="str">
        <x:v>FIN-00016</x:v>
      </x:c>
      <x:c r="B39" s="32" t="n">
        <x:v>1</x:v>
      </x:c>
      <x:c r="C39" s="23" t="n">
        <x:v>46388</x:v>
      </x:c>
      <x:c r="D39" s="23" t="n">
        <x:v>46388</x:v>
      </x:c>
      <x:c r="E39" s="20" t="str">
        <x:v>P008</x:v>
      </x:c>
      <x:c r="F39" s="20" t="str">
        <x:v>U008</x:v>
      </x:c>
      <x:c r="G39" s="20" t="str">
        <x:v>L008</x:v>
      </x:c>
      <x:c r="H39" s="20" t="str">
        <x:v>1100 Tenant Accounts Receivable</x:v>
      </x:c>
      <x:c r="I39" s="26" t="n">
        <x:v>1650</x:v>
      </x:c>
      <x:c r="J39" s="26" t="n">
        <x:v>0</x:v>
      </x:c>
      <x:c r="K39" s="35" t="str">
        <x:v>January 2027 rent</x:v>
      </x:c>
    </x:row>
    <x:row r="40">
      <x:c r="A40" s="20" t="str">
        <x:v>FIN-00016</x:v>
      </x:c>
      <x:c r="B40" s="32" t="n">
        <x:v>2</x:v>
      </x:c>
      <x:c r="C40" s="23" t="n">
        <x:v>46388</x:v>
      </x:c>
      <x:c r="D40" s="23" t="n">
        <x:v>46388</x:v>
      </x:c>
      <x:c r="E40" s="20" t="str">
        <x:v>P008</x:v>
      </x:c>
      <x:c r="F40" s="20" t="str">
        <x:v>U008</x:v>
      </x:c>
      <x:c r="G40" s="20" t="str">
        <x:v>L008</x:v>
      </x:c>
      <x:c r="H40" s="20" t="str">
        <x:v>4000 Rental Income</x:v>
      </x:c>
      <x:c r="I40" s="26" t="n">
        <x:v>0</x:v>
      </x:c>
      <x:c r="J40" s="26" t="n">
        <x:v>1650</x:v>
      </x:c>
      <x:c r="K40" s="35" t="str">
        <x:v>January 2027 rent</x:v>
      </x:c>
    </x:row>
    <x:row r="41">
      <x:c r="A41" s="20" t="str">
        <x:v>FIN-00017</x:v>
      </x:c>
      <x:c r="B41" s="32" t="n">
        <x:v>1</x:v>
      </x:c>
      <x:c r="C41" s="23" t="n">
        <x:v>46392</x:v>
      </x:c>
      <x:c r="D41" s="23" t="n">
        <x:v>46392</x:v>
      </x:c>
      <x:c r="E41" s="20" t="str">
        <x:v>P008</x:v>
      </x:c>
      <x:c r="F41" s="20" t="str">
        <x:v>U008</x:v>
      </x:c>
      <x:c r="G41" s="20" t="str">
        <x:v>L008</x:v>
      </x:c>
      <x:c r="H41" s="20" t="str">
        <x:v>1000 Operating Cash</x:v>
      </x:c>
      <x:c r="I41" s="26" t="n">
        <x:v>1650</x:v>
      </x:c>
      <x:c r="J41" s="26" t="n">
        <x:v>0</x:v>
      </x:c>
      <x:c r="K41" s="35" t="str">
        <x:v>Receipt allocated to FIN-00016</x:v>
      </x:c>
    </x:row>
    <x:row r="42">
      <x:c r="A42" s="20" t="str">
        <x:v>FIN-00017</x:v>
      </x:c>
      <x:c r="B42" s="32" t="n">
        <x:v>2</x:v>
      </x:c>
      <x:c r="C42" s="23" t="n">
        <x:v>46392</x:v>
      </x:c>
      <x:c r="D42" s="23" t="n">
        <x:v>46392</x:v>
      </x:c>
      <x:c r="E42" s="20" t="str">
        <x:v>P008</x:v>
      </x:c>
      <x:c r="F42" s="20" t="str">
        <x:v>U008</x:v>
      </x:c>
      <x:c r="G42" s="20" t="str">
        <x:v>L008</x:v>
      </x:c>
      <x:c r="H42" s="20" t="str">
        <x:v>1100 Tenant Accounts Receivable</x:v>
      </x:c>
      <x:c r="I42" s="26" t="n">
        <x:v>0</x:v>
      </x:c>
      <x:c r="J42" s="26" t="n">
        <x:v>1650</x:v>
      </x:c>
      <x:c r="K42" s="35" t="str">
        <x:v>Receipt allocated to FIN-00016</x:v>
      </x:c>
    </x:row>
    <x:row r="43">
      <x:c r="A43" s="20" t="str">
        <x:v>FIN-00018</x:v>
      </x:c>
      <x:c r="B43" s="32" t="n">
        <x:v>1</x:v>
      </x:c>
      <x:c r="C43" s="23" t="n">
        <x:v>46388</x:v>
      </x:c>
      <x:c r="D43" s="23" t="n">
        <x:v>46388</x:v>
      </x:c>
      <x:c r="E43" s="20" t="str">
        <x:v>P009</x:v>
      </x:c>
      <x:c r="F43" s="20" t="str">
        <x:v>U009</x:v>
      </x:c>
      <x:c r="G43" s="20" t="str">
        <x:v>L009</x:v>
      </x:c>
      <x:c r="H43" s="20" t="str">
        <x:v>1100 Tenant Accounts Receivable</x:v>
      </x:c>
      <x:c r="I43" s="26" t="n">
        <x:v>1275</x:v>
      </x:c>
      <x:c r="J43" s="26" t="n">
        <x:v>0</x:v>
      </x:c>
      <x:c r="K43" s="35" t="str">
        <x:v>January 2027 rent</x:v>
      </x:c>
    </x:row>
    <x:row r="44">
      <x:c r="A44" s="20" t="str">
        <x:v>FIN-00018</x:v>
      </x:c>
      <x:c r="B44" s="32" t="n">
        <x:v>2</x:v>
      </x:c>
      <x:c r="C44" s="23" t="n">
        <x:v>46388</x:v>
      </x:c>
      <x:c r="D44" s="23" t="n">
        <x:v>46388</x:v>
      </x:c>
      <x:c r="E44" s="20" t="str">
        <x:v>P009</x:v>
      </x:c>
      <x:c r="F44" s="20" t="str">
        <x:v>U009</x:v>
      </x:c>
      <x:c r="G44" s="20" t="str">
        <x:v>L009</x:v>
      </x:c>
      <x:c r="H44" s="20" t="str">
        <x:v>4000 Rental Income</x:v>
      </x:c>
      <x:c r="I44" s="26" t="n">
        <x:v>0</x:v>
      </x:c>
      <x:c r="J44" s="26" t="n">
        <x:v>1275</x:v>
      </x:c>
      <x:c r="K44" s="35" t="str">
        <x:v>January 2027 rent</x:v>
      </x:c>
    </x:row>
    <x:row r="45">
      <x:c r="A45" s="20" t="str">
        <x:v>FIN-00019</x:v>
      </x:c>
      <x:c r="B45" s="32" t="n">
        <x:v>1</x:v>
      </x:c>
      <x:c r="C45" s="23" t="n">
        <x:v>46390</x:v>
      </x:c>
      <x:c r="D45" s="23" t="n">
        <x:v>46390</x:v>
      </x:c>
      <x:c r="E45" s="20" t="str">
        <x:v>P009</x:v>
      </x:c>
      <x:c r="F45" s="20" t="str">
        <x:v>U009</x:v>
      </x:c>
      <x:c r="G45" s="20" t="str">
        <x:v>L009</x:v>
      </x:c>
      <x:c r="H45" s="20" t="str">
        <x:v>1000 Operating Cash</x:v>
      </x:c>
      <x:c r="I45" s="26" t="n">
        <x:v>1275</x:v>
      </x:c>
      <x:c r="J45" s="26" t="n">
        <x:v>0</x:v>
      </x:c>
      <x:c r="K45" s="35" t="str">
        <x:v>Receipt allocated to FIN-00018</x:v>
      </x:c>
    </x:row>
    <x:row r="46">
      <x:c r="A46" s="20" t="str">
        <x:v>FIN-00019</x:v>
      </x:c>
      <x:c r="B46" s="32" t="n">
        <x:v>2</x:v>
      </x:c>
      <x:c r="C46" s="23" t="n">
        <x:v>46390</x:v>
      </x:c>
      <x:c r="D46" s="23" t="n">
        <x:v>46390</x:v>
      </x:c>
      <x:c r="E46" s="20" t="str">
        <x:v>P009</x:v>
      </x:c>
      <x:c r="F46" s="20" t="str">
        <x:v>U009</x:v>
      </x:c>
      <x:c r="G46" s="20" t="str">
        <x:v>L009</x:v>
      </x:c>
      <x:c r="H46" s="20" t="str">
        <x:v>1100 Tenant Accounts Receivable</x:v>
      </x:c>
      <x:c r="I46" s="26" t="n">
        <x:v>0</x:v>
      </x:c>
      <x:c r="J46" s="26" t="n">
        <x:v>1275</x:v>
      </x:c>
      <x:c r="K46" s="35" t="str">
        <x:v>Receipt allocated to FIN-00018</x:v>
      </x:c>
    </x:row>
    <x:row r="47">
      <x:c r="A47" s="20" t="str">
        <x:v>FIN-00020</x:v>
      </x:c>
      <x:c r="B47" s="32" t="n">
        <x:v>1</x:v>
      </x:c>
      <x:c r="C47" s="23" t="n">
        <x:v>46388</x:v>
      </x:c>
      <x:c r="D47" s="23" t="n">
        <x:v>46388</x:v>
      </x:c>
      <x:c r="E47" s="20" t="str">
        <x:v>P010</x:v>
      </x:c>
      <x:c r="F47" s="20" t="str">
        <x:v>U010</x:v>
      </x:c>
      <x:c r="G47" s="20" t="str">
        <x:v>L010</x:v>
      </x:c>
      <x:c r="H47" s="20" t="str">
        <x:v>1100 Tenant Accounts Receivable</x:v>
      </x:c>
      <x:c r="I47" s="26" t="n">
        <x:v>1800</x:v>
      </x:c>
      <x:c r="J47" s="26" t="n">
        <x:v>0</x:v>
      </x:c>
      <x:c r="K47" s="35" t="str">
        <x:v>January 2027 rent</x:v>
      </x:c>
    </x:row>
    <x:row r="48">
      <x:c r="A48" s="20" t="str">
        <x:v>FIN-00020</x:v>
      </x:c>
      <x:c r="B48" s="32" t="n">
        <x:v>2</x:v>
      </x:c>
      <x:c r="C48" s="23" t="n">
        <x:v>46388</x:v>
      </x:c>
      <x:c r="D48" s="23" t="n">
        <x:v>46388</x:v>
      </x:c>
      <x:c r="E48" s="20" t="str">
        <x:v>P010</x:v>
      </x:c>
      <x:c r="F48" s="20" t="str">
        <x:v>U010</x:v>
      </x:c>
      <x:c r="G48" s="20" t="str">
        <x:v>L010</x:v>
      </x:c>
      <x:c r="H48" s="20" t="str">
        <x:v>4000 Rental Income</x:v>
      </x:c>
      <x:c r="I48" s="26" t="n">
        <x:v>0</x:v>
      </x:c>
      <x:c r="J48" s="26" t="n">
        <x:v>1800</x:v>
      </x:c>
      <x:c r="K48" s="35" t="str">
        <x:v>January 2027 rent</x:v>
      </x:c>
    </x:row>
    <x:row r="49">
      <x:c r="A49" s="20" t="str">
        <x:v>FIN-00021</x:v>
      </x:c>
      <x:c r="B49" s="32" t="n">
        <x:v>1</x:v>
      </x:c>
      <x:c r="C49" s="23" t="n">
        <x:v>46391</x:v>
      </x:c>
      <x:c r="D49" s="23" t="n">
        <x:v>46391</x:v>
      </x:c>
      <x:c r="E49" s="20" t="str">
        <x:v>P010</x:v>
      </x:c>
      <x:c r="F49" s="20" t="str">
        <x:v>U010</x:v>
      </x:c>
      <x:c r="G49" s="20" t="str">
        <x:v>L010</x:v>
      </x:c>
      <x:c r="H49" s="20" t="str">
        <x:v>1000 Operating Cash</x:v>
      </x:c>
      <x:c r="I49" s="26" t="n">
        <x:v>1800</x:v>
      </x:c>
      <x:c r="J49" s="26" t="n">
        <x:v>0</x:v>
      </x:c>
      <x:c r="K49" s="35" t="str">
        <x:v>Receipt allocated to FIN-00020</x:v>
      </x:c>
    </x:row>
    <x:row r="50">
      <x:c r="A50" s="20" t="str">
        <x:v>FIN-00021</x:v>
      </x:c>
      <x:c r="B50" s="32" t="n">
        <x:v>2</x:v>
      </x:c>
      <x:c r="C50" s="23" t="n">
        <x:v>46391</x:v>
      </x:c>
      <x:c r="D50" s="23" t="n">
        <x:v>46391</x:v>
      </x:c>
      <x:c r="E50" s="20" t="str">
        <x:v>P010</x:v>
      </x:c>
      <x:c r="F50" s="20" t="str">
        <x:v>U010</x:v>
      </x:c>
      <x:c r="G50" s="20" t="str">
        <x:v>L010</x:v>
      </x:c>
      <x:c r="H50" s="20" t="str">
        <x:v>1100 Tenant Accounts Receivable</x:v>
      </x:c>
      <x:c r="I50" s="26" t="n">
        <x:v>0</x:v>
      </x:c>
      <x:c r="J50" s="26" t="n">
        <x:v>1800</x:v>
      </x:c>
      <x:c r="K50" s="35" t="str">
        <x:v>Receipt allocated to FIN-00020</x:v>
      </x:c>
    </x:row>
    <x:row r="51">
      <x:c r="A51" s="20" t="str">
        <x:v>FIN-00022</x:v>
      </x:c>
      <x:c r="B51" s="32" t="n">
        <x:v>1</x:v>
      </x:c>
      <x:c r="C51" s="23" t="n">
        <x:v>46388</x:v>
      </x:c>
      <x:c r="D51" s="23" t="n">
        <x:v>46388</x:v>
      </x:c>
      <x:c r="E51" s="20" t="str">
        <x:v>P011</x:v>
      </x:c>
      <x:c r="F51" s="20" t="str">
        <x:v>U011</x:v>
      </x:c>
      <x:c r="G51" s="20" t="str">
        <x:v>L011</x:v>
      </x:c>
      <x:c r="H51" s="20" t="str">
        <x:v>1100 Tenant Accounts Receivable</x:v>
      </x:c>
      <x:c r="I51" s="26" t="n">
        <x:v>1425</x:v>
      </x:c>
      <x:c r="J51" s="26" t="n">
        <x:v>0</x:v>
      </x:c>
      <x:c r="K51" s="35" t="str">
        <x:v>January 2027 rent</x:v>
      </x:c>
    </x:row>
    <x:row r="52">
      <x:c r="A52" s="20" t="str">
        <x:v>FIN-00022</x:v>
      </x:c>
      <x:c r="B52" s="32" t="n">
        <x:v>2</x:v>
      </x:c>
      <x:c r="C52" s="23" t="n">
        <x:v>46388</x:v>
      </x:c>
      <x:c r="D52" s="23" t="n">
        <x:v>46388</x:v>
      </x:c>
      <x:c r="E52" s="20" t="str">
        <x:v>P011</x:v>
      </x:c>
      <x:c r="F52" s="20" t="str">
        <x:v>U011</x:v>
      </x:c>
      <x:c r="G52" s="20" t="str">
        <x:v>L011</x:v>
      </x:c>
      <x:c r="H52" s="20" t="str">
        <x:v>4000 Rental Income</x:v>
      </x:c>
      <x:c r="I52" s="26" t="n">
        <x:v>0</x:v>
      </x:c>
      <x:c r="J52" s="26" t="n">
        <x:v>1425</x:v>
      </x:c>
      <x:c r="K52" s="35" t="str">
        <x:v>January 2027 rent</x:v>
      </x:c>
    </x:row>
    <x:row r="53">
      <x:c r="A53" s="20" t="str">
        <x:v>FIN-00023</x:v>
      </x:c>
      <x:c r="B53" s="32" t="n">
        <x:v>1</x:v>
      </x:c>
      <x:c r="C53" s="23" t="n">
        <x:v>46390</x:v>
      </x:c>
      <x:c r="D53" s="23" t="n">
        <x:v>46390</x:v>
      </x:c>
      <x:c r="E53" s="20" t="str">
        <x:v>P011</x:v>
      </x:c>
      <x:c r="F53" s="20" t="str">
        <x:v>U011</x:v>
      </x:c>
      <x:c r="G53" s="20" t="str">
        <x:v>L011</x:v>
      </x:c>
      <x:c r="H53" s="20" t="str">
        <x:v>1000 Operating Cash</x:v>
      </x:c>
      <x:c r="I53" s="26" t="n">
        <x:v>855</x:v>
      </x:c>
      <x:c r="J53" s="26" t="n">
        <x:v>0</x:v>
      </x:c>
      <x:c r="K53" s="35" t="str">
        <x:v>Receipt allocated to FIN-00022</x:v>
      </x:c>
    </x:row>
    <x:row r="54">
      <x:c r="A54" s="20" t="str">
        <x:v>FIN-00023</x:v>
      </x:c>
      <x:c r="B54" s="32" t="n">
        <x:v>2</x:v>
      </x:c>
      <x:c r="C54" s="23" t="n">
        <x:v>46390</x:v>
      </x:c>
      <x:c r="D54" s="23" t="n">
        <x:v>46390</x:v>
      </x:c>
      <x:c r="E54" s="20" t="str">
        <x:v>P011</x:v>
      </x:c>
      <x:c r="F54" s="20" t="str">
        <x:v>U011</x:v>
      </x:c>
      <x:c r="G54" s="20" t="str">
        <x:v>L011</x:v>
      </x:c>
      <x:c r="H54" s="20" t="str">
        <x:v>1100 Tenant Accounts Receivable</x:v>
      </x:c>
      <x:c r="I54" s="26" t="n">
        <x:v>0</x:v>
      </x:c>
      <x:c r="J54" s="26" t="n">
        <x:v>855</x:v>
      </x:c>
      <x:c r="K54" s="35" t="str">
        <x:v>Receipt allocated to FIN-00022</x:v>
      </x:c>
    </x:row>
    <x:row r="55">
      <x:c r="A55" s="20" t="str">
        <x:v>FIN-00024</x:v>
      </x:c>
      <x:c r="B55" s="32" t="n">
        <x:v>1</x:v>
      </x:c>
      <x:c r="C55" s="23" t="n">
        <x:v>46393</x:v>
      </x:c>
      <x:c r="D55" s="23" t="n">
        <x:v>46393</x:v>
      </x:c>
      <x:c r="E55" s="20" t="str">
        <x:v>P011</x:v>
      </x:c>
      <x:c r="F55" s="20" t="str">
        <x:v>U011</x:v>
      </x:c>
      <x:c r="G55" s="20" t="str">
        <x:v>L011</x:v>
      </x:c>
      <x:c r="H55" s="20" t="str">
        <x:v>1100 Tenant Accounts Receivable</x:v>
      </x:c>
      <x:c r="I55" s="26" t="n">
        <x:v>50</x:v>
      </x:c>
      <x:c r="J55" s="26" t="n">
        <x:v>0</x:v>
      </x:c>
      <x:c r="K55" s="35" t="str">
        <x:v>Synthetic lease-authorized late fee after partial payment</x:v>
      </x:c>
    </x:row>
    <x:row r="56">
      <x:c r="A56" s="20" t="str">
        <x:v>FIN-00024</x:v>
      </x:c>
      <x:c r="B56" s="32" t="n">
        <x:v>2</x:v>
      </x:c>
      <x:c r="C56" s="23" t="n">
        <x:v>46393</x:v>
      </x:c>
      <x:c r="D56" s="23" t="n">
        <x:v>46393</x:v>
      </x:c>
      <x:c r="E56" s="20" t="str">
        <x:v>P011</x:v>
      </x:c>
      <x:c r="F56" s="20" t="str">
        <x:v>U011</x:v>
      </x:c>
      <x:c r="G56" s="20" t="str">
        <x:v>L011</x:v>
      </x:c>
      <x:c r="H56" s="20" t="str">
        <x:v>4010 Late Fee Income</x:v>
      </x:c>
      <x:c r="I56" s="26" t="n">
        <x:v>0</x:v>
      </x:c>
      <x:c r="J56" s="26" t="n">
        <x:v>50</x:v>
      </x:c>
      <x:c r="K56" s="35" t="str">
        <x:v>Synthetic lease-authorized late fee after partial payment</x:v>
      </x:c>
    </x:row>
    <x:row r="57">
      <x:c r="A57" s="20" t="str">
        <x:v>FIN-00025</x:v>
      </x:c>
      <x:c r="B57" s="32" t="n">
        <x:v>1</x:v>
      </x:c>
      <x:c r="C57" s="23" t="n">
        <x:v>46399</x:v>
      </x:c>
      <x:c r="D57" s="23" t="n">
        <x:v>46399</x:v>
      </x:c>
      <x:c r="E57" s="20" t="str">
        <x:v>P011</x:v>
      </x:c>
      <x:c r="F57" s="20" t="str">
        <x:v>U011</x:v>
      </x:c>
      <x:c r="G57" s="20" t="str">
        <x:v>L011</x:v>
      </x:c>
      <x:c r="H57" s="20" t="str">
        <x:v>1000 Operating Cash</x:v>
      </x:c>
      <x:c r="I57" s="26" t="n">
        <x:v>620</x:v>
      </x:c>
      <x:c r="J57" s="26" t="n">
        <x:v>0</x:v>
      </x:c>
      <x:c r="K57" s="35" t="str">
        <x:v>Receipt allocated to FIN-00024</x:v>
      </x:c>
    </x:row>
    <x:row r="58">
      <x:c r="A58" s="20" t="str">
        <x:v>FIN-00025</x:v>
      </x:c>
      <x:c r="B58" s="32" t="n">
        <x:v>2</x:v>
      </x:c>
      <x:c r="C58" s="23" t="n">
        <x:v>46399</x:v>
      </x:c>
      <x:c r="D58" s="23" t="n">
        <x:v>46399</x:v>
      </x:c>
      <x:c r="E58" s="20" t="str">
        <x:v>P011</x:v>
      </x:c>
      <x:c r="F58" s="20" t="str">
        <x:v>U011</x:v>
      </x:c>
      <x:c r="G58" s="20" t="str">
        <x:v>L011</x:v>
      </x:c>
      <x:c r="H58" s="20" t="str">
        <x:v>1100 Tenant Accounts Receivable</x:v>
      </x:c>
      <x:c r="I58" s="26" t="n">
        <x:v>0</x:v>
      </x:c>
      <x:c r="J58" s="26" t="n">
        <x:v>620</x:v>
      </x:c>
      <x:c r="K58" s="35" t="str">
        <x:v>Receipt allocated to FIN-00024</x:v>
      </x:c>
    </x:row>
    <x:row r="59">
      <x:c r="A59" s="20" t="str">
        <x:v>FIN-00026</x:v>
      </x:c>
      <x:c r="B59" s="32" t="n">
        <x:v>1</x:v>
      </x:c>
      <x:c r="C59" s="23" t="n">
        <x:v>46388</x:v>
      </x:c>
      <x:c r="D59" s="23" t="n">
        <x:v>46388</x:v>
      </x:c>
      <x:c r="E59" s="20" t="str">
        <x:v>P012</x:v>
      </x:c>
      <x:c r="F59" s="20" t="str">
        <x:v>U012</x:v>
      </x:c>
      <x:c r="G59" s="20" t="str">
        <x:v>L012</x:v>
      </x:c>
      <x:c r="H59" s="20" t="str">
        <x:v>1100 Tenant Accounts Receivable</x:v>
      </x:c>
      <x:c r="I59" s="26" t="n">
        <x:v>1050</x:v>
      </x:c>
      <x:c r="J59" s="26" t="n">
        <x:v>0</x:v>
      </x:c>
      <x:c r="K59" s="35" t="str">
        <x:v>January 2027 rent</x:v>
      </x:c>
    </x:row>
    <x:row r="60">
      <x:c r="A60" s="20" t="str">
        <x:v>FIN-00026</x:v>
      </x:c>
      <x:c r="B60" s="32" t="n">
        <x:v>2</x:v>
      </x:c>
      <x:c r="C60" s="23" t="n">
        <x:v>46388</x:v>
      </x:c>
      <x:c r="D60" s="23" t="n">
        <x:v>46388</x:v>
      </x:c>
      <x:c r="E60" s="20" t="str">
        <x:v>P012</x:v>
      </x:c>
      <x:c r="F60" s="20" t="str">
        <x:v>U012</x:v>
      </x:c>
      <x:c r="G60" s="20" t="str">
        <x:v>L012</x:v>
      </x:c>
      <x:c r="H60" s="20" t="str">
        <x:v>4000 Rental Income</x:v>
      </x:c>
      <x:c r="I60" s="26" t="n">
        <x:v>0</x:v>
      </x:c>
      <x:c r="J60" s="26" t="n">
        <x:v>1050</x:v>
      </x:c>
      <x:c r="K60" s="35" t="str">
        <x:v>January 2027 rent</x:v>
      </x:c>
    </x:row>
    <x:row r="61">
      <x:c r="A61" s="20" t="str">
        <x:v>FIN-00027</x:v>
      </x:c>
      <x:c r="B61" s="32" t="n">
        <x:v>1</x:v>
      </x:c>
      <x:c r="C61" s="23" t="n">
        <x:v>46390</x:v>
      </x:c>
      <x:c r="D61" s="23" t="n">
        <x:v>46390</x:v>
      </x:c>
      <x:c r="E61" s="20" t="str">
        <x:v>P012</x:v>
      </x:c>
      <x:c r="F61" s="20" t="str">
        <x:v>U012</x:v>
      </x:c>
      <x:c r="G61" s="20" t="str">
        <x:v>L012</x:v>
      </x:c>
      <x:c r="H61" s="20" t="str">
        <x:v>1000 Operating Cash</x:v>
      </x:c>
      <x:c r="I61" s="26" t="n">
        <x:v>1050</x:v>
      </x:c>
      <x:c r="J61" s="26" t="n">
        <x:v>0</x:v>
      </x:c>
      <x:c r="K61" s="35" t="str">
        <x:v>Receipt allocated to FIN-00026</x:v>
      </x:c>
    </x:row>
    <x:row r="62">
      <x:c r="A62" s="20" t="str">
        <x:v>FIN-00027</x:v>
      </x:c>
      <x:c r="B62" s="32" t="n">
        <x:v>2</x:v>
      </x:c>
      <x:c r="C62" s="23" t="n">
        <x:v>46390</x:v>
      </x:c>
      <x:c r="D62" s="23" t="n">
        <x:v>46390</x:v>
      </x:c>
      <x:c r="E62" s="20" t="str">
        <x:v>P012</x:v>
      </x:c>
      <x:c r="F62" s="20" t="str">
        <x:v>U012</x:v>
      </x:c>
      <x:c r="G62" s="20" t="str">
        <x:v>L012</x:v>
      </x:c>
      <x:c r="H62" s="20" t="str">
        <x:v>1100 Tenant Accounts Receivable</x:v>
      </x:c>
      <x:c r="I62" s="26" t="n">
        <x:v>0</x:v>
      </x:c>
      <x:c r="J62" s="26" t="n">
        <x:v>1050</x:v>
      </x:c>
      <x:c r="K62" s="35" t="str">
        <x:v>Receipt allocated to FIN-00026</x:v>
      </x:c>
    </x:row>
    <x:row r="63">
      <x:c r="A63" s="20" t="str">
        <x:v>FIN-00028</x:v>
      </x:c>
      <x:c r="B63" s="32" t="n">
        <x:v>1</x:v>
      </x:c>
      <x:c r="C63" s="23" t="n">
        <x:v>46388</x:v>
      </x:c>
      <x:c r="D63" s="23" t="n">
        <x:v>46388</x:v>
      </x:c>
      <x:c r="E63" s="20" t="str">
        <x:v>P013</x:v>
      </x:c>
      <x:c r="F63" s="20" t="str">
        <x:v>U013</x:v>
      </x:c>
      <x:c r="G63" s="20" t="str">
        <x:v>L013</x:v>
      </x:c>
      <x:c r="H63" s="20" t="str">
        <x:v>1100 Tenant Accounts Receivable</x:v>
      </x:c>
      <x:c r="I63" s="26" t="n">
        <x:v>1575</x:v>
      </x:c>
      <x:c r="J63" s="26" t="n">
        <x:v>0</x:v>
      </x:c>
      <x:c r="K63" s="35" t="str">
        <x:v>January 2027 rent</x:v>
      </x:c>
    </x:row>
    <x:row r="64">
      <x:c r="A64" s="20" t="str">
        <x:v>FIN-00028</x:v>
      </x:c>
      <x:c r="B64" s="32" t="n">
        <x:v>2</x:v>
      </x:c>
      <x:c r="C64" s="23" t="n">
        <x:v>46388</x:v>
      </x:c>
      <x:c r="D64" s="23" t="n">
        <x:v>46388</x:v>
      </x:c>
      <x:c r="E64" s="20" t="str">
        <x:v>P013</x:v>
      </x:c>
      <x:c r="F64" s="20" t="str">
        <x:v>U013</x:v>
      </x:c>
      <x:c r="G64" s="20" t="str">
        <x:v>L013</x:v>
      </x:c>
      <x:c r="H64" s="20" t="str">
        <x:v>4000 Rental Income</x:v>
      </x:c>
      <x:c r="I64" s="26" t="n">
        <x:v>0</x:v>
      </x:c>
      <x:c r="J64" s="26" t="n">
        <x:v>1575</x:v>
      </x:c>
      <x:c r="K64" s="35" t="str">
        <x:v>January 2027 rent</x:v>
      </x:c>
    </x:row>
    <x:row r="65">
      <x:c r="A65" s="20" t="str">
        <x:v>FIN-00029</x:v>
      </x:c>
      <x:c r="B65" s="32" t="n">
        <x:v>1</x:v>
      </x:c>
      <x:c r="C65" s="23" t="n">
        <x:v>46393</x:v>
      </x:c>
      <x:c r="D65" s="23" t="n">
        <x:v>46393</x:v>
      </x:c>
      <x:c r="E65" s="20" t="str">
        <x:v>P013</x:v>
      </x:c>
      <x:c r="F65" s="20" t="str">
        <x:v>U013</x:v>
      </x:c>
      <x:c r="G65" s="20" t="str">
        <x:v>L013</x:v>
      </x:c>
      <x:c r="H65" s="20" t="str">
        <x:v>1100 Tenant Accounts Receivable</x:v>
      </x:c>
      <x:c r="I65" s="26" t="n">
        <x:v>50</x:v>
      </x:c>
      <x:c r="J65" s="26" t="n">
        <x:v>0</x:v>
      </x:c>
      <x:c r="K65" s="35" t="str">
        <x:v>Synthetic lease-authorized late fee</x:v>
      </x:c>
    </x:row>
    <x:row r="66">
      <x:c r="A66" s="20" t="str">
        <x:v>FIN-00029</x:v>
      </x:c>
      <x:c r="B66" s="32" t="n">
        <x:v>2</x:v>
      </x:c>
      <x:c r="C66" s="23" t="n">
        <x:v>46393</x:v>
      </x:c>
      <x:c r="D66" s="23" t="n">
        <x:v>46393</x:v>
      </x:c>
      <x:c r="E66" s="20" t="str">
        <x:v>P013</x:v>
      </x:c>
      <x:c r="F66" s="20" t="str">
        <x:v>U013</x:v>
      </x:c>
      <x:c r="G66" s="20" t="str">
        <x:v>L013</x:v>
      </x:c>
      <x:c r="H66" s="20" t="str">
        <x:v>4010 Late Fee Income</x:v>
      </x:c>
      <x:c r="I66" s="26" t="n">
        <x:v>0</x:v>
      </x:c>
      <x:c r="J66" s="26" t="n">
        <x:v>50</x:v>
      </x:c>
      <x:c r="K66" s="35" t="str">
        <x:v>Synthetic lease-authorized late fee</x:v>
      </x:c>
    </x:row>
    <x:row r="67">
      <x:c r="A67" s="20" t="str">
        <x:v>FIN-00030</x:v>
      </x:c>
      <x:c r="B67" s="32" t="n">
        <x:v>1</x:v>
      </x:c>
      <x:c r="C67" s="23" t="n">
        <x:v>46395</x:v>
      </x:c>
      <x:c r="D67" s="23" t="n">
        <x:v>46395</x:v>
      </x:c>
      <x:c r="E67" s="20" t="str">
        <x:v>P013</x:v>
      </x:c>
      <x:c r="F67" s="20" t="str">
        <x:v>U013</x:v>
      </x:c>
      <x:c r="G67" s="20" t="str">
        <x:v>L013</x:v>
      </x:c>
      <x:c r="H67" s="20" t="str">
        <x:v>1000 Operating Cash</x:v>
      </x:c>
      <x:c r="I67" s="26" t="n">
        <x:v>1625</x:v>
      </x:c>
      <x:c r="J67" s="26" t="n">
        <x:v>0</x:v>
      </x:c>
      <x:c r="K67" s="35" t="str">
        <x:v>Receipt allocated to FIN-00029</x:v>
      </x:c>
    </x:row>
    <x:row r="68">
      <x:c r="A68" s="20" t="str">
        <x:v>FIN-00030</x:v>
      </x:c>
      <x:c r="B68" s="32" t="n">
        <x:v>2</x:v>
      </x:c>
      <x:c r="C68" s="23" t="n">
        <x:v>46395</x:v>
      </x:c>
      <x:c r="D68" s="23" t="n">
        <x:v>46395</x:v>
      </x:c>
      <x:c r="E68" s="20" t="str">
        <x:v>P013</x:v>
      </x:c>
      <x:c r="F68" s="20" t="str">
        <x:v>U013</x:v>
      </x:c>
      <x:c r="G68" s="20" t="str">
        <x:v>L013</x:v>
      </x:c>
      <x:c r="H68" s="20" t="str">
        <x:v>1100 Tenant Accounts Receivable</x:v>
      </x:c>
      <x:c r="I68" s="26" t="n">
        <x:v>0</x:v>
      </x:c>
      <x:c r="J68" s="26" t="n">
        <x:v>1625</x:v>
      </x:c>
      <x:c r="K68" s="35" t="str">
        <x:v>Receipt allocated to FIN-00029</x:v>
      </x:c>
    </x:row>
    <x:row r="69">
      <x:c r="A69" s="20" t="str">
        <x:v>FIN-00031</x:v>
      </x:c>
      <x:c r="B69" s="32" t="n">
        <x:v>1</x:v>
      </x:c>
      <x:c r="C69" s="23" t="n">
        <x:v>46388</x:v>
      </x:c>
      <x:c r="D69" s="23" t="n">
        <x:v>46388</x:v>
      </x:c>
      <x:c r="E69" s="20" t="str">
        <x:v>P014</x:v>
      </x:c>
      <x:c r="F69" s="20" t="str">
        <x:v>U014</x:v>
      </x:c>
      <x:c r="G69" s="20" t="str">
        <x:v>L014</x:v>
      </x:c>
      <x:c r="H69" s="20" t="str">
        <x:v>1100 Tenant Accounts Receivable</x:v>
      </x:c>
      <x:c r="I69" s="26" t="n">
        <x:v>1200</x:v>
      </x:c>
      <x:c r="J69" s="26" t="n">
        <x:v>0</x:v>
      </x:c>
      <x:c r="K69" s="35" t="str">
        <x:v>January 2027 rent</x:v>
      </x:c>
    </x:row>
    <x:row r="70">
      <x:c r="A70" s="20" t="str">
        <x:v>FIN-00031</x:v>
      </x:c>
      <x:c r="B70" s="32" t="n">
        <x:v>2</x:v>
      </x:c>
      <x:c r="C70" s="23" t="n">
        <x:v>46388</x:v>
      </x:c>
      <x:c r="D70" s="23" t="n">
        <x:v>46388</x:v>
      </x:c>
      <x:c r="E70" s="20" t="str">
        <x:v>P014</x:v>
      </x:c>
      <x:c r="F70" s="20" t="str">
        <x:v>U014</x:v>
      </x:c>
      <x:c r="G70" s="20" t="str">
        <x:v>L014</x:v>
      </x:c>
      <x:c r="H70" s="20" t="str">
        <x:v>4000 Rental Income</x:v>
      </x:c>
      <x:c r="I70" s="26" t="n">
        <x:v>0</x:v>
      </x:c>
      <x:c r="J70" s="26" t="n">
        <x:v>1200</x:v>
      </x:c>
      <x:c r="K70" s="35" t="str">
        <x:v>January 2027 rent</x:v>
      </x:c>
    </x:row>
    <x:row r="71">
      <x:c r="A71" s="20" t="str">
        <x:v>FIN-00032</x:v>
      </x:c>
      <x:c r="B71" s="32" t="n">
        <x:v>1</x:v>
      </x:c>
      <x:c r="C71" s="23" t="n">
        <x:v>46392</x:v>
      </x:c>
      <x:c r="D71" s="23" t="n">
        <x:v>46392</x:v>
      </x:c>
      <x:c r="E71" s="20" t="str">
        <x:v>P014</x:v>
      </x:c>
      <x:c r="F71" s="20" t="str">
        <x:v>U014</x:v>
      </x:c>
      <x:c r="G71" s="20" t="str">
        <x:v>L014</x:v>
      </x:c>
      <x:c r="H71" s="20" t="str">
        <x:v>1000 Operating Cash</x:v>
      </x:c>
      <x:c r="I71" s="26" t="n">
        <x:v>1200</x:v>
      </x:c>
      <x:c r="J71" s="26" t="n">
        <x:v>0</x:v>
      </x:c>
      <x:c r="K71" s="35" t="str">
        <x:v>Receipt allocated to FIN-00031</x:v>
      </x:c>
    </x:row>
    <x:row r="72">
      <x:c r="A72" s="20" t="str">
        <x:v>FIN-00032</x:v>
      </x:c>
      <x:c r="B72" s="32" t="n">
        <x:v>2</x:v>
      </x:c>
      <x:c r="C72" s="23" t="n">
        <x:v>46392</x:v>
      </x:c>
      <x:c r="D72" s="23" t="n">
        <x:v>46392</x:v>
      </x:c>
      <x:c r="E72" s="20" t="str">
        <x:v>P014</x:v>
      </x:c>
      <x:c r="F72" s="20" t="str">
        <x:v>U014</x:v>
      </x:c>
      <x:c r="G72" s="20" t="str">
        <x:v>L014</x:v>
      </x:c>
      <x:c r="H72" s="20" t="str">
        <x:v>1100 Tenant Accounts Receivable</x:v>
      </x:c>
      <x:c r="I72" s="26" t="n">
        <x:v>0</x:v>
      </x:c>
      <x:c r="J72" s="26" t="n">
        <x:v>1200</x:v>
      </x:c>
      <x:c r="K72" s="35" t="str">
        <x:v>Receipt allocated to FIN-00031</x:v>
      </x:c>
    </x:row>
    <x:row r="73">
      <x:c r="A73" s="20" t="str">
        <x:v>FIN-00033</x:v>
      </x:c>
      <x:c r="B73" s="32" t="n">
        <x:v>1</x:v>
      </x:c>
      <x:c r="C73" s="23" t="n">
        <x:v>46388</x:v>
      </x:c>
      <x:c r="D73" s="23" t="n">
        <x:v>46388</x:v>
      </x:c>
      <x:c r="E73" s="20" t="str">
        <x:v>P015</x:v>
      </x:c>
      <x:c r="F73" s="20" t="str">
        <x:v>U015</x:v>
      </x:c>
      <x:c r="G73" s="20" t="str">
        <x:v>L015</x:v>
      </x:c>
      <x:c r="H73" s="20" t="str">
        <x:v>1100 Tenant Accounts Receivable</x:v>
      </x:c>
      <x:c r="I73" s="26" t="n">
        <x:v>1725</x:v>
      </x:c>
      <x:c r="J73" s="26" t="n">
        <x:v>0</x:v>
      </x:c>
      <x:c r="K73" s="35" t="str">
        <x:v>January 2027 rent</x:v>
      </x:c>
    </x:row>
    <x:row r="74">
      <x:c r="A74" s="20" t="str">
        <x:v>FIN-00033</x:v>
      </x:c>
      <x:c r="B74" s="32" t="n">
        <x:v>2</x:v>
      </x:c>
      <x:c r="C74" s="23" t="n">
        <x:v>46388</x:v>
      </x:c>
      <x:c r="D74" s="23" t="n">
        <x:v>46388</x:v>
      </x:c>
      <x:c r="E74" s="20" t="str">
        <x:v>P015</x:v>
      </x:c>
      <x:c r="F74" s="20" t="str">
        <x:v>U015</x:v>
      </x:c>
      <x:c r="G74" s="20" t="str">
        <x:v>L015</x:v>
      </x:c>
      <x:c r="H74" s="20" t="str">
        <x:v>4000 Rental Income</x:v>
      </x:c>
      <x:c r="I74" s="26" t="n">
        <x:v>0</x:v>
      </x:c>
      <x:c r="J74" s="26" t="n">
        <x:v>1725</x:v>
      </x:c>
      <x:c r="K74" s="35" t="str">
        <x:v>January 2027 rent</x:v>
      </x:c>
    </x:row>
    <x:row r="75">
      <x:c r="A75" s="20" t="str">
        <x:v>FIN-00034</x:v>
      </x:c>
      <x:c r="B75" s="32" t="n">
        <x:v>1</x:v>
      </x:c>
      <x:c r="C75" s="23" t="n">
        <x:v>46390</x:v>
      </x:c>
      <x:c r="D75" s="23" t="n">
        <x:v>46390</x:v>
      </x:c>
      <x:c r="E75" s="20" t="str">
        <x:v>P015</x:v>
      </x:c>
      <x:c r="F75" s="20" t="str">
        <x:v>U015</x:v>
      </x:c>
      <x:c r="G75" s="20" t="str">
        <x:v>L015</x:v>
      </x:c>
      <x:c r="H75" s="20" t="str">
        <x:v>1000 Operating Cash</x:v>
      </x:c>
      <x:c r="I75" s="26" t="n">
        <x:v>1725</x:v>
      </x:c>
      <x:c r="J75" s="26" t="n">
        <x:v>0</x:v>
      </x:c>
      <x:c r="K75" s="35" t="str">
        <x:v>Receipt allocated to FIN-00033</x:v>
      </x:c>
    </x:row>
    <x:row r="76">
      <x:c r="A76" s="20" t="str">
        <x:v>FIN-00034</x:v>
      </x:c>
      <x:c r="B76" s="32" t="n">
        <x:v>2</x:v>
      </x:c>
      <x:c r="C76" s="23" t="n">
        <x:v>46390</x:v>
      </x:c>
      <x:c r="D76" s="23" t="n">
        <x:v>46390</x:v>
      </x:c>
      <x:c r="E76" s="20" t="str">
        <x:v>P015</x:v>
      </x:c>
      <x:c r="F76" s="20" t="str">
        <x:v>U015</x:v>
      </x:c>
      <x:c r="G76" s="20" t="str">
        <x:v>L015</x:v>
      </x:c>
      <x:c r="H76" s="20" t="str">
        <x:v>1100 Tenant Accounts Receivable</x:v>
      </x:c>
      <x:c r="I76" s="26" t="n">
        <x:v>0</x:v>
      </x:c>
      <x:c r="J76" s="26" t="n">
        <x:v>1725</x:v>
      </x:c>
      <x:c r="K76" s="35" t="str">
        <x:v>Receipt allocated to FIN-00033</x:v>
      </x:c>
    </x:row>
    <x:row r="77">
      <x:c r="A77" s="20" t="str">
        <x:v>FIN-00035</x:v>
      </x:c>
      <x:c r="B77" s="32" t="n">
        <x:v>1</x:v>
      </x:c>
      <x:c r="C77" s="23" t="n">
        <x:v>46388</x:v>
      </x:c>
      <x:c r="D77" s="23" t="n">
        <x:v>46388</x:v>
      </x:c>
      <x:c r="E77" s="20" t="str">
        <x:v>P016</x:v>
      </x:c>
      <x:c r="F77" s="20" t="str">
        <x:v>U016</x:v>
      </x:c>
      <x:c r="G77" s="20" t="str">
        <x:v>L016</x:v>
      </x:c>
      <x:c r="H77" s="20" t="str">
        <x:v>1100 Tenant Accounts Receivable</x:v>
      </x:c>
      <x:c r="I77" s="26" t="n">
        <x:v>1350</x:v>
      </x:c>
      <x:c r="J77" s="26" t="n">
        <x:v>0</x:v>
      </x:c>
      <x:c r="K77" s="35" t="str">
        <x:v>January 2027 rent</x:v>
      </x:c>
    </x:row>
    <x:row r="78">
      <x:c r="A78" s="20" t="str">
        <x:v>FIN-00035</x:v>
      </x:c>
      <x:c r="B78" s="32" t="n">
        <x:v>2</x:v>
      </x:c>
      <x:c r="C78" s="23" t="n">
        <x:v>46388</x:v>
      </x:c>
      <x:c r="D78" s="23" t="n">
        <x:v>46388</x:v>
      </x:c>
      <x:c r="E78" s="20" t="str">
        <x:v>P016</x:v>
      </x:c>
      <x:c r="F78" s="20" t="str">
        <x:v>U016</x:v>
      </x:c>
      <x:c r="G78" s="20" t="str">
        <x:v>L016</x:v>
      </x:c>
      <x:c r="H78" s="20" t="str">
        <x:v>4000 Rental Income</x:v>
      </x:c>
      <x:c r="I78" s="26" t="n">
        <x:v>0</x:v>
      </x:c>
      <x:c r="J78" s="26" t="n">
        <x:v>1350</x:v>
      </x:c>
      <x:c r="K78" s="35" t="str">
        <x:v>January 2027 rent</x:v>
      </x:c>
    </x:row>
    <x:row r="79">
      <x:c r="A79" s="20" t="str">
        <x:v>FIN-00036</x:v>
      </x:c>
      <x:c r="B79" s="32" t="n">
        <x:v>1</x:v>
      </x:c>
      <x:c r="C79" s="23" t="n">
        <x:v>46391</x:v>
      </x:c>
      <x:c r="D79" s="23" t="n">
        <x:v>46391</x:v>
      </x:c>
      <x:c r="E79" s="20" t="str">
        <x:v>P016</x:v>
      </x:c>
      <x:c r="F79" s="20" t="str">
        <x:v>U016</x:v>
      </x:c>
      <x:c r="G79" s="20" t="str">
        <x:v>L016</x:v>
      </x:c>
      <x:c r="H79" s="20" t="str">
        <x:v>1000 Operating Cash</x:v>
      </x:c>
      <x:c r="I79" s="26" t="n">
        <x:v>1350</x:v>
      </x:c>
      <x:c r="J79" s="26" t="n">
        <x:v>0</x:v>
      </x:c>
      <x:c r="K79" s="35" t="str">
        <x:v>Receipt allocated to FIN-00035</x:v>
      </x:c>
    </x:row>
    <x:row r="80">
      <x:c r="A80" s="20" t="str">
        <x:v>FIN-00036</x:v>
      </x:c>
      <x:c r="B80" s="32" t="n">
        <x:v>2</x:v>
      </x:c>
      <x:c r="C80" s="23" t="n">
        <x:v>46391</x:v>
      </x:c>
      <x:c r="D80" s="23" t="n">
        <x:v>46391</x:v>
      </x:c>
      <x:c r="E80" s="20" t="str">
        <x:v>P016</x:v>
      </x:c>
      <x:c r="F80" s="20" t="str">
        <x:v>U016</x:v>
      </x:c>
      <x:c r="G80" s="20" t="str">
        <x:v>L016</x:v>
      </x:c>
      <x:c r="H80" s="20" t="str">
        <x:v>1100 Tenant Accounts Receivable</x:v>
      </x:c>
      <x:c r="I80" s="26" t="n">
        <x:v>0</x:v>
      </x:c>
      <x:c r="J80" s="26" t="n">
        <x:v>1350</x:v>
      </x:c>
      <x:c r="K80" s="35" t="str">
        <x:v>Receipt allocated to FIN-00035</x:v>
      </x:c>
    </x:row>
    <x:row r="81">
      <x:c r="A81" s="20" t="str">
        <x:v>FIN-00037</x:v>
      </x:c>
      <x:c r="B81" s="32" t="n">
        <x:v>1</x:v>
      </x:c>
      <x:c r="C81" s="23" t="n">
        <x:v>46388</x:v>
      </x:c>
      <x:c r="D81" s="23" t="n">
        <x:v>46388</x:v>
      </x:c>
      <x:c r="E81" s="20" t="str">
        <x:v>P017</x:v>
      </x:c>
      <x:c r="F81" s="20" t="str">
        <x:v>U017</x:v>
      </x:c>
      <x:c r="G81" s="20" t="str">
        <x:v>L017</x:v>
      </x:c>
      <x:c r="H81" s="20" t="str">
        <x:v>1100 Tenant Accounts Receivable</x:v>
      </x:c>
      <x:c r="I81" s="26" t="n">
        <x:v>1875</x:v>
      </x:c>
      <x:c r="J81" s="26" t="n">
        <x:v>0</x:v>
      </x:c>
      <x:c r="K81" s="35" t="str">
        <x:v>January 2027 rent</x:v>
      </x:c>
    </x:row>
    <x:row r="82">
      <x:c r="A82" s="20" t="str">
        <x:v>FIN-00037</x:v>
      </x:c>
      <x:c r="B82" s="32" t="n">
        <x:v>2</x:v>
      </x:c>
      <x:c r="C82" s="23" t="n">
        <x:v>46388</x:v>
      </x:c>
      <x:c r="D82" s="23" t="n">
        <x:v>46388</x:v>
      </x:c>
      <x:c r="E82" s="20" t="str">
        <x:v>P017</x:v>
      </x:c>
      <x:c r="F82" s="20" t="str">
        <x:v>U017</x:v>
      </x:c>
      <x:c r="G82" s="20" t="str">
        <x:v>L017</x:v>
      </x:c>
      <x:c r="H82" s="20" t="str">
        <x:v>4000 Rental Income</x:v>
      </x:c>
      <x:c r="I82" s="26" t="n">
        <x:v>0</x:v>
      </x:c>
      <x:c r="J82" s="26" t="n">
        <x:v>1875</x:v>
      </x:c>
      <x:c r="K82" s="35" t="str">
        <x:v>January 2027 rent</x:v>
      </x:c>
    </x:row>
    <x:row r="83">
      <x:c r="A83" s="20" t="str">
        <x:v>FIN-00038</x:v>
      </x:c>
      <x:c r="B83" s="32" t="n">
        <x:v>1</x:v>
      </x:c>
      <x:c r="C83" s="23" t="n">
        <x:v>46392</x:v>
      </x:c>
      <x:c r="D83" s="23" t="n">
        <x:v>46392</x:v>
      </x:c>
      <x:c r="E83" s="20" t="str">
        <x:v>P017</x:v>
      </x:c>
      <x:c r="F83" s="20" t="str">
        <x:v>U017</x:v>
      </x:c>
      <x:c r="G83" s="20" t="str">
        <x:v>L017</x:v>
      </x:c>
      <x:c r="H83" s="20" t="str">
        <x:v>1000 Operating Cash</x:v>
      </x:c>
      <x:c r="I83" s="26" t="n">
        <x:v>1875</x:v>
      </x:c>
      <x:c r="J83" s="26" t="n">
        <x:v>0</x:v>
      </x:c>
      <x:c r="K83" s="35" t="str">
        <x:v>Receipt allocated to FIN-00037</x:v>
      </x:c>
    </x:row>
    <x:row r="84">
      <x:c r="A84" s="20" t="str">
        <x:v>FIN-00038</x:v>
      </x:c>
      <x:c r="B84" s="32" t="n">
        <x:v>2</x:v>
      </x:c>
      <x:c r="C84" s="23" t="n">
        <x:v>46392</x:v>
      </x:c>
      <x:c r="D84" s="23" t="n">
        <x:v>46392</x:v>
      </x:c>
      <x:c r="E84" s="20" t="str">
        <x:v>P017</x:v>
      </x:c>
      <x:c r="F84" s="20" t="str">
        <x:v>U017</x:v>
      </x:c>
      <x:c r="G84" s="20" t="str">
        <x:v>L017</x:v>
      </x:c>
      <x:c r="H84" s="20" t="str">
        <x:v>1100 Tenant Accounts Receivable</x:v>
      </x:c>
      <x:c r="I84" s="26" t="n">
        <x:v>0</x:v>
      </x:c>
      <x:c r="J84" s="26" t="n">
        <x:v>1875</x:v>
      </x:c>
      <x:c r="K84" s="35" t="str">
        <x:v>Receipt allocated to FIN-00037</x:v>
      </x:c>
    </x:row>
    <x:row r="85">
      <x:c r="A85" s="20" t="str">
        <x:v>FIN-00039</x:v>
      </x:c>
      <x:c r="B85" s="32" t="n">
        <x:v>1</x:v>
      </x:c>
      <x:c r="C85" s="23" t="n">
        <x:v>46388</x:v>
      </x:c>
      <x:c r="D85" s="23" t="n">
        <x:v>46388</x:v>
      </x:c>
      <x:c r="E85" s="20" t="str">
        <x:v>P018</x:v>
      </x:c>
      <x:c r="F85" s="20" t="str">
        <x:v>U018</x:v>
      </x:c>
      <x:c r="G85" s="20" t="str">
        <x:v>L018</x:v>
      </x:c>
      <x:c r="H85" s="20" t="str">
        <x:v>1100 Tenant Accounts Receivable</x:v>
      </x:c>
      <x:c r="I85" s="26" t="n">
        <x:v>1500</x:v>
      </x:c>
      <x:c r="J85" s="26" t="n">
        <x:v>0</x:v>
      </x:c>
      <x:c r="K85" s="35" t="str">
        <x:v>January 2027 rent</x:v>
      </x:c>
    </x:row>
    <x:row r="86">
      <x:c r="A86" s="20" t="str">
        <x:v>FIN-00039</x:v>
      </x:c>
      <x:c r="B86" s="32" t="n">
        <x:v>2</x:v>
      </x:c>
      <x:c r="C86" s="23" t="n">
        <x:v>46388</x:v>
      </x:c>
      <x:c r="D86" s="23" t="n">
        <x:v>46388</x:v>
      </x:c>
      <x:c r="E86" s="20" t="str">
        <x:v>P018</x:v>
      </x:c>
      <x:c r="F86" s="20" t="str">
        <x:v>U018</x:v>
      </x:c>
      <x:c r="G86" s="20" t="str">
        <x:v>L018</x:v>
      </x:c>
      <x:c r="H86" s="20" t="str">
        <x:v>4000 Rental Income</x:v>
      </x:c>
      <x:c r="I86" s="26" t="n">
        <x:v>0</x:v>
      </x:c>
      <x:c r="J86" s="26" t="n">
        <x:v>1500</x:v>
      </x:c>
      <x:c r="K86" s="35" t="str">
        <x:v>January 2027 rent</x:v>
      </x:c>
    </x:row>
    <x:row r="87">
      <x:c r="A87" s="20" t="str">
        <x:v>FIN-00040</x:v>
      </x:c>
      <x:c r="B87" s="32" t="n">
        <x:v>1</x:v>
      </x:c>
      <x:c r="C87" s="23" t="n">
        <x:v>46390</x:v>
      </x:c>
      <x:c r="D87" s="23" t="n">
        <x:v>46390</x:v>
      </x:c>
      <x:c r="E87" s="20" t="str">
        <x:v>P018</x:v>
      </x:c>
      <x:c r="F87" s="20" t="str">
        <x:v>U018</x:v>
      </x:c>
      <x:c r="G87" s="20" t="str">
        <x:v>L018</x:v>
      </x:c>
      <x:c r="H87" s="20" t="str">
        <x:v>1000 Operating Cash</x:v>
      </x:c>
      <x:c r="I87" s="26" t="n">
        <x:v>1500</x:v>
      </x:c>
      <x:c r="J87" s="26" t="n">
        <x:v>0</x:v>
      </x:c>
      <x:c r="K87" s="35" t="str">
        <x:v>Receipt allocated to FIN-00039</x:v>
      </x:c>
    </x:row>
    <x:row r="88">
      <x:c r="A88" s="20" t="str">
        <x:v>FIN-00040</x:v>
      </x:c>
      <x:c r="B88" s="32" t="n">
        <x:v>2</x:v>
      </x:c>
      <x:c r="C88" s="23" t="n">
        <x:v>46390</x:v>
      </x:c>
      <x:c r="D88" s="23" t="n">
        <x:v>46390</x:v>
      </x:c>
      <x:c r="E88" s="20" t="str">
        <x:v>P018</x:v>
      </x:c>
      <x:c r="F88" s="20" t="str">
        <x:v>U018</x:v>
      </x:c>
      <x:c r="G88" s="20" t="str">
        <x:v>L018</x:v>
      </x:c>
      <x:c r="H88" s="20" t="str">
        <x:v>1100 Tenant Accounts Receivable</x:v>
      </x:c>
      <x:c r="I88" s="26" t="n">
        <x:v>0</x:v>
      </x:c>
      <x:c r="J88" s="26" t="n">
        <x:v>1500</x:v>
      </x:c>
      <x:c r="K88" s="35" t="str">
        <x:v>Receipt allocated to FIN-00039</x:v>
      </x:c>
    </x:row>
    <x:row r="89">
      <x:c r="A89" s="20" t="str">
        <x:v>FIN-00041</x:v>
      </x:c>
      <x:c r="B89" s="32" t="n">
        <x:v>1</x:v>
      </x:c>
      <x:c r="C89" s="23" t="n">
        <x:v>46388</x:v>
      </x:c>
      <x:c r="D89" s="23" t="n">
        <x:v>46388</x:v>
      </x:c>
      <x:c r="E89" s="20" t="str">
        <x:v>P019</x:v>
      </x:c>
      <x:c r="F89" s="20" t="str">
        <x:v>U019</x:v>
      </x:c>
      <x:c r="G89" s="20" t="str">
        <x:v>L019</x:v>
      </x:c>
      <x:c r="H89" s="20" t="str">
        <x:v>1100 Tenant Accounts Receivable</x:v>
      </x:c>
      <x:c r="I89" s="26" t="n">
        <x:v>1125</x:v>
      </x:c>
      <x:c r="J89" s="26" t="n">
        <x:v>0</x:v>
      </x:c>
      <x:c r="K89" s="35" t="str">
        <x:v>January 2027 rent</x:v>
      </x:c>
    </x:row>
    <x:row r="90">
      <x:c r="A90" s="20" t="str">
        <x:v>FIN-00041</x:v>
      </x:c>
      <x:c r="B90" s="32" t="n">
        <x:v>2</x:v>
      </x:c>
      <x:c r="C90" s="23" t="n">
        <x:v>46388</x:v>
      </x:c>
      <x:c r="D90" s="23" t="n">
        <x:v>46388</x:v>
      </x:c>
      <x:c r="E90" s="20" t="str">
        <x:v>P019</x:v>
      </x:c>
      <x:c r="F90" s="20" t="str">
        <x:v>U019</x:v>
      </x:c>
      <x:c r="G90" s="20" t="str">
        <x:v>L019</x:v>
      </x:c>
      <x:c r="H90" s="20" t="str">
        <x:v>4000 Rental Income</x:v>
      </x:c>
      <x:c r="I90" s="26" t="n">
        <x:v>0</x:v>
      </x:c>
      <x:c r="J90" s="26" t="n">
        <x:v>1125</x:v>
      </x:c>
      <x:c r="K90" s="35" t="str">
        <x:v>January 2027 rent</x:v>
      </x:c>
    </x:row>
    <x:row r="91">
      <x:c r="A91" s="20" t="str">
        <x:v>FIN-00042</x:v>
      </x:c>
      <x:c r="B91" s="32" t="n">
        <x:v>1</x:v>
      </x:c>
      <x:c r="C91" s="23" t="n">
        <x:v>46391</x:v>
      </x:c>
      <x:c r="D91" s="23" t="n">
        <x:v>46391</x:v>
      </x:c>
      <x:c r="E91" s="20" t="str">
        <x:v>P019</x:v>
      </x:c>
      <x:c r="F91" s="20" t="str">
        <x:v>U019</x:v>
      </x:c>
      <x:c r="G91" s="20" t="str">
        <x:v>L019</x:v>
      </x:c>
      <x:c r="H91" s="20" t="str">
        <x:v>1000 Operating Cash</x:v>
      </x:c>
      <x:c r="I91" s="26" t="n">
        <x:v>1125</x:v>
      </x:c>
      <x:c r="J91" s="26" t="n">
        <x:v>0</x:v>
      </x:c>
      <x:c r="K91" s="35" t="str">
        <x:v>Receipt allocated to FIN-00041</x:v>
      </x:c>
    </x:row>
    <x:row r="92">
      <x:c r="A92" s="20" t="str">
        <x:v>FIN-00042</x:v>
      </x:c>
      <x:c r="B92" s="32" t="n">
        <x:v>2</x:v>
      </x:c>
      <x:c r="C92" s="23" t="n">
        <x:v>46391</x:v>
      </x:c>
      <x:c r="D92" s="23" t="n">
        <x:v>46391</x:v>
      </x:c>
      <x:c r="E92" s="20" t="str">
        <x:v>P019</x:v>
      </x:c>
      <x:c r="F92" s="20" t="str">
        <x:v>U019</x:v>
      </x:c>
      <x:c r="G92" s="20" t="str">
        <x:v>L019</x:v>
      </x:c>
      <x:c r="H92" s="20" t="str">
        <x:v>1100 Tenant Accounts Receivable</x:v>
      </x:c>
      <x:c r="I92" s="26" t="n">
        <x:v>0</x:v>
      </x:c>
      <x:c r="J92" s="26" t="n">
        <x:v>1125</x:v>
      </x:c>
      <x:c r="K92" s="35" t="str">
        <x:v>Receipt allocated to FIN-00041</x:v>
      </x:c>
    </x:row>
    <x:row r="93">
      <x:c r="A93" s="20" t="str">
        <x:v>FIN-00043</x:v>
      </x:c>
      <x:c r="B93" s="32" t="n">
        <x:v>1</x:v>
      </x:c>
      <x:c r="C93" s="23" t="n">
        <x:v>46388</x:v>
      </x:c>
      <x:c r="D93" s="23" t="n">
        <x:v>46388</x:v>
      </x:c>
      <x:c r="E93" s="20" t="str">
        <x:v>P020</x:v>
      </x:c>
      <x:c r="F93" s="20" t="str">
        <x:v>U020</x:v>
      </x:c>
      <x:c r="G93" s="20" t="str">
        <x:v>L020</x:v>
      </x:c>
      <x:c r="H93" s="20" t="str">
        <x:v>1100 Tenant Accounts Receivable</x:v>
      </x:c>
      <x:c r="I93" s="26" t="n">
        <x:v>1650</x:v>
      </x:c>
      <x:c r="J93" s="26" t="n">
        <x:v>0</x:v>
      </x:c>
      <x:c r="K93" s="35" t="str">
        <x:v>January 2027 rent</x:v>
      </x:c>
    </x:row>
    <x:row r="94">
      <x:c r="A94" s="20" t="str">
        <x:v>FIN-00043</x:v>
      </x:c>
      <x:c r="B94" s="32" t="n">
        <x:v>2</x:v>
      </x:c>
      <x:c r="C94" s="23" t="n">
        <x:v>46388</x:v>
      </x:c>
      <x:c r="D94" s="23" t="n">
        <x:v>46388</x:v>
      </x:c>
      <x:c r="E94" s="20" t="str">
        <x:v>P020</x:v>
      </x:c>
      <x:c r="F94" s="20" t="str">
        <x:v>U020</x:v>
      </x:c>
      <x:c r="G94" s="20" t="str">
        <x:v>L020</x:v>
      </x:c>
      <x:c r="H94" s="20" t="str">
        <x:v>4000 Rental Income</x:v>
      </x:c>
      <x:c r="I94" s="26" t="n">
        <x:v>0</x:v>
      </x:c>
      <x:c r="J94" s="26" t="n">
        <x:v>1650</x:v>
      </x:c>
      <x:c r="K94" s="35" t="str">
        <x:v>January 2027 rent</x:v>
      </x:c>
    </x:row>
    <x:row r="95">
      <x:c r="A95" s="20" t="str">
        <x:v>FIN-00044</x:v>
      </x:c>
      <x:c r="B95" s="32" t="n">
        <x:v>1</x:v>
      </x:c>
      <x:c r="C95" s="23" t="n">
        <x:v>46392</x:v>
      </x:c>
      <x:c r="D95" s="23" t="n">
        <x:v>46392</x:v>
      </x:c>
      <x:c r="E95" s="20" t="str">
        <x:v>P020</x:v>
      </x:c>
      <x:c r="F95" s="20" t="str">
        <x:v>U020</x:v>
      </x:c>
      <x:c r="G95" s="20" t="str">
        <x:v>L020</x:v>
      </x:c>
      <x:c r="H95" s="20" t="str">
        <x:v>1000 Operating Cash</x:v>
      </x:c>
      <x:c r="I95" s="26" t="n">
        <x:v>1650</x:v>
      </x:c>
      <x:c r="J95" s="26" t="n">
        <x:v>0</x:v>
      </x:c>
      <x:c r="K95" s="35" t="str">
        <x:v>Receipt allocated to FIN-00043</x:v>
      </x:c>
    </x:row>
    <x:row r="96">
      <x:c r="A96" s="20" t="str">
        <x:v>FIN-00044</x:v>
      </x:c>
      <x:c r="B96" s="32" t="n">
        <x:v>2</x:v>
      </x:c>
      <x:c r="C96" s="23" t="n">
        <x:v>46392</x:v>
      </x:c>
      <x:c r="D96" s="23" t="n">
        <x:v>46392</x:v>
      </x:c>
      <x:c r="E96" s="20" t="str">
        <x:v>P020</x:v>
      </x:c>
      <x:c r="F96" s="20" t="str">
        <x:v>U020</x:v>
      </x:c>
      <x:c r="G96" s="20" t="str">
        <x:v>L020</x:v>
      </x:c>
      <x:c r="H96" s="20" t="str">
        <x:v>1100 Tenant Accounts Receivable</x:v>
      </x:c>
      <x:c r="I96" s="26" t="n">
        <x:v>0</x:v>
      </x:c>
      <x:c r="J96" s="26" t="n">
        <x:v>1650</x:v>
      </x:c>
      <x:c r="K96" s="35" t="str">
        <x:v>Receipt allocated to FIN-00043</x:v>
      </x:c>
    </x:row>
    <x:row r="97">
      <x:c r="A97" s="20" t="str">
        <x:v>FIN-00045</x:v>
      </x:c>
      <x:c r="B97" s="32" t="n">
        <x:v>1</x:v>
      </x:c>
      <x:c r="C97" s="23" t="n">
        <x:v>46388</x:v>
      </x:c>
      <x:c r="D97" s="23" t="n">
        <x:v>46388</x:v>
      </x:c>
      <x:c r="E97" s="20" t="str">
        <x:v>P021</x:v>
      </x:c>
      <x:c r="F97" s="20" t="str">
        <x:v>U021</x:v>
      </x:c>
      <x:c r="G97" s="20" t="str">
        <x:v>L021</x:v>
      </x:c>
      <x:c r="H97" s="20" t="str">
        <x:v>1100 Tenant Accounts Receivable</x:v>
      </x:c>
      <x:c r="I97" s="26" t="n">
        <x:v>1375</x:v>
      </x:c>
      <x:c r="J97" s="26" t="n">
        <x:v>0</x:v>
      </x:c>
      <x:c r="K97" s="35" t="str">
        <x:v>January 2027 rent</x:v>
      </x:c>
    </x:row>
    <x:row r="98">
      <x:c r="A98" s="20" t="str">
        <x:v>FIN-00045</x:v>
      </x:c>
      <x:c r="B98" s="32" t="n">
        <x:v>2</x:v>
      </x:c>
      <x:c r="C98" s="23" t="n">
        <x:v>46388</x:v>
      </x:c>
      <x:c r="D98" s="23" t="n">
        <x:v>46388</x:v>
      </x:c>
      <x:c r="E98" s="20" t="str">
        <x:v>P021</x:v>
      </x:c>
      <x:c r="F98" s="20" t="str">
        <x:v>U021</x:v>
      </x:c>
      <x:c r="G98" s="20" t="str">
        <x:v>L021</x:v>
      </x:c>
      <x:c r="H98" s="20" t="str">
        <x:v>4000 Rental Income</x:v>
      </x:c>
      <x:c r="I98" s="26" t="n">
        <x:v>0</x:v>
      </x:c>
      <x:c r="J98" s="26" t="n">
        <x:v>1375</x:v>
      </x:c>
      <x:c r="K98" s="35" t="str">
        <x:v>January 2027 rent</x:v>
      </x:c>
    </x:row>
    <x:row r="99">
      <x:c r="A99" s="20" t="str">
        <x:v>FIN-00046</x:v>
      </x:c>
      <x:c r="B99" s="32" t="n">
        <x:v>1</x:v>
      </x:c>
      <x:c r="C99" s="23" t="n">
        <x:v>46390</x:v>
      </x:c>
      <x:c r="D99" s="23" t="n">
        <x:v>46390</x:v>
      </x:c>
      <x:c r="E99" s="20" t="str">
        <x:v>P021</x:v>
      </x:c>
      <x:c r="F99" s="20" t="str">
        <x:v>U021</x:v>
      </x:c>
      <x:c r="G99" s="20" t="str">
        <x:v>L021</x:v>
      </x:c>
      <x:c r="H99" s="20" t="str">
        <x:v>1000 Operating Cash</x:v>
      </x:c>
      <x:c r="I99" s="26" t="n">
        <x:v>1375</x:v>
      </x:c>
      <x:c r="J99" s="26" t="n">
        <x:v>0</x:v>
      </x:c>
      <x:c r="K99" s="35" t="str">
        <x:v>Receipt allocated to FIN-00045</x:v>
      </x:c>
    </x:row>
    <x:row r="100">
      <x:c r="A100" s="20" t="str">
        <x:v>FIN-00046</x:v>
      </x:c>
      <x:c r="B100" s="32" t="n">
        <x:v>2</x:v>
      </x:c>
      <x:c r="C100" s="23" t="n">
        <x:v>46390</x:v>
      </x:c>
      <x:c r="D100" s="23" t="n">
        <x:v>46390</x:v>
      </x:c>
      <x:c r="E100" s="20" t="str">
        <x:v>P021</x:v>
      </x:c>
      <x:c r="F100" s="20" t="str">
        <x:v>U021</x:v>
      </x:c>
      <x:c r="G100" s="20" t="str">
        <x:v>L021</x:v>
      </x:c>
      <x:c r="H100" s="20" t="str">
        <x:v>1100 Tenant Accounts Receivable</x:v>
      </x:c>
      <x:c r="I100" s="26" t="n">
        <x:v>0</x:v>
      </x:c>
      <x:c r="J100" s="26" t="n">
        <x:v>1375</x:v>
      </x:c>
      <x:c r="K100" s="35" t="str">
        <x:v>Receipt allocated to FIN-00045</x:v>
      </x:c>
    </x:row>
    <x:row r="101">
      <x:c r="A101" s="20" t="str">
        <x:v>FIN-00047</x:v>
      </x:c>
      <x:c r="B101" s="32" t="n">
        <x:v>1</x:v>
      </x:c>
      <x:c r="C101" s="23" t="n">
        <x:v>46388</x:v>
      </x:c>
      <x:c r="D101" s="23" t="n">
        <x:v>46388</x:v>
      </x:c>
      <x:c r="E101" s="20" t="str">
        <x:v>P021</x:v>
      </x:c>
      <x:c r="F101" s="20" t="str">
        <x:v>U022</x:v>
      </x:c>
      <x:c r="G101" s="20" t="str">
        <x:v>L022</x:v>
      </x:c>
      <x:c r="H101" s="20" t="str">
        <x:v>1100 Tenant Accounts Receivable</x:v>
      </x:c>
      <x:c r="I101" s="26" t="n">
        <x:v>1900</x:v>
      </x:c>
      <x:c r="J101" s="26" t="n">
        <x:v>0</x:v>
      </x:c>
      <x:c r="K101" s="35" t="str">
        <x:v>January 2027 rent</x:v>
      </x:c>
    </x:row>
    <x:row r="102">
      <x:c r="A102" s="20" t="str">
        <x:v>FIN-00047</x:v>
      </x:c>
      <x:c r="B102" s="32" t="n">
        <x:v>2</x:v>
      </x:c>
      <x:c r="C102" s="23" t="n">
        <x:v>46388</x:v>
      </x:c>
      <x:c r="D102" s="23" t="n">
        <x:v>46388</x:v>
      </x:c>
      <x:c r="E102" s="20" t="str">
        <x:v>P021</x:v>
      </x:c>
      <x:c r="F102" s="20" t="str">
        <x:v>U022</x:v>
      </x:c>
      <x:c r="G102" s="20" t="str">
        <x:v>L022</x:v>
      </x:c>
      <x:c r="H102" s="20" t="str">
        <x:v>4000 Rental Income</x:v>
      </x:c>
      <x:c r="I102" s="26" t="n">
        <x:v>0</x:v>
      </x:c>
      <x:c r="J102" s="26" t="n">
        <x:v>1900</x:v>
      </x:c>
      <x:c r="K102" s="35" t="str">
        <x:v>January 2027 rent</x:v>
      </x:c>
    </x:row>
    <x:row r="103">
      <x:c r="A103" s="20" t="str">
        <x:v>FIN-00048</x:v>
      </x:c>
      <x:c r="B103" s="32" t="n">
        <x:v>1</x:v>
      </x:c>
      <x:c r="C103" s="23" t="n">
        <x:v>46390</x:v>
      </x:c>
      <x:c r="D103" s="23" t="n">
        <x:v>46390</x:v>
      </x:c>
      <x:c r="E103" s="20" t="str">
        <x:v>P021</x:v>
      </x:c>
      <x:c r="F103" s="20" t="str">
        <x:v>U022</x:v>
      </x:c>
      <x:c r="G103" s="20" t="str">
        <x:v>L022</x:v>
      </x:c>
      <x:c r="H103" s="20" t="str">
        <x:v>1000 Operating Cash</x:v>
      </x:c>
      <x:c r="I103" s="26" t="n">
        <x:v>1140</x:v>
      </x:c>
      <x:c r="J103" s="26" t="n">
        <x:v>0</x:v>
      </x:c>
      <x:c r="K103" s="35" t="str">
        <x:v>Receipt allocated to FIN-00047</x:v>
      </x:c>
    </x:row>
    <x:row r="104">
      <x:c r="A104" s="20" t="str">
        <x:v>FIN-00048</x:v>
      </x:c>
      <x:c r="B104" s="32" t="n">
        <x:v>2</x:v>
      </x:c>
      <x:c r="C104" s="23" t="n">
        <x:v>46390</x:v>
      </x:c>
      <x:c r="D104" s="23" t="n">
        <x:v>46390</x:v>
      </x:c>
      <x:c r="E104" s="20" t="str">
        <x:v>P021</x:v>
      </x:c>
      <x:c r="F104" s="20" t="str">
        <x:v>U022</x:v>
      </x:c>
      <x:c r="G104" s="20" t="str">
        <x:v>L022</x:v>
      </x:c>
      <x:c r="H104" s="20" t="str">
        <x:v>1100 Tenant Accounts Receivable</x:v>
      </x:c>
      <x:c r="I104" s="26" t="n">
        <x:v>0</x:v>
      </x:c>
      <x:c r="J104" s="26" t="n">
        <x:v>1140</x:v>
      </x:c>
      <x:c r="K104" s="35" t="str">
        <x:v>Receipt allocated to FIN-00047</x:v>
      </x:c>
    </x:row>
    <x:row r="105">
      <x:c r="A105" s="20" t="str">
        <x:v>FIN-00049</x:v>
      </x:c>
      <x:c r="B105" s="32" t="n">
        <x:v>1</x:v>
      </x:c>
      <x:c r="C105" s="23" t="n">
        <x:v>46393</x:v>
      </x:c>
      <x:c r="D105" s="23" t="n">
        <x:v>46393</x:v>
      </x:c>
      <x:c r="E105" s="20" t="str">
        <x:v>P021</x:v>
      </x:c>
      <x:c r="F105" s="20" t="str">
        <x:v>U022</x:v>
      </x:c>
      <x:c r="G105" s="20" t="str">
        <x:v>L022</x:v>
      </x:c>
      <x:c r="H105" s="20" t="str">
        <x:v>1100 Tenant Accounts Receivable</x:v>
      </x:c>
      <x:c r="I105" s="26" t="n">
        <x:v>50</x:v>
      </x:c>
      <x:c r="J105" s="26" t="n">
        <x:v>0</x:v>
      </x:c>
      <x:c r="K105" s="35" t="str">
        <x:v>Synthetic lease-authorized late fee after partial payment</x:v>
      </x:c>
    </x:row>
    <x:row r="106">
      <x:c r="A106" s="20" t="str">
        <x:v>FIN-00049</x:v>
      </x:c>
      <x:c r="B106" s="32" t="n">
        <x:v>2</x:v>
      </x:c>
      <x:c r="C106" s="23" t="n">
        <x:v>46393</x:v>
      </x:c>
      <x:c r="D106" s="23" t="n">
        <x:v>46393</x:v>
      </x:c>
      <x:c r="E106" s="20" t="str">
        <x:v>P021</x:v>
      </x:c>
      <x:c r="F106" s="20" t="str">
        <x:v>U022</x:v>
      </x:c>
      <x:c r="G106" s="20" t="str">
        <x:v>L022</x:v>
      </x:c>
      <x:c r="H106" s="20" t="str">
        <x:v>4010 Late Fee Income</x:v>
      </x:c>
      <x:c r="I106" s="26" t="n">
        <x:v>0</x:v>
      </x:c>
      <x:c r="J106" s="26" t="n">
        <x:v>50</x:v>
      </x:c>
      <x:c r="K106" s="35" t="str">
        <x:v>Synthetic lease-authorized late fee after partial payment</x:v>
      </x:c>
    </x:row>
    <x:row r="107">
      <x:c r="A107" s="20" t="str">
        <x:v>FIN-00050</x:v>
      </x:c>
      <x:c r="B107" s="32" t="n">
        <x:v>1</x:v>
      </x:c>
      <x:c r="C107" s="23" t="n">
        <x:v>46399</x:v>
      </x:c>
      <x:c r="D107" s="23" t="n">
        <x:v>46399</x:v>
      </x:c>
      <x:c r="E107" s="20" t="str">
        <x:v>P021</x:v>
      </x:c>
      <x:c r="F107" s="20" t="str">
        <x:v>U022</x:v>
      </x:c>
      <x:c r="G107" s="20" t="str">
        <x:v>L022</x:v>
      </x:c>
      <x:c r="H107" s="20" t="str">
        <x:v>1000 Operating Cash</x:v>
      </x:c>
      <x:c r="I107" s="26" t="n">
        <x:v>810</x:v>
      </x:c>
      <x:c r="J107" s="26" t="n">
        <x:v>0</x:v>
      </x:c>
      <x:c r="K107" s="35" t="str">
        <x:v>Receipt allocated to FIN-00049</x:v>
      </x:c>
    </x:row>
    <x:row r="108">
      <x:c r="A108" s="20" t="str">
        <x:v>FIN-00050</x:v>
      </x:c>
      <x:c r="B108" s="32" t="n">
        <x:v>2</x:v>
      </x:c>
      <x:c r="C108" s="23" t="n">
        <x:v>46399</x:v>
      </x:c>
      <x:c r="D108" s="23" t="n">
        <x:v>46399</x:v>
      </x:c>
      <x:c r="E108" s="20" t="str">
        <x:v>P021</x:v>
      </x:c>
      <x:c r="F108" s="20" t="str">
        <x:v>U022</x:v>
      </x:c>
      <x:c r="G108" s="20" t="str">
        <x:v>L022</x:v>
      </x:c>
      <x:c r="H108" s="20" t="str">
        <x:v>1100 Tenant Accounts Receivable</x:v>
      </x:c>
      <x:c r="I108" s="26" t="n">
        <x:v>0</x:v>
      </x:c>
      <x:c r="J108" s="26" t="n">
        <x:v>810</x:v>
      </x:c>
      <x:c r="K108" s="35" t="str">
        <x:v>Receipt allocated to FIN-00049</x:v>
      </x:c>
    </x:row>
    <x:row r="109">
      <x:c r="A109" s="20" t="str">
        <x:v>FIN-00051</x:v>
      </x:c>
      <x:c r="B109" s="32" t="n">
        <x:v>1</x:v>
      </x:c>
      <x:c r="C109" s="23" t="n">
        <x:v>46388</x:v>
      </x:c>
      <x:c r="D109" s="23" t="n">
        <x:v>46388</x:v>
      </x:c>
      <x:c r="E109" s="20" t="str">
        <x:v>P022</x:v>
      </x:c>
      <x:c r="F109" s="20" t="str">
        <x:v>U023</x:v>
      </x:c>
      <x:c r="G109" s="20" t="str">
        <x:v>L023</x:v>
      </x:c>
      <x:c r="H109" s="20" t="str">
        <x:v>1100 Tenant Accounts Receivable</x:v>
      </x:c>
      <x:c r="I109" s="26" t="n">
        <x:v>1525</x:v>
      </x:c>
      <x:c r="J109" s="26" t="n">
        <x:v>0</x:v>
      </x:c>
      <x:c r="K109" s="35" t="str">
        <x:v>January 2027 rent</x:v>
      </x:c>
    </x:row>
    <x:row r="110">
      <x:c r="A110" s="20" t="str">
        <x:v>FIN-00051</x:v>
      </x:c>
      <x:c r="B110" s="32" t="n">
        <x:v>2</x:v>
      </x:c>
      <x:c r="C110" s="23" t="n">
        <x:v>46388</x:v>
      </x:c>
      <x:c r="D110" s="23" t="n">
        <x:v>46388</x:v>
      </x:c>
      <x:c r="E110" s="20" t="str">
        <x:v>P022</x:v>
      </x:c>
      <x:c r="F110" s="20" t="str">
        <x:v>U023</x:v>
      </x:c>
      <x:c r="G110" s="20" t="str">
        <x:v>L023</x:v>
      </x:c>
      <x:c r="H110" s="20" t="str">
        <x:v>4000 Rental Income</x:v>
      </x:c>
      <x:c r="I110" s="26" t="n">
        <x:v>0</x:v>
      </x:c>
      <x:c r="J110" s="26" t="n">
        <x:v>1525</x:v>
      </x:c>
      <x:c r="K110" s="35" t="str">
        <x:v>January 2027 rent</x:v>
      </x:c>
    </x:row>
    <x:row r="111">
      <x:c r="A111" s="20" t="str">
        <x:v>FIN-00052</x:v>
      </x:c>
      <x:c r="B111" s="32" t="n">
        <x:v>1</x:v>
      </x:c>
      <x:c r="C111" s="23" t="n">
        <x:v>46392</x:v>
      </x:c>
      <x:c r="D111" s="23" t="n">
        <x:v>46392</x:v>
      </x:c>
      <x:c r="E111" s="20" t="str">
        <x:v>P022</x:v>
      </x:c>
      <x:c r="F111" s="20" t="str">
        <x:v>U023</x:v>
      </x:c>
      <x:c r="G111" s="20" t="str">
        <x:v>L023</x:v>
      </x:c>
      <x:c r="H111" s="20" t="str">
        <x:v>1000 Operating Cash</x:v>
      </x:c>
      <x:c r="I111" s="26" t="n">
        <x:v>1525</x:v>
      </x:c>
      <x:c r="J111" s="26" t="n">
        <x:v>0</x:v>
      </x:c>
      <x:c r="K111" s="35" t="str">
        <x:v>Receipt allocated to FIN-00051</x:v>
      </x:c>
    </x:row>
    <x:row r="112">
      <x:c r="A112" s="20" t="str">
        <x:v>FIN-00052</x:v>
      </x:c>
      <x:c r="B112" s="32" t="n">
        <x:v>2</x:v>
      </x:c>
      <x:c r="C112" s="23" t="n">
        <x:v>46392</x:v>
      </x:c>
      <x:c r="D112" s="23" t="n">
        <x:v>46392</x:v>
      </x:c>
      <x:c r="E112" s="20" t="str">
        <x:v>P022</x:v>
      </x:c>
      <x:c r="F112" s="20" t="str">
        <x:v>U023</x:v>
      </x:c>
      <x:c r="G112" s="20" t="str">
        <x:v>L023</x:v>
      </x:c>
      <x:c r="H112" s="20" t="str">
        <x:v>1100 Tenant Accounts Receivable</x:v>
      </x:c>
      <x:c r="I112" s="26" t="n">
        <x:v>0</x:v>
      </x:c>
      <x:c r="J112" s="26" t="n">
        <x:v>1525</x:v>
      </x:c>
      <x:c r="K112" s="35" t="str">
        <x:v>Receipt allocated to FIN-00051</x:v>
      </x:c>
    </x:row>
    <x:row r="113">
      <x:c r="A113" s="20" t="str">
        <x:v>FIN-00053</x:v>
      </x:c>
      <x:c r="B113" s="32" t="n">
        <x:v>1</x:v>
      </x:c>
      <x:c r="C113" s="23" t="n">
        <x:v>46388</x:v>
      </x:c>
      <x:c r="D113" s="23" t="n">
        <x:v>46388</x:v>
      </x:c>
      <x:c r="E113" s="20" t="str">
        <x:v>P022</x:v>
      </x:c>
      <x:c r="F113" s="20" t="str">
        <x:v>U024</x:v>
      </x:c>
      <x:c r="G113" s="20" t="str">
        <x:v>L024</x:v>
      </x:c>
      <x:c r="H113" s="20" t="str">
        <x:v>1100 Tenant Accounts Receivable</x:v>
      </x:c>
      <x:c r="I113" s="26" t="n">
        <x:v>1150</x:v>
      </x:c>
      <x:c r="J113" s="26" t="n">
        <x:v>0</x:v>
      </x:c>
      <x:c r="K113" s="35" t="str">
        <x:v>January 2027 rent</x:v>
      </x:c>
    </x:row>
    <x:row r="114">
      <x:c r="A114" s="20" t="str">
        <x:v>FIN-00053</x:v>
      </x:c>
      <x:c r="B114" s="32" t="n">
        <x:v>2</x:v>
      </x:c>
      <x:c r="C114" s="23" t="n">
        <x:v>46388</x:v>
      </x:c>
      <x:c r="D114" s="23" t="n">
        <x:v>46388</x:v>
      </x:c>
      <x:c r="E114" s="20" t="str">
        <x:v>P022</x:v>
      </x:c>
      <x:c r="F114" s="20" t="str">
        <x:v>U024</x:v>
      </x:c>
      <x:c r="G114" s="20" t="str">
        <x:v>L024</x:v>
      </x:c>
      <x:c r="H114" s="20" t="str">
        <x:v>4000 Rental Income</x:v>
      </x:c>
      <x:c r="I114" s="26" t="n">
        <x:v>0</x:v>
      </x:c>
      <x:c r="J114" s="26" t="n">
        <x:v>1150</x:v>
      </x:c>
      <x:c r="K114" s="35" t="str">
        <x:v>January 2027 rent</x:v>
      </x:c>
    </x:row>
    <x:row r="115">
      <x:c r="A115" s="20" t="str">
        <x:v>FIN-00054</x:v>
      </x:c>
      <x:c r="B115" s="32" t="n">
        <x:v>1</x:v>
      </x:c>
      <x:c r="C115" s="23" t="n">
        <x:v>46390</x:v>
      </x:c>
      <x:c r="D115" s="23" t="n">
        <x:v>46390</x:v>
      </x:c>
      <x:c r="E115" s="20" t="str">
        <x:v>P022</x:v>
      </x:c>
      <x:c r="F115" s="20" t="str">
        <x:v>U024</x:v>
      </x:c>
      <x:c r="G115" s="20" t="str">
        <x:v>L024</x:v>
      </x:c>
      <x:c r="H115" s="20" t="str">
        <x:v>1000 Operating Cash</x:v>
      </x:c>
      <x:c r="I115" s="26" t="n">
        <x:v>1150</x:v>
      </x:c>
      <x:c r="J115" s="26" t="n">
        <x:v>0</x:v>
      </x:c>
      <x:c r="K115" s="35" t="str">
        <x:v>Receipt allocated to FIN-00053</x:v>
      </x:c>
    </x:row>
    <x:row r="116">
      <x:c r="A116" s="20" t="str">
        <x:v>FIN-00054</x:v>
      </x:c>
      <x:c r="B116" s="32" t="n">
        <x:v>2</x:v>
      </x:c>
      <x:c r="C116" s="23" t="n">
        <x:v>46390</x:v>
      </x:c>
      <x:c r="D116" s="23" t="n">
        <x:v>46390</x:v>
      </x:c>
      <x:c r="E116" s="20" t="str">
        <x:v>P022</x:v>
      </x:c>
      <x:c r="F116" s="20" t="str">
        <x:v>U024</x:v>
      </x:c>
      <x:c r="G116" s="20" t="str">
        <x:v>L024</x:v>
      </x:c>
      <x:c r="H116" s="20" t="str">
        <x:v>1100 Tenant Accounts Receivable</x:v>
      </x:c>
      <x:c r="I116" s="26" t="n">
        <x:v>0</x:v>
      </x:c>
      <x:c r="J116" s="26" t="n">
        <x:v>1150</x:v>
      </x:c>
      <x:c r="K116" s="35" t="str">
        <x:v>Receipt allocated to FIN-00053</x:v>
      </x:c>
    </x:row>
    <x:row r="117">
      <x:c r="A117" s="20" t="str">
        <x:v>FIN-00055</x:v>
      </x:c>
      <x:c r="B117" s="32" t="n">
        <x:v>1</x:v>
      </x:c>
      <x:c r="C117" s="23" t="n">
        <x:v>46388</x:v>
      </x:c>
      <x:c r="D117" s="23" t="n">
        <x:v>46388</x:v>
      </x:c>
      <x:c r="E117" s="20" t="str">
        <x:v>P023</x:v>
      </x:c>
      <x:c r="F117" s="20" t="str">
        <x:v>U025</x:v>
      </x:c>
      <x:c r="G117" s="20" t="str">
        <x:v>L025</x:v>
      </x:c>
      <x:c r="H117" s="20" t="str">
        <x:v>1100 Tenant Accounts Receivable</x:v>
      </x:c>
      <x:c r="I117" s="26" t="n">
        <x:v>1675</x:v>
      </x:c>
      <x:c r="J117" s="26" t="n">
        <x:v>0</x:v>
      </x:c>
      <x:c r="K117" s="35" t="str">
        <x:v>January 2027 rent</x:v>
      </x:c>
    </x:row>
    <x:row r="118">
      <x:c r="A118" s="20" t="str">
        <x:v>FIN-00055</x:v>
      </x:c>
      <x:c r="B118" s="32" t="n">
        <x:v>2</x:v>
      </x:c>
      <x:c r="C118" s="23" t="n">
        <x:v>46388</x:v>
      </x:c>
      <x:c r="D118" s="23" t="n">
        <x:v>46388</x:v>
      </x:c>
      <x:c r="E118" s="20" t="str">
        <x:v>P023</x:v>
      </x:c>
      <x:c r="F118" s="20" t="str">
        <x:v>U025</x:v>
      </x:c>
      <x:c r="G118" s="20" t="str">
        <x:v>L025</x:v>
      </x:c>
      <x:c r="H118" s="20" t="str">
        <x:v>4000 Rental Income</x:v>
      </x:c>
      <x:c r="I118" s="26" t="n">
        <x:v>0</x:v>
      </x:c>
      <x:c r="J118" s="26" t="n">
        <x:v>1675</x:v>
      </x:c>
      <x:c r="K118" s="35" t="str">
        <x:v>January 2027 rent</x:v>
      </x:c>
    </x:row>
    <x:row r="119">
      <x:c r="A119" s="20" t="str">
        <x:v>FIN-00056</x:v>
      </x:c>
      <x:c r="B119" s="32" t="n">
        <x:v>1</x:v>
      </x:c>
      <x:c r="C119" s="23" t="n">
        <x:v>46391</x:v>
      </x:c>
      <x:c r="D119" s="23" t="n">
        <x:v>46391</x:v>
      </x:c>
      <x:c r="E119" s="20" t="str">
        <x:v>P023</x:v>
      </x:c>
      <x:c r="F119" s="20" t="str">
        <x:v>U025</x:v>
      </x:c>
      <x:c r="G119" s="20" t="str">
        <x:v>L025</x:v>
      </x:c>
      <x:c r="H119" s="20" t="str">
        <x:v>1000 Operating Cash</x:v>
      </x:c>
      <x:c r="I119" s="26" t="n">
        <x:v>1675</x:v>
      </x:c>
      <x:c r="J119" s="26" t="n">
        <x:v>0</x:v>
      </x:c>
      <x:c r="K119" s="35" t="str">
        <x:v>Receipt allocated to FIN-00055</x:v>
      </x:c>
    </x:row>
    <x:row r="120">
      <x:c r="A120" s="20" t="str">
        <x:v>FIN-00056</x:v>
      </x:c>
      <x:c r="B120" s="32" t="n">
        <x:v>2</x:v>
      </x:c>
      <x:c r="C120" s="23" t="n">
        <x:v>46391</x:v>
      </x:c>
      <x:c r="D120" s="23" t="n">
        <x:v>46391</x:v>
      </x:c>
      <x:c r="E120" s="20" t="str">
        <x:v>P023</x:v>
      </x:c>
      <x:c r="F120" s="20" t="str">
        <x:v>U025</x:v>
      </x:c>
      <x:c r="G120" s="20" t="str">
        <x:v>L025</x:v>
      </x:c>
      <x:c r="H120" s="20" t="str">
        <x:v>1100 Tenant Accounts Receivable</x:v>
      </x:c>
      <x:c r="I120" s="26" t="n">
        <x:v>0</x:v>
      </x:c>
      <x:c r="J120" s="26" t="n">
        <x:v>1675</x:v>
      </x:c>
      <x:c r="K120" s="35" t="str">
        <x:v>Receipt allocated to FIN-00055</x:v>
      </x:c>
    </x:row>
    <x:row r="121">
      <x:c r="A121" s="20" t="str">
        <x:v>FIN-00057</x:v>
      </x:c>
      <x:c r="B121" s="32" t="n">
        <x:v>1</x:v>
      </x:c>
      <x:c r="C121" s="23" t="n">
        <x:v>46388</x:v>
      </x:c>
      <x:c r="D121" s="23" t="n">
        <x:v>46388</x:v>
      </x:c>
      <x:c r="E121" s="20" t="str">
        <x:v>P023</x:v>
      </x:c>
      <x:c r="F121" s="20" t="str">
        <x:v>U026</x:v>
      </x:c>
      <x:c r="G121" s="20" t="str">
        <x:v>L026</x:v>
      </x:c>
      <x:c r="H121" s="20" t="str">
        <x:v>1100 Tenant Accounts Receivable</x:v>
      </x:c>
      <x:c r="I121" s="26" t="n">
        <x:v>1300</x:v>
      </x:c>
      <x:c r="J121" s="26" t="n">
        <x:v>0</x:v>
      </x:c>
      <x:c r="K121" s="35" t="str">
        <x:v>January 2027 rent</x:v>
      </x:c>
    </x:row>
    <x:row r="122">
      <x:c r="A122" s="20" t="str">
        <x:v>FIN-00057</x:v>
      </x:c>
      <x:c r="B122" s="32" t="n">
        <x:v>2</x:v>
      </x:c>
      <x:c r="C122" s="23" t="n">
        <x:v>46388</x:v>
      </x:c>
      <x:c r="D122" s="23" t="n">
        <x:v>46388</x:v>
      </x:c>
      <x:c r="E122" s="20" t="str">
        <x:v>P023</x:v>
      </x:c>
      <x:c r="F122" s="20" t="str">
        <x:v>U026</x:v>
      </x:c>
      <x:c r="G122" s="20" t="str">
        <x:v>L026</x:v>
      </x:c>
      <x:c r="H122" s="20" t="str">
        <x:v>4000 Rental Income</x:v>
      </x:c>
      <x:c r="I122" s="26" t="n">
        <x:v>0</x:v>
      </x:c>
      <x:c r="J122" s="26" t="n">
        <x:v>1300</x:v>
      </x:c>
      <x:c r="K122" s="35" t="str">
        <x:v>January 2027 rent</x:v>
      </x:c>
    </x:row>
    <x:row r="123">
      <x:c r="A123" s="20" t="str">
        <x:v>FIN-00058</x:v>
      </x:c>
      <x:c r="B123" s="32" t="n">
        <x:v>1</x:v>
      </x:c>
      <x:c r="C123" s="23" t="n">
        <x:v>46393</x:v>
      </x:c>
      <x:c r="D123" s="23" t="n">
        <x:v>46393</x:v>
      </x:c>
      <x:c r="E123" s="20" t="str">
        <x:v>P023</x:v>
      </x:c>
      <x:c r="F123" s="20" t="str">
        <x:v>U026</x:v>
      </x:c>
      <x:c r="G123" s="20" t="str">
        <x:v>L026</x:v>
      </x:c>
      <x:c r="H123" s="20" t="str">
        <x:v>1100 Tenant Accounts Receivable</x:v>
      </x:c>
      <x:c r="I123" s="26" t="n">
        <x:v>50</x:v>
      </x:c>
      <x:c r="J123" s="26" t="n">
        <x:v>0</x:v>
      </x:c>
      <x:c r="K123" s="35" t="str">
        <x:v>Synthetic lease-authorized late fee</x:v>
      </x:c>
    </x:row>
    <x:row r="124">
      <x:c r="A124" s="20" t="str">
        <x:v>FIN-00058</x:v>
      </x:c>
      <x:c r="B124" s="32" t="n">
        <x:v>2</x:v>
      </x:c>
      <x:c r="C124" s="23" t="n">
        <x:v>46393</x:v>
      </x:c>
      <x:c r="D124" s="23" t="n">
        <x:v>46393</x:v>
      </x:c>
      <x:c r="E124" s="20" t="str">
        <x:v>P023</x:v>
      </x:c>
      <x:c r="F124" s="20" t="str">
        <x:v>U026</x:v>
      </x:c>
      <x:c r="G124" s="20" t="str">
        <x:v>L026</x:v>
      </x:c>
      <x:c r="H124" s="20" t="str">
        <x:v>4010 Late Fee Income</x:v>
      </x:c>
      <x:c r="I124" s="26" t="n">
        <x:v>0</x:v>
      </x:c>
      <x:c r="J124" s="26" t="n">
        <x:v>50</x:v>
      </x:c>
      <x:c r="K124" s="35" t="str">
        <x:v>Synthetic lease-authorized late fee</x:v>
      </x:c>
    </x:row>
    <x:row r="125">
      <x:c r="A125" s="20" t="str">
        <x:v>FIN-00059</x:v>
      </x:c>
      <x:c r="B125" s="32" t="n">
        <x:v>1</x:v>
      </x:c>
      <x:c r="C125" s="23" t="n">
        <x:v>46395</x:v>
      </x:c>
      <x:c r="D125" s="23" t="n">
        <x:v>46395</x:v>
      </x:c>
      <x:c r="E125" s="20" t="str">
        <x:v>P023</x:v>
      </x:c>
      <x:c r="F125" s="20" t="str">
        <x:v>U026</x:v>
      </x:c>
      <x:c r="G125" s="20" t="str">
        <x:v>L026</x:v>
      </x:c>
      <x:c r="H125" s="20" t="str">
        <x:v>1000 Operating Cash</x:v>
      </x:c>
      <x:c r="I125" s="26" t="n">
        <x:v>1350</x:v>
      </x:c>
      <x:c r="J125" s="26" t="n">
        <x:v>0</x:v>
      </x:c>
      <x:c r="K125" s="35" t="str">
        <x:v>Receipt allocated to FIN-00058</x:v>
      </x:c>
    </x:row>
    <x:row r="126">
      <x:c r="A126" s="20" t="str">
        <x:v>FIN-00059</x:v>
      </x:c>
      <x:c r="B126" s="32" t="n">
        <x:v>2</x:v>
      </x:c>
      <x:c r="C126" s="23" t="n">
        <x:v>46395</x:v>
      </x:c>
      <x:c r="D126" s="23" t="n">
        <x:v>46395</x:v>
      </x:c>
      <x:c r="E126" s="20" t="str">
        <x:v>P023</x:v>
      </x:c>
      <x:c r="F126" s="20" t="str">
        <x:v>U026</x:v>
      </x:c>
      <x:c r="G126" s="20" t="str">
        <x:v>L026</x:v>
      </x:c>
      <x:c r="H126" s="20" t="str">
        <x:v>1100 Tenant Accounts Receivable</x:v>
      </x:c>
      <x:c r="I126" s="26" t="n">
        <x:v>0</x:v>
      </x:c>
      <x:c r="J126" s="26" t="n">
        <x:v>1350</x:v>
      </x:c>
      <x:c r="K126" s="35" t="str">
        <x:v>Receipt allocated to FIN-00058</x:v>
      </x:c>
    </x:row>
    <x:row r="127">
      <x:c r="A127" s="20" t="str">
        <x:v>FIN-00060</x:v>
      </x:c>
      <x:c r="B127" s="32" t="n">
        <x:v>1</x:v>
      </x:c>
      <x:c r="C127" s="23" t="n">
        <x:v>46388</x:v>
      </x:c>
      <x:c r="D127" s="23" t="n">
        <x:v>46388</x:v>
      </x:c>
      <x:c r="E127" s="20" t="str">
        <x:v>P024</x:v>
      </x:c>
      <x:c r="F127" s="20" t="str">
        <x:v>U027</x:v>
      </x:c>
      <x:c r="G127" s="20" t="str">
        <x:v>L027</x:v>
      </x:c>
      <x:c r="H127" s="20" t="str">
        <x:v>1100 Tenant Accounts Receivable</x:v>
      </x:c>
      <x:c r="I127" s="26" t="n">
        <x:v>1825</x:v>
      </x:c>
      <x:c r="J127" s="26" t="n">
        <x:v>0</x:v>
      </x:c>
      <x:c r="K127" s="35" t="str">
        <x:v>January 2027 rent</x:v>
      </x:c>
    </x:row>
    <x:row r="128">
      <x:c r="A128" s="20" t="str">
        <x:v>FIN-00060</x:v>
      </x:c>
      <x:c r="B128" s="32" t="n">
        <x:v>2</x:v>
      </x:c>
      <x:c r="C128" s="23" t="n">
        <x:v>46388</x:v>
      </x:c>
      <x:c r="D128" s="23" t="n">
        <x:v>46388</x:v>
      </x:c>
      <x:c r="E128" s="20" t="str">
        <x:v>P024</x:v>
      </x:c>
      <x:c r="F128" s="20" t="str">
        <x:v>U027</x:v>
      </x:c>
      <x:c r="G128" s="20" t="str">
        <x:v>L027</x:v>
      </x:c>
      <x:c r="H128" s="20" t="str">
        <x:v>4000 Rental Income</x:v>
      </x:c>
      <x:c r="I128" s="26" t="n">
        <x:v>0</x:v>
      </x:c>
      <x:c r="J128" s="26" t="n">
        <x:v>1825</x:v>
      </x:c>
      <x:c r="K128" s="35" t="str">
        <x:v>January 2027 rent</x:v>
      </x:c>
    </x:row>
    <x:row r="129">
      <x:c r="A129" s="20" t="str">
        <x:v>FIN-00061</x:v>
      </x:c>
      <x:c r="B129" s="32" t="n">
        <x:v>1</x:v>
      </x:c>
      <x:c r="C129" s="23" t="n">
        <x:v>46390</x:v>
      </x:c>
      <x:c r="D129" s="23" t="n">
        <x:v>46390</x:v>
      </x:c>
      <x:c r="E129" s="20" t="str">
        <x:v>P024</x:v>
      </x:c>
      <x:c r="F129" s="20" t="str">
        <x:v>U027</x:v>
      </x:c>
      <x:c r="G129" s="20" t="str">
        <x:v>L027</x:v>
      </x:c>
      <x:c r="H129" s="20" t="str">
        <x:v>1000 Operating Cash</x:v>
      </x:c>
      <x:c r="I129" s="26" t="n">
        <x:v>1825</x:v>
      </x:c>
      <x:c r="J129" s="26" t="n">
        <x:v>0</x:v>
      </x:c>
      <x:c r="K129" s="35" t="str">
        <x:v>Receipt allocated to FIN-00060</x:v>
      </x:c>
    </x:row>
    <x:row r="130">
      <x:c r="A130" s="20" t="str">
        <x:v>FIN-00061</x:v>
      </x:c>
      <x:c r="B130" s="32" t="n">
        <x:v>2</x:v>
      </x:c>
      <x:c r="C130" s="23" t="n">
        <x:v>46390</x:v>
      </x:c>
      <x:c r="D130" s="23" t="n">
        <x:v>46390</x:v>
      </x:c>
      <x:c r="E130" s="20" t="str">
        <x:v>P024</x:v>
      </x:c>
      <x:c r="F130" s="20" t="str">
        <x:v>U027</x:v>
      </x:c>
      <x:c r="G130" s="20" t="str">
        <x:v>L027</x:v>
      </x:c>
      <x:c r="H130" s="20" t="str">
        <x:v>1100 Tenant Accounts Receivable</x:v>
      </x:c>
      <x:c r="I130" s="26" t="n">
        <x:v>0</x:v>
      </x:c>
      <x:c r="J130" s="26" t="n">
        <x:v>1825</x:v>
      </x:c>
      <x:c r="K130" s="35" t="str">
        <x:v>Receipt allocated to FIN-00060</x:v>
      </x:c>
    </x:row>
    <x:row r="131">
      <x:c r="A131" s="20" t="str">
        <x:v>FIN-00062</x:v>
      </x:c>
      <x:c r="B131" s="32" t="n">
        <x:v>1</x:v>
      </x:c>
      <x:c r="C131" s="23" t="n">
        <x:v>46388</x:v>
      </x:c>
      <x:c r="D131" s="23" t="n">
        <x:v>46388</x:v>
      </x:c>
      <x:c r="E131" s="20" t="str">
        <x:v>P024</x:v>
      </x:c>
      <x:c r="F131" s="20" t="str">
        <x:v>U028</x:v>
      </x:c>
      <x:c r="G131" s="20" t="str">
        <x:v>L028</x:v>
      </x:c>
      <x:c r="H131" s="20" t="str">
        <x:v>1100 Tenant Accounts Receivable</x:v>
      </x:c>
      <x:c r="I131" s="26" t="n">
        <x:v>1450</x:v>
      </x:c>
      <x:c r="J131" s="26" t="n">
        <x:v>0</x:v>
      </x:c>
      <x:c r="K131" s="35" t="str">
        <x:v>January 2027 rent</x:v>
      </x:c>
    </x:row>
    <x:row r="132">
      <x:c r="A132" s="20" t="str">
        <x:v>FIN-00062</x:v>
      </x:c>
      <x:c r="B132" s="32" t="n">
        <x:v>2</x:v>
      </x:c>
      <x:c r="C132" s="23" t="n">
        <x:v>46388</x:v>
      </x:c>
      <x:c r="D132" s="23" t="n">
        <x:v>46388</x:v>
      </x:c>
      <x:c r="E132" s="20" t="str">
        <x:v>P024</x:v>
      </x:c>
      <x:c r="F132" s="20" t="str">
        <x:v>U028</x:v>
      </x:c>
      <x:c r="G132" s="20" t="str">
        <x:v>L028</x:v>
      </x:c>
      <x:c r="H132" s="20" t="str">
        <x:v>4000 Rental Income</x:v>
      </x:c>
      <x:c r="I132" s="26" t="n">
        <x:v>0</x:v>
      </x:c>
      <x:c r="J132" s="26" t="n">
        <x:v>1450</x:v>
      </x:c>
      <x:c r="K132" s="35" t="str">
        <x:v>January 2027 rent</x:v>
      </x:c>
    </x:row>
    <x:row r="133">
      <x:c r="A133" s="20" t="str">
        <x:v>FIN-00063</x:v>
      </x:c>
      <x:c r="B133" s="32" t="n">
        <x:v>1</x:v>
      </x:c>
      <x:c r="C133" s="23" t="n">
        <x:v>46391</x:v>
      </x:c>
      <x:c r="D133" s="23" t="n">
        <x:v>46391</x:v>
      </x:c>
      <x:c r="E133" s="20" t="str">
        <x:v>P024</x:v>
      </x:c>
      <x:c r="F133" s="20" t="str">
        <x:v>U028</x:v>
      </x:c>
      <x:c r="G133" s="20" t="str">
        <x:v>L028</x:v>
      </x:c>
      <x:c r="H133" s="20" t="str">
        <x:v>1000 Operating Cash</x:v>
      </x:c>
      <x:c r="I133" s="26" t="n">
        <x:v>1450</x:v>
      </x:c>
      <x:c r="J133" s="26" t="n">
        <x:v>0</x:v>
      </x:c>
      <x:c r="K133" s="35" t="str">
        <x:v>Receipt allocated to FIN-00062</x:v>
      </x:c>
    </x:row>
    <x:row r="134">
      <x:c r="A134" s="20" t="str">
        <x:v>FIN-00063</x:v>
      </x:c>
      <x:c r="B134" s="32" t="n">
        <x:v>2</x:v>
      </x:c>
      <x:c r="C134" s="23" t="n">
        <x:v>46391</x:v>
      </x:c>
      <x:c r="D134" s="23" t="n">
        <x:v>46391</x:v>
      </x:c>
      <x:c r="E134" s="20" t="str">
        <x:v>P024</x:v>
      </x:c>
      <x:c r="F134" s="20" t="str">
        <x:v>U028</x:v>
      </x:c>
      <x:c r="G134" s="20" t="str">
        <x:v>L028</x:v>
      </x:c>
      <x:c r="H134" s="20" t="str">
        <x:v>1100 Tenant Accounts Receivable</x:v>
      </x:c>
      <x:c r="I134" s="26" t="n">
        <x:v>0</x:v>
      </x:c>
      <x:c r="J134" s="26" t="n">
        <x:v>1450</x:v>
      </x:c>
      <x:c r="K134" s="35" t="str">
        <x:v>Receipt allocated to FIN-00062</x:v>
      </x:c>
    </x:row>
    <x:row r="135">
      <x:c r="A135" s="20" t="str">
        <x:v>FIN-00064</x:v>
      </x:c>
      <x:c r="B135" s="32" t="n">
        <x:v>1</x:v>
      </x:c>
      <x:c r="C135" s="23" t="n">
        <x:v>46388</x:v>
      </x:c>
      <x:c r="D135" s="23" t="n">
        <x:v>46388</x:v>
      </x:c>
      <x:c r="E135" s="20" t="str">
        <x:v>P025</x:v>
      </x:c>
      <x:c r="F135" s="20" t="str">
        <x:v>U029</x:v>
      </x:c>
      <x:c r="G135" s="20" t="str">
        <x:v>L029</x:v>
      </x:c>
      <x:c r="H135" s="20" t="str">
        <x:v>1100 Tenant Accounts Receivable</x:v>
      </x:c>
      <x:c r="I135" s="26" t="n">
        <x:v>1975</x:v>
      </x:c>
      <x:c r="J135" s="26" t="n">
        <x:v>0</x:v>
      </x:c>
      <x:c r="K135" s="35" t="str">
        <x:v>January 2027 rent</x:v>
      </x:c>
    </x:row>
    <x:row r="136">
      <x:c r="A136" s="20" t="str">
        <x:v>FIN-00064</x:v>
      </x:c>
      <x:c r="B136" s="32" t="n">
        <x:v>2</x:v>
      </x:c>
      <x:c r="C136" s="23" t="n">
        <x:v>46388</x:v>
      </x:c>
      <x:c r="D136" s="23" t="n">
        <x:v>46388</x:v>
      </x:c>
      <x:c r="E136" s="20" t="str">
        <x:v>P025</x:v>
      </x:c>
      <x:c r="F136" s="20" t="str">
        <x:v>U029</x:v>
      </x:c>
      <x:c r="G136" s="20" t="str">
        <x:v>L029</x:v>
      </x:c>
      <x:c r="H136" s="20" t="str">
        <x:v>4000 Rental Income</x:v>
      </x:c>
      <x:c r="I136" s="26" t="n">
        <x:v>0</x:v>
      </x:c>
      <x:c r="J136" s="26" t="n">
        <x:v>1975</x:v>
      </x:c>
      <x:c r="K136" s="35" t="str">
        <x:v>January 2027 rent</x:v>
      </x:c>
    </x:row>
    <x:row r="137">
      <x:c r="A137" s="20" t="str">
        <x:v>FIN-00065</x:v>
      </x:c>
      <x:c r="B137" s="32" t="n">
        <x:v>1</x:v>
      </x:c>
      <x:c r="C137" s="23" t="n">
        <x:v>46392</x:v>
      </x:c>
      <x:c r="D137" s="23" t="n">
        <x:v>46392</x:v>
      </x:c>
      <x:c r="E137" s="20" t="str">
        <x:v>P025</x:v>
      </x:c>
      <x:c r="F137" s="20" t="str">
        <x:v>U029</x:v>
      </x:c>
      <x:c r="G137" s="20" t="str">
        <x:v>L029</x:v>
      </x:c>
      <x:c r="H137" s="20" t="str">
        <x:v>1000 Operating Cash</x:v>
      </x:c>
      <x:c r="I137" s="26" t="n">
        <x:v>1975</x:v>
      </x:c>
      <x:c r="J137" s="26" t="n">
        <x:v>0</x:v>
      </x:c>
      <x:c r="K137" s="35" t="str">
        <x:v>Receipt allocated to FIN-00064</x:v>
      </x:c>
    </x:row>
    <x:row r="138">
      <x:c r="A138" s="20" t="str">
        <x:v>FIN-00065</x:v>
      </x:c>
      <x:c r="B138" s="32" t="n">
        <x:v>2</x:v>
      </x:c>
      <x:c r="C138" s="23" t="n">
        <x:v>46392</x:v>
      </x:c>
      <x:c r="D138" s="23" t="n">
        <x:v>46392</x:v>
      </x:c>
      <x:c r="E138" s="20" t="str">
        <x:v>P025</x:v>
      </x:c>
      <x:c r="F138" s="20" t="str">
        <x:v>U029</x:v>
      </x:c>
      <x:c r="G138" s="20" t="str">
        <x:v>L029</x:v>
      </x:c>
      <x:c r="H138" s="20" t="str">
        <x:v>1100 Tenant Accounts Receivable</x:v>
      </x:c>
      <x:c r="I138" s="26" t="n">
        <x:v>0</x:v>
      </x:c>
      <x:c r="J138" s="26" t="n">
        <x:v>1975</x:v>
      </x:c>
      <x:c r="K138" s="35" t="str">
        <x:v>Receipt allocated to FIN-00064</x:v>
      </x:c>
    </x:row>
    <x:row r="139">
      <x:c r="A139" s="20" t="str">
        <x:v>FIN-00066</x:v>
      </x:c>
      <x:c r="B139" s="32" t="n">
        <x:v>1</x:v>
      </x:c>
      <x:c r="C139" s="23" t="n">
        <x:v>46388</x:v>
      </x:c>
      <x:c r="D139" s="23" t="n">
        <x:v>46388</x:v>
      </x:c>
      <x:c r="E139" s="20" t="str">
        <x:v>P025</x:v>
      </x:c>
      <x:c r="F139" s="20" t="str">
        <x:v>U030</x:v>
      </x:c>
      <x:c r="G139" s="20" t="str">
        <x:v>L030</x:v>
      </x:c>
      <x:c r="H139" s="20" t="str">
        <x:v>1100 Tenant Accounts Receivable</x:v>
      </x:c>
      <x:c r="I139" s="26" t="n">
        <x:v>1600</x:v>
      </x:c>
      <x:c r="J139" s="26" t="n">
        <x:v>0</x:v>
      </x:c>
      <x:c r="K139" s="35" t="str">
        <x:v>January 2027 rent</x:v>
      </x:c>
    </x:row>
    <x:row r="140">
      <x:c r="A140" s="20" t="str">
        <x:v>FIN-00066</x:v>
      </x:c>
      <x:c r="B140" s="32" t="n">
        <x:v>2</x:v>
      </x:c>
      <x:c r="C140" s="23" t="n">
        <x:v>46388</x:v>
      </x:c>
      <x:c r="D140" s="23" t="n">
        <x:v>46388</x:v>
      </x:c>
      <x:c r="E140" s="20" t="str">
        <x:v>P025</x:v>
      </x:c>
      <x:c r="F140" s="20" t="str">
        <x:v>U030</x:v>
      </x:c>
      <x:c r="G140" s="20" t="str">
        <x:v>L030</x:v>
      </x:c>
      <x:c r="H140" s="20" t="str">
        <x:v>4000 Rental Income</x:v>
      </x:c>
      <x:c r="I140" s="26" t="n">
        <x:v>0</x:v>
      </x:c>
      <x:c r="J140" s="26" t="n">
        <x:v>1600</x:v>
      </x:c>
      <x:c r="K140" s="35" t="str">
        <x:v>January 2027 rent</x:v>
      </x:c>
    </x:row>
    <x:row r="141">
      <x:c r="A141" s="20" t="str">
        <x:v>FIN-00067</x:v>
      </x:c>
      <x:c r="B141" s="32" t="n">
        <x:v>1</x:v>
      </x:c>
      <x:c r="C141" s="23" t="n">
        <x:v>46390</x:v>
      </x:c>
      <x:c r="D141" s="23" t="n">
        <x:v>46390</x:v>
      </x:c>
      <x:c r="E141" s="20" t="str">
        <x:v>P025</x:v>
      </x:c>
      <x:c r="F141" s="20" t="str">
        <x:v>U030</x:v>
      </x:c>
      <x:c r="G141" s="20" t="str">
        <x:v>L030</x:v>
      </x:c>
      <x:c r="H141" s="20" t="str">
        <x:v>1000 Operating Cash</x:v>
      </x:c>
      <x:c r="I141" s="26" t="n">
        <x:v>1600</x:v>
      </x:c>
      <x:c r="J141" s="26" t="n">
        <x:v>0</x:v>
      </x:c>
      <x:c r="K141" s="35" t="str">
        <x:v>Receipt allocated to FIN-00066</x:v>
      </x:c>
    </x:row>
    <x:row r="142">
      <x:c r="A142" s="20" t="str">
        <x:v>FIN-00067</x:v>
      </x:c>
      <x:c r="B142" s="32" t="n">
        <x:v>2</x:v>
      </x:c>
      <x:c r="C142" s="23" t="n">
        <x:v>46390</x:v>
      </x:c>
      <x:c r="D142" s="23" t="n">
        <x:v>46390</x:v>
      </x:c>
      <x:c r="E142" s="20" t="str">
        <x:v>P025</x:v>
      </x:c>
      <x:c r="F142" s="20" t="str">
        <x:v>U030</x:v>
      </x:c>
      <x:c r="G142" s="20" t="str">
        <x:v>L030</x:v>
      </x:c>
      <x:c r="H142" s="20" t="str">
        <x:v>1100 Tenant Accounts Receivable</x:v>
      </x:c>
      <x:c r="I142" s="26" t="n">
        <x:v>0</x:v>
      </x:c>
      <x:c r="J142" s="26" t="n">
        <x:v>1600</x:v>
      </x:c>
      <x:c r="K142" s="35" t="str">
        <x:v>Receipt allocated to FIN-00066</x:v>
      </x:c>
    </x:row>
    <x:row r="143">
      <x:c r="A143" s="20" t="str">
        <x:v>FIN-00068</x:v>
      </x:c>
      <x:c r="B143" s="32" t="n">
        <x:v>1</x:v>
      </x:c>
      <x:c r="C143" s="23" t="n">
        <x:v>46388</x:v>
      </x:c>
      <x:c r="D143" s="23" t="n">
        <x:v>46388</x:v>
      </x:c>
      <x:c r="E143" s="20" t="str">
        <x:v>P026</x:v>
      </x:c>
      <x:c r="F143" s="20" t="str">
        <x:v>U031</x:v>
      </x:c>
      <x:c r="G143" s="20" t="str">
        <x:v>L031</x:v>
      </x:c>
      <x:c r="H143" s="20" t="str">
        <x:v>1100 Tenant Accounts Receivable</x:v>
      </x:c>
      <x:c r="I143" s="26" t="n">
        <x:v>1225</x:v>
      </x:c>
      <x:c r="J143" s="26" t="n">
        <x:v>0</x:v>
      </x:c>
      <x:c r="K143" s="35" t="str">
        <x:v>January 2027 rent</x:v>
      </x:c>
    </x:row>
    <x:row r="144">
      <x:c r="A144" s="20" t="str">
        <x:v>FIN-00068</x:v>
      </x:c>
      <x:c r="B144" s="32" t="n">
        <x:v>2</x:v>
      </x:c>
      <x:c r="C144" s="23" t="n">
        <x:v>46388</x:v>
      </x:c>
      <x:c r="D144" s="23" t="n">
        <x:v>46388</x:v>
      </x:c>
      <x:c r="E144" s="20" t="str">
        <x:v>P026</x:v>
      </x:c>
      <x:c r="F144" s="20" t="str">
        <x:v>U031</x:v>
      </x:c>
      <x:c r="G144" s="20" t="str">
        <x:v>L031</x:v>
      </x:c>
      <x:c r="H144" s="20" t="str">
        <x:v>4000 Rental Income</x:v>
      </x:c>
      <x:c r="I144" s="26" t="n">
        <x:v>0</x:v>
      </x:c>
      <x:c r="J144" s="26" t="n">
        <x:v>1225</x:v>
      </x:c>
      <x:c r="K144" s="35" t="str">
        <x:v>January 2027 rent</x:v>
      </x:c>
    </x:row>
    <x:row r="145">
      <x:c r="A145" s="20" t="str">
        <x:v>FIN-00069</x:v>
      </x:c>
      <x:c r="B145" s="32" t="n">
        <x:v>1</x:v>
      </x:c>
      <x:c r="C145" s="23" t="n">
        <x:v>46391</x:v>
      </x:c>
      <x:c r="D145" s="23" t="n">
        <x:v>46391</x:v>
      </x:c>
      <x:c r="E145" s="20" t="str">
        <x:v>P026</x:v>
      </x:c>
      <x:c r="F145" s="20" t="str">
        <x:v>U031</x:v>
      </x:c>
      <x:c r="G145" s="20" t="str">
        <x:v>L031</x:v>
      </x:c>
      <x:c r="H145" s="20" t="str">
        <x:v>1000 Operating Cash</x:v>
      </x:c>
      <x:c r="I145" s="26" t="n">
        <x:v>1225</x:v>
      </x:c>
      <x:c r="J145" s="26" t="n">
        <x:v>0</x:v>
      </x:c>
      <x:c r="K145" s="35" t="str">
        <x:v>Receipt allocated to FIN-00068</x:v>
      </x:c>
    </x:row>
    <x:row r="146">
      <x:c r="A146" s="20" t="str">
        <x:v>FIN-00069</x:v>
      </x:c>
      <x:c r="B146" s="32" t="n">
        <x:v>2</x:v>
      </x:c>
      <x:c r="C146" s="23" t="n">
        <x:v>46391</x:v>
      </x:c>
      <x:c r="D146" s="23" t="n">
        <x:v>46391</x:v>
      </x:c>
      <x:c r="E146" s="20" t="str">
        <x:v>P026</x:v>
      </x:c>
      <x:c r="F146" s="20" t="str">
        <x:v>U031</x:v>
      </x:c>
      <x:c r="G146" s="20" t="str">
        <x:v>L031</x:v>
      </x:c>
      <x:c r="H146" s="20" t="str">
        <x:v>1100 Tenant Accounts Receivable</x:v>
      </x:c>
      <x:c r="I146" s="26" t="n">
        <x:v>0</x:v>
      </x:c>
      <x:c r="J146" s="26" t="n">
        <x:v>1225</x:v>
      </x:c>
      <x:c r="K146" s="35" t="str">
        <x:v>Receipt allocated to FIN-00068</x:v>
      </x:c>
    </x:row>
    <x:row r="147">
      <x:c r="A147" s="20" t="str">
        <x:v>FIN-00070</x:v>
      </x:c>
      <x:c r="B147" s="32" t="n">
        <x:v>1</x:v>
      </x:c>
      <x:c r="C147" s="23" t="n">
        <x:v>46388</x:v>
      </x:c>
      <x:c r="D147" s="23" t="n">
        <x:v>46388</x:v>
      </x:c>
      <x:c r="E147" s="20" t="str">
        <x:v>P026</x:v>
      </x:c>
      <x:c r="F147" s="20" t="str">
        <x:v>U032</x:v>
      </x:c>
      <x:c r="G147" s="20" t="str">
        <x:v>L032</x:v>
      </x:c>
      <x:c r="H147" s="20" t="str">
        <x:v>1100 Tenant Accounts Receivable</x:v>
      </x:c>
      <x:c r="I147" s="26" t="n">
        <x:v>1750</x:v>
      </x:c>
      <x:c r="J147" s="26" t="n">
        <x:v>0</x:v>
      </x:c>
      <x:c r="K147" s="35" t="str">
        <x:v>January 2027 rent</x:v>
      </x:c>
    </x:row>
    <x:row r="148">
      <x:c r="A148" s="20" t="str">
        <x:v>FIN-00070</x:v>
      </x:c>
      <x:c r="B148" s="32" t="n">
        <x:v>2</x:v>
      </x:c>
      <x:c r="C148" s="23" t="n">
        <x:v>46388</x:v>
      </x:c>
      <x:c r="D148" s="23" t="n">
        <x:v>46388</x:v>
      </x:c>
      <x:c r="E148" s="20" t="str">
        <x:v>P026</x:v>
      </x:c>
      <x:c r="F148" s="20" t="str">
        <x:v>U032</x:v>
      </x:c>
      <x:c r="G148" s="20" t="str">
        <x:v>L032</x:v>
      </x:c>
      <x:c r="H148" s="20" t="str">
        <x:v>4000 Rental Income</x:v>
      </x:c>
      <x:c r="I148" s="26" t="n">
        <x:v>0</x:v>
      </x:c>
      <x:c r="J148" s="26" t="n">
        <x:v>1750</x:v>
      </x:c>
      <x:c r="K148" s="35" t="str">
        <x:v>January 2027 rent</x:v>
      </x:c>
    </x:row>
    <x:row r="149">
      <x:c r="A149" s="20" t="str">
        <x:v>FIN-00071</x:v>
      </x:c>
      <x:c r="B149" s="32" t="n">
        <x:v>1</x:v>
      </x:c>
      <x:c r="C149" s="23" t="n">
        <x:v>46392</x:v>
      </x:c>
      <x:c r="D149" s="23" t="n">
        <x:v>46392</x:v>
      </x:c>
      <x:c r="E149" s="20" t="str">
        <x:v>P026</x:v>
      </x:c>
      <x:c r="F149" s="20" t="str">
        <x:v>U032</x:v>
      </x:c>
      <x:c r="G149" s="20" t="str">
        <x:v>L032</x:v>
      </x:c>
      <x:c r="H149" s="20" t="str">
        <x:v>1000 Operating Cash</x:v>
      </x:c>
      <x:c r="I149" s="26" t="n">
        <x:v>1750</x:v>
      </x:c>
      <x:c r="J149" s="26" t="n">
        <x:v>0</x:v>
      </x:c>
      <x:c r="K149" s="35" t="str">
        <x:v>Receipt allocated to FIN-00070</x:v>
      </x:c>
    </x:row>
    <x:row r="150">
      <x:c r="A150" s="20" t="str">
        <x:v>FIN-00071</x:v>
      </x:c>
      <x:c r="B150" s="32" t="n">
        <x:v>2</x:v>
      </x:c>
      <x:c r="C150" s="23" t="n">
        <x:v>46392</x:v>
      </x:c>
      <x:c r="D150" s="23" t="n">
        <x:v>46392</x:v>
      </x:c>
      <x:c r="E150" s="20" t="str">
        <x:v>P026</x:v>
      </x:c>
      <x:c r="F150" s="20" t="str">
        <x:v>U032</x:v>
      </x:c>
      <x:c r="G150" s="20" t="str">
        <x:v>L032</x:v>
      </x:c>
      <x:c r="H150" s="20" t="str">
        <x:v>1100 Tenant Accounts Receivable</x:v>
      </x:c>
      <x:c r="I150" s="26" t="n">
        <x:v>0</x:v>
      </x:c>
      <x:c r="J150" s="26" t="n">
        <x:v>1750</x:v>
      </x:c>
      <x:c r="K150" s="35" t="str">
        <x:v>Receipt allocated to FIN-00070</x:v>
      </x:c>
    </x:row>
    <x:row r="151">
      <x:c r="A151" s="20" t="str">
        <x:v>FIN-00072</x:v>
      </x:c>
      <x:c r="B151" s="32" t="n">
        <x:v>1</x:v>
      </x:c>
      <x:c r="C151" s="23" t="n">
        <x:v>46388</x:v>
      </x:c>
      <x:c r="D151" s="23" t="n">
        <x:v>46388</x:v>
      </x:c>
      <x:c r="E151" s="20" t="str">
        <x:v>P027</x:v>
      </x:c>
      <x:c r="F151" s="20" t="str">
        <x:v>U033</x:v>
      </x:c>
      <x:c r="G151" s="20" t="str">
        <x:v>L033</x:v>
      </x:c>
      <x:c r="H151" s="20" t="str">
        <x:v>1100 Tenant Accounts Receivable</x:v>
      </x:c>
      <x:c r="I151" s="26" t="n">
        <x:v>1375</x:v>
      </x:c>
      <x:c r="J151" s="26" t="n">
        <x:v>0</x:v>
      </x:c>
      <x:c r="K151" s="35" t="str">
        <x:v>January 2027 rent</x:v>
      </x:c>
    </x:row>
    <x:row r="152">
      <x:c r="A152" s="20" t="str">
        <x:v>FIN-00072</x:v>
      </x:c>
      <x:c r="B152" s="32" t="n">
        <x:v>2</x:v>
      </x:c>
      <x:c r="C152" s="23" t="n">
        <x:v>46388</x:v>
      </x:c>
      <x:c r="D152" s="23" t="n">
        <x:v>46388</x:v>
      </x:c>
      <x:c r="E152" s="20" t="str">
        <x:v>P027</x:v>
      </x:c>
      <x:c r="F152" s="20" t="str">
        <x:v>U033</x:v>
      </x:c>
      <x:c r="G152" s="20" t="str">
        <x:v>L033</x:v>
      </x:c>
      <x:c r="H152" s="20" t="str">
        <x:v>4000 Rental Income</x:v>
      </x:c>
      <x:c r="I152" s="26" t="n">
        <x:v>0</x:v>
      </x:c>
      <x:c r="J152" s="26" t="n">
        <x:v>1375</x:v>
      </x:c>
      <x:c r="K152" s="35" t="str">
        <x:v>January 2027 rent</x:v>
      </x:c>
    </x:row>
    <x:row r="153">
      <x:c r="A153" s="20" t="str">
        <x:v>FIN-00073</x:v>
      </x:c>
      <x:c r="B153" s="32" t="n">
        <x:v>1</x:v>
      </x:c>
      <x:c r="C153" s="23" t="n">
        <x:v>46390</x:v>
      </x:c>
      <x:c r="D153" s="23" t="n">
        <x:v>46390</x:v>
      </x:c>
      <x:c r="E153" s="20" t="str">
        <x:v>P027</x:v>
      </x:c>
      <x:c r="F153" s="20" t="str">
        <x:v>U033</x:v>
      </x:c>
      <x:c r="G153" s="20" t="str">
        <x:v>L033</x:v>
      </x:c>
      <x:c r="H153" s="20" t="str">
        <x:v>1000 Operating Cash</x:v>
      </x:c>
      <x:c r="I153" s="26" t="n">
        <x:v>825</x:v>
      </x:c>
      <x:c r="J153" s="26" t="n">
        <x:v>0</x:v>
      </x:c>
      <x:c r="K153" s="35" t="str">
        <x:v>Receipt allocated to FIN-00072</x:v>
      </x:c>
    </x:row>
    <x:row r="154">
      <x:c r="A154" s="20" t="str">
        <x:v>FIN-00073</x:v>
      </x:c>
      <x:c r="B154" s="32" t="n">
        <x:v>2</x:v>
      </x:c>
      <x:c r="C154" s="23" t="n">
        <x:v>46390</x:v>
      </x:c>
      <x:c r="D154" s="23" t="n">
        <x:v>46390</x:v>
      </x:c>
      <x:c r="E154" s="20" t="str">
        <x:v>P027</x:v>
      </x:c>
      <x:c r="F154" s="20" t="str">
        <x:v>U033</x:v>
      </x:c>
      <x:c r="G154" s="20" t="str">
        <x:v>L033</x:v>
      </x:c>
      <x:c r="H154" s="20" t="str">
        <x:v>1100 Tenant Accounts Receivable</x:v>
      </x:c>
      <x:c r="I154" s="26" t="n">
        <x:v>0</x:v>
      </x:c>
      <x:c r="J154" s="26" t="n">
        <x:v>825</x:v>
      </x:c>
      <x:c r="K154" s="35" t="str">
        <x:v>Receipt allocated to FIN-00072</x:v>
      </x:c>
    </x:row>
    <x:row r="155">
      <x:c r="A155" s="20" t="str">
        <x:v>FIN-00074</x:v>
      </x:c>
      <x:c r="B155" s="32" t="n">
        <x:v>1</x:v>
      </x:c>
      <x:c r="C155" s="23" t="n">
        <x:v>46393</x:v>
      </x:c>
      <x:c r="D155" s="23" t="n">
        <x:v>46393</x:v>
      </x:c>
      <x:c r="E155" s="20" t="str">
        <x:v>P027</x:v>
      </x:c>
      <x:c r="F155" s="20" t="str">
        <x:v>U033</x:v>
      </x:c>
      <x:c r="G155" s="20" t="str">
        <x:v>L033</x:v>
      </x:c>
      <x:c r="H155" s="20" t="str">
        <x:v>1100 Tenant Accounts Receivable</x:v>
      </x:c>
      <x:c r="I155" s="26" t="n">
        <x:v>50</x:v>
      </x:c>
      <x:c r="J155" s="26" t="n">
        <x:v>0</x:v>
      </x:c>
      <x:c r="K155" s="35" t="str">
        <x:v>Synthetic lease-authorized late fee after partial payment</x:v>
      </x:c>
    </x:row>
    <x:row r="156">
      <x:c r="A156" s="20" t="str">
        <x:v>FIN-00074</x:v>
      </x:c>
      <x:c r="B156" s="32" t="n">
        <x:v>2</x:v>
      </x:c>
      <x:c r="C156" s="23" t="n">
        <x:v>46393</x:v>
      </x:c>
      <x:c r="D156" s="23" t="n">
        <x:v>46393</x:v>
      </x:c>
      <x:c r="E156" s="20" t="str">
        <x:v>P027</x:v>
      </x:c>
      <x:c r="F156" s="20" t="str">
        <x:v>U033</x:v>
      </x:c>
      <x:c r="G156" s="20" t="str">
        <x:v>L033</x:v>
      </x:c>
      <x:c r="H156" s="20" t="str">
        <x:v>4010 Late Fee Income</x:v>
      </x:c>
      <x:c r="I156" s="26" t="n">
        <x:v>0</x:v>
      </x:c>
      <x:c r="J156" s="26" t="n">
        <x:v>50</x:v>
      </x:c>
      <x:c r="K156" s="35" t="str">
        <x:v>Synthetic lease-authorized late fee after partial payment</x:v>
      </x:c>
    </x:row>
    <x:row r="157">
      <x:c r="A157" s="20" t="str">
        <x:v>FIN-00075</x:v>
      </x:c>
      <x:c r="B157" s="32" t="n">
        <x:v>1</x:v>
      </x:c>
      <x:c r="C157" s="23" t="n">
        <x:v>46399</x:v>
      </x:c>
      <x:c r="D157" s="23" t="n">
        <x:v>46399</x:v>
      </x:c>
      <x:c r="E157" s="20" t="str">
        <x:v>P027</x:v>
      </x:c>
      <x:c r="F157" s="20" t="str">
        <x:v>U033</x:v>
      </x:c>
      <x:c r="G157" s="20" t="str">
        <x:v>L033</x:v>
      </x:c>
      <x:c r="H157" s="20" t="str">
        <x:v>1000 Operating Cash</x:v>
      </x:c>
      <x:c r="I157" s="26" t="n">
        <x:v>600</x:v>
      </x:c>
      <x:c r="J157" s="26" t="n">
        <x:v>0</x:v>
      </x:c>
      <x:c r="K157" s="35" t="str">
        <x:v>Receipt allocated to FIN-00074</x:v>
      </x:c>
    </x:row>
    <x:row r="158">
      <x:c r="A158" s="20" t="str">
        <x:v>FIN-00075</x:v>
      </x:c>
      <x:c r="B158" s="32" t="n">
        <x:v>2</x:v>
      </x:c>
      <x:c r="C158" s="23" t="n">
        <x:v>46399</x:v>
      </x:c>
      <x:c r="D158" s="23" t="n">
        <x:v>46399</x:v>
      </x:c>
      <x:c r="E158" s="20" t="str">
        <x:v>P027</x:v>
      </x:c>
      <x:c r="F158" s="20" t="str">
        <x:v>U033</x:v>
      </x:c>
      <x:c r="G158" s="20" t="str">
        <x:v>L033</x:v>
      </x:c>
      <x:c r="H158" s="20" t="str">
        <x:v>1100 Tenant Accounts Receivable</x:v>
      </x:c>
      <x:c r="I158" s="26" t="n">
        <x:v>0</x:v>
      </x:c>
      <x:c r="J158" s="26" t="n">
        <x:v>600</x:v>
      </x:c>
      <x:c r="K158" s="35" t="str">
        <x:v>Receipt allocated to FIN-00074</x:v>
      </x:c>
    </x:row>
    <x:row r="159">
      <x:c r="A159" s="20" t="str">
        <x:v>FIN-00076</x:v>
      </x:c>
      <x:c r="B159" s="32" t="n">
        <x:v>1</x:v>
      </x:c>
      <x:c r="C159" s="23" t="n">
        <x:v>46388</x:v>
      </x:c>
      <x:c r="D159" s="23" t="n">
        <x:v>46388</x:v>
      </x:c>
      <x:c r="E159" s="20" t="str">
        <x:v>P027</x:v>
      </x:c>
      <x:c r="F159" s="20" t="str">
        <x:v>U034</x:v>
      </x:c>
      <x:c r="G159" s="20" t="str">
        <x:v>L034</x:v>
      </x:c>
      <x:c r="H159" s="20" t="str">
        <x:v>1100 Tenant Accounts Receivable</x:v>
      </x:c>
      <x:c r="I159" s="26" t="n">
        <x:v>1900</x:v>
      </x:c>
      <x:c r="J159" s="26" t="n">
        <x:v>0</x:v>
      </x:c>
      <x:c r="K159" s="35" t="str">
        <x:v>January 2027 rent</x:v>
      </x:c>
    </x:row>
    <x:row r="160">
      <x:c r="A160" s="20" t="str">
        <x:v>FIN-00076</x:v>
      </x:c>
      <x:c r="B160" s="32" t="n">
        <x:v>2</x:v>
      </x:c>
      <x:c r="C160" s="23" t="n">
        <x:v>46388</x:v>
      </x:c>
      <x:c r="D160" s="23" t="n">
        <x:v>46388</x:v>
      </x:c>
      <x:c r="E160" s="20" t="str">
        <x:v>P027</x:v>
      </x:c>
      <x:c r="F160" s="20" t="str">
        <x:v>U034</x:v>
      </x:c>
      <x:c r="G160" s="20" t="str">
        <x:v>L034</x:v>
      </x:c>
      <x:c r="H160" s="20" t="str">
        <x:v>4000 Rental Income</x:v>
      </x:c>
      <x:c r="I160" s="26" t="n">
        <x:v>0</x:v>
      </x:c>
      <x:c r="J160" s="26" t="n">
        <x:v>1900</x:v>
      </x:c>
      <x:c r="K160" s="35" t="str">
        <x:v>January 2027 rent</x:v>
      </x:c>
    </x:row>
    <x:row r="161">
      <x:c r="A161" s="20" t="str">
        <x:v>FIN-00077</x:v>
      </x:c>
      <x:c r="B161" s="32" t="n">
        <x:v>1</x:v>
      </x:c>
      <x:c r="C161" s="23" t="n">
        <x:v>46391</x:v>
      </x:c>
      <x:c r="D161" s="23" t="n">
        <x:v>46391</x:v>
      </x:c>
      <x:c r="E161" s="20" t="str">
        <x:v>P027</x:v>
      </x:c>
      <x:c r="F161" s="20" t="str">
        <x:v>U034</x:v>
      </x:c>
      <x:c r="G161" s="20" t="str">
        <x:v>L034</x:v>
      </x:c>
      <x:c r="H161" s="20" t="str">
        <x:v>1000 Operating Cash</x:v>
      </x:c>
      <x:c r="I161" s="26" t="n">
        <x:v>1900</x:v>
      </x:c>
      <x:c r="J161" s="26" t="n">
        <x:v>0</x:v>
      </x:c>
      <x:c r="K161" s="35" t="str">
        <x:v>Receipt allocated to FIN-00076</x:v>
      </x:c>
    </x:row>
    <x:row r="162">
      <x:c r="A162" s="20" t="str">
        <x:v>FIN-00077</x:v>
      </x:c>
      <x:c r="B162" s="32" t="n">
        <x:v>2</x:v>
      </x:c>
      <x:c r="C162" s="23" t="n">
        <x:v>46391</x:v>
      </x:c>
      <x:c r="D162" s="23" t="n">
        <x:v>46391</x:v>
      </x:c>
      <x:c r="E162" s="20" t="str">
        <x:v>P027</x:v>
      </x:c>
      <x:c r="F162" s="20" t="str">
        <x:v>U034</x:v>
      </x:c>
      <x:c r="G162" s="20" t="str">
        <x:v>L034</x:v>
      </x:c>
      <x:c r="H162" s="20" t="str">
        <x:v>1100 Tenant Accounts Receivable</x:v>
      </x:c>
      <x:c r="I162" s="26" t="n">
        <x:v>0</x:v>
      </x:c>
      <x:c r="J162" s="26" t="n">
        <x:v>1900</x:v>
      </x:c>
      <x:c r="K162" s="35" t="str">
        <x:v>Receipt allocated to FIN-00076</x:v>
      </x:c>
    </x:row>
    <x:row r="163">
      <x:c r="A163" s="20" t="str">
        <x:v>FIN-00078</x:v>
      </x:c>
      <x:c r="B163" s="32" t="n">
        <x:v>1</x:v>
      </x:c>
      <x:c r="C163" s="23" t="n">
        <x:v>46388</x:v>
      </x:c>
      <x:c r="D163" s="23" t="n">
        <x:v>46388</x:v>
      </x:c>
      <x:c r="E163" s="20" t="str">
        <x:v>P028</x:v>
      </x:c>
      <x:c r="F163" s="20" t="str">
        <x:v>U035</x:v>
      </x:c>
      <x:c r="G163" s="20" t="str">
        <x:v>L035</x:v>
      </x:c>
      <x:c r="H163" s="20" t="str">
        <x:v>1100 Tenant Accounts Receivable</x:v>
      </x:c>
      <x:c r="I163" s="26" t="n">
        <x:v>1525</x:v>
      </x:c>
      <x:c r="J163" s="26" t="n">
        <x:v>0</x:v>
      </x:c>
      <x:c r="K163" s="35" t="str">
        <x:v>January 2027 rent</x:v>
      </x:c>
    </x:row>
    <x:row r="164">
      <x:c r="A164" s="20" t="str">
        <x:v>FIN-00078</x:v>
      </x:c>
      <x:c r="B164" s="32" t="n">
        <x:v>2</x:v>
      </x:c>
      <x:c r="C164" s="23" t="n">
        <x:v>46388</x:v>
      </x:c>
      <x:c r="D164" s="23" t="n">
        <x:v>46388</x:v>
      </x:c>
      <x:c r="E164" s="20" t="str">
        <x:v>P028</x:v>
      </x:c>
      <x:c r="F164" s="20" t="str">
        <x:v>U035</x:v>
      </x:c>
      <x:c r="G164" s="20" t="str">
        <x:v>L035</x:v>
      </x:c>
      <x:c r="H164" s="20" t="str">
        <x:v>4000 Rental Income</x:v>
      </x:c>
      <x:c r="I164" s="26" t="n">
        <x:v>0</x:v>
      </x:c>
      <x:c r="J164" s="26" t="n">
        <x:v>1525</x:v>
      </x:c>
      <x:c r="K164" s="35" t="str">
        <x:v>January 2027 rent</x:v>
      </x:c>
    </x:row>
    <x:row r="165">
      <x:c r="A165" s="20" t="str">
        <x:v>FIN-00079</x:v>
      </x:c>
      <x:c r="B165" s="32" t="n">
        <x:v>1</x:v>
      </x:c>
      <x:c r="C165" s="23" t="n">
        <x:v>46392</x:v>
      </x:c>
      <x:c r="D165" s="23" t="n">
        <x:v>46392</x:v>
      </x:c>
      <x:c r="E165" s="20" t="str">
        <x:v>P028</x:v>
      </x:c>
      <x:c r="F165" s="20" t="str">
        <x:v>U035</x:v>
      </x:c>
      <x:c r="G165" s="20" t="str">
        <x:v>L035</x:v>
      </x:c>
      <x:c r="H165" s="20" t="str">
        <x:v>1000 Operating Cash</x:v>
      </x:c>
      <x:c r="I165" s="26" t="n">
        <x:v>1525</x:v>
      </x:c>
      <x:c r="J165" s="26" t="n">
        <x:v>0</x:v>
      </x:c>
      <x:c r="K165" s="35" t="str">
        <x:v>Receipt allocated to FIN-00078</x:v>
      </x:c>
    </x:row>
    <x:row r="166">
      <x:c r="A166" s="20" t="str">
        <x:v>FIN-00079</x:v>
      </x:c>
      <x:c r="B166" s="32" t="n">
        <x:v>2</x:v>
      </x:c>
      <x:c r="C166" s="23" t="n">
        <x:v>46392</x:v>
      </x:c>
      <x:c r="D166" s="23" t="n">
        <x:v>46392</x:v>
      </x:c>
      <x:c r="E166" s="20" t="str">
        <x:v>P028</x:v>
      </x:c>
      <x:c r="F166" s="20" t="str">
        <x:v>U035</x:v>
      </x:c>
      <x:c r="G166" s="20" t="str">
        <x:v>L035</x:v>
      </x:c>
      <x:c r="H166" s="20" t="str">
        <x:v>1100 Tenant Accounts Receivable</x:v>
      </x:c>
      <x:c r="I166" s="26" t="n">
        <x:v>0</x:v>
      </x:c>
      <x:c r="J166" s="26" t="n">
        <x:v>1525</x:v>
      </x:c>
      <x:c r="K166" s="35" t="str">
        <x:v>Receipt allocated to FIN-00078</x:v>
      </x:c>
    </x:row>
    <x:row r="167">
      <x:c r="A167" s="20" t="str">
        <x:v>FIN-00080</x:v>
      </x:c>
      <x:c r="B167" s="32" t="n">
        <x:v>1</x:v>
      </x:c>
      <x:c r="C167" s="23" t="n">
        <x:v>46388</x:v>
      </x:c>
      <x:c r="D167" s="23" t="n">
        <x:v>46388</x:v>
      </x:c>
      <x:c r="E167" s="20" t="str">
        <x:v>P028</x:v>
      </x:c>
      <x:c r="F167" s="20" t="str">
        <x:v>U036</x:v>
      </x:c>
      <x:c r="G167" s="20" t="str">
        <x:v>L036</x:v>
      </x:c>
      <x:c r="H167" s="20" t="str">
        <x:v>1100 Tenant Accounts Receivable</x:v>
      </x:c>
      <x:c r="I167" s="26" t="n">
        <x:v>1150</x:v>
      </x:c>
      <x:c r="J167" s="26" t="n">
        <x:v>0</x:v>
      </x:c>
      <x:c r="K167" s="35" t="str">
        <x:v>January 2027 rent</x:v>
      </x:c>
    </x:row>
    <x:row r="168">
      <x:c r="A168" s="20" t="str">
        <x:v>FIN-00080</x:v>
      </x:c>
      <x:c r="B168" s="32" t="n">
        <x:v>2</x:v>
      </x:c>
      <x:c r="C168" s="23" t="n">
        <x:v>46388</x:v>
      </x:c>
      <x:c r="D168" s="23" t="n">
        <x:v>46388</x:v>
      </x:c>
      <x:c r="E168" s="20" t="str">
        <x:v>P028</x:v>
      </x:c>
      <x:c r="F168" s="20" t="str">
        <x:v>U036</x:v>
      </x:c>
      <x:c r="G168" s="20" t="str">
        <x:v>L036</x:v>
      </x:c>
      <x:c r="H168" s="20" t="str">
        <x:v>4000 Rental Income</x:v>
      </x:c>
      <x:c r="I168" s="26" t="n">
        <x:v>0</x:v>
      </x:c>
      <x:c r="J168" s="26" t="n">
        <x:v>1150</x:v>
      </x:c>
      <x:c r="K168" s="35" t="str">
        <x:v>January 2027 rent</x:v>
      </x:c>
    </x:row>
    <x:row r="169">
      <x:c r="A169" s="20" t="str">
        <x:v>FIN-00081</x:v>
      </x:c>
      <x:c r="B169" s="32" t="n">
        <x:v>1</x:v>
      </x:c>
      <x:c r="C169" s="23" t="n">
        <x:v>46390</x:v>
      </x:c>
      <x:c r="D169" s="23" t="n">
        <x:v>46390</x:v>
      </x:c>
      <x:c r="E169" s="20" t="str">
        <x:v>P028</x:v>
      </x:c>
      <x:c r="F169" s="20" t="str">
        <x:v>U036</x:v>
      </x:c>
      <x:c r="G169" s="20" t="str">
        <x:v>L036</x:v>
      </x:c>
      <x:c r="H169" s="20" t="str">
        <x:v>1000 Operating Cash</x:v>
      </x:c>
      <x:c r="I169" s="26" t="n">
        <x:v>1150</x:v>
      </x:c>
      <x:c r="J169" s="26" t="n">
        <x:v>0</x:v>
      </x:c>
      <x:c r="K169" s="35" t="str">
        <x:v>Receipt allocated to FIN-00080</x:v>
      </x:c>
    </x:row>
    <x:row r="170">
      <x:c r="A170" s="20" t="str">
        <x:v>FIN-00081</x:v>
      </x:c>
      <x:c r="B170" s="32" t="n">
        <x:v>2</x:v>
      </x:c>
      <x:c r="C170" s="23" t="n">
        <x:v>46390</x:v>
      </x:c>
      <x:c r="D170" s="23" t="n">
        <x:v>46390</x:v>
      </x:c>
      <x:c r="E170" s="20" t="str">
        <x:v>P028</x:v>
      </x:c>
      <x:c r="F170" s="20" t="str">
        <x:v>U036</x:v>
      </x:c>
      <x:c r="G170" s="20" t="str">
        <x:v>L036</x:v>
      </x:c>
      <x:c r="H170" s="20" t="str">
        <x:v>1100 Tenant Accounts Receivable</x:v>
      </x:c>
      <x:c r="I170" s="26" t="n">
        <x:v>0</x:v>
      </x:c>
      <x:c r="J170" s="26" t="n">
        <x:v>1150</x:v>
      </x:c>
      <x:c r="K170" s="35" t="str">
        <x:v>Receipt allocated to FIN-00080</x:v>
      </x:c>
    </x:row>
    <x:row r="171">
      <x:c r="A171" s="20" t="str">
        <x:v>FIN-00082</x:v>
      </x:c>
      <x:c r="B171" s="32" t="n">
        <x:v>1</x:v>
      </x:c>
      <x:c r="C171" s="23" t="n">
        <x:v>46419</x:v>
      </x:c>
      <x:c r="D171" s="23" t="n">
        <x:v>46419</x:v>
      </x:c>
      <x:c r="E171" s="20" t="str">
        <x:v>P001</x:v>
      </x:c>
      <x:c r="F171" s="20" t="str">
        <x:v>U001</x:v>
      </x:c>
      <x:c r="G171" s="20" t="str">
        <x:v>L001</x:v>
      </x:c>
      <x:c r="H171" s="20" t="str">
        <x:v>1100 Tenant Accounts Receivable</x:v>
      </x:c>
      <x:c r="I171" s="26" t="n">
        <x:v>1575</x:v>
      </x:c>
      <x:c r="J171" s="26" t="n">
        <x:v>0</x:v>
      </x:c>
      <x:c r="K171" s="35" t="str">
        <x:v>February 2027 rent</x:v>
      </x:c>
    </x:row>
    <x:row r="172">
      <x:c r="A172" s="20" t="str">
        <x:v>FIN-00082</x:v>
      </x:c>
      <x:c r="B172" s="32" t="n">
        <x:v>2</x:v>
      </x:c>
      <x:c r="C172" s="23" t="n">
        <x:v>46419</x:v>
      </x:c>
      <x:c r="D172" s="23" t="n">
        <x:v>46419</x:v>
      </x:c>
      <x:c r="E172" s="20" t="str">
        <x:v>P001</x:v>
      </x:c>
      <x:c r="F172" s="20" t="str">
        <x:v>U001</x:v>
      </x:c>
      <x:c r="G172" s="20" t="str">
        <x:v>L001</x:v>
      </x:c>
      <x:c r="H172" s="20" t="str">
        <x:v>4000 Rental Income</x:v>
      </x:c>
      <x:c r="I172" s="26" t="n">
        <x:v>0</x:v>
      </x:c>
      <x:c r="J172" s="26" t="n">
        <x:v>1575</x:v>
      </x:c>
      <x:c r="K172" s="35" t="str">
        <x:v>February 2027 rent</x:v>
      </x:c>
    </x:row>
    <x:row r="173">
      <x:c r="A173" s="20" t="str">
        <x:v>FIN-00083</x:v>
      </x:c>
      <x:c r="B173" s="32" t="n">
        <x:v>1</x:v>
      </x:c>
      <x:c r="C173" s="23" t="n">
        <x:v>46422</x:v>
      </x:c>
      <x:c r="D173" s="23" t="n">
        <x:v>46422</x:v>
      </x:c>
      <x:c r="E173" s="20" t="str">
        <x:v>P001</x:v>
      </x:c>
      <x:c r="F173" s="20" t="str">
        <x:v>U001</x:v>
      </x:c>
      <x:c r="G173" s="20" t="str">
        <x:v>L001</x:v>
      </x:c>
      <x:c r="H173" s="20" t="str">
        <x:v>1000 Operating Cash</x:v>
      </x:c>
      <x:c r="I173" s="26" t="n">
        <x:v>1575</x:v>
      </x:c>
      <x:c r="J173" s="26" t="n">
        <x:v>0</x:v>
      </x:c>
      <x:c r="K173" s="35" t="str">
        <x:v>Receipt allocated to FIN-00082</x:v>
      </x:c>
    </x:row>
    <x:row r="174">
      <x:c r="A174" s="20" t="str">
        <x:v>FIN-00083</x:v>
      </x:c>
      <x:c r="B174" s="32" t="n">
        <x:v>2</x:v>
      </x:c>
      <x:c r="C174" s="23" t="n">
        <x:v>46422</x:v>
      </x:c>
      <x:c r="D174" s="23" t="n">
        <x:v>46422</x:v>
      </x:c>
      <x:c r="E174" s="20" t="str">
        <x:v>P001</x:v>
      </x:c>
      <x:c r="F174" s="20" t="str">
        <x:v>U001</x:v>
      </x:c>
      <x:c r="G174" s="20" t="str">
        <x:v>L001</x:v>
      </x:c>
      <x:c r="H174" s="20" t="str">
        <x:v>1100 Tenant Accounts Receivable</x:v>
      </x:c>
      <x:c r="I174" s="26" t="n">
        <x:v>0</x:v>
      </x:c>
      <x:c r="J174" s="26" t="n">
        <x:v>1575</x:v>
      </x:c>
      <x:c r="K174" s="35" t="str">
        <x:v>Receipt allocated to FIN-00082</x:v>
      </x:c>
    </x:row>
    <x:row r="175">
      <x:c r="A175" s="20" t="str">
        <x:v>FIN-00084</x:v>
      </x:c>
      <x:c r="B175" s="32" t="n">
        <x:v>1</x:v>
      </x:c>
      <x:c r="C175" s="23" t="n">
        <x:v>46419</x:v>
      </x:c>
      <x:c r="D175" s="23" t="n">
        <x:v>46419</x:v>
      </x:c>
      <x:c r="E175" s="20" t="str">
        <x:v>P002</x:v>
      </x:c>
      <x:c r="F175" s="20" t="str">
        <x:v>U002</x:v>
      </x:c>
      <x:c r="G175" s="20" t="str">
        <x:v>L002</x:v>
      </x:c>
      <x:c r="H175" s="20" t="str">
        <x:v>1100 Tenant Accounts Receivable</x:v>
      </x:c>
      <x:c r="I175" s="26" t="n">
        <x:v>1200</x:v>
      </x:c>
      <x:c r="J175" s="26" t="n">
        <x:v>0</x:v>
      </x:c>
      <x:c r="K175" s="35" t="str">
        <x:v>February 2027 rent</x:v>
      </x:c>
    </x:row>
    <x:row r="176">
      <x:c r="A176" s="20" t="str">
        <x:v>FIN-00084</x:v>
      </x:c>
      <x:c r="B176" s="32" t="n">
        <x:v>2</x:v>
      </x:c>
      <x:c r="C176" s="23" t="n">
        <x:v>46419</x:v>
      </x:c>
      <x:c r="D176" s="23" t="n">
        <x:v>46419</x:v>
      </x:c>
      <x:c r="E176" s="20" t="str">
        <x:v>P002</x:v>
      </x:c>
      <x:c r="F176" s="20" t="str">
        <x:v>U002</x:v>
      </x:c>
      <x:c r="G176" s="20" t="str">
        <x:v>L002</x:v>
      </x:c>
      <x:c r="H176" s="20" t="str">
        <x:v>4000 Rental Income</x:v>
      </x:c>
      <x:c r="I176" s="26" t="n">
        <x:v>0</x:v>
      </x:c>
      <x:c r="J176" s="26" t="n">
        <x:v>1200</x:v>
      </x:c>
      <x:c r="K176" s="35" t="str">
        <x:v>February 2027 rent</x:v>
      </x:c>
    </x:row>
    <x:row r="177">
      <x:c r="A177" s="20" t="str">
        <x:v>FIN-00085</x:v>
      </x:c>
      <x:c r="B177" s="32" t="n">
        <x:v>1</x:v>
      </x:c>
      <x:c r="C177" s="23" t="n">
        <x:v>46423</x:v>
      </x:c>
      <x:c r="D177" s="23" t="n">
        <x:v>46423</x:v>
      </x:c>
      <x:c r="E177" s="20" t="str">
        <x:v>P002</x:v>
      </x:c>
      <x:c r="F177" s="20" t="str">
        <x:v>U002</x:v>
      </x:c>
      <x:c r="G177" s="20" t="str">
        <x:v>L002</x:v>
      </x:c>
      <x:c r="H177" s="20" t="str">
        <x:v>1000 Operating Cash</x:v>
      </x:c>
      <x:c r="I177" s="26" t="n">
        <x:v>1200</x:v>
      </x:c>
      <x:c r="J177" s="26" t="n">
        <x:v>0</x:v>
      </x:c>
      <x:c r="K177" s="35" t="str">
        <x:v>Receipt allocated to FIN-00084</x:v>
      </x:c>
    </x:row>
    <x:row r="178">
      <x:c r="A178" s="20" t="str">
        <x:v>FIN-00085</x:v>
      </x:c>
      <x:c r="B178" s="32" t="n">
        <x:v>2</x:v>
      </x:c>
      <x:c r="C178" s="23" t="n">
        <x:v>46423</x:v>
      </x:c>
      <x:c r="D178" s="23" t="n">
        <x:v>46423</x:v>
      </x:c>
      <x:c r="E178" s="20" t="str">
        <x:v>P002</x:v>
      </x:c>
      <x:c r="F178" s="20" t="str">
        <x:v>U002</x:v>
      </x:c>
      <x:c r="G178" s="20" t="str">
        <x:v>L002</x:v>
      </x:c>
      <x:c r="H178" s="20" t="str">
        <x:v>1100 Tenant Accounts Receivable</x:v>
      </x:c>
      <x:c r="I178" s="26" t="n">
        <x:v>0</x:v>
      </x:c>
      <x:c r="J178" s="26" t="n">
        <x:v>1200</x:v>
      </x:c>
      <x:c r="K178" s="35" t="str">
        <x:v>Receipt allocated to FIN-00084</x:v>
      </x:c>
    </x:row>
    <x:row r="179">
      <x:c r="A179" s="20" t="str">
        <x:v>FIN-00086</x:v>
      </x:c>
      <x:c r="B179" s="32" t="n">
        <x:v>1</x:v>
      </x:c>
      <x:c r="C179" s="23" t="n">
        <x:v>46419</x:v>
      </x:c>
      <x:c r="D179" s="23" t="n">
        <x:v>46419</x:v>
      </x:c>
      <x:c r="E179" s="20" t="str">
        <x:v>P003</x:v>
      </x:c>
      <x:c r="F179" s="20" t="str">
        <x:v>U003</x:v>
      </x:c>
      <x:c r="G179" s="20" t="str">
        <x:v>L003</x:v>
      </x:c>
      <x:c r="H179" s="20" t="str">
        <x:v>1100 Tenant Accounts Receivable</x:v>
      </x:c>
      <x:c r="I179" s="26" t="n">
        <x:v>1725</x:v>
      </x:c>
      <x:c r="J179" s="26" t="n">
        <x:v>0</x:v>
      </x:c>
      <x:c r="K179" s="35" t="str">
        <x:v>February 2027 rent</x:v>
      </x:c>
    </x:row>
    <x:row r="180">
      <x:c r="A180" s="20" t="str">
        <x:v>FIN-00086</x:v>
      </x:c>
      <x:c r="B180" s="32" t="n">
        <x:v>2</x:v>
      </x:c>
      <x:c r="C180" s="23" t="n">
        <x:v>46419</x:v>
      </x:c>
      <x:c r="D180" s="23" t="n">
        <x:v>46419</x:v>
      </x:c>
      <x:c r="E180" s="20" t="str">
        <x:v>P003</x:v>
      </x:c>
      <x:c r="F180" s="20" t="str">
        <x:v>U003</x:v>
      </x:c>
      <x:c r="G180" s="20" t="str">
        <x:v>L003</x:v>
      </x:c>
      <x:c r="H180" s="20" t="str">
        <x:v>4000 Rental Income</x:v>
      </x:c>
      <x:c r="I180" s="26" t="n">
        <x:v>0</x:v>
      </x:c>
      <x:c r="J180" s="26" t="n">
        <x:v>1725</x:v>
      </x:c>
      <x:c r="K180" s="35" t="str">
        <x:v>February 2027 rent</x:v>
      </x:c>
    </x:row>
    <x:row r="181">
      <x:c r="A181" s="20" t="str">
        <x:v>FIN-00087</x:v>
      </x:c>
      <x:c r="B181" s="32" t="n">
        <x:v>1</x:v>
      </x:c>
      <x:c r="C181" s="23" t="n">
        <x:v>46421</x:v>
      </x:c>
      <x:c r="D181" s="23" t="n">
        <x:v>46421</x:v>
      </x:c>
      <x:c r="E181" s="20" t="str">
        <x:v>P003</x:v>
      </x:c>
      <x:c r="F181" s="20" t="str">
        <x:v>U003</x:v>
      </x:c>
      <x:c r="G181" s="20" t="str">
        <x:v>L003</x:v>
      </x:c>
      <x:c r="H181" s="20" t="str">
        <x:v>1000 Operating Cash</x:v>
      </x:c>
      <x:c r="I181" s="26" t="n">
        <x:v>1725</x:v>
      </x:c>
      <x:c r="J181" s="26" t="n">
        <x:v>0</x:v>
      </x:c>
      <x:c r="K181" s="35" t="str">
        <x:v>Receipt allocated to FIN-00086</x:v>
      </x:c>
    </x:row>
    <x:row r="182">
      <x:c r="A182" s="20" t="str">
        <x:v>FIN-00087</x:v>
      </x:c>
      <x:c r="B182" s="32" t="n">
        <x:v>2</x:v>
      </x:c>
      <x:c r="C182" s="23" t="n">
        <x:v>46421</x:v>
      </x:c>
      <x:c r="D182" s="23" t="n">
        <x:v>46421</x:v>
      </x:c>
      <x:c r="E182" s="20" t="str">
        <x:v>P003</x:v>
      </x:c>
      <x:c r="F182" s="20" t="str">
        <x:v>U003</x:v>
      </x:c>
      <x:c r="G182" s="20" t="str">
        <x:v>L003</x:v>
      </x:c>
      <x:c r="H182" s="20" t="str">
        <x:v>1100 Tenant Accounts Receivable</x:v>
      </x:c>
      <x:c r="I182" s="26" t="n">
        <x:v>0</x:v>
      </x:c>
      <x:c r="J182" s="26" t="n">
        <x:v>1725</x:v>
      </x:c>
      <x:c r="K182" s="35" t="str">
        <x:v>Receipt allocated to FIN-00086</x:v>
      </x:c>
    </x:row>
    <x:row r="183">
      <x:c r="A183" s="20" t="str">
        <x:v>FIN-00088</x:v>
      </x:c>
      <x:c r="B183" s="32" t="n">
        <x:v>1</x:v>
      </x:c>
      <x:c r="C183" s="23" t="n">
        <x:v>46419</x:v>
      </x:c>
      <x:c r="D183" s="23" t="n">
        <x:v>46419</x:v>
      </x:c>
      <x:c r="E183" s="20" t="str">
        <x:v>P004</x:v>
      </x:c>
      <x:c r="F183" s="20" t="str">
        <x:v>U004</x:v>
      </x:c>
      <x:c r="G183" s="20" t="str">
        <x:v>L004</x:v>
      </x:c>
      <x:c r="H183" s="20" t="str">
        <x:v>1100 Tenant Accounts Receivable</x:v>
      </x:c>
      <x:c r="I183" s="26" t="n">
        <x:v>1350</x:v>
      </x:c>
      <x:c r="J183" s="26" t="n">
        <x:v>0</x:v>
      </x:c>
      <x:c r="K183" s="35" t="str">
        <x:v>February 2027 rent</x:v>
      </x:c>
    </x:row>
    <x:row r="184">
      <x:c r="A184" s="20" t="str">
        <x:v>FIN-00088</x:v>
      </x:c>
      <x:c r="B184" s="32" t="n">
        <x:v>2</x:v>
      </x:c>
      <x:c r="C184" s="23" t="n">
        <x:v>46419</x:v>
      </x:c>
      <x:c r="D184" s="23" t="n">
        <x:v>46419</x:v>
      </x:c>
      <x:c r="E184" s="20" t="str">
        <x:v>P004</x:v>
      </x:c>
      <x:c r="F184" s="20" t="str">
        <x:v>U004</x:v>
      </x:c>
      <x:c r="G184" s="20" t="str">
        <x:v>L004</x:v>
      </x:c>
      <x:c r="H184" s="20" t="str">
        <x:v>4000 Rental Income</x:v>
      </x:c>
      <x:c r="I184" s="26" t="n">
        <x:v>0</x:v>
      </x:c>
      <x:c r="J184" s="26" t="n">
        <x:v>1350</x:v>
      </x:c>
      <x:c r="K184" s="35" t="str">
        <x:v>February 2027 rent</x:v>
      </x:c>
    </x:row>
    <x:row r="185">
      <x:c r="A185" s="20" t="str">
        <x:v>FIN-00089</x:v>
      </x:c>
      <x:c r="B185" s="32" t="n">
        <x:v>1</x:v>
      </x:c>
      <x:c r="C185" s="23" t="n">
        <x:v>46422</x:v>
      </x:c>
      <x:c r="D185" s="23" t="n">
        <x:v>46422</x:v>
      </x:c>
      <x:c r="E185" s="20" t="str">
        <x:v>P004</x:v>
      </x:c>
      <x:c r="F185" s="20" t="str">
        <x:v>U004</x:v>
      </x:c>
      <x:c r="G185" s="20" t="str">
        <x:v>L004</x:v>
      </x:c>
      <x:c r="H185" s="20" t="str">
        <x:v>1000 Operating Cash</x:v>
      </x:c>
      <x:c r="I185" s="26" t="n">
        <x:v>1350</x:v>
      </x:c>
      <x:c r="J185" s="26" t="n">
        <x:v>0</x:v>
      </x:c>
      <x:c r="K185" s="35" t="str">
        <x:v>Receipt allocated to FIN-00088</x:v>
      </x:c>
    </x:row>
    <x:row r="186">
      <x:c r="A186" s="20" t="str">
        <x:v>FIN-00089</x:v>
      </x:c>
      <x:c r="B186" s="32" t="n">
        <x:v>2</x:v>
      </x:c>
      <x:c r="C186" s="23" t="n">
        <x:v>46422</x:v>
      </x:c>
      <x:c r="D186" s="23" t="n">
        <x:v>46422</x:v>
      </x:c>
      <x:c r="E186" s="20" t="str">
        <x:v>P004</x:v>
      </x:c>
      <x:c r="F186" s="20" t="str">
        <x:v>U004</x:v>
      </x:c>
      <x:c r="G186" s="20" t="str">
        <x:v>L004</x:v>
      </x:c>
      <x:c r="H186" s="20" t="str">
        <x:v>1100 Tenant Accounts Receivable</x:v>
      </x:c>
      <x:c r="I186" s="26" t="n">
        <x:v>0</x:v>
      </x:c>
      <x:c r="J186" s="26" t="n">
        <x:v>1350</x:v>
      </x:c>
      <x:c r="K186" s="35" t="str">
        <x:v>Receipt allocated to FIN-00088</x:v>
      </x:c>
    </x:row>
    <x:row r="187">
      <x:c r="A187" s="20" t="str">
        <x:v>FIN-00090</x:v>
      </x:c>
      <x:c r="B187" s="32" t="n">
        <x:v>1</x:v>
      </x:c>
      <x:c r="C187" s="23" t="n">
        <x:v>46419</x:v>
      </x:c>
      <x:c r="D187" s="23" t="n">
        <x:v>46419</x:v>
      </x:c>
      <x:c r="E187" s="20" t="str">
        <x:v>P005</x:v>
      </x:c>
      <x:c r="F187" s="20" t="str">
        <x:v>U005</x:v>
      </x:c>
      <x:c r="G187" s="20" t="str">
        <x:v>L005</x:v>
      </x:c>
      <x:c r="H187" s="20" t="str">
        <x:v>1100 Tenant Accounts Receivable</x:v>
      </x:c>
      <x:c r="I187" s="26" t="n">
        <x:v>1875</x:v>
      </x:c>
      <x:c r="J187" s="26" t="n">
        <x:v>0</x:v>
      </x:c>
      <x:c r="K187" s="35" t="str">
        <x:v>February 2027 rent</x:v>
      </x:c>
    </x:row>
    <x:row r="188">
      <x:c r="A188" s="20" t="str">
        <x:v>FIN-00090</x:v>
      </x:c>
      <x:c r="B188" s="32" t="n">
        <x:v>2</x:v>
      </x:c>
      <x:c r="C188" s="23" t="n">
        <x:v>46419</x:v>
      </x:c>
      <x:c r="D188" s="23" t="n">
        <x:v>46419</x:v>
      </x:c>
      <x:c r="E188" s="20" t="str">
        <x:v>P005</x:v>
      </x:c>
      <x:c r="F188" s="20" t="str">
        <x:v>U005</x:v>
      </x:c>
      <x:c r="G188" s="20" t="str">
        <x:v>L005</x:v>
      </x:c>
      <x:c r="H188" s="20" t="str">
        <x:v>4000 Rental Income</x:v>
      </x:c>
      <x:c r="I188" s="26" t="n">
        <x:v>0</x:v>
      </x:c>
      <x:c r="J188" s="26" t="n">
        <x:v>1875</x:v>
      </x:c>
      <x:c r="K188" s="35" t="str">
        <x:v>February 2027 rent</x:v>
      </x:c>
    </x:row>
    <x:row r="189">
      <x:c r="A189" s="20" t="str">
        <x:v>FIN-00091</x:v>
      </x:c>
      <x:c r="B189" s="32" t="n">
        <x:v>1</x:v>
      </x:c>
      <x:c r="C189" s="23" t="n">
        <x:v>46423</x:v>
      </x:c>
      <x:c r="D189" s="23" t="n">
        <x:v>46423</x:v>
      </x:c>
      <x:c r="E189" s="20" t="str">
        <x:v>P005</x:v>
      </x:c>
      <x:c r="F189" s="20" t="str">
        <x:v>U005</x:v>
      </x:c>
      <x:c r="G189" s="20" t="str">
        <x:v>L005</x:v>
      </x:c>
      <x:c r="H189" s="20" t="str">
        <x:v>1000 Operating Cash</x:v>
      </x:c>
      <x:c r="I189" s="26" t="n">
        <x:v>1875</x:v>
      </x:c>
      <x:c r="J189" s="26" t="n">
        <x:v>0</x:v>
      </x:c>
      <x:c r="K189" s="35" t="str">
        <x:v>Receipt allocated to FIN-00090</x:v>
      </x:c>
    </x:row>
    <x:row r="190">
      <x:c r="A190" s="20" t="str">
        <x:v>FIN-00091</x:v>
      </x:c>
      <x:c r="B190" s="32" t="n">
        <x:v>2</x:v>
      </x:c>
      <x:c r="C190" s="23" t="n">
        <x:v>46423</x:v>
      </x:c>
      <x:c r="D190" s="23" t="n">
        <x:v>46423</x:v>
      </x:c>
      <x:c r="E190" s="20" t="str">
        <x:v>P005</x:v>
      </x:c>
      <x:c r="F190" s="20" t="str">
        <x:v>U005</x:v>
      </x:c>
      <x:c r="G190" s="20" t="str">
        <x:v>L005</x:v>
      </x:c>
      <x:c r="H190" s="20" t="str">
        <x:v>1100 Tenant Accounts Receivable</x:v>
      </x:c>
      <x:c r="I190" s="26" t="n">
        <x:v>0</x:v>
      </x:c>
      <x:c r="J190" s="26" t="n">
        <x:v>1875</x:v>
      </x:c>
      <x:c r="K190" s="35" t="str">
        <x:v>Receipt allocated to FIN-00090</x:v>
      </x:c>
    </x:row>
    <x:row r="191">
      <x:c r="A191" s="20" t="str">
        <x:v>FIN-00092</x:v>
      </x:c>
      <x:c r="B191" s="32" t="n">
        <x:v>1</x:v>
      </x:c>
      <x:c r="C191" s="23" t="n">
        <x:v>46419</x:v>
      </x:c>
      <x:c r="D191" s="23" t="n">
        <x:v>46419</x:v>
      </x:c>
      <x:c r="E191" s="20" t="str">
        <x:v>P006</x:v>
      </x:c>
      <x:c r="F191" s="20" t="str">
        <x:v>U006</x:v>
      </x:c>
      <x:c r="G191" s="20" t="str">
        <x:v>L006</x:v>
      </x:c>
      <x:c r="H191" s="20" t="str">
        <x:v>1100 Tenant Accounts Receivable</x:v>
      </x:c>
      <x:c r="I191" s="26" t="n">
        <x:v>1500</x:v>
      </x:c>
      <x:c r="J191" s="26" t="n">
        <x:v>0</x:v>
      </x:c>
      <x:c r="K191" s="35" t="str">
        <x:v>February 2027 rent</x:v>
      </x:c>
    </x:row>
    <x:row r="192">
      <x:c r="A192" s="20" t="str">
        <x:v>FIN-00092</x:v>
      </x:c>
      <x:c r="B192" s="32" t="n">
        <x:v>2</x:v>
      </x:c>
      <x:c r="C192" s="23" t="n">
        <x:v>46419</x:v>
      </x:c>
      <x:c r="D192" s="23" t="n">
        <x:v>46419</x:v>
      </x:c>
      <x:c r="E192" s="20" t="str">
        <x:v>P006</x:v>
      </x:c>
      <x:c r="F192" s="20" t="str">
        <x:v>U006</x:v>
      </x:c>
      <x:c r="G192" s="20" t="str">
        <x:v>L006</x:v>
      </x:c>
      <x:c r="H192" s="20" t="str">
        <x:v>4000 Rental Income</x:v>
      </x:c>
      <x:c r="I192" s="26" t="n">
        <x:v>0</x:v>
      </x:c>
      <x:c r="J192" s="26" t="n">
        <x:v>1500</x:v>
      </x:c>
      <x:c r="K192" s="35" t="str">
        <x:v>February 2027 rent</x:v>
      </x:c>
    </x:row>
    <x:row r="193">
      <x:c r="A193" s="20" t="str">
        <x:v>FIN-00093</x:v>
      </x:c>
      <x:c r="B193" s="32" t="n">
        <x:v>1</x:v>
      </x:c>
      <x:c r="C193" s="23" t="n">
        <x:v>46421</x:v>
      </x:c>
      <x:c r="D193" s="23" t="n">
        <x:v>46421</x:v>
      </x:c>
      <x:c r="E193" s="20" t="str">
        <x:v>P006</x:v>
      </x:c>
      <x:c r="F193" s="20" t="str">
        <x:v>U006</x:v>
      </x:c>
      <x:c r="G193" s="20" t="str">
        <x:v>L006</x:v>
      </x:c>
      <x:c r="H193" s="20" t="str">
        <x:v>1000 Operating Cash</x:v>
      </x:c>
      <x:c r="I193" s="26" t="n">
        <x:v>1500</x:v>
      </x:c>
      <x:c r="J193" s="26" t="n">
        <x:v>0</x:v>
      </x:c>
      <x:c r="K193" s="35" t="str">
        <x:v>Receipt allocated to FIN-00092</x:v>
      </x:c>
    </x:row>
    <x:row r="194">
      <x:c r="A194" s="20" t="str">
        <x:v>FIN-00093</x:v>
      </x:c>
      <x:c r="B194" s="32" t="n">
        <x:v>2</x:v>
      </x:c>
      <x:c r="C194" s="23" t="n">
        <x:v>46421</x:v>
      </x:c>
      <x:c r="D194" s="23" t="n">
        <x:v>46421</x:v>
      </x:c>
      <x:c r="E194" s="20" t="str">
        <x:v>P006</x:v>
      </x:c>
      <x:c r="F194" s="20" t="str">
        <x:v>U006</x:v>
      </x:c>
      <x:c r="G194" s="20" t="str">
        <x:v>L006</x:v>
      </x:c>
      <x:c r="H194" s="20" t="str">
        <x:v>1100 Tenant Accounts Receivable</x:v>
      </x:c>
      <x:c r="I194" s="26" t="n">
        <x:v>0</x:v>
      </x:c>
      <x:c r="J194" s="26" t="n">
        <x:v>1500</x:v>
      </x:c>
      <x:c r="K194" s="35" t="str">
        <x:v>Receipt allocated to FIN-00092</x:v>
      </x:c>
    </x:row>
    <x:row r="195">
      <x:c r="A195" s="20" t="str">
        <x:v>FIN-00094</x:v>
      </x:c>
      <x:c r="B195" s="32" t="n">
        <x:v>1</x:v>
      </x:c>
      <x:c r="C195" s="23" t="n">
        <x:v>46419</x:v>
      </x:c>
      <x:c r="D195" s="23" t="n">
        <x:v>46419</x:v>
      </x:c>
      <x:c r="E195" s="20" t="str">
        <x:v>P007</x:v>
      </x:c>
      <x:c r="F195" s="20" t="str">
        <x:v>U007</x:v>
      </x:c>
      <x:c r="G195" s="20" t="str">
        <x:v>L007</x:v>
      </x:c>
      <x:c r="H195" s="20" t="str">
        <x:v>1100 Tenant Accounts Receivable</x:v>
      </x:c>
      <x:c r="I195" s="26" t="n">
        <x:v>1125</x:v>
      </x:c>
      <x:c r="J195" s="26" t="n">
        <x:v>0</x:v>
      </x:c>
      <x:c r="K195" s="35" t="str">
        <x:v>February 2027 rent</x:v>
      </x:c>
    </x:row>
    <x:row r="196">
      <x:c r="A196" s="20" t="str">
        <x:v>FIN-00094</x:v>
      </x:c>
      <x:c r="B196" s="32" t="n">
        <x:v>2</x:v>
      </x:c>
      <x:c r="C196" s="23" t="n">
        <x:v>46419</x:v>
      </x:c>
      <x:c r="D196" s="23" t="n">
        <x:v>46419</x:v>
      </x:c>
      <x:c r="E196" s="20" t="str">
        <x:v>P007</x:v>
      </x:c>
      <x:c r="F196" s="20" t="str">
        <x:v>U007</x:v>
      </x:c>
      <x:c r="G196" s="20" t="str">
        <x:v>L007</x:v>
      </x:c>
      <x:c r="H196" s="20" t="str">
        <x:v>4000 Rental Income</x:v>
      </x:c>
      <x:c r="I196" s="26" t="n">
        <x:v>0</x:v>
      </x:c>
      <x:c r="J196" s="26" t="n">
        <x:v>1125</x:v>
      </x:c>
      <x:c r="K196" s="35" t="str">
        <x:v>February 2027 rent</x:v>
      </x:c>
    </x:row>
    <x:row r="197">
      <x:c r="A197" s="20" t="str">
        <x:v>FIN-00095</x:v>
      </x:c>
      <x:c r="B197" s="32" t="n">
        <x:v>1</x:v>
      </x:c>
      <x:c r="C197" s="23" t="n">
        <x:v>46422</x:v>
      </x:c>
      <x:c r="D197" s="23" t="n">
        <x:v>46422</x:v>
      </x:c>
      <x:c r="E197" s="20" t="str">
        <x:v>P007</x:v>
      </x:c>
      <x:c r="F197" s="20" t="str">
        <x:v>U007</x:v>
      </x:c>
      <x:c r="G197" s="20" t="str">
        <x:v>L007</x:v>
      </x:c>
      <x:c r="H197" s="20" t="str">
        <x:v>1000 Operating Cash</x:v>
      </x:c>
      <x:c r="I197" s="26" t="n">
        <x:v>1125</x:v>
      </x:c>
      <x:c r="J197" s="26" t="n">
        <x:v>0</x:v>
      </x:c>
      <x:c r="K197" s="35" t="str">
        <x:v>Receipt allocated to FIN-00094</x:v>
      </x:c>
    </x:row>
    <x:row r="198">
      <x:c r="A198" s="20" t="str">
        <x:v>FIN-00095</x:v>
      </x:c>
      <x:c r="B198" s="32" t="n">
        <x:v>2</x:v>
      </x:c>
      <x:c r="C198" s="23" t="n">
        <x:v>46422</x:v>
      </x:c>
      <x:c r="D198" s="23" t="n">
        <x:v>46422</x:v>
      </x:c>
      <x:c r="E198" s="20" t="str">
        <x:v>P007</x:v>
      </x:c>
      <x:c r="F198" s="20" t="str">
        <x:v>U007</x:v>
      </x:c>
      <x:c r="G198" s="20" t="str">
        <x:v>L007</x:v>
      </x:c>
      <x:c r="H198" s="20" t="str">
        <x:v>1100 Tenant Accounts Receivable</x:v>
      </x:c>
      <x:c r="I198" s="26" t="n">
        <x:v>0</x:v>
      </x:c>
      <x:c r="J198" s="26" t="n">
        <x:v>1125</x:v>
      </x:c>
      <x:c r="K198" s="35" t="str">
        <x:v>Receipt allocated to FIN-00094</x:v>
      </x:c>
    </x:row>
    <x:row r="199">
      <x:c r="A199" s="20" t="str">
        <x:v>FIN-00096</x:v>
      </x:c>
      <x:c r="B199" s="32" t="n">
        <x:v>1</x:v>
      </x:c>
      <x:c r="C199" s="23" t="n">
        <x:v>46419</x:v>
      </x:c>
      <x:c r="D199" s="23" t="n">
        <x:v>46419</x:v>
      </x:c>
      <x:c r="E199" s="20" t="str">
        <x:v>P008</x:v>
      </x:c>
      <x:c r="F199" s="20" t="str">
        <x:v>U008</x:v>
      </x:c>
      <x:c r="G199" s="20" t="str">
        <x:v>L008</x:v>
      </x:c>
      <x:c r="H199" s="20" t="str">
        <x:v>1100 Tenant Accounts Receivable</x:v>
      </x:c>
      <x:c r="I199" s="26" t="n">
        <x:v>1650</x:v>
      </x:c>
      <x:c r="J199" s="26" t="n">
        <x:v>0</x:v>
      </x:c>
      <x:c r="K199" s="35" t="str">
        <x:v>February 2027 rent</x:v>
      </x:c>
    </x:row>
    <x:row r="200">
      <x:c r="A200" s="20" t="str">
        <x:v>FIN-00096</x:v>
      </x:c>
      <x:c r="B200" s="32" t="n">
        <x:v>2</x:v>
      </x:c>
      <x:c r="C200" s="23" t="n">
        <x:v>46419</x:v>
      </x:c>
      <x:c r="D200" s="23" t="n">
        <x:v>46419</x:v>
      </x:c>
      <x:c r="E200" s="20" t="str">
        <x:v>P008</x:v>
      </x:c>
      <x:c r="F200" s="20" t="str">
        <x:v>U008</x:v>
      </x:c>
      <x:c r="G200" s="20" t="str">
        <x:v>L008</x:v>
      </x:c>
      <x:c r="H200" s="20" t="str">
        <x:v>4000 Rental Income</x:v>
      </x:c>
      <x:c r="I200" s="26" t="n">
        <x:v>0</x:v>
      </x:c>
      <x:c r="J200" s="26" t="n">
        <x:v>1650</x:v>
      </x:c>
      <x:c r="K200" s="35" t="str">
        <x:v>February 2027 rent</x:v>
      </x:c>
    </x:row>
    <x:row r="201">
      <x:c r="A201" s="20" t="str">
        <x:v>FIN-00097</x:v>
      </x:c>
      <x:c r="B201" s="32" t="n">
        <x:v>1</x:v>
      </x:c>
      <x:c r="C201" s="23" t="n">
        <x:v>46423</x:v>
      </x:c>
      <x:c r="D201" s="23" t="n">
        <x:v>46423</x:v>
      </x:c>
      <x:c r="E201" s="20" t="str">
        <x:v>P008</x:v>
      </x:c>
      <x:c r="F201" s="20" t="str">
        <x:v>U008</x:v>
      </x:c>
      <x:c r="G201" s="20" t="str">
        <x:v>L008</x:v>
      </x:c>
      <x:c r="H201" s="20" t="str">
        <x:v>1000 Operating Cash</x:v>
      </x:c>
      <x:c r="I201" s="26" t="n">
        <x:v>1650</x:v>
      </x:c>
      <x:c r="J201" s="26" t="n">
        <x:v>0</x:v>
      </x:c>
      <x:c r="K201" s="35" t="str">
        <x:v>Receipt allocated to FIN-00096</x:v>
      </x:c>
    </x:row>
    <x:row r="202">
      <x:c r="A202" s="20" t="str">
        <x:v>FIN-00097</x:v>
      </x:c>
      <x:c r="B202" s="32" t="n">
        <x:v>2</x:v>
      </x:c>
      <x:c r="C202" s="23" t="n">
        <x:v>46423</x:v>
      </x:c>
      <x:c r="D202" s="23" t="n">
        <x:v>46423</x:v>
      </x:c>
      <x:c r="E202" s="20" t="str">
        <x:v>P008</x:v>
      </x:c>
      <x:c r="F202" s="20" t="str">
        <x:v>U008</x:v>
      </x:c>
      <x:c r="G202" s="20" t="str">
        <x:v>L008</x:v>
      </x:c>
      <x:c r="H202" s="20" t="str">
        <x:v>1100 Tenant Accounts Receivable</x:v>
      </x:c>
      <x:c r="I202" s="26" t="n">
        <x:v>0</x:v>
      </x:c>
      <x:c r="J202" s="26" t="n">
        <x:v>1650</x:v>
      </x:c>
      <x:c r="K202" s="35" t="str">
        <x:v>Receipt allocated to FIN-00096</x:v>
      </x:c>
    </x:row>
    <x:row r="203">
      <x:c r="A203" s="20" t="str">
        <x:v>FIN-00098</x:v>
      </x:c>
      <x:c r="B203" s="32" t="n">
        <x:v>1</x:v>
      </x:c>
      <x:c r="C203" s="23" t="n">
        <x:v>46419</x:v>
      </x:c>
      <x:c r="D203" s="23" t="n">
        <x:v>46419</x:v>
      </x:c>
      <x:c r="E203" s="20" t="str">
        <x:v>P009</x:v>
      </x:c>
      <x:c r="F203" s="20" t="str">
        <x:v>U009</x:v>
      </x:c>
      <x:c r="G203" s="20" t="str">
        <x:v>L009</x:v>
      </x:c>
      <x:c r="H203" s="20" t="str">
        <x:v>1100 Tenant Accounts Receivable</x:v>
      </x:c>
      <x:c r="I203" s="26" t="n">
        <x:v>1275</x:v>
      </x:c>
      <x:c r="J203" s="26" t="n">
        <x:v>0</x:v>
      </x:c>
      <x:c r="K203" s="35" t="str">
        <x:v>February 2027 rent</x:v>
      </x:c>
    </x:row>
    <x:row r="204">
      <x:c r="A204" s="20" t="str">
        <x:v>FIN-00098</x:v>
      </x:c>
      <x:c r="B204" s="32" t="n">
        <x:v>2</x:v>
      </x:c>
      <x:c r="C204" s="23" t="n">
        <x:v>46419</x:v>
      </x:c>
      <x:c r="D204" s="23" t="n">
        <x:v>46419</x:v>
      </x:c>
      <x:c r="E204" s="20" t="str">
        <x:v>P009</x:v>
      </x:c>
      <x:c r="F204" s="20" t="str">
        <x:v>U009</x:v>
      </x:c>
      <x:c r="G204" s="20" t="str">
        <x:v>L009</x:v>
      </x:c>
      <x:c r="H204" s="20" t="str">
        <x:v>4000 Rental Income</x:v>
      </x:c>
      <x:c r="I204" s="26" t="n">
        <x:v>0</x:v>
      </x:c>
      <x:c r="J204" s="26" t="n">
        <x:v>1275</x:v>
      </x:c>
      <x:c r="K204" s="35" t="str">
        <x:v>February 2027 rent</x:v>
      </x:c>
    </x:row>
    <x:row r="205">
      <x:c r="A205" s="20" t="str">
        <x:v>FIN-00099</x:v>
      </x:c>
      <x:c r="B205" s="32" t="n">
        <x:v>1</x:v>
      </x:c>
      <x:c r="C205" s="23" t="n">
        <x:v>46421</x:v>
      </x:c>
      <x:c r="D205" s="23" t="n">
        <x:v>46421</x:v>
      </x:c>
      <x:c r="E205" s="20" t="str">
        <x:v>P009</x:v>
      </x:c>
      <x:c r="F205" s="20" t="str">
        <x:v>U009</x:v>
      </x:c>
      <x:c r="G205" s="20" t="str">
        <x:v>L009</x:v>
      </x:c>
      <x:c r="H205" s="20" t="str">
        <x:v>1000 Operating Cash</x:v>
      </x:c>
      <x:c r="I205" s="26" t="n">
        <x:v>1275</x:v>
      </x:c>
      <x:c r="J205" s="26" t="n">
        <x:v>0</x:v>
      </x:c>
      <x:c r="K205" s="35" t="str">
        <x:v>Receipt allocated to FIN-00098</x:v>
      </x:c>
    </x:row>
    <x:row r="206">
      <x:c r="A206" s="20" t="str">
        <x:v>FIN-00099</x:v>
      </x:c>
      <x:c r="B206" s="32" t="n">
        <x:v>2</x:v>
      </x:c>
      <x:c r="C206" s="23" t="n">
        <x:v>46421</x:v>
      </x:c>
      <x:c r="D206" s="23" t="n">
        <x:v>46421</x:v>
      </x:c>
      <x:c r="E206" s="20" t="str">
        <x:v>P009</x:v>
      </x:c>
      <x:c r="F206" s="20" t="str">
        <x:v>U009</x:v>
      </x:c>
      <x:c r="G206" s="20" t="str">
        <x:v>L009</x:v>
      </x:c>
      <x:c r="H206" s="20" t="str">
        <x:v>1100 Tenant Accounts Receivable</x:v>
      </x:c>
      <x:c r="I206" s="26" t="n">
        <x:v>0</x:v>
      </x:c>
      <x:c r="J206" s="26" t="n">
        <x:v>1275</x:v>
      </x:c>
      <x:c r="K206" s="35" t="str">
        <x:v>Receipt allocated to FIN-00098</x:v>
      </x:c>
    </x:row>
    <x:row r="207">
      <x:c r="A207" s="20" t="str">
        <x:v>FIN-00100</x:v>
      </x:c>
      <x:c r="B207" s="32" t="n">
        <x:v>1</x:v>
      </x:c>
      <x:c r="C207" s="23" t="n">
        <x:v>46419</x:v>
      </x:c>
      <x:c r="D207" s="23" t="n">
        <x:v>46419</x:v>
      </x:c>
      <x:c r="E207" s="20" t="str">
        <x:v>P010</x:v>
      </x:c>
      <x:c r="F207" s="20" t="str">
        <x:v>U010</x:v>
      </x:c>
      <x:c r="G207" s="20" t="str">
        <x:v>L010</x:v>
      </x:c>
      <x:c r="H207" s="20" t="str">
        <x:v>1100 Tenant Accounts Receivable</x:v>
      </x:c>
      <x:c r="I207" s="26" t="n">
        <x:v>1800</x:v>
      </x:c>
      <x:c r="J207" s="26" t="n">
        <x:v>0</x:v>
      </x:c>
      <x:c r="K207" s="35" t="str">
        <x:v>February 2027 rent</x:v>
      </x:c>
    </x:row>
    <x:row r="208">
      <x:c r="A208" s="20" t="str">
        <x:v>FIN-00100</x:v>
      </x:c>
      <x:c r="B208" s="32" t="n">
        <x:v>2</x:v>
      </x:c>
      <x:c r="C208" s="23" t="n">
        <x:v>46419</x:v>
      </x:c>
      <x:c r="D208" s="23" t="n">
        <x:v>46419</x:v>
      </x:c>
      <x:c r="E208" s="20" t="str">
        <x:v>P010</x:v>
      </x:c>
      <x:c r="F208" s="20" t="str">
        <x:v>U010</x:v>
      </x:c>
      <x:c r="G208" s="20" t="str">
        <x:v>L010</x:v>
      </x:c>
      <x:c r="H208" s="20" t="str">
        <x:v>4000 Rental Income</x:v>
      </x:c>
      <x:c r="I208" s="26" t="n">
        <x:v>0</x:v>
      </x:c>
      <x:c r="J208" s="26" t="n">
        <x:v>1800</x:v>
      </x:c>
      <x:c r="K208" s="35" t="str">
        <x:v>February 2027 rent</x:v>
      </x:c>
    </x:row>
    <x:row r="209">
      <x:c r="A209" s="20" t="str">
        <x:v>FIN-00101</x:v>
      </x:c>
      <x:c r="B209" s="32" t="n">
        <x:v>1</x:v>
      </x:c>
      <x:c r="C209" s="23" t="n">
        <x:v>46422</x:v>
      </x:c>
      <x:c r="D209" s="23" t="n">
        <x:v>46422</x:v>
      </x:c>
      <x:c r="E209" s="20" t="str">
        <x:v>P010</x:v>
      </x:c>
      <x:c r="F209" s="20" t="str">
        <x:v>U010</x:v>
      </x:c>
      <x:c r="G209" s="20" t="str">
        <x:v>L010</x:v>
      </x:c>
      <x:c r="H209" s="20" t="str">
        <x:v>1000 Operating Cash</x:v>
      </x:c>
      <x:c r="I209" s="26" t="n">
        <x:v>1800</x:v>
      </x:c>
      <x:c r="J209" s="26" t="n">
        <x:v>0</x:v>
      </x:c>
      <x:c r="K209" s="35" t="str">
        <x:v>Receipt allocated to FIN-00100</x:v>
      </x:c>
    </x:row>
    <x:row r="210">
      <x:c r="A210" s="20" t="str">
        <x:v>FIN-00101</x:v>
      </x:c>
      <x:c r="B210" s="32" t="n">
        <x:v>2</x:v>
      </x:c>
      <x:c r="C210" s="23" t="n">
        <x:v>46422</x:v>
      </x:c>
      <x:c r="D210" s="23" t="n">
        <x:v>46422</x:v>
      </x:c>
      <x:c r="E210" s="20" t="str">
        <x:v>P010</x:v>
      </x:c>
      <x:c r="F210" s="20" t="str">
        <x:v>U010</x:v>
      </x:c>
      <x:c r="G210" s="20" t="str">
        <x:v>L010</x:v>
      </x:c>
      <x:c r="H210" s="20" t="str">
        <x:v>1100 Tenant Accounts Receivable</x:v>
      </x:c>
      <x:c r="I210" s="26" t="n">
        <x:v>0</x:v>
      </x:c>
      <x:c r="J210" s="26" t="n">
        <x:v>1800</x:v>
      </x:c>
      <x:c r="K210" s="35" t="str">
        <x:v>Receipt allocated to FIN-00100</x:v>
      </x:c>
    </x:row>
    <x:row r="211">
      <x:c r="A211" s="20" t="str">
        <x:v>FIN-00102</x:v>
      </x:c>
      <x:c r="B211" s="32" t="n">
        <x:v>1</x:v>
      </x:c>
      <x:c r="C211" s="23" t="n">
        <x:v>46419</x:v>
      </x:c>
      <x:c r="D211" s="23" t="n">
        <x:v>46419</x:v>
      </x:c>
      <x:c r="E211" s="20" t="str">
        <x:v>P011</x:v>
      </x:c>
      <x:c r="F211" s="20" t="str">
        <x:v>U011</x:v>
      </x:c>
      <x:c r="G211" s="20" t="str">
        <x:v>L011</x:v>
      </x:c>
      <x:c r="H211" s="20" t="str">
        <x:v>1100 Tenant Accounts Receivable</x:v>
      </x:c>
      <x:c r="I211" s="26" t="n">
        <x:v>1425</x:v>
      </x:c>
      <x:c r="J211" s="26" t="n">
        <x:v>0</x:v>
      </x:c>
      <x:c r="K211" s="35" t="str">
        <x:v>February 2027 rent</x:v>
      </x:c>
    </x:row>
    <x:row r="212">
      <x:c r="A212" s="20" t="str">
        <x:v>FIN-00102</x:v>
      </x:c>
      <x:c r="B212" s="32" t="n">
        <x:v>2</x:v>
      </x:c>
      <x:c r="C212" s="23" t="n">
        <x:v>46419</x:v>
      </x:c>
      <x:c r="D212" s="23" t="n">
        <x:v>46419</x:v>
      </x:c>
      <x:c r="E212" s="20" t="str">
        <x:v>P011</x:v>
      </x:c>
      <x:c r="F212" s="20" t="str">
        <x:v>U011</x:v>
      </x:c>
      <x:c r="G212" s="20" t="str">
        <x:v>L011</x:v>
      </x:c>
      <x:c r="H212" s="20" t="str">
        <x:v>4000 Rental Income</x:v>
      </x:c>
      <x:c r="I212" s="26" t="n">
        <x:v>0</x:v>
      </x:c>
      <x:c r="J212" s="26" t="n">
        <x:v>1425</x:v>
      </x:c>
      <x:c r="K212" s="35" t="str">
        <x:v>February 2027 rent</x:v>
      </x:c>
    </x:row>
    <x:row r="213">
      <x:c r="A213" s="20" t="str">
        <x:v>FIN-00103</x:v>
      </x:c>
      <x:c r="B213" s="32" t="n">
        <x:v>1</x:v>
      </x:c>
      <x:c r="C213" s="23" t="n">
        <x:v>46421</x:v>
      </x:c>
      <x:c r="D213" s="23" t="n">
        <x:v>46421</x:v>
      </x:c>
      <x:c r="E213" s="20" t="str">
        <x:v>P011</x:v>
      </x:c>
      <x:c r="F213" s="20" t="str">
        <x:v>U011</x:v>
      </x:c>
      <x:c r="G213" s="20" t="str">
        <x:v>L011</x:v>
      </x:c>
      <x:c r="H213" s="20" t="str">
        <x:v>1000 Operating Cash</x:v>
      </x:c>
      <x:c r="I213" s="26" t="n">
        <x:v>855</x:v>
      </x:c>
      <x:c r="J213" s="26" t="n">
        <x:v>0</x:v>
      </x:c>
      <x:c r="K213" s="35" t="str">
        <x:v>Receipt allocated to FIN-00102</x:v>
      </x:c>
    </x:row>
    <x:row r="214">
      <x:c r="A214" s="20" t="str">
        <x:v>FIN-00103</x:v>
      </x:c>
      <x:c r="B214" s="32" t="n">
        <x:v>2</x:v>
      </x:c>
      <x:c r="C214" s="23" t="n">
        <x:v>46421</x:v>
      </x:c>
      <x:c r="D214" s="23" t="n">
        <x:v>46421</x:v>
      </x:c>
      <x:c r="E214" s="20" t="str">
        <x:v>P011</x:v>
      </x:c>
      <x:c r="F214" s="20" t="str">
        <x:v>U011</x:v>
      </x:c>
      <x:c r="G214" s="20" t="str">
        <x:v>L011</x:v>
      </x:c>
      <x:c r="H214" s="20" t="str">
        <x:v>1100 Tenant Accounts Receivable</x:v>
      </x:c>
      <x:c r="I214" s="26" t="n">
        <x:v>0</x:v>
      </x:c>
      <x:c r="J214" s="26" t="n">
        <x:v>855</x:v>
      </x:c>
      <x:c r="K214" s="35" t="str">
        <x:v>Receipt allocated to FIN-00102</x:v>
      </x:c>
    </x:row>
    <x:row r="215">
      <x:c r="A215" s="20" t="str">
        <x:v>FIN-00104</x:v>
      </x:c>
      <x:c r="B215" s="32" t="n">
        <x:v>1</x:v>
      </x:c>
      <x:c r="C215" s="23" t="n">
        <x:v>46424</x:v>
      </x:c>
      <x:c r="D215" s="23" t="n">
        <x:v>46424</x:v>
      </x:c>
      <x:c r="E215" s="20" t="str">
        <x:v>P011</x:v>
      </x:c>
      <x:c r="F215" s="20" t="str">
        <x:v>U011</x:v>
      </x:c>
      <x:c r="G215" s="20" t="str">
        <x:v>L011</x:v>
      </x:c>
      <x:c r="H215" s="20" t="str">
        <x:v>1100 Tenant Accounts Receivable</x:v>
      </x:c>
      <x:c r="I215" s="26" t="n">
        <x:v>50</x:v>
      </x:c>
      <x:c r="J215" s="26" t="n">
        <x:v>0</x:v>
      </x:c>
      <x:c r="K215" s="35" t="str">
        <x:v>Synthetic lease-authorized late fee after partial payment</x:v>
      </x:c>
    </x:row>
    <x:row r="216">
      <x:c r="A216" s="20" t="str">
        <x:v>FIN-00104</x:v>
      </x:c>
      <x:c r="B216" s="32" t="n">
        <x:v>2</x:v>
      </x:c>
      <x:c r="C216" s="23" t="n">
        <x:v>46424</x:v>
      </x:c>
      <x:c r="D216" s="23" t="n">
        <x:v>46424</x:v>
      </x:c>
      <x:c r="E216" s="20" t="str">
        <x:v>P011</x:v>
      </x:c>
      <x:c r="F216" s="20" t="str">
        <x:v>U011</x:v>
      </x:c>
      <x:c r="G216" s="20" t="str">
        <x:v>L011</x:v>
      </x:c>
      <x:c r="H216" s="20" t="str">
        <x:v>4010 Late Fee Income</x:v>
      </x:c>
      <x:c r="I216" s="26" t="n">
        <x:v>0</x:v>
      </x:c>
      <x:c r="J216" s="26" t="n">
        <x:v>50</x:v>
      </x:c>
      <x:c r="K216" s="35" t="str">
        <x:v>Synthetic lease-authorized late fee after partial payment</x:v>
      </x:c>
    </x:row>
    <x:row r="217">
      <x:c r="A217" s="20" t="str">
        <x:v>FIN-00105</x:v>
      </x:c>
      <x:c r="B217" s="32" t="n">
        <x:v>1</x:v>
      </x:c>
      <x:c r="C217" s="23" t="n">
        <x:v>46430</x:v>
      </x:c>
      <x:c r="D217" s="23" t="n">
        <x:v>46430</x:v>
      </x:c>
      <x:c r="E217" s="20" t="str">
        <x:v>P011</x:v>
      </x:c>
      <x:c r="F217" s="20" t="str">
        <x:v>U011</x:v>
      </x:c>
      <x:c r="G217" s="20" t="str">
        <x:v>L011</x:v>
      </x:c>
      <x:c r="H217" s="20" t="str">
        <x:v>1000 Operating Cash</x:v>
      </x:c>
      <x:c r="I217" s="26" t="n">
        <x:v>620</x:v>
      </x:c>
      <x:c r="J217" s="26" t="n">
        <x:v>0</x:v>
      </x:c>
      <x:c r="K217" s="35" t="str">
        <x:v>Receipt allocated to FIN-00104</x:v>
      </x:c>
    </x:row>
    <x:row r="218">
      <x:c r="A218" s="20" t="str">
        <x:v>FIN-00105</x:v>
      </x:c>
      <x:c r="B218" s="32" t="n">
        <x:v>2</x:v>
      </x:c>
      <x:c r="C218" s="23" t="n">
        <x:v>46430</x:v>
      </x:c>
      <x:c r="D218" s="23" t="n">
        <x:v>46430</x:v>
      </x:c>
      <x:c r="E218" s="20" t="str">
        <x:v>P011</x:v>
      </x:c>
      <x:c r="F218" s="20" t="str">
        <x:v>U011</x:v>
      </x:c>
      <x:c r="G218" s="20" t="str">
        <x:v>L011</x:v>
      </x:c>
      <x:c r="H218" s="20" t="str">
        <x:v>1100 Tenant Accounts Receivable</x:v>
      </x:c>
      <x:c r="I218" s="26" t="n">
        <x:v>0</x:v>
      </x:c>
      <x:c r="J218" s="26" t="n">
        <x:v>620</x:v>
      </x:c>
      <x:c r="K218" s="35" t="str">
        <x:v>Receipt allocated to FIN-00104</x:v>
      </x:c>
    </x:row>
    <x:row r="219">
      <x:c r="A219" s="20" t="str">
        <x:v>FIN-00106</x:v>
      </x:c>
      <x:c r="B219" s="32" t="n">
        <x:v>1</x:v>
      </x:c>
      <x:c r="C219" s="23" t="n">
        <x:v>46419</x:v>
      </x:c>
      <x:c r="D219" s="23" t="n">
        <x:v>46419</x:v>
      </x:c>
      <x:c r="E219" s="20" t="str">
        <x:v>P012</x:v>
      </x:c>
      <x:c r="F219" s="20" t="str">
        <x:v>U012</x:v>
      </x:c>
      <x:c r="G219" s="20" t="str">
        <x:v>L012</x:v>
      </x:c>
      <x:c r="H219" s="20" t="str">
        <x:v>1100 Tenant Accounts Receivable</x:v>
      </x:c>
      <x:c r="I219" s="26" t="n">
        <x:v>1050</x:v>
      </x:c>
      <x:c r="J219" s="26" t="n">
        <x:v>0</x:v>
      </x:c>
      <x:c r="K219" s="35" t="str">
        <x:v>February 2027 rent</x:v>
      </x:c>
    </x:row>
    <x:row r="220">
      <x:c r="A220" s="20" t="str">
        <x:v>FIN-00106</x:v>
      </x:c>
      <x:c r="B220" s="32" t="n">
        <x:v>2</x:v>
      </x:c>
      <x:c r="C220" s="23" t="n">
        <x:v>46419</x:v>
      </x:c>
      <x:c r="D220" s="23" t="n">
        <x:v>46419</x:v>
      </x:c>
      <x:c r="E220" s="20" t="str">
        <x:v>P012</x:v>
      </x:c>
      <x:c r="F220" s="20" t="str">
        <x:v>U012</x:v>
      </x:c>
      <x:c r="G220" s="20" t="str">
        <x:v>L012</x:v>
      </x:c>
      <x:c r="H220" s="20" t="str">
        <x:v>4000 Rental Income</x:v>
      </x:c>
      <x:c r="I220" s="26" t="n">
        <x:v>0</x:v>
      </x:c>
      <x:c r="J220" s="26" t="n">
        <x:v>1050</x:v>
      </x:c>
      <x:c r="K220" s="35" t="str">
        <x:v>February 2027 rent</x:v>
      </x:c>
    </x:row>
    <x:row r="221">
      <x:c r="A221" s="20" t="str">
        <x:v>FIN-00107</x:v>
      </x:c>
      <x:c r="B221" s="32" t="n">
        <x:v>1</x:v>
      </x:c>
      <x:c r="C221" s="23" t="n">
        <x:v>46421</x:v>
      </x:c>
      <x:c r="D221" s="23" t="n">
        <x:v>46421</x:v>
      </x:c>
      <x:c r="E221" s="20" t="str">
        <x:v>P012</x:v>
      </x:c>
      <x:c r="F221" s="20" t="str">
        <x:v>U012</x:v>
      </x:c>
      <x:c r="G221" s="20" t="str">
        <x:v>L012</x:v>
      </x:c>
      <x:c r="H221" s="20" t="str">
        <x:v>1000 Operating Cash</x:v>
      </x:c>
      <x:c r="I221" s="26" t="n">
        <x:v>1050</x:v>
      </x:c>
      <x:c r="J221" s="26" t="n">
        <x:v>0</x:v>
      </x:c>
      <x:c r="K221" s="35" t="str">
        <x:v>Receipt allocated to FIN-00106</x:v>
      </x:c>
    </x:row>
    <x:row r="222">
      <x:c r="A222" s="20" t="str">
        <x:v>FIN-00107</x:v>
      </x:c>
      <x:c r="B222" s="32" t="n">
        <x:v>2</x:v>
      </x:c>
      <x:c r="C222" s="23" t="n">
        <x:v>46421</x:v>
      </x:c>
      <x:c r="D222" s="23" t="n">
        <x:v>46421</x:v>
      </x:c>
      <x:c r="E222" s="20" t="str">
        <x:v>P012</x:v>
      </x:c>
      <x:c r="F222" s="20" t="str">
        <x:v>U012</x:v>
      </x:c>
      <x:c r="G222" s="20" t="str">
        <x:v>L012</x:v>
      </x:c>
      <x:c r="H222" s="20" t="str">
        <x:v>1100 Tenant Accounts Receivable</x:v>
      </x:c>
      <x:c r="I222" s="26" t="n">
        <x:v>0</x:v>
      </x:c>
      <x:c r="J222" s="26" t="n">
        <x:v>1050</x:v>
      </x:c>
      <x:c r="K222" s="35" t="str">
        <x:v>Receipt allocated to FIN-00106</x:v>
      </x:c>
    </x:row>
    <x:row r="223">
      <x:c r="A223" s="20" t="str">
        <x:v>FIN-00108</x:v>
      </x:c>
      <x:c r="B223" s="32" t="n">
        <x:v>1</x:v>
      </x:c>
      <x:c r="C223" s="23" t="n">
        <x:v>46419</x:v>
      </x:c>
      <x:c r="D223" s="23" t="n">
        <x:v>46419</x:v>
      </x:c>
      <x:c r="E223" s="20" t="str">
        <x:v>P013</x:v>
      </x:c>
      <x:c r="F223" s="20" t="str">
        <x:v>U013</x:v>
      </x:c>
      <x:c r="G223" s="20" t="str">
        <x:v>L013</x:v>
      </x:c>
      <x:c r="H223" s="20" t="str">
        <x:v>1100 Tenant Accounts Receivable</x:v>
      </x:c>
      <x:c r="I223" s="26" t="n">
        <x:v>1575</x:v>
      </x:c>
      <x:c r="J223" s="26" t="n">
        <x:v>0</x:v>
      </x:c>
      <x:c r="K223" s="35" t="str">
        <x:v>February 2027 rent</x:v>
      </x:c>
    </x:row>
    <x:row r="224">
      <x:c r="A224" s="20" t="str">
        <x:v>FIN-00108</x:v>
      </x:c>
      <x:c r="B224" s="32" t="n">
        <x:v>2</x:v>
      </x:c>
      <x:c r="C224" s="23" t="n">
        <x:v>46419</x:v>
      </x:c>
      <x:c r="D224" s="23" t="n">
        <x:v>46419</x:v>
      </x:c>
      <x:c r="E224" s="20" t="str">
        <x:v>P013</x:v>
      </x:c>
      <x:c r="F224" s="20" t="str">
        <x:v>U013</x:v>
      </x:c>
      <x:c r="G224" s="20" t="str">
        <x:v>L013</x:v>
      </x:c>
      <x:c r="H224" s="20" t="str">
        <x:v>4000 Rental Income</x:v>
      </x:c>
      <x:c r="I224" s="26" t="n">
        <x:v>0</x:v>
      </x:c>
      <x:c r="J224" s="26" t="n">
        <x:v>1575</x:v>
      </x:c>
      <x:c r="K224" s="35" t="str">
        <x:v>February 2027 rent</x:v>
      </x:c>
    </x:row>
    <x:row r="225">
      <x:c r="A225" s="20" t="str">
        <x:v>FIN-00109</x:v>
      </x:c>
      <x:c r="B225" s="32" t="n">
        <x:v>1</x:v>
      </x:c>
      <x:c r="C225" s="23" t="n">
        <x:v>46424</x:v>
      </x:c>
      <x:c r="D225" s="23" t="n">
        <x:v>46424</x:v>
      </x:c>
      <x:c r="E225" s="20" t="str">
        <x:v>P013</x:v>
      </x:c>
      <x:c r="F225" s="20" t="str">
        <x:v>U013</x:v>
      </x:c>
      <x:c r="G225" s="20" t="str">
        <x:v>L013</x:v>
      </x:c>
      <x:c r="H225" s="20" t="str">
        <x:v>1100 Tenant Accounts Receivable</x:v>
      </x:c>
      <x:c r="I225" s="26" t="n">
        <x:v>50</x:v>
      </x:c>
      <x:c r="J225" s="26" t="n">
        <x:v>0</x:v>
      </x:c>
      <x:c r="K225" s="35" t="str">
        <x:v>Synthetic lease-authorized late fee</x:v>
      </x:c>
    </x:row>
    <x:row r="226">
      <x:c r="A226" s="20" t="str">
        <x:v>FIN-00109</x:v>
      </x:c>
      <x:c r="B226" s="32" t="n">
        <x:v>2</x:v>
      </x:c>
      <x:c r="C226" s="23" t="n">
        <x:v>46424</x:v>
      </x:c>
      <x:c r="D226" s="23" t="n">
        <x:v>46424</x:v>
      </x:c>
      <x:c r="E226" s="20" t="str">
        <x:v>P013</x:v>
      </x:c>
      <x:c r="F226" s="20" t="str">
        <x:v>U013</x:v>
      </x:c>
      <x:c r="G226" s="20" t="str">
        <x:v>L013</x:v>
      </x:c>
      <x:c r="H226" s="20" t="str">
        <x:v>4010 Late Fee Income</x:v>
      </x:c>
      <x:c r="I226" s="26" t="n">
        <x:v>0</x:v>
      </x:c>
      <x:c r="J226" s="26" t="n">
        <x:v>50</x:v>
      </x:c>
      <x:c r="K226" s="35" t="str">
        <x:v>Synthetic lease-authorized late fee</x:v>
      </x:c>
    </x:row>
    <x:row r="227">
      <x:c r="A227" s="20" t="str">
        <x:v>FIN-00110</x:v>
      </x:c>
      <x:c r="B227" s="32" t="n">
        <x:v>1</x:v>
      </x:c>
      <x:c r="C227" s="23" t="n">
        <x:v>46426</x:v>
      </x:c>
      <x:c r="D227" s="23" t="n">
        <x:v>46426</x:v>
      </x:c>
      <x:c r="E227" s="20" t="str">
        <x:v>P013</x:v>
      </x:c>
      <x:c r="F227" s="20" t="str">
        <x:v>U013</x:v>
      </x:c>
      <x:c r="G227" s="20" t="str">
        <x:v>L013</x:v>
      </x:c>
      <x:c r="H227" s="20" t="str">
        <x:v>1000 Operating Cash</x:v>
      </x:c>
      <x:c r="I227" s="26" t="n">
        <x:v>1625</x:v>
      </x:c>
      <x:c r="J227" s="26" t="n">
        <x:v>0</x:v>
      </x:c>
      <x:c r="K227" s="35" t="str">
        <x:v>Receipt allocated to FIN-00109</x:v>
      </x:c>
    </x:row>
    <x:row r="228">
      <x:c r="A228" s="20" t="str">
        <x:v>FIN-00110</x:v>
      </x:c>
      <x:c r="B228" s="32" t="n">
        <x:v>2</x:v>
      </x:c>
      <x:c r="C228" s="23" t="n">
        <x:v>46426</x:v>
      </x:c>
      <x:c r="D228" s="23" t="n">
        <x:v>46426</x:v>
      </x:c>
      <x:c r="E228" s="20" t="str">
        <x:v>P013</x:v>
      </x:c>
      <x:c r="F228" s="20" t="str">
        <x:v>U013</x:v>
      </x:c>
      <x:c r="G228" s="20" t="str">
        <x:v>L013</x:v>
      </x:c>
      <x:c r="H228" s="20" t="str">
        <x:v>1100 Tenant Accounts Receivable</x:v>
      </x:c>
      <x:c r="I228" s="26" t="n">
        <x:v>0</x:v>
      </x:c>
      <x:c r="J228" s="26" t="n">
        <x:v>1625</x:v>
      </x:c>
      <x:c r="K228" s="35" t="str">
        <x:v>Receipt allocated to FIN-00109</x:v>
      </x:c>
    </x:row>
    <x:row r="229">
      <x:c r="A229" s="20" t="str">
        <x:v>FIN-00111</x:v>
      </x:c>
      <x:c r="B229" s="32" t="n">
        <x:v>1</x:v>
      </x:c>
      <x:c r="C229" s="23" t="n">
        <x:v>46419</x:v>
      </x:c>
      <x:c r="D229" s="23" t="n">
        <x:v>46419</x:v>
      </x:c>
      <x:c r="E229" s="20" t="str">
        <x:v>P014</x:v>
      </x:c>
      <x:c r="F229" s="20" t="str">
        <x:v>U014</x:v>
      </x:c>
      <x:c r="G229" s="20" t="str">
        <x:v>L014</x:v>
      </x:c>
      <x:c r="H229" s="20" t="str">
        <x:v>1100 Tenant Accounts Receivable</x:v>
      </x:c>
      <x:c r="I229" s="26" t="n">
        <x:v>1200</x:v>
      </x:c>
      <x:c r="J229" s="26" t="n">
        <x:v>0</x:v>
      </x:c>
      <x:c r="K229" s="35" t="str">
        <x:v>February 2027 rent</x:v>
      </x:c>
    </x:row>
    <x:row r="230">
      <x:c r="A230" s="20" t="str">
        <x:v>FIN-00111</x:v>
      </x:c>
      <x:c r="B230" s="32" t="n">
        <x:v>2</x:v>
      </x:c>
      <x:c r="C230" s="23" t="n">
        <x:v>46419</x:v>
      </x:c>
      <x:c r="D230" s="23" t="n">
        <x:v>46419</x:v>
      </x:c>
      <x:c r="E230" s="20" t="str">
        <x:v>P014</x:v>
      </x:c>
      <x:c r="F230" s="20" t="str">
        <x:v>U014</x:v>
      </x:c>
      <x:c r="G230" s="20" t="str">
        <x:v>L014</x:v>
      </x:c>
      <x:c r="H230" s="20" t="str">
        <x:v>4000 Rental Income</x:v>
      </x:c>
      <x:c r="I230" s="26" t="n">
        <x:v>0</x:v>
      </x:c>
      <x:c r="J230" s="26" t="n">
        <x:v>1200</x:v>
      </x:c>
      <x:c r="K230" s="35" t="str">
        <x:v>February 2027 rent</x:v>
      </x:c>
    </x:row>
    <x:row r="231">
      <x:c r="A231" s="20" t="str">
        <x:v>FIN-00112</x:v>
      </x:c>
      <x:c r="B231" s="32" t="n">
        <x:v>1</x:v>
      </x:c>
      <x:c r="C231" s="23" t="n">
        <x:v>46423</x:v>
      </x:c>
      <x:c r="D231" s="23" t="n">
        <x:v>46423</x:v>
      </x:c>
      <x:c r="E231" s="20" t="str">
        <x:v>P014</x:v>
      </x:c>
      <x:c r="F231" s="20" t="str">
        <x:v>U014</x:v>
      </x:c>
      <x:c r="G231" s="20" t="str">
        <x:v>L014</x:v>
      </x:c>
      <x:c r="H231" s="20" t="str">
        <x:v>1000 Operating Cash</x:v>
      </x:c>
      <x:c r="I231" s="26" t="n">
        <x:v>1200</x:v>
      </x:c>
      <x:c r="J231" s="26" t="n">
        <x:v>0</x:v>
      </x:c>
      <x:c r="K231" s="35" t="str">
        <x:v>Receipt allocated to FIN-00111</x:v>
      </x:c>
    </x:row>
    <x:row r="232">
      <x:c r="A232" s="20" t="str">
        <x:v>FIN-00112</x:v>
      </x:c>
      <x:c r="B232" s="32" t="n">
        <x:v>2</x:v>
      </x:c>
      <x:c r="C232" s="23" t="n">
        <x:v>46423</x:v>
      </x:c>
      <x:c r="D232" s="23" t="n">
        <x:v>46423</x:v>
      </x:c>
      <x:c r="E232" s="20" t="str">
        <x:v>P014</x:v>
      </x:c>
      <x:c r="F232" s="20" t="str">
        <x:v>U014</x:v>
      </x:c>
      <x:c r="G232" s="20" t="str">
        <x:v>L014</x:v>
      </x:c>
      <x:c r="H232" s="20" t="str">
        <x:v>1100 Tenant Accounts Receivable</x:v>
      </x:c>
      <x:c r="I232" s="26" t="n">
        <x:v>0</x:v>
      </x:c>
      <x:c r="J232" s="26" t="n">
        <x:v>1200</x:v>
      </x:c>
      <x:c r="K232" s="35" t="str">
        <x:v>Receipt allocated to FIN-00111</x:v>
      </x:c>
    </x:row>
    <x:row r="233">
      <x:c r="A233" s="20" t="str">
        <x:v>FIN-00113</x:v>
      </x:c>
      <x:c r="B233" s="32" t="n">
        <x:v>1</x:v>
      </x:c>
      <x:c r="C233" s="23" t="n">
        <x:v>46419</x:v>
      </x:c>
      <x:c r="D233" s="23" t="n">
        <x:v>46419</x:v>
      </x:c>
      <x:c r="E233" s="20" t="str">
        <x:v>P015</x:v>
      </x:c>
      <x:c r="F233" s="20" t="str">
        <x:v>U015</x:v>
      </x:c>
      <x:c r="G233" s="20" t="str">
        <x:v>L015</x:v>
      </x:c>
      <x:c r="H233" s="20" t="str">
        <x:v>1100 Tenant Accounts Receivable</x:v>
      </x:c>
      <x:c r="I233" s="26" t="n">
        <x:v>1725</x:v>
      </x:c>
      <x:c r="J233" s="26" t="n">
        <x:v>0</x:v>
      </x:c>
      <x:c r="K233" s="35" t="str">
        <x:v>February 2027 rent</x:v>
      </x:c>
    </x:row>
    <x:row r="234">
      <x:c r="A234" s="20" t="str">
        <x:v>FIN-00113</x:v>
      </x:c>
      <x:c r="B234" s="32" t="n">
        <x:v>2</x:v>
      </x:c>
      <x:c r="C234" s="23" t="n">
        <x:v>46419</x:v>
      </x:c>
      <x:c r="D234" s="23" t="n">
        <x:v>46419</x:v>
      </x:c>
      <x:c r="E234" s="20" t="str">
        <x:v>P015</x:v>
      </x:c>
      <x:c r="F234" s="20" t="str">
        <x:v>U015</x:v>
      </x:c>
      <x:c r="G234" s="20" t="str">
        <x:v>L015</x:v>
      </x:c>
      <x:c r="H234" s="20" t="str">
        <x:v>4000 Rental Income</x:v>
      </x:c>
      <x:c r="I234" s="26" t="n">
        <x:v>0</x:v>
      </x:c>
      <x:c r="J234" s="26" t="n">
        <x:v>1725</x:v>
      </x:c>
      <x:c r="K234" s="35" t="str">
        <x:v>February 2027 rent</x:v>
      </x:c>
    </x:row>
    <x:row r="235">
      <x:c r="A235" s="20" t="str">
        <x:v>FIN-00114</x:v>
      </x:c>
      <x:c r="B235" s="32" t="n">
        <x:v>1</x:v>
      </x:c>
      <x:c r="C235" s="23" t="n">
        <x:v>46421</x:v>
      </x:c>
      <x:c r="D235" s="23" t="n">
        <x:v>46421</x:v>
      </x:c>
      <x:c r="E235" s="20" t="str">
        <x:v>P015</x:v>
      </x:c>
      <x:c r="F235" s="20" t="str">
        <x:v>U015</x:v>
      </x:c>
      <x:c r="G235" s="20" t="str">
        <x:v>L015</x:v>
      </x:c>
      <x:c r="H235" s="20" t="str">
        <x:v>1000 Operating Cash</x:v>
      </x:c>
      <x:c r="I235" s="26" t="n">
        <x:v>1725</x:v>
      </x:c>
      <x:c r="J235" s="26" t="n">
        <x:v>0</x:v>
      </x:c>
      <x:c r="K235" s="35" t="str">
        <x:v>Receipt allocated to FIN-00113</x:v>
      </x:c>
    </x:row>
    <x:row r="236">
      <x:c r="A236" s="20" t="str">
        <x:v>FIN-00114</x:v>
      </x:c>
      <x:c r="B236" s="32" t="n">
        <x:v>2</x:v>
      </x:c>
      <x:c r="C236" s="23" t="n">
        <x:v>46421</x:v>
      </x:c>
      <x:c r="D236" s="23" t="n">
        <x:v>46421</x:v>
      </x:c>
      <x:c r="E236" s="20" t="str">
        <x:v>P015</x:v>
      </x:c>
      <x:c r="F236" s="20" t="str">
        <x:v>U015</x:v>
      </x:c>
      <x:c r="G236" s="20" t="str">
        <x:v>L015</x:v>
      </x:c>
      <x:c r="H236" s="20" t="str">
        <x:v>1100 Tenant Accounts Receivable</x:v>
      </x:c>
      <x:c r="I236" s="26" t="n">
        <x:v>0</x:v>
      </x:c>
      <x:c r="J236" s="26" t="n">
        <x:v>1725</x:v>
      </x:c>
      <x:c r="K236" s="35" t="str">
        <x:v>Receipt allocated to FIN-00113</x:v>
      </x:c>
    </x:row>
    <x:row r="237">
      <x:c r="A237" s="20" t="str">
        <x:v>FIN-00115</x:v>
      </x:c>
      <x:c r="B237" s="32" t="n">
        <x:v>1</x:v>
      </x:c>
      <x:c r="C237" s="23" t="n">
        <x:v>46419</x:v>
      </x:c>
      <x:c r="D237" s="23" t="n">
        <x:v>46419</x:v>
      </x:c>
      <x:c r="E237" s="20" t="str">
        <x:v>P016</x:v>
      </x:c>
      <x:c r="F237" s="20" t="str">
        <x:v>U016</x:v>
      </x:c>
      <x:c r="G237" s="20" t="str">
        <x:v>L016</x:v>
      </x:c>
      <x:c r="H237" s="20" t="str">
        <x:v>1100 Tenant Accounts Receivable</x:v>
      </x:c>
      <x:c r="I237" s="26" t="n">
        <x:v>1350</x:v>
      </x:c>
      <x:c r="J237" s="26" t="n">
        <x:v>0</x:v>
      </x:c>
      <x:c r="K237" s="35" t="str">
        <x:v>February 2027 rent</x:v>
      </x:c>
    </x:row>
    <x:row r="238">
      <x:c r="A238" s="20" t="str">
        <x:v>FIN-00115</x:v>
      </x:c>
      <x:c r="B238" s="32" t="n">
        <x:v>2</x:v>
      </x:c>
      <x:c r="C238" s="23" t="n">
        <x:v>46419</x:v>
      </x:c>
      <x:c r="D238" s="23" t="n">
        <x:v>46419</x:v>
      </x:c>
      <x:c r="E238" s="20" t="str">
        <x:v>P016</x:v>
      </x:c>
      <x:c r="F238" s="20" t="str">
        <x:v>U016</x:v>
      </x:c>
      <x:c r="G238" s="20" t="str">
        <x:v>L016</x:v>
      </x:c>
      <x:c r="H238" s="20" t="str">
        <x:v>4000 Rental Income</x:v>
      </x:c>
      <x:c r="I238" s="26" t="n">
        <x:v>0</x:v>
      </x:c>
      <x:c r="J238" s="26" t="n">
        <x:v>1350</x:v>
      </x:c>
      <x:c r="K238" s="35" t="str">
        <x:v>February 2027 rent</x:v>
      </x:c>
    </x:row>
    <x:row r="239">
      <x:c r="A239" s="20" t="str">
        <x:v>FIN-00116</x:v>
      </x:c>
      <x:c r="B239" s="32" t="n">
        <x:v>1</x:v>
      </x:c>
      <x:c r="C239" s="23" t="n">
        <x:v>46422</x:v>
      </x:c>
      <x:c r="D239" s="23" t="n">
        <x:v>46422</x:v>
      </x:c>
      <x:c r="E239" s="20" t="str">
        <x:v>P016</x:v>
      </x:c>
      <x:c r="F239" s="20" t="str">
        <x:v>U016</x:v>
      </x:c>
      <x:c r="G239" s="20" t="str">
        <x:v>L016</x:v>
      </x:c>
      <x:c r="H239" s="20" t="str">
        <x:v>1000 Operating Cash</x:v>
      </x:c>
      <x:c r="I239" s="26" t="n">
        <x:v>1350</x:v>
      </x:c>
      <x:c r="J239" s="26" t="n">
        <x:v>0</x:v>
      </x:c>
      <x:c r="K239" s="35" t="str">
        <x:v>Receipt allocated to FIN-00115</x:v>
      </x:c>
    </x:row>
    <x:row r="240">
      <x:c r="A240" s="20" t="str">
        <x:v>FIN-00116</x:v>
      </x:c>
      <x:c r="B240" s="32" t="n">
        <x:v>2</x:v>
      </x:c>
      <x:c r="C240" s="23" t="n">
        <x:v>46422</x:v>
      </x:c>
      <x:c r="D240" s="23" t="n">
        <x:v>46422</x:v>
      </x:c>
      <x:c r="E240" s="20" t="str">
        <x:v>P016</x:v>
      </x:c>
      <x:c r="F240" s="20" t="str">
        <x:v>U016</x:v>
      </x:c>
      <x:c r="G240" s="20" t="str">
        <x:v>L016</x:v>
      </x:c>
      <x:c r="H240" s="20" t="str">
        <x:v>1100 Tenant Accounts Receivable</x:v>
      </x:c>
      <x:c r="I240" s="26" t="n">
        <x:v>0</x:v>
      </x:c>
      <x:c r="J240" s="26" t="n">
        <x:v>1350</x:v>
      </x:c>
      <x:c r="K240" s="35" t="str">
        <x:v>Receipt allocated to FIN-00115</x:v>
      </x:c>
    </x:row>
    <x:row r="241">
      <x:c r="A241" s="20" t="str">
        <x:v>FIN-00117</x:v>
      </x:c>
      <x:c r="B241" s="32" t="n">
        <x:v>1</x:v>
      </x:c>
      <x:c r="C241" s="23" t="n">
        <x:v>46419</x:v>
      </x:c>
      <x:c r="D241" s="23" t="n">
        <x:v>46419</x:v>
      </x:c>
      <x:c r="E241" s="20" t="str">
        <x:v>P017</x:v>
      </x:c>
      <x:c r="F241" s="20" t="str">
        <x:v>U017</x:v>
      </x:c>
      <x:c r="G241" s="20" t="str">
        <x:v>L017</x:v>
      </x:c>
      <x:c r="H241" s="20" t="str">
        <x:v>1100 Tenant Accounts Receivable</x:v>
      </x:c>
      <x:c r="I241" s="26" t="n">
        <x:v>1875</x:v>
      </x:c>
      <x:c r="J241" s="26" t="n">
        <x:v>0</x:v>
      </x:c>
      <x:c r="K241" s="35" t="str">
        <x:v>February 2027 rent</x:v>
      </x:c>
    </x:row>
    <x:row r="242">
      <x:c r="A242" s="20" t="str">
        <x:v>FIN-00117</x:v>
      </x:c>
      <x:c r="B242" s="32" t="n">
        <x:v>2</x:v>
      </x:c>
      <x:c r="C242" s="23" t="n">
        <x:v>46419</x:v>
      </x:c>
      <x:c r="D242" s="23" t="n">
        <x:v>46419</x:v>
      </x:c>
      <x:c r="E242" s="20" t="str">
        <x:v>P017</x:v>
      </x:c>
      <x:c r="F242" s="20" t="str">
        <x:v>U017</x:v>
      </x:c>
      <x:c r="G242" s="20" t="str">
        <x:v>L017</x:v>
      </x:c>
      <x:c r="H242" s="20" t="str">
        <x:v>4000 Rental Income</x:v>
      </x:c>
      <x:c r="I242" s="26" t="n">
        <x:v>0</x:v>
      </x:c>
      <x:c r="J242" s="26" t="n">
        <x:v>1875</x:v>
      </x:c>
      <x:c r="K242" s="35" t="str">
        <x:v>February 2027 rent</x:v>
      </x:c>
    </x:row>
    <x:row r="243">
      <x:c r="A243" s="20" t="str">
        <x:v>FIN-00118</x:v>
      </x:c>
      <x:c r="B243" s="32" t="n">
        <x:v>1</x:v>
      </x:c>
      <x:c r="C243" s="23" t="n">
        <x:v>46423</x:v>
      </x:c>
      <x:c r="D243" s="23" t="n">
        <x:v>46423</x:v>
      </x:c>
      <x:c r="E243" s="20" t="str">
        <x:v>P017</x:v>
      </x:c>
      <x:c r="F243" s="20" t="str">
        <x:v>U017</x:v>
      </x:c>
      <x:c r="G243" s="20" t="str">
        <x:v>L017</x:v>
      </x:c>
      <x:c r="H243" s="20" t="str">
        <x:v>1000 Operating Cash</x:v>
      </x:c>
      <x:c r="I243" s="26" t="n">
        <x:v>1875</x:v>
      </x:c>
      <x:c r="J243" s="26" t="n">
        <x:v>0</x:v>
      </x:c>
      <x:c r="K243" s="35" t="str">
        <x:v>Receipt allocated to FIN-00117</x:v>
      </x:c>
    </x:row>
    <x:row r="244">
      <x:c r="A244" s="20" t="str">
        <x:v>FIN-00118</x:v>
      </x:c>
      <x:c r="B244" s="32" t="n">
        <x:v>2</x:v>
      </x:c>
      <x:c r="C244" s="23" t="n">
        <x:v>46423</x:v>
      </x:c>
      <x:c r="D244" s="23" t="n">
        <x:v>46423</x:v>
      </x:c>
      <x:c r="E244" s="20" t="str">
        <x:v>P017</x:v>
      </x:c>
      <x:c r="F244" s="20" t="str">
        <x:v>U017</x:v>
      </x:c>
      <x:c r="G244" s="20" t="str">
        <x:v>L017</x:v>
      </x:c>
      <x:c r="H244" s="20" t="str">
        <x:v>1100 Tenant Accounts Receivable</x:v>
      </x:c>
      <x:c r="I244" s="26" t="n">
        <x:v>0</x:v>
      </x:c>
      <x:c r="J244" s="26" t="n">
        <x:v>1875</x:v>
      </x:c>
      <x:c r="K244" s="35" t="str">
        <x:v>Receipt allocated to FIN-00117</x:v>
      </x:c>
    </x:row>
    <x:row r="245">
      <x:c r="A245" s="20" t="str">
        <x:v>FIN-00119</x:v>
      </x:c>
      <x:c r="B245" s="32" t="n">
        <x:v>1</x:v>
      </x:c>
      <x:c r="C245" s="23" t="n">
        <x:v>46419</x:v>
      </x:c>
      <x:c r="D245" s="23" t="n">
        <x:v>46419</x:v>
      </x:c>
      <x:c r="E245" s="20" t="str">
        <x:v>P018</x:v>
      </x:c>
      <x:c r="F245" s="20" t="str">
        <x:v>U018</x:v>
      </x:c>
      <x:c r="G245" s="20" t="str">
        <x:v>L018</x:v>
      </x:c>
      <x:c r="H245" s="20" t="str">
        <x:v>1100 Tenant Accounts Receivable</x:v>
      </x:c>
      <x:c r="I245" s="26" t="n">
        <x:v>1500</x:v>
      </x:c>
      <x:c r="J245" s="26" t="n">
        <x:v>0</x:v>
      </x:c>
      <x:c r="K245" s="35" t="str">
        <x:v>February 2027 rent</x:v>
      </x:c>
    </x:row>
    <x:row r="246">
      <x:c r="A246" s="20" t="str">
        <x:v>FIN-00119</x:v>
      </x:c>
      <x:c r="B246" s="32" t="n">
        <x:v>2</x:v>
      </x:c>
      <x:c r="C246" s="23" t="n">
        <x:v>46419</x:v>
      </x:c>
      <x:c r="D246" s="23" t="n">
        <x:v>46419</x:v>
      </x:c>
      <x:c r="E246" s="20" t="str">
        <x:v>P018</x:v>
      </x:c>
      <x:c r="F246" s="20" t="str">
        <x:v>U018</x:v>
      </x:c>
      <x:c r="G246" s="20" t="str">
        <x:v>L018</x:v>
      </x:c>
      <x:c r="H246" s="20" t="str">
        <x:v>4000 Rental Income</x:v>
      </x:c>
      <x:c r="I246" s="26" t="n">
        <x:v>0</x:v>
      </x:c>
      <x:c r="J246" s="26" t="n">
        <x:v>1500</x:v>
      </x:c>
      <x:c r="K246" s="35" t="str">
        <x:v>February 2027 rent</x:v>
      </x:c>
    </x:row>
    <x:row r="247">
      <x:c r="A247" s="20" t="str">
        <x:v>FIN-00120</x:v>
      </x:c>
      <x:c r="B247" s="32" t="n">
        <x:v>1</x:v>
      </x:c>
      <x:c r="C247" s="23" t="n">
        <x:v>46421</x:v>
      </x:c>
      <x:c r="D247" s="23" t="n">
        <x:v>46421</x:v>
      </x:c>
      <x:c r="E247" s="20" t="str">
        <x:v>P018</x:v>
      </x:c>
      <x:c r="F247" s="20" t="str">
        <x:v>U018</x:v>
      </x:c>
      <x:c r="G247" s="20" t="str">
        <x:v>L018</x:v>
      </x:c>
      <x:c r="H247" s="20" t="str">
        <x:v>1000 Operating Cash</x:v>
      </x:c>
      <x:c r="I247" s="26" t="n">
        <x:v>1500</x:v>
      </x:c>
      <x:c r="J247" s="26" t="n">
        <x:v>0</x:v>
      </x:c>
      <x:c r="K247" s="35" t="str">
        <x:v>Receipt allocated to FIN-00119</x:v>
      </x:c>
    </x:row>
    <x:row r="248">
      <x:c r="A248" s="20" t="str">
        <x:v>FIN-00120</x:v>
      </x:c>
      <x:c r="B248" s="32" t="n">
        <x:v>2</x:v>
      </x:c>
      <x:c r="C248" s="23" t="n">
        <x:v>46421</x:v>
      </x:c>
      <x:c r="D248" s="23" t="n">
        <x:v>46421</x:v>
      </x:c>
      <x:c r="E248" s="20" t="str">
        <x:v>P018</x:v>
      </x:c>
      <x:c r="F248" s="20" t="str">
        <x:v>U018</x:v>
      </x:c>
      <x:c r="G248" s="20" t="str">
        <x:v>L018</x:v>
      </x:c>
      <x:c r="H248" s="20" t="str">
        <x:v>1100 Tenant Accounts Receivable</x:v>
      </x:c>
      <x:c r="I248" s="26" t="n">
        <x:v>0</x:v>
      </x:c>
      <x:c r="J248" s="26" t="n">
        <x:v>1500</x:v>
      </x:c>
      <x:c r="K248" s="35" t="str">
        <x:v>Receipt allocated to FIN-00119</x:v>
      </x:c>
    </x:row>
    <x:row r="249">
      <x:c r="A249" s="20" t="str">
        <x:v>FIN-00121</x:v>
      </x:c>
      <x:c r="B249" s="32" t="n">
        <x:v>1</x:v>
      </x:c>
      <x:c r="C249" s="23" t="n">
        <x:v>46419</x:v>
      </x:c>
      <x:c r="D249" s="23" t="n">
        <x:v>46419</x:v>
      </x:c>
      <x:c r="E249" s="20" t="str">
        <x:v>P019</x:v>
      </x:c>
      <x:c r="F249" s="20" t="str">
        <x:v>U019</x:v>
      </x:c>
      <x:c r="G249" s="20" t="str">
        <x:v>L019</x:v>
      </x:c>
      <x:c r="H249" s="20" t="str">
        <x:v>1100 Tenant Accounts Receivable</x:v>
      </x:c>
      <x:c r="I249" s="26" t="n">
        <x:v>1125</x:v>
      </x:c>
      <x:c r="J249" s="26" t="n">
        <x:v>0</x:v>
      </x:c>
      <x:c r="K249" s="35" t="str">
        <x:v>February 2027 rent</x:v>
      </x:c>
    </x:row>
    <x:row r="250">
      <x:c r="A250" s="20" t="str">
        <x:v>FIN-00121</x:v>
      </x:c>
      <x:c r="B250" s="32" t="n">
        <x:v>2</x:v>
      </x:c>
      <x:c r="C250" s="23" t="n">
        <x:v>46419</x:v>
      </x:c>
      <x:c r="D250" s="23" t="n">
        <x:v>46419</x:v>
      </x:c>
      <x:c r="E250" s="20" t="str">
        <x:v>P019</x:v>
      </x:c>
      <x:c r="F250" s="20" t="str">
        <x:v>U019</x:v>
      </x:c>
      <x:c r="G250" s="20" t="str">
        <x:v>L019</x:v>
      </x:c>
      <x:c r="H250" s="20" t="str">
        <x:v>4000 Rental Income</x:v>
      </x:c>
      <x:c r="I250" s="26" t="n">
        <x:v>0</x:v>
      </x:c>
      <x:c r="J250" s="26" t="n">
        <x:v>1125</x:v>
      </x:c>
      <x:c r="K250" s="35" t="str">
        <x:v>February 2027 rent</x:v>
      </x:c>
    </x:row>
    <x:row r="251">
      <x:c r="A251" s="20" t="str">
        <x:v>FIN-00122</x:v>
      </x:c>
      <x:c r="B251" s="32" t="n">
        <x:v>1</x:v>
      </x:c>
      <x:c r="C251" s="23" t="n">
        <x:v>46422</x:v>
      </x:c>
      <x:c r="D251" s="23" t="n">
        <x:v>46422</x:v>
      </x:c>
      <x:c r="E251" s="20" t="str">
        <x:v>P019</x:v>
      </x:c>
      <x:c r="F251" s="20" t="str">
        <x:v>U019</x:v>
      </x:c>
      <x:c r="G251" s="20" t="str">
        <x:v>L019</x:v>
      </x:c>
      <x:c r="H251" s="20" t="str">
        <x:v>1000 Operating Cash</x:v>
      </x:c>
      <x:c r="I251" s="26" t="n">
        <x:v>1125</x:v>
      </x:c>
      <x:c r="J251" s="26" t="n">
        <x:v>0</x:v>
      </x:c>
      <x:c r="K251" s="35" t="str">
        <x:v>Receipt allocated to FIN-00121</x:v>
      </x:c>
    </x:row>
    <x:row r="252">
      <x:c r="A252" s="20" t="str">
        <x:v>FIN-00122</x:v>
      </x:c>
      <x:c r="B252" s="32" t="n">
        <x:v>2</x:v>
      </x:c>
      <x:c r="C252" s="23" t="n">
        <x:v>46422</x:v>
      </x:c>
      <x:c r="D252" s="23" t="n">
        <x:v>46422</x:v>
      </x:c>
      <x:c r="E252" s="20" t="str">
        <x:v>P019</x:v>
      </x:c>
      <x:c r="F252" s="20" t="str">
        <x:v>U019</x:v>
      </x:c>
      <x:c r="G252" s="20" t="str">
        <x:v>L019</x:v>
      </x:c>
      <x:c r="H252" s="20" t="str">
        <x:v>1100 Tenant Accounts Receivable</x:v>
      </x:c>
      <x:c r="I252" s="26" t="n">
        <x:v>0</x:v>
      </x:c>
      <x:c r="J252" s="26" t="n">
        <x:v>1125</x:v>
      </x:c>
      <x:c r="K252" s="35" t="str">
        <x:v>Receipt allocated to FIN-00121</x:v>
      </x:c>
    </x:row>
    <x:row r="253">
      <x:c r="A253" s="20" t="str">
        <x:v>FIN-00123</x:v>
      </x:c>
      <x:c r="B253" s="32" t="n">
        <x:v>1</x:v>
      </x:c>
      <x:c r="C253" s="23" t="n">
        <x:v>46419</x:v>
      </x:c>
      <x:c r="D253" s="23" t="n">
        <x:v>46419</x:v>
      </x:c>
      <x:c r="E253" s="20" t="str">
        <x:v>P020</x:v>
      </x:c>
      <x:c r="F253" s="20" t="str">
        <x:v>U020</x:v>
      </x:c>
      <x:c r="G253" s="20" t="str">
        <x:v>L020</x:v>
      </x:c>
      <x:c r="H253" s="20" t="str">
        <x:v>1100 Tenant Accounts Receivable</x:v>
      </x:c>
      <x:c r="I253" s="26" t="n">
        <x:v>1650</x:v>
      </x:c>
      <x:c r="J253" s="26" t="n">
        <x:v>0</x:v>
      </x:c>
      <x:c r="K253" s="35" t="str">
        <x:v>February 2027 rent</x:v>
      </x:c>
    </x:row>
    <x:row r="254">
      <x:c r="A254" s="20" t="str">
        <x:v>FIN-00123</x:v>
      </x:c>
      <x:c r="B254" s="32" t="n">
        <x:v>2</x:v>
      </x:c>
      <x:c r="C254" s="23" t="n">
        <x:v>46419</x:v>
      </x:c>
      <x:c r="D254" s="23" t="n">
        <x:v>46419</x:v>
      </x:c>
      <x:c r="E254" s="20" t="str">
        <x:v>P020</x:v>
      </x:c>
      <x:c r="F254" s="20" t="str">
        <x:v>U020</x:v>
      </x:c>
      <x:c r="G254" s="20" t="str">
        <x:v>L020</x:v>
      </x:c>
      <x:c r="H254" s="20" t="str">
        <x:v>4000 Rental Income</x:v>
      </x:c>
      <x:c r="I254" s="26" t="n">
        <x:v>0</x:v>
      </x:c>
      <x:c r="J254" s="26" t="n">
        <x:v>1650</x:v>
      </x:c>
      <x:c r="K254" s="35" t="str">
        <x:v>February 2027 rent</x:v>
      </x:c>
    </x:row>
    <x:row r="255">
      <x:c r="A255" s="20" t="str">
        <x:v>FIN-00124</x:v>
      </x:c>
      <x:c r="B255" s="32" t="n">
        <x:v>1</x:v>
      </x:c>
      <x:c r="C255" s="23" t="n">
        <x:v>46423</x:v>
      </x:c>
      <x:c r="D255" s="23" t="n">
        <x:v>46423</x:v>
      </x:c>
      <x:c r="E255" s="20" t="str">
        <x:v>P020</x:v>
      </x:c>
      <x:c r="F255" s="20" t="str">
        <x:v>U020</x:v>
      </x:c>
      <x:c r="G255" s="20" t="str">
        <x:v>L020</x:v>
      </x:c>
      <x:c r="H255" s="20" t="str">
        <x:v>1000 Operating Cash</x:v>
      </x:c>
      <x:c r="I255" s="26" t="n">
        <x:v>1650</x:v>
      </x:c>
      <x:c r="J255" s="26" t="n">
        <x:v>0</x:v>
      </x:c>
      <x:c r="K255" s="35" t="str">
        <x:v>Receipt allocated to FIN-00123</x:v>
      </x:c>
    </x:row>
    <x:row r="256">
      <x:c r="A256" s="20" t="str">
        <x:v>FIN-00124</x:v>
      </x:c>
      <x:c r="B256" s="32" t="n">
        <x:v>2</x:v>
      </x:c>
      <x:c r="C256" s="23" t="n">
        <x:v>46423</x:v>
      </x:c>
      <x:c r="D256" s="23" t="n">
        <x:v>46423</x:v>
      </x:c>
      <x:c r="E256" s="20" t="str">
        <x:v>P020</x:v>
      </x:c>
      <x:c r="F256" s="20" t="str">
        <x:v>U020</x:v>
      </x:c>
      <x:c r="G256" s="20" t="str">
        <x:v>L020</x:v>
      </x:c>
      <x:c r="H256" s="20" t="str">
        <x:v>1100 Tenant Accounts Receivable</x:v>
      </x:c>
      <x:c r="I256" s="26" t="n">
        <x:v>0</x:v>
      </x:c>
      <x:c r="J256" s="26" t="n">
        <x:v>1650</x:v>
      </x:c>
      <x:c r="K256" s="35" t="str">
        <x:v>Receipt allocated to FIN-00123</x:v>
      </x:c>
    </x:row>
    <x:row r="257">
      <x:c r="A257" s="20" t="str">
        <x:v>FIN-00125</x:v>
      </x:c>
      <x:c r="B257" s="32" t="n">
        <x:v>1</x:v>
      </x:c>
      <x:c r="C257" s="23" t="n">
        <x:v>46419</x:v>
      </x:c>
      <x:c r="D257" s="23" t="n">
        <x:v>46419</x:v>
      </x:c>
      <x:c r="E257" s="20" t="str">
        <x:v>P021</x:v>
      </x:c>
      <x:c r="F257" s="20" t="str">
        <x:v>U021</x:v>
      </x:c>
      <x:c r="G257" s="20" t="str">
        <x:v>L021</x:v>
      </x:c>
      <x:c r="H257" s="20" t="str">
        <x:v>1100 Tenant Accounts Receivable</x:v>
      </x:c>
      <x:c r="I257" s="26" t="n">
        <x:v>1375</x:v>
      </x:c>
      <x:c r="J257" s="26" t="n">
        <x:v>0</x:v>
      </x:c>
      <x:c r="K257" s="35" t="str">
        <x:v>February 2027 rent</x:v>
      </x:c>
    </x:row>
    <x:row r="258">
      <x:c r="A258" s="20" t="str">
        <x:v>FIN-00125</x:v>
      </x:c>
      <x:c r="B258" s="32" t="n">
        <x:v>2</x:v>
      </x:c>
      <x:c r="C258" s="23" t="n">
        <x:v>46419</x:v>
      </x:c>
      <x:c r="D258" s="23" t="n">
        <x:v>46419</x:v>
      </x:c>
      <x:c r="E258" s="20" t="str">
        <x:v>P021</x:v>
      </x:c>
      <x:c r="F258" s="20" t="str">
        <x:v>U021</x:v>
      </x:c>
      <x:c r="G258" s="20" t="str">
        <x:v>L021</x:v>
      </x:c>
      <x:c r="H258" s="20" t="str">
        <x:v>4000 Rental Income</x:v>
      </x:c>
      <x:c r="I258" s="26" t="n">
        <x:v>0</x:v>
      </x:c>
      <x:c r="J258" s="26" t="n">
        <x:v>1375</x:v>
      </x:c>
      <x:c r="K258" s="35" t="str">
        <x:v>February 2027 rent</x:v>
      </x:c>
    </x:row>
    <x:row r="259">
      <x:c r="A259" s="20" t="str">
        <x:v>FIN-00126</x:v>
      </x:c>
      <x:c r="B259" s="32" t="n">
        <x:v>1</x:v>
      </x:c>
      <x:c r="C259" s="23" t="n">
        <x:v>46421</x:v>
      </x:c>
      <x:c r="D259" s="23" t="n">
        <x:v>46421</x:v>
      </x:c>
      <x:c r="E259" s="20" t="str">
        <x:v>P021</x:v>
      </x:c>
      <x:c r="F259" s="20" t="str">
        <x:v>U021</x:v>
      </x:c>
      <x:c r="G259" s="20" t="str">
        <x:v>L021</x:v>
      </x:c>
      <x:c r="H259" s="20" t="str">
        <x:v>1000 Operating Cash</x:v>
      </x:c>
      <x:c r="I259" s="26" t="n">
        <x:v>1375</x:v>
      </x:c>
      <x:c r="J259" s="26" t="n">
        <x:v>0</x:v>
      </x:c>
      <x:c r="K259" s="35" t="str">
        <x:v>Receipt allocated to FIN-00125</x:v>
      </x:c>
    </x:row>
    <x:row r="260">
      <x:c r="A260" s="20" t="str">
        <x:v>FIN-00126</x:v>
      </x:c>
      <x:c r="B260" s="32" t="n">
        <x:v>2</x:v>
      </x:c>
      <x:c r="C260" s="23" t="n">
        <x:v>46421</x:v>
      </x:c>
      <x:c r="D260" s="23" t="n">
        <x:v>46421</x:v>
      </x:c>
      <x:c r="E260" s="20" t="str">
        <x:v>P021</x:v>
      </x:c>
      <x:c r="F260" s="20" t="str">
        <x:v>U021</x:v>
      </x:c>
      <x:c r="G260" s="20" t="str">
        <x:v>L021</x:v>
      </x:c>
      <x:c r="H260" s="20" t="str">
        <x:v>1100 Tenant Accounts Receivable</x:v>
      </x:c>
      <x:c r="I260" s="26" t="n">
        <x:v>0</x:v>
      </x:c>
      <x:c r="J260" s="26" t="n">
        <x:v>1375</x:v>
      </x:c>
      <x:c r="K260" s="35" t="str">
        <x:v>Receipt allocated to FIN-00125</x:v>
      </x:c>
    </x:row>
    <x:row r="261">
      <x:c r="A261" s="20" t="str">
        <x:v>FIN-00127</x:v>
      </x:c>
      <x:c r="B261" s="32" t="n">
        <x:v>1</x:v>
      </x:c>
      <x:c r="C261" s="23" t="n">
        <x:v>46419</x:v>
      </x:c>
      <x:c r="D261" s="23" t="n">
        <x:v>46419</x:v>
      </x:c>
      <x:c r="E261" s="20" t="str">
        <x:v>P021</x:v>
      </x:c>
      <x:c r="F261" s="20" t="str">
        <x:v>U022</x:v>
      </x:c>
      <x:c r="G261" s="20" t="str">
        <x:v>L022</x:v>
      </x:c>
      <x:c r="H261" s="20" t="str">
        <x:v>1100 Tenant Accounts Receivable</x:v>
      </x:c>
      <x:c r="I261" s="26" t="n">
        <x:v>1900</x:v>
      </x:c>
      <x:c r="J261" s="26" t="n">
        <x:v>0</x:v>
      </x:c>
      <x:c r="K261" s="35" t="str">
        <x:v>February 2027 rent</x:v>
      </x:c>
    </x:row>
    <x:row r="262">
      <x:c r="A262" s="20" t="str">
        <x:v>FIN-00127</x:v>
      </x:c>
      <x:c r="B262" s="32" t="n">
        <x:v>2</x:v>
      </x:c>
      <x:c r="C262" s="23" t="n">
        <x:v>46419</x:v>
      </x:c>
      <x:c r="D262" s="23" t="n">
        <x:v>46419</x:v>
      </x:c>
      <x:c r="E262" s="20" t="str">
        <x:v>P021</x:v>
      </x:c>
      <x:c r="F262" s="20" t="str">
        <x:v>U022</x:v>
      </x:c>
      <x:c r="G262" s="20" t="str">
        <x:v>L022</x:v>
      </x:c>
      <x:c r="H262" s="20" t="str">
        <x:v>4000 Rental Income</x:v>
      </x:c>
      <x:c r="I262" s="26" t="n">
        <x:v>0</x:v>
      </x:c>
      <x:c r="J262" s="26" t="n">
        <x:v>1900</x:v>
      </x:c>
      <x:c r="K262" s="35" t="str">
        <x:v>February 2027 rent</x:v>
      </x:c>
    </x:row>
    <x:row r="263">
      <x:c r="A263" s="20" t="str">
        <x:v>FIN-00128</x:v>
      </x:c>
      <x:c r="B263" s="32" t="n">
        <x:v>1</x:v>
      </x:c>
      <x:c r="C263" s="23" t="n">
        <x:v>46421</x:v>
      </x:c>
      <x:c r="D263" s="23" t="n">
        <x:v>46421</x:v>
      </x:c>
      <x:c r="E263" s="20" t="str">
        <x:v>P021</x:v>
      </x:c>
      <x:c r="F263" s="20" t="str">
        <x:v>U022</x:v>
      </x:c>
      <x:c r="G263" s="20" t="str">
        <x:v>L022</x:v>
      </x:c>
      <x:c r="H263" s="20" t="str">
        <x:v>1000 Operating Cash</x:v>
      </x:c>
      <x:c r="I263" s="26" t="n">
        <x:v>1140</x:v>
      </x:c>
      <x:c r="J263" s="26" t="n">
        <x:v>0</x:v>
      </x:c>
      <x:c r="K263" s="35" t="str">
        <x:v>Receipt allocated to FIN-00127</x:v>
      </x:c>
    </x:row>
    <x:row r="264">
      <x:c r="A264" s="20" t="str">
        <x:v>FIN-00128</x:v>
      </x:c>
      <x:c r="B264" s="32" t="n">
        <x:v>2</x:v>
      </x:c>
      <x:c r="C264" s="23" t="n">
        <x:v>46421</x:v>
      </x:c>
      <x:c r="D264" s="23" t="n">
        <x:v>46421</x:v>
      </x:c>
      <x:c r="E264" s="20" t="str">
        <x:v>P021</x:v>
      </x:c>
      <x:c r="F264" s="20" t="str">
        <x:v>U022</x:v>
      </x:c>
      <x:c r="G264" s="20" t="str">
        <x:v>L022</x:v>
      </x:c>
      <x:c r="H264" s="20" t="str">
        <x:v>1100 Tenant Accounts Receivable</x:v>
      </x:c>
      <x:c r="I264" s="26" t="n">
        <x:v>0</x:v>
      </x:c>
      <x:c r="J264" s="26" t="n">
        <x:v>1140</x:v>
      </x:c>
      <x:c r="K264" s="35" t="str">
        <x:v>Receipt allocated to FIN-00127</x:v>
      </x:c>
    </x:row>
    <x:row r="265">
      <x:c r="A265" s="20" t="str">
        <x:v>FIN-00129</x:v>
      </x:c>
      <x:c r="B265" s="32" t="n">
        <x:v>1</x:v>
      </x:c>
      <x:c r="C265" s="23" t="n">
        <x:v>46424</x:v>
      </x:c>
      <x:c r="D265" s="23" t="n">
        <x:v>46424</x:v>
      </x:c>
      <x:c r="E265" s="20" t="str">
        <x:v>P021</x:v>
      </x:c>
      <x:c r="F265" s="20" t="str">
        <x:v>U022</x:v>
      </x:c>
      <x:c r="G265" s="20" t="str">
        <x:v>L022</x:v>
      </x:c>
      <x:c r="H265" s="20" t="str">
        <x:v>1100 Tenant Accounts Receivable</x:v>
      </x:c>
      <x:c r="I265" s="26" t="n">
        <x:v>50</x:v>
      </x:c>
      <x:c r="J265" s="26" t="n">
        <x:v>0</x:v>
      </x:c>
      <x:c r="K265" s="35" t="str">
        <x:v>Synthetic lease-authorized late fee after partial payment</x:v>
      </x:c>
    </x:row>
    <x:row r="266">
      <x:c r="A266" s="20" t="str">
        <x:v>FIN-00129</x:v>
      </x:c>
      <x:c r="B266" s="32" t="n">
        <x:v>2</x:v>
      </x:c>
      <x:c r="C266" s="23" t="n">
        <x:v>46424</x:v>
      </x:c>
      <x:c r="D266" s="23" t="n">
        <x:v>46424</x:v>
      </x:c>
      <x:c r="E266" s="20" t="str">
        <x:v>P021</x:v>
      </x:c>
      <x:c r="F266" s="20" t="str">
        <x:v>U022</x:v>
      </x:c>
      <x:c r="G266" s="20" t="str">
        <x:v>L022</x:v>
      </x:c>
      <x:c r="H266" s="20" t="str">
        <x:v>4010 Late Fee Income</x:v>
      </x:c>
      <x:c r="I266" s="26" t="n">
        <x:v>0</x:v>
      </x:c>
      <x:c r="J266" s="26" t="n">
        <x:v>50</x:v>
      </x:c>
      <x:c r="K266" s="35" t="str">
        <x:v>Synthetic lease-authorized late fee after partial payment</x:v>
      </x:c>
    </x:row>
    <x:row r="267">
      <x:c r="A267" s="20" t="str">
        <x:v>FIN-00130</x:v>
      </x:c>
      <x:c r="B267" s="32" t="n">
        <x:v>1</x:v>
      </x:c>
      <x:c r="C267" s="23" t="n">
        <x:v>46430</x:v>
      </x:c>
      <x:c r="D267" s="23" t="n">
        <x:v>46430</x:v>
      </x:c>
      <x:c r="E267" s="20" t="str">
        <x:v>P021</x:v>
      </x:c>
      <x:c r="F267" s="20" t="str">
        <x:v>U022</x:v>
      </x:c>
      <x:c r="G267" s="20" t="str">
        <x:v>L022</x:v>
      </x:c>
      <x:c r="H267" s="20" t="str">
        <x:v>1000 Operating Cash</x:v>
      </x:c>
      <x:c r="I267" s="26" t="n">
        <x:v>810</x:v>
      </x:c>
      <x:c r="J267" s="26" t="n">
        <x:v>0</x:v>
      </x:c>
      <x:c r="K267" s="35" t="str">
        <x:v>Receipt allocated to FIN-00129</x:v>
      </x:c>
    </x:row>
    <x:row r="268">
      <x:c r="A268" s="20" t="str">
        <x:v>FIN-00130</x:v>
      </x:c>
      <x:c r="B268" s="32" t="n">
        <x:v>2</x:v>
      </x:c>
      <x:c r="C268" s="23" t="n">
        <x:v>46430</x:v>
      </x:c>
      <x:c r="D268" s="23" t="n">
        <x:v>46430</x:v>
      </x:c>
      <x:c r="E268" s="20" t="str">
        <x:v>P021</x:v>
      </x:c>
      <x:c r="F268" s="20" t="str">
        <x:v>U022</x:v>
      </x:c>
      <x:c r="G268" s="20" t="str">
        <x:v>L022</x:v>
      </x:c>
      <x:c r="H268" s="20" t="str">
        <x:v>1100 Tenant Accounts Receivable</x:v>
      </x:c>
      <x:c r="I268" s="26" t="n">
        <x:v>0</x:v>
      </x:c>
      <x:c r="J268" s="26" t="n">
        <x:v>810</x:v>
      </x:c>
      <x:c r="K268" s="35" t="str">
        <x:v>Receipt allocated to FIN-00129</x:v>
      </x:c>
    </x:row>
    <x:row r="269">
      <x:c r="A269" s="20" t="str">
        <x:v>FIN-00131</x:v>
      </x:c>
      <x:c r="B269" s="32" t="n">
        <x:v>1</x:v>
      </x:c>
      <x:c r="C269" s="23" t="n">
        <x:v>46419</x:v>
      </x:c>
      <x:c r="D269" s="23" t="n">
        <x:v>46419</x:v>
      </x:c>
      <x:c r="E269" s="20" t="str">
        <x:v>P022</x:v>
      </x:c>
      <x:c r="F269" s="20" t="str">
        <x:v>U023</x:v>
      </x:c>
      <x:c r="G269" s="20" t="str">
        <x:v>L023</x:v>
      </x:c>
      <x:c r="H269" s="20" t="str">
        <x:v>1100 Tenant Accounts Receivable</x:v>
      </x:c>
      <x:c r="I269" s="26" t="n">
        <x:v>1525</x:v>
      </x:c>
      <x:c r="J269" s="26" t="n">
        <x:v>0</x:v>
      </x:c>
      <x:c r="K269" s="35" t="str">
        <x:v>February 2027 rent</x:v>
      </x:c>
    </x:row>
    <x:row r="270">
      <x:c r="A270" s="20" t="str">
        <x:v>FIN-00131</x:v>
      </x:c>
      <x:c r="B270" s="32" t="n">
        <x:v>2</x:v>
      </x:c>
      <x:c r="C270" s="23" t="n">
        <x:v>46419</x:v>
      </x:c>
      <x:c r="D270" s="23" t="n">
        <x:v>46419</x:v>
      </x:c>
      <x:c r="E270" s="20" t="str">
        <x:v>P022</x:v>
      </x:c>
      <x:c r="F270" s="20" t="str">
        <x:v>U023</x:v>
      </x:c>
      <x:c r="G270" s="20" t="str">
        <x:v>L023</x:v>
      </x:c>
      <x:c r="H270" s="20" t="str">
        <x:v>4000 Rental Income</x:v>
      </x:c>
      <x:c r="I270" s="26" t="n">
        <x:v>0</x:v>
      </x:c>
      <x:c r="J270" s="26" t="n">
        <x:v>1525</x:v>
      </x:c>
      <x:c r="K270" s="35" t="str">
        <x:v>February 2027 rent</x:v>
      </x:c>
    </x:row>
    <x:row r="271">
      <x:c r="A271" s="20" t="str">
        <x:v>FIN-00132</x:v>
      </x:c>
      <x:c r="B271" s="32" t="n">
        <x:v>1</x:v>
      </x:c>
      <x:c r="C271" s="23" t="n">
        <x:v>46423</x:v>
      </x:c>
      <x:c r="D271" s="23" t="n">
        <x:v>46423</x:v>
      </x:c>
      <x:c r="E271" s="20" t="str">
        <x:v>P022</x:v>
      </x:c>
      <x:c r="F271" s="20" t="str">
        <x:v>U023</x:v>
      </x:c>
      <x:c r="G271" s="20" t="str">
        <x:v>L023</x:v>
      </x:c>
      <x:c r="H271" s="20" t="str">
        <x:v>1000 Operating Cash</x:v>
      </x:c>
      <x:c r="I271" s="26" t="n">
        <x:v>1525</x:v>
      </x:c>
      <x:c r="J271" s="26" t="n">
        <x:v>0</x:v>
      </x:c>
      <x:c r="K271" s="35" t="str">
        <x:v>Receipt allocated to FIN-00131</x:v>
      </x:c>
    </x:row>
    <x:row r="272">
      <x:c r="A272" s="20" t="str">
        <x:v>FIN-00132</x:v>
      </x:c>
      <x:c r="B272" s="32" t="n">
        <x:v>2</x:v>
      </x:c>
      <x:c r="C272" s="23" t="n">
        <x:v>46423</x:v>
      </x:c>
      <x:c r="D272" s="23" t="n">
        <x:v>46423</x:v>
      </x:c>
      <x:c r="E272" s="20" t="str">
        <x:v>P022</x:v>
      </x:c>
      <x:c r="F272" s="20" t="str">
        <x:v>U023</x:v>
      </x:c>
      <x:c r="G272" s="20" t="str">
        <x:v>L023</x:v>
      </x:c>
      <x:c r="H272" s="20" t="str">
        <x:v>1100 Tenant Accounts Receivable</x:v>
      </x:c>
      <x:c r="I272" s="26" t="n">
        <x:v>0</x:v>
      </x:c>
      <x:c r="J272" s="26" t="n">
        <x:v>1525</x:v>
      </x:c>
      <x:c r="K272" s="35" t="str">
        <x:v>Receipt allocated to FIN-00131</x:v>
      </x:c>
    </x:row>
    <x:row r="273">
      <x:c r="A273" s="20" t="str">
        <x:v>FIN-00133</x:v>
      </x:c>
      <x:c r="B273" s="32" t="n">
        <x:v>1</x:v>
      </x:c>
      <x:c r="C273" s="23" t="n">
        <x:v>46419</x:v>
      </x:c>
      <x:c r="D273" s="23" t="n">
        <x:v>46419</x:v>
      </x:c>
      <x:c r="E273" s="20" t="str">
        <x:v>P022</x:v>
      </x:c>
      <x:c r="F273" s="20" t="str">
        <x:v>U024</x:v>
      </x:c>
      <x:c r="G273" s="20" t="str">
        <x:v>L024</x:v>
      </x:c>
      <x:c r="H273" s="20" t="str">
        <x:v>1100 Tenant Accounts Receivable</x:v>
      </x:c>
      <x:c r="I273" s="26" t="n">
        <x:v>1150</x:v>
      </x:c>
      <x:c r="J273" s="26" t="n">
        <x:v>0</x:v>
      </x:c>
      <x:c r="K273" s="35" t="str">
        <x:v>February 2027 rent</x:v>
      </x:c>
    </x:row>
    <x:row r="274">
      <x:c r="A274" s="20" t="str">
        <x:v>FIN-00133</x:v>
      </x:c>
      <x:c r="B274" s="32" t="n">
        <x:v>2</x:v>
      </x:c>
      <x:c r="C274" s="23" t="n">
        <x:v>46419</x:v>
      </x:c>
      <x:c r="D274" s="23" t="n">
        <x:v>46419</x:v>
      </x:c>
      <x:c r="E274" s="20" t="str">
        <x:v>P022</x:v>
      </x:c>
      <x:c r="F274" s="20" t="str">
        <x:v>U024</x:v>
      </x:c>
      <x:c r="G274" s="20" t="str">
        <x:v>L024</x:v>
      </x:c>
      <x:c r="H274" s="20" t="str">
        <x:v>4000 Rental Income</x:v>
      </x:c>
      <x:c r="I274" s="26" t="n">
        <x:v>0</x:v>
      </x:c>
      <x:c r="J274" s="26" t="n">
        <x:v>1150</x:v>
      </x:c>
      <x:c r="K274" s="35" t="str">
        <x:v>February 2027 rent</x:v>
      </x:c>
    </x:row>
    <x:row r="275">
      <x:c r="A275" s="20" t="str">
        <x:v>FIN-00134</x:v>
      </x:c>
      <x:c r="B275" s="32" t="n">
        <x:v>1</x:v>
      </x:c>
      <x:c r="C275" s="23" t="n">
        <x:v>46421</x:v>
      </x:c>
      <x:c r="D275" s="23" t="n">
        <x:v>46421</x:v>
      </x:c>
      <x:c r="E275" s="20" t="str">
        <x:v>P022</x:v>
      </x:c>
      <x:c r="F275" s="20" t="str">
        <x:v>U024</x:v>
      </x:c>
      <x:c r="G275" s="20" t="str">
        <x:v>L024</x:v>
      </x:c>
      <x:c r="H275" s="20" t="str">
        <x:v>1000 Operating Cash</x:v>
      </x:c>
      <x:c r="I275" s="26" t="n">
        <x:v>1150</x:v>
      </x:c>
      <x:c r="J275" s="26" t="n">
        <x:v>0</x:v>
      </x:c>
      <x:c r="K275" s="35" t="str">
        <x:v>Receipt allocated to FIN-00133</x:v>
      </x:c>
    </x:row>
    <x:row r="276">
      <x:c r="A276" s="20" t="str">
        <x:v>FIN-00134</x:v>
      </x:c>
      <x:c r="B276" s="32" t="n">
        <x:v>2</x:v>
      </x:c>
      <x:c r="C276" s="23" t="n">
        <x:v>46421</x:v>
      </x:c>
      <x:c r="D276" s="23" t="n">
        <x:v>46421</x:v>
      </x:c>
      <x:c r="E276" s="20" t="str">
        <x:v>P022</x:v>
      </x:c>
      <x:c r="F276" s="20" t="str">
        <x:v>U024</x:v>
      </x:c>
      <x:c r="G276" s="20" t="str">
        <x:v>L024</x:v>
      </x:c>
      <x:c r="H276" s="20" t="str">
        <x:v>1100 Tenant Accounts Receivable</x:v>
      </x:c>
      <x:c r="I276" s="26" t="n">
        <x:v>0</x:v>
      </x:c>
      <x:c r="J276" s="26" t="n">
        <x:v>1150</x:v>
      </x:c>
      <x:c r="K276" s="35" t="str">
        <x:v>Receipt allocated to FIN-00133</x:v>
      </x:c>
    </x:row>
    <x:row r="277">
      <x:c r="A277" s="20" t="str">
        <x:v>FIN-00135</x:v>
      </x:c>
      <x:c r="B277" s="32" t="n">
        <x:v>1</x:v>
      </x:c>
      <x:c r="C277" s="23" t="n">
        <x:v>46419</x:v>
      </x:c>
      <x:c r="D277" s="23" t="n">
        <x:v>46419</x:v>
      </x:c>
      <x:c r="E277" s="20" t="str">
        <x:v>P023</x:v>
      </x:c>
      <x:c r="F277" s="20" t="str">
        <x:v>U025</x:v>
      </x:c>
      <x:c r="G277" s="20" t="str">
        <x:v>L025</x:v>
      </x:c>
      <x:c r="H277" s="20" t="str">
        <x:v>1100 Tenant Accounts Receivable</x:v>
      </x:c>
      <x:c r="I277" s="26" t="n">
        <x:v>1675</x:v>
      </x:c>
      <x:c r="J277" s="26" t="n">
        <x:v>0</x:v>
      </x:c>
      <x:c r="K277" s="35" t="str">
        <x:v>February 2027 rent</x:v>
      </x:c>
    </x:row>
    <x:row r="278">
      <x:c r="A278" s="20" t="str">
        <x:v>FIN-00135</x:v>
      </x:c>
      <x:c r="B278" s="32" t="n">
        <x:v>2</x:v>
      </x:c>
      <x:c r="C278" s="23" t="n">
        <x:v>46419</x:v>
      </x:c>
      <x:c r="D278" s="23" t="n">
        <x:v>46419</x:v>
      </x:c>
      <x:c r="E278" s="20" t="str">
        <x:v>P023</x:v>
      </x:c>
      <x:c r="F278" s="20" t="str">
        <x:v>U025</x:v>
      </x:c>
      <x:c r="G278" s="20" t="str">
        <x:v>L025</x:v>
      </x:c>
      <x:c r="H278" s="20" t="str">
        <x:v>4000 Rental Income</x:v>
      </x:c>
      <x:c r="I278" s="26" t="n">
        <x:v>0</x:v>
      </x:c>
      <x:c r="J278" s="26" t="n">
        <x:v>1675</x:v>
      </x:c>
      <x:c r="K278" s="35" t="str">
        <x:v>February 2027 rent</x:v>
      </x:c>
    </x:row>
    <x:row r="279">
      <x:c r="A279" s="20" t="str">
        <x:v>FIN-00136</x:v>
      </x:c>
      <x:c r="B279" s="32" t="n">
        <x:v>1</x:v>
      </x:c>
      <x:c r="C279" s="23" t="n">
        <x:v>46422</x:v>
      </x:c>
      <x:c r="D279" s="23" t="n">
        <x:v>46422</x:v>
      </x:c>
      <x:c r="E279" s="20" t="str">
        <x:v>P023</x:v>
      </x:c>
      <x:c r="F279" s="20" t="str">
        <x:v>U025</x:v>
      </x:c>
      <x:c r="G279" s="20" t="str">
        <x:v>L025</x:v>
      </x:c>
      <x:c r="H279" s="20" t="str">
        <x:v>1000 Operating Cash</x:v>
      </x:c>
      <x:c r="I279" s="26" t="n">
        <x:v>1675</x:v>
      </x:c>
      <x:c r="J279" s="26" t="n">
        <x:v>0</x:v>
      </x:c>
      <x:c r="K279" s="35" t="str">
        <x:v>Receipt allocated to FIN-00135</x:v>
      </x:c>
    </x:row>
    <x:row r="280">
      <x:c r="A280" s="20" t="str">
        <x:v>FIN-00136</x:v>
      </x:c>
      <x:c r="B280" s="32" t="n">
        <x:v>2</x:v>
      </x:c>
      <x:c r="C280" s="23" t="n">
        <x:v>46422</x:v>
      </x:c>
      <x:c r="D280" s="23" t="n">
        <x:v>46422</x:v>
      </x:c>
      <x:c r="E280" s="20" t="str">
        <x:v>P023</x:v>
      </x:c>
      <x:c r="F280" s="20" t="str">
        <x:v>U025</x:v>
      </x:c>
      <x:c r="G280" s="20" t="str">
        <x:v>L025</x:v>
      </x:c>
      <x:c r="H280" s="20" t="str">
        <x:v>1100 Tenant Accounts Receivable</x:v>
      </x:c>
      <x:c r="I280" s="26" t="n">
        <x:v>0</x:v>
      </x:c>
      <x:c r="J280" s="26" t="n">
        <x:v>1675</x:v>
      </x:c>
      <x:c r="K280" s="35" t="str">
        <x:v>Receipt allocated to FIN-00135</x:v>
      </x:c>
    </x:row>
    <x:row r="281">
      <x:c r="A281" s="20" t="str">
        <x:v>FIN-00137</x:v>
      </x:c>
      <x:c r="B281" s="32" t="n">
        <x:v>1</x:v>
      </x:c>
      <x:c r="C281" s="23" t="n">
        <x:v>46419</x:v>
      </x:c>
      <x:c r="D281" s="23" t="n">
        <x:v>46419</x:v>
      </x:c>
      <x:c r="E281" s="20" t="str">
        <x:v>P023</x:v>
      </x:c>
      <x:c r="F281" s="20" t="str">
        <x:v>U026</x:v>
      </x:c>
      <x:c r="G281" s="20" t="str">
        <x:v>L026</x:v>
      </x:c>
      <x:c r="H281" s="20" t="str">
        <x:v>1100 Tenant Accounts Receivable</x:v>
      </x:c>
      <x:c r="I281" s="26" t="n">
        <x:v>1300</x:v>
      </x:c>
      <x:c r="J281" s="26" t="n">
        <x:v>0</x:v>
      </x:c>
      <x:c r="K281" s="35" t="str">
        <x:v>February 2027 rent</x:v>
      </x:c>
    </x:row>
    <x:row r="282">
      <x:c r="A282" s="20" t="str">
        <x:v>FIN-00137</x:v>
      </x:c>
      <x:c r="B282" s="32" t="n">
        <x:v>2</x:v>
      </x:c>
      <x:c r="C282" s="23" t="n">
        <x:v>46419</x:v>
      </x:c>
      <x:c r="D282" s="23" t="n">
        <x:v>46419</x:v>
      </x:c>
      <x:c r="E282" s="20" t="str">
        <x:v>P023</x:v>
      </x:c>
      <x:c r="F282" s="20" t="str">
        <x:v>U026</x:v>
      </x:c>
      <x:c r="G282" s="20" t="str">
        <x:v>L026</x:v>
      </x:c>
      <x:c r="H282" s="20" t="str">
        <x:v>4000 Rental Income</x:v>
      </x:c>
      <x:c r="I282" s="26" t="n">
        <x:v>0</x:v>
      </x:c>
      <x:c r="J282" s="26" t="n">
        <x:v>1300</x:v>
      </x:c>
      <x:c r="K282" s="35" t="str">
        <x:v>February 2027 rent</x:v>
      </x:c>
    </x:row>
    <x:row r="283">
      <x:c r="A283" s="20" t="str">
        <x:v>FIN-00138</x:v>
      </x:c>
      <x:c r="B283" s="32" t="n">
        <x:v>1</x:v>
      </x:c>
      <x:c r="C283" s="23" t="n">
        <x:v>46424</x:v>
      </x:c>
      <x:c r="D283" s="23" t="n">
        <x:v>46424</x:v>
      </x:c>
      <x:c r="E283" s="20" t="str">
        <x:v>P023</x:v>
      </x:c>
      <x:c r="F283" s="20" t="str">
        <x:v>U026</x:v>
      </x:c>
      <x:c r="G283" s="20" t="str">
        <x:v>L026</x:v>
      </x:c>
      <x:c r="H283" s="20" t="str">
        <x:v>1100 Tenant Accounts Receivable</x:v>
      </x:c>
      <x:c r="I283" s="26" t="n">
        <x:v>50</x:v>
      </x:c>
      <x:c r="J283" s="26" t="n">
        <x:v>0</x:v>
      </x:c>
      <x:c r="K283" s="35" t="str">
        <x:v>Synthetic lease-authorized late fee</x:v>
      </x:c>
    </x:row>
    <x:row r="284">
      <x:c r="A284" s="20" t="str">
        <x:v>FIN-00138</x:v>
      </x:c>
      <x:c r="B284" s="32" t="n">
        <x:v>2</x:v>
      </x:c>
      <x:c r="C284" s="23" t="n">
        <x:v>46424</x:v>
      </x:c>
      <x:c r="D284" s="23" t="n">
        <x:v>46424</x:v>
      </x:c>
      <x:c r="E284" s="20" t="str">
        <x:v>P023</x:v>
      </x:c>
      <x:c r="F284" s="20" t="str">
        <x:v>U026</x:v>
      </x:c>
      <x:c r="G284" s="20" t="str">
        <x:v>L026</x:v>
      </x:c>
      <x:c r="H284" s="20" t="str">
        <x:v>4010 Late Fee Income</x:v>
      </x:c>
      <x:c r="I284" s="26" t="n">
        <x:v>0</x:v>
      </x:c>
      <x:c r="J284" s="26" t="n">
        <x:v>50</x:v>
      </x:c>
      <x:c r="K284" s="35" t="str">
        <x:v>Synthetic lease-authorized late fee</x:v>
      </x:c>
    </x:row>
    <x:row r="285">
      <x:c r="A285" s="20" t="str">
        <x:v>FIN-00139</x:v>
      </x:c>
      <x:c r="B285" s="32" t="n">
        <x:v>1</x:v>
      </x:c>
      <x:c r="C285" s="23" t="n">
        <x:v>46426</x:v>
      </x:c>
      <x:c r="D285" s="23" t="n">
        <x:v>46426</x:v>
      </x:c>
      <x:c r="E285" s="20" t="str">
        <x:v>P023</x:v>
      </x:c>
      <x:c r="F285" s="20" t="str">
        <x:v>U026</x:v>
      </x:c>
      <x:c r="G285" s="20" t="str">
        <x:v>L026</x:v>
      </x:c>
      <x:c r="H285" s="20" t="str">
        <x:v>1000 Operating Cash</x:v>
      </x:c>
      <x:c r="I285" s="26" t="n">
        <x:v>1350</x:v>
      </x:c>
      <x:c r="J285" s="26" t="n">
        <x:v>0</x:v>
      </x:c>
      <x:c r="K285" s="35" t="str">
        <x:v>Receipt allocated to FIN-00138</x:v>
      </x:c>
    </x:row>
    <x:row r="286">
      <x:c r="A286" s="20" t="str">
        <x:v>FIN-00139</x:v>
      </x:c>
      <x:c r="B286" s="32" t="n">
        <x:v>2</x:v>
      </x:c>
      <x:c r="C286" s="23" t="n">
        <x:v>46426</x:v>
      </x:c>
      <x:c r="D286" s="23" t="n">
        <x:v>46426</x:v>
      </x:c>
      <x:c r="E286" s="20" t="str">
        <x:v>P023</x:v>
      </x:c>
      <x:c r="F286" s="20" t="str">
        <x:v>U026</x:v>
      </x:c>
      <x:c r="G286" s="20" t="str">
        <x:v>L026</x:v>
      </x:c>
      <x:c r="H286" s="20" t="str">
        <x:v>1100 Tenant Accounts Receivable</x:v>
      </x:c>
      <x:c r="I286" s="26" t="n">
        <x:v>0</x:v>
      </x:c>
      <x:c r="J286" s="26" t="n">
        <x:v>1350</x:v>
      </x:c>
      <x:c r="K286" s="35" t="str">
        <x:v>Receipt allocated to FIN-00138</x:v>
      </x:c>
    </x:row>
    <x:row r="287">
      <x:c r="A287" s="20" t="str">
        <x:v>FIN-00140</x:v>
      </x:c>
      <x:c r="B287" s="32" t="n">
        <x:v>1</x:v>
      </x:c>
      <x:c r="C287" s="23" t="n">
        <x:v>46419</x:v>
      </x:c>
      <x:c r="D287" s="23" t="n">
        <x:v>46419</x:v>
      </x:c>
      <x:c r="E287" s="20" t="str">
        <x:v>P024</x:v>
      </x:c>
      <x:c r="F287" s="20" t="str">
        <x:v>U027</x:v>
      </x:c>
      <x:c r="G287" s="20" t="str">
        <x:v>L027</x:v>
      </x:c>
      <x:c r="H287" s="20" t="str">
        <x:v>1100 Tenant Accounts Receivable</x:v>
      </x:c>
      <x:c r="I287" s="26" t="n">
        <x:v>1825</x:v>
      </x:c>
      <x:c r="J287" s="26" t="n">
        <x:v>0</x:v>
      </x:c>
      <x:c r="K287" s="35" t="str">
        <x:v>February 2027 rent</x:v>
      </x:c>
    </x:row>
    <x:row r="288">
      <x:c r="A288" s="20" t="str">
        <x:v>FIN-00140</x:v>
      </x:c>
      <x:c r="B288" s="32" t="n">
        <x:v>2</x:v>
      </x:c>
      <x:c r="C288" s="23" t="n">
        <x:v>46419</x:v>
      </x:c>
      <x:c r="D288" s="23" t="n">
        <x:v>46419</x:v>
      </x:c>
      <x:c r="E288" s="20" t="str">
        <x:v>P024</x:v>
      </x:c>
      <x:c r="F288" s="20" t="str">
        <x:v>U027</x:v>
      </x:c>
      <x:c r="G288" s="20" t="str">
        <x:v>L027</x:v>
      </x:c>
      <x:c r="H288" s="20" t="str">
        <x:v>4000 Rental Income</x:v>
      </x:c>
      <x:c r="I288" s="26" t="n">
        <x:v>0</x:v>
      </x:c>
      <x:c r="J288" s="26" t="n">
        <x:v>1825</x:v>
      </x:c>
      <x:c r="K288" s="35" t="str">
        <x:v>February 2027 rent</x:v>
      </x:c>
    </x:row>
    <x:row r="289">
      <x:c r="A289" s="20" t="str">
        <x:v>FIN-00141</x:v>
      </x:c>
      <x:c r="B289" s="32" t="n">
        <x:v>1</x:v>
      </x:c>
      <x:c r="C289" s="23" t="n">
        <x:v>46421</x:v>
      </x:c>
      <x:c r="D289" s="23" t="n">
        <x:v>46421</x:v>
      </x:c>
      <x:c r="E289" s="20" t="str">
        <x:v>P024</x:v>
      </x:c>
      <x:c r="F289" s="20" t="str">
        <x:v>U027</x:v>
      </x:c>
      <x:c r="G289" s="20" t="str">
        <x:v>L027</x:v>
      </x:c>
      <x:c r="H289" s="20" t="str">
        <x:v>1000 Operating Cash</x:v>
      </x:c>
      <x:c r="I289" s="26" t="n">
        <x:v>1825</x:v>
      </x:c>
      <x:c r="J289" s="26" t="n">
        <x:v>0</x:v>
      </x:c>
      <x:c r="K289" s="35" t="str">
        <x:v>Receipt allocated to FIN-00140</x:v>
      </x:c>
    </x:row>
    <x:row r="290">
      <x:c r="A290" s="20" t="str">
        <x:v>FIN-00141</x:v>
      </x:c>
      <x:c r="B290" s="32" t="n">
        <x:v>2</x:v>
      </x:c>
      <x:c r="C290" s="23" t="n">
        <x:v>46421</x:v>
      </x:c>
      <x:c r="D290" s="23" t="n">
        <x:v>46421</x:v>
      </x:c>
      <x:c r="E290" s="20" t="str">
        <x:v>P024</x:v>
      </x:c>
      <x:c r="F290" s="20" t="str">
        <x:v>U027</x:v>
      </x:c>
      <x:c r="G290" s="20" t="str">
        <x:v>L027</x:v>
      </x:c>
      <x:c r="H290" s="20" t="str">
        <x:v>1100 Tenant Accounts Receivable</x:v>
      </x:c>
      <x:c r="I290" s="26" t="n">
        <x:v>0</x:v>
      </x:c>
      <x:c r="J290" s="26" t="n">
        <x:v>1825</x:v>
      </x:c>
      <x:c r="K290" s="35" t="str">
        <x:v>Receipt allocated to FIN-00140</x:v>
      </x:c>
    </x:row>
    <x:row r="291">
      <x:c r="A291" s="20" t="str">
        <x:v>FIN-00142</x:v>
      </x:c>
      <x:c r="B291" s="32" t="n">
        <x:v>1</x:v>
      </x:c>
      <x:c r="C291" s="23" t="n">
        <x:v>46419</x:v>
      </x:c>
      <x:c r="D291" s="23" t="n">
        <x:v>46419</x:v>
      </x:c>
      <x:c r="E291" s="20" t="str">
        <x:v>P024</x:v>
      </x:c>
      <x:c r="F291" s="20" t="str">
        <x:v>U028</x:v>
      </x:c>
      <x:c r="G291" s="20" t="str">
        <x:v>L028</x:v>
      </x:c>
      <x:c r="H291" s="20" t="str">
        <x:v>1100 Tenant Accounts Receivable</x:v>
      </x:c>
      <x:c r="I291" s="26" t="n">
        <x:v>1450</x:v>
      </x:c>
      <x:c r="J291" s="26" t="n">
        <x:v>0</x:v>
      </x:c>
      <x:c r="K291" s="35" t="str">
        <x:v>February 2027 rent</x:v>
      </x:c>
    </x:row>
    <x:row r="292">
      <x:c r="A292" s="20" t="str">
        <x:v>FIN-00142</x:v>
      </x:c>
      <x:c r="B292" s="32" t="n">
        <x:v>2</x:v>
      </x:c>
      <x:c r="C292" s="23" t="n">
        <x:v>46419</x:v>
      </x:c>
      <x:c r="D292" s="23" t="n">
        <x:v>46419</x:v>
      </x:c>
      <x:c r="E292" s="20" t="str">
        <x:v>P024</x:v>
      </x:c>
      <x:c r="F292" s="20" t="str">
        <x:v>U028</x:v>
      </x:c>
      <x:c r="G292" s="20" t="str">
        <x:v>L028</x:v>
      </x:c>
      <x:c r="H292" s="20" t="str">
        <x:v>4000 Rental Income</x:v>
      </x:c>
      <x:c r="I292" s="26" t="n">
        <x:v>0</x:v>
      </x:c>
      <x:c r="J292" s="26" t="n">
        <x:v>1450</x:v>
      </x:c>
      <x:c r="K292" s="35" t="str">
        <x:v>February 2027 rent</x:v>
      </x:c>
    </x:row>
    <x:row r="293">
      <x:c r="A293" s="20" t="str">
        <x:v>FIN-00143</x:v>
      </x:c>
      <x:c r="B293" s="32" t="n">
        <x:v>1</x:v>
      </x:c>
      <x:c r="C293" s="23" t="n">
        <x:v>46422</x:v>
      </x:c>
      <x:c r="D293" s="23" t="n">
        <x:v>46422</x:v>
      </x:c>
      <x:c r="E293" s="20" t="str">
        <x:v>P024</x:v>
      </x:c>
      <x:c r="F293" s="20" t="str">
        <x:v>U028</x:v>
      </x:c>
      <x:c r="G293" s="20" t="str">
        <x:v>L028</x:v>
      </x:c>
      <x:c r="H293" s="20" t="str">
        <x:v>1000 Operating Cash</x:v>
      </x:c>
      <x:c r="I293" s="26" t="n">
        <x:v>1450</x:v>
      </x:c>
      <x:c r="J293" s="26" t="n">
        <x:v>0</x:v>
      </x:c>
      <x:c r="K293" s="35" t="str">
        <x:v>Receipt allocated to FIN-00142</x:v>
      </x:c>
    </x:row>
    <x:row r="294">
      <x:c r="A294" s="20" t="str">
        <x:v>FIN-00143</x:v>
      </x:c>
      <x:c r="B294" s="32" t="n">
        <x:v>2</x:v>
      </x:c>
      <x:c r="C294" s="23" t="n">
        <x:v>46422</x:v>
      </x:c>
      <x:c r="D294" s="23" t="n">
        <x:v>46422</x:v>
      </x:c>
      <x:c r="E294" s="20" t="str">
        <x:v>P024</x:v>
      </x:c>
      <x:c r="F294" s="20" t="str">
        <x:v>U028</x:v>
      </x:c>
      <x:c r="G294" s="20" t="str">
        <x:v>L028</x:v>
      </x:c>
      <x:c r="H294" s="20" t="str">
        <x:v>1100 Tenant Accounts Receivable</x:v>
      </x:c>
      <x:c r="I294" s="26" t="n">
        <x:v>0</x:v>
      </x:c>
      <x:c r="J294" s="26" t="n">
        <x:v>1450</x:v>
      </x:c>
      <x:c r="K294" s="35" t="str">
        <x:v>Receipt allocated to FIN-00142</x:v>
      </x:c>
    </x:row>
    <x:row r="295">
      <x:c r="A295" s="20" t="str">
        <x:v>FIN-00144</x:v>
      </x:c>
      <x:c r="B295" s="32" t="n">
        <x:v>1</x:v>
      </x:c>
      <x:c r="C295" s="23" t="n">
        <x:v>46419</x:v>
      </x:c>
      <x:c r="D295" s="23" t="n">
        <x:v>46419</x:v>
      </x:c>
      <x:c r="E295" s="20" t="str">
        <x:v>P025</x:v>
      </x:c>
      <x:c r="F295" s="20" t="str">
        <x:v>U029</x:v>
      </x:c>
      <x:c r="G295" s="20" t="str">
        <x:v>L029</x:v>
      </x:c>
      <x:c r="H295" s="20" t="str">
        <x:v>1100 Tenant Accounts Receivable</x:v>
      </x:c>
      <x:c r="I295" s="26" t="n">
        <x:v>1975</x:v>
      </x:c>
      <x:c r="J295" s="26" t="n">
        <x:v>0</x:v>
      </x:c>
      <x:c r="K295" s="35" t="str">
        <x:v>February 2027 rent</x:v>
      </x:c>
    </x:row>
    <x:row r="296">
      <x:c r="A296" s="20" t="str">
        <x:v>FIN-00144</x:v>
      </x:c>
      <x:c r="B296" s="32" t="n">
        <x:v>2</x:v>
      </x:c>
      <x:c r="C296" s="23" t="n">
        <x:v>46419</x:v>
      </x:c>
      <x:c r="D296" s="23" t="n">
        <x:v>46419</x:v>
      </x:c>
      <x:c r="E296" s="20" t="str">
        <x:v>P025</x:v>
      </x:c>
      <x:c r="F296" s="20" t="str">
        <x:v>U029</x:v>
      </x:c>
      <x:c r="G296" s="20" t="str">
        <x:v>L029</x:v>
      </x:c>
      <x:c r="H296" s="20" t="str">
        <x:v>4000 Rental Income</x:v>
      </x:c>
      <x:c r="I296" s="26" t="n">
        <x:v>0</x:v>
      </x:c>
      <x:c r="J296" s="26" t="n">
        <x:v>1975</x:v>
      </x:c>
      <x:c r="K296" s="35" t="str">
        <x:v>February 2027 rent</x:v>
      </x:c>
    </x:row>
    <x:row r="297">
      <x:c r="A297" s="20" t="str">
        <x:v>FIN-00145</x:v>
      </x:c>
      <x:c r="B297" s="32" t="n">
        <x:v>1</x:v>
      </x:c>
      <x:c r="C297" s="23" t="n">
        <x:v>46423</x:v>
      </x:c>
      <x:c r="D297" s="23" t="n">
        <x:v>46423</x:v>
      </x:c>
      <x:c r="E297" s="20" t="str">
        <x:v>P025</x:v>
      </x:c>
      <x:c r="F297" s="20" t="str">
        <x:v>U029</x:v>
      </x:c>
      <x:c r="G297" s="20" t="str">
        <x:v>L029</x:v>
      </x:c>
      <x:c r="H297" s="20" t="str">
        <x:v>1000 Operating Cash</x:v>
      </x:c>
      <x:c r="I297" s="26" t="n">
        <x:v>1975</x:v>
      </x:c>
      <x:c r="J297" s="26" t="n">
        <x:v>0</x:v>
      </x:c>
      <x:c r="K297" s="35" t="str">
        <x:v>Receipt allocated to FIN-00144</x:v>
      </x:c>
    </x:row>
    <x:row r="298">
      <x:c r="A298" s="20" t="str">
        <x:v>FIN-00145</x:v>
      </x:c>
      <x:c r="B298" s="32" t="n">
        <x:v>2</x:v>
      </x:c>
      <x:c r="C298" s="23" t="n">
        <x:v>46423</x:v>
      </x:c>
      <x:c r="D298" s="23" t="n">
        <x:v>46423</x:v>
      </x:c>
      <x:c r="E298" s="20" t="str">
        <x:v>P025</x:v>
      </x:c>
      <x:c r="F298" s="20" t="str">
        <x:v>U029</x:v>
      </x:c>
      <x:c r="G298" s="20" t="str">
        <x:v>L029</x:v>
      </x:c>
      <x:c r="H298" s="20" t="str">
        <x:v>1100 Tenant Accounts Receivable</x:v>
      </x:c>
      <x:c r="I298" s="26" t="n">
        <x:v>0</x:v>
      </x:c>
      <x:c r="J298" s="26" t="n">
        <x:v>1975</x:v>
      </x:c>
      <x:c r="K298" s="35" t="str">
        <x:v>Receipt allocated to FIN-00144</x:v>
      </x:c>
    </x:row>
    <x:row r="299">
      <x:c r="A299" s="20" t="str">
        <x:v>FIN-00146</x:v>
      </x:c>
      <x:c r="B299" s="32" t="n">
        <x:v>1</x:v>
      </x:c>
      <x:c r="C299" s="23" t="n">
        <x:v>46419</x:v>
      </x:c>
      <x:c r="D299" s="23" t="n">
        <x:v>46419</x:v>
      </x:c>
      <x:c r="E299" s="20" t="str">
        <x:v>P025</x:v>
      </x:c>
      <x:c r="F299" s="20" t="str">
        <x:v>U030</x:v>
      </x:c>
      <x:c r="G299" s="20" t="str">
        <x:v>L030</x:v>
      </x:c>
      <x:c r="H299" s="20" t="str">
        <x:v>1100 Tenant Accounts Receivable</x:v>
      </x:c>
      <x:c r="I299" s="26" t="n">
        <x:v>1600</x:v>
      </x:c>
      <x:c r="J299" s="26" t="n">
        <x:v>0</x:v>
      </x:c>
      <x:c r="K299" s="35" t="str">
        <x:v>February 2027 rent</x:v>
      </x:c>
    </x:row>
    <x:row r="300">
      <x:c r="A300" s="20" t="str">
        <x:v>FIN-00146</x:v>
      </x:c>
      <x:c r="B300" s="32" t="n">
        <x:v>2</x:v>
      </x:c>
      <x:c r="C300" s="23" t="n">
        <x:v>46419</x:v>
      </x:c>
      <x:c r="D300" s="23" t="n">
        <x:v>46419</x:v>
      </x:c>
      <x:c r="E300" s="20" t="str">
        <x:v>P025</x:v>
      </x:c>
      <x:c r="F300" s="20" t="str">
        <x:v>U030</x:v>
      </x:c>
      <x:c r="G300" s="20" t="str">
        <x:v>L030</x:v>
      </x:c>
      <x:c r="H300" s="20" t="str">
        <x:v>4000 Rental Income</x:v>
      </x:c>
      <x:c r="I300" s="26" t="n">
        <x:v>0</x:v>
      </x:c>
      <x:c r="J300" s="26" t="n">
        <x:v>1600</x:v>
      </x:c>
      <x:c r="K300" s="35" t="str">
        <x:v>February 2027 rent</x:v>
      </x:c>
    </x:row>
    <x:row r="301">
      <x:c r="A301" s="20" t="str">
        <x:v>FIN-00147</x:v>
      </x:c>
      <x:c r="B301" s="32" t="n">
        <x:v>1</x:v>
      </x:c>
      <x:c r="C301" s="23" t="n">
        <x:v>46421</x:v>
      </x:c>
      <x:c r="D301" s="23" t="n">
        <x:v>46421</x:v>
      </x:c>
      <x:c r="E301" s="20" t="str">
        <x:v>P025</x:v>
      </x:c>
      <x:c r="F301" s="20" t="str">
        <x:v>U030</x:v>
      </x:c>
      <x:c r="G301" s="20" t="str">
        <x:v>L030</x:v>
      </x:c>
      <x:c r="H301" s="20" t="str">
        <x:v>1000 Operating Cash</x:v>
      </x:c>
      <x:c r="I301" s="26" t="n">
        <x:v>1600</x:v>
      </x:c>
      <x:c r="J301" s="26" t="n">
        <x:v>0</x:v>
      </x:c>
      <x:c r="K301" s="35" t="str">
        <x:v>Receipt allocated to FIN-00146</x:v>
      </x:c>
    </x:row>
    <x:row r="302">
      <x:c r="A302" s="20" t="str">
        <x:v>FIN-00147</x:v>
      </x:c>
      <x:c r="B302" s="32" t="n">
        <x:v>2</x:v>
      </x:c>
      <x:c r="C302" s="23" t="n">
        <x:v>46421</x:v>
      </x:c>
      <x:c r="D302" s="23" t="n">
        <x:v>46421</x:v>
      </x:c>
      <x:c r="E302" s="20" t="str">
        <x:v>P025</x:v>
      </x:c>
      <x:c r="F302" s="20" t="str">
        <x:v>U030</x:v>
      </x:c>
      <x:c r="G302" s="20" t="str">
        <x:v>L030</x:v>
      </x:c>
      <x:c r="H302" s="20" t="str">
        <x:v>1100 Tenant Accounts Receivable</x:v>
      </x:c>
      <x:c r="I302" s="26" t="n">
        <x:v>0</x:v>
      </x:c>
      <x:c r="J302" s="26" t="n">
        <x:v>1600</x:v>
      </x:c>
      <x:c r="K302" s="35" t="str">
        <x:v>Receipt allocated to FIN-00146</x:v>
      </x:c>
    </x:row>
    <x:row r="303">
      <x:c r="A303" s="20" t="str">
        <x:v>FIN-00148</x:v>
      </x:c>
      <x:c r="B303" s="32" t="n">
        <x:v>1</x:v>
      </x:c>
      <x:c r="C303" s="23" t="n">
        <x:v>46419</x:v>
      </x:c>
      <x:c r="D303" s="23" t="n">
        <x:v>46419</x:v>
      </x:c>
      <x:c r="E303" s="20" t="str">
        <x:v>P026</x:v>
      </x:c>
      <x:c r="F303" s="20" t="str">
        <x:v>U031</x:v>
      </x:c>
      <x:c r="G303" s="20" t="str">
        <x:v>L031</x:v>
      </x:c>
      <x:c r="H303" s="20" t="str">
        <x:v>1100 Tenant Accounts Receivable</x:v>
      </x:c>
      <x:c r="I303" s="26" t="n">
        <x:v>1225</x:v>
      </x:c>
      <x:c r="J303" s="26" t="n">
        <x:v>0</x:v>
      </x:c>
      <x:c r="K303" s="35" t="str">
        <x:v>February 2027 rent</x:v>
      </x:c>
    </x:row>
    <x:row r="304">
      <x:c r="A304" s="20" t="str">
        <x:v>FIN-00148</x:v>
      </x:c>
      <x:c r="B304" s="32" t="n">
        <x:v>2</x:v>
      </x:c>
      <x:c r="C304" s="23" t="n">
        <x:v>46419</x:v>
      </x:c>
      <x:c r="D304" s="23" t="n">
        <x:v>46419</x:v>
      </x:c>
      <x:c r="E304" s="20" t="str">
        <x:v>P026</x:v>
      </x:c>
      <x:c r="F304" s="20" t="str">
        <x:v>U031</x:v>
      </x:c>
      <x:c r="G304" s="20" t="str">
        <x:v>L031</x:v>
      </x:c>
      <x:c r="H304" s="20" t="str">
        <x:v>4000 Rental Income</x:v>
      </x:c>
      <x:c r="I304" s="26" t="n">
        <x:v>0</x:v>
      </x:c>
      <x:c r="J304" s="26" t="n">
        <x:v>1225</x:v>
      </x:c>
      <x:c r="K304" s="35" t="str">
        <x:v>February 2027 rent</x:v>
      </x:c>
    </x:row>
    <x:row r="305">
      <x:c r="A305" s="20" t="str">
        <x:v>FIN-00149</x:v>
      </x:c>
      <x:c r="B305" s="32" t="n">
        <x:v>1</x:v>
      </x:c>
      <x:c r="C305" s="23" t="n">
        <x:v>46422</x:v>
      </x:c>
      <x:c r="D305" s="23" t="n">
        <x:v>46422</x:v>
      </x:c>
      <x:c r="E305" s="20" t="str">
        <x:v>P026</x:v>
      </x:c>
      <x:c r="F305" s="20" t="str">
        <x:v>U031</x:v>
      </x:c>
      <x:c r="G305" s="20" t="str">
        <x:v>L031</x:v>
      </x:c>
      <x:c r="H305" s="20" t="str">
        <x:v>1000 Operating Cash</x:v>
      </x:c>
      <x:c r="I305" s="26" t="n">
        <x:v>1225</x:v>
      </x:c>
      <x:c r="J305" s="26" t="n">
        <x:v>0</x:v>
      </x:c>
      <x:c r="K305" s="35" t="str">
        <x:v>Receipt allocated to FIN-00148</x:v>
      </x:c>
    </x:row>
    <x:row r="306">
      <x:c r="A306" s="20" t="str">
        <x:v>FIN-00149</x:v>
      </x:c>
      <x:c r="B306" s="32" t="n">
        <x:v>2</x:v>
      </x:c>
      <x:c r="C306" s="23" t="n">
        <x:v>46422</x:v>
      </x:c>
      <x:c r="D306" s="23" t="n">
        <x:v>46422</x:v>
      </x:c>
      <x:c r="E306" s="20" t="str">
        <x:v>P026</x:v>
      </x:c>
      <x:c r="F306" s="20" t="str">
        <x:v>U031</x:v>
      </x:c>
      <x:c r="G306" s="20" t="str">
        <x:v>L031</x:v>
      </x:c>
      <x:c r="H306" s="20" t="str">
        <x:v>1100 Tenant Accounts Receivable</x:v>
      </x:c>
      <x:c r="I306" s="26" t="n">
        <x:v>0</x:v>
      </x:c>
      <x:c r="J306" s="26" t="n">
        <x:v>1225</x:v>
      </x:c>
      <x:c r="K306" s="35" t="str">
        <x:v>Receipt allocated to FIN-00148</x:v>
      </x:c>
    </x:row>
    <x:row r="307">
      <x:c r="A307" s="20" t="str">
        <x:v>FIN-00150</x:v>
      </x:c>
      <x:c r="B307" s="32" t="n">
        <x:v>1</x:v>
      </x:c>
      <x:c r="C307" s="23" t="n">
        <x:v>46419</x:v>
      </x:c>
      <x:c r="D307" s="23" t="n">
        <x:v>46419</x:v>
      </x:c>
      <x:c r="E307" s="20" t="str">
        <x:v>P026</x:v>
      </x:c>
      <x:c r="F307" s="20" t="str">
        <x:v>U032</x:v>
      </x:c>
      <x:c r="G307" s="20" t="str">
        <x:v>L032</x:v>
      </x:c>
      <x:c r="H307" s="20" t="str">
        <x:v>1100 Tenant Accounts Receivable</x:v>
      </x:c>
      <x:c r="I307" s="26" t="n">
        <x:v>1750</x:v>
      </x:c>
      <x:c r="J307" s="26" t="n">
        <x:v>0</x:v>
      </x:c>
      <x:c r="K307" s="35" t="str">
        <x:v>February 2027 rent</x:v>
      </x:c>
    </x:row>
    <x:row r="308">
      <x:c r="A308" s="20" t="str">
        <x:v>FIN-00150</x:v>
      </x:c>
      <x:c r="B308" s="32" t="n">
        <x:v>2</x:v>
      </x:c>
      <x:c r="C308" s="23" t="n">
        <x:v>46419</x:v>
      </x:c>
      <x:c r="D308" s="23" t="n">
        <x:v>46419</x:v>
      </x:c>
      <x:c r="E308" s="20" t="str">
        <x:v>P026</x:v>
      </x:c>
      <x:c r="F308" s="20" t="str">
        <x:v>U032</x:v>
      </x:c>
      <x:c r="G308" s="20" t="str">
        <x:v>L032</x:v>
      </x:c>
      <x:c r="H308" s="20" t="str">
        <x:v>4000 Rental Income</x:v>
      </x:c>
      <x:c r="I308" s="26" t="n">
        <x:v>0</x:v>
      </x:c>
      <x:c r="J308" s="26" t="n">
        <x:v>1750</x:v>
      </x:c>
      <x:c r="K308" s="35" t="str">
        <x:v>February 2027 rent</x:v>
      </x:c>
    </x:row>
    <x:row r="309">
      <x:c r="A309" s="20" t="str">
        <x:v>FIN-00151</x:v>
      </x:c>
      <x:c r="B309" s="32" t="n">
        <x:v>1</x:v>
      </x:c>
      <x:c r="C309" s="23" t="n">
        <x:v>46423</x:v>
      </x:c>
      <x:c r="D309" s="23" t="n">
        <x:v>46423</x:v>
      </x:c>
      <x:c r="E309" s="20" t="str">
        <x:v>P026</x:v>
      </x:c>
      <x:c r="F309" s="20" t="str">
        <x:v>U032</x:v>
      </x:c>
      <x:c r="G309" s="20" t="str">
        <x:v>L032</x:v>
      </x:c>
      <x:c r="H309" s="20" t="str">
        <x:v>1000 Operating Cash</x:v>
      </x:c>
      <x:c r="I309" s="26" t="n">
        <x:v>1750</x:v>
      </x:c>
      <x:c r="J309" s="26" t="n">
        <x:v>0</x:v>
      </x:c>
      <x:c r="K309" s="35" t="str">
        <x:v>Receipt allocated to FIN-00150</x:v>
      </x:c>
    </x:row>
    <x:row r="310">
      <x:c r="A310" s="20" t="str">
        <x:v>FIN-00151</x:v>
      </x:c>
      <x:c r="B310" s="32" t="n">
        <x:v>2</x:v>
      </x:c>
      <x:c r="C310" s="23" t="n">
        <x:v>46423</x:v>
      </x:c>
      <x:c r="D310" s="23" t="n">
        <x:v>46423</x:v>
      </x:c>
      <x:c r="E310" s="20" t="str">
        <x:v>P026</x:v>
      </x:c>
      <x:c r="F310" s="20" t="str">
        <x:v>U032</x:v>
      </x:c>
      <x:c r="G310" s="20" t="str">
        <x:v>L032</x:v>
      </x:c>
      <x:c r="H310" s="20" t="str">
        <x:v>1100 Tenant Accounts Receivable</x:v>
      </x:c>
      <x:c r="I310" s="26" t="n">
        <x:v>0</x:v>
      </x:c>
      <x:c r="J310" s="26" t="n">
        <x:v>1750</x:v>
      </x:c>
      <x:c r="K310" s="35" t="str">
        <x:v>Receipt allocated to FIN-00150</x:v>
      </x:c>
    </x:row>
    <x:row r="311">
      <x:c r="A311" s="20" t="str">
        <x:v>FIN-00152</x:v>
      </x:c>
      <x:c r="B311" s="32" t="n">
        <x:v>1</x:v>
      </x:c>
      <x:c r="C311" s="23" t="n">
        <x:v>46419</x:v>
      </x:c>
      <x:c r="D311" s="23" t="n">
        <x:v>46419</x:v>
      </x:c>
      <x:c r="E311" s="20" t="str">
        <x:v>P027</x:v>
      </x:c>
      <x:c r="F311" s="20" t="str">
        <x:v>U033</x:v>
      </x:c>
      <x:c r="G311" s="20" t="str">
        <x:v>L033</x:v>
      </x:c>
      <x:c r="H311" s="20" t="str">
        <x:v>1100 Tenant Accounts Receivable</x:v>
      </x:c>
      <x:c r="I311" s="26" t="n">
        <x:v>1375</x:v>
      </x:c>
      <x:c r="J311" s="26" t="n">
        <x:v>0</x:v>
      </x:c>
      <x:c r="K311" s="35" t="str">
        <x:v>February 2027 rent</x:v>
      </x:c>
    </x:row>
    <x:row r="312">
      <x:c r="A312" s="20" t="str">
        <x:v>FIN-00152</x:v>
      </x:c>
      <x:c r="B312" s="32" t="n">
        <x:v>2</x:v>
      </x:c>
      <x:c r="C312" s="23" t="n">
        <x:v>46419</x:v>
      </x:c>
      <x:c r="D312" s="23" t="n">
        <x:v>46419</x:v>
      </x:c>
      <x:c r="E312" s="20" t="str">
        <x:v>P027</x:v>
      </x:c>
      <x:c r="F312" s="20" t="str">
        <x:v>U033</x:v>
      </x:c>
      <x:c r="G312" s="20" t="str">
        <x:v>L033</x:v>
      </x:c>
      <x:c r="H312" s="20" t="str">
        <x:v>4000 Rental Income</x:v>
      </x:c>
      <x:c r="I312" s="26" t="n">
        <x:v>0</x:v>
      </x:c>
      <x:c r="J312" s="26" t="n">
        <x:v>1375</x:v>
      </x:c>
      <x:c r="K312" s="35" t="str">
        <x:v>February 2027 rent</x:v>
      </x:c>
    </x:row>
    <x:row r="313">
      <x:c r="A313" s="20" t="str">
        <x:v>FIN-00153</x:v>
      </x:c>
      <x:c r="B313" s="32" t="n">
        <x:v>1</x:v>
      </x:c>
      <x:c r="C313" s="23" t="n">
        <x:v>46421</x:v>
      </x:c>
      <x:c r="D313" s="23" t="n">
        <x:v>46421</x:v>
      </x:c>
      <x:c r="E313" s="20" t="str">
        <x:v>P027</x:v>
      </x:c>
      <x:c r="F313" s="20" t="str">
        <x:v>U033</x:v>
      </x:c>
      <x:c r="G313" s="20" t="str">
        <x:v>L033</x:v>
      </x:c>
      <x:c r="H313" s="20" t="str">
        <x:v>1000 Operating Cash</x:v>
      </x:c>
      <x:c r="I313" s="26" t="n">
        <x:v>825</x:v>
      </x:c>
      <x:c r="J313" s="26" t="n">
        <x:v>0</x:v>
      </x:c>
      <x:c r="K313" s="35" t="str">
        <x:v>Receipt allocated to FIN-00152</x:v>
      </x:c>
    </x:row>
    <x:row r="314">
      <x:c r="A314" s="20" t="str">
        <x:v>FIN-00153</x:v>
      </x:c>
      <x:c r="B314" s="32" t="n">
        <x:v>2</x:v>
      </x:c>
      <x:c r="C314" s="23" t="n">
        <x:v>46421</x:v>
      </x:c>
      <x:c r="D314" s="23" t="n">
        <x:v>46421</x:v>
      </x:c>
      <x:c r="E314" s="20" t="str">
        <x:v>P027</x:v>
      </x:c>
      <x:c r="F314" s="20" t="str">
        <x:v>U033</x:v>
      </x:c>
      <x:c r="G314" s="20" t="str">
        <x:v>L033</x:v>
      </x:c>
      <x:c r="H314" s="20" t="str">
        <x:v>1100 Tenant Accounts Receivable</x:v>
      </x:c>
      <x:c r="I314" s="26" t="n">
        <x:v>0</x:v>
      </x:c>
      <x:c r="J314" s="26" t="n">
        <x:v>825</x:v>
      </x:c>
      <x:c r="K314" s="35" t="str">
        <x:v>Receipt allocated to FIN-00152</x:v>
      </x:c>
    </x:row>
    <x:row r="315">
      <x:c r="A315" s="20" t="str">
        <x:v>FIN-00154</x:v>
      </x:c>
      <x:c r="B315" s="32" t="n">
        <x:v>1</x:v>
      </x:c>
      <x:c r="C315" s="23" t="n">
        <x:v>46424</x:v>
      </x:c>
      <x:c r="D315" s="23" t="n">
        <x:v>46424</x:v>
      </x:c>
      <x:c r="E315" s="20" t="str">
        <x:v>P027</x:v>
      </x:c>
      <x:c r="F315" s="20" t="str">
        <x:v>U033</x:v>
      </x:c>
      <x:c r="G315" s="20" t="str">
        <x:v>L033</x:v>
      </x:c>
      <x:c r="H315" s="20" t="str">
        <x:v>1100 Tenant Accounts Receivable</x:v>
      </x:c>
      <x:c r="I315" s="26" t="n">
        <x:v>50</x:v>
      </x:c>
      <x:c r="J315" s="26" t="n">
        <x:v>0</x:v>
      </x:c>
      <x:c r="K315" s="35" t="str">
        <x:v>Synthetic lease-authorized late fee after partial payment</x:v>
      </x:c>
    </x:row>
    <x:row r="316">
      <x:c r="A316" s="20" t="str">
        <x:v>FIN-00154</x:v>
      </x:c>
      <x:c r="B316" s="32" t="n">
        <x:v>2</x:v>
      </x:c>
      <x:c r="C316" s="23" t="n">
        <x:v>46424</x:v>
      </x:c>
      <x:c r="D316" s="23" t="n">
        <x:v>46424</x:v>
      </x:c>
      <x:c r="E316" s="20" t="str">
        <x:v>P027</x:v>
      </x:c>
      <x:c r="F316" s="20" t="str">
        <x:v>U033</x:v>
      </x:c>
      <x:c r="G316" s="20" t="str">
        <x:v>L033</x:v>
      </x:c>
      <x:c r="H316" s="20" t="str">
        <x:v>4010 Late Fee Income</x:v>
      </x:c>
      <x:c r="I316" s="26" t="n">
        <x:v>0</x:v>
      </x:c>
      <x:c r="J316" s="26" t="n">
        <x:v>50</x:v>
      </x:c>
      <x:c r="K316" s="35" t="str">
        <x:v>Synthetic lease-authorized late fee after partial payment</x:v>
      </x:c>
    </x:row>
    <x:row r="317">
      <x:c r="A317" s="20" t="str">
        <x:v>FIN-00155</x:v>
      </x:c>
      <x:c r="B317" s="32" t="n">
        <x:v>1</x:v>
      </x:c>
      <x:c r="C317" s="23" t="n">
        <x:v>46430</x:v>
      </x:c>
      <x:c r="D317" s="23" t="n">
        <x:v>46430</x:v>
      </x:c>
      <x:c r="E317" s="20" t="str">
        <x:v>P027</x:v>
      </x:c>
      <x:c r="F317" s="20" t="str">
        <x:v>U033</x:v>
      </x:c>
      <x:c r="G317" s="20" t="str">
        <x:v>L033</x:v>
      </x:c>
      <x:c r="H317" s="20" t="str">
        <x:v>1000 Operating Cash</x:v>
      </x:c>
      <x:c r="I317" s="26" t="n">
        <x:v>600</x:v>
      </x:c>
      <x:c r="J317" s="26" t="n">
        <x:v>0</x:v>
      </x:c>
      <x:c r="K317" s="35" t="str">
        <x:v>Receipt allocated to FIN-00154</x:v>
      </x:c>
    </x:row>
    <x:row r="318">
      <x:c r="A318" s="20" t="str">
        <x:v>FIN-00155</x:v>
      </x:c>
      <x:c r="B318" s="32" t="n">
        <x:v>2</x:v>
      </x:c>
      <x:c r="C318" s="23" t="n">
        <x:v>46430</x:v>
      </x:c>
      <x:c r="D318" s="23" t="n">
        <x:v>46430</x:v>
      </x:c>
      <x:c r="E318" s="20" t="str">
        <x:v>P027</x:v>
      </x:c>
      <x:c r="F318" s="20" t="str">
        <x:v>U033</x:v>
      </x:c>
      <x:c r="G318" s="20" t="str">
        <x:v>L033</x:v>
      </x:c>
      <x:c r="H318" s="20" t="str">
        <x:v>1100 Tenant Accounts Receivable</x:v>
      </x:c>
      <x:c r="I318" s="26" t="n">
        <x:v>0</x:v>
      </x:c>
      <x:c r="J318" s="26" t="n">
        <x:v>600</x:v>
      </x:c>
      <x:c r="K318" s="35" t="str">
        <x:v>Receipt allocated to FIN-00154</x:v>
      </x:c>
    </x:row>
    <x:row r="319">
      <x:c r="A319" s="20" t="str">
        <x:v>FIN-00156</x:v>
      </x:c>
      <x:c r="B319" s="32" t="n">
        <x:v>1</x:v>
      </x:c>
      <x:c r="C319" s="23" t="n">
        <x:v>46419</x:v>
      </x:c>
      <x:c r="D319" s="23" t="n">
        <x:v>46419</x:v>
      </x:c>
      <x:c r="E319" s="20" t="str">
        <x:v>P027</x:v>
      </x:c>
      <x:c r="F319" s="20" t="str">
        <x:v>U034</x:v>
      </x:c>
      <x:c r="G319" s="20" t="str">
        <x:v>L034</x:v>
      </x:c>
      <x:c r="H319" s="20" t="str">
        <x:v>1100 Tenant Accounts Receivable</x:v>
      </x:c>
      <x:c r="I319" s="26" t="n">
        <x:v>1900</x:v>
      </x:c>
      <x:c r="J319" s="26" t="n">
        <x:v>0</x:v>
      </x:c>
      <x:c r="K319" s="35" t="str">
        <x:v>February 2027 rent</x:v>
      </x:c>
    </x:row>
    <x:row r="320">
      <x:c r="A320" s="20" t="str">
        <x:v>FIN-00156</x:v>
      </x:c>
      <x:c r="B320" s="32" t="n">
        <x:v>2</x:v>
      </x:c>
      <x:c r="C320" s="23" t="n">
        <x:v>46419</x:v>
      </x:c>
      <x:c r="D320" s="23" t="n">
        <x:v>46419</x:v>
      </x:c>
      <x:c r="E320" s="20" t="str">
        <x:v>P027</x:v>
      </x:c>
      <x:c r="F320" s="20" t="str">
        <x:v>U034</x:v>
      </x:c>
      <x:c r="G320" s="20" t="str">
        <x:v>L034</x:v>
      </x:c>
      <x:c r="H320" s="20" t="str">
        <x:v>4000 Rental Income</x:v>
      </x:c>
      <x:c r="I320" s="26" t="n">
        <x:v>0</x:v>
      </x:c>
      <x:c r="J320" s="26" t="n">
        <x:v>1900</x:v>
      </x:c>
      <x:c r="K320" s="35" t="str">
        <x:v>February 2027 rent</x:v>
      </x:c>
    </x:row>
    <x:row r="321">
      <x:c r="A321" s="20" t="str">
        <x:v>FIN-00157</x:v>
      </x:c>
      <x:c r="B321" s="32" t="n">
        <x:v>1</x:v>
      </x:c>
      <x:c r="C321" s="23" t="n">
        <x:v>46422</x:v>
      </x:c>
      <x:c r="D321" s="23" t="n">
        <x:v>46422</x:v>
      </x:c>
      <x:c r="E321" s="20" t="str">
        <x:v>P027</x:v>
      </x:c>
      <x:c r="F321" s="20" t="str">
        <x:v>U034</x:v>
      </x:c>
      <x:c r="G321" s="20" t="str">
        <x:v>L034</x:v>
      </x:c>
      <x:c r="H321" s="20" t="str">
        <x:v>1000 Operating Cash</x:v>
      </x:c>
      <x:c r="I321" s="26" t="n">
        <x:v>1900</x:v>
      </x:c>
      <x:c r="J321" s="26" t="n">
        <x:v>0</x:v>
      </x:c>
      <x:c r="K321" s="35" t="str">
        <x:v>Receipt allocated to FIN-00156</x:v>
      </x:c>
    </x:row>
    <x:row r="322">
      <x:c r="A322" s="20" t="str">
        <x:v>FIN-00157</x:v>
      </x:c>
      <x:c r="B322" s="32" t="n">
        <x:v>2</x:v>
      </x:c>
      <x:c r="C322" s="23" t="n">
        <x:v>46422</x:v>
      </x:c>
      <x:c r="D322" s="23" t="n">
        <x:v>46422</x:v>
      </x:c>
      <x:c r="E322" s="20" t="str">
        <x:v>P027</x:v>
      </x:c>
      <x:c r="F322" s="20" t="str">
        <x:v>U034</x:v>
      </x:c>
      <x:c r="G322" s="20" t="str">
        <x:v>L034</x:v>
      </x:c>
      <x:c r="H322" s="20" t="str">
        <x:v>1100 Tenant Accounts Receivable</x:v>
      </x:c>
      <x:c r="I322" s="26" t="n">
        <x:v>0</x:v>
      </x:c>
      <x:c r="J322" s="26" t="n">
        <x:v>1900</x:v>
      </x:c>
      <x:c r="K322" s="35" t="str">
        <x:v>Receipt allocated to FIN-00156</x:v>
      </x:c>
    </x:row>
    <x:row r="323">
      <x:c r="A323" s="20" t="str">
        <x:v>FIN-00158</x:v>
      </x:c>
      <x:c r="B323" s="32" t="n">
        <x:v>1</x:v>
      </x:c>
      <x:c r="C323" s="23" t="n">
        <x:v>46419</x:v>
      </x:c>
      <x:c r="D323" s="23" t="n">
        <x:v>46419</x:v>
      </x:c>
      <x:c r="E323" s="20" t="str">
        <x:v>P028</x:v>
      </x:c>
      <x:c r="F323" s="20" t="str">
        <x:v>U035</x:v>
      </x:c>
      <x:c r="G323" s="20" t="str">
        <x:v>L035</x:v>
      </x:c>
      <x:c r="H323" s="20" t="str">
        <x:v>1100 Tenant Accounts Receivable</x:v>
      </x:c>
      <x:c r="I323" s="26" t="n">
        <x:v>1525</x:v>
      </x:c>
      <x:c r="J323" s="26" t="n">
        <x:v>0</x:v>
      </x:c>
      <x:c r="K323" s="35" t="str">
        <x:v>February 2027 rent</x:v>
      </x:c>
    </x:row>
    <x:row r="324">
      <x:c r="A324" s="20" t="str">
        <x:v>FIN-00158</x:v>
      </x:c>
      <x:c r="B324" s="32" t="n">
        <x:v>2</x:v>
      </x:c>
      <x:c r="C324" s="23" t="n">
        <x:v>46419</x:v>
      </x:c>
      <x:c r="D324" s="23" t="n">
        <x:v>46419</x:v>
      </x:c>
      <x:c r="E324" s="20" t="str">
        <x:v>P028</x:v>
      </x:c>
      <x:c r="F324" s="20" t="str">
        <x:v>U035</x:v>
      </x:c>
      <x:c r="G324" s="20" t="str">
        <x:v>L035</x:v>
      </x:c>
      <x:c r="H324" s="20" t="str">
        <x:v>4000 Rental Income</x:v>
      </x:c>
      <x:c r="I324" s="26" t="n">
        <x:v>0</x:v>
      </x:c>
      <x:c r="J324" s="26" t="n">
        <x:v>1525</x:v>
      </x:c>
      <x:c r="K324" s="35" t="str">
        <x:v>February 2027 rent</x:v>
      </x:c>
    </x:row>
    <x:row r="325">
      <x:c r="A325" s="20" t="str">
        <x:v>FIN-00159</x:v>
      </x:c>
      <x:c r="B325" s="32" t="n">
        <x:v>1</x:v>
      </x:c>
      <x:c r="C325" s="23" t="n">
        <x:v>46423</x:v>
      </x:c>
      <x:c r="D325" s="23" t="n">
        <x:v>46423</x:v>
      </x:c>
      <x:c r="E325" s="20" t="str">
        <x:v>P028</x:v>
      </x:c>
      <x:c r="F325" s="20" t="str">
        <x:v>U035</x:v>
      </x:c>
      <x:c r="G325" s="20" t="str">
        <x:v>L035</x:v>
      </x:c>
      <x:c r="H325" s="20" t="str">
        <x:v>1000 Operating Cash</x:v>
      </x:c>
      <x:c r="I325" s="26" t="n">
        <x:v>1525</x:v>
      </x:c>
      <x:c r="J325" s="26" t="n">
        <x:v>0</x:v>
      </x:c>
      <x:c r="K325" s="35" t="str">
        <x:v>Receipt allocated to FIN-00158</x:v>
      </x:c>
    </x:row>
    <x:row r="326">
      <x:c r="A326" s="20" t="str">
        <x:v>FIN-00159</x:v>
      </x:c>
      <x:c r="B326" s="32" t="n">
        <x:v>2</x:v>
      </x:c>
      <x:c r="C326" s="23" t="n">
        <x:v>46423</x:v>
      </x:c>
      <x:c r="D326" s="23" t="n">
        <x:v>46423</x:v>
      </x:c>
      <x:c r="E326" s="20" t="str">
        <x:v>P028</x:v>
      </x:c>
      <x:c r="F326" s="20" t="str">
        <x:v>U035</x:v>
      </x:c>
      <x:c r="G326" s="20" t="str">
        <x:v>L035</x:v>
      </x:c>
      <x:c r="H326" s="20" t="str">
        <x:v>1100 Tenant Accounts Receivable</x:v>
      </x:c>
      <x:c r="I326" s="26" t="n">
        <x:v>0</x:v>
      </x:c>
      <x:c r="J326" s="26" t="n">
        <x:v>1525</x:v>
      </x:c>
      <x:c r="K326" s="35" t="str">
        <x:v>Receipt allocated to FIN-00158</x:v>
      </x:c>
    </x:row>
    <x:row r="327">
      <x:c r="A327" s="20" t="str">
        <x:v>FIN-00160</x:v>
      </x:c>
      <x:c r="B327" s="32" t="n">
        <x:v>1</x:v>
      </x:c>
      <x:c r="C327" s="23" t="n">
        <x:v>46419</x:v>
      </x:c>
      <x:c r="D327" s="23" t="n">
        <x:v>46419</x:v>
      </x:c>
      <x:c r="E327" s="20" t="str">
        <x:v>P028</x:v>
      </x:c>
      <x:c r="F327" s="20" t="str">
        <x:v>U036</x:v>
      </x:c>
      <x:c r="G327" s="20" t="str">
        <x:v>L036</x:v>
      </x:c>
      <x:c r="H327" s="20" t="str">
        <x:v>1100 Tenant Accounts Receivable</x:v>
      </x:c>
      <x:c r="I327" s="26" t="n">
        <x:v>1150</x:v>
      </x:c>
      <x:c r="J327" s="26" t="n">
        <x:v>0</x:v>
      </x:c>
      <x:c r="K327" s="35" t="str">
        <x:v>February 2027 rent</x:v>
      </x:c>
    </x:row>
    <x:row r="328">
      <x:c r="A328" s="20" t="str">
        <x:v>FIN-00160</x:v>
      </x:c>
      <x:c r="B328" s="32" t="n">
        <x:v>2</x:v>
      </x:c>
      <x:c r="C328" s="23" t="n">
        <x:v>46419</x:v>
      </x:c>
      <x:c r="D328" s="23" t="n">
        <x:v>46419</x:v>
      </x:c>
      <x:c r="E328" s="20" t="str">
        <x:v>P028</x:v>
      </x:c>
      <x:c r="F328" s="20" t="str">
        <x:v>U036</x:v>
      </x:c>
      <x:c r="G328" s="20" t="str">
        <x:v>L036</x:v>
      </x:c>
      <x:c r="H328" s="20" t="str">
        <x:v>4000 Rental Income</x:v>
      </x:c>
      <x:c r="I328" s="26" t="n">
        <x:v>0</x:v>
      </x:c>
      <x:c r="J328" s="26" t="n">
        <x:v>1150</x:v>
      </x:c>
      <x:c r="K328" s="35" t="str">
        <x:v>February 2027 rent</x:v>
      </x:c>
    </x:row>
    <x:row r="329">
      <x:c r="A329" s="20" t="str">
        <x:v>FIN-00161</x:v>
      </x:c>
      <x:c r="B329" s="32" t="n">
        <x:v>1</x:v>
      </x:c>
      <x:c r="C329" s="23" t="n">
        <x:v>46421</x:v>
      </x:c>
      <x:c r="D329" s="23" t="n">
        <x:v>46421</x:v>
      </x:c>
      <x:c r="E329" s="20" t="str">
        <x:v>P028</x:v>
      </x:c>
      <x:c r="F329" s="20" t="str">
        <x:v>U036</x:v>
      </x:c>
      <x:c r="G329" s="20" t="str">
        <x:v>L036</x:v>
      </x:c>
      <x:c r="H329" s="20" t="str">
        <x:v>1000 Operating Cash</x:v>
      </x:c>
      <x:c r="I329" s="26" t="n">
        <x:v>1150</x:v>
      </x:c>
      <x:c r="J329" s="26" t="n">
        <x:v>0</x:v>
      </x:c>
      <x:c r="K329" s="35" t="str">
        <x:v>Receipt allocated to FIN-00160</x:v>
      </x:c>
    </x:row>
    <x:row r="330">
      <x:c r="A330" s="20" t="str">
        <x:v>FIN-00161</x:v>
      </x:c>
      <x:c r="B330" s="32" t="n">
        <x:v>2</x:v>
      </x:c>
      <x:c r="C330" s="23" t="n">
        <x:v>46421</x:v>
      </x:c>
      <x:c r="D330" s="23" t="n">
        <x:v>46421</x:v>
      </x:c>
      <x:c r="E330" s="20" t="str">
        <x:v>P028</x:v>
      </x:c>
      <x:c r="F330" s="20" t="str">
        <x:v>U036</x:v>
      </x:c>
      <x:c r="G330" s="20" t="str">
        <x:v>L036</x:v>
      </x:c>
      <x:c r="H330" s="20" t="str">
        <x:v>1100 Tenant Accounts Receivable</x:v>
      </x:c>
      <x:c r="I330" s="26" t="n">
        <x:v>0</x:v>
      </x:c>
      <x:c r="J330" s="26" t="n">
        <x:v>1150</x:v>
      </x:c>
      <x:c r="K330" s="35" t="str">
        <x:v>Receipt allocated to FIN-00160</x:v>
      </x:c>
    </x:row>
    <x:row r="331">
      <x:c r="A331" s="20" t="str">
        <x:v>FIN-00162</x:v>
      </x:c>
      <x:c r="B331" s="32" t="n">
        <x:v>1</x:v>
      </x:c>
      <x:c r="C331" s="23" t="n">
        <x:v>46419</x:v>
      </x:c>
      <x:c r="D331" s="23" t="n">
        <x:v>46419</x:v>
      </x:c>
      <x:c r="E331" s="20" t="str">
        <x:v>P029</x:v>
      </x:c>
      <x:c r="F331" s="20" t="str">
        <x:v>U037</x:v>
      </x:c>
      <x:c r="G331" s="20" t="str">
        <x:v>L043</x:v>
      </x:c>
      <x:c r="H331" s="20" t="str">
        <x:v>1100 Tenant Accounts Receivable</x:v>
      </x:c>
      <x:c r="I331" s="26" t="n">
        <x:v>1675</x:v>
      </x:c>
      <x:c r="J331" s="26" t="n">
        <x:v>0</x:v>
      </x:c>
      <x:c r="K331" s="35" t="str">
        <x:v>February 2027 rent</x:v>
      </x:c>
    </x:row>
    <x:row r="332">
      <x:c r="A332" s="20" t="str">
        <x:v>FIN-00162</x:v>
      </x:c>
      <x:c r="B332" s="32" t="n">
        <x:v>2</x:v>
      </x:c>
      <x:c r="C332" s="23" t="n">
        <x:v>46419</x:v>
      </x:c>
      <x:c r="D332" s="23" t="n">
        <x:v>46419</x:v>
      </x:c>
      <x:c r="E332" s="20" t="str">
        <x:v>P029</x:v>
      </x:c>
      <x:c r="F332" s="20" t="str">
        <x:v>U037</x:v>
      </x:c>
      <x:c r="G332" s="20" t="str">
        <x:v>L043</x:v>
      </x:c>
      <x:c r="H332" s="20" t="str">
        <x:v>4000 Rental Income</x:v>
      </x:c>
      <x:c r="I332" s="26" t="n">
        <x:v>0</x:v>
      </x:c>
      <x:c r="J332" s="26" t="n">
        <x:v>1675</x:v>
      </x:c>
      <x:c r="K332" s="35" t="str">
        <x:v>February 2027 rent</x:v>
      </x:c>
    </x:row>
    <x:row r="333">
      <x:c r="A333" s="20" t="str">
        <x:v>FIN-00163</x:v>
      </x:c>
      <x:c r="B333" s="32" t="n">
        <x:v>1</x:v>
      </x:c>
      <x:c r="C333" s="23" t="n">
        <x:v>46422</x:v>
      </x:c>
      <x:c r="D333" s="23" t="n">
        <x:v>46422</x:v>
      </x:c>
      <x:c r="E333" s="20" t="str">
        <x:v>P029</x:v>
      </x:c>
      <x:c r="F333" s="20" t="str">
        <x:v>U037</x:v>
      </x:c>
      <x:c r="G333" s="20" t="str">
        <x:v>L043</x:v>
      </x:c>
      <x:c r="H333" s="20" t="str">
        <x:v>1000 Operating Cash</x:v>
      </x:c>
      <x:c r="I333" s="26" t="n">
        <x:v>1675</x:v>
      </x:c>
      <x:c r="J333" s="26" t="n">
        <x:v>0</x:v>
      </x:c>
      <x:c r="K333" s="35" t="str">
        <x:v>Receipt allocated to FIN-00162</x:v>
      </x:c>
    </x:row>
    <x:row r="334">
      <x:c r="A334" s="20" t="str">
        <x:v>FIN-00163</x:v>
      </x:c>
      <x:c r="B334" s="32" t="n">
        <x:v>2</x:v>
      </x:c>
      <x:c r="C334" s="23" t="n">
        <x:v>46422</x:v>
      </x:c>
      <x:c r="D334" s="23" t="n">
        <x:v>46422</x:v>
      </x:c>
      <x:c r="E334" s="20" t="str">
        <x:v>P029</x:v>
      </x:c>
      <x:c r="F334" s="20" t="str">
        <x:v>U037</x:v>
      </x:c>
      <x:c r="G334" s="20" t="str">
        <x:v>L043</x:v>
      </x:c>
      <x:c r="H334" s="20" t="str">
        <x:v>1100 Tenant Accounts Receivable</x:v>
      </x:c>
      <x:c r="I334" s="26" t="n">
        <x:v>0</x:v>
      </x:c>
      <x:c r="J334" s="26" t="n">
        <x:v>1675</x:v>
      </x:c>
      <x:c r="K334" s="35" t="str">
        <x:v>Receipt allocated to FIN-00162</x:v>
      </x:c>
    </x:row>
    <x:row r="335">
      <x:c r="A335" s="20" t="str">
        <x:v>FIN-00164</x:v>
      </x:c>
      <x:c r="B335" s="32" t="n">
        <x:v>1</x:v>
      </x:c>
      <x:c r="C335" s="23" t="n">
        <x:v>46447</x:v>
      </x:c>
      <x:c r="D335" s="23" t="n">
        <x:v>46447</x:v>
      </x:c>
      <x:c r="E335" s="20" t="str">
        <x:v>P001</x:v>
      </x:c>
      <x:c r="F335" s="20" t="str">
        <x:v>U001</x:v>
      </x:c>
      <x:c r="G335" s="20" t="str">
        <x:v>L001</x:v>
      </x:c>
      <x:c r="H335" s="20" t="str">
        <x:v>1100 Tenant Accounts Receivable</x:v>
      </x:c>
      <x:c r="I335" s="26" t="n">
        <x:v>1575</x:v>
      </x:c>
      <x:c r="J335" s="26" t="n">
        <x:v>0</x:v>
      </x:c>
      <x:c r="K335" s="35" t="str">
        <x:v>March 2027 rent</x:v>
      </x:c>
    </x:row>
    <x:row r="336">
      <x:c r="A336" s="20" t="str">
        <x:v>FIN-00164</x:v>
      </x:c>
      <x:c r="B336" s="32" t="n">
        <x:v>2</x:v>
      </x:c>
      <x:c r="C336" s="23" t="n">
        <x:v>46447</x:v>
      </x:c>
      <x:c r="D336" s="23" t="n">
        <x:v>46447</x:v>
      </x:c>
      <x:c r="E336" s="20" t="str">
        <x:v>P001</x:v>
      </x:c>
      <x:c r="F336" s="20" t="str">
        <x:v>U001</x:v>
      </x:c>
      <x:c r="G336" s="20" t="str">
        <x:v>L001</x:v>
      </x:c>
      <x:c r="H336" s="20" t="str">
        <x:v>4000 Rental Income</x:v>
      </x:c>
      <x:c r="I336" s="26" t="n">
        <x:v>0</x:v>
      </x:c>
      <x:c r="J336" s="26" t="n">
        <x:v>1575</x:v>
      </x:c>
      <x:c r="K336" s="35" t="str">
        <x:v>March 2027 rent</x:v>
      </x:c>
    </x:row>
    <x:row r="337">
      <x:c r="A337" s="20" t="str">
        <x:v>FIN-00165</x:v>
      </x:c>
      <x:c r="B337" s="32" t="n">
        <x:v>1</x:v>
      </x:c>
      <x:c r="C337" s="23" t="n">
        <x:v>46450</x:v>
      </x:c>
      <x:c r="D337" s="23" t="n">
        <x:v>46450</x:v>
      </x:c>
      <x:c r="E337" s="20" t="str">
        <x:v>P001</x:v>
      </x:c>
      <x:c r="F337" s="20" t="str">
        <x:v>U001</x:v>
      </x:c>
      <x:c r="G337" s="20" t="str">
        <x:v>L001</x:v>
      </x:c>
      <x:c r="H337" s="20" t="str">
        <x:v>1000 Operating Cash</x:v>
      </x:c>
      <x:c r="I337" s="26" t="n">
        <x:v>1575</x:v>
      </x:c>
      <x:c r="J337" s="26" t="n">
        <x:v>0</x:v>
      </x:c>
      <x:c r="K337" s="35" t="str">
        <x:v>Receipt allocated to FIN-00164</x:v>
      </x:c>
    </x:row>
    <x:row r="338">
      <x:c r="A338" s="20" t="str">
        <x:v>FIN-00165</x:v>
      </x:c>
      <x:c r="B338" s="32" t="n">
        <x:v>2</x:v>
      </x:c>
      <x:c r="C338" s="23" t="n">
        <x:v>46450</x:v>
      </x:c>
      <x:c r="D338" s="23" t="n">
        <x:v>46450</x:v>
      </x:c>
      <x:c r="E338" s="20" t="str">
        <x:v>P001</x:v>
      </x:c>
      <x:c r="F338" s="20" t="str">
        <x:v>U001</x:v>
      </x:c>
      <x:c r="G338" s="20" t="str">
        <x:v>L001</x:v>
      </x:c>
      <x:c r="H338" s="20" t="str">
        <x:v>1100 Tenant Accounts Receivable</x:v>
      </x:c>
      <x:c r="I338" s="26" t="n">
        <x:v>0</x:v>
      </x:c>
      <x:c r="J338" s="26" t="n">
        <x:v>1575</x:v>
      </x:c>
      <x:c r="K338" s="35" t="str">
        <x:v>Receipt allocated to FIN-00164</x:v>
      </x:c>
    </x:row>
    <x:row r="339">
      <x:c r="A339" s="20" t="str">
        <x:v>FIN-00166</x:v>
      </x:c>
      <x:c r="B339" s="32" t="n">
        <x:v>1</x:v>
      </x:c>
      <x:c r="C339" s="23" t="n">
        <x:v>46447</x:v>
      </x:c>
      <x:c r="D339" s="23" t="n">
        <x:v>46447</x:v>
      </x:c>
      <x:c r="E339" s="20" t="str">
        <x:v>P002</x:v>
      </x:c>
      <x:c r="F339" s="20" t="str">
        <x:v>U002</x:v>
      </x:c>
      <x:c r="G339" s="20" t="str">
        <x:v>L002</x:v>
      </x:c>
      <x:c r="H339" s="20" t="str">
        <x:v>1100 Tenant Accounts Receivable</x:v>
      </x:c>
      <x:c r="I339" s="26" t="n">
        <x:v>1200</x:v>
      </x:c>
      <x:c r="J339" s="26" t="n">
        <x:v>0</x:v>
      </x:c>
      <x:c r="K339" s="35" t="str">
        <x:v>March 2027 rent</x:v>
      </x:c>
    </x:row>
    <x:row r="340">
      <x:c r="A340" s="20" t="str">
        <x:v>FIN-00166</x:v>
      </x:c>
      <x:c r="B340" s="32" t="n">
        <x:v>2</x:v>
      </x:c>
      <x:c r="C340" s="23" t="n">
        <x:v>46447</x:v>
      </x:c>
      <x:c r="D340" s="23" t="n">
        <x:v>46447</x:v>
      </x:c>
      <x:c r="E340" s="20" t="str">
        <x:v>P002</x:v>
      </x:c>
      <x:c r="F340" s="20" t="str">
        <x:v>U002</x:v>
      </x:c>
      <x:c r="G340" s="20" t="str">
        <x:v>L002</x:v>
      </x:c>
      <x:c r="H340" s="20" t="str">
        <x:v>4000 Rental Income</x:v>
      </x:c>
      <x:c r="I340" s="26" t="n">
        <x:v>0</x:v>
      </x:c>
      <x:c r="J340" s="26" t="n">
        <x:v>1200</x:v>
      </x:c>
      <x:c r="K340" s="35" t="str">
        <x:v>March 2027 rent</x:v>
      </x:c>
    </x:row>
    <x:row r="341">
      <x:c r="A341" s="20" t="str">
        <x:v>FIN-00167</x:v>
      </x:c>
      <x:c r="B341" s="32" t="n">
        <x:v>1</x:v>
      </x:c>
      <x:c r="C341" s="23" t="n">
        <x:v>46451</x:v>
      </x:c>
      <x:c r="D341" s="23" t="n">
        <x:v>46451</x:v>
      </x:c>
      <x:c r="E341" s="20" t="str">
        <x:v>P002</x:v>
      </x:c>
      <x:c r="F341" s="20" t="str">
        <x:v>U002</x:v>
      </x:c>
      <x:c r="G341" s="20" t="str">
        <x:v>L002</x:v>
      </x:c>
      <x:c r="H341" s="20" t="str">
        <x:v>1000 Operating Cash</x:v>
      </x:c>
      <x:c r="I341" s="26" t="n">
        <x:v>1200</x:v>
      </x:c>
      <x:c r="J341" s="26" t="n">
        <x:v>0</x:v>
      </x:c>
      <x:c r="K341" s="35" t="str">
        <x:v>Receipt allocated to FIN-00166</x:v>
      </x:c>
    </x:row>
    <x:row r="342">
      <x:c r="A342" s="20" t="str">
        <x:v>FIN-00167</x:v>
      </x:c>
      <x:c r="B342" s="32" t="n">
        <x:v>2</x:v>
      </x:c>
      <x:c r="C342" s="23" t="n">
        <x:v>46451</x:v>
      </x:c>
      <x:c r="D342" s="23" t="n">
        <x:v>46451</x:v>
      </x:c>
      <x:c r="E342" s="20" t="str">
        <x:v>P002</x:v>
      </x:c>
      <x:c r="F342" s="20" t="str">
        <x:v>U002</x:v>
      </x:c>
      <x:c r="G342" s="20" t="str">
        <x:v>L002</x:v>
      </x:c>
      <x:c r="H342" s="20" t="str">
        <x:v>1100 Tenant Accounts Receivable</x:v>
      </x:c>
      <x:c r="I342" s="26" t="n">
        <x:v>0</x:v>
      </x:c>
      <x:c r="J342" s="26" t="n">
        <x:v>1200</x:v>
      </x:c>
      <x:c r="K342" s="35" t="str">
        <x:v>Receipt allocated to FIN-00166</x:v>
      </x:c>
    </x:row>
    <x:row r="343">
      <x:c r="A343" s="20" t="str">
        <x:v>FIN-00168</x:v>
      </x:c>
      <x:c r="B343" s="32" t="n">
        <x:v>1</x:v>
      </x:c>
      <x:c r="C343" s="23" t="n">
        <x:v>46447</x:v>
      </x:c>
      <x:c r="D343" s="23" t="n">
        <x:v>46447</x:v>
      </x:c>
      <x:c r="E343" s="20" t="str">
        <x:v>P003</x:v>
      </x:c>
      <x:c r="F343" s="20" t="str">
        <x:v>U003</x:v>
      </x:c>
      <x:c r="G343" s="20" t="str">
        <x:v>L003</x:v>
      </x:c>
      <x:c r="H343" s="20" t="str">
        <x:v>1100 Tenant Accounts Receivable</x:v>
      </x:c>
      <x:c r="I343" s="26" t="n">
        <x:v>1725</x:v>
      </x:c>
      <x:c r="J343" s="26" t="n">
        <x:v>0</x:v>
      </x:c>
      <x:c r="K343" s="35" t="str">
        <x:v>March 2027 rent</x:v>
      </x:c>
    </x:row>
    <x:row r="344">
      <x:c r="A344" s="20" t="str">
        <x:v>FIN-00168</x:v>
      </x:c>
      <x:c r="B344" s="32" t="n">
        <x:v>2</x:v>
      </x:c>
      <x:c r="C344" s="23" t="n">
        <x:v>46447</x:v>
      </x:c>
      <x:c r="D344" s="23" t="n">
        <x:v>46447</x:v>
      </x:c>
      <x:c r="E344" s="20" t="str">
        <x:v>P003</x:v>
      </x:c>
      <x:c r="F344" s="20" t="str">
        <x:v>U003</x:v>
      </x:c>
      <x:c r="G344" s="20" t="str">
        <x:v>L003</x:v>
      </x:c>
      <x:c r="H344" s="20" t="str">
        <x:v>4000 Rental Income</x:v>
      </x:c>
      <x:c r="I344" s="26" t="n">
        <x:v>0</x:v>
      </x:c>
      <x:c r="J344" s="26" t="n">
        <x:v>1725</x:v>
      </x:c>
      <x:c r="K344" s="35" t="str">
        <x:v>March 2027 rent</x:v>
      </x:c>
    </x:row>
    <x:row r="345">
      <x:c r="A345" s="20" t="str">
        <x:v>FIN-00169</x:v>
      </x:c>
      <x:c r="B345" s="32" t="n">
        <x:v>1</x:v>
      </x:c>
      <x:c r="C345" s="23" t="n">
        <x:v>46449</x:v>
      </x:c>
      <x:c r="D345" s="23" t="n">
        <x:v>46449</x:v>
      </x:c>
      <x:c r="E345" s="20" t="str">
        <x:v>P003</x:v>
      </x:c>
      <x:c r="F345" s="20" t="str">
        <x:v>U003</x:v>
      </x:c>
      <x:c r="G345" s="20" t="str">
        <x:v>L003</x:v>
      </x:c>
      <x:c r="H345" s="20" t="str">
        <x:v>1000 Operating Cash</x:v>
      </x:c>
      <x:c r="I345" s="26" t="n">
        <x:v>1725</x:v>
      </x:c>
      <x:c r="J345" s="26" t="n">
        <x:v>0</x:v>
      </x:c>
      <x:c r="K345" s="35" t="str">
        <x:v>Receipt allocated to FIN-00168</x:v>
      </x:c>
    </x:row>
    <x:row r="346">
      <x:c r="A346" s="20" t="str">
        <x:v>FIN-00169</x:v>
      </x:c>
      <x:c r="B346" s="32" t="n">
        <x:v>2</x:v>
      </x:c>
      <x:c r="C346" s="23" t="n">
        <x:v>46449</x:v>
      </x:c>
      <x:c r="D346" s="23" t="n">
        <x:v>46449</x:v>
      </x:c>
      <x:c r="E346" s="20" t="str">
        <x:v>P003</x:v>
      </x:c>
      <x:c r="F346" s="20" t="str">
        <x:v>U003</x:v>
      </x:c>
      <x:c r="G346" s="20" t="str">
        <x:v>L003</x:v>
      </x:c>
      <x:c r="H346" s="20" t="str">
        <x:v>1100 Tenant Accounts Receivable</x:v>
      </x:c>
      <x:c r="I346" s="26" t="n">
        <x:v>0</x:v>
      </x:c>
      <x:c r="J346" s="26" t="n">
        <x:v>1725</x:v>
      </x:c>
      <x:c r="K346" s="35" t="str">
        <x:v>Receipt allocated to FIN-00168</x:v>
      </x:c>
    </x:row>
    <x:row r="347">
      <x:c r="A347" s="20" t="str">
        <x:v>FIN-00170</x:v>
      </x:c>
      <x:c r="B347" s="32" t="n">
        <x:v>1</x:v>
      </x:c>
      <x:c r="C347" s="23" t="n">
        <x:v>46447</x:v>
      </x:c>
      <x:c r="D347" s="23" t="n">
        <x:v>46447</x:v>
      </x:c>
      <x:c r="E347" s="20" t="str">
        <x:v>P004</x:v>
      </x:c>
      <x:c r="F347" s="20" t="str">
        <x:v>U004</x:v>
      </x:c>
      <x:c r="G347" s="20" t="str">
        <x:v>L004</x:v>
      </x:c>
      <x:c r="H347" s="20" t="str">
        <x:v>1100 Tenant Accounts Receivable</x:v>
      </x:c>
      <x:c r="I347" s="26" t="n">
        <x:v>1350</x:v>
      </x:c>
      <x:c r="J347" s="26" t="n">
        <x:v>0</x:v>
      </x:c>
      <x:c r="K347" s="35" t="str">
        <x:v>March 2027 rent</x:v>
      </x:c>
    </x:row>
    <x:row r="348">
      <x:c r="A348" s="20" t="str">
        <x:v>FIN-00170</x:v>
      </x:c>
      <x:c r="B348" s="32" t="n">
        <x:v>2</x:v>
      </x:c>
      <x:c r="C348" s="23" t="n">
        <x:v>46447</x:v>
      </x:c>
      <x:c r="D348" s="23" t="n">
        <x:v>46447</x:v>
      </x:c>
      <x:c r="E348" s="20" t="str">
        <x:v>P004</x:v>
      </x:c>
      <x:c r="F348" s="20" t="str">
        <x:v>U004</x:v>
      </x:c>
      <x:c r="G348" s="20" t="str">
        <x:v>L004</x:v>
      </x:c>
      <x:c r="H348" s="20" t="str">
        <x:v>4000 Rental Income</x:v>
      </x:c>
      <x:c r="I348" s="26" t="n">
        <x:v>0</x:v>
      </x:c>
      <x:c r="J348" s="26" t="n">
        <x:v>1350</x:v>
      </x:c>
      <x:c r="K348" s="35" t="str">
        <x:v>March 2027 rent</x:v>
      </x:c>
    </x:row>
    <x:row r="349">
      <x:c r="A349" s="20" t="str">
        <x:v>FIN-00171</x:v>
      </x:c>
      <x:c r="B349" s="32" t="n">
        <x:v>1</x:v>
      </x:c>
      <x:c r="C349" s="23" t="n">
        <x:v>46450</x:v>
      </x:c>
      <x:c r="D349" s="23" t="n">
        <x:v>46450</x:v>
      </x:c>
      <x:c r="E349" s="20" t="str">
        <x:v>P004</x:v>
      </x:c>
      <x:c r="F349" s="20" t="str">
        <x:v>U004</x:v>
      </x:c>
      <x:c r="G349" s="20" t="str">
        <x:v>L004</x:v>
      </x:c>
      <x:c r="H349" s="20" t="str">
        <x:v>1000 Operating Cash</x:v>
      </x:c>
      <x:c r="I349" s="26" t="n">
        <x:v>1350</x:v>
      </x:c>
      <x:c r="J349" s="26" t="n">
        <x:v>0</x:v>
      </x:c>
      <x:c r="K349" s="35" t="str">
        <x:v>Receipt allocated to FIN-00170</x:v>
      </x:c>
    </x:row>
    <x:row r="350">
      <x:c r="A350" s="20" t="str">
        <x:v>FIN-00171</x:v>
      </x:c>
      <x:c r="B350" s="32" t="n">
        <x:v>2</x:v>
      </x:c>
      <x:c r="C350" s="23" t="n">
        <x:v>46450</x:v>
      </x:c>
      <x:c r="D350" s="23" t="n">
        <x:v>46450</x:v>
      </x:c>
      <x:c r="E350" s="20" t="str">
        <x:v>P004</x:v>
      </x:c>
      <x:c r="F350" s="20" t="str">
        <x:v>U004</x:v>
      </x:c>
      <x:c r="G350" s="20" t="str">
        <x:v>L004</x:v>
      </x:c>
      <x:c r="H350" s="20" t="str">
        <x:v>1100 Tenant Accounts Receivable</x:v>
      </x:c>
      <x:c r="I350" s="26" t="n">
        <x:v>0</x:v>
      </x:c>
      <x:c r="J350" s="26" t="n">
        <x:v>1350</x:v>
      </x:c>
      <x:c r="K350" s="35" t="str">
        <x:v>Receipt allocated to FIN-00170</x:v>
      </x:c>
    </x:row>
    <x:row r="351">
      <x:c r="A351" s="20" t="str">
        <x:v>FIN-00172</x:v>
      </x:c>
      <x:c r="B351" s="32" t="n">
        <x:v>1</x:v>
      </x:c>
      <x:c r="C351" s="23" t="n">
        <x:v>46447</x:v>
      </x:c>
      <x:c r="D351" s="23" t="n">
        <x:v>46447</x:v>
      </x:c>
      <x:c r="E351" s="20" t="str">
        <x:v>P006</x:v>
      </x:c>
      <x:c r="F351" s="20" t="str">
        <x:v>U006</x:v>
      </x:c>
      <x:c r="G351" s="20" t="str">
        <x:v>L006</x:v>
      </x:c>
      <x:c r="H351" s="20" t="str">
        <x:v>1100 Tenant Accounts Receivable</x:v>
      </x:c>
      <x:c r="I351" s="26" t="n">
        <x:v>1500</x:v>
      </x:c>
      <x:c r="J351" s="26" t="n">
        <x:v>0</x:v>
      </x:c>
      <x:c r="K351" s="35" t="str">
        <x:v>March 2027 rent</x:v>
      </x:c>
    </x:row>
    <x:row r="352">
      <x:c r="A352" s="20" t="str">
        <x:v>FIN-00172</x:v>
      </x:c>
      <x:c r="B352" s="32" t="n">
        <x:v>2</x:v>
      </x:c>
      <x:c r="C352" s="23" t="n">
        <x:v>46447</x:v>
      </x:c>
      <x:c r="D352" s="23" t="n">
        <x:v>46447</x:v>
      </x:c>
      <x:c r="E352" s="20" t="str">
        <x:v>P006</x:v>
      </x:c>
      <x:c r="F352" s="20" t="str">
        <x:v>U006</x:v>
      </x:c>
      <x:c r="G352" s="20" t="str">
        <x:v>L006</x:v>
      </x:c>
      <x:c r="H352" s="20" t="str">
        <x:v>4000 Rental Income</x:v>
      </x:c>
      <x:c r="I352" s="26" t="n">
        <x:v>0</x:v>
      </x:c>
      <x:c r="J352" s="26" t="n">
        <x:v>1500</x:v>
      </x:c>
      <x:c r="K352" s="35" t="str">
        <x:v>March 2027 rent</x:v>
      </x:c>
    </x:row>
    <x:row r="353">
      <x:c r="A353" s="20" t="str">
        <x:v>FIN-00173</x:v>
      </x:c>
      <x:c r="B353" s="32" t="n">
        <x:v>1</x:v>
      </x:c>
      <x:c r="C353" s="23" t="n">
        <x:v>46449</x:v>
      </x:c>
      <x:c r="D353" s="23" t="n">
        <x:v>46449</x:v>
      </x:c>
      <x:c r="E353" s="20" t="str">
        <x:v>P006</x:v>
      </x:c>
      <x:c r="F353" s="20" t="str">
        <x:v>U006</x:v>
      </x:c>
      <x:c r="G353" s="20" t="str">
        <x:v>L006</x:v>
      </x:c>
      <x:c r="H353" s="20" t="str">
        <x:v>1000 Operating Cash</x:v>
      </x:c>
      <x:c r="I353" s="26" t="n">
        <x:v>1500</x:v>
      </x:c>
      <x:c r="J353" s="26" t="n">
        <x:v>0</x:v>
      </x:c>
      <x:c r="K353" s="35" t="str">
        <x:v>Receipt allocated to FIN-00172</x:v>
      </x:c>
    </x:row>
    <x:row r="354">
      <x:c r="A354" s="20" t="str">
        <x:v>FIN-00173</x:v>
      </x:c>
      <x:c r="B354" s="32" t="n">
        <x:v>2</x:v>
      </x:c>
      <x:c r="C354" s="23" t="n">
        <x:v>46449</x:v>
      </x:c>
      <x:c r="D354" s="23" t="n">
        <x:v>46449</x:v>
      </x:c>
      <x:c r="E354" s="20" t="str">
        <x:v>P006</x:v>
      </x:c>
      <x:c r="F354" s="20" t="str">
        <x:v>U006</x:v>
      </x:c>
      <x:c r="G354" s="20" t="str">
        <x:v>L006</x:v>
      </x:c>
      <x:c r="H354" s="20" t="str">
        <x:v>1100 Tenant Accounts Receivable</x:v>
      </x:c>
      <x:c r="I354" s="26" t="n">
        <x:v>0</x:v>
      </x:c>
      <x:c r="J354" s="26" t="n">
        <x:v>1500</x:v>
      </x:c>
      <x:c r="K354" s="35" t="str">
        <x:v>Receipt allocated to FIN-00172</x:v>
      </x:c>
    </x:row>
    <x:row r="355">
      <x:c r="A355" s="20" t="str">
        <x:v>FIN-00174</x:v>
      </x:c>
      <x:c r="B355" s="32" t="n">
        <x:v>1</x:v>
      </x:c>
      <x:c r="C355" s="23" t="n">
        <x:v>46447</x:v>
      </x:c>
      <x:c r="D355" s="23" t="n">
        <x:v>46447</x:v>
      </x:c>
      <x:c r="E355" s="20" t="str">
        <x:v>P007</x:v>
      </x:c>
      <x:c r="F355" s="20" t="str">
        <x:v>U007</x:v>
      </x:c>
      <x:c r="G355" s="20" t="str">
        <x:v>L007</x:v>
      </x:c>
      <x:c r="H355" s="20" t="str">
        <x:v>1100 Tenant Accounts Receivable</x:v>
      </x:c>
      <x:c r="I355" s="26" t="n">
        <x:v>1125</x:v>
      </x:c>
      <x:c r="J355" s="26" t="n">
        <x:v>0</x:v>
      </x:c>
      <x:c r="K355" s="35" t="str">
        <x:v>March 2027 rent</x:v>
      </x:c>
    </x:row>
    <x:row r="356">
      <x:c r="A356" s="20" t="str">
        <x:v>FIN-00174</x:v>
      </x:c>
      <x:c r="B356" s="32" t="n">
        <x:v>2</x:v>
      </x:c>
      <x:c r="C356" s="23" t="n">
        <x:v>46447</x:v>
      </x:c>
      <x:c r="D356" s="23" t="n">
        <x:v>46447</x:v>
      </x:c>
      <x:c r="E356" s="20" t="str">
        <x:v>P007</x:v>
      </x:c>
      <x:c r="F356" s="20" t="str">
        <x:v>U007</x:v>
      </x:c>
      <x:c r="G356" s="20" t="str">
        <x:v>L007</x:v>
      </x:c>
      <x:c r="H356" s="20" t="str">
        <x:v>4000 Rental Income</x:v>
      </x:c>
      <x:c r="I356" s="26" t="n">
        <x:v>0</x:v>
      </x:c>
      <x:c r="J356" s="26" t="n">
        <x:v>1125</x:v>
      </x:c>
      <x:c r="K356" s="35" t="str">
        <x:v>March 2027 rent</x:v>
      </x:c>
    </x:row>
    <x:row r="357">
      <x:c r="A357" s="20" t="str">
        <x:v>FIN-00175</x:v>
      </x:c>
      <x:c r="B357" s="32" t="n">
        <x:v>1</x:v>
      </x:c>
      <x:c r="C357" s="23" t="n">
        <x:v>46450</x:v>
      </x:c>
      <x:c r="D357" s="23" t="n">
        <x:v>46450</x:v>
      </x:c>
      <x:c r="E357" s="20" t="str">
        <x:v>P007</x:v>
      </x:c>
      <x:c r="F357" s="20" t="str">
        <x:v>U007</x:v>
      </x:c>
      <x:c r="G357" s="20" t="str">
        <x:v>L007</x:v>
      </x:c>
      <x:c r="H357" s="20" t="str">
        <x:v>1000 Operating Cash</x:v>
      </x:c>
      <x:c r="I357" s="26" t="n">
        <x:v>1125</x:v>
      </x:c>
      <x:c r="J357" s="26" t="n">
        <x:v>0</x:v>
      </x:c>
      <x:c r="K357" s="35" t="str">
        <x:v>Receipt allocated to FIN-00174</x:v>
      </x:c>
    </x:row>
    <x:row r="358">
      <x:c r="A358" s="20" t="str">
        <x:v>FIN-00175</x:v>
      </x:c>
      <x:c r="B358" s="32" t="n">
        <x:v>2</x:v>
      </x:c>
      <x:c r="C358" s="23" t="n">
        <x:v>46450</x:v>
      </x:c>
      <x:c r="D358" s="23" t="n">
        <x:v>46450</x:v>
      </x:c>
      <x:c r="E358" s="20" t="str">
        <x:v>P007</x:v>
      </x:c>
      <x:c r="F358" s="20" t="str">
        <x:v>U007</x:v>
      </x:c>
      <x:c r="G358" s="20" t="str">
        <x:v>L007</x:v>
      </x:c>
      <x:c r="H358" s="20" t="str">
        <x:v>1100 Tenant Accounts Receivable</x:v>
      </x:c>
      <x:c r="I358" s="26" t="n">
        <x:v>0</x:v>
      </x:c>
      <x:c r="J358" s="26" t="n">
        <x:v>1125</x:v>
      </x:c>
      <x:c r="K358" s="35" t="str">
        <x:v>Receipt allocated to FIN-00174</x:v>
      </x:c>
    </x:row>
    <x:row r="359">
      <x:c r="A359" s="20" t="str">
        <x:v>FIN-00176</x:v>
      </x:c>
      <x:c r="B359" s="32" t="n">
        <x:v>1</x:v>
      </x:c>
      <x:c r="C359" s="23" t="n">
        <x:v>46447</x:v>
      </x:c>
      <x:c r="D359" s="23" t="n">
        <x:v>46447</x:v>
      </x:c>
      <x:c r="E359" s="20" t="str">
        <x:v>P008</x:v>
      </x:c>
      <x:c r="F359" s="20" t="str">
        <x:v>U008</x:v>
      </x:c>
      <x:c r="G359" s="20" t="str">
        <x:v>L008</x:v>
      </x:c>
      <x:c r="H359" s="20" t="str">
        <x:v>1100 Tenant Accounts Receivable</x:v>
      </x:c>
      <x:c r="I359" s="26" t="n">
        <x:v>1650</x:v>
      </x:c>
      <x:c r="J359" s="26" t="n">
        <x:v>0</x:v>
      </x:c>
      <x:c r="K359" s="35" t="str">
        <x:v>March 2027 rent</x:v>
      </x:c>
    </x:row>
    <x:row r="360">
      <x:c r="A360" s="20" t="str">
        <x:v>FIN-00176</x:v>
      </x:c>
      <x:c r="B360" s="32" t="n">
        <x:v>2</x:v>
      </x:c>
      <x:c r="C360" s="23" t="n">
        <x:v>46447</x:v>
      </x:c>
      <x:c r="D360" s="23" t="n">
        <x:v>46447</x:v>
      </x:c>
      <x:c r="E360" s="20" t="str">
        <x:v>P008</x:v>
      </x:c>
      <x:c r="F360" s="20" t="str">
        <x:v>U008</x:v>
      </x:c>
      <x:c r="G360" s="20" t="str">
        <x:v>L008</x:v>
      </x:c>
      <x:c r="H360" s="20" t="str">
        <x:v>4000 Rental Income</x:v>
      </x:c>
      <x:c r="I360" s="26" t="n">
        <x:v>0</x:v>
      </x:c>
      <x:c r="J360" s="26" t="n">
        <x:v>1650</x:v>
      </x:c>
      <x:c r="K360" s="35" t="str">
        <x:v>March 2027 rent</x:v>
      </x:c>
    </x:row>
    <x:row r="361">
      <x:c r="A361" s="20" t="str">
        <x:v>FIN-00177</x:v>
      </x:c>
      <x:c r="B361" s="32" t="n">
        <x:v>1</x:v>
      </x:c>
      <x:c r="C361" s="23" t="n">
        <x:v>46451</x:v>
      </x:c>
      <x:c r="D361" s="23" t="n">
        <x:v>46451</x:v>
      </x:c>
      <x:c r="E361" s="20" t="str">
        <x:v>P008</x:v>
      </x:c>
      <x:c r="F361" s="20" t="str">
        <x:v>U008</x:v>
      </x:c>
      <x:c r="G361" s="20" t="str">
        <x:v>L008</x:v>
      </x:c>
      <x:c r="H361" s="20" t="str">
        <x:v>1000 Operating Cash</x:v>
      </x:c>
      <x:c r="I361" s="26" t="n">
        <x:v>1650</x:v>
      </x:c>
      <x:c r="J361" s="26" t="n">
        <x:v>0</x:v>
      </x:c>
      <x:c r="K361" s="35" t="str">
        <x:v>Receipt allocated to FIN-00176</x:v>
      </x:c>
    </x:row>
    <x:row r="362">
      <x:c r="A362" s="20" t="str">
        <x:v>FIN-00177</x:v>
      </x:c>
      <x:c r="B362" s="32" t="n">
        <x:v>2</x:v>
      </x:c>
      <x:c r="C362" s="23" t="n">
        <x:v>46451</x:v>
      </x:c>
      <x:c r="D362" s="23" t="n">
        <x:v>46451</x:v>
      </x:c>
      <x:c r="E362" s="20" t="str">
        <x:v>P008</x:v>
      </x:c>
      <x:c r="F362" s="20" t="str">
        <x:v>U008</x:v>
      </x:c>
      <x:c r="G362" s="20" t="str">
        <x:v>L008</x:v>
      </x:c>
      <x:c r="H362" s="20" t="str">
        <x:v>1100 Tenant Accounts Receivable</x:v>
      </x:c>
      <x:c r="I362" s="26" t="n">
        <x:v>0</x:v>
      </x:c>
      <x:c r="J362" s="26" t="n">
        <x:v>1650</x:v>
      </x:c>
      <x:c r="K362" s="35" t="str">
        <x:v>Receipt allocated to FIN-00176</x:v>
      </x:c>
    </x:row>
    <x:row r="363">
      <x:c r="A363" s="20" t="str">
        <x:v>FIN-00178</x:v>
      </x:c>
      <x:c r="B363" s="32" t="n">
        <x:v>1</x:v>
      </x:c>
      <x:c r="C363" s="23" t="n">
        <x:v>46447</x:v>
      </x:c>
      <x:c r="D363" s="23" t="n">
        <x:v>46447</x:v>
      </x:c>
      <x:c r="E363" s="20" t="str">
        <x:v>P009</x:v>
      </x:c>
      <x:c r="F363" s="20" t="str">
        <x:v>U009</x:v>
      </x:c>
      <x:c r="G363" s="20" t="str">
        <x:v>L009</x:v>
      </x:c>
      <x:c r="H363" s="20" t="str">
        <x:v>1100 Tenant Accounts Receivable</x:v>
      </x:c>
      <x:c r="I363" s="26" t="n">
        <x:v>1275</x:v>
      </x:c>
      <x:c r="J363" s="26" t="n">
        <x:v>0</x:v>
      </x:c>
      <x:c r="K363" s="35" t="str">
        <x:v>March 2027 rent</x:v>
      </x:c>
    </x:row>
    <x:row r="364">
      <x:c r="A364" s="20" t="str">
        <x:v>FIN-00178</x:v>
      </x:c>
      <x:c r="B364" s="32" t="n">
        <x:v>2</x:v>
      </x:c>
      <x:c r="C364" s="23" t="n">
        <x:v>46447</x:v>
      </x:c>
      <x:c r="D364" s="23" t="n">
        <x:v>46447</x:v>
      </x:c>
      <x:c r="E364" s="20" t="str">
        <x:v>P009</x:v>
      </x:c>
      <x:c r="F364" s="20" t="str">
        <x:v>U009</x:v>
      </x:c>
      <x:c r="G364" s="20" t="str">
        <x:v>L009</x:v>
      </x:c>
      <x:c r="H364" s="20" t="str">
        <x:v>4000 Rental Income</x:v>
      </x:c>
      <x:c r="I364" s="26" t="n">
        <x:v>0</x:v>
      </x:c>
      <x:c r="J364" s="26" t="n">
        <x:v>1275</x:v>
      </x:c>
      <x:c r="K364" s="35" t="str">
        <x:v>March 2027 rent</x:v>
      </x:c>
    </x:row>
    <x:row r="365">
      <x:c r="A365" s="20" t="str">
        <x:v>FIN-00179</x:v>
      </x:c>
      <x:c r="B365" s="32" t="n">
        <x:v>1</x:v>
      </x:c>
      <x:c r="C365" s="23" t="n">
        <x:v>46449</x:v>
      </x:c>
      <x:c r="D365" s="23" t="n">
        <x:v>46449</x:v>
      </x:c>
      <x:c r="E365" s="20" t="str">
        <x:v>P009</x:v>
      </x:c>
      <x:c r="F365" s="20" t="str">
        <x:v>U009</x:v>
      </x:c>
      <x:c r="G365" s="20" t="str">
        <x:v>L009</x:v>
      </x:c>
      <x:c r="H365" s="20" t="str">
        <x:v>1000 Operating Cash</x:v>
      </x:c>
      <x:c r="I365" s="26" t="n">
        <x:v>1275</x:v>
      </x:c>
      <x:c r="J365" s="26" t="n">
        <x:v>0</x:v>
      </x:c>
      <x:c r="K365" s="35" t="str">
        <x:v>Receipt allocated to FIN-00178</x:v>
      </x:c>
    </x:row>
    <x:row r="366">
      <x:c r="A366" s="20" t="str">
        <x:v>FIN-00179</x:v>
      </x:c>
      <x:c r="B366" s="32" t="n">
        <x:v>2</x:v>
      </x:c>
      <x:c r="C366" s="23" t="n">
        <x:v>46449</x:v>
      </x:c>
      <x:c r="D366" s="23" t="n">
        <x:v>46449</x:v>
      </x:c>
      <x:c r="E366" s="20" t="str">
        <x:v>P009</x:v>
      </x:c>
      <x:c r="F366" s="20" t="str">
        <x:v>U009</x:v>
      </x:c>
      <x:c r="G366" s="20" t="str">
        <x:v>L009</x:v>
      </x:c>
      <x:c r="H366" s="20" t="str">
        <x:v>1100 Tenant Accounts Receivable</x:v>
      </x:c>
      <x:c r="I366" s="26" t="n">
        <x:v>0</x:v>
      </x:c>
      <x:c r="J366" s="26" t="n">
        <x:v>1275</x:v>
      </x:c>
      <x:c r="K366" s="35" t="str">
        <x:v>Receipt allocated to FIN-00178</x:v>
      </x:c>
    </x:row>
    <x:row r="367">
      <x:c r="A367" s="20" t="str">
        <x:v>FIN-00180</x:v>
      </x:c>
      <x:c r="B367" s="32" t="n">
        <x:v>1</x:v>
      </x:c>
      <x:c r="C367" s="23" t="n">
        <x:v>46447</x:v>
      </x:c>
      <x:c r="D367" s="23" t="n">
        <x:v>46447</x:v>
      </x:c>
      <x:c r="E367" s="20" t="str">
        <x:v>P010</x:v>
      </x:c>
      <x:c r="F367" s="20" t="str">
        <x:v>U010</x:v>
      </x:c>
      <x:c r="G367" s="20" t="str">
        <x:v>L010</x:v>
      </x:c>
      <x:c r="H367" s="20" t="str">
        <x:v>1100 Tenant Accounts Receivable</x:v>
      </x:c>
      <x:c r="I367" s="26" t="n">
        <x:v>1800</x:v>
      </x:c>
      <x:c r="J367" s="26" t="n">
        <x:v>0</x:v>
      </x:c>
      <x:c r="K367" s="35" t="str">
        <x:v>March 2027 rent</x:v>
      </x:c>
    </x:row>
    <x:row r="368">
      <x:c r="A368" s="20" t="str">
        <x:v>FIN-00180</x:v>
      </x:c>
      <x:c r="B368" s="32" t="n">
        <x:v>2</x:v>
      </x:c>
      <x:c r="C368" s="23" t="n">
        <x:v>46447</x:v>
      </x:c>
      <x:c r="D368" s="23" t="n">
        <x:v>46447</x:v>
      </x:c>
      <x:c r="E368" s="20" t="str">
        <x:v>P010</x:v>
      </x:c>
      <x:c r="F368" s="20" t="str">
        <x:v>U010</x:v>
      </x:c>
      <x:c r="G368" s="20" t="str">
        <x:v>L010</x:v>
      </x:c>
      <x:c r="H368" s="20" t="str">
        <x:v>4000 Rental Income</x:v>
      </x:c>
      <x:c r="I368" s="26" t="n">
        <x:v>0</x:v>
      </x:c>
      <x:c r="J368" s="26" t="n">
        <x:v>1800</x:v>
      </x:c>
      <x:c r="K368" s="35" t="str">
        <x:v>March 2027 rent</x:v>
      </x:c>
    </x:row>
    <x:row r="369">
      <x:c r="A369" s="20" t="str">
        <x:v>FIN-00181</x:v>
      </x:c>
      <x:c r="B369" s="32" t="n">
        <x:v>1</x:v>
      </x:c>
      <x:c r="C369" s="23" t="n">
        <x:v>46450</x:v>
      </x:c>
      <x:c r="D369" s="23" t="n">
        <x:v>46450</x:v>
      </x:c>
      <x:c r="E369" s="20" t="str">
        <x:v>P010</x:v>
      </x:c>
      <x:c r="F369" s="20" t="str">
        <x:v>U010</x:v>
      </x:c>
      <x:c r="G369" s="20" t="str">
        <x:v>L010</x:v>
      </x:c>
      <x:c r="H369" s="20" t="str">
        <x:v>1000 Operating Cash</x:v>
      </x:c>
      <x:c r="I369" s="26" t="n">
        <x:v>1800</x:v>
      </x:c>
      <x:c r="J369" s="26" t="n">
        <x:v>0</x:v>
      </x:c>
      <x:c r="K369" s="35" t="str">
        <x:v>Receipt allocated to FIN-00180</x:v>
      </x:c>
    </x:row>
    <x:row r="370">
      <x:c r="A370" s="20" t="str">
        <x:v>FIN-00181</x:v>
      </x:c>
      <x:c r="B370" s="32" t="n">
        <x:v>2</x:v>
      </x:c>
      <x:c r="C370" s="23" t="n">
        <x:v>46450</x:v>
      </x:c>
      <x:c r="D370" s="23" t="n">
        <x:v>46450</x:v>
      </x:c>
      <x:c r="E370" s="20" t="str">
        <x:v>P010</x:v>
      </x:c>
      <x:c r="F370" s="20" t="str">
        <x:v>U010</x:v>
      </x:c>
      <x:c r="G370" s="20" t="str">
        <x:v>L010</x:v>
      </x:c>
      <x:c r="H370" s="20" t="str">
        <x:v>1100 Tenant Accounts Receivable</x:v>
      </x:c>
      <x:c r="I370" s="26" t="n">
        <x:v>0</x:v>
      </x:c>
      <x:c r="J370" s="26" t="n">
        <x:v>1800</x:v>
      </x:c>
      <x:c r="K370" s="35" t="str">
        <x:v>Receipt allocated to FIN-00180</x:v>
      </x:c>
    </x:row>
    <x:row r="371">
      <x:c r="A371" s="20" t="str">
        <x:v>FIN-00182</x:v>
      </x:c>
      <x:c r="B371" s="32" t="n">
        <x:v>1</x:v>
      </x:c>
      <x:c r="C371" s="23" t="n">
        <x:v>46447</x:v>
      </x:c>
      <x:c r="D371" s="23" t="n">
        <x:v>46447</x:v>
      </x:c>
      <x:c r="E371" s="20" t="str">
        <x:v>P011</x:v>
      </x:c>
      <x:c r="F371" s="20" t="str">
        <x:v>U011</x:v>
      </x:c>
      <x:c r="G371" s="20" t="str">
        <x:v>L011</x:v>
      </x:c>
      <x:c r="H371" s="20" t="str">
        <x:v>1100 Tenant Accounts Receivable</x:v>
      </x:c>
      <x:c r="I371" s="26" t="n">
        <x:v>1425</x:v>
      </x:c>
      <x:c r="J371" s="26" t="n">
        <x:v>0</x:v>
      </x:c>
      <x:c r="K371" s="35" t="str">
        <x:v>March 2027 rent</x:v>
      </x:c>
    </x:row>
    <x:row r="372">
      <x:c r="A372" s="20" t="str">
        <x:v>FIN-00182</x:v>
      </x:c>
      <x:c r="B372" s="32" t="n">
        <x:v>2</x:v>
      </x:c>
      <x:c r="C372" s="23" t="n">
        <x:v>46447</x:v>
      </x:c>
      <x:c r="D372" s="23" t="n">
        <x:v>46447</x:v>
      </x:c>
      <x:c r="E372" s="20" t="str">
        <x:v>P011</x:v>
      </x:c>
      <x:c r="F372" s="20" t="str">
        <x:v>U011</x:v>
      </x:c>
      <x:c r="G372" s="20" t="str">
        <x:v>L011</x:v>
      </x:c>
      <x:c r="H372" s="20" t="str">
        <x:v>4000 Rental Income</x:v>
      </x:c>
      <x:c r="I372" s="26" t="n">
        <x:v>0</x:v>
      </x:c>
      <x:c r="J372" s="26" t="n">
        <x:v>1425</x:v>
      </x:c>
      <x:c r="K372" s="35" t="str">
        <x:v>March 2027 rent</x:v>
      </x:c>
    </x:row>
    <x:row r="373">
      <x:c r="A373" s="20" t="str">
        <x:v>FIN-00183</x:v>
      </x:c>
      <x:c r="B373" s="32" t="n">
        <x:v>1</x:v>
      </x:c>
      <x:c r="C373" s="23" t="n">
        <x:v>46449</x:v>
      </x:c>
      <x:c r="D373" s="23" t="n">
        <x:v>46449</x:v>
      </x:c>
      <x:c r="E373" s="20" t="str">
        <x:v>P011</x:v>
      </x:c>
      <x:c r="F373" s="20" t="str">
        <x:v>U011</x:v>
      </x:c>
      <x:c r="G373" s="20" t="str">
        <x:v>L011</x:v>
      </x:c>
      <x:c r="H373" s="20" t="str">
        <x:v>1000 Operating Cash</x:v>
      </x:c>
      <x:c r="I373" s="26" t="n">
        <x:v>855</x:v>
      </x:c>
      <x:c r="J373" s="26" t="n">
        <x:v>0</x:v>
      </x:c>
      <x:c r="K373" s="35" t="str">
        <x:v>Receipt allocated to FIN-00182</x:v>
      </x:c>
    </x:row>
    <x:row r="374">
      <x:c r="A374" s="20" t="str">
        <x:v>FIN-00183</x:v>
      </x:c>
      <x:c r="B374" s="32" t="n">
        <x:v>2</x:v>
      </x:c>
      <x:c r="C374" s="23" t="n">
        <x:v>46449</x:v>
      </x:c>
      <x:c r="D374" s="23" t="n">
        <x:v>46449</x:v>
      </x:c>
      <x:c r="E374" s="20" t="str">
        <x:v>P011</x:v>
      </x:c>
      <x:c r="F374" s="20" t="str">
        <x:v>U011</x:v>
      </x:c>
      <x:c r="G374" s="20" t="str">
        <x:v>L011</x:v>
      </x:c>
      <x:c r="H374" s="20" t="str">
        <x:v>1100 Tenant Accounts Receivable</x:v>
      </x:c>
      <x:c r="I374" s="26" t="n">
        <x:v>0</x:v>
      </x:c>
      <x:c r="J374" s="26" t="n">
        <x:v>855</x:v>
      </x:c>
      <x:c r="K374" s="35" t="str">
        <x:v>Receipt allocated to FIN-00182</x:v>
      </x:c>
    </x:row>
    <x:row r="375">
      <x:c r="A375" s="20" t="str">
        <x:v>FIN-00184</x:v>
      </x:c>
      <x:c r="B375" s="32" t="n">
        <x:v>1</x:v>
      </x:c>
      <x:c r="C375" s="23" t="n">
        <x:v>46452</x:v>
      </x:c>
      <x:c r="D375" s="23" t="n">
        <x:v>46452</x:v>
      </x:c>
      <x:c r="E375" s="20" t="str">
        <x:v>P011</x:v>
      </x:c>
      <x:c r="F375" s="20" t="str">
        <x:v>U011</x:v>
      </x:c>
      <x:c r="G375" s="20" t="str">
        <x:v>L011</x:v>
      </x:c>
      <x:c r="H375" s="20" t="str">
        <x:v>1100 Tenant Accounts Receivable</x:v>
      </x:c>
      <x:c r="I375" s="26" t="n">
        <x:v>50</x:v>
      </x:c>
      <x:c r="J375" s="26" t="n">
        <x:v>0</x:v>
      </x:c>
      <x:c r="K375" s="35" t="str">
        <x:v>Synthetic lease-authorized late fee after partial payment</x:v>
      </x:c>
    </x:row>
    <x:row r="376">
      <x:c r="A376" s="20" t="str">
        <x:v>FIN-00184</x:v>
      </x:c>
      <x:c r="B376" s="32" t="n">
        <x:v>2</x:v>
      </x:c>
      <x:c r="C376" s="23" t="n">
        <x:v>46452</x:v>
      </x:c>
      <x:c r="D376" s="23" t="n">
        <x:v>46452</x:v>
      </x:c>
      <x:c r="E376" s="20" t="str">
        <x:v>P011</x:v>
      </x:c>
      <x:c r="F376" s="20" t="str">
        <x:v>U011</x:v>
      </x:c>
      <x:c r="G376" s="20" t="str">
        <x:v>L011</x:v>
      </x:c>
      <x:c r="H376" s="20" t="str">
        <x:v>4010 Late Fee Income</x:v>
      </x:c>
      <x:c r="I376" s="26" t="n">
        <x:v>0</x:v>
      </x:c>
      <x:c r="J376" s="26" t="n">
        <x:v>50</x:v>
      </x:c>
      <x:c r="K376" s="35" t="str">
        <x:v>Synthetic lease-authorized late fee after partial payment</x:v>
      </x:c>
    </x:row>
    <x:row r="377">
      <x:c r="A377" s="20" t="str">
        <x:v>FIN-00185</x:v>
      </x:c>
      <x:c r="B377" s="32" t="n">
        <x:v>1</x:v>
      </x:c>
      <x:c r="C377" s="23" t="n">
        <x:v>46458</x:v>
      </x:c>
      <x:c r="D377" s="23" t="n">
        <x:v>46458</x:v>
      </x:c>
      <x:c r="E377" s="20" t="str">
        <x:v>P011</x:v>
      </x:c>
      <x:c r="F377" s="20" t="str">
        <x:v>U011</x:v>
      </x:c>
      <x:c r="G377" s="20" t="str">
        <x:v>L011</x:v>
      </x:c>
      <x:c r="H377" s="20" t="str">
        <x:v>1000 Operating Cash</x:v>
      </x:c>
      <x:c r="I377" s="26" t="n">
        <x:v>620</x:v>
      </x:c>
      <x:c r="J377" s="26" t="n">
        <x:v>0</x:v>
      </x:c>
      <x:c r="K377" s="35" t="str">
        <x:v>Receipt allocated to FIN-00184</x:v>
      </x:c>
    </x:row>
    <x:row r="378">
      <x:c r="A378" s="20" t="str">
        <x:v>FIN-00185</x:v>
      </x:c>
      <x:c r="B378" s="32" t="n">
        <x:v>2</x:v>
      </x:c>
      <x:c r="C378" s="23" t="n">
        <x:v>46458</x:v>
      </x:c>
      <x:c r="D378" s="23" t="n">
        <x:v>46458</x:v>
      </x:c>
      <x:c r="E378" s="20" t="str">
        <x:v>P011</x:v>
      </x:c>
      <x:c r="F378" s="20" t="str">
        <x:v>U011</x:v>
      </x:c>
      <x:c r="G378" s="20" t="str">
        <x:v>L011</x:v>
      </x:c>
      <x:c r="H378" s="20" t="str">
        <x:v>1100 Tenant Accounts Receivable</x:v>
      </x:c>
      <x:c r="I378" s="26" t="n">
        <x:v>0</x:v>
      </x:c>
      <x:c r="J378" s="26" t="n">
        <x:v>620</x:v>
      </x:c>
      <x:c r="K378" s="35" t="str">
        <x:v>Receipt allocated to FIN-00184</x:v>
      </x:c>
    </x:row>
    <x:row r="379">
      <x:c r="A379" s="20" t="str">
        <x:v>FIN-00186</x:v>
      </x:c>
      <x:c r="B379" s="32" t="n">
        <x:v>1</x:v>
      </x:c>
      <x:c r="C379" s="23" t="n">
        <x:v>46447</x:v>
      </x:c>
      <x:c r="D379" s="23" t="n">
        <x:v>46447</x:v>
      </x:c>
      <x:c r="E379" s="20" t="str">
        <x:v>P012</x:v>
      </x:c>
      <x:c r="F379" s="20" t="str">
        <x:v>U012</x:v>
      </x:c>
      <x:c r="G379" s="20" t="str">
        <x:v>L012</x:v>
      </x:c>
      <x:c r="H379" s="20" t="str">
        <x:v>1100 Tenant Accounts Receivable</x:v>
      </x:c>
      <x:c r="I379" s="26" t="n">
        <x:v>1050</x:v>
      </x:c>
      <x:c r="J379" s="26" t="n">
        <x:v>0</x:v>
      </x:c>
      <x:c r="K379" s="35" t="str">
        <x:v>March 2027 rent</x:v>
      </x:c>
    </x:row>
    <x:row r="380">
      <x:c r="A380" s="20" t="str">
        <x:v>FIN-00186</x:v>
      </x:c>
      <x:c r="B380" s="32" t="n">
        <x:v>2</x:v>
      </x:c>
      <x:c r="C380" s="23" t="n">
        <x:v>46447</x:v>
      </x:c>
      <x:c r="D380" s="23" t="n">
        <x:v>46447</x:v>
      </x:c>
      <x:c r="E380" s="20" t="str">
        <x:v>P012</x:v>
      </x:c>
      <x:c r="F380" s="20" t="str">
        <x:v>U012</x:v>
      </x:c>
      <x:c r="G380" s="20" t="str">
        <x:v>L012</x:v>
      </x:c>
      <x:c r="H380" s="20" t="str">
        <x:v>4000 Rental Income</x:v>
      </x:c>
      <x:c r="I380" s="26" t="n">
        <x:v>0</x:v>
      </x:c>
      <x:c r="J380" s="26" t="n">
        <x:v>1050</x:v>
      </x:c>
      <x:c r="K380" s="35" t="str">
        <x:v>March 2027 rent</x:v>
      </x:c>
    </x:row>
    <x:row r="381">
      <x:c r="A381" s="20" t="str">
        <x:v>FIN-00187</x:v>
      </x:c>
      <x:c r="B381" s="32" t="n">
        <x:v>1</x:v>
      </x:c>
      <x:c r="C381" s="23" t="n">
        <x:v>46449</x:v>
      </x:c>
      <x:c r="D381" s="23" t="n">
        <x:v>46449</x:v>
      </x:c>
      <x:c r="E381" s="20" t="str">
        <x:v>P012</x:v>
      </x:c>
      <x:c r="F381" s="20" t="str">
        <x:v>U012</x:v>
      </x:c>
      <x:c r="G381" s="20" t="str">
        <x:v>L012</x:v>
      </x:c>
      <x:c r="H381" s="20" t="str">
        <x:v>1000 Operating Cash</x:v>
      </x:c>
      <x:c r="I381" s="26" t="n">
        <x:v>1050</x:v>
      </x:c>
      <x:c r="J381" s="26" t="n">
        <x:v>0</x:v>
      </x:c>
      <x:c r="K381" s="35" t="str">
        <x:v>Receipt allocated to FIN-00186</x:v>
      </x:c>
    </x:row>
    <x:row r="382">
      <x:c r="A382" s="20" t="str">
        <x:v>FIN-00187</x:v>
      </x:c>
      <x:c r="B382" s="32" t="n">
        <x:v>2</x:v>
      </x:c>
      <x:c r="C382" s="23" t="n">
        <x:v>46449</x:v>
      </x:c>
      <x:c r="D382" s="23" t="n">
        <x:v>46449</x:v>
      </x:c>
      <x:c r="E382" s="20" t="str">
        <x:v>P012</x:v>
      </x:c>
      <x:c r="F382" s="20" t="str">
        <x:v>U012</x:v>
      </x:c>
      <x:c r="G382" s="20" t="str">
        <x:v>L012</x:v>
      </x:c>
      <x:c r="H382" s="20" t="str">
        <x:v>1100 Tenant Accounts Receivable</x:v>
      </x:c>
      <x:c r="I382" s="26" t="n">
        <x:v>0</x:v>
      </x:c>
      <x:c r="J382" s="26" t="n">
        <x:v>1050</x:v>
      </x:c>
      <x:c r="K382" s="35" t="str">
        <x:v>Receipt allocated to FIN-00186</x:v>
      </x:c>
    </x:row>
    <x:row r="383">
      <x:c r="A383" s="20" t="str">
        <x:v>FIN-00188</x:v>
      </x:c>
      <x:c r="B383" s="32" t="n">
        <x:v>1</x:v>
      </x:c>
      <x:c r="C383" s="23" t="n">
        <x:v>46447</x:v>
      </x:c>
      <x:c r="D383" s="23" t="n">
        <x:v>46447</x:v>
      </x:c>
      <x:c r="E383" s="20" t="str">
        <x:v>P013</x:v>
      </x:c>
      <x:c r="F383" s="20" t="str">
        <x:v>U013</x:v>
      </x:c>
      <x:c r="G383" s="20" t="str">
        <x:v>L013</x:v>
      </x:c>
      <x:c r="H383" s="20" t="str">
        <x:v>1100 Tenant Accounts Receivable</x:v>
      </x:c>
      <x:c r="I383" s="26" t="n">
        <x:v>1575</x:v>
      </x:c>
      <x:c r="J383" s="26" t="n">
        <x:v>0</x:v>
      </x:c>
      <x:c r="K383" s="35" t="str">
        <x:v>March 2027 rent</x:v>
      </x:c>
    </x:row>
    <x:row r="384">
      <x:c r="A384" s="20" t="str">
        <x:v>FIN-00188</x:v>
      </x:c>
      <x:c r="B384" s="32" t="n">
        <x:v>2</x:v>
      </x:c>
      <x:c r="C384" s="23" t="n">
        <x:v>46447</x:v>
      </x:c>
      <x:c r="D384" s="23" t="n">
        <x:v>46447</x:v>
      </x:c>
      <x:c r="E384" s="20" t="str">
        <x:v>P013</x:v>
      </x:c>
      <x:c r="F384" s="20" t="str">
        <x:v>U013</x:v>
      </x:c>
      <x:c r="G384" s="20" t="str">
        <x:v>L013</x:v>
      </x:c>
      <x:c r="H384" s="20" t="str">
        <x:v>4000 Rental Income</x:v>
      </x:c>
      <x:c r="I384" s="26" t="n">
        <x:v>0</x:v>
      </x:c>
      <x:c r="J384" s="26" t="n">
        <x:v>1575</x:v>
      </x:c>
      <x:c r="K384" s="35" t="str">
        <x:v>March 2027 rent</x:v>
      </x:c>
    </x:row>
    <x:row r="385">
      <x:c r="A385" s="20" t="str">
        <x:v>FIN-00189</x:v>
      </x:c>
      <x:c r="B385" s="32" t="n">
        <x:v>1</x:v>
      </x:c>
      <x:c r="C385" s="23" t="n">
        <x:v>46452</x:v>
      </x:c>
      <x:c r="D385" s="23" t="n">
        <x:v>46452</x:v>
      </x:c>
      <x:c r="E385" s="20" t="str">
        <x:v>P013</x:v>
      </x:c>
      <x:c r="F385" s="20" t="str">
        <x:v>U013</x:v>
      </x:c>
      <x:c r="G385" s="20" t="str">
        <x:v>L013</x:v>
      </x:c>
      <x:c r="H385" s="20" t="str">
        <x:v>1100 Tenant Accounts Receivable</x:v>
      </x:c>
      <x:c r="I385" s="26" t="n">
        <x:v>50</x:v>
      </x:c>
      <x:c r="J385" s="26" t="n">
        <x:v>0</x:v>
      </x:c>
      <x:c r="K385" s="35" t="str">
        <x:v>Synthetic lease-authorized late fee</x:v>
      </x:c>
    </x:row>
    <x:row r="386">
      <x:c r="A386" s="20" t="str">
        <x:v>FIN-00189</x:v>
      </x:c>
      <x:c r="B386" s="32" t="n">
        <x:v>2</x:v>
      </x:c>
      <x:c r="C386" s="23" t="n">
        <x:v>46452</x:v>
      </x:c>
      <x:c r="D386" s="23" t="n">
        <x:v>46452</x:v>
      </x:c>
      <x:c r="E386" s="20" t="str">
        <x:v>P013</x:v>
      </x:c>
      <x:c r="F386" s="20" t="str">
        <x:v>U013</x:v>
      </x:c>
      <x:c r="G386" s="20" t="str">
        <x:v>L013</x:v>
      </x:c>
      <x:c r="H386" s="20" t="str">
        <x:v>4010 Late Fee Income</x:v>
      </x:c>
      <x:c r="I386" s="26" t="n">
        <x:v>0</x:v>
      </x:c>
      <x:c r="J386" s="26" t="n">
        <x:v>50</x:v>
      </x:c>
      <x:c r="K386" s="35" t="str">
        <x:v>Synthetic lease-authorized late fee</x:v>
      </x:c>
    </x:row>
    <x:row r="387">
      <x:c r="A387" s="20" t="str">
        <x:v>FIN-00190</x:v>
      </x:c>
      <x:c r="B387" s="32" t="n">
        <x:v>1</x:v>
      </x:c>
      <x:c r="C387" s="23" t="n">
        <x:v>46454</x:v>
      </x:c>
      <x:c r="D387" s="23" t="n">
        <x:v>46454</x:v>
      </x:c>
      <x:c r="E387" s="20" t="str">
        <x:v>P013</x:v>
      </x:c>
      <x:c r="F387" s="20" t="str">
        <x:v>U013</x:v>
      </x:c>
      <x:c r="G387" s="20" t="str">
        <x:v>L013</x:v>
      </x:c>
      <x:c r="H387" s="20" t="str">
        <x:v>1000 Operating Cash</x:v>
      </x:c>
      <x:c r="I387" s="26" t="n">
        <x:v>1625</x:v>
      </x:c>
      <x:c r="J387" s="26" t="n">
        <x:v>0</x:v>
      </x:c>
      <x:c r="K387" s="35" t="str">
        <x:v>Receipt allocated to FIN-00189</x:v>
      </x:c>
    </x:row>
    <x:row r="388">
      <x:c r="A388" s="20" t="str">
        <x:v>FIN-00190</x:v>
      </x:c>
      <x:c r="B388" s="32" t="n">
        <x:v>2</x:v>
      </x:c>
      <x:c r="C388" s="23" t="n">
        <x:v>46454</x:v>
      </x:c>
      <x:c r="D388" s="23" t="n">
        <x:v>46454</x:v>
      </x:c>
      <x:c r="E388" s="20" t="str">
        <x:v>P013</x:v>
      </x:c>
      <x:c r="F388" s="20" t="str">
        <x:v>U013</x:v>
      </x:c>
      <x:c r="G388" s="20" t="str">
        <x:v>L013</x:v>
      </x:c>
      <x:c r="H388" s="20" t="str">
        <x:v>1100 Tenant Accounts Receivable</x:v>
      </x:c>
      <x:c r="I388" s="26" t="n">
        <x:v>0</x:v>
      </x:c>
      <x:c r="J388" s="26" t="n">
        <x:v>1625</x:v>
      </x:c>
      <x:c r="K388" s="35" t="str">
        <x:v>Receipt allocated to FIN-00189</x:v>
      </x:c>
    </x:row>
    <x:row r="389">
      <x:c r="A389" s="20" t="str">
        <x:v>FIN-00191</x:v>
      </x:c>
      <x:c r="B389" s="32" t="n">
        <x:v>1</x:v>
      </x:c>
      <x:c r="C389" s="23" t="n">
        <x:v>46447</x:v>
      </x:c>
      <x:c r="D389" s="23" t="n">
        <x:v>46447</x:v>
      </x:c>
      <x:c r="E389" s="20" t="str">
        <x:v>P014</x:v>
      </x:c>
      <x:c r="F389" s="20" t="str">
        <x:v>U014</x:v>
      </x:c>
      <x:c r="G389" s="20" t="str">
        <x:v>L014</x:v>
      </x:c>
      <x:c r="H389" s="20" t="str">
        <x:v>1100 Tenant Accounts Receivable</x:v>
      </x:c>
      <x:c r="I389" s="26" t="n">
        <x:v>1200</x:v>
      </x:c>
      <x:c r="J389" s="26" t="n">
        <x:v>0</x:v>
      </x:c>
      <x:c r="K389" s="35" t="str">
        <x:v>March 2027 rent</x:v>
      </x:c>
    </x:row>
    <x:row r="390">
      <x:c r="A390" s="20" t="str">
        <x:v>FIN-00191</x:v>
      </x:c>
      <x:c r="B390" s="32" t="n">
        <x:v>2</x:v>
      </x:c>
      <x:c r="C390" s="23" t="n">
        <x:v>46447</x:v>
      </x:c>
      <x:c r="D390" s="23" t="n">
        <x:v>46447</x:v>
      </x:c>
      <x:c r="E390" s="20" t="str">
        <x:v>P014</x:v>
      </x:c>
      <x:c r="F390" s="20" t="str">
        <x:v>U014</x:v>
      </x:c>
      <x:c r="G390" s="20" t="str">
        <x:v>L014</x:v>
      </x:c>
      <x:c r="H390" s="20" t="str">
        <x:v>4000 Rental Income</x:v>
      </x:c>
      <x:c r="I390" s="26" t="n">
        <x:v>0</x:v>
      </x:c>
      <x:c r="J390" s="26" t="n">
        <x:v>1200</x:v>
      </x:c>
      <x:c r="K390" s="35" t="str">
        <x:v>March 2027 rent</x:v>
      </x:c>
    </x:row>
    <x:row r="391">
      <x:c r="A391" s="20" t="str">
        <x:v>FIN-00192</x:v>
      </x:c>
      <x:c r="B391" s="32" t="n">
        <x:v>1</x:v>
      </x:c>
      <x:c r="C391" s="23" t="n">
        <x:v>46451</x:v>
      </x:c>
      <x:c r="D391" s="23" t="n">
        <x:v>46451</x:v>
      </x:c>
      <x:c r="E391" s="20" t="str">
        <x:v>P014</x:v>
      </x:c>
      <x:c r="F391" s="20" t="str">
        <x:v>U014</x:v>
      </x:c>
      <x:c r="G391" s="20" t="str">
        <x:v>L014</x:v>
      </x:c>
      <x:c r="H391" s="20" t="str">
        <x:v>1000 Operating Cash</x:v>
      </x:c>
      <x:c r="I391" s="26" t="n">
        <x:v>1200</x:v>
      </x:c>
      <x:c r="J391" s="26" t="n">
        <x:v>0</x:v>
      </x:c>
      <x:c r="K391" s="35" t="str">
        <x:v>Receipt allocated to FIN-00191</x:v>
      </x:c>
    </x:row>
    <x:row r="392">
      <x:c r="A392" s="20" t="str">
        <x:v>FIN-00192</x:v>
      </x:c>
      <x:c r="B392" s="32" t="n">
        <x:v>2</x:v>
      </x:c>
      <x:c r="C392" s="23" t="n">
        <x:v>46451</x:v>
      </x:c>
      <x:c r="D392" s="23" t="n">
        <x:v>46451</x:v>
      </x:c>
      <x:c r="E392" s="20" t="str">
        <x:v>P014</x:v>
      </x:c>
      <x:c r="F392" s="20" t="str">
        <x:v>U014</x:v>
      </x:c>
      <x:c r="G392" s="20" t="str">
        <x:v>L014</x:v>
      </x:c>
      <x:c r="H392" s="20" t="str">
        <x:v>1100 Tenant Accounts Receivable</x:v>
      </x:c>
      <x:c r="I392" s="26" t="n">
        <x:v>0</x:v>
      </x:c>
      <x:c r="J392" s="26" t="n">
        <x:v>1200</x:v>
      </x:c>
      <x:c r="K392" s="35" t="str">
        <x:v>Receipt allocated to FIN-00191</x:v>
      </x:c>
    </x:row>
    <x:row r="393">
      <x:c r="A393" s="20" t="str">
        <x:v>FIN-00193</x:v>
      </x:c>
      <x:c r="B393" s="32" t="n">
        <x:v>1</x:v>
      </x:c>
      <x:c r="C393" s="23" t="n">
        <x:v>46447</x:v>
      </x:c>
      <x:c r="D393" s="23" t="n">
        <x:v>46447</x:v>
      </x:c>
      <x:c r="E393" s="20" t="str">
        <x:v>P015</x:v>
      </x:c>
      <x:c r="F393" s="20" t="str">
        <x:v>U015</x:v>
      </x:c>
      <x:c r="G393" s="20" t="str">
        <x:v>L015</x:v>
      </x:c>
      <x:c r="H393" s="20" t="str">
        <x:v>1100 Tenant Accounts Receivable</x:v>
      </x:c>
      <x:c r="I393" s="26" t="n">
        <x:v>1725</x:v>
      </x:c>
      <x:c r="J393" s="26" t="n">
        <x:v>0</x:v>
      </x:c>
      <x:c r="K393" s="35" t="str">
        <x:v>March 2027 rent</x:v>
      </x:c>
    </x:row>
    <x:row r="394">
      <x:c r="A394" s="20" t="str">
        <x:v>FIN-00193</x:v>
      </x:c>
      <x:c r="B394" s="32" t="n">
        <x:v>2</x:v>
      </x:c>
      <x:c r="C394" s="23" t="n">
        <x:v>46447</x:v>
      </x:c>
      <x:c r="D394" s="23" t="n">
        <x:v>46447</x:v>
      </x:c>
      <x:c r="E394" s="20" t="str">
        <x:v>P015</x:v>
      </x:c>
      <x:c r="F394" s="20" t="str">
        <x:v>U015</x:v>
      </x:c>
      <x:c r="G394" s="20" t="str">
        <x:v>L015</x:v>
      </x:c>
      <x:c r="H394" s="20" t="str">
        <x:v>4000 Rental Income</x:v>
      </x:c>
      <x:c r="I394" s="26" t="n">
        <x:v>0</x:v>
      </x:c>
      <x:c r="J394" s="26" t="n">
        <x:v>1725</x:v>
      </x:c>
      <x:c r="K394" s="35" t="str">
        <x:v>March 2027 rent</x:v>
      </x:c>
    </x:row>
    <x:row r="395">
      <x:c r="A395" s="20" t="str">
        <x:v>FIN-00194</x:v>
      </x:c>
      <x:c r="B395" s="32" t="n">
        <x:v>1</x:v>
      </x:c>
      <x:c r="C395" s="23" t="n">
        <x:v>46449</x:v>
      </x:c>
      <x:c r="D395" s="23" t="n">
        <x:v>46449</x:v>
      </x:c>
      <x:c r="E395" s="20" t="str">
        <x:v>P015</x:v>
      </x:c>
      <x:c r="F395" s="20" t="str">
        <x:v>U015</x:v>
      </x:c>
      <x:c r="G395" s="20" t="str">
        <x:v>L015</x:v>
      </x:c>
      <x:c r="H395" s="20" t="str">
        <x:v>1000 Operating Cash</x:v>
      </x:c>
      <x:c r="I395" s="26" t="n">
        <x:v>1725</x:v>
      </x:c>
      <x:c r="J395" s="26" t="n">
        <x:v>0</x:v>
      </x:c>
      <x:c r="K395" s="35" t="str">
        <x:v>Receipt allocated to FIN-00193</x:v>
      </x:c>
    </x:row>
    <x:row r="396">
      <x:c r="A396" s="20" t="str">
        <x:v>FIN-00194</x:v>
      </x:c>
      <x:c r="B396" s="32" t="n">
        <x:v>2</x:v>
      </x:c>
      <x:c r="C396" s="23" t="n">
        <x:v>46449</x:v>
      </x:c>
      <x:c r="D396" s="23" t="n">
        <x:v>46449</x:v>
      </x:c>
      <x:c r="E396" s="20" t="str">
        <x:v>P015</x:v>
      </x:c>
      <x:c r="F396" s="20" t="str">
        <x:v>U015</x:v>
      </x:c>
      <x:c r="G396" s="20" t="str">
        <x:v>L015</x:v>
      </x:c>
      <x:c r="H396" s="20" t="str">
        <x:v>1100 Tenant Accounts Receivable</x:v>
      </x:c>
      <x:c r="I396" s="26" t="n">
        <x:v>0</x:v>
      </x:c>
      <x:c r="J396" s="26" t="n">
        <x:v>1725</x:v>
      </x:c>
      <x:c r="K396" s="35" t="str">
        <x:v>Receipt allocated to FIN-00193</x:v>
      </x:c>
    </x:row>
    <x:row r="397">
      <x:c r="A397" s="20" t="str">
        <x:v>FIN-00195</x:v>
      </x:c>
      <x:c r="B397" s="32" t="n">
        <x:v>1</x:v>
      </x:c>
      <x:c r="C397" s="23" t="n">
        <x:v>46447</x:v>
      </x:c>
      <x:c r="D397" s="23" t="n">
        <x:v>46447</x:v>
      </x:c>
      <x:c r="E397" s="20" t="str">
        <x:v>P016</x:v>
      </x:c>
      <x:c r="F397" s="20" t="str">
        <x:v>U016</x:v>
      </x:c>
      <x:c r="G397" s="20" t="str">
        <x:v>L016</x:v>
      </x:c>
      <x:c r="H397" s="20" t="str">
        <x:v>1100 Tenant Accounts Receivable</x:v>
      </x:c>
      <x:c r="I397" s="26" t="n">
        <x:v>1350</x:v>
      </x:c>
      <x:c r="J397" s="26" t="n">
        <x:v>0</x:v>
      </x:c>
      <x:c r="K397" s="35" t="str">
        <x:v>March 2027 rent</x:v>
      </x:c>
    </x:row>
    <x:row r="398">
      <x:c r="A398" s="20" t="str">
        <x:v>FIN-00195</x:v>
      </x:c>
      <x:c r="B398" s="32" t="n">
        <x:v>2</x:v>
      </x:c>
      <x:c r="C398" s="23" t="n">
        <x:v>46447</x:v>
      </x:c>
      <x:c r="D398" s="23" t="n">
        <x:v>46447</x:v>
      </x:c>
      <x:c r="E398" s="20" t="str">
        <x:v>P016</x:v>
      </x:c>
      <x:c r="F398" s="20" t="str">
        <x:v>U016</x:v>
      </x:c>
      <x:c r="G398" s="20" t="str">
        <x:v>L016</x:v>
      </x:c>
      <x:c r="H398" s="20" t="str">
        <x:v>4000 Rental Income</x:v>
      </x:c>
      <x:c r="I398" s="26" t="n">
        <x:v>0</x:v>
      </x:c>
      <x:c r="J398" s="26" t="n">
        <x:v>1350</x:v>
      </x:c>
      <x:c r="K398" s="35" t="str">
        <x:v>March 2027 rent</x:v>
      </x:c>
    </x:row>
    <x:row r="399">
      <x:c r="A399" s="20" t="str">
        <x:v>FIN-00196</x:v>
      </x:c>
      <x:c r="B399" s="32" t="n">
        <x:v>1</x:v>
      </x:c>
      <x:c r="C399" s="23" t="n">
        <x:v>46450</x:v>
      </x:c>
      <x:c r="D399" s="23" t="n">
        <x:v>46450</x:v>
      </x:c>
      <x:c r="E399" s="20" t="str">
        <x:v>P016</x:v>
      </x:c>
      <x:c r="F399" s="20" t="str">
        <x:v>U016</x:v>
      </x:c>
      <x:c r="G399" s="20" t="str">
        <x:v>L016</x:v>
      </x:c>
      <x:c r="H399" s="20" t="str">
        <x:v>1000 Operating Cash</x:v>
      </x:c>
      <x:c r="I399" s="26" t="n">
        <x:v>1350</x:v>
      </x:c>
      <x:c r="J399" s="26" t="n">
        <x:v>0</x:v>
      </x:c>
      <x:c r="K399" s="35" t="str">
        <x:v>Receipt allocated to FIN-00195</x:v>
      </x:c>
    </x:row>
    <x:row r="400">
      <x:c r="A400" s="20" t="str">
        <x:v>FIN-00196</x:v>
      </x:c>
      <x:c r="B400" s="32" t="n">
        <x:v>2</x:v>
      </x:c>
      <x:c r="C400" s="23" t="n">
        <x:v>46450</x:v>
      </x:c>
      <x:c r="D400" s="23" t="n">
        <x:v>46450</x:v>
      </x:c>
      <x:c r="E400" s="20" t="str">
        <x:v>P016</x:v>
      </x:c>
      <x:c r="F400" s="20" t="str">
        <x:v>U016</x:v>
      </x:c>
      <x:c r="G400" s="20" t="str">
        <x:v>L016</x:v>
      </x:c>
      <x:c r="H400" s="20" t="str">
        <x:v>1100 Tenant Accounts Receivable</x:v>
      </x:c>
      <x:c r="I400" s="26" t="n">
        <x:v>0</x:v>
      </x:c>
      <x:c r="J400" s="26" t="n">
        <x:v>1350</x:v>
      </x:c>
      <x:c r="K400" s="35" t="str">
        <x:v>Receipt allocated to FIN-00195</x:v>
      </x:c>
    </x:row>
    <x:row r="401">
      <x:c r="A401" s="20" t="str">
        <x:v>FIN-00197</x:v>
      </x:c>
      <x:c r="B401" s="32" t="n">
        <x:v>1</x:v>
      </x:c>
      <x:c r="C401" s="23" t="n">
        <x:v>46447</x:v>
      </x:c>
      <x:c r="D401" s="23" t="n">
        <x:v>46447</x:v>
      </x:c>
      <x:c r="E401" s="20" t="str">
        <x:v>P017</x:v>
      </x:c>
      <x:c r="F401" s="20" t="str">
        <x:v>U017</x:v>
      </x:c>
      <x:c r="G401" s="20" t="str">
        <x:v>L017</x:v>
      </x:c>
      <x:c r="H401" s="20" t="str">
        <x:v>1100 Tenant Accounts Receivable</x:v>
      </x:c>
      <x:c r="I401" s="26" t="n">
        <x:v>1875</x:v>
      </x:c>
      <x:c r="J401" s="26" t="n">
        <x:v>0</x:v>
      </x:c>
      <x:c r="K401" s="35" t="str">
        <x:v>March 2027 rent</x:v>
      </x:c>
    </x:row>
    <x:row r="402">
      <x:c r="A402" s="20" t="str">
        <x:v>FIN-00197</x:v>
      </x:c>
      <x:c r="B402" s="32" t="n">
        <x:v>2</x:v>
      </x:c>
      <x:c r="C402" s="23" t="n">
        <x:v>46447</x:v>
      </x:c>
      <x:c r="D402" s="23" t="n">
        <x:v>46447</x:v>
      </x:c>
      <x:c r="E402" s="20" t="str">
        <x:v>P017</x:v>
      </x:c>
      <x:c r="F402" s="20" t="str">
        <x:v>U017</x:v>
      </x:c>
      <x:c r="G402" s="20" t="str">
        <x:v>L017</x:v>
      </x:c>
      <x:c r="H402" s="20" t="str">
        <x:v>4000 Rental Income</x:v>
      </x:c>
      <x:c r="I402" s="26" t="n">
        <x:v>0</x:v>
      </x:c>
      <x:c r="J402" s="26" t="n">
        <x:v>1875</x:v>
      </x:c>
      <x:c r="K402" s="35" t="str">
        <x:v>March 2027 rent</x:v>
      </x:c>
    </x:row>
    <x:row r="403">
      <x:c r="A403" s="20" t="str">
        <x:v>FIN-00198</x:v>
      </x:c>
      <x:c r="B403" s="32" t="n">
        <x:v>1</x:v>
      </x:c>
      <x:c r="C403" s="23" t="n">
        <x:v>46451</x:v>
      </x:c>
      <x:c r="D403" s="23" t="n">
        <x:v>46451</x:v>
      </x:c>
      <x:c r="E403" s="20" t="str">
        <x:v>P017</x:v>
      </x:c>
      <x:c r="F403" s="20" t="str">
        <x:v>U017</x:v>
      </x:c>
      <x:c r="G403" s="20" t="str">
        <x:v>L017</x:v>
      </x:c>
      <x:c r="H403" s="20" t="str">
        <x:v>1000 Operating Cash</x:v>
      </x:c>
      <x:c r="I403" s="26" t="n">
        <x:v>1875</x:v>
      </x:c>
      <x:c r="J403" s="26" t="n">
        <x:v>0</x:v>
      </x:c>
      <x:c r="K403" s="35" t="str">
        <x:v>Receipt allocated to FIN-00197</x:v>
      </x:c>
    </x:row>
    <x:row r="404">
      <x:c r="A404" s="20" t="str">
        <x:v>FIN-00198</x:v>
      </x:c>
      <x:c r="B404" s="32" t="n">
        <x:v>2</x:v>
      </x:c>
      <x:c r="C404" s="23" t="n">
        <x:v>46451</x:v>
      </x:c>
      <x:c r="D404" s="23" t="n">
        <x:v>46451</x:v>
      </x:c>
      <x:c r="E404" s="20" t="str">
        <x:v>P017</x:v>
      </x:c>
      <x:c r="F404" s="20" t="str">
        <x:v>U017</x:v>
      </x:c>
      <x:c r="G404" s="20" t="str">
        <x:v>L017</x:v>
      </x:c>
      <x:c r="H404" s="20" t="str">
        <x:v>1100 Tenant Accounts Receivable</x:v>
      </x:c>
      <x:c r="I404" s="26" t="n">
        <x:v>0</x:v>
      </x:c>
      <x:c r="J404" s="26" t="n">
        <x:v>1875</x:v>
      </x:c>
      <x:c r="K404" s="35" t="str">
        <x:v>Receipt allocated to FIN-00197</x:v>
      </x:c>
    </x:row>
    <x:row r="405">
      <x:c r="A405" s="20" t="str">
        <x:v>FIN-00199</x:v>
      </x:c>
      <x:c r="B405" s="32" t="n">
        <x:v>1</x:v>
      </x:c>
      <x:c r="C405" s="23" t="n">
        <x:v>46447</x:v>
      </x:c>
      <x:c r="D405" s="23" t="n">
        <x:v>46447</x:v>
      </x:c>
      <x:c r="E405" s="20" t="str">
        <x:v>P018</x:v>
      </x:c>
      <x:c r="F405" s="20" t="str">
        <x:v>U018</x:v>
      </x:c>
      <x:c r="G405" s="20" t="str">
        <x:v>L018</x:v>
      </x:c>
      <x:c r="H405" s="20" t="str">
        <x:v>1100 Tenant Accounts Receivable</x:v>
      </x:c>
      <x:c r="I405" s="26" t="n">
        <x:v>1500</x:v>
      </x:c>
      <x:c r="J405" s="26" t="n">
        <x:v>0</x:v>
      </x:c>
      <x:c r="K405" s="35" t="str">
        <x:v>March 2027 rent</x:v>
      </x:c>
    </x:row>
    <x:row r="406">
      <x:c r="A406" s="20" t="str">
        <x:v>FIN-00199</x:v>
      </x:c>
      <x:c r="B406" s="32" t="n">
        <x:v>2</x:v>
      </x:c>
      <x:c r="C406" s="23" t="n">
        <x:v>46447</x:v>
      </x:c>
      <x:c r="D406" s="23" t="n">
        <x:v>46447</x:v>
      </x:c>
      <x:c r="E406" s="20" t="str">
        <x:v>P018</x:v>
      </x:c>
      <x:c r="F406" s="20" t="str">
        <x:v>U018</x:v>
      </x:c>
      <x:c r="G406" s="20" t="str">
        <x:v>L018</x:v>
      </x:c>
      <x:c r="H406" s="20" t="str">
        <x:v>4000 Rental Income</x:v>
      </x:c>
      <x:c r="I406" s="26" t="n">
        <x:v>0</x:v>
      </x:c>
      <x:c r="J406" s="26" t="n">
        <x:v>1500</x:v>
      </x:c>
      <x:c r="K406" s="35" t="str">
        <x:v>March 2027 rent</x:v>
      </x:c>
    </x:row>
    <x:row r="407">
      <x:c r="A407" s="20" t="str">
        <x:v>FIN-00200</x:v>
      </x:c>
      <x:c r="B407" s="32" t="n">
        <x:v>1</x:v>
      </x:c>
      <x:c r="C407" s="23" t="n">
        <x:v>46449</x:v>
      </x:c>
      <x:c r="D407" s="23" t="n">
        <x:v>46449</x:v>
      </x:c>
      <x:c r="E407" s="20" t="str">
        <x:v>P018</x:v>
      </x:c>
      <x:c r="F407" s="20" t="str">
        <x:v>U018</x:v>
      </x:c>
      <x:c r="G407" s="20" t="str">
        <x:v>L018</x:v>
      </x:c>
      <x:c r="H407" s="20" t="str">
        <x:v>1000 Operating Cash</x:v>
      </x:c>
      <x:c r="I407" s="26" t="n">
        <x:v>1500</x:v>
      </x:c>
      <x:c r="J407" s="26" t="n">
        <x:v>0</x:v>
      </x:c>
      <x:c r="K407" s="35" t="str">
        <x:v>Receipt allocated to FIN-00199</x:v>
      </x:c>
    </x:row>
    <x:row r="408">
      <x:c r="A408" s="20" t="str">
        <x:v>FIN-00200</x:v>
      </x:c>
      <x:c r="B408" s="32" t="n">
        <x:v>2</x:v>
      </x:c>
      <x:c r="C408" s="23" t="n">
        <x:v>46449</x:v>
      </x:c>
      <x:c r="D408" s="23" t="n">
        <x:v>46449</x:v>
      </x:c>
      <x:c r="E408" s="20" t="str">
        <x:v>P018</x:v>
      </x:c>
      <x:c r="F408" s="20" t="str">
        <x:v>U018</x:v>
      </x:c>
      <x:c r="G408" s="20" t="str">
        <x:v>L018</x:v>
      </x:c>
      <x:c r="H408" s="20" t="str">
        <x:v>1100 Tenant Accounts Receivable</x:v>
      </x:c>
      <x:c r="I408" s="26" t="n">
        <x:v>0</x:v>
      </x:c>
      <x:c r="J408" s="26" t="n">
        <x:v>1500</x:v>
      </x:c>
      <x:c r="K408" s="35" t="str">
        <x:v>Receipt allocated to FIN-00199</x:v>
      </x:c>
    </x:row>
    <x:row r="409">
      <x:c r="A409" s="20" t="str">
        <x:v>FIN-00201</x:v>
      </x:c>
      <x:c r="B409" s="32" t="n">
        <x:v>1</x:v>
      </x:c>
      <x:c r="C409" s="23" t="n">
        <x:v>46447</x:v>
      </x:c>
      <x:c r="D409" s="23" t="n">
        <x:v>46447</x:v>
      </x:c>
      <x:c r="E409" s="20" t="str">
        <x:v>P019</x:v>
      </x:c>
      <x:c r="F409" s="20" t="str">
        <x:v>U019</x:v>
      </x:c>
      <x:c r="G409" s="20" t="str">
        <x:v>L019</x:v>
      </x:c>
      <x:c r="H409" s="20" t="str">
        <x:v>1100 Tenant Accounts Receivable</x:v>
      </x:c>
      <x:c r="I409" s="26" t="n">
        <x:v>1125</x:v>
      </x:c>
      <x:c r="J409" s="26" t="n">
        <x:v>0</x:v>
      </x:c>
      <x:c r="K409" s="35" t="str">
        <x:v>March 2027 rent</x:v>
      </x:c>
    </x:row>
    <x:row r="410">
      <x:c r="A410" s="20" t="str">
        <x:v>FIN-00201</x:v>
      </x:c>
      <x:c r="B410" s="32" t="n">
        <x:v>2</x:v>
      </x:c>
      <x:c r="C410" s="23" t="n">
        <x:v>46447</x:v>
      </x:c>
      <x:c r="D410" s="23" t="n">
        <x:v>46447</x:v>
      </x:c>
      <x:c r="E410" s="20" t="str">
        <x:v>P019</x:v>
      </x:c>
      <x:c r="F410" s="20" t="str">
        <x:v>U019</x:v>
      </x:c>
      <x:c r="G410" s="20" t="str">
        <x:v>L019</x:v>
      </x:c>
      <x:c r="H410" s="20" t="str">
        <x:v>4000 Rental Income</x:v>
      </x:c>
      <x:c r="I410" s="26" t="n">
        <x:v>0</x:v>
      </x:c>
      <x:c r="J410" s="26" t="n">
        <x:v>1125</x:v>
      </x:c>
      <x:c r="K410" s="35" t="str">
        <x:v>March 2027 rent</x:v>
      </x:c>
    </x:row>
    <x:row r="411">
      <x:c r="A411" s="20" t="str">
        <x:v>FIN-00202</x:v>
      </x:c>
      <x:c r="B411" s="32" t="n">
        <x:v>1</x:v>
      </x:c>
      <x:c r="C411" s="23" t="n">
        <x:v>46450</x:v>
      </x:c>
      <x:c r="D411" s="23" t="n">
        <x:v>46450</x:v>
      </x:c>
      <x:c r="E411" s="20" t="str">
        <x:v>P019</x:v>
      </x:c>
      <x:c r="F411" s="20" t="str">
        <x:v>U019</x:v>
      </x:c>
      <x:c r="G411" s="20" t="str">
        <x:v>L019</x:v>
      </x:c>
      <x:c r="H411" s="20" t="str">
        <x:v>1000 Operating Cash</x:v>
      </x:c>
      <x:c r="I411" s="26" t="n">
        <x:v>1125</x:v>
      </x:c>
      <x:c r="J411" s="26" t="n">
        <x:v>0</x:v>
      </x:c>
      <x:c r="K411" s="35" t="str">
        <x:v>Receipt allocated to FIN-00201</x:v>
      </x:c>
    </x:row>
    <x:row r="412">
      <x:c r="A412" s="20" t="str">
        <x:v>FIN-00202</x:v>
      </x:c>
      <x:c r="B412" s="32" t="n">
        <x:v>2</x:v>
      </x:c>
      <x:c r="C412" s="23" t="n">
        <x:v>46450</x:v>
      </x:c>
      <x:c r="D412" s="23" t="n">
        <x:v>46450</x:v>
      </x:c>
      <x:c r="E412" s="20" t="str">
        <x:v>P019</x:v>
      </x:c>
      <x:c r="F412" s="20" t="str">
        <x:v>U019</x:v>
      </x:c>
      <x:c r="G412" s="20" t="str">
        <x:v>L019</x:v>
      </x:c>
      <x:c r="H412" s="20" t="str">
        <x:v>1100 Tenant Accounts Receivable</x:v>
      </x:c>
      <x:c r="I412" s="26" t="n">
        <x:v>0</x:v>
      </x:c>
      <x:c r="J412" s="26" t="n">
        <x:v>1125</x:v>
      </x:c>
      <x:c r="K412" s="35" t="str">
        <x:v>Receipt allocated to FIN-00201</x:v>
      </x:c>
    </x:row>
    <x:row r="413">
      <x:c r="A413" s="20" t="str">
        <x:v>FIN-00203</x:v>
      </x:c>
      <x:c r="B413" s="32" t="n">
        <x:v>1</x:v>
      </x:c>
      <x:c r="C413" s="23" t="n">
        <x:v>46447</x:v>
      </x:c>
      <x:c r="D413" s="23" t="n">
        <x:v>46447</x:v>
      </x:c>
      <x:c r="E413" s="20" t="str">
        <x:v>P020</x:v>
      </x:c>
      <x:c r="F413" s="20" t="str">
        <x:v>U020</x:v>
      </x:c>
      <x:c r="G413" s="20" t="str">
        <x:v>L020</x:v>
      </x:c>
      <x:c r="H413" s="20" t="str">
        <x:v>1100 Tenant Accounts Receivable</x:v>
      </x:c>
      <x:c r="I413" s="26" t="n">
        <x:v>1650</x:v>
      </x:c>
      <x:c r="J413" s="26" t="n">
        <x:v>0</x:v>
      </x:c>
      <x:c r="K413" s="35" t="str">
        <x:v>March 2027 rent</x:v>
      </x:c>
    </x:row>
    <x:row r="414">
      <x:c r="A414" s="20" t="str">
        <x:v>FIN-00203</x:v>
      </x:c>
      <x:c r="B414" s="32" t="n">
        <x:v>2</x:v>
      </x:c>
      <x:c r="C414" s="23" t="n">
        <x:v>46447</x:v>
      </x:c>
      <x:c r="D414" s="23" t="n">
        <x:v>46447</x:v>
      </x:c>
      <x:c r="E414" s="20" t="str">
        <x:v>P020</x:v>
      </x:c>
      <x:c r="F414" s="20" t="str">
        <x:v>U020</x:v>
      </x:c>
      <x:c r="G414" s="20" t="str">
        <x:v>L020</x:v>
      </x:c>
      <x:c r="H414" s="20" t="str">
        <x:v>4000 Rental Income</x:v>
      </x:c>
      <x:c r="I414" s="26" t="n">
        <x:v>0</x:v>
      </x:c>
      <x:c r="J414" s="26" t="n">
        <x:v>1650</x:v>
      </x:c>
      <x:c r="K414" s="35" t="str">
        <x:v>March 2027 rent</x:v>
      </x:c>
    </x:row>
    <x:row r="415">
      <x:c r="A415" s="20" t="str">
        <x:v>FIN-00204</x:v>
      </x:c>
      <x:c r="B415" s="32" t="n">
        <x:v>1</x:v>
      </x:c>
      <x:c r="C415" s="23" t="n">
        <x:v>46451</x:v>
      </x:c>
      <x:c r="D415" s="23" t="n">
        <x:v>46451</x:v>
      </x:c>
      <x:c r="E415" s="20" t="str">
        <x:v>P020</x:v>
      </x:c>
      <x:c r="F415" s="20" t="str">
        <x:v>U020</x:v>
      </x:c>
      <x:c r="G415" s="20" t="str">
        <x:v>L020</x:v>
      </x:c>
      <x:c r="H415" s="20" t="str">
        <x:v>1000 Operating Cash</x:v>
      </x:c>
      <x:c r="I415" s="26" t="n">
        <x:v>1650</x:v>
      </x:c>
      <x:c r="J415" s="26" t="n">
        <x:v>0</x:v>
      </x:c>
      <x:c r="K415" s="35" t="str">
        <x:v>Receipt allocated to FIN-00203</x:v>
      </x:c>
    </x:row>
    <x:row r="416">
      <x:c r="A416" s="20" t="str">
        <x:v>FIN-00204</x:v>
      </x:c>
      <x:c r="B416" s="32" t="n">
        <x:v>2</x:v>
      </x:c>
      <x:c r="C416" s="23" t="n">
        <x:v>46451</x:v>
      </x:c>
      <x:c r="D416" s="23" t="n">
        <x:v>46451</x:v>
      </x:c>
      <x:c r="E416" s="20" t="str">
        <x:v>P020</x:v>
      </x:c>
      <x:c r="F416" s="20" t="str">
        <x:v>U020</x:v>
      </x:c>
      <x:c r="G416" s="20" t="str">
        <x:v>L020</x:v>
      </x:c>
      <x:c r="H416" s="20" t="str">
        <x:v>1100 Tenant Accounts Receivable</x:v>
      </x:c>
      <x:c r="I416" s="26" t="n">
        <x:v>0</x:v>
      </x:c>
      <x:c r="J416" s="26" t="n">
        <x:v>1650</x:v>
      </x:c>
      <x:c r="K416" s="35" t="str">
        <x:v>Receipt allocated to FIN-00203</x:v>
      </x:c>
    </x:row>
    <x:row r="417">
      <x:c r="A417" s="20" t="str">
        <x:v>FIN-00205</x:v>
      </x:c>
      <x:c r="B417" s="32" t="n">
        <x:v>1</x:v>
      </x:c>
      <x:c r="C417" s="23" t="n">
        <x:v>46447</x:v>
      </x:c>
      <x:c r="D417" s="23" t="n">
        <x:v>46447</x:v>
      </x:c>
      <x:c r="E417" s="20" t="str">
        <x:v>P021</x:v>
      </x:c>
      <x:c r="F417" s="20" t="str">
        <x:v>U021</x:v>
      </x:c>
      <x:c r="G417" s="20" t="str">
        <x:v>L021</x:v>
      </x:c>
      <x:c r="H417" s="20" t="str">
        <x:v>1100 Tenant Accounts Receivable</x:v>
      </x:c>
      <x:c r="I417" s="26" t="n">
        <x:v>1375</x:v>
      </x:c>
      <x:c r="J417" s="26" t="n">
        <x:v>0</x:v>
      </x:c>
      <x:c r="K417" s="35" t="str">
        <x:v>March 2027 rent</x:v>
      </x:c>
    </x:row>
    <x:row r="418">
      <x:c r="A418" s="20" t="str">
        <x:v>FIN-00205</x:v>
      </x:c>
      <x:c r="B418" s="32" t="n">
        <x:v>2</x:v>
      </x:c>
      <x:c r="C418" s="23" t="n">
        <x:v>46447</x:v>
      </x:c>
      <x:c r="D418" s="23" t="n">
        <x:v>46447</x:v>
      </x:c>
      <x:c r="E418" s="20" t="str">
        <x:v>P021</x:v>
      </x:c>
      <x:c r="F418" s="20" t="str">
        <x:v>U021</x:v>
      </x:c>
      <x:c r="G418" s="20" t="str">
        <x:v>L021</x:v>
      </x:c>
      <x:c r="H418" s="20" t="str">
        <x:v>4000 Rental Income</x:v>
      </x:c>
      <x:c r="I418" s="26" t="n">
        <x:v>0</x:v>
      </x:c>
      <x:c r="J418" s="26" t="n">
        <x:v>1375</x:v>
      </x:c>
      <x:c r="K418" s="35" t="str">
        <x:v>March 2027 rent</x:v>
      </x:c>
    </x:row>
    <x:row r="419">
      <x:c r="A419" s="20" t="str">
        <x:v>FIN-00206</x:v>
      </x:c>
      <x:c r="B419" s="32" t="n">
        <x:v>1</x:v>
      </x:c>
      <x:c r="C419" s="23" t="n">
        <x:v>46449</x:v>
      </x:c>
      <x:c r="D419" s="23" t="n">
        <x:v>46449</x:v>
      </x:c>
      <x:c r="E419" s="20" t="str">
        <x:v>P021</x:v>
      </x:c>
      <x:c r="F419" s="20" t="str">
        <x:v>U021</x:v>
      </x:c>
      <x:c r="G419" s="20" t="str">
        <x:v>L021</x:v>
      </x:c>
      <x:c r="H419" s="20" t="str">
        <x:v>1000 Operating Cash</x:v>
      </x:c>
      <x:c r="I419" s="26" t="n">
        <x:v>1375</x:v>
      </x:c>
      <x:c r="J419" s="26" t="n">
        <x:v>0</x:v>
      </x:c>
      <x:c r="K419" s="35" t="str">
        <x:v>Receipt allocated to FIN-00205</x:v>
      </x:c>
    </x:row>
    <x:row r="420">
      <x:c r="A420" s="20" t="str">
        <x:v>FIN-00206</x:v>
      </x:c>
      <x:c r="B420" s="32" t="n">
        <x:v>2</x:v>
      </x:c>
      <x:c r="C420" s="23" t="n">
        <x:v>46449</x:v>
      </x:c>
      <x:c r="D420" s="23" t="n">
        <x:v>46449</x:v>
      </x:c>
      <x:c r="E420" s="20" t="str">
        <x:v>P021</x:v>
      </x:c>
      <x:c r="F420" s="20" t="str">
        <x:v>U021</x:v>
      </x:c>
      <x:c r="G420" s="20" t="str">
        <x:v>L021</x:v>
      </x:c>
      <x:c r="H420" s="20" t="str">
        <x:v>1100 Tenant Accounts Receivable</x:v>
      </x:c>
      <x:c r="I420" s="26" t="n">
        <x:v>0</x:v>
      </x:c>
      <x:c r="J420" s="26" t="n">
        <x:v>1375</x:v>
      </x:c>
      <x:c r="K420" s="35" t="str">
        <x:v>Receipt allocated to FIN-00205</x:v>
      </x:c>
    </x:row>
    <x:row r="421">
      <x:c r="A421" s="20" t="str">
        <x:v>FIN-00207</x:v>
      </x:c>
      <x:c r="B421" s="32" t="n">
        <x:v>1</x:v>
      </x:c>
      <x:c r="C421" s="23" t="n">
        <x:v>46447</x:v>
      </x:c>
      <x:c r="D421" s="23" t="n">
        <x:v>46447</x:v>
      </x:c>
      <x:c r="E421" s="20" t="str">
        <x:v>P021</x:v>
      </x:c>
      <x:c r="F421" s="20" t="str">
        <x:v>U022</x:v>
      </x:c>
      <x:c r="G421" s="20" t="str">
        <x:v>L022</x:v>
      </x:c>
      <x:c r="H421" s="20" t="str">
        <x:v>1100 Tenant Accounts Receivable</x:v>
      </x:c>
      <x:c r="I421" s="26" t="n">
        <x:v>1900</x:v>
      </x:c>
      <x:c r="J421" s="26" t="n">
        <x:v>0</x:v>
      </x:c>
      <x:c r="K421" s="35" t="str">
        <x:v>March 2027 rent</x:v>
      </x:c>
    </x:row>
    <x:row r="422">
      <x:c r="A422" s="20" t="str">
        <x:v>FIN-00207</x:v>
      </x:c>
      <x:c r="B422" s="32" t="n">
        <x:v>2</x:v>
      </x:c>
      <x:c r="C422" s="23" t="n">
        <x:v>46447</x:v>
      </x:c>
      <x:c r="D422" s="23" t="n">
        <x:v>46447</x:v>
      </x:c>
      <x:c r="E422" s="20" t="str">
        <x:v>P021</x:v>
      </x:c>
      <x:c r="F422" s="20" t="str">
        <x:v>U022</x:v>
      </x:c>
      <x:c r="G422" s="20" t="str">
        <x:v>L022</x:v>
      </x:c>
      <x:c r="H422" s="20" t="str">
        <x:v>4000 Rental Income</x:v>
      </x:c>
      <x:c r="I422" s="26" t="n">
        <x:v>0</x:v>
      </x:c>
      <x:c r="J422" s="26" t="n">
        <x:v>1900</x:v>
      </x:c>
      <x:c r="K422" s="35" t="str">
        <x:v>March 2027 rent</x:v>
      </x:c>
    </x:row>
    <x:row r="423">
      <x:c r="A423" s="20" t="str">
        <x:v>FIN-00208</x:v>
      </x:c>
      <x:c r="B423" s="32" t="n">
        <x:v>1</x:v>
      </x:c>
      <x:c r="C423" s="23" t="n">
        <x:v>46449</x:v>
      </x:c>
      <x:c r="D423" s="23" t="n">
        <x:v>46449</x:v>
      </x:c>
      <x:c r="E423" s="20" t="str">
        <x:v>P021</x:v>
      </x:c>
      <x:c r="F423" s="20" t="str">
        <x:v>U022</x:v>
      </x:c>
      <x:c r="G423" s="20" t="str">
        <x:v>L022</x:v>
      </x:c>
      <x:c r="H423" s="20" t="str">
        <x:v>1000 Operating Cash</x:v>
      </x:c>
      <x:c r="I423" s="26" t="n">
        <x:v>1900</x:v>
      </x:c>
      <x:c r="J423" s="26" t="n">
        <x:v>0</x:v>
      </x:c>
      <x:c r="K423" s="35" t="str">
        <x:v>Receipt allocated to FIN-00207</x:v>
      </x:c>
    </x:row>
    <x:row r="424">
      <x:c r="A424" s="20" t="str">
        <x:v>FIN-00208</x:v>
      </x:c>
      <x:c r="B424" s="32" t="n">
        <x:v>2</x:v>
      </x:c>
      <x:c r="C424" s="23" t="n">
        <x:v>46449</x:v>
      </x:c>
      <x:c r="D424" s="23" t="n">
        <x:v>46449</x:v>
      </x:c>
      <x:c r="E424" s="20" t="str">
        <x:v>P021</x:v>
      </x:c>
      <x:c r="F424" s="20" t="str">
        <x:v>U022</x:v>
      </x:c>
      <x:c r="G424" s="20" t="str">
        <x:v>L022</x:v>
      </x:c>
      <x:c r="H424" s="20" t="str">
        <x:v>1100 Tenant Accounts Receivable</x:v>
      </x:c>
      <x:c r="I424" s="26" t="n">
        <x:v>0</x:v>
      </x:c>
      <x:c r="J424" s="26" t="n">
        <x:v>1900</x:v>
      </x:c>
      <x:c r="K424" s="35" t="str">
        <x:v>Receipt allocated to FIN-00207</x:v>
      </x:c>
    </x:row>
    <x:row r="425">
      <x:c r="A425" s="20" t="str">
        <x:v>FIN-00209</x:v>
      </x:c>
      <x:c r="B425" s="32" t="n">
        <x:v>1</x:v>
      </x:c>
      <x:c r="C425" s="23" t="n">
        <x:v>46451</x:v>
      </x:c>
      <x:c r="D425" s="23" t="n">
        <x:v>46451</x:v>
      </x:c>
      <x:c r="E425" s="20" t="str">
        <x:v>P021</x:v>
      </x:c>
      <x:c r="F425" s="20" t="str">
        <x:v>U022</x:v>
      </x:c>
      <x:c r="G425" s="20" t="str">
        <x:v>L022</x:v>
      </x:c>
      <x:c r="H425" s="20" t="str">
        <x:v>1100 Tenant Accounts Receivable</x:v>
      </x:c>
      <x:c r="I425" s="26" t="n">
        <x:v>1900</x:v>
      </x:c>
      <x:c r="J425" s="26" t="n">
        <x:v>0</x:v>
      </x:c>
      <x:c r="K425" s="35" t="str">
        <x:v>Returned check reverses the original receipt; original row remains</x:v>
      </x:c>
    </x:row>
    <x:row r="426">
      <x:c r="A426" s="20" t="str">
        <x:v>FIN-00209</x:v>
      </x:c>
      <x:c r="B426" s="32" t="n">
        <x:v>2</x:v>
      </x:c>
      <x:c r="C426" s="23" t="n">
        <x:v>46451</x:v>
      </x:c>
      <x:c r="D426" s="23" t="n">
        <x:v>46451</x:v>
      </x:c>
      <x:c r="E426" s="20" t="str">
        <x:v>P021</x:v>
      </x:c>
      <x:c r="F426" s="20" t="str">
        <x:v>U022</x:v>
      </x:c>
      <x:c r="G426" s="20" t="str">
        <x:v>L022</x:v>
      </x:c>
      <x:c r="H426" s="20" t="str">
        <x:v>1000 Operating Cash</x:v>
      </x:c>
      <x:c r="I426" s="26" t="n">
        <x:v>0</x:v>
      </x:c>
      <x:c r="J426" s="26" t="n">
        <x:v>1900</x:v>
      </x:c>
      <x:c r="K426" s="35" t="str">
        <x:v>Returned check reverses the original receipt; original row remains</x:v>
      </x:c>
    </x:row>
    <x:row r="427">
      <x:c r="A427" s="20" t="str">
        <x:v>FIN-00210</x:v>
      </x:c>
      <x:c r="B427" s="32" t="n">
        <x:v>1</x:v>
      </x:c>
      <x:c r="C427" s="23" t="n">
        <x:v>46451</x:v>
      </x:c>
      <x:c r="D427" s="23" t="n">
        <x:v>46451</x:v>
      </x:c>
      <x:c r="E427" s="20" t="str">
        <x:v>P021</x:v>
      </x:c>
      <x:c r="F427" s="20" t="str">
        <x:v>U022</x:v>
      </x:c>
      <x:c r="G427" s="20" t="str">
        <x:v>L022</x:v>
      </x:c>
      <x:c r="H427" s="20" t="str">
        <x:v>1100 Tenant Accounts Receivable</x:v>
      </x:c>
      <x:c r="I427" s="26" t="n">
        <x:v>35</x:v>
      </x:c>
      <x:c r="J427" s="26" t="n">
        <x:v>0</x:v>
      </x:c>
      <x:c r="K427" s="35" t="str">
        <x:v>Synthetic lease-authorized NSF fee</x:v>
      </x:c>
    </x:row>
    <x:row r="428">
      <x:c r="A428" s="20" t="str">
        <x:v>FIN-00210</x:v>
      </x:c>
      <x:c r="B428" s="32" t="n">
        <x:v>2</x:v>
      </x:c>
      <x:c r="C428" s="23" t="n">
        <x:v>46451</x:v>
      </x:c>
      <x:c r="D428" s="23" t="n">
        <x:v>46451</x:v>
      </x:c>
      <x:c r="E428" s="20" t="str">
        <x:v>P021</x:v>
      </x:c>
      <x:c r="F428" s="20" t="str">
        <x:v>U022</x:v>
      </x:c>
      <x:c r="G428" s="20" t="str">
        <x:v>L022</x:v>
      </x:c>
      <x:c r="H428" s="20" t="str">
        <x:v>4020 Other Tenant Income</x:v>
      </x:c>
      <x:c r="I428" s="26" t="n">
        <x:v>0</x:v>
      </x:c>
      <x:c r="J428" s="26" t="n">
        <x:v>35</x:v>
      </x:c>
      <x:c r="K428" s="35" t="str">
        <x:v>Synthetic lease-authorized NSF fee</x:v>
      </x:c>
    </x:row>
    <x:row r="429">
      <x:c r="A429" s="20" t="str">
        <x:v>FIN-00211</x:v>
      </x:c>
      <x:c r="B429" s="32" t="n">
        <x:v>1</x:v>
      </x:c>
      <x:c r="C429" s="23" t="n">
        <x:v>46456</x:v>
      </x:c>
      <x:c r="D429" s="23" t="n">
        <x:v>46456</x:v>
      </x:c>
      <x:c r="E429" s="20" t="str">
        <x:v>P021</x:v>
      </x:c>
      <x:c r="F429" s="20" t="str">
        <x:v>U022</x:v>
      </x:c>
      <x:c r="G429" s="20" t="str">
        <x:v>L022</x:v>
      </x:c>
      <x:c r="H429" s="20" t="str">
        <x:v>1000 Operating Cash</x:v>
      </x:c>
      <x:c r="I429" s="26" t="n">
        <x:v>1935</x:v>
      </x:c>
      <x:c r="J429" s="26" t="n">
        <x:v>0</x:v>
      </x:c>
      <x:c r="K429" s="35" t="str">
        <x:v>Receipt allocated to FIN-00210</x:v>
      </x:c>
    </x:row>
    <x:row r="430">
      <x:c r="A430" s="20" t="str">
        <x:v>FIN-00211</x:v>
      </x:c>
      <x:c r="B430" s="32" t="n">
        <x:v>2</x:v>
      </x:c>
      <x:c r="C430" s="23" t="n">
        <x:v>46456</x:v>
      </x:c>
      <x:c r="D430" s="23" t="n">
        <x:v>46456</x:v>
      </x:c>
      <x:c r="E430" s="20" t="str">
        <x:v>P021</x:v>
      </x:c>
      <x:c r="F430" s="20" t="str">
        <x:v>U022</x:v>
      </x:c>
      <x:c r="G430" s="20" t="str">
        <x:v>L022</x:v>
      </x:c>
      <x:c r="H430" s="20" t="str">
        <x:v>1100 Tenant Accounts Receivable</x:v>
      </x:c>
      <x:c r="I430" s="26" t="n">
        <x:v>0</x:v>
      </x:c>
      <x:c r="J430" s="26" t="n">
        <x:v>1935</x:v>
      </x:c>
      <x:c r="K430" s="35" t="str">
        <x:v>Receipt allocated to FIN-00210</x:v>
      </x:c>
    </x:row>
    <x:row r="431">
      <x:c r="A431" s="20" t="str">
        <x:v>FIN-00212</x:v>
      </x:c>
      <x:c r="B431" s="32" t="n">
        <x:v>1</x:v>
      </x:c>
      <x:c r="C431" s="23" t="n">
        <x:v>46447</x:v>
      </x:c>
      <x:c r="D431" s="23" t="n">
        <x:v>46447</x:v>
      </x:c>
      <x:c r="E431" s="20" t="str">
        <x:v>P022</x:v>
      </x:c>
      <x:c r="F431" s="20" t="str">
        <x:v>U023</x:v>
      </x:c>
      <x:c r="G431" s="20" t="str">
        <x:v>L023</x:v>
      </x:c>
      <x:c r="H431" s="20" t="str">
        <x:v>1100 Tenant Accounts Receivable</x:v>
      </x:c>
      <x:c r="I431" s="26" t="n">
        <x:v>1525</x:v>
      </x:c>
      <x:c r="J431" s="26" t="n">
        <x:v>0</x:v>
      </x:c>
      <x:c r="K431" s="35" t="str">
        <x:v>March 2027 rent</x:v>
      </x:c>
    </x:row>
    <x:row r="432">
      <x:c r="A432" s="20" t="str">
        <x:v>FIN-00212</x:v>
      </x:c>
      <x:c r="B432" s="32" t="n">
        <x:v>2</x:v>
      </x:c>
      <x:c r="C432" s="23" t="n">
        <x:v>46447</x:v>
      </x:c>
      <x:c r="D432" s="23" t="n">
        <x:v>46447</x:v>
      </x:c>
      <x:c r="E432" s="20" t="str">
        <x:v>P022</x:v>
      </x:c>
      <x:c r="F432" s="20" t="str">
        <x:v>U023</x:v>
      </x:c>
      <x:c r="G432" s="20" t="str">
        <x:v>L023</x:v>
      </x:c>
      <x:c r="H432" s="20" t="str">
        <x:v>4000 Rental Income</x:v>
      </x:c>
      <x:c r="I432" s="26" t="n">
        <x:v>0</x:v>
      </x:c>
      <x:c r="J432" s="26" t="n">
        <x:v>1525</x:v>
      </x:c>
      <x:c r="K432" s="35" t="str">
        <x:v>March 2027 rent</x:v>
      </x:c>
    </x:row>
    <x:row r="433">
      <x:c r="A433" s="20" t="str">
        <x:v>FIN-00213</x:v>
      </x:c>
      <x:c r="B433" s="32" t="n">
        <x:v>1</x:v>
      </x:c>
      <x:c r="C433" s="23" t="n">
        <x:v>46451</x:v>
      </x:c>
      <x:c r="D433" s="23" t="n">
        <x:v>46451</x:v>
      </x:c>
      <x:c r="E433" s="20" t="str">
        <x:v>P022</x:v>
      </x:c>
      <x:c r="F433" s="20" t="str">
        <x:v>U023</x:v>
      </x:c>
      <x:c r="G433" s="20" t="str">
        <x:v>L023</x:v>
      </x:c>
      <x:c r="H433" s="20" t="str">
        <x:v>1000 Operating Cash</x:v>
      </x:c>
      <x:c r="I433" s="26" t="n">
        <x:v>1525</x:v>
      </x:c>
      <x:c r="J433" s="26" t="n">
        <x:v>0</x:v>
      </x:c>
      <x:c r="K433" s="35" t="str">
        <x:v>Receipt allocated to FIN-00212</x:v>
      </x:c>
    </x:row>
    <x:row r="434">
      <x:c r="A434" s="20" t="str">
        <x:v>FIN-00213</x:v>
      </x:c>
      <x:c r="B434" s="32" t="n">
        <x:v>2</x:v>
      </x:c>
      <x:c r="C434" s="23" t="n">
        <x:v>46451</x:v>
      </x:c>
      <x:c r="D434" s="23" t="n">
        <x:v>46451</x:v>
      </x:c>
      <x:c r="E434" s="20" t="str">
        <x:v>P022</x:v>
      </x:c>
      <x:c r="F434" s="20" t="str">
        <x:v>U023</x:v>
      </x:c>
      <x:c r="G434" s="20" t="str">
        <x:v>L023</x:v>
      </x:c>
      <x:c r="H434" s="20" t="str">
        <x:v>1100 Tenant Accounts Receivable</x:v>
      </x:c>
      <x:c r="I434" s="26" t="n">
        <x:v>0</x:v>
      </x:c>
      <x:c r="J434" s="26" t="n">
        <x:v>1525</x:v>
      </x:c>
      <x:c r="K434" s="35" t="str">
        <x:v>Receipt allocated to FIN-00212</x:v>
      </x:c>
    </x:row>
    <x:row r="435">
      <x:c r="A435" s="20" t="str">
        <x:v>FIN-00214</x:v>
      </x:c>
      <x:c r="B435" s="32" t="n">
        <x:v>1</x:v>
      </x:c>
      <x:c r="C435" s="23" t="n">
        <x:v>46447</x:v>
      </x:c>
      <x:c r="D435" s="23" t="n">
        <x:v>46447</x:v>
      </x:c>
      <x:c r="E435" s="20" t="str">
        <x:v>P022</x:v>
      </x:c>
      <x:c r="F435" s="20" t="str">
        <x:v>U024</x:v>
      </x:c>
      <x:c r="G435" s="20" t="str">
        <x:v>L024</x:v>
      </x:c>
      <x:c r="H435" s="20" t="str">
        <x:v>1100 Tenant Accounts Receivable</x:v>
      </x:c>
      <x:c r="I435" s="26" t="n">
        <x:v>1150</x:v>
      </x:c>
      <x:c r="J435" s="26" t="n">
        <x:v>0</x:v>
      </x:c>
      <x:c r="K435" s="35" t="str">
        <x:v>March 2027 rent</x:v>
      </x:c>
    </x:row>
    <x:row r="436">
      <x:c r="A436" s="20" t="str">
        <x:v>FIN-00214</x:v>
      </x:c>
      <x:c r="B436" s="32" t="n">
        <x:v>2</x:v>
      </x:c>
      <x:c r="C436" s="23" t="n">
        <x:v>46447</x:v>
      </x:c>
      <x:c r="D436" s="23" t="n">
        <x:v>46447</x:v>
      </x:c>
      <x:c r="E436" s="20" t="str">
        <x:v>P022</x:v>
      </x:c>
      <x:c r="F436" s="20" t="str">
        <x:v>U024</x:v>
      </x:c>
      <x:c r="G436" s="20" t="str">
        <x:v>L024</x:v>
      </x:c>
      <x:c r="H436" s="20" t="str">
        <x:v>4000 Rental Income</x:v>
      </x:c>
      <x:c r="I436" s="26" t="n">
        <x:v>0</x:v>
      </x:c>
      <x:c r="J436" s="26" t="n">
        <x:v>1150</x:v>
      </x:c>
      <x:c r="K436" s="35" t="str">
        <x:v>March 2027 rent</x:v>
      </x:c>
    </x:row>
    <x:row r="437">
      <x:c r="A437" s="20" t="str">
        <x:v>FIN-00215</x:v>
      </x:c>
      <x:c r="B437" s="32" t="n">
        <x:v>1</x:v>
      </x:c>
      <x:c r="C437" s="23" t="n">
        <x:v>46449</x:v>
      </x:c>
      <x:c r="D437" s="23" t="n">
        <x:v>46449</x:v>
      </x:c>
      <x:c r="E437" s="20" t="str">
        <x:v>P022</x:v>
      </x:c>
      <x:c r="F437" s="20" t="str">
        <x:v>U024</x:v>
      </x:c>
      <x:c r="G437" s="20" t="str">
        <x:v>L024</x:v>
      </x:c>
      <x:c r="H437" s="20" t="str">
        <x:v>1000 Operating Cash</x:v>
      </x:c>
      <x:c r="I437" s="26" t="n">
        <x:v>1150</x:v>
      </x:c>
      <x:c r="J437" s="26" t="n">
        <x:v>0</x:v>
      </x:c>
      <x:c r="K437" s="35" t="str">
        <x:v>Receipt allocated to FIN-00214</x:v>
      </x:c>
    </x:row>
    <x:row r="438">
      <x:c r="A438" s="20" t="str">
        <x:v>FIN-00215</x:v>
      </x:c>
      <x:c r="B438" s="32" t="n">
        <x:v>2</x:v>
      </x:c>
      <x:c r="C438" s="23" t="n">
        <x:v>46449</x:v>
      </x:c>
      <x:c r="D438" s="23" t="n">
        <x:v>46449</x:v>
      </x:c>
      <x:c r="E438" s="20" t="str">
        <x:v>P022</x:v>
      </x:c>
      <x:c r="F438" s="20" t="str">
        <x:v>U024</x:v>
      </x:c>
      <x:c r="G438" s="20" t="str">
        <x:v>L024</x:v>
      </x:c>
      <x:c r="H438" s="20" t="str">
        <x:v>1100 Tenant Accounts Receivable</x:v>
      </x:c>
      <x:c r="I438" s="26" t="n">
        <x:v>0</x:v>
      </x:c>
      <x:c r="J438" s="26" t="n">
        <x:v>1150</x:v>
      </x:c>
      <x:c r="K438" s="35" t="str">
        <x:v>Receipt allocated to FIN-00214</x:v>
      </x:c>
    </x:row>
    <x:row r="439">
      <x:c r="A439" s="20" t="str">
        <x:v>FIN-00216</x:v>
      </x:c>
      <x:c r="B439" s="32" t="n">
        <x:v>1</x:v>
      </x:c>
      <x:c r="C439" s="23" t="n">
        <x:v>46447</x:v>
      </x:c>
      <x:c r="D439" s="23" t="n">
        <x:v>46447</x:v>
      </x:c>
      <x:c r="E439" s="20" t="str">
        <x:v>P023</x:v>
      </x:c>
      <x:c r="F439" s="20" t="str">
        <x:v>U025</x:v>
      </x:c>
      <x:c r="G439" s="20" t="str">
        <x:v>L025</x:v>
      </x:c>
      <x:c r="H439" s="20" t="str">
        <x:v>1100 Tenant Accounts Receivable</x:v>
      </x:c>
      <x:c r="I439" s="26" t="n">
        <x:v>1675</x:v>
      </x:c>
      <x:c r="J439" s="26" t="n">
        <x:v>0</x:v>
      </x:c>
      <x:c r="K439" s="35" t="str">
        <x:v>March 2027 rent</x:v>
      </x:c>
    </x:row>
    <x:row r="440">
      <x:c r="A440" s="20" t="str">
        <x:v>FIN-00216</x:v>
      </x:c>
      <x:c r="B440" s="32" t="n">
        <x:v>2</x:v>
      </x:c>
      <x:c r="C440" s="23" t="n">
        <x:v>46447</x:v>
      </x:c>
      <x:c r="D440" s="23" t="n">
        <x:v>46447</x:v>
      </x:c>
      <x:c r="E440" s="20" t="str">
        <x:v>P023</x:v>
      </x:c>
      <x:c r="F440" s="20" t="str">
        <x:v>U025</x:v>
      </x:c>
      <x:c r="G440" s="20" t="str">
        <x:v>L025</x:v>
      </x:c>
      <x:c r="H440" s="20" t="str">
        <x:v>4000 Rental Income</x:v>
      </x:c>
      <x:c r="I440" s="26" t="n">
        <x:v>0</x:v>
      </x:c>
      <x:c r="J440" s="26" t="n">
        <x:v>1675</x:v>
      </x:c>
      <x:c r="K440" s="35" t="str">
        <x:v>March 2027 rent</x:v>
      </x:c>
    </x:row>
    <x:row r="441">
      <x:c r="A441" s="20" t="str">
        <x:v>FIN-00217</x:v>
      </x:c>
      <x:c r="B441" s="32" t="n">
        <x:v>1</x:v>
      </x:c>
      <x:c r="C441" s="23" t="n">
        <x:v>46450</x:v>
      </x:c>
      <x:c r="D441" s="23" t="n">
        <x:v>46450</x:v>
      </x:c>
      <x:c r="E441" s="20" t="str">
        <x:v>P023</x:v>
      </x:c>
      <x:c r="F441" s="20" t="str">
        <x:v>U025</x:v>
      </x:c>
      <x:c r="G441" s="20" t="str">
        <x:v>L025</x:v>
      </x:c>
      <x:c r="H441" s="20" t="str">
        <x:v>1000 Operating Cash</x:v>
      </x:c>
      <x:c r="I441" s="26" t="n">
        <x:v>1675</x:v>
      </x:c>
      <x:c r="J441" s="26" t="n">
        <x:v>0</x:v>
      </x:c>
      <x:c r="K441" s="35" t="str">
        <x:v>Receipt allocated to FIN-00216</x:v>
      </x:c>
    </x:row>
    <x:row r="442">
      <x:c r="A442" s="20" t="str">
        <x:v>FIN-00217</x:v>
      </x:c>
      <x:c r="B442" s="32" t="n">
        <x:v>2</x:v>
      </x:c>
      <x:c r="C442" s="23" t="n">
        <x:v>46450</x:v>
      </x:c>
      <x:c r="D442" s="23" t="n">
        <x:v>46450</x:v>
      </x:c>
      <x:c r="E442" s="20" t="str">
        <x:v>P023</x:v>
      </x:c>
      <x:c r="F442" s="20" t="str">
        <x:v>U025</x:v>
      </x:c>
      <x:c r="G442" s="20" t="str">
        <x:v>L025</x:v>
      </x:c>
      <x:c r="H442" s="20" t="str">
        <x:v>1100 Tenant Accounts Receivable</x:v>
      </x:c>
      <x:c r="I442" s="26" t="n">
        <x:v>0</x:v>
      </x:c>
      <x:c r="J442" s="26" t="n">
        <x:v>1675</x:v>
      </x:c>
      <x:c r="K442" s="35" t="str">
        <x:v>Receipt allocated to FIN-00216</x:v>
      </x:c>
    </x:row>
    <x:row r="443">
      <x:c r="A443" s="20" t="str">
        <x:v>FIN-00218</x:v>
      </x:c>
      <x:c r="B443" s="32" t="n">
        <x:v>1</x:v>
      </x:c>
      <x:c r="C443" s="23" t="n">
        <x:v>46447</x:v>
      </x:c>
      <x:c r="D443" s="23" t="n">
        <x:v>46447</x:v>
      </x:c>
      <x:c r="E443" s="20" t="str">
        <x:v>P023</x:v>
      </x:c>
      <x:c r="F443" s="20" t="str">
        <x:v>U026</x:v>
      </x:c>
      <x:c r="G443" s="20" t="str">
        <x:v>L026</x:v>
      </x:c>
      <x:c r="H443" s="20" t="str">
        <x:v>1100 Tenant Accounts Receivable</x:v>
      </x:c>
      <x:c r="I443" s="26" t="n">
        <x:v>1300</x:v>
      </x:c>
      <x:c r="J443" s="26" t="n">
        <x:v>0</x:v>
      </x:c>
      <x:c r="K443" s="35" t="str">
        <x:v>March 2027 rent</x:v>
      </x:c>
    </x:row>
    <x:row r="444">
      <x:c r="A444" s="20" t="str">
        <x:v>FIN-00218</x:v>
      </x:c>
      <x:c r="B444" s="32" t="n">
        <x:v>2</x:v>
      </x:c>
      <x:c r="C444" s="23" t="n">
        <x:v>46447</x:v>
      </x:c>
      <x:c r="D444" s="23" t="n">
        <x:v>46447</x:v>
      </x:c>
      <x:c r="E444" s="20" t="str">
        <x:v>P023</x:v>
      </x:c>
      <x:c r="F444" s="20" t="str">
        <x:v>U026</x:v>
      </x:c>
      <x:c r="G444" s="20" t="str">
        <x:v>L026</x:v>
      </x:c>
      <x:c r="H444" s="20" t="str">
        <x:v>4000 Rental Income</x:v>
      </x:c>
      <x:c r="I444" s="26" t="n">
        <x:v>0</x:v>
      </x:c>
      <x:c r="J444" s="26" t="n">
        <x:v>1300</x:v>
      </x:c>
      <x:c r="K444" s="35" t="str">
        <x:v>March 2027 rent</x:v>
      </x:c>
    </x:row>
    <x:row r="445">
      <x:c r="A445" s="20" t="str">
        <x:v>FIN-00219</x:v>
      </x:c>
      <x:c r="B445" s="32" t="n">
        <x:v>1</x:v>
      </x:c>
      <x:c r="C445" s="23" t="n">
        <x:v>46452</x:v>
      </x:c>
      <x:c r="D445" s="23" t="n">
        <x:v>46452</x:v>
      </x:c>
      <x:c r="E445" s="20" t="str">
        <x:v>P023</x:v>
      </x:c>
      <x:c r="F445" s="20" t="str">
        <x:v>U026</x:v>
      </x:c>
      <x:c r="G445" s="20" t="str">
        <x:v>L026</x:v>
      </x:c>
      <x:c r="H445" s="20" t="str">
        <x:v>1100 Tenant Accounts Receivable</x:v>
      </x:c>
      <x:c r="I445" s="26" t="n">
        <x:v>50</x:v>
      </x:c>
      <x:c r="J445" s="26" t="n">
        <x:v>0</x:v>
      </x:c>
      <x:c r="K445" s="35" t="str">
        <x:v>Synthetic lease-authorized late fee</x:v>
      </x:c>
    </x:row>
    <x:row r="446">
      <x:c r="A446" s="20" t="str">
        <x:v>FIN-00219</x:v>
      </x:c>
      <x:c r="B446" s="32" t="n">
        <x:v>2</x:v>
      </x:c>
      <x:c r="C446" s="23" t="n">
        <x:v>46452</x:v>
      </x:c>
      <x:c r="D446" s="23" t="n">
        <x:v>46452</x:v>
      </x:c>
      <x:c r="E446" s="20" t="str">
        <x:v>P023</x:v>
      </x:c>
      <x:c r="F446" s="20" t="str">
        <x:v>U026</x:v>
      </x:c>
      <x:c r="G446" s="20" t="str">
        <x:v>L026</x:v>
      </x:c>
      <x:c r="H446" s="20" t="str">
        <x:v>4010 Late Fee Income</x:v>
      </x:c>
      <x:c r="I446" s="26" t="n">
        <x:v>0</x:v>
      </x:c>
      <x:c r="J446" s="26" t="n">
        <x:v>50</x:v>
      </x:c>
      <x:c r="K446" s="35" t="str">
        <x:v>Synthetic lease-authorized late fee</x:v>
      </x:c>
    </x:row>
    <x:row r="447">
      <x:c r="A447" s="20" t="str">
        <x:v>FIN-00220</x:v>
      </x:c>
      <x:c r="B447" s="32" t="n">
        <x:v>1</x:v>
      </x:c>
      <x:c r="C447" s="23" t="n">
        <x:v>46454</x:v>
      </x:c>
      <x:c r="D447" s="23" t="n">
        <x:v>46454</x:v>
      </x:c>
      <x:c r="E447" s="20" t="str">
        <x:v>P023</x:v>
      </x:c>
      <x:c r="F447" s="20" t="str">
        <x:v>U026</x:v>
      </x:c>
      <x:c r="G447" s="20" t="str">
        <x:v>L026</x:v>
      </x:c>
      <x:c r="H447" s="20" t="str">
        <x:v>1000 Operating Cash</x:v>
      </x:c>
      <x:c r="I447" s="26" t="n">
        <x:v>1350</x:v>
      </x:c>
      <x:c r="J447" s="26" t="n">
        <x:v>0</x:v>
      </x:c>
      <x:c r="K447" s="35" t="str">
        <x:v>Receipt allocated to FIN-00219</x:v>
      </x:c>
    </x:row>
    <x:row r="448">
      <x:c r="A448" s="20" t="str">
        <x:v>FIN-00220</x:v>
      </x:c>
      <x:c r="B448" s="32" t="n">
        <x:v>2</x:v>
      </x:c>
      <x:c r="C448" s="23" t="n">
        <x:v>46454</x:v>
      </x:c>
      <x:c r="D448" s="23" t="n">
        <x:v>46454</x:v>
      </x:c>
      <x:c r="E448" s="20" t="str">
        <x:v>P023</x:v>
      </x:c>
      <x:c r="F448" s="20" t="str">
        <x:v>U026</x:v>
      </x:c>
      <x:c r="G448" s="20" t="str">
        <x:v>L026</x:v>
      </x:c>
      <x:c r="H448" s="20" t="str">
        <x:v>1100 Tenant Accounts Receivable</x:v>
      </x:c>
      <x:c r="I448" s="26" t="n">
        <x:v>0</x:v>
      </x:c>
      <x:c r="J448" s="26" t="n">
        <x:v>1350</x:v>
      </x:c>
      <x:c r="K448" s="35" t="str">
        <x:v>Receipt allocated to FIN-00219</x:v>
      </x:c>
    </x:row>
    <x:row r="449">
      <x:c r="A449" s="20" t="str">
        <x:v>FIN-00221</x:v>
      </x:c>
      <x:c r="B449" s="32" t="n">
        <x:v>1</x:v>
      </x:c>
      <x:c r="C449" s="23" t="n">
        <x:v>46447</x:v>
      </x:c>
      <x:c r="D449" s="23" t="n">
        <x:v>46447</x:v>
      </x:c>
      <x:c r="E449" s="20" t="str">
        <x:v>P024</x:v>
      </x:c>
      <x:c r="F449" s="20" t="str">
        <x:v>U027</x:v>
      </x:c>
      <x:c r="G449" s="20" t="str">
        <x:v>L027</x:v>
      </x:c>
      <x:c r="H449" s="20" t="str">
        <x:v>1100 Tenant Accounts Receivable</x:v>
      </x:c>
      <x:c r="I449" s="26" t="n">
        <x:v>1825</x:v>
      </x:c>
      <x:c r="J449" s="26" t="n">
        <x:v>0</x:v>
      </x:c>
      <x:c r="K449" s="35" t="str">
        <x:v>March 2027 rent</x:v>
      </x:c>
    </x:row>
    <x:row r="450">
      <x:c r="A450" s="20" t="str">
        <x:v>FIN-00221</x:v>
      </x:c>
      <x:c r="B450" s="32" t="n">
        <x:v>2</x:v>
      </x:c>
      <x:c r="C450" s="23" t="n">
        <x:v>46447</x:v>
      </x:c>
      <x:c r="D450" s="23" t="n">
        <x:v>46447</x:v>
      </x:c>
      <x:c r="E450" s="20" t="str">
        <x:v>P024</x:v>
      </x:c>
      <x:c r="F450" s="20" t="str">
        <x:v>U027</x:v>
      </x:c>
      <x:c r="G450" s="20" t="str">
        <x:v>L027</x:v>
      </x:c>
      <x:c r="H450" s="20" t="str">
        <x:v>4000 Rental Income</x:v>
      </x:c>
      <x:c r="I450" s="26" t="n">
        <x:v>0</x:v>
      </x:c>
      <x:c r="J450" s="26" t="n">
        <x:v>1825</x:v>
      </x:c>
      <x:c r="K450" s="35" t="str">
        <x:v>March 2027 rent</x:v>
      </x:c>
    </x:row>
    <x:row r="451">
      <x:c r="A451" s="20" t="str">
        <x:v>FIN-00222</x:v>
      </x:c>
      <x:c r="B451" s="32" t="n">
        <x:v>1</x:v>
      </x:c>
      <x:c r="C451" s="23" t="n">
        <x:v>46449</x:v>
      </x:c>
      <x:c r="D451" s="23" t="n">
        <x:v>46449</x:v>
      </x:c>
      <x:c r="E451" s="20" t="str">
        <x:v>P024</x:v>
      </x:c>
      <x:c r="F451" s="20" t="str">
        <x:v>U027</x:v>
      </x:c>
      <x:c r="G451" s="20" t="str">
        <x:v>L027</x:v>
      </x:c>
      <x:c r="H451" s="20" t="str">
        <x:v>1000 Operating Cash</x:v>
      </x:c>
      <x:c r="I451" s="26" t="n">
        <x:v>1825</x:v>
      </x:c>
      <x:c r="J451" s="26" t="n">
        <x:v>0</x:v>
      </x:c>
      <x:c r="K451" s="35" t="str">
        <x:v>Receipt allocated to FIN-00221</x:v>
      </x:c>
    </x:row>
    <x:row r="452">
      <x:c r="A452" s="20" t="str">
        <x:v>FIN-00222</x:v>
      </x:c>
      <x:c r="B452" s="32" t="n">
        <x:v>2</x:v>
      </x:c>
      <x:c r="C452" s="23" t="n">
        <x:v>46449</x:v>
      </x:c>
      <x:c r="D452" s="23" t="n">
        <x:v>46449</x:v>
      </x:c>
      <x:c r="E452" s="20" t="str">
        <x:v>P024</x:v>
      </x:c>
      <x:c r="F452" s="20" t="str">
        <x:v>U027</x:v>
      </x:c>
      <x:c r="G452" s="20" t="str">
        <x:v>L027</x:v>
      </x:c>
      <x:c r="H452" s="20" t="str">
        <x:v>1100 Tenant Accounts Receivable</x:v>
      </x:c>
      <x:c r="I452" s="26" t="n">
        <x:v>0</x:v>
      </x:c>
      <x:c r="J452" s="26" t="n">
        <x:v>1825</x:v>
      </x:c>
      <x:c r="K452" s="35" t="str">
        <x:v>Receipt allocated to FIN-00221</x:v>
      </x:c>
    </x:row>
    <x:row r="453">
      <x:c r="A453" s="20" t="str">
        <x:v>FIN-00223</x:v>
      </x:c>
      <x:c r="B453" s="32" t="n">
        <x:v>1</x:v>
      </x:c>
      <x:c r="C453" s="23" t="n">
        <x:v>46447</x:v>
      </x:c>
      <x:c r="D453" s="23" t="n">
        <x:v>46447</x:v>
      </x:c>
      <x:c r="E453" s="20" t="str">
        <x:v>P024</x:v>
      </x:c>
      <x:c r="F453" s="20" t="str">
        <x:v>U028</x:v>
      </x:c>
      <x:c r="G453" s="20" t="str">
        <x:v>L028</x:v>
      </x:c>
      <x:c r="H453" s="20" t="str">
        <x:v>1100 Tenant Accounts Receivable</x:v>
      </x:c>
      <x:c r="I453" s="26" t="n">
        <x:v>1450</x:v>
      </x:c>
      <x:c r="J453" s="26" t="n">
        <x:v>0</x:v>
      </x:c>
      <x:c r="K453" s="35" t="str">
        <x:v>March 2027 rent</x:v>
      </x:c>
    </x:row>
    <x:row r="454">
      <x:c r="A454" s="20" t="str">
        <x:v>FIN-00223</x:v>
      </x:c>
      <x:c r="B454" s="32" t="n">
        <x:v>2</x:v>
      </x:c>
      <x:c r="C454" s="23" t="n">
        <x:v>46447</x:v>
      </x:c>
      <x:c r="D454" s="23" t="n">
        <x:v>46447</x:v>
      </x:c>
      <x:c r="E454" s="20" t="str">
        <x:v>P024</x:v>
      </x:c>
      <x:c r="F454" s="20" t="str">
        <x:v>U028</x:v>
      </x:c>
      <x:c r="G454" s="20" t="str">
        <x:v>L028</x:v>
      </x:c>
      <x:c r="H454" s="20" t="str">
        <x:v>4000 Rental Income</x:v>
      </x:c>
      <x:c r="I454" s="26" t="n">
        <x:v>0</x:v>
      </x:c>
      <x:c r="J454" s="26" t="n">
        <x:v>1450</x:v>
      </x:c>
      <x:c r="K454" s="35" t="str">
        <x:v>March 2027 rent</x:v>
      </x:c>
    </x:row>
    <x:row r="455">
      <x:c r="A455" s="20" t="str">
        <x:v>FIN-00224</x:v>
      </x:c>
      <x:c r="B455" s="32" t="n">
        <x:v>1</x:v>
      </x:c>
      <x:c r="C455" s="23" t="n">
        <x:v>46450</x:v>
      </x:c>
      <x:c r="D455" s="23" t="n">
        <x:v>46450</x:v>
      </x:c>
      <x:c r="E455" s="20" t="str">
        <x:v>P024</x:v>
      </x:c>
      <x:c r="F455" s="20" t="str">
        <x:v>U028</x:v>
      </x:c>
      <x:c r="G455" s="20" t="str">
        <x:v>L028</x:v>
      </x:c>
      <x:c r="H455" s="20" t="str">
        <x:v>1000 Operating Cash</x:v>
      </x:c>
      <x:c r="I455" s="26" t="n">
        <x:v>1450</x:v>
      </x:c>
      <x:c r="J455" s="26" t="n">
        <x:v>0</x:v>
      </x:c>
      <x:c r="K455" s="35" t="str">
        <x:v>Receipt allocated to FIN-00223</x:v>
      </x:c>
    </x:row>
    <x:row r="456">
      <x:c r="A456" s="20" t="str">
        <x:v>FIN-00224</x:v>
      </x:c>
      <x:c r="B456" s="32" t="n">
        <x:v>2</x:v>
      </x:c>
      <x:c r="C456" s="23" t="n">
        <x:v>46450</x:v>
      </x:c>
      <x:c r="D456" s="23" t="n">
        <x:v>46450</x:v>
      </x:c>
      <x:c r="E456" s="20" t="str">
        <x:v>P024</x:v>
      </x:c>
      <x:c r="F456" s="20" t="str">
        <x:v>U028</x:v>
      </x:c>
      <x:c r="G456" s="20" t="str">
        <x:v>L028</x:v>
      </x:c>
      <x:c r="H456" s="20" t="str">
        <x:v>1100 Tenant Accounts Receivable</x:v>
      </x:c>
      <x:c r="I456" s="26" t="n">
        <x:v>0</x:v>
      </x:c>
      <x:c r="J456" s="26" t="n">
        <x:v>1450</x:v>
      </x:c>
      <x:c r="K456" s="35" t="str">
        <x:v>Receipt allocated to FIN-00223</x:v>
      </x:c>
    </x:row>
    <x:row r="457">
      <x:c r="A457" s="20" t="str">
        <x:v>FIN-00225</x:v>
      </x:c>
      <x:c r="B457" s="32" t="n">
        <x:v>1</x:v>
      </x:c>
      <x:c r="C457" s="23" t="n">
        <x:v>46447</x:v>
      </x:c>
      <x:c r="D457" s="23" t="n">
        <x:v>46447</x:v>
      </x:c>
      <x:c r="E457" s="20" t="str">
        <x:v>P025</x:v>
      </x:c>
      <x:c r="F457" s="20" t="str">
        <x:v>U029</x:v>
      </x:c>
      <x:c r="G457" s="20" t="str">
        <x:v>L029</x:v>
      </x:c>
      <x:c r="H457" s="20" t="str">
        <x:v>1100 Tenant Accounts Receivable</x:v>
      </x:c>
      <x:c r="I457" s="26" t="n">
        <x:v>1975</x:v>
      </x:c>
      <x:c r="J457" s="26" t="n">
        <x:v>0</x:v>
      </x:c>
      <x:c r="K457" s="35" t="str">
        <x:v>March 2027 rent</x:v>
      </x:c>
    </x:row>
    <x:row r="458">
      <x:c r="A458" s="20" t="str">
        <x:v>FIN-00225</x:v>
      </x:c>
      <x:c r="B458" s="32" t="n">
        <x:v>2</x:v>
      </x:c>
      <x:c r="C458" s="23" t="n">
        <x:v>46447</x:v>
      </x:c>
      <x:c r="D458" s="23" t="n">
        <x:v>46447</x:v>
      </x:c>
      <x:c r="E458" s="20" t="str">
        <x:v>P025</x:v>
      </x:c>
      <x:c r="F458" s="20" t="str">
        <x:v>U029</x:v>
      </x:c>
      <x:c r="G458" s="20" t="str">
        <x:v>L029</x:v>
      </x:c>
      <x:c r="H458" s="20" t="str">
        <x:v>4000 Rental Income</x:v>
      </x:c>
      <x:c r="I458" s="26" t="n">
        <x:v>0</x:v>
      </x:c>
      <x:c r="J458" s="26" t="n">
        <x:v>1975</x:v>
      </x:c>
      <x:c r="K458" s="35" t="str">
        <x:v>March 2027 rent</x:v>
      </x:c>
    </x:row>
    <x:row r="459">
      <x:c r="A459" s="20" t="str">
        <x:v>FIN-00226</x:v>
      </x:c>
      <x:c r="B459" s="32" t="n">
        <x:v>1</x:v>
      </x:c>
      <x:c r="C459" s="23" t="n">
        <x:v>46451</x:v>
      </x:c>
      <x:c r="D459" s="23" t="n">
        <x:v>46451</x:v>
      </x:c>
      <x:c r="E459" s="20" t="str">
        <x:v>P025</x:v>
      </x:c>
      <x:c r="F459" s="20" t="str">
        <x:v>U029</x:v>
      </x:c>
      <x:c r="G459" s="20" t="str">
        <x:v>L029</x:v>
      </x:c>
      <x:c r="H459" s="20" t="str">
        <x:v>1000 Operating Cash</x:v>
      </x:c>
      <x:c r="I459" s="26" t="n">
        <x:v>1975</x:v>
      </x:c>
      <x:c r="J459" s="26" t="n">
        <x:v>0</x:v>
      </x:c>
      <x:c r="K459" s="35" t="str">
        <x:v>Receipt allocated to FIN-00225</x:v>
      </x:c>
    </x:row>
    <x:row r="460">
      <x:c r="A460" s="20" t="str">
        <x:v>FIN-00226</x:v>
      </x:c>
      <x:c r="B460" s="32" t="n">
        <x:v>2</x:v>
      </x:c>
      <x:c r="C460" s="23" t="n">
        <x:v>46451</x:v>
      </x:c>
      <x:c r="D460" s="23" t="n">
        <x:v>46451</x:v>
      </x:c>
      <x:c r="E460" s="20" t="str">
        <x:v>P025</x:v>
      </x:c>
      <x:c r="F460" s="20" t="str">
        <x:v>U029</x:v>
      </x:c>
      <x:c r="G460" s="20" t="str">
        <x:v>L029</x:v>
      </x:c>
      <x:c r="H460" s="20" t="str">
        <x:v>1100 Tenant Accounts Receivable</x:v>
      </x:c>
      <x:c r="I460" s="26" t="n">
        <x:v>0</x:v>
      </x:c>
      <x:c r="J460" s="26" t="n">
        <x:v>1975</x:v>
      </x:c>
      <x:c r="K460" s="35" t="str">
        <x:v>Receipt allocated to FIN-00225</x:v>
      </x:c>
    </x:row>
    <x:row r="461">
      <x:c r="A461" s="20" t="str">
        <x:v>FIN-00227</x:v>
      </x:c>
      <x:c r="B461" s="32" t="n">
        <x:v>1</x:v>
      </x:c>
      <x:c r="C461" s="23" t="n">
        <x:v>46447</x:v>
      </x:c>
      <x:c r="D461" s="23" t="n">
        <x:v>46447</x:v>
      </x:c>
      <x:c r="E461" s="20" t="str">
        <x:v>P025</x:v>
      </x:c>
      <x:c r="F461" s="20" t="str">
        <x:v>U030</x:v>
      </x:c>
      <x:c r="G461" s="20" t="str">
        <x:v>L030</x:v>
      </x:c>
      <x:c r="H461" s="20" t="str">
        <x:v>1100 Tenant Accounts Receivable</x:v>
      </x:c>
      <x:c r="I461" s="26" t="n">
        <x:v>1600</x:v>
      </x:c>
      <x:c r="J461" s="26" t="n">
        <x:v>0</x:v>
      </x:c>
      <x:c r="K461" s="35" t="str">
        <x:v>March 2027 rent</x:v>
      </x:c>
    </x:row>
    <x:row r="462">
      <x:c r="A462" s="20" t="str">
        <x:v>FIN-00227</x:v>
      </x:c>
      <x:c r="B462" s="32" t="n">
        <x:v>2</x:v>
      </x:c>
      <x:c r="C462" s="23" t="n">
        <x:v>46447</x:v>
      </x:c>
      <x:c r="D462" s="23" t="n">
        <x:v>46447</x:v>
      </x:c>
      <x:c r="E462" s="20" t="str">
        <x:v>P025</x:v>
      </x:c>
      <x:c r="F462" s="20" t="str">
        <x:v>U030</x:v>
      </x:c>
      <x:c r="G462" s="20" t="str">
        <x:v>L030</x:v>
      </x:c>
      <x:c r="H462" s="20" t="str">
        <x:v>4000 Rental Income</x:v>
      </x:c>
      <x:c r="I462" s="26" t="n">
        <x:v>0</x:v>
      </x:c>
      <x:c r="J462" s="26" t="n">
        <x:v>1600</x:v>
      </x:c>
      <x:c r="K462" s="35" t="str">
        <x:v>March 2027 rent</x:v>
      </x:c>
    </x:row>
    <x:row r="463">
      <x:c r="A463" s="20" t="str">
        <x:v>FIN-00228</x:v>
      </x:c>
      <x:c r="B463" s="32" t="n">
        <x:v>1</x:v>
      </x:c>
      <x:c r="C463" s="23" t="n">
        <x:v>46449</x:v>
      </x:c>
      <x:c r="D463" s="23" t="n">
        <x:v>46449</x:v>
      </x:c>
      <x:c r="E463" s="20" t="str">
        <x:v>P025</x:v>
      </x:c>
      <x:c r="F463" s="20" t="str">
        <x:v>U030</x:v>
      </x:c>
      <x:c r="G463" s="20" t="str">
        <x:v>L030</x:v>
      </x:c>
      <x:c r="H463" s="20" t="str">
        <x:v>1000 Operating Cash</x:v>
      </x:c>
      <x:c r="I463" s="26" t="n">
        <x:v>1600</x:v>
      </x:c>
      <x:c r="J463" s="26" t="n">
        <x:v>0</x:v>
      </x:c>
      <x:c r="K463" s="35" t="str">
        <x:v>Receipt allocated to FIN-00227</x:v>
      </x:c>
    </x:row>
    <x:row r="464">
      <x:c r="A464" s="20" t="str">
        <x:v>FIN-00228</x:v>
      </x:c>
      <x:c r="B464" s="32" t="n">
        <x:v>2</x:v>
      </x:c>
      <x:c r="C464" s="23" t="n">
        <x:v>46449</x:v>
      </x:c>
      <x:c r="D464" s="23" t="n">
        <x:v>46449</x:v>
      </x:c>
      <x:c r="E464" s="20" t="str">
        <x:v>P025</x:v>
      </x:c>
      <x:c r="F464" s="20" t="str">
        <x:v>U030</x:v>
      </x:c>
      <x:c r="G464" s="20" t="str">
        <x:v>L030</x:v>
      </x:c>
      <x:c r="H464" s="20" t="str">
        <x:v>1100 Tenant Accounts Receivable</x:v>
      </x:c>
      <x:c r="I464" s="26" t="n">
        <x:v>0</x:v>
      </x:c>
      <x:c r="J464" s="26" t="n">
        <x:v>1600</x:v>
      </x:c>
      <x:c r="K464" s="35" t="str">
        <x:v>Receipt allocated to FIN-00227</x:v>
      </x:c>
    </x:row>
    <x:row r="465">
      <x:c r="A465" s="20" t="str">
        <x:v>FIN-00229</x:v>
      </x:c>
      <x:c r="B465" s="32" t="n">
        <x:v>1</x:v>
      </x:c>
      <x:c r="C465" s="23" t="n">
        <x:v>46447</x:v>
      </x:c>
      <x:c r="D465" s="23" t="n">
        <x:v>46447</x:v>
      </x:c>
      <x:c r="E465" s="20" t="str">
        <x:v>P026</x:v>
      </x:c>
      <x:c r="F465" s="20" t="str">
        <x:v>U031</x:v>
      </x:c>
      <x:c r="G465" s="20" t="str">
        <x:v>L031</x:v>
      </x:c>
      <x:c r="H465" s="20" t="str">
        <x:v>1100 Tenant Accounts Receivable</x:v>
      </x:c>
      <x:c r="I465" s="26" t="n">
        <x:v>1225</x:v>
      </x:c>
      <x:c r="J465" s="26" t="n">
        <x:v>0</x:v>
      </x:c>
      <x:c r="K465" s="35" t="str">
        <x:v>March 2027 rent</x:v>
      </x:c>
    </x:row>
    <x:row r="466">
      <x:c r="A466" s="20" t="str">
        <x:v>FIN-00229</x:v>
      </x:c>
      <x:c r="B466" s="32" t="n">
        <x:v>2</x:v>
      </x:c>
      <x:c r="C466" s="23" t="n">
        <x:v>46447</x:v>
      </x:c>
      <x:c r="D466" s="23" t="n">
        <x:v>46447</x:v>
      </x:c>
      <x:c r="E466" s="20" t="str">
        <x:v>P026</x:v>
      </x:c>
      <x:c r="F466" s="20" t="str">
        <x:v>U031</x:v>
      </x:c>
      <x:c r="G466" s="20" t="str">
        <x:v>L031</x:v>
      </x:c>
      <x:c r="H466" s="20" t="str">
        <x:v>4000 Rental Income</x:v>
      </x:c>
      <x:c r="I466" s="26" t="n">
        <x:v>0</x:v>
      </x:c>
      <x:c r="J466" s="26" t="n">
        <x:v>1225</x:v>
      </x:c>
      <x:c r="K466" s="35" t="str">
        <x:v>March 2027 rent</x:v>
      </x:c>
    </x:row>
    <x:row r="467">
      <x:c r="A467" s="20" t="str">
        <x:v>FIN-00230</x:v>
      </x:c>
      <x:c r="B467" s="32" t="n">
        <x:v>1</x:v>
      </x:c>
      <x:c r="C467" s="23" t="n">
        <x:v>46450</x:v>
      </x:c>
      <x:c r="D467" s="23" t="n">
        <x:v>46450</x:v>
      </x:c>
      <x:c r="E467" s="20" t="str">
        <x:v>P026</x:v>
      </x:c>
      <x:c r="F467" s="20" t="str">
        <x:v>U031</x:v>
      </x:c>
      <x:c r="G467" s="20" t="str">
        <x:v>L031</x:v>
      </x:c>
      <x:c r="H467" s="20" t="str">
        <x:v>1000 Operating Cash</x:v>
      </x:c>
      <x:c r="I467" s="26" t="n">
        <x:v>1225</x:v>
      </x:c>
      <x:c r="J467" s="26" t="n">
        <x:v>0</x:v>
      </x:c>
      <x:c r="K467" s="35" t="str">
        <x:v>Receipt allocated to FIN-00229</x:v>
      </x:c>
    </x:row>
    <x:row r="468">
      <x:c r="A468" s="20" t="str">
        <x:v>FIN-00230</x:v>
      </x:c>
      <x:c r="B468" s="32" t="n">
        <x:v>2</x:v>
      </x:c>
      <x:c r="C468" s="23" t="n">
        <x:v>46450</x:v>
      </x:c>
      <x:c r="D468" s="23" t="n">
        <x:v>46450</x:v>
      </x:c>
      <x:c r="E468" s="20" t="str">
        <x:v>P026</x:v>
      </x:c>
      <x:c r="F468" s="20" t="str">
        <x:v>U031</x:v>
      </x:c>
      <x:c r="G468" s="20" t="str">
        <x:v>L031</x:v>
      </x:c>
      <x:c r="H468" s="20" t="str">
        <x:v>1100 Tenant Accounts Receivable</x:v>
      </x:c>
      <x:c r="I468" s="26" t="n">
        <x:v>0</x:v>
      </x:c>
      <x:c r="J468" s="26" t="n">
        <x:v>1225</x:v>
      </x:c>
      <x:c r="K468" s="35" t="str">
        <x:v>Receipt allocated to FIN-00229</x:v>
      </x:c>
    </x:row>
    <x:row r="469">
      <x:c r="A469" s="20" t="str">
        <x:v>FIN-00231</x:v>
      </x:c>
      <x:c r="B469" s="32" t="n">
        <x:v>1</x:v>
      </x:c>
      <x:c r="C469" s="23" t="n">
        <x:v>46447</x:v>
      </x:c>
      <x:c r="D469" s="23" t="n">
        <x:v>46447</x:v>
      </x:c>
      <x:c r="E469" s="20" t="str">
        <x:v>P026</x:v>
      </x:c>
      <x:c r="F469" s="20" t="str">
        <x:v>U032</x:v>
      </x:c>
      <x:c r="G469" s="20" t="str">
        <x:v>L032</x:v>
      </x:c>
      <x:c r="H469" s="20" t="str">
        <x:v>1100 Tenant Accounts Receivable</x:v>
      </x:c>
      <x:c r="I469" s="26" t="n">
        <x:v>1750</x:v>
      </x:c>
      <x:c r="J469" s="26" t="n">
        <x:v>0</x:v>
      </x:c>
      <x:c r="K469" s="35" t="str">
        <x:v>March 2027 rent</x:v>
      </x:c>
    </x:row>
    <x:row r="470">
      <x:c r="A470" s="20" t="str">
        <x:v>FIN-00231</x:v>
      </x:c>
      <x:c r="B470" s="32" t="n">
        <x:v>2</x:v>
      </x:c>
      <x:c r="C470" s="23" t="n">
        <x:v>46447</x:v>
      </x:c>
      <x:c r="D470" s="23" t="n">
        <x:v>46447</x:v>
      </x:c>
      <x:c r="E470" s="20" t="str">
        <x:v>P026</x:v>
      </x:c>
      <x:c r="F470" s="20" t="str">
        <x:v>U032</x:v>
      </x:c>
      <x:c r="G470" s="20" t="str">
        <x:v>L032</x:v>
      </x:c>
      <x:c r="H470" s="20" t="str">
        <x:v>4000 Rental Income</x:v>
      </x:c>
      <x:c r="I470" s="26" t="n">
        <x:v>0</x:v>
      </x:c>
      <x:c r="J470" s="26" t="n">
        <x:v>1750</x:v>
      </x:c>
      <x:c r="K470" s="35" t="str">
        <x:v>March 2027 rent</x:v>
      </x:c>
    </x:row>
    <x:row r="471">
      <x:c r="A471" s="20" t="str">
        <x:v>FIN-00232</x:v>
      </x:c>
      <x:c r="B471" s="32" t="n">
        <x:v>1</x:v>
      </x:c>
      <x:c r="C471" s="23" t="n">
        <x:v>46451</x:v>
      </x:c>
      <x:c r="D471" s="23" t="n">
        <x:v>46451</x:v>
      </x:c>
      <x:c r="E471" s="20" t="str">
        <x:v>P026</x:v>
      </x:c>
      <x:c r="F471" s="20" t="str">
        <x:v>U032</x:v>
      </x:c>
      <x:c r="G471" s="20" t="str">
        <x:v>L032</x:v>
      </x:c>
      <x:c r="H471" s="20" t="str">
        <x:v>1000 Operating Cash</x:v>
      </x:c>
      <x:c r="I471" s="26" t="n">
        <x:v>1750</x:v>
      </x:c>
      <x:c r="J471" s="26" t="n">
        <x:v>0</x:v>
      </x:c>
      <x:c r="K471" s="35" t="str">
        <x:v>Receipt allocated to FIN-00231</x:v>
      </x:c>
    </x:row>
    <x:row r="472">
      <x:c r="A472" s="20" t="str">
        <x:v>FIN-00232</x:v>
      </x:c>
      <x:c r="B472" s="32" t="n">
        <x:v>2</x:v>
      </x:c>
      <x:c r="C472" s="23" t="n">
        <x:v>46451</x:v>
      </x:c>
      <x:c r="D472" s="23" t="n">
        <x:v>46451</x:v>
      </x:c>
      <x:c r="E472" s="20" t="str">
        <x:v>P026</x:v>
      </x:c>
      <x:c r="F472" s="20" t="str">
        <x:v>U032</x:v>
      </x:c>
      <x:c r="G472" s="20" t="str">
        <x:v>L032</x:v>
      </x:c>
      <x:c r="H472" s="20" t="str">
        <x:v>1100 Tenant Accounts Receivable</x:v>
      </x:c>
      <x:c r="I472" s="26" t="n">
        <x:v>0</x:v>
      </x:c>
      <x:c r="J472" s="26" t="n">
        <x:v>1750</x:v>
      </x:c>
      <x:c r="K472" s="35" t="str">
        <x:v>Receipt allocated to FIN-00231</x:v>
      </x:c>
    </x:row>
    <x:row r="473">
      <x:c r="A473" s="20" t="str">
        <x:v>FIN-00233</x:v>
      </x:c>
      <x:c r="B473" s="32" t="n">
        <x:v>1</x:v>
      </x:c>
      <x:c r="C473" s="23" t="n">
        <x:v>46447</x:v>
      </x:c>
      <x:c r="D473" s="23" t="n">
        <x:v>46447</x:v>
      </x:c>
      <x:c r="E473" s="20" t="str">
        <x:v>P027</x:v>
      </x:c>
      <x:c r="F473" s="20" t="str">
        <x:v>U033</x:v>
      </x:c>
      <x:c r="G473" s="20" t="str">
        <x:v>L033</x:v>
      </x:c>
      <x:c r="H473" s="20" t="str">
        <x:v>1100 Tenant Accounts Receivable</x:v>
      </x:c>
      <x:c r="I473" s="26" t="n">
        <x:v>1375</x:v>
      </x:c>
      <x:c r="J473" s="26" t="n">
        <x:v>0</x:v>
      </x:c>
      <x:c r="K473" s="35" t="str">
        <x:v>March 2027 rent</x:v>
      </x:c>
    </x:row>
    <x:row r="474">
      <x:c r="A474" s="20" t="str">
        <x:v>FIN-00233</x:v>
      </x:c>
      <x:c r="B474" s="32" t="n">
        <x:v>2</x:v>
      </x:c>
      <x:c r="C474" s="23" t="n">
        <x:v>46447</x:v>
      </x:c>
      <x:c r="D474" s="23" t="n">
        <x:v>46447</x:v>
      </x:c>
      <x:c r="E474" s="20" t="str">
        <x:v>P027</x:v>
      </x:c>
      <x:c r="F474" s="20" t="str">
        <x:v>U033</x:v>
      </x:c>
      <x:c r="G474" s="20" t="str">
        <x:v>L033</x:v>
      </x:c>
      <x:c r="H474" s="20" t="str">
        <x:v>4000 Rental Income</x:v>
      </x:c>
      <x:c r="I474" s="26" t="n">
        <x:v>0</x:v>
      </x:c>
      <x:c r="J474" s="26" t="n">
        <x:v>1375</x:v>
      </x:c>
      <x:c r="K474" s="35" t="str">
        <x:v>March 2027 rent</x:v>
      </x:c>
    </x:row>
    <x:row r="475">
      <x:c r="A475" s="20" t="str">
        <x:v>FIN-00234</x:v>
      </x:c>
      <x:c r="B475" s="32" t="n">
        <x:v>1</x:v>
      </x:c>
      <x:c r="C475" s="23" t="n">
        <x:v>46449</x:v>
      </x:c>
      <x:c r="D475" s="23" t="n">
        <x:v>46449</x:v>
      </x:c>
      <x:c r="E475" s="20" t="str">
        <x:v>P027</x:v>
      </x:c>
      <x:c r="F475" s="20" t="str">
        <x:v>U033</x:v>
      </x:c>
      <x:c r="G475" s="20" t="str">
        <x:v>L033</x:v>
      </x:c>
      <x:c r="H475" s="20" t="str">
        <x:v>1000 Operating Cash</x:v>
      </x:c>
      <x:c r="I475" s="26" t="n">
        <x:v>825</x:v>
      </x:c>
      <x:c r="J475" s="26" t="n">
        <x:v>0</x:v>
      </x:c>
      <x:c r="K475" s="35" t="str">
        <x:v>Receipt allocated to FIN-00233</x:v>
      </x:c>
    </x:row>
    <x:row r="476">
      <x:c r="A476" s="20" t="str">
        <x:v>FIN-00234</x:v>
      </x:c>
      <x:c r="B476" s="32" t="n">
        <x:v>2</x:v>
      </x:c>
      <x:c r="C476" s="23" t="n">
        <x:v>46449</x:v>
      </x:c>
      <x:c r="D476" s="23" t="n">
        <x:v>46449</x:v>
      </x:c>
      <x:c r="E476" s="20" t="str">
        <x:v>P027</x:v>
      </x:c>
      <x:c r="F476" s="20" t="str">
        <x:v>U033</x:v>
      </x:c>
      <x:c r="G476" s="20" t="str">
        <x:v>L033</x:v>
      </x:c>
      <x:c r="H476" s="20" t="str">
        <x:v>1100 Tenant Accounts Receivable</x:v>
      </x:c>
      <x:c r="I476" s="26" t="n">
        <x:v>0</x:v>
      </x:c>
      <x:c r="J476" s="26" t="n">
        <x:v>825</x:v>
      </x:c>
      <x:c r="K476" s="35" t="str">
        <x:v>Receipt allocated to FIN-00233</x:v>
      </x:c>
    </x:row>
    <x:row r="477">
      <x:c r="A477" s="20" t="str">
        <x:v>FIN-00235</x:v>
      </x:c>
      <x:c r="B477" s="32" t="n">
        <x:v>1</x:v>
      </x:c>
      <x:c r="C477" s="23" t="n">
        <x:v>46452</x:v>
      </x:c>
      <x:c r="D477" s="23" t="n">
        <x:v>46452</x:v>
      </x:c>
      <x:c r="E477" s="20" t="str">
        <x:v>P027</x:v>
      </x:c>
      <x:c r="F477" s="20" t="str">
        <x:v>U033</x:v>
      </x:c>
      <x:c r="G477" s="20" t="str">
        <x:v>L033</x:v>
      </x:c>
      <x:c r="H477" s="20" t="str">
        <x:v>1100 Tenant Accounts Receivable</x:v>
      </x:c>
      <x:c r="I477" s="26" t="n">
        <x:v>50</x:v>
      </x:c>
      <x:c r="J477" s="26" t="n">
        <x:v>0</x:v>
      </x:c>
      <x:c r="K477" s="35" t="str">
        <x:v>Synthetic lease-authorized late fee after partial payment</x:v>
      </x:c>
    </x:row>
    <x:row r="478">
      <x:c r="A478" s="20" t="str">
        <x:v>FIN-00235</x:v>
      </x:c>
      <x:c r="B478" s="32" t="n">
        <x:v>2</x:v>
      </x:c>
      <x:c r="C478" s="23" t="n">
        <x:v>46452</x:v>
      </x:c>
      <x:c r="D478" s="23" t="n">
        <x:v>46452</x:v>
      </x:c>
      <x:c r="E478" s="20" t="str">
        <x:v>P027</x:v>
      </x:c>
      <x:c r="F478" s="20" t="str">
        <x:v>U033</x:v>
      </x:c>
      <x:c r="G478" s="20" t="str">
        <x:v>L033</x:v>
      </x:c>
      <x:c r="H478" s="20" t="str">
        <x:v>4010 Late Fee Income</x:v>
      </x:c>
      <x:c r="I478" s="26" t="n">
        <x:v>0</x:v>
      </x:c>
      <x:c r="J478" s="26" t="n">
        <x:v>50</x:v>
      </x:c>
      <x:c r="K478" s="35" t="str">
        <x:v>Synthetic lease-authorized late fee after partial payment</x:v>
      </x:c>
    </x:row>
    <x:row r="479">
      <x:c r="A479" s="20" t="str">
        <x:v>FIN-00236</x:v>
      </x:c>
      <x:c r="B479" s="32" t="n">
        <x:v>1</x:v>
      </x:c>
      <x:c r="C479" s="23" t="n">
        <x:v>46458</x:v>
      </x:c>
      <x:c r="D479" s="23" t="n">
        <x:v>46458</x:v>
      </x:c>
      <x:c r="E479" s="20" t="str">
        <x:v>P027</x:v>
      </x:c>
      <x:c r="F479" s="20" t="str">
        <x:v>U033</x:v>
      </x:c>
      <x:c r="G479" s="20" t="str">
        <x:v>L033</x:v>
      </x:c>
      <x:c r="H479" s="20" t="str">
        <x:v>1000 Operating Cash</x:v>
      </x:c>
      <x:c r="I479" s="26" t="n">
        <x:v>600</x:v>
      </x:c>
      <x:c r="J479" s="26" t="n">
        <x:v>0</x:v>
      </x:c>
      <x:c r="K479" s="35" t="str">
        <x:v>Receipt allocated to FIN-00235</x:v>
      </x:c>
    </x:row>
    <x:row r="480">
      <x:c r="A480" s="20" t="str">
        <x:v>FIN-00236</x:v>
      </x:c>
      <x:c r="B480" s="32" t="n">
        <x:v>2</x:v>
      </x:c>
      <x:c r="C480" s="23" t="n">
        <x:v>46458</x:v>
      </x:c>
      <x:c r="D480" s="23" t="n">
        <x:v>46458</x:v>
      </x:c>
      <x:c r="E480" s="20" t="str">
        <x:v>P027</x:v>
      </x:c>
      <x:c r="F480" s="20" t="str">
        <x:v>U033</x:v>
      </x:c>
      <x:c r="G480" s="20" t="str">
        <x:v>L033</x:v>
      </x:c>
      <x:c r="H480" s="20" t="str">
        <x:v>1100 Tenant Accounts Receivable</x:v>
      </x:c>
      <x:c r="I480" s="26" t="n">
        <x:v>0</x:v>
      </x:c>
      <x:c r="J480" s="26" t="n">
        <x:v>600</x:v>
      </x:c>
      <x:c r="K480" s="35" t="str">
        <x:v>Receipt allocated to FIN-00235</x:v>
      </x:c>
    </x:row>
    <x:row r="481">
      <x:c r="A481" s="20" t="str">
        <x:v>FIN-00237</x:v>
      </x:c>
      <x:c r="B481" s="32" t="n">
        <x:v>1</x:v>
      </x:c>
      <x:c r="C481" s="23" t="n">
        <x:v>46447</x:v>
      </x:c>
      <x:c r="D481" s="23" t="n">
        <x:v>46447</x:v>
      </x:c>
      <x:c r="E481" s="20" t="str">
        <x:v>P027</x:v>
      </x:c>
      <x:c r="F481" s="20" t="str">
        <x:v>U034</x:v>
      </x:c>
      <x:c r="G481" s="20" t="str">
        <x:v>L034</x:v>
      </x:c>
      <x:c r="H481" s="20" t="str">
        <x:v>1100 Tenant Accounts Receivable</x:v>
      </x:c>
      <x:c r="I481" s="26" t="n">
        <x:v>1900</x:v>
      </x:c>
      <x:c r="J481" s="26" t="n">
        <x:v>0</x:v>
      </x:c>
      <x:c r="K481" s="35" t="str">
        <x:v>March 2027 rent</x:v>
      </x:c>
    </x:row>
    <x:row r="482">
      <x:c r="A482" s="20" t="str">
        <x:v>FIN-00237</x:v>
      </x:c>
      <x:c r="B482" s="32" t="n">
        <x:v>2</x:v>
      </x:c>
      <x:c r="C482" s="23" t="n">
        <x:v>46447</x:v>
      </x:c>
      <x:c r="D482" s="23" t="n">
        <x:v>46447</x:v>
      </x:c>
      <x:c r="E482" s="20" t="str">
        <x:v>P027</x:v>
      </x:c>
      <x:c r="F482" s="20" t="str">
        <x:v>U034</x:v>
      </x:c>
      <x:c r="G482" s="20" t="str">
        <x:v>L034</x:v>
      </x:c>
      <x:c r="H482" s="20" t="str">
        <x:v>4000 Rental Income</x:v>
      </x:c>
      <x:c r="I482" s="26" t="n">
        <x:v>0</x:v>
      </x:c>
      <x:c r="J482" s="26" t="n">
        <x:v>1900</x:v>
      </x:c>
      <x:c r="K482" s="35" t="str">
        <x:v>March 2027 rent</x:v>
      </x:c>
    </x:row>
    <x:row r="483">
      <x:c r="A483" s="20" t="str">
        <x:v>FIN-00238</x:v>
      </x:c>
      <x:c r="B483" s="32" t="n">
        <x:v>1</x:v>
      </x:c>
      <x:c r="C483" s="23" t="n">
        <x:v>46450</x:v>
      </x:c>
      <x:c r="D483" s="23" t="n">
        <x:v>46450</x:v>
      </x:c>
      <x:c r="E483" s="20" t="str">
        <x:v>P027</x:v>
      </x:c>
      <x:c r="F483" s="20" t="str">
        <x:v>U034</x:v>
      </x:c>
      <x:c r="G483" s="20" t="str">
        <x:v>L034</x:v>
      </x:c>
      <x:c r="H483" s="20" t="str">
        <x:v>1000 Operating Cash</x:v>
      </x:c>
      <x:c r="I483" s="26" t="n">
        <x:v>1900</x:v>
      </x:c>
      <x:c r="J483" s="26" t="n">
        <x:v>0</x:v>
      </x:c>
      <x:c r="K483" s="35" t="str">
        <x:v>Receipt allocated to FIN-00237</x:v>
      </x:c>
    </x:row>
    <x:row r="484">
      <x:c r="A484" s="20" t="str">
        <x:v>FIN-00238</x:v>
      </x:c>
      <x:c r="B484" s="32" t="n">
        <x:v>2</x:v>
      </x:c>
      <x:c r="C484" s="23" t="n">
        <x:v>46450</x:v>
      </x:c>
      <x:c r="D484" s="23" t="n">
        <x:v>46450</x:v>
      </x:c>
      <x:c r="E484" s="20" t="str">
        <x:v>P027</x:v>
      </x:c>
      <x:c r="F484" s="20" t="str">
        <x:v>U034</x:v>
      </x:c>
      <x:c r="G484" s="20" t="str">
        <x:v>L034</x:v>
      </x:c>
      <x:c r="H484" s="20" t="str">
        <x:v>1100 Tenant Accounts Receivable</x:v>
      </x:c>
      <x:c r="I484" s="26" t="n">
        <x:v>0</x:v>
      </x:c>
      <x:c r="J484" s="26" t="n">
        <x:v>1900</x:v>
      </x:c>
      <x:c r="K484" s="35" t="str">
        <x:v>Receipt allocated to FIN-00237</x:v>
      </x:c>
    </x:row>
    <x:row r="485">
      <x:c r="A485" s="20" t="str">
        <x:v>FIN-00239</x:v>
      </x:c>
      <x:c r="B485" s="32" t="n">
        <x:v>1</x:v>
      </x:c>
      <x:c r="C485" s="23" t="n">
        <x:v>46447</x:v>
      </x:c>
      <x:c r="D485" s="23" t="n">
        <x:v>46447</x:v>
      </x:c>
      <x:c r="E485" s="20" t="str">
        <x:v>P028</x:v>
      </x:c>
      <x:c r="F485" s="20" t="str">
        <x:v>U035</x:v>
      </x:c>
      <x:c r="G485" s="20" t="str">
        <x:v>L035</x:v>
      </x:c>
      <x:c r="H485" s="20" t="str">
        <x:v>1100 Tenant Accounts Receivable</x:v>
      </x:c>
      <x:c r="I485" s="26" t="n">
        <x:v>1525</x:v>
      </x:c>
      <x:c r="J485" s="26" t="n">
        <x:v>0</x:v>
      </x:c>
      <x:c r="K485" s="35" t="str">
        <x:v>March 2027 rent</x:v>
      </x:c>
    </x:row>
    <x:row r="486">
      <x:c r="A486" s="20" t="str">
        <x:v>FIN-00239</x:v>
      </x:c>
      <x:c r="B486" s="32" t="n">
        <x:v>2</x:v>
      </x:c>
      <x:c r="C486" s="23" t="n">
        <x:v>46447</x:v>
      </x:c>
      <x:c r="D486" s="23" t="n">
        <x:v>46447</x:v>
      </x:c>
      <x:c r="E486" s="20" t="str">
        <x:v>P028</x:v>
      </x:c>
      <x:c r="F486" s="20" t="str">
        <x:v>U035</x:v>
      </x:c>
      <x:c r="G486" s="20" t="str">
        <x:v>L035</x:v>
      </x:c>
      <x:c r="H486" s="20" t="str">
        <x:v>4000 Rental Income</x:v>
      </x:c>
      <x:c r="I486" s="26" t="n">
        <x:v>0</x:v>
      </x:c>
      <x:c r="J486" s="26" t="n">
        <x:v>1525</x:v>
      </x:c>
      <x:c r="K486" s="35" t="str">
        <x:v>March 2027 rent</x:v>
      </x:c>
    </x:row>
    <x:row r="487">
      <x:c r="A487" s="20" t="str">
        <x:v>FIN-00240</x:v>
      </x:c>
      <x:c r="B487" s="32" t="n">
        <x:v>1</x:v>
      </x:c>
      <x:c r="C487" s="23" t="n">
        <x:v>46451</x:v>
      </x:c>
      <x:c r="D487" s="23" t="n">
        <x:v>46451</x:v>
      </x:c>
      <x:c r="E487" s="20" t="str">
        <x:v>P028</x:v>
      </x:c>
      <x:c r="F487" s="20" t="str">
        <x:v>U035</x:v>
      </x:c>
      <x:c r="G487" s="20" t="str">
        <x:v>L035</x:v>
      </x:c>
      <x:c r="H487" s="20" t="str">
        <x:v>1000 Operating Cash</x:v>
      </x:c>
      <x:c r="I487" s="26" t="n">
        <x:v>1525</x:v>
      </x:c>
      <x:c r="J487" s="26" t="n">
        <x:v>0</x:v>
      </x:c>
      <x:c r="K487" s="35" t="str">
        <x:v>Receipt allocated to FIN-00239</x:v>
      </x:c>
    </x:row>
    <x:row r="488">
      <x:c r="A488" s="20" t="str">
        <x:v>FIN-00240</x:v>
      </x:c>
      <x:c r="B488" s="32" t="n">
        <x:v>2</x:v>
      </x:c>
      <x:c r="C488" s="23" t="n">
        <x:v>46451</x:v>
      </x:c>
      <x:c r="D488" s="23" t="n">
        <x:v>46451</x:v>
      </x:c>
      <x:c r="E488" s="20" t="str">
        <x:v>P028</x:v>
      </x:c>
      <x:c r="F488" s="20" t="str">
        <x:v>U035</x:v>
      </x:c>
      <x:c r="G488" s="20" t="str">
        <x:v>L035</x:v>
      </x:c>
      <x:c r="H488" s="20" t="str">
        <x:v>1100 Tenant Accounts Receivable</x:v>
      </x:c>
      <x:c r="I488" s="26" t="n">
        <x:v>0</x:v>
      </x:c>
      <x:c r="J488" s="26" t="n">
        <x:v>1525</x:v>
      </x:c>
      <x:c r="K488" s="35" t="str">
        <x:v>Receipt allocated to FIN-00239</x:v>
      </x:c>
    </x:row>
    <x:row r="489">
      <x:c r="A489" s="20" t="str">
        <x:v>FIN-00241</x:v>
      </x:c>
      <x:c r="B489" s="32" t="n">
        <x:v>1</x:v>
      </x:c>
      <x:c r="C489" s="23" t="n">
        <x:v>46447</x:v>
      </x:c>
      <x:c r="D489" s="23" t="n">
        <x:v>46447</x:v>
      </x:c>
      <x:c r="E489" s="20" t="str">
        <x:v>P028</x:v>
      </x:c>
      <x:c r="F489" s="20" t="str">
        <x:v>U036</x:v>
      </x:c>
      <x:c r="G489" s="20" t="str">
        <x:v>L036</x:v>
      </x:c>
      <x:c r="H489" s="20" t="str">
        <x:v>1100 Tenant Accounts Receivable</x:v>
      </x:c>
      <x:c r="I489" s="26" t="n">
        <x:v>1150</x:v>
      </x:c>
      <x:c r="J489" s="26" t="n">
        <x:v>0</x:v>
      </x:c>
      <x:c r="K489" s="35" t="str">
        <x:v>March 2027 rent</x:v>
      </x:c>
    </x:row>
    <x:row r="490">
      <x:c r="A490" s="20" t="str">
        <x:v>FIN-00241</x:v>
      </x:c>
      <x:c r="B490" s="32" t="n">
        <x:v>2</x:v>
      </x:c>
      <x:c r="C490" s="23" t="n">
        <x:v>46447</x:v>
      </x:c>
      <x:c r="D490" s="23" t="n">
        <x:v>46447</x:v>
      </x:c>
      <x:c r="E490" s="20" t="str">
        <x:v>P028</x:v>
      </x:c>
      <x:c r="F490" s="20" t="str">
        <x:v>U036</x:v>
      </x:c>
      <x:c r="G490" s="20" t="str">
        <x:v>L036</x:v>
      </x:c>
      <x:c r="H490" s="20" t="str">
        <x:v>4000 Rental Income</x:v>
      </x:c>
      <x:c r="I490" s="26" t="n">
        <x:v>0</x:v>
      </x:c>
      <x:c r="J490" s="26" t="n">
        <x:v>1150</x:v>
      </x:c>
      <x:c r="K490" s="35" t="str">
        <x:v>March 2027 rent</x:v>
      </x:c>
    </x:row>
    <x:row r="491">
      <x:c r="A491" s="20" t="str">
        <x:v>FIN-00242</x:v>
      </x:c>
      <x:c r="B491" s="32" t="n">
        <x:v>1</x:v>
      </x:c>
      <x:c r="C491" s="23" t="n">
        <x:v>46449</x:v>
      </x:c>
      <x:c r="D491" s="23" t="n">
        <x:v>46449</x:v>
      </x:c>
      <x:c r="E491" s="20" t="str">
        <x:v>P028</x:v>
      </x:c>
      <x:c r="F491" s="20" t="str">
        <x:v>U036</x:v>
      </x:c>
      <x:c r="G491" s="20" t="str">
        <x:v>L036</x:v>
      </x:c>
      <x:c r="H491" s="20" t="str">
        <x:v>1000 Operating Cash</x:v>
      </x:c>
      <x:c r="I491" s="26" t="n">
        <x:v>1150</x:v>
      </x:c>
      <x:c r="J491" s="26" t="n">
        <x:v>0</x:v>
      </x:c>
      <x:c r="K491" s="35" t="str">
        <x:v>Receipt allocated to FIN-00241</x:v>
      </x:c>
    </x:row>
    <x:row r="492">
      <x:c r="A492" s="20" t="str">
        <x:v>FIN-00242</x:v>
      </x:c>
      <x:c r="B492" s="32" t="n">
        <x:v>2</x:v>
      </x:c>
      <x:c r="C492" s="23" t="n">
        <x:v>46449</x:v>
      </x:c>
      <x:c r="D492" s="23" t="n">
        <x:v>46449</x:v>
      </x:c>
      <x:c r="E492" s="20" t="str">
        <x:v>P028</x:v>
      </x:c>
      <x:c r="F492" s="20" t="str">
        <x:v>U036</x:v>
      </x:c>
      <x:c r="G492" s="20" t="str">
        <x:v>L036</x:v>
      </x:c>
      <x:c r="H492" s="20" t="str">
        <x:v>1100 Tenant Accounts Receivable</x:v>
      </x:c>
      <x:c r="I492" s="26" t="n">
        <x:v>0</x:v>
      </x:c>
      <x:c r="J492" s="26" t="n">
        <x:v>1150</x:v>
      </x:c>
      <x:c r="K492" s="35" t="str">
        <x:v>Receipt allocated to FIN-00241</x:v>
      </x:c>
    </x:row>
    <x:row r="493">
      <x:c r="A493" s="20" t="str">
        <x:v>FIN-00243</x:v>
      </x:c>
      <x:c r="B493" s="32" t="n">
        <x:v>1</x:v>
      </x:c>
      <x:c r="C493" s="23" t="n">
        <x:v>46447</x:v>
      </x:c>
      <x:c r="D493" s="23" t="n">
        <x:v>46447</x:v>
      </x:c>
      <x:c r="E493" s="20" t="str">
        <x:v>P029</x:v>
      </x:c>
      <x:c r="F493" s="20" t="str">
        <x:v>U037</x:v>
      </x:c>
      <x:c r="G493" s="20" t="str">
        <x:v>L043</x:v>
      </x:c>
      <x:c r="H493" s="20" t="str">
        <x:v>1100 Tenant Accounts Receivable</x:v>
      </x:c>
      <x:c r="I493" s="26" t="n">
        <x:v>1675</x:v>
      </x:c>
      <x:c r="J493" s="26" t="n">
        <x:v>0</x:v>
      </x:c>
      <x:c r="K493" s="35" t="str">
        <x:v>March 2027 rent</x:v>
      </x:c>
    </x:row>
    <x:row r="494">
      <x:c r="A494" s="20" t="str">
        <x:v>FIN-00243</x:v>
      </x:c>
      <x:c r="B494" s="32" t="n">
        <x:v>2</x:v>
      </x:c>
      <x:c r="C494" s="23" t="n">
        <x:v>46447</x:v>
      </x:c>
      <x:c r="D494" s="23" t="n">
        <x:v>46447</x:v>
      </x:c>
      <x:c r="E494" s="20" t="str">
        <x:v>P029</x:v>
      </x:c>
      <x:c r="F494" s="20" t="str">
        <x:v>U037</x:v>
      </x:c>
      <x:c r="G494" s="20" t="str">
        <x:v>L043</x:v>
      </x:c>
      <x:c r="H494" s="20" t="str">
        <x:v>4000 Rental Income</x:v>
      </x:c>
      <x:c r="I494" s="26" t="n">
        <x:v>0</x:v>
      </x:c>
      <x:c r="J494" s="26" t="n">
        <x:v>1675</x:v>
      </x:c>
      <x:c r="K494" s="35" t="str">
        <x:v>March 2027 rent</x:v>
      </x:c>
    </x:row>
    <x:row r="495">
      <x:c r="A495" s="20" t="str">
        <x:v>FIN-00244</x:v>
      </x:c>
      <x:c r="B495" s="32" t="n">
        <x:v>1</x:v>
      </x:c>
      <x:c r="C495" s="23" t="n">
        <x:v>46450</x:v>
      </x:c>
      <x:c r="D495" s="23" t="n">
        <x:v>46450</x:v>
      </x:c>
      <x:c r="E495" s="20" t="str">
        <x:v>P029</x:v>
      </x:c>
      <x:c r="F495" s="20" t="str">
        <x:v>U037</x:v>
      </x:c>
      <x:c r="G495" s="20" t="str">
        <x:v>L043</x:v>
      </x:c>
      <x:c r="H495" s="20" t="str">
        <x:v>1000 Operating Cash</x:v>
      </x:c>
      <x:c r="I495" s="26" t="n">
        <x:v>1675</x:v>
      </x:c>
      <x:c r="J495" s="26" t="n">
        <x:v>0</x:v>
      </x:c>
      <x:c r="K495" s="35" t="str">
        <x:v>Receipt allocated to FIN-00243</x:v>
      </x:c>
    </x:row>
    <x:row r="496">
      <x:c r="A496" s="20" t="str">
        <x:v>FIN-00244</x:v>
      </x:c>
      <x:c r="B496" s="32" t="n">
        <x:v>2</x:v>
      </x:c>
      <x:c r="C496" s="23" t="n">
        <x:v>46450</x:v>
      </x:c>
      <x:c r="D496" s="23" t="n">
        <x:v>46450</x:v>
      </x:c>
      <x:c r="E496" s="20" t="str">
        <x:v>P029</x:v>
      </x:c>
      <x:c r="F496" s="20" t="str">
        <x:v>U037</x:v>
      </x:c>
      <x:c r="G496" s="20" t="str">
        <x:v>L043</x:v>
      </x:c>
      <x:c r="H496" s="20" t="str">
        <x:v>1100 Tenant Accounts Receivable</x:v>
      </x:c>
      <x:c r="I496" s="26" t="n">
        <x:v>0</x:v>
      </x:c>
      <x:c r="J496" s="26" t="n">
        <x:v>1675</x:v>
      </x:c>
      <x:c r="K496" s="35" t="str">
        <x:v>Receipt allocated to FIN-00243</x:v>
      </x:c>
    </x:row>
    <x:row r="497">
      <x:c r="A497" s="20" t="str">
        <x:v>FIN-00245</x:v>
      </x:c>
      <x:c r="B497" s="32" t="n">
        <x:v>1</x:v>
      </x:c>
      <x:c r="C497" s="23" t="n">
        <x:v>46447</x:v>
      </x:c>
      <x:c r="D497" s="23" t="n">
        <x:v>46461</x:v>
      </x:c>
      <x:c r="E497" s="20" t="str">
        <x:v>P029</x:v>
      </x:c>
      <x:c r="F497" s="20" t="str">
        <x:v>U038</x:v>
      </x:c>
      <x:c r="G497" s="20" t="str">
        <x:v>L044</x:v>
      </x:c>
      <x:c r="H497" s="20" t="str">
        <x:v>1100 Tenant Accounts Receivable</x:v>
      </x:c>
      <x:c r="I497" s="26" t="n">
        <x:v>712.9</x:v>
      </x:c>
      <x:c r="J497" s="26" t="n">
        <x:v>0</x:v>
      </x:c>
      <x:c r="K497" s="35" t="str">
        <x:v>March 2027 rent</x:v>
      </x:c>
    </x:row>
    <x:row r="498">
      <x:c r="A498" s="20" t="str">
        <x:v>FIN-00245</x:v>
      </x:c>
      <x:c r="B498" s="32" t="n">
        <x:v>2</x:v>
      </x:c>
      <x:c r="C498" s="23" t="n">
        <x:v>46447</x:v>
      </x:c>
      <x:c r="D498" s="23" t="n">
        <x:v>46461</x:v>
      </x:c>
      <x:c r="E498" s="20" t="str">
        <x:v>P029</x:v>
      </x:c>
      <x:c r="F498" s="20" t="str">
        <x:v>U038</x:v>
      </x:c>
      <x:c r="G498" s="20" t="str">
        <x:v>L044</x:v>
      </x:c>
      <x:c r="H498" s="20" t="str">
        <x:v>4000 Rental Income</x:v>
      </x:c>
      <x:c r="I498" s="26" t="n">
        <x:v>0</x:v>
      </x:c>
      <x:c r="J498" s="26" t="n">
        <x:v>712.9</x:v>
      </x:c>
      <x:c r="K498" s="35" t="str">
        <x:v>March 2027 rent</x:v>
      </x:c>
    </x:row>
    <x:row r="499">
      <x:c r="A499" s="20" t="str">
        <x:v>FIN-00246</x:v>
      </x:c>
      <x:c r="B499" s="32" t="n">
        <x:v>1</x:v>
      </x:c>
      <x:c r="C499" s="23" t="n">
        <x:v>46449</x:v>
      </x:c>
      <x:c r="D499" s="23" t="n">
        <x:v>46449</x:v>
      </x:c>
      <x:c r="E499" s="20" t="str">
        <x:v>P029</x:v>
      </x:c>
      <x:c r="F499" s="20" t="str">
        <x:v>U038</x:v>
      </x:c>
      <x:c r="G499" s="20" t="str">
        <x:v>L044</x:v>
      </x:c>
      <x:c r="H499" s="20" t="str">
        <x:v>1000 Operating Cash</x:v>
      </x:c>
      <x:c r="I499" s="26" t="n">
        <x:v>427.74</x:v>
      </x:c>
      <x:c r="J499" s="26" t="n">
        <x:v>0</x:v>
      </x:c>
      <x:c r="K499" s="35" t="str">
        <x:v>Receipt allocated to FIN-00245</x:v>
      </x:c>
    </x:row>
    <x:row r="500">
      <x:c r="A500" s="20" t="str">
        <x:v>FIN-00246</x:v>
      </x:c>
      <x:c r="B500" s="32" t="n">
        <x:v>2</x:v>
      </x:c>
      <x:c r="C500" s="23" t="n">
        <x:v>46449</x:v>
      </x:c>
      <x:c r="D500" s="23" t="n">
        <x:v>46449</x:v>
      </x:c>
      <x:c r="E500" s="20" t="str">
        <x:v>P029</x:v>
      </x:c>
      <x:c r="F500" s="20" t="str">
        <x:v>U038</x:v>
      </x:c>
      <x:c r="G500" s="20" t="str">
        <x:v>L044</x:v>
      </x:c>
      <x:c r="H500" s="20" t="str">
        <x:v>1100 Tenant Accounts Receivable</x:v>
      </x:c>
      <x:c r="I500" s="26" t="n">
        <x:v>0</x:v>
      </x:c>
      <x:c r="J500" s="26" t="n">
        <x:v>427.74</x:v>
      </x:c>
      <x:c r="K500" s="35" t="str">
        <x:v>Receipt allocated to FIN-00245</x:v>
      </x:c>
    </x:row>
    <x:row r="501">
      <x:c r="A501" s="20" t="str">
        <x:v>FIN-00247</x:v>
      </x:c>
      <x:c r="B501" s="32" t="n">
        <x:v>1</x:v>
      </x:c>
      <x:c r="C501" s="23" t="n">
        <x:v>46452</x:v>
      </x:c>
      <x:c r="D501" s="23" t="n">
        <x:v>46452</x:v>
      </x:c>
      <x:c r="E501" s="20" t="str">
        <x:v>P029</x:v>
      </x:c>
      <x:c r="F501" s="20" t="str">
        <x:v>U038</x:v>
      </x:c>
      <x:c r="G501" s="20" t="str">
        <x:v>L044</x:v>
      </x:c>
      <x:c r="H501" s="20" t="str">
        <x:v>1100 Tenant Accounts Receivable</x:v>
      </x:c>
      <x:c r="I501" s="26" t="n">
        <x:v>50</x:v>
      </x:c>
      <x:c r="J501" s="26" t="n">
        <x:v>0</x:v>
      </x:c>
      <x:c r="K501" s="35" t="str">
        <x:v>Synthetic lease-authorized late fee after partial payment</x:v>
      </x:c>
    </x:row>
    <x:row r="502">
      <x:c r="A502" s="20" t="str">
        <x:v>FIN-00247</x:v>
      </x:c>
      <x:c r="B502" s="32" t="n">
        <x:v>2</x:v>
      </x:c>
      <x:c r="C502" s="23" t="n">
        <x:v>46452</x:v>
      </x:c>
      <x:c r="D502" s="23" t="n">
        <x:v>46452</x:v>
      </x:c>
      <x:c r="E502" s="20" t="str">
        <x:v>P029</x:v>
      </x:c>
      <x:c r="F502" s="20" t="str">
        <x:v>U038</x:v>
      </x:c>
      <x:c r="G502" s="20" t="str">
        <x:v>L044</x:v>
      </x:c>
      <x:c r="H502" s="20" t="str">
        <x:v>4010 Late Fee Income</x:v>
      </x:c>
      <x:c r="I502" s="26" t="n">
        <x:v>0</x:v>
      </x:c>
      <x:c r="J502" s="26" t="n">
        <x:v>50</x:v>
      </x:c>
      <x:c r="K502" s="35" t="str">
        <x:v>Synthetic lease-authorized late fee after partial payment</x:v>
      </x:c>
    </x:row>
    <x:row r="503">
      <x:c r="A503" s="20" t="str">
        <x:v>FIN-00248</x:v>
      </x:c>
      <x:c r="B503" s="32" t="n">
        <x:v>1</x:v>
      </x:c>
      <x:c r="C503" s="23" t="n">
        <x:v>46458</x:v>
      </x:c>
      <x:c r="D503" s="23" t="n">
        <x:v>46458</x:v>
      </x:c>
      <x:c r="E503" s="20" t="str">
        <x:v>P029</x:v>
      </x:c>
      <x:c r="F503" s="20" t="str">
        <x:v>U038</x:v>
      </x:c>
      <x:c r="G503" s="20" t="str">
        <x:v>L044</x:v>
      </x:c>
      <x:c r="H503" s="20" t="str">
        <x:v>1000 Operating Cash</x:v>
      </x:c>
      <x:c r="I503" s="26" t="n">
        <x:v>335.16</x:v>
      </x:c>
      <x:c r="J503" s="26" t="n">
        <x:v>0</x:v>
      </x:c>
      <x:c r="K503" s="35" t="str">
        <x:v>Receipt allocated to FIN-00247</x:v>
      </x:c>
    </x:row>
    <x:row r="504">
      <x:c r="A504" s="20" t="str">
        <x:v>FIN-00248</x:v>
      </x:c>
      <x:c r="B504" s="32" t="n">
        <x:v>2</x:v>
      </x:c>
      <x:c r="C504" s="23" t="n">
        <x:v>46458</x:v>
      </x:c>
      <x:c r="D504" s="23" t="n">
        <x:v>46458</x:v>
      </x:c>
      <x:c r="E504" s="20" t="str">
        <x:v>P029</x:v>
      </x:c>
      <x:c r="F504" s="20" t="str">
        <x:v>U038</x:v>
      </x:c>
      <x:c r="G504" s="20" t="str">
        <x:v>L044</x:v>
      </x:c>
      <x:c r="H504" s="20" t="str">
        <x:v>1100 Tenant Accounts Receivable</x:v>
      </x:c>
      <x:c r="I504" s="26" t="n">
        <x:v>0</x:v>
      </x:c>
      <x:c r="J504" s="26" t="n">
        <x:v>335.16</x:v>
      </x:c>
      <x:c r="K504" s="35" t="str">
        <x:v>Receipt allocated to FIN-00247</x:v>
      </x:c>
    </x:row>
    <x:row r="505">
      <x:c r="A505" s="20" t="str">
        <x:v>FIN-00249</x:v>
      </x:c>
      <x:c r="B505" s="32" t="n">
        <x:v>1</x:v>
      </x:c>
      <x:c r="C505" s="23" t="n">
        <x:v>46478</x:v>
      </x:c>
      <x:c r="D505" s="23" t="n">
        <x:v>46478</x:v>
      </x:c>
      <x:c r="E505" s="20" t="str">
        <x:v>P001</x:v>
      </x:c>
      <x:c r="F505" s="20" t="str">
        <x:v>U001</x:v>
      </x:c>
      <x:c r="G505" s="20" t="str">
        <x:v>L001</x:v>
      </x:c>
      <x:c r="H505" s="20" t="str">
        <x:v>1100 Tenant Accounts Receivable</x:v>
      </x:c>
      <x:c r="I505" s="26" t="n">
        <x:v>1575</x:v>
      </x:c>
      <x:c r="J505" s="26" t="n">
        <x:v>0</x:v>
      </x:c>
      <x:c r="K505" s="35" t="str">
        <x:v>April 2027 rent</x:v>
      </x:c>
    </x:row>
    <x:row r="506">
      <x:c r="A506" s="20" t="str">
        <x:v>FIN-00249</x:v>
      </x:c>
      <x:c r="B506" s="32" t="n">
        <x:v>2</x:v>
      </x:c>
      <x:c r="C506" s="23" t="n">
        <x:v>46478</x:v>
      </x:c>
      <x:c r="D506" s="23" t="n">
        <x:v>46478</x:v>
      </x:c>
      <x:c r="E506" s="20" t="str">
        <x:v>P001</x:v>
      </x:c>
      <x:c r="F506" s="20" t="str">
        <x:v>U001</x:v>
      </x:c>
      <x:c r="G506" s="20" t="str">
        <x:v>L001</x:v>
      </x:c>
      <x:c r="H506" s="20" t="str">
        <x:v>4000 Rental Income</x:v>
      </x:c>
      <x:c r="I506" s="26" t="n">
        <x:v>0</x:v>
      </x:c>
      <x:c r="J506" s="26" t="n">
        <x:v>1575</x:v>
      </x:c>
      <x:c r="K506" s="35" t="str">
        <x:v>April 2027 rent</x:v>
      </x:c>
    </x:row>
    <x:row r="507">
      <x:c r="A507" s="20" t="str">
        <x:v>FIN-00250</x:v>
      </x:c>
      <x:c r="B507" s="32" t="n">
        <x:v>1</x:v>
      </x:c>
      <x:c r="C507" s="23" t="n">
        <x:v>46481</x:v>
      </x:c>
      <x:c r="D507" s="23" t="n">
        <x:v>46481</x:v>
      </x:c>
      <x:c r="E507" s="20" t="str">
        <x:v>P001</x:v>
      </x:c>
      <x:c r="F507" s="20" t="str">
        <x:v>U001</x:v>
      </x:c>
      <x:c r="G507" s="20" t="str">
        <x:v>L001</x:v>
      </x:c>
      <x:c r="H507" s="20" t="str">
        <x:v>1000 Operating Cash</x:v>
      </x:c>
      <x:c r="I507" s="26" t="n">
        <x:v>1575</x:v>
      </x:c>
      <x:c r="J507" s="26" t="n">
        <x:v>0</x:v>
      </x:c>
      <x:c r="K507" s="35" t="str">
        <x:v>Receipt allocated to FIN-00249</x:v>
      </x:c>
    </x:row>
    <x:row r="508">
      <x:c r="A508" s="20" t="str">
        <x:v>FIN-00250</x:v>
      </x:c>
      <x:c r="B508" s="32" t="n">
        <x:v>2</x:v>
      </x:c>
      <x:c r="C508" s="23" t="n">
        <x:v>46481</x:v>
      </x:c>
      <x:c r="D508" s="23" t="n">
        <x:v>46481</x:v>
      </x:c>
      <x:c r="E508" s="20" t="str">
        <x:v>P001</x:v>
      </x:c>
      <x:c r="F508" s="20" t="str">
        <x:v>U001</x:v>
      </x:c>
      <x:c r="G508" s="20" t="str">
        <x:v>L001</x:v>
      </x:c>
      <x:c r="H508" s="20" t="str">
        <x:v>1100 Tenant Accounts Receivable</x:v>
      </x:c>
      <x:c r="I508" s="26" t="n">
        <x:v>0</x:v>
      </x:c>
      <x:c r="J508" s="26" t="n">
        <x:v>1575</x:v>
      </x:c>
      <x:c r="K508" s="35" t="str">
        <x:v>Receipt allocated to FIN-00249</x:v>
      </x:c>
    </x:row>
    <x:row r="509">
      <x:c r="A509" s="20" t="str">
        <x:v>FIN-00251</x:v>
      </x:c>
      <x:c r="B509" s="32" t="n">
        <x:v>1</x:v>
      </x:c>
      <x:c r="C509" s="23" t="n">
        <x:v>46478</x:v>
      </x:c>
      <x:c r="D509" s="23" t="n">
        <x:v>46478</x:v>
      </x:c>
      <x:c r="E509" s="20" t="str">
        <x:v>P002</x:v>
      </x:c>
      <x:c r="F509" s="20" t="str">
        <x:v>U002</x:v>
      </x:c>
      <x:c r="G509" s="20" t="str">
        <x:v>L002</x:v>
      </x:c>
      <x:c r="H509" s="20" t="str">
        <x:v>1100 Tenant Accounts Receivable</x:v>
      </x:c>
      <x:c r="I509" s="26" t="n">
        <x:v>1200</x:v>
      </x:c>
      <x:c r="J509" s="26" t="n">
        <x:v>0</x:v>
      </x:c>
      <x:c r="K509" s="35" t="str">
        <x:v>April 2027 rent</x:v>
      </x:c>
    </x:row>
    <x:row r="510">
      <x:c r="A510" s="20" t="str">
        <x:v>FIN-00251</x:v>
      </x:c>
      <x:c r="B510" s="32" t="n">
        <x:v>2</x:v>
      </x:c>
      <x:c r="C510" s="23" t="n">
        <x:v>46478</x:v>
      </x:c>
      <x:c r="D510" s="23" t="n">
        <x:v>46478</x:v>
      </x:c>
      <x:c r="E510" s="20" t="str">
        <x:v>P002</x:v>
      </x:c>
      <x:c r="F510" s="20" t="str">
        <x:v>U002</x:v>
      </x:c>
      <x:c r="G510" s="20" t="str">
        <x:v>L002</x:v>
      </x:c>
      <x:c r="H510" s="20" t="str">
        <x:v>4000 Rental Income</x:v>
      </x:c>
      <x:c r="I510" s="26" t="n">
        <x:v>0</x:v>
      </x:c>
      <x:c r="J510" s="26" t="n">
        <x:v>1200</x:v>
      </x:c>
      <x:c r="K510" s="35" t="str">
        <x:v>April 2027 rent</x:v>
      </x:c>
    </x:row>
    <x:row r="511">
      <x:c r="A511" s="20" t="str">
        <x:v>FIN-00252</x:v>
      </x:c>
      <x:c r="B511" s="32" t="n">
        <x:v>1</x:v>
      </x:c>
      <x:c r="C511" s="23" t="n">
        <x:v>46482</x:v>
      </x:c>
      <x:c r="D511" s="23" t="n">
        <x:v>46482</x:v>
      </x:c>
      <x:c r="E511" s="20" t="str">
        <x:v>P002</x:v>
      </x:c>
      <x:c r="F511" s="20" t="str">
        <x:v>U002</x:v>
      </x:c>
      <x:c r="G511" s="20" t="str">
        <x:v>L002</x:v>
      </x:c>
      <x:c r="H511" s="20" t="str">
        <x:v>1000 Operating Cash</x:v>
      </x:c>
      <x:c r="I511" s="26" t="n">
        <x:v>1200</x:v>
      </x:c>
      <x:c r="J511" s="26" t="n">
        <x:v>0</x:v>
      </x:c>
      <x:c r="K511" s="35" t="str">
        <x:v>Receipt allocated to FIN-00251</x:v>
      </x:c>
    </x:row>
    <x:row r="512">
      <x:c r="A512" s="20" t="str">
        <x:v>FIN-00252</x:v>
      </x:c>
      <x:c r="B512" s="32" t="n">
        <x:v>2</x:v>
      </x:c>
      <x:c r="C512" s="23" t="n">
        <x:v>46482</x:v>
      </x:c>
      <x:c r="D512" s="23" t="n">
        <x:v>46482</x:v>
      </x:c>
      <x:c r="E512" s="20" t="str">
        <x:v>P002</x:v>
      </x:c>
      <x:c r="F512" s="20" t="str">
        <x:v>U002</x:v>
      </x:c>
      <x:c r="G512" s="20" t="str">
        <x:v>L002</x:v>
      </x:c>
      <x:c r="H512" s="20" t="str">
        <x:v>1100 Tenant Accounts Receivable</x:v>
      </x:c>
      <x:c r="I512" s="26" t="n">
        <x:v>0</x:v>
      </x:c>
      <x:c r="J512" s="26" t="n">
        <x:v>1200</x:v>
      </x:c>
      <x:c r="K512" s="35" t="str">
        <x:v>Receipt allocated to FIN-00251</x:v>
      </x:c>
    </x:row>
    <x:row r="513">
      <x:c r="A513" s="20" t="str">
        <x:v>FIN-00253</x:v>
      </x:c>
      <x:c r="B513" s="32" t="n">
        <x:v>1</x:v>
      </x:c>
      <x:c r="C513" s="23" t="n">
        <x:v>46478</x:v>
      </x:c>
      <x:c r="D513" s="23" t="n">
        <x:v>46478</x:v>
      </x:c>
      <x:c r="E513" s="20" t="str">
        <x:v>P003</x:v>
      </x:c>
      <x:c r="F513" s="20" t="str">
        <x:v>U003</x:v>
      </x:c>
      <x:c r="G513" s="20" t="str">
        <x:v>L003</x:v>
      </x:c>
      <x:c r="H513" s="20" t="str">
        <x:v>1100 Tenant Accounts Receivable</x:v>
      </x:c>
      <x:c r="I513" s="26" t="n">
        <x:v>1725</x:v>
      </x:c>
      <x:c r="J513" s="26" t="n">
        <x:v>0</x:v>
      </x:c>
      <x:c r="K513" s="35" t="str">
        <x:v>April 2027 rent</x:v>
      </x:c>
    </x:row>
    <x:row r="514">
      <x:c r="A514" s="20" t="str">
        <x:v>FIN-00253</x:v>
      </x:c>
      <x:c r="B514" s="32" t="n">
        <x:v>2</x:v>
      </x:c>
      <x:c r="C514" s="23" t="n">
        <x:v>46478</x:v>
      </x:c>
      <x:c r="D514" s="23" t="n">
        <x:v>46478</x:v>
      </x:c>
      <x:c r="E514" s="20" t="str">
        <x:v>P003</x:v>
      </x:c>
      <x:c r="F514" s="20" t="str">
        <x:v>U003</x:v>
      </x:c>
      <x:c r="G514" s="20" t="str">
        <x:v>L003</x:v>
      </x:c>
      <x:c r="H514" s="20" t="str">
        <x:v>4000 Rental Income</x:v>
      </x:c>
      <x:c r="I514" s="26" t="n">
        <x:v>0</x:v>
      </x:c>
      <x:c r="J514" s="26" t="n">
        <x:v>1725</x:v>
      </x:c>
      <x:c r="K514" s="35" t="str">
        <x:v>April 2027 rent</x:v>
      </x:c>
    </x:row>
    <x:row r="515">
      <x:c r="A515" s="20" t="str">
        <x:v>FIN-00254</x:v>
      </x:c>
      <x:c r="B515" s="32" t="n">
        <x:v>1</x:v>
      </x:c>
      <x:c r="C515" s="23" t="n">
        <x:v>46480</x:v>
      </x:c>
      <x:c r="D515" s="23" t="n">
        <x:v>46480</x:v>
      </x:c>
      <x:c r="E515" s="20" t="str">
        <x:v>P003</x:v>
      </x:c>
      <x:c r="F515" s="20" t="str">
        <x:v>U003</x:v>
      </x:c>
      <x:c r="G515" s="20" t="str">
        <x:v>L003</x:v>
      </x:c>
      <x:c r="H515" s="20" t="str">
        <x:v>1000 Operating Cash</x:v>
      </x:c>
      <x:c r="I515" s="26" t="n">
        <x:v>1725</x:v>
      </x:c>
      <x:c r="J515" s="26" t="n">
        <x:v>0</x:v>
      </x:c>
      <x:c r="K515" s="35" t="str">
        <x:v>Receipt allocated to FIN-00253</x:v>
      </x:c>
    </x:row>
    <x:row r="516">
      <x:c r="A516" s="20" t="str">
        <x:v>FIN-00254</x:v>
      </x:c>
      <x:c r="B516" s="32" t="n">
        <x:v>2</x:v>
      </x:c>
      <x:c r="C516" s="23" t="n">
        <x:v>46480</x:v>
      </x:c>
      <x:c r="D516" s="23" t="n">
        <x:v>46480</x:v>
      </x:c>
      <x:c r="E516" s="20" t="str">
        <x:v>P003</x:v>
      </x:c>
      <x:c r="F516" s="20" t="str">
        <x:v>U003</x:v>
      </x:c>
      <x:c r="G516" s="20" t="str">
        <x:v>L003</x:v>
      </x:c>
      <x:c r="H516" s="20" t="str">
        <x:v>1100 Tenant Accounts Receivable</x:v>
      </x:c>
      <x:c r="I516" s="26" t="n">
        <x:v>0</x:v>
      </x:c>
      <x:c r="J516" s="26" t="n">
        <x:v>1725</x:v>
      </x:c>
      <x:c r="K516" s="35" t="str">
        <x:v>Receipt allocated to FIN-00253</x:v>
      </x:c>
    </x:row>
    <x:row r="517">
      <x:c r="A517" s="20" t="str">
        <x:v>FIN-00255</x:v>
      </x:c>
      <x:c r="B517" s="32" t="n">
        <x:v>1</x:v>
      </x:c>
      <x:c r="C517" s="23" t="n">
        <x:v>46478</x:v>
      </x:c>
      <x:c r="D517" s="23" t="n">
        <x:v>46478</x:v>
      </x:c>
      <x:c r="E517" s="20" t="str">
        <x:v>P004</x:v>
      </x:c>
      <x:c r="F517" s="20" t="str">
        <x:v>U004</x:v>
      </x:c>
      <x:c r="G517" s="20" t="str">
        <x:v>L004</x:v>
      </x:c>
      <x:c r="H517" s="20" t="str">
        <x:v>1100 Tenant Accounts Receivable</x:v>
      </x:c>
      <x:c r="I517" s="26" t="n">
        <x:v>1350</x:v>
      </x:c>
      <x:c r="J517" s="26" t="n">
        <x:v>0</x:v>
      </x:c>
      <x:c r="K517" s="35" t="str">
        <x:v>April 2027 rent</x:v>
      </x:c>
    </x:row>
    <x:row r="518">
      <x:c r="A518" s="20" t="str">
        <x:v>FIN-00255</x:v>
      </x:c>
      <x:c r="B518" s="32" t="n">
        <x:v>2</x:v>
      </x:c>
      <x:c r="C518" s="23" t="n">
        <x:v>46478</x:v>
      </x:c>
      <x:c r="D518" s="23" t="n">
        <x:v>46478</x:v>
      </x:c>
      <x:c r="E518" s="20" t="str">
        <x:v>P004</x:v>
      </x:c>
      <x:c r="F518" s="20" t="str">
        <x:v>U004</x:v>
      </x:c>
      <x:c r="G518" s="20" t="str">
        <x:v>L004</x:v>
      </x:c>
      <x:c r="H518" s="20" t="str">
        <x:v>4000 Rental Income</x:v>
      </x:c>
      <x:c r="I518" s="26" t="n">
        <x:v>0</x:v>
      </x:c>
      <x:c r="J518" s="26" t="n">
        <x:v>1350</x:v>
      </x:c>
      <x:c r="K518" s="35" t="str">
        <x:v>April 2027 rent</x:v>
      </x:c>
    </x:row>
    <x:row r="519">
      <x:c r="A519" s="20" t="str">
        <x:v>FIN-00256</x:v>
      </x:c>
      <x:c r="B519" s="32" t="n">
        <x:v>1</x:v>
      </x:c>
      <x:c r="C519" s="23" t="n">
        <x:v>46481</x:v>
      </x:c>
      <x:c r="D519" s="23" t="n">
        <x:v>46481</x:v>
      </x:c>
      <x:c r="E519" s="20" t="str">
        <x:v>P004</x:v>
      </x:c>
      <x:c r="F519" s="20" t="str">
        <x:v>U004</x:v>
      </x:c>
      <x:c r="G519" s="20" t="str">
        <x:v>L004</x:v>
      </x:c>
      <x:c r="H519" s="20" t="str">
        <x:v>1000 Operating Cash</x:v>
      </x:c>
      <x:c r="I519" s="26" t="n">
        <x:v>1350</x:v>
      </x:c>
      <x:c r="J519" s="26" t="n">
        <x:v>0</x:v>
      </x:c>
      <x:c r="K519" s="35" t="str">
        <x:v>Receipt allocated to FIN-00255</x:v>
      </x:c>
    </x:row>
    <x:row r="520">
      <x:c r="A520" s="20" t="str">
        <x:v>FIN-00256</x:v>
      </x:c>
      <x:c r="B520" s="32" t="n">
        <x:v>2</x:v>
      </x:c>
      <x:c r="C520" s="23" t="n">
        <x:v>46481</x:v>
      </x:c>
      <x:c r="D520" s="23" t="n">
        <x:v>46481</x:v>
      </x:c>
      <x:c r="E520" s="20" t="str">
        <x:v>P004</x:v>
      </x:c>
      <x:c r="F520" s="20" t="str">
        <x:v>U004</x:v>
      </x:c>
      <x:c r="G520" s="20" t="str">
        <x:v>L004</x:v>
      </x:c>
      <x:c r="H520" s="20" t="str">
        <x:v>1100 Tenant Accounts Receivable</x:v>
      </x:c>
      <x:c r="I520" s="26" t="n">
        <x:v>0</x:v>
      </x:c>
      <x:c r="J520" s="26" t="n">
        <x:v>1350</x:v>
      </x:c>
      <x:c r="K520" s="35" t="str">
        <x:v>Receipt allocated to FIN-00255</x:v>
      </x:c>
    </x:row>
    <x:row r="521">
      <x:c r="A521" s="20" t="str">
        <x:v>FIN-00257</x:v>
      </x:c>
      <x:c r="B521" s="32" t="n">
        <x:v>1</x:v>
      </x:c>
      <x:c r="C521" s="23" t="n">
        <x:v>46478</x:v>
      </x:c>
      <x:c r="D521" s="23" t="n">
        <x:v>46478</x:v>
      </x:c>
      <x:c r="E521" s="20" t="str">
        <x:v>P006</x:v>
      </x:c>
      <x:c r="F521" s="20" t="str">
        <x:v>U006</x:v>
      </x:c>
      <x:c r="G521" s="20" t="str">
        <x:v>L006</x:v>
      </x:c>
      <x:c r="H521" s="20" t="str">
        <x:v>1100 Tenant Accounts Receivable</x:v>
      </x:c>
      <x:c r="I521" s="26" t="n">
        <x:v>1500</x:v>
      </x:c>
      <x:c r="J521" s="26" t="n">
        <x:v>0</x:v>
      </x:c>
      <x:c r="K521" s="35" t="str">
        <x:v>April 2027 rent</x:v>
      </x:c>
    </x:row>
    <x:row r="522">
      <x:c r="A522" s="20" t="str">
        <x:v>FIN-00257</x:v>
      </x:c>
      <x:c r="B522" s="32" t="n">
        <x:v>2</x:v>
      </x:c>
      <x:c r="C522" s="23" t="n">
        <x:v>46478</x:v>
      </x:c>
      <x:c r="D522" s="23" t="n">
        <x:v>46478</x:v>
      </x:c>
      <x:c r="E522" s="20" t="str">
        <x:v>P006</x:v>
      </x:c>
      <x:c r="F522" s="20" t="str">
        <x:v>U006</x:v>
      </x:c>
      <x:c r="G522" s="20" t="str">
        <x:v>L006</x:v>
      </x:c>
      <x:c r="H522" s="20" t="str">
        <x:v>4000 Rental Income</x:v>
      </x:c>
      <x:c r="I522" s="26" t="n">
        <x:v>0</x:v>
      </x:c>
      <x:c r="J522" s="26" t="n">
        <x:v>1500</x:v>
      </x:c>
      <x:c r="K522" s="35" t="str">
        <x:v>April 2027 rent</x:v>
      </x:c>
    </x:row>
    <x:row r="523">
      <x:c r="A523" s="20" t="str">
        <x:v>FIN-00258</x:v>
      </x:c>
      <x:c r="B523" s="32" t="n">
        <x:v>1</x:v>
      </x:c>
      <x:c r="C523" s="23" t="n">
        <x:v>46480</x:v>
      </x:c>
      <x:c r="D523" s="23" t="n">
        <x:v>46480</x:v>
      </x:c>
      <x:c r="E523" s="20" t="str">
        <x:v>P006</x:v>
      </x:c>
      <x:c r="F523" s="20" t="str">
        <x:v>U006</x:v>
      </x:c>
      <x:c r="G523" s="20" t="str">
        <x:v>L006</x:v>
      </x:c>
      <x:c r="H523" s="20" t="str">
        <x:v>1000 Operating Cash</x:v>
      </x:c>
      <x:c r="I523" s="26" t="n">
        <x:v>1500</x:v>
      </x:c>
      <x:c r="J523" s="26" t="n">
        <x:v>0</x:v>
      </x:c>
      <x:c r="K523" s="35" t="str">
        <x:v>Receipt allocated to FIN-00257</x:v>
      </x:c>
    </x:row>
    <x:row r="524">
      <x:c r="A524" s="20" t="str">
        <x:v>FIN-00258</x:v>
      </x:c>
      <x:c r="B524" s="32" t="n">
        <x:v>2</x:v>
      </x:c>
      <x:c r="C524" s="23" t="n">
        <x:v>46480</x:v>
      </x:c>
      <x:c r="D524" s="23" t="n">
        <x:v>46480</x:v>
      </x:c>
      <x:c r="E524" s="20" t="str">
        <x:v>P006</x:v>
      </x:c>
      <x:c r="F524" s="20" t="str">
        <x:v>U006</x:v>
      </x:c>
      <x:c r="G524" s="20" t="str">
        <x:v>L006</x:v>
      </x:c>
      <x:c r="H524" s="20" t="str">
        <x:v>1100 Tenant Accounts Receivable</x:v>
      </x:c>
      <x:c r="I524" s="26" t="n">
        <x:v>0</x:v>
      </x:c>
      <x:c r="J524" s="26" t="n">
        <x:v>1500</x:v>
      </x:c>
      <x:c r="K524" s="35" t="str">
        <x:v>Receipt allocated to FIN-00257</x:v>
      </x:c>
    </x:row>
    <x:row r="525">
      <x:c r="A525" s="20" t="str">
        <x:v>FIN-00259</x:v>
      </x:c>
      <x:c r="B525" s="32" t="n">
        <x:v>1</x:v>
      </x:c>
      <x:c r="C525" s="23" t="n">
        <x:v>46478</x:v>
      </x:c>
      <x:c r="D525" s="23" t="n">
        <x:v>46478</x:v>
      </x:c>
      <x:c r="E525" s="20" t="str">
        <x:v>P007</x:v>
      </x:c>
      <x:c r="F525" s="20" t="str">
        <x:v>U007</x:v>
      </x:c>
      <x:c r="G525" s="20" t="str">
        <x:v>L007</x:v>
      </x:c>
      <x:c r="H525" s="20" t="str">
        <x:v>1100 Tenant Accounts Receivable</x:v>
      </x:c>
      <x:c r="I525" s="26" t="n">
        <x:v>1125</x:v>
      </x:c>
      <x:c r="J525" s="26" t="n">
        <x:v>0</x:v>
      </x:c>
      <x:c r="K525" s="35" t="str">
        <x:v>April 2027 rent</x:v>
      </x:c>
    </x:row>
    <x:row r="526">
      <x:c r="A526" s="20" t="str">
        <x:v>FIN-00259</x:v>
      </x:c>
      <x:c r="B526" s="32" t="n">
        <x:v>2</x:v>
      </x:c>
      <x:c r="C526" s="23" t="n">
        <x:v>46478</x:v>
      </x:c>
      <x:c r="D526" s="23" t="n">
        <x:v>46478</x:v>
      </x:c>
      <x:c r="E526" s="20" t="str">
        <x:v>P007</x:v>
      </x:c>
      <x:c r="F526" s="20" t="str">
        <x:v>U007</x:v>
      </x:c>
      <x:c r="G526" s="20" t="str">
        <x:v>L007</x:v>
      </x:c>
      <x:c r="H526" s="20" t="str">
        <x:v>4000 Rental Income</x:v>
      </x:c>
      <x:c r="I526" s="26" t="n">
        <x:v>0</x:v>
      </x:c>
      <x:c r="J526" s="26" t="n">
        <x:v>1125</x:v>
      </x:c>
      <x:c r="K526" s="35" t="str">
        <x:v>April 2027 rent</x:v>
      </x:c>
    </x:row>
    <x:row r="527">
      <x:c r="A527" s="20" t="str">
        <x:v>FIN-00260</x:v>
      </x:c>
      <x:c r="B527" s="32" t="n">
        <x:v>1</x:v>
      </x:c>
      <x:c r="C527" s="23" t="n">
        <x:v>46481</x:v>
      </x:c>
      <x:c r="D527" s="23" t="n">
        <x:v>46481</x:v>
      </x:c>
      <x:c r="E527" s="20" t="str">
        <x:v>P007</x:v>
      </x:c>
      <x:c r="F527" s="20" t="str">
        <x:v>U007</x:v>
      </x:c>
      <x:c r="G527" s="20" t="str">
        <x:v>L007</x:v>
      </x:c>
      <x:c r="H527" s="20" t="str">
        <x:v>1000 Operating Cash</x:v>
      </x:c>
      <x:c r="I527" s="26" t="n">
        <x:v>1125</x:v>
      </x:c>
      <x:c r="J527" s="26" t="n">
        <x:v>0</x:v>
      </x:c>
      <x:c r="K527" s="35" t="str">
        <x:v>Receipt allocated to FIN-00259</x:v>
      </x:c>
    </x:row>
    <x:row r="528">
      <x:c r="A528" s="20" t="str">
        <x:v>FIN-00260</x:v>
      </x:c>
      <x:c r="B528" s="32" t="n">
        <x:v>2</x:v>
      </x:c>
      <x:c r="C528" s="23" t="n">
        <x:v>46481</x:v>
      </x:c>
      <x:c r="D528" s="23" t="n">
        <x:v>46481</x:v>
      </x:c>
      <x:c r="E528" s="20" t="str">
        <x:v>P007</x:v>
      </x:c>
      <x:c r="F528" s="20" t="str">
        <x:v>U007</x:v>
      </x:c>
      <x:c r="G528" s="20" t="str">
        <x:v>L007</x:v>
      </x:c>
      <x:c r="H528" s="20" t="str">
        <x:v>1100 Tenant Accounts Receivable</x:v>
      </x:c>
      <x:c r="I528" s="26" t="n">
        <x:v>0</x:v>
      </x:c>
      <x:c r="J528" s="26" t="n">
        <x:v>1125</x:v>
      </x:c>
      <x:c r="K528" s="35" t="str">
        <x:v>Receipt allocated to FIN-00259</x:v>
      </x:c>
    </x:row>
    <x:row r="529">
      <x:c r="A529" s="20" t="str">
        <x:v>FIN-00261</x:v>
      </x:c>
      <x:c r="B529" s="32" t="n">
        <x:v>1</x:v>
      </x:c>
      <x:c r="C529" s="23" t="n">
        <x:v>46478</x:v>
      </x:c>
      <x:c r="D529" s="23" t="n">
        <x:v>46478</x:v>
      </x:c>
      <x:c r="E529" s="20" t="str">
        <x:v>P008</x:v>
      </x:c>
      <x:c r="F529" s="20" t="str">
        <x:v>U008</x:v>
      </x:c>
      <x:c r="G529" s="20" t="str">
        <x:v>L008</x:v>
      </x:c>
      <x:c r="H529" s="20" t="str">
        <x:v>1100 Tenant Accounts Receivable</x:v>
      </x:c>
      <x:c r="I529" s="26" t="n">
        <x:v>1650</x:v>
      </x:c>
      <x:c r="J529" s="26" t="n">
        <x:v>0</x:v>
      </x:c>
      <x:c r="K529" s="35" t="str">
        <x:v>April 2027 rent</x:v>
      </x:c>
    </x:row>
    <x:row r="530">
      <x:c r="A530" s="20" t="str">
        <x:v>FIN-00261</x:v>
      </x:c>
      <x:c r="B530" s="32" t="n">
        <x:v>2</x:v>
      </x:c>
      <x:c r="C530" s="23" t="n">
        <x:v>46478</x:v>
      </x:c>
      <x:c r="D530" s="23" t="n">
        <x:v>46478</x:v>
      </x:c>
      <x:c r="E530" s="20" t="str">
        <x:v>P008</x:v>
      </x:c>
      <x:c r="F530" s="20" t="str">
        <x:v>U008</x:v>
      </x:c>
      <x:c r="G530" s="20" t="str">
        <x:v>L008</x:v>
      </x:c>
      <x:c r="H530" s="20" t="str">
        <x:v>4000 Rental Income</x:v>
      </x:c>
      <x:c r="I530" s="26" t="n">
        <x:v>0</x:v>
      </x:c>
      <x:c r="J530" s="26" t="n">
        <x:v>1650</x:v>
      </x:c>
      <x:c r="K530" s="35" t="str">
        <x:v>April 2027 rent</x:v>
      </x:c>
    </x:row>
    <x:row r="531">
      <x:c r="A531" s="20" t="str">
        <x:v>FIN-00262</x:v>
      </x:c>
      <x:c r="B531" s="32" t="n">
        <x:v>1</x:v>
      </x:c>
      <x:c r="C531" s="23" t="n">
        <x:v>46482</x:v>
      </x:c>
      <x:c r="D531" s="23" t="n">
        <x:v>46482</x:v>
      </x:c>
      <x:c r="E531" s="20" t="str">
        <x:v>P008</x:v>
      </x:c>
      <x:c r="F531" s="20" t="str">
        <x:v>U008</x:v>
      </x:c>
      <x:c r="G531" s="20" t="str">
        <x:v>L008</x:v>
      </x:c>
      <x:c r="H531" s="20" t="str">
        <x:v>1000 Operating Cash</x:v>
      </x:c>
      <x:c r="I531" s="26" t="n">
        <x:v>1650</x:v>
      </x:c>
      <x:c r="J531" s="26" t="n">
        <x:v>0</x:v>
      </x:c>
      <x:c r="K531" s="35" t="str">
        <x:v>Receipt allocated to FIN-00261</x:v>
      </x:c>
    </x:row>
    <x:row r="532">
      <x:c r="A532" s="20" t="str">
        <x:v>FIN-00262</x:v>
      </x:c>
      <x:c r="B532" s="32" t="n">
        <x:v>2</x:v>
      </x:c>
      <x:c r="C532" s="23" t="n">
        <x:v>46482</x:v>
      </x:c>
      <x:c r="D532" s="23" t="n">
        <x:v>46482</x:v>
      </x:c>
      <x:c r="E532" s="20" t="str">
        <x:v>P008</x:v>
      </x:c>
      <x:c r="F532" s="20" t="str">
        <x:v>U008</x:v>
      </x:c>
      <x:c r="G532" s="20" t="str">
        <x:v>L008</x:v>
      </x:c>
      <x:c r="H532" s="20" t="str">
        <x:v>1100 Tenant Accounts Receivable</x:v>
      </x:c>
      <x:c r="I532" s="26" t="n">
        <x:v>0</x:v>
      </x:c>
      <x:c r="J532" s="26" t="n">
        <x:v>1650</x:v>
      </x:c>
      <x:c r="K532" s="35" t="str">
        <x:v>Receipt allocated to FIN-00261</x:v>
      </x:c>
    </x:row>
    <x:row r="533">
      <x:c r="A533" s="20" t="str">
        <x:v>FIN-00263</x:v>
      </x:c>
      <x:c r="B533" s="32" t="n">
        <x:v>1</x:v>
      </x:c>
      <x:c r="C533" s="23" t="n">
        <x:v>46478</x:v>
      </x:c>
      <x:c r="D533" s="23" t="n">
        <x:v>46478</x:v>
      </x:c>
      <x:c r="E533" s="20" t="str">
        <x:v>P009</x:v>
      </x:c>
      <x:c r="F533" s="20" t="str">
        <x:v>U009</x:v>
      </x:c>
      <x:c r="G533" s="20" t="str">
        <x:v>L009</x:v>
      </x:c>
      <x:c r="H533" s="20" t="str">
        <x:v>1100 Tenant Accounts Receivable</x:v>
      </x:c>
      <x:c r="I533" s="26" t="n">
        <x:v>1275</x:v>
      </x:c>
      <x:c r="J533" s="26" t="n">
        <x:v>0</x:v>
      </x:c>
      <x:c r="K533" s="35" t="str">
        <x:v>April 2027 rent</x:v>
      </x:c>
    </x:row>
    <x:row r="534">
      <x:c r="A534" s="20" t="str">
        <x:v>FIN-00263</x:v>
      </x:c>
      <x:c r="B534" s="32" t="n">
        <x:v>2</x:v>
      </x:c>
      <x:c r="C534" s="23" t="n">
        <x:v>46478</x:v>
      </x:c>
      <x:c r="D534" s="23" t="n">
        <x:v>46478</x:v>
      </x:c>
      <x:c r="E534" s="20" t="str">
        <x:v>P009</x:v>
      </x:c>
      <x:c r="F534" s="20" t="str">
        <x:v>U009</x:v>
      </x:c>
      <x:c r="G534" s="20" t="str">
        <x:v>L009</x:v>
      </x:c>
      <x:c r="H534" s="20" t="str">
        <x:v>4000 Rental Income</x:v>
      </x:c>
      <x:c r="I534" s="26" t="n">
        <x:v>0</x:v>
      </x:c>
      <x:c r="J534" s="26" t="n">
        <x:v>1275</x:v>
      </x:c>
      <x:c r="K534" s="35" t="str">
        <x:v>April 2027 rent</x:v>
      </x:c>
    </x:row>
    <x:row r="535">
      <x:c r="A535" s="20" t="str">
        <x:v>FIN-00264</x:v>
      </x:c>
      <x:c r="B535" s="32" t="n">
        <x:v>1</x:v>
      </x:c>
      <x:c r="C535" s="23" t="n">
        <x:v>46480</x:v>
      </x:c>
      <x:c r="D535" s="23" t="n">
        <x:v>46480</x:v>
      </x:c>
      <x:c r="E535" s="20" t="str">
        <x:v>P009</x:v>
      </x:c>
      <x:c r="F535" s="20" t="str">
        <x:v>U009</x:v>
      </x:c>
      <x:c r="G535" s="20" t="str">
        <x:v>L009</x:v>
      </x:c>
      <x:c r="H535" s="20" t="str">
        <x:v>1000 Operating Cash</x:v>
      </x:c>
      <x:c r="I535" s="26" t="n">
        <x:v>1275</x:v>
      </x:c>
      <x:c r="J535" s="26" t="n">
        <x:v>0</x:v>
      </x:c>
      <x:c r="K535" s="35" t="str">
        <x:v>Receipt allocated to FIN-00263</x:v>
      </x:c>
    </x:row>
    <x:row r="536">
      <x:c r="A536" s="20" t="str">
        <x:v>FIN-00264</x:v>
      </x:c>
      <x:c r="B536" s="32" t="n">
        <x:v>2</x:v>
      </x:c>
      <x:c r="C536" s="23" t="n">
        <x:v>46480</x:v>
      </x:c>
      <x:c r="D536" s="23" t="n">
        <x:v>46480</x:v>
      </x:c>
      <x:c r="E536" s="20" t="str">
        <x:v>P009</x:v>
      </x:c>
      <x:c r="F536" s="20" t="str">
        <x:v>U009</x:v>
      </x:c>
      <x:c r="G536" s="20" t="str">
        <x:v>L009</x:v>
      </x:c>
      <x:c r="H536" s="20" t="str">
        <x:v>1100 Tenant Accounts Receivable</x:v>
      </x:c>
      <x:c r="I536" s="26" t="n">
        <x:v>0</x:v>
      </x:c>
      <x:c r="J536" s="26" t="n">
        <x:v>1275</x:v>
      </x:c>
      <x:c r="K536" s="35" t="str">
        <x:v>Receipt allocated to FIN-00263</x:v>
      </x:c>
    </x:row>
    <x:row r="537">
      <x:c r="A537" s="20" t="str">
        <x:v>FIN-00265</x:v>
      </x:c>
      <x:c r="B537" s="32" t="n">
        <x:v>1</x:v>
      </x:c>
      <x:c r="C537" s="23" t="n">
        <x:v>46478</x:v>
      </x:c>
      <x:c r="D537" s="23" t="n">
        <x:v>46478</x:v>
      </x:c>
      <x:c r="E537" s="20" t="str">
        <x:v>P010</x:v>
      </x:c>
      <x:c r="F537" s="20" t="str">
        <x:v>U010</x:v>
      </x:c>
      <x:c r="G537" s="20" t="str">
        <x:v>L010</x:v>
      </x:c>
      <x:c r="H537" s="20" t="str">
        <x:v>1100 Tenant Accounts Receivable</x:v>
      </x:c>
      <x:c r="I537" s="26" t="n">
        <x:v>1800</x:v>
      </x:c>
      <x:c r="J537" s="26" t="n">
        <x:v>0</x:v>
      </x:c>
      <x:c r="K537" s="35" t="str">
        <x:v>April 2027 rent</x:v>
      </x:c>
    </x:row>
    <x:row r="538">
      <x:c r="A538" s="20" t="str">
        <x:v>FIN-00265</x:v>
      </x:c>
      <x:c r="B538" s="32" t="n">
        <x:v>2</x:v>
      </x:c>
      <x:c r="C538" s="23" t="n">
        <x:v>46478</x:v>
      </x:c>
      <x:c r="D538" s="23" t="n">
        <x:v>46478</x:v>
      </x:c>
      <x:c r="E538" s="20" t="str">
        <x:v>P010</x:v>
      </x:c>
      <x:c r="F538" s="20" t="str">
        <x:v>U010</x:v>
      </x:c>
      <x:c r="G538" s="20" t="str">
        <x:v>L010</x:v>
      </x:c>
      <x:c r="H538" s="20" t="str">
        <x:v>4000 Rental Income</x:v>
      </x:c>
      <x:c r="I538" s="26" t="n">
        <x:v>0</x:v>
      </x:c>
      <x:c r="J538" s="26" t="n">
        <x:v>1800</x:v>
      </x:c>
      <x:c r="K538" s="35" t="str">
        <x:v>April 2027 rent</x:v>
      </x:c>
    </x:row>
    <x:row r="539">
      <x:c r="A539" s="20" t="str">
        <x:v>FIN-00266</x:v>
      </x:c>
      <x:c r="B539" s="32" t="n">
        <x:v>1</x:v>
      </x:c>
      <x:c r="C539" s="23" t="n">
        <x:v>46481</x:v>
      </x:c>
      <x:c r="D539" s="23" t="n">
        <x:v>46481</x:v>
      </x:c>
      <x:c r="E539" s="20" t="str">
        <x:v>P010</x:v>
      </x:c>
      <x:c r="F539" s="20" t="str">
        <x:v>U010</x:v>
      </x:c>
      <x:c r="G539" s="20" t="str">
        <x:v>L010</x:v>
      </x:c>
      <x:c r="H539" s="20" t="str">
        <x:v>1000 Operating Cash</x:v>
      </x:c>
      <x:c r="I539" s="26" t="n">
        <x:v>1800</x:v>
      </x:c>
      <x:c r="J539" s="26" t="n">
        <x:v>0</x:v>
      </x:c>
      <x:c r="K539" s="35" t="str">
        <x:v>Receipt allocated to FIN-00265</x:v>
      </x:c>
    </x:row>
    <x:row r="540">
      <x:c r="A540" s="20" t="str">
        <x:v>FIN-00266</x:v>
      </x:c>
      <x:c r="B540" s="32" t="n">
        <x:v>2</x:v>
      </x:c>
      <x:c r="C540" s="23" t="n">
        <x:v>46481</x:v>
      </x:c>
      <x:c r="D540" s="23" t="n">
        <x:v>46481</x:v>
      </x:c>
      <x:c r="E540" s="20" t="str">
        <x:v>P010</x:v>
      </x:c>
      <x:c r="F540" s="20" t="str">
        <x:v>U010</x:v>
      </x:c>
      <x:c r="G540" s="20" t="str">
        <x:v>L010</x:v>
      </x:c>
      <x:c r="H540" s="20" t="str">
        <x:v>1100 Tenant Accounts Receivable</x:v>
      </x:c>
      <x:c r="I540" s="26" t="n">
        <x:v>0</x:v>
      </x:c>
      <x:c r="J540" s="26" t="n">
        <x:v>1800</x:v>
      </x:c>
      <x:c r="K540" s="35" t="str">
        <x:v>Receipt allocated to FIN-00265</x:v>
      </x:c>
    </x:row>
    <x:row r="541">
      <x:c r="A541" s="20" t="str">
        <x:v>FIN-00267</x:v>
      </x:c>
      <x:c r="B541" s="32" t="n">
        <x:v>1</x:v>
      </x:c>
      <x:c r="C541" s="23" t="n">
        <x:v>46478</x:v>
      </x:c>
      <x:c r="D541" s="23" t="n">
        <x:v>46478</x:v>
      </x:c>
      <x:c r="E541" s="20" t="str">
        <x:v>P011</x:v>
      </x:c>
      <x:c r="F541" s="20" t="str">
        <x:v>U011</x:v>
      </x:c>
      <x:c r="G541" s="20" t="str">
        <x:v>L011</x:v>
      </x:c>
      <x:c r="H541" s="20" t="str">
        <x:v>1100 Tenant Accounts Receivable</x:v>
      </x:c>
      <x:c r="I541" s="26" t="n">
        <x:v>1425</x:v>
      </x:c>
      <x:c r="J541" s="26" t="n">
        <x:v>0</x:v>
      </x:c>
      <x:c r="K541" s="35" t="str">
        <x:v>April 2027 rent</x:v>
      </x:c>
    </x:row>
    <x:row r="542">
      <x:c r="A542" s="20" t="str">
        <x:v>FIN-00267</x:v>
      </x:c>
      <x:c r="B542" s="32" t="n">
        <x:v>2</x:v>
      </x:c>
      <x:c r="C542" s="23" t="n">
        <x:v>46478</x:v>
      </x:c>
      <x:c r="D542" s="23" t="n">
        <x:v>46478</x:v>
      </x:c>
      <x:c r="E542" s="20" t="str">
        <x:v>P011</x:v>
      </x:c>
      <x:c r="F542" s="20" t="str">
        <x:v>U011</x:v>
      </x:c>
      <x:c r="G542" s="20" t="str">
        <x:v>L011</x:v>
      </x:c>
      <x:c r="H542" s="20" t="str">
        <x:v>4000 Rental Income</x:v>
      </x:c>
      <x:c r="I542" s="26" t="n">
        <x:v>0</x:v>
      </x:c>
      <x:c r="J542" s="26" t="n">
        <x:v>1425</x:v>
      </x:c>
      <x:c r="K542" s="35" t="str">
        <x:v>April 2027 rent</x:v>
      </x:c>
    </x:row>
    <x:row r="543">
      <x:c r="A543" s="20" t="str">
        <x:v>FIN-00268</x:v>
      </x:c>
      <x:c r="B543" s="32" t="n">
        <x:v>1</x:v>
      </x:c>
      <x:c r="C543" s="23" t="n">
        <x:v>46480</x:v>
      </x:c>
      <x:c r="D543" s="23" t="n">
        <x:v>46480</x:v>
      </x:c>
      <x:c r="E543" s="20" t="str">
        <x:v>P011</x:v>
      </x:c>
      <x:c r="F543" s="20" t="str">
        <x:v>U011</x:v>
      </x:c>
      <x:c r="G543" s="20" t="str">
        <x:v>L011</x:v>
      </x:c>
      <x:c r="H543" s="20" t="str">
        <x:v>1000 Operating Cash</x:v>
      </x:c>
      <x:c r="I543" s="26" t="n">
        <x:v>855</x:v>
      </x:c>
      <x:c r="J543" s="26" t="n">
        <x:v>0</x:v>
      </x:c>
      <x:c r="K543" s="35" t="str">
        <x:v>Receipt allocated to FIN-00267</x:v>
      </x:c>
    </x:row>
    <x:row r="544">
      <x:c r="A544" s="20" t="str">
        <x:v>FIN-00268</x:v>
      </x:c>
      <x:c r="B544" s="32" t="n">
        <x:v>2</x:v>
      </x:c>
      <x:c r="C544" s="23" t="n">
        <x:v>46480</x:v>
      </x:c>
      <x:c r="D544" s="23" t="n">
        <x:v>46480</x:v>
      </x:c>
      <x:c r="E544" s="20" t="str">
        <x:v>P011</x:v>
      </x:c>
      <x:c r="F544" s="20" t="str">
        <x:v>U011</x:v>
      </x:c>
      <x:c r="G544" s="20" t="str">
        <x:v>L011</x:v>
      </x:c>
      <x:c r="H544" s="20" t="str">
        <x:v>1100 Tenant Accounts Receivable</x:v>
      </x:c>
      <x:c r="I544" s="26" t="n">
        <x:v>0</x:v>
      </x:c>
      <x:c r="J544" s="26" t="n">
        <x:v>855</x:v>
      </x:c>
      <x:c r="K544" s="35" t="str">
        <x:v>Receipt allocated to FIN-00267</x:v>
      </x:c>
    </x:row>
    <x:row r="545">
      <x:c r="A545" s="20" t="str">
        <x:v>FIN-00269</x:v>
      </x:c>
      <x:c r="B545" s="32" t="n">
        <x:v>1</x:v>
      </x:c>
      <x:c r="C545" s="23" t="n">
        <x:v>46483</x:v>
      </x:c>
      <x:c r="D545" s="23" t="n">
        <x:v>46483</x:v>
      </x:c>
      <x:c r="E545" s="20" t="str">
        <x:v>P011</x:v>
      </x:c>
      <x:c r="F545" s="20" t="str">
        <x:v>U011</x:v>
      </x:c>
      <x:c r="G545" s="20" t="str">
        <x:v>L011</x:v>
      </x:c>
      <x:c r="H545" s="20" t="str">
        <x:v>1100 Tenant Accounts Receivable</x:v>
      </x:c>
      <x:c r="I545" s="26" t="n">
        <x:v>50</x:v>
      </x:c>
      <x:c r="J545" s="26" t="n">
        <x:v>0</x:v>
      </x:c>
      <x:c r="K545" s="35" t="str">
        <x:v>Synthetic lease-authorized late fee after partial payment</x:v>
      </x:c>
    </x:row>
    <x:row r="546">
      <x:c r="A546" s="20" t="str">
        <x:v>FIN-00269</x:v>
      </x:c>
      <x:c r="B546" s="32" t="n">
        <x:v>2</x:v>
      </x:c>
      <x:c r="C546" s="23" t="n">
        <x:v>46483</x:v>
      </x:c>
      <x:c r="D546" s="23" t="n">
        <x:v>46483</x:v>
      </x:c>
      <x:c r="E546" s="20" t="str">
        <x:v>P011</x:v>
      </x:c>
      <x:c r="F546" s="20" t="str">
        <x:v>U011</x:v>
      </x:c>
      <x:c r="G546" s="20" t="str">
        <x:v>L011</x:v>
      </x:c>
      <x:c r="H546" s="20" t="str">
        <x:v>4010 Late Fee Income</x:v>
      </x:c>
      <x:c r="I546" s="26" t="n">
        <x:v>0</x:v>
      </x:c>
      <x:c r="J546" s="26" t="n">
        <x:v>50</x:v>
      </x:c>
      <x:c r="K546" s="35" t="str">
        <x:v>Synthetic lease-authorized late fee after partial payment</x:v>
      </x:c>
    </x:row>
    <x:row r="547">
      <x:c r="A547" s="20" t="str">
        <x:v>FIN-00270</x:v>
      </x:c>
      <x:c r="B547" s="32" t="n">
        <x:v>1</x:v>
      </x:c>
      <x:c r="C547" s="23" t="n">
        <x:v>46489</x:v>
      </x:c>
      <x:c r="D547" s="23" t="n">
        <x:v>46489</x:v>
      </x:c>
      <x:c r="E547" s="20" t="str">
        <x:v>P011</x:v>
      </x:c>
      <x:c r="F547" s="20" t="str">
        <x:v>U011</x:v>
      </x:c>
      <x:c r="G547" s="20" t="str">
        <x:v>L011</x:v>
      </x:c>
      <x:c r="H547" s="20" t="str">
        <x:v>1000 Operating Cash</x:v>
      </x:c>
      <x:c r="I547" s="26" t="n">
        <x:v>620</x:v>
      </x:c>
      <x:c r="J547" s="26" t="n">
        <x:v>0</x:v>
      </x:c>
      <x:c r="K547" s="35" t="str">
        <x:v>Receipt allocated to FIN-00269</x:v>
      </x:c>
    </x:row>
    <x:row r="548">
      <x:c r="A548" s="20" t="str">
        <x:v>FIN-00270</x:v>
      </x:c>
      <x:c r="B548" s="32" t="n">
        <x:v>2</x:v>
      </x:c>
      <x:c r="C548" s="23" t="n">
        <x:v>46489</x:v>
      </x:c>
      <x:c r="D548" s="23" t="n">
        <x:v>46489</x:v>
      </x:c>
      <x:c r="E548" s="20" t="str">
        <x:v>P011</x:v>
      </x:c>
      <x:c r="F548" s="20" t="str">
        <x:v>U011</x:v>
      </x:c>
      <x:c r="G548" s="20" t="str">
        <x:v>L011</x:v>
      </x:c>
      <x:c r="H548" s="20" t="str">
        <x:v>1100 Tenant Accounts Receivable</x:v>
      </x:c>
      <x:c r="I548" s="26" t="n">
        <x:v>0</x:v>
      </x:c>
      <x:c r="J548" s="26" t="n">
        <x:v>620</x:v>
      </x:c>
      <x:c r="K548" s="35" t="str">
        <x:v>Receipt allocated to FIN-00269</x:v>
      </x:c>
    </x:row>
    <x:row r="549">
      <x:c r="A549" s="20" t="str">
        <x:v>FIN-00271</x:v>
      </x:c>
      <x:c r="B549" s="32" t="n">
        <x:v>1</x:v>
      </x:c>
      <x:c r="C549" s="23" t="n">
        <x:v>46478</x:v>
      </x:c>
      <x:c r="D549" s="23" t="n">
        <x:v>46478</x:v>
      </x:c>
      <x:c r="E549" s="20" t="str">
        <x:v>P012</x:v>
      </x:c>
      <x:c r="F549" s="20" t="str">
        <x:v>U012</x:v>
      </x:c>
      <x:c r="G549" s="20" t="str">
        <x:v>L012</x:v>
      </x:c>
      <x:c r="H549" s="20" t="str">
        <x:v>1100 Tenant Accounts Receivable</x:v>
      </x:c>
      <x:c r="I549" s="26" t="n">
        <x:v>1050</x:v>
      </x:c>
      <x:c r="J549" s="26" t="n">
        <x:v>0</x:v>
      </x:c>
      <x:c r="K549" s="35" t="str">
        <x:v>April 2027 rent</x:v>
      </x:c>
    </x:row>
    <x:row r="550">
      <x:c r="A550" s="20" t="str">
        <x:v>FIN-00271</x:v>
      </x:c>
      <x:c r="B550" s="32" t="n">
        <x:v>2</x:v>
      </x:c>
      <x:c r="C550" s="23" t="n">
        <x:v>46478</x:v>
      </x:c>
      <x:c r="D550" s="23" t="n">
        <x:v>46478</x:v>
      </x:c>
      <x:c r="E550" s="20" t="str">
        <x:v>P012</x:v>
      </x:c>
      <x:c r="F550" s="20" t="str">
        <x:v>U012</x:v>
      </x:c>
      <x:c r="G550" s="20" t="str">
        <x:v>L012</x:v>
      </x:c>
      <x:c r="H550" s="20" t="str">
        <x:v>4000 Rental Income</x:v>
      </x:c>
      <x:c r="I550" s="26" t="n">
        <x:v>0</x:v>
      </x:c>
      <x:c r="J550" s="26" t="n">
        <x:v>1050</x:v>
      </x:c>
      <x:c r="K550" s="35" t="str">
        <x:v>April 2027 rent</x:v>
      </x:c>
    </x:row>
    <x:row r="551">
      <x:c r="A551" s="20" t="str">
        <x:v>FIN-00272</x:v>
      </x:c>
      <x:c r="B551" s="32" t="n">
        <x:v>1</x:v>
      </x:c>
      <x:c r="C551" s="23" t="n">
        <x:v>46480</x:v>
      </x:c>
      <x:c r="D551" s="23" t="n">
        <x:v>46480</x:v>
      </x:c>
      <x:c r="E551" s="20" t="str">
        <x:v>P012</x:v>
      </x:c>
      <x:c r="F551" s="20" t="str">
        <x:v>U012</x:v>
      </x:c>
      <x:c r="G551" s="20" t="str">
        <x:v>L012</x:v>
      </x:c>
      <x:c r="H551" s="20" t="str">
        <x:v>1000 Operating Cash</x:v>
      </x:c>
      <x:c r="I551" s="26" t="n">
        <x:v>1050</x:v>
      </x:c>
      <x:c r="J551" s="26" t="n">
        <x:v>0</x:v>
      </x:c>
      <x:c r="K551" s="35" t="str">
        <x:v>Receipt allocated to FIN-00271</x:v>
      </x:c>
    </x:row>
    <x:row r="552">
      <x:c r="A552" s="20" t="str">
        <x:v>FIN-00272</x:v>
      </x:c>
      <x:c r="B552" s="32" t="n">
        <x:v>2</x:v>
      </x:c>
      <x:c r="C552" s="23" t="n">
        <x:v>46480</x:v>
      </x:c>
      <x:c r="D552" s="23" t="n">
        <x:v>46480</x:v>
      </x:c>
      <x:c r="E552" s="20" t="str">
        <x:v>P012</x:v>
      </x:c>
      <x:c r="F552" s="20" t="str">
        <x:v>U012</x:v>
      </x:c>
      <x:c r="G552" s="20" t="str">
        <x:v>L012</x:v>
      </x:c>
      <x:c r="H552" s="20" t="str">
        <x:v>1100 Tenant Accounts Receivable</x:v>
      </x:c>
      <x:c r="I552" s="26" t="n">
        <x:v>0</x:v>
      </x:c>
      <x:c r="J552" s="26" t="n">
        <x:v>1050</x:v>
      </x:c>
      <x:c r="K552" s="35" t="str">
        <x:v>Receipt allocated to FIN-00271</x:v>
      </x:c>
    </x:row>
    <x:row r="553">
      <x:c r="A553" s="20" t="str">
        <x:v>FIN-00273</x:v>
      </x:c>
      <x:c r="B553" s="32" t="n">
        <x:v>1</x:v>
      </x:c>
      <x:c r="C553" s="23" t="n">
        <x:v>46478</x:v>
      </x:c>
      <x:c r="D553" s="23" t="n">
        <x:v>46478</x:v>
      </x:c>
      <x:c r="E553" s="20" t="str">
        <x:v>P013</x:v>
      </x:c>
      <x:c r="F553" s="20" t="str">
        <x:v>U013</x:v>
      </x:c>
      <x:c r="G553" s="20" t="str">
        <x:v>L013</x:v>
      </x:c>
      <x:c r="H553" s="20" t="str">
        <x:v>1100 Tenant Accounts Receivable</x:v>
      </x:c>
      <x:c r="I553" s="26" t="n">
        <x:v>1575</x:v>
      </x:c>
      <x:c r="J553" s="26" t="n">
        <x:v>0</x:v>
      </x:c>
      <x:c r="K553" s="35" t="str">
        <x:v>April 2027 rent</x:v>
      </x:c>
    </x:row>
    <x:row r="554">
      <x:c r="A554" s="20" t="str">
        <x:v>FIN-00273</x:v>
      </x:c>
      <x:c r="B554" s="32" t="n">
        <x:v>2</x:v>
      </x:c>
      <x:c r="C554" s="23" t="n">
        <x:v>46478</x:v>
      </x:c>
      <x:c r="D554" s="23" t="n">
        <x:v>46478</x:v>
      </x:c>
      <x:c r="E554" s="20" t="str">
        <x:v>P013</x:v>
      </x:c>
      <x:c r="F554" s="20" t="str">
        <x:v>U013</x:v>
      </x:c>
      <x:c r="G554" s="20" t="str">
        <x:v>L013</x:v>
      </x:c>
      <x:c r="H554" s="20" t="str">
        <x:v>4000 Rental Income</x:v>
      </x:c>
      <x:c r="I554" s="26" t="n">
        <x:v>0</x:v>
      </x:c>
      <x:c r="J554" s="26" t="n">
        <x:v>1575</x:v>
      </x:c>
      <x:c r="K554" s="35" t="str">
        <x:v>April 2027 rent</x:v>
      </x:c>
    </x:row>
    <x:row r="555">
      <x:c r="A555" s="20" t="str">
        <x:v>FIN-00274</x:v>
      </x:c>
      <x:c r="B555" s="32" t="n">
        <x:v>1</x:v>
      </x:c>
      <x:c r="C555" s="23" t="n">
        <x:v>46483</x:v>
      </x:c>
      <x:c r="D555" s="23" t="n">
        <x:v>46483</x:v>
      </x:c>
      <x:c r="E555" s="20" t="str">
        <x:v>P013</x:v>
      </x:c>
      <x:c r="F555" s="20" t="str">
        <x:v>U013</x:v>
      </x:c>
      <x:c r="G555" s="20" t="str">
        <x:v>L013</x:v>
      </x:c>
      <x:c r="H555" s="20" t="str">
        <x:v>1100 Tenant Accounts Receivable</x:v>
      </x:c>
      <x:c r="I555" s="26" t="n">
        <x:v>50</x:v>
      </x:c>
      <x:c r="J555" s="26" t="n">
        <x:v>0</x:v>
      </x:c>
      <x:c r="K555" s="35" t="str">
        <x:v>Synthetic lease-authorized late fee</x:v>
      </x:c>
    </x:row>
    <x:row r="556">
      <x:c r="A556" s="20" t="str">
        <x:v>FIN-00274</x:v>
      </x:c>
      <x:c r="B556" s="32" t="n">
        <x:v>2</x:v>
      </x:c>
      <x:c r="C556" s="23" t="n">
        <x:v>46483</x:v>
      </x:c>
      <x:c r="D556" s="23" t="n">
        <x:v>46483</x:v>
      </x:c>
      <x:c r="E556" s="20" t="str">
        <x:v>P013</x:v>
      </x:c>
      <x:c r="F556" s="20" t="str">
        <x:v>U013</x:v>
      </x:c>
      <x:c r="G556" s="20" t="str">
        <x:v>L013</x:v>
      </x:c>
      <x:c r="H556" s="20" t="str">
        <x:v>4010 Late Fee Income</x:v>
      </x:c>
      <x:c r="I556" s="26" t="n">
        <x:v>0</x:v>
      </x:c>
      <x:c r="J556" s="26" t="n">
        <x:v>50</x:v>
      </x:c>
      <x:c r="K556" s="35" t="str">
        <x:v>Synthetic lease-authorized late fee</x:v>
      </x:c>
    </x:row>
    <x:row r="557">
      <x:c r="A557" s="20" t="str">
        <x:v>FIN-00275</x:v>
      </x:c>
      <x:c r="B557" s="32" t="n">
        <x:v>1</x:v>
      </x:c>
      <x:c r="C557" s="23" t="n">
        <x:v>46485</x:v>
      </x:c>
      <x:c r="D557" s="23" t="n">
        <x:v>46485</x:v>
      </x:c>
      <x:c r="E557" s="20" t="str">
        <x:v>P013</x:v>
      </x:c>
      <x:c r="F557" s="20" t="str">
        <x:v>U013</x:v>
      </x:c>
      <x:c r="G557" s="20" t="str">
        <x:v>L013</x:v>
      </x:c>
      <x:c r="H557" s="20" t="str">
        <x:v>1000 Operating Cash</x:v>
      </x:c>
      <x:c r="I557" s="26" t="n">
        <x:v>1625</x:v>
      </x:c>
      <x:c r="J557" s="26" t="n">
        <x:v>0</x:v>
      </x:c>
      <x:c r="K557" s="35" t="str">
        <x:v>Receipt allocated to FIN-00274</x:v>
      </x:c>
    </x:row>
    <x:row r="558">
      <x:c r="A558" s="20" t="str">
        <x:v>FIN-00275</x:v>
      </x:c>
      <x:c r="B558" s="32" t="n">
        <x:v>2</x:v>
      </x:c>
      <x:c r="C558" s="23" t="n">
        <x:v>46485</x:v>
      </x:c>
      <x:c r="D558" s="23" t="n">
        <x:v>46485</x:v>
      </x:c>
      <x:c r="E558" s="20" t="str">
        <x:v>P013</x:v>
      </x:c>
      <x:c r="F558" s="20" t="str">
        <x:v>U013</x:v>
      </x:c>
      <x:c r="G558" s="20" t="str">
        <x:v>L013</x:v>
      </x:c>
      <x:c r="H558" s="20" t="str">
        <x:v>1100 Tenant Accounts Receivable</x:v>
      </x:c>
      <x:c r="I558" s="26" t="n">
        <x:v>0</x:v>
      </x:c>
      <x:c r="J558" s="26" t="n">
        <x:v>1625</x:v>
      </x:c>
      <x:c r="K558" s="35" t="str">
        <x:v>Receipt allocated to FIN-00274</x:v>
      </x:c>
    </x:row>
    <x:row r="559">
      <x:c r="A559" s="20" t="str">
        <x:v>FIN-00276</x:v>
      </x:c>
      <x:c r="B559" s="32" t="n">
        <x:v>1</x:v>
      </x:c>
      <x:c r="C559" s="23" t="n">
        <x:v>46478</x:v>
      </x:c>
      <x:c r="D559" s="23" t="n">
        <x:v>46478</x:v>
      </x:c>
      <x:c r="E559" s="20" t="str">
        <x:v>P014</x:v>
      </x:c>
      <x:c r="F559" s="20" t="str">
        <x:v>U014</x:v>
      </x:c>
      <x:c r="G559" s="20" t="str">
        <x:v>L014</x:v>
      </x:c>
      <x:c r="H559" s="20" t="str">
        <x:v>1100 Tenant Accounts Receivable</x:v>
      </x:c>
      <x:c r="I559" s="26" t="n">
        <x:v>1200</x:v>
      </x:c>
      <x:c r="J559" s="26" t="n">
        <x:v>0</x:v>
      </x:c>
      <x:c r="K559" s="35" t="str">
        <x:v>April 2027 rent</x:v>
      </x:c>
    </x:row>
    <x:row r="560">
      <x:c r="A560" s="20" t="str">
        <x:v>FIN-00276</x:v>
      </x:c>
      <x:c r="B560" s="32" t="n">
        <x:v>2</x:v>
      </x:c>
      <x:c r="C560" s="23" t="n">
        <x:v>46478</x:v>
      </x:c>
      <x:c r="D560" s="23" t="n">
        <x:v>46478</x:v>
      </x:c>
      <x:c r="E560" s="20" t="str">
        <x:v>P014</x:v>
      </x:c>
      <x:c r="F560" s="20" t="str">
        <x:v>U014</x:v>
      </x:c>
      <x:c r="G560" s="20" t="str">
        <x:v>L014</x:v>
      </x:c>
      <x:c r="H560" s="20" t="str">
        <x:v>4000 Rental Income</x:v>
      </x:c>
      <x:c r="I560" s="26" t="n">
        <x:v>0</x:v>
      </x:c>
      <x:c r="J560" s="26" t="n">
        <x:v>1200</x:v>
      </x:c>
      <x:c r="K560" s="35" t="str">
        <x:v>April 2027 rent</x:v>
      </x:c>
    </x:row>
    <x:row r="561">
      <x:c r="A561" s="20" t="str">
        <x:v>FIN-00277</x:v>
      </x:c>
      <x:c r="B561" s="32" t="n">
        <x:v>1</x:v>
      </x:c>
      <x:c r="C561" s="23" t="n">
        <x:v>46482</x:v>
      </x:c>
      <x:c r="D561" s="23" t="n">
        <x:v>46482</x:v>
      </x:c>
      <x:c r="E561" s="20" t="str">
        <x:v>P014</x:v>
      </x:c>
      <x:c r="F561" s="20" t="str">
        <x:v>U014</x:v>
      </x:c>
      <x:c r="G561" s="20" t="str">
        <x:v>L014</x:v>
      </x:c>
      <x:c r="H561" s="20" t="str">
        <x:v>1000 Operating Cash</x:v>
      </x:c>
      <x:c r="I561" s="26" t="n">
        <x:v>1200</x:v>
      </x:c>
      <x:c r="J561" s="26" t="n">
        <x:v>0</x:v>
      </x:c>
      <x:c r="K561" s="35" t="str">
        <x:v>Receipt allocated to FIN-00276</x:v>
      </x:c>
    </x:row>
    <x:row r="562">
      <x:c r="A562" s="20" t="str">
        <x:v>FIN-00277</x:v>
      </x:c>
      <x:c r="B562" s="32" t="n">
        <x:v>2</x:v>
      </x:c>
      <x:c r="C562" s="23" t="n">
        <x:v>46482</x:v>
      </x:c>
      <x:c r="D562" s="23" t="n">
        <x:v>46482</x:v>
      </x:c>
      <x:c r="E562" s="20" t="str">
        <x:v>P014</x:v>
      </x:c>
      <x:c r="F562" s="20" t="str">
        <x:v>U014</x:v>
      </x:c>
      <x:c r="G562" s="20" t="str">
        <x:v>L014</x:v>
      </x:c>
      <x:c r="H562" s="20" t="str">
        <x:v>1100 Tenant Accounts Receivable</x:v>
      </x:c>
      <x:c r="I562" s="26" t="n">
        <x:v>0</x:v>
      </x:c>
      <x:c r="J562" s="26" t="n">
        <x:v>1200</x:v>
      </x:c>
      <x:c r="K562" s="35" t="str">
        <x:v>Receipt allocated to FIN-00276</x:v>
      </x:c>
    </x:row>
    <x:row r="563">
      <x:c r="A563" s="20" t="str">
        <x:v>FIN-00278</x:v>
      </x:c>
      <x:c r="B563" s="32" t="n">
        <x:v>1</x:v>
      </x:c>
      <x:c r="C563" s="23" t="n">
        <x:v>46478</x:v>
      </x:c>
      <x:c r="D563" s="23" t="n">
        <x:v>46478</x:v>
      </x:c>
      <x:c r="E563" s="20" t="str">
        <x:v>P015</x:v>
      </x:c>
      <x:c r="F563" s="20" t="str">
        <x:v>U015</x:v>
      </x:c>
      <x:c r="G563" s="20" t="str">
        <x:v>L015</x:v>
      </x:c>
      <x:c r="H563" s="20" t="str">
        <x:v>1100 Tenant Accounts Receivable</x:v>
      </x:c>
      <x:c r="I563" s="26" t="n">
        <x:v>1725</x:v>
      </x:c>
      <x:c r="J563" s="26" t="n">
        <x:v>0</x:v>
      </x:c>
      <x:c r="K563" s="35" t="str">
        <x:v>April 2027 rent</x:v>
      </x:c>
    </x:row>
    <x:row r="564">
      <x:c r="A564" s="20" t="str">
        <x:v>FIN-00278</x:v>
      </x:c>
      <x:c r="B564" s="32" t="n">
        <x:v>2</x:v>
      </x:c>
      <x:c r="C564" s="23" t="n">
        <x:v>46478</x:v>
      </x:c>
      <x:c r="D564" s="23" t="n">
        <x:v>46478</x:v>
      </x:c>
      <x:c r="E564" s="20" t="str">
        <x:v>P015</x:v>
      </x:c>
      <x:c r="F564" s="20" t="str">
        <x:v>U015</x:v>
      </x:c>
      <x:c r="G564" s="20" t="str">
        <x:v>L015</x:v>
      </x:c>
      <x:c r="H564" s="20" t="str">
        <x:v>4000 Rental Income</x:v>
      </x:c>
      <x:c r="I564" s="26" t="n">
        <x:v>0</x:v>
      </x:c>
      <x:c r="J564" s="26" t="n">
        <x:v>1725</x:v>
      </x:c>
      <x:c r="K564" s="35" t="str">
        <x:v>April 2027 rent</x:v>
      </x:c>
    </x:row>
    <x:row r="565">
      <x:c r="A565" s="20" t="str">
        <x:v>FIN-00279</x:v>
      </x:c>
      <x:c r="B565" s="32" t="n">
        <x:v>1</x:v>
      </x:c>
      <x:c r="C565" s="23" t="n">
        <x:v>46480</x:v>
      </x:c>
      <x:c r="D565" s="23" t="n">
        <x:v>46480</x:v>
      </x:c>
      <x:c r="E565" s="20" t="str">
        <x:v>P015</x:v>
      </x:c>
      <x:c r="F565" s="20" t="str">
        <x:v>U015</x:v>
      </x:c>
      <x:c r="G565" s="20" t="str">
        <x:v>L015</x:v>
      </x:c>
      <x:c r="H565" s="20" t="str">
        <x:v>1000 Operating Cash</x:v>
      </x:c>
      <x:c r="I565" s="26" t="n">
        <x:v>1725</x:v>
      </x:c>
      <x:c r="J565" s="26" t="n">
        <x:v>0</x:v>
      </x:c>
      <x:c r="K565" s="35" t="str">
        <x:v>Receipt allocated to FIN-00278</x:v>
      </x:c>
    </x:row>
    <x:row r="566">
      <x:c r="A566" s="20" t="str">
        <x:v>FIN-00279</x:v>
      </x:c>
      <x:c r="B566" s="32" t="n">
        <x:v>2</x:v>
      </x:c>
      <x:c r="C566" s="23" t="n">
        <x:v>46480</x:v>
      </x:c>
      <x:c r="D566" s="23" t="n">
        <x:v>46480</x:v>
      </x:c>
      <x:c r="E566" s="20" t="str">
        <x:v>P015</x:v>
      </x:c>
      <x:c r="F566" s="20" t="str">
        <x:v>U015</x:v>
      </x:c>
      <x:c r="G566" s="20" t="str">
        <x:v>L015</x:v>
      </x:c>
      <x:c r="H566" s="20" t="str">
        <x:v>1100 Tenant Accounts Receivable</x:v>
      </x:c>
      <x:c r="I566" s="26" t="n">
        <x:v>0</x:v>
      </x:c>
      <x:c r="J566" s="26" t="n">
        <x:v>1725</x:v>
      </x:c>
      <x:c r="K566" s="35" t="str">
        <x:v>Receipt allocated to FIN-00278</x:v>
      </x:c>
    </x:row>
    <x:row r="567">
      <x:c r="A567" s="20" t="str">
        <x:v>FIN-00280</x:v>
      </x:c>
      <x:c r="B567" s="32" t="n">
        <x:v>1</x:v>
      </x:c>
      <x:c r="C567" s="23" t="n">
        <x:v>46478</x:v>
      </x:c>
      <x:c r="D567" s="23" t="n">
        <x:v>46478</x:v>
      </x:c>
      <x:c r="E567" s="20" t="str">
        <x:v>P016</x:v>
      </x:c>
      <x:c r="F567" s="20" t="str">
        <x:v>U016</x:v>
      </x:c>
      <x:c r="G567" s="20" t="str">
        <x:v>L016</x:v>
      </x:c>
      <x:c r="H567" s="20" t="str">
        <x:v>1100 Tenant Accounts Receivable</x:v>
      </x:c>
      <x:c r="I567" s="26" t="n">
        <x:v>1350</x:v>
      </x:c>
      <x:c r="J567" s="26" t="n">
        <x:v>0</x:v>
      </x:c>
      <x:c r="K567" s="35" t="str">
        <x:v>April 2027 rent</x:v>
      </x:c>
    </x:row>
    <x:row r="568">
      <x:c r="A568" s="20" t="str">
        <x:v>FIN-00280</x:v>
      </x:c>
      <x:c r="B568" s="32" t="n">
        <x:v>2</x:v>
      </x:c>
      <x:c r="C568" s="23" t="n">
        <x:v>46478</x:v>
      </x:c>
      <x:c r="D568" s="23" t="n">
        <x:v>46478</x:v>
      </x:c>
      <x:c r="E568" s="20" t="str">
        <x:v>P016</x:v>
      </x:c>
      <x:c r="F568" s="20" t="str">
        <x:v>U016</x:v>
      </x:c>
      <x:c r="G568" s="20" t="str">
        <x:v>L016</x:v>
      </x:c>
      <x:c r="H568" s="20" t="str">
        <x:v>4000 Rental Income</x:v>
      </x:c>
      <x:c r="I568" s="26" t="n">
        <x:v>0</x:v>
      </x:c>
      <x:c r="J568" s="26" t="n">
        <x:v>1350</x:v>
      </x:c>
      <x:c r="K568" s="35" t="str">
        <x:v>April 2027 rent</x:v>
      </x:c>
    </x:row>
    <x:row r="569">
      <x:c r="A569" s="20" t="str">
        <x:v>FIN-00281</x:v>
      </x:c>
      <x:c r="B569" s="32" t="n">
        <x:v>1</x:v>
      </x:c>
      <x:c r="C569" s="23" t="n">
        <x:v>46481</x:v>
      </x:c>
      <x:c r="D569" s="23" t="n">
        <x:v>46481</x:v>
      </x:c>
      <x:c r="E569" s="20" t="str">
        <x:v>P016</x:v>
      </x:c>
      <x:c r="F569" s="20" t="str">
        <x:v>U016</x:v>
      </x:c>
      <x:c r="G569" s="20" t="str">
        <x:v>L016</x:v>
      </x:c>
      <x:c r="H569" s="20" t="str">
        <x:v>1000 Operating Cash</x:v>
      </x:c>
      <x:c r="I569" s="26" t="n">
        <x:v>1350</x:v>
      </x:c>
      <x:c r="J569" s="26" t="n">
        <x:v>0</x:v>
      </x:c>
      <x:c r="K569" s="35" t="str">
        <x:v>Receipt allocated to FIN-00280</x:v>
      </x:c>
    </x:row>
    <x:row r="570">
      <x:c r="A570" s="20" t="str">
        <x:v>FIN-00281</x:v>
      </x:c>
      <x:c r="B570" s="32" t="n">
        <x:v>2</x:v>
      </x:c>
      <x:c r="C570" s="23" t="n">
        <x:v>46481</x:v>
      </x:c>
      <x:c r="D570" s="23" t="n">
        <x:v>46481</x:v>
      </x:c>
      <x:c r="E570" s="20" t="str">
        <x:v>P016</x:v>
      </x:c>
      <x:c r="F570" s="20" t="str">
        <x:v>U016</x:v>
      </x:c>
      <x:c r="G570" s="20" t="str">
        <x:v>L016</x:v>
      </x:c>
      <x:c r="H570" s="20" t="str">
        <x:v>1100 Tenant Accounts Receivable</x:v>
      </x:c>
      <x:c r="I570" s="26" t="n">
        <x:v>0</x:v>
      </x:c>
      <x:c r="J570" s="26" t="n">
        <x:v>1350</x:v>
      </x:c>
      <x:c r="K570" s="35" t="str">
        <x:v>Receipt allocated to FIN-00280</x:v>
      </x:c>
    </x:row>
    <x:row r="571">
      <x:c r="A571" s="20" t="str">
        <x:v>FIN-00282</x:v>
      </x:c>
      <x:c r="B571" s="32" t="n">
        <x:v>1</x:v>
      </x:c>
      <x:c r="C571" s="23" t="n">
        <x:v>46478</x:v>
      </x:c>
      <x:c r="D571" s="23" t="n">
        <x:v>46478</x:v>
      </x:c>
      <x:c r="E571" s="20" t="str">
        <x:v>P017</x:v>
      </x:c>
      <x:c r="F571" s="20" t="str">
        <x:v>U017</x:v>
      </x:c>
      <x:c r="G571" s="20" t="str">
        <x:v>L017</x:v>
      </x:c>
      <x:c r="H571" s="20" t="str">
        <x:v>1100 Tenant Accounts Receivable</x:v>
      </x:c>
      <x:c r="I571" s="26" t="n">
        <x:v>1875</x:v>
      </x:c>
      <x:c r="J571" s="26" t="n">
        <x:v>0</x:v>
      </x:c>
      <x:c r="K571" s="35" t="str">
        <x:v>April 2027 rent</x:v>
      </x:c>
    </x:row>
    <x:row r="572">
      <x:c r="A572" s="20" t="str">
        <x:v>FIN-00282</x:v>
      </x:c>
      <x:c r="B572" s="32" t="n">
        <x:v>2</x:v>
      </x:c>
      <x:c r="C572" s="23" t="n">
        <x:v>46478</x:v>
      </x:c>
      <x:c r="D572" s="23" t="n">
        <x:v>46478</x:v>
      </x:c>
      <x:c r="E572" s="20" t="str">
        <x:v>P017</x:v>
      </x:c>
      <x:c r="F572" s="20" t="str">
        <x:v>U017</x:v>
      </x:c>
      <x:c r="G572" s="20" t="str">
        <x:v>L017</x:v>
      </x:c>
      <x:c r="H572" s="20" t="str">
        <x:v>4000 Rental Income</x:v>
      </x:c>
      <x:c r="I572" s="26" t="n">
        <x:v>0</x:v>
      </x:c>
      <x:c r="J572" s="26" t="n">
        <x:v>1875</x:v>
      </x:c>
      <x:c r="K572" s="35" t="str">
        <x:v>April 2027 rent</x:v>
      </x:c>
    </x:row>
    <x:row r="573">
      <x:c r="A573" s="20" t="str">
        <x:v>FIN-00283</x:v>
      </x:c>
      <x:c r="B573" s="32" t="n">
        <x:v>1</x:v>
      </x:c>
      <x:c r="C573" s="23" t="n">
        <x:v>46482</x:v>
      </x:c>
      <x:c r="D573" s="23" t="n">
        <x:v>46482</x:v>
      </x:c>
      <x:c r="E573" s="20" t="str">
        <x:v>P017</x:v>
      </x:c>
      <x:c r="F573" s="20" t="str">
        <x:v>U017</x:v>
      </x:c>
      <x:c r="G573" s="20" t="str">
        <x:v>L017</x:v>
      </x:c>
      <x:c r="H573" s="20" t="str">
        <x:v>1000 Operating Cash</x:v>
      </x:c>
      <x:c r="I573" s="26" t="n">
        <x:v>1875</x:v>
      </x:c>
      <x:c r="J573" s="26" t="n">
        <x:v>0</x:v>
      </x:c>
      <x:c r="K573" s="35" t="str">
        <x:v>Receipt allocated to FIN-00282</x:v>
      </x:c>
    </x:row>
    <x:row r="574">
      <x:c r="A574" s="20" t="str">
        <x:v>FIN-00283</x:v>
      </x:c>
      <x:c r="B574" s="32" t="n">
        <x:v>2</x:v>
      </x:c>
      <x:c r="C574" s="23" t="n">
        <x:v>46482</x:v>
      </x:c>
      <x:c r="D574" s="23" t="n">
        <x:v>46482</x:v>
      </x:c>
      <x:c r="E574" s="20" t="str">
        <x:v>P017</x:v>
      </x:c>
      <x:c r="F574" s="20" t="str">
        <x:v>U017</x:v>
      </x:c>
      <x:c r="G574" s="20" t="str">
        <x:v>L017</x:v>
      </x:c>
      <x:c r="H574" s="20" t="str">
        <x:v>1100 Tenant Accounts Receivable</x:v>
      </x:c>
      <x:c r="I574" s="26" t="n">
        <x:v>0</x:v>
      </x:c>
      <x:c r="J574" s="26" t="n">
        <x:v>1875</x:v>
      </x:c>
      <x:c r="K574" s="35" t="str">
        <x:v>Receipt allocated to FIN-00282</x:v>
      </x:c>
    </x:row>
    <x:row r="575">
      <x:c r="A575" s="20" t="str">
        <x:v>FIN-00284</x:v>
      </x:c>
      <x:c r="B575" s="32" t="n">
        <x:v>1</x:v>
      </x:c>
      <x:c r="C575" s="23" t="n">
        <x:v>46478</x:v>
      </x:c>
      <x:c r="D575" s="23" t="n">
        <x:v>46478</x:v>
      </x:c>
      <x:c r="E575" s="20" t="str">
        <x:v>P018</x:v>
      </x:c>
      <x:c r="F575" s="20" t="str">
        <x:v>U018</x:v>
      </x:c>
      <x:c r="G575" s="20" t="str">
        <x:v>L018</x:v>
      </x:c>
      <x:c r="H575" s="20" t="str">
        <x:v>1100 Tenant Accounts Receivable</x:v>
      </x:c>
      <x:c r="I575" s="26" t="n">
        <x:v>1500</x:v>
      </x:c>
      <x:c r="J575" s="26" t="n">
        <x:v>0</x:v>
      </x:c>
      <x:c r="K575" s="35" t="str">
        <x:v>April 2027 rent</x:v>
      </x:c>
    </x:row>
    <x:row r="576">
      <x:c r="A576" s="20" t="str">
        <x:v>FIN-00284</x:v>
      </x:c>
      <x:c r="B576" s="32" t="n">
        <x:v>2</x:v>
      </x:c>
      <x:c r="C576" s="23" t="n">
        <x:v>46478</x:v>
      </x:c>
      <x:c r="D576" s="23" t="n">
        <x:v>46478</x:v>
      </x:c>
      <x:c r="E576" s="20" t="str">
        <x:v>P018</x:v>
      </x:c>
      <x:c r="F576" s="20" t="str">
        <x:v>U018</x:v>
      </x:c>
      <x:c r="G576" s="20" t="str">
        <x:v>L018</x:v>
      </x:c>
      <x:c r="H576" s="20" t="str">
        <x:v>4000 Rental Income</x:v>
      </x:c>
      <x:c r="I576" s="26" t="n">
        <x:v>0</x:v>
      </x:c>
      <x:c r="J576" s="26" t="n">
        <x:v>1500</x:v>
      </x:c>
      <x:c r="K576" s="35" t="str">
        <x:v>April 2027 rent</x:v>
      </x:c>
    </x:row>
    <x:row r="577">
      <x:c r="A577" s="20" t="str">
        <x:v>FIN-00285</x:v>
      </x:c>
      <x:c r="B577" s="32" t="n">
        <x:v>1</x:v>
      </x:c>
      <x:c r="C577" s="23" t="n">
        <x:v>46480</x:v>
      </x:c>
      <x:c r="D577" s="23" t="n">
        <x:v>46480</x:v>
      </x:c>
      <x:c r="E577" s="20" t="str">
        <x:v>P018</x:v>
      </x:c>
      <x:c r="F577" s="20" t="str">
        <x:v>U018</x:v>
      </x:c>
      <x:c r="G577" s="20" t="str">
        <x:v>L018</x:v>
      </x:c>
      <x:c r="H577" s="20" t="str">
        <x:v>1000 Operating Cash</x:v>
      </x:c>
      <x:c r="I577" s="26" t="n">
        <x:v>1500</x:v>
      </x:c>
      <x:c r="J577" s="26" t="n">
        <x:v>0</x:v>
      </x:c>
      <x:c r="K577" s="35" t="str">
        <x:v>Receipt allocated to FIN-00284</x:v>
      </x:c>
    </x:row>
    <x:row r="578">
      <x:c r="A578" s="20" t="str">
        <x:v>FIN-00285</x:v>
      </x:c>
      <x:c r="B578" s="32" t="n">
        <x:v>2</x:v>
      </x:c>
      <x:c r="C578" s="23" t="n">
        <x:v>46480</x:v>
      </x:c>
      <x:c r="D578" s="23" t="n">
        <x:v>46480</x:v>
      </x:c>
      <x:c r="E578" s="20" t="str">
        <x:v>P018</x:v>
      </x:c>
      <x:c r="F578" s="20" t="str">
        <x:v>U018</x:v>
      </x:c>
      <x:c r="G578" s="20" t="str">
        <x:v>L018</x:v>
      </x:c>
      <x:c r="H578" s="20" t="str">
        <x:v>1100 Tenant Accounts Receivable</x:v>
      </x:c>
      <x:c r="I578" s="26" t="n">
        <x:v>0</x:v>
      </x:c>
      <x:c r="J578" s="26" t="n">
        <x:v>1500</x:v>
      </x:c>
      <x:c r="K578" s="35" t="str">
        <x:v>Receipt allocated to FIN-00284</x:v>
      </x:c>
    </x:row>
    <x:row r="579">
      <x:c r="A579" s="20" t="str">
        <x:v>FIN-00286</x:v>
      </x:c>
      <x:c r="B579" s="32" t="n">
        <x:v>1</x:v>
      </x:c>
      <x:c r="C579" s="23" t="n">
        <x:v>46478</x:v>
      </x:c>
      <x:c r="D579" s="23" t="n">
        <x:v>46478</x:v>
      </x:c>
      <x:c r="E579" s="20" t="str">
        <x:v>P019</x:v>
      </x:c>
      <x:c r="F579" s="20" t="str">
        <x:v>U019</x:v>
      </x:c>
      <x:c r="G579" s="20" t="str">
        <x:v>L019</x:v>
      </x:c>
      <x:c r="H579" s="20" t="str">
        <x:v>1100 Tenant Accounts Receivable</x:v>
      </x:c>
      <x:c r="I579" s="26" t="n">
        <x:v>1125</x:v>
      </x:c>
      <x:c r="J579" s="26" t="n">
        <x:v>0</x:v>
      </x:c>
      <x:c r="K579" s="35" t="str">
        <x:v>April 2027 rent</x:v>
      </x:c>
    </x:row>
    <x:row r="580">
      <x:c r="A580" s="20" t="str">
        <x:v>FIN-00286</x:v>
      </x:c>
      <x:c r="B580" s="32" t="n">
        <x:v>2</x:v>
      </x:c>
      <x:c r="C580" s="23" t="n">
        <x:v>46478</x:v>
      </x:c>
      <x:c r="D580" s="23" t="n">
        <x:v>46478</x:v>
      </x:c>
      <x:c r="E580" s="20" t="str">
        <x:v>P019</x:v>
      </x:c>
      <x:c r="F580" s="20" t="str">
        <x:v>U019</x:v>
      </x:c>
      <x:c r="G580" s="20" t="str">
        <x:v>L019</x:v>
      </x:c>
      <x:c r="H580" s="20" t="str">
        <x:v>4000 Rental Income</x:v>
      </x:c>
      <x:c r="I580" s="26" t="n">
        <x:v>0</x:v>
      </x:c>
      <x:c r="J580" s="26" t="n">
        <x:v>1125</x:v>
      </x:c>
      <x:c r="K580" s="35" t="str">
        <x:v>April 2027 rent</x:v>
      </x:c>
    </x:row>
    <x:row r="581">
      <x:c r="A581" s="20" t="str">
        <x:v>FIN-00287</x:v>
      </x:c>
      <x:c r="B581" s="32" t="n">
        <x:v>1</x:v>
      </x:c>
      <x:c r="C581" s="23" t="n">
        <x:v>46481</x:v>
      </x:c>
      <x:c r="D581" s="23" t="n">
        <x:v>46481</x:v>
      </x:c>
      <x:c r="E581" s="20" t="str">
        <x:v>P019</x:v>
      </x:c>
      <x:c r="F581" s="20" t="str">
        <x:v>U019</x:v>
      </x:c>
      <x:c r="G581" s="20" t="str">
        <x:v>L019</x:v>
      </x:c>
      <x:c r="H581" s="20" t="str">
        <x:v>1000 Operating Cash</x:v>
      </x:c>
      <x:c r="I581" s="26" t="n">
        <x:v>1125</x:v>
      </x:c>
      <x:c r="J581" s="26" t="n">
        <x:v>0</x:v>
      </x:c>
      <x:c r="K581" s="35" t="str">
        <x:v>Receipt allocated to FIN-00286</x:v>
      </x:c>
    </x:row>
    <x:row r="582">
      <x:c r="A582" s="20" t="str">
        <x:v>FIN-00287</x:v>
      </x:c>
      <x:c r="B582" s="32" t="n">
        <x:v>2</x:v>
      </x:c>
      <x:c r="C582" s="23" t="n">
        <x:v>46481</x:v>
      </x:c>
      <x:c r="D582" s="23" t="n">
        <x:v>46481</x:v>
      </x:c>
      <x:c r="E582" s="20" t="str">
        <x:v>P019</x:v>
      </x:c>
      <x:c r="F582" s="20" t="str">
        <x:v>U019</x:v>
      </x:c>
      <x:c r="G582" s="20" t="str">
        <x:v>L019</x:v>
      </x:c>
      <x:c r="H582" s="20" t="str">
        <x:v>1100 Tenant Accounts Receivable</x:v>
      </x:c>
      <x:c r="I582" s="26" t="n">
        <x:v>0</x:v>
      </x:c>
      <x:c r="J582" s="26" t="n">
        <x:v>1125</x:v>
      </x:c>
      <x:c r="K582" s="35" t="str">
        <x:v>Receipt allocated to FIN-00286</x:v>
      </x:c>
    </x:row>
    <x:row r="583">
      <x:c r="A583" s="20" t="str">
        <x:v>FIN-00288</x:v>
      </x:c>
      <x:c r="B583" s="32" t="n">
        <x:v>1</x:v>
      </x:c>
      <x:c r="C583" s="23" t="n">
        <x:v>46478</x:v>
      </x:c>
      <x:c r="D583" s="23" t="n">
        <x:v>46478</x:v>
      </x:c>
      <x:c r="E583" s="20" t="str">
        <x:v>P020</x:v>
      </x:c>
      <x:c r="F583" s="20" t="str">
        <x:v>U020</x:v>
      </x:c>
      <x:c r="G583" s="20" t="str">
        <x:v>L020</x:v>
      </x:c>
      <x:c r="H583" s="20" t="str">
        <x:v>1100 Tenant Accounts Receivable</x:v>
      </x:c>
      <x:c r="I583" s="26" t="n">
        <x:v>1650</x:v>
      </x:c>
      <x:c r="J583" s="26" t="n">
        <x:v>0</x:v>
      </x:c>
      <x:c r="K583" s="35" t="str">
        <x:v>April 2027 rent</x:v>
      </x:c>
    </x:row>
    <x:row r="584">
      <x:c r="A584" s="20" t="str">
        <x:v>FIN-00288</x:v>
      </x:c>
      <x:c r="B584" s="32" t="n">
        <x:v>2</x:v>
      </x:c>
      <x:c r="C584" s="23" t="n">
        <x:v>46478</x:v>
      </x:c>
      <x:c r="D584" s="23" t="n">
        <x:v>46478</x:v>
      </x:c>
      <x:c r="E584" s="20" t="str">
        <x:v>P020</x:v>
      </x:c>
      <x:c r="F584" s="20" t="str">
        <x:v>U020</x:v>
      </x:c>
      <x:c r="G584" s="20" t="str">
        <x:v>L020</x:v>
      </x:c>
      <x:c r="H584" s="20" t="str">
        <x:v>4000 Rental Income</x:v>
      </x:c>
      <x:c r="I584" s="26" t="n">
        <x:v>0</x:v>
      </x:c>
      <x:c r="J584" s="26" t="n">
        <x:v>1650</x:v>
      </x:c>
      <x:c r="K584" s="35" t="str">
        <x:v>April 2027 rent</x:v>
      </x:c>
    </x:row>
    <x:row r="585">
      <x:c r="A585" s="20" t="str">
        <x:v>FIN-00289</x:v>
      </x:c>
      <x:c r="B585" s="32" t="n">
        <x:v>1</x:v>
      </x:c>
      <x:c r="C585" s="23" t="n">
        <x:v>46482</x:v>
      </x:c>
      <x:c r="D585" s="23" t="n">
        <x:v>46482</x:v>
      </x:c>
      <x:c r="E585" s="20" t="str">
        <x:v>P020</x:v>
      </x:c>
      <x:c r="F585" s="20" t="str">
        <x:v>U020</x:v>
      </x:c>
      <x:c r="G585" s="20" t="str">
        <x:v>L020</x:v>
      </x:c>
      <x:c r="H585" s="20" t="str">
        <x:v>1000 Operating Cash</x:v>
      </x:c>
      <x:c r="I585" s="26" t="n">
        <x:v>1650</x:v>
      </x:c>
      <x:c r="J585" s="26" t="n">
        <x:v>0</x:v>
      </x:c>
      <x:c r="K585" s="35" t="str">
        <x:v>Receipt allocated to FIN-00288</x:v>
      </x:c>
    </x:row>
    <x:row r="586">
      <x:c r="A586" s="20" t="str">
        <x:v>FIN-00289</x:v>
      </x:c>
      <x:c r="B586" s="32" t="n">
        <x:v>2</x:v>
      </x:c>
      <x:c r="C586" s="23" t="n">
        <x:v>46482</x:v>
      </x:c>
      <x:c r="D586" s="23" t="n">
        <x:v>46482</x:v>
      </x:c>
      <x:c r="E586" s="20" t="str">
        <x:v>P020</x:v>
      </x:c>
      <x:c r="F586" s="20" t="str">
        <x:v>U020</x:v>
      </x:c>
      <x:c r="G586" s="20" t="str">
        <x:v>L020</x:v>
      </x:c>
      <x:c r="H586" s="20" t="str">
        <x:v>1100 Tenant Accounts Receivable</x:v>
      </x:c>
      <x:c r="I586" s="26" t="n">
        <x:v>0</x:v>
      </x:c>
      <x:c r="J586" s="26" t="n">
        <x:v>1650</x:v>
      </x:c>
      <x:c r="K586" s="35" t="str">
        <x:v>Receipt allocated to FIN-00288</x:v>
      </x:c>
    </x:row>
    <x:row r="587">
      <x:c r="A587" s="20" t="str">
        <x:v>FIN-00290</x:v>
      </x:c>
      <x:c r="B587" s="32" t="n">
        <x:v>1</x:v>
      </x:c>
      <x:c r="C587" s="23" t="n">
        <x:v>46478</x:v>
      </x:c>
      <x:c r="D587" s="23" t="n">
        <x:v>46478</x:v>
      </x:c>
      <x:c r="E587" s="20" t="str">
        <x:v>P021</x:v>
      </x:c>
      <x:c r="F587" s="20" t="str">
        <x:v>U021</x:v>
      </x:c>
      <x:c r="G587" s="20" t="str">
        <x:v>L021</x:v>
      </x:c>
      <x:c r="H587" s="20" t="str">
        <x:v>1100 Tenant Accounts Receivable</x:v>
      </x:c>
      <x:c r="I587" s="26" t="n">
        <x:v>1375</x:v>
      </x:c>
      <x:c r="J587" s="26" t="n">
        <x:v>0</x:v>
      </x:c>
      <x:c r="K587" s="35" t="str">
        <x:v>April 2027 rent</x:v>
      </x:c>
    </x:row>
    <x:row r="588">
      <x:c r="A588" s="20" t="str">
        <x:v>FIN-00290</x:v>
      </x:c>
      <x:c r="B588" s="32" t="n">
        <x:v>2</x:v>
      </x:c>
      <x:c r="C588" s="23" t="n">
        <x:v>46478</x:v>
      </x:c>
      <x:c r="D588" s="23" t="n">
        <x:v>46478</x:v>
      </x:c>
      <x:c r="E588" s="20" t="str">
        <x:v>P021</x:v>
      </x:c>
      <x:c r="F588" s="20" t="str">
        <x:v>U021</x:v>
      </x:c>
      <x:c r="G588" s="20" t="str">
        <x:v>L021</x:v>
      </x:c>
      <x:c r="H588" s="20" t="str">
        <x:v>4000 Rental Income</x:v>
      </x:c>
      <x:c r="I588" s="26" t="n">
        <x:v>0</x:v>
      </x:c>
      <x:c r="J588" s="26" t="n">
        <x:v>1375</x:v>
      </x:c>
      <x:c r="K588" s="35" t="str">
        <x:v>April 2027 rent</x:v>
      </x:c>
    </x:row>
    <x:row r="589">
      <x:c r="A589" s="20" t="str">
        <x:v>FIN-00291</x:v>
      </x:c>
      <x:c r="B589" s="32" t="n">
        <x:v>1</x:v>
      </x:c>
      <x:c r="C589" s="23" t="n">
        <x:v>46480</x:v>
      </x:c>
      <x:c r="D589" s="23" t="n">
        <x:v>46480</x:v>
      </x:c>
      <x:c r="E589" s="20" t="str">
        <x:v>P021</x:v>
      </x:c>
      <x:c r="F589" s="20" t="str">
        <x:v>U021</x:v>
      </x:c>
      <x:c r="G589" s="20" t="str">
        <x:v>L021</x:v>
      </x:c>
      <x:c r="H589" s="20" t="str">
        <x:v>1000 Operating Cash</x:v>
      </x:c>
      <x:c r="I589" s="26" t="n">
        <x:v>1375</x:v>
      </x:c>
      <x:c r="J589" s="26" t="n">
        <x:v>0</x:v>
      </x:c>
      <x:c r="K589" s="35" t="str">
        <x:v>Receipt allocated to FIN-00290</x:v>
      </x:c>
    </x:row>
    <x:row r="590">
      <x:c r="A590" s="20" t="str">
        <x:v>FIN-00291</x:v>
      </x:c>
      <x:c r="B590" s="32" t="n">
        <x:v>2</x:v>
      </x:c>
      <x:c r="C590" s="23" t="n">
        <x:v>46480</x:v>
      </x:c>
      <x:c r="D590" s="23" t="n">
        <x:v>46480</x:v>
      </x:c>
      <x:c r="E590" s="20" t="str">
        <x:v>P021</x:v>
      </x:c>
      <x:c r="F590" s="20" t="str">
        <x:v>U021</x:v>
      </x:c>
      <x:c r="G590" s="20" t="str">
        <x:v>L021</x:v>
      </x:c>
      <x:c r="H590" s="20" t="str">
        <x:v>1100 Tenant Accounts Receivable</x:v>
      </x:c>
      <x:c r="I590" s="26" t="n">
        <x:v>0</x:v>
      </x:c>
      <x:c r="J590" s="26" t="n">
        <x:v>1375</x:v>
      </x:c>
      <x:c r="K590" s="35" t="str">
        <x:v>Receipt allocated to FIN-00290</x:v>
      </x:c>
    </x:row>
    <x:row r="591">
      <x:c r="A591" s="20" t="str">
        <x:v>FIN-00292</x:v>
      </x:c>
      <x:c r="B591" s="32" t="n">
        <x:v>1</x:v>
      </x:c>
      <x:c r="C591" s="23" t="n">
        <x:v>46478</x:v>
      </x:c>
      <x:c r="D591" s="23" t="n">
        <x:v>46478</x:v>
      </x:c>
      <x:c r="E591" s="20" t="str">
        <x:v>P021</x:v>
      </x:c>
      <x:c r="F591" s="20" t="str">
        <x:v>U022</x:v>
      </x:c>
      <x:c r="G591" s="20" t="str">
        <x:v>L022</x:v>
      </x:c>
      <x:c r="H591" s="20" t="str">
        <x:v>1100 Tenant Accounts Receivable</x:v>
      </x:c>
      <x:c r="I591" s="26" t="n">
        <x:v>1900</x:v>
      </x:c>
      <x:c r="J591" s="26" t="n">
        <x:v>0</x:v>
      </x:c>
      <x:c r="K591" s="35" t="str">
        <x:v>April 2027 rent</x:v>
      </x:c>
    </x:row>
    <x:row r="592">
      <x:c r="A592" s="20" t="str">
        <x:v>FIN-00292</x:v>
      </x:c>
      <x:c r="B592" s="32" t="n">
        <x:v>2</x:v>
      </x:c>
      <x:c r="C592" s="23" t="n">
        <x:v>46478</x:v>
      </x:c>
      <x:c r="D592" s="23" t="n">
        <x:v>46478</x:v>
      </x:c>
      <x:c r="E592" s="20" t="str">
        <x:v>P021</x:v>
      </x:c>
      <x:c r="F592" s="20" t="str">
        <x:v>U022</x:v>
      </x:c>
      <x:c r="G592" s="20" t="str">
        <x:v>L022</x:v>
      </x:c>
      <x:c r="H592" s="20" t="str">
        <x:v>4000 Rental Income</x:v>
      </x:c>
      <x:c r="I592" s="26" t="n">
        <x:v>0</x:v>
      </x:c>
      <x:c r="J592" s="26" t="n">
        <x:v>1900</x:v>
      </x:c>
      <x:c r="K592" s="35" t="str">
        <x:v>April 2027 rent</x:v>
      </x:c>
    </x:row>
    <x:row r="593">
      <x:c r="A593" s="20" t="str">
        <x:v>FIN-00293</x:v>
      </x:c>
      <x:c r="B593" s="32" t="n">
        <x:v>1</x:v>
      </x:c>
      <x:c r="C593" s="23" t="n">
        <x:v>46480</x:v>
      </x:c>
      <x:c r="D593" s="23" t="n">
        <x:v>46480</x:v>
      </x:c>
      <x:c r="E593" s="20" t="str">
        <x:v>P021</x:v>
      </x:c>
      <x:c r="F593" s="20" t="str">
        <x:v>U022</x:v>
      </x:c>
      <x:c r="G593" s="20" t="str">
        <x:v>L022</x:v>
      </x:c>
      <x:c r="H593" s="20" t="str">
        <x:v>1000 Operating Cash</x:v>
      </x:c>
      <x:c r="I593" s="26" t="n">
        <x:v>1140</x:v>
      </x:c>
      <x:c r="J593" s="26" t="n">
        <x:v>0</x:v>
      </x:c>
      <x:c r="K593" s="35" t="str">
        <x:v>Receipt allocated to FIN-00292</x:v>
      </x:c>
    </x:row>
    <x:row r="594">
      <x:c r="A594" s="20" t="str">
        <x:v>FIN-00293</x:v>
      </x:c>
      <x:c r="B594" s="32" t="n">
        <x:v>2</x:v>
      </x:c>
      <x:c r="C594" s="23" t="n">
        <x:v>46480</x:v>
      </x:c>
      <x:c r="D594" s="23" t="n">
        <x:v>46480</x:v>
      </x:c>
      <x:c r="E594" s="20" t="str">
        <x:v>P021</x:v>
      </x:c>
      <x:c r="F594" s="20" t="str">
        <x:v>U022</x:v>
      </x:c>
      <x:c r="G594" s="20" t="str">
        <x:v>L022</x:v>
      </x:c>
      <x:c r="H594" s="20" t="str">
        <x:v>1100 Tenant Accounts Receivable</x:v>
      </x:c>
      <x:c r="I594" s="26" t="n">
        <x:v>0</x:v>
      </x:c>
      <x:c r="J594" s="26" t="n">
        <x:v>1140</x:v>
      </x:c>
      <x:c r="K594" s="35" t="str">
        <x:v>Receipt allocated to FIN-00292</x:v>
      </x:c>
    </x:row>
    <x:row r="595">
      <x:c r="A595" s="20" t="str">
        <x:v>FIN-00294</x:v>
      </x:c>
      <x:c r="B595" s="32" t="n">
        <x:v>1</x:v>
      </x:c>
      <x:c r="C595" s="23" t="n">
        <x:v>46483</x:v>
      </x:c>
      <x:c r="D595" s="23" t="n">
        <x:v>46483</x:v>
      </x:c>
      <x:c r="E595" s="20" t="str">
        <x:v>P021</x:v>
      </x:c>
      <x:c r="F595" s="20" t="str">
        <x:v>U022</x:v>
      </x:c>
      <x:c r="G595" s="20" t="str">
        <x:v>L022</x:v>
      </x:c>
      <x:c r="H595" s="20" t="str">
        <x:v>1100 Tenant Accounts Receivable</x:v>
      </x:c>
      <x:c r="I595" s="26" t="n">
        <x:v>50</x:v>
      </x:c>
      <x:c r="J595" s="26" t="n">
        <x:v>0</x:v>
      </x:c>
      <x:c r="K595" s="35" t="str">
        <x:v>Synthetic lease-authorized late fee after partial payment</x:v>
      </x:c>
    </x:row>
    <x:row r="596">
      <x:c r="A596" s="20" t="str">
        <x:v>FIN-00294</x:v>
      </x:c>
      <x:c r="B596" s="32" t="n">
        <x:v>2</x:v>
      </x:c>
      <x:c r="C596" s="23" t="n">
        <x:v>46483</x:v>
      </x:c>
      <x:c r="D596" s="23" t="n">
        <x:v>46483</x:v>
      </x:c>
      <x:c r="E596" s="20" t="str">
        <x:v>P021</x:v>
      </x:c>
      <x:c r="F596" s="20" t="str">
        <x:v>U022</x:v>
      </x:c>
      <x:c r="G596" s="20" t="str">
        <x:v>L022</x:v>
      </x:c>
      <x:c r="H596" s="20" t="str">
        <x:v>4010 Late Fee Income</x:v>
      </x:c>
      <x:c r="I596" s="26" t="n">
        <x:v>0</x:v>
      </x:c>
      <x:c r="J596" s="26" t="n">
        <x:v>50</x:v>
      </x:c>
      <x:c r="K596" s="35" t="str">
        <x:v>Synthetic lease-authorized late fee after partial payment</x:v>
      </x:c>
    </x:row>
    <x:row r="597">
      <x:c r="A597" s="20" t="str">
        <x:v>FIN-00295</x:v>
      </x:c>
      <x:c r="B597" s="32" t="n">
        <x:v>1</x:v>
      </x:c>
      <x:c r="C597" s="23" t="n">
        <x:v>46489</x:v>
      </x:c>
      <x:c r="D597" s="23" t="n">
        <x:v>46489</x:v>
      </x:c>
      <x:c r="E597" s="20" t="str">
        <x:v>P021</x:v>
      </x:c>
      <x:c r="F597" s="20" t="str">
        <x:v>U022</x:v>
      </x:c>
      <x:c r="G597" s="20" t="str">
        <x:v>L022</x:v>
      </x:c>
      <x:c r="H597" s="20" t="str">
        <x:v>1000 Operating Cash</x:v>
      </x:c>
      <x:c r="I597" s="26" t="n">
        <x:v>810</x:v>
      </x:c>
      <x:c r="J597" s="26" t="n">
        <x:v>0</x:v>
      </x:c>
      <x:c r="K597" s="35" t="str">
        <x:v>Receipt allocated to FIN-00294</x:v>
      </x:c>
    </x:row>
    <x:row r="598">
      <x:c r="A598" s="20" t="str">
        <x:v>FIN-00295</x:v>
      </x:c>
      <x:c r="B598" s="32" t="n">
        <x:v>2</x:v>
      </x:c>
      <x:c r="C598" s="23" t="n">
        <x:v>46489</x:v>
      </x:c>
      <x:c r="D598" s="23" t="n">
        <x:v>46489</x:v>
      </x:c>
      <x:c r="E598" s="20" t="str">
        <x:v>P021</x:v>
      </x:c>
      <x:c r="F598" s="20" t="str">
        <x:v>U022</x:v>
      </x:c>
      <x:c r="G598" s="20" t="str">
        <x:v>L022</x:v>
      </x:c>
      <x:c r="H598" s="20" t="str">
        <x:v>1100 Tenant Accounts Receivable</x:v>
      </x:c>
      <x:c r="I598" s="26" t="n">
        <x:v>0</x:v>
      </x:c>
      <x:c r="J598" s="26" t="n">
        <x:v>810</x:v>
      </x:c>
      <x:c r="K598" s="35" t="str">
        <x:v>Receipt allocated to FIN-00294</x:v>
      </x:c>
    </x:row>
    <x:row r="599">
      <x:c r="A599" s="20" t="str">
        <x:v>FIN-00296</x:v>
      </x:c>
      <x:c r="B599" s="32" t="n">
        <x:v>1</x:v>
      </x:c>
      <x:c r="C599" s="23" t="n">
        <x:v>46478</x:v>
      </x:c>
      <x:c r="D599" s="23" t="n">
        <x:v>46478</x:v>
      </x:c>
      <x:c r="E599" s="20" t="str">
        <x:v>P022</x:v>
      </x:c>
      <x:c r="F599" s="20" t="str">
        <x:v>U023</x:v>
      </x:c>
      <x:c r="G599" s="20" t="str">
        <x:v>L023</x:v>
      </x:c>
      <x:c r="H599" s="20" t="str">
        <x:v>1100 Tenant Accounts Receivable</x:v>
      </x:c>
      <x:c r="I599" s="26" t="n">
        <x:v>1525</x:v>
      </x:c>
      <x:c r="J599" s="26" t="n">
        <x:v>0</x:v>
      </x:c>
      <x:c r="K599" s="35" t="str">
        <x:v>April 2027 rent</x:v>
      </x:c>
    </x:row>
    <x:row r="600">
      <x:c r="A600" s="20" t="str">
        <x:v>FIN-00296</x:v>
      </x:c>
      <x:c r="B600" s="32" t="n">
        <x:v>2</x:v>
      </x:c>
      <x:c r="C600" s="23" t="n">
        <x:v>46478</x:v>
      </x:c>
      <x:c r="D600" s="23" t="n">
        <x:v>46478</x:v>
      </x:c>
      <x:c r="E600" s="20" t="str">
        <x:v>P022</x:v>
      </x:c>
      <x:c r="F600" s="20" t="str">
        <x:v>U023</x:v>
      </x:c>
      <x:c r="G600" s="20" t="str">
        <x:v>L023</x:v>
      </x:c>
      <x:c r="H600" s="20" t="str">
        <x:v>4000 Rental Income</x:v>
      </x:c>
      <x:c r="I600" s="26" t="n">
        <x:v>0</x:v>
      </x:c>
      <x:c r="J600" s="26" t="n">
        <x:v>1525</x:v>
      </x:c>
      <x:c r="K600" s="35" t="str">
        <x:v>April 2027 rent</x:v>
      </x:c>
    </x:row>
    <x:row r="601">
      <x:c r="A601" s="20" t="str">
        <x:v>FIN-00297</x:v>
      </x:c>
      <x:c r="B601" s="32" t="n">
        <x:v>1</x:v>
      </x:c>
      <x:c r="C601" s="23" t="n">
        <x:v>46482</x:v>
      </x:c>
      <x:c r="D601" s="23" t="n">
        <x:v>46482</x:v>
      </x:c>
      <x:c r="E601" s="20" t="str">
        <x:v>P022</x:v>
      </x:c>
      <x:c r="F601" s="20" t="str">
        <x:v>U023</x:v>
      </x:c>
      <x:c r="G601" s="20" t="str">
        <x:v>L023</x:v>
      </x:c>
      <x:c r="H601" s="20" t="str">
        <x:v>1000 Operating Cash</x:v>
      </x:c>
      <x:c r="I601" s="26" t="n">
        <x:v>1525</x:v>
      </x:c>
      <x:c r="J601" s="26" t="n">
        <x:v>0</x:v>
      </x:c>
      <x:c r="K601" s="35" t="str">
        <x:v>Receipt allocated to FIN-00296</x:v>
      </x:c>
    </x:row>
    <x:row r="602">
      <x:c r="A602" s="20" t="str">
        <x:v>FIN-00297</x:v>
      </x:c>
      <x:c r="B602" s="32" t="n">
        <x:v>2</x:v>
      </x:c>
      <x:c r="C602" s="23" t="n">
        <x:v>46482</x:v>
      </x:c>
      <x:c r="D602" s="23" t="n">
        <x:v>46482</x:v>
      </x:c>
      <x:c r="E602" s="20" t="str">
        <x:v>P022</x:v>
      </x:c>
      <x:c r="F602" s="20" t="str">
        <x:v>U023</x:v>
      </x:c>
      <x:c r="G602" s="20" t="str">
        <x:v>L023</x:v>
      </x:c>
      <x:c r="H602" s="20" t="str">
        <x:v>1100 Tenant Accounts Receivable</x:v>
      </x:c>
      <x:c r="I602" s="26" t="n">
        <x:v>0</x:v>
      </x:c>
      <x:c r="J602" s="26" t="n">
        <x:v>1525</x:v>
      </x:c>
      <x:c r="K602" s="35" t="str">
        <x:v>Receipt allocated to FIN-00296</x:v>
      </x:c>
    </x:row>
    <x:row r="603">
      <x:c r="A603" s="20" t="str">
        <x:v>FIN-00298</x:v>
      </x:c>
      <x:c r="B603" s="32" t="n">
        <x:v>1</x:v>
      </x:c>
      <x:c r="C603" s="23" t="n">
        <x:v>46478</x:v>
      </x:c>
      <x:c r="D603" s="23" t="n">
        <x:v>46478</x:v>
      </x:c>
      <x:c r="E603" s="20" t="str">
        <x:v>P022</x:v>
      </x:c>
      <x:c r="F603" s="20" t="str">
        <x:v>U024</x:v>
      </x:c>
      <x:c r="G603" s="20" t="str">
        <x:v>L024</x:v>
      </x:c>
      <x:c r="H603" s="20" t="str">
        <x:v>1100 Tenant Accounts Receivable</x:v>
      </x:c>
      <x:c r="I603" s="26" t="n">
        <x:v>1150</x:v>
      </x:c>
      <x:c r="J603" s="26" t="n">
        <x:v>0</x:v>
      </x:c>
      <x:c r="K603" s="35" t="str">
        <x:v>April 2027 rent</x:v>
      </x:c>
    </x:row>
    <x:row r="604">
      <x:c r="A604" s="20" t="str">
        <x:v>FIN-00298</x:v>
      </x:c>
      <x:c r="B604" s="32" t="n">
        <x:v>2</x:v>
      </x:c>
      <x:c r="C604" s="23" t="n">
        <x:v>46478</x:v>
      </x:c>
      <x:c r="D604" s="23" t="n">
        <x:v>46478</x:v>
      </x:c>
      <x:c r="E604" s="20" t="str">
        <x:v>P022</x:v>
      </x:c>
      <x:c r="F604" s="20" t="str">
        <x:v>U024</x:v>
      </x:c>
      <x:c r="G604" s="20" t="str">
        <x:v>L024</x:v>
      </x:c>
      <x:c r="H604" s="20" t="str">
        <x:v>4000 Rental Income</x:v>
      </x:c>
      <x:c r="I604" s="26" t="n">
        <x:v>0</x:v>
      </x:c>
      <x:c r="J604" s="26" t="n">
        <x:v>1150</x:v>
      </x:c>
      <x:c r="K604" s="35" t="str">
        <x:v>April 2027 rent</x:v>
      </x:c>
    </x:row>
    <x:row r="605">
      <x:c r="A605" s="20" t="str">
        <x:v>FIN-00299</x:v>
      </x:c>
      <x:c r="B605" s="32" t="n">
        <x:v>1</x:v>
      </x:c>
      <x:c r="C605" s="23" t="n">
        <x:v>46480</x:v>
      </x:c>
      <x:c r="D605" s="23" t="n">
        <x:v>46480</x:v>
      </x:c>
      <x:c r="E605" s="20" t="str">
        <x:v>P022</x:v>
      </x:c>
      <x:c r="F605" s="20" t="str">
        <x:v>U024</x:v>
      </x:c>
      <x:c r="G605" s="20" t="str">
        <x:v>L024</x:v>
      </x:c>
      <x:c r="H605" s="20" t="str">
        <x:v>1000 Operating Cash</x:v>
      </x:c>
      <x:c r="I605" s="26" t="n">
        <x:v>1150</x:v>
      </x:c>
      <x:c r="J605" s="26" t="n">
        <x:v>0</x:v>
      </x:c>
      <x:c r="K605" s="35" t="str">
        <x:v>Receipt allocated to FIN-00298</x:v>
      </x:c>
    </x:row>
    <x:row r="606">
      <x:c r="A606" s="20" t="str">
        <x:v>FIN-00299</x:v>
      </x:c>
      <x:c r="B606" s="32" t="n">
        <x:v>2</x:v>
      </x:c>
      <x:c r="C606" s="23" t="n">
        <x:v>46480</x:v>
      </x:c>
      <x:c r="D606" s="23" t="n">
        <x:v>46480</x:v>
      </x:c>
      <x:c r="E606" s="20" t="str">
        <x:v>P022</x:v>
      </x:c>
      <x:c r="F606" s="20" t="str">
        <x:v>U024</x:v>
      </x:c>
      <x:c r="G606" s="20" t="str">
        <x:v>L024</x:v>
      </x:c>
      <x:c r="H606" s="20" t="str">
        <x:v>1100 Tenant Accounts Receivable</x:v>
      </x:c>
      <x:c r="I606" s="26" t="n">
        <x:v>0</x:v>
      </x:c>
      <x:c r="J606" s="26" t="n">
        <x:v>1150</x:v>
      </x:c>
      <x:c r="K606" s="35" t="str">
        <x:v>Receipt allocated to FIN-00298</x:v>
      </x:c>
    </x:row>
    <x:row r="607">
      <x:c r="A607" s="20" t="str">
        <x:v>FIN-00300</x:v>
      </x:c>
      <x:c r="B607" s="32" t="n">
        <x:v>1</x:v>
      </x:c>
      <x:c r="C607" s="23" t="n">
        <x:v>46478</x:v>
      </x:c>
      <x:c r="D607" s="23" t="n">
        <x:v>46478</x:v>
      </x:c>
      <x:c r="E607" s="20" t="str">
        <x:v>P023</x:v>
      </x:c>
      <x:c r="F607" s="20" t="str">
        <x:v>U025</x:v>
      </x:c>
      <x:c r="G607" s="20" t="str">
        <x:v>L025</x:v>
      </x:c>
      <x:c r="H607" s="20" t="str">
        <x:v>1100 Tenant Accounts Receivable</x:v>
      </x:c>
      <x:c r="I607" s="26" t="n">
        <x:v>1675</x:v>
      </x:c>
      <x:c r="J607" s="26" t="n">
        <x:v>0</x:v>
      </x:c>
      <x:c r="K607" s="35" t="str">
        <x:v>April 2027 rent</x:v>
      </x:c>
    </x:row>
    <x:row r="608">
      <x:c r="A608" s="20" t="str">
        <x:v>FIN-00300</x:v>
      </x:c>
      <x:c r="B608" s="32" t="n">
        <x:v>2</x:v>
      </x:c>
      <x:c r="C608" s="23" t="n">
        <x:v>46478</x:v>
      </x:c>
      <x:c r="D608" s="23" t="n">
        <x:v>46478</x:v>
      </x:c>
      <x:c r="E608" s="20" t="str">
        <x:v>P023</x:v>
      </x:c>
      <x:c r="F608" s="20" t="str">
        <x:v>U025</x:v>
      </x:c>
      <x:c r="G608" s="20" t="str">
        <x:v>L025</x:v>
      </x:c>
      <x:c r="H608" s="20" t="str">
        <x:v>4000 Rental Income</x:v>
      </x:c>
      <x:c r="I608" s="26" t="n">
        <x:v>0</x:v>
      </x:c>
      <x:c r="J608" s="26" t="n">
        <x:v>1675</x:v>
      </x:c>
      <x:c r="K608" s="35" t="str">
        <x:v>April 2027 rent</x:v>
      </x:c>
    </x:row>
    <x:row r="609">
      <x:c r="A609" s="20" t="str">
        <x:v>FIN-00301</x:v>
      </x:c>
      <x:c r="B609" s="32" t="n">
        <x:v>1</x:v>
      </x:c>
      <x:c r="C609" s="23" t="n">
        <x:v>46481</x:v>
      </x:c>
      <x:c r="D609" s="23" t="n">
        <x:v>46481</x:v>
      </x:c>
      <x:c r="E609" s="20" t="str">
        <x:v>P023</x:v>
      </x:c>
      <x:c r="F609" s="20" t="str">
        <x:v>U025</x:v>
      </x:c>
      <x:c r="G609" s="20" t="str">
        <x:v>L025</x:v>
      </x:c>
      <x:c r="H609" s="20" t="str">
        <x:v>1000 Operating Cash</x:v>
      </x:c>
      <x:c r="I609" s="26" t="n">
        <x:v>1675</x:v>
      </x:c>
      <x:c r="J609" s="26" t="n">
        <x:v>0</x:v>
      </x:c>
      <x:c r="K609" s="35" t="str">
        <x:v>Receipt allocated to FIN-00300</x:v>
      </x:c>
    </x:row>
    <x:row r="610">
      <x:c r="A610" s="20" t="str">
        <x:v>FIN-00301</x:v>
      </x:c>
      <x:c r="B610" s="32" t="n">
        <x:v>2</x:v>
      </x:c>
      <x:c r="C610" s="23" t="n">
        <x:v>46481</x:v>
      </x:c>
      <x:c r="D610" s="23" t="n">
        <x:v>46481</x:v>
      </x:c>
      <x:c r="E610" s="20" t="str">
        <x:v>P023</x:v>
      </x:c>
      <x:c r="F610" s="20" t="str">
        <x:v>U025</x:v>
      </x:c>
      <x:c r="G610" s="20" t="str">
        <x:v>L025</x:v>
      </x:c>
      <x:c r="H610" s="20" t="str">
        <x:v>1100 Tenant Accounts Receivable</x:v>
      </x:c>
      <x:c r="I610" s="26" t="n">
        <x:v>0</x:v>
      </x:c>
      <x:c r="J610" s="26" t="n">
        <x:v>1675</x:v>
      </x:c>
      <x:c r="K610" s="35" t="str">
        <x:v>Receipt allocated to FIN-00300</x:v>
      </x:c>
    </x:row>
    <x:row r="611">
      <x:c r="A611" s="20" t="str">
        <x:v>FIN-00302</x:v>
      </x:c>
      <x:c r="B611" s="32" t="n">
        <x:v>1</x:v>
      </x:c>
      <x:c r="C611" s="23" t="n">
        <x:v>46478</x:v>
      </x:c>
      <x:c r="D611" s="23" t="n">
        <x:v>46478</x:v>
      </x:c>
      <x:c r="E611" s="20" t="str">
        <x:v>P023</x:v>
      </x:c>
      <x:c r="F611" s="20" t="str">
        <x:v>U026</x:v>
      </x:c>
      <x:c r="G611" s="20" t="str">
        <x:v>L026</x:v>
      </x:c>
      <x:c r="H611" s="20" t="str">
        <x:v>1100 Tenant Accounts Receivable</x:v>
      </x:c>
      <x:c r="I611" s="26" t="n">
        <x:v>1300</x:v>
      </x:c>
      <x:c r="J611" s="26" t="n">
        <x:v>0</x:v>
      </x:c>
      <x:c r="K611" s="35" t="str">
        <x:v>April 2027 rent</x:v>
      </x:c>
    </x:row>
    <x:row r="612">
      <x:c r="A612" s="20" t="str">
        <x:v>FIN-00302</x:v>
      </x:c>
      <x:c r="B612" s="32" t="n">
        <x:v>2</x:v>
      </x:c>
      <x:c r="C612" s="23" t="n">
        <x:v>46478</x:v>
      </x:c>
      <x:c r="D612" s="23" t="n">
        <x:v>46478</x:v>
      </x:c>
      <x:c r="E612" s="20" t="str">
        <x:v>P023</x:v>
      </x:c>
      <x:c r="F612" s="20" t="str">
        <x:v>U026</x:v>
      </x:c>
      <x:c r="G612" s="20" t="str">
        <x:v>L026</x:v>
      </x:c>
      <x:c r="H612" s="20" t="str">
        <x:v>4000 Rental Income</x:v>
      </x:c>
      <x:c r="I612" s="26" t="n">
        <x:v>0</x:v>
      </x:c>
      <x:c r="J612" s="26" t="n">
        <x:v>1300</x:v>
      </x:c>
      <x:c r="K612" s="35" t="str">
        <x:v>April 2027 rent</x:v>
      </x:c>
    </x:row>
    <x:row r="613">
      <x:c r="A613" s="20" t="str">
        <x:v>FIN-00303</x:v>
      </x:c>
      <x:c r="B613" s="32" t="n">
        <x:v>1</x:v>
      </x:c>
      <x:c r="C613" s="23" t="n">
        <x:v>46483</x:v>
      </x:c>
      <x:c r="D613" s="23" t="n">
        <x:v>46483</x:v>
      </x:c>
      <x:c r="E613" s="20" t="str">
        <x:v>P023</x:v>
      </x:c>
      <x:c r="F613" s="20" t="str">
        <x:v>U026</x:v>
      </x:c>
      <x:c r="G613" s="20" t="str">
        <x:v>L026</x:v>
      </x:c>
      <x:c r="H613" s="20" t="str">
        <x:v>1100 Tenant Accounts Receivable</x:v>
      </x:c>
      <x:c r="I613" s="26" t="n">
        <x:v>50</x:v>
      </x:c>
      <x:c r="J613" s="26" t="n">
        <x:v>0</x:v>
      </x:c>
      <x:c r="K613" s="35" t="str">
        <x:v>Synthetic lease-authorized late fee</x:v>
      </x:c>
    </x:row>
    <x:row r="614">
      <x:c r="A614" s="20" t="str">
        <x:v>FIN-00303</x:v>
      </x:c>
      <x:c r="B614" s="32" t="n">
        <x:v>2</x:v>
      </x:c>
      <x:c r="C614" s="23" t="n">
        <x:v>46483</x:v>
      </x:c>
      <x:c r="D614" s="23" t="n">
        <x:v>46483</x:v>
      </x:c>
      <x:c r="E614" s="20" t="str">
        <x:v>P023</x:v>
      </x:c>
      <x:c r="F614" s="20" t="str">
        <x:v>U026</x:v>
      </x:c>
      <x:c r="G614" s="20" t="str">
        <x:v>L026</x:v>
      </x:c>
      <x:c r="H614" s="20" t="str">
        <x:v>4010 Late Fee Income</x:v>
      </x:c>
      <x:c r="I614" s="26" t="n">
        <x:v>0</x:v>
      </x:c>
      <x:c r="J614" s="26" t="n">
        <x:v>50</x:v>
      </x:c>
      <x:c r="K614" s="35" t="str">
        <x:v>Synthetic lease-authorized late fee</x:v>
      </x:c>
    </x:row>
    <x:row r="615">
      <x:c r="A615" s="20" t="str">
        <x:v>FIN-00304</x:v>
      </x:c>
      <x:c r="B615" s="32" t="n">
        <x:v>1</x:v>
      </x:c>
      <x:c r="C615" s="23" t="n">
        <x:v>46485</x:v>
      </x:c>
      <x:c r="D615" s="23" t="n">
        <x:v>46485</x:v>
      </x:c>
      <x:c r="E615" s="20" t="str">
        <x:v>P023</x:v>
      </x:c>
      <x:c r="F615" s="20" t="str">
        <x:v>U026</x:v>
      </x:c>
      <x:c r="G615" s="20" t="str">
        <x:v>L026</x:v>
      </x:c>
      <x:c r="H615" s="20" t="str">
        <x:v>1000 Operating Cash</x:v>
      </x:c>
      <x:c r="I615" s="26" t="n">
        <x:v>1350</x:v>
      </x:c>
      <x:c r="J615" s="26" t="n">
        <x:v>0</x:v>
      </x:c>
      <x:c r="K615" s="35" t="str">
        <x:v>Receipt allocated to FIN-00303</x:v>
      </x:c>
    </x:row>
    <x:row r="616">
      <x:c r="A616" s="20" t="str">
        <x:v>FIN-00304</x:v>
      </x:c>
      <x:c r="B616" s="32" t="n">
        <x:v>2</x:v>
      </x:c>
      <x:c r="C616" s="23" t="n">
        <x:v>46485</x:v>
      </x:c>
      <x:c r="D616" s="23" t="n">
        <x:v>46485</x:v>
      </x:c>
      <x:c r="E616" s="20" t="str">
        <x:v>P023</x:v>
      </x:c>
      <x:c r="F616" s="20" t="str">
        <x:v>U026</x:v>
      </x:c>
      <x:c r="G616" s="20" t="str">
        <x:v>L026</x:v>
      </x:c>
      <x:c r="H616" s="20" t="str">
        <x:v>1100 Tenant Accounts Receivable</x:v>
      </x:c>
      <x:c r="I616" s="26" t="n">
        <x:v>0</x:v>
      </x:c>
      <x:c r="J616" s="26" t="n">
        <x:v>1350</x:v>
      </x:c>
      <x:c r="K616" s="35" t="str">
        <x:v>Receipt allocated to FIN-00303</x:v>
      </x:c>
    </x:row>
    <x:row r="617">
      <x:c r="A617" s="20" t="str">
        <x:v>FIN-00305</x:v>
      </x:c>
      <x:c r="B617" s="32" t="n">
        <x:v>1</x:v>
      </x:c>
      <x:c r="C617" s="23" t="n">
        <x:v>46478</x:v>
      </x:c>
      <x:c r="D617" s="23" t="n">
        <x:v>46478</x:v>
      </x:c>
      <x:c r="E617" s="20" t="str">
        <x:v>P024</x:v>
      </x:c>
      <x:c r="F617" s="20" t="str">
        <x:v>U027</x:v>
      </x:c>
      <x:c r="G617" s="20" t="str">
        <x:v>L027</x:v>
      </x:c>
      <x:c r="H617" s="20" t="str">
        <x:v>1100 Tenant Accounts Receivable</x:v>
      </x:c>
      <x:c r="I617" s="26" t="n">
        <x:v>1825</x:v>
      </x:c>
      <x:c r="J617" s="26" t="n">
        <x:v>0</x:v>
      </x:c>
      <x:c r="K617" s="35" t="str">
        <x:v>April 2027 rent</x:v>
      </x:c>
    </x:row>
    <x:row r="618">
      <x:c r="A618" s="20" t="str">
        <x:v>FIN-00305</x:v>
      </x:c>
      <x:c r="B618" s="32" t="n">
        <x:v>2</x:v>
      </x:c>
      <x:c r="C618" s="23" t="n">
        <x:v>46478</x:v>
      </x:c>
      <x:c r="D618" s="23" t="n">
        <x:v>46478</x:v>
      </x:c>
      <x:c r="E618" s="20" t="str">
        <x:v>P024</x:v>
      </x:c>
      <x:c r="F618" s="20" t="str">
        <x:v>U027</x:v>
      </x:c>
      <x:c r="G618" s="20" t="str">
        <x:v>L027</x:v>
      </x:c>
      <x:c r="H618" s="20" t="str">
        <x:v>4000 Rental Income</x:v>
      </x:c>
      <x:c r="I618" s="26" t="n">
        <x:v>0</x:v>
      </x:c>
      <x:c r="J618" s="26" t="n">
        <x:v>1825</x:v>
      </x:c>
      <x:c r="K618" s="35" t="str">
        <x:v>April 2027 rent</x:v>
      </x:c>
    </x:row>
    <x:row r="619">
      <x:c r="A619" s="20" t="str">
        <x:v>FIN-00306</x:v>
      </x:c>
      <x:c r="B619" s="32" t="n">
        <x:v>1</x:v>
      </x:c>
      <x:c r="C619" s="23" t="n">
        <x:v>46480</x:v>
      </x:c>
      <x:c r="D619" s="23" t="n">
        <x:v>46480</x:v>
      </x:c>
      <x:c r="E619" s="20" t="str">
        <x:v>P024</x:v>
      </x:c>
      <x:c r="F619" s="20" t="str">
        <x:v>U027</x:v>
      </x:c>
      <x:c r="G619" s="20" t="str">
        <x:v>L027</x:v>
      </x:c>
      <x:c r="H619" s="20" t="str">
        <x:v>1000 Operating Cash</x:v>
      </x:c>
      <x:c r="I619" s="26" t="n">
        <x:v>1825</x:v>
      </x:c>
      <x:c r="J619" s="26" t="n">
        <x:v>0</x:v>
      </x:c>
      <x:c r="K619" s="35" t="str">
        <x:v>Receipt allocated to FIN-00305</x:v>
      </x:c>
    </x:row>
    <x:row r="620">
      <x:c r="A620" s="20" t="str">
        <x:v>FIN-00306</x:v>
      </x:c>
      <x:c r="B620" s="32" t="n">
        <x:v>2</x:v>
      </x:c>
      <x:c r="C620" s="23" t="n">
        <x:v>46480</x:v>
      </x:c>
      <x:c r="D620" s="23" t="n">
        <x:v>46480</x:v>
      </x:c>
      <x:c r="E620" s="20" t="str">
        <x:v>P024</x:v>
      </x:c>
      <x:c r="F620" s="20" t="str">
        <x:v>U027</x:v>
      </x:c>
      <x:c r="G620" s="20" t="str">
        <x:v>L027</x:v>
      </x:c>
      <x:c r="H620" s="20" t="str">
        <x:v>1100 Tenant Accounts Receivable</x:v>
      </x:c>
      <x:c r="I620" s="26" t="n">
        <x:v>0</x:v>
      </x:c>
      <x:c r="J620" s="26" t="n">
        <x:v>1825</x:v>
      </x:c>
      <x:c r="K620" s="35" t="str">
        <x:v>Receipt allocated to FIN-00305</x:v>
      </x:c>
    </x:row>
    <x:row r="621">
      <x:c r="A621" s="20" t="str">
        <x:v>FIN-00307</x:v>
      </x:c>
      <x:c r="B621" s="32" t="n">
        <x:v>1</x:v>
      </x:c>
      <x:c r="C621" s="23" t="n">
        <x:v>46478</x:v>
      </x:c>
      <x:c r="D621" s="23" t="n">
        <x:v>46478</x:v>
      </x:c>
      <x:c r="E621" s="20" t="str">
        <x:v>P024</x:v>
      </x:c>
      <x:c r="F621" s="20" t="str">
        <x:v>U028</x:v>
      </x:c>
      <x:c r="G621" s="20" t="str">
        <x:v>L028</x:v>
      </x:c>
      <x:c r="H621" s="20" t="str">
        <x:v>1100 Tenant Accounts Receivable</x:v>
      </x:c>
      <x:c r="I621" s="26" t="n">
        <x:v>1450</x:v>
      </x:c>
      <x:c r="J621" s="26" t="n">
        <x:v>0</x:v>
      </x:c>
      <x:c r="K621" s="35" t="str">
        <x:v>April 2027 rent</x:v>
      </x:c>
    </x:row>
    <x:row r="622">
      <x:c r="A622" s="20" t="str">
        <x:v>FIN-00307</x:v>
      </x:c>
      <x:c r="B622" s="32" t="n">
        <x:v>2</x:v>
      </x:c>
      <x:c r="C622" s="23" t="n">
        <x:v>46478</x:v>
      </x:c>
      <x:c r="D622" s="23" t="n">
        <x:v>46478</x:v>
      </x:c>
      <x:c r="E622" s="20" t="str">
        <x:v>P024</x:v>
      </x:c>
      <x:c r="F622" s="20" t="str">
        <x:v>U028</x:v>
      </x:c>
      <x:c r="G622" s="20" t="str">
        <x:v>L028</x:v>
      </x:c>
      <x:c r="H622" s="20" t="str">
        <x:v>4000 Rental Income</x:v>
      </x:c>
      <x:c r="I622" s="26" t="n">
        <x:v>0</x:v>
      </x:c>
      <x:c r="J622" s="26" t="n">
        <x:v>1450</x:v>
      </x:c>
      <x:c r="K622" s="35" t="str">
        <x:v>April 2027 rent</x:v>
      </x:c>
    </x:row>
    <x:row r="623">
      <x:c r="A623" s="20" t="str">
        <x:v>FIN-00308</x:v>
      </x:c>
      <x:c r="B623" s="32" t="n">
        <x:v>1</x:v>
      </x:c>
      <x:c r="C623" s="23" t="n">
        <x:v>46481</x:v>
      </x:c>
      <x:c r="D623" s="23" t="n">
        <x:v>46481</x:v>
      </x:c>
      <x:c r="E623" s="20" t="str">
        <x:v>P024</x:v>
      </x:c>
      <x:c r="F623" s="20" t="str">
        <x:v>U028</x:v>
      </x:c>
      <x:c r="G623" s="20" t="str">
        <x:v>L028</x:v>
      </x:c>
      <x:c r="H623" s="20" t="str">
        <x:v>1000 Operating Cash</x:v>
      </x:c>
      <x:c r="I623" s="26" t="n">
        <x:v>1450</x:v>
      </x:c>
      <x:c r="J623" s="26" t="n">
        <x:v>0</x:v>
      </x:c>
      <x:c r="K623" s="35" t="str">
        <x:v>Receipt allocated to FIN-00307</x:v>
      </x:c>
    </x:row>
    <x:row r="624">
      <x:c r="A624" s="20" t="str">
        <x:v>FIN-00308</x:v>
      </x:c>
      <x:c r="B624" s="32" t="n">
        <x:v>2</x:v>
      </x:c>
      <x:c r="C624" s="23" t="n">
        <x:v>46481</x:v>
      </x:c>
      <x:c r="D624" s="23" t="n">
        <x:v>46481</x:v>
      </x:c>
      <x:c r="E624" s="20" t="str">
        <x:v>P024</x:v>
      </x:c>
      <x:c r="F624" s="20" t="str">
        <x:v>U028</x:v>
      </x:c>
      <x:c r="G624" s="20" t="str">
        <x:v>L028</x:v>
      </x:c>
      <x:c r="H624" s="20" t="str">
        <x:v>1100 Tenant Accounts Receivable</x:v>
      </x:c>
      <x:c r="I624" s="26" t="n">
        <x:v>0</x:v>
      </x:c>
      <x:c r="J624" s="26" t="n">
        <x:v>1450</x:v>
      </x:c>
      <x:c r="K624" s="35" t="str">
        <x:v>Receipt allocated to FIN-00307</x:v>
      </x:c>
    </x:row>
    <x:row r="625">
      <x:c r="A625" s="20" t="str">
        <x:v>FIN-00309</x:v>
      </x:c>
      <x:c r="B625" s="32" t="n">
        <x:v>1</x:v>
      </x:c>
      <x:c r="C625" s="23" t="n">
        <x:v>46478</x:v>
      </x:c>
      <x:c r="D625" s="23" t="n">
        <x:v>46478</x:v>
      </x:c>
      <x:c r="E625" s="20" t="str">
        <x:v>P025</x:v>
      </x:c>
      <x:c r="F625" s="20" t="str">
        <x:v>U029</x:v>
      </x:c>
      <x:c r="G625" s="20" t="str">
        <x:v>L029</x:v>
      </x:c>
      <x:c r="H625" s="20" t="str">
        <x:v>1100 Tenant Accounts Receivable</x:v>
      </x:c>
      <x:c r="I625" s="26" t="n">
        <x:v>1975</x:v>
      </x:c>
      <x:c r="J625" s="26" t="n">
        <x:v>0</x:v>
      </x:c>
      <x:c r="K625" s="35" t="str">
        <x:v>April 2027 rent</x:v>
      </x:c>
    </x:row>
    <x:row r="626">
      <x:c r="A626" s="20" t="str">
        <x:v>FIN-00309</x:v>
      </x:c>
      <x:c r="B626" s="32" t="n">
        <x:v>2</x:v>
      </x:c>
      <x:c r="C626" s="23" t="n">
        <x:v>46478</x:v>
      </x:c>
      <x:c r="D626" s="23" t="n">
        <x:v>46478</x:v>
      </x:c>
      <x:c r="E626" s="20" t="str">
        <x:v>P025</x:v>
      </x:c>
      <x:c r="F626" s="20" t="str">
        <x:v>U029</x:v>
      </x:c>
      <x:c r="G626" s="20" t="str">
        <x:v>L029</x:v>
      </x:c>
      <x:c r="H626" s="20" t="str">
        <x:v>4000 Rental Income</x:v>
      </x:c>
      <x:c r="I626" s="26" t="n">
        <x:v>0</x:v>
      </x:c>
      <x:c r="J626" s="26" t="n">
        <x:v>1975</x:v>
      </x:c>
      <x:c r="K626" s="35" t="str">
        <x:v>April 2027 rent</x:v>
      </x:c>
    </x:row>
    <x:row r="627">
      <x:c r="A627" s="20" t="str">
        <x:v>FIN-00310</x:v>
      </x:c>
      <x:c r="B627" s="32" t="n">
        <x:v>1</x:v>
      </x:c>
      <x:c r="C627" s="23" t="n">
        <x:v>46482</x:v>
      </x:c>
      <x:c r="D627" s="23" t="n">
        <x:v>46482</x:v>
      </x:c>
      <x:c r="E627" s="20" t="str">
        <x:v>P025</x:v>
      </x:c>
      <x:c r="F627" s="20" t="str">
        <x:v>U029</x:v>
      </x:c>
      <x:c r="G627" s="20" t="str">
        <x:v>L029</x:v>
      </x:c>
      <x:c r="H627" s="20" t="str">
        <x:v>1000 Operating Cash</x:v>
      </x:c>
      <x:c r="I627" s="26" t="n">
        <x:v>1975</x:v>
      </x:c>
      <x:c r="J627" s="26" t="n">
        <x:v>0</x:v>
      </x:c>
      <x:c r="K627" s="35" t="str">
        <x:v>Receipt allocated to FIN-00309</x:v>
      </x:c>
    </x:row>
    <x:row r="628">
      <x:c r="A628" s="20" t="str">
        <x:v>FIN-00310</x:v>
      </x:c>
      <x:c r="B628" s="32" t="n">
        <x:v>2</x:v>
      </x:c>
      <x:c r="C628" s="23" t="n">
        <x:v>46482</x:v>
      </x:c>
      <x:c r="D628" s="23" t="n">
        <x:v>46482</x:v>
      </x:c>
      <x:c r="E628" s="20" t="str">
        <x:v>P025</x:v>
      </x:c>
      <x:c r="F628" s="20" t="str">
        <x:v>U029</x:v>
      </x:c>
      <x:c r="G628" s="20" t="str">
        <x:v>L029</x:v>
      </x:c>
      <x:c r="H628" s="20" t="str">
        <x:v>1100 Tenant Accounts Receivable</x:v>
      </x:c>
      <x:c r="I628" s="26" t="n">
        <x:v>0</x:v>
      </x:c>
      <x:c r="J628" s="26" t="n">
        <x:v>1975</x:v>
      </x:c>
      <x:c r="K628" s="35" t="str">
        <x:v>Receipt allocated to FIN-00309</x:v>
      </x:c>
    </x:row>
    <x:row r="629">
      <x:c r="A629" s="20" t="str">
        <x:v>FIN-00311</x:v>
      </x:c>
      <x:c r="B629" s="32" t="n">
        <x:v>1</x:v>
      </x:c>
      <x:c r="C629" s="23" t="n">
        <x:v>46478</x:v>
      </x:c>
      <x:c r="D629" s="23" t="n">
        <x:v>46478</x:v>
      </x:c>
      <x:c r="E629" s="20" t="str">
        <x:v>P025</x:v>
      </x:c>
      <x:c r="F629" s="20" t="str">
        <x:v>U030</x:v>
      </x:c>
      <x:c r="G629" s="20" t="str">
        <x:v>L030</x:v>
      </x:c>
      <x:c r="H629" s="20" t="str">
        <x:v>1100 Tenant Accounts Receivable</x:v>
      </x:c>
      <x:c r="I629" s="26" t="n">
        <x:v>1600</x:v>
      </x:c>
      <x:c r="J629" s="26" t="n">
        <x:v>0</x:v>
      </x:c>
      <x:c r="K629" s="35" t="str">
        <x:v>April 2027 rent</x:v>
      </x:c>
    </x:row>
    <x:row r="630">
      <x:c r="A630" s="20" t="str">
        <x:v>FIN-00311</x:v>
      </x:c>
      <x:c r="B630" s="32" t="n">
        <x:v>2</x:v>
      </x:c>
      <x:c r="C630" s="23" t="n">
        <x:v>46478</x:v>
      </x:c>
      <x:c r="D630" s="23" t="n">
        <x:v>46478</x:v>
      </x:c>
      <x:c r="E630" s="20" t="str">
        <x:v>P025</x:v>
      </x:c>
      <x:c r="F630" s="20" t="str">
        <x:v>U030</x:v>
      </x:c>
      <x:c r="G630" s="20" t="str">
        <x:v>L030</x:v>
      </x:c>
      <x:c r="H630" s="20" t="str">
        <x:v>4000 Rental Income</x:v>
      </x:c>
      <x:c r="I630" s="26" t="n">
        <x:v>0</x:v>
      </x:c>
      <x:c r="J630" s="26" t="n">
        <x:v>1600</x:v>
      </x:c>
      <x:c r="K630" s="35" t="str">
        <x:v>April 2027 rent</x:v>
      </x:c>
    </x:row>
    <x:row r="631">
      <x:c r="A631" s="20" t="str">
        <x:v>FIN-00312</x:v>
      </x:c>
      <x:c r="B631" s="32" t="n">
        <x:v>1</x:v>
      </x:c>
      <x:c r="C631" s="23" t="n">
        <x:v>46480</x:v>
      </x:c>
      <x:c r="D631" s="23" t="n">
        <x:v>46480</x:v>
      </x:c>
      <x:c r="E631" s="20" t="str">
        <x:v>P025</x:v>
      </x:c>
      <x:c r="F631" s="20" t="str">
        <x:v>U030</x:v>
      </x:c>
      <x:c r="G631" s="20" t="str">
        <x:v>L030</x:v>
      </x:c>
      <x:c r="H631" s="20" t="str">
        <x:v>1000 Operating Cash</x:v>
      </x:c>
      <x:c r="I631" s="26" t="n">
        <x:v>1600</x:v>
      </x:c>
      <x:c r="J631" s="26" t="n">
        <x:v>0</x:v>
      </x:c>
      <x:c r="K631" s="35" t="str">
        <x:v>Receipt allocated to FIN-00311</x:v>
      </x:c>
    </x:row>
    <x:row r="632">
      <x:c r="A632" s="20" t="str">
        <x:v>FIN-00312</x:v>
      </x:c>
      <x:c r="B632" s="32" t="n">
        <x:v>2</x:v>
      </x:c>
      <x:c r="C632" s="23" t="n">
        <x:v>46480</x:v>
      </x:c>
      <x:c r="D632" s="23" t="n">
        <x:v>46480</x:v>
      </x:c>
      <x:c r="E632" s="20" t="str">
        <x:v>P025</x:v>
      </x:c>
      <x:c r="F632" s="20" t="str">
        <x:v>U030</x:v>
      </x:c>
      <x:c r="G632" s="20" t="str">
        <x:v>L030</x:v>
      </x:c>
      <x:c r="H632" s="20" t="str">
        <x:v>1100 Tenant Accounts Receivable</x:v>
      </x:c>
      <x:c r="I632" s="26" t="n">
        <x:v>0</x:v>
      </x:c>
      <x:c r="J632" s="26" t="n">
        <x:v>1600</x:v>
      </x:c>
      <x:c r="K632" s="35" t="str">
        <x:v>Receipt allocated to FIN-00311</x:v>
      </x:c>
    </x:row>
    <x:row r="633">
      <x:c r="A633" s="20" t="str">
        <x:v>FIN-00313</x:v>
      </x:c>
      <x:c r="B633" s="32" t="n">
        <x:v>1</x:v>
      </x:c>
      <x:c r="C633" s="23" t="n">
        <x:v>46478</x:v>
      </x:c>
      <x:c r="D633" s="23" t="n">
        <x:v>46478</x:v>
      </x:c>
      <x:c r="E633" s="20" t="str">
        <x:v>P026</x:v>
      </x:c>
      <x:c r="F633" s="20" t="str">
        <x:v>U031</x:v>
      </x:c>
      <x:c r="G633" s="20" t="str">
        <x:v>L031</x:v>
      </x:c>
      <x:c r="H633" s="20" t="str">
        <x:v>1100 Tenant Accounts Receivable</x:v>
      </x:c>
      <x:c r="I633" s="26" t="n">
        <x:v>1225</x:v>
      </x:c>
      <x:c r="J633" s="26" t="n">
        <x:v>0</x:v>
      </x:c>
      <x:c r="K633" s="35" t="str">
        <x:v>April 2027 rent</x:v>
      </x:c>
    </x:row>
    <x:row r="634">
      <x:c r="A634" s="20" t="str">
        <x:v>FIN-00313</x:v>
      </x:c>
      <x:c r="B634" s="32" t="n">
        <x:v>2</x:v>
      </x:c>
      <x:c r="C634" s="23" t="n">
        <x:v>46478</x:v>
      </x:c>
      <x:c r="D634" s="23" t="n">
        <x:v>46478</x:v>
      </x:c>
      <x:c r="E634" s="20" t="str">
        <x:v>P026</x:v>
      </x:c>
      <x:c r="F634" s="20" t="str">
        <x:v>U031</x:v>
      </x:c>
      <x:c r="G634" s="20" t="str">
        <x:v>L031</x:v>
      </x:c>
      <x:c r="H634" s="20" t="str">
        <x:v>4000 Rental Income</x:v>
      </x:c>
      <x:c r="I634" s="26" t="n">
        <x:v>0</x:v>
      </x:c>
      <x:c r="J634" s="26" t="n">
        <x:v>1225</x:v>
      </x:c>
      <x:c r="K634" s="35" t="str">
        <x:v>April 2027 rent</x:v>
      </x:c>
    </x:row>
    <x:row r="635">
      <x:c r="A635" s="20" t="str">
        <x:v>FIN-00314</x:v>
      </x:c>
      <x:c r="B635" s="32" t="n">
        <x:v>1</x:v>
      </x:c>
      <x:c r="C635" s="23" t="n">
        <x:v>46481</x:v>
      </x:c>
      <x:c r="D635" s="23" t="n">
        <x:v>46481</x:v>
      </x:c>
      <x:c r="E635" s="20" t="str">
        <x:v>P026</x:v>
      </x:c>
      <x:c r="F635" s="20" t="str">
        <x:v>U031</x:v>
      </x:c>
      <x:c r="G635" s="20" t="str">
        <x:v>L031</x:v>
      </x:c>
      <x:c r="H635" s="20" t="str">
        <x:v>1000 Operating Cash</x:v>
      </x:c>
      <x:c r="I635" s="26" t="n">
        <x:v>1225</x:v>
      </x:c>
      <x:c r="J635" s="26" t="n">
        <x:v>0</x:v>
      </x:c>
      <x:c r="K635" s="35" t="str">
        <x:v>Receipt allocated to FIN-00313</x:v>
      </x:c>
    </x:row>
    <x:row r="636">
      <x:c r="A636" s="20" t="str">
        <x:v>FIN-00314</x:v>
      </x:c>
      <x:c r="B636" s="32" t="n">
        <x:v>2</x:v>
      </x:c>
      <x:c r="C636" s="23" t="n">
        <x:v>46481</x:v>
      </x:c>
      <x:c r="D636" s="23" t="n">
        <x:v>46481</x:v>
      </x:c>
      <x:c r="E636" s="20" t="str">
        <x:v>P026</x:v>
      </x:c>
      <x:c r="F636" s="20" t="str">
        <x:v>U031</x:v>
      </x:c>
      <x:c r="G636" s="20" t="str">
        <x:v>L031</x:v>
      </x:c>
      <x:c r="H636" s="20" t="str">
        <x:v>1100 Tenant Accounts Receivable</x:v>
      </x:c>
      <x:c r="I636" s="26" t="n">
        <x:v>0</x:v>
      </x:c>
      <x:c r="J636" s="26" t="n">
        <x:v>1225</x:v>
      </x:c>
      <x:c r="K636" s="35" t="str">
        <x:v>Receipt allocated to FIN-00313</x:v>
      </x:c>
    </x:row>
    <x:row r="637">
      <x:c r="A637" s="20" t="str">
        <x:v>FIN-00315</x:v>
      </x:c>
      <x:c r="B637" s="32" t="n">
        <x:v>1</x:v>
      </x:c>
      <x:c r="C637" s="23" t="n">
        <x:v>46478</x:v>
      </x:c>
      <x:c r="D637" s="23" t="n">
        <x:v>46478</x:v>
      </x:c>
      <x:c r="E637" s="20" t="str">
        <x:v>P026</x:v>
      </x:c>
      <x:c r="F637" s="20" t="str">
        <x:v>U032</x:v>
      </x:c>
      <x:c r="G637" s="20" t="str">
        <x:v>L032</x:v>
      </x:c>
      <x:c r="H637" s="20" t="str">
        <x:v>1100 Tenant Accounts Receivable</x:v>
      </x:c>
      <x:c r="I637" s="26" t="n">
        <x:v>1750</x:v>
      </x:c>
      <x:c r="J637" s="26" t="n">
        <x:v>0</x:v>
      </x:c>
      <x:c r="K637" s="35" t="str">
        <x:v>April 2027 rent</x:v>
      </x:c>
    </x:row>
    <x:row r="638">
      <x:c r="A638" s="20" t="str">
        <x:v>FIN-00315</x:v>
      </x:c>
      <x:c r="B638" s="32" t="n">
        <x:v>2</x:v>
      </x:c>
      <x:c r="C638" s="23" t="n">
        <x:v>46478</x:v>
      </x:c>
      <x:c r="D638" s="23" t="n">
        <x:v>46478</x:v>
      </x:c>
      <x:c r="E638" s="20" t="str">
        <x:v>P026</x:v>
      </x:c>
      <x:c r="F638" s="20" t="str">
        <x:v>U032</x:v>
      </x:c>
      <x:c r="G638" s="20" t="str">
        <x:v>L032</x:v>
      </x:c>
      <x:c r="H638" s="20" t="str">
        <x:v>4000 Rental Income</x:v>
      </x:c>
      <x:c r="I638" s="26" t="n">
        <x:v>0</x:v>
      </x:c>
      <x:c r="J638" s="26" t="n">
        <x:v>1750</x:v>
      </x:c>
      <x:c r="K638" s="35" t="str">
        <x:v>April 2027 rent</x:v>
      </x:c>
    </x:row>
    <x:row r="639">
      <x:c r="A639" s="20" t="str">
        <x:v>FIN-00316</x:v>
      </x:c>
      <x:c r="B639" s="32" t="n">
        <x:v>1</x:v>
      </x:c>
      <x:c r="C639" s="23" t="n">
        <x:v>46482</x:v>
      </x:c>
      <x:c r="D639" s="23" t="n">
        <x:v>46482</x:v>
      </x:c>
      <x:c r="E639" s="20" t="str">
        <x:v>P026</x:v>
      </x:c>
      <x:c r="F639" s="20" t="str">
        <x:v>U032</x:v>
      </x:c>
      <x:c r="G639" s="20" t="str">
        <x:v>L032</x:v>
      </x:c>
      <x:c r="H639" s="20" t="str">
        <x:v>1000 Operating Cash</x:v>
      </x:c>
      <x:c r="I639" s="26" t="n">
        <x:v>1750</x:v>
      </x:c>
      <x:c r="J639" s="26" t="n">
        <x:v>0</x:v>
      </x:c>
      <x:c r="K639" s="35" t="str">
        <x:v>Receipt allocated to FIN-00315</x:v>
      </x:c>
    </x:row>
    <x:row r="640">
      <x:c r="A640" s="20" t="str">
        <x:v>FIN-00316</x:v>
      </x:c>
      <x:c r="B640" s="32" t="n">
        <x:v>2</x:v>
      </x:c>
      <x:c r="C640" s="23" t="n">
        <x:v>46482</x:v>
      </x:c>
      <x:c r="D640" s="23" t="n">
        <x:v>46482</x:v>
      </x:c>
      <x:c r="E640" s="20" t="str">
        <x:v>P026</x:v>
      </x:c>
      <x:c r="F640" s="20" t="str">
        <x:v>U032</x:v>
      </x:c>
      <x:c r="G640" s="20" t="str">
        <x:v>L032</x:v>
      </x:c>
      <x:c r="H640" s="20" t="str">
        <x:v>1100 Tenant Accounts Receivable</x:v>
      </x:c>
      <x:c r="I640" s="26" t="n">
        <x:v>0</x:v>
      </x:c>
      <x:c r="J640" s="26" t="n">
        <x:v>1750</x:v>
      </x:c>
      <x:c r="K640" s="35" t="str">
        <x:v>Receipt allocated to FIN-00315</x:v>
      </x:c>
    </x:row>
    <x:row r="641">
      <x:c r="A641" s="20" t="str">
        <x:v>FIN-00317</x:v>
      </x:c>
      <x:c r="B641" s="32" t="n">
        <x:v>1</x:v>
      </x:c>
      <x:c r="C641" s="23" t="n">
        <x:v>46478</x:v>
      </x:c>
      <x:c r="D641" s="23" t="n">
        <x:v>46478</x:v>
      </x:c>
      <x:c r="E641" s="20" t="str">
        <x:v>P027</x:v>
      </x:c>
      <x:c r="F641" s="20" t="str">
        <x:v>U033</x:v>
      </x:c>
      <x:c r="G641" s="20" t="str">
        <x:v>L033</x:v>
      </x:c>
      <x:c r="H641" s="20" t="str">
        <x:v>1100 Tenant Accounts Receivable</x:v>
      </x:c>
      <x:c r="I641" s="26" t="n">
        <x:v>1375</x:v>
      </x:c>
      <x:c r="J641" s="26" t="n">
        <x:v>0</x:v>
      </x:c>
      <x:c r="K641" s="35" t="str">
        <x:v>April 2027 rent</x:v>
      </x:c>
    </x:row>
    <x:row r="642">
      <x:c r="A642" s="20" t="str">
        <x:v>FIN-00317</x:v>
      </x:c>
      <x:c r="B642" s="32" t="n">
        <x:v>2</x:v>
      </x:c>
      <x:c r="C642" s="23" t="n">
        <x:v>46478</x:v>
      </x:c>
      <x:c r="D642" s="23" t="n">
        <x:v>46478</x:v>
      </x:c>
      <x:c r="E642" s="20" t="str">
        <x:v>P027</x:v>
      </x:c>
      <x:c r="F642" s="20" t="str">
        <x:v>U033</x:v>
      </x:c>
      <x:c r="G642" s="20" t="str">
        <x:v>L033</x:v>
      </x:c>
      <x:c r="H642" s="20" t="str">
        <x:v>4000 Rental Income</x:v>
      </x:c>
      <x:c r="I642" s="26" t="n">
        <x:v>0</x:v>
      </x:c>
      <x:c r="J642" s="26" t="n">
        <x:v>1375</x:v>
      </x:c>
      <x:c r="K642" s="35" t="str">
        <x:v>April 2027 rent</x:v>
      </x:c>
    </x:row>
    <x:row r="643">
      <x:c r="A643" s="20" t="str">
        <x:v>FIN-00318</x:v>
      </x:c>
      <x:c r="B643" s="32" t="n">
        <x:v>1</x:v>
      </x:c>
      <x:c r="C643" s="23" t="n">
        <x:v>46480</x:v>
      </x:c>
      <x:c r="D643" s="23" t="n">
        <x:v>46480</x:v>
      </x:c>
      <x:c r="E643" s="20" t="str">
        <x:v>P027</x:v>
      </x:c>
      <x:c r="F643" s="20" t="str">
        <x:v>U033</x:v>
      </x:c>
      <x:c r="G643" s="20" t="str">
        <x:v>L033</x:v>
      </x:c>
      <x:c r="H643" s="20" t="str">
        <x:v>1000 Operating Cash</x:v>
      </x:c>
      <x:c r="I643" s="26" t="n">
        <x:v>825</x:v>
      </x:c>
      <x:c r="J643" s="26" t="n">
        <x:v>0</x:v>
      </x:c>
      <x:c r="K643" s="35" t="str">
        <x:v>Receipt allocated to FIN-00317</x:v>
      </x:c>
    </x:row>
    <x:row r="644">
      <x:c r="A644" s="20" t="str">
        <x:v>FIN-00318</x:v>
      </x:c>
      <x:c r="B644" s="32" t="n">
        <x:v>2</x:v>
      </x:c>
      <x:c r="C644" s="23" t="n">
        <x:v>46480</x:v>
      </x:c>
      <x:c r="D644" s="23" t="n">
        <x:v>46480</x:v>
      </x:c>
      <x:c r="E644" s="20" t="str">
        <x:v>P027</x:v>
      </x:c>
      <x:c r="F644" s="20" t="str">
        <x:v>U033</x:v>
      </x:c>
      <x:c r="G644" s="20" t="str">
        <x:v>L033</x:v>
      </x:c>
      <x:c r="H644" s="20" t="str">
        <x:v>1100 Tenant Accounts Receivable</x:v>
      </x:c>
      <x:c r="I644" s="26" t="n">
        <x:v>0</x:v>
      </x:c>
      <x:c r="J644" s="26" t="n">
        <x:v>825</x:v>
      </x:c>
      <x:c r="K644" s="35" t="str">
        <x:v>Receipt allocated to FIN-00317</x:v>
      </x:c>
    </x:row>
    <x:row r="645">
      <x:c r="A645" s="20" t="str">
        <x:v>FIN-00319</x:v>
      </x:c>
      <x:c r="B645" s="32" t="n">
        <x:v>1</x:v>
      </x:c>
      <x:c r="C645" s="23" t="n">
        <x:v>46483</x:v>
      </x:c>
      <x:c r="D645" s="23" t="n">
        <x:v>46483</x:v>
      </x:c>
      <x:c r="E645" s="20" t="str">
        <x:v>P027</x:v>
      </x:c>
      <x:c r="F645" s="20" t="str">
        <x:v>U033</x:v>
      </x:c>
      <x:c r="G645" s="20" t="str">
        <x:v>L033</x:v>
      </x:c>
      <x:c r="H645" s="20" t="str">
        <x:v>1100 Tenant Accounts Receivable</x:v>
      </x:c>
      <x:c r="I645" s="26" t="n">
        <x:v>50</x:v>
      </x:c>
      <x:c r="J645" s="26" t="n">
        <x:v>0</x:v>
      </x:c>
      <x:c r="K645" s="35" t="str">
        <x:v>Synthetic lease-authorized late fee after partial payment</x:v>
      </x:c>
    </x:row>
    <x:row r="646">
      <x:c r="A646" s="20" t="str">
        <x:v>FIN-00319</x:v>
      </x:c>
      <x:c r="B646" s="32" t="n">
        <x:v>2</x:v>
      </x:c>
      <x:c r="C646" s="23" t="n">
        <x:v>46483</x:v>
      </x:c>
      <x:c r="D646" s="23" t="n">
        <x:v>46483</x:v>
      </x:c>
      <x:c r="E646" s="20" t="str">
        <x:v>P027</x:v>
      </x:c>
      <x:c r="F646" s="20" t="str">
        <x:v>U033</x:v>
      </x:c>
      <x:c r="G646" s="20" t="str">
        <x:v>L033</x:v>
      </x:c>
      <x:c r="H646" s="20" t="str">
        <x:v>4010 Late Fee Income</x:v>
      </x:c>
      <x:c r="I646" s="26" t="n">
        <x:v>0</x:v>
      </x:c>
      <x:c r="J646" s="26" t="n">
        <x:v>50</x:v>
      </x:c>
      <x:c r="K646" s="35" t="str">
        <x:v>Synthetic lease-authorized late fee after partial payment</x:v>
      </x:c>
    </x:row>
    <x:row r="647">
      <x:c r="A647" s="20" t="str">
        <x:v>FIN-00320</x:v>
      </x:c>
      <x:c r="B647" s="32" t="n">
        <x:v>1</x:v>
      </x:c>
      <x:c r="C647" s="23" t="n">
        <x:v>46489</x:v>
      </x:c>
      <x:c r="D647" s="23" t="n">
        <x:v>46489</x:v>
      </x:c>
      <x:c r="E647" s="20" t="str">
        <x:v>P027</x:v>
      </x:c>
      <x:c r="F647" s="20" t="str">
        <x:v>U033</x:v>
      </x:c>
      <x:c r="G647" s="20" t="str">
        <x:v>L033</x:v>
      </x:c>
      <x:c r="H647" s="20" t="str">
        <x:v>1000 Operating Cash</x:v>
      </x:c>
      <x:c r="I647" s="26" t="n">
        <x:v>600</x:v>
      </x:c>
      <x:c r="J647" s="26" t="n">
        <x:v>0</x:v>
      </x:c>
      <x:c r="K647" s="35" t="str">
        <x:v>Receipt allocated to FIN-00319</x:v>
      </x:c>
    </x:row>
    <x:row r="648">
      <x:c r="A648" s="20" t="str">
        <x:v>FIN-00320</x:v>
      </x:c>
      <x:c r="B648" s="32" t="n">
        <x:v>2</x:v>
      </x:c>
      <x:c r="C648" s="23" t="n">
        <x:v>46489</x:v>
      </x:c>
      <x:c r="D648" s="23" t="n">
        <x:v>46489</x:v>
      </x:c>
      <x:c r="E648" s="20" t="str">
        <x:v>P027</x:v>
      </x:c>
      <x:c r="F648" s="20" t="str">
        <x:v>U033</x:v>
      </x:c>
      <x:c r="G648" s="20" t="str">
        <x:v>L033</x:v>
      </x:c>
      <x:c r="H648" s="20" t="str">
        <x:v>1100 Tenant Accounts Receivable</x:v>
      </x:c>
      <x:c r="I648" s="26" t="n">
        <x:v>0</x:v>
      </x:c>
      <x:c r="J648" s="26" t="n">
        <x:v>600</x:v>
      </x:c>
      <x:c r="K648" s="35" t="str">
        <x:v>Receipt allocated to FIN-00319</x:v>
      </x:c>
    </x:row>
    <x:row r="649">
      <x:c r="A649" s="20" t="str">
        <x:v>FIN-00321</x:v>
      </x:c>
      <x:c r="B649" s="32" t="n">
        <x:v>1</x:v>
      </x:c>
      <x:c r="C649" s="23" t="n">
        <x:v>46478</x:v>
      </x:c>
      <x:c r="D649" s="23" t="n">
        <x:v>46478</x:v>
      </x:c>
      <x:c r="E649" s="20" t="str">
        <x:v>P027</x:v>
      </x:c>
      <x:c r="F649" s="20" t="str">
        <x:v>U034</x:v>
      </x:c>
      <x:c r="G649" s="20" t="str">
        <x:v>L034</x:v>
      </x:c>
      <x:c r="H649" s="20" t="str">
        <x:v>1100 Tenant Accounts Receivable</x:v>
      </x:c>
      <x:c r="I649" s="26" t="n">
        <x:v>1900</x:v>
      </x:c>
      <x:c r="J649" s="26" t="n">
        <x:v>0</x:v>
      </x:c>
      <x:c r="K649" s="35" t="str">
        <x:v>April 2027 rent</x:v>
      </x:c>
    </x:row>
    <x:row r="650">
      <x:c r="A650" s="20" t="str">
        <x:v>FIN-00321</x:v>
      </x:c>
      <x:c r="B650" s="32" t="n">
        <x:v>2</x:v>
      </x:c>
      <x:c r="C650" s="23" t="n">
        <x:v>46478</x:v>
      </x:c>
      <x:c r="D650" s="23" t="n">
        <x:v>46478</x:v>
      </x:c>
      <x:c r="E650" s="20" t="str">
        <x:v>P027</x:v>
      </x:c>
      <x:c r="F650" s="20" t="str">
        <x:v>U034</x:v>
      </x:c>
      <x:c r="G650" s="20" t="str">
        <x:v>L034</x:v>
      </x:c>
      <x:c r="H650" s="20" t="str">
        <x:v>4000 Rental Income</x:v>
      </x:c>
      <x:c r="I650" s="26" t="n">
        <x:v>0</x:v>
      </x:c>
      <x:c r="J650" s="26" t="n">
        <x:v>1900</x:v>
      </x:c>
      <x:c r="K650" s="35" t="str">
        <x:v>April 2027 rent</x:v>
      </x:c>
    </x:row>
    <x:row r="651">
      <x:c r="A651" s="20" t="str">
        <x:v>FIN-00322</x:v>
      </x:c>
      <x:c r="B651" s="32" t="n">
        <x:v>1</x:v>
      </x:c>
      <x:c r="C651" s="23" t="n">
        <x:v>46481</x:v>
      </x:c>
      <x:c r="D651" s="23" t="n">
        <x:v>46481</x:v>
      </x:c>
      <x:c r="E651" s="20" t="str">
        <x:v>P027</x:v>
      </x:c>
      <x:c r="F651" s="20" t="str">
        <x:v>U034</x:v>
      </x:c>
      <x:c r="G651" s="20" t="str">
        <x:v>L034</x:v>
      </x:c>
      <x:c r="H651" s="20" t="str">
        <x:v>1000 Operating Cash</x:v>
      </x:c>
      <x:c r="I651" s="26" t="n">
        <x:v>1900</x:v>
      </x:c>
      <x:c r="J651" s="26" t="n">
        <x:v>0</x:v>
      </x:c>
      <x:c r="K651" s="35" t="str">
        <x:v>Receipt allocated to FIN-00321</x:v>
      </x:c>
    </x:row>
    <x:row r="652">
      <x:c r="A652" s="20" t="str">
        <x:v>FIN-00322</x:v>
      </x:c>
      <x:c r="B652" s="32" t="n">
        <x:v>2</x:v>
      </x:c>
      <x:c r="C652" s="23" t="n">
        <x:v>46481</x:v>
      </x:c>
      <x:c r="D652" s="23" t="n">
        <x:v>46481</x:v>
      </x:c>
      <x:c r="E652" s="20" t="str">
        <x:v>P027</x:v>
      </x:c>
      <x:c r="F652" s="20" t="str">
        <x:v>U034</x:v>
      </x:c>
      <x:c r="G652" s="20" t="str">
        <x:v>L034</x:v>
      </x:c>
      <x:c r="H652" s="20" t="str">
        <x:v>1100 Tenant Accounts Receivable</x:v>
      </x:c>
      <x:c r="I652" s="26" t="n">
        <x:v>0</x:v>
      </x:c>
      <x:c r="J652" s="26" t="n">
        <x:v>1900</x:v>
      </x:c>
      <x:c r="K652" s="35" t="str">
        <x:v>Receipt allocated to FIN-00321</x:v>
      </x:c>
    </x:row>
    <x:row r="653">
      <x:c r="A653" s="20" t="str">
        <x:v>FIN-00323</x:v>
      </x:c>
      <x:c r="B653" s="32" t="n">
        <x:v>1</x:v>
      </x:c>
      <x:c r="C653" s="23" t="n">
        <x:v>46478</x:v>
      </x:c>
      <x:c r="D653" s="23" t="n">
        <x:v>46478</x:v>
      </x:c>
      <x:c r="E653" s="20" t="str">
        <x:v>P028</x:v>
      </x:c>
      <x:c r="F653" s="20" t="str">
        <x:v>U035</x:v>
      </x:c>
      <x:c r="G653" s="20" t="str">
        <x:v>L035</x:v>
      </x:c>
      <x:c r="H653" s="20" t="str">
        <x:v>1100 Tenant Accounts Receivable</x:v>
      </x:c>
      <x:c r="I653" s="26" t="n">
        <x:v>1525</x:v>
      </x:c>
      <x:c r="J653" s="26" t="n">
        <x:v>0</x:v>
      </x:c>
      <x:c r="K653" s="35" t="str">
        <x:v>April 2027 rent</x:v>
      </x:c>
    </x:row>
    <x:row r="654">
      <x:c r="A654" s="20" t="str">
        <x:v>FIN-00323</x:v>
      </x:c>
      <x:c r="B654" s="32" t="n">
        <x:v>2</x:v>
      </x:c>
      <x:c r="C654" s="23" t="n">
        <x:v>46478</x:v>
      </x:c>
      <x:c r="D654" s="23" t="n">
        <x:v>46478</x:v>
      </x:c>
      <x:c r="E654" s="20" t="str">
        <x:v>P028</x:v>
      </x:c>
      <x:c r="F654" s="20" t="str">
        <x:v>U035</x:v>
      </x:c>
      <x:c r="G654" s="20" t="str">
        <x:v>L035</x:v>
      </x:c>
      <x:c r="H654" s="20" t="str">
        <x:v>4000 Rental Income</x:v>
      </x:c>
      <x:c r="I654" s="26" t="n">
        <x:v>0</x:v>
      </x:c>
      <x:c r="J654" s="26" t="n">
        <x:v>1525</x:v>
      </x:c>
      <x:c r="K654" s="35" t="str">
        <x:v>April 2027 rent</x:v>
      </x:c>
    </x:row>
    <x:row r="655">
      <x:c r="A655" s="20" t="str">
        <x:v>FIN-00324</x:v>
      </x:c>
      <x:c r="B655" s="32" t="n">
        <x:v>1</x:v>
      </x:c>
      <x:c r="C655" s="23" t="n">
        <x:v>46482</x:v>
      </x:c>
      <x:c r="D655" s="23" t="n">
        <x:v>46482</x:v>
      </x:c>
      <x:c r="E655" s="20" t="str">
        <x:v>P028</x:v>
      </x:c>
      <x:c r="F655" s="20" t="str">
        <x:v>U035</x:v>
      </x:c>
      <x:c r="G655" s="20" t="str">
        <x:v>L035</x:v>
      </x:c>
      <x:c r="H655" s="20" t="str">
        <x:v>1000 Operating Cash</x:v>
      </x:c>
      <x:c r="I655" s="26" t="n">
        <x:v>1525</x:v>
      </x:c>
      <x:c r="J655" s="26" t="n">
        <x:v>0</x:v>
      </x:c>
      <x:c r="K655" s="35" t="str">
        <x:v>Receipt allocated to FIN-00323</x:v>
      </x:c>
    </x:row>
    <x:row r="656">
      <x:c r="A656" s="20" t="str">
        <x:v>FIN-00324</x:v>
      </x:c>
      <x:c r="B656" s="32" t="n">
        <x:v>2</x:v>
      </x:c>
      <x:c r="C656" s="23" t="n">
        <x:v>46482</x:v>
      </x:c>
      <x:c r="D656" s="23" t="n">
        <x:v>46482</x:v>
      </x:c>
      <x:c r="E656" s="20" t="str">
        <x:v>P028</x:v>
      </x:c>
      <x:c r="F656" s="20" t="str">
        <x:v>U035</x:v>
      </x:c>
      <x:c r="G656" s="20" t="str">
        <x:v>L035</x:v>
      </x:c>
      <x:c r="H656" s="20" t="str">
        <x:v>1100 Tenant Accounts Receivable</x:v>
      </x:c>
      <x:c r="I656" s="26" t="n">
        <x:v>0</x:v>
      </x:c>
      <x:c r="J656" s="26" t="n">
        <x:v>1525</x:v>
      </x:c>
      <x:c r="K656" s="35" t="str">
        <x:v>Receipt allocated to FIN-00323</x:v>
      </x:c>
    </x:row>
    <x:row r="657">
      <x:c r="A657" s="20" t="str">
        <x:v>FIN-00325</x:v>
      </x:c>
      <x:c r="B657" s="32" t="n">
        <x:v>1</x:v>
      </x:c>
      <x:c r="C657" s="23" t="n">
        <x:v>46478</x:v>
      </x:c>
      <x:c r="D657" s="23" t="n">
        <x:v>46478</x:v>
      </x:c>
      <x:c r="E657" s="20" t="str">
        <x:v>P028</x:v>
      </x:c>
      <x:c r="F657" s="20" t="str">
        <x:v>U036</x:v>
      </x:c>
      <x:c r="G657" s="20" t="str">
        <x:v>L036</x:v>
      </x:c>
      <x:c r="H657" s="20" t="str">
        <x:v>1100 Tenant Accounts Receivable</x:v>
      </x:c>
      <x:c r="I657" s="26" t="n">
        <x:v>1150</x:v>
      </x:c>
      <x:c r="J657" s="26" t="n">
        <x:v>0</x:v>
      </x:c>
      <x:c r="K657" s="35" t="str">
        <x:v>April 2027 rent</x:v>
      </x:c>
    </x:row>
    <x:row r="658">
      <x:c r="A658" s="20" t="str">
        <x:v>FIN-00325</x:v>
      </x:c>
      <x:c r="B658" s="32" t="n">
        <x:v>2</x:v>
      </x:c>
      <x:c r="C658" s="23" t="n">
        <x:v>46478</x:v>
      </x:c>
      <x:c r="D658" s="23" t="n">
        <x:v>46478</x:v>
      </x:c>
      <x:c r="E658" s="20" t="str">
        <x:v>P028</x:v>
      </x:c>
      <x:c r="F658" s="20" t="str">
        <x:v>U036</x:v>
      </x:c>
      <x:c r="G658" s="20" t="str">
        <x:v>L036</x:v>
      </x:c>
      <x:c r="H658" s="20" t="str">
        <x:v>4000 Rental Income</x:v>
      </x:c>
      <x:c r="I658" s="26" t="n">
        <x:v>0</x:v>
      </x:c>
      <x:c r="J658" s="26" t="n">
        <x:v>1150</x:v>
      </x:c>
      <x:c r="K658" s="35" t="str">
        <x:v>April 2027 rent</x:v>
      </x:c>
    </x:row>
    <x:row r="659">
      <x:c r="A659" s="20" t="str">
        <x:v>FIN-00326</x:v>
      </x:c>
      <x:c r="B659" s="32" t="n">
        <x:v>1</x:v>
      </x:c>
      <x:c r="C659" s="23" t="n">
        <x:v>46480</x:v>
      </x:c>
      <x:c r="D659" s="23" t="n">
        <x:v>46480</x:v>
      </x:c>
      <x:c r="E659" s="20" t="str">
        <x:v>P028</x:v>
      </x:c>
      <x:c r="F659" s="20" t="str">
        <x:v>U036</x:v>
      </x:c>
      <x:c r="G659" s="20" t="str">
        <x:v>L036</x:v>
      </x:c>
      <x:c r="H659" s="20" t="str">
        <x:v>1000 Operating Cash</x:v>
      </x:c>
      <x:c r="I659" s="26" t="n">
        <x:v>1150</x:v>
      </x:c>
      <x:c r="J659" s="26" t="n">
        <x:v>0</x:v>
      </x:c>
      <x:c r="K659" s="35" t="str">
        <x:v>Receipt allocated to FIN-00325</x:v>
      </x:c>
    </x:row>
    <x:row r="660">
      <x:c r="A660" s="20" t="str">
        <x:v>FIN-00326</x:v>
      </x:c>
      <x:c r="B660" s="32" t="n">
        <x:v>2</x:v>
      </x:c>
      <x:c r="C660" s="23" t="n">
        <x:v>46480</x:v>
      </x:c>
      <x:c r="D660" s="23" t="n">
        <x:v>46480</x:v>
      </x:c>
      <x:c r="E660" s="20" t="str">
        <x:v>P028</x:v>
      </x:c>
      <x:c r="F660" s="20" t="str">
        <x:v>U036</x:v>
      </x:c>
      <x:c r="G660" s="20" t="str">
        <x:v>L036</x:v>
      </x:c>
      <x:c r="H660" s="20" t="str">
        <x:v>1100 Tenant Accounts Receivable</x:v>
      </x:c>
      <x:c r="I660" s="26" t="n">
        <x:v>0</x:v>
      </x:c>
      <x:c r="J660" s="26" t="n">
        <x:v>1150</x:v>
      </x:c>
      <x:c r="K660" s="35" t="str">
        <x:v>Receipt allocated to FIN-00325</x:v>
      </x:c>
    </x:row>
    <x:row r="661">
      <x:c r="A661" s="20" t="str">
        <x:v>FIN-00327</x:v>
      </x:c>
      <x:c r="B661" s="32" t="n">
        <x:v>1</x:v>
      </x:c>
      <x:c r="C661" s="23" t="n">
        <x:v>46478</x:v>
      </x:c>
      <x:c r="D661" s="23" t="n">
        <x:v>46478</x:v>
      </x:c>
      <x:c r="E661" s="20" t="str">
        <x:v>P005</x:v>
      </x:c>
      <x:c r="F661" s="20" t="str">
        <x:v>U005</x:v>
      </x:c>
      <x:c r="G661" s="20" t="str">
        <x:v>L037</x:v>
      </x:c>
      <x:c r="H661" s="20" t="str">
        <x:v>1100 Tenant Accounts Receivable</x:v>
      </x:c>
      <x:c r="I661" s="26" t="n">
        <x:v>1875</x:v>
      </x:c>
      <x:c r="J661" s="26" t="n">
        <x:v>0</x:v>
      </x:c>
      <x:c r="K661" s="35" t="str">
        <x:v>April 2027 rent</x:v>
      </x:c>
    </x:row>
    <x:row r="662">
      <x:c r="A662" s="20" t="str">
        <x:v>FIN-00327</x:v>
      </x:c>
      <x:c r="B662" s="32" t="n">
        <x:v>2</x:v>
      </x:c>
      <x:c r="C662" s="23" t="n">
        <x:v>46478</x:v>
      </x:c>
      <x:c r="D662" s="23" t="n">
        <x:v>46478</x:v>
      </x:c>
      <x:c r="E662" s="20" t="str">
        <x:v>P005</x:v>
      </x:c>
      <x:c r="F662" s="20" t="str">
        <x:v>U005</x:v>
      </x:c>
      <x:c r="G662" s="20" t="str">
        <x:v>L037</x:v>
      </x:c>
      <x:c r="H662" s="20" t="str">
        <x:v>4000 Rental Income</x:v>
      </x:c>
      <x:c r="I662" s="26" t="n">
        <x:v>0</x:v>
      </x:c>
      <x:c r="J662" s="26" t="n">
        <x:v>1875</x:v>
      </x:c>
      <x:c r="K662" s="35" t="str">
        <x:v>April 2027 rent</x:v>
      </x:c>
    </x:row>
    <x:row r="663">
      <x:c r="A663" s="20" t="str">
        <x:v>FIN-00328</x:v>
      </x:c>
      <x:c r="B663" s="32" t="n">
        <x:v>1</x:v>
      </x:c>
      <x:c r="C663" s="23" t="n">
        <x:v>46481</x:v>
      </x:c>
      <x:c r="D663" s="23" t="n">
        <x:v>46481</x:v>
      </x:c>
      <x:c r="E663" s="20" t="str">
        <x:v>P005</x:v>
      </x:c>
      <x:c r="F663" s="20" t="str">
        <x:v>U005</x:v>
      </x:c>
      <x:c r="G663" s="20" t="str">
        <x:v>L037</x:v>
      </x:c>
      <x:c r="H663" s="20" t="str">
        <x:v>1000 Operating Cash</x:v>
      </x:c>
      <x:c r="I663" s="26" t="n">
        <x:v>1875</x:v>
      </x:c>
      <x:c r="J663" s="26" t="n">
        <x:v>0</x:v>
      </x:c>
      <x:c r="K663" s="35" t="str">
        <x:v>Receipt allocated to FIN-00327</x:v>
      </x:c>
    </x:row>
    <x:row r="664">
      <x:c r="A664" s="20" t="str">
        <x:v>FIN-00328</x:v>
      </x:c>
      <x:c r="B664" s="32" t="n">
        <x:v>2</x:v>
      </x:c>
      <x:c r="C664" s="23" t="n">
        <x:v>46481</x:v>
      </x:c>
      <x:c r="D664" s="23" t="n">
        <x:v>46481</x:v>
      </x:c>
      <x:c r="E664" s="20" t="str">
        <x:v>P005</x:v>
      </x:c>
      <x:c r="F664" s="20" t="str">
        <x:v>U005</x:v>
      </x:c>
      <x:c r="G664" s="20" t="str">
        <x:v>L037</x:v>
      </x:c>
      <x:c r="H664" s="20" t="str">
        <x:v>1100 Tenant Accounts Receivable</x:v>
      </x:c>
      <x:c r="I664" s="26" t="n">
        <x:v>0</x:v>
      </x:c>
      <x:c r="J664" s="26" t="n">
        <x:v>1875</x:v>
      </x:c>
      <x:c r="K664" s="35" t="str">
        <x:v>Receipt allocated to FIN-00327</x:v>
      </x:c>
    </x:row>
    <x:row r="665">
      <x:c r="A665" s="20" t="str">
        <x:v>FIN-00329</x:v>
      </x:c>
      <x:c r="B665" s="32" t="n">
        <x:v>1</x:v>
      </x:c>
      <x:c r="C665" s="23" t="n">
        <x:v>46478</x:v>
      </x:c>
      <x:c r="D665" s="23" t="n">
        <x:v>46478</x:v>
      </x:c>
      <x:c r="E665" s="20" t="str">
        <x:v>P029</x:v>
      </x:c>
      <x:c r="F665" s="20" t="str">
        <x:v>U037</x:v>
      </x:c>
      <x:c r="G665" s="20" t="str">
        <x:v>L043</x:v>
      </x:c>
      <x:c r="H665" s="20" t="str">
        <x:v>1100 Tenant Accounts Receivable</x:v>
      </x:c>
      <x:c r="I665" s="26" t="n">
        <x:v>1675</x:v>
      </x:c>
      <x:c r="J665" s="26" t="n">
        <x:v>0</x:v>
      </x:c>
      <x:c r="K665" s="35" t="str">
        <x:v>April 2027 rent</x:v>
      </x:c>
    </x:row>
    <x:row r="666">
      <x:c r="A666" s="20" t="str">
        <x:v>FIN-00329</x:v>
      </x:c>
      <x:c r="B666" s="32" t="n">
        <x:v>2</x:v>
      </x:c>
      <x:c r="C666" s="23" t="n">
        <x:v>46478</x:v>
      </x:c>
      <x:c r="D666" s="23" t="n">
        <x:v>46478</x:v>
      </x:c>
      <x:c r="E666" s="20" t="str">
        <x:v>P029</x:v>
      </x:c>
      <x:c r="F666" s="20" t="str">
        <x:v>U037</x:v>
      </x:c>
      <x:c r="G666" s="20" t="str">
        <x:v>L043</x:v>
      </x:c>
      <x:c r="H666" s="20" t="str">
        <x:v>4000 Rental Income</x:v>
      </x:c>
      <x:c r="I666" s="26" t="n">
        <x:v>0</x:v>
      </x:c>
      <x:c r="J666" s="26" t="n">
        <x:v>1675</x:v>
      </x:c>
      <x:c r="K666" s="35" t="str">
        <x:v>April 2027 rent</x:v>
      </x:c>
    </x:row>
    <x:row r="667">
      <x:c r="A667" s="20" t="str">
        <x:v>FIN-00330</x:v>
      </x:c>
      <x:c r="B667" s="32" t="n">
        <x:v>1</x:v>
      </x:c>
      <x:c r="C667" s="23" t="n">
        <x:v>46481</x:v>
      </x:c>
      <x:c r="D667" s="23" t="n">
        <x:v>46481</x:v>
      </x:c>
      <x:c r="E667" s="20" t="str">
        <x:v>P029</x:v>
      </x:c>
      <x:c r="F667" s="20" t="str">
        <x:v>U037</x:v>
      </x:c>
      <x:c r="G667" s="20" t="str">
        <x:v>L043</x:v>
      </x:c>
      <x:c r="H667" s="20" t="str">
        <x:v>1000 Operating Cash</x:v>
      </x:c>
      <x:c r="I667" s="26" t="n">
        <x:v>1675</x:v>
      </x:c>
      <x:c r="J667" s="26" t="n">
        <x:v>0</x:v>
      </x:c>
      <x:c r="K667" s="35" t="str">
        <x:v>Receipt allocated to FIN-00329</x:v>
      </x:c>
    </x:row>
    <x:row r="668">
      <x:c r="A668" s="20" t="str">
        <x:v>FIN-00330</x:v>
      </x:c>
      <x:c r="B668" s="32" t="n">
        <x:v>2</x:v>
      </x:c>
      <x:c r="C668" s="23" t="n">
        <x:v>46481</x:v>
      </x:c>
      <x:c r="D668" s="23" t="n">
        <x:v>46481</x:v>
      </x:c>
      <x:c r="E668" s="20" t="str">
        <x:v>P029</x:v>
      </x:c>
      <x:c r="F668" s="20" t="str">
        <x:v>U037</x:v>
      </x:c>
      <x:c r="G668" s="20" t="str">
        <x:v>L043</x:v>
      </x:c>
      <x:c r="H668" s="20" t="str">
        <x:v>1100 Tenant Accounts Receivable</x:v>
      </x:c>
      <x:c r="I668" s="26" t="n">
        <x:v>0</x:v>
      </x:c>
      <x:c r="J668" s="26" t="n">
        <x:v>1675</x:v>
      </x:c>
      <x:c r="K668" s="35" t="str">
        <x:v>Receipt allocated to FIN-00329</x:v>
      </x:c>
    </x:row>
    <x:row r="669">
      <x:c r="A669" s="20" t="str">
        <x:v>FIN-00331</x:v>
      </x:c>
      <x:c r="B669" s="32" t="n">
        <x:v>1</x:v>
      </x:c>
      <x:c r="C669" s="23" t="n">
        <x:v>46478</x:v>
      </x:c>
      <x:c r="D669" s="23" t="n">
        <x:v>46478</x:v>
      </x:c>
      <x:c r="E669" s="20" t="str">
        <x:v>P029</x:v>
      </x:c>
      <x:c r="F669" s="20" t="str">
        <x:v>U038</x:v>
      </x:c>
      <x:c r="G669" s="20" t="str">
        <x:v>L044</x:v>
      </x:c>
      <x:c r="H669" s="20" t="str">
        <x:v>1100 Tenant Accounts Receivable</x:v>
      </x:c>
      <x:c r="I669" s="26" t="n">
        <x:v>1300</x:v>
      </x:c>
      <x:c r="J669" s="26" t="n">
        <x:v>0</x:v>
      </x:c>
      <x:c r="K669" s="35" t="str">
        <x:v>April 2027 rent</x:v>
      </x:c>
    </x:row>
    <x:row r="670">
      <x:c r="A670" s="20" t="str">
        <x:v>FIN-00331</x:v>
      </x:c>
      <x:c r="B670" s="32" t="n">
        <x:v>2</x:v>
      </x:c>
      <x:c r="C670" s="23" t="n">
        <x:v>46478</x:v>
      </x:c>
      <x:c r="D670" s="23" t="n">
        <x:v>46478</x:v>
      </x:c>
      <x:c r="E670" s="20" t="str">
        <x:v>P029</x:v>
      </x:c>
      <x:c r="F670" s="20" t="str">
        <x:v>U038</x:v>
      </x:c>
      <x:c r="G670" s="20" t="str">
        <x:v>L044</x:v>
      </x:c>
      <x:c r="H670" s="20" t="str">
        <x:v>4000 Rental Income</x:v>
      </x:c>
      <x:c r="I670" s="26" t="n">
        <x:v>0</x:v>
      </x:c>
      <x:c r="J670" s="26" t="n">
        <x:v>1300</x:v>
      </x:c>
      <x:c r="K670" s="35" t="str">
        <x:v>April 2027 rent</x:v>
      </x:c>
    </x:row>
    <x:row r="671">
      <x:c r="A671" s="20" t="str">
        <x:v>FIN-00332</x:v>
      </x:c>
      <x:c r="B671" s="32" t="n">
        <x:v>1</x:v>
      </x:c>
      <x:c r="C671" s="23" t="n">
        <x:v>46480</x:v>
      </x:c>
      <x:c r="D671" s="23" t="n">
        <x:v>46480</x:v>
      </x:c>
      <x:c r="E671" s="20" t="str">
        <x:v>P029</x:v>
      </x:c>
      <x:c r="F671" s="20" t="str">
        <x:v>U038</x:v>
      </x:c>
      <x:c r="G671" s="20" t="str">
        <x:v>L044</x:v>
      </x:c>
      <x:c r="H671" s="20" t="str">
        <x:v>1000 Operating Cash</x:v>
      </x:c>
      <x:c r="I671" s="26" t="n">
        <x:v>780</x:v>
      </x:c>
      <x:c r="J671" s="26" t="n">
        <x:v>0</x:v>
      </x:c>
      <x:c r="K671" s="35" t="str">
        <x:v>Receipt allocated to FIN-00331</x:v>
      </x:c>
    </x:row>
    <x:row r="672">
      <x:c r="A672" s="20" t="str">
        <x:v>FIN-00332</x:v>
      </x:c>
      <x:c r="B672" s="32" t="n">
        <x:v>2</x:v>
      </x:c>
      <x:c r="C672" s="23" t="n">
        <x:v>46480</x:v>
      </x:c>
      <x:c r="D672" s="23" t="n">
        <x:v>46480</x:v>
      </x:c>
      <x:c r="E672" s="20" t="str">
        <x:v>P029</x:v>
      </x:c>
      <x:c r="F672" s="20" t="str">
        <x:v>U038</x:v>
      </x:c>
      <x:c r="G672" s="20" t="str">
        <x:v>L044</x:v>
      </x:c>
      <x:c r="H672" s="20" t="str">
        <x:v>1100 Tenant Accounts Receivable</x:v>
      </x:c>
      <x:c r="I672" s="26" t="n">
        <x:v>0</x:v>
      </x:c>
      <x:c r="J672" s="26" t="n">
        <x:v>780</x:v>
      </x:c>
      <x:c r="K672" s="35" t="str">
        <x:v>Receipt allocated to FIN-00331</x:v>
      </x:c>
    </x:row>
    <x:row r="673">
      <x:c r="A673" s="20" t="str">
        <x:v>FIN-00333</x:v>
      </x:c>
      <x:c r="B673" s="32" t="n">
        <x:v>1</x:v>
      </x:c>
      <x:c r="C673" s="23" t="n">
        <x:v>46483</x:v>
      </x:c>
      <x:c r="D673" s="23" t="n">
        <x:v>46483</x:v>
      </x:c>
      <x:c r="E673" s="20" t="str">
        <x:v>P029</x:v>
      </x:c>
      <x:c r="F673" s="20" t="str">
        <x:v>U038</x:v>
      </x:c>
      <x:c r="G673" s="20" t="str">
        <x:v>L044</x:v>
      </x:c>
      <x:c r="H673" s="20" t="str">
        <x:v>1100 Tenant Accounts Receivable</x:v>
      </x:c>
      <x:c r="I673" s="26" t="n">
        <x:v>50</x:v>
      </x:c>
      <x:c r="J673" s="26" t="n">
        <x:v>0</x:v>
      </x:c>
      <x:c r="K673" s="35" t="str">
        <x:v>Synthetic lease-authorized late fee after partial payment</x:v>
      </x:c>
    </x:row>
    <x:row r="674">
      <x:c r="A674" s="20" t="str">
        <x:v>FIN-00333</x:v>
      </x:c>
      <x:c r="B674" s="32" t="n">
        <x:v>2</x:v>
      </x:c>
      <x:c r="C674" s="23" t="n">
        <x:v>46483</x:v>
      </x:c>
      <x:c r="D674" s="23" t="n">
        <x:v>46483</x:v>
      </x:c>
      <x:c r="E674" s="20" t="str">
        <x:v>P029</x:v>
      </x:c>
      <x:c r="F674" s="20" t="str">
        <x:v>U038</x:v>
      </x:c>
      <x:c r="G674" s="20" t="str">
        <x:v>L044</x:v>
      </x:c>
      <x:c r="H674" s="20" t="str">
        <x:v>4010 Late Fee Income</x:v>
      </x:c>
      <x:c r="I674" s="26" t="n">
        <x:v>0</x:v>
      </x:c>
      <x:c r="J674" s="26" t="n">
        <x:v>50</x:v>
      </x:c>
      <x:c r="K674" s="35" t="str">
        <x:v>Synthetic lease-authorized late fee after partial payment</x:v>
      </x:c>
    </x:row>
    <x:row r="675">
      <x:c r="A675" s="20" t="str">
        <x:v>FIN-00334</x:v>
      </x:c>
      <x:c r="B675" s="32" t="n">
        <x:v>1</x:v>
      </x:c>
      <x:c r="C675" s="23" t="n">
        <x:v>46489</x:v>
      </x:c>
      <x:c r="D675" s="23" t="n">
        <x:v>46489</x:v>
      </x:c>
      <x:c r="E675" s="20" t="str">
        <x:v>P029</x:v>
      </x:c>
      <x:c r="F675" s="20" t="str">
        <x:v>U038</x:v>
      </x:c>
      <x:c r="G675" s="20" t="str">
        <x:v>L044</x:v>
      </x:c>
      <x:c r="H675" s="20" t="str">
        <x:v>1000 Operating Cash</x:v>
      </x:c>
      <x:c r="I675" s="26" t="n">
        <x:v>570</x:v>
      </x:c>
      <x:c r="J675" s="26" t="n">
        <x:v>0</x:v>
      </x:c>
      <x:c r="K675" s="35" t="str">
        <x:v>Receipt allocated to FIN-00333</x:v>
      </x:c>
    </x:row>
    <x:row r="676">
      <x:c r="A676" s="20" t="str">
        <x:v>FIN-00334</x:v>
      </x:c>
      <x:c r="B676" s="32" t="n">
        <x:v>2</x:v>
      </x:c>
      <x:c r="C676" s="23" t="n">
        <x:v>46489</x:v>
      </x:c>
      <x:c r="D676" s="23" t="n">
        <x:v>46489</x:v>
      </x:c>
      <x:c r="E676" s="20" t="str">
        <x:v>P029</x:v>
      </x:c>
      <x:c r="F676" s="20" t="str">
        <x:v>U038</x:v>
      </x:c>
      <x:c r="G676" s="20" t="str">
        <x:v>L044</x:v>
      </x:c>
      <x:c r="H676" s="20" t="str">
        <x:v>1100 Tenant Accounts Receivable</x:v>
      </x:c>
      <x:c r="I676" s="26" t="n">
        <x:v>0</x:v>
      </x:c>
      <x:c r="J676" s="26" t="n">
        <x:v>570</x:v>
      </x:c>
      <x:c r="K676" s="35" t="str">
        <x:v>Receipt allocated to FIN-00333</x:v>
      </x:c>
    </x:row>
    <x:row r="677">
      <x:c r="A677" s="20" t="str">
        <x:v>FIN-00335</x:v>
      </x:c>
      <x:c r="B677" s="32" t="n">
        <x:v>1</x:v>
      </x:c>
      <x:c r="C677" s="23" t="n">
        <x:v>46508</x:v>
      </x:c>
      <x:c r="D677" s="23" t="n">
        <x:v>46508</x:v>
      </x:c>
      <x:c r="E677" s="20" t="str">
        <x:v>P001</x:v>
      </x:c>
      <x:c r="F677" s="20" t="str">
        <x:v>U001</x:v>
      </x:c>
      <x:c r="G677" s="20" t="str">
        <x:v>L001</x:v>
      </x:c>
      <x:c r="H677" s="20" t="str">
        <x:v>1100 Tenant Accounts Receivable</x:v>
      </x:c>
      <x:c r="I677" s="26" t="n">
        <x:v>1575</x:v>
      </x:c>
      <x:c r="J677" s="26" t="n">
        <x:v>0</x:v>
      </x:c>
      <x:c r="K677" s="35" t="str">
        <x:v>May 2027 rent</x:v>
      </x:c>
    </x:row>
    <x:row r="678">
      <x:c r="A678" s="20" t="str">
        <x:v>FIN-00335</x:v>
      </x:c>
      <x:c r="B678" s="32" t="n">
        <x:v>2</x:v>
      </x:c>
      <x:c r="C678" s="23" t="n">
        <x:v>46508</x:v>
      </x:c>
      <x:c r="D678" s="23" t="n">
        <x:v>46508</x:v>
      </x:c>
      <x:c r="E678" s="20" t="str">
        <x:v>P001</x:v>
      </x:c>
      <x:c r="F678" s="20" t="str">
        <x:v>U001</x:v>
      </x:c>
      <x:c r="G678" s="20" t="str">
        <x:v>L001</x:v>
      </x:c>
      <x:c r="H678" s="20" t="str">
        <x:v>4000 Rental Income</x:v>
      </x:c>
      <x:c r="I678" s="26" t="n">
        <x:v>0</x:v>
      </x:c>
      <x:c r="J678" s="26" t="n">
        <x:v>1575</x:v>
      </x:c>
      <x:c r="K678" s="35" t="str">
        <x:v>May 2027 rent</x:v>
      </x:c>
    </x:row>
    <x:row r="679">
      <x:c r="A679" s="20" t="str">
        <x:v>FIN-00336</x:v>
      </x:c>
      <x:c r="B679" s="32" t="n">
        <x:v>1</x:v>
      </x:c>
      <x:c r="C679" s="23" t="n">
        <x:v>46511</x:v>
      </x:c>
      <x:c r="D679" s="23" t="n">
        <x:v>46511</x:v>
      </x:c>
      <x:c r="E679" s="20" t="str">
        <x:v>P001</x:v>
      </x:c>
      <x:c r="F679" s="20" t="str">
        <x:v>U001</x:v>
      </x:c>
      <x:c r="G679" s="20" t="str">
        <x:v>L001</x:v>
      </x:c>
      <x:c r="H679" s="20" t="str">
        <x:v>1000 Operating Cash</x:v>
      </x:c>
      <x:c r="I679" s="26" t="n">
        <x:v>1575</x:v>
      </x:c>
      <x:c r="J679" s="26" t="n">
        <x:v>0</x:v>
      </x:c>
      <x:c r="K679" s="35" t="str">
        <x:v>Receipt allocated to FIN-00335</x:v>
      </x:c>
    </x:row>
    <x:row r="680">
      <x:c r="A680" s="20" t="str">
        <x:v>FIN-00336</x:v>
      </x:c>
      <x:c r="B680" s="32" t="n">
        <x:v>2</x:v>
      </x:c>
      <x:c r="C680" s="23" t="n">
        <x:v>46511</x:v>
      </x:c>
      <x:c r="D680" s="23" t="n">
        <x:v>46511</x:v>
      </x:c>
      <x:c r="E680" s="20" t="str">
        <x:v>P001</x:v>
      </x:c>
      <x:c r="F680" s="20" t="str">
        <x:v>U001</x:v>
      </x:c>
      <x:c r="G680" s="20" t="str">
        <x:v>L001</x:v>
      </x:c>
      <x:c r="H680" s="20" t="str">
        <x:v>1100 Tenant Accounts Receivable</x:v>
      </x:c>
      <x:c r="I680" s="26" t="n">
        <x:v>0</x:v>
      </x:c>
      <x:c r="J680" s="26" t="n">
        <x:v>1575</x:v>
      </x:c>
      <x:c r="K680" s="35" t="str">
        <x:v>Receipt allocated to FIN-00335</x:v>
      </x:c>
    </x:row>
    <x:row r="681">
      <x:c r="A681" s="20" t="str">
        <x:v>FIN-00337</x:v>
      </x:c>
      <x:c r="B681" s="32" t="n">
        <x:v>1</x:v>
      </x:c>
      <x:c r="C681" s="23" t="n">
        <x:v>46508</x:v>
      </x:c>
      <x:c r="D681" s="23" t="n">
        <x:v>46508</x:v>
      </x:c>
      <x:c r="E681" s="20" t="str">
        <x:v>P002</x:v>
      </x:c>
      <x:c r="F681" s="20" t="str">
        <x:v>U002</x:v>
      </x:c>
      <x:c r="G681" s="20" t="str">
        <x:v>L002</x:v>
      </x:c>
      <x:c r="H681" s="20" t="str">
        <x:v>1100 Tenant Accounts Receivable</x:v>
      </x:c>
      <x:c r="I681" s="26" t="n">
        <x:v>1200</x:v>
      </x:c>
      <x:c r="J681" s="26" t="n">
        <x:v>0</x:v>
      </x:c>
      <x:c r="K681" s="35" t="str">
        <x:v>May 2027 rent</x:v>
      </x:c>
    </x:row>
    <x:row r="682">
      <x:c r="A682" s="20" t="str">
        <x:v>FIN-00337</x:v>
      </x:c>
      <x:c r="B682" s="32" t="n">
        <x:v>2</x:v>
      </x:c>
      <x:c r="C682" s="23" t="n">
        <x:v>46508</x:v>
      </x:c>
      <x:c r="D682" s="23" t="n">
        <x:v>46508</x:v>
      </x:c>
      <x:c r="E682" s="20" t="str">
        <x:v>P002</x:v>
      </x:c>
      <x:c r="F682" s="20" t="str">
        <x:v>U002</x:v>
      </x:c>
      <x:c r="G682" s="20" t="str">
        <x:v>L002</x:v>
      </x:c>
      <x:c r="H682" s="20" t="str">
        <x:v>4000 Rental Income</x:v>
      </x:c>
      <x:c r="I682" s="26" t="n">
        <x:v>0</x:v>
      </x:c>
      <x:c r="J682" s="26" t="n">
        <x:v>1200</x:v>
      </x:c>
      <x:c r="K682" s="35" t="str">
        <x:v>May 2027 rent</x:v>
      </x:c>
    </x:row>
    <x:row r="683">
      <x:c r="A683" s="20" t="str">
        <x:v>FIN-00338</x:v>
      </x:c>
      <x:c r="B683" s="32" t="n">
        <x:v>1</x:v>
      </x:c>
      <x:c r="C683" s="23" t="n">
        <x:v>46512</x:v>
      </x:c>
      <x:c r="D683" s="23" t="n">
        <x:v>46512</x:v>
      </x:c>
      <x:c r="E683" s="20" t="str">
        <x:v>P002</x:v>
      </x:c>
      <x:c r="F683" s="20" t="str">
        <x:v>U002</x:v>
      </x:c>
      <x:c r="G683" s="20" t="str">
        <x:v>L002</x:v>
      </x:c>
      <x:c r="H683" s="20" t="str">
        <x:v>1000 Operating Cash</x:v>
      </x:c>
      <x:c r="I683" s="26" t="n">
        <x:v>1200</x:v>
      </x:c>
      <x:c r="J683" s="26" t="n">
        <x:v>0</x:v>
      </x:c>
      <x:c r="K683" s="35" t="str">
        <x:v>Receipt allocated to FIN-00337</x:v>
      </x:c>
    </x:row>
    <x:row r="684">
      <x:c r="A684" s="20" t="str">
        <x:v>FIN-00338</x:v>
      </x:c>
      <x:c r="B684" s="32" t="n">
        <x:v>2</x:v>
      </x:c>
      <x:c r="C684" s="23" t="n">
        <x:v>46512</x:v>
      </x:c>
      <x:c r="D684" s="23" t="n">
        <x:v>46512</x:v>
      </x:c>
      <x:c r="E684" s="20" t="str">
        <x:v>P002</x:v>
      </x:c>
      <x:c r="F684" s="20" t="str">
        <x:v>U002</x:v>
      </x:c>
      <x:c r="G684" s="20" t="str">
        <x:v>L002</x:v>
      </x:c>
      <x:c r="H684" s="20" t="str">
        <x:v>1100 Tenant Accounts Receivable</x:v>
      </x:c>
      <x:c r="I684" s="26" t="n">
        <x:v>0</x:v>
      </x:c>
      <x:c r="J684" s="26" t="n">
        <x:v>1200</x:v>
      </x:c>
      <x:c r="K684" s="35" t="str">
        <x:v>Receipt allocated to FIN-00337</x:v>
      </x:c>
    </x:row>
    <x:row r="685">
      <x:c r="A685" s="20" t="str">
        <x:v>FIN-00339</x:v>
      </x:c>
      <x:c r="B685" s="32" t="n">
        <x:v>1</x:v>
      </x:c>
      <x:c r="C685" s="23" t="n">
        <x:v>46508</x:v>
      </x:c>
      <x:c r="D685" s="23" t="n">
        <x:v>46508</x:v>
      </x:c>
      <x:c r="E685" s="20" t="str">
        <x:v>P003</x:v>
      </x:c>
      <x:c r="F685" s="20" t="str">
        <x:v>U003</x:v>
      </x:c>
      <x:c r="G685" s="20" t="str">
        <x:v>L003</x:v>
      </x:c>
      <x:c r="H685" s="20" t="str">
        <x:v>1100 Tenant Accounts Receivable</x:v>
      </x:c>
      <x:c r="I685" s="26" t="n">
        <x:v>1725</x:v>
      </x:c>
      <x:c r="J685" s="26" t="n">
        <x:v>0</x:v>
      </x:c>
      <x:c r="K685" s="35" t="str">
        <x:v>May 2027 rent</x:v>
      </x:c>
    </x:row>
    <x:row r="686">
      <x:c r="A686" s="20" t="str">
        <x:v>FIN-00339</x:v>
      </x:c>
      <x:c r="B686" s="32" t="n">
        <x:v>2</x:v>
      </x:c>
      <x:c r="C686" s="23" t="n">
        <x:v>46508</x:v>
      </x:c>
      <x:c r="D686" s="23" t="n">
        <x:v>46508</x:v>
      </x:c>
      <x:c r="E686" s="20" t="str">
        <x:v>P003</x:v>
      </x:c>
      <x:c r="F686" s="20" t="str">
        <x:v>U003</x:v>
      </x:c>
      <x:c r="G686" s="20" t="str">
        <x:v>L003</x:v>
      </x:c>
      <x:c r="H686" s="20" t="str">
        <x:v>4000 Rental Income</x:v>
      </x:c>
      <x:c r="I686" s="26" t="n">
        <x:v>0</x:v>
      </x:c>
      <x:c r="J686" s="26" t="n">
        <x:v>1725</x:v>
      </x:c>
      <x:c r="K686" s="35" t="str">
        <x:v>May 2027 rent</x:v>
      </x:c>
    </x:row>
    <x:row r="687">
      <x:c r="A687" s="20" t="str">
        <x:v>FIN-00340</x:v>
      </x:c>
      <x:c r="B687" s="32" t="n">
        <x:v>1</x:v>
      </x:c>
      <x:c r="C687" s="23" t="n">
        <x:v>46510</x:v>
      </x:c>
      <x:c r="D687" s="23" t="n">
        <x:v>46510</x:v>
      </x:c>
      <x:c r="E687" s="20" t="str">
        <x:v>P003</x:v>
      </x:c>
      <x:c r="F687" s="20" t="str">
        <x:v>U003</x:v>
      </x:c>
      <x:c r="G687" s="20" t="str">
        <x:v>L003</x:v>
      </x:c>
      <x:c r="H687" s="20" t="str">
        <x:v>1000 Operating Cash</x:v>
      </x:c>
      <x:c r="I687" s="26" t="n">
        <x:v>1725</x:v>
      </x:c>
      <x:c r="J687" s="26" t="n">
        <x:v>0</x:v>
      </x:c>
      <x:c r="K687" s="35" t="str">
        <x:v>Receipt allocated to FIN-00339</x:v>
      </x:c>
    </x:row>
    <x:row r="688">
      <x:c r="A688" s="20" t="str">
        <x:v>FIN-00340</x:v>
      </x:c>
      <x:c r="B688" s="32" t="n">
        <x:v>2</x:v>
      </x:c>
      <x:c r="C688" s="23" t="n">
        <x:v>46510</x:v>
      </x:c>
      <x:c r="D688" s="23" t="n">
        <x:v>46510</x:v>
      </x:c>
      <x:c r="E688" s="20" t="str">
        <x:v>P003</x:v>
      </x:c>
      <x:c r="F688" s="20" t="str">
        <x:v>U003</x:v>
      </x:c>
      <x:c r="G688" s="20" t="str">
        <x:v>L003</x:v>
      </x:c>
      <x:c r="H688" s="20" t="str">
        <x:v>1100 Tenant Accounts Receivable</x:v>
      </x:c>
      <x:c r="I688" s="26" t="n">
        <x:v>0</x:v>
      </x:c>
      <x:c r="J688" s="26" t="n">
        <x:v>1725</x:v>
      </x:c>
      <x:c r="K688" s="35" t="str">
        <x:v>Receipt allocated to FIN-00339</x:v>
      </x:c>
    </x:row>
    <x:row r="689">
      <x:c r="A689" s="20" t="str">
        <x:v>FIN-00341</x:v>
      </x:c>
      <x:c r="B689" s="32" t="n">
        <x:v>1</x:v>
      </x:c>
      <x:c r="C689" s="23" t="n">
        <x:v>46508</x:v>
      </x:c>
      <x:c r="D689" s="23" t="n">
        <x:v>46508</x:v>
      </x:c>
      <x:c r="E689" s="20" t="str">
        <x:v>P004</x:v>
      </x:c>
      <x:c r="F689" s="20" t="str">
        <x:v>U004</x:v>
      </x:c>
      <x:c r="G689" s="20" t="str">
        <x:v>L004</x:v>
      </x:c>
      <x:c r="H689" s="20" t="str">
        <x:v>1100 Tenant Accounts Receivable</x:v>
      </x:c>
      <x:c r="I689" s="26" t="n">
        <x:v>1350</x:v>
      </x:c>
      <x:c r="J689" s="26" t="n">
        <x:v>0</x:v>
      </x:c>
      <x:c r="K689" s="35" t="str">
        <x:v>May 2027 rent</x:v>
      </x:c>
    </x:row>
    <x:row r="690">
      <x:c r="A690" s="20" t="str">
        <x:v>FIN-00341</x:v>
      </x:c>
      <x:c r="B690" s="32" t="n">
        <x:v>2</x:v>
      </x:c>
      <x:c r="C690" s="23" t="n">
        <x:v>46508</x:v>
      </x:c>
      <x:c r="D690" s="23" t="n">
        <x:v>46508</x:v>
      </x:c>
      <x:c r="E690" s="20" t="str">
        <x:v>P004</x:v>
      </x:c>
      <x:c r="F690" s="20" t="str">
        <x:v>U004</x:v>
      </x:c>
      <x:c r="G690" s="20" t="str">
        <x:v>L004</x:v>
      </x:c>
      <x:c r="H690" s="20" t="str">
        <x:v>4000 Rental Income</x:v>
      </x:c>
      <x:c r="I690" s="26" t="n">
        <x:v>0</x:v>
      </x:c>
      <x:c r="J690" s="26" t="n">
        <x:v>1350</x:v>
      </x:c>
      <x:c r="K690" s="35" t="str">
        <x:v>May 2027 rent</x:v>
      </x:c>
    </x:row>
    <x:row r="691">
      <x:c r="A691" s="20" t="str">
        <x:v>FIN-00342</x:v>
      </x:c>
      <x:c r="B691" s="32" t="n">
        <x:v>1</x:v>
      </x:c>
      <x:c r="C691" s="23" t="n">
        <x:v>46511</x:v>
      </x:c>
      <x:c r="D691" s="23" t="n">
        <x:v>46511</x:v>
      </x:c>
      <x:c r="E691" s="20" t="str">
        <x:v>P004</x:v>
      </x:c>
      <x:c r="F691" s="20" t="str">
        <x:v>U004</x:v>
      </x:c>
      <x:c r="G691" s="20" t="str">
        <x:v>L004</x:v>
      </x:c>
      <x:c r="H691" s="20" t="str">
        <x:v>1000 Operating Cash</x:v>
      </x:c>
      <x:c r="I691" s="26" t="n">
        <x:v>1350</x:v>
      </x:c>
      <x:c r="J691" s="26" t="n">
        <x:v>0</x:v>
      </x:c>
      <x:c r="K691" s="35" t="str">
        <x:v>Receipt allocated to FIN-00341</x:v>
      </x:c>
    </x:row>
    <x:row r="692">
      <x:c r="A692" s="20" t="str">
        <x:v>FIN-00342</x:v>
      </x:c>
      <x:c r="B692" s="32" t="n">
        <x:v>2</x:v>
      </x:c>
      <x:c r="C692" s="23" t="n">
        <x:v>46511</x:v>
      </x:c>
      <x:c r="D692" s="23" t="n">
        <x:v>46511</x:v>
      </x:c>
      <x:c r="E692" s="20" t="str">
        <x:v>P004</x:v>
      </x:c>
      <x:c r="F692" s="20" t="str">
        <x:v>U004</x:v>
      </x:c>
      <x:c r="G692" s="20" t="str">
        <x:v>L004</x:v>
      </x:c>
      <x:c r="H692" s="20" t="str">
        <x:v>1100 Tenant Accounts Receivable</x:v>
      </x:c>
      <x:c r="I692" s="26" t="n">
        <x:v>0</x:v>
      </x:c>
      <x:c r="J692" s="26" t="n">
        <x:v>1350</x:v>
      </x:c>
      <x:c r="K692" s="35" t="str">
        <x:v>Receipt allocated to FIN-00341</x:v>
      </x:c>
    </x:row>
    <x:row r="693">
      <x:c r="A693" s="20" t="str">
        <x:v>FIN-00343</x:v>
      </x:c>
      <x:c r="B693" s="32" t="n">
        <x:v>1</x:v>
      </x:c>
      <x:c r="C693" s="23" t="n">
        <x:v>46508</x:v>
      </x:c>
      <x:c r="D693" s="23" t="n">
        <x:v>46508</x:v>
      </x:c>
      <x:c r="E693" s="20" t="str">
        <x:v>P006</x:v>
      </x:c>
      <x:c r="F693" s="20" t="str">
        <x:v>U006</x:v>
      </x:c>
      <x:c r="G693" s="20" t="str">
        <x:v>L006</x:v>
      </x:c>
      <x:c r="H693" s="20" t="str">
        <x:v>1100 Tenant Accounts Receivable</x:v>
      </x:c>
      <x:c r="I693" s="26" t="n">
        <x:v>1500</x:v>
      </x:c>
      <x:c r="J693" s="26" t="n">
        <x:v>0</x:v>
      </x:c>
      <x:c r="K693" s="35" t="str">
        <x:v>May 2027 rent</x:v>
      </x:c>
    </x:row>
    <x:row r="694">
      <x:c r="A694" s="20" t="str">
        <x:v>FIN-00343</x:v>
      </x:c>
      <x:c r="B694" s="32" t="n">
        <x:v>2</x:v>
      </x:c>
      <x:c r="C694" s="23" t="n">
        <x:v>46508</x:v>
      </x:c>
      <x:c r="D694" s="23" t="n">
        <x:v>46508</x:v>
      </x:c>
      <x:c r="E694" s="20" t="str">
        <x:v>P006</x:v>
      </x:c>
      <x:c r="F694" s="20" t="str">
        <x:v>U006</x:v>
      </x:c>
      <x:c r="G694" s="20" t="str">
        <x:v>L006</x:v>
      </x:c>
      <x:c r="H694" s="20" t="str">
        <x:v>4000 Rental Income</x:v>
      </x:c>
      <x:c r="I694" s="26" t="n">
        <x:v>0</x:v>
      </x:c>
      <x:c r="J694" s="26" t="n">
        <x:v>1500</x:v>
      </x:c>
      <x:c r="K694" s="35" t="str">
        <x:v>May 2027 rent</x:v>
      </x:c>
    </x:row>
    <x:row r="695">
      <x:c r="A695" s="20" t="str">
        <x:v>FIN-00344</x:v>
      </x:c>
      <x:c r="B695" s="32" t="n">
        <x:v>1</x:v>
      </x:c>
      <x:c r="C695" s="23" t="n">
        <x:v>46510</x:v>
      </x:c>
      <x:c r="D695" s="23" t="n">
        <x:v>46510</x:v>
      </x:c>
      <x:c r="E695" s="20" t="str">
        <x:v>P006</x:v>
      </x:c>
      <x:c r="F695" s="20" t="str">
        <x:v>U006</x:v>
      </x:c>
      <x:c r="G695" s="20" t="str">
        <x:v>L006</x:v>
      </x:c>
      <x:c r="H695" s="20" t="str">
        <x:v>1000 Operating Cash</x:v>
      </x:c>
      <x:c r="I695" s="26" t="n">
        <x:v>1500</x:v>
      </x:c>
      <x:c r="J695" s="26" t="n">
        <x:v>0</x:v>
      </x:c>
      <x:c r="K695" s="35" t="str">
        <x:v>Receipt allocated to FIN-00343</x:v>
      </x:c>
    </x:row>
    <x:row r="696">
      <x:c r="A696" s="20" t="str">
        <x:v>FIN-00344</x:v>
      </x:c>
      <x:c r="B696" s="32" t="n">
        <x:v>2</x:v>
      </x:c>
      <x:c r="C696" s="23" t="n">
        <x:v>46510</x:v>
      </x:c>
      <x:c r="D696" s="23" t="n">
        <x:v>46510</x:v>
      </x:c>
      <x:c r="E696" s="20" t="str">
        <x:v>P006</x:v>
      </x:c>
      <x:c r="F696" s="20" t="str">
        <x:v>U006</x:v>
      </x:c>
      <x:c r="G696" s="20" t="str">
        <x:v>L006</x:v>
      </x:c>
      <x:c r="H696" s="20" t="str">
        <x:v>1100 Tenant Accounts Receivable</x:v>
      </x:c>
      <x:c r="I696" s="26" t="n">
        <x:v>0</x:v>
      </x:c>
      <x:c r="J696" s="26" t="n">
        <x:v>1500</x:v>
      </x:c>
      <x:c r="K696" s="35" t="str">
        <x:v>Receipt allocated to FIN-00343</x:v>
      </x:c>
    </x:row>
    <x:row r="697">
      <x:c r="A697" s="20" t="str">
        <x:v>FIN-00345</x:v>
      </x:c>
      <x:c r="B697" s="32" t="n">
        <x:v>1</x:v>
      </x:c>
      <x:c r="C697" s="23" t="n">
        <x:v>46508</x:v>
      </x:c>
      <x:c r="D697" s="23" t="n">
        <x:v>46508</x:v>
      </x:c>
      <x:c r="E697" s="20" t="str">
        <x:v>P007</x:v>
      </x:c>
      <x:c r="F697" s="20" t="str">
        <x:v>U007</x:v>
      </x:c>
      <x:c r="G697" s="20" t="str">
        <x:v>L007</x:v>
      </x:c>
      <x:c r="H697" s="20" t="str">
        <x:v>1100 Tenant Accounts Receivable</x:v>
      </x:c>
      <x:c r="I697" s="26" t="n">
        <x:v>1125</x:v>
      </x:c>
      <x:c r="J697" s="26" t="n">
        <x:v>0</x:v>
      </x:c>
      <x:c r="K697" s="35" t="str">
        <x:v>May 2027 rent</x:v>
      </x:c>
    </x:row>
    <x:row r="698">
      <x:c r="A698" s="20" t="str">
        <x:v>FIN-00345</x:v>
      </x:c>
      <x:c r="B698" s="32" t="n">
        <x:v>2</x:v>
      </x:c>
      <x:c r="C698" s="23" t="n">
        <x:v>46508</x:v>
      </x:c>
      <x:c r="D698" s="23" t="n">
        <x:v>46508</x:v>
      </x:c>
      <x:c r="E698" s="20" t="str">
        <x:v>P007</x:v>
      </x:c>
      <x:c r="F698" s="20" t="str">
        <x:v>U007</x:v>
      </x:c>
      <x:c r="G698" s="20" t="str">
        <x:v>L007</x:v>
      </x:c>
      <x:c r="H698" s="20" t="str">
        <x:v>4000 Rental Income</x:v>
      </x:c>
      <x:c r="I698" s="26" t="n">
        <x:v>0</x:v>
      </x:c>
      <x:c r="J698" s="26" t="n">
        <x:v>1125</x:v>
      </x:c>
      <x:c r="K698" s="35" t="str">
        <x:v>May 2027 rent</x:v>
      </x:c>
    </x:row>
    <x:row r="699">
      <x:c r="A699" s="20" t="str">
        <x:v>FIN-00346</x:v>
      </x:c>
      <x:c r="B699" s="32" t="n">
        <x:v>1</x:v>
      </x:c>
      <x:c r="C699" s="23" t="n">
        <x:v>46511</x:v>
      </x:c>
      <x:c r="D699" s="23" t="n">
        <x:v>46511</x:v>
      </x:c>
      <x:c r="E699" s="20" t="str">
        <x:v>P007</x:v>
      </x:c>
      <x:c r="F699" s="20" t="str">
        <x:v>U007</x:v>
      </x:c>
      <x:c r="G699" s="20" t="str">
        <x:v>L007</x:v>
      </x:c>
      <x:c r="H699" s="20" t="str">
        <x:v>1000 Operating Cash</x:v>
      </x:c>
      <x:c r="I699" s="26" t="n">
        <x:v>1125</x:v>
      </x:c>
      <x:c r="J699" s="26" t="n">
        <x:v>0</x:v>
      </x:c>
      <x:c r="K699" s="35" t="str">
        <x:v>Receipt allocated to FIN-00345</x:v>
      </x:c>
    </x:row>
    <x:row r="700">
      <x:c r="A700" s="20" t="str">
        <x:v>FIN-00346</x:v>
      </x:c>
      <x:c r="B700" s="32" t="n">
        <x:v>2</x:v>
      </x:c>
      <x:c r="C700" s="23" t="n">
        <x:v>46511</x:v>
      </x:c>
      <x:c r="D700" s="23" t="n">
        <x:v>46511</x:v>
      </x:c>
      <x:c r="E700" s="20" t="str">
        <x:v>P007</x:v>
      </x:c>
      <x:c r="F700" s="20" t="str">
        <x:v>U007</x:v>
      </x:c>
      <x:c r="G700" s="20" t="str">
        <x:v>L007</x:v>
      </x:c>
      <x:c r="H700" s="20" t="str">
        <x:v>1100 Tenant Accounts Receivable</x:v>
      </x:c>
      <x:c r="I700" s="26" t="n">
        <x:v>0</x:v>
      </x:c>
      <x:c r="J700" s="26" t="n">
        <x:v>1125</x:v>
      </x:c>
      <x:c r="K700" s="35" t="str">
        <x:v>Receipt allocated to FIN-00345</x:v>
      </x:c>
    </x:row>
    <x:row r="701">
      <x:c r="A701" s="20" t="str">
        <x:v>FIN-00347</x:v>
      </x:c>
      <x:c r="B701" s="32" t="n">
        <x:v>1</x:v>
      </x:c>
      <x:c r="C701" s="23" t="n">
        <x:v>46508</x:v>
      </x:c>
      <x:c r="D701" s="23" t="n">
        <x:v>46508</x:v>
      </x:c>
      <x:c r="E701" s="20" t="str">
        <x:v>P008</x:v>
      </x:c>
      <x:c r="F701" s="20" t="str">
        <x:v>U008</x:v>
      </x:c>
      <x:c r="G701" s="20" t="str">
        <x:v>L008</x:v>
      </x:c>
      <x:c r="H701" s="20" t="str">
        <x:v>1100 Tenant Accounts Receivable</x:v>
      </x:c>
      <x:c r="I701" s="26" t="n">
        <x:v>1650</x:v>
      </x:c>
      <x:c r="J701" s="26" t="n">
        <x:v>0</x:v>
      </x:c>
      <x:c r="K701" s="35" t="str">
        <x:v>May 2027 rent</x:v>
      </x:c>
    </x:row>
    <x:row r="702">
      <x:c r="A702" s="20" t="str">
        <x:v>FIN-00347</x:v>
      </x:c>
      <x:c r="B702" s="32" t="n">
        <x:v>2</x:v>
      </x:c>
      <x:c r="C702" s="23" t="n">
        <x:v>46508</x:v>
      </x:c>
      <x:c r="D702" s="23" t="n">
        <x:v>46508</x:v>
      </x:c>
      <x:c r="E702" s="20" t="str">
        <x:v>P008</x:v>
      </x:c>
      <x:c r="F702" s="20" t="str">
        <x:v>U008</x:v>
      </x:c>
      <x:c r="G702" s="20" t="str">
        <x:v>L008</x:v>
      </x:c>
      <x:c r="H702" s="20" t="str">
        <x:v>4000 Rental Income</x:v>
      </x:c>
      <x:c r="I702" s="26" t="n">
        <x:v>0</x:v>
      </x:c>
      <x:c r="J702" s="26" t="n">
        <x:v>1650</x:v>
      </x:c>
      <x:c r="K702" s="35" t="str">
        <x:v>May 2027 rent</x:v>
      </x:c>
    </x:row>
    <x:row r="703">
      <x:c r="A703" s="20" t="str">
        <x:v>FIN-00348</x:v>
      </x:c>
      <x:c r="B703" s="32" t="n">
        <x:v>1</x:v>
      </x:c>
      <x:c r="C703" s="23" t="n">
        <x:v>46512</x:v>
      </x:c>
      <x:c r="D703" s="23" t="n">
        <x:v>46512</x:v>
      </x:c>
      <x:c r="E703" s="20" t="str">
        <x:v>P008</x:v>
      </x:c>
      <x:c r="F703" s="20" t="str">
        <x:v>U008</x:v>
      </x:c>
      <x:c r="G703" s="20" t="str">
        <x:v>L008</x:v>
      </x:c>
      <x:c r="H703" s="20" t="str">
        <x:v>1000 Operating Cash</x:v>
      </x:c>
      <x:c r="I703" s="26" t="n">
        <x:v>1650</x:v>
      </x:c>
      <x:c r="J703" s="26" t="n">
        <x:v>0</x:v>
      </x:c>
      <x:c r="K703" s="35" t="str">
        <x:v>Receipt allocated to FIN-00347</x:v>
      </x:c>
    </x:row>
    <x:row r="704">
      <x:c r="A704" s="20" t="str">
        <x:v>FIN-00348</x:v>
      </x:c>
      <x:c r="B704" s="32" t="n">
        <x:v>2</x:v>
      </x:c>
      <x:c r="C704" s="23" t="n">
        <x:v>46512</x:v>
      </x:c>
      <x:c r="D704" s="23" t="n">
        <x:v>46512</x:v>
      </x:c>
      <x:c r="E704" s="20" t="str">
        <x:v>P008</x:v>
      </x:c>
      <x:c r="F704" s="20" t="str">
        <x:v>U008</x:v>
      </x:c>
      <x:c r="G704" s="20" t="str">
        <x:v>L008</x:v>
      </x:c>
      <x:c r="H704" s="20" t="str">
        <x:v>1100 Tenant Accounts Receivable</x:v>
      </x:c>
      <x:c r="I704" s="26" t="n">
        <x:v>0</x:v>
      </x:c>
      <x:c r="J704" s="26" t="n">
        <x:v>1650</x:v>
      </x:c>
      <x:c r="K704" s="35" t="str">
        <x:v>Receipt allocated to FIN-00347</x:v>
      </x:c>
    </x:row>
    <x:row r="705">
      <x:c r="A705" s="20" t="str">
        <x:v>FIN-00349</x:v>
      </x:c>
      <x:c r="B705" s="32" t="n">
        <x:v>1</x:v>
      </x:c>
      <x:c r="C705" s="23" t="n">
        <x:v>46508</x:v>
      </x:c>
      <x:c r="D705" s="23" t="n">
        <x:v>46508</x:v>
      </x:c>
      <x:c r="E705" s="20" t="str">
        <x:v>P009</x:v>
      </x:c>
      <x:c r="F705" s="20" t="str">
        <x:v>U009</x:v>
      </x:c>
      <x:c r="G705" s="20" t="str">
        <x:v>L009</x:v>
      </x:c>
      <x:c r="H705" s="20" t="str">
        <x:v>1100 Tenant Accounts Receivable</x:v>
      </x:c>
      <x:c r="I705" s="26" t="n">
        <x:v>1275</x:v>
      </x:c>
      <x:c r="J705" s="26" t="n">
        <x:v>0</x:v>
      </x:c>
      <x:c r="K705" s="35" t="str">
        <x:v>May 2027 rent</x:v>
      </x:c>
    </x:row>
    <x:row r="706">
      <x:c r="A706" s="20" t="str">
        <x:v>FIN-00349</x:v>
      </x:c>
      <x:c r="B706" s="32" t="n">
        <x:v>2</x:v>
      </x:c>
      <x:c r="C706" s="23" t="n">
        <x:v>46508</x:v>
      </x:c>
      <x:c r="D706" s="23" t="n">
        <x:v>46508</x:v>
      </x:c>
      <x:c r="E706" s="20" t="str">
        <x:v>P009</x:v>
      </x:c>
      <x:c r="F706" s="20" t="str">
        <x:v>U009</x:v>
      </x:c>
      <x:c r="G706" s="20" t="str">
        <x:v>L009</x:v>
      </x:c>
      <x:c r="H706" s="20" t="str">
        <x:v>4000 Rental Income</x:v>
      </x:c>
      <x:c r="I706" s="26" t="n">
        <x:v>0</x:v>
      </x:c>
      <x:c r="J706" s="26" t="n">
        <x:v>1275</x:v>
      </x:c>
      <x:c r="K706" s="35" t="str">
        <x:v>May 2027 rent</x:v>
      </x:c>
    </x:row>
    <x:row r="707">
      <x:c r="A707" s="20" t="str">
        <x:v>FIN-00350</x:v>
      </x:c>
      <x:c r="B707" s="32" t="n">
        <x:v>1</x:v>
      </x:c>
      <x:c r="C707" s="23" t="n">
        <x:v>46510</x:v>
      </x:c>
      <x:c r="D707" s="23" t="n">
        <x:v>46510</x:v>
      </x:c>
      <x:c r="E707" s="20" t="str">
        <x:v>P009</x:v>
      </x:c>
      <x:c r="F707" s="20" t="str">
        <x:v>U009</x:v>
      </x:c>
      <x:c r="G707" s="20" t="str">
        <x:v>L009</x:v>
      </x:c>
      <x:c r="H707" s="20" t="str">
        <x:v>1000 Operating Cash</x:v>
      </x:c>
      <x:c r="I707" s="26" t="n">
        <x:v>1275</x:v>
      </x:c>
      <x:c r="J707" s="26" t="n">
        <x:v>0</x:v>
      </x:c>
      <x:c r="K707" s="35" t="str">
        <x:v>Receipt allocated to FIN-00349</x:v>
      </x:c>
    </x:row>
    <x:row r="708">
      <x:c r="A708" s="20" t="str">
        <x:v>FIN-00350</x:v>
      </x:c>
      <x:c r="B708" s="32" t="n">
        <x:v>2</x:v>
      </x:c>
      <x:c r="C708" s="23" t="n">
        <x:v>46510</x:v>
      </x:c>
      <x:c r="D708" s="23" t="n">
        <x:v>46510</x:v>
      </x:c>
      <x:c r="E708" s="20" t="str">
        <x:v>P009</x:v>
      </x:c>
      <x:c r="F708" s="20" t="str">
        <x:v>U009</x:v>
      </x:c>
      <x:c r="G708" s="20" t="str">
        <x:v>L009</x:v>
      </x:c>
      <x:c r="H708" s="20" t="str">
        <x:v>1100 Tenant Accounts Receivable</x:v>
      </x:c>
      <x:c r="I708" s="26" t="n">
        <x:v>0</x:v>
      </x:c>
      <x:c r="J708" s="26" t="n">
        <x:v>1275</x:v>
      </x:c>
      <x:c r="K708" s="35" t="str">
        <x:v>Receipt allocated to FIN-00349</x:v>
      </x:c>
    </x:row>
    <x:row r="709">
      <x:c r="A709" s="20" t="str">
        <x:v>FIN-00351</x:v>
      </x:c>
      <x:c r="B709" s="32" t="n">
        <x:v>1</x:v>
      </x:c>
      <x:c r="C709" s="23" t="n">
        <x:v>46508</x:v>
      </x:c>
      <x:c r="D709" s="23" t="n">
        <x:v>46508</x:v>
      </x:c>
      <x:c r="E709" s="20" t="str">
        <x:v>P010</x:v>
      </x:c>
      <x:c r="F709" s="20" t="str">
        <x:v>U010</x:v>
      </x:c>
      <x:c r="G709" s="20" t="str">
        <x:v>L010</x:v>
      </x:c>
      <x:c r="H709" s="20" t="str">
        <x:v>1100 Tenant Accounts Receivable</x:v>
      </x:c>
      <x:c r="I709" s="26" t="n">
        <x:v>1800</x:v>
      </x:c>
      <x:c r="J709" s="26" t="n">
        <x:v>0</x:v>
      </x:c>
      <x:c r="K709" s="35" t="str">
        <x:v>May 2027 rent</x:v>
      </x:c>
    </x:row>
    <x:row r="710">
      <x:c r="A710" s="20" t="str">
        <x:v>FIN-00351</x:v>
      </x:c>
      <x:c r="B710" s="32" t="n">
        <x:v>2</x:v>
      </x:c>
      <x:c r="C710" s="23" t="n">
        <x:v>46508</x:v>
      </x:c>
      <x:c r="D710" s="23" t="n">
        <x:v>46508</x:v>
      </x:c>
      <x:c r="E710" s="20" t="str">
        <x:v>P010</x:v>
      </x:c>
      <x:c r="F710" s="20" t="str">
        <x:v>U010</x:v>
      </x:c>
      <x:c r="G710" s="20" t="str">
        <x:v>L010</x:v>
      </x:c>
      <x:c r="H710" s="20" t="str">
        <x:v>4000 Rental Income</x:v>
      </x:c>
      <x:c r="I710" s="26" t="n">
        <x:v>0</x:v>
      </x:c>
      <x:c r="J710" s="26" t="n">
        <x:v>1800</x:v>
      </x:c>
      <x:c r="K710" s="35" t="str">
        <x:v>May 2027 rent</x:v>
      </x:c>
    </x:row>
    <x:row r="711">
      <x:c r="A711" s="20" t="str">
        <x:v>FIN-00352</x:v>
      </x:c>
      <x:c r="B711" s="32" t="n">
        <x:v>1</x:v>
      </x:c>
      <x:c r="C711" s="23" t="n">
        <x:v>46511</x:v>
      </x:c>
      <x:c r="D711" s="23" t="n">
        <x:v>46511</x:v>
      </x:c>
      <x:c r="E711" s="20" t="str">
        <x:v>P010</x:v>
      </x:c>
      <x:c r="F711" s="20" t="str">
        <x:v>U010</x:v>
      </x:c>
      <x:c r="G711" s="20" t="str">
        <x:v>L010</x:v>
      </x:c>
      <x:c r="H711" s="20" t="str">
        <x:v>1000 Operating Cash</x:v>
      </x:c>
      <x:c r="I711" s="26" t="n">
        <x:v>1800</x:v>
      </x:c>
      <x:c r="J711" s="26" t="n">
        <x:v>0</x:v>
      </x:c>
      <x:c r="K711" s="35" t="str">
        <x:v>Receipt allocated to FIN-00351</x:v>
      </x:c>
    </x:row>
    <x:row r="712">
      <x:c r="A712" s="20" t="str">
        <x:v>FIN-00352</x:v>
      </x:c>
      <x:c r="B712" s="32" t="n">
        <x:v>2</x:v>
      </x:c>
      <x:c r="C712" s="23" t="n">
        <x:v>46511</x:v>
      </x:c>
      <x:c r="D712" s="23" t="n">
        <x:v>46511</x:v>
      </x:c>
      <x:c r="E712" s="20" t="str">
        <x:v>P010</x:v>
      </x:c>
      <x:c r="F712" s="20" t="str">
        <x:v>U010</x:v>
      </x:c>
      <x:c r="G712" s="20" t="str">
        <x:v>L010</x:v>
      </x:c>
      <x:c r="H712" s="20" t="str">
        <x:v>1100 Tenant Accounts Receivable</x:v>
      </x:c>
      <x:c r="I712" s="26" t="n">
        <x:v>0</x:v>
      </x:c>
      <x:c r="J712" s="26" t="n">
        <x:v>1800</x:v>
      </x:c>
      <x:c r="K712" s="35" t="str">
        <x:v>Receipt allocated to FIN-00351</x:v>
      </x:c>
    </x:row>
    <x:row r="713">
      <x:c r="A713" s="20" t="str">
        <x:v>FIN-00353</x:v>
      </x:c>
      <x:c r="B713" s="32" t="n">
        <x:v>1</x:v>
      </x:c>
      <x:c r="C713" s="23" t="n">
        <x:v>46508</x:v>
      </x:c>
      <x:c r="D713" s="23" t="n">
        <x:v>46508</x:v>
      </x:c>
      <x:c r="E713" s="20" t="str">
        <x:v>P011</x:v>
      </x:c>
      <x:c r="F713" s="20" t="str">
        <x:v>U011</x:v>
      </x:c>
      <x:c r="G713" s="20" t="str">
        <x:v>L011</x:v>
      </x:c>
      <x:c r="H713" s="20" t="str">
        <x:v>1100 Tenant Accounts Receivable</x:v>
      </x:c>
      <x:c r="I713" s="26" t="n">
        <x:v>1425</x:v>
      </x:c>
      <x:c r="J713" s="26" t="n">
        <x:v>0</x:v>
      </x:c>
      <x:c r="K713" s="35" t="str">
        <x:v>May 2027 rent</x:v>
      </x:c>
    </x:row>
    <x:row r="714">
      <x:c r="A714" s="20" t="str">
        <x:v>FIN-00353</x:v>
      </x:c>
      <x:c r="B714" s="32" t="n">
        <x:v>2</x:v>
      </x:c>
      <x:c r="C714" s="23" t="n">
        <x:v>46508</x:v>
      </x:c>
      <x:c r="D714" s="23" t="n">
        <x:v>46508</x:v>
      </x:c>
      <x:c r="E714" s="20" t="str">
        <x:v>P011</x:v>
      </x:c>
      <x:c r="F714" s="20" t="str">
        <x:v>U011</x:v>
      </x:c>
      <x:c r="G714" s="20" t="str">
        <x:v>L011</x:v>
      </x:c>
      <x:c r="H714" s="20" t="str">
        <x:v>4000 Rental Income</x:v>
      </x:c>
      <x:c r="I714" s="26" t="n">
        <x:v>0</x:v>
      </x:c>
      <x:c r="J714" s="26" t="n">
        <x:v>1425</x:v>
      </x:c>
      <x:c r="K714" s="35" t="str">
        <x:v>May 2027 rent</x:v>
      </x:c>
    </x:row>
    <x:row r="715">
      <x:c r="A715" s="20" t="str">
        <x:v>FIN-00354</x:v>
      </x:c>
      <x:c r="B715" s="32" t="n">
        <x:v>1</x:v>
      </x:c>
      <x:c r="C715" s="23" t="n">
        <x:v>46510</x:v>
      </x:c>
      <x:c r="D715" s="23" t="n">
        <x:v>46510</x:v>
      </x:c>
      <x:c r="E715" s="20" t="str">
        <x:v>P011</x:v>
      </x:c>
      <x:c r="F715" s="20" t="str">
        <x:v>U011</x:v>
      </x:c>
      <x:c r="G715" s="20" t="str">
        <x:v>L011</x:v>
      </x:c>
      <x:c r="H715" s="20" t="str">
        <x:v>1000 Operating Cash</x:v>
      </x:c>
      <x:c r="I715" s="26" t="n">
        <x:v>855</x:v>
      </x:c>
      <x:c r="J715" s="26" t="n">
        <x:v>0</x:v>
      </x:c>
      <x:c r="K715" s="35" t="str">
        <x:v>Receipt allocated to FIN-00353</x:v>
      </x:c>
    </x:row>
    <x:row r="716">
      <x:c r="A716" s="20" t="str">
        <x:v>FIN-00354</x:v>
      </x:c>
      <x:c r="B716" s="32" t="n">
        <x:v>2</x:v>
      </x:c>
      <x:c r="C716" s="23" t="n">
        <x:v>46510</x:v>
      </x:c>
      <x:c r="D716" s="23" t="n">
        <x:v>46510</x:v>
      </x:c>
      <x:c r="E716" s="20" t="str">
        <x:v>P011</x:v>
      </x:c>
      <x:c r="F716" s="20" t="str">
        <x:v>U011</x:v>
      </x:c>
      <x:c r="G716" s="20" t="str">
        <x:v>L011</x:v>
      </x:c>
      <x:c r="H716" s="20" t="str">
        <x:v>1100 Tenant Accounts Receivable</x:v>
      </x:c>
      <x:c r="I716" s="26" t="n">
        <x:v>0</x:v>
      </x:c>
      <x:c r="J716" s="26" t="n">
        <x:v>855</x:v>
      </x:c>
      <x:c r="K716" s="35" t="str">
        <x:v>Receipt allocated to FIN-00353</x:v>
      </x:c>
    </x:row>
    <x:row r="717">
      <x:c r="A717" s="20" t="str">
        <x:v>FIN-00355</x:v>
      </x:c>
      <x:c r="B717" s="32" t="n">
        <x:v>1</x:v>
      </x:c>
      <x:c r="C717" s="23" t="n">
        <x:v>46513</x:v>
      </x:c>
      <x:c r="D717" s="23" t="n">
        <x:v>46513</x:v>
      </x:c>
      <x:c r="E717" s="20" t="str">
        <x:v>P011</x:v>
      </x:c>
      <x:c r="F717" s="20" t="str">
        <x:v>U011</x:v>
      </x:c>
      <x:c r="G717" s="20" t="str">
        <x:v>L011</x:v>
      </x:c>
      <x:c r="H717" s="20" t="str">
        <x:v>1100 Tenant Accounts Receivable</x:v>
      </x:c>
      <x:c r="I717" s="26" t="n">
        <x:v>50</x:v>
      </x:c>
      <x:c r="J717" s="26" t="n">
        <x:v>0</x:v>
      </x:c>
      <x:c r="K717" s="35" t="str">
        <x:v>Synthetic lease-authorized late fee after partial payment</x:v>
      </x:c>
    </x:row>
    <x:row r="718">
      <x:c r="A718" s="20" t="str">
        <x:v>FIN-00355</x:v>
      </x:c>
      <x:c r="B718" s="32" t="n">
        <x:v>2</x:v>
      </x:c>
      <x:c r="C718" s="23" t="n">
        <x:v>46513</x:v>
      </x:c>
      <x:c r="D718" s="23" t="n">
        <x:v>46513</x:v>
      </x:c>
      <x:c r="E718" s="20" t="str">
        <x:v>P011</x:v>
      </x:c>
      <x:c r="F718" s="20" t="str">
        <x:v>U011</x:v>
      </x:c>
      <x:c r="G718" s="20" t="str">
        <x:v>L011</x:v>
      </x:c>
      <x:c r="H718" s="20" t="str">
        <x:v>4010 Late Fee Income</x:v>
      </x:c>
      <x:c r="I718" s="26" t="n">
        <x:v>0</x:v>
      </x:c>
      <x:c r="J718" s="26" t="n">
        <x:v>50</x:v>
      </x:c>
      <x:c r="K718" s="35" t="str">
        <x:v>Synthetic lease-authorized late fee after partial payment</x:v>
      </x:c>
    </x:row>
    <x:row r="719">
      <x:c r="A719" s="20" t="str">
        <x:v>FIN-00356</x:v>
      </x:c>
      <x:c r="B719" s="32" t="n">
        <x:v>1</x:v>
      </x:c>
      <x:c r="C719" s="23" t="n">
        <x:v>46519</x:v>
      </x:c>
      <x:c r="D719" s="23" t="n">
        <x:v>46519</x:v>
      </x:c>
      <x:c r="E719" s="20" t="str">
        <x:v>P011</x:v>
      </x:c>
      <x:c r="F719" s="20" t="str">
        <x:v>U011</x:v>
      </x:c>
      <x:c r="G719" s="20" t="str">
        <x:v>L011</x:v>
      </x:c>
      <x:c r="H719" s="20" t="str">
        <x:v>1000 Operating Cash</x:v>
      </x:c>
      <x:c r="I719" s="26" t="n">
        <x:v>620</x:v>
      </x:c>
      <x:c r="J719" s="26" t="n">
        <x:v>0</x:v>
      </x:c>
      <x:c r="K719" s="35" t="str">
        <x:v>Receipt allocated to FIN-00355</x:v>
      </x:c>
    </x:row>
    <x:row r="720">
      <x:c r="A720" s="20" t="str">
        <x:v>FIN-00356</x:v>
      </x:c>
      <x:c r="B720" s="32" t="n">
        <x:v>2</x:v>
      </x:c>
      <x:c r="C720" s="23" t="n">
        <x:v>46519</x:v>
      </x:c>
      <x:c r="D720" s="23" t="n">
        <x:v>46519</x:v>
      </x:c>
      <x:c r="E720" s="20" t="str">
        <x:v>P011</x:v>
      </x:c>
      <x:c r="F720" s="20" t="str">
        <x:v>U011</x:v>
      </x:c>
      <x:c r="G720" s="20" t="str">
        <x:v>L011</x:v>
      </x:c>
      <x:c r="H720" s="20" t="str">
        <x:v>1100 Tenant Accounts Receivable</x:v>
      </x:c>
      <x:c r="I720" s="26" t="n">
        <x:v>0</x:v>
      </x:c>
      <x:c r="J720" s="26" t="n">
        <x:v>620</x:v>
      </x:c>
      <x:c r="K720" s="35" t="str">
        <x:v>Receipt allocated to FIN-00355</x:v>
      </x:c>
    </x:row>
    <x:row r="721">
      <x:c r="A721" s="20" t="str">
        <x:v>FIN-00357</x:v>
      </x:c>
      <x:c r="B721" s="32" t="n">
        <x:v>1</x:v>
      </x:c>
      <x:c r="C721" s="23" t="n">
        <x:v>46508</x:v>
      </x:c>
      <x:c r="D721" s="23" t="n">
        <x:v>46508</x:v>
      </x:c>
      <x:c r="E721" s="20" t="str">
        <x:v>P012</x:v>
      </x:c>
      <x:c r="F721" s="20" t="str">
        <x:v>U012</x:v>
      </x:c>
      <x:c r="G721" s="20" t="str">
        <x:v>L012</x:v>
      </x:c>
      <x:c r="H721" s="20" t="str">
        <x:v>1100 Tenant Accounts Receivable</x:v>
      </x:c>
      <x:c r="I721" s="26" t="n">
        <x:v>1050</x:v>
      </x:c>
      <x:c r="J721" s="26" t="n">
        <x:v>0</x:v>
      </x:c>
      <x:c r="K721" s="35" t="str">
        <x:v>May 2027 rent</x:v>
      </x:c>
    </x:row>
    <x:row r="722">
      <x:c r="A722" s="20" t="str">
        <x:v>FIN-00357</x:v>
      </x:c>
      <x:c r="B722" s="32" t="n">
        <x:v>2</x:v>
      </x:c>
      <x:c r="C722" s="23" t="n">
        <x:v>46508</x:v>
      </x:c>
      <x:c r="D722" s="23" t="n">
        <x:v>46508</x:v>
      </x:c>
      <x:c r="E722" s="20" t="str">
        <x:v>P012</x:v>
      </x:c>
      <x:c r="F722" s="20" t="str">
        <x:v>U012</x:v>
      </x:c>
      <x:c r="G722" s="20" t="str">
        <x:v>L012</x:v>
      </x:c>
      <x:c r="H722" s="20" t="str">
        <x:v>4000 Rental Income</x:v>
      </x:c>
      <x:c r="I722" s="26" t="n">
        <x:v>0</x:v>
      </x:c>
      <x:c r="J722" s="26" t="n">
        <x:v>1050</x:v>
      </x:c>
      <x:c r="K722" s="35" t="str">
        <x:v>May 2027 rent</x:v>
      </x:c>
    </x:row>
    <x:row r="723">
      <x:c r="A723" s="20" t="str">
        <x:v>FIN-00358</x:v>
      </x:c>
      <x:c r="B723" s="32" t="n">
        <x:v>1</x:v>
      </x:c>
      <x:c r="C723" s="23" t="n">
        <x:v>46510</x:v>
      </x:c>
      <x:c r="D723" s="23" t="n">
        <x:v>46510</x:v>
      </x:c>
      <x:c r="E723" s="20" t="str">
        <x:v>P012</x:v>
      </x:c>
      <x:c r="F723" s="20" t="str">
        <x:v>U012</x:v>
      </x:c>
      <x:c r="G723" s="20" t="str">
        <x:v>L012</x:v>
      </x:c>
      <x:c r="H723" s="20" t="str">
        <x:v>1000 Operating Cash</x:v>
      </x:c>
      <x:c r="I723" s="26" t="n">
        <x:v>1050</x:v>
      </x:c>
      <x:c r="J723" s="26" t="n">
        <x:v>0</x:v>
      </x:c>
      <x:c r="K723" s="35" t="str">
        <x:v>Receipt allocated to FIN-00357</x:v>
      </x:c>
    </x:row>
    <x:row r="724">
      <x:c r="A724" s="20" t="str">
        <x:v>FIN-00358</x:v>
      </x:c>
      <x:c r="B724" s="32" t="n">
        <x:v>2</x:v>
      </x:c>
      <x:c r="C724" s="23" t="n">
        <x:v>46510</x:v>
      </x:c>
      <x:c r="D724" s="23" t="n">
        <x:v>46510</x:v>
      </x:c>
      <x:c r="E724" s="20" t="str">
        <x:v>P012</x:v>
      </x:c>
      <x:c r="F724" s="20" t="str">
        <x:v>U012</x:v>
      </x:c>
      <x:c r="G724" s="20" t="str">
        <x:v>L012</x:v>
      </x:c>
      <x:c r="H724" s="20" t="str">
        <x:v>1100 Tenant Accounts Receivable</x:v>
      </x:c>
      <x:c r="I724" s="26" t="n">
        <x:v>0</x:v>
      </x:c>
      <x:c r="J724" s="26" t="n">
        <x:v>1050</x:v>
      </x:c>
      <x:c r="K724" s="35" t="str">
        <x:v>Receipt allocated to FIN-00357</x:v>
      </x:c>
    </x:row>
    <x:row r="725">
      <x:c r="A725" s="20" t="str">
        <x:v>FIN-00359</x:v>
      </x:c>
      <x:c r="B725" s="32" t="n">
        <x:v>1</x:v>
      </x:c>
      <x:c r="C725" s="23" t="n">
        <x:v>46508</x:v>
      </x:c>
      <x:c r="D725" s="23" t="n">
        <x:v>46508</x:v>
      </x:c>
      <x:c r="E725" s="20" t="str">
        <x:v>P013</x:v>
      </x:c>
      <x:c r="F725" s="20" t="str">
        <x:v>U013</x:v>
      </x:c>
      <x:c r="G725" s="20" t="str">
        <x:v>L013</x:v>
      </x:c>
      <x:c r="H725" s="20" t="str">
        <x:v>1100 Tenant Accounts Receivable</x:v>
      </x:c>
      <x:c r="I725" s="26" t="n">
        <x:v>1575</x:v>
      </x:c>
      <x:c r="J725" s="26" t="n">
        <x:v>0</x:v>
      </x:c>
      <x:c r="K725" s="35" t="str">
        <x:v>May 2027 rent</x:v>
      </x:c>
    </x:row>
    <x:row r="726">
      <x:c r="A726" s="20" t="str">
        <x:v>FIN-00359</x:v>
      </x:c>
      <x:c r="B726" s="32" t="n">
        <x:v>2</x:v>
      </x:c>
      <x:c r="C726" s="23" t="n">
        <x:v>46508</x:v>
      </x:c>
      <x:c r="D726" s="23" t="n">
        <x:v>46508</x:v>
      </x:c>
      <x:c r="E726" s="20" t="str">
        <x:v>P013</x:v>
      </x:c>
      <x:c r="F726" s="20" t="str">
        <x:v>U013</x:v>
      </x:c>
      <x:c r="G726" s="20" t="str">
        <x:v>L013</x:v>
      </x:c>
      <x:c r="H726" s="20" t="str">
        <x:v>4000 Rental Income</x:v>
      </x:c>
      <x:c r="I726" s="26" t="n">
        <x:v>0</x:v>
      </x:c>
      <x:c r="J726" s="26" t="n">
        <x:v>1575</x:v>
      </x:c>
      <x:c r="K726" s="35" t="str">
        <x:v>May 2027 rent</x:v>
      </x:c>
    </x:row>
    <x:row r="727">
      <x:c r="A727" s="20" t="str">
        <x:v>FIN-00360</x:v>
      </x:c>
      <x:c r="B727" s="32" t="n">
        <x:v>1</x:v>
      </x:c>
      <x:c r="C727" s="23" t="n">
        <x:v>46513</x:v>
      </x:c>
      <x:c r="D727" s="23" t="n">
        <x:v>46513</x:v>
      </x:c>
      <x:c r="E727" s="20" t="str">
        <x:v>P013</x:v>
      </x:c>
      <x:c r="F727" s="20" t="str">
        <x:v>U013</x:v>
      </x:c>
      <x:c r="G727" s="20" t="str">
        <x:v>L013</x:v>
      </x:c>
      <x:c r="H727" s="20" t="str">
        <x:v>1100 Tenant Accounts Receivable</x:v>
      </x:c>
      <x:c r="I727" s="26" t="n">
        <x:v>50</x:v>
      </x:c>
      <x:c r="J727" s="26" t="n">
        <x:v>0</x:v>
      </x:c>
      <x:c r="K727" s="35" t="str">
        <x:v>Synthetic lease-authorized late fee</x:v>
      </x:c>
    </x:row>
    <x:row r="728">
      <x:c r="A728" s="20" t="str">
        <x:v>FIN-00360</x:v>
      </x:c>
      <x:c r="B728" s="32" t="n">
        <x:v>2</x:v>
      </x:c>
      <x:c r="C728" s="23" t="n">
        <x:v>46513</x:v>
      </x:c>
      <x:c r="D728" s="23" t="n">
        <x:v>46513</x:v>
      </x:c>
      <x:c r="E728" s="20" t="str">
        <x:v>P013</x:v>
      </x:c>
      <x:c r="F728" s="20" t="str">
        <x:v>U013</x:v>
      </x:c>
      <x:c r="G728" s="20" t="str">
        <x:v>L013</x:v>
      </x:c>
      <x:c r="H728" s="20" t="str">
        <x:v>4010 Late Fee Income</x:v>
      </x:c>
      <x:c r="I728" s="26" t="n">
        <x:v>0</x:v>
      </x:c>
      <x:c r="J728" s="26" t="n">
        <x:v>50</x:v>
      </x:c>
      <x:c r="K728" s="35" t="str">
        <x:v>Synthetic lease-authorized late fee</x:v>
      </x:c>
    </x:row>
    <x:row r="729">
      <x:c r="A729" s="20" t="str">
        <x:v>FIN-00361</x:v>
      </x:c>
      <x:c r="B729" s="32" t="n">
        <x:v>1</x:v>
      </x:c>
      <x:c r="C729" s="23" t="n">
        <x:v>46515</x:v>
      </x:c>
      <x:c r="D729" s="23" t="n">
        <x:v>46515</x:v>
      </x:c>
      <x:c r="E729" s="20" t="str">
        <x:v>P013</x:v>
      </x:c>
      <x:c r="F729" s="20" t="str">
        <x:v>U013</x:v>
      </x:c>
      <x:c r="G729" s="20" t="str">
        <x:v>L013</x:v>
      </x:c>
      <x:c r="H729" s="20" t="str">
        <x:v>1000 Operating Cash</x:v>
      </x:c>
      <x:c r="I729" s="26" t="n">
        <x:v>1625</x:v>
      </x:c>
      <x:c r="J729" s="26" t="n">
        <x:v>0</x:v>
      </x:c>
      <x:c r="K729" s="35" t="str">
        <x:v>Receipt allocated to FIN-00360</x:v>
      </x:c>
    </x:row>
    <x:row r="730">
      <x:c r="A730" s="20" t="str">
        <x:v>FIN-00361</x:v>
      </x:c>
      <x:c r="B730" s="32" t="n">
        <x:v>2</x:v>
      </x:c>
      <x:c r="C730" s="23" t="n">
        <x:v>46515</x:v>
      </x:c>
      <x:c r="D730" s="23" t="n">
        <x:v>46515</x:v>
      </x:c>
      <x:c r="E730" s="20" t="str">
        <x:v>P013</x:v>
      </x:c>
      <x:c r="F730" s="20" t="str">
        <x:v>U013</x:v>
      </x:c>
      <x:c r="G730" s="20" t="str">
        <x:v>L013</x:v>
      </x:c>
      <x:c r="H730" s="20" t="str">
        <x:v>1100 Tenant Accounts Receivable</x:v>
      </x:c>
      <x:c r="I730" s="26" t="n">
        <x:v>0</x:v>
      </x:c>
      <x:c r="J730" s="26" t="n">
        <x:v>1625</x:v>
      </x:c>
      <x:c r="K730" s="35" t="str">
        <x:v>Receipt allocated to FIN-00360</x:v>
      </x:c>
    </x:row>
    <x:row r="731">
      <x:c r="A731" s="20" t="str">
        <x:v>FIN-00362</x:v>
      </x:c>
      <x:c r="B731" s="32" t="n">
        <x:v>1</x:v>
      </x:c>
      <x:c r="C731" s="23" t="n">
        <x:v>46508</x:v>
      </x:c>
      <x:c r="D731" s="23" t="n">
        <x:v>46508</x:v>
      </x:c>
      <x:c r="E731" s="20" t="str">
        <x:v>P014</x:v>
      </x:c>
      <x:c r="F731" s="20" t="str">
        <x:v>U014</x:v>
      </x:c>
      <x:c r="G731" s="20" t="str">
        <x:v>L014</x:v>
      </x:c>
      <x:c r="H731" s="20" t="str">
        <x:v>1100 Tenant Accounts Receivable</x:v>
      </x:c>
      <x:c r="I731" s="26" t="n">
        <x:v>1200</x:v>
      </x:c>
      <x:c r="J731" s="26" t="n">
        <x:v>0</x:v>
      </x:c>
      <x:c r="K731" s="35" t="str">
        <x:v>May 2027 rent</x:v>
      </x:c>
    </x:row>
    <x:row r="732">
      <x:c r="A732" s="20" t="str">
        <x:v>FIN-00362</x:v>
      </x:c>
      <x:c r="B732" s="32" t="n">
        <x:v>2</x:v>
      </x:c>
      <x:c r="C732" s="23" t="n">
        <x:v>46508</x:v>
      </x:c>
      <x:c r="D732" s="23" t="n">
        <x:v>46508</x:v>
      </x:c>
      <x:c r="E732" s="20" t="str">
        <x:v>P014</x:v>
      </x:c>
      <x:c r="F732" s="20" t="str">
        <x:v>U014</x:v>
      </x:c>
      <x:c r="G732" s="20" t="str">
        <x:v>L014</x:v>
      </x:c>
      <x:c r="H732" s="20" t="str">
        <x:v>4000 Rental Income</x:v>
      </x:c>
      <x:c r="I732" s="26" t="n">
        <x:v>0</x:v>
      </x:c>
      <x:c r="J732" s="26" t="n">
        <x:v>1200</x:v>
      </x:c>
      <x:c r="K732" s="35" t="str">
        <x:v>May 2027 rent</x:v>
      </x:c>
    </x:row>
    <x:row r="733">
      <x:c r="A733" s="20" t="str">
        <x:v>FIN-00363</x:v>
      </x:c>
      <x:c r="B733" s="32" t="n">
        <x:v>1</x:v>
      </x:c>
      <x:c r="C733" s="23" t="n">
        <x:v>46512</x:v>
      </x:c>
      <x:c r="D733" s="23" t="n">
        <x:v>46512</x:v>
      </x:c>
      <x:c r="E733" s="20" t="str">
        <x:v>P014</x:v>
      </x:c>
      <x:c r="F733" s="20" t="str">
        <x:v>U014</x:v>
      </x:c>
      <x:c r="G733" s="20" t="str">
        <x:v>L014</x:v>
      </x:c>
      <x:c r="H733" s="20" t="str">
        <x:v>1000 Operating Cash</x:v>
      </x:c>
      <x:c r="I733" s="26" t="n">
        <x:v>1200</x:v>
      </x:c>
      <x:c r="J733" s="26" t="n">
        <x:v>0</x:v>
      </x:c>
      <x:c r="K733" s="35" t="str">
        <x:v>Receipt allocated to FIN-00362</x:v>
      </x:c>
    </x:row>
    <x:row r="734">
      <x:c r="A734" s="20" t="str">
        <x:v>FIN-00363</x:v>
      </x:c>
      <x:c r="B734" s="32" t="n">
        <x:v>2</x:v>
      </x:c>
      <x:c r="C734" s="23" t="n">
        <x:v>46512</x:v>
      </x:c>
      <x:c r="D734" s="23" t="n">
        <x:v>46512</x:v>
      </x:c>
      <x:c r="E734" s="20" t="str">
        <x:v>P014</x:v>
      </x:c>
      <x:c r="F734" s="20" t="str">
        <x:v>U014</x:v>
      </x:c>
      <x:c r="G734" s="20" t="str">
        <x:v>L014</x:v>
      </x:c>
      <x:c r="H734" s="20" t="str">
        <x:v>1100 Tenant Accounts Receivable</x:v>
      </x:c>
      <x:c r="I734" s="26" t="n">
        <x:v>0</x:v>
      </x:c>
      <x:c r="J734" s="26" t="n">
        <x:v>1200</x:v>
      </x:c>
      <x:c r="K734" s="35" t="str">
        <x:v>Receipt allocated to FIN-00362</x:v>
      </x:c>
    </x:row>
    <x:row r="735">
      <x:c r="A735" s="20" t="str">
        <x:v>FIN-00364</x:v>
      </x:c>
      <x:c r="B735" s="32" t="n">
        <x:v>1</x:v>
      </x:c>
      <x:c r="C735" s="23" t="n">
        <x:v>46508</x:v>
      </x:c>
      <x:c r="D735" s="23" t="n">
        <x:v>46508</x:v>
      </x:c>
      <x:c r="E735" s="20" t="str">
        <x:v>P015</x:v>
      </x:c>
      <x:c r="F735" s="20" t="str">
        <x:v>U015</x:v>
      </x:c>
      <x:c r="G735" s="20" t="str">
        <x:v>L015</x:v>
      </x:c>
      <x:c r="H735" s="20" t="str">
        <x:v>1100 Tenant Accounts Receivable</x:v>
      </x:c>
      <x:c r="I735" s="26" t="n">
        <x:v>1725</x:v>
      </x:c>
      <x:c r="J735" s="26" t="n">
        <x:v>0</x:v>
      </x:c>
      <x:c r="K735" s="35" t="str">
        <x:v>May 2027 rent</x:v>
      </x:c>
    </x:row>
    <x:row r="736">
      <x:c r="A736" s="20" t="str">
        <x:v>FIN-00364</x:v>
      </x:c>
      <x:c r="B736" s="32" t="n">
        <x:v>2</x:v>
      </x:c>
      <x:c r="C736" s="23" t="n">
        <x:v>46508</x:v>
      </x:c>
      <x:c r="D736" s="23" t="n">
        <x:v>46508</x:v>
      </x:c>
      <x:c r="E736" s="20" t="str">
        <x:v>P015</x:v>
      </x:c>
      <x:c r="F736" s="20" t="str">
        <x:v>U015</x:v>
      </x:c>
      <x:c r="G736" s="20" t="str">
        <x:v>L015</x:v>
      </x:c>
      <x:c r="H736" s="20" t="str">
        <x:v>4000 Rental Income</x:v>
      </x:c>
      <x:c r="I736" s="26" t="n">
        <x:v>0</x:v>
      </x:c>
      <x:c r="J736" s="26" t="n">
        <x:v>1725</x:v>
      </x:c>
      <x:c r="K736" s="35" t="str">
        <x:v>May 2027 rent</x:v>
      </x:c>
    </x:row>
    <x:row r="737">
      <x:c r="A737" s="20" t="str">
        <x:v>FIN-00365</x:v>
      </x:c>
      <x:c r="B737" s="32" t="n">
        <x:v>1</x:v>
      </x:c>
      <x:c r="C737" s="23" t="n">
        <x:v>46510</x:v>
      </x:c>
      <x:c r="D737" s="23" t="n">
        <x:v>46510</x:v>
      </x:c>
      <x:c r="E737" s="20" t="str">
        <x:v>P015</x:v>
      </x:c>
      <x:c r="F737" s="20" t="str">
        <x:v>U015</x:v>
      </x:c>
      <x:c r="G737" s="20" t="str">
        <x:v>L015</x:v>
      </x:c>
      <x:c r="H737" s="20" t="str">
        <x:v>1000 Operating Cash</x:v>
      </x:c>
      <x:c r="I737" s="26" t="n">
        <x:v>1725</x:v>
      </x:c>
      <x:c r="J737" s="26" t="n">
        <x:v>0</x:v>
      </x:c>
      <x:c r="K737" s="35" t="str">
        <x:v>Receipt allocated to FIN-00364</x:v>
      </x:c>
    </x:row>
    <x:row r="738">
      <x:c r="A738" s="20" t="str">
        <x:v>FIN-00365</x:v>
      </x:c>
      <x:c r="B738" s="32" t="n">
        <x:v>2</x:v>
      </x:c>
      <x:c r="C738" s="23" t="n">
        <x:v>46510</x:v>
      </x:c>
      <x:c r="D738" s="23" t="n">
        <x:v>46510</x:v>
      </x:c>
      <x:c r="E738" s="20" t="str">
        <x:v>P015</x:v>
      </x:c>
      <x:c r="F738" s="20" t="str">
        <x:v>U015</x:v>
      </x:c>
      <x:c r="G738" s="20" t="str">
        <x:v>L015</x:v>
      </x:c>
      <x:c r="H738" s="20" t="str">
        <x:v>1100 Tenant Accounts Receivable</x:v>
      </x:c>
      <x:c r="I738" s="26" t="n">
        <x:v>0</x:v>
      </x:c>
      <x:c r="J738" s="26" t="n">
        <x:v>1725</x:v>
      </x:c>
      <x:c r="K738" s="35" t="str">
        <x:v>Receipt allocated to FIN-00364</x:v>
      </x:c>
    </x:row>
    <x:row r="739">
      <x:c r="A739" s="20" t="str">
        <x:v>FIN-00366</x:v>
      </x:c>
      <x:c r="B739" s="32" t="n">
        <x:v>1</x:v>
      </x:c>
      <x:c r="C739" s="23" t="n">
        <x:v>46508</x:v>
      </x:c>
      <x:c r="D739" s="23" t="n">
        <x:v>46508</x:v>
      </x:c>
      <x:c r="E739" s="20" t="str">
        <x:v>P016</x:v>
      </x:c>
      <x:c r="F739" s="20" t="str">
        <x:v>U016</x:v>
      </x:c>
      <x:c r="G739" s="20" t="str">
        <x:v>L016</x:v>
      </x:c>
      <x:c r="H739" s="20" t="str">
        <x:v>1100 Tenant Accounts Receivable</x:v>
      </x:c>
      <x:c r="I739" s="26" t="n">
        <x:v>1350</x:v>
      </x:c>
      <x:c r="J739" s="26" t="n">
        <x:v>0</x:v>
      </x:c>
      <x:c r="K739" s="35" t="str">
        <x:v>May 2027 rent</x:v>
      </x:c>
    </x:row>
    <x:row r="740">
      <x:c r="A740" s="20" t="str">
        <x:v>FIN-00366</x:v>
      </x:c>
      <x:c r="B740" s="32" t="n">
        <x:v>2</x:v>
      </x:c>
      <x:c r="C740" s="23" t="n">
        <x:v>46508</x:v>
      </x:c>
      <x:c r="D740" s="23" t="n">
        <x:v>46508</x:v>
      </x:c>
      <x:c r="E740" s="20" t="str">
        <x:v>P016</x:v>
      </x:c>
      <x:c r="F740" s="20" t="str">
        <x:v>U016</x:v>
      </x:c>
      <x:c r="G740" s="20" t="str">
        <x:v>L016</x:v>
      </x:c>
      <x:c r="H740" s="20" t="str">
        <x:v>4000 Rental Income</x:v>
      </x:c>
      <x:c r="I740" s="26" t="n">
        <x:v>0</x:v>
      </x:c>
      <x:c r="J740" s="26" t="n">
        <x:v>1350</x:v>
      </x:c>
      <x:c r="K740" s="35" t="str">
        <x:v>May 2027 rent</x:v>
      </x:c>
    </x:row>
    <x:row r="741">
      <x:c r="A741" s="20" t="str">
        <x:v>FIN-00367</x:v>
      </x:c>
      <x:c r="B741" s="32" t="n">
        <x:v>1</x:v>
      </x:c>
      <x:c r="C741" s="23" t="n">
        <x:v>46511</x:v>
      </x:c>
      <x:c r="D741" s="23" t="n">
        <x:v>46511</x:v>
      </x:c>
      <x:c r="E741" s="20" t="str">
        <x:v>P016</x:v>
      </x:c>
      <x:c r="F741" s="20" t="str">
        <x:v>U016</x:v>
      </x:c>
      <x:c r="G741" s="20" t="str">
        <x:v>L016</x:v>
      </x:c>
      <x:c r="H741" s="20" t="str">
        <x:v>1000 Operating Cash</x:v>
      </x:c>
      <x:c r="I741" s="26" t="n">
        <x:v>1350</x:v>
      </x:c>
      <x:c r="J741" s="26" t="n">
        <x:v>0</x:v>
      </x:c>
      <x:c r="K741" s="35" t="str">
        <x:v>Receipt allocated to FIN-00366</x:v>
      </x:c>
    </x:row>
    <x:row r="742">
      <x:c r="A742" s="20" t="str">
        <x:v>FIN-00367</x:v>
      </x:c>
      <x:c r="B742" s="32" t="n">
        <x:v>2</x:v>
      </x:c>
      <x:c r="C742" s="23" t="n">
        <x:v>46511</x:v>
      </x:c>
      <x:c r="D742" s="23" t="n">
        <x:v>46511</x:v>
      </x:c>
      <x:c r="E742" s="20" t="str">
        <x:v>P016</x:v>
      </x:c>
      <x:c r="F742" s="20" t="str">
        <x:v>U016</x:v>
      </x:c>
      <x:c r="G742" s="20" t="str">
        <x:v>L016</x:v>
      </x:c>
      <x:c r="H742" s="20" t="str">
        <x:v>1100 Tenant Accounts Receivable</x:v>
      </x:c>
      <x:c r="I742" s="26" t="n">
        <x:v>0</x:v>
      </x:c>
      <x:c r="J742" s="26" t="n">
        <x:v>1350</x:v>
      </x:c>
      <x:c r="K742" s="35" t="str">
        <x:v>Receipt allocated to FIN-00366</x:v>
      </x:c>
    </x:row>
    <x:row r="743">
      <x:c r="A743" s="20" t="str">
        <x:v>FIN-00368</x:v>
      </x:c>
      <x:c r="B743" s="32" t="n">
        <x:v>1</x:v>
      </x:c>
      <x:c r="C743" s="23" t="n">
        <x:v>46508</x:v>
      </x:c>
      <x:c r="D743" s="23" t="n">
        <x:v>46508</x:v>
      </x:c>
      <x:c r="E743" s="20" t="str">
        <x:v>P017</x:v>
      </x:c>
      <x:c r="F743" s="20" t="str">
        <x:v>U017</x:v>
      </x:c>
      <x:c r="G743" s="20" t="str">
        <x:v>L017</x:v>
      </x:c>
      <x:c r="H743" s="20" t="str">
        <x:v>1100 Tenant Accounts Receivable</x:v>
      </x:c>
      <x:c r="I743" s="26" t="n">
        <x:v>1875</x:v>
      </x:c>
      <x:c r="J743" s="26" t="n">
        <x:v>0</x:v>
      </x:c>
      <x:c r="K743" s="35" t="str">
        <x:v>May 2027 rent</x:v>
      </x:c>
    </x:row>
    <x:row r="744">
      <x:c r="A744" s="20" t="str">
        <x:v>FIN-00368</x:v>
      </x:c>
      <x:c r="B744" s="32" t="n">
        <x:v>2</x:v>
      </x:c>
      <x:c r="C744" s="23" t="n">
        <x:v>46508</x:v>
      </x:c>
      <x:c r="D744" s="23" t="n">
        <x:v>46508</x:v>
      </x:c>
      <x:c r="E744" s="20" t="str">
        <x:v>P017</x:v>
      </x:c>
      <x:c r="F744" s="20" t="str">
        <x:v>U017</x:v>
      </x:c>
      <x:c r="G744" s="20" t="str">
        <x:v>L017</x:v>
      </x:c>
      <x:c r="H744" s="20" t="str">
        <x:v>4000 Rental Income</x:v>
      </x:c>
      <x:c r="I744" s="26" t="n">
        <x:v>0</x:v>
      </x:c>
      <x:c r="J744" s="26" t="n">
        <x:v>1875</x:v>
      </x:c>
      <x:c r="K744" s="35" t="str">
        <x:v>May 2027 rent</x:v>
      </x:c>
    </x:row>
    <x:row r="745">
      <x:c r="A745" s="20" t="str">
        <x:v>FIN-00369</x:v>
      </x:c>
      <x:c r="B745" s="32" t="n">
        <x:v>1</x:v>
      </x:c>
      <x:c r="C745" s="23" t="n">
        <x:v>46512</x:v>
      </x:c>
      <x:c r="D745" s="23" t="n">
        <x:v>46512</x:v>
      </x:c>
      <x:c r="E745" s="20" t="str">
        <x:v>P017</x:v>
      </x:c>
      <x:c r="F745" s="20" t="str">
        <x:v>U017</x:v>
      </x:c>
      <x:c r="G745" s="20" t="str">
        <x:v>L017</x:v>
      </x:c>
      <x:c r="H745" s="20" t="str">
        <x:v>1000 Operating Cash</x:v>
      </x:c>
      <x:c r="I745" s="26" t="n">
        <x:v>1875</x:v>
      </x:c>
      <x:c r="J745" s="26" t="n">
        <x:v>0</x:v>
      </x:c>
      <x:c r="K745" s="35" t="str">
        <x:v>Receipt allocated to FIN-00368</x:v>
      </x:c>
    </x:row>
    <x:row r="746">
      <x:c r="A746" s="20" t="str">
        <x:v>FIN-00369</x:v>
      </x:c>
      <x:c r="B746" s="32" t="n">
        <x:v>2</x:v>
      </x:c>
      <x:c r="C746" s="23" t="n">
        <x:v>46512</x:v>
      </x:c>
      <x:c r="D746" s="23" t="n">
        <x:v>46512</x:v>
      </x:c>
      <x:c r="E746" s="20" t="str">
        <x:v>P017</x:v>
      </x:c>
      <x:c r="F746" s="20" t="str">
        <x:v>U017</x:v>
      </x:c>
      <x:c r="G746" s="20" t="str">
        <x:v>L017</x:v>
      </x:c>
      <x:c r="H746" s="20" t="str">
        <x:v>1100 Tenant Accounts Receivable</x:v>
      </x:c>
      <x:c r="I746" s="26" t="n">
        <x:v>0</x:v>
      </x:c>
      <x:c r="J746" s="26" t="n">
        <x:v>1875</x:v>
      </x:c>
      <x:c r="K746" s="35" t="str">
        <x:v>Receipt allocated to FIN-00368</x:v>
      </x:c>
    </x:row>
    <x:row r="747">
      <x:c r="A747" s="20" t="str">
        <x:v>FIN-00370</x:v>
      </x:c>
      <x:c r="B747" s="32" t="n">
        <x:v>1</x:v>
      </x:c>
      <x:c r="C747" s="23" t="n">
        <x:v>46508</x:v>
      </x:c>
      <x:c r="D747" s="23" t="n">
        <x:v>46508</x:v>
      </x:c>
      <x:c r="E747" s="20" t="str">
        <x:v>P018</x:v>
      </x:c>
      <x:c r="F747" s="20" t="str">
        <x:v>U018</x:v>
      </x:c>
      <x:c r="G747" s="20" t="str">
        <x:v>L018</x:v>
      </x:c>
      <x:c r="H747" s="20" t="str">
        <x:v>1100 Tenant Accounts Receivable</x:v>
      </x:c>
      <x:c r="I747" s="26" t="n">
        <x:v>1500</x:v>
      </x:c>
      <x:c r="J747" s="26" t="n">
        <x:v>0</x:v>
      </x:c>
      <x:c r="K747" s="35" t="str">
        <x:v>May 2027 rent</x:v>
      </x:c>
    </x:row>
    <x:row r="748">
      <x:c r="A748" s="20" t="str">
        <x:v>FIN-00370</x:v>
      </x:c>
      <x:c r="B748" s="32" t="n">
        <x:v>2</x:v>
      </x:c>
      <x:c r="C748" s="23" t="n">
        <x:v>46508</x:v>
      </x:c>
      <x:c r="D748" s="23" t="n">
        <x:v>46508</x:v>
      </x:c>
      <x:c r="E748" s="20" t="str">
        <x:v>P018</x:v>
      </x:c>
      <x:c r="F748" s="20" t="str">
        <x:v>U018</x:v>
      </x:c>
      <x:c r="G748" s="20" t="str">
        <x:v>L018</x:v>
      </x:c>
      <x:c r="H748" s="20" t="str">
        <x:v>4000 Rental Income</x:v>
      </x:c>
      <x:c r="I748" s="26" t="n">
        <x:v>0</x:v>
      </x:c>
      <x:c r="J748" s="26" t="n">
        <x:v>1500</x:v>
      </x:c>
      <x:c r="K748" s="35" t="str">
        <x:v>May 2027 rent</x:v>
      </x:c>
    </x:row>
    <x:row r="749">
      <x:c r="A749" s="20" t="str">
        <x:v>FIN-00371</x:v>
      </x:c>
      <x:c r="B749" s="32" t="n">
        <x:v>1</x:v>
      </x:c>
      <x:c r="C749" s="23" t="n">
        <x:v>46510</x:v>
      </x:c>
      <x:c r="D749" s="23" t="n">
        <x:v>46510</x:v>
      </x:c>
      <x:c r="E749" s="20" t="str">
        <x:v>P018</x:v>
      </x:c>
      <x:c r="F749" s="20" t="str">
        <x:v>U018</x:v>
      </x:c>
      <x:c r="G749" s="20" t="str">
        <x:v>L018</x:v>
      </x:c>
      <x:c r="H749" s="20" t="str">
        <x:v>1000 Operating Cash</x:v>
      </x:c>
      <x:c r="I749" s="26" t="n">
        <x:v>1500</x:v>
      </x:c>
      <x:c r="J749" s="26" t="n">
        <x:v>0</x:v>
      </x:c>
      <x:c r="K749" s="35" t="str">
        <x:v>Receipt allocated to FIN-00370</x:v>
      </x:c>
    </x:row>
    <x:row r="750">
      <x:c r="A750" s="20" t="str">
        <x:v>FIN-00371</x:v>
      </x:c>
      <x:c r="B750" s="32" t="n">
        <x:v>2</x:v>
      </x:c>
      <x:c r="C750" s="23" t="n">
        <x:v>46510</x:v>
      </x:c>
      <x:c r="D750" s="23" t="n">
        <x:v>46510</x:v>
      </x:c>
      <x:c r="E750" s="20" t="str">
        <x:v>P018</x:v>
      </x:c>
      <x:c r="F750" s="20" t="str">
        <x:v>U018</x:v>
      </x:c>
      <x:c r="G750" s="20" t="str">
        <x:v>L018</x:v>
      </x:c>
      <x:c r="H750" s="20" t="str">
        <x:v>1100 Tenant Accounts Receivable</x:v>
      </x:c>
      <x:c r="I750" s="26" t="n">
        <x:v>0</x:v>
      </x:c>
      <x:c r="J750" s="26" t="n">
        <x:v>1500</x:v>
      </x:c>
      <x:c r="K750" s="35" t="str">
        <x:v>Receipt allocated to FIN-00370</x:v>
      </x:c>
    </x:row>
    <x:row r="751">
      <x:c r="A751" s="20" t="str">
        <x:v>FIN-00372</x:v>
      </x:c>
      <x:c r="B751" s="32" t="n">
        <x:v>1</x:v>
      </x:c>
      <x:c r="C751" s="23" t="n">
        <x:v>46508</x:v>
      </x:c>
      <x:c r="D751" s="23" t="n">
        <x:v>46508</x:v>
      </x:c>
      <x:c r="E751" s="20" t="str">
        <x:v>P019</x:v>
      </x:c>
      <x:c r="F751" s="20" t="str">
        <x:v>U019</x:v>
      </x:c>
      <x:c r="G751" s="20" t="str">
        <x:v>L019</x:v>
      </x:c>
      <x:c r="H751" s="20" t="str">
        <x:v>1100 Tenant Accounts Receivable</x:v>
      </x:c>
      <x:c r="I751" s="26" t="n">
        <x:v>1125</x:v>
      </x:c>
      <x:c r="J751" s="26" t="n">
        <x:v>0</x:v>
      </x:c>
      <x:c r="K751" s="35" t="str">
        <x:v>May 2027 rent</x:v>
      </x:c>
    </x:row>
    <x:row r="752">
      <x:c r="A752" s="20" t="str">
        <x:v>FIN-00372</x:v>
      </x:c>
      <x:c r="B752" s="32" t="n">
        <x:v>2</x:v>
      </x:c>
      <x:c r="C752" s="23" t="n">
        <x:v>46508</x:v>
      </x:c>
      <x:c r="D752" s="23" t="n">
        <x:v>46508</x:v>
      </x:c>
      <x:c r="E752" s="20" t="str">
        <x:v>P019</x:v>
      </x:c>
      <x:c r="F752" s="20" t="str">
        <x:v>U019</x:v>
      </x:c>
      <x:c r="G752" s="20" t="str">
        <x:v>L019</x:v>
      </x:c>
      <x:c r="H752" s="20" t="str">
        <x:v>4000 Rental Income</x:v>
      </x:c>
      <x:c r="I752" s="26" t="n">
        <x:v>0</x:v>
      </x:c>
      <x:c r="J752" s="26" t="n">
        <x:v>1125</x:v>
      </x:c>
      <x:c r="K752" s="35" t="str">
        <x:v>May 2027 rent</x:v>
      </x:c>
    </x:row>
    <x:row r="753">
      <x:c r="A753" s="20" t="str">
        <x:v>FIN-00373</x:v>
      </x:c>
      <x:c r="B753" s="32" t="n">
        <x:v>1</x:v>
      </x:c>
      <x:c r="C753" s="23" t="n">
        <x:v>46511</x:v>
      </x:c>
      <x:c r="D753" s="23" t="n">
        <x:v>46511</x:v>
      </x:c>
      <x:c r="E753" s="20" t="str">
        <x:v>P019</x:v>
      </x:c>
      <x:c r="F753" s="20" t="str">
        <x:v>U019</x:v>
      </x:c>
      <x:c r="G753" s="20" t="str">
        <x:v>L019</x:v>
      </x:c>
      <x:c r="H753" s="20" t="str">
        <x:v>1000 Operating Cash</x:v>
      </x:c>
      <x:c r="I753" s="26" t="n">
        <x:v>1125</x:v>
      </x:c>
      <x:c r="J753" s="26" t="n">
        <x:v>0</x:v>
      </x:c>
      <x:c r="K753" s="35" t="str">
        <x:v>Receipt allocated to FIN-00372</x:v>
      </x:c>
    </x:row>
    <x:row r="754">
      <x:c r="A754" s="20" t="str">
        <x:v>FIN-00373</x:v>
      </x:c>
      <x:c r="B754" s="32" t="n">
        <x:v>2</x:v>
      </x:c>
      <x:c r="C754" s="23" t="n">
        <x:v>46511</x:v>
      </x:c>
      <x:c r="D754" s="23" t="n">
        <x:v>46511</x:v>
      </x:c>
      <x:c r="E754" s="20" t="str">
        <x:v>P019</x:v>
      </x:c>
      <x:c r="F754" s="20" t="str">
        <x:v>U019</x:v>
      </x:c>
      <x:c r="G754" s="20" t="str">
        <x:v>L019</x:v>
      </x:c>
      <x:c r="H754" s="20" t="str">
        <x:v>1100 Tenant Accounts Receivable</x:v>
      </x:c>
      <x:c r="I754" s="26" t="n">
        <x:v>0</x:v>
      </x:c>
      <x:c r="J754" s="26" t="n">
        <x:v>1125</x:v>
      </x:c>
      <x:c r="K754" s="35" t="str">
        <x:v>Receipt allocated to FIN-00372</x:v>
      </x:c>
    </x:row>
    <x:row r="755">
      <x:c r="A755" s="20" t="str">
        <x:v>FIN-00374</x:v>
      </x:c>
      <x:c r="B755" s="32" t="n">
        <x:v>1</x:v>
      </x:c>
      <x:c r="C755" s="23" t="n">
        <x:v>46508</x:v>
      </x:c>
      <x:c r="D755" s="23" t="n">
        <x:v>46508</x:v>
      </x:c>
      <x:c r="E755" s="20" t="str">
        <x:v>P020</x:v>
      </x:c>
      <x:c r="F755" s="20" t="str">
        <x:v>U020</x:v>
      </x:c>
      <x:c r="G755" s="20" t="str">
        <x:v>L020</x:v>
      </x:c>
      <x:c r="H755" s="20" t="str">
        <x:v>1100 Tenant Accounts Receivable</x:v>
      </x:c>
      <x:c r="I755" s="26" t="n">
        <x:v>1650</x:v>
      </x:c>
      <x:c r="J755" s="26" t="n">
        <x:v>0</x:v>
      </x:c>
      <x:c r="K755" s="35" t="str">
        <x:v>May 2027 rent</x:v>
      </x:c>
    </x:row>
    <x:row r="756">
      <x:c r="A756" s="20" t="str">
        <x:v>FIN-00374</x:v>
      </x:c>
      <x:c r="B756" s="32" t="n">
        <x:v>2</x:v>
      </x:c>
      <x:c r="C756" s="23" t="n">
        <x:v>46508</x:v>
      </x:c>
      <x:c r="D756" s="23" t="n">
        <x:v>46508</x:v>
      </x:c>
      <x:c r="E756" s="20" t="str">
        <x:v>P020</x:v>
      </x:c>
      <x:c r="F756" s="20" t="str">
        <x:v>U020</x:v>
      </x:c>
      <x:c r="G756" s="20" t="str">
        <x:v>L020</x:v>
      </x:c>
      <x:c r="H756" s="20" t="str">
        <x:v>4000 Rental Income</x:v>
      </x:c>
      <x:c r="I756" s="26" t="n">
        <x:v>0</x:v>
      </x:c>
      <x:c r="J756" s="26" t="n">
        <x:v>1650</x:v>
      </x:c>
      <x:c r="K756" s="35" t="str">
        <x:v>May 2027 rent</x:v>
      </x:c>
    </x:row>
    <x:row r="757">
      <x:c r="A757" s="20" t="str">
        <x:v>FIN-00375</x:v>
      </x:c>
      <x:c r="B757" s="32" t="n">
        <x:v>1</x:v>
      </x:c>
      <x:c r="C757" s="23" t="n">
        <x:v>46512</x:v>
      </x:c>
      <x:c r="D757" s="23" t="n">
        <x:v>46512</x:v>
      </x:c>
      <x:c r="E757" s="20" t="str">
        <x:v>P020</x:v>
      </x:c>
      <x:c r="F757" s="20" t="str">
        <x:v>U020</x:v>
      </x:c>
      <x:c r="G757" s="20" t="str">
        <x:v>L020</x:v>
      </x:c>
      <x:c r="H757" s="20" t="str">
        <x:v>1000 Operating Cash</x:v>
      </x:c>
      <x:c r="I757" s="26" t="n">
        <x:v>1650</x:v>
      </x:c>
      <x:c r="J757" s="26" t="n">
        <x:v>0</x:v>
      </x:c>
      <x:c r="K757" s="35" t="str">
        <x:v>Receipt allocated to FIN-00374</x:v>
      </x:c>
    </x:row>
    <x:row r="758">
      <x:c r="A758" s="20" t="str">
        <x:v>FIN-00375</x:v>
      </x:c>
      <x:c r="B758" s="32" t="n">
        <x:v>2</x:v>
      </x:c>
      <x:c r="C758" s="23" t="n">
        <x:v>46512</x:v>
      </x:c>
      <x:c r="D758" s="23" t="n">
        <x:v>46512</x:v>
      </x:c>
      <x:c r="E758" s="20" t="str">
        <x:v>P020</x:v>
      </x:c>
      <x:c r="F758" s="20" t="str">
        <x:v>U020</x:v>
      </x:c>
      <x:c r="G758" s="20" t="str">
        <x:v>L020</x:v>
      </x:c>
      <x:c r="H758" s="20" t="str">
        <x:v>1100 Tenant Accounts Receivable</x:v>
      </x:c>
      <x:c r="I758" s="26" t="n">
        <x:v>0</x:v>
      </x:c>
      <x:c r="J758" s="26" t="n">
        <x:v>1650</x:v>
      </x:c>
      <x:c r="K758" s="35" t="str">
        <x:v>Receipt allocated to FIN-00374</x:v>
      </x:c>
    </x:row>
    <x:row r="759">
      <x:c r="A759" s="20" t="str">
        <x:v>FIN-00376</x:v>
      </x:c>
      <x:c r="B759" s="32" t="n">
        <x:v>1</x:v>
      </x:c>
      <x:c r="C759" s="23" t="n">
        <x:v>46508</x:v>
      </x:c>
      <x:c r="D759" s="23" t="n">
        <x:v>46508</x:v>
      </x:c>
      <x:c r="E759" s="20" t="str">
        <x:v>P021</x:v>
      </x:c>
      <x:c r="F759" s="20" t="str">
        <x:v>U021</x:v>
      </x:c>
      <x:c r="G759" s="20" t="str">
        <x:v>L021</x:v>
      </x:c>
      <x:c r="H759" s="20" t="str">
        <x:v>1100 Tenant Accounts Receivable</x:v>
      </x:c>
      <x:c r="I759" s="26" t="n">
        <x:v>1375</x:v>
      </x:c>
      <x:c r="J759" s="26" t="n">
        <x:v>0</x:v>
      </x:c>
      <x:c r="K759" s="35" t="str">
        <x:v>May 2027 rent</x:v>
      </x:c>
    </x:row>
    <x:row r="760">
      <x:c r="A760" s="20" t="str">
        <x:v>FIN-00376</x:v>
      </x:c>
      <x:c r="B760" s="32" t="n">
        <x:v>2</x:v>
      </x:c>
      <x:c r="C760" s="23" t="n">
        <x:v>46508</x:v>
      </x:c>
      <x:c r="D760" s="23" t="n">
        <x:v>46508</x:v>
      </x:c>
      <x:c r="E760" s="20" t="str">
        <x:v>P021</x:v>
      </x:c>
      <x:c r="F760" s="20" t="str">
        <x:v>U021</x:v>
      </x:c>
      <x:c r="G760" s="20" t="str">
        <x:v>L021</x:v>
      </x:c>
      <x:c r="H760" s="20" t="str">
        <x:v>4000 Rental Income</x:v>
      </x:c>
      <x:c r="I760" s="26" t="n">
        <x:v>0</x:v>
      </x:c>
      <x:c r="J760" s="26" t="n">
        <x:v>1375</x:v>
      </x:c>
      <x:c r="K760" s="35" t="str">
        <x:v>May 2027 rent</x:v>
      </x:c>
    </x:row>
    <x:row r="761">
      <x:c r="A761" s="20" t="str">
        <x:v>FIN-00377</x:v>
      </x:c>
      <x:c r="B761" s="32" t="n">
        <x:v>1</x:v>
      </x:c>
      <x:c r="C761" s="23" t="n">
        <x:v>46510</x:v>
      </x:c>
      <x:c r="D761" s="23" t="n">
        <x:v>46510</x:v>
      </x:c>
      <x:c r="E761" s="20" t="str">
        <x:v>P021</x:v>
      </x:c>
      <x:c r="F761" s="20" t="str">
        <x:v>U021</x:v>
      </x:c>
      <x:c r="G761" s="20" t="str">
        <x:v>L021</x:v>
      </x:c>
      <x:c r="H761" s="20" t="str">
        <x:v>1000 Operating Cash</x:v>
      </x:c>
      <x:c r="I761" s="26" t="n">
        <x:v>1375</x:v>
      </x:c>
      <x:c r="J761" s="26" t="n">
        <x:v>0</x:v>
      </x:c>
      <x:c r="K761" s="35" t="str">
        <x:v>Receipt allocated to FIN-00376</x:v>
      </x:c>
    </x:row>
    <x:row r="762">
      <x:c r="A762" s="20" t="str">
        <x:v>FIN-00377</x:v>
      </x:c>
      <x:c r="B762" s="32" t="n">
        <x:v>2</x:v>
      </x:c>
      <x:c r="C762" s="23" t="n">
        <x:v>46510</x:v>
      </x:c>
      <x:c r="D762" s="23" t="n">
        <x:v>46510</x:v>
      </x:c>
      <x:c r="E762" s="20" t="str">
        <x:v>P021</x:v>
      </x:c>
      <x:c r="F762" s="20" t="str">
        <x:v>U021</x:v>
      </x:c>
      <x:c r="G762" s="20" t="str">
        <x:v>L021</x:v>
      </x:c>
      <x:c r="H762" s="20" t="str">
        <x:v>1100 Tenant Accounts Receivable</x:v>
      </x:c>
      <x:c r="I762" s="26" t="n">
        <x:v>0</x:v>
      </x:c>
      <x:c r="J762" s="26" t="n">
        <x:v>1375</x:v>
      </x:c>
      <x:c r="K762" s="35" t="str">
        <x:v>Receipt allocated to FIN-00376</x:v>
      </x:c>
    </x:row>
    <x:row r="763">
      <x:c r="A763" s="20" t="str">
        <x:v>FIN-00378</x:v>
      </x:c>
      <x:c r="B763" s="32" t="n">
        <x:v>1</x:v>
      </x:c>
      <x:c r="C763" s="23" t="n">
        <x:v>46508</x:v>
      </x:c>
      <x:c r="D763" s="23" t="n">
        <x:v>46508</x:v>
      </x:c>
      <x:c r="E763" s="20" t="str">
        <x:v>P021</x:v>
      </x:c>
      <x:c r="F763" s="20" t="str">
        <x:v>U022</x:v>
      </x:c>
      <x:c r="G763" s="20" t="str">
        <x:v>L022</x:v>
      </x:c>
      <x:c r="H763" s="20" t="str">
        <x:v>1100 Tenant Accounts Receivable</x:v>
      </x:c>
      <x:c r="I763" s="26" t="n">
        <x:v>1900</x:v>
      </x:c>
      <x:c r="J763" s="26" t="n">
        <x:v>0</x:v>
      </x:c>
      <x:c r="K763" s="35" t="str">
        <x:v>May 2027 rent</x:v>
      </x:c>
    </x:row>
    <x:row r="764">
      <x:c r="A764" s="20" t="str">
        <x:v>FIN-00378</x:v>
      </x:c>
      <x:c r="B764" s="32" t="n">
        <x:v>2</x:v>
      </x:c>
      <x:c r="C764" s="23" t="n">
        <x:v>46508</x:v>
      </x:c>
      <x:c r="D764" s="23" t="n">
        <x:v>46508</x:v>
      </x:c>
      <x:c r="E764" s="20" t="str">
        <x:v>P021</x:v>
      </x:c>
      <x:c r="F764" s="20" t="str">
        <x:v>U022</x:v>
      </x:c>
      <x:c r="G764" s="20" t="str">
        <x:v>L022</x:v>
      </x:c>
      <x:c r="H764" s="20" t="str">
        <x:v>4000 Rental Income</x:v>
      </x:c>
      <x:c r="I764" s="26" t="n">
        <x:v>0</x:v>
      </x:c>
      <x:c r="J764" s="26" t="n">
        <x:v>1900</x:v>
      </x:c>
      <x:c r="K764" s="35" t="str">
        <x:v>May 2027 rent</x:v>
      </x:c>
    </x:row>
    <x:row r="765">
      <x:c r="A765" s="20" t="str">
        <x:v>FIN-00379</x:v>
      </x:c>
      <x:c r="B765" s="32" t="n">
        <x:v>1</x:v>
      </x:c>
      <x:c r="C765" s="23" t="n">
        <x:v>46510</x:v>
      </x:c>
      <x:c r="D765" s="23" t="n">
        <x:v>46510</x:v>
      </x:c>
      <x:c r="E765" s="20" t="str">
        <x:v>P021</x:v>
      </x:c>
      <x:c r="F765" s="20" t="str">
        <x:v>U022</x:v>
      </x:c>
      <x:c r="G765" s="20" t="str">
        <x:v>L022</x:v>
      </x:c>
      <x:c r="H765" s="20" t="str">
        <x:v>1000 Operating Cash</x:v>
      </x:c>
      <x:c r="I765" s="26" t="n">
        <x:v>1140</x:v>
      </x:c>
      <x:c r="J765" s="26" t="n">
        <x:v>0</x:v>
      </x:c>
      <x:c r="K765" s="35" t="str">
        <x:v>Receipt allocated to FIN-00378</x:v>
      </x:c>
    </x:row>
    <x:row r="766">
      <x:c r="A766" s="20" t="str">
        <x:v>FIN-00379</x:v>
      </x:c>
      <x:c r="B766" s="32" t="n">
        <x:v>2</x:v>
      </x:c>
      <x:c r="C766" s="23" t="n">
        <x:v>46510</x:v>
      </x:c>
      <x:c r="D766" s="23" t="n">
        <x:v>46510</x:v>
      </x:c>
      <x:c r="E766" s="20" t="str">
        <x:v>P021</x:v>
      </x:c>
      <x:c r="F766" s="20" t="str">
        <x:v>U022</x:v>
      </x:c>
      <x:c r="G766" s="20" t="str">
        <x:v>L022</x:v>
      </x:c>
      <x:c r="H766" s="20" t="str">
        <x:v>1100 Tenant Accounts Receivable</x:v>
      </x:c>
      <x:c r="I766" s="26" t="n">
        <x:v>0</x:v>
      </x:c>
      <x:c r="J766" s="26" t="n">
        <x:v>1140</x:v>
      </x:c>
      <x:c r="K766" s="35" t="str">
        <x:v>Receipt allocated to FIN-00378</x:v>
      </x:c>
    </x:row>
    <x:row r="767">
      <x:c r="A767" s="20" t="str">
        <x:v>FIN-00380</x:v>
      </x:c>
      <x:c r="B767" s="32" t="n">
        <x:v>1</x:v>
      </x:c>
      <x:c r="C767" s="23" t="n">
        <x:v>46513</x:v>
      </x:c>
      <x:c r="D767" s="23" t="n">
        <x:v>46513</x:v>
      </x:c>
      <x:c r="E767" s="20" t="str">
        <x:v>P021</x:v>
      </x:c>
      <x:c r="F767" s="20" t="str">
        <x:v>U022</x:v>
      </x:c>
      <x:c r="G767" s="20" t="str">
        <x:v>L022</x:v>
      </x:c>
      <x:c r="H767" s="20" t="str">
        <x:v>1100 Tenant Accounts Receivable</x:v>
      </x:c>
      <x:c r="I767" s="26" t="n">
        <x:v>50</x:v>
      </x:c>
      <x:c r="J767" s="26" t="n">
        <x:v>0</x:v>
      </x:c>
      <x:c r="K767" s="35" t="str">
        <x:v>Synthetic lease-authorized late fee after partial payment</x:v>
      </x:c>
    </x:row>
    <x:row r="768">
      <x:c r="A768" s="20" t="str">
        <x:v>FIN-00380</x:v>
      </x:c>
      <x:c r="B768" s="32" t="n">
        <x:v>2</x:v>
      </x:c>
      <x:c r="C768" s="23" t="n">
        <x:v>46513</x:v>
      </x:c>
      <x:c r="D768" s="23" t="n">
        <x:v>46513</x:v>
      </x:c>
      <x:c r="E768" s="20" t="str">
        <x:v>P021</x:v>
      </x:c>
      <x:c r="F768" s="20" t="str">
        <x:v>U022</x:v>
      </x:c>
      <x:c r="G768" s="20" t="str">
        <x:v>L022</x:v>
      </x:c>
      <x:c r="H768" s="20" t="str">
        <x:v>4010 Late Fee Income</x:v>
      </x:c>
      <x:c r="I768" s="26" t="n">
        <x:v>0</x:v>
      </x:c>
      <x:c r="J768" s="26" t="n">
        <x:v>50</x:v>
      </x:c>
      <x:c r="K768" s="35" t="str">
        <x:v>Synthetic lease-authorized late fee after partial payment</x:v>
      </x:c>
    </x:row>
    <x:row r="769">
      <x:c r="A769" s="20" t="str">
        <x:v>FIN-00381</x:v>
      </x:c>
      <x:c r="B769" s="32" t="n">
        <x:v>1</x:v>
      </x:c>
      <x:c r="C769" s="23" t="n">
        <x:v>46519</x:v>
      </x:c>
      <x:c r="D769" s="23" t="n">
        <x:v>46519</x:v>
      </x:c>
      <x:c r="E769" s="20" t="str">
        <x:v>P021</x:v>
      </x:c>
      <x:c r="F769" s="20" t="str">
        <x:v>U022</x:v>
      </x:c>
      <x:c r="G769" s="20" t="str">
        <x:v>L022</x:v>
      </x:c>
      <x:c r="H769" s="20" t="str">
        <x:v>1000 Operating Cash</x:v>
      </x:c>
      <x:c r="I769" s="26" t="n">
        <x:v>810</x:v>
      </x:c>
      <x:c r="J769" s="26" t="n">
        <x:v>0</x:v>
      </x:c>
      <x:c r="K769" s="35" t="str">
        <x:v>Receipt allocated to FIN-00380</x:v>
      </x:c>
    </x:row>
    <x:row r="770">
      <x:c r="A770" s="20" t="str">
        <x:v>FIN-00381</x:v>
      </x:c>
      <x:c r="B770" s="32" t="n">
        <x:v>2</x:v>
      </x:c>
      <x:c r="C770" s="23" t="n">
        <x:v>46519</x:v>
      </x:c>
      <x:c r="D770" s="23" t="n">
        <x:v>46519</x:v>
      </x:c>
      <x:c r="E770" s="20" t="str">
        <x:v>P021</x:v>
      </x:c>
      <x:c r="F770" s="20" t="str">
        <x:v>U022</x:v>
      </x:c>
      <x:c r="G770" s="20" t="str">
        <x:v>L022</x:v>
      </x:c>
      <x:c r="H770" s="20" t="str">
        <x:v>1100 Tenant Accounts Receivable</x:v>
      </x:c>
      <x:c r="I770" s="26" t="n">
        <x:v>0</x:v>
      </x:c>
      <x:c r="J770" s="26" t="n">
        <x:v>810</x:v>
      </x:c>
      <x:c r="K770" s="35" t="str">
        <x:v>Receipt allocated to FIN-00380</x:v>
      </x:c>
    </x:row>
    <x:row r="771">
      <x:c r="A771" s="20" t="str">
        <x:v>FIN-00382</x:v>
      </x:c>
      <x:c r="B771" s="32" t="n">
        <x:v>1</x:v>
      </x:c>
      <x:c r="C771" s="23" t="n">
        <x:v>46508</x:v>
      </x:c>
      <x:c r="D771" s="23" t="n">
        <x:v>46508</x:v>
      </x:c>
      <x:c r="E771" s="20" t="str">
        <x:v>P022</x:v>
      </x:c>
      <x:c r="F771" s="20" t="str">
        <x:v>U023</x:v>
      </x:c>
      <x:c r="G771" s="20" t="str">
        <x:v>L023</x:v>
      </x:c>
      <x:c r="H771" s="20" t="str">
        <x:v>1100 Tenant Accounts Receivable</x:v>
      </x:c>
      <x:c r="I771" s="26" t="n">
        <x:v>1525</x:v>
      </x:c>
      <x:c r="J771" s="26" t="n">
        <x:v>0</x:v>
      </x:c>
      <x:c r="K771" s="35" t="str">
        <x:v>May 2027 rent</x:v>
      </x:c>
    </x:row>
    <x:row r="772">
      <x:c r="A772" s="20" t="str">
        <x:v>FIN-00382</x:v>
      </x:c>
      <x:c r="B772" s="32" t="n">
        <x:v>2</x:v>
      </x:c>
      <x:c r="C772" s="23" t="n">
        <x:v>46508</x:v>
      </x:c>
      <x:c r="D772" s="23" t="n">
        <x:v>46508</x:v>
      </x:c>
      <x:c r="E772" s="20" t="str">
        <x:v>P022</x:v>
      </x:c>
      <x:c r="F772" s="20" t="str">
        <x:v>U023</x:v>
      </x:c>
      <x:c r="G772" s="20" t="str">
        <x:v>L023</x:v>
      </x:c>
      <x:c r="H772" s="20" t="str">
        <x:v>4000 Rental Income</x:v>
      </x:c>
      <x:c r="I772" s="26" t="n">
        <x:v>0</x:v>
      </x:c>
      <x:c r="J772" s="26" t="n">
        <x:v>1525</x:v>
      </x:c>
      <x:c r="K772" s="35" t="str">
        <x:v>May 2027 rent</x:v>
      </x:c>
    </x:row>
    <x:row r="773">
      <x:c r="A773" s="20" t="str">
        <x:v>FIN-00383</x:v>
      </x:c>
      <x:c r="B773" s="32" t="n">
        <x:v>1</x:v>
      </x:c>
      <x:c r="C773" s="23" t="n">
        <x:v>46512</x:v>
      </x:c>
      <x:c r="D773" s="23" t="n">
        <x:v>46512</x:v>
      </x:c>
      <x:c r="E773" s="20" t="str">
        <x:v>P022</x:v>
      </x:c>
      <x:c r="F773" s="20" t="str">
        <x:v>U023</x:v>
      </x:c>
      <x:c r="G773" s="20" t="str">
        <x:v>L023</x:v>
      </x:c>
      <x:c r="H773" s="20" t="str">
        <x:v>1000 Operating Cash</x:v>
      </x:c>
      <x:c r="I773" s="26" t="n">
        <x:v>1525</x:v>
      </x:c>
      <x:c r="J773" s="26" t="n">
        <x:v>0</x:v>
      </x:c>
      <x:c r="K773" s="35" t="str">
        <x:v>Receipt allocated to FIN-00382</x:v>
      </x:c>
    </x:row>
    <x:row r="774">
      <x:c r="A774" s="20" t="str">
        <x:v>FIN-00383</x:v>
      </x:c>
      <x:c r="B774" s="32" t="n">
        <x:v>2</x:v>
      </x:c>
      <x:c r="C774" s="23" t="n">
        <x:v>46512</x:v>
      </x:c>
      <x:c r="D774" s="23" t="n">
        <x:v>46512</x:v>
      </x:c>
      <x:c r="E774" s="20" t="str">
        <x:v>P022</x:v>
      </x:c>
      <x:c r="F774" s="20" t="str">
        <x:v>U023</x:v>
      </x:c>
      <x:c r="G774" s="20" t="str">
        <x:v>L023</x:v>
      </x:c>
      <x:c r="H774" s="20" t="str">
        <x:v>1100 Tenant Accounts Receivable</x:v>
      </x:c>
      <x:c r="I774" s="26" t="n">
        <x:v>0</x:v>
      </x:c>
      <x:c r="J774" s="26" t="n">
        <x:v>1525</x:v>
      </x:c>
      <x:c r="K774" s="35" t="str">
        <x:v>Receipt allocated to FIN-00382</x:v>
      </x:c>
    </x:row>
    <x:row r="775">
      <x:c r="A775" s="20" t="str">
        <x:v>FIN-00384</x:v>
      </x:c>
      <x:c r="B775" s="32" t="n">
        <x:v>1</x:v>
      </x:c>
      <x:c r="C775" s="23" t="n">
        <x:v>46508</x:v>
      </x:c>
      <x:c r="D775" s="23" t="n">
        <x:v>46508</x:v>
      </x:c>
      <x:c r="E775" s="20" t="str">
        <x:v>P022</x:v>
      </x:c>
      <x:c r="F775" s="20" t="str">
        <x:v>U024</x:v>
      </x:c>
      <x:c r="G775" s="20" t="str">
        <x:v>L024</x:v>
      </x:c>
      <x:c r="H775" s="20" t="str">
        <x:v>1100 Tenant Accounts Receivable</x:v>
      </x:c>
      <x:c r="I775" s="26" t="n">
        <x:v>1150</x:v>
      </x:c>
      <x:c r="J775" s="26" t="n">
        <x:v>0</x:v>
      </x:c>
      <x:c r="K775" s="35" t="str">
        <x:v>May 2027 rent</x:v>
      </x:c>
    </x:row>
    <x:row r="776">
      <x:c r="A776" s="20" t="str">
        <x:v>FIN-00384</x:v>
      </x:c>
      <x:c r="B776" s="32" t="n">
        <x:v>2</x:v>
      </x:c>
      <x:c r="C776" s="23" t="n">
        <x:v>46508</x:v>
      </x:c>
      <x:c r="D776" s="23" t="n">
        <x:v>46508</x:v>
      </x:c>
      <x:c r="E776" s="20" t="str">
        <x:v>P022</x:v>
      </x:c>
      <x:c r="F776" s="20" t="str">
        <x:v>U024</x:v>
      </x:c>
      <x:c r="G776" s="20" t="str">
        <x:v>L024</x:v>
      </x:c>
      <x:c r="H776" s="20" t="str">
        <x:v>4000 Rental Income</x:v>
      </x:c>
      <x:c r="I776" s="26" t="n">
        <x:v>0</x:v>
      </x:c>
      <x:c r="J776" s="26" t="n">
        <x:v>1150</x:v>
      </x:c>
      <x:c r="K776" s="35" t="str">
        <x:v>May 2027 rent</x:v>
      </x:c>
    </x:row>
    <x:row r="777">
      <x:c r="A777" s="20" t="str">
        <x:v>FIN-00385</x:v>
      </x:c>
      <x:c r="B777" s="32" t="n">
        <x:v>1</x:v>
      </x:c>
      <x:c r="C777" s="23" t="n">
        <x:v>46510</x:v>
      </x:c>
      <x:c r="D777" s="23" t="n">
        <x:v>46510</x:v>
      </x:c>
      <x:c r="E777" s="20" t="str">
        <x:v>P022</x:v>
      </x:c>
      <x:c r="F777" s="20" t="str">
        <x:v>U024</x:v>
      </x:c>
      <x:c r="G777" s="20" t="str">
        <x:v>L024</x:v>
      </x:c>
      <x:c r="H777" s="20" t="str">
        <x:v>1000 Operating Cash</x:v>
      </x:c>
      <x:c r="I777" s="26" t="n">
        <x:v>1150</x:v>
      </x:c>
      <x:c r="J777" s="26" t="n">
        <x:v>0</x:v>
      </x:c>
      <x:c r="K777" s="35" t="str">
        <x:v>Receipt allocated to FIN-00384</x:v>
      </x:c>
    </x:row>
    <x:row r="778">
      <x:c r="A778" s="20" t="str">
        <x:v>FIN-00385</x:v>
      </x:c>
      <x:c r="B778" s="32" t="n">
        <x:v>2</x:v>
      </x:c>
      <x:c r="C778" s="23" t="n">
        <x:v>46510</x:v>
      </x:c>
      <x:c r="D778" s="23" t="n">
        <x:v>46510</x:v>
      </x:c>
      <x:c r="E778" s="20" t="str">
        <x:v>P022</x:v>
      </x:c>
      <x:c r="F778" s="20" t="str">
        <x:v>U024</x:v>
      </x:c>
      <x:c r="G778" s="20" t="str">
        <x:v>L024</x:v>
      </x:c>
      <x:c r="H778" s="20" t="str">
        <x:v>1100 Tenant Accounts Receivable</x:v>
      </x:c>
      <x:c r="I778" s="26" t="n">
        <x:v>0</x:v>
      </x:c>
      <x:c r="J778" s="26" t="n">
        <x:v>1150</x:v>
      </x:c>
      <x:c r="K778" s="35" t="str">
        <x:v>Receipt allocated to FIN-00384</x:v>
      </x:c>
    </x:row>
    <x:row r="779">
      <x:c r="A779" s="20" t="str">
        <x:v>FIN-00386</x:v>
      </x:c>
      <x:c r="B779" s="32" t="n">
        <x:v>1</x:v>
      </x:c>
      <x:c r="C779" s="23" t="n">
        <x:v>46508</x:v>
      </x:c>
      <x:c r="D779" s="23" t="n">
        <x:v>46508</x:v>
      </x:c>
      <x:c r="E779" s="20" t="str">
        <x:v>P023</x:v>
      </x:c>
      <x:c r="F779" s="20" t="str">
        <x:v>U025</x:v>
      </x:c>
      <x:c r="G779" s="20" t="str">
        <x:v>L025</x:v>
      </x:c>
      <x:c r="H779" s="20" t="str">
        <x:v>1100 Tenant Accounts Receivable</x:v>
      </x:c>
      <x:c r="I779" s="26" t="n">
        <x:v>1675</x:v>
      </x:c>
      <x:c r="J779" s="26" t="n">
        <x:v>0</x:v>
      </x:c>
      <x:c r="K779" s="35" t="str">
        <x:v>May 2027 rent</x:v>
      </x:c>
    </x:row>
    <x:row r="780">
      <x:c r="A780" s="20" t="str">
        <x:v>FIN-00386</x:v>
      </x:c>
      <x:c r="B780" s="32" t="n">
        <x:v>2</x:v>
      </x:c>
      <x:c r="C780" s="23" t="n">
        <x:v>46508</x:v>
      </x:c>
      <x:c r="D780" s="23" t="n">
        <x:v>46508</x:v>
      </x:c>
      <x:c r="E780" s="20" t="str">
        <x:v>P023</x:v>
      </x:c>
      <x:c r="F780" s="20" t="str">
        <x:v>U025</x:v>
      </x:c>
      <x:c r="G780" s="20" t="str">
        <x:v>L025</x:v>
      </x:c>
      <x:c r="H780" s="20" t="str">
        <x:v>4000 Rental Income</x:v>
      </x:c>
      <x:c r="I780" s="26" t="n">
        <x:v>0</x:v>
      </x:c>
      <x:c r="J780" s="26" t="n">
        <x:v>1675</x:v>
      </x:c>
      <x:c r="K780" s="35" t="str">
        <x:v>May 2027 rent</x:v>
      </x:c>
    </x:row>
    <x:row r="781">
      <x:c r="A781" s="20" t="str">
        <x:v>FIN-00387</x:v>
      </x:c>
      <x:c r="B781" s="32" t="n">
        <x:v>1</x:v>
      </x:c>
      <x:c r="C781" s="23" t="n">
        <x:v>46511</x:v>
      </x:c>
      <x:c r="D781" s="23" t="n">
        <x:v>46511</x:v>
      </x:c>
      <x:c r="E781" s="20" t="str">
        <x:v>P023</x:v>
      </x:c>
      <x:c r="F781" s="20" t="str">
        <x:v>U025</x:v>
      </x:c>
      <x:c r="G781" s="20" t="str">
        <x:v>L025</x:v>
      </x:c>
      <x:c r="H781" s="20" t="str">
        <x:v>1000 Operating Cash</x:v>
      </x:c>
      <x:c r="I781" s="26" t="n">
        <x:v>1675</x:v>
      </x:c>
      <x:c r="J781" s="26" t="n">
        <x:v>0</x:v>
      </x:c>
      <x:c r="K781" s="35" t="str">
        <x:v>Receipt allocated to FIN-00386</x:v>
      </x:c>
    </x:row>
    <x:row r="782">
      <x:c r="A782" s="20" t="str">
        <x:v>FIN-00387</x:v>
      </x:c>
      <x:c r="B782" s="32" t="n">
        <x:v>2</x:v>
      </x:c>
      <x:c r="C782" s="23" t="n">
        <x:v>46511</x:v>
      </x:c>
      <x:c r="D782" s="23" t="n">
        <x:v>46511</x:v>
      </x:c>
      <x:c r="E782" s="20" t="str">
        <x:v>P023</x:v>
      </x:c>
      <x:c r="F782" s="20" t="str">
        <x:v>U025</x:v>
      </x:c>
      <x:c r="G782" s="20" t="str">
        <x:v>L025</x:v>
      </x:c>
      <x:c r="H782" s="20" t="str">
        <x:v>1100 Tenant Accounts Receivable</x:v>
      </x:c>
      <x:c r="I782" s="26" t="n">
        <x:v>0</x:v>
      </x:c>
      <x:c r="J782" s="26" t="n">
        <x:v>1675</x:v>
      </x:c>
      <x:c r="K782" s="35" t="str">
        <x:v>Receipt allocated to FIN-00386</x:v>
      </x:c>
    </x:row>
    <x:row r="783">
      <x:c r="A783" s="20" t="str">
        <x:v>FIN-00388</x:v>
      </x:c>
      <x:c r="B783" s="32" t="n">
        <x:v>1</x:v>
      </x:c>
      <x:c r="C783" s="23" t="n">
        <x:v>46508</x:v>
      </x:c>
      <x:c r="D783" s="23" t="n">
        <x:v>46508</x:v>
      </x:c>
      <x:c r="E783" s="20" t="str">
        <x:v>P023</x:v>
      </x:c>
      <x:c r="F783" s="20" t="str">
        <x:v>U026</x:v>
      </x:c>
      <x:c r="G783" s="20" t="str">
        <x:v>L026</x:v>
      </x:c>
      <x:c r="H783" s="20" t="str">
        <x:v>1100 Tenant Accounts Receivable</x:v>
      </x:c>
      <x:c r="I783" s="26" t="n">
        <x:v>1300</x:v>
      </x:c>
      <x:c r="J783" s="26" t="n">
        <x:v>0</x:v>
      </x:c>
      <x:c r="K783" s="35" t="str">
        <x:v>May 2027 rent</x:v>
      </x:c>
    </x:row>
    <x:row r="784">
      <x:c r="A784" s="20" t="str">
        <x:v>FIN-00388</x:v>
      </x:c>
      <x:c r="B784" s="32" t="n">
        <x:v>2</x:v>
      </x:c>
      <x:c r="C784" s="23" t="n">
        <x:v>46508</x:v>
      </x:c>
      <x:c r="D784" s="23" t="n">
        <x:v>46508</x:v>
      </x:c>
      <x:c r="E784" s="20" t="str">
        <x:v>P023</x:v>
      </x:c>
      <x:c r="F784" s="20" t="str">
        <x:v>U026</x:v>
      </x:c>
      <x:c r="G784" s="20" t="str">
        <x:v>L026</x:v>
      </x:c>
      <x:c r="H784" s="20" t="str">
        <x:v>4000 Rental Income</x:v>
      </x:c>
      <x:c r="I784" s="26" t="n">
        <x:v>0</x:v>
      </x:c>
      <x:c r="J784" s="26" t="n">
        <x:v>1300</x:v>
      </x:c>
      <x:c r="K784" s="35" t="str">
        <x:v>May 2027 rent</x:v>
      </x:c>
    </x:row>
    <x:row r="785">
      <x:c r="A785" s="20" t="str">
        <x:v>FIN-00389</x:v>
      </x:c>
      <x:c r="B785" s="32" t="n">
        <x:v>1</x:v>
      </x:c>
      <x:c r="C785" s="23" t="n">
        <x:v>46513</x:v>
      </x:c>
      <x:c r="D785" s="23" t="n">
        <x:v>46513</x:v>
      </x:c>
      <x:c r="E785" s="20" t="str">
        <x:v>P023</x:v>
      </x:c>
      <x:c r="F785" s="20" t="str">
        <x:v>U026</x:v>
      </x:c>
      <x:c r="G785" s="20" t="str">
        <x:v>L026</x:v>
      </x:c>
      <x:c r="H785" s="20" t="str">
        <x:v>1100 Tenant Accounts Receivable</x:v>
      </x:c>
      <x:c r="I785" s="26" t="n">
        <x:v>50</x:v>
      </x:c>
      <x:c r="J785" s="26" t="n">
        <x:v>0</x:v>
      </x:c>
      <x:c r="K785" s="35" t="str">
        <x:v>Synthetic lease-authorized late fee</x:v>
      </x:c>
    </x:row>
    <x:row r="786">
      <x:c r="A786" s="20" t="str">
        <x:v>FIN-00389</x:v>
      </x:c>
      <x:c r="B786" s="32" t="n">
        <x:v>2</x:v>
      </x:c>
      <x:c r="C786" s="23" t="n">
        <x:v>46513</x:v>
      </x:c>
      <x:c r="D786" s="23" t="n">
        <x:v>46513</x:v>
      </x:c>
      <x:c r="E786" s="20" t="str">
        <x:v>P023</x:v>
      </x:c>
      <x:c r="F786" s="20" t="str">
        <x:v>U026</x:v>
      </x:c>
      <x:c r="G786" s="20" t="str">
        <x:v>L026</x:v>
      </x:c>
      <x:c r="H786" s="20" t="str">
        <x:v>4010 Late Fee Income</x:v>
      </x:c>
      <x:c r="I786" s="26" t="n">
        <x:v>0</x:v>
      </x:c>
      <x:c r="J786" s="26" t="n">
        <x:v>50</x:v>
      </x:c>
      <x:c r="K786" s="35" t="str">
        <x:v>Synthetic lease-authorized late fee</x:v>
      </x:c>
    </x:row>
    <x:row r="787">
      <x:c r="A787" s="20" t="str">
        <x:v>FIN-00390</x:v>
      </x:c>
      <x:c r="B787" s="32" t="n">
        <x:v>1</x:v>
      </x:c>
      <x:c r="C787" s="23" t="n">
        <x:v>46515</x:v>
      </x:c>
      <x:c r="D787" s="23" t="n">
        <x:v>46515</x:v>
      </x:c>
      <x:c r="E787" s="20" t="str">
        <x:v>P023</x:v>
      </x:c>
      <x:c r="F787" s="20" t="str">
        <x:v>U026</x:v>
      </x:c>
      <x:c r="G787" s="20" t="str">
        <x:v>L026</x:v>
      </x:c>
      <x:c r="H787" s="20" t="str">
        <x:v>1000 Operating Cash</x:v>
      </x:c>
      <x:c r="I787" s="26" t="n">
        <x:v>1350</x:v>
      </x:c>
      <x:c r="J787" s="26" t="n">
        <x:v>0</x:v>
      </x:c>
      <x:c r="K787" s="35" t="str">
        <x:v>Receipt allocated to FIN-00389</x:v>
      </x:c>
    </x:row>
    <x:row r="788">
      <x:c r="A788" s="20" t="str">
        <x:v>FIN-00390</x:v>
      </x:c>
      <x:c r="B788" s="32" t="n">
        <x:v>2</x:v>
      </x:c>
      <x:c r="C788" s="23" t="n">
        <x:v>46515</x:v>
      </x:c>
      <x:c r="D788" s="23" t="n">
        <x:v>46515</x:v>
      </x:c>
      <x:c r="E788" s="20" t="str">
        <x:v>P023</x:v>
      </x:c>
      <x:c r="F788" s="20" t="str">
        <x:v>U026</x:v>
      </x:c>
      <x:c r="G788" s="20" t="str">
        <x:v>L026</x:v>
      </x:c>
      <x:c r="H788" s="20" t="str">
        <x:v>1100 Tenant Accounts Receivable</x:v>
      </x:c>
      <x:c r="I788" s="26" t="n">
        <x:v>0</x:v>
      </x:c>
      <x:c r="J788" s="26" t="n">
        <x:v>1350</x:v>
      </x:c>
      <x:c r="K788" s="35" t="str">
        <x:v>Receipt allocated to FIN-00389</x:v>
      </x:c>
    </x:row>
    <x:row r="789">
      <x:c r="A789" s="20" t="str">
        <x:v>FIN-00391</x:v>
      </x:c>
      <x:c r="B789" s="32" t="n">
        <x:v>1</x:v>
      </x:c>
      <x:c r="C789" s="23" t="n">
        <x:v>46508</x:v>
      </x:c>
      <x:c r="D789" s="23" t="n">
        <x:v>46508</x:v>
      </x:c>
      <x:c r="E789" s="20" t="str">
        <x:v>P024</x:v>
      </x:c>
      <x:c r="F789" s="20" t="str">
        <x:v>U027</x:v>
      </x:c>
      <x:c r="G789" s="20" t="str">
        <x:v>L027</x:v>
      </x:c>
      <x:c r="H789" s="20" t="str">
        <x:v>1100 Tenant Accounts Receivable</x:v>
      </x:c>
      <x:c r="I789" s="26" t="n">
        <x:v>1825</x:v>
      </x:c>
      <x:c r="J789" s="26" t="n">
        <x:v>0</x:v>
      </x:c>
      <x:c r="K789" s="35" t="str">
        <x:v>May 2027 rent</x:v>
      </x:c>
    </x:row>
    <x:row r="790">
      <x:c r="A790" s="20" t="str">
        <x:v>FIN-00391</x:v>
      </x:c>
      <x:c r="B790" s="32" t="n">
        <x:v>2</x:v>
      </x:c>
      <x:c r="C790" s="23" t="n">
        <x:v>46508</x:v>
      </x:c>
      <x:c r="D790" s="23" t="n">
        <x:v>46508</x:v>
      </x:c>
      <x:c r="E790" s="20" t="str">
        <x:v>P024</x:v>
      </x:c>
      <x:c r="F790" s="20" t="str">
        <x:v>U027</x:v>
      </x:c>
      <x:c r="G790" s="20" t="str">
        <x:v>L027</x:v>
      </x:c>
      <x:c r="H790" s="20" t="str">
        <x:v>4000 Rental Income</x:v>
      </x:c>
      <x:c r="I790" s="26" t="n">
        <x:v>0</x:v>
      </x:c>
      <x:c r="J790" s="26" t="n">
        <x:v>1825</x:v>
      </x:c>
      <x:c r="K790" s="35" t="str">
        <x:v>May 2027 rent</x:v>
      </x:c>
    </x:row>
    <x:row r="791">
      <x:c r="A791" s="20" t="str">
        <x:v>FIN-00392</x:v>
      </x:c>
      <x:c r="B791" s="32" t="n">
        <x:v>1</x:v>
      </x:c>
      <x:c r="C791" s="23" t="n">
        <x:v>46510</x:v>
      </x:c>
      <x:c r="D791" s="23" t="n">
        <x:v>46510</x:v>
      </x:c>
      <x:c r="E791" s="20" t="str">
        <x:v>P024</x:v>
      </x:c>
      <x:c r="F791" s="20" t="str">
        <x:v>U027</x:v>
      </x:c>
      <x:c r="G791" s="20" t="str">
        <x:v>L027</x:v>
      </x:c>
      <x:c r="H791" s="20" t="str">
        <x:v>1000 Operating Cash</x:v>
      </x:c>
      <x:c r="I791" s="26" t="n">
        <x:v>1825</x:v>
      </x:c>
      <x:c r="J791" s="26" t="n">
        <x:v>0</x:v>
      </x:c>
      <x:c r="K791" s="35" t="str">
        <x:v>Receipt allocated to FIN-00391</x:v>
      </x:c>
    </x:row>
    <x:row r="792">
      <x:c r="A792" s="20" t="str">
        <x:v>FIN-00392</x:v>
      </x:c>
      <x:c r="B792" s="32" t="n">
        <x:v>2</x:v>
      </x:c>
      <x:c r="C792" s="23" t="n">
        <x:v>46510</x:v>
      </x:c>
      <x:c r="D792" s="23" t="n">
        <x:v>46510</x:v>
      </x:c>
      <x:c r="E792" s="20" t="str">
        <x:v>P024</x:v>
      </x:c>
      <x:c r="F792" s="20" t="str">
        <x:v>U027</x:v>
      </x:c>
      <x:c r="G792" s="20" t="str">
        <x:v>L027</x:v>
      </x:c>
      <x:c r="H792" s="20" t="str">
        <x:v>1100 Tenant Accounts Receivable</x:v>
      </x:c>
      <x:c r="I792" s="26" t="n">
        <x:v>0</x:v>
      </x:c>
      <x:c r="J792" s="26" t="n">
        <x:v>1825</x:v>
      </x:c>
      <x:c r="K792" s="35" t="str">
        <x:v>Receipt allocated to FIN-00391</x:v>
      </x:c>
    </x:row>
    <x:row r="793">
      <x:c r="A793" s="20" t="str">
        <x:v>FIN-00393</x:v>
      </x:c>
      <x:c r="B793" s="32" t="n">
        <x:v>1</x:v>
      </x:c>
      <x:c r="C793" s="23" t="n">
        <x:v>46508</x:v>
      </x:c>
      <x:c r="D793" s="23" t="n">
        <x:v>46508</x:v>
      </x:c>
      <x:c r="E793" s="20" t="str">
        <x:v>P024</x:v>
      </x:c>
      <x:c r="F793" s="20" t="str">
        <x:v>U028</x:v>
      </x:c>
      <x:c r="G793" s="20" t="str">
        <x:v>L028</x:v>
      </x:c>
      <x:c r="H793" s="20" t="str">
        <x:v>1100 Tenant Accounts Receivable</x:v>
      </x:c>
      <x:c r="I793" s="26" t="n">
        <x:v>1450</x:v>
      </x:c>
      <x:c r="J793" s="26" t="n">
        <x:v>0</x:v>
      </x:c>
      <x:c r="K793" s="35" t="str">
        <x:v>May 2027 rent</x:v>
      </x:c>
    </x:row>
    <x:row r="794">
      <x:c r="A794" s="20" t="str">
        <x:v>FIN-00393</x:v>
      </x:c>
      <x:c r="B794" s="32" t="n">
        <x:v>2</x:v>
      </x:c>
      <x:c r="C794" s="23" t="n">
        <x:v>46508</x:v>
      </x:c>
      <x:c r="D794" s="23" t="n">
        <x:v>46508</x:v>
      </x:c>
      <x:c r="E794" s="20" t="str">
        <x:v>P024</x:v>
      </x:c>
      <x:c r="F794" s="20" t="str">
        <x:v>U028</x:v>
      </x:c>
      <x:c r="G794" s="20" t="str">
        <x:v>L028</x:v>
      </x:c>
      <x:c r="H794" s="20" t="str">
        <x:v>4000 Rental Income</x:v>
      </x:c>
      <x:c r="I794" s="26" t="n">
        <x:v>0</x:v>
      </x:c>
      <x:c r="J794" s="26" t="n">
        <x:v>1450</x:v>
      </x:c>
      <x:c r="K794" s="35" t="str">
        <x:v>May 2027 rent</x:v>
      </x:c>
    </x:row>
    <x:row r="795">
      <x:c r="A795" s="20" t="str">
        <x:v>FIN-00394</x:v>
      </x:c>
      <x:c r="B795" s="32" t="n">
        <x:v>1</x:v>
      </x:c>
      <x:c r="C795" s="23" t="n">
        <x:v>46511</x:v>
      </x:c>
      <x:c r="D795" s="23" t="n">
        <x:v>46511</x:v>
      </x:c>
      <x:c r="E795" s="20" t="str">
        <x:v>P024</x:v>
      </x:c>
      <x:c r="F795" s="20" t="str">
        <x:v>U028</x:v>
      </x:c>
      <x:c r="G795" s="20" t="str">
        <x:v>L028</x:v>
      </x:c>
      <x:c r="H795" s="20" t="str">
        <x:v>1000 Operating Cash</x:v>
      </x:c>
      <x:c r="I795" s="26" t="n">
        <x:v>1450</x:v>
      </x:c>
      <x:c r="J795" s="26" t="n">
        <x:v>0</x:v>
      </x:c>
      <x:c r="K795" s="35" t="str">
        <x:v>Receipt allocated to FIN-00393</x:v>
      </x:c>
    </x:row>
    <x:row r="796">
      <x:c r="A796" s="20" t="str">
        <x:v>FIN-00394</x:v>
      </x:c>
      <x:c r="B796" s="32" t="n">
        <x:v>2</x:v>
      </x:c>
      <x:c r="C796" s="23" t="n">
        <x:v>46511</x:v>
      </x:c>
      <x:c r="D796" s="23" t="n">
        <x:v>46511</x:v>
      </x:c>
      <x:c r="E796" s="20" t="str">
        <x:v>P024</x:v>
      </x:c>
      <x:c r="F796" s="20" t="str">
        <x:v>U028</x:v>
      </x:c>
      <x:c r="G796" s="20" t="str">
        <x:v>L028</x:v>
      </x:c>
      <x:c r="H796" s="20" t="str">
        <x:v>1100 Tenant Accounts Receivable</x:v>
      </x:c>
      <x:c r="I796" s="26" t="n">
        <x:v>0</x:v>
      </x:c>
      <x:c r="J796" s="26" t="n">
        <x:v>1450</x:v>
      </x:c>
      <x:c r="K796" s="35" t="str">
        <x:v>Receipt allocated to FIN-00393</x:v>
      </x:c>
    </x:row>
    <x:row r="797">
      <x:c r="A797" s="20" t="str">
        <x:v>FIN-00395</x:v>
      </x:c>
      <x:c r="B797" s="32" t="n">
        <x:v>1</x:v>
      </x:c>
      <x:c r="C797" s="23" t="n">
        <x:v>46508</x:v>
      </x:c>
      <x:c r="D797" s="23" t="n">
        <x:v>46508</x:v>
      </x:c>
      <x:c r="E797" s="20" t="str">
        <x:v>P025</x:v>
      </x:c>
      <x:c r="F797" s="20" t="str">
        <x:v>U029</x:v>
      </x:c>
      <x:c r="G797" s="20" t="str">
        <x:v>L029</x:v>
      </x:c>
      <x:c r="H797" s="20" t="str">
        <x:v>1100 Tenant Accounts Receivable</x:v>
      </x:c>
      <x:c r="I797" s="26" t="n">
        <x:v>1975</x:v>
      </x:c>
      <x:c r="J797" s="26" t="n">
        <x:v>0</x:v>
      </x:c>
      <x:c r="K797" s="35" t="str">
        <x:v>May 2027 rent</x:v>
      </x:c>
    </x:row>
    <x:row r="798">
      <x:c r="A798" s="20" t="str">
        <x:v>FIN-00395</x:v>
      </x:c>
      <x:c r="B798" s="32" t="n">
        <x:v>2</x:v>
      </x:c>
      <x:c r="C798" s="23" t="n">
        <x:v>46508</x:v>
      </x:c>
      <x:c r="D798" s="23" t="n">
        <x:v>46508</x:v>
      </x:c>
      <x:c r="E798" s="20" t="str">
        <x:v>P025</x:v>
      </x:c>
      <x:c r="F798" s="20" t="str">
        <x:v>U029</x:v>
      </x:c>
      <x:c r="G798" s="20" t="str">
        <x:v>L029</x:v>
      </x:c>
      <x:c r="H798" s="20" t="str">
        <x:v>4000 Rental Income</x:v>
      </x:c>
      <x:c r="I798" s="26" t="n">
        <x:v>0</x:v>
      </x:c>
      <x:c r="J798" s="26" t="n">
        <x:v>1975</x:v>
      </x:c>
      <x:c r="K798" s="35" t="str">
        <x:v>May 2027 rent</x:v>
      </x:c>
    </x:row>
    <x:row r="799">
      <x:c r="A799" s="20" t="str">
        <x:v>FIN-00396</x:v>
      </x:c>
      <x:c r="B799" s="32" t="n">
        <x:v>1</x:v>
      </x:c>
      <x:c r="C799" s="23" t="n">
        <x:v>46512</x:v>
      </x:c>
      <x:c r="D799" s="23" t="n">
        <x:v>46512</x:v>
      </x:c>
      <x:c r="E799" s="20" t="str">
        <x:v>P025</x:v>
      </x:c>
      <x:c r="F799" s="20" t="str">
        <x:v>U029</x:v>
      </x:c>
      <x:c r="G799" s="20" t="str">
        <x:v>L029</x:v>
      </x:c>
      <x:c r="H799" s="20" t="str">
        <x:v>1000 Operating Cash</x:v>
      </x:c>
      <x:c r="I799" s="26" t="n">
        <x:v>1975</x:v>
      </x:c>
      <x:c r="J799" s="26" t="n">
        <x:v>0</x:v>
      </x:c>
      <x:c r="K799" s="35" t="str">
        <x:v>Receipt allocated to FIN-00395</x:v>
      </x:c>
    </x:row>
    <x:row r="800">
      <x:c r="A800" s="20" t="str">
        <x:v>FIN-00396</x:v>
      </x:c>
      <x:c r="B800" s="32" t="n">
        <x:v>2</x:v>
      </x:c>
      <x:c r="C800" s="23" t="n">
        <x:v>46512</x:v>
      </x:c>
      <x:c r="D800" s="23" t="n">
        <x:v>46512</x:v>
      </x:c>
      <x:c r="E800" s="20" t="str">
        <x:v>P025</x:v>
      </x:c>
      <x:c r="F800" s="20" t="str">
        <x:v>U029</x:v>
      </x:c>
      <x:c r="G800" s="20" t="str">
        <x:v>L029</x:v>
      </x:c>
      <x:c r="H800" s="20" t="str">
        <x:v>1100 Tenant Accounts Receivable</x:v>
      </x:c>
      <x:c r="I800" s="26" t="n">
        <x:v>0</x:v>
      </x:c>
      <x:c r="J800" s="26" t="n">
        <x:v>1975</x:v>
      </x:c>
      <x:c r="K800" s="35" t="str">
        <x:v>Receipt allocated to FIN-00395</x:v>
      </x:c>
    </x:row>
    <x:row r="801">
      <x:c r="A801" s="20" t="str">
        <x:v>FIN-00397</x:v>
      </x:c>
      <x:c r="B801" s="32" t="n">
        <x:v>1</x:v>
      </x:c>
      <x:c r="C801" s="23" t="n">
        <x:v>46508</x:v>
      </x:c>
      <x:c r="D801" s="23" t="n">
        <x:v>46508</x:v>
      </x:c>
      <x:c r="E801" s="20" t="str">
        <x:v>P025</x:v>
      </x:c>
      <x:c r="F801" s="20" t="str">
        <x:v>U030</x:v>
      </x:c>
      <x:c r="G801" s="20" t="str">
        <x:v>L030</x:v>
      </x:c>
      <x:c r="H801" s="20" t="str">
        <x:v>1100 Tenant Accounts Receivable</x:v>
      </x:c>
      <x:c r="I801" s="26" t="n">
        <x:v>1600</x:v>
      </x:c>
      <x:c r="J801" s="26" t="n">
        <x:v>0</x:v>
      </x:c>
      <x:c r="K801" s="35" t="str">
        <x:v>May 2027 rent</x:v>
      </x:c>
    </x:row>
    <x:row r="802">
      <x:c r="A802" s="20" t="str">
        <x:v>FIN-00397</x:v>
      </x:c>
      <x:c r="B802" s="32" t="n">
        <x:v>2</x:v>
      </x:c>
      <x:c r="C802" s="23" t="n">
        <x:v>46508</x:v>
      </x:c>
      <x:c r="D802" s="23" t="n">
        <x:v>46508</x:v>
      </x:c>
      <x:c r="E802" s="20" t="str">
        <x:v>P025</x:v>
      </x:c>
      <x:c r="F802" s="20" t="str">
        <x:v>U030</x:v>
      </x:c>
      <x:c r="G802" s="20" t="str">
        <x:v>L030</x:v>
      </x:c>
      <x:c r="H802" s="20" t="str">
        <x:v>4000 Rental Income</x:v>
      </x:c>
      <x:c r="I802" s="26" t="n">
        <x:v>0</x:v>
      </x:c>
      <x:c r="J802" s="26" t="n">
        <x:v>1600</x:v>
      </x:c>
      <x:c r="K802" s="35" t="str">
        <x:v>May 2027 rent</x:v>
      </x:c>
    </x:row>
    <x:row r="803">
      <x:c r="A803" s="20" t="str">
        <x:v>FIN-00398</x:v>
      </x:c>
      <x:c r="B803" s="32" t="n">
        <x:v>1</x:v>
      </x:c>
      <x:c r="C803" s="23" t="n">
        <x:v>46510</x:v>
      </x:c>
      <x:c r="D803" s="23" t="n">
        <x:v>46510</x:v>
      </x:c>
      <x:c r="E803" s="20" t="str">
        <x:v>P025</x:v>
      </x:c>
      <x:c r="F803" s="20" t="str">
        <x:v>U030</x:v>
      </x:c>
      <x:c r="G803" s="20" t="str">
        <x:v>L030</x:v>
      </x:c>
      <x:c r="H803" s="20" t="str">
        <x:v>1000 Operating Cash</x:v>
      </x:c>
      <x:c r="I803" s="26" t="n">
        <x:v>1600</x:v>
      </x:c>
      <x:c r="J803" s="26" t="n">
        <x:v>0</x:v>
      </x:c>
      <x:c r="K803" s="35" t="str">
        <x:v>Receipt allocated to FIN-00397</x:v>
      </x:c>
    </x:row>
    <x:row r="804">
      <x:c r="A804" s="20" t="str">
        <x:v>FIN-00398</x:v>
      </x:c>
      <x:c r="B804" s="32" t="n">
        <x:v>2</x:v>
      </x:c>
      <x:c r="C804" s="23" t="n">
        <x:v>46510</x:v>
      </x:c>
      <x:c r="D804" s="23" t="n">
        <x:v>46510</x:v>
      </x:c>
      <x:c r="E804" s="20" t="str">
        <x:v>P025</x:v>
      </x:c>
      <x:c r="F804" s="20" t="str">
        <x:v>U030</x:v>
      </x:c>
      <x:c r="G804" s="20" t="str">
        <x:v>L030</x:v>
      </x:c>
      <x:c r="H804" s="20" t="str">
        <x:v>1100 Tenant Accounts Receivable</x:v>
      </x:c>
      <x:c r="I804" s="26" t="n">
        <x:v>0</x:v>
      </x:c>
      <x:c r="J804" s="26" t="n">
        <x:v>1600</x:v>
      </x:c>
      <x:c r="K804" s="35" t="str">
        <x:v>Receipt allocated to FIN-00397</x:v>
      </x:c>
    </x:row>
    <x:row r="805">
      <x:c r="A805" s="20" t="str">
        <x:v>FIN-00399</x:v>
      </x:c>
      <x:c r="B805" s="32" t="n">
        <x:v>1</x:v>
      </x:c>
      <x:c r="C805" s="23" t="n">
        <x:v>46508</x:v>
      </x:c>
      <x:c r="D805" s="23" t="n">
        <x:v>46508</x:v>
      </x:c>
      <x:c r="E805" s="20" t="str">
        <x:v>P026</x:v>
      </x:c>
      <x:c r="F805" s="20" t="str">
        <x:v>U031</x:v>
      </x:c>
      <x:c r="G805" s="20" t="str">
        <x:v>L031</x:v>
      </x:c>
      <x:c r="H805" s="20" t="str">
        <x:v>1100 Tenant Accounts Receivable</x:v>
      </x:c>
      <x:c r="I805" s="26" t="n">
        <x:v>1225</x:v>
      </x:c>
      <x:c r="J805" s="26" t="n">
        <x:v>0</x:v>
      </x:c>
      <x:c r="K805" s="35" t="str">
        <x:v>May 2027 rent</x:v>
      </x:c>
    </x:row>
    <x:row r="806">
      <x:c r="A806" s="20" t="str">
        <x:v>FIN-00399</x:v>
      </x:c>
      <x:c r="B806" s="32" t="n">
        <x:v>2</x:v>
      </x:c>
      <x:c r="C806" s="23" t="n">
        <x:v>46508</x:v>
      </x:c>
      <x:c r="D806" s="23" t="n">
        <x:v>46508</x:v>
      </x:c>
      <x:c r="E806" s="20" t="str">
        <x:v>P026</x:v>
      </x:c>
      <x:c r="F806" s="20" t="str">
        <x:v>U031</x:v>
      </x:c>
      <x:c r="G806" s="20" t="str">
        <x:v>L031</x:v>
      </x:c>
      <x:c r="H806" s="20" t="str">
        <x:v>4000 Rental Income</x:v>
      </x:c>
      <x:c r="I806" s="26" t="n">
        <x:v>0</x:v>
      </x:c>
      <x:c r="J806" s="26" t="n">
        <x:v>1225</x:v>
      </x:c>
      <x:c r="K806" s="35" t="str">
        <x:v>May 2027 rent</x:v>
      </x:c>
    </x:row>
    <x:row r="807">
      <x:c r="A807" s="20" t="str">
        <x:v>FIN-00400</x:v>
      </x:c>
      <x:c r="B807" s="32" t="n">
        <x:v>1</x:v>
      </x:c>
      <x:c r="C807" s="23" t="n">
        <x:v>46511</x:v>
      </x:c>
      <x:c r="D807" s="23" t="n">
        <x:v>46511</x:v>
      </x:c>
      <x:c r="E807" s="20" t="str">
        <x:v>P026</x:v>
      </x:c>
      <x:c r="F807" s="20" t="str">
        <x:v>U031</x:v>
      </x:c>
      <x:c r="G807" s="20" t="str">
        <x:v>L031</x:v>
      </x:c>
      <x:c r="H807" s="20" t="str">
        <x:v>1000 Operating Cash</x:v>
      </x:c>
      <x:c r="I807" s="26" t="n">
        <x:v>1225</x:v>
      </x:c>
      <x:c r="J807" s="26" t="n">
        <x:v>0</x:v>
      </x:c>
      <x:c r="K807" s="35" t="str">
        <x:v>Receipt allocated to FIN-00399</x:v>
      </x:c>
    </x:row>
    <x:row r="808">
      <x:c r="A808" s="20" t="str">
        <x:v>FIN-00400</x:v>
      </x:c>
      <x:c r="B808" s="32" t="n">
        <x:v>2</x:v>
      </x:c>
      <x:c r="C808" s="23" t="n">
        <x:v>46511</x:v>
      </x:c>
      <x:c r="D808" s="23" t="n">
        <x:v>46511</x:v>
      </x:c>
      <x:c r="E808" s="20" t="str">
        <x:v>P026</x:v>
      </x:c>
      <x:c r="F808" s="20" t="str">
        <x:v>U031</x:v>
      </x:c>
      <x:c r="G808" s="20" t="str">
        <x:v>L031</x:v>
      </x:c>
      <x:c r="H808" s="20" t="str">
        <x:v>1100 Tenant Accounts Receivable</x:v>
      </x:c>
      <x:c r="I808" s="26" t="n">
        <x:v>0</x:v>
      </x:c>
      <x:c r="J808" s="26" t="n">
        <x:v>1225</x:v>
      </x:c>
      <x:c r="K808" s="35" t="str">
        <x:v>Receipt allocated to FIN-00399</x:v>
      </x:c>
    </x:row>
    <x:row r="809">
      <x:c r="A809" s="20" t="str">
        <x:v>FIN-00401</x:v>
      </x:c>
      <x:c r="B809" s="32" t="n">
        <x:v>1</x:v>
      </x:c>
      <x:c r="C809" s="23" t="n">
        <x:v>46508</x:v>
      </x:c>
      <x:c r="D809" s="23" t="n">
        <x:v>46508</x:v>
      </x:c>
      <x:c r="E809" s="20" t="str">
        <x:v>P026</x:v>
      </x:c>
      <x:c r="F809" s="20" t="str">
        <x:v>U032</x:v>
      </x:c>
      <x:c r="G809" s="20" t="str">
        <x:v>L032</x:v>
      </x:c>
      <x:c r="H809" s="20" t="str">
        <x:v>1100 Tenant Accounts Receivable</x:v>
      </x:c>
      <x:c r="I809" s="26" t="n">
        <x:v>1750</x:v>
      </x:c>
      <x:c r="J809" s="26" t="n">
        <x:v>0</x:v>
      </x:c>
      <x:c r="K809" s="35" t="str">
        <x:v>May 2027 rent</x:v>
      </x:c>
    </x:row>
    <x:row r="810">
      <x:c r="A810" s="20" t="str">
        <x:v>FIN-00401</x:v>
      </x:c>
      <x:c r="B810" s="32" t="n">
        <x:v>2</x:v>
      </x:c>
      <x:c r="C810" s="23" t="n">
        <x:v>46508</x:v>
      </x:c>
      <x:c r="D810" s="23" t="n">
        <x:v>46508</x:v>
      </x:c>
      <x:c r="E810" s="20" t="str">
        <x:v>P026</x:v>
      </x:c>
      <x:c r="F810" s="20" t="str">
        <x:v>U032</x:v>
      </x:c>
      <x:c r="G810" s="20" t="str">
        <x:v>L032</x:v>
      </x:c>
      <x:c r="H810" s="20" t="str">
        <x:v>4000 Rental Income</x:v>
      </x:c>
      <x:c r="I810" s="26" t="n">
        <x:v>0</x:v>
      </x:c>
      <x:c r="J810" s="26" t="n">
        <x:v>1750</x:v>
      </x:c>
      <x:c r="K810" s="35" t="str">
        <x:v>May 2027 rent</x:v>
      </x:c>
    </x:row>
    <x:row r="811">
      <x:c r="A811" s="20" t="str">
        <x:v>FIN-00402</x:v>
      </x:c>
      <x:c r="B811" s="32" t="n">
        <x:v>1</x:v>
      </x:c>
      <x:c r="C811" s="23" t="n">
        <x:v>46512</x:v>
      </x:c>
      <x:c r="D811" s="23" t="n">
        <x:v>46512</x:v>
      </x:c>
      <x:c r="E811" s="20" t="str">
        <x:v>P026</x:v>
      </x:c>
      <x:c r="F811" s="20" t="str">
        <x:v>U032</x:v>
      </x:c>
      <x:c r="G811" s="20" t="str">
        <x:v>L032</x:v>
      </x:c>
      <x:c r="H811" s="20" t="str">
        <x:v>1000 Operating Cash</x:v>
      </x:c>
      <x:c r="I811" s="26" t="n">
        <x:v>1750</x:v>
      </x:c>
      <x:c r="J811" s="26" t="n">
        <x:v>0</x:v>
      </x:c>
      <x:c r="K811" s="35" t="str">
        <x:v>Receipt allocated to FIN-00401</x:v>
      </x:c>
    </x:row>
    <x:row r="812">
      <x:c r="A812" s="20" t="str">
        <x:v>FIN-00402</x:v>
      </x:c>
      <x:c r="B812" s="32" t="n">
        <x:v>2</x:v>
      </x:c>
      <x:c r="C812" s="23" t="n">
        <x:v>46512</x:v>
      </x:c>
      <x:c r="D812" s="23" t="n">
        <x:v>46512</x:v>
      </x:c>
      <x:c r="E812" s="20" t="str">
        <x:v>P026</x:v>
      </x:c>
      <x:c r="F812" s="20" t="str">
        <x:v>U032</x:v>
      </x:c>
      <x:c r="G812" s="20" t="str">
        <x:v>L032</x:v>
      </x:c>
      <x:c r="H812" s="20" t="str">
        <x:v>1100 Tenant Accounts Receivable</x:v>
      </x:c>
      <x:c r="I812" s="26" t="n">
        <x:v>0</x:v>
      </x:c>
      <x:c r="J812" s="26" t="n">
        <x:v>1750</x:v>
      </x:c>
      <x:c r="K812" s="35" t="str">
        <x:v>Receipt allocated to FIN-00401</x:v>
      </x:c>
    </x:row>
    <x:row r="813">
      <x:c r="A813" s="20" t="str">
        <x:v>FIN-00403</x:v>
      </x:c>
      <x:c r="B813" s="32" t="n">
        <x:v>1</x:v>
      </x:c>
      <x:c r="C813" s="23" t="n">
        <x:v>46508</x:v>
      </x:c>
      <x:c r="D813" s="23" t="n">
        <x:v>46508</x:v>
      </x:c>
      <x:c r="E813" s="20" t="str">
        <x:v>P027</x:v>
      </x:c>
      <x:c r="F813" s="20" t="str">
        <x:v>U033</x:v>
      </x:c>
      <x:c r="G813" s="20" t="str">
        <x:v>L033</x:v>
      </x:c>
      <x:c r="H813" s="20" t="str">
        <x:v>1100 Tenant Accounts Receivable</x:v>
      </x:c>
      <x:c r="I813" s="26" t="n">
        <x:v>1375</x:v>
      </x:c>
      <x:c r="J813" s="26" t="n">
        <x:v>0</x:v>
      </x:c>
      <x:c r="K813" s="35" t="str">
        <x:v>May 2027 rent</x:v>
      </x:c>
    </x:row>
    <x:row r="814">
      <x:c r="A814" s="20" t="str">
        <x:v>FIN-00403</x:v>
      </x:c>
      <x:c r="B814" s="32" t="n">
        <x:v>2</x:v>
      </x:c>
      <x:c r="C814" s="23" t="n">
        <x:v>46508</x:v>
      </x:c>
      <x:c r="D814" s="23" t="n">
        <x:v>46508</x:v>
      </x:c>
      <x:c r="E814" s="20" t="str">
        <x:v>P027</x:v>
      </x:c>
      <x:c r="F814" s="20" t="str">
        <x:v>U033</x:v>
      </x:c>
      <x:c r="G814" s="20" t="str">
        <x:v>L033</x:v>
      </x:c>
      <x:c r="H814" s="20" t="str">
        <x:v>4000 Rental Income</x:v>
      </x:c>
      <x:c r="I814" s="26" t="n">
        <x:v>0</x:v>
      </x:c>
      <x:c r="J814" s="26" t="n">
        <x:v>1375</x:v>
      </x:c>
      <x:c r="K814" s="35" t="str">
        <x:v>May 2027 rent</x:v>
      </x:c>
    </x:row>
    <x:row r="815">
      <x:c r="A815" s="20" t="str">
        <x:v>FIN-00404</x:v>
      </x:c>
      <x:c r="B815" s="32" t="n">
        <x:v>1</x:v>
      </x:c>
      <x:c r="C815" s="23" t="n">
        <x:v>46510</x:v>
      </x:c>
      <x:c r="D815" s="23" t="n">
        <x:v>46510</x:v>
      </x:c>
      <x:c r="E815" s="20" t="str">
        <x:v>P027</x:v>
      </x:c>
      <x:c r="F815" s="20" t="str">
        <x:v>U033</x:v>
      </x:c>
      <x:c r="G815" s="20" t="str">
        <x:v>L033</x:v>
      </x:c>
      <x:c r="H815" s="20" t="str">
        <x:v>1000 Operating Cash</x:v>
      </x:c>
      <x:c r="I815" s="26" t="n">
        <x:v>825</x:v>
      </x:c>
      <x:c r="J815" s="26" t="n">
        <x:v>0</x:v>
      </x:c>
      <x:c r="K815" s="35" t="str">
        <x:v>Receipt allocated to FIN-00403</x:v>
      </x:c>
    </x:row>
    <x:row r="816">
      <x:c r="A816" s="20" t="str">
        <x:v>FIN-00404</x:v>
      </x:c>
      <x:c r="B816" s="32" t="n">
        <x:v>2</x:v>
      </x:c>
      <x:c r="C816" s="23" t="n">
        <x:v>46510</x:v>
      </x:c>
      <x:c r="D816" s="23" t="n">
        <x:v>46510</x:v>
      </x:c>
      <x:c r="E816" s="20" t="str">
        <x:v>P027</x:v>
      </x:c>
      <x:c r="F816" s="20" t="str">
        <x:v>U033</x:v>
      </x:c>
      <x:c r="G816" s="20" t="str">
        <x:v>L033</x:v>
      </x:c>
      <x:c r="H816" s="20" t="str">
        <x:v>1100 Tenant Accounts Receivable</x:v>
      </x:c>
      <x:c r="I816" s="26" t="n">
        <x:v>0</x:v>
      </x:c>
      <x:c r="J816" s="26" t="n">
        <x:v>825</x:v>
      </x:c>
      <x:c r="K816" s="35" t="str">
        <x:v>Receipt allocated to FIN-00403</x:v>
      </x:c>
    </x:row>
    <x:row r="817">
      <x:c r="A817" s="20" t="str">
        <x:v>FIN-00405</x:v>
      </x:c>
      <x:c r="B817" s="32" t="n">
        <x:v>1</x:v>
      </x:c>
      <x:c r="C817" s="23" t="n">
        <x:v>46513</x:v>
      </x:c>
      <x:c r="D817" s="23" t="n">
        <x:v>46513</x:v>
      </x:c>
      <x:c r="E817" s="20" t="str">
        <x:v>P027</x:v>
      </x:c>
      <x:c r="F817" s="20" t="str">
        <x:v>U033</x:v>
      </x:c>
      <x:c r="G817" s="20" t="str">
        <x:v>L033</x:v>
      </x:c>
      <x:c r="H817" s="20" t="str">
        <x:v>1100 Tenant Accounts Receivable</x:v>
      </x:c>
      <x:c r="I817" s="26" t="n">
        <x:v>50</x:v>
      </x:c>
      <x:c r="J817" s="26" t="n">
        <x:v>0</x:v>
      </x:c>
      <x:c r="K817" s="35" t="str">
        <x:v>Synthetic lease-authorized late fee after partial payment</x:v>
      </x:c>
    </x:row>
    <x:row r="818">
      <x:c r="A818" s="20" t="str">
        <x:v>FIN-00405</x:v>
      </x:c>
      <x:c r="B818" s="32" t="n">
        <x:v>2</x:v>
      </x:c>
      <x:c r="C818" s="23" t="n">
        <x:v>46513</x:v>
      </x:c>
      <x:c r="D818" s="23" t="n">
        <x:v>46513</x:v>
      </x:c>
      <x:c r="E818" s="20" t="str">
        <x:v>P027</x:v>
      </x:c>
      <x:c r="F818" s="20" t="str">
        <x:v>U033</x:v>
      </x:c>
      <x:c r="G818" s="20" t="str">
        <x:v>L033</x:v>
      </x:c>
      <x:c r="H818" s="20" t="str">
        <x:v>4010 Late Fee Income</x:v>
      </x:c>
      <x:c r="I818" s="26" t="n">
        <x:v>0</x:v>
      </x:c>
      <x:c r="J818" s="26" t="n">
        <x:v>50</x:v>
      </x:c>
      <x:c r="K818" s="35" t="str">
        <x:v>Synthetic lease-authorized late fee after partial payment</x:v>
      </x:c>
    </x:row>
    <x:row r="819">
      <x:c r="A819" s="20" t="str">
        <x:v>FIN-00406</x:v>
      </x:c>
      <x:c r="B819" s="32" t="n">
        <x:v>1</x:v>
      </x:c>
      <x:c r="C819" s="23" t="n">
        <x:v>46519</x:v>
      </x:c>
      <x:c r="D819" s="23" t="n">
        <x:v>46519</x:v>
      </x:c>
      <x:c r="E819" s="20" t="str">
        <x:v>P027</x:v>
      </x:c>
      <x:c r="F819" s="20" t="str">
        <x:v>U033</x:v>
      </x:c>
      <x:c r="G819" s="20" t="str">
        <x:v>L033</x:v>
      </x:c>
      <x:c r="H819" s="20" t="str">
        <x:v>1000 Operating Cash</x:v>
      </x:c>
      <x:c r="I819" s="26" t="n">
        <x:v>600</x:v>
      </x:c>
      <x:c r="J819" s="26" t="n">
        <x:v>0</x:v>
      </x:c>
      <x:c r="K819" s="35" t="str">
        <x:v>Receipt allocated to FIN-00405</x:v>
      </x:c>
    </x:row>
    <x:row r="820">
      <x:c r="A820" s="20" t="str">
        <x:v>FIN-00406</x:v>
      </x:c>
      <x:c r="B820" s="32" t="n">
        <x:v>2</x:v>
      </x:c>
      <x:c r="C820" s="23" t="n">
        <x:v>46519</x:v>
      </x:c>
      <x:c r="D820" s="23" t="n">
        <x:v>46519</x:v>
      </x:c>
      <x:c r="E820" s="20" t="str">
        <x:v>P027</x:v>
      </x:c>
      <x:c r="F820" s="20" t="str">
        <x:v>U033</x:v>
      </x:c>
      <x:c r="G820" s="20" t="str">
        <x:v>L033</x:v>
      </x:c>
      <x:c r="H820" s="20" t="str">
        <x:v>1100 Tenant Accounts Receivable</x:v>
      </x:c>
      <x:c r="I820" s="26" t="n">
        <x:v>0</x:v>
      </x:c>
      <x:c r="J820" s="26" t="n">
        <x:v>600</x:v>
      </x:c>
      <x:c r="K820" s="35" t="str">
        <x:v>Receipt allocated to FIN-00405</x:v>
      </x:c>
    </x:row>
    <x:row r="821">
      <x:c r="A821" s="20" t="str">
        <x:v>FIN-00407</x:v>
      </x:c>
      <x:c r="B821" s="32" t="n">
        <x:v>1</x:v>
      </x:c>
      <x:c r="C821" s="23" t="n">
        <x:v>46508</x:v>
      </x:c>
      <x:c r="D821" s="23" t="n">
        <x:v>46508</x:v>
      </x:c>
      <x:c r="E821" s="20" t="str">
        <x:v>P027</x:v>
      </x:c>
      <x:c r="F821" s="20" t="str">
        <x:v>U034</x:v>
      </x:c>
      <x:c r="G821" s="20" t="str">
        <x:v>L034</x:v>
      </x:c>
      <x:c r="H821" s="20" t="str">
        <x:v>1100 Tenant Accounts Receivable</x:v>
      </x:c>
      <x:c r="I821" s="26" t="n">
        <x:v>1900</x:v>
      </x:c>
      <x:c r="J821" s="26" t="n">
        <x:v>0</x:v>
      </x:c>
      <x:c r="K821" s="35" t="str">
        <x:v>May 2027 rent</x:v>
      </x:c>
    </x:row>
    <x:row r="822">
      <x:c r="A822" s="20" t="str">
        <x:v>FIN-00407</x:v>
      </x:c>
      <x:c r="B822" s="32" t="n">
        <x:v>2</x:v>
      </x:c>
      <x:c r="C822" s="23" t="n">
        <x:v>46508</x:v>
      </x:c>
      <x:c r="D822" s="23" t="n">
        <x:v>46508</x:v>
      </x:c>
      <x:c r="E822" s="20" t="str">
        <x:v>P027</x:v>
      </x:c>
      <x:c r="F822" s="20" t="str">
        <x:v>U034</x:v>
      </x:c>
      <x:c r="G822" s="20" t="str">
        <x:v>L034</x:v>
      </x:c>
      <x:c r="H822" s="20" t="str">
        <x:v>4000 Rental Income</x:v>
      </x:c>
      <x:c r="I822" s="26" t="n">
        <x:v>0</x:v>
      </x:c>
      <x:c r="J822" s="26" t="n">
        <x:v>1900</x:v>
      </x:c>
      <x:c r="K822" s="35" t="str">
        <x:v>May 2027 rent</x:v>
      </x:c>
    </x:row>
    <x:row r="823">
      <x:c r="A823" s="20" t="str">
        <x:v>FIN-00408</x:v>
      </x:c>
      <x:c r="B823" s="32" t="n">
        <x:v>1</x:v>
      </x:c>
      <x:c r="C823" s="23" t="n">
        <x:v>46511</x:v>
      </x:c>
      <x:c r="D823" s="23" t="n">
        <x:v>46511</x:v>
      </x:c>
      <x:c r="E823" s="20" t="str">
        <x:v>P027</x:v>
      </x:c>
      <x:c r="F823" s="20" t="str">
        <x:v>U034</x:v>
      </x:c>
      <x:c r="G823" s="20" t="str">
        <x:v>L034</x:v>
      </x:c>
      <x:c r="H823" s="20" t="str">
        <x:v>1000 Operating Cash</x:v>
      </x:c>
      <x:c r="I823" s="26" t="n">
        <x:v>1900</x:v>
      </x:c>
      <x:c r="J823" s="26" t="n">
        <x:v>0</x:v>
      </x:c>
      <x:c r="K823" s="35" t="str">
        <x:v>Receipt allocated to FIN-00407</x:v>
      </x:c>
    </x:row>
    <x:row r="824">
      <x:c r="A824" s="20" t="str">
        <x:v>FIN-00408</x:v>
      </x:c>
      <x:c r="B824" s="32" t="n">
        <x:v>2</x:v>
      </x:c>
      <x:c r="C824" s="23" t="n">
        <x:v>46511</x:v>
      </x:c>
      <x:c r="D824" s="23" t="n">
        <x:v>46511</x:v>
      </x:c>
      <x:c r="E824" s="20" t="str">
        <x:v>P027</x:v>
      </x:c>
      <x:c r="F824" s="20" t="str">
        <x:v>U034</x:v>
      </x:c>
      <x:c r="G824" s="20" t="str">
        <x:v>L034</x:v>
      </x:c>
      <x:c r="H824" s="20" t="str">
        <x:v>1100 Tenant Accounts Receivable</x:v>
      </x:c>
      <x:c r="I824" s="26" t="n">
        <x:v>0</x:v>
      </x:c>
      <x:c r="J824" s="26" t="n">
        <x:v>1900</x:v>
      </x:c>
      <x:c r="K824" s="35" t="str">
        <x:v>Receipt allocated to FIN-00407</x:v>
      </x:c>
    </x:row>
    <x:row r="825">
      <x:c r="A825" s="20" t="str">
        <x:v>FIN-00409</x:v>
      </x:c>
      <x:c r="B825" s="32" t="n">
        <x:v>1</x:v>
      </x:c>
      <x:c r="C825" s="23" t="n">
        <x:v>46508</x:v>
      </x:c>
      <x:c r="D825" s="23" t="n">
        <x:v>46508</x:v>
      </x:c>
      <x:c r="E825" s="20" t="str">
        <x:v>P028</x:v>
      </x:c>
      <x:c r="F825" s="20" t="str">
        <x:v>U035</x:v>
      </x:c>
      <x:c r="G825" s="20" t="str">
        <x:v>L035</x:v>
      </x:c>
      <x:c r="H825" s="20" t="str">
        <x:v>1100 Tenant Accounts Receivable</x:v>
      </x:c>
      <x:c r="I825" s="26" t="n">
        <x:v>1525</x:v>
      </x:c>
      <x:c r="J825" s="26" t="n">
        <x:v>0</x:v>
      </x:c>
      <x:c r="K825" s="35" t="str">
        <x:v>May 2027 rent</x:v>
      </x:c>
    </x:row>
    <x:row r="826">
      <x:c r="A826" s="20" t="str">
        <x:v>FIN-00409</x:v>
      </x:c>
      <x:c r="B826" s="32" t="n">
        <x:v>2</x:v>
      </x:c>
      <x:c r="C826" s="23" t="n">
        <x:v>46508</x:v>
      </x:c>
      <x:c r="D826" s="23" t="n">
        <x:v>46508</x:v>
      </x:c>
      <x:c r="E826" s="20" t="str">
        <x:v>P028</x:v>
      </x:c>
      <x:c r="F826" s="20" t="str">
        <x:v>U035</x:v>
      </x:c>
      <x:c r="G826" s="20" t="str">
        <x:v>L035</x:v>
      </x:c>
      <x:c r="H826" s="20" t="str">
        <x:v>4000 Rental Income</x:v>
      </x:c>
      <x:c r="I826" s="26" t="n">
        <x:v>0</x:v>
      </x:c>
      <x:c r="J826" s="26" t="n">
        <x:v>1525</x:v>
      </x:c>
      <x:c r="K826" s="35" t="str">
        <x:v>May 2027 rent</x:v>
      </x:c>
    </x:row>
    <x:row r="827">
      <x:c r="A827" s="20" t="str">
        <x:v>FIN-00410</x:v>
      </x:c>
      <x:c r="B827" s="32" t="n">
        <x:v>1</x:v>
      </x:c>
      <x:c r="C827" s="23" t="n">
        <x:v>46512</x:v>
      </x:c>
      <x:c r="D827" s="23" t="n">
        <x:v>46512</x:v>
      </x:c>
      <x:c r="E827" s="20" t="str">
        <x:v>P028</x:v>
      </x:c>
      <x:c r="F827" s="20" t="str">
        <x:v>U035</x:v>
      </x:c>
      <x:c r="G827" s="20" t="str">
        <x:v>L035</x:v>
      </x:c>
      <x:c r="H827" s="20" t="str">
        <x:v>1000 Operating Cash</x:v>
      </x:c>
      <x:c r="I827" s="26" t="n">
        <x:v>1525</x:v>
      </x:c>
      <x:c r="J827" s="26" t="n">
        <x:v>0</x:v>
      </x:c>
      <x:c r="K827" s="35" t="str">
        <x:v>Receipt allocated to FIN-00409</x:v>
      </x:c>
    </x:row>
    <x:row r="828">
      <x:c r="A828" s="20" t="str">
        <x:v>FIN-00410</x:v>
      </x:c>
      <x:c r="B828" s="32" t="n">
        <x:v>2</x:v>
      </x:c>
      <x:c r="C828" s="23" t="n">
        <x:v>46512</x:v>
      </x:c>
      <x:c r="D828" s="23" t="n">
        <x:v>46512</x:v>
      </x:c>
      <x:c r="E828" s="20" t="str">
        <x:v>P028</x:v>
      </x:c>
      <x:c r="F828" s="20" t="str">
        <x:v>U035</x:v>
      </x:c>
      <x:c r="G828" s="20" t="str">
        <x:v>L035</x:v>
      </x:c>
      <x:c r="H828" s="20" t="str">
        <x:v>1100 Tenant Accounts Receivable</x:v>
      </x:c>
      <x:c r="I828" s="26" t="n">
        <x:v>0</x:v>
      </x:c>
      <x:c r="J828" s="26" t="n">
        <x:v>1525</x:v>
      </x:c>
      <x:c r="K828" s="35" t="str">
        <x:v>Receipt allocated to FIN-00409</x:v>
      </x:c>
    </x:row>
    <x:row r="829">
      <x:c r="A829" s="20" t="str">
        <x:v>FIN-00411</x:v>
      </x:c>
      <x:c r="B829" s="32" t="n">
        <x:v>1</x:v>
      </x:c>
      <x:c r="C829" s="23" t="n">
        <x:v>46508</x:v>
      </x:c>
      <x:c r="D829" s="23" t="n">
        <x:v>46508</x:v>
      </x:c>
      <x:c r="E829" s="20" t="str">
        <x:v>P028</x:v>
      </x:c>
      <x:c r="F829" s="20" t="str">
        <x:v>U036</x:v>
      </x:c>
      <x:c r="G829" s="20" t="str">
        <x:v>L036</x:v>
      </x:c>
      <x:c r="H829" s="20" t="str">
        <x:v>1100 Tenant Accounts Receivable</x:v>
      </x:c>
      <x:c r="I829" s="26" t="n">
        <x:v>1150</x:v>
      </x:c>
      <x:c r="J829" s="26" t="n">
        <x:v>0</x:v>
      </x:c>
      <x:c r="K829" s="35" t="str">
        <x:v>May 2027 rent</x:v>
      </x:c>
    </x:row>
    <x:row r="830">
      <x:c r="A830" s="20" t="str">
        <x:v>FIN-00411</x:v>
      </x:c>
      <x:c r="B830" s="32" t="n">
        <x:v>2</x:v>
      </x:c>
      <x:c r="C830" s="23" t="n">
        <x:v>46508</x:v>
      </x:c>
      <x:c r="D830" s="23" t="n">
        <x:v>46508</x:v>
      </x:c>
      <x:c r="E830" s="20" t="str">
        <x:v>P028</x:v>
      </x:c>
      <x:c r="F830" s="20" t="str">
        <x:v>U036</x:v>
      </x:c>
      <x:c r="G830" s="20" t="str">
        <x:v>L036</x:v>
      </x:c>
      <x:c r="H830" s="20" t="str">
        <x:v>4000 Rental Income</x:v>
      </x:c>
      <x:c r="I830" s="26" t="n">
        <x:v>0</x:v>
      </x:c>
      <x:c r="J830" s="26" t="n">
        <x:v>1150</x:v>
      </x:c>
      <x:c r="K830" s="35" t="str">
        <x:v>May 2027 rent</x:v>
      </x:c>
    </x:row>
    <x:row r="831">
      <x:c r="A831" s="20" t="str">
        <x:v>FIN-00412</x:v>
      </x:c>
      <x:c r="B831" s="32" t="n">
        <x:v>1</x:v>
      </x:c>
      <x:c r="C831" s="23" t="n">
        <x:v>46510</x:v>
      </x:c>
      <x:c r="D831" s="23" t="n">
        <x:v>46510</x:v>
      </x:c>
      <x:c r="E831" s="20" t="str">
        <x:v>P028</x:v>
      </x:c>
      <x:c r="F831" s="20" t="str">
        <x:v>U036</x:v>
      </x:c>
      <x:c r="G831" s="20" t="str">
        <x:v>L036</x:v>
      </x:c>
      <x:c r="H831" s="20" t="str">
        <x:v>1000 Operating Cash</x:v>
      </x:c>
      <x:c r="I831" s="26" t="n">
        <x:v>1150</x:v>
      </x:c>
      <x:c r="J831" s="26" t="n">
        <x:v>0</x:v>
      </x:c>
      <x:c r="K831" s="35" t="str">
        <x:v>Receipt allocated to FIN-00411</x:v>
      </x:c>
    </x:row>
    <x:row r="832">
      <x:c r="A832" s="20" t="str">
        <x:v>FIN-00412</x:v>
      </x:c>
      <x:c r="B832" s="32" t="n">
        <x:v>2</x:v>
      </x:c>
      <x:c r="C832" s="23" t="n">
        <x:v>46510</x:v>
      </x:c>
      <x:c r="D832" s="23" t="n">
        <x:v>46510</x:v>
      </x:c>
      <x:c r="E832" s="20" t="str">
        <x:v>P028</x:v>
      </x:c>
      <x:c r="F832" s="20" t="str">
        <x:v>U036</x:v>
      </x:c>
      <x:c r="G832" s="20" t="str">
        <x:v>L036</x:v>
      </x:c>
      <x:c r="H832" s="20" t="str">
        <x:v>1100 Tenant Accounts Receivable</x:v>
      </x:c>
      <x:c r="I832" s="26" t="n">
        <x:v>0</x:v>
      </x:c>
      <x:c r="J832" s="26" t="n">
        <x:v>1150</x:v>
      </x:c>
      <x:c r="K832" s="35" t="str">
        <x:v>Receipt allocated to FIN-00411</x:v>
      </x:c>
    </x:row>
    <x:row r="833">
      <x:c r="A833" s="20" t="str">
        <x:v>FIN-00413</x:v>
      </x:c>
      <x:c r="B833" s="32" t="n">
        <x:v>1</x:v>
      </x:c>
      <x:c r="C833" s="23" t="n">
        <x:v>46508</x:v>
      </x:c>
      <x:c r="D833" s="23" t="n">
        <x:v>46508</x:v>
      </x:c>
      <x:c r="E833" s="20" t="str">
        <x:v>P005</x:v>
      </x:c>
      <x:c r="F833" s="20" t="str">
        <x:v>U005</x:v>
      </x:c>
      <x:c r="G833" s="20" t="str">
        <x:v>L037</x:v>
      </x:c>
      <x:c r="H833" s="20" t="str">
        <x:v>1100 Tenant Accounts Receivable</x:v>
      </x:c>
      <x:c r="I833" s="26" t="n">
        <x:v>1875</x:v>
      </x:c>
      <x:c r="J833" s="26" t="n">
        <x:v>0</x:v>
      </x:c>
      <x:c r="K833" s="35" t="str">
        <x:v>May 2027 rent</x:v>
      </x:c>
    </x:row>
    <x:row r="834">
      <x:c r="A834" s="20" t="str">
        <x:v>FIN-00413</x:v>
      </x:c>
      <x:c r="B834" s="32" t="n">
        <x:v>2</x:v>
      </x:c>
      <x:c r="C834" s="23" t="n">
        <x:v>46508</x:v>
      </x:c>
      <x:c r="D834" s="23" t="n">
        <x:v>46508</x:v>
      </x:c>
      <x:c r="E834" s="20" t="str">
        <x:v>P005</x:v>
      </x:c>
      <x:c r="F834" s="20" t="str">
        <x:v>U005</x:v>
      </x:c>
      <x:c r="G834" s="20" t="str">
        <x:v>L037</x:v>
      </x:c>
      <x:c r="H834" s="20" t="str">
        <x:v>4000 Rental Income</x:v>
      </x:c>
      <x:c r="I834" s="26" t="n">
        <x:v>0</x:v>
      </x:c>
      <x:c r="J834" s="26" t="n">
        <x:v>1875</x:v>
      </x:c>
      <x:c r="K834" s="35" t="str">
        <x:v>May 2027 rent</x:v>
      </x:c>
    </x:row>
    <x:row r="835">
      <x:c r="A835" s="20" t="str">
        <x:v>FIN-00414</x:v>
      </x:c>
      <x:c r="B835" s="32" t="n">
        <x:v>1</x:v>
      </x:c>
      <x:c r="C835" s="23" t="n">
        <x:v>46511</x:v>
      </x:c>
      <x:c r="D835" s="23" t="n">
        <x:v>46511</x:v>
      </x:c>
      <x:c r="E835" s="20" t="str">
        <x:v>P005</x:v>
      </x:c>
      <x:c r="F835" s="20" t="str">
        <x:v>U005</x:v>
      </x:c>
      <x:c r="G835" s="20" t="str">
        <x:v>L037</x:v>
      </x:c>
      <x:c r="H835" s="20" t="str">
        <x:v>1000 Operating Cash</x:v>
      </x:c>
      <x:c r="I835" s="26" t="n">
        <x:v>1875</x:v>
      </x:c>
      <x:c r="J835" s="26" t="n">
        <x:v>0</x:v>
      </x:c>
      <x:c r="K835" s="35" t="str">
        <x:v>Receipt allocated to FIN-00413</x:v>
      </x:c>
    </x:row>
    <x:row r="836">
      <x:c r="A836" s="20" t="str">
        <x:v>FIN-00414</x:v>
      </x:c>
      <x:c r="B836" s="32" t="n">
        <x:v>2</x:v>
      </x:c>
      <x:c r="C836" s="23" t="n">
        <x:v>46511</x:v>
      </x:c>
      <x:c r="D836" s="23" t="n">
        <x:v>46511</x:v>
      </x:c>
      <x:c r="E836" s="20" t="str">
        <x:v>P005</x:v>
      </x:c>
      <x:c r="F836" s="20" t="str">
        <x:v>U005</x:v>
      </x:c>
      <x:c r="G836" s="20" t="str">
        <x:v>L037</x:v>
      </x:c>
      <x:c r="H836" s="20" t="str">
        <x:v>1100 Tenant Accounts Receivable</x:v>
      </x:c>
      <x:c r="I836" s="26" t="n">
        <x:v>0</x:v>
      </x:c>
      <x:c r="J836" s="26" t="n">
        <x:v>1875</x:v>
      </x:c>
      <x:c r="K836" s="35" t="str">
        <x:v>Receipt allocated to FIN-00413</x:v>
      </x:c>
    </x:row>
    <x:row r="837">
      <x:c r="A837" s="20" t="str">
        <x:v>FIN-00415</x:v>
      </x:c>
      <x:c r="B837" s="32" t="n">
        <x:v>1</x:v>
      </x:c>
      <x:c r="C837" s="23" t="n">
        <x:v>46508</x:v>
      </x:c>
      <x:c r="D837" s="23" t="n">
        <x:v>46508</x:v>
      </x:c>
      <x:c r="E837" s="20" t="str">
        <x:v>P029</x:v>
      </x:c>
      <x:c r="F837" s="20" t="str">
        <x:v>U037</x:v>
      </x:c>
      <x:c r="G837" s="20" t="str">
        <x:v>L043</x:v>
      </x:c>
      <x:c r="H837" s="20" t="str">
        <x:v>1100 Tenant Accounts Receivable</x:v>
      </x:c>
      <x:c r="I837" s="26" t="n">
        <x:v>1675</x:v>
      </x:c>
      <x:c r="J837" s="26" t="n">
        <x:v>0</x:v>
      </x:c>
      <x:c r="K837" s="35" t="str">
        <x:v>May 2027 rent</x:v>
      </x:c>
    </x:row>
    <x:row r="838">
      <x:c r="A838" s="20" t="str">
        <x:v>FIN-00415</x:v>
      </x:c>
      <x:c r="B838" s="32" t="n">
        <x:v>2</x:v>
      </x:c>
      <x:c r="C838" s="23" t="n">
        <x:v>46508</x:v>
      </x:c>
      <x:c r="D838" s="23" t="n">
        <x:v>46508</x:v>
      </x:c>
      <x:c r="E838" s="20" t="str">
        <x:v>P029</x:v>
      </x:c>
      <x:c r="F838" s="20" t="str">
        <x:v>U037</x:v>
      </x:c>
      <x:c r="G838" s="20" t="str">
        <x:v>L043</x:v>
      </x:c>
      <x:c r="H838" s="20" t="str">
        <x:v>4000 Rental Income</x:v>
      </x:c>
      <x:c r="I838" s="26" t="n">
        <x:v>0</x:v>
      </x:c>
      <x:c r="J838" s="26" t="n">
        <x:v>1675</x:v>
      </x:c>
      <x:c r="K838" s="35" t="str">
        <x:v>May 2027 rent</x:v>
      </x:c>
    </x:row>
    <x:row r="839">
      <x:c r="A839" s="20" t="str">
        <x:v>FIN-00416</x:v>
      </x:c>
      <x:c r="B839" s="32" t="n">
        <x:v>1</x:v>
      </x:c>
      <x:c r="C839" s="23" t="n">
        <x:v>46511</x:v>
      </x:c>
      <x:c r="D839" s="23" t="n">
        <x:v>46511</x:v>
      </x:c>
      <x:c r="E839" s="20" t="str">
        <x:v>P029</x:v>
      </x:c>
      <x:c r="F839" s="20" t="str">
        <x:v>U037</x:v>
      </x:c>
      <x:c r="G839" s="20" t="str">
        <x:v>L043</x:v>
      </x:c>
      <x:c r="H839" s="20" t="str">
        <x:v>1000 Operating Cash</x:v>
      </x:c>
      <x:c r="I839" s="26" t="n">
        <x:v>1675</x:v>
      </x:c>
      <x:c r="J839" s="26" t="n">
        <x:v>0</x:v>
      </x:c>
      <x:c r="K839" s="35" t="str">
        <x:v>Receipt allocated to FIN-00415</x:v>
      </x:c>
    </x:row>
    <x:row r="840">
      <x:c r="A840" s="20" t="str">
        <x:v>FIN-00416</x:v>
      </x:c>
      <x:c r="B840" s="32" t="n">
        <x:v>2</x:v>
      </x:c>
      <x:c r="C840" s="23" t="n">
        <x:v>46511</x:v>
      </x:c>
      <x:c r="D840" s="23" t="n">
        <x:v>46511</x:v>
      </x:c>
      <x:c r="E840" s="20" t="str">
        <x:v>P029</x:v>
      </x:c>
      <x:c r="F840" s="20" t="str">
        <x:v>U037</x:v>
      </x:c>
      <x:c r="G840" s="20" t="str">
        <x:v>L043</x:v>
      </x:c>
      <x:c r="H840" s="20" t="str">
        <x:v>1100 Tenant Accounts Receivable</x:v>
      </x:c>
      <x:c r="I840" s="26" t="n">
        <x:v>0</x:v>
      </x:c>
      <x:c r="J840" s="26" t="n">
        <x:v>1675</x:v>
      </x:c>
      <x:c r="K840" s="35" t="str">
        <x:v>Receipt allocated to FIN-00415</x:v>
      </x:c>
    </x:row>
    <x:row r="841">
      <x:c r="A841" s="20" t="str">
        <x:v>FIN-00417</x:v>
      </x:c>
      <x:c r="B841" s="32" t="n">
        <x:v>1</x:v>
      </x:c>
      <x:c r="C841" s="23" t="n">
        <x:v>46508</x:v>
      </x:c>
      <x:c r="D841" s="23" t="n">
        <x:v>46508</x:v>
      </x:c>
      <x:c r="E841" s="20" t="str">
        <x:v>P029</x:v>
      </x:c>
      <x:c r="F841" s="20" t="str">
        <x:v>U038</x:v>
      </x:c>
      <x:c r="G841" s="20" t="str">
        <x:v>L044</x:v>
      </x:c>
      <x:c r="H841" s="20" t="str">
        <x:v>1100 Tenant Accounts Receivable</x:v>
      </x:c>
      <x:c r="I841" s="26" t="n">
        <x:v>1300</x:v>
      </x:c>
      <x:c r="J841" s="26" t="n">
        <x:v>0</x:v>
      </x:c>
      <x:c r="K841" s="35" t="str">
        <x:v>May 2027 rent</x:v>
      </x:c>
    </x:row>
    <x:row r="842">
      <x:c r="A842" s="20" t="str">
        <x:v>FIN-00417</x:v>
      </x:c>
      <x:c r="B842" s="32" t="n">
        <x:v>2</x:v>
      </x:c>
      <x:c r="C842" s="23" t="n">
        <x:v>46508</x:v>
      </x:c>
      <x:c r="D842" s="23" t="n">
        <x:v>46508</x:v>
      </x:c>
      <x:c r="E842" s="20" t="str">
        <x:v>P029</x:v>
      </x:c>
      <x:c r="F842" s="20" t="str">
        <x:v>U038</x:v>
      </x:c>
      <x:c r="G842" s="20" t="str">
        <x:v>L044</x:v>
      </x:c>
      <x:c r="H842" s="20" t="str">
        <x:v>4000 Rental Income</x:v>
      </x:c>
      <x:c r="I842" s="26" t="n">
        <x:v>0</x:v>
      </x:c>
      <x:c r="J842" s="26" t="n">
        <x:v>1300</x:v>
      </x:c>
      <x:c r="K842" s="35" t="str">
        <x:v>May 2027 rent</x:v>
      </x:c>
    </x:row>
    <x:row r="843">
      <x:c r="A843" s="20" t="str">
        <x:v>FIN-00418</x:v>
      </x:c>
      <x:c r="B843" s="32" t="n">
        <x:v>1</x:v>
      </x:c>
      <x:c r="C843" s="23" t="n">
        <x:v>46510</x:v>
      </x:c>
      <x:c r="D843" s="23" t="n">
        <x:v>46510</x:v>
      </x:c>
      <x:c r="E843" s="20" t="str">
        <x:v>P029</x:v>
      </x:c>
      <x:c r="F843" s="20" t="str">
        <x:v>U038</x:v>
      </x:c>
      <x:c r="G843" s="20" t="str">
        <x:v>L044</x:v>
      </x:c>
      <x:c r="H843" s="20" t="str">
        <x:v>1000 Operating Cash</x:v>
      </x:c>
      <x:c r="I843" s="26" t="n">
        <x:v>780</x:v>
      </x:c>
      <x:c r="J843" s="26" t="n">
        <x:v>0</x:v>
      </x:c>
      <x:c r="K843" s="35" t="str">
        <x:v>Receipt allocated to FIN-00417</x:v>
      </x:c>
    </x:row>
    <x:row r="844">
      <x:c r="A844" s="20" t="str">
        <x:v>FIN-00418</x:v>
      </x:c>
      <x:c r="B844" s="32" t="n">
        <x:v>2</x:v>
      </x:c>
      <x:c r="C844" s="23" t="n">
        <x:v>46510</x:v>
      </x:c>
      <x:c r="D844" s="23" t="n">
        <x:v>46510</x:v>
      </x:c>
      <x:c r="E844" s="20" t="str">
        <x:v>P029</x:v>
      </x:c>
      <x:c r="F844" s="20" t="str">
        <x:v>U038</x:v>
      </x:c>
      <x:c r="G844" s="20" t="str">
        <x:v>L044</x:v>
      </x:c>
      <x:c r="H844" s="20" t="str">
        <x:v>1100 Tenant Accounts Receivable</x:v>
      </x:c>
      <x:c r="I844" s="26" t="n">
        <x:v>0</x:v>
      </x:c>
      <x:c r="J844" s="26" t="n">
        <x:v>780</x:v>
      </x:c>
      <x:c r="K844" s="35" t="str">
        <x:v>Receipt allocated to FIN-00417</x:v>
      </x:c>
    </x:row>
    <x:row r="845">
      <x:c r="A845" s="20" t="str">
        <x:v>FIN-00419</x:v>
      </x:c>
      <x:c r="B845" s="32" t="n">
        <x:v>1</x:v>
      </x:c>
      <x:c r="C845" s="23" t="n">
        <x:v>46513</x:v>
      </x:c>
      <x:c r="D845" s="23" t="n">
        <x:v>46513</x:v>
      </x:c>
      <x:c r="E845" s="20" t="str">
        <x:v>P029</x:v>
      </x:c>
      <x:c r="F845" s="20" t="str">
        <x:v>U038</x:v>
      </x:c>
      <x:c r="G845" s="20" t="str">
        <x:v>L044</x:v>
      </x:c>
      <x:c r="H845" s="20" t="str">
        <x:v>1100 Tenant Accounts Receivable</x:v>
      </x:c>
      <x:c r="I845" s="26" t="n">
        <x:v>50</x:v>
      </x:c>
      <x:c r="J845" s="26" t="n">
        <x:v>0</x:v>
      </x:c>
      <x:c r="K845" s="35" t="str">
        <x:v>Synthetic lease-authorized late fee after partial payment</x:v>
      </x:c>
    </x:row>
    <x:row r="846">
      <x:c r="A846" s="20" t="str">
        <x:v>FIN-00419</x:v>
      </x:c>
      <x:c r="B846" s="32" t="n">
        <x:v>2</x:v>
      </x:c>
      <x:c r="C846" s="23" t="n">
        <x:v>46513</x:v>
      </x:c>
      <x:c r="D846" s="23" t="n">
        <x:v>46513</x:v>
      </x:c>
      <x:c r="E846" s="20" t="str">
        <x:v>P029</x:v>
      </x:c>
      <x:c r="F846" s="20" t="str">
        <x:v>U038</x:v>
      </x:c>
      <x:c r="G846" s="20" t="str">
        <x:v>L044</x:v>
      </x:c>
      <x:c r="H846" s="20" t="str">
        <x:v>4010 Late Fee Income</x:v>
      </x:c>
      <x:c r="I846" s="26" t="n">
        <x:v>0</x:v>
      </x:c>
      <x:c r="J846" s="26" t="n">
        <x:v>50</x:v>
      </x:c>
      <x:c r="K846" s="35" t="str">
        <x:v>Synthetic lease-authorized late fee after partial payment</x:v>
      </x:c>
    </x:row>
    <x:row r="847">
      <x:c r="A847" s="20" t="str">
        <x:v>FIN-00420</x:v>
      </x:c>
      <x:c r="B847" s="32" t="n">
        <x:v>1</x:v>
      </x:c>
      <x:c r="C847" s="23" t="n">
        <x:v>46519</x:v>
      </x:c>
      <x:c r="D847" s="23" t="n">
        <x:v>46519</x:v>
      </x:c>
      <x:c r="E847" s="20" t="str">
        <x:v>P029</x:v>
      </x:c>
      <x:c r="F847" s="20" t="str">
        <x:v>U038</x:v>
      </x:c>
      <x:c r="G847" s="20" t="str">
        <x:v>L044</x:v>
      </x:c>
      <x:c r="H847" s="20" t="str">
        <x:v>1000 Operating Cash</x:v>
      </x:c>
      <x:c r="I847" s="26" t="n">
        <x:v>570</x:v>
      </x:c>
      <x:c r="J847" s="26" t="n">
        <x:v>0</x:v>
      </x:c>
      <x:c r="K847" s="35" t="str">
        <x:v>Receipt allocated to FIN-00419</x:v>
      </x:c>
    </x:row>
    <x:row r="848">
      <x:c r="A848" s="20" t="str">
        <x:v>FIN-00420</x:v>
      </x:c>
      <x:c r="B848" s="32" t="n">
        <x:v>2</x:v>
      </x:c>
      <x:c r="C848" s="23" t="n">
        <x:v>46519</x:v>
      </x:c>
      <x:c r="D848" s="23" t="n">
        <x:v>46519</x:v>
      </x:c>
      <x:c r="E848" s="20" t="str">
        <x:v>P029</x:v>
      </x:c>
      <x:c r="F848" s="20" t="str">
        <x:v>U038</x:v>
      </x:c>
      <x:c r="G848" s="20" t="str">
        <x:v>L044</x:v>
      </x:c>
      <x:c r="H848" s="20" t="str">
        <x:v>1100 Tenant Accounts Receivable</x:v>
      </x:c>
      <x:c r="I848" s="26" t="n">
        <x:v>0</x:v>
      </x:c>
      <x:c r="J848" s="26" t="n">
        <x:v>570</x:v>
      </x:c>
      <x:c r="K848" s="35" t="str">
        <x:v>Receipt allocated to FIN-00419</x:v>
      </x:c>
    </x:row>
    <x:row r="849">
      <x:c r="A849" s="20" t="str">
        <x:v>FIN-00421</x:v>
      </x:c>
      <x:c r="B849" s="32" t="n">
        <x:v>1</x:v>
      </x:c>
      <x:c r="C849" s="23" t="n">
        <x:v>46539</x:v>
      </x:c>
      <x:c r="D849" s="23" t="n">
        <x:v>46539</x:v>
      </x:c>
      <x:c r="E849" s="20" t="str">
        <x:v>P001</x:v>
      </x:c>
      <x:c r="F849" s="20" t="str">
        <x:v>U001</x:v>
      </x:c>
      <x:c r="G849" s="20" t="str">
        <x:v>L001</x:v>
      </x:c>
      <x:c r="H849" s="20" t="str">
        <x:v>1100 Tenant Accounts Receivable</x:v>
      </x:c>
      <x:c r="I849" s="26" t="n">
        <x:v>1575</x:v>
      </x:c>
      <x:c r="J849" s="26" t="n">
        <x:v>0</x:v>
      </x:c>
      <x:c r="K849" s="35" t="str">
        <x:v>June 2027 rent</x:v>
      </x:c>
    </x:row>
    <x:row r="850">
      <x:c r="A850" s="20" t="str">
        <x:v>FIN-00421</x:v>
      </x:c>
      <x:c r="B850" s="32" t="n">
        <x:v>2</x:v>
      </x:c>
      <x:c r="C850" s="23" t="n">
        <x:v>46539</x:v>
      </x:c>
      <x:c r="D850" s="23" t="n">
        <x:v>46539</x:v>
      </x:c>
      <x:c r="E850" s="20" t="str">
        <x:v>P001</x:v>
      </x:c>
      <x:c r="F850" s="20" t="str">
        <x:v>U001</x:v>
      </x:c>
      <x:c r="G850" s="20" t="str">
        <x:v>L001</x:v>
      </x:c>
      <x:c r="H850" s="20" t="str">
        <x:v>4000 Rental Income</x:v>
      </x:c>
      <x:c r="I850" s="26" t="n">
        <x:v>0</x:v>
      </x:c>
      <x:c r="J850" s="26" t="n">
        <x:v>1575</x:v>
      </x:c>
      <x:c r="K850" s="35" t="str">
        <x:v>June 2027 rent</x:v>
      </x:c>
    </x:row>
    <x:row r="851">
      <x:c r="A851" s="20" t="str">
        <x:v>FIN-00422</x:v>
      </x:c>
      <x:c r="B851" s="32" t="n">
        <x:v>1</x:v>
      </x:c>
      <x:c r="C851" s="23" t="n">
        <x:v>46542</x:v>
      </x:c>
      <x:c r="D851" s="23" t="n">
        <x:v>46542</x:v>
      </x:c>
      <x:c r="E851" s="20" t="str">
        <x:v>P001</x:v>
      </x:c>
      <x:c r="F851" s="20" t="str">
        <x:v>U001</x:v>
      </x:c>
      <x:c r="G851" s="20" t="str">
        <x:v>L001</x:v>
      </x:c>
      <x:c r="H851" s="20" t="str">
        <x:v>1000 Operating Cash</x:v>
      </x:c>
      <x:c r="I851" s="26" t="n">
        <x:v>1575</x:v>
      </x:c>
      <x:c r="J851" s="26" t="n">
        <x:v>0</x:v>
      </x:c>
      <x:c r="K851" s="35" t="str">
        <x:v>Receipt allocated to FIN-00421</x:v>
      </x:c>
    </x:row>
    <x:row r="852">
      <x:c r="A852" s="20" t="str">
        <x:v>FIN-00422</x:v>
      </x:c>
      <x:c r="B852" s="32" t="n">
        <x:v>2</x:v>
      </x:c>
      <x:c r="C852" s="23" t="n">
        <x:v>46542</x:v>
      </x:c>
      <x:c r="D852" s="23" t="n">
        <x:v>46542</x:v>
      </x:c>
      <x:c r="E852" s="20" t="str">
        <x:v>P001</x:v>
      </x:c>
      <x:c r="F852" s="20" t="str">
        <x:v>U001</x:v>
      </x:c>
      <x:c r="G852" s="20" t="str">
        <x:v>L001</x:v>
      </x:c>
      <x:c r="H852" s="20" t="str">
        <x:v>1100 Tenant Accounts Receivable</x:v>
      </x:c>
      <x:c r="I852" s="26" t="n">
        <x:v>0</x:v>
      </x:c>
      <x:c r="J852" s="26" t="n">
        <x:v>1575</x:v>
      </x:c>
      <x:c r="K852" s="35" t="str">
        <x:v>Receipt allocated to FIN-00421</x:v>
      </x:c>
    </x:row>
    <x:row r="853">
      <x:c r="A853" s="20" t="str">
        <x:v>FIN-00423</x:v>
      </x:c>
      <x:c r="B853" s="32" t="n">
        <x:v>1</x:v>
      </x:c>
      <x:c r="C853" s="23" t="n">
        <x:v>46539</x:v>
      </x:c>
      <x:c r="D853" s="23" t="n">
        <x:v>46539</x:v>
      </x:c>
      <x:c r="E853" s="20" t="str">
        <x:v>P002</x:v>
      </x:c>
      <x:c r="F853" s="20" t="str">
        <x:v>U002</x:v>
      </x:c>
      <x:c r="G853" s="20" t="str">
        <x:v>L002</x:v>
      </x:c>
      <x:c r="H853" s="20" t="str">
        <x:v>1100 Tenant Accounts Receivable</x:v>
      </x:c>
      <x:c r="I853" s="26" t="n">
        <x:v>1200</x:v>
      </x:c>
      <x:c r="J853" s="26" t="n">
        <x:v>0</x:v>
      </x:c>
      <x:c r="K853" s="35" t="str">
        <x:v>June 2027 rent</x:v>
      </x:c>
    </x:row>
    <x:row r="854">
      <x:c r="A854" s="20" t="str">
        <x:v>FIN-00423</x:v>
      </x:c>
      <x:c r="B854" s="32" t="n">
        <x:v>2</x:v>
      </x:c>
      <x:c r="C854" s="23" t="n">
        <x:v>46539</x:v>
      </x:c>
      <x:c r="D854" s="23" t="n">
        <x:v>46539</x:v>
      </x:c>
      <x:c r="E854" s="20" t="str">
        <x:v>P002</x:v>
      </x:c>
      <x:c r="F854" s="20" t="str">
        <x:v>U002</x:v>
      </x:c>
      <x:c r="G854" s="20" t="str">
        <x:v>L002</x:v>
      </x:c>
      <x:c r="H854" s="20" t="str">
        <x:v>4000 Rental Income</x:v>
      </x:c>
      <x:c r="I854" s="26" t="n">
        <x:v>0</x:v>
      </x:c>
      <x:c r="J854" s="26" t="n">
        <x:v>1200</x:v>
      </x:c>
      <x:c r="K854" s="35" t="str">
        <x:v>June 2027 rent</x:v>
      </x:c>
    </x:row>
    <x:row r="855">
      <x:c r="A855" s="20" t="str">
        <x:v>FIN-00424</x:v>
      </x:c>
      <x:c r="B855" s="32" t="n">
        <x:v>1</x:v>
      </x:c>
      <x:c r="C855" s="23" t="n">
        <x:v>46543</x:v>
      </x:c>
      <x:c r="D855" s="23" t="n">
        <x:v>46543</x:v>
      </x:c>
      <x:c r="E855" s="20" t="str">
        <x:v>P002</x:v>
      </x:c>
      <x:c r="F855" s="20" t="str">
        <x:v>U002</x:v>
      </x:c>
      <x:c r="G855" s="20" t="str">
        <x:v>L002</x:v>
      </x:c>
      <x:c r="H855" s="20" t="str">
        <x:v>1000 Operating Cash</x:v>
      </x:c>
      <x:c r="I855" s="26" t="n">
        <x:v>1200</x:v>
      </x:c>
      <x:c r="J855" s="26" t="n">
        <x:v>0</x:v>
      </x:c>
      <x:c r="K855" s="35" t="str">
        <x:v>Receipt allocated to FIN-00423</x:v>
      </x:c>
    </x:row>
    <x:row r="856">
      <x:c r="A856" s="20" t="str">
        <x:v>FIN-00424</x:v>
      </x:c>
      <x:c r="B856" s="32" t="n">
        <x:v>2</x:v>
      </x:c>
      <x:c r="C856" s="23" t="n">
        <x:v>46543</x:v>
      </x:c>
      <x:c r="D856" s="23" t="n">
        <x:v>46543</x:v>
      </x:c>
      <x:c r="E856" s="20" t="str">
        <x:v>P002</x:v>
      </x:c>
      <x:c r="F856" s="20" t="str">
        <x:v>U002</x:v>
      </x:c>
      <x:c r="G856" s="20" t="str">
        <x:v>L002</x:v>
      </x:c>
      <x:c r="H856" s="20" t="str">
        <x:v>1100 Tenant Accounts Receivable</x:v>
      </x:c>
      <x:c r="I856" s="26" t="n">
        <x:v>0</x:v>
      </x:c>
      <x:c r="J856" s="26" t="n">
        <x:v>1200</x:v>
      </x:c>
      <x:c r="K856" s="35" t="str">
        <x:v>Receipt allocated to FIN-00423</x:v>
      </x:c>
    </x:row>
    <x:row r="857">
      <x:c r="A857" s="20" t="str">
        <x:v>FIN-00425</x:v>
      </x:c>
      <x:c r="B857" s="32" t="n">
        <x:v>1</x:v>
      </x:c>
      <x:c r="C857" s="23" t="n">
        <x:v>46539</x:v>
      </x:c>
      <x:c r="D857" s="23" t="n">
        <x:v>46539</x:v>
      </x:c>
      <x:c r="E857" s="20" t="str">
        <x:v>P003</x:v>
      </x:c>
      <x:c r="F857" s="20" t="str">
        <x:v>U003</x:v>
      </x:c>
      <x:c r="G857" s="20" t="str">
        <x:v>L003</x:v>
      </x:c>
      <x:c r="H857" s="20" t="str">
        <x:v>1100 Tenant Accounts Receivable</x:v>
      </x:c>
      <x:c r="I857" s="26" t="n">
        <x:v>1725</x:v>
      </x:c>
      <x:c r="J857" s="26" t="n">
        <x:v>0</x:v>
      </x:c>
      <x:c r="K857" s="35" t="str">
        <x:v>June 2027 rent</x:v>
      </x:c>
    </x:row>
    <x:row r="858">
      <x:c r="A858" s="20" t="str">
        <x:v>FIN-00425</x:v>
      </x:c>
      <x:c r="B858" s="32" t="n">
        <x:v>2</x:v>
      </x:c>
      <x:c r="C858" s="23" t="n">
        <x:v>46539</x:v>
      </x:c>
      <x:c r="D858" s="23" t="n">
        <x:v>46539</x:v>
      </x:c>
      <x:c r="E858" s="20" t="str">
        <x:v>P003</x:v>
      </x:c>
      <x:c r="F858" s="20" t="str">
        <x:v>U003</x:v>
      </x:c>
      <x:c r="G858" s="20" t="str">
        <x:v>L003</x:v>
      </x:c>
      <x:c r="H858" s="20" t="str">
        <x:v>4000 Rental Income</x:v>
      </x:c>
      <x:c r="I858" s="26" t="n">
        <x:v>0</x:v>
      </x:c>
      <x:c r="J858" s="26" t="n">
        <x:v>1725</x:v>
      </x:c>
      <x:c r="K858" s="35" t="str">
        <x:v>June 2027 rent</x:v>
      </x:c>
    </x:row>
    <x:row r="859">
      <x:c r="A859" s="20" t="str">
        <x:v>FIN-00426</x:v>
      </x:c>
      <x:c r="B859" s="32" t="n">
        <x:v>1</x:v>
      </x:c>
      <x:c r="C859" s="23" t="n">
        <x:v>46541</x:v>
      </x:c>
      <x:c r="D859" s="23" t="n">
        <x:v>46541</x:v>
      </x:c>
      <x:c r="E859" s="20" t="str">
        <x:v>P003</x:v>
      </x:c>
      <x:c r="F859" s="20" t="str">
        <x:v>U003</x:v>
      </x:c>
      <x:c r="G859" s="20" t="str">
        <x:v>L003</x:v>
      </x:c>
      <x:c r="H859" s="20" t="str">
        <x:v>1000 Operating Cash</x:v>
      </x:c>
      <x:c r="I859" s="26" t="n">
        <x:v>1725</x:v>
      </x:c>
      <x:c r="J859" s="26" t="n">
        <x:v>0</x:v>
      </x:c>
      <x:c r="K859" s="35" t="str">
        <x:v>Receipt allocated to FIN-00425</x:v>
      </x:c>
    </x:row>
    <x:row r="860">
      <x:c r="A860" s="20" t="str">
        <x:v>FIN-00426</x:v>
      </x:c>
      <x:c r="B860" s="32" t="n">
        <x:v>2</x:v>
      </x:c>
      <x:c r="C860" s="23" t="n">
        <x:v>46541</x:v>
      </x:c>
      <x:c r="D860" s="23" t="n">
        <x:v>46541</x:v>
      </x:c>
      <x:c r="E860" s="20" t="str">
        <x:v>P003</x:v>
      </x:c>
      <x:c r="F860" s="20" t="str">
        <x:v>U003</x:v>
      </x:c>
      <x:c r="G860" s="20" t="str">
        <x:v>L003</x:v>
      </x:c>
      <x:c r="H860" s="20" t="str">
        <x:v>1100 Tenant Accounts Receivable</x:v>
      </x:c>
      <x:c r="I860" s="26" t="n">
        <x:v>0</x:v>
      </x:c>
      <x:c r="J860" s="26" t="n">
        <x:v>1725</x:v>
      </x:c>
      <x:c r="K860" s="35" t="str">
        <x:v>Receipt allocated to FIN-00425</x:v>
      </x:c>
    </x:row>
    <x:row r="861">
      <x:c r="A861" s="20" t="str">
        <x:v>FIN-00427</x:v>
      </x:c>
      <x:c r="B861" s="32" t="n">
        <x:v>1</x:v>
      </x:c>
      <x:c r="C861" s="23" t="n">
        <x:v>46539</x:v>
      </x:c>
      <x:c r="D861" s="23" t="n">
        <x:v>46539</x:v>
      </x:c>
      <x:c r="E861" s="20" t="str">
        <x:v>P004</x:v>
      </x:c>
      <x:c r="F861" s="20" t="str">
        <x:v>U004</x:v>
      </x:c>
      <x:c r="G861" s="20" t="str">
        <x:v>L004</x:v>
      </x:c>
      <x:c r="H861" s="20" t="str">
        <x:v>1100 Tenant Accounts Receivable</x:v>
      </x:c>
      <x:c r="I861" s="26" t="n">
        <x:v>1350</x:v>
      </x:c>
      <x:c r="J861" s="26" t="n">
        <x:v>0</x:v>
      </x:c>
      <x:c r="K861" s="35" t="str">
        <x:v>June 2027 rent</x:v>
      </x:c>
    </x:row>
    <x:row r="862">
      <x:c r="A862" s="20" t="str">
        <x:v>FIN-00427</x:v>
      </x:c>
      <x:c r="B862" s="32" t="n">
        <x:v>2</x:v>
      </x:c>
      <x:c r="C862" s="23" t="n">
        <x:v>46539</x:v>
      </x:c>
      <x:c r="D862" s="23" t="n">
        <x:v>46539</x:v>
      </x:c>
      <x:c r="E862" s="20" t="str">
        <x:v>P004</x:v>
      </x:c>
      <x:c r="F862" s="20" t="str">
        <x:v>U004</x:v>
      </x:c>
      <x:c r="G862" s="20" t="str">
        <x:v>L004</x:v>
      </x:c>
      <x:c r="H862" s="20" t="str">
        <x:v>4000 Rental Income</x:v>
      </x:c>
      <x:c r="I862" s="26" t="n">
        <x:v>0</x:v>
      </x:c>
      <x:c r="J862" s="26" t="n">
        <x:v>1350</x:v>
      </x:c>
      <x:c r="K862" s="35" t="str">
        <x:v>June 2027 rent</x:v>
      </x:c>
    </x:row>
    <x:row r="863">
      <x:c r="A863" s="20" t="str">
        <x:v>FIN-00428</x:v>
      </x:c>
      <x:c r="B863" s="32" t="n">
        <x:v>1</x:v>
      </x:c>
      <x:c r="C863" s="23" t="n">
        <x:v>46542</x:v>
      </x:c>
      <x:c r="D863" s="23" t="n">
        <x:v>46542</x:v>
      </x:c>
      <x:c r="E863" s="20" t="str">
        <x:v>P004</x:v>
      </x:c>
      <x:c r="F863" s="20" t="str">
        <x:v>U004</x:v>
      </x:c>
      <x:c r="G863" s="20" t="str">
        <x:v>L004</x:v>
      </x:c>
      <x:c r="H863" s="20" t="str">
        <x:v>1000 Operating Cash</x:v>
      </x:c>
      <x:c r="I863" s="26" t="n">
        <x:v>1350</x:v>
      </x:c>
      <x:c r="J863" s="26" t="n">
        <x:v>0</x:v>
      </x:c>
      <x:c r="K863" s="35" t="str">
        <x:v>Receipt allocated to FIN-00427</x:v>
      </x:c>
    </x:row>
    <x:row r="864">
      <x:c r="A864" s="20" t="str">
        <x:v>FIN-00428</x:v>
      </x:c>
      <x:c r="B864" s="32" t="n">
        <x:v>2</x:v>
      </x:c>
      <x:c r="C864" s="23" t="n">
        <x:v>46542</x:v>
      </x:c>
      <x:c r="D864" s="23" t="n">
        <x:v>46542</x:v>
      </x:c>
      <x:c r="E864" s="20" t="str">
        <x:v>P004</x:v>
      </x:c>
      <x:c r="F864" s="20" t="str">
        <x:v>U004</x:v>
      </x:c>
      <x:c r="G864" s="20" t="str">
        <x:v>L004</x:v>
      </x:c>
      <x:c r="H864" s="20" t="str">
        <x:v>1100 Tenant Accounts Receivable</x:v>
      </x:c>
      <x:c r="I864" s="26" t="n">
        <x:v>0</x:v>
      </x:c>
      <x:c r="J864" s="26" t="n">
        <x:v>1350</x:v>
      </x:c>
      <x:c r="K864" s="35" t="str">
        <x:v>Receipt allocated to FIN-00427</x:v>
      </x:c>
    </x:row>
    <x:row r="865">
      <x:c r="A865" s="20" t="str">
        <x:v>FIN-00429</x:v>
      </x:c>
      <x:c r="B865" s="32" t="n">
        <x:v>1</x:v>
      </x:c>
      <x:c r="C865" s="23" t="n">
        <x:v>46539</x:v>
      </x:c>
      <x:c r="D865" s="23" t="n">
        <x:v>46539</x:v>
      </x:c>
      <x:c r="E865" s="20" t="str">
        <x:v>P006</x:v>
      </x:c>
      <x:c r="F865" s="20" t="str">
        <x:v>U006</x:v>
      </x:c>
      <x:c r="G865" s="20" t="str">
        <x:v>L006</x:v>
      </x:c>
      <x:c r="H865" s="20" t="str">
        <x:v>1100 Tenant Accounts Receivable</x:v>
      </x:c>
      <x:c r="I865" s="26" t="n">
        <x:v>1500</x:v>
      </x:c>
      <x:c r="J865" s="26" t="n">
        <x:v>0</x:v>
      </x:c>
      <x:c r="K865" s="35" t="str">
        <x:v>June 2027 rent</x:v>
      </x:c>
    </x:row>
    <x:row r="866">
      <x:c r="A866" s="20" t="str">
        <x:v>FIN-00429</x:v>
      </x:c>
      <x:c r="B866" s="32" t="n">
        <x:v>2</x:v>
      </x:c>
      <x:c r="C866" s="23" t="n">
        <x:v>46539</x:v>
      </x:c>
      <x:c r="D866" s="23" t="n">
        <x:v>46539</x:v>
      </x:c>
      <x:c r="E866" s="20" t="str">
        <x:v>P006</x:v>
      </x:c>
      <x:c r="F866" s="20" t="str">
        <x:v>U006</x:v>
      </x:c>
      <x:c r="G866" s="20" t="str">
        <x:v>L006</x:v>
      </x:c>
      <x:c r="H866" s="20" t="str">
        <x:v>4000 Rental Income</x:v>
      </x:c>
      <x:c r="I866" s="26" t="n">
        <x:v>0</x:v>
      </x:c>
      <x:c r="J866" s="26" t="n">
        <x:v>1500</x:v>
      </x:c>
      <x:c r="K866" s="35" t="str">
        <x:v>June 2027 rent</x:v>
      </x:c>
    </x:row>
    <x:row r="867">
      <x:c r="A867" s="20" t="str">
        <x:v>FIN-00430</x:v>
      </x:c>
      <x:c r="B867" s="32" t="n">
        <x:v>1</x:v>
      </x:c>
      <x:c r="C867" s="23" t="n">
        <x:v>46541</x:v>
      </x:c>
      <x:c r="D867" s="23" t="n">
        <x:v>46541</x:v>
      </x:c>
      <x:c r="E867" s="20" t="str">
        <x:v>P006</x:v>
      </x:c>
      <x:c r="F867" s="20" t="str">
        <x:v>U006</x:v>
      </x:c>
      <x:c r="G867" s="20" t="str">
        <x:v>L006</x:v>
      </x:c>
      <x:c r="H867" s="20" t="str">
        <x:v>1000 Operating Cash</x:v>
      </x:c>
      <x:c r="I867" s="26" t="n">
        <x:v>1500</x:v>
      </x:c>
      <x:c r="J867" s="26" t="n">
        <x:v>0</x:v>
      </x:c>
      <x:c r="K867" s="35" t="str">
        <x:v>Receipt allocated to FIN-00429</x:v>
      </x:c>
    </x:row>
    <x:row r="868">
      <x:c r="A868" s="20" t="str">
        <x:v>FIN-00430</x:v>
      </x:c>
      <x:c r="B868" s="32" t="n">
        <x:v>2</x:v>
      </x:c>
      <x:c r="C868" s="23" t="n">
        <x:v>46541</x:v>
      </x:c>
      <x:c r="D868" s="23" t="n">
        <x:v>46541</x:v>
      </x:c>
      <x:c r="E868" s="20" t="str">
        <x:v>P006</x:v>
      </x:c>
      <x:c r="F868" s="20" t="str">
        <x:v>U006</x:v>
      </x:c>
      <x:c r="G868" s="20" t="str">
        <x:v>L006</x:v>
      </x:c>
      <x:c r="H868" s="20" t="str">
        <x:v>1100 Tenant Accounts Receivable</x:v>
      </x:c>
      <x:c r="I868" s="26" t="n">
        <x:v>0</x:v>
      </x:c>
      <x:c r="J868" s="26" t="n">
        <x:v>1500</x:v>
      </x:c>
      <x:c r="K868" s="35" t="str">
        <x:v>Receipt allocated to FIN-00429</x:v>
      </x:c>
    </x:row>
    <x:row r="869">
      <x:c r="A869" s="20" t="str">
        <x:v>FIN-00431</x:v>
      </x:c>
      <x:c r="B869" s="32" t="n">
        <x:v>1</x:v>
      </x:c>
      <x:c r="C869" s="23" t="n">
        <x:v>46539</x:v>
      </x:c>
      <x:c r="D869" s="23" t="n">
        <x:v>46539</x:v>
      </x:c>
      <x:c r="E869" s="20" t="str">
        <x:v>P007</x:v>
      </x:c>
      <x:c r="F869" s="20" t="str">
        <x:v>U007</x:v>
      </x:c>
      <x:c r="G869" s="20" t="str">
        <x:v>L007</x:v>
      </x:c>
      <x:c r="H869" s="20" t="str">
        <x:v>1100 Tenant Accounts Receivable</x:v>
      </x:c>
      <x:c r="I869" s="26" t="n">
        <x:v>1125</x:v>
      </x:c>
      <x:c r="J869" s="26" t="n">
        <x:v>0</x:v>
      </x:c>
      <x:c r="K869" s="35" t="str">
        <x:v>June 2027 rent</x:v>
      </x:c>
    </x:row>
    <x:row r="870">
      <x:c r="A870" s="20" t="str">
        <x:v>FIN-00431</x:v>
      </x:c>
      <x:c r="B870" s="32" t="n">
        <x:v>2</x:v>
      </x:c>
      <x:c r="C870" s="23" t="n">
        <x:v>46539</x:v>
      </x:c>
      <x:c r="D870" s="23" t="n">
        <x:v>46539</x:v>
      </x:c>
      <x:c r="E870" s="20" t="str">
        <x:v>P007</x:v>
      </x:c>
      <x:c r="F870" s="20" t="str">
        <x:v>U007</x:v>
      </x:c>
      <x:c r="G870" s="20" t="str">
        <x:v>L007</x:v>
      </x:c>
      <x:c r="H870" s="20" t="str">
        <x:v>4000 Rental Income</x:v>
      </x:c>
      <x:c r="I870" s="26" t="n">
        <x:v>0</x:v>
      </x:c>
      <x:c r="J870" s="26" t="n">
        <x:v>1125</x:v>
      </x:c>
      <x:c r="K870" s="35" t="str">
        <x:v>June 2027 rent</x:v>
      </x:c>
    </x:row>
    <x:row r="871">
      <x:c r="A871" s="20" t="str">
        <x:v>FIN-00432</x:v>
      </x:c>
      <x:c r="B871" s="32" t="n">
        <x:v>1</x:v>
      </x:c>
      <x:c r="C871" s="23" t="n">
        <x:v>46542</x:v>
      </x:c>
      <x:c r="D871" s="23" t="n">
        <x:v>46542</x:v>
      </x:c>
      <x:c r="E871" s="20" t="str">
        <x:v>P007</x:v>
      </x:c>
      <x:c r="F871" s="20" t="str">
        <x:v>U007</x:v>
      </x:c>
      <x:c r="G871" s="20" t="str">
        <x:v>L007</x:v>
      </x:c>
      <x:c r="H871" s="20" t="str">
        <x:v>1000 Operating Cash</x:v>
      </x:c>
      <x:c r="I871" s="26" t="n">
        <x:v>1125</x:v>
      </x:c>
      <x:c r="J871" s="26" t="n">
        <x:v>0</x:v>
      </x:c>
      <x:c r="K871" s="35" t="str">
        <x:v>Receipt allocated to FIN-00431</x:v>
      </x:c>
    </x:row>
    <x:row r="872">
      <x:c r="A872" s="20" t="str">
        <x:v>FIN-00432</x:v>
      </x:c>
      <x:c r="B872" s="32" t="n">
        <x:v>2</x:v>
      </x:c>
      <x:c r="C872" s="23" t="n">
        <x:v>46542</x:v>
      </x:c>
      <x:c r="D872" s="23" t="n">
        <x:v>46542</x:v>
      </x:c>
      <x:c r="E872" s="20" t="str">
        <x:v>P007</x:v>
      </x:c>
      <x:c r="F872" s="20" t="str">
        <x:v>U007</x:v>
      </x:c>
      <x:c r="G872" s="20" t="str">
        <x:v>L007</x:v>
      </x:c>
      <x:c r="H872" s="20" t="str">
        <x:v>1100 Tenant Accounts Receivable</x:v>
      </x:c>
      <x:c r="I872" s="26" t="n">
        <x:v>0</x:v>
      </x:c>
      <x:c r="J872" s="26" t="n">
        <x:v>1125</x:v>
      </x:c>
      <x:c r="K872" s="35" t="str">
        <x:v>Receipt allocated to FIN-00431</x:v>
      </x:c>
    </x:row>
    <x:row r="873">
      <x:c r="A873" s="20" t="str">
        <x:v>FIN-00433</x:v>
      </x:c>
      <x:c r="B873" s="32" t="n">
        <x:v>1</x:v>
      </x:c>
      <x:c r="C873" s="23" t="n">
        <x:v>46539</x:v>
      </x:c>
      <x:c r="D873" s="23" t="n">
        <x:v>46539</x:v>
      </x:c>
      <x:c r="E873" s="20" t="str">
        <x:v>P008</x:v>
      </x:c>
      <x:c r="F873" s="20" t="str">
        <x:v>U008</x:v>
      </x:c>
      <x:c r="G873" s="20" t="str">
        <x:v>L008</x:v>
      </x:c>
      <x:c r="H873" s="20" t="str">
        <x:v>1100 Tenant Accounts Receivable</x:v>
      </x:c>
      <x:c r="I873" s="26" t="n">
        <x:v>1650</x:v>
      </x:c>
      <x:c r="J873" s="26" t="n">
        <x:v>0</x:v>
      </x:c>
      <x:c r="K873" s="35" t="str">
        <x:v>June 2027 rent</x:v>
      </x:c>
    </x:row>
    <x:row r="874">
      <x:c r="A874" s="20" t="str">
        <x:v>FIN-00433</x:v>
      </x:c>
      <x:c r="B874" s="32" t="n">
        <x:v>2</x:v>
      </x:c>
      <x:c r="C874" s="23" t="n">
        <x:v>46539</x:v>
      </x:c>
      <x:c r="D874" s="23" t="n">
        <x:v>46539</x:v>
      </x:c>
      <x:c r="E874" s="20" t="str">
        <x:v>P008</x:v>
      </x:c>
      <x:c r="F874" s="20" t="str">
        <x:v>U008</x:v>
      </x:c>
      <x:c r="G874" s="20" t="str">
        <x:v>L008</x:v>
      </x:c>
      <x:c r="H874" s="20" t="str">
        <x:v>4000 Rental Income</x:v>
      </x:c>
      <x:c r="I874" s="26" t="n">
        <x:v>0</x:v>
      </x:c>
      <x:c r="J874" s="26" t="n">
        <x:v>1650</x:v>
      </x:c>
      <x:c r="K874" s="35" t="str">
        <x:v>June 2027 rent</x:v>
      </x:c>
    </x:row>
    <x:row r="875">
      <x:c r="A875" s="20" t="str">
        <x:v>FIN-00434</x:v>
      </x:c>
      <x:c r="B875" s="32" t="n">
        <x:v>1</x:v>
      </x:c>
      <x:c r="C875" s="23" t="n">
        <x:v>46543</x:v>
      </x:c>
      <x:c r="D875" s="23" t="n">
        <x:v>46543</x:v>
      </x:c>
      <x:c r="E875" s="20" t="str">
        <x:v>P008</x:v>
      </x:c>
      <x:c r="F875" s="20" t="str">
        <x:v>U008</x:v>
      </x:c>
      <x:c r="G875" s="20" t="str">
        <x:v>L008</x:v>
      </x:c>
      <x:c r="H875" s="20" t="str">
        <x:v>1000 Operating Cash</x:v>
      </x:c>
      <x:c r="I875" s="26" t="n">
        <x:v>1650</x:v>
      </x:c>
      <x:c r="J875" s="26" t="n">
        <x:v>0</x:v>
      </x:c>
      <x:c r="K875" s="35" t="str">
        <x:v>Receipt allocated to FIN-00433</x:v>
      </x:c>
    </x:row>
    <x:row r="876">
      <x:c r="A876" s="20" t="str">
        <x:v>FIN-00434</x:v>
      </x:c>
      <x:c r="B876" s="32" t="n">
        <x:v>2</x:v>
      </x:c>
      <x:c r="C876" s="23" t="n">
        <x:v>46543</x:v>
      </x:c>
      <x:c r="D876" s="23" t="n">
        <x:v>46543</x:v>
      </x:c>
      <x:c r="E876" s="20" t="str">
        <x:v>P008</x:v>
      </x:c>
      <x:c r="F876" s="20" t="str">
        <x:v>U008</x:v>
      </x:c>
      <x:c r="G876" s="20" t="str">
        <x:v>L008</x:v>
      </x:c>
      <x:c r="H876" s="20" t="str">
        <x:v>1100 Tenant Accounts Receivable</x:v>
      </x:c>
      <x:c r="I876" s="26" t="n">
        <x:v>0</x:v>
      </x:c>
      <x:c r="J876" s="26" t="n">
        <x:v>1650</x:v>
      </x:c>
      <x:c r="K876" s="35" t="str">
        <x:v>Receipt allocated to FIN-00433</x:v>
      </x:c>
    </x:row>
    <x:row r="877">
      <x:c r="A877" s="20" t="str">
        <x:v>FIN-00435</x:v>
      </x:c>
      <x:c r="B877" s="32" t="n">
        <x:v>1</x:v>
      </x:c>
      <x:c r="C877" s="23" t="n">
        <x:v>46539</x:v>
      </x:c>
      <x:c r="D877" s="23" t="n">
        <x:v>46539</x:v>
      </x:c>
      <x:c r="E877" s="20" t="str">
        <x:v>P009</x:v>
      </x:c>
      <x:c r="F877" s="20" t="str">
        <x:v>U009</x:v>
      </x:c>
      <x:c r="G877" s="20" t="str">
        <x:v>L009</x:v>
      </x:c>
      <x:c r="H877" s="20" t="str">
        <x:v>1100 Tenant Accounts Receivable</x:v>
      </x:c>
      <x:c r="I877" s="26" t="n">
        <x:v>1275</x:v>
      </x:c>
      <x:c r="J877" s="26" t="n">
        <x:v>0</x:v>
      </x:c>
      <x:c r="K877" s="35" t="str">
        <x:v>June 2027 rent</x:v>
      </x:c>
    </x:row>
    <x:row r="878">
      <x:c r="A878" s="20" t="str">
        <x:v>FIN-00435</x:v>
      </x:c>
      <x:c r="B878" s="32" t="n">
        <x:v>2</x:v>
      </x:c>
      <x:c r="C878" s="23" t="n">
        <x:v>46539</x:v>
      </x:c>
      <x:c r="D878" s="23" t="n">
        <x:v>46539</x:v>
      </x:c>
      <x:c r="E878" s="20" t="str">
        <x:v>P009</x:v>
      </x:c>
      <x:c r="F878" s="20" t="str">
        <x:v>U009</x:v>
      </x:c>
      <x:c r="G878" s="20" t="str">
        <x:v>L009</x:v>
      </x:c>
      <x:c r="H878" s="20" t="str">
        <x:v>4000 Rental Income</x:v>
      </x:c>
      <x:c r="I878" s="26" t="n">
        <x:v>0</x:v>
      </x:c>
      <x:c r="J878" s="26" t="n">
        <x:v>1275</x:v>
      </x:c>
      <x:c r="K878" s="35" t="str">
        <x:v>June 2027 rent</x:v>
      </x:c>
    </x:row>
    <x:row r="879">
      <x:c r="A879" s="20" t="str">
        <x:v>FIN-00436</x:v>
      </x:c>
      <x:c r="B879" s="32" t="n">
        <x:v>1</x:v>
      </x:c>
      <x:c r="C879" s="23" t="n">
        <x:v>46541</x:v>
      </x:c>
      <x:c r="D879" s="23" t="n">
        <x:v>46541</x:v>
      </x:c>
      <x:c r="E879" s="20" t="str">
        <x:v>P009</x:v>
      </x:c>
      <x:c r="F879" s="20" t="str">
        <x:v>U009</x:v>
      </x:c>
      <x:c r="G879" s="20" t="str">
        <x:v>L009</x:v>
      </x:c>
      <x:c r="H879" s="20" t="str">
        <x:v>1000 Operating Cash</x:v>
      </x:c>
      <x:c r="I879" s="26" t="n">
        <x:v>1275</x:v>
      </x:c>
      <x:c r="J879" s="26" t="n">
        <x:v>0</x:v>
      </x:c>
      <x:c r="K879" s="35" t="str">
        <x:v>Receipt allocated to FIN-00435</x:v>
      </x:c>
    </x:row>
    <x:row r="880">
      <x:c r="A880" s="20" t="str">
        <x:v>FIN-00436</x:v>
      </x:c>
      <x:c r="B880" s="32" t="n">
        <x:v>2</x:v>
      </x:c>
      <x:c r="C880" s="23" t="n">
        <x:v>46541</x:v>
      </x:c>
      <x:c r="D880" s="23" t="n">
        <x:v>46541</x:v>
      </x:c>
      <x:c r="E880" s="20" t="str">
        <x:v>P009</x:v>
      </x:c>
      <x:c r="F880" s="20" t="str">
        <x:v>U009</x:v>
      </x:c>
      <x:c r="G880" s="20" t="str">
        <x:v>L009</x:v>
      </x:c>
      <x:c r="H880" s="20" t="str">
        <x:v>1100 Tenant Accounts Receivable</x:v>
      </x:c>
      <x:c r="I880" s="26" t="n">
        <x:v>0</x:v>
      </x:c>
      <x:c r="J880" s="26" t="n">
        <x:v>1275</x:v>
      </x:c>
      <x:c r="K880" s="35" t="str">
        <x:v>Receipt allocated to FIN-00435</x:v>
      </x:c>
    </x:row>
    <x:row r="881">
      <x:c r="A881" s="20" t="str">
        <x:v>FIN-00437</x:v>
      </x:c>
      <x:c r="B881" s="32" t="n">
        <x:v>1</x:v>
      </x:c>
      <x:c r="C881" s="23" t="n">
        <x:v>46539</x:v>
      </x:c>
      <x:c r="D881" s="23" t="n">
        <x:v>46539</x:v>
      </x:c>
      <x:c r="E881" s="20" t="str">
        <x:v>P010</x:v>
      </x:c>
      <x:c r="F881" s="20" t="str">
        <x:v>U010</x:v>
      </x:c>
      <x:c r="G881" s="20" t="str">
        <x:v>L010</x:v>
      </x:c>
      <x:c r="H881" s="20" t="str">
        <x:v>1100 Tenant Accounts Receivable</x:v>
      </x:c>
      <x:c r="I881" s="26" t="n">
        <x:v>1800</x:v>
      </x:c>
      <x:c r="J881" s="26" t="n">
        <x:v>0</x:v>
      </x:c>
      <x:c r="K881" s="35" t="str">
        <x:v>June 2027 rent</x:v>
      </x:c>
    </x:row>
    <x:row r="882">
      <x:c r="A882" s="20" t="str">
        <x:v>FIN-00437</x:v>
      </x:c>
      <x:c r="B882" s="32" t="n">
        <x:v>2</x:v>
      </x:c>
      <x:c r="C882" s="23" t="n">
        <x:v>46539</x:v>
      </x:c>
      <x:c r="D882" s="23" t="n">
        <x:v>46539</x:v>
      </x:c>
      <x:c r="E882" s="20" t="str">
        <x:v>P010</x:v>
      </x:c>
      <x:c r="F882" s="20" t="str">
        <x:v>U010</x:v>
      </x:c>
      <x:c r="G882" s="20" t="str">
        <x:v>L010</x:v>
      </x:c>
      <x:c r="H882" s="20" t="str">
        <x:v>4000 Rental Income</x:v>
      </x:c>
      <x:c r="I882" s="26" t="n">
        <x:v>0</x:v>
      </x:c>
      <x:c r="J882" s="26" t="n">
        <x:v>1800</x:v>
      </x:c>
      <x:c r="K882" s="35" t="str">
        <x:v>June 2027 rent</x:v>
      </x:c>
    </x:row>
    <x:row r="883">
      <x:c r="A883" s="20" t="str">
        <x:v>FIN-00438</x:v>
      </x:c>
      <x:c r="B883" s="32" t="n">
        <x:v>1</x:v>
      </x:c>
      <x:c r="C883" s="23" t="n">
        <x:v>46542</x:v>
      </x:c>
      <x:c r="D883" s="23" t="n">
        <x:v>46542</x:v>
      </x:c>
      <x:c r="E883" s="20" t="str">
        <x:v>P010</x:v>
      </x:c>
      <x:c r="F883" s="20" t="str">
        <x:v>U010</x:v>
      </x:c>
      <x:c r="G883" s="20" t="str">
        <x:v>L010</x:v>
      </x:c>
      <x:c r="H883" s="20" t="str">
        <x:v>1000 Operating Cash</x:v>
      </x:c>
      <x:c r="I883" s="26" t="n">
        <x:v>1800</x:v>
      </x:c>
      <x:c r="J883" s="26" t="n">
        <x:v>0</x:v>
      </x:c>
      <x:c r="K883" s="35" t="str">
        <x:v>Receipt allocated to FIN-00437</x:v>
      </x:c>
    </x:row>
    <x:row r="884">
      <x:c r="A884" s="20" t="str">
        <x:v>FIN-00438</x:v>
      </x:c>
      <x:c r="B884" s="32" t="n">
        <x:v>2</x:v>
      </x:c>
      <x:c r="C884" s="23" t="n">
        <x:v>46542</x:v>
      </x:c>
      <x:c r="D884" s="23" t="n">
        <x:v>46542</x:v>
      </x:c>
      <x:c r="E884" s="20" t="str">
        <x:v>P010</x:v>
      </x:c>
      <x:c r="F884" s="20" t="str">
        <x:v>U010</x:v>
      </x:c>
      <x:c r="G884" s="20" t="str">
        <x:v>L010</x:v>
      </x:c>
      <x:c r="H884" s="20" t="str">
        <x:v>1100 Tenant Accounts Receivable</x:v>
      </x:c>
      <x:c r="I884" s="26" t="n">
        <x:v>0</x:v>
      </x:c>
      <x:c r="J884" s="26" t="n">
        <x:v>1800</x:v>
      </x:c>
      <x:c r="K884" s="35" t="str">
        <x:v>Receipt allocated to FIN-00437</x:v>
      </x:c>
    </x:row>
    <x:row r="885">
      <x:c r="A885" s="20" t="str">
        <x:v>FIN-00439</x:v>
      </x:c>
      <x:c r="B885" s="32" t="n">
        <x:v>1</x:v>
      </x:c>
      <x:c r="C885" s="23" t="n">
        <x:v>46539</x:v>
      </x:c>
      <x:c r="D885" s="23" t="n">
        <x:v>46539</x:v>
      </x:c>
      <x:c r="E885" s="20" t="str">
        <x:v>P011</x:v>
      </x:c>
      <x:c r="F885" s="20" t="str">
        <x:v>U011</x:v>
      </x:c>
      <x:c r="G885" s="20" t="str">
        <x:v>L011</x:v>
      </x:c>
      <x:c r="H885" s="20" t="str">
        <x:v>1100 Tenant Accounts Receivable</x:v>
      </x:c>
      <x:c r="I885" s="26" t="n">
        <x:v>1425</x:v>
      </x:c>
      <x:c r="J885" s="26" t="n">
        <x:v>0</x:v>
      </x:c>
      <x:c r="K885" s="35" t="str">
        <x:v>June 2027 rent</x:v>
      </x:c>
    </x:row>
    <x:row r="886">
      <x:c r="A886" s="20" t="str">
        <x:v>FIN-00439</x:v>
      </x:c>
      <x:c r="B886" s="32" t="n">
        <x:v>2</x:v>
      </x:c>
      <x:c r="C886" s="23" t="n">
        <x:v>46539</x:v>
      </x:c>
      <x:c r="D886" s="23" t="n">
        <x:v>46539</x:v>
      </x:c>
      <x:c r="E886" s="20" t="str">
        <x:v>P011</x:v>
      </x:c>
      <x:c r="F886" s="20" t="str">
        <x:v>U011</x:v>
      </x:c>
      <x:c r="G886" s="20" t="str">
        <x:v>L011</x:v>
      </x:c>
      <x:c r="H886" s="20" t="str">
        <x:v>4000 Rental Income</x:v>
      </x:c>
      <x:c r="I886" s="26" t="n">
        <x:v>0</x:v>
      </x:c>
      <x:c r="J886" s="26" t="n">
        <x:v>1425</x:v>
      </x:c>
      <x:c r="K886" s="35" t="str">
        <x:v>June 2027 rent</x:v>
      </x:c>
    </x:row>
    <x:row r="887">
      <x:c r="A887" s="20" t="str">
        <x:v>FIN-00440</x:v>
      </x:c>
      <x:c r="B887" s="32" t="n">
        <x:v>1</x:v>
      </x:c>
      <x:c r="C887" s="23" t="n">
        <x:v>46541</x:v>
      </x:c>
      <x:c r="D887" s="23" t="n">
        <x:v>46541</x:v>
      </x:c>
      <x:c r="E887" s="20" t="str">
        <x:v>P011</x:v>
      </x:c>
      <x:c r="F887" s="20" t="str">
        <x:v>U011</x:v>
      </x:c>
      <x:c r="G887" s="20" t="str">
        <x:v>L011</x:v>
      </x:c>
      <x:c r="H887" s="20" t="str">
        <x:v>1000 Operating Cash</x:v>
      </x:c>
      <x:c r="I887" s="26" t="n">
        <x:v>855</x:v>
      </x:c>
      <x:c r="J887" s="26" t="n">
        <x:v>0</x:v>
      </x:c>
      <x:c r="K887" s="35" t="str">
        <x:v>Receipt allocated to FIN-00439</x:v>
      </x:c>
    </x:row>
    <x:row r="888">
      <x:c r="A888" s="20" t="str">
        <x:v>FIN-00440</x:v>
      </x:c>
      <x:c r="B888" s="32" t="n">
        <x:v>2</x:v>
      </x:c>
      <x:c r="C888" s="23" t="n">
        <x:v>46541</x:v>
      </x:c>
      <x:c r="D888" s="23" t="n">
        <x:v>46541</x:v>
      </x:c>
      <x:c r="E888" s="20" t="str">
        <x:v>P011</x:v>
      </x:c>
      <x:c r="F888" s="20" t="str">
        <x:v>U011</x:v>
      </x:c>
      <x:c r="G888" s="20" t="str">
        <x:v>L011</x:v>
      </x:c>
      <x:c r="H888" s="20" t="str">
        <x:v>1100 Tenant Accounts Receivable</x:v>
      </x:c>
      <x:c r="I888" s="26" t="n">
        <x:v>0</x:v>
      </x:c>
      <x:c r="J888" s="26" t="n">
        <x:v>855</x:v>
      </x:c>
      <x:c r="K888" s="35" t="str">
        <x:v>Receipt allocated to FIN-00439</x:v>
      </x:c>
    </x:row>
    <x:row r="889">
      <x:c r="A889" s="20" t="str">
        <x:v>FIN-00441</x:v>
      </x:c>
      <x:c r="B889" s="32" t="n">
        <x:v>1</x:v>
      </x:c>
      <x:c r="C889" s="23" t="n">
        <x:v>46544</x:v>
      </x:c>
      <x:c r="D889" s="23" t="n">
        <x:v>46544</x:v>
      </x:c>
      <x:c r="E889" s="20" t="str">
        <x:v>P011</x:v>
      </x:c>
      <x:c r="F889" s="20" t="str">
        <x:v>U011</x:v>
      </x:c>
      <x:c r="G889" s="20" t="str">
        <x:v>L011</x:v>
      </x:c>
      <x:c r="H889" s="20" t="str">
        <x:v>1100 Tenant Accounts Receivable</x:v>
      </x:c>
      <x:c r="I889" s="26" t="n">
        <x:v>50</x:v>
      </x:c>
      <x:c r="J889" s="26" t="n">
        <x:v>0</x:v>
      </x:c>
      <x:c r="K889" s="35" t="str">
        <x:v>Synthetic lease-authorized late fee after partial payment</x:v>
      </x:c>
    </x:row>
    <x:row r="890">
      <x:c r="A890" s="20" t="str">
        <x:v>FIN-00441</x:v>
      </x:c>
      <x:c r="B890" s="32" t="n">
        <x:v>2</x:v>
      </x:c>
      <x:c r="C890" s="23" t="n">
        <x:v>46544</x:v>
      </x:c>
      <x:c r="D890" s="23" t="n">
        <x:v>46544</x:v>
      </x:c>
      <x:c r="E890" s="20" t="str">
        <x:v>P011</x:v>
      </x:c>
      <x:c r="F890" s="20" t="str">
        <x:v>U011</x:v>
      </x:c>
      <x:c r="G890" s="20" t="str">
        <x:v>L011</x:v>
      </x:c>
      <x:c r="H890" s="20" t="str">
        <x:v>4010 Late Fee Income</x:v>
      </x:c>
      <x:c r="I890" s="26" t="n">
        <x:v>0</x:v>
      </x:c>
      <x:c r="J890" s="26" t="n">
        <x:v>50</x:v>
      </x:c>
      <x:c r="K890" s="35" t="str">
        <x:v>Synthetic lease-authorized late fee after partial payment</x:v>
      </x:c>
    </x:row>
    <x:row r="891">
      <x:c r="A891" s="20" t="str">
        <x:v>FIN-00442</x:v>
      </x:c>
      <x:c r="B891" s="32" t="n">
        <x:v>1</x:v>
      </x:c>
      <x:c r="C891" s="23" t="n">
        <x:v>46550</x:v>
      </x:c>
      <x:c r="D891" s="23" t="n">
        <x:v>46550</x:v>
      </x:c>
      <x:c r="E891" s="20" t="str">
        <x:v>P011</x:v>
      </x:c>
      <x:c r="F891" s="20" t="str">
        <x:v>U011</x:v>
      </x:c>
      <x:c r="G891" s="20" t="str">
        <x:v>L011</x:v>
      </x:c>
      <x:c r="H891" s="20" t="str">
        <x:v>1000 Operating Cash</x:v>
      </x:c>
      <x:c r="I891" s="26" t="n">
        <x:v>620</x:v>
      </x:c>
      <x:c r="J891" s="26" t="n">
        <x:v>0</x:v>
      </x:c>
      <x:c r="K891" s="35" t="str">
        <x:v>Receipt allocated to FIN-00441</x:v>
      </x:c>
    </x:row>
    <x:row r="892">
      <x:c r="A892" s="20" t="str">
        <x:v>FIN-00442</x:v>
      </x:c>
      <x:c r="B892" s="32" t="n">
        <x:v>2</x:v>
      </x:c>
      <x:c r="C892" s="23" t="n">
        <x:v>46550</x:v>
      </x:c>
      <x:c r="D892" s="23" t="n">
        <x:v>46550</x:v>
      </x:c>
      <x:c r="E892" s="20" t="str">
        <x:v>P011</x:v>
      </x:c>
      <x:c r="F892" s="20" t="str">
        <x:v>U011</x:v>
      </x:c>
      <x:c r="G892" s="20" t="str">
        <x:v>L011</x:v>
      </x:c>
      <x:c r="H892" s="20" t="str">
        <x:v>1100 Tenant Accounts Receivable</x:v>
      </x:c>
      <x:c r="I892" s="26" t="n">
        <x:v>0</x:v>
      </x:c>
      <x:c r="J892" s="26" t="n">
        <x:v>620</x:v>
      </x:c>
      <x:c r="K892" s="35" t="str">
        <x:v>Receipt allocated to FIN-00441</x:v>
      </x:c>
    </x:row>
    <x:row r="893">
      <x:c r="A893" s="20" t="str">
        <x:v>FIN-00443</x:v>
      </x:c>
      <x:c r="B893" s="32" t="n">
        <x:v>1</x:v>
      </x:c>
      <x:c r="C893" s="23" t="n">
        <x:v>46539</x:v>
      </x:c>
      <x:c r="D893" s="23" t="n">
        <x:v>46539</x:v>
      </x:c>
      <x:c r="E893" s="20" t="str">
        <x:v>P012</x:v>
      </x:c>
      <x:c r="F893" s="20" t="str">
        <x:v>U012</x:v>
      </x:c>
      <x:c r="G893" s="20" t="str">
        <x:v>L012</x:v>
      </x:c>
      <x:c r="H893" s="20" t="str">
        <x:v>1100 Tenant Accounts Receivable</x:v>
      </x:c>
      <x:c r="I893" s="26" t="n">
        <x:v>1050</x:v>
      </x:c>
      <x:c r="J893" s="26" t="n">
        <x:v>0</x:v>
      </x:c>
      <x:c r="K893" s="35" t="str">
        <x:v>June 2027 rent</x:v>
      </x:c>
    </x:row>
    <x:row r="894">
      <x:c r="A894" s="20" t="str">
        <x:v>FIN-00443</x:v>
      </x:c>
      <x:c r="B894" s="32" t="n">
        <x:v>2</x:v>
      </x:c>
      <x:c r="C894" s="23" t="n">
        <x:v>46539</x:v>
      </x:c>
      <x:c r="D894" s="23" t="n">
        <x:v>46539</x:v>
      </x:c>
      <x:c r="E894" s="20" t="str">
        <x:v>P012</x:v>
      </x:c>
      <x:c r="F894" s="20" t="str">
        <x:v>U012</x:v>
      </x:c>
      <x:c r="G894" s="20" t="str">
        <x:v>L012</x:v>
      </x:c>
      <x:c r="H894" s="20" t="str">
        <x:v>4000 Rental Income</x:v>
      </x:c>
      <x:c r="I894" s="26" t="n">
        <x:v>0</x:v>
      </x:c>
      <x:c r="J894" s="26" t="n">
        <x:v>1050</x:v>
      </x:c>
      <x:c r="K894" s="35" t="str">
        <x:v>June 2027 rent</x:v>
      </x:c>
    </x:row>
    <x:row r="895">
      <x:c r="A895" s="20" t="str">
        <x:v>FIN-00444</x:v>
      </x:c>
      <x:c r="B895" s="32" t="n">
        <x:v>1</x:v>
      </x:c>
      <x:c r="C895" s="23" t="n">
        <x:v>46541</x:v>
      </x:c>
      <x:c r="D895" s="23" t="n">
        <x:v>46541</x:v>
      </x:c>
      <x:c r="E895" s="20" t="str">
        <x:v>P012</x:v>
      </x:c>
      <x:c r="F895" s="20" t="str">
        <x:v>U012</x:v>
      </x:c>
      <x:c r="G895" s="20" t="str">
        <x:v>L012</x:v>
      </x:c>
      <x:c r="H895" s="20" t="str">
        <x:v>1000 Operating Cash</x:v>
      </x:c>
      <x:c r="I895" s="26" t="n">
        <x:v>1050</x:v>
      </x:c>
      <x:c r="J895" s="26" t="n">
        <x:v>0</x:v>
      </x:c>
      <x:c r="K895" s="35" t="str">
        <x:v>Receipt allocated to FIN-00443</x:v>
      </x:c>
    </x:row>
    <x:row r="896">
      <x:c r="A896" s="20" t="str">
        <x:v>FIN-00444</x:v>
      </x:c>
      <x:c r="B896" s="32" t="n">
        <x:v>2</x:v>
      </x:c>
      <x:c r="C896" s="23" t="n">
        <x:v>46541</x:v>
      </x:c>
      <x:c r="D896" s="23" t="n">
        <x:v>46541</x:v>
      </x:c>
      <x:c r="E896" s="20" t="str">
        <x:v>P012</x:v>
      </x:c>
      <x:c r="F896" s="20" t="str">
        <x:v>U012</x:v>
      </x:c>
      <x:c r="G896" s="20" t="str">
        <x:v>L012</x:v>
      </x:c>
      <x:c r="H896" s="20" t="str">
        <x:v>1100 Tenant Accounts Receivable</x:v>
      </x:c>
      <x:c r="I896" s="26" t="n">
        <x:v>0</x:v>
      </x:c>
      <x:c r="J896" s="26" t="n">
        <x:v>1050</x:v>
      </x:c>
      <x:c r="K896" s="35" t="str">
        <x:v>Receipt allocated to FIN-00443</x:v>
      </x:c>
    </x:row>
    <x:row r="897">
      <x:c r="A897" s="20" t="str">
        <x:v>FIN-00445</x:v>
      </x:c>
      <x:c r="B897" s="32" t="n">
        <x:v>1</x:v>
      </x:c>
      <x:c r="C897" s="23" t="n">
        <x:v>46539</x:v>
      </x:c>
      <x:c r="D897" s="23" t="n">
        <x:v>46539</x:v>
      </x:c>
      <x:c r="E897" s="20" t="str">
        <x:v>P013</x:v>
      </x:c>
      <x:c r="F897" s="20" t="str">
        <x:v>U013</x:v>
      </x:c>
      <x:c r="G897" s="20" t="str">
        <x:v>L013</x:v>
      </x:c>
      <x:c r="H897" s="20" t="str">
        <x:v>1100 Tenant Accounts Receivable</x:v>
      </x:c>
      <x:c r="I897" s="26" t="n">
        <x:v>1575</x:v>
      </x:c>
      <x:c r="J897" s="26" t="n">
        <x:v>0</x:v>
      </x:c>
      <x:c r="K897" s="35" t="str">
        <x:v>June 2027 rent</x:v>
      </x:c>
    </x:row>
    <x:row r="898">
      <x:c r="A898" s="20" t="str">
        <x:v>FIN-00445</x:v>
      </x:c>
      <x:c r="B898" s="32" t="n">
        <x:v>2</x:v>
      </x:c>
      <x:c r="C898" s="23" t="n">
        <x:v>46539</x:v>
      </x:c>
      <x:c r="D898" s="23" t="n">
        <x:v>46539</x:v>
      </x:c>
      <x:c r="E898" s="20" t="str">
        <x:v>P013</x:v>
      </x:c>
      <x:c r="F898" s="20" t="str">
        <x:v>U013</x:v>
      </x:c>
      <x:c r="G898" s="20" t="str">
        <x:v>L013</x:v>
      </x:c>
      <x:c r="H898" s="20" t="str">
        <x:v>4000 Rental Income</x:v>
      </x:c>
      <x:c r="I898" s="26" t="n">
        <x:v>0</x:v>
      </x:c>
      <x:c r="J898" s="26" t="n">
        <x:v>1575</x:v>
      </x:c>
      <x:c r="K898" s="35" t="str">
        <x:v>June 2027 rent</x:v>
      </x:c>
    </x:row>
    <x:row r="899">
      <x:c r="A899" s="20" t="str">
        <x:v>FIN-00446</x:v>
      </x:c>
      <x:c r="B899" s="32" t="n">
        <x:v>1</x:v>
      </x:c>
      <x:c r="C899" s="23" t="n">
        <x:v>46544</x:v>
      </x:c>
      <x:c r="D899" s="23" t="n">
        <x:v>46544</x:v>
      </x:c>
      <x:c r="E899" s="20" t="str">
        <x:v>P013</x:v>
      </x:c>
      <x:c r="F899" s="20" t="str">
        <x:v>U013</x:v>
      </x:c>
      <x:c r="G899" s="20" t="str">
        <x:v>L013</x:v>
      </x:c>
      <x:c r="H899" s="20" t="str">
        <x:v>1100 Tenant Accounts Receivable</x:v>
      </x:c>
      <x:c r="I899" s="26" t="n">
        <x:v>50</x:v>
      </x:c>
      <x:c r="J899" s="26" t="n">
        <x:v>0</x:v>
      </x:c>
      <x:c r="K899" s="35" t="str">
        <x:v>Synthetic lease-authorized late fee</x:v>
      </x:c>
    </x:row>
    <x:row r="900">
      <x:c r="A900" s="20" t="str">
        <x:v>FIN-00446</x:v>
      </x:c>
      <x:c r="B900" s="32" t="n">
        <x:v>2</x:v>
      </x:c>
      <x:c r="C900" s="23" t="n">
        <x:v>46544</x:v>
      </x:c>
      <x:c r="D900" s="23" t="n">
        <x:v>46544</x:v>
      </x:c>
      <x:c r="E900" s="20" t="str">
        <x:v>P013</x:v>
      </x:c>
      <x:c r="F900" s="20" t="str">
        <x:v>U013</x:v>
      </x:c>
      <x:c r="G900" s="20" t="str">
        <x:v>L013</x:v>
      </x:c>
      <x:c r="H900" s="20" t="str">
        <x:v>4010 Late Fee Income</x:v>
      </x:c>
      <x:c r="I900" s="26" t="n">
        <x:v>0</x:v>
      </x:c>
      <x:c r="J900" s="26" t="n">
        <x:v>50</x:v>
      </x:c>
      <x:c r="K900" s="35" t="str">
        <x:v>Synthetic lease-authorized late fee</x:v>
      </x:c>
    </x:row>
    <x:row r="901">
      <x:c r="A901" s="20" t="str">
        <x:v>FIN-00447</x:v>
      </x:c>
      <x:c r="B901" s="32" t="n">
        <x:v>1</x:v>
      </x:c>
      <x:c r="C901" s="23" t="n">
        <x:v>46546</x:v>
      </x:c>
      <x:c r="D901" s="23" t="n">
        <x:v>46546</x:v>
      </x:c>
      <x:c r="E901" s="20" t="str">
        <x:v>P013</x:v>
      </x:c>
      <x:c r="F901" s="20" t="str">
        <x:v>U013</x:v>
      </x:c>
      <x:c r="G901" s="20" t="str">
        <x:v>L013</x:v>
      </x:c>
      <x:c r="H901" s="20" t="str">
        <x:v>1000 Operating Cash</x:v>
      </x:c>
      <x:c r="I901" s="26" t="n">
        <x:v>1625</x:v>
      </x:c>
      <x:c r="J901" s="26" t="n">
        <x:v>0</x:v>
      </x:c>
      <x:c r="K901" s="35" t="str">
        <x:v>Receipt allocated to FIN-00446</x:v>
      </x:c>
    </x:row>
    <x:row r="902">
      <x:c r="A902" s="20" t="str">
        <x:v>FIN-00447</x:v>
      </x:c>
      <x:c r="B902" s="32" t="n">
        <x:v>2</x:v>
      </x:c>
      <x:c r="C902" s="23" t="n">
        <x:v>46546</x:v>
      </x:c>
      <x:c r="D902" s="23" t="n">
        <x:v>46546</x:v>
      </x:c>
      <x:c r="E902" s="20" t="str">
        <x:v>P013</x:v>
      </x:c>
      <x:c r="F902" s="20" t="str">
        <x:v>U013</x:v>
      </x:c>
      <x:c r="G902" s="20" t="str">
        <x:v>L013</x:v>
      </x:c>
      <x:c r="H902" s="20" t="str">
        <x:v>1100 Tenant Accounts Receivable</x:v>
      </x:c>
      <x:c r="I902" s="26" t="n">
        <x:v>0</x:v>
      </x:c>
      <x:c r="J902" s="26" t="n">
        <x:v>1625</x:v>
      </x:c>
      <x:c r="K902" s="35" t="str">
        <x:v>Receipt allocated to FIN-00446</x:v>
      </x:c>
    </x:row>
    <x:row r="903">
      <x:c r="A903" s="20" t="str">
        <x:v>FIN-00448</x:v>
      </x:c>
      <x:c r="B903" s="32" t="n">
        <x:v>1</x:v>
      </x:c>
      <x:c r="C903" s="23" t="n">
        <x:v>46539</x:v>
      </x:c>
      <x:c r="D903" s="23" t="n">
        <x:v>46539</x:v>
      </x:c>
      <x:c r="E903" s="20" t="str">
        <x:v>P015</x:v>
      </x:c>
      <x:c r="F903" s="20" t="str">
        <x:v>U015</x:v>
      </x:c>
      <x:c r="G903" s="20" t="str">
        <x:v>L015</x:v>
      </x:c>
      <x:c r="H903" s="20" t="str">
        <x:v>1100 Tenant Accounts Receivable</x:v>
      </x:c>
      <x:c r="I903" s="26" t="n">
        <x:v>1725</x:v>
      </x:c>
      <x:c r="J903" s="26" t="n">
        <x:v>0</x:v>
      </x:c>
      <x:c r="K903" s="35" t="str">
        <x:v>June 2027 rent</x:v>
      </x:c>
    </x:row>
    <x:row r="904">
      <x:c r="A904" s="20" t="str">
        <x:v>FIN-00448</x:v>
      </x:c>
      <x:c r="B904" s="32" t="n">
        <x:v>2</x:v>
      </x:c>
      <x:c r="C904" s="23" t="n">
        <x:v>46539</x:v>
      </x:c>
      <x:c r="D904" s="23" t="n">
        <x:v>46539</x:v>
      </x:c>
      <x:c r="E904" s="20" t="str">
        <x:v>P015</x:v>
      </x:c>
      <x:c r="F904" s="20" t="str">
        <x:v>U015</x:v>
      </x:c>
      <x:c r="G904" s="20" t="str">
        <x:v>L015</x:v>
      </x:c>
      <x:c r="H904" s="20" t="str">
        <x:v>4000 Rental Income</x:v>
      </x:c>
      <x:c r="I904" s="26" t="n">
        <x:v>0</x:v>
      </x:c>
      <x:c r="J904" s="26" t="n">
        <x:v>1725</x:v>
      </x:c>
      <x:c r="K904" s="35" t="str">
        <x:v>June 2027 rent</x:v>
      </x:c>
    </x:row>
    <x:row r="905">
      <x:c r="A905" s="20" t="str">
        <x:v>FIN-00449</x:v>
      </x:c>
      <x:c r="B905" s="32" t="n">
        <x:v>1</x:v>
      </x:c>
      <x:c r="C905" s="23" t="n">
        <x:v>46541</x:v>
      </x:c>
      <x:c r="D905" s="23" t="n">
        <x:v>46541</x:v>
      </x:c>
      <x:c r="E905" s="20" t="str">
        <x:v>P015</x:v>
      </x:c>
      <x:c r="F905" s="20" t="str">
        <x:v>U015</x:v>
      </x:c>
      <x:c r="G905" s="20" t="str">
        <x:v>L015</x:v>
      </x:c>
      <x:c r="H905" s="20" t="str">
        <x:v>1000 Operating Cash</x:v>
      </x:c>
      <x:c r="I905" s="26" t="n">
        <x:v>1725</x:v>
      </x:c>
      <x:c r="J905" s="26" t="n">
        <x:v>0</x:v>
      </x:c>
      <x:c r="K905" s="35" t="str">
        <x:v>Receipt allocated to FIN-00448</x:v>
      </x:c>
    </x:row>
    <x:row r="906">
      <x:c r="A906" s="20" t="str">
        <x:v>FIN-00449</x:v>
      </x:c>
      <x:c r="B906" s="32" t="n">
        <x:v>2</x:v>
      </x:c>
      <x:c r="C906" s="23" t="n">
        <x:v>46541</x:v>
      </x:c>
      <x:c r="D906" s="23" t="n">
        <x:v>46541</x:v>
      </x:c>
      <x:c r="E906" s="20" t="str">
        <x:v>P015</x:v>
      </x:c>
      <x:c r="F906" s="20" t="str">
        <x:v>U015</x:v>
      </x:c>
      <x:c r="G906" s="20" t="str">
        <x:v>L015</x:v>
      </x:c>
      <x:c r="H906" s="20" t="str">
        <x:v>1100 Tenant Accounts Receivable</x:v>
      </x:c>
      <x:c r="I906" s="26" t="n">
        <x:v>0</x:v>
      </x:c>
      <x:c r="J906" s="26" t="n">
        <x:v>1725</x:v>
      </x:c>
      <x:c r="K906" s="35" t="str">
        <x:v>Receipt allocated to FIN-00448</x:v>
      </x:c>
    </x:row>
    <x:row r="907">
      <x:c r="A907" s="20" t="str">
        <x:v>FIN-00450</x:v>
      </x:c>
      <x:c r="B907" s="32" t="n">
        <x:v>1</x:v>
      </x:c>
      <x:c r="C907" s="23" t="n">
        <x:v>46539</x:v>
      </x:c>
      <x:c r="D907" s="23" t="n">
        <x:v>46539</x:v>
      </x:c>
      <x:c r="E907" s="20" t="str">
        <x:v>P016</x:v>
      </x:c>
      <x:c r="F907" s="20" t="str">
        <x:v>U016</x:v>
      </x:c>
      <x:c r="G907" s="20" t="str">
        <x:v>L016</x:v>
      </x:c>
      <x:c r="H907" s="20" t="str">
        <x:v>1100 Tenant Accounts Receivable</x:v>
      </x:c>
      <x:c r="I907" s="26" t="n">
        <x:v>1350</x:v>
      </x:c>
      <x:c r="J907" s="26" t="n">
        <x:v>0</x:v>
      </x:c>
      <x:c r="K907" s="35" t="str">
        <x:v>June 2027 rent</x:v>
      </x:c>
    </x:row>
    <x:row r="908">
      <x:c r="A908" s="20" t="str">
        <x:v>FIN-00450</x:v>
      </x:c>
      <x:c r="B908" s="32" t="n">
        <x:v>2</x:v>
      </x:c>
      <x:c r="C908" s="23" t="n">
        <x:v>46539</x:v>
      </x:c>
      <x:c r="D908" s="23" t="n">
        <x:v>46539</x:v>
      </x:c>
      <x:c r="E908" s="20" t="str">
        <x:v>P016</x:v>
      </x:c>
      <x:c r="F908" s="20" t="str">
        <x:v>U016</x:v>
      </x:c>
      <x:c r="G908" s="20" t="str">
        <x:v>L016</x:v>
      </x:c>
      <x:c r="H908" s="20" t="str">
        <x:v>4000 Rental Income</x:v>
      </x:c>
      <x:c r="I908" s="26" t="n">
        <x:v>0</x:v>
      </x:c>
      <x:c r="J908" s="26" t="n">
        <x:v>1350</x:v>
      </x:c>
      <x:c r="K908" s="35" t="str">
        <x:v>June 2027 rent</x:v>
      </x:c>
    </x:row>
    <x:row r="909">
      <x:c r="A909" s="20" t="str">
        <x:v>FIN-00451</x:v>
      </x:c>
      <x:c r="B909" s="32" t="n">
        <x:v>1</x:v>
      </x:c>
      <x:c r="C909" s="23" t="n">
        <x:v>46542</x:v>
      </x:c>
      <x:c r="D909" s="23" t="n">
        <x:v>46542</x:v>
      </x:c>
      <x:c r="E909" s="20" t="str">
        <x:v>P016</x:v>
      </x:c>
      <x:c r="F909" s="20" t="str">
        <x:v>U016</x:v>
      </x:c>
      <x:c r="G909" s="20" t="str">
        <x:v>L016</x:v>
      </x:c>
      <x:c r="H909" s="20" t="str">
        <x:v>1000 Operating Cash</x:v>
      </x:c>
      <x:c r="I909" s="26" t="n">
        <x:v>1350</x:v>
      </x:c>
      <x:c r="J909" s="26" t="n">
        <x:v>0</x:v>
      </x:c>
      <x:c r="K909" s="35" t="str">
        <x:v>Receipt allocated to FIN-00450</x:v>
      </x:c>
    </x:row>
    <x:row r="910">
      <x:c r="A910" s="20" t="str">
        <x:v>FIN-00451</x:v>
      </x:c>
      <x:c r="B910" s="32" t="n">
        <x:v>2</x:v>
      </x:c>
      <x:c r="C910" s="23" t="n">
        <x:v>46542</x:v>
      </x:c>
      <x:c r="D910" s="23" t="n">
        <x:v>46542</x:v>
      </x:c>
      <x:c r="E910" s="20" t="str">
        <x:v>P016</x:v>
      </x:c>
      <x:c r="F910" s="20" t="str">
        <x:v>U016</x:v>
      </x:c>
      <x:c r="G910" s="20" t="str">
        <x:v>L016</x:v>
      </x:c>
      <x:c r="H910" s="20" t="str">
        <x:v>1100 Tenant Accounts Receivable</x:v>
      </x:c>
      <x:c r="I910" s="26" t="n">
        <x:v>0</x:v>
      </x:c>
      <x:c r="J910" s="26" t="n">
        <x:v>1350</x:v>
      </x:c>
      <x:c r="K910" s="35" t="str">
        <x:v>Receipt allocated to FIN-00450</x:v>
      </x:c>
    </x:row>
    <x:row r="911">
      <x:c r="A911" s="20" t="str">
        <x:v>FIN-00452</x:v>
      </x:c>
      <x:c r="B911" s="32" t="n">
        <x:v>1</x:v>
      </x:c>
      <x:c r="C911" s="23" t="n">
        <x:v>46539</x:v>
      </x:c>
      <x:c r="D911" s="23" t="n">
        <x:v>46539</x:v>
      </x:c>
      <x:c r="E911" s="20" t="str">
        <x:v>P017</x:v>
      </x:c>
      <x:c r="F911" s="20" t="str">
        <x:v>U017</x:v>
      </x:c>
      <x:c r="G911" s="20" t="str">
        <x:v>L017</x:v>
      </x:c>
      <x:c r="H911" s="20" t="str">
        <x:v>1100 Tenant Accounts Receivable</x:v>
      </x:c>
      <x:c r="I911" s="26" t="n">
        <x:v>1875</x:v>
      </x:c>
      <x:c r="J911" s="26" t="n">
        <x:v>0</x:v>
      </x:c>
      <x:c r="K911" s="35" t="str">
        <x:v>June 2027 rent</x:v>
      </x:c>
    </x:row>
    <x:row r="912">
      <x:c r="A912" s="20" t="str">
        <x:v>FIN-00452</x:v>
      </x:c>
      <x:c r="B912" s="32" t="n">
        <x:v>2</x:v>
      </x:c>
      <x:c r="C912" s="23" t="n">
        <x:v>46539</x:v>
      </x:c>
      <x:c r="D912" s="23" t="n">
        <x:v>46539</x:v>
      </x:c>
      <x:c r="E912" s="20" t="str">
        <x:v>P017</x:v>
      </x:c>
      <x:c r="F912" s="20" t="str">
        <x:v>U017</x:v>
      </x:c>
      <x:c r="G912" s="20" t="str">
        <x:v>L017</x:v>
      </x:c>
      <x:c r="H912" s="20" t="str">
        <x:v>4000 Rental Income</x:v>
      </x:c>
      <x:c r="I912" s="26" t="n">
        <x:v>0</x:v>
      </x:c>
      <x:c r="J912" s="26" t="n">
        <x:v>1875</x:v>
      </x:c>
      <x:c r="K912" s="35" t="str">
        <x:v>June 2027 rent</x:v>
      </x:c>
    </x:row>
    <x:row r="913">
      <x:c r="A913" s="20" t="str">
        <x:v>FIN-00453</x:v>
      </x:c>
      <x:c r="B913" s="32" t="n">
        <x:v>1</x:v>
      </x:c>
      <x:c r="C913" s="23" t="n">
        <x:v>46553</x:v>
      </x:c>
      <x:c r="D913" s="23" t="n">
        <x:v>46553</x:v>
      </x:c>
      <x:c r="E913" s="20" t="str">
        <x:v>P017</x:v>
      </x:c>
      <x:c r="F913" s="20" t="str">
        <x:v>U017</x:v>
      </x:c>
      <x:c r="G913" s="20" t="str">
        <x:v>L017</x:v>
      </x:c>
      <x:c r="H913" s="20" t="str">
        <x:v>1000 Operating Cash</x:v>
      </x:c>
      <x:c r="I913" s="26" t="n">
        <x:v>300</x:v>
      </x:c>
      <x:c r="J913" s="26" t="n">
        <x:v>0</x:v>
      </x:c>
      <x:c r="K913" s="35" t="str">
        <x:v>Receipt allocated to FIN-00452</x:v>
      </x:c>
    </x:row>
    <x:row r="914">
      <x:c r="A914" s="20" t="str">
        <x:v>FIN-00453</x:v>
      </x:c>
      <x:c r="B914" s="32" t="n">
        <x:v>2</x:v>
      </x:c>
      <x:c r="C914" s="23" t="n">
        <x:v>46553</x:v>
      </x:c>
      <x:c r="D914" s="23" t="n">
        <x:v>46553</x:v>
      </x:c>
      <x:c r="E914" s="20" t="str">
        <x:v>P017</x:v>
      </x:c>
      <x:c r="F914" s="20" t="str">
        <x:v>U017</x:v>
      </x:c>
      <x:c r="G914" s="20" t="str">
        <x:v>L017</x:v>
      </x:c>
      <x:c r="H914" s="20" t="str">
        <x:v>1100 Tenant Accounts Receivable</x:v>
      </x:c>
      <x:c r="I914" s="26" t="n">
        <x:v>0</x:v>
      </x:c>
      <x:c r="J914" s="26" t="n">
        <x:v>300</x:v>
      </x:c>
      <x:c r="K914" s="35" t="str">
        <x:v>Receipt allocated to FIN-00452</x:v>
      </x:c>
    </x:row>
    <x:row r="915">
      <x:c r="A915" s="20" t="str">
        <x:v>FIN-00454</x:v>
      </x:c>
      <x:c r="B915" s="32" t="n">
        <x:v>1</x:v>
      </x:c>
      <x:c r="C915" s="23" t="n">
        <x:v>46539</x:v>
      </x:c>
      <x:c r="D915" s="23" t="n">
        <x:v>46539</x:v>
      </x:c>
      <x:c r="E915" s="20" t="str">
        <x:v>P018</x:v>
      </x:c>
      <x:c r="F915" s="20" t="str">
        <x:v>U018</x:v>
      </x:c>
      <x:c r="G915" s="20" t="str">
        <x:v>L018</x:v>
      </x:c>
      <x:c r="H915" s="20" t="str">
        <x:v>1100 Tenant Accounts Receivable</x:v>
      </x:c>
      <x:c r="I915" s="26" t="n">
        <x:v>1500</x:v>
      </x:c>
      <x:c r="J915" s="26" t="n">
        <x:v>0</x:v>
      </x:c>
      <x:c r="K915" s="35" t="str">
        <x:v>June 2027 rent</x:v>
      </x:c>
    </x:row>
    <x:row r="916">
      <x:c r="A916" s="20" t="str">
        <x:v>FIN-00454</x:v>
      </x:c>
      <x:c r="B916" s="32" t="n">
        <x:v>2</x:v>
      </x:c>
      <x:c r="C916" s="23" t="n">
        <x:v>46539</x:v>
      </x:c>
      <x:c r="D916" s="23" t="n">
        <x:v>46539</x:v>
      </x:c>
      <x:c r="E916" s="20" t="str">
        <x:v>P018</x:v>
      </x:c>
      <x:c r="F916" s="20" t="str">
        <x:v>U018</x:v>
      </x:c>
      <x:c r="G916" s="20" t="str">
        <x:v>L018</x:v>
      </x:c>
      <x:c r="H916" s="20" t="str">
        <x:v>4000 Rental Income</x:v>
      </x:c>
      <x:c r="I916" s="26" t="n">
        <x:v>0</x:v>
      </x:c>
      <x:c r="J916" s="26" t="n">
        <x:v>1500</x:v>
      </x:c>
      <x:c r="K916" s="35" t="str">
        <x:v>June 2027 rent</x:v>
      </x:c>
    </x:row>
    <x:row r="917">
      <x:c r="A917" s="20" t="str">
        <x:v>FIN-00455</x:v>
      </x:c>
      <x:c r="B917" s="32" t="n">
        <x:v>1</x:v>
      </x:c>
      <x:c r="C917" s="23" t="n">
        <x:v>46541</x:v>
      </x:c>
      <x:c r="D917" s="23" t="n">
        <x:v>46541</x:v>
      </x:c>
      <x:c r="E917" s="20" t="str">
        <x:v>P018</x:v>
      </x:c>
      <x:c r="F917" s="20" t="str">
        <x:v>U018</x:v>
      </x:c>
      <x:c r="G917" s="20" t="str">
        <x:v>L018</x:v>
      </x:c>
      <x:c r="H917" s="20" t="str">
        <x:v>1000 Operating Cash</x:v>
      </x:c>
      <x:c r="I917" s="26" t="n">
        <x:v>1500</x:v>
      </x:c>
      <x:c r="J917" s="26" t="n">
        <x:v>0</x:v>
      </x:c>
      <x:c r="K917" s="35" t="str">
        <x:v>Receipt allocated to FIN-00454</x:v>
      </x:c>
    </x:row>
    <x:row r="918">
      <x:c r="A918" s="20" t="str">
        <x:v>FIN-00455</x:v>
      </x:c>
      <x:c r="B918" s="32" t="n">
        <x:v>2</x:v>
      </x:c>
      <x:c r="C918" s="23" t="n">
        <x:v>46541</x:v>
      </x:c>
      <x:c r="D918" s="23" t="n">
        <x:v>46541</x:v>
      </x:c>
      <x:c r="E918" s="20" t="str">
        <x:v>P018</x:v>
      </x:c>
      <x:c r="F918" s="20" t="str">
        <x:v>U018</x:v>
      </x:c>
      <x:c r="G918" s="20" t="str">
        <x:v>L018</x:v>
      </x:c>
      <x:c r="H918" s="20" t="str">
        <x:v>1100 Tenant Accounts Receivable</x:v>
      </x:c>
      <x:c r="I918" s="26" t="n">
        <x:v>0</x:v>
      </x:c>
      <x:c r="J918" s="26" t="n">
        <x:v>1500</x:v>
      </x:c>
      <x:c r="K918" s="35" t="str">
        <x:v>Receipt allocated to FIN-00454</x:v>
      </x:c>
    </x:row>
    <x:row r="919">
      <x:c r="A919" s="20" t="str">
        <x:v>FIN-00456</x:v>
      </x:c>
      <x:c r="B919" s="32" t="n">
        <x:v>1</x:v>
      </x:c>
      <x:c r="C919" s="23" t="n">
        <x:v>46539</x:v>
      </x:c>
      <x:c r="D919" s="23" t="n">
        <x:v>46539</x:v>
      </x:c>
      <x:c r="E919" s="20" t="str">
        <x:v>P019</x:v>
      </x:c>
      <x:c r="F919" s="20" t="str">
        <x:v>U019</x:v>
      </x:c>
      <x:c r="G919" s="20" t="str">
        <x:v>L019</x:v>
      </x:c>
      <x:c r="H919" s="20" t="str">
        <x:v>1100 Tenant Accounts Receivable</x:v>
      </x:c>
      <x:c r="I919" s="26" t="n">
        <x:v>1125</x:v>
      </x:c>
      <x:c r="J919" s="26" t="n">
        <x:v>0</x:v>
      </x:c>
      <x:c r="K919" s="35" t="str">
        <x:v>June 2027 rent</x:v>
      </x:c>
    </x:row>
    <x:row r="920">
      <x:c r="A920" s="20" t="str">
        <x:v>FIN-00456</x:v>
      </x:c>
      <x:c r="B920" s="32" t="n">
        <x:v>2</x:v>
      </x:c>
      <x:c r="C920" s="23" t="n">
        <x:v>46539</x:v>
      </x:c>
      <x:c r="D920" s="23" t="n">
        <x:v>46539</x:v>
      </x:c>
      <x:c r="E920" s="20" t="str">
        <x:v>P019</x:v>
      </x:c>
      <x:c r="F920" s="20" t="str">
        <x:v>U019</x:v>
      </x:c>
      <x:c r="G920" s="20" t="str">
        <x:v>L019</x:v>
      </x:c>
      <x:c r="H920" s="20" t="str">
        <x:v>4000 Rental Income</x:v>
      </x:c>
      <x:c r="I920" s="26" t="n">
        <x:v>0</x:v>
      </x:c>
      <x:c r="J920" s="26" t="n">
        <x:v>1125</x:v>
      </x:c>
      <x:c r="K920" s="35" t="str">
        <x:v>June 2027 rent</x:v>
      </x:c>
    </x:row>
    <x:row r="921">
      <x:c r="A921" s="20" t="str">
        <x:v>FIN-00457</x:v>
      </x:c>
      <x:c r="B921" s="32" t="n">
        <x:v>1</x:v>
      </x:c>
      <x:c r="C921" s="23" t="n">
        <x:v>46542</x:v>
      </x:c>
      <x:c r="D921" s="23" t="n">
        <x:v>46542</x:v>
      </x:c>
      <x:c r="E921" s="20" t="str">
        <x:v>P019</x:v>
      </x:c>
      <x:c r="F921" s="20" t="str">
        <x:v>U019</x:v>
      </x:c>
      <x:c r="G921" s="20" t="str">
        <x:v>L019</x:v>
      </x:c>
      <x:c r="H921" s="20" t="str">
        <x:v>1000 Operating Cash</x:v>
      </x:c>
      <x:c r="I921" s="26" t="n">
        <x:v>1125</x:v>
      </x:c>
      <x:c r="J921" s="26" t="n">
        <x:v>0</x:v>
      </x:c>
      <x:c r="K921" s="35" t="str">
        <x:v>Receipt allocated to FIN-00456</x:v>
      </x:c>
    </x:row>
    <x:row r="922">
      <x:c r="A922" s="20" t="str">
        <x:v>FIN-00457</x:v>
      </x:c>
      <x:c r="B922" s="32" t="n">
        <x:v>2</x:v>
      </x:c>
      <x:c r="C922" s="23" t="n">
        <x:v>46542</x:v>
      </x:c>
      <x:c r="D922" s="23" t="n">
        <x:v>46542</x:v>
      </x:c>
      <x:c r="E922" s="20" t="str">
        <x:v>P019</x:v>
      </x:c>
      <x:c r="F922" s="20" t="str">
        <x:v>U019</x:v>
      </x:c>
      <x:c r="G922" s="20" t="str">
        <x:v>L019</x:v>
      </x:c>
      <x:c r="H922" s="20" t="str">
        <x:v>1100 Tenant Accounts Receivable</x:v>
      </x:c>
      <x:c r="I922" s="26" t="n">
        <x:v>0</x:v>
      </x:c>
      <x:c r="J922" s="26" t="n">
        <x:v>1125</x:v>
      </x:c>
      <x:c r="K922" s="35" t="str">
        <x:v>Receipt allocated to FIN-00456</x:v>
      </x:c>
    </x:row>
    <x:row r="923">
      <x:c r="A923" s="20" t="str">
        <x:v>FIN-00458</x:v>
      </x:c>
      <x:c r="B923" s="32" t="n">
        <x:v>1</x:v>
      </x:c>
      <x:c r="C923" s="23" t="n">
        <x:v>46539</x:v>
      </x:c>
      <x:c r="D923" s="23" t="n">
        <x:v>46539</x:v>
      </x:c>
      <x:c r="E923" s="20" t="str">
        <x:v>P020</x:v>
      </x:c>
      <x:c r="F923" s="20" t="str">
        <x:v>U020</x:v>
      </x:c>
      <x:c r="G923" s="20" t="str">
        <x:v>L020</x:v>
      </x:c>
      <x:c r="H923" s="20" t="str">
        <x:v>1100 Tenant Accounts Receivable</x:v>
      </x:c>
      <x:c r="I923" s="26" t="n">
        <x:v>1650</x:v>
      </x:c>
      <x:c r="J923" s="26" t="n">
        <x:v>0</x:v>
      </x:c>
      <x:c r="K923" s="35" t="str">
        <x:v>June 2027 rent</x:v>
      </x:c>
    </x:row>
    <x:row r="924">
      <x:c r="A924" s="20" t="str">
        <x:v>FIN-00458</x:v>
      </x:c>
      <x:c r="B924" s="32" t="n">
        <x:v>2</x:v>
      </x:c>
      <x:c r="C924" s="23" t="n">
        <x:v>46539</x:v>
      </x:c>
      <x:c r="D924" s="23" t="n">
        <x:v>46539</x:v>
      </x:c>
      <x:c r="E924" s="20" t="str">
        <x:v>P020</x:v>
      </x:c>
      <x:c r="F924" s="20" t="str">
        <x:v>U020</x:v>
      </x:c>
      <x:c r="G924" s="20" t="str">
        <x:v>L020</x:v>
      </x:c>
      <x:c r="H924" s="20" t="str">
        <x:v>4000 Rental Income</x:v>
      </x:c>
      <x:c r="I924" s="26" t="n">
        <x:v>0</x:v>
      </x:c>
      <x:c r="J924" s="26" t="n">
        <x:v>1650</x:v>
      </x:c>
      <x:c r="K924" s="35" t="str">
        <x:v>June 2027 rent</x:v>
      </x:c>
    </x:row>
    <x:row r="925">
      <x:c r="A925" s="20" t="str">
        <x:v>FIN-00459</x:v>
      </x:c>
      <x:c r="B925" s="32" t="n">
        <x:v>1</x:v>
      </x:c>
      <x:c r="C925" s="23" t="n">
        <x:v>46543</x:v>
      </x:c>
      <x:c r="D925" s="23" t="n">
        <x:v>46543</x:v>
      </x:c>
      <x:c r="E925" s="20" t="str">
        <x:v>P020</x:v>
      </x:c>
      <x:c r="F925" s="20" t="str">
        <x:v>U020</x:v>
      </x:c>
      <x:c r="G925" s="20" t="str">
        <x:v>L020</x:v>
      </x:c>
      <x:c r="H925" s="20" t="str">
        <x:v>1000 Operating Cash</x:v>
      </x:c>
      <x:c r="I925" s="26" t="n">
        <x:v>1650</x:v>
      </x:c>
      <x:c r="J925" s="26" t="n">
        <x:v>0</x:v>
      </x:c>
      <x:c r="K925" s="35" t="str">
        <x:v>Receipt allocated to FIN-00458</x:v>
      </x:c>
    </x:row>
    <x:row r="926">
      <x:c r="A926" s="20" t="str">
        <x:v>FIN-00459</x:v>
      </x:c>
      <x:c r="B926" s="32" t="n">
        <x:v>2</x:v>
      </x:c>
      <x:c r="C926" s="23" t="n">
        <x:v>46543</x:v>
      </x:c>
      <x:c r="D926" s="23" t="n">
        <x:v>46543</x:v>
      </x:c>
      <x:c r="E926" s="20" t="str">
        <x:v>P020</x:v>
      </x:c>
      <x:c r="F926" s="20" t="str">
        <x:v>U020</x:v>
      </x:c>
      <x:c r="G926" s="20" t="str">
        <x:v>L020</x:v>
      </x:c>
      <x:c r="H926" s="20" t="str">
        <x:v>1100 Tenant Accounts Receivable</x:v>
      </x:c>
      <x:c r="I926" s="26" t="n">
        <x:v>0</x:v>
      </x:c>
      <x:c r="J926" s="26" t="n">
        <x:v>1650</x:v>
      </x:c>
      <x:c r="K926" s="35" t="str">
        <x:v>Receipt allocated to FIN-00458</x:v>
      </x:c>
    </x:row>
    <x:row r="927">
      <x:c r="A927" s="20" t="str">
        <x:v>FIN-00460</x:v>
      </x:c>
      <x:c r="B927" s="32" t="n">
        <x:v>1</x:v>
      </x:c>
      <x:c r="C927" s="23" t="n">
        <x:v>46539</x:v>
      </x:c>
      <x:c r="D927" s="23" t="n">
        <x:v>46539</x:v>
      </x:c>
      <x:c r="E927" s="20" t="str">
        <x:v>P021</x:v>
      </x:c>
      <x:c r="F927" s="20" t="str">
        <x:v>U021</x:v>
      </x:c>
      <x:c r="G927" s="20" t="str">
        <x:v>L021</x:v>
      </x:c>
      <x:c r="H927" s="20" t="str">
        <x:v>1100 Tenant Accounts Receivable</x:v>
      </x:c>
      <x:c r="I927" s="26" t="n">
        <x:v>1375</x:v>
      </x:c>
      <x:c r="J927" s="26" t="n">
        <x:v>0</x:v>
      </x:c>
      <x:c r="K927" s="35" t="str">
        <x:v>June 2027 rent</x:v>
      </x:c>
    </x:row>
    <x:row r="928">
      <x:c r="A928" s="20" t="str">
        <x:v>FIN-00460</x:v>
      </x:c>
      <x:c r="B928" s="32" t="n">
        <x:v>2</x:v>
      </x:c>
      <x:c r="C928" s="23" t="n">
        <x:v>46539</x:v>
      </x:c>
      <x:c r="D928" s="23" t="n">
        <x:v>46539</x:v>
      </x:c>
      <x:c r="E928" s="20" t="str">
        <x:v>P021</x:v>
      </x:c>
      <x:c r="F928" s="20" t="str">
        <x:v>U021</x:v>
      </x:c>
      <x:c r="G928" s="20" t="str">
        <x:v>L021</x:v>
      </x:c>
      <x:c r="H928" s="20" t="str">
        <x:v>4000 Rental Income</x:v>
      </x:c>
      <x:c r="I928" s="26" t="n">
        <x:v>0</x:v>
      </x:c>
      <x:c r="J928" s="26" t="n">
        <x:v>1375</x:v>
      </x:c>
      <x:c r="K928" s="35" t="str">
        <x:v>June 2027 rent</x:v>
      </x:c>
    </x:row>
    <x:row r="929">
      <x:c r="A929" s="20" t="str">
        <x:v>FIN-00461</x:v>
      </x:c>
      <x:c r="B929" s="32" t="n">
        <x:v>1</x:v>
      </x:c>
      <x:c r="C929" s="23" t="n">
        <x:v>46541</x:v>
      </x:c>
      <x:c r="D929" s="23" t="n">
        <x:v>46541</x:v>
      </x:c>
      <x:c r="E929" s="20" t="str">
        <x:v>P021</x:v>
      </x:c>
      <x:c r="F929" s="20" t="str">
        <x:v>U021</x:v>
      </x:c>
      <x:c r="G929" s="20" t="str">
        <x:v>L021</x:v>
      </x:c>
      <x:c r="H929" s="20" t="str">
        <x:v>1000 Operating Cash</x:v>
      </x:c>
      <x:c r="I929" s="26" t="n">
        <x:v>1375</x:v>
      </x:c>
      <x:c r="J929" s="26" t="n">
        <x:v>0</x:v>
      </x:c>
      <x:c r="K929" s="35" t="str">
        <x:v>Receipt allocated to FIN-00460</x:v>
      </x:c>
    </x:row>
    <x:row r="930">
      <x:c r="A930" s="20" t="str">
        <x:v>FIN-00461</x:v>
      </x:c>
      <x:c r="B930" s="32" t="n">
        <x:v>2</x:v>
      </x:c>
      <x:c r="C930" s="23" t="n">
        <x:v>46541</x:v>
      </x:c>
      <x:c r="D930" s="23" t="n">
        <x:v>46541</x:v>
      </x:c>
      <x:c r="E930" s="20" t="str">
        <x:v>P021</x:v>
      </x:c>
      <x:c r="F930" s="20" t="str">
        <x:v>U021</x:v>
      </x:c>
      <x:c r="G930" s="20" t="str">
        <x:v>L021</x:v>
      </x:c>
      <x:c r="H930" s="20" t="str">
        <x:v>1100 Tenant Accounts Receivable</x:v>
      </x:c>
      <x:c r="I930" s="26" t="n">
        <x:v>0</x:v>
      </x:c>
      <x:c r="J930" s="26" t="n">
        <x:v>1375</x:v>
      </x:c>
      <x:c r="K930" s="35" t="str">
        <x:v>Receipt allocated to FIN-00460</x:v>
      </x:c>
    </x:row>
    <x:row r="931">
      <x:c r="A931" s="20" t="str">
        <x:v>FIN-00462</x:v>
      </x:c>
      <x:c r="B931" s="32" t="n">
        <x:v>1</x:v>
      </x:c>
      <x:c r="C931" s="23" t="n">
        <x:v>46539</x:v>
      </x:c>
      <x:c r="D931" s="23" t="n">
        <x:v>46539</x:v>
      </x:c>
      <x:c r="E931" s="20" t="str">
        <x:v>P021</x:v>
      </x:c>
      <x:c r="F931" s="20" t="str">
        <x:v>U022</x:v>
      </x:c>
      <x:c r="G931" s="20" t="str">
        <x:v>L022</x:v>
      </x:c>
      <x:c r="H931" s="20" t="str">
        <x:v>1100 Tenant Accounts Receivable</x:v>
      </x:c>
      <x:c r="I931" s="26" t="n">
        <x:v>1900</x:v>
      </x:c>
      <x:c r="J931" s="26" t="n">
        <x:v>0</x:v>
      </x:c>
      <x:c r="K931" s="35" t="str">
        <x:v>June 2027 rent</x:v>
      </x:c>
    </x:row>
    <x:row r="932">
      <x:c r="A932" s="20" t="str">
        <x:v>FIN-00462</x:v>
      </x:c>
      <x:c r="B932" s="32" t="n">
        <x:v>2</x:v>
      </x:c>
      <x:c r="C932" s="23" t="n">
        <x:v>46539</x:v>
      </x:c>
      <x:c r="D932" s="23" t="n">
        <x:v>46539</x:v>
      </x:c>
      <x:c r="E932" s="20" t="str">
        <x:v>P021</x:v>
      </x:c>
      <x:c r="F932" s="20" t="str">
        <x:v>U022</x:v>
      </x:c>
      <x:c r="G932" s="20" t="str">
        <x:v>L022</x:v>
      </x:c>
      <x:c r="H932" s="20" t="str">
        <x:v>4000 Rental Income</x:v>
      </x:c>
      <x:c r="I932" s="26" t="n">
        <x:v>0</x:v>
      </x:c>
      <x:c r="J932" s="26" t="n">
        <x:v>1900</x:v>
      </x:c>
      <x:c r="K932" s="35" t="str">
        <x:v>June 2027 rent</x:v>
      </x:c>
    </x:row>
    <x:row r="933">
      <x:c r="A933" s="20" t="str">
        <x:v>FIN-00463</x:v>
      </x:c>
      <x:c r="B933" s="32" t="n">
        <x:v>1</x:v>
      </x:c>
      <x:c r="C933" s="23" t="n">
        <x:v>46541</x:v>
      </x:c>
      <x:c r="D933" s="23" t="n">
        <x:v>46541</x:v>
      </x:c>
      <x:c r="E933" s="20" t="str">
        <x:v>P021</x:v>
      </x:c>
      <x:c r="F933" s="20" t="str">
        <x:v>U022</x:v>
      </x:c>
      <x:c r="G933" s="20" t="str">
        <x:v>L022</x:v>
      </x:c>
      <x:c r="H933" s="20" t="str">
        <x:v>1000 Operating Cash</x:v>
      </x:c>
      <x:c r="I933" s="26" t="n">
        <x:v>1140</x:v>
      </x:c>
      <x:c r="J933" s="26" t="n">
        <x:v>0</x:v>
      </x:c>
      <x:c r="K933" s="35" t="str">
        <x:v>Receipt allocated to FIN-00462</x:v>
      </x:c>
    </x:row>
    <x:row r="934">
      <x:c r="A934" s="20" t="str">
        <x:v>FIN-00463</x:v>
      </x:c>
      <x:c r="B934" s="32" t="n">
        <x:v>2</x:v>
      </x:c>
      <x:c r="C934" s="23" t="n">
        <x:v>46541</x:v>
      </x:c>
      <x:c r="D934" s="23" t="n">
        <x:v>46541</x:v>
      </x:c>
      <x:c r="E934" s="20" t="str">
        <x:v>P021</x:v>
      </x:c>
      <x:c r="F934" s="20" t="str">
        <x:v>U022</x:v>
      </x:c>
      <x:c r="G934" s="20" t="str">
        <x:v>L022</x:v>
      </x:c>
      <x:c r="H934" s="20" t="str">
        <x:v>1100 Tenant Accounts Receivable</x:v>
      </x:c>
      <x:c r="I934" s="26" t="n">
        <x:v>0</x:v>
      </x:c>
      <x:c r="J934" s="26" t="n">
        <x:v>1140</x:v>
      </x:c>
      <x:c r="K934" s="35" t="str">
        <x:v>Receipt allocated to FIN-00462</x:v>
      </x:c>
    </x:row>
    <x:row r="935">
      <x:c r="A935" s="20" t="str">
        <x:v>FIN-00464</x:v>
      </x:c>
      <x:c r="B935" s="32" t="n">
        <x:v>1</x:v>
      </x:c>
      <x:c r="C935" s="23" t="n">
        <x:v>46544</x:v>
      </x:c>
      <x:c r="D935" s="23" t="n">
        <x:v>46544</x:v>
      </x:c>
      <x:c r="E935" s="20" t="str">
        <x:v>P021</x:v>
      </x:c>
      <x:c r="F935" s="20" t="str">
        <x:v>U022</x:v>
      </x:c>
      <x:c r="G935" s="20" t="str">
        <x:v>L022</x:v>
      </x:c>
      <x:c r="H935" s="20" t="str">
        <x:v>1100 Tenant Accounts Receivable</x:v>
      </x:c>
      <x:c r="I935" s="26" t="n">
        <x:v>50</x:v>
      </x:c>
      <x:c r="J935" s="26" t="n">
        <x:v>0</x:v>
      </x:c>
      <x:c r="K935" s="35" t="str">
        <x:v>Synthetic lease-authorized late fee after partial payment</x:v>
      </x:c>
    </x:row>
    <x:row r="936">
      <x:c r="A936" s="20" t="str">
        <x:v>FIN-00464</x:v>
      </x:c>
      <x:c r="B936" s="32" t="n">
        <x:v>2</x:v>
      </x:c>
      <x:c r="C936" s="23" t="n">
        <x:v>46544</x:v>
      </x:c>
      <x:c r="D936" s="23" t="n">
        <x:v>46544</x:v>
      </x:c>
      <x:c r="E936" s="20" t="str">
        <x:v>P021</x:v>
      </x:c>
      <x:c r="F936" s="20" t="str">
        <x:v>U022</x:v>
      </x:c>
      <x:c r="G936" s="20" t="str">
        <x:v>L022</x:v>
      </x:c>
      <x:c r="H936" s="20" t="str">
        <x:v>4010 Late Fee Income</x:v>
      </x:c>
      <x:c r="I936" s="26" t="n">
        <x:v>0</x:v>
      </x:c>
      <x:c r="J936" s="26" t="n">
        <x:v>50</x:v>
      </x:c>
      <x:c r="K936" s="35" t="str">
        <x:v>Synthetic lease-authorized late fee after partial payment</x:v>
      </x:c>
    </x:row>
    <x:row r="937">
      <x:c r="A937" s="20" t="str">
        <x:v>FIN-00465</x:v>
      </x:c>
      <x:c r="B937" s="32" t="n">
        <x:v>1</x:v>
      </x:c>
      <x:c r="C937" s="23" t="n">
        <x:v>46550</x:v>
      </x:c>
      <x:c r="D937" s="23" t="n">
        <x:v>46550</x:v>
      </x:c>
      <x:c r="E937" s="20" t="str">
        <x:v>P021</x:v>
      </x:c>
      <x:c r="F937" s="20" t="str">
        <x:v>U022</x:v>
      </x:c>
      <x:c r="G937" s="20" t="str">
        <x:v>L022</x:v>
      </x:c>
      <x:c r="H937" s="20" t="str">
        <x:v>1000 Operating Cash</x:v>
      </x:c>
      <x:c r="I937" s="26" t="n">
        <x:v>810</x:v>
      </x:c>
      <x:c r="J937" s="26" t="n">
        <x:v>0</x:v>
      </x:c>
      <x:c r="K937" s="35" t="str">
        <x:v>Receipt allocated to FIN-00464</x:v>
      </x:c>
    </x:row>
    <x:row r="938">
      <x:c r="A938" s="20" t="str">
        <x:v>FIN-00465</x:v>
      </x:c>
      <x:c r="B938" s="32" t="n">
        <x:v>2</x:v>
      </x:c>
      <x:c r="C938" s="23" t="n">
        <x:v>46550</x:v>
      </x:c>
      <x:c r="D938" s="23" t="n">
        <x:v>46550</x:v>
      </x:c>
      <x:c r="E938" s="20" t="str">
        <x:v>P021</x:v>
      </x:c>
      <x:c r="F938" s="20" t="str">
        <x:v>U022</x:v>
      </x:c>
      <x:c r="G938" s="20" t="str">
        <x:v>L022</x:v>
      </x:c>
      <x:c r="H938" s="20" t="str">
        <x:v>1100 Tenant Accounts Receivable</x:v>
      </x:c>
      <x:c r="I938" s="26" t="n">
        <x:v>0</x:v>
      </x:c>
      <x:c r="J938" s="26" t="n">
        <x:v>810</x:v>
      </x:c>
      <x:c r="K938" s="35" t="str">
        <x:v>Receipt allocated to FIN-00464</x:v>
      </x:c>
    </x:row>
    <x:row r="939">
      <x:c r="A939" s="20" t="str">
        <x:v>FIN-00466</x:v>
      </x:c>
      <x:c r="B939" s="32" t="n">
        <x:v>1</x:v>
      </x:c>
      <x:c r="C939" s="23" t="n">
        <x:v>46539</x:v>
      </x:c>
      <x:c r="D939" s="23" t="n">
        <x:v>46539</x:v>
      </x:c>
      <x:c r="E939" s="20" t="str">
        <x:v>P022</x:v>
      </x:c>
      <x:c r="F939" s="20" t="str">
        <x:v>U023</x:v>
      </x:c>
      <x:c r="G939" s="20" t="str">
        <x:v>L023</x:v>
      </x:c>
      <x:c r="H939" s="20" t="str">
        <x:v>1100 Tenant Accounts Receivable</x:v>
      </x:c>
      <x:c r="I939" s="26" t="n">
        <x:v>1525</x:v>
      </x:c>
      <x:c r="J939" s="26" t="n">
        <x:v>0</x:v>
      </x:c>
      <x:c r="K939" s="35" t="str">
        <x:v>June 2027 rent</x:v>
      </x:c>
    </x:row>
    <x:row r="940">
      <x:c r="A940" s="20" t="str">
        <x:v>FIN-00466</x:v>
      </x:c>
      <x:c r="B940" s="32" t="n">
        <x:v>2</x:v>
      </x:c>
      <x:c r="C940" s="23" t="n">
        <x:v>46539</x:v>
      </x:c>
      <x:c r="D940" s="23" t="n">
        <x:v>46539</x:v>
      </x:c>
      <x:c r="E940" s="20" t="str">
        <x:v>P022</x:v>
      </x:c>
      <x:c r="F940" s="20" t="str">
        <x:v>U023</x:v>
      </x:c>
      <x:c r="G940" s="20" t="str">
        <x:v>L023</x:v>
      </x:c>
      <x:c r="H940" s="20" t="str">
        <x:v>4000 Rental Income</x:v>
      </x:c>
      <x:c r="I940" s="26" t="n">
        <x:v>0</x:v>
      </x:c>
      <x:c r="J940" s="26" t="n">
        <x:v>1525</x:v>
      </x:c>
      <x:c r="K940" s="35" t="str">
        <x:v>June 2027 rent</x:v>
      </x:c>
    </x:row>
    <x:row r="941">
      <x:c r="A941" s="20" t="str">
        <x:v>FIN-00467</x:v>
      </x:c>
      <x:c r="B941" s="32" t="n">
        <x:v>1</x:v>
      </x:c>
      <x:c r="C941" s="23" t="n">
        <x:v>46543</x:v>
      </x:c>
      <x:c r="D941" s="23" t="n">
        <x:v>46543</x:v>
      </x:c>
      <x:c r="E941" s="20" t="str">
        <x:v>P022</x:v>
      </x:c>
      <x:c r="F941" s="20" t="str">
        <x:v>U023</x:v>
      </x:c>
      <x:c r="G941" s="20" t="str">
        <x:v>L023</x:v>
      </x:c>
      <x:c r="H941" s="20" t="str">
        <x:v>1000 Operating Cash</x:v>
      </x:c>
      <x:c r="I941" s="26" t="n">
        <x:v>1525</x:v>
      </x:c>
      <x:c r="J941" s="26" t="n">
        <x:v>0</x:v>
      </x:c>
      <x:c r="K941" s="35" t="str">
        <x:v>Receipt allocated to FIN-00466</x:v>
      </x:c>
    </x:row>
    <x:row r="942">
      <x:c r="A942" s="20" t="str">
        <x:v>FIN-00467</x:v>
      </x:c>
      <x:c r="B942" s="32" t="n">
        <x:v>2</x:v>
      </x:c>
      <x:c r="C942" s="23" t="n">
        <x:v>46543</x:v>
      </x:c>
      <x:c r="D942" s="23" t="n">
        <x:v>46543</x:v>
      </x:c>
      <x:c r="E942" s="20" t="str">
        <x:v>P022</x:v>
      </x:c>
      <x:c r="F942" s="20" t="str">
        <x:v>U023</x:v>
      </x:c>
      <x:c r="G942" s="20" t="str">
        <x:v>L023</x:v>
      </x:c>
      <x:c r="H942" s="20" t="str">
        <x:v>1100 Tenant Accounts Receivable</x:v>
      </x:c>
      <x:c r="I942" s="26" t="n">
        <x:v>0</x:v>
      </x:c>
      <x:c r="J942" s="26" t="n">
        <x:v>1525</x:v>
      </x:c>
      <x:c r="K942" s="35" t="str">
        <x:v>Receipt allocated to FIN-00466</x:v>
      </x:c>
    </x:row>
    <x:row r="943">
      <x:c r="A943" s="20" t="str">
        <x:v>FIN-00468</x:v>
      </x:c>
      <x:c r="B943" s="32" t="n">
        <x:v>1</x:v>
      </x:c>
      <x:c r="C943" s="23" t="n">
        <x:v>46539</x:v>
      </x:c>
      <x:c r="D943" s="23" t="n">
        <x:v>46539</x:v>
      </x:c>
      <x:c r="E943" s="20" t="str">
        <x:v>P022</x:v>
      </x:c>
      <x:c r="F943" s="20" t="str">
        <x:v>U024</x:v>
      </x:c>
      <x:c r="G943" s="20" t="str">
        <x:v>L024</x:v>
      </x:c>
      <x:c r="H943" s="20" t="str">
        <x:v>1100 Tenant Accounts Receivable</x:v>
      </x:c>
      <x:c r="I943" s="26" t="n">
        <x:v>1150</x:v>
      </x:c>
      <x:c r="J943" s="26" t="n">
        <x:v>0</x:v>
      </x:c>
      <x:c r="K943" s="35" t="str">
        <x:v>June 2027 rent</x:v>
      </x:c>
    </x:row>
    <x:row r="944">
      <x:c r="A944" s="20" t="str">
        <x:v>FIN-00468</x:v>
      </x:c>
      <x:c r="B944" s="32" t="n">
        <x:v>2</x:v>
      </x:c>
      <x:c r="C944" s="23" t="n">
        <x:v>46539</x:v>
      </x:c>
      <x:c r="D944" s="23" t="n">
        <x:v>46539</x:v>
      </x:c>
      <x:c r="E944" s="20" t="str">
        <x:v>P022</x:v>
      </x:c>
      <x:c r="F944" s="20" t="str">
        <x:v>U024</x:v>
      </x:c>
      <x:c r="G944" s="20" t="str">
        <x:v>L024</x:v>
      </x:c>
      <x:c r="H944" s="20" t="str">
        <x:v>4000 Rental Income</x:v>
      </x:c>
      <x:c r="I944" s="26" t="n">
        <x:v>0</x:v>
      </x:c>
      <x:c r="J944" s="26" t="n">
        <x:v>1150</x:v>
      </x:c>
      <x:c r="K944" s="35" t="str">
        <x:v>June 2027 rent</x:v>
      </x:c>
    </x:row>
    <x:row r="945">
      <x:c r="A945" s="20" t="str">
        <x:v>FIN-00469</x:v>
      </x:c>
      <x:c r="B945" s="32" t="n">
        <x:v>1</x:v>
      </x:c>
      <x:c r="C945" s="23" t="n">
        <x:v>46541</x:v>
      </x:c>
      <x:c r="D945" s="23" t="n">
        <x:v>46541</x:v>
      </x:c>
      <x:c r="E945" s="20" t="str">
        <x:v>P022</x:v>
      </x:c>
      <x:c r="F945" s="20" t="str">
        <x:v>U024</x:v>
      </x:c>
      <x:c r="G945" s="20" t="str">
        <x:v>L024</x:v>
      </x:c>
      <x:c r="H945" s="20" t="str">
        <x:v>1000 Operating Cash</x:v>
      </x:c>
      <x:c r="I945" s="26" t="n">
        <x:v>1150</x:v>
      </x:c>
      <x:c r="J945" s="26" t="n">
        <x:v>0</x:v>
      </x:c>
      <x:c r="K945" s="35" t="str">
        <x:v>Receipt allocated to FIN-00468</x:v>
      </x:c>
    </x:row>
    <x:row r="946">
      <x:c r="A946" s="20" t="str">
        <x:v>FIN-00469</x:v>
      </x:c>
      <x:c r="B946" s="32" t="n">
        <x:v>2</x:v>
      </x:c>
      <x:c r="C946" s="23" t="n">
        <x:v>46541</x:v>
      </x:c>
      <x:c r="D946" s="23" t="n">
        <x:v>46541</x:v>
      </x:c>
      <x:c r="E946" s="20" t="str">
        <x:v>P022</x:v>
      </x:c>
      <x:c r="F946" s="20" t="str">
        <x:v>U024</x:v>
      </x:c>
      <x:c r="G946" s="20" t="str">
        <x:v>L024</x:v>
      </x:c>
      <x:c r="H946" s="20" t="str">
        <x:v>1100 Tenant Accounts Receivable</x:v>
      </x:c>
      <x:c r="I946" s="26" t="n">
        <x:v>0</x:v>
      </x:c>
      <x:c r="J946" s="26" t="n">
        <x:v>1150</x:v>
      </x:c>
      <x:c r="K946" s="35" t="str">
        <x:v>Receipt allocated to FIN-00468</x:v>
      </x:c>
    </x:row>
    <x:row r="947">
      <x:c r="A947" s="20" t="str">
        <x:v>FIN-00470</x:v>
      </x:c>
      <x:c r="B947" s="32" t="n">
        <x:v>1</x:v>
      </x:c>
      <x:c r="C947" s="23" t="n">
        <x:v>46539</x:v>
      </x:c>
      <x:c r="D947" s="23" t="n">
        <x:v>46539</x:v>
      </x:c>
      <x:c r="E947" s="20" t="str">
        <x:v>P023</x:v>
      </x:c>
      <x:c r="F947" s="20" t="str">
        <x:v>U025</x:v>
      </x:c>
      <x:c r="G947" s="20" t="str">
        <x:v>L025</x:v>
      </x:c>
      <x:c r="H947" s="20" t="str">
        <x:v>1100 Tenant Accounts Receivable</x:v>
      </x:c>
      <x:c r="I947" s="26" t="n">
        <x:v>1675</x:v>
      </x:c>
      <x:c r="J947" s="26" t="n">
        <x:v>0</x:v>
      </x:c>
      <x:c r="K947" s="35" t="str">
        <x:v>June 2027 rent</x:v>
      </x:c>
    </x:row>
    <x:row r="948">
      <x:c r="A948" s="20" t="str">
        <x:v>FIN-00470</x:v>
      </x:c>
      <x:c r="B948" s="32" t="n">
        <x:v>2</x:v>
      </x:c>
      <x:c r="C948" s="23" t="n">
        <x:v>46539</x:v>
      </x:c>
      <x:c r="D948" s="23" t="n">
        <x:v>46539</x:v>
      </x:c>
      <x:c r="E948" s="20" t="str">
        <x:v>P023</x:v>
      </x:c>
      <x:c r="F948" s="20" t="str">
        <x:v>U025</x:v>
      </x:c>
      <x:c r="G948" s="20" t="str">
        <x:v>L025</x:v>
      </x:c>
      <x:c r="H948" s="20" t="str">
        <x:v>4000 Rental Income</x:v>
      </x:c>
      <x:c r="I948" s="26" t="n">
        <x:v>0</x:v>
      </x:c>
      <x:c r="J948" s="26" t="n">
        <x:v>1675</x:v>
      </x:c>
      <x:c r="K948" s="35" t="str">
        <x:v>June 2027 rent</x:v>
      </x:c>
    </x:row>
    <x:row r="949">
      <x:c r="A949" s="20" t="str">
        <x:v>FIN-00471</x:v>
      </x:c>
      <x:c r="B949" s="32" t="n">
        <x:v>1</x:v>
      </x:c>
      <x:c r="C949" s="23" t="n">
        <x:v>46542</x:v>
      </x:c>
      <x:c r="D949" s="23" t="n">
        <x:v>46542</x:v>
      </x:c>
      <x:c r="E949" s="20" t="str">
        <x:v>P023</x:v>
      </x:c>
      <x:c r="F949" s="20" t="str">
        <x:v>U025</x:v>
      </x:c>
      <x:c r="G949" s="20" t="str">
        <x:v>L025</x:v>
      </x:c>
      <x:c r="H949" s="20" t="str">
        <x:v>1000 Operating Cash</x:v>
      </x:c>
      <x:c r="I949" s="26" t="n">
        <x:v>1675</x:v>
      </x:c>
      <x:c r="J949" s="26" t="n">
        <x:v>0</x:v>
      </x:c>
      <x:c r="K949" s="35" t="str">
        <x:v>Receipt allocated to FIN-00470</x:v>
      </x:c>
    </x:row>
    <x:row r="950">
      <x:c r="A950" s="20" t="str">
        <x:v>FIN-00471</x:v>
      </x:c>
      <x:c r="B950" s="32" t="n">
        <x:v>2</x:v>
      </x:c>
      <x:c r="C950" s="23" t="n">
        <x:v>46542</x:v>
      </x:c>
      <x:c r="D950" s="23" t="n">
        <x:v>46542</x:v>
      </x:c>
      <x:c r="E950" s="20" t="str">
        <x:v>P023</x:v>
      </x:c>
      <x:c r="F950" s="20" t="str">
        <x:v>U025</x:v>
      </x:c>
      <x:c r="G950" s="20" t="str">
        <x:v>L025</x:v>
      </x:c>
      <x:c r="H950" s="20" t="str">
        <x:v>1100 Tenant Accounts Receivable</x:v>
      </x:c>
      <x:c r="I950" s="26" t="n">
        <x:v>0</x:v>
      </x:c>
      <x:c r="J950" s="26" t="n">
        <x:v>1675</x:v>
      </x:c>
      <x:c r="K950" s="35" t="str">
        <x:v>Receipt allocated to FIN-00470</x:v>
      </x:c>
    </x:row>
    <x:row r="951">
      <x:c r="A951" s="20" t="str">
        <x:v>FIN-00472</x:v>
      </x:c>
      <x:c r="B951" s="32" t="n">
        <x:v>1</x:v>
      </x:c>
      <x:c r="C951" s="23" t="n">
        <x:v>46539</x:v>
      </x:c>
      <x:c r="D951" s="23" t="n">
        <x:v>46539</x:v>
      </x:c>
      <x:c r="E951" s="20" t="str">
        <x:v>P023</x:v>
      </x:c>
      <x:c r="F951" s="20" t="str">
        <x:v>U026</x:v>
      </x:c>
      <x:c r="G951" s="20" t="str">
        <x:v>L026</x:v>
      </x:c>
      <x:c r="H951" s="20" t="str">
        <x:v>1100 Tenant Accounts Receivable</x:v>
      </x:c>
      <x:c r="I951" s="26" t="n">
        <x:v>1300</x:v>
      </x:c>
      <x:c r="J951" s="26" t="n">
        <x:v>0</x:v>
      </x:c>
      <x:c r="K951" s="35" t="str">
        <x:v>June 2027 rent</x:v>
      </x:c>
    </x:row>
    <x:row r="952">
      <x:c r="A952" s="20" t="str">
        <x:v>FIN-00472</x:v>
      </x:c>
      <x:c r="B952" s="32" t="n">
        <x:v>2</x:v>
      </x:c>
      <x:c r="C952" s="23" t="n">
        <x:v>46539</x:v>
      </x:c>
      <x:c r="D952" s="23" t="n">
        <x:v>46539</x:v>
      </x:c>
      <x:c r="E952" s="20" t="str">
        <x:v>P023</x:v>
      </x:c>
      <x:c r="F952" s="20" t="str">
        <x:v>U026</x:v>
      </x:c>
      <x:c r="G952" s="20" t="str">
        <x:v>L026</x:v>
      </x:c>
      <x:c r="H952" s="20" t="str">
        <x:v>4000 Rental Income</x:v>
      </x:c>
      <x:c r="I952" s="26" t="n">
        <x:v>0</x:v>
      </x:c>
      <x:c r="J952" s="26" t="n">
        <x:v>1300</x:v>
      </x:c>
      <x:c r="K952" s="35" t="str">
        <x:v>June 2027 rent</x:v>
      </x:c>
    </x:row>
    <x:row r="953">
      <x:c r="A953" s="20" t="str">
        <x:v>FIN-00473</x:v>
      </x:c>
      <x:c r="B953" s="32" t="n">
        <x:v>1</x:v>
      </x:c>
      <x:c r="C953" s="23" t="n">
        <x:v>46544</x:v>
      </x:c>
      <x:c r="D953" s="23" t="n">
        <x:v>46544</x:v>
      </x:c>
      <x:c r="E953" s="20" t="str">
        <x:v>P023</x:v>
      </x:c>
      <x:c r="F953" s="20" t="str">
        <x:v>U026</x:v>
      </x:c>
      <x:c r="G953" s="20" t="str">
        <x:v>L026</x:v>
      </x:c>
      <x:c r="H953" s="20" t="str">
        <x:v>1100 Tenant Accounts Receivable</x:v>
      </x:c>
      <x:c r="I953" s="26" t="n">
        <x:v>50</x:v>
      </x:c>
      <x:c r="J953" s="26" t="n">
        <x:v>0</x:v>
      </x:c>
      <x:c r="K953" s="35" t="str">
        <x:v>Synthetic lease-authorized late fee</x:v>
      </x:c>
    </x:row>
    <x:row r="954">
      <x:c r="A954" s="20" t="str">
        <x:v>FIN-00473</x:v>
      </x:c>
      <x:c r="B954" s="32" t="n">
        <x:v>2</x:v>
      </x:c>
      <x:c r="C954" s="23" t="n">
        <x:v>46544</x:v>
      </x:c>
      <x:c r="D954" s="23" t="n">
        <x:v>46544</x:v>
      </x:c>
      <x:c r="E954" s="20" t="str">
        <x:v>P023</x:v>
      </x:c>
      <x:c r="F954" s="20" t="str">
        <x:v>U026</x:v>
      </x:c>
      <x:c r="G954" s="20" t="str">
        <x:v>L026</x:v>
      </x:c>
      <x:c r="H954" s="20" t="str">
        <x:v>4010 Late Fee Income</x:v>
      </x:c>
      <x:c r="I954" s="26" t="n">
        <x:v>0</x:v>
      </x:c>
      <x:c r="J954" s="26" t="n">
        <x:v>50</x:v>
      </x:c>
      <x:c r="K954" s="35" t="str">
        <x:v>Synthetic lease-authorized late fee</x:v>
      </x:c>
    </x:row>
    <x:row r="955">
      <x:c r="A955" s="20" t="str">
        <x:v>FIN-00474</x:v>
      </x:c>
      <x:c r="B955" s="32" t="n">
        <x:v>1</x:v>
      </x:c>
      <x:c r="C955" s="23" t="n">
        <x:v>46546</x:v>
      </x:c>
      <x:c r="D955" s="23" t="n">
        <x:v>46546</x:v>
      </x:c>
      <x:c r="E955" s="20" t="str">
        <x:v>P023</x:v>
      </x:c>
      <x:c r="F955" s="20" t="str">
        <x:v>U026</x:v>
      </x:c>
      <x:c r="G955" s="20" t="str">
        <x:v>L026</x:v>
      </x:c>
      <x:c r="H955" s="20" t="str">
        <x:v>1000 Operating Cash</x:v>
      </x:c>
      <x:c r="I955" s="26" t="n">
        <x:v>1350</x:v>
      </x:c>
      <x:c r="J955" s="26" t="n">
        <x:v>0</x:v>
      </x:c>
      <x:c r="K955" s="35" t="str">
        <x:v>Receipt allocated to FIN-00473</x:v>
      </x:c>
    </x:row>
    <x:row r="956">
      <x:c r="A956" s="20" t="str">
        <x:v>FIN-00474</x:v>
      </x:c>
      <x:c r="B956" s="32" t="n">
        <x:v>2</x:v>
      </x:c>
      <x:c r="C956" s="23" t="n">
        <x:v>46546</x:v>
      </x:c>
      <x:c r="D956" s="23" t="n">
        <x:v>46546</x:v>
      </x:c>
      <x:c r="E956" s="20" t="str">
        <x:v>P023</x:v>
      </x:c>
      <x:c r="F956" s="20" t="str">
        <x:v>U026</x:v>
      </x:c>
      <x:c r="G956" s="20" t="str">
        <x:v>L026</x:v>
      </x:c>
      <x:c r="H956" s="20" t="str">
        <x:v>1100 Tenant Accounts Receivable</x:v>
      </x:c>
      <x:c r="I956" s="26" t="n">
        <x:v>0</x:v>
      </x:c>
      <x:c r="J956" s="26" t="n">
        <x:v>1350</x:v>
      </x:c>
      <x:c r="K956" s="35" t="str">
        <x:v>Receipt allocated to FIN-00473</x:v>
      </x:c>
    </x:row>
    <x:row r="957">
      <x:c r="A957" s="20" t="str">
        <x:v>FIN-00475</x:v>
      </x:c>
      <x:c r="B957" s="32" t="n">
        <x:v>1</x:v>
      </x:c>
      <x:c r="C957" s="23" t="n">
        <x:v>46539</x:v>
      </x:c>
      <x:c r="D957" s="23" t="n">
        <x:v>46539</x:v>
      </x:c>
      <x:c r="E957" s="20" t="str">
        <x:v>P024</x:v>
      </x:c>
      <x:c r="F957" s="20" t="str">
        <x:v>U027</x:v>
      </x:c>
      <x:c r="G957" s="20" t="str">
        <x:v>L027</x:v>
      </x:c>
      <x:c r="H957" s="20" t="str">
        <x:v>1100 Tenant Accounts Receivable</x:v>
      </x:c>
      <x:c r="I957" s="26" t="n">
        <x:v>1825</x:v>
      </x:c>
      <x:c r="J957" s="26" t="n">
        <x:v>0</x:v>
      </x:c>
      <x:c r="K957" s="35" t="str">
        <x:v>June 2027 rent</x:v>
      </x:c>
    </x:row>
    <x:row r="958">
      <x:c r="A958" s="20" t="str">
        <x:v>FIN-00475</x:v>
      </x:c>
      <x:c r="B958" s="32" t="n">
        <x:v>2</x:v>
      </x:c>
      <x:c r="C958" s="23" t="n">
        <x:v>46539</x:v>
      </x:c>
      <x:c r="D958" s="23" t="n">
        <x:v>46539</x:v>
      </x:c>
      <x:c r="E958" s="20" t="str">
        <x:v>P024</x:v>
      </x:c>
      <x:c r="F958" s="20" t="str">
        <x:v>U027</x:v>
      </x:c>
      <x:c r="G958" s="20" t="str">
        <x:v>L027</x:v>
      </x:c>
      <x:c r="H958" s="20" t="str">
        <x:v>4000 Rental Income</x:v>
      </x:c>
      <x:c r="I958" s="26" t="n">
        <x:v>0</x:v>
      </x:c>
      <x:c r="J958" s="26" t="n">
        <x:v>1825</x:v>
      </x:c>
      <x:c r="K958" s="35" t="str">
        <x:v>June 2027 rent</x:v>
      </x:c>
    </x:row>
    <x:row r="959">
      <x:c r="A959" s="20" t="str">
        <x:v>FIN-00476</x:v>
      </x:c>
      <x:c r="B959" s="32" t="n">
        <x:v>1</x:v>
      </x:c>
      <x:c r="C959" s="23" t="n">
        <x:v>46541</x:v>
      </x:c>
      <x:c r="D959" s="23" t="n">
        <x:v>46541</x:v>
      </x:c>
      <x:c r="E959" s="20" t="str">
        <x:v>P024</x:v>
      </x:c>
      <x:c r="F959" s="20" t="str">
        <x:v>U027</x:v>
      </x:c>
      <x:c r="G959" s="20" t="str">
        <x:v>L027</x:v>
      </x:c>
      <x:c r="H959" s="20" t="str">
        <x:v>1000 Operating Cash</x:v>
      </x:c>
      <x:c r="I959" s="26" t="n">
        <x:v>1825</x:v>
      </x:c>
      <x:c r="J959" s="26" t="n">
        <x:v>0</x:v>
      </x:c>
      <x:c r="K959" s="35" t="str">
        <x:v>Receipt allocated to FIN-00475</x:v>
      </x:c>
    </x:row>
    <x:row r="960">
      <x:c r="A960" s="20" t="str">
        <x:v>FIN-00476</x:v>
      </x:c>
      <x:c r="B960" s="32" t="n">
        <x:v>2</x:v>
      </x:c>
      <x:c r="C960" s="23" t="n">
        <x:v>46541</x:v>
      </x:c>
      <x:c r="D960" s="23" t="n">
        <x:v>46541</x:v>
      </x:c>
      <x:c r="E960" s="20" t="str">
        <x:v>P024</x:v>
      </x:c>
      <x:c r="F960" s="20" t="str">
        <x:v>U027</x:v>
      </x:c>
      <x:c r="G960" s="20" t="str">
        <x:v>L027</x:v>
      </x:c>
      <x:c r="H960" s="20" t="str">
        <x:v>1100 Tenant Accounts Receivable</x:v>
      </x:c>
      <x:c r="I960" s="26" t="n">
        <x:v>0</x:v>
      </x:c>
      <x:c r="J960" s="26" t="n">
        <x:v>1825</x:v>
      </x:c>
      <x:c r="K960" s="35" t="str">
        <x:v>Receipt allocated to FIN-00475</x:v>
      </x:c>
    </x:row>
    <x:row r="961">
      <x:c r="A961" s="20" t="str">
        <x:v>FIN-00477</x:v>
      </x:c>
      <x:c r="B961" s="32" t="n">
        <x:v>1</x:v>
      </x:c>
      <x:c r="C961" s="23" t="n">
        <x:v>46539</x:v>
      </x:c>
      <x:c r="D961" s="23" t="n">
        <x:v>46539</x:v>
      </x:c>
      <x:c r="E961" s="20" t="str">
        <x:v>P024</x:v>
      </x:c>
      <x:c r="F961" s="20" t="str">
        <x:v>U028</x:v>
      </x:c>
      <x:c r="G961" s="20" t="str">
        <x:v>L028</x:v>
      </x:c>
      <x:c r="H961" s="20" t="str">
        <x:v>1100 Tenant Accounts Receivable</x:v>
      </x:c>
      <x:c r="I961" s="26" t="n">
        <x:v>1450</x:v>
      </x:c>
      <x:c r="J961" s="26" t="n">
        <x:v>0</x:v>
      </x:c>
      <x:c r="K961" s="35" t="str">
        <x:v>June 2027 rent</x:v>
      </x:c>
    </x:row>
    <x:row r="962">
      <x:c r="A962" s="20" t="str">
        <x:v>FIN-00477</x:v>
      </x:c>
      <x:c r="B962" s="32" t="n">
        <x:v>2</x:v>
      </x:c>
      <x:c r="C962" s="23" t="n">
        <x:v>46539</x:v>
      </x:c>
      <x:c r="D962" s="23" t="n">
        <x:v>46539</x:v>
      </x:c>
      <x:c r="E962" s="20" t="str">
        <x:v>P024</x:v>
      </x:c>
      <x:c r="F962" s="20" t="str">
        <x:v>U028</x:v>
      </x:c>
      <x:c r="G962" s="20" t="str">
        <x:v>L028</x:v>
      </x:c>
      <x:c r="H962" s="20" t="str">
        <x:v>4000 Rental Income</x:v>
      </x:c>
      <x:c r="I962" s="26" t="n">
        <x:v>0</x:v>
      </x:c>
      <x:c r="J962" s="26" t="n">
        <x:v>1450</x:v>
      </x:c>
      <x:c r="K962" s="35" t="str">
        <x:v>June 2027 rent</x:v>
      </x:c>
    </x:row>
    <x:row r="963">
      <x:c r="A963" s="20" t="str">
        <x:v>FIN-00478</x:v>
      </x:c>
      <x:c r="B963" s="32" t="n">
        <x:v>1</x:v>
      </x:c>
      <x:c r="C963" s="23" t="n">
        <x:v>46542</x:v>
      </x:c>
      <x:c r="D963" s="23" t="n">
        <x:v>46542</x:v>
      </x:c>
      <x:c r="E963" s="20" t="str">
        <x:v>P024</x:v>
      </x:c>
      <x:c r="F963" s="20" t="str">
        <x:v>U028</x:v>
      </x:c>
      <x:c r="G963" s="20" t="str">
        <x:v>L028</x:v>
      </x:c>
      <x:c r="H963" s="20" t="str">
        <x:v>1000 Operating Cash</x:v>
      </x:c>
      <x:c r="I963" s="26" t="n">
        <x:v>1450</x:v>
      </x:c>
      <x:c r="J963" s="26" t="n">
        <x:v>0</x:v>
      </x:c>
      <x:c r="K963" s="35" t="str">
        <x:v>Receipt allocated to FIN-00477</x:v>
      </x:c>
    </x:row>
    <x:row r="964">
      <x:c r="A964" s="20" t="str">
        <x:v>FIN-00478</x:v>
      </x:c>
      <x:c r="B964" s="32" t="n">
        <x:v>2</x:v>
      </x:c>
      <x:c r="C964" s="23" t="n">
        <x:v>46542</x:v>
      </x:c>
      <x:c r="D964" s="23" t="n">
        <x:v>46542</x:v>
      </x:c>
      <x:c r="E964" s="20" t="str">
        <x:v>P024</x:v>
      </x:c>
      <x:c r="F964" s="20" t="str">
        <x:v>U028</x:v>
      </x:c>
      <x:c r="G964" s="20" t="str">
        <x:v>L028</x:v>
      </x:c>
      <x:c r="H964" s="20" t="str">
        <x:v>1100 Tenant Accounts Receivable</x:v>
      </x:c>
      <x:c r="I964" s="26" t="n">
        <x:v>0</x:v>
      </x:c>
      <x:c r="J964" s="26" t="n">
        <x:v>1450</x:v>
      </x:c>
      <x:c r="K964" s="35" t="str">
        <x:v>Receipt allocated to FIN-00477</x:v>
      </x:c>
    </x:row>
    <x:row r="965">
      <x:c r="A965" s="20" t="str">
        <x:v>FIN-00479</x:v>
      </x:c>
      <x:c r="B965" s="32" t="n">
        <x:v>1</x:v>
      </x:c>
      <x:c r="C965" s="23" t="n">
        <x:v>46539</x:v>
      </x:c>
      <x:c r="D965" s="23" t="n">
        <x:v>46539</x:v>
      </x:c>
      <x:c r="E965" s="20" t="str">
        <x:v>P025</x:v>
      </x:c>
      <x:c r="F965" s="20" t="str">
        <x:v>U029</x:v>
      </x:c>
      <x:c r="G965" s="20" t="str">
        <x:v>L029</x:v>
      </x:c>
      <x:c r="H965" s="20" t="str">
        <x:v>1100 Tenant Accounts Receivable</x:v>
      </x:c>
      <x:c r="I965" s="26" t="n">
        <x:v>1975</x:v>
      </x:c>
      <x:c r="J965" s="26" t="n">
        <x:v>0</x:v>
      </x:c>
      <x:c r="K965" s="35" t="str">
        <x:v>June 2027 rent</x:v>
      </x:c>
    </x:row>
    <x:row r="966">
      <x:c r="A966" s="20" t="str">
        <x:v>FIN-00479</x:v>
      </x:c>
      <x:c r="B966" s="32" t="n">
        <x:v>2</x:v>
      </x:c>
      <x:c r="C966" s="23" t="n">
        <x:v>46539</x:v>
      </x:c>
      <x:c r="D966" s="23" t="n">
        <x:v>46539</x:v>
      </x:c>
      <x:c r="E966" s="20" t="str">
        <x:v>P025</x:v>
      </x:c>
      <x:c r="F966" s="20" t="str">
        <x:v>U029</x:v>
      </x:c>
      <x:c r="G966" s="20" t="str">
        <x:v>L029</x:v>
      </x:c>
      <x:c r="H966" s="20" t="str">
        <x:v>4000 Rental Income</x:v>
      </x:c>
      <x:c r="I966" s="26" t="n">
        <x:v>0</x:v>
      </x:c>
      <x:c r="J966" s="26" t="n">
        <x:v>1975</x:v>
      </x:c>
      <x:c r="K966" s="35" t="str">
        <x:v>June 2027 rent</x:v>
      </x:c>
    </x:row>
    <x:row r="967">
      <x:c r="A967" s="20" t="str">
        <x:v>FIN-00480</x:v>
      </x:c>
      <x:c r="B967" s="32" t="n">
        <x:v>1</x:v>
      </x:c>
      <x:c r="C967" s="23" t="n">
        <x:v>46543</x:v>
      </x:c>
      <x:c r="D967" s="23" t="n">
        <x:v>46543</x:v>
      </x:c>
      <x:c r="E967" s="20" t="str">
        <x:v>P025</x:v>
      </x:c>
      <x:c r="F967" s="20" t="str">
        <x:v>U029</x:v>
      </x:c>
      <x:c r="G967" s="20" t="str">
        <x:v>L029</x:v>
      </x:c>
      <x:c r="H967" s="20" t="str">
        <x:v>1000 Operating Cash</x:v>
      </x:c>
      <x:c r="I967" s="26" t="n">
        <x:v>1975</x:v>
      </x:c>
      <x:c r="J967" s="26" t="n">
        <x:v>0</x:v>
      </x:c>
      <x:c r="K967" s="35" t="str">
        <x:v>Receipt allocated to FIN-00479</x:v>
      </x:c>
    </x:row>
    <x:row r="968">
      <x:c r="A968" s="20" t="str">
        <x:v>FIN-00480</x:v>
      </x:c>
      <x:c r="B968" s="32" t="n">
        <x:v>2</x:v>
      </x:c>
      <x:c r="C968" s="23" t="n">
        <x:v>46543</x:v>
      </x:c>
      <x:c r="D968" s="23" t="n">
        <x:v>46543</x:v>
      </x:c>
      <x:c r="E968" s="20" t="str">
        <x:v>P025</x:v>
      </x:c>
      <x:c r="F968" s="20" t="str">
        <x:v>U029</x:v>
      </x:c>
      <x:c r="G968" s="20" t="str">
        <x:v>L029</x:v>
      </x:c>
      <x:c r="H968" s="20" t="str">
        <x:v>1100 Tenant Accounts Receivable</x:v>
      </x:c>
      <x:c r="I968" s="26" t="n">
        <x:v>0</x:v>
      </x:c>
      <x:c r="J968" s="26" t="n">
        <x:v>1975</x:v>
      </x:c>
      <x:c r="K968" s="35" t="str">
        <x:v>Receipt allocated to FIN-00479</x:v>
      </x:c>
    </x:row>
    <x:row r="969">
      <x:c r="A969" s="20" t="str">
        <x:v>FIN-00481</x:v>
      </x:c>
      <x:c r="B969" s="32" t="n">
        <x:v>1</x:v>
      </x:c>
      <x:c r="C969" s="23" t="n">
        <x:v>46539</x:v>
      </x:c>
      <x:c r="D969" s="23" t="n">
        <x:v>46539</x:v>
      </x:c>
      <x:c r="E969" s="20" t="str">
        <x:v>P025</x:v>
      </x:c>
      <x:c r="F969" s="20" t="str">
        <x:v>U030</x:v>
      </x:c>
      <x:c r="G969" s="20" t="str">
        <x:v>L030</x:v>
      </x:c>
      <x:c r="H969" s="20" t="str">
        <x:v>1100 Tenant Accounts Receivable</x:v>
      </x:c>
      <x:c r="I969" s="26" t="n">
        <x:v>1600</x:v>
      </x:c>
      <x:c r="J969" s="26" t="n">
        <x:v>0</x:v>
      </x:c>
      <x:c r="K969" s="35" t="str">
        <x:v>June 2027 rent</x:v>
      </x:c>
    </x:row>
    <x:row r="970">
      <x:c r="A970" s="20" t="str">
        <x:v>FIN-00481</x:v>
      </x:c>
      <x:c r="B970" s="32" t="n">
        <x:v>2</x:v>
      </x:c>
      <x:c r="C970" s="23" t="n">
        <x:v>46539</x:v>
      </x:c>
      <x:c r="D970" s="23" t="n">
        <x:v>46539</x:v>
      </x:c>
      <x:c r="E970" s="20" t="str">
        <x:v>P025</x:v>
      </x:c>
      <x:c r="F970" s="20" t="str">
        <x:v>U030</x:v>
      </x:c>
      <x:c r="G970" s="20" t="str">
        <x:v>L030</x:v>
      </x:c>
      <x:c r="H970" s="20" t="str">
        <x:v>4000 Rental Income</x:v>
      </x:c>
      <x:c r="I970" s="26" t="n">
        <x:v>0</x:v>
      </x:c>
      <x:c r="J970" s="26" t="n">
        <x:v>1600</x:v>
      </x:c>
      <x:c r="K970" s="35" t="str">
        <x:v>June 2027 rent</x:v>
      </x:c>
    </x:row>
    <x:row r="971">
      <x:c r="A971" s="20" t="str">
        <x:v>FIN-00482</x:v>
      </x:c>
      <x:c r="B971" s="32" t="n">
        <x:v>1</x:v>
      </x:c>
      <x:c r="C971" s="23" t="n">
        <x:v>46541</x:v>
      </x:c>
      <x:c r="D971" s="23" t="n">
        <x:v>46541</x:v>
      </x:c>
      <x:c r="E971" s="20" t="str">
        <x:v>P025</x:v>
      </x:c>
      <x:c r="F971" s="20" t="str">
        <x:v>U030</x:v>
      </x:c>
      <x:c r="G971" s="20" t="str">
        <x:v>L030</x:v>
      </x:c>
      <x:c r="H971" s="20" t="str">
        <x:v>1000 Operating Cash</x:v>
      </x:c>
      <x:c r="I971" s="26" t="n">
        <x:v>1600</x:v>
      </x:c>
      <x:c r="J971" s="26" t="n">
        <x:v>0</x:v>
      </x:c>
      <x:c r="K971" s="35" t="str">
        <x:v>Receipt allocated to FIN-00481</x:v>
      </x:c>
    </x:row>
    <x:row r="972">
      <x:c r="A972" s="20" t="str">
        <x:v>FIN-00482</x:v>
      </x:c>
      <x:c r="B972" s="32" t="n">
        <x:v>2</x:v>
      </x:c>
      <x:c r="C972" s="23" t="n">
        <x:v>46541</x:v>
      </x:c>
      <x:c r="D972" s="23" t="n">
        <x:v>46541</x:v>
      </x:c>
      <x:c r="E972" s="20" t="str">
        <x:v>P025</x:v>
      </x:c>
      <x:c r="F972" s="20" t="str">
        <x:v>U030</x:v>
      </x:c>
      <x:c r="G972" s="20" t="str">
        <x:v>L030</x:v>
      </x:c>
      <x:c r="H972" s="20" t="str">
        <x:v>1100 Tenant Accounts Receivable</x:v>
      </x:c>
      <x:c r="I972" s="26" t="n">
        <x:v>0</x:v>
      </x:c>
      <x:c r="J972" s="26" t="n">
        <x:v>1600</x:v>
      </x:c>
      <x:c r="K972" s="35" t="str">
        <x:v>Receipt allocated to FIN-00481</x:v>
      </x:c>
    </x:row>
    <x:row r="973">
      <x:c r="A973" s="20" t="str">
        <x:v>FIN-00483</x:v>
      </x:c>
      <x:c r="B973" s="32" t="n">
        <x:v>1</x:v>
      </x:c>
      <x:c r="C973" s="23" t="n">
        <x:v>46539</x:v>
      </x:c>
      <x:c r="D973" s="23" t="n">
        <x:v>46539</x:v>
      </x:c>
      <x:c r="E973" s="20" t="str">
        <x:v>P026</x:v>
      </x:c>
      <x:c r="F973" s="20" t="str">
        <x:v>U031</x:v>
      </x:c>
      <x:c r="G973" s="20" t="str">
        <x:v>L031</x:v>
      </x:c>
      <x:c r="H973" s="20" t="str">
        <x:v>1100 Tenant Accounts Receivable</x:v>
      </x:c>
      <x:c r="I973" s="26" t="n">
        <x:v>1225</x:v>
      </x:c>
      <x:c r="J973" s="26" t="n">
        <x:v>0</x:v>
      </x:c>
      <x:c r="K973" s="35" t="str">
        <x:v>June 2027 rent</x:v>
      </x:c>
    </x:row>
    <x:row r="974">
      <x:c r="A974" s="20" t="str">
        <x:v>FIN-00483</x:v>
      </x:c>
      <x:c r="B974" s="32" t="n">
        <x:v>2</x:v>
      </x:c>
      <x:c r="C974" s="23" t="n">
        <x:v>46539</x:v>
      </x:c>
      <x:c r="D974" s="23" t="n">
        <x:v>46539</x:v>
      </x:c>
      <x:c r="E974" s="20" t="str">
        <x:v>P026</x:v>
      </x:c>
      <x:c r="F974" s="20" t="str">
        <x:v>U031</x:v>
      </x:c>
      <x:c r="G974" s="20" t="str">
        <x:v>L031</x:v>
      </x:c>
      <x:c r="H974" s="20" t="str">
        <x:v>4000 Rental Income</x:v>
      </x:c>
      <x:c r="I974" s="26" t="n">
        <x:v>0</x:v>
      </x:c>
      <x:c r="J974" s="26" t="n">
        <x:v>1225</x:v>
      </x:c>
      <x:c r="K974" s="35" t="str">
        <x:v>June 2027 rent</x:v>
      </x:c>
    </x:row>
    <x:row r="975">
      <x:c r="A975" s="20" t="str">
        <x:v>FIN-00484</x:v>
      </x:c>
      <x:c r="B975" s="32" t="n">
        <x:v>1</x:v>
      </x:c>
      <x:c r="C975" s="23" t="n">
        <x:v>46542</x:v>
      </x:c>
      <x:c r="D975" s="23" t="n">
        <x:v>46542</x:v>
      </x:c>
      <x:c r="E975" s="20" t="str">
        <x:v>P026</x:v>
      </x:c>
      <x:c r="F975" s="20" t="str">
        <x:v>U031</x:v>
      </x:c>
      <x:c r="G975" s="20" t="str">
        <x:v>L031</x:v>
      </x:c>
      <x:c r="H975" s="20" t="str">
        <x:v>1000 Operating Cash</x:v>
      </x:c>
      <x:c r="I975" s="26" t="n">
        <x:v>1225</x:v>
      </x:c>
      <x:c r="J975" s="26" t="n">
        <x:v>0</x:v>
      </x:c>
      <x:c r="K975" s="35" t="str">
        <x:v>Receipt allocated to FIN-00483</x:v>
      </x:c>
    </x:row>
    <x:row r="976">
      <x:c r="A976" s="20" t="str">
        <x:v>FIN-00484</x:v>
      </x:c>
      <x:c r="B976" s="32" t="n">
        <x:v>2</x:v>
      </x:c>
      <x:c r="C976" s="23" t="n">
        <x:v>46542</x:v>
      </x:c>
      <x:c r="D976" s="23" t="n">
        <x:v>46542</x:v>
      </x:c>
      <x:c r="E976" s="20" t="str">
        <x:v>P026</x:v>
      </x:c>
      <x:c r="F976" s="20" t="str">
        <x:v>U031</x:v>
      </x:c>
      <x:c r="G976" s="20" t="str">
        <x:v>L031</x:v>
      </x:c>
      <x:c r="H976" s="20" t="str">
        <x:v>1100 Tenant Accounts Receivable</x:v>
      </x:c>
      <x:c r="I976" s="26" t="n">
        <x:v>0</x:v>
      </x:c>
      <x:c r="J976" s="26" t="n">
        <x:v>1225</x:v>
      </x:c>
      <x:c r="K976" s="35" t="str">
        <x:v>Receipt allocated to FIN-00483</x:v>
      </x:c>
    </x:row>
    <x:row r="977">
      <x:c r="A977" s="20" t="str">
        <x:v>FIN-00485</x:v>
      </x:c>
      <x:c r="B977" s="32" t="n">
        <x:v>1</x:v>
      </x:c>
      <x:c r="C977" s="23" t="n">
        <x:v>46539</x:v>
      </x:c>
      <x:c r="D977" s="23" t="n">
        <x:v>46539</x:v>
      </x:c>
      <x:c r="E977" s="20" t="str">
        <x:v>P026</x:v>
      </x:c>
      <x:c r="F977" s="20" t="str">
        <x:v>U032</x:v>
      </x:c>
      <x:c r="G977" s="20" t="str">
        <x:v>L032</x:v>
      </x:c>
      <x:c r="H977" s="20" t="str">
        <x:v>1100 Tenant Accounts Receivable</x:v>
      </x:c>
      <x:c r="I977" s="26" t="n">
        <x:v>1750</x:v>
      </x:c>
      <x:c r="J977" s="26" t="n">
        <x:v>0</x:v>
      </x:c>
      <x:c r="K977" s="35" t="str">
        <x:v>June 2027 rent</x:v>
      </x:c>
    </x:row>
    <x:row r="978">
      <x:c r="A978" s="20" t="str">
        <x:v>FIN-00485</x:v>
      </x:c>
      <x:c r="B978" s="32" t="n">
        <x:v>2</x:v>
      </x:c>
      <x:c r="C978" s="23" t="n">
        <x:v>46539</x:v>
      </x:c>
      <x:c r="D978" s="23" t="n">
        <x:v>46539</x:v>
      </x:c>
      <x:c r="E978" s="20" t="str">
        <x:v>P026</x:v>
      </x:c>
      <x:c r="F978" s="20" t="str">
        <x:v>U032</x:v>
      </x:c>
      <x:c r="G978" s="20" t="str">
        <x:v>L032</x:v>
      </x:c>
      <x:c r="H978" s="20" t="str">
        <x:v>4000 Rental Income</x:v>
      </x:c>
      <x:c r="I978" s="26" t="n">
        <x:v>0</x:v>
      </x:c>
      <x:c r="J978" s="26" t="n">
        <x:v>1750</x:v>
      </x:c>
      <x:c r="K978" s="35" t="str">
        <x:v>June 2027 rent</x:v>
      </x:c>
    </x:row>
    <x:row r="979">
      <x:c r="A979" s="20" t="str">
        <x:v>FIN-00486</x:v>
      </x:c>
      <x:c r="B979" s="32" t="n">
        <x:v>1</x:v>
      </x:c>
      <x:c r="C979" s="23" t="n">
        <x:v>46543</x:v>
      </x:c>
      <x:c r="D979" s="23" t="n">
        <x:v>46543</x:v>
      </x:c>
      <x:c r="E979" s="20" t="str">
        <x:v>P026</x:v>
      </x:c>
      <x:c r="F979" s="20" t="str">
        <x:v>U032</x:v>
      </x:c>
      <x:c r="G979" s="20" t="str">
        <x:v>L032</x:v>
      </x:c>
      <x:c r="H979" s="20" t="str">
        <x:v>1000 Operating Cash</x:v>
      </x:c>
      <x:c r="I979" s="26" t="n">
        <x:v>1750</x:v>
      </x:c>
      <x:c r="J979" s="26" t="n">
        <x:v>0</x:v>
      </x:c>
      <x:c r="K979" s="35" t="str">
        <x:v>Receipt allocated to FIN-00485</x:v>
      </x:c>
    </x:row>
    <x:row r="980">
      <x:c r="A980" s="20" t="str">
        <x:v>FIN-00486</x:v>
      </x:c>
      <x:c r="B980" s="32" t="n">
        <x:v>2</x:v>
      </x:c>
      <x:c r="C980" s="23" t="n">
        <x:v>46543</x:v>
      </x:c>
      <x:c r="D980" s="23" t="n">
        <x:v>46543</x:v>
      </x:c>
      <x:c r="E980" s="20" t="str">
        <x:v>P026</x:v>
      </x:c>
      <x:c r="F980" s="20" t="str">
        <x:v>U032</x:v>
      </x:c>
      <x:c r="G980" s="20" t="str">
        <x:v>L032</x:v>
      </x:c>
      <x:c r="H980" s="20" t="str">
        <x:v>1100 Tenant Accounts Receivable</x:v>
      </x:c>
      <x:c r="I980" s="26" t="n">
        <x:v>0</x:v>
      </x:c>
      <x:c r="J980" s="26" t="n">
        <x:v>1750</x:v>
      </x:c>
      <x:c r="K980" s="35" t="str">
        <x:v>Receipt allocated to FIN-00485</x:v>
      </x:c>
    </x:row>
    <x:row r="981">
      <x:c r="A981" s="20" t="str">
        <x:v>FIN-00487</x:v>
      </x:c>
      <x:c r="B981" s="32" t="n">
        <x:v>1</x:v>
      </x:c>
      <x:c r="C981" s="23" t="n">
        <x:v>46539</x:v>
      </x:c>
      <x:c r="D981" s="23" t="n">
        <x:v>46539</x:v>
      </x:c>
      <x:c r="E981" s="20" t="str">
        <x:v>P027</x:v>
      </x:c>
      <x:c r="F981" s="20" t="str">
        <x:v>U033</x:v>
      </x:c>
      <x:c r="G981" s="20" t="str">
        <x:v>L033</x:v>
      </x:c>
      <x:c r="H981" s="20" t="str">
        <x:v>1100 Tenant Accounts Receivable</x:v>
      </x:c>
      <x:c r="I981" s="26" t="n">
        <x:v>1375</x:v>
      </x:c>
      <x:c r="J981" s="26" t="n">
        <x:v>0</x:v>
      </x:c>
      <x:c r="K981" s="35" t="str">
        <x:v>June 2027 rent</x:v>
      </x:c>
    </x:row>
    <x:row r="982">
      <x:c r="A982" s="20" t="str">
        <x:v>FIN-00487</x:v>
      </x:c>
      <x:c r="B982" s="32" t="n">
        <x:v>2</x:v>
      </x:c>
      <x:c r="C982" s="23" t="n">
        <x:v>46539</x:v>
      </x:c>
      <x:c r="D982" s="23" t="n">
        <x:v>46539</x:v>
      </x:c>
      <x:c r="E982" s="20" t="str">
        <x:v>P027</x:v>
      </x:c>
      <x:c r="F982" s="20" t="str">
        <x:v>U033</x:v>
      </x:c>
      <x:c r="G982" s="20" t="str">
        <x:v>L033</x:v>
      </x:c>
      <x:c r="H982" s="20" t="str">
        <x:v>4000 Rental Income</x:v>
      </x:c>
      <x:c r="I982" s="26" t="n">
        <x:v>0</x:v>
      </x:c>
      <x:c r="J982" s="26" t="n">
        <x:v>1375</x:v>
      </x:c>
      <x:c r="K982" s="35" t="str">
        <x:v>June 2027 rent</x:v>
      </x:c>
    </x:row>
    <x:row r="983">
      <x:c r="A983" s="20" t="str">
        <x:v>FIN-00488</x:v>
      </x:c>
      <x:c r="B983" s="32" t="n">
        <x:v>1</x:v>
      </x:c>
      <x:c r="C983" s="23" t="n">
        <x:v>46541</x:v>
      </x:c>
      <x:c r="D983" s="23" t="n">
        <x:v>46541</x:v>
      </x:c>
      <x:c r="E983" s="20" t="str">
        <x:v>P027</x:v>
      </x:c>
      <x:c r="F983" s="20" t="str">
        <x:v>U033</x:v>
      </x:c>
      <x:c r="G983" s="20" t="str">
        <x:v>L033</x:v>
      </x:c>
      <x:c r="H983" s="20" t="str">
        <x:v>1000 Operating Cash</x:v>
      </x:c>
      <x:c r="I983" s="26" t="n">
        <x:v>825</x:v>
      </x:c>
      <x:c r="J983" s="26" t="n">
        <x:v>0</x:v>
      </x:c>
      <x:c r="K983" s="35" t="str">
        <x:v>Receipt allocated to FIN-00487</x:v>
      </x:c>
    </x:row>
    <x:row r="984">
      <x:c r="A984" s="20" t="str">
        <x:v>FIN-00488</x:v>
      </x:c>
      <x:c r="B984" s="32" t="n">
        <x:v>2</x:v>
      </x:c>
      <x:c r="C984" s="23" t="n">
        <x:v>46541</x:v>
      </x:c>
      <x:c r="D984" s="23" t="n">
        <x:v>46541</x:v>
      </x:c>
      <x:c r="E984" s="20" t="str">
        <x:v>P027</x:v>
      </x:c>
      <x:c r="F984" s="20" t="str">
        <x:v>U033</x:v>
      </x:c>
      <x:c r="G984" s="20" t="str">
        <x:v>L033</x:v>
      </x:c>
      <x:c r="H984" s="20" t="str">
        <x:v>1100 Tenant Accounts Receivable</x:v>
      </x:c>
      <x:c r="I984" s="26" t="n">
        <x:v>0</x:v>
      </x:c>
      <x:c r="J984" s="26" t="n">
        <x:v>825</x:v>
      </x:c>
      <x:c r="K984" s="35" t="str">
        <x:v>Receipt allocated to FIN-00487</x:v>
      </x:c>
    </x:row>
    <x:row r="985">
      <x:c r="A985" s="20" t="str">
        <x:v>FIN-00489</x:v>
      </x:c>
      <x:c r="B985" s="32" t="n">
        <x:v>1</x:v>
      </x:c>
      <x:c r="C985" s="23" t="n">
        <x:v>46544</x:v>
      </x:c>
      <x:c r="D985" s="23" t="n">
        <x:v>46544</x:v>
      </x:c>
      <x:c r="E985" s="20" t="str">
        <x:v>P027</x:v>
      </x:c>
      <x:c r="F985" s="20" t="str">
        <x:v>U033</x:v>
      </x:c>
      <x:c r="G985" s="20" t="str">
        <x:v>L033</x:v>
      </x:c>
      <x:c r="H985" s="20" t="str">
        <x:v>1100 Tenant Accounts Receivable</x:v>
      </x:c>
      <x:c r="I985" s="26" t="n">
        <x:v>50</x:v>
      </x:c>
      <x:c r="J985" s="26" t="n">
        <x:v>0</x:v>
      </x:c>
      <x:c r="K985" s="35" t="str">
        <x:v>Synthetic lease-authorized late fee after partial payment</x:v>
      </x:c>
    </x:row>
    <x:row r="986">
      <x:c r="A986" s="20" t="str">
        <x:v>FIN-00489</x:v>
      </x:c>
      <x:c r="B986" s="32" t="n">
        <x:v>2</x:v>
      </x:c>
      <x:c r="C986" s="23" t="n">
        <x:v>46544</x:v>
      </x:c>
      <x:c r="D986" s="23" t="n">
        <x:v>46544</x:v>
      </x:c>
      <x:c r="E986" s="20" t="str">
        <x:v>P027</x:v>
      </x:c>
      <x:c r="F986" s="20" t="str">
        <x:v>U033</x:v>
      </x:c>
      <x:c r="G986" s="20" t="str">
        <x:v>L033</x:v>
      </x:c>
      <x:c r="H986" s="20" t="str">
        <x:v>4010 Late Fee Income</x:v>
      </x:c>
      <x:c r="I986" s="26" t="n">
        <x:v>0</x:v>
      </x:c>
      <x:c r="J986" s="26" t="n">
        <x:v>50</x:v>
      </x:c>
      <x:c r="K986" s="35" t="str">
        <x:v>Synthetic lease-authorized late fee after partial payment</x:v>
      </x:c>
    </x:row>
    <x:row r="987">
      <x:c r="A987" s="20" t="str">
        <x:v>FIN-00490</x:v>
      </x:c>
      <x:c r="B987" s="32" t="n">
        <x:v>1</x:v>
      </x:c>
      <x:c r="C987" s="23" t="n">
        <x:v>46550</x:v>
      </x:c>
      <x:c r="D987" s="23" t="n">
        <x:v>46550</x:v>
      </x:c>
      <x:c r="E987" s="20" t="str">
        <x:v>P027</x:v>
      </x:c>
      <x:c r="F987" s="20" t="str">
        <x:v>U033</x:v>
      </x:c>
      <x:c r="G987" s="20" t="str">
        <x:v>L033</x:v>
      </x:c>
      <x:c r="H987" s="20" t="str">
        <x:v>1000 Operating Cash</x:v>
      </x:c>
      <x:c r="I987" s="26" t="n">
        <x:v>600</x:v>
      </x:c>
      <x:c r="J987" s="26" t="n">
        <x:v>0</x:v>
      </x:c>
      <x:c r="K987" s="35" t="str">
        <x:v>Receipt allocated to FIN-00489</x:v>
      </x:c>
    </x:row>
    <x:row r="988">
      <x:c r="A988" s="20" t="str">
        <x:v>FIN-00490</x:v>
      </x:c>
      <x:c r="B988" s="32" t="n">
        <x:v>2</x:v>
      </x:c>
      <x:c r="C988" s="23" t="n">
        <x:v>46550</x:v>
      </x:c>
      <x:c r="D988" s="23" t="n">
        <x:v>46550</x:v>
      </x:c>
      <x:c r="E988" s="20" t="str">
        <x:v>P027</x:v>
      </x:c>
      <x:c r="F988" s="20" t="str">
        <x:v>U033</x:v>
      </x:c>
      <x:c r="G988" s="20" t="str">
        <x:v>L033</x:v>
      </x:c>
      <x:c r="H988" s="20" t="str">
        <x:v>1100 Tenant Accounts Receivable</x:v>
      </x:c>
      <x:c r="I988" s="26" t="n">
        <x:v>0</x:v>
      </x:c>
      <x:c r="J988" s="26" t="n">
        <x:v>600</x:v>
      </x:c>
      <x:c r="K988" s="35" t="str">
        <x:v>Receipt allocated to FIN-00489</x:v>
      </x:c>
    </x:row>
    <x:row r="989">
      <x:c r="A989" s="20" t="str">
        <x:v>FIN-00491</x:v>
      </x:c>
      <x:c r="B989" s="32" t="n">
        <x:v>1</x:v>
      </x:c>
      <x:c r="C989" s="23" t="n">
        <x:v>46539</x:v>
      </x:c>
      <x:c r="D989" s="23" t="n">
        <x:v>46539</x:v>
      </x:c>
      <x:c r="E989" s="20" t="str">
        <x:v>P027</x:v>
      </x:c>
      <x:c r="F989" s="20" t="str">
        <x:v>U034</x:v>
      </x:c>
      <x:c r="G989" s="20" t="str">
        <x:v>L034</x:v>
      </x:c>
      <x:c r="H989" s="20" t="str">
        <x:v>1100 Tenant Accounts Receivable</x:v>
      </x:c>
      <x:c r="I989" s="26" t="n">
        <x:v>1900</x:v>
      </x:c>
      <x:c r="J989" s="26" t="n">
        <x:v>0</x:v>
      </x:c>
      <x:c r="K989" s="35" t="str">
        <x:v>June 2027 rent</x:v>
      </x:c>
    </x:row>
    <x:row r="990">
      <x:c r="A990" s="20" t="str">
        <x:v>FIN-00491</x:v>
      </x:c>
      <x:c r="B990" s="32" t="n">
        <x:v>2</x:v>
      </x:c>
      <x:c r="C990" s="23" t="n">
        <x:v>46539</x:v>
      </x:c>
      <x:c r="D990" s="23" t="n">
        <x:v>46539</x:v>
      </x:c>
      <x:c r="E990" s="20" t="str">
        <x:v>P027</x:v>
      </x:c>
      <x:c r="F990" s="20" t="str">
        <x:v>U034</x:v>
      </x:c>
      <x:c r="G990" s="20" t="str">
        <x:v>L034</x:v>
      </x:c>
      <x:c r="H990" s="20" t="str">
        <x:v>4000 Rental Income</x:v>
      </x:c>
      <x:c r="I990" s="26" t="n">
        <x:v>0</x:v>
      </x:c>
      <x:c r="J990" s="26" t="n">
        <x:v>1900</x:v>
      </x:c>
      <x:c r="K990" s="35" t="str">
        <x:v>June 2027 rent</x:v>
      </x:c>
    </x:row>
    <x:row r="991">
      <x:c r="A991" s="20" t="str">
        <x:v>FIN-00492</x:v>
      </x:c>
      <x:c r="B991" s="32" t="n">
        <x:v>1</x:v>
      </x:c>
      <x:c r="C991" s="23" t="n">
        <x:v>46542</x:v>
      </x:c>
      <x:c r="D991" s="23" t="n">
        <x:v>46542</x:v>
      </x:c>
      <x:c r="E991" s="20" t="str">
        <x:v>P027</x:v>
      </x:c>
      <x:c r="F991" s="20" t="str">
        <x:v>U034</x:v>
      </x:c>
      <x:c r="G991" s="20" t="str">
        <x:v>L034</x:v>
      </x:c>
      <x:c r="H991" s="20" t="str">
        <x:v>1000 Operating Cash</x:v>
      </x:c>
      <x:c r="I991" s="26" t="n">
        <x:v>1900</x:v>
      </x:c>
      <x:c r="J991" s="26" t="n">
        <x:v>0</x:v>
      </x:c>
      <x:c r="K991" s="35" t="str">
        <x:v>Receipt allocated to FIN-00491</x:v>
      </x:c>
    </x:row>
    <x:row r="992">
      <x:c r="A992" s="20" t="str">
        <x:v>FIN-00492</x:v>
      </x:c>
      <x:c r="B992" s="32" t="n">
        <x:v>2</x:v>
      </x:c>
      <x:c r="C992" s="23" t="n">
        <x:v>46542</x:v>
      </x:c>
      <x:c r="D992" s="23" t="n">
        <x:v>46542</x:v>
      </x:c>
      <x:c r="E992" s="20" t="str">
        <x:v>P027</x:v>
      </x:c>
      <x:c r="F992" s="20" t="str">
        <x:v>U034</x:v>
      </x:c>
      <x:c r="G992" s="20" t="str">
        <x:v>L034</x:v>
      </x:c>
      <x:c r="H992" s="20" t="str">
        <x:v>1100 Tenant Accounts Receivable</x:v>
      </x:c>
      <x:c r="I992" s="26" t="n">
        <x:v>0</x:v>
      </x:c>
      <x:c r="J992" s="26" t="n">
        <x:v>1900</x:v>
      </x:c>
      <x:c r="K992" s="35" t="str">
        <x:v>Receipt allocated to FIN-00491</x:v>
      </x:c>
    </x:row>
    <x:row r="993">
      <x:c r="A993" s="20" t="str">
        <x:v>FIN-00493</x:v>
      </x:c>
      <x:c r="B993" s="32" t="n">
        <x:v>1</x:v>
      </x:c>
      <x:c r="C993" s="23" t="n">
        <x:v>46539</x:v>
      </x:c>
      <x:c r="D993" s="23" t="n">
        <x:v>46539</x:v>
      </x:c>
      <x:c r="E993" s="20" t="str">
        <x:v>P028</x:v>
      </x:c>
      <x:c r="F993" s="20" t="str">
        <x:v>U035</x:v>
      </x:c>
      <x:c r="G993" s="20" t="str">
        <x:v>L035</x:v>
      </x:c>
      <x:c r="H993" s="20" t="str">
        <x:v>1100 Tenant Accounts Receivable</x:v>
      </x:c>
      <x:c r="I993" s="26" t="n">
        <x:v>1525</x:v>
      </x:c>
      <x:c r="J993" s="26" t="n">
        <x:v>0</x:v>
      </x:c>
      <x:c r="K993" s="35" t="str">
        <x:v>June 2027 rent</x:v>
      </x:c>
    </x:row>
    <x:row r="994">
      <x:c r="A994" s="20" t="str">
        <x:v>FIN-00493</x:v>
      </x:c>
      <x:c r="B994" s="32" t="n">
        <x:v>2</x:v>
      </x:c>
      <x:c r="C994" s="23" t="n">
        <x:v>46539</x:v>
      </x:c>
      <x:c r="D994" s="23" t="n">
        <x:v>46539</x:v>
      </x:c>
      <x:c r="E994" s="20" t="str">
        <x:v>P028</x:v>
      </x:c>
      <x:c r="F994" s="20" t="str">
        <x:v>U035</x:v>
      </x:c>
      <x:c r="G994" s="20" t="str">
        <x:v>L035</x:v>
      </x:c>
      <x:c r="H994" s="20" t="str">
        <x:v>4000 Rental Income</x:v>
      </x:c>
      <x:c r="I994" s="26" t="n">
        <x:v>0</x:v>
      </x:c>
      <x:c r="J994" s="26" t="n">
        <x:v>1525</x:v>
      </x:c>
      <x:c r="K994" s="35" t="str">
        <x:v>June 2027 rent</x:v>
      </x:c>
    </x:row>
    <x:row r="995">
      <x:c r="A995" s="20" t="str">
        <x:v>FIN-00494</x:v>
      </x:c>
      <x:c r="B995" s="32" t="n">
        <x:v>1</x:v>
      </x:c>
      <x:c r="C995" s="23" t="n">
        <x:v>46543</x:v>
      </x:c>
      <x:c r="D995" s="23" t="n">
        <x:v>46543</x:v>
      </x:c>
      <x:c r="E995" s="20" t="str">
        <x:v>P028</x:v>
      </x:c>
      <x:c r="F995" s="20" t="str">
        <x:v>U035</x:v>
      </x:c>
      <x:c r="G995" s="20" t="str">
        <x:v>L035</x:v>
      </x:c>
      <x:c r="H995" s="20" t="str">
        <x:v>1000 Operating Cash</x:v>
      </x:c>
      <x:c r="I995" s="26" t="n">
        <x:v>1525</x:v>
      </x:c>
      <x:c r="J995" s="26" t="n">
        <x:v>0</x:v>
      </x:c>
      <x:c r="K995" s="35" t="str">
        <x:v>Receipt allocated to FIN-00493</x:v>
      </x:c>
    </x:row>
    <x:row r="996">
      <x:c r="A996" s="20" t="str">
        <x:v>FIN-00494</x:v>
      </x:c>
      <x:c r="B996" s="32" t="n">
        <x:v>2</x:v>
      </x:c>
      <x:c r="C996" s="23" t="n">
        <x:v>46543</x:v>
      </x:c>
      <x:c r="D996" s="23" t="n">
        <x:v>46543</x:v>
      </x:c>
      <x:c r="E996" s="20" t="str">
        <x:v>P028</x:v>
      </x:c>
      <x:c r="F996" s="20" t="str">
        <x:v>U035</x:v>
      </x:c>
      <x:c r="G996" s="20" t="str">
        <x:v>L035</x:v>
      </x:c>
      <x:c r="H996" s="20" t="str">
        <x:v>1100 Tenant Accounts Receivable</x:v>
      </x:c>
      <x:c r="I996" s="26" t="n">
        <x:v>0</x:v>
      </x:c>
      <x:c r="J996" s="26" t="n">
        <x:v>1525</x:v>
      </x:c>
      <x:c r="K996" s="35" t="str">
        <x:v>Receipt allocated to FIN-00493</x:v>
      </x:c>
    </x:row>
    <x:row r="997">
      <x:c r="A997" s="20" t="str">
        <x:v>FIN-00495</x:v>
      </x:c>
      <x:c r="B997" s="32" t="n">
        <x:v>1</x:v>
      </x:c>
      <x:c r="C997" s="23" t="n">
        <x:v>46539</x:v>
      </x:c>
      <x:c r="D997" s="23" t="n">
        <x:v>46539</x:v>
      </x:c>
      <x:c r="E997" s="20" t="str">
        <x:v>P028</x:v>
      </x:c>
      <x:c r="F997" s="20" t="str">
        <x:v>U036</x:v>
      </x:c>
      <x:c r="G997" s="20" t="str">
        <x:v>L036</x:v>
      </x:c>
      <x:c r="H997" s="20" t="str">
        <x:v>1100 Tenant Accounts Receivable</x:v>
      </x:c>
      <x:c r="I997" s="26" t="n">
        <x:v>1150</x:v>
      </x:c>
      <x:c r="J997" s="26" t="n">
        <x:v>0</x:v>
      </x:c>
      <x:c r="K997" s="35" t="str">
        <x:v>June 2027 rent</x:v>
      </x:c>
    </x:row>
    <x:row r="998">
      <x:c r="A998" s="20" t="str">
        <x:v>FIN-00495</x:v>
      </x:c>
      <x:c r="B998" s="32" t="n">
        <x:v>2</x:v>
      </x:c>
      <x:c r="C998" s="23" t="n">
        <x:v>46539</x:v>
      </x:c>
      <x:c r="D998" s="23" t="n">
        <x:v>46539</x:v>
      </x:c>
      <x:c r="E998" s="20" t="str">
        <x:v>P028</x:v>
      </x:c>
      <x:c r="F998" s="20" t="str">
        <x:v>U036</x:v>
      </x:c>
      <x:c r="G998" s="20" t="str">
        <x:v>L036</x:v>
      </x:c>
      <x:c r="H998" s="20" t="str">
        <x:v>4000 Rental Income</x:v>
      </x:c>
      <x:c r="I998" s="26" t="n">
        <x:v>0</x:v>
      </x:c>
      <x:c r="J998" s="26" t="n">
        <x:v>1150</x:v>
      </x:c>
      <x:c r="K998" s="35" t="str">
        <x:v>June 2027 rent</x:v>
      </x:c>
    </x:row>
    <x:row r="999">
      <x:c r="A999" s="20" t="str">
        <x:v>FIN-00496</x:v>
      </x:c>
      <x:c r="B999" s="32" t="n">
        <x:v>1</x:v>
      </x:c>
      <x:c r="C999" s="23" t="n">
        <x:v>46541</x:v>
      </x:c>
      <x:c r="D999" s="23" t="n">
        <x:v>46541</x:v>
      </x:c>
      <x:c r="E999" s="20" t="str">
        <x:v>P028</x:v>
      </x:c>
      <x:c r="F999" s="20" t="str">
        <x:v>U036</x:v>
      </x:c>
      <x:c r="G999" s="20" t="str">
        <x:v>L036</x:v>
      </x:c>
      <x:c r="H999" s="20" t="str">
        <x:v>1000 Operating Cash</x:v>
      </x:c>
      <x:c r="I999" s="26" t="n">
        <x:v>1150</x:v>
      </x:c>
      <x:c r="J999" s="26" t="n">
        <x:v>0</x:v>
      </x:c>
      <x:c r="K999" s="35" t="str">
        <x:v>Receipt allocated to FIN-00495</x:v>
      </x:c>
    </x:row>
    <x:row r="1000">
      <x:c r="A1000" s="20" t="str">
        <x:v>FIN-00496</x:v>
      </x:c>
      <x:c r="B1000" s="32" t="n">
        <x:v>2</x:v>
      </x:c>
      <x:c r="C1000" s="23" t="n">
        <x:v>46541</x:v>
      </x:c>
      <x:c r="D1000" s="23" t="n">
        <x:v>46541</x:v>
      </x:c>
      <x:c r="E1000" s="20" t="str">
        <x:v>P028</x:v>
      </x:c>
      <x:c r="F1000" s="20" t="str">
        <x:v>U036</x:v>
      </x:c>
      <x:c r="G1000" s="20" t="str">
        <x:v>L036</x:v>
      </x:c>
      <x:c r="H1000" s="20" t="str">
        <x:v>1100 Tenant Accounts Receivable</x:v>
      </x:c>
      <x:c r="I1000" s="26" t="n">
        <x:v>0</x:v>
      </x:c>
      <x:c r="J1000" s="26" t="n">
        <x:v>1150</x:v>
      </x:c>
      <x:c r="K1000" s="35" t="str">
        <x:v>Receipt allocated to FIN-00495</x:v>
      </x:c>
    </x:row>
    <x:row r="1001">
      <x:c r="A1001" s="20" t="str">
        <x:v>FIN-00497</x:v>
      </x:c>
      <x:c r="B1001" s="32" t="n">
        <x:v>1</x:v>
      </x:c>
      <x:c r="C1001" s="23" t="n">
        <x:v>46539</x:v>
      </x:c>
      <x:c r="D1001" s="23" t="n">
        <x:v>46539</x:v>
      </x:c>
      <x:c r="E1001" s="20" t="str">
        <x:v>P005</x:v>
      </x:c>
      <x:c r="F1001" s="20" t="str">
        <x:v>U005</x:v>
      </x:c>
      <x:c r="G1001" s="20" t="str">
        <x:v>L037</x:v>
      </x:c>
      <x:c r="H1001" s="20" t="str">
        <x:v>1100 Tenant Accounts Receivable</x:v>
      </x:c>
      <x:c r="I1001" s="26" t="n">
        <x:v>1875</x:v>
      </x:c>
      <x:c r="J1001" s="26" t="n">
        <x:v>0</x:v>
      </x:c>
      <x:c r="K1001" s="35" t="str">
        <x:v>June 2027 rent</x:v>
      </x:c>
    </x:row>
    <x:row r="1002">
      <x:c r="A1002" s="20" t="str">
        <x:v>FIN-00497</x:v>
      </x:c>
      <x:c r="B1002" s="32" t="n">
        <x:v>2</x:v>
      </x:c>
      <x:c r="C1002" s="23" t="n">
        <x:v>46539</x:v>
      </x:c>
      <x:c r="D1002" s="23" t="n">
        <x:v>46539</x:v>
      </x:c>
      <x:c r="E1002" s="20" t="str">
        <x:v>P005</x:v>
      </x:c>
      <x:c r="F1002" s="20" t="str">
        <x:v>U005</x:v>
      </x:c>
      <x:c r="G1002" s="20" t="str">
        <x:v>L037</x:v>
      </x:c>
      <x:c r="H1002" s="20" t="str">
        <x:v>4000 Rental Income</x:v>
      </x:c>
      <x:c r="I1002" s="26" t="n">
        <x:v>0</x:v>
      </x:c>
      <x:c r="J1002" s="26" t="n">
        <x:v>1875</x:v>
      </x:c>
      <x:c r="K1002" s="35" t="str">
        <x:v>June 2027 rent</x:v>
      </x:c>
    </x:row>
    <x:row r="1003">
      <x:c r="A1003" s="20" t="str">
        <x:v>FIN-00498</x:v>
      </x:c>
      <x:c r="B1003" s="32" t="n">
        <x:v>1</x:v>
      </x:c>
      <x:c r="C1003" s="23" t="n">
        <x:v>46542</x:v>
      </x:c>
      <x:c r="D1003" s="23" t="n">
        <x:v>46542</x:v>
      </x:c>
      <x:c r="E1003" s="20" t="str">
        <x:v>P005</x:v>
      </x:c>
      <x:c r="F1003" s="20" t="str">
        <x:v>U005</x:v>
      </x:c>
      <x:c r="G1003" s="20" t="str">
        <x:v>L037</x:v>
      </x:c>
      <x:c r="H1003" s="20" t="str">
        <x:v>1000 Operating Cash</x:v>
      </x:c>
      <x:c r="I1003" s="26" t="n">
        <x:v>1875</x:v>
      </x:c>
      <x:c r="J1003" s="26" t="n">
        <x:v>0</x:v>
      </x:c>
      <x:c r="K1003" s="35" t="str">
        <x:v>Receipt allocated to FIN-00497</x:v>
      </x:c>
    </x:row>
    <x:row r="1004">
      <x:c r="A1004" s="20" t="str">
        <x:v>FIN-00498</x:v>
      </x:c>
      <x:c r="B1004" s="32" t="n">
        <x:v>2</x:v>
      </x:c>
      <x:c r="C1004" s="23" t="n">
        <x:v>46542</x:v>
      </x:c>
      <x:c r="D1004" s="23" t="n">
        <x:v>46542</x:v>
      </x:c>
      <x:c r="E1004" s="20" t="str">
        <x:v>P005</x:v>
      </x:c>
      <x:c r="F1004" s="20" t="str">
        <x:v>U005</x:v>
      </x:c>
      <x:c r="G1004" s="20" t="str">
        <x:v>L037</x:v>
      </x:c>
      <x:c r="H1004" s="20" t="str">
        <x:v>1100 Tenant Accounts Receivable</x:v>
      </x:c>
      <x:c r="I1004" s="26" t="n">
        <x:v>0</x:v>
      </x:c>
      <x:c r="J1004" s="26" t="n">
        <x:v>1875</x:v>
      </x:c>
      <x:c r="K1004" s="35" t="str">
        <x:v>Receipt allocated to FIN-00497</x:v>
      </x:c>
    </x:row>
    <x:row r="1005">
      <x:c r="A1005" s="20" t="str">
        <x:v>FIN-00499</x:v>
      </x:c>
      <x:c r="B1005" s="32" t="n">
        <x:v>1</x:v>
      </x:c>
      <x:c r="C1005" s="23" t="n">
        <x:v>46539</x:v>
      </x:c>
      <x:c r="D1005" s="23" t="n">
        <x:v>46539</x:v>
      </x:c>
      <x:c r="E1005" s="20" t="str">
        <x:v>P029</x:v>
      </x:c>
      <x:c r="F1005" s="20" t="str">
        <x:v>U037</x:v>
      </x:c>
      <x:c r="G1005" s="20" t="str">
        <x:v>L043</x:v>
      </x:c>
      <x:c r="H1005" s="20" t="str">
        <x:v>1100 Tenant Accounts Receivable</x:v>
      </x:c>
      <x:c r="I1005" s="26" t="n">
        <x:v>1675</x:v>
      </x:c>
      <x:c r="J1005" s="26" t="n">
        <x:v>0</x:v>
      </x:c>
      <x:c r="K1005" s="35" t="str">
        <x:v>June 2027 rent</x:v>
      </x:c>
    </x:row>
    <x:row r="1006">
      <x:c r="A1006" s="20" t="str">
        <x:v>FIN-00499</x:v>
      </x:c>
      <x:c r="B1006" s="32" t="n">
        <x:v>2</x:v>
      </x:c>
      <x:c r="C1006" s="23" t="n">
        <x:v>46539</x:v>
      </x:c>
      <x:c r="D1006" s="23" t="n">
        <x:v>46539</x:v>
      </x:c>
      <x:c r="E1006" s="20" t="str">
        <x:v>P029</x:v>
      </x:c>
      <x:c r="F1006" s="20" t="str">
        <x:v>U037</x:v>
      </x:c>
      <x:c r="G1006" s="20" t="str">
        <x:v>L043</x:v>
      </x:c>
      <x:c r="H1006" s="20" t="str">
        <x:v>4000 Rental Income</x:v>
      </x:c>
      <x:c r="I1006" s="26" t="n">
        <x:v>0</x:v>
      </x:c>
      <x:c r="J1006" s="26" t="n">
        <x:v>1675</x:v>
      </x:c>
      <x:c r="K1006" s="35" t="str">
        <x:v>June 2027 rent</x:v>
      </x:c>
    </x:row>
    <x:row r="1007">
      <x:c r="A1007" s="20" t="str">
        <x:v>FIN-00500</x:v>
      </x:c>
      <x:c r="B1007" s="32" t="n">
        <x:v>1</x:v>
      </x:c>
      <x:c r="C1007" s="23" t="n">
        <x:v>46542</x:v>
      </x:c>
      <x:c r="D1007" s="23" t="n">
        <x:v>46542</x:v>
      </x:c>
      <x:c r="E1007" s="20" t="str">
        <x:v>P029</x:v>
      </x:c>
      <x:c r="F1007" s="20" t="str">
        <x:v>U037</x:v>
      </x:c>
      <x:c r="G1007" s="20" t="str">
        <x:v>L043</x:v>
      </x:c>
      <x:c r="H1007" s="20" t="str">
        <x:v>1000 Operating Cash</x:v>
      </x:c>
      <x:c r="I1007" s="26" t="n">
        <x:v>1675</x:v>
      </x:c>
      <x:c r="J1007" s="26" t="n">
        <x:v>0</x:v>
      </x:c>
      <x:c r="K1007" s="35" t="str">
        <x:v>Receipt allocated to FIN-00499</x:v>
      </x:c>
    </x:row>
    <x:row r="1008">
      <x:c r="A1008" s="20" t="str">
        <x:v>FIN-00500</x:v>
      </x:c>
      <x:c r="B1008" s="32" t="n">
        <x:v>2</x:v>
      </x:c>
      <x:c r="C1008" s="23" t="n">
        <x:v>46542</x:v>
      </x:c>
      <x:c r="D1008" s="23" t="n">
        <x:v>46542</x:v>
      </x:c>
      <x:c r="E1008" s="20" t="str">
        <x:v>P029</x:v>
      </x:c>
      <x:c r="F1008" s="20" t="str">
        <x:v>U037</x:v>
      </x:c>
      <x:c r="G1008" s="20" t="str">
        <x:v>L043</x:v>
      </x:c>
      <x:c r="H1008" s="20" t="str">
        <x:v>1100 Tenant Accounts Receivable</x:v>
      </x:c>
      <x:c r="I1008" s="26" t="n">
        <x:v>0</x:v>
      </x:c>
      <x:c r="J1008" s="26" t="n">
        <x:v>1675</x:v>
      </x:c>
      <x:c r="K1008" s="35" t="str">
        <x:v>Receipt allocated to FIN-00499</x:v>
      </x:c>
    </x:row>
    <x:row r="1009">
      <x:c r="A1009" s="20" t="str">
        <x:v>FIN-00501</x:v>
      </x:c>
      <x:c r="B1009" s="32" t="n">
        <x:v>1</x:v>
      </x:c>
      <x:c r="C1009" s="23" t="n">
        <x:v>46539</x:v>
      </x:c>
      <x:c r="D1009" s="23" t="n">
        <x:v>46539</x:v>
      </x:c>
      <x:c r="E1009" s="20" t="str">
        <x:v>P029</x:v>
      </x:c>
      <x:c r="F1009" s="20" t="str">
        <x:v>U038</x:v>
      </x:c>
      <x:c r="G1009" s="20" t="str">
        <x:v>L044</x:v>
      </x:c>
      <x:c r="H1009" s="20" t="str">
        <x:v>1100 Tenant Accounts Receivable</x:v>
      </x:c>
      <x:c r="I1009" s="26" t="n">
        <x:v>1300</x:v>
      </x:c>
      <x:c r="J1009" s="26" t="n">
        <x:v>0</x:v>
      </x:c>
      <x:c r="K1009" s="35" t="str">
        <x:v>June 2027 rent</x:v>
      </x:c>
    </x:row>
    <x:row r="1010">
      <x:c r="A1010" s="20" t="str">
        <x:v>FIN-00501</x:v>
      </x:c>
      <x:c r="B1010" s="32" t="n">
        <x:v>2</x:v>
      </x:c>
      <x:c r="C1010" s="23" t="n">
        <x:v>46539</x:v>
      </x:c>
      <x:c r="D1010" s="23" t="n">
        <x:v>46539</x:v>
      </x:c>
      <x:c r="E1010" s="20" t="str">
        <x:v>P029</x:v>
      </x:c>
      <x:c r="F1010" s="20" t="str">
        <x:v>U038</x:v>
      </x:c>
      <x:c r="G1010" s="20" t="str">
        <x:v>L044</x:v>
      </x:c>
      <x:c r="H1010" s="20" t="str">
        <x:v>4000 Rental Income</x:v>
      </x:c>
      <x:c r="I1010" s="26" t="n">
        <x:v>0</x:v>
      </x:c>
      <x:c r="J1010" s="26" t="n">
        <x:v>1300</x:v>
      </x:c>
      <x:c r="K1010" s="35" t="str">
        <x:v>June 2027 rent</x:v>
      </x:c>
    </x:row>
    <x:row r="1011">
      <x:c r="A1011" s="20" t="str">
        <x:v>FIN-00502</x:v>
      </x:c>
      <x:c r="B1011" s="32" t="n">
        <x:v>1</x:v>
      </x:c>
      <x:c r="C1011" s="23" t="n">
        <x:v>46541</x:v>
      </x:c>
      <x:c r="D1011" s="23" t="n">
        <x:v>46541</x:v>
      </x:c>
      <x:c r="E1011" s="20" t="str">
        <x:v>P029</x:v>
      </x:c>
      <x:c r="F1011" s="20" t="str">
        <x:v>U038</x:v>
      </x:c>
      <x:c r="G1011" s="20" t="str">
        <x:v>L044</x:v>
      </x:c>
      <x:c r="H1011" s="20" t="str">
        <x:v>1000 Operating Cash</x:v>
      </x:c>
      <x:c r="I1011" s="26" t="n">
        <x:v>780</x:v>
      </x:c>
      <x:c r="J1011" s="26" t="n">
        <x:v>0</x:v>
      </x:c>
      <x:c r="K1011" s="35" t="str">
        <x:v>Receipt allocated to FIN-00501</x:v>
      </x:c>
    </x:row>
    <x:row r="1012">
      <x:c r="A1012" s="20" t="str">
        <x:v>FIN-00502</x:v>
      </x:c>
      <x:c r="B1012" s="32" t="n">
        <x:v>2</x:v>
      </x:c>
      <x:c r="C1012" s="23" t="n">
        <x:v>46541</x:v>
      </x:c>
      <x:c r="D1012" s="23" t="n">
        <x:v>46541</x:v>
      </x:c>
      <x:c r="E1012" s="20" t="str">
        <x:v>P029</x:v>
      </x:c>
      <x:c r="F1012" s="20" t="str">
        <x:v>U038</x:v>
      </x:c>
      <x:c r="G1012" s="20" t="str">
        <x:v>L044</x:v>
      </x:c>
      <x:c r="H1012" s="20" t="str">
        <x:v>1100 Tenant Accounts Receivable</x:v>
      </x:c>
      <x:c r="I1012" s="26" t="n">
        <x:v>0</x:v>
      </x:c>
      <x:c r="J1012" s="26" t="n">
        <x:v>780</x:v>
      </x:c>
      <x:c r="K1012" s="35" t="str">
        <x:v>Receipt allocated to FIN-00501</x:v>
      </x:c>
    </x:row>
    <x:row r="1013">
      <x:c r="A1013" s="20" t="str">
        <x:v>FIN-00503</x:v>
      </x:c>
      <x:c r="B1013" s="32" t="n">
        <x:v>1</x:v>
      </x:c>
      <x:c r="C1013" s="23" t="n">
        <x:v>46544</x:v>
      </x:c>
      <x:c r="D1013" s="23" t="n">
        <x:v>46544</x:v>
      </x:c>
      <x:c r="E1013" s="20" t="str">
        <x:v>P029</x:v>
      </x:c>
      <x:c r="F1013" s="20" t="str">
        <x:v>U038</x:v>
      </x:c>
      <x:c r="G1013" s="20" t="str">
        <x:v>L044</x:v>
      </x:c>
      <x:c r="H1013" s="20" t="str">
        <x:v>1100 Tenant Accounts Receivable</x:v>
      </x:c>
      <x:c r="I1013" s="26" t="n">
        <x:v>50</x:v>
      </x:c>
      <x:c r="J1013" s="26" t="n">
        <x:v>0</x:v>
      </x:c>
      <x:c r="K1013" s="35" t="str">
        <x:v>Synthetic lease-authorized late fee after partial payment</x:v>
      </x:c>
    </x:row>
    <x:row r="1014">
      <x:c r="A1014" s="20" t="str">
        <x:v>FIN-00503</x:v>
      </x:c>
      <x:c r="B1014" s="32" t="n">
        <x:v>2</x:v>
      </x:c>
      <x:c r="C1014" s="23" t="n">
        <x:v>46544</x:v>
      </x:c>
      <x:c r="D1014" s="23" t="n">
        <x:v>46544</x:v>
      </x:c>
      <x:c r="E1014" s="20" t="str">
        <x:v>P029</x:v>
      </x:c>
      <x:c r="F1014" s="20" t="str">
        <x:v>U038</x:v>
      </x:c>
      <x:c r="G1014" s="20" t="str">
        <x:v>L044</x:v>
      </x:c>
      <x:c r="H1014" s="20" t="str">
        <x:v>4010 Late Fee Income</x:v>
      </x:c>
      <x:c r="I1014" s="26" t="n">
        <x:v>0</x:v>
      </x:c>
      <x:c r="J1014" s="26" t="n">
        <x:v>50</x:v>
      </x:c>
      <x:c r="K1014" s="35" t="str">
        <x:v>Synthetic lease-authorized late fee after partial payment</x:v>
      </x:c>
    </x:row>
    <x:row r="1015">
      <x:c r="A1015" s="20" t="str">
        <x:v>FIN-00504</x:v>
      </x:c>
      <x:c r="B1015" s="32" t="n">
        <x:v>1</x:v>
      </x:c>
      <x:c r="C1015" s="23" t="n">
        <x:v>46550</x:v>
      </x:c>
      <x:c r="D1015" s="23" t="n">
        <x:v>46550</x:v>
      </x:c>
      <x:c r="E1015" s="20" t="str">
        <x:v>P029</x:v>
      </x:c>
      <x:c r="F1015" s="20" t="str">
        <x:v>U038</x:v>
      </x:c>
      <x:c r="G1015" s="20" t="str">
        <x:v>L044</x:v>
      </x:c>
      <x:c r="H1015" s="20" t="str">
        <x:v>1000 Operating Cash</x:v>
      </x:c>
      <x:c r="I1015" s="26" t="n">
        <x:v>570</x:v>
      </x:c>
      <x:c r="J1015" s="26" t="n">
        <x:v>0</x:v>
      </x:c>
      <x:c r="K1015" s="35" t="str">
        <x:v>Receipt allocated to FIN-00503</x:v>
      </x:c>
    </x:row>
    <x:row r="1016">
      <x:c r="A1016" s="20" t="str">
        <x:v>FIN-00504</x:v>
      </x:c>
      <x:c r="B1016" s="32" t="n">
        <x:v>2</x:v>
      </x:c>
      <x:c r="C1016" s="23" t="n">
        <x:v>46550</x:v>
      </x:c>
      <x:c r="D1016" s="23" t="n">
        <x:v>46550</x:v>
      </x:c>
      <x:c r="E1016" s="20" t="str">
        <x:v>P029</x:v>
      </x:c>
      <x:c r="F1016" s="20" t="str">
        <x:v>U038</x:v>
      </x:c>
      <x:c r="G1016" s="20" t="str">
        <x:v>L044</x:v>
      </x:c>
      <x:c r="H1016" s="20" t="str">
        <x:v>1100 Tenant Accounts Receivable</x:v>
      </x:c>
      <x:c r="I1016" s="26" t="n">
        <x:v>0</x:v>
      </x:c>
      <x:c r="J1016" s="26" t="n">
        <x:v>570</x:v>
      </x:c>
      <x:c r="K1016" s="35" t="str">
        <x:v>Receipt allocated to FIN-00503</x:v>
      </x:c>
    </x:row>
    <x:row r="1017">
      <x:c r="A1017" s="20" t="str">
        <x:v>FIN-00505</x:v>
      </x:c>
      <x:c r="B1017" s="32" t="n">
        <x:v>1</x:v>
      </x:c>
      <x:c r="C1017" s="23" t="n">
        <x:v>46539</x:v>
      </x:c>
      <x:c r="D1017" s="23" t="n">
        <x:v>46539</x:v>
      </x:c>
      <x:c r="E1017" s="20" t="str">
        <x:v>P030</x:v>
      </x:c>
      <x:c r="F1017" s="20" t="str">
        <x:v>U039</x:v>
      </x:c>
      <x:c r="G1017" s="20" t="str">
        <x:v>L045</x:v>
      </x:c>
      <x:c r="H1017" s="20" t="str">
        <x:v>1100 Tenant Accounts Receivable</x:v>
      </x:c>
      <x:c r="I1017" s="26" t="n">
        <x:v>1825</x:v>
      </x:c>
      <x:c r="J1017" s="26" t="n">
        <x:v>0</x:v>
      </x:c>
      <x:c r="K1017" s="35" t="str">
        <x:v>June 2027 rent</x:v>
      </x:c>
    </x:row>
    <x:row r="1018">
      <x:c r="A1018" s="20" t="str">
        <x:v>FIN-00505</x:v>
      </x:c>
      <x:c r="B1018" s="32" t="n">
        <x:v>2</x:v>
      </x:c>
      <x:c r="C1018" s="23" t="n">
        <x:v>46539</x:v>
      </x:c>
      <x:c r="D1018" s="23" t="n">
        <x:v>46539</x:v>
      </x:c>
      <x:c r="E1018" s="20" t="str">
        <x:v>P030</x:v>
      </x:c>
      <x:c r="F1018" s="20" t="str">
        <x:v>U039</x:v>
      </x:c>
      <x:c r="G1018" s="20" t="str">
        <x:v>L045</x:v>
      </x:c>
      <x:c r="H1018" s="20" t="str">
        <x:v>4000 Rental Income</x:v>
      </x:c>
      <x:c r="I1018" s="26" t="n">
        <x:v>0</x:v>
      </x:c>
      <x:c r="J1018" s="26" t="n">
        <x:v>1825</x:v>
      </x:c>
      <x:c r="K1018" s="35" t="str">
        <x:v>June 2027 rent</x:v>
      </x:c>
    </x:row>
    <x:row r="1019">
      <x:c r="A1019" s="20" t="str">
        <x:v>FIN-00506</x:v>
      </x:c>
      <x:c r="B1019" s="32" t="n">
        <x:v>1</x:v>
      </x:c>
      <x:c r="C1019" s="23" t="n">
        <x:v>46541</x:v>
      </x:c>
      <x:c r="D1019" s="23" t="n">
        <x:v>46541</x:v>
      </x:c>
      <x:c r="E1019" s="20" t="str">
        <x:v>P030</x:v>
      </x:c>
      <x:c r="F1019" s="20" t="str">
        <x:v>U039</x:v>
      </x:c>
      <x:c r="G1019" s="20" t="str">
        <x:v>L045</x:v>
      </x:c>
      <x:c r="H1019" s="20" t="str">
        <x:v>1000 Operating Cash</x:v>
      </x:c>
      <x:c r="I1019" s="26" t="n">
        <x:v>1825</x:v>
      </x:c>
      <x:c r="J1019" s="26" t="n">
        <x:v>0</x:v>
      </x:c>
      <x:c r="K1019" s="35" t="str">
        <x:v>Receipt allocated to FIN-00505</x:v>
      </x:c>
    </x:row>
    <x:row r="1020">
      <x:c r="A1020" s="20" t="str">
        <x:v>FIN-00506</x:v>
      </x:c>
      <x:c r="B1020" s="32" t="n">
        <x:v>2</x:v>
      </x:c>
      <x:c r="C1020" s="23" t="n">
        <x:v>46541</x:v>
      </x:c>
      <x:c r="D1020" s="23" t="n">
        <x:v>46541</x:v>
      </x:c>
      <x:c r="E1020" s="20" t="str">
        <x:v>P030</x:v>
      </x:c>
      <x:c r="F1020" s="20" t="str">
        <x:v>U039</x:v>
      </x:c>
      <x:c r="G1020" s="20" t="str">
        <x:v>L045</x:v>
      </x:c>
      <x:c r="H1020" s="20" t="str">
        <x:v>1100 Tenant Accounts Receivable</x:v>
      </x:c>
      <x:c r="I1020" s="26" t="n">
        <x:v>0</x:v>
      </x:c>
      <x:c r="J1020" s="26" t="n">
        <x:v>1825</x:v>
      </x:c>
      <x:c r="K1020" s="35" t="str">
        <x:v>Receipt allocated to FIN-00505</x:v>
      </x:c>
    </x:row>
    <x:row r="1021">
      <x:c r="A1021" s="20" t="str">
        <x:v>FIN-00507</x:v>
      </x:c>
      <x:c r="B1021" s="32" t="n">
        <x:v>1</x:v>
      </x:c>
      <x:c r="C1021" s="23" t="n">
        <x:v>46569</x:v>
      </x:c>
      <x:c r="D1021" s="23" t="n">
        <x:v>46569</x:v>
      </x:c>
      <x:c r="E1021" s="20" t="str">
        <x:v>P001</x:v>
      </x:c>
      <x:c r="F1021" s="20" t="str">
        <x:v>U001</x:v>
      </x:c>
      <x:c r="G1021" s="20" t="str">
        <x:v>L001</x:v>
      </x:c>
      <x:c r="H1021" s="20" t="str">
        <x:v>1100 Tenant Accounts Receivable</x:v>
      </x:c>
      <x:c r="I1021" s="26" t="n">
        <x:v>1575</x:v>
      </x:c>
      <x:c r="J1021" s="26" t="n">
        <x:v>0</x:v>
      </x:c>
      <x:c r="K1021" s="35" t="str">
        <x:v>July 2027 rent</x:v>
      </x:c>
    </x:row>
    <x:row r="1022">
      <x:c r="A1022" s="20" t="str">
        <x:v>FIN-00507</x:v>
      </x:c>
      <x:c r="B1022" s="32" t="n">
        <x:v>2</x:v>
      </x:c>
      <x:c r="C1022" s="23" t="n">
        <x:v>46569</x:v>
      </x:c>
      <x:c r="D1022" s="23" t="n">
        <x:v>46569</x:v>
      </x:c>
      <x:c r="E1022" s="20" t="str">
        <x:v>P001</x:v>
      </x:c>
      <x:c r="F1022" s="20" t="str">
        <x:v>U001</x:v>
      </x:c>
      <x:c r="G1022" s="20" t="str">
        <x:v>L001</x:v>
      </x:c>
      <x:c r="H1022" s="20" t="str">
        <x:v>4000 Rental Income</x:v>
      </x:c>
      <x:c r="I1022" s="26" t="n">
        <x:v>0</x:v>
      </x:c>
      <x:c r="J1022" s="26" t="n">
        <x:v>1575</x:v>
      </x:c>
      <x:c r="K1022" s="35" t="str">
        <x:v>July 2027 rent</x:v>
      </x:c>
    </x:row>
    <x:row r="1023">
      <x:c r="A1023" s="20" t="str">
        <x:v>FIN-00508</x:v>
      </x:c>
      <x:c r="B1023" s="32" t="n">
        <x:v>1</x:v>
      </x:c>
      <x:c r="C1023" s="23" t="n">
        <x:v>46572</x:v>
      </x:c>
      <x:c r="D1023" s="23" t="n">
        <x:v>46572</x:v>
      </x:c>
      <x:c r="E1023" s="20" t="str">
        <x:v>P001</x:v>
      </x:c>
      <x:c r="F1023" s="20" t="str">
        <x:v>U001</x:v>
      </x:c>
      <x:c r="G1023" s="20" t="str">
        <x:v>L001</x:v>
      </x:c>
      <x:c r="H1023" s="20" t="str">
        <x:v>1000 Operating Cash</x:v>
      </x:c>
      <x:c r="I1023" s="26" t="n">
        <x:v>1575</x:v>
      </x:c>
      <x:c r="J1023" s="26" t="n">
        <x:v>0</x:v>
      </x:c>
      <x:c r="K1023" s="35" t="str">
        <x:v>Receipt allocated to FIN-00507</x:v>
      </x:c>
    </x:row>
    <x:row r="1024">
      <x:c r="A1024" s="20" t="str">
        <x:v>FIN-00508</x:v>
      </x:c>
      <x:c r="B1024" s="32" t="n">
        <x:v>2</x:v>
      </x:c>
      <x:c r="C1024" s="23" t="n">
        <x:v>46572</x:v>
      </x:c>
      <x:c r="D1024" s="23" t="n">
        <x:v>46572</x:v>
      </x:c>
      <x:c r="E1024" s="20" t="str">
        <x:v>P001</x:v>
      </x:c>
      <x:c r="F1024" s="20" t="str">
        <x:v>U001</x:v>
      </x:c>
      <x:c r="G1024" s="20" t="str">
        <x:v>L001</x:v>
      </x:c>
      <x:c r="H1024" s="20" t="str">
        <x:v>1100 Tenant Accounts Receivable</x:v>
      </x:c>
      <x:c r="I1024" s="26" t="n">
        <x:v>0</x:v>
      </x:c>
      <x:c r="J1024" s="26" t="n">
        <x:v>1575</x:v>
      </x:c>
      <x:c r="K1024" s="35" t="str">
        <x:v>Receipt allocated to FIN-00507</x:v>
      </x:c>
    </x:row>
    <x:row r="1025">
      <x:c r="A1025" s="20" t="str">
        <x:v>FIN-00509</x:v>
      </x:c>
      <x:c r="B1025" s="32" t="n">
        <x:v>1</x:v>
      </x:c>
      <x:c r="C1025" s="23" t="n">
        <x:v>46569</x:v>
      </x:c>
      <x:c r="D1025" s="23" t="n">
        <x:v>46569</x:v>
      </x:c>
      <x:c r="E1025" s="20" t="str">
        <x:v>P002</x:v>
      </x:c>
      <x:c r="F1025" s="20" t="str">
        <x:v>U002</x:v>
      </x:c>
      <x:c r="G1025" s="20" t="str">
        <x:v>L002</x:v>
      </x:c>
      <x:c r="H1025" s="20" t="str">
        <x:v>1100 Tenant Accounts Receivable</x:v>
      </x:c>
      <x:c r="I1025" s="26" t="n">
        <x:v>1200</x:v>
      </x:c>
      <x:c r="J1025" s="26" t="n">
        <x:v>0</x:v>
      </x:c>
      <x:c r="K1025" s="35" t="str">
        <x:v>July 2027 rent</x:v>
      </x:c>
    </x:row>
    <x:row r="1026">
      <x:c r="A1026" s="20" t="str">
        <x:v>FIN-00509</x:v>
      </x:c>
      <x:c r="B1026" s="32" t="n">
        <x:v>2</x:v>
      </x:c>
      <x:c r="C1026" s="23" t="n">
        <x:v>46569</x:v>
      </x:c>
      <x:c r="D1026" s="23" t="n">
        <x:v>46569</x:v>
      </x:c>
      <x:c r="E1026" s="20" t="str">
        <x:v>P002</x:v>
      </x:c>
      <x:c r="F1026" s="20" t="str">
        <x:v>U002</x:v>
      </x:c>
      <x:c r="G1026" s="20" t="str">
        <x:v>L002</x:v>
      </x:c>
      <x:c r="H1026" s="20" t="str">
        <x:v>4000 Rental Income</x:v>
      </x:c>
      <x:c r="I1026" s="26" t="n">
        <x:v>0</x:v>
      </x:c>
      <x:c r="J1026" s="26" t="n">
        <x:v>1200</x:v>
      </x:c>
      <x:c r="K1026" s="35" t="str">
        <x:v>July 2027 rent</x:v>
      </x:c>
    </x:row>
    <x:row r="1027">
      <x:c r="A1027" s="20" t="str">
        <x:v>FIN-00510</x:v>
      </x:c>
      <x:c r="B1027" s="32" t="n">
        <x:v>1</x:v>
      </x:c>
      <x:c r="C1027" s="23" t="n">
        <x:v>46573</x:v>
      </x:c>
      <x:c r="D1027" s="23" t="n">
        <x:v>46573</x:v>
      </x:c>
      <x:c r="E1027" s="20" t="str">
        <x:v>P002</x:v>
      </x:c>
      <x:c r="F1027" s="20" t="str">
        <x:v>U002</x:v>
      </x:c>
      <x:c r="G1027" s="20" t="str">
        <x:v>L002</x:v>
      </x:c>
      <x:c r="H1027" s="20" t="str">
        <x:v>1000 Operating Cash</x:v>
      </x:c>
      <x:c r="I1027" s="26" t="n">
        <x:v>1200</x:v>
      </x:c>
      <x:c r="J1027" s="26" t="n">
        <x:v>0</x:v>
      </x:c>
      <x:c r="K1027" s="35" t="str">
        <x:v>Receipt allocated to FIN-00509</x:v>
      </x:c>
    </x:row>
    <x:row r="1028">
      <x:c r="A1028" s="20" t="str">
        <x:v>FIN-00510</x:v>
      </x:c>
      <x:c r="B1028" s="32" t="n">
        <x:v>2</x:v>
      </x:c>
      <x:c r="C1028" s="23" t="n">
        <x:v>46573</x:v>
      </x:c>
      <x:c r="D1028" s="23" t="n">
        <x:v>46573</x:v>
      </x:c>
      <x:c r="E1028" s="20" t="str">
        <x:v>P002</x:v>
      </x:c>
      <x:c r="F1028" s="20" t="str">
        <x:v>U002</x:v>
      </x:c>
      <x:c r="G1028" s="20" t="str">
        <x:v>L002</x:v>
      </x:c>
      <x:c r="H1028" s="20" t="str">
        <x:v>1100 Tenant Accounts Receivable</x:v>
      </x:c>
      <x:c r="I1028" s="26" t="n">
        <x:v>0</x:v>
      </x:c>
      <x:c r="J1028" s="26" t="n">
        <x:v>1200</x:v>
      </x:c>
      <x:c r="K1028" s="35" t="str">
        <x:v>Receipt allocated to FIN-00509</x:v>
      </x:c>
    </x:row>
    <x:row r="1029">
      <x:c r="A1029" s="20" t="str">
        <x:v>FIN-00511</x:v>
      </x:c>
      <x:c r="B1029" s="32" t="n">
        <x:v>1</x:v>
      </x:c>
      <x:c r="C1029" s="23" t="n">
        <x:v>46569</x:v>
      </x:c>
      <x:c r="D1029" s="23" t="n">
        <x:v>46569</x:v>
      </x:c>
      <x:c r="E1029" s="20" t="str">
        <x:v>P003</x:v>
      </x:c>
      <x:c r="F1029" s="20" t="str">
        <x:v>U003</x:v>
      </x:c>
      <x:c r="G1029" s="20" t="str">
        <x:v>L003</x:v>
      </x:c>
      <x:c r="H1029" s="20" t="str">
        <x:v>1100 Tenant Accounts Receivable</x:v>
      </x:c>
      <x:c r="I1029" s="26" t="n">
        <x:v>1725</x:v>
      </x:c>
      <x:c r="J1029" s="26" t="n">
        <x:v>0</x:v>
      </x:c>
      <x:c r="K1029" s="35" t="str">
        <x:v>July 2027 rent</x:v>
      </x:c>
    </x:row>
    <x:row r="1030">
      <x:c r="A1030" s="20" t="str">
        <x:v>FIN-00511</x:v>
      </x:c>
      <x:c r="B1030" s="32" t="n">
        <x:v>2</x:v>
      </x:c>
      <x:c r="C1030" s="23" t="n">
        <x:v>46569</x:v>
      </x:c>
      <x:c r="D1030" s="23" t="n">
        <x:v>46569</x:v>
      </x:c>
      <x:c r="E1030" s="20" t="str">
        <x:v>P003</x:v>
      </x:c>
      <x:c r="F1030" s="20" t="str">
        <x:v>U003</x:v>
      </x:c>
      <x:c r="G1030" s="20" t="str">
        <x:v>L003</x:v>
      </x:c>
      <x:c r="H1030" s="20" t="str">
        <x:v>4000 Rental Income</x:v>
      </x:c>
      <x:c r="I1030" s="26" t="n">
        <x:v>0</x:v>
      </x:c>
      <x:c r="J1030" s="26" t="n">
        <x:v>1725</x:v>
      </x:c>
      <x:c r="K1030" s="35" t="str">
        <x:v>July 2027 rent</x:v>
      </x:c>
    </x:row>
    <x:row r="1031">
      <x:c r="A1031" s="20" t="str">
        <x:v>FIN-00512</x:v>
      </x:c>
      <x:c r="B1031" s="32" t="n">
        <x:v>1</x:v>
      </x:c>
      <x:c r="C1031" s="23" t="n">
        <x:v>46571</x:v>
      </x:c>
      <x:c r="D1031" s="23" t="n">
        <x:v>46571</x:v>
      </x:c>
      <x:c r="E1031" s="20" t="str">
        <x:v>P003</x:v>
      </x:c>
      <x:c r="F1031" s="20" t="str">
        <x:v>U003</x:v>
      </x:c>
      <x:c r="G1031" s="20" t="str">
        <x:v>L003</x:v>
      </x:c>
      <x:c r="H1031" s="20" t="str">
        <x:v>1000 Operating Cash</x:v>
      </x:c>
      <x:c r="I1031" s="26" t="n">
        <x:v>1725</x:v>
      </x:c>
      <x:c r="J1031" s="26" t="n">
        <x:v>0</x:v>
      </x:c>
      <x:c r="K1031" s="35" t="str">
        <x:v>Receipt allocated to FIN-00511</x:v>
      </x:c>
    </x:row>
    <x:row r="1032">
      <x:c r="A1032" s="20" t="str">
        <x:v>FIN-00512</x:v>
      </x:c>
      <x:c r="B1032" s="32" t="n">
        <x:v>2</x:v>
      </x:c>
      <x:c r="C1032" s="23" t="n">
        <x:v>46571</x:v>
      </x:c>
      <x:c r="D1032" s="23" t="n">
        <x:v>46571</x:v>
      </x:c>
      <x:c r="E1032" s="20" t="str">
        <x:v>P003</x:v>
      </x:c>
      <x:c r="F1032" s="20" t="str">
        <x:v>U003</x:v>
      </x:c>
      <x:c r="G1032" s="20" t="str">
        <x:v>L003</x:v>
      </x:c>
      <x:c r="H1032" s="20" t="str">
        <x:v>1100 Tenant Accounts Receivable</x:v>
      </x:c>
      <x:c r="I1032" s="26" t="n">
        <x:v>0</x:v>
      </x:c>
      <x:c r="J1032" s="26" t="n">
        <x:v>1725</x:v>
      </x:c>
      <x:c r="K1032" s="35" t="str">
        <x:v>Receipt allocated to FIN-00511</x:v>
      </x:c>
    </x:row>
    <x:row r="1033">
      <x:c r="A1033" s="20" t="str">
        <x:v>FIN-00513</x:v>
      </x:c>
      <x:c r="B1033" s="32" t="n">
        <x:v>1</x:v>
      </x:c>
      <x:c r="C1033" s="23" t="n">
        <x:v>46569</x:v>
      </x:c>
      <x:c r="D1033" s="23" t="n">
        <x:v>46569</x:v>
      </x:c>
      <x:c r="E1033" s="20" t="str">
        <x:v>P004</x:v>
      </x:c>
      <x:c r="F1033" s="20" t="str">
        <x:v>U004</x:v>
      </x:c>
      <x:c r="G1033" s="20" t="str">
        <x:v>L004</x:v>
      </x:c>
      <x:c r="H1033" s="20" t="str">
        <x:v>1100 Tenant Accounts Receivable</x:v>
      </x:c>
      <x:c r="I1033" s="26" t="n">
        <x:v>1350</x:v>
      </x:c>
      <x:c r="J1033" s="26" t="n">
        <x:v>0</x:v>
      </x:c>
      <x:c r="K1033" s="35" t="str">
        <x:v>July 2027 rent</x:v>
      </x:c>
    </x:row>
    <x:row r="1034">
      <x:c r="A1034" s="20" t="str">
        <x:v>FIN-00513</x:v>
      </x:c>
      <x:c r="B1034" s="32" t="n">
        <x:v>2</x:v>
      </x:c>
      <x:c r="C1034" s="23" t="n">
        <x:v>46569</x:v>
      </x:c>
      <x:c r="D1034" s="23" t="n">
        <x:v>46569</x:v>
      </x:c>
      <x:c r="E1034" s="20" t="str">
        <x:v>P004</x:v>
      </x:c>
      <x:c r="F1034" s="20" t="str">
        <x:v>U004</x:v>
      </x:c>
      <x:c r="G1034" s="20" t="str">
        <x:v>L004</x:v>
      </x:c>
      <x:c r="H1034" s="20" t="str">
        <x:v>4000 Rental Income</x:v>
      </x:c>
      <x:c r="I1034" s="26" t="n">
        <x:v>0</x:v>
      </x:c>
      <x:c r="J1034" s="26" t="n">
        <x:v>1350</x:v>
      </x:c>
      <x:c r="K1034" s="35" t="str">
        <x:v>July 2027 rent</x:v>
      </x:c>
    </x:row>
    <x:row r="1035">
      <x:c r="A1035" s="20" t="str">
        <x:v>FIN-00514</x:v>
      </x:c>
      <x:c r="B1035" s="32" t="n">
        <x:v>1</x:v>
      </x:c>
      <x:c r="C1035" s="23" t="n">
        <x:v>46572</x:v>
      </x:c>
      <x:c r="D1035" s="23" t="n">
        <x:v>46572</x:v>
      </x:c>
      <x:c r="E1035" s="20" t="str">
        <x:v>P004</x:v>
      </x:c>
      <x:c r="F1035" s="20" t="str">
        <x:v>U004</x:v>
      </x:c>
      <x:c r="G1035" s="20" t="str">
        <x:v>L004</x:v>
      </x:c>
      <x:c r="H1035" s="20" t="str">
        <x:v>1000 Operating Cash</x:v>
      </x:c>
      <x:c r="I1035" s="26" t="n">
        <x:v>1350</x:v>
      </x:c>
      <x:c r="J1035" s="26" t="n">
        <x:v>0</x:v>
      </x:c>
      <x:c r="K1035" s="35" t="str">
        <x:v>Receipt allocated to FIN-00513</x:v>
      </x:c>
    </x:row>
    <x:row r="1036">
      <x:c r="A1036" s="20" t="str">
        <x:v>FIN-00514</x:v>
      </x:c>
      <x:c r="B1036" s="32" t="n">
        <x:v>2</x:v>
      </x:c>
      <x:c r="C1036" s="23" t="n">
        <x:v>46572</x:v>
      </x:c>
      <x:c r="D1036" s="23" t="n">
        <x:v>46572</x:v>
      </x:c>
      <x:c r="E1036" s="20" t="str">
        <x:v>P004</x:v>
      </x:c>
      <x:c r="F1036" s="20" t="str">
        <x:v>U004</x:v>
      </x:c>
      <x:c r="G1036" s="20" t="str">
        <x:v>L004</x:v>
      </x:c>
      <x:c r="H1036" s="20" t="str">
        <x:v>1100 Tenant Accounts Receivable</x:v>
      </x:c>
      <x:c r="I1036" s="26" t="n">
        <x:v>0</x:v>
      </x:c>
      <x:c r="J1036" s="26" t="n">
        <x:v>1350</x:v>
      </x:c>
      <x:c r="K1036" s="35" t="str">
        <x:v>Receipt allocated to FIN-00513</x:v>
      </x:c>
    </x:row>
    <x:row r="1037">
      <x:c r="A1037" s="20" t="str">
        <x:v>FIN-00515</x:v>
      </x:c>
      <x:c r="B1037" s="32" t="n">
        <x:v>1</x:v>
      </x:c>
      <x:c r="C1037" s="23" t="n">
        <x:v>46569</x:v>
      </x:c>
      <x:c r="D1037" s="23" t="n">
        <x:v>46569</x:v>
      </x:c>
      <x:c r="E1037" s="20" t="str">
        <x:v>P006</x:v>
      </x:c>
      <x:c r="F1037" s="20" t="str">
        <x:v>U006</x:v>
      </x:c>
      <x:c r="G1037" s="20" t="str">
        <x:v>L006</x:v>
      </x:c>
      <x:c r="H1037" s="20" t="str">
        <x:v>1100 Tenant Accounts Receivable</x:v>
      </x:c>
      <x:c r="I1037" s="26" t="n">
        <x:v>1500</x:v>
      </x:c>
      <x:c r="J1037" s="26" t="n">
        <x:v>0</x:v>
      </x:c>
      <x:c r="K1037" s="35" t="str">
        <x:v>July 2027 rent</x:v>
      </x:c>
    </x:row>
    <x:row r="1038">
      <x:c r="A1038" s="20" t="str">
        <x:v>FIN-00515</x:v>
      </x:c>
      <x:c r="B1038" s="32" t="n">
        <x:v>2</x:v>
      </x:c>
      <x:c r="C1038" s="23" t="n">
        <x:v>46569</x:v>
      </x:c>
      <x:c r="D1038" s="23" t="n">
        <x:v>46569</x:v>
      </x:c>
      <x:c r="E1038" s="20" t="str">
        <x:v>P006</x:v>
      </x:c>
      <x:c r="F1038" s="20" t="str">
        <x:v>U006</x:v>
      </x:c>
      <x:c r="G1038" s="20" t="str">
        <x:v>L006</x:v>
      </x:c>
      <x:c r="H1038" s="20" t="str">
        <x:v>4000 Rental Income</x:v>
      </x:c>
      <x:c r="I1038" s="26" t="n">
        <x:v>0</x:v>
      </x:c>
      <x:c r="J1038" s="26" t="n">
        <x:v>1500</x:v>
      </x:c>
      <x:c r="K1038" s="35" t="str">
        <x:v>July 2027 rent</x:v>
      </x:c>
    </x:row>
    <x:row r="1039">
      <x:c r="A1039" s="20" t="str">
        <x:v>FIN-00516</x:v>
      </x:c>
      <x:c r="B1039" s="32" t="n">
        <x:v>1</x:v>
      </x:c>
      <x:c r="C1039" s="23" t="n">
        <x:v>46571</x:v>
      </x:c>
      <x:c r="D1039" s="23" t="n">
        <x:v>46571</x:v>
      </x:c>
      <x:c r="E1039" s="20" t="str">
        <x:v>P006</x:v>
      </x:c>
      <x:c r="F1039" s="20" t="str">
        <x:v>U006</x:v>
      </x:c>
      <x:c r="G1039" s="20" t="str">
        <x:v>L006</x:v>
      </x:c>
      <x:c r="H1039" s="20" t="str">
        <x:v>1000 Operating Cash</x:v>
      </x:c>
      <x:c r="I1039" s="26" t="n">
        <x:v>1500</x:v>
      </x:c>
      <x:c r="J1039" s="26" t="n">
        <x:v>0</x:v>
      </x:c>
      <x:c r="K1039" s="35" t="str">
        <x:v>Receipt allocated to FIN-00515</x:v>
      </x:c>
    </x:row>
    <x:row r="1040">
      <x:c r="A1040" s="20" t="str">
        <x:v>FIN-00516</x:v>
      </x:c>
      <x:c r="B1040" s="32" t="n">
        <x:v>2</x:v>
      </x:c>
      <x:c r="C1040" s="23" t="n">
        <x:v>46571</x:v>
      </x:c>
      <x:c r="D1040" s="23" t="n">
        <x:v>46571</x:v>
      </x:c>
      <x:c r="E1040" s="20" t="str">
        <x:v>P006</x:v>
      </x:c>
      <x:c r="F1040" s="20" t="str">
        <x:v>U006</x:v>
      </x:c>
      <x:c r="G1040" s="20" t="str">
        <x:v>L006</x:v>
      </x:c>
      <x:c r="H1040" s="20" t="str">
        <x:v>1100 Tenant Accounts Receivable</x:v>
      </x:c>
      <x:c r="I1040" s="26" t="n">
        <x:v>0</x:v>
      </x:c>
      <x:c r="J1040" s="26" t="n">
        <x:v>1500</x:v>
      </x:c>
      <x:c r="K1040" s="35" t="str">
        <x:v>Receipt allocated to FIN-00515</x:v>
      </x:c>
    </x:row>
    <x:row r="1041">
      <x:c r="A1041" s="20" t="str">
        <x:v>FIN-00517</x:v>
      </x:c>
      <x:c r="B1041" s="32" t="n">
        <x:v>1</x:v>
      </x:c>
      <x:c r="C1041" s="23" t="n">
        <x:v>46569</x:v>
      </x:c>
      <x:c r="D1041" s="23" t="n">
        <x:v>46569</x:v>
      </x:c>
      <x:c r="E1041" s="20" t="str">
        <x:v>P007</x:v>
      </x:c>
      <x:c r="F1041" s="20" t="str">
        <x:v>U007</x:v>
      </x:c>
      <x:c r="G1041" s="20" t="str">
        <x:v>L007</x:v>
      </x:c>
      <x:c r="H1041" s="20" t="str">
        <x:v>1100 Tenant Accounts Receivable</x:v>
      </x:c>
      <x:c r="I1041" s="26" t="n">
        <x:v>1125</x:v>
      </x:c>
      <x:c r="J1041" s="26" t="n">
        <x:v>0</x:v>
      </x:c>
      <x:c r="K1041" s="35" t="str">
        <x:v>July 2027 rent</x:v>
      </x:c>
    </x:row>
    <x:row r="1042">
      <x:c r="A1042" s="20" t="str">
        <x:v>FIN-00517</x:v>
      </x:c>
      <x:c r="B1042" s="32" t="n">
        <x:v>2</x:v>
      </x:c>
      <x:c r="C1042" s="23" t="n">
        <x:v>46569</x:v>
      </x:c>
      <x:c r="D1042" s="23" t="n">
        <x:v>46569</x:v>
      </x:c>
      <x:c r="E1042" s="20" t="str">
        <x:v>P007</x:v>
      </x:c>
      <x:c r="F1042" s="20" t="str">
        <x:v>U007</x:v>
      </x:c>
      <x:c r="G1042" s="20" t="str">
        <x:v>L007</x:v>
      </x:c>
      <x:c r="H1042" s="20" t="str">
        <x:v>4000 Rental Income</x:v>
      </x:c>
      <x:c r="I1042" s="26" t="n">
        <x:v>0</x:v>
      </x:c>
      <x:c r="J1042" s="26" t="n">
        <x:v>1125</x:v>
      </x:c>
      <x:c r="K1042" s="35" t="str">
        <x:v>July 2027 rent</x:v>
      </x:c>
    </x:row>
    <x:row r="1043">
      <x:c r="A1043" s="20" t="str">
        <x:v>FIN-00518</x:v>
      </x:c>
      <x:c r="B1043" s="32" t="n">
        <x:v>1</x:v>
      </x:c>
      <x:c r="C1043" s="23" t="n">
        <x:v>46572</x:v>
      </x:c>
      <x:c r="D1043" s="23" t="n">
        <x:v>46572</x:v>
      </x:c>
      <x:c r="E1043" s="20" t="str">
        <x:v>P007</x:v>
      </x:c>
      <x:c r="F1043" s="20" t="str">
        <x:v>U007</x:v>
      </x:c>
      <x:c r="G1043" s="20" t="str">
        <x:v>L007</x:v>
      </x:c>
      <x:c r="H1043" s="20" t="str">
        <x:v>1000 Operating Cash</x:v>
      </x:c>
      <x:c r="I1043" s="26" t="n">
        <x:v>1125</x:v>
      </x:c>
      <x:c r="J1043" s="26" t="n">
        <x:v>0</x:v>
      </x:c>
      <x:c r="K1043" s="35" t="str">
        <x:v>Receipt allocated to FIN-00517</x:v>
      </x:c>
    </x:row>
    <x:row r="1044">
      <x:c r="A1044" s="20" t="str">
        <x:v>FIN-00518</x:v>
      </x:c>
      <x:c r="B1044" s="32" t="n">
        <x:v>2</x:v>
      </x:c>
      <x:c r="C1044" s="23" t="n">
        <x:v>46572</x:v>
      </x:c>
      <x:c r="D1044" s="23" t="n">
        <x:v>46572</x:v>
      </x:c>
      <x:c r="E1044" s="20" t="str">
        <x:v>P007</x:v>
      </x:c>
      <x:c r="F1044" s="20" t="str">
        <x:v>U007</x:v>
      </x:c>
      <x:c r="G1044" s="20" t="str">
        <x:v>L007</x:v>
      </x:c>
      <x:c r="H1044" s="20" t="str">
        <x:v>1100 Tenant Accounts Receivable</x:v>
      </x:c>
      <x:c r="I1044" s="26" t="n">
        <x:v>0</x:v>
      </x:c>
      <x:c r="J1044" s="26" t="n">
        <x:v>1125</x:v>
      </x:c>
      <x:c r="K1044" s="35" t="str">
        <x:v>Receipt allocated to FIN-00517</x:v>
      </x:c>
    </x:row>
    <x:row r="1045">
      <x:c r="A1045" s="20" t="str">
        <x:v>FIN-00519</x:v>
      </x:c>
      <x:c r="B1045" s="32" t="n">
        <x:v>1</x:v>
      </x:c>
      <x:c r="C1045" s="23" t="n">
        <x:v>46569</x:v>
      </x:c>
      <x:c r="D1045" s="23" t="n">
        <x:v>46569</x:v>
      </x:c>
      <x:c r="E1045" s="20" t="str">
        <x:v>P008</x:v>
      </x:c>
      <x:c r="F1045" s="20" t="str">
        <x:v>U008</x:v>
      </x:c>
      <x:c r="G1045" s="20" t="str">
        <x:v>L008</x:v>
      </x:c>
      <x:c r="H1045" s="20" t="str">
        <x:v>1100 Tenant Accounts Receivable</x:v>
      </x:c>
      <x:c r="I1045" s="26" t="n">
        <x:v>1650</x:v>
      </x:c>
      <x:c r="J1045" s="26" t="n">
        <x:v>0</x:v>
      </x:c>
      <x:c r="K1045" s="35" t="str">
        <x:v>July 2027 rent</x:v>
      </x:c>
    </x:row>
    <x:row r="1046">
      <x:c r="A1046" s="20" t="str">
        <x:v>FIN-00519</x:v>
      </x:c>
      <x:c r="B1046" s="32" t="n">
        <x:v>2</x:v>
      </x:c>
      <x:c r="C1046" s="23" t="n">
        <x:v>46569</x:v>
      </x:c>
      <x:c r="D1046" s="23" t="n">
        <x:v>46569</x:v>
      </x:c>
      <x:c r="E1046" s="20" t="str">
        <x:v>P008</x:v>
      </x:c>
      <x:c r="F1046" s="20" t="str">
        <x:v>U008</x:v>
      </x:c>
      <x:c r="G1046" s="20" t="str">
        <x:v>L008</x:v>
      </x:c>
      <x:c r="H1046" s="20" t="str">
        <x:v>4000 Rental Income</x:v>
      </x:c>
      <x:c r="I1046" s="26" t="n">
        <x:v>0</x:v>
      </x:c>
      <x:c r="J1046" s="26" t="n">
        <x:v>1650</x:v>
      </x:c>
      <x:c r="K1046" s="35" t="str">
        <x:v>July 2027 rent</x:v>
      </x:c>
    </x:row>
    <x:row r="1047">
      <x:c r="A1047" s="20" t="str">
        <x:v>FIN-00520</x:v>
      </x:c>
      <x:c r="B1047" s="32" t="n">
        <x:v>1</x:v>
      </x:c>
      <x:c r="C1047" s="23" t="n">
        <x:v>46573</x:v>
      </x:c>
      <x:c r="D1047" s="23" t="n">
        <x:v>46573</x:v>
      </x:c>
      <x:c r="E1047" s="20" t="str">
        <x:v>P008</x:v>
      </x:c>
      <x:c r="F1047" s="20" t="str">
        <x:v>U008</x:v>
      </x:c>
      <x:c r="G1047" s="20" t="str">
        <x:v>L008</x:v>
      </x:c>
      <x:c r="H1047" s="20" t="str">
        <x:v>1000 Operating Cash</x:v>
      </x:c>
      <x:c r="I1047" s="26" t="n">
        <x:v>1650</x:v>
      </x:c>
      <x:c r="J1047" s="26" t="n">
        <x:v>0</x:v>
      </x:c>
      <x:c r="K1047" s="35" t="str">
        <x:v>Receipt allocated to FIN-00519</x:v>
      </x:c>
    </x:row>
    <x:row r="1048">
      <x:c r="A1048" s="20" t="str">
        <x:v>FIN-00520</x:v>
      </x:c>
      <x:c r="B1048" s="32" t="n">
        <x:v>2</x:v>
      </x:c>
      <x:c r="C1048" s="23" t="n">
        <x:v>46573</x:v>
      </x:c>
      <x:c r="D1048" s="23" t="n">
        <x:v>46573</x:v>
      </x:c>
      <x:c r="E1048" s="20" t="str">
        <x:v>P008</x:v>
      </x:c>
      <x:c r="F1048" s="20" t="str">
        <x:v>U008</x:v>
      </x:c>
      <x:c r="G1048" s="20" t="str">
        <x:v>L008</x:v>
      </x:c>
      <x:c r="H1048" s="20" t="str">
        <x:v>1100 Tenant Accounts Receivable</x:v>
      </x:c>
      <x:c r="I1048" s="26" t="n">
        <x:v>0</x:v>
      </x:c>
      <x:c r="J1048" s="26" t="n">
        <x:v>1650</x:v>
      </x:c>
      <x:c r="K1048" s="35" t="str">
        <x:v>Receipt allocated to FIN-00519</x:v>
      </x:c>
    </x:row>
    <x:row r="1049">
      <x:c r="A1049" s="20" t="str">
        <x:v>FIN-00521</x:v>
      </x:c>
      <x:c r="B1049" s="32" t="n">
        <x:v>1</x:v>
      </x:c>
      <x:c r="C1049" s="23" t="n">
        <x:v>46569</x:v>
      </x:c>
      <x:c r="D1049" s="23" t="n">
        <x:v>46569</x:v>
      </x:c>
      <x:c r="E1049" s="20" t="str">
        <x:v>P009</x:v>
      </x:c>
      <x:c r="F1049" s="20" t="str">
        <x:v>U009</x:v>
      </x:c>
      <x:c r="G1049" s="20" t="str">
        <x:v>L009</x:v>
      </x:c>
      <x:c r="H1049" s="20" t="str">
        <x:v>1100 Tenant Accounts Receivable</x:v>
      </x:c>
      <x:c r="I1049" s="26" t="n">
        <x:v>1275</x:v>
      </x:c>
      <x:c r="J1049" s="26" t="n">
        <x:v>0</x:v>
      </x:c>
      <x:c r="K1049" s="35" t="str">
        <x:v>July 2027 rent</x:v>
      </x:c>
    </x:row>
    <x:row r="1050">
      <x:c r="A1050" s="20" t="str">
        <x:v>FIN-00521</x:v>
      </x:c>
      <x:c r="B1050" s="32" t="n">
        <x:v>2</x:v>
      </x:c>
      <x:c r="C1050" s="23" t="n">
        <x:v>46569</x:v>
      </x:c>
      <x:c r="D1050" s="23" t="n">
        <x:v>46569</x:v>
      </x:c>
      <x:c r="E1050" s="20" t="str">
        <x:v>P009</x:v>
      </x:c>
      <x:c r="F1050" s="20" t="str">
        <x:v>U009</x:v>
      </x:c>
      <x:c r="G1050" s="20" t="str">
        <x:v>L009</x:v>
      </x:c>
      <x:c r="H1050" s="20" t="str">
        <x:v>4000 Rental Income</x:v>
      </x:c>
      <x:c r="I1050" s="26" t="n">
        <x:v>0</x:v>
      </x:c>
      <x:c r="J1050" s="26" t="n">
        <x:v>1275</x:v>
      </x:c>
      <x:c r="K1050" s="35" t="str">
        <x:v>July 2027 rent</x:v>
      </x:c>
    </x:row>
    <x:row r="1051">
      <x:c r="A1051" s="20" t="str">
        <x:v>FIN-00522</x:v>
      </x:c>
      <x:c r="B1051" s="32" t="n">
        <x:v>1</x:v>
      </x:c>
      <x:c r="C1051" s="23" t="n">
        <x:v>46571</x:v>
      </x:c>
      <x:c r="D1051" s="23" t="n">
        <x:v>46571</x:v>
      </x:c>
      <x:c r="E1051" s="20" t="str">
        <x:v>P009</x:v>
      </x:c>
      <x:c r="F1051" s="20" t="str">
        <x:v>U009</x:v>
      </x:c>
      <x:c r="G1051" s="20" t="str">
        <x:v>L009</x:v>
      </x:c>
      <x:c r="H1051" s="20" t="str">
        <x:v>1000 Operating Cash</x:v>
      </x:c>
      <x:c r="I1051" s="26" t="n">
        <x:v>1275</x:v>
      </x:c>
      <x:c r="J1051" s="26" t="n">
        <x:v>0</x:v>
      </x:c>
      <x:c r="K1051" s="35" t="str">
        <x:v>Receipt allocated to FIN-00521</x:v>
      </x:c>
    </x:row>
    <x:row r="1052">
      <x:c r="A1052" s="20" t="str">
        <x:v>FIN-00522</x:v>
      </x:c>
      <x:c r="B1052" s="32" t="n">
        <x:v>2</x:v>
      </x:c>
      <x:c r="C1052" s="23" t="n">
        <x:v>46571</x:v>
      </x:c>
      <x:c r="D1052" s="23" t="n">
        <x:v>46571</x:v>
      </x:c>
      <x:c r="E1052" s="20" t="str">
        <x:v>P009</x:v>
      </x:c>
      <x:c r="F1052" s="20" t="str">
        <x:v>U009</x:v>
      </x:c>
      <x:c r="G1052" s="20" t="str">
        <x:v>L009</x:v>
      </x:c>
      <x:c r="H1052" s="20" t="str">
        <x:v>1100 Tenant Accounts Receivable</x:v>
      </x:c>
      <x:c r="I1052" s="26" t="n">
        <x:v>0</x:v>
      </x:c>
      <x:c r="J1052" s="26" t="n">
        <x:v>1275</x:v>
      </x:c>
      <x:c r="K1052" s="35" t="str">
        <x:v>Receipt allocated to FIN-00521</x:v>
      </x:c>
    </x:row>
    <x:row r="1053">
      <x:c r="A1053" s="20" t="str">
        <x:v>FIN-00523</x:v>
      </x:c>
      <x:c r="B1053" s="32" t="n">
        <x:v>1</x:v>
      </x:c>
      <x:c r="C1053" s="23" t="n">
        <x:v>46569</x:v>
      </x:c>
      <x:c r="D1053" s="23" t="n">
        <x:v>46569</x:v>
      </x:c>
      <x:c r="E1053" s="20" t="str">
        <x:v>P010</x:v>
      </x:c>
      <x:c r="F1053" s="20" t="str">
        <x:v>U010</x:v>
      </x:c>
      <x:c r="G1053" s="20" t="str">
        <x:v>L010</x:v>
      </x:c>
      <x:c r="H1053" s="20" t="str">
        <x:v>1100 Tenant Accounts Receivable</x:v>
      </x:c>
      <x:c r="I1053" s="26" t="n">
        <x:v>1800</x:v>
      </x:c>
      <x:c r="J1053" s="26" t="n">
        <x:v>0</x:v>
      </x:c>
      <x:c r="K1053" s="35" t="str">
        <x:v>July 2027 rent</x:v>
      </x:c>
    </x:row>
    <x:row r="1054">
      <x:c r="A1054" s="20" t="str">
        <x:v>FIN-00523</x:v>
      </x:c>
      <x:c r="B1054" s="32" t="n">
        <x:v>2</x:v>
      </x:c>
      <x:c r="C1054" s="23" t="n">
        <x:v>46569</x:v>
      </x:c>
      <x:c r="D1054" s="23" t="n">
        <x:v>46569</x:v>
      </x:c>
      <x:c r="E1054" s="20" t="str">
        <x:v>P010</x:v>
      </x:c>
      <x:c r="F1054" s="20" t="str">
        <x:v>U010</x:v>
      </x:c>
      <x:c r="G1054" s="20" t="str">
        <x:v>L010</x:v>
      </x:c>
      <x:c r="H1054" s="20" t="str">
        <x:v>4000 Rental Income</x:v>
      </x:c>
      <x:c r="I1054" s="26" t="n">
        <x:v>0</x:v>
      </x:c>
      <x:c r="J1054" s="26" t="n">
        <x:v>1800</x:v>
      </x:c>
      <x:c r="K1054" s="35" t="str">
        <x:v>July 2027 rent</x:v>
      </x:c>
    </x:row>
    <x:row r="1055">
      <x:c r="A1055" s="20" t="str">
        <x:v>FIN-00524</x:v>
      </x:c>
      <x:c r="B1055" s="32" t="n">
        <x:v>1</x:v>
      </x:c>
      <x:c r="C1055" s="23" t="n">
        <x:v>46572</x:v>
      </x:c>
      <x:c r="D1055" s="23" t="n">
        <x:v>46572</x:v>
      </x:c>
      <x:c r="E1055" s="20" t="str">
        <x:v>P010</x:v>
      </x:c>
      <x:c r="F1055" s="20" t="str">
        <x:v>U010</x:v>
      </x:c>
      <x:c r="G1055" s="20" t="str">
        <x:v>L010</x:v>
      </x:c>
      <x:c r="H1055" s="20" t="str">
        <x:v>1000 Operating Cash</x:v>
      </x:c>
      <x:c r="I1055" s="26" t="n">
        <x:v>1800</x:v>
      </x:c>
      <x:c r="J1055" s="26" t="n">
        <x:v>0</x:v>
      </x:c>
      <x:c r="K1055" s="35" t="str">
        <x:v>Receipt allocated to FIN-00523</x:v>
      </x:c>
    </x:row>
    <x:row r="1056">
      <x:c r="A1056" s="20" t="str">
        <x:v>FIN-00524</x:v>
      </x:c>
      <x:c r="B1056" s="32" t="n">
        <x:v>2</x:v>
      </x:c>
      <x:c r="C1056" s="23" t="n">
        <x:v>46572</x:v>
      </x:c>
      <x:c r="D1056" s="23" t="n">
        <x:v>46572</x:v>
      </x:c>
      <x:c r="E1056" s="20" t="str">
        <x:v>P010</x:v>
      </x:c>
      <x:c r="F1056" s="20" t="str">
        <x:v>U010</x:v>
      </x:c>
      <x:c r="G1056" s="20" t="str">
        <x:v>L010</x:v>
      </x:c>
      <x:c r="H1056" s="20" t="str">
        <x:v>1100 Tenant Accounts Receivable</x:v>
      </x:c>
      <x:c r="I1056" s="26" t="n">
        <x:v>0</x:v>
      </x:c>
      <x:c r="J1056" s="26" t="n">
        <x:v>1800</x:v>
      </x:c>
      <x:c r="K1056" s="35" t="str">
        <x:v>Receipt allocated to FIN-00523</x:v>
      </x:c>
    </x:row>
    <x:row r="1057">
      <x:c r="A1057" s="20" t="str">
        <x:v>FIN-00525</x:v>
      </x:c>
      <x:c r="B1057" s="32" t="n">
        <x:v>1</x:v>
      </x:c>
      <x:c r="C1057" s="23" t="n">
        <x:v>46569</x:v>
      </x:c>
      <x:c r="D1057" s="23" t="n">
        <x:v>46569</x:v>
      </x:c>
      <x:c r="E1057" s="20" t="str">
        <x:v>P011</x:v>
      </x:c>
      <x:c r="F1057" s="20" t="str">
        <x:v>U011</x:v>
      </x:c>
      <x:c r="G1057" s="20" t="str">
        <x:v>L011</x:v>
      </x:c>
      <x:c r="H1057" s="20" t="str">
        <x:v>1100 Tenant Accounts Receivable</x:v>
      </x:c>
      <x:c r="I1057" s="26" t="n">
        <x:v>1425</x:v>
      </x:c>
      <x:c r="J1057" s="26" t="n">
        <x:v>0</x:v>
      </x:c>
      <x:c r="K1057" s="35" t="str">
        <x:v>July 2027 rent</x:v>
      </x:c>
    </x:row>
    <x:row r="1058">
      <x:c r="A1058" s="20" t="str">
        <x:v>FIN-00525</x:v>
      </x:c>
      <x:c r="B1058" s="32" t="n">
        <x:v>2</x:v>
      </x:c>
      <x:c r="C1058" s="23" t="n">
        <x:v>46569</x:v>
      </x:c>
      <x:c r="D1058" s="23" t="n">
        <x:v>46569</x:v>
      </x:c>
      <x:c r="E1058" s="20" t="str">
        <x:v>P011</x:v>
      </x:c>
      <x:c r="F1058" s="20" t="str">
        <x:v>U011</x:v>
      </x:c>
      <x:c r="G1058" s="20" t="str">
        <x:v>L011</x:v>
      </x:c>
      <x:c r="H1058" s="20" t="str">
        <x:v>4000 Rental Income</x:v>
      </x:c>
      <x:c r="I1058" s="26" t="n">
        <x:v>0</x:v>
      </x:c>
      <x:c r="J1058" s="26" t="n">
        <x:v>1425</x:v>
      </x:c>
      <x:c r="K1058" s="35" t="str">
        <x:v>July 2027 rent</x:v>
      </x:c>
    </x:row>
    <x:row r="1059">
      <x:c r="A1059" s="20" t="str">
        <x:v>FIN-00526</x:v>
      </x:c>
      <x:c r="B1059" s="32" t="n">
        <x:v>1</x:v>
      </x:c>
      <x:c r="C1059" s="23" t="n">
        <x:v>46571</x:v>
      </x:c>
      <x:c r="D1059" s="23" t="n">
        <x:v>46571</x:v>
      </x:c>
      <x:c r="E1059" s="20" t="str">
        <x:v>P011</x:v>
      </x:c>
      <x:c r="F1059" s="20" t="str">
        <x:v>U011</x:v>
      </x:c>
      <x:c r="G1059" s="20" t="str">
        <x:v>L011</x:v>
      </x:c>
      <x:c r="H1059" s="20" t="str">
        <x:v>1000 Operating Cash</x:v>
      </x:c>
      <x:c r="I1059" s="26" t="n">
        <x:v>855</x:v>
      </x:c>
      <x:c r="J1059" s="26" t="n">
        <x:v>0</x:v>
      </x:c>
      <x:c r="K1059" s="35" t="str">
        <x:v>Receipt allocated to FIN-00525</x:v>
      </x:c>
    </x:row>
    <x:row r="1060">
      <x:c r="A1060" s="20" t="str">
        <x:v>FIN-00526</x:v>
      </x:c>
      <x:c r="B1060" s="32" t="n">
        <x:v>2</x:v>
      </x:c>
      <x:c r="C1060" s="23" t="n">
        <x:v>46571</x:v>
      </x:c>
      <x:c r="D1060" s="23" t="n">
        <x:v>46571</x:v>
      </x:c>
      <x:c r="E1060" s="20" t="str">
        <x:v>P011</x:v>
      </x:c>
      <x:c r="F1060" s="20" t="str">
        <x:v>U011</x:v>
      </x:c>
      <x:c r="G1060" s="20" t="str">
        <x:v>L011</x:v>
      </x:c>
      <x:c r="H1060" s="20" t="str">
        <x:v>1100 Tenant Accounts Receivable</x:v>
      </x:c>
      <x:c r="I1060" s="26" t="n">
        <x:v>0</x:v>
      </x:c>
      <x:c r="J1060" s="26" t="n">
        <x:v>855</x:v>
      </x:c>
      <x:c r="K1060" s="35" t="str">
        <x:v>Receipt allocated to FIN-00525</x:v>
      </x:c>
    </x:row>
    <x:row r="1061">
      <x:c r="A1061" s="20" t="str">
        <x:v>FIN-00527</x:v>
      </x:c>
      <x:c r="B1061" s="32" t="n">
        <x:v>1</x:v>
      </x:c>
      <x:c r="C1061" s="23" t="n">
        <x:v>46574</x:v>
      </x:c>
      <x:c r="D1061" s="23" t="n">
        <x:v>46574</x:v>
      </x:c>
      <x:c r="E1061" s="20" t="str">
        <x:v>P011</x:v>
      </x:c>
      <x:c r="F1061" s="20" t="str">
        <x:v>U011</x:v>
      </x:c>
      <x:c r="G1061" s="20" t="str">
        <x:v>L011</x:v>
      </x:c>
      <x:c r="H1061" s="20" t="str">
        <x:v>1100 Tenant Accounts Receivable</x:v>
      </x:c>
      <x:c r="I1061" s="26" t="n">
        <x:v>50</x:v>
      </x:c>
      <x:c r="J1061" s="26" t="n">
        <x:v>0</x:v>
      </x:c>
      <x:c r="K1061" s="35" t="str">
        <x:v>Synthetic lease-authorized late fee after partial payment</x:v>
      </x:c>
    </x:row>
    <x:row r="1062">
      <x:c r="A1062" s="20" t="str">
        <x:v>FIN-00527</x:v>
      </x:c>
      <x:c r="B1062" s="32" t="n">
        <x:v>2</x:v>
      </x:c>
      <x:c r="C1062" s="23" t="n">
        <x:v>46574</x:v>
      </x:c>
      <x:c r="D1062" s="23" t="n">
        <x:v>46574</x:v>
      </x:c>
      <x:c r="E1062" s="20" t="str">
        <x:v>P011</x:v>
      </x:c>
      <x:c r="F1062" s="20" t="str">
        <x:v>U011</x:v>
      </x:c>
      <x:c r="G1062" s="20" t="str">
        <x:v>L011</x:v>
      </x:c>
      <x:c r="H1062" s="20" t="str">
        <x:v>4010 Late Fee Income</x:v>
      </x:c>
      <x:c r="I1062" s="26" t="n">
        <x:v>0</x:v>
      </x:c>
      <x:c r="J1062" s="26" t="n">
        <x:v>50</x:v>
      </x:c>
      <x:c r="K1062" s="35" t="str">
        <x:v>Synthetic lease-authorized late fee after partial payment</x:v>
      </x:c>
    </x:row>
    <x:row r="1063">
      <x:c r="A1063" s="20" t="str">
        <x:v>FIN-00528</x:v>
      </x:c>
      <x:c r="B1063" s="32" t="n">
        <x:v>1</x:v>
      </x:c>
      <x:c r="C1063" s="23" t="n">
        <x:v>46580</x:v>
      </x:c>
      <x:c r="D1063" s="23" t="n">
        <x:v>46580</x:v>
      </x:c>
      <x:c r="E1063" s="20" t="str">
        <x:v>P011</x:v>
      </x:c>
      <x:c r="F1063" s="20" t="str">
        <x:v>U011</x:v>
      </x:c>
      <x:c r="G1063" s="20" t="str">
        <x:v>L011</x:v>
      </x:c>
      <x:c r="H1063" s="20" t="str">
        <x:v>1000 Operating Cash</x:v>
      </x:c>
      <x:c r="I1063" s="26" t="n">
        <x:v>620</x:v>
      </x:c>
      <x:c r="J1063" s="26" t="n">
        <x:v>0</x:v>
      </x:c>
      <x:c r="K1063" s="35" t="str">
        <x:v>Receipt allocated to FIN-00527</x:v>
      </x:c>
    </x:row>
    <x:row r="1064">
      <x:c r="A1064" s="20" t="str">
        <x:v>FIN-00528</x:v>
      </x:c>
      <x:c r="B1064" s="32" t="n">
        <x:v>2</x:v>
      </x:c>
      <x:c r="C1064" s="23" t="n">
        <x:v>46580</x:v>
      </x:c>
      <x:c r="D1064" s="23" t="n">
        <x:v>46580</x:v>
      </x:c>
      <x:c r="E1064" s="20" t="str">
        <x:v>P011</x:v>
      </x:c>
      <x:c r="F1064" s="20" t="str">
        <x:v>U011</x:v>
      </x:c>
      <x:c r="G1064" s="20" t="str">
        <x:v>L011</x:v>
      </x:c>
      <x:c r="H1064" s="20" t="str">
        <x:v>1100 Tenant Accounts Receivable</x:v>
      </x:c>
      <x:c r="I1064" s="26" t="n">
        <x:v>0</x:v>
      </x:c>
      <x:c r="J1064" s="26" t="n">
        <x:v>620</x:v>
      </x:c>
      <x:c r="K1064" s="35" t="str">
        <x:v>Receipt allocated to FIN-00527</x:v>
      </x:c>
    </x:row>
    <x:row r="1065">
      <x:c r="A1065" s="20" t="str">
        <x:v>FIN-00529</x:v>
      </x:c>
      <x:c r="B1065" s="32" t="n">
        <x:v>1</x:v>
      </x:c>
      <x:c r="C1065" s="23" t="n">
        <x:v>46569</x:v>
      </x:c>
      <x:c r="D1065" s="23" t="n">
        <x:v>46569</x:v>
      </x:c>
      <x:c r="E1065" s="20" t="str">
        <x:v>P012</x:v>
      </x:c>
      <x:c r="F1065" s="20" t="str">
        <x:v>U012</x:v>
      </x:c>
      <x:c r="G1065" s="20" t="str">
        <x:v>L012</x:v>
      </x:c>
      <x:c r="H1065" s="20" t="str">
        <x:v>1100 Tenant Accounts Receivable</x:v>
      </x:c>
      <x:c r="I1065" s="26" t="n">
        <x:v>1050</x:v>
      </x:c>
      <x:c r="J1065" s="26" t="n">
        <x:v>0</x:v>
      </x:c>
      <x:c r="K1065" s="35" t="str">
        <x:v>July 2027 rent</x:v>
      </x:c>
    </x:row>
    <x:row r="1066">
      <x:c r="A1066" s="20" t="str">
        <x:v>FIN-00529</x:v>
      </x:c>
      <x:c r="B1066" s="32" t="n">
        <x:v>2</x:v>
      </x:c>
      <x:c r="C1066" s="23" t="n">
        <x:v>46569</x:v>
      </x:c>
      <x:c r="D1066" s="23" t="n">
        <x:v>46569</x:v>
      </x:c>
      <x:c r="E1066" s="20" t="str">
        <x:v>P012</x:v>
      </x:c>
      <x:c r="F1066" s="20" t="str">
        <x:v>U012</x:v>
      </x:c>
      <x:c r="G1066" s="20" t="str">
        <x:v>L012</x:v>
      </x:c>
      <x:c r="H1066" s="20" t="str">
        <x:v>4000 Rental Income</x:v>
      </x:c>
      <x:c r="I1066" s="26" t="n">
        <x:v>0</x:v>
      </x:c>
      <x:c r="J1066" s="26" t="n">
        <x:v>1050</x:v>
      </x:c>
      <x:c r="K1066" s="35" t="str">
        <x:v>July 2027 rent</x:v>
      </x:c>
    </x:row>
    <x:row r="1067">
      <x:c r="A1067" s="20" t="str">
        <x:v>FIN-00530</x:v>
      </x:c>
      <x:c r="B1067" s="32" t="n">
        <x:v>1</x:v>
      </x:c>
      <x:c r="C1067" s="23" t="n">
        <x:v>46571</x:v>
      </x:c>
      <x:c r="D1067" s="23" t="n">
        <x:v>46571</x:v>
      </x:c>
      <x:c r="E1067" s="20" t="str">
        <x:v>P012</x:v>
      </x:c>
      <x:c r="F1067" s="20" t="str">
        <x:v>U012</x:v>
      </x:c>
      <x:c r="G1067" s="20" t="str">
        <x:v>L012</x:v>
      </x:c>
      <x:c r="H1067" s="20" t="str">
        <x:v>1000 Operating Cash</x:v>
      </x:c>
      <x:c r="I1067" s="26" t="n">
        <x:v>1050</x:v>
      </x:c>
      <x:c r="J1067" s="26" t="n">
        <x:v>0</x:v>
      </x:c>
      <x:c r="K1067" s="35" t="str">
        <x:v>Receipt allocated to FIN-00529</x:v>
      </x:c>
    </x:row>
    <x:row r="1068">
      <x:c r="A1068" s="20" t="str">
        <x:v>FIN-00530</x:v>
      </x:c>
      <x:c r="B1068" s="32" t="n">
        <x:v>2</x:v>
      </x:c>
      <x:c r="C1068" s="23" t="n">
        <x:v>46571</x:v>
      </x:c>
      <x:c r="D1068" s="23" t="n">
        <x:v>46571</x:v>
      </x:c>
      <x:c r="E1068" s="20" t="str">
        <x:v>P012</x:v>
      </x:c>
      <x:c r="F1068" s="20" t="str">
        <x:v>U012</x:v>
      </x:c>
      <x:c r="G1068" s="20" t="str">
        <x:v>L012</x:v>
      </x:c>
      <x:c r="H1068" s="20" t="str">
        <x:v>1100 Tenant Accounts Receivable</x:v>
      </x:c>
      <x:c r="I1068" s="26" t="n">
        <x:v>0</x:v>
      </x:c>
      <x:c r="J1068" s="26" t="n">
        <x:v>1050</x:v>
      </x:c>
      <x:c r="K1068" s="35" t="str">
        <x:v>Receipt allocated to FIN-00529</x:v>
      </x:c>
    </x:row>
    <x:row r="1069">
      <x:c r="A1069" s="20" t="str">
        <x:v>FIN-00531</x:v>
      </x:c>
      <x:c r="B1069" s="32" t="n">
        <x:v>1</x:v>
      </x:c>
      <x:c r="C1069" s="23" t="n">
        <x:v>46569</x:v>
      </x:c>
      <x:c r="D1069" s="23" t="n">
        <x:v>46569</x:v>
      </x:c>
      <x:c r="E1069" s="20" t="str">
        <x:v>P013</x:v>
      </x:c>
      <x:c r="F1069" s="20" t="str">
        <x:v>U013</x:v>
      </x:c>
      <x:c r="G1069" s="20" t="str">
        <x:v>L013</x:v>
      </x:c>
      <x:c r="H1069" s="20" t="str">
        <x:v>1100 Tenant Accounts Receivable</x:v>
      </x:c>
      <x:c r="I1069" s="26" t="n">
        <x:v>1575</x:v>
      </x:c>
      <x:c r="J1069" s="26" t="n">
        <x:v>0</x:v>
      </x:c>
      <x:c r="K1069" s="35" t="str">
        <x:v>July 2027 rent</x:v>
      </x:c>
    </x:row>
    <x:row r="1070">
      <x:c r="A1070" s="20" t="str">
        <x:v>FIN-00531</x:v>
      </x:c>
      <x:c r="B1070" s="32" t="n">
        <x:v>2</x:v>
      </x:c>
      <x:c r="C1070" s="23" t="n">
        <x:v>46569</x:v>
      </x:c>
      <x:c r="D1070" s="23" t="n">
        <x:v>46569</x:v>
      </x:c>
      <x:c r="E1070" s="20" t="str">
        <x:v>P013</x:v>
      </x:c>
      <x:c r="F1070" s="20" t="str">
        <x:v>U013</x:v>
      </x:c>
      <x:c r="G1070" s="20" t="str">
        <x:v>L013</x:v>
      </x:c>
      <x:c r="H1070" s="20" t="str">
        <x:v>4000 Rental Income</x:v>
      </x:c>
      <x:c r="I1070" s="26" t="n">
        <x:v>0</x:v>
      </x:c>
      <x:c r="J1070" s="26" t="n">
        <x:v>1575</x:v>
      </x:c>
      <x:c r="K1070" s="35" t="str">
        <x:v>July 2027 rent</x:v>
      </x:c>
    </x:row>
    <x:row r="1071">
      <x:c r="A1071" s="20" t="str">
        <x:v>FIN-00532</x:v>
      </x:c>
      <x:c r="B1071" s="32" t="n">
        <x:v>1</x:v>
      </x:c>
      <x:c r="C1071" s="23" t="n">
        <x:v>46574</x:v>
      </x:c>
      <x:c r="D1071" s="23" t="n">
        <x:v>46574</x:v>
      </x:c>
      <x:c r="E1071" s="20" t="str">
        <x:v>P013</x:v>
      </x:c>
      <x:c r="F1071" s="20" t="str">
        <x:v>U013</x:v>
      </x:c>
      <x:c r="G1071" s="20" t="str">
        <x:v>L013</x:v>
      </x:c>
      <x:c r="H1071" s="20" t="str">
        <x:v>1100 Tenant Accounts Receivable</x:v>
      </x:c>
      <x:c r="I1071" s="26" t="n">
        <x:v>50</x:v>
      </x:c>
      <x:c r="J1071" s="26" t="n">
        <x:v>0</x:v>
      </x:c>
      <x:c r="K1071" s="35" t="str">
        <x:v>Synthetic lease-authorized late fee</x:v>
      </x:c>
    </x:row>
    <x:row r="1072">
      <x:c r="A1072" s="20" t="str">
        <x:v>FIN-00532</x:v>
      </x:c>
      <x:c r="B1072" s="32" t="n">
        <x:v>2</x:v>
      </x:c>
      <x:c r="C1072" s="23" t="n">
        <x:v>46574</x:v>
      </x:c>
      <x:c r="D1072" s="23" t="n">
        <x:v>46574</x:v>
      </x:c>
      <x:c r="E1072" s="20" t="str">
        <x:v>P013</x:v>
      </x:c>
      <x:c r="F1072" s="20" t="str">
        <x:v>U013</x:v>
      </x:c>
      <x:c r="G1072" s="20" t="str">
        <x:v>L013</x:v>
      </x:c>
      <x:c r="H1072" s="20" t="str">
        <x:v>4010 Late Fee Income</x:v>
      </x:c>
      <x:c r="I1072" s="26" t="n">
        <x:v>0</x:v>
      </x:c>
      <x:c r="J1072" s="26" t="n">
        <x:v>50</x:v>
      </x:c>
      <x:c r="K1072" s="35" t="str">
        <x:v>Synthetic lease-authorized late fee</x:v>
      </x:c>
    </x:row>
    <x:row r="1073">
      <x:c r="A1073" s="20" t="str">
        <x:v>FIN-00533</x:v>
      </x:c>
      <x:c r="B1073" s="32" t="n">
        <x:v>1</x:v>
      </x:c>
      <x:c r="C1073" s="23" t="n">
        <x:v>46576</x:v>
      </x:c>
      <x:c r="D1073" s="23" t="n">
        <x:v>46576</x:v>
      </x:c>
      <x:c r="E1073" s="20" t="str">
        <x:v>P013</x:v>
      </x:c>
      <x:c r="F1073" s="20" t="str">
        <x:v>U013</x:v>
      </x:c>
      <x:c r="G1073" s="20" t="str">
        <x:v>L013</x:v>
      </x:c>
      <x:c r="H1073" s="20" t="str">
        <x:v>1000 Operating Cash</x:v>
      </x:c>
      <x:c r="I1073" s="26" t="n">
        <x:v>1625</x:v>
      </x:c>
      <x:c r="J1073" s="26" t="n">
        <x:v>0</x:v>
      </x:c>
      <x:c r="K1073" s="35" t="str">
        <x:v>Receipt allocated to FIN-00532</x:v>
      </x:c>
    </x:row>
    <x:row r="1074">
      <x:c r="A1074" s="20" t="str">
        <x:v>FIN-00533</x:v>
      </x:c>
      <x:c r="B1074" s="32" t="n">
        <x:v>2</x:v>
      </x:c>
      <x:c r="C1074" s="23" t="n">
        <x:v>46576</x:v>
      </x:c>
      <x:c r="D1074" s="23" t="n">
        <x:v>46576</x:v>
      </x:c>
      <x:c r="E1074" s="20" t="str">
        <x:v>P013</x:v>
      </x:c>
      <x:c r="F1074" s="20" t="str">
        <x:v>U013</x:v>
      </x:c>
      <x:c r="G1074" s="20" t="str">
        <x:v>L013</x:v>
      </x:c>
      <x:c r="H1074" s="20" t="str">
        <x:v>1100 Tenant Accounts Receivable</x:v>
      </x:c>
      <x:c r="I1074" s="26" t="n">
        <x:v>0</x:v>
      </x:c>
      <x:c r="J1074" s="26" t="n">
        <x:v>1625</x:v>
      </x:c>
      <x:c r="K1074" s="35" t="str">
        <x:v>Receipt allocated to FIN-00532</x:v>
      </x:c>
    </x:row>
    <x:row r="1075">
      <x:c r="A1075" s="20" t="str">
        <x:v>FIN-00534</x:v>
      </x:c>
      <x:c r="B1075" s="32" t="n">
        <x:v>1</x:v>
      </x:c>
      <x:c r="C1075" s="23" t="n">
        <x:v>46569</x:v>
      </x:c>
      <x:c r="D1075" s="23" t="n">
        <x:v>46569</x:v>
      </x:c>
      <x:c r="E1075" s="20" t="str">
        <x:v>P015</x:v>
      </x:c>
      <x:c r="F1075" s="20" t="str">
        <x:v>U015</x:v>
      </x:c>
      <x:c r="G1075" s="20" t="str">
        <x:v>L015</x:v>
      </x:c>
      <x:c r="H1075" s="20" t="str">
        <x:v>1100 Tenant Accounts Receivable</x:v>
      </x:c>
      <x:c r="I1075" s="26" t="n">
        <x:v>1725</x:v>
      </x:c>
      <x:c r="J1075" s="26" t="n">
        <x:v>0</x:v>
      </x:c>
      <x:c r="K1075" s="35" t="str">
        <x:v>July 2027 rent</x:v>
      </x:c>
    </x:row>
    <x:row r="1076">
      <x:c r="A1076" s="20" t="str">
        <x:v>FIN-00534</x:v>
      </x:c>
      <x:c r="B1076" s="32" t="n">
        <x:v>2</x:v>
      </x:c>
      <x:c r="C1076" s="23" t="n">
        <x:v>46569</x:v>
      </x:c>
      <x:c r="D1076" s="23" t="n">
        <x:v>46569</x:v>
      </x:c>
      <x:c r="E1076" s="20" t="str">
        <x:v>P015</x:v>
      </x:c>
      <x:c r="F1076" s="20" t="str">
        <x:v>U015</x:v>
      </x:c>
      <x:c r="G1076" s="20" t="str">
        <x:v>L015</x:v>
      </x:c>
      <x:c r="H1076" s="20" t="str">
        <x:v>4000 Rental Income</x:v>
      </x:c>
      <x:c r="I1076" s="26" t="n">
        <x:v>0</x:v>
      </x:c>
      <x:c r="J1076" s="26" t="n">
        <x:v>1725</x:v>
      </x:c>
      <x:c r="K1076" s="35" t="str">
        <x:v>July 2027 rent</x:v>
      </x:c>
    </x:row>
    <x:row r="1077">
      <x:c r="A1077" s="20" t="str">
        <x:v>FIN-00535</x:v>
      </x:c>
      <x:c r="B1077" s="32" t="n">
        <x:v>1</x:v>
      </x:c>
      <x:c r="C1077" s="23" t="n">
        <x:v>46571</x:v>
      </x:c>
      <x:c r="D1077" s="23" t="n">
        <x:v>46571</x:v>
      </x:c>
      <x:c r="E1077" s="20" t="str">
        <x:v>P015</x:v>
      </x:c>
      <x:c r="F1077" s="20" t="str">
        <x:v>U015</x:v>
      </x:c>
      <x:c r="G1077" s="20" t="str">
        <x:v>L015</x:v>
      </x:c>
      <x:c r="H1077" s="20" t="str">
        <x:v>1000 Operating Cash</x:v>
      </x:c>
      <x:c r="I1077" s="26" t="n">
        <x:v>1725</x:v>
      </x:c>
      <x:c r="J1077" s="26" t="n">
        <x:v>0</x:v>
      </x:c>
      <x:c r="K1077" s="35" t="str">
        <x:v>Receipt allocated to FIN-00534</x:v>
      </x:c>
    </x:row>
    <x:row r="1078">
      <x:c r="A1078" s="20" t="str">
        <x:v>FIN-00535</x:v>
      </x:c>
      <x:c r="B1078" s="32" t="n">
        <x:v>2</x:v>
      </x:c>
      <x:c r="C1078" s="23" t="n">
        <x:v>46571</x:v>
      </x:c>
      <x:c r="D1078" s="23" t="n">
        <x:v>46571</x:v>
      </x:c>
      <x:c r="E1078" s="20" t="str">
        <x:v>P015</x:v>
      </x:c>
      <x:c r="F1078" s="20" t="str">
        <x:v>U015</x:v>
      </x:c>
      <x:c r="G1078" s="20" t="str">
        <x:v>L015</x:v>
      </x:c>
      <x:c r="H1078" s="20" t="str">
        <x:v>1100 Tenant Accounts Receivable</x:v>
      </x:c>
      <x:c r="I1078" s="26" t="n">
        <x:v>0</x:v>
      </x:c>
      <x:c r="J1078" s="26" t="n">
        <x:v>1725</x:v>
      </x:c>
      <x:c r="K1078" s="35" t="str">
        <x:v>Receipt allocated to FIN-00534</x:v>
      </x:c>
    </x:row>
    <x:row r="1079">
      <x:c r="A1079" s="20" t="str">
        <x:v>FIN-00536</x:v>
      </x:c>
      <x:c r="B1079" s="32" t="n">
        <x:v>1</x:v>
      </x:c>
      <x:c r="C1079" s="23" t="n">
        <x:v>46569</x:v>
      </x:c>
      <x:c r="D1079" s="23" t="n">
        <x:v>46569</x:v>
      </x:c>
      <x:c r="E1079" s="20" t="str">
        <x:v>P016</x:v>
      </x:c>
      <x:c r="F1079" s="20" t="str">
        <x:v>U016</x:v>
      </x:c>
      <x:c r="G1079" s="20" t="str">
        <x:v>L016</x:v>
      </x:c>
      <x:c r="H1079" s="20" t="str">
        <x:v>1100 Tenant Accounts Receivable</x:v>
      </x:c>
      <x:c r="I1079" s="26" t="n">
        <x:v>1350</x:v>
      </x:c>
      <x:c r="J1079" s="26" t="n">
        <x:v>0</x:v>
      </x:c>
      <x:c r="K1079" s="35" t="str">
        <x:v>July 2027 rent</x:v>
      </x:c>
    </x:row>
    <x:row r="1080">
      <x:c r="A1080" s="20" t="str">
        <x:v>FIN-00536</x:v>
      </x:c>
      <x:c r="B1080" s="32" t="n">
        <x:v>2</x:v>
      </x:c>
      <x:c r="C1080" s="23" t="n">
        <x:v>46569</x:v>
      </x:c>
      <x:c r="D1080" s="23" t="n">
        <x:v>46569</x:v>
      </x:c>
      <x:c r="E1080" s="20" t="str">
        <x:v>P016</x:v>
      </x:c>
      <x:c r="F1080" s="20" t="str">
        <x:v>U016</x:v>
      </x:c>
      <x:c r="G1080" s="20" t="str">
        <x:v>L016</x:v>
      </x:c>
      <x:c r="H1080" s="20" t="str">
        <x:v>4000 Rental Income</x:v>
      </x:c>
      <x:c r="I1080" s="26" t="n">
        <x:v>0</x:v>
      </x:c>
      <x:c r="J1080" s="26" t="n">
        <x:v>1350</x:v>
      </x:c>
      <x:c r="K1080" s="35" t="str">
        <x:v>July 2027 rent</x:v>
      </x:c>
    </x:row>
    <x:row r="1081">
      <x:c r="A1081" s="20" t="str">
        <x:v>FIN-00537</x:v>
      </x:c>
      <x:c r="B1081" s="32" t="n">
        <x:v>1</x:v>
      </x:c>
      <x:c r="C1081" s="23" t="n">
        <x:v>46572</x:v>
      </x:c>
      <x:c r="D1081" s="23" t="n">
        <x:v>46572</x:v>
      </x:c>
      <x:c r="E1081" s="20" t="str">
        <x:v>P016</x:v>
      </x:c>
      <x:c r="F1081" s="20" t="str">
        <x:v>U016</x:v>
      </x:c>
      <x:c r="G1081" s="20" t="str">
        <x:v>L016</x:v>
      </x:c>
      <x:c r="H1081" s="20" t="str">
        <x:v>1000 Operating Cash</x:v>
      </x:c>
      <x:c r="I1081" s="26" t="n">
        <x:v>1350</x:v>
      </x:c>
      <x:c r="J1081" s="26" t="n">
        <x:v>0</x:v>
      </x:c>
      <x:c r="K1081" s="35" t="str">
        <x:v>Receipt allocated to FIN-00536</x:v>
      </x:c>
    </x:row>
    <x:row r="1082">
      <x:c r="A1082" s="20" t="str">
        <x:v>FIN-00537</x:v>
      </x:c>
      <x:c r="B1082" s="32" t="n">
        <x:v>2</x:v>
      </x:c>
      <x:c r="C1082" s="23" t="n">
        <x:v>46572</x:v>
      </x:c>
      <x:c r="D1082" s="23" t="n">
        <x:v>46572</x:v>
      </x:c>
      <x:c r="E1082" s="20" t="str">
        <x:v>P016</x:v>
      </x:c>
      <x:c r="F1082" s="20" t="str">
        <x:v>U016</x:v>
      </x:c>
      <x:c r="G1082" s="20" t="str">
        <x:v>L016</x:v>
      </x:c>
      <x:c r="H1082" s="20" t="str">
        <x:v>1100 Tenant Accounts Receivable</x:v>
      </x:c>
      <x:c r="I1082" s="26" t="n">
        <x:v>0</x:v>
      </x:c>
      <x:c r="J1082" s="26" t="n">
        <x:v>1350</x:v>
      </x:c>
      <x:c r="K1082" s="35" t="str">
        <x:v>Receipt allocated to FIN-00536</x:v>
      </x:c>
    </x:row>
    <x:row r="1083">
      <x:c r="A1083" s="20" t="str">
        <x:v>FIN-00538</x:v>
      </x:c>
      <x:c r="B1083" s="32" t="n">
        <x:v>1</x:v>
      </x:c>
      <x:c r="C1083" s="23" t="n">
        <x:v>46569</x:v>
      </x:c>
      <x:c r="D1083" s="23" t="n">
        <x:v>46569</x:v>
      </x:c>
      <x:c r="E1083" s="20" t="str">
        <x:v>P018</x:v>
      </x:c>
      <x:c r="F1083" s="20" t="str">
        <x:v>U018</x:v>
      </x:c>
      <x:c r="G1083" s="20" t="str">
        <x:v>L018</x:v>
      </x:c>
      <x:c r="H1083" s="20" t="str">
        <x:v>1100 Tenant Accounts Receivable</x:v>
      </x:c>
      <x:c r="I1083" s="26" t="n">
        <x:v>1500</x:v>
      </x:c>
      <x:c r="J1083" s="26" t="n">
        <x:v>0</x:v>
      </x:c>
      <x:c r="K1083" s="35" t="str">
        <x:v>July 2027 rent</x:v>
      </x:c>
    </x:row>
    <x:row r="1084">
      <x:c r="A1084" s="20" t="str">
        <x:v>FIN-00538</x:v>
      </x:c>
      <x:c r="B1084" s="32" t="n">
        <x:v>2</x:v>
      </x:c>
      <x:c r="C1084" s="23" t="n">
        <x:v>46569</x:v>
      </x:c>
      <x:c r="D1084" s="23" t="n">
        <x:v>46569</x:v>
      </x:c>
      <x:c r="E1084" s="20" t="str">
        <x:v>P018</x:v>
      </x:c>
      <x:c r="F1084" s="20" t="str">
        <x:v>U018</x:v>
      </x:c>
      <x:c r="G1084" s="20" t="str">
        <x:v>L018</x:v>
      </x:c>
      <x:c r="H1084" s="20" t="str">
        <x:v>4000 Rental Income</x:v>
      </x:c>
      <x:c r="I1084" s="26" t="n">
        <x:v>0</x:v>
      </x:c>
      <x:c r="J1084" s="26" t="n">
        <x:v>1500</x:v>
      </x:c>
      <x:c r="K1084" s="35" t="str">
        <x:v>July 2027 rent</x:v>
      </x:c>
    </x:row>
    <x:row r="1085">
      <x:c r="A1085" s="20" t="str">
        <x:v>FIN-00539</x:v>
      </x:c>
      <x:c r="B1085" s="32" t="n">
        <x:v>1</x:v>
      </x:c>
      <x:c r="C1085" s="23" t="n">
        <x:v>46571</x:v>
      </x:c>
      <x:c r="D1085" s="23" t="n">
        <x:v>46571</x:v>
      </x:c>
      <x:c r="E1085" s="20" t="str">
        <x:v>P018</x:v>
      </x:c>
      <x:c r="F1085" s="20" t="str">
        <x:v>U018</x:v>
      </x:c>
      <x:c r="G1085" s="20" t="str">
        <x:v>L018</x:v>
      </x:c>
      <x:c r="H1085" s="20" t="str">
        <x:v>1000 Operating Cash</x:v>
      </x:c>
      <x:c r="I1085" s="26" t="n">
        <x:v>1500</x:v>
      </x:c>
      <x:c r="J1085" s="26" t="n">
        <x:v>0</x:v>
      </x:c>
      <x:c r="K1085" s="35" t="str">
        <x:v>Receipt allocated to FIN-00538</x:v>
      </x:c>
    </x:row>
    <x:row r="1086">
      <x:c r="A1086" s="20" t="str">
        <x:v>FIN-00539</x:v>
      </x:c>
      <x:c r="B1086" s="32" t="n">
        <x:v>2</x:v>
      </x:c>
      <x:c r="C1086" s="23" t="n">
        <x:v>46571</x:v>
      </x:c>
      <x:c r="D1086" s="23" t="n">
        <x:v>46571</x:v>
      </x:c>
      <x:c r="E1086" s="20" t="str">
        <x:v>P018</x:v>
      </x:c>
      <x:c r="F1086" s="20" t="str">
        <x:v>U018</x:v>
      </x:c>
      <x:c r="G1086" s="20" t="str">
        <x:v>L018</x:v>
      </x:c>
      <x:c r="H1086" s="20" t="str">
        <x:v>1100 Tenant Accounts Receivable</x:v>
      </x:c>
      <x:c r="I1086" s="26" t="n">
        <x:v>0</x:v>
      </x:c>
      <x:c r="J1086" s="26" t="n">
        <x:v>1500</x:v>
      </x:c>
      <x:c r="K1086" s="35" t="str">
        <x:v>Receipt allocated to FIN-00538</x:v>
      </x:c>
    </x:row>
    <x:row r="1087">
      <x:c r="A1087" s="20" t="str">
        <x:v>FIN-00540</x:v>
      </x:c>
      <x:c r="B1087" s="32" t="n">
        <x:v>1</x:v>
      </x:c>
      <x:c r="C1087" s="23" t="n">
        <x:v>46569</x:v>
      </x:c>
      <x:c r="D1087" s="23" t="n">
        <x:v>46569</x:v>
      </x:c>
      <x:c r="E1087" s="20" t="str">
        <x:v>P019</x:v>
      </x:c>
      <x:c r="F1087" s="20" t="str">
        <x:v>U019</x:v>
      </x:c>
      <x:c r="G1087" s="20" t="str">
        <x:v>L019</x:v>
      </x:c>
      <x:c r="H1087" s="20" t="str">
        <x:v>1100 Tenant Accounts Receivable</x:v>
      </x:c>
      <x:c r="I1087" s="26" t="n">
        <x:v>1125</x:v>
      </x:c>
      <x:c r="J1087" s="26" t="n">
        <x:v>0</x:v>
      </x:c>
      <x:c r="K1087" s="35" t="str">
        <x:v>July 2027 rent</x:v>
      </x:c>
    </x:row>
    <x:row r="1088">
      <x:c r="A1088" s="20" t="str">
        <x:v>FIN-00540</x:v>
      </x:c>
      <x:c r="B1088" s="32" t="n">
        <x:v>2</x:v>
      </x:c>
      <x:c r="C1088" s="23" t="n">
        <x:v>46569</x:v>
      </x:c>
      <x:c r="D1088" s="23" t="n">
        <x:v>46569</x:v>
      </x:c>
      <x:c r="E1088" s="20" t="str">
        <x:v>P019</x:v>
      </x:c>
      <x:c r="F1088" s="20" t="str">
        <x:v>U019</x:v>
      </x:c>
      <x:c r="G1088" s="20" t="str">
        <x:v>L019</x:v>
      </x:c>
      <x:c r="H1088" s="20" t="str">
        <x:v>4000 Rental Income</x:v>
      </x:c>
      <x:c r="I1088" s="26" t="n">
        <x:v>0</x:v>
      </x:c>
      <x:c r="J1088" s="26" t="n">
        <x:v>1125</x:v>
      </x:c>
      <x:c r="K1088" s="35" t="str">
        <x:v>July 2027 rent</x:v>
      </x:c>
    </x:row>
    <x:row r="1089">
      <x:c r="A1089" s="20" t="str">
        <x:v>FIN-00541</x:v>
      </x:c>
      <x:c r="B1089" s="32" t="n">
        <x:v>1</x:v>
      </x:c>
      <x:c r="C1089" s="23" t="n">
        <x:v>46572</x:v>
      </x:c>
      <x:c r="D1089" s="23" t="n">
        <x:v>46572</x:v>
      </x:c>
      <x:c r="E1089" s="20" t="str">
        <x:v>P019</x:v>
      </x:c>
      <x:c r="F1089" s="20" t="str">
        <x:v>U019</x:v>
      </x:c>
      <x:c r="G1089" s="20" t="str">
        <x:v>L019</x:v>
      </x:c>
      <x:c r="H1089" s="20" t="str">
        <x:v>1000 Operating Cash</x:v>
      </x:c>
      <x:c r="I1089" s="26" t="n">
        <x:v>1125</x:v>
      </x:c>
      <x:c r="J1089" s="26" t="n">
        <x:v>0</x:v>
      </x:c>
      <x:c r="K1089" s="35" t="str">
        <x:v>Receipt allocated to FIN-00540</x:v>
      </x:c>
    </x:row>
    <x:row r="1090">
      <x:c r="A1090" s="20" t="str">
        <x:v>FIN-00541</x:v>
      </x:c>
      <x:c r="B1090" s="32" t="n">
        <x:v>2</x:v>
      </x:c>
      <x:c r="C1090" s="23" t="n">
        <x:v>46572</x:v>
      </x:c>
      <x:c r="D1090" s="23" t="n">
        <x:v>46572</x:v>
      </x:c>
      <x:c r="E1090" s="20" t="str">
        <x:v>P019</x:v>
      </x:c>
      <x:c r="F1090" s="20" t="str">
        <x:v>U019</x:v>
      </x:c>
      <x:c r="G1090" s="20" t="str">
        <x:v>L019</x:v>
      </x:c>
      <x:c r="H1090" s="20" t="str">
        <x:v>1100 Tenant Accounts Receivable</x:v>
      </x:c>
      <x:c r="I1090" s="26" t="n">
        <x:v>0</x:v>
      </x:c>
      <x:c r="J1090" s="26" t="n">
        <x:v>1125</x:v>
      </x:c>
      <x:c r="K1090" s="35" t="str">
        <x:v>Receipt allocated to FIN-00540</x:v>
      </x:c>
    </x:row>
    <x:row r="1091">
      <x:c r="A1091" s="20" t="str">
        <x:v>FIN-00542</x:v>
      </x:c>
      <x:c r="B1091" s="32" t="n">
        <x:v>1</x:v>
      </x:c>
      <x:c r="C1091" s="23" t="n">
        <x:v>46569</x:v>
      </x:c>
      <x:c r="D1091" s="23" t="n">
        <x:v>46569</x:v>
      </x:c>
      <x:c r="E1091" s="20" t="str">
        <x:v>P020</x:v>
      </x:c>
      <x:c r="F1091" s="20" t="str">
        <x:v>U020</x:v>
      </x:c>
      <x:c r="G1091" s="20" t="str">
        <x:v>L020</x:v>
      </x:c>
      <x:c r="H1091" s="20" t="str">
        <x:v>1100 Tenant Accounts Receivable</x:v>
      </x:c>
      <x:c r="I1091" s="26" t="n">
        <x:v>1650</x:v>
      </x:c>
      <x:c r="J1091" s="26" t="n">
        <x:v>0</x:v>
      </x:c>
      <x:c r="K1091" s="35" t="str">
        <x:v>July 2027 rent</x:v>
      </x:c>
    </x:row>
    <x:row r="1092">
      <x:c r="A1092" s="20" t="str">
        <x:v>FIN-00542</x:v>
      </x:c>
      <x:c r="B1092" s="32" t="n">
        <x:v>2</x:v>
      </x:c>
      <x:c r="C1092" s="23" t="n">
        <x:v>46569</x:v>
      </x:c>
      <x:c r="D1092" s="23" t="n">
        <x:v>46569</x:v>
      </x:c>
      <x:c r="E1092" s="20" t="str">
        <x:v>P020</x:v>
      </x:c>
      <x:c r="F1092" s="20" t="str">
        <x:v>U020</x:v>
      </x:c>
      <x:c r="G1092" s="20" t="str">
        <x:v>L020</x:v>
      </x:c>
      <x:c r="H1092" s="20" t="str">
        <x:v>4000 Rental Income</x:v>
      </x:c>
      <x:c r="I1092" s="26" t="n">
        <x:v>0</x:v>
      </x:c>
      <x:c r="J1092" s="26" t="n">
        <x:v>1650</x:v>
      </x:c>
      <x:c r="K1092" s="35" t="str">
        <x:v>July 2027 rent</x:v>
      </x:c>
    </x:row>
    <x:row r="1093">
      <x:c r="A1093" s="20" t="str">
        <x:v>FIN-00543</x:v>
      </x:c>
      <x:c r="B1093" s="32" t="n">
        <x:v>1</x:v>
      </x:c>
      <x:c r="C1093" s="23" t="n">
        <x:v>46573</x:v>
      </x:c>
      <x:c r="D1093" s="23" t="n">
        <x:v>46573</x:v>
      </x:c>
      <x:c r="E1093" s="20" t="str">
        <x:v>P020</x:v>
      </x:c>
      <x:c r="F1093" s="20" t="str">
        <x:v>U020</x:v>
      </x:c>
      <x:c r="G1093" s="20" t="str">
        <x:v>L020</x:v>
      </x:c>
      <x:c r="H1093" s="20" t="str">
        <x:v>1000 Operating Cash</x:v>
      </x:c>
      <x:c r="I1093" s="26" t="n">
        <x:v>1650</x:v>
      </x:c>
      <x:c r="J1093" s="26" t="n">
        <x:v>0</x:v>
      </x:c>
      <x:c r="K1093" s="35" t="str">
        <x:v>Receipt allocated to FIN-00542</x:v>
      </x:c>
    </x:row>
    <x:row r="1094">
      <x:c r="A1094" s="20" t="str">
        <x:v>FIN-00543</x:v>
      </x:c>
      <x:c r="B1094" s="32" t="n">
        <x:v>2</x:v>
      </x:c>
      <x:c r="C1094" s="23" t="n">
        <x:v>46573</x:v>
      </x:c>
      <x:c r="D1094" s="23" t="n">
        <x:v>46573</x:v>
      </x:c>
      <x:c r="E1094" s="20" t="str">
        <x:v>P020</x:v>
      </x:c>
      <x:c r="F1094" s="20" t="str">
        <x:v>U020</x:v>
      </x:c>
      <x:c r="G1094" s="20" t="str">
        <x:v>L020</x:v>
      </x:c>
      <x:c r="H1094" s="20" t="str">
        <x:v>1100 Tenant Accounts Receivable</x:v>
      </x:c>
      <x:c r="I1094" s="26" t="n">
        <x:v>0</x:v>
      </x:c>
      <x:c r="J1094" s="26" t="n">
        <x:v>1650</x:v>
      </x:c>
      <x:c r="K1094" s="35" t="str">
        <x:v>Receipt allocated to FIN-00542</x:v>
      </x:c>
    </x:row>
    <x:row r="1095">
      <x:c r="A1095" s="20" t="str">
        <x:v>FIN-00544</x:v>
      </x:c>
      <x:c r="B1095" s="32" t="n">
        <x:v>1</x:v>
      </x:c>
      <x:c r="C1095" s="23" t="n">
        <x:v>46569</x:v>
      </x:c>
      <x:c r="D1095" s="23" t="n">
        <x:v>46569</x:v>
      </x:c>
      <x:c r="E1095" s="20" t="str">
        <x:v>P021</x:v>
      </x:c>
      <x:c r="F1095" s="20" t="str">
        <x:v>U021</x:v>
      </x:c>
      <x:c r="G1095" s="20" t="str">
        <x:v>L021</x:v>
      </x:c>
      <x:c r="H1095" s="20" t="str">
        <x:v>1100 Tenant Accounts Receivable</x:v>
      </x:c>
      <x:c r="I1095" s="26" t="n">
        <x:v>1375</x:v>
      </x:c>
      <x:c r="J1095" s="26" t="n">
        <x:v>0</x:v>
      </x:c>
      <x:c r="K1095" s="35" t="str">
        <x:v>July 2027 rent</x:v>
      </x:c>
    </x:row>
    <x:row r="1096">
      <x:c r="A1096" s="20" t="str">
        <x:v>FIN-00544</x:v>
      </x:c>
      <x:c r="B1096" s="32" t="n">
        <x:v>2</x:v>
      </x:c>
      <x:c r="C1096" s="23" t="n">
        <x:v>46569</x:v>
      </x:c>
      <x:c r="D1096" s="23" t="n">
        <x:v>46569</x:v>
      </x:c>
      <x:c r="E1096" s="20" t="str">
        <x:v>P021</x:v>
      </x:c>
      <x:c r="F1096" s="20" t="str">
        <x:v>U021</x:v>
      </x:c>
      <x:c r="G1096" s="20" t="str">
        <x:v>L021</x:v>
      </x:c>
      <x:c r="H1096" s="20" t="str">
        <x:v>4000 Rental Income</x:v>
      </x:c>
      <x:c r="I1096" s="26" t="n">
        <x:v>0</x:v>
      </x:c>
      <x:c r="J1096" s="26" t="n">
        <x:v>1375</x:v>
      </x:c>
      <x:c r="K1096" s="35" t="str">
        <x:v>July 2027 rent</x:v>
      </x:c>
    </x:row>
    <x:row r="1097">
      <x:c r="A1097" s="20" t="str">
        <x:v>FIN-00545</x:v>
      </x:c>
      <x:c r="B1097" s="32" t="n">
        <x:v>1</x:v>
      </x:c>
      <x:c r="C1097" s="23" t="n">
        <x:v>46571</x:v>
      </x:c>
      <x:c r="D1097" s="23" t="n">
        <x:v>46571</x:v>
      </x:c>
      <x:c r="E1097" s="20" t="str">
        <x:v>P021</x:v>
      </x:c>
      <x:c r="F1097" s="20" t="str">
        <x:v>U021</x:v>
      </x:c>
      <x:c r="G1097" s="20" t="str">
        <x:v>L021</x:v>
      </x:c>
      <x:c r="H1097" s="20" t="str">
        <x:v>1000 Operating Cash</x:v>
      </x:c>
      <x:c r="I1097" s="26" t="n">
        <x:v>1375</x:v>
      </x:c>
      <x:c r="J1097" s="26" t="n">
        <x:v>0</x:v>
      </x:c>
      <x:c r="K1097" s="35" t="str">
        <x:v>Receipt allocated to FIN-00544</x:v>
      </x:c>
    </x:row>
    <x:row r="1098">
      <x:c r="A1098" s="20" t="str">
        <x:v>FIN-00545</x:v>
      </x:c>
      <x:c r="B1098" s="32" t="n">
        <x:v>2</x:v>
      </x:c>
      <x:c r="C1098" s="23" t="n">
        <x:v>46571</x:v>
      </x:c>
      <x:c r="D1098" s="23" t="n">
        <x:v>46571</x:v>
      </x:c>
      <x:c r="E1098" s="20" t="str">
        <x:v>P021</x:v>
      </x:c>
      <x:c r="F1098" s="20" t="str">
        <x:v>U021</x:v>
      </x:c>
      <x:c r="G1098" s="20" t="str">
        <x:v>L021</x:v>
      </x:c>
      <x:c r="H1098" s="20" t="str">
        <x:v>1100 Tenant Accounts Receivable</x:v>
      </x:c>
      <x:c r="I1098" s="26" t="n">
        <x:v>0</x:v>
      </x:c>
      <x:c r="J1098" s="26" t="n">
        <x:v>1375</x:v>
      </x:c>
      <x:c r="K1098" s="35" t="str">
        <x:v>Receipt allocated to FIN-00544</x:v>
      </x:c>
    </x:row>
    <x:row r="1099">
      <x:c r="A1099" s="20" t="str">
        <x:v>FIN-00546</x:v>
      </x:c>
      <x:c r="B1099" s="32" t="n">
        <x:v>1</x:v>
      </x:c>
      <x:c r="C1099" s="23" t="n">
        <x:v>46569</x:v>
      </x:c>
      <x:c r="D1099" s="23" t="n">
        <x:v>46569</x:v>
      </x:c>
      <x:c r="E1099" s="20" t="str">
        <x:v>P021</x:v>
      </x:c>
      <x:c r="F1099" s="20" t="str">
        <x:v>U022</x:v>
      </x:c>
      <x:c r="G1099" s="20" t="str">
        <x:v>L022</x:v>
      </x:c>
      <x:c r="H1099" s="20" t="str">
        <x:v>1100 Tenant Accounts Receivable</x:v>
      </x:c>
      <x:c r="I1099" s="26" t="n">
        <x:v>1900</x:v>
      </x:c>
      <x:c r="J1099" s="26" t="n">
        <x:v>0</x:v>
      </x:c>
      <x:c r="K1099" s="35" t="str">
        <x:v>July 2027 rent</x:v>
      </x:c>
    </x:row>
    <x:row r="1100">
      <x:c r="A1100" s="20" t="str">
        <x:v>FIN-00546</x:v>
      </x:c>
      <x:c r="B1100" s="32" t="n">
        <x:v>2</x:v>
      </x:c>
      <x:c r="C1100" s="23" t="n">
        <x:v>46569</x:v>
      </x:c>
      <x:c r="D1100" s="23" t="n">
        <x:v>46569</x:v>
      </x:c>
      <x:c r="E1100" s="20" t="str">
        <x:v>P021</x:v>
      </x:c>
      <x:c r="F1100" s="20" t="str">
        <x:v>U022</x:v>
      </x:c>
      <x:c r="G1100" s="20" t="str">
        <x:v>L022</x:v>
      </x:c>
      <x:c r="H1100" s="20" t="str">
        <x:v>4000 Rental Income</x:v>
      </x:c>
      <x:c r="I1100" s="26" t="n">
        <x:v>0</x:v>
      </x:c>
      <x:c r="J1100" s="26" t="n">
        <x:v>1900</x:v>
      </x:c>
      <x:c r="K1100" s="35" t="str">
        <x:v>July 2027 rent</x:v>
      </x:c>
    </x:row>
    <x:row r="1101">
      <x:c r="A1101" s="20" t="str">
        <x:v>FIN-00547</x:v>
      </x:c>
      <x:c r="B1101" s="32" t="n">
        <x:v>1</x:v>
      </x:c>
      <x:c r="C1101" s="23" t="n">
        <x:v>46571</x:v>
      </x:c>
      <x:c r="D1101" s="23" t="n">
        <x:v>46571</x:v>
      </x:c>
      <x:c r="E1101" s="20" t="str">
        <x:v>P021</x:v>
      </x:c>
      <x:c r="F1101" s="20" t="str">
        <x:v>U022</x:v>
      </x:c>
      <x:c r="G1101" s="20" t="str">
        <x:v>L022</x:v>
      </x:c>
      <x:c r="H1101" s="20" t="str">
        <x:v>1000 Operating Cash</x:v>
      </x:c>
      <x:c r="I1101" s="26" t="n">
        <x:v>1140</x:v>
      </x:c>
      <x:c r="J1101" s="26" t="n">
        <x:v>0</x:v>
      </x:c>
      <x:c r="K1101" s="35" t="str">
        <x:v>Receipt allocated to FIN-00546</x:v>
      </x:c>
    </x:row>
    <x:row r="1102">
      <x:c r="A1102" s="20" t="str">
        <x:v>FIN-00547</x:v>
      </x:c>
      <x:c r="B1102" s="32" t="n">
        <x:v>2</x:v>
      </x:c>
      <x:c r="C1102" s="23" t="n">
        <x:v>46571</x:v>
      </x:c>
      <x:c r="D1102" s="23" t="n">
        <x:v>46571</x:v>
      </x:c>
      <x:c r="E1102" s="20" t="str">
        <x:v>P021</x:v>
      </x:c>
      <x:c r="F1102" s="20" t="str">
        <x:v>U022</x:v>
      </x:c>
      <x:c r="G1102" s="20" t="str">
        <x:v>L022</x:v>
      </x:c>
      <x:c r="H1102" s="20" t="str">
        <x:v>1100 Tenant Accounts Receivable</x:v>
      </x:c>
      <x:c r="I1102" s="26" t="n">
        <x:v>0</x:v>
      </x:c>
      <x:c r="J1102" s="26" t="n">
        <x:v>1140</x:v>
      </x:c>
      <x:c r="K1102" s="35" t="str">
        <x:v>Receipt allocated to FIN-00546</x:v>
      </x:c>
    </x:row>
    <x:row r="1103">
      <x:c r="A1103" s="20" t="str">
        <x:v>FIN-00548</x:v>
      </x:c>
      <x:c r="B1103" s="32" t="n">
        <x:v>1</x:v>
      </x:c>
      <x:c r="C1103" s="23" t="n">
        <x:v>46574</x:v>
      </x:c>
      <x:c r="D1103" s="23" t="n">
        <x:v>46574</x:v>
      </x:c>
      <x:c r="E1103" s="20" t="str">
        <x:v>P021</x:v>
      </x:c>
      <x:c r="F1103" s="20" t="str">
        <x:v>U022</x:v>
      </x:c>
      <x:c r="G1103" s="20" t="str">
        <x:v>L022</x:v>
      </x:c>
      <x:c r="H1103" s="20" t="str">
        <x:v>1100 Tenant Accounts Receivable</x:v>
      </x:c>
      <x:c r="I1103" s="26" t="n">
        <x:v>50</x:v>
      </x:c>
      <x:c r="J1103" s="26" t="n">
        <x:v>0</x:v>
      </x:c>
      <x:c r="K1103" s="35" t="str">
        <x:v>Synthetic lease-authorized late fee after partial payment</x:v>
      </x:c>
    </x:row>
    <x:row r="1104">
      <x:c r="A1104" s="20" t="str">
        <x:v>FIN-00548</x:v>
      </x:c>
      <x:c r="B1104" s="32" t="n">
        <x:v>2</x:v>
      </x:c>
      <x:c r="C1104" s="23" t="n">
        <x:v>46574</x:v>
      </x:c>
      <x:c r="D1104" s="23" t="n">
        <x:v>46574</x:v>
      </x:c>
      <x:c r="E1104" s="20" t="str">
        <x:v>P021</x:v>
      </x:c>
      <x:c r="F1104" s="20" t="str">
        <x:v>U022</x:v>
      </x:c>
      <x:c r="G1104" s="20" t="str">
        <x:v>L022</x:v>
      </x:c>
      <x:c r="H1104" s="20" t="str">
        <x:v>4010 Late Fee Income</x:v>
      </x:c>
      <x:c r="I1104" s="26" t="n">
        <x:v>0</x:v>
      </x:c>
      <x:c r="J1104" s="26" t="n">
        <x:v>50</x:v>
      </x:c>
      <x:c r="K1104" s="35" t="str">
        <x:v>Synthetic lease-authorized late fee after partial payment</x:v>
      </x:c>
    </x:row>
    <x:row r="1105">
      <x:c r="A1105" s="20" t="str">
        <x:v>FIN-00549</x:v>
      </x:c>
      <x:c r="B1105" s="32" t="n">
        <x:v>1</x:v>
      </x:c>
      <x:c r="C1105" s="23" t="n">
        <x:v>46580</x:v>
      </x:c>
      <x:c r="D1105" s="23" t="n">
        <x:v>46580</x:v>
      </x:c>
      <x:c r="E1105" s="20" t="str">
        <x:v>P021</x:v>
      </x:c>
      <x:c r="F1105" s="20" t="str">
        <x:v>U022</x:v>
      </x:c>
      <x:c r="G1105" s="20" t="str">
        <x:v>L022</x:v>
      </x:c>
      <x:c r="H1105" s="20" t="str">
        <x:v>1000 Operating Cash</x:v>
      </x:c>
      <x:c r="I1105" s="26" t="n">
        <x:v>810</x:v>
      </x:c>
      <x:c r="J1105" s="26" t="n">
        <x:v>0</x:v>
      </x:c>
      <x:c r="K1105" s="35" t="str">
        <x:v>Receipt allocated to FIN-00548</x:v>
      </x:c>
    </x:row>
    <x:row r="1106">
      <x:c r="A1106" s="20" t="str">
        <x:v>FIN-00549</x:v>
      </x:c>
      <x:c r="B1106" s="32" t="n">
        <x:v>2</x:v>
      </x:c>
      <x:c r="C1106" s="23" t="n">
        <x:v>46580</x:v>
      </x:c>
      <x:c r="D1106" s="23" t="n">
        <x:v>46580</x:v>
      </x:c>
      <x:c r="E1106" s="20" t="str">
        <x:v>P021</x:v>
      </x:c>
      <x:c r="F1106" s="20" t="str">
        <x:v>U022</x:v>
      </x:c>
      <x:c r="G1106" s="20" t="str">
        <x:v>L022</x:v>
      </x:c>
      <x:c r="H1106" s="20" t="str">
        <x:v>1100 Tenant Accounts Receivable</x:v>
      </x:c>
      <x:c r="I1106" s="26" t="n">
        <x:v>0</x:v>
      </x:c>
      <x:c r="J1106" s="26" t="n">
        <x:v>810</x:v>
      </x:c>
      <x:c r="K1106" s="35" t="str">
        <x:v>Receipt allocated to FIN-00548</x:v>
      </x:c>
    </x:row>
    <x:row r="1107">
      <x:c r="A1107" s="20" t="str">
        <x:v>FIN-00550</x:v>
      </x:c>
      <x:c r="B1107" s="32" t="n">
        <x:v>1</x:v>
      </x:c>
      <x:c r="C1107" s="23" t="n">
        <x:v>46569</x:v>
      </x:c>
      <x:c r="D1107" s="23" t="n">
        <x:v>46569</x:v>
      </x:c>
      <x:c r="E1107" s="20" t="str">
        <x:v>P022</x:v>
      </x:c>
      <x:c r="F1107" s="20" t="str">
        <x:v>U023</x:v>
      </x:c>
      <x:c r="G1107" s="20" t="str">
        <x:v>L023</x:v>
      </x:c>
      <x:c r="H1107" s="20" t="str">
        <x:v>1100 Tenant Accounts Receivable</x:v>
      </x:c>
      <x:c r="I1107" s="26" t="n">
        <x:v>1525</x:v>
      </x:c>
      <x:c r="J1107" s="26" t="n">
        <x:v>0</x:v>
      </x:c>
      <x:c r="K1107" s="35" t="str">
        <x:v>July 2027 rent</x:v>
      </x:c>
    </x:row>
    <x:row r="1108">
      <x:c r="A1108" s="20" t="str">
        <x:v>FIN-00550</x:v>
      </x:c>
      <x:c r="B1108" s="32" t="n">
        <x:v>2</x:v>
      </x:c>
      <x:c r="C1108" s="23" t="n">
        <x:v>46569</x:v>
      </x:c>
      <x:c r="D1108" s="23" t="n">
        <x:v>46569</x:v>
      </x:c>
      <x:c r="E1108" s="20" t="str">
        <x:v>P022</x:v>
      </x:c>
      <x:c r="F1108" s="20" t="str">
        <x:v>U023</x:v>
      </x:c>
      <x:c r="G1108" s="20" t="str">
        <x:v>L023</x:v>
      </x:c>
      <x:c r="H1108" s="20" t="str">
        <x:v>4000 Rental Income</x:v>
      </x:c>
      <x:c r="I1108" s="26" t="n">
        <x:v>0</x:v>
      </x:c>
      <x:c r="J1108" s="26" t="n">
        <x:v>1525</x:v>
      </x:c>
      <x:c r="K1108" s="35" t="str">
        <x:v>July 2027 rent</x:v>
      </x:c>
    </x:row>
    <x:row r="1109">
      <x:c r="A1109" s="20" t="str">
        <x:v>FIN-00551</x:v>
      </x:c>
      <x:c r="B1109" s="32" t="n">
        <x:v>1</x:v>
      </x:c>
      <x:c r="C1109" s="23" t="n">
        <x:v>46573</x:v>
      </x:c>
      <x:c r="D1109" s="23" t="n">
        <x:v>46573</x:v>
      </x:c>
      <x:c r="E1109" s="20" t="str">
        <x:v>P022</x:v>
      </x:c>
      <x:c r="F1109" s="20" t="str">
        <x:v>U023</x:v>
      </x:c>
      <x:c r="G1109" s="20" t="str">
        <x:v>L023</x:v>
      </x:c>
      <x:c r="H1109" s="20" t="str">
        <x:v>1000 Operating Cash</x:v>
      </x:c>
      <x:c r="I1109" s="26" t="n">
        <x:v>1525</x:v>
      </x:c>
      <x:c r="J1109" s="26" t="n">
        <x:v>0</x:v>
      </x:c>
      <x:c r="K1109" s="35" t="str">
        <x:v>Receipt allocated to FIN-00550</x:v>
      </x:c>
    </x:row>
    <x:row r="1110">
      <x:c r="A1110" s="20" t="str">
        <x:v>FIN-00551</x:v>
      </x:c>
      <x:c r="B1110" s="32" t="n">
        <x:v>2</x:v>
      </x:c>
      <x:c r="C1110" s="23" t="n">
        <x:v>46573</x:v>
      </x:c>
      <x:c r="D1110" s="23" t="n">
        <x:v>46573</x:v>
      </x:c>
      <x:c r="E1110" s="20" t="str">
        <x:v>P022</x:v>
      </x:c>
      <x:c r="F1110" s="20" t="str">
        <x:v>U023</x:v>
      </x:c>
      <x:c r="G1110" s="20" t="str">
        <x:v>L023</x:v>
      </x:c>
      <x:c r="H1110" s="20" t="str">
        <x:v>1100 Tenant Accounts Receivable</x:v>
      </x:c>
      <x:c r="I1110" s="26" t="n">
        <x:v>0</x:v>
      </x:c>
      <x:c r="J1110" s="26" t="n">
        <x:v>1525</x:v>
      </x:c>
      <x:c r="K1110" s="35" t="str">
        <x:v>Receipt allocated to FIN-00550</x:v>
      </x:c>
    </x:row>
    <x:row r="1111">
      <x:c r="A1111" s="20" t="str">
        <x:v>FIN-00552</x:v>
      </x:c>
      <x:c r="B1111" s="32" t="n">
        <x:v>1</x:v>
      </x:c>
      <x:c r="C1111" s="23" t="n">
        <x:v>46569</x:v>
      </x:c>
      <x:c r="D1111" s="23" t="n">
        <x:v>46569</x:v>
      </x:c>
      <x:c r="E1111" s="20" t="str">
        <x:v>P022</x:v>
      </x:c>
      <x:c r="F1111" s="20" t="str">
        <x:v>U024</x:v>
      </x:c>
      <x:c r="G1111" s="20" t="str">
        <x:v>L024</x:v>
      </x:c>
      <x:c r="H1111" s="20" t="str">
        <x:v>1100 Tenant Accounts Receivable</x:v>
      </x:c>
      <x:c r="I1111" s="26" t="n">
        <x:v>1150</x:v>
      </x:c>
      <x:c r="J1111" s="26" t="n">
        <x:v>0</x:v>
      </x:c>
      <x:c r="K1111" s="35" t="str">
        <x:v>July 2027 rent</x:v>
      </x:c>
    </x:row>
    <x:row r="1112">
      <x:c r="A1112" s="20" t="str">
        <x:v>FIN-00552</x:v>
      </x:c>
      <x:c r="B1112" s="32" t="n">
        <x:v>2</x:v>
      </x:c>
      <x:c r="C1112" s="23" t="n">
        <x:v>46569</x:v>
      </x:c>
      <x:c r="D1112" s="23" t="n">
        <x:v>46569</x:v>
      </x:c>
      <x:c r="E1112" s="20" t="str">
        <x:v>P022</x:v>
      </x:c>
      <x:c r="F1112" s="20" t="str">
        <x:v>U024</x:v>
      </x:c>
      <x:c r="G1112" s="20" t="str">
        <x:v>L024</x:v>
      </x:c>
      <x:c r="H1112" s="20" t="str">
        <x:v>4000 Rental Income</x:v>
      </x:c>
      <x:c r="I1112" s="26" t="n">
        <x:v>0</x:v>
      </x:c>
      <x:c r="J1112" s="26" t="n">
        <x:v>1150</x:v>
      </x:c>
      <x:c r="K1112" s="35" t="str">
        <x:v>July 2027 rent</x:v>
      </x:c>
    </x:row>
    <x:row r="1113">
      <x:c r="A1113" s="20" t="str">
        <x:v>FIN-00553</x:v>
      </x:c>
      <x:c r="B1113" s="32" t="n">
        <x:v>1</x:v>
      </x:c>
      <x:c r="C1113" s="23" t="n">
        <x:v>46571</x:v>
      </x:c>
      <x:c r="D1113" s="23" t="n">
        <x:v>46571</x:v>
      </x:c>
      <x:c r="E1113" s="20" t="str">
        <x:v>P022</x:v>
      </x:c>
      <x:c r="F1113" s="20" t="str">
        <x:v>U024</x:v>
      </x:c>
      <x:c r="G1113" s="20" t="str">
        <x:v>L024</x:v>
      </x:c>
      <x:c r="H1113" s="20" t="str">
        <x:v>1000 Operating Cash</x:v>
      </x:c>
      <x:c r="I1113" s="26" t="n">
        <x:v>1150</x:v>
      </x:c>
      <x:c r="J1113" s="26" t="n">
        <x:v>0</x:v>
      </x:c>
      <x:c r="K1113" s="35" t="str">
        <x:v>Receipt allocated to FIN-00552</x:v>
      </x:c>
    </x:row>
    <x:row r="1114">
      <x:c r="A1114" s="20" t="str">
        <x:v>FIN-00553</x:v>
      </x:c>
      <x:c r="B1114" s="32" t="n">
        <x:v>2</x:v>
      </x:c>
      <x:c r="C1114" s="23" t="n">
        <x:v>46571</x:v>
      </x:c>
      <x:c r="D1114" s="23" t="n">
        <x:v>46571</x:v>
      </x:c>
      <x:c r="E1114" s="20" t="str">
        <x:v>P022</x:v>
      </x:c>
      <x:c r="F1114" s="20" t="str">
        <x:v>U024</x:v>
      </x:c>
      <x:c r="G1114" s="20" t="str">
        <x:v>L024</x:v>
      </x:c>
      <x:c r="H1114" s="20" t="str">
        <x:v>1100 Tenant Accounts Receivable</x:v>
      </x:c>
      <x:c r="I1114" s="26" t="n">
        <x:v>0</x:v>
      </x:c>
      <x:c r="J1114" s="26" t="n">
        <x:v>1150</x:v>
      </x:c>
      <x:c r="K1114" s="35" t="str">
        <x:v>Receipt allocated to FIN-00552</x:v>
      </x:c>
    </x:row>
    <x:row r="1115">
      <x:c r="A1115" s="20" t="str">
        <x:v>FIN-00554</x:v>
      </x:c>
      <x:c r="B1115" s="32" t="n">
        <x:v>1</x:v>
      </x:c>
      <x:c r="C1115" s="23" t="n">
        <x:v>46569</x:v>
      </x:c>
      <x:c r="D1115" s="23" t="n">
        <x:v>46569</x:v>
      </x:c>
      <x:c r="E1115" s="20" t="str">
        <x:v>P023</x:v>
      </x:c>
      <x:c r="F1115" s="20" t="str">
        <x:v>U025</x:v>
      </x:c>
      <x:c r="G1115" s="20" t="str">
        <x:v>L025</x:v>
      </x:c>
      <x:c r="H1115" s="20" t="str">
        <x:v>1100 Tenant Accounts Receivable</x:v>
      </x:c>
      <x:c r="I1115" s="26" t="n">
        <x:v>1675</x:v>
      </x:c>
      <x:c r="J1115" s="26" t="n">
        <x:v>0</x:v>
      </x:c>
      <x:c r="K1115" s="35" t="str">
        <x:v>July 2027 rent</x:v>
      </x:c>
    </x:row>
    <x:row r="1116">
      <x:c r="A1116" s="20" t="str">
        <x:v>FIN-00554</x:v>
      </x:c>
      <x:c r="B1116" s="32" t="n">
        <x:v>2</x:v>
      </x:c>
      <x:c r="C1116" s="23" t="n">
        <x:v>46569</x:v>
      </x:c>
      <x:c r="D1116" s="23" t="n">
        <x:v>46569</x:v>
      </x:c>
      <x:c r="E1116" s="20" t="str">
        <x:v>P023</x:v>
      </x:c>
      <x:c r="F1116" s="20" t="str">
        <x:v>U025</x:v>
      </x:c>
      <x:c r="G1116" s="20" t="str">
        <x:v>L025</x:v>
      </x:c>
      <x:c r="H1116" s="20" t="str">
        <x:v>4000 Rental Income</x:v>
      </x:c>
      <x:c r="I1116" s="26" t="n">
        <x:v>0</x:v>
      </x:c>
      <x:c r="J1116" s="26" t="n">
        <x:v>1675</x:v>
      </x:c>
      <x:c r="K1116" s="35" t="str">
        <x:v>July 2027 rent</x:v>
      </x:c>
    </x:row>
    <x:row r="1117">
      <x:c r="A1117" s="20" t="str">
        <x:v>FIN-00555</x:v>
      </x:c>
      <x:c r="B1117" s="32" t="n">
        <x:v>1</x:v>
      </x:c>
      <x:c r="C1117" s="23" t="n">
        <x:v>46572</x:v>
      </x:c>
      <x:c r="D1117" s="23" t="n">
        <x:v>46572</x:v>
      </x:c>
      <x:c r="E1117" s="20" t="str">
        <x:v>P023</x:v>
      </x:c>
      <x:c r="F1117" s="20" t="str">
        <x:v>U025</x:v>
      </x:c>
      <x:c r="G1117" s="20" t="str">
        <x:v>L025</x:v>
      </x:c>
      <x:c r="H1117" s="20" t="str">
        <x:v>1000 Operating Cash</x:v>
      </x:c>
      <x:c r="I1117" s="26" t="n">
        <x:v>1675</x:v>
      </x:c>
      <x:c r="J1117" s="26" t="n">
        <x:v>0</x:v>
      </x:c>
      <x:c r="K1117" s="35" t="str">
        <x:v>Receipt allocated to FIN-00554</x:v>
      </x:c>
    </x:row>
    <x:row r="1118">
      <x:c r="A1118" s="20" t="str">
        <x:v>FIN-00555</x:v>
      </x:c>
      <x:c r="B1118" s="32" t="n">
        <x:v>2</x:v>
      </x:c>
      <x:c r="C1118" s="23" t="n">
        <x:v>46572</x:v>
      </x:c>
      <x:c r="D1118" s="23" t="n">
        <x:v>46572</x:v>
      </x:c>
      <x:c r="E1118" s="20" t="str">
        <x:v>P023</x:v>
      </x:c>
      <x:c r="F1118" s="20" t="str">
        <x:v>U025</x:v>
      </x:c>
      <x:c r="G1118" s="20" t="str">
        <x:v>L025</x:v>
      </x:c>
      <x:c r="H1118" s="20" t="str">
        <x:v>1100 Tenant Accounts Receivable</x:v>
      </x:c>
      <x:c r="I1118" s="26" t="n">
        <x:v>0</x:v>
      </x:c>
      <x:c r="J1118" s="26" t="n">
        <x:v>1675</x:v>
      </x:c>
      <x:c r="K1118" s="35" t="str">
        <x:v>Receipt allocated to FIN-00554</x:v>
      </x:c>
    </x:row>
    <x:row r="1119">
      <x:c r="A1119" s="20" t="str">
        <x:v>FIN-00556</x:v>
      </x:c>
      <x:c r="B1119" s="32" t="n">
        <x:v>1</x:v>
      </x:c>
      <x:c r="C1119" s="23" t="n">
        <x:v>46569</x:v>
      </x:c>
      <x:c r="D1119" s="23" t="n">
        <x:v>46569</x:v>
      </x:c>
      <x:c r="E1119" s="20" t="str">
        <x:v>P023</x:v>
      </x:c>
      <x:c r="F1119" s="20" t="str">
        <x:v>U026</x:v>
      </x:c>
      <x:c r="G1119" s="20" t="str">
        <x:v>L026</x:v>
      </x:c>
      <x:c r="H1119" s="20" t="str">
        <x:v>1100 Tenant Accounts Receivable</x:v>
      </x:c>
      <x:c r="I1119" s="26" t="n">
        <x:v>1300</x:v>
      </x:c>
      <x:c r="J1119" s="26" t="n">
        <x:v>0</x:v>
      </x:c>
      <x:c r="K1119" s="35" t="str">
        <x:v>July 2027 rent</x:v>
      </x:c>
    </x:row>
    <x:row r="1120">
      <x:c r="A1120" s="20" t="str">
        <x:v>FIN-00556</x:v>
      </x:c>
      <x:c r="B1120" s="32" t="n">
        <x:v>2</x:v>
      </x:c>
      <x:c r="C1120" s="23" t="n">
        <x:v>46569</x:v>
      </x:c>
      <x:c r="D1120" s="23" t="n">
        <x:v>46569</x:v>
      </x:c>
      <x:c r="E1120" s="20" t="str">
        <x:v>P023</x:v>
      </x:c>
      <x:c r="F1120" s="20" t="str">
        <x:v>U026</x:v>
      </x:c>
      <x:c r="G1120" s="20" t="str">
        <x:v>L026</x:v>
      </x:c>
      <x:c r="H1120" s="20" t="str">
        <x:v>4000 Rental Income</x:v>
      </x:c>
      <x:c r="I1120" s="26" t="n">
        <x:v>0</x:v>
      </x:c>
      <x:c r="J1120" s="26" t="n">
        <x:v>1300</x:v>
      </x:c>
      <x:c r="K1120" s="35" t="str">
        <x:v>July 2027 rent</x:v>
      </x:c>
    </x:row>
    <x:row r="1121">
      <x:c r="A1121" s="20" t="str">
        <x:v>FIN-00557</x:v>
      </x:c>
      <x:c r="B1121" s="32" t="n">
        <x:v>1</x:v>
      </x:c>
      <x:c r="C1121" s="23" t="n">
        <x:v>46574</x:v>
      </x:c>
      <x:c r="D1121" s="23" t="n">
        <x:v>46574</x:v>
      </x:c>
      <x:c r="E1121" s="20" t="str">
        <x:v>P023</x:v>
      </x:c>
      <x:c r="F1121" s="20" t="str">
        <x:v>U026</x:v>
      </x:c>
      <x:c r="G1121" s="20" t="str">
        <x:v>L026</x:v>
      </x:c>
      <x:c r="H1121" s="20" t="str">
        <x:v>1100 Tenant Accounts Receivable</x:v>
      </x:c>
      <x:c r="I1121" s="26" t="n">
        <x:v>50</x:v>
      </x:c>
      <x:c r="J1121" s="26" t="n">
        <x:v>0</x:v>
      </x:c>
      <x:c r="K1121" s="35" t="str">
        <x:v>Synthetic lease-authorized late fee</x:v>
      </x:c>
    </x:row>
    <x:row r="1122">
      <x:c r="A1122" s="20" t="str">
        <x:v>FIN-00557</x:v>
      </x:c>
      <x:c r="B1122" s="32" t="n">
        <x:v>2</x:v>
      </x:c>
      <x:c r="C1122" s="23" t="n">
        <x:v>46574</x:v>
      </x:c>
      <x:c r="D1122" s="23" t="n">
        <x:v>46574</x:v>
      </x:c>
      <x:c r="E1122" s="20" t="str">
        <x:v>P023</x:v>
      </x:c>
      <x:c r="F1122" s="20" t="str">
        <x:v>U026</x:v>
      </x:c>
      <x:c r="G1122" s="20" t="str">
        <x:v>L026</x:v>
      </x:c>
      <x:c r="H1122" s="20" t="str">
        <x:v>4010 Late Fee Income</x:v>
      </x:c>
      <x:c r="I1122" s="26" t="n">
        <x:v>0</x:v>
      </x:c>
      <x:c r="J1122" s="26" t="n">
        <x:v>50</x:v>
      </x:c>
      <x:c r="K1122" s="35" t="str">
        <x:v>Synthetic lease-authorized late fee</x:v>
      </x:c>
    </x:row>
    <x:row r="1123">
      <x:c r="A1123" s="20" t="str">
        <x:v>FIN-00558</x:v>
      </x:c>
      <x:c r="B1123" s="32" t="n">
        <x:v>1</x:v>
      </x:c>
      <x:c r="C1123" s="23" t="n">
        <x:v>46576</x:v>
      </x:c>
      <x:c r="D1123" s="23" t="n">
        <x:v>46576</x:v>
      </x:c>
      <x:c r="E1123" s="20" t="str">
        <x:v>P023</x:v>
      </x:c>
      <x:c r="F1123" s="20" t="str">
        <x:v>U026</x:v>
      </x:c>
      <x:c r="G1123" s="20" t="str">
        <x:v>L026</x:v>
      </x:c>
      <x:c r="H1123" s="20" t="str">
        <x:v>1000 Operating Cash</x:v>
      </x:c>
      <x:c r="I1123" s="26" t="n">
        <x:v>1350</x:v>
      </x:c>
      <x:c r="J1123" s="26" t="n">
        <x:v>0</x:v>
      </x:c>
      <x:c r="K1123" s="35" t="str">
        <x:v>Receipt allocated to FIN-00557</x:v>
      </x:c>
    </x:row>
    <x:row r="1124">
      <x:c r="A1124" s="20" t="str">
        <x:v>FIN-00558</x:v>
      </x:c>
      <x:c r="B1124" s="32" t="n">
        <x:v>2</x:v>
      </x:c>
      <x:c r="C1124" s="23" t="n">
        <x:v>46576</x:v>
      </x:c>
      <x:c r="D1124" s="23" t="n">
        <x:v>46576</x:v>
      </x:c>
      <x:c r="E1124" s="20" t="str">
        <x:v>P023</x:v>
      </x:c>
      <x:c r="F1124" s="20" t="str">
        <x:v>U026</x:v>
      </x:c>
      <x:c r="G1124" s="20" t="str">
        <x:v>L026</x:v>
      </x:c>
      <x:c r="H1124" s="20" t="str">
        <x:v>1100 Tenant Accounts Receivable</x:v>
      </x:c>
      <x:c r="I1124" s="26" t="n">
        <x:v>0</x:v>
      </x:c>
      <x:c r="J1124" s="26" t="n">
        <x:v>1350</x:v>
      </x:c>
      <x:c r="K1124" s="35" t="str">
        <x:v>Receipt allocated to FIN-00557</x:v>
      </x:c>
    </x:row>
    <x:row r="1125">
      <x:c r="A1125" s="20" t="str">
        <x:v>FIN-00559</x:v>
      </x:c>
      <x:c r="B1125" s="32" t="n">
        <x:v>1</x:v>
      </x:c>
      <x:c r="C1125" s="23" t="n">
        <x:v>46569</x:v>
      </x:c>
      <x:c r="D1125" s="23" t="n">
        <x:v>46569</x:v>
      </x:c>
      <x:c r="E1125" s="20" t="str">
        <x:v>P024</x:v>
      </x:c>
      <x:c r="F1125" s="20" t="str">
        <x:v>U027</x:v>
      </x:c>
      <x:c r="G1125" s="20" t="str">
        <x:v>L027</x:v>
      </x:c>
      <x:c r="H1125" s="20" t="str">
        <x:v>1100 Tenant Accounts Receivable</x:v>
      </x:c>
      <x:c r="I1125" s="26" t="n">
        <x:v>1825</x:v>
      </x:c>
      <x:c r="J1125" s="26" t="n">
        <x:v>0</x:v>
      </x:c>
      <x:c r="K1125" s="35" t="str">
        <x:v>July 2027 rent</x:v>
      </x:c>
    </x:row>
    <x:row r="1126">
      <x:c r="A1126" s="20" t="str">
        <x:v>FIN-00559</x:v>
      </x:c>
      <x:c r="B1126" s="32" t="n">
        <x:v>2</x:v>
      </x:c>
      <x:c r="C1126" s="23" t="n">
        <x:v>46569</x:v>
      </x:c>
      <x:c r="D1126" s="23" t="n">
        <x:v>46569</x:v>
      </x:c>
      <x:c r="E1126" s="20" t="str">
        <x:v>P024</x:v>
      </x:c>
      <x:c r="F1126" s="20" t="str">
        <x:v>U027</x:v>
      </x:c>
      <x:c r="G1126" s="20" t="str">
        <x:v>L027</x:v>
      </x:c>
      <x:c r="H1126" s="20" t="str">
        <x:v>4000 Rental Income</x:v>
      </x:c>
      <x:c r="I1126" s="26" t="n">
        <x:v>0</x:v>
      </x:c>
      <x:c r="J1126" s="26" t="n">
        <x:v>1825</x:v>
      </x:c>
      <x:c r="K1126" s="35" t="str">
        <x:v>July 2027 rent</x:v>
      </x:c>
    </x:row>
    <x:row r="1127">
      <x:c r="A1127" s="20" t="str">
        <x:v>FIN-00560</x:v>
      </x:c>
      <x:c r="B1127" s="32" t="n">
        <x:v>1</x:v>
      </x:c>
      <x:c r="C1127" s="23" t="n">
        <x:v>46571</x:v>
      </x:c>
      <x:c r="D1127" s="23" t="n">
        <x:v>46571</x:v>
      </x:c>
      <x:c r="E1127" s="20" t="str">
        <x:v>P024</x:v>
      </x:c>
      <x:c r="F1127" s="20" t="str">
        <x:v>U027</x:v>
      </x:c>
      <x:c r="G1127" s="20" t="str">
        <x:v>L027</x:v>
      </x:c>
      <x:c r="H1127" s="20" t="str">
        <x:v>1000 Operating Cash</x:v>
      </x:c>
      <x:c r="I1127" s="26" t="n">
        <x:v>1825</x:v>
      </x:c>
      <x:c r="J1127" s="26" t="n">
        <x:v>0</x:v>
      </x:c>
      <x:c r="K1127" s="35" t="str">
        <x:v>Receipt allocated to FIN-00559</x:v>
      </x:c>
    </x:row>
    <x:row r="1128">
      <x:c r="A1128" s="20" t="str">
        <x:v>FIN-00560</x:v>
      </x:c>
      <x:c r="B1128" s="32" t="n">
        <x:v>2</x:v>
      </x:c>
      <x:c r="C1128" s="23" t="n">
        <x:v>46571</x:v>
      </x:c>
      <x:c r="D1128" s="23" t="n">
        <x:v>46571</x:v>
      </x:c>
      <x:c r="E1128" s="20" t="str">
        <x:v>P024</x:v>
      </x:c>
      <x:c r="F1128" s="20" t="str">
        <x:v>U027</x:v>
      </x:c>
      <x:c r="G1128" s="20" t="str">
        <x:v>L027</x:v>
      </x:c>
      <x:c r="H1128" s="20" t="str">
        <x:v>1100 Tenant Accounts Receivable</x:v>
      </x:c>
      <x:c r="I1128" s="26" t="n">
        <x:v>0</x:v>
      </x:c>
      <x:c r="J1128" s="26" t="n">
        <x:v>1825</x:v>
      </x:c>
      <x:c r="K1128" s="35" t="str">
        <x:v>Receipt allocated to FIN-00559</x:v>
      </x:c>
    </x:row>
    <x:row r="1129">
      <x:c r="A1129" s="20" t="str">
        <x:v>FIN-00561</x:v>
      </x:c>
      <x:c r="B1129" s="32" t="n">
        <x:v>1</x:v>
      </x:c>
      <x:c r="C1129" s="23" t="n">
        <x:v>46569</x:v>
      </x:c>
      <x:c r="D1129" s="23" t="n">
        <x:v>46569</x:v>
      </x:c>
      <x:c r="E1129" s="20" t="str">
        <x:v>P024</x:v>
      </x:c>
      <x:c r="F1129" s="20" t="str">
        <x:v>U028</x:v>
      </x:c>
      <x:c r="G1129" s="20" t="str">
        <x:v>L028</x:v>
      </x:c>
      <x:c r="H1129" s="20" t="str">
        <x:v>1100 Tenant Accounts Receivable</x:v>
      </x:c>
      <x:c r="I1129" s="26" t="n">
        <x:v>1450</x:v>
      </x:c>
      <x:c r="J1129" s="26" t="n">
        <x:v>0</x:v>
      </x:c>
      <x:c r="K1129" s="35" t="str">
        <x:v>July 2027 rent</x:v>
      </x:c>
    </x:row>
    <x:row r="1130">
      <x:c r="A1130" s="20" t="str">
        <x:v>FIN-00561</x:v>
      </x:c>
      <x:c r="B1130" s="32" t="n">
        <x:v>2</x:v>
      </x:c>
      <x:c r="C1130" s="23" t="n">
        <x:v>46569</x:v>
      </x:c>
      <x:c r="D1130" s="23" t="n">
        <x:v>46569</x:v>
      </x:c>
      <x:c r="E1130" s="20" t="str">
        <x:v>P024</x:v>
      </x:c>
      <x:c r="F1130" s="20" t="str">
        <x:v>U028</x:v>
      </x:c>
      <x:c r="G1130" s="20" t="str">
        <x:v>L028</x:v>
      </x:c>
      <x:c r="H1130" s="20" t="str">
        <x:v>4000 Rental Income</x:v>
      </x:c>
      <x:c r="I1130" s="26" t="n">
        <x:v>0</x:v>
      </x:c>
      <x:c r="J1130" s="26" t="n">
        <x:v>1450</x:v>
      </x:c>
      <x:c r="K1130" s="35" t="str">
        <x:v>July 2027 rent</x:v>
      </x:c>
    </x:row>
    <x:row r="1131">
      <x:c r="A1131" s="20" t="str">
        <x:v>FIN-00562</x:v>
      </x:c>
      <x:c r="B1131" s="32" t="n">
        <x:v>1</x:v>
      </x:c>
      <x:c r="C1131" s="23" t="n">
        <x:v>46572</x:v>
      </x:c>
      <x:c r="D1131" s="23" t="n">
        <x:v>46572</x:v>
      </x:c>
      <x:c r="E1131" s="20" t="str">
        <x:v>P024</x:v>
      </x:c>
      <x:c r="F1131" s="20" t="str">
        <x:v>U028</x:v>
      </x:c>
      <x:c r="G1131" s="20" t="str">
        <x:v>L028</x:v>
      </x:c>
      <x:c r="H1131" s="20" t="str">
        <x:v>1000 Operating Cash</x:v>
      </x:c>
      <x:c r="I1131" s="26" t="n">
        <x:v>1450</x:v>
      </x:c>
      <x:c r="J1131" s="26" t="n">
        <x:v>0</x:v>
      </x:c>
      <x:c r="K1131" s="35" t="str">
        <x:v>Receipt allocated to FIN-00561</x:v>
      </x:c>
    </x:row>
    <x:row r="1132">
      <x:c r="A1132" s="20" t="str">
        <x:v>FIN-00562</x:v>
      </x:c>
      <x:c r="B1132" s="32" t="n">
        <x:v>2</x:v>
      </x:c>
      <x:c r="C1132" s="23" t="n">
        <x:v>46572</x:v>
      </x:c>
      <x:c r="D1132" s="23" t="n">
        <x:v>46572</x:v>
      </x:c>
      <x:c r="E1132" s="20" t="str">
        <x:v>P024</x:v>
      </x:c>
      <x:c r="F1132" s="20" t="str">
        <x:v>U028</x:v>
      </x:c>
      <x:c r="G1132" s="20" t="str">
        <x:v>L028</x:v>
      </x:c>
      <x:c r="H1132" s="20" t="str">
        <x:v>1100 Tenant Accounts Receivable</x:v>
      </x:c>
      <x:c r="I1132" s="26" t="n">
        <x:v>0</x:v>
      </x:c>
      <x:c r="J1132" s="26" t="n">
        <x:v>1450</x:v>
      </x:c>
      <x:c r="K1132" s="35" t="str">
        <x:v>Receipt allocated to FIN-00561</x:v>
      </x:c>
    </x:row>
    <x:row r="1133">
      <x:c r="A1133" s="20" t="str">
        <x:v>FIN-00563</x:v>
      </x:c>
      <x:c r="B1133" s="32" t="n">
        <x:v>1</x:v>
      </x:c>
      <x:c r="C1133" s="23" t="n">
        <x:v>46569</x:v>
      </x:c>
      <x:c r="D1133" s="23" t="n">
        <x:v>46569</x:v>
      </x:c>
      <x:c r="E1133" s="20" t="str">
        <x:v>P025</x:v>
      </x:c>
      <x:c r="F1133" s="20" t="str">
        <x:v>U029</x:v>
      </x:c>
      <x:c r="G1133" s="20" t="str">
        <x:v>L029</x:v>
      </x:c>
      <x:c r="H1133" s="20" t="str">
        <x:v>1100 Tenant Accounts Receivable</x:v>
      </x:c>
      <x:c r="I1133" s="26" t="n">
        <x:v>1975</x:v>
      </x:c>
      <x:c r="J1133" s="26" t="n">
        <x:v>0</x:v>
      </x:c>
      <x:c r="K1133" s="35" t="str">
        <x:v>July 2027 rent</x:v>
      </x:c>
    </x:row>
    <x:row r="1134">
      <x:c r="A1134" s="20" t="str">
        <x:v>FIN-00563</x:v>
      </x:c>
      <x:c r="B1134" s="32" t="n">
        <x:v>2</x:v>
      </x:c>
      <x:c r="C1134" s="23" t="n">
        <x:v>46569</x:v>
      </x:c>
      <x:c r="D1134" s="23" t="n">
        <x:v>46569</x:v>
      </x:c>
      <x:c r="E1134" s="20" t="str">
        <x:v>P025</x:v>
      </x:c>
      <x:c r="F1134" s="20" t="str">
        <x:v>U029</x:v>
      </x:c>
      <x:c r="G1134" s="20" t="str">
        <x:v>L029</x:v>
      </x:c>
      <x:c r="H1134" s="20" t="str">
        <x:v>4000 Rental Income</x:v>
      </x:c>
      <x:c r="I1134" s="26" t="n">
        <x:v>0</x:v>
      </x:c>
      <x:c r="J1134" s="26" t="n">
        <x:v>1975</x:v>
      </x:c>
      <x:c r="K1134" s="35" t="str">
        <x:v>July 2027 rent</x:v>
      </x:c>
    </x:row>
    <x:row r="1135">
      <x:c r="A1135" s="20" t="str">
        <x:v>FIN-00564</x:v>
      </x:c>
      <x:c r="B1135" s="32" t="n">
        <x:v>1</x:v>
      </x:c>
      <x:c r="C1135" s="23" t="n">
        <x:v>46573</x:v>
      </x:c>
      <x:c r="D1135" s="23" t="n">
        <x:v>46573</x:v>
      </x:c>
      <x:c r="E1135" s="20" t="str">
        <x:v>P025</x:v>
      </x:c>
      <x:c r="F1135" s="20" t="str">
        <x:v>U029</x:v>
      </x:c>
      <x:c r="G1135" s="20" t="str">
        <x:v>L029</x:v>
      </x:c>
      <x:c r="H1135" s="20" t="str">
        <x:v>1000 Operating Cash</x:v>
      </x:c>
      <x:c r="I1135" s="26" t="n">
        <x:v>1975</x:v>
      </x:c>
      <x:c r="J1135" s="26" t="n">
        <x:v>0</x:v>
      </x:c>
      <x:c r="K1135" s="35" t="str">
        <x:v>Receipt allocated to FIN-00563</x:v>
      </x:c>
    </x:row>
    <x:row r="1136">
      <x:c r="A1136" s="20" t="str">
        <x:v>FIN-00564</x:v>
      </x:c>
      <x:c r="B1136" s="32" t="n">
        <x:v>2</x:v>
      </x:c>
      <x:c r="C1136" s="23" t="n">
        <x:v>46573</x:v>
      </x:c>
      <x:c r="D1136" s="23" t="n">
        <x:v>46573</x:v>
      </x:c>
      <x:c r="E1136" s="20" t="str">
        <x:v>P025</x:v>
      </x:c>
      <x:c r="F1136" s="20" t="str">
        <x:v>U029</x:v>
      </x:c>
      <x:c r="G1136" s="20" t="str">
        <x:v>L029</x:v>
      </x:c>
      <x:c r="H1136" s="20" t="str">
        <x:v>1100 Tenant Accounts Receivable</x:v>
      </x:c>
      <x:c r="I1136" s="26" t="n">
        <x:v>0</x:v>
      </x:c>
      <x:c r="J1136" s="26" t="n">
        <x:v>1975</x:v>
      </x:c>
      <x:c r="K1136" s="35" t="str">
        <x:v>Receipt allocated to FIN-00563</x:v>
      </x:c>
    </x:row>
    <x:row r="1137">
      <x:c r="A1137" s="20" t="str">
        <x:v>FIN-00565</x:v>
      </x:c>
      <x:c r="B1137" s="32" t="n">
        <x:v>1</x:v>
      </x:c>
      <x:c r="C1137" s="23" t="n">
        <x:v>46569</x:v>
      </x:c>
      <x:c r="D1137" s="23" t="n">
        <x:v>46569</x:v>
      </x:c>
      <x:c r="E1137" s="20" t="str">
        <x:v>P025</x:v>
      </x:c>
      <x:c r="F1137" s="20" t="str">
        <x:v>U030</x:v>
      </x:c>
      <x:c r="G1137" s="20" t="str">
        <x:v>L030</x:v>
      </x:c>
      <x:c r="H1137" s="20" t="str">
        <x:v>1100 Tenant Accounts Receivable</x:v>
      </x:c>
      <x:c r="I1137" s="26" t="n">
        <x:v>1600</x:v>
      </x:c>
      <x:c r="J1137" s="26" t="n">
        <x:v>0</x:v>
      </x:c>
      <x:c r="K1137" s="35" t="str">
        <x:v>July 2027 rent</x:v>
      </x:c>
    </x:row>
    <x:row r="1138">
      <x:c r="A1138" s="20" t="str">
        <x:v>FIN-00565</x:v>
      </x:c>
      <x:c r="B1138" s="32" t="n">
        <x:v>2</x:v>
      </x:c>
      <x:c r="C1138" s="23" t="n">
        <x:v>46569</x:v>
      </x:c>
      <x:c r="D1138" s="23" t="n">
        <x:v>46569</x:v>
      </x:c>
      <x:c r="E1138" s="20" t="str">
        <x:v>P025</x:v>
      </x:c>
      <x:c r="F1138" s="20" t="str">
        <x:v>U030</x:v>
      </x:c>
      <x:c r="G1138" s="20" t="str">
        <x:v>L030</x:v>
      </x:c>
      <x:c r="H1138" s="20" t="str">
        <x:v>4000 Rental Income</x:v>
      </x:c>
      <x:c r="I1138" s="26" t="n">
        <x:v>0</x:v>
      </x:c>
      <x:c r="J1138" s="26" t="n">
        <x:v>1600</x:v>
      </x:c>
      <x:c r="K1138" s="35" t="str">
        <x:v>July 2027 rent</x:v>
      </x:c>
    </x:row>
    <x:row r="1139">
      <x:c r="A1139" s="20" t="str">
        <x:v>FIN-00566</x:v>
      </x:c>
      <x:c r="B1139" s="32" t="n">
        <x:v>1</x:v>
      </x:c>
      <x:c r="C1139" s="23" t="n">
        <x:v>46571</x:v>
      </x:c>
      <x:c r="D1139" s="23" t="n">
        <x:v>46571</x:v>
      </x:c>
      <x:c r="E1139" s="20" t="str">
        <x:v>P025</x:v>
      </x:c>
      <x:c r="F1139" s="20" t="str">
        <x:v>U030</x:v>
      </x:c>
      <x:c r="G1139" s="20" t="str">
        <x:v>L030</x:v>
      </x:c>
      <x:c r="H1139" s="20" t="str">
        <x:v>1000 Operating Cash</x:v>
      </x:c>
      <x:c r="I1139" s="26" t="n">
        <x:v>1600</x:v>
      </x:c>
      <x:c r="J1139" s="26" t="n">
        <x:v>0</x:v>
      </x:c>
      <x:c r="K1139" s="35" t="str">
        <x:v>Receipt allocated to FIN-00565</x:v>
      </x:c>
    </x:row>
    <x:row r="1140">
      <x:c r="A1140" s="20" t="str">
        <x:v>FIN-00566</x:v>
      </x:c>
      <x:c r="B1140" s="32" t="n">
        <x:v>2</x:v>
      </x:c>
      <x:c r="C1140" s="23" t="n">
        <x:v>46571</x:v>
      </x:c>
      <x:c r="D1140" s="23" t="n">
        <x:v>46571</x:v>
      </x:c>
      <x:c r="E1140" s="20" t="str">
        <x:v>P025</x:v>
      </x:c>
      <x:c r="F1140" s="20" t="str">
        <x:v>U030</x:v>
      </x:c>
      <x:c r="G1140" s="20" t="str">
        <x:v>L030</x:v>
      </x:c>
      <x:c r="H1140" s="20" t="str">
        <x:v>1100 Tenant Accounts Receivable</x:v>
      </x:c>
      <x:c r="I1140" s="26" t="n">
        <x:v>0</x:v>
      </x:c>
      <x:c r="J1140" s="26" t="n">
        <x:v>1600</x:v>
      </x:c>
      <x:c r="K1140" s="35" t="str">
        <x:v>Receipt allocated to FIN-00565</x:v>
      </x:c>
    </x:row>
    <x:row r="1141">
      <x:c r="A1141" s="20" t="str">
        <x:v>FIN-00567</x:v>
      </x:c>
      <x:c r="B1141" s="32" t="n">
        <x:v>1</x:v>
      </x:c>
      <x:c r="C1141" s="23" t="n">
        <x:v>46569</x:v>
      </x:c>
      <x:c r="D1141" s="23" t="n">
        <x:v>46569</x:v>
      </x:c>
      <x:c r="E1141" s="20" t="str">
        <x:v>P026</x:v>
      </x:c>
      <x:c r="F1141" s="20" t="str">
        <x:v>U031</x:v>
      </x:c>
      <x:c r="G1141" s="20" t="str">
        <x:v>L031</x:v>
      </x:c>
      <x:c r="H1141" s="20" t="str">
        <x:v>1100 Tenant Accounts Receivable</x:v>
      </x:c>
      <x:c r="I1141" s="26" t="n">
        <x:v>1225</x:v>
      </x:c>
      <x:c r="J1141" s="26" t="n">
        <x:v>0</x:v>
      </x:c>
      <x:c r="K1141" s="35" t="str">
        <x:v>July 2027 rent</x:v>
      </x:c>
    </x:row>
    <x:row r="1142">
      <x:c r="A1142" s="20" t="str">
        <x:v>FIN-00567</x:v>
      </x:c>
      <x:c r="B1142" s="32" t="n">
        <x:v>2</x:v>
      </x:c>
      <x:c r="C1142" s="23" t="n">
        <x:v>46569</x:v>
      </x:c>
      <x:c r="D1142" s="23" t="n">
        <x:v>46569</x:v>
      </x:c>
      <x:c r="E1142" s="20" t="str">
        <x:v>P026</x:v>
      </x:c>
      <x:c r="F1142" s="20" t="str">
        <x:v>U031</x:v>
      </x:c>
      <x:c r="G1142" s="20" t="str">
        <x:v>L031</x:v>
      </x:c>
      <x:c r="H1142" s="20" t="str">
        <x:v>4000 Rental Income</x:v>
      </x:c>
      <x:c r="I1142" s="26" t="n">
        <x:v>0</x:v>
      </x:c>
      <x:c r="J1142" s="26" t="n">
        <x:v>1225</x:v>
      </x:c>
      <x:c r="K1142" s="35" t="str">
        <x:v>July 2027 rent</x:v>
      </x:c>
    </x:row>
    <x:row r="1143">
      <x:c r="A1143" s="20" t="str">
        <x:v>FIN-00568</x:v>
      </x:c>
      <x:c r="B1143" s="32" t="n">
        <x:v>1</x:v>
      </x:c>
      <x:c r="C1143" s="23" t="n">
        <x:v>46572</x:v>
      </x:c>
      <x:c r="D1143" s="23" t="n">
        <x:v>46572</x:v>
      </x:c>
      <x:c r="E1143" s="20" t="str">
        <x:v>P026</x:v>
      </x:c>
      <x:c r="F1143" s="20" t="str">
        <x:v>U031</x:v>
      </x:c>
      <x:c r="G1143" s="20" t="str">
        <x:v>L031</x:v>
      </x:c>
      <x:c r="H1143" s="20" t="str">
        <x:v>1000 Operating Cash</x:v>
      </x:c>
      <x:c r="I1143" s="26" t="n">
        <x:v>1225</x:v>
      </x:c>
      <x:c r="J1143" s="26" t="n">
        <x:v>0</x:v>
      </x:c>
      <x:c r="K1143" s="35" t="str">
        <x:v>Receipt allocated to FIN-00567</x:v>
      </x:c>
    </x:row>
    <x:row r="1144">
      <x:c r="A1144" s="20" t="str">
        <x:v>FIN-00568</x:v>
      </x:c>
      <x:c r="B1144" s="32" t="n">
        <x:v>2</x:v>
      </x:c>
      <x:c r="C1144" s="23" t="n">
        <x:v>46572</x:v>
      </x:c>
      <x:c r="D1144" s="23" t="n">
        <x:v>46572</x:v>
      </x:c>
      <x:c r="E1144" s="20" t="str">
        <x:v>P026</x:v>
      </x:c>
      <x:c r="F1144" s="20" t="str">
        <x:v>U031</x:v>
      </x:c>
      <x:c r="G1144" s="20" t="str">
        <x:v>L031</x:v>
      </x:c>
      <x:c r="H1144" s="20" t="str">
        <x:v>1100 Tenant Accounts Receivable</x:v>
      </x:c>
      <x:c r="I1144" s="26" t="n">
        <x:v>0</x:v>
      </x:c>
      <x:c r="J1144" s="26" t="n">
        <x:v>1225</x:v>
      </x:c>
      <x:c r="K1144" s="35" t="str">
        <x:v>Receipt allocated to FIN-00567</x:v>
      </x:c>
    </x:row>
    <x:row r="1145">
      <x:c r="A1145" s="20" t="str">
        <x:v>FIN-00569</x:v>
      </x:c>
      <x:c r="B1145" s="32" t="n">
        <x:v>1</x:v>
      </x:c>
      <x:c r="C1145" s="23" t="n">
        <x:v>46569</x:v>
      </x:c>
      <x:c r="D1145" s="23" t="n">
        <x:v>46569</x:v>
      </x:c>
      <x:c r="E1145" s="20" t="str">
        <x:v>P026</x:v>
      </x:c>
      <x:c r="F1145" s="20" t="str">
        <x:v>U032</x:v>
      </x:c>
      <x:c r="G1145" s="20" t="str">
        <x:v>L032</x:v>
      </x:c>
      <x:c r="H1145" s="20" t="str">
        <x:v>1100 Tenant Accounts Receivable</x:v>
      </x:c>
      <x:c r="I1145" s="26" t="n">
        <x:v>1750</x:v>
      </x:c>
      <x:c r="J1145" s="26" t="n">
        <x:v>0</x:v>
      </x:c>
      <x:c r="K1145" s="35" t="str">
        <x:v>July 2027 rent</x:v>
      </x:c>
    </x:row>
    <x:row r="1146">
      <x:c r="A1146" s="20" t="str">
        <x:v>FIN-00569</x:v>
      </x:c>
      <x:c r="B1146" s="32" t="n">
        <x:v>2</x:v>
      </x:c>
      <x:c r="C1146" s="23" t="n">
        <x:v>46569</x:v>
      </x:c>
      <x:c r="D1146" s="23" t="n">
        <x:v>46569</x:v>
      </x:c>
      <x:c r="E1146" s="20" t="str">
        <x:v>P026</x:v>
      </x:c>
      <x:c r="F1146" s="20" t="str">
        <x:v>U032</x:v>
      </x:c>
      <x:c r="G1146" s="20" t="str">
        <x:v>L032</x:v>
      </x:c>
      <x:c r="H1146" s="20" t="str">
        <x:v>4000 Rental Income</x:v>
      </x:c>
      <x:c r="I1146" s="26" t="n">
        <x:v>0</x:v>
      </x:c>
      <x:c r="J1146" s="26" t="n">
        <x:v>1750</x:v>
      </x:c>
      <x:c r="K1146" s="35" t="str">
        <x:v>July 2027 rent</x:v>
      </x:c>
    </x:row>
    <x:row r="1147">
      <x:c r="A1147" s="20" t="str">
        <x:v>FIN-00570</x:v>
      </x:c>
      <x:c r="B1147" s="32" t="n">
        <x:v>1</x:v>
      </x:c>
      <x:c r="C1147" s="23" t="n">
        <x:v>46573</x:v>
      </x:c>
      <x:c r="D1147" s="23" t="n">
        <x:v>46573</x:v>
      </x:c>
      <x:c r="E1147" s="20" t="str">
        <x:v>P026</x:v>
      </x:c>
      <x:c r="F1147" s="20" t="str">
        <x:v>U032</x:v>
      </x:c>
      <x:c r="G1147" s="20" t="str">
        <x:v>L032</x:v>
      </x:c>
      <x:c r="H1147" s="20" t="str">
        <x:v>1000 Operating Cash</x:v>
      </x:c>
      <x:c r="I1147" s="26" t="n">
        <x:v>1750</x:v>
      </x:c>
      <x:c r="J1147" s="26" t="n">
        <x:v>0</x:v>
      </x:c>
      <x:c r="K1147" s="35" t="str">
        <x:v>Receipt allocated to FIN-00569</x:v>
      </x:c>
    </x:row>
    <x:row r="1148">
      <x:c r="A1148" s="20" t="str">
        <x:v>FIN-00570</x:v>
      </x:c>
      <x:c r="B1148" s="32" t="n">
        <x:v>2</x:v>
      </x:c>
      <x:c r="C1148" s="23" t="n">
        <x:v>46573</x:v>
      </x:c>
      <x:c r="D1148" s="23" t="n">
        <x:v>46573</x:v>
      </x:c>
      <x:c r="E1148" s="20" t="str">
        <x:v>P026</x:v>
      </x:c>
      <x:c r="F1148" s="20" t="str">
        <x:v>U032</x:v>
      </x:c>
      <x:c r="G1148" s="20" t="str">
        <x:v>L032</x:v>
      </x:c>
      <x:c r="H1148" s="20" t="str">
        <x:v>1100 Tenant Accounts Receivable</x:v>
      </x:c>
      <x:c r="I1148" s="26" t="n">
        <x:v>0</x:v>
      </x:c>
      <x:c r="J1148" s="26" t="n">
        <x:v>1750</x:v>
      </x:c>
      <x:c r="K1148" s="35" t="str">
        <x:v>Receipt allocated to FIN-00569</x:v>
      </x:c>
    </x:row>
    <x:row r="1149">
      <x:c r="A1149" s="20" t="str">
        <x:v>FIN-00571</x:v>
      </x:c>
      <x:c r="B1149" s="32" t="n">
        <x:v>1</x:v>
      </x:c>
      <x:c r="C1149" s="23" t="n">
        <x:v>46569</x:v>
      </x:c>
      <x:c r="D1149" s="23" t="n">
        <x:v>46569</x:v>
      </x:c>
      <x:c r="E1149" s="20" t="str">
        <x:v>P027</x:v>
      </x:c>
      <x:c r="F1149" s="20" t="str">
        <x:v>U033</x:v>
      </x:c>
      <x:c r="G1149" s="20" t="str">
        <x:v>L033</x:v>
      </x:c>
      <x:c r="H1149" s="20" t="str">
        <x:v>1100 Tenant Accounts Receivable</x:v>
      </x:c>
      <x:c r="I1149" s="26" t="n">
        <x:v>1375</x:v>
      </x:c>
      <x:c r="J1149" s="26" t="n">
        <x:v>0</x:v>
      </x:c>
      <x:c r="K1149" s="35" t="str">
        <x:v>July 2027 rent</x:v>
      </x:c>
    </x:row>
    <x:row r="1150">
      <x:c r="A1150" s="20" t="str">
        <x:v>FIN-00571</x:v>
      </x:c>
      <x:c r="B1150" s="32" t="n">
        <x:v>2</x:v>
      </x:c>
      <x:c r="C1150" s="23" t="n">
        <x:v>46569</x:v>
      </x:c>
      <x:c r="D1150" s="23" t="n">
        <x:v>46569</x:v>
      </x:c>
      <x:c r="E1150" s="20" t="str">
        <x:v>P027</x:v>
      </x:c>
      <x:c r="F1150" s="20" t="str">
        <x:v>U033</x:v>
      </x:c>
      <x:c r="G1150" s="20" t="str">
        <x:v>L033</x:v>
      </x:c>
      <x:c r="H1150" s="20" t="str">
        <x:v>4000 Rental Income</x:v>
      </x:c>
      <x:c r="I1150" s="26" t="n">
        <x:v>0</x:v>
      </x:c>
      <x:c r="J1150" s="26" t="n">
        <x:v>1375</x:v>
      </x:c>
      <x:c r="K1150" s="35" t="str">
        <x:v>July 2027 rent</x:v>
      </x:c>
    </x:row>
    <x:row r="1151">
      <x:c r="A1151" s="20" t="str">
        <x:v>FIN-00572</x:v>
      </x:c>
      <x:c r="B1151" s="32" t="n">
        <x:v>1</x:v>
      </x:c>
      <x:c r="C1151" s="23" t="n">
        <x:v>46571</x:v>
      </x:c>
      <x:c r="D1151" s="23" t="n">
        <x:v>46571</x:v>
      </x:c>
      <x:c r="E1151" s="20" t="str">
        <x:v>P027</x:v>
      </x:c>
      <x:c r="F1151" s="20" t="str">
        <x:v>U033</x:v>
      </x:c>
      <x:c r="G1151" s="20" t="str">
        <x:v>L033</x:v>
      </x:c>
      <x:c r="H1151" s="20" t="str">
        <x:v>1000 Operating Cash</x:v>
      </x:c>
      <x:c r="I1151" s="26" t="n">
        <x:v>825</x:v>
      </x:c>
      <x:c r="J1151" s="26" t="n">
        <x:v>0</x:v>
      </x:c>
      <x:c r="K1151" s="35" t="str">
        <x:v>Receipt allocated to FIN-00571</x:v>
      </x:c>
    </x:row>
    <x:row r="1152">
      <x:c r="A1152" s="20" t="str">
        <x:v>FIN-00572</x:v>
      </x:c>
      <x:c r="B1152" s="32" t="n">
        <x:v>2</x:v>
      </x:c>
      <x:c r="C1152" s="23" t="n">
        <x:v>46571</x:v>
      </x:c>
      <x:c r="D1152" s="23" t="n">
        <x:v>46571</x:v>
      </x:c>
      <x:c r="E1152" s="20" t="str">
        <x:v>P027</x:v>
      </x:c>
      <x:c r="F1152" s="20" t="str">
        <x:v>U033</x:v>
      </x:c>
      <x:c r="G1152" s="20" t="str">
        <x:v>L033</x:v>
      </x:c>
      <x:c r="H1152" s="20" t="str">
        <x:v>1100 Tenant Accounts Receivable</x:v>
      </x:c>
      <x:c r="I1152" s="26" t="n">
        <x:v>0</x:v>
      </x:c>
      <x:c r="J1152" s="26" t="n">
        <x:v>825</x:v>
      </x:c>
      <x:c r="K1152" s="35" t="str">
        <x:v>Receipt allocated to FIN-00571</x:v>
      </x:c>
    </x:row>
    <x:row r="1153">
      <x:c r="A1153" s="20" t="str">
        <x:v>FIN-00573</x:v>
      </x:c>
      <x:c r="B1153" s="32" t="n">
        <x:v>1</x:v>
      </x:c>
      <x:c r="C1153" s="23" t="n">
        <x:v>46574</x:v>
      </x:c>
      <x:c r="D1153" s="23" t="n">
        <x:v>46574</x:v>
      </x:c>
      <x:c r="E1153" s="20" t="str">
        <x:v>P027</x:v>
      </x:c>
      <x:c r="F1153" s="20" t="str">
        <x:v>U033</x:v>
      </x:c>
      <x:c r="G1153" s="20" t="str">
        <x:v>L033</x:v>
      </x:c>
      <x:c r="H1153" s="20" t="str">
        <x:v>1100 Tenant Accounts Receivable</x:v>
      </x:c>
      <x:c r="I1153" s="26" t="n">
        <x:v>50</x:v>
      </x:c>
      <x:c r="J1153" s="26" t="n">
        <x:v>0</x:v>
      </x:c>
      <x:c r="K1153" s="35" t="str">
        <x:v>Synthetic lease-authorized late fee after partial payment</x:v>
      </x:c>
    </x:row>
    <x:row r="1154">
      <x:c r="A1154" s="20" t="str">
        <x:v>FIN-00573</x:v>
      </x:c>
      <x:c r="B1154" s="32" t="n">
        <x:v>2</x:v>
      </x:c>
      <x:c r="C1154" s="23" t="n">
        <x:v>46574</x:v>
      </x:c>
      <x:c r="D1154" s="23" t="n">
        <x:v>46574</x:v>
      </x:c>
      <x:c r="E1154" s="20" t="str">
        <x:v>P027</x:v>
      </x:c>
      <x:c r="F1154" s="20" t="str">
        <x:v>U033</x:v>
      </x:c>
      <x:c r="G1154" s="20" t="str">
        <x:v>L033</x:v>
      </x:c>
      <x:c r="H1154" s="20" t="str">
        <x:v>4010 Late Fee Income</x:v>
      </x:c>
      <x:c r="I1154" s="26" t="n">
        <x:v>0</x:v>
      </x:c>
      <x:c r="J1154" s="26" t="n">
        <x:v>50</x:v>
      </x:c>
      <x:c r="K1154" s="35" t="str">
        <x:v>Synthetic lease-authorized late fee after partial payment</x:v>
      </x:c>
    </x:row>
    <x:row r="1155">
      <x:c r="A1155" s="20" t="str">
        <x:v>FIN-00574</x:v>
      </x:c>
      <x:c r="B1155" s="32" t="n">
        <x:v>1</x:v>
      </x:c>
      <x:c r="C1155" s="23" t="n">
        <x:v>46580</x:v>
      </x:c>
      <x:c r="D1155" s="23" t="n">
        <x:v>46580</x:v>
      </x:c>
      <x:c r="E1155" s="20" t="str">
        <x:v>P027</x:v>
      </x:c>
      <x:c r="F1155" s="20" t="str">
        <x:v>U033</x:v>
      </x:c>
      <x:c r="G1155" s="20" t="str">
        <x:v>L033</x:v>
      </x:c>
      <x:c r="H1155" s="20" t="str">
        <x:v>1000 Operating Cash</x:v>
      </x:c>
      <x:c r="I1155" s="26" t="n">
        <x:v>600</x:v>
      </x:c>
      <x:c r="J1155" s="26" t="n">
        <x:v>0</x:v>
      </x:c>
      <x:c r="K1155" s="35" t="str">
        <x:v>Receipt allocated to FIN-00573</x:v>
      </x:c>
    </x:row>
    <x:row r="1156">
      <x:c r="A1156" s="20" t="str">
        <x:v>FIN-00574</x:v>
      </x:c>
      <x:c r="B1156" s="32" t="n">
        <x:v>2</x:v>
      </x:c>
      <x:c r="C1156" s="23" t="n">
        <x:v>46580</x:v>
      </x:c>
      <x:c r="D1156" s="23" t="n">
        <x:v>46580</x:v>
      </x:c>
      <x:c r="E1156" s="20" t="str">
        <x:v>P027</x:v>
      </x:c>
      <x:c r="F1156" s="20" t="str">
        <x:v>U033</x:v>
      </x:c>
      <x:c r="G1156" s="20" t="str">
        <x:v>L033</x:v>
      </x:c>
      <x:c r="H1156" s="20" t="str">
        <x:v>1100 Tenant Accounts Receivable</x:v>
      </x:c>
      <x:c r="I1156" s="26" t="n">
        <x:v>0</x:v>
      </x:c>
      <x:c r="J1156" s="26" t="n">
        <x:v>600</x:v>
      </x:c>
      <x:c r="K1156" s="35" t="str">
        <x:v>Receipt allocated to FIN-00573</x:v>
      </x:c>
    </x:row>
    <x:row r="1157">
      <x:c r="A1157" s="20" t="str">
        <x:v>FIN-00575</x:v>
      </x:c>
      <x:c r="B1157" s="32" t="n">
        <x:v>1</x:v>
      </x:c>
      <x:c r="C1157" s="23" t="n">
        <x:v>46569</x:v>
      </x:c>
      <x:c r="D1157" s="23" t="n">
        <x:v>46569</x:v>
      </x:c>
      <x:c r="E1157" s="20" t="str">
        <x:v>P027</x:v>
      </x:c>
      <x:c r="F1157" s="20" t="str">
        <x:v>U034</x:v>
      </x:c>
      <x:c r="G1157" s="20" t="str">
        <x:v>L034</x:v>
      </x:c>
      <x:c r="H1157" s="20" t="str">
        <x:v>1100 Tenant Accounts Receivable</x:v>
      </x:c>
      <x:c r="I1157" s="26" t="n">
        <x:v>1900</x:v>
      </x:c>
      <x:c r="J1157" s="26" t="n">
        <x:v>0</x:v>
      </x:c>
      <x:c r="K1157" s="35" t="str">
        <x:v>July 2027 rent</x:v>
      </x:c>
    </x:row>
    <x:row r="1158">
      <x:c r="A1158" s="20" t="str">
        <x:v>FIN-00575</x:v>
      </x:c>
      <x:c r="B1158" s="32" t="n">
        <x:v>2</x:v>
      </x:c>
      <x:c r="C1158" s="23" t="n">
        <x:v>46569</x:v>
      </x:c>
      <x:c r="D1158" s="23" t="n">
        <x:v>46569</x:v>
      </x:c>
      <x:c r="E1158" s="20" t="str">
        <x:v>P027</x:v>
      </x:c>
      <x:c r="F1158" s="20" t="str">
        <x:v>U034</x:v>
      </x:c>
      <x:c r="G1158" s="20" t="str">
        <x:v>L034</x:v>
      </x:c>
      <x:c r="H1158" s="20" t="str">
        <x:v>4000 Rental Income</x:v>
      </x:c>
      <x:c r="I1158" s="26" t="n">
        <x:v>0</x:v>
      </x:c>
      <x:c r="J1158" s="26" t="n">
        <x:v>1900</x:v>
      </x:c>
      <x:c r="K1158" s="35" t="str">
        <x:v>July 2027 rent</x:v>
      </x:c>
    </x:row>
    <x:row r="1159">
      <x:c r="A1159" s="20" t="str">
        <x:v>FIN-00576</x:v>
      </x:c>
      <x:c r="B1159" s="32" t="n">
        <x:v>1</x:v>
      </x:c>
      <x:c r="C1159" s="23" t="n">
        <x:v>46572</x:v>
      </x:c>
      <x:c r="D1159" s="23" t="n">
        <x:v>46572</x:v>
      </x:c>
      <x:c r="E1159" s="20" t="str">
        <x:v>P027</x:v>
      </x:c>
      <x:c r="F1159" s="20" t="str">
        <x:v>U034</x:v>
      </x:c>
      <x:c r="G1159" s="20" t="str">
        <x:v>L034</x:v>
      </x:c>
      <x:c r="H1159" s="20" t="str">
        <x:v>1000 Operating Cash</x:v>
      </x:c>
      <x:c r="I1159" s="26" t="n">
        <x:v>1900</x:v>
      </x:c>
      <x:c r="J1159" s="26" t="n">
        <x:v>0</x:v>
      </x:c>
      <x:c r="K1159" s="35" t="str">
        <x:v>Receipt allocated to FIN-00575</x:v>
      </x:c>
    </x:row>
    <x:row r="1160">
      <x:c r="A1160" s="20" t="str">
        <x:v>FIN-00576</x:v>
      </x:c>
      <x:c r="B1160" s="32" t="n">
        <x:v>2</x:v>
      </x:c>
      <x:c r="C1160" s="23" t="n">
        <x:v>46572</x:v>
      </x:c>
      <x:c r="D1160" s="23" t="n">
        <x:v>46572</x:v>
      </x:c>
      <x:c r="E1160" s="20" t="str">
        <x:v>P027</x:v>
      </x:c>
      <x:c r="F1160" s="20" t="str">
        <x:v>U034</x:v>
      </x:c>
      <x:c r="G1160" s="20" t="str">
        <x:v>L034</x:v>
      </x:c>
      <x:c r="H1160" s="20" t="str">
        <x:v>1100 Tenant Accounts Receivable</x:v>
      </x:c>
      <x:c r="I1160" s="26" t="n">
        <x:v>0</x:v>
      </x:c>
      <x:c r="J1160" s="26" t="n">
        <x:v>1900</x:v>
      </x:c>
      <x:c r="K1160" s="35" t="str">
        <x:v>Receipt allocated to FIN-00575</x:v>
      </x:c>
    </x:row>
    <x:row r="1161">
      <x:c r="A1161" s="20" t="str">
        <x:v>FIN-00577</x:v>
      </x:c>
      <x:c r="B1161" s="32" t="n">
        <x:v>1</x:v>
      </x:c>
      <x:c r="C1161" s="23" t="n">
        <x:v>46569</x:v>
      </x:c>
      <x:c r="D1161" s="23" t="n">
        <x:v>46569</x:v>
      </x:c>
      <x:c r="E1161" s="20" t="str">
        <x:v>P028</x:v>
      </x:c>
      <x:c r="F1161" s="20" t="str">
        <x:v>U035</x:v>
      </x:c>
      <x:c r="G1161" s="20" t="str">
        <x:v>L035</x:v>
      </x:c>
      <x:c r="H1161" s="20" t="str">
        <x:v>1100 Tenant Accounts Receivable</x:v>
      </x:c>
      <x:c r="I1161" s="26" t="n">
        <x:v>1525</x:v>
      </x:c>
      <x:c r="J1161" s="26" t="n">
        <x:v>0</x:v>
      </x:c>
      <x:c r="K1161" s="35" t="str">
        <x:v>July 2027 rent</x:v>
      </x:c>
    </x:row>
    <x:row r="1162">
      <x:c r="A1162" s="20" t="str">
        <x:v>FIN-00577</x:v>
      </x:c>
      <x:c r="B1162" s="32" t="n">
        <x:v>2</x:v>
      </x:c>
      <x:c r="C1162" s="23" t="n">
        <x:v>46569</x:v>
      </x:c>
      <x:c r="D1162" s="23" t="n">
        <x:v>46569</x:v>
      </x:c>
      <x:c r="E1162" s="20" t="str">
        <x:v>P028</x:v>
      </x:c>
      <x:c r="F1162" s="20" t="str">
        <x:v>U035</x:v>
      </x:c>
      <x:c r="G1162" s="20" t="str">
        <x:v>L035</x:v>
      </x:c>
      <x:c r="H1162" s="20" t="str">
        <x:v>4000 Rental Income</x:v>
      </x:c>
      <x:c r="I1162" s="26" t="n">
        <x:v>0</x:v>
      </x:c>
      <x:c r="J1162" s="26" t="n">
        <x:v>1525</x:v>
      </x:c>
      <x:c r="K1162" s="35" t="str">
        <x:v>July 2027 rent</x:v>
      </x:c>
    </x:row>
    <x:row r="1163">
      <x:c r="A1163" s="20" t="str">
        <x:v>FIN-00578</x:v>
      </x:c>
      <x:c r="B1163" s="32" t="n">
        <x:v>1</x:v>
      </x:c>
      <x:c r="C1163" s="23" t="n">
        <x:v>46573</x:v>
      </x:c>
      <x:c r="D1163" s="23" t="n">
        <x:v>46573</x:v>
      </x:c>
      <x:c r="E1163" s="20" t="str">
        <x:v>P028</x:v>
      </x:c>
      <x:c r="F1163" s="20" t="str">
        <x:v>U035</x:v>
      </x:c>
      <x:c r="G1163" s="20" t="str">
        <x:v>L035</x:v>
      </x:c>
      <x:c r="H1163" s="20" t="str">
        <x:v>1000 Operating Cash</x:v>
      </x:c>
      <x:c r="I1163" s="26" t="n">
        <x:v>1525</x:v>
      </x:c>
      <x:c r="J1163" s="26" t="n">
        <x:v>0</x:v>
      </x:c>
      <x:c r="K1163" s="35" t="str">
        <x:v>Receipt allocated to FIN-00577</x:v>
      </x:c>
    </x:row>
    <x:row r="1164">
      <x:c r="A1164" s="20" t="str">
        <x:v>FIN-00578</x:v>
      </x:c>
      <x:c r="B1164" s="32" t="n">
        <x:v>2</x:v>
      </x:c>
      <x:c r="C1164" s="23" t="n">
        <x:v>46573</x:v>
      </x:c>
      <x:c r="D1164" s="23" t="n">
        <x:v>46573</x:v>
      </x:c>
      <x:c r="E1164" s="20" t="str">
        <x:v>P028</x:v>
      </x:c>
      <x:c r="F1164" s="20" t="str">
        <x:v>U035</x:v>
      </x:c>
      <x:c r="G1164" s="20" t="str">
        <x:v>L035</x:v>
      </x:c>
      <x:c r="H1164" s="20" t="str">
        <x:v>1100 Tenant Accounts Receivable</x:v>
      </x:c>
      <x:c r="I1164" s="26" t="n">
        <x:v>0</x:v>
      </x:c>
      <x:c r="J1164" s="26" t="n">
        <x:v>1525</x:v>
      </x:c>
      <x:c r="K1164" s="35" t="str">
        <x:v>Receipt allocated to FIN-00577</x:v>
      </x:c>
    </x:row>
    <x:row r="1165">
      <x:c r="A1165" s="20" t="str">
        <x:v>FIN-00579</x:v>
      </x:c>
      <x:c r="B1165" s="32" t="n">
        <x:v>1</x:v>
      </x:c>
      <x:c r="C1165" s="23" t="n">
        <x:v>46569</x:v>
      </x:c>
      <x:c r="D1165" s="23" t="n">
        <x:v>46569</x:v>
      </x:c>
      <x:c r="E1165" s="20" t="str">
        <x:v>P028</x:v>
      </x:c>
      <x:c r="F1165" s="20" t="str">
        <x:v>U036</x:v>
      </x:c>
      <x:c r="G1165" s="20" t="str">
        <x:v>L036</x:v>
      </x:c>
      <x:c r="H1165" s="20" t="str">
        <x:v>1100 Tenant Accounts Receivable</x:v>
      </x:c>
      <x:c r="I1165" s="26" t="n">
        <x:v>1150</x:v>
      </x:c>
      <x:c r="J1165" s="26" t="n">
        <x:v>0</x:v>
      </x:c>
      <x:c r="K1165" s="35" t="str">
        <x:v>July 2027 rent</x:v>
      </x:c>
    </x:row>
    <x:row r="1166">
      <x:c r="A1166" s="20" t="str">
        <x:v>FIN-00579</x:v>
      </x:c>
      <x:c r="B1166" s="32" t="n">
        <x:v>2</x:v>
      </x:c>
      <x:c r="C1166" s="23" t="n">
        <x:v>46569</x:v>
      </x:c>
      <x:c r="D1166" s="23" t="n">
        <x:v>46569</x:v>
      </x:c>
      <x:c r="E1166" s="20" t="str">
        <x:v>P028</x:v>
      </x:c>
      <x:c r="F1166" s="20" t="str">
        <x:v>U036</x:v>
      </x:c>
      <x:c r="G1166" s="20" t="str">
        <x:v>L036</x:v>
      </x:c>
      <x:c r="H1166" s="20" t="str">
        <x:v>4000 Rental Income</x:v>
      </x:c>
      <x:c r="I1166" s="26" t="n">
        <x:v>0</x:v>
      </x:c>
      <x:c r="J1166" s="26" t="n">
        <x:v>1150</x:v>
      </x:c>
      <x:c r="K1166" s="35" t="str">
        <x:v>July 2027 rent</x:v>
      </x:c>
    </x:row>
    <x:row r="1167">
      <x:c r="A1167" s="20" t="str">
        <x:v>FIN-00580</x:v>
      </x:c>
      <x:c r="B1167" s="32" t="n">
        <x:v>1</x:v>
      </x:c>
      <x:c r="C1167" s="23" t="n">
        <x:v>46571</x:v>
      </x:c>
      <x:c r="D1167" s="23" t="n">
        <x:v>46571</x:v>
      </x:c>
      <x:c r="E1167" s="20" t="str">
        <x:v>P028</x:v>
      </x:c>
      <x:c r="F1167" s="20" t="str">
        <x:v>U036</x:v>
      </x:c>
      <x:c r="G1167" s="20" t="str">
        <x:v>L036</x:v>
      </x:c>
      <x:c r="H1167" s="20" t="str">
        <x:v>1000 Operating Cash</x:v>
      </x:c>
      <x:c r="I1167" s="26" t="n">
        <x:v>1150</x:v>
      </x:c>
      <x:c r="J1167" s="26" t="n">
        <x:v>0</x:v>
      </x:c>
      <x:c r="K1167" s="35" t="str">
        <x:v>Receipt allocated to FIN-00579</x:v>
      </x:c>
    </x:row>
    <x:row r="1168">
      <x:c r="A1168" s="20" t="str">
        <x:v>FIN-00580</x:v>
      </x:c>
      <x:c r="B1168" s="32" t="n">
        <x:v>2</x:v>
      </x:c>
      <x:c r="C1168" s="23" t="n">
        <x:v>46571</x:v>
      </x:c>
      <x:c r="D1168" s="23" t="n">
        <x:v>46571</x:v>
      </x:c>
      <x:c r="E1168" s="20" t="str">
        <x:v>P028</x:v>
      </x:c>
      <x:c r="F1168" s="20" t="str">
        <x:v>U036</x:v>
      </x:c>
      <x:c r="G1168" s="20" t="str">
        <x:v>L036</x:v>
      </x:c>
      <x:c r="H1168" s="20" t="str">
        <x:v>1100 Tenant Accounts Receivable</x:v>
      </x:c>
      <x:c r="I1168" s="26" t="n">
        <x:v>0</x:v>
      </x:c>
      <x:c r="J1168" s="26" t="n">
        <x:v>1150</x:v>
      </x:c>
      <x:c r="K1168" s="35" t="str">
        <x:v>Receipt allocated to FIN-00579</x:v>
      </x:c>
    </x:row>
    <x:row r="1169">
      <x:c r="A1169" s="20" t="str">
        <x:v>FIN-00581</x:v>
      </x:c>
      <x:c r="B1169" s="32" t="n">
        <x:v>1</x:v>
      </x:c>
      <x:c r="C1169" s="23" t="n">
        <x:v>46569</x:v>
      </x:c>
      <x:c r="D1169" s="23" t="n">
        <x:v>46569</x:v>
      </x:c>
      <x:c r="E1169" s="20" t="str">
        <x:v>P005</x:v>
      </x:c>
      <x:c r="F1169" s="20" t="str">
        <x:v>U005</x:v>
      </x:c>
      <x:c r="G1169" s="20" t="str">
        <x:v>L037</x:v>
      </x:c>
      <x:c r="H1169" s="20" t="str">
        <x:v>1100 Tenant Accounts Receivable</x:v>
      </x:c>
      <x:c r="I1169" s="26" t="n">
        <x:v>1875</x:v>
      </x:c>
      <x:c r="J1169" s="26" t="n">
        <x:v>0</x:v>
      </x:c>
      <x:c r="K1169" s="35" t="str">
        <x:v>July 2027 rent</x:v>
      </x:c>
    </x:row>
    <x:row r="1170">
      <x:c r="A1170" s="20" t="str">
        <x:v>FIN-00581</x:v>
      </x:c>
      <x:c r="B1170" s="32" t="n">
        <x:v>2</x:v>
      </x:c>
      <x:c r="C1170" s="23" t="n">
        <x:v>46569</x:v>
      </x:c>
      <x:c r="D1170" s="23" t="n">
        <x:v>46569</x:v>
      </x:c>
      <x:c r="E1170" s="20" t="str">
        <x:v>P005</x:v>
      </x:c>
      <x:c r="F1170" s="20" t="str">
        <x:v>U005</x:v>
      </x:c>
      <x:c r="G1170" s="20" t="str">
        <x:v>L037</x:v>
      </x:c>
      <x:c r="H1170" s="20" t="str">
        <x:v>4000 Rental Income</x:v>
      </x:c>
      <x:c r="I1170" s="26" t="n">
        <x:v>0</x:v>
      </x:c>
      <x:c r="J1170" s="26" t="n">
        <x:v>1875</x:v>
      </x:c>
      <x:c r="K1170" s="35" t="str">
        <x:v>July 2027 rent</x:v>
      </x:c>
    </x:row>
    <x:row r="1171">
      <x:c r="A1171" s="20" t="str">
        <x:v>FIN-00582</x:v>
      </x:c>
      <x:c r="B1171" s="32" t="n">
        <x:v>1</x:v>
      </x:c>
      <x:c r="C1171" s="23" t="n">
        <x:v>46572</x:v>
      </x:c>
      <x:c r="D1171" s="23" t="n">
        <x:v>46572</x:v>
      </x:c>
      <x:c r="E1171" s="20" t="str">
        <x:v>P005</x:v>
      </x:c>
      <x:c r="F1171" s="20" t="str">
        <x:v>U005</x:v>
      </x:c>
      <x:c r="G1171" s="20" t="str">
        <x:v>L037</x:v>
      </x:c>
      <x:c r="H1171" s="20" t="str">
        <x:v>1000 Operating Cash</x:v>
      </x:c>
      <x:c r="I1171" s="26" t="n">
        <x:v>1875</x:v>
      </x:c>
      <x:c r="J1171" s="26" t="n">
        <x:v>0</x:v>
      </x:c>
      <x:c r="K1171" s="35" t="str">
        <x:v>Receipt allocated to FIN-00581</x:v>
      </x:c>
    </x:row>
    <x:row r="1172">
      <x:c r="A1172" s="20" t="str">
        <x:v>FIN-00582</x:v>
      </x:c>
      <x:c r="B1172" s="32" t="n">
        <x:v>2</x:v>
      </x:c>
      <x:c r="C1172" s="23" t="n">
        <x:v>46572</x:v>
      </x:c>
      <x:c r="D1172" s="23" t="n">
        <x:v>46572</x:v>
      </x:c>
      <x:c r="E1172" s="20" t="str">
        <x:v>P005</x:v>
      </x:c>
      <x:c r="F1172" s="20" t="str">
        <x:v>U005</x:v>
      </x:c>
      <x:c r="G1172" s="20" t="str">
        <x:v>L037</x:v>
      </x:c>
      <x:c r="H1172" s="20" t="str">
        <x:v>1100 Tenant Accounts Receivable</x:v>
      </x:c>
      <x:c r="I1172" s="26" t="n">
        <x:v>0</x:v>
      </x:c>
      <x:c r="J1172" s="26" t="n">
        <x:v>1875</x:v>
      </x:c>
      <x:c r="K1172" s="35" t="str">
        <x:v>Receipt allocated to FIN-00581</x:v>
      </x:c>
    </x:row>
    <x:row r="1173">
      <x:c r="A1173" s="20" t="str">
        <x:v>FIN-00583</x:v>
      </x:c>
      <x:c r="B1173" s="32" t="n">
        <x:v>1</x:v>
      </x:c>
      <x:c r="C1173" s="23" t="n">
        <x:v>46569</x:v>
      </x:c>
      <x:c r="D1173" s="23" t="n">
        <x:v>46569</x:v>
      </x:c>
      <x:c r="E1173" s="20" t="str">
        <x:v>P014</x:v>
      </x:c>
      <x:c r="F1173" s="20" t="str">
        <x:v>U014</x:v>
      </x:c>
      <x:c r="G1173" s="20" t="str">
        <x:v>L038</x:v>
      </x:c>
      <x:c r="H1173" s="20" t="str">
        <x:v>1100 Tenant Accounts Receivable</x:v>
      </x:c>
      <x:c r="I1173" s="26" t="n">
        <x:v>1200</x:v>
      </x:c>
      <x:c r="J1173" s="26" t="n">
        <x:v>0</x:v>
      </x:c>
      <x:c r="K1173" s="35" t="str">
        <x:v>July 2027 rent</x:v>
      </x:c>
    </x:row>
    <x:row r="1174">
      <x:c r="A1174" s="20" t="str">
        <x:v>FIN-00583</x:v>
      </x:c>
      <x:c r="B1174" s="32" t="n">
        <x:v>2</x:v>
      </x:c>
      <x:c r="C1174" s="23" t="n">
        <x:v>46569</x:v>
      </x:c>
      <x:c r="D1174" s="23" t="n">
        <x:v>46569</x:v>
      </x:c>
      <x:c r="E1174" s="20" t="str">
        <x:v>P014</x:v>
      </x:c>
      <x:c r="F1174" s="20" t="str">
        <x:v>U014</x:v>
      </x:c>
      <x:c r="G1174" s="20" t="str">
        <x:v>L038</x:v>
      </x:c>
      <x:c r="H1174" s="20" t="str">
        <x:v>4000 Rental Income</x:v>
      </x:c>
      <x:c r="I1174" s="26" t="n">
        <x:v>0</x:v>
      </x:c>
      <x:c r="J1174" s="26" t="n">
        <x:v>1200</x:v>
      </x:c>
      <x:c r="K1174" s="35" t="str">
        <x:v>July 2027 rent</x:v>
      </x:c>
    </x:row>
    <x:row r="1175">
      <x:c r="A1175" s="20" t="str">
        <x:v>FIN-00584</x:v>
      </x:c>
      <x:c r="B1175" s="32" t="n">
        <x:v>1</x:v>
      </x:c>
      <x:c r="C1175" s="23" t="n">
        <x:v>46573</x:v>
      </x:c>
      <x:c r="D1175" s="23" t="n">
        <x:v>46573</x:v>
      </x:c>
      <x:c r="E1175" s="20" t="str">
        <x:v>P014</x:v>
      </x:c>
      <x:c r="F1175" s="20" t="str">
        <x:v>U014</x:v>
      </x:c>
      <x:c r="G1175" s="20" t="str">
        <x:v>L038</x:v>
      </x:c>
      <x:c r="H1175" s="20" t="str">
        <x:v>1000 Operating Cash</x:v>
      </x:c>
      <x:c r="I1175" s="26" t="n">
        <x:v>1200</x:v>
      </x:c>
      <x:c r="J1175" s="26" t="n">
        <x:v>0</x:v>
      </x:c>
      <x:c r="K1175" s="35" t="str">
        <x:v>Receipt allocated to FIN-00583</x:v>
      </x:c>
    </x:row>
    <x:row r="1176">
      <x:c r="A1176" s="20" t="str">
        <x:v>FIN-00584</x:v>
      </x:c>
      <x:c r="B1176" s="32" t="n">
        <x:v>2</x:v>
      </x:c>
      <x:c r="C1176" s="23" t="n">
        <x:v>46573</x:v>
      </x:c>
      <x:c r="D1176" s="23" t="n">
        <x:v>46573</x:v>
      </x:c>
      <x:c r="E1176" s="20" t="str">
        <x:v>P014</x:v>
      </x:c>
      <x:c r="F1176" s="20" t="str">
        <x:v>U014</x:v>
      </x:c>
      <x:c r="G1176" s="20" t="str">
        <x:v>L038</x:v>
      </x:c>
      <x:c r="H1176" s="20" t="str">
        <x:v>1100 Tenant Accounts Receivable</x:v>
      </x:c>
      <x:c r="I1176" s="26" t="n">
        <x:v>0</x:v>
      </x:c>
      <x:c r="J1176" s="26" t="n">
        <x:v>1200</x:v>
      </x:c>
      <x:c r="K1176" s="35" t="str">
        <x:v>Receipt allocated to FIN-00583</x:v>
      </x:c>
    </x:row>
    <x:row r="1177">
      <x:c r="A1177" s="20" t="str">
        <x:v>FIN-00585</x:v>
      </x:c>
      <x:c r="B1177" s="32" t="n">
        <x:v>1</x:v>
      </x:c>
      <x:c r="C1177" s="23" t="n">
        <x:v>46569</x:v>
      </x:c>
      <x:c r="D1177" s="23" t="n">
        <x:v>46569</x:v>
      </x:c>
      <x:c r="E1177" s="20" t="str">
        <x:v>P029</x:v>
      </x:c>
      <x:c r="F1177" s="20" t="str">
        <x:v>U037</x:v>
      </x:c>
      <x:c r="G1177" s="20" t="str">
        <x:v>L043</x:v>
      </x:c>
      <x:c r="H1177" s="20" t="str">
        <x:v>1100 Tenant Accounts Receivable</x:v>
      </x:c>
      <x:c r="I1177" s="26" t="n">
        <x:v>1675</x:v>
      </x:c>
      <x:c r="J1177" s="26" t="n">
        <x:v>0</x:v>
      </x:c>
      <x:c r="K1177" s="35" t="str">
        <x:v>July 2027 rent</x:v>
      </x:c>
    </x:row>
    <x:row r="1178">
      <x:c r="A1178" s="20" t="str">
        <x:v>FIN-00585</x:v>
      </x:c>
      <x:c r="B1178" s="32" t="n">
        <x:v>2</x:v>
      </x:c>
      <x:c r="C1178" s="23" t="n">
        <x:v>46569</x:v>
      </x:c>
      <x:c r="D1178" s="23" t="n">
        <x:v>46569</x:v>
      </x:c>
      <x:c r="E1178" s="20" t="str">
        <x:v>P029</x:v>
      </x:c>
      <x:c r="F1178" s="20" t="str">
        <x:v>U037</x:v>
      </x:c>
      <x:c r="G1178" s="20" t="str">
        <x:v>L043</x:v>
      </x:c>
      <x:c r="H1178" s="20" t="str">
        <x:v>4000 Rental Income</x:v>
      </x:c>
      <x:c r="I1178" s="26" t="n">
        <x:v>0</x:v>
      </x:c>
      <x:c r="J1178" s="26" t="n">
        <x:v>1675</x:v>
      </x:c>
      <x:c r="K1178" s="35" t="str">
        <x:v>July 2027 rent</x:v>
      </x:c>
    </x:row>
    <x:row r="1179">
      <x:c r="A1179" s="20" t="str">
        <x:v>FIN-00586</x:v>
      </x:c>
      <x:c r="B1179" s="32" t="n">
        <x:v>1</x:v>
      </x:c>
      <x:c r="C1179" s="23" t="n">
        <x:v>46572</x:v>
      </x:c>
      <x:c r="D1179" s="23" t="n">
        <x:v>46572</x:v>
      </x:c>
      <x:c r="E1179" s="20" t="str">
        <x:v>P029</x:v>
      </x:c>
      <x:c r="F1179" s="20" t="str">
        <x:v>U037</x:v>
      </x:c>
      <x:c r="G1179" s="20" t="str">
        <x:v>L043</x:v>
      </x:c>
      <x:c r="H1179" s="20" t="str">
        <x:v>1000 Operating Cash</x:v>
      </x:c>
      <x:c r="I1179" s="26" t="n">
        <x:v>1675</x:v>
      </x:c>
      <x:c r="J1179" s="26" t="n">
        <x:v>0</x:v>
      </x:c>
      <x:c r="K1179" s="35" t="str">
        <x:v>Receipt allocated to FIN-00585</x:v>
      </x:c>
    </x:row>
    <x:row r="1180">
      <x:c r="A1180" s="20" t="str">
        <x:v>FIN-00586</x:v>
      </x:c>
      <x:c r="B1180" s="32" t="n">
        <x:v>2</x:v>
      </x:c>
      <x:c r="C1180" s="23" t="n">
        <x:v>46572</x:v>
      </x:c>
      <x:c r="D1180" s="23" t="n">
        <x:v>46572</x:v>
      </x:c>
      <x:c r="E1180" s="20" t="str">
        <x:v>P029</x:v>
      </x:c>
      <x:c r="F1180" s="20" t="str">
        <x:v>U037</x:v>
      </x:c>
      <x:c r="G1180" s="20" t="str">
        <x:v>L043</x:v>
      </x:c>
      <x:c r="H1180" s="20" t="str">
        <x:v>1100 Tenant Accounts Receivable</x:v>
      </x:c>
      <x:c r="I1180" s="26" t="n">
        <x:v>0</x:v>
      </x:c>
      <x:c r="J1180" s="26" t="n">
        <x:v>1675</x:v>
      </x:c>
      <x:c r="K1180" s="35" t="str">
        <x:v>Receipt allocated to FIN-00585</x:v>
      </x:c>
    </x:row>
    <x:row r="1181">
      <x:c r="A1181" s="20" t="str">
        <x:v>FIN-00587</x:v>
      </x:c>
      <x:c r="B1181" s="32" t="n">
        <x:v>1</x:v>
      </x:c>
      <x:c r="C1181" s="23" t="n">
        <x:v>46569</x:v>
      </x:c>
      <x:c r="D1181" s="23" t="n">
        <x:v>46569</x:v>
      </x:c>
      <x:c r="E1181" s="20" t="str">
        <x:v>P029</x:v>
      </x:c>
      <x:c r="F1181" s="20" t="str">
        <x:v>U038</x:v>
      </x:c>
      <x:c r="G1181" s="20" t="str">
        <x:v>L044</x:v>
      </x:c>
      <x:c r="H1181" s="20" t="str">
        <x:v>1100 Tenant Accounts Receivable</x:v>
      </x:c>
      <x:c r="I1181" s="26" t="n">
        <x:v>1300</x:v>
      </x:c>
      <x:c r="J1181" s="26" t="n">
        <x:v>0</x:v>
      </x:c>
      <x:c r="K1181" s="35" t="str">
        <x:v>July 2027 rent</x:v>
      </x:c>
    </x:row>
    <x:row r="1182">
      <x:c r="A1182" s="20" t="str">
        <x:v>FIN-00587</x:v>
      </x:c>
      <x:c r="B1182" s="32" t="n">
        <x:v>2</x:v>
      </x:c>
      <x:c r="C1182" s="23" t="n">
        <x:v>46569</x:v>
      </x:c>
      <x:c r="D1182" s="23" t="n">
        <x:v>46569</x:v>
      </x:c>
      <x:c r="E1182" s="20" t="str">
        <x:v>P029</x:v>
      </x:c>
      <x:c r="F1182" s="20" t="str">
        <x:v>U038</x:v>
      </x:c>
      <x:c r="G1182" s="20" t="str">
        <x:v>L044</x:v>
      </x:c>
      <x:c r="H1182" s="20" t="str">
        <x:v>4000 Rental Income</x:v>
      </x:c>
      <x:c r="I1182" s="26" t="n">
        <x:v>0</x:v>
      </x:c>
      <x:c r="J1182" s="26" t="n">
        <x:v>1300</x:v>
      </x:c>
      <x:c r="K1182" s="35" t="str">
        <x:v>July 2027 rent</x:v>
      </x:c>
    </x:row>
    <x:row r="1183">
      <x:c r="A1183" s="20" t="str">
        <x:v>FIN-00588</x:v>
      </x:c>
      <x:c r="B1183" s="32" t="n">
        <x:v>1</x:v>
      </x:c>
      <x:c r="C1183" s="23" t="n">
        <x:v>46571</x:v>
      </x:c>
      <x:c r="D1183" s="23" t="n">
        <x:v>46571</x:v>
      </x:c>
      <x:c r="E1183" s="20" t="str">
        <x:v>P029</x:v>
      </x:c>
      <x:c r="F1183" s="20" t="str">
        <x:v>U038</x:v>
      </x:c>
      <x:c r="G1183" s="20" t="str">
        <x:v>L044</x:v>
      </x:c>
      <x:c r="H1183" s="20" t="str">
        <x:v>1000 Operating Cash</x:v>
      </x:c>
      <x:c r="I1183" s="26" t="n">
        <x:v>780</x:v>
      </x:c>
      <x:c r="J1183" s="26" t="n">
        <x:v>0</x:v>
      </x:c>
      <x:c r="K1183" s="35" t="str">
        <x:v>Receipt allocated to FIN-00587</x:v>
      </x:c>
    </x:row>
    <x:row r="1184">
      <x:c r="A1184" s="20" t="str">
        <x:v>FIN-00588</x:v>
      </x:c>
      <x:c r="B1184" s="32" t="n">
        <x:v>2</x:v>
      </x:c>
      <x:c r="C1184" s="23" t="n">
        <x:v>46571</x:v>
      </x:c>
      <x:c r="D1184" s="23" t="n">
        <x:v>46571</x:v>
      </x:c>
      <x:c r="E1184" s="20" t="str">
        <x:v>P029</x:v>
      </x:c>
      <x:c r="F1184" s="20" t="str">
        <x:v>U038</x:v>
      </x:c>
      <x:c r="G1184" s="20" t="str">
        <x:v>L044</x:v>
      </x:c>
      <x:c r="H1184" s="20" t="str">
        <x:v>1100 Tenant Accounts Receivable</x:v>
      </x:c>
      <x:c r="I1184" s="26" t="n">
        <x:v>0</x:v>
      </x:c>
      <x:c r="J1184" s="26" t="n">
        <x:v>780</x:v>
      </x:c>
      <x:c r="K1184" s="35" t="str">
        <x:v>Receipt allocated to FIN-00587</x:v>
      </x:c>
    </x:row>
    <x:row r="1185">
      <x:c r="A1185" s="20" t="str">
        <x:v>FIN-00589</x:v>
      </x:c>
      <x:c r="B1185" s="32" t="n">
        <x:v>1</x:v>
      </x:c>
      <x:c r="C1185" s="23" t="n">
        <x:v>46574</x:v>
      </x:c>
      <x:c r="D1185" s="23" t="n">
        <x:v>46574</x:v>
      </x:c>
      <x:c r="E1185" s="20" t="str">
        <x:v>P029</x:v>
      </x:c>
      <x:c r="F1185" s="20" t="str">
        <x:v>U038</x:v>
      </x:c>
      <x:c r="G1185" s="20" t="str">
        <x:v>L044</x:v>
      </x:c>
      <x:c r="H1185" s="20" t="str">
        <x:v>1100 Tenant Accounts Receivable</x:v>
      </x:c>
      <x:c r="I1185" s="26" t="n">
        <x:v>50</x:v>
      </x:c>
      <x:c r="J1185" s="26" t="n">
        <x:v>0</x:v>
      </x:c>
      <x:c r="K1185" s="35" t="str">
        <x:v>Synthetic lease-authorized late fee after partial payment</x:v>
      </x:c>
    </x:row>
    <x:row r="1186">
      <x:c r="A1186" s="20" t="str">
        <x:v>FIN-00589</x:v>
      </x:c>
      <x:c r="B1186" s="32" t="n">
        <x:v>2</x:v>
      </x:c>
      <x:c r="C1186" s="23" t="n">
        <x:v>46574</x:v>
      </x:c>
      <x:c r="D1186" s="23" t="n">
        <x:v>46574</x:v>
      </x:c>
      <x:c r="E1186" s="20" t="str">
        <x:v>P029</x:v>
      </x:c>
      <x:c r="F1186" s="20" t="str">
        <x:v>U038</x:v>
      </x:c>
      <x:c r="G1186" s="20" t="str">
        <x:v>L044</x:v>
      </x:c>
      <x:c r="H1186" s="20" t="str">
        <x:v>4010 Late Fee Income</x:v>
      </x:c>
      <x:c r="I1186" s="26" t="n">
        <x:v>0</x:v>
      </x:c>
      <x:c r="J1186" s="26" t="n">
        <x:v>50</x:v>
      </x:c>
      <x:c r="K1186" s="35" t="str">
        <x:v>Synthetic lease-authorized late fee after partial payment</x:v>
      </x:c>
    </x:row>
    <x:row r="1187">
      <x:c r="A1187" s="20" t="str">
        <x:v>FIN-00590</x:v>
      </x:c>
      <x:c r="B1187" s="32" t="n">
        <x:v>1</x:v>
      </x:c>
      <x:c r="C1187" s="23" t="n">
        <x:v>46580</x:v>
      </x:c>
      <x:c r="D1187" s="23" t="n">
        <x:v>46580</x:v>
      </x:c>
      <x:c r="E1187" s="20" t="str">
        <x:v>P029</x:v>
      </x:c>
      <x:c r="F1187" s="20" t="str">
        <x:v>U038</x:v>
      </x:c>
      <x:c r="G1187" s="20" t="str">
        <x:v>L044</x:v>
      </x:c>
      <x:c r="H1187" s="20" t="str">
        <x:v>1000 Operating Cash</x:v>
      </x:c>
      <x:c r="I1187" s="26" t="n">
        <x:v>570</x:v>
      </x:c>
      <x:c r="J1187" s="26" t="n">
        <x:v>0</x:v>
      </x:c>
      <x:c r="K1187" s="35" t="str">
        <x:v>Receipt allocated to FIN-00589</x:v>
      </x:c>
    </x:row>
    <x:row r="1188">
      <x:c r="A1188" s="20" t="str">
        <x:v>FIN-00590</x:v>
      </x:c>
      <x:c r="B1188" s="32" t="n">
        <x:v>2</x:v>
      </x:c>
      <x:c r="C1188" s="23" t="n">
        <x:v>46580</x:v>
      </x:c>
      <x:c r="D1188" s="23" t="n">
        <x:v>46580</x:v>
      </x:c>
      <x:c r="E1188" s="20" t="str">
        <x:v>P029</x:v>
      </x:c>
      <x:c r="F1188" s="20" t="str">
        <x:v>U038</x:v>
      </x:c>
      <x:c r="G1188" s="20" t="str">
        <x:v>L044</x:v>
      </x:c>
      <x:c r="H1188" s="20" t="str">
        <x:v>1100 Tenant Accounts Receivable</x:v>
      </x:c>
      <x:c r="I1188" s="26" t="n">
        <x:v>0</x:v>
      </x:c>
      <x:c r="J1188" s="26" t="n">
        <x:v>570</x:v>
      </x:c>
      <x:c r="K1188" s="35" t="str">
        <x:v>Receipt allocated to FIN-00589</x:v>
      </x:c>
    </x:row>
    <x:row r="1189">
      <x:c r="A1189" s="20" t="str">
        <x:v>FIN-00591</x:v>
      </x:c>
      <x:c r="B1189" s="32" t="n">
        <x:v>1</x:v>
      </x:c>
      <x:c r="C1189" s="23" t="n">
        <x:v>46569</x:v>
      </x:c>
      <x:c r="D1189" s="23" t="n">
        <x:v>46569</x:v>
      </x:c>
      <x:c r="E1189" s="20" t="str">
        <x:v>P030</x:v>
      </x:c>
      <x:c r="F1189" s="20" t="str">
        <x:v>U039</x:v>
      </x:c>
      <x:c r="G1189" s="20" t="str">
        <x:v>L045</x:v>
      </x:c>
      <x:c r="H1189" s="20" t="str">
        <x:v>1100 Tenant Accounts Receivable</x:v>
      </x:c>
      <x:c r="I1189" s="26" t="n">
        <x:v>1825</x:v>
      </x:c>
      <x:c r="J1189" s="26" t="n">
        <x:v>0</x:v>
      </x:c>
      <x:c r="K1189" s="35" t="str">
        <x:v>July 2027 rent</x:v>
      </x:c>
    </x:row>
    <x:row r="1190">
      <x:c r="A1190" s="20" t="str">
        <x:v>FIN-00591</x:v>
      </x:c>
      <x:c r="B1190" s="32" t="n">
        <x:v>2</x:v>
      </x:c>
      <x:c r="C1190" s="23" t="n">
        <x:v>46569</x:v>
      </x:c>
      <x:c r="D1190" s="23" t="n">
        <x:v>46569</x:v>
      </x:c>
      <x:c r="E1190" s="20" t="str">
        <x:v>P030</x:v>
      </x:c>
      <x:c r="F1190" s="20" t="str">
        <x:v>U039</x:v>
      </x:c>
      <x:c r="G1190" s="20" t="str">
        <x:v>L045</x:v>
      </x:c>
      <x:c r="H1190" s="20" t="str">
        <x:v>4000 Rental Income</x:v>
      </x:c>
      <x:c r="I1190" s="26" t="n">
        <x:v>0</x:v>
      </x:c>
      <x:c r="J1190" s="26" t="n">
        <x:v>1825</x:v>
      </x:c>
      <x:c r="K1190" s="35" t="str">
        <x:v>July 2027 rent</x:v>
      </x:c>
    </x:row>
    <x:row r="1191">
      <x:c r="A1191" s="20" t="str">
        <x:v>FIN-00592</x:v>
      </x:c>
      <x:c r="B1191" s="32" t="n">
        <x:v>1</x:v>
      </x:c>
      <x:c r="C1191" s="23" t="n">
        <x:v>46571</x:v>
      </x:c>
      <x:c r="D1191" s="23" t="n">
        <x:v>46571</x:v>
      </x:c>
      <x:c r="E1191" s="20" t="str">
        <x:v>P030</x:v>
      </x:c>
      <x:c r="F1191" s="20" t="str">
        <x:v>U039</x:v>
      </x:c>
      <x:c r="G1191" s="20" t="str">
        <x:v>L045</x:v>
      </x:c>
      <x:c r="H1191" s="20" t="str">
        <x:v>1000 Operating Cash</x:v>
      </x:c>
      <x:c r="I1191" s="26" t="n">
        <x:v>1825</x:v>
      </x:c>
      <x:c r="J1191" s="26" t="n">
        <x:v>0</x:v>
      </x:c>
      <x:c r="K1191" s="35" t="str">
        <x:v>Receipt allocated to FIN-00591</x:v>
      </x:c>
    </x:row>
    <x:row r="1192">
      <x:c r="A1192" s="20" t="str">
        <x:v>FIN-00592</x:v>
      </x:c>
      <x:c r="B1192" s="32" t="n">
        <x:v>2</x:v>
      </x:c>
      <x:c r="C1192" s="23" t="n">
        <x:v>46571</x:v>
      </x:c>
      <x:c r="D1192" s="23" t="n">
        <x:v>46571</x:v>
      </x:c>
      <x:c r="E1192" s="20" t="str">
        <x:v>P030</x:v>
      </x:c>
      <x:c r="F1192" s="20" t="str">
        <x:v>U039</x:v>
      </x:c>
      <x:c r="G1192" s="20" t="str">
        <x:v>L045</x:v>
      </x:c>
      <x:c r="H1192" s="20" t="str">
        <x:v>1100 Tenant Accounts Receivable</x:v>
      </x:c>
      <x:c r="I1192" s="26" t="n">
        <x:v>0</x:v>
      </x:c>
      <x:c r="J1192" s="26" t="n">
        <x:v>1825</x:v>
      </x:c>
      <x:c r="K1192" s="35" t="str">
        <x:v>Receipt allocated to FIN-00591</x:v>
      </x:c>
    </x:row>
    <x:row r="1193">
      <x:c r="A1193" s="20" t="str">
        <x:v>FIN-00593</x:v>
      </x:c>
      <x:c r="B1193" s="32" t="n">
        <x:v>1</x:v>
      </x:c>
      <x:c r="C1193" s="23" t="n">
        <x:v>46600</x:v>
      </x:c>
      <x:c r="D1193" s="23" t="n">
        <x:v>46600</x:v>
      </x:c>
      <x:c r="E1193" s="20" t="str">
        <x:v>P001</x:v>
      </x:c>
      <x:c r="F1193" s="20" t="str">
        <x:v>U001</x:v>
      </x:c>
      <x:c r="G1193" s="20" t="str">
        <x:v>L001</x:v>
      </x:c>
      <x:c r="H1193" s="20" t="str">
        <x:v>1100 Tenant Accounts Receivable</x:v>
      </x:c>
      <x:c r="I1193" s="26" t="n">
        <x:v>1575</x:v>
      </x:c>
      <x:c r="J1193" s="26" t="n">
        <x:v>0</x:v>
      </x:c>
      <x:c r="K1193" s="35" t="str">
        <x:v>August 2027 rent</x:v>
      </x:c>
    </x:row>
    <x:row r="1194">
      <x:c r="A1194" s="20" t="str">
        <x:v>FIN-00593</x:v>
      </x:c>
      <x:c r="B1194" s="32" t="n">
        <x:v>2</x:v>
      </x:c>
      <x:c r="C1194" s="23" t="n">
        <x:v>46600</x:v>
      </x:c>
      <x:c r="D1194" s="23" t="n">
        <x:v>46600</x:v>
      </x:c>
      <x:c r="E1194" s="20" t="str">
        <x:v>P001</x:v>
      </x:c>
      <x:c r="F1194" s="20" t="str">
        <x:v>U001</x:v>
      </x:c>
      <x:c r="G1194" s="20" t="str">
        <x:v>L001</x:v>
      </x:c>
      <x:c r="H1194" s="20" t="str">
        <x:v>4000 Rental Income</x:v>
      </x:c>
      <x:c r="I1194" s="26" t="n">
        <x:v>0</x:v>
      </x:c>
      <x:c r="J1194" s="26" t="n">
        <x:v>1575</x:v>
      </x:c>
      <x:c r="K1194" s="35" t="str">
        <x:v>August 2027 rent</x:v>
      </x:c>
    </x:row>
    <x:row r="1195">
      <x:c r="A1195" s="20" t="str">
        <x:v>FIN-00594</x:v>
      </x:c>
      <x:c r="B1195" s="32" t="n">
        <x:v>1</x:v>
      </x:c>
      <x:c r="C1195" s="23" t="n">
        <x:v>46603</x:v>
      </x:c>
      <x:c r="D1195" s="23" t="n">
        <x:v>46603</x:v>
      </x:c>
      <x:c r="E1195" s="20" t="str">
        <x:v>P001</x:v>
      </x:c>
      <x:c r="F1195" s="20" t="str">
        <x:v>U001</x:v>
      </x:c>
      <x:c r="G1195" s="20" t="str">
        <x:v>L001</x:v>
      </x:c>
      <x:c r="H1195" s="20" t="str">
        <x:v>1000 Operating Cash</x:v>
      </x:c>
      <x:c r="I1195" s="26" t="n">
        <x:v>1575</x:v>
      </x:c>
      <x:c r="J1195" s="26" t="n">
        <x:v>0</x:v>
      </x:c>
      <x:c r="K1195" s="35" t="str">
        <x:v>Receipt allocated to FIN-00593</x:v>
      </x:c>
    </x:row>
    <x:row r="1196">
      <x:c r="A1196" s="20" t="str">
        <x:v>FIN-00594</x:v>
      </x:c>
      <x:c r="B1196" s="32" t="n">
        <x:v>2</x:v>
      </x:c>
      <x:c r="C1196" s="23" t="n">
        <x:v>46603</x:v>
      </x:c>
      <x:c r="D1196" s="23" t="n">
        <x:v>46603</x:v>
      </x:c>
      <x:c r="E1196" s="20" t="str">
        <x:v>P001</x:v>
      </x:c>
      <x:c r="F1196" s="20" t="str">
        <x:v>U001</x:v>
      </x:c>
      <x:c r="G1196" s="20" t="str">
        <x:v>L001</x:v>
      </x:c>
      <x:c r="H1196" s="20" t="str">
        <x:v>1100 Tenant Accounts Receivable</x:v>
      </x:c>
      <x:c r="I1196" s="26" t="n">
        <x:v>0</x:v>
      </x:c>
      <x:c r="J1196" s="26" t="n">
        <x:v>1575</x:v>
      </x:c>
      <x:c r="K1196" s="35" t="str">
        <x:v>Receipt allocated to FIN-00593</x:v>
      </x:c>
    </x:row>
    <x:row r="1197">
      <x:c r="A1197" s="20" t="str">
        <x:v>FIN-00595</x:v>
      </x:c>
      <x:c r="B1197" s="32" t="n">
        <x:v>1</x:v>
      </x:c>
      <x:c r="C1197" s="23" t="n">
        <x:v>46600</x:v>
      </x:c>
      <x:c r="D1197" s="23" t="n">
        <x:v>46600</x:v>
      </x:c>
      <x:c r="E1197" s="20" t="str">
        <x:v>P002</x:v>
      </x:c>
      <x:c r="F1197" s="20" t="str">
        <x:v>U002</x:v>
      </x:c>
      <x:c r="G1197" s="20" t="str">
        <x:v>L002</x:v>
      </x:c>
      <x:c r="H1197" s="20" t="str">
        <x:v>1100 Tenant Accounts Receivable</x:v>
      </x:c>
      <x:c r="I1197" s="26" t="n">
        <x:v>1200</x:v>
      </x:c>
      <x:c r="J1197" s="26" t="n">
        <x:v>0</x:v>
      </x:c>
      <x:c r="K1197" s="35" t="str">
        <x:v>August 2027 rent</x:v>
      </x:c>
    </x:row>
    <x:row r="1198">
      <x:c r="A1198" s="20" t="str">
        <x:v>FIN-00595</x:v>
      </x:c>
      <x:c r="B1198" s="32" t="n">
        <x:v>2</x:v>
      </x:c>
      <x:c r="C1198" s="23" t="n">
        <x:v>46600</x:v>
      </x:c>
      <x:c r="D1198" s="23" t="n">
        <x:v>46600</x:v>
      </x:c>
      <x:c r="E1198" s="20" t="str">
        <x:v>P002</x:v>
      </x:c>
      <x:c r="F1198" s="20" t="str">
        <x:v>U002</x:v>
      </x:c>
      <x:c r="G1198" s="20" t="str">
        <x:v>L002</x:v>
      </x:c>
      <x:c r="H1198" s="20" t="str">
        <x:v>4000 Rental Income</x:v>
      </x:c>
      <x:c r="I1198" s="26" t="n">
        <x:v>0</x:v>
      </x:c>
      <x:c r="J1198" s="26" t="n">
        <x:v>1200</x:v>
      </x:c>
      <x:c r="K1198" s="35" t="str">
        <x:v>August 2027 rent</x:v>
      </x:c>
    </x:row>
    <x:row r="1199">
      <x:c r="A1199" s="20" t="str">
        <x:v>FIN-00596</x:v>
      </x:c>
      <x:c r="B1199" s="32" t="n">
        <x:v>1</x:v>
      </x:c>
      <x:c r="C1199" s="23" t="n">
        <x:v>46604</x:v>
      </x:c>
      <x:c r="D1199" s="23" t="n">
        <x:v>46604</x:v>
      </x:c>
      <x:c r="E1199" s="20" t="str">
        <x:v>P002</x:v>
      </x:c>
      <x:c r="F1199" s="20" t="str">
        <x:v>U002</x:v>
      </x:c>
      <x:c r="G1199" s="20" t="str">
        <x:v>L002</x:v>
      </x:c>
      <x:c r="H1199" s="20" t="str">
        <x:v>1000 Operating Cash</x:v>
      </x:c>
      <x:c r="I1199" s="26" t="n">
        <x:v>1200</x:v>
      </x:c>
      <x:c r="J1199" s="26" t="n">
        <x:v>0</x:v>
      </x:c>
      <x:c r="K1199" s="35" t="str">
        <x:v>Receipt allocated to FIN-00595</x:v>
      </x:c>
    </x:row>
    <x:row r="1200">
      <x:c r="A1200" s="20" t="str">
        <x:v>FIN-00596</x:v>
      </x:c>
      <x:c r="B1200" s="32" t="n">
        <x:v>2</x:v>
      </x:c>
      <x:c r="C1200" s="23" t="n">
        <x:v>46604</x:v>
      </x:c>
      <x:c r="D1200" s="23" t="n">
        <x:v>46604</x:v>
      </x:c>
      <x:c r="E1200" s="20" t="str">
        <x:v>P002</x:v>
      </x:c>
      <x:c r="F1200" s="20" t="str">
        <x:v>U002</x:v>
      </x:c>
      <x:c r="G1200" s="20" t="str">
        <x:v>L002</x:v>
      </x:c>
      <x:c r="H1200" s="20" t="str">
        <x:v>1100 Tenant Accounts Receivable</x:v>
      </x:c>
      <x:c r="I1200" s="26" t="n">
        <x:v>0</x:v>
      </x:c>
      <x:c r="J1200" s="26" t="n">
        <x:v>1200</x:v>
      </x:c>
      <x:c r="K1200" s="35" t="str">
        <x:v>Receipt allocated to FIN-00595</x:v>
      </x:c>
    </x:row>
    <x:row r="1201">
      <x:c r="A1201" s="20" t="str">
        <x:v>FIN-00597</x:v>
      </x:c>
      <x:c r="B1201" s="32" t="n">
        <x:v>1</x:v>
      </x:c>
      <x:c r="C1201" s="23" t="n">
        <x:v>46600</x:v>
      </x:c>
      <x:c r="D1201" s="23" t="n">
        <x:v>46600</x:v>
      </x:c>
      <x:c r="E1201" s="20" t="str">
        <x:v>P003</x:v>
      </x:c>
      <x:c r="F1201" s="20" t="str">
        <x:v>U003</x:v>
      </x:c>
      <x:c r="G1201" s="20" t="str">
        <x:v>L003</x:v>
      </x:c>
      <x:c r="H1201" s="20" t="str">
        <x:v>1100 Tenant Accounts Receivable</x:v>
      </x:c>
      <x:c r="I1201" s="26" t="n">
        <x:v>1725</x:v>
      </x:c>
      <x:c r="J1201" s="26" t="n">
        <x:v>0</x:v>
      </x:c>
      <x:c r="K1201" s="35" t="str">
        <x:v>August 2027 rent</x:v>
      </x:c>
    </x:row>
    <x:row r="1202">
      <x:c r="A1202" s="20" t="str">
        <x:v>FIN-00597</x:v>
      </x:c>
      <x:c r="B1202" s="32" t="n">
        <x:v>2</x:v>
      </x:c>
      <x:c r="C1202" s="23" t="n">
        <x:v>46600</x:v>
      </x:c>
      <x:c r="D1202" s="23" t="n">
        <x:v>46600</x:v>
      </x:c>
      <x:c r="E1202" s="20" t="str">
        <x:v>P003</x:v>
      </x:c>
      <x:c r="F1202" s="20" t="str">
        <x:v>U003</x:v>
      </x:c>
      <x:c r="G1202" s="20" t="str">
        <x:v>L003</x:v>
      </x:c>
      <x:c r="H1202" s="20" t="str">
        <x:v>4000 Rental Income</x:v>
      </x:c>
      <x:c r="I1202" s="26" t="n">
        <x:v>0</x:v>
      </x:c>
      <x:c r="J1202" s="26" t="n">
        <x:v>1725</x:v>
      </x:c>
      <x:c r="K1202" s="35" t="str">
        <x:v>August 2027 rent</x:v>
      </x:c>
    </x:row>
    <x:row r="1203">
      <x:c r="A1203" s="20" t="str">
        <x:v>FIN-00598</x:v>
      </x:c>
      <x:c r="B1203" s="32" t="n">
        <x:v>1</x:v>
      </x:c>
      <x:c r="C1203" s="23" t="n">
        <x:v>46602</x:v>
      </x:c>
      <x:c r="D1203" s="23" t="n">
        <x:v>46602</x:v>
      </x:c>
      <x:c r="E1203" s="20" t="str">
        <x:v>P003</x:v>
      </x:c>
      <x:c r="F1203" s="20" t="str">
        <x:v>U003</x:v>
      </x:c>
      <x:c r="G1203" s="20" t="str">
        <x:v>L003</x:v>
      </x:c>
      <x:c r="H1203" s="20" t="str">
        <x:v>1000 Operating Cash</x:v>
      </x:c>
      <x:c r="I1203" s="26" t="n">
        <x:v>1725</x:v>
      </x:c>
      <x:c r="J1203" s="26" t="n">
        <x:v>0</x:v>
      </x:c>
      <x:c r="K1203" s="35" t="str">
        <x:v>Receipt allocated to FIN-00597</x:v>
      </x:c>
    </x:row>
    <x:row r="1204">
      <x:c r="A1204" s="20" t="str">
        <x:v>FIN-00598</x:v>
      </x:c>
      <x:c r="B1204" s="32" t="n">
        <x:v>2</x:v>
      </x:c>
      <x:c r="C1204" s="23" t="n">
        <x:v>46602</x:v>
      </x:c>
      <x:c r="D1204" s="23" t="n">
        <x:v>46602</x:v>
      </x:c>
      <x:c r="E1204" s="20" t="str">
        <x:v>P003</x:v>
      </x:c>
      <x:c r="F1204" s="20" t="str">
        <x:v>U003</x:v>
      </x:c>
      <x:c r="G1204" s="20" t="str">
        <x:v>L003</x:v>
      </x:c>
      <x:c r="H1204" s="20" t="str">
        <x:v>1100 Tenant Accounts Receivable</x:v>
      </x:c>
      <x:c r="I1204" s="26" t="n">
        <x:v>0</x:v>
      </x:c>
      <x:c r="J1204" s="26" t="n">
        <x:v>1725</x:v>
      </x:c>
      <x:c r="K1204" s="35" t="str">
        <x:v>Receipt allocated to FIN-00597</x:v>
      </x:c>
    </x:row>
    <x:row r="1205">
      <x:c r="A1205" s="20" t="str">
        <x:v>FIN-00599</x:v>
      </x:c>
      <x:c r="B1205" s="32" t="n">
        <x:v>1</x:v>
      </x:c>
      <x:c r="C1205" s="23" t="n">
        <x:v>46600</x:v>
      </x:c>
      <x:c r="D1205" s="23" t="n">
        <x:v>46600</x:v>
      </x:c>
      <x:c r="E1205" s="20" t="str">
        <x:v>P004</x:v>
      </x:c>
      <x:c r="F1205" s="20" t="str">
        <x:v>U004</x:v>
      </x:c>
      <x:c r="G1205" s="20" t="str">
        <x:v>L004</x:v>
      </x:c>
      <x:c r="H1205" s="20" t="str">
        <x:v>1100 Tenant Accounts Receivable</x:v>
      </x:c>
      <x:c r="I1205" s="26" t="n">
        <x:v>1350</x:v>
      </x:c>
      <x:c r="J1205" s="26" t="n">
        <x:v>0</x:v>
      </x:c>
      <x:c r="K1205" s="35" t="str">
        <x:v>August 2027 rent</x:v>
      </x:c>
    </x:row>
    <x:row r="1206">
      <x:c r="A1206" s="20" t="str">
        <x:v>FIN-00599</x:v>
      </x:c>
      <x:c r="B1206" s="32" t="n">
        <x:v>2</x:v>
      </x:c>
      <x:c r="C1206" s="23" t="n">
        <x:v>46600</x:v>
      </x:c>
      <x:c r="D1206" s="23" t="n">
        <x:v>46600</x:v>
      </x:c>
      <x:c r="E1206" s="20" t="str">
        <x:v>P004</x:v>
      </x:c>
      <x:c r="F1206" s="20" t="str">
        <x:v>U004</x:v>
      </x:c>
      <x:c r="G1206" s="20" t="str">
        <x:v>L004</x:v>
      </x:c>
      <x:c r="H1206" s="20" t="str">
        <x:v>4000 Rental Income</x:v>
      </x:c>
      <x:c r="I1206" s="26" t="n">
        <x:v>0</x:v>
      </x:c>
      <x:c r="J1206" s="26" t="n">
        <x:v>1350</x:v>
      </x:c>
      <x:c r="K1206" s="35" t="str">
        <x:v>August 2027 rent</x:v>
      </x:c>
    </x:row>
    <x:row r="1207">
      <x:c r="A1207" s="20" t="str">
        <x:v>FIN-00600</x:v>
      </x:c>
      <x:c r="B1207" s="32" t="n">
        <x:v>1</x:v>
      </x:c>
      <x:c r="C1207" s="23" t="n">
        <x:v>46603</x:v>
      </x:c>
      <x:c r="D1207" s="23" t="n">
        <x:v>46603</x:v>
      </x:c>
      <x:c r="E1207" s="20" t="str">
        <x:v>P004</x:v>
      </x:c>
      <x:c r="F1207" s="20" t="str">
        <x:v>U004</x:v>
      </x:c>
      <x:c r="G1207" s="20" t="str">
        <x:v>L004</x:v>
      </x:c>
      <x:c r="H1207" s="20" t="str">
        <x:v>1000 Operating Cash</x:v>
      </x:c>
      <x:c r="I1207" s="26" t="n">
        <x:v>1350</x:v>
      </x:c>
      <x:c r="J1207" s="26" t="n">
        <x:v>0</x:v>
      </x:c>
      <x:c r="K1207" s="35" t="str">
        <x:v>Receipt allocated to FIN-00599</x:v>
      </x:c>
    </x:row>
    <x:row r="1208">
      <x:c r="A1208" s="20" t="str">
        <x:v>FIN-00600</x:v>
      </x:c>
      <x:c r="B1208" s="32" t="n">
        <x:v>2</x:v>
      </x:c>
      <x:c r="C1208" s="23" t="n">
        <x:v>46603</x:v>
      </x:c>
      <x:c r="D1208" s="23" t="n">
        <x:v>46603</x:v>
      </x:c>
      <x:c r="E1208" s="20" t="str">
        <x:v>P004</x:v>
      </x:c>
      <x:c r="F1208" s="20" t="str">
        <x:v>U004</x:v>
      </x:c>
      <x:c r="G1208" s="20" t="str">
        <x:v>L004</x:v>
      </x:c>
      <x:c r="H1208" s="20" t="str">
        <x:v>1100 Tenant Accounts Receivable</x:v>
      </x:c>
      <x:c r="I1208" s="26" t="n">
        <x:v>0</x:v>
      </x:c>
      <x:c r="J1208" s="26" t="n">
        <x:v>1350</x:v>
      </x:c>
      <x:c r="K1208" s="35" t="str">
        <x:v>Receipt allocated to FIN-00599</x:v>
      </x:c>
    </x:row>
    <x:row r="1209">
      <x:c r="A1209" s="20" t="str">
        <x:v>FIN-00601</x:v>
      </x:c>
      <x:c r="B1209" s="32" t="n">
        <x:v>1</x:v>
      </x:c>
      <x:c r="C1209" s="23" t="n">
        <x:v>46600</x:v>
      </x:c>
      <x:c r="D1209" s="23" t="n">
        <x:v>46600</x:v>
      </x:c>
      <x:c r="E1209" s="20" t="str">
        <x:v>P006</x:v>
      </x:c>
      <x:c r="F1209" s="20" t="str">
        <x:v>U006</x:v>
      </x:c>
      <x:c r="G1209" s="20" t="str">
        <x:v>L006</x:v>
      </x:c>
      <x:c r="H1209" s="20" t="str">
        <x:v>1100 Tenant Accounts Receivable</x:v>
      </x:c>
      <x:c r="I1209" s="26" t="n">
        <x:v>1500</x:v>
      </x:c>
      <x:c r="J1209" s="26" t="n">
        <x:v>0</x:v>
      </x:c>
      <x:c r="K1209" s="35" t="str">
        <x:v>August 2027 rent</x:v>
      </x:c>
    </x:row>
    <x:row r="1210">
      <x:c r="A1210" s="20" t="str">
        <x:v>FIN-00601</x:v>
      </x:c>
      <x:c r="B1210" s="32" t="n">
        <x:v>2</x:v>
      </x:c>
      <x:c r="C1210" s="23" t="n">
        <x:v>46600</x:v>
      </x:c>
      <x:c r="D1210" s="23" t="n">
        <x:v>46600</x:v>
      </x:c>
      <x:c r="E1210" s="20" t="str">
        <x:v>P006</x:v>
      </x:c>
      <x:c r="F1210" s="20" t="str">
        <x:v>U006</x:v>
      </x:c>
      <x:c r="G1210" s="20" t="str">
        <x:v>L006</x:v>
      </x:c>
      <x:c r="H1210" s="20" t="str">
        <x:v>4000 Rental Income</x:v>
      </x:c>
      <x:c r="I1210" s="26" t="n">
        <x:v>0</x:v>
      </x:c>
      <x:c r="J1210" s="26" t="n">
        <x:v>1500</x:v>
      </x:c>
      <x:c r="K1210" s="35" t="str">
        <x:v>August 2027 rent</x:v>
      </x:c>
    </x:row>
    <x:row r="1211">
      <x:c r="A1211" s="20" t="str">
        <x:v>FIN-00602</x:v>
      </x:c>
      <x:c r="B1211" s="32" t="n">
        <x:v>1</x:v>
      </x:c>
      <x:c r="C1211" s="23" t="n">
        <x:v>46602</x:v>
      </x:c>
      <x:c r="D1211" s="23" t="n">
        <x:v>46602</x:v>
      </x:c>
      <x:c r="E1211" s="20" t="str">
        <x:v>P006</x:v>
      </x:c>
      <x:c r="F1211" s="20" t="str">
        <x:v>U006</x:v>
      </x:c>
      <x:c r="G1211" s="20" t="str">
        <x:v>L006</x:v>
      </x:c>
      <x:c r="H1211" s="20" t="str">
        <x:v>1000 Operating Cash</x:v>
      </x:c>
      <x:c r="I1211" s="26" t="n">
        <x:v>1500</x:v>
      </x:c>
      <x:c r="J1211" s="26" t="n">
        <x:v>0</x:v>
      </x:c>
      <x:c r="K1211" s="35" t="str">
        <x:v>Receipt allocated to FIN-00601</x:v>
      </x:c>
    </x:row>
    <x:row r="1212">
      <x:c r="A1212" s="20" t="str">
        <x:v>FIN-00602</x:v>
      </x:c>
      <x:c r="B1212" s="32" t="n">
        <x:v>2</x:v>
      </x:c>
      <x:c r="C1212" s="23" t="n">
        <x:v>46602</x:v>
      </x:c>
      <x:c r="D1212" s="23" t="n">
        <x:v>46602</x:v>
      </x:c>
      <x:c r="E1212" s="20" t="str">
        <x:v>P006</x:v>
      </x:c>
      <x:c r="F1212" s="20" t="str">
        <x:v>U006</x:v>
      </x:c>
      <x:c r="G1212" s="20" t="str">
        <x:v>L006</x:v>
      </x:c>
      <x:c r="H1212" s="20" t="str">
        <x:v>1100 Tenant Accounts Receivable</x:v>
      </x:c>
      <x:c r="I1212" s="26" t="n">
        <x:v>0</x:v>
      </x:c>
      <x:c r="J1212" s="26" t="n">
        <x:v>1500</x:v>
      </x:c>
      <x:c r="K1212" s="35" t="str">
        <x:v>Receipt allocated to FIN-00601</x:v>
      </x:c>
    </x:row>
    <x:row r="1213">
      <x:c r="A1213" s="20" t="str">
        <x:v>FIN-00603</x:v>
      </x:c>
      <x:c r="B1213" s="32" t="n">
        <x:v>1</x:v>
      </x:c>
      <x:c r="C1213" s="23" t="n">
        <x:v>46600</x:v>
      </x:c>
      <x:c r="D1213" s="23" t="n">
        <x:v>46600</x:v>
      </x:c>
      <x:c r="E1213" s="20" t="str">
        <x:v>P007</x:v>
      </x:c>
      <x:c r="F1213" s="20" t="str">
        <x:v>U007</x:v>
      </x:c>
      <x:c r="G1213" s="20" t="str">
        <x:v>L007</x:v>
      </x:c>
      <x:c r="H1213" s="20" t="str">
        <x:v>1100 Tenant Accounts Receivable</x:v>
      </x:c>
      <x:c r="I1213" s="26" t="n">
        <x:v>1125</x:v>
      </x:c>
      <x:c r="J1213" s="26" t="n">
        <x:v>0</x:v>
      </x:c>
      <x:c r="K1213" s="35" t="str">
        <x:v>August 2027 rent</x:v>
      </x:c>
    </x:row>
    <x:row r="1214">
      <x:c r="A1214" s="20" t="str">
        <x:v>FIN-00603</x:v>
      </x:c>
      <x:c r="B1214" s="32" t="n">
        <x:v>2</x:v>
      </x:c>
      <x:c r="C1214" s="23" t="n">
        <x:v>46600</x:v>
      </x:c>
      <x:c r="D1214" s="23" t="n">
        <x:v>46600</x:v>
      </x:c>
      <x:c r="E1214" s="20" t="str">
        <x:v>P007</x:v>
      </x:c>
      <x:c r="F1214" s="20" t="str">
        <x:v>U007</x:v>
      </x:c>
      <x:c r="G1214" s="20" t="str">
        <x:v>L007</x:v>
      </x:c>
      <x:c r="H1214" s="20" t="str">
        <x:v>4000 Rental Income</x:v>
      </x:c>
      <x:c r="I1214" s="26" t="n">
        <x:v>0</x:v>
      </x:c>
      <x:c r="J1214" s="26" t="n">
        <x:v>1125</x:v>
      </x:c>
      <x:c r="K1214" s="35" t="str">
        <x:v>August 2027 rent</x:v>
      </x:c>
    </x:row>
    <x:row r="1215">
      <x:c r="A1215" s="20" t="str">
        <x:v>FIN-00604</x:v>
      </x:c>
      <x:c r="B1215" s="32" t="n">
        <x:v>1</x:v>
      </x:c>
      <x:c r="C1215" s="23" t="n">
        <x:v>46603</x:v>
      </x:c>
      <x:c r="D1215" s="23" t="n">
        <x:v>46603</x:v>
      </x:c>
      <x:c r="E1215" s="20" t="str">
        <x:v>P007</x:v>
      </x:c>
      <x:c r="F1215" s="20" t="str">
        <x:v>U007</x:v>
      </x:c>
      <x:c r="G1215" s="20" t="str">
        <x:v>L007</x:v>
      </x:c>
      <x:c r="H1215" s="20" t="str">
        <x:v>1000 Operating Cash</x:v>
      </x:c>
      <x:c r="I1215" s="26" t="n">
        <x:v>1125</x:v>
      </x:c>
      <x:c r="J1215" s="26" t="n">
        <x:v>0</x:v>
      </x:c>
      <x:c r="K1215" s="35" t="str">
        <x:v>Receipt allocated to FIN-00603</x:v>
      </x:c>
    </x:row>
    <x:row r="1216">
      <x:c r="A1216" s="20" t="str">
        <x:v>FIN-00604</x:v>
      </x:c>
      <x:c r="B1216" s="32" t="n">
        <x:v>2</x:v>
      </x:c>
      <x:c r="C1216" s="23" t="n">
        <x:v>46603</x:v>
      </x:c>
      <x:c r="D1216" s="23" t="n">
        <x:v>46603</x:v>
      </x:c>
      <x:c r="E1216" s="20" t="str">
        <x:v>P007</x:v>
      </x:c>
      <x:c r="F1216" s="20" t="str">
        <x:v>U007</x:v>
      </x:c>
      <x:c r="G1216" s="20" t="str">
        <x:v>L007</x:v>
      </x:c>
      <x:c r="H1216" s="20" t="str">
        <x:v>1100 Tenant Accounts Receivable</x:v>
      </x:c>
      <x:c r="I1216" s="26" t="n">
        <x:v>0</x:v>
      </x:c>
      <x:c r="J1216" s="26" t="n">
        <x:v>1125</x:v>
      </x:c>
      <x:c r="K1216" s="35" t="str">
        <x:v>Receipt allocated to FIN-00603</x:v>
      </x:c>
    </x:row>
    <x:row r="1217">
      <x:c r="A1217" s="20" t="str">
        <x:v>FIN-00605</x:v>
      </x:c>
      <x:c r="B1217" s="32" t="n">
        <x:v>1</x:v>
      </x:c>
      <x:c r="C1217" s="23" t="n">
        <x:v>46600</x:v>
      </x:c>
      <x:c r="D1217" s="23" t="n">
        <x:v>46600</x:v>
      </x:c>
      <x:c r="E1217" s="20" t="str">
        <x:v>P008</x:v>
      </x:c>
      <x:c r="F1217" s="20" t="str">
        <x:v>U008</x:v>
      </x:c>
      <x:c r="G1217" s="20" t="str">
        <x:v>L008</x:v>
      </x:c>
      <x:c r="H1217" s="20" t="str">
        <x:v>1100 Tenant Accounts Receivable</x:v>
      </x:c>
      <x:c r="I1217" s="26" t="n">
        <x:v>1650</x:v>
      </x:c>
      <x:c r="J1217" s="26" t="n">
        <x:v>0</x:v>
      </x:c>
      <x:c r="K1217" s="35" t="str">
        <x:v>August 2027 rent</x:v>
      </x:c>
    </x:row>
    <x:row r="1218">
      <x:c r="A1218" s="20" t="str">
        <x:v>FIN-00605</x:v>
      </x:c>
      <x:c r="B1218" s="32" t="n">
        <x:v>2</x:v>
      </x:c>
      <x:c r="C1218" s="23" t="n">
        <x:v>46600</x:v>
      </x:c>
      <x:c r="D1218" s="23" t="n">
        <x:v>46600</x:v>
      </x:c>
      <x:c r="E1218" s="20" t="str">
        <x:v>P008</x:v>
      </x:c>
      <x:c r="F1218" s="20" t="str">
        <x:v>U008</x:v>
      </x:c>
      <x:c r="G1218" s="20" t="str">
        <x:v>L008</x:v>
      </x:c>
      <x:c r="H1218" s="20" t="str">
        <x:v>4000 Rental Income</x:v>
      </x:c>
      <x:c r="I1218" s="26" t="n">
        <x:v>0</x:v>
      </x:c>
      <x:c r="J1218" s="26" t="n">
        <x:v>1650</x:v>
      </x:c>
      <x:c r="K1218" s="35" t="str">
        <x:v>August 2027 rent</x:v>
      </x:c>
    </x:row>
    <x:row r="1219">
      <x:c r="A1219" s="20" t="str">
        <x:v>FIN-00606</x:v>
      </x:c>
      <x:c r="B1219" s="32" t="n">
        <x:v>1</x:v>
      </x:c>
      <x:c r="C1219" s="23" t="n">
        <x:v>46604</x:v>
      </x:c>
      <x:c r="D1219" s="23" t="n">
        <x:v>46604</x:v>
      </x:c>
      <x:c r="E1219" s="20" t="str">
        <x:v>P008</x:v>
      </x:c>
      <x:c r="F1219" s="20" t="str">
        <x:v>U008</x:v>
      </x:c>
      <x:c r="G1219" s="20" t="str">
        <x:v>L008</x:v>
      </x:c>
      <x:c r="H1219" s="20" t="str">
        <x:v>1000 Operating Cash</x:v>
      </x:c>
      <x:c r="I1219" s="26" t="n">
        <x:v>1650</x:v>
      </x:c>
      <x:c r="J1219" s="26" t="n">
        <x:v>0</x:v>
      </x:c>
      <x:c r="K1219" s="35" t="str">
        <x:v>Receipt allocated to FIN-00605</x:v>
      </x:c>
    </x:row>
    <x:row r="1220">
      <x:c r="A1220" s="20" t="str">
        <x:v>FIN-00606</x:v>
      </x:c>
      <x:c r="B1220" s="32" t="n">
        <x:v>2</x:v>
      </x:c>
      <x:c r="C1220" s="23" t="n">
        <x:v>46604</x:v>
      </x:c>
      <x:c r="D1220" s="23" t="n">
        <x:v>46604</x:v>
      </x:c>
      <x:c r="E1220" s="20" t="str">
        <x:v>P008</x:v>
      </x:c>
      <x:c r="F1220" s="20" t="str">
        <x:v>U008</x:v>
      </x:c>
      <x:c r="G1220" s="20" t="str">
        <x:v>L008</x:v>
      </x:c>
      <x:c r="H1220" s="20" t="str">
        <x:v>1100 Tenant Accounts Receivable</x:v>
      </x:c>
      <x:c r="I1220" s="26" t="n">
        <x:v>0</x:v>
      </x:c>
      <x:c r="J1220" s="26" t="n">
        <x:v>1650</x:v>
      </x:c>
      <x:c r="K1220" s="35" t="str">
        <x:v>Receipt allocated to FIN-00605</x:v>
      </x:c>
    </x:row>
    <x:row r="1221">
      <x:c r="A1221" s="20" t="str">
        <x:v>FIN-00607</x:v>
      </x:c>
      <x:c r="B1221" s="32" t="n">
        <x:v>1</x:v>
      </x:c>
      <x:c r="C1221" s="23" t="n">
        <x:v>46600</x:v>
      </x:c>
      <x:c r="D1221" s="23" t="n">
        <x:v>46600</x:v>
      </x:c>
      <x:c r="E1221" s="20" t="str">
        <x:v>P009</x:v>
      </x:c>
      <x:c r="F1221" s="20" t="str">
        <x:v>U009</x:v>
      </x:c>
      <x:c r="G1221" s="20" t="str">
        <x:v>L009</x:v>
      </x:c>
      <x:c r="H1221" s="20" t="str">
        <x:v>1100 Tenant Accounts Receivable</x:v>
      </x:c>
      <x:c r="I1221" s="26" t="n">
        <x:v>1275</x:v>
      </x:c>
      <x:c r="J1221" s="26" t="n">
        <x:v>0</x:v>
      </x:c>
      <x:c r="K1221" s="35" t="str">
        <x:v>August 2027 rent</x:v>
      </x:c>
    </x:row>
    <x:row r="1222">
      <x:c r="A1222" s="20" t="str">
        <x:v>FIN-00607</x:v>
      </x:c>
      <x:c r="B1222" s="32" t="n">
        <x:v>2</x:v>
      </x:c>
      <x:c r="C1222" s="23" t="n">
        <x:v>46600</x:v>
      </x:c>
      <x:c r="D1222" s="23" t="n">
        <x:v>46600</x:v>
      </x:c>
      <x:c r="E1222" s="20" t="str">
        <x:v>P009</x:v>
      </x:c>
      <x:c r="F1222" s="20" t="str">
        <x:v>U009</x:v>
      </x:c>
      <x:c r="G1222" s="20" t="str">
        <x:v>L009</x:v>
      </x:c>
      <x:c r="H1222" s="20" t="str">
        <x:v>4000 Rental Income</x:v>
      </x:c>
      <x:c r="I1222" s="26" t="n">
        <x:v>0</x:v>
      </x:c>
      <x:c r="J1222" s="26" t="n">
        <x:v>1275</x:v>
      </x:c>
      <x:c r="K1222" s="35" t="str">
        <x:v>August 2027 rent</x:v>
      </x:c>
    </x:row>
    <x:row r="1223">
      <x:c r="A1223" s="20" t="str">
        <x:v>FIN-00608</x:v>
      </x:c>
      <x:c r="B1223" s="32" t="n">
        <x:v>1</x:v>
      </x:c>
      <x:c r="C1223" s="23" t="n">
        <x:v>46602</x:v>
      </x:c>
      <x:c r="D1223" s="23" t="n">
        <x:v>46602</x:v>
      </x:c>
      <x:c r="E1223" s="20" t="str">
        <x:v>P009</x:v>
      </x:c>
      <x:c r="F1223" s="20" t="str">
        <x:v>U009</x:v>
      </x:c>
      <x:c r="G1223" s="20" t="str">
        <x:v>L009</x:v>
      </x:c>
      <x:c r="H1223" s="20" t="str">
        <x:v>1000 Operating Cash</x:v>
      </x:c>
      <x:c r="I1223" s="26" t="n">
        <x:v>1275</x:v>
      </x:c>
      <x:c r="J1223" s="26" t="n">
        <x:v>0</x:v>
      </x:c>
      <x:c r="K1223" s="35" t="str">
        <x:v>Receipt allocated to FIN-00607</x:v>
      </x:c>
    </x:row>
    <x:row r="1224">
      <x:c r="A1224" s="20" t="str">
        <x:v>FIN-00608</x:v>
      </x:c>
      <x:c r="B1224" s="32" t="n">
        <x:v>2</x:v>
      </x:c>
      <x:c r="C1224" s="23" t="n">
        <x:v>46602</x:v>
      </x:c>
      <x:c r="D1224" s="23" t="n">
        <x:v>46602</x:v>
      </x:c>
      <x:c r="E1224" s="20" t="str">
        <x:v>P009</x:v>
      </x:c>
      <x:c r="F1224" s="20" t="str">
        <x:v>U009</x:v>
      </x:c>
      <x:c r="G1224" s="20" t="str">
        <x:v>L009</x:v>
      </x:c>
      <x:c r="H1224" s="20" t="str">
        <x:v>1100 Tenant Accounts Receivable</x:v>
      </x:c>
      <x:c r="I1224" s="26" t="n">
        <x:v>0</x:v>
      </x:c>
      <x:c r="J1224" s="26" t="n">
        <x:v>1275</x:v>
      </x:c>
      <x:c r="K1224" s="35" t="str">
        <x:v>Receipt allocated to FIN-00607</x:v>
      </x:c>
    </x:row>
    <x:row r="1225">
      <x:c r="A1225" s="20" t="str">
        <x:v>FIN-00609</x:v>
      </x:c>
      <x:c r="B1225" s="32" t="n">
        <x:v>1</x:v>
      </x:c>
      <x:c r="C1225" s="23" t="n">
        <x:v>46600</x:v>
      </x:c>
      <x:c r="D1225" s="23" t="n">
        <x:v>46600</x:v>
      </x:c>
      <x:c r="E1225" s="20" t="str">
        <x:v>P010</x:v>
      </x:c>
      <x:c r="F1225" s="20" t="str">
        <x:v>U010</x:v>
      </x:c>
      <x:c r="G1225" s="20" t="str">
        <x:v>L010</x:v>
      </x:c>
      <x:c r="H1225" s="20" t="str">
        <x:v>1100 Tenant Accounts Receivable</x:v>
      </x:c>
      <x:c r="I1225" s="26" t="n">
        <x:v>1800</x:v>
      </x:c>
      <x:c r="J1225" s="26" t="n">
        <x:v>0</x:v>
      </x:c>
      <x:c r="K1225" s="35" t="str">
        <x:v>August 2027 rent</x:v>
      </x:c>
    </x:row>
    <x:row r="1226">
      <x:c r="A1226" s="20" t="str">
        <x:v>FIN-00609</x:v>
      </x:c>
      <x:c r="B1226" s="32" t="n">
        <x:v>2</x:v>
      </x:c>
      <x:c r="C1226" s="23" t="n">
        <x:v>46600</x:v>
      </x:c>
      <x:c r="D1226" s="23" t="n">
        <x:v>46600</x:v>
      </x:c>
      <x:c r="E1226" s="20" t="str">
        <x:v>P010</x:v>
      </x:c>
      <x:c r="F1226" s="20" t="str">
        <x:v>U010</x:v>
      </x:c>
      <x:c r="G1226" s="20" t="str">
        <x:v>L010</x:v>
      </x:c>
      <x:c r="H1226" s="20" t="str">
        <x:v>4000 Rental Income</x:v>
      </x:c>
      <x:c r="I1226" s="26" t="n">
        <x:v>0</x:v>
      </x:c>
      <x:c r="J1226" s="26" t="n">
        <x:v>1800</x:v>
      </x:c>
      <x:c r="K1226" s="35" t="str">
        <x:v>August 2027 rent</x:v>
      </x:c>
    </x:row>
    <x:row r="1227">
      <x:c r="A1227" s="20" t="str">
        <x:v>FIN-00610</x:v>
      </x:c>
      <x:c r="B1227" s="32" t="n">
        <x:v>1</x:v>
      </x:c>
      <x:c r="C1227" s="23" t="n">
        <x:v>46603</x:v>
      </x:c>
      <x:c r="D1227" s="23" t="n">
        <x:v>46603</x:v>
      </x:c>
      <x:c r="E1227" s="20" t="str">
        <x:v>P010</x:v>
      </x:c>
      <x:c r="F1227" s="20" t="str">
        <x:v>U010</x:v>
      </x:c>
      <x:c r="G1227" s="20" t="str">
        <x:v>L010</x:v>
      </x:c>
      <x:c r="H1227" s="20" t="str">
        <x:v>1000 Operating Cash</x:v>
      </x:c>
      <x:c r="I1227" s="26" t="n">
        <x:v>1800</x:v>
      </x:c>
      <x:c r="J1227" s="26" t="n">
        <x:v>0</x:v>
      </x:c>
      <x:c r="K1227" s="35" t="str">
        <x:v>Receipt allocated to FIN-00609</x:v>
      </x:c>
    </x:row>
    <x:row r="1228">
      <x:c r="A1228" s="20" t="str">
        <x:v>FIN-00610</x:v>
      </x:c>
      <x:c r="B1228" s="32" t="n">
        <x:v>2</x:v>
      </x:c>
      <x:c r="C1228" s="23" t="n">
        <x:v>46603</x:v>
      </x:c>
      <x:c r="D1228" s="23" t="n">
        <x:v>46603</x:v>
      </x:c>
      <x:c r="E1228" s="20" t="str">
        <x:v>P010</x:v>
      </x:c>
      <x:c r="F1228" s="20" t="str">
        <x:v>U010</x:v>
      </x:c>
      <x:c r="G1228" s="20" t="str">
        <x:v>L010</x:v>
      </x:c>
      <x:c r="H1228" s="20" t="str">
        <x:v>1100 Tenant Accounts Receivable</x:v>
      </x:c>
      <x:c r="I1228" s="26" t="n">
        <x:v>0</x:v>
      </x:c>
      <x:c r="J1228" s="26" t="n">
        <x:v>1800</x:v>
      </x:c>
      <x:c r="K1228" s="35" t="str">
        <x:v>Receipt allocated to FIN-00609</x:v>
      </x:c>
    </x:row>
    <x:row r="1229">
      <x:c r="A1229" s="20" t="str">
        <x:v>FIN-00611</x:v>
      </x:c>
      <x:c r="B1229" s="32" t="n">
        <x:v>1</x:v>
      </x:c>
      <x:c r="C1229" s="23" t="n">
        <x:v>46600</x:v>
      </x:c>
      <x:c r="D1229" s="23" t="n">
        <x:v>46600</x:v>
      </x:c>
      <x:c r="E1229" s="20" t="str">
        <x:v>P011</x:v>
      </x:c>
      <x:c r="F1229" s="20" t="str">
        <x:v>U011</x:v>
      </x:c>
      <x:c r="G1229" s="20" t="str">
        <x:v>L011</x:v>
      </x:c>
      <x:c r="H1229" s="20" t="str">
        <x:v>1100 Tenant Accounts Receivable</x:v>
      </x:c>
      <x:c r="I1229" s="26" t="n">
        <x:v>1425</x:v>
      </x:c>
      <x:c r="J1229" s="26" t="n">
        <x:v>0</x:v>
      </x:c>
      <x:c r="K1229" s="35" t="str">
        <x:v>August 2027 rent</x:v>
      </x:c>
    </x:row>
    <x:row r="1230">
      <x:c r="A1230" s="20" t="str">
        <x:v>FIN-00611</x:v>
      </x:c>
      <x:c r="B1230" s="32" t="n">
        <x:v>2</x:v>
      </x:c>
      <x:c r="C1230" s="23" t="n">
        <x:v>46600</x:v>
      </x:c>
      <x:c r="D1230" s="23" t="n">
        <x:v>46600</x:v>
      </x:c>
      <x:c r="E1230" s="20" t="str">
        <x:v>P011</x:v>
      </x:c>
      <x:c r="F1230" s="20" t="str">
        <x:v>U011</x:v>
      </x:c>
      <x:c r="G1230" s="20" t="str">
        <x:v>L011</x:v>
      </x:c>
      <x:c r="H1230" s="20" t="str">
        <x:v>4000 Rental Income</x:v>
      </x:c>
      <x:c r="I1230" s="26" t="n">
        <x:v>0</x:v>
      </x:c>
      <x:c r="J1230" s="26" t="n">
        <x:v>1425</x:v>
      </x:c>
      <x:c r="K1230" s="35" t="str">
        <x:v>August 2027 rent</x:v>
      </x:c>
    </x:row>
    <x:row r="1231">
      <x:c r="A1231" s="20" t="str">
        <x:v>FIN-00612</x:v>
      </x:c>
      <x:c r="B1231" s="32" t="n">
        <x:v>1</x:v>
      </x:c>
      <x:c r="C1231" s="23" t="n">
        <x:v>46602</x:v>
      </x:c>
      <x:c r="D1231" s="23" t="n">
        <x:v>46602</x:v>
      </x:c>
      <x:c r="E1231" s="20" t="str">
        <x:v>P011</x:v>
      </x:c>
      <x:c r="F1231" s="20" t="str">
        <x:v>U011</x:v>
      </x:c>
      <x:c r="G1231" s="20" t="str">
        <x:v>L011</x:v>
      </x:c>
      <x:c r="H1231" s="20" t="str">
        <x:v>1000 Operating Cash</x:v>
      </x:c>
      <x:c r="I1231" s="26" t="n">
        <x:v>855</x:v>
      </x:c>
      <x:c r="J1231" s="26" t="n">
        <x:v>0</x:v>
      </x:c>
      <x:c r="K1231" s="35" t="str">
        <x:v>Receipt allocated to FIN-00611</x:v>
      </x:c>
    </x:row>
    <x:row r="1232">
      <x:c r="A1232" s="20" t="str">
        <x:v>FIN-00612</x:v>
      </x:c>
      <x:c r="B1232" s="32" t="n">
        <x:v>2</x:v>
      </x:c>
      <x:c r="C1232" s="23" t="n">
        <x:v>46602</x:v>
      </x:c>
      <x:c r="D1232" s="23" t="n">
        <x:v>46602</x:v>
      </x:c>
      <x:c r="E1232" s="20" t="str">
        <x:v>P011</x:v>
      </x:c>
      <x:c r="F1232" s="20" t="str">
        <x:v>U011</x:v>
      </x:c>
      <x:c r="G1232" s="20" t="str">
        <x:v>L011</x:v>
      </x:c>
      <x:c r="H1232" s="20" t="str">
        <x:v>1100 Tenant Accounts Receivable</x:v>
      </x:c>
      <x:c r="I1232" s="26" t="n">
        <x:v>0</x:v>
      </x:c>
      <x:c r="J1232" s="26" t="n">
        <x:v>855</x:v>
      </x:c>
      <x:c r="K1232" s="35" t="str">
        <x:v>Receipt allocated to FIN-00611</x:v>
      </x:c>
    </x:row>
    <x:row r="1233">
      <x:c r="A1233" s="20" t="str">
        <x:v>FIN-00613</x:v>
      </x:c>
      <x:c r="B1233" s="32" t="n">
        <x:v>1</x:v>
      </x:c>
      <x:c r="C1233" s="23" t="n">
        <x:v>46605</x:v>
      </x:c>
      <x:c r="D1233" s="23" t="n">
        <x:v>46605</x:v>
      </x:c>
      <x:c r="E1233" s="20" t="str">
        <x:v>P011</x:v>
      </x:c>
      <x:c r="F1233" s="20" t="str">
        <x:v>U011</x:v>
      </x:c>
      <x:c r="G1233" s="20" t="str">
        <x:v>L011</x:v>
      </x:c>
      <x:c r="H1233" s="20" t="str">
        <x:v>1100 Tenant Accounts Receivable</x:v>
      </x:c>
      <x:c r="I1233" s="26" t="n">
        <x:v>50</x:v>
      </x:c>
      <x:c r="J1233" s="26" t="n">
        <x:v>0</x:v>
      </x:c>
      <x:c r="K1233" s="35" t="str">
        <x:v>Synthetic lease-authorized late fee after partial payment</x:v>
      </x:c>
    </x:row>
    <x:row r="1234">
      <x:c r="A1234" s="20" t="str">
        <x:v>FIN-00613</x:v>
      </x:c>
      <x:c r="B1234" s="32" t="n">
        <x:v>2</x:v>
      </x:c>
      <x:c r="C1234" s="23" t="n">
        <x:v>46605</x:v>
      </x:c>
      <x:c r="D1234" s="23" t="n">
        <x:v>46605</x:v>
      </x:c>
      <x:c r="E1234" s="20" t="str">
        <x:v>P011</x:v>
      </x:c>
      <x:c r="F1234" s="20" t="str">
        <x:v>U011</x:v>
      </x:c>
      <x:c r="G1234" s="20" t="str">
        <x:v>L011</x:v>
      </x:c>
      <x:c r="H1234" s="20" t="str">
        <x:v>4010 Late Fee Income</x:v>
      </x:c>
      <x:c r="I1234" s="26" t="n">
        <x:v>0</x:v>
      </x:c>
      <x:c r="J1234" s="26" t="n">
        <x:v>50</x:v>
      </x:c>
      <x:c r="K1234" s="35" t="str">
        <x:v>Synthetic lease-authorized late fee after partial payment</x:v>
      </x:c>
    </x:row>
    <x:row r="1235">
      <x:c r="A1235" s="20" t="str">
        <x:v>FIN-00614</x:v>
      </x:c>
      <x:c r="B1235" s="32" t="n">
        <x:v>1</x:v>
      </x:c>
      <x:c r="C1235" s="23" t="n">
        <x:v>46611</x:v>
      </x:c>
      <x:c r="D1235" s="23" t="n">
        <x:v>46611</x:v>
      </x:c>
      <x:c r="E1235" s="20" t="str">
        <x:v>P011</x:v>
      </x:c>
      <x:c r="F1235" s="20" t="str">
        <x:v>U011</x:v>
      </x:c>
      <x:c r="G1235" s="20" t="str">
        <x:v>L011</x:v>
      </x:c>
      <x:c r="H1235" s="20" t="str">
        <x:v>1000 Operating Cash</x:v>
      </x:c>
      <x:c r="I1235" s="26" t="n">
        <x:v>620</x:v>
      </x:c>
      <x:c r="J1235" s="26" t="n">
        <x:v>0</x:v>
      </x:c>
      <x:c r="K1235" s="35" t="str">
        <x:v>Receipt allocated to FIN-00613</x:v>
      </x:c>
    </x:row>
    <x:row r="1236">
      <x:c r="A1236" s="20" t="str">
        <x:v>FIN-00614</x:v>
      </x:c>
      <x:c r="B1236" s="32" t="n">
        <x:v>2</x:v>
      </x:c>
      <x:c r="C1236" s="23" t="n">
        <x:v>46611</x:v>
      </x:c>
      <x:c r="D1236" s="23" t="n">
        <x:v>46611</x:v>
      </x:c>
      <x:c r="E1236" s="20" t="str">
        <x:v>P011</x:v>
      </x:c>
      <x:c r="F1236" s="20" t="str">
        <x:v>U011</x:v>
      </x:c>
      <x:c r="G1236" s="20" t="str">
        <x:v>L011</x:v>
      </x:c>
      <x:c r="H1236" s="20" t="str">
        <x:v>1100 Tenant Accounts Receivable</x:v>
      </x:c>
      <x:c r="I1236" s="26" t="n">
        <x:v>0</x:v>
      </x:c>
      <x:c r="J1236" s="26" t="n">
        <x:v>620</x:v>
      </x:c>
      <x:c r="K1236" s="35" t="str">
        <x:v>Receipt allocated to FIN-00613</x:v>
      </x:c>
    </x:row>
    <x:row r="1237">
      <x:c r="A1237" s="20" t="str">
        <x:v>FIN-00615</x:v>
      </x:c>
      <x:c r="B1237" s="32" t="n">
        <x:v>1</x:v>
      </x:c>
      <x:c r="C1237" s="23" t="n">
        <x:v>46600</x:v>
      </x:c>
      <x:c r="D1237" s="23" t="n">
        <x:v>46600</x:v>
      </x:c>
      <x:c r="E1237" s="20" t="str">
        <x:v>P012</x:v>
      </x:c>
      <x:c r="F1237" s="20" t="str">
        <x:v>U012</x:v>
      </x:c>
      <x:c r="G1237" s="20" t="str">
        <x:v>L012</x:v>
      </x:c>
      <x:c r="H1237" s="20" t="str">
        <x:v>1100 Tenant Accounts Receivable</x:v>
      </x:c>
      <x:c r="I1237" s="26" t="n">
        <x:v>1050</x:v>
      </x:c>
      <x:c r="J1237" s="26" t="n">
        <x:v>0</x:v>
      </x:c>
      <x:c r="K1237" s="35" t="str">
        <x:v>August 2027 rent</x:v>
      </x:c>
    </x:row>
    <x:row r="1238">
      <x:c r="A1238" s="20" t="str">
        <x:v>FIN-00615</x:v>
      </x:c>
      <x:c r="B1238" s="32" t="n">
        <x:v>2</x:v>
      </x:c>
      <x:c r="C1238" s="23" t="n">
        <x:v>46600</x:v>
      </x:c>
      <x:c r="D1238" s="23" t="n">
        <x:v>46600</x:v>
      </x:c>
      <x:c r="E1238" s="20" t="str">
        <x:v>P012</x:v>
      </x:c>
      <x:c r="F1238" s="20" t="str">
        <x:v>U012</x:v>
      </x:c>
      <x:c r="G1238" s="20" t="str">
        <x:v>L012</x:v>
      </x:c>
      <x:c r="H1238" s="20" t="str">
        <x:v>4000 Rental Income</x:v>
      </x:c>
      <x:c r="I1238" s="26" t="n">
        <x:v>0</x:v>
      </x:c>
      <x:c r="J1238" s="26" t="n">
        <x:v>1050</x:v>
      </x:c>
      <x:c r="K1238" s="35" t="str">
        <x:v>August 2027 rent</x:v>
      </x:c>
    </x:row>
    <x:row r="1239">
      <x:c r="A1239" s="20" t="str">
        <x:v>FIN-00616</x:v>
      </x:c>
      <x:c r="B1239" s="32" t="n">
        <x:v>1</x:v>
      </x:c>
      <x:c r="C1239" s="23" t="n">
        <x:v>46602</x:v>
      </x:c>
      <x:c r="D1239" s="23" t="n">
        <x:v>46602</x:v>
      </x:c>
      <x:c r="E1239" s="20" t="str">
        <x:v>P012</x:v>
      </x:c>
      <x:c r="F1239" s="20" t="str">
        <x:v>U012</x:v>
      </x:c>
      <x:c r="G1239" s="20" t="str">
        <x:v>L012</x:v>
      </x:c>
      <x:c r="H1239" s="20" t="str">
        <x:v>1000 Operating Cash</x:v>
      </x:c>
      <x:c r="I1239" s="26" t="n">
        <x:v>1050</x:v>
      </x:c>
      <x:c r="J1239" s="26" t="n">
        <x:v>0</x:v>
      </x:c>
      <x:c r="K1239" s="35" t="str">
        <x:v>Receipt allocated to FIN-00615</x:v>
      </x:c>
    </x:row>
    <x:row r="1240">
      <x:c r="A1240" s="20" t="str">
        <x:v>FIN-00616</x:v>
      </x:c>
      <x:c r="B1240" s="32" t="n">
        <x:v>2</x:v>
      </x:c>
      <x:c r="C1240" s="23" t="n">
        <x:v>46602</x:v>
      </x:c>
      <x:c r="D1240" s="23" t="n">
        <x:v>46602</x:v>
      </x:c>
      <x:c r="E1240" s="20" t="str">
        <x:v>P012</x:v>
      </x:c>
      <x:c r="F1240" s="20" t="str">
        <x:v>U012</x:v>
      </x:c>
      <x:c r="G1240" s="20" t="str">
        <x:v>L012</x:v>
      </x:c>
      <x:c r="H1240" s="20" t="str">
        <x:v>1100 Tenant Accounts Receivable</x:v>
      </x:c>
      <x:c r="I1240" s="26" t="n">
        <x:v>0</x:v>
      </x:c>
      <x:c r="J1240" s="26" t="n">
        <x:v>1050</x:v>
      </x:c>
      <x:c r="K1240" s="35" t="str">
        <x:v>Receipt allocated to FIN-00615</x:v>
      </x:c>
    </x:row>
    <x:row r="1241">
      <x:c r="A1241" s="20" t="str">
        <x:v>FIN-00617</x:v>
      </x:c>
      <x:c r="B1241" s="32" t="n">
        <x:v>1</x:v>
      </x:c>
      <x:c r="C1241" s="23" t="n">
        <x:v>46600</x:v>
      </x:c>
      <x:c r="D1241" s="23" t="n">
        <x:v>46600</x:v>
      </x:c>
      <x:c r="E1241" s="20" t="str">
        <x:v>P013</x:v>
      </x:c>
      <x:c r="F1241" s="20" t="str">
        <x:v>U013</x:v>
      </x:c>
      <x:c r="G1241" s="20" t="str">
        <x:v>L013</x:v>
      </x:c>
      <x:c r="H1241" s="20" t="str">
        <x:v>1100 Tenant Accounts Receivable</x:v>
      </x:c>
      <x:c r="I1241" s="26" t="n">
        <x:v>1575</x:v>
      </x:c>
      <x:c r="J1241" s="26" t="n">
        <x:v>0</x:v>
      </x:c>
      <x:c r="K1241" s="35" t="str">
        <x:v>August 2027 rent</x:v>
      </x:c>
    </x:row>
    <x:row r="1242">
      <x:c r="A1242" s="20" t="str">
        <x:v>FIN-00617</x:v>
      </x:c>
      <x:c r="B1242" s="32" t="n">
        <x:v>2</x:v>
      </x:c>
      <x:c r="C1242" s="23" t="n">
        <x:v>46600</x:v>
      </x:c>
      <x:c r="D1242" s="23" t="n">
        <x:v>46600</x:v>
      </x:c>
      <x:c r="E1242" s="20" t="str">
        <x:v>P013</x:v>
      </x:c>
      <x:c r="F1242" s="20" t="str">
        <x:v>U013</x:v>
      </x:c>
      <x:c r="G1242" s="20" t="str">
        <x:v>L013</x:v>
      </x:c>
      <x:c r="H1242" s="20" t="str">
        <x:v>4000 Rental Income</x:v>
      </x:c>
      <x:c r="I1242" s="26" t="n">
        <x:v>0</x:v>
      </x:c>
      <x:c r="J1242" s="26" t="n">
        <x:v>1575</x:v>
      </x:c>
      <x:c r="K1242" s="35" t="str">
        <x:v>August 2027 rent</x:v>
      </x:c>
    </x:row>
    <x:row r="1243">
      <x:c r="A1243" s="20" t="str">
        <x:v>FIN-00618</x:v>
      </x:c>
      <x:c r="B1243" s="32" t="n">
        <x:v>1</x:v>
      </x:c>
      <x:c r="C1243" s="23" t="n">
        <x:v>46605</x:v>
      </x:c>
      <x:c r="D1243" s="23" t="n">
        <x:v>46605</x:v>
      </x:c>
      <x:c r="E1243" s="20" t="str">
        <x:v>P013</x:v>
      </x:c>
      <x:c r="F1243" s="20" t="str">
        <x:v>U013</x:v>
      </x:c>
      <x:c r="G1243" s="20" t="str">
        <x:v>L013</x:v>
      </x:c>
      <x:c r="H1243" s="20" t="str">
        <x:v>1100 Tenant Accounts Receivable</x:v>
      </x:c>
      <x:c r="I1243" s="26" t="n">
        <x:v>50</x:v>
      </x:c>
      <x:c r="J1243" s="26" t="n">
        <x:v>0</x:v>
      </x:c>
      <x:c r="K1243" s="35" t="str">
        <x:v>Synthetic lease-authorized late fee</x:v>
      </x:c>
    </x:row>
    <x:row r="1244">
      <x:c r="A1244" s="20" t="str">
        <x:v>FIN-00618</x:v>
      </x:c>
      <x:c r="B1244" s="32" t="n">
        <x:v>2</x:v>
      </x:c>
      <x:c r="C1244" s="23" t="n">
        <x:v>46605</x:v>
      </x:c>
      <x:c r="D1244" s="23" t="n">
        <x:v>46605</x:v>
      </x:c>
      <x:c r="E1244" s="20" t="str">
        <x:v>P013</x:v>
      </x:c>
      <x:c r="F1244" s="20" t="str">
        <x:v>U013</x:v>
      </x:c>
      <x:c r="G1244" s="20" t="str">
        <x:v>L013</x:v>
      </x:c>
      <x:c r="H1244" s="20" t="str">
        <x:v>4010 Late Fee Income</x:v>
      </x:c>
      <x:c r="I1244" s="26" t="n">
        <x:v>0</x:v>
      </x:c>
      <x:c r="J1244" s="26" t="n">
        <x:v>50</x:v>
      </x:c>
      <x:c r="K1244" s="35" t="str">
        <x:v>Synthetic lease-authorized late fee</x:v>
      </x:c>
    </x:row>
    <x:row r="1245">
      <x:c r="A1245" s="20" t="str">
        <x:v>FIN-00619</x:v>
      </x:c>
      <x:c r="B1245" s="32" t="n">
        <x:v>1</x:v>
      </x:c>
      <x:c r="C1245" s="23" t="n">
        <x:v>46607</x:v>
      </x:c>
      <x:c r="D1245" s="23" t="n">
        <x:v>46607</x:v>
      </x:c>
      <x:c r="E1245" s="20" t="str">
        <x:v>P013</x:v>
      </x:c>
      <x:c r="F1245" s="20" t="str">
        <x:v>U013</x:v>
      </x:c>
      <x:c r="G1245" s="20" t="str">
        <x:v>L013</x:v>
      </x:c>
      <x:c r="H1245" s="20" t="str">
        <x:v>1000 Operating Cash</x:v>
      </x:c>
      <x:c r="I1245" s="26" t="n">
        <x:v>1625</x:v>
      </x:c>
      <x:c r="J1245" s="26" t="n">
        <x:v>0</x:v>
      </x:c>
      <x:c r="K1245" s="35" t="str">
        <x:v>Receipt allocated to FIN-00618</x:v>
      </x:c>
    </x:row>
    <x:row r="1246">
      <x:c r="A1246" s="20" t="str">
        <x:v>FIN-00619</x:v>
      </x:c>
      <x:c r="B1246" s="32" t="n">
        <x:v>2</x:v>
      </x:c>
      <x:c r="C1246" s="23" t="n">
        <x:v>46607</x:v>
      </x:c>
      <x:c r="D1246" s="23" t="n">
        <x:v>46607</x:v>
      </x:c>
      <x:c r="E1246" s="20" t="str">
        <x:v>P013</x:v>
      </x:c>
      <x:c r="F1246" s="20" t="str">
        <x:v>U013</x:v>
      </x:c>
      <x:c r="G1246" s="20" t="str">
        <x:v>L013</x:v>
      </x:c>
      <x:c r="H1246" s="20" t="str">
        <x:v>1100 Tenant Accounts Receivable</x:v>
      </x:c>
      <x:c r="I1246" s="26" t="n">
        <x:v>0</x:v>
      </x:c>
      <x:c r="J1246" s="26" t="n">
        <x:v>1625</x:v>
      </x:c>
      <x:c r="K1246" s="35" t="str">
        <x:v>Receipt allocated to FIN-00618</x:v>
      </x:c>
    </x:row>
    <x:row r="1247">
      <x:c r="A1247" s="20" t="str">
        <x:v>FIN-00620</x:v>
      </x:c>
      <x:c r="B1247" s="32" t="n">
        <x:v>1</x:v>
      </x:c>
      <x:c r="C1247" s="23" t="n">
        <x:v>46600</x:v>
      </x:c>
      <x:c r="D1247" s="23" t="n">
        <x:v>46600</x:v>
      </x:c>
      <x:c r="E1247" s="20" t="str">
        <x:v>P015</x:v>
      </x:c>
      <x:c r="F1247" s="20" t="str">
        <x:v>U015</x:v>
      </x:c>
      <x:c r="G1247" s="20" t="str">
        <x:v>L015</x:v>
      </x:c>
      <x:c r="H1247" s="20" t="str">
        <x:v>1100 Tenant Accounts Receivable</x:v>
      </x:c>
      <x:c r="I1247" s="26" t="n">
        <x:v>1725</x:v>
      </x:c>
      <x:c r="J1247" s="26" t="n">
        <x:v>0</x:v>
      </x:c>
      <x:c r="K1247" s="35" t="str">
        <x:v>August 2027 rent</x:v>
      </x:c>
    </x:row>
    <x:row r="1248">
      <x:c r="A1248" s="20" t="str">
        <x:v>FIN-00620</x:v>
      </x:c>
      <x:c r="B1248" s="32" t="n">
        <x:v>2</x:v>
      </x:c>
      <x:c r="C1248" s="23" t="n">
        <x:v>46600</x:v>
      </x:c>
      <x:c r="D1248" s="23" t="n">
        <x:v>46600</x:v>
      </x:c>
      <x:c r="E1248" s="20" t="str">
        <x:v>P015</x:v>
      </x:c>
      <x:c r="F1248" s="20" t="str">
        <x:v>U015</x:v>
      </x:c>
      <x:c r="G1248" s="20" t="str">
        <x:v>L015</x:v>
      </x:c>
      <x:c r="H1248" s="20" t="str">
        <x:v>4000 Rental Income</x:v>
      </x:c>
      <x:c r="I1248" s="26" t="n">
        <x:v>0</x:v>
      </x:c>
      <x:c r="J1248" s="26" t="n">
        <x:v>1725</x:v>
      </x:c>
      <x:c r="K1248" s="35" t="str">
        <x:v>August 2027 rent</x:v>
      </x:c>
    </x:row>
    <x:row r="1249">
      <x:c r="A1249" s="20" t="str">
        <x:v>FIN-00621</x:v>
      </x:c>
      <x:c r="B1249" s="32" t="n">
        <x:v>1</x:v>
      </x:c>
      <x:c r="C1249" s="23" t="n">
        <x:v>46602</x:v>
      </x:c>
      <x:c r="D1249" s="23" t="n">
        <x:v>46602</x:v>
      </x:c>
      <x:c r="E1249" s="20" t="str">
        <x:v>P015</x:v>
      </x:c>
      <x:c r="F1249" s="20" t="str">
        <x:v>U015</x:v>
      </x:c>
      <x:c r="G1249" s="20" t="str">
        <x:v>L015</x:v>
      </x:c>
      <x:c r="H1249" s="20" t="str">
        <x:v>1000 Operating Cash</x:v>
      </x:c>
      <x:c r="I1249" s="26" t="n">
        <x:v>1725</x:v>
      </x:c>
      <x:c r="J1249" s="26" t="n">
        <x:v>0</x:v>
      </x:c>
      <x:c r="K1249" s="35" t="str">
        <x:v>Receipt allocated to FIN-00620</x:v>
      </x:c>
    </x:row>
    <x:row r="1250">
      <x:c r="A1250" s="20" t="str">
        <x:v>FIN-00621</x:v>
      </x:c>
      <x:c r="B1250" s="32" t="n">
        <x:v>2</x:v>
      </x:c>
      <x:c r="C1250" s="23" t="n">
        <x:v>46602</x:v>
      </x:c>
      <x:c r="D1250" s="23" t="n">
        <x:v>46602</x:v>
      </x:c>
      <x:c r="E1250" s="20" t="str">
        <x:v>P015</x:v>
      </x:c>
      <x:c r="F1250" s="20" t="str">
        <x:v>U015</x:v>
      </x:c>
      <x:c r="G1250" s="20" t="str">
        <x:v>L015</x:v>
      </x:c>
      <x:c r="H1250" s="20" t="str">
        <x:v>1100 Tenant Accounts Receivable</x:v>
      </x:c>
      <x:c r="I1250" s="26" t="n">
        <x:v>0</x:v>
      </x:c>
      <x:c r="J1250" s="26" t="n">
        <x:v>1725</x:v>
      </x:c>
      <x:c r="K1250" s="35" t="str">
        <x:v>Receipt allocated to FIN-00620</x:v>
      </x:c>
    </x:row>
    <x:row r="1251">
      <x:c r="A1251" s="20" t="str">
        <x:v>FIN-00622</x:v>
      </x:c>
      <x:c r="B1251" s="32" t="n">
        <x:v>1</x:v>
      </x:c>
      <x:c r="C1251" s="23" t="n">
        <x:v>46600</x:v>
      </x:c>
      <x:c r="D1251" s="23" t="n">
        <x:v>46600</x:v>
      </x:c>
      <x:c r="E1251" s="20" t="str">
        <x:v>P016</x:v>
      </x:c>
      <x:c r="F1251" s="20" t="str">
        <x:v>U016</x:v>
      </x:c>
      <x:c r="G1251" s="20" t="str">
        <x:v>L016</x:v>
      </x:c>
      <x:c r="H1251" s="20" t="str">
        <x:v>1100 Tenant Accounts Receivable</x:v>
      </x:c>
      <x:c r="I1251" s="26" t="n">
        <x:v>1350</x:v>
      </x:c>
      <x:c r="J1251" s="26" t="n">
        <x:v>0</x:v>
      </x:c>
      <x:c r="K1251" s="35" t="str">
        <x:v>August 2027 rent</x:v>
      </x:c>
    </x:row>
    <x:row r="1252">
      <x:c r="A1252" s="20" t="str">
        <x:v>FIN-00622</x:v>
      </x:c>
      <x:c r="B1252" s="32" t="n">
        <x:v>2</x:v>
      </x:c>
      <x:c r="C1252" s="23" t="n">
        <x:v>46600</x:v>
      </x:c>
      <x:c r="D1252" s="23" t="n">
        <x:v>46600</x:v>
      </x:c>
      <x:c r="E1252" s="20" t="str">
        <x:v>P016</x:v>
      </x:c>
      <x:c r="F1252" s="20" t="str">
        <x:v>U016</x:v>
      </x:c>
      <x:c r="G1252" s="20" t="str">
        <x:v>L016</x:v>
      </x:c>
      <x:c r="H1252" s="20" t="str">
        <x:v>4000 Rental Income</x:v>
      </x:c>
      <x:c r="I1252" s="26" t="n">
        <x:v>0</x:v>
      </x:c>
      <x:c r="J1252" s="26" t="n">
        <x:v>1350</x:v>
      </x:c>
      <x:c r="K1252" s="35" t="str">
        <x:v>August 2027 rent</x:v>
      </x:c>
    </x:row>
    <x:row r="1253">
      <x:c r="A1253" s="20" t="str">
        <x:v>FIN-00623</x:v>
      </x:c>
      <x:c r="B1253" s="32" t="n">
        <x:v>1</x:v>
      </x:c>
      <x:c r="C1253" s="23" t="n">
        <x:v>46603</x:v>
      </x:c>
      <x:c r="D1253" s="23" t="n">
        <x:v>46603</x:v>
      </x:c>
      <x:c r="E1253" s="20" t="str">
        <x:v>P016</x:v>
      </x:c>
      <x:c r="F1253" s="20" t="str">
        <x:v>U016</x:v>
      </x:c>
      <x:c r="G1253" s="20" t="str">
        <x:v>L016</x:v>
      </x:c>
      <x:c r="H1253" s="20" t="str">
        <x:v>1000 Operating Cash</x:v>
      </x:c>
      <x:c r="I1253" s="26" t="n">
        <x:v>1350</x:v>
      </x:c>
      <x:c r="J1253" s="26" t="n">
        <x:v>0</x:v>
      </x:c>
      <x:c r="K1253" s="35" t="str">
        <x:v>Receipt allocated to FIN-00622</x:v>
      </x:c>
    </x:row>
    <x:row r="1254">
      <x:c r="A1254" s="20" t="str">
        <x:v>FIN-00623</x:v>
      </x:c>
      <x:c r="B1254" s="32" t="n">
        <x:v>2</x:v>
      </x:c>
      <x:c r="C1254" s="23" t="n">
        <x:v>46603</x:v>
      </x:c>
      <x:c r="D1254" s="23" t="n">
        <x:v>46603</x:v>
      </x:c>
      <x:c r="E1254" s="20" t="str">
        <x:v>P016</x:v>
      </x:c>
      <x:c r="F1254" s="20" t="str">
        <x:v>U016</x:v>
      </x:c>
      <x:c r="G1254" s="20" t="str">
        <x:v>L016</x:v>
      </x:c>
      <x:c r="H1254" s="20" t="str">
        <x:v>1100 Tenant Accounts Receivable</x:v>
      </x:c>
      <x:c r="I1254" s="26" t="n">
        <x:v>0</x:v>
      </x:c>
      <x:c r="J1254" s="26" t="n">
        <x:v>1350</x:v>
      </x:c>
      <x:c r="K1254" s="35" t="str">
        <x:v>Receipt allocated to FIN-00622</x:v>
      </x:c>
    </x:row>
    <x:row r="1255">
      <x:c r="A1255" s="20" t="str">
        <x:v>FIN-00624</x:v>
      </x:c>
      <x:c r="B1255" s="32" t="n">
        <x:v>1</x:v>
      </x:c>
      <x:c r="C1255" s="23" t="n">
        <x:v>46600</x:v>
      </x:c>
      <x:c r="D1255" s="23" t="n">
        <x:v>46600</x:v>
      </x:c>
      <x:c r="E1255" s="20" t="str">
        <x:v>P018</x:v>
      </x:c>
      <x:c r="F1255" s="20" t="str">
        <x:v>U018</x:v>
      </x:c>
      <x:c r="G1255" s="20" t="str">
        <x:v>L018</x:v>
      </x:c>
      <x:c r="H1255" s="20" t="str">
        <x:v>1100 Tenant Accounts Receivable</x:v>
      </x:c>
      <x:c r="I1255" s="26" t="n">
        <x:v>1500</x:v>
      </x:c>
      <x:c r="J1255" s="26" t="n">
        <x:v>0</x:v>
      </x:c>
      <x:c r="K1255" s="35" t="str">
        <x:v>August 2027 rent</x:v>
      </x:c>
    </x:row>
    <x:row r="1256">
      <x:c r="A1256" s="20" t="str">
        <x:v>FIN-00624</x:v>
      </x:c>
      <x:c r="B1256" s="32" t="n">
        <x:v>2</x:v>
      </x:c>
      <x:c r="C1256" s="23" t="n">
        <x:v>46600</x:v>
      </x:c>
      <x:c r="D1256" s="23" t="n">
        <x:v>46600</x:v>
      </x:c>
      <x:c r="E1256" s="20" t="str">
        <x:v>P018</x:v>
      </x:c>
      <x:c r="F1256" s="20" t="str">
        <x:v>U018</x:v>
      </x:c>
      <x:c r="G1256" s="20" t="str">
        <x:v>L018</x:v>
      </x:c>
      <x:c r="H1256" s="20" t="str">
        <x:v>4000 Rental Income</x:v>
      </x:c>
      <x:c r="I1256" s="26" t="n">
        <x:v>0</x:v>
      </x:c>
      <x:c r="J1256" s="26" t="n">
        <x:v>1500</x:v>
      </x:c>
      <x:c r="K1256" s="35" t="str">
        <x:v>August 2027 rent</x:v>
      </x:c>
    </x:row>
    <x:row r="1257">
      <x:c r="A1257" s="20" t="str">
        <x:v>FIN-00625</x:v>
      </x:c>
      <x:c r="B1257" s="32" t="n">
        <x:v>1</x:v>
      </x:c>
      <x:c r="C1257" s="23" t="n">
        <x:v>46602</x:v>
      </x:c>
      <x:c r="D1257" s="23" t="n">
        <x:v>46602</x:v>
      </x:c>
      <x:c r="E1257" s="20" t="str">
        <x:v>P018</x:v>
      </x:c>
      <x:c r="F1257" s="20" t="str">
        <x:v>U018</x:v>
      </x:c>
      <x:c r="G1257" s="20" t="str">
        <x:v>L018</x:v>
      </x:c>
      <x:c r="H1257" s="20" t="str">
        <x:v>1000 Operating Cash</x:v>
      </x:c>
      <x:c r="I1257" s="26" t="n">
        <x:v>1500</x:v>
      </x:c>
      <x:c r="J1257" s="26" t="n">
        <x:v>0</x:v>
      </x:c>
      <x:c r="K1257" s="35" t="str">
        <x:v>Receipt allocated to FIN-00624</x:v>
      </x:c>
    </x:row>
    <x:row r="1258">
      <x:c r="A1258" s="20" t="str">
        <x:v>FIN-00625</x:v>
      </x:c>
      <x:c r="B1258" s="32" t="n">
        <x:v>2</x:v>
      </x:c>
      <x:c r="C1258" s="23" t="n">
        <x:v>46602</x:v>
      </x:c>
      <x:c r="D1258" s="23" t="n">
        <x:v>46602</x:v>
      </x:c>
      <x:c r="E1258" s="20" t="str">
        <x:v>P018</x:v>
      </x:c>
      <x:c r="F1258" s="20" t="str">
        <x:v>U018</x:v>
      </x:c>
      <x:c r="G1258" s="20" t="str">
        <x:v>L018</x:v>
      </x:c>
      <x:c r="H1258" s="20" t="str">
        <x:v>1100 Tenant Accounts Receivable</x:v>
      </x:c>
      <x:c r="I1258" s="26" t="n">
        <x:v>0</x:v>
      </x:c>
      <x:c r="J1258" s="26" t="n">
        <x:v>1500</x:v>
      </x:c>
      <x:c r="K1258" s="35" t="str">
        <x:v>Receipt allocated to FIN-00624</x:v>
      </x:c>
    </x:row>
    <x:row r="1259">
      <x:c r="A1259" s="20" t="str">
        <x:v>FIN-00626</x:v>
      </x:c>
      <x:c r="B1259" s="32" t="n">
        <x:v>1</x:v>
      </x:c>
      <x:c r="C1259" s="23" t="n">
        <x:v>46600</x:v>
      </x:c>
      <x:c r="D1259" s="23" t="n">
        <x:v>46600</x:v>
      </x:c>
      <x:c r="E1259" s="20" t="str">
        <x:v>P019</x:v>
      </x:c>
      <x:c r="F1259" s="20" t="str">
        <x:v>U019</x:v>
      </x:c>
      <x:c r="G1259" s="20" t="str">
        <x:v>L019</x:v>
      </x:c>
      <x:c r="H1259" s="20" t="str">
        <x:v>1100 Tenant Accounts Receivable</x:v>
      </x:c>
      <x:c r="I1259" s="26" t="n">
        <x:v>1125</x:v>
      </x:c>
      <x:c r="J1259" s="26" t="n">
        <x:v>0</x:v>
      </x:c>
      <x:c r="K1259" s="35" t="str">
        <x:v>August 2027 rent</x:v>
      </x:c>
    </x:row>
    <x:row r="1260">
      <x:c r="A1260" s="20" t="str">
        <x:v>FIN-00626</x:v>
      </x:c>
      <x:c r="B1260" s="32" t="n">
        <x:v>2</x:v>
      </x:c>
      <x:c r="C1260" s="23" t="n">
        <x:v>46600</x:v>
      </x:c>
      <x:c r="D1260" s="23" t="n">
        <x:v>46600</x:v>
      </x:c>
      <x:c r="E1260" s="20" t="str">
        <x:v>P019</x:v>
      </x:c>
      <x:c r="F1260" s="20" t="str">
        <x:v>U019</x:v>
      </x:c>
      <x:c r="G1260" s="20" t="str">
        <x:v>L019</x:v>
      </x:c>
      <x:c r="H1260" s="20" t="str">
        <x:v>4000 Rental Income</x:v>
      </x:c>
      <x:c r="I1260" s="26" t="n">
        <x:v>0</x:v>
      </x:c>
      <x:c r="J1260" s="26" t="n">
        <x:v>1125</x:v>
      </x:c>
      <x:c r="K1260" s="35" t="str">
        <x:v>August 2027 rent</x:v>
      </x:c>
    </x:row>
    <x:row r="1261">
      <x:c r="A1261" s="20" t="str">
        <x:v>FIN-00627</x:v>
      </x:c>
      <x:c r="B1261" s="32" t="n">
        <x:v>1</x:v>
      </x:c>
      <x:c r="C1261" s="23" t="n">
        <x:v>46603</x:v>
      </x:c>
      <x:c r="D1261" s="23" t="n">
        <x:v>46603</x:v>
      </x:c>
      <x:c r="E1261" s="20" t="str">
        <x:v>P019</x:v>
      </x:c>
      <x:c r="F1261" s="20" t="str">
        <x:v>U019</x:v>
      </x:c>
      <x:c r="G1261" s="20" t="str">
        <x:v>L019</x:v>
      </x:c>
      <x:c r="H1261" s="20" t="str">
        <x:v>1000 Operating Cash</x:v>
      </x:c>
      <x:c r="I1261" s="26" t="n">
        <x:v>1125</x:v>
      </x:c>
      <x:c r="J1261" s="26" t="n">
        <x:v>0</x:v>
      </x:c>
      <x:c r="K1261" s="35" t="str">
        <x:v>Receipt allocated to FIN-00626</x:v>
      </x:c>
    </x:row>
    <x:row r="1262">
      <x:c r="A1262" s="20" t="str">
        <x:v>FIN-00627</x:v>
      </x:c>
      <x:c r="B1262" s="32" t="n">
        <x:v>2</x:v>
      </x:c>
      <x:c r="C1262" s="23" t="n">
        <x:v>46603</x:v>
      </x:c>
      <x:c r="D1262" s="23" t="n">
        <x:v>46603</x:v>
      </x:c>
      <x:c r="E1262" s="20" t="str">
        <x:v>P019</x:v>
      </x:c>
      <x:c r="F1262" s="20" t="str">
        <x:v>U019</x:v>
      </x:c>
      <x:c r="G1262" s="20" t="str">
        <x:v>L019</x:v>
      </x:c>
      <x:c r="H1262" s="20" t="str">
        <x:v>1100 Tenant Accounts Receivable</x:v>
      </x:c>
      <x:c r="I1262" s="26" t="n">
        <x:v>0</x:v>
      </x:c>
      <x:c r="J1262" s="26" t="n">
        <x:v>1125</x:v>
      </x:c>
      <x:c r="K1262" s="35" t="str">
        <x:v>Receipt allocated to FIN-00626</x:v>
      </x:c>
    </x:row>
    <x:row r="1263">
      <x:c r="A1263" s="20" t="str">
        <x:v>FIN-00628</x:v>
      </x:c>
      <x:c r="B1263" s="32" t="n">
        <x:v>1</x:v>
      </x:c>
      <x:c r="C1263" s="23" t="n">
        <x:v>46600</x:v>
      </x:c>
      <x:c r="D1263" s="23" t="n">
        <x:v>46600</x:v>
      </x:c>
      <x:c r="E1263" s="20" t="str">
        <x:v>P020</x:v>
      </x:c>
      <x:c r="F1263" s="20" t="str">
        <x:v>U020</x:v>
      </x:c>
      <x:c r="G1263" s="20" t="str">
        <x:v>L020</x:v>
      </x:c>
      <x:c r="H1263" s="20" t="str">
        <x:v>1100 Tenant Accounts Receivable</x:v>
      </x:c>
      <x:c r="I1263" s="26" t="n">
        <x:v>1650</x:v>
      </x:c>
      <x:c r="J1263" s="26" t="n">
        <x:v>0</x:v>
      </x:c>
      <x:c r="K1263" s="35" t="str">
        <x:v>August 2027 rent</x:v>
      </x:c>
    </x:row>
    <x:row r="1264">
      <x:c r="A1264" s="20" t="str">
        <x:v>FIN-00628</x:v>
      </x:c>
      <x:c r="B1264" s="32" t="n">
        <x:v>2</x:v>
      </x:c>
      <x:c r="C1264" s="23" t="n">
        <x:v>46600</x:v>
      </x:c>
      <x:c r="D1264" s="23" t="n">
        <x:v>46600</x:v>
      </x:c>
      <x:c r="E1264" s="20" t="str">
        <x:v>P020</x:v>
      </x:c>
      <x:c r="F1264" s="20" t="str">
        <x:v>U020</x:v>
      </x:c>
      <x:c r="G1264" s="20" t="str">
        <x:v>L020</x:v>
      </x:c>
      <x:c r="H1264" s="20" t="str">
        <x:v>4000 Rental Income</x:v>
      </x:c>
      <x:c r="I1264" s="26" t="n">
        <x:v>0</x:v>
      </x:c>
      <x:c r="J1264" s="26" t="n">
        <x:v>1650</x:v>
      </x:c>
      <x:c r="K1264" s="35" t="str">
        <x:v>August 2027 rent</x:v>
      </x:c>
    </x:row>
    <x:row r="1265">
      <x:c r="A1265" s="20" t="str">
        <x:v>FIN-00629</x:v>
      </x:c>
      <x:c r="B1265" s="32" t="n">
        <x:v>1</x:v>
      </x:c>
      <x:c r="C1265" s="23" t="n">
        <x:v>46604</x:v>
      </x:c>
      <x:c r="D1265" s="23" t="n">
        <x:v>46604</x:v>
      </x:c>
      <x:c r="E1265" s="20" t="str">
        <x:v>P020</x:v>
      </x:c>
      <x:c r="F1265" s="20" t="str">
        <x:v>U020</x:v>
      </x:c>
      <x:c r="G1265" s="20" t="str">
        <x:v>L020</x:v>
      </x:c>
      <x:c r="H1265" s="20" t="str">
        <x:v>1000 Operating Cash</x:v>
      </x:c>
      <x:c r="I1265" s="26" t="n">
        <x:v>1650</x:v>
      </x:c>
      <x:c r="J1265" s="26" t="n">
        <x:v>0</x:v>
      </x:c>
      <x:c r="K1265" s="35" t="str">
        <x:v>Receipt allocated to FIN-00628</x:v>
      </x:c>
    </x:row>
    <x:row r="1266">
      <x:c r="A1266" s="20" t="str">
        <x:v>FIN-00629</x:v>
      </x:c>
      <x:c r="B1266" s="32" t="n">
        <x:v>2</x:v>
      </x:c>
      <x:c r="C1266" s="23" t="n">
        <x:v>46604</x:v>
      </x:c>
      <x:c r="D1266" s="23" t="n">
        <x:v>46604</x:v>
      </x:c>
      <x:c r="E1266" s="20" t="str">
        <x:v>P020</x:v>
      </x:c>
      <x:c r="F1266" s="20" t="str">
        <x:v>U020</x:v>
      </x:c>
      <x:c r="G1266" s="20" t="str">
        <x:v>L020</x:v>
      </x:c>
      <x:c r="H1266" s="20" t="str">
        <x:v>1100 Tenant Accounts Receivable</x:v>
      </x:c>
      <x:c r="I1266" s="26" t="n">
        <x:v>0</x:v>
      </x:c>
      <x:c r="J1266" s="26" t="n">
        <x:v>1650</x:v>
      </x:c>
      <x:c r="K1266" s="35" t="str">
        <x:v>Receipt allocated to FIN-00628</x:v>
      </x:c>
    </x:row>
    <x:row r="1267">
      <x:c r="A1267" s="20" t="str">
        <x:v>FIN-00630</x:v>
      </x:c>
      <x:c r="B1267" s="32" t="n">
        <x:v>1</x:v>
      </x:c>
      <x:c r="C1267" s="23" t="n">
        <x:v>46600</x:v>
      </x:c>
      <x:c r="D1267" s="23" t="n">
        <x:v>46600</x:v>
      </x:c>
      <x:c r="E1267" s="20" t="str">
        <x:v>P021</x:v>
      </x:c>
      <x:c r="F1267" s="20" t="str">
        <x:v>U021</x:v>
      </x:c>
      <x:c r="G1267" s="20" t="str">
        <x:v>L021</x:v>
      </x:c>
      <x:c r="H1267" s="20" t="str">
        <x:v>1100 Tenant Accounts Receivable</x:v>
      </x:c>
      <x:c r="I1267" s="26" t="n">
        <x:v>1375</x:v>
      </x:c>
      <x:c r="J1267" s="26" t="n">
        <x:v>0</x:v>
      </x:c>
      <x:c r="K1267" s="35" t="str">
        <x:v>August 2027 rent</x:v>
      </x:c>
    </x:row>
    <x:row r="1268">
      <x:c r="A1268" s="20" t="str">
        <x:v>FIN-00630</x:v>
      </x:c>
      <x:c r="B1268" s="32" t="n">
        <x:v>2</x:v>
      </x:c>
      <x:c r="C1268" s="23" t="n">
        <x:v>46600</x:v>
      </x:c>
      <x:c r="D1268" s="23" t="n">
        <x:v>46600</x:v>
      </x:c>
      <x:c r="E1268" s="20" t="str">
        <x:v>P021</x:v>
      </x:c>
      <x:c r="F1268" s="20" t="str">
        <x:v>U021</x:v>
      </x:c>
      <x:c r="G1268" s="20" t="str">
        <x:v>L021</x:v>
      </x:c>
      <x:c r="H1268" s="20" t="str">
        <x:v>4000 Rental Income</x:v>
      </x:c>
      <x:c r="I1268" s="26" t="n">
        <x:v>0</x:v>
      </x:c>
      <x:c r="J1268" s="26" t="n">
        <x:v>1375</x:v>
      </x:c>
      <x:c r="K1268" s="35" t="str">
        <x:v>August 2027 rent</x:v>
      </x:c>
    </x:row>
    <x:row r="1269">
      <x:c r="A1269" s="20" t="str">
        <x:v>FIN-00631</x:v>
      </x:c>
      <x:c r="B1269" s="32" t="n">
        <x:v>1</x:v>
      </x:c>
      <x:c r="C1269" s="23" t="n">
        <x:v>46602</x:v>
      </x:c>
      <x:c r="D1269" s="23" t="n">
        <x:v>46602</x:v>
      </x:c>
      <x:c r="E1269" s="20" t="str">
        <x:v>P021</x:v>
      </x:c>
      <x:c r="F1269" s="20" t="str">
        <x:v>U021</x:v>
      </x:c>
      <x:c r="G1269" s="20" t="str">
        <x:v>L021</x:v>
      </x:c>
      <x:c r="H1269" s="20" t="str">
        <x:v>1000 Operating Cash</x:v>
      </x:c>
      <x:c r="I1269" s="26" t="n">
        <x:v>1375</x:v>
      </x:c>
      <x:c r="J1269" s="26" t="n">
        <x:v>0</x:v>
      </x:c>
      <x:c r="K1269" s="35" t="str">
        <x:v>Receipt allocated to FIN-00630</x:v>
      </x:c>
    </x:row>
    <x:row r="1270">
      <x:c r="A1270" s="20" t="str">
        <x:v>FIN-00631</x:v>
      </x:c>
      <x:c r="B1270" s="32" t="n">
        <x:v>2</x:v>
      </x:c>
      <x:c r="C1270" s="23" t="n">
        <x:v>46602</x:v>
      </x:c>
      <x:c r="D1270" s="23" t="n">
        <x:v>46602</x:v>
      </x:c>
      <x:c r="E1270" s="20" t="str">
        <x:v>P021</x:v>
      </x:c>
      <x:c r="F1270" s="20" t="str">
        <x:v>U021</x:v>
      </x:c>
      <x:c r="G1270" s="20" t="str">
        <x:v>L021</x:v>
      </x:c>
      <x:c r="H1270" s="20" t="str">
        <x:v>1100 Tenant Accounts Receivable</x:v>
      </x:c>
      <x:c r="I1270" s="26" t="n">
        <x:v>0</x:v>
      </x:c>
      <x:c r="J1270" s="26" t="n">
        <x:v>1375</x:v>
      </x:c>
      <x:c r="K1270" s="35" t="str">
        <x:v>Receipt allocated to FIN-00630</x:v>
      </x:c>
    </x:row>
    <x:row r="1271">
      <x:c r="A1271" s="20" t="str">
        <x:v>FIN-00632</x:v>
      </x:c>
      <x:c r="B1271" s="32" t="n">
        <x:v>1</x:v>
      </x:c>
      <x:c r="C1271" s="23" t="n">
        <x:v>46600</x:v>
      </x:c>
      <x:c r="D1271" s="23" t="n">
        <x:v>46600</x:v>
      </x:c>
      <x:c r="E1271" s="20" t="str">
        <x:v>P021</x:v>
      </x:c>
      <x:c r="F1271" s="20" t="str">
        <x:v>U022</x:v>
      </x:c>
      <x:c r="G1271" s="20" t="str">
        <x:v>L022</x:v>
      </x:c>
      <x:c r="H1271" s="20" t="str">
        <x:v>1100 Tenant Accounts Receivable</x:v>
      </x:c>
      <x:c r="I1271" s="26" t="n">
        <x:v>1900</x:v>
      </x:c>
      <x:c r="J1271" s="26" t="n">
        <x:v>0</x:v>
      </x:c>
      <x:c r="K1271" s="35" t="str">
        <x:v>August 2027 rent</x:v>
      </x:c>
    </x:row>
    <x:row r="1272">
      <x:c r="A1272" s="20" t="str">
        <x:v>FIN-00632</x:v>
      </x:c>
      <x:c r="B1272" s="32" t="n">
        <x:v>2</x:v>
      </x:c>
      <x:c r="C1272" s="23" t="n">
        <x:v>46600</x:v>
      </x:c>
      <x:c r="D1272" s="23" t="n">
        <x:v>46600</x:v>
      </x:c>
      <x:c r="E1272" s="20" t="str">
        <x:v>P021</x:v>
      </x:c>
      <x:c r="F1272" s="20" t="str">
        <x:v>U022</x:v>
      </x:c>
      <x:c r="G1272" s="20" t="str">
        <x:v>L022</x:v>
      </x:c>
      <x:c r="H1272" s="20" t="str">
        <x:v>4000 Rental Income</x:v>
      </x:c>
      <x:c r="I1272" s="26" t="n">
        <x:v>0</x:v>
      </x:c>
      <x:c r="J1272" s="26" t="n">
        <x:v>1900</x:v>
      </x:c>
      <x:c r="K1272" s="35" t="str">
        <x:v>August 2027 rent</x:v>
      </x:c>
    </x:row>
    <x:row r="1273">
      <x:c r="A1273" s="20" t="str">
        <x:v>FIN-00633</x:v>
      </x:c>
      <x:c r="B1273" s="32" t="n">
        <x:v>1</x:v>
      </x:c>
      <x:c r="C1273" s="23" t="n">
        <x:v>46602</x:v>
      </x:c>
      <x:c r="D1273" s="23" t="n">
        <x:v>46602</x:v>
      </x:c>
      <x:c r="E1273" s="20" t="str">
        <x:v>P021</x:v>
      </x:c>
      <x:c r="F1273" s="20" t="str">
        <x:v>U022</x:v>
      </x:c>
      <x:c r="G1273" s="20" t="str">
        <x:v>L022</x:v>
      </x:c>
      <x:c r="H1273" s="20" t="str">
        <x:v>1000 Operating Cash</x:v>
      </x:c>
      <x:c r="I1273" s="26" t="n">
        <x:v>1140</x:v>
      </x:c>
      <x:c r="J1273" s="26" t="n">
        <x:v>0</x:v>
      </x:c>
      <x:c r="K1273" s="35" t="str">
        <x:v>Receipt allocated to FIN-00632</x:v>
      </x:c>
    </x:row>
    <x:row r="1274">
      <x:c r="A1274" s="20" t="str">
        <x:v>FIN-00633</x:v>
      </x:c>
      <x:c r="B1274" s="32" t="n">
        <x:v>2</x:v>
      </x:c>
      <x:c r="C1274" s="23" t="n">
        <x:v>46602</x:v>
      </x:c>
      <x:c r="D1274" s="23" t="n">
        <x:v>46602</x:v>
      </x:c>
      <x:c r="E1274" s="20" t="str">
        <x:v>P021</x:v>
      </x:c>
      <x:c r="F1274" s="20" t="str">
        <x:v>U022</x:v>
      </x:c>
      <x:c r="G1274" s="20" t="str">
        <x:v>L022</x:v>
      </x:c>
      <x:c r="H1274" s="20" t="str">
        <x:v>1100 Tenant Accounts Receivable</x:v>
      </x:c>
      <x:c r="I1274" s="26" t="n">
        <x:v>0</x:v>
      </x:c>
      <x:c r="J1274" s="26" t="n">
        <x:v>1140</x:v>
      </x:c>
      <x:c r="K1274" s="35" t="str">
        <x:v>Receipt allocated to FIN-00632</x:v>
      </x:c>
    </x:row>
    <x:row r="1275">
      <x:c r="A1275" s="20" t="str">
        <x:v>FIN-00634</x:v>
      </x:c>
      <x:c r="B1275" s="32" t="n">
        <x:v>1</x:v>
      </x:c>
      <x:c r="C1275" s="23" t="n">
        <x:v>46605</x:v>
      </x:c>
      <x:c r="D1275" s="23" t="n">
        <x:v>46605</x:v>
      </x:c>
      <x:c r="E1275" s="20" t="str">
        <x:v>P021</x:v>
      </x:c>
      <x:c r="F1275" s="20" t="str">
        <x:v>U022</x:v>
      </x:c>
      <x:c r="G1275" s="20" t="str">
        <x:v>L022</x:v>
      </x:c>
      <x:c r="H1275" s="20" t="str">
        <x:v>1100 Tenant Accounts Receivable</x:v>
      </x:c>
      <x:c r="I1275" s="26" t="n">
        <x:v>50</x:v>
      </x:c>
      <x:c r="J1275" s="26" t="n">
        <x:v>0</x:v>
      </x:c>
      <x:c r="K1275" s="35" t="str">
        <x:v>Synthetic lease-authorized late fee after partial payment</x:v>
      </x:c>
    </x:row>
    <x:row r="1276">
      <x:c r="A1276" s="20" t="str">
        <x:v>FIN-00634</x:v>
      </x:c>
      <x:c r="B1276" s="32" t="n">
        <x:v>2</x:v>
      </x:c>
      <x:c r="C1276" s="23" t="n">
        <x:v>46605</x:v>
      </x:c>
      <x:c r="D1276" s="23" t="n">
        <x:v>46605</x:v>
      </x:c>
      <x:c r="E1276" s="20" t="str">
        <x:v>P021</x:v>
      </x:c>
      <x:c r="F1276" s="20" t="str">
        <x:v>U022</x:v>
      </x:c>
      <x:c r="G1276" s="20" t="str">
        <x:v>L022</x:v>
      </x:c>
      <x:c r="H1276" s="20" t="str">
        <x:v>4010 Late Fee Income</x:v>
      </x:c>
      <x:c r="I1276" s="26" t="n">
        <x:v>0</x:v>
      </x:c>
      <x:c r="J1276" s="26" t="n">
        <x:v>50</x:v>
      </x:c>
      <x:c r="K1276" s="35" t="str">
        <x:v>Synthetic lease-authorized late fee after partial payment</x:v>
      </x:c>
    </x:row>
    <x:row r="1277">
      <x:c r="A1277" s="20" t="str">
        <x:v>FIN-00635</x:v>
      </x:c>
      <x:c r="B1277" s="32" t="n">
        <x:v>1</x:v>
      </x:c>
      <x:c r="C1277" s="23" t="n">
        <x:v>46611</x:v>
      </x:c>
      <x:c r="D1277" s="23" t="n">
        <x:v>46611</x:v>
      </x:c>
      <x:c r="E1277" s="20" t="str">
        <x:v>P021</x:v>
      </x:c>
      <x:c r="F1277" s="20" t="str">
        <x:v>U022</x:v>
      </x:c>
      <x:c r="G1277" s="20" t="str">
        <x:v>L022</x:v>
      </x:c>
      <x:c r="H1277" s="20" t="str">
        <x:v>1000 Operating Cash</x:v>
      </x:c>
      <x:c r="I1277" s="26" t="n">
        <x:v>810</x:v>
      </x:c>
      <x:c r="J1277" s="26" t="n">
        <x:v>0</x:v>
      </x:c>
      <x:c r="K1277" s="35" t="str">
        <x:v>Receipt allocated to FIN-00634</x:v>
      </x:c>
    </x:row>
    <x:row r="1278">
      <x:c r="A1278" s="20" t="str">
        <x:v>FIN-00635</x:v>
      </x:c>
      <x:c r="B1278" s="32" t="n">
        <x:v>2</x:v>
      </x:c>
      <x:c r="C1278" s="23" t="n">
        <x:v>46611</x:v>
      </x:c>
      <x:c r="D1278" s="23" t="n">
        <x:v>46611</x:v>
      </x:c>
      <x:c r="E1278" s="20" t="str">
        <x:v>P021</x:v>
      </x:c>
      <x:c r="F1278" s="20" t="str">
        <x:v>U022</x:v>
      </x:c>
      <x:c r="G1278" s="20" t="str">
        <x:v>L022</x:v>
      </x:c>
      <x:c r="H1278" s="20" t="str">
        <x:v>1100 Tenant Accounts Receivable</x:v>
      </x:c>
      <x:c r="I1278" s="26" t="n">
        <x:v>0</x:v>
      </x:c>
      <x:c r="J1278" s="26" t="n">
        <x:v>810</x:v>
      </x:c>
      <x:c r="K1278" s="35" t="str">
        <x:v>Receipt allocated to FIN-00634</x:v>
      </x:c>
    </x:row>
    <x:row r="1279">
      <x:c r="A1279" s="20" t="str">
        <x:v>FIN-00636</x:v>
      </x:c>
      <x:c r="B1279" s="32" t="n">
        <x:v>1</x:v>
      </x:c>
      <x:c r="C1279" s="23" t="n">
        <x:v>46600</x:v>
      </x:c>
      <x:c r="D1279" s="23" t="n">
        <x:v>46600</x:v>
      </x:c>
      <x:c r="E1279" s="20" t="str">
        <x:v>P022</x:v>
      </x:c>
      <x:c r="F1279" s="20" t="str">
        <x:v>U023</x:v>
      </x:c>
      <x:c r="G1279" s="20" t="str">
        <x:v>L023</x:v>
      </x:c>
      <x:c r="H1279" s="20" t="str">
        <x:v>1100 Tenant Accounts Receivable</x:v>
      </x:c>
      <x:c r="I1279" s="26" t="n">
        <x:v>1525</x:v>
      </x:c>
      <x:c r="J1279" s="26" t="n">
        <x:v>0</x:v>
      </x:c>
      <x:c r="K1279" s="35" t="str">
        <x:v>August 2027 rent</x:v>
      </x:c>
    </x:row>
    <x:row r="1280">
      <x:c r="A1280" s="20" t="str">
        <x:v>FIN-00636</x:v>
      </x:c>
      <x:c r="B1280" s="32" t="n">
        <x:v>2</x:v>
      </x:c>
      <x:c r="C1280" s="23" t="n">
        <x:v>46600</x:v>
      </x:c>
      <x:c r="D1280" s="23" t="n">
        <x:v>46600</x:v>
      </x:c>
      <x:c r="E1280" s="20" t="str">
        <x:v>P022</x:v>
      </x:c>
      <x:c r="F1280" s="20" t="str">
        <x:v>U023</x:v>
      </x:c>
      <x:c r="G1280" s="20" t="str">
        <x:v>L023</x:v>
      </x:c>
      <x:c r="H1280" s="20" t="str">
        <x:v>4000 Rental Income</x:v>
      </x:c>
      <x:c r="I1280" s="26" t="n">
        <x:v>0</x:v>
      </x:c>
      <x:c r="J1280" s="26" t="n">
        <x:v>1525</x:v>
      </x:c>
      <x:c r="K1280" s="35" t="str">
        <x:v>August 2027 rent</x:v>
      </x:c>
    </x:row>
    <x:row r="1281">
      <x:c r="A1281" s="20" t="str">
        <x:v>FIN-00637</x:v>
      </x:c>
      <x:c r="B1281" s="32" t="n">
        <x:v>1</x:v>
      </x:c>
      <x:c r="C1281" s="23" t="n">
        <x:v>46604</x:v>
      </x:c>
      <x:c r="D1281" s="23" t="n">
        <x:v>46604</x:v>
      </x:c>
      <x:c r="E1281" s="20" t="str">
        <x:v>P022</x:v>
      </x:c>
      <x:c r="F1281" s="20" t="str">
        <x:v>U023</x:v>
      </x:c>
      <x:c r="G1281" s="20" t="str">
        <x:v>L023</x:v>
      </x:c>
      <x:c r="H1281" s="20" t="str">
        <x:v>1000 Operating Cash</x:v>
      </x:c>
      <x:c r="I1281" s="26" t="n">
        <x:v>1525</x:v>
      </x:c>
      <x:c r="J1281" s="26" t="n">
        <x:v>0</x:v>
      </x:c>
      <x:c r="K1281" s="35" t="str">
        <x:v>Receipt allocated to FIN-00636</x:v>
      </x:c>
    </x:row>
    <x:row r="1282">
      <x:c r="A1282" s="20" t="str">
        <x:v>FIN-00637</x:v>
      </x:c>
      <x:c r="B1282" s="32" t="n">
        <x:v>2</x:v>
      </x:c>
      <x:c r="C1282" s="23" t="n">
        <x:v>46604</x:v>
      </x:c>
      <x:c r="D1282" s="23" t="n">
        <x:v>46604</x:v>
      </x:c>
      <x:c r="E1282" s="20" t="str">
        <x:v>P022</x:v>
      </x:c>
      <x:c r="F1282" s="20" t="str">
        <x:v>U023</x:v>
      </x:c>
      <x:c r="G1282" s="20" t="str">
        <x:v>L023</x:v>
      </x:c>
      <x:c r="H1282" s="20" t="str">
        <x:v>1100 Tenant Accounts Receivable</x:v>
      </x:c>
      <x:c r="I1282" s="26" t="n">
        <x:v>0</x:v>
      </x:c>
      <x:c r="J1282" s="26" t="n">
        <x:v>1525</x:v>
      </x:c>
      <x:c r="K1282" s="35" t="str">
        <x:v>Receipt allocated to FIN-00636</x:v>
      </x:c>
    </x:row>
    <x:row r="1283">
      <x:c r="A1283" s="20" t="str">
        <x:v>FIN-00638</x:v>
      </x:c>
      <x:c r="B1283" s="32" t="n">
        <x:v>1</x:v>
      </x:c>
      <x:c r="C1283" s="23" t="n">
        <x:v>46600</x:v>
      </x:c>
      <x:c r="D1283" s="23" t="n">
        <x:v>46600</x:v>
      </x:c>
      <x:c r="E1283" s="20" t="str">
        <x:v>P022</x:v>
      </x:c>
      <x:c r="F1283" s="20" t="str">
        <x:v>U024</x:v>
      </x:c>
      <x:c r="G1283" s="20" t="str">
        <x:v>L024</x:v>
      </x:c>
      <x:c r="H1283" s="20" t="str">
        <x:v>1100 Tenant Accounts Receivable</x:v>
      </x:c>
      <x:c r="I1283" s="26" t="n">
        <x:v>1150</x:v>
      </x:c>
      <x:c r="J1283" s="26" t="n">
        <x:v>0</x:v>
      </x:c>
      <x:c r="K1283" s="35" t="str">
        <x:v>August 2027 rent</x:v>
      </x:c>
    </x:row>
    <x:row r="1284">
      <x:c r="A1284" s="20" t="str">
        <x:v>FIN-00638</x:v>
      </x:c>
      <x:c r="B1284" s="32" t="n">
        <x:v>2</x:v>
      </x:c>
      <x:c r="C1284" s="23" t="n">
        <x:v>46600</x:v>
      </x:c>
      <x:c r="D1284" s="23" t="n">
        <x:v>46600</x:v>
      </x:c>
      <x:c r="E1284" s="20" t="str">
        <x:v>P022</x:v>
      </x:c>
      <x:c r="F1284" s="20" t="str">
        <x:v>U024</x:v>
      </x:c>
      <x:c r="G1284" s="20" t="str">
        <x:v>L024</x:v>
      </x:c>
      <x:c r="H1284" s="20" t="str">
        <x:v>4000 Rental Income</x:v>
      </x:c>
      <x:c r="I1284" s="26" t="n">
        <x:v>0</x:v>
      </x:c>
      <x:c r="J1284" s="26" t="n">
        <x:v>1150</x:v>
      </x:c>
      <x:c r="K1284" s="35" t="str">
        <x:v>August 2027 rent</x:v>
      </x:c>
    </x:row>
    <x:row r="1285">
      <x:c r="A1285" s="20" t="str">
        <x:v>FIN-00639</x:v>
      </x:c>
      <x:c r="B1285" s="32" t="n">
        <x:v>1</x:v>
      </x:c>
      <x:c r="C1285" s="23" t="n">
        <x:v>46602</x:v>
      </x:c>
      <x:c r="D1285" s="23" t="n">
        <x:v>46602</x:v>
      </x:c>
      <x:c r="E1285" s="20" t="str">
        <x:v>P022</x:v>
      </x:c>
      <x:c r="F1285" s="20" t="str">
        <x:v>U024</x:v>
      </x:c>
      <x:c r="G1285" s="20" t="str">
        <x:v>L024</x:v>
      </x:c>
      <x:c r="H1285" s="20" t="str">
        <x:v>1000 Operating Cash</x:v>
      </x:c>
      <x:c r="I1285" s="26" t="n">
        <x:v>1150</x:v>
      </x:c>
      <x:c r="J1285" s="26" t="n">
        <x:v>0</x:v>
      </x:c>
      <x:c r="K1285" s="35" t="str">
        <x:v>Receipt allocated to FIN-00638</x:v>
      </x:c>
    </x:row>
    <x:row r="1286">
      <x:c r="A1286" s="20" t="str">
        <x:v>FIN-00639</x:v>
      </x:c>
      <x:c r="B1286" s="32" t="n">
        <x:v>2</x:v>
      </x:c>
      <x:c r="C1286" s="23" t="n">
        <x:v>46602</x:v>
      </x:c>
      <x:c r="D1286" s="23" t="n">
        <x:v>46602</x:v>
      </x:c>
      <x:c r="E1286" s="20" t="str">
        <x:v>P022</x:v>
      </x:c>
      <x:c r="F1286" s="20" t="str">
        <x:v>U024</x:v>
      </x:c>
      <x:c r="G1286" s="20" t="str">
        <x:v>L024</x:v>
      </x:c>
      <x:c r="H1286" s="20" t="str">
        <x:v>1100 Tenant Accounts Receivable</x:v>
      </x:c>
      <x:c r="I1286" s="26" t="n">
        <x:v>0</x:v>
      </x:c>
      <x:c r="J1286" s="26" t="n">
        <x:v>1150</x:v>
      </x:c>
      <x:c r="K1286" s="35" t="str">
        <x:v>Receipt allocated to FIN-00638</x:v>
      </x:c>
    </x:row>
    <x:row r="1287">
      <x:c r="A1287" s="20" t="str">
        <x:v>FIN-00640</x:v>
      </x:c>
      <x:c r="B1287" s="32" t="n">
        <x:v>1</x:v>
      </x:c>
      <x:c r="C1287" s="23" t="n">
        <x:v>46600</x:v>
      </x:c>
      <x:c r="D1287" s="23" t="n">
        <x:v>46600</x:v>
      </x:c>
      <x:c r="E1287" s="20" t="str">
        <x:v>P023</x:v>
      </x:c>
      <x:c r="F1287" s="20" t="str">
        <x:v>U025</x:v>
      </x:c>
      <x:c r="G1287" s="20" t="str">
        <x:v>L025</x:v>
      </x:c>
      <x:c r="H1287" s="20" t="str">
        <x:v>1100 Tenant Accounts Receivable</x:v>
      </x:c>
      <x:c r="I1287" s="26" t="n">
        <x:v>1675</x:v>
      </x:c>
      <x:c r="J1287" s="26" t="n">
        <x:v>0</x:v>
      </x:c>
      <x:c r="K1287" s="35" t="str">
        <x:v>August 2027 rent</x:v>
      </x:c>
    </x:row>
    <x:row r="1288">
      <x:c r="A1288" s="20" t="str">
        <x:v>FIN-00640</x:v>
      </x:c>
      <x:c r="B1288" s="32" t="n">
        <x:v>2</x:v>
      </x:c>
      <x:c r="C1288" s="23" t="n">
        <x:v>46600</x:v>
      </x:c>
      <x:c r="D1288" s="23" t="n">
        <x:v>46600</x:v>
      </x:c>
      <x:c r="E1288" s="20" t="str">
        <x:v>P023</x:v>
      </x:c>
      <x:c r="F1288" s="20" t="str">
        <x:v>U025</x:v>
      </x:c>
      <x:c r="G1288" s="20" t="str">
        <x:v>L025</x:v>
      </x:c>
      <x:c r="H1288" s="20" t="str">
        <x:v>4000 Rental Income</x:v>
      </x:c>
      <x:c r="I1288" s="26" t="n">
        <x:v>0</x:v>
      </x:c>
      <x:c r="J1288" s="26" t="n">
        <x:v>1675</x:v>
      </x:c>
      <x:c r="K1288" s="35" t="str">
        <x:v>August 2027 rent</x:v>
      </x:c>
    </x:row>
    <x:row r="1289">
      <x:c r="A1289" s="20" t="str">
        <x:v>FIN-00641</x:v>
      </x:c>
      <x:c r="B1289" s="32" t="n">
        <x:v>1</x:v>
      </x:c>
      <x:c r="C1289" s="23" t="n">
        <x:v>46603</x:v>
      </x:c>
      <x:c r="D1289" s="23" t="n">
        <x:v>46603</x:v>
      </x:c>
      <x:c r="E1289" s="20" t="str">
        <x:v>P023</x:v>
      </x:c>
      <x:c r="F1289" s="20" t="str">
        <x:v>U025</x:v>
      </x:c>
      <x:c r="G1289" s="20" t="str">
        <x:v>L025</x:v>
      </x:c>
      <x:c r="H1289" s="20" t="str">
        <x:v>1000 Operating Cash</x:v>
      </x:c>
      <x:c r="I1289" s="26" t="n">
        <x:v>1675</x:v>
      </x:c>
      <x:c r="J1289" s="26" t="n">
        <x:v>0</x:v>
      </x:c>
      <x:c r="K1289" s="35" t="str">
        <x:v>Receipt allocated to FIN-00640</x:v>
      </x:c>
    </x:row>
    <x:row r="1290">
      <x:c r="A1290" s="20" t="str">
        <x:v>FIN-00641</x:v>
      </x:c>
      <x:c r="B1290" s="32" t="n">
        <x:v>2</x:v>
      </x:c>
      <x:c r="C1290" s="23" t="n">
        <x:v>46603</x:v>
      </x:c>
      <x:c r="D1290" s="23" t="n">
        <x:v>46603</x:v>
      </x:c>
      <x:c r="E1290" s="20" t="str">
        <x:v>P023</x:v>
      </x:c>
      <x:c r="F1290" s="20" t="str">
        <x:v>U025</x:v>
      </x:c>
      <x:c r="G1290" s="20" t="str">
        <x:v>L025</x:v>
      </x:c>
      <x:c r="H1290" s="20" t="str">
        <x:v>1100 Tenant Accounts Receivable</x:v>
      </x:c>
      <x:c r="I1290" s="26" t="n">
        <x:v>0</x:v>
      </x:c>
      <x:c r="J1290" s="26" t="n">
        <x:v>1675</x:v>
      </x:c>
      <x:c r="K1290" s="35" t="str">
        <x:v>Receipt allocated to FIN-00640</x:v>
      </x:c>
    </x:row>
    <x:row r="1291">
      <x:c r="A1291" s="20" t="str">
        <x:v>FIN-00642</x:v>
      </x:c>
      <x:c r="B1291" s="32" t="n">
        <x:v>1</x:v>
      </x:c>
      <x:c r="C1291" s="23" t="n">
        <x:v>46600</x:v>
      </x:c>
      <x:c r="D1291" s="23" t="n">
        <x:v>46600</x:v>
      </x:c>
      <x:c r="E1291" s="20" t="str">
        <x:v>P023</x:v>
      </x:c>
      <x:c r="F1291" s="20" t="str">
        <x:v>U026</x:v>
      </x:c>
      <x:c r="G1291" s="20" t="str">
        <x:v>L026</x:v>
      </x:c>
      <x:c r="H1291" s="20" t="str">
        <x:v>1100 Tenant Accounts Receivable</x:v>
      </x:c>
      <x:c r="I1291" s="26" t="n">
        <x:v>1300</x:v>
      </x:c>
      <x:c r="J1291" s="26" t="n">
        <x:v>0</x:v>
      </x:c>
      <x:c r="K1291" s="35" t="str">
        <x:v>August 2027 rent</x:v>
      </x:c>
    </x:row>
    <x:row r="1292">
      <x:c r="A1292" s="20" t="str">
        <x:v>FIN-00642</x:v>
      </x:c>
      <x:c r="B1292" s="32" t="n">
        <x:v>2</x:v>
      </x:c>
      <x:c r="C1292" s="23" t="n">
        <x:v>46600</x:v>
      </x:c>
      <x:c r="D1292" s="23" t="n">
        <x:v>46600</x:v>
      </x:c>
      <x:c r="E1292" s="20" t="str">
        <x:v>P023</x:v>
      </x:c>
      <x:c r="F1292" s="20" t="str">
        <x:v>U026</x:v>
      </x:c>
      <x:c r="G1292" s="20" t="str">
        <x:v>L026</x:v>
      </x:c>
      <x:c r="H1292" s="20" t="str">
        <x:v>4000 Rental Income</x:v>
      </x:c>
      <x:c r="I1292" s="26" t="n">
        <x:v>0</x:v>
      </x:c>
      <x:c r="J1292" s="26" t="n">
        <x:v>1300</x:v>
      </x:c>
      <x:c r="K1292" s="35" t="str">
        <x:v>August 2027 rent</x:v>
      </x:c>
    </x:row>
    <x:row r="1293">
      <x:c r="A1293" s="20" t="str">
        <x:v>FIN-00643</x:v>
      </x:c>
      <x:c r="B1293" s="32" t="n">
        <x:v>1</x:v>
      </x:c>
      <x:c r="C1293" s="23" t="n">
        <x:v>46605</x:v>
      </x:c>
      <x:c r="D1293" s="23" t="n">
        <x:v>46605</x:v>
      </x:c>
      <x:c r="E1293" s="20" t="str">
        <x:v>P023</x:v>
      </x:c>
      <x:c r="F1293" s="20" t="str">
        <x:v>U026</x:v>
      </x:c>
      <x:c r="G1293" s="20" t="str">
        <x:v>L026</x:v>
      </x:c>
      <x:c r="H1293" s="20" t="str">
        <x:v>1100 Tenant Accounts Receivable</x:v>
      </x:c>
      <x:c r="I1293" s="26" t="n">
        <x:v>50</x:v>
      </x:c>
      <x:c r="J1293" s="26" t="n">
        <x:v>0</x:v>
      </x:c>
      <x:c r="K1293" s="35" t="str">
        <x:v>Synthetic lease-authorized late fee</x:v>
      </x:c>
    </x:row>
    <x:row r="1294">
      <x:c r="A1294" s="20" t="str">
        <x:v>FIN-00643</x:v>
      </x:c>
      <x:c r="B1294" s="32" t="n">
        <x:v>2</x:v>
      </x:c>
      <x:c r="C1294" s="23" t="n">
        <x:v>46605</x:v>
      </x:c>
      <x:c r="D1294" s="23" t="n">
        <x:v>46605</x:v>
      </x:c>
      <x:c r="E1294" s="20" t="str">
        <x:v>P023</x:v>
      </x:c>
      <x:c r="F1294" s="20" t="str">
        <x:v>U026</x:v>
      </x:c>
      <x:c r="G1294" s="20" t="str">
        <x:v>L026</x:v>
      </x:c>
      <x:c r="H1294" s="20" t="str">
        <x:v>4010 Late Fee Income</x:v>
      </x:c>
      <x:c r="I1294" s="26" t="n">
        <x:v>0</x:v>
      </x:c>
      <x:c r="J1294" s="26" t="n">
        <x:v>50</x:v>
      </x:c>
      <x:c r="K1294" s="35" t="str">
        <x:v>Synthetic lease-authorized late fee</x:v>
      </x:c>
    </x:row>
    <x:row r="1295">
      <x:c r="A1295" s="20" t="str">
        <x:v>FIN-00644</x:v>
      </x:c>
      <x:c r="B1295" s="32" t="n">
        <x:v>1</x:v>
      </x:c>
      <x:c r="C1295" s="23" t="n">
        <x:v>46607</x:v>
      </x:c>
      <x:c r="D1295" s="23" t="n">
        <x:v>46607</x:v>
      </x:c>
      <x:c r="E1295" s="20" t="str">
        <x:v>P023</x:v>
      </x:c>
      <x:c r="F1295" s="20" t="str">
        <x:v>U026</x:v>
      </x:c>
      <x:c r="G1295" s="20" t="str">
        <x:v>L026</x:v>
      </x:c>
      <x:c r="H1295" s="20" t="str">
        <x:v>1000 Operating Cash</x:v>
      </x:c>
      <x:c r="I1295" s="26" t="n">
        <x:v>1350</x:v>
      </x:c>
      <x:c r="J1295" s="26" t="n">
        <x:v>0</x:v>
      </x:c>
      <x:c r="K1295" s="35" t="str">
        <x:v>Receipt allocated to FIN-00643</x:v>
      </x:c>
    </x:row>
    <x:row r="1296">
      <x:c r="A1296" s="20" t="str">
        <x:v>FIN-00644</x:v>
      </x:c>
      <x:c r="B1296" s="32" t="n">
        <x:v>2</x:v>
      </x:c>
      <x:c r="C1296" s="23" t="n">
        <x:v>46607</x:v>
      </x:c>
      <x:c r="D1296" s="23" t="n">
        <x:v>46607</x:v>
      </x:c>
      <x:c r="E1296" s="20" t="str">
        <x:v>P023</x:v>
      </x:c>
      <x:c r="F1296" s="20" t="str">
        <x:v>U026</x:v>
      </x:c>
      <x:c r="G1296" s="20" t="str">
        <x:v>L026</x:v>
      </x:c>
      <x:c r="H1296" s="20" t="str">
        <x:v>1100 Tenant Accounts Receivable</x:v>
      </x:c>
      <x:c r="I1296" s="26" t="n">
        <x:v>0</x:v>
      </x:c>
      <x:c r="J1296" s="26" t="n">
        <x:v>1350</x:v>
      </x:c>
      <x:c r="K1296" s="35" t="str">
        <x:v>Receipt allocated to FIN-00643</x:v>
      </x:c>
    </x:row>
    <x:row r="1297">
      <x:c r="A1297" s="20" t="str">
        <x:v>FIN-00645</x:v>
      </x:c>
      <x:c r="B1297" s="32" t="n">
        <x:v>1</x:v>
      </x:c>
      <x:c r="C1297" s="23" t="n">
        <x:v>46600</x:v>
      </x:c>
      <x:c r="D1297" s="23" t="n">
        <x:v>46600</x:v>
      </x:c>
      <x:c r="E1297" s="20" t="str">
        <x:v>P024</x:v>
      </x:c>
      <x:c r="F1297" s="20" t="str">
        <x:v>U027</x:v>
      </x:c>
      <x:c r="G1297" s="20" t="str">
        <x:v>L027</x:v>
      </x:c>
      <x:c r="H1297" s="20" t="str">
        <x:v>1100 Tenant Accounts Receivable</x:v>
      </x:c>
      <x:c r="I1297" s="26" t="n">
        <x:v>1825</x:v>
      </x:c>
      <x:c r="J1297" s="26" t="n">
        <x:v>0</x:v>
      </x:c>
      <x:c r="K1297" s="35" t="str">
        <x:v>August 2027 rent</x:v>
      </x:c>
    </x:row>
    <x:row r="1298">
      <x:c r="A1298" s="20" t="str">
        <x:v>FIN-00645</x:v>
      </x:c>
      <x:c r="B1298" s="32" t="n">
        <x:v>2</x:v>
      </x:c>
      <x:c r="C1298" s="23" t="n">
        <x:v>46600</x:v>
      </x:c>
      <x:c r="D1298" s="23" t="n">
        <x:v>46600</x:v>
      </x:c>
      <x:c r="E1298" s="20" t="str">
        <x:v>P024</x:v>
      </x:c>
      <x:c r="F1298" s="20" t="str">
        <x:v>U027</x:v>
      </x:c>
      <x:c r="G1298" s="20" t="str">
        <x:v>L027</x:v>
      </x:c>
      <x:c r="H1298" s="20" t="str">
        <x:v>4000 Rental Income</x:v>
      </x:c>
      <x:c r="I1298" s="26" t="n">
        <x:v>0</x:v>
      </x:c>
      <x:c r="J1298" s="26" t="n">
        <x:v>1825</x:v>
      </x:c>
      <x:c r="K1298" s="35" t="str">
        <x:v>August 2027 rent</x:v>
      </x:c>
    </x:row>
    <x:row r="1299">
      <x:c r="A1299" s="20" t="str">
        <x:v>FIN-00646</x:v>
      </x:c>
      <x:c r="B1299" s="32" t="n">
        <x:v>1</x:v>
      </x:c>
      <x:c r="C1299" s="23" t="n">
        <x:v>46602</x:v>
      </x:c>
      <x:c r="D1299" s="23" t="n">
        <x:v>46602</x:v>
      </x:c>
      <x:c r="E1299" s="20" t="str">
        <x:v>P024</x:v>
      </x:c>
      <x:c r="F1299" s="20" t="str">
        <x:v>U027</x:v>
      </x:c>
      <x:c r="G1299" s="20" t="str">
        <x:v>L027</x:v>
      </x:c>
      <x:c r="H1299" s="20" t="str">
        <x:v>1000 Operating Cash</x:v>
      </x:c>
      <x:c r="I1299" s="26" t="n">
        <x:v>1825</x:v>
      </x:c>
      <x:c r="J1299" s="26" t="n">
        <x:v>0</x:v>
      </x:c>
      <x:c r="K1299" s="35" t="str">
        <x:v>Receipt allocated to FIN-00645</x:v>
      </x:c>
    </x:row>
    <x:row r="1300">
      <x:c r="A1300" s="20" t="str">
        <x:v>FIN-00646</x:v>
      </x:c>
      <x:c r="B1300" s="32" t="n">
        <x:v>2</x:v>
      </x:c>
      <x:c r="C1300" s="23" t="n">
        <x:v>46602</x:v>
      </x:c>
      <x:c r="D1300" s="23" t="n">
        <x:v>46602</x:v>
      </x:c>
      <x:c r="E1300" s="20" t="str">
        <x:v>P024</x:v>
      </x:c>
      <x:c r="F1300" s="20" t="str">
        <x:v>U027</x:v>
      </x:c>
      <x:c r="G1300" s="20" t="str">
        <x:v>L027</x:v>
      </x:c>
      <x:c r="H1300" s="20" t="str">
        <x:v>1100 Tenant Accounts Receivable</x:v>
      </x:c>
      <x:c r="I1300" s="26" t="n">
        <x:v>0</x:v>
      </x:c>
      <x:c r="J1300" s="26" t="n">
        <x:v>1825</x:v>
      </x:c>
      <x:c r="K1300" s="35" t="str">
        <x:v>Receipt allocated to FIN-00645</x:v>
      </x:c>
    </x:row>
    <x:row r="1301">
      <x:c r="A1301" s="20" t="str">
        <x:v>FIN-00647</x:v>
      </x:c>
      <x:c r="B1301" s="32" t="n">
        <x:v>1</x:v>
      </x:c>
      <x:c r="C1301" s="23" t="n">
        <x:v>46600</x:v>
      </x:c>
      <x:c r="D1301" s="23" t="n">
        <x:v>46600</x:v>
      </x:c>
      <x:c r="E1301" s="20" t="str">
        <x:v>P024</x:v>
      </x:c>
      <x:c r="F1301" s="20" t="str">
        <x:v>U028</x:v>
      </x:c>
      <x:c r="G1301" s="20" t="str">
        <x:v>L028</x:v>
      </x:c>
      <x:c r="H1301" s="20" t="str">
        <x:v>1100 Tenant Accounts Receivable</x:v>
      </x:c>
      <x:c r="I1301" s="26" t="n">
        <x:v>1450</x:v>
      </x:c>
      <x:c r="J1301" s="26" t="n">
        <x:v>0</x:v>
      </x:c>
      <x:c r="K1301" s="35" t="str">
        <x:v>August 2027 rent</x:v>
      </x:c>
    </x:row>
    <x:row r="1302">
      <x:c r="A1302" s="20" t="str">
        <x:v>FIN-00647</x:v>
      </x:c>
      <x:c r="B1302" s="32" t="n">
        <x:v>2</x:v>
      </x:c>
      <x:c r="C1302" s="23" t="n">
        <x:v>46600</x:v>
      </x:c>
      <x:c r="D1302" s="23" t="n">
        <x:v>46600</x:v>
      </x:c>
      <x:c r="E1302" s="20" t="str">
        <x:v>P024</x:v>
      </x:c>
      <x:c r="F1302" s="20" t="str">
        <x:v>U028</x:v>
      </x:c>
      <x:c r="G1302" s="20" t="str">
        <x:v>L028</x:v>
      </x:c>
      <x:c r="H1302" s="20" t="str">
        <x:v>4000 Rental Income</x:v>
      </x:c>
      <x:c r="I1302" s="26" t="n">
        <x:v>0</x:v>
      </x:c>
      <x:c r="J1302" s="26" t="n">
        <x:v>1450</x:v>
      </x:c>
      <x:c r="K1302" s="35" t="str">
        <x:v>August 2027 rent</x:v>
      </x:c>
    </x:row>
    <x:row r="1303">
      <x:c r="A1303" s="20" t="str">
        <x:v>FIN-00648</x:v>
      </x:c>
      <x:c r="B1303" s="32" t="n">
        <x:v>1</x:v>
      </x:c>
      <x:c r="C1303" s="23" t="n">
        <x:v>46603</x:v>
      </x:c>
      <x:c r="D1303" s="23" t="n">
        <x:v>46603</x:v>
      </x:c>
      <x:c r="E1303" s="20" t="str">
        <x:v>P024</x:v>
      </x:c>
      <x:c r="F1303" s="20" t="str">
        <x:v>U028</x:v>
      </x:c>
      <x:c r="G1303" s="20" t="str">
        <x:v>L028</x:v>
      </x:c>
      <x:c r="H1303" s="20" t="str">
        <x:v>1000 Operating Cash</x:v>
      </x:c>
      <x:c r="I1303" s="26" t="n">
        <x:v>1450</x:v>
      </x:c>
      <x:c r="J1303" s="26" t="n">
        <x:v>0</x:v>
      </x:c>
      <x:c r="K1303" s="35" t="str">
        <x:v>Receipt allocated to FIN-00647</x:v>
      </x:c>
    </x:row>
    <x:row r="1304">
      <x:c r="A1304" s="20" t="str">
        <x:v>FIN-00648</x:v>
      </x:c>
      <x:c r="B1304" s="32" t="n">
        <x:v>2</x:v>
      </x:c>
      <x:c r="C1304" s="23" t="n">
        <x:v>46603</x:v>
      </x:c>
      <x:c r="D1304" s="23" t="n">
        <x:v>46603</x:v>
      </x:c>
      <x:c r="E1304" s="20" t="str">
        <x:v>P024</x:v>
      </x:c>
      <x:c r="F1304" s="20" t="str">
        <x:v>U028</x:v>
      </x:c>
      <x:c r="G1304" s="20" t="str">
        <x:v>L028</x:v>
      </x:c>
      <x:c r="H1304" s="20" t="str">
        <x:v>1100 Tenant Accounts Receivable</x:v>
      </x:c>
      <x:c r="I1304" s="26" t="n">
        <x:v>0</x:v>
      </x:c>
      <x:c r="J1304" s="26" t="n">
        <x:v>1450</x:v>
      </x:c>
      <x:c r="K1304" s="35" t="str">
        <x:v>Receipt allocated to FIN-00647</x:v>
      </x:c>
    </x:row>
    <x:row r="1305">
      <x:c r="A1305" s="20" t="str">
        <x:v>FIN-00649</x:v>
      </x:c>
      <x:c r="B1305" s="32" t="n">
        <x:v>1</x:v>
      </x:c>
      <x:c r="C1305" s="23" t="n">
        <x:v>46600</x:v>
      </x:c>
      <x:c r="D1305" s="23" t="n">
        <x:v>46600</x:v>
      </x:c>
      <x:c r="E1305" s="20" t="str">
        <x:v>P025</x:v>
      </x:c>
      <x:c r="F1305" s="20" t="str">
        <x:v>U029</x:v>
      </x:c>
      <x:c r="G1305" s="20" t="str">
        <x:v>L029</x:v>
      </x:c>
      <x:c r="H1305" s="20" t="str">
        <x:v>1100 Tenant Accounts Receivable</x:v>
      </x:c>
      <x:c r="I1305" s="26" t="n">
        <x:v>1975</x:v>
      </x:c>
      <x:c r="J1305" s="26" t="n">
        <x:v>0</x:v>
      </x:c>
      <x:c r="K1305" s="35" t="str">
        <x:v>August 2027 rent</x:v>
      </x:c>
    </x:row>
    <x:row r="1306">
      <x:c r="A1306" s="20" t="str">
        <x:v>FIN-00649</x:v>
      </x:c>
      <x:c r="B1306" s="32" t="n">
        <x:v>2</x:v>
      </x:c>
      <x:c r="C1306" s="23" t="n">
        <x:v>46600</x:v>
      </x:c>
      <x:c r="D1306" s="23" t="n">
        <x:v>46600</x:v>
      </x:c>
      <x:c r="E1306" s="20" t="str">
        <x:v>P025</x:v>
      </x:c>
      <x:c r="F1306" s="20" t="str">
        <x:v>U029</x:v>
      </x:c>
      <x:c r="G1306" s="20" t="str">
        <x:v>L029</x:v>
      </x:c>
      <x:c r="H1306" s="20" t="str">
        <x:v>4000 Rental Income</x:v>
      </x:c>
      <x:c r="I1306" s="26" t="n">
        <x:v>0</x:v>
      </x:c>
      <x:c r="J1306" s="26" t="n">
        <x:v>1975</x:v>
      </x:c>
      <x:c r="K1306" s="35" t="str">
        <x:v>August 2027 rent</x:v>
      </x:c>
    </x:row>
    <x:row r="1307">
      <x:c r="A1307" s="20" t="str">
        <x:v>FIN-00650</x:v>
      </x:c>
      <x:c r="B1307" s="32" t="n">
        <x:v>1</x:v>
      </x:c>
      <x:c r="C1307" s="23" t="n">
        <x:v>46604</x:v>
      </x:c>
      <x:c r="D1307" s="23" t="n">
        <x:v>46604</x:v>
      </x:c>
      <x:c r="E1307" s="20" t="str">
        <x:v>P025</x:v>
      </x:c>
      <x:c r="F1307" s="20" t="str">
        <x:v>U029</x:v>
      </x:c>
      <x:c r="G1307" s="20" t="str">
        <x:v>L029</x:v>
      </x:c>
      <x:c r="H1307" s="20" t="str">
        <x:v>1000 Operating Cash</x:v>
      </x:c>
      <x:c r="I1307" s="26" t="n">
        <x:v>1975</x:v>
      </x:c>
      <x:c r="J1307" s="26" t="n">
        <x:v>0</x:v>
      </x:c>
      <x:c r="K1307" s="35" t="str">
        <x:v>Receipt allocated to FIN-00649</x:v>
      </x:c>
    </x:row>
    <x:row r="1308">
      <x:c r="A1308" s="20" t="str">
        <x:v>FIN-00650</x:v>
      </x:c>
      <x:c r="B1308" s="32" t="n">
        <x:v>2</x:v>
      </x:c>
      <x:c r="C1308" s="23" t="n">
        <x:v>46604</x:v>
      </x:c>
      <x:c r="D1308" s="23" t="n">
        <x:v>46604</x:v>
      </x:c>
      <x:c r="E1308" s="20" t="str">
        <x:v>P025</x:v>
      </x:c>
      <x:c r="F1308" s="20" t="str">
        <x:v>U029</x:v>
      </x:c>
      <x:c r="G1308" s="20" t="str">
        <x:v>L029</x:v>
      </x:c>
      <x:c r="H1308" s="20" t="str">
        <x:v>1100 Tenant Accounts Receivable</x:v>
      </x:c>
      <x:c r="I1308" s="26" t="n">
        <x:v>0</x:v>
      </x:c>
      <x:c r="J1308" s="26" t="n">
        <x:v>1975</x:v>
      </x:c>
      <x:c r="K1308" s="35" t="str">
        <x:v>Receipt allocated to FIN-00649</x:v>
      </x:c>
    </x:row>
    <x:row r="1309">
      <x:c r="A1309" s="20" t="str">
        <x:v>FIN-00651</x:v>
      </x:c>
      <x:c r="B1309" s="32" t="n">
        <x:v>1</x:v>
      </x:c>
      <x:c r="C1309" s="23" t="n">
        <x:v>46600</x:v>
      </x:c>
      <x:c r="D1309" s="23" t="n">
        <x:v>46600</x:v>
      </x:c>
      <x:c r="E1309" s="20" t="str">
        <x:v>P025</x:v>
      </x:c>
      <x:c r="F1309" s="20" t="str">
        <x:v>U030</x:v>
      </x:c>
      <x:c r="G1309" s="20" t="str">
        <x:v>L030</x:v>
      </x:c>
      <x:c r="H1309" s="20" t="str">
        <x:v>1100 Tenant Accounts Receivable</x:v>
      </x:c>
      <x:c r="I1309" s="26" t="n">
        <x:v>1600</x:v>
      </x:c>
      <x:c r="J1309" s="26" t="n">
        <x:v>0</x:v>
      </x:c>
      <x:c r="K1309" s="35" t="str">
        <x:v>August 2027 rent</x:v>
      </x:c>
    </x:row>
    <x:row r="1310">
      <x:c r="A1310" s="20" t="str">
        <x:v>FIN-00651</x:v>
      </x:c>
      <x:c r="B1310" s="32" t="n">
        <x:v>2</x:v>
      </x:c>
      <x:c r="C1310" s="23" t="n">
        <x:v>46600</x:v>
      </x:c>
      <x:c r="D1310" s="23" t="n">
        <x:v>46600</x:v>
      </x:c>
      <x:c r="E1310" s="20" t="str">
        <x:v>P025</x:v>
      </x:c>
      <x:c r="F1310" s="20" t="str">
        <x:v>U030</x:v>
      </x:c>
      <x:c r="G1310" s="20" t="str">
        <x:v>L030</x:v>
      </x:c>
      <x:c r="H1310" s="20" t="str">
        <x:v>4000 Rental Income</x:v>
      </x:c>
      <x:c r="I1310" s="26" t="n">
        <x:v>0</x:v>
      </x:c>
      <x:c r="J1310" s="26" t="n">
        <x:v>1600</x:v>
      </x:c>
      <x:c r="K1310" s="35" t="str">
        <x:v>August 2027 rent</x:v>
      </x:c>
    </x:row>
    <x:row r="1311">
      <x:c r="A1311" s="20" t="str">
        <x:v>FIN-00652</x:v>
      </x:c>
      <x:c r="B1311" s="32" t="n">
        <x:v>1</x:v>
      </x:c>
      <x:c r="C1311" s="23" t="n">
        <x:v>46602</x:v>
      </x:c>
      <x:c r="D1311" s="23" t="n">
        <x:v>46602</x:v>
      </x:c>
      <x:c r="E1311" s="20" t="str">
        <x:v>P025</x:v>
      </x:c>
      <x:c r="F1311" s="20" t="str">
        <x:v>U030</x:v>
      </x:c>
      <x:c r="G1311" s="20" t="str">
        <x:v>L030</x:v>
      </x:c>
      <x:c r="H1311" s="20" t="str">
        <x:v>1000 Operating Cash</x:v>
      </x:c>
      <x:c r="I1311" s="26" t="n">
        <x:v>1600</x:v>
      </x:c>
      <x:c r="J1311" s="26" t="n">
        <x:v>0</x:v>
      </x:c>
      <x:c r="K1311" s="35" t="str">
        <x:v>Receipt allocated to FIN-00651</x:v>
      </x:c>
    </x:row>
    <x:row r="1312">
      <x:c r="A1312" s="20" t="str">
        <x:v>FIN-00652</x:v>
      </x:c>
      <x:c r="B1312" s="32" t="n">
        <x:v>2</x:v>
      </x:c>
      <x:c r="C1312" s="23" t="n">
        <x:v>46602</x:v>
      </x:c>
      <x:c r="D1312" s="23" t="n">
        <x:v>46602</x:v>
      </x:c>
      <x:c r="E1312" s="20" t="str">
        <x:v>P025</x:v>
      </x:c>
      <x:c r="F1312" s="20" t="str">
        <x:v>U030</x:v>
      </x:c>
      <x:c r="G1312" s="20" t="str">
        <x:v>L030</x:v>
      </x:c>
      <x:c r="H1312" s="20" t="str">
        <x:v>1100 Tenant Accounts Receivable</x:v>
      </x:c>
      <x:c r="I1312" s="26" t="n">
        <x:v>0</x:v>
      </x:c>
      <x:c r="J1312" s="26" t="n">
        <x:v>1600</x:v>
      </x:c>
      <x:c r="K1312" s="35" t="str">
        <x:v>Receipt allocated to FIN-00651</x:v>
      </x:c>
    </x:row>
    <x:row r="1313">
      <x:c r="A1313" s="20" t="str">
        <x:v>FIN-00653</x:v>
      </x:c>
      <x:c r="B1313" s="32" t="n">
        <x:v>1</x:v>
      </x:c>
      <x:c r="C1313" s="23" t="n">
        <x:v>46600</x:v>
      </x:c>
      <x:c r="D1313" s="23" t="n">
        <x:v>46600</x:v>
      </x:c>
      <x:c r="E1313" s="20" t="str">
        <x:v>P026</x:v>
      </x:c>
      <x:c r="F1313" s="20" t="str">
        <x:v>U031</x:v>
      </x:c>
      <x:c r="G1313" s="20" t="str">
        <x:v>L031</x:v>
      </x:c>
      <x:c r="H1313" s="20" t="str">
        <x:v>1100 Tenant Accounts Receivable</x:v>
      </x:c>
      <x:c r="I1313" s="26" t="n">
        <x:v>1225</x:v>
      </x:c>
      <x:c r="J1313" s="26" t="n">
        <x:v>0</x:v>
      </x:c>
      <x:c r="K1313" s="35" t="str">
        <x:v>August 2027 rent</x:v>
      </x:c>
    </x:row>
    <x:row r="1314">
      <x:c r="A1314" s="20" t="str">
        <x:v>FIN-00653</x:v>
      </x:c>
      <x:c r="B1314" s="32" t="n">
        <x:v>2</x:v>
      </x:c>
      <x:c r="C1314" s="23" t="n">
        <x:v>46600</x:v>
      </x:c>
      <x:c r="D1314" s="23" t="n">
        <x:v>46600</x:v>
      </x:c>
      <x:c r="E1314" s="20" t="str">
        <x:v>P026</x:v>
      </x:c>
      <x:c r="F1314" s="20" t="str">
        <x:v>U031</x:v>
      </x:c>
      <x:c r="G1314" s="20" t="str">
        <x:v>L031</x:v>
      </x:c>
      <x:c r="H1314" s="20" t="str">
        <x:v>4000 Rental Income</x:v>
      </x:c>
      <x:c r="I1314" s="26" t="n">
        <x:v>0</x:v>
      </x:c>
      <x:c r="J1314" s="26" t="n">
        <x:v>1225</x:v>
      </x:c>
      <x:c r="K1314" s="35" t="str">
        <x:v>August 2027 rent</x:v>
      </x:c>
    </x:row>
    <x:row r="1315">
      <x:c r="A1315" s="20" t="str">
        <x:v>FIN-00654</x:v>
      </x:c>
      <x:c r="B1315" s="32" t="n">
        <x:v>1</x:v>
      </x:c>
      <x:c r="C1315" s="23" t="n">
        <x:v>46603</x:v>
      </x:c>
      <x:c r="D1315" s="23" t="n">
        <x:v>46603</x:v>
      </x:c>
      <x:c r="E1315" s="20" t="str">
        <x:v>P026</x:v>
      </x:c>
      <x:c r="F1315" s="20" t="str">
        <x:v>U031</x:v>
      </x:c>
      <x:c r="G1315" s="20" t="str">
        <x:v>L031</x:v>
      </x:c>
      <x:c r="H1315" s="20" t="str">
        <x:v>1000 Operating Cash</x:v>
      </x:c>
      <x:c r="I1315" s="26" t="n">
        <x:v>1225</x:v>
      </x:c>
      <x:c r="J1315" s="26" t="n">
        <x:v>0</x:v>
      </x:c>
      <x:c r="K1315" s="35" t="str">
        <x:v>Receipt allocated to FIN-00653</x:v>
      </x:c>
    </x:row>
    <x:row r="1316">
      <x:c r="A1316" s="20" t="str">
        <x:v>FIN-00654</x:v>
      </x:c>
      <x:c r="B1316" s="32" t="n">
        <x:v>2</x:v>
      </x:c>
      <x:c r="C1316" s="23" t="n">
        <x:v>46603</x:v>
      </x:c>
      <x:c r="D1316" s="23" t="n">
        <x:v>46603</x:v>
      </x:c>
      <x:c r="E1316" s="20" t="str">
        <x:v>P026</x:v>
      </x:c>
      <x:c r="F1316" s="20" t="str">
        <x:v>U031</x:v>
      </x:c>
      <x:c r="G1316" s="20" t="str">
        <x:v>L031</x:v>
      </x:c>
      <x:c r="H1316" s="20" t="str">
        <x:v>1100 Tenant Accounts Receivable</x:v>
      </x:c>
      <x:c r="I1316" s="26" t="n">
        <x:v>0</x:v>
      </x:c>
      <x:c r="J1316" s="26" t="n">
        <x:v>1225</x:v>
      </x:c>
      <x:c r="K1316" s="35" t="str">
        <x:v>Receipt allocated to FIN-00653</x:v>
      </x:c>
    </x:row>
    <x:row r="1317">
      <x:c r="A1317" s="20" t="str">
        <x:v>FIN-00655</x:v>
      </x:c>
      <x:c r="B1317" s="32" t="n">
        <x:v>1</x:v>
      </x:c>
      <x:c r="C1317" s="23" t="n">
        <x:v>46600</x:v>
      </x:c>
      <x:c r="D1317" s="23" t="n">
        <x:v>46600</x:v>
      </x:c>
      <x:c r="E1317" s="20" t="str">
        <x:v>P026</x:v>
      </x:c>
      <x:c r="F1317" s="20" t="str">
        <x:v>U032</x:v>
      </x:c>
      <x:c r="G1317" s="20" t="str">
        <x:v>L032</x:v>
      </x:c>
      <x:c r="H1317" s="20" t="str">
        <x:v>1100 Tenant Accounts Receivable</x:v>
      </x:c>
      <x:c r="I1317" s="26" t="n">
        <x:v>1750</x:v>
      </x:c>
      <x:c r="J1317" s="26" t="n">
        <x:v>0</x:v>
      </x:c>
      <x:c r="K1317" s="35" t="str">
        <x:v>August 2027 rent</x:v>
      </x:c>
    </x:row>
    <x:row r="1318">
      <x:c r="A1318" s="20" t="str">
        <x:v>FIN-00655</x:v>
      </x:c>
      <x:c r="B1318" s="32" t="n">
        <x:v>2</x:v>
      </x:c>
      <x:c r="C1318" s="23" t="n">
        <x:v>46600</x:v>
      </x:c>
      <x:c r="D1318" s="23" t="n">
        <x:v>46600</x:v>
      </x:c>
      <x:c r="E1318" s="20" t="str">
        <x:v>P026</x:v>
      </x:c>
      <x:c r="F1318" s="20" t="str">
        <x:v>U032</x:v>
      </x:c>
      <x:c r="G1318" s="20" t="str">
        <x:v>L032</x:v>
      </x:c>
      <x:c r="H1318" s="20" t="str">
        <x:v>4000 Rental Income</x:v>
      </x:c>
      <x:c r="I1318" s="26" t="n">
        <x:v>0</x:v>
      </x:c>
      <x:c r="J1318" s="26" t="n">
        <x:v>1750</x:v>
      </x:c>
      <x:c r="K1318" s="35" t="str">
        <x:v>August 2027 rent</x:v>
      </x:c>
    </x:row>
    <x:row r="1319">
      <x:c r="A1319" s="20" t="str">
        <x:v>FIN-00656</x:v>
      </x:c>
      <x:c r="B1319" s="32" t="n">
        <x:v>1</x:v>
      </x:c>
      <x:c r="C1319" s="23" t="n">
        <x:v>46604</x:v>
      </x:c>
      <x:c r="D1319" s="23" t="n">
        <x:v>46604</x:v>
      </x:c>
      <x:c r="E1319" s="20" t="str">
        <x:v>P026</x:v>
      </x:c>
      <x:c r="F1319" s="20" t="str">
        <x:v>U032</x:v>
      </x:c>
      <x:c r="G1319" s="20" t="str">
        <x:v>L032</x:v>
      </x:c>
      <x:c r="H1319" s="20" t="str">
        <x:v>1000 Operating Cash</x:v>
      </x:c>
      <x:c r="I1319" s="26" t="n">
        <x:v>1750</x:v>
      </x:c>
      <x:c r="J1319" s="26" t="n">
        <x:v>0</x:v>
      </x:c>
      <x:c r="K1319" s="35" t="str">
        <x:v>Receipt allocated to FIN-00655</x:v>
      </x:c>
    </x:row>
    <x:row r="1320">
      <x:c r="A1320" s="20" t="str">
        <x:v>FIN-00656</x:v>
      </x:c>
      <x:c r="B1320" s="32" t="n">
        <x:v>2</x:v>
      </x:c>
      <x:c r="C1320" s="23" t="n">
        <x:v>46604</x:v>
      </x:c>
      <x:c r="D1320" s="23" t="n">
        <x:v>46604</x:v>
      </x:c>
      <x:c r="E1320" s="20" t="str">
        <x:v>P026</x:v>
      </x:c>
      <x:c r="F1320" s="20" t="str">
        <x:v>U032</x:v>
      </x:c>
      <x:c r="G1320" s="20" t="str">
        <x:v>L032</x:v>
      </x:c>
      <x:c r="H1320" s="20" t="str">
        <x:v>1100 Tenant Accounts Receivable</x:v>
      </x:c>
      <x:c r="I1320" s="26" t="n">
        <x:v>0</x:v>
      </x:c>
      <x:c r="J1320" s="26" t="n">
        <x:v>1750</x:v>
      </x:c>
      <x:c r="K1320" s="35" t="str">
        <x:v>Receipt allocated to FIN-00655</x:v>
      </x:c>
    </x:row>
    <x:row r="1321">
      <x:c r="A1321" s="20" t="str">
        <x:v>FIN-00657</x:v>
      </x:c>
      <x:c r="B1321" s="32" t="n">
        <x:v>1</x:v>
      </x:c>
      <x:c r="C1321" s="23" t="n">
        <x:v>46600</x:v>
      </x:c>
      <x:c r="D1321" s="23" t="n">
        <x:v>46600</x:v>
      </x:c>
      <x:c r="E1321" s="20" t="str">
        <x:v>P027</x:v>
      </x:c>
      <x:c r="F1321" s="20" t="str">
        <x:v>U033</x:v>
      </x:c>
      <x:c r="G1321" s="20" t="str">
        <x:v>L033</x:v>
      </x:c>
      <x:c r="H1321" s="20" t="str">
        <x:v>1100 Tenant Accounts Receivable</x:v>
      </x:c>
      <x:c r="I1321" s="26" t="n">
        <x:v>1375</x:v>
      </x:c>
      <x:c r="J1321" s="26" t="n">
        <x:v>0</x:v>
      </x:c>
      <x:c r="K1321" s="35" t="str">
        <x:v>August 2027 rent</x:v>
      </x:c>
    </x:row>
    <x:row r="1322">
      <x:c r="A1322" s="20" t="str">
        <x:v>FIN-00657</x:v>
      </x:c>
      <x:c r="B1322" s="32" t="n">
        <x:v>2</x:v>
      </x:c>
      <x:c r="C1322" s="23" t="n">
        <x:v>46600</x:v>
      </x:c>
      <x:c r="D1322" s="23" t="n">
        <x:v>46600</x:v>
      </x:c>
      <x:c r="E1322" s="20" t="str">
        <x:v>P027</x:v>
      </x:c>
      <x:c r="F1322" s="20" t="str">
        <x:v>U033</x:v>
      </x:c>
      <x:c r="G1322" s="20" t="str">
        <x:v>L033</x:v>
      </x:c>
      <x:c r="H1322" s="20" t="str">
        <x:v>4000 Rental Income</x:v>
      </x:c>
      <x:c r="I1322" s="26" t="n">
        <x:v>0</x:v>
      </x:c>
      <x:c r="J1322" s="26" t="n">
        <x:v>1375</x:v>
      </x:c>
      <x:c r="K1322" s="35" t="str">
        <x:v>August 2027 rent</x:v>
      </x:c>
    </x:row>
    <x:row r="1323">
      <x:c r="A1323" s="20" t="str">
        <x:v>FIN-00658</x:v>
      </x:c>
      <x:c r="B1323" s="32" t="n">
        <x:v>1</x:v>
      </x:c>
      <x:c r="C1323" s="23" t="n">
        <x:v>46602</x:v>
      </x:c>
      <x:c r="D1323" s="23" t="n">
        <x:v>46602</x:v>
      </x:c>
      <x:c r="E1323" s="20" t="str">
        <x:v>P027</x:v>
      </x:c>
      <x:c r="F1323" s="20" t="str">
        <x:v>U033</x:v>
      </x:c>
      <x:c r="G1323" s="20" t="str">
        <x:v>L033</x:v>
      </x:c>
      <x:c r="H1323" s="20" t="str">
        <x:v>1000 Operating Cash</x:v>
      </x:c>
      <x:c r="I1323" s="26" t="n">
        <x:v>825</x:v>
      </x:c>
      <x:c r="J1323" s="26" t="n">
        <x:v>0</x:v>
      </x:c>
      <x:c r="K1323" s="35" t="str">
        <x:v>Receipt allocated to FIN-00657</x:v>
      </x:c>
    </x:row>
    <x:row r="1324">
      <x:c r="A1324" s="20" t="str">
        <x:v>FIN-00658</x:v>
      </x:c>
      <x:c r="B1324" s="32" t="n">
        <x:v>2</x:v>
      </x:c>
      <x:c r="C1324" s="23" t="n">
        <x:v>46602</x:v>
      </x:c>
      <x:c r="D1324" s="23" t="n">
        <x:v>46602</x:v>
      </x:c>
      <x:c r="E1324" s="20" t="str">
        <x:v>P027</x:v>
      </x:c>
      <x:c r="F1324" s="20" t="str">
        <x:v>U033</x:v>
      </x:c>
      <x:c r="G1324" s="20" t="str">
        <x:v>L033</x:v>
      </x:c>
      <x:c r="H1324" s="20" t="str">
        <x:v>1100 Tenant Accounts Receivable</x:v>
      </x:c>
      <x:c r="I1324" s="26" t="n">
        <x:v>0</x:v>
      </x:c>
      <x:c r="J1324" s="26" t="n">
        <x:v>825</x:v>
      </x:c>
      <x:c r="K1324" s="35" t="str">
        <x:v>Receipt allocated to FIN-00657</x:v>
      </x:c>
    </x:row>
    <x:row r="1325">
      <x:c r="A1325" s="20" t="str">
        <x:v>FIN-00659</x:v>
      </x:c>
      <x:c r="B1325" s="32" t="n">
        <x:v>1</x:v>
      </x:c>
      <x:c r="C1325" s="23" t="n">
        <x:v>46605</x:v>
      </x:c>
      <x:c r="D1325" s="23" t="n">
        <x:v>46605</x:v>
      </x:c>
      <x:c r="E1325" s="20" t="str">
        <x:v>P027</x:v>
      </x:c>
      <x:c r="F1325" s="20" t="str">
        <x:v>U033</x:v>
      </x:c>
      <x:c r="G1325" s="20" t="str">
        <x:v>L033</x:v>
      </x:c>
      <x:c r="H1325" s="20" t="str">
        <x:v>1100 Tenant Accounts Receivable</x:v>
      </x:c>
      <x:c r="I1325" s="26" t="n">
        <x:v>50</x:v>
      </x:c>
      <x:c r="J1325" s="26" t="n">
        <x:v>0</x:v>
      </x:c>
      <x:c r="K1325" s="35" t="str">
        <x:v>Synthetic lease-authorized late fee after partial payment</x:v>
      </x:c>
    </x:row>
    <x:row r="1326">
      <x:c r="A1326" s="20" t="str">
        <x:v>FIN-00659</x:v>
      </x:c>
      <x:c r="B1326" s="32" t="n">
        <x:v>2</x:v>
      </x:c>
      <x:c r="C1326" s="23" t="n">
        <x:v>46605</x:v>
      </x:c>
      <x:c r="D1326" s="23" t="n">
        <x:v>46605</x:v>
      </x:c>
      <x:c r="E1326" s="20" t="str">
        <x:v>P027</x:v>
      </x:c>
      <x:c r="F1326" s="20" t="str">
        <x:v>U033</x:v>
      </x:c>
      <x:c r="G1326" s="20" t="str">
        <x:v>L033</x:v>
      </x:c>
      <x:c r="H1326" s="20" t="str">
        <x:v>4010 Late Fee Income</x:v>
      </x:c>
      <x:c r="I1326" s="26" t="n">
        <x:v>0</x:v>
      </x:c>
      <x:c r="J1326" s="26" t="n">
        <x:v>50</x:v>
      </x:c>
      <x:c r="K1326" s="35" t="str">
        <x:v>Synthetic lease-authorized late fee after partial payment</x:v>
      </x:c>
    </x:row>
    <x:row r="1327">
      <x:c r="A1327" s="20" t="str">
        <x:v>FIN-00660</x:v>
      </x:c>
      <x:c r="B1327" s="32" t="n">
        <x:v>1</x:v>
      </x:c>
      <x:c r="C1327" s="23" t="n">
        <x:v>46611</x:v>
      </x:c>
      <x:c r="D1327" s="23" t="n">
        <x:v>46611</x:v>
      </x:c>
      <x:c r="E1327" s="20" t="str">
        <x:v>P027</x:v>
      </x:c>
      <x:c r="F1327" s="20" t="str">
        <x:v>U033</x:v>
      </x:c>
      <x:c r="G1327" s="20" t="str">
        <x:v>L033</x:v>
      </x:c>
      <x:c r="H1327" s="20" t="str">
        <x:v>1000 Operating Cash</x:v>
      </x:c>
      <x:c r="I1327" s="26" t="n">
        <x:v>600</x:v>
      </x:c>
      <x:c r="J1327" s="26" t="n">
        <x:v>0</x:v>
      </x:c>
      <x:c r="K1327" s="35" t="str">
        <x:v>Receipt allocated to FIN-00659</x:v>
      </x:c>
    </x:row>
    <x:row r="1328">
      <x:c r="A1328" s="20" t="str">
        <x:v>FIN-00660</x:v>
      </x:c>
      <x:c r="B1328" s="32" t="n">
        <x:v>2</x:v>
      </x:c>
      <x:c r="C1328" s="23" t="n">
        <x:v>46611</x:v>
      </x:c>
      <x:c r="D1328" s="23" t="n">
        <x:v>46611</x:v>
      </x:c>
      <x:c r="E1328" s="20" t="str">
        <x:v>P027</x:v>
      </x:c>
      <x:c r="F1328" s="20" t="str">
        <x:v>U033</x:v>
      </x:c>
      <x:c r="G1328" s="20" t="str">
        <x:v>L033</x:v>
      </x:c>
      <x:c r="H1328" s="20" t="str">
        <x:v>1100 Tenant Accounts Receivable</x:v>
      </x:c>
      <x:c r="I1328" s="26" t="n">
        <x:v>0</x:v>
      </x:c>
      <x:c r="J1328" s="26" t="n">
        <x:v>600</x:v>
      </x:c>
      <x:c r="K1328" s="35" t="str">
        <x:v>Receipt allocated to FIN-00659</x:v>
      </x:c>
    </x:row>
    <x:row r="1329">
      <x:c r="A1329" s="20" t="str">
        <x:v>FIN-00661</x:v>
      </x:c>
      <x:c r="B1329" s="32" t="n">
        <x:v>1</x:v>
      </x:c>
      <x:c r="C1329" s="23" t="n">
        <x:v>46600</x:v>
      </x:c>
      <x:c r="D1329" s="23" t="n">
        <x:v>46600</x:v>
      </x:c>
      <x:c r="E1329" s="20" t="str">
        <x:v>P027</x:v>
      </x:c>
      <x:c r="F1329" s="20" t="str">
        <x:v>U034</x:v>
      </x:c>
      <x:c r="G1329" s="20" t="str">
        <x:v>L034</x:v>
      </x:c>
      <x:c r="H1329" s="20" t="str">
        <x:v>1100 Tenant Accounts Receivable</x:v>
      </x:c>
      <x:c r="I1329" s="26" t="n">
        <x:v>1900</x:v>
      </x:c>
      <x:c r="J1329" s="26" t="n">
        <x:v>0</x:v>
      </x:c>
      <x:c r="K1329" s="35" t="str">
        <x:v>August 2027 rent</x:v>
      </x:c>
    </x:row>
    <x:row r="1330">
      <x:c r="A1330" s="20" t="str">
        <x:v>FIN-00661</x:v>
      </x:c>
      <x:c r="B1330" s="32" t="n">
        <x:v>2</x:v>
      </x:c>
      <x:c r="C1330" s="23" t="n">
        <x:v>46600</x:v>
      </x:c>
      <x:c r="D1330" s="23" t="n">
        <x:v>46600</x:v>
      </x:c>
      <x:c r="E1330" s="20" t="str">
        <x:v>P027</x:v>
      </x:c>
      <x:c r="F1330" s="20" t="str">
        <x:v>U034</x:v>
      </x:c>
      <x:c r="G1330" s="20" t="str">
        <x:v>L034</x:v>
      </x:c>
      <x:c r="H1330" s="20" t="str">
        <x:v>4000 Rental Income</x:v>
      </x:c>
      <x:c r="I1330" s="26" t="n">
        <x:v>0</x:v>
      </x:c>
      <x:c r="J1330" s="26" t="n">
        <x:v>1900</x:v>
      </x:c>
      <x:c r="K1330" s="35" t="str">
        <x:v>August 2027 rent</x:v>
      </x:c>
    </x:row>
    <x:row r="1331">
      <x:c r="A1331" s="20" t="str">
        <x:v>FIN-00662</x:v>
      </x:c>
      <x:c r="B1331" s="32" t="n">
        <x:v>1</x:v>
      </x:c>
      <x:c r="C1331" s="23" t="n">
        <x:v>46603</x:v>
      </x:c>
      <x:c r="D1331" s="23" t="n">
        <x:v>46603</x:v>
      </x:c>
      <x:c r="E1331" s="20" t="str">
        <x:v>P027</x:v>
      </x:c>
      <x:c r="F1331" s="20" t="str">
        <x:v>U034</x:v>
      </x:c>
      <x:c r="G1331" s="20" t="str">
        <x:v>L034</x:v>
      </x:c>
      <x:c r="H1331" s="20" t="str">
        <x:v>1000 Operating Cash</x:v>
      </x:c>
      <x:c r="I1331" s="26" t="n">
        <x:v>1900</x:v>
      </x:c>
      <x:c r="J1331" s="26" t="n">
        <x:v>0</x:v>
      </x:c>
      <x:c r="K1331" s="35" t="str">
        <x:v>Receipt allocated to FIN-00661</x:v>
      </x:c>
    </x:row>
    <x:row r="1332">
      <x:c r="A1332" s="20" t="str">
        <x:v>FIN-00662</x:v>
      </x:c>
      <x:c r="B1332" s="32" t="n">
        <x:v>2</x:v>
      </x:c>
      <x:c r="C1332" s="23" t="n">
        <x:v>46603</x:v>
      </x:c>
      <x:c r="D1332" s="23" t="n">
        <x:v>46603</x:v>
      </x:c>
      <x:c r="E1332" s="20" t="str">
        <x:v>P027</x:v>
      </x:c>
      <x:c r="F1332" s="20" t="str">
        <x:v>U034</x:v>
      </x:c>
      <x:c r="G1332" s="20" t="str">
        <x:v>L034</x:v>
      </x:c>
      <x:c r="H1332" s="20" t="str">
        <x:v>1100 Tenant Accounts Receivable</x:v>
      </x:c>
      <x:c r="I1332" s="26" t="n">
        <x:v>0</x:v>
      </x:c>
      <x:c r="J1332" s="26" t="n">
        <x:v>1900</x:v>
      </x:c>
      <x:c r="K1332" s="35" t="str">
        <x:v>Receipt allocated to FIN-00661</x:v>
      </x:c>
    </x:row>
    <x:row r="1333">
      <x:c r="A1333" s="20" t="str">
        <x:v>FIN-00663</x:v>
      </x:c>
      <x:c r="B1333" s="32" t="n">
        <x:v>1</x:v>
      </x:c>
      <x:c r="C1333" s="23" t="n">
        <x:v>46600</x:v>
      </x:c>
      <x:c r="D1333" s="23" t="n">
        <x:v>46600</x:v>
      </x:c>
      <x:c r="E1333" s="20" t="str">
        <x:v>P028</x:v>
      </x:c>
      <x:c r="F1333" s="20" t="str">
        <x:v>U035</x:v>
      </x:c>
      <x:c r="G1333" s="20" t="str">
        <x:v>L035</x:v>
      </x:c>
      <x:c r="H1333" s="20" t="str">
        <x:v>1100 Tenant Accounts Receivable</x:v>
      </x:c>
      <x:c r="I1333" s="26" t="n">
        <x:v>1525</x:v>
      </x:c>
      <x:c r="J1333" s="26" t="n">
        <x:v>0</x:v>
      </x:c>
      <x:c r="K1333" s="35" t="str">
        <x:v>August 2027 rent</x:v>
      </x:c>
    </x:row>
    <x:row r="1334">
      <x:c r="A1334" s="20" t="str">
        <x:v>FIN-00663</x:v>
      </x:c>
      <x:c r="B1334" s="32" t="n">
        <x:v>2</x:v>
      </x:c>
      <x:c r="C1334" s="23" t="n">
        <x:v>46600</x:v>
      </x:c>
      <x:c r="D1334" s="23" t="n">
        <x:v>46600</x:v>
      </x:c>
      <x:c r="E1334" s="20" t="str">
        <x:v>P028</x:v>
      </x:c>
      <x:c r="F1334" s="20" t="str">
        <x:v>U035</x:v>
      </x:c>
      <x:c r="G1334" s="20" t="str">
        <x:v>L035</x:v>
      </x:c>
      <x:c r="H1334" s="20" t="str">
        <x:v>4000 Rental Income</x:v>
      </x:c>
      <x:c r="I1334" s="26" t="n">
        <x:v>0</x:v>
      </x:c>
      <x:c r="J1334" s="26" t="n">
        <x:v>1525</x:v>
      </x:c>
      <x:c r="K1334" s="35" t="str">
        <x:v>August 2027 rent</x:v>
      </x:c>
    </x:row>
    <x:row r="1335">
      <x:c r="A1335" s="20" t="str">
        <x:v>FIN-00664</x:v>
      </x:c>
      <x:c r="B1335" s="32" t="n">
        <x:v>1</x:v>
      </x:c>
      <x:c r="C1335" s="23" t="n">
        <x:v>46604</x:v>
      </x:c>
      <x:c r="D1335" s="23" t="n">
        <x:v>46604</x:v>
      </x:c>
      <x:c r="E1335" s="20" t="str">
        <x:v>P028</x:v>
      </x:c>
      <x:c r="F1335" s="20" t="str">
        <x:v>U035</x:v>
      </x:c>
      <x:c r="G1335" s="20" t="str">
        <x:v>L035</x:v>
      </x:c>
      <x:c r="H1335" s="20" t="str">
        <x:v>1000 Operating Cash</x:v>
      </x:c>
      <x:c r="I1335" s="26" t="n">
        <x:v>1525</x:v>
      </x:c>
      <x:c r="J1335" s="26" t="n">
        <x:v>0</x:v>
      </x:c>
      <x:c r="K1335" s="35" t="str">
        <x:v>Receipt allocated to FIN-00663</x:v>
      </x:c>
    </x:row>
    <x:row r="1336">
      <x:c r="A1336" s="20" t="str">
        <x:v>FIN-00664</x:v>
      </x:c>
      <x:c r="B1336" s="32" t="n">
        <x:v>2</x:v>
      </x:c>
      <x:c r="C1336" s="23" t="n">
        <x:v>46604</x:v>
      </x:c>
      <x:c r="D1336" s="23" t="n">
        <x:v>46604</x:v>
      </x:c>
      <x:c r="E1336" s="20" t="str">
        <x:v>P028</x:v>
      </x:c>
      <x:c r="F1336" s="20" t="str">
        <x:v>U035</x:v>
      </x:c>
      <x:c r="G1336" s="20" t="str">
        <x:v>L035</x:v>
      </x:c>
      <x:c r="H1336" s="20" t="str">
        <x:v>1100 Tenant Accounts Receivable</x:v>
      </x:c>
      <x:c r="I1336" s="26" t="n">
        <x:v>0</x:v>
      </x:c>
      <x:c r="J1336" s="26" t="n">
        <x:v>1525</x:v>
      </x:c>
      <x:c r="K1336" s="35" t="str">
        <x:v>Receipt allocated to FIN-00663</x:v>
      </x:c>
    </x:row>
    <x:row r="1337">
      <x:c r="A1337" s="20" t="str">
        <x:v>FIN-00665</x:v>
      </x:c>
      <x:c r="B1337" s="32" t="n">
        <x:v>1</x:v>
      </x:c>
      <x:c r="C1337" s="23" t="n">
        <x:v>46600</x:v>
      </x:c>
      <x:c r="D1337" s="23" t="n">
        <x:v>46600</x:v>
      </x:c>
      <x:c r="E1337" s="20" t="str">
        <x:v>P028</x:v>
      </x:c>
      <x:c r="F1337" s="20" t="str">
        <x:v>U036</x:v>
      </x:c>
      <x:c r="G1337" s="20" t="str">
        <x:v>L036</x:v>
      </x:c>
      <x:c r="H1337" s="20" t="str">
        <x:v>1100 Tenant Accounts Receivable</x:v>
      </x:c>
      <x:c r="I1337" s="26" t="n">
        <x:v>1150</x:v>
      </x:c>
      <x:c r="J1337" s="26" t="n">
        <x:v>0</x:v>
      </x:c>
      <x:c r="K1337" s="35" t="str">
        <x:v>August 2027 rent</x:v>
      </x:c>
    </x:row>
    <x:row r="1338">
      <x:c r="A1338" s="20" t="str">
        <x:v>FIN-00665</x:v>
      </x:c>
      <x:c r="B1338" s="32" t="n">
        <x:v>2</x:v>
      </x:c>
      <x:c r="C1338" s="23" t="n">
        <x:v>46600</x:v>
      </x:c>
      <x:c r="D1338" s="23" t="n">
        <x:v>46600</x:v>
      </x:c>
      <x:c r="E1338" s="20" t="str">
        <x:v>P028</x:v>
      </x:c>
      <x:c r="F1338" s="20" t="str">
        <x:v>U036</x:v>
      </x:c>
      <x:c r="G1338" s="20" t="str">
        <x:v>L036</x:v>
      </x:c>
      <x:c r="H1338" s="20" t="str">
        <x:v>4000 Rental Income</x:v>
      </x:c>
      <x:c r="I1338" s="26" t="n">
        <x:v>0</x:v>
      </x:c>
      <x:c r="J1338" s="26" t="n">
        <x:v>1150</x:v>
      </x:c>
      <x:c r="K1338" s="35" t="str">
        <x:v>August 2027 rent</x:v>
      </x:c>
    </x:row>
    <x:row r="1339">
      <x:c r="A1339" s="20" t="str">
        <x:v>FIN-00666</x:v>
      </x:c>
      <x:c r="B1339" s="32" t="n">
        <x:v>1</x:v>
      </x:c>
      <x:c r="C1339" s="23" t="n">
        <x:v>46602</x:v>
      </x:c>
      <x:c r="D1339" s="23" t="n">
        <x:v>46602</x:v>
      </x:c>
      <x:c r="E1339" s="20" t="str">
        <x:v>P028</x:v>
      </x:c>
      <x:c r="F1339" s="20" t="str">
        <x:v>U036</x:v>
      </x:c>
      <x:c r="G1339" s="20" t="str">
        <x:v>L036</x:v>
      </x:c>
      <x:c r="H1339" s="20" t="str">
        <x:v>1000 Operating Cash</x:v>
      </x:c>
      <x:c r="I1339" s="26" t="n">
        <x:v>1150</x:v>
      </x:c>
      <x:c r="J1339" s="26" t="n">
        <x:v>0</x:v>
      </x:c>
      <x:c r="K1339" s="35" t="str">
        <x:v>Receipt allocated to FIN-00665</x:v>
      </x:c>
    </x:row>
    <x:row r="1340">
      <x:c r="A1340" s="20" t="str">
        <x:v>FIN-00666</x:v>
      </x:c>
      <x:c r="B1340" s="32" t="n">
        <x:v>2</x:v>
      </x:c>
      <x:c r="C1340" s="23" t="n">
        <x:v>46602</x:v>
      </x:c>
      <x:c r="D1340" s="23" t="n">
        <x:v>46602</x:v>
      </x:c>
      <x:c r="E1340" s="20" t="str">
        <x:v>P028</x:v>
      </x:c>
      <x:c r="F1340" s="20" t="str">
        <x:v>U036</x:v>
      </x:c>
      <x:c r="G1340" s="20" t="str">
        <x:v>L036</x:v>
      </x:c>
      <x:c r="H1340" s="20" t="str">
        <x:v>1100 Tenant Accounts Receivable</x:v>
      </x:c>
      <x:c r="I1340" s="26" t="n">
        <x:v>0</x:v>
      </x:c>
      <x:c r="J1340" s="26" t="n">
        <x:v>1150</x:v>
      </x:c>
      <x:c r="K1340" s="35" t="str">
        <x:v>Receipt allocated to FIN-00665</x:v>
      </x:c>
    </x:row>
    <x:row r="1341">
      <x:c r="A1341" s="20" t="str">
        <x:v>FIN-00667</x:v>
      </x:c>
      <x:c r="B1341" s="32" t="n">
        <x:v>1</x:v>
      </x:c>
      <x:c r="C1341" s="23" t="n">
        <x:v>46600</x:v>
      </x:c>
      <x:c r="D1341" s="23" t="n">
        <x:v>46600</x:v>
      </x:c>
      <x:c r="E1341" s="20" t="str">
        <x:v>P005</x:v>
      </x:c>
      <x:c r="F1341" s="20" t="str">
        <x:v>U005</x:v>
      </x:c>
      <x:c r="G1341" s="20" t="str">
        <x:v>L037</x:v>
      </x:c>
      <x:c r="H1341" s="20" t="str">
        <x:v>1100 Tenant Accounts Receivable</x:v>
      </x:c>
      <x:c r="I1341" s="26" t="n">
        <x:v>1875</x:v>
      </x:c>
      <x:c r="J1341" s="26" t="n">
        <x:v>0</x:v>
      </x:c>
      <x:c r="K1341" s="35" t="str">
        <x:v>August 2027 rent</x:v>
      </x:c>
    </x:row>
    <x:row r="1342">
      <x:c r="A1342" s="20" t="str">
        <x:v>FIN-00667</x:v>
      </x:c>
      <x:c r="B1342" s="32" t="n">
        <x:v>2</x:v>
      </x:c>
      <x:c r="C1342" s="23" t="n">
        <x:v>46600</x:v>
      </x:c>
      <x:c r="D1342" s="23" t="n">
        <x:v>46600</x:v>
      </x:c>
      <x:c r="E1342" s="20" t="str">
        <x:v>P005</x:v>
      </x:c>
      <x:c r="F1342" s="20" t="str">
        <x:v>U005</x:v>
      </x:c>
      <x:c r="G1342" s="20" t="str">
        <x:v>L037</x:v>
      </x:c>
      <x:c r="H1342" s="20" t="str">
        <x:v>4000 Rental Income</x:v>
      </x:c>
      <x:c r="I1342" s="26" t="n">
        <x:v>0</x:v>
      </x:c>
      <x:c r="J1342" s="26" t="n">
        <x:v>1875</x:v>
      </x:c>
      <x:c r="K1342" s="35" t="str">
        <x:v>August 2027 rent</x:v>
      </x:c>
    </x:row>
    <x:row r="1343">
      <x:c r="A1343" s="20" t="str">
        <x:v>FIN-00668</x:v>
      </x:c>
      <x:c r="B1343" s="32" t="n">
        <x:v>1</x:v>
      </x:c>
      <x:c r="C1343" s="23" t="n">
        <x:v>46603</x:v>
      </x:c>
      <x:c r="D1343" s="23" t="n">
        <x:v>46603</x:v>
      </x:c>
      <x:c r="E1343" s="20" t="str">
        <x:v>P005</x:v>
      </x:c>
      <x:c r="F1343" s="20" t="str">
        <x:v>U005</x:v>
      </x:c>
      <x:c r="G1343" s="20" t="str">
        <x:v>L037</x:v>
      </x:c>
      <x:c r="H1343" s="20" t="str">
        <x:v>1000 Operating Cash</x:v>
      </x:c>
      <x:c r="I1343" s="26" t="n">
        <x:v>1875</x:v>
      </x:c>
      <x:c r="J1343" s="26" t="n">
        <x:v>0</x:v>
      </x:c>
      <x:c r="K1343" s="35" t="str">
        <x:v>Receipt allocated to FIN-00667</x:v>
      </x:c>
    </x:row>
    <x:row r="1344">
      <x:c r="A1344" s="20" t="str">
        <x:v>FIN-00668</x:v>
      </x:c>
      <x:c r="B1344" s="32" t="n">
        <x:v>2</x:v>
      </x:c>
      <x:c r="C1344" s="23" t="n">
        <x:v>46603</x:v>
      </x:c>
      <x:c r="D1344" s="23" t="n">
        <x:v>46603</x:v>
      </x:c>
      <x:c r="E1344" s="20" t="str">
        <x:v>P005</x:v>
      </x:c>
      <x:c r="F1344" s="20" t="str">
        <x:v>U005</x:v>
      </x:c>
      <x:c r="G1344" s="20" t="str">
        <x:v>L037</x:v>
      </x:c>
      <x:c r="H1344" s="20" t="str">
        <x:v>1100 Tenant Accounts Receivable</x:v>
      </x:c>
      <x:c r="I1344" s="26" t="n">
        <x:v>0</x:v>
      </x:c>
      <x:c r="J1344" s="26" t="n">
        <x:v>1875</x:v>
      </x:c>
      <x:c r="K1344" s="35" t="str">
        <x:v>Receipt allocated to FIN-00667</x:v>
      </x:c>
    </x:row>
    <x:row r="1345">
      <x:c r="A1345" s="20" t="str">
        <x:v>FIN-00669</x:v>
      </x:c>
      <x:c r="B1345" s="32" t="n">
        <x:v>1</x:v>
      </x:c>
      <x:c r="C1345" s="23" t="n">
        <x:v>46600</x:v>
      </x:c>
      <x:c r="D1345" s="23" t="n">
        <x:v>46600</x:v>
      </x:c>
      <x:c r="E1345" s="20" t="str">
        <x:v>P014</x:v>
      </x:c>
      <x:c r="F1345" s="20" t="str">
        <x:v>U014</x:v>
      </x:c>
      <x:c r="G1345" s="20" t="str">
        <x:v>L038</x:v>
      </x:c>
      <x:c r="H1345" s="20" t="str">
        <x:v>1100 Tenant Accounts Receivable</x:v>
      </x:c>
      <x:c r="I1345" s="26" t="n">
        <x:v>1200</x:v>
      </x:c>
      <x:c r="J1345" s="26" t="n">
        <x:v>0</x:v>
      </x:c>
      <x:c r="K1345" s="35" t="str">
        <x:v>August 2027 rent</x:v>
      </x:c>
    </x:row>
    <x:row r="1346">
      <x:c r="A1346" s="20" t="str">
        <x:v>FIN-00669</x:v>
      </x:c>
      <x:c r="B1346" s="32" t="n">
        <x:v>2</x:v>
      </x:c>
      <x:c r="C1346" s="23" t="n">
        <x:v>46600</x:v>
      </x:c>
      <x:c r="D1346" s="23" t="n">
        <x:v>46600</x:v>
      </x:c>
      <x:c r="E1346" s="20" t="str">
        <x:v>P014</x:v>
      </x:c>
      <x:c r="F1346" s="20" t="str">
        <x:v>U014</x:v>
      </x:c>
      <x:c r="G1346" s="20" t="str">
        <x:v>L038</x:v>
      </x:c>
      <x:c r="H1346" s="20" t="str">
        <x:v>4000 Rental Income</x:v>
      </x:c>
      <x:c r="I1346" s="26" t="n">
        <x:v>0</x:v>
      </x:c>
      <x:c r="J1346" s="26" t="n">
        <x:v>1200</x:v>
      </x:c>
      <x:c r="K1346" s="35" t="str">
        <x:v>August 2027 rent</x:v>
      </x:c>
    </x:row>
    <x:row r="1347">
      <x:c r="A1347" s="20" t="str">
        <x:v>FIN-00670</x:v>
      </x:c>
      <x:c r="B1347" s="32" t="n">
        <x:v>1</x:v>
      </x:c>
      <x:c r="C1347" s="23" t="n">
        <x:v>46604</x:v>
      </x:c>
      <x:c r="D1347" s="23" t="n">
        <x:v>46604</x:v>
      </x:c>
      <x:c r="E1347" s="20" t="str">
        <x:v>P014</x:v>
      </x:c>
      <x:c r="F1347" s="20" t="str">
        <x:v>U014</x:v>
      </x:c>
      <x:c r="G1347" s="20" t="str">
        <x:v>L038</x:v>
      </x:c>
      <x:c r="H1347" s="20" t="str">
        <x:v>1000 Operating Cash</x:v>
      </x:c>
      <x:c r="I1347" s="26" t="n">
        <x:v>1200</x:v>
      </x:c>
      <x:c r="J1347" s="26" t="n">
        <x:v>0</x:v>
      </x:c>
      <x:c r="K1347" s="35" t="str">
        <x:v>Receipt allocated to FIN-00669</x:v>
      </x:c>
    </x:row>
    <x:row r="1348">
      <x:c r="A1348" s="20" t="str">
        <x:v>FIN-00670</x:v>
      </x:c>
      <x:c r="B1348" s="32" t="n">
        <x:v>2</x:v>
      </x:c>
      <x:c r="C1348" s="23" t="n">
        <x:v>46604</x:v>
      </x:c>
      <x:c r="D1348" s="23" t="n">
        <x:v>46604</x:v>
      </x:c>
      <x:c r="E1348" s="20" t="str">
        <x:v>P014</x:v>
      </x:c>
      <x:c r="F1348" s="20" t="str">
        <x:v>U014</x:v>
      </x:c>
      <x:c r="G1348" s="20" t="str">
        <x:v>L038</x:v>
      </x:c>
      <x:c r="H1348" s="20" t="str">
        <x:v>1100 Tenant Accounts Receivable</x:v>
      </x:c>
      <x:c r="I1348" s="26" t="n">
        <x:v>0</x:v>
      </x:c>
      <x:c r="J1348" s="26" t="n">
        <x:v>1200</x:v>
      </x:c>
      <x:c r="K1348" s="35" t="str">
        <x:v>Receipt allocated to FIN-00669</x:v>
      </x:c>
    </x:row>
    <x:row r="1349">
      <x:c r="A1349" s="20" t="str">
        <x:v>FIN-00671</x:v>
      </x:c>
      <x:c r="B1349" s="32" t="n">
        <x:v>1</x:v>
      </x:c>
      <x:c r="C1349" s="23" t="n">
        <x:v>46600</x:v>
      </x:c>
      <x:c r="D1349" s="23" t="n">
        <x:v>46600</x:v>
      </x:c>
      <x:c r="E1349" s="20" t="str">
        <x:v>P017</x:v>
      </x:c>
      <x:c r="F1349" s="20" t="str">
        <x:v>U017</x:v>
      </x:c>
      <x:c r="G1349" s="20" t="str">
        <x:v>L039</x:v>
      </x:c>
      <x:c r="H1349" s="20" t="str">
        <x:v>1100 Tenant Accounts Receivable</x:v>
      </x:c>
      <x:c r="I1349" s="26" t="n">
        <x:v>1875</x:v>
      </x:c>
      <x:c r="J1349" s="26" t="n">
        <x:v>0</x:v>
      </x:c>
      <x:c r="K1349" s="35" t="str">
        <x:v>August 2027 rent</x:v>
      </x:c>
    </x:row>
    <x:row r="1350">
      <x:c r="A1350" s="20" t="str">
        <x:v>FIN-00671</x:v>
      </x:c>
      <x:c r="B1350" s="32" t="n">
        <x:v>2</x:v>
      </x:c>
      <x:c r="C1350" s="23" t="n">
        <x:v>46600</x:v>
      </x:c>
      <x:c r="D1350" s="23" t="n">
        <x:v>46600</x:v>
      </x:c>
      <x:c r="E1350" s="20" t="str">
        <x:v>P017</x:v>
      </x:c>
      <x:c r="F1350" s="20" t="str">
        <x:v>U017</x:v>
      </x:c>
      <x:c r="G1350" s="20" t="str">
        <x:v>L039</x:v>
      </x:c>
      <x:c r="H1350" s="20" t="str">
        <x:v>4000 Rental Income</x:v>
      </x:c>
      <x:c r="I1350" s="26" t="n">
        <x:v>0</x:v>
      </x:c>
      <x:c r="J1350" s="26" t="n">
        <x:v>1875</x:v>
      </x:c>
      <x:c r="K1350" s="35" t="str">
        <x:v>August 2027 rent</x:v>
      </x:c>
    </x:row>
    <x:row r="1351">
      <x:c r="A1351" s="20" t="str">
        <x:v>FIN-00672</x:v>
      </x:c>
      <x:c r="B1351" s="32" t="n">
        <x:v>1</x:v>
      </x:c>
      <x:c r="C1351" s="23" t="n">
        <x:v>46605</x:v>
      </x:c>
      <x:c r="D1351" s="23" t="n">
        <x:v>46605</x:v>
      </x:c>
      <x:c r="E1351" s="20" t="str">
        <x:v>P017</x:v>
      </x:c>
      <x:c r="F1351" s="20" t="str">
        <x:v>U017</x:v>
      </x:c>
      <x:c r="G1351" s="20" t="str">
        <x:v>L039</x:v>
      </x:c>
      <x:c r="H1351" s="20" t="str">
        <x:v>1100 Tenant Accounts Receivable</x:v>
      </x:c>
      <x:c r="I1351" s="26" t="n">
        <x:v>50</x:v>
      </x:c>
      <x:c r="J1351" s="26" t="n">
        <x:v>0</x:v>
      </x:c>
      <x:c r="K1351" s="35" t="str">
        <x:v>Synthetic lease-authorized late fee</x:v>
      </x:c>
    </x:row>
    <x:row r="1352">
      <x:c r="A1352" s="20" t="str">
        <x:v>FIN-00672</x:v>
      </x:c>
      <x:c r="B1352" s="32" t="n">
        <x:v>2</x:v>
      </x:c>
      <x:c r="C1352" s="23" t="n">
        <x:v>46605</x:v>
      </x:c>
      <x:c r="D1352" s="23" t="n">
        <x:v>46605</x:v>
      </x:c>
      <x:c r="E1352" s="20" t="str">
        <x:v>P017</x:v>
      </x:c>
      <x:c r="F1352" s="20" t="str">
        <x:v>U017</x:v>
      </x:c>
      <x:c r="G1352" s="20" t="str">
        <x:v>L039</x:v>
      </x:c>
      <x:c r="H1352" s="20" t="str">
        <x:v>4010 Late Fee Income</x:v>
      </x:c>
      <x:c r="I1352" s="26" t="n">
        <x:v>0</x:v>
      </x:c>
      <x:c r="J1352" s="26" t="n">
        <x:v>50</x:v>
      </x:c>
      <x:c r="K1352" s="35" t="str">
        <x:v>Synthetic lease-authorized late fee</x:v>
      </x:c>
    </x:row>
    <x:row r="1353">
      <x:c r="A1353" s="20" t="str">
        <x:v>FIN-00673</x:v>
      </x:c>
      <x:c r="B1353" s="32" t="n">
        <x:v>1</x:v>
      </x:c>
      <x:c r="C1353" s="23" t="n">
        <x:v>46607</x:v>
      </x:c>
      <x:c r="D1353" s="23" t="n">
        <x:v>46607</x:v>
      </x:c>
      <x:c r="E1353" s="20" t="str">
        <x:v>P017</x:v>
      </x:c>
      <x:c r="F1353" s="20" t="str">
        <x:v>U017</x:v>
      </x:c>
      <x:c r="G1353" s="20" t="str">
        <x:v>L039</x:v>
      </x:c>
      <x:c r="H1353" s="20" t="str">
        <x:v>1000 Operating Cash</x:v>
      </x:c>
      <x:c r="I1353" s="26" t="n">
        <x:v>1925</x:v>
      </x:c>
      <x:c r="J1353" s="26" t="n">
        <x:v>0</x:v>
      </x:c>
      <x:c r="K1353" s="35" t="str">
        <x:v>Receipt allocated to FIN-00672</x:v>
      </x:c>
    </x:row>
    <x:row r="1354">
      <x:c r="A1354" s="20" t="str">
        <x:v>FIN-00673</x:v>
      </x:c>
      <x:c r="B1354" s="32" t="n">
        <x:v>2</x:v>
      </x:c>
      <x:c r="C1354" s="23" t="n">
        <x:v>46607</x:v>
      </x:c>
      <x:c r="D1354" s="23" t="n">
        <x:v>46607</x:v>
      </x:c>
      <x:c r="E1354" s="20" t="str">
        <x:v>P017</x:v>
      </x:c>
      <x:c r="F1354" s="20" t="str">
        <x:v>U017</x:v>
      </x:c>
      <x:c r="G1354" s="20" t="str">
        <x:v>L039</x:v>
      </x:c>
      <x:c r="H1354" s="20" t="str">
        <x:v>1100 Tenant Accounts Receivable</x:v>
      </x:c>
      <x:c r="I1354" s="26" t="n">
        <x:v>0</x:v>
      </x:c>
      <x:c r="J1354" s="26" t="n">
        <x:v>1925</x:v>
      </x:c>
      <x:c r="K1354" s="35" t="str">
        <x:v>Receipt allocated to FIN-00672</x:v>
      </x:c>
    </x:row>
    <x:row r="1355">
      <x:c r="A1355" s="20" t="str">
        <x:v>FIN-00674</x:v>
      </x:c>
      <x:c r="B1355" s="32" t="n">
        <x:v>1</x:v>
      </x:c>
      <x:c r="C1355" s="23" t="n">
        <x:v>46600</x:v>
      </x:c>
      <x:c r="D1355" s="23" t="n">
        <x:v>46600</x:v>
      </x:c>
      <x:c r="E1355" s="20" t="str">
        <x:v>P029</x:v>
      </x:c>
      <x:c r="F1355" s="20" t="str">
        <x:v>U037</x:v>
      </x:c>
      <x:c r="G1355" s="20" t="str">
        <x:v>L043</x:v>
      </x:c>
      <x:c r="H1355" s="20" t="str">
        <x:v>1100 Tenant Accounts Receivable</x:v>
      </x:c>
      <x:c r="I1355" s="26" t="n">
        <x:v>1675</x:v>
      </x:c>
      <x:c r="J1355" s="26" t="n">
        <x:v>0</x:v>
      </x:c>
      <x:c r="K1355" s="35" t="str">
        <x:v>August 2027 rent</x:v>
      </x:c>
    </x:row>
    <x:row r="1356">
      <x:c r="A1356" s="20" t="str">
        <x:v>FIN-00674</x:v>
      </x:c>
      <x:c r="B1356" s="32" t="n">
        <x:v>2</x:v>
      </x:c>
      <x:c r="C1356" s="23" t="n">
        <x:v>46600</x:v>
      </x:c>
      <x:c r="D1356" s="23" t="n">
        <x:v>46600</x:v>
      </x:c>
      <x:c r="E1356" s="20" t="str">
        <x:v>P029</x:v>
      </x:c>
      <x:c r="F1356" s="20" t="str">
        <x:v>U037</x:v>
      </x:c>
      <x:c r="G1356" s="20" t="str">
        <x:v>L043</x:v>
      </x:c>
      <x:c r="H1356" s="20" t="str">
        <x:v>4000 Rental Income</x:v>
      </x:c>
      <x:c r="I1356" s="26" t="n">
        <x:v>0</x:v>
      </x:c>
      <x:c r="J1356" s="26" t="n">
        <x:v>1675</x:v>
      </x:c>
      <x:c r="K1356" s="35" t="str">
        <x:v>August 2027 rent</x:v>
      </x:c>
    </x:row>
    <x:row r="1357">
      <x:c r="A1357" s="20" t="str">
        <x:v>FIN-00675</x:v>
      </x:c>
      <x:c r="B1357" s="32" t="n">
        <x:v>1</x:v>
      </x:c>
      <x:c r="C1357" s="23" t="n">
        <x:v>46603</x:v>
      </x:c>
      <x:c r="D1357" s="23" t="n">
        <x:v>46603</x:v>
      </x:c>
      <x:c r="E1357" s="20" t="str">
        <x:v>P029</x:v>
      </x:c>
      <x:c r="F1357" s="20" t="str">
        <x:v>U037</x:v>
      </x:c>
      <x:c r="G1357" s="20" t="str">
        <x:v>L043</x:v>
      </x:c>
      <x:c r="H1357" s="20" t="str">
        <x:v>1000 Operating Cash</x:v>
      </x:c>
      <x:c r="I1357" s="26" t="n">
        <x:v>1675</x:v>
      </x:c>
      <x:c r="J1357" s="26" t="n">
        <x:v>0</x:v>
      </x:c>
      <x:c r="K1357" s="35" t="str">
        <x:v>Receipt allocated to FIN-00674</x:v>
      </x:c>
    </x:row>
    <x:row r="1358">
      <x:c r="A1358" s="20" t="str">
        <x:v>FIN-00675</x:v>
      </x:c>
      <x:c r="B1358" s="32" t="n">
        <x:v>2</x:v>
      </x:c>
      <x:c r="C1358" s="23" t="n">
        <x:v>46603</x:v>
      </x:c>
      <x:c r="D1358" s="23" t="n">
        <x:v>46603</x:v>
      </x:c>
      <x:c r="E1358" s="20" t="str">
        <x:v>P029</x:v>
      </x:c>
      <x:c r="F1358" s="20" t="str">
        <x:v>U037</x:v>
      </x:c>
      <x:c r="G1358" s="20" t="str">
        <x:v>L043</x:v>
      </x:c>
      <x:c r="H1358" s="20" t="str">
        <x:v>1100 Tenant Accounts Receivable</x:v>
      </x:c>
      <x:c r="I1358" s="26" t="n">
        <x:v>0</x:v>
      </x:c>
      <x:c r="J1358" s="26" t="n">
        <x:v>1675</x:v>
      </x:c>
      <x:c r="K1358" s="35" t="str">
        <x:v>Receipt allocated to FIN-00674</x:v>
      </x:c>
    </x:row>
    <x:row r="1359">
      <x:c r="A1359" s="20" t="str">
        <x:v>FIN-00676</x:v>
      </x:c>
      <x:c r="B1359" s="32" t="n">
        <x:v>1</x:v>
      </x:c>
      <x:c r="C1359" s="23" t="n">
        <x:v>46600</x:v>
      </x:c>
      <x:c r="D1359" s="23" t="n">
        <x:v>46600</x:v>
      </x:c>
      <x:c r="E1359" s="20" t="str">
        <x:v>P029</x:v>
      </x:c>
      <x:c r="F1359" s="20" t="str">
        <x:v>U038</x:v>
      </x:c>
      <x:c r="G1359" s="20" t="str">
        <x:v>L044</x:v>
      </x:c>
      <x:c r="H1359" s="20" t="str">
        <x:v>1100 Tenant Accounts Receivable</x:v>
      </x:c>
      <x:c r="I1359" s="26" t="n">
        <x:v>1300</x:v>
      </x:c>
      <x:c r="J1359" s="26" t="n">
        <x:v>0</x:v>
      </x:c>
      <x:c r="K1359" s="35" t="str">
        <x:v>August 2027 rent</x:v>
      </x:c>
    </x:row>
    <x:row r="1360">
      <x:c r="A1360" s="20" t="str">
        <x:v>FIN-00676</x:v>
      </x:c>
      <x:c r="B1360" s="32" t="n">
        <x:v>2</x:v>
      </x:c>
      <x:c r="C1360" s="23" t="n">
        <x:v>46600</x:v>
      </x:c>
      <x:c r="D1360" s="23" t="n">
        <x:v>46600</x:v>
      </x:c>
      <x:c r="E1360" s="20" t="str">
        <x:v>P029</x:v>
      </x:c>
      <x:c r="F1360" s="20" t="str">
        <x:v>U038</x:v>
      </x:c>
      <x:c r="G1360" s="20" t="str">
        <x:v>L044</x:v>
      </x:c>
      <x:c r="H1360" s="20" t="str">
        <x:v>4000 Rental Income</x:v>
      </x:c>
      <x:c r="I1360" s="26" t="n">
        <x:v>0</x:v>
      </x:c>
      <x:c r="J1360" s="26" t="n">
        <x:v>1300</x:v>
      </x:c>
      <x:c r="K1360" s="35" t="str">
        <x:v>August 2027 rent</x:v>
      </x:c>
    </x:row>
    <x:row r="1361">
      <x:c r="A1361" s="20" t="str">
        <x:v>FIN-00677</x:v>
      </x:c>
      <x:c r="B1361" s="32" t="n">
        <x:v>1</x:v>
      </x:c>
      <x:c r="C1361" s="23" t="n">
        <x:v>46602</x:v>
      </x:c>
      <x:c r="D1361" s="23" t="n">
        <x:v>46602</x:v>
      </x:c>
      <x:c r="E1361" s="20" t="str">
        <x:v>P029</x:v>
      </x:c>
      <x:c r="F1361" s="20" t="str">
        <x:v>U038</x:v>
      </x:c>
      <x:c r="G1361" s="20" t="str">
        <x:v>L044</x:v>
      </x:c>
      <x:c r="H1361" s="20" t="str">
        <x:v>1000 Operating Cash</x:v>
      </x:c>
      <x:c r="I1361" s="26" t="n">
        <x:v>780</x:v>
      </x:c>
      <x:c r="J1361" s="26" t="n">
        <x:v>0</x:v>
      </x:c>
      <x:c r="K1361" s="35" t="str">
        <x:v>Receipt allocated to FIN-00676</x:v>
      </x:c>
    </x:row>
    <x:row r="1362">
      <x:c r="A1362" s="20" t="str">
        <x:v>FIN-00677</x:v>
      </x:c>
      <x:c r="B1362" s="32" t="n">
        <x:v>2</x:v>
      </x:c>
      <x:c r="C1362" s="23" t="n">
        <x:v>46602</x:v>
      </x:c>
      <x:c r="D1362" s="23" t="n">
        <x:v>46602</x:v>
      </x:c>
      <x:c r="E1362" s="20" t="str">
        <x:v>P029</x:v>
      </x:c>
      <x:c r="F1362" s="20" t="str">
        <x:v>U038</x:v>
      </x:c>
      <x:c r="G1362" s="20" t="str">
        <x:v>L044</x:v>
      </x:c>
      <x:c r="H1362" s="20" t="str">
        <x:v>1100 Tenant Accounts Receivable</x:v>
      </x:c>
      <x:c r="I1362" s="26" t="n">
        <x:v>0</x:v>
      </x:c>
      <x:c r="J1362" s="26" t="n">
        <x:v>780</x:v>
      </x:c>
      <x:c r="K1362" s="35" t="str">
        <x:v>Receipt allocated to FIN-00676</x:v>
      </x:c>
    </x:row>
    <x:row r="1363">
      <x:c r="A1363" s="20" t="str">
        <x:v>FIN-00678</x:v>
      </x:c>
      <x:c r="B1363" s="32" t="n">
        <x:v>1</x:v>
      </x:c>
      <x:c r="C1363" s="23" t="n">
        <x:v>46605</x:v>
      </x:c>
      <x:c r="D1363" s="23" t="n">
        <x:v>46605</x:v>
      </x:c>
      <x:c r="E1363" s="20" t="str">
        <x:v>P029</x:v>
      </x:c>
      <x:c r="F1363" s="20" t="str">
        <x:v>U038</x:v>
      </x:c>
      <x:c r="G1363" s="20" t="str">
        <x:v>L044</x:v>
      </x:c>
      <x:c r="H1363" s="20" t="str">
        <x:v>1100 Tenant Accounts Receivable</x:v>
      </x:c>
      <x:c r="I1363" s="26" t="n">
        <x:v>50</x:v>
      </x:c>
      <x:c r="J1363" s="26" t="n">
        <x:v>0</x:v>
      </x:c>
      <x:c r="K1363" s="35" t="str">
        <x:v>Synthetic lease-authorized late fee after partial payment</x:v>
      </x:c>
    </x:row>
    <x:row r="1364">
      <x:c r="A1364" s="20" t="str">
        <x:v>FIN-00678</x:v>
      </x:c>
      <x:c r="B1364" s="32" t="n">
        <x:v>2</x:v>
      </x:c>
      <x:c r="C1364" s="23" t="n">
        <x:v>46605</x:v>
      </x:c>
      <x:c r="D1364" s="23" t="n">
        <x:v>46605</x:v>
      </x:c>
      <x:c r="E1364" s="20" t="str">
        <x:v>P029</x:v>
      </x:c>
      <x:c r="F1364" s="20" t="str">
        <x:v>U038</x:v>
      </x:c>
      <x:c r="G1364" s="20" t="str">
        <x:v>L044</x:v>
      </x:c>
      <x:c r="H1364" s="20" t="str">
        <x:v>4010 Late Fee Income</x:v>
      </x:c>
      <x:c r="I1364" s="26" t="n">
        <x:v>0</x:v>
      </x:c>
      <x:c r="J1364" s="26" t="n">
        <x:v>50</x:v>
      </x:c>
      <x:c r="K1364" s="35" t="str">
        <x:v>Synthetic lease-authorized late fee after partial payment</x:v>
      </x:c>
    </x:row>
    <x:row r="1365">
      <x:c r="A1365" s="20" t="str">
        <x:v>FIN-00679</x:v>
      </x:c>
      <x:c r="B1365" s="32" t="n">
        <x:v>1</x:v>
      </x:c>
      <x:c r="C1365" s="23" t="n">
        <x:v>46611</x:v>
      </x:c>
      <x:c r="D1365" s="23" t="n">
        <x:v>46611</x:v>
      </x:c>
      <x:c r="E1365" s="20" t="str">
        <x:v>P029</x:v>
      </x:c>
      <x:c r="F1365" s="20" t="str">
        <x:v>U038</x:v>
      </x:c>
      <x:c r="G1365" s="20" t="str">
        <x:v>L044</x:v>
      </x:c>
      <x:c r="H1365" s="20" t="str">
        <x:v>1000 Operating Cash</x:v>
      </x:c>
      <x:c r="I1365" s="26" t="n">
        <x:v>570</x:v>
      </x:c>
      <x:c r="J1365" s="26" t="n">
        <x:v>0</x:v>
      </x:c>
      <x:c r="K1365" s="35" t="str">
        <x:v>Receipt allocated to FIN-00678</x:v>
      </x:c>
    </x:row>
    <x:row r="1366">
      <x:c r="A1366" s="20" t="str">
        <x:v>FIN-00679</x:v>
      </x:c>
      <x:c r="B1366" s="32" t="n">
        <x:v>2</x:v>
      </x:c>
      <x:c r="C1366" s="23" t="n">
        <x:v>46611</x:v>
      </x:c>
      <x:c r="D1366" s="23" t="n">
        <x:v>46611</x:v>
      </x:c>
      <x:c r="E1366" s="20" t="str">
        <x:v>P029</x:v>
      </x:c>
      <x:c r="F1366" s="20" t="str">
        <x:v>U038</x:v>
      </x:c>
      <x:c r="G1366" s="20" t="str">
        <x:v>L044</x:v>
      </x:c>
      <x:c r="H1366" s="20" t="str">
        <x:v>1100 Tenant Accounts Receivable</x:v>
      </x:c>
      <x:c r="I1366" s="26" t="n">
        <x:v>0</x:v>
      </x:c>
      <x:c r="J1366" s="26" t="n">
        <x:v>570</x:v>
      </x:c>
      <x:c r="K1366" s="35" t="str">
        <x:v>Receipt allocated to FIN-00678</x:v>
      </x:c>
    </x:row>
    <x:row r="1367">
      <x:c r="A1367" s="20" t="str">
        <x:v>FIN-00680</x:v>
      </x:c>
      <x:c r="B1367" s="32" t="n">
        <x:v>1</x:v>
      </x:c>
      <x:c r="C1367" s="23" t="n">
        <x:v>46600</x:v>
      </x:c>
      <x:c r="D1367" s="23" t="n">
        <x:v>46600</x:v>
      </x:c>
      <x:c r="E1367" s="20" t="str">
        <x:v>P030</x:v>
      </x:c>
      <x:c r="F1367" s="20" t="str">
        <x:v>U039</x:v>
      </x:c>
      <x:c r="G1367" s="20" t="str">
        <x:v>L045</x:v>
      </x:c>
      <x:c r="H1367" s="20" t="str">
        <x:v>1100 Tenant Accounts Receivable</x:v>
      </x:c>
      <x:c r="I1367" s="26" t="n">
        <x:v>1825</x:v>
      </x:c>
      <x:c r="J1367" s="26" t="n">
        <x:v>0</x:v>
      </x:c>
      <x:c r="K1367" s="35" t="str">
        <x:v>August 2027 rent</x:v>
      </x:c>
    </x:row>
    <x:row r="1368">
      <x:c r="A1368" s="20" t="str">
        <x:v>FIN-00680</x:v>
      </x:c>
      <x:c r="B1368" s="32" t="n">
        <x:v>2</x:v>
      </x:c>
      <x:c r="C1368" s="23" t="n">
        <x:v>46600</x:v>
      </x:c>
      <x:c r="D1368" s="23" t="n">
        <x:v>46600</x:v>
      </x:c>
      <x:c r="E1368" s="20" t="str">
        <x:v>P030</x:v>
      </x:c>
      <x:c r="F1368" s="20" t="str">
        <x:v>U039</x:v>
      </x:c>
      <x:c r="G1368" s="20" t="str">
        <x:v>L045</x:v>
      </x:c>
      <x:c r="H1368" s="20" t="str">
        <x:v>4000 Rental Income</x:v>
      </x:c>
      <x:c r="I1368" s="26" t="n">
        <x:v>0</x:v>
      </x:c>
      <x:c r="J1368" s="26" t="n">
        <x:v>1825</x:v>
      </x:c>
      <x:c r="K1368" s="35" t="str">
        <x:v>August 2027 rent</x:v>
      </x:c>
    </x:row>
    <x:row r="1369">
      <x:c r="A1369" s="20" t="str">
        <x:v>FIN-00681</x:v>
      </x:c>
      <x:c r="B1369" s="32" t="n">
        <x:v>1</x:v>
      </x:c>
      <x:c r="C1369" s="23" t="n">
        <x:v>46602</x:v>
      </x:c>
      <x:c r="D1369" s="23" t="n">
        <x:v>46602</x:v>
      </x:c>
      <x:c r="E1369" s="20" t="str">
        <x:v>P030</x:v>
      </x:c>
      <x:c r="F1369" s="20" t="str">
        <x:v>U039</x:v>
      </x:c>
      <x:c r="G1369" s="20" t="str">
        <x:v>L045</x:v>
      </x:c>
      <x:c r="H1369" s="20" t="str">
        <x:v>1000 Operating Cash</x:v>
      </x:c>
      <x:c r="I1369" s="26" t="n">
        <x:v>1825</x:v>
      </x:c>
      <x:c r="J1369" s="26" t="n">
        <x:v>0</x:v>
      </x:c>
      <x:c r="K1369" s="35" t="str">
        <x:v>Receipt allocated to FIN-00680</x:v>
      </x:c>
    </x:row>
    <x:row r="1370">
      <x:c r="A1370" s="20" t="str">
        <x:v>FIN-00681</x:v>
      </x:c>
      <x:c r="B1370" s="32" t="n">
        <x:v>2</x:v>
      </x:c>
      <x:c r="C1370" s="23" t="n">
        <x:v>46602</x:v>
      </x:c>
      <x:c r="D1370" s="23" t="n">
        <x:v>46602</x:v>
      </x:c>
      <x:c r="E1370" s="20" t="str">
        <x:v>P030</x:v>
      </x:c>
      <x:c r="F1370" s="20" t="str">
        <x:v>U039</x:v>
      </x:c>
      <x:c r="G1370" s="20" t="str">
        <x:v>L045</x:v>
      </x:c>
      <x:c r="H1370" s="20" t="str">
        <x:v>1100 Tenant Accounts Receivable</x:v>
      </x:c>
      <x:c r="I1370" s="26" t="n">
        <x:v>0</x:v>
      </x:c>
      <x:c r="J1370" s="26" t="n">
        <x:v>1825</x:v>
      </x:c>
      <x:c r="K1370" s="35" t="str">
        <x:v>Receipt allocated to FIN-00680</x:v>
      </x:c>
    </x:row>
    <x:row r="1371">
      <x:c r="A1371" s="20" t="str">
        <x:v>FIN-00682</x:v>
      </x:c>
      <x:c r="B1371" s="32" t="n">
        <x:v>1</x:v>
      </x:c>
      <x:c r="C1371" s="23" t="n">
        <x:v>46631</x:v>
      </x:c>
      <x:c r="D1371" s="23" t="n">
        <x:v>46631</x:v>
      </x:c>
      <x:c r="E1371" s="20" t="str">
        <x:v>P001</x:v>
      </x:c>
      <x:c r="F1371" s="20" t="str">
        <x:v>U001</x:v>
      </x:c>
      <x:c r="G1371" s="20" t="str">
        <x:v>L001</x:v>
      </x:c>
      <x:c r="H1371" s="20" t="str">
        <x:v>1100 Tenant Accounts Receivable</x:v>
      </x:c>
      <x:c r="I1371" s="26" t="n">
        <x:v>1575</x:v>
      </x:c>
      <x:c r="J1371" s="26" t="n">
        <x:v>0</x:v>
      </x:c>
      <x:c r="K1371" s="35" t="str">
        <x:v>September 2027 rent</x:v>
      </x:c>
    </x:row>
    <x:row r="1372">
      <x:c r="A1372" s="20" t="str">
        <x:v>FIN-00682</x:v>
      </x:c>
      <x:c r="B1372" s="32" t="n">
        <x:v>2</x:v>
      </x:c>
      <x:c r="C1372" s="23" t="n">
        <x:v>46631</x:v>
      </x:c>
      <x:c r="D1372" s="23" t="n">
        <x:v>46631</x:v>
      </x:c>
      <x:c r="E1372" s="20" t="str">
        <x:v>P001</x:v>
      </x:c>
      <x:c r="F1372" s="20" t="str">
        <x:v>U001</x:v>
      </x:c>
      <x:c r="G1372" s="20" t="str">
        <x:v>L001</x:v>
      </x:c>
      <x:c r="H1372" s="20" t="str">
        <x:v>4000 Rental Income</x:v>
      </x:c>
      <x:c r="I1372" s="26" t="n">
        <x:v>0</x:v>
      </x:c>
      <x:c r="J1372" s="26" t="n">
        <x:v>1575</x:v>
      </x:c>
      <x:c r="K1372" s="35" t="str">
        <x:v>September 2027 rent</x:v>
      </x:c>
    </x:row>
    <x:row r="1373">
      <x:c r="A1373" s="20" t="str">
        <x:v>FIN-00683</x:v>
      </x:c>
      <x:c r="B1373" s="32" t="n">
        <x:v>1</x:v>
      </x:c>
      <x:c r="C1373" s="23" t="n">
        <x:v>46634</x:v>
      </x:c>
      <x:c r="D1373" s="23" t="n">
        <x:v>46634</x:v>
      </x:c>
      <x:c r="E1373" s="20" t="str">
        <x:v>P001</x:v>
      </x:c>
      <x:c r="F1373" s="20" t="str">
        <x:v>U001</x:v>
      </x:c>
      <x:c r="G1373" s="20" t="str">
        <x:v>L001</x:v>
      </x:c>
      <x:c r="H1373" s="20" t="str">
        <x:v>1000 Operating Cash</x:v>
      </x:c>
      <x:c r="I1373" s="26" t="n">
        <x:v>1575</x:v>
      </x:c>
      <x:c r="J1373" s="26" t="n">
        <x:v>0</x:v>
      </x:c>
      <x:c r="K1373" s="35" t="str">
        <x:v>Receipt allocated to FIN-00682</x:v>
      </x:c>
    </x:row>
    <x:row r="1374">
      <x:c r="A1374" s="20" t="str">
        <x:v>FIN-00683</x:v>
      </x:c>
      <x:c r="B1374" s="32" t="n">
        <x:v>2</x:v>
      </x:c>
      <x:c r="C1374" s="23" t="n">
        <x:v>46634</x:v>
      </x:c>
      <x:c r="D1374" s="23" t="n">
        <x:v>46634</x:v>
      </x:c>
      <x:c r="E1374" s="20" t="str">
        <x:v>P001</x:v>
      </x:c>
      <x:c r="F1374" s="20" t="str">
        <x:v>U001</x:v>
      </x:c>
      <x:c r="G1374" s="20" t="str">
        <x:v>L001</x:v>
      </x:c>
      <x:c r="H1374" s="20" t="str">
        <x:v>1100 Tenant Accounts Receivable</x:v>
      </x:c>
      <x:c r="I1374" s="26" t="n">
        <x:v>0</x:v>
      </x:c>
      <x:c r="J1374" s="26" t="n">
        <x:v>1575</x:v>
      </x:c>
      <x:c r="K1374" s="35" t="str">
        <x:v>Receipt allocated to FIN-00682</x:v>
      </x:c>
    </x:row>
    <x:row r="1375">
      <x:c r="A1375" s="20" t="str">
        <x:v>FIN-00684</x:v>
      </x:c>
      <x:c r="B1375" s="32" t="n">
        <x:v>1</x:v>
      </x:c>
      <x:c r="C1375" s="23" t="n">
        <x:v>46631</x:v>
      </x:c>
      <x:c r="D1375" s="23" t="n">
        <x:v>46631</x:v>
      </x:c>
      <x:c r="E1375" s="20" t="str">
        <x:v>P002</x:v>
      </x:c>
      <x:c r="F1375" s="20" t="str">
        <x:v>U002</x:v>
      </x:c>
      <x:c r="G1375" s="20" t="str">
        <x:v>L002</x:v>
      </x:c>
      <x:c r="H1375" s="20" t="str">
        <x:v>1100 Tenant Accounts Receivable</x:v>
      </x:c>
      <x:c r="I1375" s="26" t="n">
        <x:v>1200</x:v>
      </x:c>
      <x:c r="J1375" s="26" t="n">
        <x:v>0</x:v>
      </x:c>
      <x:c r="K1375" s="35" t="str">
        <x:v>September 2027 rent</x:v>
      </x:c>
    </x:row>
    <x:row r="1376">
      <x:c r="A1376" s="20" t="str">
        <x:v>FIN-00684</x:v>
      </x:c>
      <x:c r="B1376" s="32" t="n">
        <x:v>2</x:v>
      </x:c>
      <x:c r="C1376" s="23" t="n">
        <x:v>46631</x:v>
      </x:c>
      <x:c r="D1376" s="23" t="n">
        <x:v>46631</x:v>
      </x:c>
      <x:c r="E1376" s="20" t="str">
        <x:v>P002</x:v>
      </x:c>
      <x:c r="F1376" s="20" t="str">
        <x:v>U002</x:v>
      </x:c>
      <x:c r="G1376" s="20" t="str">
        <x:v>L002</x:v>
      </x:c>
      <x:c r="H1376" s="20" t="str">
        <x:v>4000 Rental Income</x:v>
      </x:c>
      <x:c r="I1376" s="26" t="n">
        <x:v>0</x:v>
      </x:c>
      <x:c r="J1376" s="26" t="n">
        <x:v>1200</x:v>
      </x:c>
      <x:c r="K1376" s="35" t="str">
        <x:v>September 2027 rent</x:v>
      </x:c>
    </x:row>
    <x:row r="1377">
      <x:c r="A1377" s="20" t="str">
        <x:v>FIN-00685</x:v>
      </x:c>
      <x:c r="B1377" s="32" t="n">
        <x:v>1</x:v>
      </x:c>
      <x:c r="C1377" s="23" t="n">
        <x:v>46635</x:v>
      </x:c>
      <x:c r="D1377" s="23" t="n">
        <x:v>46635</x:v>
      </x:c>
      <x:c r="E1377" s="20" t="str">
        <x:v>P002</x:v>
      </x:c>
      <x:c r="F1377" s="20" t="str">
        <x:v>U002</x:v>
      </x:c>
      <x:c r="G1377" s="20" t="str">
        <x:v>L002</x:v>
      </x:c>
      <x:c r="H1377" s="20" t="str">
        <x:v>1000 Operating Cash</x:v>
      </x:c>
      <x:c r="I1377" s="26" t="n">
        <x:v>1200</x:v>
      </x:c>
      <x:c r="J1377" s="26" t="n">
        <x:v>0</x:v>
      </x:c>
      <x:c r="K1377" s="35" t="str">
        <x:v>Receipt allocated to FIN-00684</x:v>
      </x:c>
    </x:row>
    <x:row r="1378">
      <x:c r="A1378" s="20" t="str">
        <x:v>FIN-00685</x:v>
      </x:c>
      <x:c r="B1378" s="32" t="n">
        <x:v>2</x:v>
      </x:c>
      <x:c r="C1378" s="23" t="n">
        <x:v>46635</x:v>
      </x:c>
      <x:c r="D1378" s="23" t="n">
        <x:v>46635</x:v>
      </x:c>
      <x:c r="E1378" s="20" t="str">
        <x:v>P002</x:v>
      </x:c>
      <x:c r="F1378" s="20" t="str">
        <x:v>U002</x:v>
      </x:c>
      <x:c r="G1378" s="20" t="str">
        <x:v>L002</x:v>
      </x:c>
      <x:c r="H1378" s="20" t="str">
        <x:v>1100 Tenant Accounts Receivable</x:v>
      </x:c>
      <x:c r="I1378" s="26" t="n">
        <x:v>0</x:v>
      </x:c>
      <x:c r="J1378" s="26" t="n">
        <x:v>1200</x:v>
      </x:c>
      <x:c r="K1378" s="35" t="str">
        <x:v>Receipt allocated to FIN-00684</x:v>
      </x:c>
    </x:row>
    <x:row r="1379">
      <x:c r="A1379" s="20" t="str">
        <x:v>FIN-00686</x:v>
      </x:c>
      <x:c r="B1379" s="32" t="n">
        <x:v>1</x:v>
      </x:c>
      <x:c r="C1379" s="23" t="n">
        <x:v>46631</x:v>
      </x:c>
      <x:c r="D1379" s="23" t="n">
        <x:v>46631</x:v>
      </x:c>
      <x:c r="E1379" s="20" t="str">
        <x:v>P003</x:v>
      </x:c>
      <x:c r="F1379" s="20" t="str">
        <x:v>U003</x:v>
      </x:c>
      <x:c r="G1379" s="20" t="str">
        <x:v>L003</x:v>
      </x:c>
      <x:c r="H1379" s="20" t="str">
        <x:v>1100 Tenant Accounts Receivable</x:v>
      </x:c>
      <x:c r="I1379" s="26" t="n">
        <x:v>1725</x:v>
      </x:c>
      <x:c r="J1379" s="26" t="n">
        <x:v>0</x:v>
      </x:c>
      <x:c r="K1379" s="35" t="str">
        <x:v>September 2027 rent</x:v>
      </x:c>
    </x:row>
    <x:row r="1380">
      <x:c r="A1380" s="20" t="str">
        <x:v>FIN-00686</x:v>
      </x:c>
      <x:c r="B1380" s="32" t="n">
        <x:v>2</x:v>
      </x:c>
      <x:c r="C1380" s="23" t="n">
        <x:v>46631</x:v>
      </x:c>
      <x:c r="D1380" s="23" t="n">
        <x:v>46631</x:v>
      </x:c>
      <x:c r="E1380" s="20" t="str">
        <x:v>P003</x:v>
      </x:c>
      <x:c r="F1380" s="20" t="str">
        <x:v>U003</x:v>
      </x:c>
      <x:c r="G1380" s="20" t="str">
        <x:v>L003</x:v>
      </x:c>
      <x:c r="H1380" s="20" t="str">
        <x:v>4000 Rental Income</x:v>
      </x:c>
      <x:c r="I1380" s="26" t="n">
        <x:v>0</x:v>
      </x:c>
      <x:c r="J1380" s="26" t="n">
        <x:v>1725</x:v>
      </x:c>
      <x:c r="K1380" s="35" t="str">
        <x:v>September 2027 rent</x:v>
      </x:c>
    </x:row>
    <x:row r="1381">
      <x:c r="A1381" s="20" t="str">
        <x:v>FIN-00687</x:v>
      </x:c>
      <x:c r="B1381" s="32" t="n">
        <x:v>1</x:v>
      </x:c>
      <x:c r="C1381" s="23" t="n">
        <x:v>46633</x:v>
      </x:c>
      <x:c r="D1381" s="23" t="n">
        <x:v>46633</x:v>
      </x:c>
      <x:c r="E1381" s="20" t="str">
        <x:v>P003</x:v>
      </x:c>
      <x:c r="F1381" s="20" t="str">
        <x:v>U003</x:v>
      </x:c>
      <x:c r="G1381" s="20" t="str">
        <x:v>L003</x:v>
      </x:c>
      <x:c r="H1381" s="20" t="str">
        <x:v>1000 Operating Cash</x:v>
      </x:c>
      <x:c r="I1381" s="26" t="n">
        <x:v>1725</x:v>
      </x:c>
      <x:c r="J1381" s="26" t="n">
        <x:v>0</x:v>
      </x:c>
      <x:c r="K1381" s="35" t="str">
        <x:v>Receipt allocated to FIN-00686</x:v>
      </x:c>
    </x:row>
    <x:row r="1382">
      <x:c r="A1382" s="20" t="str">
        <x:v>FIN-00687</x:v>
      </x:c>
      <x:c r="B1382" s="32" t="n">
        <x:v>2</x:v>
      </x:c>
      <x:c r="C1382" s="23" t="n">
        <x:v>46633</x:v>
      </x:c>
      <x:c r="D1382" s="23" t="n">
        <x:v>46633</x:v>
      </x:c>
      <x:c r="E1382" s="20" t="str">
        <x:v>P003</x:v>
      </x:c>
      <x:c r="F1382" s="20" t="str">
        <x:v>U003</x:v>
      </x:c>
      <x:c r="G1382" s="20" t="str">
        <x:v>L003</x:v>
      </x:c>
      <x:c r="H1382" s="20" t="str">
        <x:v>1100 Tenant Accounts Receivable</x:v>
      </x:c>
      <x:c r="I1382" s="26" t="n">
        <x:v>0</x:v>
      </x:c>
      <x:c r="J1382" s="26" t="n">
        <x:v>1725</x:v>
      </x:c>
      <x:c r="K1382" s="35" t="str">
        <x:v>Receipt allocated to FIN-00686</x:v>
      </x:c>
    </x:row>
    <x:row r="1383">
      <x:c r="A1383" s="20" t="str">
        <x:v>FIN-00688</x:v>
      </x:c>
      <x:c r="B1383" s="32" t="n">
        <x:v>1</x:v>
      </x:c>
      <x:c r="C1383" s="23" t="n">
        <x:v>46631</x:v>
      </x:c>
      <x:c r="D1383" s="23" t="n">
        <x:v>46631</x:v>
      </x:c>
      <x:c r="E1383" s="20" t="str">
        <x:v>P004</x:v>
      </x:c>
      <x:c r="F1383" s="20" t="str">
        <x:v>U004</x:v>
      </x:c>
      <x:c r="G1383" s="20" t="str">
        <x:v>L004</x:v>
      </x:c>
      <x:c r="H1383" s="20" t="str">
        <x:v>1100 Tenant Accounts Receivable</x:v>
      </x:c>
      <x:c r="I1383" s="26" t="n">
        <x:v>1350</x:v>
      </x:c>
      <x:c r="J1383" s="26" t="n">
        <x:v>0</x:v>
      </x:c>
      <x:c r="K1383" s="35" t="str">
        <x:v>September 2027 rent</x:v>
      </x:c>
    </x:row>
    <x:row r="1384">
      <x:c r="A1384" s="20" t="str">
        <x:v>FIN-00688</x:v>
      </x:c>
      <x:c r="B1384" s="32" t="n">
        <x:v>2</x:v>
      </x:c>
      <x:c r="C1384" s="23" t="n">
        <x:v>46631</x:v>
      </x:c>
      <x:c r="D1384" s="23" t="n">
        <x:v>46631</x:v>
      </x:c>
      <x:c r="E1384" s="20" t="str">
        <x:v>P004</x:v>
      </x:c>
      <x:c r="F1384" s="20" t="str">
        <x:v>U004</x:v>
      </x:c>
      <x:c r="G1384" s="20" t="str">
        <x:v>L004</x:v>
      </x:c>
      <x:c r="H1384" s="20" t="str">
        <x:v>4000 Rental Income</x:v>
      </x:c>
      <x:c r="I1384" s="26" t="n">
        <x:v>0</x:v>
      </x:c>
      <x:c r="J1384" s="26" t="n">
        <x:v>1350</x:v>
      </x:c>
      <x:c r="K1384" s="35" t="str">
        <x:v>September 2027 rent</x:v>
      </x:c>
    </x:row>
    <x:row r="1385">
      <x:c r="A1385" s="20" t="str">
        <x:v>FIN-00689</x:v>
      </x:c>
      <x:c r="B1385" s="32" t="n">
        <x:v>1</x:v>
      </x:c>
      <x:c r="C1385" s="23" t="n">
        <x:v>46634</x:v>
      </x:c>
      <x:c r="D1385" s="23" t="n">
        <x:v>46634</x:v>
      </x:c>
      <x:c r="E1385" s="20" t="str">
        <x:v>P004</x:v>
      </x:c>
      <x:c r="F1385" s="20" t="str">
        <x:v>U004</x:v>
      </x:c>
      <x:c r="G1385" s="20" t="str">
        <x:v>L004</x:v>
      </x:c>
      <x:c r="H1385" s="20" t="str">
        <x:v>1000 Operating Cash</x:v>
      </x:c>
      <x:c r="I1385" s="26" t="n">
        <x:v>1350</x:v>
      </x:c>
      <x:c r="J1385" s="26" t="n">
        <x:v>0</x:v>
      </x:c>
      <x:c r="K1385" s="35" t="str">
        <x:v>Receipt allocated to FIN-00688</x:v>
      </x:c>
    </x:row>
    <x:row r="1386">
      <x:c r="A1386" s="20" t="str">
        <x:v>FIN-00689</x:v>
      </x:c>
      <x:c r="B1386" s="32" t="n">
        <x:v>2</x:v>
      </x:c>
      <x:c r="C1386" s="23" t="n">
        <x:v>46634</x:v>
      </x:c>
      <x:c r="D1386" s="23" t="n">
        <x:v>46634</x:v>
      </x:c>
      <x:c r="E1386" s="20" t="str">
        <x:v>P004</x:v>
      </x:c>
      <x:c r="F1386" s="20" t="str">
        <x:v>U004</x:v>
      </x:c>
      <x:c r="G1386" s="20" t="str">
        <x:v>L004</x:v>
      </x:c>
      <x:c r="H1386" s="20" t="str">
        <x:v>1100 Tenant Accounts Receivable</x:v>
      </x:c>
      <x:c r="I1386" s="26" t="n">
        <x:v>0</x:v>
      </x:c>
      <x:c r="J1386" s="26" t="n">
        <x:v>1350</x:v>
      </x:c>
      <x:c r="K1386" s="35" t="str">
        <x:v>Receipt allocated to FIN-00688</x:v>
      </x:c>
    </x:row>
    <x:row r="1387">
      <x:c r="A1387" s="20" t="str">
        <x:v>FIN-00690</x:v>
      </x:c>
      <x:c r="B1387" s="32" t="n">
        <x:v>1</x:v>
      </x:c>
      <x:c r="C1387" s="23" t="n">
        <x:v>46631</x:v>
      </x:c>
      <x:c r="D1387" s="23" t="n">
        <x:v>46631</x:v>
      </x:c>
      <x:c r="E1387" s="20" t="str">
        <x:v>P006</x:v>
      </x:c>
      <x:c r="F1387" s="20" t="str">
        <x:v>U006</x:v>
      </x:c>
      <x:c r="G1387" s="20" t="str">
        <x:v>L006</x:v>
      </x:c>
      <x:c r="H1387" s="20" t="str">
        <x:v>1100 Tenant Accounts Receivable</x:v>
      </x:c>
      <x:c r="I1387" s="26" t="n">
        <x:v>1500</x:v>
      </x:c>
      <x:c r="J1387" s="26" t="n">
        <x:v>0</x:v>
      </x:c>
      <x:c r="K1387" s="35" t="str">
        <x:v>September 2027 rent</x:v>
      </x:c>
    </x:row>
    <x:row r="1388">
      <x:c r="A1388" s="20" t="str">
        <x:v>FIN-00690</x:v>
      </x:c>
      <x:c r="B1388" s="32" t="n">
        <x:v>2</x:v>
      </x:c>
      <x:c r="C1388" s="23" t="n">
        <x:v>46631</x:v>
      </x:c>
      <x:c r="D1388" s="23" t="n">
        <x:v>46631</x:v>
      </x:c>
      <x:c r="E1388" s="20" t="str">
        <x:v>P006</x:v>
      </x:c>
      <x:c r="F1388" s="20" t="str">
        <x:v>U006</x:v>
      </x:c>
      <x:c r="G1388" s="20" t="str">
        <x:v>L006</x:v>
      </x:c>
      <x:c r="H1388" s="20" t="str">
        <x:v>4000 Rental Income</x:v>
      </x:c>
      <x:c r="I1388" s="26" t="n">
        <x:v>0</x:v>
      </x:c>
      <x:c r="J1388" s="26" t="n">
        <x:v>1500</x:v>
      </x:c>
      <x:c r="K1388" s="35" t="str">
        <x:v>September 2027 rent</x:v>
      </x:c>
    </x:row>
    <x:row r="1389">
      <x:c r="A1389" s="20" t="str">
        <x:v>FIN-00691</x:v>
      </x:c>
      <x:c r="B1389" s="32" t="n">
        <x:v>1</x:v>
      </x:c>
      <x:c r="C1389" s="23" t="n">
        <x:v>46633</x:v>
      </x:c>
      <x:c r="D1389" s="23" t="n">
        <x:v>46633</x:v>
      </x:c>
      <x:c r="E1389" s="20" t="str">
        <x:v>P006</x:v>
      </x:c>
      <x:c r="F1389" s="20" t="str">
        <x:v>U006</x:v>
      </x:c>
      <x:c r="G1389" s="20" t="str">
        <x:v>L006</x:v>
      </x:c>
      <x:c r="H1389" s="20" t="str">
        <x:v>1000 Operating Cash</x:v>
      </x:c>
      <x:c r="I1389" s="26" t="n">
        <x:v>1500</x:v>
      </x:c>
      <x:c r="J1389" s="26" t="n">
        <x:v>0</x:v>
      </x:c>
      <x:c r="K1389" s="35" t="str">
        <x:v>Receipt allocated to FIN-00690</x:v>
      </x:c>
    </x:row>
    <x:row r="1390">
      <x:c r="A1390" s="20" t="str">
        <x:v>FIN-00691</x:v>
      </x:c>
      <x:c r="B1390" s="32" t="n">
        <x:v>2</x:v>
      </x:c>
      <x:c r="C1390" s="23" t="n">
        <x:v>46633</x:v>
      </x:c>
      <x:c r="D1390" s="23" t="n">
        <x:v>46633</x:v>
      </x:c>
      <x:c r="E1390" s="20" t="str">
        <x:v>P006</x:v>
      </x:c>
      <x:c r="F1390" s="20" t="str">
        <x:v>U006</x:v>
      </x:c>
      <x:c r="G1390" s="20" t="str">
        <x:v>L006</x:v>
      </x:c>
      <x:c r="H1390" s="20" t="str">
        <x:v>1100 Tenant Accounts Receivable</x:v>
      </x:c>
      <x:c r="I1390" s="26" t="n">
        <x:v>0</x:v>
      </x:c>
      <x:c r="J1390" s="26" t="n">
        <x:v>1500</x:v>
      </x:c>
      <x:c r="K1390" s="35" t="str">
        <x:v>Receipt allocated to FIN-00690</x:v>
      </x:c>
    </x:row>
    <x:row r="1391">
      <x:c r="A1391" s="20" t="str">
        <x:v>FIN-00692</x:v>
      </x:c>
      <x:c r="B1391" s="32" t="n">
        <x:v>1</x:v>
      </x:c>
      <x:c r="C1391" s="23" t="n">
        <x:v>46631</x:v>
      </x:c>
      <x:c r="D1391" s="23" t="n">
        <x:v>46631</x:v>
      </x:c>
      <x:c r="E1391" s="20" t="str">
        <x:v>P007</x:v>
      </x:c>
      <x:c r="F1391" s="20" t="str">
        <x:v>U007</x:v>
      </x:c>
      <x:c r="G1391" s="20" t="str">
        <x:v>L007</x:v>
      </x:c>
      <x:c r="H1391" s="20" t="str">
        <x:v>1100 Tenant Accounts Receivable</x:v>
      </x:c>
      <x:c r="I1391" s="26" t="n">
        <x:v>1125</x:v>
      </x:c>
      <x:c r="J1391" s="26" t="n">
        <x:v>0</x:v>
      </x:c>
      <x:c r="K1391" s="35" t="str">
        <x:v>September 2027 rent</x:v>
      </x:c>
    </x:row>
    <x:row r="1392">
      <x:c r="A1392" s="20" t="str">
        <x:v>FIN-00692</x:v>
      </x:c>
      <x:c r="B1392" s="32" t="n">
        <x:v>2</x:v>
      </x:c>
      <x:c r="C1392" s="23" t="n">
        <x:v>46631</x:v>
      </x:c>
      <x:c r="D1392" s="23" t="n">
        <x:v>46631</x:v>
      </x:c>
      <x:c r="E1392" s="20" t="str">
        <x:v>P007</x:v>
      </x:c>
      <x:c r="F1392" s="20" t="str">
        <x:v>U007</x:v>
      </x:c>
      <x:c r="G1392" s="20" t="str">
        <x:v>L007</x:v>
      </x:c>
      <x:c r="H1392" s="20" t="str">
        <x:v>4000 Rental Income</x:v>
      </x:c>
      <x:c r="I1392" s="26" t="n">
        <x:v>0</x:v>
      </x:c>
      <x:c r="J1392" s="26" t="n">
        <x:v>1125</x:v>
      </x:c>
      <x:c r="K1392" s="35" t="str">
        <x:v>September 2027 rent</x:v>
      </x:c>
    </x:row>
    <x:row r="1393">
      <x:c r="A1393" s="20" t="str">
        <x:v>FIN-00693</x:v>
      </x:c>
      <x:c r="B1393" s="32" t="n">
        <x:v>1</x:v>
      </x:c>
      <x:c r="C1393" s="23" t="n">
        <x:v>46634</x:v>
      </x:c>
      <x:c r="D1393" s="23" t="n">
        <x:v>46634</x:v>
      </x:c>
      <x:c r="E1393" s="20" t="str">
        <x:v>P007</x:v>
      </x:c>
      <x:c r="F1393" s="20" t="str">
        <x:v>U007</x:v>
      </x:c>
      <x:c r="G1393" s="20" t="str">
        <x:v>L007</x:v>
      </x:c>
      <x:c r="H1393" s="20" t="str">
        <x:v>1000 Operating Cash</x:v>
      </x:c>
      <x:c r="I1393" s="26" t="n">
        <x:v>1125</x:v>
      </x:c>
      <x:c r="J1393" s="26" t="n">
        <x:v>0</x:v>
      </x:c>
      <x:c r="K1393" s="35" t="str">
        <x:v>Receipt allocated to FIN-00692</x:v>
      </x:c>
    </x:row>
    <x:row r="1394">
      <x:c r="A1394" s="20" t="str">
        <x:v>FIN-00693</x:v>
      </x:c>
      <x:c r="B1394" s="32" t="n">
        <x:v>2</x:v>
      </x:c>
      <x:c r="C1394" s="23" t="n">
        <x:v>46634</x:v>
      </x:c>
      <x:c r="D1394" s="23" t="n">
        <x:v>46634</x:v>
      </x:c>
      <x:c r="E1394" s="20" t="str">
        <x:v>P007</x:v>
      </x:c>
      <x:c r="F1394" s="20" t="str">
        <x:v>U007</x:v>
      </x:c>
      <x:c r="G1394" s="20" t="str">
        <x:v>L007</x:v>
      </x:c>
      <x:c r="H1394" s="20" t="str">
        <x:v>1100 Tenant Accounts Receivable</x:v>
      </x:c>
      <x:c r="I1394" s="26" t="n">
        <x:v>0</x:v>
      </x:c>
      <x:c r="J1394" s="26" t="n">
        <x:v>1125</x:v>
      </x:c>
      <x:c r="K1394" s="35" t="str">
        <x:v>Receipt allocated to FIN-00692</x:v>
      </x:c>
    </x:row>
    <x:row r="1395">
      <x:c r="A1395" s="20" t="str">
        <x:v>FIN-00694</x:v>
      </x:c>
      <x:c r="B1395" s="32" t="n">
        <x:v>1</x:v>
      </x:c>
      <x:c r="C1395" s="23" t="n">
        <x:v>46631</x:v>
      </x:c>
      <x:c r="D1395" s="23" t="n">
        <x:v>46631</x:v>
      </x:c>
      <x:c r="E1395" s="20" t="str">
        <x:v>P009</x:v>
      </x:c>
      <x:c r="F1395" s="20" t="str">
        <x:v>U009</x:v>
      </x:c>
      <x:c r="G1395" s="20" t="str">
        <x:v>L009</x:v>
      </x:c>
      <x:c r="H1395" s="20" t="str">
        <x:v>1100 Tenant Accounts Receivable</x:v>
      </x:c>
      <x:c r="I1395" s="26" t="n">
        <x:v>1275</x:v>
      </x:c>
      <x:c r="J1395" s="26" t="n">
        <x:v>0</x:v>
      </x:c>
      <x:c r="K1395" s="35" t="str">
        <x:v>September 2027 rent</x:v>
      </x:c>
    </x:row>
    <x:row r="1396">
      <x:c r="A1396" s="20" t="str">
        <x:v>FIN-00694</x:v>
      </x:c>
      <x:c r="B1396" s="32" t="n">
        <x:v>2</x:v>
      </x:c>
      <x:c r="C1396" s="23" t="n">
        <x:v>46631</x:v>
      </x:c>
      <x:c r="D1396" s="23" t="n">
        <x:v>46631</x:v>
      </x:c>
      <x:c r="E1396" s="20" t="str">
        <x:v>P009</x:v>
      </x:c>
      <x:c r="F1396" s="20" t="str">
        <x:v>U009</x:v>
      </x:c>
      <x:c r="G1396" s="20" t="str">
        <x:v>L009</x:v>
      </x:c>
      <x:c r="H1396" s="20" t="str">
        <x:v>4000 Rental Income</x:v>
      </x:c>
      <x:c r="I1396" s="26" t="n">
        <x:v>0</x:v>
      </x:c>
      <x:c r="J1396" s="26" t="n">
        <x:v>1275</x:v>
      </x:c>
      <x:c r="K1396" s="35" t="str">
        <x:v>September 2027 rent</x:v>
      </x:c>
    </x:row>
    <x:row r="1397">
      <x:c r="A1397" s="20" t="str">
        <x:v>FIN-00695</x:v>
      </x:c>
      <x:c r="B1397" s="32" t="n">
        <x:v>1</x:v>
      </x:c>
      <x:c r="C1397" s="23" t="n">
        <x:v>46633</x:v>
      </x:c>
      <x:c r="D1397" s="23" t="n">
        <x:v>46633</x:v>
      </x:c>
      <x:c r="E1397" s="20" t="str">
        <x:v>P009</x:v>
      </x:c>
      <x:c r="F1397" s="20" t="str">
        <x:v>U009</x:v>
      </x:c>
      <x:c r="G1397" s="20" t="str">
        <x:v>L009</x:v>
      </x:c>
      <x:c r="H1397" s="20" t="str">
        <x:v>1000 Operating Cash</x:v>
      </x:c>
      <x:c r="I1397" s="26" t="n">
        <x:v>1275</x:v>
      </x:c>
      <x:c r="J1397" s="26" t="n">
        <x:v>0</x:v>
      </x:c>
      <x:c r="K1397" s="35" t="str">
        <x:v>Receipt allocated to FIN-00694</x:v>
      </x:c>
    </x:row>
    <x:row r="1398">
      <x:c r="A1398" s="20" t="str">
        <x:v>FIN-00695</x:v>
      </x:c>
      <x:c r="B1398" s="32" t="n">
        <x:v>2</x:v>
      </x:c>
      <x:c r="C1398" s="23" t="n">
        <x:v>46633</x:v>
      </x:c>
      <x:c r="D1398" s="23" t="n">
        <x:v>46633</x:v>
      </x:c>
      <x:c r="E1398" s="20" t="str">
        <x:v>P009</x:v>
      </x:c>
      <x:c r="F1398" s="20" t="str">
        <x:v>U009</x:v>
      </x:c>
      <x:c r="G1398" s="20" t="str">
        <x:v>L009</x:v>
      </x:c>
      <x:c r="H1398" s="20" t="str">
        <x:v>1100 Tenant Accounts Receivable</x:v>
      </x:c>
      <x:c r="I1398" s="26" t="n">
        <x:v>0</x:v>
      </x:c>
      <x:c r="J1398" s="26" t="n">
        <x:v>1275</x:v>
      </x:c>
      <x:c r="K1398" s="35" t="str">
        <x:v>Receipt allocated to FIN-00694</x:v>
      </x:c>
    </x:row>
    <x:row r="1399">
      <x:c r="A1399" s="20" t="str">
        <x:v>FIN-00696</x:v>
      </x:c>
      <x:c r="B1399" s="32" t="n">
        <x:v>1</x:v>
      </x:c>
      <x:c r="C1399" s="23" t="n">
        <x:v>46631</x:v>
      </x:c>
      <x:c r="D1399" s="23" t="n">
        <x:v>46631</x:v>
      </x:c>
      <x:c r="E1399" s="20" t="str">
        <x:v>P010</x:v>
      </x:c>
      <x:c r="F1399" s="20" t="str">
        <x:v>U010</x:v>
      </x:c>
      <x:c r="G1399" s="20" t="str">
        <x:v>L010</x:v>
      </x:c>
      <x:c r="H1399" s="20" t="str">
        <x:v>1100 Tenant Accounts Receivable</x:v>
      </x:c>
      <x:c r="I1399" s="26" t="n">
        <x:v>1800</x:v>
      </x:c>
      <x:c r="J1399" s="26" t="n">
        <x:v>0</x:v>
      </x:c>
      <x:c r="K1399" s="35" t="str">
        <x:v>September 2027 rent</x:v>
      </x:c>
    </x:row>
    <x:row r="1400">
      <x:c r="A1400" s="20" t="str">
        <x:v>FIN-00696</x:v>
      </x:c>
      <x:c r="B1400" s="32" t="n">
        <x:v>2</x:v>
      </x:c>
      <x:c r="C1400" s="23" t="n">
        <x:v>46631</x:v>
      </x:c>
      <x:c r="D1400" s="23" t="n">
        <x:v>46631</x:v>
      </x:c>
      <x:c r="E1400" s="20" t="str">
        <x:v>P010</x:v>
      </x:c>
      <x:c r="F1400" s="20" t="str">
        <x:v>U010</x:v>
      </x:c>
      <x:c r="G1400" s="20" t="str">
        <x:v>L010</x:v>
      </x:c>
      <x:c r="H1400" s="20" t="str">
        <x:v>4000 Rental Income</x:v>
      </x:c>
      <x:c r="I1400" s="26" t="n">
        <x:v>0</x:v>
      </x:c>
      <x:c r="J1400" s="26" t="n">
        <x:v>1800</x:v>
      </x:c>
      <x:c r="K1400" s="35" t="str">
        <x:v>September 2027 rent</x:v>
      </x:c>
    </x:row>
    <x:row r="1401">
      <x:c r="A1401" s="20" t="str">
        <x:v>FIN-00697</x:v>
      </x:c>
      <x:c r="B1401" s="32" t="n">
        <x:v>1</x:v>
      </x:c>
      <x:c r="C1401" s="23" t="n">
        <x:v>46634</x:v>
      </x:c>
      <x:c r="D1401" s="23" t="n">
        <x:v>46634</x:v>
      </x:c>
      <x:c r="E1401" s="20" t="str">
        <x:v>P010</x:v>
      </x:c>
      <x:c r="F1401" s="20" t="str">
        <x:v>U010</x:v>
      </x:c>
      <x:c r="G1401" s="20" t="str">
        <x:v>L010</x:v>
      </x:c>
      <x:c r="H1401" s="20" t="str">
        <x:v>1000 Operating Cash</x:v>
      </x:c>
      <x:c r="I1401" s="26" t="n">
        <x:v>1800</x:v>
      </x:c>
      <x:c r="J1401" s="26" t="n">
        <x:v>0</x:v>
      </x:c>
      <x:c r="K1401" s="35" t="str">
        <x:v>Receipt allocated to FIN-00696</x:v>
      </x:c>
    </x:row>
    <x:row r="1402">
      <x:c r="A1402" s="20" t="str">
        <x:v>FIN-00697</x:v>
      </x:c>
      <x:c r="B1402" s="32" t="n">
        <x:v>2</x:v>
      </x:c>
      <x:c r="C1402" s="23" t="n">
        <x:v>46634</x:v>
      </x:c>
      <x:c r="D1402" s="23" t="n">
        <x:v>46634</x:v>
      </x:c>
      <x:c r="E1402" s="20" t="str">
        <x:v>P010</x:v>
      </x:c>
      <x:c r="F1402" s="20" t="str">
        <x:v>U010</x:v>
      </x:c>
      <x:c r="G1402" s="20" t="str">
        <x:v>L010</x:v>
      </x:c>
      <x:c r="H1402" s="20" t="str">
        <x:v>1100 Tenant Accounts Receivable</x:v>
      </x:c>
      <x:c r="I1402" s="26" t="n">
        <x:v>0</x:v>
      </x:c>
      <x:c r="J1402" s="26" t="n">
        <x:v>1800</x:v>
      </x:c>
      <x:c r="K1402" s="35" t="str">
        <x:v>Receipt allocated to FIN-00696</x:v>
      </x:c>
    </x:row>
    <x:row r="1403">
      <x:c r="A1403" s="20" t="str">
        <x:v>FIN-00698</x:v>
      </x:c>
      <x:c r="B1403" s="32" t="n">
        <x:v>1</x:v>
      </x:c>
      <x:c r="C1403" s="23" t="n">
        <x:v>46631</x:v>
      </x:c>
      <x:c r="D1403" s="23" t="n">
        <x:v>46631</x:v>
      </x:c>
      <x:c r="E1403" s="20" t="str">
        <x:v>P011</x:v>
      </x:c>
      <x:c r="F1403" s="20" t="str">
        <x:v>U011</x:v>
      </x:c>
      <x:c r="G1403" s="20" t="str">
        <x:v>L011</x:v>
      </x:c>
      <x:c r="H1403" s="20" t="str">
        <x:v>1100 Tenant Accounts Receivable</x:v>
      </x:c>
      <x:c r="I1403" s="26" t="n">
        <x:v>1425</x:v>
      </x:c>
      <x:c r="J1403" s="26" t="n">
        <x:v>0</x:v>
      </x:c>
      <x:c r="K1403" s="35" t="str">
        <x:v>September 2027 rent</x:v>
      </x:c>
    </x:row>
    <x:row r="1404">
      <x:c r="A1404" s="20" t="str">
        <x:v>FIN-00698</x:v>
      </x:c>
      <x:c r="B1404" s="32" t="n">
        <x:v>2</x:v>
      </x:c>
      <x:c r="C1404" s="23" t="n">
        <x:v>46631</x:v>
      </x:c>
      <x:c r="D1404" s="23" t="n">
        <x:v>46631</x:v>
      </x:c>
      <x:c r="E1404" s="20" t="str">
        <x:v>P011</x:v>
      </x:c>
      <x:c r="F1404" s="20" t="str">
        <x:v>U011</x:v>
      </x:c>
      <x:c r="G1404" s="20" t="str">
        <x:v>L011</x:v>
      </x:c>
      <x:c r="H1404" s="20" t="str">
        <x:v>4000 Rental Income</x:v>
      </x:c>
      <x:c r="I1404" s="26" t="n">
        <x:v>0</x:v>
      </x:c>
      <x:c r="J1404" s="26" t="n">
        <x:v>1425</x:v>
      </x:c>
      <x:c r="K1404" s="35" t="str">
        <x:v>September 2027 rent</x:v>
      </x:c>
    </x:row>
    <x:row r="1405">
      <x:c r="A1405" s="20" t="str">
        <x:v>FIN-00699</x:v>
      </x:c>
      <x:c r="B1405" s="32" t="n">
        <x:v>1</x:v>
      </x:c>
      <x:c r="C1405" s="23" t="n">
        <x:v>46633</x:v>
      </x:c>
      <x:c r="D1405" s="23" t="n">
        <x:v>46633</x:v>
      </x:c>
      <x:c r="E1405" s="20" t="str">
        <x:v>P011</x:v>
      </x:c>
      <x:c r="F1405" s="20" t="str">
        <x:v>U011</x:v>
      </x:c>
      <x:c r="G1405" s="20" t="str">
        <x:v>L011</x:v>
      </x:c>
      <x:c r="H1405" s="20" t="str">
        <x:v>1000 Operating Cash</x:v>
      </x:c>
      <x:c r="I1405" s="26" t="n">
        <x:v>855</x:v>
      </x:c>
      <x:c r="J1405" s="26" t="n">
        <x:v>0</x:v>
      </x:c>
      <x:c r="K1405" s="35" t="str">
        <x:v>Receipt allocated to FIN-00698</x:v>
      </x:c>
    </x:row>
    <x:row r="1406">
      <x:c r="A1406" s="20" t="str">
        <x:v>FIN-00699</x:v>
      </x:c>
      <x:c r="B1406" s="32" t="n">
        <x:v>2</x:v>
      </x:c>
      <x:c r="C1406" s="23" t="n">
        <x:v>46633</x:v>
      </x:c>
      <x:c r="D1406" s="23" t="n">
        <x:v>46633</x:v>
      </x:c>
      <x:c r="E1406" s="20" t="str">
        <x:v>P011</x:v>
      </x:c>
      <x:c r="F1406" s="20" t="str">
        <x:v>U011</x:v>
      </x:c>
      <x:c r="G1406" s="20" t="str">
        <x:v>L011</x:v>
      </x:c>
      <x:c r="H1406" s="20" t="str">
        <x:v>1100 Tenant Accounts Receivable</x:v>
      </x:c>
      <x:c r="I1406" s="26" t="n">
        <x:v>0</x:v>
      </x:c>
      <x:c r="J1406" s="26" t="n">
        <x:v>855</x:v>
      </x:c>
      <x:c r="K1406" s="35" t="str">
        <x:v>Receipt allocated to FIN-00698</x:v>
      </x:c>
    </x:row>
    <x:row r="1407">
      <x:c r="A1407" s="20" t="str">
        <x:v>FIN-00700</x:v>
      </x:c>
      <x:c r="B1407" s="32" t="n">
        <x:v>1</x:v>
      </x:c>
      <x:c r="C1407" s="23" t="n">
        <x:v>46636</x:v>
      </x:c>
      <x:c r="D1407" s="23" t="n">
        <x:v>46636</x:v>
      </x:c>
      <x:c r="E1407" s="20" t="str">
        <x:v>P011</x:v>
      </x:c>
      <x:c r="F1407" s="20" t="str">
        <x:v>U011</x:v>
      </x:c>
      <x:c r="G1407" s="20" t="str">
        <x:v>L011</x:v>
      </x:c>
      <x:c r="H1407" s="20" t="str">
        <x:v>1100 Tenant Accounts Receivable</x:v>
      </x:c>
      <x:c r="I1407" s="26" t="n">
        <x:v>50</x:v>
      </x:c>
      <x:c r="J1407" s="26" t="n">
        <x:v>0</x:v>
      </x:c>
      <x:c r="K1407" s="35" t="str">
        <x:v>Synthetic lease-authorized late fee after partial payment</x:v>
      </x:c>
    </x:row>
    <x:row r="1408">
      <x:c r="A1408" s="20" t="str">
        <x:v>FIN-00700</x:v>
      </x:c>
      <x:c r="B1408" s="32" t="n">
        <x:v>2</x:v>
      </x:c>
      <x:c r="C1408" s="23" t="n">
        <x:v>46636</x:v>
      </x:c>
      <x:c r="D1408" s="23" t="n">
        <x:v>46636</x:v>
      </x:c>
      <x:c r="E1408" s="20" t="str">
        <x:v>P011</x:v>
      </x:c>
      <x:c r="F1408" s="20" t="str">
        <x:v>U011</x:v>
      </x:c>
      <x:c r="G1408" s="20" t="str">
        <x:v>L011</x:v>
      </x:c>
      <x:c r="H1408" s="20" t="str">
        <x:v>4010 Late Fee Income</x:v>
      </x:c>
      <x:c r="I1408" s="26" t="n">
        <x:v>0</x:v>
      </x:c>
      <x:c r="J1408" s="26" t="n">
        <x:v>50</x:v>
      </x:c>
      <x:c r="K1408" s="35" t="str">
        <x:v>Synthetic lease-authorized late fee after partial payment</x:v>
      </x:c>
    </x:row>
    <x:row r="1409">
      <x:c r="A1409" s="20" t="str">
        <x:v>FIN-00701</x:v>
      </x:c>
      <x:c r="B1409" s="32" t="n">
        <x:v>1</x:v>
      </x:c>
      <x:c r="C1409" s="23" t="n">
        <x:v>46642</x:v>
      </x:c>
      <x:c r="D1409" s="23" t="n">
        <x:v>46642</x:v>
      </x:c>
      <x:c r="E1409" s="20" t="str">
        <x:v>P011</x:v>
      </x:c>
      <x:c r="F1409" s="20" t="str">
        <x:v>U011</x:v>
      </x:c>
      <x:c r="G1409" s="20" t="str">
        <x:v>L011</x:v>
      </x:c>
      <x:c r="H1409" s="20" t="str">
        <x:v>1000 Operating Cash</x:v>
      </x:c>
      <x:c r="I1409" s="26" t="n">
        <x:v>620</x:v>
      </x:c>
      <x:c r="J1409" s="26" t="n">
        <x:v>0</x:v>
      </x:c>
      <x:c r="K1409" s="35" t="str">
        <x:v>Receipt allocated to FIN-00700</x:v>
      </x:c>
    </x:row>
    <x:row r="1410">
      <x:c r="A1410" s="20" t="str">
        <x:v>FIN-00701</x:v>
      </x:c>
      <x:c r="B1410" s="32" t="n">
        <x:v>2</x:v>
      </x:c>
      <x:c r="C1410" s="23" t="n">
        <x:v>46642</x:v>
      </x:c>
      <x:c r="D1410" s="23" t="n">
        <x:v>46642</x:v>
      </x:c>
      <x:c r="E1410" s="20" t="str">
        <x:v>P011</x:v>
      </x:c>
      <x:c r="F1410" s="20" t="str">
        <x:v>U011</x:v>
      </x:c>
      <x:c r="G1410" s="20" t="str">
        <x:v>L011</x:v>
      </x:c>
      <x:c r="H1410" s="20" t="str">
        <x:v>1100 Tenant Accounts Receivable</x:v>
      </x:c>
      <x:c r="I1410" s="26" t="n">
        <x:v>0</x:v>
      </x:c>
      <x:c r="J1410" s="26" t="n">
        <x:v>620</x:v>
      </x:c>
      <x:c r="K1410" s="35" t="str">
        <x:v>Receipt allocated to FIN-00700</x:v>
      </x:c>
    </x:row>
    <x:row r="1411">
      <x:c r="A1411" s="20" t="str">
        <x:v>FIN-00702</x:v>
      </x:c>
      <x:c r="B1411" s="32" t="n">
        <x:v>1</x:v>
      </x:c>
      <x:c r="C1411" s="23" t="n">
        <x:v>46631</x:v>
      </x:c>
      <x:c r="D1411" s="23" t="n">
        <x:v>46631</x:v>
      </x:c>
      <x:c r="E1411" s="20" t="str">
        <x:v>P012</x:v>
      </x:c>
      <x:c r="F1411" s="20" t="str">
        <x:v>U012</x:v>
      </x:c>
      <x:c r="G1411" s="20" t="str">
        <x:v>L012</x:v>
      </x:c>
      <x:c r="H1411" s="20" t="str">
        <x:v>1100 Tenant Accounts Receivable</x:v>
      </x:c>
      <x:c r="I1411" s="26" t="n">
        <x:v>1050</x:v>
      </x:c>
      <x:c r="J1411" s="26" t="n">
        <x:v>0</x:v>
      </x:c>
      <x:c r="K1411" s="35" t="str">
        <x:v>September 2027 rent</x:v>
      </x:c>
    </x:row>
    <x:row r="1412">
      <x:c r="A1412" s="20" t="str">
        <x:v>FIN-00702</x:v>
      </x:c>
      <x:c r="B1412" s="32" t="n">
        <x:v>2</x:v>
      </x:c>
      <x:c r="C1412" s="23" t="n">
        <x:v>46631</x:v>
      </x:c>
      <x:c r="D1412" s="23" t="n">
        <x:v>46631</x:v>
      </x:c>
      <x:c r="E1412" s="20" t="str">
        <x:v>P012</x:v>
      </x:c>
      <x:c r="F1412" s="20" t="str">
        <x:v>U012</x:v>
      </x:c>
      <x:c r="G1412" s="20" t="str">
        <x:v>L012</x:v>
      </x:c>
      <x:c r="H1412" s="20" t="str">
        <x:v>4000 Rental Income</x:v>
      </x:c>
      <x:c r="I1412" s="26" t="n">
        <x:v>0</x:v>
      </x:c>
      <x:c r="J1412" s="26" t="n">
        <x:v>1050</x:v>
      </x:c>
      <x:c r="K1412" s="35" t="str">
        <x:v>September 2027 rent</x:v>
      </x:c>
    </x:row>
    <x:row r="1413">
      <x:c r="A1413" s="20" t="str">
        <x:v>FIN-00703</x:v>
      </x:c>
      <x:c r="B1413" s="32" t="n">
        <x:v>1</x:v>
      </x:c>
      <x:c r="C1413" s="23" t="n">
        <x:v>46633</x:v>
      </x:c>
      <x:c r="D1413" s="23" t="n">
        <x:v>46633</x:v>
      </x:c>
      <x:c r="E1413" s="20" t="str">
        <x:v>P012</x:v>
      </x:c>
      <x:c r="F1413" s="20" t="str">
        <x:v>U012</x:v>
      </x:c>
      <x:c r="G1413" s="20" t="str">
        <x:v>L012</x:v>
      </x:c>
      <x:c r="H1413" s="20" t="str">
        <x:v>1000 Operating Cash</x:v>
      </x:c>
      <x:c r="I1413" s="26" t="n">
        <x:v>1050</x:v>
      </x:c>
      <x:c r="J1413" s="26" t="n">
        <x:v>0</x:v>
      </x:c>
      <x:c r="K1413" s="35" t="str">
        <x:v>Receipt allocated to FIN-00702</x:v>
      </x:c>
    </x:row>
    <x:row r="1414">
      <x:c r="A1414" s="20" t="str">
        <x:v>FIN-00703</x:v>
      </x:c>
      <x:c r="B1414" s="32" t="n">
        <x:v>2</x:v>
      </x:c>
      <x:c r="C1414" s="23" t="n">
        <x:v>46633</x:v>
      </x:c>
      <x:c r="D1414" s="23" t="n">
        <x:v>46633</x:v>
      </x:c>
      <x:c r="E1414" s="20" t="str">
        <x:v>P012</x:v>
      </x:c>
      <x:c r="F1414" s="20" t="str">
        <x:v>U012</x:v>
      </x:c>
      <x:c r="G1414" s="20" t="str">
        <x:v>L012</x:v>
      </x:c>
      <x:c r="H1414" s="20" t="str">
        <x:v>1100 Tenant Accounts Receivable</x:v>
      </x:c>
      <x:c r="I1414" s="26" t="n">
        <x:v>0</x:v>
      </x:c>
      <x:c r="J1414" s="26" t="n">
        <x:v>1050</x:v>
      </x:c>
      <x:c r="K1414" s="35" t="str">
        <x:v>Receipt allocated to FIN-00702</x:v>
      </x:c>
    </x:row>
    <x:row r="1415">
      <x:c r="A1415" s="20" t="str">
        <x:v>FIN-00704</x:v>
      </x:c>
      <x:c r="B1415" s="32" t="n">
        <x:v>1</x:v>
      </x:c>
      <x:c r="C1415" s="23" t="n">
        <x:v>46631</x:v>
      </x:c>
      <x:c r="D1415" s="23" t="n">
        <x:v>46631</x:v>
      </x:c>
      <x:c r="E1415" s="20" t="str">
        <x:v>P013</x:v>
      </x:c>
      <x:c r="F1415" s="20" t="str">
        <x:v>U013</x:v>
      </x:c>
      <x:c r="G1415" s="20" t="str">
        <x:v>L013</x:v>
      </x:c>
      <x:c r="H1415" s="20" t="str">
        <x:v>1100 Tenant Accounts Receivable</x:v>
      </x:c>
      <x:c r="I1415" s="26" t="n">
        <x:v>1575</x:v>
      </x:c>
      <x:c r="J1415" s="26" t="n">
        <x:v>0</x:v>
      </x:c>
      <x:c r="K1415" s="35" t="str">
        <x:v>September 2027 rent</x:v>
      </x:c>
    </x:row>
    <x:row r="1416">
      <x:c r="A1416" s="20" t="str">
        <x:v>FIN-00704</x:v>
      </x:c>
      <x:c r="B1416" s="32" t="n">
        <x:v>2</x:v>
      </x:c>
      <x:c r="C1416" s="23" t="n">
        <x:v>46631</x:v>
      </x:c>
      <x:c r="D1416" s="23" t="n">
        <x:v>46631</x:v>
      </x:c>
      <x:c r="E1416" s="20" t="str">
        <x:v>P013</x:v>
      </x:c>
      <x:c r="F1416" s="20" t="str">
        <x:v>U013</x:v>
      </x:c>
      <x:c r="G1416" s="20" t="str">
        <x:v>L013</x:v>
      </x:c>
      <x:c r="H1416" s="20" t="str">
        <x:v>4000 Rental Income</x:v>
      </x:c>
      <x:c r="I1416" s="26" t="n">
        <x:v>0</x:v>
      </x:c>
      <x:c r="J1416" s="26" t="n">
        <x:v>1575</x:v>
      </x:c>
      <x:c r="K1416" s="35" t="str">
        <x:v>September 2027 rent</x:v>
      </x:c>
    </x:row>
    <x:row r="1417">
      <x:c r="A1417" s="20" t="str">
        <x:v>FIN-00705</x:v>
      </x:c>
      <x:c r="B1417" s="32" t="n">
        <x:v>1</x:v>
      </x:c>
      <x:c r="C1417" s="23" t="n">
        <x:v>46636</x:v>
      </x:c>
      <x:c r="D1417" s="23" t="n">
        <x:v>46636</x:v>
      </x:c>
      <x:c r="E1417" s="20" t="str">
        <x:v>P013</x:v>
      </x:c>
      <x:c r="F1417" s="20" t="str">
        <x:v>U013</x:v>
      </x:c>
      <x:c r="G1417" s="20" t="str">
        <x:v>L013</x:v>
      </x:c>
      <x:c r="H1417" s="20" t="str">
        <x:v>1100 Tenant Accounts Receivable</x:v>
      </x:c>
      <x:c r="I1417" s="26" t="n">
        <x:v>50</x:v>
      </x:c>
      <x:c r="J1417" s="26" t="n">
        <x:v>0</x:v>
      </x:c>
      <x:c r="K1417" s="35" t="str">
        <x:v>Synthetic lease-authorized late fee</x:v>
      </x:c>
    </x:row>
    <x:row r="1418">
      <x:c r="A1418" s="20" t="str">
        <x:v>FIN-00705</x:v>
      </x:c>
      <x:c r="B1418" s="32" t="n">
        <x:v>2</x:v>
      </x:c>
      <x:c r="C1418" s="23" t="n">
        <x:v>46636</x:v>
      </x:c>
      <x:c r="D1418" s="23" t="n">
        <x:v>46636</x:v>
      </x:c>
      <x:c r="E1418" s="20" t="str">
        <x:v>P013</x:v>
      </x:c>
      <x:c r="F1418" s="20" t="str">
        <x:v>U013</x:v>
      </x:c>
      <x:c r="G1418" s="20" t="str">
        <x:v>L013</x:v>
      </x:c>
      <x:c r="H1418" s="20" t="str">
        <x:v>4010 Late Fee Income</x:v>
      </x:c>
      <x:c r="I1418" s="26" t="n">
        <x:v>0</x:v>
      </x:c>
      <x:c r="J1418" s="26" t="n">
        <x:v>50</x:v>
      </x:c>
      <x:c r="K1418" s="35" t="str">
        <x:v>Synthetic lease-authorized late fee</x:v>
      </x:c>
    </x:row>
    <x:row r="1419">
      <x:c r="A1419" s="20" t="str">
        <x:v>FIN-00706</x:v>
      </x:c>
      <x:c r="B1419" s="32" t="n">
        <x:v>1</x:v>
      </x:c>
      <x:c r="C1419" s="23" t="n">
        <x:v>46638</x:v>
      </x:c>
      <x:c r="D1419" s="23" t="n">
        <x:v>46638</x:v>
      </x:c>
      <x:c r="E1419" s="20" t="str">
        <x:v>P013</x:v>
      </x:c>
      <x:c r="F1419" s="20" t="str">
        <x:v>U013</x:v>
      </x:c>
      <x:c r="G1419" s="20" t="str">
        <x:v>L013</x:v>
      </x:c>
      <x:c r="H1419" s="20" t="str">
        <x:v>1000 Operating Cash</x:v>
      </x:c>
      <x:c r="I1419" s="26" t="n">
        <x:v>1625</x:v>
      </x:c>
      <x:c r="J1419" s="26" t="n">
        <x:v>0</x:v>
      </x:c>
      <x:c r="K1419" s="35" t="str">
        <x:v>Receipt allocated to FIN-00705</x:v>
      </x:c>
    </x:row>
    <x:row r="1420">
      <x:c r="A1420" s="20" t="str">
        <x:v>FIN-00706</x:v>
      </x:c>
      <x:c r="B1420" s="32" t="n">
        <x:v>2</x:v>
      </x:c>
      <x:c r="C1420" s="23" t="n">
        <x:v>46638</x:v>
      </x:c>
      <x:c r="D1420" s="23" t="n">
        <x:v>46638</x:v>
      </x:c>
      <x:c r="E1420" s="20" t="str">
        <x:v>P013</x:v>
      </x:c>
      <x:c r="F1420" s="20" t="str">
        <x:v>U013</x:v>
      </x:c>
      <x:c r="G1420" s="20" t="str">
        <x:v>L013</x:v>
      </x:c>
      <x:c r="H1420" s="20" t="str">
        <x:v>1100 Tenant Accounts Receivable</x:v>
      </x:c>
      <x:c r="I1420" s="26" t="n">
        <x:v>0</x:v>
      </x:c>
      <x:c r="J1420" s="26" t="n">
        <x:v>1625</x:v>
      </x:c>
      <x:c r="K1420" s="35" t="str">
        <x:v>Receipt allocated to FIN-00705</x:v>
      </x:c>
    </x:row>
    <x:row r="1421">
      <x:c r="A1421" s="20" t="str">
        <x:v>FIN-00707</x:v>
      </x:c>
      <x:c r="B1421" s="32" t="n">
        <x:v>1</x:v>
      </x:c>
      <x:c r="C1421" s="23" t="n">
        <x:v>46631</x:v>
      </x:c>
      <x:c r="D1421" s="23" t="n">
        <x:v>46631</x:v>
      </x:c>
      <x:c r="E1421" s="20" t="str">
        <x:v>P015</x:v>
      </x:c>
      <x:c r="F1421" s="20" t="str">
        <x:v>U015</x:v>
      </x:c>
      <x:c r="G1421" s="20" t="str">
        <x:v>L015</x:v>
      </x:c>
      <x:c r="H1421" s="20" t="str">
        <x:v>1100 Tenant Accounts Receivable</x:v>
      </x:c>
      <x:c r="I1421" s="26" t="n">
        <x:v>1725</x:v>
      </x:c>
      <x:c r="J1421" s="26" t="n">
        <x:v>0</x:v>
      </x:c>
      <x:c r="K1421" s="35" t="str">
        <x:v>September 2027 rent</x:v>
      </x:c>
    </x:row>
    <x:row r="1422">
      <x:c r="A1422" s="20" t="str">
        <x:v>FIN-00707</x:v>
      </x:c>
      <x:c r="B1422" s="32" t="n">
        <x:v>2</x:v>
      </x:c>
      <x:c r="C1422" s="23" t="n">
        <x:v>46631</x:v>
      </x:c>
      <x:c r="D1422" s="23" t="n">
        <x:v>46631</x:v>
      </x:c>
      <x:c r="E1422" s="20" t="str">
        <x:v>P015</x:v>
      </x:c>
      <x:c r="F1422" s="20" t="str">
        <x:v>U015</x:v>
      </x:c>
      <x:c r="G1422" s="20" t="str">
        <x:v>L015</x:v>
      </x:c>
      <x:c r="H1422" s="20" t="str">
        <x:v>4000 Rental Income</x:v>
      </x:c>
      <x:c r="I1422" s="26" t="n">
        <x:v>0</x:v>
      </x:c>
      <x:c r="J1422" s="26" t="n">
        <x:v>1725</x:v>
      </x:c>
      <x:c r="K1422" s="35" t="str">
        <x:v>September 2027 rent</x:v>
      </x:c>
    </x:row>
    <x:row r="1423">
      <x:c r="A1423" s="20" t="str">
        <x:v>FIN-00708</x:v>
      </x:c>
      <x:c r="B1423" s="32" t="n">
        <x:v>1</x:v>
      </x:c>
      <x:c r="C1423" s="23" t="n">
        <x:v>46633</x:v>
      </x:c>
      <x:c r="D1423" s="23" t="n">
        <x:v>46633</x:v>
      </x:c>
      <x:c r="E1423" s="20" t="str">
        <x:v>P015</x:v>
      </x:c>
      <x:c r="F1423" s="20" t="str">
        <x:v>U015</x:v>
      </x:c>
      <x:c r="G1423" s="20" t="str">
        <x:v>L015</x:v>
      </x:c>
      <x:c r="H1423" s="20" t="str">
        <x:v>1000 Operating Cash</x:v>
      </x:c>
      <x:c r="I1423" s="26" t="n">
        <x:v>1725</x:v>
      </x:c>
      <x:c r="J1423" s="26" t="n">
        <x:v>0</x:v>
      </x:c>
      <x:c r="K1423" s="35" t="str">
        <x:v>Receipt allocated to FIN-00707</x:v>
      </x:c>
    </x:row>
    <x:row r="1424">
      <x:c r="A1424" s="20" t="str">
        <x:v>FIN-00708</x:v>
      </x:c>
      <x:c r="B1424" s="32" t="n">
        <x:v>2</x:v>
      </x:c>
      <x:c r="C1424" s="23" t="n">
        <x:v>46633</x:v>
      </x:c>
      <x:c r="D1424" s="23" t="n">
        <x:v>46633</x:v>
      </x:c>
      <x:c r="E1424" s="20" t="str">
        <x:v>P015</x:v>
      </x:c>
      <x:c r="F1424" s="20" t="str">
        <x:v>U015</x:v>
      </x:c>
      <x:c r="G1424" s="20" t="str">
        <x:v>L015</x:v>
      </x:c>
      <x:c r="H1424" s="20" t="str">
        <x:v>1100 Tenant Accounts Receivable</x:v>
      </x:c>
      <x:c r="I1424" s="26" t="n">
        <x:v>0</x:v>
      </x:c>
      <x:c r="J1424" s="26" t="n">
        <x:v>1725</x:v>
      </x:c>
      <x:c r="K1424" s="35" t="str">
        <x:v>Receipt allocated to FIN-00707</x:v>
      </x:c>
    </x:row>
    <x:row r="1425">
      <x:c r="A1425" s="20" t="str">
        <x:v>FIN-00709</x:v>
      </x:c>
      <x:c r="B1425" s="32" t="n">
        <x:v>1</x:v>
      </x:c>
      <x:c r="C1425" s="23" t="n">
        <x:v>46631</x:v>
      </x:c>
      <x:c r="D1425" s="23" t="n">
        <x:v>46631</x:v>
      </x:c>
      <x:c r="E1425" s="20" t="str">
        <x:v>P016</x:v>
      </x:c>
      <x:c r="F1425" s="20" t="str">
        <x:v>U016</x:v>
      </x:c>
      <x:c r="G1425" s="20" t="str">
        <x:v>L016</x:v>
      </x:c>
      <x:c r="H1425" s="20" t="str">
        <x:v>1100 Tenant Accounts Receivable</x:v>
      </x:c>
      <x:c r="I1425" s="26" t="n">
        <x:v>1350</x:v>
      </x:c>
      <x:c r="J1425" s="26" t="n">
        <x:v>0</x:v>
      </x:c>
      <x:c r="K1425" s="35" t="str">
        <x:v>September 2027 rent</x:v>
      </x:c>
    </x:row>
    <x:row r="1426">
      <x:c r="A1426" s="20" t="str">
        <x:v>FIN-00709</x:v>
      </x:c>
      <x:c r="B1426" s="32" t="n">
        <x:v>2</x:v>
      </x:c>
      <x:c r="C1426" s="23" t="n">
        <x:v>46631</x:v>
      </x:c>
      <x:c r="D1426" s="23" t="n">
        <x:v>46631</x:v>
      </x:c>
      <x:c r="E1426" s="20" t="str">
        <x:v>P016</x:v>
      </x:c>
      <x:c r="F1426" s="20" t="str">
        <x:v>U016</x:v>
      </x:c>
      <x:c r="G1426" s="20" t="str">
        <x:v>L016</x:v>
      </x:c>
      <x:c r="H1426" s="20" t="str">
        <x:v>4000 Rental Income</x:v>
      </x:c>
      <x:c r="I1426" s="26" t="n">
        <x:v>0</x:v>
      </x:c>
      <x:c r="J1426" s="26" t="n">
        <x:v>1350</x:v>
      </x:c>
      <x:c r="K1426" s="35" t="str">
        <x:v>September 2027 rent</x:v>
      </x:c>
    </x:row>
    <x:row r="1427">
      <x:c r="A1427" s="20" t="str">
        <x:v>FIN-00710</x:v>
      </x:c>
      <x:c r="B1427" s="32" t="n">
        <x:v>1</x:v>
      </x:c>
      <x:c r="C1427" s="23" t="n">
        <x:v>46634</x:v>
      </x:c>
      <x:c r="D1427" s="23" t="n">
        <x:v>46634</x:v>
      </x:c>
      <x:c r="E1427" s="20" t="str">
        <x:v>P016</x:v>
      </x:c>
      <x:c r="F1427" s="20" t="str">
        <x:v>U016</x:v>
      </x:c>
      <x:c r="G1427" s="20" t="str">
        <x:v>L016</x:v>
      </x:c>
      <x:c r="H1427" s="20" t="str">
        <x:v>1000 Operating Cash</x:v>
      </x:c>
      <x:c r="I1427" s="26" t="n">
        <x:v>1350</x:v>
      </x:c>
      <x:c r="J1427" s="26" t="n">
        <x:v>0</x:v>
      </x:c>
      <x:c r="K1427" s="35" t="str">
        <x:v>Receipt allocated to FIN-00709</x:v>
      </x:c>
    </x:row>
    <x:row r="1428">
      <x:c r="A1428" s="20" t="str">
        <x:v>FIN-00710</x:v>
      </x:c>
      <x:c r="B1428" s="32" t="n">
        <x:v>2</x:v>
      </x:c>
      <x:c r="C1428" s="23" t="n">
        <x:v>46634</x:v>
      </x:c>
      <x:c r="D1428" s="23" t="n">
        <x:v>46634</x:v>
      </x:c>
      <x:c r="E1428" s="20" t="str">
        <x:v>P016</x:v>
      </x:c>
      <x:c r="F1428" s="20" t="str">
        <x:v>U016</x:v>
      </x:c>
      <x:c r="G1428" s="20" t="str">
        <x:v>L016</x:v>
      </x:c>
      <x:c r="H1428" s="20" t="str">
        <x:v>1100 Tenant Accounts Receivable</x:v>
      </x:c>
      <x:c r="I1428" s="26" t="n">
        <x:v>0</x:v>
      </x:c>
      <x:c r="J1428" s="26" t="n">
        <x:v>1350</x:v>
      </x:c>
      <x:c r="K1428" s="35" t="str">
        <x:v>Receipt allocated to FIN-00709</x:v>
      </x:c>
    </x:row>
    <x:row r="1429">
      <x:c r="A1429" s="20" t="str">
        <x:v>FIN-00711</x:v>
      </x:c>
      <x:c r="B1429" s="32" t="n">
        <x:v>1</x:v>
      </x:c>
      <x:c r="C1429" s="23" t="n">
        <x:v>46631</x:v>
      </x:c>
      <x:c r="D1429" s="23" t="n">
        <x:v>46631</x:v>
      </x:c>
      <x:c r="E1429" s="20" t="str">
        <x:v>P018</x:v>
      </x:c>
      <x:c r="F1429" s="20" t="str">
        <x:v>U018</x:v>
      </x:c>
      <x:c r="G1429" s="20" t="str">
        <x:v>L018</x:v>
      </x:c>
      <x:c r="H1429" s="20" t="str">
        <x:v>1100 Tenant Accounts Receivable</x:v>
      </x:c>
      <x:c r="I1429" s="26" t="n">
        <x:v>1500</x:v>
      </x:c>
      <x:c r="J1429" s="26" t="n">
        <x:v>0</x:v>
      </x:c>
      <x:c r="K1429" s="35" t="str">
        <x:v>September 2027 rent</x:v>
      </x:c>
    </x:row>
    <x:row r="1430">
      <x:c r="A1430" s="20" t="str">
        <x:v>FIN-00711</x:v>
      </x:c>
      <x:c r="B1430" s="32" t="n">
        <x:v>2</x:v>
      </x:c>
      <x:c r="C1430" s="23" t="n">
        <x:v>46631</x:v>
      </x:c>
      <x:c r="D1430" s="23" t="n">
        <x:v>46631</x:v>
      </x:c>
      <x:c r="E1430" s="20" t="str">
        <x:v>P018</x:v>
      </x:c>
      <x:c r="F1430" s="20" t="str">
        <x:v>U018</x:v>
      </x:c>
      <x:c r="G1430" s="20" t="str">
        <x:v>L018</x:v>
      </x:c>
      <x:c r="H1430" s="20" t="str">
        <x:v>4000 Rental Income</x:v>
      </x:c>
      <x:c r="I1430" s="26" t="n">
        <x:v>0</x:v>
      </x:c>
      <x:c r="J1430" s="26" t="n">
        <x:v>1500</x:v>
      </x:c>
      <x:c r="K1430" s="35" t="str">
        <x:v>September 2027 rent</x:v>
      </x:c>
    </x:row>
    <x:row r="1431">
      <x:c r="A1431" s="20" t="str">
        <x:v>FIN-00712</x:v>
      </x:c>
      <x:c r="B1431" s="32" t="n">
        <x:v>1</x:v>
      </x:c>
      <x:c r="C1431" s="23" t="n">
        <x:v>46633</x:v>
      </x:c>
      <x:c r="D1431" s="23" t="n">
        <x:v>46633</x:v>
      </x:c>
      <x:c r="E1431" s="20" t="str">
        <x:v>P018</x:v>
      </x:c>
      <x:c r="F1431" s="20" t="str">
        <x:v>U018</x:v>
      </x:c>
      <x:c r="G1431" s="20" t="str">
        <x:v>L018</x:v>
      </x:c>
      <x:c r="H1431" s="20" t="str">
        <x:v>1000 Operating Cash</x:v>
      </x:c>
      <x:c r="I1431" s="26" t="n">
        <x:v>1500</x:v>
      </x:c>
      <x:c r="J1431" s="26" t="n">
        <x:v>0</x:v>
      </x:c>
      <x:c r="K1431" s="35" t="str">
        <x:v>Receipt allocated to FIN-00711</x:v>
      </x:c>
    </x:row>
    <x:row r="1432">
      <x:c r="A1432" s="20" t="str">
        <x:v>FIN-00712</x:v>
      </x:c>
      <x:c r="B1432" s="32" t="n">
        <x:v>2</x:v>
      </x:c>
      <x:c r="C1432" s="23" t="n">
        <x:v>46633</x:v>
      </x:c>
      <x:c r="D1432" s="23" t="n">
        <x:v>46633</x:v>
      </x:c>
      <x:c r="E1432" s="20" t="str">
        <x:v>P018</x:v>
      </x:c>
      <x:c r="F1432" s="20" t="str">
        <x:v>U018</x:v>
      </x:c>
      <x:c r="G1432" s="20" t="str">
        <x:v>L018</x:v>
      </x:c>
      <x:c r="H1432" s="20" t="str">
        <x:v>1100 Tenant Accounts Receivable</x:v>
      </x:c>
      <x:c r="I1432" s="26" t="n">
        <x:v>0</x:v>
      </x:c>
      <x:c r="J1432" s="26" t="n">
        <x:v>1500</x:v>
      </x:c>
      <x:c r="K1432" s="35" t="str">
        <x:v>Receipt allocated to FIN-00711</x:v>
      </x:c>
    </x:row>
    <x:row r="1433">
      <x:c r="A1433" s="20" t="str">
        <x:v>FIN-00713</x:v>
      </x:c>
      <x:c r="B1433" s="32" t="n">
        <x:v>1</x:v>
      </x:c>
      <x:c r="C1433" s="23" t="n">
        <x:v>46631</x:v>
      </x:c>
      <x:c r="D1433" s="23" t="n">
        <x:v>46631</x:v>
      </x:c>
      <x:c r="E1433" s="20" t="str">
        <x:v>P019</x:v>
      </x:c>
      <x:c r="F1433" s="20" t="str">
        <x:v>U019</x:v>
      </x:c>
      <x:c r="G1433" s="20" t="str">
        <x:v>L019</x:v>
      </x:c>
      <x:c r="H1433" s="20" t="str">
        <x:v>1100 Tenant Accounts Receivable</x:v>
      </x:c>
      <x:c r="I1433" s="26" t="n">
        <x:v>1125</x:v>
      </x:c>
      <x:c r="J1433" s="26" t="n">
        <x:v>0</x:v>
      </x:c>
      <x:c r="K1433" s="35" t="str">
        <x:v>September 2027 rent</x:v>
      </x:c>
    </x:row>
    <x:row r="1434">
      <x:c r="A1434" s="20" t="str">
        <x:v>FIN-00713</x:v>
      </x:c>
      <x:c r="B1434" s="32" t="n">
        <x:v>2</x:v>
      </x:c>
      <x:c r="C1434" s="23" t="n">
        <x:v>46631</x:v>
      </x:c>
      <x:c r="D1434" s="23" t="n">
        <x:v>46631</x:v>
      </x:c>
      <x:c r="E1434" s="20" t="str">
        <x:v>P019</x:v>
      </x:c>
      <x:c r="F1434" s="20" t="str">
        <x:v>U019</x:v>
      </x:c>
      <x:c r="G1434" s="20" t="str">
        <x:v>L019</x:v>
      </x:c>
      <x:c r="H1434" s="20" t="str">
        <x:v>4000 Rental Income</x:v>
      </x:c>
      <x:c r="I1434" s="26" t="n">
        <x:v>0</x:v>
      </x:c>
      <x:c r="J1434" s="26" t="n">
        <x:v>1125</x:v>
      </x:c>
      <x:c r="K1434" s="35" t="str">
        <x:v>September 2027 rent</x:v>
      </x:c>
    </x:row>
    <x:row r="1435">
      <x:c r="A1435" s="20" t="str">
        <x:v>FIN-00714</x:v>
      </x:c>
      <x:c r="B1435" s="32" t="n">
        <x:v>1</x:v>
      </x:c>
      <x:c r="C1435" s="23" t="n">
        <x:v>46634</x:v>
      </x:c>
      <x:c r="D1435" s="23" t="n">
        <x:v>46634</x:v>
      </x:c>
      <x:c r="E1435" s="20" t="str">
        <x:v>P019</x:v>
      </x:c>
      <x:c r="F1435" s="20" t="str">
        <x:v>U019</x:v>
      </x:c>
      <x:c r="G1435" s="20" t="str">
        <x:v>L019</x:v>
      </x:c>
      <x:c r="H1435" s="20" t="str">
        <x:v>1000 Operating Cash</x:v>
      </x:c>
      <x:c r="I1435" s="26" t="n">
        <x:v>1125</x:v>
      </x:c>
      <x:c r="J1435" s="26" t="n">
        <x:v>0</x:v>
      </x:c>
      <x:c r="K1435" s="35" t="str">
        <x:v>Receipt allocated to FIN-00713</x:v>
      </x:c>
    </x:row>
    <x:row r="1436">
      <x:c r="A1436" s="20" t="str">
        <x:v>FIN-00714</x:v>
      </x:c>
      <x:c r="B1436" s="32" t="n">
        <x:v>2</x:v>
      </x:c>
      <x:c r="C1436" s="23" t="n">
        <x:v>46634</x:v>
      </x:c>
      <x:c r="D1436" s="23" t="n">
        <x:v>46634</x:v>
      </x:c>
      <x:c r="E1436" s="20" t="str">
        <x:v>P019</x:v>
      </x:c>
      <x:c r="F1436" s="20" t="str">
        <x:v>U019</x:v>
      </x:c>
      <x:c r="G1436" s="20" t="str">
        <x:v>L019</x:v>
      </x:c>
      <x:c r="H1436" s="20" t="str">
        <x:v>1100 Tenant Accounts Receivable</x:v>
      </x:c>
      <x:c r="I1436" s="26" t="n">
        <x:v>0</x:v>
      </x:c>
      <x:c r="J1436" s="26" t="n">
        <x:v>1125</x:v>
      </x:c>
      <x:c r="K1436" s="35" t="str">
        <x:v>Receipt allocated to FIN-00713</x:v>
      </x:c>
    </x:row>
    <x:row r="1437">
      <x:c r="A1437" s="20" t="str">
        <x:v>FIN-00715</x:v>
      </x:c>
      <x:c r="B1437" s="32" t="n">
        <x:v>1</x:v>
      </x:c>
      <x:c r="C1437" s="23" t="n">
        <x:v>46631</x:v>
      </x:c>
      <x:c r="D1437" s="23" t="n">
        <x:v>46631</x:v>
      </x:c>
      <x:c r="E1437" s="20" t="str">
        <x:v>P020</x:v>
      </x:c>
      <x:c r="F1437" s="20" t="str">
        <x:v>U020</x:v>
      </x:c>
      <x:c r="G1437" s="20" t="str">
        <x:v>L020</x:v>
      </x:c>
      <x:c r="H1437" s="20" t="str">
        <x:v>1100 Tenant Accounts Receivable</x:v>
      </x:c>
      <x:c r="I1437" s="26" t="n">
        <x:v>1650</x:v>
      </x:c>
      <x:c r="J1437" s="26" t="n">
        <x:v>0</x:v>
      </x:c>
      <x:c r="K1437" s="35" t="str">
        <x:v>September 2027 rent</x:v>
      </x:c>
    </x:row>
    <x:row r="1438">
      <x:c r="A1438" s="20" t="str">
        <x:v>FIN-00715</x:v>
      </x:c>
      <x:c r="B1438" s="32" t="n">
        <x:v>2</x:v>
      </x:c>
      <x:c r="C1438" s="23" t="n">
        <x:v>46631</x:v>
      </x:c>
      <x:c r="D1438" s="23" t="n">
        <x:v>46631</x:v>
      </x:c>
      <x:c r="E1438" s="20" t="str">
        <x:v>P020</x:v>
      </x:c>
      <x:c r="F1438" s="20" t="str">
        <x:v>U020</x:v>
      </x:c>
      <x:c r="G1438" s="20" t="str">
        <x:v>L020</x:v>
      </x:c>
      <x:c r="H1438" s="20" t="str">
        <x:v>4000 Rental Income</x:v>
      </x:c>
      <x:c r="I1438" s="26" t="n">
        <x:v>0</x:v>
      </x:c>
      <x:c r="J1438" s="26" t="n">
        <x:v>1650</x:v>
      </x:c>
      <x:c r="K1438" s="35" t="str">
        <x:v>September 2027 rent</x:v>
      </x:c>
    </x:row>
    <x:row r="1439">
      <x:c r="A1439" s="20" t="str">
        <x:v>FIN-00716</x:v>
      </x:c>
      <x:c r="B1439" s="32" t="n">
        <x:v>1</x:v>
      </x:c>
      <x:c r="C1439" s="23" t="n">
        <x:v>46635</x:v>
      </x:c>
      <x:c r="D1439" s="23" t="n">
        <x:v>46635</x:v>
      </x:c>
      <x:c r="E1439" s="20" t="str">
        <x:v>P020</x:v>
      </x:c>
      <x:c r="F1439" s="20" t="str">
        <x:v>U020</x:v>
      </x:c>
      <x:c r="G1439" s="20" t="str">
        <x:v>L020</x:v>
      </x:c>
      <x:c r="H1439" s="20" t="str">
        <x:v>1000 Operating Cash</x:v>
      </x:c>
      <x:c r="I1439" s="26" t="n">
        <x:v>1650</x:v>
      </x:c>
      <x:c r="J1439" s="26" t="n">
        <x:v>0</x:v>
      </x:c>
      <x:c r="K1439" s="35" t="str">
        <x:v>Receipt allocated to FIN-00715</x:v>
      </x:c>
    </x:row>
    <x:row r="1440">
      <x:c r="A1440" s="20" t="str">
        <x:v>FIN-00716</x:v>
      </x:c>
      <x:c r="B1440" s="32" t="n">
        <x:v>2</x:v>
      </x:c>
      <x:c r="C1440" s="23" t="n">
        <x:v>46635</x:v>
      </x:c>
      <x:c r="D1440" s="23" t="n">
        <x:v>46635</x:v>
      </x:c>
      <x:c r="E1440" s="20" t="str">
        <x:v>P020</x:v>
      </x:c>
      <x:c r="F1440" s="20" t="str">
        <x:v>U020</x:v>
      </x:c>
      <x:c r="G1440" s="20" t="str">
        <x:v>L020</x:v>
      </x:c>
      <x:c r="H1440" s="20" t="str">
        <x:v>1100 Tenant Accounts Receivable</x:v>
      </x:c>
      <x:c r="I1440" s="26" t="n">
        <x:v>0</x:v>
      </x:c>
      <x:c r="J1440" s="26" t="n">
        <x:v>1650</x:v>
      </x:c>
      <x:c r="K1440" s="35" t="str">
        <x:v>Receipt allocated to FIN-00715</x:v>
      </x:c>
    </x:row>
    <x:row r="1441">
      <x:c r="A1441" s="20" t="str">
        <x:v>FIN-00717</x:v>
      </x:c>
      <x:c r="B1441" s="32" t="n">
        <x:v>1</x:v>
      </x:c>
      <x:c r="C1441" s="23" t="n">
        <x:v>46631</x:v>
      </x:c>
      <x:c r="D1441" s="23" t="n">
        <x:v>46631</x:v>
      </x:c>
      <x:c r="E1441" s="20" t="str">
        <x:v>P021</x:v>
      </x:c>
      <x:c r="F1441" s="20" t="str">
        <x:v>U021</x:v>
      </x:c>
      <x:c r="G1441" s="20" t="str">
        <x:v>L021</x:v>
      </x:c>
      <x:c r="H1441" s="20" t="str">
        <x:v>1100 Tenant Accounts Receivable</x:v>
      </x:c>
      <x:c r="I1441" s="26" t="n">
        <x:v>1375</x:v>
      </x:c>
      <x:c r="J1441" s="26" t="n">
        <x:v>0</x:v>
      </x:c>
      <x:c r="K1441" s="35" t="str">
        <x:v>September 2027 rent</x:v>
      </x:c>
    </x:row>
    <x:row r="1442">
      <x:c r="A1442" s="20" t="str">
        <x:v>FIN-00717</x:v>
      </x:c>
      <x:c r="B1442" s="32" t="n">
        <x:v>2</x:v>
      </x:c>
      <x:c r="C1442" s="23" t="n">
        <x:v>46631</x:v>
      </x:c>
      <x:c r="D1442" s="23" t="n">
        <x:v>46631</x:v>
      </x:c>
      <x:c r="E1442" s="20" t="str">
        <x:v>P021</x:v>
      </x:c>
      <x:c r="F1442" s="20" t="str">
        <x:v>U021</x:v>
      </x:c>
      <x:c r="G1442" s="20" t="str">
        <x:v>L021</x:v>
      </x:c>
      <x:c r="H1442" s="20" t="str">
        <x:v>4000 Rental Income</x:v>
      </x:c>
      <x:c r="I1442" s="26" t="n">
        <x:v>0</x:v>
      </x:c>
      <x:c r="J1442" s="26" t="n">
        <x:v>1375</x:v>
      </x:c>
      <x:c r="K1442" s="35" t="str">
        <x:v>September 2027 rent</x:v>
      </x:c>
    </x:row>
    <x:row r="1443">
      <x:c r="A1443" s="20" t="str">
        <x:v>FIN-00718</x:v>
      </x:c>
      <x:c r="B1443" s="32" t="n">
        <x:v>1</x:v>
      </x:c>
      <x:c r="C1443" s="23" t="n">
        <x:v>46633</x:v>
      </x:c>
      <x:c r="D1443" s="23" t="n">
        <x:v>46633</x:v>
      </x:c>
      <x:c r="E1443" s="20" t="str">
        <x:v>P021</x:v>
      </x:c>
      <x:c r="F1443" s="20" t="str">
        <x:v>U021</x:v>
      </x:c>
      <x:c r="G1443" s="20" t="str">
        <x:v>L021</x:v>
      </x:c>
      <x:c r="H1443" s="20" t="str">
        <x:v>1000 Operating Cash</x:v>
      </x:c>
      <x:c r="I1443" s="26" t="n">
        <x:v>1375</x:v>
      </x:c>
      <x:c r="J1443" s="26" t="n">
        <x:v>0</x:v>
      </x:c>
      <x:c r="K1443" s="35" t="str">
        <x:v>Receipt allocated to FIN-00717</x:v>
      </x:c>
    </x:row>
    <x:row r="1444">
      <x:c r="A1444" s="20" t="str">
        <x:v>FIN-00718</x:v>
      </x:c>
      <x:c r="B1444" s="32" t="n">
        <x:v>2</x:v>
      </x:c>
      <x:c r="C1444" s="23" t="n">
        <x:v>46633</x:v>
      </x:c>
      <x:c r="D1444" s="23" t="n">
        <x:v>46633</x:v>
      </x:c>
      <x:c r="E1444" s="20" t="str">
        <x:v>P021</x:v>
      </x:c>
      <x:c r="F1444" s="20" t="str">
        <x:v>U021</x:v>
      </x:c>
      <x:c r="G1444" s="20" t="str">
        <x:v>L021</x:v>
      </x:c>
      <x:c r="H1444" s="20" t="str">
        <x:v>1100 Tenant Accounts Receivable</x:v>
      </x:c>
      <x:c r="I1444" s="26" t="n">
        <x:v>0</x:v>
      </x:c>
      <x:c r="J1444" s="26" t="n">
        <x:v>1375</x:v>
      </x:c>
      <x:c r="K1444" s="35" t="str">
        <x:v>Receipt allocated to FIN-00717</x:v>
      </x:c>
    </x:row>
    <x:row r="1445">
      <x:c r="A1445" s="20" t="str">
        <x:v>FIN-00719</x:v>
      </x:c>
      <x:c r="B1445" s="32" t="n">
        <x:v>1</x:v>
      </x:c>
      <x:c r="C1445" s="23" t="n">
        <x:v>46631</x:v>
      </x:c>
      <x:c r="D1445" s="23" t="n">
        <x:v>46631</x:v>
      </x:c>
      <x:c r="E1445" s="20" t="str">
        <x:v>P022</x:v>
      </x:c>
      <x:c r="F1445" s="20" t="str">
        <x:v>U023</x:v>
      </x:c>
      <x:c r="G1445" s="20" t="str">
        <x:v>L023</x:v>
      </x:c>
      <x:c r="H1445" s="20" t="str">
        <x:v>1100 Tenant Accounts Receivable</x:v>
      </x:c>
      <x:c r="I1445" s="26" t="n">
        <x:v>1525</x:v>
      </x:c>
      <x:c r="J1445" s="26" t="n">
        <x:v>0</x:v>
      </x:c>
      <x:c r="K1445" s="35" t="str">
        <x:v>September 2027 rent</x:v>
      </x:c>
    </x:row>
    <x:row r="1446">
      <x:c r="A1446" s="20" t="str">
        <x:v>FIN-00719</x:v>
      </x:c>
      <x:c r="B1446" s="32" t="n">
        <x:v>2</x:v>
      </x:c>
      <x:c r="C1446" s="23" t="n">
        <x:v>46631</x:v>
      </x:c>
      <x:c r="D1446" s="23" t="n">
        <x:v>46631</x:v>
      </x:c>
      <x:c r="E1446" s="20" t="str">
        <x:v>P022</x:v>
      </x:c>
      <x:c r="F1446" s="20" t="str">
        <x:v>U023</x:v>
      </x:c>
      <x:c r="G1446" s="20" t="str">
        <x:v>L023</x:v>
      </x:c>
      <x:c r="H1446" s="20" t="str">
        <x:v>4000 Rental Income</x:v>
      </x:c>
      <x:c r="I1446" s="26" t="n">
        <x:v>0</x:v>
      </x:c>
      <x:c r="J1446" s="26" t="n">
        <x:v>1525</x:v>
      </x:c>
      <x:c r="K1446" s="35" t="str">
        <x:v>September 2027 rent</x:v>
      </x:c>
    </x:row>
    <x:row r="1447">
      <x:c r="A1447" s="20" t="str">
        <x:v>FIN-00720</x:v>
      </x:c>
      <x:c r="B1447" s="32" t="n">
        <x:v>1</x:v>
      </x:c>
      <x:c r="C1447" s="23" t="n">
        <x:v>46635</x:v>
      </x:c>
      <x:c r="D1447" s="23" t="n">
        <x:v>46635</x:v>
      </x:c>
      <x:c r="E1447" s="20" t="str">
        <x:v>P022</x:v>
      </x:c>
      <x:c r="F1447" s="20" t="str">
        <x:v>U023</x:v>
      </x:c>
      <x:c r="G1447" s="20" t="str">
        <x:v>L023</x:v>
      </x:c>
      <x:c r="H1447" s="20" t="str">
        <x:v>1000 Operating Cash</x:v>
      </x:c>
      <x:c r="I1447" s="26" t="n">
        <x:v>1525</x:v>
      </x:c>
      <x:c r="J1447" s="26" t="n">
        <x:v>0</x:v>
      </x:c>
      <x:c r="K1447" s="35" t="str">
        <x:v>Receipt allocated to FIN-00719</x:v>
      </x:c>
    </x:row>
    <x:row r="1448">
      <x:c r="A1448" s="20" t="str">
        <x:v>FIN-00720</x:v>
      </x:c>
      <x:c r="B1448" s="32" t="n">
        <x:v>2</x:v>
      </x:c>
      <x:c r="C1448" s="23" t="n">
        <x:v>46635</x:v>
      </x:c>
      <x:c r="D1448" s="23" t="n">
        <x:v>46635</x:v>
      </x:c>
      <x:c r="E1448" s="20" t="str">
        <x:v>P022</x:v>
      </x:c>
      <x:c r="F1448" s="20" t="str">
        <x:v>U023</x:v>
      </x:c>
      <x:c r="G1448" s="20" t="str">
        <x:v>L023</x:v>
      </x:c>
      <x:c r="H1448" s="20" t="str">
        <x:v>1100 Tenant Accounts Receivable</x:v>
      </x:c>
      <x:c r="I1448" s="26" t="n">
        <x:v>0</x:v>
      </x:c>
      <x:c r="J1448" s="26" t="n">
        <x:v>1525</x:v>
      </x:c>
      <x:c r="K1448" s="35" t="str">
        <x:v>Receipt allocated to FIN-00719</x:v>
      </x:c>
    </x:row>
    <x:row r="1449">
      <x:c r="A1449" s="20" t="str">
        <x:v>FIN-00721</x:v>
      </x:c>
      <x:c r="B1449" s="32" t="n">
        <x:v>1</x:v>
      </x:c>
      <x:c r="C1449" s="23" t="n">
        <x:v>46631</x:v>
      </x:c>
      <x:c r="D1449" s="23" t="n">
        <x:v>46631</x:v>
      </x:c>
      <x:c r="E1449" s="20" t="str">
        <x:v>P022</x:v>
      </x:c>
      <x:c r="F1449" s="20" t="str">
        <x:v>U024</x:v>
      </x:c>
      <x:c r="G1449" s="20" t="str">
        <x:v>L024</x:v>
      </x:c>
      <x:c r="H1449" s="20" t="str">
        <x:v>1100 Tenant Accounts Receivable</x:v>
      </x:c>
      <x:c r="I1449" s="26" t="n">
        <x:v>1150</x:v>
      </x:c>
      <x:c r="J1449" s="26" t="n">
        <x:v>0</x:v>
      </x:c>
      <x:c r="K1449" s="35" t="str">
        <x:v>September 2027 rent</x:v>
      </x:c>
    </x:row>
    <x:row r="1450">
      <x:c r="A1450" s="20" t="str">
        <x:v>FIN-00721</x:v>
      </x:c>
      <x:c r="B1450" s="32" t="n">
        <x:v>2</x:v>
      </x:c>
      <x:c r="C1450" s="23" t="n">
        <x:v>46631</x:v>
      </x:c>
      <x:c r="D1450" s="23" t="n">
        <x:v>46631</x:v>
      </x:c>
      <x:c r="E1450" s="20" t="str">
        <x:v>P022</x:v>
      </x:c>
      <x:c r="F1450" s="20" t="str">
        <x:v>U024</x:v>
      </x:c>
      <x:c r="G1450" s="20" t="str">
        <x:v>L024</x:v>
      </x:c>
      <x:c r="H1450" s="20" t="str">
        <x:v>4000 Rental Income</x:v>
      </x:c>
      <x:c r="I1450" s="26" t="n">
        <x:v>0</x:v>
      </x:c>
      <x:c r="J1450" s="26" t="n">
        <x:v>1150</x:v>
      </x:c>
      <x:c r="K1450" s="35" t="str">
        <x:v>September 2027 rent</x:v>
      </x:c>
    </x:row>
    <x:row r="1451">
      <x:c r="A1451" s="20" t="str">
        <x:v>FIN-00722</x:v>
      </x:c>
      <x:c r="B1451" s="32" t="n">
        <x:v>1</x:v>
      </x:c>
      <x:c r="C1451" s="23" t="n">
        <x:v>46633</x:v>
      </x:c>
      <x:c r="D1451" s="23" t="n">
        <x:v>46633</x:v>
      </x:c>
      <x:c r="E1451" s="20" t="str">
        <x:v>P022</x:v>
      </x:c>
      <x:c r="F1451" s="20" t="str">
        <x:v>U024</x:v>
      </x:c>
      <x:c r="G1451" s="20" t="str">
        <x:v>L024</x:v>
      </x:c>
      <x:c r="H1451" s="20" t="str">
        <x:v>1000 Operating Cash</x:v>
      </x:c>
      <x:c r="I1451" s="26" t="n">
        <x:v>1150</x:v>
      </x:c>
      <x:c r="J1451" s="26" t="n">
        <x:v>0</x:v>
      </x:c>
      <x:c r="K1451" s="35" t="str">
        <x:v>Receipt allocated to FIN-00721</x:v>
      </x:c>
    </x:row>
    <x:row r="1452">
      <x:c r="A1452" s="20" t="str">
        <x:v>FIN-00722</x:v>
      </x:c>
      <x:c r="B1452" s="32" t="n">
        <x:v>2</x:v>
      </x:c>
      <x:c r="C1452" s="23" t="n">
        <x:v>46633</x:v>
      </x:c>
      <x:c r="D1452" s="23" t="n">
        <x:v>46633</x:v>
      </x:c>
      <x:c r="E1452" s="20" t="str">
        <x:v>P022</x:v>
      </x:c>
      <x:c r="F1452" s="20" t="str">
        <x:v>U024</x:v>
      </x:c>
      <x:c r="G1452" s="20" t="str">
        <x:v>L024</x:v>
      </x:c>
      <x:c r="H1452" s="20" t="str">
        <x:v>1100 Tenant Accounts Receivable</x:v>
      </x:c>
      <x:c r="I1452" s="26" t="n">
        <x:v>0</x:v>
      </x:c>
      <x:c r="J1452" s="26" t="n">
        <x:v>1150</x:v>
      </x:c>
      <x:c r="K1452" s="35" t="str">
        <x:v>Receipt allocated to FIN-00721</x:v>
      </x:c>
    </x:row>
    <x:row r="1453">
      <x:c r="A1453" s="20" t="str">
        <x:v>FIN-00723</x:v>
      </x:c>
      <x:c r="B1453" s="32" t="n">
        <x:v>1</x:v>
      </x:c>
      <x:c r="C1453" s="23" t="n">
        <x:v>46631</x:v>
      </x:c>
      <x:c r="D1453" s="23" t="n">
        <x:v>46631</x:v>
      </x:c>
      <x:c r="E1453" s="20" t="str">
        <x:v>P023</x:v>
      </x:c>
      <x:c r="F1453" s="20" t="str">
        <x:v>U025</x:v>
      </x:c>
      <x:c r="G1453" s="20" t="str">
        <x:v>L025</x:v>
      </x:c>
      <x:c r="H1453" s="20" t="str">
        <x:v>1100 Tenant Accounts Receivable</x:v>
      </x:c>
      <x:c r="I1453" s="26" t="n">
        <x:v>1675</x:v>
      </x:c>
      <x:c r="J1453" s="26" t="n">
        <x:v>0</x:v>
      </x:c>
      <x:c r="K1453" s="35" t="str">
        <x:v>September 2027 rent</x:v>
      </x:c>
    </x:row>
    <x:row r="1454">
      <x:c r="A1454" s="20" t="str">
        <x:v>FIN-00723</x:v>
      </x:c>
      <x:c r="B1454" s="32" t="n">
        <x:v>2</x:v>
      </x:c>
      <x:c r="C1454" s="23" t="n">
        <x:v>46631</x:v>
      </x:c>
      <x:c r="D1454" s="23" t="n">
        <x:v>46631</x:v>
      </x:c>
      <x:c r="E1454" s="20" t="str">
        <x:v>P023</x:v>
      </x:c>
      <x:c r="F1454" s="20" t="str">
        <x:v>U025</x:v>
      </x:c>
      <x:c r="G1454" s="20" t="str">
        <x:v>L025</x:v>
      </x:c>
      <x:c r="H1454" s="20" t="str">
        <x:v>4000 Rental Income</x:v>
      </x:c>
      <x:c r="I1454" s="26" t="n">
        <x:v>0</x:v>
      </x:c>
      <x:c r="J1454" s="26" t="n">
        <x:v>1675</x:v>
      </x:c>
      <x:c r="K1454" s="35" t="str">
        <x:v>September 2027 rent</x:v>
      </x:c>
    </x:row>
    <x:row r="1455">
      <x:c r="A1455" s="20" t="str">
        <x:v>FIN-00724</x:v>
      </x:c>
      <x:c r="B1455" s="32" t="n">
        <x:v>1</x:v>
      </x:c>
      <x:c r="C1455" s="23" t="n">
        <x:v>46634</x:v>
      </x:c>
      <x:c r="D1455" s="23" t="n">
        <x:v>46634</x:v>
      </x:c>
      <x:c r="E1455" s="20" t="str">
        <x:v>P023</x:v>
      </x:c>
      <x:c r="F1455" s="20" t="str">
        <x:v>U025</x:v>
      </x:c>
      <x:c r="G1455" s="20" t="str">
        <x:v>L025</x:v>
      </x:c>
      <x:c r="H1455" s="20" t="str">
        <x:v>1000 Operating Cash</x:v>
      </x:c>
      <x:c r="I1455" s="26" t="n">
        <x:v>1675</x:v>
      </x:c>
      <x:c r="J1455" s="26" t="n">
        <x:v>0</x:v>
      </x:c>
      <x:c r="K1455" s="35" t="str">
        <x:v>Receipt allocated to FIN-00723</x:v>
      </x:c>
    </x:row>
    <x:row r="1456">
      <x:c r="A1456" s="20" t="str">
        <x:v>FIN-00724</x:v>
      </x:c>
      <x:c r="B1456" s="32" t="n">
        <x:v>2</x:v>
      </x:c>
      <x:c r="C1456" s="23" t="n">
        <x:v>46634</x:v>
      </x:c>
      <x:c r="D1456" s="23" t="n">
        <x:v>46634</x:v>
      </x:c>
      <x:c r="E1456" s="20" t="str">
        <x:v>P023</x:v>
      </x:c>
      <x:c r="F1456" s="20" t="str">
        <x:v>U025</x:v>
      </x:c>
      <x:c r="G1456" s="20" t="str">
        <x:v>L025</x:v>
      </x:c>
      <x:c r="H1456" s="20" t="str">
        <x:v>1100 Tenant Accounts Receivable</x:v>
      </x:c>
      <x:c r="I1456" s="26" t="n">
        <x:v>0</x:v>
      </x:c>
      <x:c r="J1456" s="26" t="n">
        <x:v>1675</x:v>
      </x:c>
      <x:c r="K1456" s="35" t="str">
        <x:v>Receipt allocated to FIN-00723</x:v>
      </x:c>
    </x:row>
    <x:row r="1457">
      <x:c r="A1457" s="20" t="str">
        <x:v>FIN-00725</x:v>
      </x:c>
      <x:c r="B1457" s="32" t="n">
        <x:v>1</x:v>
      </x:c>
      <x:c r="C1457" s="23" t="n">
        <x:v>46631</x:v>
      </x:c>
      <x:c r="D1457" s="23" t="n">
        <x:v>46631</x:v>
      </x:c>
      <x:c r="E1457" s="20" t="str">
        <x:v>P023</x:v>
      </x:c>
      <x:c r="F1457" s="20" t="str">
        <x:v>U026</x:v>
      </x:c>
      <x:c r="G1457" s="20" t="str">
        <x:v>L026</x:v>
      </x:c>
      <x:c r="H1457" s="20" t="str">
        <x:v>1100 Tenant Accounts Receivable</x:v>
      </x:c>
      <x:c r="I1457" s="26" t="n">
        <x:v>1300</x:v>
      </x:c>
      <x:c r="J1457" s="26" t="n">
        <x:v>0</x:v>
      </x:c>
      <x:c r="K1457" s="35" t="str">
        <x:v>September 2027 rent</x:v>
      </x:c>
    </x:row>
    <x:row r="1458">
      <x:c r="A1458" s="20" t="str">
        <x:v>FIN-00725</x:v>
      </x:c>
      <x:c r="B1458" s="32" t="n">
        <x:v>2</x:v>
      </x:c>
      <x:c r="C1458" s="23" t="n">
        <x:v>46631</x:v>
      </x:c>
      <x:c r="D1458" s="23" t="n">
        <x:v>46631</x:v>
      </x:c>
      <x:c r="E1458" s="20" t="str">
        <x:v>P023</x:v>
      </x:c>
      <x:c r="F1458" s="20" t="str">
        <x:v>U026</x:v>
      </x:c>
      <x:c r="G1458" s="20" t="str">
        <x:v>L026</x:v>
      </x:c>
      <x:c r="H1458" s="20" t="str">
        <x:v>4000 Rental Income</x:v>
      </x:c>
      <x:c r="I1458" s="26" t="n">
        <x:v>0</x:v>
      </x:c>
      <x:c r="J1458" s="26" t="n">
        <x:v>1300</x:v>
      </x:c>
      <x:c r="K1458" s="35" t="str">
        <x:v>September 2027 rent</x:v>
      </x:c>
    </x:row>
    <x:row r="1459">
      <x:c r="A1459" s="20" t="str">
        <x:v>FIN-00726</x:v>
      </x:c>
      <x:c r="B1459" s="32" t="n">
        <x:v>1</x:v>
      </x:c>
      <x:c r="C1459" s="23" t="n">
        <x:v>46636</x:v>
      </x:c>
      <x:c r="D1459" s="23" t="n">
        <x:v>46636</x:v>
      </x:c>
      <x:c r="E1459" s="20" t="str">
        <x:v>P023</x:v>
      </x:c>
      <x:c r="F1459" s="20" t="str">
        <x:v>U026</x:v>
      </x:c>
      <x:c r="G1459" s="20" t="str">
        <x:v>L026</x:v>
      </x:c>
      <x:c r="H1459" s="20" t="str">
        <x:v>1100 Tenant Accounts Receivable</x:v>
      </x:c>
      <x:c r="I1459" s="26" t="n">
        <x:v>50</x:v>
      </x:c>
      <x:c r="J1459" s="26" t="n">
        <x:v>0</x:v>
      </x:c>
      <x:c r="K1459" s="35" t="str">
        <x:v>Synthetic lease-authorized late fee</x:v>
      </x:c>
    </x:row>
    <x:row r="1460">
      <x:c r="A1460" s="20" t="str">
        <x:v>FIN-00726</x:v>
      </x:c>
      <x:c r="B1460" s="32" t="n">
        <x:v>2</x:v>
      </x:c>
      <x:c r="C1460" s="23" t="n">
        <x:v>46636</x:v>
      </x:c>
      <x:c r="D1460" s="23" t="n">
        <x:v>46636</x:v>
      </x:c>
      <x:c r="E1460" s="20" t="str">
        <x:v>P023</x:v>
      </x:c>
      <x:c r="F1460" s="20" t="str">
        <x:v>U026</x:v>
      </x:c>
      <x:c r="G1460" s="20" t="str">
        <x:v>L026</x:v>
      </x:c>
      <x:c r="H1460" s="20" t="str">
        <x:v>4010 Late Fee Income</x:v>
      </x:c>
      <x:c r="I1460" s="26" t="n">
        <x:v>0</x:v>
      </x:c>
      <x:c r="J1460" s="26" t="n">
        <x:v>50</x:v>
      </x:c>
      <x:c r="K1460" s="35" t="str">
        <x:v>Synthetic lease-authorized late fee</x:v>
      </x:c>
    </x:row>
    <x:row r="1461">
      <x:c r="A1461" s="20" t="str">
        <x:v>FIN-00727</x:v>
      </x:c>
      <x:c r="B1461" s="32" t="n">
        <x:v>1</x:v>
      </x:c>
      <x:c r="C1461" s="23" t="n">
        <x:v>46638</x:v>
      </x:c>
      <x:c r="D1461" s="23" t="n">
        <x:v>46638</x:v>
      </x:c>
      <x:c r="E1461" s="20" t="str">
        <x:v>P023</x:v>
      </x:c>
      <x:c r="F1461" s="20" t="str">
        <x:v>U026</x:v>
      </x:c>
      <x:c r="G1461" s="20" t="str">
        <x:v>L026</x:v>
      </x:c>
      <x:c r="H1461" s="20" t="str">
        <x:v>1000 Operating Cash</x:v>
      </x:c>
      <x:c r="I1461" s="26" t="n">
        <x:v>1350</x:v>
      </x:c>
      <x:c r="J1461" s="26" t="n">
        <x:v>0</x:v>
      </x:c>
      <x:c r="K1461" s="35" t="str">
        <x:v>Receipt allocated to FIN-00726</x:v>
      </x:c>
    </x:row>
    <x:row r="1462">
      <x:c r="A1462" s="20" t="str">
        <x:v>FIN-00727</x:v>
      </x:c>
      <x:c r="B1462" s="32" t="n">
        <x:v>2</x:v>
      </x:c>
      <x:c r="C1462" s="23" t="n">
        <x:v>46638</x:v>
      </x:c>
      <x:c r="D1462" s="23" t="n">
        <x:v>46638</x:v>
      </x:c>
      <x:c r="E1462" s="20" t="str">
        <x:v>P023</x:v>
      </x:c>
      <x:c r="F1462" s="20" t="str">
        <x:v>U026</x:v>
      </x:c>
      <x:c r="G1462" s="20" t="str">
        <x:v>L026</x:v>
      </x:c>
      <x:c r="H1462" s="20" t="str">
        <x:v>1100 Tenant Accounts Receivable</x:v>
      </x:c>
      <x:c r="I1462" s="26" t="n">
        <x:v>0</x:v>
      </x:c>
      <x:c r="J1462" s="26" t="n">
        <x:v>1350</x:v>
      </x:c>
      <x:c r="K1462" s="35" t="str">
        <x:v>Receipt allocated to FIN-00726</x:v>
      </x:c>
    </x:row>
    <x:row r="1463">
      <x:c r="A1463" s="20" t="str">
        <x:v>FIN-00728</x:v>
      </x:c>
      <x:c r="B1463" s="32" t="n">
        <x:v>1</x:v>
      </x:c>
      <x:c r="C1463" s="23" t="n">
        <x:v>46631</x:v>
      </x:c>
      <x:c r="D1463" s="23" t="n">
        <x:v>46631</x:v>
      </x:c>
      <x:c r="E1463" s="20" t="str">
        <x:v>P024</x:v>
      </x:c>
      <x:c r="F1463" s="20" t="str">
        <x:v>U027</x:v>
      </x:c>
      <x:c r="G1463" s="20" t="str">
        <x:v>L027</x:v>
      </x:c>
      <x:c r="H1463" s="20" t="str">
        <x:v>1100 Tenant Accounts Receivable</x:v>
      </x:c>
      <x:c r="I1463" s="26" t="n">
        <x:v>1825</x:v>
      </x:c>
      <x:c r="J1463" s="26" t="n">
        <x:v>0</x:v>
      </x:c>
      <x:c r="K1463" s="35" t="str">
        <x:v>September 2027 rent</x:v>
      </x:c>
    </x:row>
    <x:row r="1464">
      <x:c r="A1464" s="20" t="str">
        <x:v>FIN-00728</x:v>
      </x:c>
      <x:c r="B1464" s="32" t="n">
        <x:v>2</x:v>
      </x:c>
      <x:c r="C1464" s="23" t="n">
        <x:v>46631</x:v>
      </x:c>
      <x:c r="D1464" s="23" t="n">
        <x:v>46631</x:v>
      </x:c>
      <x:c r="E1464" s="20" t="str">
        <x:v>P024</x:v>
      </x:c>
      <x:c r="F1464" s="20" t="str">
        <x:v>U027</x:v>
      </x:c>
      <x:c r="G1464" s="20" t="str">
        <x:v>L027</x:v>
      </x:c>
      <x:c r="H1464" s="20" t="str">
        <x:v>4000 Rental Income</x:v>
      </x:c>
      <x:c r="I1464" s="26" t="n">
        <x:v>0</x:v>
      </x:c>
      <x:c r="J1464" s="26" t="n">
        <x:v>1825</x:v>
      </x:c>
      <x:c r="K1464" s="35" t="str">
        <x:v>September 2027 rent</x:v>
      </x:c>
    </x:row>
    <x:row r="1465">
      <x:c r="A1465" s="20" t="str">
        <x:v>FIN-00729</x:v>
      </x:c>
      <x:c r="B1465" s="32" t="n">
        <x:v>1</x:v>
      </x:c>
      <x:c r="C1465" s="23" t="n">
        <x:v>46633</x:v>
      </x:c>
      <x:c r="D1465" s="23" t="n">
        <x:v>46633</x:v>
      </x:c>
      <x:c r="E1465" s="20" t="str">
        <x:v>P024</x:v>
      </x:c>
      <x:c r="F1465" s="20" t="str">
        <x:v>U027</x:v>
      </x:c>
      <x:c r="G1465" s="20" t="str">
        <x:v>L027</x:v>
      </x:c>
      <x:c r="H1465" s="20" t="str">
        <x:v>1000 Operating Cash</x:v>
      </x:c>
      <x:c r="I1465" s="26" t="n">
        <x:v>1825</x:v>
      </x:c>
      <x:c r="J1465" s="26" t="n">
        <x:v>0</x:v>
      </x:c>
      <x:c r="K1465" s="35" t="str">
        <x:v>Receipt allocated to FIN-00728</x:v>
      </x:c>
    </x:row>
    <x:row r="1466">
      <x:c r="A1466" s="20" t="str">
        <x:v>FIN-00729</x:v>
      </x:c>
      <x:c r="B1466" s="32" t="n">
        <x:v>2</x:v>
      </x:c>
      <x:c r="C1466" s="23" t="n">
        <x:v>46633</x:v>
      </x:c>
      <x:c r="D1466" s="23" t="n">
        <x:v>46633</x:v>
      </x:c>
      <x:c r="E1466" s="20" t="str">
        <x:v>P024</x:v>
      </x:c>
      <x:c r="F1466" s="20" t="str">
        <x:v>U027</x:v>
      </x:c>
      <x:c r="G1466" s="20" t="str">
        <x:v>L027</x:v>
      </x:c>
      <x:c r="H1466" s="20" t="str">
        <x:v>1100 Tenant Accounts Receivable</x:v>
      </x:c>
      <x:c r="I1466" s="26" t="n">
        <x:v>0</x:v>
      </x:c>
      <x:c r="J1466" s="26" t="n">
        <x:v>1825</x:v>
      </x:c>
      <x:c r="K1466" s="35" t="str">
        <x:v>Receipt allocated to FIN-00728</x:v>
      </x:c>
    </x:row>
    <x:row r="1467">
      <x:c r="A1467" s="20" t="str">
        <x:v>FIN-00730</x:v>
      </x:c>
      <x:c r="B1467" s="32" t="n">
        <x:v>1</x:v>
      </x:c>
      <x:c r="C1467" s="23" t="n">
        <x:v>46631</x:v>
      </x:c>
      <x:c r="D1467" s="23" t="n">
        <x:v>46631</x:v>
      </x:c>
      <x:c r="E1467" s="20" t="str">
        <x:v>P024</x:v>
      </x:c>
      <x:c r="F1467" s="20" t="str">
        <x:v>U028</x:v>
      </x:c>
      <x:c r="G1467" s="20" t="str">
        <x:v>L028</x:v>
      </x:c>
      <x:c r="H1467" s="20" t="str">
        <x:v>1100 Tenant Accounts Receivable</x:v>
      </x:c>
      <x:c r="I1467" s="26" t="n">
        <x:v>1450</x:v>
      </x:c>
      <x:c r="J1467" s="26" t="n">
        <x:v>0</x:v>
      </x:c>
      <x:c r="K1467" s="35" t="str">
        <x:v>September 2027 rent</x:v>
      </x:c>
    </x:row>
    <x:row r="1468">
      <x:c r="A1468" s="20" t="str">
        <x:v>FIN-00730</x:v>
      </x:c>
      <x:c r="B1468" s="32" t="n">
        <x:v>2</x:v>
      </x:c>
      <x:c r="C1468" s="23" t="n">
        <x:v>46631</x:v>
      </x:c>
      <x:c r="D1468" s="23" t="n">
        <x:v>46631</x:v>
      </x:c>
      <x:c r="E1468" s="20" t="str">
        <x:v>P024</x:v>
      </x:c>
      <x:c r="F1468" s="20" t="str">
        <x:v>U028</x:v>
      </x:c>
      <x:c r="G1468" s="20" t="str">
        <x:v>L028</x:v>
      </x:c>
      <x:c r="H1468" s="20" t="str">
        <x:v>4000 Rental Income</x:v>
      </x:c>
      <x:c r="I1468" s="26" t="n">
        <x:v>0</x:v>
      </x:c>
      <x:c r="J1468" s="26" t="n">
        <x:v>1450</x:v>
      </x:c>
      <x:c r="K1468" s="35" t="str">
        <x:v>September 2027 rent</x:v>
      </x:c>
    </x:row>
    <x:row r="1469">
      <x:c r="A1469" s="20" t="str">
        <x:v>FIN-00731</x:v>
      </x:c>
      <x:c r="B1469" s="32" t="n">
        <x:v>1</x:v>
      </x:c>
      <x:c r="C1469" s="23" t="n">
        <x:v>46634</x:v>
      </x:c>
      <x:c r="D1469" s="23" t="n">
        <x:v>46634</x:v>
      </x:c>
      <x:c r="E1469" s="20" t="str">
        <x:v>P024</x:v>
      </x:c>
      <x:c r="F1469" s="20" t="str">
        <x:v>U028</x:v>
      </x:c>
      <x:c r="G1469" s="20" t="str">
        <x:v>L028</x:v>
      </x:c>
      <x:c r="H1469" s="20" t="str">
        <x:v>1000 Operating Cash</x:v>
      </x:c>
      <x:c r="I1469" s="26" t="n">
        <x:v>1450</x:v>
      </x:c>
      <x:c r="J1469" s="26" t="n">
        <x:v>0</x:v>
      </x:c>
      <x:c r="K1469" s="35" t="str">
        <x:v>Receipt allocated to FIN-00730</x:v>
      </x:c>
    </x:row>
    <x:row r="1470">
      <x:c r="A1470" s="20" t="str">
        <x:v>FIN-00731</x:v>
      </x:c>
      <x:c r="B1470" s="32" t="n">
        <x:v>2</x:v>
      </x:c>
      <x:c r="C1470" s="23" t="n">
        <x:v>46634</x:v>
      </x:c>
      <x:c r="D1470" s="23" t="n">
        <x:v>46634</x:v>
      </x:c>
      <x:c r="E1470" s="20" t="str">
        <x:v>P024</x:v>
      </x:c>
      <x:c r="F1470" s="20" t="str">
        <x:v>U028</x:v>
      </x:c>
      <x:c r="G1470" s="20" t="str">
        <x:v>L028</x:v>
      </x:c>
      <x:c r="H1470" s="20" t="str">
        <x:v>1100 Tenant Accounts Receivable</x:v>
      </x:c>
      <x:c r="I1470" s="26" t="n">
        <x:v>0</x:v>
      </x:c>
      <x:c r="J1470" s="26" t="n">
        <x:v>1450</x:v>
      </x:c>
      <x:c r="K1470" s="35" t="str">
        <x:v>Receipt allocated to FIN-00730</x:v>
      </x:c>
    </x:row>
    <x:row r="1471">
      <x:c r="A1471" s="20" t="str">
        <x:v>FIN-00732</x:v>
      </x:c>
      <x:c r="B1471" s="32" t="n">
        <x:v>1</x:v>
      </x:c>
      <x:c r="C1471" s="23" t="n">
        <x:v>46631</x:v>
      </x:c>
      <x:c r="D1471" s="23" t="n">
        <x:v>46631</x:v>
      </x:c>
      <x:c r="E1471" s="20" t="str">
        <x:v>P025</x:v>
      </x:c>
      <x:c r="F1471" s="20" t="str">
        <x:v>U029</x:v>
      </x:c>
      <x:c r="G1471" s="20" t="str">
        <x:v>L029</x:v>
      </x:c>
      <x:c r="H1471" s="20" t="str">
        <x:v>1100 Tenant Accounts Receivable</x:v>
      </x:c>
      <x:c r="I1471" s="26" t="n">
        <x:v>1975</x:v>
      </x:c>
      <x:c r="J1471" s="26" t="n">
        <x:v>0</x:v>
      </x:c>
      <x:c r="K1471" s="35" t="str">
        <x:v>September 2027 rent</x:v>
      </x:c>
    </x:row>
    <x:row r="1472">
      <x:c r="A1472" s="20" t="str">
        <x:v>FIN-00732</x:v>
      </x:c>
      <x:c r="B1472" s="32" t="n">
        <x:v>2</x:v>
      </x:c>
      <x:c r="C1472" s="23" t="n">
        <x:v>46631</x:v>
      </x:c>
      <x:c r="D1472" s="23" t="n">
        <x:v>46631</x:v>
      </x:c>
      <x:c r="E1472" s="20" t="str">
        <x:v>P025</x:v>
      </x:c>
      <x:c r="F1472" s="20" t="str">
        <x:v>U029</x:v>
      </x:c>
      <x:c r="G1472" s="20" t="str">
        <x:v>L029</x:v>
      </x:c>
      <x:c r="H1472" s="20" t="str">
        <x:v>4000 Rental Income</x:v>
      </x:c>
      <x:c r="I1472" s="26" t="n">
        <x:v>0</x:v>
      </x:c>
      <x:c r="J1472" s="26" t="n">
        <x:v>1975</x:v>
      </x:c>
      <x:c r="K1472" s="35" t="str">
        <x:v>September 2027 rent</x:v>
      </x:c>
    </x:row>
    <x:row r="1473">
      <x:c r="A1473" s="20" t="str">
        <x:v>FIN-00733</x:v>
      </x:c>
      <x:c r="B1473" s="32" t="n">
        <x:v>1</x:v>
      </x:c>
      <x:c r="C1473" s="23" t="n">
        <x:v>46635</x:v>
      </x:c>
      <x:c r="D1473" s="23" t="n">
        <x:v>46635</x:v>
      </x:c>
      <x:c r="E1473" s="20" t="str">
        <x:v>P025</x:v>
      </x:c>
      <x:c r="F1473" s="20" t="str">
        <x:v>U029</x:v>
      </x:c>
      <x:c r="G1473" s="20" t="str">
        <x:v>L029</x:v>
      </x:c>
      <x:c r="H1473" s="20" t="str">
        <x:v>1000 Operating Cash</x:v>
      </x:c>
      <x:c r="I1473" s="26" t="n">
        <x:v>1975</x:v>
      </x:c>
      <x:c r="J1473" s="26" t="n">
        <x:v>0</x:v>
      </x:c>
      <x:c r="K1473" s="35" t="str">
        <x:v>Receipt allocated to FIN-00732</x:v>
      </x:c>
    </x:row>
    <x:row r="1474">
      <x:c r="A1474" s="20" t="str">
        <x:v>FIN-00733</x:v>
      </x:c>
      <x:c r="B1474" s="32" t="n">
        <x:v>2</x:v>
      </x:c>
      <x:c r="C1474" s="23" t="n">
        <x:v>46635</x:v>
      </x:c>
      <x:c r="D1474" s="23" t="n">
        <x:v>46635</x:v>
      </x:c>
      <x:c r="E1474" s="20" t="str">
        <x:v>P025</x:v>
      </x:c>
      <x:c r="F1474" s="20" t="str">
        <x:v>U029</x:v>
      </x:c>
      <x:c r="G1474" s="20" t="str">
        <x:v>L029</x:v>
      </x:c>
      <x:c r="H1474" s="20" t="str">
        <x:v>1100 Tenant Accounts Receivable</x:v>
      </x:c>
      <x:c r="I1474" s="26" t="n">
        <x:v>0</x:v>
      </x:c>
      <x:c r="J1474" s="26" t="n">
        <x:v>1975</x:v>
      </x:c>
      <x:c r="K1474" s="35" t="str">
        <x:v>Receipt allocated to FIN-00732</x:v>
      </x:c>
    </x:row>
    <x:row r="1475">
      <x:c r="A1475" s="20" t="str">
        <x:v>FIN-00734</x:v>
      </x:c>
      <x:c r="B1475" s="32" t="n">
        <x:v>1</x:v>
      </x:c>
      <x:c r="C1475" s="23" t="n">
        <x:v>46631</x:v>
      </x:c>
      <x:c r="D1475" s="23" t="n">
        <x:v>46631</x:v>
      </x:c>
      <x:c r="E1475" s="20" t="str">
        <x:v>P025</x:v>
      </x:c>
      <x:c r="F1475" s="20" t="str">
        <x:v>U030</x:v>
      </x:c>
      <x:c r="G1475" s="20" t="str">
        <x:v>L030</x:v>
      </x:c>
      <x:c r="H1475" s="20" t="str">
        <x:v>1100 Tenant Accounts Receivable</x:v>
      </x:c>
      <x:c r="I1475" s="26" t="n">
        <x:v>1600</x:v>
      </x:c>
      <x:c r="J1475" s="26" t="n">
        <x:v>0</x:v>
      </x:c>
      <x:c r="K1475" s="35" t="str">
        <x:v>September 2027 rent</x:v>
      </x:c>
    </x:row>
    <x:row r="1476">
      <x:c r="A1476" s="20" t="str">
        <x:v>FIN-00734</x:v>
      </x:c>
      <x:c r="B1476" s="32" t="n">
        <x:v>2</x:v>
      </x:c>
      <x:c r="C1476" s="23" t="n">
        <x:v>46631</x:v>
      </x:c>
      <x:c r="D1476" s="23" t="n">
        <x:v>46631</x:v>
      </x:c>
      <x:c r="E1476" s="20" t="str">
        <x:v>P025</x:v>
      </x:c>
      <x:c r="F1476" s="20" t="str">
        <x:v>U030</x:v>
      </x:c>
      <x:c r="G1476" s="20" t="str">
        <x:v>L030</x:v>
      </x:c>
      <x:c r="H1476" s="20" t="str">
        <x:v>4000 Rental Income</x:v>
      </x:c>
      <x:c r="I1476" s="26" t="n">
        <x:v>0</x:v>
      </x:c>
      <x:c r="J1476" s="26" t="n">
        <x:v>1600</x:v>
      </x:c>
      <x:c r="K1476" s="35" t="str">
        <x:v>September 2027 rent</x:v>
      </x:c>
    </x:row>
    <x:row r="1477">
      <x:c r="A1477" s="20" t="str">
        <x:v>FIN-00735</x:v>
      </x:c>
      <x:c r="B1477" s="32" t="n">
        <x:v>1</x:v>
      </x:c>
      <x:c r="C1477" s="23" t="n">
        <x:v>46633</x:v>
      </x:c>
      <x:c r="D1477" s="23" t="n">
        <x:v>46633</x:v>
      </x:c>
      <x:c r="E1477" s="20" t="str">
        <x:v>P025</x:v>
      </x:c>
      <x:c r="F1477" s="20" t="str">
        <x:v>U030</x:v>
      </x:c>
      <x:c r="G1477" s="20" t="str">
        <x:v>L030</x:v>
      </x:c>
      <x:c r="H1477" s="20" t="str">
        <x:v>1000 Operating Cash</x:v>
      </x:c>
      <x:c r="I1477" s="26" t="n">
        <x:v>1600</x:v>
      </x:c>
      <x:c r="J1477" s="26" t="n">
        <x:v>0</x:v>
      </x:c>
      <x:c r="K1477" s="35" t="str">
        <x:v>Receipt allocated to FIN-00734</x:v>
      </x:c>
    </x:row>
    <x:row r="1478">
      <x:c r="A1478" s="20" t="str">
        <x:v>FIN-00735</x:v>
      </x:c>
      <x:c r="B1478" s="32" t="n">
        <x:v>2</x:v>
      </x:c>
      <x:c r="C1478" s="23" t="n">
        <x:v>46633</x:v>
      </x:c>
      <x:c r="D1478" s="23" t="n">
        <x:v>46633</x:v>
      </x:c>
      <x:c r="E1478" s="20" t="str">
        <x:v>P025</x:v>
      </x:c>
      <x:c r="F1478" s="20" t="str">
        <x:v>U030</x:v>
      </x:c>
      <x:c r="G1478" s="20" t="str">
        <x:v>L030</x:v>
      </x:c>
      <x:c r="H1478" s="20" t="str">
        <x:v>1100 Tenant Accounts Receivable</x:v>
      </x:c>
      <x:c r="I1478" s="26" t="n">
        <x:v>0</x:v>
      </x:c>
      <x:c r="J1478" s="26" t="n">
        <x:v>1600</x:v>
      </x:c>
      <x:c r="K1478" s="35" t="str">
        <x:v>Receipt allocated to FIN-00734</x:v>
      </x:c>
    </x:row>
    <x:row r="1479">
      <x:c r="A1479" s="20" t="str">
        <x:v>FIN-00736</x:v>
      </x:c>
      <x:c r="B1479" s="32" t="n">
        <x:v>1</x:v>
      </x:c>
      <x:c r="C1479" s="23" t="n">
        <x:v>46631</x:v>
      </x:c>
      <x:c r="D1479" s="23" t="n">
        <x:v>46631</x:v>
      </x:c>
      <x:c r="E1479" s="20" t="str">
        <x:v>P026</x:v>
      </x:c>
      <x:c r="F1479" s="20" t="str">
        <x:v>U031</x:v>
      </x:c>
      <x:c r="G1479" s="20" t="str">
        <x:v>L031</x:v>
      </x:c>
      <x:c r="H1479" s="20" t="str">
        <x:v>1100 Tenant Accounts Receivable</x:v>
      </x:c>
      <x:c r="I1479" s="26" t="n">
        <x:v>1225</x:v>
      </x:c>
      <x:c r="J1479" s="26" t="n">
        <x:v>0</x:v>
      </x:c>
      <x:c r="K1479" s="35" t="str">
        <x:v>September 2027 rent</x:v>
      </x:c>
    </x:row>
    <x:row r="1480">
      <x:c r="A1480" s="20" t="str">
        <x:v>FIN-00736</x:v>
      </x:c>
      <x:c r="B1480" s="32" t="n">
        <x:v>2</x:v>
      </x:c>
      <x:c r="C1480" s="23" t="n">
        <x:v>46631</x:v>
      </x:c>
      <x:c r="D1480" s="23" t="n">
        <x:v>46631</x:v>
      </x:c>
      <x:c r="E1480" s="20" t="str">
        <x:v>P026</x:v>
      </x:c>
      <x:c r="F1480" s="20" t="str">
        <x:v>U031</x:v>
      </x:c>
      <x:c r="G1480" s="20" t="str">
        <x:v>L031</x:v>
      </x:c>
      <x:c r="H1480" s="20" t="str">
        <x:v>4000 Rental Income</x:v>
      </x:c>
      <x:c r="I1480" s="26" t="n">
        <x:v>0</x:v>
      </x:c>
      <x:c r="J1480" s="26" t="n">
        <x:v>1225</x:v>
      </x:c>
      <x:c r="K1480" s="35" t="str">
        <x:v>September 2027 rent</x:v>
      </x:c>
    </x:row>
    <x:row r="1481">
      <x:c r="A1481" s="20" t="str">
        <x:v>FIN-00737</x:v>
      </x:c>
      <x:c r="B1481" s="32" t="n">
        <x:v>1</x:v>
      </x:c>
      <x:c r="C1481" s="23" t="n">
        <x:v>46634</x:v>
      </x:c>
      <x:c r="D1481" s="23" t="n">
        <x:v>46634</x:v>
      </x:c>
      <x:c r="E1481" s="20" t="str">
        <x:v>P026</x:v>
      </x:c>
      <x:c r="F1481" s="20" t="str">
        <x:v>U031</x:v>
      </x:c>
      <x:c r="G1481" s="20" t="str">
        <x:v>L031</x:v>
      </x:c>
      <x:c r="H1481" s="20" t="str">
        <x:v>1000 Operating Cash</x:v>
      </x:c>
      <x:c r="I1481" s="26" t="n">
        <x:v>1225</x:v>
      </x:c>
      <x:c r="J1481" s="26" t="n">
        <x:v>0</x:v>
      </x:c>
      <x:c r="K1481" s="35" t="str">
        <x:v>Receipt allocated to FIN-00736</x:v>
      </x:c>
    </x:row>
    <x:row r="1482">
      <x:c r="A1482" s="20" t="str">
        <x:v>FIN-00737</x:v>
      </x:c>
      <x:c r="B1482" s="32" t="n">
        <x:v>2</x:v>
      </x:c>
      <x:c r="C1482" s="23" t="n">
        <x:v>46634</x:v>
      </x:c>
      <x:c r="D1482" s="23" t="n">
        <x:v>46634</x:v>
      </x:c>
      <x:c r="E1482" s="20" t="str">
        <x:v>P026</x:v>
      </x:c>
      <x:c r="F1482" s="20" t="str">
        <x:v>U031</x:v>
      </x:c>
      <x:c r="G1482" s="20" t="str">
        <x:v>L031</x:v>
      </x:c>
      <x:c r="H1482" s="20" t="str">
        <x:v>1100 Tenant Accounts Receivable</x:v>
      </x:c>
      <x:c r="I1482" s="26" t="n">
        <x:v>0</x:v>
      </x:c>
      <x:c r="J1482" s="26" t="n">
        <x:v>1225</x:v>
      </x:c>
      <x:c r="K1482" s="35" t="str">
        <x:v>Receipt allocated to FIN-00736</x:v>
      </x:c>
    </x:row>
    <x:row r="1483">
      <x:c r="A1483" s="20" t="str">
        <x:v>FIN-00738</x:v>
      </x:c>
      <x:c r="B1483" s="32" t="n">
        <x:v>1</x:v>
      </x:c>
      <x:c r="C1483" s="23" t="n">
        <x:v>46631</x:v>
      </x:c>
      <x:c r="D1483" s="23" t="n">
        <x:v>46631</x:v>
      </x:c>
      <x:c r="E1483" s="20" t="str">
        <x:v>P026</x:v>
      </x:c>
      <x:c r="F1483" s="20" t="str">
        <x:v>U032</x:v>
      </x:c>
      <x:c r="G1483" s="20" t="str">
        <x:v>L032</x:v>
      </x:c>
      <x:c r="H1483" s="20" t="str">
        <x:v>1100 Tenant Accounts Receivable</x:v>
      </x:c>
      <x:c r="I1483" s="26" t="n">
        <x:v>1750</x:v>
      </x:c>
      <x:c r="J1483" s="26" t="n">
        <x:v>0</x:v>
      </x:c>
      <x:c r="K1483" s="35" t="str">
        <x:v>September 2027 rent</x:v>
      </x:c>
    </x:row>
    <x:row r="1484">
      <x:c r="A1484" s="20" t="str">
        <x:v>FIN-00738</x:v>
      </x:c>
      <x:c r="B1484" s="32" t="n">
        <x:v>2</x:v>
      </x:c>
      <x:c r="C1484" s="23" t="n">
        <x:v>46631</x:v>
      </x:c>
      <x:c r="D1484" s="23" t="n">
        <x:v>46631</x:v>
      </x:c>
      <x:c r="E1484" s="20" t="str">
        <x:v>P026</x:v>
      </x:c>
      <x:c r="F1484" s="20" t="str">
        <x:v>U032</x:v>
      </x:c>
      <x:c r="G1484" s="20" t="str">
        <x:v>L032</x:v>
      </x:c>
      <x:c r="H1484" s="20" t="str">
        <x:v>4000 Rental Income</x:v>
      </x:c>
      <x:c r="I1484" s="26" t="n">
        <x:v>0</x:v>
      </x:c>
      <x:c r="J1484" s="26" t="n">
        <x:v>1750</x:v>
      </x:c>
      <x:c r="K1484" s="35" t="str">
        <x:v>September 2027 rent</x:v>
      </x:c>
    </x:row>
    <x:row r="1485">
      <x:c r="A1485" s="20" t="str">
        <x:v>FIN-00739</x:v>
      </x:c>
      <x:c r="B1485" s="32" t="n">
        <x:v>1</x:v>
      </x:c>
      <x:c r="C1485" s="23" t="n">
        <x:v>46635</x:v>
      </x:c>
      <x:c r="D1485" s="23" t="n">
        <x:v>46635</x:v>
      </x:c>
      <x:c r="E1485" s="20" t="str">
        <x:v>P026</x:v>
      </x:c>
      <x:c r="F1485" s="20" t="str">
        <x:v>U032</x:v>
      </x:c>
      <x:c r="G1485" s="20" t="str">
        <x:v>L032</x:v>
      </x:c>
      <x:c r="H1485" s="20" t="str">
        <x:v>1000 Operating Cash</x:v>
      </x:c>
      <x:c r="I1485" s="26" t="n">
        <x:v>1750</x:v>
      </x:c>
      <x:c r="J1485" s="26" t="n">
        <x:v>0</x:v>
      </x:c>
      <x:c r="K1485" s="35" t="str">
        <x:v>Receipt allocated to FIN-00738</x:v>
      </x:c>
    </x:row>
    <x:row r="1486">
      <x:c r="A1486" s="20" t="str">
        <x:v>FIN-00739</x:v>
      </x:c>
      <x:c r="B1486" s="32" t="n">
        <x:v>2</x:v>
      </x:c>
      <x:c r="C1486" s="23" t="n">
        <x:v>46635</x:v>
      </x:c>
      <x:c r="D1486" s="23" t="n">
        <x:v>46635</x:v>
      </x:c>
      <x:c r="E1486" s="20" t="str">
        <x:v>P026</x:v>
      </x:c>
      <x:c r="F1486" s="20" t="str">
        <x:v>U032</x:v>
      </x:c>
      <x:c r="G1486" s="20" t="str">
        <x:v>L032</x:v>
      </x:c>
      <x:c r="H1486" s="20" t="str">
        <x:v>1100 Tenant Accounts Receivable</x:v>
      </x:c>
      <x:c r="I1486" s="26" t="n">
        <x:v>0</x:v>
      </x:c>
      <x:c r="J1486" s="26" t="n">
        <x:v>1750</x:v>
      </x:c>
      <x:c r="K1486" s="35" t="str">
        <x:v>Receipt allocated to FIN-00738</x:v>
      </x:c>
    </x:row>
    <x:row r="1487">
      <x:c r="A1487" s="20" t="str">
        <x:v>FIN-00740</x:v>
      </x:c>
      <x:c r="B1487" s="32" t="n">
        <x:v>1</x:v>
      </x:c>
      <x:c r="C1487" s="23" t="n">
        <x:v>46631</x:v>
      </x:c>
      <x:c r="D1487" s="23" t="n">
        <x:v>46631</x:v>
      </x:c>
      <x:c r="E1487" s="20" t="str">
        <x:v>P027</x:v>
      </x:c>
      <x:c r="F1487" s="20" t="str">
        <x:v>U033</x:v>
      </x:c>
      <x:c r="G1487" s="20" t="str">
        <x:v>L033</x:v>
      </x:c>
      <x:c r="H1487" s="20" t="str">
        <x:v>1100 Tenant Accounts Receivable</x:v>
      </x:c>
      <x:c r="I1487" s="26" t="n">
        <x:v>1375</x:v>
      </x:c>
      <x:c r="J1487" s="26" t="n">
        <x:v>0</x:v>
      </x:c>
      <x:c r="K1487" s="35" t="str">
        <x:v>September 2027 rent</x:v>
      </x:c>
    </x:row>
    <x:row r="1488">
      <x:c r="A1488" s="20" t="str">
        <x:v>FIN-00740</x:v>
      </x:c>
      <x:c r="B1488" s="32" t="n">
        <x:v>2</x:v>
      </x:c>
      <x:c r="C1488" s="23" t="n">
        <x:v>46631</x:v>
      </x:c>
      <x:c r="D1488" s="23" t="n">
        <x:v>46631</x:v>
      </x:c>
      <x:c r="E1488" s="20" t="str">
        <x:v>P027</x:v>
      </x:c>
      <x:c r="F1488" s="20" t="str">
        <x:v>U033</x:v>
      </x:c>
      <x:c r="G1488" s="20" t="str">
        <x:v>L033</x:v>
      </x:c>
      <x:c r="H1488" s="20" t="str">
        <x:v>4000 Rental Income</x:v>
      </x:c>
      <x:c r="I1488" s="26" t="n">
        <x:v>0</x:v>
      </x:c>
      <x:c r="J1488" s="26" t="n">
        <x:v>1375</x:v>
      </x:c>
      <x:c r="K1488" s="35" t="str">
        <x:v>September 2027 rent</x:v>
      </x:c>
    </x:row>
    <x:row r="1489">
      <x:c r="A1489" s="20" t="str">
        <x:v>FIN-00741</x:v>
      </x:c>
      <x:c r="B1489" s="32" t="n">
        <x:v>1</x:v>
      </x:c>
      <x:c r="C1489" s="23" t="n">
        <x:v>46633</x:v>
      </x:c>
      <x:c r="D1489" s="23" t="n">
        <x:v>46633</x:v>
      </x:c>
      <x:c r="E1489" s="20" t="str">
        <x:v>P027</x:v>
      </x:c>
      <x:c r="F1489" s="20" t="str">
        <x:v>U033</x:v>
      </x:c>
      <x:c r="G1489" s="20" t="str">
        <x:v>L033</x:v>
      </x:c>
      <x:c r="H1489" s="20" t="str">
        <x:v>1000 Operating Cash</x:v>
      </x:c>
      <x:c r="I1489" s="26" t="n">
        <x:v>825</x:v>
      </x:c>
      <x:c r="J1489" s="26" t="n">
        <x:v>0</x:v>
      </x:c>
      <x:c r="K1489" s="35" t="str">
        <x:v>Receipt allocated to FIN-00740</x:v>
      </x:c>
    </x:row>
    <x:row r="1490">
      <x:c r="A1490" s="20" t="str">
        <x:v>FIN-00741</x:v>
      </x:c>
      <x:c r="B1490" s="32" t="n">
        <x:v>2</x:v>
      </x:c>
      <x:c r="C1490" s="23" t="n">
        <x:v>46633</x:v>
      </x:c>
      <x:c r="D1490" s="23" t="n">
        <x:v>46633</x:v>
      </x:c>
      <x:c r="E1490" s="20" t="str">
        <x:v>P027</x:v>
      </x:c>
      <x:c r="F1490" s="20" t="str">
        <x:v>U033</x:v>
      </x:c>
      <x:c r="G1490" s="20" t="str">
        <x:v>L033</x:v>
      </x:c>
      <x:c r="H1490" s="20" t="str">
        <x:v>1100 Tenant Accounts Receivable</x:v>
      </x:c>
      <x:c r="I1490" s="26" t="n">
        <x:v>0</x:v>
      </x:c>
      <x:c r="J1490" s="26" t="n">
        <x:v>825</x:v>
      </x:c>
      <x:c r="K1490" s="35" t="str">
        <x:v>Receipt allocated to FIN-00740</x:v>
      </x:c>
    </x:row>
    <x:row r="1491">
      <x:c r="A1491" s="20" t="str">
        <x:v>FIN-00742</x:v>
      </x:c>
      <x:c r="B1491" s="32" t="n">
        <x:v>1</x:v>
      </x:c>
      <x:c r="C1491" s="23" t="n">
        <x:v>46636</x:v>
      </x:c>
      <x:c r="D1491" s="23" t="n">
        <x:v>46636</x:v>
      </x:c>
      <x:c r="E1491" s="20" t="str">
        <x:v>P027</x:v>
      </x:c>
      <x:c r="F1491" s="20" t="str">
        <x:v>U033</x:v>
      </x:c>
      <x:c r="G1491" s="20" t="str">
        <x:v>L033</x:v>
      </x:c>
      <x:c r="H1491" s="20" t="str">
        <x:v>1100 Tenant Accounts Receivable</x:v>
      </x:c>
      <x:c r="I1491" s="26" t="n">
        <x:v>50</x:v>
      </x:c>
      <x:c r="J1491" s="26" t="n">
        <x:v>0</x:v>
      </x:c>
      <x:c r="K1491" s="35" t="str">
        <x:v>Synthetic lease-authorized late fee after partial payment</x:v>
      </x:c>
    </x:row>
    <x:row r="1492">
      <x:c r="A1492" s="20" t="str">
        <x:v>FIN-00742</x:v>
      </x:c>
      <x:c r="B1492" s="32" t="n">
        <x:v>2</x:v>
      </x:c>
      <x:c r="C1492" s="23" t="n">
        <x:v>46636</x:v>
      </x:c>
      <x:c r="D1492" s="23" t="n">
        <x:v>46636</x:v>
      </x:c>
      <x:c r="E1492" s="20" t="str">
        <x:v>P027</x:v>
      </x:c>
      <x:c r="F1492" s="20" t="str">
        <x:v>U033</x:v>
      </x:c>
      <x:c r="G1492" s="20" t="str">
        <x:v>L033</x:v>
      </x:c>
      <x:c r="H1492" s="20" t="str">
        <x:v>4010 Late Fee Income</x:v>
      </x:c>
      <x:c r="I1492" s="26" t="n">
        <x:v>0</x:v>
      </x:c>
      <x:c r="J1492" s="26" t="n">
        <x:v>50</x:v>
      </x:c>
      <x:c r="K1492" s="35" t="str">
        <x:v>Synthetic lease-authorized late fee after partial payment</x:v>
      </x:c>
    </x:row>
    <x:row r="1493">
      <x:c r="A1493" s="20" t="str">
        <x:v>FIN-00743</x:v>
      </x:c>
      <x:c r="B1493" s="32" t="n">
        <x:v>1</x:v>
      </x:c>
      <x:c r="C1493" s="23" t="n">
        <x:v>46642</x:v>
      </x:c>
      <x:c r="D1493" s="23" t="n">
        <x:v>46642</x:v>
      </x:c>
      <x:c r="E1493" s="20" t="str">
        <x:v>P027</x:v>
      </x:c>
      <x:c r="F1493" s="20" t="str">
        <x:v>U033</x:v>
      </x:c>
      <x:c r="G1493" s="20" t="str">
        <x:v>L033</x:v>
      </x:c>
      <x:c r="H1493" s="20" t="str">
        <x:v>1000 Operating Cash</x:v>
      </x:c>
      <x:c r="I1493" s="26" t="n">
        <x:v>600</x:v>
      </x:c>
      <x:c r="J1493" s="26" t="n">
        <x:v>0</x:v>
      </x:c>
      <x:c r="K1493" s="35" t="str">
        <x:v>Receipt allocated to FIN-00742</x:v>
      </x:c>
    </x:row>
    <x:row r="1494">
      <x:c r="A1494" s="20" t="str">
        <x:v>FIN-00743</x:v>
      </x:c>
      <x:c r="B1494" s="32" t="n">
        <x:v>2</x:v>
      </x:c>
      <x:c r="C1494" s="23" t="n">
        <x:v>46642</x:v>
      </x:c>
      <x:c r="D1494" s="23" t="n">
        <x:v>46642</x:v>
      </x:c>
      <x:c r="E1494" s="20" t="str">
        <x:v>P027</x:v>
      </x:c>
      <x:c r="F1494" s="20" t="str">
        <x:v>U033</x:v>
      </x:c>
      <x:c r="G1494" s="20" t="str">
        <x:v>L033</x:v>
      </x:c>
      <x:c r="H1494" s="20" t="str">
        <x:v>1100 Tenant Accounts Receivable</x:v>
      </x:c>
      <x:c r="I1494" s="26" t="n">
        <x:v>0</x:v>
      </x:c>
      <x:c r="J1494" s="26" t="n">
        <x:v>600</x:v>
      </x:c>
      <x:c r="K1494" s="35" t="str">
        <x:v>Receipt allocated to FIN-00742</x:v>
      </x:c>
    </x:row>
    <x:row r="1495">
      <x:c r="A1495" s="20" t="str">
        <x:v>FIN-00744</x:v>
      </x:c>
      <x:c r="B1495" s="32" t="n">
        <x:v>1</x:v>
      </x:c>
      <x:c r="C1495" s="23" t="n">
        <x:v>46631</x:v>
      </x:c>
      <x:c r="D1495" s="23" t="n">
        <x:v>46631</x:v>
      </x:c>
      <x:c r="E1495" s="20" t="str">
        <x:v>P027</x:v>
      </x:c>
      <x:c r="F1495" s="20" t="str">
        <x:v>U034</x:v>
      </x:c>
      <x:c r="G1495" s="20" t="str">
        <x:v>L034</x:v>
      </x:c>
      <x:c r="H1495" s="20" t="str">
        <x:v>1100 Tenant Accounts Receivable</x:v>
      </x:c>
      <x:c r="I1495" s="26" t="n">
        <x:v>1900</x:v>
      </x:c>
      <x:c r="J1495" s="26" t="n">
        <x:v>0</x:v>
      </x:c>
      <x:c r="K1495" s="35" t="str">
        <x:v>September 2027 rent</x:v>
      </x:c>
    </x:row>
    <x:row r="1496">
      <x:c r="A1496" s="20" t="str">
        <x:v>FIN-00744</x:v>
      </x:c>
      <x:c r="B1496" s="32" t="n">
        <x:v>2</x:v>
      </x:c>
      <x:c r="C1496" s="23" t="n">
        <x:v>46631</x:v>
      </x:c>
      <x:c r="D1496" s="23" t="n">
        <x:v>46631</x:v>
      </x:c>
      <x:c r="E1496" s="20" t="str">
        <x:v>P027</x:v>
      </x:c>
      <x:c r="F1496" s="20" t="str">
        <x:v>U034</x:v>
      </x:c>
      <x:c r="G1496" s="20" t="str">
        <x:v>L034</x:v>
      </x:c>
      <x:c r="H1496" s="20" t="str">
        <x:v>4000 Rental Income</x:v>
      </x:c>
      <x:c r="I1496" s="26" t="n">
        <x:v>0</x:v>
      </x:c>
      <x:c r="J1496" s="26" t="n">
        <x:v>1900</x:v>
      </x:c>
      <x:c r="K1496" s="35" t="str">
        <x:v>September 2027 rent</x:v>
      </x:c>
    </x:row>
    <x:row r="1497">
      <x:c r="A1497" s="20" t="str">
        <x:v>FIN-00745</x:v>
      </x:c>
      <x:c r="B1497" s="32" t="n">
        <x:v>1</x:v>
      </x:c>
      <x:c r="C1497" s="23" t="n">
        <x:v>46634</x:v>
      </x:c>
      <x:c r="D1497" s="23" t="n">
        <x:v>46634</x:v>
      </x:c>
      <x:c r="E1497" s="20" t="str">
        <x:v>P027</x:v>
      </x:c>
      <x:c r="F1497" s="20" t="str">
        <x:v>U034</x:v>
      </x:c>
      <x:c r="G1497" s="20" t="str">
        <x:v>L034</x:v>
      </x:c>
      <x:c r="H1497" s="20" t="str">
        <x:v>1000 Operating Cash</x:v>
      </x:c>
      <x:c r="I1497" s="26" t="n">
        <x:v>1900</x:v>
      </x:c>
      <x:c r="J1497" s="26" t="n">
        <x:v>0</x:v>
      </x:c>
      <x:c r="K1497" s="35" t="str">
        <x:v>Receipt allocated to FIN-00744</x:v>
      </x:c>
    </x:row>
    <x:row r="1498">
      <x:c r="A1498" s="20" t="str">
        <x:v>FIN-00745</x:v>
      </x:c>
      <x:c r="B1498" s="32" t="n">
        <x:v>2</x:v>
      </x:c>
      <x:c r="C1498" s="23" t="n">
        <x:v>46634</x:v>
      </x:c>
      <x:c r="D1498" s="23" t="n">
        <x:v>46634</x:v>
      </x:c>
      <x:c r="E1498" s="20" t="str">
        <x:v>P027</x:v>
      </x:c>
      <x:c r="F1498" s="20" t="str">
        <x:v>U034</x:v>
      </x:c>
      <x:c r="G1498" s="20" t="str">
        <x:v>L034</x:v>
      </x:c>
      <x:c r="H1498" s="20" t="str">
        <x:v>1100 Tenant Accounts Receivable</x:v>
      </x:c>
      <x:c r="I1498" s="26" t="n">
        <x:v>0</x:v>
      </x:c>
      <x:c r="J1498" s="26" t="n">
        <x:v>1900</x:v>
      </x:c>
      <x:c r="K1498" s="35" t="str">
        <x:v>Receipt allocated to FIN-00744</x:v>
      </x:c>
    </x:row>
    <x:row r="1499">
      <x:c r="A1499" s="20" t="str">
        <x:v>FIN-00746</x:v>
      </x:c>
      <x:c r="B1499" s="32" t="n">
        <x:v>1</x:v>
      </x:c>
      <x:c r="C1499" s="23" t="n">
        <x:v>46631</x:v>
      </x:c>
      <x:c r="D1499" s="23" t="n">
        <x:v>46631</x:v>
      </x:c>
      <x:c r="E1499" s="20" t="str">
        <x:v>P028</x:v>
      </x:c>
      <x:c r="F1499" s="20" t="str">
        <x:v>U035</x:v>
      </x:c>
      <x:c r="G1499" s="20" t="str">
        <x:v>L035</x:v>
      </x:c>
      <x:c r="H1499" s="20" t="str">
        <x:v>1100 Tenant Accounts Receivable</x:v>
      </x:c>
      <x:c r="I1499" s="26" t="n">
        <x:v>1525</x:v>
      </x:c>
      <x:c r="J1499" s="26" t="n">
        <x:v>0</x:v>
      </x:c>
      <x:c r="K1499" s="35" t="str">
        <x:v>September 2027 rent</x:v>
      </x:c>
    </x:row>
    <x:row r="1500">
      <x:c r="A1500" s="20" t="str">
        <x:v>FIN-00746</x:v>
      </x:c>
      <x:c r="B1500" s="32" t="n">
        <x:v>2</x:v>
      </x:c>
      <x:c r="C1500" s="23" t="n">
        <x:v>46631</x:v>
      </x:c>
      <x:c r="D1500" s="23" t="n">
        <x:v>46631</x:v>
      </x:c>
      <x:c r="E1500" s="20" t="str">
        <x:v>P028</x:v>
      </x:c>
      <x:c r="F1500" s="20" t="str">
        <x:v>U035</x:v>
      </x:c>
      <x:c r="G1500" s="20" t="str">
        <x:v>L035</x:v>
      </x:c>
      <x:c r="H1500" s="20" t="str">
        <x:v>4000 Rental Income</x:v>
      </x:c>
      <x:c r="I1500" s="26" t="n">
        <x:v>0</x:v>
      </x:c>
      <x:c r="J1500" s="26" t="n">
        <x:v>1525</x:v>
      </x:c>
      <x:c r="K1500" s="35" t="str">
        <x:v>September 2027 rent</x:v>
      </x:c>
    </x:row>
    <x:row r="1501">
      <x:c r="A1501" s="20" t="str">
        <x:v>FIN-00747</x:v>
      </x:c>
      <x:c r="B1501" s="32" t="n">
        <x:v>1</x:v>
      </x:c>
      <x:c r="C1501" s="23" t="n">
        <x:v>46635</x:v>
      </x:c>
      <x:c r="D1501" s="23" t="n">
        <x:v>46635</x:v>
      </x:c>
      <x:c r="E1501" s="20" t="str">
        <x:v>P028</x:v>
      </x:c>
      <x:c r="F1501" s="20" t="str">
        <x:v>U035</x:v>
      </x:c>
      <x:c r="G1501" s="20" t="str">
        <x:v>L035</x:v>
      </x:c>
      <x:c r="H1501" s="20" t="str">
        <x:v>1000 Operating Cash</x:v>
      </x:c>
      <x:c r="I1501" s="26" t="n">
        <x:v>1525</x:v>
      </x:c>
      <x:c r="J1501" s="26" t="n">
        <x:v>0</x:v>
      </x:c>
      <x:c r="K1501" s="35" t="str">
        <x:v>Receipt allocated to FIN-00746</x:v>
      </x:c>
    </x:row>
    <x:row r="1502">
      <x:c r="A1502" s="20" t="str">
        <x:v>FIN-00747</x:v>
      </x:c>
      <x:c r="B1502" s="32" t="n">
        <x:v>2</x:v>
      </x:c>
      <x:c r="C1502" s="23" t="n">
        <x:v>46635</x:v>
      </x:c>
      <x:c r="D1502" s="23" t="n">
        <x:v>46635</x:v>
      </x:c>
      <x:c r="E1502" s="20" t="str">
        <x:v>P028</x:v>
      </x:c>
      <x:c r="F1502" s="20" t="str">
        <x:v>U035</x:v>
      </x:c>
      <x:c r="G1502" s="20" t="str">
        <x:v>L035</x:v>
      </x:c>
      <x:c r="H1502" s="20" t="str">
        <x:v>1100 Tenant Accounts Receivable</x:v>
      </x:c>
      <x:c r="I1502" s="26" t="n">
        <x:v>0</x:v>
      </x:c>
      <x:c r="J1502" s="26" t="n">
        <x:v>1525</x:v>
      </x:c>
      <x:c r="K1502" s="35" t="str">
        <x:v>Receipt allocated to FIN-00746</x:v>
      </x:c>
    </x:row>
    <x:row r="1503">
      <x:c r="A1503" s="20" t="str">
        <x:v>FIN-00748</x:v>
      </x:c>
      <x:c r="B1503" s="32" t="n">
        <x:v>1</x:v>
      </x:c>
      <x:c r="C1503" s="23" t="n">
        <x:v>46631</x:v>
      </x:c>
      <x:c r="D1503" s="23" t="n">
        <x:v>46631</x:v>
      </x:c>
      <x:c r="E1503" s="20" t="str">
        <x:v>P028</x:v>
      </x:c>
      <x:c r="F1503" s="20" t="str">
        <x:v>U036</x:v>
      </x:c>
      <x:c r="G1503" s="20" t="str">
        <x:v>L036</x:v>
      </x:c>
      <x:c r="H1503" s="20" t="str">
        <x:v>1100 Tenant Accounts Receivable</x:v>
      </x:c>
      <x:c r="I1503" s="26" t="n">
        <x:v>1150</x:v>
      </x:c>
      <x:c r="J1503" s="26" t="n">
        <x:v>0</x:v>
      </x:c>
      <x:c r="K1503" s="35" t="str">
        <x:v>September 2027 rent</x:v>
      </x:c>
    </x:row>
    <x:row r="1504">
      <x:c r="A1504" s="20" t="str">
        <x:v>FIN-00748</x:v>
      </x:c>
      <x:c r="B1504" s="32" t="n">
        <x:v>2</x:v>
      </x:c>
      <x:c r="C1504" s="23" t="n">
        <x:v>46631</x:v>
      </x:c>
      <x:c r="D1504" s="23" t="n">
        <x:v>46631</x:v>
      </x:c>
      <x:c r="E1504" s="20" t="str">
        <x:v>P028</x:v>
      </x:c>
      <x:c r="F1504" s="20" t="str">
        <x:v>U036</x:v>
      </x:c>
      <x:c r="G1504" s="20" t="str">
        <x:v>L036</x:v>
      </x:c>
      <x:c r="H1504" s="20" t="str">
        <x:v>4000 Rental Income</x:v>
      </x:c>
      <x:c r="I1504" s="26" t="n">
        <x:v>0</x:v>
      </x:c>
      <x:c r="J1504" s="26" t="n">
        <x:v>1150</x:v>
      </x:c>
      <x:c r="K1504" s="35" t="str">
        <x:v>September 2027 rent</x:v>
      </x:c>
    </x:row>
    <x:row r="1505">
      <x:c r="A1505" s="20" t="str">
        <x:v>FIN-00749</x:v>
      </x:c>
      <x:c r="B1505" s="32" t="n">
        <x:v>1</x:v>
      </x:c>
      <x:c r="C1505" s="23" t="n">
        <x:v>46633</x:v>
      </x:c>
      <x:c r="D1505" s="23" t="n">
        <x:v>46633</x:v>
      </x:c>
      <x:c r="E1505" s="20" t="str">
        <x:v>P028</x:v>
      </x:c>
      <x:c r="F1505" s="20" t="str">
        <x:v>U036</x:v>
      </x:c>
      <x:c r="G1505" s="20" t="str">
        <x:v>L036</x:v>
      </x:c>
      <x:c r="H1505" s="20" t="str">
        <x:v>1000 Operating Cash</x:v>
      </x:c>
      <x:c r="I1505" s="26" t="n">
        <x:v>1150</x:v>
      </x:c>
      <x:c r="J1505" s="26" t="n">
        <x:v>0</x:v>
      </x:c>
      <x:c r="K1505" s="35" t="str">
        <x:v>Receipt allocated to FIN-00748</x:v>
      </x:c>
    </x:row>
    <x:row r="1506">
      <x:c r="A1506" s="20" t="str">
        <x:v>FIN-00749</x:v>
      </x:c>
      <x:c r="B1506" s="32" t="n">
        <x:v>2</x:v>
      </x:c>
      <x:c r="C1506" s="23" t="n">
        <x:v>46633</x:v>
      </x:c>
      <x:c r="D1506" s="23" t="n">
        <x:v>46633</x:v>
      </x:c>
      <x:c r="E1506" s="20" t="str">
        <x:v>P028</x:v>
      </x:c>
      <x:c r="F1506" s="20" t="str">
        <x:v>U036</x:v>
      </x:c>
      <x:c r="G1506" s="20" t="str">
        <x:v>L036</x:v>
      </x:c>
      <x:c r="H1506" s="20" t="str">
        <x:v>1100 Tenant Accounts Receivable</x:v>
      </x:c>
      <x:c r="I1506" s="26" t="n">
        <x:v>0</x:v>
      </x:c>
      <x:c r="J1506" s="26" t="n">
        <x:v>1150</x:v>
      </x:c>
      <x:c r="K1506" s="35" t="str">
        <x:v>Receipt allocated to FIN-00748</x:v>
      </x:c>
    </x:row>
    <x:row r="1507">
      <x:c r="A1507" s="20" t="str">
        <x:v>FIN-00750</x:v>
      </x:c>
      <x:c r="B1507" s="32" t="n">
        <x:v>1</x:v>
      </x:c>
      <x:c r="C1507" s="23" t="n">
        <x:v>46631</x:v>
      </x:c>
      <x:c r="D1507" s="23" t="n">
        <x:v>46631</x:v>
      </x:c>
      <x:c r="E1507" s="20" t="str">
        <x:v>P005</x:v>
      </x:c>
      <x:c r="F1507" s="20" t="str">
        <x:v>U005</x:v>
      </x:c>
      <x:c r="G1507" s="20" t="str">
        <x:v>L037</x:v>
      </x:c>
      <x:c r="H1507" s="20" t="str">
        <x:v>1100 Tenant Accounts Receivable</x:v>
      </x:c>
      <x:c r="I1507" s="26" t="n">
        <x:v>1875</x:v>
      </x:c>
      <x:c r="J1507" s="26" t="n">
        <x:v>0</x:v>
      </x:c>
      <x:c r="K1507" s="35" t="str">
        <x:v>September 2027 rent</x:v>
      </x:c>
    </x:row>
    <x:row r="1508">
      <x:c r="A1508" s="20" t="str">
        <x:v>FIN-00750</x:v>
      </x:c>
      <x:c r="B1508" s="32" t="n">
        <x:v>2</x:v>
      </x:c>
      <x:c r="C1508" s="23" t="n">
        <x:v>46631</x:v>
      </x:c>
      <x:c r="D1508" s="23" t="n">
        <x:v>46631</x:v>
      </x:c>
      <x:c r="E1508" s="20" t="str">
        <x:v>P005</x:v>
      </x:c>
      <x:c r="F1508" s="20" t="str">
        <x:v>U005</x:v>
      </x:c>
      <x:c r="G1508" s="20" t="str">
        <x:v>L037</x:v>
      </x:c>
      <x:c r="H1508" s="20" t="str">
        <x:v>4000 Rental Income</x:v>
      </x:c>
      <x:c r="I1508" s="26" t="n">
        <x:v>0</x:v>
      </x:c>
      <x:c r="J1508" s="26" t="n">
        <x:v>1875</x:v>
      </x:c>
      <x:c r="K1508" s="35" t="str">
        <x:v>September 2027 rent</x:v>
      </x:c>
    </x:row>
    <x:row r="1509">
      <x:c r="A1509" s="20" t="str">
        <x:v>FIN-00751</x:v>
      </x:c>
      <x:c r="B1509" s="32" t="n">
        <x:v>1</x:v>
      </x:c>
      <x:c r="C1509" s="23" t="n">
        <x:v>46634</x:v>
      </x:c>
      <x:c r="D1509" s="23" t="n">
        <x:v>46634</x:v>
      </x:c>
      <x:c r="E1509" s="20" t="str">
        <x:v>P005</x:v>
      </x:c>
      <x:c r="F1509" s="20" t="str">
        <x:v>U005</x:v>
      </x:c>
      <x:c r="G1509" s="20" t="str">
        <x:v>L037</x:v>
      </x:c>
      <x:c r="H1509" s="20" t="str">
        <x:v>1000 Operating Cash</x:v>
      </x:c>
      <x:c r="I1509" s="26" t="n">
        <x:v>1875</x:v>
      </x:c>
      <x:c r="J1509" s="26" t="n">
        <x:v>0</x:v>
      </x:c>
      <x:c r="K1509" s="35" t="str">
        <x:v>Receipt allocated to FIN-00750</x:v>
      </x:c>
    </x:row>
    <x:row r="1510">
      <x:c r="A1510" s="20" t="str">
        <x:v>FIN-00751</x:v>
      </x:c>
      <x:c r="B1510" s="32" t="n">
        <x:v>2</x:v>
      </x:c>
      <x:c r="C1510" s="23" t="n">
        <x:v>46634</x:v>
      </x:c>
      <x:c r="D1510" s="23" t="n">
        <x:v>46634</x:v>
      </x:c>
      <x:c r="E1510" s="20" t="str">
        <x:v>P005</x:v>
      </x:c>
      <x:c r="F1510" s="20" t="str">
        <x:v>U005</x:v>
      </x:c>
      <x:c r="G1510" s="20" t="str">
        <x:v>L037</x:v>
      </x:c>
      <x:c r="H1510" s="20" t="str">
        <x:v>1100 Tenant Accounts Receivable</x:v>
      </x:c>
      <x:c r="I1510" s="26" t="n">
        <x:v>0</x:v>
      </x:c>
      <x:c r="J1510" s="26" t="n">
        <x:v>1875</x:v>
      </x:c>
      <x:c r="K1510" s="35" t="str">
        <x:v>Receipt allocated to FIN-00750</x:v>
      </x:c>
    </x:row>
    <x:row r="1511">
      <x:c r="A1511" s="20" t="str">
        <x:v>FIN-00752</x:v>
      </x:c>
      <x:c r="B1511" s="32" t="n">
        <x:v>1</x:v>
      </x:c>
      <x:c r="C1511" s="23" t="n">
        <x:v>46631</x:v>
      </x:c>
      <x:c r="D1511" s="23" t="n">
        <x:v>46631</x:v>
      </x:c>
      <x:c r="E1511" s="20" t="str">
        <x:v>P014</x:v>
      </x:c>
      <x:c r="F1511" s="20" t="str">
        <x:v>U014</x:v>
      </x:c>
      <x:c r="G1511" s="20" t="str">
        <x:v>L038</x:v>
      </x:c>
      <x:c r="H1511" s="20" t="str">
        <x:v>1100 Tenant Accounts Receivable</x:v>
      </x:c>
      <x:c r="I1511" s="26" t="n">
        <x:v>1200</x:v>
      </x:c>
      <x:c r="J1511" s="26" t="n">
        <x:v>0</x:v>
      </x:c>
      <x:c r="K1511" s="35" t="str">
        <x:v>September 2027 rent</x:v>
      </x:c>
    </x:row>
    <x:row r="1512">
      <x:c r="A1512" s="20" t="str">
        <x:v>FIN-00752</x:v>
      </x:c>
      <x:c r="B1512" s="32" t="n">
        <x:v>2</x:v>
      </x:c>
      <x:c r="C1512" s="23" t="n">
        <x:v>46631</x:v>
      </x:c>
      <x:c r="D1512" s="23" t="n">
        <x:v>46631</x:v>
      </x:c>
      <x:c r="E1512" s="20" t="str">
        <x:v>P014</x:v>
      </x:c>
      <x:c r="F1512" s="20" t="str">
        <x:v>U014</x:v>
      </x:c>
      <x:c r="G1512" s="20" t="str">
        <x:v>L038</x:v>
      </x:c>
      <x:c r="H1512" s="20" t="str">
        <x:v>4000 Rental Income</x:v>
      </x:c>
      <x:c r="I1512" s="26" t="n">
        <x:v>0</x:v>
      </x:c>
      <x:c r="J1512" s="26" t="n">
        <x:v>1200</x:v>
      </x:c>
      <x:c r="K1512" s="35" t="str">
        <x:v>September 2027 rent</x:v>
      </x:c>
    </x:row>
    <x:row r="1513">
      <x:c r="A1513" s="20" t="str">
        <x:v>FIN-00753</x:v>
      </x:c>
      <x:c r="B1513" s="32" t="n">
        <x:v>1</x:v>
      </x:c>
      <x:c r="C1513" s="23" t="n">
        <x:v>46635</x:v>
      </x:c>
      <x:c r="D1513" s="23" t="n">
        <x:v>46635</x:v>
      </x:c>
      <x:c r="E1513" s="20" t="str">
        <x:v>P014</x:v>
      </x:c>
      <x:c r="F1513" s="20" t="str">
        <x:v>U014</x:v>
      </x:c>
      <x:c r="G1513" s="20" t="str">
        <x:v>L038</x:v>
      </x:c>
      <x:c r="H1513" s="20" t="str">
        <x:v>1000 Operating Cash</x:v>
      </x:c>
      <x:c r="I1513" s="26" t="n">
        <x:v>1200</x:v>
      </x:c>
      <x:c r="J1513" s="26" t="n">
        <x:v>0</x:v>
      </x:c>
      <x:c r="K1513" s="35" t="str">
        <x:v>Receipt allocated to FIN-00752</x:v>
      </x:c>
    </x:row>
    <x:row r="1514">
      <x:c r="A1514" s="20" t="str">
        <x:v>FIN-00753</x:v>
      </x:c>
      <x:c r="B1514" s="32" t="n">
        <x:v>2</x:v>
      </x:c>
      <x:c r="C1514" s="23" t="n">
        <x:v>46635</x:v>
      </x:c>
      <x:c r="D1514" s="23" t="n">
        <x:v>46635</x:v>
      </x:c>
      <x:c r="E1514" s="20" t="str">
        <x:v>P014</x:v>
      </x:c>
      <x:c r="F1514" s="20" t="str">
        <x:v>U014</x:v>
      </x:c>
      <x:c r="G1514" s="20" t="str">
        <x:v>L038</x:v>
      </x:c>
      <x:c r="H1514" s="20" t="str">
        <x:v>1100 Tenant Accounts Receivable</x:v>
      </x:c>
      <x:c r="I1514" s="26" t="n">
        <x:v>0</x:v>
      </x:c>
      <x:c r="J1514" s="26" t="n">
        <x:v>1200</x:v>
      </x:c>
      <x:c r="K1514" s="35" t="str">
        <x:v>Receipt allocated to FIN-00752</x:v>
      </x:c>
    </x:row>
    <x:row r="1515">
      <x:c r="A1515" s="20" t="str">
        <x:v>FIN-00754</x:v>
      </x:c>
      <x:c r="B1515" s="32" t="n">
        <x:v>1</x:v>
      </x:c>
      <x:c r="C1515" s="23" t="n">
        <x:v>46631</x:v>
      </x:c>
      <x:c r="D1515" s="23" t="n">
        <x:v>46631</x:v>
      </x:c>
      <x:c r="E1515" s="20" t="str">
        <x:v>P017</x:v>
      </x:c>
      <x:c r="F1515" s="20" t="str">
        <x:v>U017</x:v>
      </x:c>
      <x:c r="G1515" s="20" t="str">
        <x:v>L039</x:v>
      </x:c>
      <x:c r="H1515" s="20" t="str">
        <x:v>1100 Tenant Accounts Receivable</x:v>
      </x:c>
      <x:c r="I1515" s="26" t="n">
        <x:v>1875</x:v>
      </x:c>
      <x:c r="J1515" s="26" t="n">
        <x:v>0</x:v>
      </x:c>
      <x:c r="K1515" s="35" t="str">
        <x:v>September 2027 rent</x:v>
      </x:c>
    </x:row>
    <x:row r="1516">
      <x:c r="A1516" s="20" t="str">
        <x:v>FIN-00754</x:v>
      </x:c>
      <x:c r="B1516" s="32" t="n">
        <x:v>2</x:v>
      </x:c>
      <x:c r="C1516" s="23" t="n">
        <x:v>46631</x:v>
      </x:c>
      <x:c r="D1516" s="23" t="n">
        <x:v>46631</x:v>
      </x:c>
      <x:c r="E1516" s="20" t="str">
        <x:v>P017</x:v>
      </x:c>
      <x:c r="F1516" s="20" t="str">
        <x:v>U017</x:v>
      </x:c>
      <x:c r="G1516" s="20" t="str">
        <x:v>L039</x:v>
      </x:c>
      <x:c r="H1516" s="20" t="str">
        <x:v>4000 Rental Income</x:v>
      </x:c>
      <x:c r="I1516" s="26" t="n">
        <x:v>0</x:v>
      </x:c>
      <x:c r="J1516" s="26" t="n">
        <x:v>1875</x:v>
      </x:c>
      <x:c r="K1516" s="35" t="str">
        <x:v>September 2027 rent</x:v>
      </x:c>
    </x:row>
    <x:row r="1517">
      <x:c r="A1517" s="20" t="str">
        <x:v>FIN-00755</x:v>
      </x:c>
      <x:c r="B1517" s="32" t="n">
        <x:v>1</x:v>
      </x:c>
      <x:c r="C1517" s="23" t="n">
        <x:v>46636</x:v>
      </x:c>
      <x:c r="D1517" s="23" t="n">
        <x:v>46636</x:v>
      </x:c>
      <x:c r="E1517" s="20" t="str">
        <x:v>P017</x:v>
      </x:c>
      <x:c r="F1517" s="20" t="str">
        <x:v>U017</x:v>
      </x:c>
      <x:c r="G1517" s="20" t="str">
        <x:v>L039</x:v>
      </x:c>
      <x:c r="H1517" s="20" t="str">
        <x:v>1100 Tenant Accounts Receivable</x:v>
      </x:c>
      <x:c r="I1517" s="26" t="n">
        <x:v>50</x:v>
      </x:c>
      <x:c r="J1517" s="26" t="n">
        <x:v>0</x:v>
      </x:c>
      <x:c r="K1517" s="35" t="str">
        <x:v>Synthetic lease-authorized late fee</x:v>
      </x:c>
    </x:row>
    <x:row r="1518">
      <x:c r="A1518" s="20" t="str">
        <x:v>FIN-00755</x:v>
      </x:c>
      <x:c r="B1518" s="32" t="n">
        <x:v>2</x:v>
      </x:c>
      <x:c r="C1518" s="23" t="n">
        <x:v>46636</x:v>
      </x:c>
      <x:c r="D1518" s="23" t="n">
        <x:v>46636</x:v>
      </x:c>
      <x:c r="E1518" s="20" t="str">
        <x:v>P017</x:v>
      </x:c>
      <x:c r="F1518" s="20" t="str">
        <x:v>U017</x:v>
      </x:c>
      <x:c r="G1518" s="20" t="str">
        <x:v>L039</x:v>
      </x:c>
      <x:c r="H1518" s="20" t="str">
        <x:v>4010 Late Fee Income</x:v>
      </x:c>
      <x:c r="I1518" s="26" t="n">
        <x:v>0</x:v>
      </x:c>
      <x:c r="J1518" s="26" t="n">
        <x:v>50</x:v>
      </x:c>
      <x:c r="K1518" s="35" t="str">
        <x:v>Synthetic lease-authorized late fee</x:v>
      </x:c>
    </x:row>
    <x:row r="1519">
      <x:c r="A1519" s="20" t="str">
        <x:v>FIN-00756</x:v>
      </x:c>
      <x:c r="B1519" s="32" t="n">
        <x:v>1</x:v>
      </x:c>
      <x:c r="C1519" s="23" t="n">
        <x:v>46638</x:v>
      </x:c>
      <x:c r="D1519" s="23" t="n">
        <x:v>46638</x:v>
      </x:c>
      <x:c r="E1519" s="20" t="str">
        <x:v>P017</x:v>
      </x:c>
      <x:c r="F1519" s="20" t="str">
        <x:v>U017</x:v>
      </x:c>
      <x:c r="G1519" s="20" t="str">
        <x:v>L039</x:v>
      </x:c>
      <x:c r="H1519" s="20" t="str">
        <x:v>1000 Operating Cash</x:v>
      </x:c>
      <x:c r="I1519" s="26" t="n">
        <x:v>1925</x:v>
      </x:c>
      <x:c r="J1519" s="26" t="n">
        <x:v>0</x:v>
      </x:c>
      <x:c r="K1519" s="35" t="str">
        <x:v>Receipt allocated to FIN-00755</x:v>
      </x:c>
    </x:row>
    <x:row r="1520">
      <x:c r="A1520" s="20" t="str">
        <x:v>FIN-00756</x:v>
      </x:c>
      <x:c r="B1520" s="32" t="n">
        <x:v>2</x:v>
      </x:c>
      <x:c r="C1520" s="23" t="n">
        <x:v>46638</x:v>
      </x:c>
      <x:c r="D1520" s="23" t="n">
        <x:v>46638</x:v>
      </x:c>
      <x:c r="E1520" s="20" t="str">
        <x:v>P017</x:v>
      </x:c>
      <x:c r="F1520" s="20" t="str">
        <x:v>U017</x:v>
      </x:c>
      <x:c r="G1520" s="20" t="str">
        <x:v>L039</x:v>
      </x:c>
      <x:c r="H1520" s="20" t="str">
        <x:v>1100 Tenant Accounts Receivable</x:v>
      </x:c>
      <x:c r="I1520" s="26" t="n">
        <x:v>0</x:v>
      </x:c>
      <x:c r="J1520" s="26" t="n">
        <x:v>1925</x:v>
      </x:c>
      <x:c r="K1520" s="35" t="str">
        <x:v>Receipt allocated to FIN-00755</x:v>
      </x:c>
    </x:row>
    <x:row r="1521">
      <x:c r="A1521" s="20" t="str">
        <x:v>FIN-00757</x:v>
      </x:c>
      <x:c r="B1521" s="32" t="n">
        <x:v>1</x:v>
      </x:c>
      <x:c r="C1521" s="23" t="n">
        <x:v>46631</x:v>
      </x:c>
      <x:c r="D1521" s="23" t="n">
        <x:v>46631</x:v>
      </x:c>
      <x:c r="E1521" s="20" t="str">
        <x:v>P030</x:v>
      </x:c>
      <x:c r="F1521" s="20" t="str">
        <x:v>U040</x:v>
      </x:c>
      <x:c r="G1521" s="20" t="str">
        <x:v>L041</x:v>
      </x:c>
      <x:c r="H1521" s="20" t="str">
        <x:v>1100 Tenant Accounts Receivable</x:v>
      </x:c>
      <x:c r="I1521" s="26" t="n">
        <x:v>1450</x:v>
      </x:c>
      <x:c r="J1521" s="26" t="n">
        <x:v>0</x:v>
      </x:c>
      <x:c r="K1521" s="35" t="str">
        <x:v>September 2027 rent</x:v>
      </x:c>
    </x:row>
    <x:row r="1522">
      <x:c r="A1522" s="20" t="str">
        <x:v>FIN-00757</x:v>
      </x:c>
      <x:c r="B1522" s="32" t="n">
        <x:v>2</x:v>
      </x:c>
      <x:c r="C1522" s="23" t="n">
        <x:v>46631</x:v>
      </x:c>
      <x:c r="D1522" s="23" t="n">
        <x:v>46631</x:v>
      </x:c>
      <x:c r="E1522" s="20" t="str">
        <x:v>P030</x:v>
      </x:c>
      <x:c r="F1522" s="20" t="str">
        <x:v>U040</x:v>
      </x:c>
      <x:c r="G1522" s="20" t="str">
        <x:v>L041</x:v>
      </x:c>
      <x:c r="H1522" s="20" t="str">
        <x:v>4000 Rental Income</x:v>
      </x:c>
      <x:c r="I1522" s="26" t="n">
        <x:v>0</x:v>
      </x:c>
      <x:c r="J1522" s="26" t="n">
        <x:v>1450</x:v>
      </x:c>
      <x:c r="K1522" s="35" t="str">
        <x:v>September 2027 rent</x:v>
      </x:c>
    </x:row>
    <x:row r="1523">
      <x:c r="A1523" s="20" t="str">
        <x:v>FIN-00758</x:v>
      </x:c>
      <x:c r="B1523" s="32" t="n">
        <x:v>1</x:v>
      </x:c>
      <x:c r="C1523" s="23" t="n">
        <x:v>46635</x:v>
      </x:c>
      <x:c r="D1523" s="23" t="n">
        <x:v>46635</x:v>
      </x:c>
      <x:c r="E1523" s="20" t="str">
        <x:v>P030</x:v>
      </x:c>
      <x:c r="F1523" s="20" t="str">
        <x:v>U040</x:v>
      </x:c>
      <x:c r="G1523" s="20" t="str">
        <x:v>L041</x:v>
      </x:c>
      <x:c r="H1523" s="20" t="str">
        <x:v>1000 Operating Cash</x:v>
      </x:c>
      <x:c r="I1523" s="26" t="n">
        <x:v>1450</x:v>
      </x:c>
      <x:c r="J1523" s="26" t="n">
        <x:v>0</x:v>
      </x:c>
      <x:c r="K1523" s="35" t="str">
        <x:v>Receipt allocated to FIN-00757</x:v>
      </x:c>
    </x:row>
    <x:row r="1524">
      <x:c r="A1524" s="20" t="str">
        <x:v>FIN-00758</x:v>
      </x:c>
      <x:c r="B1524" s="32" t="n">
        <x:v>2</x:v>
      </x:c>
      <x:c r="C1524" s="23" t="n">
        <x:v>46635</x:v>
      </x:c>
      <x:c r="D1524" s="23" t="n">
        <x:v>46635</x:v>
      </x:c>
      <x:c r="E1524" s="20" t="str">
        <x:v>P030</x:v>
      </x:c>
      <x:c r="F1524" s="20" t="str">
        <x:v>U040</x:v>
      </x:c>
      <x:c r="G1524" s="20" t="str">
        <x:v>L041</x:v>
      </x:c>
      <x:c r="H1524" s="20" t="str">
        <x:v>1100 Tenant Accounts Receivable</x:v>
      </x:c>
      <x:c r="I1524" s="26" t="n">
        <x:v>0</x:v>
      </x:c>
      <x:c r="J1524" s="26" t="n">
        <x:v>1450</x:v>
      </x:c>
      <x:c r="K1524" s="35" t="str">
        <x:v>Receipt allocated to FIN-00757</x:v>
      </x:c>
    </x:row>
    <x:row r="1525">
      <x:c r="A1525" s="20" t="str">
        <x:v>FIN-00759</x:v>
      </x:c>
      <x:c r="B1525" s="32" t="n">
        <x:v>1</x:v>
      </x:c>
      <x:c r="C1525" s="23" t="n">
        <x:v>46631</x:v>
      </x:c>
      <x:c r="D1525" s="23" t="n">
        <x:v>46631</x:v>
      </x:c>
      <x:c r="E1525" s="20" t="str">
        <x:v>P029</x:v>
      </x:c>
      <x:c r="F1525" s="20" t="str">
        <x:v>U037</x:v>
      </x:c>
      <x:c r="G1525" s="20" t="str">
        <x:v>L043</x:v>
      </x:c>
      <x:c r="H1525" s="20" t="str">
        <x:v>1100 Tenant Accounts Receivable</x:v>
      </x:c>
      <x:c r="I1525" s="26" t="n">
        <x:v>1675</x:v>
      </x:c>
      <x:c r="J1525" s="26" t="n">
        <x:v>0</x:v>
      </x:c>
      <x:c r="K1525" s="35" t="str">
        <x:v>September 2027 rent</x:v>
      </x:c>
    </x:row>
    <x:row r="1526">
      <x:c r="A1526" s="20" t="str">
        <x:v>FIN-00759</x:v>
      </x:c>
      <x:c r="B1526" s="32" t="n">
        <x:v>2</x:v>
      </x:c>
      <x:c r="C1526" s="23" t="n">
        <x:v>46631</x:v>
      </x:c>
      <x:c r="D1526" s="23" t="n">
        <x:v>46631</x:v>
      </x:c>
      <x:c r="E1526" s="20" t="str">
        <x:v>P029</x:v>
      </x:c>
      <x:c r="F1526" s="20" t="str">
        <x:v>U037</x:v>
      </x:c>
      <x:c r="G1526" s="20" t="str">
        <x:v>L043</x:v>
      </x:c>
      <x:c r="H1526" s="20" t="str">
        <x:v>4000 Rental Income</x:v>
      </x:c>
      <x:c r="I1526" s="26" t="n">
        <x:v>0</x:v>
      </x:c>
      <x:c r="J1526" s="26" t="n">
        <x:v>1675</x:v>
      </x:c>
      <x:c r="K1526" s="35" t="str">
        <x:v>September 2027 rent</x:v>
      </x:c>
    </x:row>
    <x:row r="1527">
      <x:c r="A1527" s="20" t="str">
        <x:v>FIN-00760</x:v>
      </x:c>
      <x:c r="B1527" s="32" t="n">
        <x:v>1</x:v>
      </x:c>
      <x:c r="C1527" s="23" t="n">
        <x:v>46634</x:v>
      </x:c>
      <x:c r="D1527" s="23" t="n">
        <x:v>46634</x:v>
      </x:c>
      <x:c r="E1527" s="20" t="str">
        <x:v>P029</x:v>
      </x:c>
      <x:c r="F1527" s="20" t="str">
        <x:v>U037</x:v>
      </x:c>
      <x:c r="G1527" s="20" t="str">
        <x:v>L043</x:v>
      </x:c>
      <x:c r="H1527" s="20" t="str">
        <x:v>1000 Operating Cash</x:v>
      </x:c>
      <x:c r="I1527" s="26" t="n">
        <x:v>1675</x:v>
      </x:c>
      <x:c r="J1527" s="26" t="n">
        <x:v>0</x:v>
      </x:c>
      <x:c r="K1527" s="35" t="str">
        <x:v>Receipt allocated to FIN-00759</x:v>
      </x:c>
    </x:row>
    <x:row r="1528">
      <x:c r="A1528" s="20" t="str">
        <x:v>FIN-00760</x:v>
      </x:c>
      <x:c r="B1528" s="32" t="n">
        <x:v>2</x:v>
      </x:c>
      <x:c r="C1528" s="23" t="n">
        <x:v>46634</x:v>
      </x:c>
      <x:c r="D1528" s="23" t="n">
        <x:v>46634</x:v>
      </x:c>
      <x:c r="E1528" s="20" t="str">
        <x:v>P029</x:v>
      </x:c>
      <x:c r="F1528" s="20" t="str">
        <x:v>U037</x:v>
      </x:c>
      <x:c r="G1528" s="20" t="str">
        <x:v>L043</x:v>
      </x:c>
      <x:c r="H1528" s="20" t="str">
        <x:v>1100 Tenant Accounts Receivable</x:v>
      </x:c>
      <x:c r="I1528" s="26" t="n">
        <x:v>0</x:v>
      </x:c>
      <x:c r="J1528" s="26" t="n">
        <x:v>1675</x:v>
      </x:c>
      <x:c r="K1528" s="35" t="str">
        <x:v>Receipt allocated to FIN-00759</x:v>
      </x:c>
    </x:row>
    <x:row r="1529">
      <x:c r="A1529" s="20" t="str">
        <x:v>FIN-00761</x:v>
      </x:c>
      <x:c r="B1529" s="32" t="n">
        <x:v>1</x:v>
      </x:c>
      <x:c r="C1529" s="23" t="n">
        <x:v>46631</x:v>
      </x:c>
      <x:c r="D1529" s="23" t="n">
        <x:v>46631</x:v>
      </x:c>
      <x:c r="E1529" s="20" t="str">
        <x:v>P029</x:v>
      </x:c>
      <x:c r="F1529" s="20" t="str">
        <x:v>U038</x:v>
      </x:c>
      <x:c r="G1529" s="20" t="str">
        <x:v>L044</x:v>
      </x:c>
      <x:c r="H1529" s="20" t="str">
        <x:v>1100 Tenant Accounts Receivable</x:v>
      </x:c>
      <x:c r="I1529" s="26" t="n">
        <x:v>1300</x:v>
      </x:c>
      <x:c r="J1529" s="26" t="n">
        <x:v>0</x:v>
      </x:c>
      <x:c r="K1529" s="35" t="str">
        <x:v>September 2027 rent</x:v>
      </x:c>
    </x:row>
    <x:row r="1530">
      <x:c r="A1530" s="20" t="str">
        <x:v>FIN-00761</x:v>
      </x:c>
      <x:c r="B1530" s="32" t="n">
        <x:v>2</x:v>
      </x:c>
      <x:c r="C1530" s="23" t="n">
        <x:v>46631</x:v>
      </x:c>
      <x:c r="D1530" s="23" t="n">
        <x:v>46631</x:v>
      </x:c>
      <x:c r="E1530" s="20" t="str">
        <x:v>P029</x:v>
      </x:c>
      <x:c r="F1530" s="20" t="str">
        <x:v>U038</x:v>
      </x:c>
      <x:c r="G1530" s="20" t="str">
        <x:v>L044</x:v>
      </x:c>
      <x:c r="H1530" s="20" t="str">
        <x:v>4000 Rental Income</x:v>
      </x:c>
      <x:c r="I1530" s="26" t="n">
        <x:v>0</x:v>
      </x:c>
      <x:c r="J1530" s="26" t="n">
        <x:v>1300</x:v>
      </x:c>
      <x:c r="K1530" s="35" t="str">
        <x:v>September 2027 rent</x:v>
      </x:c>
    </x:row>
    <x:row r="1531">
      <x:c r="A1531" s="20" t="str">
        <x:v>FIN-00762</x:v>
      </x:c>
      <x:c r="B1531" s="32" t="n">
        <x:v>1</x:v>
      </x:c>
      <x:c r="C1531" s="23" t="n">
        <x:v>46633</x:v>
      </x:c>
      <x:c r="D1531" s="23" t="n">
        <x:v>46633</x:v>
      </x:c>
      <x:c r="E1531" s="20" t="str">
        <x:v>P029</x:v>
      </x:c>
      <x:c r="F1531" s="20" t="str">
        <x:v>U038</x:v>
      </x:c>
      <x:c r="G1531" s="20" t="str">
        <x:v>L044</x:v>
      </x:c>
      <x:c r="H1531" s="20" t="str">
        <x:v>1000 Operating Cash</x:v>
      </x:c>
      <x:c r="I1531" s="26" t="n">
        <x:v>780</x:v>
      </x:c>
      <x:c r="J1531" s="26" t="n">
        <x:v>0</x:v>
      </x:c>
      <x:c r="K1531" s="35" t="str">
        <x:v>Receipt allocated to FIN-00761</x:v>
      </x:c>
    </x:row>
    <x:row r="1532">
      <x:c r="A1532" s="20" t="str">
        <x:v>FIN-00762</x:v>
      </x:c>
      <x:c r="B1532" s="32" t="n">
        <x:v>2</x:v>
      </x:c>
      <x:c r="C1532" s="23" t="n">
        <x:v>46633</x:v>
      </x:c>
      <x:c r="D1532" s="23" t="n">
        <x:v>46633</x:v>
      </x:c>
      <x:c r="E1532" s="20" t="str">
        <x:v>P029</x:v>
      </x:c>
      <x:c r="F1532" s="20" t="str">
        <x:v>U038</x:v>
      </x:c>
      <x:c r="G1532" s="20" t="str">
        <x:v>L044</x:v>
      </x:c>
      <x:c r="H1532" s="20" t="str">
        <x:v>1100 Tenant Accounts Receivable</x:v>
      </x:c>
      <x:c r="I1532" s="26" t="n">
        <x:v>0</x:v>
      </x:c>
      <x:c r="J1532" s="26" t="n">
        <x:v>780</x:v>
      </x:c>
      <x:c r="K1532" s="35" t="str">
        <x:v>Receipt allocated to FIN-00761</x:v>
      </x:c>
    </x:row>
    <x:row r="1533">
      <x:c r="A1533" s="20" t="str">
        <x:v>FIN-00763</x:v>
      </x:c>
      <x:c r="B1533" s="32" t="n">
        <x:v>1</x:v>
      </x:c>
      <x:c r="C1533" s="23" t="n">
        <x:v>46636</x:v>
      </x:c>
      <x:c r="D1533" s="23" t="n">
        <x:v>46636</x:v>
      </x:c>
      <x:c r="E1533" s="20" t="str">
        <x:v>P029</x:v>
      </x:c>
      <x:c r="F1533" s="20" t="str">
        <x:v>U038</x:v>
      </x:c>
      <x:c r="G1533" s="20" t="str">
        <x:v>L044</x:v>
      </x:c>
      <x:c r="H1533" s="20" t="str">
        <x:v>1100 Tenant Accounts Receivable</x:v>
      </x:c>
      <x:c r="I1533" s="26" t="n">
        <x:v>50</x:v>
      </x:c>
      <x:c r="J1533" s="26" t="n">
        <x:v>0</x:v>
      </x:c>
      <x:c r="K1533" s="35" t="str">
        <x:v>Synthetic lease-authorized late fee after partial payment</x:v>
      </x:c>
    </x:row>
    <x:row r="1534">
      <x:c r="A1534" s="20" t="str">
        <x:v>FIN-00763</x:v>
      </x:c>
      <x:c r="B1534" s="32" t="n">
        <x:v>2</x:v>
      </x:c>
      <x:c r="C1534" s="23" t="n">
        <x:v>46636</x:v>
      </x:c>
      <x:c r="D1534" s="23" t="n">
        <x:v>46636</x:v>
      </x:c>
      <x:c r="E1534" s="20" t="str">
        <x:v>P029</x:v>
      </x:c>
      <x:c r="F1534" s="20" t="str">
        <x:v>U038</x:v>
      </x:c>
      <x:c r="G1534" s="20" t="str">
        <x:v>L044</x:v>
      </x:c>
      <x:c r="H1534" s="20" t="str">
        <x:v>4010 Late Fee Income</x:v>
      </x:c>
      <x:c r="I1534" s="26" t="n">
        <x:v>0</x:v>
      </x:c>
      <x:c r="J1534" s="26" t="n">
        <x:v>50</x:v>
      </x:c>
      <x:c r="K1534" s="35" t="str">
        <x:v>Synthetic lease-authorized late fee after partial payment</x:v>
      </x:c>
    </x:row>
    <x:row r="1535">
      <x:c r="A1535" s="20" t="str">
        <x:v>FIN-00764</x:v>
      </x:c>
      <x:c r="B1535" s="32" t="n">
        <x:v>1</x:v>
      </x:c>
      <x:c r="C1535" s="23" t="n">
        <x:v>46642</x:v>
      </x:c>
      <x:c r="D1535" s="23" t="n">
        <x:v>46642</x:v>
      </x:c>
      <x:c r="E1535" s="20" t="str">
        <x:v>P029</x:v>
      </x:c>
      <x:c r="F1535" s="20" t="str">
        <x:v>U038</x:v>
      </x:c>
      <x:c r="G1535" s="20" t="str">
        <x:v>L044</x:v>
      </x:c>
      <x:c r="H1535" s="20" t="str">
        <x:v>1000 Operating Cash</x:v>
      </x:c>
      <x:c r="I1535" s="26" t="n">
        <x:v>570</x:v>
      </x:c>
      <x:c r="J1535" s="26" t="n">
        <x:v>0</x:v>
      </x:c>
      <x:c r="K1535" s="35" t="str">
        <x:v>Receipt allocated to FIN-00763</x:v>
      </x:c>
    </x:row>
    <x:row r="1536">
      <x:c r="A1536" s="20" t="str">
        <x:v>FIN-00764</x:v>
      </x:c>
      <x:c r="B1536" s="32" t="n">
        <x:v>2</x:v>
      </x:c>
      <x:c r="C1536" s="23" t="n">
        <x:v>46642</x:v>
      </x:c>
      <x:c r="D1536" s="23" t="n">
        <x:v>46642</x:v>
      </x:c>
      <x:c r="E1536" s="20" t="str">
        <x:v>P029</x:v>
      </x:c>
      <x:c r="F1536" s="20" t="str">
        <x:v>U038</x:v>
      </x:c>
      <x:c r="G1536" s="20" t="str">
        <x:v>L044</x:v>
      </x:c>
      <x:c r="H1536" s="20" t="str">
        <x:v>1100 Tenant Accounts Receivable</x:v>
      </x:c>
      <x:c r="I1536" s="26" t="n">
        <x:v>0</x:v>
      </x:c>
      <x:c r="J1536" s="26" t="n">
        <x:v>570</x:v>
      </x:c>
      <x:c r="K1536" s="35" t="str">
        <x:v>Receipt allocated to FIN-00763</x:v>
      </x:c>
    </x:row>
    <x:row r="1537">
      <x:c r="A1537" s="20" t="str">
        <x:v>FIN-00765</x:v>
      </x:c>
      <x:c r="B1537" s="32" t="n">
        <x:v>1</x:v>
      </x:c>
      <x:c r="C1537" s="23" t="n">
        <x:v>46631</x:v>
      </x:c>
      <x:c r="D1537" s="23" t="n">
        <x:v>46631</x:v>
      </x:c>
      <x:c r="E1537" s="20" t="str">
        <x:v>P030</x:v>
      </x:c>
      <x:c r="F1537" s="20" t="str">
        <x:v>U039</x:v>
      </x:c>
      <x:c r="G1537" s="20" t="str">
        <x:v>L045</x:v>
      </x:c>
      <x:c r="H1537" s="20" t="str">
        <x:v>1100 Tenant Accounts Receivable</x:v>
      </x:c>
      <x:c r="I1537" s="26" t="n">
        <x:v>1825</x:v>
      </x:c>
      <x:c r="J1537" s="26" t="n">
        <x:v>0</x:v>
      </x:c>
      <x:c r="K1537" s="35" t="str">
        <x:v>September 2027 rent</x:v>
      </x:c>
    </x:row>
    <x:row r="1538">
      <x:c r="A1538" s="20" t="str">
        <x:v>FIN-00765</x:v>
      </x:c>
      <x:c r="B1538" s="32" t="n">
        <x:v>2</x:v>
      </x:c>
      <x:c r="C1538" s="23" t="n">
        <x:v>46631</x:v>
      </x:c>
      <x:c r="D1538" s="23" t="n">
        <x:v>46631</x:v>
      </x:c>
      <x:c r="E1538" s="20" t="str">
        <x:v>P030</x:v>
      </x:c>
      <x:c r="F1538" s="20" t="str">
        <x:v>U039</x:v>
      </x:c>
      <x:c r="G1538" s="20" t="str">
        <x:v>L045</x:v>
      </x:c>
      <x:c r="H1538" s="20" t="str">
        <x:v>4000 Rental Income</x:v>
      </x:c>
      <x:c r="I1538" s="26" t="n">
        <x:v>0</x:v>
      </x:c>
      <x:c r="J1538" s="26" t="n">
        <x:v>1825</x:v>
      </x:c>
      <x:c r="K1538" s="35" t="str">
        <x:v>September 2027 rent</x:v>
      </x:c>
    </x:row>
    <x:row r="1539">
      <x:c r="A1539" s="20" t="str">
        <x:v>FIN-00766</x:v>
      </x:c>
      <x:c r="B1539" s="32" t="n">
        <x:v>1</x:v>
      </x:c>
      <x:c r="C1539" s="23" t="n">
        <x:v>46633</x:v>
      </x:c>
      <x:c r="D1539" s="23" t="n">
        <x:v>46633</x:v>
      </x:c>
      <x:c r="E1539" s="20" t="str">
        <x:v>P030</x:v>
      </x:c>
      <x:c r="F1539" s="20" t="str">
        <x:v>U039</x:v>
      </x:c>
      <x:c r="G1539" s="20" t="str">
        <x:v>L045</x:v>
      </x:c>
      <x:c r="H1539" s="20" t="str">
        <x:v>1000 Operating Cash</x:v>
      </x:c>
      <x:c r="I1539" s="26" t="n">
        <x:v>1825</x:v>
      </x:c>
      <x:c r="J1539" s="26" t="n">
        <x:v>0</x:v>
      </x:c>
      <x:c r="K1539" s="35" t="str">
        <x:v>Receipt allocated to FIN-00765</x:v>
      </x:c>
    </x:row>
    <x:row r="1540">
      <x:c r="A1540" s="20" t="str">
        <x:v>FIN-00766</x:v>
      </x:c>
      <x:c r="B1540" s="32" t="n">
        <x:v>2</x:v>
      </x:c>
      <x:c r="C1540" s="23" t="n">
        <x:v>46633</x:v>
      </x:c>
      <x:c r="D1540" s="23" t="n">
        <x:v>46633</x:v>
      </x:c>
      <x:c r="E1540" s="20" t="str">
        <x:v>P030</x:v>
      </x:c>
      <x:c r="F1540" s="20" t="str">
        <x:v>U039</x:v>
      </x:c>
      <x:c r="G1540" s="20" t="str">
        <x:v>L045</x:v>
      </x:c>
      <x:c r="H1540" s="20" t="str">
        <x:v>1100 Tenant Accounts Receivable</x:v>
      </x:c>
      <x:c r="I1540" s="26" t="n">
        <x:v>0</x:v>
      </x:c>
      <x:c r="J1540" s="26" t="n">
        <x:v>1825</x:v>
      </x:c>
      <x:c r="K1540" s="35" t="str">
        <x:v>Receipt allocated to FIN-00765</x:v>
      </x:c>
    </x:row>
    <x:row r="1541">
      <x:c r="A1541" s="20" t="str">
        <x:v>FIN-00767</x:v>
      </x:c>
      <x:c r="B1541" s="32" t="n">
        <x:v>1</x:v>
      </x:c>
      <x:c r="C1541" s="23" t="n">
        <x:v>46661</x:v>
      </x:c>
      <x:c r="D1541" s="23" t="n">
        <x:v>46661</x:v>
      </x:c>
      <x:c r="E1541" s="20" t="str">
        <x:v>P001</x:v>
      </x:c>
      <x:c r="F1541" s="20" t="str">
        <x:v>U001</x:v>
      </x:c>
      <x:c r="G1541" s="20" t="str">
        <x:v>L001</x:v>
      </x:c>
      <x:c r="H1541" s="20" t="str">
        <x:v>1100 Tenant Accounts Receivable</x:v>
      </x:c>
      <x:c r="I1541" s="26" t="n">
        <x:v>1575</x:v>
      </x:c>
      <x:c r="J1541" s="26" t="n">
        <x:v>0</x:v>
      </x:c>
      <x:c r="K1541" s="35" t="str">
        <x:v>October 2027 rent</x:v>
      </x:c>
    </x:row>
    <x:row r="1542">
      <x:c r="A1542" s="20" t="str">
        <x:v>FIN-00767</x:v>
      </x:c>
      <x:c r="B1542" s="32" t="n">
        <x:v>2</x:v>
      </x:c>
      <x:c r="C1542" s="23" t="n">
        <x:v>46661</x:v>
      </x:c>
      <x:c r="D1542" s="23" t="n">
        <x:v>46661</x:v>
      </x:c>
      <x:c r="E1542" s="20" t="str">
        <x:v>P001</x:v>
      </x:c>
      <x:c r="F1542" s="20" t="str">
        <x:v>U001</x:v>
      </x:c>
      <x:c r="G1542" s="20" t="str">
        <x:v>L001</x:v>
      </x:c>
      <x:c r="H1542" s="20" t="str">
        <x:v>4000 Rental Income</x:v>
      </x:c>
      <x:c r="I1542" s="26" t="n">
        <x:v>0</x:v>
      </x:c>
      <x:c r="J1542" s="26" t="n">
        <x:v>1575</x:v>
      </x:c>
      <x:c r="K1542" s="35" t="str">
        <x:v>October 2027 rent</x:v>
      </x:c>
    </x:row>
    <x:row r="1543">
      <x:c r="A1543" s="20" t="str">
        <x:v>FIN-00768</x:v>
      </x:c>
      <x:c r="B1543" s="32" t="n">
        <x:v>1</x:v>
      </x:c>
      <x:c r="C1543" s="23" t="n">
        <x:v>46664</x:v>
      </x:c>
      <x:c r="D1543" s="23" t="n">
        <x:v>46664</x:v>
      </x:c>
      <x:c r="E1543" s="20" t="str">
        <x:v>P001</x:v>
      </x:c>
      <x:c r="F1543" s="20" t="str">
        <x:v>U001</x:v>
      </x:c>
      <x:c r="G1543" s="20" t="str">
        <x:v>L001</x:v>
      </x:c>
      <x:c r="H1543" s="20" t="str">
        <x:v>1000 Operating Cash</x:v>
      </x:c>
      <x:c r="I1543" s="26" t="n">
        <x:v>1575</x:v>
      </x:c>
      <x:c r="J1543" s="26" t="n">
        <x:v>0</x:v>
      </x:c>
      <x:c r="K1543" s="35" t="str">
        <x:v>Receipt allocated to FIN-00767</x:v>
      </x:c>
    </x:row>
    <x:row r="1544">
      <x:c r="A1544" s="20" t="str">
        <x:v>FIN-00768</x:v>
      </x:c>
      <x:c r="B1544" s="32" t="n">
        <x:v>2</x:v>
      </x:c>
      <x:c r="C1544" s="23" t="n">
        <x:v>46664</x:v>
      </x:c>
      <x:c r="D1544" s="23" t="n">
        <x:v>46664</x:v>
      </x:c>
      <x:c r="E1544" s="20" t="str">
        <x:v>P001</x:v>
      </x:c>
      <x:c r="F1544" s="20" t="str">
        <x:v>U001</x:v>
      </x:c>
      <x:c r="G1544" s="20" t="str">
        <x:v>L001</x:v>
      </x:c>
      <x:c r="H1544" s="20" t="str">
        <x:v>1100 Tenant Accounts Receivable</x:v>
      </x:c>
      <x:c r="I1544" s="26" t="n">
        <x:v>0</x:v>
      </x:c>
      <x:c r="J1544" s="26" t="n">
        <x:v>1575</x:v>
      </x:c>
      <x:c r="K1544" s="35" t="str">
        <x:v>Receipt allocated to FIN-00767</x:v>
      </x:c>
    </x:row>
    <x:row r="1545">
      <x:c r="A1545" s="20" t="str">
        <x:v>FIN-00769</x:v>
      </x:c>
      <x:c r="B1545" s="32" t="n">
        <x:v>1</x:v>
      </x:c>
      <x:c r="C1545" s="23" t="n">
        <x:v>46661</x:v>
      </x:c>
      <x:c r="D1545" s="23" t="n">
        <x:v>46661</x:v>
      </x:c>
      <x:c r="E1545" s="20" t="str">
        <x:v>P002</x:v>
      </x:c>
      <x:c r="F1545" s="20" t="str">
        <x:v>U002</x:v>
      </x:c>
      <x:c r="G1545" s="20" t="str">
        <x:v>L002</x:v>
      </x:c>
      <x:c r="H1545" s="20" t="str">
        <x:v>1100 Tenant Accounts Receivable</x:v>
      </x:c>
      <x:c r="I1545" s="26" t="n">
        <x:v>1200</x:v>
      </x:c>
      <x:c r="J1545" s="26" t="n">
        <x:v>0</x:v>
      </x:c>
      <x:c r="K1545" s="35" t="str">
        <x:v>October 2027 rent</x:v>
      </x:c>
    </x:row>
    <x:row r="1546">
      <x:c r="A1546" s="20" t="str">
        <x:v>FIN-00769</x:v>
      </x:c>
      <x:c r="B1546" s="32" t="n">
        <x:v>2</x:v>
      </x:c>
      <x:c r="C1546" s="23" t="n">
        <x:v>46661</x:v>
      </x:c>
      <x:c r="D1546" s="23" t="n">
        <x:v>46661</x:v>
      </x:c>
      <x:c r="E1546" s="20" t="str">
        <x:v>P002</x:v>
      </x:c>
      <x:c r="F1546" s="20" t="str">
        <x:v>U002</x:v>
      </x:c>
      <x:c r="G1546" s="20" t="str">
        <x:v>L002</x:v>
      </x:c>
      <x:c r="H1546" s="20" t="str">
        <x:v>4000 Rental Income</x:v>
      </x:c>
      <x:c r="I1546" s="26" t="n">
        <x:v>0</x:v>
      </x:c>
      <x:c r="J1546" s="26" t="n">
        <x:v>1200</x:v>
      </x:c>
      <x:c r="K1546" s="35" t="str">
        <x:v>October 2027 rent</x:v>
      </x:c>
    </x:row>
    <x:row r="1547">
      <x:c r="A1547" s="20" t="str">
        <x:v>FIN-00770</x:v>
      </x:c>
      <x:c r="B1547" s="32" t="n">
        <x:v>1</x:v>
      </x:c>
      <x:c r="C1547" s="23" t="n">
        <x:v>46665</x:v>
      </x:c>
      <x:c r="D1547" s="23" t="n">
        <x:v>46665</x:v>
      </x:c>
      <x:c r="E1547" s="20" t="str">
        <x:v>P002</x:v>
      </x:c>
      <x:c r="F1547" s="20" t="str">
        <x:v>U002</x:v>
      </x:c>
      <x:c r="G1547" s="20" t="str">
        <x:v>L002</x:v>
      </x:c>
      <x:c r="H1547" s="20" t="str">
        <x:v>1000 Operating Cash</x:v>
      </x:c>
      <x:c r="I1547" s="26" t="n">
        <x:v>1200</x:v>
      </x:c>
      <x:c r="J1547" s="26" t="n">
        <x:v>0</x:v>
      </x:c>
      <x:c r="K1547" s="35" t="str">
        <x:v>Receipt allocated to FIN-00769</x:v>
      </x:c>
    </x:row>
    <x:row r="1548">
      <x:c r="A1548" s="20" t="str">
        <x:v>FIN-00770</x:v>
      </x:c>
      <x:c r="B1548" s="32" t="n">
        <x:v>2</x:v>
      </x:c>
      <x:c r="C1548" s="23" t="n">
        <x:v>46665</x:v>
      </x:c>
      <x:c r="D1548" s="23" t="n">
        <x:v>46665</x:v>
      </x:c>
      <x:c r="E1548" s="20" t="str">
        <x:v>P002</x:v>
      </x:c>
      <x:c r="F1548" s="20" t="str">
        <x:v>U002</x:v>
      </x:c>
      <x:c r="G1548" s="20" t="str">
        <x:v>L002</x:v>
      </x:c>
      <x:c r="H1548" s="20" t="str">
        <x:v>1100 Tenant Accounts Receivable</x:v>
      </x:c>
      <x:c r="I1548" s="26" t="n">
        <x:v>0</x:v>
      </x:c>
      <x:c r="J1548" s="26" t="n">
        <x:v>1200</x:v>
      </x:c>
      <x:c r="K1548" s="35" t="str">
        <x:v>Receipt allocated to FIN-00769</x:v>
      </x:c>
    </x:row>
    <x:row r="1549">
      <x:c r="A1549" s="20" t="str">
        <x:v>FIN-00771</x:v>
      </x:c>
      <x:c r="B1549" s="32" t="n">
        <x:v>1</x:v>
      </x:c>
      <x:c r="C1549" s="23" t="n">
        <x:v>46661</x:v>
      </x:c>
      <x:c r="D1549" s="23" t="n">
        <x:v>46661</x:v>
      </x:c>
      <x:c r="E1549" s="20" t="str">
        <x:v>P003</x:v>
      </x:c>
      <x:c r="F1549" s="20" t="str">
        <x:v>U003</x:v>
      </x:c>
      <x:c r="G1549" s="20" t="str">
        <x:v>L003</x:v>
      </x:c>
      <x:c r="H1549" s="20" t="str">
        <x:v>1100 Tenant Accounts Receivable</x:v>
      </x:c>
      <x:c r="I1549" s="26" t="n">
        <x:v>1725</x:v>
      </x:c>
      <x:c r="J1549" s="26" t="n">
        <x:v>0</x:v>
      </x:c>
      <x:c r="K1549" s="35" t="str">
        <x:v>October 2027 rent</x:v>
      </x:c>
    </x:row>
    <x:row r="1550">
      <x:c r="A1550" s="20" t="str">
        <x:v>FIN-00771</x:v>
      </x:c>
      <x:c r="B1550" s="32" t="n">
        <x:v>2</x:v>
      </x:c>
      <x:c r="C1550" s="23" t="n">
        <x:v>46661</x:v>
      </x:c>
      <x:c r="D1550" s="23" t="n">
        <x:v>46661</x:v>
      </x:c>
      <x:c r="E1550" s="20" t="str">
        <x:v>P003</x:v>
      </x:c>
      <x:c r="F1550" s="20" t="str">
        <x:v>U003</x:v>
      </x:c>
      <x:c r="G1550" s="20" t="str">
        <x:v>L003</x:v>
      </x:c>
      <x:c r="H1550" s="20" t="str">
        <x:v>4000 Rental Income</x:v>
      </x:c>
      <x:c r="I1550" s="26" t="n">
        <x:v>0</x:v>
      </x:c>
      <x:c r="J1550" s="26" t="n">
        <x:v>1725</x:v>
      </x:c>
      <x:c r="K1550" s="35" t="str">
        <x:v>October 2027 rent</x:v>
      </x:c>
    </x:row>
    <x:row r="1551">
      <x:c r="A1551" s="20" t="str">
        <x:v>FIN-00772</x:v>
      </x:c>
      <x:c r="B1551" s="32" t="n">
        <x:v>1</x:v>
      </x:c>
      <x:c r="C1551" s="23" t="n">
        <x:v>46663</x:v>
      </x:c>
      <x:c r="D1551" s="23" t="n">
        <x:v>46663</x:v>
      </x:c>
      <x:c r="E1551" s="20" t="str">
        <x:v>P003</x:v>
      </x:c>
      <x:c r="F1551" s="20" t="str">
        <x:v>U003</x:v>
      </x:c>
      <x:c r="G1551" s="20" t="str">
        <x:v>L003</x:v>
      </x:c>
      <x:c r="H1551" s="20" t="str">
        <x:v>1000 Operating Cash</x:v>
      </x:c>
      <x:c r="I1551" s="26" t="n">
        <x:v>1725</x:v>
      </x:c>
      <x:c r="J1551" s="26" t="n">
        <x:v>0</x:v>
      </x:c>
      <x:c r="K1551" s="35" t="str">
        <x:v>Receipt allocated to FIN-00771</x:v>
      </x:c>
    </x:row>
    <x:row r="1552">
      <x:c r="A1552" s="20" t="str">
        <x:v>FIN-00772</x:v>
      </x:c>
      <x:c r="B1552" s="32" t="n">
        <x:v>2</x:v>
      </x:c>
      <x:c r="C1552" s="23" t="n">
        <x:v>46663</x:v>
      </x:c>
      <x:c r="D1552" s="23" t="n">
        <x:v>46663</x:v>
      </x:c>
      <x:c r="E1552" s="20" t="str">
        <x:v>P003</x:v>
      </x:c>
      <x:c r="F1552" s="20" t="str">
        <x:v>U003</x:v>
      </x:c>
      <x:c r="G1552" s="20" t="str">
        <x:v>L003</x:v>
      </x:c>
      <x:c r="H1552" s="20" t="str">
        <x:v>1100 Tenant Accounts Receivable</x:v>
      </x:c>
      <x:c r="I1552" s="26" t="n">
        <x:v>0</x:v>
      </x:c>
      <x:c r="J1552" s="26" t="n">
        <x:v>1725</x:v>
      </x:c>
      <x:c r="K1552" s="35" t="str">
        <x:v>Receipt allocated to FIN-00771</x:v>
      </x:c>
    </x:row>
    <x:row r="1553">
      <x:c r="A1553" s="20" t="str">
        <x:v>FIN-00773</x:v>
      </x:c>
      <x:c r="B1553" s="32" t="n">
        <x:v>1</x:v>
      </x:c>
      <x:c r="C1553" s="23" t="n">
        <x:v>46661</x:v>
      </x:c>
      <x:c r="D1553" s="23" t="n">
        <x:v>46661</x:v>
      </x:c>
      <x:c r="E1553" s="20" t="str">
        <x:v>P004</x:v>
      </x:c>
      <x:c r="F1553" s="20" t="str">
        <x:v>U004</x:v>
      </x:c>
      <x:c r="G1553" s="20" t="str">
        <x:v>L004</x:v>
      </x:c>
      <x:c r="H1553" s="20" t="str">
        <x:v>1100 Tenant Accounts Receivable</x:v>
      </x:c>
      <x:c r="I1553" s="26" t="n">
        <x:v>1350</x:v>
      </x:c>
      <x:c r="J1553" s="26" t="n">
        <x:v>0</x:v>
      </x:c>
      <x:c r="K1553" s="35" t="str">
        <x:v>October 2027 rent</x:v>
      </x:c>
    </x:row>
    <x:row r="1554">
      <x:c r="A1554" s="20" t="str">
        <x:v>FIN-00773</x:v>
      </x:c>
      <x:c r="B1554" s="32" t="n">
        <x:v>2</x:v>
      </x:c>
      <x:c r="C1554" s="23" t="n">
        <x:v>46661</x:v>
      </x:c>
      <x:c r="D1554" s="23" t="n">
        <x:v>46661</x:v>
      </x:c>
      <x:c r="E1554" s="20" t="str">
        <x:v>P004</x:v>
      </x:c>
      <x:c r="F1554" s="20" t="str">
        <x:v>U004</x:v>
      </x:c>
      <x:c r="G1554" s="20" t="str">
        <x:v>L004</x:v>
      </x:c>
      <x:c r="H1554" s="20" t="str">
        <x:v>4000 Rental Income</x:v>
      </x:c>
      <x:c r="I1554" s="26" t="n">
        <x:v>0</x:v>
      </x:c>
      <x:c r="J1554" s="26" t="n">
        <x:v>1350</x:v>
      </x:c>
      <x:c r="K1554" s="35" t="str">
        <x:v>October 2027 rent</x:v>
      </x:c>
    </x:row>
    <x:row r="1555">
      <x:c r="A1555" s="20" t="str">
        <x:v>FIN-00774</x:v>
      </x:c>
      <x:c r="B1555" s="32" t="n">
        <x:v>1</x:v>
      </x:c>
      <x:c r="C1555" s="23" t="n">
        <x:v>46664</x:v>
      </x:c>
      <x:c r="D1555" s="23" t="n">
        <x:v>46664</x:v>
      </x:c>
      <x:c r="E1555" s="20" t="str">
        <x:v>P004</x:v>
      </x:c>
      <x:c r="F1555" s="20" t="str">
        <x:v>U004</x:v>
      </x:c>
      <x:c r="G1555" s="20" t="str">
        <x:v>L004</x:v>
      </x:c>
      <x:c r="H1555" s="20" t="str">
        <x:v>1000 Operating Cash</x:v>
      </x:c>
      <x:c r="I1555" s="26" t="n">
        <x:v>1350</x:v>
      </x:c>
      <x:c r="J1555" s="26" t="n">
        <x:v>0</x:v>
      </x:c>
      <x:c r="K1555" s="35" t="str">
        <x:v>Receipt allocated to FIN-00773</x:v>
      </x:c>
    </x:row>
    <x:row r="1556">
      <x:c r="A1556" s="20" t="str">
        <x:v>FIN-00774</x:v>
      </x:c>
      <x:c r="B1556" s="32" t="n">
        <x:v>2</x:v>
      </x:c>
      <x:c r="C1556" s="23" t="n">
        <x:v>46664</x:v>
      </x:c>
      <x:c r="D1556" s="23" t="n">
        <x:v>46664</x:v>
      </x:c>
      <x:c r="E1556" s="20" t="str">
        <x:v>P004</x:v>
      </x:c>
      <x:c r="F1556" s="20" t="str">
        <x:v>U004</x:v>
      </x:c>
      <x:c r="G1556" s="20" t="str">
        <x:v>L004</x:v>
      </x:c>
      <x:c r="H1556" s="20" t="str">
        <x:v>1100 Tenant Accounts Receivable</x:v>
      </x:c>
      <x:c r="I1556" s="26" t="n">
        <x:v>0</x:v>
      </x:c>
      <x:c r="J1556" s="26" t="n">
        <x:v>1350</x:v>
      </x:c>
      <x:c r="K1556" s="35" t="str">
        <x:v>Receipt allocated to FIN-00773</x:v>
      </x:c>
    </x:row>
    <x:row r="1557">
      <x:c r="A1557" s="20" t="str">
        <x:v>FIN-00775</x:v>
      </x:c>
      <x:c r="B1557" s="32" t="n">
        <x:v>1</x:v>
      </x:c>
      <x:c r="C1557" s="23" t="n">
        <x:v>46661</x:v>
      </x:c>
      <x:c r="D1557" s="23" t="n">
        <x:v>46661</x:v>
      </x:c>
      <x:c r="E1557" s="20" t="str">
        <x:v>P006</x:v>
      </x:c>
      <x:c r="F1557" s="20" t="str">
        <x:v>U006</x:v>
      </x:c>
      <x:c r="G1557" s="20" t="str">
        <x:v>L006</x:v>
      </x:c>
      <x:c r="H1557" s="20" t="str">
        <x:v>1100 Tenant Accounts Receivable</x:v>
      </x:c>
      <x:c r="I1557" s="26" t="n">
        <x:v>1500</x:v>
      </x:c>
      <x:c r="J1557" s="26" t="n">
        <x:v>0</x:v>
      </x:c>
      <x:c r="K1557" s="35" t="str">
        <x:v>October 2027 rent</x:v>
      </x:c>
    </x:row>
    <x:row r="1558">
      <x:c r="A1558" s="20" t="str">
        <x:v>FIN-00775</x:v>
      </x:c>
      <x:c r="B1558" s="32" t="n">
        <x:v>2</x:v>
      </x:c>
      <x:c r="C1558" s="23" t="n">
        <x:v>46661</x:v>
      </x:c>
      <x:c r="D1558" s="23" t="n">
        <x:v>46661</x:v>
      </x:c>
      <x:c r="E1558" s="20" t="str">
        <x:v>P006</x:v>
      </x:c>
      <x:c r="F1558" s="20" t="str">
        <x:v>U006</x:v>
      </x:c>
      <x:c r="G1558" s="20" t="str">
        <x:v>L006</x:v>
      </x:c>
      <x:c r="H1558" s="20" t="str">
        <x:v>4000 Rental Income</x:v>
      </x:c>
      <x:c r="I1558" s="26" t="n">
        <x:v>0</x:v>
      </x:c>
      <x:c r="J1558" s="26" t="n">
        <x:v>1500</x:v>
      </x:c>
      <x:c r="K1558" s="35" t="str">
        <x:v>October 2027 rent</x:v>
      </x:c>
    </x:row>
    <x:row r="1559">
      <x:c r="A1559" s="20" t="str">
        <x:v>FIN-00776</x:v>
      </x:c>
      <x:c r="B1559" s="32" t="n">
        <x:v>1</x:v>
      </x:c>
      <x:c r="C1559" s="23" t="n">
        <x:v>46663</x:v>
      </x:c>
      <x:c r="D1559" s="23" t="n">
        <x:v>46663</x:v>
      </x:c>
      <x:c r="E1559" s="20" t="str">
        <x:v>P006</x:v>
      </x:c>
      <x:c r="F1559" s="20" t="str">
        <x:v>U006</x:v>
      </x:c>
      <x:c r="G1559" s="20" t="str">
        <x:v>L006</x:v>
      </x:c>
      <x:c r="H1559" s="20" t="str">
        <x:v>1000 Operating Cash</x:v>
      </x:c>
      <x:c r="I1559" s="26" t="n">
        <x:v>1500</x:v>
      </x:c>
      <x:c r="J1559" s="26" t="n">
        <x:v>0</x:v>
      </x:c>
      <x:c r="K1559" s="35" t="str">
        <x:v>Receipt allocated to FIN-00775</x:v>
      </x:c>
    </x:row>
    <x:row r="1560">
      <x:c r="A1560" s="20" t="str">
        <x:v>FIN-00776</x:v>
      </x:c>
      <x:c r="B1560" s="32" t="n">
        <x:v>2</x:v>
      </x:c>
      <x:c r="C1560" s="23" t="n">
        <x:v>46663</x:v>
      </x:c>
      <x:c r="D1560" s="23" t="n">
        <x:v>46663</x:v>
      </x:c>
      <x:c r="E1560" s="20" t="str">
        <x:v>P006</x:v>
      </x:c>
      <x:c r="F1560" s="20" t="str">
        <x:v>U006</x:v>
      </x:c>
      <x:c r="G1560" s="20" t="str">
        <x:v>L006</x:v>
      </x:c>
      <x:c r="H1560" s="20" t="str">
        <x:v>1100 Tenant Accounts Receivable</x:v>
      </x:c>
      <x:c r="I1560" s="26" t="n">
        <x:v>0</x:v>
      </x:c>
      <x:c r="J1560" s="26" t="n">
        <x:v>1500</x:v>
      </x:c>
      <x:c r="K1560" s="35" t="str">
        <x:v>Receipt allocated to FIN-00775</x:v>
      </x:c>
    </x:row>
    <x:row r="1561">
      <x:c r="A1561" s="20" t="str">
        <x:v>FIN-00777</x:v>
      </x:c>
      <x:c r="B1561" s="32" t="n">
        <x:v>1</x:v>
      </x:c>
      <x:c r="C1561" s="23" t="n">
        <x:v>46661</x:v>
      </x:c>
      <x:c r="D1561" s="23" t="n">
        <x:v>46661</x:v>
      </x:c>
      <x:c r="E1561" s="20" t="str">
        <x:v>P007</x:v>
      </x:c>
      <x:c r="F1561" s="20" t="str">
        <x:v>U007</x:v>
      </x:c>
      <x:c r="G1561" s="20" t="str">
        <x:v>L007</x:v>
      </x:c>
      <x:c r="H1561" s="20" t="str">
        <x:v>1100 Tenant Accounts Receivable</x:v>
      </x:c>
      <x:c r="I1561" s="26" t="n">
        <x:v>1125</x:v>
      </x:c>
      <x:c r="J1561" s="26" t="n">
        <x:v>0</x:v>
      </x:c>
      <x:c r="K1561" s="35" t="str">
        <x:v>October 2027 rent</x:v>
      </x:c>
    </x:row>
    <x:row r="1562">
      <x:c r="A1562" s="20" t="str">
        <x:v>FIN-00777</x:v>
      </x:c>
      <x:c r="B1562" s="32" t="n">
        <x:v>2</x:v>
      </x:c>
      <x:c r="C1562" s="23" t="n">
        <x:v>46661</x:v>
      </x:c>
      <x:c r="D1562" s="23" t="n">
        <x:v>46661</x:v>
      </x:c>
      <x:c r="E1562" s="20" t="str">
        <x:v>P007</x:v>
      </x:c>
      <x:c r="F1562" s="20" t="str">
        <x:v>U007</x:v>
      </x:c>
      <x:c r="G1562" s="20" t="str">
        <x:v>L007</x:v>
      </x:c>
      <x:c r="H1562" s="20" t="str">
        <x:v>4000 Rental Income</x:v>
      </x:c>
      <x:c r="I1562" s="26" t="n">
        <x:v>0</x:v>
      </x:c>
      <x:c r="J1562" s="26" t="n">
        <x:v>1125</x:v>
      </x:c>
      <x:c r="K1562" s="35" t="str">
        <x:v>October 2027 rent</x:v>
      </x:c>
    </x:row>
    <x:row r="1563">
      <x:c r="A1563" s="20" t="str">
        <x:v>FIN-00778</x:v>
      </x:c>
      <x:c r="B1563" s="32" t="n">
        <x:v>1</x:v>
      </x:c>
      <x:c r="C1563" s="23" t="n">
        <x:v>46664</x:v>
      </x:c>
      <x:c r="D1563" s="23" t="n">
        <x:v>46664</x:v>
      </x:c>
      <x:c r="E1563" s="20" t="str">
        <x:v>P007</x:v>
      </x:c>
      <x:c r="F1563" s="20" t="str">
        <x:v>U007</x:v>
      </x:c>
      <x:c r="G1563" s="20" t="str">
        <x:v>L007</x:v>
      </x:c>
      <x:c r="H1563" s="20" t="str">
        <x:v>1000 Operating Cash</x:v>
      </x:c>
      <x:c r="I1563" s="26" t="n">
        <x:v>1125</x:v>
      </x:c>
      <x:c r="J1563" s="26" t="n">
        <x:v>0</x:v>
      </x:c>
      <x:c r="K1563" s="35" t="str">
        <x:v>Receipt allocated to FIN-00777</x:v>
      </x:c>
    </x:row>
    <x:row r="1564">
      <x:c r="A1564" s="20" t="str">
        <x:v>FIN-00778</x:v>
      </x:c>
      <x:c r="B1564" s="32" t="n">
        <x:v>2</x:v>
      </x:c>
      <x:c r="C1564" s="23" t="n">
        <x:v>46664</x:v>
      </x:c>
      <x:c r="D1564" s="23" t="n">
        <x:v>46664</x:v>
      </x:c>
      <x:c r="E1564" s="20" t="str">
        <x:v>P007</x:v>
      </x:c>
      <x:c r="F1564" s="20" t="str">
        <x:v>U007</x:v>
      </x:c>
      <x:c r="G1564" s="20" t="str">
        <x:v>L007</x:v>
      </x:c>
      <x:c r="H1564" s="20" t="str">
        <x:v>1100 Tenant Accounts Receivable</x:v>
      </x:c>
      <x:c r="I1564" s="26" t="n">
        <x:v>0</x:v>
      </x:c>
      <x:c r="J1564" s="26" t="n">
        <x:v>1125</x:v>
      </x:c>
      <x:c r="K1564" s="35" t="str">
        <x:v>Receipt allocated to FIN-00777</x:v>
      </x:c>
    </x:row>
    <x:row r="1565">
      <x:c r="A1565" s="20" t="str">
        <x:v>FIN-00779</x:v>
      </x:c>
      <x:c r="B1565" s="32" t="n">
        <x:v>1</x:v>
      </x:c>
      <x:c r="C1565" s="23" t="n">
        <x:v>46661</x:v>
      </x:c>
      <x:c r="D1565" s="23" t="n">
        <x:v>46661</x:v>
      </x:c>
      <x:c r="E1565" s="20" t="str">
        <x:v>P009</x:v>
      </x:c>
      <x:c r="F1565" s="20" t="str">
        <x:v>U009</x:v>
      </x:c>
      <x:c r="G1565" s="20" t="str">
        <x:v>L009</x:v>
      </x:c>
      <x:c r="H1565" s="20" t="str">
        <x:v>1100 Tenant Accounts Receivable</x:v>
      </x:c>
      <x:c r="I1565" s="26" t="n">
        <x:v>1275</x:v>
      </x:c>
      <x:c r="J1565" s="26" t="n">
        <x:v>0</x:v>
      </x:c>
      <x:c r="K1565" s="35" t="str">
        <x:v>October 2027 rent</x:v>
      </x:c>
    </x:row>
    <x:row r="1566">
      <x:c r="A1566" s="20" t="str">
        <x:v>FIN-00779</x:v>
      </x:c>
      <x:c r="B1566" s="32" t="n">
        <x:v>2</x:v>
      </x:c>
      <x:c r="C1566" s="23" t="n">
        <x:v>46661</x:v>
      </x:c>
      <x:c r="D1566" s="23" t="n">
        <x:v>46661</x:v>
      </x:c>
      <x:c r="E1566" s="20" t="str">
        <x:v>P009</x:v>
      </x:c>
      <x:c r="F1566" s="20" t="str">
        <x:v>U009</x:v>
      </x:c>
      <x:c r="G1566" s="20" t="str">
        <x:v>L009</x:v>
      </x:c>
      <x:c r="H1566" s="20" t="str">
        <x:v>4000 Rental Income</x:v>
      </x:c>
      <x:c r="I1566" s="26" t="n">
        <x:v>0</x:v>
      </x:c>
      <x:c r="J1566" s="26" t="n">
        <x:v>1275</x:v>
      </x:c>
      <x:c r="K1566" s="35" t="str">
        <x:v>October 2027 rent</x:v>
      </x:c>
    </x:row>
    <x:row r="1567">
      <x:c r="A1567" s="20" t="str">
        <x:v>FIN-00780</x:v>
      </x:c>
      <x:c r="B1567" s="32" t="n">
        <x:v>1</x:v>
      </x:c>
      <x:c r="C1567" s="23" t="n">
        <x:v>46663</x:v>
      </x:c>
      <x:c r="D1567" s="23" t="n">
        <x:v>46663</x:v>
      </x:c>
      <x:c r="E1567" s="20" t="str">
        <x:v>P009</x:v>
      </x:c>
      <x:c r="F1567" s="20" t="str">
        <x:v>U009</x:v>
      </x:c>
      <x:c r="G1567" s="20" t="str">
        <x:v>L009</x:v>
      </x:c>
      <x:c r="H1567" s="20" t="str">
        <x:v>1000 Operating Cash</x:v>
      </x:c>
      <x:c r="I1567" s="26" t="n">
        <x:v>1275</x:v>
      </x:c>
      <x:c r="J1567" s="26" t="n">
        <x:v>0</x:v>
      </x:c>
      <x:c r="K1567" s="35" t="str">
        <x:v>Receipt allocated to FIN-00779</x:v>
      </x:c>
    </x:row>
    <x:row r="1568">
      <x:c r="A1568" s="20" t="str">
        <x:v>FIN-00780</x:v>
      </x:c>
      <x:c r="B1568" s="32" t="n">
        <x:v>2</x:v>
      </x:c>
      <x:c r="C1568" s="23" t="n">
        <x:v>46663</x:v>
      </x:c>
      <x:c r="D1568" s="23" t="n">
        <x:v>46663</x:v>
      </x:c>
      <x:c r="E1568" s="20" t="str">
        <x:v>P009</x:v>
      </x:c>
      <x:c r="F1568" s="20" t="str">
        <x:v>U009</x:v>
      </x:c>
      <x:c r="G1568" s="20" t="str">
        <x:v>L009</x:v>
      </x:c>
      <x:c r="H1568" s="20" t="str">
        <x:v>1100 Tenant Accounts Receivable</x:v>
      </x:c>
      <x:c r="I1568" s="26" t="n">
        <x:v>0</x:v>
      </x:c>
      <x:c r="J1568" s="26" t="n">
        <x:v>1275</x:v>
      </x:c>
      <x:c r="K1568" s="35" t="str">
        <x:v>Receipt allocated to FIN-00779</x:v>
      </x:c>
    </x:row>
    <x:row r="1569">
      <x:c r="A1569" s="20" t="str">
        <x:v>FIN-00781</x:v>
      </x:c>
      <x:c r="B1569" s="32" t="n">
        <x:v>1</x:v>
      </x:c>
      <x:c r="C1569" s="23" t="n">
        <x:v>46661</x:v>
      </x:c>
      <x:c r="D1569" s="23" t="n">
        <x:v>46661</x:v>
      </x:c>
      <x:c r="E1569" s="20" t="str">
        <x:v>P010</x:v>
      </x:c>
      <x:c r="F1569" s="20" t="str">
        <x:v>U010</x:v>
      </x:c>
      <x:c r="G1569" s="20" t="str">
        <x:v>L010</x:v>
      </x:c>
      <x:c r="H1569" s="20" t="str">
        <x:v>1100 Tenant Accounts Receivable</x:v>
      </x:c>
      <x:c r="I1569" s="26" t="n">
        <x:v>1800</x:v>
      </x:c>
      <x:c r="J1569" s="26" t="n">
        <x:v>0</x:v>
      </x:c>
      <x:c r="K1569" s="35" t="str">
        <x:v>October 2027 rent</x:v>
      </x:c>
    </x:row>
    <x:row r="1570">
      <x:c r="A1570" s="20" t="str">
        <x:v>FIN-00781</x:v>
      </x:c>
      <x:c r="B1570" s="32" t="n">
        <x:v>2</x:v>
      </x:c>
      <x:c r="C1570" s="23" t="n">
        <x:v>46661</x:v>
      </x:c>
      <x:c r="D1570" s="23" t="n">
        <x:v>46661</x:v>
      </x:c>
      <x:c r="E1570" s="20" t="str">
        <x:v>P010</x:v>
      </x:c>
      <x:c r="F1570" s="20" t="str">
        <x:v>U010</x:v>
      </x:c>
      <x:c r="G1570" s="20" t="str">
        <x:v>L010</x:v>
      </x:c>
      <x:c r="H1570" s="20" t="str">
        <x:v>4000 Rental Income</x:v>
      </x:c>
      <x:c r="I1570" s="26" t="n">
        <x:v>0</x:v>
      </x:c>
      <x:c r="J1570" s="26" t="n">
        <x:v>1800</x:v>
      </x:c>
      <x:c r="K1570" s="35" t="str">
        <x:v>October 2027 rent</x:v>
      </x:c>
    </x:row>
    <x:row r="1571">
      <x:c r="A1571" s="20" t="str">
        <x:v>FIN-00782</x:v>
      </x:c>
      <x:c r="B1571" s="32" t="n">
        <x:v>1</x:v>
      </x:c>
      <x:c r="C1571" s="23" t="n">
        <x:v>46664</x:v>
      </x:c>
      <x:c r="D1571" s="23" t="n">
        <x:v>46664</x:v>
      </x:c>
      <x:c r="E1571" s="20" t="str">
        <x:v>P010</x:v>
      </x:c>
      <x:c r="F1571" s="20" t="str">
        <x:v>U010</x:v>
      </x:c>
      <x:c r="G1571" s="20" t="str">
        <x:v>L010</x:v>
      </x:c>
      <x:c r="H1571" s="20" t="str">
        <x:v>1000 Operating Cash</x:v>
      </x:c>
      <x:c r="I1571" s="26" t="n">
        <x:v>1800</x:v>
      </x:c>
      <x:c r="J1571" s="26" t="n">
        <x:v>0</x:v>
      </x:c>
      <x:c r="K1571" s="35" t="str">
        <x:v>Receipt allocated to FIN-00781</x:v>
      </x:c>
    </x:row>
    <x:row r="1572">
      <x:c r="A1572" s="20" t="str">
        <x:v>FIN-00782</x:v>
      </x:c>
      <x:c r="B1572" s="32" t="n">
        <x:v>2</x:v>
      </x:c>
      <x:c r="C1572" s="23" t="n">
        <x:v>46664</x:v>
      </x:c>
      <x:c r="D1572" s="23" t="n">
        <x:v>46664</x:v>
      </x:c>
      <x:c r="E1572" s="20" t="str">
        <x:v>P010</x:v>
      </x:c>
      <x:c r="F1572" s="20" t="str">
        <x:v>U010</x:v>
      </x:c>
      <x:c r="G1572" s="20" t="str">
        <x:v>L010</x:v>
      </x:c>
      <x:c r="H1572" s="20" t="str">
        <x:v>1100 Tenant Accounts Receivable</x:v>
      </x:c>
      <x:c r="I1572" s="26" t="n">
        <x:v>0</x:v>
      </x:c>
      <x:c r="J1572" s="26" t="n">
        <x:v>1800</x:v>
      </x:c>
      <x:c r="K1572" s="35" t="str">
        <x:v>Receipt allocated to FIN-00781</x:v>
      </x:c>
    </x:row>
    <x:row r="1573">
      <x:c r="A1573" s="20" t="str">
        <x:v>FIN-00783</x:v>
      </x:c>
      <x:c r="B1573" s="32" t="n">
        <x:v>1</x:v>
      </x:c>
      <x:c r="C1573" s="23" t="n">
        <x:v>46661</x:v>
      </x:c>
      <x:c r="D1573" s="23" t="n">
        <x:v>46661</x:v>
      </x:c>
      <x:c r="E1573" s="20" t="str">
        <x:v>P011</x:v>
      </x:c>
      <x:c r="F1573" s="20" t="str">
        <x:v>U011</x:v>
      </x:c>
      <x:c r="G1573" s="20" t="str">
        <x:v>L011</x:v>
      </x:c>
      <x:c r="H1573" s="20" t="str">
        <x:v>1100 Tenant Accounts Receivable</x:v>
      </x:c>
      <x:c r="I1573" s="26" t="n">
        <x:v>1425</x:v>
      </x:c>
      <x:c r="J1573" s="26" t="n">
        <x:v>0</x:v>
      </x:c>
      <x:c r="K1573" s="35" t="str">
        <x:v>October 2027 rent</x:v>
      </x:c>
    </x:row>
    <x:row r="1574">
      <x:c r="A1574" s="20" t="str">
        <x:v>FIN-00783</x:v>
      </x:c>
      <x:c r="B1574" s="32" t="n">
        <x:v>2</x:v>
      </x:c>
      <x:c r="C1574" s="23" t="n">
        <x:v>46661</x:v>
      </x:c>
      <x:c r="D1574" s="23" t="n">
        <x:v>46661</x:v>
      </x:c>
      <x:c r="E1574" s="20" t="str">
        <x:v>P011</x:v>
      </x:c>
      <x:c r="F1574" s="20" t="str">
        <x:v>U011</x:v>
      </x:c>
      <x:c r="G1574" s="20" t="str">
        <x:v>L011</x:v>
      </x:c>
      <x:c r="H1574" s="20" t="str">
        <x:v>4000 Rental Income</x:v>
      </x:c>
      <x:c r="I1574" s="26" t="n">
        <x:v>0</x:v>
      </x:c>
      <x:c r="J1574" s="26" t="n">
        <x:v>1425</x:v>
      </x:c>
      <x:c r="K1574" s="35" t="str">
        <x:v>October 2027 rent</x:v>
      </x:c>
    </x:row>
    <x:row r="1575">
      <x:c r="A1575" s="20" t="str">
        <x:v>FIN-00784</x:v>
      </x:c>
      <x:c r="B1575" s="32" t="n">
        <x:v>1</x:v>
      </x:c>
      <x:c r="C1575" s="23" t="n">
        <x:v>46663</x:v>
      </x:c>
      <x:c r="D1575" s="23" t="n">
        <x:v>46663</x:v>
      </x:c>
      <x:c r="E1575" s="20" t="str">
        <x:v>P011</x:v>
      </x:c>
      <x:c r="F1575" s="20" t="str">
        <x:v>U011</x:v>
      </x:c>
      <x:c r="G1575" s="20" t="str">
        <x:v>L011</x:v>
      </x:c>
      <x:c r="H1575" s="20" t="str">
        <x:v>1000 Operating Cash</x:v>
      </x:c>
      <x:c r="I1575" s="26" t="n">
        <x:v>855</x:v>
      </x:c>
      <x:c r="J1575" s="26" t="n">
        <x:v>0</x:v>
      </x:c>
      <x:c r="K1575" s="35" t="str">
        <x:v>Receipt allocated to FIN-00783</x:v>
      </x:c>
    </x:row>
    <x:row r="1576">
      <x:c r="A1576" s="20" t="str">
        <x:v>FIN-00784</x:v>
      </x:c>
      <x:c r="B1576" s="32" t="n">
        <x:v>2</x:v>
      </x:c>
      <x:c r="C1576" s="23" t="n">
        <x:v>46663</x:v>
      </x:c>
      <x:c r="D1576" s="23" t="n">
        <x:v>46663</x:v>
      </x:c>
      <x:c r="E1576" s="20" t="str">
        <x:v>P011</x:v>
      </x:c>
      <x:c r="F1576" s="20" t="str">
        <x:v>U011</x:v>
      </x:c>
      <x:c r="G1576" s="20" t="str">
        <x:v>L011</x:v>
      </x:c>
      <x:c r="H1576" s="20" t="str">
        <x:v>1100 Tenant Accounts Receivable</x:v>
      </x:c>
      <x:c r="I1576" s="26" t="n">
        <x:v>0</x:v>
      </x:c>
      <x:c r="J1576" s="26" t="n">
        <x:v>855</x:v>
      </x:c>
      <x:c r="K1576" s="35" t="str">
        <x:v>Receipt allocated to FIN-00783</x:v>
      </x:c>
    </x:row>
    <x:row r="1577">
      <x:c r="A1577" s="20" t="str">
        <x:v>FIN-00785</x:v>
      </x:c>
      <x:c r="B1577" s="32" t="n">
        <x:v>1</x:v>
      </x:c>
      <x:c r="C1577" s="23" t="n">
        <x:v>46666</x:v>
      </x:c>
      <x:c r="D1577" s="23" t="n">
        <x:v>46666</x:v>
      </x:c>
      <x:c r="E1577" s="20" t="str">
        <x:v>P011</x:v>
      </x:c>
      <x:c r="F1577" s="20" t="str">
        <x:v>U011</x:v>
      </x:c>
      <x:c r="G1577" s="20" t="str">
        <x:v>L011</x:v>
      </x:c>
      <x:c r="H1577" s="20" t="str">
        <x:v>1100 Tenant Accounts Receivable</x:v>
      </x:c>
      <x:c r="I1577" s="26" t="n">
        <x:v>50</x:v>
      </x:c>
      <x:c r="J1577" s="26" t="n">
        <x:v>0</x:v>
      </x:c>
      <x:c r="K1577" s="35" t="str">
        <x:v>Synthetic lease-authorized late fee after partial payment</x:v>
      </x:c>
    </x:row>
    <x:row r="1578">
      <x:c r="A1578" s="20" t="str">
        <x:v>FIN-00785</x:v>
      </x:c>
      <x:c r="B1578" s="32" t="n">
        <x:v>2</x:v>
      </x:c>
      <x:c r="C1578" s="23" t="n">
        <x:v>46666</x:v>
      </x:c>
      <x:c r="D1578" s="23" t="n">
        <x:v>46666</x:v>
      </x:c>
      <x:c r="E1578" s="20" t="str">
        <x:v>P011</x:v>
      </x:c>
      <x:c r="F1578" s="20" t="str">
        <x:v>U011</x:v>
      </x:c>
      <x:c r="G1578" s="20" t="str">
        <x:v>L011</x:v>
      </x:c>
      <x:c r="H1578" s="20" t="str">
        <x:v>4010 Late Fee Income</x:v>
      </x:c>
      <x:c r="I1578" s="26" t="n">
        <x:v>0</x:v>
      </x:c>
      <x:c r="J1578" s="26" t="n">
        <x:v>50</x:v>
      </x:c>
      <x:c r="K1578" s="35" t="str">
        <x:v>Synthetic lease-authorized late fee after partial payment</x:v>
      </x:c>
    </x:row>
    <x:row r="1579">
      <x:c r="A1579" s="20" t="str">
        <x:v>FIN-00786</x:v>
      </x:c>
      <x:c r="B1579" s="32" t="n">
        <x:v>1</x:v>
      </x:c>
      <x:c r="C1579" s="23" t="n">
        <x:v>46672</x:v>
      </x:c>
      <x:c r="D1579" s="23" t="n">
        <x:v>46672</x:v>
      </x:c>
      <x:c r="E1579" s="20" t="str">
        <x:v>P011</x:v>
      </x:c>
      <x:c r="F1579" s="20" t="str">
        <x:v>U011</x:v>
      </x:c>
      <x:c r="G1579" s="20" t="str">
        <x:v>L011</x:v>
      </x:c>
      <x:c r="H1579" s="20" t="str">
        <x:v>1000 Operating Cash</x:v>
      </x:c>
      <x:c r="I1579" s="26" t="n">
        <x:v>620</x:v>
      </x:c>
      <x:c r="J1579" s="26" t="n">
        <x:v>0</x:v>
      </x:c>
      <x:c r="K1579" s="35" t="str">
        <x:v>Receipt allocated to FIN-00785</x:v>
      </x:c>
    </x:row>
    <x:row r="1580">
      <x:c r="A1580" s="20" t="str">
        <x:v>FIN-00786</x:v>
      </x:c>
      <x:c r="B1580" s="32" t="n">
        <x:v>2</x:v>
      </x:c>
      <x:c r="C1580" s="23" t="n">
        <x:v>46672</x:v>
      </x:c>
      <x:c r="D1580" s="23" t="n">
        <x:v>46672</x:v>
      </x:c>
      <x:c r="E1580" s="20" t="str">
        <x:v>P011</x:v>
      </x:c>
      <x:c r="F1580" s="20" t="str">
        <x:v>U011</x:v>
      </x:c>
      <x:c r="G1580" s="20" t="str">
        <x:v>L011</x:v>
      </x:c>
      <x:c r="H1580" s="20" t="str">
        <x:v>1100 Tenant Accounts Receivable</x:v>
      </x:c>
      <x:c r="I1580" s="26" t="n">
        <x:v>0</x:v>
      </x:c>
      <x:c r="J1580" s="26" t="n">
        <x:v>620</x:v>
      </x:c>
      <x:c r="K1580" s="35" t="str">
        <x:v>Receipt allocated to FIN-00785</x:v>
      </x:c>
    </x:row>
    <x:row r="1581">
      <x:c r="A1581" s="20" t="str">
        <x:v>FIN-00787</x:v>
      </x:c>
      <x:c r="B1581" s="32" t="n">
        <x:v>1</x:v>
      </x:c>
      <x:c r="C1581" s="23" t="n">
        <x:v>46661</x:v>
      </x:c>
      <x:c r="D1581" s="23" t="n">
        <x:v>46661</x:v>
      </x:c>
      <x:c r="E1581" s="20" t="str">
        <x:v>P012</x:v>
      </x:c>
      <x:c r="F1581" s="20" t="str">
        <x:v>U012</x:v>
      </x:c>
      <x:c r="G1581" s="20" t="str">
        <x:v>L012</x:v>
      </x:c>
      <x:c r="H1581" s="20" t="str">
        <x:v>1100 Tenant Accounts Receivable</x:v>
      </x:c>
      <x:c r="I1581" s="26" t="n">
        <x:v>1050</x:v>
      </x:c>
      <x:c r="J1581" s="26" t="n">
        <x:v>0</x:v>
      </x:c>
      <x:c r="K1581" s="35" t="str">
        <x:v>October 2027 rent</x:v>
      </x:c>
    </x:row>
    <x:row r="1582">
      <x:c r="A1582" s="20" t="str">
        <x:v>FIN-00787</x:v>
      </x:c>
      <x:c r="B1582" s="32" t="n">
        <x:v>2</x:v>
      </x:c>
      <x:c r="C1582" s="23" t="n">
        <x:v>46661</x:v>
      </x:c>
      <x:c r="D1582" s="23" t="n">
        <x:v>46661</x:v>
      </x:c>
      <x:c r="E1582" s="20" t="str">
        <x:v>P012</x:v>
      </x:c>
      <x:c r="F1582" s="20" t="str">
        <x:v>U012</x:v>
      </x:c>
      <x:c r="G1582" s="20" t="str">
        <x:v>L012</x:v>
      </x:c>
      <x:c r="H1582" s="20" t="str">
        <x:v>4000 Rental Income</x:v>
      </x:c>
      <x:c r="I1582" s="26" t="n">
        <x:v>0</x:v>
      </x:c>
      <x:c r="J1582" s="26" t="n">
        <x:v>1050</x:v>
      </x:c>
      <x:c r="K1582" s="35" t="str">
        <x:v>October 2027 rent</x:v>
      </x:c>
    </x:row>
    <x:row r="1583">
      <x:c r="A1583" s="20" t="str">
        <x:v>FIN-00788</x:v>
      </x:c>
      <x:c r="B1583" s="32" t="n">
        <x:v>1</x:v>
      </x:c>
      <x:c r="C1583" s="23" t="n">
        <x:v>46663</x:v>
      </x:c>
      <x:c r="D1583" s="23" t="n">
        <x:v>46663</x:v>
      </x:c>
      <x:c r="E1583" s="20" t="str">
        <x:v>P012</x:v>
      </x:c>
      <x:c r="F1583" s="20" t="str">
        <x:v>U012</x:v>
      </x:c>
      <x:c r="G1583" s="20" t="str">
        <x:v>L012</x:v>
      </x:c>
      <x:c r="H1583" s="20" t="str">
        <x:v>1000 Operating Cash</x:v>
      </x:c>
      <x:c r="I1583" s="26" t="n">
        <x:v>1050</x:v>
      </x:c>
      <x:c r="J1583" s="26" t="n">
        <x:v>0</x:v>
      </x:c>
      <x:c r="K1583" s="35" t="str">
        <x:v>Receipt allocated to FIN-00787</x:v>
      </x:c>
    </x:row>
    <x:row r="1584">
      <x:c r="A1584" s="20" t="str">
        <x:v>FIN-00788</x:v>
      </x:c>
      <x:c r="B1584" s="32" t="n">
        <x:v>2</x:v>
      </x:c>
      <x:c r="C1584" s="23" t="n">
        <x:v>46663</x:v>
      </x:c>
      <x:c r="D1584" s="23" t="n">
        <x:v>46663</x:v>
      </x:c>
      <x:c r="E1584" s="20" t="str">
        <x:v>P012</x:v>
      </x:c>
      <x:c r="F1584" s="20" t="str">
        <x:v>U012</x:v>
      </x:c>
      <x:c r="G1584" s="20" t="str">
        <x:v>L012</x:v>
      </x:c>
      <x:c r="H1584" s="20" t="str">
        <x:v>1100 Tenant Accounts Receivable</x:v>
      </x:c>
      <x:c r="I1584" s="26" t="n">
        <x:v>0</x:v>
      </x:c>
      <x:c r="J1584" s="26" t="n">
        <x:v>1050</x:v>
      </x:c>
      <x:c r="K1584" s="35" t="str">
        <x:v>Receipt allocated to FIN-00787</x:v>
      </x:c>
    </x:row>
    <x:row r="1585">
      <x:c r="A1585" s="20" t="str">
        <x:v>FIN-00789</x:v>
      </x:c>
      <x:c r="B1585" s="32" t="n">
        <x:v>1</x:v>
      </x:c>
      <x:c r="C1585" s="23" t="n">
        <x:v>46661</x:v>
      </x:c>
      <x:c r="D1585" s="23" t="n">
        <x:v>46661</x:v>
      </x:c>
      <x:c r="E1585" s="20" t="str">
        <x:v>P013</x:v>
      </x:c>
      <x:c r="F1585" s="20" t="str">
        <x:v>U013</x:v>
      </x:c>
      <x:c r="G1585" s="20" t="str">
        <x:v>L013</x:v>
      </x:c>
      <x:c r="H1585" s="20" t="str">
        <x:v>1100 Tenant Accounts Receivable</x:v>
      </x:c>
      <x:c r="I1585" s="26" t="n">
        <x:v>1575</x:v>
      </x:c>
      <x:c r="J1585" s="26" t="n">
        <x:v>0</x:v>
      </x:c>
      <x:c r="K1585" s="35" t="str">
        <x:v>October 2027 rent</x:v>
      </x:c>
    </x:row>
    <x:row r="1586">
      <x:c r="A1586" s="20" t="str">
        <x:v>FIN-00789</x:v>
      </x:c>
      <x:c r="B1586" s="32" t="n">
        <x:v>2</x:v>
      </x:c>
      <x:c r="C1586" s="23" t="n">
        <x:v>46661</x:v>
      </x:c>
      <x:c r="D1586" s="23" t="n">
        <x:v>46661</x:v>
      </x:c>
      <x:c r="E1586" s="20" t="str">
        <x:v>P013</x:v>
      </x:c>
      <x:c r="F1586" s="20" t="str">
        <x:v>U013</x:v>
      </x:c>
      <x:c r="G1586" s="20" t="str">
        <x:v>L013</x:v>
      </x:c>
      <x:c r="H1586" s="20" t="str">
        <x:v>4000 Rental Income</x:v>
      </x:c>
      <x:c r="I1586" s="26" t="n">
        <x:v>0</x:v>
      </x:c>
      <x:c r="J1586" s="26" t="n">
        <x:v>1575</x:v>
      </x:c>
      <x:c r="K1586" s="35" t="str">
        <x:v>October 2027 rent</x:v>
      </x:c>
    </x:row>
    <x:row r="1587">
      <x:c r="A1587" s="20" t="str">
        <x:v>FIN-00790</x:v>
      </x:c>
      <x:c r="B1587" s="32" t="n">
        <x:v>1</x:v>
      </x:c>
      <x:c r="C1587" s="23" t="n">
        <x:v>46666</x:v>
      </x:c>
      <x:c r="D1587" s="23" t="n">
        <x:v>46666</x:v>
      </x:c>
      <x:c r="E1587" s="20" t="str">
        <x:v>P013</x:v>
      </x:c>
      <x:c r="F1587" s="20" t="str">
        <x:v>U013</x:v>
      </x:c>
      <x:c r="G1587" s="20" t="str">
        <x:v>L013</x:v>
      </x:c>
      <x:c r="H1587" s="20" t="str">
        <x:v>1100 Tenant Accounts Receivable</x:v>
      </x:c>
      <x:c r="I1587" s="26" t="n">
        <x:v>50</x:v>
      </x:c>
      <x:c r="J1587" s="26" t="n">
        <x:v>0</x:v>
      </x:c>
      <x:c r="K1587" s="35" t="str">
        <x:v>Synthetic lease-authorized late fee</x:v>
      </x:c>
    </x:row>
    <x:row r="1588">
      <x:c r="A1588" s="20" t="str">
        <x:v>FIN-00790</x:v>
      </x:c>
      <x:c r="B1588" s="32" t="n">
        <x:v>2</x:v>
      </x:c>
      <x:c r="C1588" s="23" t="n">
        <x:v>46666</x:v>
      </x:c>
      <x:c r="D1588" s="23" t="n">
        <x:v>46666</x:v>
      </x:c>
      <x:c r="E1588" s="20" t="str">
        <x:v>P013</x:v>
      </x:c>
      <x:c r="F1588" s="20" t="str">
        <x:v>U013</x:v>
      </x:c>
      <x:c r="G1588" s="20" t="str">
        <x:v>L013</x:v>
      </x:c>
      <x:c r="H1588" s="20" t="str">
        <x:v>4010 Late Fee Income</x:v>
      </x:c>
      <x:c r="I1588" s="26" t="n">
        <x:v>0</x:v>
      </x:c>
      <x:c r="J1588" s="26" t="n">
        <x:v>50</x:v>
      </x:c>
      <x:c r="K1588" s="35" t="str">
        <x:v>Synthetic lease-authorized late fee</x:v>
      </x:c>
    </x:row>
    <x:row r="1589">
      <x:c r="A1589" s="20" t="str">
        <x:v>FIN-00791</x:v>
      </x:c>
      <x:c r="B1589" s="32" t="n">
        <x:v>1</x:v>
      </x:c>
      <x:c r="C1589" s="23" t="n">
        <x:v>46668</x:v>
      </x:c>
      <x:c r="D1589" s="23" t="n">
        <x:v>46668</x:v>
      </x:c>
      <x:c r="E1589" s="20" t="str">
        <x:v>P013</x:v>
      </x:c>
      <x:c r="F1589" s="20" t="str">
        <x:v>U013</x:v>
      </x:c>
      <x:c r="G1589" s="20" t="str">
        <x:v>L013</x:v>
      </x:c>
      <x:c r="H1589" s="20" t="str">
        <x:v>1000 Operating Cash</x:v>
      </x:c>
      <x:c r="I1589" s="26" t="n">
        <x:v>1625</x:v>
      </x:c>
      <x:c r="J1589" s="26" t="n">
        <x:v>0</x:v>
      </x:c>
      <x:c r="K1589" s="35" t="str">
        <x:v>Receipt allocated to FIN-00790</x:v>
      </x:c>
    </x:row>
    <x:row r="1590">
      <x:c r="A1590" s="20" t="str">
        <x:v>FIN-00791</x:v>
      </x:c>
      <x:c r="B1590" s="32" t="n">
        <x:v>2</x:v>
      </x:c>
      <x:c r="C1590" s="23" t="n">
        <x:v>46668</x:v>
      </x:c>
      <x:c r="D1590" s="23" t="n">
        <x:v>46668</x:v>
      </x:c>
      <x:c r="E1590" s="20" t="str">
        <x:v>P013</x:v>
      </x:c>
      <x:c r="F1590" s="20" t="str">
        <x:v>U013</x:v>
      </x:c>
      <x:c r="G1590" s="20" t="str">
        <x:v>L013</x:v>
      </x:c>
      <x:c r="H1590" s="20" t="str">
        <x:v>1100 Tenant Accounts Receivable</x:v>
      </x:c>
      <x:c r="I1590" s="26" t="n">
        <x:v>0</x:v>
      </x:c>
      <x:c r="J1590" s="26" t="n">
        <x:v>1625</x:v>
      </x:c>
      <x:c r="K1590" s="35" t="str">
        <x:v>Receipt allocated to FIN-00790</x:v>
      </x:c>
    </x:row>
    <x:row r="1591">
      <x:c r="A1591" s="20" t="str">
        <x:v>FIN-00792</x:v>
      </x:c>
      <x:c r="B1591" s="32" t="n">
        <x:v>1</x:v>
      </x:c>
      <x:c r="C1591" s="23" t="n">
        <x:v>46661</x:v>
      </x:c>
      <x:c r="D1591" s="23" t="n">
        <x:v>46661</x:v>
      </x:c>
      <x:c r="E1591" s="20" t="str">
        <x:v>P015</x:v>
      </x:c>
      <x:c r="F1591" s="20" t="str">
        <x:v>U015</x:v>
      </x:c>
      <x:c r="G1591" s="20" t="str">
        <x:v>L015</x:v>
      </x:c>
      <x:c r="H1591" s="20" t="str">
        <x:v>1100 Tenant Accounts Receivable</x:v>
      </x:c>
      <x:c r="I1591" s="26" t="n">
        <x:v>1725</x:v>
      </x:c>
      <x:c r="J1591" s="26" t="n">
        <x:v>0</x:v>
      </x:c>
      <x:c r="K1591" s="35" t="str">
        <x:v>October 2027 rent</x:v>
      </x:c>
    </x:row>
    <x:row r="1592">
      <x:c r="A1592" s="20" t="str">
        <x:v>FIN-00792</x:v>
      </x:c>
      <x:c r="B1592" s="32" t="n">
        <x:v>2</x:v>
      </x:c>
      <x:c r="C1592" s="23" t="n">
        <x:v>46661</x:v>
      </x:c>
      <x:c r="D1592" s="23" t="n">
        <x:v>46661</x:v>
      </x:c>
      <x:c r="E1592" s="20" t="str">
        <x:v>P015</x:v>
      </x:c>
      <x:c r="F1592" s="20" t="str">
        <x:v>U015</x:v>
      </x:c>
      <x:c r="G1592" s="20" t="str">
        <x:v>L015</x:v>
      </x:c>
      <x:c r="H1592" s="20" t="str">
        <x:v>4000 Rental Income</x:v>
      </x:c>
      <x:c r="I1592" s="26" t="n">
        <x:v>0</x:v>
      </x:c>
      <x:c r="J1592" s="26" t="n">
        <x:v>1725</x:v>
      </x:c>
      <x:c r="K1592" s="35" t="str">
        <x:v>October 2027 rent</x:v>
      </x:c>
    </x:row>
    <x:row r="1593">
      <x:c r="A1593" s="20" t="str">
        <x:v>FIN-00793</x:v>
      </x:c>
      <x:c r="B1593" s="32" t="n">
        <x:v>1</x:v>
      </x:c>
      <x:c r="C1593" s="23" t="n">
        <x:v>46663</x:v>
      </x:c>
      <x:c r="D1593" s="23" t="n">
        <x:v>46663</x:v>
      </x:c>
      <x:c r="E1593" s="20" t="str">
        <x:v>P015</x:v>
      </x:c>
      <x:c r="F1593" s="20" t="str">
        <x:v>U015</x:v>
      </x:c>
      <x:c r="G1593" s="20" t="str">
        <x:v>L015</x:v>
      </x:c>
      <x:c r="H1593" s="20" t="str">
        <x:v>1000 Operating Cash</x:v>
      </x:c>
      <x:c r="I1593" s="26" t="n">
        <x:v>1725</x:v>
      </x:c>
      <x:c r="J1593" s="26" t="n">
        <x:v>0</x:v>
      </x:c>
      <x:c r="K1593" s="35" t="str">
        <x:v>Receipt allocated to FIN-00792</x:v>
      </x:c>
    </x:row>
    <x:row r="1594">
      <x:c r="A1594" s="20" t="str">
        <x:v>FIN-00793</x:v>
      </x:c>
      <x:c r="B1594" s="32" t="n">
        <x:v>2</x:v>
      </x:c>
      <x:c r="C1594" s="23" t="n">
        <x:v>46663</x:v>
      </x:c>
      <x:c r="D1594" s="23" t="n">
        <x:v>46663</x:v>
      </x:c>
      <x:c r="E1594" s="20" t="str">
        <x:v>P015</x:v>
      </x:c>
      <x:c r="F1594" s="20" t="str">
        <x:v>U015</x:v>
      </x:c>
      <x:c r="G1594" s="20" t="str">
        <x:v>L015</x:v>
      </x:c>
      <x:c r="H1594" s="20" t="str">
        <x:v>1100 Tenant Accounts Receivable</x:v>
      </x:c>
      <x:c r="I1594" s="26" t="n">
        <x:v>0</x:v>
      </x:c>
      <x:c r="J1594" s="26" t="n">
        <x:v>1725</x:v>
      </x:c>
      <x:c r="K1594" s="35" t="str">
        <x:v>Receipt allocated to FIN-00792</x:v>
      </x:c>
    </x:row>
    <x:row r="1595">
      <x:c r="A1595" s="20" t="str">
        <x:v>FIN-00794</x:v>
      </x:c>
      <x:c r="B1595" s="32" t="n">
        <x:v>1</x:v>
      </x:c>
      <x:c r="C1595" s="23" t="n">
        <x:v>46661</x:v>
      </x:c>
      <x:c r="D1595" s="23" t="n">
        <x:v>46661</x:v>
      </x:c>
      <x:c r="E1595" s="20" t="str">
        <x:v>P016</x:v>
      </x:c>
      <x:c r="F1595" s="20" t="str">
        <x:v>U016</x:v>
      </x:c>
      <x:c r="G1595" s="20" t="str">
        <x:v>L016</x:v>
      </x:c>
      <x:c r="H1595" s="20" t="str">
        <x:v>1100 Tenant Accounts Receivable</x:v>
      </x:c>
      <x:c r="I1595" s="26" t="n">
        <x:v>1350</x:v>
      </x:c>
      <x:c r="J1595" s="26" t="n">
        <x:v>0</x:v>
      </x:c>
      <x:c r="K1595" s="35" t="str">
        <x:v>October 2027 rent</x:v>
      </x:c>
    </x:row>
    <x:row r="1596">
      <x:c r="A1596" s="20" t="str">
        <x:v>FIN-00794</x:v>
      </x:c>
      <x:c r="B1596" s="32" t="n">
        <x:v>2</x:v>
      </x:c>
      <x:c r="C1596" s="23" t="n">
        <x:v>46661</x:v>
      </x:c>
      <x:c r="D1596" s="23" t="n">
        <x:v>46661</x:v>
      </x:c>
      <x:c r="E1596" s="20" t="str">
        <x:v>P016</x:v>
      </x:c>
      <x:c r="F1596" s="20" t="str">
        <x:v>U016</x:v>
      </x:c>
      <x:c r="G1596" s="20" t="str">
        <x:v>L016</x:v>
      </x:c>
      <x:c r="H1596" s="20" t="str">
        <x:v>4000 Rental Income</x:v>
      </x:c>
      <x:c r="I1596" s="26" t="n">
        <x:v>0</x:v>
      </x:c>
      <x:c r="J1596" s="26" t="n">
        <x:v>1350</x:v>
      </x:c>
      <x:c r="K1596" s="35" t="str">
        <x:v>October 2027 rent</x:v>
      </x:c>
    </x:row>
    <x:row r="1597">
      <x:c r="A1597" s="20" t="str">
        <x:v>FIN-00795</x:v>
      </x:c>
      <x:c r="B1597" s="32" t="n">
        <x:v>1</x:v>
      </x:c>
      <x:c r="C1597" s="23" t="n">
        <x:v>46664</x:v>
      </x:c>
      <x:c r="D1597" s="23" t="n">
        <x:v>46664</x:v>
      </x:c>
      <x:c r="E1597" s="20" t="str">
        <x:v>P016</x:v>
      </x:c>
      <x:c r="F1597" s="20" t="str">
        <x:v>U016</x:v>
      </x:c>
      <x:c r="G1597" s="20" t="str">
        <x:v>L016</x:v>
      </x:c>
      <x:c r="H1597" s="20" t="str">
        <x:v>1000 Operating Cash</x:v>
      </x:c>
      <x:c r="I1597" s="26" t="n">
        <x:v>1350</x:v>
      </x:c>
      <x:c r="J1597" s="26" t="n">
        <x:v>0</x:v>
      </x:c>
      <x:c r="K1597" s="35" t="str">
        <x:v>Receipt allocated to FIN-00794</x:v>
      </x:c>
    </x:row>
    <x:row r="1598">
      <x:c r="A1598" s="20" t="str">
        <x:v>FIN-00795</x:v>
      </x:c>
      <x:c r="B1598" s="32" t="n">
        <x:v>2</x:v>
      </x:c>
      <x:c r="C1598" s="23" t="n">
        <x:v>46664</x:v>
      </x:c>
      <x:c r="D1598" s="23" t="n">
        <x:v>46664</x:v>
      </x:c>
      <x:c r="E1598" s="20" t="str">
        <x:v>P016</x:v>
      </x:c>
      <x:c r="F1598" s="20" t="str">
        <x:v>U016</x:v>
      </x:c>
      <x:c r="G1598" s="20" t="str">
        <x:v>L016</x:v>
      </x:c>
      <x:c r="H1598" s="20" t="str">
        <x:v>1100 Tenant Accounts Receivable</x:v>
      </x:c>
      <x:c r="I1598" s="26" t="n">
        <x:v>0</x:v>
      </x:c>
      <x:c r="J1598" s="26" t="n">
        <x:v>1350</x:v>
      </x:c>
      <x:c r="K1598" s="35" t="str">
        <x:v>Receipt allocated to FIN-00794</x:v>
      </x:c>
    </x:row>
    <x:row r="1599">
      <x:c r="A1599" s="20" t="str">
        <x:v>FIN-00796</x:v>
      </x:c>
      <x:c r="B1599" s="32" t="n">
        <x:v>1</x:v>
      </x:c>
      <x:c r="C1599" s="23" t="n">
        <x:v>46661</x:v>
      </x:c>
      <x:c r="D1599" s="23" t="n">
        <x:v>46661</x:v>
      </x:c>
      <x:c r="E1599" s="20" t="str">
        <x:v>P018</x:v>
      </x:c>
      <x:c r="F1599" s="20" t="str">
        <x:v>U018</x:v>
      </x:c>
      <x:c r="G1599" s="20" t="str">
        <x:v>L018</x:v>
      </x:c>
      <x:c r="H1599" s="20" t="str">
        <x:v>1100 Tenant Accounts Receivable</x:v>
      </x:c>
      <x:c r="I1599" s="26" t="n">
        <x:v>1500</x:v>
      </x:c>
      <x:c r="J1599" s="26" t="n">
        <x:v>0</x:v>
      </x:c>
      <x:c r="K1599" s="35" t="str">
        <x:v>October 2027 rent</x:v>
      </x:c>
    </x:row>
    <x:row r="1600">
      <x:c r="A1600" s="20" t="str">
        <x:v>FIN-00796</x:v>
      </x:c>
      <x:c r="B1600" s="32" t="n">
        <x:v>2</x:v>
      </x:c>
      <x:c r="C1600" s="23" t="n">
        <x:v>46661</x:v>
      </x:c>
      <x:c r="D1600" s="23" t="n">
        <x:v>46661</x:v>
      </x:c>
      <x:c r="E1600" s="20" t="str">
        <x:v>P018</x:v>
      </x:c>
      <x:c r="F1600" s="20" t="str">
        <x:v>U018</x:v>
      </x:c>
      <x:c r="G1600" s="20" t="str">
        <x:v>L018</x:v>
      </x:c>
      <x:c r="H1600" s="20" t="str">
        <x:v>4000 Rental Income</x:v>
      </x:c>
      <x:c r="I1600" s="26" t="n">
        <x:v>0</x:v>
      </x:c>
      <x:c r="J1600" s="26" t="n">
        <x:v>1500</x:v>
      </x:c>
      <x:c r="K1600" s="35" t="str">
        <x:v>October 2027 rent</x:v>
      </x:c>
    </x:row>
    <x:row r="1601">
      <x:c r="A1601" s="20" t="str">
        <x:v>FIN-00797</x:v>
      </x:c>
      <x:c r="B1601" s="32" t="n">
        <x:v>1</x:v>
      </x:c>
      <x:c r="C1601" s="23" t="n">
        <x:v>46663</x:v>
      </x:c>
      <x:c r="D1601" s="23" t="n">
        <x:v>46663</x:v>
      </x:c>
      <x:c r="E1601" s="20" t="str">
        <x:v>P018</x:v>
      </x:c>
      <x:c r="F1601" s="20" t="str">
        <x:v>U018</x:v>
      </x:c>
      <x:c r="G1601" s="20" t="str">
        <x:v>L018</x:v>
      </x:c>
      <x:c r="H1601" s="20" t="str">
        <x:v>1000 Operating Cash</x:v>
      </x:c>
      <x:c r="I1601" s="26" t="n">
        <x:v>1500</x:v>
      </x:c>
      <x:c r="J1601" s="26" t="n">
        <x:v>0</x:v>
      </x:c>
      <x:c r="K1601" s="35" t="str">
        <x:v>Receipt allocated to FIN-00796</x:v>
      </x:c>
    </x:row>
    <x:row r="1602">
      <x:c r="A1602" s="20" t="str">
        <x:v>FIN-00797</x:v>
      </x:c>
      <x:c r="B1602" s="32" t="n">
        <x:v>2</x:v>
      </x:c>
      <x:c r="C1602" s="23" t="n">
        <x:v>46663</x:v>
      </x:c>
      <x:c r="D1602" s="23" t="n">
        <x:v>46663</x:v>
      </x:c>
      <x:c r="E1602" s="20" t="str">
        <x:v>P018</x:v>
      </x:c>
      <x:c r="F1602" s="20" t="str">
        <x:v>U018</x:v>
      </x:c>
      <x:c r="G1602" s="20" t="str">
        <x:v>L018</x:v>
      </x:c>
      <x:c r="H1602" s="20" t="str">
        <x:v>1100 Tenant Accounts Receivable</x:v>
      </x:c>
      <x:c r="I1602" s="26" t="n">
        <x:v>0</x:v>
      </x:c>
      <x:c r="J1602" s="26" t="n">
        <x:v>1500</x:v>
      </x:c>
      <x:c r="K1602" s="35" t="str">
        <x:v>Receipt allocated to FIN-00796</x:v>
      </x:c>
    </x:row>
    <x:row r="1603">
      <x:c r="A1603" s="20" t="str">
        <x:v>FIN-00798</x:v>
      </x:c>
      <x:c r="B1603" s="32" t="n">
        <x:v>1</x:v>
      </x:c>
      <x:c r="C1603" s="23" t="n">
        <x:v>46661</x:v>
      </x:c>
      <x:c r="D1603" s="23" t="n">
        <x:v>46661</x:v>
      </x:c>
      <x:c r="E1603" s="20" t="str">
        <x:v>P019</x:v>
      </x:c>
      <x:c r="F1603" s="20" t="str">
        <x:v>U019</x:v>
      </x:c>
      <x:c r="G1603" s="20" t="str">
        <x:v>L019</x:v>
      </x:c>
      <x:c r="H1603" s="20" t="str">
        <x:v>1100 Tenant Accounts Receivable</x:v>
      </x:c>
      <x:c r="I1603" s="26" t="n">
        <x:v>1125</x:v>
      </x:c>
      <x:c r="J1603" s="26" t="n">
        <x:v>0</x:v>
      </x:c>
      <x:c r="K1603" s="35" t="str">
        <x:v>October 2027 rent</x:v>
      </x:c>
    </x:row>
    <x:row r="1604">
      <x:c r="A1604" s="20" t="str">
        <x:v>FIN-00798</x:v>
      </x:c>
      <x:c r="B1604" s="32" t="n">
        <x:v>2</x:v>
      </x:c>
      <x:c r="C1604" s="23" t="n">
        <x:v>46661</x:v>
      </x:c>
      <x:c r="D1604" s="23" t="n">
        <x:v>46661</x:v>
      </x:c>
      <x:c r="E1604" s="20" t="str">
        <x:v>P019</x:v>
      </x:c>
      <x:c r="F1604" s="20" t="str">
        <x:v>U019</x:v>
      </x:c>
      <x:c r="G1604" s="20" t="str">
        <x:v>L019</x:v>
      </x:c>
      <x:c r="H1604" s="20" t="str">
        <x:v>4000 Rental Income</x:v>
      </x:c>
      <x:c r="I1604" s="26" t="n">
        <x:v>0</x:v>
      </x:c>
      <x:c r="J1604" s="26" t="n">
        <x:v>1125</x:v>
      </x:c>
      <x:c r="K1604" s="35" t="str">
        <x:v>October 2027 rent</x:v>
      </x:c>
    </x:row>
    <x:row r="1605">
      <x:c r="A1605" s="20" t="str">
        <x:v>FIN-00799</x:v>
      </x:c>
      <x:c r="B1605" s="32" t="n">
        <x:v>1</x:v>
      </x:c>
      <x:c r="C1605" s="23" t="n">
        <x:v>46664</x:v>
      </x:c>
      <x:c r="D1605" s="23" t="n">
        <x:v>46664</x:v>
      </x:c>
      <x:c r="E1605" s="20" t="str">
        <x:v>P019</x:v>
      </x:c>
      <x:c r="F1605" s="20" t="str">
        <x:v>U019</x:v>
      </x:c>
      <x:c r="G1605" s="20" t="str">
        <x:v>L019</x:v>
      </x:c>
      <x:c r="H1605" s="20" t="str">
        <x:v>1000 Operating Cash</x:v>
      </x:c>
      <x:c r="I1605" s="26" t="n">
        <x:v>1125</x:v>
      </x:c>
      <x:c r="J1605" s="26" t="n">
        <x:v>0</x:v>
      </x:c>
      <x:c r="K1605" s="35" t="str">
        <x:v>Receipt allocated to FIN-00798</x:v>
      </x:c>
    </x:row>
    <x:row r="1606">
      <x:c r="A1606" s="20" t="str">
        <x:v>FIN-00799</x:v>
      </x:c>
      <x:c r="B1606" s="32" t="n">
        <x:v>2</x:v>
      </x:c>
      <x:c r="C1606" s="23" t="n">
        <x:v>46664</x:v>
      </x:c>
      <x:c r="D1606" s="23" t="n">
        <x:v>46664</x:v>
      </x:c>
      <x:c r="E1606" s="20" t="str">
        <x:v>P019</x:v>
      </x:c>
      <x:c r="F1606" s="20" t="str">
        <x:v>U019</x:v>
      </x:c>
      <x:c r="G1606" s="20" t="str">
        <x:v>L019</x:v>
      </x:c>
      <x:c r="H1606" s="20" t="str">
        <x:v>1100 Tenant Accounts Receivable</x:v>
      </x:c>
      <x:c r="I1606" s="26" t="n">
        <x:v>0</x:v>
      </x:c>
      <x:c r="J1606" s="26" t="n">
        <x:v>1125</x:v>
      </x:c>
      <x:c r="K1606" s="35" t="str">
        <x:v>Receipt allocated to FIN-00798</x:v>
      </x:c>
    </x:row>
    <x:row r="1607">
      <x:c r="A1607" s="20" t="str">
        <x:v>FIN-00800</x:v>
      </x:c>
      <x:c r="B1607" s="32" t="n">
        <x:v>1</x:v>
      </x:c>
      <x:c r="C1607" s="23" t="n">
        <x:v>46661</x:v>
      </x:c>
      <x:c r="D1607" s="23" t="n">
        <x:v>46661</x:v>
      </x:c>
      <x:c r="E1607" s="20" t="str">
        <x:v>P020</x:v>
      </x:c>
      <x:c r="F1607" s="20" t="str">
        <x:v>U020</x:v>
      </x:c>
      <x:c r="G1607" s="20" t="str">
        <x:v>L020</x:v>
      </x:c>
      <x:c r="H1607" s="20" t="str">
        <x:v>1100 Tenant Accounts Receivable</x:v>
      </x:c>
      <x:c r="I1607" s="26" t="n">
        <x:v>1650</x:v>
      </x:c>
      <x:c r="J1607" s="26" t="n">
        <x:v>0</x:v>
      </x:c>
      <x:c r="K1607" s="35" t="str">
        <x:v>October 2027 rent</x:v>
      </x:c>
    </x:row>
    <x:row r="1608">
      <x:c r="A1608" s="20" t="str">
        <x:v>FIN-00800</x:v>
      </x:c>
      <x:c r="B1608" s="32" t="n">
        <x:v>2</x:v>
      </x:c>
      <x:c r="C1608" s="23" t="n">
        <x:v>46661</x:v>
      </x:c>
      <x:c r="D1608" s="23" t="n">
        <x:v>46661</x:v>
      </x:c>
      <x:c r="E1608" s="20" t="str">
        <x:v>P020</x:v>
      </x:c>
      <x:c r="F1608" s="20" t="str">
        <x:v>U020</x:v>
      </x:c>
      <x:c r="G1608" s="20" t="str">
        <x:v>L020</x:v>
      </x:c>
      <x:c r="H1608" s="20" t="str">
        <x:v>4000 Rental Income</x:v>
      </x:c>
      <x:c r="I1608" s="26" t="n">
        <x:v>0</x:v>
      </x:c>
      <x:c r="J1608" s="26" t="n">
        <x:v>1650</x:v>
      </x:c>
      <x:c r="K1608" s="35" t="str">
        <x:v>October 2027 rent</x:v>
      </x:c>
    </x:row>
    <x:row r="1609">
      <x:c r="A1609" s="20" t="str">
        <x:v>FIN-00801</x:v>
      </x:c>
      <x:c r="B1609" s="32" t="n">
        <x:v>1</x:v>
      </x:c>
      <x:c r="C1609" s="23" t="n">
        <x:v>46665</x:v>
      </x:c>
      <x:c r="D1609" s="23" t="n">
        <x:v>46665</x:v>
      </x:c>
      <x:c r="E1609" s="20" t="str">
        <x:v>P020</x:v>
      </x:c>
      <x:c r="F1609" s="20" t="str">
        <x:v>U020</x:v>
      </x:c>
      <x:c r="G1609" s="20" t="str">
        <x:v>L020</x:v>
      </x:c>
      <x:c r="H1609" s="20" t="str">
        <x:v>1000 Operating Cash</x:v>
      </x:c>
      <x:c r="I1609" s="26" t="n">
        <x:v>1650</x:v>
      </x:c>
      <x:c r="J1609" s="26" t="n">
        <x:v>0</x:v>
      </x:c>
      <x:c r="K1609" s="35" t="str">
        <x:v>Receipt allocated to FIN-00800</x:v>
      </x:c>
    </x:row>
    <x:row r="1610">
      <x:c r="A1610" s="20" t="str">
        <x:v>FIN-00801</x:v>
      </x:c>
      <x:c r="B1610" s="32" t="n">
        <x:v>2</x:v>
      </x:c>
      <x:c r="C1610" s="23" t="n">
        <x:v>46665</x:v>
      </x:c>
      <x:c r="D1610" s="23" t="n">
        <x:v>46665</x:v>
      </x:c>
      <x:c r="E1610" s="20" t="str">
        <x:v>P020</x:v>
      </x:c>
      <x:c r="F1610" s="20" t="str">
        <x:v>U020</x:v>
      </x:c>
      <x:c r="G1610" s="20" t="str">
        <x:v>L020</x:v>
      </x:c>
      <x:c r="H1610" s="20" t="str">
        <x:v>1100 Tenant Accounts Receivable</x:v>
      </x:c>
      <x:c r="I1610" s="26" t="n">
        <x:v>0</x:v>
      </x:c>
      <x:c r="J1610" s="26" t="n">
        <x:v>1650</x:v>
      </x:c>
      <x:c r="K1610" s="35" t="str">
        <x:v>Receipt allocated to FIN-00800</x:v>
      </x:c>
    </x:row>
    <x:row r="1611">
      <x:c r="A1611" s="20" t="str">
        <x:v>FIN-00802</x:v>
      </x:c>
      <x:c r="B1611" s="32" t="n">
        <x:v>1</x:v>
      </x:c>
      <x:c r="C1611" s="23" t="n">
        <x:v>46661</x:v>
      </x:c>
      <x:c r="D1611" s="23" t="n">
        <x:v>46661</x:v>
      </x:c>
      <x:c r="E1611" s="20" t="str">
        <x:v>P021</x:v>
      </x:c>
      <x:c r="F1611" s="20" t="str">
        <x:v>U021</x:v>
      </x:c>
      <x:c r="G1611" s="20" t="str">
        <x:v>L021</x:v>
      </x:c>
      <x:c r="H1611" s="20" t="str">
        <x:v>1100 Tenant Accounts Receivable</x:v>
      </x:c>
      <x:c r="I1611" s="26" t="n">
        <x:v>1375</x:v>
      </x:c>
      <x:c r="J1611" s="26" t="n">
        <x:v>0</x:v>
      </x:c>
      <x:c r="K1611" s="35" t="str">
        <x:v>October 2027 rent</x:v>
      </x:c>
    </x:row>
    <x:row r="1612">
      <x:c r="A1612" s="20" t="str">
        <x:v>FIN-00802</x:v>
      </x:c>
      <x:c r="B1612" s="32" t="n">
        <x:v>2</x:v>
      </x:c>
      <x:c r="C1612" s="23" t="n">
        <x:v>46661</x:v>
      </x:c>
      <x:c r="D1612" s="23" t="n">
        <x:v>46661</x:v>
      </x:c>
      <x:c r="E1612" s="20" t="str">
        <x:v>P021</x:v>
      </x:c>
      <x:c r="F1612" s="20" t="str">
        <x:v>U021</x:v>
      </x:c>
      <x:c r="G1612" s="20" t="str">
        <x:v>L021</x:v>
      </x:c>
      <x:c r="H1612" s="20" t="str">
        <x:v>4000 Rental Income</x:v>
      </x:c>
      <x:c r="I1612" s="26" t="n">
        <x:v>0</x:v>
      </x:c>
      <x:c r="J1612" s="26" t="n">
        <x:v>1375</x:v>
      </x:c>
      <x:c r="K1612" s="35" t="str">
        <x:v>October 2027 rent</x:v>
      </x:c>
    </x:row>
    <x:row r="1613">
      <x:c r="A1613" s="20" t="str">
        <x:v>FIN-00803</x:v>
      </x:c>
      <x:c r="B1613" s="32" t="n">
        <x:v>1</x:v>
      </x:c>
      <x:c r="C1613" s="23" t="n">
        <x:v>46663</x:v>
      </x:c>
      <x:c r="D1613" s="23" t="n">
        <x:v>46663</x:v>
      </x:c>
      <x:c r="E1613" s="20" t="str">
        <x:v>P021</x:v>
      </x:c>
      <x:c r="F1613" s="20" t="str">
        <x:v>U021</x:v>
      </x:c>
      <x:c r="G1613" s="20" t="str">
        <x:v>L021</x:v>
      </x:c>
      <x:c r="H1613" s="20" t="str">
        <x:v>1000 Operating Cash</x:v>
      </x:c>
      <x:c r="I1613" s="26" t="n">
        <x:v>1375</x:v>
      </x:c>
      <x:c r="J1613" s="26" t="n">
        <x:v>0</x:v>
      </x:c>
      <x:c r="K1613" s="35" t="str">
        <x:v>Receipt allocated to FIN-00802</x:v>
      </x:c>
    </x:row>
    <x:row r="1614">
      <x:c r="A1614" s="20" t="str">
        <x:v>FIN-00803</x:v>
      </x:c>
      <x:c r="B1614" s="32" t="n">
        <x:v>2</x:v>
      </x:c>
      <x:c r="C1614" s="23" t="n">
        <x:v>46663</x:v>
      </x:c>
      <x:c r="D1614" s="23" t="n">
        <x:v>46663</x:v>
      </x:c>
      <x:c r="E1614" s="20" t="str">
        <x:v>P021</x:v>
      </x:c>
      <x:c r="F1614" s="20" t="str">
        <x:v>U021</x:v>
      </x:c>
      <x:c r="G1614" s="20" t="str">
        <x:v>L021</x:v>
      </x:c>
      <x:c r="H1614" s="20" t="str">
        <x:v>1100 Tenant Accounts Receivable</x:v>
      </x:c>
      <x:c r="I1614" s="26" t="n">
        <x:v>0</x:v>
      </x:c>
      <x:c r="J1614" s="26" t="n">
        <x:v>1375</x:v>
      </x:c>
      <x:c r="K1614" s="35" t="str">
        <x:v>Receipt allocated to FIN-00802</x:v>
      </x:c>
    </x:row>
    <x:row r="1615">
      <x:c r="A1615" s="20" t="str">
        <x:v>FIN-00804</x:v>
      </x:c>
      <x:c r="B1615" s="32" t="n">
        <x:v>1</x:v>
      </x:c>
      <x:c r="C1615" s="23" t="n">
        <x:v>46661</x:v>
      </x:c>
      <x:c r="D1615" s="23" t="n">
        <x:v>46661</x:v>
      </x:c>
      <x:c r="E1615" s="20" t="str">
        <x:v>P022</x:v>
      </x:c>
      <x:c r="F1615" s="20" t="str">
        <x:v>U023</x:v>
      </x:c>
      <x:c r="G1615" s="20" t="str">
        <x:v>L023</x:v>
      </x:c>
      <x:c r="H1615" s="20" t="str">
        <x:v>1100 Tenant Accounts Receivable</x:v>
      </x:c>
      <x:c r="I1615" s="26" t="n">
        <x:v>1525</x:v>
      </x:c>
      <x:c r="J1615" s="26" t="n">
        <x:v>0</x:v>
      </x:c>
      <x:c r="K1615" s="35" t="str">
        <x:v>October 2027 rent</x:v>
      </x:c>
    </x:row>
    <x:row r="1616">
      <x:c r="A1616" s="20" t="str">
        <x:v>FIN-00804</x:v>
      </x:c>
      <x:c r="B1616" s="32" t="n">
        <x:v>2</x:v>
      </x:c>
      <x:c r="C1616" s="23" t="n">
        <x:v>46661</x:v>
      </x:c>
      <x:c r="D1616" s="23" t="n">
        <x:v>46661</x:v>
      </x:c>
      <x:c r="E1616" s="20" t="str">
        <x:v>P022</x:v>
      </x:c>
      <x:c r="F1616" s="20" t="str">
        <x:v>U023</x:v>
      </x:c>
      <x:c r="G1616" s="20" t="str">
        <x:v>L023</x:v>
      </x:c>
      <x:c r="H1616" s="20" t="str">
        <x:v>4000 Rental Income</x:v>
      </x:c>
      <x:c r="I1616" s="26" t="n">
        <x:v>0</x:v>
      </x:c>
      <x:c r="J1616" s="26" t="n">
        <x:v>1525</x:v>
      </x:c>
      <x:c r="K1616" s="35" t="str">
        <x:v>October 2027 rent</x:v>
      </x:c>
    </x:row>
    <x:row r="1617">
      <x:c r="A1617" s="20" t="str">
        <x:v>FIN-00805</x:v>
      </x:c>
      <x:c r="B1617" s="32" t="n">
        <x:v>1</x:v>
      </x:c>
      <x:c r="C1617" s="23" t="n">
        <x:v>46665</x:v>
      </x:c>
      <x:c r="D1617" s="23" t="n">
        <x:v>46665</x:v>
      </x:c>
      <x:c r="E1617" s="20" t="str">
        <x:v>P022</x:v>
      </x:c>
      <x:c r="F1617" s="20" t="str">
        <x:v>U023</x:v>
      </x:c>
      <x:c r="G1617" s="20" t="str">
        <x:v>L023</x:v>
      </x:c>
      <x:c r="H1617" s="20" t="str">
        <x:v>1000 Operating Cash</x:v>
      </x:c>
      <x:c r="I1617" s="26" t="n">
        <x:v>1525</x:v>
      </x:c>
      <x:c r="J1617" s="26" t="n">
        <x:v>0</x:v>
      </x:c>
      <x:c r="K1617" s="35" t="str">
        <x:v>Receipt allocated to FIN-00804</x:v>
      </x:c>
    </x:row>
    <x:row r="1618">
      <x:c r="A1618" s="20" t="str">
        <x:v>FIN-00805</x:v>
      </x:c>
      <x:c r="B1618" s="32" t="n">
        <x:v>2</x:v>
      </x:c>
      <x:c r="C1618" s="23" t="n">
        <x:v>46665</x:v>
      </x:c>
      <x:c r="D1618" s="23" t="n">
        <x:v>46665</x:v>
      </x:c>
      <x:c r="E1618" s="20" t="str">
        <x:v>P022</x:v>
      </x:c>
      <x:c r="F1618" s="20" t="str">
        <x:v>U023</x:v>
      </x:c>
      <x:c r="G1618" s="20" t="str">
        <x:v>L023</x:v>
      </x:c>
      <x:c r="H1618" s="20" t="str">
        <x:v>1100 Tenant Accounts Receivable</x:v>
      </x:c>
      <x:c r="I1618" s="26" t="n">
        <x:v>0</x:v>
      </x:c>
      <x:c r="J1618" s="26" t="n">
        <x:v>1525</x:v>
      </x:c>
      <x:c r="K1618" s="35" t="str">
        <x:v>Receipt allocated to FIN-00804</x:v>
      </x:c>
    </x:row>
    <x:row r="1619">
      <x:c r="A1619" s="20" t="str">
        <x:v>FIN-00806</x:v>
      </x:c>
      <x:c r="B1619" s="32" t="n">
        <x:v>1</x:v>
      </x:c>
      <x:c r="C1619" s="23" t="n">
        <x:v>46661</x:v>
      </x:c>
      <x:c r="D1619" s="23" t="n">
        <x:v>46661</x:v>
      </x:c>
      <x:c r="E1619" s="20" t="str">
        <x:v>P022</x:v>
      </x:c>
      <x:c r="F1619" s="20" t="str">
        <x:v>U024</x:v>
      </x:c>
      <x:c r="G1619" s="20" t="str">
        <x:v>L024</x:v>
      </x:c>
      <x:c r="H1619" s="20" t="str">
        <x:v>1100 Tenant Accounts Receivable</x:v>
      </x:c>
      <x:c r="I1619" s="26" t="n">
        <x:v>1150</x:v>
      </x:c>
      <x:c r="J1619" s="26" t="n">
        <x:v>0</x:v>
      </x:c>
      <x:c r="K1619" s="35" t="str">
        <x:v>October 2027 rent</x:v>
      </x:c>
    </x:row>
    <x:row r="1620">
      <x:c r="A1620" s="20" t="str">
        <x:v>FIN-00806</x:v>
      </x:c>
      <x:c r="B1620" s="32" t="n">
        <x:v>2</x:v>
      </x:c>
      <x:c r="C1620" s="23" t="n">
        <x:v>46661</x:v>
      </x:c>
      <x:c r="D1620" s="23" t="n">
        <x:v>46661</x:v>
      </x:c>
      <x:c r="E1620" s="20" t="str">
        <x:v>P022</x:v>
      </x:c>
      <x:c r="F1620" s="20" t="str">
        <x:v>U024</x:v>
      </x:c>
      <x:c r="G1620" s="20" t="str">
        <x:v>L024</x:v>
      </x:c>
      <x:c r="H1620" s="20" t="str">
        <x:v>4000 Rental Income</x:v>
      </x:c>
      <x:c r="I1620" s="26" t="n">
        <x:v>0</x:v>
      </x:c>
      <x:c r="J1620" s="26" t="n">
        <x:v>1150</x:v>
      </x:c>
      <x:c r="K1620" s="35" t="str">
        <x:v>October 2027 rent</x:v>
      </x:c>
    </x:row>
    <x:row r="1621">
      <x:c r="A1621" s="20" t="str">
        <x:v>FIN-00807</x:v>
      </x:c>
      <x:c r="B1621" s="32" t="n">
        <x:v>1</x:v>
      </x:c>
      <x:c r="C1621" s="23" t="n">
        <x:v>46663</x:v>
      </x:c>
      <x:c r="D1621" s="23" t="n">
        <x:v>46663</x:v>
      </x:c>
      <x:c r="E1621" s="20" t="str">
        <x:v>P022</x:v>
      </x:c>
      <x:c r="F1621" s="20" t="str">
        <x:v>U024</x:v>
      </x:c>
      <x:c r="G1621" s="20" t="str">
        <x:v>L024</x:v>
      </x:c>
      <x:c r="H1621" s="20" t="str">
        <x:v>1000 Operating Cash</x:v>
      </x:c>
      <x:c r="I1621" s="26" t="n">
        <x:v>1150</x:v>
      </x:c>
      <x:c r="J1621" s="26" t="n">
        <x:v>0</x:v>
      </x:c>
      <x:c r="K1621" s="35" t="str">
        <x:v>Receipt allocated to FIN-00806</x:v>
      </x:c>
    </x:row>
    <x:row r="1622">
      <x:c r="A1622" s="20" t="str">
        <x:v>FIN-00807</x:v>
      </x:c>
      <x:c r="B1622" s="32" t="n">
        <x:v>2</x:v>
      </x:c>
      <x:c r="C1622" s="23" t="n">
        <x:v>46663</x:v>
      </x:c>
      <x:c r="D1622" s="23" t="n">
        <x:v>46663</x:v>
      </x:c>
      <x:c r="E1622" s="20" t="str">
        <x:v>P022</x:v>
      </x:c>
      <x:c r="F1622" s="20" t="str">
        <x:v>U024</x:v>
      </x:c>
      <x:c r="G1622" s="20" t="str">
        <x:v>L024</x:v>
      </x:c>
      <x:c r="H1622" s="20" t="str">
        <x:v>1100 Tenant Accounts Receivable</x:v>
      </x:c>
      <x:c r="I1622" s="26" t="n">
        <x:v>0</x:v>
      </x:c>
      <x:c r="J1622" s="26" t="n">
        <x:v>1150</x:v>
      </x:c>
      <x:c r="K1622" s="35" t="str">
        <x:v>Receipt allocated to FIN-00806</x:v>
      </x:c>
    </x:row>
    <x:row r="1623">
      <x:c r="A1623" s="20" t="str">
        <x:v>FIN-00808</x:v>
      </x:c>
      <x:c r="B1623" s="32" t="n">
        <x:v>1</x:v>
      </x:c>
      <x:c r="C1623" s="23" t="n">
        <x:v>46661</x:v>
      </x:c>
      <x:c r="D1623" s="23" t="n">
        <x:v>46661</x:v>
      </x:c>
      <x:c r="E1623" s="20" t="str">
        <x:v>P023</x:v>
      </x:c>
      <x:c r="F1623" s="20" t="str">
        <x:v>U025</x:v>
      </x:c>
      <x:c r="G1623" s="20" t="str">
        <x:v>L025</x:v>
      </x:c>
      <x:c r="H1623" s="20" t="str">
        <x:v>1100 Tenant Accounts Receivable</x:v>
      </x:c>
      <x:c r="I1623" s="26" t="n">
        <x:v>1675</x:v>
      </x:c>
      <x:c r="J1623" s="26" t="n">
        <x:v>0</x:v>
      </x:c>
      <x:c r="K1623" s="35" t="str">
        <x:v>October 2027 rent</x:v>
      </x:c>
    </x:row>
    <x:row r="1624">
      <x:c r="A1624" s="20" t="str">
        <x:v>FIN-00808</x:v>
      </x:c>
      <x:c r="B1624" s="32" t="n">
        <x:v>2</x:v>
      </x:c>
      <x:c r="C1624" s="23" t="n">
        <x:v>46661</x:v>
      </x:c>
      <x:c r="D1624" s="23" t="n">
        <x:v>46661</x:v>
      </x:c>
      <x:c r="E1624" s="20" t="str">
        <x:v>P023</x:v>
      </x:c>
      <x:c r="F1624" s="20" t="str">
        <x:v>U025</x:v>
      </x:c>
      <x:c r="G1624" s="20" t="str">
        <x:v>L025</x:v>
      </x:c>
      <x:c r="H1624" s="20" t="str">
        <x:v>4000 Rental Income</x:v>
      </x:c>
      <x:c r="I1624" s="26" t="n">
        <x:v>0</x:v>
      </x:c>
      <x:c r="J1624" s="26" t="n">
        <x:v>1675</x:v>
      </x:c>
      <x:c r="K1624" s="35" t="str">
        <x:v>October 2027 rent</x:v>
      </x:c>
    </x:row>
    <x:row r="1625">
      <x:c r="A1625" s="20" t="str">
        <x:v>FIN-00809</x:v>
      </x:c>
      <x:c r="B1625" s="32" t="n">
        <x:v>1</x:v>
      </x:c>
      <x:c r="C1625" s="23" t="n">
        <x:v>46664</x:v>
      </x:c>
      <x:c r="D1625" s="23" t="n">
        <x:v>46664</x:v>
      </x:c>
      <x:c r="E1625" s="20" t="str">
        <x:v>P023</x:v>
      </x:c>
      <x:c r="F1625" s="20" t="str">
        <x:v>U025</x:v>
      </x:c>
      <x:c r="G1625" s="20" t="str">
        <x:v>L025</x:v>
      </x:c>
      <x:c r="H1625" s="20" t="str">
        <x:v>1000 Operating Cash</x:v>
      </x:c>
      <x:c r="I1625" s="26" t="n">
        <x:v>1675</x:v>
      </x:c>
      <x:c r="J1625" s="26" t="n">
        <x:v>0</x:v>
      </x:c>
      <x:c r="K1625" s="35" t="str">
        <x:v>Receipt allocated to FIN-00808</x:v>
      </x:c>
    </x:row>
    <x:row r="1626">
      <x:c r="A1626" s="20" t="str">
        <x:v>FIN-00809</x:v>
      </x:c>
      <x:c r="B1626" s="32" t="n">
        <x:v>2</x:v>
      </x:c>
      <x:c r="C1626" s="23" t="n">
        <x:v>46664</x:v>
      </x:c>
      <x:c r="D1626" s="23" t="n">
        <x:v>46664</x:v>
      </x:c>
      <x:c r="E1626" s="20" t="str">
        <x:v>P023</x:v>
      </x:c>
      <x:c r="F1626" s="20" t="str">
        <x:v>U025</x:v>
      </x:c>
      <x:c r="G1626" s="20" t="str">
        <x:v>L025</x:v>
      </x:c>
      <x:c r="H1626" s="20" t="str">
        <x:v>1100 Tenant Accounts Receivable</x:v>
      </x:c>
      <x:c r="I1626" s="26" t="n">
        <x:v>0</x:v>
      </x:c>
      <x:c r="J1626" s="26" t="n">
        <x:v>1675</x:v>
      </x:c>
      <x:c r="K1626" s="35" t="str">
        <x:v>Receipt allocated to FIN-00808</x:v>
      </x:c>
    </x:row>
    <x:row r="1627">
      <x:c r="A1627" s="20" t="str">
        <x:v>FIN-00810</x:v>
      </x:c>
      <x:c r="B1627" s="32" t="n">
        <x:v>1</x:v>
      </x:c>
      <x:c r="C1627" s="23" t="n">
        <x:v>46661</x:v>
      </x:c>
      <x:c r="D1627" s="23" t="n">
        <x:v>46661</x:v>
      </x:c>
      <x:c r="E1627" s="20" t="str">
        <x:v>P023</x:v>
      </x:c>
      <x:c r="F1627" s="20" t="str">
        <x:v>U026</x:v>
      </x:c>
      <x:c r="G1627" s="20" t="str">
        <x:v>L026</x:v>
      </x:c>
      <x:c r="H1627" s="20" t="str">
        <x:v>1100 Tenant Accounts Receivable</x:v>
      </x:c>
      <x:c r="I1627" s="26" t="n">
        <x:v>1300</x:v>
      </x:c>
      <x:c r="J1627" s="26" t="n">
        <x:v>0</x:v>
      </x:c>
      <x:c r="K1627" s="35" t="str">
        <x:v>October 2027 rent</x:v>
      </x:c>
    </x:row>
    <x:row r="1628">
      <x:c r="A1628" s="20" t="str">
        <x:v>FIN-00810</x:v>
      </x:c>
      <x:c r="B1628" s="32" t="n">
        <x:v>2</x:v>
      </x:c>
      <x:c r="C1628" s="23" t="n">
        <x:v>46661</x:v>
      </x:c>
      <x:c r="D1628" s="23" t="n">
        <x:v>46661</x:v>
      </x:c>
      <x:c r="E1628" s="20" t="str">
        <x:v>P023</x:v>
      </x:c>
      <x:c r="F1628" s="20" t="str">
        <x:v>U026</x:v>
      </x:c>
      <x:c r="G1628" s="20" t="str">
        <x:v>L026</x:v>
      </x:c>
      <x:c r="H1628" s="20" t="str">
        <x:v>4000 Rental Income</x:v>
      </x:c>
      <x:c r="I1628" s="26" t="n">
        <x:v>0</x:v>
      </x:c>
      <x:c r="J1628" s="26" t="n">
        <x:v>1300</x:v>
      </x:c>
      <x:c r="K1628" s="35" t="str">
        <x:v>October 2027 rent</x:v>
      </x:c>
    </x:row>
    <x:row r="1629">
      <x:c r="A1629" s="20" t="str">
        <x:v>FIN-00811</x:v>
      </x:c>
      <x:c r="B1629" s="32" t="n">
        <x:v>1</x:v>
      </x:c>
      <x:c r="C1629" s="23" t="n">
        <x:v>46666</x:v>
      </x:c>
      <x:c r="D1629" s="23" t="n">
        <x:v>46666</x:v>
      </x:c>
      <x:c r="E1629" s="20" t="str">
        <x:v>P023</x:v>
      </x:c>
      <x:c r="F1629" s="20" t="str">
        <x:v>U026</x:v>
      </x:c>
      <x:c r="G1629" s="20" t="str">
        <x:v>L026</x:v>
      </x:c>
      <x:c r="H1629" s="20" t="str">
        <x:v>1100 Tenant Accounts Receivable</x:v>
      </x:c>
      <x:c r="I1629" s="26" t="n">
        <x:v>50</x:v>
      </x:c>
      <x:c r="J1629" s="26" t="n">
        <x:v>0</x:v>
      </x:c>
      <x:c r="K1629" s="35" t="str">
        <x:v>Synthetic lease-authorized late fee</x:v>
      </x:c>
    </x:row>
    <x:row r="1630">
      <x:c r="A1630" s="20" t="str">
        <x:v>FIN-00811</x:v>
      </x:c>
      <x:c r="B1630" s="32" t="n">
        <x:v>2</x:v>
      </x:c>
      <x:c r="C1630" s="23" t="n">
        <x:v>46666</x:v>
      </x:c>
      <x:c r="D1630" s="23" t="n">
        <x:v>46666</x:v>
      </x:c>
      <x:c r="E1630" s="20" t="str">
        <x:v>P023</x:v>
      </x:c>
      <x:c r="F1630" s="20" t="str">
        <x:v>U026</x:v>
      </x:c>
      <x:c r="G1630" s="20" t="str">
        <x:v>L026</x:v>
      </x:c>
      <x:c r="H1630" s="20" t="str">
        <x:v>4010 Late Fee Income</x:v>
      </x:c>
      <x:c r="I1630" s="26" t="n">
        <x:v>0</x:v>
      </x:c>
      <x:c r="J1630" s="26" t="n">
        <x:v>50</x:v>
      </x:c>
      <x:c r="K1630" s="35" t="str">
        <x:v>Synthetic lease-authorized late fee</x:v>
      </x:c>
    </x:row>
    <x:row r="1631">
      <x:c r="A1631" s="20" t="str">
        <x:v>FIN-00812</x:v>
      </x:c>
      <x:c r="B1631" s="32" t="n">
        <x:v>1</x:v>
      </x:c>
      <x:c r="C1631" s="23" t="n">
        <x:v>46668</x:v>
      </x:c>
      <x:c r="D1631" s="23" t="n">
        <x:v>46668</x:v>
      </x:c>
      <x:c r="E1631" s="20" t="str">
        <x:v>P023</x:v>
      </x:c>
      <x:c r="F1631" s="20" t="str">
        <x:v>U026</x:v>
      </x:c>
      <x:c r="G1631" s="20" t="str">
        <x:v>L026</x:v>
      </x:c>
      <x:c r="H1631" s="20" t="str">
        <x:v>1000 Operating Cash</x:v>
      </x:c>
      <x:c r="I1631" s="26" t="n">
        <x:v>1350</x:v>
      </x:c>
      <x:c r="J1631" s="26" t="n">
        <x:v>0</x:v>
      </x:c>
      <x:c r="K1631" s="35" t="str">
        <x:v>Receipt allocated to FIN-00811</x:v>
      </x:c>
    </x:row>
    <x:row r="1632">
      <x:c r="A1632" s="20" t="str">
        <x:v>FIN-00812</x:v>
      </x:c>
      <x:c r="B1632" s="32" t="n">
        <x:v>2</x:v>
      </x:c>
      <x:c r="C1632" s="23" t="n">
        <x:v>46668</x:v>
      </x:c>
      <x:c r="D1632" s="23" t="n">
        <x:v>46668</x:v>
      </x:c>
      <x:c r="E1632" s="20" t="str">
        <x:v>P023</x:v>
      </x:c>
      <x:c r="F1632" s="20" t="str">
        <x:v>U026</x:v>
      </x:c>
      <x:c r="G1632" s="20" t="str">
        <x:v>L026</x:v>
      </x:c>
      <x:c r="H1632" s="20" t="str">
        <x:v>1100 Tenant Accounts Receivable</x:v>
      </x:c>
      <x:c r="I1632" s="26" t="n">
        <x:v>0</x:v>
      </x:c>
      <x:c r="J1632" s="26" t="n">
        <x:v>1350</x:v>
      </x:c>
      <x:c r="K1632" s="35" t="str">
        <x:v>Receipt allocated to FIN-00811</x:v>
      </x:c>
    </x:row>
    <x:row r="1633">
      <x:c r="A1633" s="20" t="str">
        <x:v>FIN-00813</x:v>
      </x:c>
      <x:c r="B1633" s="32" t="n">
        <x:v>1</x:v>
      </x:c>
      <x:c r="C1633" s="23" t="n">
        <x:v>46661</x:v>
      </x:c>
      <x:c r="D1633" s="23" t="n">
        <x:v>46661</x:v>
      </x:c>
      <x:c r="E1633" s="20" t="str">
        <x:v>P024</x:v>
      </x:c>
      <x:c r="F1633" s="20" t="str">
        <x:v>U027</x:v>
      </x:c>
      <x:c r="G1633" s="20" t="str">
        <x:v>L027</x:v>
      </x:c>
      <x:c r="H1633" s="20" t="str">
        <x:v>1100 Tenant Accounts Receivable</x:v>
      </x:c>
      <x:c r="I1633" s="26" t="n">
        <x:v>1825</x:v>
      </x:c>
      <x:c r="J1633" s="26" t="n">
        <x:v>0</x:v>
      </x:c>
      <x:c r="K1633" s="35" t="str">
        <x:v>October 2027 rent</x:v>
      </x:c>
    </x:row>
    <x:row r="1634">
      <x:c r="A1634" s="20" t="str">
        <x:v>FIN-00813</x:v>
      </x:c>
      <x:c r="B1634" s="32" t="n">
        <x:v>2</x:v>
      </x:c>
      <x:c r="C1634" s="23" t="n">
        <x:v>46661</x:v>
      </x:c>
      <x:c r="D1634" s="23" t="n">
        <x:v>46661</x:v>
      </x:c>
      <x:c r="E1634" s="20" t="str">
        <x:v>P024</x:v>
      </x:c>
      <x:c r="F1634" s="20" t="str">
        <x:v>U027</x:v>
      </x:c>
      <x:c r="G1634" s="20" t="str">
        <x:v>L027</x:v>
      </x:c>
      <x:c r="H1634" s="20" t="str">
        <x:v>4000 Rental Income</x:v>
      </x:c>
      <x:c r="I1634" s="26" t="n">
        <x:v>0</x:v>
      </x:c>
      <x:c r="J1634" s="26" t="n">
        <x:v>1825</x:v>
      </x:c>
      <x:c r="K1634" s="35" t="str">
        <x:v>October 2027 rent</x:v>
      </x:c>
    </x:row>
    <x:row r="1635">
      <x:c r="A1635" s="20" t="str">
        <x:v>FIN-00814</x:v>
      </x:c>
      <x:c r="B1635" s="32" t="n">
        <x:v>1</x:v>
      </x:c>
      <x:c r="C1635" s="23" t="n">
        <x:v>46663</x:v>
      </x:c>
      <x:c r="D1635" s="23" t="n">
        <x:v>46663</x:v>
      </x:c>
      <x:c r="E1635" s="20" t="str">
        <x:v>P024</x:v>
      </x:c>
      <x:c r="F1635" s="20" t="str">
        <x:v>U027</x:v>
      </x:c>
      <x:c r="G1635" s="20" t="str">
        <x:v>L027</x:v>
      </x:c>
      <x:c r="H1635" s="20" t="str">
        <x:v>1000 Operating Cash</x:v>
      </x:c>
      <x:c r="I1635" s="26" t="n">
        <x:v>1825</x:v>
      </x:c>
      <x:c r="J1635" s="26" t="n">
        <x:v>0</x:v>
      </x:c>
      <x:c r="K1635" s="35" t="str">
        <x:v>Receipt allocated to FIN-00813</x:v>
      </x:c>
    </x:row>
    <x:row r="1636">
      <x:c r="A1636" s="20" t="str">
        <x:v>FIN-00814</x:v>
      </x:c>
      <x:c r="B1636" s="32" t="n">
        <x:v>2</x:v>
      </x:c>
      <x:c r="C1636" s="23" t="n">
        <x:v>46663</x:v>
      </x:c>
      <x:c r="D1636" s="23" t="n">
        <x:v>46663</x:v>
      </x:c>
      <x:c r="E1636" s="20" t="str">
        <x:v>P024</x:v>
      </x:c>
      <x:c r="F1636" s="20" t="str">
        <x:v>U027</x:v>
      </x:c>
      <x:c r="G1636" s="20" t="str">
        <x:v>L027</x:v>
      </x:c>
      <x:c r="H1636" s="20" t="str">
        <x:v>1100 Tenant Accounts Receivable</x:v>
      </x:c>
      <x:c r="I1636" s="26" t="n">
        <x:v>0</x:v>
      </x:c>
      <x:c r="J1636" s="26" t="n">
        <x:v>1825</x:v>
      </x:c>
      <x:c r="K1636" s="35" t="str">
        <x:v>Receipt allocated to FIN-00813</x:v>
      </x:c>
    </x:row>
    <x:row r="1637">
      <x:c r="A1637" s="20" t="str">
        <x:v>FIN-00815</x:v>
      </x:c>
      <x:c r="B1637" s="32" t="n">
        <x:v>1</x:v>
      </x:c>
      <x:c r="C1637" s="23" t="n">
        <x:v>46661</x:v>
      </x:c>
      <x:c r="D1637" s="23" t="n">
        <x:v>46661</x:v>
      </x:c>
      <x:c r="E1637" s="20" t="str">
        <x:v>P024</x:v>
      </x:c>
      <x:c r="F1637" s="20" t="str">
        <x:v>U028</x:v>
      </x:c>
      <x:c r="G1637" s="20" t="str">
        <x:v>L028</x:v>
      </x:c>
      <x:c r="H1637" s="20" t="str">
        <x:v>1100 Tenant Accounts Receivable</x:v>
      </x:c>
      <x:c r="I1637" s="26" t="n">
        <x:v>1450</x:v>
      </x:c>
      <x:c r="J1637" s="26" t="n">
        <x:v>0</x:v>
      </x:c>
      <x:c r="K1637" s="35" t="str">
        <x:v>October 2027 rent</x:v>
      </x:c>
    </x:row>
    <x:row r="1638">
      <x:c r="A1638" s="20" t="str">
        <x:v>FIN-00815</x:v>
      </x:c>
      <x:c r="B1638" s="32" t="n">
        <x:v>2</x:v>
      </x:c>
      <x:c r="C1638" s="23" t="n">
        <x:v>46661</x:v>
      </x:c>
      <x:c r="D1638" s="23" t="n">
        <x:v>46661</x:v>
      </x:c>
      <x:c r="E1638" s="20" t="str">
        <x:v>P024</x:v>
      </x:c>
      <x:c r="F1638" s="20" t="str">
        <x:v>U028</x:v>
      </x:c>
      <x:c r="G1638" s="20" t="str">
        <x:v>L028</x:v>
      </x:c>
      <x:c r="H1638" s="20" t="str">
        <x:v>4000 Rental Income</x:v>
      </x:c>
      <x:c r="I1638" s="26" t="n">
        <x:v>0</x:v>
      </x:c>
      <x:c r="J1638" s="26" t="n">
        <x:v>1450</x:v>
      </x:c>
      <x:c r="K1638" s="35" t="str">
        <x:v>October 2027 rent</x:v>
      </x:c>
    </x:row>
    <x:row r="1639">
      <x:c r="A1639" s="20" t="str">
        <x:v>FIN-00816</x:v>
      </x:c>
      <x:c r="B1639" s="32" t="n">
        <x:v>1</x:v>
      </x:c>
      <x:c r="C1639" s="23" t="n">
        <x:v>46664</x:v>
      </x:c>
      <x:c r="D1639" s="23" t="n">
        <x:v>46664</x:v>
      </x:c>
      <x:c r="E1639" s="20" t="str">
        <x:v>P024</x:v>
      </x:c>
      <x:c r="F1639" s="20" t="str">
        <x:v>U028</x:v>
      </x:c>
      <x:c r="G1639" s="20" t="str">
        <x:v>L028</x:v>
      </x:c>
      <x:c r="H1639" s="20" t="str">
        <x:v>1000 Operating Cash</x:v>
      </x:c>
      <x:c r="I1639" s="26" t="n">
        <x:v>1450</x:v>
      </x:c>
      <x:c r="J1639" s="26" t="n">
        <x:v>0</x:v>
      </x:c>
      <x:c r="K1639" s="35" t="str">
        <x:v>Receipt allocated to FIN-00815</x:v>
      </x:c>
    </x:row>
    <x:row r="1640">
      <x:c r="A1640" s="20" t="str">
        <x:v>FIN-00816</x:v>
      </x:c>
      <x:c r="B1640" s="32" t="n">
        <x:v>2</x:v>
      </x:c>
      <x:c r="C1640" s="23" t="n">
        <x:v>46664</x:v>
      </x:c>
      <x:c r="D1640" s="23" t="n">
        <x:v>46664</x:v>
      </x:c>
      <x:c r="E1640" s="20" t="str">
        <x:v>P024</x:v>
      </x:c>
      <x:c r="F1640" s="20" t="str">
        <x:v>U028</x:v>
      </x:c>
      <x:c r="G1640" s="20" t="str">
        <x:v>L028</x:v>
      </x:c>
      <x:c r="H1640" s="20" t="str">
        <x:v>1100 Tenant Accounts Receivable</x:v>
      </x:c>
      <x:c r="I1640" s="26" t="n">
        <x:v>0</x:v>
      </x:c>
      <x:c r="J1640" s="26" t="n">
        <x:v>1450</x:v>
      </x:c>
      <x:c r="K1640" s="35" t="str">
        <x:v>Receipt allocated to FIN-00815</x:v>
      </x:c>
    </x:row>
    <x:row r="1641">
      <x:c r="A1641" s="20" t="str">
        <x:v>FIN-00817</x:v>
      </x:c>
      <x:c r="B1641" s="32" t="n">
        <x:v>1</x:v>
      </x:c>
      <x:c r="C1641" s="23" t="n">
        <x:v>46661</x:v>
      </x:c>
      <x:c r="D1641" s="23" t="n">
        <x:v>46661</x:v>
      </x:c>
      <x:c r="E1641" s="20" t="str">
        <x:v>P025</x:v>
      </x:c>
      <x:c r="F1641" s="20" t="str">
        <x:v>U029</x:v>
      </x:c>
      <x:c r="G1641" s="20" t="str">
        <x:v>L029</x:v>
      </x:c>
      <x:c r="H1641" s="20" t="str">
        <x:v>1100 Tenant Accounts Receivable</x:v>
      </x:c>
      <x:c r="I1641" s="26" t="n">
        <x:v>1975</x:v>
      </x:c>
      <x:c r="J1641" s="26" t="n">
        <x:v>0</x:v>
      </x:c>
      <x:c r="K1641" s="35" t="str">
        <x:v>October 2027 rent</x:v>
      </x:c>
    </x:row>
    <x:row r="1642">
      <x:c r="A1642" s="20" t="str">
        <x:v>FIN-00817</x:v>
      </x:c>
      <x:c r="B1642" s="32" t="n">
        <x:v>2</x:v>
      </x:c>
      <x:c r="C1642" s="23" t="n">
        <x:v>46661</x:v>
      </x:c>
      <x:c r="D1642" s="23" t="n">
        <x:v>46661</x:v>
      </x:c>
      <x:c r="E1642" s="20" t="str">
        <x:v>P025</x:v>
      </x:c>
      <x:c r="F1642" s="20" t="str">
        <x:v>U029</x:v>
      </x:c>
      <x:c r="G1642" s="20" t="str">
        <x:v>L029</x:v>
      </x:c>
      <x:c r="H1642" s="20" t="str">
        <x:v>4000 Rental Income</x:v>
      </x:c>
      <x:c r="I1642" s="26" t="n">
        <x:v>0</x:v>
      </x:c>
      <x:c r="J1642" s="26" t="n">
        <x:v>1975</x:v>
      </x:c>
      <x:c r="K1642" s="35" t="str">
        <x:v>October 2027 rent</x:v>
      </x:c>
    </x:row>
    <x:row r="1643">
      <x:c r="A1643" s="20" t="str">
        <x:v>FIN-00818</x:v>
      </x:c>
      <x:c r="B1643" s="32" t="n">
        <x:v>1</x:v>
      </x:c>
      <x:c r="C1643" s="23" t="n">
        <x:v>46665</x:v>
      </x:c>
      <x:c r="D1643" s="23" t="n">
        <x:v>46665</x:v>
      </x:c>
      <x:c r="E1643" s="20" t="str">
        <x:v>P025</x:v>
      </x:c>
      <x:c r="F1643" s="20" t="str">
        <x:v>U029</x:v>
      </x:c>
      <x:c r="G1643" s="20" t="str">
        <x:v>L029</x:v>
      </x:c>
      <x:c r="H1643" s="20" t="str">
        <x:v>1000 Operating Cash</x:v>
      </x:c>
      <x:c r="I1643" s="26" t="n">
        <x:v>1975</x:v>
      </x:c>
      <x:c r="J1643" s="26" t="n">
        <x:v>0</x:v>
      </x:c>
      <x:c r="K1643" s="35" t="str">
        <x:v>Receipt allocated to FIN-00817</x:v>
      </x:c>
    </x:row>
    <x:row r="1644">
      <x:c r="A1644" s="20" t="str">
        <x:v>FIN-00818</x:v>
      </x:c>
      <x:c r="B1644" s="32" t="n">
        <x:v>2</x:v>
      </x:c>
      <x:c r="C1644" s="23" t="n">
        <x:v>46665</x:v>
      </x:c>
      <x:c r="D1644" s="23" t="n">
        <x:v>46665</x:v>
      </x:c>
      <x:c r="E1644" s="20" t="str">
        <x:v>P025</x:v>
      </x:c>
      <x:c r="F1644" s="20" t="str">
        <x:v>U029</x:v>
      </x:c>
      <x:c r="G1644" s="20" t="str">
        <x:v>L029</x:v>
      </x:c>
      <x:c r="H1644" s="20" t="str">
        <x:v>1100 Tenant Accounts Receivable</x:v>
      </x:c>
      <x:c r="I1644" s="26" t="n">
        <x:v>0</x:v>
      </x:c>
      <x:c r="J1644" s="26" t="n">
        <x:v>1975</x:v>
      </x:c>
      <x:c r="K1644" s="35" t="str">
        <x:v>Receipt allocated to FIN-00817</x:v>
      </x:c>
    </x:row>
    <x:row r="1645">
      <x:c r="A1645" s="20" t="str">
        <x:v>FIN-00819</x:v>
      </x:c>
      <x:c r="B1645" s="32" t="n">
        <x:v>1</x:v>
      </x:c>
      <x:c r="C1645" s="23" t="n">
        <x:v>46661</x:v>
      </x:c>
      <x:c r="D1645" s="23" t="n">
        <x:v>46661</x:v>
      </x:c>
      <x:c r="E1645" s="20" t="str">
        <x:v>P025</x:v>
      </x:c>
      <x:c r="F1645" s="20" t="str">
        <x:v>U030</x:v>
      </x:c>
      <x:c r="G1645" s="20" t="str">
        <x:v>L030</x:v>
      </x:c>
      <x:c r="H1645" s="20" t="str">
        <x:v>1100 Tenant Accounts Receivable</x:v>
      </x:c>
      <x:c r="I1645" s="26" t="n">
        <x:v>1600</x:v>
      </x:c>
      <x:c r="J1645" s="26" t="n">
        <x:v>0</x:v>
      </x:c>
      <x:c r="K1645" s="35" t="str">
        <x:v>October 2027 rent</x:v>
      </x:c>
    </x:row>
    <x:row r="1646">
      <x:c r="A1646" s="20" t="str">
        <x:v>FIN-00819</x:v>
      </x:c>
      <x:c r="B1646" s="32" t="n">
        <x:v>2</x:v>
      </x:c>
      <x:c r="C1646" s="23" t="n">
        <x:v>46661</x:v>
      </x:c>
      <x:c r="D1646" s="23" t="n">
        <x:v>46661</x:v>
      </x:c>
      <x:c r="E1646" s="20" t="str">
        <x:v>P025</x:v>
      </x:c>
      <x:c r="F1646" s="20" t="str">
        <x:v>U030</x:v>
      </x:c>
      <x:c r="G1646" s="20" t="str">
        <x:v>L030</x:v>
      </x:c>
      <x:c r="H1646" s="20" t="str">
        <x:v>4000 Rental Income</x:v>
      </x:c>
      <x:c r="I1646" s="26" t="n">
        <x:v>0</x:v>
      </x:c>
      <x:c r="J1646" s="26" t="n">
        <x:v>1600</x:v>
      </x:c>
      <x:c r="K1646" s="35" t="str">
        <x:v>October 2027 rent</x:v>
      </x:c>
    </x:row>
    <x:row r="1647">
      <x:c r="A1647" s="20" t="str">
        <x:v>FIN-00820</x:v>
      </x:c>
      <x:c r="B1647" s="32" t="n">
        <x:v>1</x:v>
      </x:c>
      <x:c r="C1647" s="23" t="n">
        <x:v>46663</x:v>
      </x:c>
      <x:c r="D1647" s="23" t="n">
        <x:v>46663</x:v>
      </x:c>
      <x:c r="E1647" s="20" t="str">
        <x:v>P025</x:v>
      </x:c>
      <x:c r="F1647" s="20" t="str">
        <x:v>U030</x:v>
      </x:c>
      <x:c r="G1647" s="20" t="str">
        <x:v>L030</x:v>
      </x:c>
      <x:c r="H1647" s="20" t="str">
        <x:v>1000 Operating Cash</x:v>
      </x:c>
      <x:c r="I1647" s="26" t="n">
        <x:v>1600</x:v>
      </x:c>
      <x:c r="J1647" s="26" t="n">
        <x:v>0</x:v>
      </x:c>
      <x:c r="K1647" s="35" t="str">
        <x:v>Receipt allocated to FIN-00819</x:v>
      </x:c>
    </x:row>
    <x:row r="1648">
      <x:c r="A1648" s="20" t="str">
        <x:v>FIN-00820</x:v>
      </x:c>
      <x:c r="B1648" s="32" t="n">
        <x:v>2</x:v>
      </x:c>
      <x:c r="C1648" s="23" t="n">
        <x:v>46663</x:v>
      </x:c>
      <x:c r="D1648" s="23" t="n">
        <x:v>46663</x:v>
      </x:c>
      <x:c r="E1648" s="20" t="str">
        <x:v>P025</x:v>
      </x:c>
      <x:c r="F1648" s="20" t="str">
        <x:v>U030</x:v>
      </x:c>
      <x:c r="G1648" s="20" t="str">
        <x:v>L030</x:v>
      </x:c>
      <x:c r="H1648" s="20" t="str">
        <x:v>1100 Tenant Accounts Receivable</x:v>
      </x:c>
      <x:c r="I1648" s="26" t="n">
        <x:v>0</x:v>
      </x:c>
      <x:c r="J1648" s="26" t="n">
        <x:v>1600</x:v>
      </x:c>
      <x:c r="K1648" s="35" t="str">
        <x:v>Receipt allocated to FIN-00819</x:v>
      </x:c>
    </x:row>
    <x:row r="1649">
      <x:c r="A1649" s="20" t="str">
        <x:v>FIN-00821</x:v>
      </x:c>
      <x:c r="B1649" s="32" t="n">
        <x:v>1</x:v>
      </x:c>
      <x:c r="C1649" s="23" t="n">
        <x:v>46661</x:v>
      </x:c>
      <x:c r="D1649" s="23" t="n">
        <x:v>46661</x:v>
      </x:c>
      <x:c r="E1649" s="20" t="str">
        <x:v>P026</x:v>
      </x:c>
      <x:c r="F1649" s="20" t="str">
        <x:v>U031</x:v>
      </x:c>
      <x:c r="G1649" s="20" t="str">
        <x:v>L031</x:v>
      </x:c>
      <x:c r="H1649" s="20" t="str">
        <x:v>1100 Tenant Accounts Receivable</x:v>
      </x:c>
      <x:c r="I1649" s="26" t="n">
        <x:v>1225</x:v>
      </x:c>
      <x:c r="J1649" s="26" t="n">
        <x:v>0</x:v>
      </x:c>
      <x:c r="K1649" s="35" t="str">
        <x:v>October 2027 rent</x:v>
      </x:c>
    </x:row>
    <x:row r="1650">
      <x:c r="A1650" s="20" t="str">
        <x:v>FIN-00821</x:v>
      </x:c>
      <x:c r="B1650" s="32" t="n">
        <x:v>2</x:v>
      </x:c>
      <x:c r="C1650" s="23" t="n">
        <x:v>46661</x:v>
      </x:c>
      <x:c r="D1650" s="23" t="n">
        <x:v>46661</x:v>
      </x:c>
      <x:c r="E1650" s="20" t="str">
        <x:v>P026</x:v>
      </x:c>
      <x:c r="F1650" s="20" t="str">
        <x:v>U031</x:v>
      </x:c>
      <x:c r="G1650" s="20" t="str">
        <x:v>L031</x:v>
      </x:c>
      <x:c r="H1650" s="20" t="str">
        <x:v>4000 Rental Income</x:v>
      </x:c>
      <x:c r="I1650" s="26" t="n">
        <x:v>0</x:v>
      </x:c>
      <x:c r="J1650" s="26" t="n">
        <x:v>1225</x:v>
      </x:c>
      <x:c r="K1650" s="35" t="str">
        <x:v>October 2027 rent</x:v>
      </x:c>
    </x:row>
    <x:row r="1651">
      <x:c r="A1651" s="20" t="str">
        <x:v>FIN-00822</x:v>
      </x:c>
      <x:c r="B1651" s="32" t="n">
        <x:v>1</x:v>
      </x:c>
      <x:c r="C1651" s="23" t="n">
        <x:v>46664</x:v>
      </x:c>
      <x:c r="D1651" s="23" t="n">
        <x:v>46664</x:v>
      </x:c>
      <x:c r="E1651" s="20" t="str">
        <x:v>P026</x:v>
      </x:c>
      <x:c r="F1651" s="20" t="str">
        <x:v>U031</x:v>
      </x:c>
      <x:c r="G1651" s="20" t="str">
        <x:v>L031</x:v>
      </x:c>
      <x:c r="H1651" s="20" t="str">
        <x:v>1000 Operating Cash</x:v>
      </x:c>
      <x:c r="I1651" s="26" t="n">
        <x:v>1225</x:v>
      </x:c>
      <x:c r="J1651" s="26" t="n">
        <x:v>0</x:v>
      </x:c>
      <x:c r="K1651" s="35" t="str">
        <x:v>Receipt allocated to FIN-00821</x:v>
      </x:c>
    </x:row>
    <x:row r="1652">
      <x:c r="A1652" s="20" t="str">
        <x:v>FIN-00822</x:v>
      </x:c>
      <x:c r="B1652" s="32" t="n">
        <x:v>2</x:v>
      </x:c>
      <x:c r="C1652" s="23" t="n">
        <x:v>46664</x:v>
      </x:c>
      <x:c r="D1652" s="23" t="n">
        <x:v>46664</x:v>
      </x:c>
      <x:c r="E1652" s="20" t="str">
        <x:v>P026</x:v>
      </x:c>
      <x:c r="F1652" s="20" t="str">
        <x:v>U031</x:v>
      </x:c>
      <x:c r="G1652" s="20" t="str">
        <x:v>L031</x:v>
      </x:c>
      <x:c r="H1652" s="20" t="str">
        <x:v>1100 Tenant Accounts Receivable</x:v>
      </x:c>
      <x:c r="I1652" s="26" t="n">
        <x:v>0</x:v>
      </x:c>
      <x:c r="J1652" s="26" t="n">
        <x:v>1225</x:v>
      </x:c>
      <x:c r="K1652" s="35" t="str">
        <x:v>Receipt allocated to FIN-00821</x:v>
      </x:c>
    </x:row>
    <x:row r="1653">
      <x:c r="A1653" s="20" t="str">
        <x:v>FIN-00823</x:v>
      </x:c>
      <x:c r="B1653" s="32" t="n">
        <x:v>1</x:v>
      </x:c>
      <x:c r="C1653" s="23" t="n">
        <x:v>46661</x:v>
      </x:c>
      <x:c r="D1653" s="23" t="n">
        <x:v>46661</x:v>
      </x:c>
      <x:c r="E1653" s="20" t="str">
        <x:v>P026</x:v>
      </x:c>
      <x:c r="F1653" s="20" t="str">
        <x:v>U032</x:v>
      </x:c>
      <x:c r="G1653" s="20" t="str">
        <x:v>L032</x:v>
      </x:c>
      <x:c r="H1653" s="20" t="str">
        <x:v>1100 Tenant Accounts Receivable</x:v>
      </x:c>
      <x:c r="I1653" s="26" t="n">
        <x:v>1750</x:v>
      </x:c>
      <x:c r="J1653" s="26" t="n">
        <x:v>0</x:v>
      </x:c>
      <x:c r="K1653" s="35" t="str">
        <x:v>October 2027 rent</x:v>
      </x:c>
    </x:row>
    <x:row r="1654">
      <x:c r="A1654" s="20" t="str">
        <x:v>FIN-00823</x:v>
      </x:c>
      <x:c r="B1654" s="32" t="n">
        <x:v>2</x:v>
      </x:c>
      <x:c r="C1654" s="23" t="n">
        <x:v>46661</x:v>
      </x:c>
      <x:c r="D1654" s="23" t="n">
        <x:v>46661</x:v>
      </x:c>
      <x:c r="E1654" s="20" t="str">
        <x:v>P026</x:v>
      </x:c>
      <x:c r="F1654" s="20" t="str">
        <x:v>U032</x:v>
      </x:c>
      <x:c r="G1654" s="20" t="str">
        <x:v>L032</x:v>
      </x:c>
      <x:c r="H1654" s="20" t="str">
        <x:v>4000 Rental Income</x:v>
      </x:c>
      <x:c r="I1654" s="26" t="n">
        <x:v>0</x:v>
      </x:c>
      <x:c r="J1654" s="26" t="n">
        <x:v>1750</x:v>
      </x:c>
      <x:c r="K1654" s="35" t="str">
        <x:v>October 2027 rent</x:v>
      </x:c>
    </x:row>
    <x:row r="1655">
      <x:c r="A1655" s="20" t="str">
        <x:v>FIN-00824</x:v>
      </x:c>
      <x:c r="B1655" s="32" t="n">
        <x:v>1</x:v>
      </x:c>
      <x:c r="C1655" s="23" t="n">
        <x:v>46665</x:v>
      </x:c>
      <x:c r="D1655" s="23" t="n">
        <x:v>46665</x:v>
      </x:c>
      <x:c r="E1655" s="20" t="str">
        <x:v>P026</x:v>
      </x:c>
      <x:c r="F1655" s="20" t="str">
        <x:v>U032</x:v>
      </x:c>
      <x:c r="G1655" s="20" t="str">
        <x:v>L032</x:v>
      </x:c>
      <x:c r="H1655" s="20" t="str">
        <x:v>1000 Operating Cash</x:v>
      </x:c>
      <x:c r="I1655" s="26" t="n">
        <x:v>1750</x:v>
      </x:c>
      <x:c r="J1655" s="26" t="n">
        <x:v>0</x:v>
      </x:c>
      <x:c r="K1655" s="35" t="str">
        <x:v>Receipt allocated to FIN-00823</x:v>
      </x:c>
    </x:row>
    <x:row r="1656">
      <x:c r="A1656" s="20" t="str">
        <x:v>FIN-00824</x:v>
      </x:c>
      <x:c r="B1656" s="32" t="n">
        <x:v>2</x:v>
      </x:c>
      <x:c r="C1656" s="23" t="n">
        <x:v>46665</x:v>
      </x:c>
      <x:c r="D1656" s="23" t="n">
        <x:v>46665</x:v>
      </x:c>
      <x:c r="E1656" s="20" t="str">
        <x:v>P026</x:v>
      </x:c>
      <x:c r="F1656" s="20" t="str">
        <x:v>U032</x:v>
      </x:c>
      <x:c r="G1656" s="20" t="str">
        <x:v>L032</x:v>
      </x:c>
      <x:c r="H1656" s="20" t="str">
        <x:v>1100 Tenant Accounts Receivable</x:v>
      </x:c>
      <x:c r="I1656" s="26" t="n">
        <x:v>0</x:v>
      </x:c>
      <x:c r="J1656" s="26" t="n">
        <x:v>1750</x:v>
      </x:c>
      <x:c r="K1656" s="35" t="str">
        <x:v>Receipt allocated to FIN-00823</x:v>
      </x:c>
    </x:row>
    <x:row r="1657">
      <x:c r="A1657" s="20" t="str">
        <x:v>FIN-00825</x:v>
      </x:c>
      <x:c r="B1657" s="32" t="n">
        <x:v>1</x:v>
      </x:c>
      <x:c r="C1657" s="23" t="n">
        <x:v>46661</x:v>
      </x:c>
      <x:c r="D1657" s="23" t="n">
        <x:v>46661</x:v>
      </x:c>
      <x:c r="E1657" s="20" t="str">
        <x:v>P027</x:v>
      </x:c>
      <x:c r="F1657" s="20" t="str">
        <x:v>U033</x:v>
      </x:c>
      <x:c r="G1657" s="20" t="str">
        <x:v>L033</x:v>
      </x:c>
      <x:c r="H1657" s="20" t="str">
        <x:v>1100 Tenant Accounts Receivable</x:v>
      </x:c>
      <x:c r="I1657" s="26" t="n">
        <x:v>1375</x:v>
      </x:c>
      <x:c r="J1657" s="26" t="n">
        <x:v>0</x:v>
      </x:c>
      <x:c r="K1657" s="35" t="str">
        <x:v>October 2027 rent</x:v>
      </x:c>
    </x:row>
    <x:row r="1658">
      <x:c r="A1658" s="20" t="str">
        <x:v>FIN-00825</x:v>
      </x:c>
      <x:c r="B1658" s="32" t="n">
        <x:v>2</x:v>
      </x:c>
      <x:c r="C1658" s="23" t="n">
        <x:v>46661</x:v>
      </x:c>
      <x:c r="D1658" s="23" t="n">
        <x:v>46661</x:v>
      </x:c>
      <x:c r="E1658" s="20" t="str">
        <x:v>P027</x:v>
      </x:c>
      <x:c r="F1658" s="20" t="str">
        <x:v>U033</x:v>
      </x:c>
      <x:c r="G1658" s="20" t="str">
        <x:v>L033</x:v>
      </x:c>
      <x:c r="H1658" s="20" t="str">
        <x:v>4000 Rental Income</x:v>
      </x:c>
      <x:c r="I1658" s="26" t="n">
        <x:v>0</x:v>
      </x:c>
      <x:c r="J1658" s="26" t="n">
        <x:v>1375</x:v>
      </x:c>
      <x:c r="K1658" s="35" t="str">
        <x:v>October 2027 rent</x:v>
      </x:c>
    </x:row>
    <x:row r="1659">
      <x:c r="A1659" s="20" t="str">
        <x:v>FIN-00826</x:v>
      </x:c>
      <x:c r="B1659" s="32" t="n">
        <x:v>1</x:v>
      </x:c>
      <x:c r="C1659" s="23" t="n">
        <x:v>46663</x:v>
      </x:c>
      <x:c r="D1659" s="23" t="n">
        <x:v>46663</x:v>
      </x:c>
      <x:c r="E1659" s="20" t="str">
        <x:v>P027</x:v>
      </x:c>
      <x:c r="F1659" s="20" t="str">
        <x:v>U033</x:v>
      </x:c>
      <x:c r="G1659" s="20" t="str">
        <x:v>L033</x:v>
      </x:c>
      <x:c r="H1659" s="20" t="str">
        <x:v>1000 Operating Cash</x:v>
      </x:c>
      <x:c r="I1659" s="26" t="n">
        <x:v>825</x:v>
      </x:c>
      <x:c r="J1659" s="26" t="n">
        <x:v>0</x:v>
      </x:c>
      <x:c r="K1659" s="35" t="str">
        <x:v>Receipt allocated to FIN-00825</x:v>
      </x:c>
    </x:row>
    <x:row r="1660">
      <x:c r="A1660" s="20" t="str">
        <x:v>FIN-00826</x:v>
      </x:c>
      <x:c r="B1660" s="32" t="n">
        <x:v>2</x:v>
      </x:c>
      <x:c r="C1660" s="23" t="n">
        <x:v>46663</x:v>
      </x:c>
      <x:c r="D1660" s="23" t="n">
        <x:v>46663</x:v>
      </x:c>
      <x:c r="E1660" s="20" t="str">
        <x:v>P027</x:v>
      </x:c>
      <x:c r="F1660" s="20" t="str">
        <x:v>U033</x:v>
      </x:c>
      <x:c r="G1660" s="20" t="str">
        <x:v>L033</x:v>
      </x:c>
      <x:c r="H1660" s="20" t="str">
        <x:v>1100 Tenant Accounts Receivable</x:v>
      </x:c>
      <x:c r="I1660" s="26" t="n">
        <x:v>0</x:v>
      </x:c>
      <x:c r="J1660" s="26" t="n">
        <x:v>825</x:v>
      </x:c>
      <x:c r="K1660" s="35" t="str">
        <x:v>Receipt allocated to FIN-00825</x:v>
      </x:c>
    </x:row>
    <x:row r="1661">
      <x:c r="A1661" s="20" t="str">
        <x:v>FIN-00827</x:v>
      </x:c>
      <x:c r="B1661" s="32" t="n">
        <x:v>1</x:v>
      </x:c>
      <x:c r="C1661" s="23" t="n">
        <x:v>46666</x:v>
      </x:c>
      <x:c r="D1661" s="23" t="n">
        <x:v>46666</x:v>
      </x:c>
      <x:c r="E1661" s="20" t="str">
        <x:v>P027</x:v>
      </x:c>
      <x:c r="F1661" s="20" t="str">
        <x:v>U033</x:v>
      </x:c>
      <x:c r="G1661" s="20" t="str">
        <x:v>L033</x:v>
      </x:c>
      <x:c r="H1661" s="20" t="str">
        <x:v>1100 Tenant Accounts Receivable</x:v>
      </x:c>
      <x:c r="I1661" s="26" t="n">
        <x:v>50</x:v>
      </x:c>
      <x:c r="J1661" s="26" t="n">
        <x:v>0</x:v>
      </x:c>
      <x:c r="K1661" s="35" t="str">
        <x:v>Synthetic lease-authorized late fee after partial payment</x:v>
      </x:c>
    </x:row>
    <x:row r="1662">
      <x:c r="A1662" s="20" t="str">
        <x:v>FIN-00827</x:v>
      </x:c>
      <x:c r="B1662" s="32" t="n">
        <x:v>2</x:v>
      </x:c>
      <x:c r="C1662" s="23" t="n">
        <x:v>46666</x:v>
      </x:c>
      <x:c r="D1662" s="23" t="n">
        <x:v>46666</x:v>
      </x:c>
      <x:c r="E1662" s="20" t="str">
        <x:v>P027</x:v>
      </x:c>
      <x:c r="F1662" s="20" t="str">
        <x:v>U033</x:v>
      </x:c>
      <x:c r="G1662" s="20" t="str">
        <x:v>L033</x:v>
      </x:c>
      <x:c r="H1662" s="20" t="str">
        <x:v>4010 Late Fee Income</x:v>
      </x:c>
      <x:c r="I1662" s="26" t="n">
        <x:v>0</x:v>
      </x:c>
      <x:c r="J1662" s="26" t="n">
        <x:v>50</x:v>
      </x:c>
      <x:c r="K1662" s="35" t="str">
        <x:v>Synthetic lease-authorized late fee after partial payment</x:v>
      </x:c>
    </x:row>
    <x:row r="1663">
      <x:c r="A1663" s="20" t="str">
        <x:v>FIN-00828</x:v>
      </x:c>
      <x:c r="B1663" s="32" t="n">
        <x:v>1</x:v>
      </x:c>
      <x:c r="C1663" s="23" t="n">
        <x:v>46672</x:v>
      </x:c>
      <x:c r="D1663" s="23" t="n">
        <x:v>46672</x:v>
      </x:c>
      <x:c r="E1663" s="20" t="str">
        <x:v>P027</x:v>
      </x:c>
      <x:c r="F1663" s="20" t="str">
        <x:v>U033</x:v>
      </x:c>
      <x:c r="G1663" s="20" t="str">
        <x:v>L033</x:v>
      </x:c>
      <x:c r="H1663" s="20" t="str">
        <x:v>1000 Operating Cash</x:v>
      </x:c>
      <x:c r="I1663" s="26" t="n">
        <x:v>600</x:v>
      </x:c>
      <x:c r="J1663" s="26" t="n">
        <x:v>0</x:v>
      </x:c>
      <x:c r="K1663" s="35" t="str">
        <x:v>Receipt allocated to FIN-00827</x:v>
      </x:c>
    </x:row>
    <x:row r="1664">
      <x:c r="A1664" s="20" t="str">
        <x:v>FIN-00828</x:v>
      </x:c>
      <x:c r="B1664" s="32" t="n">
        <x:v>2</x:v>
      </x:c>
      <x:c r="C1664" s="23" t="n">
        <x:v>46672</x:v>
      </x:c>
      <x:c r="D1664" s="23" t="n">
        <x:v>46672</x:v>
      </x:c>
      <x:c r="E1664" s="20" t="str">
        <x:v>P027</x:v>
      </x:c>
      <x:c r="F1664" s="20" t="str">
        <x:v>U033</x:v>
      </x:c>
      <x:c r="G1664" s="20" t="str">
        <x:v>L033</x:v>
      </x:c>
      <x:c r="H1664" s="20" t="str">
        <x:v>1100 Tenant Accounts Receivable</x:v>
      </x:c>
      <x:c r="I1664" s="26" t="n">
        <x:v>0</x:v>
      </x:c>
      <x:c r="J1664" s="26" t="n">
        <x:v>600</x:v>
      </x:c>
      <x:c r="K1664" s="35" t="str">
        <x:v>Receipt allocated to FIN-00827</x:v>
      </x:c>
    </x:row>
    <x:row r="1665">
      <x:c r="A1665" s="20" t="str">
        <x:v>FIN-00829</x:v>
      </x:c>
      <x:c r="B1665" s="32" t="n">
        <x:v>1</x:v>
      </x:c>
      <x:c r="C1665" s="23" t="n">
        <x:v>46661</x:v>
      </x:c>
      <x:c r="D1665" s="23" t="n">
        <x:v>46661</x:v>
      </x:c>
      <x:c r="E1665" s="20" t="str">
        <x:v>P027</x:v>
      </x:c>
      <x:c r="F1665" s="20" t="str">
        <x:v>U034</x:v>
      </x:c>
      <x:c r="G1665" s="20" t="str">
        <x:v>L034</x:v>
      </x:c>
      <x:c r="H1665" s="20" t="str">
        <x:v>1100 Tenant Accounts Receivable</x:v>
      </x:c>
      <x:c r="I1665" s="26" t="n">
        <x:v>1900</x:v>
      </x:c>
      <x:c r="J1665" s="26" t="n">
        <x:v>0</x:v>
      </x:c>
      <x:c r="K1665" s="35" t="str">
        <x:v>October 2027 rent</x:v>
      </x:c>
    </x:row>
    <x:row r="1666">
      <x:c r="A1666" s="20" t="str">
        <x:v>FIN-00829</x:v>
      </x:c>
      <x:c r="B1666" s="32" t="n">
        <x:v>2</x:v>
      </x:c>
      <x:c r="C1666" s="23" t="n">
        <x:v>46661</x:v>
      </x:c>
      <x:c r="D1666" s="23" t="n">
        <x:v>46661</x:v>
      </x:c>
      <x:c r="E1666" s="20" t="str">
        <x:v>P027</x:v>
      </x:c>
      <x:c r="F1666" s="20" t="str">
        <x:v>U034</x:v>
      </x:c>
      <x:c r="G1666" s="20" t="str">
        <x:v>L034</x:v>
      </x:c>
      <x:c r="H1666" s="20" t="str">
        <x:v>4000 Rental Income</x:v>
      </x:c>
      <x:c r="I1666" s="26" t="n">
        <x:v>0</x:v>
      </x:c>
      <x:c r="J1666" s="26" t="n">
        <x:v>1900</x:v>
      </x:c>
      <x:c r="K1666" s="35" t="str">
        <x:v>October 2027 rent</x:v>
      </x:c>
    </x:row>
    <x:row r="1667">
      <x:c r="A1667" s="20" t="str">
        <x:v>FIN-00830</x:v>
      </x:c>
      <x:c r="B1667" s="32" t="n">
        <x:v>1</x:v>
      </x:c>
      <x:c r="C1667" s="23" t="n">
        <x:v>46664</x:v>
      </x:c>
      <x:c r="D1667" s="23" t="n">
        <x:v>46664</x:v>
      </x:c>
      <x:c r="E1667" s="20" t="str">
        <x:v>P027</x:v>
      </x:c>
      <x:c r="F1667" s="20" t="str">
        <x:v>U034</x:v>
      </x:c>
      <x:c r="G1667" s="20" t="str">
        <x:v>L034</x:v>
      </x:c>
      <x:c r="H1667" s="20" t="str">
        <x:v>1000 Operating Cash</x:v>
      </x:c>
      <x:c r="I1667" s="26" t="n">
        <x:v>1900</x:v>
      </x:c>
      <x:c r="J1667" s="26" t="n">
        <x:v>0</x:v>
      </x:c>
      <x:c r="K1667" s="35" t="str">
        <x:v>Receipt allocated to FIN-00829</x:v>
      </x:c>
    </x:row>
    <x:row r="1668">
      <x:c r="A1668" s="20" t="str">
        <x:v>FIN-00830</x:v>
      </x:c>
      <x:c r="B1668" s="32" t="n">
        <x:v>2</x:v>
      </x:c>
      <x:c r="C1668" s="23" t="n">
        <x:v>46664</x:v>
      </x:c>
      <x:c r="D1668" s="23" t="n">
        <x:v>46664</x:v>
      </x:c>
      <x:c r="E1668" s="20" t="str">
        <x:v>P027</x:v>
      </x:c>
      <x:c r="F1668" s="20" t="str">
        <x:v>U034</x:v>
      </x:c>
      <x:c r="G1668" s="20" t="str">
        <x:v>L034</x:v>
      </x:c>
      <x:c r="H1668" s="20" t="str">
        <x:v>1100 Tenant Accounts Receivable</x:v>
      </x:c>
      <x:c r="I1668" s="26" t="n">
        <x:v>0</x:v>
      </x:c>
      <x:c r="J1668" s="26" t="n">
        <x:v>1900</x:v>
      </x:c>
      <x:c r="K1668" s="35" t="str">
        <x:v>Receipt allocated to FIN-00829</x:v>
      </x:c>
    </x:row>
    <x:row r="1669">
      <x:c r="A1669" s="20" t="str">
        <x:v>FIN-00831</x:v>
      </x:c>
      <x:c r="B1669" s="32" t="n">
        <x:v>1</x:v>
      </x:c>
      <x:c r="C1669" s="23" t="n">
        <x:v>46661</x:v>
      </x:c>
      <x:c r="D1669" s="23" t="n">
        <x:v>46661</x:v>
      </x:c>
      <x:c r="E1669" s="20" t="str">
        <x:v>P028</x:v>
      </x:c>
      <x:c r="F1669" s="20" t="str">
        <x:v>U035</x:v>
      </x:c>
      <x:c r="G1669" s="20" t="str">
        <x:v>L035</x:v>
      </x:c>
      <x:c r="H1669" s="20" t="str">
        <x:v>1100 Tenant Accounts Receivable</x:v>
      </x:c>
      <x:c r="I1669" s="26" t="n">
        <x:v>1525</x:v>
      </x:c>
      <x:c r="J1669" s="26" t="n">
        <x:v>0</x:v>
      </x:c>
      <x:c r="K1669" s="35" t="str">
        <x:v>October 2027 rent</x:v>
      </x:c>
    </x:row>
    <x:row r="1670">
      <x:c r="A1670" s="20" t="str">
        <x:v>FIN-00831</x:v>
      </x:c>
      <x:c r="B1670" s="32" t="n">
        <x:v>2</x:v>
      </x:c>
      <x:c r="C1670" s="23" t="n">
        <x:v>46661</x:v>
      </x:c>
      <x:c r="D1670" s="23" t="n">
        <x:v>46661</x:v>
      </x:c>
      <x:c r="E1670" s="20" t="str">
        <x:v>P028</x:v>
      </x:c>
      <x:c r="F1670" s="20" t="str">
        <x:v>U035</x:v>
      </x:c>
      <x:c r="G1670" s="20" t="str">
        <x:v>L035</x:v>
      </x:c>
      <x:c r="H1670" s="20" t="str">
        <x:v>4000 Rental Income</x:v>
      </x:c>
      <x:c r="I1670" s="26" t="n">
        <x:v>0</x:v>
      </x:c>
      <x:c r="J1670" s="26" t="n">
        <x:v>1525</x:v>
      </x:c>
      <x:c r="K1670" s="35" t="str">
        <x:v>October 2027 rent</x:v>
      </x:c>
    </x:row>
    <x:row r="1671">
      <x:c r="A1671" s="20" t="str">
        <x:v>FIN-00832</x:v>
      </x:c>
      <x:c r="B1671" s="32" t="n">
        <x:v>1</x:v>
      </x:c>
      <x:c r="C1671" s="23" t="n">
        <x:v>46665</x:v>
      </x:c>
      <x:c r="D1671" s="23" t="n">
        <x:v>46665</x:v>
      </x:c>
      <x:c r="E1671" s="20" t="str">
        <x:v>P028</x:v>
      </x:c>
      <x:c r="F1671" s="20" t="str">
        <x:v>U035</x:v>
      </x:c>
      <x:c r="G1671" s="20" t="str">
        <x:v>L035</x:v>
      </x:c>
      <x:c r="H1671" s="20" t="str">
        <x:v>1000 Operating Cash</x:v>
      </x:c>
      <x:c r="I1671" s="26" t="n">
        <x:v>1525</x:v>
      </x:c>
      <x:c r="J1671" s="26" t="n">
        <x:v>0</x:v>
      </x:c>
      <x:c r="K1671" s="35" t="str">
        <x:v>Receipt allocated to FIN-00831</x:v>
      </x:c>
    </x:row>
    <x:row r="1672">
      <x:c r="A1672" s="20" t="str">
        <x:v>FIN-00832</x:v>
      </x:c>
      <x:c r="B1672" s="32" t="n">
        <x:v>2</x:v>
      </x:c>
      <x:c r="C1672" s="23" t="n">
        <x:v>46665</x:v>
      </x:c>
      <x:c r="D1672" s="23" t="n">
        <x:v>46665</x:v>
      </x:c>
      <x:c r="E1672" s="20" t="str">
        <x:v>P028</x:v>
      </x:c>
      <x:c r="F1672" s="20" t="str">
        <x:v>U035</x:v>
      </x:c>
      <x:c r="G1672" s="20" t="str">
        <x:v>L035</x:v>
      </x:c>
      <x:c r="H1672" s="20" t="str">
        <x:v>1100 Tenant Accounts Receivable</x:v>
      </x:c>
      <x:c r="I1672" s="26" t="n">
        <x:v>0</x:v>
      </x:c>
      <x:c r="J1672" s="26" t="n">
        <x:v>1525</x:v>
      </x:c>
      <x:c r="K1672" s="35" t="str">
        <x:v>Receipt allocated to FIN-00831</x:v>
      </x:c>
    </x:row>
    <x:row r="1673">
      <x:c r="A1673" s="20" t="str">
        <x:v>FIN-00833</x:v>
      </x:c>
      <x:c r="B1673" s="32" t="n">
        <x:v>1</x:v>
      </x:c>
      <x:c r="C1673" s="23" t="n">
        <x:v>46661</x:v>
      </x:c>
      <x:c r="D1673" s="23" t="n">
        <x:v>46661</x:v>
      </x:c>
      <x:c r="E1673" s="20" t="str">
        <x:v>P028</x:v>
      </x:c>
      <x:c r="F1673" s="20" t="str">
        <x:v>U036</x:v>
      </x:c>
      <x:c r="G1673" s="20" t="str">
        <x:v>L036</x:v>
      </x:c>
      <x:c r="H1673" s="20" t="str">
        <x:v>1100 Tenant Accounts Receivable</x:v>
      </x:c>
      <x:c r="I1673" s="26" t="n">
        <x:v>1150</x:v>
      </x:c>
      <x:c r="J1673" s="26" t="n">
        <x:v>0</x:v>
      </x:c>
      <x:c r="K1673" s="35" t="str">
        <x:v>October 2027 rent</x:v>
      </x:c>
    </x:row>
    <x:row r="1674">
      <x:c r="A1674" s="20" t="str">
        <x:v>FIN-00833</x:v>
      </x:c>
      <x:c r="B1674" s="32" t="n">
        <x:v>2</x:v>
      </x:c>
      <x:c r="C1674" s="23" t="n">
        <x:v>46661</x:v>
      </x:c>
      <x:c r="D1674" s="23" t="n">
        <x:v>46661</x:v>
      </x:c>
      <x:c r="E1674" s="20" t="str">
        <x:v>P028</x:v>
      </x:c>
      <x:c r="F1674" s="20" t="str">
        <x:v>U036</x:v>
      </x:c>
      <x:c r="G1674" s="20" t="str">
        <x:v>L036</x:v>
      </x:c>
      <x:c r="H1674" s="20" t="str">
        <x:v>4000 Rental Income</x:v>
      </x:c>
      <x:c r="I1674" s="26" t="n">
        <x:v>0</x:v>
      </x:c>
      <x:c r="J1674" s="26" t="n">
        <x:v>1150</x:v>
      </x:c>
      <x:c r="K1674" s="35" t="str">
        <x:v>October 2027 rent</x:v>
      </x:c>
    </x:row>
    <x:row r="1675">
      <x:c r="A1675" s="20" t="str">
        <x:v>FIN-00834</x:v>
      </x:c>
      <x:c r="B1675" s="32" t="n">
        <x:v>1</x:v>
      </x:c>
      <x:c r="C1675" s="23" t="n">
        <x:v>46663</x:v>
      </x:c>
      <x:c r="D1675" s="23" t="n">
        <x:v>46663</x:v>
      </x:c>
      <x:c r="E1675" s="20" t="str">
        <x:v>P028</x:v>
      </x:c>
      <x:c r="F1675" s="20" t="str">
        <x:v>U036</x:v>
      </x:c>
      <x:c r="G1675" s="20" t="str">
        <x:v>L036</x:v>
      </x:c>
      <x:c r="H1675" s="20" t="str">
        <x:v>1000 Operating Cash</x:v>
      </x:c>
      <x:c r="I1675" s="26" t="n">
        <x:v>1150</x:v>
      </x:c>
      <x:c r="J1675" s="26" t="n">
        <x:v>0</x:v>
      </x:c>
      <x:c r="K1675" s="35" t="str">
        <x:v>Receipt allocated to FIN-00833</x:v>
      </x:c>
    </x:row>
    <x:row r="1676">
      <x:c r="A1676" s="20" t="str">
        <x:v>FIN-00834</x:v>
      </x:c>
      <x:c r="B1676" s="32" t="n">
        <x:v>2</x:v>
      </x:c>
      <x:c r="C1676" s="23" t="n">
        <x:v>46663</x:v>
      </x:c>
      <x:c r="D1676" s="23" t="n">
        <x:v>46663</x:v>
      </x:c>
      <x:c r="E1676" s="20" t="str">
        <x:v>P028</x:v>
      </x:c>
      <x:c r="F1676" s="20" t="str">
        <x:v>U036</x:v>
      </x:c>
      <x:c r="G1676" s="20" t="str">
        <x:v>L036</x:v>
      </x:c>
      <x:c r="H1676" s="20" t="str">
        <x:v>1100 Tenant Accounts Receivable</x:v>
      </x:c>
      <x:c r="I1676" s="26" t="n">
        <x:v>0</x:v>
      </x:c>
      <x:c r="J1676" s="26" t="n">
        <x:v>1150</x:v>
      </x:c>
      <x:c r="K1676" s="35" t="str">
        <x:v>Receipt allocated to FIN-00833</x:v>
      </x:c>
    </x:row>
    <x:row r="1677">
      <x:c r="A1677" s="20" t="str">
        <x:v>FIN-00835</x:v>
      </x:c>
      <x:c r="B1677" s="32" t="n">
        <x:v>1</x:v>
      </x:c>
      <x:c r="C1677" s="23" t="n">
        <x:v>46661</x:v>
      </x:c>
      <x:c r="D1677" s="23" t="n">
        <x:v>46661</x:v>
      </x:c>
      <x:c r="E1677" s="20" t="str">
        <x:v>P005</x:v>
      </x:c>
      <x:c r="F1677" s="20" t="str">
        <x:v>U005</x:v>
      </x:c>
      <x:c r="G1677" s="20" t="str">
        <x:v>L037</x:v>
      </x:c>
      <x:c r="H1677" s="20" t="str">
        <x:v>1100 Tenant Accounts Receivable</x:v>
      </x:c>
      <x:c r="I1677" s="26" t="n">
        <x:v>1875</x:v>
      </x:c>
      <x:c r="J1677" s="26" t="n">
        <x:v>0</x:v>
      </x:c>
      <x:c r="K1677" s="35" t="str">
        <x:v>October 2027 rent</x:v>
      </x:c>
    </x:row>
    <x:row r="1678">
      <x:c r="A1678" s="20" t="str">
        <x:v>FIN-00835</x:v>
      </x:c>
      <x:c r="B1678" s="32" t="n">
        <x:v>2</x:v>
      </x:c>
      <x:c r="C1678" s="23" t="n">
        <x:v>46661</x:v>
      </x:c>
      <x:c r="D1678" s="23" t="n">
        <x:v>46661</x:v>
      </x:c>
      <x:c r="E1678" s="20" t="str">
        <x:v>P005</x:v>
      </x:c>
      <x:c r="F1678" s="20" t="str">
        <x:v>U005</x:v>
      </x:c>
      <x:c r="G1678" s="20" t="str">
        <x:v>L037</x:v>
      </x:c>
      <x:c r="H1678" s="20" t="str">
        <x:v>4000 Rental Income</x:v>
      </x:c>
      <x:c r="I1678" s="26" t="n">
        <x:v>0</x:v>
      </x:c>
      <x:c r="J1678" s="26" t="n">
        <x:v>1875</x:v>
      </x:c>
      <x:c r="K1678" s="35" t="str">
        <x:v>October 2027 rent</x:v>
      </x:c>
    </x:row>
    <x:row r="1679">
      <x:c r="A1679" s="20" t="str">
        <x:v>FIN-00836</x:v>
      </x:c>
      <x:c r="B1679" s="32" t="n">
        <x:v>1</x:v>
      </x:c>
      <x:c r="C1679" s="23" t="n">
        <x:v>46664</x:v>
      </x:c>
      <x:c r="D1679" s="23" t="n">
        <x:v>46664</x:v>
      </x:c>
      <x:c r="E1679" s="20" t="str">
        <x:v>P005</x:v>
      </x:c>
      <x:c r="F1679" s="20" t="str">
        <x:v>U005</x:v>
      </x:c>
      <x:c r="G1679" s="20" t="str">
        <x:v>L037</x:v>
      </x:c>
      <x:c r="H1679" s="20" t="str">
        <x:v>1000 Operating Cash</x:v>
      </x:c>
      <x:c r="I1679" s="26" t="n">
        <x:v>1875</x:v>
      </x:c>
      <x:c r="J1679" s="26" t="n">
        <x:v>0</x:v>
      </x:c>
      <x:c r="K1679" s="35" t="str">
        <x:v>Receipt allocated to FIN-00835</x:v>
      </x:c>
    </x:row>
    <x:row r="1680">
      <x:c r="A1680" s="20" t="str">
        <x:v>FIN-00836</x:v>
      </x:c>
      <x:c r="B1680" s="32" t="n">
        <x:v>2</x:v>
      </x:c>
      <x:c r="C1680" s="23" t="n">
        <x:v>46664</x:v>
      </x:c>
      <x:c r="D1680" s="23" t="n">
        <x:v>46664</x:v>
      </x:c>
      <x:c r="E1680" s="20" t="str">
        <x:v>P005</x:v>
      </x:c>
      <x:c r="F1680" s="20" t="str">
        <x:v>U005</x:v>
      </x:c>
      <x:c r="G1680" s="20" t="str">
        <x:v>L037</x:v>
      </x:c>
      <x:c r="H1680" s="20" t="str">
        <x:v>1100 Tenant Accounts Receivable</x:v>
      </x:c>
      <x:c r="I1680" s="26" t="n">
        <x:v>0</x:v>
      </x:c>
      <x:c r="J1680" s="26" t="n">
        <x:v>1875</x:v>
      </x:c>
      <x:c r="K1680" s="35" t="str">
        <x:v>Receipt allocated to FIN-00835</x:v>
      </x:c>
    </x:row>
    <x:row r="1681">
      <x:c r="A1681" s="20" t="str">
        <x:v>FIN-00837</x:v>
      </x:c>
      <x:c r="B1681" s="32" t="n">
        <x:v>1</x:v>
      </x:c>
      <x:c r="C1681" s="23" t="n">
        <x:v>46661</x:v>
      </x:c>
      <x:c r="D1681" s="23" t="n">
        <x:v>46661</x:v>
      </x:c>
      <x:c r="E1681" s="20" t="str">
        <x:v>P014</x:v>
      </x:c>
      <x:c r="F1681" s="20" t="str">
        <x:v>U014</x:v>
      </x:c>
      <x:c r="G1681" s="20" t="str">
        <x:v>L038</x:v>
      </x:c>
      <x:c r="H1681" s="20" t="str">
        <x:v>1100 Tenant Accounts Receivable</x:v>
      </x:c>
      <x:c r="I1681" s="26" t="n">
        <x:v>1200</x:v>
      </x:c>
      <x:c r="J1681" s="26" t="n">
        <x:v>0</x:v>
      </x:c>
      <x:c r="K1681" s="35" t="str">
        <x:v>October 2027 rent</x:v>
      </x:c>
    </x:row>
    <x:row r="1682">
      <x:c r="A1682" s="20" t="str">
        <x:v>FIN-00837</x:v>
      </x:c>
      <x:c r="B1682" s="32" t="n">
        <x:v>2</x:v>
      </x:c>
      <x:c r="C1682" s="23" t="n">
        <x:v>46661</x:v>
      </x:c>
      <x:c r="D1682" s="23" t="n">
        <x:v>46661</x:v>
      </x:c>
      <x:c r="E1682" s="20" t="str">
        <x:v>P014</x:v>
      </x:c>
      <x:c r="F1682" s="20" t="str">
        <x:v>U014</x:v>
      </x:c>
      <x:c r="G1682" s="20" t="str">
        <x:v>L038</x:v>
      </x:c>
      <x:c r="H1682" s="20" t="str">
        <x:v>4000 Rental Income</x:v>
      </x:c>
      <x:c r="I1682" s="26" t="n">
        <x:v>0</x:v>
      </x:c>
      <x:c r="J1682" s="26" t="n">
        <x:v>1200</x:v>
      </x:c>
      <x:c r="K1682" s="35" t="str">
        <x:v>October 2027 rent</x:v>
      </x:c>
    </x:row>
    <x:row r="1683">
      <x:c r="A1683" s="20" t="str">
        <x:v>FIN-00838</x:v>
      </x:c>
      <x:c r="B1683" s="32" t="n">
        <x:v>1</x:v>
      </x:c>
      <x:c r="C1683" s="23" t="n">
        <x:v>46665</x:v>
      </x:c>
      <x:c r="D1683" s="23" t="n">
        <x:v>46665</x:v>
      </x:c>
      <x:c r="E1683" s="20" t="str">
        <x:v>P014</x:v>
      </x:c>
      <x:c r="F1683" s="20" t="str">
        <x:v>U014</x:v>
      </x:c>
      <x:c r="G1683" s="20" t="str">
        <x:v>L038</x:v>
      </x:c>
      <x:c r="H1683" s="20" t="str">
        <x:v>1000 Operating Cash</x:v>
      </x:c>
      <x:c r="I1683" s="26" t="n">
        <x:v>1200</x:v>
      </x:c>
      <x:c r="J1683" s="26" t="n">
        <x:v>0</x:v>
      </x:c>
      <x:c r="K1683" s="35" t="str">
        <x:v>Receipt allocated to FIN-00837</x:v>
      </x:c>
    </x:row>
    <x:row r="1684">
      <x:c r="A1684" s="20" t="str">
        <x:v>FIN-00838</x:v>
      </x:c>
      <x:c r="B1684" s="32" t="n">
        <x:v>2</x:v>
      </x:c>
      <x:c r="C1684" s="23" t="n">
        <x:v>46665</x:v>
      </x:c>
      <x:c r="D1684" s="23" t="n">
        <x:v>46665</x:v>
      </x:c>
      <x:c r="E1684" s="20" t="str">
        <x:v>P014</x:v>
      </x:c>
      <x:c r="F1684" s="20" t="str">
        <x:v>U014</x:v>
      </x:c>
      <x:c r="G1684" s="20" t="str">
        <x:v>L038</x:v>
      </x:c>
      <x:c r="H1684" s="20" t="str">
        <x:v>1100 Tenant Accounts Receivable</x:v>
      </x:c>
      <x:c r="I1684" s="26" t="n">
        <x:v>0</x:v>
      </x:c>
      <x:c r="J1684" s="26" t="n">
        <x:v>1200</x:v>
      </x:c>
      <x:c r="K1684" s="35" t="str">
        <x:v>Receipt allocated to FIN-00837</x:v>
      </x:c>
    </x:row>
    <x:row r="1685">
      <x:c r="A1685" s="20" t="str">
        <x:v>FIN-00839</x:v>
      </x:c>
      <x:c r="B1685" s="32" t="n">
        <x:v>1</x:v>
      </x:c>
      <x:c r="C1685" s="23" t="n">
        <x:v>46661</x:v>
      </x:c>
      <x:c r="D1685" s="23" t="n">
        <x:v>46661</x:v>
      </x:c>
      <x:c r="E1685" s="20" t="str">
        <x:v>P017</x:v>
      </x:c>
      <x:c r="F1685" s="20" t="str">
        <x:v>U017</x:v>
      </x:c>
      <x:c r="G1685" s="20" t="str">
        <x:v>L039</x:v>
      </x:c>
      <x:c r="H1685" s="20" t="str">
        <x:v>1100 Tenant Accounts Receivable</x:v>
      </x:c>
      <x:c r="I1685" s="26" t="n">
        <x:v>1875</x:v>
      </x:c>
      <x:c r="J1685" s="26" t="n">
        <x:v>0</x:v>
      </x:c>
      <x:c r="K1685" s="35" t="str">
        <x:v>October 2027 rent</x:v>
      </x:c>
    </x:row>
    <x:row r="1686">
      <x:c r="A1686" s="20" t="str">
        <x:v>FIN-00839</x:v>
      </x:c>
      <x:c r="B1686" s="32" t="n">
        <x:v>2</x:v>
      </x:c>
      <x:c r="C1686" s="23" t="n">
        <x:v>46661</x:v>
      </x:c>
      <x:c r="D1686" s="23" t="n">
        <x:v>46661</x:v>
      </x:c>
      <x:c r="E1686" s="20" t="str">
        <x:v>P017</x:v>
      </x:c>
      <x:c r="F1686" s="20" t="str">
        <x:v>U017</x:v>
      </x:c>
      <x:c r="G1686" s="20" t="str">
        <x:v>L039</x:v>
      </x:c>
      <x:c r="H1686" s="20" t="str">
        <x:v>4000 Rental Income</x:v>
      </x:c>
      <x:c r="I1686" s="26" t="n">
        <x:v>0</x:v>
      </x:c>
      <x:c r="J1686" s="26" t="n">
        <x:v>1875</x:v>
      </x:c>
      <x:c r="K1686" s="35" t="str">
        <x:v>October 2027 rent</x:v>
      </x:c>
    </x:row>
    <x:row r="1687">
      <x:c r="A1687" s="20" t="str">
        <x:v>FIN-00840</x:v>
      </x:c>
      <x:c r="B1687" s="32" t="n">
        <x:v>1</x:v>
      </x:c>
      <x:c r="C1687" s="23" t="n">
        <x:v>46666</x:v>
      </x:c>
      <x:c r="D1687" s="23" t="n">
        <x:v>46666</x:v>
      </x:c>
      <x:c r="E1687" s="20" t="str">
        <x:v>P017</x:v>
      </x:c>
      <x:c r="F1687" s="20" t="str">
        <x:v>U017</x:v>
      </x:c>
      <x:c r="G1687" s="20" t="str">
        <x:v>L039</x:v>
      </x:c>
      <x:c r="H1687" s="20" t="str">
        <x:v>1100 Tenant Accounts Receivable</x:v>
      </x:c>
      <x:c r="I1687" s="26" t="n">
        <x:v>50</x:v>
      </x:c>
      <x:c r="J1687" s="26" t="n">
        <x:v>0</x:v>
      </x:c>
      <x:c r="K1687" s="35" t="str">
        <x:v>Synthetic lease-authorized late fee</x:v>
      </x:c>
    </x:row>
    <x:row r="1688">
      <x:c r="A1688" s="20" t="str">
        <x:v>FIN-00840</x:v>
      </x:c>
      <x:c r="B1688" s="32" t="n">
        <x:v>2</x:v>
      </x:c>
      <x:c r="C1688" s="23" t="n">
        <x:v>46666</x:v>
      </x:c>
      <x:c r="D1688" s="23" t="n">
        <x:v>46666</x:v>
      </x:c>
      <x:c r="E1688" s="20" t="str">
        <x:v>P017</x:v>
      </x:c>
      <x:c r="F1688" s="20" t="str">
        <x:v>U017</x:v>
      </x:c>
      <x:c r="G1688" s="20" t="str">
        <x:v>L039</x:v>
      </x:c>
      <x:c r="H1688" s="20" t="str">
        <x:v>4010 Late Fee Income</x:v>
      </x:c>
      <x:c r="I1688" s="26" t="n">
        <x:v>0</x:v>
      </x:c>
      <x:c r="J1688" s="26" t="n">
        <x:v>50</x:v>
      </x:c>
      <x:c r="K1688" s="35" t="str">
        <x:v>Synthetic lease-authorized late fee</x:v>
      </x:c>
    </x:row>
    <x:row r="1689">
      <x:c r="A1689" s="20" t="str">
        <x:v>FIN-00841</x:v>
      </x:c>
      <x:c r="B1689" s="32" t="n">
        <x:v>1</x:v>
      </x:c>
      <x:c r="C1689" s="23" t="n">
        <x:v>46668</x:v>
      </x:c>
      <x:c r="D1689" s="23" t="n">
        <x:v>46668</x:v>
      </x:c>
      <x:c r="E1689" s="20" t="str">
        <x:v>P017</x:v>
      </x:c>
      <x:c r="F1689" s="20" t="str">
        <x:v>U017</x:v>
      </x:c>
      <x:c r="G1689" s="20" t="str">
        <x:v>L039</x:v>
      </x:c>
      <x:c r="H1689" s="20" t="str">
        <x:v>1000 Operating Cash</x:v>
      </x:c>
      <x:c r="I1689" s="26" t="n">
        <x:v>1925</x:v>
      </x:c>
      <x:c r="J1689" s="26" t="n">
        <x:v>0</x:v>
      </x:c>
      <x:c r="K1689" s="35" t="str">
        <x:v>Receipt allocated to FIN-00840</x:v>
      </x:c>
    </x:row>
    <x:row r="1690">
      <x:c r="A1690" s="20" t="str">
        <x:v>FIN-00841</x:v>
      </x:c>
      <x:c r="B1690" s="32" t="n">
        <x:v>2</x:v>
      </x:c>
      <x:c r="C1690" s="23" t="n">
        <x:v>46668</x:v>
      </x:c>
      <x:c r="D1690" s="23" t="n">
        <x:v>46668</x:v>
      </x:c>
      <x:c r="E1690" s="20" t="str">
        <x:v>P017</x:v>
      </x:c>
      <x:c r="F1690" s="20" t="str">
        <x:v>U017</x:v>
      </x:c>
      <x:c r="G1690" s="20" t="str">
        <x:v>L039</x:v>
      </x:c>
      <x:c r="H1690" s="20" t="str">
        <x:v>1100 Tenant Accounts Receivable</x:v>
      </x:c>
      <x:c r="I1690" s="26" t="n">
        <x:v>0</x:v>
      </x:c>
      <x:c r="J1690" s="26" t="n">
        <x:v>1925</x:v>
      </x:c>
      <x:c r="K1690" s="35" t="str">
        <x:v>Receipt allocated to FIN-00840</x:v>
      </x:c>
    </x:row>
    <x:row r="1691">
      <x:c r="A1691" s="20" t="str">
        <x:v>FIN-00842</x:v>
      </x:c>
      <x:c r="B1691" s="32" t="n">
        <x:v>1</x:v>
      </x:c>
      <x:c r="C1691" s="23" t="n">
        <x:v>46661</x:v>
      </x:c>
      <x:c r="D1691" s="23" t="n">
        <x:v>46661</x:v>
      </x:c>
      <x:c r="E1691" s="20" t="str">
        <x:v>P021</x:v>
      </x:c>
      <x:c r="F1691" s="20" t="str">
        <x:v>U022</x:v>
      </x:c>
      <x:c r="G1691" s="20" t="str">
        <x:v>L040</x:v>
      </x:c>
      <x:c r="H1691" s="20" t="str">
        <x:v>1100 Tenant Accounts Receivable</x:v>
      </x:c>
      <x:c r="I1691" s="26" t="n">
        <x:v>1900</x:v>
      </x:c>
      <x:c r="J1691" s="26" t="n">
        <x:v>0</x:v>
      </x:c>
      <x:c r="K1691" s="35" t="str">
        <x:v>October 2027 rent</x:v>
      </x:c>
    </x:row>
    <x:row r="1692">
      <x:c r="A1692" s="20" t="str">
        <x:v>FIN-00842</x:v>
      </x:c>
      <x:c r="B1692" s="32" t="n">
        <x:v>2</x:v>
      </x:c>
      <x:c r="C1692" s="23" t="n">
        <x:v>46661</x:v>
      </x:c>
      <x:c r="D1692" s="23" t="n">
        <x:v>46661</x:v>
      </x:c>
      <x:c r="E1692" s="20" t="str">
        <x:v>P021</x:v>
      </x:c>
      <x:c r="F1692" s="20" t="str">
        <x:v>U022</x:v>
      </x:c>
      <x:c r="G1692" s="20" t="str">
        <x:v>L040</x:v>
      </x:c>
      <x:c r="H1692" s="20" t="str">
        <x:v>4000 Rental Income</x:v>
      </x:c>
      <x:c r="I1692" s="26" t="n">
        <x:v>0</x:v>
      </x:c>
      <x:c r="J1692" s="26" t="n">
        <x:v>1900</x:v>
      </x:c>
      <x:c r="K1692" s="35" t="str">
        <x:v>October 2027 rent</x:v>
      </x:c>
    </x:row>
    <x:row r="1693">
      <x:c r="A1693" s="20" t="str">
        <x:v>FIN-00843</x:v>
      </x:c>
      <x:c r="B1693" s="32" t="n">
        <x:v>1</x:v>
      </x:c>
      <x:c r="C1693" s="23" t="n">
        <x:v>46664</x:v>
      </x:c>
      <x:c r="D1693" s="23" t="n">
        <x:v>46664</x:v>
      </x:c>
      <x:c r="E1693" s="20" t="str">
        <x:v>P021</x:v>
      </x:c>
      <x:c r="F1693" s="20" t="str">
        <x:v>U022</x:v>
      </x:c>
      <x:c r="G1693" s="20" t="str">
        <x:v>L040</x:v>
      </x:c>
      <x:c r="H1693" s="20" t="str">
        <x:v>1000 Operating Cash</x:v>
      </x:c>
      <x:c r="I1693" s="26" t="n">
        <x:v>1900</x:v>
      </x:c>
      <x:c r="J1693" s="26" t="n">
        <x:v>0</x:v>
      </x:c>
      <x:c r="K1693" s="35" t="str">
        <x:v>Receipt allocated to FIN-00842</x:v>
      </x:c>
    </x:row>
    <x:row r="1694">
      <x:c r="A1694" s="20" t="str">
        <x:v>FIN-00843</x:v>
      </x:c>
      <x:c r="B1694" s="32" t="n">
        <x:v>2</x:v>
      </x:c>
      <x:c r="C1694" s="23" t="n">
        <x:v>46664</x:v>
      </x:c>
      <x:c r="D1694" s="23" t="n">
        <x:v>46664</x:v>
      </x:c>
      <x:c r="E1694" s="20" t="str">
        <x:v>P021</x:v>
      </x:c>
      <x:c r="F1694" s="20" t="str">
        <x:v>U022</x:v>
      </x:c>
      <x:c r="G1694" s="20" t="str">
        <x:v>L040</x:v>
      </x:c>
      <x:c r="H1694" s="20" t="str">
        <x:v>1100 Tenant Accounts Receivable</x:v>
      </x:c>
      <x:c r="I1694" s="26" t="n">
        <x:v>0</x:v>
      </x:c>
      <x:c r="J1694" s="26" t="n">
        <x:v>1900</x:v>
      </x:c>
      <x:c r="K1694" s="35" t="str">
        <x:v>Receipt allocated to FIN-00842</x:v>
      </x:c>
    </x:row>
    <x:row r="1695">
      <x:c r="A1695" s="20" t="str">
        <x:v>FIN-00844</x:v>
      </x:c>
      <x:c r="B1695" s="32" t="n">
        <x:v>1</x:v>
      </x:c>
      <x:c r="C1695" s="23" t="n">
        <x:v>46661</x:v>
      </x:c>
      <x:c r="D1695" s="23" t="n">
        <x:v>46661</x:v>
      </x:c>
      <x:c r="E1695" s="20" t="str">
        <x:v>P030</x:v>
      </x:c>
      <x:c r="F1695" s="20" t="str">
        <x:v>U040</x:v>
      </x:c>
      <x:c r="G1695" s="20" t="str">
        <x:v>L041</x:v>
      </x:c>
      <x:c r="H1695" s="20" t="str">
        <x:v>1100 Tenant Accounts Receivable</x:v>
      </x:c>
      <x:c r="I1695" s="26" t="n">
        <x:v>1450</x:v>
      </x:c>
      <x:c r="J1695" s="26" t="n">
        <x:v>0</x:v>
      </x:c>
      <x:c r="K1695" s="35" t="str">
        <x:v>October 2027 rent</x:v>
      </x:c>
    </x:row>
    <x:row r="1696">
      <x:c r="A1696" s="20" t="str">
        <x:v>FIN-00844</x:v>
      </x:c>
      <x:c r="B1696" s="32" t="n">
        <x:v>2</x:v>
      </x:c>
      <x:c r="C1696" s="23" t="n">
        <x:v>46661</x:v>
      </x:c>
      <x:c r="D1696" s="23" t="n">
        <x:v>46661</x:v>
      </x:c>
      <x:c r="E1696" s="20" t="str">
        <x:v>P030</x:v>
      </x:c>
      <x:c r="F1696" s="20" t="str">
        <x:v>U040</x:v>
      </x:c>
      <x:c r="G1696" s="20" t="str">
        <x:v>L041</x:v>
      </x:c>
      <x:c r="H1696" s="20" t="str">
        <x:v>4000 Rental Income</x:v>
      </x:c>
      <x:c r="I1696" s="26" t="n">
        <x:v>0</x:v>
      </x:c>
      <x:c r="J1696" s="26" t="n">
        <x:v>1450</x:v>
      </x:c>
      <x:c r="K1696" s="35" t="str">
        <x:v>October 2027 rent</x:v>
      </x:c>
    </x:row>
    <x:row r="1697">
      <x:c r="A1697" s="20" t="str">
        <x:v>FIN-00845</x:v>
      </x:c>
      <x:c r="B1697" s="32" t="n">
        <x:v>1</x:v>
      </x:c>
      <x:c r="C1697" s="23" t="n">
        <x:v>46665</x:v>
      </x:c>
      <x:c r="D1697" s="23" t="n">
        <x:v>46665</x:v>
      </x:c>
      <x:c r="E1697" s="20" t="str">
        <x:v>P030</x:v>
      </x:c>
      <x:c r="F1697" s="20" t="str">
        <x:v>U040</x:v>
      </x:c>
      <x:c r="G1697" s="20" t="str">
        <x:v>L041</x:v>
      </x:c>
      <x:c r="H1697" s="20" t="str">
        <x:v>1000 Operating Cash</x:v>
      </x:c>
      <x:c r="I1697" s="26" t="n">
        <x:v>1450</x:v>
      </x:c>
      <x:c r="J1697" s="26" t="n">
        <x:v>0</x:v>
      </x:c>
      <x:c r="K1697" s="35" t="str">
        <x:v>Receipt allocated to FIN-00844</x:v>
      </x:c>
    </x:row>
    <x:row r="1698">
      <x:c r="A1698" s="20" t="str">
        <x:v>FIN-00845</x:v>
      </x:c>
      <x:c r="B1698" s="32" t="n">
        <x:v>2</x:v>
      </x:c>
      <x:c r="C1698" s="23" t="n">
        <x:v>46665</x:v>
      </x:c>
      <x:c r="D1698" s="23" t="n">
        <x:v>46665</x:v>
      </x:c>
      <x:c r="E1698" s="20" t="str">
        <x:v>P030</x:v>
      </x:c>
      <x:c r="F1698" s="20" t="str">
        <x:v>U040</x:v>
      </x:c>
      <x:c r="G1698" s="20" t="str">
        <x:v>L041</x:v>
      </x:c>
      <x:c r="H1698" s="20" t="str">
        <x:v>1100 Tenant Accounts Receivable</x:v>
      </x:c>
      <x:c r="I1698" s="26" t="n">
        <x:v>0</x:v>
      </x:c>
      <x:c r="J1698" s="26" t="n">
        <x:v>1450</x:v>
      </x:c>
      <x:c r="K1698" s="35" t="str">
        <x:v>Receipt allocated to FIN-00844</x:v>
      </x:c>
    </x:row>
    <x:row r="1699">
      <x:c r="A1699" s="20" t="str">
        <x:v>FIN-00846</x:v>
      </x:c>
      <x:c r="B1699" s="32" t="n">
        <x:v>1</x:v>
      </x:c>
      <x:c r="C1699" s="23" t="n">
        <x:v>46661</x:v>
      </x:c>
      <x:c r="D1699" s="23" t="n">
        <x:v>46661</x:v>
      </x:c>
      <x:c r="E1699" s="20" t="str">
        <x:v>P029</x:v>
      </x:c>
      <x:c r="F1699" s="20" t="str">
        <x:v>U037</x:v>
      </x:c>
      <x:c r="G1699" s="20" t="str">
        <x:v>L043</x:v>
      </x:c>
      <x:c r="H1699" s="20" t="str">
        <x:v>1100 Tenant Accounts Receivable</x:v>
      </x:c>
      <x:c r="I1699" s="26" t="n">
        <x:v>1675</x:v>
      </x:c>
      <x:c r="J1699" s="26" t="n">
        <x:v>0</x:v>
      </x:c>
      <x:c r="K1699" s="35" t="str">
        <x:v>October 2027 rent</x:v>
      </x:c>
    </x:row>
    <x:row r="1700">
      <x:c r="A1700" s="20" t="str">
        <x:v>FIN-00846</x:v>
      </x:c>
      <x:c r="B1700" s="32" t="n">
        <x:v>2</x:v>
      </x:c>
      <x:c r="C1700" s="23" t="n">
        <x:v>46661</x:v>
      </x:c>
      <x:c r="D1700" s="23" t="n">
        <x:v>46661</x:v>
      </x:c>
      <x:c r="E1700" s="20" t="str">
        <x:v>P029</x:v>
      </x:c>
      <x:c r="F1700" s="20" t="str">
        <x:v>U037</x:v>
      </x:c>
      <x:c r="G1700" s="20" t="str">
        <x:v>L043</x:v>
      </x:c>
      <x:c r="H1700" s="20" t="str">
        <x:v>4000 Rental Income</x:v>
      </x:c>
      <x:c r="I1700" s="26" t="n">
        <x:v>0</x:v>
      </x:c>
      <x:c r="J1700" s="26" t="n">
        <x:v>1675</x:v>
      </x:c>
      <x:c r="K1700" s="35" t="str">
        <x:v>October 2027 rent</x:v>
      </x:c>
    </x:row>
    <x:row r="1701">
      <x:c r="A1701" s="20" t="str">
        <x:v>FIN-00847</x:v>
      </x:c>
      <x:c r="B1701" s="32" t="n">
        <x:v>1</x:v>
      </x:c>
      <x:c r="C1701" s="23" t="n">
        <x:v>46664</x:v>
      </x:c>
      <x:c r="D1701" s="23" t="n">
        <x:v>46664</x:v>
      </x:c>
      <x:c r="E1701" s="20" t="str">
        <x:v>P029</x:v>
      </x:c>
      <x:c r="F1701" s="20" t="str">
        <x:v>U037</x:v>
      </x:c>
      <x:c r="G1701" s="20" t="str">
        <x:v>L043</x:v>
      </x:c>
      <x:c r="H1701" s="20" t="str">
        <x:v>1000 Operating Cash</x:v>
      </x:c>
      <x:c r="I1701" s="26" t="n">
        <x:v>1675</x:v>
      </x:c>
      <x:c r="J1701" s="26" t="n">
        <x:v>0</x:v>
      </x:c>
      <x:c r="K1701" s="35" t="str">
        <x:v>Receipt allocated to FIN-00846</x:v>
      </x:c>
    </x:row>
    <x:row r="1702">
      <x:c r="A1702" s="20" t="str">
        <x:v>FIN-00847</x:v>
      </x:c>
      <x:c r="B1702" s="32" t="n">
        <x:v>2</x:v>
      </x:c>
      <x:c r="C1702" s="23" t="n">
        <x:v>46664</x:v>
      </x:c>
      <x:c r="D1702" s="23" t="n">
        <x:v>46664</x:v>
      </x:c>
      <x:c r="E1702" s="20" t="str">
        <x:v>P029</x:v>
      </x:c>
      <x:c r="F1702" s="20" t="str">
        <x:v>U037</x:v>
      </x:c>
      <x:c r="G1702" s="20" t="str">
        <x:v>L043</x:v>
      </x:c>
      <x:c r="H1702" s="20" t="str">
        <x:v>1100 Tenant Accounts Receivable</x:v>
      </x:c>
      <x:c r="I1702" s="26" t="n">
        <x:v>0</x:v>
      </x:c>
      <x:c r="J1702" s="26" t="n">
        <x:v>1675</x:v>
      </x:c>
      <x:c r="K1702" s="35" t="str">
        <x:v>Receipt allocated to FIN-00846</x:v>
      </x:c>
    </x:row>
    <x:row r="1703">
      <x:c r="A1703" s="20" t="str">
        <x:v>FIN-00848</x:v>
      </x:c>
      <x:c r="B1703" s="32" t="n">
        <x:v>1</x:v>
      </x:c>
      <x:c r="C1703" s="23" t="n">
        <x:v>46661</x:v>
      </x:c>
      <x:c r="D1703" s="23" t="n">
        <x:v>46661</x:v>
      </x:c>
      <x:c r="E1703" s="20" t="str">
        <x:v>P029</x:v>
      </x:c>
      <x:c r="F1703" s="20" t="str">
        <x:v>U038</x:v>
      </x:c>
      <x:c r="G1703" s="20" t="str">
        <x:v>L044</x:v>
      </x:c>
      <x:c r="H1703" s="20" t="str">
        <x:v>1100 Tenant Accounts Receivable</x:v>
      </x:c>
      <x:c r="I1703" s="26" t="n">
        <x:v>1300</x:v>
      </x:c>
      <x:c r="J1703" s="26" t="n">
        <x:v>0</x:v>
      </x:c>
      <x:c r="K1703" s="35" t="str">
        <x:v>October 2027 rent</x:v>
      </x:c>
    </x:row>
    <x:row r="1704">
      <x:c r="A1704" s="20" t="str">
        <x:v>FIN-00848</x:v>
      </x:c>
      <x:c r="B1704" s="32" t="n">
        <x:v>2</x:v>
      </x:c>
      <x:c r="C1704" s="23" t="n">
        <x:v>46661</x:v>
      </x:c>
      <x:c r="D1704" s="23" t="n">
        <x:v>46661</x:v>
      </x:c>
      <x:c r="E1704" s="20" t="str">
        <x:v>P029</x:v>
      </x:c>
      <x:c r="F1704" s="20" t="str">
        <x:v>U038</x:v>
      </x:c>
      <x:c r="G1704" s="20" t="str">
        <x:v>L044</x:v>
      </x:c>
      <x:c r="H1704" s="20" t="str">
        <x:v>4000 Rental Income</x:v>
      </x:c>
      <x:c r="I1704" s="26" t="n">
        <x:v>0</x:v>
      </x:c>
      <x:c r="J1704" s="26" t="n">
        <x:v>1300</x:v>
      </x:c>
      <x:c r="K1704" s="35" t="str">
        <x:v>October 2027 rent</x:v>
      </x:c>
    </x:row>
    <x:row r="1705">
      <x:c r="A1705" s="20" t="str">
        <x:v>FIN-00849</x:v>
      </x:c>
      <x:c r="B1705" s="32" t="n">
        <x:v>1</x:v>
      </x:c>
      <x:c r="C1705" s="23" t="n">
        <x:v>46663</x:v>
      </x:c>
      <x:c r="D1705" s="23" t="n">
        <x:v>46663</x:v>
      </x:c>
      <x:c r="E1705" s="20" t="str">
        <x:v>P029</x:v>
      </x:c>
      <x:c r="F1705" s="20" t="str">
        <x:v>U038</x:v>
      </x:c>
      <x:c r="G1705" s="20" t="str">
        <x:v>L044</x:v>
      </x:c>
      <x:c r="H1705" s="20" t="str">
        <x:v>1000 Operating Cash</x:v>
      </x:c>
      <x:c r="I1705" s="26" t="n">
        <x:v>780</x:v>
      </x:c>
      <x:c r="J1705" s="26" t="n">
        <x:v>0</x:v>
      </x:c>
      <x:c r="K1705" s="35" t="str">
        <x:v>Receipt allocated to FIN-00848</x:v>
      </x:c>
    </x:row>
    <x:row r="1706">
      <x:c r="A1706" s="20" t="str">
        <x:v>FIN-00849</x:v>
      </x:c>
      <x:c r="B1706" s="32" t="n">
        <x:v>2</x:v>
      </x:c>
      <x:c r="C1706" s="23" t="n">
        <x:v>46663</x:v>
      </x:c>
      <x:c r="D1706" s="23" t="n">
        <x:v>46663</x:v>
      </x:c>
      <x:c r="E1706" s="20" t="str">
        <x:v>P029</x:v>
      </x:c>
      <x:c r="F1706" s="20" t="str">
        <x:v>U038</x:v>
      </x:c>
      <x:c r="G1706" s="20" t="str">
        <x:v>L044</x:v>
      </x:c>
      <x:c r="H1706" s="20" t="str">
        <x:v>1100 Tenant Accounts Receivable</x:v>
      </x:c>
      <x:c r="I1706" s="26" t="n">
        <x:v>0</x:v>
      </x:c>
      <x:c r="J1706" s="26" t="n">
        <x:v>780</x:v>
      </x:c>
      <x:c r="K1706" s="35" t="str">
        <x:v>Receipt allocated to FIN-00848</x:v>
      </x:c>
    </x:row>
    <x:row r="1707">
      <x:c r="A1707" s="20" t="str">
        <x:v>FIN-00850</x:v>
      </x:c>
      <x:c r="B1707" s="32" t="n">
        <x:v>1</x:v>
      </x:c>
      <x:c r="C1707" s="23" t="n">
        <x:v>46666</x:v>
      </x:c>
      <x:c r="D1707" s="23" t="n">
        <x:v>46666</x:v>
      </x:c>
      <x:c r="E1707" s="20" t="str">
        <x:v>P029</x:v>
      </x:c>
      <x:c r="F1707" s="20" t="str">
        <x:v>U038</x:v>
      </x:c>
      <x:c r="G1707" s="20" t="str">
        <x:v>L044</x:v>
      </x:c>
      <x:c r="H1707" s="20" t="str">
        <x:v>1100 Tenant Accounts Receivable</x:v>
      </x:c>
      <x:c r="I1707" s="26" t="n">
        <x:v>50</x:v>
      </x:c>
      <x:c r="J1707" s="26" t="n">
        <x:v>0</x:v>
      </x:c>
      <x:c r="K1707" s="35" t="str">
        <x:v>Synthetic lease-authorized late fee after partial payment</x:v>
      </x:c>
    </x:row>
    <x:row r="1708">
      <x:c r="A1708" s="20" t="str">
        <x:v>FIN-00850</x:v>
      </x:c>
      <x:c r="B1708" s="32" t="n">
        <x:v>2</x:v>
      </x:c>
      <x:c r="C1708" s="23" t="n">
        <x:v>46666</x:v>
      </x:c>
      <x:c r="D1708" s="23" t="n">
        <x:v>46666</x:v>
      </x:c>
      <x:c r="E1708" s="20" t="str">
        <x:v>P029</x:v>
      </x:c>
      <x:c r="F1708" s="20" t="str">
        <x:v>U038</x:v>
      </x:c>
      <x:c r="G1708" s="20" t="str">
        <x:v>L044</x:v>
      </x:c>
      <x:c r="H1708" s="20" t="str">
        <x:v>4010 Late Fee Income</x:v>
      </x:c>
      <x:c r="I1708" s="26" t="n">
        <x:v>0</x:v>
      </x:c>
      <x:c r="J1708" s="26" t="n">
        <x:v>50</x:v>
      </x:c>
      <x:c r="K1708" s="35" t="str">
        <x:v>Synthetic lease-authorized late fee after partial payment</x:v>
      </x:c>
    </x:row>
    <x:row r="1709">
      <x:c r="A1709" s="20" t="str">
        <x:v>FIN-00851</x:v>
      </x:c>
      <x:c r="B1709" s="32" t="n">
        <x:v>1</x:v>
      </x:c>
      <x:c r="C1709" s="23" t="n">
        <x:v>46672</x:v>
      </x:c>
      <x:c r="D1709" s="23" t="n">
        <x:v>46672</x:v>
      </x:c>
      <x:c r="E1709" s="20" t="str">
        <x:v>P029</x:v>
      </x:c>
      <x:c r="F1709" s="20" t="str">
        <x:v>U038</x:v>
      </x:c>
      <x:c r="G1709" s="20" t="str">
        <x:v>L044</x:v>
      </x:c>
      <x:c r="H1709" s="20" t="str">
        <x:v>1000 Operating Cash</x:v>
      </x:c>
      <x:c r="I1709" s="26" t="n">
        <x:v>570</x:v>
      </x:c>
      <x:c r="J1709" s="26" t="n">
        <x:v>0</x:v>
      </x:c>
      <x:c r="K1709" s="35" t="str">
        <x:v>Receipt allocated to FIN-00850</x:v>
      </x:c>
    </x:row>
    <x:row r="1710">
      <x:c r="A1710" s="20" t="str">
        <x:v>FIN-00851</x:v>
      </x:c>
      <x:c r="B1710" s="32" t="n">
        <x:v>2</x:v>
      </x:c>
      <x:c r="C1710" s="23" t="n">
        <x:v>46672</x:v>
      </x:c>
      <x:c r="D1710" s="23" t="n">
        <x:v>46672</x:v>
      </x:c>
      <x:c r="E1710" s="20" t="str">
        <x:v>P029</x:v>
      </x:c>
      <x:c r="F1710" s="20" t="str">
        <x:v>U038</x:v>
      </x:c>
      <x:c r="G1710" s="20" t="str">
        <x:v>L044</x:v>
      </x:c>
      <x:c r="H1710" s="20" t="str">
        <x:v>1100 Tenant Accounts Receivable</x:v>
      </x:c>
      <x:c r="I1710" s="26" t="n">
        <x:v>0</x:v>
      </x:c>
      <x:c r="J1710" s="26" t="n">
        <x:v>570</x:v>
      </x:c>
      <x:c r="K1710" s="35" t="str">
        <x:v>Receipt allocated to FIN-00850</x:v>
      </x:c>
    </x:row>
    <x:row r="1711">
      <x:c r="A1711" s="20" t="str">
        <x:v>FIN-00852</x:v>
      </x:c>
      <x:c r="B1711" s="32" t="n">
        <x:v>1</x:v>
      </x:c>
      <x:c r="C1711" s="23" t="n">
        <x:v>46661</x:v>
      </x:c>
      <x:c r="D1711" s="23" t="n">
        <x:v>46661</x:v>
      </x:c>
      <x:c r="E1711" s="20" t="str">
        <x:v>P030</x:v>
      </x:c>
      <x:c r="F1711" s="20" t="str">
        <x:v>U039</x:v>
      </x:c>
      <x:c r="G1711" s="20" t="str">
        <x:v>L045</x:v>
      </x:c>
      <x:c r="H1711" s="20" t="str">
        <x:v>1100 Tenant Accounts Receivable</x:v>
      </x:c>
      <x:c r="I1711" s="26" t="n">
        <x:v>1825</x:v>
      </x:c>
      <x:c r="J1711" s="26" t="n">
        <x:v>0</x:v>
      </x:c>
      <x:c r="K1711" s="35" t="str">
        <x:v>October 2027 rent</x:v>
      </x:c>
    </x:row>
    <x:row r="1712">
      <x:c r="A1712" s="20" t="str">
        <x:v>FIN-00852</x:v>
      </x:c>
      <x:c r="B1712" s="32" t="n">
        <x:v>2</x:v>
      </x:c>
      <x:c r="C1712" s="23" t="n">
        <x:v>46661</x:v>
      </x:c>
      <x:c r="D1712" s="23" t="n">
        <x:v>46661</x:v>
      </x:c>
      <x:c r="E1712" s="20" t="str">
        <x:v>P030</x:v>
      </x:c>
      <x:c r="F1712" s="20" t="str">
        <x:v>U039</x:v>
      </x:c>
      <x:c r="G1712" s="20" t="str">
        <x:v>L045</x:v>
      </x:c>
      <x:c r="H1712" s="20" t="str">
        <x:v>4000 Rental Income</x:v>
      </x:c>
      <x:c r="I1712" s="26" t="n">
        <x:v>0</x:v>
      </x:c>
      <x:c r="J1712" s="26" t="n">
        <x:v>1825</x:v>
      </x:c>
      <x:c r="K1712" s="35" t="str">
        <x:v>October 2027 rent</x:v>
      </x:c>
    </x:row>
    <x:row r="1713">
      <x:c r="A1713" s="20" t="str">
        <x:v>FIN-00853</x:v>
      </x:c>
      <x:c r="B1713" s="32" t="n">
        <x:v>1</x:v>
      </x:c>
      <x:c r="C1713" s="23" t="n">
        <x:v>46663</x:v>
      </x:c>
      <x:c r="D1713" s="23" t="n">
        <x:v>46663</x:v>
      </x:c>
      <x:c r="E1713" s="20" t="str">
        <x:v>P030</x:v>
      </x:c>
      <x:c r="F1713" s="20" t="str">
        <x:v>U039</x:v>
      </x:c>
      <x:c r="G1713" s="20" t="str">
        <x:v>L045</x:v>
      </x:c>
      <x:c r="H1713" s="20" t="str">
        <x:v>1000 Operating Cash</x:v>
      </x:c>
      <x:c r="I1713" s="26" t="n">
        <x:v>1825</x:v>
      </x:c>
      <x:c r="J1713" s="26" t="n">
        <x:v>0</x:v>
      </x:c>
      <x:c r="K1713" s="35" t="str">
        <x:v>Receipt allocated to FIN-00852</x:v>
      </x:c>
    </x:row>
    <x:row r="1714">
      <x:c r="A1714" s="20" t="str">
        <x:v>FIN-00853</x:v>
      </x:c>
      <x:c r="B1714" s="32" t="n">
        <x:v>2</x:v>
      </x:c>
      <x:c r="C1714" s="23" t="n">
        <x:v>46663</x:v>
      </x:c>
      <x:c r="D1714" s="23" t="n">
        <x:v>46663</x:v>
      </x:c>
      <x:c r="E1714" s="20" t="str">
        <x:v>P030</x:v>
      </x:c>
      <x:c r="F1714" s="20" t="str">
        <x:v>U039</x:v>
      </x:c>
      <x:c r="G1714" s="20" t="str">
        <x:v>L045</x:v>
      </x:c>
      <x:c r="H1714" s="20" t="str">
        <x:v>1100 Tenant Accounts Receivable</x:v>
      </x:c>
      <x:c r="I1714" s="26" t="n">
        <x:v>0</x:v>
      </x:c>
      <x:c r="J1714" s="26" t="n">
        <x:v>1825</x:v>
      </x:c>
      <x:c r="K1714" s="35" t="str">
        <x:v>Receipt allocated to FIN-00852</x:v>
      </x:c>
    </x:row>
    <x:row r="1715">
      <x:c r="A1715" s="20" t="str">
        <x:v>FIN-00854</x:v>
      </x:c>
      <x:c r="B1715" s="32" t="n">
        <x:v>1</x:v>
      </x:c>
      <x:c r="C1715" s="23" t="n">
        <x:v>46692</x:v>
      </x:c>
      <x:c r="D1715" s="23" t="n">
        <x:v>46692</x:v>
      </x:c>
      <x:c r="E1715" s="20" t="str">
        <x:v>P001</x:v>
      </x:c>
      <x:c r="F1715" s="20" t="str">
        <x:v>U001</x:v>
      </x:c>
      <x:c r="G1715" s="20" t="str">
        <x:v>L001</x:v>
      </x:c>
      <x:c r="H1715" s="20" t="str">
        <x:v>1100 Tenant Accounts Receivable</x:v>
      </x:c>
      <x:c r="I1715" s="26" t="n">
        <x:v>1575</x:v>
      </x:c>
      <x:c r="J1715" s="26" t="n">
        <x:v>0</x:v>
      </x:c>
      <x:c r="K1715" s="35" t="str">
        <x:v>November 2027 rent</x:v>
      </x:c>
    </x:row>
    <x:row r="1716">
      <x:c r="A1716" s="20" t="str">
        <x:v>FIN-00854</x:v>
      </x:c>
      <x:c r="B1716" s="32" t="n">
        <x:v>2</x:v>
      </x:c>
      <x:c r="C1716" s="23" t="n">
        <x:v>46692</x:v>
      </x:c>
      <x:c r="D1716" s="23" t="n">
        <x:v>46692</x:v>
      </x:c>
      <x:c r="E1716" s="20" t="str">
        <x:v>P001</x:v>
      </x:c>
      <x:c r="F1716" s="20" t="str">
        <x:v>U001</x:v>
      </x:c>
      <x:c r="G1716" s="20" t="str">
        <x:v>L001</x:v>
      </x:c>
      <x:c r="H1716" s="20" t="str">
        <x:v>4000 Rental Income</x:v>
      </x:c>
      <x:c r="I1716" s="26" t="n">
        <x:v>0</x:v>
      </x:c>
      <x:c r="J1716" s="26" t="n">
        <x:v>1575</x:v>
      </x:c>
      <x:c r="K1716" s="35" t="str">
        <x:v>November 2027 rent</x:v>
      </x:c>
    </x:row>
    <x:row r="1717">
      <x:c r="A1717" s="20" t="str">
        <x:v>FIN-00855</x:v>
      </x:c>
      <x:c r="B1717" s="32" t="n">
        <x:v>1</x:v>
      </x:c>
      <x:c r="C1717" s="23" t="n">
        <x:v>46695</x:v>
      </x:c>
      <x:c r="D1717" s="23" t="n">
        <x:v>46695</x:v>
      </x:c>
      <x:c r="E1717" s="20" t="str">
        <x:v>P001</x:v>
      </x:c>
      <x:c r="F1717" s="20" t="str">
        <x:v>U001</x:v>
      </x:c>
      <x:c r="G1717" s="20" t="str">
        <x:v>L001</x:v>
      </x:c>
      <x:c r="H1717" s="20" t="str">
        <x:v>1000 Operating Cash</x:v>
      </x:c>
      <x:c r="I1717" s="26" t="n">
        <x:v>1575</x:v>
      </x:c>
      <x:c r="J1717" s="26" t="n">
        <x:v>0</x:v>
      </x:c>
      <x:c r="K1717" s="35" t="str">
        <x:v>Receipt allocated to FIN-00854</x:v>
      </x:c>
    </x:row>
    <x:row r="1718">
      <x:c r="A1718" s="20" t="str">
        <x:v>FIN-00855</x:v>
      </x:c>
      <x:c r="B1718" s="32" t="n">
        <x:v>2</x:v>
      </x:c>
      <x:c r="C1718" s="23" t="n">
        <x:v>46695</x:v>
      </x:c>
      <x:c r="D1718" s="23" t="n">
        <x:v>46695</x:v>
      </x:c>
      <x:c r="E1718" s="20" t="str">
        <x:v>P001</x:v>
      </x:c>
      <x:c r="F1718" s="20" t="str">
        <x:v>U001</x:v>
      </x:c>
      <x:c r="G1718" s="20" t="str">
        <x:v>L001</x:v>
      </x:c>
      <x:c r="H1718" s="20" t="str">
        <x:v>1100 Tenant Accounts Receivable</x:v>
      </x:c>
      <x:c r="I1718" s="26" t="n">
        <x:v>0</x:v>
      </x:c>
      <x:c r="J1718" s="26" t="n">
        <x:v>1575</x:v>
      </x:c>
      <x:c r="K1718" s="35" t="str">
        <x:v>Receipt allocated to FIN-00854</x:v>
      </x:c>
    </x:row>
    <x:row r="1719">
      <x:c r="A1719" s="20" t="str">
        <x:v>FIN-00856</x:v>
      </x:c>
      <x:c r="B1719" s="32" t="n">
        <x:v>1</x:v>
      </x:c>
      <x:c r="C1719" s="23" t="n">
        <x:v>46692</x:v>
      </x:c>
      <x:c r="D1719" s="23" t="n">
        <x:v>46692</x:v>
      </x:c>
      <x:c r="E1719" s="20" t="str">
        <x:v>P002</x:v>
      </x:c>
      <x:c r="F1719" s="20" t="str">
        <x:v>U002</x:v>
      </x:c>
      <x:c r="G1719" s="20" t="str">
        <x:v>L002</x:v>
      </x:c>
      <x:c r="H1719" s="20" t="str">
        <x:v>1100 Tenant Accounts Receivable</x:v>
      </x:c>
      <x:c r="I1719" s="26" t="n">
        <x:v>1200</x:v>
      </x:c>
      <x:c r="J1719" s="26" t="n">
        <x:v>0</x:v>
      </x:c>
      <x:c r="K1719" s="35" t="str">
        <x:v>November 2027 rent</x:v>
      </x:c>
    </x:row>
    <x:row r="1720">
      <x:c r="A1720" s="20" t="str">
        <x:v>FIN-00856</x:v>
      </x:c>
      <x:c r="B1720" s="32" t="n">
        <x:v>2</x:v>
      </x:c>
      <x:c r="C1720" s="23" t="n">
        <x:v>46692</x:v>
      </x:c>
      <x:c r="D1720" s="23" t="n">
        <x:v>46692</x:v>
      </x:c>
      <x:c r="E1720" s="20" t="str">
        <x:v>P002</x:v>
      </x:c>
      <x:c r="F1720" s="20" t="str">
        <x:v>U002</x:v>
      </x:c>
      <x:c r="G1720" s="20" t="str">
        <x:v>L002</x:v>
      </x:c>
      <x:c r="H1720" s="20" t="str">
        <x:v>4000 Rental Income</x:v>
      </x:c>
      <x:c r="I1720" s="26" t="n">
        <x:v>0</x:v>
      </x:c>
      <x:c r="J1720" s="26" t="n">
        <x:v>1200</x:v>
      </x:c>
      <x:c r="K1720" s="35" t="str">
        <x:v>November 2027 rent</x:v>
      </x:c>
    </x:row>
    <x:row r="1721">
      <x:c r="A1721" s="20" t="str">
        <x:v>FIN-00857</x:v>
      </x:c>
      <x:c r="B1721" s="32" t="n">
        <x:v>1</x:v>
      </x:c>
      <x:c r="C1721" s="23" t="n">
        <x:v>46696</x:v>
      </x:c>
      <x:c r="D1721" s="23" t="n">
        <x:v>46696</x:v>
      </x:c>
      <x:c r="E1721" s="20" t="str">
        <x:v>P002</x:v>
      </x:c>
      <x:c r="F1721" s="20" t="str">
        <x:v>U002</x:v>
      </x:c>
      <x:c r="G1721" s="20" t="str">
        <x:v>L002</x:v>
      </x:c>
      <x:c r="H1721" s="20" t="str">
        <x:v>1000 Operating Cash</x:v>
      </x:c>
      <x:c r="I1721" s="26" t="n">
        <x:v>1200</x:v>
      </x:c>
      <x:c r="J1721" s="26" t="n">
        <x:v>0</x:v>
      </x:c>
      <x:c r="K1721" s="35" t="str">
        <x:v>Receipt allocated to FIN-00856</x:v>
      </x:c>
    </x:row>
    <x:row r="1722">
      <x:c r="A1722" s="20" t="str">
        <x:v>FIN-00857</x:v>
      </x:c>
      <x:c r="B1722" s="32" t="n">
        <x:v>2</x:v>
      </x:c>
      <x:c r="C1722" s="23" t="n">
        <x:v>46696</x:v>
      </x:c>
      <x:c r="D1722" s="23" t="n">
        <x:v>46696</x:v>
      </x:c>
      <x:c r="E1722" s="20" t="str">
        <x:v>P002</x:v>
      </x:c>
      <x:c r="F1722" s="20" t="str">
        <x:v>U002</x:v>
      </x:c>
      <x:c r="G1722" s="20" t="str">
        <x:v>L002</x:v>
      </x:c>
      <x:c r="H1722" s="20" t="str">
        <x:v>1100 Tenant Accounts Receivable</x:v>
      </x:c>
      <x:c r="I1722" s="26" t="n">
        <x:v>0</x:v>
      </x:c>
      <x:c r="J1722" s="26" t="n">
        <x:v>1200</x:v>
      </x:c>
      <x:c r="K1722" s="35" t="str">
        <x:v>Receipt allocated to FIN-00856</x:v>
      </x:c>
    </x:row>
    <x:row r="1723">
      <x:c r="A1723" s="20" t="str">
        <x:v>FIN-00858</x:v>
      </x:c>
      <x:c r="B1723" s="32" t="n">
        <x:v>1</x:v>
      </x:c>
      <x:c r="C1723" s="23" t="n">
        <x:v>46692</x:v>
      </x:c>
      <x:c r="D1723" s="23" t="n">
        <x:v>46692</x:v>
      </x:c>
      <x:c r="E1723" s="20" t="str">
        <x:v>P004</x:v>
      </x:c>
      <x:c r="F1723" s="20" t="str">
        <x:v>U004</x:v>
      </x:c>
      <x:c r="G1723" s="20" t="str">
        <x:v>L004</x:v>
      </x:c>
      <x:c r="H1723" s="20" t="str">
        <x:v>1100 Tenant Accounts Receivable</x:v>
      </x:c>
      <x:c r="I1723" s="26" t="n">
        <x:v>1350</x:v>
      </x:c>
      <x:c r="J1723" s="26" t="n">
        <x:v>0</x:v>
      </x:c>
      <x:c r="K1723" s="35" t="str">
        <x:v>November 2027 rent</x:v>
      </x:c>
    </x:row>
    <x:row r="1724">
      <x:c r="A1724" s="20" t="str">
        <x:v>FIN-00858</x:v>
      </x:c>
      <x:c r="B1724" s="32" t="n">
        <x:v>2</x:v>
      </x:c>
      <x:c r="C1724" s="23" t="n">
        <x:v>46692</x:v>
      </x:c>
      <x:c r="D1724" s="23" t="n">
        <x:v>46692</x:v>
      </x:c>
      <x:c r="E1724" s="20" t="str">
        <x:v>P004</x:v>
      </x:c>
      <x:c r="F1724" s="20" t="str">
        <x:v>U004</x:v>
      </x:c>
      <x:c r="G1724" s="20" t="str">
        <x:v>L004</x:v>
      </x:c>
      <x:c r="H1724" s="20" t="str">
        <x:v>4000 Rental Income</x:v>
      </x:c>
      <x:c r="I1724" s="26" t="n">
        <x:v>0</x:v>
      </x:c>
      <x:c r="J1724" s="26" t="n">
        <x:v>1350</x:v>
      </x:c>
      <x:c r="K1724" s="35" t="str">
        <x:v>November 2027 rent</x:v>
      </x:c>
    </x:row>
    <x:row r="1725">
      <x:c r="A1725" s="20" t="str">
        <x:v>FIN-00859</x:v>
      </x:c>
      <x:c r="B1725" s="32" t="n">
        <x:v>1</x:v>
      </x:c>
      <x:c r="C1725" s="23" t="n">
        <x:v>46695</x:v>
      </x:c>
      <x:c r="D1725" s="23" t="n">
        <x:v>46695</x:v>
      </x:c>
      <x:c r="E1725" s="20" t="str">
        <x:v>P004</x:v>
      </x:c>
      <x:c r="F1725" s="20" t="str">
        <x:v>U004</x:v>
      </x:c>
      <x:c r="G1725" s="20" t="str">
        <x:v>L004</x:v>
      </x:c>
      <x:c r="H1725" s="20" t="str">
        <x:v>1000 Operating Cash</x:v>
      </x:c>
      <x:c r="I1725" s="26" t="n">
        <x:v>1350</x:v>
      </x:c>
      <x:c r="J1725" s="26" t="n">
        <x:v>0</x:v>
      </x:c>
      <x:c r="K1725" s="35" t="str">
        <x:v>Receipt allocated to FIN-00858</x:v>
      </x:c>
    </x:row>
    <x:row r="1726">
      <x:c r="A1726" s="20" t="str">
        <x:v>FIN-00859</x:v>
      </x:c>
      <x:c r="B1726" s="32" t="n">
        <x:v>2</x:v>
      </x:c>
      <x:c r="C1726" s="23" t="n">
        <x:v>46695</x:v>
      </x:c>
      <x:c r="D1726" s="23" t="n">
        <x:v>46695</x:v>
      </x:c>
      <x:c r="E1726" s="20" t="str">
        <x:v>P004</x:v>
      </x:c>
      <x:c r="F1726" s="20" t="str">
        <x:v>U004</x:v>
      </x:c>
      <x:c r="G1726" s="20" t="str">
        <x:v>L004</x:v>
      </x:c>
      <x:c r="H1726" s="20" t="str">
        <x:v>1100 Tenant Accounts Receivable</x:v>
      </x:c>
      <x:c r="I1726" s="26" t="n">
        <x:v>0</x:v>
      </x:c>
      <x:c r="J1726" s="26" t="n">
        <x:v>1350</x:v>
      </x:c>
      <x:c r="K1726" s="35" t="str">
        <x:v>Receipt allocated to FIN-00858</x:v>
      </x:c>
    </x:row>
    <x:row r="1727">
      <x:c r="A1727" s="20" t="str">
        <x:v>FIN-00860</x:v>
      </x:c>
      <x:c r="B1727" s="32" t="n">
        <x:v>1</x:v>
      </x:c>
      <x:c r="C1727" s="23" t="n">
        <x:v>46692</x:v>
      </x:c>
      <x:c r="D1727" s="23" t="n">
        <x:v>46692</x:v>
      </x:c>
      <x:c r="E1727" s="20" t="str">
        <x:v>P006</x:v>
      </x:c>
      <x:c r="F1727" s="20" t="str">
        <x:v>U006</x:v>
      </x:c>
      <x:c r="G1727" s="20" t="str">
        <x:v>L006</x:v>
      </x:c>
      <x:c r="H1727" s="20" t="str">
        <x:v>1100 Tenant Accounts Receivable</x:v>
      </x:c>
      <x:c r="I1727" s="26" t="n">
        <x:v>1500</x:v>
      </x:c>
      <x:c r="J1727" s="26" t="n">
        <x:v>0</x:v>
      </x:c>
      <x:c r="K1727" s="35" t="str">
        <x:v>November 2027 rent</x:v>
      </x:c>
    </x:row>
    <x:row r="1728">
      <x:c r="A1728" s="20" t="str">
        <x:v>FIN-00860</x:v>
      </x:c>
      <x:c r="B1728" s="32" t="n">
        <x:v>2</x:v>
      </x:c>
      <x:c r="C1728" s="23" t="n">
        <x:v>46692</x:v>
      </x:c>
      <x:c r="D1728" s="23" t="n">
        <x:v>46692</x:v>
      </x:c>
      <x:c r="E1728" s="20" t="str">
        <x:v>P006</x:v>
      </x:c>
      <x:c r="F1728" s="20" t="str">
        <x:v>U006</x:v>
      </x:c>
      <x:c r="G1728" s="20" t="str">
        <x:v>L006</x:v>
      </x:c>
      <x:c r="H1728" s="20" t="str">
        <x:v>4000 Rental Income</x:v>
      </x:c>
      <x:c r="I1728" s="26" t="n">
        <x:v>0</x:v>
      </x:c>
      <x:c r="J1728" s="26" t="n">
        <x:v>1500</x:v>
      </x:c>
      <x:c r="K1728" s="35" t="str">
        <x:v>November 2027 rent</x:v>
      </x:c>
    </x:row>
    <x:row r="1729">
      <x:c r="A1729" s="20" t="str">
        <x:v>FIN-00861</x:v>
      </x:c>
      <x:c r="B1729" s="32" t="n">
        <x:v>1</x:v>
      </x:c>
      <x:c r="C1729" s="23" t="n">
        <x:v>46694</x:v>
      </x:c>
      <x:c r="D1729" s="23" t="n">
        <x:v>46694</x:v>
      </x:c>
      <x:c r="E1729" s="20" t="str">
        <x:v>P006</x:v>
      </x:c>
      <x:c r="F1729" s="20" t="str">
        <x:v>U006</x:v>
      </x:c>
      <x:c r="G1729" s="20" t="str">
        <x:v>L006</x:v>
      </x:c>
      <x:c r="H1729" s="20" t="str">
        <x:v>1000 Operating Cash</x:v>
      </x:c>
      <x:c r="I1729" s="26" t="n">
        <x:v>1500</x:v>
      </x:c>
      <x:c r="J1729" s="26" t="n">
        <x:v>0</x:v>
      </x:c>
      <x:c r="K1729" s="35" t="str">
        <x:v>Receipt allocated to FIN-00860</x:v>
      </x:c>
    </x:row>
    <x:row r="1730">
      <x:c r="A1730" s="20" t="str">
        <x:v>FIN-00861</x:v>
      </x:c>
      <x:c r="B1730" s="32" t="n">
        <x:v>2</x:v>
      </x:c>
      <x:c r="C1730" s="23" t="n">
        <x:v>46694</x:v>
      </x:c>
      <x:c r="D1730" s="23" t="n">
        <x:v>46694</x:v>
      </x:c>
      <x:c r="E1730" s="20" t="str">
        <x:v>P006</x:v>
      </x:c>
      <x:c r="F1730" s="20" t="str">
        <x:v>U006</x:v>
      </x:c>
      <x:c r="G1730" s="20" t="str">
        <x:v>L006</x:v>
      </x:c>
      <x:c r="H1730" s="20" t="str">
        <x:v>1100 Tenant Accounts Receivable</x:v>
      </x:c>
      <x:c r="I1730" s="26" t="n">
        <x:v>0</x:v>
      </x:c>
      <x:c r="J1730" s="26" t="n">
        <x:v>1500</x:v>
      </x:c>
      <x:c r="K1730" s="35" t="str">
        <x:v>Receipt allocated to FIN-00860</x:v>
      </x:c>
    </x:row>
    <x:row r="1731">
      <x:c r="A1731" s="20" t="str">
        <x:v>FIN-00862</x:v>
      </x:c>
      <x:c r="B1731" s="32" t="n">
        <x:v>1</x:v>
      </x:c>
      <x:c r="C1731" s="23" t="n">
        <x:v>46692</x:v>
      </x:c>
      <x:c r="D1731" s="23" t="n">
        <x:v>46692</x:v>
      </x:c>
      <x:c r="E1731" s="20" t="str">
        <x:v>P007</x:v>
      </x:c>
      <x:c r="F1731" s="20" t="str">
        <x:v>U007</x:v>
      </x:c>
      <x:c r="G1731" s="20" t="str">
        <x:v>L007</x:v>
      </x:c>
      <x:c r="H1731" s="20" t="str">
        <x:v>1100 Tenant Accounts Receivable</x:v>
      </x:c>
      <x:c r="I1731" s="26" t="n">
        <x:v>1125</x:v>
      </x:c>
      <x:c r="J1731" s="26" t="n">
        <x:v>0</x:v>
      </x:c>
      <x:c r="K1731" s="35" t="str">
        <x:v>November 2027 rent</x:v>
      </x:c>
    </x:row>
    <x:row r="1732">
      <x:c r="A1732" s="20" t="str">
        <x:v>FIN-00862</x:v>
      </x:c>
      <x:c r="B1732" s="32" t="n">
        <x:v>2</x:v>
      </x:c>
      <x:c r="C1732" s="23" t="n">
        <x:v>46692</x:v>
      </x:c>
      <x:c r="D1732" s="23" t="n">
        <x:v>46692</x:v>
      </x:c>
      <x:c r="E1732" s="20" t="str">
        <x:v>P007</x:v>
      </x:c>
      <x:c r="F1732" s="20" t="str">
        <x:v>U007</x:v>
      </x:c>
      <x:c r="G1732" s="20" t="str">
        <x:v>L007</x:v>
      </x:c>
      <x:c r="H1732" s="20" t="str">
        <x:v>4000 Rental Income</x:v>
      </x:c>
      <x:c r="I1732" s="26" t="n">
        <x:v>0</x:v>
      </x:c>
      <x:c r="J1732" s="26" t="n">
        <x:v>1125</x:v>
      </x:c>
      <x:c r="K1732" s="35" t="str">
        <x:v>November 2027 rent</x:v>
      </x:c>
    </x:row>
    <x:row r="1733">
      <x:c r="A1733" s="20" t="str">
        <x:v>FIN-00863</x:v>
      </x:c>
      <x:c r="B1733" s="32" t="n">
        <x:v>1</x:v>
      </x:c>
      <x:c r="C1733" s="23" t="n">
        <x:v>46695</x:v>
      </x:c>
      <x:c r="D1733" s="23" t="n">
        <x:v>46695</x:v>
      </x:c>
      <x:c r="E1733" s="20" t="str">
        <x:v>P007</x:v>
      </x:c>
      <x:c r="F1733" s="20" t="str">
        <x:v>U007</x:v>
      </x:c>
      <x:c r="G1733" s="20" t="str">
        <x:v>L007</x:v>
      </x:c>
      <x:c r="H1733" s="20" t="str">
        <x:v>1000 Operating Cash</x:v>
      </x:c>
      <x:c r="I1733" s="26" t="n">
        <x:v>1125</x:v>
      </x:c>
      <x:c r="J1733" s="26" t="n">
        <x:v>0</x:v>
      </x:c>
      <x:c r="K1733" s="35" t="str">
        <x:v>Receipt allocated to FIN-00862</x:v>
      </x:c>
    </x:row>
    <x:row r="1734">
      <x:c r="A1734" s="20" t="str">
        <x:v>FIN-00863</x:v>
      </x:c>
      <x:c r="B1734" s="32" t="n">
        <x:v>2</x:v>
      </x:c>
      <x:c r="C1734" s="23" t="n">
        <x:v>46695</x:v>
      </x:c>
      <x:c r="D1734" s="23" t="n">
        <x:v>46695</x:v>
      </x:c>
      <x:c r="E1734" s="20" t="str">
        <x:v>P007</x:v>
      </x:c>
      <x:c r="F1734" s="20" t="str">
        <x:v>U007</x:v>
      </x:c>
      <x:c r="G1734" s="20" t="str">
        <x:v>L007</x:v>
      </x:c>
      <x:c r="H1734" s="20" t="str">
        <x:v>1100 Tenant Accounts Receivable</x:v>
      </x:c>
      <x:c r="I1734" s="26" t="n">
        <x:v>0</x:v>
      </x:c>
      <x:c r="J1734" s="26" t="n">
        <x:v>1125</x:v>
      </x:c>
      <x:c r="K1734" s="35" t="str">
        <x:v>Receipt allocated to FIN-00862</x:v>
      </x:c>
    </x:row>
    <x:row r="1735">
      <x:c r="A1735" s="20" t="str">
        <x:v>FIN-00864</x:v>
      </x:c>
      <x:c r="B1735" s="32" t="n">
        <x:v>1</x:v>
      </x:c>
      <x:c r="C1735" s="23" t="n">
        <x:v>46692</x:v>
      </x:c>
      <x:c r="D1735" s="23" t="n">
        <x:v>46692</x:v>
      </x:c>
      <x:c r="E1735" s="20" t="str">
        <x:v>P009</x:v>
      </x:c>
      <x:c r="F1735" s="20" t="str">
        <x:v>U009</x:v>
      </x:c>
      <x:c r="G1735" s="20" t="str">
        <x:v>L009</x:v>
      </x:c>
      <x:c r="H1735" s="20" t="str">
        <x:v>1100 Tenant Accounts Receivable</x:v>
      </x:c>
      <x:c r="I1735" s="26" t="n">
        <x:v>1275</x:v>
      </x:c>
      <x:c r="J1735" s="26" t="n">
        <x:v>0</x:v>
      </x:c>
      <x:c r="K1735" s="35" t="str">
        <x:v>November 2027 rent</x:v>
      </x:c>
    </x:row>
    <x:row r="1736">
      <x:c r="A1736" s="20" t="str">
        <x:v>FIN-00864</x:v>
      </x:c>
      <x:c r="B1736" s="32" t="n">
        <x:v>2</x:v>
      </x:c>
      <x:c r="C1736" s="23" t="n">
        <x:v>46692</x:v>
      </x:c>
      <x:c r="D1736" s="23" t="n">
        <x:v>46692</x:v>
      </x:c>
      <x:c r="E1736" s="20" t="str">
        <x:v>P009</x:v>
      </x:c>
      <x:c r="F1736" s="20" t="str">
        <x:v>U009</x:v>
      </x:c>
      <x:c r="G1736" s="20" t="str">
        <x:v>L009</x:v>
      </x:c>
      <x:c r="H1736" s="20" t="str">
        <x:v>4000 Rental Income</x:v>
      </x:c>
      <x:c r="I1736" s="26" t="n">
        <x:v>0</x:v>
      </x:c>
      <x:c r="J1736" s="26" t="n">
        <x:v>1275</x:v>
      </x:c>
      <x:c r="K1736" s="35" t="str">
        <x:v>November 2027 rent</x:v>
      </x:c>
    </x:row>
    <x:row r="1737">
      <x:c r="A1737" s="20" t="str">
        <x:v>FIN-00865</x:v>
      </x:c>
      <x:c r="B1737" s="32" t="n">
        <x:v>1</x:v>
      </x:c>
      <x:c r="C1737" s="23" t="n">
        <x:v>46694</x:v>
      </x:c>
      <x:c r="D1737" s="23" t="n">
        <x:v>46694</x:v>
      </x:c>
      <x:c r="E1737" s="20" t="str">
        <x:v>P009</x:v>
      </x:c>
      <x:c r="F1737" s="20" t="str">
        <x:v>U009</x:v>
      </x:c>
      <x:c r="G1737" s="20" t="str">
        <x:v>L009</x:v>
      </x:c>
      <x:c r="H1737" s="20" t="str">
        <x:v>1000 Operating Cash</x:v>
      </x:c>
      <x:c r="I1737" s="26" t="n">
        <x:v>1275</x:v>
      </x:c>
      <x:c r="J1737" s="26" t="n">
        <x:v>0</x:v>
      </x:c>
      <x:c r="K1737" s="35" t="str">
        <x:v>Receipt allocated to FIN-00864</x:v>
      </x:c>
    </x:row>
    <x:row r="1738">
      <x:c r="A1738" s="20" t="str">
        <x:v>FIN-00865</x:v>
      </x:c>
      <x:c r="B1738" s="32" t="n">
        <x:v>2</x:v>
      </x:c>
      <x:c r="C1738" s="23" t="n">
        <x:v>46694</x:v>
      </x:c>
      <x:c r="D1738" s="23" t="n">
        <x:v>46694</x:v>
      </x:c>
      <x:c r="E1738" s="20" t="str">
        <x:v>P009</x:v>
      </x:c>
      <x:c r="F1738" s="20" t="str">
        <x:v>U009</x:v>
      </x:c>
      <x:c r="G1738" s="20" t="str">
        <x:v>L009</x:v>
      </x:c>
      <x:c r="H1738" s="20" t="str">
        <x:v>1100 Tenant Accounts Receivable</x:v>
      </x:c>
      <x:c r="I1738" s="26" t="n">
        <x:v>0</x:v>
      </x:c>
      <x:c r="J1738" s="26" t="n">
        <x:v>1275</x:v>
      </x:c>
      <x:c r="K1738" s="35" t="str">
        <x:v>Receipt allocated to FIN-00864</x:v>
      </x:c>
    </x:row>
    <x:row r="1739">
      <x:c r="A1739" s="20" t="str">
        <x:v>FIN-00866</x:v>
      </x:c>
      <x:c r="B1739" s="32" t="n">
        <x:v>1</x:v>
      </x:c>
      <x:c r="C1739" s="23" t="n">
        <x:v>46692</x:v>
      </x:c>
      <x:c r="D1739" s="23" t="n">
        <x:v>46692</x:v>
      </x:c>
      <x:c r="E1739" s="20" t="str">
        <x:v>P010</x:v>
      </x:c>
      <x:c r="F1739" s="20" t="str">
        <x:v>U010</x:v>
      </x:c>
      <x:c r="G1739" s="20" t="str">
        <x:v>L010</x:v>
      </x:c>
      <x:c r="H1739" s="20" t="str">
        <x:v>1100 Tenant Accounts Receivable</x:v>
      </x:c>
      <x:c r="I1739" s="26" t="n">
        <x:v>1800</x:v>
      </x:c>
      <x:c r="J1739" s="26" t="n">
        <x:v>0</x:v>
      </x:c>
      <x:c r="K1739" s="35" t="str">
        <x:v>November 2027 rent</x:v>
      </x:c>
    </x:row>
    <x:row r="1740">
      <x:c r="A1740" s="20" t="str">
        <x:v>FIN-00866</x:v>
      </x:c>
      <x:c r="B1740" s="32" t="n">
        <x:v>2</x:v>
      </x:c>
      <x:c r="C1740" s="23" t="n">
        <x:v>46692</x:v>
      </x:c>
      <x:c r="D1740" s="23" t="n">
        <x:v>46692</x:v>
      </x:c>
      <x:c r="E1740" s="20" t="str">
        <x:v>P010</x:v>
      </x:c>
      <x:c r="F1740" s="20" t="str">
        <x:v>U010</x:v>
      </x:c>
      <x:c r="G1740" s="20" t="str">
        <x:v>L010</x:v>
      </x:c>
      <x:c r="H1740" s="20" t="str">
        <x:v>4000 Rental Income</x:v>
      </x:c>
      <x:c r="I1740" s="26" t="n">
        <x:v>0</x:v>
      </x:c>
      <x:c r="J1740" s="26" t="n">
        <x:v>1800</x:v>
      </x:c>
      <x:c r="K1740" s="35" t="str">
        <x:v>November 2027 rent</x:v>
      </x:c>
    </x:row>
    <x:row r="1741">
      <x:c r="A1741" s="20" t="str">
        <x:v>FIN-00867</x:v>
      </x:c>
      <x:c r="B1741" s="32" t="n">
        <x:v>1</x:v>
      </x:c>
      <x:c r="C1741" s="23" t="n">
        <x:v>46695</x:v>
      </x:c>
      <x:c r="D1741" s="23" t="n">
        <x:v>46695</x:v>
      </x:c>
      <x:c r="E1741" s="20" t="str">
        <x:v>P010</x:v>
      </x:c>
      <x:c r="F1741" s="20" t="str">
        <x:v>U010</x:v>
      </x:c>
      <x:c r="G1741" s="20" t="str">
        <x:v>L010</x:v>
      </x:c>
      <x:c r="H1741" s="20" t="str">
        <x:v>1000 Operating Cash</x:v>
      </x:c>
      <x:c r="I1741" s="26" t="n">
        <x:v>1800</x:v>
      </x:c>
      <x:c r="J1741" s="26" t="n">
        <x:v>0</x:v>
      </x:c>
      <x:c r="K1741" s="35" t="str">
        <x:v>Receipt allocated to FIN-00866</x:v>
      </x:c>
    </x:row>
    <x:row r="1742">
      <x:c r="A1742" s="20" t="str">
        <x:v>FIN-00867</x:v>
      </x:c>
      <x:c r="B1742" s="32" t="n">
        <x:v>2</x:v>
      </x:c>
      <x:c r="C1742" s="23" t="n">
        <x:v>46695</x:v>
      </x:c>
      <x:c r="D1742" s="23" t="n">
        <x:v>46695</x:v>
      </x:c>
      <x:c r="E1742" s="20" t="str">
        <x:v>P010</x:v>
      </x:c>
      <x:c r="F1742" s="20" t="str">
        <x:v>U010</x:v>
      </x:c>
      <x:c r="G1742" s="20" t="str">
        <x:v>L010</x:v>
      </x:c>
      <x:c r="H1742" s="20" t="str">
        <x:v>1100 Tenant Accounts Receivable</x:v>
      </x:c>
      <x:c r="I1742" s="26" t="n">
        <x:v>0</x:v>
      </x:c>
      <x:c r="J1742" s="26" t="n">
        <x:v>1800</x:v>
      </x:c>
      <x:c r="K1742" s="35" t="str">
        <x:v>Receipt allocated to FIN-00866</x:v>
      </x:c>
    </x:row>
    <x:row r="1743">
      <x:c r="A1743" s="20" t="str">
        <x:v>FIN-00868</x:v>
      </x:c>
      <x:c r="B1743" s="32" t="n">
        <x:v>1</x:v>
      </x:c>
      <x:c r="C1743" s="23" t="n">
        <x:v>46692</x:v>
      </x:c>
      <x:c r="D1743" s="23" t="n">
        <x:v>46692</x:v>
      </x:c>
      <x:c r="E1743" s="20" t="str">
        <x:v>P011</x:v>
      </x:c>
      <x:c r="F1743" s="20" t="str">
        <x:v>U011</x:v>
      </x:c>
      <x:c r="G1743" s="20" t="str">
        <x:v>L011</x:v>
      </x:c>
      <x:c r="H1743" s="20" t="str">
        <x:v>1100 Tenant Accounts Receivable</x:v>
      </x:c>
      <x:c r="I1743" s="26" t="n">
        <x:v>1425</x:v>
      </x:c>
      <x:c r="J1743" s="26" t="n">
        <x:v>0</x:v>
      </x:c>
      <x:c r="K1743" s="35" t="str">
        <x:v>November 2027 rent</x:v>
      </x:c>
    </x:row>
    <x:row r="1744">
      <x:c r="A1744" s="20" t="str">
        <x:v>FIN-00868</x:v>
      </x:c>
      <x:c r="B1744" s="32" t="n">
        <x:v>2</x:v>
      </x:c>
      <x:c r="C1744" s="23" t="n">
        <x:v>46692</x:v>
      </x:c>
      <x:c r="D1744" s="23" t="n">
        <x:v>46692</x:v>
      </x:c>
      <x:c r="E1744" s="20" t="str">
        <x:v>P011</x:v>
      </x:c>
      <x:c r="F1744" s="20" t="str">
        <x:v>U011</x:v>
      </x:c>
      <x:c r="G1744" s="20" t="str">
        <x:v>L011</x:v>
      </x:c>
      <x:c r="H1744" s="20" t="str">
        <x:v>4000 Rental Income</x:v>
      </x:c>
      <x:c r="I1744" s="26" t="n">
        <x:v>0</x:v>
      </x:c>
      <x:c r="J1744" s="26" t="n">
        <x:v>1425</x:v>
      </x:c>
      <x:c r="K1744" s="35" t="str">
        <x:v>November 2027 rent</x:v>
      </x:c>
    </x:row>
    <x:row r="1745">
      <x:c r="A1745" s="20" t="str">
        <x:v>FIN-00869</x:v>
      </x:c>
      <x:c r="B1745" s="32" t="n">
        <x:v>1</x:v>
      </x:c>
      <x:c r="C1745" s="23" t="n">
        <x:v>46694</x:v>
      </x:c>
      <x:c r="D1745" s="23" t="n">
        <x:v>46694</x:v>
      </x:c>
      <x:c r="E1745" s="20" t="str">
        <x:v>P011</x:v>
      </x:c>
      <x:c r="F1745" s="20" t="str">
        <x:v>U011</x:v>
      </x:c>
      <x:c r="G1745" s="20" t="str">
        <x:v>L011</x:v>
      </x:c>
      <x:c r="H1745" s="20" t="str">
        <x:v>1000 Operating Cash</x:v>
      </x:c>
      <x:c r="I1745" s="26" t="n">
        <x:v>855</x:v>
      </x:c>
      <x:c r="J1745" s="26" t="n">
        <x:v>0</x:v>
      </x:c>
      <x:c r="K1745" s="35" t="str">
        <x:v>Receipt allocated to FIN-00868</x:v>
      </x:c>
    </x:row>
    <x:row r="1746">
      <x:c r="A1746" s="20" t="str">
        <x:v>FIN-00869</x:v>
      </x:c>
      <x:c r="B1746" s="32" t="n">
        <x:v>2</x:v>
      </x:c>
      <x:c r="C1746" s="23" t="n">
        <x:v>46694</x:v>
      </x:c>
      <x:c r="D1746" s="23" t="n">
        <x:v>46694</x:v>
      </x:c>
      <x:c r="E1746" s="20" t="str">
        <x:v>P011</x:v>
      </x:c>
      <x:c r="F1746" s="20" t="str">
        <x:v>U011</x:v>
      </x:c>
      <x:c r="G1746" s="20" t="str">
        <x:v>L011</x:v>
      </x:c>
      <x:c r="H1746" s="20" t="str">
        <x:v>1100 Tenant Accounts Receivable</x:v>
      </x:c>
      <x:c r="I1746" s="26" t="n">
        <x:v>0</x:v>
      </x:c>
      <x:c r="J1746" s="26" t="n">
        <x:v>855</x:v>
      </x:c>
      <x:c r="K1746" s="35" t="str">
        <x:v>Receipt allocated to FIN-00868</x:v>
      </x:c>
    </x:row>
    <x:row r="1747">
      <x:c r="A1747" s="20" t="str">
        <x:v>FIN-00870</x:v>
      </x:c>
      <x:c r="B1747" s="32" t="n">
        <x:v>1</x:v>
      </x:c>
      <x:c r="C1747" s="23" t="n">
        <x:v>46697</x:v>
      </x:c>
      <x:c r="D1747" s="23" t="n">
        <x:v>46697</x:v>
      </x:c>
      <x:c r="E1747" s="20" t="str">
        <x:v>P011</x:v>
      </x:c>
      <x:c r="F1747" s="20" t="str">
        <x:v>U011</x:v>
      </x:c>
      <x:c r="G1747" s="20" t="str">
        <x:v>L011</x:v>
      </x:c>
      <x:c r="H1747" s="20" t="str">
        <x:v>1100 Tenant Accounts Receivable</x:v>
      </x:c>
      <x:c r="I1747" s="26" t="n">
        <x:v>50</x:v>
      </x:c>
      <x:c r="J1747" s="26" t="n">
        <x:v>0</x:v>
      </x:c>
      <x:c r="K1747" s="35" t="str">
        <x:v>Synthetic lease-authorized late fee after partial payment</x:v>
      </x:c>
    </x:row>
    <x:row r="1748">
      <x:c r="A1748" s="20" t="str">
        <x:v>FIN-00870</x:v>
      </x:c>
      <x:c r="B1748" s="32" t="n">
        <x:v>2</x:v>
      </x:c>
      <x:c r="C1748" s="23" t="n">
        <x:v>46697</x:v>
      </x:c>
      <x:c r="D1748" s="23" t="n">
        <x:v>46697</x:v>
      </x:c>
      <x:c r="E1748" s="20" t="str">
        <x:v>P011</x:v>
      </x:c>
      <x:c r="F1748" s="20" t="str">
        <x:v>U011</x:v>
      </x:c>
      <x:c r="G1748" s="20" t="str">
        <x:v>L011</x:v>
      </x:c>
      <x:c r="H1748" s="20" t="str">
        <x:v>4010 Late Fee Income</x:v>
      </x:c>
      <x:c r="I1748" s="26" t="n">
        <x:v>0</x:v>
      </x:c>
      <x:c r="J1748" s="26" t="n">
        <x:v>50</x:v>
      </x:c>
      <x:c r="K1748" s="35" t="str">
        <x:v>Synthetic lease-authorized late fee after partial payment</x:v>
      </x:c>
    </x:row>
    <x:row r="1749">
      <x:c r="A1749" s="20" t="str">
        <x:v>FIN-00871</x:v>
      </x:c>
      <x:c r="B1749" s="32" t="n">
        <x:v>1</x:v>
      </x:c>
      <x:c r="C1749" s="23" t="n">
        <x:v>46703</x:v>
      </x:c>
      <x:c r="D1749" s="23" t="n">
        <x:v>46703</x:v>
      </x:c>
      <x:c r="E1749" s="20" t="str">
        <x:v>P011</x:v>
      </x:c>
      <x:c r="F1749" s="20" t="str">
        <x:v>U011</x:v>
      </x:c>
      <x:c r="G1749" s="20" t="str">
        <x:v>L011</x:v>
      </x:c>
      <x:c r="H1749" s="20" t="str">
        <x:v>1000 Operating Cash</x:v>
      </x:c>
      <x:c r="I1749" s="26" t="n">
        <x:v>620</x:v>
      </x:c>
      <x:c r="J1749" s="26" t="n">
        <x:v>0</x:v>
      </x:c>
      <x:c r="K1749" s="35" t="str">
        <x:v>Receipt allocated to FIN-00870</x:v>
      </x:c>
    </x:row>
    <x:row r="1750">
      <x:c r="A1750" s="20" t="str">
        <x:v>FIN-00871</x:v>
      </x:c>
      <x:c r="B1750" s="32" t="n">
        <x:v>2</x:v>
      </x:c>
      <x:c r="C1750" s="23" t="n">
        <x:v>46703</x:v>
      </x:c>
      <x:c r="D1750" s="23" t="n">
        <x:v>46703</x:v>
      </x:c>
      <x:c r="E1750" s="20" t="str">
        <x:v>P011</x:v>
      </x:c>
      <x:c r="F1750" s="20" t="str">
        <x:v>U011</x:v>
      </x:c>
      <x:c r="G1750" s="20" t="str">
        <x:v>L011</x:v>
      </x:c>
      <x:c r="H1750" s="20" t="str">
        <x:v>1100 Tenant Accounts Receivable</x:v>
      </x:c>
      <x:c r="I1750" s="26" t="n">
        <x:v>0</x:v>
      </x:c>
      <x:c r="J1750" s="26" t="n">
        <x:v>620</x:v>
      </x:c>
      <x:c r="K1750" s="35" t="str">
        <x:v>Receipt allocated to FIN-00870</x:v>
      </x:c>
    </x:row>
    <x:row r="1751">
      <x:c r="A1751" s="20" t="str">
        <x:v>FIN-00872</x:v>
      </x:c>
      <x:c r="B1751" s="32" t="n">
        <x:v>1</x:v>
      </x:c>
      <x:c r="C1751" s="23" t="n">
        <x:v>46692</x:v>
      </x:c>
      <x:c r="D1751" s="23" t="n">
        <x:v>46692</x:v>
      </x:c>
      <x:c r="E1751" s="20" t="str">
        <x:v>P012</x:v>
      </x:c>
      <x:c r="F1751" s="20" t="str">
        <x:v>U012</x:v>
      </x:c>
      <x:c r="G1751" s="20" t="str">
        <x:v>L012</x:v>
      </x:c>
      <x:c r="H1751" s="20" t="str">
        <x:v>1100 Tenant Accounts Receivable</x:v>
      </x:c>
      <x:c r="I1751" s="26" t="n">
        <x:v>1050</x:v>
      </x:c>
      <x:c r="J1751" s="26" t="n">
        <x:v>0</x:v>
      </x:c>
      <x:c r="K1751" s="35" t="str">
        <x:v>November 2027 rent</x:v>
      </x:c>
    </x:row>
    <x:row r="1752">
      <x:c r="A1752" s="20" t="str">
        <x:v>FIN-00872</x:v>
      </x:c>
      <x:c r="B1752" s="32" t="n">
        <x:v>2</x:v>
      </x:c>
      <x:c r="C1752" s="23" t="n">
        <x:v>46692</x:v>
      </x:c>
      <x:c r="D1752" s="23" t="n">
        <x:v>46692</x:v>
      </x:c>
      <x:c r="E1752" s="20" t="str">
        <x:v>P012</x:v>
      </x:c>
      <x:c r="F1752" s="20" t="str">
        <x:v>U012</x:v>
      </x:c>
      <x:c r="G1752" s="20" t="str">
        <x:v>L012</x:v>
      </x:c>
      <x:c r="H1752" s="20" t="str">
        <x:v>4000 Rental Income</x:v>
      </x:c>
      <x:c r="I1752" s="26" t="n">
        <x:v>0</x:v>
      </x:c>
      <x:c r="J1752" s="26" t="n">
        <x:v>1050</x:v>
      </x:c>
      <x:c r="K1752" s="35" t="str">
        <x:v>November 2027 rent</x:v>
      </x:c>
    </x:row>
    <x:row r="1753">
      <x:c r="A1753" s="20" t="str">
        <x:v>FIN-00873</x:v>
      </x:c>
      <x:c r="B1753" s="32" t="n">
        <x:v>1</x:v>
      </x:c>
      <x:c r="C1753" s="23" t="n">
        <x:v>46694</x:v>
      </x:c>
      <x:c r="D1753" s="23" t="n">
        <x:v>46694</x:v>
      </x:c>
      <x:c r="E1753" s="20" t="str">
        <x:v>P012</x:v>
      </x:c>
      <x:c r="F1753" s="20" t="str">
        <x:v>U012</x:v>
      </x:c>
      <x:c r="G1753" s="20" t="str">
        <x:v>L012</x:v>
      </x:c>
      <x:c r="H1753" s="20" t="str">
        <x:v>1000 Operating Cash</x:v>
      </x:c>
      <x:c r="I1753" s="26" t="n">
        <x:v>1050</x:v>
      </x:c>
      <x:c r="J1753" s="26" t="n">
        <x:v>0</x:v>
      </x:c>
      <x:c r="K1753" s="35" t="str">
        <x:v>Receipt allocated to FIN-00872</x:v>
      </x:c>
    </x:row>
    <x:row r="1754">
      <x:c r="A1754" s="20" t="str">
        <x:v>FIN-00873</x:v>
      </x:c>
      <x:c r="B1754" s="32" t="n">
        <x:v>2</x:v>
      </x:c>
      <x:c r="C1754" s="23" t="n">
        <x:v>46694</x:v>
      </x:c>
      <x:c r="D1754" s="23" t="n">
        <x:v>46694</x:v>
      </x:c>
      <x:c r="E1754" s="20" t="str">
        <x:v>P012</x:v>
      </x:c>
      <x:c r="F1754" s="20" t="str">
        <x:v>U012</x:v>
      </x:c>
      <x:c r="G1754" s="20" t="str">
        <x:v>L012</x:v>
      </x:c>
      <x:c r="H1754" s="20" t="str">
        <x:v>1100 Tenant Accounts Receivable</x:v>
      </x:c>
      <x:c r="I1754" s="26" t="n">
        <x:v>0</x:v>
      </x:c>
      <x:c r="J1754" s="26" t="n">
        <x:v>1050</x:v>
      </x:c>
      <x:c r="K1754" s="35" t="str">
        <x:v>Receipt allocated to FIN-00872</x:v>
      </x:c>
    </x:row>
    <x:row r="1755">
      <x:c r="A1755" s="20" t="str">
        <x:v>FIN-00874</x:v>
      </x:c>
      <x:c r="B1755" s="32" t="n">
        <x:v>1</x:v>
      </x:c>
      <x:c r="C1755" s="23" t="n">
        <x:v>46692</x:v>
      </x:c>
      <x:c r="D1755" s="23" t="n">
        <x:v>46692</x:v>
      </x:c>
      <x:c r="E1755" s="20" t="str">
        <x:v>P013</x:v>
      </x:c>
      <x:c r="F1755" s="20" t="str">
        <x:v>U013</x:v>
      </x:c>
      <x:c r="G1755" s="20" t="str">
        <x:v>L013</x:v>
      </x:c>
      <x:c r="H1755" s="20" t="str">
        <x:v>1100 Tenant Accounts Receivable</x:v>
      </x:c>
      <x:c r="I1755" s="26" t="n">
        <x:v>1575</x:v>
      </x:c>
      <x:c r="J1755" s="26" t="n">
        <x:v>0</x:v>
      </x:c>
      <x:c r="K1755" s="35" t="str">
        <x:v>November 2027 rent</x:v>
      </x:c>
    </x:row>
    <x:row r="1756">
      <x:c r="A1756" s="20" t="str">
        <x:v>FIN-00874</x:v>
      </x:c>
      <x:c r="B1756" s="32" t="n">
        <x:v>2</x:v>
      </x:c>
      <x:c r="C1756" s="23" t="n">
        <x:v>46692</x:v>
      </x:c>
      <x:c r="D1756" s="23" t="n">
        <x:v>46692</x:v>
      </x:c>
      <x:c r="E1756" s="20" t="str">
        <x:v>P013</x:v>
      </x:c>
      <x:c r="F1756" s="20" t="str">
        <x:v>U013</x:v>
      </x:c>
      <x:c r="G1756" s="20" t="str">
        <x:v>L013</x:v>
      </x:c>
      <x:c r="H1756" s="20" t="str">
        <x:v>4000 Rental Income</x:v>
      </x:c>
      <x:c r="I1756" s="26" t="n">
        <x:v>0</x:v>
      </x:c>
      <x:c r="J1756" s="26" t="n">
        <x:v>1575</x:v>
      </x:c>
      <x:c r="K1756" s="35" t="str">
        <x:v>November 2027 rent</x:v>
      </x:c>
    </x:row>
    <x:row r="1757">
      <x:c r="A1757" s="20" t="str">
        <x:v>FIN-00875</x:v>
      </x:c>
      <x:c r="B1757" s="32" t="n">
        <x:v>1</x:v>
      </x:c>
      <x:c r="C1757" s="23" t="n">
        <x:v>46697</x:v>
      </x:c>
      <x:c r="D1757" s="23" t="n">
        <x:v>46697</x:v>
      </x:c>
      <x:c r="E1757" s="20" t="str">
        <x:v>P013</x:v>
      </x:c>
      <x:c r="F1757" s="20" t="str">
        <x:v>U013</x:v>
      </x:c>
      <x:c r="G1757" s="20" t="str">
        <x:v>L013</x:v>
      </x:c>
      <x:c r="H1757" s="20" t="str">
        <x:v>1100 Tenant Accounts Receivable</x:v>
      </x:c>
      <x:c r="I1757" s="26" t="n">
        <x:v>50</x:v>
      </x:c>
      <x:c r="J1757" s="26" t="n">
        <x:v>0</x:v>
      </x:c>
      <x:c r="K1757" s="35" t="str">
        <x:v>Synthetic lease-authorized late fee</x:v>
      </x:c>
    </x:row>
    <x:row r="1758">
      <x:c r="A1758" s="20" t="str">
        <x:v>FIN-00875</x:v>
      </x:c>
      <x:c r="B1758" s="32" t="n">
        <x:v>2</x:v>
      </x:c>
      <x:c r="C1758" s="23" t="n">
        <x:v>46697</x:v>
      </x:c>
      <x:c r="D1758" s="23" t="n">
        <x:v>46697</x:v>
      </x:c>
      <x:c r="E1758" s="20" t="str">
        <x:v>P013</x:v>
      </x:c>
      <x:c r="F1758" s="20" t="str">
        <x:v>U013</x:v>
      </x:c>
      <x:c r="G1758" s="20" t="str">
        <x:v>L013</x:v>
      </x:c>
      <x:c r="H1758" s="20" t="str">
        <x:v>4010 Late Fee Income</x:v>
      </x:c>
      <x:c r="I1758" s="26" t="n">
        <x:v>0</x:v>
      </x:c>
      <x:c r="J1758" s="26" t="n">
        <x:v>50</x:v>
      </x:c>
      <x:c r="K1758" s="35" t="str">
        <x:v>Synthetic lease-authorized late fee</x:v>
      </x:c>
    </x:row>
    <x:row r="1759">
      <x:c r="A1759" s="20" t="str">
        <x:v>FIN-00876</x:v>
      </x:c>
      <x:c r="B1759" s="32" t="n">
        <x:v>1</x:v>
      </x:c>
      <x:c r="C1759" s="23" t="n">
        <x:v>46699</x:v>
      </x:c>
      <x:c r="D1759" s="23" t="n">
        <x:v>46699</x:v>
      </x:c>
      <x:c r="E1759" s="20" t="str">
        <x:v>P013</x:v>
      </x:c>
      <x:c r="F1759" s="20" t="str">
        <x:v>U013</x:v>
      </x:c>
      <x:c r="G1759" s="20" t="str">
        <x:v>L013</x:v>
      </x:c>
      <x:c r="H1759" s="20" t="str">
        <x:v>1000 Operating Cash</x:v>
      </x:c>
      <x:c r="I1759" s="26" t="n">
        <x:v>1625</x:v>
      </x:c>
      <x:c r="J1759" s="26" t="n">
        <x:v>0</x:v>
      </x:c>
      <x:c r="K1759" s="35" t="str">
        <x:v>Receipt allocated to FIN-00875</x:v>
      </x:c>
    </x:row>
    <x:row r="1760">
      <x:c r="A1760" s="20" t="str">
        <x:v>FIN-00876</x:v>
      </x:c>
      <x:c r="B1760" s="32" t="n">
        <x:v>2</x:v>
      </x:c>
      <x:c r="C1760" s="23" t="n">
        <x:v>46699</x:v>
      </x:c>
      <x:c r="D1760" s="23" t="n">
        <x:v>46699</x:v>
      </x:c>
      <x:c r="E1760" s="20" t="str">
        <x:v>P013</x:v>
      </x:c>
      <x:c r="F1760" s="20" t="str">
        <x:v>U013</x:v>
      </x:c>
      <x:c r="G1760" s="20" t="str">
        <x:v>L013</x:v>
      </x:c>
      <x:c r="H1760" s="20" t="str">
        <x:v>1100 Tenant Accounts Receivable</x:v>
      </x:c>
      <x:c r="I1760" s="26" t="n">
        <x:v>0</x:v>
      </x:c>
      <x:c r="J1760" s="26" t="n">
        <x:v>1625</x:v>
      </x:c>
      <x:c r="K1760" s="35" t="str">
        <x:v>Receipt allocated to FIN-00875</x:v>
      </x:c>
    </x:row>
    <x:row r="1761">
      <x:c r="A1761" s="20" t="str">
        <x:v>FIN-00877</x:v>
      </x:c>
      <x:c r="B1761" s="32" t="n">
        <x:v>1</x:v>
      </x:c>
      <x:c r="C1761" s="23" t="n">
        <x:v>46692</x:v>
      </x:c>
      <x:c r="D1761" s="23" t="n">
        <x:v>46692</x:v>
      </x:c>
      <x:c r="E1761" s="20" t="str">
        <x:v>P015</x:v>
      </x:c>
      <x:c r="F1761" s="20" t="str">
        <x:v>U015</x:v>
      </x:c>
      <x:c r="G1761" s="20" t="str">
        <x:v>L015</x:v>
      </x:c>
      <x:c r="H1761" s="20" t="str">
        <x:v>1100 Tenant Accounts Receivable</x:v>
      </x:c>
      <x:c r="I1761" s="26" t="n">
        <x:v>1725</x:v>
      </x:c>
      <x:c r="J1761" s="26" t="n">
        <x:v>0</x:v>
      </x:c>
      <x:c r="K1761" s="35" t="str">
        <x:v>November 2027 rent</x:v>
      </x:c>
    </x:row>
    <x:row r="1762">
      <x:c r="A1762" s="20" t="str">
        <x:v>FIN-00877</x:v>
      </x:c>
      <x:c r="B1762" s="32" t="n">
        <x:v>2</x:v>
      </x:c>
      <x:c r="C1762" s="23" t="n">
        <x:v>46692</x:v>
      </x:c>
      <x:c r="D1762" s="23" t="n">
        <x:v>46692</x:v>
      </x:c>
      <x:c r="E1762" s="20" t="str">
        <x:v>P015</x:v>
      </x:c>
      <x:c r="F1762" s="20" t="str">
        <x:v>U015</x:v>
      </x:c>
      <x:c r="G1762" s="20" t="str">
        <x:v>L015</x:v>
      </x:c>
      <x:c r="H1762" s="20" t="str">
        <x:v>4000 Rental Income</x:v>
      </x:c>
      <x:c r="I1762" s="26" t="n">
        <x:v>0</x:v>
      </x:c>
      <x:c r="J1762" s="26" t="n">
        <x:v>1725</x:v>
      </x:c>
      <x:c r="K1762" s="35" t="str">
        <x:v>November 2027 rent</x:v>
      </x:c>
    </x:row>
    <x:row r="1763">
      <x:c r="A1763" s="20" t="str">
        <x:v>FIN-00878</x:v>
      </x:c>
      <x:c r="B1763" s="32" t="n">
        <x:v>1</x:v>
      </x:c>
      <x:c r="C1763" s="23" t="n">
        <x:v>46694</x:v>
      </x:c>
      <x:c r="D1763" s="23" t="n">
        <x:v>46694</x:v>
      </x:c>
      <x:c r="E1763" s="20" t="str">
        <x:v>P015</x:v>
      </x:c>
      <x:c r="F1763" s="20" t="str">
        <x:v>U015</x:v>
      </x:c>
      <x:c r="G1763" s="20" t="str">
        <x:v>L015</x:v>
      </x:c>
      <x:c r="H1763" s="20" t="str">
        <x:v>1000 Operating Cash</x:v>
      </x:c>
      <x:c r="I1763" s="26" t="n">
        <x:v>1725</x:v>
      </x:c>
      <x:c r="J1763" s="26" t="n">
        <x:v>0</x:v>
      </x:c>
      <x:c r="K1763" s="35" t="str">
        <x:v>Receipt allocated to FIN-00877</x:v>
      </x:c>
    </x:row>
    <x:row r="1764">
      <x:c r="A1764" s="20" t="str">
        <x:v>FIN-00878</x:v>
      </x:c>
      <x:c r="B1764" s="32" t="n">
        <x:v>2</x:v>
      </x:c>
      <x:c r="C1764" s="23" t="n">
        <x:v>46694</x:v>
      </x:c>
      <x:c r="D1764" s="23" t="n">
        <x:v>46694</x:v>
      </x:c>
      <x:c r="E1764" s="20" t="str">
        <x:v>P015</x:v>
      </x:c>
      <x:c r="F1764" s="20" t="str">
        <x:v>U015</x:v>
      </x:c>
      <x:c r="G1764" s="20" t="str">
        <x:v>L015</x:v>
      </x:c>
      <x:c r="H1764" s="20" t="str">
        <x:v>1100 Tenant Accounts Receivable</x:v>
      </x:c>
      <x:c r="I1764" s="26" t="n">
        <x:v>0</x:v>
      </x:c>
      <x:c r="J1764" s="26" t="n">
        <x:v>1725</x:v>
      </x:c>
      <x:c r="K1764" s="35" t="str">
        <x:v>Receipt allocated to FIN-00877</x:v>
      </x:c>
    </x:row>
    <x:row r="1765">
      <x:c r="A1765" s="20" t="str">
        <x:v>FIN-00879</x:v>
      </x:c>
      <x:c r="B1765" s="32" t="n">
        <x:v>1</x:v>
      </x:c>
      <x:c r="C1765" s="23" t="n">
        <x:v>46692</x:v>
      </x:c>
      <x:c r="D1765" s="23" t="n">
        <x:v>46692</x:v>
      </x:c>
      <x:c r="E1765" s="20" t="str">
        <x:v>P016</x:v>
      </x:c>
      <x:c r="F1765" s="20" t="str">
        <x:v>U016</x:v>
      </x:c>
      <x:c r="G1765" s="20" t="str">
        <x:v>L016</x:v>
      </x:c>
      <x:c r="H1765" s="20" t="str">
        <x:v>1100 Tenant Accounts Receivable</x:v>
      </x:c>
      <x:c r="I1765" s="26" t="n">
        <x:v>1350</x:v>
      </x:c>
      <x:c r="J1765" s="26" t="n">
        <x:v>0</x:v>
      </x:c>
      <x:c r="K1765" s="35" t="str">
        <x:v>November 2027 rent</x:v>
      </x:c>
    </x:row>
    <x:row r="1766">
      <x:c r="A1766" s="20" t="str">
        <x:v>FIN-00879</x:v>
      </x:c>
      <x:c r="B1766" s="32" t="n">
        <x:v>2</x:v>
      </x:c>
      <x:c r="C1766" s="23" t="n">
        <x:v>46692</x:v>
      </x:c>
      <x:c r="D1766" s="23" t="n">
        <x:v>46692</x:v>
      </x:c>
      <x:c r="E1766" s="20" t="str">
        <x:v>P016</x:v>
      </x:c>
      <x:c r="F1766" s="20" t="str">
        <x:v>U016</x:v>
      </x:c>
      <x:c r="G1766" s="20" t="str">
        <x:v>L016</x:v>
      </x:c>
      <x:c r="H1766" s="20" t="str">
        <x:v>4000 Rental Income</x:v>
      </x:c>
      <x:c r="I1766" s="26" t="n">
        <x:v>0</x:v>
      </x:c>
      <x:c r="J1766" s="26" t="n">
        <x:v>1350</x:v>
      </x:c>
      <x:c r="K1766" s="35" t="str">
        <x:v>November 2027 rent</x:v>
      </x:c>
    </x:row>
    <x:row r="1767">
      <x:c r="A1767" s="20" t="str">
        <x:v>FIN-00880</x:v>
      </x:c>
      <x:c r="B1767" s="32" t="n">
        <x:v>1</x:v>
      </x:c>
      <x:c r="C1767" s="23" t="n">
        <x:v>46695</x:v>
      </x:c>
      <x:c r="D1767" s="23" t="n">
        <x:v>46695</x:v>
      </x:c>
      <x:c r="E1767" s="20" t="str">
        <x:v>P016</x:v>
      </x:c>
      <x:c r="F1767" s="20" t="str">
        <x:v>U016</x:v>
      </x:c>
      <x:c r="G1767" s="20" t="str">
        <x:v>L016</x:v>
      </x:c>
      <x:c r="H1767" s="20" t="str">
        <x:v>1000 Operating Cash</x:v>
      </x:c>
      <x:c r="I1767" s="26" t="n">
        <x:v>1350</x:v>
      </x:c>
      <x:c r="J1767" s="26" t="n">
        <x:v>0</x:v>
      </x:c>
      <x:c r="K1767" s="35" t="str">
        <x:v>Receipt allocated to FIN-00879</x:v>
      </x:c>
    </x:row>
    <x:row r="1768">
      <x:c r="A1768" s="20" t="str">
        <x:v>FIN-00880</x:v>
      </x:c>
      <x:c r="B1768" s="32" t="n">
        <x:v>2</x:v>
      </x:c>
      <x:c r="C1768" s="23" t="n">
        <x:v>46695</x:v>
      </x:c>
      <x:c r="D1768" s="23" t="n">
        <x:v>46695</x:v>
      </x:c>
      <x:c r="E1768" s="20" t="str">
        <x:v>P016</x:v>
      </x:c>
      <x:c r="F1768" s="20" t="str">
        <x:v>U016</x:v>
      </x:c>
      <x:c r="G1768" s="20" t="str">
        <x:v>L016</x:v>
      </x:c>
      <x:c r="H1768" s="20" t="str">
        <x:v>1100 Tenant Accounts Receivable</x:v>
      </x:c>
      <x:c r="I1768" s="26" t="n">
        <x:v>0</x:v>
      </x:c>
      <x:c r="J1768" s="26" t="n">
        <x:v>1350</x:v>
      </x:c>
      <x:c r="K1768" s="35" t="str">
        <x:v>Receipt allocated to FIN-00879</x:v>
      </x:c>
    </x:row>
    <x:row r="1769">
      <x:c r="A1769" s="20" t="str">
        <x:v>FIN-00881</x:v>
      </x:c>
      <x:c r="B1769" s="32" t="n">
        <x:v>1</x:v>
      </x:c>
      <x:c r="C1769" s="23" t="n">
        <x:v>46692</x:v>
      </x:c>
      <x:c r="D1769" s="23" t="n">
        <x:v>46692</x:v>
      </x:c>
      <x:c r="E1769" s="20" t="str">
        <x:v>P018</x:v>
      </x:c>
      <x:c r="F1769" s="20" t="str">
        <x:v>U018</x:v>
      </x:c>
      <x:c r="G1769" s="20" t="str">
        <x:v>L018</x:v>
      </x:c>
      <x:c r="H1769" s="20" t="str">
        <x:v>1100 Tenant Accounts Receivable</x:v>
      </x:c>
      <x:c r="I1769" s="26" t="n">
        <x:v>1500</x:v>
      </x:c>
      <x:c r="J1769" s="26" t="n">
        <x:v>0</x:v>
      </x:c>
      <x:c r="K1769" s="35" t="str">
        <x:v>November 2027 rent</x:v>
      </x:c>
    </x:row>
    <x:row r="1770">
      <x:c r="A1770" s="20" t="str">
        <x:v>FIN-00881</x:v>
      </x:c>
      <x:c r="B1770" s="32" t="n">
        <x:v>2</x:v>
      </x:c>
      <x:c r="C1770" s="23" t="n">
        <x:v>46692</x:v>
      </x:c>
      <x:c r="D1770" s="23" t="n">
        <x:v>46692</x:v>
      </x:c>
      <x:c r="E1770" s="20" t="str">
        <x:v>P018</x:v>
      </x:c>
      <x:c r="F1770" s="20" t="str">
        <x:v>U018</x:v>
      </x:c>
      <x:c r="G1770" s="20" t="str">
        <x:v>L018</x:v>
      </x:c>
      <x:c r="H1770" s="20" t="str">
        <x:v>4000 Rental Income</x:v>
      </x:c>
      <x:c r="I1770" s="26" t="n">
        <x:v>0</x:v>
      </x:c>
      <x:c r="J1770" s="26" t="n">
        <x:v>1500</x:v>
      </x:c>
      <x:c r="K1770" s="35" t="str">
        <x:v>November 2027 rent</x:v>
      </x:c>
    </x:row>
    <x:row r="1771">
      <x:c r="A1771" s="20" t="str">
        <x:v>FIN-00882</x:v>
      </x:c>
      <x:c r="B1771" s="32" t="n">
        <x:v>1</x:v>
      </x:c>
      <x:c r="C1771" s="23" t="n">
        <x:v>46694</x:v>
      </x:c>
      <x:c r="D1771" s="23" t="n">
        <x:v>46694</x:v>
      </x:c>
      <x:c r="E1771" s="20" t="str">
        <x:v>P018</x:v>
      </x:c>
      <x:c r="F1771" s="20" t="str">
        <x:v>U018</x:v>
      </x:c>
      <x:c r="G1771" s="20" t="str">
        <x:v>L018</x:v>
      </x:c>
      <x:c r="H1771" s="20" t="str">
        <x:v>1000 Operating Cash</x:v>
      </x:c>
      <x:c r="I1771" s="26" t="n">
        <x:v>1500</x:v>
      </x:c>
      <x:c r="J1771" s="26" t="n">
        <x:v>0</x:v>
      </x:c>
      <x:c r="K1771" s="35" t="str">
        <x:v>Receipt allocated to FIN-00881</x:v>
      </x:c>
    </x:row>
    <x:row r="1772">
      <x:c r="A1772" s="20" t="str">
        <x:v>FIN-00882</x:v>
      </x:c>
      <x:c r="B1772" s="32" t="n">
        <x:v>2</x:v>
      </x:c>
      <x:c r="C1772" s="23" t="n">
        <x:v>46694</x:v>
      </x:c>
      <x:c r="D1772" s="23" t="n">
        <x:v>46694</x:v>
      </x:c>
      <x:c r="E1772" s="20" t="str">
        <x:v>P018</x:v>
      </x:c>
      <x:c r="F1772" s="20" t="str">
        <x:v>U018</x:v>
      </x:c>
      <x:c r="G1772" s="20" t="str">
        <x:v>L018</x:v>
      </x:c>
      <x:c r="H1772" s="20" t="str">
        <x:v>1100 Tenant Accounts Receivable</x:v>
      </x:c>
      <x:c r="I1772" s="26" t="n">
        <x:v>0</x:v>
      </x:c>
      <x:c r="J1772" s="26" t="n">
        <x:v>1500</x:v>
      </x:c>
      <x:c r="K1772" s="35" t="str">
        <x:v>Receipt allocated to FIN-00881</x:v>
      </x:c>
    </x:row>
    <x:row r="1773">
      <x:c r="A1773" s="20" t="str">
        <x:v>FIN-00883</x:v>
      </x:c>
      <x:c r="B1773" s="32" t="n">
        <x:v>1</x:v>
      </x:c>
      <x:c r="C1773" s="23" t="n">
        <x:v>46692</x:v>
      </x:c>
      <x:c r="D1773" s="23" t="n">
        <x:v>46692</x:v>
      </x:c>
      <x:c r="E1773" s="20" t="str">
        <x:v>P019</x:v>
      </x:c>
      <x:c r="F1773" s="20" t="str">
        <x:v>U019</x:v>
      </x:c>
      <x:c r="G1773" s="20" t="str">
        <x:v>L019</x:v>
      </x:c>
      <x:c r="H1773" s="20" t="str">
        <x:v>1100 Tenant Accounts Receivable</x:v>
      </x:c>
      <x:c r="I1773" s="26" t="n">
        <x:v>1125</x:v>
      </x:c>
      <x:c r="J1773" s="26" t="n">
        <x:v>0</x:v>
      </x:c>
      <x:c r="K1773" s="35" t="str">
        <x:v>November 2027 rent</x:v>
      </x:c>
    </x:row>
    <x:row r="1774">
      <x:c r="A1774" s="20" t="str">
        <x:v>FIN-00883</x:v>
      </x:c>
      <x:c r="B1774" s="32" t="n">
        <x:v>2</x:v>
      </x:c>
      <x:c r="C1774" s="23" t="n">
        <x:v>46692</x:v>
      </x:c>
      <x:c r="D1774" s="23" t="n">
        <x:v>46692</x:v>
      </x:c>
      <x:c r="E1774" s="20" t="str">
        <x:v>P019</x:v>
      </x:c>
      <x:c r="F1774" s="20" t="str">
        <x:v>U019</x:v>
      </x:c>
      <x:c r="G1774" s="20" t="str">
        <x:v>L019</x:v>
      </x:c>
      <x:c r="H1774" s="20" t="str">
        <x:v>4000 Rental Income</x:v>
      </x:c>
      <x:c r="I1774" s="26" t="n">
        <x:v>0</x:v>
      </x:c>
      <x:c r="J1774" s="26" t="n">
        <x:v>1125</x:v>
      </x:c>
      <x:c r="K1774" s="35" t="str">
        <x:v>November 2027 rent</x:v>
      </x:c>
    </x:row>
    <x:row r="1775">
      <x:c r="A1775" s="20" t="str">
        <x:v>FIN-00884</x:v>
      </x:c>
      <x:c r="B1775" s="32" t="n">
        <x:v>1</x:v>
      </x:c>
      <x:c r="C1775" s="23" t="n">
        <x:v>46695</x:v>
      </x:c>
      <x:c r="D1775" s="23" t="n">
        <x:v>46695</x:v>
      </x:c>
      <x:c r="E1775" s="20" t="str">
        <x:v>P019</x:v>
      </x:c>
      <x:c r="F1775" s="20" t="str">
        <x:v>U019</x:v>
      </x:c>
      <x:c r="G1775" s="20" t="str">
        <x:v>L019</x:v>
      </x:c>
      <x:c r="H1775" s="20" t="str">
        <x:v>1000 Operating Cash</x:v>
      </x:c>
      <x:c r="I1775" s="26" t="n">
        <x:v>1125</x:v>
      </x:c>
      <x:c r="J1775" s="26" t="n">
        <x:v>0</x:v>
      </x:c>
      <x:c r="K1775" s="35" t="str">
        <x:v>Receipt allocated to FIN-00883</x:v>
      </x:c>
    </x:row>
    <x:row r="1776">
      <x:c r="A1776" s="20" t="str">
        <x:v>FIN-00884</x:v>
      </x:c>
      <x:c r="B1776" s="32" t="n">
        <x:v>2</x:v>
      </x:c>
      <x:c r="C1776" s="23" t="n">
        <x:v>46695</x:v>
      </x:c>
      <x:c r="D1776" s="23" t="n">
        <x:v>46695</x:v>
      </x:c>
      <x:c r="E1776" s="20" t="str">
        <x:v>P019</x:v>
      </x:c>
      <x:c r="F1776" s="20" t="str">
        <x:v>U019</x:v>
      </x:c>
      <x:c r="G1776" s="20" t="str">
        <x:v>L019</x:v>
      </x:c>
      <x:c r="H1776" s="20" t="str">
        <x:v>1100 Tenant Accounts Receivable</x:v>
      </x:c>
      <x:c r="I1776" s="26" t="n">
        <x:v>0</x:v>
      </x:c>
      <x:c r="J1776" s="26" t="n">
        <x:v>1125</x:v>
      </x:c>
      <x:c r="K1776" s="35" t="str">
        <x:v>Receipt allocated to FIN-00883</x:v>
      </x:c>
    </x:row>
    <x:row r="1777">
      <x:c r="A1777" s="20" t="str">
        <x:v>FIN-00885</x:v>
      </x:c>
      <x:c r="B1777" s="32" t="n">
        <x:v>1</x:v>
      </x:c>
      <x:c r="C1777" s="23" t="n">
        <x:v>46692</x:v>
      </x:c>
      <x:c r="D1777" s="23" t="n">
        <x:v>46692</x:v>
      </x:c>
      <x:c r="E1777" s="20" t="str">
        <x:v>P020</x:v>
      </x:c>
      <x:c r="F1777" s="20" t="str">
        <x:v>U020</x:v>
      </x:c>
      <x:c r="G1777" s="20" t="str">
        <x:v>L020</x:v>
      </x:c>
      <x:c r="H1777" s="20" t="str">
        <x:v>1100 Tenant Accounts Receivable</x:v>
      </x:c>
      <x:c r="I1777" s="26" t="n">
        <x:v>1650</x:v>
      </x:c>
      <x:c r="J1777" s="26" t="n">
        <x:v>0</x:v>
      </x:c>
      <x:c r="K1777" s="35" t="str">
        <x:v>November 2027 rent</x:v>
      </x:c>
    </x:row>
    <x:row r="1778">
      <x:c r="A1778" s="20" t="str">
        <x:v>FIN-00885</x:v>
      </x:c>
      <x:c r="B1778" s="32" t="n">
        <x:v>2</x:v>
      </x:c>
      <x:c r="C1778" s="23" t="n">
        <x:v>46692</x:v>
      </x:c>
      <x:c r="D1778" s="23" t="n">
        <x:v>46692</x:v>
      </x:c>
      <x:c r="E1778" s="20" t="str">
        <x:v>P020</x:v>
      </x:c>
      <x:c r="F1778" s="20" t="str">
        <x:v>U020</x:v>
      </x:c>
      <x:c r="G1778" s="20" t="str">
        <x:v>L020</x:v>
      </x:c>
      <x:c r="H1778" s="20" t="str">
        <x:v>4000 Rental Income</x:v>
      </x:c>
      <x:c r="I1778" s="26" t="n">
        <x:v>0</x:v>
      </x:c>
      <x:c r="J1778" s="26" t="n">
        <x:v>1650</x:v>
      </x:c>
      <x:c r="K1778" s="35" t="str">
        <x:v>November 2027 rent</x:v>
      </x:c>
    </x:row>
    <x:row r="1779">
      <x:c r="A1779" s="20" t="str">
        <x:v>FIN-00886</x:v>
      </x:c>
      <x:c r="B1779" s="32" t="n">
        <x:v>1</x:v>
      </x:c>
      <x:c r="C1779" s="23" t="n">
        <x:v>46696</x:v>
      </x:c>
      <x:c r="D1779" s="23" t="n">
        <x:v>46696</x:v>
      </x:c>
      <x:c r="E1779" s="20" t="str">
        <x:v>P020</x:v>
      </x:c>
      <x:c r="F1779" s="20" t="str">
        <x:v>U020</x:v>
      </x:c>
      <x:c r="G1779" s="20" t="str">
        <x:v>L020</x:v>
      </x:c>
      <x:c r="H1779" s="20" t="str">
        <x:v>1000 Operating Cash</x:v>
      </x:c>
      <x:c r="I1779" s="26" t="n">
        <x:v>1650</x:v>
      </x:c>
      <x:c r="J1779" s="26" t="n">
        <x:v>0</x:v>
      </x:c>
      <x:c r="K1779" s="35" t="str">
        <x:v>Receipt allocated to FIN-00885</x:v>
      </x:c>
    </x:row>
    <x:row r="1780">
      <x:c r="A1780" s="20" t="str">
        <x:v>FIN-00886</x:v>
      </x:c>
      <x:c r="B1780" s="32" t="n">
        <x:v>2</x:v>
      </x:c>
      <x:c r="C1780" s="23" t="n">
        <x:v>46696</x:v>
      </x:c>
      <x:c r="D1780" s="23" t="n">
        <x:v>46696</x:v>
      </x:c>
      <x:c r="E1780" s="20" t="str">
        <x:v>P020</x:v>
      </x:c>
      <x:c r="F1780" s="20" t="str">
        <x:v>U020</x:v>
      </x:c>
      <x:c r="G1780" s="20" t="str">
        <x:v>L020</x:v>
      </x:c>
      <x:c r="H1780" s="20" t="str">
        <x:v>1100 Tenant Accounts Receivable</x:v>
      </x:c>
      <x:c r="I1780" s="26" t="n">
        <x:v>0</x:v>
      </x:c>
      <x:c r="J1780" s="26" t="n">
        <x:v>1650</x:v>
      </x:c>
      <x:c r="K1780" s="35" t="str">
        <x:v>Receipt allocated to FIN-00885</x:v>
      </x:c>
    </x:row>
    <x:row r="1781">
      <x:c r="A1781" s="20" t="str">
        <x:v>FIN-00887</x:v>
      </x:c>
      <x:c r="B1781" s="32" t="n">
        <x:v>1</x:v>
      </x:c>
      <x:c r="C1781" s="23" t="n">
        <x:v>46692</x:v>
      </x:c>
      <x:c r="D1781" s="23" t="n">
        <x:v>46692</x:v>
      </x:c>
      <x:c r="E1781" s="20" t="str">
        <x:v>P021</x:v>
      </x:c>
      <x:c r="F1781" s="20" t="str">
        <x:v>U021</x:v>
      </x:c>
      <x:c r="G1781" s="20" t="str">
        <x:v>L021</x:v>
      </x:c>
      <x:c r="H1781" s="20" t="str">
        <x:v>1100 Tenant Accounts Receivable</x:v>
      </x:c>
      <x:c r="I1781" s="26" t="n">
        <x:v>1375</x:v>
      </x:c>
      <x:c r="J1781" s="26" t="n">
        <x:v>0</x:v>
      </x:c>
      <x:c r="K1781" s="35" t="str">
        <x:v>November 2027 rent</x:v>
      </x:c>
    </x:row>
    <x:row r="1782">
      <x:c r="A1782" s="20" t="str">
        <x:v>FIN-00887</x:v>
      </x:c>
      <x:c r="B1782" s="32" t="n">
        <x:v>2</x:v>
      </x:c>
      <x:c r="C1782" s="23" t="n">
        <x:v>46692</x:v>
      </x:c>
      <x:c r="D1782" s="23" t="n">
        <x:v>46692</x:v>
      </x:c>
      <x:c r="E1782" s="20" t="str">
        <x:v>P021</x:v>
      </x:c>
      <x:c r="F1782" s="20" t="str">
        <x:v>U021</x:v>
      </x:c>
      <x:c r="G1782" s="20" t="str">
        <x:v>L021</x:v>
      </x:c>
      <x:c r="H1782" s="20" t="str">
        <x:v>4000 Rental Income</x:v>
      </x:c>
      <x:c r="I1782" s="26" t="n">
        <x:v>0</x:v>
      </x:c>
      <x:c r="J1782" s="26" t="n">
        <x:v>1375</x:v>
      </x:c>
      <x:c r="K1782" s="35" t="str">
        <x:v>November 2027 rent</x:v>
      </x:c>
    </x:row>
    <x:row r="1783">
      <x:c r="A1783" s="20" t="str">
        <x:v>FIN-00888</x:v>
      </x:c>
      <x:c r="B1783" s="32" t="n">
        <x:v>1</x:v>
      </x:c>
      <x:c r="C1783" s="23" t="n">
        <x:v>46694</x:v>
      </x:c>
      <x:c r="D1783" s="23" t="n">
        <x:v>46694</x:v>
      </x:c>
      <x:c r="E1783" s="20" t="str">
        <x:v>P021</x:v>
      </x:c>
      <x:c r="F1783" s="20" t="str">
        <x:v>U021</x:v>
      </x:c>
      <x:c r="G1783" s="20" t="str">
        <x:v>L021</x:v>
      </x:c>
      <x:c r="H1783" s="20" t="str">
        <x:v>1000 Operating Cash</x:v>
      </x:c>
      <x:c r="I1783" s="26" t="n">
        <x:v>1375</x:v>
      </x:c>
      <x:c r="J1783" s="26" t="n">
        <x:v>0</x:v>
      </x:c>
      <x:c r="K1783" s="35" t="str">
        <x:v>Receipt allocated to FIN-00887</x:v>
      </x:c>
    </x:row>
    <x:row r="1784">
      <x:c r="A1784" s="20" t="str">
        <x:v>FIN-00888</x:v>
      </x:c>
      <x:c r="B1784" s="32" t="n">
        <x:v>2</x:v>
      </x:c>
      <x:c r="C1784" s="23" t="n">
        <x:v>46694</x:v>
      </x:c>
      <x:c r="D1784" s="23" t="n">
        <x:v>46694</x:v>
      </x:c>
      <x:c r="E1784" s="20" t="str">
        <x:v>P021</x:v>
      </x:c>
      <x:c r="F1784" s="20" t="str">
        <x:v>U021</x:v>
      </x:c>
      <x:c r="G1784" s="20" t="str">
        <x:v>L021</x:v>
      </x:c>
      <x:c r="H1784" s="20" t="str">
        <x:v>1100 Tenant Accounts Receivable</x:v>
      </x:c>
      <x:c r="I1784" s="26" t="n">
        <x:v>0</x:v>
      </x:c>
      <x:c r="J1784" s="26" t="n">
        <x:v>1375</x:v>
      </x:c>
      <x:c r="K1784" s="35" t="str">
        <x:v>Receipt allocated to FIN-00887</x:v>
      </x:c>
    </x:row>
    <x:row r="1785">
      <x:c r="A1785" s="20" t="str">
        <x:v>FIN-00889</x:v>
      </x:c>
      <x:c r="B1785" s="32" t="n">
        <x:v>1</x:v>
      </x:c>
      <x:c r="C1785" s="23" t="n">
        <x:v>46692</x:v>
      </x:c>
      <x:c r="D1785" s="23" t="n">
        <x:v>46692</x:v>
      </x:c>
      <x:c r="E1785" s="20" t="str">
        <x:v>P022</x:v>
      </x:c>
      <x:c r="F1785" s="20" t="str">
        <x:v>U023</x:v>
      </x:c>
      <x:c r="G1785" s="20" t="str">
        <x:v>L023</x:v>
      </x:c>
      <x:c r="H1785" s="20" t="str">
        <x:v>1100 Tenant Accounts Receivable</x:v>
      </x:c>
      <x:c r="I1785" s="26" t="n">
        <x:v>1525</x:v>
      </x:c>
      <x:c r="J1785" s="26" t="n">
        <x:v>0</x:v>
      </x:c>
      <x:c r="K1785" s="35" t="str">
        <x:v>November 2027 rent</x:v>
      </x:c>
    </x:row>
    <x:row r="1786">
      <x:c r="A1786" s="20" t="str">
        <x:v>FIN-00889</x:v>
      </x:c>
      <x:c r="B1786" s="32" t="n">
        <x:v>2</x:v>
      </x:c>
      <x:c r="C1786" s="23" t="n">
        <x:v>46692</x:v>
      </x:c>
      <x:c r="D1786" s="23" t="n">
        <x:v>46692</x:v>
      </x:c>
      <x:c r="E1786" s="20" t="str">
        <x:v>P022</x:v>
      </x:c>
      <x:c r="F1786" s="20" t="str">
        <x:v>U023</x:v>
      </x:c>
      <x:c r="G1786" s="20" t="str">
        <x:v>L023</x:v>
      </x:c>
      <x:c r="H1786" s="20" t="str">
        <x:v>4000 Rental Income</x:v>
      </x:c>
      <x:c r="I1786" s="26" t="n">
        <x:v>0</x:v>
      </x:c>
      <x:c r="J1786" s="26" t="n">
        <x:v>1525</x:v>
      </x:c>
      <x:c r="K1786" s="35" t="str">
        <x:v>November 2027 rent</x:v>
      </x:c>
    </x:row>
    <x:row r="1787">
      <x:c r="A1787" s="20" t="str">
        <x:v>FIN-00890</x:v>
      </x:c>
      <x:c r="B1787" s="32" t="n">
        <x:v>1</x:v>
      </x:c>
      <x:c r="C1787" s="23" t="n">
        <x:v>46696</x:v>
      </x:c>
      <x:c r="D1787" s="23" t="n">
        <x:v>46696</x:v>
      </x:c>
      <x:c r="E1787" s="20" t="str">
        <x:v>P022</x:v>
      </x:c>
      <x:c r="F1787" s="20" t="str">
        <x:v>U023</x:v>
      </x:c>
      <x:c r="G1787" s="20" t="str">
        <x:v>L023</x:v>
      </x:c>
      <x:c r="H1787" s="20" t="str">
        <x:v>1000 Operating Cash</x:v>
      </x:c>
      <x:c r="I1787" s="26" t="n">
        <x:v>1525</x:v>
      </x:c>
      <x:c r="J1787" s="26" t="n">
        <x:v>0</x:v>
      </x:c>
      <x:c r="K1787" s="35" t="str">
        <x:v>Receipt allocated to FIN-00889</x:v>
      </x:c>
    </x:row>
    <x:row r="1788">
      <x:c r="A1788" s="20" t="str">
        <x:v>FIN-00890</x:v>
      </x:c>
      <x:c r="B1788" s="32" t="n">
        <x:v>2</x:v>
      </x:c>
      <x:c r="C1788" s="23" t="n">
        <x:v>46696</x:v>
      </x:c>
      <x:c r="D1788" s="23" t="n">
        <x:v>46696</x:v>
      </x:c>
      <x:c r="E1788" s="20" t="str">
        <x:v>P022</x:v>
      </x:c>
      <x:c r="F1788" s="20" t="str">
        <x:v>U023</x:v>
      </x:c>
      <x:c r="G1788" s="20" t="str">
        <x:v>L023</x:v>
      </x:c>
      <x:c r="H1788" s="20" t="str">
        <x:v>1100 Tenant Accounts Receivable</x:v>
      </x:c>
      <x:c r="I1788" s="26" t="n">
        <x:v>0</x:v>
      </x:c>
      <x:c r="J1788" s="26" t="n">
        <x:v>1525</x:v>
      </x:c>
      <x:c r="K1788" s="35" t="str">
        <x:v>Receipt allocated to FIN-00889</x:v>
      </x:c>
    </x:row>
    <x:row r="1789">
      <x:c r="A1789" s="20" t="str">
        <x:v>FIN-00891</x:v>
      </x:c>
      <x:c r="B1789" s="32" t="n">
        <x:v>1</x:v>
      </x:c>
      <x:c r="C1789" s="23" t="n">
        <x:v>46692</x:v>
      </x:c>
      <x:c r="D1789" s="23" t="n">
        <x:v>46692</x:v>
      </x:c>
      <x:c r="E1789" s="20" t="str">
        <x:v>P022</x:v>
      </x:c>
      <x:c r="F1789" s="20" t="str">
        <x:v>U024</x:v>
      </x:c>
      <x:c r="G1789" s="20" t="str">
        <x:v>L024</x:v>
      </x:c>
      <x:c r="H1789" s="20" t="str">
        <x:v>1100 Tenant Accounts Receivable</x:v>
      </x:c>
      <x:c r="I1789" s="26" t="n">
        <x:v>1150</x:v>
      </x:c>
      <x:c r="J1789" s="26" t="n">
        <x:v>0</x:v>
      </x:c>
      <x:c r="K1789" s="35" t="str">
        <x:v>November 2027 rent</x:v>
      </x:c>
    </x:row>
    <x:row r="1790">
      <x:c r="A1790" s="20" t="str">
        <x:v>FIN-00891</x:v>
      </x:c>
      <x:c r="B1790" s="32" t="n">
        <x:v>2</x:v>
      </x:c>
      <x:c r="C1790" s="23" t="n">
        <x:v>46692</x:v>
      </x:c>
      <x:c r="D1790" s="23" t="n">
        <x:v>46692</x:v>
      </x:c>
      <x:c r="E1790" s="20" t="str">
        <x:v>P022</x:v>
      </x:c>
      <x:c r="F1790" s="20" t="str">
        <x:v>U024</x:v>
      </x:c>
      <x:c r="G1790" s="20" t="str">
        <x:v>L024</x:v>
      </x:c>
      <x:c r="H1790" s="20" t="str">
        <x:v>4000 Rental Income</x:v>
      </x:c>
      <x:c r="I1790" s="26" t="n">
        <x:v>0</x:v>
      </x:c>
      <x:c r="J1790" s="26" t="n">
        <x:v>1150</x:v>
      </x:c>
      <x:c r="K1790" s="35" t="str">
        <x:v>November 2027 rent</x:v>
      </x:c>
    </x:row>
    <x:row r="1791">
      <x:c r="A1791" s="20" t="str">
        <x:v>FIN-00892</x:v>
      </x:c>
      <x:c r="B1791" s="32" t="n">
        <x:v>1</x:v>
      </x:c>
      <x:c r="C1791" s="23" t="n">
        <x:v>46694</x:v>
      </x:c>
      <x:c r="D1791" s="23" t="n">
        <x:v>46694</x:v>
      </x:c>
      <x:c r="E1791" s="20" t="str">
        <x:v>P022</x:v>
      </x:c>
      <x:c r="F1791" s="20" t="str">
        <x:v>U024</x:v>
      </x:c>
      <x:c r="G1791" s="20" t="str">
        <x:v>L024</x:v>
      </x:c>
      <x:c r="H1791" s="20" t="str">
        <x:v>1000 Operating Cash</x:v>
      </x:c>
      <x:c r="I1791" s="26" t="n">
        <x:v>1150</x:v>
      </x:c>
      <x:c r="J1791" s="26" t="n">
        <x:v>0</x:v>
      </x:c>
      <x:c r="K1791" s="35" t="str">
        <x:v>Receipt allocated to FIN-00891</x:v>
      </x:c>
    </x:row>
    <x:row r="1792">
      <x:c r="A1792" s="20" t="str">
        <x:v>FIN-00892</x:v>
      </x:c>
      <x:c r="B1792" s="32" t="n">
        <x:v>2</x:v>
      </x:c>
      <x:c r="C1792" s="23" t="n">
        <x:v>46694</x:v>
      </x:c>
      <x:c r="D1792" s="23" t="n">
        <x:v>46694</x:v>
      </x:c>
      <x:c r="E1792" s="20" t="str">
        <x:v>P022</x:v>
      </x:c>
      <x:c r="F1792" s="20" t="str">
        <x:v>U024</x:v>
      </x:c>
      <x:c r="G1792" s="20" t="str">
        <x:v>L024</x:v>
      </x:c>
      <x:c r="H1792" s="20" t="str">
        <x:v>1100 Tenant Accounts Receivable</x:v>
      </x:c>
      <x:c r="I1792" s="26" t="n">
        <x:v>0</x:v>
      </x:c>
      <x:c r="J1792" s="26" t="n">
        <x:v>1150</x:v>
      </x:c>
      <x:c r="K1792" s="35" t="str">
        <x:v>Receipt allocated to FIN-00891</x:v>
      </x:c>
    </x:row>
    <x:row r="1793">
      <x:c r="A1793" s="20" t="str">
        <x:v>FIN-00893</x:v>
      </x:c>
      <x:c r="B1793" s="32" t="n">
        <x:v>1</x:v>
      </x:c>
      <x:c r="C1793" s="23" t="n">
        <x:v>46692</x:v>
      </x:c>
      <x:c r="D1793" s="23" t="n">
        <x:v>46692</x:v>
      </x:c>
      <x:c r="E1793" s="20" t="str">
        <x:v>P023</x:v>
      </x:c>
      <x:c r="F1793" s="20" t="str">
        <x:v>U025</x:v>
      </x:c>
      <x:c r="G1793" s="20" t="str">
        <x:v>L025</x:v>
      </x:c>
      <x:c r="H1793" s="20" t="str">
        <x:v>1100 Tenant Accounts Receivable</x:v>
      </x:c>
      <x:c r="I1793" s="26" t="n">
        <x:v>1675</x:v>
      </x:c>
      <x:c r="J1793" s="26" t="n">
        <x:v>0</x:v>
      </x:c>
      <x:c r="K1793" s="35" t="str">
        <x:v>November 2027 rent</x:v>
      </x:c>
    </x:row>
    <x:row r="1794">
      <x:c r="A1794" s="20" t="str">
        <x:v>FIN-00893</x:v>
      </x:c>
      <x:c r="B1794" s="32" t="n">
        <x:v>2</x:v>
      </x:c>
      <x:c r="C1794" s="23" t="n">
        <x:v>46692</x:v>
      </x:c>
      <x:c r="D1794" s="23" t="n">
        <x:v>46692</x:v>
      </x:c>
      <x:c r="E1794" s="20" t="str">
        <x:v>P023</x:v>
      </x:c>
      <x:c r="F1794" s="20" t="str">
        <x:v>U025</x:v>
      </x:c>
      <x:c r="G1794" s="20" t="str">
        <x:v>L025</x:v>
      </x:c>
      <x:c r="H1794" s="20" t="str">
        <x:v>4000 Rental Income</x:v>
      </x:c>
      <x:c r="I1794" s="26" t="n">
        <x:v>0</x:v>
      </x:c>
      <x:c r="J1794" s="26" t="n">
        <x:v>1675</x:v>
      </x:c>
      <x:c r="K1794" s="35" t="str">
        <x:v>November 2027 rent</x:v>
      </x:c>
    </x:row>
    <x:row r="1795">
      <x:c r="A1795" s="20" t="str">
        <x:v>FIN-00894</x:v>
      </x:c>
      <x:c r="B1795" s="32" t="n">
        <x:v>1</x:v>
      </x:c>
      <x:c r="C1795" s="23" t="n">
        <x:v>46695</x:v>
      </x:c>
      <x:c r="D1795" s="23" t="n">
        <x:v>46695</x:v>
      </x:c>
      <x:c r="E1795" s="20" t="str">
        <x:v>P023</x:v>
      </x:c>
      <x:c r="F1795" s="20" t="str">
        <x:v>U025</x:v>
      </x:c>
      <x:c r="G1795" s="20" t="str">
        <x:v>L025</x:v>
      </x:c>
      <x:c r="H1795" s="20" t="str">
        <x:v>1000 Operating Cash</x:v>
      </x:c>
      <x:c r="I1795" s="26" t="n">
        <x:v>1675</x:v>
      </x:c>
      <x:c r="J1795" s="26" t="n">
        <x:v>0</x:v>
      </x:c>
      <x:c r="K1795" s="35" t="str">
        <x:v>Receipt allocated to FIN-00893</x:v>
      </x:c>
    </x:row>
    <x:row r="1796">
      <x:c r="A1796" s="20" t="str">
        <x:v>FIN-00894</x:v>
      </x:c>
      <x:c r="B1796" s="32" t="n">
        <x:v>2</x:v>
      </x:c>
      <x:c r="C1796" s="23" t="n">
        <x:v>46695</x:v>
      </x:c>
      <x:c r="D1796" s="23" t="n">
        <x:v>46695</x:v>
      </x:c>
      <x:c r="E1796" s="20" t="str">
        <x:v>P023</x:v>
      </x:c>
      <x:c r="F1796" s="20" t="str">
        <x:v>U025</x:v>
      </x:c>
      <x:c r="G1796" s="20" t="str">
        <x:v>L025</x:v>
      </x:c>
      <x:c r="H1796" s="20" t="str">
        <x:v>1100 Tenant Accounts Receivable</x:v>
      </x:c>
      <x:c r="I1796" s="26" t="n">
        <x:v>0</x:v>
      </x:c>
      <x:c r="J1796" s="26" t="n">
        <x:v>1675</x:v>
      </x:c>
      <x:c r="K1796" s="35" t="str">
        <x:v>Receipt allocated to FIN-00893</x:v>
      </x:c>
    </x:row>
    <x:row r="1797">
      <x:c r="A1797" s="20" t="str">
        <x:v>FIN-00895</x:v>
      </x:c>
      <x:c r="B1797" s="32" t="n">
        <x:v>1</x:v>
      </x:c>
      <x:c r="C1797" s="23" t="n">
        <x:v>46692</x:v>
      </x:c>
      <x:c r="D1797" s="23" t="n">
        <x:v>46692</x:v>
      </x:c>
      <x:c r="E1797" s="20" t="str">
        <x:v>P023</x:v>
      </x:c>
      <x:c r="F1797" s="20" t="str">
        <x:v>U026</x:v>
      </x:c>
      <x:c r="G1797" s="20" t="str">
        <x:v>L026</x:v>
      </x:c>
      <x:c r="H1797" s="20" t="str">
        <x:v>1100 Tenant Accounts Receivable</x:v>
      </x:c>
      <x:c r="I1797" s="26" t="n">
        <x:v>1300</x:v>
      </x:c>
      <x:c r="J1797" s="26" t="n">
        <x:v>0</x:v>
      </x:c>
      <x:c r="K1797" s="35" t="str">
        <x:v>November 2027 rent</x:v>
      </x:c>
    </x:row>
    <x:row r="1798">
      <x:c r="A1798" s="20" t="str">
        <x:v>FIN-00895</x:v>
      </x:c>
      <x:c r="B1798" s="32" t="n">
        <x:v>2</x:v>
      </x:c>
      <x:c r="C1798" s="23" t="n">
        <x:v>46692</x:v>
      </x:c>
      <x:c r="D1798" s="23" t="n">
        <x:v>46692</x:v>
      </x:c>
      <x:c r="E1798" s="20" t="str">
        <x:v>P023</x:v>
      </x:c>
      <x:c r="F1798" s="20" t="str">
        <x:v>U026</x:v>
      </x:c>
      <x:c r="G1798" s="20" t="str">
        <x:v>L026</x:v>
      </x:c>
      <x:c r="H1798" s="20" t="str">
        <x:v>4000 Rental Income</x:v>
      </x:c>
      <x:c r="I1798" s="26" t="n">
        <x:v>0</x:v>
      </x:c>
      <x:c r="J1798" s="26" t="n">
        <x:v>1300</x:v>
      </x:c>
      <x:c r="K1798" s="35" t="str">
        <x:v>November 2027 rent</x:v>
      </x:c>
    </x:row>
    <x:row r="1799">
      <x:c r="A1799" s="20" t="str">
        <x:v>FIN-00896</x:v>
      </x:c>
      <x:c r="B1799" s="32" t="n">
        <x:v>1</x:v>
      </x:c>
      <x:c r="C1799" s="23" t="n">
        <x:v>46697</x:v>
      </x:c>
      <x:c r="D1799" s="23" t="n">
        <x:v>46697</x:v>
      </x:c>
      <x:c r="E1799" s="20" t="str">
        <x:v>P023</x:v>
      </x:c>
      <x:c r="F1799" s="20" t="str">
        <x:v>U026</x:v>
      </x:c>
      <x:c r="G1799" s="20" t="str">
        <x:v>L026</x:v>
      </x:c>
      <x:c r="H1799" s="20" t="str">
        <x:v>1100 Tenant Accounts Receivable</x:v>
      </x:c>
      <x:c r="I1799" s="26" t="n">
        <x:v>50</x:v>
      </x:c>
      <x:c r="J1799" s="26" t="n">
        <x:v>0</x:v>
      </x:c>
      <x:c r="K1799" s="35" t="str">
        <x:v>Synthetic lease-authorized late fee</x:v>
      </x:c>
    </x:row>
    <x:row r="1800">
      <x:c r="A1800" s="20" t="str">
        <x:v>FIN-00896</x:v>
      </x:c>
      <x:c r="B1800" s="32" t="n">
        <x:v>2</x:v>
      </x:c>
      <x:c r="C1800" s="23" t="n">
        <x:v>46697</x:v>
      </x:c>
      <x:c r="D1800" s="23" t="n">
        <x:v>46697</x:v>
      </x:c>
      <x:c r="E1800" s="20" t="str">
        <x:v>P023</x:v>
      </x:c>
      <x:c r="F1800" s="20" t="str">
        <x:v>U026</x:v>
      </x:c>
      <x:c r="G1800" s="20" t="str">
        <x:v>L026</x:v>
      </x:c>
      <x:c r="H1800" s="20" t="str">
        <x:v>4010 Late Fee Income</x:v>
      </x:c>
      <x:c r="I1800" s="26" t="n">
        <x:v>0</x:v>
      </x:c>
      <x:c r="J1800" s="26" t="n">
        <x:v>50</x:v>
      </x:c>
      <x:c r="K1800" s="35" t="str">
        <x:v>Synthetic lease-authorized late fee</x:v>
      </x:c>
    </x:row>
    <x:row r="1801">
      <x:c r="A1801" s="20" t="str">
        <x:v>FIN-00897</x:v>
      </x:c>
      <x:c r="B1801" s="32" t="n">
        <x:v>1</x:v>
      </x:c>
      <x:c r="C1801" s="23" t="n">
        <x:v>46699</x:v>
      </x:c>
      <x:c r="D1801" s="23" t="n">
        <x:v>46699</x:v>
      </x:c>
      <x:c r="E1801" s="20" t="str">
        <x:v>P023</x:v>
      </x:c>
      <x:c r="F1801" s="20" t="str">
        <x:v>U026</x:v>
      </x:c>
      <x:c r="G1801" s="20" t="str">
        <x:v>L026</x:v>
      </x:c>
      <x:c r="H1801" s="20" t="str">
        <x:v>1000 Operating Cash</x:v>
      </x:c>
      <x:c r="I1801" s="26" t="n">
        <x:v>1350</x:v>
      </x:c>
      <x:c r="J1801" s="26" t="n">
        <x:v>0</x:v>
      </x:c>
      <x:c r="K1801" s="35" t="str">
        <x:v>Receipt allocated to FIN-00896</x:v>
      </x:c>
    </x:row>
    <x:row r="1802">
      <x:c r="A1802" s="20" t="str">
        <x:v>FIN-00897</x:v>
      </x:c>
      <x:c r="B1802" s="32" t="n">
        <x:v>2</x:v>
      </x:c>
      <x:c r="C1802" s="23" t="n">
        <x:v>46699</x:v>
      </x:c>
      <x:c r="D1802" s="23" t="n">
        <x:v>46699</x:v>
      </x:c>
      <x:c r="E1802" s="20" t="str">
        <x:v>P023</x:v>
      </x:c>
      <x:c r="F1802" s="20" t="str">
        <x:v>U026</x:v>
      </x:c>
      <x:c r="G1802" s="20" t="str">
        <x:v>L026</x:v>
      </x:c>
      <x:c r="H1802" s="20" t="str">
        <x:v>1100 Tenant Accounts Receivable</x:v>
      </x:c>
      <x:c r="I1802" s="26" t="n">
        <x:v>0</x:v>
      </x:c>
      <x:c r="J1802" s="26" t="n">
        <x:v>1350</x:v>
      </x:c>
      <x:c r="K1802" s="35" t="str">
        <x:v>Receipt allocated to FIN-00896</x:v>
      </x:c>
    </x:row>
    <x:row r="1803">
      <x:c r="A1803" s="20" t="str">
        <x:v>FIN-00898</x:v>
      </x:c>
      <x:c r="B1803" s="32" t="n">
        <x:v>1</x:v>
      </x:c>
      <x:c r="C1803" s="23" t="n">
        <x:v>46692</x:v>
      </x:c>
      <x:c r="D1803" s="23" t="n">
        <x:v>46692</x:v>
      </x:c>
      <x:c r="E1803" s="20" t="str">
        <x:v>P024</x:v>
      </x:c>
      <x:c r="F1803" s="20" t="str">
        <x:v>U027</x:v>
      </x:c>
      <x:c r="G1803" s="20" t="str">
        <x:v>L027</x:v>
      </x:c>
      <x:c r="H1803" s="20" t="str">
        <x:v>1100 Tenant Accounts Receivable</x:v>
      </x:c>
      <x:c r="I1803" s="26" t="n">
        <x:v>1825</x:v>
      </x:c>
      <x:c r="J1803" s="26" t="n">
        <x:v>0</x:v>
      </x:c>
      <x:c r="K1803" s="35" t="str">
        <x:v>November 2027 rent</x:v>
      </x:c>
    </x:row>
    <x:row r="1804">
      <x:c r="A1804" s="20" t="str">
        <x:v>FIN-00898</x:v>
      </x:c>
      <x:c r="B1804" s="32" t="n">
        <x:v>2</x:v>
      </x:c>
      <x:c r="C1804" s="23" t="n">
        <x:v>46692</x:v>
      </x:c>
      <x:c r="D1804" s="23" t="n">
        <x:v>46692</x:v>
      </x:c>
      <x:c r="E1804" s="20" t="str">
        <x:v>P024</x:v>
      </x:c>
      <x:c r="F1804" s="20" t="str">
        <x:v>U027</x:v>
      </x:c>
      <x:c r="G1804" s="20" t="str">
        <x:v>L027</x:v>
      </x:c>
      <x:c r="H1804" s="20" t="str">
        <x:v>4000 Rental Income</x:v>
      </x:c>
      <x:c r="I1804" s="26" t="n">
        <x:v>0</x:v>
      </x:c>
      <x:c r="J1804" s="26" t="n">
        <x:v>1825</x:v>
      </x:c>
      <x:c r="K1804" s="35" t="str">
        <x:v>November 2027 rent</x:v>
      </x:c>
    </x:row>
    <x:row r="1805">
      <x:c r="A1805" s="20" t="str">
        <x:v>FIN-00899</x:v>
      </x:c>
      <x:c r="B1805" s="32" t="n">
        <x:v>1</x:v>
      </x:c>
      <x:c r="C1805" s="23" t="n">
        <x:v>46694</x:v>
      </x:c>
      <x:c r="D1805" s="23" t="n">
        <x:v>46694</x:v>
      </x:c>
      <x:c r="E1805" s="20" t="str">
        <x:v>P024</x:v>
      </x:c>
      <x:c r="F1805" s="20" t="str">
        <x:v>U027</x:v>
      </x:c>
      <x:c r="G1805" s="20" t="str">
        <x:v>L027</x:v>
      </x:c>
      <x:c r="H1805" s="20" t="str">
        <x:v>1000 Operating Cash</x:v>
      </x:c>
      <x:c r="I1805" s="26" t="n">
        <x:v>1825</x:v>
      </x:c>
      <x:c r="J1805" s="26" t="n">
        <x:v>0</x:v>
      </x:c>
      <x:c r="K1805" s="35" t="str">
        <x:v>Receipt allocated to FIN-00898</x:v>
      </x:c>
    </x:row>
    <x:row r="1806">
      <x:c r="A1806" s="20" t="str">
        <x:v>FIN-00899</x:v>
      </x:c>
      <x:c r="B1806" s="32" t="n">
        <x:v>2</x:v>
      </x:c>
      <x:c r="C1806" s="23" t="n">
        <x:v>46694</x:v>
      </x:c>
      <x:c r="D1806" s="23" t="n">
        <x:v>46694</x:v>
      </x:c>
      <x:c r="E1806" s="20" t="str">
        <x:v>P024</x:v>
      </x:c>
      <x:c r="F1806" s="20" t="str">
        <x:v>U027</x:v>
      </x:c>
      <x:c r="G1806" s="20" t="str">
        <x:v>L027</x:v>
      </x:c>
      <x:c r="H1806" s="20" t="str">
        <x:v>1100 Tenant Accounts Receivable</x:v>
      </x:c>
      <x:c r="I1806" s="26" t="n">
        <x:v>0</x:v>
      </x:c>
      <x:c r="J1806" s="26" t="n">
        <x:v>1825</x:v>
      </x:c>
      <x:c r="K1806" s="35" t="str">
        <x:v>Receipt allocated to FIN-00898</x:v>
      </x:c>
    </x:row>
    <x:row r="1807">
      <x:c r="A1807" s="20" t="str">
        <x:v>FIN-00900</x:v>
      </x:c>
      <x:c r="B1807" s="32" t="n">
        <x:v>1</x:v>
      </x:c>
      <x:c r="C1807" s="23" t="n">
        <x:v>46692</x:v>
      </x:c>
      <x:c r="D1807" s="23" t="n">
        <x:v>46692</x:v>
      </x:c>
      <x:c r="E1807" s="20" t="str">
        <x:v>P024</x:v>
      </x:c>
      <x:c r="F1807" s="20" t="str">
        <x:v>U028</x:v>
      </x:c>
      <x:c r="G1807" s="20" t="str">
        <x:v>L028</x:v>
      </x:c>
      <x:c r="H1807" s="20" t="str">
        <x:v>1100 Tenant Accounts Receivable</x:v>
      </x:c>
      <x:c r="I1807" s="26" t="n">
        <x:v>1450</x:v>
      </x:c>
      <x:c r="J1807" s="26" t="n">
        <x:v>0</x:v>
      </x:c>
      <x:c r="K1807" s="35" t="str">
        <x:v>November 2027 rent</x:v>
      </x:c>
    </x:row>
    <x:row r="1808">
      <x:c r="A1808" s="20" t="str">
        <x:v>FIN-00900</x:v>
      </x:c>
      <x:c r="B1808" s="32" t="n">
        <x:v>2</x:v>
      </x:c>
      <x:c r="C1808" s="23" t="n">
        <x:v>46692</x:v>
      </x:c>
      <x:c r="D1808" s="23" t="n">
        <x:v>46692</x:v>
      </x:c>
      <x:c r="E1808" s="20" t="str">
        <x:v>P024</x:v>
      </x:c>
      <x:c r="F1808" s="20" t="str">
        <x:v>U028</x:v>
      </x:c>
      <x:c r="G1808" s="20" t="str">
        <x:v>L028</x:v>
      </x:c>
      <x:c r="H1808" s="20" t="str">
        <x:v>4000 Rental Income</x:v>
      </x:c>
      <x:c r="I1808" s="26" t="n">
        <x:v>0</x:v>
      </x:c>
      <x:c r="J1808" s="26" t="n">
        <x:v>1450</x:v>
      </x:c>
      <x:c r="K1808" s="35" t="str">
        <x:v>November 2027 rent</x:v>
      </x:c>
    </x:row>
    <x:row r="1809">
      <x:c r="A1809" s="20" t="str">
        <x:v>FIN-00901</x:v>
      </x:c>
      <x:c r="B1809" s="32" t="n">
        <x:v>1</x:v>
      </x:c>
      <x:c r="C1809" s="23" t="n">
        <x:v>46695</x:v>
      </x:c>
      <x:c r="D1809" s="23" t="n">
        <x:v>46695</x:v>
      </x:c>
      <x:c r="E1809" s="20" t="str">
        <x:v>P024</x:v>
      </x:c>
      <x:c r="F1809" s="20" t="str">
        <x:v>U028</x:v>
      </x:c>
      <x:c r="G1809" s="20" t="str">
        <x:v>L028</x:v>
      </x:c>
      <x:c r="H1809" s="20" t="str">
        <x:v>1000 Operating Cash</x:v>
      </x:c>
      <x:c r="I1809" s="26" t="n">
        <x:v>1450</x:v>
      </x:c>
      <x:c r="J1809" s="26" t="n">
        <x:v>0</x:v>
      </x:c>
      <x:c r="K1809" s="35" t="str">
        <x:v>Receipt allocated to FIN-00900</x:v>
      </x:c>
    </x:row>
    <x:row r="1810">
      <x:c r="A1810" s="20" t="str">
        <x:v>FIN-00901</x:v>
      </x:c>
      <x:c r="B1810" s="32" t="n">
        <x:v>2</x:v>
      </x:c>
      <x:c r="C1810" s="23" t="n">
        <x:v>46695</x:v>
      </x:c>
      <x:c r="D1810" s="23" t="n">
        <x:v>46695</x:v>
      </x:c>
      <x:c r="E1810" s="20" t="str">
        <x:v>P024</x:v>
      </x:c>
      <x:c r="F1810" s="20" t="str">
        <x:v>U028</x:v>
      </x:c>
      <x:c r="G1810" s="20" t="str">
        <x:v>L028</x:v>
      </x:c>
      <x:c r="H1810" s="20" t="str">
        <x:v>1100 Tenant Accounts Receivable</x:v>
      </x:c>
      <x:c r="I1810" s="26" t="n">
        <x:v>0</x:v>
      </x:c>
      <x:c r="J1810" s="26" t="n">
        <x:v>1450</x:v>
      </x:c>
      <x:c r="K1810" s="35" t="str">
        <x:v>Receipt allocated to FIN-00900</x:v>
      </x:c>
    </x:row>
    <x:row r="1811">
      <x:c r="A1811" s="20" t="str">
        <x:v>FIN-00902</x:v>
      </x:c>
      <x:c r="B1811" s="32" t="n">
        <x:v>1</x:v>
      </x:c>
      <x:c r="C1811" s="23" t="n">
        <x:v>46692</x:v>
      </x:c>
      <x:c r="D1811" s="23" t="n">
        <x:v>46692</x:v>
      </x:c>
      <x:c r="E1811" s="20" t="str">
        <x:v>P025</x:v>
      </x:c>
      <x:c r="F1811" s="20" t="str">
        <x:v>U029</x:v>
      </x:c>
      <x:c r="G1811" s="20" t="str">
        <x:v>L029</x:v>
      </x:c>
      <x:c r="H1811" s="20" t="str">
        <x:v>1100 Tenant Accounts Receivable</x:v>
      </x:c>
      <x:c r="I1811" s="26" t="n">
        <x:v>1975</x:v>
      </x:c>
      <x:c r="J1811" s="26" t="n">
        <x:v>0</x:v>
      </x:c>
      <x:c r="K1811" s="35" t="str">
        <x:v>November 2027 rent</x:v>
      </x:c>
    </x:row>
    <x:row r="1812">
      <x:c r="A1812" s="20" t="str">
        <x:v>FIN-00902</x:v>
      </x:c>
      <x:c r="B1812" s="32" t="n">
        <x:v>2</x:v>
      </x:c>
      <x:c r="C1812" s="23" t="n">
        <x:v>46692</x:v>
      </x:c>
      <x:c r="D1812" s="23" t="n">
        <x:v>46692</x:v>
      </x:c>
      <x:c r="E1812" s="20" t="str">
        <x:v>P025</x:v>
      </x:c>
      <x:c r="F1812" s="20" t="str">
        <x:v>U029</x:v>
      </x:c>
      <x:c r="G1812" s="20" t="str">
        <x:v>L029</x:v>
      </x:c>
      <x:c r="H1812" s="20" t="str">
        <x:v>4000 Rental Income</x:v>
      </x:c>
      <x:c r="I1812" s="26" t="n">
        <x:v>0</x:v>
      </x:c>
      <x:c r="J1812" s="26" t="n">
        <x:v>1975</x:v>
      </x:c>
      <x:c r="K1812" s="35" t="str">
        <x:v>November 2027 rent</x:v>
      </x:c>
    </x:row>
    <x:row r="1813">
      <x:c r="A1813" s="20" t="str">
        <x:v>FIN-00903</x:v>
      </x:c>
      <x:c r="B1813" s="32" t="n">
        <x:v>1</x:v>
      </x:c>
      <x:c r="C1813" s="23" t="n">
        <x:v>46696</x:v>
      </x:c>
      <x:c r="D1813" s="23" t="n">
        <x:v>46696</x:v>
      </x:c>
      <x:c r="E1813" s="20" t="str">
        <x:v>P025</x:v>
      </x:c>
      <x:c r="F1813" s="20" t="str">
        <x:v>U029</x:v>
      </x:c>
      <x:c r="G1813" s="20" t="str">
        <x:v>L029</x:v>
      </x:c>
      <x:c r="H1813" s="20" t="str">
        <x:v>1000 Operating Cash</x:v>
      </x:c>
      <x:c r="I1813" s="26" t="n">
        <x:v>1975</x:v>
      </x:c>
      <x:c r="J1813" s="26" t="n">
        <x:v>0</x:v>
      </x:c>
      <x:c r="K1813" s="35" t="str">
        <x:v>Receipt allocated to FIN-00902</x:v>
      </x:c>
    </x:row>
    <x:row r="1814">
      <x:c r="A1814" s="20" t="str">
        <x:v>FIN-00903</x:v>
      </x:c>
      <x:c r="B1814" s="32" t="n">
        <x:v>2</x:v>
      </x:c>
      <x:c r="C1814" s="23" t="n">
        <x:v>46696</x:v>
      </x:c>
      <x:c r="D1814" s="23" t="n">
        <x:v>46696</x:v>
      </x:c>
      <x:c r="E1814" s="20" t="str">
        <x:v>P025</x:v>
      </x:c>
      <x:c r="F1814" s="20" t="str">
        <x:v>U029</x:v>
      </x:c>
      <x:c r="G1814" s="20" t="str">
        <x:v>L029</x:v>
      </x:c>
      <x:c r="H1814" s="20" t="str">
        <x:v>1100 Tenant Accounts Receivable</x:v>
      </x:c>
      <x:c r="I1814" s="26" t="n">
        <x:v>0</x:v>
      </x:c>
      <x:c r="J1814" s="26" t="n">
        <x:v>1975</x:v>
      </x:c>
      <x:c r="K1814" s="35" t="str">
        <x:v>Receipt allocated to FIN-00902</x:v>
      </x:c>
    </x:row>
    <x:row r="1815">
      <x:c r="A1815" s="20" t="str">
        <x:v>FIN-00904</x:v>
      </x:c>
      <x:c r="B1815" s="32" t="n">
        <x:v>1</x:v>
      </x:c>
      <x:c r="C1815" s="23" t="n">
        <x:v>46692</x:v>
      </x:c>
      <x:c r="D1815" s="23" t="n">
        <x:v>46692</x:v>
      </x:c>
      <x:c r="E1815" s="20" t="str">
        <x:v>P025</x:v>
      </x:c>
      <x:c r="F1815" s="20" t="str">
        <x:v>U030</x:v>
      </x:c>
      <x:c r="G1815" s="20" t="str">
        <x:v>L030</x:v>
      </x:c>
      <x:c r="H1815" s="20" t="str">
        <x:v>1100 Tenant Accounts Receivable</x:v>
      </x:c>
      <x:c r="I1815" s="26" t="n">
        <x:v>1600</x:v>
      </x:c>
      <x:c r="J1815" s="26" t="n">
        <x:v>0</x:v>
      </x:c>
      <x:c r="K1815" s="35" t="str">
        <x:v>November 2027 rent</x:v>
      </x:c>
    </x:row>
    <x:row r="1816">
      <x:c r="A1816" s="20" t="str">
        <x:v>FIN-00904</x:v>
      </x:c>
      <x:c r="B1816" s="32" t="n">
        <x:v>2</x:v>
      </x:c>
      <x:c r="C1816" s="23" t="n">
        <x:v>46692</x:v>
      </x:c>
      <x:c r="D1816" s="23" t="n">
        <x:v>46692</x:v>
      </x:c>
      <x:c r="E1816" s="20" t="str">
        <x:v>P025</x:v>
      </x:c>
      <x:c r="F1816" s="20" t="str">
        <x:v>U030</x:v>
      </x:c>
      <x:c r="G1816" s="20" t="str">
        <x:v>L030</x:v>
      </x:c>
      <x:c r="H1816" s="20" t="str">
        <x:v>4000 Rental Income</x:v>
      </x:c>
      <x:c r="I1816" s="26" t="n">
        <x:v>0</x:v>
      </x:c>
      <x:c r="J1816" s="26" t="n">
        <x:v>1600</x:v>
      </x:c>
      <x:c r="K1816" s="35" t="str">
        <x:v>November 2027 rent</x:v>
      </x:c>
    </x:row>
    <x:row r="1817">
      <x:c r="A1817" s="20" t="str">
        <x:v>FIN-00905</x:v>
      </x:c>
      <x:c r="B1817" s="32" t="n">
        <x:v>1</x:v>
      </x:c>
      <x:c r="C1817" s="23" t="n">
        <x:v>46694</x:v>
      </x:c>
      <x:c r="D1817" s="23" t="n">
        <x:v>46694</x:v>
      </x:c>
      <x:c r="E1817" s="20" t="str">
        <x:v>P025</x:v>
      </x:c>
      <x:c r="F1817" s="20" t="str">
        <x:v>U030</x:v>
      </x:c>
      <x:c r="G1817" s="20" t="str">
        <x:v>L030</x:v>
      </x:c>
      <x:c r="H1817" s="20" t="str">
        <x:v>1000 Operating Cash</x:v>
      </x:c>
      <x:c r="I1817" s="26" t="n">
        <x:v>1600</x:v>
      </x:c>
      <x:c r="J1817" s="26" t="n">
        <x:v>0</x:v>
      </x:c>
      <x:c r="K1817" s="35" t="str">
        <x:v>Receipt allocated to FIN-00904</x:v>
      </x:c>
    </x:row>
    <x:row r="1818">
      <x:c r="A1818" s="20" t="str">
        <x:v>FIN-00905</x:v>
      </x:c>
      <x:c r="B1818" s="32" t="n">
        <x:v>2</x:v>
      </x:c>
      <x:c r="C1818" s="23" t="n">
        <x:v>46694</x:v>
      </x:c>
      <x:c r="D1818" s="23" t="n">
        <x:v>46694</x:v>
      </x:c>
      <x:c r="E1818" s="20" t="str">
        <x:v>P025</x:v>
      </x:c>
      <x:c r="F1818" s="20" t="str">
        <x:v>U030</x:v>
      </x:c>
      <x:c r="G1818" s="20" t="str">
        <x:v>L030</x:v>
      </x:c>
      <x:c r="H1818" s="20" t="str">
        <x:v>1100 Tenant Accounts Receivable</x:v>
      </x:c>
      <x:c r="I1818" s="26" t="n">
        <x:v>0</x:v>
      </x:c>
      <x:c r="J1818" s="26" t="n">
        <x:v>1600</x:v>
      </x:c>
      <x:c r="K1818" s="35" t="str">
        <x:v>Receipt allocated to FIN-00904</x:v>
      </x:c>
    </x:row>
    <x:row r="1819">
      <x:c r="A1819" s="20" t="str">
        <x:v>FIN-00906</x:v>
      </x:c>
      <x:c r="B1819" s="32" t="n">
        <x:v>1</x:v>
      </x:c>
      <x:c r="C1819" s="23" t="n">
        <x:v>46692</x:v>
      </x:c>
      <x:c r="D1819" s="23" t="n">
        <x:v>46692</x:v>
      </x:c>
      <x:c r="E1819" s="20" t="str">
        <x:v>P026</x:v>
      </x:c>
      <x:c r="F1819" s="20" t="str">
        <x:v>U031</x:v>
      </x:c>
      <x:c r="G1819" s="20" t="str">
        <x:v>L031</x:v>
      </x:c>
      <x:c r="H1819" s="20" t="str">
        <x:v>1100 Tenant Accounts Receivable</x:v>
      </x:c>
      <x:c r="I1819" s="26" t="n">
        <x:v>1225</x:v>
      </x:c>
      <x:c r="J1819" s="26" t="n">
        <x:v>0</x:v>
      </x:c>
      <x:c r="K1819" s="35" t="str">
        <x:v>November 2027 rent</x:v>
      </x:c>
    </x:row>
    <x:row r="1820">
      <x:c r="A1820" s="20" t="str">
        <x:v>FIN-00906</x:v>
      </x:c>
      <x:c r="B1820" s="32" t="n">
        <x:v>2</x:v>
      </x:c>
      <x:c r="C1820" s="23" t="n">
        <x:v>46692</x:v>
      </x:c>
      <x:c r="D1820" s="23" t="n">
        <x:v>46692</x:v>
      </x:c>
      <x:c r="E1820" s="20" t="str">
        <x:v>P026</x:v>
      </x:c>
      <x:c r="F1820" s="20" t="str">
        <x:v>U031</x:v>
      </x:c>
      <x:c r="G1820" s="20" t="str">
        <x:v>L031</x:v>
      </x:c>
      <x:c r="H1820" s="20" t="str">
        <x:v>4000 Rental Income</x:v>
      </x:c>
      <x:c r="I1820" s="26" t="n">
        <x:v>0</x:v>
      </x:c>
      <x:c r="J1820" s="26" t="n">
        <x:v>1225</x:v>
      </x:c>
      <x:c r="K1820" s="35" t="str">
        <x:v>November 2027 rent</x:v>
      </x:c>
    </x:row>
    <x:row r="1821">
      <x:c r="A1821" s="20" t="str">
        <x:v>FIN-00907</x:v>
      </x:c>
      <x:c r="B1821" s="32" t="n">
        <x:v>1</x:v>
      </x:c>
      <x:c r="C1821" s="23" t="n">
        <x:v>46695</x:v>
      </x:c>
      <x:c r="D1821" s="23" t="n">
        <x:v>46695</x:v>
      </x:c>
      <x:c r="E1821" s="20" t="str">
        <x:v>P026</x:v>
      </x:c>
      <x:c r="F1821" s="20" t="str">
        <x:v>U031</x:v>
      </x:c>
      <x:c r="G1821" s="20" t="str">
        <x:v>L031</x:v>
      </x:c>
      <x:c r="H1821" s="20" t="str">
        <x:v>1000 Operating Cash</x:v>
      </x:c>
      <x:c r="I1821" s="26" t="n">
        <x:v>1225</x:v>
      </x:c>
      <x:c r="J1821" s="26" t="n">
        <x:v>0</x:v>
      </x:c>
      <x:c r="K1821" s="35" t="str">
        <x:v>Receipt allocated to FIN-00906</x:v>
      </x:c>
    </x:row>
    <x:row r="1822">
      <x:c r="A1822" s="20" t="str">
        <x:v>FIN-00907</x:v>
      </x:c>
      <x:c r="B1822" s="32" t="n">
        <x:v>2</x:v>
      </x:c>
      <x:c r="C1822" s="23" t="n">
        <x:v>46695</x:v>
      </x:c>
      <x:c r="D1822" s="23" t="n">
        <x:v>46695</x:v>
      </x:c>
      <x:c r="E1822" s="20" t="str">
        <x:v>P026</x:v>
      </x:c>
      <x:c r="F1822" s="20" t="str">
        <x:v>U031</x:v>
      </x:c>
      <x:c r="G1822" s="20" t="str">
        <x:v>L031</x:v>
      </x:c>
      <x:c r="H1822" s="20" t="str">
        <x:v>1100 Tenant Accounts Receivable</x:v>
      </x:c>
      <x:c r="I1822" s="26" t="n">
        <x:v>0</x:v>
      </x:c>
      <x:c r="J1822" s="26" t="n">
        <x:v>1225</x:v>
      </x:c>
      <x:c r="K1822" s="35" t="str">
        <x:v>Receipt allocated to FIN-00906</x:v>
      </x:c>
    </x:row>
    <x:row r="1823">
      <x:c r="A1823" s="20" t="str">
        <x:v>FIN-00908</x:v>
      </x:c>
      <x:c r="B1823" s="32" t="n">
        <x:v>1</x:v>
      </x:c>
      <x:c r="C1823" s="23" t="n">
        <x:v>46692</x:v>
      </x:c>
      <x:c r="D1823" s="23" t="n">
        <x:v>46692</x:v>
      </x:c>
      <x:c r="E1823" s="20" t="str">
        <x:v>P026</x:v>
      </x:c>
      <x:c r="F1823" s="20" t="str">
        <x:v>U032</x:v>
      </x:c>
      <x:c r="G1823" s="20" t="str">
        <x:v>L032</x:v>
      </x:c>
      <x:c r="H1823" s="20" t="str">
        <x:v>1100 Tenant Accounts Receivable</x:v>
      </x:c>
      <x:c r="I1823" s="26" t="n">
        <x:v>1750</x:v>
      </x:c>
      <x:c r="J1823" s="26" t="n">
        <x:v>0</x:v>
      </x:c>
      <x:c r="K1823" s="35" t="str">
        <x:v>November 2027 rent</x:v>
      </x:c>
    </x:row>
    <x:row r="1824">
      <x:c r="A1824" s="20" t="str">
        <x:v>FIN-00908</x:v>
      </x:c>
      <x:c r="B1824" s="32" t="n">
        <x:v>2</x:v>
      </x:c>
      <x:c r="C1824" s="23" t="n">
        <x:v>46692</x:v>
      </x:c>
      <x:c r="D1824" s="23" t="n">
        <x:v>46692</x:v>
      </x:c>
      <x:c r="E1824" s="20" t="str">
        <x:v>P026</x:v>
      </x:c>
      <x:c r="F1824" s="20" t="str">
        <x:v>U032</x:v>
      </x:c>
      <x:c r="G1824" s="20" t="str">
        <x:v>L032</x:v>
      </x:c>
      <x:c r="H1824" s="20" t="str">
        <x:v>4000 Rental Income</x:v>
      </x:c>
      <x:c r="I1824" s="26" t="n">
        <x:v>0</x:v>
      </x:c>
      <x:c r="J1824" s="26" t="n">
        <x:v>1750</x:v>
      </x:c>
      <x:c r="K1824" s="35" t="str">
        <x:v>November 2027 rent</x:v>
      </x:c>
    </x:row>
    <x:row r="1825">
      <x:c r="A1825" s="20" t="str">
        <x:v>FIN-00909</x:v>
      </x:c>
      <x:c r="B1825" s="32" t="n">
        <x:v>1</x:v>
      </x:c>
      <x:c r="C1825" s="23" t="n">
        <x:v>46696</x:v>
      </x:c>
      <x:c r="D1825" s="23" t="n">
        <x:v>46696</x:v>
      </x:c>
      <x:c r="E1825" s="20" t="str">
        <x:v>P026</x:v>
      </x:c>
      <x:c r="F1825" s="20" t="str">
        <x:v>U032</x:v>
      </x:c>
      <x:c r="G1825" s="20" t="str">
        <x:v>L032</x:v>
      </x:c>
      <x:c r="H1825" s="20" t="str">
        <x:v>1000 Operating Cash</x:v>
      </x:c>
      <x:c r="I1825" s="26" t="n">
        <x:v>1750</x:v>
      </x:c>
      <x:c r="J1825" s="26" t="n">
        <x:v>0</x:v>
      </x:c>
      <x:c r="K1825" s="35" t="str">
        <x:v>Receipt allocated to FIN-00908</x:v>
      </x:c>
    </x:row>
    <x:row r="1826">
      <x:c r="A1826" s="20" t="str">
        <x:v>FIN-00909</x:v>
      </x:c>
      <x:c r="B1826" s="32" t="n">
        <x:v>2</x:v>
      </x:c>
      <x:c r="C1826" s="23" t="n">
        <x:v>46696</x:v>
      </x:c>
      <x:c r="D1826" s="23" t="n">
        <x:v>46696</x:v>
      </x:c>
      <x:c r="E1826" s="20" t="str">
        <x:v>P026</x:v>
      </x:c>
      <x:c r="F1826" s="20" t="str">
        <x:v>U032</x:v>
      </x:c>
      <x:c r="G1826" s="20" t="str">
        <x:v>L032</x:v>
      </x:c>
      <x:c r="H1826" s="20" t="str">
        <x:v>1100 Tenant Accounts Receivable</x:v>
      </x:c>
      <x:c r="I1826" s="26" t="n">
        <x:v>0</x:v>
      </x:c>
      <x:c r="J1826" s="26" t="n">
        <x:v>1750</x:v>
      </x:c>
      <x:c r="K1826" s="35" t="str">
        <x:v>Receipt allocated to FIN-00908</x:v>
      </x:c>
    </x:row>
    <x:row r="1827">
      <x:c r="A1827" s="20" t="str">
        <x:v>FIN-00910</x:v>
      </x:c>
      <x:c r="B1827" s="32" t="n">
        <x:v>1</x:v>
      </x:c>
      <x:c r="C1827" s="23" t="n">
        <x:v>46692</x:v>
      </x:c>
      <x:c r="D1827" s="23" t="n">
        <x:v>46692</x:v>
      </x:c>
      <x:c r="E1827" s="20" t="str">
        <x:v>P027</x:v>
      </x:c>
      <x:c r="F1827" s="20" t="str">
        <x:v>U033</x:v>
      </x:c>
      <x:c r="G1827" s="20" t="str">
        <x:v>L033</x:v>
      </x:c>
      <x:c r="H1827" s="20" t="str">
        <x:v>1100 Tenant Accounts Receivable</x:v>
      </x:c>
      <x:c r="I1827" s="26" t="n">
        <x:v>1375</x:v>
      </x:c>
      <x:c r="J1827" s="26" t="n">
        <x:v>0</x:v>
      </x:c>
      <x:c r="K1827" s="35" t="str">
        <x:v>November 2027 rent</x:v>
      </x:c>
    </x:row>
    <x:row r="1828">
      <x:c r="A1828" s="20" t="str">
        <x:v>FIN-00910</x:v>
      </x:c>
      <x:c r="B1828" s="32" t="n">
        <x:v>2</x:v>
      </x:c>
      <x:c r="C1828" s="23" t="n">
        <x:v>46692</x:v>
      </x:c>
      <x:c r="D1828" s="23" t="n">
        <x:v>46692</x:v>
      </x:c>
      <x:c r="E1828" s="20" t="str">
        <x:v>P027</x:v>
      </x:c>
      <x:c r="F1828" s="20" t="str">
        <x:v>U033</x:v>
      </x:c>
      <x:c r="G1828" s="20" t="str">
        <x:v>L033</x:v>
      </x:c>
      <x:c r="H1828" s="20" t="str">
        <x:v>4000 Rental Income</x:v>
      </x:c>
      <x:c r="I1828" s="26" t="n">
        <x:v>0</x:v>
      </x:c>
      <x:c r="J1828" s="26" t="n">
        <x:v>1375</x:v>
      </x:c>
      <x:c r="K1828" s="35" t="str">
        <x:v>November 2027 rent</x:v>
      </x:c>
    </x:row>
    <x:row r="1829">
      <x:c r="A1829" s="20" t="str">
        <x:v>FIN-00911</x:v>
      </x:c>
      <x:c r="B1829" s="32" t="n">
        <x:v>1</x:v>
      </x:c>
      <x:c r="C1829" s="23" t="n">
        <x:v>46694</x:v>
      </x:c>
      <x:c r="D1829" s="23" t="n">
        <x:v>46694</x:v>
      </x:c>
      <x:c r="E1829" s="20" t="str">
        <x:v>P027</x:v>
      </x:c>
      <x:c r="F1829" s="20" t="str">
        <x:v>U033</x:v>
      </x:c>
      <x:c r="G1829" s="20" t="str">
        <x:v>L033</x:v>
      </x:c>
      <x:c r="H1829" s="20" t="str">
        <x:v>1000 Operating Cash</x:v>
      </x:c>
      <x:c r="I1829" s="26" t="n">
        <x:v>825</x:v>
      </x:c>
      <x:c r="J1829" s="26" t="n">
        <x:v>0</x:v>
      </x:c>
      <x:c r="K1829" s="35" t="str">
        <x:v>Receipt allocated to FIN-00910</x:v>
      </x:c>
    </x:row>
    <x:row r="1830">
      <x:c r="A1830" s="20" t="str">
        <x:v>FIN-00911</x:v>
      </x:c>
      <x:c r="B1830" s="32" t="n">
        <x:v>2</x:v>
      </x:c>
      <x:c r="C1830" s="23" t="n">
        <x:v>46694</x:v>
      </x:c>
      <x:c r="D1830" s="23" t="n">
        <x:v>46694</x:v>
      </x:c>
      <x:c r="E1830" s="20" t="str">
        <x:v>P027</x:v>
      </x:c>
      <x:c r="F1830" s="20" t="str">
        <x:v>U033</x:v>
      </x:c>
      <x:c r="G1830" s="20" t="str">
        <x:v>L033</x:v>
      </x:c>
      <x:c r="H1830" s="20" t="str">
        <x:v>1100 Tenant Accounts Receivable</x:v>
      </x:c>
      <x:c r="I1830" s="26" t="n">
        <x:v>0</x:v>
      </x:c>
      <x:c r="J1830" s="26" t="n">
        <x:v>825</x:v>
      </x:c>
      <x:c r="K1830" s="35" t="str">
        <x:v>Receipt allocated to FIN-00910</x:v>
      </x:c>
    </x:row>
    <x:row r="1831">
      <x:c r="A1831" s="20" t="str">
        <x:v>FIN-00912</x:v>
      </x:c>
      <x:c r="B1831" s="32" t="n">
        <x:v>1</x:v>
      </x:c>
      <x:c r="C1831" s="23" t="n">
        <x:v>46697</x:v>
      </x:c>
      <x:c r="D1831" s="23" t="n">
        <x:v>46697</x:v>
      </x:c>
      <x:c r="E1831" s="20" t="str">
        <x:v>P027</x:v>
      </x:c>
      <x:c r="F1831" s="20" t="str">
        <x:v>U033</x:v>
      </x:c>
      <x:c r="G1831" s="20" t="str">
        <x:v>L033</x:v>
      </x:c>
      <x:c r="H1831" s="20" t="str">
        <x:v>1100 Tenant Accounts Receivable</x:v>
      </x:c>
      <x:c r="I1831" s="26" t="n">
        <x:v>50</x:v>
      </x:c>
      <x:c r="J1831" s="26" t="n">
        <x:v>0</x:v>
      </x:c>
      <x:c r="K1831" s="35" t="str">
        <x:v>Synthetic lease-authorized late fee after partial payment</x:v>
      </x:c>
    </x:row>
    <x:row r="1832">
      <x:c r="A1832" s="20" t="str">
        <x:v>FIN-00912</x:v>
      </x:c>
      <x:c r="B1832" s="32" t="n">
        <x:v>2</x:v>
      </x:c>
      <x:c r="C1832" s="23" t="n">
        <x:v>46697</x:v>
      </x:c>
      <x:c r="D1832" s="23" t="n">
        <x:v>46697</x:v>
      </x:c>
      <x:c r="E1832" s="20" t="str">
        <x:v>P027</x:v>
      </x:c>
      <x:c r="F1832" s="20" t="str">
        <x:v>U033</x:v>
      </x:c>
      <x:c r="G1832" s="20" t="str">
        <x:v>L033</x:v>
      </x:c>
      <x:c r="H1832" s="20" t="str">
        <x:v>4010 Late Fee Income</x:v>
      </x:c>
      <x:c r="I1832" s="26" t="n">
        <x:v>0</x:v>
      </x:c>
      <x:c r="J1832" s="26" t="n">
        <x:v>50</x:v>
      </x:c>
      <x:c r="K1832" s="35" t="str">
        <x:v>Synthetic lease-authorized late fee after partial payment</x:v>
      </x:c>
    </x:row>
    <x:row r="1833">
      <x:c r="A1833" s="20" t="str">
        <x:v>FIN-00913</x:v>
      </x:c>
      <x:c r="B1833" s="32" t="n">
        <x:v>1</x:v>
      </x:c>
      <x:c r="C1833" s="23" t="n">
        <x:v>46703</x:v>
      </x:c>
      <x:c r="D1833" s="23" t="n">
        <x:v>46703</x:v>
      </x:c>
      <x:c r="E1833" s="20" t="str">
        <x:v>P027</x:v>
      </x:c>
      <x:c r="F1833" s="20" t="str">
        <x:v>U033</x:v>
      </x:c>
      <x:c r="G1833" s="20" t="str">
        <x:v>L033</x:v>
      </x:c>
      <x:c r="H1833" s="20" t="str">
        <x:v>1000 Operating Cash</x:v>
      </x:c>
      <x:c r="I1833" s="26" t="n">
        <x:v>600</x:v>
      </x:c>
      <x:c r="J1833" s="26" t="n">
        <x:v>0</x:v>
      </x:c>
      <x:c r="K1833" s="35" t="str">
        <x:v>Receipt allocated to FIN-00912</x:v>
      </x:c>
    </x:row>
    <x:row r="1834">
      <x:c r="A1834" s="20" t="str">
        <x:v>FIN-00913</x:v>
      </x:c>
      <x:c r="B1834" s="32" t="n">
        <x:v>2</x:v>
      </x:c>
      <x:c r="C1834" s="23" t="n">
        <x:v>46703</x:v>
      </x:c>
      <x:c r="D1834" s="23" t="n">
        <x:v>46703</x:v>
      </x:c>
      <x:c r="E1834" s="20" t="str">
        <x:v>P027</x:v>
      </x:c>
      <x:c r="F1834" s="20" t="str">
        <x:v>U033</x:v>
      </x:c>
      <x:c r="G1834" s="20" t="str">
        <x:v>L033</x:v>
      </x:c>
      <x:c r="H1834" s="20" t="str">
        <x:v>1100 Tenant Accounts Receivable</x:v>
      </x:c>
      <x:c r="I1834" s="26" t="n">
        <x:v>0</x:v>
      </x:c>
      <x:c r="J1834" s="26" t="n">
        <x:v>600</x:v>
      </x:c>
      <x:c r="K1834" s="35" t="str">
        <x:v>Receipt allocated to FIN-00912</x:v>
      </x:c>
    </x:row>
    <x:row r="1835">
      <x:c r="A1835" s="20" t="str">
        <x:v>FIN-00914</x:v>
      </x:c>
      <x:c r="B1835" s="32" t="n">
        <x:v>1</x:v>
      </x:c>
      <x:c r="C1835" s="23" t="n">
        <x:v>46692</x:v>
      </x:c>
      <x:c r="D1835" s="23" t="n">
        <x:v>46692</x:v>
      </x:c>
      <x:c r="E1835" s="20" t="str">
        <x:v>P027</x:v>
      </x:c>
      <x:c r="F1835" s="20" t="str">
        <x:v>U034</x:v>
      </x:c>
      <x:c r="G1835" s="20" t="str">
        <x:v>L034</x:v>
      </x:c>
      <x:c r="H1835" s="20" t="str">
        <x:v>1100 Tenant Accounts Receivable</x:v>
      </x:c>
      <x:c r="I1835" s="26" t="n">
        <x:v>1900</x:v>
      </x:c>
      <x:c r="J1835" s="26" t="n">
        <x:v>0</x:v>
      </x:c>
      <x:c r="K1835" s="35" t="str">
        <x:v>November 2027 rent</x:v>
      </x:c>
    </x:row>
    <x:row r="1836">
      <x:c r="A1836" s="20" t="str">
        <x:v>FIN-00914</x:v>
      </x:c>
      <x:c r="B1836" s="32" t="n">
        <x:v>2</x:v>
      </x:c>
      <x:c r="C1836" s="23" t="n">
        <x:v>46692</x:v>
      </x:c>
      <x:c r="D1836" s="23" t="n">
        <x:v>46692</x:v>
      </x:c>
      <x:c r="E1836" s="20" t="str">
        <x:v>P027</x:v>
      </x:c>
      <x:c r="F1836" s="20" t="str">
        <x:v>U034</x:v>
      </x:c>
      <x:c r="G1836" s="20" t="str">
        <x:v>L034</x:v>
      </x:c>
      <x:c r="H1836" s="20" t="str">
        <x:v>4000 Rental Income</x:v>
      </x:c>
      <x:c r="I1836" s="26" t="n">
        <x:v>0</x:v>
      </x:c>
      <x:c r="J1836" s="26" t="n">
        <x:v>1900</x:v>
      </x:c>
      <x:c r="K1836" s="35" t="str">
        <x:v>November 2027 rent</x:v>
      </x:c>
    </x:row>
    <x:row r="1837">
      <x:c r="A1837" s="20" t="str">
        <x:v>FIN-00915</x:v>
      </x:c>
      <x:c r="B1837" s="32" t="n">
        <x:v>1</x:v>
      </x:c>
      <x:c r="C1837" s="23" t="n">
        <x:v>46695</x:v>
      </x:c>
      <x:c r="D1837" s="23" t="n">
        <x:v>46695</x:v>
      </x:c>
      <x:c r="E1837" s="20" t="str">
        <x:v>P027</x:v>
      </x:c>
      <x:c r="F1837" s="20" t="str">
        <x:v>U034</x:v>
      </x:c>
      <x:c r="G1837" s="20" t="str">
        <x:v>L034</x:v>
      </x:c>
      <x:c r="H1837" s="20" t="str">
        <x:v>1000 Operating Cash</x:v>
      </x:c>
      <x:c r="I1837" s="26" t="n">
        <x:v>1900</x:v>
      </x:c>
      <x:c r="J1837" s="26" t="n">
        <x:v>0</x:v>
      </x:c>
      <x:c r="K1837" s="35" t="str">
        <x:v>Receipt allocated to FIN-00914</x:v>
      </x:c>
    </x:row>
    <x:row r="1838">
      <x:c r="A1838" s="20" t="str">
        <x:v>FIN-00915</x:v>
      </x:c>
      <x:c r="B1838" s="32" t="n">
        <x:v>2</x:v>
      </x:c>
      <x:c r="C1838" s="23" t="n">
        <x:v>46695</x:v>
      </x:c>
      <x:c r="D1838" s="23" t="n">
        <x:v>46695</x:v>
      </x:c>
      <x:c r="E1838" s="20" t="str">
        <x:v>P027</x:v>
      </x:c>
      <x:c r="F1838" s="20" t="str">
        <x:v>U034</x:v>
      </x:c>
      <x:c r="G1838" s="20" t="str">
        <x:v>L034</x:v>
      </x:c>
      <x:c r="H1838" s="20" t="str">
        <x:v>1100 Tenant Accounts Receivable</x:v>
      </x:c>
      <x:c r="I1838" s="26" t="n">
        <x:v>0</x:v>
      </x:c>
      <x:c r="J1838" s="26" t="n">
        <x:v>1900</x:v>
      </x:c>
      <x:c r="K1838" s="35" t="str">
        <x:v>Receipt allocated to FIN-00914</x:v>
      </x:c>
    </x:row>
    <x:row r="1839">
      <x:c r="A1839" s="20" t="str">
        <x:v>FIN-00916</x:v>
      </x:c>
      <x:c r="B1839" s="32" t="n">
        <x:v>1</x:v>
      </x:c>
      <x:c r="C1839" s="23" t="n">
        <x:v>46692</x:v>
      </x:c>
      <x:c r="D1839" s="23" t="n">
        <x:v>46692</x:v>
      </x:c>
      <x:c r="E1839" s="20" t="str">
        <x:v>P028</x:v>
      </x:c>
      <x:c r="F1839" s="20" t="str">
        <x:v>U035</x:v>
      </x:c>
      <x:c r="G1839" s="20" t="str">
        <x:v>L035</x:v>
      </x:c>
      <x:c r="H1839" s="20" t="str">
        <x:v>1100 Tenant Accounts Receivable</x:v>
      </x:c>
      <x:c r="I1839" s="26" t="n">
        <x:v>1525</x:v>
      </x:c>
      <x:c r="J1839" s="26" t="n">
        <x:v>0</x:v>
      </x:c>
      <x:c r="K1839" s="35" t="str">
        <x:v>November 2027 rent</x:v>
      </x:c>
    </x:row>
    <x:row r="1840">
      <x:c r="A1840" s="20" t="str">
        <x:v>FIN-00916</x:v>
      </x:c>
      <x:c r="B1840" s="32" t="n">
        <x:v>2</x:v>
      </x:c>
      <x:c r="C1840" s="23" t="n">
        <x:v>46692</x:v>
      </x:c>
      <x:c r="D1840" s="23" t="n">
        <x:v>46692</x:v>
      </x:c>
      <x:c r="E1840" s="20" t="str">
        <x:v>P028</x:v>
      </x:c>
      <x:c r="F1840" s="20" t="str">
        <x:v>U035</x:v>
      </x:c>
      <x:c r="G1840" s="20" t="str">
        <x:v>L035</x:v>
      </x:c>
      <x:c r="H1840" s="20" t="str">
        <x:v>4000 Rental Income</x:v>
      </x:c>
      <x:c r="I1840" s="26" t="n">
        <x:v>0</x:v>
      </x:c>
      <x:c r="J1840" s="26" t="n">
        <x:v>1525</x:v>
      </x:c>
      <x:c r="K1840" s="35" t="str">
        <x:v>November 2027 rent</x:v>
      </x:c>
    </x:row>
    <x:row r="1841">
      <x:c r="A1841" s="20" t="str">
        <x:v>FIN-00917</x:v>
      </x:c>
      <x:c r="B1841" s="32" t="n">
        <x:v>1</x:v>
      </x:c>
      <x:c r="C1841" s="23" t="n">
        <x:v>46696</x:v>
      </x:c>
      <x:c r="D1841" s="23" t="n">
        <x:v>46696</x:v>
      </x:c>
      <x:c r="E1841" s="20" t="str">
        <x:v>P028</x:v>
      </x:c>
      <x:c r="F1841" s="20" t="str">
        <x:v>U035</x:v>
      </x:c>
      <x:c r="G1841" s="20" t="str">
        <x:v>L035</x:v>
      </x:c>
      <x:c r="H1841" s="20" t="str">
        <x:v>1000 Operating Cash</x:v>
      </x:c>
      <x:c r="I1841" s="26" t="n">
        <x:v>1525</x:v>
      </x:c>
      <x:c r="J1841" s="26" t="n">
        <x:v>0</x:v>
      </x:c>
      <x:c r="K1841" s="35" t="str">
        <x:v>Receipt allocated to FIN-00916</x:v>
      </x:c>
    </x:row>
    <x:row r="1842">
      <x:c r="A1842" s="20" t="str">
        <x:v>FIN-00917</x:v>
      </x:c>
      <x:c r="B1842" s="32" t="n">
        <x:v>2</x:v>
      </x:c>
      <x:c r="C1842" s="23" t="n">
        <x:v>46696</x:v>
      </x:c>
      <x:c r="D1842" s="23" t="n">
        <x:v>46696</x:v>
      </x:c>
      <x:c r="E1842" s="20" t="str">
        <x:v>P028</x:v>
      </x:c>
      <x:c r="F1842" s="20" t="str">
        <x:v>U035</x:v>
      </x:c>
      <x:c r="G1842" s="20" t="str">
        <x:v>L035</x:v>
      </x:c>
      <x:c r="H1842" s="20" t="str">
        <x:v>1100 Tenant Accounts Receivable</x:v>
      </x:c>
      <x:c r="I1842" s="26" t="n">
        <x:v>0</x:v>
      </x:c>
      <x:c r="J1842" s="26" t="n">
        <x:v>1525</x:v>
      </x:c>
      <x:c r="K1842" s="35" t="str">
        <x:v>Receipt allocated to FIN-00916</x:v>
      </x:c>
    </x:row>
    <x:row r="1843">
      <x:c r="A1843" s="20" t="str">
        <x:v>FIN-00918</x:v>
      </x:c>
      <x:c r="B1843" s="32" t="n">
        <x:v>1</x:v>
      </x:c>
      <x:c r="C1843" s="23" t="n">
        <x:v>46692</x:v>
      </x:c>
      <x:c r="D1843" s="23" t="n">
        <x:v>46692</x:v>
      </x:c>
      <x:c r="E1843" s="20" t="str">
        <x:v>P028</x:v>
      </x:c>
      <x:c r="F1843" s="20" t="str">
        <x:v>U036</x:v>
      </x:c>
      <x:c r="G1843" s="20" t="str">
        <x:v>L036</x:v>
      </x:c>
      <x:c r="H1843" s="20" t="str">
        <x:v>1100 Tenant Accounts Receivable</x:v>
      </x:c>
      <x:c r="I1843" s="26" t="n">
        <x:v>1150</x:v>
      </x:c>
      <x:c r="J1843" s="26" t="n">
        <x:v>0</x:v>
      </x:c>
      <x:c r="K1843" s="35" t="str">
        <x:v>November 2027 rent</x:v>
      </x:c>
    </x:row>
    <x:row r="1844">
      <x:c r="A1844" s="20" t="str">
        <x:v>FIN-00918</x:v>
      </x:c>
      <x:c r="B1844" s="32" t="n">
        <x:v>2</x:v>
      </x:c>
      <x:c r="C1844" s="23" t="n">
        <x:v>46692</x:v>
      </x:c>
      <x:c r="D1844" s="23" t="n">
        <x:v>46692</x:v>
      </x:c>
      <x:c r="E1844" s="20" t="str">
        <x:v>P028</x:v>
      </x:c>
      <x:c r="F1844" s="20" t="str">
        <x:v>U036</x:v>
      </x:c>
      <x:c r="G1844" s="20" t="str">
        <x:v>L036</x:v>
      </x:c>
      <x:c r="H1844" s="20" t="str">
        <x:v>4000 Rental Income</x:v>
      </x:c>
      <x:c r="I1844" s="26" t="n">
        <x:v>0</x:v>
      </x:c>
      <x:c r="J1844" s="26" t="n">
        <x:v>1150</x:v>
      </x:c>
      <x:c r="K1844" s="35" t="str">
        <x:v>November 2027 rent</x:v>
      </x:c>
    </x:row>
    <x:row r="1845">
      <x:c r="A1845" s="20" t="str">
        <x:v>FIN-00919</x:v>
      </x:c>
      <x:c r="B1845" s="32" t="n">
        <x:v>1</x:v>
      </x:c>
      <x:c r="C1845" s="23" t="n">
        <x:v>46694</x:v>
      </x:c>
      <x:c r="D1845" s="23" t="n">
        <x:v>46694</x:v>
      </x:c>
      <x:c r="E1845" s="20" t="str">
        <x:v>P028</x:v>
      </x:c>
      <x:c r="F1845" s="20" t="str">
        <x:v>U036</x:v>
      </x:c>
      <x:c r="G1845" s="20" t="str">
        <x:v>L036</x:v>
      </x:c>
      <x:c r="H1845" s="20" t="str">
        <x:v>1000 Operating Cash</x:v>
      </x:c>
      <x:c r="I1845" s="26" t="n">
        <x:v>1150</x:v>
      </x:c>
      <x:c r="J1845" s="26" t="n">
        <x:v>0</x:v>
      </x:c>
      <x:c r="K1845" s="35" t="str">
        <x:v>Receipt allocated to FIN-00918</x:v>
      </x:c>
    </x:row>
    <x:row r="1846">
      <x:c r="A1846" s="20" t="str">
        <x:v>FIN-00919</x:v>
      </x:c>
      <x:c r="B1846" s="32" t="n">
        <x:v>2</x:v>
      </x:c>
      <x:c r="C1846" s="23" t="n">
        <x:v>46694</x:v>
      </x:c>
      <x:c r="D1846" s="23" t="n">
        <x:v>46694</x:v>
      </x:c>
      <x:c r="E1846" s="20" t="str">
        <x:v>P028</x:v>
      </x:c>
      <x:c r="F1846" s="20" t="str">
        <x:v>U036</x:v>
      </x:c>
      <x:c r="G1846" s="20" t="str">
        <x:v>L036</x:v>
      </x:c>
      <x:c r="H1846" s="20" t="str">
        <x:v>1100 Tenant Accounts Receivable</x:v>
      </x:c>
      <x:c r="I1846" s="26" t="n">
        <x:v>0</x:v>
      </x:c>
      <x:c r="J1846" s="26" t="n">
        <x:v>1150</x:v>
      </x:c>
      <x:c r="K1846" s="35" t="str">
        <x:v>Receipt allocated to FIN-00918</x:v>
      </x:c>
    </x:row>
    <x:row r="1847">
      <x:c r="A1847" s="20" t="str">
        <x:v>FIN-00920</x:v>
      </x:c>
      <x:c r="B1847" s="32" t="n">
        <x:v>1</x:v>
      </x:c>
      <x:c r="C1847" s="23" t="n">
        <x:v>46692</x:v>
      </x:c>
      <x:c r="D1847" s="23" t="n">
        <x:v>46692</x:v>
      </x:c>
      <x:c r="E1847" s="20" t="str">
        <x:v>P005</x:v>
      </x:c>
      <x:c r="F1847" s="20" t="str">
        <x:v>U005</x:v>
      </x:c>
      <x:c r="G1847" s="20" t="str">
        <x:v>L037</x:v>
      </x:c>
      <x:c r="H1847" s="20" t="str">
        <x:v>1100 Tenant Accounts Receivable</x:v>
      </x:c>
      <x:c r="I1847" s="26" t="n">
        <x:v>1875</x:v>
      </x:c>
      <x:c r="J1847" s="26" t="n">
        <x:v>0</x:v>
      </x:c>
      <x:c r="K1847" s="35" t="str">
        <x:v>November 2027 rent</x:v>
      </x:c>
    </x:row>
    <x:row r="1848">
      <x:c r="A1848" s="20" t="str">
        <x:v>FIN-00920</x:v>
      </x:c>
      <x:c r="B1848" s="32" t="n">
        <x:v>2</x:v>
      </x:c>
      <x:c r="C1848" s="23" t="n">
        <x:v>46692</x:v>
      </x:c>
      <x:c r="D1848" s="23" t="n">
        <x:v>46692</x:v>
      </x:c>
      <x:c r="E1848" s="20" t="str">
        <x:v>P005</x:v>
      </x:c>
      <x:c r="F1848" s="20" t="str">
        <x:v>U005</x:v>
      </x:c>
      <x:c r="G1848" s="20" t="str">
        <x:v>L037</x:v>
      </x:c>
      <x:c r="H1848" s="20" t="str">
        <x:v>4000 Rental Income</x:v>
      </x:c>
      <x:c r="I1848" s="26" t="n">
        <x:v>0</x:v>
      </x:c>
      <x:c r="J1848" s="26" t="n">
        <x:v>1875</x:v>
      </x:c>
      <x:c r="K1848" s="35" t="str">
        <x:v>November 2027 rent</x:v>
      </x:c>
    </x:row>
    <x:row r="1849">
      <x:c r="A1849" s="20" t="str">
        <x:v>FIN-00921</x:v>
      </x:c>
      <x:c r="B1849" s="32" t="n">
        <x:v>1</x:v>
      </x:c>
      <x:c r="C1849" s="23" t="n">
        <x:v>46695</x:v>
      </x:c>
      <x:c r="D1849" s="23" t="n">
        <x:v>46695</x:v>
      </x:c>
      <x:c r="E1849" s="20" t="str">
        <x:v>P005</x:v>
      </x:c>
      <x:c r="F1849" s="20" t="str">
        <x:v>U005</x:v>
      </x:c>
      <x:c r="G1849" s="20" t="str">
        <x:v>L037</x:v>
      </x:c>
      <x:c r="H1849" s="20" t="str">
        <x:v>1000 Operating Cash</x:v>
      </x:c>
      <x:c r="I1849" s="26" t="n">
        <x:v>1875</x:v>
      </x:c>
      <x:c r="J1849" s="26" t="n">
        <x:v>0</x:v>
      </x:c>
      <x:c r="K1849" s="35" t="str">
        <x:v>Receipt allocated to FIN-00920</x:v>
      </x:c>
    </x:row>
    <x:row r="1850">
      <x:c r="A1850" s="20" t="str">
        <x:v>FIN-00921</x:v>
      </x:c>
      <x:c r="B1850" s="32" t="n">
        <x:v>2</x:v>
      </x:c>
      <x:c r="C1850" s="23" t="n">
        <x:v>46695</x:v>
      </x:c>
      <x:c r="D1850" s="23" t="n">
        <x:v>46695</x:v>
      </x:c>
      <x:c r="E1850" s="20" t="str">
        <x:v>P005</x:v>
      </x:c>
      <x:c r="F1850" s="20" t="str">
        <x:v>U005</x:v>
      </x:c>
      <x:c r="G1850" s="20" t="str">
        <x:v>L037</x:v>
      </x:c>
      <x:c r="H1850" s="20" t="str">
        <x:v>1100 Tenant Accounts Receivable</x:v>
      </x:c>
      <x:c r="I1850" s="26" t="n">
        <x:v>0</x:v>
      </x:c>
      <x:c r="J1850" s="26" t="n">
        <x:v>1875</x:v>
      </x:c>
      <x:c r="K1850" s="35" t="str">
        <x:v>Receipt allocated to FIN-00920</x:v>
      </x:c>
    </x:row>
    <x:row r="1851">
      <x:c r="A1851" s="20" t="str">
        <x:v>FIN-00922</x:v>
      </x:c>
      <x:c r="B1851" s="32" t="n">
        <x:v>1</x:v>
      </x:c>
      <x:c r="C1851" s="23" t="n">
        <x:v>46692</x:v>
      </x:c>
      <x:c r="D1851" s="23" t="n">
        <x:v>46692</x:v>
      </x:c>
      <x:c r="E1851" s="20" t="str">
        <x:v>P014</x:v>
      </x:c>
      <x:c r="F1851" s="20" t="str">
        <x:v>U014</x:v>
      </x:c>
      <x:c r="G1851" s="20" t="str">
        <x:v>L038</x:v>
      </x:c>
      <x:c r="H1851" s="20" t="str">
        <x:v>1100 Tenant Accounts Receivable</x:v>
      </x:c>
      <x:c r="I1851" s="26" t="n">
        <x:v>1200</x:v>
      </x:c>
      <x:c r="J1851" s="26" t="n">
        <x:v>0</x:v>
      </x:c>
      <x:c r="K1851" s="35" t="str">
        <x:v>November 2027 rent</x:v>
      </x:c>
    </x:row>
    <x:row r="1852">
      <x:c r="A1852" s="20" t="str">
        <x:v>FIN-00922</x:v>
      </x:c>
      <x:c r="B1852" s="32" t="n">
        <x:v>2</x:v>
      </x:c>
      <x:c r="C1852" s="23" t="n">
        <x:v>46692</x:v>
      </x:c>
      <x:c r="D1852" s="23" t="n">
        <x:v>46692</x:v>
      </x:c>
      <x:c r="E1852" s="20" t="str">
        <x:v>P014</x:v>
      </x:c>
      <x:c r="F1852" s="20" t="str">
        <x:v>U014</x:v>
      </x:c>
      <x:c r="G1852" s="20" t="str">
        <x:v>L038</x:v>
      </x:c>
      <x:c r="H1852" s="20" t="str">
        <x:v>4000 Rental Income</x:v>
      </x:c>
      <x:c r="I1852" s="26" t="n">
        <x:v>0</x:v>
      </x:c>
      <x:c r="J1852" s="26" t="n">
        <x:v>1200</x:v>
      </x:c>
      <x:c r="K1852" s="35" t="str">
        <x:v>November 2027 rent</x:v>
      </x:c>
    </x:row>
    <x:row r="1853">
      <x:c r="A1853" s="20" t="str">
        <x:v>FIN-00923</x:v>
      </x:c>
      <x:c r="B1853" s="32" t="n">
        <x:v>1</x:v>
      </x:c>
      <x:c r="C1853" s="23" t="n">
        <x:v>46696</x:v>
      </x:c>
      <x:c r="D1853" s="23" t="n">
        <x:v>46696</x:v>
      </x:c>
      <x:c r="E1853" s="20" t="str">
        <x:v>P014</x:v>
      </x:c>
      <x:c r="F1853" s="20" t="str">
        <x:v>U014</x:v>
      </x:c>
      <x:c r="G1853" s="20" t="str">
        <x:v>L038</x:v>
      </x:c>
      <x:c r="H1853" s="20" t="str">
        <x:v>1000 Operating Cash</x:v>
      </x:c>
      <x:c r="I1853" s="26" t="n">
        <x:v>1200</x:v>
      </x:c>
      <x:c r="J1853" s="26" t="n">
        <x:v>0</x:v>
      </x:c>
      <x:c r="K1853" s="35" t="str">
        <x:v>Receipt allocated to FIN-00922</x:v>
      </x:c>
    </x:row>
    <x:row r="1854">
      <x:c r="A1854" s="20" t="str">
        <x:v>FIN-00923</x:v>
      </x:c>
      <x:c r="B1854" s="32" t="n">
        <x:v>2</x:v>
      </x:c>
      <x:c r="C1854" s="23" t="n">
        <x:v>46696</x:v>
      </x:c>
      <x:c r="D1854" s="23" t="n">
        <x:v>46696</x:v>
      </x:c>
      <x:c r="E1854" s="20" t="str">
        <x:v>P014</x:v>
      </x:c>
      <x:c r="F1854" s="20" t="str">
        <x:v>U014</x:v>
      </x:c>
      <x:c r="G1854" s="20" t="str">
        <x:v>L038</x:v>
      </x:c>
      <x:c r="H1854" s="20" t="str">
        <x:v>1100 Tenant Accounts Receivable</x:v>
      </x:c>
      <x:c r="I1854" s="26" t="n">
        <x:v>0</x:v>
      </x:c>
      <x:c r="J1854" s="26" t="n">
        <x:v>1200</x:v>
      </x:c>
      <x:c r="K1854" s="35" t="str">
        <x:v>Receipt allocated to FIN-00922</x:v>
      </x:c>
    </x:row>
    <x:row r="1855">
      <x:c r="A1855" s="20" t="str">
        <x:v>FIN-00924</x:v>
      </x:c>
      <x:c r="B1855" s="32" t="n">
        <x:v>1</x:v>
      </x:c>
      <x:c r="C1855" s="23" t="n">
        <x:v>46692</x:v>
      </x:c>
      <x:c r="D1855" s="23" t="n">
        <x:v>46692</x:v>
      </x:c>
      <x:c r="E1855" s="20" t="str">
        <x:v>P017</x:v>
      </x:c>
      <x:c r="F1855" s="20" t="str">
        <x:v>U017</x:v>
      </x:c>
      <x:c r="G1855" s="20" t="str">
        <x:v>L039</x:v>
      </x:c>
      <x:c r="H1855" s="20" t="str">
        <x:v>1100 Tenant Accounts Receivable</x:v>
      </x:c>
      <x:c r="I1855" s="26" t="n">
        <x:v>1875</x:v>
      </x:c>
      <x:c r="J1855" s="26" t="n">
        <x:v>0</x:v>
      </x:c>
      <x:c r="K1855" s="35" t="str">
        <x:v>November 2027 rent</x:v>
      </x:c>
    </x:row>
    <x:row r="1856">
      <x:c r="A1856" s="20" t="str">
        <x:v>FIN-00924</x:v>
      </x:c>
      <x:c r="B1856" s="32" t="n">
        <x:v>2</x:v>
      </x:c>
      <x:c r="C1856" s="23" t="n">
        <x:v>46692</x:v>
      </x:c>
      <x:c r="D1856" s="23" t="n">
        <x:v>46692</x:v>
      </x:c>
      <x:c r="E1856" s="20" t="str">
        <x:v>P017</x:v>
      </x:c>
      <x:c r="F1856" s="20" t="str">
        <x:v>U017</x:v>
      </x:c>
      <x:c r="G1856" s="20" t="str">
        <x:v>L039</x:v>
      </x:c>
      <x:c r="H1856" s="20" t="str">
        <x:v>4000 Rental Income</x:v>
      </x:c>
      <x:c r="I1856" s="26" t="n">
        <x:v>0</x:v>
      </x:c>
      <x:c r="J1856" s="26" t="n">
        <x:v>1875</x:v>
      </x:c>
      <x:c r="K1856" s="35" t="str">
        <x:v>November 2027 rent</x:v>
      </x:c>
    </x:row>
    <x:row r="1857">
      <x:c r="A1857" s="20" t="str">
        <x:v>FIN-00925</x:v>
      </x:c>
      <x:c r="B1857" s="32" t="n">
        <x:v>1</x:v>
      </x:c>
      <x:c r="C1857" s="23" t="n">
        <x:v>46697</x:v>
      </x:c>
      <x:c r="D1857" s="23" t="n">
        <x:v>46697</x:v>
      </x:c>
      <x:c r="E1857" s="20" t="str">
        <x:v>P017</x:v>
      </x:c>
      <x:c r="F1857" s="20" t="str">
        <x:v>U017</x:v>
      </x:c>
      <x:c r="G1857" s="20" t="str">
        <x:v>L039</x:v>
      </x:c>
      <x:c r="H1857" s="20" t="str">
        <x:v>1100 Tenant Accounts Receivable</x:v>
      </x:c>
      <x:c r="I1857" s="26" t="n">
        <x:v>50</x:v>
      </x:c>
      <x:c r="J1857" s="26" t="n">
        <x:v>0</x:v>
      </x:c>
      <x:c r="K1857" s="35" t="str">
        <x:v>Synthetic lease-authorized late fee</x:v>
      </x:c>
    </x:row>
    <x:row r="1858">
      <x:c r="A1858" s="20" t="str">
        <x:v>FIN-00925</x:v>
      </x:c>
      <x:c r="B1858" s="32" t="n">
        <x:v>2</x:v>
      </x:c>
      <x:c r="C1858" s="23" t="n">
        <x:v>46697</x:v>
      </x:c>
      <x:c r="D1858" s="23" t="n">
        <x:v>46697</x:v>
      </x:c>
      <x:c r="E1858" s="20" t="str">
        <x:v>P017</x:v>
      </x:c>
      <x:c r="F1858" s="20" t="str">
        <x:v>U017</x:v>
      </x:c>
      <x:c r="G1858" s="20" t="str">
        <x:v>L039</x:v>
      </x:c>
      <x:c r="H1858" s="20" t="str">
        <x:v>4010 Late Fee Income</x:v>
      </x:c>
      <x:c r="I1858" s="26" t="n">
        <x:v>0</x:v>
      </x:c>
      <x:c r="J1858" s="26" t="n">
        <x:v>50</x:v>
      </x:c>
      <x:c r="K1858" s="35" t="str">
        <x:v>Synthetic lease-authorized late fee</x:v>
      </x:c>
    </x:row>
    <x:row r="1859">
      <x:c r="A1859" s="20" t="str">
        <x:v>FIN-00926</x:v>
      </x:c>
      <x:c r="B1859" s="32" t="n">
        <x:v>1</x:v>
      </x:c>
      <x:c r="C1859" s="23" t="n">
        <x:v>46699</x:v>
      </x:c>
      <x:c r="D1859" s="23" t="n">
        <x:v>46699</x:v>
      </x:c>
      <x:c r="E1859" s="20" t="str">
        <x:v>P017</x:v>
      </x:c>
      <x:c r="F1859" s="20" t="str">
        <x:v>U017</x:v>
      </x:c>
      <x:c r="G1859" s="20" t="str">
        <x:v>L039</x:v>
      </x:c>
      <x:c r="H1859" s="20" t="str">
        <x:v>1000 Operating Cash</x:v>
      </x:c>
      <x:c r="I1859" s="26" t="n">
        <x:v>1925</x:v>
      </x:c>
      <x:c r="J1859" s="26" t="n">
        <x:v>0</x:v>
      </x:c>
      <x:c r="K1859" s="35" t="str">
        <x:v>Receipt allocated to FIN-00925</x:v>
      </x:c>
    </x:row>
    <x:row r="1860">
      <x:c r="A1860" s="20" t="str">
        <x:v>FIN-00926</x:v>
      </x:c>
      <x:c r="B1860" s="32" t="n">
        <x:v>2</x:v>
      </x:c>
      <x:c r="C1860" s="23" t="n">
        <x:v>46699</x:v>
      </x:c>
      <x:c r="D1860" s="23" t="n">
        <x:v>46699</x:v>
      </x:c>
      <x:c r="E1860" s="20" t="str">
        <x:v>P017</x:v>
      </x:c>
      <x:c r="F1860" s="20" t="str">
        <x:v>U017</x:v>
      </x:c>
      <x:c r="G1860" s="20" t="str">
        <x:v>L039</x:v>
      </x:c>
      <x:c r="H1860" s="20" t="str">
        <x:v>1100 Tenant Accounts Receivable</x:v>
      </x:c>
      <x:c r="I1860" s="26" t="n">
        <x:v>0</x:v>
      </x:c>
      <x:c r="J1860" s="26" t="n">
        <x:v>1925</x:v>
      </x:c>
      <x:c r="K1860" s="35" t="str">
        <x:v>Receipt allocated to FIN-00925</x:v>
      </x:c>
    </x:row>
    <x:row r="1861">
      <x:c r="A1861" s="20" t="str">
        <x:v>FIN-00927</x:v>
      </x:c>
      <x:c r="B1861" s="32" t="n">
        <x:v>1</x:v>
      </x:c>
      <x:c r="C1861" s="23" t="n">
        <x:v>46692</x:v>
      </x:c>
      <x:c r="D1861" s="23" t="n">
        <x:v>46692</x:v>
      </x:c>
      <x:c r="E1861" s="20" t="str">
        <x:v>P021</x:v>
      </x:c>
      <x:c r="F1861" s="20" t="str">
        <x:v>U022</x:v>
      </x:c>
      <x:c r="G1861" s="20" t="str">
        <x:v>L040</x:v>
      </x:c>
      <x:c r="H1861" s="20" t="str">
        <x:v>1100 Tenant Accounts Receivable</x:v>
      </x:c>
      <x:c r="I1861" s="26" t="n">
        <x:v>1900</x:v>
      </x:c>
      <x:c r="J1861" s="26" t="n">
        <x:v>0</x:v>
      </x:c>
      <x:c r="K1861" s="35" t="str">
        <x:v>November 2027 rent</x:v>
      </x:c>
    </x:row>
    <x:row r="1862">
      <x:c r="A1862" s="20" t="str">
        <x:v>FIN-00927</x:v>
      </x:c>
      <x:c r="B1862" s="32" t="n">
        <x:v>2</x:v>
      </x:c>
      <x:c r="C1862" s="23" t="n">
        <x:v>46692</x:v>
      </x:c>
      <x:c r="D1862" s="23" t="n">
        <x:v>46692</x:v>
      </x:c>
      <x:c r="E1862" s="20" t="str">
        <x:v>P021</x:v>
      </x:c>
      <x:c r="F1862" s="20" t="str">
        <x:v>U022</x:v>
      </x:c>
      <x:c r="G1862" s="20" t="str">
        <x:v>L040</x:v>
      </x:c>
      <x:c r="H1862" s="20" t="str">
        <x:v>4000 Rental Income</x:v>
      </x:c>
      <x:c r="I1862" s="26" t="n">
        <x:v>0</x:v>
      </x:c>
      <x:c r="J1862" s="26" t="n">
        <x:v>1900</x:v>
      </x:c>
      <x:c r="K1862" s="35" t="str">
        <x:v>November 2027 rent</x:v>
      </x:c>
    </x:row>
    <x:row r="1863">
      <x:c r="A1863" s="20" t="str">
        <x:v>FIN-00928</x:v>
      </x:c>
      <x:c r="B1863" s="32" t="n">
        <x:v>1</x:v>
      </x:c>
      <x:c r="C1863" s="23" t="n">
        <x:v>46695</x:v>
      </x:c>
      <x:c r="D1863" s="23" t="n">
        <x:v>46695</x:v>
      </x:c>
      <x:c r="E1863" s="20" t="str">
        <x:v>P021</x:v>
      </x:c>
      <x:c r="F1863" s="20" t="str">
        <x:v>U022</x:v>
      </x:c>
      <x:c r="G1863" s="20" t="str">
        <x:v>L040</x:v>
      </x:c>
      <x:c r="H1863" s="20" t="str">
        <x:v>1000 Operating Cash</x:v>
      </x:c>
      <x:c r="I1863" s="26" t="n">
        <x:v>1900</x:v>
      </x:c>
      <x:c r="J1863" s="26" t="n">
        <x:v>0</x:v>
      </x:c>
      <x:c r="K1863" s="35" t="str">
        <x:v>Receipt allocated to FIN-00927</x:v>
      </x:c>
    </x:row>
    <x:row r="1864">
      <x:c r="A1864" s="20" t="str">
        <x:v>FIN-00928</x:v>
      </x:c>
      <x:c r="B1864" s="32" t="n">
        <x:v>2</x:v>
      </x:c>
      <x:c r="C1864" s="23" t="n">
        <x:v>46695</x:v>
      </x:c>
      <x:c r="D1864" s="23" t="n">
        <x:v>46695</x:v>
      </x:c>
      <x:c r="E1864" s="20" t="str">
        <x:v>P021</x:v>
      </x:c>
      <x:c r="F1864" s="20" t="str">
        <x:v>U022</x:v>
      </x:c>
      <x:c r="G1864" s="20" t="str">
        <x:v>L040</x:v>
      </x:c>
      <x:c r="H1864" s="20" t="str">
        <x:v>1100 Tenant Accounts Receivable</x:v>
      </x:c>
      <x:c r="I1864" s="26" t="n">
        <x:v>0</x:v>
      </x:c>
      <x:c r="J1864" s="26" t="n">
        <x:v>1900</x:v>
      </x:c>
      <x:c r="K1864" s="35" t="str">
        <x:v>Receipt allocated to FIN-00927</x:v>
      </x:c>
    </x:row>
    <x:row r="1865">
      <x:c r="A1865" s="20" t="str">
        <x:v>FIN-00929</x:v>
      </x:c>
      <x:c r="B1865" s="32" t="n">
        <x:v>1</x:v>
      </x:c>
      <x:c r="C1865" s="23" t="n">
        <x:v>46692</x:v>
      </x:c>
      <x:c r="D1865" s="23" t="n">
        <x:v>46692</x:v>
      </x:c>
      <x:c r="E1865" s="20" t="str">
        <x:v>P030</x:v>
      </x:c>
      <x:c r="F1865" s="20" t="str">
        <x:v>U040</x:v>
      </x:c>
      <x:c r="G1865" s="20" t="str">
        <x:v>L041</x:v>
      </x:c>
      <x:c r="H1865" s="20" t="str">
        <x:v>1100 Tenant Accounts Receivable</x:v>
      </x:c>
      <x:c r="I1865" s="26" t="n">
        <x:v>1450</x:v>
      </x:c>
      <x:c r="J1865" s="26" t="n">
        <x:v>0</x:v>
      </x:c>
      <x:c r="K1865" s="35" t="str">
        <x:v>November 2027 rent</x:v>
      </x:c>
    </x:row>
    <x:row r="1866">
      <x:c r="A1866" s="20" t="str">
        <x:v>FIN-00929</x:v>
      </x:c>
      <x:c r="B1866" s="32" t="n">
        <x:v>2</x:v>
      </x:c>
      <x:c r="C1866" s="23" t="n">
        <x:v>46692</x:v>
      </x:c>
      <x:c r="D1866" s="23" t="n">
        <x:v>46692</x:v>
      </x:c>
      <x:c r="E1866" s="20" t="str">
        <x:v>P030</x:v>
      </x:c>
      <x:c r="F1866" s="20" t="str">
        <x:v>U040</x:v>
      </x:c>
      <x:c r="G1866" s="20" t="str">
        <x:v>L041</x:v>
      </x:c>
      <x:c r="H1866" s="20" t="str">
        <x:v>4000 Rental Income</x:v>
      </x:c>
      <x:c r="I1866" s="26" t="n">
        <x:v>0</x:v>
      </x:c>
      <x:c r="J1866" s="26" t="n">
        <x:v>1450</x:v>
      </x:c>
      <x:c r="K1866" s="35" t="str">
        <x:v>November 2027 rent</x:v>
      </x:c>
    </x:row>
    <x:row r="1867">
      <x:c r="A1867" s="20" t="str">
        <x:v>FIN-00930</x:v>
      </x:c>
      <x:c r="B1867" s="32" t="n">
        <x:v>1</x:v>
      </x:c>
      <x:c r="C1867" s="23" t="n">
        <x:v>46696</x:v>
      </x:c>
      <x:c r="D1867" s="23" t="n">
        <x:v>46696</x:v>
      </x:c>
      <x:c r="E1867" s="20" t="str">
        <x:v>P030</x:v>
      </x:c>
      <x:c r="F1867" s="20" t="str">
        <x:v>U040</x:v>
      </x:c>
      <x:c r="G1867" s="20" t="str">
        <x:v>L041</x:v>
      </x:c>
      <x:c r="H1867" s="20" t="str">
        <x:v>1000 Operating Cash</x:v>
      </x:c>
      <x:c r="I1867" s="26" t="n">
        <x:v>1450</x:v>
      </x:c>
      <x:c r="J1867" s="26" t="n">
        <x:v>0</x:v>
      </x:c>
      <x:c r="K1867" s="35" t="str">
        <x:v>Receipt allocated to FIN-00929</x:v>
      </x:c>
    </x:row>
    <x:row r="1868">
      <x:c r="A1868" s="20" t="str">
        <x:v>FIN-00930</x:v>
      </x:c>
      <x:c r="B1868" s="32" t="n">
        <x:v>2</x:v>
      </x:c>
      <x:c r="C1868" s="23" t="n">
        <x:v>46696</x:v>
      </x:c>
      <x:c r="D1868" s="23" t="n">
        <x:v>46696</x:v>
      </x:c>
      <x:c r="E1868" s="20" t="str">
        <x:v>P030</x:v>
      </x:c>
      <x:c r="F1868" s="20" t="str">
        <x:v>U040</x:v>
      </x:c>
      <x:c r="G1868" s="20" t="str">
        <x:v>L041</x:v>
      </x:c>
      <x:c r="H1868" s="20" t="str">
        <x:v>1100 Tenant Accounts Receivable</x:v>
      </x:c>
      <x:c r="I1868" s="26" t="n">
        <x:v>0</x:v>
      </x:c>
      <x:c r="J1868" s="26" t="n">
        <x:v>1450</x:v>
      </x:c>
      <x:c r="K1868" s="35" t="str">
        <x:v>Receipt allocated to FIN-00929</x:v>
      </x:c>
    </x:row>
    <x:row r="1869">
      <x:c r="A1869" s="20" t="str">
        <x:v>FIN-00931</x:v>
      </x:c>
      <x:c r="B1869" s="32" t="n">
        <x:v>1</x:v>
      </x:c>
      <x:c r="C1869" s="23" t="n">
        <x:v>46692</x:v>
      </x:c>
      <x:c r="D1869" s="23" t="n">
        <x:v>46692</x:v>
      </x:c>
      <x:c r="E1869" s="20" t="str">
        <x:v>P029</x:v>
      </x:c>
      <x:c r="F1869" s="20" t="str">
        <x:v>U037</x:v>
      </x:c>
      <x:c r="G1869" s="20" t="str">
        <x:v>L043</x:v>
      </x:c>
      <x:c r="H1869" s="20" t="str">
        <x:v>1100 Tenant Accounts Receivable</x:v>
      </x:c>
      <x:c r="I1869" s="26" t="n">
        <x:v>1675</x:v>
      </x:c>
      <x:c r="J1869" s="26" t="n">
        <x:v>0</x:v>
      </x:c>
      <x:c r="K1869" s="35" t="str">
        <x:v>November 2027 rent</x:v>
      </x:c>
    </x:row>
    <x:row r="1870">
      <x:c r="A1870" s="20" t="str">
        <x:v>FIN-00931</x:v>
      </x:c>
      <x:c r="B1870" s="32" t="n">
        <x:v>2</x:v>
      </x:c>
      <x:c r="C1870" s="23" t="n">
        <x:v>46692</x:v>
      </x:c>
      <x:c r="D1870" s="23" t="n">
        <x:v>46692</x:v>
      </x:c>
      <x:c r="E1870" s="20" t="str">
        <x:v>P029</x:v>
      </x:c>
      <x:c r="F1870" s="20" t="str">
        <x:v>U037</x:v>
      </x:c>
      <x:c r="G1870" s="20" t="str">
        <x:v>L043</x:v>
      </x:c>
      <x:c r="H1870" s="20" t="str">
        <x:v>4000 Rental Income</x:v>
      </x:c>
      <x:c r="I1870" s="26" t="n">
        <x:v>0</x:v>
      </x:c>
      <x:c r="J1870" s="26" t="n">
        <x:v>1675</x:v>
      </x:c>
      <x:c r="K1870" s="35" t="str">
        <x:v>November 2027 rent</x:v>
      </x:c>
    </x:row>
    <x:row r="1871">
      <x:c r="A1871" s="20" t="str">
        <x:v>FIN-00932</x:v>
      </x:c>
      <x:c r="B1871" s="32" t="n">
        <x:v>1</x:v>
      </x:c>
      <x:c r="C1871" s="23" t="n">
        <x:v>46695</x:v>
      </x:c>
      <x:c r="D1871" s="23" t="n">
        <x:v>46695</x:v>
      </x:c>
      <x:c r="E1871" s="20" t="str">
        <x:v>P029</x:v>
      </x:c>
      <x:c r="F1871" s="20" t="str">
        <x:v>U037</x:v>
      </x:c>
      <x:c r="G1871" s="20" t="str">
        <x:v>L043</x:v>
      </x:c>
      <x:c r="H1871" s="20" t="str">
        <x:v>1000 Operating Cash</x:v>
      </x:c>
      <x:c r="I1871" s="26" t="n">
        <x:v>1675</x:v>
      </x:c>
      <x:c r="J1871" s="26" t="n">
        <x:v>0</x:v>
      </x:c>
      <x:c r="K1871" s="35" t="str">
        <x:v>Receipt allocated to FIN-00931</x:v>
      </x:c>
    </x:row>
    <x:row r="1872">
      <x:c r="A1872" s="20" t="str">
        <x:v>FIN-00932</x:v>
      </x:c>
      <x:c r="B1872" s="32" t="n">
        <x:v>2</x:v>
      </x:c>
      <x:c r="C1872" s="23" t="n">
        <x:v>46695</x:v>
      </x:c>
      <x:c r="D1872" s="23" t="n">
        <x:v>46695</x:v>
      </x:c>
      <x:c r="E1872" s="20" t="str">
        <x:v>P029</x:v>
      </x:c>
      <x:c r="F1872" s="20" t="str">
        <x:v>U037</x:v>
      </x:c>
      <x:c r="G1872" s="20" t="str">
        <x:v>L043</x:v>
      </x:c>
      <x:c r="H1872" s="20" t="str">
        <x:v>1100 Tenant Accounts Receivable</x:v>
      </x:c>
      <x:c r="I1872" s="26" t="n">
        <x:v>0</x:v>
      </x:c>
      <x:c r="J1872" s="26" t="n">
        <x:v>1675</x:v>
      </x:c>
      <x:c r="K1872" s="35" t="str">
        <x:v>Receipt allocated to FIN-00931</x:v>
      </x:c>
    </x:row>
    <x:row r="1873">
      <x:c r="A1873" s="20" t="str">
        <x:v>FIN-00933</x:v>
      </x:c>
      <x:c r="B1873" s="32" t="n">
        <x:v>1</x:v>
      </x:c>
      <x:c r="C1873" s="23" t="n">
        <x:v>46692</x:v>
      </x:c>
      <x:c r="D1873" s="23" t="n">
        <x:v>46692</x:v>
      </x:c>
      <x:c r="E1873" s="20" t="str">
        <x:v>P029</x:v>
      </x:c>
      <x:c r="F1873" s="20" t="str">
        <x:v>U038</x:v>
      </x:c>
      <x:c r="G1873" s="20" t="str">
        <x:v>L044</x:v>
      </x:c>
      <x:c r="H1873" s="20" t="str">
        <x:v>1100 Tenant Accounts Receivable</x:v>
      </x:c>
      <x:c r="I1873" s="26" t="n">
        <x:v>1300</x:v>
      </x:c>
      <x:c r="J1873" s="26" t="n">
        <x:v>0</x:v>
      </x:c>
      <x:c r="K1873" s="35" t="str">
        <x:v>November 2027 rent</x:v>
      </x:c>
    </x:row>
    <x:row r="1874">
      <x:c r="A1874" s="20" t="str">
        <x:v>FIN-00933</x:v>
      </x:c>
      <x:c r="B1874" s="32" t="n">
        <x:v>2</x:v>
      </x:c>
      <x:c r="C1874" s="23" t="n">
        <x:v>46692</x:v>
      </x:c>
      <x:c r="D1874" s="23" t="n">
        <x:v>46692</x:v>
      </x:c>
      <x:c r="E1874" s="20" t="str">
        <x:v>P029</x:v>
      </x:c>
      <x:c r="F1874" s="20" t="str">
        <x:v>U038</x:v>
      </x:c>
      <x:c r="G1874" s="20" t="str">
        <x:v>L044</x:v>
      </x:c>
      <x:c r="H1874" s="20" t="str">
        <x:v>4000 Rental Income</x:v>
      </x:c>
      <x:c r="I1874" s="26" t="n">
        <x:v>0</x:v>
      </x:c>
      <x:c r="J1874" s="26" t="n">
        <x:v>1300</x:v>
      </x:c>
      <x:c r="K1874" s="35" t="str">
        <x:v>November 2027 rent</x:v>
      </x:c>
    </x:row>
    <x:row r="1875">
      <x:c r="A1875" s="20" t="str">
        <x:v>FIN-00934</x:v>
      </x:c>
      <x:c r="B1875" s="32" t="n">
        <x:v>1</x:v>
      </x:c>
      <x:c r="C1875" s="23" t="n">
        <x:v>46694</x:v>
      </x:c>
      <x:c r="D1875" s="23" t="n">
        <x:v>46694</x:v>
      </x:c>
      <x:c r="E1875" s="20" t="str">
        <x:v>P029</x:v>
      </x:c>
      <x:c r="F1875" s="20" t="str">
        <x:v>U038</x:v>
      </x:c>
      <x:c r="G1875" s="20" t="str">
        <x:v>L044</x:v>
      </x:c>
      <x:c r="H1875" s="20" t="str">
        <x:v>1000 Operating Cash</x:v>
      </x:c>
      <x:c r="I1875" s="26" t="n">
        <x:v>780</x:v>
      </x:c>
      <x:c r="J1875" s="26" t="n">
        <x:v>0</x:v>
      </x:c>
      <x:c r="K1875" s="35" t="str">
        <x:v>Receipt allocated to FIN-00933</x:v>
      </x:c>
    </x:row>
    <x:row r="1876">
      <x:c r="A1876" s="20" t="str">
        <x:v>FIN-00934</x:v>
      </x:c>
      <x:c r="B1876" s="32" t="n">
        <x:v>2</x:v>
      </x:c>
      <x:c r="C1876" s="23" t="n">
        <x:v>46694</x:v>
      </x:c>
      <x:c r="D1876" s="23" t="n">
        <x:v>46694</x:v>
      </x:c>
      <x:c r="E1876" s="20" t="str">
        <x:v>P029</x:v>
      </x:c>
      <x:c r="F1876" s="20" t="str">
        <x:v>U038</x:v>
      </x:c>
      <x:c r="G1876" s="20" t="str">
        <x:v>L044</x:v>
      </x:c>
      <x:c r="H1876" s="20" t="str">
        <x:v>1100 Tenant Accounts Receivable</x:v>
      </x:c>
      <x:c r="I1876" s="26" t="n">
        <x:v>0</x:v>
      </x:c>
      <x:c r="J1876" s="26" t="n">
        <x:v>780</x:v>
      </x:c>
      <x:c r="K1876" s="35" t="str">
        <x:v>Receipt allocated to FIN-00933</x:v>
      </x:c>
    </x:row>
    <x:row r="1877">
      <x:c r="A1877" s="20" t="str">
        <x:v>FIN-00935</x:v>
      </x:c>
      <x:c r="B1877" s="32" t="n">
        <x:v>1</x:v>
      </x:c>
      <x:c r="C1877" s="23" t="n">
        <x:v>46697</x:v>
      </x:c>
      <x:c r="D1877" s="23" t="n">
        <x:v>46697</x:v>
      </x:c>
      <x:c r="E1877" s="20" t="str">
        <x:v>P029</x:v>
      </x:c>
      <x:c r="F1877" s="20" t="str">
        <x:v>U038</x:v>
      </x:c>
      <x:c r="G1877" s="20" t="str">
        <x:v>L044</x:v>
      </x:c>
      <x:c r="H1877" s="20" t="str">
        <x:v>1100 Tenant Accounts Receivable</x:v>
      </x:c>
      <x:c r="I1877" s="26" t="n">
        <x:v>50</x:v>
      </x:c>
      <x:c r="J1877" s="26" t="n">
        <x:v>0</x:v>
      </x:c>
      <x:c r="K1877" s="35" t="str">
        <x:v>Synthetic lease-authorized late fee after partial payment</x:v>
      </x:c>
    </x:row>
    <x:row r="1878">
      <x:c r="A1878" s="20" t="str">
        <x:v>FIN-00935</x:v>
      </x:c>
      <x:c r="B1878" s="32" t="n">
        <x:v>2</x:v>
      </x:c>
      <x:c r="C1878" s="23" t="n">
        <x:v>46697</x:v>
      </x:c>
      <x:c r="D1878" s="23" t="n">
        <x:v>46697</x:v>
      </x:c>
      <x:c r="E1878" s="20" t="str">
        <x:v>P029</x:v>
      </x:c>
      <x:c r="F1878" s="20" t="str">
        <x:v>U038</x:v>
      </x:c>
      <x:c r="G1878" s="20" t="str">
        <x:v>L044</x:v>
      </x:c>
      <x:c r="H1878" s="20" t="str">
        <x:v>4010 Late Fee Income</x:v>
      </x:c>
      <x:c r="I1878" s="26" t="n">
        <x:v>0</x:v>
      </x:c>
      <x:c r="J1878" s="26" t="n">
        <x:v>50</x:v>
      </x:c>
      <x:c r="K1878" s="35" t="str">
        <x:v>Synthetic lease-authorized late fee after partial payment</x:v>
      </x:c>
    </x:row>
    <x:row r="1879">
      <x:c r="A1879" s="20" t="str">
        <x:v>FIN-00936</x:v>
      </x:c>
      <x:c r="B1879" s="32" t="n">
        <x:v>1</x:v>
      </x:c>
      <x:c r="C1879" s="23" t="n">
        <x:v>46703</x:v>
      </x:c>
      <x:c r="D1879" s="23" t="n">
        <x:v>46703</x:v>
      </x:c>
      <x:c r="E1879" s="20" t="str">
        <x:v>P029</x:v>
      </x:c>
      <x:c r="F1879" s="20" t="str">
        <x:v>U038</x:v>
      </x:c>
      <x:c r="G1879" s="20" t="str">
        <x:v>L044</x:v>
      </x:c>
      <x:c r="H1879" s="20" t="str">
        <x:v>1000 Operating Cash</x:v>
      </x:c>
      <x:c r="I1879" s="26" t="n">
        <x:v>570</x:v>
      </x:c>
      <x:c r="J1879" s="26" t="n">
        <x:v>0</x:v>
      </x:c>
      <x:c r="K1879" s="35" t="str">
        <x:v>Receipt allocated to FIN-00935</x:v>
      </x:c>
    </x:row>
    <x:row r="1880">
      <x:c r="A1880" s="20" t="str">
        <x:v>FIN-00936</x:v>
      </x:c>
      <x:c r="B1880" s="32" t="n">
        <x:v>2</x:v>
      </x:c>
      <x:c r="C1880" s="23" t="n">
        <x:v>46703</x:v>
      </x:c>
      <x:c r="D1880" s="23" t="n">
        <x:v>46703</x:v>
      </x:c>
      <x:c r="E1880" s="20" t="str">
        <x:v>P029</x:v>
      </x:c>
      <x:c r="F1880" s="20" t="str">
        <x:v>U038</x:v>
      </x:c>
      <x:c r="G1880" s="20" t="str">
        <x:v>L044</x:v>
      </x:c>
      <x:c r="H1880" s="20" t="str">
        <x:v>1100 Tenant Accounts Receivable</x:v>
      </x:c>
      <x:c r="I1880" s="26" t="n">
        <x:v>0</x:v>
      </x:c>
      <x:c r="J1880" s="26" t="n">
        <x:v>570</x:v>
      </x:c>
      <x:c r="K1880" s="35" t="str">
        <x:v>Receipt allocated to FIN-00935</x:v>
      </x:c>
    </x:row>
    <x:row r="1881">
      <x:c r="A1881" s="20" t="str">
        <x:v>FIN-00937</x:v>
      </x:c>
      <x:c r="B1881" s="32" t="n">
        <x:v>1</x:v>
      </x:c>
      <x:c r="C1881" s="23" t="n">
        <x:v>46692</x:v>
      </x:c>
      <x:c r="D1881" s="23" t="n">
        <x:v>46692</x:v>
      </x:c>
      <x:c r="E1881" s="20" t="str">
        <x:v>P030</x:v>
      </x:c>
      <x:c r="F1881" s="20" t="str">
        <x:v>U039</x:v>
      </x:c>
      <x:c r="G1881" s="20" t="str">
        <x:v>L045</x:v>
      </x:c>
      <x:c r="H1881" s="20" t="str">
        <x:v>1100 Tenant Accounts Receivable</x:v>
      </x:c>
      <x:c r="I1881" s="26" t="n">
        <x:v>1825</x:v>
      </x:c>
      <x:c r="J1881" s="26" t="n">
        <x:v>0</x:v>
      </x:c>
      <x:c r="K1881" s="35" t="str">
        <x:v>November 2027 rent</x:v>
      </x:c>
    </x:row>
    <x:row r="1882">
      <x:c r="A1882" s="20" t="str">
        <x:v>FIN-00937</x:v>
      </x:c>
      <x:c r="B1882" s="32" t="n">
        <x:v>2</x:v>
      </x:c>
      <x:c r="C1882" s="23" t="n">
        <x:v>46692</x:v>
      </x:c>
      <x:c r="D1882" s="23" t="n">
        <x:v>46692</x:v>
      </x:c>
      <x:c r="E1882" s="20" t="str">
        <x:v>P030</x:v>
      </x:c>
      <x:c r="F1882" s="20" t="str">
        <x:v>U039</x:v>
      </x:c>
      <x:c r="G1882" s="20" t="str">
        <x:v>L045</x:v>
      </x:c>
      <x:c r="H1882" s="20" t="str">
        <x:v>4000 Rental Income</x:v>
      </x:c>
      <x:c r="I1882" s="26" t="n">
        <x:v>0</x:v>
      </x:c>
      <x:c r="J1882" s="26" t="n">
        <x:v>1825</x:v>
      </x:c>
      <x:c r="K1882" s="35" t="str">
        <x:v>November 2027 rent</x:v>
      </x:c>
    </x:row>
    <x:row r="1883">
      <x:c r="A1883" s="20" t="str">
        <x:v>FIN-00938</x:v>
      </x:c>
      <x:c r="B1883" s="32" t="n">
        <x:v>1</x:v>
      </x:c>
      <x:c r="C1883" s="23" t="n">
        <x:v>46694</x:v>
      </x:c>
      <x:c r="D1883" s="23" t="n">
        <x:v>46694</x:v>
      </x:c>
      <x:c r="E1883" s="20" t="str">
        <x:v>P030</x:v>
      </x:c>
      <x:c r="F1883" s="20" t="str">
        <x:v>U039</x:v>
      </x:c>
      <x:c r="G1883" s="20" t="str">
        <x:v>L045</x:v>
      </x:c>
      <x:c r="H1883" s="20" t="str">
        <x:v>1000 Operating Cash</x:v>
      </x:c>
      <x:c r="I1883" s="26" t="n">
        <x:v>1825</x:v>
      </x:c>
      <x:c r="J1883" s="26" t="n">
        <x:v>0</x:v>
      </x:c>
      <x:c r="K1883" s="35" t="str">
        <x:v>Receipt allocated to FIN-00937</x:v>
      </x:c>
    </x:row>
    <x:row r="1884">
      <x:c r="A1884" s="20" t="str">
        <x:v>FIN-00938</x:v>
      </x:c>
      <x:c r="B1884" s="32" t="n">
        <x:v>2</x:v>
      </x:c>
      <x:c r="C1884" s="23" t="n">
        <x:v>46694</x:v>
      </x:c>
      <x:c r="D1884" s="23" t="n">
        <x:v>46694</x:v>
      </x:c>
      <x:c r="E1884" s="20" t="str">
        <x:v>P030</x:v>
      </x:c>
      <x:c r="F1884" s="20" t="str">
        <x:v>U039</x:v>
      </x:c>
      <x:c r="G1884" s="20" t="str">
        <x:v>L045</x:v>
      </x:c>
      <x:c r="H1884" s="20" t="str">
        <x:v>1100 Tenant Accounts Receivable</x:v>
      </x:c>
      <x:c r="I1884" s="26" t="n">
        <x:v>0</x:v>
      </x:c>
      <x:c r="J1884" s="26" t="n">
        <x:v>1825</x:v>
      </x:c>
      <x:c r="K1884" s="35" t="str">
        <x:v>Receipt allocated to FIN-00937</x:v>
      </x:c>
    </x:row>
    <x:row r="1885">
      <x:c r="A1885" s="20" t="str">
        <x:v>FIN-00939</x:v>
      </x:c>
      <x:c r="B1885" s="32" t="n">
        <x:v>1</x:v>
      </x:c>
      <x:c r="C1885" s="23" t="n">
        <x:v>46722</x:v>
      </x:c>
      <x:c r="D1885" s="23" t="n">
        <x:v>46722</x:v>
      </x:c>
      <x:c r="E1885" s="20" t="str">
        <x:v>P001</x:v>
      </x:c>
      <x:c r="F1885" s="20" t="str">
        <x:v>U001</x:v>
      </x:c>
      <x:c r="G1885" s="20" t="str">
        <x:v>L001</x:v>
      </x:c>
      <x:c r="H1885" s="20" t="str">
        <x:v>1100 Tenant Accounts Receivable</x:v>
      </x:c>
      <x:c r="I1885" s="26" t="n">
        <x:v>1575</x:v>
      </x:c>
      <x:c r="J1885" s="26" t="n">
        <x:v>0</x:v>
      </x:c>
      <x:c r="K1885" s="35" t="str">
        <x:v>December 2027 rent</x:v>
      </x:c>
    </x:row>
    <x:row r="1886">
      <x:c r="A1886" s="20" t="str">
        <x:v>FIN-00939</x:v>
      </x:c>
      <x:c r="B1886" s="32" t="n">
        <x:v>2</x:v>
      </x:c>
      <x:c r="C1886" s="23" t="n">
        <x:v>46722</x:v>
      </x:c>
      <x:c r="D1886" s="23" t="n">
        <x:v>46722</x:v>
      </x:c>
      <x:c r="E1886" s="20" t="str">
        <x:v>P001</x:v>
      </x:c>
      <x:c r="F1886" s="20" t="str">
        <x:v>U001</x:v>
      </x:c>
      <x:c r="G1886" s="20" t="str">
        <x:v>L001</x:v>
      </x:c>
      <x:c r="H1886" s="20" t="str">
        <x:v>4000 Rental Income</x:v>
      </x:c>
      <x:c r="I1886" s="26" t="n">
        <x:v>0</x:v>
      </x:c>
      <x:c r="J1886" s="26" t="n">
        <x:v>1575</x:v>
      </x:c>
      <x:c r="K1886" s="35" t="str">
        <x:v>December 2027 rent</x:v>
      </x:c>
    </x:row>
    <x:row r="1887">
      <x:c r="A1887" s="20" t="str">
        <x:v>FIN-00940</x:v>
      </x:c>
      <x:c r="B1887" s="32" t="n">
        <x:v>1</x:v>
      </x:c>
      <x:c r="C1887" s="23" t="n">
        <x:v>46725</x:v>
      </x:c>
      <x:c r="D1887" s="23" t="n">
        <x:v>46725</x:v>
      </x:c>
      <x:c r="E1887" s="20" t="str">
        <x:v>P001</x:v>
      </x:c>
      <x:c r="F1887" s="20" t="str">
        <x:v>U001</x:v>
      </x:c>
      <x:c r="G1887" s="20" t="str">
        <x:v>L001</x:v>
      </x:c>
      <x:c r="H1887" s="20" t="str">
        <x:v>1000 Operating Cash</x:v>
      </x:c>
      <x:c r="I1887" s="26" t="n">
        <x:v>1575</x:v>
      </x:c>
      <x:c r="J1887" s="26" t="n">
        <x:v>0</x:v>
      </x:c>
      <x:c r="K1887" s="35" t="str">
        <x:v>Receipt allocated to FIN-00939</x:v>
      </x:c>
    </x:row>
    <x:row r="1888">
      <x:c r="A1888" s="20" t="str">
        <x:v>FIN-00940</x:v>
      </x:c>
      <x:c r="B1888" s="32" t="n">
        <x:v>2</x:v>
      </x:c>
      <x:c r="C1888" s="23" t="n">
        <x:v>46725</x:v>
      </x:c>
      <x:c r="D1888" s="23" t="n">
        <x:v>46725</x:v>
      </x:c>
      <x:c r="E1888" s="20" t="str">
        <x:v>P001</x:v>
      </x:c>
      <x:c r="F1888" s="20" t="str">
        <x:v>U001</x:v>
      </x:c>
      <x:c r="G1888" s="20" t="str">
        <x:v>L001</x:v>
      </x:c>
      <x:c r="H1888" s="20" t="str">
        <x:v>1100 Tenant Accounts Receivable</x:v>
      </x:c>
      <x:c r="I1888" s="26" t="n">
        <x:v>0</x:v>
      </x:c>
      <x:c r="J1888" s="26" t="n">
        <x:v>1575</x:v>
      </x:c>
      <x:c r="K1888" s="35" t="str">
        <x:v>Receipt allocated to FIN-00939</x:v>
      </x:c>
    </x:row>
    <x:row r="1889">
      <x:c r="A1889" s="20" t="str">
        <x:v>FIN-00941</x:v>
      </x:c>
      <x:c r="B1889" s="32" t="n">
        <x:v>1</x:v>
      </x:c>
      <x:c r="C1889" s="23" t="n">
        <x:v>46722</x:v>
      </x:c>
      <x:c r="D1889" s="23" t="n">
        <x:v>46722</x:v>
      </x:c>
      <x:c r="E1889" s="20" t="str">
        <x:v>P002</x:v>
      </x:c>
      <x:c r="F1889" s="20" t="str">
        <x:v>U002</x:v>
      </x:c>
      <x:c r="G1889" s="20" t="str">
        <x:v>L002</x:v>
      </x:c>
      <x:c r="H1889" s="20" t="str">
        <x:v>1100 Tenant Accounts Receivable</x:v>
      </x:c>
      <x:c r="I1889" s="26" t="n">
        <x:v>1200</x:v>
      </x:c>
      <x:c r="J1889" s="26" t="n">
        <x:v>0</x:v>
      </x:c>
      <x:c r="K1889" s="35" t="str">
        <x:v>December 2027 rent</x:v>
      </x:c>
    </x:row>
    <x:row r="1890">
      <x:c r="A1890" s="20" t="str">
        <x:v>FIN-00941</x:v>
      </x:c>
      <x:c r="B1890" s="32" t="n">
        <x:v>2</x:v>
      </x:c>
      <x:c r="C1890" s="23" t="n">
        <x:v>46722</x:v>
      </x:c>
      <x:c r="D1890" s="23" t="n">
        <x:v>46722</x:v>
      </x:c>
      <x:c r="E1890" s="20" t="str">
        <x:v>P002</x:v>
      </x:c>
      <x:c r="F1890" s="20" t="str">
        <x:v>U002</x:v>
      </x:c>
      <x:c r="G1890" s="20" t="str">
        <x:v>L002</x:v>
      </x:c>
      <x:c r="H1890" s="20" t="str">
        <x:v>4000 Rental Income</x:v>
      </x:c>
      <x:c r="I1890" s="26" t="n">
        <x:v>0</x:v>
      </x:c>
      <x:c r="J1890" s="26" t="n">
        <x:v>1200</x:v>
      </x:c>
      <x:c r="K1890" s="35" t="str">
        <x:v>December 2027 rent</x:v>
      </x:c>
    </x:row>
    <x:row r="1891">
      <x:c r="A1891" s="20" t="str">
        <x:v>FIN-00942</x:v>
      </x:c>
      <x:c r="B1891" s="32" t="n">
        <x:v>1</x:v>
      </x:c>
      <x:c r="C1891" s="23" t="n">
        <x:v>46726</x:v>
      </x:c>
      <x:c r="D1891" s="23" t="n">
        <x:v>46726</x:v>
      </x:c>
      <x:c r="E1891" s="20" t="str">
        <x:v>P002</x:v>
      </x:c>
      <x:c r="F1891" s="20" t="str">
        <x:v>U002</x:v>
      </x:c>
      <x:c r="G1891" s="20" t="str">
        <x:v>L002</x:v>
      </x:c>
      <x:c r="H1891" s="20" t="str">
        <x:v>1000 Operating Cash</x:v>
      </x:c>
      <x:c r="I1891" s="26" t="n">
        <x:v>1200</x:v>
      </x:c>
      <x:c r="J1891" s="26" t="n">
        <x:v>0</x:v>
      </x:c>
      <x:c r="K1891" s="35" t="str">
        <x:v>Receipt allocated to FIN-00941</x:v>
      </x:c>
    </x:row>
    <x:row r="1892">
      <x:c r="A1892" s="20" t="str">
        <x:v>FIN-00942</x:v>
      </x:c>
      <x:c r="B1892" s="32" t="n">
        <x:v>2</x:v>
      </x:c>
      <x:c r="C1892" s="23" t="n">
        <x:v>46726</x:v>
      </x:c>
      <x:c r="D1892" s="23" t="n">
        <x:v>46726</x:v>
      </x:c>
      <x:c r="E1892" s="20" t="str">
        <x:v>P002</x:v>
      </x:c>
      <x:c r="F1892" s="20" t="str">
        <x:v>U002</x:v>
      </x:c>
      <x:c r="G1892" s="20" t="str">
        <x:v>L002</x:v>
      </x:c>
      <x:c r="H1892" s="20" t="str">
        <x:v>1100 Tenant Accounts Receivable</x:v>
      </x:c>
      <x:c r="I1892" s="26" t="n">
        <x:v>0</x:v>
      </x:c>
      <x:c r="J1892" s="26" t="n">
        <x:v>1200</x:v>
      </x:c>
      <x:c r="K1892" s="35" t="str">
        <x:v>Receipt allocated to FIN-00941</x:v>
      </x:c>
    </x:row>
    <x:row r="1893">
      <x:c r="A1893" s="20" t="str">
        <x:v>FIN-00943</x:v>
      </x:c>
      <x:c r="B1893" s="32" t="n">
        <x:v>1</x:v>
      </x:c>
      <x:c r="C1893" s="23" t="n">
        <x:v>46722</x:v>
      </x:c>
      <x:c r="D1893" s="23" t="n">
        <x:v>46722</x:v>
      </x:c>
      <x:c r="E1893" s="20" t="str">
        <x:v>P004</x:v>
      </x:c>
      <x:c r="F1893" s="20" t="str">
        <x:v>U004</x:v>
      </x:c>
      <x:c r="G1893" s="20" t="str">
        <x:v>L004</x:v>
      </x:c>
      <x:c r="H1893" s="20" t="str">
        <x:v>1100 Tenant Accounts Receivable</x:v>
      </x:c>
      <x:c r="I1893" s="26" t="n">
        <x:v>1350</x:v>
      </x:c>
      <x:c r="J1893" s="26" t="n">
        <x:v>0</x:v>
      </x:c>
      <x:c r="K1893" s="35" t="str">
        <x:v>December 2027 rent</x:v>
      </x:c>
    </x:row>
    <x:row r="1894">
      <x:c r="A1894" s="20" t="str">
        <x:v>FIN-00943</x:v>
      </x:c>
      <x:c r="B1894" s="32" t="n">
        <x:v>2</x:v>
      </x:c>
      <x:c r="C1894" s="23" t="n">
        <x:v>46722</x:v>
      </x:c>
      <x:c r="D1894" s="23" t="n">
        <x:v>46722</x:v>
      </x:c>
      <x:c r="E1894" s="20" t="str">
        <x:v>P004</x:v>
      </x:c>
      <x:c r="F1894" s="20" t="str">
        <x:v>U004</x:v>
      </x:c>
      <x:c r="G1894" s="20" t="str">
        <x:v>L004</x:v>
      </x:c>
      <x:c r="H1894" s="20" t="str">
        <x:v>4000 Rental Income</x:v>
      </x:c>
      <x:c r="I1894" s="26" t="n">
        <x:v>0</x:v>
      </x:c>
      <x:c r="J1894" s="26" t="n">
        <x:v>1350</x:v>
      </x:c>
      <x:c r="K1894" s="35" t="str">
        <x:v>December 2027 rent</x:v>
      </x:c>
    </x:row>
    <x:row r="1895">
      <x:c r="A1895" s="20" t="str">
        <x:v>FIN-00944</x:v>
      </x:c>
      <x:c r="B1895" s="32" t="n">
        <x:v>1</x:v>
      </x:c>
      <x:c r="C1895" s="23" t="n">
        <x:v>46725</x:v>
      </x:c>
      <x:c r="D1895" s="23" t="n">
        <x:v>46725</x:v>
      </x:c>
      <x:c r="E1895" s="20" t="str">
        <x:v>P004</x:v>
      </x:c>
      <x:c r="F1895" s="20" t="str">
        <x:v>U004</x:v>
      </x:c>
      <x:c r="G1895" s="20" t="str">
        <x:v>L004</x:v>
      </x:c>
      <x:c r="H1895" s="20" t="str">
        <x:v>1000 Operating Cash</x:v>
      </x:c>
      <x:c r="I1895" s="26" t="n">
        <x:v>1350</x:v>
      </x:c>
      <x:c r="J1895" s="26" t="n">
        <x:v>0</x:v>
      </x:c>
      <x:c r="K1895" s="35" t="str">
        <x:v>Receipt allocated to FIN-00943</x:v>
      </x:c>
    </x:row>
    <x:row r="1896">
      <x:c r="A1896" s="20" t="str">
        <x:v>FIN-00944</x:v>
      </x:c>
      <x:c r="B1896" s="32" t="n">
        <x:v>2</x:v>
      </x:c>
      <x:c r="C1896" s="23" t="n">
        <x:v>46725</x:v>
      </x:c>
      <x:c r="D1896" s="23" t="n">
        <x:v>46725</x:v>
      </x:c>
      <x:c r="E1896" s="20" t="str">
        <x:v>P004</x:v>
      </x:c>
      <x:c r="F1896" s="20" t="str">
        <x:v>U004</x:v>
      </x:c>
      <x:c r="G1896" s="20" t="str">
        <x:v>L004</x:v>
      </x:c>
      <x:c r="H1896" s="20" t="str">
        <x:v>1100 Tenant Accounts Receivable</x:v>
      </x:c>
      <x:c r="I1896" s="26" t="n">
        <x:v>0</x:v>
      </x:c>
      <x:c r="J1896" s="26" t="n">
        <x:v>1350</x:v>
      </x:c>
      <x:c r="K1896" s="35" t="str">
        <x:v>Receipt allocated to FIN-00943</x:v>
      </x:c>
    </x:row>
    <x:row r="1897">
      <x:c r="A1897" s="20" t="str">
        <x:v>FIN-00945</x:v>
      </x:c>
      <x:c r="B1897" s="32" t="n">
        <x:v>1</x:v>
      </x:c>
      <x:c r="C1897" s="23" t="n">
        <x:v>46722</x:v>
      </x:c>
      <x:c r="D1897" s="23" t="n">
        <x:v>46722</x:v>
      </x:c>
      <x:c r="E1897" s="20" t="str">
        <x:v>P006</x:v>
      </x:c>
      <x:c r="F1897" s="20" t="str">
        <x:v>U006</x:v>
      </x:c>
      <x:c r="G1897" s="20" t="str">
        <x:v>L006</x:v>
      </x:c>
      <x:c r="H1897" s="20" t="str">
        <x:v>1100 Tenant Accounts Receivable</x:v>
      </x:c>
      <x:c r="I1897" s="26" t="n">
        <x:v>1500</x:v>
      </x:c>
      <x:c r="J1897" s="26" t="n">
        <x:v>0</x:v>
      </x:c>
      <x:c r="K1897" s="35" t="str">
        <x:v>December 2027 rent</x:v>
      </x:c>
    </x:row>
    <x:row r="1898">
      <x:c r="A1898" s="20" t="str">
        <x:v>FIN-00945</x:v>
      </x:c>
      <x:c r="B1898" s="32" t="n">
        <x:v>2</x:v>
      </x:c>
      <x:c r="C1898" s="23" t="n">
        <x:v>46722</x:v>
      </x:c>
      <x:c r="D1898" s="23" t="n">
        <x:v>46722</x:v>
      </x:c>
      <x:c r="E1898" s="20" t="str">
        <x:v>P006</x:v>
      </x:c>
      <x:c r="F1898" s="20" t="str">
        <x:v>U006</x:v>
      </x:c>
      <x:c r="G1898" s="20" t="str">
        <x:v>L006</x:v>
      </x:c>
      <x:c r="H1898" s="20" t="str">
        <x:v>4000 Rental Income</x:v>
      </x:c>
      <x:c r="I1898" s="26" t="n">
        <x:v>0</x:v>
      </x:c>
      <x:c r="J1898" s="26" t="n">
        <x:v>1500</x:v>
      </x:c>
      <x:c r="K1898" s="35" t="str">
        <x:v>December 2027 rent</x:v>
      </x:c>
    </x:row>
    <x:row r="1899">
      <x:c r="A1899" s="20" t="str">
        <x:v>FIN-00946</x:v>
      </x:c>
      <x:c r="B1899" s="32" t="n">
        <x:v>1</x:v>
      </x:c>
      <x:c r="C1899" s="23" t="n">
        <x:v>46724</x:v>
      </x:c>
      <x:c r="D1899" s="23" t="n">
        <x:v>46724</x:v>
      </x:c>
      <x:c r="E1899" s="20" t="str">
        <x:v>P006</x:v>
      </x:c>
      <x:c r="F1899" s="20" t="str">
        <x:v>U006</x:v>
      </x:c>
      <x:c r="G1899" s="20" t="str">
        <x:v>L006</x:v>
      </x:c>
      <x:c r="H1899" s="20" t="str">
        <x:v>1000 Operating Cash</x:v>
      </x:c>
      <x:c r="I1899" s="26" t="n">
        <x:v>1500</x:v>
      </x:c>
      <x:c r="J1899" s="26" t="n">
        <x:v>0</x:v>
      </x:c>
      <x:c r="K1899" s="35" t="str">
        <x:v>Receipt allocated to FIN-00945</x:v>
      </x:c>
    </x:row>
    <x:row r="1900">
      <x:c r="A1900" s="20" t="str">
        <x:v>FIN-00946</x:v>
      </x:c>
      <x:c r="B1900" s="32" t="n">
        <x:v>2</x:v>
      </x:c>
      <x:c r="C1900" s="23" t="n">
        <x:v>46724</x:v>
      </x:c>
      <x:c r="D1900" s="23" t="n">
        <x:v>46724</x:v>
      </x:c>
      <x:c r="E1900" s="20" t="str">
        <x:v>P006</x:v>
      </x:c>
      <x:c r="F1900" s="20" t="str">
        <x:v>U006</x:v>
      </x:c>
      <x:c r="G1900" s="20" t="str">
        <x:v>L006</x:v>
      </x:c>
      <x:c r="H1900" s="20" t="str">
        <x:v>1100 Tenant Accounts Receivable</x:v>
      </x:c>
      <x:c r="I1900" s="26" t="n">
        <x:v>0</x:v>
      </x:c>
      <x:c r="J1900" s="26" t="n">
        <x:v>1500</x:v>
      </x:c>
      <x:c r="K1900" s="35" t="str">
        <x:v>Receipt allocated to FIN-00945</x:v>
      </x:c>
    </x:row>
    <x:row r="1901">
      <x:c r="A1901" s="20" t="str">
        <x:v>FIN-00947</x:v>
      </x:c>
      <x:c r="B1901" s="32" t="n">
        <x:v>1</x:v>
      </x:c>
      <x:c r="C1901" s="23" t="n">
        <x:v>46722</x:v>
      </x:c>
      <x:c r="D1901" s="23" t="n">
        <x:v>46722</x:v>
      </x:c>
      <x:c r="E1901" s="20" t="str">
        <x:v>P007</x:v>
      </x:c>
      <x:c r="F1901" s="20" t="str">
        <x:v>U007</x:v>
      </x:c>
      <x:c r="G1901" s="20" t="str">
        <x:v>L007</x:v>
      </x:c>
      <x:c r="H1901" s="20" t="str">
        <x:v>1100 Tenant Accounts Receivable</x:v>
      </x:c>
      <x:c r="I1901" s="26" t="n">
        <x:v>1125</x:v>
      </x:c>
      <x:c r="J1901" s="26" t="n">
        <x:v>0</x:v>
      </x:c>
      <x:c r="K1901" s="35" t="str">
        <x:v>December 2027 rent</x:v>
      </x:c>
    </x:row>
    <x:row r="1902">
      <x:c r="A1902" s="20" t="str">
        <x:v>FIN-00947</x:v>
      </x:c>
      <x:c r="B1902" s="32" t="n">
        <x:v>2</x:v>
      </x:c>
      <x:c r="C1902" s="23" t="n">
        <x:v>46722</x:v>
      </x:c>
      <x:c r="D1902" s="23" t="n">
        <x:v>46722</x:v>
      </x:c>
      <x:c r="E1902" s="20" t="str">
        <x:v>P007</x:v>
      </x:c>
      <x:c r="F1902" s="20" t="str">
        <x:v>U007</x:v>
      </x:c>
      <x:c r="G1902" s="20" t="str">
        <x:v>L007</x:v>
      </x:c>
      <x:c r="H1902" s="20" t="str">
        <x:v>4000 Rental Income</x:v>
      </x:c>
      <x:c r="I1902" s="26" t="n">
        <x:v>0</x:v>
      </x:c>
      <x:c r="J1902" s="26" t="n">
        <x:v>1125</x:v>
      </x:c>
      <x:c r="K1902" s="35" t="str">
        <x:v>December 2027 rent</x:v>
      </x:c>
    </x:row>
    <x:row r="1903">
      <x:c r="A1903" s="20" t="str">
        <x:v>FIN-00948</x:v>
      </x:c>
      <x:c r="B1903" s="32" t="n">
        <x:v>1</x:v>
      </x:c>
      <x:c r="C1903" s="23" t="n">
        <x:v>46725</x:v>
      </x:c>
      <x:c r="D1903" s="23" t="n">
        <x:v>46725</x:v>
      </x:c>
      <x:c r="E1903" s="20" t="str">
        <x:v>P007</x:v>
      </x:c>
      <x:c r="F1903" s="20" t="str">
        <x:v>U007</x:v>
      </x:c>
      <x:c r="G1903" s="20" t="str">
        <x:v>L007</x:v>
      </x:c>
      <x:c r="H1903" s="20" t="str">
        <x:v>1000 Operating Cash</x:v>
      </x:c>
      <x:c r="I1903" s="26" t="n">
        <x:v>1125</x:v>
      </x:c>
      <x:c r="J1903" s="26" t="n">
        <x:v>0</x:v>
      </x:c>
      <x:c r="K1903" s="35" t="str">
        <x:v>Receipt allocated to FIN-00947</x:v>
      </x:c>
    </x:row>
    <x:row r="1904">
      <x:c r="A1904" s="20" t="str">
        <x:v>FIN-00948</x:v>
      </x:c>
      <x:c r="B1904" s="32" t="n">
        <x:v>2</x:v>
      </x:c>
      <x:c r="C1904" s="23" t="n">
        <x:v>46725</x:v>
      </x:c>
      <x:c r="D1904" s="23" t="n">
        <x:v>46725</x:v>
      </x:c>
      <x:c r="E1904" s="20" t="str">
        <x:v>P007</x:v>
      </x:c>
      <x:c r="F1904" s="20" t="str">
        <x:v>U007</x:v>
      </x:c>
      <x:c r="G1904" s="20" t="str">
        <x:v>L007</x:v>
      </x:c>
      <x:c r="H1904" s="20" t="str">
        <x:v>1100 Tenant Accounts Receivable</x:v>
      </x:c>
      <x:c r="I1904" s="26" t="n">
        <x:v>0</x:v>
      </x:c>
      <x:c r="J1904" s="26" t="n">
        <x:v>1125</x:v>
      </x:c>
      <x:c r="K1904" s="35" t="str">
        <x:v>Receipt allocated to FIN-00947</x:v>
      </x:c>
    </x:row>
    <x:row r="1905">
      <x:c r="A1905" s="20" t="str">
        <x:v>FIN-00949</x:v>
      </x:c>
      <x:c r="B1905" s="32" t="n">
        <x:v>1</x:v>
      </x:c>
      <x:c r="C1905" s="23" t="n">
        <x:v>46722</x:v>
      </x:c>
      <x:c r="D1905" s="23" t="n">
        <x:v>46722</x:v>
      </x:c>
      <x:c r="E1905" s="20" t="str">
        <x:v>P009</x:v>
      </x:c>
      <x:c r="F1905" s="20" t="str">
        <x:v>U009</x:v>
      </x:c>
      <x:c r="G1905" s="20" t="str">
        <x:v>L009</x:v>
      </x:c>
      <x:c r="H1905" s="20" t="str">
        <x:v>1100 Tenant Accounts Receivable</x:v>
      </x:c>
      <x:c r="I1905" s="26" t="n">
        <x:v>1275</x:v>
      </x:c>
      <x:c r="J1905" s="26" t="n">
        <x:v>0</x:v>
      </x:c>
      <x:c r="K1905" s="35" t="str">
        <x:v>December 2027 rent</x:v>
      </x:c>
    </x:row>
    <x:row r="1906">
      <x:c r="A1906" s="20" t="str">
        <x:v>FIN-00949</x:v>
      </x:c>
      <x:c r="B1906" s="32" t="n">
        <x:v>2</x:v>
      </x:c>
      <x:c r="C1906" s="23" t="n">
        <x:v>46722</x:v>
      </x:c>
      <x:c r="D1906" s="23" t="n">
        <x:v>46722</x:v>
      </x:c>
      <x:c r="E1906" s="20" t="str">
        <x:v>P009</x:v>
      </x:c>
      <x:c r="F1906" s="20" t="str">
        <x:v>U009</x:v>
      </x:c>
      <x:c r="G1906" s="20" t="str">
        <x:v>L009</x:v>
      </x:c>
      <x:c r="H1906" s="20" t="str">
        <x:v>4000 Rental Income</x:v>
      </x:c>
      <x:c r="I1906" s="26" t="n">
        <x:v>0</x:v>
      </x:c>
      <x:c r="J1906" s="26" t="n">
        <x:v>1275</x:v>
      </x:c>
      <x:c r="K1906" s="35" t="str">
        <x:v>December 2027 rent</x:v>
      </x:c>
    </x:row>
    <x:row r="1907">
      <x:c r="A1907" s="20" t="str">
        <x:v>FIN-00950</x:v>
      </x:c>
      <x:c r="B1907" s="32" t="n">
        <x:v>1</x:v>
      </x:c>
      <x:c r="C1907" s="23" t="n">
        <x:v>46724</x:v>
      </x:c>
      <x:c r="D1907" s="23" t="n">
        <x:v>46724</x:v>
      </x:c>
      <x:c r="E1907" s="20" t="str">
        <x:v>P009</x:v>
      </x:c>
      <x:c r="F1907" s="20" t="str">
        <x:v>U009</x:v>
      </x:c>
      <x:c r="G1907" s="20" t="str">
        <x:v>L009</x:v>
      </x:c>
      <x:c r="H1907" s="20" t="str">
        <x:v>1000 Operating Cash</x:v>
      </x:c>
      <x:c r="I1907" s="26" t="n">
        <x:v>1275</x:v>
      </x:c>
      <x:c r="J1907" s="26" t="n">
        <x:v>0</x:v>
      </x:c>
      <x:c r="K1907" s="35" t="str">
        <x:v>Receipt allocated to FIN-00949</x:v>
      </x:c>
    </x:row>
    <x:row r="1908">
      <x:c r="A1908" s="20" t="str">
        <x:v>FIN-00950</x:v>
      </x:c>
      <x:c r="B1908" s="32" t="n">
        <x:v>2</x:v>
      </x:c>
      <x:c r="C1908" s="23" t="n">
        <x:v>46724</x:v>
      </x:c>
      <x:c r="D1908" s="23" t="n">
        <x:v>46724</x:v>
      </x:c>
      <x:c r="E1908" s="20" t="str">
        <x:v>P009</x:v>
      </x:c>
      <x:c r="F1908" s="20" t="str">
        <x:v>U009</x:v>
      </x:c>
      <x:c r="G1908" s="20" t="str">
        <x:v>L009</x:v>
      </x:c>
      <x:c r="H1908" s="20" t="str">
        <x:v>1100 Tenant Accounts Receivable</x:v>
      </x:c>
      <x:c r="I1908" s="26" t="n">
        <x:v>0</x:v>
      </x:c>
      <x:c r="J1908" s="26" t="n">
        <x:v>1275</x:v>
      </x:c>
      <x:c r="K1908" s="35" t="str">
        <x:v>Receipt allocated to FIN-00949</x:v>
      </x:c>
    </x:row>
    <x:row r="1909">
      <x:c r="A1909" s="20" t="str">
        <x:v>FIN-00951</x:v>
      </x:c>
      <x:c r="B1909" s="32" t="n">
        <x:v>1</x:v>
      </x:c>
      <x:c r="C1909" s="23" t="n">
        <x:v>46722</x:v>
      </x:c>
      <x:c r="D1909" s="23" t="n">
        <x:v>46722</x:v>
      </x:c>
      <x:c r="E1909" s="20" t="str">
        <x:v>P010</x:v>
      </x:c>
      <x:c r="F1909" s="20" t="str">
        <x:v>U010</x:v>
      </x:c>
      <x:c r="G1909" s="20" t="str">
        <x:v>L010</x:v>
      </x:c>
      <x:c r="H1909" s="20" t="str">
        <x:v>1100 Tenant Accounts Receivable</x:v>
      </x:c>
      <x:c r="I1909" s="26" t="n">
        <x:v>1800</x:v>
      </x:c>
      <x:c r="J1909" s="26" t="n">
        <x:v>0</x:v>
      </x:c>
      <x:c r="K1909" s="35" t="str">
        <x:v>December 2027 rent</x:v>
      </x:c>
    </x:row>
    <x:row r="1910">
      <x:c r="A1910" s="20" t="str">
        <x:v>FIN-00951</x:v>
      </x:c>
      <x:c r="B1910" s="32" t="n">
        <x:v>2</x:v>
      </x:c>
      <x:c r="C1910" s="23" t="n">
        <x:v>46722</x:v>
      </x:c>
      <x:c r="D1910" s="23" t="n">
        <x:v>46722</x:v>
      </x:c>
      <x:c r="E1910" s="20" t="str">
        <x:v>P010</x:v>
      </x:c>
      <x:c r="F1910" s="20" t="str">
        <x:v>U010</x:v>
      </x:c>
      <x:c r="G1910" s="20" t="str">
        <x:v>L010</x:v>
      </x:c>
      <x:c r="H1910" s="20" t="str">
        <x:v>4000 Rental Income</x:v>
      </x:c>
      <x:c r="I1910" s="26" t="n">
        <x:v>0</x:v>
      </x:c>
      <x:c r="J1910" s="26" t="n">
        <x:v>1800</x:v>
      </x:c>
      <x:c r="K1910" s="35" t="str">
        <x:v>December 2027 rent</x:v>
      </x:c>
    </x:row>
    <x:row r="1911">
      <x:c r="A1911" s="20" t="str">
        <x:v>FIN-00952</x:v>
      </x:c>
      <x:c r="B1911" s="32" t="n">
        <x:v>1</x:v>
      </x:c>
      <x:c r="C1911" s="23" t="n">
        <x:v>46725</x:v>
      </x:c>
      <x:c r="D1911" s="23" t="n">
        <x:v>46725</x:v>
      </x:c>
      <x:c r="E1911" s="20" t="str">
        <x:v>P010</x:v>
      </x:c>
      <x:c r="F1911" s="20" t="str">
        <x:v>U010</x:v>
      </x:c>
      <x:c r="G1911" s="20" t="str">
        <x:v>L010</x:v>
      </x:c>
      <x:c r="H1911" s="20" t="str">
        <x:v>1000 Operating Cash</x:v>
      </x:c>
      <x:c r="I1911" s="26" t="n">
        <x:v>1800</x:v>
      </x:c>
      <x:c r="J1911" s="26" t="n">
        <x:v>0</x:v>
      </x:c>
      <x:c r="K1911" s="35" t="str">
        <x:v>Receipt allocated to FIN-00951</x:v>
      </x:c>
    </x:row>
    <x:row r="1912">
      <x:c r="A1912" s="20" t="str">
        <x:v>FIN-00952</x:v>
      </x:c>
      <x:c r="B1912" s="32" t="n">
        <x:v>2</x:v>
      </x:c>
      <x:c r="C1912" s="23" t="n">
        <x:v>46725</x:v>
      </x:c>
      <x:c r="D1912" s="23" t="n">
        <x:v>46725</x:v>
      </x:c>
      <x:c r="E1912" s="20" t="str">
        <x:v>P010</x:v>
      </x:c>
      <x:c r="F1912" s="20" t="str">
        <x:v>U010</x:v>
      </x:c>
      <x:c r="G1912" s="20" t="str">
        <x:v>L010</x:v>
      </x:c>
      <x:c r="H1912" s="20" t="str">
        <x:v>1100 Tenant Accounts Receivable</x:v>
      </x:c>
      <x:c r="I1912" s="26" t="n">
        <x:v>0</x:v>
      </x:c>
      <x:c r="J1912" s="26" t="n">
        <x:v>1800</x:v>
      </x:c>
      <x:c r="K1912" s="35" t="str">
        <x:v>Receipt allocated to FIN-00951</x:v>
      </x:c>
    </x:row>
    <x:row r="1913">
      <x:c r="A1913" s="20" t="str">
        <x:v>FIN-00953</x:v>
      </x:c>
      <x:c r="B1913" s="32" t="n">
        <x:v>1</x:v>
      </x:c>
      <x:c r="C1913" s="23" t="n">
        <x:v>46722</x:v>
      </x:c>
      <x:c r="D1913" s="23" t="n">
        <x:v>46722</x:v>
      </x:c>
      <x:c r="E1913" s="20" t="str">
        <x:v>P011</x:v>
      </x:c>
      <x:c r="F1913" s="20" t="str">
        <x:v>U011</x:v>
      </x:c>
      <x:c r="G1913" s="20" t="str">
        <x:v>L011</x:v>
      </x:c>
      <x:c r="H1913" s="20" t="str">
        <x:v>1100 Tenant Accounts Receivable</x:v>
      </x:c>
      <x:c r="I1913" s="26" t="n">
        <x:v>1425</x:v>
      </x:c>
      <x:c r="J1913" s="26" t="n">
        <x:v>0</x:v>
      </x:c>
      <x:c r="K1913" s="35" t="str">
        <x:v>December 2027 rent</x:v>
      </x:c>
    </x:row>
    <x:row r="1914">
      <x:c r="A1914" s="20" t="str">
        <x:v>FIN-00953</x:v>
      </x:c>
      <x:c r="B1914" s="32" t="n">
        <x:v>2</x:v>
      </x:c>
      <x:c r="C1914" s="23" t="n">
        <x:v>46722</x:v>
      </x:c>
      <x:c r="D1914" s="23" t="n">
        <x:v>46722</x:v>
      </x:c>
      <x:c r="E1914" s="20" t="str">
        <x:v>P011</x:v>
      </x:c>
      <x:c r="F1914" s="20" t="str">
        <x:v>U011</x:v>
      </x:c>
      <x:c r="G1914" s="20" t="str">
        <x:v>L011</x:v>
      </x:c>
      <x:c r="H1914" s="20" t="str">
        <x:v>4000 Rental Income</x:v>
      </x:c>
      <x:c r="I1914" s="26" t="n">
        <x:v>0</x:v>
      </x:c>
      <x:c r="J1914" s="26" t="n">
        <x:v>1425</x:v>
      </x:c>
      <x:c r="K1914" s="35" t="str">
        <x:v>December 2027 rent</x:v>
      </x:c>
    </x:row>
    <x:row r="1915">
      <x:c r="A1915" s="20" t="str">
        <x:v>FIN-00954</x:v>
      </x:c>
      <x:c r="B1915" s="32" t="n">
        <x:v>1</x:v>
      </x:c>
      <x:c r="C1915" s="23" t="n">
        <x:v>46724</x:v>
      </x:c>
      <x:c r="D1915" s="23" t="n">
        <x:v>46724</x:v>
      </x:c>
      <x:c r="E1915" s="20" t="str">
        <x:v>P011</x:v>
      </x:c>
      <x:c r="F1915" s="20" t="str">
        <x:v>U011</x:v>
      </x:c>
      <x:c r="G1915" s="20" t="str">
        <x:v>L011</x:v>
      </x:c>
      <x:c r="H1915" s="20" t="str">
        <x:v>1000 Operating Cash</x:v>
      </x:c>
      <x:c r="I1915" s="26" t="n">
        <x:v>855</x:v>
      </x:c>
      <x:c r="J1915" s="26" t="n">
        <x:v>0</x:v>
      </x:c>
      <x:c r="K1915" s="35" t="str">
        <x:v>Receipt allocated to FIN-00953</x:v>
      </x:c>
    </x:row>
    <x:row r="1916">
      <x:c r="A1916" s="20" t="str">
        <x:v>FIN-00954</x:v>
      </x:c>
      <x:c r="B1916" s="32" t="n">
        <x:v>2</x:v>
      </x:c>
      <x:c r="C1916" s="23" t="n">
        <x:v>46724</x:v>
      </x:c>
      <x:c r="D1916" s="23" t="n">
        <x:v>46724</x:v>
      </x:c>
      <x:c r="E1916" s="20" t="str">
        <x:v>P011</x:v>
      </x:c>
      <x:c r="F1916" s="20" t="str">
        <x:v>U011</x:v>
      </x:c>
      <x:c r="G1916" s="20" t="str">
        <x:v>L011</x:v>
      </x:c>
      <x:c r="H1916" s="20" t="str">
        <x:v>1100 Tenant Accounts Receivable</x:v>
      </x:c>
      <x:c r="I1916" s="26" t="n">
        <x:v>0</x:v>
      </x:c>
      <x:c r="J1916" s="26" t="n">
        <x:v>855</x:v>
      </x:c>
      <x:c r="K1916" s="35" t="str">
        <x:v>Receipt allocated to FIN-00953</x:v>
      </x:c>
    </x:row>
    <x:row r="1917">
      <x:c r="A1917" s="20" t="str">
        <x:v>FIN-00955</x:v>
      </x:c>
      <x:c r="B1917" s="32" t="n">
        <x:v>1</x:v>
      </x:c>
      <x:c r="C1917" s="23" t="n">
        <x:v>46727</x:v>
      </x:c>
      <x:c r="D1917" s="23" t="n">
        <x:v>46727</x:v>
      </x:c>
      <x:c r="E1917" s="20" t="str">
        <x:v>P011</x:v>
      </x:c>
      <x:c r="F1917" s="20" t="str">
        <x:v>U011</x:v>
      </x:c>
      <x:c r="G1917" s="20" t="str">
        <x:v>L011</x:v>
      </x:c>
      <x:c r="H1917" s="20" t="str">
        <x:v>1100 Tenant Accounts Receivable</x:v>
      </x:c>
      <x:c r="I1917" s="26" t="n">
        <x:v>50</x:v>
      </x:c>
      <x:c r="J1917" s="26" t="n">
        <x:v>0</x:v>
      </x:c>
      <x:c r="K1917" s="35" t="str">
        <x:v>Synthetic lease-authorized late fee after partial payment</x:v>
      </x:c>
    </x:row>
    <x:row r="1918">
      <x:c r="A1918" s="20" t="str">
        <x:v>FIN-00955</x:v>
      </x:c>
      <x:c r="B1918" s="32" t="n">
        <x:v>2</x:v>
      </x:c>
      <x:c r="C1918" s="23" t="n">
        <x:v>46727</x:v>
      </x:c>
      <x:c r="D1918" s="23" t="n">
        <x:v>46727</x:v>
      </x:c>
      <x:c r="E1918" s="20" t="str">
        <x:v>P011</x:v>
      </x:c>
      <x:c r="F1918" s="20" t="str">
        <x:v>U011</x:v>
      </x:c>
      <x:c r="G1918" s="20" t="str">
        <x:v>L011</x:v>
      </x:c>
      <x:c r="H1918" s="20" t="str">
        <x:v>4010 Late Fee Income</x:v>
      </x:c>
      <x:c r="I1918" s="26" t="n">
        <x:v>0</x:v>
      </x:c>
      <x:c r="J1918" s="26" t="n">
        <x:v>50</x:v>
      </x:c>
      <x:c r="K1918" s="35" t="str">
        <x:v>Synthetic lease-authorized late fee after partial payment</x:v>
      </x:c>
    </x:row>
    <x:row r="1919">
      <x:c r="A1919" s="20" t="str">
        <x:v>FIN-00956</x:v>
      </x:c>
      <x:c r="B1919" s="32" t="n">
        <x:v>1</x:v>
      </x:c>
      <x:c r="C1919" s="23" t="n">
        <x:v>46733</x:v>
      </x:c>
      <x:c r="D1919" s="23" t="n">
        <x:v>46733</x:v>
      </x:c>
      <x:c r="E1919" s="20" t="str">
        <x:v>P011</x:v>
      </x:c>
      <x:c r="F1919" s="20" t="str">
        <x:v>U011</x:v>
      </x:c>
      <x:c r="G1919" s="20" t="str">
        <x:v>L011</x:v>
      </x:c>
      <x:c r="H1919" s="20" t="str">
        <x:v>1000 Operating Cash</x:v>
      </x:c>
      <x:c r="I1919" s="26" t="n">
        <x:v>620</x:v>
      </x:c>
      <x:c r="J1919" s="26" t="n">
        <x:v>0</x:v>
      </x:c>
      <x:c r="K1919" s="35" t="str">
        <x:v>Receipt allocated to FIN-00955</x:v>
      </x:c>
    </x:row>
    <x:row r="1920">
      <x:c r="A1920" s="20" t="str">
        <x:v>FIN-00956</x:v>
      </x:c>
      <x:c r="B1920" s="32" t="n">
        <x:v>2</x:v>
      </x:c>
      <x:c r="C1920" s="23" t="n">
        <x:v>46733</x:v>
      </x:c>
      <x:c r="D1920" s="23" t="n">
        <x:v>46733</x:v>
      </x:c>
      <x:c r="E1920" s="20" t="str">
        <x:v>P011</x:v>
      </x:c>
      <x:c r="F1920" s="20" t="str">
        <x:v>U011</x:v>
      </x:c>
      <x:c r="G1920" s="20" t="str">
        <x:v>L011</x:v>
      </x:c>
      <x:c r="H1920" s="20" t="str">
        <x:v>1100 Tenant Accounts Receivable</x:v>
      </x:c>
      <x:c r="I1920" s="26" t="n">
        <x:v>0</x:v>
      </x:c>
      <x:c r="J1920" s="26" t="n">
        <x:v>620</x:v>
      </x:c>
      <x:c r="K1920" s="35" t="str">
        <x:v>Receipt allocated to FIN-00955</x:v>
      </x:c>
    </x:row>
    <x:row r="1921">
      <x:c r="A1921" s="20" t="str">
        <x:v>FIN-00957</x:v>
      </x:c>
      <x:c r="B1921" s="32" t="n">
        <x:v>1</x:v>
      </x:c>
      <x:c r="C1921" s="23" t="n">
        <x:v>46722</x:v>
      </x:c>
      <x:c r="D1921" s="23" t="n">
        <x:v>46722</x:v>
      </x:c>
      <x:c r="E1921" s="20" t="str">
        <x:v>P012</x:v>
      </x:c>
      <x:c r="F1921" s="20" t="str">
        <x:v>U012</x:v>
      </x:c>
      <x:c r="G1921" s="20" t="str">
        <x:v>L012</x:v>
      </x:c>
      <x:c r="H1921" s="20" t="str">
        <x:v>1100 Tenant Accounts Receivable</x:v>
      </x:c>
      <x:c r="I1921" s="26" t="n">
        <x:v>1050</x:v>
      </x:c>
      <x:c r="J1921" s="26" t="n">
        <x:v>0</x:v>
      </x:c>
      <x:c r="K1921" s="35" t="str">
        <x:v>December 2027 rent</x:v>
      </x:c>
    </x:row>
    <x:row r="1922">
      <x:c r="A1922" s="20" t="str">
        <x:v>FIN-00957</x:v>
      </x:c>
      <x:c r="B1922" s="32" t="n">
        <x:v>2</x:v>
      </x:c>
      <x:c r="C1922" s="23" t="n">
        <x:v>46722</x:v>
      </x:c>
      <x:c r="D1922" s="23" t="n">
        <x:v>46722</x:v>
      </x:c>
      <x:c r="E1922" s="20" t="str">
        <x:v>P012</x:v>
      </x:c>
      <x:c r="F1922" s="20" t="str">
        <x:v>U012</x:v>
      </x:c>
      <x:c r="G1922" s="20" t="str">
        <x:v>L012</x:v>
      </x:c>
      <x:c r="H1922" s="20" t="str">
        <x:v>4000 Rental Income</x:v>
      </x:c>
      <x:c r="I1922" s="26" t="n">
        <x:v>0</x:v>
      </x:c>
      <x:c r="J1922" s="26" t="n">
        <x:v>1050</x:v>
      </x:c>
      <x:c r="K1922" s="35" t="str">
        <x:v>December 2027 rent</x:v>
      </x:c>
    </x:row>
    <x:row r="1923">
      <x:c r="A1923" s="20" t="str">
        <x:v>FIN-00958</x:v>
      </x:c>
      <x:c r="B1923" s="32" t="n">
        <x:v>1</x:v>
      </x:c>
      <x:c r="C1923" s="23" t="n">
        <x:v>46724</x:v>
      </x:c>
      <x:c r="D1923" s="23" t="n">
        <x:v>46724</x:v>
      </x:c>
      <x:c r="E1923" s="20" t="str">
        <x:v>P012</x:v>
      </x:c>
      <x:c r="F1923" s="20" t="str">
        <x:v>U012</x:v>
      </x:c>
      <x:c r="G1923" s="20" t="str">
        <x:v>L012</x:v>
      </x:c>
      <x:c r="H1923" s="20" t="str">
        <x:v>1000 Operating Cash</x:v>
      </x:c>
      <x:c r="I1923" s="26" t="n">
        <x:v>1050</x:v>
      </x:c>
      <x:c r="J1923" s="26" t="n">
        <x:v>0</x:v>
      </x:c>
      <x:c r="K1923" s="35" t="str">
        <x:v>Receipt allocated to FIN-00957</x:v>
      </x:c>
    </x:row>
    <x:row r="1924">
      <x:c r="A1924" s="20" t="str">
        <x:v>FIN-00958</x:v>
      </x:c>
      <x:c r="B1924" s="32" t="n">
        <x:v>2</x:v>
      </x:c>
      <x:c r="C1924" s="23" t="n">
        <x:v>46724</x:v>
      </x:c>
      <x:c r="D1924" s="23" t="n">
        <x:v>46724</x:v>
      </x:c>
      <x:c r="E1924" s="20" t="str">
        <x:v>P012</x:v>
      </x:c>
      <x:c r="F1924" s="20" t="str">
        <x:v>U012</x:v>
      </x:c>
      <x:c r="G1924" s="20" t="str">
        <x:v>L012</x:v>
      </x:c>
      <x:c r="H1924" s="20" t="str">
        <x:v>1100 Tenant Accounts Receivable</x:v>
      </x:c>
      <x:c r="I1924" s="26" t="n">
        <x:v>0</x:v>
      </x:c>
      <x:c r="J1924" s="26" t="n">
        <x:v>1050</x:v>
      </x:c>
      <x:c r="K1924" s="35" t="str">
        <x:v>Receipt allocated to FIN-00957</x:v>
      </x:c>
    </x:row>
    <x:row r="1925">
      <x:c r="A1925" s="20" t="str">
        <x:v>FIN-00959</x:v>
      </x:c>
      <x:c r="B1925" s="32" t="n">
        <x:v>1</x:v>
      </x:c>
      <x:c r="C1925" s="23" t="n">
        <x:v>46722</x:v>
      </x:c>
      <x:c r="D1925" s="23" t="n">
        <x:v>46722</x:v>
      </x:c>
      <x:c r="E1925" s="20" t="str">
        <x:v>P013</x:v>
      </x:c>
      <x:c r="F1925" s="20" t="str">
        <x:v>U013</x:v>
      </x:c>
      <x:c r="G1925" s="20" t="str">
        <x:v>L013</x:v>
      </x:c>
      <x:c r="H1925" s="20" t="str">
        <x:v>1100 Tenant Accounts Receivable</x:v>
      </x:c>
      <x:c r="I1925" s="26" t="n">
        <x:v>1575</x:v>
      </x:c>
      <x:c r="J1925" s="26" t="n">
        <x:v>0</x:v>
      </x:c>
      <x:c r="K1925" s="35" t="str">
        <x:v>December 2027 rent</x:v>
      </x:c>
    </x:row>
    <x:row r="1926">
      <x:c r="A1926" s="20" t="str">
        <x:v>FIN-00959</x:v>
      </x:c>
      <x:c r="B1926" s="32" t="n">
        <x:v>2</x:v>
      </x:c>
      <x:c r="C1926" s="23" t="n">
        <x:v>46722</x:v>
      </x:c>
      <x:c r="D1926" s="23" t="n">
        <x:v>46722</x:v>
      </x:c>
      <x:c r="E1926" s="20" t="str">
        <x:v>P013</x:v>
      </x:c>
      <x:c r="F1926" s="20" t="str">
        <x:v>U013</x:v>
      </x:c>
      <x:c r="G1926" s="20" t="str">
        <x:v>L013</x:v>
      </x:c>
      <x:c r="H1926" s="20" t="str">
        <x:v>4000 Rental Income</x:v>
      </x:c>
      <x:c r="I1926" s="26" t="n">
        <x:v>0</x:v>
      </x:c>
      <x:c r="J1926" s="26" t="n">
        <x:v>1575</x:v>
      </x:c>
      <x:c r="K1926" s="35" t="str">
        <x:v>December 2027 rent</x:v>
      </x:c>
    </x:row>
    <x:row r="1927">
      <x:c r="A1927" s="20" t="str">
        <x:v>FIN-00960</x:v>
      </x:c>
      <x:c r="B1927" s="32" t="n">
        <x:v>1</x:v>
      </x:c>
      <x:c r="C1927" s="23" t="n">
        <x:v>46727</x:v>
      </x:c>
      <x:c r="D1927" s="23" t="n">
        <x:v>46727</x:v>
      </x:c>
      <x:c r="E1927" s="20" t="str">
        <x:v>P013</x:v>
      </x:c>
      <x:c r="F1927" s="20" t="str">
        <x:v>U013</x:v>
      </x:c>
      <x:c r="G1927" s="20" t="str">
        <x:v>L013</x:v>
      </x:c>
      <x:c r="H1927" s="20" t="str">
        <x:v>1100 Tenant Accounts Receivable</x:v>
      </x:c>
      <x:c r="I1927" s="26" t="n">
        <x:v>50</x:v>
      </x:c>
      <x:c r="J1927" s="26" t="n">
        <x:v>0</x:v>
      </x:c>
      <x:c r="K1927" s="35" t="str">
        <x:v>Synthetic lease-authorized late fee</x:v>
      </x:c>
    </x:row>
    <x:row r="1928">
      <x:c r="A1928" s="20" t="str">
        <x:v>FIN-00960</x:v>
      </x:c>
      <x:c r="B1928" s="32" t="n">
        <x:v>2</x:v>
      </x:c>
      <x:c r="C1928" s="23" t="n">
        <x:v>46727</x:v>
      </x:c>
      <x:c r="D1928" s="23" t="n">
        <x:v>46727</x:v>
      </x:c>
      <x:c r="E1928" s="20" t="str">
        <x:v>P013</x:v>
      </x:c>
      <x:c r="F1928" s="20" t="str">
        <x:v>U013</x:v>
      </x:c>
      <x:c r="G1928" s="20" t="str">
        <x:v>L013</x:v>
      </x:c>
      <x:c r="H1928" s="20" t="str">
        <x:v>4010 Late Fee Income</x:v>
      </x:c>
      <x:c r="I1928" s="26" t="n">
        <x:v>0</x:v>
      </x:c>
      <x:c r="J1928" s="26" t="n">
        <x:v>50</x:v>
      </x:c>
      <x:c r="K1928" s="35" t="str">
        <x:v>Synthetic lease-authorized late fee</x:v>
      </x:c>
    </x:row>
    <x:row r="1929">
      <x:c r="A1929" s="20" t="str">
        <x:v>FIN-00961</x:v>
      </x:c>
      <x:c r="B1929" s="32" t="n">
        <x:v>1</x:v>
      </x:c>
      <x:c r="C1929" s="23" t="n">
        <x:v>46729</x:v>
      </x:c>
      <x:c r="D1929" s="23" t="n">
        <x:v>46729</x:v>
      </x:c>
      <x:c r="E1929" s="20" t="str">
        <x:v>P013</x:v>
      </x:c>
      <x:c r="F1929" s="20" t="str">
        <x:v>U013</x:v>
      </x:c>
      <x:c r="G1929" s="20" t="str">
        <x:v>L013</x:v>
      </x:c>
      <x:c r="H1929" s="20" t="str">
        <x:v>1000 Operating Cash</x:v>
      </x:c>
      <x:c r="I1929" s="26" t="n">
        <x:v>1625</x:v>
      </x:c>
      <x:c r="J1929" s="26" t="n">
        <x:v>0</x:v>
      </x:c>
      <x:c r="K1929" s="35" t="str">
        <x:v>Receipt allocated to FIN-00960</x:v>
      </x:c>
    </x:row>
    <x:row r="1930">
      <x:c r="A1930" s="20" t="str">
        <x:v>FIN-00961</x:v>
      </x:c>
      <x:c r="B1930" s="32" t="n">
        <x:v>2</x:v>
      </x:c>
      <x:c r="C1930" s="23" t="n">
        <x:v>46729</x:v>
      </x:c>
      <x:c r="D1930" s="23" t="n">
        <x:v>46729</x:v>
      </x:c>
      <x:c r="E1930" s="20" t="str">
        <x:v>P013</x:v>
      </x:c>
      <x:c r="F1930" s="20" t="str">
        <x:v>U013</x:v>
      </x:c>
      <x:c r="G1930" s="20" t="str">
        <x:v>L013</x:v>
      </x:c>
      <x:c r="H1930" s="20" t="str">
        <x:v>1100 Tenant Accounts Receivable</x:v>
      </x:c>
      <x:c r="I1930" s="26" t="n">
        <x:v>0</x:v>
      </x:c>
      <x:c r="J1930" s="26" t="n">
        <x:v>1625</x:v>
      </x:c>
      <x:c r="K1930" s="35" t="str">
        <x:v>Receipt allocated to FIN-00960</x:v>
      </x:c>
    </x:row>
    <x:row r="1931">
      <x:c r="A1931" s="20" t="str">
        <x:v>FIN-00962</x:v>
      </x:c>
      <x:c r="B1931" s="32" t="n">
        <x:v>1</x:v>
      </x:c>
      <x:c r="C1931" s="23" t="n">
        <x:v>46722</x:v>
      </x:c>
      <x:c r="D1931" s="23" t="n">
        <x:v>46722</x:v>
      </x:c>
      <x:c r="E1931" s="20" t="str">
        <x:v>P015</x:v>
      </x:c>
      <x:c r="F1931" s="20" t="str">
        <x:v>U015</x:v>
      </x:c>
      <x:c r="G1931" s="20" t="str">
        <x:v>L015</x:v>
      </x:c>
      <x:c r="H1931" s="20" t="str">
        <x:v>1100 Tenant Accounts Receivable</x:v>
      </x:c>
      <x:c r="I1931" s="26" t="n">
        <x:v>1725</x:v>
      </x:c>
      <x:c r="J1931" s="26" t="n">
        <x:v>0</x:v>
      </x:c>
      <x:c r="K1931" s="35" t="str">
        <x:v>December 2027 rent</x:v>
      </x:c>
    </x:row>
    <x:row r="1932">
      <x:c r="A1932" s="20" t="str">
        <x:v>FIN-00962</x:v>
      </x:c>
      <x:c r="B1932" s="32" t="n">
        <x:v>2</x:v>
      </x:c>
      <x:c r="C1932" s="23" t="n">
        <x:v>46722</x:v>
      </x:c>
      <x:c r="D1932" s="23" t="n">
        <x:v>46722</x:v>
      </x:c>
      <x:c r="E1932" s="20" t="str">
        <x:v>P015</x:v>
      </x:c>
      <x:c r="F1932" s="20" t="str">
        <x:v>U015</x:v>
      </x:c>
      <x:c r="G1932" s="20" t="str">
        <x:v>L015</x:v>
      </x:c>
      <x:c r="H1932" s="20" t="str">
        <x:v>4000 Rental Income</x:v>
      </x:c>
      <x:c r="I1932" s="26" t="n">
        <x:v>0</x:v>
      </x:c>
      <x:c r="J1932" s="26" t="n">
        <x:v>1725</x:v>
      </x:c>
      <x:c r="K1932" s="35" t="str">
        <x:v>December 2027 rent</x:v>
      </x:c>
    </x:row>
    <x:row r="1933">
      <x:c r="A1933" s="20" t="str">
        <x:v>FIN-00963</x:v>
      </x:c>
      <x:c r="B1933" s="32" t="n">
        <x:v>1</x:v>
      </x:c>
      <x:c r="C1933" s="23" t="n">
        <x:v>46724</x:v>
      </x:c>
      <x:c r="D1933" s="23" t="n">
        <x:v>46724</x:v>
      </x:c>
      <x:c r="E1933" s="20" t="str">
        <x:v>P015</x:v>
      </x:c>
      <x:c r="F1933" s="20" t="str">
        <x:v>U015</x:v>
      </x:c>
      <x:c r="G1933" s="20" t="str">
        <x:v>L015</x:v>
      </x:c>
      <x:c r="H1933" s="20" t="str">
        <x:v>1000 Operating Cash</x:v>
      </x:c>
      <x:c r="I1933" s="26" t="n">
        <x:v>1725</x:v>
      </x:c>
      <x:c r="J1933" s="26" t="n">
        <x:v>0</x:v>
      </x:c>
      <x:c r="K1933" s="35" t="str">
        <x:v>Receipt allocated to FIN-00962</x:v>
      </x:c>
    </x:row>
    <x:row r="1934">
      <x:c r="A1934" s="20" t="str">
        <x:v>FIN-00963</x:v>
      </x:c>
      <x:c r="B1934" s="32" t="n">
        <x:v>2</x:v>
      </x:c>
      <x:c r="C1934" s="23" t="n">
        <x:v>46724</x:v>
      </x:c>
      <x:c r="D1934" s="23" t="n">
        <x:v>46724</x:v>
      </x:c>
      <x:c r="E1934" s="20" t="str">
        <x:v>P015</x:v>
      </x:c>
      <x:c r="F1934" s="20" t="str">
        <x:v>U015</x:v>
      </x:c>
      <x:c r="G1934" s="20" t="str">
        <x:v>L015</x:v>
      </x:c>
      <x:c r="H1934" s="20" t="str">
        <x:v>1100 Tenant Accounts Receivable</x:v>
      </x:c>
      <x:c r="I1934" s="26" t="n">
        <x:v>0</x:v>
      </x:c>
      <x:c r="J1934" s="26" t="n">
        <x:v>1725</x:v>
      </x:c>
      <x:c r="K1934" s="35" t="str">
        <x:v>Receipt allocated to FIN-00962</x:v>
      </x:c>
    </x:row>
    <x:row r="1935">
      <x:c r="A1935" s="20" t="str">
        <x:v>FIN-00964</x:v>
      </x:c>
      <x:c r="B1935" s="32" t="n">
        <x:v>1</x:v>
      </x:c>
      <x:c r="C1935" s="23" t="n">
        <x:v>46722</x:v>
      </x:c>
      <x:c r="D1935" s="23" t="n">
        <x:v>46722</x:v>
      </x:c>
      <x:c r="E1935" s="20" t="str">
        <x:v>P016</x:v>
      </x:c>
      <x:c r="F1935" s="20" t="str">
        <x:v>U016</x:v>
      </x:c>
      <x:c r="G1935" s="20" t="str">
        <x:v>L016</x:v>
      </x:c>
      <x:c r="H1935" s="20" t="str">
        <x:v>1100 Tenant Accounts Receivable</x:v>
      </x:c>
      <x:c r="I1935" s="26" t="n">
        <x:v>1350</x:v>
      </x:c>
      <x:c r="J1935" s="26" t="n">
        <x:v>0</x:v>
      </x:c>
      <x:c r="K1935" s="35" t="str">
        <x:v>December 2027 rent</x:v>
      </x:c>
    </x:row>
    <x:row r="1936">
      <x:c r="A1936" s="20" t="str">
        <x:v>FIN-00964</x:v>
      </x:c>
      <x:c r="B1936" s="32" t="n">
        <x:v>2</x:v>
      </x:c>
      <x:c r="C1936" s="23" t="n">
        <x:v>46722</x:v>
      </x:c>
      <x:c r="D1936" s="23" t="n">
        <x:v>46722</x:v>
      </x:c>
      <x:c r="E1936" s="20" t="str">
        <x:v>P016</x:v>
      </x:c>
      <x:c r="F1936" s="20" t="str">
        <x:v>U016</x:v>
      </x:c>
      <x:c r="G1936" s="20" t="str">
        <x:v>L016</x:v>
      </x:c>
      <x:c r="H1936" s="20" t="str">
        <x:v>4000 Rental Income</x:v>
      </x:c>
      <x:c r="I1936" s="26" t="n">
        <x:v>0</x:v>
      </x:c>
      <x:c r="J1936" s="26" t="n">
        <x:v>1350</x:v>
      </x:c>
      <x:c r="K1936" s="35" t="str">
        <x:v>December 2027 rent</x:v>
      </x:c>
    </x:row>
    <x:row r="1937">
      <x:c r="A1937" s="20" t="str">
        <x:v>FIN-00965</x:v>
      </x:c>
      <x:c r="B1937" s="32" t="n">
        <x:v>1</x:v>
      </x:c>
      <x:c r="C1937" s="23" t="n">
        <x:v>46725</x:v>
      </x:c>
      <x:c r="D1937" s="23" t="n">
        <x:v>46725</x:v>
      </x:c>
      <x:c r="E1937" s="20" t="str">
        <x:v>P016</x:v>
      </x:c>
      <x:c r="F1937" s="20" t="str">
        <x:v>U016</x:v>
      </x:c>
      <x:c r="G1937" s="20" t="str">
        <x:v>L016</x:v>
      </x:c>
      <x:c r="H1937" s="20" t="str">
        <x:v>1000 Operating Cash</x:v>
      </x:c>
      <x:c r="I1937" s="26" t="n">
        <x:v>1350</x:v>
      </x:c>
      <x:c r="J1937" s="26" t="n">
        <x:v>0</x:v>
      </x:c>
      <x:c r="K1937" s="35" t="str">
        <x:v>Receipt allocated to FIN-00964</x:v>
      </x:c>
    </x:row>
    <x:row r="1938">
      <x:c r="A1938" s="20" t="str">
        <x:v>FIN-00965</x:v>
      </x:c>
      <x:c r="B1938" s="32" t="n">
        <x:v>2</x:v>
      </x:c>
      <x:c r="C1938" s="23" t="n">
        <x:v>46725</x:v>
      </x:c>
      <x:c r="D1938" s="23" t="n">
        <x:v>46725</x:v>
      </x:c>
      <x:c r="E1938" s="20" t="str">
        <x:v>P016</x:v>
      </x:c>
      <x:c r="F1938" s="20" t="str">
        <x:v>U016</x:v>
      </x:c>
      <x:c r="G1938" s="20" t="str">
        <x:v>L016</x:v>
      </x:c>
      <x:c r="H1938" s="20" t="str">
        <x:v>1100 Tenant Accounts Receivable</x:v>
      </x:c>
      <x:c r="I1938" s="26" t="n">
        <x:v>0</x:v>
      </x:c>
      <x:c r="J1938" s="26" t="n">
        <x:v>1350</x:v>
      </x:c>
      <x:c r="K1938" s="35" t="str">
        <x:v>Receipt allocated to FIN-00964</x:v>
      </x:c>
    </x:row>
    <x:row r="1939">
      <x:c r="A1939" s="20" t="str">
        <x:v>FIN-00966</x:v>
      </x:c>
      <x:c r="B1939" s="32" t="n">
        <x:v>1</x:v>
      </x:c>
      <x:c r="C1939" s="23" t="n">
        <x:v>46722</x:v>
      </x:c>
      <x:c r="D1939" s="23" t="n">
        <x:v>46722</x:v>
      </x:c>
      <x:c r="E1939" s="20" t="str">
        <x:v>P018</x:v>
      </x:c>
      <x:c r="F1939" s="20" t="str">
        <x:v>U018</x:v>
      </x:c>
      <x:c r="G1939" s="20" t="str">
        <x:v>L018</x:v>
      </x:c>
      <x:c r="H1939" s="20" t="str">
        <x:v>1100 Tenant Accounts Receivable</x:v>
      </x:c>
      <x:c r="I1939" s="26" t="n">
        <x:v>1500</x:v>
      </x:c>
      <x:c r="J1939" s="26" t="n">
        <x:v>0</x:v>
      </x:c>
      <x:c r="K1939" s="35" t="str">
        <x:v>December 2027 rent</x:v>
      </x:c>
    </x:row>
    <x:row r="1940">
      <x:c r="A1940" s="20" t="str">
        <x:v>FIN-00966</x:v>
      </x:c>
      <x:c r="B1940" s="32" t="n">
        <x:v>2</x:v>
      </x:c>
      <x:c r="C1940" s="23" t="n">
        <x:v>46722</x:v>
      </x:c>
      <x:c r="D1940" s="23" t="n">
        <x:v>46722</x:v>
      </x:c>
      <x:c r="E1940" s="20" t="str">
        <x:v>P018</x:v>
      </x:c>
      <x:c r="F1940" s="20" t="str">
        <x:v>U018</x:v>
      </x:c>
      <x:c r="G1940" s="20" t="str">
        <x:v>L018</x:v>
      </x:c>
      <x:c r="H1940" s="20" t="str">
        <x:v>4000 Rental Income</x:v>
      </x:c>
      <x:c r="I1940" s="26" t="n">
        <x:v>0</x:v>
      </x:c>
      <x:c r="J1940" s="26" t="n">
        <x:v>1500</x:v>
      </x:c>
      <x:c r="K1940" s="35" t="str">
        <x:v>December 2027 rent</x:v>
      </x:c>
    </x:row>
    <x:row r="1941">
      <x:c r="A1941" s="20" t="str">
        <x:v>FIN-00967</x:v>
      </x:c>
      <x:c r="B1941" s="32" t="n">
        <x:v>1</x:v>
      </x:c>
      <x:c r="C1941" s="23" t="n">
        <x:v>46724</x:v>
      </x:c>
      <x:c r="D1941" s="23" t="n">
        <x:v>46724</x:v>
      </x:c>
      <x:c r="E1941" s="20" t="str">
        <x:v>P018</x:v>
      </x:c>
      <x:c r="F1941" s="20" t="str">
        <x:v>U018</x:v>
      </x:c>
      <x:c r="G1941" s="20" t="str">
        <x:v>L018</x:v>
      </x:c>
      <x:c r="H1941" s="20" t="str">
        <x:v>1000 Operating Cash</x:v>
      </x:c>
      <x:c r="I1941" s="26" t="n">
        <x:v>1500</x:v>
      </x:c>
      <x:c r="J1941" s="26" t="n">
        <x:v>0</x:v>
      </x:c>
      <x:c r="K1941" s="35" t="str">
        <x:v>Receipt allocated to FIN-00966</x:v>
      </x:c>
    </x:row>
    <x:row r="1942">
      <x:c r="A1942" s="20" t="str">
        <x:v>FIN-00967</x:v>
      </x:c>
      <x:c r="B1942" s="32" t="n">
        <x:v>2</x:v>
      </x:c>
      <x:c r="C1942" s="23" t="n">
        <x:v>46724</x:v>
      </x:c>
      <x:c r="D1942" s="23" t="n">
        <x:v>46724</x:v>
      </x:c>
      <x:c r="E1942" s="20" t="str">
        <x:v>P018</x:v>
      </x:c>
      <x:c r="F1942" s="20" t="str">
        <x:v>U018</x:v>
      </x:c>
      <x:c r="G1942" s="20" t="str">
        <x:v>L018</x:v>
      </x:c>
      <x:c r="H1942" s="20" t="str">
        <x:v>1100 Tenant Accounts Receivable</x:v>
      </x:c>
      <x:c r="I1942" s="26" t="n">
        <x:v>0</x:v>
      </x:c>
      <x:c r="J1942" s="26" t="n">
        <x:v>1500</x:v>
      </x:c>
      <x:c r="K1942" s="35" t="str">
        <x:v>Receipt allocated to FIN-00966</x:v>
      </x:c>
    </x:row>
    <x:row r="1943">
      <x:c r="A1943" s="20" t="str">
        <x:v>FIN-00968</x:v>
      </x:c>
      <x:c r="B1943" s="32" t="n">
        <x:v>1</x:v>
      </x:c>
      <x:c r="C1943" s="23" t="n">
        <x:v>46722</x:v>
      </x:c>
      <x:c r="D1943" s="23" t="n">
        <x:v>46722</x:v>
      </x:c>
      <x:c r="E1943" s="20" t="str">
        <x:v>P019</x:v>
      </x:c>
      <x:c r="F1943" s="20" t="str">
        <x:v>U019</x:v>
      </x:c>
      <x:c r="G1943" s="20" t="str">
        <x:v>L019</x:v>
      </x:c>
      <x:c r="H1943" s="20" t="str">
        <x:v>1100 Tenant Accounts Receivable</x:v>
      </x:c>
      <x:c r="I1943" s="26" t="n">
        <x:v>1125</x:v>
      </x:c>
      <x:c r="J1943" s="26" t="n">
        <x:v>0</x:v>
      </x:c>
      <x:c r="K1943" s="35" t="str">
        <x:v>December 2027 rent</x:v>
      </x:c>
    </x:row>
    <x:row r="1944">
      <x:c r="A1944" s="20" t="str">
        <x:v>FIN-00968</x:v>
      </x:c>
      <x:c r="B1944" s="32" t="n">
        <x:v>2</x:v>
      </x:c>
      <x:c r="C1944" s="23" t="n">
        <x:v>46722</x:v>
      </x:c>
      <x:c r="D1944" s="23" t="n">
        <x:v>46722</x:v>
      </x:c>
      <x:c r="E1944" s="20" t="str">
        <x:v>P019</x:v>
      </x:c>
      <x:c r="F1944" s="20" t="str">
        <x:v>U019</x:v>
      </x:c>
      <x:c r="G1944" s="20" t="str">
        <x:v>L019</x:v>
      </x:c>
      <x:c r="H1944" s="20" t="str">
        <x:v>4000 Rental Income</x:v>
      </x:c>
      <x:c r="I1944" s="26" t="n">
        <x:v>0</x:v>
      </x:c>
      <x:c r="J1944" s="26" t="n">
        <x:v>1125</x:v>
      </x:c>
      <x:c r="K1944" s="35" t="str">
        <x:v>December 2027 rent</x:v>
      </x:c>
    </x:row>
    <x:row r="1945">
      <x:c r="A1945" s="20" t="str">
        <x:v>FIN-00969</x:v>
      </x:c>
      <x:c r="B1945" s="32" t="n">
        <x:v>1</x:v>
      </x:c>
      <x:c r="C1945" s="23" t="n">
        <x:v>46725</x:v>
      </x:c>
      <x:c r="D1945" s="23" t="n">
        <x:v>46725</x:v>
      </x:c>
      <x:c r="E1945" s="20" t="str">
        <x:v>P019</x:v>
      </x:c>
      <x:c r="F1945" s="20" t="str">
        <x:v>U019</x:v>
      </x:c>
      <x:c r="G1945" s="20" t="str">
        <x:v>L019</x:v>
      </x:c>
      <x:c r="H1945" s="20" t="str">
        <x:v>1000 Operating Cash</x:v>
      </x:c>
      <x:c r="I1945" s="26" t="n">
        <x:v>1125</x:v>
      </x:c>
      <x:c r="J1945" s="26" t="n">
        <x:v>0</x:v>
      </x:c>
      <x:c r="K1945" s="35" t="str">
        <x:v>Receipt allocated to FIN-00968</x:v>
      </x:c>
    </x:row>
    <x:row r="1946">
      <x:c r="A1946" s="20" t="str">
        <x:v>FIN-00969</x:v>
      </x:c>
      <x:c r="B1946" s="32" t="n">
        <x:v>2</x:v>
      </x:c>
      <x:c r="C1946" s="23" t="n">
        <x:v>46725</x:v>
      </x:c>
      <x:c r="D1946" s="23" t="n">
        <x:v>46725</x:v>
      </x:c>
      <x:c r="E1946" s="20" t="str">
        <x:v>P019</x:v>
      </x:c>
      <x:c r="F1946" s="20" t="str">
        <x:v>U019</x:v>
      </x:c>
      <x:c r="G1946" s="20" t="str">
        <x:v>L019</x:v>
      </x:c>
      <x:c r="H1946" s="20" t="str">
        <x:v>1100 Tenant Accounts Receivable</x:v>
      </x:c>
      <x:c r="I1946" s="26" t="n">
        <x:v>0</x:v>
      </x:c>
      <x:c r="J1946" s="26" t="n">
        <x:v>1125</x:v>
      </x:c>
      <x:c r="K1946" s="35" t="str">
        <x:v>Receipt allocated to FIN-00968</x:v>
      </x:c>
    </x:row>
    <x:row r="1947">
      <x:c r="A1947" s="20" t="str">
        <x:v>FIN-00970</x:v>
      </x:c>
      <x:c r="B1947" s="32" t="n">
        <x:v>1</x:v>
      </x:c>
      <x:c r="C1947" s="23" t="n">
        <x:v>46722</x:v>
      </x:c>
      <x:c r="D1947" s="23" t="n">
        <x:v>46722</x:v>
      </x:c>
      <x:c r="E1947" s="20" t="str">
        <x:v>P020</x:v>
      </x:c>
      <x:c r="F1947" s="20" t="str">
        <x:v>U020</x:v>
      </x:c>
      <x:c r="G1947" s="20" t="str">
        <x:v>L020</x:v>
      </x:c>
      <x:c r="H1947" s="20" t="str">
        <x:v>1100 Tenant Accounts Receivable</x:v>
      </x:c>
      <x:c r="I1947" s="26" t="n">
        <x:v>1650</x:v>
      </x:c>
      <x:c r="J1947" s="26" t="n">
        <x:v>0</x:v>
      </x:c>
      <x:c r="K1947" s="35" t="str">
        <x:v>December 2027 rent</x:v>
      </x:c>
    </x:row>
    <x:row r="1948">
      <x:c r="A1948" s="20" t="str">
        <x:v>FIN-00970</x:v>
      </x:c>
      <x:c r="B1948" s="32" t="n">
        <x:v>2</x:v>
      </x:c>
      <x:c r="C1948" s="23" t="n">
        <x:v>46722</x:v>
      </x:c>
      <x:c r="D1948" s="23" t="n">
        <x:v>46722</x:v>
      </x:c>
      <x:c r="E1948" s="20" t="str">
        <x:v>P020</x:v>
      </x:c>
      <x:c r="F1948" s="20" t="str">
        <x:v>U020</x:v>
      </x:c>
      <x:c r="G1948" s="20" t="str">
        <x:v>L020</x:v>
      </x:c>
      <x:c r="H1948" s="20" t="str">
        <x:v>4000 Rental Income</x:v>
      </x:c>
      <x:c r="I1948" s="26" t="n">
        <x:v>0</x:v>
      </x:c>
      <x:c r="J1948" s="26" t="n">
        <x:v>1650</x:v>
      </x:c>
      <x:c r="K1948" s="35" t="str">
        <x:v>December 2027 rent</x:v>
      </x:c>
    </x:row>
    <x:row r="1949">
      <x:c r="A1949" s="20" t="str">
        <x:v>FIN-00971</x:v>
      </x:c>
      <x:c r="B1949" s="32" t="n">
        <x:v>1</x:v>
      </x:c>
      <x:c r="C1949" s="23" t="n">
        <x:v>46726</x:v>
      </x:c>
      <x:c r="D1949" s="23" t="n">
        <x:v>46726</x:v>
      </x:c>
      <x:c r="E1949" s="20" t="str">
        <x:v>P020</x:v>
      </x:c>
      <x:c r="F1949" s="20" t="str">
        <x:v>U020</x:v>
      </x:c>
      <x:c r="G1949" s="20" t="str">
        <x:v>L020</x:v>
      </x:c>
      <x:c r="H1949" s="20" t="str">
        <x:v>1000 Operating Cash</x:v>
      </x:c>
      <x:c r="I1949" s="26" t="n">
        <x:v>1650</x:v>
      </x:c>
      <x:c r="J1949" s="26" t="n">
        <x:v>0</x:v>
      </x:c>
      <x:c r="K1949" s="35" t="str">
        <x:v>Receipt allocated to FIN-00970</x:v>
      </x:c>
    </x:row>
    <x:row r="1950">
      <x:c r="A1950" s="20" t="str">
        <x:v>FIN-00971</x:v>
      </x:c>
      <x:c r="B1950" s="32" t="n">
        <x:v>2</x:v>
      </x:c>
      <x:c r="C1950" s="23" t="n">
        <x:v>46726</x:v>
      </x:c>
      <x:c r="D1950" s="23" t="n">
        <x:v>46726</x:v>
      </x:c>
      <x:c r="E1950" s="20" t="str">
        <x:v>P020</x:v>
      </x:c>
      <x:c r="F1950" s="20" t="str">
        <x:v>U020</x:v>
      </x:c>
      <x:c r="G1950" s="20" t="str">
        <x:v>L020</x:v>
      </x:c>
      <x:c r="H1950" s="20" t="str">
        <x:v>1100 Tenant Accounts Receivable</x:v>
      </x:c>
      <x:c r="I1950" s="26" t="n">
        <x:v>0</x:v>
      </x:c>
      <x:c r="J1950" s="26" t="n">
        <x:v>1650</x:v>
      </x:c>
      <x:c r="K1950" s="35" t="str">
        <x:v>Receipt allocated to FIN-00970</x:v>
      </x:c>
    </x:row>
    <x:row r="1951">
      <x:c r="A1951" s="20" t="str">
        <x:v>FIN-00972</x:v>
      </x:c>
      <x:c r="B1951" s="32" t="n">
        <x:v>1</x:v>
      </x:c>
      <x:c r="C1951" s="23" t="n">
        <x:v>46722</x:v>
      </x:c>
      <x:c r="D1951" s="23" t="n">
        <x:v>46722</x:v>
      </x:c>
      <x:c r="E1951" s="20" t="str">
        <x:v>P021</x:v>
      </x:c>
      <x:c r="F1951" s="20" t="str">
        <x:v>U021</x:v>
      </x:c>
      <x:c r="G1951" s="20" t="str">
        <x:v>L021</x:v>
      </x:c>
      <x:c r="H1951" s="20" t="str">
        <x:v>1100 Tenant Accounts Receivable</x:v>
      </x:c>
      <x:c r="I1951" s="26" t="n">
        <x:v>1375</x:v>
      </x:c>
      <x:c r="J1951" s="26" t="n">
        <x:v>0</x:v>
      </x:c>
      <x:c r="K1951" s="35" t="str">
        <x:v>December 2027 rent</x:v>
      </x:c>
    </x:row>
    <x:row r="1952">
      <x:c r="A1952" s="20" t="str">
        <x:v>FIN-00972</x:v>
      </x:c>
      <x:c r="B1952" s="32" t="n">
        <x:v>2</x:v>
      </x:c>
      <x:c r="C1952" s="23" t="n">
        <x:v>46722</x:v>
      </x:c>
      <x:c r="D1952" s="23" t="n">
        <x:v>46722</x:v>
      </x:c>
      <x:c r="E1952" s="20" t="str">
        <x:v>P021</x:v>
      </x:c>
      <x:c r="F1952" s="20" t="str">
        <x:v>U021</x:v>
      </x:c>
      <x:c r="G1952" s="20" t="str">
        <x:v>L021</x:v>
      </x:c>
      <x:c r="H1952" s="20" t="str">
        <x:v>4000 Rental Income</x:v>
      </x:c>
      <x:c r="I1952" s="26" t="n">
        <x:v>0</x:v>
      </x:c>
      <x:c r="J1952" s="26" t="n">
        <x:v>1375</x:v>
      </x:c>
      <x:c r="K1952" s="35" t="str">
        <x:v>December 2027 rent</x:v>
      </x:c>
    </x:row>
    <x:row r="1953">
      <x:c r="A1953" s="20" t="str">
        <x:v>FIN-00973</x:v>
      </x:c>
      <x:c r="B1953" s="32" t="n">
        <x:v>1</x:v>
      </x:c>
      <x:c r="C1953" s="23" t="n">
        <x:v>46724</x:v>
      </x:c>
      <x:c r="D1953" s="23" t="n">
        <x:v>46724</x:v>
      </x:c>
      <x:c r="E1953" s="20" t="str">
        <x:v>P021</x:v>
      </x:c>
      <x:c r="F1953" s="20" t="str">
        <x:v>U021</x:v>
      </x:c>
      <x:c r="G1953" s="20" t="str">
        <x:v>L021</x:v>
      </x:c>
      <x:c r="H1953" s="20" t="str">
        <x:v>1000 Operating Cash</x:v>
      </x:c>
      <x:c r="I1953" s="26" t="n">
        <x:v>1375</x:v>
      </x:c>
      <x:c r="J1953" s="26" t="n">
        <x:v>0</x:v>
      </x:c>
      <x:c r="K1953" s="35" t="str">
        <x:v>Receipt allocated to FIN-00972</x:v>
      </x:c>
    </x:row>
    <x:row r="1954">
      <x:c r="A1954" s="20" t="str">
        <x:v>FIN-00973</x:v>
      </x:c>
      <x:c r="B1954" s="32" t="n">
        <x:v>2</x:v>
      </x:c>
      <x:c r="C1954" s="23" t="n">
        <x:v>46724</x:v>
      </x:c>
      <x:c r="D1954" s="23" t="n">
        <x:v>46724</x:v>
      </x:c>
      <x:c r="E1954" s="20" t="str">
        <x:v>P021</x:v>
      </x:c>
      <x:c r="F1954" s="20" t="str">
        <x:v>U021</x:v>
      </x:c>
      <x:c r="G1954" s="20" t="str">
        <x:v>L021</x:v>
      </x:c>
      <x:c r="H1954" s="20" t="str">
        <x:v>1100 Tenant Accounts Receivable</x:v>
      </x:c>
      <x:c r="I1954" s="26" t="n">
        <x:v>0</x:v>
      </x:c>
      <x:c r="J1954" s="26" t="n">
        <x:v>1375</x:v>
      </x:c>
      <x:c r="K1954" s="35" t="str">
        <x:v>Receipt allocated to FIN-00972</x:v>
      </x:c>
    </x:row>
    <x:row r="1955">
      <x:c r="A1955" s="20" t="str">
        <x:v>FIN-00974</x:v>
      </x:c>
      <x:c r="B1955" s="32" t="n">
        <x:v>1</x:v>
      </x:c>
      <x:c r="C1955" s="23" t="n">
        <x:v>46722</x:v>
      </x:c>
      <x:c r="D1955" s="23" t="n">
        <x:v>46722</x:v>
      </x:c>
      <x:c r="E1955" s="20" t="str">
        <x:v>P022</x:v>
      </x:c>
      <x:c r="F1955" s="20" t="str">
        <x:v>U023</x:v>
      </x:c>
      <x:c r="G1955" s="20" t="str">
        <x:v>L023</x:v>
      </x:c>
      <x:c r="H1955" s="20" t="str">
        <x:v>1100 Tenant Accounts Receivable</x:v>
      </x:c>
      <x:c r="I1955" s="26" t="n">
        <x:v>1525</x:v>
      </x:c>
      <x:c r="J1955" s="26" t="n">
        <x:v>0</x:v>
      </x:c>
      <x:c r="K1955" s="35" t="str">
        <x:v>December 2027 rent</x:v>
      </x:c>
    </x:row>
    <x:row r="1956">
      <x:c r="A1956" s="20" t="str">
        <x:v>FIN-00974</x:v>
      </x:c>
      <x:c r="B1956" s="32" t="n">
        <x:v>2</x:v>
      </x:c>
      <x:c r="C1956" s="23" t="n">
        <x:v>46722</x:v>
      </x:c>
      <x:c r="D1956" s="23" t="n">
        <x:v>46722</x:v>
      </x:c>
      <x:c r="E1956" s="20" t="str">
        <x:v>P022</x:v>
      </x:c>
      <x:c r="F1956" s="20" t="str">
        <x:v>U023</x:v>
      </x:c>
      <x:c r="G1956" s="20" t="str">
        <x:v>L023</x:v>
      </x:c>
      <x:c r="H1956" s="20" t="str">
        <x:v>4000 Rental Income</x:v>
      </x:c>
      <x:c r="I1956" s="26" t="n">
        <x:v>0</x:v>
      </x:c>
      <x:c r="J1956" s="26" t="n">
        <x:v>1525</x:v>
      </x:c>
      <x:c r="K1956" s="35" t="str">
        <x:v>December 2027 rent</x:v>
      </x:c>
    </x:row>
    <x:row r="1957">
      <x:c r="A1957" s="20" t="str">
        <x:v>FIN-00975</x:v>
      </x:c>
      <x:c r="B1957" s="32" t="n">
        <x:v>1</x:v>
      </x:c>
      <x:c r="C1957" s="23" t="n">
        <x:v>46726</x:v>
      </x:c>
      <x:c r="D1957" s="23" t="n">
        <x:v>46726</x:v>
      </x:c>
      <x:c r="E1957" s="20" t="str">
        <x:v>P022</x:v>
      </x:c>
      <x:c r="F1957" s="20" t="str">
        <x:v>U023</x:v>
      </x:c>
      <x:c r="G1957" s="20" t="str">
        <x:v>L023</x:v>
      </x:c>
      <x:c r="H1957" s="20" t="str">
        <x:v>1000 Operating Cash</x:v>
      </x:c>
      <x:c r="I1957" s="26" t="n">
        <x:v>1525</x:v>
      </x:c>
      <x:c r="J1957" s="26" t="n">
        <x:v>0</x:v>
      </x:c>
      <x:c r="K1957" s="35" t="str">
        <x:v>Receipt allocated to FIN-00974</x:v>
      </x:c>
    </x:row>
    <x:row r="1958">
      <x:c r="A1958" s="20" t="str">
        <x:v>FIN-00975</x:v>
      </x:c>
      <x:c r="B1958" s="32" t="n">
        <x:v>2</x:v>
      </x:c>
      <x:c r="C1958" s="23" t="n">
        <x:v>46726</x:v>
      </x:c>
      <x:c r="D1958" s="23" t="n">
        <x:v>46726</x:v>
      </x:c>
      <x:c r="E1958" s="20" t="str">
        <x:v>P022</x:v>
      </x:c>
      <x:c r="F1958" s="20" t="str">
        <x:v>U023</x:v>
      </x:c>
      <x:c r="G1958" s="20" t="str">
        <x:v>L023</x:v>
      </x:c>
      <x:c r="H1958" s="20" t="str">
        <x:v>1100 Tenant Accounts Receivable</x:v>
      </x:c>
      <x:c r="I1958" s="26" t="n">
        <x:v>0</x:v>
      </x:c>
      <x:c r="J1958" s="26" t="n">
        <x:v>1525</x:v>
      </x:c>
      <x:c r="K1958" s="35" t="str">
        <x:v>Receipt allocated to FIN-00974</x:v>
      </x:c>
    </x:row>
    <x:row r="1959">
      <x:c r="A1959" s="20" t="str">
        <x:v>FIN-00976</x:v>
      </x:c>
      <x:c r="B1959" s="32" t="n">
        <x:v>1</x:v>
      </x:c>
      <x:c r="C1959" s="23" t="n">
        <x:v>46722</x:v>
      </x:c>
      <x:c r="D1959" s="23" t="n">
        <x:v>46722</x:v>
      </x:c>
      <x:c r="E1959" s="20" t="str">
        <x:v>P022</x:v>
      </x:c>
      <x:c r="F1959" s="20" t="str">
        <x:v>U024</x:v>
      </x:c>
      <x:c r="G1959" s="20" t="str">
        <x:v>L024</x:v>
      </x:c>
      <x:c r="H1959" s="20" t="str">
        <x:v>1100 Tenant Accounts Receivable</x:v>
      </x:c>
      <x:c r="I1959" s="26" t="n">
        <x:v>1150</x:v>
      </x:c>
      <x:c r="J1959" s="26" t="n">
        <x:v>0</x:v>
      </x:c>
      <x:c r="K1959" s="35" t="str">
        <x:v>December 2027 rent</x:v>
      </x:c>
    </x:row>
    <x:row r="1960">
      <x:c r="A1960" s="20" t="str">
        <x:v>FIN-00976</x:v>
      </x:c>
      <x:c r="B1960" s="32" t="n">
        <x:v>2</x:v>
      </x:c>
      <x:c r="C1960" s="23" t="n">
        <x:v>46722</x:v>
      </x:c>
      <x:c r="D1960" s="23" t="n">
        <x:v>46722</x:v>
      </x:c>
      <x:c r="E1960" s="20" t="str">
        <x:v>P022</x:v>
      </x:c>
      <x:c r="F1960" s="20" t="str">
        <x:v>U024</x:v>
      </x:c>
      <x:c r="G1960" s="20" t="str">
        <x:v>L024</x:v>
      </x:c>
      <x:c r="H1960" s="20" t="str">
        <x:v>4000 Rental Income</x:v>
      </x:c>
      <x:c r="I1960" s="26" t="n">
        <x:v>0</x:v>
      </x:c>
      <x:c r="J1960" s="26" t="n">
        <x:v>1150</x:v>
      </x:c>
      <x:c r="K1960" s="35" t="str">
        <x:v>December 2027 rent</x:v>
      </x:c>
    </x:row>
    <x:row r="1961">
      <x:c r="A1961" s="20" t="str">
        <x:v>FIN-00977</x:v>
      </x:c>
      <x:c r="B1961" s="32" t="n">
        <x:v>1</x:v>
      </x:c>
      <x:c r="C1961" s="23" t="n">
        <x:v>46724</x:v>
      </x:c>
      <x:c r="D1961" s="23" t="n">
        <x:v>46724</x:v>
      </x:c>
      <x:c r="E1961" s="20" t="str">
        <x:v>P022</x:v>
      </x:c>
      <x:c r="F1961" s="20" t="str">
        <x:v>U024</x:v>
      </x:c>
      <x:c r="G1961" s="20" t="str">
        <x:v>L024</x:v>
      </x:c>
      <x:c r="H1961" s="20" t="str">
        <x:v>1000 Operating Cash</x:v>
      </x:c>
      <x:c r="I1961" s="26" t="n">
        <x:v>1150</x:v>
      </x:c>
      <x:c r="J1961" s="26" t="n">
        <x:v>0</x:v>
      </x:c>
      <x:c r="K1961" s="35" t="str">
        <x:v>Receipt allocated to FIN-00976</x:v>
      </x:c>
    </x:row>
    <x:row r="1962">
      <x:c r="A1962" s="20" t="str">
        <x:v>FIN-00977</x:v>
      </x:c>
      <x:c r="B1962" s="32" t="n">
        <x:v>2</x:v>
      </x:c>
      <x:c r="C1962" s="23" t="n">
        <x:v>46724</x:v>
      </x:c>
      <x:c r="D1962" s="23" t="n">
        <x:v>46724</x:v>
      </x:c>
      <x:c r="E1962" s="20" t="str">
        <x:v>P022</x:v>
      </x:c>
      <x:c r="F1962" s="20" t="str">
        <x:v>U024</x:v>
      </x:c>
      <x:c r="G1962" s="20" t="str">
        <x:v>L024</x:v>
      </x:c>
      <x:c r="H1962" s="20" t="str">
        <x:v>1100 Tenant Accounts Receivable</x:v>
      </x:c>
      <x:c r="I1962" s="26" t="n">
        <x:v>0</x:v>
      </x:c>
      <x:c r="J1962" s="26" t="n">
        <x:v>1150</x:v>
      </x:c>
      <x:c r="K1962" s="35" t="str">
        <x:v>Receipt allocated to FIN-00976</x:v>
      </x:c>
    </x:row>
    <x:row r="1963">
      <x:c r="A1963" s="20" t="str">
        <x:v>FIN-00978</x:v>
      </x:c>
      <x:c r="B1963" s="32" t="n">
        <x:v>1</x:v>
      </x:c>
      <x:c r="C1963" s="23" t="n">
        <x:v>46722</x:v>
      </x:c>
      <x:c r="D1963" s="23" t="n">
        <x:v>46722</x:v>
      </x:c>
      <x:c r="E1963" s="20" t="str">
        <x:v>P023</x:v>
      </x:c>
      <x:c r="F1963" s="20" t="str">
        <x:v>U025</x:v>
      </x:c>
      <x:c r="G1963" s="20" t="str">
        <x:v>L025</x:v>
      </x:c>
      <x:c r="H1963" s="20" t="str">
        <x:v>1100 Tenant Accounts Receivable</x:v>
      </x:c>
      <x:c r="I1963" s="26" t="n">
        <x:v>1675</x:v>
      </x:c>
      <x:c r="J1963" s="26" t="n">
        <x:v>0</x:v>
      </x:c>
      <x:c r="K1963" s="35" t="str">
        <x:v>December 2027 rent</x:v>
      </x:c>
    </x:row>
    <x:row r="1964">
      <x:c r="A1964" s="20" t="str">
        <x:v>FIN-00978</x:v>
      </x:c>
      <x:c r="B1964" s="32" t="n">
        <x:v>2</x:v>
      </x:c>
      <x:c r="C1964" s="23" t="n">
        <x:v>46722</x:v>
      </x:c>
      <x:c r="D1964" s="23" t="n">
        <x:v>46722</x:v>
      </x:c>
      <x:c r="E1964" s="20" t="str">
        <x:v>P023</x:v>
      </x:c>
      <x:c r="F1964" s="20" t="str">
        <x:v>U025</x:v>
      </x:c>
      <x:c r="G1964" s="20" t="str">
        <x:v>L025</x:v>
      </x:c>
      <x:c r="H1964" s="20" t="str">
        <x:v>4000 Rental Income</x:v>
      </x:c>
      <x:c r="I1964" s="26" t="n">
        <x:v>0</x:v>
      </x:c>
      <x:c r="J1964" s="26" t="n">
        <x:v>1675</x:v>
      </x:c>
      <x:c r="K1964" s="35" t="str">
        <x:v>December 2027 rent</x:v>
      </x:c>
    </x:row>
    <x:row r="1965">
      <x:c r="A1965" s="20" t="str">
        <x:v>FIN-00979</x:v>
      </x:c>
      <x:c r="B1965" s="32" t="n">
        <x:v>1</x:v>
      </x:c>
      <x:c r="C1965" s="23" t="n">
        <x:v>46725</x:v>
      </x:c>
      <x:c r="D1965" s="23" t="n">
        <x:v>46725</x:v>
      </x:c>
      <x:c r="E1965" s="20" t="str">
        <x:v>P023</x:v>
      </x:c>
      <x:c r="F1965" s="20" t="str">
        <x:v>U025</x:v>
      </x:c>
      <x:c r="G1965" s="20" t="str">
        <x:v>L025</x:v>
      </x:c>
      <x:c r="H1965" s="20" t="str">
        <x:v>1000 Operating Cash</x:v>
      </x:c>
      <x:c r="I1965" s="26" t="n">
        <x:v>1675</x:v>
      </x:c>
      <x:c r="J1965" s="26" t="n">
        <x:v>0</x:v>
      </x:c>
      <x:c r="K1965" s="35" t="str">
        <x:v>Receipt allocated to FIN-00978</x:v>
      </x:c>
    </x:row>
    <x:row r="1966">
      <x:c r="A1966" s="20" t="str">
        <x:v>FIN-00979</x:v>
      </x:c>
      <x:c r="B1966" s="32" t="n">
        <x:v>2</x:v>
      </x:c>
      <x:c r="C1966" s="23" t="n">
        <x:v>46725</x:v>
      </x:c>
      <x:c r="D1966" s="23" t="n">
        <x:v>46725</x:v>
      </x:c>
      <x:c r="E1966" s="20" t="str">
        <x:v>P023</x:v>
      </x:c>
      <x:c r="F1966" s="20" t="str">
        <x:v>U025</x:v>
      </x:c>
      <x:c r="G1966" s="20" t="str">
        <x:v>L025</x:v>
      </x:c>
      <x:c r="H1966" s="20" t="str">
        <x:v>1100 Tenant Accounts Receivable</x:v>
      </x:c>
      <x:c r="I1966" s="26" t="n">
        <x:v>0</x:v>
      </x:c>
      <x:c r="J1966" s="26" t="n">
        <x:v>1675</x:v>
      </x:c>
      <x:c r="K1966" s="35" t="str">
        <x:v>Receipt allocated to FIN-00978</x:v>
      </x:c>
    </x:row>
    <x:row r="1967">
      <x:c r="A1967" s="20" t="str">
        <x:v>FIN-00980</x:v>
      </x:c>
      <x:c r="B1967" s="32" t="n">
        <x:v>1</x:v>
      </x:c>
      <x:c r="C1967" s="23" t="n">
        <x:v>46722</x:v>
      </x:c>
      <x:c r="D1967" s="23" t="n">
        <x:v>46722</x:v>
      </x:c>
      <x:c r="E1967" s="20" t="str">
        <x:v>P023</x:v>
      </x:c>
      <x:c r="F1967" s="20" t="str">
        <x:v>U026</x:v>
      </x:c>
      <x:c r="G1967" s="20" t="str">
        <x:v>L026</x:v>
      </x:c>
      <x:c r="H1967" s="20" t="str">
        <x:v>1100 Tenant Accounts Receivable</x:v>
      </x:c>
      <x:c r="I1967" s="26" t="n">
        <x:v>1300</x:v>
      </x:c>
      <x:c r="J1967" s="26" t="n">
        <x:v>0</x:v>
      </x:c>
      <x:c r="K1967" s="35" t="str">
        <x:v>December 2027 rent</x:v>
      </x:c>
    </x:row>
    <x:row r="1968">
      <x:c r="A1968" s="20" t="str">
        <x:v>FIN-00980</x:v>
      </x:c>
      <x:c r="B1968" s="32" t="n">
        <x:v>2</x:v>
      </x:c>
      <x:c r="C1968" s="23" t="n">
        <x:v>46722</x:v>
      </x:c>
      <x:c r="D1968" s="23" t="n">
        <x:v>46722</x:v>
      </x:c>
      <x:c r="E1968" s="20" t="str">
        <x:v>P023</x:v>
      </x:c>
      <x:c r="F1968" s="20" t="str">
        <x:v>U026</x:v>
      </x:c>
      <x:c r="G1968" s="20" t="str">
        <x:v>L026</x:v>
      </x:c>
      <x:c r="H1968" s="20" t="str">
        <x:v>4000 Rental Income</x:v>
      </x:c>
      <x:c r="I1968" s="26" t="n">
        <x:v>0</x:v>
      </x:c>
      <x:c r="J1968" s="26" t="n">
        <x:v>1300</x:v>
      </x:c>
      <x:c r="K1968" s="35" t="str">
        <x:v>December 2027 rent</x:v>
      </x:c>
    </x:row>
    <x:row r="1969">
      <x:c r="A1969" s="20" t="str">
        <x:v>FIN-00981</x:v>
      </x:c>
      <x:c r="B1969" s="32" t="n">
        <x:v>1</x:v>
      </x:c>
      <x:c r="C1969" s="23" t="n">
        <x:v>46727</x:v>
      </x:c>
      <x:c r="D1969" s="23" t="n">
        <x:v>46727</x:v>
      </x:c>
      <x:c r="E1969" s="20" t="str">
        <x:v>P023</x:v>
      </x:c>
      <x:c r="F1969" s="20" t="str">
        <x:v>U026</x:v>
      </x:c>
      <x:c r="G1969" s="20" t="str">
        <x:v>L026</x:v>
      </x:c>
      <x:c r="H1969" s="20" t="str">
        <x:v>1100 Tenant Accounts Receivable</x:v>
      </x:c>
      <x:c r="I1969" s="26" t="n">
        <x:v>50</x:v>
      </x:c>
      <x:c r="J1969" s="26" t="n">
        <x:v>0</x:v>
      </x:c>
      <x:c r="K1969" s="35" t="str">
        <x:v>Synthetic lease-authorized late fee</x:v>
      </x:c>
    </x:row>
    <x:row r="1970">
      <x:c r="A1970" s="20" t="str">
        <x:v>FIN-00981</x:v>
      </x:c>
      <x:c r="B1970" s="32" t="n">
        <x:v>2</x:v>
      </x:c>
      <x:c r="C1970" s="23" t="n">
        <x:v>46727</x:v>
      </x:c>
      <x:c r="D1970" s="23" t="n">
        <x:v>46727</x:v>
      </x:c>
      <x:c r="E1970" s="20" t="str">
        <x:v>P023</x:v>
      </x:c>
      <x:c r="F1970" s="20" t="str">
        <x:v>U026</x:v>
      </x:c>
      <x:c r="G1970" s="20" t="str">
        <x:v>L026</x:v>
      </x:c>
      <x:c r="H1970" s="20" t="str">
        <x:v>4010 Late Fee Income</x:v>
      </x:c>
      <x:c r="I1970" s="26" t="n">
        <x:v>0</x:v>
      </x:c>
      <x:c r="J1970" s="26" t="n">
        <x:v>50</x:v>
      </x:c>
      <x:c r="K1970" s="35" t="str">
        <x:v>Synthetic lease-authorized late fee</x:v>
      </x:c>
    </x:row>
    <x:row r="1971">
      <x:c r="A1971" s="20" t="str">
        <x:v>FIN-00982</x:v>
      </x:c>
      <x:c r="B1971" s="32" t="n">
        <x:v>1</x:v>
      </x:c>
      <x:c r="C1971" s="23" t="n">
        <x:v>46729</x:v>
      </x:c>
      <x:c r="D1971" s="23" t="n">
        <x:v>46729</x:v>
      </x:c>
      <x:c r="E1971" s="20" t="str">
        <x:v>P023</x:v>
      </x:c>
      <x:c r="F1971" s="20" t="str">
        <x:v>U026</x:v>
      </x:c>
      <x:c r="G1971" s="20" t="str">
        <x:v>L026</x:v>
      </x:c>
      <x:c r="H1971" s="20" t="str">
        <x:v>1000 Operating Cash</x:v>
      </x:c>
      <x:c r="I1971" s="26" t="n">
        <x:v>1350</x:v>
      </x:c>
      <x:c r="J1971" s="26" t="n">
        <x:v>0</x:v>
      </x:c>
      <x:c r="K1971" s="35" t="str">
        <x:v>Receipt allocated to FIN-00981</x:v>
      </x:c>
    </x:row>
    <x:row r="1972">
      <x:c r="A1972" s="20" t="str">
        <x:v>FIN-00982</x:v>
      </x:c>
      <x:c r="B1972" s="32" t="n">
        <x:v>2</x:v>
      </x:c>
      <x:c r="C1972" s="23" t="n">
        <x:v>46729</x:v>
      </x:c>
      <x:c r="D1972" s="23" t="n">
        <x:v>46729</x:v>
      </x:c>
      <x:c r="E1972" s="20" t="str">
        <x:v>P023</x:v>
      </x:c>
      <x:c r="F1972" s="20" t="str">
        <x:v>U026</x:v>
      </x:c>
      <x:c r="G1972" s="20" t="str">
        <x:v>L026</x:v>
      </x:c>
      <x:c r="H1972" s="20" t="str">
        <x:v>1100 Tenant Accounts Receivable</x:v>
      </x:c>
      <x:c r="I1972" s="26" t="n">
        <x:v>0</x:v>
      </x:c>
      <x:c r="J1972" s="26" t="n">
        <x:v>1350</x:v>
      </x:c>
      <x:c r="K1972" s="35" t="str">
        <x:v>Receipt allocated to FIN-00981</x:v>
      </x:c>
    </x:row>
    <x:row r="1973">
      <x:c r="A1973" s="20" t="str">
        <x:v>FIN-00983</x:v>
      </x:c>
      <x:c r="B1973" s="32" t="n">
        <x:v>1</x:v>
      </x:c>
      <x:c r="C1973" s="23" t="n">
        <x:v>46722</x:v>
      </x:c>
      <x:c r="D1973" s="23" t="n">
        <x:v>46722</x:v>
      </x:c>
      <x:c r="E1973" s="20" t="str">
        <x:v>P024</x:v>
      </x:c>
      <x:c r="F1973" s="20" t="str">
        <x:v>U027</x:v>
      </x:c>
      <x:c r="G1973" s="20" t="str">
        <x:v>L027</x:v>
      </x:c>
      <x:c r="H1973" s="20" t="str">
        <x:v>1100 Tenant Accounts Receivable</x:v>
      </x:c>
      <x:c r="I1973" s="26" t="n">
        <x:v>1825</x:v>
      </x:c>
      <x:c r="J1973" s="26" t="n">
        <x:v>0</x:v>
      </x:c>
      <x:c r="K1973" s="35" t="str">
        <x:v>December 2027 rent</x:v>
      </x:c>
    </x:row>
    <x:row r="1974">
      <x:c r="A1974" s="20" t="str">
        <x:v>FIN-00983</x:v>
      </x:c>
      <x:c r="B1974" s="32" t="n">
        <x:v>2</x:v>
      </x:c>
      <x:c r="C1974" s="23" t="n">
        <x:v>46722</x:v>
      </x:c>
      <x:c r="D1974" s="23" t="n">
        <x:v>46722</x:v>
      </x:c>
      <x:c r="E1974" s="20" t="str">
        <x:v>P024</x:v>
      </x:c>
      <x:c r="F1974" s="20" t="str">
        <x:v>U027</x:v>
      </x:c>
      <x:c r="G1974" s="20" t="str">
        <x:v>L027</x:v>
      </x:c>
      <x:c r="H1974" s="20" t="str">
        <x:v>4000 Rental Income</x:v>
      </x:c>
      <x:c r="I1974" s="26" t="n">
        <x:v>0</x:v>
      </x:c>
      <x:c r="J1974" s="26" t="n">
        <x:v>1825</x:v>
      </x:c>
      <x:c r="K1974" s="35" t="str">
        <x:v>December 2027 rent</x:v>
      </x:c>
    </x:row>
    <x:row r="1975">
      <x:c r="A1975" s="20" t="str">
        <x:v>FIN-00984</x:v>
      </x:c>
      <x:c r="B1975" s="32" t="n">
        <x:v>1</x:v>
      </x:c>
      <x:c r="C1975" s="23" t="n">
        <x:v>46724</x:v>
      </x:c>
      <x:c r="D1975" s="23" t="n">
        <x:v>46724</x:v>
      </x:c>
      <x:c r="E1975" s="20" t="str">
        <x:v>P024</x:v>
      </x:c>
      <x:c r="F1975" s="20" t="str">
        <x:v>U027</x:v>
      </x:c>
      <x:c r="G1975" s="20" t="str">
        <x:v>L027</x:v>
      </x:c>
      <x:c r="H1975" s="20" t="str">
        <x:v>1000 Operating Cash</x:v>
      </x:c>
      <x:c r="I1975" s="26" t="n">
        <x:v>1825</x:v>
      </x:c>
      <x:c r="J1975" s="26" t="n">
        <x:v>0</x:v>
      </x:c>
      <x:c r="K1975" s="35" t="str">
        <x:v>Receipt allocated to FIN-00983</x:v>
      </x:c>
    </x:row>
    <x:row r="1976">
      <x:c r="A1976" s="20" t="str">
        <x:v>FIN-00984</x:v>
      </x:c>
      <x:c r="B1976" s="32" t="n">
        <x:v>2</x:v>
      </x:c>
      <x:c r="C1976" s="23" t="n">
        <x:v>46724</x:v>
      </x:c>
      <x:c r="D1976" s="23" t="n">
        <x:v>46724</x:v>
      </x:c>
      <x:c r="E1976" s="20" t="str">
        <x:v>P024</x:v>
      </x:c>
      <x:c r="F1976" s="20" t="str">
        <x:v>U027</x:v>
      </x:c>
      <x:c r="G1976" s="20" t="str">
        <x:v>L027</x:v>
      </x:c>
      <x:c r="H1976" s="20" t="str">
        <x:v>1100 Tenant Accounts Receivable</x:v>
      </x:c>
      <x:c r="I1976" s="26" t="n">
        <x:v>0</x:v>
      </x:c>
      <x:c r="J1976" s="26" t="n">
        <x:v>1825</x:v>
      </x:c>
      <x:c r="K1976" s="35" t="str">
        <x:v>Receipt allocated to FIN-00983</x:v>
      </x:c>
    </x:row>
    <x:row r="1977">
      <x:c r="A1977" s="20" t="str">
        <x:v>FIN-00985</x:v>
      </x:c>
      <x:c r="B1977" s="32" t="n">
        <x:v>1</x:v>
      </x:c>
      <x:c r="C1977" s="23" t="n">
        <x:v>46722</x:v>
      </x:c>
      <x:c r="D1977" s="23" t="n">
        <x:v>46722</x:v>
      </x:c>
      <x:c r="E1977" s="20" t="str">
        <x:v>P024</x:v>
      </x:c>
      <x:c r="F1977" s="20" t="str">
        <x:v>U028</x:v>
      </x:c>
      <x:c r="G1977" s="20" t="str">
        <x:v>L028</x:v>
      </x:c>
      <x:c r="H1977" s="20" t="str">
        <x:v>1100 Tenant Accounts Receivable</x:v>
      </x:c>
      <x:c r="I1977" s="26" t="n">
        <x:v>1450</x:v>
      </x:c>
      <x:c r="J1977" s="26" t="n">
        <x:v>0</x:v>
      </x:c>
      <x:c r="K1977" s="35" t="str">
        <x:v>December 2027 rent</x:v>
      </x:c>
    </x:row>
    <x:row r="1978">
      <x:c r="A1978" s="20" t="str">
        <x:v>FIN-00985</x:v>
      </x:c>
      <x:c r="B1978" s="32" t="n">
        <x:v>2</x:v>
      </x:c>
      <x:c r="C1978" s="23" t="n">
        <x:v>46722</x:v>
      </x:c>
      <x:c r="D1978" s="23" t="n">
        <x:v>46722</x:v>
      </x:c>
      <x:c r="E1978" s="20" t="str">
        <x:v>P024</x:v>
      </x:c>
      <x:c r="F1978" s="20" t="str">
        <x:v>U028</x:v>
      </x:c>
      <x:c r="G1978" s="20" t="str">
        <x:v>L028</x:v>
      </x:c>
      <x:c r="H1978" s="20" t="str">
        <x:v>4000 Rental Income</x:v>
      </x:c>
      <x:c r="I1978" s="26" t="n">
        <x:v>0</x:v>
      </x:c>
      <x:c r="J1978" s="26" t="n">
        <x:v>1450</x:v>
      </x:c>
      <x:c r="K1978" s="35" t="str">
        <x:v>December 2027 rent</x:v>
      </x:c>
    </x:row>
    <x:row r="1979">
      <x:c r="A1979" s="20" t="str">
        <x:v>FIN-00986</x:v>
      </x:c>
      <x:c r="B1979" s="32" t="n">
        <x:v>1</x:v>
      </x:c>
      <x:c r="C1979" s="23" t="n">
        <x:v>46725</x:v>
      </x:c>
      <x:c r="D1979" s="23" t="n">
        <x:v>46725</x:v>
      </x:c>
      <x:c r="E1979" s="20" t="str">
        <x:v>P024</x:v>
      </x:c>
      <x:c r="F1979" s="20" t="str">
        <x:v>U028</x:v>
      </x:c>
      <x:c r="G1979" s="20" t="str">
        <x:v>L028</x:v>
      </x:c>
      <x:c r="H1979" s="20" t="str">
        <x:v>1000 Operating Cash</x:v>
      </x:c>
      <x:c r="I1979" s="26" t="n">
        <x:v>1450</x:v>
      </x:c>
      <x:c r="J1979" s="26" t="n">
        <x:v>0</x:v>
      </x:c>
      <x:c r="K1979" s="35" t="str">
        <x:v>Receipt allocated to FIN-00985</x:v>
      </x:c>
    </x:row>
    <x:row r="1980">
      <x:c r="A1980" s="20" t="str">
        <x:v>FIN-00986</x:v>
      </x:c>
      <x:c r="B1980" s="32" t="n">
        <x:v>2</x:v>
      </x:c>
      <x:c r="C1980" s="23" t="n">
        <x:v>46725</x:v>
      </x:c>
      <x:c r="D1980" s="23" t="n">
        <x:v>46725</x:v>
      </x:c>
      <x:c r="E1980" s="20" t="str">
        <x:v>P024</x:v>
      </x:c>
      <x:c r="F1980" s="20" t="str">
        <x:v>U028</x:v>
      </x:c>
      <x:c r="G1980" s="20" t="str">
        <x:v>L028</x:v>
      </x:c>
      <x:c r="H1980" s="20" t="str">
        <x:v>1100 Tenant Accounts Receivable</x:v>
      </x:c>
      <x:c r="I1980" s="26" t="n">
        <x:v>0</x:v>
      </x:c>
      <x:c r="J1980" s="26" t="n">
        <x:v>1450</x:v>
      </x:c>
      <x:c r="K1980" s="35" t="str">
        <x:v>Receipt allocated to FIN-00985</x:v>
      </x:c>
    </x:row>
    <x:row r="1981">
      <x:c r="A1981" s="20" t="str">
        <x:v>FIN-00987</x:v>
      </x:c>
      <x:c r="B1981" s="32" t="n">
        <x:v>1</x:v>
      </x:c>
      <x:c r="C1981" s="23" t="n">
        <x:v>46722</x:v>
      </x:c>
      <x:c r="D1981" s="23" t="n">
        <x:v>46722</x:v>
      </x:c>
      <x:c r="E1981" s="20" t="str">
        <x:v>P025</x:v>
      </x:c>
      <x:c r="F1981" s="20" t="str">
        <x:v>U029</x:v>
      </x:c>
      <x:c r="G1981" s="20" t="str">
        <x:v>L029</x:v>
      </x:c>
      <x:c r="H1981" s="20" t="str">
        <x:v>1100 Tenant Accounts Receivable</x:v>
      </x:c>
      <x:c r="I1981" s="26" t="n">
        <x:v>1975</x:v>
      </x:c>
      <x:c r="J1981" s="26" t="n">
        <x:v>0</x:v>
      </x:c>
      <x:c r="K1981" s="35" t="str">
        <x:v>December 2027 rent</x:v>
      </x:c>
    </x:row>
    <x:row r="1982">
      <x:c r="A1982" s="20" t="str">
        <x:v>FIN-00987</x:v>
      </x:c>
      <x:c r="B1982" s="32" t="n">
        <x:v>2</x:v>
      </x:c>
      <x:c r="C1982" s="23" t="n">
        <x:v>46722</x:v>
      </x:c>
      <x:c r="D1982" s="23" t="n">
        <x:v>46722</x:v>
      </x:c>
      <x:c r="E1982" s="20" t="str">
        <x:v>P025</x:v>
      </x:c>
      <x:c r="F1982" s="20" t="str">
        <x:v>U029</x:v>
      </x:c>
      <x:c r="G1982" s="20" t="str">
        <x:v>L029</x:v>
      </x:c>
      <x:c r="H1982" s="20" t="str">
        <x:v>4000 Rental Income</x:v>
      </x:c>
      <x:c r="I1982" s="26" t="n">
        <x:v>0</x:v>
      </x:c>
      <x:c r="J1982" s="26" t="n">
        <x:v>1975</x:v>
      </x:c>
      <x:c r="K1982" s="35" t="str">
        <x:v>December 2027 rent</x:v>
      </x:c>
    </x:row>
    <x:row r="1983">
      <x:c r="A1983" s="20" t="str">
        <x:v>FIN-00988</x:v>
      </x:c>
      <x:c r="B1983" s="32" t="n">
        <x:v>1</x:v>
      </x:c>
      <x:c r="C1983" s="23" t="n">
        <x:v>46726</x:v>
      </x:c>
      <x:c r="D1983" s="23" t="n">
        <x:v>46726</x:v>
      </x:c>
      <x:c r="E1983" s="20" t="str">
        <x:v>P025</x:v>
      </x:c>
      <x:c r="F1983" s="20" t="str">
        <x:v>U029</x:v>
      </x:c>
      <x:c r="G1983" s="20" t="str">
        <x:v>L029</x:v>
      </x:c>
      <x:c r="H1983" s="20" t="str">
        <x:v>1000 Operating Cash</x:v>
      </x:c>
      <x:c r="I1983" s="26" t="n">
        <x:v>1975</x:v>
      </x:c>
      <x:c r="J1983" s="26" t="n">
        <x:v>0</x:v>
      </x:c>
      <x:c r="K1983" s="35" t="str">
        <x:v>Receipt allocated to FIN-00987</x:v>
      </x:c>
    </x:row>
    <x:row r="1984">
      <x:c r="A1984" s="20" t="str">
        <x:v>FIN-00988</x:v>
      </x:c>
      <x:c r="B1984" s="32" t="n">
        <x:v>2</x:v>
      </x:c>
      <x:c r="C1984" s="23" t="n">
        <x:v>46726</x:v>
      </x:c>
      <x:c r="D1984" s="23" t="n">
        <x:v>46726</x:v>
      </x:c>
      <x:c r="E1984" s="20" t="str">
        <x:v>P025</x:v>
      </x:c>
      <x:c r="F1984" s="20" t="str">
        <x:v>U029</x:v>
      </x:c>
      <x:c r="G1984" s="20" t="str">
        <x:v>L029</x:v>
      </x:c>
      <x:c r="H1984" s="20" t="str">
        <x:v>1100 Tenant Accounts Receivable</x:v>
      </x:c>
      <x:c r="I1984" s="26" t="n">
        <x:v>0</x:v>
      </x:c>
      <x:c r="J1984" s="26" t="n">
        <x:v>1975</x:v>
      </x:c>
      <x:c r="K1984" s="35" t="str">
        <x:v>Receipt allocated to FIN-00987</x:v>
      </x:c>
    </x:row>
    <x:row r="1985">
      <x:c r="A1985" s="20" t="str">
        <x:v>FIN-00989</x:v>
      </x:c>
      <x:c r="B1985" s="32" t="n">
        <x:v>1</x:v>
      </x:c>
      <x:c r="C1985" s="23" t="n">
        <x:v>46722</x:v>
      </x:c>
      <x:c r="D1985" s="23" t="n">
        <x:v>46722</x:v>
      </x:c>
      <x:c r="E1985" s="20" t="str">
        <x:v>P025</x:v>
      </x:c>
      <x:c r="F1985" s="20" t="str">
        <x:v>U030</x:v>
      </x:c>
      <x:c r="G1985" s="20" t="str">
        <x:v>L030</x:v>
      </x:c>
      <x:c r="H1985" s="20" t="str">
        <x:v>1100 Tenant Accounts Receivable</x:v>
      </x:c>
      <x:c r="I1985" s="26" t="n">
        <x:v>1600</x:v>
      </x:c>
      <x:c r="J1985" s="26" t="n">
        <x:v>0</x:v>
      </x:c>
      <x:c r="K1985" s="35" t="str">
        <x:v>December 2027 rent</x:v>
      </x:c>
    </x:row>
    <x:row r="1986">
      <x:c r="A1986" s="20" t="str">
        <x:v>FIN-00989</x:v>
      </x:c>
      <x:c r="B1986" s="32" t="n">
        <x:v>2</x:v>
      </x:c>
      <x:c r="C1986" s="23" t="n">
        <x:v>46722</x:v>
      </x:c>
      <x:c r="D1986" s="23" t="n">
        <x:v>46722</x:v>
      </x:c>
      <x:c r="E1986" s="20" t="str">
        <x:v>P025</x:v>
      </x:c>
      <x:c r="F1986" s="20" t="str">
        <x:v>U030</x:v>
      </x:c>
      <x:c r="G1986" s="20" t="str">
        <x:v>L030</x:v>
      </x:c>
      <x:c r="H1986" s="20" t="str">
        <x:v>4000 Rental Income</x:v>
      </x:c>
      <x:c r="I1986" s="26" t="n">
        <x:v>0</x:v>
      </x:c>
      <x:c r="J1986" s="26" t="n">
        <x:v>1600</x:v>
      </x:c>
      <x:c r="K1986" s="35" t="str">
        <x:v>December 2027 rent</x:v>
      </x:c>
    </x:row>
    <x:row r="1987">
      <x:c r="A1987" s="20" t="str">
        <x:v>FIN-00990</x:v>
      </x:c>
      <x:c r="B1987" s="32" t="n">
        <x:v>1</x:v>
      </x:c>
      <x:c r="C1987" s="23" t="n">
        <x:v>46724</x:v>
      </x:c>
      <x:c r="D1987" s="23" t="n">
        <x:v>46724</x:v>
      </x:c>
      <x:c r="E1987" s="20" t="str">
        <x:v>P025</x:v>
      </x:c>
      <x:c r="F1987" s="20" t="str">
        <x:v>U030</x:v>
      </x:c>
      <x:c r="G1987" s="20" t="str">
        <x:v>L030</x:v>
      </x:c>
      <x:c r="H1987" s="20" t="str">
        <x:v>1000 Operating Cash</x:v>
      </x:c>
      <x:c r="I1987" s="26" t="n">
        <x:v>1600</x:v>
      </x:c>
      <x:c r="J1987" s="26" t="n">
        <x:v>0</x:v>
      </x:c>
      <x:c r="K1987" s="35" t="str">
        <x:v>Receipt allocated to FIN-00989</x:v>
      </x:c>
    </x:row>
    <x:row r="1988">
      <x:c r="A1988" s="20" t="str">
        <x:v>FIN-00990</x:v>
      </x:c>
      <x:c r="B1988" s="32" t="n">
        <x:v>2</x:v>
      </x:c>
      <x:c r="C1988" s="23" t="n">
        <x:v>46724</x:v>
      </x:c>
      <x:c r="D1988" s="23" t="n">
        <x:v>46724</x:v>
      </x:c>
      <x:c r="E1988" s="20" t="str">
        <x:v>P025</x:v>
      </x:c>
      <x:c r="F1988" s="20" t="str">
        <x:v>U030</x:v>
      </x:c>
      <x:c r="G1988" s="20" t="str">
        <x:v>L030</x:v>
      </x:c>
      <x:c r="H1988" s="20" t="str">
        <x:v>1100 Tenant Accounts Receivable</x:v>
      </x:c>
      <x:c r="I1988" s="26" t="n">
        <x:v>0</x:v>
      </x:c>
      <x:c r="J1988" s="26" t="n">
        <x:v>1600</x:v>
      </x:c>
      <x:c r="K1988" s="35" t="str">
        <x:v>Receipt allocated to FIN-00989</x:v>
      </x:c>
    </x:row>
    <x:row r="1989">
      <x:c r="A1989" s="20" t="str">
        <x:v>FIN-00991</x:v>
      </x:c>
      <x:c r="B1989" s="32" t="n">
        <x:v>1</x:v>
      </x:c>
      <x:c r="C1989" s="23" t="n">
        <x:v>46722</x:v>
      </x:c>
      <x:c r="D1989" s="23" t="n">
        <x:v>46722</x:v>
      </x:c>
      <x:c r="E1989" s="20" t="str">
        <x:v>P026</x:v>
      </x:c>
      <x:c r="F1989" s="20" t="str">
        <x:v>U031</x:v>
      </x:c>
      <x:c r="G1989" s="20" t="str">
        <x:v>L031</x:v>
      </x:c>
      <x:c r="H1989" s="20" t="str">
        <x:v>1100 Tenant Accounts Receivable</x:v>
      </x:c>
      <x:c r="I1989" s="26" t="n">
        <x:v>1225</x:v>
      </x:c>
      <x:c r="J1989" s="26" t="n">
        <x:v>0</x:v>
      </x:c>
      <x:c r="K1989" s="35" t="str">
        <x:v>December 2027 rent</x:v>
      </x:c>
    </x:row>
    <x:row r="1990">
      <x:c r="A1990" s="20" t="str">
        <x:v>FIN-00991</x:v>
      </x:c>
      <x:c r="B1990" s="32" t="n">
        <x:v>2</x:v>
      </x:c>
      <x:c r="C1990" s="23" t="n">
        <x:v>46722</x:v>
      </x:c>
      <x:c r="D1990" s="23" t="n">
        <x:v>46722</x:v>
      </x:c>
      <x:c r="E1990" s="20" t="str">
        <x:v>P026</x:v>
      </x:c>
      <x:c r="F1990" s="20" t="str">
        <x:v>U031</x:v>
      </x:c>
      <x:c r="G1990" s="20" t="str">
        <x:v>L031</x:v>
      </x:c>
      <x:c r="H1990" s="20" t="str">
        <x:v>4000 Rental Income</x:v>
      </x:c>
      <x:c r="I1990" s="26" t="n">
        <x:v>0</x:v>
      </x:c>
      <x:c r="J1990" s="26" t="n">
        <x:v>1225</x:v>
      </x:c>
      <x:c r="K1990" s="35" t="str">
        <x:v>December 2027 rent</x:v>
      </x:c>
    </x:row>
    <x:row r="1991">
      <x:c r="A1991" s="20" t="str">
        <x:v>FIN-00992</x:v>
      </x:c>
      <x:c r="B1991" s="32" t="n">
        <x:v>1</x:v>
      </x:c>
      <x:c r="C1991" s="23" t="n">
        <x:v>46725</x:v>
      </x:c>
      <x:c r="D1991" s="23" t="n">
        <x:v>46725</x:v>
      </x:c>
      <x:c r="E1991" s="20" t="str">
        <x:v>P026</x:v>
      </x:c>
      <x:c r="F1991" s="20" t="str">
        <x:v>U031</x:v>
      </x:c>
      <x:c r="G1991" s="20" t="str">
        <x:v>L031</x:v>
      </x:c>
      <x:c r="H1991" s="20" t="str">
        <x:v>1000 Operating Cash</x:v>
      </x:c>
      <x:c r="I1991" s="26" t="n">
        <x:v>1225</x:v>
      </x:c>
      <x:c r="J1991" s="26" t="n">
        <x:v>0</x:v>
      </x:c>
      <x:c r="K1991" s="35" t="str">
        <x:v>Receipt allocated to FIN-00991</x:v>
      </x:c>
    </x:row>
    <x:row r="1992">
      <x:c r="A1992" s="20" t="str">
        <x:v>FIN-00992</x:v>
      </x:c>
      <x:c r="B1992" s="32" t="n">
        <x:v>2</x:v>
      </x:c>
      <x:c r="C1992" s="23" t="n">
        <x:v>46725</x:v>
      </x:c>
      <x:c r="D1992" s="23" t="n">
        <x:v>46725</x:v>
      </x:c>
      <x:c r="E1992" s="20" t="str">
        <x:v>P026</x:v>
      </x:c>
      <x:c r="F1992" s="20" t="str">
        <x:v>U031</x:v>
      </x:c>
      <x:c r="G1992" s="20" t="str">
        <x:v>L031</x:v>
      </x:c>
      <x:c r="H1992" s="20" t="str">
        <x:v>1100 Tenant Accounts Receivable</x:v>
      </x:c>
      <x:c r="I1992" s="26" t="n">
        <x:v>0</x:v>
      </x:c>
      <x:c r="J1992" s="26" t="n">
        <x:v>1225</x:v>
      </x:c>
      <x:c r="K1992" s="35" t="str">
        <x:v>Receipt allocated to FIN-00991</x:v>
      </x:c>
    </x:row>
    <x:row r="1993">
      <x:c r="A1993" s="20" t="str">
        <x:v>FIN-00993</x:v>
      </x:c>
      <x:c r="B1993" s="32" t="n">
        <x:v>1</x:v>
      </x:c>
      <x:c r="C1993" s="23" t="n">
        <x:v>46722</x:v>
      </x:c>
      <x:c r="D1993" s="23" t="n">
        <x:v>46722</x:v>
      </x:c>
      <x:c r="E1993" s="20" t="str">
        <x:v>P026</x:v>
      </x:c>
      <x:c r="F1993" s="20" t="str">
        <x:v>U032</x:v>
      </x:c>
      <x:c r="G1993" s="20" t="str">
        <x:v>L032</x:v>
      </x:c>
      <x:c r="H1993" s="20" t="str">
        <x:v>1100 Tenant Accounts Receivable</x:v>
      </x:c>
      <x:c r="I1993" s="26" t="n">
        <x:v>1750</x:v>
      </x:c>
      <x:c r="J1993" s="26" t="n">
        <x:v>0</x:v>
      </x:c>
      <x:c r="K1993" s="35" t="str">
        <x:v>December 2027 rent</x:v>
      </x:c>
    </x:row>
    <x:row r="1994">
      <x:c r="A1994" s="20" t="str">
        <x:v>FIN-00993</x:v>
      </x:c>
      <x:c r="B1994" s="32" t="n">
        <x:v>2</x:v>
      </x:c>
      <x:c r="C1994" s="23" t="n">
        <x:v>46722</x:v>
      </x:c>
      <x:c r="D1994" s="23" t="n">
        <x:v>46722</x:v>
      </x:c>
      <x:c r="E1994" s="20" t="str">
        <x:v>P026</x:v>
      </x:c>
      <x:c r="F1994" s="20" t="str">
        <x:v>U032</x:v>
      </x:c>
      <x:c r="G1994" s="20" t="str">
        <x:v>L032</x:v>
      </x:c>
      <x:c r="H1994" s="20" t="str">
        <x:v>4000 Rental Income</x:v>
      </x:c>
      <x:c r="I1994" s="26" t="n">
        <x:v>0</x:v>
      </x:c>
      <x:c r="J1994" s="26" t="n">
        <x:v>1750</x:v>
      </x:c>
      <x:c r="K1994" s="35" t="str">
        <x:v>December 2027 rent</x:v>
      </x:c>
    </x:row>
    <x:row r="1995">
      <x:c r="A1995" s="20" t="str">
        <x:v>FIN-00994</x:v>
      </x:c>
      <x:c r="B1995" s="32" t="n">
        <x:v>1</x:v>
      </x:c>
      <x:c r="C1995" s="23" t="n">
        <x:v>46726</x:v>
      </x:c>
      <x:c r="D1995" s="23" t="n">
        <x:v>46726</x:v>
      </x:c>
      <x:c r="E1995" s="20" t="str">
        <x:v>P026</x:v>
      </x:c>
      <x:c r="F1995" s="20" t="str">
        <x:v>U032</x:v>
      </x:c>
      <x:c r="G1995" s="20" t="str">
        <x:v>L032</x:v>
      </x:c>
      <x:c r="H1995" s="20" t="str">
        <x:v>1000 Operating Cash</x:v>
      </x:c>
      <x:c r="I1995" s="26" t="n">
        <x:v>1750</x:v>
      </x:c>
      <x:c r="J1995" s="26" t="n">
        <x:v>0</x:v>
      </x:c>
      <x:c r="K1995" s="35" t="str">
        <x:v>Receipt allocated to FIN-00993</x:v>
      </x:c>
    </x:row>
    <x:row r="1996">
      <x:c r="A1996" s="20" t="str">
        <x:v>FIN-00994</x:v>
      </x:c>
      <x:c r="B1996" s="32" t="n">
        <x:v>2</x:v>
      </x:c>
      <x:c r="C1996" s="23" t="n">
        <x:v>46726</x:v>
      </x:c>
      <x:c r="D1996" s="23" t="n">
        <x:v>46726</x:v>
      </x:c>
      <x:c r="E1996" s="20" t="str">
        <x:v>P026</x:v>
      </x:c>
      <x:c r="F1996" s="20" t="str">
        <x:v>U032</x:v>
      </x:c>
      <x:c r="G1996" s="20" t="str">
        <x:v>L032</x:v>
      </x:c>
      <x:c r="H1996" s="20" t="str">
        <x:v>1100 Tenant Accounts Receivable</x:v>
      </x:c>
      <x:c r="I1996" s="26" t="n">
        <x:v>0</x:v>
      </x:c>
      <x:c r="J1996" s="26" t="n">
        <x:v>1750</x:v>
      </x:c>
      <x:c r="K1996" s="35" t="str">
        <x:v>Receipt allocated to FIN-00993</x:v>
      </x:c>
    </x:row>
    <x:row r="1997">
      <x:c r="A1997" s="20" t="str">
        <x:v>FIN-00995</x:v>
      </x:c>
      <x:c r="B1997" s="32" t="n">
        <x:v>1</x:v>
      </x:c>
      <x:c r="C1997" s="23" t="n">
        <x:v>46722</x:v>
      </x:c>
      <x:c r="D1997" s="23" t="n">
        <x:v>46722</x:v>
      </x:c>
      <x:c r="E1997" s="20" t="str">
        <x:v>P027</x:v>
      </x:c>
      <x:c r="F1997" s="20" t="str">
        <x:v>U033</x:v>
      </x:c>
      <x:c r="G1997" s="20" t="str">
        <x:v>L033</x:v>
      </x:c>
      <x:c r="H1997" s="20" t="str">
        <x:v>1100 Tenant Accounts Receivable</x:v>
      </x:c>
      <x:c r="I1997" s="26" t="n">
        <x:v>1375</x:v>
      </x:c>
      <x:c r="J1997" s="26" t="n">
        <x:v>0</x:v>
      </x:c>
      <x:c r="K1997" s="35" t="str">
        <x:v>December 2027 rent</x:v>
      </x:c>
    </x:row>
    <x:row r="1998">
      <x:c r="A1998" s="20" t="str">
        <x:v>FIN-00995</x:v>
      </x:c>
      <x:c r="B1998" s="32" t="n">
        <x:v>2</x:v>
      </x:c>
      <x:c r="C1998" s="23" t="n">
        <x:v>46722</x:v>
      </x:c>
      <x:c r="D1998" s="23" t="n">
        <x:v>46722</x:v>
      </x:c>
      <x:c r="E1998" s="20" t="str">
        <x:v>P027</x:v>
      </x:c>
      <x:c r="F1998" s="20" t="str">
        <x:v>U033</x:v>
      </x:c>
      <x:c r="G1998" s="20" t="str">
        <x:v>L033</x:v>
      </x:c>
      <x:c r="H1998" s="20" t="str">
        <x:v>4000 Rental Income</x:v>
      </x:c>
      <x:c r="I1998" s="26" t="n">
        <x:v>0</x:v>
      </x:c>
      <x:c r="J1998" s="26" t="n">
        <x:v>1375</x:v>
      </x:c>
      <x:c r="K1998" s="35" t="str">
        <x:v>December 2027 rent</x:v>
      </x:c>
    </x:row>
    <x:row r="1999">
      <x:c r="A1999" s="20" t="str">
        <x:v>FIN-00996</x:v>
      </x:c>
      <x:c r="B1999" s="32" t="n">
        <x:v>1</x:v>
      </x:c>
      <x:c r="C1999" s="23" t="n">
        <x:v>46724</x:v>
      </x:c>
      <x:c r="D1999" s="23" t="n">
        <x:v>46724</x:v>
      </x:c>
      <x:c r="E1999" s="20" t="str">
        <x:v>P027</x:v>
      </x:c>
      <x:c r="F1999" s="20" t="str">
        <x:v>U033</x:v>
      </x:c>
      <x:c r="G1999" s="20" t="str">
        <x:v>L033</x:v>
      </x:c>
      <x:c r="H1999" s="20" t="str">
        <x:v>1000 Operating Cash</x:v>
      </x:c>
      <x:c r="I1999" s="26" t="n">
        <x:v>825</x:v>
      </x:c>
      <x:c r="J1999" s="26" t="n">
        <x:v>0</x:v>
      </x:c>
      <x:c r="K1999" s="35" t="str">
        <x:v>Receipt allocated to FIN-00995</x:v>
      </x:c>
    </x:row>
    <x:row r="2000">
      <x:c r="A2000" s="20" t="str">
        <x:v>FIN-00996</x:v>
      </x:c>
      <x:c r="B2000" s="32" t="n">
        <x:v>2</x:v>
      </x:c>
      <x:c r="C2000" s="23" t="n">
        <x:v>46724</x:v>
      </x:c>
      <x:c r="D2000" s="23" t="n">
        <x:v>46724</x:v>
      </x:c>
      <x:c r="E2000" s="20" t="str">
        <x:v>P027</x:v>
      </x:c>
      <x:c r="F2000" s="20" t="str">
        <x:v>U033</x:v>
      </x:c>
      <x:c r="G2000" s="20" t="str">
        <x:v>L033</x:v>
      </x:c>
      <x:c r="H2000" s="20" t="str">
        <x:v>1100 Tenant Accounts Receivable</x:v>
      </x:c>
      <x:c r="I2000" s="26" t="n">
        <x:v>0</x:v>
      </x:c>
      <x:c r="J2000" s="26" t="n">
        <x:v>825</x:v>
      </x:c>
      <x:c r="K2000" s="35" t="str">
        <x:v>Receipt allocated to FIN-00995</x:v>
      </x:c>
    </x:row>
    <x:row r="2001">
      <x:c r="A2001" s="20" t="str">
        <x:v>FIN-00997</x:v>
      </x:c>
      <x:c r="B2001" s="32" t="n">
        <x:v>1</x:v>
      </x:c>
      <x:c r="C2001" s="23" t="n">
        <x:v>46727</x:v>
      </x:c>
      <x:c r="D2001" s="23" t="n">
        <x:v>46727</x:v>
      </x:c>
      <x:c r="E2001" s="20" t="str">
        <x:v>P027</x:v>
      </x:c>
      <x:c r="F2001" s="20" t="str">
        <x:v>U033</x:v>
      </x:c>
      <x:c r="G2001" s="20" t="str">
        <x:v>L033</x:v>
      </x:c>
      <x:c r="H2001" s="20" t="str">
        <x:v>1100 Tenant Accounts Receivable</x:v>
      </x:c>
      <x:c r="I2001" s="26" t="n">
        <x:v>50</x:v>
      </x:c>
      <x:c r="J2001" s="26" t="n">
        <x:v>0</x:v>
      </x:c>
      <x:c r="K2001" s="35" t="str">
        <x:v>Synthetic lease-authorized late fee after partial payment</x:v>
      </x:c>
    </x:row>
    <x:row r="2002">
      <x:c r="A2002" s="20" t="str">
        <x:v>FIN-00997</x:v>
      </x:c>
      <x:c r="B2002" s="32" t="n">
        <x:v>2</x:v>
      </x:c>
      <x:c r="C2002" s="23" t="n">
        <x:v>46727</x:v>
      </x:c>
      <x:c r="D2002" s="23" t="n">
        <x:v>46727</x:v>
      </x:c>
      <x:c r="E2002" s="20" t="str">
        <x:v>P027</x:v>
      </x:c>
      <x:c r="F2002" s="20" t="str">
        <x:v>U033</x:v>
      </x:c>
      <x:c r="G2002" s="20" t="str">
        <x:v>L033</x:v>
      </x:c>
      <x:c r="H2002" s="20" t="str">
        <x:v>4010 Late Fee Income</x:v>
      </x:c>
      <x:c r="I2002" s="26" t="n">
        <x:v>0</x:v>
      </x:c>
      <x:c r="J2002" s="26" t="n">
        <x:v>50</x:v>
      </x:c>
      <x:c r="K2002" s="35" t="str">
        <x:v>Synthetic lease-authorized late fee after partial payment</x:v>
      </x:c>
    </x:row>
    <x:row r="2003">
      <x:c r="A2003" s="20" t="str">
        <x:v>FIN-00998</x:v>
      </x:c>
      <x:c r="B2003" s="32" t="n">
        <x:v>1</x:v>
      </x:c>
      <x:c r="C2003" s="23" t="n">
        <x:v>46733</x:v>
      </x:c>
      <x:c r="D2003" s="23" t="n">
        <x:v>46733</x:v>
      </x:c>
      <x:c r="E2003" s="20" t="str">
        <x:v>P027</x:v>
      </x:c>
      <x:c r="F2003" s="20" t="str">
        <x:v>U033</x:v>
      </x:c>
      <x:c r="G2003" s="20" t="str">
        <x:v>L033</x:v>
      </x:c>
      <x:c r="H2003" s="20" t="str">
        <x:v>1000 Operating Cash</x:v>
      </x:c>
      <x:c r="I2003" s="26" t="n">
        <x:v>600</x:v>
      </x:c>
      <x:c r="J2003" s="26" t="n">
        <x:v>0</x:v>
      </x:c>
      <x:c r="K2003" s="35" t="str">
        <x:v>Receipt allocated to FIN-00997</x:v>
      </x:c>
    </x:row>
    <x:row r="2004">
      <x:c r="A2004" s="20" t="str">
        <x:v>FIN-00998</x:v>
      </x:c>
      <x:c r="B2004" s="32" t="n">
        <x:v>2</x:v>
      </x:c>
      <x:c r="C2004" s="23" t="n">
        <x:v>46733</x:v>
      </x:c>
      <x:c r="D2004" s="23" t="n">
        <x:v>46733</x:v>
      </x:c>
      <x:c r="E2004" s="20" t="str">
        <x:v>P027</x:v>
      </x:c>
      <x:c r="F2004" s="20" t="str">
        <x:v>U033</x:v>
      </x:c>
      <x:c r="G2004" s="20" t="str">
        <x:v>L033</x:v>
      </x:c>
      <x:c r="H2004" s="20" t="str">
        <x:v>1100 Tenant Accounts Receivable</x:v>
      </x:c>
      <x:c r="I2004" s="26" t="n">
        <x:v>0</x:v>
      </x:c>
      <x:c r="J2004" s="26" t="n">
        <x:v>600</x:v>
      </x:c>
      <x:c r="K2004" s="35" t="str">
        <x:v>Receipt allocated to FIN-00997</x:v>
      </x:c>
    </x:row>
    <x:row r="2005">
      <x:c r="A2005" s="20" t="str">
        <x:v>FIN-00999</x:v>
      </x:c>
      <x:c r="B2005" s="32" t="n">
        <x:v>1</x:v>
      </x:c>
      <x:c r="C2005" s="23" t="n">
        <x:v>46722</x:v>
      </x:c>
      <x:c r="D2005" s="23" t="n">
        <x:v>46722</x:v>
      </x:c>
      <x:c r="E2005" s="20" t="str">
        <x:v>P028</x:v>
      </x:c>
      <x:c r="F2005" s="20" t="str">
        <x:v>U035</x:v>
      </x:c>
      <x:c r="G2005" s="20" t="str">
        <x:v>L035</x:v>
      </x:c>
      <x:c r="H2005" s="20" t="str">
        <x:v>1100 Tenant Accounts Receivable</x:v>
      </x:c>
      <x:c r="I2005" s="26" t="n">
        <x:v>1525</x:v>
      </x:c>
      <x:c r="J2005" s="26" t="n">
        <x:v>0</x:v>
      </x:c>
      <x:c r="K2005" s="35" t="str">
        <x:v>December 2027 rent</x:v>
      </x:c>
    </x:row>
    <x:row r="2006">
      <x:c r="A2006" s="20" t="str">
        <x:v>FIN-00999</x:v>
      </x:c>
      <x:c r="B2006" s="32" t="n">
        <x:v>2</x:v>
      </x:c>
      <x:c r="C2006" s="23" t="n">
        <x:v>46722</x:v>
      </x:c>
      <x:c r="D2006" s="23" t="n">
        <x:v>46722</x:v>
      </x:c>
      <x:c r="E2006" s="20" t="str">
        <x:v>P028</x:v>
      </x:c>
      <x:c r="F2006" s="20" t="str">
        <x:v>U035</x:v>
      </x:c>
      <x:c r="G2006" s="20" t="str">
        <x:v>L035</x:v>
      </x:c>
      <x:c r="H2006" s="20" t="str">
        <x:v>4000 Rental Income</x:v>
      </x:c>
      <x:c r="I2006" s="26" t="n">
        <x:v>0</x:v>
      </x:c>
      <x:c r="J2006" s="26" t="n">
        <x:v>1525</x:v>
      </x:c>
      <x:c r="K2006" s="35" t="str">
        <x:v>December 2027 rent</x:v>
      </x:c>
    </x:row>
    <x:row r="2007">
      <x:c r="A2007" s="20" t="str">
        <x:v>FIN-01000</x:v>
      </x:c>
      <x:c r="B2007" s="32" t="n">
        <x:v>1</x:v>
      </x:c>
      <x:c r="C2007" s="23" t="n">
        <x:v>46726</x:v>
      </x:c>
      <x:c r="D2007" s="23" t="n">
        <x:v>46726</x:v>
      </x:c>
      <x:c r="E2007" s="20" t="str">
        <x:v>P028</x:v>
      </x:c>
      <x:c r="F2007" s="20" t="str">
        <x:v>U035</x:v>
      </x:c>
      <x:c r="G2007" s="20" t="str">
        <x:v>L035</x:v>
      </x:c>
      <x:c r="H2007" s="20" t="str">
        <x:v>1000 Operating Cash</x:v>
      </x:c>
      <x:c r="I2007" s="26" t="n">
        <x:v>1525</x:v>
      </x:c>
      <x:c r="J2007" s="26" t="n">
        <x:v>0</x:v>
      </x:c>
      <x:c r="K2007" s="35" t="str">
        <x:v>Receipt allocated to FIN-00999</x:v>
      </x:c>
    </x:row>
    <x:row r="2008">
      <x:c r="A2008" s="20" t="str">
        <x:v>FIN-01000</x:v>
      </x:c>
      <x:c r="B2008" s="32" t="n">
        <x:v>2</x:v>
      </x:c>
      <x:c r="C2008" s="23" t="n">
        <x:v>46726</x:v>
      </x:c>
      <x:c r="D2008" s="23" t="n">
        <x:v>46726</x:v>
      </x:c>
      <x:c r="E2008" s="20" t="str">
        <x:v>P028</x:v>
      </x:c>
      <x:c r="F2008" s="20" t="str">
        <x:v>U035</x:v>
      </x:c>
      <x:c r="G2008" s="20" t="str">
        <x:v>L035</x:v>
      </x:c>
      <x:c r="H2008" s="20" t="str">
        <x:v>1100 Tenant Accounts Receivable</x:v>
      </x:c>
      <x:c r="I2008" s="26" t="n">
        <x:v>0</x:v>
      </x:c>
      <x:c r="J2008" s="26" t="n">
        <x:v>1525</x:v>
      </x:c>
      <x:c r="K2008" s="35" t="str">
        <x:v>Receipt allocated to FIN-00999</x:v>
      </x:c>
    </x:row>
    <x:row r="2009">
      <x:c r="A2009" s="20" t="str">
        <x:v>FIN-01001</x:v>
      </x:c>
      <x:c r="B2009" s="32" t="n">
        <x:v>1</x:v>
      </x:c>
      <x:c r="C2009" s="23" t="n">
        <x:v>46722</x:v>
      </x:c>
      <x:c r="D2009" s="23" t="n">
        <x:v>46722</x:v>
      </x:c>
      <x:c r="E2009" s="20" t="str">
        <x:v>P028</x:v>
      </x:c>
      <x:c r="F2009" s="20" t="str">
        <x:v>U036</x:v>
      </x:c>
      <x:c r="G2009" s="20" t="str">
        <x:v>L036</x:v>
      </x:c>
      <x:c r="H2009" s="20" t="str">
        <x:v>1100 Tenant Accounts Receivable</x:v>
      </x:c>
      <x:c r="I2009" s="26" t="n">
        <x:v>1150</x:v>
      </x:c>
      <x:c r="J2009" s="26" t="n">
        <x:v>0</x:v>
      </x:c>
      <x:c r="K2009" s="35" t="str">
        <x:v>December 2027 rent</x:v>
      </x:c>
    </x:row>
    <x:row r="2010">
      <x:c r="A2010" s="20" t="str">
        <x:v>FIN-01001</x:v>
      </x:c>
      <x:c r="B2010" s="32" t="n">
        <x:v>2</x:v>
      </x:c>
      <x:c r="C2010" s="23" t="n">
        <x:v>46722</x:v>
      </x:c>
      <x:c r="D2010" s="23" t="n">
        <x:v>46722</x:v>
      </x:c>
      <x:c r="E2010" s="20" t="str">
        <x:v>P028</x:v>
      </x:c>
      <x:c r="F2010" s="20" t="str">
        <x:v>U036</x:v>
      </x:c>
      <x:c r="G2010" s="20" t="str">
        <x:v>L036</x:v>
      </x:c>
      <x:c r="H2010" s="20" t="str">
        <x:v>4000 Rental Income</x:v>
      </x:c>
      <x:c r="I2010" s="26" t="n">
        <x:v>0</x:v>
      </x:c>
      <x:c r="J2010" s="26" t="n">
        <x:v>1150</x:v>
      </x:c>
      <x:c r="K2010" s="35" t="str">
        <x:v>December 2027 rent</x:v>
      </x:c>
    </x:row>
    <x:row r="2011">
      <x:c r="A2011" s="20" t="str">
        <x:v>FIN-01002</x:v>
      </x:c>
      <x:c r="B2011" s="32" t="n">
        <x:v>1</x:v>
      </x:c>
      <x:c r="C2011" s="23" t="n">
        <x:v>46724</x:v>
      </x:c>
      <x:c r="D2011" s="23" t="n">
        <x:v>46724</x:v>
      </x:c>
      <x:c r="E2011" s="20" t="str">
        <x:v>P028</x:v>
      </x:c>
      <x:c r="F2011" s="20" t="str">
        <x:v>U036</x:v>
      </x:c>
      <x:c r="G2011" s="20" t="str">
        <x:v>L036</x:v>
      </x:c>
      <x:c r="H2011" s="20" t="str">
        <x:v>1000 Operating Cash</x:v>
      </x:c>
      <x:c r="I2011" s="26" t="n">
        <x:v>1150</x:v>
      </x:c>
      <x:c r="J2011" s="26" t="n">
        <x:v>0</x:v>
      </x:c>
      <x:c r="K2011" s="35" t="str">
        <x:v>Receipt allocated to FIN-01001</x:v>
      </x:c>
    </x:row>
    <x:row r="2012">
      <x:c r="A2012" s="20" t="str">
        <x:v>FIN-01002</x:v>
      </x:c>
      <x:c r="B2012" s="32" t="n">
        <x:v>2</x:v>
      </x:c>
      <x:c r="C2012" s="23" t="n">
        <x:v>46724</x:v>
      </x:c>
      <x:c r="D2012" s="23" t="n">
        <x:v>46724</x:v>
      </x:c>
      <x:c r="E2012" s="20" t="str">
        <x:v>P028</x:v>
      </x:c>
      <x:c r="F2012" s="20" t="str">
        <x:v>U036</x:v>
      </x:c>
      <x:c r="G2012" s="20" t="str">
        <x:v>L036</x:v>
      </x:c>
      <x:c r="H2012" s="20" t="str">
        <x:v>1100 Tenant Accounts Receivable</x:v>
      </x:c>
      <x:c r="I2012" s="26" t="n">
        <x:v>0</x:v>
      </x:c>
      <x:c r="J2012" s="26" t="n">
        <x:v>1150</x:v>
      </x:c>
      <x:c r="K2012" s="35" t="str">
        <x:v>Receipt allocated to FIN-01001</x:v>
      </x:c>
    </x:row>
    <x:row r="2013">
      <x:c r="A2013" s="20" t="str">
        <x:v>FIN-01003</x:v>
      </x:c>
      <x:c r="B2013" s="32" t="n">
        <x:v>1</x:v>
      </x:c>
      <x:c r="C2013" s="23" t="n">
        <x:v>46722</x:v>
      </x:c>
      <x:c r="D2013" s="23" t="n">
        <x:v>46722</x:v>
      </x:c>
      <x:c r="E2013" s="20" t="str">
        <x:v>P005</x:v>
      </x:c>
      <x:c r="F2013" s="20" t="str">
        <x:v>U005</x:v>
      </x:c>
      <x:c r="G2013" s="20" t="str">
        <x:v>L037</x:v>
      </x:c>
      <x:c r="H2013" s="20" t="str">
        <x:v>1100 Tenant Accounts Receivable</x:v>
      </x:c>
      <x:c r="I2013" s="26" t="n">
        <x:v>1875</x:v>
      </x:c>
      <x:c r="J2013" s="26" t="n">
        <x:v>0</x:v>
      </x:c>
      <x:c r="K2013" s="35" t="str">
        <x:v>December 2027 rent</x:v>
      </x:c>
    </x:row>
    <x:row r="2014">
      <x:c r="A2014" s="20" t="str">
        <x:v>FIN-01003</x:v>
      </x:c>
      <x:c r="B2014" s="32" t="n">
        <x:v>2</x:v>
      </x:c>
      <x:c r="C2014" s="23" t="n">
        <x:v>46722</x:v>
      </x:c>
      <x:c r="D2014" s="23" t="n">
        <x:v>46722</x:v>
      </x:c>
      <x:c r="E2014" s="20" t="str">
        <x:v>P005</x:v>
      </x:c>
      <x:c r="F2014" s="20" t="str">
        <x:v>U005</x:v>
      </x:c>
      <x:c r="G2014" s="20" t="str">
        <x:v>L037</x:v>
      </x:c>
      <x:c r="H2014" s="20" t="str">
        <x:v>4000 Rental Income</x:v>
      </x:c>
      <x:c r="I2014" s="26" t="n">
        <x:v>0</x:v>
      </x:c>
      <x:c r="J2014" s="26" t="n">
        <x:v>1875</x:v>
      </x:c>
      <x:c r="K2014" s="35" t="str">
        <x:v>December 2027 rent</x:v>
      </x:c>
    </x:row>
    <x:row r="2015">
      <x:c r="A2015" s="20" t="str">
        <x:v>FIN-01004</x:v>
      </x:c>
      <x:c r="B2015" s="32" t="n">
        <x:v>1</x:v>
      </x:c>
      <x:c r="C2015" s="23" t="n">
        <x:v>46725</x:v>
      </x:c>
      <x:c r="D2015" s="23" t="n">
        <x:v>46725</x:v>
      </x:c>
      <x:c r="E2015" s="20" t="str">
        <x:v>P005</x:v>
      </x:c>
      <x:c r="F2015" s="20" t="str">
        <x:v>U005</x:v>
      </x:c>
      <x:c r="G2015" s="20" t="str">
        <x:v>L037</x:v>
      </x:c>
      <x:c r="H2015" s="20" t="str">
        <x:v>1000 Operating Cash</x:v>
      </x:c>
      <x:c r="I2015" s="26" t="n">
        <x:v>1875</x:v>
      </x:c>
      <x:c r="J2015" s="26" t="n">
        <x:v>0</x:v>
      </x:c>
      <x:c r="K2015" s="35" t="str">
        <x:v>Receipt allocated to FIN-01003</x:v>
      </x:c>
    </x:row>
    <x:row r="2016">
      <x:c r="A2016" s="20" t="str">
        <x:v>FIN-01004</x:v>
      </x:c>
      <x:c r="B2016" s="32" t="n">
        <x:v>2</x:v>
      </x:c>
      <x:c r="C2016" s="23" t="n">
        <x:v>46725</x:v>
      </x:c>
      <x:c r="D2016" s="23" t="n">
        <x:v>46725</x:v>
      </x:c>
      <x:c r="E2016" s="20" t="str">
        <x:v>P005</x:v>
      </x:c>
      <x:c r="F2016" s="20" t="str">
        <x:v>U005</x:v>
      </x:c>
      <x:c r="G2016" s="20" t="str">
        <x:v>L037</x:v>
      </x:c>
      <x:c r="H2016" s="20" t="str">
        <x:v>1100 Tenant Accounts Receivable</x:v>
      </x:c>
      <x:c r="I2016" s="26" t="n">
        <x:v>0</x:v>
      </x:c>
      <x:c r="J2016" s="26" t="n">
        <x:v>1875</x:v>
      </x:c>
      <x:c r="K2016" s="35" t="str">
        <x:v>Receipt allocated to FIN-01003</x:v>
      </x:c>
    </x:row>
    <x:row r="2017">
      <x:c r="A2017" s="20" t="str">
        <x:v>FIN-01005</x:v>
      </x:c>
      <x:c r="B2017" s="32" t="n">
        <x:v>1</x:v>
      </x:c>
      <x:c r="C2017" s="23" t="n">
        <x:v>46722</x:v>
      </x:c>
      <x:c r="D2017" s="23" t="n">
        <x:v>46722</x:v>
      </x:c>
      <x:c r="E2017" s="20" t="str">
        <x:v>P014</x:v>
      </x:c>
      <x:c r="F2017" s="20" t="str">
        <x:v>U014</x:v>
      </x:c>
      <x:c r="G2017" s="20" t="str">
        <x:v>L038</x:v>
      </x:c>
      <x:c r="H2017" s="20" t="str">
        <x:v>1100 Tenant Accounts Receivable</x:v>
      </x:c>
      <x:c r="I2017" s="26" t="n">
        <x:v>1200</x:v>
      </x:c>
      <x:c r="J2017" s="26" t="n">
        <x:v>0</x:v>
      </x:c>
      <x:c r="K2017" s="35" t="str">
        <x:v>December 2027 rent</x:v>
      </x:c>
    </x:row>
    <x:row r="2018">
      <x:c r="A2018" s="20" t="str">
        <x:v>FIN-01005</x:v>
      </x:c>
      <x:c r="B2018" s="32" t="n">
        <x:v>2</x:v>
      </x:c>
      <x:c r="C2018" s="23" t="n">
        <x:v>46722</x:v>
      </x:c>
      <x:c r="D2018" s="23" t="n">
        <x:v>46722</x:v>
      </x:c>
      <x:c r="E2018" s="20" t="str">
        <x:v>P014</x:v>
      </x:c>
      <x:c r="F2018" s="20" t="str">
        <x:v>U014</x:v>
      </x:c>
      <x:c r="G2018" s="20" t="str">
        <x:v>L038</x:v>
      </x:c>
      <x:c r="H2018" s="20" t="str">
        <x:v>4000 Rental Income</x:v>
      </x:c>
      <x:c r="I2018" s="26" t="n">
        <x:v>0</x:v>
      </x:c>
      <x:c r="J2018" s="26" t="n">
        <x:v>1200</x:v>
      </x:c>
      <x:c r="K2018" s="35" t="str">
        <x:v>December 2027 rent</x:v>
      </x:c>
    </x:row>
    <x:row r="2019">
      <x:c r="A2019" s="20" t="str">
        <x:v>FIN-01006</x:v>
      </x:c>
      <x:c r="B2019" s="32" t="n">
        <x:v>1</x:v>
      </x:c>
      <x:c r="C2019" s="23" t="n">
        <x:v>46726</x:v>
      </x:c>
      <x:c r="D2019" s="23" t="n">
        <x:v>46726</x:v>
      </x:c>
      <x:c r="E2019" s="20" t="str">
        <x:v>P014</x:v>
      </x:c>
      <x:c r="F2019" s="20" t="str">
        <x:v>U014</x:v>
      </x:c>
      <x:c r="G2019" s="20" t="str">
        <x:v>L038</x:v>
      </x:c>
      <x:c r="H2019" s="20" t="str">
        <x:v>1000 Operating Cash</x:v>
      </x:c>
      <x:c r="I2019" s="26" t="n">
        <x:v>1200</x:v>
      </x:c>
      <x:c r="J2019" s="26" t="n">
        <x:v>0</x:v>
      </x:c>
      <x:c r="K2019" s="35" t="str">
        <x:v>Receipt allocated to FIN-01005</x:v>
      </x:c>
    </x:row>
    <x:row r="2020">
      <x:c r="A2020" s="20" t="str">
        <x:v>FIN-01006</x:v>
      </x:c>
      <x:c r="B2020" s="32" t="n">
        <x:v>2</x:v>
      </x:c>
      <x:c r="C2020" s="23" t="n">
        <x:v>46726</x:v>
      </x:c>
      <x:c r="D2020" s="23" t="n">
        <x:v>46726</x:v>
      </x:c>
      <x:c r="E2020" s="20" t="str">
        <x:v>P014</x:v>
      </x:c>
      <x:c r="F2020" s="20" t="str">
        <x:v>U014</x:v>
      </x:c>
      <x:c r="G2020" s="20" t="str">
        <x:v>L038</x:v>
      </x:c>
      <x:c r="H2020" s="20" t="str">
        <x:v>1100 Tenant Accounts Receivable</x:v>
      </x:c>
      <x:c r="I2020" s="26" t="n">
        <x:v>0</x:v>
      </x:c>
      <x:c r="J2020" s="26" t="n">
        <x:v>1200</x:v>
      </x:c>
      <x:c r="K2020" s="35" t="str">
        <x:v>Receipt allocated to FIN-01005</x:v>
      </x:c>
    </x:row>
    <x:row r="2021">
      <x:c r="A2021" s="20" t="str">
        <x:v>FIN-01007</x:v>
      </x:c>
      <x:c r="B2021" s="32" t="n">
        <x:v>1</x:v>
      </x:c>
      <x:c r="C2021" s="23" t="n">
        <x:v>46722</x:v>
      </x:c>
      <x:c r="D2021" s="23" t="n">
        <x:v>46722</x:v>
      </x:c>
      <x:c r="E2021" s="20" t="str">
        <x:v>P017</x:v>
      </x:c>
      <x:c r="F2021" s="20" t="str">
        <x:v>U017</x:v>
      </x:c>
      <x:c r="G2021" s="20" t="str">
        <x:v>L039</x:v>
      </x:c>
      <x:c r="H2021" s="20" t="str">
        <x:v>1100 Tenant Accounts Receivable</x:v>
      </x:c>
      <x:c r="I2021" s="26" t="n">
        <x:v>1875</x:v>
      </x:c>
      <x:c r="J2021" s="26" t="n">
        <x:v>0</x:v>
      </x:c>
      <x:c r="K2021" s="35" t="str">
        <x:v>December 2027 rent</x:v>
      </x:c>
    </x:row>
    <x:row r="2022">
      <x:c r="A2022" s="20" t="str">
        <x:v>FIN-01007</x:v>
      </x:c>
      <x:c r="B2022" s="32" t="n">
        <x:v>2</x:v>
      </x:c>
      <x:c r="C2022" s="23" t="n">
        <x:v>46722</x:v>
      </x:c>
      <x:c r="D2022" s="23" t="n">
        <x:v>46722</x:v>
      </x:c>
      <x:c r="E2022" s="20" t="str">
        <x:v>P017</x:v>
      </x:c>
      <x:c r="F2022" s="20" t="str">
        <x:v>U017</x:v>
      </x:c>
      <x:c r="G2022" s="20" t="str">
        <x:v>L039</x:v>
      </x:c>
      <x:c r="H2022" s="20" t="str">
        <x:v>4000 Rental Income</x:v>
      </x:c>
      <x:c r="I2022" s="26" t="n">
        <x:v>0</x:v>
      </x:c>
      <x:c r="J2022" s="26" t="n">
        <x:v>1875</x:v>
      </x:c>
      <x:c r="K2022" s="35" t="str">
        <x:v>December 2027 rent</x:v>
      </x:c>
    </x:row>
    <x:row r="2023">
      <x:c r="A2023" s="20" t="str">
        <x:v>FIN-01008</x:v>
      </x:c>
      <x:c r="B2023" s="32" t="n">
        <x:v>1</x:v>
      </x:c>
      <x:c r="C2023" s="23" t="n">
        <x:v>46727</x:v>
      </x:c>
      <x:c r="D2023" s="23" t="n">
        <x:v>46727</x:v>
      </x:c>
      <x:c r="E2023" s="20" t="str">
        <x:v>P017</x:v>
      </x:c>
      <x:c r="F2023" s="20" t="str">
        <x:v>U017</x:v>
      </x:c>
      <x:c r="G2023" s="20" t="str">
        <x:v>L039</x:v>
      </x:c>
      <x:c r="H2023" s="20" t="str">
        <x:v>1100 Tenant Accounts Receivable</x:v>
      </x:c>
      <x:c r="I2023" s="26" t="n">
        <x:v>50</x:v>
      </x:c>
      <x:c r="J2023" s="26" t="n">
        <x:v>0</x:v>
      </x:c>
      <x:c r="K2023" s="35" t="str">
        <x:v>Synthetic lease-authorized late fee</x:v>
      </x:c>
    </x:row>
    <x:row r="2024">
      <x:c r="A2024" s="20" t="str">
        <x:v>FIN-01008</x:v>
      </x:c>
      <x:c r="B2024" s="32" t="n">
        <x:v>2</x:v>
      </x:c>
      <x:c r="C2024" s="23" t="n">
        <x:v>46727</x:v>
      </x:c>
      <x:c r="D2024" s="23" t="n">
        <x:v>46727</x:v>
      </x:c>
      <x:c r="E2024" s="20" t="str">
        <x:v>P017</x:v>
      </x:c>
      <x:c r="F2024" s="20" t="str">
        <x:v>U017</x:v>
      </x:c>
      <x:c r="G2024" s="20" t="str">
        <x:v>L039</x:v>
      </x:c>
      <x:c r="H2024" s="20" t="str">
        <x:v>4010 Late Fee Income</x:v>
      </x:c>
      <x:c r="I2024" s="26" t="n">
        <x:v>0</x:v>
      </x:c>
      <x:c r="J2024" s="26" t="n">
        <x:v>50</x:v>
      </x:c>
      <x:c r="K2024" s="35" t="str">
        <x:v>Synthetic lease-authorized late fee</x:v>
      </x:c>
    </x:row>
    <x:row r="2025">
      <x:c r="A2025" s="20" t="str">
        <x:v>FIN-01009</x:v>
      </x:c>
      <x:c r="B2025" s="32" t="n">
        <x:v>1</x:v>
      </x:c>
      <x:c r="C2025" s="23" t="n">
        <x:v>46729</x:v>
      </x:c>
      <x:c r="D2025" s="23" t="n">
        <x:v>46729</x:v>
      </x:c>
      <x:c r="E2025" s="20" t="str">
        <x:v>P017</x:v>
      </x:c>
      <x:c r="F2025" s="20" t="str">
        <x:v>U017</x:v>
      </x:c>
      <x:c r="G2025" s="20" t="str">
        <x:v>L039</x:v>
      </x:c>
      <x:c r="H2025" s="20" t="str">
        <x:v>1000 Operating Cash</x:v>
      </x:c>
      <x:c r="I2025" s="26" t="n">
        <x:v>1925</x:v>
      </x:c>
      <x:c r="J2025" s="26" t="n">
        <x:v>0</x:v>
      </x:c>
      <x:c r="K2025" s="35" t="str">
        <x:v>Receipt allocated to FIN-01008</x:v>
      </x:c>
    </x:row>
    <x:row r="2026">
      <x:c r="A2026" s="20" t="str">
        <x:v>FIN-01009</x:v>
      </x:c>
      <x:c r="B2026" s="32" t="n">
        <x:v>2</x:v>
      </x:c>
      <x:c r="C2026" s="23" t="n">
        <x:v>46729</x:v>
      </x:c>
      <x:c r="D2026" s="23" t="n">
        <x:v>46729</x:v>
      </x:c>
      <x:c r="E2026" s="20" t="str">
        <x:v>P017</x:v>
      </x:c>
      <x:c r="F2026" s="20" t="str">
        <x:v>U017</x:v>
      </x:c>
      <x:c r="G2026" s="20" t="str">
        <x:v>L039</x:v>
      </x:c>
      <x:c r="H2026" s="20" t="str">
        <x:v>1100 Tenant Accounts Receivable</x:v>
      </x:c>
      <x:c r="I2026" s="26" t="n">
        <x:v>0</x:v>
      </x:c>
      <x:c r="J2026" s="26" t="n">
        <x:v>1925</x:v>
      </x:c>
      <x:c r="K2026" s="35" t="str">
        <x:v>Receipt allocated to FIN-01008</x:v>
      </x:c>
    </x:row>
    <x:row r="2027">
      <x:c r="A2027" s="20" t="str">
        <x:v>FIN-01010</x:v>
      </x:c>
      <x:c r="B2027" s="32" t="n">
        <x:v>1</x:v>
      </x:c>
      <x:c r="C2027" s="23" t="n">
        <x:v>46722</x:v>
      </x:c>
      <x:c r="D2027" s="23" t="n">
        <x:v>46722</x:v>
      </x:c>
      <x:c r="E2027" s="20" t="str">
        <x:v>P021</x:v>
      </x:c>
      <x:c r="F2027" s="20" t="str">
        <x:v>U022</x:v>
      </x:c>
      <x:c r="G2027" s="20" t="str">
        <x:v>L040</x:v>
      </x:c>
      <x:c r="H2027" s="20" t="str">
        <x:v>1100 Tenant Accounts Receivable</x:v>
      </x:c>
      <x:c r="I2027" s="26" t="n">
        <x:v>1900</x:v>
      </x:c>
      <x:c r="J2027" s="26" t="n">
        <x:v>0</x:v>
      </x:c>
      <x:c r="K2027" s="35" t="str">
        <x:v>December 2027 rent</x:v>
      </x:c>
    </x:row>
    <x:row r="2028">
      <x:c r="A2028" s="20" t="str">
        <x:v>FIN-01010</x:v>
      </x:c>
      <x:c r="B2028" s="32" t="n">
        <x:v>2</x:v>
      </x:c>
      <x:c r="C2028" s="23" t="n">
        <x:v>46722</x:v>
      </x:c>
      <x:c r="D2028" s="23" t="n">
        <x:v>46722</x:v>
      </x:c>
      <x:c r="E2028" s="20" t="str">
        <x:v>P021</x:v>
      </x:c>
      <x:c r="F2028" s="20" t="str">
        <x:v>U022</x:v>
      </x:c>
      <x:c r="G2028" s="20" t="str">
        <x:v>L040</x:v>
      </x:c>
      <x:c r="H2028" s="20" t="str">
        <x:v>4000 Rental Income</x:v>
      </x:c>
      <x:c r="I2028" s="26" t="n">
        <x:v>0</x:v>
      </x:c>
      <x:c r="J2028" s="26" t="n">
        <x:v>1900</x:v>
      </x:c>
      <x:c r="K2028" s="35" t="str">
        <x:v>December 2027 rent</x:v>
      </x:c>
    </x:row>
    <x:row r="2029">
      <x:c r="A2029" s="20" t="str">
        <x:v>FIN-01011</x:v>
      </x:c>
      <x:c r="B2029" s="32" t="n">
        <x:v>1</x:v>
      </x:c>
      <x:c r="C2029" s="23" t="n">
        <x:v>46725</x:v>
      </x:c>
      <x:c r="D2029" s="23" t="n">
        <x:v>46725</x:v>
      </x:c>
      <x:c r="E2029" s="20" t="str">
        <x:v>P021</x:v>
      </x:c>
      <x:c r="F2029" s="20" t="str">
        <x:v>U022</x:v>
      </x:c>
      <x:c r="G2029" s="20" t="str">
        <x:v>L040</x:v>
      </x:c>
      <x:c r="H2029" s="20" t="str">
        <x:v>1000 Operating Cash</x:v>
      </x:c>
      <x:c r="I2029" s="26" t="n">
        <x:v>1900</x:v>
      </x:c>
      <x:c r="J2029" s="26" t="n">
        <x:v>0</x:v>
      </x:c>
      <x:c r="K2029" s="35" t="str">
        <x:v>Receipt allocated to FIN-01010</x:v>
      </x:c>
    </x:row>
    <x:row r="2030">
      <x:c r="A2030" s="20" t="str">
        <x:v>FIN-01011</x:v>
      </x:c>
      <x:c r="B2030" s="32" t="n">
        <x:v>2</x:v>
      </x:c>
      <x:c r="C2030" s="23" t="n">
        <x:v>46725</x:v>
      </x:c>
      <x:c r="D2030" s="23" t="n">
        <x:v>46725</x:v>
      </x:c>
      <x:c r="E2030" s="20" t="str">
        <x:v>P021</x:v>
      </x:c>
      <x:c r="F2030" s="20" t="str">
        <x:v>U022</x:v>
      </x:c>
      <x:c r="G2030" s="20" t="str">
        <x:v>L040</x:v>
      </x:c>
      <x:c r="H2030" s="20" t="str">
        <x:v>1100 Tenant Accounts Receivable</x:v>
      </x:c>
      <x:c r="I2030" s="26" t="n">
        <x:v>0</x:v>
      </x:c>
      <x:c r="J2030" s="26" t="n">
        <x:v>1900</x:v>
      </x:c>
      <x:c r="K2030" s="35" t="str">
        <x:v>Receipt allocated to FIN-01010</x:v>
      </x:c>
    </x:row>
    <x:row r="2031">
      <x:c r="A2031" s="20" t="str">
        <x:v>FIN-01012</x:v>
      </x:c>
      <x:c r="B2031" s="32" t="n">
        <x:v>1</x:v>
      </x:c>
      <x:c r="C2031" s="23" t="n">
        <x:v>46722</x:v>
      </x:c>
      <x:c r="D2031" s="23" t="n">
        <x:v>46722</x:v>
      </x:c>
      <x:c r="E2031" s="20" t="str">
        <x:v>P030</x:v>
      </x:c>
      <x:c r="F2031" s="20" t="str">
        <x:v>U040</x:v>
      </x:c>
      <x:c r="G2031" s="20" t="str">
        <x:v>L041</x:v>
      </x:c>
      <x:c r="H2031" s="20" t="str">
        <x:v>1100 Tenant Accounts Receivable</x:v>
      </x:c>
      <x:c r="I2031" s="26" t="n">
        <x:v>1450</x:v>
      </x:c>
      <x:c r="J2031" s="26" t="n">
        <x:v>0</x:v>
      </x:c>
      <x:c r="K2031" s="35" t="str">
        <x:v>December 2027 rent</x:v>
      </x:c>
    </x:row>
    <x:row r="2032">
      <x:c r="A2032" s="20" t="str">
        <x:v>FIN-01012</x:v>
      </x:c>
      <x:c r="B2032" s="32" t="n">
        <x:v>2</x:v>
      </x:c>
      <x:c r="C2032" s="23" t="n">
        <x:v>46722</x:v>
      </x:c>
      <x:c r="D2032" s="23" t="n">
        <x:v>46722</x:v>
      </x:c>
      <x:c r="E2032" s="20" t="str">
        <x:v>P030</x:v>
      </x:c>
      <x:c r="F2032" s="20" t="str">
        <x:v>U040</x:v>
      </x:c>
      <x:c r="G2032" s="20" t="str">
        <x:v>L041</x:v>
      </x:c>
      <x:c r="H2032" s="20" t="str">
        <x:v>4000 Rental Income</x:v>
      </x:c>
      <x:c r="I2032" s="26" t="n">
        <x:v>0</x:v>
      </x:c>
      <x:c r="J2032" s="26" t="n">
        <x:v>1450</x:v>
      </x:c>
      <x:c r="K2032" s="35" t="str">
        <x:v>December 2027 rent</x:v>
      </x:c>
    </x:row>
    <x:row r="2033">
      <x:c r="A2033" s="20" t="str">
        <x:v>FIN-01013</x:v>
      </x:c>
      <x:c r="B2033" s="32" t="n">
        <x:v>1</x:v>
      </x:c>
      <x:c r="C2033" s="23" t="n">
        <x:v>46726</x:v>
      </x:c>
      <x:c r="D2033" s="23" t="n">
        <x:v>46726</x:v>
      </x:c>
      <x:c r="E2033" s="20" t="str">
        <x:v>P030</x:v>
      </x:c>
      <x:c r="F2033" s="20" t="str">
        <x:v>U040</x:v>
      </x:c>
      <x:c r="G2033" s="20" t="str">
        <x:v>L041</x:v>
      </x:c>
      <x:c r="H2033" s="20" t="str">
        <x:v>1000 Operating Cash</x:v>
      </x:c>
      <x:c r="I2033" s="26" t="n">
        <x:v>1450</x:v>
      </x:c>
      <x:c r="J2033" s="26" t="n">
        <x:v>0</x:v>
      </x:c>
      <x:c r="K2033" s="35" t="str">
        <x:v>Receipt allocated to FIN-01012</x:v>
      </x:c>
    </x:row>
    <x:row r="2034">
      <x:c r="A2034" s="20" t="str">
        <x:v>FIN-01013</x:v>
      </x:c>
      <x:c r="B2034" s="32" t="n">
        <x:v>2</x:v>
      </x:c>
      <x:c r="C2034" s="23" t="n">
        <x:v>46726</x:v>
      </x:c>
      <x:c r="D2034" s="23" t="n">
        <x:v>46726</x:v>
      </x:c>
      <x:c r="E2034" s="20" t="str">
        <x:v>P030</x:v>
      </x:c>
      <x:c r="F2034" s="20" t="str">
        <x:v>U040</x:v>
      </x:c>
      <x:c r="G2034" s="20" t="str">
        <x:v>L041</x:v>
      </x:c>
      <x:c r="H2034" s="20" t="str">
        <x:v>1100 Tenant Accounts Receivable</x:v>
      </x:c>
      <x:c r="I2034" s="26" t="n">
        <x:v>0</x:v>
      </x:c>
      <x:c r="J2034" s="26" t="n">
        <x:v>1450</x:v>
      </x:c>
      <x:c r="K2034" s="35" t="str">
        <x:v>Receipt allocated to FIN-01012</x:v>
      </x:c>
    </x:row>
    <x:row r="2035">
      <x:c r="A2035" s="20" t="str">
        <x:v>FIN-01014</x:v>
      </x:c>
      <x:c r="B2035" s="32" t="n">
        <x:v>1</x:v>
      </x:c>
      <x:c r="C2035" s="23" t="n">
        <x:v>46722</x:v>
      </x:c>
      <x:c r="D2035" s="23" t="n">
        <x:v>46736</x:v>
      </x:c>
      <x:c r="E2035" s="20" t="str">
        <x:v>P027</x:v>
      </x:c>
      <x:c r="F2035" s="20" t="str">
        <x:v>U034</x:v>
      </x:c>
      <x:c r="G2035" s="20" t="str">
        <x:v>L042</x:v>
      </x:c>
      <x:c r="H2035" s="20" t="str">
        <x:v>1100 Tenant Accounts Receivable</x:v>
      </x:c>
      <x:c r="I2035" s="26" t="n">
        <x:v>1041.94</x:v>
      </x:c>
      <x:c r="J2035" s="26" t="n">
        <x:v>0</x:v>
      </x:c>
      <x:c r="K2035" s="35" t="str">
        <x:v>December 2027 rent</x:v>
      </x:c>
    </x:row>
    <x:row r="2036">
      <x:c r="A2036" s="20" t="str">
        <x:v>FIN-01014</x:v>
      </x:c>
      <x:c r="B2036" s="32" t="n">
        <x:v>2</x:v>
      </x:c>
      <x:c r="C2036" s="23" t="n">
        <x:v>46722</x:v>
      </x:c>
      <x:c r="D2036" s="23" t="n">
        <x:v>46736</x:v>
      </x:c>
      <x:c r="E2036" s="20" t="str">
        <x:v>P027</x:v>
      </x:c>
      <x:c r="F2036" s="20" t="str">
        <x:v>U034</x:v>
      </x:c>
      <x:c r="G2036" s="20" t="str">
        <x:v>L042</x:v>
      </x:c>
      <x:c r="H2036" s="20" t="str">
        <x:v>4000 Rental Income</x:v>
      </x:c>
      <x:c r="I2036" s="26" t="n">
        <x:v>0</x:v>
      </x:c>
      <x:c r="J2036" s="26" t="n">
        <x:v>1041.94</x:v>
      </x:c>
      <x:c r="K2036" s="35" t="str">
        <x:v>December 2027 rent</x:v>
      </x:c>
    </x:row>
    <x:row r="2037">
      <x:c r="A2037" s="20" t="str">
        <x:v>FIN-01015</x:v>
      </x:c>
      <x:c r="B2037" s="32" t="n">
        <x:v>1</x:v>
      </x:c>
      <x:c r="C2037" s="23" t="n">
        <x:v>46724</x:v>
      </x:c>
      <x:c r="D2037" s="23" t="n">
        <x:v>46724</x:v>
      </x:c>
      <x:c r="E2037" s="20" t="str">
        <x:v>P027</x:v>
      </x:c>
      <x:c r="F2037" s="20" t="str">
        <x:v>U034</x:v>
      </x:c>
      <x:c r="G2037" s="20" t="str">
        <x:v>L042</x:v>
      </x:c>
      <x:c r="H2037" s="20" t="str">
        <x:v>1000 Operating Cash</x:v>
      </x:c>
      <x:c r="I2037" s="26" t="n">
        <x:v>1041.94</x:v>
      </x:c>
      <x:c r="J2037" s="26" t="n">
        <x:v>0</x:v>
      </x:c>
      <x:c r="K2037" s="35" t="str">
        <x:v>Receipt allocated to FIN-01014</x:v>
      </x:c>
    </x:row>
    <x:row r="2038">
      <x:c r="A2038" s="20" t="str">
        <x:v>FIN-01015</x:v>
      </x:c>
      <x:c r="B2038" s="32" t="n">
        <x:v>2</x:v>
      </x:c>
      <x:c r="C2038" s="23" t="n">
        <x:v>46724</x:v>
      </x:c>
      <x:c r="D2038" s="23" t="n">
        <x:v>46724</x:v>
      </x:c>
      <x:c r="E2038" s="20" t="str">
        <x:v>P027</x:v>
      </x:c>
      <x:c r="F2038" s="20" t="str">
        <x:v>U034</x:v>
      </x:c>
      <x:c r="G2038" s="20" t="str">
        <x:v>L042</x:v>
      </x:c>
      <x:c r="H2038" s="20" t="str">
        <x:v>1100 Tenant Accounts Receivable</x:v>
      </x:c>
      <x:c r="I2038" s="26" t="n">
        <x:v>0</x:v>
      </x:c>
      <x:c r="J2038" s="26" t="n">
        <x:v>1041.94</x:v>
      </x:c>
      <x:c r="K2038" s="35" t="str">
        <x:v>Receipt allocated to FIN-01014</x:v>
      </x:c>
    </x:row>
    <x:row r="2039">
      <x:c r="A2039" s="20" t="str">
        <x:v>FIN-01016</x:v>
      </x:c>
      <x:c r="B2039" s="32" t="n">
        <x:v>1</x:v>
      </x:c>
      <x:c r="C2039" s="23" t="n">
        <x:v>46722</x:v>
      </x:c>
      <x:c r="D2039" s="23" t="n">
        <x:v>46722</x:v>
      </x:c>
      <x:c r="E2039" s="20" t="str">
        <x:v>P029</x:v>
      </x:c>
      <x:c r="F2039" s="20" t="str">
        <x:v>U037</x:v>
      </x:c>
      <x:c r="G2039" s="20" t="str">
        <x:v>L043</x:v>
      </x:c>
      <x:c r="H2039" s="20" t="str">
        <x:v>1100 Tenant Accounts Receivable</x:v>
      </x:c>
      <x:c r="I2039" s="26" t="n">
        <x:v>1675</x:v>
      </x:c>
      <x:c r="J2039" s="26" t="n">
        <x:v>0</x:v>
      </x:c>
      <x:c r="K2039" s="35" t="str">
        <x:v>December 2027 rent</x:v>
      </x:c>
    </x:row>
    <x:row r="2040">
      <x:c r="A2040" s="20" t="str">
        <x:v>FIN-01016</x:v>
      </x:c>
      <x:c r="B2040" s="32" t="n">
        <x:v>2</x:v>
      </x:c>
      <x:c r="C2040" s="23" t="n">
        <x:v>46722</x:v>
      </x:c>
      <x:c r="D2040" s="23" t="n">
        <x:v>46722</x:v>
      </x:c>
      <x:c r="E2040" s="20" t="str">
        <x:v>P029</x:v>
      </x:c>
      <x:c r="F2040" s="20" t="str">
        <x:v>U037</x:v>
      </x:c>
      <x:c r="G2040" s="20" t="str">
        <x:v>L043</x:v>
      </x:c>
      <x:c r="H2040" s="20" t="str">
        <x:v>4000 Rental Income</x:v>
      </x:c>
      <x:c r="I2040" s="26" t="n">
        <x:v>0</x:v>
      </x:c>
      <x:c r="J2040" s="26" t="n">
        <x:v>1675</x:v>
      </x:c>
      <x:c r="K2040" s="35" t="str">
        <x:v>December 2027 rent</x:v>
      </x:c>
    </x:row>
    <x:row r="2041">
      <x:c r="A2041" s="20" t="str">
        <x:v>FIN-01017</x:v>
      </x:c>
      <x:c r="B2041" s="32" t="n">
        <x:v>1</x:v>
      </x:c>
      <x:c r="C2041" s="23" t="n">
        <x:v>46725</x:v>
      </x:c>
      <x:c r="D2041" s="23" t="n">
        <x:v>46725</x:v>
      </x:c>
      <x:c r="E2041" s="20" t="str">
        <x:v>P029</x:v>
      </x:c>
      <x:c r="F2041" s="20" t="str">
        <x:v>U037</x:v>
      </x:c>
      <x:c r="G2041" s="20" t="str">
        <x:v>L043</x:v>
      </x:c>
      <x:c r="H2041" s="20" t="str">
        <x:v>1000 Operating Cash</x:v>
      </x:c>
      <x:c r="I2041" s="26" t="n">
        <x:v>1675</x:v>
      </x:c>
      <x:c r="J2041" s="26" t="n">
        <x:v>0</x:v>
      </x:c>
      <x:c r="K2041" s="35" t="str">
        <x:v>Receipt allocated to FIN-01016</x:v>
      </x:c>
    </x:row>
    <x:row r="2042">
      <x:c r="A2042" s="20" t="str">
        <x:v>FIN-01017</x:v>
      </x:c>
      <x:c r="B2042" s="32" t="n">
        <x:v>2</x:v>
      </x:c>
      <x:c r="C2042" s="23" t="n">
        <x:v>46725</x:v>
      </x:c>
      <x:c r="D2042" s="23" t="n">
        <x:v>46725</x:v>
      </x:c>
      <x:c r="E2042" s="20" t="str">
        <x:v>P029</x:v>
      </x:c>
      <x:c r="F2042" s="20" t="str">
        <x:v>U037</x:v>
      </x:c>
      <x:c r="G2042" s="20" t="str">
        <x:v>L043</x:v>
      </x:c>
      <x:c r="H2042" s="20" t="str">
        <x:v>1100 Tenant Accounts Receivable</x:v>
      </x:c>
      <x:c r="I2042" s="26" t="n">
        <x:v>0</x:v>
      </x:c>
      <x:c r="J2042" s="26" t="n">
        <x:v>1675</x:v>
      </x:c>
      <x:c r="K2042" s="35" t="str">
        <x:v>Receipt allocated to FIN-01016</x:v>
      </x:c>
    </x:row>
    <x:row r="2043">
      <x:c r="A2043" s="20" t="str">
        <x:v>FIN-01018</x:v>
      </x:c>
      <x:c r="B2043" s="32" t="n">
        <x:v>1</x:v>
      </x:c>
      <x:c r="C2043" s="23" t="n">
        <x:v>46722</x:v>
      </x:c>
      <x:c r="D2043" s="23" t="n">
        <x:v>46722</x:v>
      </x:c>
      <x:c r="E2043" s="20" t="str">
        <x:v>P029</x:v>
      </x:c>
      <x:c r="F2043" s="20" t="str">
        <x:v>U038</x:v>
      </x:c>
      <x:c r="G2043" s="20" t="str">
        <x:v>L044</x:v>
      </x:c>
      <x:c r="H2043" s="20" t="str">
        <x:v>1100 Tenant Accounts Receivable</x:v>
      </x:c>
      <x:c r="I2043" s="26" t="n">
        <x:v>1300</x:v>
      </x:c>
      <x:c r="J2043" s="26" t="n">
        <x:v>0</x:v>
      </x:c>
      <x:c r="K2043" s="35" t="str">
        <x:v>December 2027 rent</x:v>
      </x:c>
    </x:row>
    <x:row r="2044">
      <x:c r="A2044" s="20" t="str">
        <x:v>FIN-01018</x:v>
      </x:c>
      <x:c r="B2044" s="32" t="n">
        <x:v>2</x:v>
      </x:c>
      <x:c r="C2044" s="23" t="n">
        <x:v>46722</x:v>
      </x:c>
      <x:c r="D2044" s="23" t="n">
        <x:v>46722</x:v>
      </x:c>
      <x:c r="E2044" s="20" t="str">
        <x:v>P029</x:v>
      </x:c>
      <x:c r="F2044" s="20" t="str">
        <x:v>U038</x:v>
      </x:c>
      <x:c r="G2044" s="20" t="str">
        <x:v>L044</x:v>
      </x:c>
      <x:c r="H2044" s="20" t="str">
        <x:v>4000 Rental Income</x:v>
      </x:c>
      <x:c r="I2044" s="26" t="n">
        <x:v>0</x:v>
      </x:c>
      <x:c r="J2044" s="26" t="n">
        <x:v>1300</x:v>
      </x:c>
      <x:c r="K2044" s="35" t="str">
        <x:v>December 2027 rent</x:v>
      </x:c>
    </x:row>
    <x:row r="2045">
      <x:c r="A2045" s="20" t="str">
        <x:v>FIN-01019</x:v>
      </x:c>
      <x:c r="B2045" s="32" t="n">
        <x:v>1</x:v>
      </x:c>
      <x:c r="C2045" s="23" t="n">
        <x:v>46724</x:v>
      </x:c>
      <x:c r="D2045" s="23" t="n">
        <x:v>46724</x:v>
      </x:c>
      <x:c r="E2045" s="20" t="str">
        <x:v>P029</x:v>
      </x:c>
      <x:c r="F2045" s="20" t="str">
        <x:v>U038</x:v>
      </x:c>
      <x:c r="G2045" s="20" t="str">
        <x:v>L044</x:v>
      </x:c>
      <x:c r="H2045" s="20" t="str">
        <x:v>1000 Operating Cash</x:v>
      </x:c>
      <x:c r="I2045" s="26" t="n">
        <x:v>780</x:v>
      </x:c>
      <x:c r="J2045" s="26" t="n">
        <x:v>0</x:v>
      </x:c>
      <x:c r="K2045" s="35" t="str">
        <x:v>Receipt allocated to FIN-01018</x:v>
      </x:c>
    </x:row>
    <x:row r="2046">
      <x:c r="A2046" s="20" t="str">
        <x:v>FIN-01019</x:v>
      </x:c>
      <x:c r="B2046" s="32" t="n">
        <x:v>2</x:v>
      </x:c>
      <x:c r="C2046" s="23" t="n">
        <x:v>46724</x:v>
      </x:c>
      <x:c r="D2046" s="23" t="n">
        <x:v>46724</x:v>
      </x:c>
      <x:c r="E2046" s="20" t="str">
        <x:v>P029</x:v>
      </x:c>
      <x:c r="F2046" s="20" t="str">
        <x:v>U038</x:v>
      </x:c>
      <x:c r="G2046" s="20" t="str">
        <x:v>L044</x:v>
      </x:c>
      <x:c r="H2046" s="20" t="str">
        <x:v>1100 Tenant Accounts Receivable</x:v>
      </x:c>
      <x:c r="I2046" s="26" t="n">
        <x:v>0</x:v>
      </x:c>
      <x:c r="J2046" s="26" t="n">
        <x:v>780</x:v>
      </x:c>
      <x:c r="K2046" s="35" t="str">
        <x:v>Receipt allocated to FIN-01018</x:v>
      </x:c>
    </x:row>
    <x:row r="2047">
      <x:c r="A2047" s="20" t="str">
        <x:v>FIN-01020</x:v>
      </x:c>
      <x:c r="B2047" s="32" t="n">
        <x:v>1</x:v>
      </x:c>
      <x:c r="C2047" s="23" t="n">
        <x:v>46727</x:v>
      </x:c>
      <x:c r="D2047" s="23" t="n">
        <x:v>46727</x:v>
      </x:c>
      <x:c r="E2047" s="20" t="str">
        <x:v>P029</x:v>
      </x:c>
      <x:c r="F2047" s="20" t="str">
        <x:v>U038</x:v>
      </x:c>
      <x:c r="G2047" s="20" t="str">
        <x:v>L044</x:v>
      </x:c>
      <x:c r="H2047" s="20" t="str">
        <x:v>1100 Tenant Accounts Receivable</x:v>
      </x:c>
      <x:c r="I2047" s="26" t="n">
        <x:v>50</x:v>
      </x:c>
      <x:c r="J2047" s="26" t="n">
        <x:v>0</x:v>
      </x:c>
      <x:c r="K2047" s="35" t="str">
        <x:v>Synthetic lease-authorized late fee after partial payment</x:v>
      </x:c>
    </x:row>
    <x:row r="2048">
      <x:c r="A2048" s="20" t="str">
        <x:v>FIN-01020</x:v>
      </x:c>
      <x:c r="B2048" s="32" t="n">
        <x:v>2</x:v>
      </x:c>
      <x:c r="C2048" s="23" t="n">
        <x:v>46727</x:v>
      </x:c>
      <x:c r="D2048" s="23" t="n">
        <x:v>46727</x:v>
      </x:c>
      <x:c r="E2048" s="20" t="str">
        <x:v>P029</x:v>
      </x:c>
      <x:c r="F2048" s="20" t="str">
        <x:v>U038</x:v>
      </x:c>
      <x:c r="G2048" s="20" t="str">
        <x:v>L044</x:v>
      </x:c>
      <x:c r="H2048" s="20" t="str">
        <x:v>4010 Late Fee Income</x:v>
      </x:c>
      <x:c r="I2048" s="26" t="n">
        <x:v>0</x:v>
      </x:c>
      <x:c r="J2048" s="26" t="n">
        <x:v>50</x:v>
      </x:c>
      <x:c r="K2048" s="35" t="str">
        <x:v>Synthetic lease-authorized late fee after partial payment</x:v>
      </x:c>
    </x:row>
    <x:row r="2049">
      <x:c r="A2049" s="20" t="str">
        <x:v>FIN-01021</x:v>
      </x:c>
      <x:c r="B2049" s="32" t="n">
        <x:v>1</x:v>
      </x:c>
      <x:c r="C2049" s="23" t="n">
        <x:v>46733</x:v>
      </x:c>
      <x:c r="D2049" s="23" t="n">
        <x:v>46733</x:v>
      </x:c>
      <x:c r="E2049" s="20" t="str">
        <x:v>P029</x:v>
      </x:c>
      <x:c r="F2049" s="20" t="str">
        <x:v>U038</x:v>
      </x:c>
      <x:c r="G2049" s="20" t="str">
        <x:v>L044</x:v>
      </x:c>
      <x:c r="H2049" s="20" t="str">
        <x:v>1000 Operating Cash</x:v>
      </x:c>
      <x:c r="I2049" s="26" t="n">
        <x:v>570</x:v>
      </x:c>
      <x:c r="J2049" s="26" t="n">
        <x:v>0</x:v>
      </x:c>
      <x:c r="K2049" s="35" t="str">
        <x:v>Receipt allocated to FIN-01020</x:v>
      </x:c>
    </x:row>
    <x:row r="2050">
      <x:c r="A2050" s="20" t="str">
        <x:v>FIN-01021</x:v>
      </x:c>
      <x:c r="B2050" s="32" t="n">
        <x:v>2</x:v>
      </x:c>
      <x:c r="C2050" s="23" t="n">
        <x:v>46733</x:v>
      </x:c>
      <x:c r="D2050" s="23" t="n">
        <x:v>46733</x:v>
      </x:c>
      <x:c r="E2050" s="20" t="str">
        <x:v>P029</x:v>
      </x:c>
      <x:c r="F2050" s="20" t="str">
        <x:v>U038</x:v>
      </x:c>
      <x:c r="G2050" s="20" t="str">
        <x:v>L044</x:v>
      </x:c>
      <x:c r="H2050" s="20" t="str">
        <x:v>1100 Tenant Accounts Receivable</x:v>
      </x:c>
      <x:c r="I2050" s="26" t="n">
        <x:v>0</x:v>
      </x:c>
      <x:c r="J2050" s="26" t="n">
        <x:v>570</x:v>
      </x:c>
      <x:c r="K2050" s="35" t="str">
        <x:v>Receipt allocated to FIN-01020</x:v>
      </x:c>
    </x:row>
    <x:row r="2051">
      <x:c r="A2051" s="20" t="str">
        <x:v>FIN-01022</x:v>
      </x:c>
      <x:c r="B2051" s="32" t="n">
        <x:v>1</x:v>
      </x:c>
      <x:c r="C2051" s="23" t="n">
        <x:v>46722</x:v>
      </x:c>
      <x:c r="D2051" s="23" t="n">
        <x:v>46722</x:v>
      </x:c>
      <x:c r="E2051" s="20" t="str">
        <x:v>P030</x:v>
      </x:c>
      <x:c r="F2051" s="20" t="str">
        <x:v>U039</x:v>
      </x:c>
      <x:c r="G2051" s="20" t="str">
        <x:v>L045</x:v>
      </x:c>
      <x:c r="H2051" s="20" t="str">
        <x:v>1100 Tenant Accounts Receivable</x:v>
      </x:c>
      <x:c r="I2051" s="26" t="n">
        <x:v>1825</x:v>
      </x:c>
      <x:c r="J2051" s="26" t="n">
        <x:v>0</x:v>
      </x:c>
      <x:c r="K2051" s="35" t="str">
        <x:v>December 2027 rent</x:v>
      </x:c>
    </x:row>
    <x:row r="2052">
      <x:c r="A2052" s="20" t="str">
        <x:v>FIN-01022</x:v>
      </x:c>
      <x:c r="B2052" s="32" t="n">
        <x:v>2</x:v>
      </x:c>
      <x:c r="C2052" s="23" t="n">
        <x:v>46722</x:v>
      </x:c>
      <x:c r="D2052" s="23" t="n">
        <x:v>46722</x:v>
      </x:c>
      <x:c r="E2052" s="20" t="str">
        <x:v>P030</x:v>
      </x:c>
      <x:c r="F2052" s="20" t="str">
        <x:v>U039</x:v>
      </x:c>
      <x:c r="G2052" s="20" t="str">
        <x:v>L045</x:v>
      </x:c>
      <x:c r="H2052" s="20" t="str">
        <x:v>4000 Rental Income</x:v>
      </x:c>
      <x:c r="I2052" s="26" t="n">
        <x:v>0</x:v>
      </x:c>
      <x:c r="J2052" s="26" t="n">
        <x:v>1825</x:v>
      </x:c>
      <x:c r="K2052" s="35" t="str">
        <x:v>December 2027 rent</x:v>
      </x:c>
    </x:row>
    <x:row r="2053">
      <x:c r="A2053" s="20" t="str">
        <x:v>FIN-01023</x:v>
      </x:c>
      <x:c r="B2053" s="32" t="n">
        <x:v>1</x:v>
      </x:c>
      <x:c r="C2053" s="23" t="n">
        <x:v>46724</x:v>
      </x:c>
      <x:c r="D2053" s="23" t="n">
        <x:v>46724</x:v>
      </x:c>
      <x:c r="E2053" s="20" t="str">
        <x:v>P030</x:v>
      </x:c>
      <x:c r="F2053" s="20" t="str">
        <x:v>U039</x:v>
      </x:c>
      <x:c r="G2053" s="20" t="str">
        <x:v>L045</x:v>
      </x:c>
      <x:c r="H2053" s="20" t="str">
        <x:v>1000 Operating Cash</x:v>
      </x:c>
      <x:c r="I2053" s="26" t="n">
        <x:v>1825</x:v>
      </x:c>
      <x:c r="J2053" s="26" t="n">
        <x:v>0</x:v>
      </x:c>
      <x:c r="K2053" s="35" t="str">
        <x:v>Receipt allocated to FIN-01022</x:v>
      </x:c>
    </x:row>
    <x:row r="2054">
      <x:c r="A2054" s="20" t="str">
        <x:v>FIN-01023</x:v>
      </x:c>
      <x:c r="B2054" s="32" t="n">
        <x:v>2</x:v>
      </x:c>
      <x:c r="C2054" s="23" t="n">
        <x:v>46724</x:v>
      </x:c>
      <x:c r="D2054" s="23" t="n">
        <x:v>46724</x:v>
      </x:c>
      <x:c r="E2054" s="20" t="str">
        <x:v>P030</x:v>
      </x:c>
      <x:c r="F2054" s="20" t="str">
        <x:v>U039</x:v>
      </x:c>
      <x:c r="G2054" s="20" t="str">
        <x:v>L045</x:v>
      </x:c>
      <x:c r="H2054" s="20" t="str">
        <x:v>1100 Tenant Accounts Receivable</x:v>
      </x:c>
      <x:c r="I2054" s="26" t="n">
        <x:v>0</x:v>
      </x:c>
      <x:c r="J2054" s="26" t="n">
        <x:v>1825</x:v>
      </x:c>
      <x:c r="K2054" s="35" t="str">
        <x:v>Receipt allocated to FIN-01022</x:v>
      </x:c>
    </x:row>
    <x:row r="2055">
      <x:c r="A2055" s="20" t="str">
        <x:v>FIN-01024</x:v>
      </x:c>
      <x:c r="B2055" s="32" t="n">
        <x:v>1</x:v>
      </x:c>
      <x:c r="C2055" s="23" t="n">
        <x:v>46392</x:v>
      </x:c>
      <x:c r="D2055" s="23" t="n">
        <x:v>46392</x:v>
      </x:c>
      <x:c r="E2055" s="20" t="str">
        <x:v>P008</x:v>
      </x:c>
      <x:c r="F2055" s="20" t="str">
        <x:v>U008</x:v>
      </x:c>
      <x:c r="G2055" s="20" t="str"/>
      <x:c r="H2055" s="20" t="str">
        <x:v>5000 Repairs and Maintenance</x:v>
      </x:c>
      <x:c r="I2055" s="26" t="n">
        <x:v>147.8</x:v>
      </x:c>
      <x:c r="J2055" s="26" t="n">
        <x:v>0</x:v>
      </x:c>
      <x:c r="K2055" s="35" t="str">
        <x:v>ComfortZone HVAC; WO-2027-001</x:v>
      </x:c>
    </x:row>
    <x:row r="2056">
      <x:c r="A2056" s="20" t="str">
        <x:v>FIN-01024</x:v>
      </x:c>
      <x:c r="B2056" s="32" t="n">
        <x:v>2</x:v>
      </x:c>
      <x:c r="C2056" s="23" t="n">
        <x:v>46392</x:v>
      </x:c>
      <x:c r="D2056" s="23" t="n">
        <x:v>46392</x:v>
      </x:c>
      <x:c r="E2056" s="20" t="str">
        <x:v>P008</x:v>
      </x:c>
      <x:c r="F2056" s="20" t="str">
        <x:v>U008</x:v>
      </x:c>
      <x:c r="G2056" s="20" t="str"/>
      <x:c r="H2056" s="20" t="str">
        <x:v>1000 Operating Cash</x:v>
      </x:c>
      <x:c r="I2056" s="26" t="n">
        <x:v>0</x:v>
      </x:c>
      <x:c r="J2056" s="26" t="n">
        <x:v>147.8</x:v>
      </x:c>
      <x:c r="K2056" s="35" t="str">
        <x:v>ComfortZone HVAC; WO-2027-001</x:v>
      </x:c>
    </x:row>
    <x:row r="2057">
      <x:c r="A2057" s="20" t="str">
        <x:v>FIN-01025</x:v>
      </x:c>
      <x:c r="B2057" s="32" t="n">
        <x:v>1</x:v>
      </x:c>
      <x:c r="C2057" s="23" t="n">
        <x:v>46399</x:v>
      </x:c>
      <x:c r="D2057" s="23" t="n">
        <x:v>46399</x:v>
      </x:c>
      <x:c r="E2057" s="20" t="str">
        <x:v>P015</x:v>
      </x:c>
      <x:c r="F2057" s="20" t="str">
        <x:v>U015</x:v>
      </x:c>
      <x:c r="G2057" s="20" t="str"/>
      <x:c r="H2057" s="20" t="str">
        <x:v>5000 Repairs and Maintenance</x:v>
      </x:c>
      <x:c r="I2057" s="26" t="n">
        <x:v>225</x:v>
      </x:c>
      <x:c r="J2057" s="26" t="n">
        <x:v>0</x:v>
      </x:c>
      <x:c r="K2057" s="35" t="str">
        <x:v>Metro Electric; WO-2027-002</x:v>
      </x:c>
    </x:row>
    <x:row r="2058">
      <x:c r="A2058" s="20" t="str">
        <x:v>FIN-01025</x:v>
      </x:c>
      <x:c r="B2058" s="32" t="n">
        <x:v>2</x:v>
      </x:c>
      <x:c r="C2058" s="23" t="n">
        <x:v>46399</x:v>
      </x:c>
      <x:c r="D2058" s="23" t="n">
        <x:v>46399</x:v>
      </x:c>
      <x:c r="E2058" s="20" t="str">
        <x:v>P015</x:v>
      </x:c>
      <x:c r="F2058" s="20" t="str">
        <x:v>U015</x:v>
      </x:c>
      <x:c r="G2058" s="20" t="str"/>
      <x:c r="H2058" s="20" t="str">
        <x:v>1000 Operating Cash</x:v>
      </x:c>
      <x:c r="I2058" s="26" t="n">
        <x:v>0</x:v>
      </x:c>
      <x:c r="J2058" s="26" t="n">
        <x:v>225</x:v>
      </x:c>
      <x:c r="K2058" s="35" t="str">
        <x:v>Metro Electric; WO-2027-002</x:v>
      </x:c>
    </x:row>
    <x:row r="2059">
      <x:c r="A2059" s="20" t="str">
        <x:v>FIN-01026</x:v>
      </x:c>
      <x:c r="B2059" s="32" t="n">
        <x:v>1</x:v>
      </x:c>
      <x:c r="C2059" s="23" t="n">
        <x:v>46406</x:v>
      </x:c>
      <x:c r="D2059" s="23" t="n">
        <x:v>46406</x:v>
      </x:c>
      <x:c r="E2059" s="20" t="str">
        <x:v>P021</x:v>
      </x:c>
      <x:c r="F2059" s="20" t="str">
        <x:v>U022</x:v>
      </x:c>
      <x:c r="G2059" s="20" t="str"/>
      <x:c r="H2059" s="20" t="str">
        <x:v>5000 Repairs and Maintenance</x:v>
      </x:c>
      <x:c r="I2059" s="26" t="n">
        <x:v>318.65</x:v>
      </x:c>
      <x:c r="J2059" s="26" t="n">
        <x:v>0</x:v>
      </x:c>
      <x:c r="K2059" s="35" t="str">
        <x:v>Green Thumb Landscaping; WO-2027-003</x:v>
      </x:c>
    </x:row>
    <x:row r="2060">
      <x:c r="A2060" s="20" t="str">
        <x:v>FIN-01026</x:v>
      </x:c>
      <x:c r="B2060" s="32" t="n">
        <x:v>2</x:v>
      </x:c>
      <x:c r="C2060" s="23" t="n">
        <x:v>46406</x:v>
      </x:c>
      <x:c r="D2060" s="23" t="n">
        <x:v>46406</x:v>
      </x:c>
      <x:c r="E2060" s="20" t="str">
        <x:v>P021</x:v>
      </x:c>
      <x:c r="F2060" s="20" t="str">
        <x:v>U022</x:v>
      </x:c>
      <x:c r="G2060" s="20" t="str"/>
      <x:c r="H2060" s="20" t="str">
        <x:v>1000 Operating Cash</x:v>
      </x:c>
      <x:c r="I2060" s="26" t="n">
        <x:v>0</x:v>
      </x:c>
      <x:c r="J2060" s="26" t="n">
        <x:v>318.65</x:v>
      </x:c>
      <x:c r="K2060" s="35" t="str">
        <x:v>Green Thumb Landscaping; WO-2027-003</x:v>
      </x:c>
    </x:row>
    <x:row r="2061">
      <x:c r="A2061" s="20" t="str">
        <x:v>FIN-01027</x:v>
      </x:c>
      <x:c r="B2061" s="32" t="n">
        <x:v>1</x:v>
      </x:c>
      <x:c r="C2061" s="23" t="n">
        <x:v>46413</x:v>
      </x:c>
      <x:c r="D2061" s="23" t="n">
        <x:v>46413</x:v>
      </x:c>
      <x:c r="E2061" s="20" t="str">
        <x:v>P025</x:v>
      </x:c>
      <x:c r="F2061" s="20" t="str">
        <x:v>U029</x:v>
      </x:c>
      <x:c r="G2061" s="20" t="str"/>
      <x:c r="H2061" s="20" t="str">
        <x:v>5000 Repairs and Maintenance</x:v>
      </x:c>
      <x:c r="I2061" s="26" t="n">
        <x:v>475</x:v>
      </x:c>
      <x:c r="J2061" s="26" t="n">
        <x:v>0</x:v>
      </x:c>
      <x:c r="K2061" s="35" t="str">
        <x:v>Summit Roofing; WO-2027-004</x:v>
      </x:c>
    </x:row>
    <x:row r="2062">
      <x:c r="A2062" s="20" t="str">
        <x:v>FIN-01027</x:v>
      </x:c>
      <x:c r="B2062" s="32" t="n">
        <x:v>2</x:v>
      </x:c>
      <x:c r="C2062" s="23" t="n">
        <x:v>46413</x:v>
      </x:c>
      <x:c r="D2062" s="23" t="n">
        <x:v>46413</x:v>
      </x:c>
      <x:c r="E2062" s="20" t="str">
        <x:v>P025</x:v>
      </x:c>
      <x:c r="F2062" s="20" t="str">
        <x:v>U029</x:v>
      </x:c>
      <x:c r="G2062" s="20" t="str"/>
      <x:c r="H2062" s="20" t="str">
        <x:v>1000 Operating Cash</x:v>
      </x:c>
      <x:c r="I2062" s="26" t="n">
        <x:v>0</x:v>
      </x:c>
      <x:c r="J2062" s="26" t="n">
        <x:v>475</x:v>
      </x:c>
      <x:c r="K2062" s="35" t="str">
        <x:v>Summit Roofing; WO-2027-004</x:v>
      </x:c>
    </x:row>
    <x:row r="2063">
      <x:c r="A2063" s="20" t="str">
        <x:v>FIN-01028</x:v>
      </x:c>
      <x:c r="B2063" s="32" t="n">
        <x:v>1</x:v>
      </x:c>
      <x:c r="C2063" s="23" t="n">
        <x:v>46420</x:v>
      </x:c>
      <x:c r="D2063" s="23" t="n">
        <x:v>46420</x:v>
      </x:c>
      <x:c r="E2063" s="20" t="str">
        <x:v>P028</x:v>
      </x:c>
      <x:c r="F2063" s="20" t="str">
        <x:v>U036</x:v>
      </x:c>
      <x:c r="G2063" s="20" t="str"/>
      <x:c r="H2063" s="20" t="str">
        <x:v>5000 Repairs and Maintenance</x:v>
      </x:c>
      <x:c r="I2063" s="26" t="n">
        <x:v>690.25</x:v>
      </x:c>
      <x:c r="J2063" s="26" t="n">
        <x:v>0</x:v>
      </x:c>
      <x:c r="K2063" s="35" t="str">
        <x:v>Prime Pest Control; WO-2027-005</x:v>
      </x:c>
    </x:row>
    <x:row r="2064">
      <x:c r="A2064" s="20" t="str">
        <x:v>FIN-01028</x:v>
      </x:c>
      <x:c r="B2064" s="32" t="n">
        <x:v>2</x:v>
      </x:c>
      <x:c r="C2064" s="23" t="n">
        <x:v>46420</x:v>
      </x:c>
      <x:c r="D2064" s="23" t="n">
        <x:v>46420</x:v>
      </x:c>
      <x:c r="E2064" s="20" t="str">
        <x:v>P028</x:v>
      </x:c>
      <x:c r="F2064" s="20" t="str">
        <x:v>U036</x:v>
      </x:c>
      <x:c r="G2064" s="20" t="str"/>
      <x:c r="H2064" s="20" t="str">
        <x:v>1000 Operating Cash</x:v>
      </x:c>
      <x:c r="I2064" s="26" t="n">
        <x:v>0</x:v>
      </x:c>
      <x:c r="J2064" s="26" t="n">
        <x:v>690.25</x:v>
      </x:c>
      <x:c r="K2064" s="35" t="str">
        <x:v>Prime Pest Control; WO-2027-005</x:v>
      </x:c>
    </x:row>
    <x:row r="2065">
      <x:c r="A2065" s="20" t="str">
        <x:v>FIN-01029</x:v>
      </x:c>
      <x:c r="B2065" s="32" t="n">
        <x:v>1</x:v>
      </x:c>
      <x:c r="C2065" s="23" t="n">
        <x:v>46427</x:v>
      </x:c>
      <x:c r="D2065" s="23" t="n">
        <x:v>46427</x:v>
      </x:c>
      <x:c r="E2065" s="20" t="str">
        <x:v>P003</x:v>
      </x:c>
      <x:c r="F2065" s="20" t="str">
        <x:v>U003</x:v>
      </x:c>
      <x:c r="G2065" s="20" t="str"/>
      <x:c r="H2065" s="20" t="str">
        <x:v>5000 Repairs and Maintenance</x:v>
      </x:c>
      <x:c r="I2065" s="26" t="n">
        <x:v>940</x:v>
      </x:c>
      <x:c r="J2065" s="26" t="n">
        <x:v>0</x:v>
      </x:c>
      <x:c r="K2065" s="35" t="str">
        <x:v>Fresh Start Turnovers; WO-2027-006</x:v>
      </x:c>
    </x:row>
    <x:row r="2066">
      <x:c r="A2066" s="20" t="str">
        <x:v>FIN-01029</x:v>
      </x:c>
      <x:c r="B2066" s="32" t="n">
        <x:v>2</x:v>
      </x:c>
      <x:c r="C2066" s="23" t="n">
        <x:v>46427</x:v>
      </x:c>
      <x:c r="D2066" s="23" t="n">
        <x:v>46427</x:v>
      </x:c>
      <x:c r="E2066" s="20" t="str">
        <x:v>P003</x:v>
      </x:c>
      <x:c r="F2066" s="20" t="str">
        <x:v>U003</x:v>
      </x:c>
      <x:c r="G2066" s="20" t="str"/>
      <x:c r="H2066" s="20" t="str">
        <x:v>1000 Operating Cash</x:v>
      </x:c>
      <x:c r="I2066" s="26" t="n">
        <x:v>0</x:v>
      </x:c>
      <x:c r="J2066" s="26" t="n">
        <x:v>940</x:v>
      </x:c>
      <x:c r="K2066" s="35" t="str">
        <x:v>Fresh Start Turnovers; WO-2027-006</x:v>
      </x:c>
    </x:row>
    <x:row r="2067">
      <x:c r="A2067" s="20" t="str">
        <x:v>FIN-01030</x:v>
      </x:c>
      <x:c r="B2067" s="32" t="n">
        <x:v>1</x:v>
      </x:c>
      <x:c r="C2067" s="23" t="n">
        <x:v>46434</x:v>
      </x:c>
      <x:c r="D2067" s="23" t="n">
        <x:v>46434</x:v>
      </x:c>
      <x:c r="E2067" s="20" t="str">
        <x:v>P010</x:v>
      </x:c>
      <x:c r="F2067" s="20" t="str">
        <x:v>U010</x:v>
      </x:c>
      <x:c r="G2067" s="20" t="str"/>
      <x:c r="H2067" s="20" t="str">
        <x:v>5120 Supplies</x:v>
      </x:c>
      <x:c r="I2067" s="26" t="n">
        <x:v>89.45</x:v>
      </x:c>
      <x:c r="J2067" s="26" t="n">
        <x:v>0</x:v>
      </x:c>
      <x:c r="K2067" s="35" t="str">
        <x:v>Hardware House; WO-2027-007</x:v>
      </x:c>
    </x:row>
    <x:row r="2068">
      <x:c r="A2068" s="20" t="str">
        <x:v>FIN-01030</x:v>
      </x:c>
      <x:c r="B2068" s="32" t="n">
        <x:v>2</x:v>
      </x:c>
      <x:c r="C2068" s="23" t="n">
        <x:v>46434</x:v>
      </x:c>
      <x:c r="D2068" s="23" t="n">
        <x:v>46434</x:v>
      </x:c>
      <x:c r="E2068" s="20" t="str">
        <x:v>P010</x:v>
      </x:c>
      <x:c r="F2068" s="20" t="str">
        <x:v>U010</x:v>
      </x:c>
      <x:c r="G2068" s="20" t="str"/>
      <x:c r="H2068" s="20" t="str">
        <x:v>1000 Operating Cash</x:v>
      </x:c>
      <x:c r="I2068" s="26" t="n">
        <x:v>0</x:v>
      </x:c>
      <x:c r="J2068" s="26" t="n">
        <x:v>89.45</x:v>
      </x:c>
      <x:c r="K2068" s="35" t="str">
        <x:v>Hardware House; WO-2027-007</x:v>
      </x:c>
    </x:row>
    <x:row r="2069">
      <x:c r="A2069" s="20" t="str">
        <x:v>FIN-01031</x:v>
      </x:c>
      <x:c r="B2069" s="32" t="n">
        <x:v>1</x:v>
      </x:c>
      <x:c r="C2069" s="23" t="n">
        <x:v>46441</x:v>
      </x:c>
      <x:c r="D2069" s="23" t="n">
        <x:v>46441</x:v>
      </x:c>
      <x:c r="E2069" s="20" t="str">
        <x:v>P017</x:v>
      </x:c>
      <x:c r="F2069" s="20" t="str">
        <x:v>U017</x:v>
      </x:c>
      <x:c r="G2069" s="20" t="str"/>
      <x:c r="H2069" s="20" t="str">
        <x:v>5000 Repairs and Maintenance</x:v>
      </x:c>
      <x:c r="I2069" s="26" t="n">
        <x:v>147.8</x:v>
      </x:c>
      <x:c r="J2069" s="26" t="n">
        <x:v>0</x:v>
      </x:c>
      <x:c r="K2069" s="35" t="str">
        <x:v>SafeHome Locksmith; WO-2027-008</x:v>
      </x:c>
    </x:row>
    <x:row r="2070">
      <x:c r="A2070" s="20" t="str">
        <x:v>FIN-01031</x:v>
      </x:c>
      <x:c r="B2070" s="32" t="n">
        <x:v>2</x:v>
      </x:c>
      <x:c r="C2070" s="23" t="n">
        <x:v>46441</x:v>
      </x:c>
      <x:c r="D2070" s="23" t="n">
        <x:v>46441</x:v>
      </x:c>
      <x:c r="E2070" s="20" t="str">
        <x:v>P017</x:v>
      </x:c>
      <x:c r="F2070" s="20" t="str">
        <x:v>U017</x:v>
      </x:c>
      <x:c r="G2070" s="20" t="str"/>
      <x:c r="H2070" s="20" t="str">
        <x:v>1000 Operating Cash</x:v>
      </x:c>
      <x:c r="I2070" s="26" t="n">
        <x:v>0</x:v>
      </x:c>
      <x:c r="J2070" s="26" t="n">
        <x:v>147.8</x:v>
      </x:c>
      <x:c r="K2070" s="35" t="str">
        <x:v>SafeHome Locksmith; WO-2027-008</x:v>
      </x:c>
    </x:row>
    <x:row r="2071">
      <x:c r="A2071" s="20" t="str">
        <x:v>FIN-01032</x:v>
      </x:c>
      <x:c r="B2071" s="32" t="n">
        <x:v>1</x:v>
      </x:c>
      <x:c r="C2071" s="23" t="n">
        <x:v>46448</x:v>
      </x:c>
      <x:c r="D2071" s="23" t="n">
        <x:v>46448</x:v>
      </x:c>
      <x:c r="E2071" s="20" t="str">
        <x:v>P022</x:v>
      </x:c>
      <x:c r="F2071" s="20" t="str">
        <x:v>U024</x:v>
      </x:c>
      <x:c r="G2071" s="20" t="str"/>
      <x:c r="H2071" s="20" t="str">
        <x:v>5000 Repairs and Maintenance</x:v>
      </x:c>
      <x:c r="I2071" s="26" t="n">
        <x:v>225</x:v>
      </x:c>
      <x:c r="J2071" s="26" t="n">
        <x:v>0</x:v>
      </x:c>
      <x:c r="K2071" s="35" t="str">
        <x:v>ClearFlow Restoration; WO-2027-009</x:v>
      </x:c>
    </x:row>
    <x:row r="2072">
      <x:c r="A2072" s="20" t="str">
        <x:v>FIN-01032</x:v>
      </x:c>
      <x:c r="B2072" s="32" t="n">
        <x:v>2</x:v>
      </x:c>
      <x:c r="C2072" s="23" t="n">
        <x:v>46448</x:v>
      </x:c>
      <x:c r="D2072" s="23" t="n">
        <x:v>46448</x:v>
      </x:c>
      <x:c r="E2072" s="20" t="str">
        <x:v>P022</x:v>
      </x:c>
      <x:c r="F2072" s="20" t="str">
        <x:v>U024</x:v>
      </x:c>
      <x:c r="G2072" s="20" t="str"/>
      <x:c r="H2072" s="20" t="str">
        <x:v>1000 Operating Cash</x:v>
      </x:c>
      <x:c r="I2072" s="26" t="n">
        <x:v>0</x:v>
      </x:c>
      <x:c r="J2072" s="26" t="n">
        <x:v>225</x:v>
      </x:c>
      <x:c r="K2072" s="35" t="str">
        <x:v>ClearFlow Restoration; WO-2027-009</x:v>
      </x:c>
    </x:row>
    <x:row r="2073">
      <x:c r="A2073" s="20" t="str">
        <x:v>FIN-01033</x:v>
      </x:c>
      <x:c r="B2073" s="32" t="n">
        <x:v>1</x:v>
      </x:c>
      <x:c r="C2073" s="23" t="n">
        <x:v>46455</x:v>
      </x:c>
      <x:c r="D2073" s="23" t="n">
        <x:v>46455</x:v>
      </x:c>
      <x:c r="E2073" s="20" t="str">
        <x:v>P026</x:v>
      </x:c>
      <x:c r="F2073" s="20" t="str">
        <x:v>U031</x:v>
      </x:c>
      <x:c r="G2073" s="20" t="str"/>
      <x:c r="H2073" s="20" t="str">
        <x:v>5000 Repairs and Maintenance</x:v>
      </x:c>
      <x:c r="I2073" s="26" t="n">
        <x:v>318.65</x:v>
      </x:c>
      <x:c r="J2073" s="26" t="n">
        <x:v>0</x:v>
      </x:c>
      <x:c r="K2073" s="35" t="str">
        <x:v>Apex Plumbing; WO-2027-010</x:v>
      </x:c>
    </x:row>
    <x:row r="2074">
      <x:c r="A2074" s="20" t="str">
        <x:v>FIN-01033</x:v>
      </x:c>
      <x:c r="B2074" s="32" t="n">
        <x:v>2</x:v>
      </x:c>
      <x:c r="C2074" s="23" t="n">
        <x:v>46455</x:v>
      </x:c>
      <x:c r="D2074" s="23" t="n">
        <x:v>46455</x:v>
      </x:c>
      <x:c r="E2074" s="20" t="str">
        <x:v>P026</x:v>
      </x:c>
      <x:c r="F2074" s="20" t="str">
        <x:v>U031</x:v>
      </x:c>
      <x:c r="G2074" s="20" t="str"/>
      <x:c r="H2074" s="20" t="str">
        <x:v>1000 Operating Cash</x:v>
      </x:c>
      <x:c r="I2074" s="26" t="n">
        <x:v>0</x:v>
      </x:c>
      <x:c r="J2074" s="26" t="n">
        <x:v>318.65</x:v>
      </x:c>
      <x:c r="K2074" s="35" t="str">
        <x:v>Apex Plumbing; WO-2027-010</x:v>
      </x:c>
    </x:row>
    <x:row r="2075">
      <x:c r="A2075" s="20" t="str">
        <x:v>FIN-01034</x:v>
      </x:c>
      <x:c r="B2075" s="32" t="n">
        <x:v>1</x:v>
      </x:c>
      <x:c r="C2075" s="23" t="n">
        <x:v>46462</x:v>
      </x:c>
      <x:c r="D2075" s="23" t="n">
        <x:v>46462</x:v>
      </x:c>
      <x:c r="E2075" s="20" t="str">
        <x:v>P029</x:v>
      </x:c>
      <x:c r="F2075" s="20" t="str">
        <x:v>U038</x:v>
      </x:c>
      <x:c r="G2075" s="20" t="str"/>
      <x:c r="H2075" s="20" t="str">
        <x:v>5000 Repairs and Maintenance</x:v>
      </x:c>
      <x:c r="I2075" s="26" t="n">
        <x:v>475</x:v>
      </x:c>
      <x:c r="J2075" s="26" t="n">
        <x:v>0</x:v>
      </x:c>
      <x:c r="K2075" s="35" t="str">
        <x:v>ComfortZone HVAC; WO-2027-011</x:v>
      </x:c>
    </x:row>
    <x:row r="2076">
      <x:c r="A2076" s="20" t="str">
        <x:v>FIN-01034</x:v>
      </x:c>
      <x:c r="B2076" s="32" t="n">
        <x:v>2</x:v>
      </x:c>
      <x:c r="C2076" s="23" t="n">
        <x:v>46462</x:v>
      </x:c>
      <x:c r="D2076" s="23" t="n">
        <x:v>46462</x:v>
      </x:c>
      <x:c r="E2076" s="20" t="str">
        <x:v>P029</x:v>
      </x:c>
      <x:c r="F2076" s="20" t="str">
        <x:v>U038</x:v>
      </x:c>
      <x:c r="G2076" s="20" t="str"/>
      <x:c r="H2076" s="20" t="str">
        <x:v>1000 Operating Cash</x:v>
      </x:c>
      <x:c r="I2076" s="26" t="n">
        <x:v>0</x:v>
      </x:c>
      <x:c r="J2076" s="26" t="n">
        <x:v>475</x:v>
      </x:c>
      <x:c r="K2076" s="35" t="str">
        <x:v>ComfortZone HVAC; WO-2027-011</x:v>
      </x:c>
    </x:row>
    <x:row r="2077">
      <x:c r="A2077" s="20" t="str">
        <x:v>FIN-01035</x:v>
      </x:c>
      <x:c r="B2077" s="32" t="n">
        <x:v>1</x:v>
      </x:c>
      <x:c r="C2077" s="23" t="n">
        <x:v>46469</x:v>
      </x:c>
      <x:c r="D2077" s="23" t="n">
        <x:v>46469</x:v>
      </x:c>
      <x:c r="E2077" s="20" t="str">
        <x:v>P005</x:v>
      </x:c>
      <x:c r="F2077" s="20" t="str">
        <x:v>U005</x:v>
      </x:c>
      <x:c r="G2077" s="20" t="str"/>
      <x:c r="H2077" s="20" t="str">
        <x:v>5000 Repairs and Maintenance</x:v>
      </x:c>
      <x:c r="I2077" s="26" t="n">
        <x:v>690.25</x:v>
      </x:c>
      <x:c r="J2077" s="26" t="n">
        <x:v>0</x:v>
      </x:c>
      <x:c r="K2077" s="35" t="str">
        <x:v>Metro Electric; WO-2027-012</x:v>
      </x:c>
    </x:row>
    <x:row r="2078">
      <x:c r="A2078" s="20" t="str">
        <x:v>FIN-01035</x:v>
      </x:c>
      <x:c r="B2078" s="32" t="n">
        <x:v>2</x:v>
      </x:c>
      <x:c r="C2078" s="23" t="n">
        <x:v>46469</x:v>
      </x:c>
      <x:c r="D2078" s="23" t="n">
        <x:v>46469</x:v>
      </x:c>
      <x:c r="E2078" s="20" t="str">
        <x:v>P005</x:v>
      </x:c>
      <x:c r="F2078" s="20" t="str">
        <x:v>U005</x:v>
      </x:c>
      <x:c r="G2078" s="20" t="str"/>
      <x:c r="H2078" s="20" t="str">
        <x:v>1000 Operating Cash</x:v>
      </x:c>
      <x:c r="I2078" s="26" t="n">
        <x:v>0</x:v>
      </x:c>
      <x:c r="J2078" s="26" t="n">
        <x:v>690.25</x:v>
      </x:c>
      <x:c r="K2078" s="35" t="str">
        <x:v>Metro Electric; WO-2027-012</x:v>
      </x:c>
    </x:row>
    <x:row r="2079">
      <x:c r="A2079" s="20" t="str">
        <x:v>FIN-01036</x:v>
      </x:c>
      <x:c r="B2079" s="32" t="n">
        <x:v>1</x:v>
      </x:c>
      <x:c r="C2079" s="23" t="n">
        <x:v>46476</x:v>
      </x:c>
      <x:c r="D2079" s="23" t="n">
        <x:v>46476</x:v>
      </x:c>
      <x:c r="E2079" s="20" t="str">
        <x:v>P012</x:v>
      </x:c>
      <x:c r="F2079" s="20" t="str">
        <x:v>U012</x:v>
      </x:c>
      <x:c r="G2079" s="20" t="str"/>
      <x:c r="H2079" s="20" t="str">
        <x:v>5070 Cleaning and Turnover</x:v>
      </x:c>
      <x:c r="I2079" s="26" t="n">
        <x:v>940</x:v>
      </x:c>
      <x:c r="J2079" s="26" t="n">
        <x:v>0</x:v>
      </x:c>
      <x:c r="K2079" s="35" t="str">
        <x:v>Green Thumb Landscaping; WO-2027-013</x:v>
      </x:c>
    </x:row>
    <x:row r="2080">
      <x:c r="A2080" s="20" t="str">
        <x:v>FIN-01036</x:v>
      </x:c>
      <x:c r="B2080" s="32" t="n">
        <x:v>2</x:v>
      </x:c>
      <x:c r="C2080" s="23" t="n">
        <x:v>46476</x:v>
      </x:c>
      <x:c r="D2080" s="23" t="n">
        <x:v>46476</x:v>
      </x:c>
      <x:c r="E2080" s="20" t="str">
        <x:v>P012</x:v>
      </x:c>
      <x:c r="F2080" s="20" t="str">
        <x:v>U012</x:v>
      </x:c>
      <x:c r="G2080" s="20" t="str"/>
      <x:c r="H2080" s="20" t="str">
        <x:v>1000 Operating Cash</x:v>
      </x:c>
      <x:c r="I2080" s="26" t="n">
        <x:v>0</x:v>
      </x:c>
      <x:c r="J2080" s="26" t="n">
        <x:v>940</x:v>
      </x:c>
      <x:c r="K2080" s="35" t="str">
        <x:v>Green Thumb Landscaping; WO-2027-013</x:v>
      </x:c>
    </x:row>
    <x:row r="2081">
      <x:c r="A2081" s="20" t="str">
        <x:v>FIN-01037</x:v>
      </x:c>
      <x:c r="B2081" s="32" t="n">
        <x:v>1</x:v>
      </x:c>
      <x:c r="C2081" s="23" t="n">
        <x:v>46483</x:v>
      </x:c>
      <x:c r="D2081" s="23" t="n">
        <x:v>46483</x:v>
      </x:c>
      <x:c r="E2081" s="20" t="str">
        <x:v>P019</x:v>
      </x:c>
      <x:c r="F2081" s="20" t="str">
        <x:v>U019</x:v>
      </x:c>
      <x:c r="G2081" s="20" t="str"/>
      <x:c r="H2081" s="20" t="str">
        <x:v>5000 Repairs and Maintenance</x:v>
      </x:c>
      <x:c r="I2081" s="26" t="n">
        <x:v>89.45</x:v>
      </x:c>
      <x:c r="J2081" s="26" t="n">
        <x:v>0</x:v>
      </x:c>
      <x:c r="K2081" s="35" t="str">
        <x:v>Summit Roofing; WO-2027-014</x:v>
      </x:c>
    </x:row>
    <x:row r="2082">
      <x:c r="A2082" s="20" t="str">
        <x:v>FIN-01037</x:v>
      </x:c>
      <x:c r="B2082" s="32" t="n">
        <x:v>2</x:v>
      </x:c>
      <x:c r="C2082" s="23" t="n">
        <x:v>46483</x:v>
      </x:c>
      <x:c r="D2082" s="23" t="n">
        <x:v>46483</x:v>
      </x:c>
      <x:c r="E2082" s="20" t="str">
        <x:v>P019</x:v>
      </x:c>
      <x:c r="F2082" s="20" t="str">
        <x:v>U019</x:v>
      </x:c>
      <x:c r="G2082" s="20" t="str"/>
      <x:c r="H2082" s="20" t="str">
        <x:v>1000 Operating Cash</x:v>
      </x:c>
      <x:c r="I2082" s="26" t="n">
        <x:v>0</x:v>
      </x:c>
      <x:c r="J2082" s="26" t="n">
        <x:v>89.45</x:v>
      </x:c>
      <x:c r="K2082" s="35" t="str">
        <x:v>Summit Roofing; WO-2027-014</x:v>
      </x:c>
    </x:row>
    <x:row r="2083">
      <x:c r="A2083" s="20" t="str">
        <x:v>FIN-01038</x:v>
      </x:c>
      <x:c r="B2083" s="32" t="n">
        <x:v>1</x:v>
      </x:c>
      <x:c r="C2083" s="23" t="n">
        <x:v>46490</x:v>
      </x:c>
      <x:c r="D2083" s="23" t="n">
        <x:v>46490</x:v>
      </x:c>
      <x:c r="E2083" s="20" t="str">
        <x:v>P023</x:v>
      </x:c>
      <x:c r="F2083" s="20" t="str">
        <x:v>U026</x:v>
      </x:c>
      <x:c r="G2083" s="20" t="str"/>
      <x:c r="H2083" s="20" t="str">
        <x:v>5000 Repairs and Maintenance</x:v>
      </x:c>
      <x:c r="I2083" s="26" t="n">
        <x:v>147.8</x:v>
      </x:c>
      <x:c r="J2083" s="26" t="n">
        <x:v>0</x:v>
      </x:c>
      <x:c r="K2083" s="35" t="str">
        <x:v>Prime Pest Control; WO-2027-015</x:v>
      </x:c>
    </x:row>
    <x:row r="2084">
      <x:c r="A2084" s="20" t="str">
        <x:v>FIN-01038</x:v>
      </x:c>
      <x:c r="B2084" s="32" t="n">
        <x:v>2</x:v>
      </x:c>
      <x:c r="C2084" s="23" t="n">
        <x:v>46490</x:v>
      </x:c>
      <x:c r="D2084" s="23" t="n">
        <x:v>46490</x:v>
      </x:c>
      <x:c r="E2084" s="20" t="str">
        <x:v>P023</x:v>
      </x:c>
      <x:c r="F2084" s="20" t="str">
        <x:v>U026</x:v>
      </x:c>
      <x:c r="G2084" s="20" t="str"/>
      <x:c r="H2084" s="20" t="str">
        <x:v>1000 Operating Cash</x:v>
      </x:c>
      <x:c r="I2084" s="26" t="n">
        <x:v>0</x:v>
      </x:c>
      <x:c r="J2084" s="26" t="n">
        <x:v>147.8</x:v>
      </x:c>
      <x:c r="K2084" s="35" t="str">
        <x:v>Prime Pest Control; WO-2027-015</x:v>
      </x:c>
    </x:row>
    <x:row r="2085">
      <x:c r="A2085" s="20" t="str">
        <x:v>FIN-01039</x:v>
      </x:c>
      <x:c r="B2085" s="32" t="n">
        <x:v>1</x:v>
      </x:c>
      <x:c r="C2085" s="23" t="n">
        <x:v>46497</x:v>
      </x:c>
      <x:c r="D2085" s="23" t="n">
        <x:v>46497</x:v>
      </x:c>
      <x:c r="E2085" s="20" t="str">
        <x:v>P027</x:v>
      </x:c>
      <x:c r="F2085" s="20" t="str">
        <x:v>U033</x:v>
      </x:c>
      <x:c r="G2085" s="20" t="str"/>
      <x:c r="H2085" s="20" t="str">
        <x:v>5000 Repairs and Maintenance</x:v>
      </x:c>
      <x:c r="I2085" s="26" t="n">
        <x:v>225</x:v>
      </x:c>
      <x:c r="J2085" s="26" t="n">
        <x:v>0</x:v>
      </x:c>
      <x:c r="K2085" s="35" t="str">
        <x:v>Fresh Start Turnovers; WO-2027-016</x:v>
      </x:c>
    </x:row>
    <x:row r="2086">
      <x:c r="A2086" s="20" t="str">
        <x:v>FIN-01039</x:v>
      </x:c>
      <x:c r="B2086" s="32" t="n">
        <x:v>2</x:v>
      </x:c>
      <x:c r="C2086" s="23" t="n">
        <x:v>46497</x:v>
      </x:c>
      <x:c r="D2086" s="23" t="n">
        <x:v>46497</x:v>
      </x:c>
      <x:c r="E2086" s="20" t="str">
        <x:v>P027</x:v>
      </x:c>
      <x:c r="F2086" s="20" t="str">
        <x:v>U033</x:v>
      </x:c>
      <x:c r="G2086" s="20" t="str"/>
      <x:c r="H2086" s="20" t="str">
        <x:v>1000 Operating Cash</x:v>
      </x:c>
      <x:c r="I2086" s="26" t="n">
        <x:v>0</x:v>
      </x:c>
      <x:c r="J2086" s="26" t="n">
        <x:v>225</x:v>
      </x:c>
      <x:c r="K2086" s="35" t="str">
        <x:v>Fresh Start Turnovers; WO-2027-016</x:v>
      </x:c>
    </x:row>
    <x:row r="2087">
      <x:c r="A2087" s="20" t="str">
        <x:v>FIN-01040</x:v>
      </x:c>
      <x:c r="B2087" s="32" t="n">
        <x:v>1</x:v>
      </x:c>
      <x:c r="C2087" s="23" t="n">
        <x:v>46504</x:v>
      </x:c>
      <x:c r="D2087" s="23" t="n">
        <x:v>46504</x:v>
      </x:c>
      <x:c r="E2087" s="20" t="str">
        <x:v>P030</x:v>
      </x:c>
      <x:c r="F2087" s="20" t="str">
        <x:v>U040</x:v>
      </x:c>
      <x:c r="G2087" s="20" t="str"/>
      <x:c r="H2087" s="20" t="str">
        <x:v>5120 Supplies</x:v>
      </x:c>
      <x:c r="I2087" s="26" t="n">
        <x:v>318.65</x:v>
      </x:c>
      <x:c r="J2087" s="26" t="n">
        <x:v>0</x:v>
      </x:c>
      <x:c r="K2087" s="35" t="str">
        <x:v>Hardware House; WO-2027-017</x:v>
      </x:c>
    </x:row>
    <x:row r="2088">
      <x:c r="A2088" s="20" t="str">
        <x:v>FIN-01040</x:v>
      </x:c>
      <x:c r="B2088" s="32" t="n">
        <x:v>2</x:v>
      </x:c>
      <x:c r="C2088" s="23" t="n">
        <x:v>46504</x:v>
      </x:c>
      <x:c r="D2088" s="23" t="n">
        <x:v>46504</x:v>
      </x:c>
      <x:c r="E2088" s="20" t="str">
        <x:v>P030</x:v>
      </x:c>
      <x:c r="F2088" s="20" t="str">
        <x:v>U040</x:v>
      </x:c>
      <x:c r="G2088" s="20" t="str"/>
      <x:c r="H2088" s="20" t="str">
        <x:v>1000 Operating Cash</x:v>
      </x:c>
      <x:c r="I2088" s="26" t="n">
        <x:v>0</x:v>
      </x:c>
      <x:c r="J2088" s="26" t="n">
        <x:v>318.65</x:v>
      </x:c>
      <x:c r="K2088" s="35" t="str">
        <x:v>Hardware House; WO-2027-017</x:v>
      </x:c>
    </x:row>
    <x:row r="2089">
      <x:c r="A2089" s="20" t="str">
        <x:v>FIN-01041</x:v>
      </x:c>
      <x:c r="B2089" s="32" t="n">
        <x:v>1</x:v>
      </x:c>
      <x:c r="C2089" s="23" t="n">
        <x:v>46511</x:v>
      </x:c>
      <x:c r="D2089" s="23" t="n">
        <x:v>46511</x:v>
      </x:c>
      <x:c r="E2089" s="20" t="str">
        <x:v>P007</x:v>
      </x:c>
      <x:c r="F2089" s="20" t="str">
        <x:v>U007</x:v>
      </x:c>
      <x:c r="G2089" s="20" t="str"/>
      <x:c r="H2089" s="20" t="str">
        <x:v>5000 Repairs and Maintenance</x:v>
      </x:c>
      <x:c r="I2089" s="26" t="n">
        <x:v>475</x:v>
      </x:c>
      <x:c r="J2089" s="26" t="n">
        <x:v>0</x:v>
      </x:c>
      <x:c r="K2089" s="35" t="str">
        <x:v>SafeHome Locksmith; WO-2027-018</x:v>
      </x:c>
    </x:row>
    <x:row r="2090">
      <x:c r="A2090" s="20" t="str">
        <x:v>FIN-01041</x:v>
      </x:c>
      <x:c r="B2090" s="32" t="n">
        <x:v>2</x:v>
      </x:c>
      <x:c r="C2090" s="23" t="n">
        <x:v>46511</x:v>
      </x:c>
      <x:c r="D2090" s="23" t="n">
        <x:v>46511</x:v>
      </x:c>
      <x:c r="E2090" s="20" t="str">
        <x:v>P007</x:v>
      </x:c>
      <x:c r="F2090" s="20" t="str">
        <x:v>U007</x:v>
      </x:c>
      <x:c r="G2090" s="20" t="str"/>
      <x:c r="H2090" s="20" t="str">
        <x:v>1000 Operating Cash</x:v>
      </x:c>
      <x:c r="I2090" s="26" t="n">
        <x:v>0</x:v>
      </x:c>
      <x:c r="J2090" s="26" t="n">
        <x:v>475</x:v>
      </x:c>
      <x:c r="K2090" s="35" t="str">
        <x:v>SafeHome Locksmith; WO-2027-018</x:v>
      </x:c>
    </x:row>
    <x:row r="2091">
      <x:c r="A2091" s="20" t="str">
        <x:v>FIN-01042</x:v>
      </x:c>
      <x:c r="B2091" s="32" t="n">
        <x:v>1</x:v>
      </x:c>
      <x:c r="C2091" s="23" t="n">
        <x:v>46518</x:v>
      </x:c>
      <x:c r="D2091" s="23" t="n">
        <x:v>46518</x:v>
      </x:c>
      <x:c r="E2091" s="20" t="str">
        <x:v>P014</x:v>
      </x:c>
      <x:c r="F2091" s="20" t="str">
        <x:v>U014</x:v>
      </x:c>
      <x:c r="G2091" s="20" t="str"/>
      <x:c r="H2091" s="20" t="str">
        <x:v>5000 Repairs and Maintenance</x:v>
      </x:c>
      <x:c r="I2091" s="26" t="n">
        <x:v>690.25</x:v>
      </x:c>
      <x:c r="J2091" s="26" t="n">
        <x:v>0</x:v>
      </x:c>
      <x:c r="K2091" s="35" t="str">
        <x:v>ClearFlow Restoration; WO-2027-019</x:v>
      </x:c>
    </x:row>
    <x:row r="2092">
      <x:c r="A2092" s="20" t="str">
        <x:v>FIN-01042</x:v>
      </x:c>
      <x:c r="B2092" s="32" t="n">
        <x:v>2</x:v>
      </x:c>
      <x:c r="C2092" s="23" t="n">
        <x:v>46518</x:v>
      </x:c>
      <x:c r="D2092" s="23" t="n">
        <x:v>46518</x:v>
      </x:c>
      <x:c r="E2092" s="20" t="str">
        <x:v>P014</x:v>
      </x:c>
      <x:c r="F2092" s="20" t="str">
        <x:v>U014</x:v>
      </x:c>
      <x:c r="G2092" s="20" t="str"/>
      <x:c r="H2092" s="20" t="str">
        <x:v>1000 Operating Cash</x:v>
      </x:c>
      <x:c r="I2092" s="26" t="n">
        <x:v>0</x:v>
      </x:c>
      <x:c r="J2092" s="26" t="n">
        <x:v>690.25</x:v>
      </x:c>
      <x:c r="K2092" s="35" t="str">
        <x:v>ClearFlow Restoration; WO-2027-019</x:v>
      </x:c>
    </x:row>
    <x:row r="2093">
      <x:c r="A2093" s="20" t="str">
        <x:v>FIN-01043</x:v>
      </x:c>
      <x:c r="B2093" s="32" t="n">
        <x:v>1</x:v>
      </x:c>
      <x:c r="C2093" s="23" t="n">
        <x:v>46525</x:v>
      </x:c>
      <x:c r="D2093" s="23" t="n">
        <x:v>46525</x:v>
      </x:c>
      <x:c r="E2093" s="20" t="str">
        <x:v>P021</x:v>
      </x:c>
      <x:c r="F2093" s="20" t="str">
        <x:v>U021</x:v>
      </x:c>
      <x:c r="G2093" s="20" t="str"/>
      <x:c r="H2093" s="20" t="str">
        <x:v>5000 Repairs and Maintenance</x:v>
      </x:c>
      <x:c r="I2093" s="26" t="n">
        <x:v>940</x:v>
      </x:c>
      <x:c r="J2093" s="26" t="n">
        <x:v>0</x:v>
      </x:c>
      <x:c r="K2093" s="35" t="str">
        <x:v>Apex Plumbing; WO-2027-020</x:v>
      </x:c>
    </x:row>
    <x:row r="2094">
      <x:c r="A2094" s="20" t="str">
        <x:v>FIN-01043</x:v>
      </x:c>
      <x:c r="B2094" s="32" t="n">
        <x:v>2</x:v>
      </x:c>
      <x:c r="C2094" s="23" t="n">
        <x:v>46525</x:v>
      </x:c>
      <x:c r="D2094" s="23" t="n">
        <x:v>46525</x:v>
      </x:c>
      <x:c r="E2094" s="20" t="str">
        <x:v>P021</x:v>
      </x:c>
      <x:c r="F2094" s="20" t="str">
        <x:v>U021</x:v>
      </x:c>
      <x:c r="G2094" s="20" t="str"/>
      <x:c r="H2094" s="20" t="str">
        <x:v>1000 Operating Cash</x:v>
      </x:c>
      <x:c r="I2094" s="26" t="n">
        <x:v>0</x:v>
      </x:c>
      <x:c r="J2094" s="26" t="n">
        <x:v>940</x:v>
      </x:c>
      <x:c r="K2094" s="35" t="str">
        <x:v>Apex Plumbing; WO-2027-020</x:v>
      </x:c>
    </x:row>
    <x:row r="2095">
      <x:c r="A2095" s="20" t="str">
        <x:v>FIN-01044</x:v>
      </x:c>
      <x:c r="B2095" s="32" t="n">
        <x:v>1</x:v>
      </x:c>
      <x:c r="C2095" s="23" t="n">
        <x:v>46532</x:v>
      </x:c>
      <x:c r="D2095" s="23" t="n">
        <x:v>46532</x:v>
      </x:c>
      <x:c r="E2095" s="20" t="str">
        <x:v>P024</x:v>
      </x:c>
      <x:c r="F2095" s="20" t="str">
        <x:v>U028</x:v>
      </x:c>
      <x:c r="G2095" s="20" t="str"/>
      <x:c r="H2095" s="20" t="str">
        <x:v>5000 Repairs and Maintenance</x:v>
      </x:c>
      <x:c r="I2095" s="26" t="n">
        <x:v>89.45</x:v>
      </x:c>
      <x:c r="J2095" s="26" t="n">
        <x:v>0</x:v>
      </x:c>
      <x:c r="K2095" s="35" t="str">
        <x:v>ComfortZone HVAC; WO-2027-021</x:v>
      </x:c>
    </x:row>
    <x:row r="2096">
      <x:c r="A2096" s="20" t="str">
        <x:v>FIN-01044</x:v>
      </x:c>
      <x:c r="B2096" s="32" t="n">
        <x:v>2</x:v>
      </x:c>
      <x:c r="C2096" s="23" t="n">
        <x:v>46532</x:v>
      </x:c>
      <x:c r="D2096" s="23" t="n">
        <x:v>46532</x:v>
      </x:c>
      <x:c r="E2096" s="20" t="str">
        <x:v>P024</x:v>
      </x:c>
      <x:c r="F2096" s="20" t="str">
        <x:v>U028</x:v>
      </x:c>
      <x:c r="G2096" s="20" t="str"/>
      <x:c r="H2096" s="20" t="str">
        <x:v>1000 Operating Cash</x:v>
      </x:c>
      <x:c r="I2096" s="26" t="n">
        <x:v>0</x:v>
      </x:c>
      <x:c r="J2096" s="26" t="n">
        <x:v>89.45</x:v>
      </x:c>
      <x:c r="K2096" s="35" t="str">
        <x:v>ComfortZone HVAC; WO-2027-021</x:v>
      </x:c>
    </x:row>
    <x:row r="2097">
      <x:c r="A2097" s="20" t="str">
        <x:v>FIN-01045</x:v>
      </x:c>
      <x:c r="B2097" s="32" t="n">
        <x:v>1</x:v>
      </x:c>
      <x:c r="C2097" s="23" t="n">
        <x:v>46539</x:v>
      </x:c>
      <x:c r="D2097" s="23" t="n">
        <x:v>46539</x:v>
      </x:c>
      <x:c r="E2097" s="20" t="str">
        <x:v>P028</x:v>
      </x:c>
      <x:c r="F2097" s="20" t="str">
        <x:v>U035</x:v>
      </x:c>
      <x:c r="G2097" s="20" t="str"/>
      <x:c r="H2097" s="20" t="str">
        <x:v>5000 Repairs and Maintenance</x:v>
      </x:c>
      <x:c r="I2097" s="26" t="n">
        <x:v>147.8</x:v>
      </x:c>
      <x:c r="J2097" s="26" t="n">
        <x:v>0</x:v>
      </x:c>
      <x:c r="K2097" s="35" t="str">
        <x:v>Metro Electric; WO-2027-022</x:v>
      </x:c>
    </x:row>
    <x:row r="2098">
      <x:c r="A2098" s="20" t="str">
        <x:v>FIN-01045</x:v>
      </x:c>
      <x:c r="B2098" s="32" t="n">
        <x:v>2</x:v>
      </x:c>
      <x:c r="C2098" s="23" t="n">
        <x:v>46539</x:v>
      </x:c>
      <x:c r="D2098" s="23" t="n">
        <x:v>46539</x:v>
      </x:c>
      <x:c r="E2098" s="20" t="str">
        <x:v>P028</x:v>
      </x:c>
      <x:c r="F2098" s="20" t="str">
        <x:v>U035</x:v>
      </x:c>
      <x:c r="G2098" s="20" t="str"/>
      <x:c r="H2098" s="20" t="str">
        <x:v>1000 Operating Cash</x:v>
      </x:c>
      <x:c r="I2098" s="26" t="n">
        <x:v>0</x:v>
      </x:c>
      <x:c r="J2098" s="26" t="n">
        <x:v>147.8</x:v>
      </x:c>
      <x:c r="K2098" s="35" t="str">
        <x:v>Metro Electric; WO-2027-022</x:v>
      </x:c>
    </x:row>
    <x:row r="2099">
      <x:c r="A2099" s="20" t="str">
        <x:v>FIN-01046</x:v>
      </x:c>
      <x:c r="B2099" s="32" t="n">
        <x:v>1</x:v>
      </x:c>
      <x:c r="C2099" s="23" t="n">
        <x:v>46546</x:v>
      </x:c>
      <x:c r="D2099" s="23" t="n">
        <x:v>46546</x:v>
      </x:c>
      <x:c r="E2099" s="20" t="str">
        <x:v>P002</x:v>
      </x:c>
      <x:c r="F2099" s="20" t="str">
        <x:v>U002</x:v>
      </x:c>
      <x:c r="G2099" s="20" t="str"/>
      <x:c r="H2099" s="20" t="str">
        <x:v>5000 Repairs and Maintenance</x:v>
      </x:c>
      <x:c r="I2099" s="26" t="n">
        <x:v>225</x:v>
      </x:c>
      <x:c r="J2099" s="26" t="n">
        <x:v>0</x:v>
      </x:c>
      <x:c r="K2099" s="35" t="str">
        <x:v>Green Thumb Landscaping; WO-2027-023</x:v>
      </x:c>
    </x:row>
    <x:row r="2100">
      <x:c r="A2100" s="20" t="str">
        <x:v>FIN-01046</x:v>
      </x:c>
      <x:c r="B2100" s="32" t="n">
        <x:v>2</x:v>
      </x:c>
      <x:c r="C2100" s="23" t="n">
        <x:v>46546</x:v>
      </x:c>
      <x:c r="D2100" s="23" t="n">
        <x:v>46546</x:v>
      </x:c>
      <x:c r="E2100" s="20" t="str">
        <x:v>P002</x:v>
      </x:c>
      <x:c r="F2100" s="20" t="str">
        <x:v>U002</x:v>
      </x:c>
      <x:c r="G2100" s="20" t="str"/>
      <x:c r="H2100" s="20" t="str">
        <x:v>1000 Operating Cash</x:v>
      </x:c>
      <x:c r="I2100" s="26" t="n">
        <x:v>0</x:v>
      </x:c>
      <x:c r="J2100" s="26" t="n">
        <x:v>225</x:v>
      </x:c>
      <x:c r="K2100" s="35" t="str">
        <x:v>Green Thumb Landscaping; WO-2027-023</x:v>
      </x:c>
    </x:row>
    <x:row r="2101">
      <x:c r="A2101" s="20" t="str">
        <x:v>FIN-01047</x:v>
      </x:c>
      <x:c r="B2101" s="32" t="n">
        <x:v>1</x:v>
      </x:c>
      <x:c r="C2101" s="23" t="n">
        <x:v>46553</x:v>
      </x:c>
      <x:c r="D2101" s="23" t="n">
        <x:v>46553</x:v>
      </x:c>
      <x:c r="E2101" s="20" t="str">
        <x:v>P009</x:v>
      </x:c>
      <x:c r="F2101" s="20" t="str">
        <x:v>U009</x:v>
      </x:c>
      <x:c r="G2101" s="20" t="str"/>
      <x:c r="H2101" s="20" t="str">
        <x:v>5000 Repairs and Maintenance</x:v>
      </x:c>
      <x:c r="I2101" s="26" t="n">
        <x:v>318.65</x:v>
      </x:c>
      <x:c r="J2101" s="26" t="n">
        <x:v>0</x:v>
      </x:c>
      <x:c r="K2101" s="35" t="str">
        <x:v>Summit Roofing; WO-2027-024</x:v>
      </x:c>
    </x:row>
    <x:row r="2102">
      <x:c r="A2102" s="20" t="str">
        <x:v>FIN-01047</x:v>
      </x:c>
      <x:c r="B2102" s="32" t="n">
        <x:v>2</x:v>
      </x:c>
      <x:c r="C2102" s="23" t="n">
        <x:v>46553</x:v>
      </x:c>
      <x:c r="D2102" s="23" t="n">
        <x:v>46553</x:v>
      </x:c>
      <x:c r="E2102" s="20" t="str">
        <x:v>P009</x:v>
      </x:c>
      <x:c r="F2102" s="20" t="str">
        <x:v>U009</x:v>
      </x:c>
      <x:c r="G2102" s="20" t="str"/>
      <x:c r="H2102" s="20" t="str">
        <x:v>1000 Operating Cash</x:v>
      </x:c>
      <x:c r="I2102" s="26" t="n">
        <x:v>0</x:v>
      </x:c>
      <x:c r="J2102" s="26" t="n">
        <x:v>318.65</x:v>
      </x:c>
      <x:c r="K2102" s="35" t="str">
        <x:v>Summit Roofing; WO-2027-024</x:v>
      </x:c>
    </x:row>
    <x:row r="2103">
      <x:c r="A2103" s="20" t="str">
        <x:v>FIN-01048</x:v>
      </x:c>
      <x:c r="B2103" s="32" t="n">
        <x:v>1</x:v>
      </x:c>
      <x:c r="C2103" s="23" t="n">
        <x:v>46560</x:v>
      </x:c>
      <x:c r="D2103" s="23" t="n">
        <x:v>46560</x:v>
      </x:c>
      <x:c r="E2103" s="20" t="str">
        <x:v>P016</x:v>
      </x:c>
      <x:c r="F2103" s="20" t="str">
        <x:v>U016</x:v>
      </x:c>
      <x:c r="G2103" s="20" t="str"/>
      <x:c r="H2103" s="20" t="str">
        <x:v>5000 Repairs and Maintenance</x:v>
      </x:c>
      <x:c r="I2103" s="26" t="n">
        <x:v>475</x:v>
      </x:c>
      <x:c r="J2103" s="26" t="n">
        <x:v>0</x:v>
      </x:c>
      <x:c r="K2103" s="35" t="str">
        <x:v>Prime Pest Control; WO-2027-025</x:v>
      </x:c>
    </x:row>
    <x:row r="2104">
      <x:c r="A2104" s="20" t="str">
        <x:v>FIN-01048</x:v>
      </x:c>
      <x:c r="B2104" s="32" t="n">
        <x:v>2</x:v>
      </x:c>
      <x:c r="C2104" s="23" t="n">
        <x:v>46560</x:v>
      </x:c>
      <x:c r="D2104" s="23" t="n">
        <x:v>46560</x:v>
      </x:c>
      <x:c r="E2104" s="20" t="str">
        <x:v>P016</x:v>
      </x:c>
      <x:c r="F2104" s="20" t="str">
        <x:v>U016</x:v>
      </x:c>
      <x:c r="G2104" s="20" t="str"/>
      <x:c r="H2104" s="20" t="str">
        <x:v>1000 Operating Cash</x:v>
      </x:c>
      <x:c r="I2104" s="26" t="n">
        <x:v>0</x:v>
      </x:c>
      <x:c r="J2104" s="26" t="n">
        <x:v>475</x:v>
      </x:c>
      <x:c r="K2104" s="35" t="str">
        <x:v>Prime Pest Control; WO-2027-025</x:v>
      </x:c>
    </x:row>
    <x:row r="2105">
      <x:c r="A2105" s="20" t="str">
        <x:v>FIN-01049</x:v>
      </x:c>
      <x:c r="B2105" s="32" t="n">
        <x:v>1</x:v>
      </x:c>
      <x:c r="C2105" s="23" t="n">
        <x:v>46567</x:v>
      </x:c>
      <x:c r="D2105" s="23" t="n">
        <x:v>46567</x:v>
      </x:c>
      <x:c r="E2105" s="20" t="str">
        <x:v>P022</x:v>
      </x:c>
      <x:c r="F2105" s="20" t="str">
        <x:v>U023</x:v>
      </x:c>
      <x:c r="G2105" s="20" t="str"/>
      <x:c r="H2105" s="20" t="str">
        <x:v>5070 Cleaning and Turnover</x:v>
      </x:c>
      <x:c r="I2105" s="26" t="n">
        <x:v>690.25</x:v>
      </x:c>
      <x:c r="J2105" s="26" t="n">
        <x:v>0</x:v>
      </x:c>
      <x:c r="K2105" s="35" t="str">
        <x:v>Fresh Start Turnovers; WO-2027-026</x:v>
      </x:c>
    </x:row>
    <x:row r="2106">
      <x:c r="A2106" s="20" t="str">
        <x:v>FIN-01049</x:v>
      </x:c>
      <x:c r="B2106" s="32" t="n">
        <x:v>2</x:v>
      </x:c>
      <x:c r="C2106" s="23" t="n">
        <x:v>46567</x:v>
      </x:c>
      <x:c r="D2106" s="23" t="n">
        <x:v>46567</x:v>
      </x:c>
      <x:c r="E2106" s="20" t="str">
        <x:v>P022</x:v>
      </x:c>
      <x:c r="F2106" s="20" t="str">
        <x:v>U023</x:v>
      </x:c>
      <x:c r="G2106" s="20" t="str"/>
      <x:c r="H2106" s="20" t="str">
        <x:v>1000 Operating Cash</x:v>
      </x:c>
      <x:c r="I2106" s="26" t="n">
        <x:v>0</x:v>
      </x:c>
      <x:c r="J2106" s="26" t="n">
        <x:v>690.25</x:v>
      </x:c>
      <x:c r="K2106" s="35" t="str">
        <x:v>Fresh Start Turnovers; WO-2027-026</x:v>
      </x:c>
    </x:row>
    <x:row r="2107">
      <x:c r="A2107" s="20" t="str">
        <x:v>FIN-01050</x:v>
      </x:c>
      <x:c r="B2107" s="32" t="n">
        <x:v>1</x:v>
      </x:c>
      <x:c r="C2107" s="23" t="n">
        <x:v>46574</x:v>
      </x:c>
      <x:c r="D2107" s="23" t="n">
        <x:v>46574</x:v>
      </x:c>
      <x:c r="E2107" s="20" t="str">
        <x:v>P025</x:v>
      </x:c>
      <x:c r="F2107" s="20" t="str">
        <x:v>U030</x:v>
      </x:c>
      <x:c r="G2107" s="20" t="str"/>
      <x:c r="H2107" s="20" t="str">
        <x:v>5120 Supplies</x:v>
      </x:c>
      <x:c r="I2107" s="26" t="n">
        <x:v>940</x:v>
      </x:c>
      <x:c r="J2107" s="26" t="n">
        <x:v>0</x:v>
      </x:c>
      <x:c r="K2107" s="35" t="str">
        <x:v>Hardware House; WO-2027-027</x:v>
      </x:c>
    </x:row>
    <x:row r="2108">
      <x:c r="A2108" s="20" t="str">
        <x:v>FIN-01050</x:v>
      </x:c>
      <x:c r="B2108" s="32" t="n">
        <x:v>2</x:v>
      </x:c>
      <x:c r="C2108" s="23" t="n">
        <x:v>46574</x:v>
      </x:c>
      <x:c r="D2108" s="23" t="n">
        <x:v>46574</x:v>
      </x:c>
      <x:c r="E2108" s="20" t="str">
        <x:v>P025</x:v>
      </x:c>
      <x:c r="F2108" s="20" t="str">
        <x:v>U030</x:v>
      </x:c>
      <x:c r="G2108" s="20" t="str"/>
      <x:c r="H2108" s="20" t="str">
        <x:v>1000 Operating Cash</x:v>
      </x:c>
      <x:c r="I2108" s="26" t="n">
        <x:v>0</x:v>
      </x:c>
      <x:c r="J2108" s="26" t="n">
        <x:v>940</x:v>
      </x:c>
      <x:c r="K2108" s="35" t="str">
        <x:v>Hardware House; WO-2027-027</x:v>
      </x:c>
    </x:row>
    <x:row r="2109">
      <x:c r="A2109" s="20" t="str">
        <x:v>FIN-01051</x:v>
      </x:c>
      <x:c r="B2109" s="32" t="n">
        <x:v>1</x:v>
      </x:c>
      <x:c r="C2109" s="23" t="n">
        <x:v>46581</x:v>
      </x:c>
      <x:c r="D2109" s="23" t="n">
        <x:v>46581</x:v>
      </x:c>
      <x:c r="E2109" s="20" t="str">
        <x:v>P029</x:v>
      </x:c>
      <x:c r="F2109" s="20" t="str">
        <x:v>U037</x:v>
      </x:c>
      <x:c r="G2109" s="20" t="str"/>
      <x:c r="H2109" s="20" t="str">
        <x:v>5000 Repairs and Maintenance</x:v>
      </x:c>
      <x:c r="I2109" s="26" t="n">
        <x:v>89.45</x:v>
      </x:c>
      <x:c r="J2109" s="26" t="n">
        <x:v>0</x:v>
      </x:c>
      <x:c r="K2109" s="35" t="str">
        <x:v>SafeHome Locksmith; WO-2027-028</x:v>
      </x:c>
    </x:row>
    <x:row r="2110">
      <x:c r="A2110" s="20" t="str">
        <x:v>FIN-01051</x:v>
      </x:c>
      <x:c r="B2110" s="32" t="n">
        <x:v>2</x:v>
      </x:c>
      <x:c r="C2110" s="23" t="n">
        <x:v>46581</x:v>
      </x:c>
      <x:c r="D2110" s="23" t="n">
        <x:v>46581</x:v>
      </x:c>
      <x:c r="E2110" s="20" t="str">
        <x:v>P029</x:v>
      </x:c>
      <x:c r="F2110" s="20" t="str">
        <x:v>U037</x:v>
      </x:c>
      <x:c r="G2110" s="20" t="str"/>
      <x:c r="H2110" s="20" t="str">
        <x:v>1000 Operating Cash</x:v>
      </x:c>
      <x:c r="I2110" s="26" t="n">
        <x:v>0</x:v>
      </x:c>
      <x:c r="J2110" s="26" t="n">
        <x:v>89.45</x:v>
      </x:c>
      <x:c r="K2110" s="35" t="str">
        <x:v>SafeHome Locksmith; WO-2027-028</x:v>
      </x:c>
    </x:row>
    <x:row r="2111">
      <x:c r="A2111" s="20" t="str">
        <x:v>FIN-01052</x:v>
      </x:c>
      <x:c r="B2111" s="32" t="n">
        <x:v>1</x:v>
      </x:c>
      <x:c r="C2111" s="23" t="n">
        <x:v>46588</x:v>
      </x:c>
      <x:c r="D2111" s="23" t="n">
        <x:v>46588</x:v>
      </x:c>
      <x:c r="E2111" s="20" t="str">
        <x:v>P004</x:v>
      </x:c>
      <x:c r="F2111" s="20" t="str">
        <x:v>U004</x:v>
      </x:c>
      <x:c r="G2111" s="20" t="str"/>
      <x:c r="H2111" s="20" t="str">
        <x:v>5000 Repairs and Maintenance</x:v>
      </x:c>
      <x:c r="I2111" s="26" t="n">
        <x:v>147.8</x:v>
      </x:c>
      <x:c r="J2111" s="26" t="n">
        <x:v>0</x:v>
      </x:c>
      <x:c r="K2111" s="35" t="str">
        <x:v>ClearFlow Restoration; WO-2027-029</x:v>
      </x:c>
    </x:row>
    <x:row r="2112">
      <x:c r="A2112" s="20" t="str">
        <x:v>FIN-01052</x:v>
      </x:c>
      <x:c r="B2112" s="32" t="n">
        <x:v>2</x:v>
      </x:c>
      <x:c r="C2112" s="23" t="n">
        <x:v>46588</x:v>
      </x:c>
      <x:c r="D2112" s="23" t="n">
        <x:v>46588</x:v>
      </x:c>
      <x:c r="E2112" s="20" t="str">
        <x:v>P004</x:v>
      </x:c>
      <x:c r="F2112" s="20" t="str">
        <x:v>U004</x:v>
      </x:c>
      <x:c r="G2112" s="20" t="str"/>
      <x:c r="H2112" s="20" t="str">
        <x:v>1000 Operating Cash</x:v>
      </x:c>
      <x:c r="I2112" s="26" t="n">
        <x:v>0</x:v>
      </x:c>
      <x:c r="J2112" s="26" t="n">
        <x:v>147.8</x:v>
      </x:c>
      <x:c r="K2112" s="35" t="str">
        <x:v>ClearFlow Restoration; WO-2027-029</x:v>
      </x:c>
    </x:row>
    <x:row r="2113">
      <x:c r="A2113" s="20" t="str">
        <x:v>FIN-01053</x:v>
      </x:c>
      <x:c r="B2113" s="32" t="n">
        <x:v>1</x:v>
      </x:c>
      <x:c r="C2113" s="23" t="n">
        <x:v>46595</x:v>
      </x:c>
      <x:c r="D2113" s="23" t="n">
        <x:v>46595</x:v>
      </x:c>
      <x:c r="E2113" s="20" t="str">
        <x:v>P011</x:v>
      </x:c>
      <x:c r="F2113" s="20" t="str">
        <x:v>U011</x:v>
      </x:c>
      <x:c r="G2113" s="20" t="str"/>
      <x:c r="H2113" s="20" t="str">
        <x:v>5000 Repairs and Maintenance</x:v>
      </x:c>
      <x:c r="I2113" s="26" t="n">
        <x:v>225</x:v>
      </x:c>
      <x:c r="J2113" s="26" t="n">
        <x:v>0</x:v>
      </x:c>
      <x:c r="K2113" s="35" t="str">
        <x:v>Apex Plumbing; WO-2027-030</x:v>
      </x:c>
    </x:row>
    <x:row r="2114">
      <x:c r="A2114" s="20" t="str">
        <x:v>FIN-01053</x:v>
      </x:c>
      <x:c r="B2114" s="32" t="n">
        <x:v>2</x:v>
      </x:c>
      <x:c r="C2114" s="23" t="n">
        <x:v>46595</x:v>
      </x:c>
      <x:c r="D2114" s="23" t="n">
        <x:v>46595</x:v>
      </x:c>
      <x:c r="E2114" s="20" t="str">
        <x:v>P011</x:v>
      </x:c>
      <x:c r="F2114" s="20" t="str">
        <x:v>U011</x:v>
      </x:c>
      <x:c r="G2114" s="20" t="str"/>
      <x:c r="H2114" s="20" t="str">
        <x:v>1000 Operating Cash</x:v>
      </x:c>
      <x:c r="I2114" s="26" t="n">
        <x:v>0</x:v>
      </x:c>
      <x:c r="J2114" s="26" t="n">
        <x:v>225</x:v>
      </x:c>
      <x:c r="K2114" s="35" t="str">
        <x:v>Apex Plumbing; WO-2027-030</x:v>
      </x:c>
    </x:row>
    <x:row r="2115">
      <x:c r="A2115" s="20" t="str">
        <x:v>FIN-01054</x:v>
      </x:c>
      <x:c r="B2115" s="32" t="n">
        <x:v>1</x:v>
      </x:c>
      <x:c r="C2115" s="23" t="n">
        <x:v>46602</x:v>
      </x:c>
      <x:c r="D2115" s="23" t="n">
        <x:v>46602</x:v>
      </x:c>
      <x:c r="E2115" s="20" t="str">
        <x:v>P018</x:v>
      </x:c>
      <x:c r="F2115" s="20" t="str">
        <x:v>U018</x:v>
      </x:c>
      <x:c r="G2115" s="20" t="str"/>
      <x:c r="H2115" s="20" t="str">
        <x:v>5000 Repairs and Maintenance</x:v>
      </x:c>
      <x:c r="I2115" s="26" t="n">
        <x:v>318.65</x:v>
      </x:c>
      <x:c r="J2115" s="26" t="n">
        <x:v>0</x:v>
      </x:c>
      <x:c r="K2115" s="35" t="str">
        <x:v>ComfortZone HVAC; WO-2027-031</x:v>
      </x:c>
    </x:row>
    <x:row r="2116">
      <x:c r="A2116" s="20" t="str">
        <x:v>FIN-01054</x:v>
      </x:c>
      <x:c r="B2116" s="32" t="n">
        <x:v>2</x:v>
      </x:c>
      <x:c r="C2116" s="23" t="n">
        <x:v>46602</x:v>
      </x:c>
      <x:c r="D2116" s="23" t="n">
        <x:v>46602</x:v>
      </x:c>
      <x:c r="E2116" s="20" t="str">
        <x:v>P018</x:v>
      </x:c>
      <x:c r="F2116" s="20" t="str">
        <x:v>U018</x:v>
      </x:c>
      <x:c r="G2116" s="20" t="str"/>
      <x:c r="H2116" s="20" t="str">
        <x:v>1000 Operating Cash</x:v>
      </x:c>
      <x:c r="I2116" s="26" t="n">
        <x:v>0</x:v>
      </x:c>
      <x:c r="J2116" s="26" t="n">
        <x:v>318.65</x:v>
      </x:c>
      <x:c r="K2116" s="35" t="str">
        <x:v>ComfortZone HVAC; WO-2027-031</x:v>
      </x:c>
    </x:row>
    <x:row r="2117">
      <x:c r="A2117" s="20" t="str">
        <x:v>FIN-01055</x:v>
      </x:c>
      <x:c r="B2117" s="32" t="n">
        <x:v>1</x:v>
      </x:c>
      <x:c r="C2117" s="23" t="n">
        <x:v>46609</x:v>
      </x:c>
      <x:c r="D2117" s="23" t="n">
        <x:v>46609</x:v>
      </x:c>
      <x:c r="E2117" s="20" t="str">
        <x:v>P023</x:v>
      </x:c>
      <x:c r="F2117" s="20" t="str">
        <x:v>U025</x:v>
      </x:c>
      <x:c r="G2117" s="20" t="str"/>
      <x:c r="H2117" s="20" t="str">
        <x:v>5000 Repairs and Maintenance</x:v>
      </x:c>
      <x:c r="I2117" s="26" t="n">
        <x:v>475</x:v>
      </x:c>
      <x:c r="J2117" s="26" t="n">
        <x:v>0</x:v>
      </x:c>
      <x:c r="K2117" s="35" t="str">
        <x:v>Metro Electric; WO-2027-032</x:v>
      </x:c>
    </x:row>
    <x:row r="2118">
      <x:c r="A2118" s="20" t="str">
        <x:v>FIN-01055</x:v>
      </x:c>
      <x:c r="B2118" s="32" t="n">
        <x:v>2</x:v>
      </x:c>
      <x:c r="C2118" s="23" t="n">
        <x:v>46609</x:v>
      </x:c>
      <x:c r="D2118" s="23" t="n">
        <x:v>46609</x:v>
      </x:c>
      <x:c r="E2118" s="20" t="str">
        <x:v>P023</x:v>
      </x:c>
      <x:c r="F2118" s="20" t="str">
        <x:v>U025</x:v>
      </x:c>
      <x:c r="G2118" s="20" t="str"/>
      <x:c r="H2118" s="20" t="str">
        <x:v>1000 Operating Cash</x:v>
      </x:c>
      <x:c r="I2118" s="26" t="n">
        <x:v>0</x:v>
      </x:c>
      <x:c r="J2118" s="26" t="n">
        <x:v>475</x:v>
      </x:c>
      <x:c r="K2118" s="35" t="str">
        <x:v>Metro Electric; WO-2027-032</x:v>
      </x:c>
    </x:row>
    <x:row r="2119">
      <x:c r="A2119" s="20" t="str">
        <x:v>FIN-01056</x:v>
      </x:c>
      <x:c r="B2119" s="32" t="n">
        <x:v>1</x:v>
      </x:c>
      <x:c r="C2119" s="23" t="n">
        <x:v>46616</x:v>
      </x:c>
      <x:c r="D2119" s="23" t="n">
        <x:v>46616</x:v>
      </x:c>
      <x:c r="E2119" s="20" t="str">
        <x:v>P026</x:v>
      </x:c>
      <x:c r="F2119" s="20" t="str">
        <x:v>U032</x:v>
      </x:c>
      <x:c r="G2119" s="20" t="str"/>
      <x:c r="H2119" s="20" t="str">
        <x:v>5000 Repairs and Maintenance</x:v>
      </x:c>
      <x:c r="I2119" s="26" t="n">
        <x:v>690.25</x:v>
      </x:c>
      <x:c r="J2119" s="26" t="n">
        <x:v>0</x:v>
      </x:c>
      <x:c r="K2119" s="35" t="str">
        <x:v>Green Thumb Landscaping; WO-2027-033</x:v>
      </x:c>
    </x:row>
    <x:row r="2120">
      <x:c r="A2120" s="20" t="str">
        <x:v>FIN-01056</x:v>
      </x:c>
      <x:c r="B2120" s="32" t="n">
        <x:v>2</x:v>
      </x:c>
      <x:c r="C2120" s="23" t="n">
        <x:v>46616</x:v>
      </x:c>
      <x:c r="D2120" s="23" t="n">
        <x:v>46616</x:v>
      </x:c>
      <x:c r="E2120" s="20" t="str">
        <x:v>P026</x:v>
      </x:c>
      <x:c r="F2120" s="20" t="str">
        <x:v>U032</x:v>
      </x:c>
      <x:c r="G2120" s="20" t="str"/>
      <x:c r="H2120" s="20" t="str">
        <x:v>1000 Operating Cash</x:v>
      </x:c>
      <x:c r="I2120" s="26" t="n">
        <x:v>0</x:v>
      </x:c>
      <x:c r="J2120" s="26" t="n">
        <x:v>690.25</x:v>
      </x:c>
      <x:c r="K2120" s="35" t="str">
        <x:v>Green Thumb Landscaping; WO-2027-033</x:v>
      </x:c>
    </x:row>
    <x:row r="2121">
      <x:c r="A2121" s="20" t="str">
        <x:v>FIN-01057</x:v>
      </x:c>
      <x:c r="B2121" s="32" t="n">
        <x:v>1</x:v>
      </x:c>
      <x:c r="C2121" s="23" t="n">
        <x:v>46623</x:v>
      </x:c>
      <x:c r="D2121" s="23" t="n">
        <x:v>46623</x:v>
      </x:c>
      <x:c r="E2121" s="20" t="str">
        <x:v>P030</x:v>
      </x:c>
      <x:c r="F2121" s="20" t="str">
        <x:v>U039</x:v>
      </x:c>
      <x:c r="G2121" s="20" t="str"/>
      <x:c r="H2121" s="20" t="str">
        <x:v>5000 Repairs and Maintenance</x:v>
      </x:c>
      <x:c r="I2121" s="26" t="n">
        <x:v>940</x:v>
      </x:c>
      <x:c r="J2121" s="26" t="n">
        <x:v>0</x:v>
      </x:c>
      <x:c r="K2121" s="35" t="str">
        <x:v>Summit Roofing; WO-2027-034</x:v>
      </x:c>
    </x:row>
    <x:row r="2122">
      <x:c r="A2122" s="20" t="str">
        <x:v>FIN-01057</x:v>
      </x:c>
      <x:c r="B2122" s="32" t="n">
        <x:v>2</x:v>
      </x:c>
      <x:c r="C2122" s="23" t="n">
        <x:v>46623</x:v>
      </x:c>
      <x:c r="D2122" s="23" t="n">
        <x:v>46623</x:v>
      </x:c>
      <x:c r="E2122" s="20" t="str">
        <x:v>P030</x:v>
      </x:c>
      <x:c r="F2122" s="20" t="str">
        <x:v>U039</x:v>
      </x:c>
      <x:c r="G2122" s="20" t="str"/>
      <x:c r="H2122" s="20" t="str">
        <x:v>1000 Operating Cash</x:v>
      </x:c>
      <x:c r="I2122" s="26" t="n">
        <x:v>0</x:v>
      </x:c>
      <x:c r="J2122" s="26" t="n">
        <x:v>940</x:v>
      </x:c>
      <x:c r="K2122" s="35" t="str">
        <x:v>Summit Roofing; WO-2027-034</x:v>
      </x:c>
    </x:row>
    <x:row r="2123">
      <x:c r="A2123" s="20" t="str">
        <x:v>FIN-01058</x:v>
      </x:c>
      <x:c r="B2123" s="32" t="n">
        <x:v>1</x:v>
      </x:c>
      <x:c r="C2123" s="23" t="n">
        <x:v>46630</x:v>
      </x:c>
      <x:c r="D2123" s="23" t="n">
        <x:v>46630</x:v>
      </x:c>
      <x:c r="E2123" s="20" t="str">
        <x:v>P006</x:v>
      </x:c>
      <x:c r="F2123" s="20" t="str">
        <x:v>U006</x:v>
      </x:c>
      <x:c r="G2123" s="20" t="str"/>
      <x:c r="H2123" s="20" t="str">
        <x:v>5000 Repairs and Maintenance</x:v>
      </x:c>
      <x:c r="I2123" s="26" t="n">
        <x:v>89.45</x:v>
      </x:c>
      <x:c r="J2123" s="26" t="n">
        <x:v>0</x:v>
      </x:c>
      <x:c r="K2123" s="35" t="str">
        <x:v>Prime Pest Control; WO-2027-035</x:v>
      </x:c>
    </x:row>
    <x:row r="2124">
      <x:c r="A2124" s="20" t="str">
        <x:v>FIN-01058</x:v>
      </x:c>
      <x:c r="B2124" s="32" t="n">
        <x:v>2</x:v>
      </x:c>
      <x:c r="C2124" s="23" t="n">
        <x:v>46630</x:v>
      </x:c>
      <x:c r="D2124" s="23" t="n">
        <x:v>46630</x:v>
      </x:c>
      <x:c r="E2124" s="20" t="str">
        <x:v>P006</x:v>
      </x:c>
      <x:c r="F2124" s="20" t="str">
        <x:v>U006</x:v>
      </x:c>
      <x:c r="G2124" s="20" t="str"/>
      <x:c r="H2124" s="20" t="str">
        <x:v>1000 Operating Cash</x:v>
      </x:c>
      <x:c r="I2124" s="26" t="n">
        <x:v>0</x:v>
      </x:c>
      <x:c r="J2124" s="26" t="n">
        <x:v>89.45</x:v>
      </x:c>
      <x:c r="K2124" s="35" t="str">
        <x:v>Prime Pest Control; WO-2027-035</x:v>
      </x:c>
    </x:row>
    <x:row r="2125">
      <x:c r="A2125" s="20" t="str">
        <x:v>FIN-01059</x:v>
      </x:c>
      <x:c r="B2125" s="32" t="n">
        <x:v>1</x:v>
      </x:c>
      <x:c r="C2125" s="23" t="n">
        <x:v>46637</x:v>
      </x:c>
      <x:c r="D2125" s="23" t="n">
        <x:v>46637</x:v>
      </x:c>
      <x:c r="E2125" s="20" t="str">
        <x:v>P013</x:v>
      </x:c>
      <x:c r="F2125" s="20" t="str">
        <x:v>U013</x:v>
      </x:c>
      <x:c r="G2125" s="20" t="str"/>
      <x:c r="H2125" s="20" t="str">
        <x:v>5000 Repairs and Maintenance</x:v>
      </x:c>
      <x:c r="I2125" s="26" t="n">
        <x:v>147.8</x:v>
      </x:c>
      <x:c r="J2125" s="26" t="n">
        <x:v>0</x:v>
      </x:c>
      <x:c r="K2125" s="35" t="str">
        <x:v>Fresh Start Turnovers; WO-2027-036</x:v>
      </x:c>
    </x:row>
    <x:row r="2126">
      <x:c r="A2126" s="20" t="str">
        <x:v>FIN-01059</x:v>
      </x:c>
      <x:c r="B2126" s="32" t="n">
        <x:v>2</x:v>
      </x:c>
      <x:c r="C2126" s="23" t="n">
        <x:v>46637</x:v>
      </x:c>
      <x:c r="D2126" s="23" t="n">
        <x:v>46637</x:v>
      </x:c>
      <x:c r="E2126" s="20" t="str">
        <x:v>P013</x:v>
      </x:c>
      <x:c r="F2126" s="20" t="str">
        <x:v>U013</x:v>
      </x:c>
      <x:c r="G2126" s="20" t="str"/>
      <x:c r="H2126" s="20" t="str">
        <x:v>1000 Operating Cash</x:v>
      </x:c>
      <x:c r="I2126" s="26" t="n">
        <x:v>0</x:v>
      </x:c>
      <x:c r="J2126" s="26" t="n">
        <x:v>147.8</x:v>
      </x:c>
      <x:c r="K2126" s="35" t="str">
        <x:v>Fresh Start Turnovers; WO-2027-036</x:v>
      </x:c>
    </x:row>
    <x:row r="2127">
      <x:c r="A2127" s="20" t="str">
        <x:v>FIN-01060</x:v>
      </x:c>
      <x:c r="B2127" s="32" t="n">
        <x:v>1</x:v>
      </x:c>
      <x:c r="C2127" s="23" t="n">
        <x:v>46644</x:v>
      </x:c>
      <x:c r="D2127" s="23" t="n">
        <x:v>46644</x:v>
      </x:c>
      <x:c r="E2127" s="20" t="str">
        <x:v>P020</x:v>
      </x:c>
      <x:c r="F2127" s="20" t="str">
        <x:v>U020</x:v>
      </x:c>
      <x:c r="G2127" s="20" t="str"/>
      <x:c r="H2127" s="20" t="str">
        <x:v>5120 Supplies</x:v>
      </x:c>
      <x:c r="I2127" s="26" t="n">
        <x:v>225</x:v>
      </x:c>
      <x:c r="J2127" s="26" t="n">
        <x:v>0</x:v>
      </x:c>
      <x:c r="K2127" s="35" t="str">
        <x:v>Hardware House; WO-2027-037</x:v>
      </x:c>
    </x:row>
    <x:row r="2128">
      <x:c r="A2128" s="20" t="str">
        <x:v>FIN-01060</x:v>
      </x:c>
      <x:c r="B2128" s="32" t="n">
        <x:v>2</x:v>
      </x:c>
      <x:c r="C2128" s="23" t="n">
        <x:v>46644</x:v>
      </x:c>
      <x:c r="D2128" s="23" t="n">
        <x:v>46644</x:v>
      </x:c>
      <x:c r="E2128" s="20" t="str">
        <x:v>P020</x:v>
      </x:c>
      <x:c r="F2128" s="20" t="str">
        <x:v>U020</x:v>
      </x:c>
      <x:c r="G2128" s="20" t="str"/>
      <x:c r="H2128" s="20" t="str">
        <x:v>1000 Operating Cash</x:v>
      </x:c>
      <x:c r="I2128" s="26" t="n">
        <x:v>0</x:v>
      </x:c>
      <x:c r="J2128" s="26" t="n">
        <x:v>225</x:v>
      </x:c>
      <x:c r="K2128" s="35" t="str">
        <x:v>Hardware House; WO-2027-037</x:v>
      </x:c>
    </x:row>
    <x:row r="2129">
      <x:c r="A2129" s="20" t="str">
        <x:v>FIN-01061</x:v>
      </x:c>
      <x:c r="B2129" s="32" t="n">
        <x:v>1</x:v>
      </x:c>
      <x:c r="C2129" s="23" t="n">
        <x:v>46651</x:v>
      </x:c>
      <x:c r="D2129" s="23" t="n">
        <x:v>46651</x:v>
      </x:c>
      <x:c r="E2129" s="20" t="str">
        <x:v>P024</x:v>
      </x:c>
      <x:c r="F2129" s="20" t="str">
        <x:v>U027</x:v>
      </x:c>
      <x:c r="G2129" s="20" t="str"/>
      <x:c r="H2129" s="20" t="str">
        <x:v>5000 Repairs and Maintenance</x:v>
      </x:c>
      <x:c r="I2129" s="26" t="n">
        <x:v>318.65</x:v>
      </x:c>
      <x:c r="J2129" s="26" t="n">
        <x:v>0</x:v>
      </x:c>
      <x:c r="K2129" s="35" t="str">
        <x:v>SafeHome Locksmith; WO-2027-038</x:v>
      </x:c>
    </x:row>
    <x:row r="2130">
      <x:c r="A2130" s="20" t="str">
        <x:v>FIN-01061</x:v>
      </x:c>
      <x:c r="B2130" s="32" t="n">
        <x:v>2</x:v>
      </x:c>
      <x:c r="C2130" s="23" t="n">
        <x:v>46651</x:v>
      </x:c>
      <x:c r="D2130" s="23" t="n">
        <x:v>46651</x:v>
      </x:c>
      <x:c r="E2130" s="20" t="str">
        <x:v>P024</x:v>
      </x:c>
      <x:c r="F2130" s="20" t="str">
        <x:v>U027</x:v>
      </x:c>
      <x:c r="G2130" s="20" t="str"/>
      <x:c r="H2130" s="20" t="str">
        <x:v>1000 Operating Cash</x:v>
      </x:c>
      <x:c r="I2130" s="26" t="n">
        <x:v>0</x:v>
      </x:c>
      <x:c r="J2130" s="26" t="n">
        <x:v>318.65</x:v>
      </x:c>
      <x:c r="K2130" s="35" t="str">
        <x:v>SafeHome Locksmith; WO-2027-038</x:v>
      </x:c>
    </x:row>
    <x:row r="2131">
      <x:c r="A2131" s="20" t="str">
        <x:v>FIN-01062</x:v>
      </x:c>
      <x:c r="B2131" s="32" t="n">
        <x:v>1</x:v>
      </x:c>
      <x:c r="C2131" s="23" t="n">
        <x:v>46658</x:v>
      </x:c>
      <x:c r="D2131" s="23" t="n">
        <x:v>46658</x:v>
      </x:c>
      <x:c r="E2131" s="20" t="str">
        <x:v>P027</x:v>
      </x:c>
      <x:c r="F2131" s="20" t="str">
        <x:v>U034</x:v>
      </x:c>
      <x:c r="G2131" s="20" t="str"/>
      <x:c r="H2131" s="20" t="str">
        <x:v>5070 Cleaning and Turnover</x:v>
      </x:c>
      <x:c r="I2131" s="26" t="n">
        <x:v>475</x:v>
      </x:c>
      <x:c r="J2131" s="26" t="n">
        <x:v>0</x:v>
      </x:c>
      <x:c r="K2131" s="35" t="str">
        <x:v>ClearFlow Restoration; WO-2027-039</x:v>
      </x:c>
    </x:row>
    <x:row r="2132">
      <x:c r="A2132" s="20" t="str">
        <x:v>FIN-01062</x:v>
      </x:c>
      <x:c r="B2132" s="32" t="n">
        <x:v>2</x:v>
      </x:c>
      <x:c r="C2132" s="23" t="n">
        <x:v>46658</x:v>
      </x:c>
      <x:c r="D2132" s="23" t="n">
        <x:v>46658</x:v>
      </x:c>
      <x:c r="E2132" s="20" t="str">
        <x:v>P027</x:v>
      </x:c>
      <x:c r="F2132" s="20" t="str">
        <x:v>U034</x:v>
      </x:c>
      <x:c r="G2132" s="20" t="str"/>
      <x:c r="H2132" s="20" t="str">
        <x:v>1000 Operating Cash</x:v>
      </x:c>
      <x:c r="I2132" s="26" t="n">
        <x:v>0</x:v>
      </x:c>
      <x:c r="J2132" s="26" t="n">
        <x:v>475</x:v>
      </x:c>
      <x:c r="K2132" s="35" t="str">
        <x:v>ClearFlow Restoration; WO-2027-039</x:v>
      </x:c>
    </x:row>
    <x:row r="2133">
      <x:c r="A2133" s="20" t="str">
        <x:v>FIN-01063</x:v>
      </x:c>
      <x:c r="B2133" s="32" t="n">
        <x:v>1</x:v>
      </x:c>
      <x:c r="C2133" s="23" t="n">
        <x:v>46665</x:v>
      </x:c>
      <x:c r="D2133" s="23" t="n">
        <x:v>46665</x:v>
      </x:c>
      <x:c r="E2133" s="20" t="str">
        <x:v>P001</x:v>
      </x:c>
      <x:c r="F2133" s="20" t="str">
        <x:v>U001</x:v>
      </x:c>
      <x:c r="G2133" s="20" t="str"/>
      <x:c r="H2133" s="20" t="str">
        <x:v>5000 Repairs and Maintenance</x:v>
      </x:c>
      <x:c r="I2133" s="26" t="n">
        <x:v>690.25</x:v>
      </x:c>
      <x:c r="J2133" s="26" t="n">
        <x:v>0</x:v>
      </x:c>
      <x:c r="K2133" s="35" t="str">
        <x:v>Apex Plumbing; WO-2027-040</x:v>
      </x:c>
    </x:row>
    <x:row r="2134">
      <x:c r="A2134" s="20" t="str">
        <x:v>FIN-01063</x:v>
      </x:c>
      <x:c r="B2134" s="32" t="n">
        <x:v>2</x:v>
      </x:c>
      <x:c r="C2134" s="23" t="n">
        <x:v>46665</x:v>
      </x:c>
      <x:c r="D2134" s="23" t="n">
        <x:v>46665</x:v>
      </x:c>
      <x:c r="E2134" s="20" t="str">
        <x:v>P001</x:v>
      </x:c>
      <x:c r="F2134" s="20" t="str">
        <x:v>U001</x:v>
      </x:c>
      <x:c r="G2134" s="20" t="str"/>
      <x:c r="H2134" s="20" t="str">
        <x:v>1000 Operating Cash</x:v>
      </x:c>
      <x:c r="I2134" s="26" t="n">
        <x:v>0</x:v>
      </x:c>
      <x:c r="J2134" s="26" t="n">
        <x:v>690.25</x:v>
      </x:c>
      <x:c r="K2134" s="35" t="str">
        <x:v>Apex Plumbing; WO-2027-040</x:v>
      </x:c>
    </x:row>
    <x:row r="2135">
      <x:c r="A2135" s="20" t="str">
        <x:v>FIN-01064</x:v>
      </x:c>
      <x:c r="B2135" s="32" t="n">
        <x:v>1</x:v>
      </x:c>
      <x:c r="C2135" s="23" t="n">
        <x:v>46672</x:v>
      </x:c>
      <x:c r="D2135" s="23" t="n">
        <x:v>46672</x:v>
      </x:c>
      <x:c r="E2135" s="20" t="str">
        <x:v>P008</x:v>
      </x:c>
      <x:c r="F2135" s="20" t="str">
        <x:v>U008</x:v>
      </x:c>
      <x:c r="G2135" s="20" t="str"/>
      <x:c r="H2135" s="20" t="str">
        <x:v>5000 Repairs and Maintenance</x:v>
      </x:c>
      <x:c r="I2135" s="26" t="n">
        <x:v>940</x:v>
      </x:c>
      <x:c r="J2135" s="26" t="n">
        <x:v>0</x:v>
      </x:c>
      <x:c r="K2135" s="35" t="str">
        <x:v>ComfortZone HVAC; WO-2027-041</x:v>
      </x:c>
    </x:row>
    <x:row r="2136">
      <x:c r="A2136" s="20" t="str">
        <x:v>FIN-01064</x:v>
      </x:c>
      <x:c r="B2136" s="32" t="n">
        <x:v>2</x:v>
      </x:c>
      <x:c r="C2136" s="23" t="n">
        <x:v>46672</x:v>
      </x:c>
      <x:c r="D2136" s="23" t="n">
        <x:v>46672</x:v>
      </x:c>
      <x:c r="E2136" s="20" t="str">
        <x:v>P008</x:v>
      </x:c>
      <x:c r="F2136" s="20" t="str">
        <x:v>U008</x:v>
      </x:c>
      <x:c r="G2136" s="20" t="str"/>
      <x:c r="H2136" s="20" t="str">
        <x:v>1000 Operating Cash</x:v>
      </x:c>
      <x:c r="I2136" s="26" t="n">
        <x:v>0</x:v>
      </x:c>
      <x:c r="J2136" s="26" t="n">
        <x:v>940</x:v>
      </x:c>
      <x:c r="K2136" s="35" t="str">
        <x:v>ComfortZone HVAC; WO-2027-041</x:v>
      </x:c>
    </x:row>
    <x:row r="2137">
      <x:c r="A2137" s="20" t="str">
        <x:v>FIN-01065</x:v>
      </x:c>
      <x:c r="B2137" s="32" t="n">
        <x:v>1</x:v>
      </x:c>
      <x:c r="C2137" s="23" t="n">
        <x:v>46679</x:v>
      </x:c>
      <x:c r="D2137" s="23" t="n">
        <x:v>46679</x:v>
      </x:c>
      <x:c r="E2137" s="20" t="str">
        <x:v>P015</x:v>
      </x:c>
      <x:c r="F2137" s="20" t="str">
        <x:v>U015</x:v>
      </x:c>
      <x:c r="G2137" s="20" t="str"/>
      <x:c r="H2137" s="20" t="str">
        <x:v>5000 Repairs and Maintenance</x:v>
      </x:c>
      <x:c r="I2137" s="26" t="n">
        <x:v>89.45</x:v>
      </x:c>
      <x:c r="J2137" s="26" t="n">
        <x:v>0</x:v>
      </x:c>
      <x:c r="K2137" s="35" t="str">
        <x:v>Metro Electric; WO-2027-042</x:v>
      </x:c>
    </x:row>
    <x:row r="2138">
      <x:c r="A2138" s="20" t="str">
        <x:v>FIN-01065</x:v>
      </x:c>
      <x:c r="B2138" s="32" t="n">
        <x:v>2</x:v>
      </x:c>
      <x:c r="C2138" s="23" t="n">
        <x:v>46679</x:v>
      </x:c>
      <x:c r="D2138" s="23" t="n">
        <x:v>46679</x:v>
      </x:c>
      <x:c r="E2138" s="20" t="str">
        <x:v>P015</x:v>
      </x:c>
      <x:c r="F2138" s="20" t="str">
        <x:v>U015</x:v>
      </x:c>
      <x:c r="G2138" s="20" t="str"/>
      <x:c r="H2138" s="20" t="str">
        <x:v>1000 Operating Cash</x:v>
      </x:c>
      <x:c r="I2138" s="26" t="n">
        <x:v>0</x:v>
      </x:c>
      <x:c r="J2138" s="26" t="n">
        <x:v>89.45</x:v>
      </x:c>
      <x:c r="K2138" s="35" t="str">
        <x:v>Metro Electric; WO-2027-042</x:v>
      </x:c>
    </x:row>
    <x:row r="2139">
      <x:c r="A2139" s="20" t="str">
        <x:v>FIN-01066</x:v>
      </x:c>
      <x:c r="B2139" s="32" t="n">
        <x:v>1</x:v>
      </x:c>
      <x:c r="C2139" s="23" t="n">
        <x:v>46686</x:v>
      </x:c>
      <x:c r="D2139" s="23" t="n">
        <x:v>46686</x:v>
      </x:c>
      <x:c r="E2139" s="20" t="str">
        <x:v>P021</x:v>
      </x:c>
      <x:c r="F2139" s="20" t="str">
        <x:v>U022</x:v>
      </x:c>
      <x:c r="G2139" s="20" t="str"/>
      <x:c r="H2139" s="20" t="str">
        <x:v>5000 Repairs and Maintenance</x:v>
      </x:c>
      <x:c r="I2139" s="26" t="n">
        <x:v>147.8</x:v>
      </x:c>
      <x:c r="J2139" s="26" t="n">
        <x:v>0</x:v>
      </x:c>
      <x:c r="K2139" s="35" t="str">
        <x:v>Green Thumb Landscaping; WO-2027-043</x:v>
      </x:c>
    </x:row>
    <x:row r="2140">
      <x:c r="A2140" s="20" t="str">
        <x:v>FIN-01066</x:v>
      </x:c>
      <x:c r="B2140" s="32" t="n">
        <x:v>2</x:v>
      </x:c>
      <x:c r="C2140" s="23" t="n">
        <x:v>46686</x:v>
      </x:c>
      <x:c r="D2140" s="23" t="n">
        <x:v>46686</x:v>
      </x:c>
      <x:c r="E2140" s="20" t="str">
        <x:v>P021</x:v>
      </x:c>
      <x:c r="F2140" s="20" t="str">
        <x:v>U022</x:v>
      </x:c>
      <x:c r="G2140" s="20" t="str"/>
      <x:c r="H2140" s="20" t="str">
        <x:v>1000 Operating Cash</x:v>
      </x:c>
      <x:c r="I2140" s="26" t="n">
        <x:v>0</x:v>
      </x:c>
      <x:c r="J2140" s="26" t="n">
        <x:v>147.8</x:v>
      </x:c>
      <x:c r="K2140" s="35" t="str">
        <x:v>Green Thumb Landscaping; WO-2027-043</x:v>
      </x:c>
    </x:row>
    <x:row r="2141">
      <x:c r="A2141" s="20" t="str">
        <x:v>FIN-01067</x:v>
      </x:c>
      <x:c r="B2141" s="32" t="n">
        <x:v>1</x:v>
      </x:c>
      <x:c r="C2141" s="23" t="n">
        <x:v>46693</x:v>
      </x:c>
      <x:c r="D2141" s="23" t="n">
        <x:v>46693</x:v>
      </x:c>
      <x:c r="E2141" s="20" t="str">
        <x:v>P025</x:v>
      </x:c>
      <x:c r="F2141" s="20" t="str">
        <x:v>U029</x:v>
      </x:c>
      <x:c r="G2141" s="20" t="str"/>
      <x:c r="H2141" s="20" t="str">
        <x:v>5000 Repairs and Maintenance</x:v>
      </x:c>
      <x:c r="I2141" s="26" t="n">
        <x:v>225</x:v>
      </x:c>
      <x:c r="J2141" s="26" t="n">
        <x:v>0</x:v>
      </x:c>
      <x:c r="K2141" s="35" t="str">
        <x:v>Summit Roofing; WO-2027-044</x:v>
      </x:c>
    </x:row>
    <x:row r="2142">
      <x:c r="A2142" s="20" t="str">
        <x:v>FIN-01067</x:v>
      </x:c>
      <x:c r="B2142" s="32" t="n">
        <x:v>2</x:v>
      </x:c>
      <x:c r="C2142" s="23" t="n">
        <x:v>46693</x:v>
      </x:c>
      <x:c r="D2142" s="23" t="n">
        <x:v>46693</x:v>
      </x:c>
      <x:c r="E2142" s="20" t="str">
        <x:v>P025</x:v>
      </x:c>
      <x:c r="F2142" s="20" t="str">
        <x:v>U029</x:v>
      </x:c>
      <x:c r="G2142" s="20" t="str"/>
      <x:c r="H2142" s="20" t="str">
        <x:v>1000 Operating Cash</x:v>
      </x:c>
      <x:c r="I2142" s="26" t="n">
        <x:v>0</x:v>
      </x:c>
      <x:c r="J2142" s="26" t="n">
        <x:v>225</x:v>
      </x:c>
      <x:c r="K2142" s="35" t="str">
        <x:v>Summit Roofing; WO-2027-044</x:v>
      </x:c>
    </x:row>
    <x:row r="2143">
      <x:c r="A2143" s="20" t="str">
        <x:v>FIN-01068</x:v>
      </x:c>
      <x:c r="B2143" s="32" t="n">
        <x:v>1</x:v>
      </x:c>
      <x:c r="C2143" s="23" t="n">
        <x:v>46700</x:v>
      </x:c>
      <x:c r="D2143" s="23" t="n">
        <x:v>46700</x:v>
      </x:c>
      <x:c r="E2143" s="20" t="str">
        <x:v>P028</x:v>
      </x:c>
      <x:c r="F2143" s="20" t="str">
        <x:v>U036</x:v>
      </x:c>
      <x:c r="G2143" s="20" t="str"/>
      <x:c r="H2143" s="20" t="str">
        <x:v>5000 Repairs and Maintenance</x:v>
      </x:c>
      <x:c r="I2143" s="26" t="n">
        <x:v>318.65</x:v>
      </x:c>
      <x:c r="J2143" s="26" t="n">
        <x:v>0</x:v>
      </x:c>
      <x:c r="K2143" s="35" t="str">
        <x:v>Prime Pest Control; WO-2027-045</x:v>
      </x:c>
    </x:row>
    <x:row r="2144">
      <x:c r="A2144" s="20" t="str">
        <x:v>FIN-01068</x:v>
      </x:c>
      <x:c r="B2144" s="32" t="n">
        <x:v>2</x:v>
      </x:c>
      <x:c r="C2144" s="23" t="n">
        <x:v>46700</x:v>
      </x:c>
      <x:c r="D2144" s="23" t="n">
        <x:v>46700</x:v>
      </x:c>
      <x:c r="E2144" s="20" t="str">
        <x:v>P028</x:v>
      </x:c>
      <x:c r="F2144" s="20" t="str">
        <x:v>U036</x:v>
      </x:c>
      <x:c r="G2144" s="20" t="str"/>
      <x:c r="H2144" s="20" t="str">
        <x:v>1000 Operating Cash</x:v>
      </x:c>
      <x:c r="I2144" s="26" t="n">
        <x:v>0</x:v>
      </x:c>
      <x:c r="J2144" s="26" t="n">
        <x:v>318.65</x:v>
      </x:c>
      <x:c r="K2144" s="35" t="str">
        <x:v>Prime Pest Control; WO-2027-045</x:v>
      </x:c>
    </x:row>
    <x:row r="2145">
      <x:c r="A2145" s="20" t="str">
        <x:v>FIN-01069</x:v>
      </x:c>
      <x:c r="B2145" s="32" t="n">
        <x:v>1</x:v>
      </x:c>
      <x:c r="C2145" s="23" t="n">
        <x:v>46707</x:v>
      </x:c>
      <x:c r="D2145" s="23" t="n">
        <x:v>46707</x:v>
      </x:c>
      <x:c r="E2145" s="20" t="str">
        <x:v>P003</x:v>
      </x:c>
      <x:c r="F2145" s="20" t="str">
        <x:v>U003</x:v>
      </x:c>
      <x:c r="G2145" s="20" t="str"/>
      <x:c r="H2145" s="20" t="str">
        <x:v>5000 Repairs and Maintenance</x:v>
      </x:c>
      <x:c r="I2145" s="26" t="n">
        <x:v>475</x:v>
      </x:c>
      <x:c r="J2145" s="26" t="n">
        <x:v>0</x:v>
      </x:c>
      <x:c r="K2145" s="35" t="str">
        <x:v>Fresh Start Turnovers; WO-2027-046</x:v>
      </x:c>
    </x:row>
    <x:row r="2146">
      <x:c r="A2146" s="20" t="str">
        <x:v>FIN-01069</x:v>
      </x:c>
      <x:c r="B2146" s="32" t="n">
        <x:v>2</x:v>
      </x:c>
      <x:c r="C2146" s="23" t="n">
        <x:v>46707</x:v>
      </x:c>
      <x:c r="D2146" s="23" t="n">
        <x:v>46707</x:v>
      </x:c>
      <x:c r="E2146" s="20" t="str">
        <x:v>P003</x:v>
      </x:c>
      <x:c r="F2146" s="20" t="str">
        <x:v>U003</x:v>
      </x:c>
      <x:c r="G2146" s="20" t="str"/>
      <x:c r="H2146" s="20" t="str">
        <x:v>1000 Operating Cash</x:v>
      </x:c>
      <x:c r="I2146" s="26" t="n">
        <x:v>0</x:v>
      </x:c>
      <x:c r="J2146" s="26" t="n">
        <x:v>475</x:v>
      </x:c>
      <x:c r="K2146" s="35" t="str">
        <x:v>Fresh Start Turnovers; WO-2027-046</x:v>
      </x:c>
    </x:row>
    <x:row r="2147">
      <x:c r="A2147" s="20" t="str">
        <x:v>FIN-01070</x:v>
      </x:c>
      <x:c r="B2147" s="32" t="n">
        <x:v>1</x:v>
      </x:c>
      <x:c r="C2147" s="23" t="n">
        <x:v>46714</x:v>
      </x:c>
      <x:c r="D2147" s="23" t="n">
        <x:v>46714</x:v>
      </x:c>
      <x:c r="E2147" s="20" t="str">
        <x:v>P010</x:v>
      </x:c>
      <x:c r="F2147" s="20" t="str">
        <x:v>U010</x:v>
      </x:c>
      <x:c r="G2147" s="20" t="str"/>
      <x:c r="H2147" s="20" t="str">
        <x:v>5120 Supplies</x:v>
      </x:c>
      <x:c r="I2147" s="26" t="n">
        <x:v>690.25</x:v>
      </x:c>
      <x:c r="J2147" s="26" t="n">
        <x:v>0</x:v>
      </x:c>
      <x:c r="K2147" s="35" t="str">
        <x:v>Hardware House; WO-2027-047</x:v>
      </x:c>
    </x:row>
    <x:row r="2148">
      <x:c r="A2148" s="20" t="str">
        <x:v>FIN-01070</x:v>
      </x:c>
      <x:c r="B2148" s="32" t="n">
        <x:v>2</x:v>
      </x:c>
      <x:c r="C2148" s="23" t="n">
        <x:v>46714</x:v>
      </x:c>
      <x:c r="D2148" s="23" t="n">
        <x:v>46714</x:v>
      </x:c>
      <x:c r="E2148" s="20" t="str">
        <x:v>P010</x:v>
      </x:c>
      <x:c r="F2148" s="20" t="str">
        <x:v>U010</x:v>
      </x:c>
      <x:c r="G2148" s="20" t="str"/>
      <x:c r="H2148" s="20" t="str">
        <x:v>1000 Operating Cash</x:v>
      </x:c>
      <x:c r="I2148" s="26" t="n">
        <x:v>0</x:v>
      </x:c>
      <x:c r="J2148" s="26" t="n">
        <x:v>690.25</x:v>
      </x:c>
      <x:c r="K2148" s="35" t="str">
        <x:v>Hardware House; WO-2027-047</x:v>
      </x:c>
    </x:row>
    <x:row r="2149">
      <x:c r="A2149" s="20" t="str">
        <x:v>FIN-01071</x:v>
      </x:c>
      <x:c r="B2149" s="32" t="n">
        <x:v>1</x:v>
      </x:c>
      <x:c r="C2149" s="23" t="n">
        <x:v>46721</x:v>
      </x:c>
      <x:c r="D2149" s="23" t="n">
        <x:v>46721</x:v>
      </x:c>
      <x:c r="E2149" s="20" t="str">
        <x:v>P017</x:v>
      </x:c>
      <x:c r="F2149" s="20" t="str">
        <x:v>U017</x:v>
      </x:c>
      <x:c r="G2149" s="20" t="str"/>
      <x:c r="H2149" s="20" t="str">
        <x:v>5000 Repairs and Maintenance</x:v>
      </x:c>
      <x:c r="I2149" s="26" t="n">
        <x:v>940</x:v>
      </x:c>
      <x:c r="J2149" s="26" t="n">
        <x:v>0</x:v>
      </x:c>
      <x:c r="K2149" s="35" t="str">
        <x:v>SafeHome Locksmith; WO-2027-048</x:v>
      </x:c>
    </x:row>
    <x:row r="2150">
      <x:c r="A2150" s="20" t="str">
        <x:v>FIN-01071</x:v>
      </x:c>
      <x:c r="B2150" s="32" t="n">
        <x:v>2</x:v>
      </x:c>
      <x:c r="C2150" s="23" t="n">
        <x:v>46721</x:v>
      </x:c>
      <x:c r="D2150" s="23" t="n">
        <x:v>46721</x:v>
      </x:c>
      <x:c r="E2150" s="20" t="str">
        <x:v>P017</x:v>
      </x:c>
      <x:c r="F2150" s="20" t="str">
        <x:v>U017</x:v>
      </x:c>
      <x:c r="G2150" s="20" t="str"/>
      <x:c r="H2150" s="20" t="str">
        <x:v>1000 Operating Cash</x:v>
      </x:c>
      <x:c r="I2150" s="26" t="n">
        <x:v>0</x:v>
      </x:c>
      <x:c r="J2150" s="26" t="n">
        <x:v>940</x:v>
      </x:c>
      <x:c r="K2150" s="35" t="str">
        <x:v>SafeHome Locksmith; WO-2027-048</x:v>
      </x:c>
    </x:row>
    <x:row r="2151">
      <x:c r="A2151" s="20" t="str">
        <x:v>FIN-01072</x:v>
      </x:c>
      <x:c r="B2151" s="32" t="n">
        <x:v>1</x:v>
      </x:c>
      <x:c r="C2151" s="23" t="n">
        <x:v>46728</x:v>
      </x:c>
      <x:c r="D2151" s="23" t="n">
        <x:v>46728</x:v>
      </x:c>
      <x:c r="E2151" s="20" t="str">
        <x:v>P022</x:v>
      </x:c>
      <x:c r="F2151" s="20" t="str">
        <x:v>U024</x:v>
      </x:c>
      <x:c r="G2151" s="20" t="str"/>
      <x:c r="H2151" s="20" t="str">
        <x:v>5000 Repairs and Maintenance</x:v>
      </x:c>
      <x:c r="I2151" s="26" t="n">
        <x:v>89.45</x:v>
      </x:c>
      <x:c r="J2151" s="26" t="n">
        <x:v>0</x:v>
      </x:c>
      <x:c r="K2151" s="35" t="str">
        <x:v>ClearFlow Restoration; WO-2027-049</x:v>
      </x:c>
    </x:row>
    <x:row r="2152">
      <x:c r="A2152" s="20" t="str">
        <x:v>FIN-01072</x:v>
      </x:c>
      <x:c r="B2152" s="32" t="n">
        <x:v>2</x:v>
      </x:c>
      <x:c r="C2152" s="23" t="n">
        <x:v>46728</x:v>
      </x:c>
      <x:c r="D2152" s="23" t="n">
        <x:v>46728</x:v>
      </x:c>
      <x:c r="E2152" s="20" t="str">
        <x:v>P022</x:v>
      </x:c>
      <x:c r="F2152" s="20" t="str">
        <x:v>U024</x:v>
      </x:c>
      <x:c r="G2152" s="20" t="str"/>
      <x:c r="H2152" s="20" t="str">
        <x:v>1000 Operating Cash</x:v>
      </x:c>
      <x:c r="I2152" s="26" t="n">
        <x:v>0</x:v>
      </x:c>
      <x:c r="J2152" s="26" t="n">
        <x:v>89.45</x:v>
      </x:c>
      <x:c r="K2152" s="35" t="str">
        <x:v>ClearFlow Restoration; WO-2027-049</x:v>
      </x:c>
    </x:row>
    <x:row r="2153">
      <x:c r="A2153" s="20" t="str">
        <x:v>FIN-01073</x:v>
      </x:c>
      <x:c r="B2153" s="32" t="n">
        <x:v>1</x:v>
      </x:c>
      <x:c r="C2153" s="23" t="n">
        <x:v>46735</x:v>
      </x:c>
      <x:c r="D2153" s="23" t="n">
        <x:v>46735</x:v>
      </x:c>
      <x:c r="E2153" s="20" t="str">
        <x:v>P026</x:v>
      </x:c>
      <x:c r="F2153" s="20" t="str">
        <x:v>U031</x:v>
      </x:c>
      <x:c r="G2153" s="20" t="str"/>
      <x:c r="H2153" s="20" t="str">
        <x:v>5000 Repairs and Maintenance</x:v>
      </x:c>
      <x:c r="I2153" s="26" t="n">
        <x:v>147.8</x:v>
      </x:c>
      <x:c r="J2153" s="26" t="n">
        <x:v>0</x:v>
      </x:c>
      <x:c r="K2153" s="35" t="str">
        <x:v>Apex Plumbing; WO-2027-050</x:v>
      </x:c>
    </x:row>
    <x:row r="2154">
      <x:c r="A2154" s="20" t="str">
        <x:v>FIN-01073</x:v>
      </x:c>
      <x:c r="B2154" s="32" t="n">
        <x:v>2</x:v>
      </x:c>
      <x:c r="C2154" s="23" t="n">
        <x:v>46735</x:v>
      </x:c>
      <x:c r="D2154" s="23" t="n">
        <x:v>46735</x:v>
      </x:c>
      <x:c r="E2154" s="20" t="str">
        <x:v>P026</x:v>
      </x:c>
      <x:c r="F2154" s="20" t="str">
        <x:v>U031</x:v>
      </x:c>
      <x:c r="G2154" s="20" t="str"/>
      <x:c r="H2154" s="20" t="str">
        <x:v>1000 Operating Cash</x:v>
      </x:c>
      <x:c r="I2154" s="26" t="n">
        <x:v>0</x:v>
      </x:c>
      <x:c r="J2154" s="26" t="n">
        <x:v>147.8</x:v>
      </x:c>
      <x:c r="K2154" s="35" t="str">
        <x:v>Apex Plumbing; WO-2027-050</x:v>
      </x:c>
    </x:row>
    <x:row r="2155">
      <x:c r="A2155" s="20" t="str">
        <x:v>FIN-01074</x:v>
      </x:c>
      <x:c r="B2155" s="32" t="n">
        <x:v>1</x:v>
      </x:c>
      <x:c r="C2155" s="23" t="n">
        <x:v>46742</x:v>
      </x:c>
      <x:c r="D2155" s="23" t="n">
        <x:v>46742</x:v>
      </x:c>
      <x:c r="E2155" s="20" t="str">
        <x:v>P029</x:v>
      </x:c>
      <x:c r="F2155" s="20" t="str">
        <x:v>U038</x:v>
      </x:c>
      <x:c r="G2155" s="20" t="str"/>
      <x:c r="H2155" s="20" t="str">
        <x:v>5000 Repairs and Maintenance</x:v>
      </x:c>
      <x:c r="I2155" s="26" t="n">
        <x:v>225</x:v>
      </x:c>
      <x:c r="J2155" s="26" t="n">
        <x:v>0</x:v>
      </x:c>
      <x:c r="K2155" s="35" t="str">
        <x:v>ComfortZone HVAC; WO-2027-051</x:v>
      </x:c>
    </x:row>
    <x:row r="2156">
      <x:c r="A2156" s="20" t="str">
        <x:v>FIN-01074</x:v>
      </x:c>
      <x:c r="B2156" s="32" t="n">
        <x:v>2</x:v>
      </x:c>
      <x:c r="C2156" s="23" t="n">
        <x:v>46742</x:v>
      </x:c>
      <x:c r="D2156" s="23" t="n">
        <x:v>46742</x:v>
      </x:c>
      <x:c r="E2156" s="20" t="str">
        <x:v>P029</x:v>
      </x:c>
      <x:c r="F2156" s="20" t="str">
        <x:v>U038</x:v>
      </x:c>
      <x:c r="G2156" s="20" t="str"/>
      <x:c r="H2156" s="20" t="str">
        <x:v>1000 Operating Cash</x:v>
      </x:c>
      <x:c r="I2156" s="26" t="n">
        <x:v>0</x:v>
      </x:c>
      <x:c r="J2156" s="26" t="n">
        <x:v>225</x:v>
      </x:c>
      <x:c r="K2156" s="35" t="str">
        <x:v>ComfortZone HVAC; WO-2027-051</x:v>
      </x:c>
    </x:row>
    <x:row r="2157">
      <x:c r="A2157" s="20" t="str">
        <x:v>FIN-01075</x:v>
      </x:c>
      <x:c r="B2157" s="32" t="n">
        <x:v>1</x:v>
      </x:c>
      <x:c r="C2157" s="23" t="n">
        <x:v>46749</x:v>
      </x:c>
      <x:c r="D2157" s="23" t="n">
        <x:v>46749</x:v>
      </x:c>
      <x:c r="E2157" s="20" t="str">
        <x:v>P005</x:v>
      </x:c>
      <x:c r="F2157" s="20" t="str">
        <x:v>U005</x:v>
      </x:c>
      <x:c r="G2157" s="20" t="str"/>
      <x:c r="H2157" s="20" t="str">
        <x:v>5070 Cleaning and Turnover</x:v>
      </x:c>
      <x:c r="I2157" s="26" t="n">
        <x:v>318.65</x:v>
      </x:c>
      <x:c r="J2157" s="26" t="n">
        <x:v>0</x:v>
      </x:c>
      <x:c r="K2157" s="35" t="str">
        <x:v>Metro Electric; WO-2027-052</x:v>
      </x:c>
    </x:row>
    <x:row r="2158">
      <x:c r="A2158" s="20" t="str">
        <x:v>FIN-01075</x:v>
      </x:c>
      <x:c r="B2158" s="32" t="n">
        <x:v>2</x:v>
      </x:c>
      <x:c r="C2158" s="23" t="n">
        <x:v>46749</x:v>
      </x:c>
      <x:c r="D2158" s="23" t="n">
        <x:v>46749</x:v>
      </x:c>
      <x:c r="E2158" s="20" t="str">
        <x:v>P005</x:v>
      </x:c>
      <x:c r="F2158" s="20" t="str">
        <x:v>U005</x:v>
      </x:c>
      <x:c r="G2158" s="20" t="str"/>
      <x:c r="H2158" s="20" t="str">
        <x:v>1000 Operating Cash</x:v>
      </x:c>
      <x:c r="I2158" s="26" t="n">
        <x:v>0</x:v>
      </x:c>
      <x:c r="J2158" s="26" t="n">
        <x:v>318.65</x:v>
      </x:c>
      <x:c r="K2158" s="35" t="str">
        <x:v>Metro Electric; WO-2027-052</x:v>
      </x:c>
    </x:row>
    <x:row r="2159">
      <x:c r="A2159" s="20" t="str">
        <x:v>FIN-01076</x:v>
      </x:c>
      <x:c r="B2159" s="32" t="n">
        <x:v>1</x:v>
      </x:c>
      <x:c r="C2159" s="23" t="n">
        <x:v>46402</x:v>
      </x:c>
      <x:c r="D2159" s="23" t="n">
        <x:v>46402</x:v>
      </x:c>
      <x:c r="E2159" s="20" t="str">
        <x:v>P021</x:v>
      </x:c>
      <x:c r="F2159" s="20" t="str"/>
      <x:c r="G2159" s="20" t="str"/>
      <x:c r="H2159" s="20" t="str">
        <x:v>5010 Utilities</x:v>
      </x:c>
      <x:c r="I2159" s="26" t="n">
        <x:v>136</x:v>
      </x:c>
      <x:c r="J2159" s="26" t="n">
        <x:v>0</x:v>
      </x:c>
      <x:c r="K2159" s="35" t="str">
        <x:v>City Water &amp; Sewer</x:v>
      </x:c>
    </x:row>
    <x:row r="2160">
      <x:c r="A2160" s="20" t="str">
        <x:v>FIN-01076</x:v>
      </x:c>
      <x:c r="B2160" s="32" t="n">
        <x:v>2</x:v>
      </x:c>
      <x:c r="C2160" s="23" t="n">
        <x:v>46402</x:v>
      </x:c>
      <x:c r="D2160" s="23" t="n">
        <x:v>46402</x:v>
      </x:c>
      <x:c r="E2160" s="20" t="str">
        <x:v>P021</x:v>
      </x:c>
      <x:c r="F2160" s="20" t="str"/>
      <x:c r="G2160" s="20" t="str"/>
      <x:c r="H2160" s="20" t="str">
        <x:v>1000 Operating Cash</x:v>
      </x:c>
      <x:c r="I2160" s="26" t="n">
        <x:v>0</x:v>
      </x:c>
      <x:c r="J2160" s="26" t="n">
        <x:v>136</x:v>
      </x:c>
      <x:c r="K2160" s="35" t="str">
        <x:v>City Water &amp; Sewer</x:v>
      </x:c>
    </x:row>
    <x:row r="2161">
      <x:c r="A2161" s="20" t="str">
        <x:v>FIN-01077</x:v>
      </x:c>
      <x:c r="B2161" s="32" t="n">
        <x:v>1</x:v>
      </x:c>
      <x:c r="C2161" s="23" t="n">
        <x:v>46402</x:v>
      </x:c>
      <x:c r="D2161" s="23" t="n">
        <x:v>46402</x:v>
      </x:c>
      <x:c r="E2161" s="20" t="str">
        <x:v>P022</x:v>
      </x:c>
      <x:c r="F2161" s="20" t="str"/>
      <x:c r="G2161" s="20" t="str"/>
      <x:c r="H2161" s="20" t="str">
        <x:v>5010 Utilities</x:v>
      </x:c>
      <x:c r="I2161" s="26" t="n">
        <x:v>143</x:v>
      </x:c>
      <x:c r="J2161" s="26" t="n">
        <x:v>0</x:v>
      </x:c>
      <x:c r="K2161" s="35" t="str">
        <x:v>City Water &amp; Sewer</x:v>
      </x:c>
    </x:row>
    <x:row r="2162">
      <x:c r="A2162" s="20" t="str">
        <x:v>FIN-01077</x:v>
      </x:c>
      <x:c r="B2162" s="32" t="n">
        <x:v>2</x:v>
      </x:c>
      <x:c r="C2162" s="23" t="n">
        <x:v>46402</x:v>
      </x:c>
      <x:c r="D2162" s="23" t="n">
        <x:v>46402</x:v>
      </x:c>
      <x:c r="E2162" s="20" t="str">
        <x:v>P022</x:v>
      </x:c>
      <x:c r="F2162" s="20" t="str"/>
      <x:c r="G2162" s="20" t="str"/>
      <x:c r="H2162" s="20" t="str">
        <x:v>1000 Operating Cash</x:v>
      </x:c>
      <x:c r="I2162" s="26" t="n">
        <x:v>0</x:v>
      </x:c>
      <x:c r="J2162" s="26" t="n">
        <x:v>143</x:v>
      </x:c>
      <x:c r="K2162" s="35" t="str">
        <x:v>City Water &amp; Sewer</x:v>
      </x:c>
    </x:row>
    <x:row r="2163">
      <x:c r="A2163" s="20" t="str">
        <x:v>FIN-01078</x:v>
      </x:c>
      <x:c r="B2163" s="32" t="n">
        <x:v>1</x:v>
      </x:c>
      <x:c r="C2163" s="23" t="n">
        <x:v>46402</x:v>
      </x:c>
      <x:c r="D2163" s="23" t="n">
        <x:v>46402</x:v>
      </x:c>
      <x:c r="E2163" s="20" t="str">
        <x:v>P023</x:v>
      </x:c>
      <x:c r="F2163" s="20" t="str"/>
      <x:c r="G2163" s="20" t="str"/>
      <x:c r="H2163" s="20" t="str">
        <x:v>5010 Utilities</x:v>
      </x:c>
      <x:c r="I2163" s="26" t="n">
        <x:v>150</x:v>
      </x:c>
      <x:c r="J2163" s="26" t="n">
        <x:v>0</x:v>
      </x:c>
      <x:c r="K2163" s="35" t="str">
        <x:v>City Water &amp; Sewer</x:v>
      </x:c>
    </x:row>
    <x:row r="2164">
      <x:c r="A2164" s="20" t="str">
        <x:v>FIN-01078</x:v>
      </x:c>
      <x:c r="B2164" s="32" t="n">
        <x:v>2</x:v>
      </x:c>
      <x:c r="C2164" s="23" t="n">
        <x:v>46402</x:v>
      </x:c>
      <x:c r="D2164" s="23" t="n">
        <x:v>46402</x:v>
      </x:c>
      <x:c r="E2164" s="20" t="str">
        <x:v>P023</x:v>
      </x:c>
      <x:c r="F2164" s="20" t="str"/>
      <x:c r="G2164" s="20" t="str"/>
      <x:c r="H2164" s="20" t="str">
        <x:v>1000 Operating Cash</x:v>
      </x:c>
      <x:c r="I2164" s="26" t="n">
        <x:v>0</x:v>
      </x:c>
      <x:c r="J2164" s="26" t="n">
        <x:v>150</x:v>
      </x:c>
      <x:c r="K2164" s="35" t="str">
        <x:v>City Water &amp; Sewer</x:v>
      </x:c>
    </x:row>
    <x:row r="2165">
      <x:c r="A2165" s="20" t="str">
        <x:v>FIN-01079</x:v>
      </x:c>
      <x:c r="B2165" s="32" t="n">
        <x:v>1</x:v>
      </x:c>
      <x:c r="C2165" s="23" t="n">
        <x:v>46402</x:v>
      </x:c>
      <x:c r="D2165" s="23" t="n">
        <x:v>46402</x:v>
      </x:c>
      <x:c r="E2165" s="20" t="str">
        <x:v>P024</x:v>
      </x:c>
      <x:c r="F2165" s="20" t="str"/>
      <x:c r="G2165" s="20" t="str"/>
      <x:c r="H2165" s="20" t="str">
        <x:v>5010 Utilities</x:v>
      </x:c>
      <x:c r="I2165" s="26" t="n">
        <x:v>157</x:v>
      </x:c>
      <x:c r="J2165" s="26" t="n">
        <x:v>0</x:v>
      </x:c>
      <x:c r="K2165" s="35" t="str">
        <x:v>City Water &amp; Sewer</x:v>
      </x:c>
    </x:row>
    <x:row r="2166">
      <x:c r="A2166" s="20" t="str">
        <x:v>FIN-01079</x:v>
      </x:c>
      <x:c r="B2166" s="32" t="n">
        <x:v>2</x:v>
      </x:c>
      <x:c r="C2166" s="23" t="n">
        <x:v>46402</x:v>
      </x:c>
      <x:c r="D2166" s="23" t="n">
        <x:v>46402</x:v>
      </x:c>
      <x:c r="E2166" s="20" t="str">
        <x:v>P024</x:v>
      </x:c>
      <x:c r="F2166" s="20" t="str"/>
      <x:c r="G2166" s="20" t="str"/>
      <x:c r="H2166" s="20" t="str">
        <x:v>1000 Operating Cash</x:v>
      </x:c>
      <x:c r="I2166" s="26" t="n">
        <x:v>0</x:v>
      </x:c>
      <x:c r="J2166" s="26" t="n">
        <x:v>157</x:v>
      </x:c>
      <x:c r="K2166" s="35" t="str">
        <x:v>City Water &amp; Sewer</x:v>
      </x:c>
    </x:row>
    <x:row r="2167">
      <x:c r="A2167" s="20" t="str">
        <x:v>FIN-01080</x:v>
      </x:c>
      <x:c r="B2167" s="32" t="n">
        <x:v>1</x:v>
      </x:c>
      <x:c r="C2167" s="23" t="n">
        <x:v>46402</x:v>
      </x:c>
      <x:c r="D2167" s="23" t="n">
        <x:v>46402</x:v>
      </x:c>
      <x:c r="E2167" s="20" t="str">
        <x:v>P025</x:v>
      </x:c>
      <x:c r="F2167" s="20" t="str"/>
      <x:c r="G2167" s="20" t="str"/>
      <x:c r="H2167" s="20" t="str">
        <x:v>5010 Utilities</x:v>
      </x:c>
      <x:c r="I2167" s="26" t="n">
        <x:v>164</x:v>
      </x:c>
      <x:c r="J2167" s="26" t="n">
        <x:v>0</x:v>
      </x:c>
      <x:c r="K2167" s="35" t="str">
        <x:v>City Water &amp; Sewer</x:v>
      </x:c>
    </x:row>
    <x:row r="2168">
      <x:c r="A2168" s="20" t="str">
        <x:v>FIN-01080</x:v>
      </x:c>
      <x:c r="B2168" s="32" t="n">
        <x:v>2</x:v>
      </x:c>
      <x:c r="C2168" s="23" t="n">
        <x:v>46402</x:v>
      </x:c>
      <x:c r="D2168" s="23" t="n">
        <x:v>46402</x:v>
      </x:c>
      <x:c r="E2168" s="20" t="str">
        <x:v>P025</x:v>
      </x:c>
      <x:c r="F2168" s="20" t="str"/>
      <x:c r="G2168" s="20" t="str"/>
      <x:c r="H2168" s="20" t="str">
        <x:v>1000 Operating Cash</x:v>
      </x:c>
      <x:c r="I2168" s="26" t="n">
        <x:v>0</x:v>
      </x:c>
      <x:c r="J2168" s="26" t="n">
        <x:v>164</x:v>
      </x:c>
      <x:c r="K2168" s="35" t="str">
        <x:v>City Water &amp; Sewer</x:v>
      </x:c>
    </x:row>
    <x:row r="2169">
      <x:c r="A2169" s="20" t="str">
        <x:v>FIN-01081</x:v>
      </x:c>
      <x:c r="B2169" s="32" t="n">
        <x:v>1</x:v>
      </x:c>
      <x:c r="C2169" s="23" t="n">
        <x:v>46402</x:v>
      </x:c>
      <x:c r="D2169" s="23" t="n">
        <x:v>46402</x:v>
      </x:c>
      <x:c r="E2169" s="20" t="str">
        <x:v>P026</x:v>
      </x:c>
      <x:c r="F2169" s="20" t="str"/>
      <x:c r="G2169" s="20" t="str"/>
      <x:c r="H2169" s="20" t="str">
        <x:v>5010 Utilities</x:v>
      </x:c>
      <x:c r="I2169" s="26" t="n">
        <x:v>171</x:v>
      </x:c>
      <x:c r="J2169" s="26" t="n">
        <x:v>0</x:v>
      </x:c>
      <x:c r="K2169" s="35" t="str">
        <x:v>City Water &amp; Sewer</x:v>
      </x:c>
    </x:row>
    <x:row r="2170">
      <x:c r="A2170" s="20" t="str">
        <x:v>FIN-01081</x:v>
      </x:c>
      <x:c r="B2170" s="32" t="n">
        <x:v>2</x:v>
      </x:c>
      <x:c r="C2170" s="23" t="n">
        <x:v>46402</x:v>
      </x:c>
      <x:c r="D2170" s="23" t="n">
        <x:v>46402</x:v>
      </x:c>
      <x:c r="E2170" s="20" t="str">
        <x:v>P026</x:v>
      </x:c>
      <x:c r="F2170" s="20" t="str"/>
      <x:c r="G2170" s="20" t="str"/>
      <x:c r="H2170" s="20" t="str">
        <x:v>1000 Operating Cash</x:v>
      </x:c>
      <x:c r="I2170" s="26" t="n">
        <x:v>0</x:v>
      </x:c>
      <x:c r="J2170" s="26" t="n">
        <x:v>171</x:v>
      </x:c>
      <x:c r="K2170" s="35" t="str">
        <x:v>City Water &amp; Sewer</x:v>
      </x:c>
    </x:row>
    <x:row r="2171">
      <x:c r="A2171" s="20" t="str">
        <x:v>FIN-01082</x:v>
      </x:c>
      <x:c r="B2171" s="32" t="n">
        <x:v>1</x:v>
      </x:c>
      <x:c r="C2171" s="23" t="n">
        <x:v>46402</x:v>
      </x:c>
      <x:c r="D2171" s="23" t="n">
        <x:v>46402</x:v>
      </x:c>
      <x:c r="E2171" s="20" t="str">
        <x:v>P027</x:v>
      </x:c>
      <x:c r="F2171" s="20" t="str"/>
      <x:c r="G2171" s="20" t="str"/>
      <x:c r="H2171" s="20" t="str">
        <x:v>5010 Utilities</x:v>
      </x:c>
      <x:c r="I2171" s="26" t="n">
        <x:v>178</x:v>
      </x:c>
      <x:c r="J2171" s="26" t="n">
        <x:v>0</x:v>
      </x:c>
      <x:c r="K2171" s="35" t="str">
        <x:v>City Water &amp; Sewer</x:v>
      </x:c>
    </x:row>
    <x:row r="2172">
      <x:c r="A2172" s="20" t="str">
        <x:v>FIN-01082</x:v>
      </x:c>
      <x:c r="B2172" s="32" t="n">
        <x:v>2</x:v>
      </x:c>
      <x:c r="C2172" s="23" t="n">
        <x:v>46402</x:v>
      </x:c>
      <x:c r="D2172" s="23" t="n">
        <x:v>46402</x:v>
      </x:c>
      <x:c r="E2172" s="20" t="str">
        <x:v>P027</x:v>
      </x:c>
      <x:c r="F2172" s="20" t="str"/>
      <x:c r="G2172" s="20" t="str"/>
      <x:c r="H2172" s="20" t="str">
        <x:v>1000 Operating Cash</x:v>
      </x:c>
      <x:c r="I2172" s="26" t="n">
        <x:v>0</x:v>
      </x:c>
      <x:c r="J2172" s="26" t="n">
        <x:v>178</x:v>
      </x:c>
      <x:c r="K2172" s="35" t="str">
        <x:v>City Water &amp; Sewer</x:v>
      </x:c>
    </x:row>
    <x:row r="2173">
      <x:c r="A2173" s="20" t="str">
        <x:v>FIN-01083</x:v>
      </x:c>
      <x:c r="B2173" s="32" t="n">
        <x:v>1</x:v>
      </x:c>
      <x:c r="C2173" s="23" t="n">
        <x:v>46402</x:v>
      </x:c>
      <x:c r="D2173" s="23" t="n">
        <x:v>46402</x:v>
      </x:c>
      <x:c r="E2173" s="20" t="str">
        <x:v>P028</x:v>
      </x:c>
      <x:c r="F2173" s="20" t="str"/>
      <x:c r="G2173" s="20" t="str"/>
      <x:c r="H2173" s="20" t="str">
        <x:v>5010 Utilities</x:v>
      </x:c>
      <x:c r="I2173" s="26" t="n">
        <x:v>185</x:v>
      </x:c>
      <x:c r="J2173" s="26" t="n">
        <x:v>0</x:v>
      </x:c>
      <x:c r="K2173" s="35" t="str">
        <x:v>City Water &amp; Sewer</x:v>
      </x:c>
    </x:row>
    <x:row r="2174">
      <x:c r="A2174" s="20" t="str">
        <x:v>FIN-01083</x:v>
      </x:c>
      <x:c r="B2174" s="32" t="n">
        <x:v>2</x:v>
      </x:c>
      <x:c r="C2174" s="23" t="n">
        <x:v>46402</x:v>
      </x:c>
      <x:c r="D2174" s="23" t="n">
        <x:v>46402</x:v>
      </x:c>
      <x:c r="E2174" s="20" t="str">
        <x:v>P028</x:v>
      </x:c>
      <x:c r="F2174" s="20" t="str"/>
      <x:c r="G2174" s="20" t="str"/>
      <x:c r="H2174" s="20" t="str">
        <x:v>1000 Operating Cash</x:v>
      </x:c>
      <x:c r="I2174" s="26" t="n">
        <x:v>0</x:v>
      </x:c>
      <x:c r="J2174" s="26" t="n">
        <x:v>185</x:v>
      </x:c>
      <x:c r="K2174" s="35" t="str">
        <x:v>City Water &amp; Sewer</x:v>
      </x:c>
    </x:row>
    <x:row r="2175">
      <x:c r="A2175" s="20" t="str">
        <x:v>FIN-01084</x:v>
      </x:c>
      <x:c r="B2175" s="32" t="n">
        <x:v>1</x:v>
      </x:c>
      <x:c r="C2175" s="23" t="n">
        <x:v>46402</x:v>
      </x:c>
      <x:c r="D2175" s="23" t="n">
        <x:v>46402</x:v>
      </x:c>
      <x:c r="E2175" s="20" t="str">
        <x:v>P029</x:v>
      </x:c>
      <x:c r="F2175" s="20" t="str"/>
      <x:c r="G2175" s="20" t="str"/>
      <x:c r="H2175" s="20" t="str">
        <x:v>5010 Utilities</x:v>
      </x:c>
      <x:c r="I2175" s="26" t="n">
        <x:v>192</x:v>
      </x:c>
      <x:c r="J2175" s="26" t="n">
        <x:v>0</x:v>
      </x:c>
      <x:c r="K2175" s="35" t="str">
        <x:v>City Water &amp; Sewer</x:v>
      </x:c>
    </x:row>
    <x:row r="2176">
      <x:c r="A2176" s="20" t="str">
        <x:v>FIN-01084</x:v>
      </x:c>
      <x:c r="B2176" s="32" t="n">
        <x:v>2</x:v>
      </x:c>
      <x:c r="C2176" s="23" t="n">
        <x:v>46402</x:v>
      </x:c>
      <x:c r="D2176" s="23" t="n">
        <x:v>46402</x:v>
      </x:c>
      <x:c r="E2176" s="20" t="str">
        <x:v>P029</x:v>
      </x:c>
      <x:c r="F2176" s="20" t="str"/>
      <x:c r="G2176" s="20" t="str"/>
      <x:c r="H2176" s="20" t="str">
        <x:v>1000 Operating Cash</x:v>
      </x:c>
      <x:c r="I2176" s="26" t="n">
        <x:v>0</x:v>
      </x:c>
      <x:c r="J2176" s="26" t="n">
        <x:v>192</x:v>
      </x:c>
      <x:c r="K2176" s="35" t="str">
        <x:v>City Water &amp; Sewer</x:v>
      </x:c>
    </x:row>
    <x:row r="2177">
      <x:c r="A2177" s="20" t="str">
        <x:v>FIN-01085</x:v>
      </x:c>
      <x:c r="B2177" s="32" t="n">
        <x:v>1</x:v>
      </x:c>
      <x:c r="C2177" s="23" t="n">
        <x:v>46402</x:v>
      </x:c>
      <x:c r="D2177" s="23" t="n">
        <x:v>46402</x:v>
      </x:c>
      <x:c r="E2177" s="20" t="str">
        <x:v>P030</x:v>
      </x:c>
      <x:c r="F2177" s="20" t="str"/>
      <x:c r="G2177" s="20" t="str"/>
      <x:c r="H2177" s="20" t="str">
        <x:v>5010 Utilities</x:v>
      </x:c>
      <x:c r="I2177" s="26" t="n">
        <x:v>199</x:v>
      </x:c>
      <x:c r="J2177" s="26" t="n">
        <x:v>0</x:v>
      </x:c>
      <x:c r="K2177" s="35" t="str">
        <x:v>City Water &amp; Sewer</x:v>
      </x:c>
    </x:row>
    <x:row r="2178">
      <x:c r="A2178" s="20" t="str">
        <x:v>FIN-01085</x:v>
      </x:c>
      <x:c r="B2178" s="32" t="n">
        <x:v>2</x:v>
      </x:c>
      <x:c r="C2178" s="23" t="n">
        <x:v>46402</x:v>
      </x:c>
      <x:c r="D2178" s="23" t="n">
        <x:v>46402</x:v>
      </x:c>
      <x:c r="E2178" s="20" t="str">
        <x:v>P030</x:v>
      </x:c>
      <x:c r="F2178" s="20" t="str"/>
      <x:c r="G2178" s="20" t="str"/>
      <x:c r="H2178" s="20" t="str">
        <x:v>1000 Operating Cash</x:v>
      </x:c>
      <x:c r="I2178" s="26" t="n">
        <x:v>0</x:v>
      </x:c>
      <x:c r="J2178" s="26" t="n">
        <x:v>199</x:v>
      </x:c>
      <x:c r="K2178" s="35" t="str">
        <x:v>City Water &amp; Sewer</x:v>
      </x:c>
    </x:row>
    <x:row r="2179">
      <x:c r="A2179" s="20" t="str">
        <x:v>FIN-01086</x:v>
      </x:c>
      <x:c r="B2179" s="32" t="n">
        <x:v>1</x:v>
      </x:c>
      <x:c r="C2179" s="23" t="n">
        <x:v>46407</x:v>
      </x:c>
      <x:c r="D2179" s="23" t="n">
        <x:v>46407</x:v>
      </x:c>
      <x:c r="E2179" s="20" t="str">
        <x:v>P001</x:v>
      </x:c>
      <x:c r="F2179" s="20" t="str"/>
      <x:c r="G2179" s="20" t="str"/>
      <x:c r="H2179" s="20" t="str">
        <x:v>2200 Mortgage Loans Payable</x:v>
      </x:c>
      <x:c r="I2179" s="26" t="n">
        <x:v>431</x:v>
      </x:c>
      <x:c r="J2179" s="26" t="n">
        <x:v>0</x:v>
      </x:c>
      <x:c r="K2179" s="35" t="str">
        <x:v>LN001 scheduled payment</x:v>
      </x:c>
    </x:row>
    <x:row r="2180">
      <x:c r="A2180" s="20" t="str">
        <x:v>FIN-01086</x:v>
      </x:c>
      <x:c r="B2180" s="32" t="n">
        <x:v>2</x:v>
      </x:c>
      <x:c r="C2180" s="23" t="n">
        <x:v>46407</x:v>
      </x:c>
      <x:c r="D2180" s="23" t="n">
        <x:v>46407</x:v>
      </x:c>
      <x:c r="E2180" s="20" t="str">
        <x:v>P001</x:v>
      </x:c>
      <x:c r="F2180" s="20" t="str"/>
      <x:c r="G2180" s="20" t="str"/>
      <x:c r="H2180" s="20" t="str">
        <x:v>5040 Mortgage Interest</x:v>
      </x:c>
      <x:c r="I2180" s="26" t="n">
        <x:v>623</x:v>
      </x:c>
      <x:c r="J2180" s="26" t="n">
        <x:v>0</x:v>
      </x:c>
      <x:c r="K2180" s="35" t="str">
        <x:v>LN001 scheduled payment</x:v>
      </x:c>
    </x:row>
    <x:row r="2181">
      <x:c r="A2181" s="20" t="str">
        <x:v>FIN-01086</x:v>
      </x:c>
      <x:c r="B2181" s="32" t="n">
        <x:v>3</x:v>
      </x:c>
      <x:c r="C2181" s="23" t="n">
        <x:v>46407</x:v>
      </x:c>
      <x:c r="D2181" s="23" t="n">
        <x:v>46407</x:v>
      </x:c>
      <x:c r="E2181" s="20" t="str">
        <x:v>P001</x:v>
      </x:c>
      <x:c r="F2181" s="20" t="str"/>
      <x:c r="G2181" s="20" t="str"/>
      <x:c r="H2181" s="20" t="str">
        <x:v>1000 Operating Cash</x:v>
      </x:c>
      <x:c r="I2181" s="26" t="n">
        <x:v>0</x:v>
      </x:c>
      <x:c r="J2181" s="26" t="n">
        <x:v>1054</x:v>
      </x:c>
      <x:c r="K2181" s="35" t="str">
        <x:v>LN001 scheduled payment</x:v>
      </x:c>
    </x:row>
    <x:row r="2182">
      <x:c r="A2182" s="20" t="str">
        <x:v>FIN-01087</x:v>
      </x:c>
      <x:c r="B2182" s="32" t="n">
        <x:v>1</x:v>
      </x:c>
      <x:c r="C2182" s="23" t="n">
        <x:v>46407</x:v>
      </x:c>
      <x:c r="D2182" s="23" t="n">
        <x:v>46407</x:v>
      </x:c>
      <x:c r="E2182" s="20" t="str">
        <x:v>P002</x:v>
      </x:c>
      <x:c r="F2182" s="20" t="str"/>
      <x:c r="G2182" s="20" t="str"/>
      <x:c r="H2182" s="20" t="str">
        <x:v>2200 Mortgage Loans Payable</x:v>
      </x:c>
      <x:c r="I2182" s="26" t="n">
        <x:v>442</x:v>
      </x:c>
      <x:c r="J2182" s="26" t="n">
        <x:v>0</x:v>
      </x:c>
      <x:c r="K2182" s="35" t="str">
        <x:v>LN002 scheduled payment</x:v>
      </x:c>
    </x:row>
    <x:row r="2183">
      <x:c r="A2183" s="20" t="str">
        <x:v>FIN-01087</x:v>
      </x:c>
      <x:c r="B2183" s="32" t="n">
        <x:v>2</x:v>
      </x:c>
      <x:c r="C2183" s="23" t="n">
        <x:v>46407</x:v>
      </x:c>
      <x:c r="D2183" s="23" t="n">
        <x:v>46407</x:v>
      </x:c>
      <x:c r="E2183" s="20" t="str">
        <x:v>P002</x:v>
      </x:c>
      <x:c r="F2183" s="20" t="str"/>
      <x:c r="G2183" s="20" t="str"/>
      <x:c r="H2183" s="20" t="str">
        <x:v>5040 Mortgage Interest</x:v>
      </x:c>
      <x:c r="I2183" s="26" t="n">
        <x:v>636</x:v>
      </x:c>
      <x:c r="J2183" s="26" t="n">
        <x:v>0</x:v>
      </x:c>
      <x:c r="K2183" s="35" t="str">
        <x:v>LN002 scheduled payment</x:v>
      </x:c>
    </x:row>
    <x:row r="2184">
      <x:c r="A2184" s="20" t="str">
        <x:v>FIN-01087</x:v>
      </x:c>
      <x:c r="B2184" s="32" t="n">
        <x:v>3</x:v>
      </x:c>
      <x:c r="C2184" s="23" t="n">
        <x:v>46407</x:v>
      </x:c>
      <x:c r="D2184" s="23" t="n">
        <x:v>46407</x:v>
      </x:c>
      <x:c r="E2184" s="20" t="str">
        <x:v>P002</x:v>
      </x:c>
      <x:c r="F2184" s="20" t="str"/>
      <x:c r="G2184" s="20" t="str"/>
      <x:c r="H2184" s="20" t="str">
        <x:v>1000 Operating Cash</x:v>
      </x:c>
      <x:c r="I2184" s="26" t="n">
        <x:v>0</x:v>
      </x:c>
      <x:c r="J2184" s="26" t="n">
        <x:v>1078</x:v>
      </x:c>
      <x:c r="K2184" s="35" t="str">
        <x:v>LN002 scheduled payment</x:v>
      </x:c>
    </x:row>
    <x:row r="2185">
      <x:c r="A2185" s="20" t="str">
        <x:v>FIN-01088</x:v>
      </x:c>
      <x:c r="B2185" s="32" t="n">
        <x:v>1</x:v>
      </x:c>
      <x:c r="C2185" s="23" t="n">
        <x:v>46407</x:v>
      </x:c>
      <x:c r="D2185" s="23" t="n">
        <x:v>46407</x:v>
      </x:c>
      <x:c r="E2185" s="20" t="str">
        <x:v>P004</x:v>
      </x:c>
      <x:c r="F2185" s="20" t="str"/>
      <x:c r="G2185" s="20" t="str"/>
      <x:c r="H2185" s="20" t="str">
        <x:v>2200 Mortgage Loans Payable</x:v>
      </x:c>
      <x:c r="I2185" s="26" t="n">
        <x:v>464</x:v>
      </x:c>
      <x:c r="J2185" s="26" t="n">
        <x:v>0</x:v>
      </x:c>
      <x:c r="K2185" s="35" t="str">
        <x:v>LN004 scheduled payment</x:v>
      </x:c>
    </x:row>
    <x:row r="2186">
      <x:c r="A2186" s="20" t="str">
        <x:v>FIN-01088</x:v>
      </x:c>
      <x:c r="B2186" s="32" t="n">
        <x:v>2</x:v>
      </x:c>
      <x:c r="C2186" s="23" t="n">
        <x:v>46407</x:v>
      </x:c>
      <x:c r="D2186" s="23" t="n">
        <x:v>46407</x:v>
      </x:c>
      <x:c r="E2186" s="20" t="str">
        <x:v>P004</x:v>
      </x:c>
      <x:c r="F2186" s="20" t="str"/>
      <x:c r="G2186" s="20" t="str"/>
      <x:c r="H2186" s="20" t="str">
        <x:v>5040 Mortgage Interest</x:v>
      </x:c>
      <x:c r="I2186" s="26" t="n">
        <x:v>662</x:v>
      </x:c>
      <x:c r="J2186" s="26" t="n">
        <x:v>0</x:v>
      </x:c>
      <x:c r="K2186" s="35" t="str">
        <x:v>LN004 scheduled payment</x:v>
      </x:c>
    </x:row>
    <x:row r="2187">
      <x:c r="A2187" s="20" t="str">
        <x:v>FIN-01088</x:v>
      </x:c>
      <x:c r="B2187" s="32" t="n">
        <x:v>3</x:v>
      </x:c>
      <x:c r="C2187" s="23" t="n">
        <x:v>46407</x:v>
      </x:c>
      <x:c r="D2187" s="23" t="n">
        <x:v>46407</x:v>
      </x:c>
      <x:c r="E2187" s="20" t="str">
        <x:v>P004</x:v>
      </x:c>
      <x:c r="F2187" s="20" t="str"/>
      <x:c r="G2187" s="20" t="str"/>
      <x:c r="H2187" s="20" t="str">
        <x:v>1000 Operating Cash</x:v>
      </x:c>
      <x:c r="I2187" s="26" t="n">
        <x:v>0</x:v>
      </x:c>
      <x:c r="J2187" s="26" t="n">
        <x:v>1126</x:v>
      </x:c>
      <x:c r="K2187" s="35" t="str">
        <x:v>LN004 scheduled payment</x:v>
      </x:c>
    </x:row>
    <x:row r="2188">
      <x:c r="A2188" s="20" t="str">
        <x:v>FIN-01089</x:v>
      </x:c>
      <x:c r="B2188" s="32" t="n">
        <x:v>1</x:v>
      </x:c>
      <x:c r="C2188" s="23" t="n">
        <x:v>46407</x:v>
      </x:c>
      <x:c r="D2188" s="23" t="n">
        <x:v>46407</x:v>
      </x:c>
      <x:c r="E2188" s="20" t="str">
        <x:v>P005</x:v>
      </x:c>
      <x:c r="F2188" s="20" t="str"/>
      <x:c r="G2188" s="20" t="str"/>
      <x:c r="H2188" s="20" t="str">
        <x:v>2200 Mortgage Loans Payable</x:v>
      </x:c>
      <x:c r="I2188" s="26" t="n">
        <x:v>475</x:v>
      </x:c>
      <x:c r="J2188" s="26" t="n">
        <x:v>0</x:v>
      </x:c>
      <x:c r="K2188" s="35" t="str">
        <x:v>LN005 scheduled payment</x:v>
      </x:c>
    </x:row>
    <x:row r="2189">
      <x:c r="A2189" s="20" t="str">
        <x:v>FIN-01089</x:v>
      </x:c>
      <x:c r="B2189" s="32" t="n">
        <x:v>2</x:v>
      </x:c>
      <x:c r="C2189" s="23" t="n">
        <x:v>46407</x:v>
      </x:c>
      <x:c r="D2189" s="23" t="n">
        <x:v>46407</x:v>
      </x:c>
      <x:c r="E2189" s="20" t="str">
        <x:v>P005</x:v>
      </x:c>
      <x:c r="F2189" s="20" t="str"/>
      <x:c r="G2189" s="20" t="str"/>
      <x:c r="H2189" s="20" t="str">
        <x:v>5040 Mortgage Interest</x:v>
      </x:c>
      <x:c r="I2189" s="26" t="n">
        <x:v>675</x:v>
      </x:c>
      <x:c r="J2189" s="26" t="n">
        <x:v>0</x:v>
      </x:c>
      <x:c r="K2189" s="35" t="str">
        <x:v>LN005 scheduled payment</x:v>
      </x:c>
    </x:row>
    <x:row r="2190">
      <x:c r="A2190" s="20" t="str">
        <x:v>FIN-01089</x:v>
      </x:c>
      <x:c r="B2190" s="32" t="n">
        <x:v>3</x:v>
      </x:c>
      <x:c r="C2190" s="23" t="n">
        <x:v>46407</x:v>
      </x:c>
      <x:c r="D2190" s="23" t="n">
        <x:v>46407</x:v>
      </x:c>
      <x:c r="E2190" s="20" t="str">
        <x:v>P005</x:v>
      </x:c>
      <x:c r="F2190" s="20" t="str"/>
      <x:c r="G2190" s="20" t="str"/>
      <x:c r="H2190" s="20" t="str">
        <x:v>1000 Operating Cash</x:v>
      </x:c>
      <x:c r="I2190" s="26" t="n">
        <x:v>0</x:v>
      </x:c>
      <x:c r="J2190" s="26" t="n">
        <x:v>1150</x:v>
      </x:c>
      <x:c r="K2190" s="35" t="str">
        <x:v>LN005 scheduled payment</x:v>
      </x:c>
    </x:row>
    <x:row r="2191">
      <x:c r="A2191" s="20" t="str">
        <x:v>FIN-01090</x:v>
      </x:c>
      <x:c r="B2191" s="32" t="n">
        <x:v>1</x:v>
      </x:c>
      <x:c r="C2191" s="23" t="n">
        <x:v>46407</x:v>
      </x:c>
      <x:c r="D2191" s="23" t="n">
        <x:v>46407</x:v>
      </x:c>
      <x:c r="E2191" s="20" t="str">
        <x:v>P007</x:v>
      </x:c>
      <x:c r="F2191" s="20" t="str"/>
      <x:c r="G2191" s="20" t="str"/>
      <x:c r="H2191" s="20" t="str">
        <x:v>2200 Mortgage Loans Payable</x:v>
      </x:c>
      <x:c r="I2191" s="26" t="n">
        <x:v>497</x:v>
      </x:c>
      <x:c r="J2191" s="26" t="n">
        <x:v>0</x:v>
      </x:c>
      <x:c r="K2191" s="35" t="str">
        <x:v>LN007 scheduled payment</x:v>
      </x:c>
    </x:row>
    <x:row r="2192">
      <x:c r="A2192" s="20" t="str">
        <x:v>FIN-01090</x:v>
      </x:c>
      <x:c r="B2192" s="32" t="n">
        <x:v>2</x:v>
      </x:c>
      <x:c r="C2192" s="23" t="n">
        <x:v>46407</x:v>
      </x:c>
      <x:c r="D2192" s="23" t="n">
        <x:v>46407</x:v>
      </x:c>
      <x:c r="E2192" s="20" t="str">
        <x:v>P007</x:v>
      </x:c>
      <x:c r="F2192" s="20" t="str"/>
      <x:c r="G2192" s="20" t="str"/>
      <x:c r="H2192" s="20" t="str">
        <x:v>5040 Mortgage Interest</x:v>
      </x:c>
      <x:c r="I2192" s="26" t="n">
        <x:v>701</x:v>
      </x:c>
      <x:c r="J2192" s="26" t="n">
        <x:v>0</x:v>
      </x:c>
      <x:c r="K2192" s="35" t="str">
        <x:v>LN007 scheduled payment</x:v>
      </x:c>
    </x:row>
    <x:row r="2193">
      <x:c r="A2193" s="20" t="str">
        <x:v>FIN-01090</x:v>
      </x:c>
      <x:c r="B2193" s="32" t="n">
        <x:v>3</x:v>
      </x:c>
      <x:c r="C2193" s="23" t="n">
        <x:v>46407</x:v>
      </x:c>
      <x:c r="D2193" s="23" t="n">
        <x:v>46407</x:v>
      </x:c>
      <x:c r="E2193" s="20" t="str">
        <x:v>P007</x:v>
      </x:c>
      <x:c r="F2193" s="20" t="str"/>
      <x:c r="G2193" s="20" t="str"/>
      <x:c r="H2193" s="20" t="str">
        <x:v>1000 Operating Cash</x:v>
      </x:c>
      <x:c r="I2193" s="26" t="n">
        <x:v>0</x:v>
      </x:c>
      <x:c r="J2193" s="26" t="n">
        <x:v>1198</x:v>
      </x:c>
      <x:c r="K2193" s="35" t="str">
        <x:v>LN007 scheduled payment</x:v>
      </x:c>
    </x:row>
    <x:row r="2194">
      <x:c r="A2194" s="20" t="str">
        <x:v>FIN-01091</x:v>
      </x:c>
      <x:c r="B2194" s="32" t="n">
        <x:v>1</x:v>
      </x:c>
      <x:c r="C2194" s="23" t="n">
        <x:v>46407</x:v>
      </x:c>
      <x:c r="D2194" s="23" t="n">
        <x:v>46407</x:v>
      </x:c>
      <x:c r="E2194" s="20" t="str">
        <x:v>P008</x:v>
      </x:c>
      <x:c r="F2194" s="20" t="str"/>
      <x:c r="G2194" s="20" t="str"/>
      <x:c r="H2194" s="20" t="str">
        <x:v>2200 Mortgage Loans Payable</x:v>
      </x:c>
      <x:c r="I2194" s="26" t="n">
        <x:v>508</x:v>
      </x:c>
      <x:c r="J2194" s="26" t="n">
        <x:v>0</x:v>
      </x:c>
      <x:c r="K2194" s="35" t="str">
        <x:v>LN008 scheduled payment</x:v>
      </x:c>
    </x:row>
    <x:row r="2195">
      <x:c r="A2195" s="20" t="str">
        <x:v>FIN-01091</x:v>
      </x:c>
      <x:c r="B2195" s="32" t="n">
        <x:v>2</x:v>
      </x:c>
      <x:c r="C2195" s="23" t="n">
        <x:v>46407</x:v>
      </x:c>
      <x:c r="D2195" s="23" t="n">
        <x:v>46407</x:v>
      </x:c>
      <x:c r="E2195" s="20" t="str">
        <x:v>P008</x:v>
      </x:c>
      <x:c r="F2195" s="20" t="str"/>
      <x:c r="G2195" s="20" t="str"/>
      <x:c r="H2195" s="20" t="str">
        <x:v>5040 Mortgage Interest</x:v>
      </x:c>
      <x:c r="I2195" s="26" t="n">
        <x:v>714</x:v>
      </x:c>
      <x:c r="J2195" s="26" t="n">
        <x:v>0</x:v>
      </x:c>
      <x:c r="K2195" s="35" t="str">
        <x:v>LN008 scheduled payment</x:v>
      </x:c>
    </x:row>
    <x:row r="2196">
      <x:c r="A2196" s="20" t="str">
        <x:v>FIN-01091</x:v>
      </x:c>
      <x:c r="B2196" s="32" t="n">
        <x:v>3</x:v>
      </x:c>
      <x:c r="C2196" s="23" t="n">
        <x:v>46407</x:v>
      </x:c>
      <x:c r="D2196" s="23" t="n">
        <x:v>46407</x:v>
      </x:c>
      <x:c r="E2196" s="20" t="str">
        <x:v>P008</x:v>
      </x:c>
      <x:c r="F2196" s="20" t="str"/>
      <x:c r="G2196" s="20" t="str"/>
      <x:c r="H2196" s="20" t="str">
        <x:v>1000 Operating Cash</x:v>
      </x:c>
      <x:c r="I2196" s="26" t="n">
        <x:v>0</x:v>
      </x:c>
      <x:c r="J2196" s="26" t="n">
        <x:v>1222</x:v>
      </x:c>
      <x:c r="K2196" s="35" t="str">
        <x:v>LN008 scheduled payment</x:v>
      </x:c>
    </x:row>
    <x:row r="2197">
      <x:c r="A2197" s="20" t="str">
        <x:v>FIN-01092</x:v>
      </x:c>
      <x:c r="B2197" s="32" t="n">
        <x:v>1</x:v>
      </x:c>
      <x:c r="C2197" s="23" t="n">
        <x:v>46407</x:v>
      </x:c>
      <x:c r="D2197" s="23" t="n">
        <x:v>46407</x:v>
      </x:c>
      <x:c r="E2197" s="20" t="str">
        <x:v>P010</x:v>
      </x:c>
      <x:c r="F2197" s="20" t="str"/>
      <x:c r="G2197" s="20" t="str"/>
      <x:c r="H2197" s="20" t="str">
        <x:v>2200 Mortgage Loans Payable</x:v>
      </x:c>
      <x:c r="I2197" s="26" t="n">
        <x:v>530</x:v>
      </x:c>
      <x:c r="J2197" s="26" t="n">
        <x:v>0</x:v>
      </x:c>
      <x:c r="K2197" s="35" t="str">
        <x:v>LN010 scheduled payment</x:v>
      </x:c>
    </x:row>
    <x:row r="2198">
      <x:c r="A2198" s="20" t="str">
        <x:v>FIN-01092</x:v>
      </x:c>
      <x:c r="B2198" s="32" t="n">
        <x:v>2</x:v>
      </x:c>
      <x:c r="C2198" s="23" t="n">
        <x:v>46407</x:v>
      </x:c>
      <x:c r="D2198" s="23" t="n">
        <x:v>46407</x:v>
      </x:c>
      <x:c r="E2198" s="20" t="str">
        <x:v>P010</x:v>
      </x:c>
      <x:c r="F2198" s="20" t="str"/>
      <x:c r="G2198" s="20" t="str"/>
      <x:c r="H2198" s="20" t="str">
        <x:v>5040 Mortgage Interest</x:v>
      </x:c>
      <x:c r="I2198" s="26" t="n">
        <x:v>740</x:v>
      </x:c>
      <x:c r="J2198" s="26" t="n">
        <x:v>0</x:v>
      </x:c>
      <x:c r="K2198" s="35" t="str">
        <x:v>LN010 scheduled payment</x:v>
      </x:c>
    </x:row>
    <x:row r="2199">
      <x:c r="A2199" s="20" t="str">
        <x:v>FIN-01092</x:v>
      </x:c>
      <x:c r="B2199" s="32" t="n">
        <x:v>3</x:v>
      </x:c>
      <x:c r="C2199" s="23" t="n">
        <x:v>46407</x:v>
      </x:c>
      <x:c r="D2199" s="23" t="n">
        <x:v>46407</x:v>
      </x:c>
      <x:c r="E2199" s="20" t="str">
        <x:v>P010</x:v>
      </x:c>
      <x:c r="F2199" s="20" t="str"/>
      <x:c r="G2199" s="20" t="str"/>
      <x:c r="H2199" s="20" t="str">
        <x:v>1000 Operating Cash</x:v>
      </x:c>
      <x:c r="I2199" s="26" t="n">
        <x:v>0</x:v>
      </x:c>
      <x:c r="J2199" s="26" t="n">
        <x:v>1270</x:v>
      </x:c>
      <x:c r="K2199" s="35" t="str">
        <x:v>LN010 scheduled payment</x:v>
      </x:c>
    </x:row>
    <x:row r="2200">
      <x:c r="A2200" s="20" t="str">
        <x:v>FIN-01093</x:v>
      </x:c>
      <x:c r="B2200" s="32" t="n">
        <x:v>1</x:v>
      </x:c>
      <x:c r="C2200" s="23" t="n">
        <x:v>46407</x:v>
      </x:c>
      <x:c r="D2200" s="23" t="n">
        <x:v>46407</x:v>
      </x:c>
      <x:c r="E2200" s="20" t="str">
        <x:v>P011</x:v>
      </x:c>
      <x:c r="F2200" s="20" t="str"/>
      <x:c r="G2200" s="20" t="str"/>
      <x:c r="H2200" s="20" t="str">
        <x:v>2200 Mortgage Loans Payable</x:v>
      </x:c>
      <x:c r="I2200" s="26" t="n">
        <x:v>541</x:v>
      </x:c>
      <x:c r="J2200" s="26" t="n">
        <x:v>0</x:v>
      </x:c>
      <x:c r="K2200" s="35" t="str">
        <x:v>LN011 scheduled payment</x:v>
      </x:c>
    </x:row>
    <x:row r="2201">
      <x:c r="A2201" s="20" t="str">
        <x:v>FIN-01093</x:v>
      </x:c>
      <x:c r="B2201" s="32" t="n">
        <x:v>2</x:v>
      </x:c>
      <x:c r="C2201" s="23" t="n">
        <x:v>46407</x:v>
      </x:c>
      <x:c r="D2201" s="23" t="n">
        <x:v>46407</x:v>
      </x:c>
      <x:c r="E2201" s="20" t="str">
        <x:v>P011</x:v>
      </x:c>
      <x:c r="F2201" s="20" t="str"/>
      <x:c r="G2201" s="20" t="str"/>
      <x:c r="H2201" s="20" t="str">
        <x:v>5040 Mortgage Interest</x:v>
      </x:c>
      <x:c r="I2201" s="26" t="n">
        <x:v>753</x:v>
      </x:c>
      <x:c r="J2201" s="26" t="n">
        <x:v>0</x:v>
      </x:c>
      <x:c r="K2201" s="35" t="str">
        <x:v>LN011 scheduled payment</x:v>
      </x:c>
    </x:row>
    <x:row r="2202">
      <x:c r="A2202" s="20" t="str">
        <x:v>FIN-01093</x:v>
      </x:c>
      <x:c r="B2202" s="32" t="n">
        <x:v>3</x:v>
      </x:c>
      <x:c r="C2202" s="23" t="n">
        <x:v>46407</x:v>
      </x:c>
      <x:c r="D2202" s="23" t="n">
        <x:v>46407</x:v>
      </x:c>
      <x:c r="E2202" s="20" t="str">
        <x:v>P011</x:v>
      </x:c>
      <x:c r="F2202" s="20" t="str"/>
      <x:c r="G2202" s="20" t="str"/>
      <x:c r="H2202" s="20" t="str">
        <x:v>1000 Operating Cash</x:v>
      </x:c>
      <x:c r="I2202" s="26" t="n">
        <x:v>0</x:v>
      </x:c>
      <x:c r="J2202" s="26" t="n">
        <x:v>1294</x:v>
      </x:c>
      <x:c r="K2202" s="35" t="str">
        <x:v>LN011 scheduled payment</x:v>
      </x:c>
    </x:row>
    <x:row r="2203">
      <x:c r="A2203" s="20" t="str">
        <x:v>FIN-01094</x:v>
      </x:c>
      <x:c r="B2203" s="32" t="n">
        <x:v>1</x:v>
      </x:c>
      <x:c r="C2203" s="23" t="n">
        <x:v>46407</x:v>
      </x:c>
      <x:c r="D2203" s="23" t="n">
        <x:v>46407</x:v>
      </x:c>
      <x:c r="E2203" s="20" t="str">
        <x:v>P013</x:v>
      </x:c>
      <x:c r="F2203" s="20" t="str"/>
      <x:c r="G2203" s="20" t="str"/>
      <x:c r="H2203" s="20" t="str">
        <x:v>2200 Mortgage Loans Payable</x:v>
      </x:c>
      <x:c r="I2203" s="26" t="n">
        <x:v>563</x:v>
      </x:c>
      <x:c r="J2203" s="26" t="n">
        <x:v>0</x:v>
      </x:c>
      <x:c r="K2203" s="35" t="str">
        <x:v>LN013 scheduled payment</x:v>
      </x:c>
    </x:row>
    <x:row r="2204">
      <x:c r="A2204" s="20" t="str">
        <x:v>FIN-01094</x:v>
      </x:c>
      <x:c r="B2204" s="32" t="n">
        <x:v>2</x:v>
      </x:c>
      <x:c r="C2204" s="23" t="n">
        <x:v>46407</x:v>
      </x:c>
      <x:c r="D2204" s="23" t="n">
        <x:v>46407</x:v>
      </x:c>
      <x:c r="E2204" s="20" t="str">
        <x:v>P013</x:v>
      </x:c>
      <x:c r="F2204" s="20" t="str"/>
      <x:c r="G2204" s="20" t="str"/>
      <x:c r="H2204" s="20" t="str">
        <x:v>5040 Mortgage Interest</x:v>
      </x:c>
      <x:c r="I2204" s="26" t="n">
        <x:v>779</x:v>
      </x:c>
      <x:c r="J2204" s="26" t="n">
        <x:v>0</x:v>
      </x:c>
      <x:c r="K2204" s="35" t="str">
        <x:v>LN013 scheduled payment</x:v>
      </x:c>
    </x:row>
    <x:row r="2205">
      <x:c r="A2205" s="20" t="str">
        <x:v>FIN-01094</x:v>
      </x:c>
      <x:c r="B2205" s="32" t="n">
        <x:v>3</x:v>
      </x:c>
      <x:c r="C2205" s="23" t="n">
        <x:v>46407</x:v>
      </x:c>
      <x:c r="D2205" s="23" t="n">
        <x:v>46407</x:v>
      </x:c>
      <x:c r="E2205" s="20" t="str">
        <x:v>P013</x:v>
      </x:c>
      <x:c r="F2205" s="20" t="str"/>
      <x:c r="G2205" s="20" t="str"/>
      <x:c r="H2205" s="20" t="str">
        <x:v>1000 Operating Cash</x:v>
      </x:c>
      <x:c r="I2205" s="26" t="n">
        <x:v>0</x:v>
      </x:c>
      <x:c r="J2205" s="26" t="n">
        <x:v>1342</x:v>
      </x:c>
      <x:c r="K2205" s="35" t="str">
        <x:v>LN013 scheduled payment</x:v>
      </x:c>
    </x:row>
    <x:row r="2206">
      <x:c r="A2206" s="20" t="str">
        <x:v>FIN-01095</x:v>
      </x:c>
      <x:c r="B2206" s="32" t="n">
        <x:v>1</x:v>
      </x:c>
      <x:c r="C2206" s="23" t="n">
        <x:v>46407</x:v>
      </x:c>
      <x:c r="D2206" s="23" t="n">
        <x:v>46407</x:v>
      </x:c>
      <x:c r="E2206" s="20" t="str">
        <x:v>P014</x:v>
      </x:c>
      <x:c r="F2206" s="20" t="str"/>
      <x:c r="G2206" s="20" t="str"/>
      <x:c r="H2206" s="20" t="str">
        <x:v>2200 Mortgage Loans Payable</x:v>
      </x:c>
      <x:c r="I2206" s="26" t="n">
        <x:v>574</x:v>
      </x:c>
      <x:c r="J2206" s="26" t="n">
        <x:v>0</x:v>
      </x:c>
      <x:c r="K2206" s="35" t="str">
        <x:v>LN014 scheduled payment</x:v>
      </x:c>
    </x:row>
    <x:row r="2207">
      <x:c r="A2207" s="20" t="str">
        <x:v>FIN-01095</x:v>
      </x:c>
      <x:c r="B2207" s="32" t="n">
        <x:v>2</x:v>
      </x:c>
      <x:c r="C2207" s="23" t="n">
        <x:v>46407</x:v>
      </x:c>
      <x:c r="D2207" s="23" t="n">
        <x:v>46407</x:v>
      </x:c>
      <x:c r="E2207" s="20" t="str">
        <x:v>P014</x:v>
      </x:c>
      <x:c r="F2207" s="20" t="str"/>
      <x:c r="G2207" s="20" t="str"/>
      <x:c r="H2207" s="20" t="str">
        <x:v>5040 Mortgage Interest</x:v>
      </x:c>
      <x:c r="I2207" s="26" t="n">
        <x:v>792</x:v>
      </x:c>
      <x:c r="J2207" s="26" t="n">
        <x:v>0</x:v>
      </x:c>
      <x:c r="K2207" s="35" t="str">
        <x:v>LN014 scheduled payment</x:v>
      </x:c>
    </x:row>
    <x:row r="2208">
      <x:c r="A2208" s="20" t="str">
        <x:v>FIN-01095</x:v>
      </x:c>
      <x:c r="B2208" s="32" t="n">
        <x:v>3</x:v>
      </x:c>
      <x:c r="C2208" s="23" t="n">
        <x:v>46407</x:v>
      </x:c>
      <x:c r="D2208" s="23" t="n">
        <x:v>46407</x:v>
      </x:c>
      <x:c r="E2208" s="20" t="str">
        <x:v>P014</x:v>
      </x:c>
      <x:c r="F2208" s="20" t="str"/>
      <x:c r="G2208" s="20" t="str"/>
      <x:c r="H2208" s="20" t="str">
        <x:v>1000 Operating Cash</x:v>
      </x:c>
      <x:c r="I2208" s="26" t="n">
        <x:v>0</x:v>
      </x:c>
      <x:c r="J2208" s="26" t="n">
        <x:v>1366</x:v>
      </x:c>
      <x:c r="K2208" s="35" t="str">
        <x:v>LN014 scheduled payment</x:v>
      </x:c>
    </x:row>
    <x:row r="2209">
      <x:c r="A2209" s="20" t="str">
        <x:v>FIN-01096</x:v>
      </x:c>
      <x:c r="B2209" s="32" t="n">
        <x:v>1</x:v>
      </x:c>
      <x:c r="C2209" s="23" t="n">
        <x:v>46407</x:v>
      </x:c>
      <x:c r="D2209" s="23" t="n">
        <x:v>46407</x:v>
      </x:c>
      <x:c r="E2209" s="20" t="str">
        <x:v>P016</x:v>
      </x:c>
      <x:c r="F2209" s="20" t="str"/>
      <x:c r="G2209" s="20" t="str"/>
      <x:c r="H2209" s="20" t="str">
        <x:v>2200 Mortgage Loans Payable</x:v>
      </x:c>
      <x:c r="I2209" s="26" t="n">
        <x:v>596</x:v>
      </x:c>
      <x:c r="J2209" s="26" t="n">
        <x:v>0</x:v>
      </x:c>
      <x:c r="K2209" s="35" t="str">
        <x:v>LN016 scheduled payment</x:v>
      </x:c>
    </x:row>
    <x:row r="2210">
      <x:c r="A2210" s="20" t="str">
        <x:v>FIN-01096</x:v>
      </x:c>
      <x:c r="B2210" s="32" t="n">
        <x:v>2</x:v>
      </x:c>
      <x:c r="C2210" s="23" t="n">
        <x:v>46407</x:v>
      </x:c>
      <x:c r="D2210" s="23" t="n">
        <x:v>46407</x:v>
      </x:c>
      <x:c r="E2210" s="20" t="str">
        <x:v>P016</x:v>
      </x:c>
      <x:c r="F2210" s="20" t="str"/>
      <x:c r="G2210" s="20" t="str"/>
      <x:c r="H2210" s="20" t="str">
        <x:v>5040 Mortgage Interest</x:v>
      </x:c>
      <x:c r="I2210" s="26" t="n">
        <x:v>818</x:v>
      </x:c>
      <x:c r="J2210" s="26" t="n">
        <x:v>0</x:v>
      </x:c>
      <x:c r="K2210" s="35" t="str">
        <x:v>LN016 scheduled payment</x:v>
      </x:c>
    </x:row>
    <x:row r="2211">
      <x:c r="A2211" s="20" t="str">
        <x:v>FIN-01096</x:v>
      </x:c>
      <x:c r="B2211" s="32" t="n">
        <x:v>3</x:v>
      </x:c>
      <x:c r="C2211" s="23" t="n">
        <x:v>46407</x:v>
      </x:c>
      <x:c r="D2211" s="23" t="n">
        <x:v>46407</x:v>
      </x:c>
      <x:c r="E2211" s="20" t="str">
        <x:v>P016</x:v>
      </x:c>
      <x:c r="F2211" s="20" t="str"/>
      <x:c r="G2211" s="20" t="str"/>
      <x:c r="H2211" s="20" t="str">
        <x:v>1000 Operating Cash</x:v>
      </x:c>
      <x:c r="I2211" s="26" t="n">
        <x:v>0</x:v>
      </x:c>
      <x:c r="J2211" s="26" t="n">
        <x:v>1414</x:v>
      </x:c>
      <x:c r="K2211" s="35" t="str">
        <x:v>LN016 scheduled payment</x:v>
      </x:c>
    </x:row>
    <x:row r="2212">
      <x:c r="A2212" s="20" t="str">
        <x:v>FIN-01097</x:v>
      </x:c>
      <x:c r="B2212" s="32" t="n">
        <x:v>1</x:v>
      </x:c>
      <x:c r="C2212" s="23" t="n">
        <x:v>46407</x:v>
      </x:c>
      <x:c r="D2212" s="23" t="n">
        <x:v>46407</x:v>
      </x:c>
      <x:c r="E2212" s="20" t="str">
        <x:v>P017</x:v>
      </x:c>
      <x:c r="F2212" s="20" t="str"/>
      <x:c r="G2212" s="20" t="str"/>
      <x:c r="H2212" s="20" t="str">
        <x:v>2200 Mortgage Loans Payable</x:v>
      </x:c>
      <x:c r="I2212" s="26" t="n">
        <x:v>607</x:v>
      </x:c>
      <x:c r="J2212" s="26" t="n">
        <x:v>0</x:v>
      </x:c>
      <x:c r="K2212" s="35" t="str">
        <x:v>LN017 scheduled payment</x:v>
      </x:c>
    </x:row>
    <x:row r="2213">
      <x:c r="A2213" s="20" t="str">
        <x:v>FIN-01097</x:v>
      </x:c>
      <x:c r="B2213" s="32" t="n">
        <x:v>2</x:v>
      </x:c>
      <x:c r="C2213" s="23" t="n">
        <x:v>46407</x:v>
      </x:c>
      <x:c r="D2213" s="23" t="n">
        <x:v>46407</x:v>
      </x:c>
      <x:c r="E2213" s="20" t="str">
        <x:v>P017</x:v>
      </x:c>
      <x:c r="F2213" s="20" t="str"/>
      <x:c r="G2213" s="20" t="str"/>
      <x:c r="H2213" s="20" t="str">
        <x:v>5040 Mortgage Interest</x:v>
      </x:c>
      <x:c r="I2213" s="26" t="n">
        <x:v>831</x:v>
      </x:c>
      <x:c r="J2213" s="26" t="n">
        <x:v>0</x:v>
      </x:c>
      <x:c r="K2213" s="35" t="str">
        <x:v>LN017 scheduled payment</x:v>
      </x:c>
    </x:row>
    <x:row r="2214">
      <x:c r="A2214" s="20" t="str">
        <x:v>FIN-01097</x:v>
      </x:c>
      <x:c r="B2214" s="32" t="n">
        <x:v>3</x:v>
      </x:c>
      <x:c r="C2214" s="23" t="n">
        <x:v>46407</x:v>
      </x:c>
      <x:c r="D2214" s="23" t="n">
        <x:v>46407</x:v>
      </x:c>
      <x:c r="E2214" s="20" t="str">
        <x:v>P017</x:v>
      </x:c>
      <x:c r="F2214" s="20" t="str"/>
      <x:c r="G2214" s="20" t="str"/>
      <x:c r="H2214" s="20" t="str">
        <x:v>1000 Operating Cash</x:v>
      </x:c>
      <x:c r="I2214" s="26" t="n">
        <x:v>0</x:v>
      </x:c>
      <x:c r="J2214" s="26" t="n">
        <x:v>1438</x:v>
      </x:c>
      <x:c r="K2214" s="35" t="str">
        <x:v>LN017 scheduled payment</x:v>
      </x:c>
    </x:row>
    <x:row r="2215">
      <x:c r="A2215" s="20" t="str">
        <x:v>FIN-01098</x:v>
      </x:c>
      <x:c r="B2215" s="32" t="n">
        <x:v>1</x:v>
      </x:c>
      <x:c r="C2215" s="23" t="n">
        <x:v>46407</x:v>
      </x:c>
      <x:c r="D2215" s="23" t="n">
        <x:v>46407</x:v>
      </x:c>
      <x:c r="E2215" s="20" t="str">
        <x:v>P019</x:v>
      </x:c>
      <x:c r="F2215" s="20" t="str"/>
      <x:c r="G2215" s="20" t="str"/>
      <x:c r="H2215" s="20" t="str">
        <x:v>2200 Mortgage Loans Payable</x:v>
      </x:c>
      <x:c r="I2215" s="26" t="n">
        <x:v>629</x:v>
      </x:c>
      <x:c r="J2215" s="26" t="n">
        <x:v>0</x:v>
      </x:c>
      <x:c r="K2215" s="35" t="str">
        <x:v>LN019 scheduled payment</x:v>
      </x:c>
    </x:row>
    <x:row r="2216">
      <x:c r="A2216" s="20" t="str">
        <x:v>FIN-01098</x:v>
      </x:c>
      <x:c r="B2216" s="32" t="n">
        <x:v>2</x:v>
      </x:c>
      <x:c r="C2216" s="23" t="n">
        <x:v>46407</x:v>
      </x:c>
      <x:c r="D2216" s="23" t="n">
        <x:v>46407</x:v>
      </x:c>
      <x:c r="E2216" s="20" t="str">
        <x:v>P019</x:v>
      </x:c>
      <x:c r="F2216" s="20" t="str"/>
      <x:c r="G2216" s="20" t="str"/>
      <x:c r="H2216" s="20" t="str">
        <x:v>5040 Mortgage Interest</x:v>
      </x:c>
      <x:c r="I2216" s="26" t="n">
        <x:v>857</x:v>
      </x:c>
      <x:c r="J2216" s="26" t="n">
        <x:v>0</x:v>
      </x:c>
      <x:c r="K2216" s="35" t="str">
        <x:v>LN019 scheduled payment</x:v>
      </x:c>
    </x:row>
    <x:row r="2217">
      <x:c r="A2217" s="20" t="str">
        <x:v>FIN-01098</x:v>
      </x:c>
      <x:c r="B2217" s="32" t="n">
        <x:v>3</x:v>
      </x:c>
      <x:c r="C2217" s="23" t="n">
        <x:v>46407</x:v>
      </x:c>
      <x:c r="D2217" s="23" t="n">
        <x:v>46407</x:v>
      </x:c>
      <x:c r="E2217" s="20" t="str">
        <x:v>P019</x:v>
      </x:c>
      <x:c r="F2217" s="20" t="str"/>
      <x:c r="G2217" s="20" t="str"/>
      <x:c r="H2217" s="20" t="str">
        <x:v>1000 Operating Cash</x:v>
      </x:c>
      <x:c r="I2217" s="26" t="n">
        <x:v>0</x:v>
      </x:c>
      <x:c r="J2217" s="26" t="n">
        <x:v>1486</x:v>
      </x:c>
      <x:c r="K2217" s="35" t="str">
        <x:v>LN019 scheduled payment</x:v>
      </x:c>
    </x:row>
    <x:row r="2218">
      <x:c r="A2218" s="20" t="str">
        <x:v>FIN-01099</x:v>
      </x:c>
      <x:c r="B2218" s="32" t="n">
        <x:v>1</x:v>
      </x:c>
      <x:c r="C2218" s="23" t="n">
        <x:v>46407</x:v>
      </x:c>
      <x:c r="D2218" s="23" t="n">
        <x:v>46407</x:v>
      </x:c>
      <x:c r="E2218" s="20" t="str">
        <x:v>P020</x:v>
      </x:c>
      <x:c r="F2218" s="20" t="str"/>
      <x:c r="G2218" s="20" t="str"/>
      <x:c r="H2218" s="20" t="str">
        <x:v>2200 Mortgage Loans Payable</x:v>
      </x:c>
      <x:c r="I2218" s="26" t="n">
        <x:v>640</x:v>
      </x:c>
      <x:c r="J2218" s="26" t="n">
        <x:v>0</x:v>
      </x:c>
      <x:c r="K2218" s="35" t="str">
        <x:v>LN020 scheduled payment</x:v>
      </x:c>
    </x:row>
    <x:row r="2219">
      <x:c r="A2219" s="20" t="str">
        <x:v>FIN-01099</x:v>
      </x:c>
      <x:c r="B2219" s="32" t="n">
        <x:v>2</x:v>
      </x:c>
      <x:c r="C2219" s="23" t="n">
        <x:v>46407</x:v>
      </x:c>
      <x:c r="D2219" s="23" t="n">
        <x:v>46407</x:v>
      </x:c>
      <x:c r="E2219" s="20" t="str">
        <x:v>P020</x:v>
      </x:c>
      <x:c r="F2219" s="20" t="str"/>
      <x:c r="G2219" s="20" t="str"/>
      <x:c r="H2219" s="20" t="str">
        <x:v>5040 Mortgage Interest</x:v>
      </x:c>
      <x:c r="I2219" s="26" t="n">
        <x:v>870</x:v>
      </x:c>
      <x:c r="J2219" s="26" t="n">
        <x:v>0</x:v>
      </x:c>
      <x:c r="K2219" s="35" t="str">
        <x:v>LN020 scheduled payment</x:v>
      </x:c>
    </x:row>
    <x:row r="2220">
      <x:c r="A2220" s="20" t="str">
        <x:v>FIN-01099</x:v>
      </x:c>
      <x:c r="B2220" s="32" t="n">
        <x:v>3</x:v>
      </x:c>
      <x:c r="C2220" s="23" t="n">
        <x:v>46407</x:v>
      </x:c>
      <x:c r="D2220" s="23" t="n">
        <x:v>46407</x:v>
      </x:c>
      <x:c r="E2220" s="20" t="str">
        <x:v>P020</x:v>
      </x:c>
      <x:c r="F2220" s="20" t="str"/>
      <x:c r="G2220" s="20" t="str"/>
      <x:c r="H2220" s="20" t="str">
        <x:v>1000 Operating Cash</x:v>
      </x:c>
      <x:c r="I2220" s="26" t="n">
        <x:v>0</x:v>
      </x:c>
      <x:c r="J2220" s="26" t="n">
        <x:v>1510</x:v>
      </x:c>
      <x:c r="K2220" s="35" t="str">
        <x:v>LN020 scheduled payment</x:v>
      </x:c>
    </x:row>
    <x:row r="2221">
      <x:c r="A2221" s="20" t="str">
        <x:v>FIN-01100</x:v>
      </x:c>
      <x:c r="B2221" s="32" t="n">
        <x:v>1</x:v>
      </x:c>
      <x:c r="C2221" s="23" t="n">
        <x:v>46407</x:v>
      </x:c>
      <x:c r="D2221" s="23" t="n">
        <x:v>46407</x:v>
      </x:c>
      <x:c r="E2221" s="20" t="str">
        <x:v>P022</x:v>
      </x:c>
      <x:c r="F2221" s="20" t="str"/>
      <x:c r="G2221" s="20" t="str"/>
      <x:c r="H2221" s="20" t="str">
        <x:v>2200 Mortgage Loans Payable</x:v>
      </x:c>
      <x:c r="I2221" s="26" t="n">
        <x:v>662</x:v>
      </x:c>
      <x:c r="J2221" s="26" t="n">
        <x:v>0</x:v>
      </x:c>
      <x:c r="K2221" s="35" t="str">
        <x:v>LN022 scheduled payment</x:v>
      </x:c>
    </x:row>
    <x:row r="2222">
      <x:c r="A2222" s="20" t="str">
        <x:v>FIN-01100</x:v>
      </x:c>
      <x:c r="B2222" s="32" t="n">
        <x:v>2</x:v>
      </x:c>
      <x:c r="C2222" s="23" t="n">
        <x:v>46407</x:v>
      </x:c>
      <x:c r="D2222" s="23" t="n">
        <x:v>46407</x:v>
      </x:c>
      <x:c r="E2222" s="20" t="str">
        <x:v>P022</x:v>
      </x:c>
      <x:c r="F2222" s="20" t="str"/>
      <x:c r="G2222" s="20" t="str"/>
      <x:c r="H2222" s="20" t="str">
        <x:v>5040 Mortgage Interest</x:v>
      </x:c>
      <x:c r="I2222" s="26" t="n">
        <x:v>896</x:v>
      </x:c>
      <x:c r="J2222" s="26" t="n">
        <x:v>0</x:v>
      </x:c>
      <x:c r="K2222" s="35" t="str">
        <x:v>LN022 scheduled payment</x:v>
      </x:c>
    </x:row>
    <x:row r="2223">
      <x:c r="A2223" s="20" t="str">
        <x:v>FIN-01100</x:v>
      </x:c>
      <x:c r="B2223" s="32" t="n">
        <x:v>3</x:v>
      </x:c>
      <x:c r="C2223" s="23" t="n">
        <x:v>46407</x:v>
      </x:c>
      <x:c r="D2223" s="23" t="n">
        <x:v>46407</x:v>
      </x:c>
      <x:c r="E2223" s="20" t="str">
        <x:v>P022</x:v>
      </x:c>
      <x:c r="F2223" s="20" t="str"/>
      <x:c r="G2223" s="20" t="str"/>
      <x:c r="H2223" s="20" t="str">
        <x:v>1000 Operating Cash</x:v>
      </x:c>
      <x:c r="I2223" s="26" t="n">
        <x:v>0</x:v>
      </x:c>
      <x:c r="J2223" s="26" t="n">
        <x:v>1558</x:v>
      </x:c>
      <x:c r="K2223" s="35" t="str">
        <x:v>LN022 scheduled payment</x:v>
      </x:c>
    </x:row>
    <x:row r="2224">
      <x:c r="A2224" s="20" t="str">
        <x:v>FIN-01101</x:v>
      </x:c>
      <x:c r="B2224" s="32" t="n">
        <x:v>1</x:v>
      </x:c>
      <x:c r="C2224" s="23" t="n">
        <x:v>46407</x:v>
      </x:c>
      <x:c r="D2224" s="23" t="n">
        <x:v>46407</x:v>
      </x:c>
      <x:c r="E2224" s="20" t="str">
        <x:v>P023</x:v>
      </x:c>
      <x:c r="F2224" s="20" t="str"/>
      <x:c r="G2224" s="20" t="str"/>
      <x:c r="H2224" s="20" t="str">
        <x:v>2200 Mortgage Loans Payable</x:v>
      </x:c>
      <x:c r="I2224" s="26" t="n">
        <x:v>673</x:v>
      </x:c>
      <x:c r="J2224" s="26" t="n">
        <x:v>0</x:v>
      </x:c>
      <x:c r="K2224" s="35" t="str">
        <x:v>LN023 scheduled payment</x:v>
      </x:c>
    </x:row>
    <x:row r="2225">
      <x:c r="A2225" s="20" t="str">
        <x:v>FIN-01101</x:v>
      </x:c>
      <x:c r="B2225" s="32" t="n">
        <x:v>2</x:v>
      </x:c>
      <x:c r="C2225" s="23" t="n">
        <x:v>46407</x:v>
      </x:c>
      <x:c r="D2225" s="23" t="n">
        <x:v>46407</x:v>
      </x:c>
      <x:c r="E2225" s="20" t="str">
        <x:v>P023</x:v>
      </x:c>
      <x:c r="F2225" s="20" t="str"/>
      <x:c r="G2225" s="20" t="str"/>
      <x:c r="H2225" s="20" t="str">
        <x:v>5040 Mortgage Interest</x:v>
      </x:c>
      <x:c r="I2225" s="26" t="n">
        <x:v>909</x:v>
      </x:c>
      <x:c r="J2225" s="26" t="n">
        <x:v>0</x:v>
      </x:c>
      <x:c r="K2225" s="35" t="str">
        <x:v>LN023 scheduled payment</x:v>
      </x:c>
    </x:row>
    <x:row r="2226">
      <x:c r="A2226" s="20" t="str">
        <x:v>FIN-01101</x:v>
      </x:c>
      <x:c r="B2226" s="32" t="n">
        <x:v>3</x:v>
      </x:c>
      <x:c r="C2226" s="23" t="n">
        <x:v>46407</x:v>
      </x:c>
      <x:c r="D2226" s="23" t="n">
        <x:v>46407</x:v>
      </x:c>
      <x:c r="E2226" s="20" t="str">
        <x:v>P023</x:v>
      </x:c>
      <x:c r="F2226" s="20" t="str"/>
      <x:c r="G2226" s="20" t="str"/>
      <x:c r="H2226" s="20" t="str">
        <x:v>1000 Operating Cash</x:v>
      </x:c>
      <x:c r="I2226" s="26" t="n">
        <x:v>0</x:v>
      </x:c>
      <x:c r="J2226" s="26" t="n">
        <x:v>1582</x:v>
      </x:c>
      <x:c r="K2226" s="35" t="str">
        <x:v>LN023 scheduled payment</x:v>
      </x:c>
    </x:row>
    <x:row r="2227">
      <x:c r="A2227" s="20" t="str">
        <x:v>FIN-01102</x:v>
      </x:c>
      <x:c r="B2227" s="32" t="n">
        <x:v>1</x:v>
      </x:c>
      <x:c r="C2227" s="23" t="n">
        <x:v>46407</x:v>
      </x:c>
      <x:c r="D2227" s="23" t="n">
        <x:v>46407</x:v>
      </x:c>
      <x:c r="E2227" s="20" t="str">
        <x:v>P025</x:v>
      </x:c>
      <x:c r="F2227" s="20" t="str"/>
      <x:c r="G2227" s="20" t="str"/>
      <x:c r="H2227" s="20" t="str">
        <x:v>2200 Mortgage Loans Payable</x:v>
      </x:c>
      <x:c r="I2227" s="26" t="n">
        <x:v>695</x:v>
      </x:c>
      <x:c r="J2227" s="26" t="n">
        <x:v>0</x:v>
      </x:c>
      <x:c r="K2227" s="35" t="str">
        <x:v>LN025 scheduled payment</x:v>
      </x:c>
    </x:row>
    <x:row r="2228">
      <x:c r="A2228" s="20" t="str">
        <x:v>FIN-01102</x:v>
      </x:c>
      <x:c r="B2228" s="32" t="n">
        <x:v>2</x:v>
      </x:c>
      <x:c r="C2228" s="23" t="n">
        <x:v>46407</x:v>
      </x:c>
      <x:c r="D2228" s="23" t="n">
        <x:v>46407</x:v>
      </x:c>
      <x:c r="E2228" s="20" t="str">
        <x:v>P025</x:v>
      </x:c>
      <x:c r="F2228" s="20" t="str"/>
      <x:c r="G2228" s="20" t="str"/>
      <x:c r="H2228" s="20" t="str">
        <x:v>5040 Mortgage Interest</x:v>
      </x:c>
      <x:c r="I2228" s="26" t="n">
        <x:v>935</x:v>
      </x:c>
      <x:c r="J2228" s="26" t="n">
        <x:v>0</x:v>
      </x:c>
      <x:c r="K2228" s="35" t="str">
        <x:v>LN025 scheduled payment</x:v>
      </x:c>
    </x:row>
    <x:row r="2229">
      <x:c r="A2229" s="20" t="str">
        <x:v>FIN-01102</x:v>
      </x:c>
      <x:c r="B2229" s="32" t="n">
        <x:v>3</x:v>
      </x:c>
      <x:c r="C2229" s="23" t="n">
        <x:v>46407</x:v>
      </x:c>
      <x:c r="D2229" s="23" t="n">
        <x:v>46407</x:v>
      </x:c>
      <x:c r="E2229" s="20" t="str">
        <x:v>P025</x:v>
      </x:c>
      <x:c r="F2229" s="20" t="str"/>
      <x:c r="G2229" s="20" t="str"/>
      <x:c r="H2229" s="20" t="str">
        <x:v>1000 Operating Cash</x:v>
      </x:c>
      <x:c r="I2229" s="26" t="n">
        <x:v>0</x:v>
      </x:c>
      <x:c r="J2229" s="26" t="n">
        <x:v>1630</x:v>
      </x:c>
      <x:c r="K2229" s="35" t="str">
        <x:v>LN025 scheduled payment</x:v>
      </x:c>
    </x:row>
    <x:row r="2230">
      <x:c r="A2230" s="20" t="str">
        <x:v>FIN-01103</x:v>
      </x:c>
      <x:c r="B2230" s="32" t="n">
        <x:v>1</x:v>
      </x:c>
      <x:c r="C2230" s="23" t="n">
        <x:v>46407</x:v>
      </x:c>
      <x:c r="D2230" s="23" t="n">
        <x:v>46407</x:v>
      </x:c>
      <x:c r="E2230" s="20" t="str">
        <x:v>P026</x:v>
      </x:c>
      <x:c r="F2230" s="20" t="str"/>
      <x:c r="G2230" s="20" t="str"/>
      <x:c r="H2230" s="20" t="str">
        <x:v>2200 Mortgage Loans Payable</x:v>
      </x:c>
      <x:c r="I2230" s="26" t="n">
        <x:v>706</x:v>
      </x:c>
      <x:c r="J2230" s="26" t="n">
        <x:v>0</x:v>
      </x:c>
      <x:c r="K2230" s="35" t="str">
        <x:v>LN026 scheduled payment</x:v>
      </x:c>
    </x:row>
    <x:row r="2231">
      <x:c r="A2231" s="20" t="str">
        <x:v>FIN-01103</x:v>
      </x:c>
      <x:c r="B2231" s="32" t="n">
        <x:v>2</x:v>
      </x:c>
      <x:c r="C2231" s="23" t="n">
        <x:v>46407</x:v>
      </x:c>
      <x:c r="D2231" s="23" t="n">
        <x:v>46407</x:v>
      </x:c>
      <x:c r="E2231" s="20" t="str">
        <x:v>P026</x:v>
      </x:c>
      <x:c r="F2231" s="20" t="str"/>
      <x:c r="G2231" s="20" t="str"/>
      <x:c r="H2231" s="20" t="str">
        <x:v>5040 Mortgage Interest</x:v>
      </x:c>
      <x:c r="I2231" s="26" t="n">
        <x:v>948</x:v>
      </x:c>
      <x:c r="J2231" s="26" t="n">
        <x:v>0</x:v>
      </x:c>
      <x:c r="K2231" s="35" t="str">
        <x:v>LN026 scheduled payment</x:v>
      </x:c>
    </x:row>
    <x:row r="2232">
      <x:c r="A2232" s="20" t="str">
        <x:v>FIN-01103</x:v>
      </x:c>
      <x:c r="B2232" s="32" t="n">
        <x:v>3</x:v>
      </x:c>
      <x:c r="C2232" s="23" t="n">
        <x:v>46407</x:v>
      </x:c>
      <x:c r="D2232" s="23" t="n">
        <x:v>46407</x:v>
      </x:c>
      <x:c r="E2232" s="20" t="str">
        <x:v>P026</x:v>
      </x:c>
      <x:c r="F2232" s="20" t="str"/>
      <x:c r="G2232" s="20" t="str"/>
      <x:c r="H2232" s="20" t="str">
        <x:v>1000 Operating Cash</x:v>
      </x:c>
      <x:c r="I2232" s="26" t="n">
        <x:v>0</x:v>
      </x:c>
      <x:c r="J2232" s="26" t="n">
        <x:v>1654</x:v>
      </x:c>
      <x:c r="K2232" s="35" t="str">
        <x:v>LN026 scheduled payment</x:v>
      </x:c>
    </x:row>
    <x:row r="2233">
      <x:c r="A2233" s="20" t="str">
        <x:v>FIN-01104</x:v>
      </x:c>
      <x:c r="B2233" s="32" t="n">
        <x:v>1</x:v>
      </x:c>
      <x:c r="C2233" s="23" t="n">
        <x:v>46407</x:v>
      </x:c>
      <x:c r="D2233" s="23" t="n">
        <x:v>46407</x:v>
      </x:c>
      <x:c r="E2233" s="20" t="str">
        <x:v>P028</x:v>
      </x:c>
      <x:c r="F2233" s="20" t="str"/>
      <x:c r="G2233" s="20" t="str"/>
      <x:c r="H2233" s="20" t="str">
        <x:v>2200 Mortgage Loans Payable</x:v>
      </x:c>
      <x:c r="I2233" s="26" t="n">
        <x:v>728</x:v>
      </x:c>
      <x:c r="J2233" s="26" t="n">
        <x:v>0</x:v>
      </x:c>
      <x:c r="K2233" s="35" t="str">
        <x:v>LN028 scheduled payment</x:v>
      </x:c>
    </x:row>
    <x:row r="2234">
      <x:c r="A2234" s="20" t="str">
        <x:v>FIN-01104</x:v>
      </x:c>
      <x:c r="B2234" s="32" t="n">
        <x:v>2</x:v>
      </x:c>
      <x:c r="C2234" s="23" t="n">
        <x:v>46407</x:v>
      </x:c>
      <x:c r="D2234" s="23" t="n">
        <x:v>46407</x:v>
      </x:c>
      <x:c r="E2234" s="20" t="str">
        <x:v>P028</x:v>
      </x:c>
      <x:c r="F2234" s="20" t="str"/>
      <x:c r="G2234" s="20" t="str"/>
      <x:c r="H2234" s="20" t="str">
        <x:v>5040 Mortgage Interest</x:v>
      </x:c>
      <x:c r="I2234" s="26" t="n">
        <x:v>974</x:v>
      </x:c>
      <x:c r="J2234" s="26" t="n">
        <x:v>0</x:v>
      </x:c>
      <x:c r="K2234" s="35" t="str">
        <x:v>LN028 scheduled payment</x:v>
      </x:c>
    </x:row>
    <x:row r="2235">
      <x:c r="A2235" s="20" t="str">
        <x:v>FIN-01104</x:v>
      </x:c>
      <x:c r="B2235" s="32" t="n">
        <x:v>3</x:v>
      </x:c>
      <x:c r="C2235" s="23" t="n">
        <x:v>46407</x:v>
      </x:c>
      <x:c r="D2235" s="23" t="n">
        <x:v>46407</x:v>
      </x:c>
      <x:c r="E2235" s="20" t="str">
        <x:v>P028</x:v>
      </x:c>
      <x:c r="F2235" s="20" t="str"/>
      <x:c r="G2235" s="20" t="str"/>
      <x:c r="H2235" s="20" t="str">
        <x:v>1000 Operating Cash</x:v>
      </x:c>
      <x:c r="I2235" s="26" t="n">
        <x:v>0</x:v>
      </x:c>
      <x:c r="J2235" s="26" t="n">
        <x:v>1702</x:v>
      </x:c>
      <x:c r="K2235" s="35" t="str">
        <x:v>LN028 scheduled payment</x:v>
      </x:c>
    </x:row>
    <x:row r="2236">
      <x:c r="A2236" s="20" t="str">
        <x:v>FIN-01105</x:v>
      </x:c>
      <x:c r="B2236" s="32" t="n">
        <x:v>1</x:v>
      </x:c>
      <x:c r="C2236" s="23" t="n">
        <x:v>46407</x:v>
      </x:c>
      <x:c r="D2236" s="23" t="n">
        <x:v>46407</x:v>
      </x:c>
      <x:c r="E2236" s="20" t="str">
        <x:v>P029</x:v>
      </x:c>
      <x:c r="F2236" s="20" t="str"/>
      <x:c r="G2236" s="20" t="str"/>
      <x:c r="H2236" s="20" t="str">
        <x:v>2200 Mortgage Loans Payable</x:v>
      </x:c>
      <x:c r="I2236" s="26" t="n">
        <x:v>739</x:v>
      </x:c>
      <x:c r="J2236" s="26" t="n">
        <x:v>0</x:v>
      </x:c>
      <x:c r="K2236" s="35" t="str">
        <x:v>LN029 scheduled payment</x:v>
      </x:c>
    </x:row>
    <x:row r="2237">
      <x:c r="A2237" s="20" t="str">
        <x:v>FIN-01105</x:v>
      </x:c>
      <x:c r="B2237" s="32" t="n">
        <x:v>2</x:v>
      </x:c>
      <x:c r="C2237" s="23" t="n">
        <x:v>46407</x:v>
      </x:c>
      <x:c r="D2237" s="23" t="n">
        <x:v>46407</x:v>
      </x:c>
      <x:c r="E2237" s="20" t="str">
        <x:v>P029</x:v>
      </x:c>
      <x:c r="F2237" s="20" t="str"/>
      <x:c r="G2237" s="20" t="str"/>
      <x:c r="H2237" s="20" t="str">
        <x:v>5040 Mortgage Interest</x:v>
      </x:c>
      <x:c r="I2237" s="26" t="n">
        <x:v>987</x:v>
      </x:c>
      <x:c r="J2237" s="26" t="n">
        <x:v>0</x:v>
      </x:c>
      <x:c r="K2237" s="35" t="str">
        <x:v>LN029 scheduled payment</x:v>
      </x:c>
    </x:row>
    <x:row r="2238">
      <x:c r="A2238" s="20" t="str">
        <x:v>FIN-01105</x:v>
      </x:c>
      <x:c r="B2238" s="32" t="n">
        <x:v>3</x:v>
      </x:c>
      <x:c r="C2238" s="23" t="n">
        <x:v>46407</x:v>
      </x:c>
      <x:c r="D2238" s="23" t="n">
        <x:v>46407</x:v>
      </x:c>
      <x:c r="E2238" s="20" t="str">
        <x:v>P029</x:v>
      </x:c>
      <x:c r="F2238" s="20" t="str"/>
      <x:c r="G2238" s="20" t="str"/>
      <x:c r="H2238" s="20" t="str">
        <x:v>1000 Operating Cash</x:v>
      </x:c>
      <x:c r="I2238" s="26" t="n">
        <x:v>0</x:v>
      </x:c>
      <x:c r="J2238" s="26" t="n">
        <x:v>1726</x:v>
      </x:c>
      <x:c r="K2238" s="35" t="str">
        <x:v>LN029 scheduled payment</x:v>
      </x:c>
    </x:row>
    <x:row r="2239">
      <x:c r="A2239" s="20" t="str">
        <x:v>FIN-01106</x:v>
      </x:c>
      <x:c r="B2239" s="32" t="n">
        <x:v>1</x:v>
      </x:c>
      <x:c r="C2239" s="23" t="n">
        <x:v>46412</x:v>
      </x:c>
      <x:c r="D2239" s="23" t="n">
        <x:v>46412</x:v>
      </x:c>
      <x:c r="E2239" s="20" t="str"/>
      <x:c r="F2239" s="20" t="str"/>
      <x:c r="G2239" s="20" t="str"/>
      <x:c r="H2239" s="20" t="str">
        <x:v>3100 Owner Distributions</x:v>
      </x:c>
      <x:c r="I2239" s="26" t="n">
        <x:v>3050</x:v>
      </x:c>
      <x:c r="J2239" s="26" t="n">
        <x:v>0</x:v>
      </x:c>
      <x:c r="K2239" s="35" t="str">
        <x:v>Monthly distribution to Blue Door Residential LLC</x:v>
      </x:c>
    </x:row>
    <x:row r="2240">
      <x:c r="A2240" s="20" t="str">
        <x:v>FIN-01106</x:v>
      </x:c>
      <x:c r="B2240" s="32" t="n">
        <x:v>2</x:v>
      </x:c>
      <x:c r="C2240" s="23" t="n">
        <x:v>46412</x:v>
      </x:c>
      <x:c r="D2240" s="23" t="n">
        <x:v>46412</x:v>
      </x:c>
      <x:c r="E2240" s="20" t="str"/>
      <x:c r="F2240" s="20" t="str"/>
      <x:c r="G2240" s="20" t="str"/>
      <x:c r="H2240" s="20" t="str">
        <x:v>1000 Operating Cash</x:v>
      </x:c>
      <x:c r="I2240" s="26" t="n">
        <x:v>0</x:v>
      </x:c>
      <x:c r="J2240" s="26" t="n">
        <x:v>3050</x:v>
      </x:c>
      <x:c r="K2240" s="35" t="str">
        <x:v>Monthly distribution to Blue Door Residential LLC</x:v>
      </x:c>
    </x:row>
    <x:row r="2241">
      <x:c r="A2241" s="20" t="str">
        <x:v>FIN-01107</x:v>
      </x:c>
      <x:c r="B2241" s="32" t="n">
        <x:v>1</x:v>
      </x:c>
      <x:c r="C2241" s="23" t="n">
        <x:v>46412</x:v>
      </x:c>
      <x:c r="D2241" s="23" t="n">
        <x:v>46412</x:v>
      </x:c>
      <x:c r="E2241" s="20" t="str"/>
      <x:c r="F2241" s="20" t="str"/>
      <x:c r="G2241" s="20" t="str"/>
      <x:c r="H2241" s="20" t="str">
        <x:v>3100 Owner Distributions</x:v>
      </x:c>
      <x:c r="I2241" s="26" t="n">
        <x:v>3400</x:v>
      </x:c>
      <x:c r="J2241" s="26" t="n">
        <x:v>0</x:v>
      </x:c>
      <x:c r="K2241" s="35" t="str">
        <x:v>Monthly distribution to Coble Family Rentals LLC</x:v>
      </x:c>
    </x:row>
    <x:row r="2242">
      <x:c r="A2242" s="20" t="str">
        <x:v>FIN-01107</x:v>
      </x:c>
      <x:c r="B2242" s="32" t="n">
        <x:v>2</x:v>
      </x:c>
      <x:c r="C2242" s="23" t="n">
        <x:v>46412</x:v>
      </x:c>
      <x:c r="D2242" s="23" t="n">
        <x:v>46412</x:v>
      </x:c>
      <x:c r="E2242" s="20" t="str"/>
      <x:c r="F2242" s="20" t="str"/>
      <x:c r="G2242" s="20" t="str"/>
      <x:c r="H2242" s="20" t="str">
        <x:v>1000 Operating Cash</x:v>
      </x:c>
      <x:c r="I2242" s="26" t="n">
        <x:v>0</x:v>
      </x:c>
      <x:c r="J2242" s="26" t="n">
        <x:v>3400</x:v>
      </x:c>
      <x:c r="K2242" s="35" t="str">
        <x:v>Monthly distribution to Coble Family Rentals LLC</x:v>
      </x:c>
    </x:row>
    <x:row r="2243">
      <x:c r="A2243" s="20" t="str">
        <x:v>FIN-01108</x:v>
      </x:c>
      <x:c r="B2243" s="32" t="n">
        <x:v>1</x:v>
      </x:c>
      <x:c r="C2243" s="23" t="n">
        <x:v>46412</x:v>
      </x:c>
      <x:c r="D2243" s="23" t="n">
        <x:v>46412</x:v>
      </x:c>
      <x:c r="E2243" s="20" t="str"/>
      <x:c r="F2243" s="20" t="str"/>
      <x:c r="G2243" s="20" t="str"/>
      <x:c r="H2243" s="20" t="str">
        <x:v>3100 Owner Distributions</x:v>
      </x:c>
      <x:c r="I2243" s="26" t="n">
        <x:v>3750</x:v>
      </x:c>
      <x:c r="J2243" s="26" t="n">
        <x:v>0</x:v>
      </x:c>
      <x:c r="K2243" s="35" t="str">
        <x:v>Monthly distribution to Northstar Property Partners LLC</x:v>
      </x:c>
    </x:row>
    <x:row r="2244">
      <x:c r="A2244" s="20" t="str">
        <x:v>FIN-01108</x:v>
      </x:c>
      <x:c r="B2244" s="32" t="n">
        <x:v>2</x:v>
      </x:c>
      <x:c r="C2244" s="23" t="n">
        <x:v>46412</x:v>
      </x:c>
      <x:c r="D2244" s="23" t="n">
        <x:v>46412</x:v>
      </x:c>
      <x:c r="E2244" s="20" t="str"/>
      <x:c r="F2244" s="20" t="str"/>
      <x:c r="G2244" s="20" t="str"/>
      <x:c r="H2244" s="20" t="str">
        <x:v>1000 Operating Cash</x:v>
      </x:c>
      <x:c r="I2244" s="26" t="n">
        <x:v>0</x:v>
      </x:c>
      <x:c r="J2244" s="26" t="n">
        <x:v>3750</x:v>
      </x:c>
      <x:c r="K2244" s="35" t="str">
        <x:v>Monthly distribution to Northstar Property Partners LLC</x:v>
      </x:c>
    </x:row>
    <x:row r="2245">
      <x:c r="A2245" s="20" t="str">
        <x:v>FIN-01109</x:v>
      </x:c>
      <x:c r="B2245" s="32" t="n">
        <x:v>1</x:v>
      </x:c>
      <x:c r="C2245" s="23" t="n">
        <x:v>46412</x:v>
      </x:c>
      <x:c r="D2245" s="23" t="n">
        <x:v>46412</x:v>
      </x:c>
      <x:c r="E2245" s="20" t="str"/>
      <x:c r="F2245" s="20" t="str"/>
      <x:c r="G2245" s="20" t="str"/>
      <x:c r="H2245" s="20" t="str">
        <x:v>3100 Owner Distributions</x:v>
      </x:c>
      <x:c r="I2245" s="26" t="n">
        <x:v>4100</x:v>
      </x:c>
      <x:c r="J2245" s="26" t="n">
        <x:v>0</x:v>
      </x:c>
      <x:c r="K2245" s="35" t="str">
        <x:v>Monthly distribution to Riverbend Homes LLC</x:v>
      </x:c>
    </x:row>
    <x:row r="2246">
      <x:c r="A2246" s="20" t="str">
        <x:v>FIN-01109</x:v>
      </x:c>
      <x:c r="B2246" s="32" t="n">
        <x:v>2</x:v>
      </x:c>
      <x:c r="C2246" s="23" t="n">
        <x:v>46412</x:v>
      </x:c>
      <x:c r="D2246" s="23" t="n">
        <x:v>46412</x:v>
      </x:c>
      <x:c r="E2246" s="20" t="str"/>
      <x:c r="F2246" s="20" t="str"/>
      <x:c r="G2246" s="20" t="str"/>
      <x:c r="H2246" s="20" t="str">
        <x:v>1000 Operating Cash</x:v>
      </x:c>
      <x:c r="I2246" s="26" t="n">
        <x:v>0</x:v>
      </x:c>
      <x:c r="J2246" s="26" t="n">
        <x:v>4100</x:v>
      </x:c>
      <x:c r="K2246" s="35" t="str">
        <x:v>Monthly distribution to Riverbend Homes LLC</x:v>
      </x:c>
    </x:row>
    <x:row r="2247">
      <x:c r="A2247" s="20" t="str">
        <x:v>FIN-01110</x:v>
      </x:c>
      <x:c r="B2247" s="32" t="n">
        <x:v>1</x:v>
      </x:c>
      <x:c r="C2247" s="23" t="n">
        <x:v>46412</x:v>
      </x:c>
      <x:c r="D2247" s="23" t="n">
        <x:v>46412</x:v>
      </x:c>
      <x:c r="E2247" s="20" t="str"/>
      <x:c r="F2247" s="20" t="str"/>
      <x:c r="G2247" s="20" t="str"/>
      <x:c r="H2247" s="20" t="str">
        <x:v>3100 Owner Distributions</x:v>
      </x:c>
      <x:c r="I2247" s="26" t="n">
        <x:v>4450</x:v>
      </x:c>
      <x:c r="J2247" s="26" t="n">
        <x:v>0</x:v>
      </x:c>
      <x:c r="K2247" s="35" t="str">
        <x:v>Monthly distribution to Juniper Street Holdings LLC</x:v>
      </x:c>
    </x:row>
    <x:row r="2248">
      <x:c r="A2248" s="20" t="str">
        <x:v>FIN-01110</x:v>
      </x:c>
      <x:c r="B2248" s="32" t="n">
        <x:v>2</x:v>
      </x:c>
      <x:c r="C2248" s="23" t="n">
        <x:v>46412</x:v>
      </x:c>
      <x:c r="D2248" s="23" t="n">
        <x:v>46412</x:v>
      </x:c>
      <x:c r="E2248" s="20" t="str"/>
      <x:c r="F2248" s="20" t="str"/>
      <x:c r="G2248" s="20" t="str"/>
      <x:c r="H2248" s="20" t="str">
        <x:v>1000 Operating Cash</x:v>
      </x:c>
      <x:c r="I2248" s="26" t="n">
        <x:v>0</x:v>
      </x:c>
      <x:c r="J2248" s="26" t="n">
        <x:v>4450</x:v>
      </x:c>
      <x:c r="K2248" s="35" t="str">
        <x:v>Monthly distribution to Juniper Street Holdings LLC</x:v>
      </x:c>
    </x:row>
    <x:row r="2249">
      <x:c r="A2249" s="20" t="str">
        <x:v>FIN-01111</x:v>
      </x:c>
      <x:c r="B2249" s="32" t="n">
        <x:v>1</x:v>
      </x:c>
      <x:c r="C2249" s="23" t="n">
        <x:v>46433</x:v>
      </x:c>
      <x:c r="D2249" s="23" t="n">
        <x:v>46433</x:v>
      </x:c>
      <x:c r="E2249" s="20" t="str">
        <x:v>P021</x:v>
      </x:c>
      <x:c r="F2249" s="20" t="str"/>
      <x:c r="G2249" s="20" t="str"/>
      <x:c r="H2249" s="20" t="str">
        <x:v>5010 Utilities</x:v>
      </x:c>
      <x:c r="I2249" s="26" t="n">
        <x:v>147</x:v>
      </x:c>
      <x:c r="J2249" s="26" t="n">
        <x:v>0</x:v>
      </x:c>
      <x:c r="K2249" s="35" t="str">
        <x:v>City Water &amp; Sewer</x:v>
      </x:c>
    </x:row>
    <x:row r="2250">
      <x:c r="A2250" s="20" t="str">
        <x:v>FIN-01111</x:v>
      </x:c>
      <x:c r="B2250" s="32" t="n">
        <x:v>2</x:v>
      </x:c>
      <x:c r="C2250" s="23" t="n">
        <x:v>46433</x:v>
      </x:c>
      <x:c r="D2250" s="23" t="n">
        <x:v>46433</x:v>
      </x:c>
      <x:c r="E2250" s="20" t="str">
        <x:v>P021</x:v>
      </x:c>
      <x:c r="F2250" s="20" t="str"/>
      <x:c r="G2250" s="20" t="str"/>
      <x:c r="H2250" s="20" t="str">
        <x:v>1000 Operating Cash</x:v>
      </x:c>
      <x:c r="I2250" s="26" t="n">
        <x:v>0</x:v>
      </x:c>
      <x:c r="J2250" s="26" t="n">
        <x:v>147</x:v>
      </x:c>
      <x:c r="K2250" s="35" t="str">
        <x:v>City Water &amp; Sewer</x:v>
      </x:c>
    </x:row>
    <x:row r="2251">
      <x:c r="A2251" s="20" t="str">
        <x:v>FIN-01112</x:v>
      </x:c>
      <x:c r="B2251" s="32" t="n">
        <x:v>1</x:v>
      </x:c>
      <x:c r="C2251" s="23" t="n">
        <x:v>46433</x:v>
      </x:c>
      <x:c r="D2251" s="23" t="n">
        <x:v>46433</x:v>
      </x:c>
      <x:c r="E2251" s="20" t="str">
        <x:v>P022</x:v>
      </x:c>
      <x:c r="F2251" s="20" t="str"/>
      <x:c r="G2251" s="20" t="str"/>
      <x:c r="H2251" s="20" t="str">
        <x:v>5010 Utilities</x:v>
      </x:c>
      <x:c r="I2251" s="26" t="n">
        <x:v>154</x:v>
      </x:c>
      <x:c r="J2251" s="26" t="n">
        <x:v>0</x:v>
      </x:c>
      <x:c r="K2251" s="35" t="str">
        <x:v>City Water &amp; Sewer</x:v>
      </x:c>
    </x:row>
    <x:row r="2252">
      <x:c r="A2252" s="20" t="str">
        <x:v>FIN-01112</x:v>
      </x:c>
      <x:c r="B2252" s="32" t="n">
        <x:v>2</x:v>
      </x:c>
      <x:c r="C2252" s="23" t="n">
        <x:v>46433</x:v>
      </x:c>
      <x:c r="D2252" s="23" t="n">
        <x:v>46433</x:v>
      </x:c>
      <x:c r="E2252" s="20" t="str">
        <x:v>P022</x:v>
      </x:c>
      <x:c r="F2252" s="20" t="str"/>
      <x:c r="G2252" s="20" t="str"/>
      <x:c r="H2252" s="20" t="str">
        <x:v>1000 Operating Cash</x:v>
      </x:c>
      <x:c r="I2252" s="26" t="n">
        <x:v>0</x:v>
      </x:c>
      <x:c r="J2252" s="26" t="n">
        <x:v>154</x:v>
      </x:c>
      <x:c r="K2252" s="35" t="str">
        <x:v>City Water &amp; Sewer</x:v>
      </x:c>
    </x:row>
    <x:row r="2253">
      <x:c r="A2253" s="20" t="str">
        <x:v>FIN-01113</x:v>
      </x:c>
      <x:c r="B2253" s="32" t="n">
        <x:v>1</x:v>
      </x:c>
      <x:c r="C2253" s="23" t="n">
        <x:v>46433</x:v>
      </x:c>
      <x:c r="D2253" s="23" t="n">
        <x:v>46433</x:v>
      </x:c>
      <x:c r="E2253" s="20" t="str">
        <x:v>P023</x:v>
      </x:c>
      <x:c r="F2253" s="20" t="str"/>
      <x:c r="G2253" s="20" t="str"/>
      <x:c r="H2253" s="20" t="str">
        <x:v>5010 Utilities</x:v>
      </x:c>
      <x:c r="I2253" s="26" t="n">
        <x:v>161</x:v>
      </x:c>
      <x:c r="J2253" s="26" t="n">
        <x:v>0</x:v>
      </x:c>
      <x:c r="K2253" s="35" t="str">
        <x:v>City Water &amp; Sewer</x:v>
      </x:c>
    </x:row>
    <x:row r="2254">
      <x:c r="A2254" s="20" t="str">
        <x:v>FIN-01113</x:v>
      </x:c>
      <x:c r="B2254" s="32" t="n">
        <x:v>2</x:v>
      </x:c>
      <x:c r="C2254" s="23" t="n">
        <x:v>46433</x:v>
      </x:c>
      <x:c r="D2254" s="23" t="n">
        <x:v>46433</x:v>
      </x:c>
      <x:c r="E2254" s="20" t="str">
        <x:v>P023</x:v>
      </x:c>
      <x:c r="F2254" s="20" t="str"/>
      <x:c r="G2254" s="20" t="str"/>
      <x:c r="H2254" s="20" t="str">
        <x:v>1000 Operating Cash</x:v>
      </x:c>
      <x:c r="I2254" s="26" t="n">
        <x:v>0</x:v>
      </x:c>
      <x:c r="J2254" s="26" t="n">
        <x:v>161</x:v>
      </x:c>
      <x:c r="K2254" s="35" t="str">
        <x:v>City Water &amp; Sewer</x:v>
      </x:c>
    </x:row>
    <x:row r="2255">
      <x:c r="A2255" s="20" t="str">
        <x:v>FIN-01114</x:v>
      </x:c>
      <x:c r="B2255" s="32" t="n">
        <x:v>1</x:v>
      </x:c>
      <x:c r="C2255" s="23" t="n">
        <x:v>46433</x:v>
      </x:c>
      <x:c r="D2255" s="23" t="n">
        <x:v>46433</x:v>
      </x:c>
      <x:c r="E2255" s="20" t="str">
        <x:v>P024</x:v>
      </x:c>
      <x:c r="F2255" s="20" t="str"/>
      <x:c r="G2255" s="20" t="str"/>
      <x:c r="H2255" s="20" t="str">
        <x:v>5010 Utilities</x:v>
      </x:c>
      <x:c r="I2255" s="26" t="n">
        <x:v>168</x:v>
      </x:c>
      <x:c r="J2255" s="26" t="n">
        <x:v>0</x:v>
      </x:c>
      <x:c r="K2255" s="35" t="str">
        <x:v>City Water &amp; Sewer</x:v>
      </x:c>
    </x:row>
    <x:row r="2256">
      <x:c r="A2256" s="20" t="str">
        <x:v>FIN-01114</x:v>
      </x:c>
      <x:c r="B2256" s="32" t="n">
        <x:v>2</x:v>
      </x:c>
      <x:c r="C2256" s="23" t="n">
        <x:v>46433</x:v>
      </x:c>
      <x:c r="D2256" s="23" t="n">
        <x:v>46433</x:v>
      </x:c>
      <x:c r="E2256" s="20" t="str">
        <x:v>P024</x:v>
      </x:c>
      <x:c r="F2256" s="20" t="str"/>
      <x:c r="G2256" s="20" t="str"/>
      <x:c r="H2256" s="20" t="str">
        <x:v>1000 Operating Cash</x:v>
      </x:c>
      <x:c r="I2256" s="26" t="n">
        <x:v>0</x:v>
      </x:c>
      <x:c r="J2256" s="26" t="n">
        <x:v>168</x:v>
      </x:c>
      <x:c r="K2256" s="35" t="str">
        <x:v>City Water &amp; Sewer</x:v>
      </x:c>
    </x:row>
    <x:row r="2257">
      <x:c r="A2257" s="20" t="str">
        <x:v>FIN-01115</x:v>
      </x:c>
      <x:c r="B2257" s="32" t="n">
        <x:v>1</x:v>
      </x:c>
      <x:c r="C2257" s="23" t="n">
        <x:v>46433</x:v>
      </x:c>
      <x:c r="D2257" s="23" t="n">
        <x:v>46433</x:v>
      </x:c>
      <x:c r="E2257" s="20" t="str">
        <x:v>P025</x:v>
      </x:c>
      <x:c r="F2257" s="20" t="str"/>
      <x:c r="G2257" s="20" t="str"/>
      <x:c r="H2257" s="20" t="str">
        <x:v>5010 Utilities</x:v>
      </x:c>
      <x:c r="I2257" s="26" t="n">
        <x:v>175</x:v>
      </x:c>
      <x:c r="J2257" s="26" t="n">
        <x:v>0</x:v>
      </x:c>
      <x:c r="K2257" s="35" t="str">
        <x:v>City Water &amp; Sewer</x:v>
      </x:c>
    </x:row>
    <x:row r="2258">
      <x:c r="A2258" s="20" t="str">
        <x:v>FIN-01115</x:v>
      </x:c>
      <x:c r="B2258" s="32" t="n">
        <x:v>2</x:v>
      </x:c>
      <x:c r="C2258" s="23" t="n">
        <x:v>46433</x:v>
      </x:c>
      <x:c r="D2258" s="23" t="n">
        <x:v>46433</x:v>
      </x:c>
      <x:c r="E2258" s="20" t="str">
        <x:v>P025</x:v>
      </x:c>
      <x:c r="F2258" s="20" t="str"/>
      <x:c r="G2258" s="20" t="str"/>
      <x:c r="H2258" s="20" t="str">
        <x:v>1000 Operating Cash</x:v>
      </x:c>
      <x:c r="I2258" s="26" t="n">
        <x:v>0</x:v>
      </x:c>
      <x:c r="J2258" s="26" t="n">
        <x:v>175</x:v>
      </x:c>
      <x:c r="K2258" s="35" t="str">
        <x:v>City Water &amp; Sewer</x:v>
      </x:c>
    </x:row>
    <x:row r="2259">
      <x:c r="A2259" s="20" t="str">
        <x:v>FIN-01116</x:v>
      </x:c>
      <x:c r="B2259" s="32" t="n">
        <x:v>1</x:v>
      </x:c>
      <x:c r="C2259" s="23" t="n">
        <x:v>46433</x:v>
      </x:c>
      <x:c r="D2259" s="23" t="n">
        <x:v>46433</x:v>
      </x:c>
      <x:c r="E2259" s="20" t="str">
        <x:v>P026</x:v>
      </x:c>
      <x:c r="F2259" s="20" t="str"/>
      <x:c r="G2259" s="20" t="str"/>
      <x:c r="H2259" s="20" t="str">
        <x:v>5010 Utilities</x:v>
      </x:c>
      <x:c r="I2259" s="26" t="n">
        <x:v>182</x:v>
      </x:c>
      <x:c r="J2259" s="26" t="n">
        <x:v>0</x:v>
      </x:c>
      <x:c r="K2259" s="35" t="str">
        <x:v>City Water &amp; Sewer</x:v>
      </x:c>
    </x:row>
    <x:row r="2260">
      <x:c r="A2260" s="20" t="str">
        <x:v>FIN-01116</x:v>
      </x:c>
      <x:c r="B2260" s="32" t="n">
        <x:v>2</x:v>
      </x:c>
      <x:c r="C2260" s="23" t="n">
        <x:v>46433</x:v>
      </x:c>
      <x:c r="D2260" s="23" t="n">
        <x:v>46433</x:v>
      </x:c>
      <x:c r="E2260" s="20" t="str">
        <x:v>P026</x:v>
      </x:c>
      <x:c r="F2260" s="20" t="str"/>
      <x:c r="G2260" s="20" t="str"/>
      <x:c r="H2260" s="20" t="str">
        <x:v>1000 Operating Cash</x:v>
      </x:c>
      <x:c r="I2260" s="26" t="n">
        <x:v>0</x:v>
      </x:c>
      <x:c r="J2260" s="26" t="n">
        <x:v>182</x:v>
      </x:c>
      <x:c r="K2260" s="35" t="str">
        <x:v>City Water &amp; Sewer</x:v>
      </x:c>
    </x:row>
    <x:row r="2261">
      <x:c r="A2261" s="20" t="str">
        <x:v>FIN-01117</x:v>
      </x:c>
      <x:c r="B2261" s="32" t="n">
        <x:v>1</x:v>
      </x:c>
      <x:c r="C2261" s="23" t="n">
        <x:v>46433</x:v>
      </x:c>
      <x:c r="D2261" s="23" t="n">
        <x:v>46433</x:v>
      </x:c>
      <x:c r="E2261" s="20" t="str">
        <x:v>P027</x:v>
      </x:c>
      <x:c r="F2261" s="20" t="str"/>
      <x:c r="G2261" s="20" t="str"/>
      <x:c r="H2261" s="20" t="str">
        <x:v>5010 Utilities</x:v>
      </x:c>
      <x:c r="I2261" s="26" t="n">
        <x:v>189</x:v>
      </x:c>
      <x:c r="J2261" s="26" t="n">
        <x:v>0</x:v>
      </x:c>
      <x:c r="K2261" s="35" t="str">
        <x:v>City Water &amp; Sewer</x:v>
      </x:c>
    </x:row>
    <x:row r="2262">
      <x:c r="A2262" s="20" t="str">
        <x:v>FIN-01117</x:v>
      </x:c>
      <x:c r="B2262" s="32" t="n">
        <x:v>2</x:v>
      </x:c>
      <x:c r="C2262" s="23" t="n">
        <x:v>46433</x:v>
      </x:c>
      <x:c r="D2262" s="23" t="n">
        <x:v>46433</x:v>
      </x:c>
      <x:c r="E2262" s="20" t="str">
        <x:v>P027</x:v>
      </x:c>
      <x:c r="F2262" s="20" t="str"/>
      <x:c r="G2262" s="20" t="str"/>
      <x:c r="H2262" s="20" t="str">
        <x:v>1000 Operating Cash</x:v>
      </x:c>
      <x:c r="I2262" s="26" t="n">
        <x:v>0</x:v>
      </x:c>
      <x:c r="J2262" s="26" t="n">
        <x:v>189</x:v>
      </x:c>
      <x:c r="K2262" s="35" t="str">
        <x:v>City Water &amp; Sewer</x:v>
      </x:c>
    </x:row>
    <x:row r="2263">
      <x:c r="A2263" s="20" t="str">
        <x:v>FIN-01118</x:v>
      </x:c>
      <x:c r="B2263" s="32" t="n">
        <x:v>1</x:v>
      </x:c>
      <x:c r="C2263" s="23" t="n">
        <x:v>46433</x:v>
      </x:c>
      <x:c r="D2263" s="23" t="n">
        <x:v>46433</x:v>
      </x:c>
      <x:c r="E2263" s="20" t="str">
        <x:v>P028</x:v>
      </x:c>
      <x:c r="F2263" s="20" t="str"/>
      <x:c r="G2263" s="20" t="str"/>
      <x:c r="H2263" s="20" t="str">
        <x:v>5010 Utilities</x:v>
      </x:c>
      <x:c r="I2263" s="26" t="n">
        <x:v>196</x:v>
      </x:c>
      <x:c r="J2263" s="26" t="n">
        <x:v>0</x:v>
      </x:c>
      <x:c r="K2263" s="35" t="str">
        <x:v>City Water &amp; Sewer</x:v>
      </x:c>
    </x:row>
    <x:row r="2264">
      <x:c r="A2264" s="20" t="str">
        <x:v>FIN-01118</x:v>
      </x:c>
      <x:c r="B2264" s="32" t="n">
        <x:v>2</x:v>
      </x:c>
      <x:c r="C2264" s="23" t="n">
        <x:v>46433</x:v>
      </x:c>
      <x:c r="D2264" s="23" t="n">
        <x:v>46433</x:v>
      </x:c>
      <x:c r="E2264" s="20" t="str">
        <x:v>P028</x:v>
      </x:c>
      <x:c r="F2264" s="20" t="str"/>
      <x:c r="G2264" s="20" t="str"/>
      <x:c r="H2264" s="20" t="str">
        <x:v>1000 Operating Cash</x:v>
      </x:c>
      <x:c r="I2264" s="26" t="n">
        <x:v>0</x:v>
      </x:c>
      <x:c r="J2264" s="26" t="n">
        <x:v>196</x:v>
      </x:c>
      <x:c r="K2264" s="35" t="str">
        <x:v>City Water &amp; Sewer</x:v>
      </x:c>
    </x:row>
    <x:row r="2265">
      <x:c r="A2265" s="20" t="str">
        <x:v>FIN-01119</x:v>
      </x:c>
      <x:c r="B2265" s="32" t="n">
        <x:v>1</x:v>
      </x:c>
      <x:c r="C2265" s="23" t="n">
        <x:v>46433</x:v>
      </x:c>
      <x:c r="D2265" s="23" t="n">
        <x:v>46433</x:v>
      </x:c>
      <x:c r="E2265" s="20" t="str">
        <x:v>P029</x:v>
      </x:c>
      <x:c r="F2265" s="20" t="str"/>
      <x:c r="G2265" s="20" t="str"/>
      <x:c r="H2265" s="20" t="str">
        <x:v>5010 Utilities</x:v>
      </x:c>
      <x:c r="I2265" s="26" t="n">
        <x:v>203</x:v>
      </x:c>
      <x:c r="J2265" s="26" t="n">
        <x:v>0</x:v>
      </x:c>
      <x:c r="K2265" s="35" t="str">
        <x:v>City Water &amp; Sewer</x:v>
      </x:c>
    </x:row>
    <x:row r="2266">
      <x:c r="A2266" s="20" t="str">
        <x:v>FIN-01119</x:v>
      </x:c>
      <x:c r="B2266" s="32" t="n">
        <x:v>2</x:v>
      </x:c>
      <x:c r="C2266" s="23" t="n">
        <x:v>46433</x:v>
      </x:c>
      <x:c r="D2266" s="23" t="n">
        <x:v>46433</x:v>
      </x:c>
      <x:c r="E2266" s="20" t="str">
        <x:v>P029</x:v>
      </x:c>
      <x:c r="F2266" s="20" t="str"/>
      <x:c r="G2266" s="20" t="str"/>
      <x:c r="H2266" s="20" t="str">
        <x:v>1000 Operating Cash</x:v>
      </x:c>
      <x:c r="I2266" s="26" t="n">
        <x:v>0</x:v>
      </x:c>
      <x:c r="J2266" s="26" t="n">
        <x:v>203</x:v>
      </x:c>
      <x:c r="K2266" s="35" t="str">
        <x:v>City Water &amp; Sewer</x:v>
      </x:c>
    </x:row>
    <x:row r="2267">
      <x:c r="A2267" s="20" t="str">
        <x:v>FIN-01120</x:v>
      </x:c>
      <x:c r="B2267" s="32" t="n">
        <x:v>1</x:v>
      </x:c>
      <x:c r="C2267" s="23" t="n">
        <x:v>46433</x:v>
      </x:c>
      <x:c r="D2267" s="23" t="n">
        <x:v>46433</x:v>
      </x:c>
      <x:c r="E2267" s="20" t="str">
        <x:v>P030</x:v>
      </x:c>
      <x:c r="F2267" s="20" t="str"/>
      <x:c r="G2267" s="20" t="str"/>
      <x:c r="H2267" s="20" t="str">
        <x:v>5010 Utilities</x:v>
      </x:c>
      <x:c r="I2267" s="26" t="n">
        <x:v>120</x:v>
      </x:c>
      <x:c r="J2267" s="26" t="n">
        <x:v>0</x:v>
      </x:c>
      <x:c r="K2267" s="35" t="str">
        <x:v>City Water &amp; Sewer</x:v>
      </x:c>
    </x:row>
    <x:row r="2268">
      <x:c r="A2268" s="20" t="str">
        <x:v>FIN-01120</x:v>
      </x:c>
      <x:c r="B2268" s="32" t="n">
        <x:v>2</x:v>
      </x:c>
      <x:c r="C2268" s="23" t="n">
        <x:v>46433</x:v>
      </x:c>
      <x:c r="D2268" s="23" t="n">
        <x:v>46433</x:v>
      </x:c>
      <x:c r="E2268" s="20" t="str">
        <x:v>P030</x:v>
      </x:c>
      <x:c r="F2268" s="20" t="str"/>
      <x:c r="G2268" s="20" t="str"/>
      <x:c r="H2268" s="20" t="str">
        <x:v>1000 Operating Cash</x:v>
      </x:c>
      <x:c r="I2268" s="26" t="n">
        <x:v>0</x:v>
      </x:c>
      <x:c r="J2268" s="26" t="n">
        <x:v>120</x:v>
      </x:c>
      <x:c r="K2268" s="35" t="str">
        <x:v>City Water &amp; Sewer</x:v>
      </x:c>
    </x:row>
    <x:row r="2269">
      <x:c r="A2269" s="20" t="str">
        <x:v>FIN-01121</x:v>
      </x:c>
      <x:c r="B2269" s="32" t="n">
        <x:v>1</x:v>
      </x:c>
      <x:c r="C2269" s="23" t="n">
        <x:v>46438</x:v>
      </x:c>
      <x:c r="D2269" s="23" t="n">
        <x:v>46438</x:v>
      </x:c>
      <x:c r="E2269" s="20" t="str">
        <x:v>P001</x:v>
      </x:c>
      <x:c r="F2269" s="20" t="str"/>
      <x:c r="G2269" s="20" t="str"/>
      <x:c r="H2269" s="20" t="str">
        <x:v>2200 Mortgage Loans Payable</x:v>
      </x:c>
      <x:c r="I2269" s="26" t="n">
        <x:v>431</x:v>
      </x:c>
      <x:c r="J2269" s="26" t="n">
        <x:v>0</x:v>
      </x:c>
      <x:c r="K2269" s="35" t="str">
        <x:v>LN001 scheduled payment</x:v>
      </x:c>
    </x:row>
    <x:row r="2270">
      <x:c r="A2270" s="20" t="str">
        <x:v>FIN-01121</x:v>
      </x:c>
      <x:c r="B2270" s="32" t="n">
        <x:v>2</x:v>
      </x:c>
      <x:c r="C2270" s="23" t="n">
        <x:v>46438</x:v>
      </x:c>
      <x:c r="D2270" s="23" t="n">
        <x:v>46438</x:v>
      </x:c>
      <x:c r="E2270" s="20" t="str">
        <x:v>P001</x:v>
      </x:c>
      <x:c r="F2270" s="20" t="str"/>
      <x:c r="G2270" s="20" t="str"/>
      <x:c r="H2270" s="20" t="str">
        <x:v>5040 Mortgage Interest</x:v>
      </x:c>
      <x:c r="I2270" s="26" t="n">
        <x:v>615</x:v>
      </x:c>
      <x:c r="J2270" s="26" t="n">
        <x:v>0</x:v>
      </x:c>
      <x:c r="K2270" s="35" t="str">
        <x:v>LN001 scheduled payment</x:v>
      </x:c>
    </x:row>
    <x:row r="2271">
      <x:c r="A2271" s="20" t="str">
        <x:v>FIN-01121</x:v>
      </x:c>
      <x:c r="B2271" s="32" t="n">
        <x:v>3</x:v>
      </x:c>
      <x:c r="C2271" s="23" t="n">
        <x:v>46438</x:v>
      </x:c>
      <x:c r="D2271" s="23" t="n">
        <x:v>46438</x:v>
      </x:c>
      <x:c r="E2271" s="20" t="str">
        <x:v>P001</x:v>
      </x:c>
      <x:c r="F2271" s="20" t="str"/>
      <x:c r="G2271" s="20" t="str"/>
      <x:c r="H2271" s="20" t="str">
        <x:v>1000 Operating Cash</x:v>
      </x:c>
      <x:c r="I2271" s="26" t="n">
        <x:v>0</x:v>
      </x:c>
      <x:c r="J2271" s="26" t="n">
        <x:v>1046</x:v>
      </x:c>
      <x:c r="K2271" s="35" t="str">
        <x:v>LN001 scheduled payment</x:v>
      </x:c>
    </x:row>
    <x:row r="2272">
      <x:c r="A2272" s="20" t="str">
        <x:v>FIN-01122</x:v>
      </x:c>
      <x:c r="B2272" s="32" t="n">
        <x:v>1</x:v>
      </x:c>
      <x:c r="C2272" s="23" t="n">
        <x:v>46438</x:v>
      </x:c>
      <x:c r="D2272" s="23" t="n">
        <x:v>46438</x:v>
      </x:c>
      <x:c r="E2272" s="20" t="str">
        <x:v>P002</x:v>
      </x:c>
      <x:c r="F2272" s="20" t="str"/>
      <x:c r="G2272" s="20" t="str"/>
      <x:c r="H2272" s="20" t="str">
        <x:v>2200 Mortgage Loans Payable</x:v>
      </x:c>
      <x:c r="I2272" s="26" t="n">
        <x:v>442</x:v>
      </x:c>
      <x:c r="J2272" s="26" t="n">
        <x:v>0</x:v>
      </x:c>
      <x:c r="K2272" s="35" t="str">
        <x:v>LN002 scheduled payment</x:v>
      </x:c>
    </x:row>
    <x:row r="2273">
      <x:c r="A2273" s="20" t="str">
        <x:v>FIN-01122</x:v>
      </x:c>
      <x:c r="B2273" s="32" t="n">
        <x:v>2</x:v>
      </x:c>
      <x:c r="C2273" s="23" t="n">
        <x:v>46438</x:v>
      </x:c>
      <x:c r="D2273" s="23" t="n">
        <x:v>46438</x:v>
      </x:c>
      <x:c r="E2273" s="20" t="str">
        <x:v>P002</x:v>
      </x:c>
      <x:c r="F2273" s="20" t="str"/>
      <x:c r="G2273" s="20" t="str"/>
      <x:c r="H2273" s="20" t="str">
        <x:v>5040 Mortgage Interest</x:v>
      </x:c>
      <x:c r="I2273" s="26" t="n">
        <x:v>628</x:v>
      </x:c>
      <x:c r="J2273" s="26" t="n">
        <x:v>0</x:v>
      </x:c>
      <x:c r="K2273" s="35" t="str">
        <x:v>LN002 scheduled payment</x:v>
      </x:c>
    </x:row>
    <x:row r="2274">
      <x:c r="A2274" s="20" t="str">
        <x:v>FIN-01122</x:v>
      </x:c>
      <x:c r="B2274" s="32" t="n">
        <x:v>3</x:v>
      </x:c>
      <x:c r="C2274" s="23" t="n">
        <x:v>46438</x:v>
      </x:c>
      <x:c r="D2274" s="23" t="n">
        <x:v>46438</x:v>
      </x:c>
      <x:c r="E2274" s="20" t="str">
        <x:v>P002</x:v>
      </x:c>
      <x:c r="F2274" s="20" t="str"/>
      <x:c r="G2274" s="20" t="str"/>
      <x:c r="H2274" s="20" t="str">
        <x:v>1000 Operating Cash</x:v>
      </x:c>
      <x:c r="I2274" s="26" t="n">
        <x:v>0</x:v>
      </x:c>
      <x:c r="J2274" s="26" t="n">
        <x:v>1070</x:v>
      </x:c>
      <x:c r="K2274" s="35" t="str">
        <x:v>LN002 scheduled payment</x:v>
      </x:c>
    </x:row>
    <x:row r="2275">
      <x:c r="A2275" s="20" t="str">
        <x:v>FIN-01123</x:v>
      </x:c>
      <x:c r="B2275" s="32" t="n">
        <x:v>1</x:v>
      </x:c>
      <x:c r="C2275" s="23" t="n">
        <x:v>46438</x:v>
      </x:c>
      <x:c r="D2275" s="23" t="n">
        <x:v>46438</x:v>
      </x:c>
      <x:c r="E2275" s="20" t="str">
        <x:v>P004</x:v>
      </x:c>
      <x:c r="F2275" s="20" t="str"/>
      <x:c r="G2275" s="20" t="str"/>
      <x:c r="H2275" s="20" t="str">
        <x:v>2200 Mortgage Loans Payable</x:v>
      </x:c>
      <x:c r="I2275" s="26" t="n">
        <x:v>464</x:v>
      </x:c>
      <x:c r="J2275" s="26" t="n">
        <x:v>0</x:v>
      </x:c>
      <x:c r="K2275" s="35" t="str">
        <x:v>LN004 scheduled payment</x:v>
      </x:c>
    </x:row>
    <x:row r="2276">
      <x:c r="A2276" s="20" t="str">
        <x:v>FIN-01123</x:v>
      </x:c>
      <x:c r="B2276" s="32" t="n">
        <x:v>2</x:v>
      </x:c>
      <x:c r="C2276" s="23" t="n">
        <x:v>46438</x:v>
      </x:c>
      <x:c r="D2276" s="23" t="n">
        <x:v>46438</x:v>
      </x:c>
      <x:c r="E2276" s="20" t="str">
        <x:v>P004</x:v>
      </x:c>
      <x:c r="F2276" s="20" t="str"/>
      <x:c r="G2276" s="20" t="str"/>
      <x:c r="H2276" s="20" t="str">
        <x:v>5040 Mortgage Interest</x:v>
      </x:c>
      <x:c r="I2276" s="26" t="n">
        <x:v>654</x:v>
      </x:c>
      <x:c r="J2276" s="26" t="n">
        <x:v>0</x:v>
      </x:c>
      <x:c r="K2276" s="35" t="str">
        <x:v>LN004 scheduled payment</x:v>
      </x:c>
    </x:row>
    <x:row r="2277">
      <x:c r="A2277" s="20" t="str">
        <x:v>FIN-01123</x:v>
      </x:c>
      <x:c r="B2277" s="32" t="n">
        <x:v>3</x:v>
      </x:c>
      <x:c r="C2277" s="23" t="n">
        <x:v>46438</x:v>
      </x:c>
      <x:c r="D2277" s="23" t="n">
        <x:v>46438</x:v>
      </x:c>
      <x:c r="E2277" s="20" t="str">
        <x:v>P004</x:v>
      </x:c>
      <x:c r="F2277" s="20" t="str"/>
      <x:c r="G2277" s="20" t="str"/>
      <x:c r="H2277" s="20" t="str">
        <x:v>1000 Operating Cash</x:v>
      </x:c>
      <x:c r="I2277" s="26" t="n">
        <x:v>0</x:v>
      </x:c>
      <x:c r="J2277" s="26" t="n">
        <x:v>1118</x:v>
      </x:c>
      <x:c r="K2277" s="35" t="str">
        <x:v>LN004 scheduled payment</x:v>
      </x:c>
    </x:row>
    <x:row r="2278">
      <x:c r="A2278" s="20" t="str">
        <x:v>FIN-01124</x:v>
      </x:c>
      <x:c r="B2278" s="32" t="n">
        <x:v>1</x:v>
      </x:c>
      <x:c r="C2278" s="23" t="n">
        <x:v>46438</x:v>
      </x:c>
      <x:c r="D2278" s="23" t="n">
        <x:v>46438</x:v>
      </x:c>
      <x:c r="E2278" s="20" t="str">
        <x:v>P005</x:v>
      </x:c>
      <x:c r="F2278" s="20" t="str"/>
      <x:c r="G2278" s="20" t="str"/>
      <x:c r="H2278" s="20" t="str">
        <x:v>2200 Mortgage Loans Payable</x:v>
      </x:c>
      <x:c r="I2278" s="26" t="n">
        <x:v>475</x:v>
      </x:c>
      <x:c r="J2278" s="26" t="n">
        <x:v>0</x:v>
      </x:c>
      <x:c r="K2278" s="35" t="str">
        <x:v>LN005 scheduled payment</x:v>
      </x:c>
    </x:row>
    <x:row r="2279">
      <x:c r="A2279" s="20" t="str">
        <x:v>FIN-01124</x:v>
      </x:c>
      <x:c r="B2279" s="32" t="n">
        <x:v>2</x:v>
      </x:c>
      <x:c r="C2279" s="23" t="n">
        <x:v>46438</x:v>
      </x:c>
      <x:c r="D2279" s="23" t="n">
        <x:v>46438</x:v>
      </x:c>
      <x:c r="E2279" s="20" t="str">
        <x:v>P005</x:v>
      </x:c>
      <x:c r="F2279" s="20" t="str"/>
      <x:c r="G2279" s="20" t="str"/>
      <x:c r="H2279" s="20" t="str">
        <x:v>5040 Mortgage Interest</x:v>
      </x:c>
      <x:c r="I2279" s="26" t="n">
        <x:v>667</x:v>
      </x:c>
      <x:c r="J2279" s="26" t="n">
        <x:v>0</x:v>
      </x:c>
      <x:c r="K2279" s="35" t="str">
        <x:v>LN005 scheduled payment</x:v>
      </x:c>
    </x:row>
    <x:row r="2280">
      <x:c r="A2280" s="20" t="str">
        <x:v>FIN-01124</x:v>
      </x:c>
      <x:c r="B2280" s="32" t="n">
        <x:v>3</x:v>
      </x:c>
      <x:c r="C2280" s="23" t="n">
        <x:v>46438</x:v>
      </x:c>
      <x:c r="D2280" s="23" t="n">
        <x:v>46438</x:v>
      </x:c>
      <x:c r="E2280" s="20" t="str">
        <x:v>P005</x:v>
      </x:c>
      <x:c r="F2280" s="20" t="str"/>
      <x:c r="G2280" s="20" t="str"/>
      <x:c r="H2280" s="20" t="str">
        <x:v>1000 Operating Cash</x:v>
      </x:c>
      <x:c r="I2280" s="26" t="n">
        <x:v>0</x:v>
      </x:c>
      <x:c r="J2280" s="26" t="n">
        <x:v>1142</x:v>
      </x:c>
      <x:c r="K2280" s="35" t="str">
        <x:v>LN005 scheduled payment</x:v>
      </x:c>
    </x:row>
    <x:row r="2281">
      <x:c r="A2281" s="20" t="str">
        <x:v>FIN-01125</x:v>
      </x:c>
      <x:c r="B2281" s="32" t="n">
        <x:v>1</x:v>
      </x:c>
      <x:c r="C2281" s="23" t="n">
        <x:v>46438</x:v>
      </x:c>
      <x:c r="D2281" s="23" t="n">
        <x:v>46438</x:v>
      </x:c>
      <x:c r="E2281" s="20" t="str">
        <x:v>P007</x:v>
      </x:c>
      <x:c r="F2281" s="20" t="str"/>
      <x:c r="G2281" s="20" t="str"/>
      <x:c r="H2281" s="20" t="str">
        <x:v>2200 Mortgage Loans Payable</x:v>
      </x:c>
      <x:c r="I2281" s="26" t="n">
        <x:v>497</x:v>
      </x:c>
      <x:c r="J2281" s="26" t="n">
        <x:v>0</x:v>
      </x:c>
      <x:c r="K2281" s="35" t="str">
        <x:v>LN007 scheduled payment</x:v>
      </x:c>
    </x:row>
    <x:row r="2282">
      <x:c r="A2282" s="20" t="str">
        <x:v>FIN-01125</x:v>
      </x:c>
      <x:c r="B2282" s="32" t="n">
        <x:v>2</x:v>
      </x:c>
      <x:c r="C2282" s="23" t="n">
        <x:v>46438</x:v>
      </x:c>
      <x:c r="D2282" s="23" t="n">
        <x:v>46438</x:v>
      </x:c>
      <x:c r="E2282" s="20" t="str">
        <x:v>P007</x:v>
      </x:c>
      <x:c r="F2282" s="20" t="str"/>
      <x:c r="G2282" s="20" t="str"/>
      <x:c r="H2282" s="20" t="str">
        <x:v>5040 Mortgage Interest</x:v>
      </x:c>
      <x:c r="I2282" s="26" t="n">
        <x:v>693</x:v>
      </x:c>
      <x:c r="J2282" s="26" t="n">
        <x:v>0</x:v>
      </x:c>
      <x:c r="K2282" s="35" t="str">
        <x:v>LN007 scheduled payment</x:v>
      </x:c>
    </x:row>
    <x:row r="2283">
      <x:c r="A2283" s="20" t="str">
        <x:v>FIN-01125</x:v>
      </x:c>
      <x:c r="B2283" s="32" t="n">
        <x:v>3</x:v>
      </x:c>
      <x:c r="C2283" s="23" t="n">
        <x:v>46438</x:v>
      </x:c>
      <x:c r="D2283" s="23" t="n">
        <x:v>46438</x:v>
      </x:c>
      <x:c r="E2283" s="20" t="str">
        <x:v>P007</x:v>
      </x:c>
      <x:c r="F2283" s="20" t="str"/>
      <x:c r="G2283" s="20" t="str"/>
      <x:c r="H2283" s="20" t="str">
        <x:v>1000 Operating Cash</x:v>
      </x:c>
      <x:c r="I2283" s="26" t="n">
        <x:v>0</x:v>
      </x:c>
      <x:c r="J2283" s="26" t="n">
        <x:v>1190</x:v>
      </x:c>
      <x:c r="K2283" s="35" t="str">
        <x:v>LN007 scheduled payment</x:v>
      </x:c>
    </x:row>
    <x:row r="2284">
      <x:c r="A2284" s="20" t="str">
        <x:v>FIN-01126</x:v>
      </x:c>
      <x:c r="B2284" s="32" t="n">
        <x:v>1</x:v>
      </x:c>
      <x:c r="C2284" s="23" t="n">
        <x:v>46438</x:v>
      </x:c>
      <x:c r="D2284" s="23" t="n">
        <x:v>46438</x:v>
      </x:c>
      <x:c r="E2284" s="20" t="str">
        <x:v>P008</x:v>
      </x:c>
      <x:c r="F2284" s="20" t="str"/>
      <x:c r="G2284" s="20" t="str"/>
      <x:c r="H2284" s="20" t="str">
        <x:v>2200 Mortgage Loans Payable</x:v>
      </x:c>
      <x:c r="I2284" s="26" t="n">
        <x:v>508</x:v>
      </x:c>
      <x:c r="J2284" s="26" t="n">
        <x:v>0</x:v>
      </x:c>
      <x:c r="K2284" s="35" t="str">
        <x:v>LN008 scheduled payment</x:v>
      </x:c>
    </x:row>
    <x:row r="2285">
      <x:c r="A2285" s="20" t="str">
        <x:v>FIN-01126</x:v>
      </x:c>
      <x:c r="B2285" s="32" t="n">
        <x:v>2</x:v>
      </x:c>
      <x:c r="C2285" s="23" t="n">
        <x:v>46438</x:v>
      </x:c>
      <x:c r="D2285" s="23" t="n">
        <x:v>46438</x:v>
      </x:c>
      <x:c r="E2285" s="20" t="str">
        <x:v>P008</x:v>
      </x:c>
      <x:c r="F2285" s="20" t="str"/>
      <x:c r="G2285" s="20" t="str"/>
      <x:c r="H2285" s="20" t="str">
        <x:v>5040 Mortgage Interest</x:v>
      </x:c>
      <x:c r="I2285" s="26" t="n">
        <x:v>706</x:v>
      </x:c>
      <x:c r="J2285" s="26" t="n">
        <x:v>0</x:v>
      </x:c>
      <x:c r="K2285" s="35" t="str">
        <x:v>LN008 scheduled payment</x:v>
      </x:c>
    </x:row>
    <x:row r="2286">
      <x:c r="A2286" s="20" t="str">
        <x:v>FIN-01126</x:v>
      </x:c>
      <x:c r="B2286" s="32" t="n">
        <x:v>3</x:v>
      </x:c>
      <x:c r="C2286" s="23" t="n">
        <x:v>46438</x:v>
      </x:c>
      <x:c r="D2286" s="23" t="n">
        <x:v>46438</x:v>
      </x:c>
      <x:c r="E2286" s="20" t="str">
        <x:v>P008</x:v>
      </x:c>
      <x:c r="F2286" s="20" t="str"/>
      <x:c r="G2286" s="20" t="str"/>
      <x:c r="H2286" s="20" t="str">
        <x:v>1000 Operating Cash</x:v>
      </x:c>
      <x:c r="I2286" s="26" t="n">
        <x:v>0</x:v>
      </x:c>
      <x:c r="J2286" s="26" t="n">
        <x:v>1214</x:v>
      </x:c>
      <x:c r="K2286" s="35" t="str">
        <x:v>LN008 scheduled payment</x:v>
      </x:c>
    </x:row>
    <x:row r="2287">
      <x:c r="A2287" s="20" t="str">
        <x:v>FIN-01127</x:v>
      </x:c>
      <x:c r="B2287" s="32" t="n">
        <x:v>1</x:v>
      </x:c>
      <x:c r="C2287" s="23" t="n">
        <x:v>46438</x:v>
      </x:c>
      <x:c r="D2287" s="23" t="n">
        <x:v>46438</x:v>
      </x:c>
      <x:c r="E2287" s="20" t="str">
        <x:v>P010</x:v>
      </x:c>
      <x:c r="F2287" s="20" t="str"/>
      <x:c r="G2287" s="20" t="str"/>
      <x:c r="H2287" s="20" t="str">
        <x:v>2200 Mortgage Loans Payable</x:v>
      </x:c>
      <x:c r="I2287" s="26" t="n">
        <x:v>530</x:v>
      </x:c>
      <x:c r="J2287" s="26" t="n">
        <x:v>0</x:v>
      </x:c>
      <x:c r="K2287" s="35" t="str">
        <x:v>LN010 scheduled payment</x:v>
      </x:c>
    </x:row>
    <x:row r="2288">
      <x:c r="A2288" s="20" t="str">
        <x:v>FIN-01127</x:v>
      </x:c>
      <x:c r="B2288" s="32" t="n">
        <x:v>2</x:v>
      </x:c>
      <x:c r="C2288" s="23" t="n">
        <x:v>46438</x:v>
      </x:c>
      <x:c r="D2288" s="23" t="n">
        <x:v>46438</x:v>
      </x:c>
      <x:c r="E2288" s="20" t="str">
        <x:v>P010</x:v>
      </x:c>
      <x:c r="F2288" s="20" t="str"/>
      <x:c r="G2288" s="20" t="str"/>
      <x:c r="H2288" s="20" t="str">
        <x:v>5040 Mortgage Interest</x:v>
      </x:c>
      <x:c r="I2288" s="26" t="n">
        <x:v>732</x:v>
      </x:c>
      <x:c r="J2288" s="26" t="n">
        <x:v>0</x:v>
      </x:c>
      <x:c r="K2288" s="35" t="str">
        <x:v>LN010 scheduled payment</x:v>
      </x:c>
    </x:row>
    <x:row r="2289">
      <x:c r="A2289" s="20" t="str">
        <x:v>FIN-01127</x:v>
      </x:c>
      <x:c r="B2289" s="32" t="n">
        <x:v>3</x:v>
      </x:c>
      <x:c r="C2289" s="23" t="n">
        <x:v>46438</x:v>
      </x:c>
      <x:c r="D2289" s="23" t="n">
        <x:v>46438</x:v>
      </x:c>
      <x:c r="E2289" s="20" t="str">
        <x:v>P010</x:v>
      </x:c>
      <x:c r="F2289" s="20" t="str"/>
      <x:c r="G2289" s="20" t="str"/>
      <x:c r="H2289" s="20" t="str">
        <x:v>1000 Operating Cash</x:v>
      </x:c>
      <x:c r="I2289" s="26" t="n">
        <x:v>0</x:v>
      </x:c>
      <x:c r="J2289" s="26" t="n">
        <x:v>1262</x:v>
      </x:c>
      <x:c r="K2289" s="35" t="str">
        <x:v>LN010 scheduled payment</x:v>
      </x:c>
    </x:row>
    <x:row r="2290">
      <x:c r="A2290" s="20" t="str">
        <x:v>FIN-01128</x:v>
      </x:c>
      <x:c r="B2290" s="32" t="n">
        <x:v>1</x:v>
      </x:c>
      <x:c r="C2290" s="23" t="n">
        <x:v>46438</x:v>
      </x:c>
      <x:c r="D2290" s="23" t="n">
        <x:v>46438</x:v>
      </x:c>
      <x:c r="E2290" s="20" t="str">
        <x:v>P011</x:v>
      </x:c>
      <x:c r="F2290" s="20" t="str"/>
      <x:c r="G2290" s="20" t="str"/>
      <x:c r="H2290" s="20" t="str">
        <x:v>2200 Mortgage Loans Payable</x:v>
      </x:c>
      <x:c r="I2290" s="26" t="n">
        <x:v>541</x:v>
      </x:c>
      <x:c r="J2290" s="26" t="n">
        <x:v>0</x:v>
      </x:c>
      <x:c r="K2290" s="35" t="str">
        <x:v>LN011 scheduled payment</x:v>
      </x:c>
    </x:row>
    <x:row r="2291">
      <x:c r="A2291" s="20" t="str">
        <x:v>FIN-01128</x:v>
      </x:c>
      <x:c r="B2291" s="32" t="n">
        <x:v>2</x:v>
      </x:c>
      <x:c r="C2291" s="23" t="n">
        <x:v>46438</x:v>
      </x:c>
      <x:c r="D2291" s="23" t="n">
        <x:v>46438</x:v>
      </x:c>
      <x:c r="E2291" s="20" t="str">
        <x:v>P011</x:v>
      </x:c>
      <x:c r="F2291" s="20" t="str"/>
      <x:c r="G2291" s="20" t="str"/>
      <x:c r="H2291" s="20" t="str">
        <x:v>5040 Mortgage Interest</x:v>
      </x:c>
      <x:c r="I2291" s="26" t="n">
        <x:v>745</x:v>
      </x:c>
      <x:c r="J2291" s="26" t="n">
        <x:v>0</x:v>
      </x:c>
      <x:c r="K2291" s="35" t="str">
        <x:v>LN011 scheduled payment</x:v>
      </x:c>
    </x:row>
    <x:row r="2292">
      <x:c r="A2292" s="20" t="str">
        <x:v>FIN-01128</x:v>
      </x:c>
      <x:c r="B2292" s="32" t="n">
        <x:v>3</x:v>
      </x:c>
      <x:c r="C2292" s="23" t="n">
        <x:v>46438</x:v>
      </x:c>
      <x:c r="D2292" s="23" t="n">
        <x:v>46438</x:v>
      </x:c>
      <x:c r="E2292" s="20" t="str">
        <x:v>P011</x:v>
      </x:c>
      <x:c r="F2292" s="20" t="str"/>
      <x:c r="G2292" s="20" t="str"/>
      <x:c r="H2292" s="20" t="str">
        <x:v>1000 Operating Cash</x:v>
      </x:c>
      <x:c r="I2292" s="26" t="n">
        <x:v>0</x:v>
      </x:c>
      <x:c r="J2292" s="26" t="n">
        <x:v>1286</x:v>
      </x:c>
      <x:c r="K2292" s="35" t="str">
        <x:v>LN011 scheduled payment</x:v>
      </x:c>
    </x:row>
    <x:row r="2293">
      <x:c r="A2293" s="20" t="str">
        <x:v>FIN-01129</x:v>
      </x:c>
      <x:c r="B2293" s="32" t="n">
        <x:v>1</x:v>
      </x:c>
      <x:c r="C2293" s="23" t="n">
        <x:v>46438</x:v>
      </x:c>
      <x:c r="D2293" s="23" t="n">
        <x:v>46438</x:v>
      </x:c>
      <x:c r="E2293" s="20" t="str">
        <x:v>P013</x:v>
      </x:c>
      <x:c r="F2293" s="20" t="str"/>
      <x:c r="G2293" s="20" t="str"/>
      <x:c r="H2293" s="20" t="str">
        <x:v>2200 Mortgage Loans Payable</x:v>
      </x:c>
      <x:c r="I2293" s="26" t="n">
        <x:v>563</x:v>
      </x:c>
      <x:c r="J2293" s="26" t="n">
        <x:v>0</x:v>
      </x:c>
      <x:c r="K2293" s="35" t="str">
        <x:v>LN013 scheduled payment</x:v>
      </x:c>
    </x:row>
    <x:row r="2294">
      <x:c r="A2294" s="20" t="str">
        <x:v>FIN-01129</x:v>
      </x:c>
      <x:c r="B2294" s="32" t="n">
        <x:v>2</x:v>
      </x:c>
      <x:c r="C2294" s="23" t="n">
        <x:v>46438</x:v>
      </x:c>
      <x:c r="D2294" s="23" t="n">
        <x:v>46438</x:v>
      </x:c>
      <x:c r="E2294" s="20" t="str">
        <x:v>P013</x:v>
      </x:c>
      <x:c r="F2294" s="20" t="str"/>
      <x:c r="G2294" s="20" t="str"/>
      <x:c r="H2294" s="20" t="str">
        <x:v>5040 Mortgage Interest</x:v>
      </x:c>
      <x:c r="I2294" s="26" t="n">
        <x:v>771</x:v>
      </x:c>
      <x:c r="J2294" s="26" t="n">
        <x:v>0</x:v>
      </x:c>
      <x:c r="K2294" s="35" t="str">
        <x:v>LN013 scheduled payment</x:v>
      </x:c>
    </x:row>
    <x:row r="2295">
      <x:c r="A2295" s="20" t="str">
        <x:v>FIN-01129</x:v>
      </x:c>
      <x:c r="B2295" s="32" t="n">
        <x:v>3</x:v>
      </x:c>
      <x:c r="C2295" s="23" t="n">
        <x:v>46438</x:v>
      </x:c>
      <x:c r="D2295" s="23" t="n">
        <x:v>46438</x:v>
      </x:c>
      <x:c r="E2295" s="20" t="str">
        <x:v>P013</x:v>
      </x:c>
      <x:c r="F2295" s="20" t="str"/>
      <x:c r="G2295" s="20" t="str"/>
      <x:c r="H2295" s="20" t="str">
        <x:v>1000 Operating Cash</x:v>
      </x:c>
      <x:c r="I2295" s="26" t="n">
        <x:v>0</x:v>
      </x:c>
      <x:c r="J2295" s="26" t="n">
        <x:v>1334</x:v>
      </x:c>
      <x:c r="K2295" s="35" t="str">
        <x:v>LN013 scheduled payment</x:v>
      </x:c>
    </x:row>
    <x:row r="2296">
      <x:c r="A2296" s="20" t="str">
        <x:v>FIN-01130</x:v>
      </x:c>
      <x:c r="B2296" s="32" t="n">
        <x:v>1</x:v>
      </x:c>
      <x:c r="C2296" s="23" t="n">
        <x:v>46438</x:v>
      </x:c>
      <x:c r="D2296" s="23" t="n">
        <x:v>46438</x:v>
      </x:c>
      <x:c r="E2296" s="20" t="str">
        <x:v>P014</x:v>
      </x:c>
      <x:c r="F2296" s="20" t="str"/>
      <x:c r="G2296" s="20" t="str"/>
      <x:c r="H2296" s="20" t="str">
        <x:v>2200 Mortgage Loans Payable</x:v>
      </x:c>
      <x:c r="I2296" s="26" t="n">
        <x:v>574</x:v>
      </x:c>
      <x:c r="J2296" s="26" t="n">
        <x:v>0</x:v>
      </x:c>
      <x:c r="K2296" s="35" t="str">
        <x:v>LN014 scheduled payment</x:v>
      </x:c>
    </x:row>
    <x:row r="2297">
      <x:c r="A2297" s="20" t="str">
        <x:v>FIN-01130</x:v>
      </x:c>
      <x:c r="B2297" s="32" t="n">
        <x:v>2</x:v>
      </x:c>
      <x:c r="C2297" s="23" t="n">
        <x:v>46438</x:v>
      </x:c>
      <x:c r="D2297" s="23" t="n">
        <x:v>46438</x:v>
      </x:c>
      <x:c r="E2297" s="20" t="str">
        <x:v>P014</x:v>
      </x:c>
      <x:c r="F2297" s="20" t="str"/>
      <x:c r="G2297" s="20" t="str"/>
      <x:c r="H2297" s="20" t="str">
        <x:v>5040 Mortgage Interest</x:v>
      </x:c>
      <x:c r="I2297" s="26" t="n">
        <x:v>784</x:v>
      </x:c>
      <x:c r="J2297" s="26" t="n">
        <x:v>0</x:v>
      </x:c>
      <x:c r="K2297" s="35" t="str">
        <x:v>LN014 scheduled payment</x:v>
      </x:c>
    </x:row>
    <x:row r="2298">
      <x:c r="A2298" s="20" t="str">
        <x:v>FIN-01130</x:v>
      </x:c>
      <x:c r="B2298" s="32" t="n">
        <x:v>3</x:v>
      </x:c>
      <x:c r="C2298" s="23" t="n">
        <x:v>46438</x:v>
      </x:c>
      <x:c r="D2298" s="23" t="n">
        <x:v>46438</x:v>
      </x:c>
      <x:c r="E2298" s="20" t="str">
        <x:v>P014</x:v>
      </x:c>
      <x:c r="F2298" s="20" t="str"/>
      <x:c r="G2298" s="20" t="str"/>
      <x:c r="H2298" s="20" t="str">
        <x:v>1000 Operating Cash</x:v>
      </x:c>
      <x:c r="I2298" s="26" t="n">
        <x:v>0</x:v>
      </x:c>
      <x:c r="J2298" s="26" t="n">
        <x:v>1358</x:v>
      </x:c>
      <x:c r="K2298" s="35" t="str">
        <x:v>LN014 scheduled payment</x:v>
      </x:c>
    </x:row>
    <x:row r="2299">
      <x:c r="A2299" s="20" t="str">
        <x:v>FIN-01131</x:v>
      </x:c>
      <x:c r="B2299" s="32" t="n">
        <x:v>1</x:v>
      </x:c>
      <x:c r="C2299" s="23" t="n">
        <x:v>46438</x:v>
      </x:c>
      <x:c r="D2299" s="23" t="n">
        <x:v>46438</x:v>
      </x:c>
      <x:c r="E2299" s="20" t="str">
        <x:v>P016</x:v>
      </x:c>
      <x:c r="F2299" s="20" t="str"/>
      <x:c r="G2299" s="20" t="str"/>
      <x:c r="H2299" s="20" t="str">
        <x:v>2200 Mortgage Loans Payable</x:v>
      </x:c>
      <x:c r="I2299" s="26" t="n">
        <x:v>596</x:v>
      </x:c>
      <x:c r="J2299" s="26" t="n">
        <x:v>0</x:v>
      </x:c>
      <x:c r="K2299" s="35" t="str">
        <x:v>LN016 scheduled payment</x:v>
      </x:c>
    </x:row>
    <x:row r="2300">
      <x:c r="A2300" s="20" t="str">
        <x:v>FIN-01131</x:v>
      </x:c>
      <x:c r="B2300" s="32" t="n">
        <x:v>2</x:v>
      </x:c>
      <x:c r="C2300" s="23" t="n">
        <x:v>46438</x:v>
      </x:c>
      <x:c r="D2300" s="23" t="n">
        <x:v>46438</x:v>
      </x:c>
      <x:c r="E2300" s="20" t="str">
        <x:v>P016</x:v>
      </x:c>
      <x:c r="F2300" s="20" t="str"/>
      <x:c r="G2300" s="20" t="str"/>
      <x:c r="H2300" s="20" t="str">
        <x:v>5040 Mortgage Interest</x:v>
      </x:c>
      <x:c r="I2300" s="26" t="n">
        <x:v>810</x:v>
      </x:c>
      <x:c r="J2300" s="26" t="n">
        <x:v>0</x:v>
      </x:c>
      <x:c r="K2300" s="35" t="str">
        <x:v>LN016 scheduled payment</x:v>
      </x:c>
    </x:row>
    <x:row r="2301">
      <x:c r="A2301" s="20" t="str">
        <x:v>FIN-01131</x:v>
      </x:c>
      <x:c r="B2301" s="32" t="n">
        <x:v>3</x:v>
      </x:c>
      <x:c r="C2301" s="23" t="n">
        <x:v>46438</x:v>
      </x:c>
      <x:c r="D2301" s="23" t="n">
        <x:v>46438</x:v>
      </x:c>
      <x:c r="E2301" s="20" t="str">
        <x:v>P016</x:v>
      </x:c>
      <x:c r="F2301" s="20" t="str"/>
      <x:c r="G2301" s="20" t="str"/>
      <x:c r="H2301" s="20" t="str">
        <x:v>1000 Operating Cash</x:v>
      </x:c>
      <x:c r="I2301" s="26" t="n">
        <x:v>0</x:v>
      </x:c>
      <x:c r="J2301" s="26" t="n">
        <x:v>1406</x:v>
      </x:c>
      <x:c r="K2301" s="35" t="str">
        <x:v>LN016 scheduled payment</x:v>
      </x:c>
    </x:row>
    <x:row r="2302">
      <x:c r="A2302" s="20" t="str">
        <x:v>FIN-01132</x:v>
      </x:c>
      <x:c r="B2302" s="32" t="n">
        <x:v>1</x:v>
      </x:c>
      <x:c r="C2302" s="23" t="n">
        <x:v>46438</x:v>
      </x:c>
      <x:c r="D2302" s="23" t="n">
        <x:v>46438</x:v>
      </x:c>
      <x:c r="E2302" s="20" t="str">
        <x:v>P017</x:v>
      </x:c>
      <x:c r="F2302" s="20" t="str"/>
      <x:c r="G2302" s="20" t="str"/>
      <x:c r="H2302" s="20" t="str">
        <x:v>2200 Mortgage Loans Payable</x:v>
      </x:c>
      <x:c r="I2302" s="26" t="n">
        <x:v>607</x:v>
      </x:c>
      <x:c r="J2302" s="26" t="n">
        <x:v>0</x:v>
      </x:c>
      <x:c r="K2302" s="35" t="str">
        <x:v>LN017 scheduled payment</x:v>
      </x:c>
    </x:row>
    <x:row r="2303">
      <x:c r="A2303" s="20" t="str">
        <x:v>FIN-01132</x:v>
      </x:c>
      <x:c r="B2303" s="32" t="n">
        <x:v>2</x:v>
      </x:c>
      <x:c r="C2303" s="23" t="n">
        <x:v>46438</x:v>
      </x:c>
      <x:c r="D2303" s="23" t="n">
        <x:v>46438</x:v>
      </x:c>
      <x:c r="E2303" s="20" t="str">
        <x:v>P017</x:v>
      </x:c>
      <x:c r="F2303" s="20" t="str"/>
      <x:c r="G2303" s="20" t="str"/>
      <x:c r="H2303" s="20" t="str">
        <x:v>5040 Mortgage Interest</x:v>
      </x:c>
      <x:c r="I2303" s="26" t="n">
        <x:v>823</x:v>
      </x:c>
      <x:c r="J2303" s="26" t="n">
        <x:v>0</x:v>
      </x:c>
      <x:c r="K2303" s="35" t="str">
        <x:v>LN017 scheduled payment</x:v>
      </x:c>
    </x:row>
    <x:row r="2304">
      <x:c r="A2304" s="20" t="str">
        <x:v>FIN-01132</x:v>
      </x:c>
      <x:c r="B2304" s="32" t="n">
        <x:v>3</x:v>
      </x:c>
      <x:c r="C2304" s="23" t="n">
        <x:v>46438</x:v>
      </x:c>
      <x:c r="D2304" s="23" t="n">
        <x:v>46438</x:v>
      </x:c>
      <x:c r="E2304" s="20" t="str">
        <x:v>P017</x:v>
      </x:c>
      <x:c r="F2304" s="20" t="str"/>
      <x:c r="G2304" s="20" t="str"/>
      <x:c r="H2304" s="20" t="str">
        <x:v>1000 Operating Cash</x:v>
      </x:c>
      <x:c r="I2304" s="26" t="n">
        <x:v>0</x:v>
      </x:c>
      <x:c r="J2304" s="26" t="n">
        <x:v>1430</x:v>
      </x:c>
      <x:c r="K2304" s="35" t="str">
        <x:v>LN017 scheduled payment</x:v>
      </x:c>
    </x:row>
    <x:row r="2305">
      <x:c r="A2305" s="20" t="str">
        <x:v>FIN-01133</x:v>
      </x:c>
      <x:c r="B2305" s="32" t="n">
        <x:v>1</x:v>
      </x:c>
      <x:c r="C2305" s="23" t="n">
        <x:v>46438</x:v>
      </x:c>
      <x:c r="D2305" s="23" t="n">
        <x:v>46438</x:v>
      </x:c>
      <x:c r="E2305" s="20" t="str">
        <x:v>P019</x:v>
      </x:c>
      <x:c r="F2305" s="20" t="str"/>
      <x:c r="G2305" s="20" t="str"/>
      <x:c r="H2305" s="20" t="str">
        <x:v>2200 Mortgage Loans Payable</x:v>
      </x:c>
      <x:c r="I2305" s="26" t="n">
        <x:v>629</x:v>
      </x:c>
      <x:c r="J2305" s="26" t="n">
        <x:v>0</x:v>
      </x:c>
      <x:c r="K2305" s="35" t="str">
        <x:v>LN019 scheduled payment</x:v>
      </x:c>
    </x:row>
    <x:row r="2306">
      <x:c r="A2306" s="20" t="str">
        <x:v>FIN-01133</x:v>
      </x:c>
      <x:c r="B2306" s="32" t="n">
        <x:v>2</x:v>
      </x:c>
      <x:c r="C2306" s="23" t="n">
        <x:v>46438</x:v>
      </x:c>
      <x:c r="D2306" s="23" t="n">
        <x:v>46438</x:v>
      </x:c>
      <x:c r="E2306" s="20" t="str">
        <x:v>P019</x:v>
      </x:c>
      <x:c r="F2306" s="20" t="str"/>
      <x:c r="G2306" s="20" t="str"/>
      <x:c r="H2306" s="20" t="str">
        <x:v>5040 Mortgage Interest</x:v>
      </x:c>
      <x:c r="I2306" s="26" t="n">
        <x:v>849</x:v>
      </x:c>
      <x:c r="J2306" s="26" t="n">
        <x:v>0</x:v>
      </x:c>
      <x:c r="K2306" s="35" t="str">
        <x:v>LN019 scheduled payment</x:v>
      </x:c>
    </x:row>
    <x:row r="2307">
      <x:c r="A2307" s="20" t="str">
        <x:v>FIN-01133</x:v>
      </x:c>
      <x:c r="B2307" s="32" t="n">
        <x:v>3</x:v>
      </x:c>
      <x:c r="C2307" s="23" t="n">
        <x:v>46438</x:v>
      </x:c>
      <x:c r="D2307" s="23" t="n">
        <x:v>46438</x:v>
      </x:c>
      <x:c r="E2307" s="20" t="str">
        <x:v>P019</x:v>
      </x:c>
      <x:c r="F2307" s="20" t="str"/>
      <x:c r="G2307" s="20" t="str"/>
      <x:c r="H2307" s="20" t="str">
        <x:v>1000 Operating Cash</x:v>
      </x:c>
      <x:c r="I2307" s="26" t="n">
        <x:v>0</x:v>
      </x:c>
      <x:c r="J2307" s="26" t="n">
        <x:v>1478</x:v>
      </x:c>
      <x:c r="K2307" s="35" t="str">
        <x:v>LN019 scheduled payment</x:v>
      </x:c>
    </x:row>
    <x:row r="2308">
      <x:c r="A2308" s="20" t="str">
        <x:v>FIN-01134</x:v>
      </x:c>
      <x:c r="B2308" s="32" t="n">
        <x:v>1</x:v>
      </x:c>
      <x:c r="C2308" s="23" t="n">
        <x:v>46438</x:v>
      </x:c>
      <x:c r="D2308" s="23" t="n">
        <x:v>46438</x:v>
      </x:c>
      <x:c r="E2308" s="20" t="str">
        <x:v>P020</x:v>
      </x:c>
      <x:c r="F2308" s="20" t="str"/>
      <x:c r="G2308" s="20" t="str"/>
      <x:c r="H2308" s="20" t="str">
        <x:v>2200 Mortgage Loans Payable</x:v>
      </x:c>
      <x:c r="I2308" s="26" t="n">
        <x:v>640</x:v>
      </x:c>
      <x:c r="J2308" s="26" t="n">
        <x:v>0</x:v>
      </x:c>
      <x:c r="K2308" s="35" t="str">
        <x:v>LN020 scheduled payment</x:v>
      </x:c>
    </x:row>
    <x:row r="2309">
      <x:c r="A2309" s="20" t="str">
        <x:v>FIN-01134</x:v>
      </x:c>
      <x:c r="B2309" s="32" t="n">
        <x:v>2</x:v>
      </x:c>
      <x:c r="C2309" s="23" t="n">
        <x:v>46438</x:v>
      </x:c>
      <x:c r="D2309" s="23" t="n">
        <x:v>46438</x:v>
      </x:c>
      <x:c r="E2309" s="20" t="str">
        <x:v>P020</x:v>
      </x:c>
      <x:c r="F2309" s="20" t="str"/>
      <x:c r="G2309" s="20" t="str"/>
      <x:c r="H2309" s="20" t="str">
        <x:v>5040 Mortgage Interest</x:v>
      </x:c>
      <x:c r="I2309" s="26" t="n">
        <x:v>862</x:v>
      </x:c>
      <x:c r="J2309" s="26" t="n">
        <x:v>0</x:v>
      </x:c>
      <x:c r="K2309" s="35" t="str">
        <x:v>LN020 scheduled payment</x:v>
      </x:c>
    </x:row>
    <x:row r="2310">
      <x:c r="A2310" s="20" t="str">
        <x:v>FIN-01134</x:v>
      </x:c>
      <x:c r="B2310" s="32" t="n">
        <x:v>3</x:v>
      </x:c>
      <x:c r="C2310" s="23" t="n">
        <x:v>46438</x:v>
      </x:c>
      <x:c r="D2310" s="23" t="n">
        <x:v>46438</x:v>
      </x:c>
      <x:c r="E2310" s="20" t="str">
        <x:v>P020</x:v>
      </x:c>
      <x:c r="F2310" s="20" t="str"/>
      <x:c r="G2310" s="20" t="str"/>
      <x:c r="H2310" s="20" t="str">
        <x:v>1000 Operating Cash</x:v>
      </x:c>
      <x:c r="I2310" s="26" t="n">
        <x:v>0</x:v>
      </x:c>
      <x:c r="J2310" s="26" t="n">
        <x:v>1502</x:v>
      </x:c>
      <x:c r="K2310" s="35" t="str">
        <x:v>LN020 scheduled payment</x:v>
      </x:c>
    </x:row>
    <x:row r="2311">
      <x:c r="A2311" s="20" t="str">
        <x:v>FIN-01135</x:v>
      </x:c>
      <x:c r="B2311" s="32" t="n">
        <x:v>1</x:v>
      </x:c>
      <x:c r="C2311" s="23" t="n">
        <x:v>46438</x:v>
      </x:c>
      <x:c r="D2311" s="23" t="n">
        <x:v>46438</x:v>
      </x:c>
      <x:c r="E2311" s="20" t="str">
        <x:v>P022</x:v>
      </x:c>
      <x:c r="F2311" s="20" t="str"/>
      <x:c r="G2311" s="20" t="str"/>
      <x:c r="H2311" s="20" t="str">
        <x:v>2200 Mortgage Loans Payable</x:v>
      </x:c>
      <x:c r="I2311" s="26" t="n">
        <x:v>662</x:v>
      </x:c>
      <x:c r="J2311" s="26" t="n">
        <x:v>0</x:v>
      </x:c>
      <x:c r="K2311" s="35" t="str">
        <x:v>LN022 scheduled payment</x:v>
      </x:c>
    </x:row>
    <x:row r="2312">
      <x:c r="A2312" s="20" t="str">
        <x:v>FIN-01135</x:v>
      </x:c>
      <x:c r="B2312" s="32" t="n">
        <x:v>2</x:v>
      </x:c>
      <x:c r="C2312" s="23" t="n">
        <x:v>46438</x:v>
      </x:c>
      <x:c r="D2312" s="23" t="n">
        <x:v>46438</x:v>
      </x:c>
      <x:c r="E2312" s="20" t="str">
        <x:v>P022</x:v>
      </x:c>
      <x:c r="F2312" s="20" t="str"/>
      <x:c r="G2312" s="20" t="str"/>
      <x:c r="H2312" s="20" t="str">
        <x:v>5040 Mortgage Interest</x:v>
      </x:c>
      <x:c r="I2312" s="26" t="n">
        <x:v>888</x:v>
      </x:c>
      <x:c r="J2312" s="26" t="n">
        <x:v>0</x:v>
      </x:c>
      <x:c r="K2312" s="35" t="str">
        <x:v>LN022 scheduled payment</x:v>
      </x:c>
    </x:row>
    <x:row r="2313">
      <x:c r="A2313" s="20" t="str">
        <x:v>FIN-01135</x:v>
      </x:c>
      <x:c r="B2313" s="32" t="n">
        <x:v>3</x:v>
      </x:c>
      <x:c r="C2313" s="23" t="n">
        <x:v>46438</x:v>
      </x:c>
      <x:c r="D2313" s="23" t="n">
        <x:v>46438</x:v>
      </x:c>
      <x:c r="E2313" s="20" t="str">
        <x:v>P022</x:v>
      </x:c>
      <x:c r="F2313" s="20" t="str"/>
      <x:c r="G2313" s="20" t="str"/>
      <x:c r="H2313" s="20" t="str">
        <x:v>1000 Operating Cash</x:v>
      </x:c>
      <x:c r="I2313" s="26" t="n">
        <x:v>0</x:v>
      </x:c>
      <x:c r="J2313" s="26" t="n">
        <x:v>1550</x:v>
      </x:c>
      <x:c r="K2313" s="35" t="str">
        <x:v>LN022 scheduled payment</x:v>
      </x:c>
    </x:row>
    <x:row r="2314">
      <x:c r="A2314" s="20" t="str">
        <x:v>FIN-01136</x:v>
      </x:c>
      <x:c r="B2314" s="32" t="n">
        <x:v>1</x:v>
      </x:c>
      <x:c r="C2314" s="23" t="n">
        <x:v>46438</x:v>
      </x:c>
      <x:c r="D2314" s="23" t="n">
        <x:v>46438</x:v>
      </x:c>
      <x:c r="E2314" s="20" t="str">
        <x:v>P023</x:v>
      </x:c>
      <x:c r="F2314" s="20" t="str"/>
      <x:c r="G2314" s="20" t="str"/>
      <x:c r="H2314" s="20" t="str">
        <x:v>2200 Mortgage Loans Payable</x:v>
      </x:c>
      <x:c r="I2314" s="26" t="n">
        <x:v>673</x:v>
      </x:c>
      <x:c r="J2314" s="26" t="n">
        <x:v>0</x:v>
      </x:c>
      <x:c r="K2314" s="35" t="str">
        <x:v>LN023 scheduled payment</x:v>
      </x:c>
    </x:row>
    <x:row r="2315">
      <x:c r="A2315" s="20" t="str">
        <x:v>FIN-01136</x:v>
      </x:c>
      <x:c r="B2315" s="32" t="n">
        <x:v>2</x:v>
      </x:c>
      <x:c r="C2315" s="23" t="n">
        <x:v>46438</x:v>
      </x:c>
      <x:c r="D2315" s="23" t="n">
        <x:v>46438</x:v>
      </x:c>
      <x:c r="E2315" s="20" t="str">
        <x:v>P023</x:v>
      </x:c>
      <x:c r="F2315" s="20" t="str"/>
      <x:c r="G2315" s="20" t="str"/>
      <x:c r="H2315" s="20" t="str">
        <x:v>5040 Mortgage Interest</x:v>
      </x:c>
      <x:c r="I2315" s="26" t="n">
        <x:v>901</x:v>
      </x:c>
      <x:c r="J2315" s="26" t="n">
        <x:v>0</x:v>
      </x:c>
      <x:c r="K2315" s="35" t="str">
        <x:v>LN023 scheduled payment</x:v>
      </x:c>
    </x:row>
    <x:row r="2316">
      <x:c r="A2316" s="20" t="str">
        <x:v>FIN-01136</x:v>
      </x:c>
      <x:c r="B2316" s="32" t="n">
        <x:v>3</x:v>
      </x:c>
      <x:c r="C2316" s="23" t="n">
        <x:v>46438</x:v>
      </x:c>
      <x:c r="D2316" s="23" t="n">
        <x:v>46438</x:v>
      </x:c>
      <x:c r="E2316" s="20" t="str">
        <x:v>P023</x:v>
      </x:c>
      <x:c r="F2316" s="20" t="str"/>
      <x:c r="G2316" s="20" t="str"/>
      <x:c r="H2316" s="20" t="str">
        <x:v>1000 Operating Cash</x:v>
      </x:c>
      <x:c r="I2316" s="26" t="n">
        <x:v>0</x:v>
      </x:c>
      <x:c r="J2316" s="26" t="n">
        <x:v>1574</x:v>
      </x:c>
      <x:c r="K2316" s="35" t="str">
        <x:v>LN023 scheduled payment</x:v>
      </x:c>
    </x:row>
    <x:row r="2317">
      <x:c r="A2317" s="20" t="str">
        <x:v>FIN-01137</x:v>
      </x:c>
      <x:c r="B2317" s="32" t="n">
        <x:v>1</x:v>
      </x:c>
      <x:c r="C2317" s="23" t="n">
        <x:v>46438</x:v>
      </x:c>
      <x:c r="D2317" s="23" t="n">
        <x:v>46438</x:v>
      </x:c>
      <x:c r="E2317" s="20" t="str">
        <x:v>P025</x:v>
      </x:c>
      <x:c r="F2317" s="20" t="str"/>
      <x:c r="G2317" s="20" t="str"/>
      <x:c r="H2317" s="20" t="str">
        <x:v>2200 Mortgage Loans Payable</x:v>
      </x:c>
      <x:c r="I2317" s="26" t="n">
        <x:v>695</x:v>
      </x:c>
      <x:c r="J2317" s="26" t="n">
        <x:v>0</x:v>
      </x:c>
      <x:c r="K2317" s="35" t="str">
        <x:v>LN025 scheduled payment</x:v>
      </x:c>
    </x:row>
    <x:row r="2318">
      <x:c r="A2318" s="20" t="str">
        <x:v>FIN-01137</x:v>
      </x:c>
      <x:c r="B2318" s="32" t="n">
        <x:v>2</x:v>
      </x:c>
      <x:c r="C2318" s="23" t="n">
        <x:v>46438</x:v>
      </x:c>
      <x:c r="D2318" s="23" t="n">
        <x:v>46438</x:v>
      </x:c>
      <x:c r="E2318" s="20" t="str">
        <x:v>P025</x:v>
      </x:c>
      <x:c r="F2318" s="20" t="str"/>
      <x:c r="G2318" s="20" t="str"/>
      <x:c r="H2318" s="20" t="str">
        <x:v>5040 Mortgage Interest</x:v>
      </x:c>
      <x:c r="I2318" s="26" t="n">
        <x:v>927</x:v>
      </x:c>
      <x:c r="J2318" s="26" t="n">
        <x:v>0</x:v>
      </x:c>
      <x:c r="K2318" s="35" t="str">
        <x:v>LN025 scheduled payment</x:v>
      </x:c>
    </x:row>
    <x:row r="2319">
      <x:c r="A2319" s="20" t="str">
        <x:v>FIN-01137</x:v>
      </x:c>
      <x:c r="B2319" s="32" t="n">
        <x:v>3</x:v>
      </x:c>
      <x:c r="C2319" s="23" t="n">
        <x:v>46438</x:v>
      </x:c>
      <x:c r="D2319" s="23" t="n">
        <x:v>46438</x:v>
      </x:c>
      <x:c r="E2319" s="20" t="str">
        <x:v>P025</x:v>
      </x:c>
      <x:c r="F2319" s="20" t="str"/>
      <x:c r="G2319" s="20" t="str"/>
      <x:c r="H2319" s="20" t="str">
        <x:v>1000 Operating Cash</x:v>
      </x:c>
      <x:c r="I2319" s="26" t="n">
        <x:v>0</x:v>
      </x:c>
      <x:c r="J2319" s="26" t="n">
        <x:v>1622</x:v>
      </x:c>
      <x:c r="K2319" s="35" t="str">
        <x:v>LN025 scheduled payment</x:v>
      </x:c>
    </x:row>
    <x:row r="2320">
      <x:c r="A2320" s="20" t="str">
        <x:v>FIN-01138</x:v>
      </x:c>
      <x:c r="B2320" s="32" t="n">
        <x:v>1</x:v>
      </x:c>
      <x:c r="C2320" s="23" t="n">
        <x:v>46438</x:v>
      </x:c>
      <x:c r="D2320" s="23" t="n">
        <x:v>46438</x:v>
      </x:c>
      <x:c r="E2320" s="20" t="str">
        <x:v>P026</x:v>
      </x:c>
      <x:c r="F2320" s="20" t="str"/>
      <x:c r="G2320" s="20" t="str"/>
      <x:c r="H2320" s="20" t="str">
        <x:v>2200 Mortgage Loans Payable</x:v>
      </x:c>
      <x:c r="I2320" s="26" t="n">
        <x:v>706</x:v>
      </x:c>
      <x:c r="J2320" s="26" t="n">
        <x:v>0</x:v>
      </x:c>
      <x:c r="K2320" s="35" t="str">
        <x:v>LN026 scheduled payment</x:v>
      </x:c>
    </x:row>
    <x:row r="2321">
      <x:c r="A2321" s="20" t="str">
        <x:v>FIN-01138</x:v>
      </x:c>
      <x:c r="B2321" s="32" t="n">
        <x:v>2</x:v>
      </x:c>
      <x:c r="C2321" s="23" t="n">
        <x:v>46438</x:v>
      </x:c>
      <x:c r="D2321" s="23" t="n">
        <x:v>46438</x:v>
      </x:c>
      <x:c r="E2321" s="20" t="str">
        <x:v>P026</x:v>
      </x:c>
      <x:c r="F2321" s="20" t="str"/>
      <x:c r="G2321" s="20" t="str"/>
      <x:c r="H2321" s="20" t="str">
        <x:v>5040 Mortgage Interest</x:v>
      </x:c>
      <x:c r="I2321" s="26" t="n">
        <x:v>940</x:v>
      </x:c>
      <x:c r="J2321" s="26" t="n">
        <x:v>0</x:v>
      </x:c>
      <x:c r="K2321" s="35" t="str">
        <x:v>LN026 scheduled payment</x:v>
      </x:c>
    </x:row>
    <x:row r="2322">
      <x:c r="A2322" s="20" t="str">
        <x:v>FIN-01138</x:v>
      </x:c>
      <x:c r="B2322" s="32" t="n">
        <x:v>3</x:v>
      </x:c>
      <x:c r="C2322" s="23" t="n">
        <x:v>46438</x:v>
      </x:c>
      <x:c r="D2322" s="23" t="n">
        <x:v>46438</x:v>
      </x:c>
      <x:c r="E2322" s="20" t="str">
        <x:v>P026</x:v>
      </x:c>
      <x:c r="F2322" s="20" t="str"/>
      <x:c r="G2322" s="20" t="str"/>
      <x:c r="H2322" s="20" t="str">
        <x:v>1000 Operating Cash</x:v>
      </x:c>
      <x:c r="I2322" s="26" t="n">
        <x:v>0</x:v>
      </x:c>
      <x:c r="J2322" s="26" t="n">
        <x:v>1646</x:v>
      </x:c>
      <x:c r="K2322" s="35" t="str">
        <x:v>LN026 scheduled payment</x:v>
      </x:c>
    </x:row>
    <x:row r="2323">
      <x:c r="A2323" s="20" t="str">
        <x:v>FIN-01139</x:v>
      </x:c>
      <x:c r="B2323" s="32" t="n">
        <x:v>1</x:v>
      </x:c>
      <x:c r="C2323" s="23" t="n">
        <x:v>46438</x:v>
      </x:c>
      <x:c r="D2323" s="23" t="n">
        <x:v>46438</x:v>
      </x:c>
      <x:c r="E2323" s="20" t="str">
        <x:v>P028</x:v>
      </x:c>
      <x:c r="F2323" s="20" t="str"/>
      <x:c r="G2323" s="20" t="str"/>
      <x:c r="H2323" s="20" t="str">
        <x:v>2200 Mortgage Loans Payable</x:v>
      </x:c>
      <x:c r="I2323" s="26" t="n">
        <x:v>728</x:v>
      </x:c>
      <x:c r="J2323" s="26" t="n">
        <x:v>0</x:v>
      </x:c>
      <x:c r="K2323" s="35" t="str">
        <x:v>LN028 scheduled payment</x:v>
      </x:c>
    </x:row>
    <x:row r="2324">
      <x:c r="A2324" s="20" t="str">
        <x:v>FIN-01139</x:v>
      </x:c>
      <x:c r="B2324" s="32" t="n">
        <x:v>2</x:v>
      </x:c>
      <x:c r="C2324" s="23" t="n">
        <x:v>46438</x:v>
      </x:c>
      <x:c r="D2324" s="23" t="n">
        <x:v>46438</x:v>
      </x:c>
      <x:c r="E2324" s="20" t="str">
        <x:v>P028</x:v>
      </x:c>
      <x:c r="F2324" s="20" t="str"/>
      <x:c r="G2324" s="20" t="str"/>
      <x:c r="H2324" s="20" t="str">
        <x:v>5040 Mortgage Interest</x:v>
      </x:c>
      <x:c r="I2324" s="26" t="n">
        <x:v>966</x:v>
      </x:c>
      <x:c r="J2324" s="26" t="n">
        <x:v>0</x:v>
      </x:c>
      <x:c r="K2324" s="35" t="str">
        <x:v>LN028 scheduled payment</x:v>
      </x:c>
    </x:row>
    <x:row r="2325">
      <x:c r="A2325" s="20" t="str">
        <x:v>FIN-01139</x:v>
      </x:c>
      <x:c r="B2325" s="32" t="n">
        <x:v>3</x:v>
      </x:c>
      <x:c r="C2325" s="23" t="n">
        <x:v>46438</x:v>
      </x:c>
      <x:c r="D2325" s="23" t="n">
        <x:v>46438</x:v>
      </x:c>
      <x:c r="E2325" s="20" t="str">
        <x:v>P028</x:v>
      </x:c>
      <x:c r="F2325" s="20" t="str"/>
      <x:c r="G2325" s="20" t="str"/>
      <x:c r="H2325" s="20" t="str">
        <x:v>1000 Operating Cash</x:v>
      </x:c>
      <x:c r="I2325" s="26" t="n">
        <x:v>0</x:v>
      </x:c>
      <x:c r="J2325" s="26" t="n">
        <x:v>1694</x:v>
      </x:c>
      <x:c r="K2325" s="35" t="str">
        <x:v>LN028 scheduled payment</x:v>
      </x:c>
    </x:row>
    <x:row r="2326">
      <x:c r="A2326" s="20" t="str">
        <x:v>FIN-01140</x:v>
      </x:c>
      <x:c r="B2326" s="32" t="n">
        <x:v>1</x:v>
      </x:c>
      <x:c r="C2326" s="23" t="n">
        <x:v>46438</x:v>
      </x:c>
      <x:c r="D2326" s="23" t="n">
        <x:v>46438</x:v>
      </x:c>
      <x:c r="E2326" s="20" t="str">
        <x:v>P029</x:v>
      </x:c>
      <x:c r="F2326" s="20" t="str"/>
      <x:c r="G2326" s="20" t="str"/>
      <x:c r="H2326" s="20" t="str">
        <x:v>2200 Mortgage Loans Payable</x:v>
      </x:c>
      <x:c r="I2326" s="26" t="n">
        <x:v>739</x:v>
      </x:c>
      <x:c r="J2326" s="26" t="n">
        <x:v>0</x:v>
      </x:c>
      <x:c r="K2326" s="35" t="str">
        <x:v>LN029 scheduled payment</x:v>
      </x:c>
    </x:row>
    <x:row r="2327">
      <x:c r="A2327" s="20" t="str">
        <x:v>FIN-01140</x:v>
      </x:c>
      <x:c r="B2327" s="32" t="n">
        <x:v>2</x:v>
      </x:c>
      <x:c r="C2327" s="23" t="n">
        <x:v>46438</x:v>
      </x:c>
      <x:c r="D2327" s="23" t="n">
        <x:v>46438</x:v>
      </x:c>
      <x:c r="E2327" s="20" t="str">
        <x:v>P029</x:v>
      </x:c>
      <x:c r="F2327" s="20" t="str"/>
      <x:c r="G2327" s="20" t="str"/>
      <x:c r="H2327" s="20" t="str">
        <x:v>5040 Mortgage Interest</x:v>
      </x:c>
      <x:c r="I2327" s="26" t="n">
        <x:v>979</x:v>
      </x:c>
      <x:c r="J2327" s="26" t="n">
        <x:v>0</x:v>
      </x:c>
      <x:c r="K2327" s="35" t="str">
        <x:v>LN029 scheduled payment</x:v>
      </x:c>
    </x:row>
    <x:row r="2328">
      <x:c r="A2328" s="20" t="str">
        <x:v>FIN-01140</x:v>
      </x:c>
      <x:c r="B2328" s="32" t="n">
        <x:v>3</x:v>
      </x:c>
      <x:c r="C2328" s="23" t="n">
        <x:v>46438</x:v>
      </x:c>
      <x:c r="D2328" s="23" t="n">
        <x:v>46438</x:v>
      </x:c>
      <x:c r="E2328" s="20" t="str">
        <x:v>P029</x:v>
      </x:c>
      <x:c r="F2328" s="20" t="str"/>
      <x:c r="G2328" s="20" t="str"/>
      <x:c r="H2328" s="20" t="str">
        <x:v>1000 Operating Cash</x:v>
      </x:c>
      <x:c r="I2328" s="26" t="n">
        <x:v>0</x:v>
      </x:c>
      <x:c r="J2328" s="26" t="n">
        <x:v>1718</x:v>
      </x:c>
      <x:c r="K2328" s="35" t="str">
        <x:v>LN029 scheduled payment</x:v>
      </x:c>
    </x:row>
    <x:row r="2329">
      <x:c r="A2329" s="20" t="str">
        <x:v>FIN-01141</x:v>
      </x:c>
      <x:c r="B2329" s="32" t="n">
        <x:v>1</x:v>
      </x:c>
      <x:c r="C2329" s="23" t="n">
        <x:v>46443</x:v>
      </x:c>
      <x:c r="D2329" s="23" t="n">
        <x:v>46443</x:v>
      </x:c>
      <x:c r="E2329" s="20" t="str"/>
      <x:c r="F2329" s="20" t="str"/>
      <x:c r="G2329" s="20" t="str"/>
      <x:c r="H2329" s="20" t="str">
        <x:v>3100 Owner Distributions</x:v>
      </x:c>
      <x:c r="I2329" s="26" t="n">
        <x:v>3250</x:v>
      </x:c>
      <x:c r="J2329" s="26" t="n">
        <x:v>0</x:v>
      </x:c>
      <x:c r="K2329" s="35" t="str">
        <x:v>Monthly distribution to Blue Door Residential LLC</x:v>
      </x:c>
    </x:row>
    <x:row r="2330">
      <x:c r="A2330" s="20" t="str">
        <x:v>FIN-01141</x:v>
      </x:c>
      <x:c r="B2330" s="32" t="n">
        <x:v>2</x:v>
      </x:c>
      <x:c r="C2330" s="23" t="n">
        <x:v>46443</x:v>
      </x:c>
      <x:c r="D2330" s="23" t="n">
        <x:v>46443</x:v>
      </x:c>
      <x:c r="E2330" s="20" t="str"/>
      <x:c r="F2330" s="20" t="str"/>
      <x:c r="G2330" s="20" t="str"/>
      <x:c r="H2330" s="20" t="str">
        <x:v>1000 Operating Cash</x:v>
      </x:c>
      <x:c r="I2330" s="26" t="n">
        <x:v>0</x:v>
      </x:c>
      <x:c r="J2330" s="26" t="n">
        <x:v>3250</x:v>
      </x:c>
      <x:c r="K2330" s="35" t="str">
        <x:v>Monthly distribution to Blue Door Residential LLC</x:v>
      </x:c>
    </x:row>
    <x:row r="2331">
      <x:c r="A2331" s="20" t="str">
        <x:v>FIN-01142</x:v>
      </x:c>
      <x:c r="B2331" s="32" t="n">
        <x:v>1</x:v>
      </x:c>
      <x:c r="C2331" s="23" t="n">
        <x:v>46443</x:v>
      </x:c>
      <x:c r="D2331" s="23" t="n">
        <x:v>46443</x:v>
      </x:c>
      <x:c r="E2331" s="20" t="str"/>
      <x:c r="F2331" s="20" t="str"/>
      <x:c r="G2331" s="20" t="str"/>
      <x:c r="H2331" s="20" t="str">
        <x:v>3100 Owner Distributions</x:v>
      </x:c>
      <x:c r="I2331" s="26" t="n">
        <x:v>3600</x:v>
      </x:c>
      <x:c r="J2331" s="26" t="n">
        <x:v>0</x:v>
      </x:c>
      <x:c r="K2331" s="35" t="str">
        <x:v>Monthly distribution to Coble Family Rentals LLC</x:v>
      </x:c>
    </x:row>
    <x:row r="2332">
      <x:c r="A2332" s="20" t="str">
        <x:v>FIN-01142</x:v>
      </x:c>
      <x:c r="B2332" s="32" t="n">
        <x:v>2</x:v>
      </x:c>
      <x:c r="C2332" s="23" t="n">
        <x:v>46443</x:v>
      </x:c>
      <x:c r="D2332" s="23" t="n">
        <x:v>46443</x:v>
      </x:c>
      <x:c r="E2332" s="20" t="str"/>
      <x:c r="F2332" s="20" t="str"/>
      <x:c r="G2332" s="20" t="str"/>
      <x:c r="H2332" s="20" t="str">
        <x:v>1000 Operating Cash</x:v>
      </x:c>
      <x:c r="I2332" s="26" t="n">
        <x:v>0</x:v>
      </x:c>
      <x:c r="J2332" s="26" t="n">
        <x:v>3600</x:v>
      </x:c>
      <x:c r="K2332" s="35" t="str">
        <x:v>Monthly distribution to Coble Family Rentals LLC</x:v>
      </x:c>
    </x:row>
    <x:row r="2333">
      <x:c r="A2333" s="20" t="str">
        <x:v>FIN-01143</x:v>
      </x:c>
      <x:c r="B2333" s="32" t="n">
        <x:v>1</x:v>
      </x:c>
      <x:c r="C2333" s="23" t="n">
        <x:v>46443</x:v>
      </x:c>
      <x:c r="D2333" s="23" t="n">
        <x:v>46443</x:v>
      </x:c>
      <x:c r="E2333" s="20" t="str"/>
      <x:c r="F2333" s="20" t="str"/>
      <x:c r="G2333" s="20" t="str"/>
      <x:c r="H2333" s="20" t="str">
        <x:v>3100 Owner Distributions</x:v>
      </x:c>
      <x:c r="I2333" s="26" t="n">
        <x:v>3950</x:v>
      </x:c>
      <x:c r="J2333" s="26" t="n">
        <x:v>0</x:v>
      </x:c>
      <x:c r="K2333" s="35" t="str">
        <x:v>Monthly distribution to Northstar Property Partners LLC</x:v>
      </x:c>
    </x:row>
    <x:row r="2334">
      <x:c r="A2334" s="20" t="str">
        <x:v>FIN-01143</x:v>
      </x:c>
      <x:c r="B2334" s="32" t="n">
        <x:v>2</x:v>
      </x:c>
      <x:c r="C2334" s="23" t="n">
        <x:v>46443</x:v>
      </x:c>
      <x:c r="D2334" s="23" t="n">
        <x:v>46443</x:v>
      </x:c>
      <x:c r="E2334" s="20" t="str"/>
      <x:c r="F2334" s="20" t="str"/>
      <x:c r="G2334" s="20" t="str"/>
      <x:c r="H2334" s="20" t="str">
        <x:v>1000 Operating Cash</x:v>
      </x:c>
      <x:c r="I2334" s="26" t="n">
        <x:v>0</x:v>
      </x:c>
      <x:c r="J2334" s="26" t="n">
        <x:v>3950</x:v>
      </x:c>
      <x:c r="K2334" s="35" t="str">
        <x:v>Monthly distribution to Northstar Property Partners LLC</x:v>
      </x:c>
    </x:row>
    <x:row r="2335">
      <x:c r="A2335" s="20" t="str">
        <x:v>FIN-01144</x:v>
      </x:c>
      <x:c r="B2335" s="32" t="n">
        <x:v>1</x:v>
      </x:c>
      <x:c r="C2335" s="23" t="n">
        <x:v>46443</x:v>
      </x:c>
      <x:c r="D2335" s="23" t="n">
        <x:v>46443</x:v>
      </x:c>
      <x:c r="E2335" s="20" t="str"/>
      <x:c r="F2335" s="20" t="str"/>
      <x:c r="G2335" s="20" t="str"/>
      <x:c r="H2335" s="20" t="str">
        <x:v>3100 Owner Distributions</x:v>
      </x:c>
      <x:c r="I2335" s="26" t="n">
        <x:v>4300</x:v>
      </x:c>
      <x:c r="J2335" s="26" t="n">
        <x:v>0</x:v>
      </x:c>
      <x:c r="K2335" s="35" t="str">
        <x:v>Monthly distribution to Riverbend Homes LLC</x:v>
      </x:c>
    </x:row>
    <x:row r="2336">
      <x:c r="A2336" s="20" t="str">
        <x:v>FIN-01144</x:v>
      </x:c>
      <x:c r="B2336" s="32" t="n">
        <x:v>2</x:v>
      </x:c>
      <x:c r="C2336" s="23" t="n">
        <x:v>46443</x:v>
      </x:c>
      <x:c r="D2336" s="23" t="n">
        <x:v>46443</x:v>
      </x:c>
      <x:c r="E2336" s="20" t="str"/>
      <x:c r="F2336" s="20" t="str"/>
      <x:c r="G2336" s="20" t="str"/>
      <x:c r="H2336" s="20" t="str">
        <x:v>1000 Operating Cash</x:v>
      </x:c>
      <x:c r="I2336" s="26" t="n">
        <x:v>0</x:v>
      </x:c>
      <x:c r="J2336" s="26" t="n">
        <x:v>4300</x:v>
      </x:c>
      <x:c r="K2336" s="35" t="str">
        <x:v>Monthly distribution to Riverbend Homes LLC</x:v>
      </x:c>
    </x:row>
    <x:row r="2337">
      <x:c r="A2337" s="20" t="str">
        <x:v>FIN-01145</x:v>
      </x:c>
      <x:c r="B2337" s="32" t="n">
        <x:v>1</x:v>
      </x:c>
      <x:c r="C2337" s="23" t="n">
        <x:v>46443</x:v>
      </x:c>
      <x:c r="D2337" s="23" t="n">
        <x:v>46443</x:v>
      </x:c>
      <x:c r="E2337" s="20" t="str"/>
      <x:c r="F2337" s="20" t="str"/>
      <x:c r="G2337" s="20" t="str"/>
      <x:c r="H2337" s="20" t="str">
        <x:v>3100 Owner Distributions</x:v>
      </x:c>
      <x:c r="I2337" s="26" t="n">
        <x:v>4650</x:v>
      </x:c>
      <x:c r="J2337" s="26" t="n">
        <x:v>0</x:v>
      </x:c>
      <x:c r="K2337" s="35" t="str">
        <x:v>Monthly distribution to Juniper Street Holdings LLC</x:v>
      </x:c>
    </x:row>
    <x:row r="2338">
      <x:c r="A2338" s="20" t="str">
        <x:v>FIN-01145</x:v>
      </x:c>
      <x:c r="B2338" s="32" t="n">
        <x:v>2</x:v>
      </x:c>
      <x:c r="C2338" s="23" t="n">
        <x:v>46443</x:v>
      </x:c>
      <x:c r="D2338" s="23" t="n">
        <x:v>46443</x:v>
      </x:c>
      <x:c r="E2338" s="20" t="str"/>
      <x:c r="F2338" s="20" t="str"/>
      <x:c r="G2338" s="20" t="str"/>
      <x:c r="H2338" s="20" t="str">
        <x:v>1000 Operating Cash</x:v>
      </x:c>
      <x:c r="I2338" s="26" t="n">
        <x:v>0</x:v>
      </x:c>
      <x:c r="J2338" s="26" t="n">
        <x:v>4650</x:v>
      </x:c>
      <x:c r="K2338" s="35" t="str">
        <x:v>Monthly distribution to Juniper Street Holdings LLC</x:v>
      </x:c>
    </x:row>
    <x:row r="2339">
      <x:c r="A2339" s="20" t="str">
        <x:v>FIN-01146</x:v>
      </x:c>
      <x:c r="B2339" s="32" t="n">
        <x:v>1</x:v>
      </x:c>
      <x:c r="C2339" s="23" t="n">
        <x:v>46461</x:v>
      </x:c>
      <x:c r="D2339" s="23" t="n">
        <x:v>46461</x:v>
      </x:c>
      <x:c r="E2339" s="20" t="str">
        <x:v>P021</x:v>
      </x:c>
      <x:c r="F2339" s="20" t="str"/>
      <x:c r="G2339" s="20" t="str"/>
      <x:c r="H2339" s="20" t="str">
        <x:v>5010 Utilities</x:v>
      </x:c>
      <x:c r="I2339" s="26" t="n">
        <x:v>158</x:v>
      </x:c>
      <x:c r="J2339" s="26" t="n">
        <x:v>0</x:v>
      </x:c>
      <x:c r="K2339" s="35" t="str">
        <x:v>City Water &amp; Sewer</x:v>
      </x:c>
    </x:row>
    <x:row r="2340">
      <x:c r="A2340" s="20" t="str">
        <x:v>FIN-01146</x:v>
      </x:c>
      <x:c r="B2340" s="32" t="n">
        <x:v>2</x:v>
      </x:c>
      <x:c r="C2340" s="23" t="n">
        <x:v>46461</x:v>
      </x:c>
      <x:c r="D2340" s="23" t="n">
        <x:v>46461</x:v>
      </x:c>
      <x:c r="E2340" s="20" t="str">
        <x:v>P021</x:v>
      </x:c>
      <x:c r="F2340" s="20" t="str"/>
      <x:c r="G2340" s="20" t="str"/>
      <x:c r="H2340" s="20" t="str">
        <x:v>1000 Operating Cash</x:v>
      </x:c>
      <x:c r="I2340" s="26" t="n">
        <x:v>0</x:v>
      </x:c>
      <x:c r="J2340" s="26" t="n">
        <x:v>158</x:v>
      </x:c>
      <x:c r="K2340" s="35" t="str">
        <x:v>City Water &amp; Sewer</x:v>
      </x:c>
    </x:row>
    <x:row r="2341">
      <x:c r="A2341" s="20" t="str">
        <x:v>FIN-01147</x:v>
      </x:c>
      <x:c r="B2341" s="32" t="n">
        <x:v>1</x:v>
      </x:c>
      <x:c r="C2341" s="23" t="n">
        <x:v>46461</x:v>
      </x:c>
      <x:c r="D2341" s="23" t="n">
        <x:v>46461</x:v>
      </x:c>
      <x:c r="E2341" s="20" t="str">
        <x:v>P022</x:v>
      </x:c>
      <x:c r="F2341" s="20" t="str"/>
      <x:c r="G2341" s="20" t="str"/>
      <x:c r="H2341" s="20" t="str">
        <x:v>5010 Utilities</x:v>
      </x:c>
      <x:c r="I2341" s="26" t="n">
        <x:v>165</x:v>
      </x:c>
      <x:c r="J2341" s="26" t="n">
        <x:v>0</x:v>
      </x:c>
      <x:c r="K2341" s="35" t="str">
        <x:v>City Water &amp; Sewer</x:v>
      </x:c>
    </x:row>
    <x:row r="2342">
      <x:c r="A2342" s="20" t="str">
        <x:v>FIN-01147</x:v>
      </x:c>
      <x:c r="B2342" s="32" t="n">
        <x:v>2</x:v>
      </x:c>
      <x:c r="C2342" s="23" t="n">
        <x:v>46461</x:v>
      </x:c>
      <x:c r="D2342" s="23" t="n">
        <x:v>46461</x:v>
      </x:c>
      <x:c r="E2342" s="20" t="str">
        <x:v>P022</x:v>
      </x:c>
      <x:c r="F2342" s="20" t="str"/>
      <x:c r="G2342" s="20" t="str"/>
      <x:c r="H2342" s="20" t="str">
        <x:v>1000 Operating Cash</x:v>
      </x:c>
      <x:c r="I2342" s="26" t="n">
        <x:v>0</x:v>
      </x:c>
      <x:c r="J2342" s="26" t="n">
        <x:v>165</x:v>
      </x:c>
      <x:c r="K2342" s="35" t="str">
        <x:v>City Water &amp; Sewer</x:v>
      </x:c>
    </x:row>
    <x:row r="2343">
      <x:c r="A2343" s="20" t="str">
        <x:v>FIN-01148</x:v>
      </x:c>
      <x:c r="B2343" s="32" t="n">
        <x:v>1</x:v>
      </x:c>
      <x:c r="C2343" s="23" t="n">
        <x:v>46461</x:v>
      </x:c>
      <x:c r="D2343" s="23" t="n">
        <x:v>46461</x:v>
      </x:c>
      <x:c r="E2343" s="20" t="str">
        <x:v>P023</x:v>
      </x:c>
      <x:c r="F2343" s="20" t="str"/>
      <x:c r="G2343" s="20" t="str"/>
      <x:c r="H2343" s="20" t="str">
        <x:v>5010 Utilities</x:v>
      </x:c>
      <x:c r="I2343" s="26" t="n">
        <x:v>172</x:v>
      </x:c>
      <x:c r="J2343" s="26" t="n">
        <x:v>0</x:v>
      </x:c>
      <x:c r="K2343" s="35" t="str">
        <x:v>City Water &amp; Sewer</x:v>
      </x:c>
    </x:row>
    <x:row r="2344">
      <x:c r="A2344" s="20" t="str">
        <x:v>FIN-01148</x:v>
      </x:c>
      <x:c r="B2344" s="32" t="n">
        <x:v>2</x:v>
      </x:c>
      <x:c r="C2344" s="23" t="n">
        <x:v>46461</x:v>
      </x:c>
      <x:c r="D2344" s="23" t="n">
        <x:v>46461</x:v>
      </x:c>
      <x:c r="E2344" s="20" t="str">
        <x:v>P023</x:v>
      </x:c>
      <x:c r="F2344" s="20" t="str"/>
      <x:c r="G2344" s="20" t="str"/>
      <x:c r="H2344" s="20" t="str">
        <x:v>1000 Operating Cash</x:v>
      </x:c>
      <x:c r="I2344" s="26" t="n">
        <x:v>0</x:v>
      </x:c>
      <x:c r="J2344" s="26" t="n">
        <x:v>172</x:v>
      </x:c>
      <x:c r="K2344" s="35" t="str">
        <x:v>City Water &amp; Sewer</x:v>
      </x:c>
    </x:row>
    <x:row r="2345">
      <x:c r="A2345" s="20" t="str">
        <x:v>FIN-01149</x:v>
      </x:c>
      <x:c r="B2345" s="32" t="n">
        <x:v>1</x:v>
      </x:c>
      <x:c r="C2345" s="23" t="n">
        <x:v>46461</x:v>
      </x:c>
      <x:c r="D2345" s="23" t="n">
        <x:v>46461</x:v>
      </x:c>
      <x:c r="E2345" s="20" t="str">
        <x:v>P024</x:v>
      </x:c>
      <x:c r="F2345" s="20" t="str"/>
      <x:c r="G2345" s="20" t="str"/>
      <x:c r="H2345" s="20" t="str">
        <x:v>5010 Utilities</x:v>
      </x:c>
      <x:c r="I2345" s="26" t="n">
        <x:v>179</x:v>
      </x:c>
      <x:c r="J2345" s="26" t="n">
        <x:v>0</x:v>
      </x:c>
      <x:c r="K2345" s="35" t="str">
        <x:v>City Water &amp; Sewer</x:v>
      </x:c>
    </x:row>
    <x:row r="2346">
      <x:c r="A2346" s="20" t="str">
        <x:v>FIN-01149</x:v>
      </x:c>
      <x:c r="B2346" s="32" t="n">
        <x:v>2</x:v>
      </x:c>
      <x:c r="C2346" s="23" t="n">
        <x:v>46461</x:v>
      </x:c>
      <x:c r="D2346" s="23" t="n">
        <x:v>46461</x:v>
      </x:c>
      <x:c r="E2346" s="20" t="str">
        <x:v>P024</x:v>
      </x:c>
      <x:c r="F2346" s="20" t="str"/>
      <x:c r="G2346" s="20" t="str"/>
      <x:c r="H2346" s="20" t="str">
        <x:v>1000 Operating Cash</x:v>
      </x:c>
      <x:c r="I2346" s="26" t="n">
        <x:v>0</x:v>
      </x:c>
      <x:c r="J2346" s="26" t="n">
        <x:v>179</x:v>
      </x:c>
      <x:c r="K2346" s="35" t="str">
        <x:v>City Water &amp; Sewer</x:v>
      </x:c>
    </x:row>
    <x:row r="2347">
      <x:c r="A2347" s="20" t="str">
        <x:v>FIN-01150</x:v>
      </x:c>
      <x:c r="B2347" s="32" t="n">
        <x:v>1</x:v>
      </x:c>
      <x:c r="C2347" s="23" t="n">
        <x:v>46461</x:v>
      </x:c>
      <x:c r="D2347" s="23" t="n">
        <x:v>46461</x:v>
      </x:c>
      <x:c r="E2347" s="20" t="str">
        <x:v>P025</x:v>
      </x:c>
      <x:c r="F2347" s="20" t="str"/>
      <x:c r="G2347" s="20" t="str"/>
      <x:c r="H2347" s="20" t="str">
        <x:v>5010 Utilities</x:v>
      </x:c>
      <x:c r="I2347" s="26" t="n">
        <x:v>186</x:v>
      </x:c>
      <x:c r="J2347" s="26" t="n">
        <x:v>0</x:v>
      </x:c>
      <x:c r="K2347" s="35" t="str">
        <x:v>City Water &amp; Sewer</x:v>
      </x:c>
    </x:row>
    <x:row r="2348">
      <x:c r="A2348" s="20" t="str">
        <x:v>FIN-01150</x:v>
      </x:c>
      <x:c r="B2348" s="32" t="n">
        <x:v>2</x:v>
      </x:c>
      <x:c r="C2348" s="23" t="n">
        <x:v>46461</x:v>
      </x:c>
      <x:c r="D2348" s="23" t="n">
        <x:v>46461</x:v>
      </x:c>
      <x:c r="E2348" s="20" t="str">
        <x:v>P025</x:v>
      </x:c>
      <x:c r="F2348" s="20" t="str"/>
      <x:c r="G2348" s="20" t="str"/>
      <x:c r="H2348" s="20" t="str">
        <x:v>1000 Operating Cash</x:v>
      </x:c>
      <x:c r="I2348" s="26" t="n">
        <x:v>0</x:v>
      </x:c>
      <x:c r="J2348" s="26" t="n">
        <x:v>186</x:v>
      </x:c>
      <x:c r="K2348" s="35" t="str">
        <x:v>City Water &amp; Sewer</x:v>
      </x:c>
    </x:row>
    <x:row r="2349">
      <x:c r="A2349" s="20" t="str">
        <x:v>FIN-01151</x:v>
      </x:c>
      <x:c r="B2349" s="32" t="n">
        <x:v>1</x:v>
      </x:c>
      <x:c r="C2349" s="23" t="n">
        <x:v>46461</x:v>
      </x:c>
      <x:c r="D2349" s="23" t="n">
        <x:v>46461</x:v>
      </x:c>
      <x:c r="E2349" s="20" t="str">
        <x:v>P026</x:v>
      </x:c>
      <x:c r="F2349" s="20" t="str"/>
      <x:c r="G2349" s="20" t="str"/>
      <x:c r="H2349" s="20" t="str">
        <x:v>5010 Utilities</x:v>
      </x:c>
      <x:c r="I2349" s="26" t="n">
        <x:v>193</x:v>
      </x:c>
      <x:c r="J2349" s="26" t="n">
        <x:v>0</x:v>
      </x:c>
      <x:c r="K2349" s="35" t="str">
        <x:v>City Water &amp; Sewer</x:v>
      </x:c>
    </x:row>
    <x:row r="2350">
      <x:c r="A2350" s="20" t="str">
        <x:v>FIN-01151</x:v>
      </x:c>
      <x:c r="B2350" s="32" t="n">
        <x:v>2</x:v>
      </x:c>
      <x:c r="C2350" s="23" t="n">
        <x:v>46461</x:v>
      </x:c>
      <x:c r="D2350" s="23" t="n">
        <x:v>46461</x:v>
      </x:c>
      <x:c r="E2350" s="20" t="str">
        <x:v>P026</x:v>
      </x:c>
      <x:c r="F2350" s="20" t="str"/>
      <x:c r="G2350" s="20" t="str"/>
      <x:c r="H2350" s="20" t="str">
        <x:v>1000 Operating Cash</x:v>
      </x:c>
      <x:c r="I2350" s="26" t="n">
        <x:v>0</x:v>
      </x:c>
      <x:c r="J2350" s="26" t="n">
        <x:v>193</x:v>
      </x:c>
      <x:c r="K2350" s="35" t="str">
        <x:v>City Water &amp; Sewer</x:v>
      </x:c>
    </x:row>
    <x:row r="2351">
      <x:c r="A2351" s="20" t="str">
        <x:v>FIN-01152</x:v>
      </x:c>
      <x:c r="B2351" s="32" t="n">
        <x:v>1</x:v>
      </x:c>
      <x:c r="C2351" s="23" t="n">
        <x:v>46461</x:v>
      </x:c>
      <x:c r="D2351" s="23" t="n">
        <x:v>46461</x:v>
      </x:c>
      <x:c r="E2351" s="20" t="str">
        <x:v>P027</x:v>
      </x:c>
      <x:c r="F2351" s="20" t="str"/>
      <x:c r="G2351" s="20" t="str"/>
      <x:c r="H2351" s="20" t="str">
        <x:v>5010 Utilities</x:v>
      </x:c>
      <x:c r="I2351" s="26" t="n">
        <x:v>200</x:v>
      </x:c>
      <x:c r="J2351" s="26" t="n">
        <x:v>0</x:v>
      </x:c>
      <x:c r="K2351" s="35" t="str">
        <x:v>City Water &amp; Sewer</x:v>
      </x:c>
    </x:row>
    <x:row r="2352">
      <x:c r="A2352" s="20" t="str">
        <x:v>FIN-01152</x:v>
      </x:c>
      <x:c r="B2352" s="32" t="n">
        <x:v>2</x:v>
      </x:c>
      <x:c r="C2352" s="23" t="n">
        <x:v>46461</x:v>
      </x:c>
      <x:c r="D2352" s="23" t="n">
        <x:v>46461</x:v>
      </x:c>
      <x:c r="E2352" s="20" t="str">
        <x:v>P027</x:v>
      </x:c>
      <x:c r="F2352" s="20" t="str"/>
      <x:c r="G2352" s="20" t="str"/>
      <x:c r="H2352" s="20" t="str">
        <x:v>1000 Operating Cash</x:v>
      </x:c>
      <x:c r="I2352" s="26" t="n">
        <x:v>0</x:v>
      </x:c>
      <x:c r="J2352" s="26" t="n">
        <x:v>200</x:v>
      </x:c>
      <x:c r="K2352" s="35" t="str">
        <x:v>City Water &amp; Sewer</x:v>
      </x:c>
    </x:row>
    <x:row r="2353">
      <x:c r="A2353" s="20" t="str">
        <x:v>FIN-01153</x:v>
      </x:c>
      <x:c r="B2353" s="32" t="n">
        <x:v>1</x:v>
      </x:c>
      <x:c r="C2353" s="23" t="n">
        <x:v>46461</x:v>
      </x:c>
      <x:c r="D2353" s="23" t="n">
        <x:v>46461</x:v>
      </x:c>
      <x:c r="E2353" s="20" t="str">
        <x:v>P028</x:v>
      </x:c>
      <x:c r="F2353" s="20" t="str"/>
      <x:c r="G2353" s="20" t="str"/>
      <x:c r="H2353" s="20" t="str">
        <x:v>5010 Utilities</x:v>
      </x:c>
      <x:c r="I2353" s="26" t="n">
        <x:v>207</x:v>
      </x:c>
      <x:c r="J2353" s="26" t="n">
        <x:v>0</x:v>
      </x:c>
      <x:c r="K2353" s="35" t="str">
        <x:v>City Water &amp; Sewer</x:v>
      </x:c>
    </x:row>
    <x:row r="2354">
      <x:c r="A2354" s="20" t="str">
        <x:v>FIN-01153</x:v>
      </x:c>
      <x:c r="B2354" s="32" t="n">
        <x:v>2</x:v>
      </x:c>
      <x:c r="C2354" s="23" t="n">
        <x:v>46461</x:v>
      </x:c>
      <x:c r="D2354" s="23" t="n">
        <x:v>46461</x:v>
      </x:c>
      <x:c r="E2354" s="20" t="str">
        <x:v>P028</x:v>
      </x:c>
      <x:c r="F2354" s="20" t="str"/>
      <x:c r="G2354" s="20" t="str"/>
      <x:c r="H2354" s="20" t="str">
        <x:v>1000 Operating Cash</x:v>
      </x:c>
      <x:c r="I2354" s="26" t="n">
        <x:v>0</x:v>
      </x:c>
      <x:c r="J2354" s="26" t="n">
        <x:v>207</x:v>
      </x:c>
      <x:c r="K2354" s="35" t="str">
        <x:v>City Water &amp; Sewer</x:v>
      </x:c>
    </x:row>
    <x:row r="2355">
      <x:c r="A2355" s="20" t="str">
        <x:v>FIN-01154</x:v>
      </x:c>
      <x:c r="B2355" s="32" t="n">
        <x:v>1</x:v>
      </x:c>
      <x:c r="C2355" s="23" t="n">
        <x:v>46461</x:v>
      </x:c>
      <x:c r="D2355" s="23" t="n">
        <x:v>46461</x:v>
      </x:c>
      <x:c r="E2355" s="20" t="str">
        <x:v>P029</x:v>
      </x:c>
      <x:c r="F2355" s="20" t="str"/>
      <x:c r="G2355" s="20" t="str"/>
      <x:c r="H2355" s="20" t="str">
        <x:v>5010 Utilities</x:v>
      </x:c>
      <x:c r="I2355" s="26" t="n">
        <x:v>124</x:v>
      </x:c>
      <x:c r="J2355" s="26" t="n">
        <x:v>0</x:v>
      </x:c>
      <x:c r="K2355" s="35" t="str">
        <x:v>City Water &amp; Sewer</x:v>
      </x:c>
    </x:row>
    <x:row r="2356">
      <x:c r="A2356" s="20" t="str">
        <x:v>FIN-01154</x:v>
      </x:c>
      <x:c r="B2356" s="32" t="n">
        <x:v>2</x:v>
      </x:c>
      <x:c r="C2356" s="23" t="n">
        <x:v>46461</x:v>
      </x:c>
      <x:c r="D2356" s="23" t="n">
        <x:v>46461</x:v>
      </x:c>
      <x:c r="E2356" s="20" t="str">
        <x:v>P029</x:v>
      </x:c>
      <x:c r="F2356" s="20" t="str"/>
      <x:c r="G2356" s="20" t="str"/>
      <x:c r="H2356" s="20" t="str">
        <x:v>1000 Operating Cash</x:v>
      </x:c>
      <x:c r="I2356" s="26" t="n">
        <x:v>0</x:v>
      </x:c>
      <x:c r="J2356" s="26" t="n">
        <x:v>124</x:v>
      </x:c>
      <x:c r="K2356" s="35" t="str">
        <x:v>City Water &amp; Sewer</x:v>
      </x:c>
    </x:row>
    <x:row r="2357">
      <x:c r="A2357" s="20" t="str">
        <x:v>FIN-01155</x:v>
      </x:c>
      <x:c r="B2357" s="32" t="n">
        <x:v>1</x:v>
      </x:c>
      <x:c r="C2357" s="23" t="n">
        <x:v>46461</x:v>
      </x:c>
      <x:c r="D2357" s="23" t="n">
        <x:v>46461</x:v>
      </x:c>
      <x:c r="E2357" s="20" t="str">
        <x:v>P030</x:v>
      </x:c>
      <x:c r="F2357" s="20" t="str"/>
      <x:c r="G2357" s="20" t="str"/>
      <x:c r="H2357" s="20" t="str">
        <x:v>5010 Utilities</x:v>
      </x:c>
      <x:c r="I2357" s="26" t="n">
        <x:v>131</x:v>
      </x:c>
      <x:c r="J2357" s="26" t="n">
        <x:v>0</x:v>
      </x:c>
      <x:c r="K2357" s="35" t="str">
        <x:v>City Water &amp; Sewer</x:v>
      </x:c>
    </x:row>
    <x:row r="2358">
      <x:c r="A2358" s="20" t="str">
        <x:v>FIN-01155</x:v>
      </x:c>
      <x:c r="B2358" s="32" t="n">
        <x:v>2</x:v>
      </x:c>
      <x:c r="C2358" s="23" t="n">
        <x:v>46461</x:v>
      </x:c>
      <x:c r="D2358" s="23" t="n">
        <x:v>46461</x:v>
      </x:c>
      <x:c r="E2358" s="20" t="str">
        <x:v>P030</x:v>
      </x:c>
      <x:c r="F2358" s="20" t="str"/>
      <x:c r="G2358" s="20" t="str"/>
      <x:c r="H2358" s="20" t="str">
        <x:v>1000 Operating Cash</x:v>
      </x:c>
      <x:c r="I2358" s="26" t="n">
        <x:v>0</x:v>
      </x:c>
      <x:c r="J2358" s="26" t="n">
        <x:v>131</x:v>
      </x:c>
      <x:c r="K2358" s="35" t="str">
        <x:v>City Water &amp; Sewer</x:v>
      </x:c>
    </x:row>
    <x:row r="2359">
      <x:c r="A2359" s="20" t="str">
        <x:v>FIN-01156</x:v>
      </x:c>
      <x:c r="B2359" s="32" t="n">
        <x:v>1</x:v>
      </x:c>
      <x:c r="C2359" s="23" t="n">
        <x:v>46466</x:v>
      </x:c>
      <x:c r="D2359" s="23" t="n">
        <x:v>46466</x:v>
      </x:c>
      <x:c r="E2359" s="20" t="str">
        <x:v>P001</x:v>
      </x:c>
      <x:c r="F2359" s="20" t="str"/>
      <x:c r="G2359" s="20" t="str"/>
      <x:c r="H2359" s="20" t="str">
        <x:v>2200 Mortgage Loans Payable</x:v>
      </x:c>
      <x:c r="I2359" s="26" t="n">
        <x:v>431</x:v>
      </x:c>
      <x:c r="J2359" s="26" t="n">
        <x:v>0</x:v>
      </x:c>
      <x:c r="K2359" s="35" t="str">
        <x:v>LN001 scheduled payment</x:v>
      </x:c>
    </x:row>
    <x:row r="2360">
      <x:c r="A2360" s="20" t="str">
        <x:v>FIN-01156</x:v>
      </x:c>
      <x:c r="B2360" s="32" t="n">
        <x:v>2</x:v>
      </x:c>
      <x:c r="C2360" s="23" t="n">
        <x:v>46466</x:v>
      </x:c>
      <x:c r="D2360" s="23" t="n">
        <x:v>46466</x:v>
      </x:c>
      <x:c r="E2360" s="20" t="str">
        <x:v>P001</x:v>
      </x:c>
      <x:c r="F2360" s="20" t="str"/>
      <x:c r="G2360" s="20" t="str"/>
      <x:c r="H2360" s="20" t="str">
        <x:v>5040 Mortgage Interest</x:v>
      </x:c>
      <x:c r="I2360" s="26" t="n">
        <x:v>607</x:v>
      </x:c>
      <x:c r="J2360" s="26" t="n">
        <x:v>0</x:v>
      </x:c>
      <x:c r="K2360" s="35" t="str">
        <x:v>LN001 scheduled payment</x:v>
      </x:c>
    </x:row>
    <x:row r="2361">
      <x:c r="A2361" s="20" t="str">
        <x:v>FIN-01156</x:v>
      </x:c>
      <x:c r="B2361" s="32" t="n">
        <x:v>3</x:v>
      </x:c>
      <x:c r="C2361" s="23" t="n">
        <x:v>46466</x:v>
      </x:c>
      <x:c r="D2361" s="23" t="n">
        <x:v>46466</x:v>
      </x:c>
      <x:c r="E2361" s="20" t="str">
        <x:v>P001</x:v>
      </x:c>
      <x:c r="F2361" s="20" t="str"/>
      <x:c r="G2361" s="20" t="str"/>
      <x:c r="H2361" s="20" t="str">
        <x:v>1000 Operating Cash</x:v>
      </x:c>
      <x:c r="I2361" s="26" t="n">
        <x:v>0</x:v>
      </x:c>
      <x:c r="J2361" s="26" t="n">
        <x:v>1038</x:v>
      </x:c>
      <x:c r="K2361" s="35" t="str">
        <x:v>LN001 scheduled payment</x:v>
      </x:c>
    </x:row>
    <x:row r="2362">
      <x:c r="A2362" s="20" t="str">
        <x:v>FIN-01157</x:v>
      </x:c>
      <x:c r="B2362" s="32" t="n">
        <x:v>1</x:v>
      </x:c>
      <x:c r="C2362" s="23" t="n">
        <x:v>46466</x:v>
      </x:c>
      <x:c r="D2362" s="23" t="n">
        <x:v>46466</x:v>
      </x:c>
      <x:c r="E2362" s="20" t="str">
        <x:v>P002</x:v>
      </x:c>
      <x:c r="F2362" s="20" t="str"/>
      <x:c r="G2362" s="20" t="str"/>
      <x:c r="H2362" s="20" t="str">
        <x:v>2200 Mortgage Loans Payable</x:v>
      </x:c>
      <x:c r="I2362" s="26" t="n">
        <x:v>442</x:v>
      </x:c>
      <x:c r="J2362" s="26" t="n">
        <x:v>0</x:v>
      </x:c>
      <x:c r="K2362" s="35" t="str">
        <x:v>LN002 scheduled payment</x:v>
      </x:c>
    </x:row>
    <x:row r="2363">
      <x:c r="A2363" s="20" t="str">
        <x:v>FIN-01157</x:v>
      </x:c>
      <x:c r="B2363" s="32" t="n">
        <x:v>2</x:v>
      </x:c>
      <x:c r="C2363" s="23" t="n">
        <x:v>46466</x:v>
      </x:c>
      <x:c r="D2363" s="23" t="n">
        <x:v>46466</x:v>
      </x:c>
      <x:c r="E2363" s="20" t="str">
        <x:v>P002</x:v>
      </x:c>
      <x:c r="F2363" s="20" t="str"/>
      <x:c r="G2363" s="20" t="str"/>
      <x:c r="H2363" s="20" t="str">
        <x:v>5040 Mortgage Interest</x:v>
      </x:c>
      <x:c r="I2363" s="26" t="n">
        <x:v>620</x:v>
      </x:c>
      <x:c r="J2363" s="26" t="n">
        <x:v>0</x:v>
      </x:c>
      <x:c r="K2363" s="35" t="str">
        <x:v>LN002 scheduled payment</x:v>
      </x:c>
    </x:row>
    <x:row r="2364">
      <x:c r="A2364" s="20" t="str">
        <x:v>FIN-01157</x:v>
      </x:c>
      <x:c r="B2364" s="32" t="n">
        <x:v>3</x:v>
      </x:c>
      <x:c r="C2364" s="23" t="n">
        <x:v>46466</x:v>
      </x:c>
      <x:c r="D2364" s="23" t="n">
        <x:v>46466</x:v>
      </x:c>
      <x:c r="E2364" s="20" t="str">
        <x:v>P002</x:v>
      </x:c>
      <x:c r="F2364" s="20" t="str"/>
      <x:c r="G2364" s="20" t="str"/>
      <x:c r="H2364" s="20" t="str">
        <x:v>1000 Operating Cash</x:v>
      </x:c>
      <x:c r="I2364" s="26" t="n">
        <x:v>0</x:v>
      </x:c>
      <x:c r="J2364" s="26" t="n">
        <x:v>1062</x:v>
      </x:c>
      <x:c r="K2364" s="35" t="str">
        <x:v>LN002 scheduled payment</x:v>
      </x:c>
    </x:row>
    <x:row r="2365">
      <x:c r="A2365" s="20" t="str">
        <x:v>FIN-01158</x:v>
      </x:c>
      <x:c r="B2365" s="32" t="n">
        <x:v>1</x:v>
      </x:c>
      <x:c r="C2365" s="23" t="n">
        <x:v>46466</x:v>
      </x:c>
      <x:c r="D2365" s="23" t="n">
        <x:v>46466</x:v>
      </x:c>
      <x:c r="E2365" s="20" t="str">
        <x:v>P004</x:v>
      </x:c>
      <x:c r="F2365" s="20" t="str"/>
      <x:c r="G2365" s="20" t="str"/>
      <x:c r="H2365" s="20" t="str">
        <x:v>2200 Mortgage Loans Payable</x:v>
      </x:c>
      <x:c r="I2365" s="26" t="n">
        <x:v>464</x:v>
      </x:c>
      <x:c r="J2365" s="26" t="n">
        <x:v>0</x:v>
      </x:c>
      <x:c r="K2365" s="35" t="str">
        <x:v>LN004 scheduled payment</x:v>
      </x:c>
    </x:row>
    <x:row r="2366">
      <x:c r="A2366" s="20" t="str">
        <x:v>FIN-01158</x:v>
      </x:c>
      <x:c r="B2366" s="32" t="n">
        <x:v>2</x:v>
      </x:c>
      <x:c r="C2366" s="23" t="n">
        <x:v>46466</x:v>
      </x:c>
      <x:c r="D2366" s="23" t="n">
        <x:v>46466</x:v>
      </x:c>
      <x:c r="E2366" s="20" t="str">
        <x:v>P004</x:v>
      </x:c>
      <x:c r="F2366" s="20" t="str"/>
      <x:c r="G2366" s="20" t="str"/>
      <x:c r="H2366" s="20" t="str">
        <x:v>5040 Mortgage Interest</x:v>
      </x:c>
      <x:c r="I2366" s="26" t="n">
        <x:v>646</x:v>
      </x:c>
      <x:c r="J2366" s="26" t="n">
        <x:v>0</x:v>
      </x:c>
      <x:c r="K2366" s="35" t="str">
        <x:v>LN004 scheduled payment</x:v>
      </x:c>
    </x:row>
    <x:row r="2367">
      <x:c r="A2367" s="20" t="str">
        <x:v>FIN-01158</x:v>
      </x:c>
      <x:c r="B2367" s="32" t="n">
        <x:v>3</x:v>
      </x:c>
      <x:c r="C2367" s="23" t="n">
        <x:v>46466</x:v>
      </x:c>
      <x:c r="D2367" s="23" t="n">
        <x:v>46466</x:v>
      </x:c>
      <x:c r="E2367" s="20" t="str">
        <x:v>P004</x:v>
      </x:c>
      <x:c r="F2367" s="20" t="str"/>
      <x:c r="G2367" s="20" t="str"/>
      <x:c r="H2367" s="20" t="str">
        <x:v>1000 Operating Cash</x:v>
      </x:c>
      <x:c r="I2367" s="26" t="n">
        <x:v>0</x:v>
      </x:c>
      <x:c r="J2367" s="26" t="n">
        <x:v>1110</x:v>
      </x:c>
      <x:c r="K2367" s="35" t="str">
        <x:v>LN004 scheduled payment</x:v>
      </x:c>
    </x:row>
    <x:row r="2368">
      <x:c r="A2368" s="20" t="str">
        <x:v>FIN-01159</x:v>
      </x:c>
      <x:c r="B2368" s="32" t="n">
        <x:v>1</x:v>
      </x:c>
      <x:c r="C2368" s="23" t="n">
        <x:v>46466</x:v>
      </x:c>
      <x:c r="D2368" s="23" t="n">
        <x:v>46466</x:v>
      </x:c>
      <x:c r="E2368" s="20" t="str">
        <x:v>P005</x:v>
      </x:c>
      <x:c r="F2368" s="20" t="str"/>
      <x:c r="G2368" s="20" t="str"/>
      <x:c r="H2368" s="20" t="str">
        <x:v>2200 Mortgage Loans Payable</x:v>
      </x:c>
      <x:c r="I2368" s="26" t="n">
        <x:v>475</x:v>
      </x:c>
      <x:c r="J2368" s="26" t="n">
        <x:v>0</x:v>
      </x:c>
      <x:c r="K2368" s="35" t="str">
        <x:v>LN005 scheduled payment</x:v>
      </x:c>
    </x:row>
    <x:row r="2369">
      <x:c r="A2369" s="20" t="str">
        <x:v>FIN-01159</x:v>
      </x:c>
      <x:c r="B2369" s="32" t="n">
        <x:v>2</x:v>
      </x:c>
      <x:c r="C2369" s="23" t="n">
        <x:v>46466</x:v>
      </x:c>
      <x:c r="D2369" s="23" t="n">
        <x:v>46466</x:v>
      </x:c>
      <x:c r="E2369" s="20" t="str">
        <x:v>P005</x:v>
      </x:c>
      <x:c r="F2369" s="20" t="str"/>
      <x:c r="G2369" s="20" t="str"/>
      <x:c r="H2369" s="20" t="str">
        <x:v>5040 Mortgage Interest</x:v>
      </x:c>
      <x:c r="I2369" s="26" t="n">
        <x:v>659</x:v>
      </x:c>
      <x:c r="J2369" s="26" t="n">
        <x:v>0</x:v>
      </x:c>
      <x:c r="K2369" s="35" t="str">
        <x:v>LN005 scheduled payment</x:v>
      </x:c>
    </x:row>
    <x:row r="2370">
      <x:c r="A2370" s="20" t="str">
        <x:v>FIN-01159</x:v>
      </x:c>
      <x:c r="B2370" s="32" t="n">
        <x:v>3</x:v>
      </x:c>
      <x:c r="C2370" s="23" t="n">
        <x:v>46466</x:v>
      </x:c>
      <x:c r="D2370" s="23" t="n">
        <x:v>46466</x:v>
      </x:c>
      <x:c r="E2370" s="20" t="str">
        <x:v>P005</x:v>
      </x:c>
      <x:c r="F2370" s="20" t="str"/>
      <x:c r="G2370" s="20" t="str"/>
      <x:c r="H2370" s="20" t="str">
        <x:v>1000 Operating Cash</x:v>
      </x:c>
      <x:c r="I2370" s="26" t="n">
        <x:v>0</x:v>
      </x:c>
      <x:c r="J2370" s="26" t="n">
        <x:v>1134</x:v>
      </x:c>
      <x:c r="K2370" s="35" t="str">
        <x:v>LN005 scheduled payment</x:v>
      </x:c>
    </x:row>
    <x:row r="2371">
      <x:c r="A2371" s="20" t="str">
        <x:v>FIN-01160</x:v>
      </x:c>
      <x:c r="B2371" s="32" t="n">
        <x:v>1</x:v>
      </x:c>
      <x:c r="C2371" s="23" t="n">
        <x:v>46466</x:v>
      </x:c>
      <x:c r="D2371" s="23" t="n">
        <x:v>46466</x:v>
      </x:c>
      <x:c r="E2371" s="20" t="str">
        <x:v>P007</x:v>
      </x:c>
      <x:c r="F2371" s="20" t="str"/>
      <x:c r="G2371" s="20" t="str"/>
      <x:c r="H2371" s="20" t="str">
        <x:v>2200 Mortgage Loans Payable</x:v>
      </x:c>
      <x:c r="I2371" s="26" t="n">
        <x:v>497</x:v>
      </x:c>
      <x:c r="J2371" s="26" t="n">
        <x:v>0</x:v>
      </x:c>
      <x:c r="K2371" s="35" t="str">
        <x:v>LN007 scheduled payment</x:v>
      </x:c>
    </x:row>
    <x:row r="2372">
      <x:c r="A2372" s="20" t="str">
        <x:v>FIN-01160</x:v>
      </x:c>
      <x:c r="B2372" s="32" t="n">
        <x:v>2</x:v>
      </x:c>
      <x:c r="C2372" s="23" t="n">
        <x:v>46466</x:v>
      </x:c>
      <x:c r="D2372" s="23" t="n">
        <x:v>46466</x:v>
      </x:c>
      <x:c r="E2372" s="20" t="str">
        <x:v>P007</x:v>
      </x:c>
      <x:c r="F2372" s="20" t="str"/>
      <x:c r="G2372" s="20" t="str"/>
      <x:c r="H2372" s="20" t="str">
        <x:v>5040 Mortgage Interest</x:v>
      </x:c>
      <x:c r="I2372" s="26" t="n">
        <x:v>685</x:v>
      </x:c>
      <x:c r="J2372" s="26" t="n">
        <x:v>0</x:v>
      </x:c>
      <x:c r="K2372" s="35" t="str">
        <x:v>LN007 scheduled payment</x:v>
      </x:c>
    </x:row>
    <x:row r="2373">
      <x:c r="A2373" s="20" t="str">
        <x:v>FIN-01160</x:v>
      </x:c>
      <x:c r="B2373" s="32" t="n">
        <x:v>3</x:v>
      </x:c>
      <x:c r="C2373" s="23" t="n">
        <x:v>46466</x:v>
      </x:c>
      <x:c r="D2373" s="23" t="n">
        <x:v>46466</x:v>
      </x:c>
      <x:c r="E2373" s="20" t="str">
        <x:v>P007</x:v>
      </x:c>
      <x:c r="F2373" s="20" t="str"/>
      <x:c r="G2373" s="20" t="str"/>
      <x:c r="H2373" s="20" t="str">
        <x:v>1000 Operating Cash</x:v>
      </x:c>
      <x:c r="I2373" s="26" t="n">
        <x:v>0</x:v>
      </x:c>
      <x:c r="J2373" s="26" t="n">
        <x:v>1182</x:v>
      </x:c>
      <x:c r="K2373" s="35" t="str">
        <x:v>LN007 scheduled payment</x:v>
      </x:c>
    </x:row>
    <x:row r="2374">
      <x:c r="A2374" s="20" t="str">
        <x:v>FIN-01161</x:v>
      </x:c>
      <x:c r="B2374" s="32" t="n">
        <x:v>1</x:v>
      </x:c>
      <x:c r="C2374" s="23" t="n">
        <x:v>46466</x:v>
      </x:c>
      <x:c r="D2374" s="23" t="n">
        <x:v>46466</x:v>
      </x:c>
      <x:c r="E2374" s="20" t="str">
        <x:v>P008</x:v>
      </x:c>
      <x:c r="F2374" s="20" t="str"/>
      <x:c r="G2374" s="20" t="str"/>
      <x:c r="H2374" s="20" t="str">
        <x:v>2200 Mortgage Loans Payable</x:v>
      </x:c>
      <x:c r="I2374" s="26" t="n">
        <x:v>508</x:v>
      </x:c>
      <x:c r="J2374" s="26" t="n">
        <x:v>0</x:v>
      </x:c>
      <x:c r="K2374" s="35" t="str">
        <x:v>LN008 scheduled payment</x:v>
      </x:c>
    </x:row>
    <x:row r="2375">
      <x:c r="A2375" s="20" t="str">
        <x:v>FIN-01161</x:v>
      </x:c>
      <x:c r="B2375" s="32" t="n">
        <x:v>2</x:v>
      </x:c>
      <x:c r="C2375" s="23" t="n">
        <x:v>46466</x:v>
      </x:c>
      <x:c r="D2375" s="23" t="n">
        <x:v>46466</x:v>
      </x:c>
      <x:c r="E2375" s="20" t="str">
        <x:v>P008</x:v>
      </x:c>
      <x:c r="F2375" s="20" t="str"/>
      <x:c r="G2375" s="20" t="str"/>
      <x:c r="H2375" s="20" t="str">
        <x:v>5040 Mortgage Interest</x:v>
      </x:c>
      <x:c r="I2375" s="26" t="n">
        <x:v>698</x:v>
      </x:c>
      <x:c r="J2375" s="26" t="n">
        <x:v>0</x:v>
      </x:c>
      <x:c r="K2375" s="35" t="str">
        <x:v>LN008 scheduled payment</x:v>
      </x:c>
    </x:row>
    <x:row r="2376">
      <x:c r="A2376" s="20" t="str">
        <x:v>FIN-01161</x:v>
      </x:c>
      <x:c r="B2376" s="32" t="n">
        <x:v>3</x:v>
      </x:c>
      <x:c r="C2376" s="23" t="n">
        <x:v>46466</x:v>
      </x:c>
      <x:c r="D2376" s="23" t="n">
        <x:v>46466</x:v>
      </x:c>
      <x:c r="E2376" s="20" t="str">
        <x:v>P008</x:v>
      </x:c>
      <x:c r="F2376" s="20" t="str"/>
      <x:c r="G2376" s="20" t="str"/>
      <x:c r="H2376" s="20" t="str">
        <x:v>1000 Operating Cash</x:v>
      </x:c>
      <x:c r="I2376" s="26" t="n">
        <x:v>0</x:v>
      </x:c>
      <x:c r="J2376" s="26" t="n">
        <x:v>1206</x:v>
      </x:c>
      <x:c r="K2376" s="35" t="str">
        <x:v>LN008 scheduled payment</x:v>
      </x:c>
    </x:row>
    <x:row r="2377">
      <x:c r="A2377" s="20" t="str">
        <x:v>FIN-01162</x:v>
      </x:c>
      <x:c r="B2377" s="32" t="n">
        <x:v>1</x:v>
      </x:c>
      <x:c r="C2377" s="23" t="n">
        <x:v>46466</x:v>
      </x:c>
      <x:c r="D2377" s="23" t="n">
        <x:v>46466</x:v>
      </x:c>
      <x:c r="E2377" s="20" t="str">
        <x:v>P010</x:v>
      </x:c>
      <x:c r="F2377" s="20" t="str"/>
      <x:c r="G2377" s="20" t="str"/>
      <x:c r="H2377" s="20" t="str">
        <x:v>2200 Mortgage Loans Payable</x:v>
      </x:c>
      <x:c r="I2377" s="26" t="n">
        <x:v>530</x:v>
      </x:c>
      <x:c r="J2377" s="26" t="n">
        <x:v>0</x:v>
      </x:c>
      <x:c r="K2377" s="35" t="str">
        <x:v>LN010 scheduled payment</x:v>
      </x:c>
    </x:row>
    <x:row r="2378">
      <x:c r="A2378" s="20" t="str">
        <x:v>FIN-01162</x:v>
      </x:c>
      <x:c r="B2378" s="32" t="n">
        <x:v>2</x:v>
      </x:c>
      <x:c r="C2378" s="23" t="n">
        <x:v>46466</x:v>
      </x:c>
      <x:c r="D2378" s="23" t="n">
        <x:v>46466</x:v>
      </x:c>
      <x:c r="E2378" s="20" t="str">
        <x:v>P010</x:v>
      </x:c>
      <x:c r="F2378" s="20" t="str"/>
      <x:c r="G2378" s="20" t="str"/>
      <x:c r="H2378" s="20" t="str">
        <x:v>5040 Mortgage Interest</x:v>
      </x:c>
      <x:c r="I2378" s="26" t="n">
        <x:v>724</x:v>
      </x:c>
      <x:c r="J2378" s="26" t="n">
        <x:v>0</x:v>
      </x:c>
      <x:c r="K2378" s="35" t="str">
        <x:v>LN010 scheduled payment</x:v>
      </x:c>
    </x:row>
    <x:row r="2379">
      <x:c r="A2379" s="20" t="str">
        <x:v>FIN-01162</x:v>
      </x:c>
      <x:c r="B2379" s="32" t="n">
        <x:v>3</x:v>
      </x:c>
      <x:c r="C2379" s="23" t="n">
        <x:v>46466</x:v>
      </x:c>
      <x:c r="D2379" s="23" t="n">
        <x:v>46466</x:v>
      </x:c>
      <x:c r="E2379" s="20" t="str">
        <x:v>P010</x:v>
      </x:c>
      <x:c r="F2379" s="20" t="str"/>
      <x:c r="G2379" s="20" t="str"/>
      <x:c r="H2379" s="20" t="str">
        <x:v>1000 Operating Cash</x:v>
      </x:c>
      <x:c r="I2379" s="26" t="n">
        <x:v>0</x:v>
      </x:c>
      <x:c r="J2379" s="26" t="n">
        <x:v>1254</x:v>
      </x:c>
      <x:c r="K2379" s="35" t="str">
        <x:v>LN010 scheduled payment</x:v>
      </x:c>
    </x:row>
    <x:row r="2380">
      <x:c r="A2380" s="20" t="str">
        <x:v>FIN-01163</x:v>
      </x:c>
      <x:c r="B2380" s="32" t="n">
        <x:v>1</x:v>
      </x:c>
      <x:c r="C2380" s="23" t="n">
        <x:v>46466</x:v>
      </x:c>
      <x:c r="D2380" s="23" t="n">
        <x:v>46466</x:v>
      </x:c>
      <x:c r="E2380" s="20" t="str">
        <x:v>P011</x:v>
      </x:c>
      <x:c r="F2380" s="20" t="str"/>
      <x:c r="G2380" s="20" t="str"/>
      <x:c r="H2380" s="20" t="str">
        <x:v>2200 Mortgage Loans Payable</x:v>
      </x:c>
      <x:c r="I2380" s="26" t="n">
        <x:v>541</x:v>
      </x:c>
      <x:c r="J2380" s="26" t="n">
        <x:v>0</x:v>
      </x:c>
      <x:c r="K2380" s="35" t="str">
        <x:v>LN011 scheduled payment</x:v>
      </x:c>
    </x:row>
    <x:row r="2381">
      <x:c r="A2381" s="20" t="str">
        <x:v>FIN-01163</x:v>
      </x:c>
      <x:c r="B2381" s="32" t="n">
        <x:v>2</x:v>
      </x:c>
      <x:c r="C2381" s="23" t="n">
        <x:v>46466</x:v>
      </x:c>
      <x:c r="D2381" s="23" t="n">
        <x:v>46466</x:v>
      </x:c>
      <x:c r="E2381" s="20" t="str">
        <x:v>P011</x:v>
      </x:c>
      <x:c r="F2381" s="20" t="str"/>
      <x:c r="G2381" s="20" t="str"/>
      <x:c r="H2381" s="20" t="str">
        <x:v>5040 Mortgage Interest</x:v>
      </x:c>
      <x:c r="I2381" s="26" t="n">
        <x:v>737</x:v>
      </x:c>
      <x:c r="J2381" s="26" t="n">
        <x:v>0</x:v>
      </x:c>
      <x:c r="K2381" s="35" t="str">
        <x:v>LN011 scheduled payment</x:v>
      </x:c>
    </x:row>
    <x:row r="2382">
      <x:c r="A2382" s="20" t="str">
        <x:v>FIN-01163</x:v>
      </x:c>
      <x:c r="B2382" s="32" t="n">
        <x:v>3</x:v>
      </x:c>
      <x:c r="C2382" s="23" t="n">
        <x:v>46466</x:v>
      </x:c>
      <x:c r="D2382" s="23" t="n">
        <x:v>46466</x:v>
      </x:c>
      <x:c r="E2382" s="20" t="str">
        <x:v>P011</x:v>
      </x:c>
      <x:c r="F2382" s="20" t="str"/>
      <x:c r="G2382" s="20" t="str"/>
      <x:c r="H2382" s="20" t="str">
        <x:v>1000 Operating Cash</x:v>
      </x:c>
      <x:c r="I2382" s="26" t="n">
        <x:v>0</x:v>
      </x:c>
      <x:c r="J2382" s="26" t="n">
        <x:v>1278</x:v>
      </x:c>
      <x:c r="K2382" s="35" t="str">
        <x:v>LN011 scheduled payment</x:v>
      </x:c>
    </x:row>
    <x:row r="2383">
      <x:c r="A2383" s="20" t="str">
        <x:v>FIN-01164</x:v>
      </x:c>
      <x:c r="B2383" s="32" t="n">
        <x:v>1</x:v>
      </x:c>
      <x:c r="C2383" s="23" t="n">
        <x:v>46466</x:v>
      </x:c>
      <x:c r="D2383" s="23" t="n">
        <x:v>46466</x:v>
      </x:c>
      <x:c r="E2383" s="20" t="str">
        <x:v>P013</x:v>
      </x:c>
      <x:c r="F2383" s="20" t="str"/>
      <x:c r="G2383" s="20" t="str"/>
      <x:c r="H2383" s="20" t="str">
        <x:v>2200 Mortgage Loans Payable</x:v>
      </x:c>
      <x:c r="I2383" s="26" t="n">
        <x:v>563</x:v>
      </x:c>
      <x:c r="J2383" s="26" t="n">
        <x:v>0</x:v>
      </x:c>
      <x:c r="K2383" s="35" t="str">
        <x:v>LN013 scheduled payment</x:v>
      </x:c>
    </x:row>
    <x:row r="2384">
      <x:c r="A2384" s="20" t="str">
        <x:v>FIN-01164</x:v>
      </x:c>
      <x:c r="B2384" s="32" t="n">
        <x:v>2</x:v>
      </x:c>
      <x:c r="C2384" s="23" t="n">
        <x:v>46466</x:v>
      </x:c>
      <x:c r="D2384" s="23" t="n">
        <x:v>46466</x:v>
      </x:c>
      <x:c r="E2384" s="20" t="str">
        <x:v>P013</x:v>
      </x:c>
      <x:c r="F2384" s="20" t="str"/>
      <x:c r="G2384" s="20" t="str"/>
      <x:c r="H2384" s="20" t="str">
        <x:v>5040 Mortgage Interest</x:v>
      </x:c>
      <x:c r="I2384" s="26" t="n">
        <x:v>763</x:v>
      </x:c>
      <x:c r="J2384" s="26" t="n">
        <x:v>0</x:v>
      </x:c>
      <x:c r="K2384" s="35" t="str">
        <x:v>LN013 scheduled payment</x:v>
      </x:c>
    </x:row>
    <x:row r="2385">
      <x:c r="A2385" s="20" t="str">
        <x:v>FIN-01164</x:v>
      </x:c>
      <x:c r="B2385" s="32" t="n">
        <x:v>3</x:v>
      </x:c>
      <x:c r="C2385" s="23" t="n">
        <x:v>46466</x:v>
      </x:c>
      <x:c r="D2385" s="23" t="n">
        <x:v>46466</x:v>
      </x:c>
      <x:c r="E2385" s="20" t="str">
        <x:v>P013</x:v>
      </x:c>
      <x:c r="F2385" s="20" t="str"/>
      <x:c r="G2385" s="20" t="str"/>
      <x:c r="H2385" s="20" t="str">
        <x:v>1000 Operating Cash</x:v>
      </x:c>
      <x:c r="I2385" s="26" t="n">
        <x:v>0</x:v>
      </x:c>
      <x:c r="J2385" s="26" t="n">
        <x:v>1326</x:v>
      </x:c>
      <x:c r="K2385" s="35" t="str">
        <x:v>LN013 scheduled payment</x:v>
      </x:c>
    </x:row>
    <x:row r="2386">
      <x:c r="A2386" s="20" t="str">
        <x:v>FIN-01165</x:v>
      </x:c>
      <x:c r="B2386" s="32" t="n">
        <x:v>1</x:v>
      </x:c>
      <x:c r="C2386" s="23" t="n">
        <x:v>46466</x:v>
      </x:c>
      <x:c r="D2386" s="23" t="n">
        <x:v>46466</x:v>
      </x:c>
      <x:c r="E2386" s="20" t="str">
        <x:v>P014</x:v>
      </x:c>
      <x:c r="F2386" s="20" t="str"/>
      <x:c r="G2386" s="20" t="str"/>
      <x:c r="H2386" s="20" t="str">
        <x:v>2200 Mortgage Loans Payable</x:v>
      </x:c>
      <x:c r="I2386" s="26" t="n">
        <x:v>574</x:v>
      </x:c>
      <x:c r="J2386" s="26" t="n">
        <x:v>0</x:v>
      </x:c>
      <x:c r="K2386" s="35" t="str">
        <x:v>LN014 scheduled payment</x:v>
      </x:c>
    </x:row>
    <x:row r="2387">
      <x:c r="A2387" s="20" t="str">
        <x:v>FIN-01165</x:v>
      </x:c>
      <x:c r="B2387" s="32" t="n">
        <x:v>2</x:v>
      </x:c>
      <x:c r="C2387" s="23" t="n">
        <x:v>46466</x:v>
      </x:c>
      <x:c r="D2387" s="23" t="n">
        <x:v>46466</x:v>
      </x:c>
      <x:c r="E2387" s="20" t="str">
        <x:v>P014</x:v>
      </x:c>
      <x:c r="F2387" s="20" t="str"/>
      <x:c r="G2387" s="20" t="str"/>
      <x:c r="H2387" s="20" t="str">
        <x:v>5040 Mortgage Interest</x:v>
      </x:c>
      <x:c r="I2387" s="26" t="n">
        <x:v>776</x:v>
      </x:c>
      <x:c r="J2387" s="26" t="n">
        <x:v>0</x:v>
      </x:c>
      <x:c r="K2387" s="35" t="str">
        <x:v>LN014 scheduled payment</x:v>
      </x:c>
    </x:row>
    <x:row r="2388">
      <x:c r="A2388" s="20" t="str">
        <x:v>FIN-01165</x:v>
      </x:c>
      <x:c r="B2388" s="32" t="n">
        <x:v>3</x:v>
      </x:c>
      <x:c r="C2388" s="23" t="n">
        <x:v>46466</x:v>
      </x:c>
      <x:c r="D2388" s="23" t="n">
        <x:v>46466</x:v>
      </x:c>
      <x:c r="E2388" s="20" t="str">
        <x:v>P014</x:v>
      </x:c>
      <x:c r="F2388" s="20" t="str"/>
      <x:c r="G2388" s="20" t="str"/>
      <x:c r="H2388" s="20" t="str">
        <x:v>1000 Operating Cash</x:v>
      </x:c>
      <x:c r="I2388" s="26" t="n">
        <x:v>0</x:v>
      </x:c>
      <x:c r="J2388" s="26" t="n">
        <x:v>1350</x:v>
      </x:c>
      <x:c r="K2388" s="35" t="str">
        <x:v>LN014 scheduled payment</x:v>
      </x:c>
    </x:row>
    <x:row r="2389">
      <x:c r="A2389" s="20" t="str">
        <x:v>FIN-01166</x:v>
      </x:c>
      <x:c r="B2389" s="32" t="n">
        <x:v>1</x:v>
      </x:c>
      <x:c r="C2389" s="23" t="n">
        <x:v>46466</x:v>
      </x:c>
      <x:c r="D2389" s="23" t="n">
        <x:v>46466</x:v>
      </x:c>
      <x:c r="E2389" s="20" t="str">
        <x:v>P016</x:v>
      </x:c>
      <x:c r="F2389" s="20" t="str"/>
      <x:c r="G2389" s="20" t="str"/>
      <x:c r="H2389" s="20" t="str">
        <x:v>2200 Mortgage Loans Payable</x:v>
      </x:c>
      <x:c r="I2389" s="26" t="n">
        <x:v>596</x:v>
      </x:c>
      <x:c r="J2389" s="26" t="n">
        <x:v>0</x:v>
      </x:c>
      <x:c r="K2389" s="35" t="str">
        <x:v>LN016 scheduled payment</x:v>
      </x:c>
    </x:row>
    <x:row r="2390">
      <x:c r="A2390" s="20" t="str">
        <x:v>FIN-01166</x:v>
      </x:c>
      <x:c r="B2390" s="32" t="n">
        <x:v>2</x:v>
      </x:c>
      <x:c r="C2390" s="23" t="n">
        <x:v>46466</x:v>
      </x:c>
      <x:c r="D2390" s="23" t="n">
        <x:v>46466</x:v>
      </x:c>
      <x:c r="E2390" s="20" t="str">
        <x:v>P016</x:v>
      </x:c>
      <x:c r="F2390" s="20" t="str"/>
      <x:c r="G2390" s="20" t="str"/>
      <x:c r="H2390" s="20" t="str">
        <x:v>5040 Mortgage Interest</x:v>
      </x:c>
      <x:c r="I2390" s="26" t="n">
        <x:v>802</x:v>
      </x:c>
      <x:c r="J2390" s="26" t="n">
        <x:v>0</x:v>
      </x:c>
      <x:c r="K2390" s="35" t="str">
        <x:v>LN016 scheduled payment</x:v>
      </x:c>
    </x:row>
    <x:row r="2391">
      <x:c r="A2391" s="20" t="str">
        <x:v>FIN-01166</x:v>
      </x:c>
      <x:c r="B2391" s="32" t="n">
        <x:v>3</x:v>
      </x:c>
      <x:c r="C2391" s="23" t="n">
        <x:v>46466</x:v>
      </x:c>
      <x:c r="D2391" s="23" t="n">
        <x:v>46466</x:v>
      </x:c>
      <x:c r="E2391" s="20" t="str">
        <x:v>P016</x:v>
      </x:c>
      <x:c r="F2391" s="20" t="str"/>
      <x:c r="G2391" s="20" t="str"/>
      <x:c r="H2391" s="20" t="str">
        <x:v>1000 Operating Cash</x:v>
      </x:c>
      <x:c r="I2391" s="26" t="n">
        <x:v>0</x:v>
      </x:c>
      <x:c r="J2391" s="26" t="n">
        <x:v>1398</x:v>
      </x:c>
      <x:c r="K2391" s="35" t="str">
        <x:v>LN016 scheduled payment</x:v>
      </x:c>
    </x:row>
    <x:row r="2392">
      <x:c r="A2392" s="20" t="str">
        <x:v>FIN-01167</x:v>
      </x:c>
      <x:c r="B2392" s="32" t="n">
        <x:v>1</x:v>
      </x:c>
      <x:c r="C2392" s="23" t="n">
        <x:v>46466</x:v>
      </x:c>
      <x:c r="D2392" s="23" t="n">
        <x:v>46466</x:v>
      </x:c>
      <x:c r="E2392" s="20" t="str">
        <x:v>P017</x:v>
      </x:c>
      <x:c r="F2392" s="20" t="str"/>
      <x:c r="G2392" s="20" t="str"/>
      <x:c r="H2392" s="20" t="str">
        <x:v>2200 Mortgage Loans Payable</x:v>
      </x:c>
      <x:c r="I2392" s="26" t="n">
        <x:v>607</x:v>
      </x:c>
      <x:c r="J2392" s="26" t="n">
        <x:v>0</x:v>
      </x:c>
      <x:c r="K2392" s="35" t="str">
        <x:v>LN017 scheduled payment</x:v>
      </x:c>
    </x:row>
    <x:row r="2393">
      <x:c r="A2393" s="20" t="str">
        <x:v>FIN-01167</x:v>
      </x:c>
      <x:c r="B2393" s="32" t="n">
        <x:v>2</x:v>
      </x:c>
      <x:c r="C2393" s="23" t="n">
        <x:v>46466</x:v>
      </x:c>
      <x:c r="D2393" s="23" t="n">
        <x:v>46466</x:v>
      </x:c>
      <x:c r="E2393" s="20" t="str">
        <x:v>P017</x:v>
      </x:c>
      <x:c r="F2393" s="20" t="str"/>
      <x:c r="G2393" s="20" t="str"/>
      <x:c r="H2393" s="20" t="str">
        <x:v>5040 Mortgage Interest</x:v>
      </x:c>
      <x:c r="I2393" s="26" t="n">
        <x:v>815</x:v>
      </x:c>
      <x:c r="J2393" s="26" t="n">
        <x:v>0</x:v>
      </x:c>
      <x:c r="K2393" s="35" t="str">
        <x:v>LN017 scheduled payment</x:v>
      </x:c>
    </x:row>
    <x:row r="2394">
      <x:c r="A2394" s="20" t="str">
        <x:v>FIN-01167</x:v>
      </x:c>
      <x:c r="B2394" s="32" t="n">
        <x:v>3</x:v>
      </x:c>
      <x:c r="C2394" s="23" t="n">
        <x:v>46466</x:v>
      </x:c>
      <x:c r="D2394" s="23" t="n">
        <x:v>46466</x:v>
      </x:c>
      <x:c r="E2394" s="20" t="str">
        <x:v>P017</x:v>
      </x:c>
      <x:c r="F2394" s="20" t="str"/>
      <x:c r="G2394" s="20" t="str"/>
      <x:c r="H2394" s="20" t="str">
        <x:v>1000 Operating Cash</x:v>
      </x:c>
      <x:c r="I2394" s="26" t="n">
        <x:v>0</x:v>
      </x:c>
      <x:c r="J2394" s="26" t="n">
        <x:v>1422</x:v>
      </x:c>
      <x:c r="K2394" s="35" t="str">
        <x:v>LN017 scheduled payment</x:v>
      </x:c>
    </x:row>
    <x:row r="2395">
      <x:c r="A2395" s="20" t="str">
        <x:v>FIN-01168</x:v>
      </x:c>
      <x:c r="B2395" s="32" t="n">
        <x:v>1</x:v>
      </x:c>
      <x:c r="C2395" s="23" t="n">
        <x:v>46466</x:v>
      </x:c>
      <x:c r="D2395" s="23" t="n">
        <x:v>46466</x:v>
      </x:c>
      <x:c r="E2395" s="20" t="str">
        <x:v>P019</x:v>
      </x:c>
      <x:c r="F2395" s="20" t="str"/>
      <x:c r="G2395" s="20" t="str"/>
      <x:c r="H2395" s="20" t="str">
        <x:v>2200 Mortgage Loans Payable</x:v>
      </x:c>
      <x:c r="I2395" s="26" t="n">
        <x:v>629</x:v>
      </x:c>
      <x:c r="J2395" s="26" t="n">
        <x:v>0</x:v>
      </x:c>
      <x:c r="K2395" s="35" t="str">
        <x:v>LN019 scheduled payment</x:v>
      </x:c>
    </x:row>
    <x:row r="2396">
      <x:c r="A2396" s="20" t="str">
        <x:v>FIN-01168</x:v>
      </x:c>
      <x:c r="B2396" s="32" t="n">
        <x:v>2</x:v>
      </x:c>
      <x:c r="C2396" s="23" t="n">
        <x:v>46466</x:v>
      </x:c>
      <x:c r="D2396" s="23" t="n">
        <x:v>46466</x:v>
      </x:c>
      <x:c r="E2396" s="20" t="str">
        <x:v>P019</x:v>
      </x:c>
      <x:c r="F2396" s="20" t="str"/>
      <x:c r="G2396" s="20" t="str"/>
      <x:c r="H2396" s="20" t="str">
        <x:v>5040 Mortgage Interest</x:v>
      </x:c>
      <x:c r="I2396" s="26" t="n">
        <x:v>841</x:v>
      </x:c>
      <x:c r="J2396" s="26" t="n">
        <x:v>0</x:v>
      </x:c>
      <x:c r="K2396" s="35" t="str">
        <x:v>LN019 scheduled payment</x:v>
      </x:c>
    </x:row>
    <x:row r="2397">
      <x:c r="A2397" s="20" t="str">
        <x:v>FIN-01168</x:v>
      </x:c>
      <x:c r="B2397" s="32" t="n">
        <x:v>3</x:v>
      </x:c>
      <x:c r="C2397" s="23" t="n">
        <x:v>46466</x:v>
      </x:c>
      <x:c r="D2397" s="23" t="n">
        <x:v>46466</x:v>
      </x:c>
      <x:c r="E2397" s="20" t="str">
        <x:v>P019</x:v>
      </x:c>
      <x:c r="F2397" s="20" t="str"/>
      <x:c r="G2397" s="20" t="str"/>
      <x:c r="H2397" s="20" t="str">
        <x:v>1000 Operating Cash</x:v>
      </x:c>
      <x:c r="I2397" s="26" t="n">
        <x:v>0</x:v>
      </x:c>
      <x:c r="J2397" s="26" t="n">
        <x:v>1470</x:v>
      </x:c>
      <x:c r="K2397" s="35" t="str">
        <x:v>LN019 scheduled payment</x:v>
      </x:c>
    </x:row>
    <x:row r="2398">
      <x:c r="A2398" s="20" t="str">
        <x:v>FIN-01169</x:v>
      </x:c>
      <x:c r="B2398" s="32" t="n">
        <x:v>1</x:v>
      </x:c>
      <x:c r="C2398" s="23" t="n">
        <x:v>46466</x:v>
      </x:c>
      <x:c r="D2398" s="23" t="n">
        <x:v>46466</x:v>
      </x:c>
      <x:c r="E2398" s="20" t="str">
        <x:v>P020</x:v>
      </x:c>
      <x:c r="F2398" s="20" t="str"/>
      <x:c r="G2398" s="20" t="str"/>
      <x:c r="H2398" s="20" t="str">
        <x:v>2200 Mortgage Loans Payable</x:v>
      </x:c>
      <x:c r="I2398" s="26" t="n">
        <x:v>640</x:v>
      </x:c>
      <x:c r="J2398" s="26" t="n">
        <x:v>0</x:v>
      </x:c>
      <x:c r="K2398" s="35" t="str">
        <x:v>LN020 scheduled payment</x:v>
      </x:c>
    </x:row>
    <x:row r="2399">
      <x:c r="A2399" s="20" t="str">
        <x:v>FIN-01169</x:v>
      </x:c>
      <x:c r="B2399" s="32" t="n">
        <x:v>2</x:v>
      </x:c>
      <x:c r="C2399" s="23" t="n">
        <x:v>46466</x:v>
      </x:c>
      <x:c r="D2399" s="23" t="n">
        <x:v>46466</x:v>
      </x:c>
      <x:c r="E2399" s="20" t="str">
        <x:v>P020</x:v>
      </x:c>
      <x:c r="F2399" s="20" t="str"/>
      <x:c r="G2399" s="20" t="str"/>
      <x:c r="H2399" s="20" t="str">
        <x:v>5040 Mortgage Interest</x:v>
      </x:c>
      <x:c r="I2399" s="26" t="n">
        <x:v>854</x:v>
      </x:c>
      <x:c r="J2399" s="26" t="n">
        <x:v>0</x:v>
      </x:c>
      <x:c r="K2399" s="35" t="str">
        <x:v>LN020 scheduled payment</x:v>
      </x:c>
    </x:row>
    <x:row r="2400">
      <x:c r="A2400" s="20" t="str">
        <x:v>FIN-01169</x:v>
      </x:c>
      <x:c r="B2400" s="32" t="n">
        <x:v>3</x:v>
      </x:c>
      <x:c r="C2400" s="23" t="n">
        <x:v>46466</x:v>
      </x:c>
      <x:c r="D2400" s="23" t="n">
        <x:v>46466</x:v>
      </x:c>
      <x:c r="E2400" s="20" t="str">
        <x:v>P020</x:v>
      </x:c>
      <x:c r="F2400" s="20" t="str"/>
      <x:c r="G2400" s="20" t="str"/>
      <x:c r="H2400" s="20" t="str">
        <x:v>1000 Operating Cash</x:v>
      </x:c>
      <x:c r="I2400" s="26" t="n">
        <x:v>0</x:v>
      </x:c>
      <x:c r="J2400" s="26" t="n">
        <x:v>1494</x:v>
      </x:c>
      <x:c r="K2400" s="35" t="str">
        <x:v>LN020 scheduled payment</x:v>
      </x:c>
    </x:row>
    <x:row r="2401">
      <x:c r="A2401" s="20" t="str">
        <x:v>FIN-01170</x:v>
      </x:c>
      <x:c r="B2401" s="32" t="n">
        <x:v>1</x:v>
      </x:c>
      <x:c r="C2401" s="23" t="n">
        <x:v>46466</x:v>
      </x:c>
      <x:c r="D2401" s="23" t="n">
        <x:v>46466</x:v>
      </x:c>
      <x:c r="E2401" s="20" t="str">
        <x:v>P022</x:v>
      </x:c>
      <x:c r="F2401" s="20" t="str"/>
      <x:c r="G2401" s="20" t="str"/>
      <x:c r="H2401" s="20" t="str">
        <x:v>2200 Mortgage Loans Payable</x:v>
      </x:c>
      <x:c r="I2401" s="26" t="n">
        <x:v>662</x:v>
      </x:c>
      <x:c r="J2401" s="26" t="n">
        <x:v>0</x:v>
      </x:c>
      <x:c r="K2401" s="35" t="str">
        <x:v>LN022 scheduled payment</x:v>
      </x:c>
    </x:row>
    <x:row r="2402">
      <x:c r="A2402" s="20" t="str">
        <x:v>FIN-01170</x:v>
      </x:c>
      <x:c r="B2402" s="32" t="n">
        <x:v>2</x:v>
      </x:c>
      <x:c r="C2402" s="23" t="n">
        <x:v>46466</x:v>
      </x:c>
      <x:c r="D2402" s="23" t="n">
        <x:v>46466</x:v>
      </x:c>
      <x:c r="E2402" s="20" t="str">
        <x:v>P022</x:v>
      </x:c>
      <x:c r="F2402" s="20" t="str"/>
      <x:c r="G2402" s="20" t="str"/>
      <x:c r="H2402" s="20" t="str">
        <x:v>5040 Mortgage Interest</x:v>
      </x:c>
      <x:c r="I2402" s="26" t="n">
        <x:v>880</x:v>
      </x:c>
      <x:c r="J2402" s="26" t="n">
        <x:v>0</x:v>
      </x:c>
      <x:c r="K2402" s="35" t="str">
        <x:v>LN022 scheduled payment</x:v>
      </x:c>
    </x:row>
    <x:row r="2403">
      <x:c r="A2403" s="20" t="str">
        <x:v>FIN-01170</x:v>
      </x:c>
      <x:c r="B2403" s="32" t="n">
        <x:v>3</x:v>
      </x:c>
      <x:c r="C2403" s="23" t="n">
        <x:v>46466</x:v>
      </x:c>
      <x:c r="D2403" s="23" t="n">
        <x:v>46466</x:v>
      </x:c>
      <x:c r="E2403" s="20" t="str">
        <x:v>P022</x:v>
      </x:c>
      <x:c r="F2403" s="20" t="str"/>
      <x:c r="G2403" s="20" t="str"/>
      <x:c r="H2403" s="20" t="str">
        <x:v>1000 Operating Cash</x:v>
      </x:c>
      <x:c r="I2403" s="26" t="n">
        <x:v>0</x:v>
      </x:c>
      <x:c r="J2403" s="26" t="n">
        <x:v>1542</x:v>
      </x:c>
      <x:c r="K2403" s="35" t="str">
        <x:v>LN022 scheduled payment</x:v>
      </x:c>
    </x:row>
    <x:row r="2404">
      <x:c r="A2404" s="20" t="str">
        <x:v>FIN-01171</x:v>
      </x:c>
      <x:c r="B2404" s="32" t="n">
        <x:v>1</x:v>
      </x:c>
      <x:c r="C2404" s="23" t="n">
        <x:v>46466</x:v>
      </x:c>
      <x:c r="D2404" s="23" t="n">
        <x:v>46466</x:v>
      </x:c>
      <x:c r="E2404" s="20" t="str">
        <x:v>P023</x:v>
      </x:c>
      <x:c r="F2404" s="20" t="str"/>
      <x:c r="G2404" s="20" t="str"/>
      <x:c r="H2404" s="20" t="str">
        <x:v>2200 Mortgage Loans Payable</x:v>
      </x:c>
      <x:c r="I2404" s="26" t="n">
        <x:v>673</x:v>
      </x:c>
      <x:c r="J2404" s="26" t="n">
        <x:v>0</x:v>
      </x:c>
      <x:c r="K2404" s="35" t="str">
        <x:v>LN023 scheduled payment</x:v>
      </x:c>
    </x:row>
    <x:row r="2405">
      <x:c r="A2405" s="20" t="str">
        <x:v>FIN-01171</x:v>
      </x:c>
      <x:c r="B2405" s="32" t="n">
        <x:v>2</x:v>
      </x:c>
      <x:c r="C2405" s="23" t="n">
        <x:v>46466</x:v>
      </x:c>
      <x:c r="D2405" s="23" t="n">
        <x:v>46466</x:v>
      </x:c>
      <x:c r="E2405" s="20" t="str">
        <x:v>P023</x:v>
      </x:c>
      <x:c r="F2405" s="20" t="str"/>
      <x:c r="G2405" s="20" t="str"/>
      <x:c r="H2405" s="20" t="str">
        <x:v>5040 Mortgage Interest</x:v>
      </x:c>
      <x:c r="I2405" s="26" t="n">
        <x:v>893</x:v>
      </x:c>
      <x:c r="J2405" s="26" t="n">
        <x:v>0</x:v>
      </x:c>
      <x:c r="K2405" s="35" t="str">
        <x:v>LN023 scheduled payment</x:v>
      </x:c>
    </x:row>
    <x:row r="2406">
      <x:c r="A2406" s="20" t="str">
        <x:v>FIN-01171</x:v>
      </x:c>
      <x:c r="B2406" s="32" t="n">
        <x:v>3</x:v>
      </x:c>
      <x:c r="C2406" s="23" t="n">
        <x:v>46466</x:v>
      </x:c>
      <x:c r="D2406" s="23" t="n">
        <x:v>46466</x:v>
      </x:c>
      <x:c r="E2406" s="20" t="str">
        <x:v>P023</x:v>
      </x:c>
      <x:c r="F2406" s="20" t="str"/>
      <x:c r="G2406" s="20" t="str"/>
      <x:c r="H2406" s="20" t="str">
        <x:v>1000 Operating Cash</x:v>
      </x:c>
      <x:c r="I2406" s="26" t="n">
        <x:v>0</x:v>
      </x:c>
      <x:c r="J2406" s="26" t="n">
        <x:v>1566</x:v>
      </x:c>
      <x:c r="K2406" s="35" t="str">
        <x:v>LN023 scheduled payment</x:v>
      </x:c>
    </x:row>
    <x:row r="2407">
      <x:c r="A2407" s="20" t="str">
        <x:v>FIN-01172</x:v>
      </x:c>
      <x:c r="B2407" s="32" t="n">
        <x:v>1</x:v>
      </x:c>
      <x:c r="C2407" s="23" t="n">
        <x:v>46466</x:v>
      </x:c>
      <x:c r="D2407" s="23" t="n">
        <x:v>46466</x:v>
      </x:c>
      <x:c r="E2407" s="20" t="str">
        <x:v>P025</x:v>
      </x:c>
      <x:c r="F2407" s="20" t="str"/>
      <x:c r="G2407" s="20" t="str"/>
      <x:c r="H2407" s="20" t="str">
        <x:v>2200 Mortgage Loans Payable</x:v>
      </x:c>
      <x:c r="I2407" s="26" t="n">
        <x:v>695</x:v>
      </x:c>
      <x:c r="J2407" s="26" t="n">
        <x:v>0</x:v>
      </x:c>
      <x:c r="K2407" s="35" t="str">
        <x:v>LN025 scheduled payment</x:v>
      </x:c>
    </x:row>
    <x:row r="2408">
      <x:c r="A2408" s="20" t="str">
        <x:v>FIN-01172</x:v>
      </x:c>
      <x:c r="B2408" s="32" t="n">
        <x:v>2</x:v>
      </x:c>
      <x:c r="C2408" s="23" t="n">
        <x:v>46466</x:v>
      </x:c>
      <x:c r="D2408" s="23" t="n">
        <x:v>46466</x:v>
      </x:c>
      <x:c r="E2408" s="20" t="str">
        <x:v>P025</x:v>
      </x:c>
      <x:c r="F2408" s="20" t="str"/>
      <x:c r="G2408" s="20" t="str"/>
      <x:c r="H2408" s="20" t="str">
        <x:v>5040 Mortgage Interest</x:v>
      </x:c>
      <x:c r="I2408" s="26" t="n">
        <x:v>919</x:v>
      </x:c>
      <x:c r="J2408" s="26" t="n">
        <x:v>0</x:v>
      </x:c>
      <x:c r="K2408" s="35" t="str">
        <x:v>LN025 scheduled payment</x:v>
      </x:c>
    </x:row>
    <x:row r="2409">
      <x:c r="A2409" s="20" t="str">
        <x:v>FIN-01172</x:v>
      </x:c>
      <x:c r="B2409" s="32" t="n">
        <x:v>3</x:v>
      </x:c>
      <x:c r="C2409" s="23" t="n">
        <x:v>46466</x:v>
      </x:c>
      <x:c r="D2409" s="23" t="n">
        <x:v>46466</x:v>
      </x:c>
      <x:c r="E2409" s="20" t="str">
        <x:v>P025</x:v>
      </x:c>
      <x:c r="F2409" s="20" t="str"/>
      <x:c r="G2409" s="20" t="str"/>
      <x:c r="H2409" s="20" t="str">
        <x:v>1000 Operating Cash</x:v>
      </x:c>
      <x:c r="I2409" s="26" t="n">
        <x:v>0</x:v>
      </x:c>
      <x:c r="J2409" s="26" t="n">
        <x:v>1614</x:v>
      </x:c>
      <x:c r="K2409" s="35" t="str">
        <x:v>LN025 scheduled payment</x:v>
      </x:c>
    </x:row>
    <x:row r="2410">
      <x:c r="A2410" s="20" t="str">
        <x:v>FIN-01173</x:v>
      </x:c>
      <x:c r="B2410" s="32" t="n">
        <x:v>1</x:v>
      </x:c>
      <x:c r="C2410" s="23" t="n">
        <x:v>46466</x:v>
      </x:c>
      <x:c r="D2410" s="23" t="n">
        <x:v>46466</x:v>
      </x:c>
      <x:c r="E2410" s="20" t="str">
        <x:v>P026</x:v>
      </x:c>
      <x:c r="F2410" s="20" t="str"/>
      <x:c r="G2410" s="20" t="str"/>
      <x:c r="H2410" s="20" t="str">
        <x:v>2200 Mortgage Loans Payable</x:v>
      </x:c>
      <x:c r="I2410" s="26" t="n">
        <x:v>706</x:v>
      </x:c>
      <x:c r="J2410" s="26" t="n">
        <x:v>0</x:v>
      </x:c>
      <x:c r="K2410" s="35" t="str">
        <x:v>LN026 scheduled payment</x:v>
      </x:c>
    </x:row>
    <x:row r="2411">
      <x:c r="A2411" s="20" t="str">
        <x:v>FIN-01173</x:v>
      </x:c>
      <x:c r="B2411" s="32" t="n">
        <x:v>2</x:v>
      </x:c>
      <x:c r="C2411" s="23" t="n">
        <x:v>46466</x:v>
      </x:c>
      <x:c r="D2411" s="23" t="n">
        <x:v>46466</x:v>
      </x:c>
      <x:c r="E2411" s="20" t="str">
        <x:v>P026</x:v>
      </x:c>
      <x:c r="F2411" s="20" t="str"/>
      <x:c r="G2411" s="20" t="str"/>
      <x:c r="H2411" s="20" t="str">
        <x:v>5040 Mortgage Interest</x:v>
      </x:c>
      <x:c r="I2411" s="26" t="n">
        <x:v>932</x:v>
      </x:c>
      <x:c r="J2411" s="26" t="n">
        <x:v>0</x:v>
      </x:c>
      <x:c r="K2411" s="35" t="str">
        <x:v>LN026 scheduled payment</x:v>
      </x:c>
    </x:row>
    <x:row r="2412">
      <x:c r="A2412" s="20" t="str">
        <x:v>FIN-01173</x:v>
      </x:c>
      <x:c r="B2412" s="32" t="n">
        <x:v>3</x:v>
      </x:c>
      <x:c r="C2412" s="23" t="n">
        <x:v>46466</x:v>
      </x:c>
      <x:c r="D2412" s="23" t="n">
        <x:v>46466</x:v>
      </x:c>
      <x:c r="E2412" s="20" t="str">
        <x:v>P026</x:v>
      </x:c>
      <x:c r="F2412" s="20" t="str"/>
      <x:c r="G2412" s="20" t="str"/>
      <x:c r="H2412" s="20" t="str">
        <x:v>1000 Operating Cash</x:v>
      </x:c>
      <x:c r="I2412" s="26" t="n">
        <x:v>0</x:v>
      </x:c>
      <x:c r="J2412" s="26" t="n">
        <x:v>1638</x:v>
      </x:c>
      <x:c r="K2412" s="35" t="str">
        <x:v>LN026 scheduled payment</x:v>
      </x:c>
    </x:row>
    <x:row r="2413">
      <x:c r="A2413" s="20" t="str">
        <x:v>FIN-01174</x:v>
      </x:c>
      <x:c r="B2413" s="32" t="n">
        <x:v>1</x:v>
      </x:c>
      <x:c r="C2413" s="23" t="n">
        <x:v>46466</x:v>
      </x:c>
      <x:c r="D2413" s="23" t="n">
        <x:v>46466</x:v>
      </x:c>
      <x:c r="E2413" s="20" t="str">
        <x:v>P028</x:v>
      </x:c>
      <x:c r="F2413" s="20" t="str"/>
      <x:c r="G2413" s="20" t="str"/>
      <x:c r="H2413" s="20" t="str">
        <x:v>2200 Mortgage Loans Payable</x:v>
      </x:c>
      <x:c r="I2413" s="26" t="n">
        <x:v>728</x:v>
      </x:c>
      <x:c r="J2413" s="26" t="n">
        <x:v>0</x:v>
      </x:c>
      <x:c r="K2413" s="35" t="str">
        <x:v>LN028 scheduled payment</x:v>
      </x:c>
    </x:row>
    <x:row r="2414">
      <x:c r="A2414" s="20" t="str">
        <x:v>FIN-01174</x:v>
      </x:c>
      <x:c r="B2414" s="32" t="n">
        <x:v>2</x:v>
      </x:c>
      <x:c r="C2414" s="23" t="n">
        <x:v>46466</x:v>
      </x:c>
      <x:c r="D2414" s="23" t="n">
        <x:v>46466</x:v>
      </x:c>
      <x:c r="E2414" s="20" t="str">
        <x:v>P028</x:v>
      </x:c>
      <x:c r="F2414" s="20" t="str"/>
      <x:c r="G2414" s="20" t="str"/>
      <x:c r="H2414" s="20" t="str">
        <x:v>5040 Mortgage Interest</x:v>
      </x:c>
      <x:c r="I2414" s="26" t="n">
        <x:v>958</x:v>
      </x:c>
      <x:c r="J2414" s="26" t="n">
        <x:v>0</x:v>
      </x:c>
      <x:c r="K2414" s="35" t="str">
        <x:v>LN028 scheduled payment</x:v>
      </x:c>
    </x:row>
    <x:row r="2415">
      <x:c r="A2415" s="20" t="str">
        <x:v>FIN-01174</x:v>
      </x:c>
      <x:c r="B2415" s="32" t="n">
        <x:v>3</x:v>
      </x:c>
      <x:c r="C2415" s="23" t="n">
        <x:v>46466</x:v>
      </x:c>
      <x:c r="D2415" s="23" t="n">
        <x:v>46466</x:v>
      </x:c>
      <x:c r="E2415" s="20" t="str">
        <x:v>P028</x:v>
      </x:c>
      <x:c r="F2415" s="20" t="str"/>
      <x:c r="G2415" s="20" t="str"/>
      <x:c r="H2415" s="20" t="str">
        <x:v>1000 Operating Cash</x:v>
      </x:c>
      <x:c r="I2415" s="26" t="n">
        <x:v>0</x:v>
      </x:c>
      <x:c r="J2415" s="26" t="n">
        <x:v>1686</x:v>
      </x:c>
      <x:c r="K2415" s="35" t="str">
        <x:v>LN028 scheduled payment</x:v>
      </x:c>
    </x:row>
    <x:row r="2416">
      <x:c r="A2416" s="20" t="str">
        <x:v>FIN-01175</x:v>
      </x:c>
      <x:c r="B2416" s="32" t="n">
        <x:v>1</x:v>
      </x:c>
      <x:c r="C2416" s="23" t="n">
        <x:v>46466</x:v>
      </x:c>
      <x:c r="D2416" s="23" t="n">
        <x:v>46466</x:v>
      </x:c>
      <x:c r="E2416" s="20" t="str">
        <x:v>P029</x:v>
      </x:c>
      <x:c r="F2416" s="20" t="str"/>
      <x:c r="G2416" s="20" t="str"/>
      <x:c r="H2416" s="20" t="str">
        <x:v>2200 Mortgage Loans Payable</x:v>
      </x:c>
      <x:c r="I2416" s="26" t="n">
        <x:v>739</x:v>
      </x:c>
      <x:c r="J2416" s="26" t="n">
        <x:v>0</x:v>
      </x:c>
      <x:c r="K2416" s="35" t="str">
        <x:v>LN029 scheduled payment</x:v>
      </x:c>
    </x:row>
    <x:row r="2417">
      <x:c r="A2417" s="20" t="str">
        <x:v>FIN-01175</x:v>
      </x:c>
      <x:c r="B2417" s="32" t="n">
        <x:v>2</x:v>
      </x:c>
      <x:c r="C2417" s="23" t="n">
        <x:v>46466</x:v>
      </x:c>
      <x:c r="D2417" s="23" t="n">
        <x:v>46466</x:v>
      </x:c>
      <x:c r="E2417" s="20" t="str">
        <x:v>P029</x:v>
      </x:c>
      <x:c r="F2417" s="20" t="str"/>
      <x:c r="G2417" s="20" t="str"/>
      <x:c r="H2417" s="20" t="str">
        <x:v>5040 Mortgage Interest</x:v>
      </x:c>
      <x:c r="I2417" s="26" t="n">
        <x:v>971</x:v>
      </x:c>
      <x:c r="J2417" s="26" t="n">
        <x:v>0</x:v>
      </x:c>
      <x:c r="K2417" s="35" t="str">
        <x:v>LN029 scheduled payment</x:v>
      </x:c>
    </x:row>
    <x:row r="2418">
      <x:c r="A2418" s="20" t="str">
        <x:v>FIN-01175</x:v>
      </x:c>
      <x:c r="B2418" s="32" t="n">
        <x:v>3</x:v>
      </x:c>
      <x:c r="C2418" s="23" t="n">
        <x:v>46466</x:v>
      </x:c>
      <x:c r="D2418" s="23" t="n">
        <x:v>46466</x:v>
      </x:c>
      <x:c r="E2418" s="20" t="str">
        <x:v>P029</x:v>
      </x:c>
      <x:c r="F2418" s="20" t="str"/>
      <x:c r="G2418" s="20" t="str"/>
      <x:c r="H2418" s="20" t="str">
        <x:v>1000 Operating Cash</x:v>
      </x:c>
      <x:c r="I2418" s="26" t="n">
        <x:v>0</x:v>
      </x:c>
      <x:c r="J2418" s="26" t="n">
        <x:v>1710</x:v>
      </x:c>
      <x:c r="K2418" s="35" t="str">
        <x:v>LN029 scheduled payment</x:v>
      </x:c>
    </x:row>
    <x:row r="2419">
      <x:c r="A2419" s="20" t="str">
        <x:v>FIN-01176</x:v>
      </x:c>
      <x:c r="B2419" s="32" t="n">
        <x:v>1</x:v>
      </x:c>
      <x:c r="C2419" s="23" t="n">
        <x:v>46471</x:v>
      </x:c>
      <x:c r="D2419" s="23" t="n">
        <x:v>46471</x:v>
      </x:c>
      <x:c r="E2419" s="20" t="str"/>
      <x:c r="F2419" s="20" t="str"/>
      <x:c r="G2419" s="20" t="str"/>
      <x:c r="H2419" s="20" t="str">
        <x:v>3100 Owner Distributions</x:v>
      </x:c>
      <x:c r="I2419" s="26" t="n">
        <x:v>2850</x:v>
      </x:c>
      <x:c r="J2419" s="26" t="n">
        <x:v>0</x:v>
      </x:c>
      <x:c r="K2419" s="35" t="str">
        <x:v>Monthly distribution to Blue Door Residential LLC</x:v>
      </x:c>
    </x:row>
    <x:row r="2420">
      <x:c r="A2420" s="20" t="str">
        <x:v>FIN-01176</x:v>
      </x:c>
      <x:c r="B2420" s="32" t="n">
        <x:v>2</x:v>
      </x:c>
      <x:c r="C2420" s="23" t="n">
        <x:v>46471</x:v>
      </x:c>
      <x:c r="D2420" s="23" t="n">
        <x:v>46471</x:v>
      </x:c>
      <x:c r="E2420" s="20" t="str"/>
      <x:c r="F2420" s="20" t="str"/>
      <x:c r="G2420" s="20" t="str"/>
      <x:c r="H2420" s="20" t="str">
        <x:v>1000 Operating Cash</x:v>
      </x:c>
      <x:c r="I2420" s="26" t="n">
        <x:v>0</x:v>
      </x:c>
      <x:c r="J2420" s="26" t="n">
        <x:v>2850</x:v>
      </x:c>
      <x:c r="K2420" s="35" t="str">
        <x:v>Monthly distribution to Blue Door Residential LLC</x:v>
      </x:c>
    </x:row>
    <x:row r="2421">
      <x:c r="A2421" s="20" t="str">
        <x:v>FIN-01177</x:v>
      </x:c>
      <x:c r="B2421" s="32" t="n">
        <x:v>1</x:v>
      </x:c>
      <x:c r="C2421" s="23" t="n">
        <x:v>46471</x:v>
      </x:c>
      <x:c r="D2421" s="23" t="n">
        <x:v>46471</x:v>
      </x:c>
      <x:c r="E2421" s="20" t="str"/>
      <x:c r="F2421" s="20" t="str"/>
      <x:c r="G2421" s="20" t="str"/>
      <x:c r="H2421" s="20" t="str">
        <x:v>3100 Owner Distributions</x:v>
      </x:c>
      <x:c r="I2421" s="26" t="n">
        <x:v>3200</x:v>
      </x:c>
      <x:c r="J2421" s="26" t="n">
        <x:v>0</x:v>
      </x:c>
      <x:c r="K2421" s="35" t="str">
        <x:v>Monthly distribution to Coble Family Rentals LLC</x:v>
      </x:c>
    </x:row>
    <x:row r="2422">
      <x:c r="A2422" s="20" t="str">
        <x:v>FIN-01177</x:v>
      </x:c>
      <x:c r="B2422" s="32" t="n">
        <x:v>2</x:v>
      </x:c>
      <x:c r="C2422" s="23" t="n">
        <x:v>46471</x:v>
      </x:c>
      <x:c r="D2422" s="23" t="n">
        <x:v>46471</x:v>
      </x:c>
      <x:c r="E2422" s="20" t="str"/>
      <x:c r="F2422" s="20" t="str"/>
      <x:c r="G2422" s="20" t="str"/>
      <x:c r="H2422" s="20" t="str">
        <x:v>1000 Operating Cash</x:v>
      </x:c>
      <x:c r="I2422" s="26" t="n">
        <x:v>0</x:v>
      </x:c>
      <x:c r="J2422" s="26" t="n">
        <x:v>3200</x:v>
      </x:c>
      <x:c r="K2422" s="35" t="str">
        <x:v>Monthly distribution to Coble Family Rentals LLC</x:v>
      </x:c>
    </x:row>
    <x:row r="2423">
      <x:c r="A2423" s="20" t="str">
        <x:v>FIN-01178</x:v>
      </x:c>
      <x:c r="B2423" s="32" t="n">
        <x:v>1</x:v>
      </x:c>
      <x:c r="C2423" s="23" t="n">
        <x:v>46471</x:v>
      </x:c>
      <x:c r="D2423" s="23" t="n">
        <x:v>46471</x:v>
      </x:c>
      <x:c r="E2423" s="20" t="str"/>
      <x:c r="F2423" s="20" t="str"/>
      <x:c r="G2423" s="20" t="str"/>
      <x:c r="H2423" s="20" t="str">
        <x:v>3100 Owner Distributions</x:v>
      </x:c>
      <x:c r="I2423" s="26" t="n">
        <x:v>3550</x:v>
      </x:c>
      <x:c r="J2423" s="26" t="n">
        <x:v>0</x:v>
      </x:c>
      <x:c r="K2423" s="35" t="str">
        <x:v>Monthly distribution to Northstar Property Partners LLC</x:v>
      </x:c>
    </x:row>
    <x:row r="2424">
      <x:c r="A2424" s="20" t="str">
        <x:v>FIN-01178</x:v>
      </x:c>
      <x:c r="B2424" s="32" t="n">
        <x:v>2</x:v>
      </x:c>
      <x:c r="C2424" s="23" t="n">
        <x:v>46471</x:v>
      </x:c>
      <x:c r="D2424" s="23" t="n">
        <x:v>46471</x:v>
      </x:c>
      <x:c r="E2424" s="20" t="str"/>
      <x:c r="F2424" s="20" t="str"/>
      <x:c r="G2424" s="20" t="str"/>
      <x:c r="H2424" s="20" t="str">
        <x:v>1000 Operating Cash</x:v>
      </x:c>
      <x:c r="I2424" s="26" t="n">
        <x:v>0</x:v>
      </x:c>
      <x:c r="J2424" s="26" t="n">
        <x:v>3550</x:v>
      </x:c>
      <x:c r="K2424" s="35" t="str">
        <x:v>Monthly distribution to Northstar Property Partners LLC</x:v>
      </x:c>
    </x:row>
    <x:row r="2425">
      <x:c r="A2425" s="20" t="str">
        <x:v>FIN-01179</x:v>
      </x:c>
      <x:c r="B2425" s="32" t="n">
        <x:v>1</x:v>
      </x:c>
      <x:c r="C2425" s="23" t="n">
        <x:v>46471</x:v>
      </x:c>
      <x:c r="D2425" s="23" t="n">
        <x:v>46471</x:v>
      </x:c>
      <x:c r="E2425" s="20" t="str"/>
      <x:c r="F2425" s="20" t="str"/>
      <x:c r="G2425" s="20" t="str"/>
      <x:c r="H2425" s="20" t="str">
        <x:v>3100 Owner Distributions</x:v>
      </x:c>
      <x:c r="I2425" s="26" t="n">
        <x:v>3900</x:v>
      </x:c>
      <x:c r="J2425" s="26" t="n">
        <x:v>0</x:v>
      </x:c>
      <x:c r="K2425" s="35" t="str">
        <x:v>Monthly distribution to Riverbend Homes LLC</x:v>
      </x:c>
    </x:row>
    <x:row r="2426">
      <x:c r="A2426" s="20" t="str">
        <x:v>FIN-01179</x:v>
      </x:c>
      <x:c r="B2426" s="32" t="n">
        <x:v>2</x:v>
      </x:c>
      <x:c r="C2426" s="23" t="n">
        <x:v>46471</x:v>
      </x:c>
      <x:c r="D2426" s="23" t="n">
        <x:v>46471</x:v>
      </x:c>
      <x:c r="E2426" s="20" t="str"/>
      <x:c r="F2426" s="20" t="str"/>
      <x:c r="G2426" s="20" t="str"/>
      <x:c r="H2426" s="20" t="str">
        <x:v>1000 Operating Cash</x:v>
      </x:c>
      <x:c r="I2426" s="26" t="n">
        <x:v>0</x:v>
      </x:c>
      <x:c r="J2426" s="26" t="n">
        <x:v>3900</x:v>
      </x:c>
      <x:c r="K2426" s="35" t="str">
        <x:v>Monthly distribution to Riverbend Homes LLC</x:v>
      </x:c>
    </x:row>
    <x:row r="2427">
      <x:c r="A2427" s="20" t="str">
        <x:v>FIN-01180</x:v>
      </x:c>
      <x:c r="B2427" s="32" t="n">
        <x:v>1</x:v>
      </x:c>
      <x:c r="C2427" s="23" t="n">
        <x:v>46471</x:v>
      </x:c>
      <x:c r="D2427" s="23" t="n">
        <x:v>46471</x:v>
      </x:c>
      <x:c r="E2427" s="20" t="str"/>
      <x:c r="F2427" s="20" t="str"/>
      <x:c r="G2427" s="20" t="str"/>
      <x:c r="H2427" s="20" t="str">
        <x:v>3100 Owner Distributions</x:v>
      </x:c>
      <x:c r="I2427" s="26" t="n">
        <x:v>4250</x:v>
      </x:c>
      <x:c r="J2427" s="26" t="n">
        <x:v>0</x:v>
      </x:c>
      <x:c r="K2427" s="35" t="str">
        <x:v>Monthly distribution to Juniper Street Holdings LLC</x:v>
      </x:c>
    </x:row>
    <x:row r="2428">
      <x:c r="A2428" s="20" t="str">
        <x:v>FIN-01180</x:v>
      </x:c>
      <x:c r="B2428" s="32" t="n">
        <x:v>2</x:v>
      </x:c>
      <x:c r="C2428" s="23" t="n">
        <x:v>46471</x:v>
      </x:c>
      <x:c r="D2428" s="23" t="n">
        <x:v>46471</x:v>
      </x:c>
      <x:c r="E2428" s="20" t="str"/>
      <x:c r="F2428" s="20" t="str"/>
      <x:c r="G2428" s="20" t="str"/>
      <x:c r="H2428" s="20" t="str">
        <x:v>1000 Operating Cash</x:v>
      </x:c>
      <x:c r="I2428" s="26" t="n">
        <x:v>0</x:v>
      </x:c>
      <x:c r="J2428" s="26" t="n">
        <x:v>4250</x:v>
      </x:c>
      <x:c r="K2428" s="35" t="str">
        <x:v>Monthly distribution to Juniper Street Holdings LLC</x:v>
      </x:c>
    </x:row>
    <x:row r="2429">
      <x:c r="A2429" s="20" t="str">
        <x:v>FIN-01181</x:v>
      </x:c>
      <x:c r="B2429" s="32" t="n">
        <x:v>1</x:v>
      </x:c>
      <x:c r="C2429" s="23" t="n">
        <x:v>46477</x:v>
      </x:c>
      <x:c r="D2429" s="23" t="n">
        <x:v>46477</x:v>
      </x:c>
      <x:c r="E2429" s="20" t="str"/>
      <x:c r="F2429" s="20" t="str"/>
      <x:c r="G2429" s="20" t="str"/>
      <x:c r="H2429" s="20" t="str">
        <x:v>5090 Bank Fees</x:v>
      </x:c>
      <x:c r="I2429" s="26" t="n">
        <x:v>18</x:v>
      </x:c>
      <x:c r="J2429" s="26" t="n">
        <x:v>0</x:v>
      </x:c>
      <x:c r="K2429" s="35" t="str">
        <x:v>Quarterly account analysis fee</x:v>
      </x:c>
    </x:row>
    <x:row r="2430">
      <x:c r="A2430" s="20" t="str">
        <x:v>FIN-01181</x:v>
      </x:c>
      <x:c r="B2430" s="32" t="n">
        <x:v>2</x:v>
      </x:c>
      <x:c r="C2430" s="23" t="n">
        <x:v>46477</x:v>
      </x:c>
      <x:c r="D2430" s="23" t="n">
        <x:v>46477</x:v>
      </x:c>
      <x:c r="E2430" s="20" t="str"/>
      <x:c r="F2430" s="20" t="str"/>
      <x:c r="G2430" s="20" t="str"/>
      <x:c r="H2430" s="20" t="str">
        <x:v>1000 Operating Cash</x:v>
      </x:c>
      <x:c r="I2430" s="26" t="n">
        <x:v>0</x:v>
      </x:c>
      <x:c r="J2430" s="26" t="n">
        <x:v>18</x:v>
      </x:c>
      <x:c r="K2430" s="35" t="str">
        <x:v>Quarterly account analysis fee</x:v>
      </x:c>
    </x:row>
    <x:row r="2431">
      <x:c r="A2431" s="20" t="str">
        <x:v>FIN-01182</x:v>
      </x:c>
      <x:c r="B2431" s="32" t="n">
        <x:v>1</x:v>
      </x:c>
      <x:c r="C2431" s="23" t="n">
        <x:v>46492</x:v>
      </x:c>
      <x:c r="D2431" s="23" t="n">
        <x:v>46492</x:v>
      </x:c>
      <x:c r="E2431" s="20" t="str">
        <x:v>P021</x:v>
      </x:c>
      <x:c r="F2431" s="20" t="str"/>
      <x:c r="G2431" s="20" t="str"/>
      <x:c r="H2431" s="20" t="str">
        <x:v>5010 Utilities</x:v>
      </x:c>
      <x:c r="I2431" s="26" t="n">
        <x:v>169</x:v>
      </x:c>
      <x:c r="J2431" s="26" t="n">
        <x:v>0</x:v>
      </x:c>
      <x:c r="K2431" s="35" t="str">
        <x:v>City Water &amp; Sewer</x:v>
      </x:c>
    </x:row>
    <x:row r="2432">
      <x:c r="A2432" s="20" t="str">
        <x:v>FIN-01182</x:v>
      </x:c>
      <x:c r="B2432" s="32" t="n">
        <x:v>2</x:v>
      </x:c>
      <x:c r="C2432" s="23" t="n">
        <x:v>46492</x:v>
      </x:c>
      <x:c r="D2432" s="23" t="n">
        <x:v>46492</x:v>
      </x:c>
      <x:c r="E2432" s="20" t="str">
        <x:v>P021</x:v>
      </x:c>
      <x:c r="F2432" s="20" t="str"/>
      <x:c r="G2432" s="20" t="str"/>
      <x:c r="H2432" s="20" t="str">
        <x:v>1000 Operating Cash</x:v>
      </x:c>
      <x:c r="I2432" s="26" t="n">
        <x:v>0</x:v>
      </x:c>
      <x:c r="J2432" s="26" t="n">
        <x:v>169</x:v>
      </x:c>
      <x:c r="K2432" s="35" t="str">
        <x:v>City Water &amp; Sewer</x:v>
      </x:c>
    </x:row>
    <x:row r="2433">
      <x:c r="A2433" s="20" t="str">
        <x:v>FIN-01183</x:v>
      </x:c>
      <x:c r="B2433" s="32" t="n">
        <x:v>1</x:v>
      </x:c>
      <x:c r="C2433" s="23" t="n">
        <x:v>46492</x:v>
      </x:c>
      <x:c r="D2433" s="23" t="n">
        <x:v>46492</x:v>
      </x:c>
      <x:c r="E2433" s="20" t="str">
        <x:v>P022</x:v>
      </x:c>
      <x:c r="F2433" s="20" t="str"/>
      <x:c r="G2433" s="20" t="str"/>
      <x:c r="H2433" s="20" t="str">
        <x:v>5010 Utilities</x:v>
      </x:c>
      <x:c r="I2433" s="26" t="n">
        <x:v>176</x:v>
      </x:c>
      <x:c r="J2433" s="26" t="n">
        <x:v>0</x:v>
      </x:c>
      <x:c r="K2433" s="35" t="str">
        <x:v>City Water &amp; Sewer</x:v>
      </x:c>
    </x:row>
    <x:row r="2434">
      <x:c r="A2434" s="20" t="str">
        <x:v>FIN-01183</x:v>
      </x:c>
      <x:c r="B2434" s="32" t="n">
        <x:v>2</x:v>
      </x:c>
      <x:c r="C2434" s="23" t="n">
        <x:v>46492</x:v>
      </x:c>
      <x:c r="D2434" s="23" t="n">
        <x:v>46492</x:v>
      </x:c>
      <x:c r="E2434" s="20" t="str">
        <x:v>P022</x:v>
      </x:c>
      <x:c r="F2434" s="20" t="str"/>
      <x:c r="G2434" s="20" t="str"/>
      <x:c r="H2434" s="20" t="str">
        <x:v>1000 Operating Cash</x:v>
      </x:c>
      <x:c r="I2434" s="26" t="n">
        <x:v>0</x:v>
      </x:c>
      <x:c r="J2434" s="26" t="n">
        <x:v>176</x:v>
      </x:c>
      <x:c r="K2434" s="35" t="str">
        <x:v>City Water &amp; Sewer</x:v>
      </x:c>
    </x:row>
    <x:row r="2435">
      <x:c r="A2435" s="20" t="str">
        <x:v>FIN-01184</x:v>
      </x:c>
      <x:c r="B2435" s="32" t="n">
        <x:v>1</x:v>
      </x:c>
      <x:c r="C2435" s="23" t="n">
        <x:v>46492</x:v>
      </x:c>
      <x:c r="D2435" s="23" t="n">
        <x:v>46492</x:v>
      </x:c>
      <x:c r="E2435" s="20" t="str">
        <x:v>P023</x:v>
      </x:c>
      <x:c r="F2435" s="20" t="str"/>
      <x:c r="G2435" s="20" t="str"/>
      <x:c r="H2435" s="20" t="str">
        <x:v>5010 Utilities</x:v>
      </x:c>
      <x:c r="I2435" s="26" t="n">
        <x:v>183</x:v>
      </x:c>
      <x:c r="J2435" s="26" t="n">
        <x:v>0</x:v>
      </x:c>
      <x:c r="K2435" s="35" t="str">
        <x:v>City Water &amp; Sewer</x:v>
      </x:c>
    </x:row>
    <x:row r="2436">
      <x:c r="A2436" s="20" t="str">
        <x:v>FIN-01184</x:v>
      </x:c>
      <x:c r="B2436" s="32" t="n">
        <x:v>2</x:v>
      </x:c>
      <x:c r="C2436" s="23" t="n">
        <x:v>46492</x:v>
      </x:c>
      <x:c r="D2436" s="23" t="n">
        <x:v>46492</x:v>
      </x:c>
      <x:c r="E2436" s="20" t="str">
        <x:v>P023</x:v>
      </x:c>
      <x:c r="F2436" s="20" t="str"/>
      <x:c r="G2436" s="20" t="str"/>
      <x:c r="H2436" s="20" t="str">
        <x:v>1000 Operating Cash</x:v>
      </x:c>
      <x:c r="I2436" s="26" t="n">
        <x:v>0</x:v>
      </x:c>
      <x:c r="J2436" s="26" t="n">
        <x:v>183</x:v>
      </x:c>
      <x:c r="K2436" s="35" t="str">
        <x:v>City Water &amp; Sewer</x:v>
      </x:c>
    </x:row>
    <x:row r="2437">
      <x:c r="A2437" s="20" t="str">
        <x:v>FIN-01185</x:v>
      </x:c>
      <x:c r="B2437" s="32" t="n">
        <x:v>1</x:v>
      </x:c>
      <x:c r="C2437" s="23" t="n">
        <x:v>46492</x:v>
      </x:c>
      <x:c r="D2437" s="23" t="n">
        <x:v>46492</x:v>
      </x:c>
      <x:c r="E2437" s="20" t="str">
        <x:v>P024</x:v>
      </x:c>
      <x:c r="F2437" s="20" t="str"/>
      <x:c r="G2437" s="20" t="str"/>
      <x:c r="H2437" s="20" t="str">
        <x:v>5010 Utilities</x:v>
      </x:c>
      <x:c r="I2437" s="26" t="n">
        <x:v>190</x:v>
      </x:c>
      <x:c r="J2437" s="26" t="n">
        <x:v>0</x:v>
      </x:c>
      <x:c r="K2437" s="35" t="str">
        <x:v>City Water &amp; Sewer</x:v>
      </x:c>
    </x:row>
    <x:row r="2438">
      <x:c r="A2438" s="20" t="str">
        <x:v>FIN-01185</x:v>
      </x:c>
      <x:c r="B2438" s="32" t="n">
        <x:v>2</x:v>
      </x:c>
      <x:c r="C2438" s="23" t="n">
        <x:v>46492</x:v>
      </x:c>
      <x:c r="D2438" s="23" t="n">
        <x:v>46492</x:v>
      </x:c>
      <x:c r="E2438" s="20" t="str">
        <x:v>P024</x:v>
      </x:c>
      <x:c r="F2438" s="20" t="str"/>
      <x:c r="G2438" s="20" t="str"/>
      <x:c r="H2438" s="20" t="str">
        <x:v>1000 Operating Cash</x:v>
      </x:c>
      <x:c r="I2438" s="26" t="n">
        <x:v>0</x:v>
      </x:c>
      <x:c r="J2438" s="26" t="n">
        <x:v>190</x:v>
      </x:c>
      <x:c r="K2438" s="35" t="str">
        <x:v>City Water &amp; Sewer</x:v>
      </x:c>
    </x:row>
    <x:row r="2439">
      <x:c r="A2439" s="20" t="str">
        <x:v>FIN-01186</x:v>
      </x:c>
      <x:c r="B2439" s="32" t="n">
        <x:v>1</x:v>
      </x:c>
      <x:c r="C2439" s="23" t="n">
        <x:v>46492</x:v>
      </x:c>
      <x:c r="D2439" s="23" t="n">
        <x:v>46492</x:v>
      </x:c>
      <x:c r="E2439" s="20" t="str">
        <x:v>P025</x:v>
      </x:c>
      <x:c r="F2439" s="20" t="str"/>
      <x:c r="G2439" s="20" t="str"/>
      <x:c r="H2439" s="20" t="str">
        <x:v>5010 Utilities</x:v>
      </x:c>
      <x:c r="I2439" s="26" t="n">
        <x:v>197</x:v>
      </x:c>
      <x:c r="J2439" s="26" t="n">
        <x:v>0</x:v>
      </x:c>
      <x:c r="K2439" s="35" t="str">
        <x:v>City Water &amp; Sewer</x:v>
      </x:c>
    </x:row>
    <x:row r="2440">
      <x:c r="A2440" s="20" t="str">
        <x:v>FIN-01186</x:v>
      </x:c>
      <x:c r="B2440" s="32" t="n">
        <x:v>2</x:v>
      </x:c>
      <x:c r="C2440" s="23" t="n">
        <x:v>46492</x:v>
      </x:c>
      <x:c r="D2440" s="23" t="n">
        <x:v>46492</x:v>
      </x:c>
      <x:c r="E2440" s="20" t="str">
        <x:v>P025</x:v>
      </x:c>
      <x:c r="F2440" s="20" t="str"/>
      <x:c r="G2440" s="20" t="str"/>
      <x:c r="H2440" s="20" t="str">
        <x:v>1000 Operating Cash</x:v>
      </x:c>
      <x:c r="I2440" s="26" t="n">
        <x:v>0</x:v>
      </x:c>
      <x:c r="J2440" s="26" t="n">
        <x:v>197</x:v>
      </x:c>
      <x:c r="K2440" s="35" t="str">
        <x:v>City Water &amp; Sewer</x:v>
      </x:c>
    </x:row>
    <x:row r="2441">
      <x:c r="A2441" s="20" t="str">
        <x:v>FIN-01187</x:v>
      </x:c>
      <x:c r="B2441" s="32" t="n">
        <x:v>1</x:v>
      </x:c>
      <x:c r="C2441" s="23" t="n">
        <x:v>46492</x:v>
      </x:c>
      <x:c r="D2441" s="23" t="n">
        <x:v>46492</x:v>
      </x:c>
      <x:c r="E2441" s="20" t="str">
        <x:v>P026</x:v>
      </x:c>
      <x:c r="F2441" s="20" t="str"/>
      <x:c r="G2441" s="20" t="str"/>
      <x:c r="H2441" s="20" t="str">
        <x:v>5010 Utilities</x:v>
      </x:c>
      <x:c r="I2441" s="26" t="n">
        <x:v>204</x:v>
      </x:c>
      <x:c r="J2441" s="26" t="n">
        <x:v>0</x:v>
      </x:c>
      <x:c r="K2441" s="35" t="str">
        <x:v>City Water &amp; Sewer</x:v>
      </x:c>
    </x:row>
    <x:row r="2442">
      <x:c r="A2442" s="20" t="str">
        <x:v>FIN-01187</x:v>
      </x:c>
      <x:c r="B2442" s="32" t="n">
        <x:v>2</x:v>
      </x:c>
      <x:c r="C2442" s="23" t="n">
        <x:v>46492</x:v>
      </x:c>
      <x:c r="D2442" s="23" t="n">
        <x:v>46492</x:v>
      </x:c>
      <x:c r="E2442" s="20" t="str">
        <x:v>P026</x:v>
      </x:c>
      <x:c r="F2442" s="20" t="str"/>
      <x:c r="G2442" s="20" t="str"/>
      <x:c r="H2442" s="20" t="str">
        <x:v>1000 Operating Cash</x:v>
      </x:c>
      <x:c r="I2442" s="26" t="n">
        <x:v>0</x:v>
      </x:c>
      <x:c r="J2442" s="26" t="n">
        <x:v>204</x:v>
      </x:c>
      <x:c r="K2442" s="35" t="str">
        <x:v>City Water &amp; Sewer</x:v>
      </x:c>
    </x:row>
    <x:row r="2443">
      <x:c r="A2443" s="20" t="str">
        <x:v>FIN-01188</x:v>
      </x:c>
      <x:c r="B2443" s="32" t="n">
        <x:v>1</x:v>
      </x:c>
      <x:c r="C2443" s="23" t="n">
        <x:v>46492</x:v>
      </x:c>
      <x:c r="D2443" s="23" t="n">
        <x:v>46492</x:v>
      </x:c>
      <x:c r="E2443" s="20" t="str">
        <x:v>P027</x:v>
      </x:c>
      <x:c r="F2443" s="20" t="str"/>
      <x:c r="G2443" s="20" t="str"/>
      <x:c r="H2443" s="20" t="str">
        <x:v>5010 Utilities</x:v>
      </x:c>
      <x:c r="I2443" s="26" t="n">
        <x:v>121</x:v>
      </x:c>
      <x:c r="J2443" s="26" t="n">
        <x:v>0</x:v>
      </x:c>
      <x:c r="K2443" s="35" t="str">
        <x:v>City Water &amp; Sewer</x:v>
      </x:c>
    </x:row>
    <x:row r="2444">
      <x:c r="A2444" s="20" t="str">
        <x:v>FIN-01188</x:v>
      </x:c>
      <x:c r="B2444" s="32" t="n">
        <x:v>2</x:v>
      </x:c>
      <x:c r="C2444" s="23" t="n">
        <x:v>46492</x:v>
      </x:c>
      <x:c r="D2444" s="23" t="n">
        <x:v>46492</x:v>
      </x:c>
      <x:c r="E2444" s="20" t="str">
        <x:v>P027</x:v>
      </x:c>
      <x:c r="F2444" s="20" t="str"/>
      <x:c r="G2444" s="20" t="str"/>
      <x:c r="H2444" s="20" t="str">
        <x:v>1000 Operating Cash</x:v>
      </x:c>
      <x:c r="I2444" s="26" t="n">
        <x:v>0</x:v>
      </x:c>
      <x:c r="J2444" s="26" t="n">
        <x:v>121</x:v>
      </x:c>
      <x:c r="K2444" s="35" t="str">
        <x:v>City Water &amp; Sewer</x:v>
      </x:c>
    </x:row>
    <x:row r="2445">
      <x:c r="A2445" s="20" t="str">
        <x:v>FIN-01189</x:v>
      </x:c>
      <x:c r="B2445" s="32" t="n">
        <x:v>1</x:v>
      </x:c>
      <x:c r="C2445" s="23" t="n">
        <x:v>46492</x:v>
      </x:c>
      <x:c r="D2445" s="23" t="n">
        <x:v>46492</x:v>
      </x:c>
      <x:c r="E2445" s="20" t="str">
        <x:v>P028</x:v>
      </x:c>
      <x:c r="F2445" s="20" t="str"/>
      <x:c r="G2445" s="20" t="str"/>
      <x:c r="H2445" s="20" t="str">
        <x:v>5010 Utilities</x:v>
      </x:c>
      <x:c r="I2445" s="26" t="n">
        <x:v>128</x:v>
      </x:c>
      <x:c r="J2445" s="26" t="n">
        <x:v>0</x:v>
      </x:c>
      <x:c r="K2445" s="35" t="str">
        <x:v>City Water &amp; Sewer</x:v>
      </x:c>
    </x:row>
    <x:row r="2446">
      <x:c r="A2446" s="20" t="str">
        <x:v>FIN-01189</x:v>
      </x:c>
      <x:c r="B2446" s="32" t="n">
        <x:v>2</x:v>
      </x:c>
      <x:c r="C2446" s="23" t="n">
        <x:v>46492</x:v>
      </x:c>
      <x:c r="D2446" s="23" t="n">
        <x:v>46492</x:v>
      </x:c>
      <x:c r="E2446" s="20" t="str">
        <x:v>P028</x:v>
      </x:c>
      <x:c r="F2446" s="20" t="str"/>
      <x:c r="G2446" s="20" t="str"/>
      <x:c r="H2446" s="20" t="str">
        <x:v>1000 Operating Cash</x:v>
      </x:c>
      <x:c r="I2446" s="26" t="n">
        <x:v>0</x:v>
      </x:c>
      <x:c r="J2446" s="26" t="n">
        <x:v>128</x:v>
      </x:c>
      <x:c r="K2446" s="35" t="str">
        <x:v>City Water &amp; Sewer</x:v>
      </x:c>
    </x:row>
    <x:row r="2447">
      <x:c r="A2447" s="20" t="str">
        <x:v>FIN-01190</x:v>
      </x:c>
      <x:c r="B2447" s="32" t="n">
        <x:v>1</x:v>
      </x:c>
      <x:c r="C2447" s="23" t="n">
        <x:v>46492</x:v>
      </x:c>
      <x:c r="D2447" s="23" t="n">
        <x:v>46492</x:v>
      </x:c>
      <x:c r="E2447" s="20" t="str">
        <x:v>P029</x:v>
      </x:c>
      <x:c r="F2447" s="20" t="str"/>
      <x:c r="G2447" s="20" t="str"/>
      <x:c r="H2447" s="20" t="str">
        <x:v>5010 Utilities</x:v>
      </x:c>
      <x:c r="I2447" s="26" t="n">
        <x:v>135</x:v>
      </x:c>
      <x:c r="J2447" s="26" t="n">
        <x:v>0</x:v>
      </x:c>
      <x:c r="K2447" s="35" t="str">
        <x:v>City Water &amp; Sewer</x:v>
      </x:c>
    </x:row>
    <x:row r="2448">
      <x:c r="A2448" s="20" t="str">
        <x:v>FIN-01190</x:v>
      </x:c>
      <x:c r="B2448" s="32" t="n">
        <x:v>2</x:v>
      </x:c>
      <x:c r="C2448" s="23" t="n">
        <x:v>46492</x:v>
      </x:c>
      <x:c r="D2448" s="23" t="n">
        <x:v>46492</x:v>
      </x:c>
      <x:c r="E2448" s="20" t="str">
        <x:v>P029</x:v>
      </x:c>
      <x:c r="F2448" s="20" t="str"/>
      <x:c r="G2448" s="20" t="str"/>
      <x:c r="H2448" s="20" t="str">
        <x:v>1000 Operating Cash</x:v>
      </x:c>
      <x:c r="I2448" s="26" t="n">
        <x:v>0</x:v>
      </x:c>
      <x:c r="J2448" s="26" t="n">
        <x:v>135</x:v>
      </x:c>
      <x:c r="K2448" s="35" t="str">
        <x:v>City Water &amp; Sewer</x:v>
      </x:c>
    </x:row>
    <x:row r="2449">
      <x:c r="A2449" s="20" t="str">
        <x:v>FIN-01191</x:v>
      </x:c>
      <x:c r="B2449" s="32" t="n">
        <x:v>1</x:v>
      </x:c>
      <x:c r="C2449" s="23" t="n">
        <x:v>46492</x:v>
      </x:c>
      <x:c r="D2449" s="23" t="n">
        <x:v>46492</x:v>
      </x:c>
      <x:c r="E2449" s="20" t="str">
        <x:v>P030</x:v>
      </x:c>
      <x:c r="F2449" s="20" t="str"/>
      <x:c r="G2449" s="20" t="str"/>
      <x:c r="H2449" s="20" t="str">
        <x:v>5010 Utilities</x:v>
      </x:c>
      <x:c r="I2449" s="26" t="n">
        <x:v>142</x:v>
      </x:c>
      <x:c r="J2449" s="26" t="n">
        <x:v>0</x:v>
      </x:c>
      <x:c r="K2449" s="35" t="str">
        <x:v>City Water &amp; Sewer</x:v>
      </x:c>
    </x:row>
    <x:row r="2450">
      <x:c r="A2450" s="20" t="str">
        <x:v>FIN-01191</x:v>
      </x:c>
      <x:c r="B2450" s="32" t="n">
        <x:v>2</x:v>
      </x:c>
      <x:c r="C2450" s="23" t="n">
        <x:v>46492</x:v>
      </x:c>
      <x:c r="D2450" s="23" t="n">
        <x:v>46492</x:v>
      </x:c>
      <x:c r="E2450" s="20" t="str">
        <x:v>P030</x:v>
      </x:c>
      <x:c r="F2450" s="20" t="str"/>
      <x:c r="G2450" s="20" t="str"/>
      <x:c r="H2450" s="20" t="str">
        <x:v>1000 Operating Cash</x:v>
      </x:c>
      <x:c r="I2450" s="26" t="n">
        <x:v>0</x:v>
      </x:c>
      <x:c r="J2450" s="26" t="n">
        <x:v>142</x:v>
      </x:c>
      <x:c r="K2450" s="35" t="str">
        <x:v>City Water &amp; Sewer</x:v>
      </x:c>
    </x:row>
    <x:row r="2451">
      <x:c r="A2451" s="20" t="str">
        <x:v>FIN-01192</x:v>
      </x:c>
      <x:c r="B2451" s="32" t="n">
        <x:v>1</x:v>
      </x:c>
      <x:c r="C2451" s="23" t="n">
        <x:v>46497</x:v>
      </x:c>
      <x:c r="D2451" s="23" t="n">
        <x:v>46497</x:v>
      </x:c>
      <x:c r="E2451" s="20" t="str">
        <x:v>P001</x:v>
      </x:c>
      <x:c r="F2451" s="20" t="str"/>
      <x:c r="G2451" s="20" t="str"/>
      <x:c r="H2451" s="20" t="str">
        <x:v>2200 Mortgage Loans Payable</x:v>
      </x:c>
      <x:c r="I2451" s="26" t="n">
        <x:v>431</x:v>
      </x:c>
      <x:c r="J2451" s="26" t="n">
        <x:v>0</x:v>
      </x:c>
      <x:c r="K2451" s="35" t="str">
        <x:v>LN001 scheduled payment</x:v>
      </x:c>
    </x:row>
    <x:row r="2452">
      <x:c r="A2452" s="20" t="str">
        <x:v>FIN-01192</x:v>
      </x:c>
      <x:c r="B2452" s="32" t="n">
        <x:v>2</x:v>
      </x:c>
      <x:c r="C2452" s="23" t="n">
        <x:v>46497</x:v>
      </x:c>
      <x:c r="D2452" s="23" t="n">
        <x:v>46497</x:v>
      </x:c>
      <x:c r="E2452" s="20" t="str">
        <x:v>P001</x:v>
      </x:c>
      <x:c r="F2452" s="20" t="str"/>
      <x:c r="G2452" s="20" t="str"/>
      <x:c r="H2452" s="20" t="str">
        <x:v>5040 Mortgage Interest</x:v>
      </x:c>
      <x:c r="I2452" s="26" t="n">
        <x:v>599</x:v>
      </x:c>
      <x:c r="J2452" s="26" t="n">
        <x:v>0</x:v>
      </x:c>
      <x:c r="K2452" s="35" t="str">
        <x:v>LN001 scheduled payment</x:v>
      </x:c>
    </x:row>
    <x:row r="2453">
      <x:c r="A2453" s="20" t="str">
        <x:v>FIN-01192</x:v>
      </x:c>
      <x:c r="B2453" s="32" t="n">
        <x:v>3</x:v>
      </x:c>
      <x:c r="C2453" s="23" t="n">
        <x:v>46497</x:v>
      </x:c>
      <x:c r="D2453" s="23" t="n">
        <x:v>46497</x:v>
      </x:c>
      <x:c r="E2453" s="20" t="str">
        <x:v>P001</x:v>
      </x:c>
      <x:c r="F2453" s="20" t="str"/>
      <x:c r="G2453" s="20" t="str"/>
      <x:c r="H2453" s="20" t="str">
        <x:v>1000 Operating Cash</x:v>
      </x:c>
      <x:c r="I2453" s="26" t="n">
        <x:v>0</x:v>
      </x:c>
      <x:c r="J2453" s="26" t="n">
        <x:v>1030</x:v>
      </x:c>
      <x:c r="K2453" s="35" t="str">
        <x:v>LN001 scheduled payment</x:v>
      </x:c>
    </x:row>
    <x:row r="2454">
      <x:c r="A2454" s="20" t="str">
        <x:v>FIN-01193</x:v>
      </x:c>
      <x:c r="B2454" s="32" t="n">
        <x:v>1</x:v>
      </x:c>
      <x:c r="C2454" s="23" t="n">
        <x:v>46497</x:v>
      </x:c>
      <x:c r="D2454" s="23" t="n">
        <x:v>46497</x:v>
      </x:c>
      <x:c r="E2454" s="20" t="str">
        <x:v>P002</x:v>
      </x:c>
      <x:c r="F2454" s="20" t="str"/>
      <x:c r="G2454" s="20" t="str"/>
      <x:c r="H2454" s="20" t="str">
        <x:v>2200 Mortgage Loans Payable</x:v>
      </x:c>
      <x:c r="I2454" s="26" t="n">
        <x:v>442</x:v>
      </x:c>
      <x:c r="J2454" s="26" t="n">
        <x:v>0</x:v>
      </x:c>
      <x:c r="K2454" s="35" t="str">
        <x:v>LN002 scheduled payment</x:v>
      </x:c>
    </x:row>
    <x:row r="2455">
      <x:c r="A2455" s="20" t="str">
        <x:v>FIN-01193</x:v>
      </x:c>
      <x:c r="B2455" s="32" t="n">
        <x:v>2</x:v>
      </x:c>
      <x:c r="C2455" s="23" t="n">
        <x:v>46497</x:v>
      </x:c>
      <x:c r="D2455" s="23" t="n">
        <x:v>46497</x:v>
      </x:c>
      <x:c r="E2455" s="20" t="str">
        <x:v>P002</x:v>
      </x:c>
      <x:c r="F2455" s="20" t="str"/>
      <x:c r="G2455" s="20" t="str"/>
      <x:c r="H2455" s="20" t="str">
        <x:v>5040 Mortgage Interest</x:v>
      </x:c>
      <x:c r="I2455" s="26" t="n">
        <x:v>612</x:v>
      </x:c>
      <x:c r="J2455" s="26" t="n">
        <x:v>0</x:v>
      </x:c>
      <x:c r="K2455" s="35" t="str">
        <x:v>LN002 scheduled payment</x:v>
      </x:c>
    </x:row>
    <x:row r="2456">
      <x:c r="A2456" s="20" t="str">
        <x:v>FIN-01193</x:v>
      </x:c>
      <x:c r="B2456" s="32" t="n">
        <x:v>3</x:v>
      </x:c>
      <x:c r="C2456" s="23" t="n">
        <x:v>46497</x:v>
      </x:c>
      <x:c r="D2456" s="23" t="n">
        <x:v>46497</x:v>
      </x:c>
      <x:c r="E2456" s="20" t="str">
        <x:v>P002</x:v>
      </x:c>
      <x:c r="F2456" s="20" t="str"/>
      <x:c r="G2456" s="20" t="str"/>
      <x:c r="H2456" s="20" t="str">
        <x:v>1000 Operating Cash</x:v>
      </x:c>
      <x:c r="I2456" s="26" t="n">
        <x:v>0</x:v>
      </x:c>
      <x:c r="J2456" s="26" t="n">
        <x:v>1054</x:v>
      </x:c>
      <x:c r="K2456" s="35" t="str">
        <x:v>LN002 scheduled payment</x:v>
      </x:c>
    </x:row>
    <x:row r="2457">
      <x:c r="A2457" s="20" t="str">
        <x:v>FIN-01194</x:v>
      </x:c>
      <x:c r="B2457" s="32" t="n">
        <x:v>1</x:v>
      </x:c>
      <x:c r="C2457" s="23" t="n">
        <x:v>46497</x:v>
      </x:c>
      <x:c r="D2457" s="23" t="n">
        <x:v>46497</x:v>
      </x:c>
      <x:c r="E2457" s="20" t="str">
        <x:v>P004</x:v>
      </x:c>
      <x:c r="F2457" s="20" t="str"/>
      <x:c r="G2457" s="20" t="str"/>
      <x:c r="H2457" s="20" t="str">
        <x:v>2200 Mortgage Loans Payable</x:v>
      </x:c>
      <x:c r="I2457" s="26" t="n">
        <x:v>464</x:v>
      </x:c>
      <x:c r="J2457" s="26" t="n">
        <x:v>0</x:v>
      </x:c>
      <x:c r="K2457" s="35" t="str">
        <x:v>LN004 scheduled payment</x:v>
      </x:c>
    </x:row>
    <x:row r="2458">
      <x:c r="A2458" s="20" t="str">
        <x:v>FIN-01194</x:v>
      </x:c>
      <x:c r="B2458" s="32" t="n">
        <x:v>2</x:v>
      </x:c>
      <x:c r="C2458" s="23" t="n">
        <x:v>46497</x:v>
      </x:c>
      <x:c r="D2458" s="23" t="n">
        <x:v>46497</x:v>
      </x:c>
      <x:c r="E2458" s="20" t="str">
        <x:v>P004</x:v>
      </x:c>
      <x:c r="F2458" s="20" t="str"/>
      <x:c r="G2458" s="20" t="str"/>
      <x:c r="H2458" s="20" t="str">
        <x:v>5040 Mortgage Interest</x:v>
      </x:c>
      <x:c r="I2458" s="26" t="n">
        <x:v>638</x:v>
      </x:c>
      <x:c r="J2458" s="26" t="n">
        <x:v>0</x:v>
      </x:c>
      <x:c r="K2458" s="35" t="str">
        <x:v>LN004 scheduled payment</x:v>
      </x:c>
    </x:row>
    <x:row r="2459">
      <x:c r="A2459" s="20" t="str">
        <x:v>FIN-01194</x:v>
      </x:c>
      <x:c r="B2459" s="32" t="n">
        <x:v>3</x:v>
      </x:c>
      <x:c r="C2459" s="23" t="n">
        <x:v>46497</x:v>
      </x:c>
      <x:c r="D2459" s="23" t="n">
        <x:v>46497</x:v>
      </x:c>
      <x:c r="E2459" s="20" t="str">
        <x:v>P004</x:v>
      </x:c>
      <x:c r="F2459" s="20" t="str"/>
      <x:c r="G2459" s="20" t="str"/>
      <x:c r="H2459" s="20" t="str">
        <x:v>1000 Operating Cash</x:v>
      </x:c>
      <x:c r="I2459" s="26" t="n">
        <x:v>0</x:v>
      </x:c>
      <x:c r="J2459" s="26" t="n">
        <x:v>1102</x:v>
      </x:c>
      <x:c r="K2459" s="35" t="str">
        <x:v>LN004 scheduled payment</x:v>
      </x:c>
    </x:row>
    <x:row r="2460">
      <x:c r="A2460" s="20" t="str">
        <x:v>FIN-01195</x:v>
      </x:c>
      <x:c r="B2460" s="32" t="n">
        <x:v>1</x:v>
      </x:c>
      <x:c r="C2460" s="23" t="n">
        <x:v>46497</x:v>
      </x:c>
      <x:c r="D2460" s="23" t="n">
        <x:v>46497</x:v>
      </x:c>
      <x:c r="E2460" s="20" t="str">
        <x:v>P005</x:v>
      </x:c>
      <x:c r="F2460" s="20" t="str"/>
      <x:c r="G2460" s="20" t="str"/>
      <x:c r="H2460" s="20" t="str">
        <x:v>2200 Mortgage Loans Payable</x:v>
      </x:c>
      <x:c r="I2460" s="26" t="n">
        <x:v>475</x:v>
      </x:c>
      <x:c r="J2460" s="26" t="n">
        <x:v>0</x:v>
      </x:c>
      <x:c r="K2460" s="35" t="str">
        <x:v>LN005 scheduled payment</x:v>
      </x:c>
    </x:row>
    <x:row r="2461">
      <x:c r="A2461" s="20" t="str">
        <x:v>FIN-01195</x:v>
      </x:c>
      <x:c r="B2461" s="32" t="n">
        <x:v>2</x:v>
      </x:c>
      <x:c r="C2461" s="23" t="n">
        <x:v>46497</x:v>
      </x:c>
      <x:c r="D2461" s="23" t="n">
        <x:v>46497</x:v>
      </x:c>
      <x:c r="E2461" s="20" t="str">
        <x:v>P005</x:v>
      </x:c>
      <x:c r="F2461" s="20" t="str"/>
      <x:c r="G2461" s="20" t="str"/>
      <x:c r="H2461" s="20" t="str">
        <x:v>5040 Mortgage Interest</x:v>
      </x:c>
      <x:c r="I2461" s="26" t="n">
        <x:v>651</x:v>
      </x:c>
      <x:c r="J2461" s="26" t="n">
        <x:v>0</x:v>
      </x:c>
      <x:c r="K2461" s="35" t="str">
        <x:v>LN005 scheduled payment</x:v>
      </x:c>
    </x:row>
    <x:row r="2462">
      <x:c r="A2462" s="20" t="str">
        <x:v>FIN-01195</x:v>
      </x:c>
      <x:c r="B2462" s="32" t="n">
        <x:v>3</x:v>
      </x:c>
      <x:c r="C2462" s="23" t="n">
        <x:v>46497</x:v>
      </x:c>
      <x:c r="D2462" s="23" t="n">
        <x:v>46497</x:v>
      </x:c>
      <x:c r="E2462" s="20" t="str">
        <x:v>P005</x:v>
      </x:c>
      <x:c r="F2462" s="20" t="str"/>
      <x:c r="G2462" s="20" t="str"/>
      <x:c r="H2462" s="20" t="str">
        <x:v>1000 Operating Cash</x:v>
      </x:c>
      <x:c r="I2462" s="26" t="n">
        <x:v>0</x:v>
      </x:c>
      <x:c r="J2462" s="26" t="n">
        <x:v>1126</x:v>
      </x:c>
      <x:c r="K2462" s="35" t="str">
        <x:v>LN005 scheduled payment</x:v>
      </x:c>
    </x:row>
    <x:row r="2463">
      <x:c r="A2463" s="20" t="str">
        <x:v>FIN-01196</x:v>
      </x:c>
      <x:c r="B2463" s="32" t="n">
        <x:v>1</x:v>
      </x:c>
      <x:c r="C2463" s="23" t="n">
        <x:v>46497</x:v>
      </x:c>
      <x:c r="D2463" s="23" t="n">
        <x:v>46497</x:v>
      </x:c>
      <x:c r="E2463" s="20" t="str">
        <x:v>P007</x:v>
      </x:c>
      <x:c r="F2463" s="20" t="str"/>
      <x:c r="G2463" s="20" t="str"/>
      <x:c r="H2463" s="20" t="str">
        <x:v>2200 Mortgage Loans Payable</x:v>
      </x:c>
      <x:c r="I2463" s="26" t="n">
        <x:v>497</x:v>
      </x:c>
      <x:c r="J2463" s="26" t="n">
        <x:v>0</x:v>
      </x:c>
      <x:c r="K2463" s="35" t="str">
        <x:v>LN007 scheduled payment</x:v>
      </x:c>
    </x:row>
    <x:row r="2464">
      <x:c r="A2464" s="20" t="str">
        <x:v>FIN-01196</x:v>
      </x:c>
      <x:c r="B2464" s="32" t="n">
        <x:v>2</x:v>
      </x:c>
      <x:c r="C2464" s="23" t="n">
        <x:v>46497</x:v>
      </x:c>
      <x:c r="D2464" s="23" t="n">
        <x:v>46497</x:v>
      </x:c>
      <x:c r="E2464" s="20" t="str">
        <x:v>P007</x:v>
      </x:c>
      <x:c r="F2464" s="20" t="str"/>
      <x:c r="G2464" s="20" t="str"/>
      <x:c r="H2464" s="20" t="str">
        <x:v>5040 Mortgage Interest</x:v>
      </x:c>
      <x:c r="I2464" s="26" t="n">
        <x:v>677</x:v>
      </x:c>
      <x:c r="J2464" s="26" t="n">
        <x:v>0</x:v>
      </x:c>
      <x:c r="K2464" s="35" t="str">
        <x:v>LN007 scheduled payment</x:v>
      </x:c>
    </x:row>
    <x:row r="2465">
      <x:c r="A2465" s="20" t="str">
        <x:v>FIN-01196</x:v>
      </x:c>
      <x:c r="B2465" s="32" t="n">
        <x:v>3</x:v>
      </x:c>
      <x:c r="C2465" s="23" t="n">
        <x:v>46497</x:v>
      </x:c>
      <x:c r="D2465" s="23" t="n">
        <x:v>46497</x:v>
      </x:c>
      <x:c r="E2465" s="20" t="str">
        <x:v>P007</x:v>
      </x:c>
      <x:c r="F2465" s="20" t="str"/>
      <x:c r="G2465" s="20" t="str"/>
      <x:c r="H2465" s="20" t="str">
        <x:v>1000 Operating Cash</x:v>
      </x:c>
      <x:c r="I2465" s="26" t="n">
        <x:v>0</x:v>
      </x:c>
      <x:c r="J2465" s="26" t="n">
        <x:v>1174</x:v>
      </x:c>
      <x:c r="K2465" s="35" t="str">
        <x:v>LN007 scheduled payment</x:v>
      </x:c>
    </x:row>
    <x:row r="2466">
      <x:c r="A2466" s="20" t="str">
        <x:v>FIN-01197</x:v>
      </x:c>
      <x:c r="B2466" s="32" t="n">
        <x:v>1</x:v>
      </x:c>
      <x:c r="C2466" s="23" t="n">
        <x:v>46497</x:v>
      </x:c>
      <x:c r="D2466" s="23" t="n">
        <x:v>46497</x:v>
      </x:c>
      <x:c r="E2466" s="20" t="str">
        <x:v>P008</x:v>
      </x:c>
      <x:c r="F2466" s="20" t="str"/>
      <x:c r="G2466" s="20" t="str"/>
      <x:c r="H2466" s="20" t="str">
        <x:v>2200 Mortgage Loans Payable</x:v>
      </x:c>
      <x:c r="I2466" s="26" t="n">
        <x:v>508</x:v>
      </x:c>
      <x:c r="J2466" s="26" t="n">
        <x:v>0</x:v>
      </x:c>
      <x:c r="K2466" s="35" t="str">
        <x:v>LN008 scheduled payment</x:v>
      </x:c>
    </x:row>
    <x:row r="2467">
      <x:c r="A2467" s="20" t="str">
        <x:v>FIN-01197</x:v>
      </x:c>
      <x:c r="B2467" s="32" t="n">
        <x:v>2</x:v>
      </x:c>
      <x:c r="C2467" s="23" t="n">
        <x:v>46497</x:v>
      </x:c>
      <x:c r="D2467" s="23" t="n">
        <x:v>46497</x:v>
      </x:c>
      <x:c r="E2467" s="20" t="str">
        <x:v>P008</x:v>
      </x:c>
      <x:c r="F2467" s="20" t="str"/>
      <x:c r="G2467" s="20" t="str"/>
      <x:c r="H2467" s="20" t="str">
        <x:v>5040 Mortgage Interest</x:v>
      </x:c>
      <x:c r="I2467" s="26" t="n">
        <x:v>690</x:v>
      </x:c>
      <x:c r="J2467" s="26" t="n">
        <x:v>0</x:v>
      </x:c>
      <x:c r="K2467" s="35" t="str">
        <x:v>LN008 scheduled payment</x:v>
      </x:c>
    </x:row>
    <x:row r="2468">
      <x:c r="A2468" s="20" t="str">
        <x:v>FIN-01197</x:v>
      </x:c>
      <x:c r="B2468" s="32" t="n">
        <x:v>3</x:v>
      </x:c>
      <x:c r="C2468" s="23" t="n">
        <x:v>46497</x:v>
      </x:c>
      <x:c r="D2468" s="23" t="n">
        <x:v>46497</x:v>
      </x:c>
      <x:c r="E2468" s="20" t="str">
        <x:v>P008</x:v>
      </x:c>
      <x:c r="F2468" s="20" t="str"/>
      <x:c r="G2468" s="20" t="str"/>
      <x:c r="H2468" s="20" t="str">
        <x:v>1000 Operating Cash</x:v>
      </x:c>
      <x:c r="I2468" s="26" t="n">
        <x:v>0</x:v>
      </x:c>
      <x:c r="J2468" s="26" t="n">
        <x:v>1198</x:v>
      </x:c>
      <x:c r="K2468" s="35" t="str">
        <x:v>LN008 scheduled payment</x:v>
      </x:c>
    </x:row>
    <x:row r="2469">
      <x:c r="A2469" s="20" t="str">
        <x:v>FIN-01198</x:v>
      </x:c>
      <x:c r="B2469" s="32" t="n">
        <x:v>1</x:v>
      </x:c>
      <x:c r="C2469" s="23" t="n">
        <x:v>46497</x:v>
      </x:c>
      <x:c r="D2469" s="23" t="n">
        <x:v>46497</x:v>
      </x:c>
      <x:c r="E2469" s="20" t="str">
        <x:v>P010</x:v>
      </x:c>
      <x:c r="F2469" s="20" t="str"/>
      <x:c r="G2469" s="20" t="str"/>
      <x:c r="H2469" s="20" t="str">
        <x:v>2200 Mortgage Loans Payable</x:v>
      </x:c>
      <x:c r="I2469" s="26" t="n">
        <x:v>530</x:v>
      </x:c>
      <x:c r="J2469" s="26" t="n">
        <x:v>0</x:v>
      </x:c>
      <x:c r="K2469" s="35" t="str">
        <x:v>LN010 scheduled payment</x:v>
      </x:c>
    </x:row>
    <x:row r="2470">
      <x:c r="A2470" s="20" t="str">
        <x:v>FIN-01198</x:v>
      </x:c>
      <x:c r="B2470" s="32" t="n">
        <x:v>2</x:v>
      </x:c>
      <x:c r="C2470" s="23" t="n">
        <x:v>46497</x:v>
      </x:c>
      <x:c r="D2470" s="23" t="n">
        <x:v>46497</x:v>
      </x:c>
      <x:c r="E2470" s="20" t="str">
        <x:v>P010</x:v>
      </x:c>
      <x:c r="F2470" s="20" t="str"/>
      <x:c r="G2470" s="20" t="str"/>
      <x:c r="H2470" s="20" t="str">
        <x:v>5040 Mortgage Interest</x:v>
      </x:c>
      <x:c r="I2470" s="26" t="n">
        <x:v>716</x:v>
      </x:c>
      <x:c r="J2470" s="26" t="n">
        <x:v>0</x:v>
      </x:c>
      <x:c r="K2470" s="35" t="str">
        <x:v>LN010 scheduled payment</x:v>
      </x:c>
    </x:row>
    <x:row r="2471">
      <x:c r="A2471" s="20" t="str">
        <x:v>FIN-01198</x:v>
      </x:c>
      <x:c r="B2471" s="32" t="n">
        <x:v>3</x:v>
      </x:c>
      <x:c r="C2471" s="23" t="n">
        <x:v>46497</x:v>
      </x:c>
      <x:c r="D2471" s="23" t="n">
        <x:v>46497</x:v>
      </x:c>
      <x:c r="E2471" s="20" t="str">
        <x:v>P010</x:v>
      </x:c>
      <x:c r="F2471" s="20" t="str"/>
      <x:c r="G2471" s="20" t="str"/>
      <x:c r="H2471" s="20" t="str">
        <x:v>1000 Operating Cash</x:v>
      </x:c>
      <x:c r="I2471" s="26" t="n">
        <x:v>0</x:v>
      </x:c>
      <x:c r="J2471" s="26" t="n">
        <x:v>1246</x:v>
      </x:c>
      <x:c r="K2471" s="35" t="str">
        <x:v>LN010 scheduled payment</x:v>
      </x:c>
    </x:row>
    <x:row r="2472">
      <x:c r="A2472" s="20" t="str">
        <x:v>FIN-01199</x:v>
      </x:c>
      <x:c r="B2472" s="32" t="n">
        <x:v>1</x:v>
      </x:c>
      <x:c r="C2472" s="23" t="n">
        <x:v>46497</x:v>
      </x:c>
      <x:c r="D2472" s="23" t="n">
        <x:v>46497</x:v>
      </x:c>
      <x:c r="E2472" s="20" t="str">
        <x:v>P011</x:v>
      </x:c>
      <x:c r="F2472" s="20" t="str"/>
      <x:c r="G2472" s="20" t="str"/>
      <x:c r="H2472" s="20" t="str">
        <x:v>2200 Mortgage Loans Payable</x:v>
      </x:c>
      <x:c r="I2472" s="26" t="n">
        <x:v>541</x:v>
      </x:c>
      <x:c r="J2472" s="26" t="n">
        <x:v>0</x:v>
      </x:c>
      <x:c r="K2472" s="35" t="str">
        <x:v>LN011 scheduled payment</x:v>
      </x:c>
    </x:row>
    <x:row r="2473">
      <x:c r="A2473" s="20" t="str">
        <x:v>FIN-01199</x:v>
      </x:c>
      <x:c r="B2473" s="32" t="n">
        <x:v>2</x:v>
      </x:c>
      <x:c r="C2473" s="23" t="n">
        <x:v>46497</x:v>
      </x:c>
      <x:c r="D2473" s="23" t="n">
        <x:v>46497</x:v>
      </x:c>
      <x:c r="E2473" s="20" t="str">
        <x:v>P011</x:v>
      </x:c>
      <x:c r="F2473" s="20" t="str"/>
      <x:c r="G2473" s="20" t="str"/>
      <x:c r="H2473" s="20" t="str">
        <x:v>5040 Mortgage Interest</x:v>
      </x:c>
      <x:c r="I2473" s="26" t="n">
        <x:v>729</x:v>
      </x:c>
      <x:c r="J2473" s="26" t="n">
        <x:v>0</x:v>
      </x:c>
      <x:c r="K2473" s="35" t="str">
        <x:v>LN011 scheduled payment</x:v>
      </x:c>
    </x:row>
    <x:row r="2474">
      <x:c r="A2474" s="20" t="str">
        <x:v>FIN-01199</x:v>
      </x:c>
      <x:c r="B2474" s="32" t="n">
        <x:v>3</x:v>
      </x:c>
      <x:c r="C2474" s="23" t="n">
        <x:v>46497</x:v>
      </x:c>
      <x:c r="D2474" s="23" t="n">
        <x:v>46497</x:v>
      </x:c>
      <x:c r="E2474" s="20" t="str">
        <x:v>P011</x:v>
      </x:c>
      <x:c r="F2474" s="20" t="str"/>
      <x:c r="G2474" s="20" t="str"/>
      <x:c r="H2474" s="20" t="str">
        <x:v>1000 Operating Cash</x:v>
      </x:c>
      <x:c r="I2474" s="26" t="n">
        <x:v>0</x:v>
      </x:c>
      <x:c r="J2474" s="26" t="n">
        <x:v>1270</x:v>
      </x:c>
      <x:c r="K2474" s="35" t="str">
        <x:v>LN011 scheduled payment</x:v>
      </x:c>
    </x:row>
    <x:row r="2475">
      <x:c r="A2475" s="20" t="str">
        <x:v>FIN-01200</x:v>
      </x:c>
      <x:c r="B2475" s="32" t="n">
        <x:v>1</x:v>
      </x:c>
      <x:c r="C2475" s="23" t="n">
        <x:v>46497</x:v>
      </x:c>
      <x:c r="D2475" s="23" t="n">
        <x:v>46497</x:v>
      </x:c>
      <x:c r="E2475" s="20" t="str">
        <x:v>P013</x:v>
      </x:c>
      <x:c r="F2475" s="20" t="str"/>
      <x:c r="G2475" s="20" t="str"/>
      <x:c r="H2475" s="20" t="str">
        <x:v>2200 Mortgage Loans Payable</x:v>
      </x:c>
      <x:c r="I2475" s="26" t="n">
        <x:v>563</x:v>
      </x:c>
      <x:c r="J2475" s="26" t="n">
        <x:v>0</x:v>
      </x:c>
      <x:c r="K2475" s="35" t="str">
        <x:v>LN013 scheduled payment</x:v>
      </x:c>
    </x:row>
    <x:row r="2476">
      <x:c r="A2476" s="20" t="str">
        <x:v>FIN-01200</x:v>
      </x:c>
      <x:c r="B2476" s="32" t="n">
        <x:v>2</x:v>
      </x:c>
      <x:c r="C2476" s="23" t="n">
        <x:v>46497</x:v>
      </x:c>
      <x:c r="D2476" s="23" t="n">
        <x:v>46497</x:v>
      </x:c>
      <x:c r="E2476" s="20" t="str">
        <x:v>P013</x:v>
      </x:c>
      <x:c r="F2476" s="20" t="str"/>
      <x:c r="G2476" s="20" t="str"/>
      <x:c r="H2476" s="20" t="str">
        <x:v>5040 Mortgage Interest</x:v>
      </x:c>
      <x:c r="I2476" s="26" t="n">
        <x:v>755</x:v>
      </x:c>
      <x:c r="J2476" s="26" t="n">
        <x:v>0</x:v>
      </x:c>
      <x:c r="K2476" s="35" t="str">
        <x:v>LN013 scheduled payment</x:v>
      </x:c>
    </x:row>
    <x:row r="2477">
      <x:c r="A2477" s="20" t="str">
        <x:v>FIN-01200</x:v>
      </x:c>
      <x:c r="B2477" s="32" t="n">
        <x:v>3</x:v>
      </x:c>
      <x:c r="C2477" s="23" t="n">
        <x:v>46497</x:v>
      </x:c>
      <x:c r="D2477" s="23" t="n">
        <x:v>46497</x:v>
      </x:c>
      <x:c r="E2477" s="20" t="str">
        <x:v>P013</x:v>
      </x:c>
      <x:c r="F2477" s="20" t="str"/>
      <x:c r="G2477" s="20" t="str"/>
      <x:c r="H2477" s="20" t="str">
        <x:v>1000 Operating Cash</x:v>
      </x:c>
      <x:c r="I2477" s="26" t="n">
        <x:v>0</x:v>
      </x:c>
      <x:c r="J2477" s="26" t="n">
        <x:v>1318</x:v>
      </x:c>
      <x:c r="K2477" s="35" t="str">
        <x:v>LN013 scheduled payment</x:v>
      </x:c>
    </x:row>
    <x:row r="2478">
      <x:c r="A2478" s="20" t="str">
        <x:v>FIN-01201</x:v>
      </x:c>
      <x:c r="B2478" s="32" t="n">
        <x:v>1</x:v>
      </x:c>
      <x:c r="C2478" s="23" t="n">
        <x:v>46497</x:v>
      </x:c>
      <x:c r="D2478" s="23" t="n">
        <x:v>46497</x:v>
      </x:c>
      <x:c r="E2478" s="20" t="str">
        <x:v>P014</x:v>
      </x:c>
      <x:c r="F2478" s="20" t="str"/>
      <x:c r="G2478" s="20" t="str"/>
      <x:c r="H2478" s="20" t="str">
        <x:v>2200 Mortgage Loans Payable</x:v>
      </x:c>
      <x:c r="I2478" s="26" t="n">
        <x:v>574</x:v>
      </x:c>
      <x:c r="J2478" s="26" t="n">
        <x:v>0</x:v>
      </x:c>
      <x:c r="K2478" s="35" t="str">
        <x:v>LN014 scheduled payment</x:v>
      </x:c>
    </x:row>
    <x:row r="2479">
      <x:c r="A2479" s="20" t="str">
        <x:v>FIN-01201</x:v>
      </x:c>
      <x:c r="B2479" s="32" t="n">
        <x:v>2</x:v>
      </x:c>
      <x:c r="C2479" s="23" t="n">
        <x:v>46497</x:v>
      </x:c>
      <x:c r="D2479" s="23" t="n">
        <x:v>46497</x:v>
      </x:c>
      <x:c r="E2479" s="20" t="str">
        <x:v>P014</x:v>
      </x:c>
      <x:c r="F2479" s="20" t="str"/>
      <x:c r="G2479" s="20" t="str"/>
      <x:c r="H2479" s="20" t="str">
        <x:v>5040 Mortgage Interest</x:v>
      </x:c>
      <x:c r="I2479" s="26" t="n">
        <x:v>768</x:v>
      </x:c>
      <x:c r="J2479" s="26" t="n">
        <x:v>0</x:v>
      </x:c>
      <x:c r="K2479" s="35" t="str">
        <x:v>LN014 scheduled payment</x:v>
      </x:c>
    </x:row>
    <x:row r="2480">
      <x:c r="A2480" s="20" t="str">
        <x:v>FIN-01201</x:v>
      </x:c>
      <x:c r="B2480" s="32" t="n">
        <x:v>3</x:v>
      </x:c>
      <x:c r="C2480" s="23" t="n">
        <x:v>46497</x:v>
      </x:c>
      <x:c r="D2480" s="23" t="n">
        <x:v>46497</x:v>
      </x:c>
      <x:c r="E2480" s="20" t="str">
        <x:v>P014</x:v>
      </x:c>
      <x:c r="F2480" s="20" t="str"/>
      <x:c r="G2480" s="20" t="str"/>
      <x:c r="H2480" s="20" t="str">
        <x:v>1000 Operating Cash</x:v>
      </x:c>
      <x:c r="I2480" s="26" t="n">
        <x:v>0</x:v>
      </x:c>
      <x:c r="J2480" s="26" t="n">
        <x:v>1342</x:v>
      </x:c>
      <x:c r="K2480" s="35" t="str">
        <x:v>LN014 scheduled payment</x:v>
      </x:c>
    </x:row>
    <x:row r="2481">
      <x:c r="A2481" s="20" t="str">
        <x:v>FIN-01202</x:v>
      </x:c>
      <x:c r="B2481" s="32" t="n">
        <x:v>1</x:v>
      </x:c>
      <x:c r="C2481" s="23" t="n">
        <x:v>46497</x:v>
      </x:c>
      <x:c r="D2481" s="23" t="n">
        <x:v>46497</x:v>
      </x:c>
      <x:c r="E2481" s="20" t="str">
        <x:v>P016</x:v>
      </x:c>
      <x:c r="F2481" s="20" t="str"/>
      <x:c r="G2481" s="20" t="str"/>
      <x:c r="H2481" s="20" t="str">
        <x:v>2200 Mortgage Loans Payable</x:v>
      </x:c>
      <x:c r="I2481" s="26" t="n">
        <x:v>596</x:v>
      </x:c>
      <x:c r="J2481" s="26" t="n">
        <x:v>0</x:v>
      </x:c>
      <x:c r="K2481" s="35" t="str">
        <x:v>LN016 scheduled payment</x:v>
      </x:c>
    </x:row>
    <x:row r="2482">
      <x:c r="A2482" s="20" t="str">
        <x:v>FIN-01202</x:v>
      </x:c>
      <x:c r="B2482" s="32" t="n">
        <x:v>2</x:v>
      </x:c>
      <x:c r="C2482" s="23" t="n">
        <x:v>46497</x:v>
      </x:c>
      <x:c r="D2482" s="23" t="n">
        <x:v>46497</x:v>
      </x:c>
      <x:c r="E2482" s="20" t="str">
        <x:v>P016</x:v>
      </x:c>
      <x:c r="F2482" s="20" t="str"/>
      <x:c r="G2482" s="20" t="str"/>
      <x:c r="H2482" s="20" t="str">
        <x:v>5040 Mortgage Interest</x:v>
      </x:c>
      <x:c r="I2482" s="26" t="n">
        <x:v>794</x:v>
      </x:c>
      <x:c r="J2482" s="26" t="n">
        <x:v>0</x:v>
      </x:c>
      <x:c r="K2482" s="35" t="str">
        <x:v>LN016 scheduled payment</x:v>
      </x:c>
    </x:row>
    <x:row r="2483">
      <x:c r="A2483" s="20" t="str">
        <x:v>FIN-01202</x:v>
      </x:c>
      <x:c r="B2483" s="32" t="n">
        <x:v>3</x:v>
      </x:c>
      <x:c r="C2483" s="23" t="n">
        <x:v>46497</x:v>
      </x:c>
      <x:c r="D2483" s="23" t="n">
        <x:v>46497</x:v>
      </x:c>
      <x:c r="E2483" s="20" t="str">
        <x:v>P016</x:v>
      </x:c>
      <x:c r="F2483" s="20" t="str"/>
      <x:c r="G2483" s="20" t="str"/>
      <x:c r="H2483" s="20" t="str">
        <x:v>1000 Operating Cash</x:v>
      </x:c>
      <x:c r="I2483" s="26" t="n">
        <x:v>0</x:v>
      </x:c>
      <x:c r="J2483" s="26" t="n">
        <x:v>1390</x:v>
      </x:c>
      <x:c r="K2483" s="35" t="str">
        <x:v>LN016 scheduled payment</x:v>
      </x:c>
    </x:row>
    <x:row r="2484">
      <x:c r="A2484" s="20" t="str">
        <x:v>FIN-01203</x:v>
      </x:c>
      <x:c r="B2484" s="32" t="n">
        <x:v>1</x:v>
      </x:c>
      <x:c r="C2484" s="23" t="n">
        <x:v>46497</x:v>
      </x:c>
      <x:c r="D2484" s="23" t="n">
        <x:v>46497</x:v>
      </x:c>
      <x:c r="E2484" s="20" t="str">
        <x:v>P017</x:v>
      </x:c>
      <x:c r="F2484" s="20" t="str"/>
      <x:c r="G2484" s="20" t="str"/>
      <x:c r="H2484" s="20" t="str">
        <x:v>2200 Mortgage Loans Payable</x:v>
      </x:c>
      <x:c r="I2484" s="26" t="n">
        <x:v>607</x:v>
      </x:c>
      <x:c r="J2484" s="26" t="n">
        <x:v>0</x:v>
      </x:c>
      <x:c r="K2484" s="35" t="str">
        <x:v>LN017 scheduled payment</x:v>
      </x:c>
    </x:row>
    <x:row r="2485">
      <x:c r="A2485" s="20" t="str">
        <x:v>FIN-01203</x:v>
      </x:c>
      <x:c r="B2485" s="32" t="n">
        <x:v>2</x:v>
      </x:c>
      <x:c r="C2485" s="23" t="n">
        <x:v>46497</x:v>
      </x:c>
      <x:c r="D2485" s="23" t="n">
        <x:v>46497</x:v>
      </x:c>
      <x:c r="E2485" s="20" t="str">
        <x:v>P017</x:v>
      </x:c>
      <x:c r="F2485" s="20" t="str"/>
      <x:c r="G2485" s="20" t="str"/>
      <x:c r="H2485" s="20" t="str">
        <x:v>5040 Mortgage Interest</x:v>
      </x:c>
      <x:c r="I2485" s="26" t="n">
        <x:v>807</x:v>
      </x:c>
      <x:c r="J2485" s="26" t="n">
        <x:v>0</x:v>
      </x:c>
      <x:c r="K2485" s="35" t="str">
        <x:v>LN017 scheduled payment</x:v>
      </x:c>
    </x:row>
    <x:row r="2486">
      <x:c r="A2486" s="20" t="str">
        <x:v>FIN-01203</x:v>
      </x:c>
      <x:c r="B2486" s="32" t="n">
        <x:v>3</x:v>
      </x:c>
      <x:c r="C2486" s="23" t="n">
        <x:v>46497</x:v>
      </x:c>
      <x:c r="D2486" s="23" t="n">
        <x:v>46497</x:v>
      </x:c>
      <x:c r="E2486" s="20" t="str">
        <x:v>P017</x:v>
      </x:c>
      <x:c r="F2486" s="20" t="str"/>
      <x:c r="G2486" s="20" t="str"/>
      <x:c r="H2486" s="20" t="str">
        <x:v>1000 Operating Cash</x:v>
      </x:c>
      <x:c r="I2486" s="26" t="n">
        <x:v>0</x:v>
      </x:c>
      <x:c r="J2486" s="26" t="n">
        <x:v>1414</x:v>
      </x:c>
      <x:c r="K2486" s="35" t="str">
        <x:v>LN017 scheduled payment</x:v>
      </x:c>
    </x:row>
    <x:row r="2487">
      <x:c r="A2487" s="20" t="str">
        <x:v>FIN-01204</x:v>
      </x:c>
      <x:c r="B2487" s="32" t="n">
        <x:v>1</x:v>
      </x:c>
      <x:c r="C2487" s="23" t="n">
        <x:v>46497</x:v>
      </x:c>
      <x:c r="D2487" s="23" t="n">
        <x:v>46497</x:v>
      </x:c>
      <x:c r="E2487" s="20" t="str">
        <x:v>P019</x:v>
      </x:c>
      <x:c r="F2487" s="20" t="str"/>
      <x:c r="G2487" s="20" t="str"/>
      <x:c r="H2487" s="20" t="str">
        <x:v>2200 Mortgage Loans Payable</x:v>
      </x:c>
      <x:c r="I2487" s="26" t="n">
        <x:v>629</x:v>
      </x:c>
      <x:c r="J2487" s="26" t="n">
        <x:v>0</x:v>
      </x:c>
      <x:c r="K2487" s="35" t="str">
        <x:v>LN019 scheduled payment</x:v>
      </x:c>
    </x:row>
    <x:row r="2488">
      <x:c r="A2488" s="20" t="str">
        <x:v>FIN-01204</x:v>
      </x:c>
      <x:c r="B2488" s="32" t="n">
        <x:v>2</x:v>
      </x:c>
      <x:c r="C2488" s="23" t="n">
        <x:v>46497</x:v>
      </x:c>
      <x:c r="D2488" s="23" t="n">
        <x:v>46497</x:v>
      </x:c>
      <x:c r="E2488" s="20" t="str">
        <x:v>P019</x:v>
      </x:c>
      <x:c r="F2488" s="20" t="str"/>
      <x:c r="G2488" s="20" t="str"/>
      <x:c r="H2488" s="20" t="str">
        <x:v>5040 Mortgage Interest</x:v>
      </x:c>
      <x:c r="I2488" s="26" t="n">
        <x:v>833</x:v>
      </x:c>
      <x:c r="J2488" s="26" t="n">
        <x:v>0</x:v>
      </x:c>
      <x:c r="K2488" s="35" t="str">
        <x:v>LN019 scheduled payment</x:v>
      </x:c>
    </x:row>
    <x:row r="2489">
      <x:c r="A2489" s="20" t="str">
        <x:v>FIN-01204</x:v>
      </x:c>
      <x:c r="B2489" s="32" t="n">
        <x:v>3</x:v>
      </x:c>
      <x:c r="C2489" s="23" t="n">
        <x:v>46497</x:v>
      </x:c>
      <x:c r="D2489" s="23" t="n">
        <x:v>46497</x:v>
      </x:c>
      <x:c r="E2489" s="20" t="str">
        <x:v>P019</x:v>
      </x:c>
      <x:c r="F2489" s="20" t="str"/>
      <x:c r="G2489" s="20" t="str"/>
      <x:c r="H2489" s="20" t="str">
        <x:v>1000 Operating Cash</x:v>
      </x:c>
      <x:c r="I2489" s="26" t="n">
        <x:v>0</x:v>
      </x:c>
      <x:c r="J2489" s="26" t="n">
        <x:v>1462</x:v>
      </x:c>
      <x:c r="K2489" s="35" t="str">
        <x:v>LN019 scheduled payment</x:v>
      </x:c>
    </x:row>
    <x:row r="2490">
      <x:c r="A2490" s="20" t="str">
        <x:v>FIN-01205</x:v>
      </x:c>
      <x:c r="B2490" s="32" t="n">
        <x:v>1</x:v>
      </x:c>
      <x:c r="C2490" s="23" t="n">
        <x:v>46497</x:v>
      </x:c>
      <x:c r="D2490" s="23" t="n">
        <x:v>46497</x:v>
      </x:c>
      <x:c r="E2490" s="20" t="str">
        <x:v>P020</x:v>
      </x:c>
      <x:c r="F2490" s="20" t="str"/>
      <x:c r="G2490" s="20" t="str"/>
      <x:c r="H2490" s="20" t="str">
        <x:v>2200 Mortgage Loans Payable</x:v>
      </x:c>
      <x:c r="I2490" s="26" t="n">
        <x:v>640</x:v>
      </x:c>
      <x:c r="J2490" s="26" t="n">
        <x:v>0</x:v>
      </x:c>
      <x:c r="K2490" s="35" t="str">
        <x:v>LN020 scheduled payment</x:v>
      </x:c>
    </x:row>
    <x:row r="2491">
      <x:c r="A2491" s="20" t="str">
        <x:v>FIN-01205</x:v>
      </x:c>
      <x:c r="B2491" s="32" t="n">
        <x:v>2</x:v>
      </x:c>
      <x:c r="C2491" s="23" t="n">
        <x:v>46497</x:v>
      </x:c>
      <x:c r="D2491" s="23" t="n">
        <x:v>46497</x:v>
      </x:c>
      <x:c r="E2491" s="20" t="str">
        <x:v>P020</x:v>
      </x:c>
      <x:c r="F2491" s="20" t="str"/>
      <x:c r="G2491" s="20" t="str"/>
      <x:c r="H2491" s="20" t="str">
        <x:v>5040 Mortgage Interest</x:v>
      </x:c>
      <x:c r="I2491" s="26" t="n">
        <x:v>846</x:v>
      </x:c>
      <x:c r="J2491" s="26" t="n">
        <x:v>0</x:v>
      </x:c>
      <x:c r="K2491" s="35" t="str">
        <x:v>LN020 scheduled payment</x:v>
      </x:c>
    </x:row>
    <x:row r="2492">
      <x:c r="A2492" s="20" t="str">
        <x:v>FIN-01205</x:v>
      </x:c>
      <x:c r="B2492" s="32" t="n">
        <x:v>3</x:v>
      </x:c>
      <x:c r="C2492" s="23" t="n">
        <x:v>46497</x:v>
      </x:c>
      <x:c r="D2492" s="23" t="n">
        <x:v>46497</x:v>
      </x:c>
      <x:c r="E2492" s="20" t="str">
        <x:v>P020</x:v>
      </x:c>
      <x:c r="F2492" s="20" t="str"/>
      <x:c r="G2492" s="20" t="str"/>
      <x:c r="H2492" s="20" t="str">
        <x:v>1000 Operating Cash</x:v>
      </x:c>
      <x:c r="I2492" s="26" t="n">
        <x:v>0</x:v>
      </x:c>
      <x:c r="J2492" s="26" t="n">
        <x:v>1486</x:v>
      </x:c>
      <x:c r="K2492" s="35" t="str">
        <x:v>LN020 scheduled payment</x:v>
      </x:c>
    </x:row>
    <x:row r="2493">
      <x:c r="A2493" s="20" t="str">
        <x:v>FIN-01206</x:v>
      </x:c>
      <x:c r="B2493" s="32" t="n">
        <x:v>1</x:v>
      </x:c>
      <x:c r="C2493" s="23" t="n">
        <x:v>46497</x:v>
      </x:c>
      <x:c r="D2493" s="23" t="n">
        <x:v>46497</x:v>
      </x:c>
      <x:c r="E2493" s="20" t="str">
        <x:v>P022</x:v>
      </x:c>
      <x:c r="F2493" s="20" t="str"/>
      <x:c r="G2493" s="20" t="str"/>
      <x:c r="H2493" s="20" t="str">
        <x:v>2200 Mortgage Loans Payable</x:v>
      </x:c>
      <x:c r="I2493" s="26" t="n">
        <x:v>662</x:v>
      </x:c>
      <x:c r="J2493" s="26" t="n">
        <x:v>0</x:v>
      </x:c>
      <x:c r="K2493" s="35" t="str">
        <x:v>LN022 scheduled payment</x:v>
      </x:c>
    </x:row>
    <x:row r="2494">
      <x:c r="A2494" s="20" t="str">
        <x:v>FIN-01206</x:v>
      </x:c>
      <x:c r="B2494" s="32" t="n">
        <x:v>2</x:v>
      </x:c>
      <x:c r="C2494" s="23" t="n">
        <x:v>46497</x:v>
      </x:c>
      <x:c r="D2494" s="23" t="n">
        <x:v>46497</x:v>
      </x:c>
      <x:c r="E2494" s="20" t="str">
        <x:v>P022</x:v>
      </x:c>
      <x:c r="F2494" s="20" t="str"/>
      <x:c r="G2494" s="20" t="str"/>
      <x:c r="H2494" s="20" t="str">
        <x:v>5040 Mortgage Interest</x:v>
      </x:c>
      <x:c r="I2494" s="26" t="n">
        <x:v>872</x:v>
      </x:c>
      <x:c r="J2494" s="26" t="n">
        <x:v>0</x:v>
      </x:c>
      <x:c r="K2494" s="35" t="str">
        <x:v>LN022 scheduled payment</x:v>
      </x:c>
    </x:row>
    <x:row r="2495">
      <x:c r="A2495" s="20" t="str">
        <x:v>FIN-01206</x:v>
      </x:c>
      <x:c r="B2495" s="32" t="n">
        <x:v>3</x:v>
      </x:c>
      <x:c r="C2495" s="23" t="n">
        <x:v>46497</x:v>
      </x:c>
      <x:c r="D2495" s="23" t="n">
        <x:v>46497</x:v>
      </x:c>
      <x:c r="E2495" s="20" t="str">
        <x:v>P022</x:v>
      </x:c>
      <x:c r="F2495" s="20" t="str"/>
      <x:c r="G2495" s="20" t="str"/>
      <x:c r="H2495" s="20" t="str">
        <x:v>1000 Operating Cash</x:v>
      </x:c>
      <x:c r="I2495" s="26" t="n">
        <x:v>0</x:v>
      </x:c>
      <x:c r="J2495" s="26" t="n">
        <x:v>1534</x:v>
      </x:c>
      <x:c r="K2495" s="35" t="str">
        <x:v>LN022 scheduled payment</x:v>
      </x:c>
    </x:row>
    <x:row r="2496">
      <x:c r="A2496" s="20" t="str">
        <x:v>FIN-01207</x:v>
      </x:c>
      <x:c r="B2496" s="32" t="n">
        <x:v>1</x:v>
      </x:c>
      <x:c r="C2496" s="23" t="n">
        <x:v>46497</x:v>
      </x:c>
      <x:c r="D2496" s="23" t="n">
        <x:v>46497</x:v>
      </x:c>
      <x:c r="E2496" s="20" t="str">
        <x:v>P023</x:v>
      </x:c>
      <x:c r="F2496" s="20" t="str"/>
      <x:c r="G2496" s="20" t="str"/>
      <x:c r="H2496" s="20" t="str">
        <x:v>2200 Mortgage Loans Payable</x:v>
      </x:c>
      <x:c r="I2496" s="26" t="n">
        <x:v>673</x:v>
      </x:c>
      <x:c r="J2496" s="26" t="n">
        <x:v>0</x:v>
      </x:c>
      <x:c r="K2496" s="35" t="str">
        <x:v>LN023 scheduled payment</x:v>
      </x:c>
    </x:row>
    <x:row r="2497">
      <x:c r="A2497" s="20" t="str">
        <x:v>FIN-01207</x:v>
      </x:c>
      <x:c r="B2497" s="32" t="n">
        <x:v>2</x:v>
      </x:c>
      <x:c r="C2497" s="23" t="n">
        <x:v>46497</x:v>
      </x:c>
      <x:c r="D2497" s="23" t="n">
        <x:v>46497</x:v>
      </x:c>
      <x:c r="E2497" s="20" t="str">
        <x:v>P023</x:v>
      </x:c>
      <x:c r="F2497" s="20" t="str"/>
      <x:c r="G2497" s="20" t="str"/>
      <x:c r="H2497" s="20" t="str">
        <x:v>5040 Mortgage Interest</x:v>
      </x:c>
      <x:c r="I2497" s="26" t="n">
        <x:v>885</x:v>
      </x:c>
      <x:c r="J2497" s="26" t="n">
        <x:v>0</x:v>
      </x:c>
      <x:c r="K2497" s="35" t="str">
        <x:v>LN023 scheduled payment</x:v>
      </x:c>
    </x:row>
    <x:row r="2498">
      <x:c r="A2498" s="20" t="str">
        <x:v>FIN-01207</x:v>
      </x:c>
      <x:c r="B2498" s="32" t="n">
        <x:v>3</x:v>
      </x:c>
      <x:c r="C2498" s="23" t="n">
        <x:v>46497</x:v>
      </x:c>
      <x:c r="D2498" s="23" t="n">
        <x:v>46497</x:v>
      </x:c>
      <x:c r="E2498" s="20" t="str">
        <x:v>P023</x:v>
      </x:c>
      <x:c r="F2498" s="20" t="str"/>
      <x:c r="G2498" s="20" t="str"/>
      <x:c r="H2498" s="20" t="str">
        <x:v>1000 Operating Cash</x:v>
      </x:c>
      <x:c r="I2498" s="26" t="n">
        <x:v>0</x:v>
      </x:c>
      <x:c r="J2498" s="26" t="n">
        <x:v>1558</x:v>
      </x:c>
      <x:c r="K2498" s="35" t="str">
        <x:v>LN023 scheduled payment</x:v>
      </x:c>
    </x:row>
    <x:row r="2499">
      <x:c r="A2499" s="20" t="str">
        <x:v>FIN-01208</x:v>
      </x:c>
      <x:c r="B2499" s="32" t="n">
        <x:v>1</x:v>
      </x:c>
      <x:c r="C2499" s="23" t="n">
        <x:v>46497</x:v>
      </x:c>
      <x:c r="D2499" s="23" t="n">
        <x:v>46497</x:v>
      </x:c>
      <x:c r="E2499" s="20" t="str">
        <x:v>P025</x:v>
      </x:c>
      <x:c r="F2499" s="20" t="str"/>
      <x:c r="G2499" s="20" t="str"/>
      <x:c r="H2499" s="20" t="str">
        <x:v>2200 Mortgage Loans Payable</x:v>
      </x:c>
      <x:c r="I2499" s="26" t="n">
        <x:v>695</x:v>
      </x:c>
      <x:c r="J2499" s="26" t="n">
        <x:v>0</x:v>
      </x:c>
      <x:c r="K2499" s="35" t="str">
        <x:v>LN025 scheduled payment</x:v>
      </x:c>
    </x:row>
    <x:row r="2500">
      <x:c r="A2500" s="20" t="str">
        <x:v>FIN-01208</x:v>
      </x:c>
      <x:c r="B2500" s="32" t="n">
        <x:v>2</x:v>
      </x:c>
      <x:c r="C2500" s="23" t="n">
        <x:v>46497</x:v>
      </x:c>
      <x:c r="D2500" s="23" t="n">
        <x:v>46497</x:v>
      </x:c>
      <x:c r="E2500" s="20" t="str">
        <x:v>P025</x:v>
      </x:c>
      <x:c r="F2500" s="20" t="str"/>
      <x:c r="G2500" s="20" t="str"/>
      <x:c r="H2500" s="20" t="str">
        <x:v>5040 Mortgage Interest</x:v>
      </x:c>
      <x:c r="I2500" s="26" t="n">
        <x:v>911</x:v>
      </x:c>
      <x:c r="J2500" s="26" t="n">
        <x:v>0</x:v>
      </x:c>
      <x:c r="K2500" s="35" t="str">
        <x:v>LN025 scheduled payment</x:v>
      </x:c>
    </x:row>
    <x:row r="2501">
      <x:c r="A2501" s="20" t="str">
        <x:v>FIN-01208</x:v>
      </x:c>
      <x:c r="B2501" s="32" t="n">
        <x:v>3</x:v>
      </x:c>
      <x:c r="C2501" s="23" t="n">
        <x:v>46497</x:v>
      </x:c>
      <x:c r="D2501" s="23" t="n">
        <x:v>46497</x:v>
      </x:c>
      <x:c r="E2501" s="20" t="str">
        <x:v>P025</x:v>
      </x:c>
      <x:c r="F2501" s="20" t="str"/>
      <x:c r="G2501" s="20" t="str"/>
      <x:c r="H2501" s="20" t="str">
        <x:v>1000 Operating Cash</x:v>
      </x:c>
      <x:c r="I2501" s="26" t="n">
        <x:v>0</x:v>
      </x:c>
      <x:c r="J2501" s="26" t="n">
        <x:v>1606</x:v>
      </x:c>
      <x:c r="K2501" s="35" t="str">
        <x:v>LN025 scheduled payment</x:v>
      </x:c>
    </x:row>
    <x:row r="2502">
      <x:c r="A2502" s="20" t="str">
        <x:v>FIN-01209</x:v>
      </x:c>
      <x:c r="B2502" s="32" t="n">
        <x:v>1</x:v>
      </x:c>
      <x:c r="C2502" s="23" t="n">
        <x:v>46497</x:v>
      </x:c>
      <x:c r="D2502" s="23" t="n">
        <x:v>46497</x:v>
      </x:c>
      <x:c r="E2502" s="20" t="str">
        <x:v>P026</x:v>
      </x:c>
      <x:c r="F2502" s="20" t="str"/>
      <x:c r="G2502" s="20" t="str"/>
      <x:c r="H2502" s="20" t="str">
        <x:v>2200 Mortgage Loans Payable</x:v>
      </x:c>
      <x:c r="I2502" s="26" t="n">
        <x:v>706</x:v>
      </x:c>
      <x:c r="J2502" s="26" t="n">
        <x:v>0</x:v>
      </x:c>
      <x:c r="K2502" s="35" t="str">
        <x:v>LN026 scheduled payment</x:v>
      </x:c>
    </x:row>
    <x:row r="2503">
      <x:c r="A2503" s="20" t="str">
        <x:v>FIN-01209</x:v>
      </x:c>
      <x:c r="B2503" s="32" t="n">
        <x:v>2</x:v>
      </x:c>
      <x:c r="C2503" s="23" t="n">
        <x:v>46497</x:v>
      </x:c>
      <x:c r="D2503" s="23" t="n">
        <x:v>46497</x:v>
      </x:c>
      <x:c r="E2503" s="20" t="str">
        <x:v>P026</x:v>
      </x:c>
      <x:c r="F2503" s="20" t="str"/>
      <x:c r="G2503" s="20" t="str"/>
      <x:c r="H2503" s="20" t="str">
        <x:v>5040 Mortgage Interest</x:v>
      </x:c>
      <x:c r="I2503" s="26" t="n">
        <x:v>924</x:v>
      </x:c>
      <x:c r="J2503" s="26" t="n">
        <x:v>0</x:v>
      </x:c>
      <x:c r="K2503" s="35" t="str">
        <x:v>LN026 scheduled payment</x:v>
      </x:c>
    </x:row>
    <x:row r="2504">
      <x:c r="A2504" s="20" t="str">
        <x:v>FIN-01209</x:v>
      </x:c>
      <x:c r="B2504" s="32" t="n">
        <x:v>3</x:v>
      </x:c>
      <x:c r="C2504" s="23" t="n">
        <x:v>46497</x:v>
      </x:c>
      <x:c r="D2504" s="23" t="n">
        <x:v>46497</x:v>
      </x:c>
      <x:c r="E2504" s="20" t="str">
        <x:v>P026</x:v>
      </x:c>
      <x:c r="F2504" s="20" t="str"/>
      <x:c r="G2504" s="20" t="str"/>
      <x:c r="H2504" s="20" t="str">
        <x:v>1000 Operating Cash</x:v>
      </x:c>
      <x:c r="I2504" s="26" t="n">
        <x:v>0</x:v>
      </x:c>
      <x:c r="J2504" s="26" t="n">
        <x:v>1630</x:v>
      </x:c>
      <x:c r="K2504" s="35" t="str">
        <x:v>LN026 scheduled payment</x:v>
      </x:c>
    </x:row>
    <x:row r="2505">
      <x:c r="A2505" s="20" t="str">
        <x:v>FIN-01210</x:v>
      </x:c>
      <x:c r="B2505" s="32" t="n">
        <x:v>1</x:v>
      </x:c>
      <x:c r="C2505" s="23" t="n">
        <x:v>46497</x:v>
      </x:c>
      <x:c r="D2505" s="23" t="n">
        <x:v>46497</x:v>
      </x:c>
      <x:c r="E2505" s="20" t="str">
        <x:v>P028</x:v>
      </x:c>
      <x:c r="F2505" s="20" t="str"/>
      <x:c r="G2505" s="20" t="str"/>
      <x:c r="H2505" s="20" t="str">
        <x:v>2200 Mortgage Loans Payable</x:v>
      </x:c>
      <x:c r="I2505" s="26" t="n">
        <x:v>728</x:v>
      </x:c>
      <x:c r="J2505" s="26" t="n">
        <x:v>0</x:v>
      </x:c>
      <x:c r="K2505" s="35" t="str">
        <x:v>LN028 scheduled payment</x:v>
      </x:c>
    </x:row>
    <x:row r="2506">
      <x:c r="A2506" s="20" t="str">
        <x:v>FIN-01210</x:v>
      </x:c>
      <x:c r="B2506" s="32" t="n">
        <x:v>2</x:v>
      </x:c>
      <x:c r="C2506" s="23" t="n">
        <x:v>46497</x:v>
      </x:c>
      <x:c r="D2506" s="23" t="n">
        <x:v>46497</x:v>
      </x:c>
      <x:c r="E2506" s="20" t="str">
        <x:v>P028</x:v>
      </x:c>
      <x:c r="F2506" s="20" t="str"/>
      <x:c r="G2506" s="20" t="str"/>
      <x:c r="H2506" s="20" t="str">
        <x:v>5040 Mortgage Interest</x:v>
      </x:c>
      <x:c r="I2506" s="26" t="n">
        <x:v>950</x:v>
      </x:c>
      <x:c r="J2506" s="26" t="n">
        <x:v>0</x:v>
      </x:c>
      <x:c r="K2506" s="35" t="str">
        <x:v>LN028 scheduled payment</x:v>
      </x:c>
    </x:row>
    <x:row r="2507">
      <x:c r="A2507" s="20" t="str">
        <x:v>FIN-01210</x:v>
      </x:c>
      <x:c r="B2507" s="32" t="n">
        <x:v>3</x:v>
      </x:c>
      <x:c r="C2507" s="23" t="n">
        <x:v>46497</x:v>
      </x:c>
      <x:c r="D2507" s="23" t="n">
        <x:v>46497</x:v>
      </x:c>
      <x:c r="E2507" s="20" t="str">
        <x:v>P028</x:v>
      </x:c>
      <x:c r="F2507" s="20" t="str"/>
      <x:c r="G2507" s="20" t="str"/>
      <x:c r="H2507" s="20" t="str">
        <x:v>1000 Operating Cash</x:v>
      </x:c>
      <x:c r="I2507" s="26" t="n">
        <x:v>0</x:v>
      </x:c>
      <x:c r="J2507" s="26" t="n">
        <x:v>1678</x:v>
      </x:c>
      <x:c r="K2507" s="35" t="str">
        <x:v>LN028 scheduled payment</x:v>
      </x:c>
    </x:row>
    <x:row r="2508">
      <x:c r="A2508" s="20" t="str">
        <x:v>FIN-01211</x:v>
      </x:c>
      <x:c r="B2508" s="32" t="n">
        <x:v>1</x:v>
      </x:c>
      <x:c r="C2508" s="23" t="n">
        <x:v>46497</x:v>
      </x:c>
      <x:c r="D2508" s="23" t="n">
        <x:v>46497</x:v>
      </x:c>
      <x:c r="E2508" s="20" t="str">
        <x:v>P029</x:v>
      </x:c>
      <x:c r="F2508" s="20" t="str"/>
      <x:c r="G2508" s="20" t="str"/>
      <x:c r="H2508" s="20" t="str">
        <x:v>2200 Mortgage Loans Payable</x:v>
      </x:c>
      <x:c r="I2508" s="26" t="n">
        <x:v>739</x:v>
      </x:c>
      <x:c r="J2508" s="26" t="n">
        <x:v>0</x:v>
      </x:c>
      <x:c r="K2508" s="35" t="str">
        <x:v>LN029 scheduled payment</x:v>
      </x:c>
    </x:row>
    <x:row r="2509">
      <x:c r="A2509" s="20" t="str">
        <x:v>FIN-01211</x:v>
      </x:c>
      <x:c r="B2509" s="32" t="n">
        <x:v>2</x:v>
      </x:c>
      <x:c r="C2509" s="23" t="n">
        <x:v>46497</x:v>
      </x:c>
      <x:c r="D2509" s="23" t="n">
        <x:v>46497</x:v>
      </x:c>
      <x:c r="E2509" s="20" t="str">
        <x:v>P029</x:v>
      </x:c>
      <x:c r="F2509" s="20" t="str"/>
      <x:c r="G2509" s="20" t="str"/>
      <x:c r="H2509" s="20" t="str">
        <x:v>5040 Mortgage Interest</x:v>
      </x:c>
      <x:c r="I2509" s="26" t="n">
        <x:v>963</x:v>
      </x:c>
      <x:c r="J2509" s="26" t="n">
        <x:v>0</x:v>
      </x:c>
      <x:c r="K2509" s="35" t="str">
        <x:v>LN029 scheduled payment</x:v>
      </x:c>
    </x:row>
    <x:row r="2510">
      <x:c r="A2510" s="20" t="str">
        <x:v>FIN-01211</x:v>
      </x:c>
      <x:c r="B2510" s="32" t="n">
        <x:v>3</x:v>
      </x:c>
      <x:c r="C2510" s="23" t="n">
        <x:v>46497</x:v>
      </x:c>
      <x:c r="D2510" s="23" t="n">
        <x:v>46497</x:v>
      </x:c>
      <x:c r="E2510" s="20" t="str">
        <x:v>P029</x:v>
      </x:c>
      <x:c r="F2510" s="20" t="str"/>
      <x:c r="G2510" s="20" t="str"/>
      <x:c r="H2510" s="20" t="str">
        <x:v>1000 Operating Cash</x:v>
      </x:c>
      <x:c r="I2510" s="26" t="n">
        <x:v>0</x:v>
      </x:c>
      <x:c r="J2510" s="26" t="n">
        <x:v>1702</x:v>
      </x:c>
      <x:c r="K2510" s="35" t="str">
        <x:v>LN029 scheduled payment</x:v>
      </x:c>
    </x:row>
    <x:row r="2511">
      <x:c r="A2511" s="20" t="str">
        <x:v>FIN-01212</x:v>
      </x:c>
      <x:c r="B2511" s="32" t="n">
        <x:v>1</x:v>
      </x:c>
      <x:c r="C2511" s="23" t="n">
        <x:v>46502</x:v>
      </x:c>
      <x:c r="D2511" s="23" t="n">
        <x:v>46502</x:v>
      </x:c>
      <x:c r="E2511" s="20" t="str"/>
      <x:c r="F2511" s="20" t="str"/>
      <x:c r="G2511" s="20" t="str"/>
      <x:c r="H2511" s="20" t="str">
        <x:v>3100 Owner Distributions</x:v>
      </x:c>
      <x:c r="I2511" s="26" t="n">
        <x:v>3050</x:v>
      </x:c>
      <x:c r="J2511" s="26" t="n">
        <x:v>0</x:v>
      </x:c>
      <x:c r="K2511" s="35" t="str">
        <x:v>Monthly distribution to Blue Door Residential LLC</x:v>
      </x:c>
    </x:row>
    <x:row r="2512">
      <x:c r="A2512" s="20" t="str">
        <x:v>FIN-01212</x:v>
      </x:c>
      <x:c r="B2512" s="32" t="n">
        <x:v>2</x:v>
      </x:c>
      <x:c r="C2512" s="23" t="n">
        <x:v>46502</x:v>
      </x:c>
      <x:c r="D2512" s="23" t="n">
        <x:v>46502</x:v>
      </x:c>
      <x:c r="E2512" s="20" t="str"/>
      <x:c r="F2512" s="20" t="str"/>
      <x:c r="G2512" s="20" t="str"/>
      <x:c r="H2512" s="20" t="str">
        <x:v>1000 Operating Cash</x:v>
      </x:c>
      <x:c r="I2512" s="26" t="n">
        <x:v>0</x:v>
      </x:c>
      <x:c r="J2512" s="26" t="n">
        <x:v>3050</x:v>
      </x:c>
      <x:c r="K2512" s="35" t="str">
        <x:v>Monthly distribution to Blue Door Residential LLC</x:v>
      </x:c>
    </x:row>
    <x:row r="2513">
      <x:c r="A2513" s="20" t="str">
        <x:v>FIN-01213</x:v>
      </x:c>
      <x:c r="B2513" s="32" t="n">
        <x:v>1</x:v>
      </x:c>
      <x:c r="C2513" s="23" t="n">
        <x:v>46502</x:v>
      </x:c>
      <x:c r="D2513" s="23" t="n">
        <x:v>46502</x:v>
      </x:c>
      <x:c r="E2513" s="20" t="str"/>
      <x:c r="F2513" s="20" t="str"/>
      <x:c r="G2513" s="20" t="str"/>
      <x:c r="H2513" s="20" t="str">
        <x:v>3100 Owner Distributions</x:v>
      </x:c>
      <x:c r="I2513" s="26" t="n">
        <x:v>3400</x:v>
      </x:c>
      <x:c r="J2513" s="26" t="n">
        <x:v>0</x:v>
      </x:c>
      <x:c r="K2513" s="35" t="str">
        <x:v>Monthly distribution to Coble Family Rentals LLC</x:v>
      </x:c>
    </x:row>
    <x:row r="2514">
      <x:c r="A2514" s="20" t="str">
        <x:v>FIN-01213</x:v>
      </x:c>
      <x:c r="B2514" s="32" t="n">
        <x:v>2</x:v>
      </x:c>
      <x:c r="C2514" s="23" t="n">
        <x:v>46502</x:v>
      </x:c>
      <x:c r="D2514" s="23" t="n">
        <x:v>46502</x:v>
      </x:c>
      <x:c r="E2514" s="20" t="str"/>
      <x:c r="F2514" s="20" t="str"/>
      <x:c r="G2514" s="20" t="str"/>
      <x:c r="H2514" s="20" t="str">
        <x:v>1000 Operating Cash</x:v>
      </x:c>
      <x:c r="I2514" s="26" t="n">
        <x:v>0</x:v>
      </x:c>
      <x:c r="J2514" s="26" t="n">
        <x:v>3400</x:v>
      </x:c>
      <x:c r="K2514" s="35" t="str">
        <x:v>Monthly distribution to Coble Family Rentals LLC</x:v>
      </x:c>
    </x:row>
    <x:row r="2515">
      <x:c r="A2515" s="20" t="str">
        <x:v>FIN-01214</x:v>
      </x:c>
      <x:c r="B2515" s="32" t="n">
        <x:v>1</x:v>
      </x:c>
      <x:c r="C2515" s="23" t="n">
        <x:v>46502</x:v>
      </x:c>
      <x:c r="D2515" s="23" t="n">
        <x:v>46502</x:v>
      </x:c>
      <x:c r="E2515" s="20" t="str"/>
      <x:c r="F2515" s="20" t="str"/>
      <x:c r="G2515" s="20" t="str"/>
      <x:c r="H2515" s="20" t="str">
        <x:v>3100 Owner Distributions</x:v>
      </x:c>
      <x:c r="I2515" s="26" t="n">
        <x:v>3750</x:v>
      </x:c>
      <x:c r="J2515" s="26" t="n">
        <x:v>0</x:v>
      </x:c>
      <x:c r="K2515" s="35" t="str">
        <x:v>Monthly distribution to Northstar Property Partners LLC</x:v>
      </x:c>
    </x:row>
    <x:row r="2516">
      <x:c r="A2516" s="20" t="str">
        <x:v>FIN-01214</x:v>
      </x:c>
      <x:c r="B2516" s="32" t="n">
        <x:v>2</x:v>
      </x:c>
      <x:c r="C2516" s="23" t="n">
        <x:v>46502</x:v>
      </x:c>
      <x:c r="D2516" s="23" t="n">
        <x:v>46502</x:v>
      </x:c>
      <x:c r="E2516" s="20" t="str"/>
      <x:c r="F2516" s="20" t="str"/>
      <x:c r="G2516" s="20" t="str"/>
      <x:c r="H2516" s="20" t="str">
        <x:v>1000 Operating Cash</x:v>
      </x:c>
      <x:c r="I2516" s="26" t="n">
        <x:v>0</x:v>
      </x:c>
      <x:c r="J2516" s="26" t="n">
        <x:v>3750</x:v>
      </x:c>
      <x:c r="K2516" s="35" t="str">
        <x:v>Monthly distribution to Northstar Property Partners LLC</x:v>
      </x:c>
    </x:row>
    <x:row r="2517">
      <x:c r="A2517" s="20" t="str">
        <x:v>FIN-01215</x:v>
      </x:c>
      <x:c r="B2517" s="32" t="n">
        <x:v>1</x:v>
      </x:c>
      <x:c r="C2517" s="23" t="n">
        <x:v>46502</x:v>
      </x:c>
      <x:c r="D2517" s="23" t="n">
        <x:v>46502</x:v>
      </x:c>
      <x:c r="E2517" s="20" t="str"/>
      <x:c r="F2517" s="20" t="str"/>
      <x:c r="G2517" s="20" t="str"/>
      <x:c r="H2517" s="20" t="str">
        <x:v>3100 Owner Distributions</x:v>
      </x:c>
      <x:c r="I2517" s="26" t="n">
        <x:v>4100</x:v>
      </x:c>
      <x:c r="J2517" s="26" t="n">
        <x:v>0</x:v>
      </x:c>
      <x:c r="K2517" s="35" t="str">
        <x:v>Monthly distribution to Riverbend Homes LLC</x:v>
      </x:c>
    </x:row>
    <x:row r="2518">
      <x:c r="A2518" s="20" t="str">
        <x:v>FIN-01215</x:v>
      </x:c>
      <x:c r="B2518" s="32" t="n">
        <x:v>2</x:v>
      </x:c>
      <x:c r="C2518" s="23" t="n">
        <x:v>46502</x:v>
      </x:c>
      <x:c r="D2518" s="23" t="n">
        <x:v>46502</x:v>
      </x:c>
      <x:c r="E2518" s="20" t="str"/>
      <x:c r="F2518" s="20" t="str"/>
      <x:c r="G2518" s="20" t="str"/>
      <x:c r="H2518" s="20" t="str">
        <x:v>1000 Operating Cash</x:v>
      </x:c>
      <x:c r="I2518" s="26" t="n">
        <x:v>0</x:v>
      </x:c>
      <x:c r="J2518" s="26" t="n">
        <x:v>4100</x:v>
      </x:c>
      <x:c r="K2518" s="35" t="str">
        <x:v>Monthly distribution to Riverbend Homes LLC</x:v>
      </x:c>
    </x:row>
    <x:row r="2519">
      <x:c r="A2519" s="20" t="str">
        <x:v>FIN-01216</x:v>
      </x:c>
      <x:c r="B2519" s="32" t="n">
        <x:v>1</x:v>
      </x:c>
      <x:c r="C2519" s="23" t="n">
        <x:v>46502</x:v>
      </x:c>
      <x:c r="D2519" s="23" t="n">
        <x:v>46502</x:v>
      </x:c>
      <x:c r="E2519" s="20" t="str"/>
      <x:c r="F2519" s="20" t="str"/>
      <x:c r="G2519" s="20" t="str"/>
      <x:c r="H2519" s="20" t="str">
        <x:v>3100 Owner Distributions</x:v>
      </x:c>
      <x:c r="I2519" s="26" t="n">
        <x:v>4450</x:v>
      </x:c>
      <x:c r="J2519" s="26" t="n">
        <x:v>0</x:v>
      </x:c>
      <x:c r="K2519" s="35" t="str">
        <x:v>Monthly distribution to Juniper Street Holdings LLC</x:v>
      </x:c>
    </x:row>
    <x:row r="2520">
      <x:c r="A2520" s="20" t="str">
        <x:v>FIN-01216</x:v>
      </x:c>
      <x:c r="B2520" s="32" t="n">
        <x:v>2</x:v>
      </x:c>
      <x:c r="C2520" s="23" t="n">
        <x:v>46502</x:v>
      </x:c>
      <x:c r="D2520" s="23" t="n">
        <x:v>46502</x:v>
      </x:c>
      <x:c r="E2520" s="20" t="str"/>
      <x:c r="F2520" s="20" t="str"/>
      <x:c r="G2520" s="20" t="str"/>
      <x:c r="H2520" s="20" t="str">
        <x:v>1000 Operating Cash</x:v>
      </x:c>
      <x:c r="I2520" s="26" t="n">
        <x:v>0</x:v>
      </x:c>
      <x:c r="J2520" s="26" t="n">
        <x:v>4450</x:v>
      </x:c>
      <x:c r="K2520" s="35" t="str">
        <x:v>Monthly distribution to Juniper Street Holdings LLC</x:v>
      </x:c>
    </x:row>
    <x:row r="2521">
      <x:c r="A2521" s="20" t="str">
        <x:v>FIN-01217</x:v>
      </x:c>
      <x:c r="B2521" s="32" t="n">
        <x:v>1</x:v>
      </x:c>
      <x:c r="C2521" s="23" t="n">
        <x:v>46522</x:v>
      </x:c>
      <x:c r="D2521" s="23" t="n">
        <x:v>46522</x:v>
      </x:c>
      <x:c r="E2521" s="20" t="str">
        <x:v>P021</x:v>
      </x:c>
      <x:c r="F2521" s="20" t="str"/>
      <x:c r="G2521" s="20" t="str"/>
      <x:c r="H2521" s="20" t="str">
        <x:v>5010 Utilities</x:v>
      </x:c>
      <x:c r="I2521" s="26" t="n">
        <x:v>180</x:v>
      </x:c>
      <x:c r="J2521" s="26" t="n">
        <x:v>0</x:v>
      </x:c>
      <x:c r="K2521" s="35" t="str">
        <x:v>City Water &amp; Sewer</x:v>
      </x:c>
    </x:row>
    <x:row r="2522">
      <x:c r="A2522" s="20" t="str">
        <x:v>FIN-01217</x:v>
      </x:c>
      <x:c r="B2522" s="32" t="n">
        <x:v>2</x:v>
      </x:c>
      <x:c r="C2522" s="23" t="n">
        <x:v>46522</x:v>
      </x:c>
      <x:c r="D2522" s="23" t="n">
        <x:v>46522</x:v>
      </x:c>
      <x:c r="E2522" s="20" t="str">
        <x:v>P021</x:v>
      </x:c>
      <x:c r="F2522" s="20" t="str"/>
      <x:c r="G2522" s="20" t="str"/>
      <x:c r="H2522" s="20" t="str">
        <x:v>1000 Operating Cash</x:v>
      </x:c>
      <x:c r="I2522" s="26" t="n">
        <x:v>0</x:v>
      </x:c>
      <x:c r="J2522" s="26" t="n">
        <x:v>180</x:v>
      </x:c>
      <x:c r="K2522" s="35" t="str">
        <x:v>City Water &amp; Sewer</x:v>
      </x:c>
    </x:row>
    <x:row r="2523">
      <x:c r="A2523" s="20" t="str">
        <x:v>FIN-01218</x:v>
      </x:c>
      <x:c r="B2523" s="32" t="n">
        <x:v>1</x:v>
      </x:c>
      <x:c r="C2523" s="23" t="n">
        <x:v>46522</x:v>
      </x:c>
      <x:c r="D2523" s="23" t="n">
        <x:v>46522</x:v>
      </x:c>
      <x:c r="E2523" s="20" t="str">
        <x:v>P022</x:v>
      </x:c>
      <x:c r="F2523" s="20" t="str"/>
      <x:c r="G2523" s="20" t="str"/>
      <x:c r="H2523" s="20" t="str">
        <x:v>5010 Utilities</x:v>
      </x:c>
      <x:c r="I2523" s="26" t="n">
        <x:v>187</x:v>
      </x:c>
      <x:c r="J2523" s="26" t="n">
        <x:v>0</x:v>
      </x:c>
      <x:c r="K2523" s="35" t="str">
        <x:v>City Water &amp; Sewer</x:v>
      </x:c>
    </x:row>
    <x:row r="2524">
      <x:c r="A2524" s="20" t="str">
        <x:v>FIN-01218</x:v>
      </x:c>
      <x:c r="B2524" s="32" t="n">
        <x:v>2</x:v>
      </x:c>
      <x:c r="C2524" s="23" t="n">
        <x:v>46522</x:v>
      </x:c>
      <x:c r="D2524" s="23" t="n">
        <x:v>46522</x:v>
      </x:c>
      <x:c r="E2524" s="20" t="str">
        <x:v>P022</x:v>
      </x:c>
      <x:c r="F2524" s="20" t="str"/>
      <x:c r="G2524" s="20" t="str"/>
      <x:c r="H2524" s="20" t="str">
        <x:v>1000 Operating Cash</x:v>
      </x:c>
      <x:c r="I2524" s="26" t="n">
        <x:v>0</x:v>
      </x:c>
      <x:c r="J2524" s="26" t="n">
        <x:v>187</x:v>
      </x:c>
      <x:c r="K2524" s="35" t="str">
        <x:v>City Water &amp; Sewer</x:v>
      </x:c>
    </x:row>
    <x:row r="2525">
      <x:c r="A2525" s="20" t="str">
        <x:v>FIN-01219</x:v>
      </x:c>
      <x:c r="B2525" s="32" t="n">
        <x:v>1</x:v>
      </x:c>
      <x:c r="C2525" s="23" t="n">
        <x:v>46522</x:v>
      </x:c>
      <x:c r="D2525" s="23" t="n">
        <x:v>46522</x:v>
      </x:c>
      <x:c r="E2525" s="20" t="str">
        <x:v>P023</x:v>
      </x:c>
      <x:c r="F2525" s="20" t="str"/>
      <x:c r="G2525" s="20" t="str"/>
      <x:c r="H2525" s="20" t="str">
        <x:v>5010 Utilities</x:v>
      </x:c>
      <x:c r="I2525" s="26" t="n">
        <x:v>194</x:v>
      </x:c>
      <x:c r="J2525" s="26" t="n">
        <x:v>0</x:v>
      </x:c>
      <x:c r="K2525" s="35" t="str">
        <x:v>City Water &amp; Sewer</x:v>
      </x:c>
    </x:row>
    <x:row r="2526">
      <x:c r="A2526" s="20" t="str">
        <x:v>FIN-01219</x:v>
      </x:c>
      <x:c r="B2526" s="32" t="n">
        <x:v>2</x:v>
      </x:c>
      <x:c r="C2526" s="23" t="n">
        <x:v>46522</x:v>
      </x:c>
      <x:c r="D2526" s="23" t="n">
        <x:v>46522</x:v>
      </x:c>
      <x:c r="E2526" s="20" t="str">
        <x:v>P023</x:v>
      </x:c>
      <x:c r="F2526" s="20" t="str"/>
      <x:c r="G2526" s="20" t="str"/>
      <x:c r="H2526" s="20" t="str">
        <x:v>1000 Operating Cash</x:v>
      </x:c>
      <x:c r="I2526" s="26" t="n">
        <x:v>0</x:v>
      </x:c>
      <x:c r="J2526" s="26" t="n">
        <x:v>194</x:v>
      </x:c>
      <x:c r="K2526" s="35" t="str">
        <x:v>City Water &amp; Sewer</x:v>
      </x:c>
    </x:row>
    <x:row r="2527">
      <x:c r="A2527" s="20" t="str">
        <x:v>FIN-01220</x:v>
      </x:c>
      <x:c r="B2527" s="32" t="n">
        <x:v>1</x:v>
      </x:c>
      <x:c r="C2527" s="23" t="n">
        <x:v>46522</x:v>
      </x:c>
      <x:c r="D2527" s="23" t="n">
        <x:v>46522</x:v>
      </x:c>
      <x:c r="E2527" s="20" t="str">
        <x:v>P024</x:v>
      </x:c>
      <x:c r="F2527" s="20" t="str"/>
      <x:c r="G2527" s="20" t="str"/>
      <x:c r="H2527" s="20" t="str">
        <x:v>5010 Utilities</x:v>
      </x:c>
      <x:c r="I2527" s="26" t="n">
        <x:v>201</x:v>
      </x:c>
      <x:c r="J2527" s="26" t="n">
        <x:v>0</x:v>
      </x:c>
      <x:c r="K2527" s="35" t="str">
        <x:v>City Water &amp; Sewer</x:v>
      </x:c>
    </x:row>
    <x:row r="2528">
      <x:c r="A2528" s="20" t="str">
        <x:v>FIN-01220</x:v>
      </x:c>
      <x:c r="B2528" s="32" t="n">
        <x:v>2</x:v>
      </x:c>
      <x:c r="C2528" s="23" t="n">
        <x:v>46522</x:v>
      </x:c>
      <x:c r="D2528" s="23" t="n">
        <x:v>46522</x:v>
      </x:c>
      <x:c r="E2528" s="20" t="str">
        <x:v>P024</x:v>
      </x:c>
      <x:c r="F2528" s="20" t="str"/>
      <x:c r="G2528" s="20" t="str"/>
      <x:c r="H2528" s="20" t="str">
        <x:v>1000 Operating Cash</x:v>
      </x:c>
      <x:c r="I2528" s="26" t="n">
        <x:v>0</x:v>
      </x:c>
      <x:c r="J2528" s="26" t="n">
        <x:v>201</x:v>
      </x:c>
      <x:c r="K2528" s="35" t="str">
        <x:v>City Water &amp; Sewer</x:v>
      </x:c>
    </x:row>
    <x:row r="2529">
      <x:c r="A2529" s="20" t="str">
        <x:v>FIN-01221</x:v>
      </x:c>
      <x:c r="B2529" s="32" t="n">
        <x:v>1</x:v>
      </x:c>
      <x:c r="C2529" s="23" t="n">
        <x:v>46522</x:v>
      </x:c>
      <x:c r="D2529" s="23" t="n">
        <x:v>46522</x:v>
      </x:c>
      <x:c r="E2529" s="20" t="str">
        <x:v>P025</x:v>
      </x:c>
      <x:c r="F2529" s="20" t="str"/>
      <x:c r="G2529" s="20" t="str"/>
      <x:c r="H2529" s="20" t="str">
        <x:v>5010 Utilities</x:v>
      </x:c>
      <x:c r="I2529" s="26" t="n">
        <x:v>118</x:v>
      </x:c>
      <x:c r="J2529" s="26" t="n">
        <x:v>0</x:v>
      </x:c>
      <x:c r="K2529" s="35" t="str">
        <x:v>City Water &amp; Sewer</x:v>
      </x:c>
    </x:row>
    <x:row r="2530">
      <x:c r="A2530" s="20" t="str">
        <x:v>FIN-01221</x:v>
      </x:c>
      <x:c r="B2530" s="32" t="n">
        <x:v>2</x:v>
      </x:c>
      <x:c r="C2530" s="23" t="n">
        <x:v>46522</x:v>
      </x:c>
      <x:c r="D2530" s="23" t="n">
        <x:v>46522</x:v>
      </x:c>
      <x:c r="E2530" s="20" t="str">
        <x:v>P025</x:v>
      </x:c>
      <x:c r="F2530" s="20" t="str"/>
      <x:c r="G2530" s="20" t="str"/>
      <x:c r="H2530" s="20" t="str">
        <x:v>1000 Operating Cash</x:v>
      </x:c>
      <x:c r="I2530" s="26" t="n">
        <x:v>0</x:v>
      </x:c>
      <x:c r="J2530" s="26" t="n">
        <x:v>118</x:v>
      </x:c>
      <x:c r="K2530" s="35" t="str">
        <x:v>City Water &amp; Sewer</x:v>
      </x:c>
    </x:row>
    <x:row r="2531">
      <x:c r="A2531" s="20" t="str">
        <x:v>FIN-01222</x:v>
      </x:c>
      <x:c r="B2531" s="32" t="n">
        <x:v>1</x:v>
      </x:c>
      <x:c r="C2531" s="23" t="n">
        <x:v>46522</x:v>
      </x:c>
      <x:c r="D2531" s="23" t="n">
        <x:v>46522</x:v>
      </x:c>
      <x:c r="E2531" s="20" t="str">
        <x:v>P026</x:v>
      </x:c>
      <x:c r="F2531" s="20" t="str"/>
      <x:c r="G2531" s="20" t="str"/>
      <x:c r="H2531" s="20" t="str">
        <x:v>5010 Utilities</x:v>
      </x:c>
      <x:c r="I2531" s="26" t="n">
        <x:v>125</x:v>
      </x:c>
      <x:c r="J2531" s="26" t="n">
        <x:v>0</x:v>
      </x:c>
      <x:c r="K2531" s="35" t="str">
        <x:v>City Water &amp; Sewer</x:v>
      </x:c>
    </x:row>
    <x:row r="2532">
      <x:c r="A2532" s="20" t="str">
        <x:v>FIN-01222</x:v>
      </x:c>
      <x:c r="B2532" s="32" t="n">
        <x:v>2</x:v>
      </x:c>
      <x:c r="C2532" s="23" t="n">
        <x:v>46522</x:v>
      </x:c>
      <x:c r="D2532" s="23" t="n">
        <x:v>46522</x:v>
      </x:c>
      <x:c r="E2532" s="20" t="str">
        <x:v>P026</x:v>
      </x:c>
      <x:c r="F2532" s="20" t="str"/>
      <x:c r="G2532" s="20" t="str"/>
      <x:c r="H2532" s="20" t="str">
        <x:v>1000 Operating Cash</x:v>
      </x:c>
      <x:c r="I2532" s="26" t="n">
        <x:v>0</x:v>
      </x:c>
      <x:c r="J2532" s="26" t="n">
        <x:v>125</x:v>
      </x:c>
      <x:c r="K2532" s="35" t="str">
        <x:v>City Water &amp; Sewer</x:v>
      </x:c>
    </x:row>
    <x:row r="2533">
      <x:c r="A2533" s="20" t="str">
        <x:v>FIN-01223</x:v>
      </x:c>
      <x:c r="B2533" s="32" t="n">
        <x:v>1</x:v>
      </x:c>
      <x:c r="C2533" s="23" t="n">
        <x:v>46522</x:v>
      </x:c>
      <x:c r="D2533" s="23" t="n">
        <x:v>46522</x:v>
      </x:c>
      <x:c r="E2533" s="20" t="str">
        <x:v>P027</x:v>
      </x:c>
      <x:c r="F2533" s="20" t="str"/>
      <x:c r="G2533" s="20" t="str"/>
      <x:c r="H2533" s="20" t="str">
        <x:v>5010 Utilities</x:v>
      </x:c>
      <x:c r="I2533" s="26" t="n">
        <x:v>132</x:v>
      </x:c>
      <x:c r="J2533" s="26" t="n">
        <x:v>0</x:v>
      </x:c>
      <x:c r="K2533" s="35" t="str">
        <x:v>City Water &amp; Sewer</x:v>
      </x:c>
    </x:row>
    <x:row r="2534">
      <x:c r="A2534" s="20" t="str">
        <x:v>FIN-01223</x:v>
      </x:c>
      <x:c r="B2534" s="32" t="n">
        <x:v>2</x:v>
      </x:c>
      <x:c r="C2534" s="23" t="n">
        <x:v>46522</x:v>
      </x:c>
      <x:c r="D2534" s="23" t="n">
        <x:v>46522</x:v>
      </x:c>
      <x:c r="E2534" s="20" t="str">
        <x:v>P027</x:v>
      </x:c>
      <x:c r="F2534" s="20" t="str"/>
      <x:c r="G2534" s="20" t="str"/>
      <x:c r="H2534" s="20" t="str">
        <x:v>1000 Operating Cash</x:v>
      </x:c>
      <x:c r="I2534" s="26" t="n">
        <x:v>0</x:v>
      </x:c>
      <x:c r="J2534" s="26" t="n">
        <x:v>132</x:v>
      </x:c>
      <x:c r="K2534" s="35" t="str">
        <x:v>City Water &amp; Sewer</x:v>
      </x:c>
    </x:row>
    <x:row r="2535">
      <x:c r="A2535" s="20" t="str">
        <x:v>FIN-01224</x:v>
      </x:c>
      <x:c r="B2535" s="32" t="n">
        <x:v>1</x:v>
      </x:c>
      <x:c r="C2535" s="23" t="n">
        <x:v>46522</x:v>
      </x:c>
      <x:c r="D2535" s="23" t="n">
        <x:v>46522</x:v>
      </x:c>
      <x:c r="E2535" s="20" t="str">
        <x:v>P028</x:v>
      </x:c>
      <x:c r="F2535" s="20" t="str"/>
      <x:c r="G2535" s="20" t="str"/>
      <x:c r="H2535" s="20" t="str">
        <x:v>5010 Utilities</x:v>
      </x:c>
      <x:c r="I2535" s="26" t="n">
        <x:v>139</x:v>
      </x:c>
      <x:c r="J2535" s="26" t="n">
        <x:v>0</x:v>
      </x:c>
      <x:c r="K2535" s="35" t="str">
        <x:v>City Water &amp; Sewer</x:v>
      </x:c>
    </x:row>
    <x:row r="2536">
      <x:c r="A2536" s="20" t="str">
        <x:v>FIN-01224</x:v>
      </x:c>
      <x:c r="B2536" s="32" t="n">
        <x:v>2</x:v>
      </x:c>
      <x:c r="C2536" s="23" t="n">
        <x:v>46522</x:v>
      </x:c>
      <x:c r="D2536" s="23" t="n">
        <x:v>46522</x:v>
      </x:c>
      <x:c r="E2536" s="20" t="str">
        <x:v>P028</x:v>
      </x:c>
      <x:c r="F2536" s="20" t="str"/>
      <x:c r="G2536" s="20" t="str"/>
      <x:c r="H2536" s="20" t="str">
        <x:v>1000 Operating Cash</x:v>
      </x:c>
      <x:c r="I2536" s="26" t="n">
        <x:v>0</x:v>
      </x:c>
      <x:c r="J2536" s="26" t="n">
        <x:v>139</x:v>
      </x:c>
      <x:c r="K2536" s="35" t="str">
        <x:v>City Water &amp; Sewer</x:v>
      </x:c>
    </x:row>
    <x:row r="2537">
      <x:c r="A2537" s="20" t="str">
        <x:v>FIN-01225</x:v>
      </x:c>
      <x:c r="B2537" s="32" t="n">
        <x:v>1</x:v>
      </x:c>
      <x:c r="C2537" s="23" t="n">
        <x:v>46522</x:v>
      </x:c>
      <x:c r="D2537" s="23" t="n">
        <x:v>46522</x:v>
      </x:c>
      <x:c r="E2537" s="20" t="str">
        <x:v>P029</x:v>
      </x:c>
      <x:c r="F2537" s="20" t="str"/>
      <x:c r="G2537" s="20" t="str"/>
      <x:c r="H2537" s="20" t="str">
        <x:v>5010 Utilities</x:v>
      </x:c>
      <x:c r="I2537" s="26" t="n">
        <x:v>146</x:v>
      </x:c>
      <x:c r="J2537" s="26" t="n">
        <x:v>0</x:v>
      </x:c>
      <x:c r="K2537" s="35" t="str">
        <x:v>City Water &amp; Sewer</x:v>
      </x:c>
    </x:row>
    <x:row r="2538">
      <x:c r="A2538" s="20" t="str">
        <x:v>FIN-01225</x:v>
      </x:c>
      <x:c r="B2538" s="32" t="n">
        <x:v>2</x:v>
      </x:c>
      <x:c r="C2538" s="23" t="n">
        <x:v>46522</x:v>
      </x:c>
      <x:c r="D2538" s="23" t="n">
        <x:v>46522</x:v>
      </x:c>
      <x:c r="E2538" s="20" t="str">
        <x:v>P029</x:v>
      </x:c>
      <x:c r="F2538" s="20" t="str"/>
      <x:c r="G2538" s="20" t="str"/>
      <x:c r="H2538" s="20" t="str">
        <x:v>1000 Operating Cash</x:v>
      </x:c>
      <x:c r="I2538" s="26" t="n">
        <x:v>0</x:v>
      </x:c>
      <x:c r="J2538" s="26" t="n">
        <x:v>146</x:v>
      </x:c>
      <x:c r="K2538" s="35" t="str">
        <x:v>City Water &amp; Sewer</x:v>
      </x:c>
    </x:row>
    <x:row r="2539">
      <x:c r="A2539" s="20" t="str">
        <x:v>FIN-01226</x:v>
      </x:c>
      <x:c r="B2539" s="32" t="n">
        <x:v>1</x:v>
      </x:c>
      <x:c r="C2539" s="23" t="n">
        <x:v>46522</x:v>
      </x:c>
      <x:c r="D2539" s="23" t="n">
        <x:v>46522</x:v>
      </x:c>
      <x:c r="E2539" s="20" t="str">
        <x:v>P030</x:v>
      </x:c>
      <x:c r="F2539" s="20" t="str"/>
      <x:c r="G2539" s="20" t="str"/>
      <x:c r="H2539" s="20" t="str">
        <x:v>5010 Utilities</x:v>
      </x:c>
      <x:c r="I2539" s="26" t="n">
        <x:v>153</x:v>
      </x:c>
      <x:c r="J2539" s="26" t="n">
        <x:v>0</x:v>
      </x:c>
      <x:c r="K2539" s="35" t="str">
        <x:v>City Water &amp; Sewer</x:v>
      </x:c>
    </x:row>
    <x:row r="2540">
      <x:c r="A2540" s="20" t="str">
        <x:v>FIN-01226</x:v>
      </x:c>
      <x:c r="B2540" s="32" t="n">
        <x:v>2</x:v>
      </x:c>
      <x:c r="C2540" s="23" t="n">
        <x:v>46522</x:v>
      </x:c>
      <x:c r="D2540" s="23" t="n">
        <x:v>46522</x:v>
      </x:c>
      <x:c r="E2540" s="20" t="str">
        <x:v>P030</x:v>
      </x:c>
      <x:c r="F2540" s="20" t="str"/>
      <x:c r="G2540" s="20" t="str"/>
      <x:c r="H2540" s="20" t="str">
        <x:v>1000 Operating Cash</x:v>
      </x:c>
      <x:c r="I2540" s="26" t="n">
        <x:v>0</x:v>
      </x:c>
      <x:c r="J2540" s="26" t="n">
        <x:v>153</x:v>
      </x:c>
      <x:c r="K2540" s="35" t="str">
        <x:v>City Water &amp; Sewer</x:v>
      </x:c>
    </x:row>
    <x:row r="2541">
      <x:c r="A2541" s="20" t="str">
        <x:v>FIN-01227</x:v>
      </x:c>
      <x:c r="B2541" s="32" t="n">
        <x:v>1</x:v>
      </x:c>
      <x:c r="C2541" s="23" t="n">
        <x:v>46527</x:v>
      </x:c>
      <x:c r="D2541" s="23" t="n">
        <x:v>46527</x:v>
      </x:c>
      <x:c r="E2541" s="20" t="str">
        <x:v>P001</x:v>
      </x:c>
      <x:c r="F2541" s="20" t="str"/>
      <x:c r="G2541" s="20" t="str"/>
      <x:c r="H2541" s="20" t="str">
        <x:v>2200 Mortgage Loans Payable</x:v>
      </x:c>
      <x:c r="I2541" s="26" t="n">
        <x:v>431</x:v>
      </x:c>
      <x:c r="J2541" s="26" t="n">
        <x:v>0</x:v>
      </x:c>
      <x:c r="K2541" s="35" t="str">
        <x:v>LN001 scheduled payment</x:v>
      </x:c>
    </x:row>
    <x:row r="2542">
      <x:c r="A2542" s="20" t="str">
        <x:v>FIN-01227</x:v>
      </x:c>
      <x:c r="B2542" s="32" t="n">
        <x:v>2</x:v>
      </x:c>
      <x:c r="C2542" s="23" t="n">
        <x:v>46527</x:v>
      </x:c>
      <x:c r="D2542" s="23" t="n">
        <x:v>46527</x:v>
      </x:c>
      <x:c r="E2542" s="20" t="str">
        <x:v>P001</x:v>
      </x:c>
      <x:c r="F2542" s="20" t="str"/>
      <x:c r="G2542" s="20" t="str"/>
      <x:c r="H2542" s="20" t="str">
        <x:v>5040 Mortgage Interest</x:v>
      </x:c>
      <x:c r="I2542" s="26" t="n">
        <x:v>591</x:v>
      </x:c>
      <x:c r="J2542" s="26" t="n">
        <x:v>0</x:v>
      </x:c>
      <x:c r="K2542" s="35" t="str">
        <x:v>LN001 scheduled payment</x:v>
      </x:c>
    </x:row>
    <x:row r="2543">
      <x:c r="A2543" s="20" t="str">
        <x:v>FIN-01227</x:v>
      </x:c>
      <x:c r="B2543" s="32" t="n">
        <x:v>3</x:v>
      </x:c>
      <x:c r="C2543" s="23" t="n">
        <x:v>46527</x:v>
      </x:c>
      <x:c r="D2543" s="23" t="n">
        <x:v>46527</x:v>
      </x:c>
      <x:c r="E2543" s="20" t="str">
        <x:v>P001</x:v>
      </x:c>
      <x:c r="F2543" s="20" t="str"/>
      <x:c r="G2543" s="20" t="str"/>
      <x:c r="H2543" s="20" t="str">
        <x:v>1000 Operating Cash</x:v>
      </x:c>
      <x:c r="I2543" s="26" t="n">
        <x:v>0</x:v>
      </x:c>
      <x:c r="J2543" s="26" t="n">
        <x:v>1022</x:v>
      </x:c>
      <x:c r="K2543" s="35" t="str">
        <x:v>LN001 scheduled payment</x:v>
      </x:c>
    </x:row>
    <x:row r="2544">
      <x:c r="A2544" s="20" t="str">
        <x:v>FIN-01228</x:v>
      </x:c>
      <x:c r="B2544" s="32" t="n">
        <x:v>1</x:v>
      </x:c>
      <x:c r="C2544" s="23" t="n">
        <x:v>46527</x:v>
      </x:c>
      <x:c r="D2544" s="23" t="n">
        <x:v>46527</x:v>
      </x:c>
      <x:c r="E2544" s="20" t="str">
        <x:v>P002</x:v>
      </x:c>
      <x:c r="F2544" s="20" t="str"/>
      <x:c r="G2544" s="20" t="str"/>
      <x:c r="H2544" s="20" t="str">
        <x:v>2200 Mortgage Loans Payable</x:v>
      </x:c>
      <x:c r="I2544" s="26" t="n">
        <x:v>442</x:v>
      </x:c>
      <x:c r="J2544" s="26" t="n">
        <x:v>0</x:v>
      </x:c>
      <x:c r="K2544" s="35" t="str">
        <x:v>LN002 scheduled payment</x:v>
      </x:c>
    </x:row>
    <x:row r="2545">
      <x:c r="A2545" s="20" t="str">
        <x:v>FIN-01228</x:v>
      </x:c>
      <x:c r="B2545" s="32" t="n">
        <x:v>2</x:v>
      </x:c>
      <x:c r="C2545" s="23" t="n">
        <x:v>46527</x:v>
      </x:c>
      <x:c r="D2545" s="23" t="n">
        <x:v>46527</x:v>
      </x:c>
      <x:c r="E2545" s="20" t="str">
        <x:v>P002</x:v>
      </x:c>
      <x:c r="F2545" s="20" t="str"/>
      <x:c r="G2545" s="20" t="str"/>
      <x:c r="H2545" s="20" t="str">
        <x:v>5040 Mortgage Interest</x:v>
      </x:c>
      <x:c r="I2545" s="26" t="n">
        <x:v>604</x:v>
      </x:c>
      <x:c r="J2545" s="26" t="n">
        <x:v>0</x:v>
      </x:c>
      <x:c r="K2545" s="35" t="str">
        <x:v>LN002 scheduled payment</x:v>
      </x:c>
    </x:row>
    <x:row r="2546">
      <x:c r="A2546" s="20" t="str">
        <x:v>FIN-01228</x:v>
      </x:c>
      <x:c r="B2546" s="32" t="n">
        <x:v>3</x:v>
      </x:c>
      <x:c r="C2546" s="23" t="n">
        <x:v>46527</x:v>
      </x:c>
      <x:c r="D2546" s="23" t="n">
        <x:v>46527</x:v>
      </x:c>
      <x:c r="E2546" s="20" t="str">
        <x:v>P002</x:v>
      </x:c>
      <x:c r="F2546" s="20" t="str"/>
      <x:c r="G2546" s="20" t="str"/>
      <x:c r="H2546" s="20" t="str">
        <x:v>1000 Operating Cash</x:v>
      </x:c>
      <x:c r="I2546" s="26" t="n">
        <x:v>0</x:v>
      </x:c>
      <x:c r="J2546" s="26" t="n">
        <x:v>1046</x:v>
      </x:c>
      <x:c r="K2546" s="35" t="str">
        <x:v>LN002 scheduled payment</x:v>
      </x:c>
    </x:row>
    <x:row r="2547">
      <x:c r="A2547" s="20" t="str">
        <x:v>FIN-01229</x:v>
      </x:c>
      <x:c r="B2547" s="32" t="n">
        <x:v>1</x:v>
      </x:c>
      <x:c r="C2547" s="23" t="n">
        <x:v>46527</x:v>
      </x:c>
      <x:c r="D2547" s="23" t="n">
        <x:v>46527</x:v>
      </x:c>
      <x:c r="E2547" s="20" t="str">
        <x:v>P004</x:v>
      </x:c>
      <x:c r="F2547" s="20" t="str"/>
      <x:c r="G2547" s="20" t="str"/>
      <x:c r="H2547" s="20" t="str">
        <x:v>2200 Mortgage Loans Payable</x:v>
      </x:c>
      <x:c r="I2547" s="26" t="n">
        <x:v>464</x:v>
      </x:c>
      <x:c r="J2547" s="26" t="n">
        <x:v>0</x:v>
      </x:c>
      <x:c r="K2547" s="35" t="str">
        <x:v>LN004 scheduled payment</x:v>
      </x:c>
    </x:row>
    <x:row r="2548">
      <x:c r="A2548" s="20" t="str">
        <x:v>FIN-01229</x:v>
      </x:c>
      <x:c r="B2548" s="32" t="n">
        <x:v>2</x:v>
      </x:c>
      <x:c r="C2548" s="23" t="n">
        <x:v>46527</x:v>
      </x:c>
      <x:c r="D2548" s="23" t="n">
        <x:v>46527</x:v>
      </x:c>
      <x:c r="E2548" s="20" t="str">
        <x:v>P004</x:v>
      </x:c>
      <x:c r="F2548" s="20" t="str"/>
      <x:c r="G2548" s="20" t="str"/>
      <x:c r="H2548" s="20" t="str">
        <x:v>5040 Mortgage Interest</x:v>
      </x:c>
      <x:c r="I2548" s="26" t="n">
        <x:v>630</x:v>
      </x:c>
      <x:c r="J2548" s="26" t="n">
        <x:v>0</x:v>
      </x:c>
      <x:c r="K2548" s="35" t="str">
        <x:v>LN004 scheduled payment</x:v>
      </x:c>
    </x:row>
    <x:row r="2549">
      <x:c r="A2549" s="20" t="str">
        <x:v>FIN-01229</x:v>
      </x:c>
      <x:c r="B2549" s="32" t="n">
        <x:v>3</x:v>
      </x:c>
      <x:c r="C2549" s="23" t="n">
        <x:v>46527</x:v>
      </x:c>
      <x:c r="D2549" s="23" t="n">
        <x:v>46527</x:v>
      </x:c>
      <x:c r="E2549" s="20" t="str">
        <x:v>P004</x:v>
      </x:c>
      <x:c r="F2549" s="20" t="str"/>
      <x:c r="G2549" s="20" t="str"/>
      <x:c r="H2549" s="20" t="str">
        <x:v>1000 Operating Cash</x:v>
      </x:c>
      <x:c r="I2549" s="26" t="n">
        <x:v>0</x:v>
      </x:c>
      <x:c r="J2549" s="26" t="n">
        <x:v>1094</x:v>
      </x:c>
      <x:c r="K2549" s="35" t="str">
        <x:v>LN004 scheduled payment</x:v>
      </x:c>
    </x:row>
    <x:row r="2550">
      <x:c r="A2550" s="20" t="str">
        <x:v>FIN-01230</x:v>
      </x:c>
      <x:c r="B2550" s="32" t="n">
        <x:v>1</x:v>
      </x:c>
      <x:c r="C2550" s="23" t="n">
        <x:v>46527</x:v>
      </x:c>
      <x:c r="D2550" s="23" t="n">
        <x:v>46527</x:v>
      </x:c>
      <x:c r="E2550" s="20" t="str">
        <x:v>P005</x:v>
      </x:c>
      <x:c r="F2550" s="20" t="str"/>
      <x:c r="G2550" s="20" t="str"/>
      <x:c r="H2550" s="20" t="str">
        <x:v>2200 Mortgage Loans Payable</x:v>
      </x:c>
      <x:c r="I2550" s="26" t="n">
        <x:v>475</x:v>
      </x:c>
      <x:c r="J2550" s="26" t="n">
        <x:v>0</x:v>
      </x:c>
      <x:c r="K2550" s="35" t="str">
        <x:v>LN005 scheduled payment</x:v>
      </x:c>
    </x:row>
    <x:row r="2551">
      <x:c r="A2551" s="20" t="str">
        <x:v>FIN-01230</x:v>
      </x:c>
      <x:c r="B2551" s="32" t="n">
        <x:v>2</x:v>
      </x:c>
      <x:c r="C2551" s="23" t="n">
        <x:v>46527</x:v>
      </x:c>
      <x:c r="D2551" s="23" t="n">
        <x:v>46527</x:v>
      </x:c>
      <x:c r="E2551" s="20" t="str">
        <x:v>P005</x:v>
      </x:c>
      <x:c r="F2551" s="20" t="str"/>
      <x:c r="G2551" s="20" t="str"/>
      <x:c r="H2551" s="20" t="str">
        <x:v>5040 Mortgage Interest</x:v>
      </x:c>
      <x:c r="I2551" s="26" t="n">
        <x:v>643</x:v>
      </x:c>
      <x:c r="J2551" s="26" t="n">
        <x:v>0</x:v>
      </x:c>
      <x:c r="K2551" s="35" t="str">
        <x:v>LN005 scheduled payment</x:v>
      </x:c>
    </x:row>
    <x:row r="2552">
      <x:c r="A2552" s="20" t="str">
        <x:v>FIN-01230</x:v>
      </x:c>
      <x:c r="B2552" s="32" t="n">
        <x:v>3</x:v>
      </x:c>
      <x:c r="C2552" s="23" t="n">
        <x:v>46527</x:v>
      </x:c>
      <x:c r="D2552" s="23" t="n">
        <x:v>46527</x:v>
      </x:c>
      <x:c r="E2552" s="20" t="str">
        <x:v>P005</x:v>
      </x:c>
      <x:c r="F2552" s="20" t="str"/>
      <x:c r="G2552" s="20" t="str"/>
      <x:c r="H2552" s="20" t="str">
        <x:v>1000 Operating Cash</x:v>
      </x:c>
      <x:c r="I2552" s="26" t="n">
        <x:v>0</x:v>
      </x:c>
      <x:c r="J2552" s="26" t="n">
        <x:v>1118</x:v>
      </x:c>
      <x:c r="K2552" s="35" t="str">
        <x:v>LN005 scheduled payment</x:v>
      </x:c>
    </x:row>
    <x:row r="2553">
      <x:c r="A2553" s="20" t="str">
        <x:v>FIN-01231</x:v>
      </x:c>
      <x:c r="B2553" s="32" t="n">
        <x:v>1</x:v>
      </x:c>
      <x:c r="C2553" s="23" t="n">
        <x:v>46527</x:v>
      </x:c>
      <x:c r="D2553" s="23" t="n">
        <x:v>46527</x:v>
      </x:c>
      <x:c r="E2553" s="20" t="str">
        <x:v>P007</x:v>
      </x:c>
      <x:c r="F2553" s="20" t="str"/>
      <x:c r="G2553" s="20" t="str"/>
      <x:c r="H2553" s="20" t="str">
        <x:v>2200 Mortgage Loans Payable</x:v>
      </x:c>
      <x:c r="I2553" s="26" t="n">
        <x:v>497</x:v>
      </x:c>
      <x:c r="J2553" s="26" t="n">
        <x:v>0</x:v>
      </x:c>
      <x:c r="K2553" s="35" t="str">
        <x:v>LN007 scheduled payment</x:v>
      </x:c>
    </x:row>
    <x:row r="2554">
      <x:c r="A2554" s="20" t="str">
        <x:v>FIN-01231</x:v>
      </x:c>
      <x:c r="B2554" s="32" t="n">
        <x:v>2</x:v>
      </x:c>
      <x:c r="C2554" s="23" t="n">
        <x:v>46527</x:v>
      </x:c>
      <x:c r="D2554" s="23" t="n">
        <x:v>46527</x:v>
      </x:c>
      <x:c r="E2554" s="20" t="str">
        <x:v>P007</x:v>
      </x:c>
      <x:c r="F2554" s="20" t="str"/>
      <x:c r="G2554" s="20" t="str"/>
      <x:c r="H2554" s="20" t="str">
        <x:v>5040 Mortgage Interest</x:v>
      </x:c>
      <x:c r="I2554" s="26" t="n">
        <x:v>669</x:v>
      </x:c>
      <x:c r="J2554" s="26" t="n">
        <x:v>0</x:v>
      </x:c>
      <x:c r="K2554" s="35" t="str">
        <x:v>LN007 scheduled payment</x:v>
      </x:c>
    </x:row>
    <x:row r="2555">
      <x:c r="A2555" s="20" t="str">
        <x:v>FIN-01231</x:v>
      </x:c>
      <x:c r="B2555" s="32" t="n">
        <x:v>3</x:v>
      </x:c>
      <x:c r="C2555" s="23" t="n">
        <x:v>46527</x:v>
      </x:c>
      <x:c r="D2555" s="23" t="n">
        <x:v>46527</x:v>
      </x:c>
      <x:c r="E2555" s="20" t="str">
        <x:v>P007</x:v>
      </x:c>
      <x:c r="F2555" s="20" t="str"/>
      <x:c r="G2555" s="20" t="str"/>
      <x:c r="H2555" s="20" t="str">
        <x:v>1000 Operating Cash</x:v>
      </x:c>
      <x:c r="I2555" s="26" t="n">
        <x:v>0</x:v>
      </x:c>
      <x:c r="J2555" s="26" t="n">
        <x:v>1166</x:v>
      </x:c>
      <x:c r="K2555" s="35" t="str">
        <x:v>LN007 scheduled payment</x:v>
      </x:c>
    </x:row>
    <x:row r="2556">
      <x:c r="A2556" s="20" t="str">
        <x:v>FIN-01232</x:v>
      </x:c>
      <x:c r="B2556" s="32" t="n">
        <x:v>1</x:v>
      </x:c>
      <x:c r="C2556" s="23" t="n">
        <x:v>46527</x:v>
      </x:c>
      <x:c r="D2556" s="23" t="n">
        <x:v>46527</x:v>
      </x:c>
      <x:c r="E2556" s="20" t="str">
        <x:v>P008</x:v>
      </x:c>
      <x:c r="F2556" s="20" t="str"/>
      <x:c r="G2556" s="20" t="str"/>
      <x:c r="H2556" s="20" t="str">
        <x:v>2200 Mortgage Loans Payable</x:v>
      </x:c>
      <x:c r="I2556" s="26" t="n">
        <x:v>508</x:v>
      </x:c>
      <x:c r="J2556" s="26" t="n">
        <x:v>0</x:v>
      </x:c>
      <x:c r="K2556" s="35" t="str">
        <x:v>LN008 scheduled payment</x:v>
      </x:c>
    </x:row>
    <x:row r="2557">
      <x:c r="A2557" s="20" t="str">
        <x:v>FIN-01232</x:v>
      </x:c>
      <x:c r="B2557" s="32" t="n">
        <x:v>2</x:v>
      </x:c>
      <x:c r="C2557" s="23" t="n">
        <x:v>46527</x:v>
      </x:c>
      <x:c r="D2557" s="23" t="n">
        <x:v>46527</x:v>
      </x:c>
      <x:c r="E2557" s="20" t="str">
        <x:v>P008</x:v>
      </x:c>
      <x:c r="F2557" s="20" t="str"/>
      <x:c r="G2557" s="20" t="str"/>
      <x:c r="H2557" s="20" t="str">
        <x:v>5040 Mortgage Interest</x:v>
      </x:c>
      <x:c r="I2557" s="26" t="n">
        <x:v>682</x:v>
      </x:c>
      <x:c r="J2557" s="26" t="n">
        <x:v>0</x:v>
      </x:c>
      <x:c r="K2557" s="35" t="str">
        <x:v>LN008 scheduled payment</x:v>
      </x:c>
    </x:row>
    <x:row r="2558">
      <x:c r="A2558" s="20" t="str">
        <x:v>FIN-01232</x:v>
      </x:c>
      <x:c r="B2558" s="32" t="n">
        <x:v>3</x:v>
      </x:c>
      <x:c r="C2558" s="23" t="n">
        <x:v>46527</x:v>
      </x:c>
      <x:c r="D2558" s="23" t="n">
        <x:v>46527</x:v>
      </x:c>
      <x:c r="E2558" s="20" t="str">
        <x:v>P008</x:v>
      </x:c>
      <x:c r="F2558" s="20" t="str"/>
      <x:c r="G2558" s="20" t="str"/>
      <x:c r="H2558" s="20" t="str">
        <x:v>1000 Operating Cash</x:v>
      </x:c>
      <x:c r="I2558" s="26" t="n">
        <x:v>0</x:v>
      </x:c>
      <x:c r="J2558" s="26" t="n">
        <x:v>1190</x:v>
      </x:c>
      <x:c r="K2558" s="35" t="str">
        <x:v>LN008 scheduled payment</x:v>
      </x:c>
    </x:row>
    <x:row r="2559">
      <x:c r="A2559" s="20" t="str">
        <x:v>FIN-01233</x:v>
      </x:c>
      <x:c r="B2559" s="32" t="n">
        <x:v>1</x:v>
      </x:c>
      <x:c r="C2559" s="23" t="n">
        <x:v>46527</x:v>
      </x:c>
      <x:c r="D2559" s="23" t="n">
        <x:v>46527</x:v>
      </x:c>
      <x:c r="E2559" s="20" t="str">
        <x:v>P010</x:v>
      </x:c>
      <x:c r="F2559" s="20" t="str"/>
      <x:c r="G2559" s="20" t="str"/>
      <x:c r="H2559" s="20" t="str">
        <x:v>2200 Mortgage Loans Payable</x:v>
      </x:c>
      <x:c r="I2559" s="26" t="n">
        <x:v>530</x:v>
      </x:c>
      <x:c r="J2559" s="26" t="n">
        <x:v>0</x:v>
      </x:c>
      <x:c r="K2559" s="35" t="str">
        <x:v>LN010 scheduled payment</x:v>
      </x:c>
    </x:row>
    <x:row r="2560">
      <x:c r="A2560" s="20" t="str">
        <x:v>FIN-01233</x:v>
      </x:c>
      <x:c r="B2560" s="32" t="n">
        <x:v>2</x:v>
      </x:c>
      <x:c r="C2560" s="23" t="n">
        <x:v>46527</x:v>
      </x:c>
      <x:c r="D2560" s="23" t="n">
        <x:v>46527</x:v>
      </x:c>
      <x:c r="E2560" s="20" t="str">
        <x:v>P010</x:v>
      </x:c>
      <x:c r="F2560" s="20" t="str"/>
      <x:c r="G2560" s="20" t="str"/>
      <x:c r="H2560" s="20" t="str">
        <x:v>5040 Mortgage Interest</x:v>
      </x:c>
      <x:c r="I2560" s="26" t="n">
        <x:v>708</x:v>
      </x:c>
      <x:c r="J2560" s="26" t="n">
        <x:v>0</x:v>
      </x:c>
      <x:c r="K2560" s="35" t="str">
        <x:v>LN010 scheduled payment</x:v>
      </x:c>
    </x:row>
    <x:row r="2561">
      <x:c r="A2561" s="20" t="str">
        <x:v>FIN-01233</x:v>
      </x:c>
      <x:c r="B2561" s="32" t="n">
        <x:v>3</x:v>
      </x:c>
      <x:c r="C2561" s="23" t="n">
        <x:v>46527</x:v>
      </x:c>
      <x:c r="D2561" s="23" t="n">
        <x:v>46527</x:v>
      </x:c>
      <x:c r="E2561" s="20" t="str">
        <x:v>P010</x:v>
      </x:c>
      <x:c r="F2561" s="20" t="str"/>
      <x:c r="G2561" s="20" t="str"/>
      <x:c r="H2561" s="20" t="str">
        <x:v>1000 Operating Cash</x:v>
      </x:c>
      <x:c r="I2561" s="26" t="n">
        <x:v>0</x:v>
      </x:c>
      <x:c r="J2561" s="26" t="n">
        <x:v>1238</x:v>
      </x:c>
      <x:c r="K2561" s="35" t="str">
        <x:v>LN010 scheduled payment</x:v>
      </x:c>
    </x:row>
    <x:row r="2562">
      <x:c r="A2562" s="20" t="str">
        <x:v>FIN-01234</x:v>
      </x:c>
      <x:c r="B2562" s="32" t="n">
        <x:v>1</x:v>
      </x:c>
      <x:c r="C2562" s="23" t="n">
        <x:v>46527</x:v>
      </x:c>
      <x:c r="D2562" s="23" t="n">
        <x:v>46527</x:v>
      </x:c>
      <x:c r="E2562" s="20" t="str">
        <x:v>P011</x:v>
      </x:c>
      <x:c r="F2562" s="20" t="str"/>
      <x:c r="G2562" s="20" t="str"/>
      <x:c r="H2562" s="20" t="str">
        <x:v>2200 Mortgage Loans Payable</x:v>
      </x:c>
      <x:c r="I2562" s="26" t="n">
        <x:v>541</x:v>
      </x:c>
      <x:c r="J2562" s="26" t="n">
        <x:v>0</x:v>
      </x:c>
      <x:c r="K2562" s="35" t="str">
        <x:v>LN011 scheduled payment</x:v>
      </x:c>
    </x:row>
    <x:row r="2563">
      <x:c r="A2563" s="20" t="str">
        <x:v>FIN-01234</x:v>
      </x:c>
      <x:c r="B2563" s="32" t="n">
        <x:v>2</x:v>
      </x:c>
      <x:c r="C2563" s="23" t="n">
        <x:v>46527</x:v>
      </x:c>
      <x:c r="D2563" s="23" t="n">
        <x:v>46527</x:v>
      </x:c>
      <x:c r="E2563" s="20" t="str">
        <x:v>P011</x:v>
      </x:c>
      <x:c r="F2563" s="20" t="str"/>
      <x:c r="G2563" s="20" t="str"/>
      <x:c r="H2563" s="20" t="str">
        <x:v>5040 Mortgage Interest</x:v>
      </x:c>
      <x:c r="I2563" s="26" t="n">
        <x:v>721</x:v>
      </x:c>
      <x:c r="J2563" s="26" t="n">
        <x:v>0</x:v>
      </x:c>
      <x:c r="K2563" s="35" t="str">
        <x:v>LN011 scheduled payment</x:v>
      </x:c>
    </x:row>
    <x:row r="2564">
      <x:c r="A2564" s="20" t="str">
        <x:v>FIN-01234</x:v>
      </x:c>
      <x:c r="B2564" s="32" t="n">
        <x:v>3</x:v>
      </x:c>
      <x:c r="C2564" s="23" t="n">
        <x:v>46527</x:v>
      </x:c>
      <x:c r="D2564" s="23" t="n">
        <x:v>46527</x:v>
      </x:c>
      <x:c r="E2564" s="20" t="str">
        <x:v>P011</x:v>
      </x:c>
      <x:c r="F2564" s="20" t="str"/>
      <x:c r="G2564" s="20" t="str"/>
      <x:c r="H2564" s="20" t="str">
        <x:v>1000 Operating Cash</x:v>
      </x:c>
      <x:c r="I2564" s="26" t="n">
        <x:v>0</x:v>
      </x:c>
      <x:c r="J2564" s="26" t="n">
        <x:v>1262</x:v>
      </x:c>
      <x:c r="K2564" s="35" t="str">
        <x:v>LN011 scheduled payment</x:v>
      </x:c>
    </x:row>
    <x:row r="2565">
      <x:c r="A2565" s="20" t="str">
        <x:v>FIN-01235</x:v>
      </x:c>
      <x:c r="B2565" s="32" t="n">
        <x:v>1</x:v>
      </x:c>
      <x:c r="C2565" s="23" t="n">
        <x:v>46527</x:v>
      </x:c>
      <x:c r="D2565" s="23" t="n">
        <x:v>46527</x:v>
      </x:c>
      <x:c r="E2565" s="20" t="str">
        <x:v>P013</x:v>
      </x:c>
      <x:c r="F2565" s="20" t="str"/>
      <x:c r="G2565" s="20" t="str"/>
      <x:c r="H2565" s="20" t="str">
        <x:v>2200 Mortgage Loans Payable</x:v>
      </x:c>
      <x:c r="I2565" s="26" t="n">
        <x:v>563</x:v>
      </x:c>
      <x:c r="J2565" s="26" t="n">
        <x:v>0</x:v>
      </x:c>
      <x:c r="K2565" s="35" t="str">
        <x:v>LN013 scheduled payment</x:v>
      </x:c>
    </x:row>
    <x:row r="2566">
      <x:c r="A2566" s="20" t="str">
        <x:v>FIN-01235</x:v>
      </x:c>
      <x:c r="B2566" s="32" t="n">
        <x:v>2</x:v>
      </x:c>
      <x:c r="C2566" s="23" t="n">
        <x:v>46527</x:v>
      </x:c>
      <x:c r="D2566" s="23" t="n">
        <x:v>46527</x:v>
      </x:c>
      <x:c r="E2566" s="20" t="str">
        <x:v>P013</x:v>
      </x:c>
      <x:c r="F2566" s="20" t="str"/>
      <x:c r="G2566" s="20" t="str"/>
      <x:c r="H2566" s="20" t="str">
        <x:v>5040 Mortgage Interest</x:v>
      </x:c>
      <x:c r="I2566" s="26" t="n">
        <x:v>747</x:v>
      </x:c>
      <x:c r="J2566" s="26" t="n">
        <x:v>0</x:v>
      </x:c>
      <x:c r="K2566" s="35" t="str">
        <x:v>LN013 scheduled payment</x:v>
      </x:c>
    </x:row>
    <x:row r="2567">
      <x:c r="A2567" s="20" t="str">
        <x:v>FIN-01235</x:v>
      </x:c>
      <x:c r="B2567" s="32" t="n">
        <x:v>3</x:v>
      </x:c>
      <x:c r="C2567" s="23" t="n">
        <x:v>46527</x:v>
      </x:c>
      <x:c r="D2567" s="23" t="n">
        <x:v>46527</x:v>
      </x:c>
      <x:c r="E2567" s="20" t="str">
        <x:v>P013</x:v>
      </x:c>
      <x:c r="F2567" s="20" t="str"/>
      <x:c r="G2567" s="20" t="str"/>
      <x:c r="H2567" s="20" t="str">
        <x:v>1000 Operating Cash</x:v>
      </x:c>
      <x:c r="I2567" s="26" t="n">
        <x:v>0</x:v>
      </x:c>
      <x:c r="J2567" s="26" t="n">
        <x:v>1310</x:v>
      </x:c>
      <x:c r="K2567" s="35" t="str">
        <x:v>LN013 scheduled payment</x:v>
      </x:c>
    </x:row>
    <x:row r="2568">
      <x:c r="A2568" s="20" t="str">
        <x:v>FIN-01236</x:v>
      </x:c>
      <x:c r="B2568" s="32" t="n">
        <x:v>1</x:v>
      </x:c>
      <x:c r="C2568" s="23" t="n">
        <x:v>46527</x:v>
      </x:c>
      <x:c r="D2568" s="23" t="n">
        <x:v>46527</x:v>
      </x:c>
      <x:c r="E2568" s="20" t="str">
        <x:v>P014</x:v>
      </x:c>
      <x:c r="F2568" s="20" t="str"/>
      <x:c r="G2568" s="20" t="str"/>
      <x:c r="H2568" s="20" t="str">
        <x:v>2200 Mortgage Loans Payable</x:v>
      </x:c>
      <x:c r="I2568" s="26" t="n">
        <x:v>574</x:v>
      </x:c>
      <x:c r="J2568" s="26" t="n">
        <x:v>0</x:v>
      </x:c>
      <x:c r="K2568" s="35" t="str">
        <x:v>LN014 scheduled payment</x:v>
      </x:c>
    </x:row>
    <x:row r="2569">
      <x:c r="A2569" s="20" t="str">
        <x:v>FIN-01236</x:v>
      </x:c>
      <x:c r="B2569" s="32" t="n">
        <x:v>2</x:v>
      </x:c>
      <x:c r="C2569" s="23" t="n">
        <x:v>46527</x:v>
      </x:c>
      <x:c r="D2569" s="23" t="n">
        <x:v>46527</x:v>
      </x:c>
      <x:c r="E2569" s="20" t="str">
        <x:v>P014</x:v>
      </x:c>
      <x:c r="F2569" s="20" t="str"/>
      <x:c r="G2569" s="20" t="str"/>
      <x:c r="H2569" s="20" t="str">
        <x:v>5040 Mortgage Interest</x:v>
      </x:c>
      <x:c r="I2569" s="26" t="n">
        <x:v>760</x:v>
      </x:c>
      <x:c r="J2569" s="26" t="n">
        <x:v>0</x:v>
      </x:c>
      <x:c r="K2569" s="35" t="str">
        <x:v>LN014 scheduled payment</x:v>
      </x:c>
    </x:row>
    <x:row r="2570">
      <x:c r="A2570" s="20" t="str">
        <x:v>FIN-01236</x:v>
      </x:c>
      <x:c r="B2570" s="32" t="n">
        <x:v>3</x:v>
      </x:c>
      <x:c r="C2570" s="23" t="n">
        <x:v>46527</x:v>
      </x:c>
      <x:c r="D2570" s="23" t="n">
        <x:v>46527</x:v>
      </x:c>
      <x:c r="E2570" s="20" t="str">
        <x:v>P014</x:v>
      </x:c>
      <x:c r="F2570" s="20" t="str"/>
      <x:c r="G2570" s="20" t="str"/>
      <x:c r="H2570" s="20" t="str">
        <x:v>1000 Operating Cash</x:v>
      </x:c>
      <x:c r="I2570" s="26" t="n">
        <x:v>0</x:v>
      </x:c>
      <x:c r="J2570" s="26" t="n">
        <x:v>1334</x:v>
      </x:c>
      <x:c r="K2570" s="35" t="str">
        <x:v>LN014 scheduled payment</x:v>
      </x:c>
    </x:row>
    <x:row r="2571">
      <x:c r="A2571" s="20" t="str">
        <x:v>FIN-01237</x:v>
      </x:c>
      <x:c r="B2571" s="32" t="n">
        <x:v>1</x:v>
      </x:c>
      <x:c r="C2571" s="23" t="n">
        <x:v>46527</x:v>
      </x:c>
      <x:c r="D2571" s="23" t="n">
        <x:v>46527</x:v>
      </x:c>
      <x:c r="E2571" s="20" t="str">
        <x:v>P016</x:v>
      </x:c>
      <x:c r="F2571" s="20" t="str"/>
      <x:c r="G2571" s="20" t="str"/>
      <x:c r="H2571" s="20" t="str">
        <x:v>2200 Mortgage Loans Payable</x:v>
      </x:c>
      <x:c r="I2571" s="26" t="n">
        <x:v>596</x:v>
      </x:c>
      <x:c r="J2571" s="26" t="n">
        <x:v>0</x:v>
      </x:c>
      <x:c r="K2571" s="35" t="str">
        <x:v>LN016 scheduled payment</x:v>
      </x:c>
    </x:row>
    <x:row r="2572">
      <x:c r="A2572" s="20" t="str">
        <x:v>FIN-01237</x:v>
      </x:c>
      <x:c r="B2572" s="32" t="n">
        <x:v>2</x:v>
      </x:c>
      <x:c r="C2572" s="23" t="n">
        <x:v>46527</x:v>
      </x:c>
      <x:c r="D2572" s="23" t="n">
        <x:v>46527</x:v>
      </x:c>
      <x:c r="E2572" s="20" t="str">
        <x:v>P016</x:v>
      </x:c>
      <x:c r="F2572" s="20" t="str"/>
      <x:c r="G2572" s="20" t="str"/>
      <x:c r="H2572" s="20" t="str">
        <x:v>5040 Mortgage Interest</x:v>
      </x:c>
      <x:c r="I2572" s="26" t="n">
        <x:v>786</x:v>
      </x:c>
      <x:c r="J2572" s="26" t="n">
        <x:v>0</x:v>
      </x:c>
      <x:c r="K2572" s="35" t="str">
        <x:v>LN016 scheduled payment</x:v>
      </x:c>
    </x:row>
    <x:row r="2573">
      <x:c r="A2573" s="20" t="str">
        <x:v>FIN-01237</x:v>
      </x:c>
      <x:c r="B2573" s="32" t="n">
        <x:v>3</x:v>
      </x:c>
      <x:c r="C2573" s="23" t="n">
        <x:v>46527</x:v>
      </x:c>
      <x:c r="D2573" s="23" t="n">
        <x:v>46527</x:v>
      </x:c>
      <x:c r="E2573" s="20" t="str">
        <x:v>P016</x:v>
      </x:c>
      <x:c r="F2573" s="20" t="str"/>
      <x:c r="G2573" s="20" t="str"/>
      <x:c r="H2573" s="20" t="str">
        <x:v>1000 Operating Cash</x:v>
      </x:c>
      <x:c r="I2573" s="26" t="n">
        <x:v>0</x:v>
      </x:c>
      <x:c r="J2573" s="26" t="n">
        <x:v>1382</x:v>
      </x:c>
      <x:c r="K2573" s="35" t="str">
        <x:v>LN016 scheduled payment</x:v>
      </x:c>
    </x:row>
    <x:row r="2574">
      <x:c r="A2574" s="20" t="str">
        <x:v>FIN-01238</x:v>
      </x:c>
      <x:c r="B2574" s="32" t="n">
        <x:v>1</x:v>
      </x:c>
      <x:c r="C2574" s="23" t="n">
        <x:v>46527</x:v>
      </x:c>
      <x:c r="D2574" s="23" t="n">
        <x:v>46527</x:v>
      </x:c>
      <x:c r="E2574" s="20" t="str">
        <x:v>P017</x:v>
      </x:c>
      <x:c r="F2574" s="20" t="str"/>
      <x:c r="G2574" s="20" t="str"/>
      <x:c r="H2574" s="20" t="str">
        <x:v>2200 Mortgage Loans Payable</x:v>
      </x:c>
      <x:c r="I2574" s="26" t="n">
        <x:v>607</x:v>
      </x:c>
      <x:c r="J2574" s="26" t="n">
        <x:v>0</x:v>
      </x:c>
      <x:c r="K2574" s="35" t="str">
        <x:v>LN017 scheduled payment</x:v>
      </x:c>
    </x:row>
    <x:row r="2575">
      <x:c r="A2575" s="20" t="str">
        <x:v>FIN-01238</x:v>
      </x:c>
      <x:c r="B2575" s="32" t="n">
        <x:v>2</x:v>
      </x:c>
      <x:c r="C2575" s="23" t="n">
        <x:v>46527</x:v>
      </x:c>
      <x:c r="D2575" s="23" t="n">
        <x:v>46527</x:v>
      </x:c>
      <x:c r="E2575" s="20" t="str">
        <x:v>P017</x:v>
      </x:c>
      <x:c r="F2575" s="20" t="str"/>
      <x:c r="G2575" s="20" t="str"/>
      <x:c r="H2575" s="20" t="str">
        <x:v>5040 Mortgage Interest</x:v>
      </x:c>
      <x:c r="I2575" s="26" t="n">
        <x:v>799</x:v>
      </x:c>
      <x:c r="J2575" s="26" t="n">
        <x:v>0</x:v>
      </x:c>
      <x:c r="K2575" s="35" t="str">
        <x:v>LN017 scheduled payment</x:v>
      </x:c>
    </x:row>
    <x:row r="2576">
      <x:c r="A2576" s="20" t="str">
        <x:v>FIN-01238</x:v>
      </x:c>
      <x:c r="B2576" s="32" t="n">
        <x:v>3</x:v>
      </x:c>
      <x:c r="C2576" s="23" t="n">
        <x:v>46527</x:v>
      </x:c>
      <x:c r="D2576" s="23" t="n">
        <x:v>46527</x:v>
      </x:c>
      <x:c r="E2576" s="20" t="str">
        <x:v>P017</x:v>
      </x:c>
      <x:c r="F2576" s="20" t="str"/>
      <x:c r="G2576" s="20" t="str"/>
      <x:c r="H2576" s="20" t="str">
        <x:v>1000 Operating Cash</x:v>
      </x:c>
      <x:c r="I2576" s="26" t="n">
        <x:v>0</x:v>
      </x:c>
      <x:c r="J2576" s="26" t="n">
        <x:v>1406</x:v>
      </x:c>
      <x:c r="K2576" s="35" t="str">
        <x:v>LN017 scheduled payment</x:v>
      </x:c>
    </x:row>
    <x:row r="2577">
      <x:c r="A2577" s="20" t="str">
        <x:v>FIN-01239</x:v>
      </x:c>
      <x:c r="B2577" s="32" t="n">
        <x:v>1</x:v>
      </x:c>
      <x:c r="C2577" s="23" t="n">
        <x:v>46527</x:v>
      </x:c>
      <x:c r="D2577" s="23" t="n">
        <x:v>46527</x:v>
      </x:c>
      <x:c r="E2577" s="20" t="str">
        <x:v>P019</x:v>
      </x:c>
      <x:c r="F2577" s="20" t="str"/>
      <x:c r="G2577" s="20" t="str"/>
      <x:c r="H2577" s="20" t="str">
        <x:v>2200 Mortgage Loans Payable</x:v>
      </x:c>
      <x:c r="I2577" s="26" t="n">
        <x:v>629</x:v>
      </x:c>
      <x:c r="J2577" s="26" t="n">
        <x:v>0</x:v>
      </x:c>
      <x:c r="K2577" s="35" t="str">
        <x:v>LN019 scheduled payment</x:v>
      </x:c>
    </x:row>
    <x:row r="2578">
      <x:c r="A2578" s="20" t="str">
        <x:v>FIN-01239</x:v>
      </x:c>
      <x:c r="B2578" s="32" t="n">
        <x:v>2</x:v>
      </x:c>
      <x:c r="C2578" s="23" t="n">
        <x:v>46527</x:v>
      </x:c>
      <x:c r="D2578" s="23" t="n">
        <x:v>46527</x:v>
      </x:c>
      <x:c r="E2578" s="20" t="str">
        <x:v>P019</x:v>
      </x:c>
      <x:c r="F2578" s="20" t="str"/>
      <x:c r="G2578" s="20" t="str"/>
      <x:c r="H2578" s="20" t="str">
        <x:v>5040 Mortgage Interest</x:v>
      </x:c>
      <x:c r="I2578" s="26" t="n">
        <x:v>825</x:v>
      </x:c>
      <x:c r="J2578" s="26" t="n">
        <x:v>0</x:v>
      </x:c>
      <x:c r="K2578" s="35" t="str">
        <x:v>LN019 scheduled payment</x:v>
      </x:c>
    </x:row>
    <x:row r="2579">
      <x:c r="A2579" s="20" t="str">
        <x:v>FIN-01239</x:v>
      </x:c>
      <x:c r="B2579" s="32" t="n">
        <x:v>3</x:v>
      </x:c>
      <x:c r="C2579" s="23" t="n">
        <x:v>46527</x:v>
      </x:c>
      <x:c r="D2579" s="23" t="n">
        <x:v>46527</x:v>
      </x:c>
      <x:c r="E2579" s="20" t="str">
        <x:v>P019</x:v>
      </x:c>
      <x:c r="F2579" s="20" t="str"/>
      <x:c r="G2579" s="20" t="str"/>
      <x:c r="H2579" s="20" t="str">
        <x:v>1000 Operating Cash</x:v>
      </x:c>
      <x:c r="I2579" s="26" t="n">
        <x:v>0</x:v>
      </x:c>
      <x:c r="J2579" s="26" t="n">
        <x:v>1454</x:v>
      </x:c>
      <x:c r="K2579" s="35" t="str">
        <x:v>LN019 scheduled payment</x:v>
      </x:c>
    </x:row>
    <x:row r="2580">
      <x:c r="A2580" s="20" t="str">
        <x:v>FIN-01240</x:v>
      </x:c>
      <x:c r="B2580" s="32" t="n">
        <x:v>1</x:v>
      </x:c>
      <x:c r="C2580" s="23" t="n">
        <x:v>46527</x:v>
      </x:c>
      <x:c r="D2580" s="23" t="n">
        <x:v>46527</x:v>
      </x:c>
      <x:c r="E2580" s="20" t="str">
        <x:v>P020</x:v>
      </x:c>
      <x:c r="F2580" s="20" t="str"/>
      <x:c r="G2580" s="20" t="str"/>
      <x:c r="H2580" s="20" t="str">
        <x:v>2200 Mortgage Loans Payable</x:v>
      </x:c>
      <x:c r="I2580" s="26" t="n">
        <x:v>640</x:v>
      </x:c>
      <x:c r="J2580" s="26" t="n">
        <x:v>0</x:v>
      </x:c>
      <x:c r="K2580" s="35" t="str">
        <x:v>LN020 scheduled payment</x:v>
      </x:c>
    </x:row>
    <x:row r="2581">
      <x:c r="A2581" s="20" t="str">
        <x:v>FIN-01240</x:v>
      </x:c>
      <x:c r="B2581" s="32" t="n">
        <x:v>2</x:v>
      </x:c>
      <x:c r="C2581" s="23" t="n">
        <x:v>46527</x:v>
      </x:c>
      <x:c r="D2581" s="23" t="n">
        <x:v>46527</x:v>
      </x:c>
      <x:c r="E2581" s="20" t="str">
        <x:v>P020</x:v>
      </x:c>
      <x:c r="F2581" s="20" t="str"/>
      <x:c r="G2581" s="20" t="str"/>
      <x:c r="H2581" s="20" t="str">
        <x:v>5040 Mortgage Interest</x:v>
      </x:c>
      <x:c r="I2581" s="26" t="n">
        <x:v>838</x:v>
      </x:c>
      <x:c r="J2581" s="26" t="n">
        <x:v>0</x:v>
      </x:c>
      <x:c r="K2581" s="35" t="str">
        <x:v>LN020 scheduled payment</x:v>
      </x:c>
    </x:row>
    <x:row r="2582">
      <x:c r="A2582" s="20" t="str">
        <x:v>FIN-01240</x:v>
      </x:c>
      <x:c r="B2582" s="32" t="n">
        <x:v>3</x:v>
      </x:c>
      <x:c r="C2582" s="23" t="n">
        <x:v>46527</x:v>
      </x:c>
      <x:c r="D2582" s="23" t="n">
        <x:v>46527</x:v>
      </x:c>
      <x:c r="E2582" s="20" t="str">
        <x:v>P020</x:v>
      </x:c>
      <x:c r="F2582" s="20" t="str"/>
      <x:c r="G2582" s="20" t="str"/>
      <x:c r="H2582" s="20" t="str">
        <x:v>1000 Operating Cash</x:v>
      </x:c>
      <x:c r="I2582" s="26" t="n">
        <x:v>0</x:v>
      </x:c>
      <x:c r="J2582" s="26" t="n">
        <x:v>1478</x:v>
      </x:c>
      <x:c r="K2582" s="35" t="str">
        <x:v>LN020 scheduled payment</x:v>
      </x:c>
    </x:row>
    <x:row r="2583">
      <x:c r="A2583" s="20" t="str">
        <x:v>FIN-01241</x:v>
      </x:c>
      <x:c r="B2583" s="32" t="n">
        <x:v>1</x:v>
      </x:c>
      <x:c r="C2583" s="23" t="n">
        <x:v>46527</x:v>
      </x:c>
      <x:c r="D2583" s="23" t="n">
        <x:v>46527</x:v>
      </x:c>
      <x:c r="E2583" s="20" t="str">
        <x:v>P022</x:v>
      </x:c>
      <x:c r="F2583" s="20" t="str"/>
      <x:c r="G2583" s="20" t="str"/>
      <x:c r="H2583" s="20" t="str">
        <x:v>2200 Mortgage Loans Payable</x:v>
      </x:c>
      <x:c r="I2583" s="26" t="n">
        <x:v>662</x:v>
      </x:c>
      <x:c r="J2583" s="26" t="n">
        <x:v>0</x:v>
      </x:c>
      <x:c r="K2583" s="35" t="str">
        <x:v>LN022 scheduled payment</x:v>
      </x:c>
    </x:row>
    <x:row r="2584">
      <x:c r="A2584" s="20" t="str">
        <x:v>FIN-01241</x:v>
      </x:c>
      <x:c r="B2584" s="32" t="n">
        <x:v>2</x:v>
      </x:c>
      <x:c r="C2584" s="23" t="n">
        <x:v>46527</x:v>
      </x:c>
      <x:c r="D2584" s="23" t="n">
        <x:v>46527</x:v>
      </x:c>
      <x:c r="E2584" s="20" t="str">
        <x:v>P022</x:v>
      </x:c>
      <x:c r="F2584" s="20" t="str"/>
      <x:c r="G2584" s="20" t="str"/>
      <x:c r="H2584" s="20" t="str">
        <x:v>5040 Mortgage Interest</x:v>
      </x:c>
      <x:c r="I2584" s="26" t="n">
        <x:v>864</x:v>
      </x:c>
      <x:c r="J2584" s="26" t="n">
        <x:v>0</x:v>
      </x:c>
      <x:c r="K2584" s="35" t="str">
        <x:v>LN022 scheduled payment</x:v>
      </x:c>
    </x:row>
    <x:row r="2585">
      <x:c r="A2585" s="20" t="str">
        <x:v>FIN-01241</x:v>
      </x:c>
      <x:c r="B2585" s="32" t="n">
        <x:v>3</x:v>
      </x:c>
      <x:c r="C2585" s="23" t="n">
        <x:v>46527</x:v>
      </x:c>
      <x:c r="D2585" s="23" t="n">
        <x:v>46527</x:v>
      </x:c>
      <x:c r="E2585" s="20" t="str">
        <x:v>P022</x:v>
      </x:c>
      <x:c r="F2585" s="20" t="str"/>
      <x:c r="G2585" s="20" t="str"/>
      <x:c r="H2585" s="20" t="str">
        <x:v>1000 Operating Cash</x:v>
      </x:c>
      <x:c r="I2585" s="26" t="n">
        <x:v>0</x:v>
      </x:c>
      <x:c r="J2585" s="26" t="n">
        <x:v>1526</x:v>
      </x:c>
      <x:c r="K2585" s="35" t="str">
        <x:v>LN022 scheduled payment</x:v>
      </x:c>
    </x:row>
    <x:row r="2586">
      <x:c r="A2586" s="20" t="str">
        <x:v>FIN-01242</x:v>
      </x:c>
      <x:c r="B2586" s="32" t="n">
        <x:v>1</x:v>
      </x:c>
      <x:c r="C2586" s="23" t="n">
        <x:v>46527</x:v>
      </x:c>
      <x:c r="D2586" s="23" t="n">
        <x:v>46527</x:v>
      </x:c>
      <x:c r="E2586" s="20" t="str">
        <x:v>P023</x:v>
      </x:c>
      <x:c r="F2586" s="20" t="str"/>
      <x:c r="G2586" s="20" t="str"/>
      <x:c r="H2586" s="20" t="str">
        <x:v>2200 Mortgage Loans Payable</x:v>
      </x:c>
      <x:c r="I2586" s="26" t="n">
        <x:v>673</x:v>
      </x:c>
      <x:c r="J2586" s="26" t="n">
        <x:v>0</x:v>
      </x:c>
      <x:c r="K2586" s="35" t="str">
        <x:v>LN023 scheduled payment</x:v>
      </x:c>
    </x:row>
    <x:row r="2587">
      <x:c r="A2587" s="20" t="str">
        <x:v>FIN-01242</x:v>
      </x:c>
      <x:c r="B2587" s="32" t="n">
        <x:v>2</x:v>
      </x:c>
      <x:c r="C2587" s="23" t="n">
        <x:v>46527</x:v>
      </x:c>
      <x:c r="D2587" s="23" t="n">
        <x:v>46527</x:v>
      </x:c>
      <x:c r="E2587" s="20" t="str">
        <x:v>P023</x:v>
      </x:c>
      <x:c r="F2587" s="20" t="str"/>
      <x:c r="G2587" s="20" t="str"/>
      <x:c r="H2587" s="20" t="str">
        <x:v>5040 Mortgage Interest</x:v>
      </x:c>
      <x:c r="I2587" s="26" t="n">
        <x:v>877</x:v>
      </x:c>
      <x:c r="J2587" s="26" t="n">
        <x:v>0</x:v>
      </x:c>
      <x:c r="K2587" s="35" t="str">
        <x:v>LN023 scheduled payment</x:v>
      </x:c>
    </x:row>
    <x:row r="2588">
      <x:c r="A2588" s="20" t="str">
        <x:v>FIN-01242</x:v>
      </x:c>
      <x:c r="B2588" s="32" t="n">
        <x:v>3</x:v>
      </x:c>
      <x:c r="C2588" s="23" t="n">
        <x:v>46527</x:v>
      </x:c>
      <x:c r="D2588" s="23" t="n">
        <x:v>46527</x:v>
      </x:c>
      <x:c r="E2588" s="20" t="str">
        <x:v>P023</x:v>
      </x:c>
      <x:c r="F2588" s="20" t="str"/>
      <x:c r="G2588" s="20" t="str"/>
      <x:c r="H2588" s="20" t="str">
        <x:v>1000 Operating Cash</x:v>
      </x:c>
      <x:c r="I2588" s="26" t="n">
        <x:v>0</x:v>
      </x:c>
      <x:c r="J2588" s="26" t="n">
        <x:v>1550</x:v>
      </x:c>
      <x:c r="K2588" s="35" t="str">
        <x:v>LN023 scheduled payment</x:v>
      </x:c>
    </x:row>
    <x:row r="2589">
      <x:c r="A2589" s="20" t="str">
        <x:v>FIN-01243</x:v>
      </x:c>
      <x:c r="B2589" s="32" t="n">
        <x:v>1</x:v>
      </x:c>
      <x:c r="C2589" s="23" t="n">
        <x:v>46527</x:v>
      </x:c>
      <x:c r="D2589" s="23" t="n">
        <x:v>46527</x:v>
      </x:c>
      <x:c r="E2589" s="20" t="str">
        <x:v>P025</x:v>
      </x:c>
      <x:c r="F2589" s="20" t="str"/>
      <x:c r="G2589" s="20" t="str"/>
      <x:c r="H2589" s="20" t="str">
        <x:v>2200 Mortgage Loans Payable</x:v>
      </x:c>
      <x:c r="I2589" s="26" t="n">
        <x:v>695</x:v>
      </x:c>
      <x:c r="J2589" s="26" t="n">
        <x:v>0</x:v>
      </x:c>
      <x:c r="K2589" s="35" t="str">
        <x:v>LN025 scheduled payment</x:v>
      </x:c>
    </x:row>
    <x:row r="2590">
      <x:c r="A2590" s="20" t="str">
        <x:v>FIN-01243</x:v>
      </x:c>
      <x:c r="B2590" s="32" t="n">
        <x:v>2</x:v>
      </x:c>
      <x:c r="C2590" s="23" t="n">
        <x:v>46527</x:v>
      </x:c>
      <x:c r="D2590" s="23" t="n">
        <x:v>46527</x:v>
      </x:c>
      <x:c r="E2590" s="20" t="str">
        <x:v>P025</x:v>
      </x:c>
      <x:c r="F2590" s="20" t="str"/>
      <x:c r="G2590" s="20" t="str"/>
      <x:c r="H2590" s="20" t="str">
        <x:v>5040 Mortgage Interest</x:v>
      </x:c>
      <x:c r="I2590" s="26" t="n">
        <x:v>903</x:v>
      </x:c>
      <x:c r="J2590" s="26" t="n">
        <x:v>0</x:v>
      </x:c>
      <x:c r="K2590" s="35" t="str">
        <x:v>LN025 scheduled payment</x:v>
      </x:c>
    </x:row>
    <x:row r="2591">
      <x:c r="A2591" s="20" t="str">
        <x:v>FIN-01243</x:v>
      </x:c>
      <x:c r="B2591" s="32" t="n">
        <x:v>3</x:v>
      </x:c>
      <x:c r="C2591" s="23" t="n">
        <x:v>46527</x:v>
      </x:c>
      <x:c r="D2591" s="23" t="n">
        <x:v>46527</x:v>
      </x:c>
      <x:c r="E2591" s="20" t="str">
        <x:v>P025</x:v>
      </x:c>
      <x:c r="F2591" s="20" t="str"/>
      <x:c r="G2591" s="20" t="str"/>
      <x:c r="H2591" s="20" t="str">
        <x:v>1000 Operating Cash</x:v>
      </x:c>
      <x:c r="I2591" s="26" t="n">
        <x:v>0</x:v>
      </x:c>
      <x:c r="J2591" s="26" t="n">
        <x:v>1598</x:v>
      </x:c>
      <x:c r="K2591" s="35" t="str">
        <x:v>LN025 scheduled payment</x:v>
      </x:c>
    </x:row>
    <x:row r="2592">
      <x:c r="A2592" s="20" t="str">
        <x:v>FIN-01244</x:v>
      </x:c>
      <x:c r="B2592" s="32" t="n">
        <x:v>1</x:v>
      </x:c>
      <x:c r="C2592" s="23" t="n">
        <x:v>46527</x:v>
      </x:c>
      <x:c r="D2592" s="23" t="n">
        <x:v>46527</x:v>
      </x:c>
      <x:c r="E2592" s="20" t="str">
        <x:v>P026</x:v>
      </x:c>
      <x:c r="F2592" s="20" t="str"/>
      <x:c r="G2592" s="20" t="str"/>
      <x:c r="H2592" s="20" t="str">
        <x:v>2200 Mortgage Loans Payable</x:v>
      </x:c>
      <x:c r="I2592" s="26" t="n">
        <x:v>706</x:v>
      </x:c>
      <x:c r="J2592" s="26" t="n">
        <x:v>0</x:v>
      </x:c>
      <x:c r="K2592" s="35" t="str">
        <x:v>LN026 scheduled payment</x:v>
      </x:c>
    </x:row>
    <x:row r="2593">
      <x:c r="A2593" s="20" t="str">
        <x:v>FIN-01244</x:v>
      </x:c>
      <x:c r="B2593" s="32" t="n">
        <x:v>2</x:v>
      </x:c>
      <x:c r="C2593" s="23" t="n">
        <x:v>46527</x:v>
      </x:c>
      <x:c r="D2593" s="23" t="n">
        <x:v>46527</x:v>
      </x:c>
      <x:c r="E2593" s="20" t="str">
        <x:v>P026</x:v>
      </x:c>
      <x:c r="F2593" s="20" t="str"/>
      <x:c r="G2593" s="20" t="str"/>
      <x:c r="H2593" s="20" t="str">
        <x:v>5040 Mortgage Interest</x:v>
      </x:c>
      <x:c r="I2593" s="26" t="n">
        <x:v>916</x:v>
      </x:c>
      <x:c r="J2593" s="26" t="n">
        <x:v>0</x:v>
      </x:c>
      <x:c r="K2593" s="35" t="str">
        <x:v>LN026 scheduled payment</x:v>
      </x:c>
    </x:row>
    <x:row r="2594">
      <x:c r="A2594" s="20" t="str">
        <x:v>FIN-01244</x:v>
      </x:c>
      <x:c r="B2594" s="32" t="n">
        <x:v>3</x:v>
      </x:c>
      <x:c r="C2594" s="23" t="n">
        <x:v>46527</x:v>
      </x:c>
      <x:c r="D2594" s="23" t="n">
        <x:v>46527</x:v>
      </x:c>
      <x:c r="E2594" s="20" t="str">
        <x:v>P026</x:v>
      </x:c>
      <x:c r="F2594" s="20" t="str"/>
      <x:c r="G2594" s="20" t="str"/>
      <x:c r="H2594" s="20" t="str">
        <x:v>1000 Operating Cash</x:v>
      </x:c>
      <x:c r="I2594" s="26" t="n">
        <x:v>0</x:v>
      </x:c>
      <x:c r="J2594" s="26" t="n">
        <x:v>1622</x:v>
      </x:c>
      <x:c r="K2594" s="35" t="str">
        <x:v>LN026 scheduled payment</x:v>
      </x:c>
    </x:row>
    <x:row r="2595">
      <x:c r="A2595" s="20" t="str">
        <x:v>FIN-01245</x:v>
      </x:c>
      <x:c r="B2595" s="32" t="n">
        <x:v>1</x:v>
      </x:c>
      <x:c r="C2595" s="23" t="n">
        <x:v>46527</x:v>
      </x:c>
      <x:c r="D2595" s="23" t="n">
        <x:v>46527</x:v>
      </x:c>
      <x:c r="E2595" s="20" t="str">
        <x:v>P028</x:v>
      </x:c>
      <x:c r="F2595" s="20" t="str"/>
      <x:c r="G2595" s="20" t="str"/>
      <x:c r="H2595" s="20" t="str">
        <x:v>2200 Mortgage Loans Payable</x:v>
      </x:c>
      <x:c r="I2595" s="26" t="n">
        <x:v>728</x:v>
      </x:c>
      <x:c r="J2595" s="26" t="n">
        <x:v>0</x:v>
      </x:c>
      <x:c r="K2595" s="35" t="str">
        <x:v>LN028 scheduled payment</x:v>
      </x:c>
    </x:row>
    <x:row r="2596">
      <x:c r="A2596" s="20" t="str">
        <x:v>FIN-01245</x:v>
      </x:c>
      <x:c r="B2596" s="32" t="n">
        <x:v>2</x:v>
      </x:c>
      <x:c r="C2596" s="23" t="n">
        <x:v>46527</x:v>
      </x:c>
      <x:c r="D2596" s="23" t="n">
        <x:v>46527</x:v>
      </x:c>
      <x:c r="E2596" s="20" t="str">
        <x:v>P028</x:v>
      </x:c>
      <x:c r="F2596" s="20" t="str"/>
      <x:c r="G2596" s="20" t="str"/>
      <x:c r="H2596" s="20" t="str">
        <x:v>5040 Mortgage Interest</x:v>
      </x:c>
      <x:c r="I2596" s="26" t="n">
        <x:v>942</x:v>
      </x:c>
      <x:c r="J2596" s="26" t="n">
        <x:v>0</x:v>
      </x:c>
      <x:c r="K2596" s="35" t="str">
        <x:v>LN028 scheduled payment</x:v>
      </x:c>
    </x:row>
    <x:row r="2597">
      <x:c r="A2597" s="20" t="str">
        <x:v>FIN-01245</x:v>
      </x:c>
      <x:c r="B2597" s="32" t="n">
        <x:v>3</x:v>
      </x:c>
      <x:c r="C2597" s="23" t="n">
        <x:v>46527</x:v>
      </x:c>
      <x:c r="D2597" s="23" t="n">
        <x:v>46527</x:v>
      </x:c>
      <x:c r="E2597" s="20" t="str">
        <x:v>P028</x:v>
      </x:c>
      <x:c r="F2597" s="20" t="str"/>
      <x:c r="G2597" s="20" t="str"/>
      <x:c r="H2597" s="20" t="str">
        <x:v>1000 Operating Cash</x:v>
      </x:c>
      <x:c r="I2597" s="26" t="n">
        <x:v>0</x:v>
      </x:c>
      <x:c r="J2597" s="26" t="n">
        <x:v>1670</x:v>
      </x:c>
      <x:c r="K2597" s="35" t="str">
        <x:v>LN028 scheduled payment</x:v>
      </x:c>
    </x:row>
    <x:row r="2598">
      <x:c r="A2598" s="20" t="str">
        <x:v>FIN-01246</x:v>
      </x:c>
      <x:c r="B2598" s="32" t="n">
        <x:v>1</x:v>
      </x:c>
      <x:c r="C2598" s="23" t="n">
        <x:v>46527</x:v>
      </x:c>
      <x:c r="D2598" s="23" t="n">
        <x:v>46527</x:v>
      </x:c>
      <x:c r="E2598" s="20" t="str">
        <x:v>P029</x:v>
      </x:c>
      <x:c r="F2598" s="20" t="str"/>
      <x:c r="G2598" s="20" t="str"/>
      <x:c r="H2598" s="20" t="str">
        <x:v>2200 Mortgage Loans Payable</x:v>
      </x:c>
      <x:c r="I2598" s="26" t="n">
        <x:v>739</x:v>
      </x:c>
      <x:c r="J2598" s="26" t="n">
        <x:v>0</x:v>
      </x:c>
      <x:c r="K2598" s="35" t="str">
        <x:v>LN029 scheduled payment</x:v>
      </x:c>
    </x:row>
    <x:row r="2599">
      <x:c r="A2599" s="20" t="str">
        <x:v>FIN-01246</x:v>
      </x:c>
      <x:c r="B2599" s="32" t="n">
        <x:v>2</x:v>
      </x:c>
      <x:c r="C2599" s="23" t="n">
        <x:v>46527</x:v>
      </x:c>
      <x:c r="D2599" s="23" t="n">
        <x:v>46527</x:v>
      </x:c>
      <x:c r="E2599" s="20" t="str">
        <x:v>P029</x:v>
      </x:c>
      <x:c r="F2599" s="20" t="str"/>
      <x:c r="G2599" s="20" t="str"/>
      <x:c r="H2599" s="20" t="str">
        <x:v>5040 Mortgage Interest</x:v>
      </x:c>
      <x:c r="I2599" s="26" t="n">
        <x:v>955</x:v>
      </x:c>
      <x:c r="J2599" s="26" t="n">
        <x:v>0</x:v>
      </x:c>
      <x:c r="K2599" s="35" t="str">
        <x:v>LN029 scheduled payment</x:v>
      </x:c>
    </x:row>
    <x:row r="2600">
      <x:c r="A2600" s="20" t="str">
        <x:v>FIN-01246</x:v>
      </x:c>
      <x:c r="B2600" s="32" t="n">
        <x:v>3</x:v>
      </x:c>
      <x:c r="C2600" s="23" t="n">
        <x:v>46527</x:v>
      </x:c>
      <x:c r="D2600" s="23" t="n">
        <x:v>46527</x:v>
      </x:c>
      <x:c r="E2600" s="20" t="str">
        <x:v>P029</x:v>
      </x:c>
      <x:c r="F2600" s="20" t="str"/>
      <x:c r="G2600" s="20" t="str"/>
      <x:c r="H2600" s="20" t="str">
        <x:v>1000 Operating Cash</x:v>
      </x:c>
      <x:c r="I2600" s="26" t="n">
        <x:v>0</x:v>
      </x:c>
      <x:c r="J2600" s="26" t="n">
        <x:v>1694</x:v>
      </x:c>
      <x:c r="K2600" s="35" t="str">
        <x:v>LN029 scheduled payment</x:v>
      </x:c>
    </x:row>
    <x:row r="2601">
      <x:c r="A2601" s="20" t="str">
        <x:v>FIN-01247</x:v>
      </x:c>
      <x:c r="B2601" s="32" t="n">
        <x:v>1</x:v>
      </x:c>
      <x:c r="C2601" s="23" t="n">
        <x:v>46532</x:v>
      </x:c>
      <x:c r="D2601" s="23" t="n">
        <x:v>46532</x:v>
      </x:c>
      <x:c r="E2601" s="20" t="str"/>
      <x:c r="F2601" s="20" t="str"/>
      <x:c r="G2601" s="20" t="str"/>
      <x:c r="H2601" s="20" t="str">
        <x:v>3100 Owner Distributions</x:v>
      </x:c>
      <x:c r="I2601" s="26" t="n">
        <x:v>3250</x:v>
      </x:c>
      <x:c r="J2601" s="26" t="n">
        <x:v>0</x:v>
      </x:c>
      <x:c r="K2601" s="35" t="str">
        <x:v>Monthly distribution to Blue Door Residential LLC</x:v>
      </x:c>
    </x:row>
    <x:row r="2602">
      <x:c r="A2602" s="20" t="str">
        <x:v>FIN-01247</x:v>
      </x:c>
      <x:c r="B2602" s="32" t="n">
        <x:v>2</x:v>
      </x:c>
      <x:c r="C2602" s="23" t="n">
        <x:v>46532</x:v>
      </x:c>
      <x:c r="D2602" s="23" t="n">
        <x:v>46532</x:v>
      </x:c>
      <x:c r="E2602" s="20" t="str"/>
      <x:c r="F2602" s="20" t="str"/>
      <x:c r="G2602" s="20" t="str"/>
      <x:c r="H2602" s="20" t="str">
        <x:v>1000 Operating Cash</x:v>
      </x:c>
      <x:c r="I2602" s="26" t="n">
        <x:v>0</x:v>
      </x:c>
      <x:c r="J2602" s="26" t="n">
        <x:v>3250</x:v>
      </x:c>
      <x:c r="K2602" s="35" t="str">
        <x:v>Monthly distribution to Blue Door Residential LLC</x:v>
      </x:c>
    </x:row>
    <x:row r="2603">
      <x:c r="A2603" s="20" t="str">
        <x:v>FIN-01248</x:v>
      </x:c>
      <x:c r="B2603" s="32" t="n">
        <x:v>1</x:v>
      </x:c>
      <x:c r="C2603" s="23" t="n">
        <x:v>46532</x:v>
      </x:c>
      <x:c r="D2603" s="23" t="n">
        <x:v>46532</x:v>
      </x:c>
      <x:c r="E2603" s="20" t="str"/>
      <x:c r="F2603" s="20" t="str"/>
      <x:c r="G2603" s="20" t="str"/>
      <x:c r="H2603" s="20" t="str">
        <x:v>3100 Owner Distributions</x:v>
      </x:c>
      <x:c r="I2603" s="26" t="n">
        <x:v>3600</x:v>
      </x:c>
      <x:c r="J2603" s="26" t="n">
        <x:v>0</x:v>
      </x:c>
      <x:c r="K2603" s="35" t="str">
        <x:v>Monthly distribution to Coble Family Rentals LLC</x:v>
      </x:c>
    </x:row>
    <x:row r="2604">
      <x:c r="A2604" s="20" t="str">
        <x:v>FIN-01248</x:v>
      </x:c>
      <x:c r="B2604" s="32" t="n">
        <x:v>2</x:v>
      </x:c>
      <x:c r="C2604" s="23" t="n">
        <x:v>46532</x:v>
      </x:c>
      <x:c r="D2604" s="23" t="n">
        <x:v>46532</x:v>
      </x:c>
      <x:c r="E2604" s="20" t="str"/>
      <x:c r="F2604" s="20" t="str"/>
      <x:c r="G2604" s="20" t="str"/>
      <x:c r="H2604" s="20" t="str">
        <x:v>1000 Operating Cash</x:v>
      </x:c>
      <x:c r="I2604" s="26" t="n">
        <x:v>0</x:v>
      </x:c>
      <x:c r="J2604" s="26" t="n">
        <x:v>3600</x:v>
      </x:c>
      <x:c r="K2604" s="35" t="str">
        <x:v>Monthly distribution to Coble Family Rentals LLC</x:v>
      </x:c>
    </x:row>
    <x:row r="2605">
      <x:c r="A2605" s="20" t="str">
        <x:v>FIN-01249</x:v>
      </x:c>
      <x:c r="B2605" s="32" t="n">
        <x:v>1</x:v>
      </x:c>
      <x:c r="C2605" s="23" t="n">
        <x:v>46532</x:v>
      </x:c>
      <x:c r="D2605" s="23" t="n">
        <x:v>46532</x:v>
      </x:c>
      <x:c r="E2605" s="20" t="str"/>
      <x:c r="F2605" s="20" t="str"/>
      <x:c r="G2605" s="20" t="str"/>
      <x:c r="H2605" s="20" t="str">
        <x:v>3100 Owner Distributions</x:v>
      </x:c>
      <x:c r="I2605" s="26" t="n">
        <x:v>3950</x:v>
      </x:c>
      <x:c r="J2605" s="26" t="n">
        <x:v>0</x:v>
      </x:c>
      <x:c r="K2605" s="35" t="str">
        <x:v>Monthly distribution to Northstar Property Partners LLC</x:v>
      </x:c>
    </x:row>
    <x:row r="2606">
      <x:c r="A2606" s="20" t="str">
        <x:v>FIN-01249</x:v>
      </x:c>
      <x:c r="B2606" s="32" t="n">
        <x:v>2</x:v>
      </x:c>
      <x:c r="C2606" s="23" t="n">
        <x:v>46532</x:v>
      </x:c>
      <x:c r="D2606" s="23" t="n">
        <x:v>46532</x:v>
      </x:c>
      <x:c r="E2606" s="20" t="str"/>
      <x:c r="F2606" s="20" t="str"/>
      <x:c r="G2606" s="20" t="str"/>
      <x:c r="H2606" s="20" t="str">
        <x:v>1000 Operating Cash</x:v>
      </x:c>
      <x:c r="I2606" s="26" t="n">
        <x:v>0</x:v>
      </x:c>
      <x:c r="J2606" s="26" t="n">
        <x:v>3950</x:v>
      </x:c>
      <x:c r="K2606" s="35" t="str">
        <x:v>Monthly distribution to Northstar Property Partners LLC</x:v>
      </x:c>
    </x:row>
    <x:row r="2607">
      <x:c r="A2607" s="20" t="str">
        <x:v>FIN-01250</x:v>
      </x:c>
      <x:c r="B2607" s="32" t="n">
        <x:v>1</x:v>
      </x:c>
      <x:c r="C2607" s="23" t="n">
        <x:v>46532</x:v>
      </x:c>
      <x:c r="D2607" s="23" t="n">
        <x:v>46532</x:v>
      </x:c>
      <x:c r="E2607" s="20" t="str"/>
      <x:c r="F2607" s="20" t="str"/>
      <x:c r="G2607" s="20" t="str"/>
      <x:c r="H2607" s="20" t="str">
        <x:v>3100 Owner Distributions</x:v>
      </x:c>
      <x:c r="I2607" s="26" t="n">
        <x:v>4300</x:v>
      </x:c>
      <x:c r="J2607" s="26" t="n">
        <x:v>0</x:v>
      </x:c>
      <x:c r="K2607" s="35" t="str">
        <x:v>Monthly distribution to Riverbend Homes LLC</x:v>
      </x:c>
    </x:row>
    <x:row r="2608">
      <x:c r="A2608" s="20" t="str">
        <x:v>FIN-01250</x:v>
      </x:c>
      <x:c r="B2608" s="32" t="n">
        <x:v>2</x:v>
      </x:c>
      <x:c r="C2608" s="23" t="n">
        <x:v>46532</x:v>
      </x:c>
      <x:c r="D2608" s="23" t="n">
        <x:v>46532</x:v>
      </x:c>
      <x:c r="E2608" s="20" t="str"/>
      <x:c r="F2608" s="20" t="str"/>
      <x:c r="G2608" s="20" t="str"/>
      <x:c r="H2608" s="20" t="str">
        <x:v>1000 Operating Cash</x:v>
      </x:c>
      <x:c r="I2608" s="26" t="n">
        <x:v>0</x:v>
      </x:c>
      <x:c r="J2608" s="26" t="n">
        <x:v>4300</x:v>
      </x:c>
      <x:c r="K2608" s="35" t="str">
        <x:v>Monthly distribution to Riverbend Homes LLC</x:v>
      </x:c>
    </x:row>
    <x:row r="2609">
      <x:c r="A2609" s="20" t="str">
        <x:v>FIN-01251</x:v>
      </x:c>
      <x:c r="B2609" s="32" t="n">
        <x:v>1</x:v>
      </x:c>
      <x:c r="C2609" s="23" t="n">
        <x:v>46532</x:v>
      </x:c>
      <x:c r="D2609" s="23" t="n">
        <x:v>46532</x:v>
      </x:c>
      <x:c r="E2609" s="20" t="str"/>
      <x:c r="F2609" s="20" t="str"/>
      <x:c r="G2609" s="20" t="str"/>
      <x:c r="H2609" s="20" t="str">
        <x:v>3100 Owner Distributions</x:v>
      </x:c>
      <x:c r="I2609" s="26" t="n">
        <x:v>4650</x:v>
      </x:c>
      <x:c r="J2609" s="26" t="n">
        <x:v>0</x:v>
      </x:c>
      <x:c r="K2609" s="35" t="str">
        <x:v>Monthly distribution to Juniper Street Holdings LLC</x:v>
      </x:c>
    </x:row>
    <x:row r="2610">
      <x:c r="A2610" s="20" t="str">
        <x:v>FIN-01251</x:v>
      </x:c>
      <x:c r="B2610" s="32" t="n">
        <x:v>2</x:v>
      </x:c>
      <x:c r="C2610" s="23" t="n">
        <x:v>46532</x:v>
      </x:c>
      <x:c r="D2610" s="23" t="n">
        <x:v>46532</x:v>
      </x:c>
      <x:c r="E2610" s="20" t="str"/>
      <x:c r="F2610" s="20" t="str"/>
      <x:c r="G2610" s="20" t="str"/>
      <x:c r="H2610" s="20" t="str">
        <x:v>1000 Operating Cash</x:v>
      </x:c>
      <x:c r="I2610" s="26" t="n">
        <x:v>0</x:v>
      </x:c>
      <x:c r="J2610" s="26" t="n">
        <x:v>4650</x:v>
      </x:c>
      <x:c r="K2610" s="35" t="str">
        <x:v>Monthly distribution to Juniper Street Holdings LLC</x:v>
      </x:c>
    </x:row>
    <x:row r="2611">
      <x:c r="A2611" s="20" t="str">
        <x:v>FIN-01252</x:v>
      </x:c>
      <x:c r="B2611" s="32" t="n">
        <x:v>1</x:v>
      </x:c>
      <x:c r="C2611" s="23" t="n">
        <x:v>46553</x:v>
      </x:c>
      <x:c r="D2611" s="23" t="n">
        <x:v>46553</x:v>
      </x:c>
      <x:c r="E2611" s="20" t="str">
        <x:v>P021</x:v>
      </x:c>
      <x:c r="F2611" s="20" t="str"/>
      <x:c r="G2611" s="20" t="str"/>
      <x:c r="H2611" s="20" t="str">
        <x:v>5010 Utilities</x:v>
      </x:c>
      <x:c r="I2611" s="26" t="n">
        <x:v>191</x:v>
      </x:c>
      <x:c r="J2611" s="26" t="n">
        <x:v>0</x:v>
      </x:c>
      <x:c r="K2611" s="35" t="str">
        <x:v>City Water &amp; Sewer</x:v>
      </x:c>
    </x:row>
    <x:row r="2612">
      <x:c r="A2612" s="20" t="str">
        <x:v>FIN-01252</x:v>
      </x:c>
      <x:c r="B2612" s="32" t="n">
        <x:v>2</x:v>
      </x:c>
      <x:c r="C2612" s="23" t="n">
        <x:v>46553</x:v>
      </x:c>
      <x:c r="D2612" s="23" t="n">
        <x:v>46553</x:v>
      </x:c>
      <x:c r="E2612" s="20" t="str">
        <x:v>P021</x:v>
      </x:c>
      <x:c r="F2612" s="20" t="str"/>
      <x:c r="G2612" s="20" t="str"/>
      <x:c r="H2612" s="20" t="str">
        <x:v>1000 Operating Cash</x:v>
      </x:c>
      <x:c r="I2612" s="26" t="n">
        <x:v>0</x:v>
      </x:c>
      <x:c r="J2612" s="26" t="n">
        <x:v>191</x:v>
      </x:c>
      <x:c r="K2612" s="35" t="str">
        <x:v>City Water &amp; Sewer</x:v>
      </x:c>
    </x:row>
    <x:row r="2613">
      <x:c r="A2613" s="20" t="str">
        <x:v>FIN-01253</x:v>
      </x:c>
      <x:c r="B2613" s="32" t="n">
        <x:v>1</x:v>
      </x:c>
      <x:c r="C2613" s="23" t="n">
        <x:v>46553</x:v>
      </x:c>
      <x:c r="D2613" s="23" t="n">
        <x:v>46553</x:v>
      </x:c>
      <x:c r="E2613" s="20" t="str">
        <x:v>P022</x:v>
      </x:c>
      <x:c r="F2613" s="20" t="str"/>
      <x:c r="G2613" s="20" t="str"/>
      <x:c r="H2613" s="20" t="str">
        <x:v>5010 Utilities</x:v>
      </x:c>
      <x:c r="I2613" s="26" t="n">
        <x:v>198</x:v>
      </x:c>
      <x:c r="J2613" s="26" t="n">
        <x:v>0</x:v>
      </x:c>
      <x:c r="K2613" s="35" t="str">
        <x:v>City Water &amp; Sewer</x:v>
      </x:c>
    </x:row>
    <x:row r="2614">
      <x:c r="A2614" s="20" t="str">
        <x:v>FIN-01253</x:v>
      </x:c>
      <x:c r="B2614" s="32" t="n">
        <x:v>2</x:v>
      </x:c>
      <x:c r="C2614" s="23" t="n">
        <x:v>46553</x:v>
      </x:c>
      <x:c r="D2614" s="23" t="n">
        <x:v>46553</x:v>
      </x:c>
      <x:c r="E2614" s="20" t="str">
        <x:v>P022</x:v>
      </x:c>
      <x:c r="F2614" s="20" t="str"/>
      <x:c r="G2614" s="20" t="str"/>
      <x:c r="H2614" s="20" t="str">
        <x:v>1000 Operating Cash</x:v>
      </x:c>
      <x:c r="I2614" s="26" t="n">
        <x:v>0</x:v>
      </x:c>
      <x:c r="J2614" s="26" t="n">
        <x:v>198</x:v>
      </x:c>
      <x:c r="K2614" s="35" t="str">
        <x:v>City Water &amp; Sewer</x:v>
      </x:c>
    </x:row>
    <x:row r="2615">
      <x:c r="A2615" s="20" t="str">
        <x:v>FIN-01254</x:v>
      </x:c>
      <x:c r="B2615" s="32" t="n">
        <x:v>1</x:v>
      </x:c>
      <x:c r="C2615" s="23" t="n">
        <x:v>46553</x:v>
      </x:c>
      <x:c r="D2615" s="23" t="n">
        <x:v>46553</x:v>
      </x:c>
      <x:c r="E2615" s="20" t="str">
        <x:v>P023</x:v>
      </x:c>
      <x:c r="F2615" s="20" t="str"/>
      <x:c r="G2615" s="20" t="str"/>
      <x:c r="H2615" s="20" t="str">
        <x:v>5010 Utilities</x:v>
      </x:c>
      <x:c r="I2615" s="26" t="n">
        <x:v>205</x:v>
      </x:c>
      <x:c r="J2615" s="26" t="n">
        <x:v>0</x:v>
      </x:c>
      <x:c r="K2615" s="35" t="str">
        <x:v>City Water &amp; Sewer</x:v>
      </x:c>
    </x:row>
    <x:row r="2616">
      <x:c r="A2616" s="20" t="str">
        <x:v>FIN-01254</x:v>
      </x:c>
      <x:c r="B2616" s="32" t="n">
        <x:v>2</x:v>
      </x:c>
      <x:c r="C2616" s="23" t="n">
        <x:v>46553</x:v>
      </x:c>
      <x:c r="D2616" s="23" t="n">
        <x:v>46553</x:v>
      </x:c>
      <x:c r="E2616" s="20" t="str">
        <x:v>P023</x:v>
      </x:c>
      <x:c r="F2616" s="20" t="str"/>
      <x:c r="G2616" s="20" t="str"/>
      <x:c r="H2616" s="20" t="str">
        <x:v>1000 Operating Cash</x:v>
      </x:c>
      <x:c r="I2616" s="26" t="n">
        <x:v>0</x:v>
      </x:c>
      <x:c r="J2616" s="26" t="n">
        <x:v>205</x:v>
      </x:c>
      <x:c r="K2616" s="35" t="str">
        <x:v>City Water &amp; Sewer</x:v>
      </x:c>
    </x:row>
    <x:row r="2617">
      <x:c r="A2617" s="20" t="str">
        <x:v>FIN-01255</x:v>
      </x:c>
      <x:c r="B2617" s="32" t="n">
        <x:v>1</x:v>
      </x:c>
      <x:c r="C2617" s="23" t="n">
        <x:v>46553</x:v>
      </x:c>
      <x:c r="D2617" s="23" t="n">
        <x:v>46553</x:v>
      </x:c>
      <x:c r="E2617" s="20" t="str">
        <x:v>P024</x:v>
      </x:c>
      <x:c r="F2617" s="20" t="str"/>
      <x:c r="G2617" s="20" t="str"/>
      <x:c r="H2617" s="20" t="str">
        <x:v>5010 Utilities</x:v>
      </x:c>
      <x:c r="I2617" s="26" t="n">
        <x:v>122</x:v>
      </x:c>
      <x:c r="J2617" s="26" t="n">
        <x:v>0</x:v>
      </x:c>
      <x:c r="K2617" s="35" t="str">
        <x:v>City Water &amp; Sewer</x:v>
      </x:c>
    </x:row>
    <x:row r="2618">
      <x:c r="A2618" s="20" t="str">
        <x:v>FIN-01255</x:v>
      </x:c>
      <x:c r="B2618" s="32" t="n">
        <x:v>2</x:v>
      </x:c>
      <x:c r="C2618" s="23" t="n">
        <x:v>46553</x:v>
      </x:c>
      <x:c r="D2618" s="23" t="n">
        <x:v>46553</x:v>
      </x:c>
      <x:c r="E2618" s="20" t="str">
        <x:v>P024</x:v>
      </x:c>
      <x:c r="F2618" s="20" t="str"/>
      <x:c r="G2618" s="20" t="str"/>
      <x:c r="H2618" s="20" t="str">
        <x:v>1000 Operating Cash</x:v>
      </x:c>
      <x:c r="I2618" s="26" t="n">
        <x:v>0</x:v>
      </x:c>
      <x:c r="J2618" s="26" t="n">
        <x:v>122</x:v>
      </x:c>
      <x:c r="K2618" s="35" t="str">
        <x:v>City Water &amp; Sewer</x:v>
      </x:c>
    </x:row>
    <x:row r="2619">
      <x:c r="A2619" s="20" t="str">
        <x:v>FIN-01256</x:v>
      </x:c>
      <x:c r="B2619" s="32" t="n">
        <x:v>1</x:v>
      </x:c>
      <x:c r="C2619" s="23" t="n">
        <x:v>46553</x:v>
      </x:c>
      <x:c r="D2619" s="23" t="n">
        <x:v>46553</x:v>
      </x:c>
      <x:c r="E2619" s="20" t="str">
        <x:v>P025</x:v>
      </x:c>
      <x:c r="F2619" s="20" t="str"/>
      <x:c r="G2619" s="20" t="str"/>
      <x:c r="H2619" s="20" t="str">
        <x:v>5010 Utilities</x:v>
      </x:c>
      <x:c r="I2619" s="26" t="n">
        <x:v>129</x:v>
      </x:c>
      <x:c r="J2619" s="26" t="n">
        <x:v>0</x:v>
      </x:c>
      <x:c r="K2619" s="35" t="str">
        <x:v>City Water &amp; Sewer</x:v>
      </x:c>
    </x:row>
    <x:row r="2620">
      <x:c r="A2620" s="20" t="str">
        <x:v>FIN-01256</x:v>
      </x:c>
      <x:c r="B2620" s="32" t="n">
        <x:v>2</x:v>
      </x:c>
      <x:c r="C2620" s="23" t="n">
        <x:v>46553</x:v>
      </x:c>
      <x:c r="D2620" s="23" t="n">
        <x:v>46553</x:v>
      </x:c>
      <x:c r="E2620" s="20" t="str">
        <x:v>P025</x:v>
      </x:c>
      <x:c r="F2620" s="20" t="str"/>
      <x:c r="G2620" s="20" t="str"/>
      <x:c r="H2620" s="20" t="str">
        <x:v>1000 Operating Cash</x:v>
      </x:c>
      <x:c r="I2620" s="26" t="n">
        <x:v>0</x:v>
      </x:c>
      <x:c r="J2620" s="26" t="n">
        <x:v>129</x:v>
      </x:c>
      <x:c r="K2620" s="35" t="str">
        <x:v>City Water &amp; Sewer</x:v>
      </x:c>
    </x:row>
    <x:row r="2621">
      <x:c r="A2621" s="20" t="str">
        <x:v>FIN-01257</x:v>
      </x:c>
      <x:c r="B2621" s="32" t="n">
        <x:v>1</x:v>
      </x:c>
      <x:c r="C2621" s="23" t="n">
        <x:v>46553</x:v>
      </x:c>
      <x:c r="D2621" s="23" t="n">
        <x:v>46553</x:v>
      </x:c>
      <x:c r="E2621" s="20" t="str">
        <x:v>P026</x:v>
      </x:c>
      <x:c r="F2621" s="20" t="str"/>
      <x:c r="G2621" s="20" t="str"/>
      <x:c r="H2621" s="20" t="str">
        <x:v>5010 Utilities</x:v>
      </x:c>
      <x:c r="I2621" s="26" t="n">
        <x:v>136</x:v>
      </x:c>
      <x:c r="J2621" s="26" t="n">
        <x:v>0</x:v>
      </x:c>
      <x:c r="K2621" s="35" t="str">
        <x:v>City Water &amp; Sewer</x:v>
      </x:c>
    </x:row>
    <x:row r="2622">
      <x:c r="A2622" s="20" t="str">
        <x:v>FIN-01257</x:v>
      </x:c>
      <x:c r="B2622" s="32" t="n">
        <x:v>2</x:v>
      </x:c>
      <x:c r="C2622" s="23" t="n">
        <x:v>46553</x:v>
      </x:c>
      <x:c r="D2622" s="23" t="n">
        <x:v>46553</x:v>
      </x:c>
      <x:c r="E2622" s="20" t="str">
        <x:v>P026</x:v>
      </x:c>
      <x:c r="F2622" s="20" t="str"/>
      <x:c r="G2622" s="20" t="str"/>
      <x:c r="H2622" s="20" t="str">
        <x:v>1000 Operating Cash</x:v>
      </x:c>
      <x:c r="I2622" s="26" t="n">
        <x:v>0</x:v>
      </x:c>
      <x:c r="J2622" s="26" t="n">
        <x:v>136</x:v>
      </x:c>
      <x:c r="K2622" s="35" t="str">
        <x:v>City Water &amp; Sewer</x:v>
      </x:c>
    </x:row>
    <x:row r="2623">
      <x:c r="A2623" s="20" t="str">
        <x:v>FIN-01258</x:v>
      </x:c>
      <x:c r="B2623" s="32" t="n">
        <x:v>1</x:v>
      </x:c>
      <x:c r="C2623" s="23" t="n">
        <x:v>46553</x:v>
      </x:c>
      <x:c r="D2623" s="23" t="n">
        <x:v>46553</x:v>
      </x:c>
      <x:c r="E2623" s="20" t="str">
        <x:v>P027</x:v>
      </x:c>
      <x:c r="F2623" s="20" t="str"/>
      <x:c r="G2623" s="20" t="str"/>
      <x:c r="H2623" s="20" t="str">
        <x:v>5010 Utilities</x:v>
      </x:c>
      <x:c r="I2623" s="26" t="n">
        <x:v>143</x:v>
      </x:c>
      <x:c r="J2623" s="26" t="n">
        <x:v>0</x:v>
      </x:c>
      <x:c r="K2623" s="35" t="str">
        <x:v>City Water &amp; Sewer</x:v>
      </x:c>
    </x:row>
    <x:row r="2624">
      <x:c r="A2624" s="20" t="str">
        <x:v>FIN-01258</x:v>
      </x:c>
      <x:c r="B2624" s="32" t="n">
        <x:v>2</x:v>
      </x:c>
      <x:c r="C2624" s="23" t="n">
        <x:v>46553</x:v>
      </x:c>
      <x:c r="D2624" s="23" t="n">
        <x:v>46553</x:v>
      </x:c>
      <x:c r="E2624" s="20" t="str">
        <x:v>P027</x:v>
      </x:c>
      <x:c r="F2624" s="20" t="str"/>
      <x:c r="G2624" s="20" t="str"/>
      <x:c r="H2624" s="20" t="str">
        <x:v>1000 Operating Cash</x:v>
      </x:c>
      <x:c r="I2624" s="26" t="n">
        <x:v>0</x:v>
      </x:c>
      <x:c r="J2624" s="26" t="n">
        <x:v>143</x:v>
      </x:c>
      <x:c r="K2624" s="35" t="str">
        <x:v>City Water &amp; Sewer</x:v>
      </x:c>
    </x:row>
    <x:row r="2625">
      <x:c r="A2625" s="20" t="str">
        <x:v>FIN-01259</x:v>
      </x:c>
      <x:c r="B2625" s="32" t="n">
        <x:v>1</x:v>
      </x:c>
      <x:c r="C2625" s="23" t="n">
        <x:v>46553</x:v>
      </x:c>
      <x:c r="D2625" s="23" t="n">
        <x:v>46553</x:v>
      </x:c>
      <x:c r="E2625" s="20" t="str">
        <x:v>P028</x:v>
      </x:c>
      <x:c r="F2625" s="20" t="str"/>
      <x:c r="G2625" s="20" t="str"/>
      <x:c r="H2625" s="20" t="str">
        <x:v>5010 Utilities</x:v>
      </x:c>
      <x:c r="I2625" s="26" t="n">
        <x:v>150</x:v>
      </x:c>
      <x:c r="J2625" s="26" t="n">
        <x:v>0</x:v>
      </x:c>
      <x:c r="K2625" s="35" t="str">
        <x:v>City Water &amp; Sewer</x:v>
      </x:c>
    </x:row>
    <x:row r="2626">
      <x:c r="A2626" s="20" t="str">
        <x:v>FIN-01259</x:v>
      </x:c>
      <x:c r="B2626" s="32" t="n">
        <x:v>2</x:v>
      </x:c>
      <x:c r="C2626" s="23" t="n">
        <x:v>46553</x:v>
      </x:c>
      <x:c r="D2626" s="23" t="n">
        <x:v>46553</x:v>
      </x:c>
      <x:c r="E2626" s="20" t="str">
        <x:v>P028</x:v>
      </x:c>
      <x:c r="F2626" s="20" t="str"/>
      <x:c r="G2626" s="20" t="str"/>
      <x:c r="H2626" s="20" t="str">
        <x:v>1000 Operating Cash</x:v>
      </x:c>
      <x:c r="I2626" s="26" t="n">
        <x:v>0</x:v>
      </x:c>
      <x:c r="J2626" s="26" t="n">
        <x:v>150</x:v>
      </x:c>
      <x:c r="K2626" s="35" t="str">
        <x:v>City Water &amp; Sewer</x:v>
      </x:c>
    </x:row>
    <x:row r="2627">
      <x:c r="A2627" s="20" t="str">
        <x:v>FIN-01260</x:v>
      </x:c>
      <x:c r="B2627" s="32" t="n">
        <x:v>1</x:v>
      </x:c>
      <x:c r="C2627" s="23" t="n">
        <x:v>46553</x:v>
      </x:c>
      <x:c r="D2627" s="23" t="n">
        <x:v>46553</x:v>
      </x:c>
      <x:c r="E2627" s="20" t="str">
        <x:v>P029</x:v>
      </x:c>
      <x:c r="F2627" s="20" t="str"/>
      <x:c r="G2627" s="20" t="str"/>
      <x:c r="H2627" s="20" t="str">
        <x:v>5010 Utilities</x:v>
      </x:c>
      <x:c r="I2627" s="26" t="n">
        <x:v>157</x:v>
      </x:c>
      <x:c r="J2627" s="26" t="n">
        <x:v>0</x:v>
      </x:c>
      <x:c r="K2627" s="35" t="str">
        <x:v>City Water &amp; Sewer</x:v>
      </x:c>
    </x:row>
    <x:row r="2628">
      <x:c r="A2628" s="20" t="str">
        <x:v>FIN-01260</x:v>
      </x:c>
      <x:c r="B2628" s="32" t="n">
        <x:v>2</x:v>
      </x:c>
      <x:c r="C2628" s="23" t="n">
        <x:v>46553</x:v>
      </x:c>
      <x:c r="D2628" s="23" t="n">
        <x:v>46553</x:v>
      </x:c>
      <x:c r="E2628" s="20" t="str">
        <x:v>P029</x:v>
      </x:c>
      <x:c r="F2628" s="20" t="str"/>
      <x:c r="G2628" s="20" t="str"/>
      <x:c r="H2628" s="20" t="str">
        <x:v>1000 Operating Cash</x:v>
      </x:c>
      <x:c r="I2628" s="26" t="n">
        <x:v>0</x:v>
      </x:c>
      <x:c r="J2628" s="26" t="n">
        <x:v>157</x:v>
      </x:c>
      <x:c r="K2628" s="35" t="str">
        <x:v>City Water &amp; Sewer</x:v>
      </x:c>
    </x:row>
    <x:row r="2629">
      <x:c r="A2629" s="20" t="str">
        <x:v>FIN-01261</x:v>
      </x:c>
      <x:c r="B2629" s="32" t="n">
        <x:v>1</x:v>
      </x:c>
      <x:c r="C2629" s="23" t="n">
        <x:v>46553</x:v>
      </x:c>
      <x:c r="D2629" s="23" t="n">
        <x:v>46553</x:v>
      </x:c>
      <x:c r="E2629" s="20" t="str">
        <x:v>P030</x:v>
      </x:c>
      <x:c r="F2629" s="20" t="str"/>
      <x:c r="G2629" s="20" t="str"/>
      <x:c r="H2629" s="20" t="str">
        <x:v>5010 Utilities</x:v>
      </x:c>
      <x:c r="I2629" s="26" t="n">
        <x:v>164</x:v>
      </x:c>
      <x:c r="J2629" s="26" t="n">
        <x:v>0</x:v>
      </x:c>
      <x:c r="K2629" s="35" t="str">
        <x:v>City Water &amp; Sewer</x:v>
      </x:c>
    </x:row>
    <x:row r="2630">
      <x:c r="A2630" s="20" t="str">
        <x:v>FIN-01261</x:v>
      </x:c>
      <x:c r="B2630" s="32" t="n">
        <x:v>2</x:v>
      </x:c>
      <x:c r="C2630" s="23" t="n">
        <x:v>46553</x:v>
      </x:c>
      <x:c r="D2630" s="23" t="n">
        <x:v>46553</x:v>
      </x:c>
      <x:c r="E2630" s="20" t="str">
        <x:v>P030</x:v>
      </x:c>
      <x:c r="F2630" s="20" t="str"/>
      <x:c r="G2630" s="20" t="str"/>
      <x:c r="H2630" s="20" t="str">
        <x:v>1000 Operating Cash</x:v>
      </x:c>
      <x:c r="I2630" s="26" t="n">
        <x:v>0</x:v>
      </x:c>
      <x:c r="J2630" s="26" t="n">
        <x:v>164</x:v>
      </x:c>
      <x:c r="K2630" s="35" t="str">
        <x:v>City Water &amp; Sewer</x:v>
      </x:c>
    </x:row>
    <x:row r="2631">
      <x:c r="A2631" s="20" t="str">
        <x:v>FIN-01262</x:v>
      </x:c>
      <x:c r="B2631" s="32" t="n">
        <x:v>1</x:v>
      </x:c>
      <x:c r="C2631" s="23" t="n">
        <x:v>46558</x:v>
      </x:c>
      <x:c r="D2631" s="23" t="n">
        <x:v>46558</x:v>
      </x:c>
      <x:c r="E2631" s="20" t="str">
        <x:v>P001</x:v>
      </x:c>
      <x:c r="F2631" s="20" t="str"/>
      <x:c r="G2631" s="20" t="str"/>
      <x:c r="H2631" s="20" t="str">
        <x:v>2200 Mortgage Loans Payable</x:v>
      </x:c>
      <x:c r="I2631" s="26" t="n">
        <x:v>431</x:v>
      </x:c>
      <x:c r="J2631" s="26" t="n">
        <x:v>0</x:v>
      </x:c>
      <x:c r="K2631" s="35" t="str">
        <x:v>LN001 scheduled payment</x:v>
      </x:c>
    </x:row>
    <x:row r="2632">
      <x:c r="A2632" s="20" t="str">
        <x:v>FIN-01262</x:v>
      </x:c>
      <x:c r="B2632" s="32" t="n">
        <x:v>2</x:v>
      </x:c>
      <x:c r="C2632" s="23" t="n">
        <x:v>46558</x:v>
      </x:c>
      <x:c r="D2632" s="23" t="n">
        <x:v>46558</x:v>
      </x:c>
      <x:c r="E2632" s="20" t="str">
        <x:v>P001</x:v>
      </x:c>
      <x:c r="F2632" s="20" t="str"/>
      <x:c r="G2632" s="20" t="str"/>
      <x:c r="H2632" s="20" t="str">
        <x:v>5040 Mortgage Interest</x:v>
      </x:c>
      <x:c r="I2632" s="26" t="n">
        <x:v>583</x:v>
      </x:c>
      <x:c r="J2632" s="26" t="n">
        <x:v>0</x:v>
      </x:c>
      <x:c r="K2632" s="35" t="str">
        <x:v>LN001 scheduled payment</x:v>
      </x:c>
    </x:row>
    <x:row r="2633">
      <x:c r="A2633" s="20" t="str">
        <x:v>FIN-01262</x:v>
      </x:c>
      <x:c r="B2633" s="32" t="n">
        <x:v>3</x:v>
      </x:c>
      <x:c r="C2633" s="23" t="n">
        <x:v>46558</x:v>
      </x:c>
      <x:c r="D2633" s="23" t="n">
        <x:v>46558</x:v>
      </x:c>
      <x:c r="E2633" s="20" t="str">
        <x:v>P001</x:v>
      </x:c>
      <x:c r="F2633" s="20" t="str"/>
      <x:c r="G2633" s="20" t="str"/>
      <x:c r="H2633" s="20" t="str">
        <x:v>1000 Operating Cash</x:v>
      </x:c>
      <x:c r="I2633" s="26" t="n">
        <x:v>0</x:v>
      </x:c>
      <x:c r="J2633" s="26" t="n">
        <x:v>1014</x:v>
      </x:c>
      <x:c r="K2633" s="35" t="str">
        <x:v>LN001 scheduled payment</x:v>
      </x:c>
    </x:row>
    <x:row r="2634">
      <x:c r="A2634" s="20" t="str">
        <x:v>FIN-01263</x:v>
      </x:c>
      <x:c r="B2634" s="32" t="n">
        <x:v>1</x:v>
      </x:c>
      <x:c r="C2634" s="23" t="n">
        <x:v>46558</x:v>
      </x:c>
      <x:c r="D2634" s="23" t="n">
        <x:v>46558</x:v>
      </x:c>
      <x:c r="E2634" s="20" t="str">
        <x:v>P002</x:v>
      </x:c>
      <x:c r="F2634" s="20" t="str"/>
      <x:c r="G2634" s="20" t="str"/>
      <x:c r="H2634" s="20" t="str">
        <x:v>2200 Mortgage Loans Payable</x:v>
      </x:c>
      <x:c r="I2634" s="26" t="n">
        <x:v>442</x:v>
      </x:c>
      <x:c r="J2634" s="26" t="n">
        <x:v>0</x:v>
      </x:c>
      <x:c r="K2634" s="35" t="str">
        <x:v>LN002 scheduled payment</x:v>
      </x:c>
    </x:row>
    <x:row r="2635">
      <x:c r="A2635" s="20" t="str">
        <x:v>FIN-01263</x:v>
      </x:c>
      <x:c r="B2635" s="32" t="n">
        <x:v>2</x:v>
      </x:c>
      <x:c r="C2635" s="23" t="n">
        <x:v>46558</x:v>
      </x:c>
      <x:c r="D2635" s="23" t="n">
        <x:v>46558</x:v>
      </x:c>
      <x:c r="E2635" s="20" t="str">
        <x:v>P002</x:v>
      </x:c>
      <x:c r="F2635" s="20" t="str"/>
      <x:c r="G2635" s="20" t="str"/>
      <x:c r="H2635" s="20" t="str">
        <x:v>5040 Mortgage Interest</x:v>
      </x:c>
      <x:c r="I2635" s="26" t="n">
        <x:v>596</x:v>
      </x:c>
      <x:c r="J2635" s="26" t="n">
        <x:v>0</x:v>
      </x:c>
      <x:c r="K2635" s="35" t="str">
        <x:v>LN002 scheduled payment</x:v>
      </x:c>
    </x:row>
    <x:row r="2636">
      <x:c r="A2636" s="20" t="str">
        <x:v>FIN-01263</x:v>
      </x:c>
      <x:c r="B2636" s="32" t="n">
        <x:v>3</x:v>
      </x:c>
      <x:c r="C2636" s="23" t="n">
        <x:v>46558</x:v>
      </x:c>
      <x:c r="D2636" s="23" t="n">
        <x:v>46558</x:v>
      </x:c>
      <x:c r="E2636" s="20" t="str">
        <x:v>P002</x:v>
      </x:c>
      <x:c r="F2636" s="20" t="str"/>
      <x:c r="G2636" s="20" t="str"/>
      <x:c r="H2636" s="20" t="str">
        <x:v>1000 Operating Cash</x:v>
      </x:c>
      <x:c r="I2636" s="26" t="n">
        <x:v>0</x:v>
      </x:c>
      <x:c r="J2636" s="26" t="n">
        <x:v>1038</x:v>
      </x:c>
      <x:c r="K2636" s="35" t="str">
        <x:v>LN002 scheduled payment</x:v>
      </x:c>
    </x:row>
    <x:row r="2637">
      <x:c r="A2637" s="20" t="str">
        <x:v>FIN-01264</x:v>
      </x:c>
      <x:c r="B2637" s="32" t="n">
        <x:v>1</x:v>
      </x:c>
      <x:c r="C2637" s="23" t="n">
        <x:v>46558</x:v>
      </x:c>
      <x:c r="D2637" s="23" t="n">
        <x:v>46558</x:v>
      </x:c>
      <x:c r="E2637" s="20" t="str">
        <x:v>P004</x:v>
      </x:c>
      <x:c r="F2637" s="20" t="str"/>
      <x:c r="G2637" s="20" t="str"/>
      <x:c r="H2637" s="20" t="str">
        <x:v>2200 Mortgage Loans Payable</x:v>
      </x:c>
      <x:c r="I2637" s="26" t="n">
        <x:v>464</x:v>
      </x:c>
      <x:c r="J2637" s="26" t="n">
        <x:v>0</x:v>
      </x:c>
      <x:c r="K2637" s="35" t="str">
        <x:v>LN004 scheduled payment</x:v>
      </x:c>
    </x:row>
    <x:row r="2638">
      <x:c r="A2638" s="20" t="str">
        <x:v>FIN-01264</x:v>
      </x:c>
      <x:c r="B2638" s="32" t="n">
        <x:v>2</x:v>
      </x:c>
      <x:c r="C2638" s="23" t="n">
        <x:v>46558</x:v>
      </x:c>
      <x:c r="D2638" s="23" t="n">
        <x:v>46558</x:v>
      </x:c>
      <x:c r="E2638" s="20" t="str">
        <x:v>P004</x:v>
      </x:c>
      <x:c r="F2638" s="20" t="str"/>
      <x:c r="G2638" s="20" t="str"/>
      <x:c r="H2638" s="20" t="str">
        <x:v>5040 Mortgage Interest</x:v>
      </x:c>
      <x:c r="I2638" s="26" t="n">
        <x:v>622</x:v>
      </x:c>
      <x:c r="J2638" s="26" t="n">
        <x:v>0</x:v>
      </x:c>
      <x:c r="K2638" s="35" t="str">
        <x:v>LN004 scheduled payment</x:v>
      </x:c>
    </x:row>
    <x:row r="2639">
      <x:c r="A2639" s="20" t="str">
        <x:v>FIN-01264</x:v>
      </x:c>
      <x:c r="B2639" s="32" t="n">
        <x:v>3</x:v>
      </x:c>
      <x:c r="C2639" s="23" t="n">
        <x:v>46558</x:v>
      </x:c>
      <x:c r="D2639" s="23" t="n">
        <x:v>46558</x:v>
      </x:c>
      <x:c r="E2639" s="20" t="str">
        <x:v>P004</x:v>
      </x:c>
      <x:c r="F2639" s="20" t="str"/>
      <x:c r="G2639" s="20" t="str"/>
      <x:c r="H2639" s="20" t="str">
        <x:v>1000 Operating Cash</x:v>
      </x:c>
      <x:c r="I2639" s="26" t="n">
        <x:v>0</x:v>
      </x:c>
      <x:c r="J2639" s="26" t="n">
        <x:v>1086</x:v>
      </x:c>
      <x:c r="K2639" s="35" t="str">
        <x:v>LN004 scheduled payment</x:v>
      </x:c>
    </x:row>
    <x:row r="2640">
      <x:c r="A2640" s="20" t="str">
        <x:v>FIN-01265</x:v>
      </x:c>
      <x:c r="B2640" s="32" t="n">
        <x:v>1</x:v>
      </x:c>
      <x:c r="C2640" s="23" t="n">
        <x:v>46558</x:v>
      </x:c>
      <x:c r="D2640" s="23" t="n">
        <x:v>46558</x:v>
      </x:c>
      <x:c r="E2640" s="20" t="str">
        <x:v>P005</x:v>
      </x:c>
      <x:c r="F2640" s="20" t="str"/>
      <x:c r="G2640" s="20" t="str"/>
      <x:c r="H2640" s="20" t="str">
        <x:v>2200 Mortgage Loans Payable</x:v>
      </x:c>
      <x:c r="I2640" s="26" t="n">
        <x:v>475</x:v>
      </x:c>
      <x:c r="J2640" s="26" t="n">
        <x:v>0</x:v>
      </x:c>
      <x:c r="K2640" s="35" t="str">
        <x:v>LN005 scheduled payment</x:v>
      </x:c>
    </x:row>
    <x:row r="2641">
      <x:c r="A2641" s="20" t="str">
        <x:v>FIN-01265</x:v>
      </x:c>
      <x:c r="B2641" s="32" t="n">
        <x:v>2</x:v>
      </x:c>
      <x:c r="C2641" s="23" t="n">
        <x:v>46558</x:v>
      </x:c>
      <x:c r="D2641" s="23" t="n">
        <x:v>46558</x:v>
      </x:c>
      <x:c r="E2641" s="20" t="str">
        <x:v>P005</x:v>
      </x:c>
      <x:c r="F2641" s="20" t="str"/>
      <x:c r="G2641" s="20" t="str"/>
      <x:c r="H2641" s="20" t="str">
        <x:v>5040 Mortgage Interest</x:v>
      </x:c>
      <x:c r="I2641" s="26" t="n">
        <x:v>635</x:v>
      </x:c>
      <x:c r="J2641" s="26" t="n">
        <x:v>0</x:v>
      </x:c>
      <x:c r="K2641" s="35" t="str">
        <x:v>LN005 scheduled payment</x:v>
      </x:c>
    </x:row>
    <x:row r="2642">
      <x:c r="A2642" s="20" t="str">
        <x:v>FIN-01265</x:v>
      </x:c>
      <x:c r="B2642" s="32" t="n">
        <x:v>3</x:v>
      </x:c>
      <x:c r="C2642" s="23" t="n">
        <x:v>46558</x:v>
      </x:c>
      <x:c r="D2642" s="23" t="n">
        <x:v>46558</x:v>
      </x:c>
      <x:c r="E2642" s="20" t="str">
        <x:v>P005</x:v>
      </x:c>
      <x:c r="F2642" s="20" t="str"/>
      <x:c r="G2642" s="20" t="str"/>
      <x:c r="H2642" s="20" t="str">
        <x:v>1000 Operating Cash</x:v>
      </x:c>
      <x:c r="I2642" s="26" t="n">
        <x:v>0</x:v>
      </x:c>
      <x:c r="J2642" s="26" t="n">
        <x:v>1110</x:v>
      </x:c>
      <x:c r="K2642" s="35" t="str">
        <x:v>LN005 scheduled payment</x:v>
      </x:c>
    </x:row>
    <x:row r="2643">
      <x:c r="A2643" s="20" t="str">
        <x:v>FIN-01266</x:v>
      </x:c>
      <x:c r="B2643" s="32" t="n">
        <x:v>1</x:v>
      </x:c>
      <x:c r="C2643" s="23" t="n">
        <x:v>46558</x:v>
      </x:c>
      <x:c r="D2643" s="23" t="n">
        <x:v>46558</x:v>
      </x:c>
      <x:c r="E2643" s="20" t="str">
        <x:v>P007</x:v>
      </x:c>
      <x:c r="F2643" s="20" t="str"/>
      <x:c r="G2643" s="20" t="str"/>
      <x:c r="H2643" s="20" t="str">
        <x:v>2200 Mortgage Loans Payable</x:v>
      </x:c>
      <x:c r="I2643" s="26" t="n">
        <x:v>497</x:v>
      </x:c>
      <x:c r="J2643" s="26" t="n">
        <x:v>0</x:v>
      </x:c>
      <x:c r="K2643" s="35" t="str">
        <x:v>LN007 scheduled payment</x:v>
      </x:c>
    </x:row>
    <x:row r="2644">
      <x:c r="A2644" s="20" t="str">
        <x:v>FIN-01266</x:v>
      </x:c>
      <x:c r="B2644" s="32" t="n">
        <x:v>2</x:v>
      </x:c>
      <x:c r="C2644" s="23" t="n">
        <x:v>46558</x:v>
      </x:c>
      <x:c r="D2644" s="23" t="n">
        <x:v>46558</x:v>
      </x:c>
      <x:c r="E2644" s="20" t="str">
        <x:v>P007</x:v>
      </x:c>
      <x:c r="F2644" s="20" t="str"/>
      <x:c r="G2644" s="20" t="str"/>
      <x:c r="H2644" s="20" t="str">
        <x:v>5040 Mortgage Interest</x:v>
      </x:c>
      <x:c r="I2644" s="26" t="n">
        <x:v>661</x:v>
      </x:c>
      <x:c r="J2644" s="26" t="n">
        <x:v>0</x:v>
      </x:c>
      <x:c r="K2644" s="35" t="str">
        <x:v>LN007 scheduled payment</x:v>
      </x:c>
    </x:row>
    <x:row r="2645">
      <x:c r="A2645" s="20" t="str">
        <x:v>FIN-01266</x:v>
      </x:c>
      <x:c r="B2645" s="32" t="n">
        <x:v>3</x:v>
      </x:c>
      <x:c r="C2645" s="23" t="n">
        <x:v>46558</x:v>
      </x:c>
      <x:c r="D2645" s="23" t="n">
        <x:v>46558</x:v>
      </x:c>
      <x:c r="E2645" s="20" t="str">
        <x:v>P007</x:v>
      </x:c>
      <x:c r="F2645" s="20" t="str"/>
      <x:c r="G2645" s="20" t="str"/>
      <x:c r="H2645" s="20" t="str">
        <x:v>1000 Operating Cash</x:v>
      </x:c>
      <x:c r="I2645" s="26" t="n">
        <x:v>0</x:v>
      </x:c>
      <x:c r="J2645" s="26" t="n">
        <x:v>1158</x:v>
      </x:c>
      <x:c r="K2645" s="35" t="str">
        <x:v>LN007 scheduled payment</x:v>
      </x:c>
    </x:row>
    <x:row r="2646">
      <x:c r="A2646" s="20" t="str">
        <x:v>FIN-01267</x:v>
      </x:c>
      <x:c r="B2646" s="32" t="n">
        <x:v>1</x:v>
      </x:c>
      <x:c r="C2646" s="23" t="n">
        <x:v>46558</x:v>
      </x:c>
      <x:c r="D2646" s="23" t="n">
        <x:v>46558</x:v>
      </x:c>
      <x:c r="E2646" s="20" t="str">
        <x:v>P008</x:v>
      </x:c>
      <x:c r="F2646" s="20" t="str"/>
      <x:c r="G2646" s="20" t="str"/>
      <x:c r="H2646" s="20" t="str">
        <x:v>2200 Mortgage Loans Payable</x:v>
      </x:c>
      <x:c r="I2646" s="26" t="n">
        <x:v>508</x:v>
      </x:c>
      <x:c r="J2646" s="26" t="n">
        <x:v>0</x:v>
      </x:c>
      <x:c r="K2646" s="35" t="str">
        <x:v>LN008 scheduled payment</x:v>
      </x:c>
    </x:row>
    <x:row r="2647">
      <x:c r="A2647" s="20" t="str">
        <x:v>FIN-01267</x:v>
      </x:c>
      <x:c r="B2647" s="32" t="n">
        <x:v>2</x:v>
      </x:c>
      <x:c r="C2647" s="23" t="n">
        <x:v>46558</x:v>
      </x:c>
      <x:c r="D2647" s="23" t="n">
        <x:v>46558</x:v>
      </x:c>
      <x:c r="E2647" s="20" t="str">
        <x:v>P008</x:v>
      </x:c>
      <x:c r="F2647" s="20" t="str"/>
      <x:c r="G2647" s="20" t="str"/>
      <x:c r="H2647" s="20" t="str">
        <x:v>5040 Mortgage Interest</x:v>
      </x:c>
      <x:c r="I2647" s="26" t="n">
        <x:v>674</x:v>
      </x:c>
      <x:c r="J2647" s="26" t="n">
        <x:v>0</x:v>
      </x:c>
      <x:c r="K2647" s="35" t="str">
        <x:v>LN008 scheduled payment</x:v>
      </x:c>
    </x:row>
    <x:row r="2648">
      <x:c r="A2648" s="20" t="str">
        <x:v>FIN-01267</x:v>
      </x:c>
      <x:c r="B2648" s="32" t="n">
        <x:v>3</x:v>
      </x:c>
      <x:c r="C2648" s="23" t="n">
        <x:v>46558</x:v>
      </x:c>
      <x:c r="D2648" s="23" t="n">
        <x:v>46558</x:v>
      </x:c>
      <x:c r="E2648" s="20" t="str">
        <x:v>P008</x:v>
      </x:c>
      <x:c r="F2648" s="20" t="str"/>
      <x:c r="G2648" s="20" t="str"/>
      <x:c r="H2648" s="20" t="str">
        <x:v>1000 Operating Cash</x:v>
      </x:c>
      <x:c r="I2648" s="26" t="n">
        <x:v>0</x:v>
      </x:c>
      <x:c r="J2648" s="26" t="n">
        <x:v>1182</x:v>
      </x:c>
      <x:c r="K2648" s="35" t="str">
        <x:v>LN008 scheduled payment</x:v>
      </x:c>
    </x:row>
    <x:row r="2649">
      <x:c r="A2649" s="20" t="str">
        <x:v>FIN-01268</x:v>
      </x:c>
      <x:c r="B2649" s="32" t="n">
        <x:v>1</x:v>
      </x:c>
      <x:c r="C2649" s="23" t="n">
        <x:v>46558</x:v>
      </x:c>
      <x:c r="D2649" s="23" t="n">
        <x:v>46558</x:v>
      </x:c>
      <x:c r="E2649" s="20" t="str">
        <x:v>P010</x:v>
      </x:c>
      <x:c r="F2649" s="20" t="str"/>
      <x:c r="G2649" s="20" t="str"/>
      <x:c r="H2649" s="20" t="str">
        <x:v>2200 Mortgage Loans Payable</x:v>
      </x:c>
      <x:c r="I2649" s="26" t="n">
        <x:v>530</x:v>
      </x:c>
      <x:c r="J2649" s="26" t="n">
        <x:v>0</x:v>
      </x:c>
      <x:c r="K2649" s="35" t="str">
        <x:v>LN010 scheduled payment</x:v>
      </x:c>
    </x:row>
    <x:row r="2650">
      <x:c r="A2650" s="20" t="str">
        <x:v>FIN-01268</x:v>
      </x:c>
      <x:c r="B2650" s="32" t="n">
        <x:v>2</x:v>
      </x:c>
      <x:c r="C2650" s="23" t="n">
        <x:v>46558</x:v>
      </x:c>
      <x:c r="D2650" s="23" t="n">
        <x:v>46558</x:v>
      </x:c>
      <x:c r="E2650" s="20" t="str">
        <x:v>P010</x:v>
      </x:c>
      <x:c r="F2650" s="20" t="str"/>
      <x:c r="G2650" s="20" t="str"/>
      <x:c r="H2650" s="20" t="str">
        <x:v>5040 Mortgage Interest</x:v>
      </x:c>
      <x:c r="I2650" s="26" t="n">
        <x:v>700</x:v>
      </x:c>
      <x:c r="J2650" s="26" t="n">
        <x:v>0</x:v>
      </x:c>
      <x:c r="K2650" s="35" t="str">
        <x:v>LN010 scheduled payment</x:v>
      </x:c>
    </x:row>
    <x:row r="2651">
      <x:c r="A2651" s="20" t="str">
        <x:v>FIN-01268</x:v>
      </x:c>
      <x:c r="B2651" s="32" t="n">
        <x:v>3</x:v>
      </x:c>
      <x:c r="C2651" s="23" t="n">
        <x:v>46558</x:v>
      </x:c>
      <x:c r="D2651" s="23" t="n">
        <x:v>46558</x:v>
      </x:c>
      <x:c r="E2651" s="20" t="str">
        <x:v>P010</x:v>
      </x:c>
      <x:c r="F2651" s="20" t="str"/>
      <x:c r="G2651" s="20" t="str"/>
      <x:c r="H2651" s="20" t="str">
        <x:v>1000 Operating Cash</x:v>
      </x:c>
      <x:c r="I2651" s="26" t="n">
        <x:v>0</x:v>
      </x:c>
      <x:c r="J2651" s="26" t="n">
        <x:v>1230</x:v>
      </x:c>
      <x:c r="K2651" s="35" t="str">
        <x:v>LN010 scheduled payment</x:v>
      </x:c>
    </x:row>
    <x:row r="2652">
      <x:c r="A2652" s="20" t="str">
        <x:v>FIN-01269</x:v>
      </x:c>
      <x:c r="B2652" s="32" t="n">
        <x:v>1</x:v>
      </x:c>
      <x:c r="C2652" s="23" t="n">
        <x:v>46558</x:v>
      </x:c>
      <x:c r="D2652" s="23" t="n">
        <x:v>46558</x:v>
      </x:c>
      <x:c r="E2652" s="20" t="str">
        <x:v>P011</x:v>
      </x:c>
      <x:c r="F2652" s="20" t="str"/>
      <x:c r="G2652" s="20" t="str"/>
      <x:c r="H2652" s="20" t="str">
        <x:v>2200 Mortgage Loans Payable</x:v>
      </x:c>
      <x:c r="I2652" s="26" t="n">
        <x:v>541</x:v>
      </x:c>
      <x:c r="J2652" s="26" t="n">
        <x:v>0</x:v>
      </x:c>
      <x:c r="K2652" s="35" t="str">
        <x:v>LN011 scheduled payment</x:v>
      </x:c>
    </x:row>
    <x:row r="2653">
      <x:c r="A2653" s="20" t="str">
        <x:v>FIN-01269</x:v>
      </x:c>
      <x:c r="B2653" s="32" t="n">
        <x:v>2</x:v>
      </x:c>
      <x:c r="C2653" s="23" t="n">
        <x:v>46558</x:v>
      </x:c>
      <x:c r="D2653" s="23" t="n">
        <x:v>46558</x:v>
      </x:c>
      <x:c r="E2653" s="20" t="str">
        <x:v>P011</x:v>
      </x:c>
      <x:c r="F2653" s="20" t="str"/>
      <x:c r="G2653" s="20" t="str"/>
      <x:c r="H2653" s="20" t="str">
        <x:v>5040 Mortgage Interest</x:v>
      </x:c>
      <x:c r="I2653" s="26" t="n">
        <x:v>713</x:v>
      </x:c>
      <x:c r="J2653" s="26" t="n">
        <x:v>0</x:v>
      </x:c>
      <x:c r="K2653" s="35" t="str">
        <x:v>LN011 scheduled payment</x:v>
      </x:c>
    </x:row>
    <x:row r="2654">
      <x:c r="A2654" s="20" t="str">
        <x:v>FIN-01269</x:v>
      </x:c>
      <x:c r="B2654" s="32" t="n">
        <x:v>3</x:v>
      </x:c>
      <x:c r="C2654" s="23" t="n">
        <x:v>46558</x:v>
      </x:c>
      <x:c r="D2654" s="23" t="n">
        <x:v>46558</x:v>
      </x:c>
      <x:c r="E2654" s="20" t="str">
        <x:v>P011</x:v>
      </x:c>
      <x:c r="F2654" s="20" t="str"/>
      <x:c r="G2654" s="20" t="str"/>
      <x:c r="H2654" s="20" t="str">
        <x:v>1000 Operating Cash</x:v>
      </x:c>
      <x:c r="I2654" s="26" t="n">
        <x:v>0</x:v>
      </x:c>
      <x:c r="J2654" s="26" t="n">
        <x:v>1254</x:v>
      </x:c>
      <x:c r="K2654" s="35" t="str">
        <x:v>LN011 scheduled payment</x:v>
      </x:c>
    </x:row>
    <x:row r="2655">
      <x:c r="A2655" s="20" t="str">
        <x:v>FIN-01270</x:v>
      </x:c>
      <x:c r="B2655" s="32" t="n">
        <x:v>1</x:v>
      </x:c>
      <x:c r="C2655" s="23" t="n">
        <x:v>46558</x:v>
      </x:c>
      <x:c r="D2655" s="23" t="n">
        <x:v>46558</x:v>
      </x:c>
      <x:c r="E2655" s="20" t="str">
        <x:v>P013</x:v>
      </x:c>
      <x:c r="F2655" s="20" t="str"/>
      <x:c r="G2655" s="20" t="str"/>
      <x:c r="H2655" s="20" t="str">
        <x:v>2200 Mortgage Loans Payable</x:v>
      </x:c>
      <x:c r="I2655" s="26" t="n">
        <x:v>563</x:v>
      </x:c>
      <x:c r="J2655" s="26" t="n">
        <x:v>0</x:v>
      </x:c>
      <x:c r="K2655" s="35" t="str">
        <x:v>LN013 scheduled payment</x:v>
      </x:c>
    </x:row>
    <x:row r="2656">
      <x:c r="A2656" s="20" t="str">
        <x:v>FIN-01270</x:v>
      </x:c>
      <x:c r="B2656" s="32" t="n">
        <x:v>2</x:v>
      </x:c>
      <x:c r="C2656" s="23" t="n">
        <x:v>46558</x:v>
      </x:c>
      <x:c r="D2656" s="23" t="n">
        <x:v>46558</x:v>
      </x:c>
      <x:c r="E2656" s="20" t="str">
        <x:v>P013</x:v>
      </x:c>
      <x:c r="F2656" s="20" t="str"/>
      <x:c r="G2656" s="20" t="str"/>
      <x:c r="H2656" s="20" t="str">
        <x:v>5040 Mortgage Interest</x:v>
      </x:c>
      <x:c r="I2656" s="26" t="n">
        <x:v>739</x:v>
      </x:c>
      <x:c r="J2656" s="26" t="n">
        <x:v>0</x:v>
      </x:c>
      <x:c r="K2656" s="35" t="str">
        <x:v>LN013 scheduled payment</x:v>
      </x:c>
    </x:row>
    <x:row r="2657">
      <x:c r="A2657" s="20" t="str">
        <x:v>FIN-01270</x:v>
      </x:c>
      <x:c r="B2657" s="32" t="n">
        <x:v>3</x:v>
      </x:c>
      <x:c r="C2657" s="23" t="n">
        <x:v>46558</x:v>
      </x:c>
      <x:c r="D2657" s="23" t="n">
        <x:v>46558</x:v>
      </x:c>
      <x:c r="E2657" s="20" t="str">
        <x:v>P013</x:v>
      </x:c>
      <x:c r="F2657" s="20" t="str"/>
      <x:c r="G2657" s="20" t="str"/>
      <x:c r="H2657" s="20" t="str">
        <x:v>1000 Operating Cash</x:v>
      </x:c>
      <x:c r="I2657" s="26" t="n">
        <x:v>0</x:v>
      </x:c>
      <x:c r="J2657" s="26" t="n">
        <x:v>1302</x:v>
      </x:c>
      <x:c r="K2657" s="35" t="str">
        <x:v>LN013 scheduled payment</x:v>
      </x:c>
    </x:row>
    <x:row r="2658">
      <x:c r="A2658" s="20" t="str">
        <x:v>FIN-01271</x:v>
      </x:c>
      <x:c r="B2658" s="32" t="n">
        <x:v>1</x:v>
      </x:c>
      <x:c r="C2658" s="23" t="n">
        <x:v>46558</x:v>
      </x:c>
      <x:c r="D2658" s="23" t="n">
        <x:v>46558</x:v>
      </x:c>
      <x:c r="E2658" s="20" t="str">
        <x:v>P014</x:v>
      </x:c>
      <x:c r="F2658" s="20" t="str"/>
      <x:c r="G2658" s="20" t="str"/>
      <x:c r="H2658" s="20" t="str">
        <x:v>2200 Mortgage Loans Payable</x:v>
      </x:c>
      <x:c r="I2658" s="26" t="n">
        <x:v>574</x:v>
      </x:c>
      <x:c r="J2658" s="26" t="n">
        <x:v>0</x:v>
      </x:c>
      <x:c r="K2658" s="35" t="str">
        <x:v>LN014 scheduled payment</x:v>
      </x:c>
    </x:row>
    <x:row r="2659">
      <x:c r="A2659" s="20" t="str">
        <x:v>FIN-01271</x:v>
      </x:c>
      <x:c r="B2659" s="32" t="n">
        <x:v>2</x:v>
      </x:c>
      <x:c r="C2659" s="23" t="n">
        <x:v>46558</x:v>
      </x:c>
      <x:c r="D2659" s="23" t="n">
        <x:v>46558</x:v>
      </x:c>
      <x:c r="E2659" s="20" t="str">
        <x:v>P014</x:v>
      </x:c>
      <x:c r="F2659" s="20" t="str"/>
      <x:c r="G2659" s="20" t="str"/>
      <x:c r="H2659" s="20" t="str">
        <x:v>5040 Mortgage Interest</x:v>
      </x:c>
      <x:c r="I2659" s="26" t="n">
        <x:v>752</x:v>
      </x:c>
      <x:c r="J2659" s="26" t="n">
        <x:v>0</x:v>
      </x:c>
      <x:c r="K2659" s="35" t="str">
        <x:v>LN014 scheduled payment</x:v>
      </x:c>
    </x:row>
    <x:row r="2660">
      <x:c r="A2660" s="20" t="str">
        <x:v>FIN-01271</x:v>
      </x:c>
      <x:c r="B2660" s="32" t="n">
        <x:v>3</x:v>
      </x:c>
      <x:c r="C2660" s="23" t="n">
        <x:v>46558</x:v>
      </x:c>
      <x:c r="D2660" s="23" t="n">
        <x:v>46558</x:v>
      </x:c>
      <x:c r="E2660" s="20" t="str">
        <x:v>P014</x:v>
      </x:c>
      <x:c r="F2660" s="20" t="str"/>
      <x:c r="G2660" s="20" t="str"/>
      <x:c r="H2660" s="20" t="str">
        <x:v>1000 Operating Cash</x:v>
      </x:c>
      <x:c r="I2660" s="26" t="n">
        <x:v>0</x:v>
      </x:c>
      <x:c r="J2660" s="26" t="n">
        <x:v>1326</x:v>
      </x:c>
      <x:c r="K2660" s="35" t="str">
        <x:v>LN014 scheduled payment</x:v>
      </x:c>
    </x:row>
    <x:row r="2661">
      <x:c r="A2661" s="20" t="str">
        <x:v>FIN-01272</x:v>
      </x:c>
      <x:c r="B2661" s="32" t="n">
        <x:v>1</x:v>
      </x:c>
      <x:c r="C2661" s="23" t="n">
        <x:v>46558</x:v>
      </x:c>
      <x:c r="D2661" s="23" t="n">
        <x:v>46558</x:v>
      </x:c>
      <x:c r="E2661" s="20" t="str">
        <x:v>P016</x:v>
      </x:c>
      <x:c r="F2661" s="20" t="str"/>
      <x:c r="G2661" s="20" t="str"/>
      <x:c r="H2661" s="20" t="str">
        <x:v>2200 Mortgage Loans Payable</x:v>
      </x:c>
      <x:c r="I2661" s="26" t="n">
        <x:v>596</x:v>
      </x:c>
      <x:c r="J2661" s="26" t="n">
        <x:v>0</x:v>
      </x:c>
      <x:c r="K2661" s="35" t="str">
        <x:v>LN016 scheduled payment</x:v>
      </x:c>
    </x:row>
    <x:row r="2662">
      <x:c r="A2662" s="20" t="str">
        <x:v>FIN-01272</x:v>
      </x:c>
      <x:c r="B2662" s="32" t="n">
        <x:v>2</x:v>
      </x:c>
      <x:c r="C2662" s="23" t="n">
        <x:v>46558</x:v>
      </x:c>
      <x:c r="D2662" s="23" t="n">
        <x:v>46558</x:v>
      </x:c>
      <x:c r="E2662" s="20" t="str">
        <x:v>P016</x:v>
      </x:c>
      <x:c r="F2662" s="20" t="str"/>
      <x:c r="G2662" s="20" t="str"/>
      <x:c r="H2662" s="20" t="str">
        <x:v>5040 Mortgage Interest</x:v>
      </x:c>
      <x:c r="I2662" s="26" t="n">
        <x:v>778</x:v>
      </x:c>
      <x:c r="J2662" s="26" t="n">
        <x:v>0</x:v>
      </x:c>
      <x:c r="K2662" s="35" t="str">
        <x:v>LN016 scheduled payment</x:v>
      </x:c>
    </x:row>
    <x:row r="2663">
      <x:c r="A2663" s="20" t="str">
        <x:v>FIN-01272</x:v>
      </x:c>
      <x:c r="B2663" s="32" t="n">
        <x:v>3</x:v>
      </x:c>
      <x:c r="C2663" s="23" t="n">
        <x:v>46558</x:v>
      </x:c>
      <x:c r="D2663" s="23" t="n">
        <x:v>46558</x:v>
      </x:c>
      <x:c r="E2663" s="20" t="str">
        <x:v>P016</x:v>
      </x:c>
      <x:c r="F2663" s="20" t="str"/>
      <x:c r="G2663" s="20" t="str"/>
      <x:c r="H2663" s="20" t="str">
        <x:v>1000 Operating Cash</x:v>
      </x:c>
      <x:c r="I2663" s="26" t="n">
        <x:v>0</x:v>
      </x:c>
      <x:c r="J2663" s="26" t="n">
        <x:v>1374</x:v>
      </x:c>
      <x:c r="K2663" s="35" t="str">
        <x:v>LN016 scheduled payment</x:v>
      </x:c>
    </x:row>
    <x:row r="2664">
      <x:c r="A2664" s="20" t="str">
        <x:v>FIN-01273</x:v>
      </x:c>
      <x:c r="B2664" s="32" t="n">
        <x:v>1</x:v>
      </x:c>
      <x:c r="C2664" s="23" t="n">
        <x:v>46558</x:v>
      </x:c>
      <x:c r="D2664" s="23" t="n">
        <x:v>46558</x:v>
      </x:c>
      <x:c r="E2664" s="20" t="str">
        <x:v>P017</x:v>
      </x:c>
      <x:c r="F2664" s="20" t="str"/>
      <x:c r="G2664" s="20" t="str"/>
      <x:c r="H2664" s="20" t="str">
        <x:v>2200 Mortgage Loans Payable</x:v>
      </x:c>
      <x:c r="I2664" s="26" t="n">
        <x:v>607</x:v>
      </x:c>
      <x:c r="J2664" s="26" t="n">
        <x:v>0</x:v>
      </x:c>
      <x:c r="K2664" s="35" t="str">
        <x:v>LN017 scheduled payment</x:v>
      </x:c>
    </x:row>
    <x:row r="2665">
      <x:c r="A2665" s="20" t="str">
        <x:v>FIN-01273</x:v>
      </x:c>
      <x:c r="B2665" s="32" t="n">
        <x:v>2</x:v>
      </x:c>
      <x:c r="C2665" s="23" t="n">
        <x:v>46558</x:v>
      </x:c>
      <x:c r="D2665" s="23" t="n">
        <x:v>46558</x:v>
      </x:c>
      <x:c r="E2665" s="20" t="str">
        <x:v>P017</x:v>
      </x:c>
      <x:c r="F2665" s="20" t="str"/>
      <x:c r="G2665" s="20" t="str"/>
      <x:c r="H2665" s="20" t="str">
        <x:v>5040 Mortgage Interest</x:v>
      </x:c>
      <x:c r="I2665" s="26" t="n">
        <x:v>791</x:v>
      </x:c>
      <x:c r="J2665" s="26" t="n">
        <x:v>0</x:v>
      </x:c>
      <x:c r="K2665" s="35" t="str">
        <x:v>LN017 scheduled payment</x:v>
      </x:c>
    </x:row>
    <x:row r="2666">
      <x:c r="A2666" s="20" t="str">
        <x:v>FIN-01273</x:v>
      </x:c>
      <x:c r="B2666" s="32" t="n">
        <x:v>3</x:v>
      </x:c>
      <x:c r="C2666" s="23" t="n">
        <x:v>46558</x:v>
      </x:c>
      <x:c r="D2666" s="23" t="n">
        <x:v>46558</x:v>
      </x:c>
      <x:c r="E2666" s="20" t="str">
        <x:v>P017</x:v>
      </x:c>
      <x:c r="F2666" s="20" t="str"/>
      <x:c r="G2666" s="20" t="str"/>
      <x:c r="H2666" s="20" t="str">
        <x:v>1000 Operating Cash</x:v>
      </x:c>
      <x:c r="I2666" s="26" t="n">
        <x:v>0</x:v>
      </x:c>
      <x:c r="J2666" s="26" t="n">
        <x:v>1398</x:v>
      </x:c>
      <x:c r="K2666" s="35" t="str">
        <x:v>LN017 scheduled payment</x:v>
      </x:c>
    </x:row>
    <x:row r="2667">
      <x:c r="A2667" s="20" t="str">
        <x:v>FIN-01274</x:v>
      </x:c>
      <x:c r="B2667" s="32" t="n">
        <x:v>1</x:v>
      </x:c>
      <x:c r="C2667" s="23" t="n">
        <x:v>46558</x:v>
      </x:c>
      <x:c r="D2667" s="23" t="n">
        <x:v>46558</x:v>
      </x:c>
      <x:c r="E2667" s="20" t="str">
        <x:v>P019</x:v>
      </x:c>
      <x:c r="F2667" s="20" t="str"/>
      <x:c r="G2667" s="20" t="str"/>
      <x:c r="H2667" s="20" t="str">
        <x:v>2200 Mortgage Loans Payable</x:v>
      </x:c>
      <x:c r="I2667" s="26" t="n">
        <x:v>629</x:v>
      </x:c>
      <x:c r="J2667" s="26" t="n">
        <x:v>0</x:v>
      </x:c>
      <x:c r="K2667" s="35" t="str">
        <x:v>LN019 scheduled payment</x:v>
      </x:c>
    </x:row>
    <x:row r="2668">
      <x:c r="A2668" s="20" t="str">
        <x:v>FIN-01274</x:v>
      </x:c>
      <x:c r="B2668" s="32" t="n">
        <x:v>2</x:v>
      </x:c>
      <x:c r="C2668" s="23" t="n">
        <x:v>46558</x:v>
      </x:c>
      <x:c r="D2668" s="23" t="n">
        <x:v>46558</x:v>
      </x:c>
      <x:c r="E2668" s="20" t="str">
        <x:v>P019</x:v>
      </x:c>
      <x:c r="F2668" s="20" t="str"/>
      <x:c r="G2668" s="20" t="str"/>
      <x:c r="H2668" s="20" t="str">
        <x:v>5040 Mortgage Interest</x:v>
      </x:c>
      <x:c r="I2668" s="26" t="n">
        <x:v>817</x:v>
      </x:c>
      <x:c r="J2668" s="26" t="n">
        <x:v>0</x:v>
      </x:c>
      <x:c r="K2668" s="35" t="str">
        <x:v>LN019 scheduled payment</x:v>
      </x:c>
    </x:row>
    <x:row r="2669">
      <x:c r="A2669" s="20" t="str">
        <x:v>FIN-01274</x:v>
      </x:c>
      <x:c r="B2669" s="32" t="n">
        <x:v>3</x:v>
      </x:c>
      <x:c r="C2669" s="23" t="n">
        <x:v>46558</x:v>
      </x:c>
      <x:c r="D2669" s="23" t="n">
        <x:v>46558</x:v>
      </x:c>
      <x:c r="E2669" s="20" t="str">
        <x:v>P019</x:v>
      </x:c>
      <x:c r="F2669" s="20" t="str"/>
      <x:c r="G2669" s="20" t="str"/>
      <x:c r="H2669" s="20" t="str">
        <x:v>1000 Operating Cash</x:v>
      </x:c>
      <x:c r="I2669" s="26" t="n">
        <x:v>0</x:v>
      </x:c>
      <x:c r="J2669" s="26" t="n">
        <x:v>1446</x:v>
      </x:c>
      <x:c r="K2669" s="35" t="str">
        <x:v>LN019 scheduled payment</x:v>
      </x:c>
    </x:row>
    <x:row r="2670">
      <x:c r="A2670" s="20" t="str">
        <x:v>FIN-01275</x:v>
      </x:c>
      <x:c r="B2670" s="32" t="n">
        <x:v>1</x:v>
      </x:c>
      <x:c r="C2670" s="23" t="n">
        <x:v>46558</x:v>
      </x:c>
      <x:c r="D2670" s="23" t="n">
        <x:v>46558</x:v>
      </x:c>
      <x:c r="E2670" s="20" t="str">
        <x:v>P020</x:v>
      </x:c>
      <x:c r="F2670" s="20" t="str"/>
      <x:c r="G2670" s="20" t="str"/>
      <x:c r="H2670" s="20" t="str">
        <x:v>2200 Mortgage Loans Payable</x:v>
      </x:c>
      <x:c r="I2670" s="26" t="n">
        <x:v>640</x:v>
      </x:c>
      <x:c r="J2670" s="26" t="n">
        <x:v>0</x:v>
      </x:c>
      <x:c r="K2670" s="35" t="str">
        <x:v>LN020 scheduled payment</x:v>
      </x:c>
    </x:row>
    <x:row r="2671">
      <x:c r="A2671" s="20" t="str">
        <x:v>FIN-01275</x:v>
      </x:c>
      <x:c r="B2671" s="32" t="n">
        <x:v>2</x:v>
      </x:c>
      <x:c r="C2671" s="23" t="n">
        <x:v>46558</x:v>
      </x:c>
      <x:c r="D2671" s="23" t="n">
        <x:v>46558</x:v>
      </x:c>
      <x:c r="E2671" s="20" t="str">
        <x:v>P020</x:v>
      </x:c>
      <x:c r="F2671" s="20" t="str"/>
      <x:c r="G2671" s="20" t="str"/>
      <x:c r="H2671" s="20" t="str">
        <x:v>5040 Mortgage Interest</x:v>
      </x:c>
      <x:c r="I2671" s="26" t="n">
        <x:v>830</x:v>
      </x:c>
      <x:c r="J2671" s="26" t="n">
        <x:v>0</x:v>
      </x:c>
      <x:c r="K2671" s="35" t="str">
        <x:v>LN020 scheduled payment</x:v>
      </x:c>
    </x:row>
    <x:row r="2672">
      <x:c r="A2672" s="20" t="str">
        <x:v>FIN-01275</x:v>
      </x:c>
      <x:c r="B2672" s="32" t="n">
        <x:v>3</x:v>
      </x:c>
      <x:c r="C2672" s="23" t="n">
        <x:v>46558</x:v>
      </x:c>
      <x:c r="D2672" s="23" t="n">
        <x:v>46558</x:v>
      </x:c>
      <x:c r="E2672" s="20" t="str">
        <x:v>P020</x:v>
      </x:c>
      <x:c r="F2672" s="20" t="str"/>
      <x:c r="G2672" s="20" t="str"/>
      <x:c r="H2672" s="20" t="str">
        <x:v>1000 Operating Cash</x:v>
      </x:c>
      <x:c r="I2672" s="26" t="n">
        <x:v>0</x:v>
      </x:c>
      <x:c r="J2672" s="26" t="n">
        <x:v>1470</x:v>
      </x:c>
      <x:c r="K2672" s="35" t="str">
        <x:v>LN020 scheduled payment</x:v>
      </x:c>
    </x:row>
    <x:row r="2673">
      <x:c r="A2673" s="20" t="str">
        <x:v>FIN-01276</x:v>
      </x:c>
      <x:c r="B2673" s="32" t="n">
        <x:v>1</x:v>
      </x:c>
      <x:c r="C2673" s="23" t="n">
        <x:v>46558</x:v>
      </x:c>
      <x:c r="D2673" s="23" t="n">
        <x:v>46558</x:v>
      </x:c>
      <x:c r="E2673" s="20" t="str">
        <x:v>P022</x:v>
      </x:c>
      <x:c r="F2673" s="20" t="str"/>
      <x:c r="G2673" s="20" t="str"/>
      <x:c r="H2673" s="20" t="str">
        <x:v>2200 Mortgage Loans Payable</x:v>
      </x:c>
      <x:c r="I2673" s="26" t="n">
        <x:v>662</x:v>
      </x:c>
      <x:c r="J2673" s="26" t="n">
        <x:v>0</x:v>
      </x:c>
      <x:c r="K2673" s="35" t="str">
        <x:v>LN022 scheduled payment</x:v>
      </x:c>
    </x:row>
    <x:row r="2674">
      <x:c r="A2674" s="20" t="str">
        <x:v>FIN-01276</x:v>
      </x:c>
      <x:c r="B2674" s="32" t="n">
        <x:v>2</x:v>
      </x:c>
      <x:c r="C2674" s="23" t="n">
        <x:v>46558</x:v>
      </x:c>
      <x:c r="D2674" s="23" t="n">
        <x:v>46558</x:v>
      </x:c>
      <x:c r="E2674" s="20" t="str">
        <x:v>P022</x:v>
      </x:c>
      <x:c r="F2674" s="20" t="str"/>
      <x:c r="G2674" s="20" t="str"/>
      <x:c r="H2674" s="20" t="str">
        <x:v>5040 Mortgage Interest</x:v>
      </x:c>
      <x:c r="I2674" s="26" t="n">
        <x:v>856</x:v>
      </x:c>
      <x:c r="J2674" s="26" t="n">
        <x:v>0</x:v>
      </x:c>
      <x:c r="K2674" s="35" t="str">
        <x:v>LN022 scheduled payment</x:v>
      </x:c>
    </x:row>
    <x:row r="2675">
      <x:c r="A2675" s="20" t="str">
        <x:v>FIN-01276</x:v>
      </x:c>
      <x:c r="B2675" s="32" t="n">
        <x:v>3</x:v>
      </x:c>
      <x:c r="C2675" s="23" t="n">
        <x:v>46558</x:v>
      </x:c>
      <x:c r="D2675" s="23" t="n">
        <x:v>46558</x:v>
      </x:c>
      <x:c r="E2675" s="20" t="str">
        <x:v>P022</x:v>
      </x:c>
      <x:c r="F2675" s="20" t="str"/>
      <x:c r="G2675" s="20" t="str"/>
      <x:c r="H2675" s="20" t="str">
        <x:v>1000 Operating Cash</x:v>
      </x:c>
      <x:c r="I2675" s="26" t="n">
        <x:v>0</x:v>
      </x:c>
      <x:c r="J2675" s="26" t="n">
        <x:v>1518</x:v>
      </x:c>
      <x:c r="K2675" s="35" t="str">
        <x:v>LN022 scheduled payment</x:v>
      </x:c>
    </x:row>
    <x:row r="2676">
      <x:c r="A2676" s="20" t="str">
        <x:v>FIN-01277</x:v>
      </x:c>
      <x:c r="B2676" s="32" t="n">
        <x:v>1</x:v>
      </x:c>
      <x:c r="C2676" s="23" t="n">
        <x:v>46558</x:v>
      </x:c>
      <x:c r="D2676" s="23" t="n">
        <x:v>46558</x:v>
      </x:c>
      <x:c r="E2676" s="20" t="str">
        <x:v>P023</x:v>
      </x:c>
      <x:c r="F2676" s="20" t="str"/>
      <x:c r="G2676" s="20" t="str"/>
      <x:c r="H2676" s="20" t="str">
        <x:v>2200 Mortgage Loans Payable</x:v>
      </x:c>
      <x:c r="I2676" s="26" t="n">
        <x:v>673</x:v>
      </x:c>
      <x:c r="J2676" s="26" t="n">
        <x:v>0</x:v>
      </x:c>
      <x:c r="K2676" s="35" t="str">
        <x:v>LN023 scheduled payment</x:v>
      </x:c>
    </x:row>
    <x:row r="2677">
      <x:c r="A2677" s="20" t="str">
        <x:v>FIN-01277</x:v>
      </x:c>
      <x:c r="B2677" s="32" t="n">
        <x:v>2</x:v>
      </x:c>
      <x:c r="C2677" s="23" t="n">
        <x:v>46558</x:v>
      </x:c>
      <x:c r="D2677" s="23" t="n">
        <x:v>46558</x:v>
      </x:c>
      <x:c r="E2677" s="20" t="str">
        <x:v>P023</x:v>
      </x:c>
      <x:c r="F2677" s="20" t="str"/>
      <x:c r="G2677" s="20" t="str"/>
      <x:c r="H2677" s="20" t="str">
        <x:v>5040 Mortgage Interest</x:v>
      </x:c>
      <x:c r="I2677" s="26" t="n">
        <x:v>869</x:v>
      </x:c>
      <x:c r="J2677" s="26" t="n">
        <x:v>0</x:v>
      </x:c>
      <x:c r="K2677" s="35" t="str">
        <x:v>LN023 scheduled payment</x:v>
      </x:c>
    </x:row>
    <x:row r="2678">
      <x:c r="A2678" s="20" t="str">
        <x:v>FIN-01277</x:v>
      </x:c>
      <x:c r="B2678" s="32" t="n">
        <x:v>3</x:v>
      </x:c>
      <x:c r="C2678" s="23" t="n">
        <x:v>46558</x:v>
      </x:c>
      <x:c r="D2678" s="23" t="n">
        <x:v>46558</x:v>
      </x:c>
      <x:c r="E2678" s="20" t="str">
        <x:v>P023</x:v>
      </x:c>
      <x:c r="F2678" s="20" t="str"/>
      <x:c r="G2678" s="20" t="str"/>
      <x:c r="H2678" s="20" t="str">
        <x:v>1000 Operating Cash</x:v>
      </x:c>
      <x:c r="I2678" s="26" t="n">
        <x:v>0</x:v>
      </x:c>
      <x:c r="J2678" s="26" t="n">
        <x:v>1542</x:v>
      </x:c>
      <x:c r="K2678" s="35" t="str">
        <x:v>LN023 scheduled payment</x:v>
      </x:c>
    </x:row>
    <x:row r="2679">
      <x:c r="A2679" s="20" t="str">
        <x:v>FIN-01278</x:v>
      </x:c>
      <x:c r="B2679" s="32" t="n">
        <x:v>1</x:v>
      </x:c>
      <x:c r="C2679" s="23" t="n">
        <x:v>46558</x:v>
      </x:c>
      <x:c r="D2679" s="23" t="n">
        <x:v>46558</x:v>
      </x:c>
      <x:c r="E2679" s="20" t="str">
        <x:v>P025</x:v>
      </x:c>
      <x:c r="F2679" s="20" t="str"/>
      <x:c r="G2679" s="20" t="str"/>
      <x:c r="H2679" s="20" t="str">
        <x:v>2200 Mortgage Loans Payable</x:v>
      </x:c>
      <x:c r="I2679" s="26" t="n">
        <x:v>695</x:v>
      </x:c>
      <x:c r="J2679" s="26" t="n">
        <x:v>0</x:v>
      </x:c>
      <x:c r="K2679" s="35" t="str">
        <x:v>LN025 scheduled payment</x:v>
      </x:c>
    </x:row>
    <x:row r="2680">
      <x:c r="A2680" s="20" t="str">
        <x:v>FIN-01278</x:v>
      </x:c>
      <x:c r="B2680" s="32" t="n">
        <x:v>2</x:v>
      </x:c>
      <x:c r="C2680" s="23" t="n">
        <x:v>46558</x:v>
      </x:c>
      <x:c r="D2680" s="23" t="n">
        <x:v>46558</x:v>
      </x:c>
      <x:c r="E2680" s="20" t="str">
        <x:v>P025</x:v>
      </x:c>
      <x:c r="F2680" s="20" t="str"/>
      <x:c r="G2680" s="20" t="str"/>
      <x:c r="H2680" s="20" t="str">
        <x:v>5040 Mortgage Interest</x:v>
      </x:c>
      <x:c r="I2680" s="26" t="n">
        <x:v>895</x:v>
      </x:c>
      <x:c r="J2680" s="26" t="n">
        <x:v>0</x:v>
      </x:c>
      <x:c r="K2680" s="35" t="str">
        <x:v>LN025 scheduled payment</x:v>
      </x:c>
    </x:row>
    <x:row r="2681">
      <x:c r="A2681" s="20" t="str">
        <x:v>FIN-01278</x:v>
      </x:c>
      <x:c r="B2681" s="32" t="n">
        <x:v>3</x:v>
      </x:c>
      <x:c r="C2681" s="23" t="n">
        <x:v>46558</x:v>
      </x:c>
      <x:c r="D2681" s="23" t="n">
        <x:v>46558</x:v>
      </x:c>
      <x:c r="E2681" s="20" t="str">
        <x:v>P025</x:v>
      </x:c>
      <x:c r="F2681" s="20" t="str"/>
      <x:c r="G2681" s="20" t="str"/>
      <x:c r="H2681" s="20" t="str">
        <x:v>1000 Operating Cash</x:v>
      </x:c>
      <x:c r="I2681" s="26" t="n">
        <x:v>0</x:v>
      </x:c>
      <x:c r="J2681" s="26" t="n">
        <x:v>1590</x:v>
      </x:c>
      <x:c r="K2681" s="35" t="str">
        <x:v>LN025 scheduled payment</x:v>
      </x:c>
    </x:row>
    <x:row r="2682">
      <x:c r="A2682" s="20" t="str">
        <x:v>FIN-01279</x:v>
      </x:c>
      <x:c r="B2682" s="32" t="n">
        <x:v>1</x:v>
      </x:c>
      <x:c r="C2682" s="23" t="n">
        <x:v>46558</x:v>
      </x:c>
      <x:c r="D2682" s="23" t="n">
        <x:v>46558</x:v>
      </x:c>
      <x:c r="E2682" s="20" t="str">
        <x:v>P026</x:v>
      </x:c>
      <x:c r="F2682" s="20" t="str"/>
      <x:c r="G2682" s="20" t="str"/>
      <x:c r="H2682" s="20" t="str">
        <x:v>2200 Mortgage Loans Payable</x:v>
      </x:c>
      <x:c r="I2682" s="26" t="n">
        <x:v>706</x:v>
      </x:c>
      <x:c r="J2682" s="26" t="n">
        <x:v>0</x:v>
      </x:c>
      <x:c r="K2682" s="35" t="str">
        <x:v>LN026 scheduled payment</x:v>
      </x:c>
    </x:row>
    <x:row r="2683">
      <x:c r="A2683" s="20" t="str">
        <x:v>FIN-01279</x:v>
      </x:c>
      <x:c r="B2683" s="32" t="n">
        <x:v>2</x:v>
      </x:c>
      <x:c r="C2683" s="23" t="n">
        <x:v>46558</x:v>
      </x:c>
      <x:c r="D2683" s="23" t="n">
        <x:v>46558</x:v>
      </x:c>
      <x:c r="E2683" s="20" t="str">
        <x:v>P026</x:v>
      </x:c>
      <x:c r="F2683" s="20" t="str"/>
      <x:c r="G2683" s="20" t="str"/>
      <x:c r="H2683" s="20" t="str">
        <x:v>5040 Mortgage Interest</x:v>
      </x:c>
      <x:c r="I2683" s="26" t="n">
        <x:v>908</x:v>
      </x:c>
      <x:c r="J2683" s="26" t="n">
        <x:v>0</x:v>
      </x:c>
      <x:c r="K2683" s="35" t="str">
        <x:v>LN026 scheduled payment</x:v>
      </x:c>
    </x:row>
    <x:row r="2684">
      <x:c r="A2684" s="20" t="str">
        <x:v>FIN-01279</x:v>
      </x:c>
      <x:c r="B2684" s="32" t="n">
        <x:v>3</x:v>
      </x:c>
      <x:c r="C2684" s="23" t="n">
        <x:v>46558</x:v>
      </x:c>
      <x:c r="D2684" s="23" t="n">
        <x:v>46558</x:v>
      </x:c>
      <x:c r="E2684" s="20" t="str">
        <x:v>P026</x:v>
      </x:c>
      <x:c r="F2684" s="20" t="str"/>
      <x:c r="G2684" s="20" t="str"/>
      <x:c r="H2684" s="20" t="str">
        <x:v>1000 Operating Cash</x:v>
      </x:c>
      <x:c r="I2684" s="26" t="n">
        <x:v>0</x:v>
      </x:c>
      <x:c r="J2684" s="26" t="n">
        <x:v>1614</x:v>
      </x:c>
      <x:c r="K2684" s="35" t="str">
        <x:v>LN026 scheduled payment</x:v>
      </x:c>
    </x:row>
    <x:row r="2685">
      <x:c r="A2685" s="20" t="str">
        <x:v>FIN-01280</x:v>
      </x:c>
      <x:c r="B2685" s="32" t="n">
        <x:v>1</x:v>
      </x:c>
      <x:c r="C2685" s="23" t="n">
        <x:v>46558</x:v>
      </x:c>
      <x:c r="D2685" s="23" t="n">
        <x:v>46558</x:v>
      </x:c>
      <x:c r="E2685" s="20" t="str">
        <x:v>P028</x:v>
      </x:c>
      <x:c r="F2685" s="20" t="str"/>
      <x:c r="G2685" s="20" t="str"/>
      <x:c r="H2685" s="20" t="str">
        <x:v>2200 Mortgage Loans Payable</x:v>
      </x:c>
      <x:c r="I2685" s="26" t="n">
        <x:v>728</x:v>
      </x:c>
      <x:c r="J2685" s="26" t="n">
        <x:v>0</x:v>
      </x:c>
      <x:c r="K2685" s="35" t="str">
        <x:v>LN028 scheduled payment</x:v>
      </x:c>
    </x:row>
    <x:row r="2686">
      <x:c r="A2686" s="20" t="str">
        <x:v>FIN-01280</x:v>
      </x:c>
      <x:c r="B2686" s="32" t="n">
        <x:v>2</x:v>
      </x:c>
      <x:c r="C2686" s="23" t="n">
        <x:v>46558</x:v>
      </x:c>
      <x:c r="D2686" s="23" t="n">
        <x:v>46558</x:v>
      </x:c>
      <x:c r="E2686" s="20" t="str">
        <x:v>P028</x:v>
      </x:c>
      <x:c r="F2686" s="20" t="str"/>
      <x:c r="G2686" s="20" t="str"/>
      <x:c r="H2686" s="20" t="str">
        <x:v>5040 Mortgage Interest</x:v>
      </x:c>
      <x:c r="I2686" s="26" t="n">
        <x:v>934</x:v>
      </x:c>
      <x:c r="J2686" s="26" t="n">
        <x:v>0</x:v>
      </x:c>
      <x:c r="K2686" s="35" t="str">
        <x:v>LN028 scheduled payment</x:v>
      </x:c>
    </x:row>
    <x:row r="2687">
      <x:c r="A2687" s="20" t="str">
        <x:v>FIN-01280</x:v>
      </x:c>
      <x:c r="B2687" s="32" t="n">
        <x:v>3</x:v>
      </x:c>
      <x:c r="C2687" s="23" t="n">
        <x:v>46558</x:v>
      </x:c>
      <x:c r="D2687" s="23" t="n">
        <x:v>46558</x:v>
      </x:c>
      <x:c r="E2687" s="20" t="str">
        <x:v>P028</x:v>
      </x:c>
      <x:c r="F2687" s="20" t="str"/>
      <x:c r="G2687" s="20" t="str"/>
      <x:c r="H2687" s="20" t="str">
        <x:v>1000 Operating Cash</x:v>
      </x:c>
      <x:c r="I2687" s="26" t="n">
        <x:v>0</x:v>
      </x:c>
      <x:c r="J2687" s="26" t="n">
        <x:v>1662</x:v>
      </x:c>
      <x:c r="K2687" s="35" t="str">
        <x:v>LN028 scheduled payment</x:v>
      </x:c>
    </x:row>
    <x:row r="2688">
      <x:c r="A2688" s="20" t="str">
        <x:v>FIN-01281</x:v>
      </x:c>
      <x:c r="B2688" s="32" t="n">
        <x:v>1</x:v>
      </x:c>
      <x:c r="C2688" s="23" t="n">
        <x:v>46558</x:v>
      </x:c>
      <x:c r="D2688" s="23" t="n">
        <x:v>46558</x:v>
      </x:c>
      <x:c r="E2688" s="20" t="str">
        <x:v>P029</x:v>
      </x:c>
      <x:c r="F2688" s="20" t="str"/>
      <x:c r="G2688" s="20" t="str"/>
      <x:c r="H2688" s="20" t="str">
        <x:v>2200 Mortgage Loans Payable</x:v>
      </x:c>
      <x:c r="I2688" s="26" t="n">
        <x:v>739</x:v>
      </x:c>
      <x:c r="J2688" s="26" t="n">
        <x:v>0</x:v>
      </x:c>
      <x:c r="K2688" s="35" t="str">
        <x:v>LN029 scheduled payment</x:v>
      </x:c>
    </x:row>
    <x:row r="2689">
      <x:c r="A2689" s="20" t="str">
        <x:v>FIN-01281</x:v>
      </x:c>
      <x:c r="B2689" s="32" t="n">
        <x:v>2</x:v>
      </x:c>
      <x:c r="C2689" s="23" t="n">
        <x:v>46558</x:v>
      </x:c>
      <x:c r="D2689" s="23" t="n">
        <x:v>46558</x:v>
      </x:c>
      <x:c r="E2689" s="20" t="str">
        <x:v>P029</x:v>
      </x:c>
      <x:c r="F2689" s="20" t="str"/>
      <x:c r="G2689" s="20" t="str"/>
      <x:c r="H2689" s="20" t="str">
        <x:v>5040 Mortgage Interest</x:v>
      </x:c>
      <x:c r="I2689" s="26" t="n">
        <x:v>947</x:v>
      </x:c>
      <x:c r="J2689" s="26" t="n">
        <x:v>0</x:v>
      </x:c>
      <x:c r="K2689" s="35" t="str">
        <x:v>LN029 scheduled payment</x:v>
      </x:c>
    </x:row>
    <x:row r="2690">
      <x:c r="A2690" s="20" t="str">
        <x:v>FIN-01281</x:v>
      </x:c>
      <x:c r="B2690" s="32" t="n">
        <x:v>3</x:v>
      </x:c>
      <x:c r="C2690" s="23" t="n">
        <x:v>46558</x:v>
      </x:c>
      <x:c r="D2690" s="23" t="n">
        <x:v>46558</x:v>
      </x:c>
      <x:c r="E2690" s="20" t="str">
        <x:v>P029</x:v>
      </x:c>
      <x:c r="F2690" s="20" t="str"/>
      <x:c r="G2690" s="20" t="str"/>
      <x:c r="H2690" s="20" t="str">
        <x:v>1000 Operating Cash</x:v>
      </x:c>
      <x:c r="I2690" s="26" t="n">
        <x:v>0</x:v>
      </x:c>
      <x:c r="J2690" s="26" t="n">
        <x:v>1686</x:v>
      </x:c>
      <x:c r="K2690" s="35" t="str">
        <x:v>LN029 scheduled payment</x:v>
      </x:c>
    </x:row>
    <x:row r="2691">
      <x:c r="A2691" s="20" t="str">
        <x:v>FIN-01282</x:v>
      </x:c>
      <x:c r="B2691" s="32" t="n">
        <x:v>1</x:v>
      </x:c>
      <x:c r="C2691" s="23" t="n">
        <x:v>46563</x:v>
      </x:c>
      <x:c r="D2691" s="23" t="n">
        <x:v>46563</x:v>
      </x:c>
      <x:c r="E2691" s="20" t="str"/>
      <x:c r="F2691" s="20" t="str"/>
      <x:c r="G2691" s="20" t="str"/>
      <x:c r="H2691" s="20" t="str">
        <x:v>3100 Owner Distributions</x:v>
      </x:c>
      <x:c r="I2691" s="26" t="n">
        <x:v>2850</x:v>
      </x:c>
      <x:c r="J2691" s="26" t="n">
        <x:v>0</x:v>
      </x:c>
      <x:c r="K2691" s="35" t="str">
        <x:v>Monthly distribution to Blue Door Residential LLC</x:v>
      </x:c>
    </x:row>
    <x:row r="2692">
      <x:c r="A2692" s="20" t="str">
        <x:v>FIN-01282</x:v>
      </x:c>
      <x:c r="B2692" s="32" t="n">
        <x:v>2</x:v>
      </x:c>
      <x:c r="C2692" s="23" t="n">
        <x:v>46563</x:v>
      </x:c>
      <x:c r="D2692" s="23" t="n">
        <x:v>46563</x:v>
      </x:c>
      <x:c r="E2692" s="20" t="str"/>
      <x:c r="F2692" s="20" t="str"/>
      <x:c r="G2692" s="20" t="str"/>
      <x:c r="H2692" s="20" t="str">
        <x:v>1000 Operating Cash</x:v>
      </x:c>
      <x:c r="I2692" s="26" t="n">
        <x:v>0</x:v>
      </x:c>
      <x:c r="J2692" s="26" t="n">
        <x:v>2850</x:v>
      </x:c>
      <x:c r="K2692" s="35" t="str">
        <x:v>Monthly distribution to Blue Door Residential LLC</x:v>
      </x:c>
    </x:row>
    <x:row r="2693">
      <x:c r="A2693" s="20" t="str">
        <x:v>FIN-01283</x:v>
      </x:c>
      <x:c r="B2693" s="32" t="n">
        <x:v>1</x:v>
      </x:c>
      <x:c r="C2693" s="23" t="n">
        <x:v>46563</x:v>
      </x:c>
      <x:c r="D2693" s="23" t="n">
        <x:v>46563</x:v>
      </x:c>
      <x:c r="E2693" s="20" t="str"/>
      <x:c r="F2693" s="20" t="str"/>
      <x:c r="G2693" s="20" t="str"/>
      <x:c r="H2693" s="20" t="str">
        <x:v>3100 Owner Distributions</x:v>
      </x:c>
      <x:c r="I2693" s="26" t="n">
        <x:v>3200</x:v>
      </x:c>
      <x:c r="J2693" s="26" t="n">
        <x:v>0</x:v>
      </x:c>
      <x:c r="K2693" s="35" t="str">
        <x:v>Monthly distribution to Coble Family Rentals LLC</x:v>
      </x:c>
    </x:row>
    <x:row r="2694">
      <x:c r="A2694" s="20" t="str">
        <x:v>FIN-01283</x:v>
      </x:c>
      <x:c r="B2694" s="32" t="n">
        <x:v>2</x:v>
      </x:c>
      <x:c r="C2694" s="23" t="n">
        <x:v>46563</x:v>
      </x:c>
      <x:c r="D2694" s="23" t="n">
        <x:v>46563</x:v>
      </x:c>
      <x:c r="E2694" s="20" t="str"/>
      <x:c r="F2694" s="20" t="str"/>
      <x:c r="G2694" s="20" t="str"/>
      <x:c r="H2694" s="20" t="str">
        <x:v>1000 Operating Cash</x:v>
      </x:c>
      <x:c r="I2694" s="26" t="n">
        <x:v>0</x:v>
      </x:c>
      <x:c r="J2694" s="26" t="n">
        <x:v>3200</x:v>
      </x:c>
      <x:c r="K2694" s="35" t="str">
        <x:v>Monthly distribution to Coble Family Rentals LLC</x:v>
      </x:c>
    </x:row>
    <x:row r="2695">
      <x:c r="A2695" s="20" t="str">
        <x:v>FIN-01284</x:v>
      </x:c>
      <x:c r="B2695" s="32" t="n">
        <x:v>1</x:v>
      </x:c>
      <x:c r="C2695" s="23" t="n">
        <x:v>46563</x:v>
      </x:c>
      <x:c r="D2695" s="23" t="n">
        <x:v>46563</x:v>
      </x:c>
      <x:c r="E2695" s="20" t="str"/>
      <x:c r="F2695" s="20" t="str"/>
      <x:c r="G2695" s="20" t="str"/>
      <x:c r="H2695" s="20" t="str">
        <x:v>3100 Owner Distributions</x:v>
      </x:c>
      <x:c r="I2695" s="26" t="n">
        <x:v>3550</x:v>
      </x:c>
      <x:c r="J2695" s="26" t="n">
        <x:v>0</x:v>
      </x:c>
      <x:c r="K2695" s="35" t="str">
        <x:v>Monthly distribution to Northstar Property Partners LLC</x:v>
      </x:c>
    </x:row>
    <x:row r="2696">
      <x:c r="A2696" s="20" t="str">
        <x:v>FIN-01284</x:v>
      </x:c>
      <x:c r="B2696" s="32" t="n">
        <x:v>2</x:v>
      </x:c>
      <x:c r="C2696" s="23" t="n">
        <x:v>46563</x:v>
      </x:c>
      <x:c r="D2696" s="23" t="n">
        <x:v>46563</x:v>
      </x:c>
      <x:c r="E2696" s="20" t="str"/>
      <x:c r="F2696" s="20" t="str"/>
      <x:c r="G2696" s="20" t="str"/>
      <x:c r="H2696" s="20" t="str">
        <x:v>1000 Operating Cash</x:v>
      </x:c>
      <x:c r="I2696" s="26" t="n">
        <x:v>0</x:v>
      </x:c>
      <x:c r="J2696" s="26" t="n">
        <x:v>3550</x:v>
      </x:c>
      <x:c r="K2696" s="35" t="str">
        <x:v>Monthly distribution to Northstar Property Partners LLC</x:v>
      </x:c>
    </x:row>
    <x:row r="2697">
      <x:c r="A2697" s="20" t="str">
        <x:v>FIN-01285</x:v>
      </x:c>
      <x:c r="B2697" s="32" t="n">
        <x:v>1</x:v>
      </x:c>
      <x:c r="C2697" s="23" t="n">
        <x:v>46563</x:v>
      </x:c>
      <x:c r="D2697" s="23" t="n">
        <x:v>46563</x:v>
      </x:c>
      <x:c r="E2697" s="20" t="str"/>
      <x:c r="F2697" s="20" t="str"/>
      <x:c r="G2697" s="20" t="str"/>
      <x:c r="H2697" s="20" t="str">
        <x:v>3100 Owner Distributions</x:v>
      </x:c>
      <x:c r="I2697" s="26" t="n">
        <x:v>3900</x:v>
      </x:c>
      <x:c r="J2697" s="26" t="n">
        <x:v>0</x:v>
      </x:c>
      <x:c r="K2697" s="35" t="str">
        <x:v>Monthly distribution to Riverbend Homes LLC</x:v>
      </x:c>
    </x:row>
    <x:row r="2698">
      <x:c r="A2698" s="20" t="str">
        <x:v>FIN-01285</x:v>
      </x:c>
      <x:c r="B2698" s="32" t="n">
        <x:v>2</x:v>
      </x:c>
      <x:c r="C2698" s="23" t="n">
        <x:v>46563</x:v>
      </x:c>
      <x:c r="D2698" s="23" t="n">
        <x:v>46563</x:v>
      </x:c>
      <x:c r="E2698" s="20" t="str"/>
      <x:c r="F2698" s="20" t="str"/>
      <x:c r="G2698" s="20" t="str"/>
      <x:c r="H2698" s="20" t="str">
        <x:v>1000 Operating Cash</x:v>
      </x:c>
      <x:c r="I2698" s="26" t="n">
        <x:v>0</x:v>
      </x:c>
      <x:c r="J2698" s="26" t="n">
        <x:v>3900</x:v>
      </x:c>
      <x:c r="K2698" s="35" t="str">
        <x:v>Monthly distribution to Riverbend Homes LLC</x:v>
      </x:c>
    </x:row>
    <x:row r="2699">
      <x:c r="A2699" s="20" t="str">
        <x:v>FIN-01286</x:v>
      </x:c>
      <x:c r="B2699" s="32" t="n">
        <x:v>1</x:v>
      </x:c>
      <x:c r="C2699" s="23" t="n">
        <x:v>46563</x:v>
      </x:c>
      <x:c r="D2699" s="23" t="n">
        <x:v>46563</x:v>
      </x:c>
      <x:c r="E2699" s="20" t="str"/>
      <x:c r="F2699" s="20" t="str"/>
      <x:c r="G2699" s="20" t="str"/>
      <x:c r="H2699" s="20" t="str">
        <x:v>3100 Owner Distributions</x:v>
      </x:c>
      <x:c r="I2699" s="26" t="n">
        <x:v>4250</x:v>
      </x:c>
      <x:c r="J2699" s="26" t="n">
        <x:v>0</x:v>
      </x:c>
      <x:c r="K2699" s="35" t="str">
        <x:v>Monthly distribution to Juniper Street Holdings LLC</x:v>
      </x:c>
    </x:row>
    <x:row r="2700">
      <x:c r="A2700" s="20" t="str">
        <x:v>FIN-01286</x:v>
      </x:c>
      <x:c r="B2700" s="32" t="n">
        <x:v>2</x:v>
      </x:c>
      <x:c r="C2700" s="23" t="n">
        <x:v>46563</x:v>
      </x:c>
      <x:c r="D2700" s="23" t="n">
        <x:v>46563</x:v>
      </x:c>
      <x:c r="E2700" s="20" t="str"/>
      <x:c r="F2700" s="20" t="str"/>
      <x:c r="G2700" s="20" t="str"/>
      <x:c r="H2700" s="20" t="str">
        <x:v>1000 Operating Cash</x:v>
      </x:c>
      <x:c r="I2700" s="26" t="n">
        <x:v>0</x:v>
      </x:c>
      <x:c r="J2700" s="26" t="n">
        <x:v>4250</x:v>
      </x:c>
      <x:c r="K2700" s="35" t="str">
        <x:v>Monthly distribution to Juniper Street Holdings LLC</x:v>
      </x:c>
    </x:row>
    <x:row r="2701">
      <x:c r="A2701" s="20" t="str">
        <x:v>FIN-01287</x:v>
      </x:c>
      <x:c r="B2701" s="32" t="n">
        <x:v>1</x:v>
      </x:c>
      <x:c r="C2701" s="23" t="n">
        <x:v>46568</x:v>
      </x:c>
      <x:c r="D2701" s="23" t="n">
        <x:v>46568</x:v>
      </x:c>
      <x:c r="E2701" s="20" t="str"/>
      <x:c r="F2701" s="20" t="str"/>
      <x:c r="G2701" s="20" t="str"/>
      <x:c r="H2701" s="20" t="str">
        <x:v>5090 Bank Fees</x:v>
      </x:c>
      <x:c r="I2701" s="26" t="n">
        <x:v>18</x:v>
      </x:c>
      <x:c r="J2701" s="26" t="n">
        <x:v>0</x:v>
      </x:c>
      <x:c r="K2701" s="35" t="str">
        <x:v>Quarterly account analysis fee</x:v>
      </x:c>
    </x:row>
    <x:row r="2702">
      <x:c r="A2702" s="20" t="str">
        <x:v>FIN-01287</x:v>
      </x:c>
      <x:c r="B2702" s="32" t="n">
        <x:v>2</x:v>
      </x:c>
      <x:c r="C2702" s="23" t="n">
        <x:v>46568</x:v>
      </x:c>
      <x:c r="D2702" s="23" t="n">
        <x:v>46568</x:v>
      </x:c>
      <x:c r="E2702" s="20" t="str"/>
      <x:c r="F2702" s="20" t="str"/>
      <x:c r="G2702" s="20" t="str"/>
      <x:c r="H2702" s="20" t="str">
        <x:v>1000 Operating Cash</x:v>
      </x:c>
      <x:c r="I2702" s="26" t="n">
        <x:v>0</x:v>
      </x:c>
      <x:c r="J2702" s="26" t="n">
        <x:v>18</x:v>
      </x:c>
      <x:c r="K2702" s="35" t="str">
        <x:v>Quarterly account analysis fee</x:v>
      </x:c>
    </x:row>
    <x:row r="2703">
      <x:c r="A2703" s="20" t="str">
        <x:v>FIN-01288</x:v>
      </x:c>
      <x:c r="B2703" s="32" t="n">
        <x:v>1</x:v>
      </x:c>
      <x:c r="C2703" s="23" t="n">
        <x:v>46583</x:v>
      </x:c>
      <x:c r="D2703" s="23" t="n">
        <x:v>46583</x:v>
      </x:c>
      <x:c r="E2703" s="20" t="str">
        <x:v>P021</x:v>
      </x:c>
      <x:c r="F2703" s="20" t="str"/>
      <x:c r="G2703" s="20" t="str"/>
      <x:c r="H2703" s="20" t="str">
        <x:v>5010 Utilities</x:v>
      </x:c>
      <x:c r="I2703" s="26" t="n">
        <x:v>202</x:v>
      </x:c>
      <x:c r="J2703" s="26" t="n">
        <x:v>0</x:v>
      </x:c>
      <x:c r="K2703" s="35" t="str">
        <x:v>City Water &amp; Sewer</x:v>
      </x:c>
    </x:row>
    <x:row r="2704">
      <x:c r="A2704" s="20" t="str">
        <x:v>FIN-01288</x:v>
      </x:c>
      <x:c r="B2704" s="32" t="n">
        <x:v>2</x:v>
      </x:c>
      <x:c r="C2704" s="23" t="n">
        <x:v>46583</x:v>
      </x:c>
      <x:c r="D2704" s="23" t="n">
        <x:v>46583</x:v>
      </x:c>
      <x:c r="E2704" s="20" t="str">
        <x:v>P021</x:v>
      </x:c>
      <x:c r="F2704" s="20" t="str"/>
      <x:c r="G2704" s="20" t="str"/>
      <x:c r="H2704" s="20" t="str">
        <x:v>1000 Operating Cash</x:v>
      </x:c>
      <x:c r="I2704" s="26" t="n">
        <x:v>0</x:v>
      </x:c>
      <x:c r="J2704" s="26" t="n">
        <x:v>202</x:v>
      </x:c>
      <x:c r="K2704" s="35" t="str">
        <x:v>City Water &amp; Sewer</x:v>
      </x:c>
    </x:row>
    <x:row r="2705">
      <x:c r="A2705" s="20" t="str">
        <x:v>FIN-01289</x:v>
      </x:c>
      <x:c r="B2705" s="32" t="n">
        <x:v>1</x:v>
      </x:c>
      <x:c r="C2705" s="23" t="n">
        <x:v>46583</x:v>
      </x:c>
      <x:c r="D2705" s="23" t="n">
        <x:v>46583</x:v>
      </x:c>
      <x:c r="E2705" s="20" t="str">
        <x:v>P022</x:v>
      </x:c>
      <x:c r="F2705" s="20" t="str"/>
      <x:c r="G2705" s="20" t="str"/>
      <x:c r="H2705" s="20" t="str">
        <x:v>5010 Utilities</x:v>
      </x:c>
      <x:c r="I2705" s="26" t="n">
        <x:v>119</x:v>
      </x:c>
      <x:c r="J2705" s="26" t="n">
        <x:v>0</x:v>
      </x:c>
      <x:c r="K2705" s="35" t="str">
        <x:v>City Water &amp; Sewer</x:v>
      </x:c>
    </x:row>
    <x:row r="2706">
      <x:c r="A2706" s="20" t="str">
        <x:v>FIN-01289</x:v>
      </x:c>
      <x:c r="B2706" s="32" t="n">
        <x:v>2</x:v>
      </x:c>
      <x:c r="C2706" s="23" t="n">
        <x:v>46583</x:v>
      </x:c>
      <x:c r="D2706" s="23" t="n">
        <x:v>46583</x:v>
      </x:c>
      <x:c r="E2706" s="20" t="str">
        <x:v>P022</x:v>
      </x:c>
      <x:c r="F2706" s="20" t="str"/>
      <x:c r="G2706" s="20" t="str"/>
      <x:c r="H2706" s="20" t="str">
        <x:v>1000 Operating Cash</x:v>
      </x:c>
      <x:c r="I2706" s="26" t="n">
        <x:v>0</x:v>
      </x:c>
      <x:c r="J2706" s="26" t="n">
        <x:v>119</x:v>
      </x:c>
      <x:c r="K2706" s="35" t="str">
        <x:v>City Water &amp; Sewer</x:v>
      </x:c>
    </x:row>
    <x:row r="2707">
      <x:c r="A2707" s="20" t="str">
        <x:v>FIN-01290</x:v>
      </x:c>
      <x:c r="B2707" s="32" t="n">
        <x:v>1</x:v>
      </x:c>
      <x:c r="C2707" s="23" t="n">
        <x:v>46583</x:v>
      </x:c>
      <x:c r="D2707" s="23" t="n">
        <x:v>46583</x:v>
      </x:c>
      <x:c r="E2707" s="20" t="str">
        <x:v>P023</x:v>
      </x:c>
      <x:c r="F2707" s="20" t="str"/>
      <x:c r="G2707" s="20" t="str"/>
      <x:c r="H2707" s="20" t="str">
        <x:v>5010 Utilities</x:v>
      </x:c>
      <x:c r="I2707" s="26" t="n">
        <x:v>126</x:v>
      </x:c>
      <x:c r="J2707" s="26" t="n">
        <x:v>0</x:v>
      </x:c>
      <x:c r="K2707" s="35" t="str">
        <x:v>City Water &amp; Sewer</x:v>
      </x:c>
    </x:row>
    <x:row r="2708">
      <x:c r="A2708" s="20" t="str">
        <x:v>FIN-01290</x:v>
      </x:c>
      <x:c r="B2708" s="32" t="n">
        <x:v>2</x:v>
      </x:c>
      <x:c r="C2708" s="23" t="n">
        <x:v>46583</x:v>
      </x:c>
      <x:c r="D2708" s="23" t="n">
        <x:v>46583</x:v>
      </x:c>
      <x:c r="E2708" s="20" t="str">
        <x:v>P023</x:v>
      </x:c>
      <x:c r="F2708" s="20" t="str"/>
      <x:c r="G2708" s="20" t="str"/>
      <x:c r="H2708" s="20" t="str">
        <x:v>1000 Operating Cash</x:v>
      </x:c>
      <x:c r="I2708" s="26" t="n">
        <x:v>0</x:v>
      </x:c>
      <x:c r="J2708" s="26" t="n">
        <x:v>126</x:v>
      </x:c>
      <x:c r="K2708" s="35" t="str">
        <x:v>City Water &amp; Sewer</x:v>
      </x:c>
    </x:row>
    <x:row r="2709">
      <x:c r="A2709" s="20" t="str">
        <x:v>FIN-01291</x:v>
      </x:c>
      <x:c r="B2709" s="32" t="n">
        <x:v>1</x:v>
      </x:c>
      <x:c r="C2709" s="23" t="n">
        <x:v>46583</x:v>
      </x:c>
      <x:c r="D2709" s="23" t="n">
        <x:v>46583</x:v>
      </x:c>
      <x:c r="E2709" s="20" t="str">
        <x:v>P024</x:v>
      </x:c>
      <x:c r="F2709" s="20" t="str"/>
      <x:c r="G2709" s="20" t="str"/>
      <x:c r="H2709" s="20" t="str">
        <x:v>5010 Utilities</x:v>
      </x:c>
      <x:c r="I2709" s="26" t="n">
        <x:v>133</x:v>
      </x:c>
      <x:c r="J2709" s="26" t="n">
        <x:v>0</x:v>
      </x:c>
      <x:c r="K2709" s="35" t="str">
        <x:v>City Water &amp; Sewer</x:v>
      </x:c>
    </x:row>
    <x:row r="2710">
      <x:c r="A2710" s="20" t="str">
        <x:v>FIN-01291</x:v>
      </x:c>
      <x:c r="B2710" s="32" t="n">
        <x:v>2</x:v>
      </x:c>
      <x:c r="C2710" s="23" t="n">
        <x:v>46583</x:v>
      </x:c>
      <x:c r="D2710" s="23" t="n">
        <x:v>46583</x:v>
      </x:c>
      <x:c r="E2710" s="20" t="str">
        <x:v>P024</x:v>
      </x:c>
      <x:c r="F2710" s="20" t="str"/>
      <x:c r="G2710" s="20" t="str"/>
      <x:c r="H2710" s="20" t="str">
        <x:v>1000 Operating Cash</x:v>
      </x:c>
      <x:c r="I2710" s="26" t="n">
        <x:v>0</x:v>
      </x:c>
      <x:c r="J2710" s="26" t="n">
        <x:v>133</x:v>
      </x:c>
      <x:c r="K2710" s="35" t="str">
        <x:v>City Water &amp; Sewer</x:v>
      </x:c>
    </x:row>
    <x:row r="2711">
      <x:c r="A2711" s="20" t="str">
        <x:v>FIN-01292</x:v>
      </x:c>
      <x:c r="B2711" s="32" t="n">
        <x:v>1</x:v>
      </x:c>
      <x:c r="C2711" s="23" t="n">
        <x:v>46583</x:v>
      </x:c>
      <x:c r="D2711" s="23" t="n">
        <x:v>46583</x:v>
      </x:c>
      <x:c r="E2711" s="20" t="str">
        <x:v>P025</x:v>
      </x:c>
      <x:c r="F2711" s="20" t="str"/>
      <x:c r="G2711" s="20" t="str"/>
      <x:c r="H2711" s="20" t="str">
        <x:v>5010 Utilities</x:v>
      </x:c>
      <x:c r="I2711" s="26" t="n">
        <x:v>140</x:v>
      </x:c>
      <x:c r="J2711" s="26" t="n">
        <x:v>0</x:v>
      </x:c>
      <x:c r="K2711" s="35" t="str">
        <x:v>City Water &amp; Sewer</x:v>
      </x:c>
    </x:row>
    <x:row r="2712">
      <x:c r="A2712" s="20" t="str">
        <x:v>FIN-01292</x:v>
      </x:c>
      <x:c r="B2712" s="32" t="n">
        <x:v>2</x:v>
      </x:c>
      <x:c r="C2712" s="23" t="n">
        <x:v>46583</x:v>
      </x:c>
      <x:c r="D2712" s="23" t="n">
        <x:v>46583</x:v>
      </x:c>
      <x:c r="E2712" s="20" t="str">
        <x:v>P025</x:v>
      </x:c>
      <x:c r="F2712" s="20" t="str"/>
      <x:c r="G2712" s="20" t="str"/>
      <x:c r="H2712" s="20" t="str">
        <x:v>1000 Operating Cash</x:v>
      </x:c>
      <x:c r="I2712" s="26" t="n">
        <x:v>0</x:v>
      </x:c>
      <x:c r="J2712" s="26" t="n">
        <x:v>140</x:v>
      </x:c>
      <x:c r="K2712" s="35" t="str">
        <x:v>City Water &amp; Sewer</x:v>
      </x:c>
    </x:row>
    <x:row r="2713">
      <x:c r="A2713" s="20" t="str">
        <x:v>FIN-01293</x:v>
      </x:c>
      <x:c r="B2713" s="32" t="n">
        <x:v>1</x:v>
      </x:c>
      <x:c r="C2713" s="23" t="n">
        <x:v>46583</x:v>
      </x:c>
      <x:c r="D2713" s="23" t="n">
        <x:v>46583</x:v>
      </x:c>
      <x:c r="E2713" s="20" t="str">
        <x:v>P026</x:v>
      </x:c>
      <x:c r="F2713" s="20" t="str"/>
      <x:c r="G2713" s="20" t="str"/>
      <x:c r="H2713" s="20" t="str">
        <x:v>5010 Utilities</x:v>
      </x:c>
      <x:c r="I2713" s="26" t="n">
        <x:v>147</x:v>
      </x:c>
      <x:c r="J2713" s="26" t="n">
        <x:v>0</x:v>
      </x:c>
      <x:c r="K2713" s="35" t="str">
        <x:v>City Water &amp; Sewer</x:v>
      </x:c>
    </x:row>
    <x:row r="2714">
      <x:c r="A2714" s="20" t="str">
        <x:v>FIN-01293</x:v>
      </x:c>
      <x:c r="B2714" s="32" t="n">
        <x:v>2</x:v>
      </x:c>
      <x:c r="C2714" s="23" t="n">
        <x:v>46583</x:v>
      </x:c>
      <x:c r="D2714" s="23" t="n">
        <x:v>46583</x:v>
      </x:c>
      <x:c r="E2714" s="20" t="str">
        <x:v>P026</x:v>
      </x:c>
      <x:c r="F2714" s="20" t="str"/>
      <x:c r="G2714" s="20" t="str"/>
      <x:c r="H2714" s="20" t="str">
        <x:v>1000 Operating Cash</x:v>
      </x:c>
      <x:c r="I2714" s="26" t="n">
        <x:v>0</x:v>
      </x:c>
      <x:c r="J2714" s="26" t="n">
        <x:v>147</x:v>
      </x:c>
      <x:c r="K2714" s="35" t="str">
        <x:v>City Water &amp; Sewer</x:v>
      </x:c>
    </x:row>
    <x:row r="2715">
      <x:c r="A2715" s="20" t="str">
        <x:v>FIN-01294</x:v>
      </x:c>
      <x:c r="B2715" s="32" t="n">
        <x:v>1</x:v>
      </x:c>
      <x:c r="C2715" s="23" t="n">
        <x:v>46583</x:v>
      </x:c>
      <x:c r="D2715" s="23" t="n">
        <x:v>46583</x:v>
      </x:c>
      <x:c r="E2715" s="20" t="str">
        <x:v>P027</x:v>
      </x:c>
      <x:c r="F2715" s="20" t="str"/>
      <x:c r="G2715" s="20" t="str"/>
      <x:c r="H2715" s="20" t="str">
        <x:v>5010 Utilities</x:v>
      </x:c>
      <x:c r="I2715" s="26" t="n">
        <x:v>154</x:v>
      </x:c>
      <x:c r="J2715" s="26" t="n">
        <x:v>0</x:v>
      </x:c>
      <x:c r="K2715" s="35" t="str">
        <x:v>City Water &amp; Sewer</x:v>
      </x:c>
    </x:row>
    <x:row r="2716">
      <x:c r="A2716" s="20" t="str">
        <x:v>FIN-01294</x:v>
      </x:c>
      <x:c r="B2716" s="32" t="n">
        <x:v>2</x:v>
      </x:c>
      <x:c r="C2716" s="23" t="n">
        <x:v>46583</x:v>
      </x:c>
      <x:c r="D2716" s="23" t="n">
        <x:v>46583</x:v>
      </x:c>
      <x:c r="E2716" s="20" t="str">
        <x:v>P027</x:v>
      </x:c>
      <x:c r="F2716" s="20" t="str"/>
      <x:c r="G2716" s="20" t="str"/>
      <x:c r="H2716" s="20" t="str">
        <x:v>1000 Operating Cash</x:v>
      </x:c>
      <x:c r="I2716" s="26" t="n">
        <x:v>0</x:v>
      </x:c>
      <x:c r="J2716" s="26" t="n">
        <x:v>154</x:v>
      </x:c>
      <x:c r="K2716" s="35" t="str">
        <x:v>City Water &amp; Sewer</x:v>
      </x:c>
    </x:row>
    <x:row r="2717">
      <x:c r="A2717" s="20" t="str">
        <x:v>FIN-01295</x:v>
      </x:c>
      <x:c r="B2717" s="32" t="n">
        <x:v>1</x:v>
      </x:c>
      <x:c r="C2717" s="23" t="n">
        <x:v>46583</x:v>
      </x:c>
      <x:c r="D2717" s="23" t="n">
        <x:v>46583</x:v>
      </x:c>
      <x:c r="E2717" s="20" t="str">
        <x:v>P028</x:v>
      </x:c>
      <x:c r="F2717" s="20" t="str"/>
      <x:c r="G2717" s="20" t="str"/>
      <x:c r="H2717" s="20" t="str">
        <x:v>5010 Utilities</x:v>
      </x:c>
      <x:c r="I2717" s="26" t="n">
        <x:v>161</x:v>
      </x:c>
      <x:c r="J2717" s="26" t="n">
        <x:v>0</x:v>
      </x:c>
      <x:c r="K2717" s="35" t="str">
        <x:v>City Water &amp; Sewer</x:v>
      </x:c>
    </x:row>
    <x:row r="2718">
      <x:c r="A2718" s="20" t="str">
        <x:v>FIN-01295</x:v>
      </x:c>
      <x:c r="B2718" s="32" t="n">
        <x:v>2</x:v>
      </x:c>
      <x:c r="C2718" s="23" t="n">
        <x:v>46583</x:v>
      </x:c>
      <x:c r="D2718" s="23" t="n">
        <x:v>46583</x:v>
      </x:c>
      <x:c r="E2718" s="20" t="str">
        <x:v>P028</x:v>
      </x:c>
      <x:c r="F2718" s="20" t="str"/>
      <x:c r="G2718" s="20" t="str"/>
      <x:c r="H2718" s="20" t="str">
        <x:v>1000 Operating Cash</x:v>
      </x:c>
      <x:c r="I2718" s="26" t="n">
        <x:v>0</x:v>
      </x:c>
      <x:c r="J2718" s="26" t="n">
        <x:v>161</x:v>
      </x:c>
      <x:c r="K2718" s="35" t="str">
        <x:v>City Water &amp; Sewer</x:v>
      </x:c>
    </x:row>
    <x:row r="2719">
      <x:c r="A2719" s="20" t="str">
        <x:v>FIN-01296</x:v>
      </x:c>
      <x:c r="B2719" s="32" t="n">
        <x:v>1</x:v>
      </x:c>
      <x:c r="C2719" s="23" t="n">
        <x:v>46583</x:v>
      </x:c>
      <x:c r="D2719" s="23" t="n">
        <x:v>46583</x:v>
      </x:c>
      <x:c r="E2719" s="20" t="str">
        <x:v>P029</x:v>
      </x:c>
      <x:c r="F2719" s="20" t="str"/>
      <x:c r="G2719" s="20" t="str"/>
      <x:c r="H2719" s="20" t="str">
        <x:v>5010 Utilities</x:v>
      </x:c>
      <x:c r="I2719" s="26" t="n">
        <x:v>168</x:v>
      </x:c>
      <x:c r="J2719" s="26" t="n">
        <x:v>0</x:v>
      </x:c>
      <x:c r="K2719" s="35" t="str">
        <x:v>City Water &amp; Sewer</x:v>
      </x:c>
    </x:row>
    <x:row r="2720">
      <x:c r="A2720" s="20" t="str">
        <x:v>FIN-01296</x:v>
      </x:c>
      <x:c r="B2720" s="32" t="n">
        <x:v>2</x:v>
      </x:c>
      <x:c r="C2720" s="23" t="n">
        <x:v>46583</x:v>
      </x:c>
      <x:c r="D2720" s="23" t="n">
        <x:v>46583</x:v>
      </x:c>
      <x:c r="E2720" s="20" t="str">
        <x:v>P029</x:v>
      </x:c>
      <x:c r="F2720" s="20" t="str"/>
      <x:c r="G2720" s="20" t="str"/>
      <x:c r="H2720" s="20" t="str">
        <x:v>1000 Operating Cash</x:v>
      </x:c>
      <x:c r="I2720" s="26" t="n">
        <x:v>0</x:v>
      </x:c>
      <x:c r="J2720" s="26" t="n">
        <x:v>168</x:v>
      </x:c>
      <x:c r="K2720" s="35" t="str">
        <x:v>City Water &amp; Sewer</x:v>
      </x:c>
    </x:row>
    <x:row r="2721">
      <x:c r="A2721" s="20" t="str">
        <x:v>FIN-01297</x:v>
      </x:c>
      <x:c r="B2721" s="32" t="n">
        <x:v>1</x:v>
      </x:c>
      <x:c r="C2721" s="23" t="n">
        <x:v>46583</x:v>
      </x:c>
      <x:c r="D2721" s="23" t="n">
        <x:v>46583</x:v>
      </x:c>
      <x:c r="E2721" s="20" t="str">
        <x:v>P030</x:v>
      </x:c>
      <x:c r="F2721" s="20" t="str"/>
      <x:c r="G2721" s="20" t="str"/>
      <x:c r="H2721" s="20" t="str">
        <x:v>5010 Utilities</x:v>
      </x:c>
      <x:c r="I2721" s="26" t="n">
        <x:v>175</x:v>
      </x:c>
      <x:c r="J2721" s="26" t="n">
        <x:v>0</x:v>
      </x:c>
      <x:c r="K2721" s="35" t="str">
        <x:v>City Water &amp; Sewer</x:v>
      </x:c>
    </x:row>
    <x:row r="2722">
      <x:c r="A2722" s="20" t="str">
        <x:v>FIN-01297</x:v>
      </x:c>
      <x:c r="B2722" s="32" t="n">
        <x:v>2</x:v>
      </x:c>
      <x:c r="C2722" s="23" t="n">
        <x:v>46583</x:v>
      </x:c>
      <x:c r="D2722" s="23" t="n">
        <x:v>46583</x:v>
      </x:c>
      <x:c r="E2722" s="20" t="str">
        <x:v>P030</x:v>
      </x:c>
      <x:c r="F2722" s="20" t="str"/>
      <x:c r="G2722" s="20" t="str"/>
      <x:c r="H2722" s="20" t="str">
        <x:v>1000 Operating Cash</x:v>
      </x:c>
      <x:c r="I2722" s="26" t="n">
        <x:v>0</x:v>
      </x:c>
      <x:c r="J2722" s="26" t="n">
        <x:v>175</x:v>
      </x:c>
      <x:c r="K2722" s="35" t="str">
        <x:v>City Water &amp; Sewer</x:v>
      </x:c>
    </x:row>
    <x:row r="2723">
      <x:c r="A2723" s="20" t="str">
        <x:v>FIN-01298</x:v>
      </x:c>
      <x:c r="B2723" s="32" t="n">
        <x:v>1</x:v>
      </x:c>
      <x:c r="C2723" s="23" t="n">
        <x:v>46588</x:v>
      </x:c>
      <x:c r="D2723" s="23" t="n">
        <x:v>46588</x:v>
      </x:c>
      <x:c r="E2723" s="20" t="str">
        <x:v>P001</x:v>
      </x:c>
      <x:c r="F2723" s="20" t="str"/>
      <x:c r="G2723" s="20" t="str"/>
      <x:c r="H2723" s="20" t="str">
        <x:v>2200 Mortgage Loans Payable</x:v>
      </x:c>
      <x:c r="I2723" s="26" t="n">
        <x:v>431</x:v>
      </x:c>
      <x:c r="J2723" s="26" t="n">
        <x:v>0</x:v>
      </x:c>
      <x:c r="K2723" s="35" t="str">
        <x:v>LN001 scheduled payment</x:v>
      </x:c>
    </x:row>
    <x:row r="2724">
      <x:c r="A2724" s="20" t="str">
        <x:v>FIN-01298</x:v>
      </x:c>
      <x:c r="B2724" s="32" t="n">
        <x:v>2</x:v>
      </x:c>
      <x:c r="C2724" s="23" t="n">
        <x:v>46588</x:v>
      </x:c>
      <x:c r="D2724" s="23" t="n">
        <x:v>46588</x:v>
      </x:c>
      <x:c r="E2724" s="20" t="str">
        <x:v>P001</x:v>
      </x:c>
      <x:c r="F2724" s="20" t="str"/>
      <x:c r="G2724" s="20" t="str"/>
      <x:c r="H2724" s="20" t="str">
        <x:v>5040 Mortgage Interest</x:v>
      </x:c>
      <x:c r="I2724" s="26" t="n">
        <x:v>575</x:v>
      </x:c>
      <x:c r="J2724" s="26" t="n">
        <x:v>0</x:v>
      </x:c>
      <x:c r="K2724" s="35" t="str">
        <x:v>LN001 scheduled payment</x:v>
      </x:c>
    </x:row>
    <x:row r="2725">
      <x:c r="A2725" s="20" t="str">
        <x:v>FIN-01298</x:v>
      </x:c>
      <x:c r="B2725" s="32" t="n">
        <x:v>3</x:v>
      </x:c>
      <x:c r="C2725" s="23" t="n">
        <x:v>46588</x:v>
      </x:c>
      <x:c r="D2725" s="23" t="n">
        <x:v>46588</x:v>
      </x:c>
      <x:c r="E2725" s="20" t="str">
        <x:v>P001</x:v>
      </x:c>
      <x:c r="F2725" s="20" t="str"/>
      <x:c r="G2725" s="20" t="str"/>
      <x:c r="H2725" s="20" t="str">
        <x:v>1000 Operating Cash</x:v>
      </x:c>
      <x:c r="I2725" s="26" t="n">
        <x:v>0</x:v>
      </x:c>
      <x:c r="J2725" s="26" t="n">
        <x:v>1006</x:v>
      </x:c>
      <x:c r="K2725" s="35" t="str">
        <x:v>LN001 scheduled payment</x:v>
      </x:c>
    </x:row>
    <x:row r="2726">
      <x:c r="A2726" s="20" t="str">
        <x:v>FIN-01299</x:v>
      </x:c>
      <x:c r="B2726" s="32" t="n">
        <x:v>1</x:v>
      </x:c>
      <x:c r="C2726" s="23" t="n">
        <x:v>46588</x:v>
      </x:c>
      <x:c r="D2726" s="23" t="n">
        <x:v>46588</x:v>
      </x:c>
      <x:c r="E2726" s="20" t="str">
        <x:v>P002</x:v>
      </x:c>
      <x:c r="F2726" s="20" t="str"/>
      <x:c r="G2726" s="20" t="str"/>
      <x:c r="H2726" s="20" t="str">
        <x:v>2200 Mortgage Loans Payable</x:v>
      </x:c>
      <x:c r="I2726" s="26" t="n">
        <x:v>442</x:v>
      </x:c>
      <x:c r="J2726" s="26" t="n">
        <x:v>0</x:v>
      </x:c>
      <x:c r="K2726" s="35" t="str">
        <x:v>LN002 scheduled payment</x:v>
      </x:c>
    </x:row>
    <x:row r="2727">
      <x:c r="A2727" s="20" t="str">
        <x:v>FIN-01299</x:v>
      </x:c>
      <x:c r="B2727" s="32" t="n">
        <x:v>2</x:v>
      </x:c>
      <x:c r="C2727" s="23" t="n">
        <x:v>46588</x:v>
      </x:c>
      <x:c r="D2727" s="23" t="n">
        <x:v>46588</x:v>
      </x:c>
      <x:c r="E2727" s="20" t="str">
        <x:v>P002</x:v>
      </x:c>
      <x:c r="F2727" s="20" t="str"/>
      <x:c r="G2727" s="20" t="str"/>
      <x:c r="H2727" s="20" t="str">
        <x:v>5040 Mortgage Interest</x:v>
      </x:c>
      <x:c r="I2727" s="26" t="n">
        <x:v>588</x:v>
      </x:c>
      <x:c r="J2727" s="26" t="n">
        <x:v>0</x:v>
      </x:c>
      <x:c r="K2727" s="35" t="str">
        <x:v>LN002 scheduled payment</x:v>
      </x:c>
    </x:row>
    <x:row r="2728">
      <x:c r="A2728" s="20" t="str">
        <x:v>FIN-01299</x:v>
      </x:c>
      <x:c r="B2728" s="32" t="n">
        <x:v>3</x:v>
      </x:c>
      <x:c r="C2728" s="23" t="n">
        <x:v>46588</x:v>
      </x:c>
      <x:c r="D2728" s="23" t="n">
        <x:v>46588</x:v>
      </x:c>
      <x:c r="E2728" s="20" t="str">
        <x:v>P002</x:v>
      </x:c>
      <x:c r="F2728" s="20" t="str"/>
      <x:c r="G2728" s="20" t="str"/>
      <x:c r="H2728" s="20" t="str">
        <x:v>1000 Operating Cash</x:v>
      </x:c>
      <x:c r="I2728" s="26" t="n">
        <x:v>0</x:v>
      </x:c>
      <x:c r="J2728" s="26" t="n">
        <x:v>1030</x:v>
      </x:c>
      <x:c r="K2728" s="35" t="str">
        <x:v>LN002 scheduled payment</x:v>
      </x:c>
    </x:row>
    <x:row r="2729">
      <x:c r="A2729" s="20" t="str">
        <x:v>FIN-01300</x:v>
      </x:c>
      <x:c r="B2729" s="32" t="n">
        <x:v>1</x:v>
      </x:c>
      <x:c r="C2729" s="23" t="n">
        <x:v>46588</x:v>
      </x:c>
      <x:c r="D2729" s="23" t="n">
        <x:v>46588</x:v>
      </x:c>
      <x:c r="E2729" s="20" t="str">
        <x:v>P004</x:v>
      </x:c>
      <x:c r="F2729" s="20" t="str"/>
      <x:c r="G2729" s="20" t="str"/>
      <x:c r="H2729" s="20" t="str">
        <x:v>2200 Mortgage Loans Payable</x:v>
      </x:c>
      <x:c r="I2729" s="26" t="n">
        <x:v>464</x:v>
      </x:c>
      <x:c r="J2729" s="26" t="n">
        <x:v>0</x:v>
      </x:c>
      <x:c r="K2729" s="35" t="str">
        <x:v>LN004 scheduled payment</x:v>
      </x:c>
    </x:row>
    <x:row r="2730">
      <x:c r="A2730" s="20" t="str">
        <x:v>FIN-01300</x:v>
      </x:c>
      <x:c r="B2730" s="32" t="n">
        <x:v>2</x:v>
      </x:c>
      <x:c r="C2730" s="23" t="n">
        <x:v>46588</x:v>
      </x:c>
      <x:c r="D2730" s="23" t="n">
        <x:v>46588</x:v>
      </x:c>
      <x:c r="E2730" s="20" t="str">
        <x:v>P004</x:v>
      </x:c>
      <x:c r="F2730" s="20" t="str"/>
      <x:c r="G2730" s="20" t="str"/>
      <x:c r="H2730" s="20" t="str">
        <x:v>5040 Mortgage Interest</x:v>
      </x:c>
      <x:c r="I2730" s="26" t="n">
        <x:v>614</x:v>
      </x:c>
      <x:c r="J2730" s="26" t="n">
        <x:v>0</x:v>
      </x:c>
      <x:c r="K2730" s="35" t="str">
        <x:v>LN004 scheduled payment</x:v>
      </x:c>
    </x:row>
    <x:row r="2731">
      <x:c r="A2731" s="20" t="str">
        <x:v>FIN-01300</x:v>
      </x:c>
      <x:c r="B2731" s="32" t="n">
        <x:v>3</x:v>
      </x:c>
      <x:c r="C2731" s="23" t="n">
        <x:v>46588</x:v>
      </x:c>
      <x:c r="D2731" s="23" t="n">
        <x:v>46588</x:v>
      </x:c>
      <x:c r="E2731" s="20" t="str">
        <x:v>P004</x:v>
      </x:c>
      <x:c r="F2731" s="20" t="str"/>
      <x:c r="G2731" s="20" t="str"/>
      <x:c r="H2731" s="20" t="str">
        <x:v>1000 Operating Cash</x:v>
      </x:c>
      <x:c r="I2731" s="26" t="n">
        <x:v>0</x:v>
      </x:c>
      <x:c r="J2731" s="26" t="n">
        <x:v>1078</x:v>
      </x:c>
      <x:c r="K2731" s="35" t="str">
        <x:v>LN004 scheduled payment</x:v>
      </x:c>
    </x:row>
    <x:row r="2732">
      <x:c r="A2732" s="20" t="str">
        <x:v>FIN-01301</x:v>
      </x:c>
      <x:c r="B2732" s="32" t="n">
        <x:v>1</x:v>
      </x:c>
      <x:c r="C2732" s="23" t="n">
        <x:v>46588</x:v>
      </x:c>
      <x:c r="D2732" s="23" t="n">
        <x:v>46588</x:v>
      </x:c>
      <x:c r="E2732" s="20" t="str">
        <x:v>P005</x:v>
      </x:c>
      <x:c r="F2732" s="20" t="str"/>
      <x:c r="G2732" s="20" t="str"/>
      <x:c r="H2732" s="20" t="str">
        <x:v>2200 Mortgage Loans Payable</x:v>
      </x:c>
      <x:c r="I2732" s="26" t="n">
        <x:v>475</x:v>
      </x:c>
      <x:c r="J2732" s="26" t="n">
        <x:v>0</x:v>
      </x:c>
      <x:c r="K2732" s="35" t="str">
        <x:v>LN005 scheduled payment</x:v>
      </x:c>
    </x:row>
    <x:row r="2733">
      <x:c r="A2733" s="20" t="str">
        <x:v>FIN-01301</x:v>
      </x:c>
      <x:c r="B2733" s="32" t="n">
        <x:v>2</x:v>
      </x:c>
      <x:c r="C2733" s="23" t="n">
        <x:v>46588</x:v>
      </x:c>
      <x:c r="D2733" s="23" t="n">
        <x:v>46588</x:v>
      </x:c>
      <x:c r="E2733" s="20" t="str">
        <x:v>P005</x:v>
      </x:c>
      <x:c r="F2733" s="20" t="str"/>
      <x:c r="G2733" s="20" t="str"/>
      <x:c r="H2733" s="20" t="str">
        <x:v>5040 Mortgage Interest</x:v>
      </x:c>
      <x:c r="I2733" s="26" t="n">
        <x:v>627</x:v>
      </x:c>
      <x:c r="J2733" s="26" t="n">
        <x:v>0</x:v>
      </x:c>
      <x:c r="K2733" s="35" t="str">
        <x:v>LN005 scheduled payment</x:v>
      </x:c>
    </x:row>
    <x:row r="2734">
      <x:c r="A2734" s="20" t="str">
        <x:v>FIN-01301</x:v>
      </x:c>
      <x:c r="B2734" s="32" t="n">
        <x:v>3</x:v>
      </x:c>
      <x:c r="C2734" s="23" t="n">
        <x:v>46588</x:v>
      </x:c>
      <x:c r="D2734" s="23" t="n">
        <x:v>46588</x:v>
      </x:c>
      <x:c r="E2734" s="20" t="str">
        <x:v>P005</x:v>
      </x:c>
      <x:c r="F2734" s="20" t="str"/>
      <x:c r="G2734" s="20" t="str"/>
      <x:c r="H2734" s="20" t="str">
        <x:v>1000 Operating Cash</x:v>
      </x:c>
      <x:c r="I2734" s="26" t="n">
        <x:v>0</x:v>
      </x:c>
      <x:c r="J2734" s="26" t="n">
        <x:v>1102</x:v>
      </x:c>
      <x:c r="K2734" s="35" t="str">
        <x:v>LN005 scheduled payment</x:v>
      </x:c>
    </x:row>
    <x:row r="2735">
      <x:c r="A2735" s="20" t="str">
        <x:v>FIN-01302</x:v>
      </x:c>
      <x:c r="B2735" s="32" t="n">
        <x:v>1</x:v>
      </x:c>
      <x:c r="C2735" s="23" t="n">
        <x:v>46588</x:v>
      </x:c>
      <x:c r="D2735" s="23" t="n">
        <x:v>46588</x:v>
      </x:c>
      <x:c r="E2735" s="20" t="str">
        <x:v>P007</x:v>
      </x:c>
      <x:c r="F2735" s="20" t="str"/>
      <x:c r="G2735" s="20" t="str"/>
      <x:c r="H2735" s="20" t="str">
        <x:v>2200 Mortgage Loans Payable</x:v>
      </x:c>
      <x:c r="I2735" s="26" t="n">
        <x:v>497</x:v>
      </x:c>
      <x:c r="J2735" s="26" t="n">
        <x:v>0</x:v>
      </x:c>
      <x:c r="K2735" s="35" t="str">
        <x:v>LN007 scheduled payment</x:v>
      </x:c>
    </x:row>
    <x:row r="2736">
      <x:c r="A2736" s="20" t="str">
        <x:v>FIN-01302</x:v>
      </x:c>
      <x:c r="B2736" s="32" t="n">
        <x:v>2</x:v>
      </x:c>
      <x:c r="C2736" s="23" t="n">
        <x:v>46588</x:v>
      </x:c>
      <x:c r="D2736" s="23" t="n">
        <x:v>46588</x:v>
      </x:c>
      <x:c r="E2736" s="20" t="str">
        <x:v>P007</x:v>
      </x:c>
      <x:c r="F2736" s="20" t="str"/>
      <x:c r="G2736" s="20" t="str"/>
      <x:c r="H2736" s="20" t="str">
        <x:v>5040 Mortgage Interest</x:v>
      </x:c>
      <x:c r="I2736" s="26" t="n">
        <x:v>653</x:v>
      </x:c>
      <x:c r="J2736" s="26" t="n">
        <x:v>0</x:v>
      </x:c>
      <x:c r="K2736" s="35" t="str">
        <x:v>LN007 scheduled payment</x:v>
      </x:c>
    </x:row>
    <x:row r="2737">
      <x:c r="A2737" s="20" t="str">
        <x:v>FIN-01302</x:v>
      </x:c>
      <x:c r="B2737" s="32" t="n">
        <x:v>3</x:v>
      </x:c>
      <x:c r="C2737" s="23" t="n">
        <x:v>46588</x:v>
      </x:c>
      <x:c r="D2737" s="23" t="n">
        <x:v>46588</x:v>
      </x:c>
      <x:c r="E2737" s="20" t="str">
        <x:v>P007</x:v>
      </x:c>
      <x:c r="F2737" s="20" t="str"/>
      <x:c r="G2737" s="20" t="str"/>
      <x:c r="H2737" s="20" t="str">
        <x:v>1000 Operating Cash</x:v>
      </x:c>
      <x:c r="I2737" s="26" t="n">
        <x:v>0</x:v>
      </x:c>
      <x:c r="J2737" s="26" t="n">
        <x:v>1150</x:v>
      </x:c>
      <x:c r="K2737" s="35" t="str">
        <x:v>LN007 scheduled payment</x:v>
      </x:c>
    </x:row>
    <x:row r="2738">
      <x:c r="A2738" s="20" t="str">
        <x:v>FIN-01303</x:v>
      </x:c>
      <x:c r="B2738" s="32" t="n">
        <x:v>1</x:v>
      </x:c>
      <x:c r="C2738" s="23" t="n">
        <x:v>46588</x:v>
      </x:c>
      <x:c r="D2738" s="23" t="n">
        <x:v>46588</x:v>
      </x:c>
      <x:c r="E2738" s="20" t="str">
        <x:v>P008</x:v>
      </x:c>
      <x:c r="F2738" s="20" t="str"/>
      <x:c r="G2738" s="20" t="str"/>
      <x:c r="H2738" s="20" t="str">
        <x:v>2200 Mortgage Loans Payable</x:v>
      </x:c>
      <x:c r="I2738" s="26" t="n">
        <x:v>508</x:v>
      </x:c>
      <x:c r="J2738" s="26" t="n">
        <x:v>0</x:v>
      </x:c>
      <x:c r="K2738" s="35" t="str">
        <x:v>LN008 scheduled payment</x:v>
      </x:c>
    </x:row>
    <x:row r="2739">
      <x:c r="A2739" s="20" t="str">
        <x:v>FIN-01303</x:v>
      </x:c>
      <x:c r="B2739" s="32" t="n">
        <x:v>2</x:v>
      </x:c>
      <x:c r="C2739" s="23" t="n">
        <x:v>46588</x:v>
      </x:c>
      <x:c r="D2739" s="23" t="n">
        <x:v>46588</x:v>
      </x:c>
      <x:c r="E2739" s="20" t="str">
        <x:v>P008</x:v>
      </x:c>
      <x:c r="F2739" s="20" t="str"/>
      <x:c r="G2739" s="20" t="str"/>
      <x:c r="H2739" s="20" t="str">
        <x:v>5040 Mortgage Interest</x:v>
      </x:c>
      <x:c r="I2739" s="26" t="n">
        <x:v>666</x:v>
      </x:c>
      <x:c r="J2739" s="26" t="n">
        <x:v>0</x:v>
      </x:c>
      <x:c r="K2739" s="35" t="str">
        <x:v>LN008 scheduled payment</x:v>
      </x:c>
    </x:row>
    <x:row r="2740">
      <x:c r="A2740" s="20" t="str">
        <x:v>FIN-01303</x:v>
      </x:c>
      <x:c r="B2740" s="32" t="n">
        <x:v>3</x:v>
      </x:c>
      <x:c r="C2740" s="23" t="n">
        <x:v>46588</x:v>
      </x:c>
      <x:c r="D2740" s="23" t="n">
        <x:v>46588</x:v>
      </x:c>
      <x:c r="E2740" s="20" t="str">
        <x:v>P008</x:v>
      </x:c>
      <x:c r="F2740" s="20" t="str"/>
      <x:c r="G2740" s="20" t="str"/>
      <x:c r="H2740" s="20" t="str">
        <x:v>1000 Operating Cash</x:v>
      </x:c>
      <x:c r="I2740" s="26" t="n">
        <x:v>0</x:v>
      </x:c>
      <x:c r="J2740" s="26" t="n">
        <x:v>1174</x:v>
      </x:c>
      <x:c r="K2740" s="35" t="str">
        <x:v>LN008 scheduled payment</x:v>
      </x:c>
    </x:row>
    <x:row r="2741">
      <x:c r="A2741" s="20" t="str">
        <x:v>FIN-01304</x:v>
      </x:c>
      <x:c r="B2741" s="32" t="n">
        <x:v>1</x:v>
      </x:c>
      <x:c r="C2741" s="23" t="n">
        <x:v>46588</x:v>
      </x:c>
      <x:c r="D2741" s="23" t="n">
        <x:v>46588</x:v>
      </x:c>
      <x:c r="E2741" s="20" t="str">
        <x:v>P010</x:v>
      </x:c>
      <x:c r="F2741" s="20" t="str"/>
      <x:c r="G2741" s="20" t="str"/>
      <x:c r="H2741" s="20" t="str">
        <x:v>2200 Mortgage Loans Payable</x:v>
      </x:c>
      <x:c r="I2741" s="26" t="n">
        <x:v>530</x:v>
      </x:c>
      <x:c r="J2741" s="26" t="n">
        <x:v>0</x:v>
      </x:c>
      <x:c r="K2741" s="35" t="str">
        <x:v>LN010 scheduled payment</x:v>
      </x:c>
    </x:row>
    <x:row r="2742">
      <x:c r="A2742" s="20" t="str">
        <x:v>FIN-01304</x:v>
      </x:c>
      <x:c r="B2742" s="32" t="n">
        <x:v>2</x:v>
      </x:c>
      <x:c r="C2742" s="23" t="n">
        <x:v>46588</x:v>
      </x:c>
      <x:c r="D2742" s="23" t="n">
        <x:v>46588</x:v>
      </x:c>
      <x:c r="E2742" s="20" t="str">
        <x:v>P010</x:v>
      </x:c>
      <x:c r="F2742" s="20" t="str"/>
      <x:c r="G2742" s="20" t="str"/>
      <x:c r="H2742" s="20" t="str">
        <x:v>5040 Mortgage Interest</x:v>
      </x:c>
      <x:c r="I2742" s="26" t="n">
        <x:v>692</x:v>
      </x:c>
      <x:c r="J2742" s="26" t="n">
        <x:v>0</x:v>
      </x:c>
      <x:c r="K2742" s="35" t="str">
        <x:v>LN010 scheduled payment</x:v>
      </x:c>
    </x:row>
    <x:row r="2743">
      <x:c r="A2743" s="20" t="str">
        <x:v>FIN-01304</x:v>
      </x:c>
      <x:c r="B2743" s="32" t="n">
        <x:v>3</x:v>
      </x:c>
      <x:c r="C2743" s="23" t="n">
        <x:v>46588</x:v>
      </x:c>
      <x:c r="D2743" s="23" t="n">
        <x:v>46588</x:v>
      </x:c>
      <x:c r="E2743" s="20" t="str">
        <x:v>P010</x:v>
      </x:c>
      <x:c r="F2743" s="20" t="str"/>
      <x:c r="G2743" s="20" t="str"/>
      <x:c r="H2743" s="20" t="str">
        <x:v>1000 Operating Cash</x:v>
      </x:c>
      <x:c r="I2743" s="26" t="n">
        <x:v>0</x:v>
      </x:c>
      <x:c r="J2743" s="26" t="n">
        <x:v>1222</x:v>
      </x:c>
      <x:c r="K2743" s="35" t="str">
        <x:v>LN010 scheduled payment</x:v>
      </x:c>
    </x:row>
    <x:row r="2744">
      <x:c r="A2744" s="20" t="str">
        <x:v>FIN-01305</x:v>
      </x:c>
      <x:c r="B2744" s="32" t="n">
        <x:v>1</x:v>
      </x:c>
      <x:c r="C2744" s="23" t="n">
        <x:v>46588</x:v>
      </x:c>
      <x:c r="D2744" s="23" t="n">
        <x:v>46588</x:v>
      </x:c>
      <x:c r="E2744" s="20" t="str">
        <x:v>P011</x:v>
      </x:c>
      <x:c r="F2744" s="20" t="str"/>
      <x:c r="G2744" s="20" t="str"/>
      <x:c r="H2744" s="20" t="str">
        <x:v>2200 Mortgage Loans Payable</x:v>
      </x:c>
      <x:c r="I2744" s="26" t="n">
        <x:v>541</x:v>
      </x:c>
      <x:c r="J2744" s="26" t="n">
        <x:v>0</x:v>
      </x:c>
      <x:c r="K2744" s="35" t="str">
        <x:v>LN011 scheduled payment</x:v>
      </x:c>
    </x:row>
    <x:row r="2745">
      <x:c r="A2745" s="20" t="str">
        <x:v>FIN-01305</x:v>
      </x:c>
      <x:c r="B2745" s="32" t="n">
        <x:v>2</x:v>
      </x:c>
      <x:c r="C2745" s="23" t="n">
        <x:v>46588</x:v>
      </x:c>
      <x:c r="D2745" s="23" t="n">
        <x:v>46588</x:v>
      </x:c>
      <x:c r="E2745" s="20" t="str">
        <x:v>P011</x:v>
      </x:c>
      <x:c r="F2745" s="20" t="str"/>
      <x:c r="G2745" s="20" t="str"/>
      <x:c r="H2745" s="20" t="str">
        <x:v>5040 Mortgage Interest</x:v>
      </x:c>
      <x:c r="I2745" s="26" t="n">
        <x:v>705</x:v>
      </x:c>
      <x:c r="J2745" s="26" t="n">
        <x:v>0</x:v>
      </x:c>
      <x:c r="K2745" s="35" t="str">
        <x:v>LN011 scheduled payment</x:v>
      </x:c>
    </x:row>
    <x:row r="2746">
      <x:c r="A2746" s="20" t="str">
        <x:v>FIN-01305</x:v>
      </x:c>
      <x:c r="B2746" s="32" t="n">
        <x:v>3</x:v>
      </x:c>
      <x:c r="C2746" s="23" t="n">
        <x:v>46588</x:v>
      </x:c>
      <x:c r="D2746" s="23" t="n">
        <x:v>46588</x:v>
      </x:c>
      <x:c r="E2746" s="20" t="str">
        <x:v>P011</x:v>
      </x:c>
      <x:c r="F2746" s="20" t="str"/>
      <x:c r="G2746" s="20" t="str"/>
      <x:c r="H2746" s="20" t="str">
        <x:v>1000 Operating Cash</x:v>
      </x:c>
      <x:c r="I2746" s="26" t="n">
        <x:v>0</x:v>
      </x:c>
      <x:c r="J2746" s="26" t="n">
        <x:v>1246</x:v>
      </x:c>
      <x:c r="K2746" s="35" t="str">
        <x:v>LN011 scheduled payment</x:v>
      </x:c>
    </x:row>
    <x:row r="2747">
      <x:c r="A2747" s="20" t="str">
        <x:v>FIN-01306</x:v>
      </x:c>
      <x:c r="B2747" s="32" t="n">
        <x:v>1</x:v>
      </x:c>
      <x:c r="C2747" s="23" t="n">
        <x:v>46588</x:v>
      </x:c>
      <x:c r="D2747" s="23" t="n">
        <x:v>46588</x:v>
      </x:c>
      <x:c r="E2747" s="20" t="str">
        <x:v>P013</x:v>
      </x:c>
      <x:c r="F2747" s="20" t="str"/>
      <x:c r="G2747" s="20" t="str"/>
      <x:c r="H2747" s="20" t="str">
        <x:v>2200 Mortgage Loans Payable</x:v>
      </x:c>
      <x:c r="I2747" s="26" t="n">
        <x:v>563</x:v>
      </x:c>
      <x:c r="J2747" s="26" t="n">
        <x:v>0</x:v>
      </x:c>
      <x:c r="K2747" s="35" t="str">
        <x:v>LN013 scheduled payment</x:v>
      </x:c>
    </x:row>
    <x:row r="2748">
      <x:c r="A2748" s="20" t="str">
        <x:v>FIN-01306</x:v>
      </x:c>
      <x:c r="B2748" s="32" t="n">
        <x:v>2</x:v>
      </x:c>
      <x:c r="C2748" s="23" t="n">
        <x:v>46588</x:v>
      </x:c>
      <x:c r="D2748" s="23" t="n">
        <x:v>46588</x:v>
      </x:c>
      <x:c r="E2748" s="20" t="str">
        <x:v>P013</x:v>
      </x:c>
      <x:c r="F2748" s="20" t="str"/>
      <x:c r="G2748" s="20" t="str"/>
      <x:c r="H2748" s="20" t="str">
        <x:v>5040 Mortgage Interest</x:v>
      </x:c>
      <x:c r="I2748" s="26" t="n">
        <x:v>731</x:v>
      </x:c>
      <x:c r="J2748" s="26" t="n">
        <x:v>0</x:v>
      </x:c>
      <x:c r="K2748" s="35" t="str">
        <x:v>LN013 scheduled payment</x:v>
      </x:c>
    </x:row>
    <x:row r="2749">
      <x:c r="A2749" s="20" t="str">
        <x:v>FIN-01306</x:v>
      </x:c>
      <x:c r="B2749" s="32" t="n">
        <x:v>3</x:v>
      </x:c>
      <x:c r="C2749" s="23" t="n">
        <x:v>46588</x:v>
      </x:c>
      <x:c r="D2749" s="23" t="n">
        <x:v>46588</x:v>
      </x:c>
      <x:c r="E2749" s="20" t="str">
        <x:v>P013</x:v>
      </x:c>
      <x:c r="F2749" s="20" t="str"/>
      <x:c r="G2749" s="20" t="str"/>
      <x:c r="H2749" s="20" t="str">
        <x:v>1000 Operating Cash</x:v>
      </x:c>
      <x:c r="I2749" s="26" t="n">
        <x:v>0</x:v>
      </x:c>
      <x:c r="J2749" s="26" t="n">
        <x:v>1294</x:v>
      </x:c>
      <x:c r="K2749" s="35" t="str">
        <x:v>LN013 scheduled payment</x:v>
      </x:c>
    </x:row>
    <x:row r="2750">
      <x:c r="A2750" s="20" t="str">
        <x:v>FIN-01307</x:v>
      </x:c>
      <x:c r="B2750" s="32" t="n">
        <x:v>1</x:v>
      </x:c>
      <x:c r="C2750" s="23" t="n">
        <x:v>46588</x:v>
      </x:c>
      <x:c r="D2750" s="23" t="n">
        <x:v>46588</x:v>
      </x:c>
      <x:c r="E2750" s="20" t="str">
        <x:v>P014</x:v>
      </x:c>
      <x:c r="F2750" s="20" t="str"/>
      <x:c r="G2750" s="20" t="str"/>
      <x:c r="H2750" s="20" t="str">
        <x:v>2200 Mortgage Loans Payable</x:v>
      </x:c>
      <x:c r="I2750" s="26" t="n">
        <x:v>574</x:v>
      </x:c>
      <x:c r="J2750" s="26" t="n">
        <x:v>0</x:v>
      </x:c>
      <x:c r="K2750" s="35" t="str">
        <x:v>LN014 scheduled payment</x:v>
      </x:c>
    </x:row>
    <x:row r="2751">
      <x:c r="A2751" s="20" t="str">
        <x:v>FIN-01307</x:v>
      </x:c>
      <x:c r="B2751" s="32" t="n">
        <x:v>2</x:v>
      </x:c>
      <x:c r="C2751" s="23" t="n">
        <x:v>46588</x:v>
      </x:c>
      <x:c r="D2751" s="23" t="n">
        <x:v>46588</x:v>
      </x:c>
      <x:c r="E2751" s="20" t="str">
        <x:v>P014</x:v>
      </x:c>
      <x:c r="F2751" s="20" t="str"/>
      <x:c r="G2751" s="20" t="str"/>
      <x:c r="H2751" s="20" t="str">
        <x:v>5040 Mortgage Interest</x:v>
      </x:c>
      <x:c r="I2751" s="26" t="n">
        <x:v>744</x:v>
      </x:c>
      <x:c r="J2751" s="26" t="n">
        <x:v>0</x:v>
      </x:c>
      <x:c r="K2751" s="35" t="str">
        <x:v>LN014 scheduled payment</x:v>
      </x:c>
    </x:row>
    <x:row r="2752">
      <x:c r="A2752" s="20" t="str">
        <x:v>FIN-01307</x:v>
      </x:c>
      <x:c r="B2752" s="32" t="n">
        <x:v>3</x:v>
      </x:c>
      <x:c r="C2752" s="23" t="n">
        <x:v>46588</x:v>
      </x:c>
      <x:c r="D2752" s="23" t="n">
        <x:v>46588</x:v>
      </x:c>
      <x:c r="E2752" s="20" t="str">
        <x:v>P014</x:v>
      </x:c>
      <x:c r="F2752" s="20" t="str"/>
      <x:c r="G2752" s="20" t="str"/>
      <x:c r="H2752" s="20" t="str">
        <x:v>1000 Operating Cash</x:v>
      </x:c>
      <x:c r="I2752" s="26" t="n">
        <x:v>0</x:v>
      </x:c>
      <x:c r="J2752" s="26" t="n">
        <x:v>1318</x:v>
      </x:c>
      <x:c r="K2752" s="35" t="str">
        <x:v>LN014 scheduled payment</x:v>
      </x:c>
    </x:row>
    <x:row r="2753">
      <x:c r="A2753" s="20" t="str">
        <x:v>FIN-01308</x:v>
      </x:c>
      <x:c r="B2753" s="32" t="n">
        <x:v>1</x:v>
      </x:c>
      <x:c r="C2753" s="23" t="n">
        <x:v>46588</x:v>
      </x:c>
      <x:c r="D2753" s="23" t="n">
        <x:v>46588</x:v>
      </x:c>
      <x:c r="E2753" s="20" t="str">
        <x:v>P016</x:v>
      </x:c>
      <x:c r="F2753" s="20" t="str"/>
      <x:c r="G2753" s="20" t="str"/>
      <x:c r="H2753" s="20" t="str">
        <x:v>2200 Mortgage Loans Payable</x:v>
      </x:c>
      <x:c r="I2753" s="26" t="n">
        <x:v>596</x:v>
      </x:c>
      <x:c r="J2753" s="26" t="n">
        <x:v>0</x:v>
      </x:c>
      <x:c r="K2753" s="35" t="str">
        <x:v>LN016 scheduled payment</x:v>
      </x:c>
    </x:row>
    <x:row r="2754">
      <x:c r="A2754" s="20" t="str">
        <x:v>FIN-01308</x:v>
      </x:c>
      <x:c r="B2754" s="32" t="n">
        <x:v>2</x:v>
      </x:c>
      <x:c r="C2754" s="23" t="n">
        <x:v>46588</x:v>
      </x:c>
      <x:c r="D2754" s="23" t="n">
        <x:v>46588</x:v>
      </x:c>
      <x:c r="E2754" s="20" t="str">
        <x:v>P016</x:v>
      </x:c>
      <x:c r="F2754" s="20" t="str"/>
      <x:c r="G2754" s="20" t="str"/>
      <x:c r="H2754" s="20" t="str">
        <x:v>5040 Mortgage Interest</x:v>
      </x:c>
      <x:c r="I2754" s="26" t="n">
        <x:v>770</x:v>
      </x:c>
      <x:c r="J2754" s="26" t="n">
        <x:v>0</x:v>
      </x:c>
      <x:c r="K2754" s="35" t="str">
        <x:v>LN016 scheduled payment</x:v>
      </x:c>
    </x:row>
    <x:row r="2755">
      <x:c r="A2755" s="20" t="str">
        <x:v>FIN-01308</x:v>
      </x:c>
      <x:c r="B2755" s="32" t="n">
        <x:v>3</x:v>
      </x:c>
      <x:c r="C2755" s="23" t="n">
        <x:v>46588</x:v>
      </x:c>
      <x:c r="D2755" s="23" t="n">
        <x:v>46588</x:v>
      </x:c>
      <x:c r="E2755" s="20" t="str">
        <x:v>P016</x:v>
      </x:c>
      <x:c r="F2755" s="20" t="str"/>
      <x:c r="G2755" s="20" t="str"/>
      <x:c r="H2755" s="20" t="str">
        <x:v>1000 Operating Cash</x:v>
      </x:c>
      <x:c r="I2755" s="26" t="n">
        <x:v>0</x:v>
      </x:c>
      <x:c r="J2755" s="26" t="n">
        <x:v>1366</x:v>
      </x:c>
      <x:c r="K2755" s="35" t="str">
        <x:v>LN016 scheduled payment</x:v>
      </x:c>
    </x:row>
    <x:row r="2756">
      <x:c r="A2756" s="20" t="str">
        <x:v>FIN-01309</x:v>
      </x:c>
      <x:c r="B2756" s="32" t="n">
        <x:v>1</x:v>
      </x:c>
      <x:c r="C2756" s="23" t="n">
        <x:v>46588</x:v>
      </x:c>
      <x:c r="D2756" s="23" t="n">
        <x:v>46588</x:v>
      </x:c>
      <x:c r="E2756" s="20" t="str">
        <x:v>P017</x:v>
      </x:c>
      <x:c r="F2756" s="20" t="str"/>
      <x:c r="G2756" s="20" t="str"/>
      <x:c r="H2756" s="20" t="str">
        <x:v>2200 Mortgage Loans Payable</x:v>
      </x:c>
      <x:c r="I2756" s="26" t="n">
        <x:v>607</x:v>
      </x:c>
      <x:c r="J2756" s="26" t="n">
        <x:v>0</x:v>
      </x:c>
      <x:c r="K2756" s="35" t="str">
        <x:v>LN017 scheduled payment</x:v>
      </x:c>
    </x:row>
    <x:row r="2757">
      <x:c r="A2757" s="20" t="str">
        <x:v>FIN-01309</x:v>
      </x:c>
      <x:c r="B2757" s="32" t="n">
        <x:v>2</x:v>
      </x:c>
      <x:c r="C2757" s="23" t="n">
        <x:v>46588</x:v>
      </x:c>
      <x:c r="D2757" s="23" t="n">
        <x:v>46588</x:v>
      </x:c>
      <x:c r="E2757" s="20" t="str">
        <x:v>P017</x:v>
      </x:c>
      <x:c r="F2757" s="20" t="str"/>
      <x:c r="G2757" s="20" t="str"/>
      <x:c r="H2757" s="20" t="str">
        <x:v>5040 Mortgage Interest</x:v>
      </x:c>
      <x:c r="I2757" s="26" t="n">
        <x:v>783</x:v>
      </x:c>
      <x:c r="J2757" s="26" t="n">
        <x:v>0</x:v>
      </x:c>
      <x:c r="K2757" s="35" t="str">
        <x:v>LN017 scheduled payment</x:v>
      </x:c>
    </x:row>
    <x:row r="2758">
      <x:c r="A2758" s="20" t="str">
        <x:v>FIN-01309</x:v>
      </x:c>
      <x:c r="B2758" s="32" t="n">
        <x:v>3</x:v>
      </x:c>
      <x:c r="C2758" s="23" t="n">
        <x:v>46588</x:v>
      </x:c>
      <x:c r="D2758" s="23" t="n">
        <x:v>46588</x:v>
      </x:c>
      <x:c r="E2758" s="20" t="str">
        <x:v>P017</x:v>
      </x:c>
      <x:c r="F2758" s="20" t="str"/>
      <x:c r="G2758" s="20" t="str"/>
      <x:c r="H2758" s="20" t="str">
        <x:v>1000 Operating Cash</x:v>
      </x:c>
      <x:c r="I2758" s="26" t="n">
        <x:v>0</x:v>
      </x:c>
      <x:c r="J2758" s="26" t="n">
        <x:v>1390</x:v>
      </x:c>
      <x:c r="K2758" s="35" t="str">
        <x:v>LN017 scheduled payment</x:v>
      </x:c>
    </x:row>
    <x:row r="2759">
      <x:c r="A2759" s="20" t="str">
        <x:v>FIN-01310</x:v>
      </x:c>
      <x:c r="B2759" s="32" t="n">
        <x:v>1</x:v>
      </x:c>
      <x:c r="C2759" s="23" t="n">
        <x:v>46588</x:v>
      </x:c>
      <x:c r="D2759" s="23" t="n">
        <x:v>46588</x:v>
      </x:c>
      <x:c r="E2759" s="20" t="str">
        <x:v>P019</x:v>
      </x:c>
      <x:c r="F2759" s="20" t="str"/>
      <x:c r="G2759" s="20" t="str"/>
      <x:c r="H2759" s="20" t="str">
        <x:v>2200 Mortgage Loans Payable</x:v>
      </x:c>
      <x:c r="I2759" s="26" t="n">
        <x:v>629</x:v>
      </x:c>
      <x:c r="J2759" s="26" t="n">
        <x:v>0</x:v>
      </x:c>
      <x:c r="K2759" s="35" t="str">
        <x:v>LN019 scheduled payment</x:v>
      </x:c>
    </x:row>
    <x:row r="2760">
      <x:c r="A2760" s="20" t="str">
        <x:v>FIN-01310</x:v>
      </x:c>
      <x:c r="B2760" s="32" t="n">
        <x:v>2</x:v>
      </x:c>
      <x:c r="C2760" s="23" t="n">
        <x:v>46588</x:v>
      </x:c>
      <x:c r="D2760" s="23" t="n">
        <x:v>46588</x:v>
      </x:c>
      <x:c r="E2760" s="20" t="str">
        <x:v>P019</x:v>
      </x:c>
      <x:c r="F2760" s="20" t="str"/>
      <x:c r="G2760" s="20" t="str"/>
      <x:c r="H2760" s="20" t="str">
        <x:v>5040 Mortgage Interest</x:v>
      </x:c>
      <x:c r="I2760" s="26" t="n">
        <x:v>809</x:v>
      </x:c>
      <x:c r="J2760" s="26" t="n">
        <x:v>0</x:v>
      </x:c>
      <x:c r="K2760" s="35" t="str">
        <x:v>LN019 scheduled payment</x:v>
      </x:c>
    </x:row>
    <x:row r="2761">
      <x:c r="A2761" s="20" t="str">
        <x:v>FIN-01310</x:v>
      </x:c>
      <x:c r="B2761" s="32" t="n">
        <x:v>3</x:v>
      </x:c>
      <x:c r="C2761" s="23" t="n">
        <x:v>46588</x:v>
      </x:c>
      <x:c r="D2761" s="23" t="n">
        <x:v>46588</x:v>
      </x:c>
      <x:c r="E2761" s="20" t="str">
        <x:v>P019</x:v>
      </x:c>
      <x:c r="F2761" s="20" t="str"/>
      <x:c r="G2761" s="20" t="str"/>
      <x:c r="H2761" s="20" t="str">
        <x:v>1000 Operating Cash</x:v>
      </x:c>
      <x:c r="I2761" s="26" t="n">
        <x:v>0</x:v>
      </x:c>
      <x:c r="J2761" s="26" t="n">
        <x:v>1438</x:v>
      </x:c>
      <x:c r="K2761" s="35" t="str">
        <x:v>LN019 scheduled payment</x:v>
      </x:c>
    </x:row>
    <x:row r="2762">
      <x:c r="A2762" s="20" t="str">
        <x:v>FIN-01311</x:v>
      </x:c>
      <x:c r="B2762" s="32" t="n">
        <x:v>1</x:v>
      </x:c>
      <x:c r="C2762" s="23" t="n">
        <x:v>46588</x:v>
      </x:c>
      <x:c r="D2762" s="23" t="n">
        <x:v>46588</x:v>
      </x:c>
      <x:c r="E2762" s="20" t="str">
        <x:v>P020</x:v>
      </x:c>
      <x:c r="F2762" s="20" t="str"/>
      <x:c r="G2762" s="20" t="str"/>
      <x:c r="H2762" s="20" t="str">
        <x:v>2200 Mortgage Loans Payable</x:v>
      </x:c>
      <x:c r="I2762" s="26" t="n">
        <x:v>640</x:v>
      </x:c>
      <x:c r="J2762" s="26" t="n">
        <x:v>0</x:v>
      </x:c>
      <x:c r="K2762" s="35" t="str">
        <x:v>LN020 scheduled payment</x:v>
      </x:c>
    </x:row>
    <x:row r="2763">
      <x:c r="A2763" s="20" t="str">
        <x:v>FIN-01311</x:v>
      </x:c>
      <x:c r="B2763" s="32" t="n">
        <x:v>2</x:v>
      </x:c>
      <x:c r="C2763" s="23" t="n">
        <x:v>46588</x:v>
      </x:c>
      <x:c r="D2763" s="23" t="n">
        <x:v>46588</x:v>
      </x:c>
      <x:c r="E2763" s="20" t="str">
        <x:v>P020</x:v>
      </x:c>
      <x:c r="F2763" s="20" t="str"/>
      <x:c r="G2763" s="20" t="str"/>
      <x:c r="H2763" s="20" t="str">
        <x:v>5040 Mortgage Interest</x:v>
      </x:c>
      <x:c r="I2763" s="26" t="n">
        <x:v>822</x:v>
      </x:c>
      <x:c r="J2763" s="26" t="n">
        <x:v>0</x:v>
      </x:c>
      <x:c r="K2763" s="35" t="str">
        <x:v>LN020 scheduled payment</x:v>
      </x:c>
    </x:row>
    <x:row r="2764">
      <x:c r="A2764" s="20" t="str">
        <x:v>FIN-01311</x:v>
      </x:c>
      <x:c r="B2764" s="32" t="n">
        <x:v>3</x:v>
      </x:c>
      <x:c r="C2764" s="23" t="n">
        <x:v>46588</x:v>
      </x:c>
      <x:c r="D2764" s="23" t="n">
        <x:v>46588</x:v>
      </x:c>
      <x:c r="E2764" s="20" t="str">
        <x:v>P020</x:v>
      </x:c>
      <x:c r="F2764" s="20" t="str"/>
      <x:c r="G2764" s="20" t="str"/>
      <x:c r="H2764" s="20" t="str">
        <x:v>1000 Operating Cash</x:v>
      </x:c>
      <x:c r="I2764" s="26" t="n">
        <x:v>0</x:v>
      </x:c>
      <x:c r="J2764" s="26" t="n">
        <x:v>1462</x:v>
      </x:c>
      <x:c r="K2764" s="35" t="str">
        <x:v>LN020 scheduled payment</x:v>
      </x:c>
    </x:row>
    <x:row r="2765">
      <x:c r="A2765" s="20" t="str">
        <x:v>FIN-01312</x:v>
      </x:c>
      <x:c r="B2765" s="32" t="n">
        <x:v>1</x:v>
      </x:c>
      <x:c r="C2765" s="23" t="n">
        <x:v>46588</x:v>
      </x:c>
      <x:c r="D2765" s="23" t="n">
        <x:v>46588</x:v>
      </x:c>
      <x:c r="E2765" s="20" t="str">
        <x:v>P022</x:v>
      </x:c>
      <x:c r="F2765" s="20" t="str"/>
      <x:c r="G2765" s="20" t="str"/>
      <x:c r="H2765" s="20" t="str">
        <x:v>2200 Mortgage Loans Payable</x:v>
      </x:c>
      <x:c r="I2765" s="26" t="n">
        <x:v>662</x:v>
      </x:c>
      <x:c r="J2765" s="26" t="n">
        <x:v>0</x:v>
      </x:c>
      <x:c r="K2765" s="35" t="str">
        <x:v>LN022 scheduled payment</x:v>
      </x:c>
    </x:row>
    <x:row r="2766">
      <x:c r="A2766" s="20" t="str">
        <x:v>FIN-01312</x:v>
      </x:c>
      <x:c r="B2766" s="32" t="n">
        <x:v>2</x:v>
      </x:c>
      <x:c r="C2766" s="23" t="n">
        <x:v>46588</x:v>
      </x:c>
      <x:c r="D2766" s="23" t="n">
        <x:v>46588</x:v>
      </x:c>
      <x:c r="E2766" s="20" t="str">
        <x:v>P022</x:v>
      </x:c>
      <x:c r="F2766" s="20" t="str"/>
      <x:c r="G2766" s="20" t="str"/>
      <x:c r="H2766" s="20" t="str">
        <x:v>5040 Mortgage Interest</x:v>
      </x:c>
      <x:c r="I2766" s="26" t="n">
        <x:v>848</x:v>
      </x:c>
      <x:c r="J2766" s="26" t="n">
        <x:v>0</x:v>
      </x:c>
      <x:c r="K2766" s="35" t="str">
        <x:v>LN022 scheduled payment</x:v>
      </x:c>
    </x:row>
    <x:row r="2767">
      <x:c r="A2767" s="20" t="str">
        <x:v>FIN-01312</x:v>
      </x:c>
      <x:c r="B2767" s="32" t="n">
        <x:v>3</x:v>
      </x:c>
      <x:c r="C2767" s="23" t="n">
        <x:v>46588</x:v>
      </x:c>
      <x:c r="D2767" s="23" t="n">
        <x:v>46588</x:v>
      </x:c>
      <x:c r="E2767" s="20" t="str">
        <x:v>P022</x:v>
      </x:c>
      <x:c r="F2767" s="20" t="str"/>
      <x:c r="G2767" s="20" t="str"/>
      <x:c r="H2767" s="20" t="str">
        <x:v>1000 Operating Cash</x:v>
      </x:c>
      <x:c r="I2767" s="26" t="n">
        <x:v>0</x:v>
      </x:c>
      <x:c r="J2767" s="26" t="n">
        <x:v>1510</x:v>
      </x:c>
      <x:c r="K2767" s="35" t="str">
        <x:v>LN022 scheduled payment</x:v>
      </x:c>
    </x:row>
    <x:row r="2768">
      <x:c r="A2768" s="20" t="str">
        <x:v>FIN-01313</x:v>
      </x:c>
      <x:c r="B2768" s="32" t="n">
        <x:v>1</x:v>
      </x:c>
      <x:c r="C2768" s="23" t="n">
        <x:v>46588</x:v>
      </x:c>
      <x:c r="D2768" s="23" t="n">
        <x:v>46588</x:v>
      </x:c>
      <x:c r="E2768" s="20" t="str">
        <x:v>P023</x:v>
      </x:c>
      <x:c r="F2768" s="20" t="str"/>
      <x:c r="G2768" s="20" t="str"/>
      <x:c r="H2768" s="20" t="str">
        <x:v>2200 Mortgage Loans Payable</x:v>
      </x:c>
      <x:c r="I2768" s="26" t="n">
        <x:v>673</x:v>
      </x:c>
      <x:c r="J2768" s="26" t="n">
        <x:v>0</x:v>
      </x:c>
      <x:c r="K2768" s="35" t="str">
        <x:v>LN023 scheduled payment</x:v>
      </x:c>
    </x:row>
    <x:row r="2769">
      <x:c r="A2769" s="20" t="str">
        <x:v>FIN-01313</x:v>
      </x:c>
      <x:c r="B2769" s="32" t="n">
        <x:v>2</x:v>
      </x:c>
      <x:c r="C2769" s="23" t="n">
        <x:v>46588</x:v>
      </x:c>
      <x:c r="D2769" s="23" t="n">
        <x:v>46588</x:v>
      </x:c>
      <x:c r="E2769" s="20" t="str">
        <x:v>P023</x:v>
      </x:c>
      <x:c r="F2769" s="20" t="str"/>
      <x:c r="G2769" s="20" t="str"/>
      <x:c r="H2769" s="20" t="str">
        <x:v>5040 Mortgage Interest</x:v>
      </x:c>
      <x:c r="I2769" s="26" t="n">
        <x:v>861</x:v>
      </x:c>
      <x:c r="J2769" s="26" t="n">
        <x:v>0</x:v>
      </x:c>
      <x:c r="K2769" s="35" t="str">
        <x:v>LN023 scheduled payment</x:v>
      </x:c>
    </x:row>
    <x:row r="2770">
      <x:c r="A2770" s="20" t="str">
        <x:v>FIN-01313</x:v>
      </x:c>
      <x:c r="B2770" s="32" t="n">
        <x:v>3</x:v>
      </x:c>
      <x:c r="C2770" s="23" t="n">
        <x:v>46588</x:v>
      </x:c>
      <x:c r="D2770" s="23" t="n">
        <x:v>46588</x:v>
      </x:c>
      <x:c r="E2770" s="20" t="str">
        <x:v>P023</x:v>
      </x:c>
      <x:c r="F2770" s="20" t="str"/>
      <x:c r="G2770" s="20" t="str"/>
      <x:c r="H2770" s="20" t="str">
        <x:v>1000 Operating Cash</x:v>
      </x:c>
      <x:c r="I2770" s="26" t="n">
        <x:v>0</x:v>
      </x:c>
      <x:c r="J2770" s="26" t="n">
        <x:v>1534</x:v>
      </x:c>
      <x:c r="K2770" s="35" t="str">
        <x:v>LN023 scheduled payment</x:v>
      </x:c>
    </x:row>
    <x:row r="2771">
      <x:c r="A2771" s="20" t="str">
        <x:v>FIN-01314</x:v>
      </x:c>
      <x:c r="B2771" s="32" t="n">
        <x:v>1</x:v>
      </x:c>
      <x:c r="C2771" s="23" t="n">
        <x:v>46588</x:v>
      </x:c>
      <x:c r="D2771" s="23" t="n">
        <x:v>46588</x:v>
      </x:c>
      <x:c r="E2771" s="20" t="str">
        <x:v>P025</x:v>
      </x:c>
      <x:c r="F2771" s="20" t="str"/>
      <x:c r="G2771" s="20" t="str"/>
      <x:c r="H2771" s="20" t="str">
        <x:v>2200 Mortgage Loans Payable</x:v>
      </x:c>
      <x:c r="I2771" s="26" t="n">
        <x:v>695</x:v>
      </x:c>
      <x:c r="J2771" s="26" t="n">
        <x:v>0</x:v>
      </x:c>
      <x:c r="K2771" s="35" t="str">
        <x:v>LN025 scheduled payment</x:v>
      </x:c>
    </x:row>
    <x:row r="2772">
      <x:c r="A2772" s="20" t="str">
        <x:v>FIN-01314</x:v>
      </x:c>
      <x:c r="B2772" s="32" t="n">
        <x:v>2</x:v>
      </x:c>
      <x:c r="C2772" s="23" t="n">
        <x:v>46588</x:v>
      </x:c>
      <x:c r="D2772" s="23" t="n">
        <x:v>46588</x:v>
      </x:c>
      <x:c r="E2772" s="20" t="str">
        <x:v>P025</x:v>
      </x:c>
      <x:c r="F2772" s="20" t="str"/>
      <x:c r="G2772" s="20" t="str"/>
      <x:c r="H2772" s="20" t="str">
        <x:v>5040 Mortgage Interest</x:v>
      </x:c>
      <x:c r="I2772" s="26" t="n">
        <x:v>887</x:v>
      </x:c>
      <x:c r="J2772" s="26" t="n">
        <x:v>0</x:v>
      </x:c>
      <x:c r="K2772" s="35" t="str">
        <x:v>LN025 scheduled payment</x:v>
      </x:c>
    </x:row>
    <x:row r="2773">
      <x:c r="A2773" s="20" t="str">
        <x:v>FIN-01314</x:v>
      </x:c>
      <x:c r="B2773" s="32" t="n">
        <x:v>3</x:v>
      </x:c>
      <x:c r="C2773" s="23" t="n">
        <x:v>46588</x:v>
      </x:c>
      <x:c r="D2773" s="23" t="n">
        <x:v>46588</x:v>
      </x:c>
      <x:c r="E2773" s="20" t="str">
        <x:v>P025</x:v>
      </x:c>
      <x:c r="F2773" s="20" t="str"/>
      <x:c r="G2773" s="20" t="str"/>
      <x:c r="H2773" s="20" t="str">
        <x:v>1000 Operating Cash</x:v>
      </x:c>
      <x:c r="I2773" s="26" t="n">
        <x:v>0</x:v>
      </x:c>
      <x:c r="J2773" s="26" t="n">
        <x:v>1582</x:v>
      </x:c>
      <x:c r="K2773" s="35" t="str">
        <x:v>LN025 scheduled payment</x:v>
      </x:c>
    </x:row>
    <x:row r="2774">
      <x:c r="A2774" s="20" t="str">
        <x:v>FIN-01315</x:v>
      </x:c>
      <x:c r="B2774" s="32" t="n">
        <x:v>1</x:v>
      </x:c>
      <x:c r="C2774" s="23" t="n">
        <x:v>46588</x:v>
      </x:c>
      <x:c r="D2774" s="23" t="n">
        <x:v>46588</x:v>
      </x:c>
      <x:c r="E2774" s="20" t="str">
        <x:v>P026</x:v>
      </x:c>
      <x:c r="F2774" s="20" t="str"/>
      <x:c r="G2774" s="20" t="str"/>
      <x:c r="H2774" s="20" t="str">
        <x:v>2200 Mortgage Loans Payable</x:v>
      </x:c>
      <x:c r="I2774" s="26" t="n">
        <x:v>706</x:v>
      </x:c>
      <x:c r="J2774" s="26" t="n">
        <x:v>0</x:v>
      </x:c>
      <x:c r="K2774" s="35" t="str">
        <x:v>LN026 scheduled payment</x:v>
      </x:c>
    </x:row>
    <x:row r="2775">
      <x:c r="A2775" s="20" t="str">
        <x:v>FIN-01315</x:v>
      </x:c>
      <x:c r="B2775" s="32" t="n">
        <x:v>2</x:v>
      </x:c>
      <x:c r="C2775" s="23" t="n">
        <x:v>46588</x:v>
      </x:c>
      <x:c r="D2775" s="23" t="n">
        <x:v>46588</x:v>
      </x:c>
      <x:c r="E2775" s="20" t="str">
        <x:v>P026</x:v>
      </x:c>
      <x:c r="F2775" s="20" t="str"/>
      <x:c r="G2775" s="20" t="str"/>
      <x:c r="H2775" s="20" t="str">
        <x:v>5040 Mortgage Interest</x:v>
      </x:c>
      <x:c r="I2775" s="26" t="n">
        <x:v>900</x:v>
      </x:c>
      <x:c r="J2775" s="26" t="n">
        <x:v>0</x:v>
      </x:c>
      <x:c r="K2775" s="35" t="str">
        <x:v>LN026 scheduled payment</x:v>
      </x:c>
    </x:row>
    <x:row r="2776">
      <x:c r="A2776" s="20" t="str">
        <x:v>FIN-01315</x:v>
      </x:c>
      <x:c r="B2776" s="32" t="n">
        <x:v>3</x:v>
      </x:c>
      <x:c r="C2776" s="23" t="n">
        <x:v>46588</x:v>
      </x:c>
      <x:c r="D2776" s="23" t="n">
        <x:v>46588</x:v>
      </x:c>
      <x:c r="E2776" s="20" t="str">
        <x:v>P026</x:v>
      </x:c>
      <x:c r="F2776" s="20" t="str"/>
      <x:c r="G2776" s="20" t="str"/>
      <x:c r="H2776" s="20" t="str">
        <x:v>1000 Operating Cash</x:v>
      </x:c>
      <x:c r="I2776" s="26" t="n">
        <x:v>0</x:v>
      </x:c>
      <x:c r="J2776" s="26" t="n">
        <x:v>1606</x:v>
      </x:c>
      <x:c r="K2776" s="35" t="str">
        <x:v>LN026 scheduled payment</x:v>
      </x:c>
    </x:row>
    <x:row r="2777">
      <x:c r="A2777" s="20" t="str">
        <x:v>FIN-01316</x:v>
      </x:c>
      <x:c r="B2777" s="32" t="n">
        <x:v>1</x:v>
      </x:c>
      <x:c r="C2777" s="23" t="n">
        <x:v>46588</x:v>
      </x:c>
      <x:c r="D2777" s="23" t="n">
        <x:v>46588</x:v>
      </x:c>
      <x:c r="E2777" s="20" t="str">
        <x:v>P028</x:v>
      </x:c>
      <x:c r="F2777" s="20" t="str"/>
      <x:c r="G2777" s="20" t="str"/>
      <x:c r="H2777" s="20" t="str">
        <x:v>2200 Mortgage Loans Payable</x:v>
      </x:c>
      <x:c r="I2777" s="26" t="n">
        <x:v>728</x:v>
      </x:c>
      <x:c r="J2777" s="26" t="n">
        <x:v>0</x:v>
      </x:c>
      <x:c r="K2777" s="35" t="str">
        <x:v>LN028 scheduled payment</x:v>
      </x:c>
    </x:row>
    <x:row r="2778">
      <x:c r="A2778" s="20" t="str">
        <x:v>FIN-01316</x:v>
      </x:c>
      <x:c r="B2778" s="32" t="n">
        <x:v>2</x:v>
      </x:c>
      <x:c r="C2778" s="23" t="n">
        <x:v>46588</x:v>
      </x:c>
      <x:c r="D2778" s="23" t="n">
        <x:v>46588</x:v>
      </x:c>
      <x:c r="E2778" s="20" t="str">
        <x:v>P028</x:v>
      </x:c>
      <x:c r="F2778" s="20" t="str"/>
      <x:c r="G2778" s="20" t="str"/>
      <x:c r="H2778" s="20" t="str">
        <x:v>5040 Mortgage Interest</x:v>
      </x:c>
      <x:c r="I2778" s="26" t="n">
        <x:v>926</x:v>
      </x:c>
      <x:c r="J2778" s="26" t="n">
        <x:v>0</x:v>
      </x:c>
      <x:c r="K2778" s="35" t="str">
        <x:v>LN028 scheduled payment</x:v>
      </x:c>
    </x:row>
    <x:row r="2779">
      <x:c r="A2779" s="20" t="str">
        <x:v>FIN-01316</x:v>
      </x:c>
      <x:c r="B2779" s="32" t="n">
        <x:v>3</x:v>
      </x:c>
      <x:c r="C2779" s="23" t="n">
        <x:v>46588</x:v>
      </x:c>
      <x:c r="D2779" s="23" t="n">
        <x:v>46588</x:v>
      </x:c>
      <x:c r="E2779" s="20" t="str">
        <x:v>P028</x:v>
      </x:c>
      <x:c r="F2779" s="20" t="str"/>
      <x:c r="G2779" s="20" t="str"/>
      <x:c r="H2779" s="20" t="str">
        <x:v>1000 Operating Cash</x:v>
      </x:c>
      <x:c r="I2779" s="26" t="n">
        <x:v>0</x:v>
      </x:c>
      <x:c r="J2779" s="26" t="n">
        <x:v>1654</x:v>
      </x:c>
      <x:c r="K2779" s="35" t="str">
        <x:v>LN028 scheduled payment</x:v>
      </x:c>
    </x:row>
    <x:row r="2780">
      <x:c r="A2780" s="20" t="str">
        <x:v>FIN-01317</x:v>
      </x:c>
      <x:c r="B2780" s="32" t="n">
        <x:v>1</x:v>
      </x:c>
      <x:c r="C2780" s="23" t="n">
        <x:v>46588</x:v>
      </x:c>
      <x:c r="D2780" s="23" t="n">
        <x:v>46588</x:v>
      </x:c>
      <x:c r="E2780" s="20" t="str">
        <x:v>P029</x:v>
      </x:c>
      <x:c r="F2780" s="20" t="str"/>
      <x:c r="G2780" s="20" t="str"/>
      <x:c r="H2780" s="20" t="str">
        <x:v>2200 Mortgage Loans Payable</x:v>
      </x:c>
      <x:c r="I2780" s="26" t="n">
        <x:v>739</x:v>
      </x:c>
      <x:c r="J2780" s="26" t="n">
        <x:v>0</x:v>
      </x:c>
      <x:c r="K2780" s="35" t="str">
        <x:v>LN029 scheduled payment</x:v>
      </x:c>
    </x:row>
    <x:row r="2781">
      <x:c r="A2781" s="20" t="str">
        <x:v>FIN-01317</x:v>
      </x:c>
      <x:c r="B2781" s="32" t="n">
        <x:v>2</x:v>
      </x:c>
      <x:c r="C2781" s="23" t="n">
        <x:v>46588</x:v>
      </x:c>
      <x:c r="D2781" s="23" t="n">
        <x:v>46588</x:v>
      </x:c>
      <x:c r="E2781" s="20" t="str">
        <x:v>P029</x:v>
      </x:c>
      <x:c r="F2781" s="20" t="str"/>
      <x:c r="G2781" s="20" t="str"/>
      <x:c r="H2781" s="20" t="str">
        <x:v>5040 Mortgage Interest</x:v>
      </x:c>
      <x:c r="I2781" s="26" t="n">
        <x:v>939</x:v>
      </x:c>
      <x:c r="J2781" s="26" t="n">
        <x:v>0</x:v>
      </x:c>
      <x:c r="K2781" s="35" t="str">
        <x:v>LN029 scheduled payment</x:v>
      </x:c>
    </x:row>
    <x:row r="2782">
      <x:c r="A2782" s="20" t="str">
        <x:v>FIN-01317</x:v>
      </x:c>
      <x:c r="B2782" s="32" t="n">
        <x:v>3</x:v>
      </x:c>
      <x:c r="C2782" s="23" t="n">
        <x:v>46588</x:v>
      </x:c>
      <x:c r="D2782" s="23" t="n">
        <x:v>46588</x:v>
      </x:c>
      <x:c r="E2782" s="20" t="str">
        <x:v>P029</x:v>
      </x:c>
      <x:c r="F2782" s="20" t="str"/>
      <x:c r="G2782" s="20" t="str"/>
      <x:c r="H2782" s="20" t="str">
        <x:v>1000 Operating Cash</x:v>
      </x:c>
      <x:c r="I2782" s="26" t="n">
        <x:v>0</x:v>
      </x:c>
      <x:c r="J2782" s="26" t="n">
        <x:v>1678</x:v>
      </x:c>
      <x:c r="K2782" s="35" t="str">
        <x:v>LN029 scheduled payment</x:v>
      </x:c>
    </x:row>
    <x:row r="2783">
      <x:c r="A2783" s="20" t="str">
        <x:v>FIN-01318</x:v>
      </x:c>
      <x:c r="B2783" s="32" t="n">
        <x:v>1</x:v>
      </x:c>
      <x:c r="C2783" s="23" t="n">
        <x:v>46593</x:v>
      </x:c>
      <x:c r="D2783" s="23" t="n">
        <x:v>46593</x:v>
      </x:c>
      <x:c r="E2783" s="20" t="str"/>
      <x:c r="F2783" s="20" t="str"/>
      <x:c r="G2783" s="20" t="str"/>
      <x:c r="H2783" s="20" t="str">
        <x:v>3100 Owner Distributions</x:v>
      </x:c>
      <x:c r="I2783" s="26" t="n">
        <x:v>3050</x:v>
      </x:c>
      <x:c r="J2783" s="26" t="n">
        <x:v>0</x:v>
      </x:c>
      <x:c r="K2783" s="35" t="str">
        <x:v>Monthly distribution to Blue Door Residential LLC</x:v>
      </x:c>
    </x:row>
    <x:row r="2784">
      <x:c r="A2784" s="20" t="str">
        <x:v>FIN-01318</x:v>
      </x:c>
      <x:c r="B2784" s="32" t="n">
        <x:v>2</x:v>
      </x:c>
      <x:c r="C2784" s="23" t="n">
        <x:v>46593</x:v>
      </x:c>
      <x:c r="D2784" s="23" t="n">
        <x:v>46593</x:v>
      </x:c>
      <x:c r="E2784" s="20" t="str"/>
      <x:c r="F2784" s="20" t="str"/>
      <x:c r="G2784" s="20" t="str"/>
      <x:c r="H2784" s="20" t="str">
        <x:v>1000 Operating Cash</x:v>
      </x:c>
      <x:c r="I2784" s="26" t="n">
        <x:v>0</x:v>
      </x:c>
      <x:c r="J2784" s="26" t="n">
        <x:v>3050</x:v>
      </x:c>
      <x:c r="K2784" s="35" t="str">
        <x:v>Monthly distribution to Blue Door Residential LLC</x:v>
      </x:c>
    </x:row>
    <x:row r="2785">
      <x:c r="A2785" s="20" t="str">
        <x:v>FIN-01319</x:v>
      </x:c>
      <x:c r="B2785" s="32" t="n">
        <x:v>1</x:v>
      </x:c>
      <x:c r="C2785" s="23" t="n">
        <x:v>46593</x:v>
      </x:c>
      <x:c r="D2785" s="23" t="n">
        <x:v>46593</x:v>
      </x:c>
      <x:c r="E2785" s="20" t="str"/>
      <x:c r="F2785" s="20" t="str"/>
      <x:c r="G2785" s="20" t="str"/>
      <x:c r="H2785" s="20" t="str">
        <x:v>3100 Owner Distributions</x:v>
      </x:c>
      <x:c r="I2785" s="26" t="n">
        <x:v>3400</x:v>
      </x:c>
      <x:c r="J2785" s="26" t="n">
        <x:v>0</x:v>
      </x:c>
      <x:c r="K2785" s="35" t="str">
        <x:v>Monthly distribution to Coble Family Rentals LLC</x:v>
      </x:c>
    </x:row>
    <x:row r="2786">
      <x:c r="A2786" s="20" t="str">
        <x:v>FIN-01319</x:v>
      </x:c>
      <x:c r="B2786" s="32" t="n">
        <x:v>2</x:v>
      </x:c>
      <x:c r="C2786" s="23" t="n">
        <x:v>46593</x:v>
      </x:c>
      <x:c r="D2786" s="23" t="n">
        <x:v>46593</x:v>
      </x:c>
      <x:c r="E2786" s="20" t="str"/>
      <x:c r="F2786" s="20" t="str"/>
      <x:c r="G2786" s="20" t="str"/>
      <x:c r="H2786" s="20" t="str">
        <x:v>1000 Operating Cash</x:v>
      </x:c>
      <x:c r="I2786" s="26" t="n">
        <x:v>0</x:v>
      </x:c>
      <x:c r="J2786" s="26" t="n">
        <x:v>3400</x:v>
      </x:c>
      <x:c r="K2786" s="35" t="str">
        <x:v>Monthly distribution to Coble Family Rentals LLC</x:v>
      </x:c>
    </x:row>
    <x:row r="2787">
      <x:c r="A2787" s="20" t="str">
        <x:v>FIN-01320</x:v>
      </x:c>
      <x:c r="B2787" s="32" t="n">
        <x:v>1</x:v>
      </x:c>
      <x:c r="C2787" s="23" t="n">
        <x:v>46593</x:v>
      </x:c>
      <x:c r="D2787" s="23" t="n">
        <x:v>46593</x:v>
      </x:c>
      <x:c r="E2787" s="20" t="str"/>
      <x:c r="F2787" s="20" t="str"/>
      <x:c r="G2787" s="20" t="str"/>
      <x:c r="H2787" s="20" t="str">
        <x:v>3100 Owner Distributions</x:v>
      </x:c>
      <x:c r="I2787" s="26" t="n">
        <x:v>3750</x:v>
      </x:c>
      <x:c r="J2787" s="26" t="n">
        <x:v>0</x:v>
      </x:c>
      <x:c r="K2787" s="35" t="str">
        <x:v>Monthly distribution to Northstar Property Partners LLC</x:v>
      </x:c>
    </x:row>
    <x:row r="2788">
      <x:c r="A2788" s="20" t="str">
        <x:v>FIN-01320</x:v>
      </x:c>
      <x:c r="B2788" s="32" t="n">
        <x:v>2</x:v>
      </x:c>
      <x:c r="C2788" s="23" t="n">
        <x:v>46593</x:v>
      </x:c>
      <x:c r="D2788" s="23" t="n">
        <x:v>46593</x:v>
      </x:c>
      <x:c r="E2788" s="20" t="str"/>
      <x:c r="F2788" s="20" t="str"/>
      <x:c r="G2788" s="20" t="str"/>
      <x:c r="H2788" s="20" t="str">
        <x:v>1000 Operating Cash</x:v>
      </x:c>
      <x:c r="I2788" s="26" t="n">
        <x:v>0</x:v>
      </x:c>
      <x:c r="J2788" s="26" t="n">
        <x:v>3750</x:v>
      </x:c>
      <x:c r="K2788" s="35" t="str">
        <x:v>Monthly distribution to Northstar Property Partners LLC</x:v>
      </x:c>
    </x:row>
    <x:row r="2789">
      <x:c r="A2789" s="20" t="str">
        <x:v>FIN-01321</x:v>
      </x:c>
      <x:c r="B2789" s="32" t="n">
        <x:v>1</x:v>
      </x:c>
      <x:c r="C2789" s="23" t="n">
        <x:v>46593</x:v>
      </x:c>
      <x:c r="D2789" s="23" t="n">
        <x:v>46593</x:v>
      </x:c>
      <x:c r="E2789" s="20" t="str"/>
      <x:c r="F2789" s="20" t="str"/>
      <x:c r="G2789" s="20" t="str"/>
      <x:c r="H2789" s="20" t="str">
        <x:v>3100 Owner Distributions</x:v>
      </x:c>
      <x:c r="I2789" s="26" t="n">
        <x:v>4100</x:v>
      </x:c>
      <x:c r="J2789" s="26" t="n">
        <x:v>0</x:v>
      </x:c>
      <x:c r="K2789" s="35" t="str">
        <x:v>Monthly distribution to Riverbend Homes LLC</x:v>
      </x:c>
    </x:row>
    <x:row r="2790">
      <x:c r="A2790" s="20" t="str">
        <x:v>FIN-01321</x:v>
      </x:c>
      <x:c r="B2790" s="32" t="n">
        <x:v>2</x:v>
      </x:c>
      <x:c r="C2790" s="23" t="n">
        <x:v>46593</x:v>
      </x:c>
      <x:c r="D2790" s="23" t="n">
        <x:v>46593</x:v>
      </x:c>
      <x:c r="E2790" s="20" t="str"/>
      <x:c r="F2790" s="20" t="str"/>
      <x:c r="G2790" s="20" t="str"/>
      <x:c r="H2790" s="20" t="str">
        <x:v>1000 Operating Cash</x:v>
      </x:c>
      <x:c r="I2790" s="26" t="n">
        <x:v>0</x:v>
      </x:c>
      <x:c r="J2790" s="26" t="n">
        <x:v>4100</x:v>
      </x:c>
      <x:c r="K2790" s="35" t="str">
        <x:v>Monthly distribution to Riverbend Homes LLC</x:v>
      </x:c>
    </x:row>
    <x:row r="2791">
      <x:c r="A2791" s="20" t="str">
        <x:v>FIN-01322</x:v>
      </x:c>
      <x:c r="B2791" s="32" t="n">
        <x:v>1</x:v>
      </x:c>
      <x:c r="C2791" s="23" t="n">
        <x:v>46593</x:v>
      </x:c>
      <x:c r="D2791" s="23" t="n">
        <x:v>46593</x:v>
      </x:c>
      <x:c r="E2791" s="20" t="str"/>
      <x:c r="F2791" s="20" t="str"/>
      <x:c r="G2791" s="20" t="str"/>
      <x:c r="H2791" s="20" t="str">
        <x:v>3100 Owner Distributions</x:v>
      </x:c>
      <x:c r="I2791" s="26" t="n">
        <x:v>4450</x:v>
      </x:c>
      <x:c r="J2791" s="26" t="n">
        <x:v>0</x:v>
      </x:c>
      <x:c r="K2791" s="35" t="str">
        <x:v>Monthly distribution to Juniper Street Holdings LLC</x:v>
      </x:c>
    </x:row>
    <x:row r="2792">
      <x:c r="A2792" s="20" t="str">
        <x:v>FIN-01322</x:v>
      </x:c>
      <x:c r="B2792" s="32" t="n">
        <x:v>2</x:v>
      </x:c>
      <x:c r="C2792" s="23" t="n">
        <x:v>46593</x:v>
      </x:c>
      <x:c r="D2792" s="23" t="n">
        <x:v>46593</x:v>
      </x:c>
      <x:c r="E2792" s="20" t="str"/>
      <x:c r="F2792" s="20" t="str"/>
      <x:c r="G2792" s="20" t="str"/>
      <x:c r="H2792" s="20" t="str">
        <x:v>1000 Operating Cash</x:v>
      </x:c>
      <x:c r="I2792" s="26" t="n">
        <x:v>0</x:v>
      </x:c>
      <x:c r="J2792" s="26" t="n">
        <x:v>4450</x:v>
      </x:c>
      <x:c r="K2792" s="35" t="str">
        <x:v>Monthly distribution to Juniper Street Holdings LLC</x:v>
      </x:c>
    </x:row>
    <x:row r="2793">
      <x:c r="A2793" s="20" t="str">
        <x:v>FIN-01323</x:v>
      </x:c>
      <x:c r="B2793" s="32" t="n">
        <x:v>1</x:v>
      </x:c>
      <x:c r="C2793" s="23" t="n">
        <x:v>46614</x:v>
      </x:c>
      <x:c r="D2793" s="23" t="n">
        <x:v>46614</x:v>
      </x:c>
      <x:c r="E2793" s="20" t="str">
        <x:v>P021</x:v>
      </x:c>
      <x:c r="F2793" s="20" t="str"/>
      <x:c r="G2793" s="20" t="str"/>
      <x:c r="H2793" s="20" t="str">
        <x:v>5010 Utilities</x:v>
      </x:c>
      <x:c r="I2793" s="26" t="n">
        <x:v>123</x:v>
      </x:c>
      <x:c r="J2793" s="26" t="n">
        <x:v>0</x:v>
      </x:c>
      <x:c r="K2793" s="35" t="str">
        <x:v>City Water &amp; Sewer</x:v>
      </x:c>
    </x:row>
    <x:row r="2794">
      <x:c r="A2794" s="20" t="str">
        <x:v>FIN-01323</x:v>
      </x:c>
      <x:c r="B2794" s="32" t="n">
        <x:v>2</x:v>
      </x:c>
      <x:c r="C2794" s="23" t="n">
        <x:v>46614</x:v>
      </x:c>
      <x:c r="D2794" s="23" t="n">
        <x:v>46614</x:v>
      </x:c>
      <x:c r="E2794" s="20" t="str">
        <x:v>P021</x:v>
      </x:c>
      <x:c r="F2794" s="20" t="str"/>
      <x:c r="G2794" s="20" t="str"/>
      <x:c r="H2794" s="20" t="str">
        <x:v>1000 Operating Cash</x:v>
      </x:c>
      <x:c r="I2794" s="26" t="n">
        <x:v>0</x:v>
      </x:c>
      <x:c r="J2794" s="26" t="n">
        <x:v>123</x:v>
      </x:c>
      <x:c r="K2794" s="35" t="str">
        <x:v>City Water &amp; Sewer</x:v>
      </x:c>
    </x:row>
    <x:row r="2795">
      <x:c r="A2795" s="20" t="str">
        <x:v>FIN-01324</x:v>
      </x:c>
      <x:c r="B2795" s="32" t="n">
        <x:v>1</x:v>
      </x:c>
      <x:c r="C2795" s="23" t="n">
        <x:v>46614</x:v>
      </x:c>
      <x:c r="D2795" s="23" t="n">
        <x:v>46614</x:v>
      </x:c>
      <x:c r="E2795" s="20" t="str">
        <x:v>P022</x:v>
      </x:c>
      <x:c r="F2795" s="20" t="str"/>
      <x:c r="G2795" s="20" t="str"/>
      <x:c r="H2795" s="20" t="str">
        <x:v>5010 Utilities</x:v>
      </x:c>
      <x:c r="I2795" s="26" t="n">
        <x:v>130</x:v>
      </x:c>
      <x:c r="J2795" s="26" t="n">
        <x:v>0</x:v>
      </x:c>
      <x:c r="K2795" s="35" t="str">
        <x:v>City Water &amp; Sewer</x:v>
      </x:c>
    </x:row>
    <x:row r="2796">
      <x:c r="A2796" s="20" t="str">
        <x:v>FIN-01324</x:v>
      </x:c>
      <x:c r="B2796" s="32" t="n">
        <x:v>2</x:v>
      </x:c>
      <x:c r="C2796" s="23" t="n">
        <x:v>46614</x:v>
      </x:c>
      <x:c r="D2796" s="23" t="n">
        <x:v>46614</x:v>
      </x:c>
      <x:c r="E2796" s="20" t="str">
        <x:v>P022</x:v>
      </x:c>
      <x:c r="F2796" s="20" t="str"/>
      <x:c r="G2796" s="20" t="str"/>
      <x:c r="H2796" s="20" t="str">
        <x:v>1000 Operating Cash</x:v>
      </x:c>
      <x:c r="I2796" s="26" t="n">
        <x:v>0</x:v>
      </x:c>
      <x:c r="J2796" s="26" t="n">
        <x:v>130</x:v>
      </x:c>
      <x:c r="K2796" s="35" t="str">
        <x:v>City Water &amp; Sewer</x:v>
      </x:c>
    </x:row>
    <x:row r="2797">
      <x:c r="A2797" s="20" t="str">
        <x:v>FIN-01325</x:v>
      </x:c>
      <x:c r="B2797" s="32" t="n">
        <x:v>1</x:v>
      </x:c>
      <x:c r="C2797" s="23" t="n">
        <x:v>46614</x:v>
      </x:c>
      <x:c r="D2797" s="23" t="n">
        <x:v>46614</x:v>
      </x:c>
      <x:c r="E2797" s="20" t="str">
        <x:v>P023</x:v>
      </x:c>
      <x:c r="F2797" s="20" t="str"/>
      <x:c r="G2797" s="20" t="str"/>
      <x:c r="H2797" s="20" t="str">
        <x:v>5010 Utilities</x:v>
      </x:c>
      <x:c r="I2797" s="26" t="n">
        <x:v>137</x:v>
      </x:c>
      <x:c r="J2797" s="26" t="n">
        <x:v>0</x:v>
      </x:c>
      <x:c r="K2797" s="35" t="str">
        <x:v>City Water &amp; Sewer</x:v>
      </x:c>
    </x:row>
    <x:row r="2798">
      <x:c r="A2798" s="20" t="str">
        <x:v>FIN-01325</x:v>
      </x:c>
      <x:c r="B2798" s="32" t="n">
        <x:v>2</x:v>
      </x:c>
      <x:c r="C2798" s="23" t="n">
        <x:v>46614</x:v>
      </x:c>
      <x:c r="D2798" s="23" t="n">
        <x:v>46614</x:v>
      </x:c>
      <x:c r="E2798" s="20" t="str">
        <x:v>P023</x:v>
      </x:c>
      <x:c r="F2798" s="20" t="str"/>
      <x:c r="G2798" s="20" t="str"/>
      <x:c r="H2798" s="20" t="str">
        <x:v>1000 Operating Cash</x:v>
      </x:c>
      <x:c r="I2798" s="26" t="n">
        <x:v>0</x:v>
      </x:c>
      <x:c r="J2798" s="26" t="n">
        <x:v>137</x:v>
      </x:c>
      <x:c r="K2798" s="35" t="str">
        <x:v>City Water &amp; Sewer</x:v>
      </x:c>
    </x:row>
    <x:row r="2799">
      <x:c r="A2799" s="20" t="str">
        <x:v>FIN-01326</x:v>
      </x:c>
      <x:c r="B2799" s="32" t="n">
        <x:v>1</x:v>
      </x:c>
      <x:c r="C2799" s="23" t="n">
        <x:v>46614</x:v>
      </x:c>
      <x:c r="D2799" s="23" t="n">
        <x:v>46614</x:v>
      </x:c>
      <x:c r="E2799" s="20" t="str">
        <x:v>P024</x:v>
      </x:c>
      <x:c r="F2799" s="20" t="str"/>
      <x:c r="G2799" s="20" t="str"/>
      <x:c r="H2799" s="20" t="str">
        <x:v>5010 Utilities</x:v>
      </x:c>
      <x:c r="I2799" s="26" t="n">
        <x:v>144</x:v>
      </x:c>
      <x:c r="J2799" s="26" t="n">
        <x:v>0</x:v>
      </x:c>
      <x:c r="K2799" s="35" t="str">
        <x:v>City Water &amp; Sewer</x:v>
      </x:c>
    </x:row>
    <x:row r="2800">
      <x:c r="A2800" s="20" t="str">
        <x:v>FIN-01326</x:v>
      </x:c>
      <x:c r="B2800" s="32" t="n">
        <x:v>2</x:v>
      </x:c>
      <x:c r="C2800" s="23" t="n">
        <x:v>46614</x:v>
      </x:c>
      <x:c r="D2800" s="23" t="n">
        <x:v>46614</x:v>
      </x:c>
      <x:c r="E2800" s="20" t="str">
        <x:v>P024</x:v>
      </x:c>
      <x:c r="F2800" s="20" t="str"/>
      <x:c r="G2800" s="20" t="str"/>
      <x:c r="H2800" s="20" t="str">
        <x:v>1000 Operating Cash</x:v>
      </x:c>
      <x:c r="I2800" s="26" t="n">
        <x:v>0</x:v>
      </x:c>
      <x:c r="J2800" s="26" t="n">
        <x:v>144</x:v>
      </x:c>
      <x:c r="K2800" s="35" t="str">
        <x:v>City Water &amp; Sewer</x:v>
      </x:c>
    </x:row>
    <x:row r="2801">
      <x:c r="A2801" s="20" t="str">
        <x:v>FIN-01327</x:v>
      </x:c>
      <x:c r="B2801" s="32" t="n">
        <x:v>1</x:v>
      </x:c>
      <x:c r="C2801" s="23" t="n">
        <x:v>46614</x:v>
      </x:c>
      <x:c r="D2801" s="23" t="n">
        <x:v>46614</x:v>
      </x:c>
      <x:c r="E2801" s="20" t="str">
        <x:v>P025</x:v>
      </x:c>
      <x:c r="F2801" s="20" t="str"/>
      <x:c r="G2801" s="20" t="str"/>
      <x:c r="H2801" s="20" t="str">
        <x:v>5010 Utilities</x:v>
      </x:c>
      <x:c r="I2801" s="26" t="n">
        <x:v>151</x:v>
      </x:c>
      <x:c r="J2801" s="26" t="n">
        <x:v>0</x:v>
      </x:c>
      <x:c r="K2801" s="35" t="str">
        <x:v>City Water &amp; Sewer</x:v>
      </x:c>
    </x:row>
    <x:row r="2802">
      <x:c r="A2802" s="20" t="str">
        <x:v>FIN-01327</x:v>
      </x:c>
      <x:c r="B2802" s="32" t="n">
        <x:v>2</x:v>
      </x:c>
      <x:c r="C2802" s="23" t="n">
        <x:v>46614</x:v>
      </x:c>
      <x:c r="D2802" s="23" t="n">
        <x:v>46614</x:v>
      </x:c>
      <x:c r="E2802" s="20" t="str">
        <x:v>P025</x:v>
      </x:c>
      <x:c r="F2802" s="20" t="str"/>
      <x:c r="G2802" s="20" t="str"/>
      <x:c r="H2802" s="20" t="str">
        <x:v>1000 Operating Cash</x:v>
      </x:c>
      <x:c r="I2802" s="26" t="n">
        <x:v>0</x:v>
      </x:c>
      <x:c r="J2802" s="26" t="n">
        <x:v>151</x:v>
      </x:c>
      <x:c r="K2802" s="35" t="str">
        <x:v>City Water &amp; Sewer</x:v>
      </x:c>
    </x:row>
    <x:row r="2803">
      <x:c r="A2803" s="20" t="str">
        <x:v>FIN-01328</x:v>
      </x:c>
      <x:c r="B2803" s="32" t="n">
        <x:v>1</x:v>
      </x:c>
      <x:c r="C2803" s="23" t="n">
        <x:v>46614</x:v>
      </x:c>
      <x:c r="D2803" s="23" t="n">
        <x:v>46614</x:v>
      </x:c>
      <x:c r="E2803" s="20" t="str">
        <x:v>P026</x:v>
      </x:c>
      <x:c r="F2803" s="20" t="str"/>
      <x:c r="G2803" s="20" t="str"/>
      <x:c r="H2803" s="20" t="str">
        <x:v>5010 Utilities</x:v>
      </x:c>
      <x:c r="I2803" s="26" t="n">
        <x:v>158</x:v>
      </x:c>
      <x:c r="J2803" s="26" t="n">
        <x:v>0</x:v>
      </x:c>
      <x:c r="K2803" s="35" t="str">
        <x:v>City Water &amp; Sewer</x:v>
      </x:c>
    </x:row>
    <x:row r="2804">
      <x:c r="A2804" s="20" t="str">
        <x:v>FIN-01328</x:v>
      </x:c>
      <x:c r="B2804" s="32" t="n">
        <x:v>2</x:v>
      </x:c>
      <x:c r="C2804" s="23" t="n">
        <x:v>46614</x:v>
      </x:c>
      <x:c r="D2804" s="23" t="n">
        <x:v>46614</x:v>
      </x:c>
      <x:c r="E2804" s="20" t="str">
        <x:v>P026</x:v>
      </x:c>
      <x:c r="F2804" s="20" t="str"/>
      <x:c r="G2804" s="20" t="str"/>
      <x:c r="H2804" s="20" t="str">
        <x:v>1000 Operating Cash</x:v>
      </x:c>
      <x:c r="I2804" s="26" t="n">
        <x:v>0</x:v>
      </x:c>
      <x:c r="J2804" s="26" t="n">
        <x:v>158</x:v>
      </x:c>
      <x:c r="K2804" s="35" t="str">
        <x:v>City Water &amp; Sewer</x:v>
      </x:c>
    </x:row>
    <x:row r="2805">
      <x:c r="A2805" s="20" t="str">
        <x:v>FIN-01329</x:v>
      </x:c>
      <x:c r="B2805" s="32" t="n">
        <x:v>1</x:v>
      </x:c>
      <x:c r="C2805" s="23" t="n">
        <x:v>46614</x:v>
      </x:c>
      <x:c r="D2805" s="23" t="n">
        <x:v>46614</x:v>
      </x:c>
      <x:c r="E2805" s="20" t="str">
        <x:v>P027</x:v>
      </x:c>
      <x:c r="F2805" s="20" t="str"/>
      <x:c r="G2805" s="20" t="str"/>
      <x:c r="H2805" s="20" t="str">
        <x:v>5010 Utilities</x:v>
      </x:c>
      <x:c r="I2805" s="26" t="n">
        <x:v>165</x:v>
      </x:c>
      <x:c r="J2805" s="26" t="n">
        <x:v>0</x:v>
      </x:c>
      <x:c r="K2805" s="35" t="str">
        <x:v>City Water &amp; Sewer</x:v>
      </x:c>
    </x:row>
    <x:row r="2806">
      <x:c r="A2806" s="20" t="str">
        <x:v>FIN-01329</x:v>
      </x:c>
      <x:c r="B2806" s="32" t="n">
        <x:v>2</x:v>
      </x:c>
      <x:c r="C2806" s="23" t="n">
        <x:v>46614</x:v>
      </x:c>
      <x:c r="D2806" s="23" t="n">
        <x:v>46614</x:v>
      </x:c>
      <x:c r="E2806" s="20" t="str">
        <x:v>P027</x:v>
      </x:c>
      <x:c r="F2806" s="20" t="str"/>
      <x:c r="G2806" s="20" t="str"/>
      <x:c r="H2806" s="20" t="str">
        <x:v>1000 Operating Cash</x:v>
      </x:c>
      <x:c r="I2806" s="26" t="n">
        <x:v>0</x:v>
      </x:c>
      <x:c r="J2806" s="26" t="n">
        <x:v>165</x:v>
      </x:c>
      <x:c r="K2806" s="35" t="str">
        <x:v>City Water &amp; Sewer</x:v>
      </x:c>
    </x:row>
    <x:row r="2807">
      <x:c r="A2807" s="20" t="str">
        <x:v>FIN-01330</x:v>
      </x:c>
      <x:c r="B2807" s="32" t="n">
        <x:v>1</x:v>
      </x:c>
      <x:c r="C2807" s="23" t="n">
        <x:v>46614</x:v>
      </x:c>
      <x:c r="D2807" s="23" t="n">
        <x:v>46614</x:v>
      </x:c>
      <x:c r="E2807" s="20" t="str">
        <x:v>P028</x:v>
      </x:c>
      <x:c r="F2807" s="20" t="str"/>
      <x:c r="G2807" s="20" t="str"/>
      <x:c r="H2807" s="20" t="str">
        <x:v>5010 Utilities</x:v>
      </x:c>
      <x:c r="I2807" s="26" t="n">
        <x:v>172</x:v>
      </x:c>
      <x:c r="J2807" s="26" t="n">
        <x:v>0</x:v>
      </x:c>
      <x:c r="K2807" s="35" t="str">
        <x:v>City Water &amp; Sewer</x:v>
      </x:c>
    </x:row>
    <x:row r="2808">
      <x:c r="A2808" s="20" t="str">
        <x:v>FIN-01330</x:v>
      </x:c>
      <x:c r="B2808" s="32" t="n">
        <x:v>2</x:v>
      </x:c>
      <x:c r="C2808" s="23" t="n">
        <x:v>46614</x:v>
      </x:c>
      <x:c r="D2808" s="23" t="n">
        <x:v>46614</x:v>
      </x:c>
      <x:c r="E2808" s="20" t="str">
        <x:v>P028</x:v>
      </x:c>
      <x:c r="F2808" s="20" t="str"/>
      <x:c r="G2808" s="20" t="str"/>
      <x:c r="H2808" s="20" t="str">
        <x:v>1000 Operating Cash</x:v>
      </x:c>
      <x:c r="I2808" s="26" t="n">
        <x:v>0</x:v>
      </x:c>
      <x:c r="J2808" s="26" t="n">
        <x:v>172</x:v>
      </x:c>
      <x:c r="K2808" s="35" t="str">
        <x:v>City Water &amp; Sewer</x:v>
      </x:c>
    </x:row>
    <x:row r="2809">
      <x:c r="A2809" s="20" t="str">
        <x:v>FIN-01331</x:v>
      </x:c>
      <x:c r="B2809" s="32" t="n">
        <x:v>1</x:v>
      </x:c>
      <x:c r="C2809" s="23" t="n">
        <x:v>46614</x:v>
      </x:c>
      <x:c r="D2809" s="23" t="n">
        <x:v>46614</x:v>
      </x:c>
      <x:c r="E2809" s="20" t="str">
        <x:v>P029</x:v>
      </x:c>
      <x:c r="F2809" s="20" t="str"/>
      <x:c r="G2809" s="20" t="str"/>
      <x:c r="H2809" s="20" t="str">
        <x:v>5010 Utilities</x:v>
      </x:c>
      <x:c r="I2809" s="26" t="n">
        <x:v>179</x:v>
      </x:c>
      <x:c r="J2809" s="26" t="n">
        <x:v>0</x:v>
      </x:c>
      <x:c r="K2809" s="35" t="str">
        <x:v>City Water &amp; Sewer</x:v>
      </x:c>
    </x:row>
    <x:row r="2810">
      <x:c r="A2810" s="20" t="str">
        <x:v>FIN-01331</x:v>
      </x:c>
      <x:c r="B2810" s="32" t="n">
        <x:v>2</x:v>
      </x:c>
      <x:c r="C2810" s="23" t="n">
        <x:v>46614</x:v>
      </x:c>
      <x:c r="D2810" s="23" t="n">
        <x:v>46614</x:v>
      </x:c>
      <x:c r="E2810" s="20" t="str">
        <x:v>P029</x:v>
      </x:c>
      <x:c r="F2810" s="20" t="str"/>
      <x:c r="G2810" s="20" t="str"/>
      <x:c r="H2810" s="20" t="str">
        <x:v>1000 Operating Cash</x:v>
      </x:c>
      <x:c r="I2810" s="26" t="n">
        <x:v>0</x:v>
      </x:c>
      <x:c r="J2810" s="26" t="n">
        <x:v>179</x:v>
      </x:c>
      <x:c r="K2810" s="35" t="str">
        <x:v>City Water &amp; Sewer</x:v>
      </x:c>
    </x:row>
    <x:row r="2811">
      <x:c r="A2811" s="20" t="str">
        <x:v>FIN-01332</x:v>
      </x:c>
      <x:c r="B2811" s="32" t="n">
        <x:v>1</x:v>
      </x:c>
      <x:c r="C2811" s="23" t="n">
        <x:v>46614</x:v>
      </x:c>
      <x:c r="D2811" s="23" t="n">
        <x:v>46614</x:v>
      </x:c>
      <x:c r="E2811" s="20" t="str">
        <x:v>P030</x:v>
      </x:c>
      <x:c r="F2811" s="20" t="str"/>
      <x:c r="G2811" s="20" t="str"/>
      <x:c r="H2811" s="20" t="str">
        <x:v>5010 Utilities</x:v>
      </x:c>
      <x:c r="I2811" s="26" t="n">
        <x:v>186</x:v>
      </x:c>
      <x:c r="J2811" s="26" t="n">
        <x:v>0</x:v>
      </x:c>
      <x:c r="K2811" s="35" t="str">
        <x:v>City Water &amp; Sewer</x:v>
      </x:c>
    </x:row>
    <x:row r="2812">
      <x:c r="A2812" s="20" t="str">
        <x:v>FIN-01332</x:v>
      </x:c>
      <x:c r="B2812" s="32" t="n">
        <x:v>2</x:v>
      </x:c>
      <x:c r="C2812" s="23" t="n">
        <x:v>46614</x:v>
      </x:c>
      <x:c r="D2812" s="23" t="n">
        <x:v>46614</x:v>
      </x:c>
      <x:c r="E2812" s="20" t="str">
        <x:v>P030</x:v>
      </x:c>
      <x:c r="F2812" s="20" t="str"/>
      <x:c r="G2812" s="20" t="str"/>
      <x:c r="H2812" s="20" t="str">
        <x:v>1000 Operating Cash</x:v>
      </x:c>
      <x:c r="I2812" s="26" t="n">
        <x:v>0</x:v>
      </x:c>
      <x:c r="J2812" s="26" t="n">
        <x:v>186</x:v>
      </x:c>
      <x:c r="K2812" s="35" t="str">
        <x:v>City Water &amp; Sewer</x:v>
      </x:c>
    </x:row>
    <x:row r="2813">
      <x:c r="A2813" s="20" t="str">
        <x:v>FIN-01333</x:v>
      </x:c>
      <x:c r="B2813" s="32" t="n">
        <x:v>1</x:v>
      </x:c>
      <x:c r="C2813" s="23" t="n">
        <x:v>46619</x:v>
      </x:c>
      <x:c r="D2813" s="23" t="n">
        <x:v>46619</x:v>
      </x:c>
      <x:c r="E2813" s="20" t="str">
        <x:v>P001</x:v>
      </x:c>
      <x:c r="F2813" s="20" t="str"/>
      <x:c r="G2813" s="20" t="str"/>
      <x:c r="H2813" s="20" t="str">
        <x:v>2200 Mortgage Loans Payable</x:v>
      </x:c>
      <x:c r="I2813" s="26" t="n">
        <x:v>431</x:v>
      </x:c>
      <x:c r="J2813" s="26" t="n">
        <x:v>0</x:v>
      </x:c>
      <x:c r="K2813" s="35" t="str">
        <x:v>LN001 scheduled payment</x:v>
      </x:c>
    </x:row>
    <x:row r="2814">
      <x:c r="A2814" s="20" t="str">
        <x:v>FIN-01333</x:v>
      </x:c>
      <x:c r="B2814" s="32" t="n">
        <x:v>2</x:v>
      </x:c>
      <x:c r="C2814" s="23" t="n">
        <x:v>46619</x:v>
      </x:c>
      <x:c r="D2814" s="23" t="n">
        <x:v>46619</x:v>
      </x:c>
      <x:c r="E2814" s="20" t="str">
        <x:v>P001</x:v>
      </x:c>
      <x:c r="F2814" s="20" t="str"/>
      <x:c r="G2814" s="20" t="str"/>
      <x:c r="H2814" s="20" t="str">
        <x:v>5040 Mortgage Interest</x:v>
      </x:c>
      <x:c r="I2814" s="26" t="n">
        <x:v>567</x:v>
      </x:c>
      <x:c r="J2814" s="26" t="n">
        <x:v>0</x:v>
      </x:c>
      <x:c r="K2814" s="35" t="str">
        <x:v>LN001 scheduled payment</x:v>
      </x:c>
    </x:row>
    <x:row r="2815">
      <x:c r="A2815" s="20" t="str">
        <x:v>FIN-01333</x:v>
      </x:c>
      <x:c r="B2815" s="32" t="n">
        <x:v>3</x:v>
      </x:c>
      <x:c r="C2815" s="23" t="n">
        <x:v>46619</x:v>
      </x:c>
      <x:c r="D2815" s="23" t="n">
        <x:v>46619</x:v>
      </x:c>
      <x:c r="E2815" s="20" t="str">
        <x:v>P001</x:v>
      </x:c>
      <x:c r="F2815" s="20" t="str"/>
      <x:c r="G2815" s="20" t="str"/>
      <x:c r="H2815" s="20" t="str">
        <x:v>1000 Operating Cash</x:v>
      </x:c>
      <x:c r="I2815" s="26" t="n">
        <x:v>0</x:v>
      </x:c>
      <x:c r="J2815" s="26" t="n">
        <x:v>998</x:v>
      </x:c>
      <x:c r="K2815" s="35" t="str">
        <x:v>LN001 scheduled payment</x:v>
      </x:c>
    </x:row>
    <x:row r="2816">
      <x:c r="A2816" s="20" t="str">
        <x:v>FIN-01334</x:v>
      </x:c>
      <x:c r="B2816" s="32" t="n">
        <x:v>1</x:v>
      </x:c>
      <x:c r="C2816" s="23" t="n">
        <x:v>46619</x:v>
      </x:c>
      <x:c r="D2816" s="23" t="n">
        <x:v>46619</x:v>
      </x:c>
      <x:c r="E2816" s="20" t="str">
        <x:v>P002</x:v>
      </x:c>
      <x:c r="F2816" s="20" t="str"/>
      <x:c r="G2816" s="20" t="str"/>
      <x:c r="H2816" s="20" t="str">
        <x:v>2200 Mortgage Loans Payable</x:v>
      </x:c>
      <x:c r="I2816" s="26" t="n">
        <x:v>442</x:v>
      </x:c>
      <x:c r="J2816" s="26" t="n">
        <x:v>0</x:v>
      </x:c>
      <x:c r="K2816" s="35" t="str">
        <x:v>LN002 scheduled payment</x:v>
      </x:c>
    </x:row>
    <x:row r="2817">
      <x:c r="A2817" s="20" t="str">
        <x:v>FIN-01334</x:v>
      </x:c>
      <x:c r="B2817" s="32" t="n">
        <x:v>2</x:v>
      </x:c>
      <x:c r="C2817" s="23" t="n">
        <x:v>46619</x:v>
      </x:c>
      <x:c r="D2817" s="23" t="n">
        <x:v>46619</x:v>
      </x:c>
      <x:c r="E2817" s="20" t="str">
        <x:v>P002</x:v>
      </x:c>
      <x:c r="F2817" s="20" t="str"/>
      <x:c r="G2817" s="20" t="str"/>
      <x:c r="H2817" s="20" t="str">
        <x:v>5040 Mortgage Interest</x:v>
      </x:c>
      <x:c r="I2817" s="26" t="n">
        <x:v>580</x:v>
      </x:c>
      <x:c r="J2817" s="26" t="n">
        <x:v>0</x:v>
      </x:c>
      <x:c r="K2817" s="35" t="str">
        <x:v>LN002 scheduled payment</x:v>
      </x:c>
    </x:row>
    <x:row r="2818">
      <x:c r="A2818" s="20" t="str">
        <x:v>FIN-01334</x:v>
      </x:c>
      <x:c r="B2818" s="32" t="n">
        <x:v>3</x:v>
      </x:c>
      <x:c r="C2818" s="23" t="n">
        <x:v>46619</x:v>
      </x:c>
      <x:c r="D2818" s="23" t="n">
        <x:v>46619</x:v>
      </x:c>
      <x:c r="E2818" s="20" t="str">
        <x:v>P002</x:v>
      </x:c>
      <x:c r="F2818" s="20" t="str"/>
      <x:c r="G2818" s="20" t="str"/>
      <x:c r="H2818" s="20" t="str">
        <x:v>1000 Operating Cash</x:v>
      </x:c>
      <x:c r="I2818" s="26" t="n">
        <x:v>0</x:v>
      </x:c>
      <x:c r="J2818" s="26" t="n">
        <x:v>1022</x:v>
      </x:c>
      <x:c r="K2818" s="35" t="str">
        <x:v>LN002 scheduled payment</x:v>
      </x:c>
    </x:row>
    <x:row r="2819">
      <x:c r="A2819" s="20" t="str">
        <x:v>FIN-01335</x:v>
      </x:c>
      <x:c r="B2819" s="32" t="n">
        <x:v>1</x:v>
      </x:c>
      <x:c r="C2819" s="23" t="n">
        <x:v>46619</x:v>
      </x:c>
      <x:c r="D2819" s="23" t="n">
        <x:v>46619</x:v>
      </x:c>
      <x:c r="E2819" s="20" t="str">
        <x:v>P004</x:v>
      </x:c>
      <x:c r="F2819" s="20" t="str"/>
      <x:c r="G2819" s="20" t="str"/>
      <x:c r="H2819" s="20" t="str">
        <x:v>2200 Mortgage Loans Payable</x:v>
      </x:c>
      <x:c r="I2819" s="26" t="n">
        <x:v>464</x:v>
      </x:c>
      <x:c r="J2819" s="26" t="n">
        <x:v>0</x:v>
      </x:c>
      <x:c r="K2819" s="35" t="str">
        <x:v>LN004 scheduled payment</x:v>
      </x:c>
    </x:row>
    <x:row r="2820">
      <x:c r="A2820" s="20" t="str">
        <x:v>FIN-01335</x:v>
      </x:c>
      <x:c r="B2820" s="32" t="n">
        <x:v>2</x:v>
      </x:c>
      <x:c r="C2820" s="23" t="n">
        <x:v>46619</x:v>
      </x:c>
      <x:c r="D2820" s="23" t="n">
        <x:v>46619</x:v>
      </x:c>
      <x:c r="E2820" s="20" t="str">
        <x:v>P004</x:v>
      </x:c>
      <x:c r="F2820" s="20" t="str"/>
      <x:c r="G2820" s="20" t="str"/>
      <x:c r="H2820" s="20" t="str">
        <x:v>5040 Mortgage Interest</x:v>
      </x:c>
      <x:c r="I2820" s="26" t="n">
        <x:v>606</x:v>
      </x:c>
      <x:c r="J2820" s="26" t="n">
        <x:v>0</x:v>
      </x:c>
      <x:c r="K2820" s="35" t="str">
        <x:v>LN004 scheduled payment</x:v>
      </x:c>
    </x:row>
    <x:row r="2821">
      <x:c r="A2821" s="20" t="str">
        <x:v>FIN-01335</x:v>
      </x:c>
      <x:c r="B2821" s="32" t="n">
        <x:v>3</x:v>
      </x:c>
      <x:c r="C2821" s="23" t="n">
        <x:v>46619</x:v>
      </x:c>
      <x:c r="D2821" s="23" t="n">
        <x:v>46619</x:v>
      </x:c>
      <x:c r="E2821" s="20" t="str">
        <x:v>P004</x:v>
      </x:c>
      <x:c r="F2821" s="20" t="str"/>
      <x:c r="G2821" s="20" t="str"/>
      <x:c r="H2821" s="20" t="str">
        <x:v>1000 Operating Cash</x:v>
      </x:c>
      <x:c r="I2821" s="26" t="n">
        <x:v>0</x:v>
      </x:c>
      <x:c r="J2821" s="26" t="n">
        <x:v>1070</x:v>
      </x:c>
      <x:c r="K2821" s="35" t="str">
        <x:v>LN004 scheduled payment</x:v>
      </x:c>
    </x:row>
    <x:row r="2822">
      <x:c r="A2822" s="20" t="str">
        <x:v>FIN-01336</x:v>
      </x:c>
      <x:c r="B2822" s="32" t="n">
        <x:v>1</x:v>
      </x:c>
      <x:c r="C2822" s="23" t="n">
        <x:v>46619</x:v>
      </x:c>
      <x:c r="D2822" s="23" t="n">
        <x:v>46619</x:v>
      </x:c>
      <x:c r="E2822" s="20" t="str">
        <x:v>P005</x:v>
      </x:c>
      <x:c r="F2822" s="20" t="str"/>
      <x:c r="G2822" s="20" t="str"/>
      <x:c r="H2822" s="20" t="str">
        <x:v>2200 Mortgage Loans Payable</x:v>
      </x:c>
      <x:c r="I2822" s="26" t="n">
        <x:v>475</x:v>
      </x:c>
      <x:c r="J2822" s="26" t="n">
        <x:v>0</x:v>
      </x:c>
      <x:c r="K2822" s="35" t="str">
        <x:v>LN005 scheduled payment</x:v>
      </x:c>
    </x:row>
    <x:row r="2823">
      <x:c r="A2823" s="20" t="str">
        <x:v>FIN-01336</x:v>
      </x:c>
      <x:c r="B2823" s="32" t="n">
        <x:v>2</x:v>
      </x:c>
      <x:c r="C2823" s="23" t="n">
        <x:v>46619</x:v>
      </x:c>
      <x:c r="D2823" s="23" t="n">
        <x:v>46619</x:v>
      </x:c>
      <x:c r="E2823" s="20" t="str">
        <x:v>P005</x:v>
      </x:c>
      <x:c r="F2823" s="20" t="str"/>
      <x:c r="G2823" s="20" t="str"/>
      <x:c r="H2823" s="20" t="str">
        <x:v>5040 Mortgage Interest</x:v>
      </x:c>
      <x:c r="I2823" s="26" t="n">
        <x:v>619</x:v>
      </x:c>
      <x:c r="J2823" s="26" t="n">
        <x:v>0</x:v>
      </x:c>
      <x:c r="K2823" s="35" t="str">
        <x:v>LN005 scheduled payment</x:v>
      </x:c>
    </x:row>
    <x:row r="2824">
      <x:c r="A2824" s="20" t="str">
        <x:v>FIN-01336</x:v>
      </x:c>
      <x:c r="B2824" s="32" t="n">
        <x:v>3</x:v>
      </x:c>
      <x:c r="C2824" s="23" t="n">
        <x:v>46619</x:v>
      </x:c>
      <x:c r="D2824" s="23" t="n">
        <x:v>46619</x:v>
      </x:c>
      <x:c r="E2824" s="20" t="str">
        <x:v>P005</x:v>
      </x:c>
      <x:c r="F2824" s="20" t="str"/>
      <x:c r="G2824" s="20" t="str"/>
      <x:c r="H2824" s="20" t="str">
        <x:v>1000 Operating Cash</x:v>
      </x:c>
      <x:c r="I2824" s="26" t="n">
        <x:v>0</x:v>
      </x:c>
      <x:c r="J2824" s="26" t="n">
        <x:v>1094</x:v>
      </x:c>
      <x:c r="K2824" s="35" t="str">
        <x:v>LN005 scheduled payment</x:v>
      </x:c>
    </x:row>
    <x:row r="2825">
      <x:c r="A2825" s="20" t="str">
        <x:v>FIN-01337</x:v>
      </x:c>
      <x:c r="B2825" s="32" t="n">
        <x:v>1</x:v>
      </x:c>
      <x:c r="C2825" s="23" t="n">
        <x:v>46619</x:v>
      </x:c>
      <x:c r="D2825" s="23" t="n">
        <x:v>46619</x:v>
      </x:c>
      <x:c r="E2825" s="20" t="str">
        <x:v>P007</x:v>
      </x:c>
      <x:c r="F2825" s="20" t="str"/>
      <x:c r="G2825" s="20" t="str"/>
      <x:c r="H2825" s="20" t="str">
        <x:v>2200 Mortgage Loans Payable</x:v>
      </x:c>
      <x:c r="I2825" s="26" t="n">
        <x:v>497</x:v>
      </x:c>
      <x:c r="J2825" s="26" t="n">
        <x:v>0</x:v>
      </x:c>
      <x:c r="K2825" s="35" t="str">
        <x:v>LN007 scheduled payment</x:v>
      </x:c>
    </x:row>
    <x:row r="2826">
      <x:c r="A2826" s="20" t="str">
        <x:v>FIN-01337</x:v>
      </x:c>
      <x:c r="B2826" s="32" t="n">
        <x:v>2</x:v>
      </x:c>
      <x:c r="C2826" s="23" t="n">
        <x:v>46619</x:v>
      </x:c>
      <x:c r="D2826" s="23" t="n">
        <x:v>46619</x:v>
      </x:c>
      <x:c r="E2826" s="20" t="str">
        <x:v>P007</x:v>
      </x:c>
      <x:c r="F2826" s="20" t="str"/>
      <x:c r="G2826" s="20" t="str"/>
      <x:c r="H2826" s="20" t="str">
        <x:v>5040 Mortgage Interest</x:v>
      </x:c>
      <x:c r="I2826" s="26" t="n">
        <x:v>645</x:v>
      </x:c>
      <x:c r="J2826" s="26" t="n">
        <x:v>0</x:v>
      </x:c>
      <x:c r="K2826" s="35" t="str">
        <x:v>LN007 scheduled payment</x:v>
      </x:c>
    </x:row>
    <x:row r="2827">
      <x:c r="A2827" s="20" t="str">
        <x:v>FIN-01337</x:v>
      </x:c>
      <x:c r="B2827" s="32" t="n">
        <x:v>3</x:v>
      </x:c>
      <x:c r="C2827" s="23" t="n">
        <x:v>46619</x:v>
      </x:c>
      <x:c r="D2827" s="23" t="n">
        <x:v>46619</x:v>
      </x:c>
      <x:c r="E2827" s="20" t="str">
        <x:v>P007</x:v>
      </x:c>
      <x:c r="F2827" s="20" t="str"/>
      <x:c r="G2827" s="20" t="str"/>
      <x:c r="H2827" s="20" t="str">
        <x:v>1000 Operating Cash</x:v>
      </x:c>
      <x:c r="I2827" s="26" t="n">
        <x:v>0</x:v>
      </x:c>
      <x:c r="J2827" s="26" t="n">
        <x:v>1142</x:v>
      </x:c>
      <x:c r="K2827" s="35" t="str">
        <x:v>LN007 scheduled payment</x:v>
      </x:c>
    </x:row>
    <x:row r="2828">
      <x:c r="A2828" s="20" t="str">
        <x:v>FIN-01338</x:v>
      </x:c>
      <x:c r="B2828" s="32" t="n">
        <x:v>1</x:v>
      </x:c>
      <x:c r="C2828" s="23" t="n">
        <x:v>46619</x:v>
      </x:c>
      <x:c r="D2828" s="23" t="n">
        <x:v>46619</x:v>
      </x:c>
      <x:c r="E2828" s="20" t="str">
        <x:v>P008</x:v>
      </x:c>
      <x:c r="F2828" s="20" t="str"/>
      <x:c r="G2828" s="20" t="str"/>
      <x:c r="H2828" s="20" t="str">
        <x:v>2200 Mortgage Loans Payable</x:v>
      </x:c>
      <x:c r="I2828" s="26" t="n">
        <x:v>508</x:v>
      </x:c>
      <x:c r="J2828" s="26" t="n">
        <x:v>0</x:v>
      </x:c>
      <x:c r="K2828" s="35" t="str">
        <x:v>LN008 scheduled payment</x:v>
      </x:c>
    </x:row>
    <x:row r="2829">
      <x:c r="A2829" s="20" t="str">
        <x:v>FIN-01338</x:v>
      </x:c>
      <x:c r="B2829" s="32" t="n">
        <x:v>2</x:v>
      </x:c>
      <x:c r="C2829" s="23" t="n">
        <x:v>46619</x:v>
      </x:c>
      <x:c r="D2829" s="23" t="n">
        <x:v>46619</x:v>
      </x:c>
      <x:c r="E2829" s="20" t="str">
        <x:v>P008</x:v>
      </x:c>
      <x:c r="F2829" s="20" t="str"/>
      <x:c r="G2829" s="20" t="str"/>
      <x:c r="H2829" s="20" t="str">
        <x:v>5040 Mortgage Interest</x:v>
      </x:c>
      <x:c r="I2829" s="26" t="n">
        <x:v>658</x:v>
      </x:c>
      <x:c r="J2829" s="26" t="n">
        <x:v>0</x:v>
      </x:c>
      <x:c r="K2829" s="35" t="str">
        <x:v>LN008 scheduled payment</x:v>
      </x:c>
    </x:row>
    <x:row r="2830">
      <x:c r="A2830" s="20" t="str">
        <x:v>FIN-01338</x:v>
      </x:c>
      <x:c r="B2830" s="32" t="n">
        <x:v>3</x:v>
      </x:c>
      <x:c r="C2830" s="23" t="n">
        <x:v>46619</x:v>
      </x:c>
      <x:c r="D2830" s="23" t="n">
        <x:v>46619</x:v>
      </x:c>
      <x:c r="E2830" s="20" t="str">
        <x:v>P008</x:v>
      </x:c>
      <x:c r="F2830" s="20" t="str"/>
      <x:c r="G2830" s="20" t="str"/>
      <x:c r="H2830" s="20" t="str">
        <x:v>1000 Operating Cash</x:v>
      </x:c>
      <x:c r="I2830" s="26" t="n">
        <x:v>0</x:v>
      </x:c>
      <x:c r="J2830" s="26" t="n">
        <x:v>1166</x:v>
      </x:c>
      <x:c r="K2830" s="35" t="str">
        <x:v>LN008 scheduled payment</x:v>
      </x:c>
    </x:row>
    <x:row r="2831">
      <x:c r="A2831" s="20" t="str">
        <x:v>FIN-01339</x:v>
      </x:c>
      <x:c r="B2831" s="32" t="n">
        <x:v>1</x:v>
      </x:c>
      <x:c r="C2831" s="23" t="n">
        <x:v>46619</x:v>
      </x:c>
      <x:c r="D2831" s="23" t="n">
        <x:v>46619</x:v>
      </x:c>
      <x:c r="E2831" s="20" t="str">
        <x:v>P010</x:v>
      </x:c>
      <x:c r="F2831" s="20" t="str"/>
      <x:c r="G2831" s="20" t="str"/>
      <x:c r="H2831" s="20" t="str">
        <x:v>2200 Mortgage Loans Payable</x:v>
      </x:c>
      <x:c r="I2831" s="26" t="n">
        <x:v>530</x:v>
      </x:c>
      <x:c r="J2831" s="26" t="n">
        <x:v>0</x:v>
      </x:c>
      <x:c r="K2831" s="35" t="str">
        <x:v>LN010 scheduled payment</x:v>
      </x:c>
    </x:row>
    <x:row r="2832">
      <x:c r="A2832" s="20" t="str">
        <x:v>FIN-01339</x:v>
      </x:c>
      <x:c r="B2832" s="32" t="n">
        <x:v>2</x:v>
      </x:c>
      <x:c r="C2832" s="23" t="n">
        <x:v>46619</x:v>
      </x:c>
      <x:c r="D2832" s="23" t="n">
        <x:v>46619</x:v>
      </x:c>
      <x:c r="E2832" s="20" t="str">
        <x:v>P010</x:v>
      </x:c>
      <x:c r="F2832" s="20" t="str"/>
      <x:c r="G2832" s="20" t="str"/>
      <x:c r="H2832" s="20" t="str">
        <x:v>5040 Mortgage Interest</x:v>
      </x:c>
      <x:c r="I2832" s="26" t="n">
        <x:v>684</x:v>
      </x:c>
      <x:c r="J2832" s="26" t="n">
        <x:v>0</x:v>
      </x:c>
      <x:c r="K2832" s="35" t="str">
        <x:v>LN010 scheduled payment</x:v>
      </x:c>
    </x:row>
    <x:row r="2833">
      <x:c r="A2833" s="20" t="str">
        <x:v>FIN-01339</x:v>
      </x:c>
      <x:c r="B2833" s="32" t="n">
        <x:v>3</x:v>
      </x:c>
      <x:c r="C2833" s="23" t="n">
        <x:v>46619</x:v>
      </x:c>
      <x:c r="D2833" s="23" t="n">
        <x:v>46619</x:v>
      </x:c>
      <x:c r="E2833" s="20" t="str">
        <x:v>P010</x:v>
      </x:c>
      <x:c r="F2833" s="20" t="str"/>
      <x:c r="G2833" s="20" t="str"/>
      <x:c r="H2833" s="20" t="str">
        <x:v>1000 Operating Cash</x:v>
      </x:c>
      <x:c r="I2833" s="26" t="n">
        <x:v>0</x:v>
      </x:c>
      <x:c r="J2833" s="26" t="n">
        <x:v>1214</x:v>
      </x:c>
      <x:c r="K2833" s="35" t="str">
        <x:v>LN010 scheduled payment</x:v>
      </x:c>
    </x:row>
    <x:row r="2834">
      <x:c r="A2834" s="20" t="str">
        <x:v>FIN-01340</x:v>
      </x:c>
      <x:c r="B2834" s="32" t="n">
        <x:v>1</x:v>
      </x:c>
      <x:c r="C2834" s="23" t="n">
        <x:v>46619</x:v>
      </x:c>
      <x:c r="D2834" s="23" t="n">
        <x:v>46619</x:v>
      </x:c>
      <x:c r="E2834" s="20" t="str">
        <x:v>P011</x:v>
      </x:c>
      <x:c r="F2834" s="20" t="str"/>
      <x:c r="G2834" s="20" t="str"/>
      <x:c r="H2834" s="20" t="str">
        <x:v>2200 Mortgage Loans Payable</x:v>
      </x:c>
      <x:c r="I2834" s="26" t="n">
        <x:v>541</x:v>
      </x:c>
      <x:c r="J2834" s="26" t="n">
        <x:v>0</x:v>
      </x:c>
      <x:c r="K2834" s="35" t="str">
        <x:v>LN011 scheduled payment</x:v>
      </x:c>
    </x:row>
    <x:row r="2835">
      <x:c r="A2835" s="20" t="str">
        <x:v>FIN-01340</x:v>
      </x:c>
      <x:c r="B2835" s="32" t="n">
        <x:v>2</x:v>
      </x:c>
      <x:c r="C2835" s="23" t="n">
        <x:v>46619</x:v>
      </x:c>
      <x:c r="D2835" s="23" t="n">
        <x:v>46619</x:v>
      </x:c>
      <x:c r="E2835" s="20" t="str">
        <x:v>P011</x:v>
      </x:c>
      <x:c r="F2835" s="20" t="str"/>
      <x:c r="G2835" s="20" t="str"/>
      <x:c r="H2835" s="20" t="str">
        <x:v>5040 Mortgage Interest</x:v>
      </x:c>
      <x:c r="I2835" s="26" t="n">
        <x:v>697</x:v>
      </x:c>
      <x:c r="J2835" s="26" t="n">
        <x:v>0</x:v>
      </x:c>
      <x:c r="K2835" s="35" t="str">
        <x:v>LN011 scheduled payment</x:v>
      </x:c>
    </x:row>
    <x:row r="2836">
      <x:c r="A2836" s="20" t="str">
        <x:v>FIN-01340</x:v>
      </x:c>
      <x:c r="B2836" s="32" t="n">
        <x:v>3</x:v>
      </x:c>
      <x:c r="C2836" s="23" t="n">
        <x:v>46619</x:v>
      </x:c>
      <x:c r="D2836" s="23" t="n">
        <x:v>46619</x:v>
      </x:c>
      <x:c r="E2836" s="20" t="str">
        <x:v>P011</x:v>
      </x:c>
      <x:c r="F2836" s="20" t="str"/>
      <x:c r="G2836" s="20" t="str"/>
      <x:c r="H2836" s="20" t="str">
        <x:v>1000 Operating Cash</x:v>
      </x:c>
      <x:c r="I2836" s="26" t="n">
        <x:v>0</x:v>
      </x:c>
      <x:c r="J2836" s="26" t="n">
        <x:v>1238</x:v>
      </x:c>
      <x:c r="K2836" s="35" t="str">
        <x:v>LN011 scheduled payment</x:v>
      </x:c>
    </x:row>
    <x:row r="2837">
      <x:c r="A2837" s="20" t="str">
        <x:v>FIN-01341</x:v>
      </x:c>
      <x:c r="B2837" s="32" t="n">
        <x:v>1</x:v>
      </x:c>
      <x:c r="C2837" s="23" t="n">
        <x:v>46619</x:v>
      </x:c>
      <x:c r="D2837" s="23" t="n">
        <x:v>46619</x:v>
      </x:c>
      <x:c r="E2837" s="20" t="str">
        <x:v>P013</x:v>
      </x:c>
      <x:c r="F2837" s="20" t="str"/>
      <x:c r="G2837" s="20" t="str"/>
      <x:c r="H2837" s="20" t="str">
        <x:v>2200 Mortgage Loans Payable</x:v>
      </x:c>
      <x:c r="I2837" s="26" t="n">
        <x:v>563</x:v>
      </x:c>
      <x:c r="J2837" s="26" t="n">
        <x:v>0</x:v>
      </x:c>
      <x:c r="K2837" s="35" t="str">
        <x:v>LN013 scheduled payment</x:v>
      </x:c>
    </x:row>
    <x:row r="2838">
      <x:c r="A2838" s="20" t="str">
        <x:v>FIN-01341</x:v>
      </x:c>
      <x:c r="B2838" s="32" t="n">
        <x:v>2</x:v>
      </x:c>
      <x:c r="C2838" s="23" t="n">
        <x:v>46619</x:v>
      </x:c>
      <x:c r="D2838" s="23" t="n">
        <x:v>46619</x:v>
      </x:c>
      <x:c r="E2838" s="20" t="str">
        <x:v>P013</x:v>
      </x:c>
      <x:c r="F2838" s="20" t="str"/>
      <x:c r="G2838" s="20" t="str"/>
      <x:c r="H2838" s="20" t="str">
        <x:v>5040 Mortgage Interest</x:v>
      </x:c>
      <x:c r="I2838" s="26" t="n">
        <x:v>723</x:v>
      </x:c>
      <x:c r="J2838" s="26" t="n">
        <x:v>0</x:v>
      </x:c>
      <x:c r="K2838" s="35" t="str">
        <x:v>LN013 scheduled payment</x:v>
      </x:c>
    </x:row>
    <x:row r="2839">
      <x:c r="A2839" s="20" t="str">
        <x:v>FIN-01341</x:v>
      </x:c>
      <x:c r="B2839" s="32" t="n">
        <x:v>3</x:v>
      </x:c>
      <x:c r="C2839" s="23" t="n">
        <x:v>46619</x:v>
      </x:c>
      <x:c r="D2839" s="23" t="n">
        <x:v>46619</x:v>
      </x:c>
      <x:c r="E2839" s="20" t="str">
        <x:v>P013</x:v>
      </x:c>
      <x:c r="F2839" s="20" t="str"/>
      <x:c r="G2839" s="20" t="str"/>
      <x:c r="H2839" s="20" t="str">
        <x:v>1000 Operating Cash</x:v>
      </x:c>
      <x:c r="I2839" s="26" t="n">
        <x:v>0</x:v>
      </x:c>
      <x:c r="J2839" s="26" t="n">
        <x:v>1286</x:v>
      </x:c>
      <x:c r="K2839" s="35" t="str">
        <x:v>LN013 scheduled payment</x:v>
      </x:c>
    </x:row>
    <x:row r="2840">
      <x:c r="A2840" s="20" t="str">
        <x:v>FIN-01342</x:v>
      </x:c>
      <x:c r="B2840" s="32" t="n">
        <x:v>1</x:v>
      </x:c>
      <x:c r="C2840" s="23" t="n">
        <x:v>46619</x:v>
      </x:c>
      <x:c r="D2840" s="23" t="n">
        <x:v>46619</x:v>
      </x:c>
      <x:c r="E2840" s="20" t="str">
        <x:v>P014</x:v>
      </x:c>
      <x:c r="F2840" s="20" t="str"/>
      <x:c r="G2840" s="20" t="str"/>
      <x:c r="H2840" s="20" t="str">
        <x:v>2200 Mortgage Loans Payable</x:v>
      </x:c>
      <x:c r="I2840" s="26" t="n">
        <x:v>574</x:v>
      </x:c>
      <x:c r="J2840" s="26" t="n">
        <x:v>0</x:v>
      </x:c>
      <x:c r="K2840" s="35" t="str">
        <x:v>LN014 scheduled payment</x:v>
      </x:c>
    </x:row>
    <x:row r="2841">
      <x:c r="A2841" s="20" t="str">
        <x:v>FIN-01342</x:v>
      </x:c>
      <x:c r="B2841" s="32" t="n">
        <x:v>2</x:v>
      </x:c>
      <x:c r="C2841" s="23" t="n">
        <x:v>46619</x:v>
      </x:c>
      <x:c r="D2841" s="23" t="n">
        <x:v>46619</x:v>
      </x:c>
      <x:c r="E2841" s="20" t="str">
        <x:v>P014</x:v>
      </x:c>
      <x:c r="F2841" s="20" t="str"/>
      <x:c r="G2841" s="20" t="str"/>
      <x:c r="H2841" s="20" t="str">
        <x:v>5040 Mortgage Interest</x:v>
      </x:c>
      <x:c r="I2841" s="26" t="n">
        <x:v>736</x:v>
      </x:c>
      <x:c r="J2841" s="26" t="n">
        <x:v>0</x:v>
      </x:c>
      <x:c r="K2841" s="35" t="str">
        <x:v>LN014 scheduled payment</x:v>
      </x:c>
    </x:row>
    <x:row r="2842">
      <x:c r="A2842" s="20" t="str">
        <x:v>FIN-01342</x:v>
      </x:c>
      <x:c r="B2842" s="32" t="n">
        <x:v>3</x:v>
      </x:c>
      <x:c r="C2842" s="23" t="n">
        <x:v>46619</x:v>
      </x:c>
      <x:c r="D2842" s="23" t="n">
        <x:v>46619</x:v>
      </x:c>
      <x:c r="E2842" s="20" t="str">
        <x:v>P014</x:v>
      </x:c>
      <x:c r="F2842" s="20" t="str"/>
      <x:c r="G2842" s="20" t="str"/>
      <x:c r="H2842" s="20" t="str">
        <x:v>1000 Operating Cash</x:v>
      </x:c>
      <x:c r="I2842" s="26" t="n">
        <x:v>0</x:v>
      </x:c>
      <x:c r="J2842" s="26" t="n">
        <x:v>1310</x:v>
      </x:c>
      <x:c r="K2842" s="35" t="str">
        <x:v>LN014 scheduled payment</x:v>
      </x:c>
    </x:row>
    <x:row r="2843">
      <x:c r="A2843" s="20" t="str">
        <x:v>FIN-01343</x:v>
      </x:c>
      <x:c r="B2843" s="32" t="n">
        <x:v>1</x:v>
      </x:c>
      <x:c r="C2843" s="23" t="n">
        <x:v>46619</x:v>
      </x:c>
      <x:c r="D2843" s="23" t="n">
        <x:v>46619</x:v>
      </x:c>
      <x:c r="E2843" s="20" t="str">
        <x:v>P016</x:v>
      </x:c>
      <x:c r="F2843" s="20" t="str"/>
      <x:c r="G2843" s="20" t="str"/>
      <x:c r="H2843" s="20" t="str">
        <x:v>2200 Mortgage Loans Payable</x:v>
      </x:c>
      <x:c r="I2843" s="26" t="n">
        <x:v>596</x:v>
      </x:c>
      <x:c r="J2843" s="26" t="n">
        <x:v>0</x:v>
      </x:c>
      <x:c r="K2843" s="35" t="str">
        <x:v>LN016 scheduled payment</x:v>
      </x:c>
    </x:row>
    <x:row r="2844">
      <x:c r="A2844" s="20" t="str">
        <x:v>FIN-01343</x:v>
      </x:c>
      <x:c r="B2844" s="32" t="n">
        <x:v>2</x:v>
      </x:c>
      <x:c r="C2844" s="23" t="n">
        <x:v>46619</x:v>
      </x:c>
      <x:c r="D2844" s="23" t="n">
        <x:v>46619</x:v>
      </x:c>
      <x:c r="E2844" s="20" t="str">
        <x:v>P016</x:v>
      </x:c>
      <x:c r="F2844" s="20" t="str"/>
      <x:c r="G2844" s="20" t="str"/>
      <x:c r="H2844" s="20" t="str">
        <x:v>5040 Mortgage Interest</x:v>
      </x:c>
      <x:c r="I2844" s="26" t="n">
        <x:v>762</x:v>
      </x:c>
      <x:c r="J2844" s="26" t="n">
        <x:v>0</x:v>
      </x:c>
      <x:c r="K2844" s="35" t="str">
        <x:v>LN016 scheduled payment</x:v>
      </x:c>
    </x:row>
    <x:row r="2845">
      <x:c r="A2845" s="20" t="str">
        <x:v>FIN-01343</x:v>
      </x:c>
      <x:c r="B2845" s="32" t="n">
        <x:v>3</x:v>
      </x:c>
      <x:c r="C2845" s="23" t="n">
        <x:v>46619</x:v>
      </x:c>
      <x:c r="D2845" s="23" t="n">
        <x:v>46619</x:v>
      </x:c>
      <x:c r="E2845" s="20" t="str">
        <x:v>P016</x:v>
      </x:c>
      <x:c r="F2845" s="20" t="str"/>
      <x:c r="G2845" s="20" t="str"/>
      <x:c r="H2845" s="20" t="str">
        <x:v>1000 Operating Cash</x:v>
      </x:c>
      <x:c r="I2845" s="26" t="n">
        <x:v>0</x:v>
      </x:c>
      <x:c r="J2845" s="26" t="n">
        <x:v>1358</x:v>
      </x:c>
      <x:c r="K2845" s="35" t="str">
        <x:v>LN016 scheduled payment</x:v>
      </x:c>
    </x:row>
    <x:row r="2846">
      <x:c r="A2846" s="20" t="str">
        <x:v>FIN-01344</x:v>
      </x:c>
      <x:c r="B2846" s="32" t="n">
        <x:v>1</x:v>
      </x:c>
      <x:c r="C2846" s="23" t="n">
        <x:v>46619</x:v>
      </x:c>
      <x:c r="D2846" s="23" t="n">
        <x:v>46619</x:v>
      </x:c>
      <x:c r="E2846" s="20" t="str">
        <x:v>P017</x:v>
      </x:c>
      <x:c r="F2846" s="20" t="str"/>
      <x:c r="G2846" s="20" t="str"/>
      <x:c r="H2846" s="20" t="str">
        <x:v>2200 Mortgage Loans Payable</x:v>
      </x:c>
      <x:c r="I2846" s="26" t="n">
        <x:v>607</x:v>
      </x:c>
      <x:c r="J2846" s="26" t="n">
        <x:v>0</x:v>
      </x:c>
      <x:c r="K2846" s="35" t="str">
        <x:v>LN017 scheduled payment</x:v>
      </x:c>
    </x:row>
    <x:row r="2847">
      <x:c r="A2847" s="20" t="str">
        <x:v>FIN-01344</x:v>
      </x:c>
      <x:c r="B2847" s="32" t="n">
        <x:v>2</x:v>
      </x:c>
      <x:c r="C2847" s="23" t="n">
        <x:v>46619</x:v>
      </x:c>
      <x:c r="D2847" s="23" t="n">
        <x:v>46619</x:v>
      </x:c>
      <x:c r="E2847" s="20" t="str">
        <x:v>P017</x:v>
      </x:c>
      <x:c r="F2847" s="20" t="str"/>
      <x:c r="G2847" s="20" t="str"/>
      <x:c r="H2847" s="20" t="str">
        <x:v>5040 Mortgage Interest</x:v>
      </x:c>
      <x:c r="I2847" s="26" t="n">
        <x:v>775</x:v>
      </x:c>
      <x:c r="J2847" s="26" t="n">
        <x:v>0</x:v>
      </x:c>
      <x:c r="K2847" s="35" t="str">
        <x:v>LN017 scheduled payment</x:v>
      </x:c>
    </x:row>
    <x:row r="2848">
      <x:c r="A2848" s="20" t="str">
        <x:v>FIN-01344</x:v>
      </x:c>
      <x:c r="B2848" s="32" t="n">
        <x:v>3</x:v>
      </x:c>
      <x:c r="C2848" s="23" t="n">
        <x:v>46619</x:v>
      </x:c>
      <x:c r="D2848" s="23" t="n">
        <x:v>46619</x:v>
      </x:c>
      <x:c r="E2848" s="20" t="str">
        <x:v>P017</x:v>
      </x:c>
      <x:c r="F2848" s="20" t="str"/>
      <x:c r="G2848" s="20" t="str"/>
      <x:c r="H2848" s="20" t="str">
        <x:v>1000 Operating Cash</x:v>
      </x:c>
      <x:c r="I2848" s="26" t="n">
        <x:v>0</x:v>
      </x:c>
      <x:c r="J2848" s="26" t="n">
        <x:v>1382</x:v>
      </x:c>
      <x:c r="K2848" s="35" t="str">
        <x:v>LN017 scheduled payment</x:v>
      </x:c>
    </x:row>
    <x:row r="2849">
      <x:c r="A2849" s="20" t="str">
        <x:v>FIN-01345</x:v>
      </x:c>
      <x:c r="B2849" s="32" t="n">
        <x:v>1</x:v>
      </x:c>
      <x:c r="C2849" s="23" t="n">
        <x:v>46619</x:v>
      </x:c>
      <x:c r="D2849" s="23" t="n">
        <x:v>46619</x:v>
      </x:c>
      <x:c r="E2849" s="20" t="str">
        <x:v>P019</x:v>
      </x:c>
      <x:c r="F2849" s="20" t="str"/>
      <x:c r="G2849" s="20" t="str"/>
      <x:c r="H2849" s="20" t="str">
        <x:v>2200 Mortgage Loans Payable</x:v>
      </x:c>
      <x:c r="I2849" s="26" t="n">
        <x:v>629</x:v>
      </x:c>
      <x:c r="J2849" s="26" t="n">
        <x:v>0</x:v>
      </x:c>
      <x:c r="K2849" s="35" t="str">
        <x:v>LN019 scheduled payment</x:v>
      </x:c>
    </x:row>
    <x:row r="2850">
      <x:c r="A2850" s="20" t="str">
        <x:v>FIN-01345</x:v>
      </x:c>
      <x:c r="B2850" s="32" t="n">
        <x:v>2</x:v>
      </x:c>
      <x:c r="C2850" s="23" t="n">
        <x:v>46619</x:v>
      </x:c>
      <x:c r="D2850" s="23" t="n">
        <x:v>46619</x:v>
      </x:c>
      <x:c r="E2850" s="20" t="str">
        <x:v>P019</x:v>
      </x:c>
      <x:c r="F2850" s="20" t="str"/>
      <x:c r="G2850" s="20" t="str"/>
      <x:c r="H2850" s="20" t="str">
        <x:v>5040 Mortgage Interest</x:v>
      </x:c>
      <x:c r="I2850" s="26" t="n">
        <x:v>801</x:v>
      </x:c>
      <x:c r="J2850" s="26" t="n">
        <x:v>0</x:v>
      </x:c>
      <x:c r="K2850" s="35" t="str">
        <x:v>LN019 scheduled payment</x:v>
      </x:c>
    </x:row>
    <x:row r="2851">
      <x:c r="A2851" s="20" t="str">
        <x:v>FIN-01345</x:v>
      </x:c>
      <x:c r="B2851" s="32" t="n">
        <x:v>3</x:v>
      </x:c>
      <x:c r="C2851" s="23" t="n">
        <x:v>46619</x:v>
      </x:c>
      <x:c r="D2851" s="23" t="n">
        <x:v>46619</x:v>
      </x:c>
      <x:c r="E2851" s="20" t="str">
        <x:v>P019</x:v>
      </x:c>
      <x:c r="F2851" s="20" t="str"/>
      <x:c r="G2851" s="20" t="str"/>
      <x:c r="H2851" s="20" t="str">
        <x:v>1000 Operating Cash</x:v>
      </x:c>
      <x:c r="I2851" s="26" t="n">
        <x:v>0</x:v>
      </x:c>
      <x:c r="J2851" s="26" t="n">
        <x:v>1430</x:v>
      </x:c>
      <x:c r="K2851" s="35" t="str">
        <x:v>LN019 scheduled payment</x:v>
      </x:c>
    </x:row>
    <x:row r="2852">
      <x:c r="A2852" s="20" t="str">
        <x:v>FIN-01346</x:v>
      </x:c>
      <x:c r="B2852" s="32" t="n">
        <x:v>1</x:v>
      </x:c>
      <x:c r="C2852" s="23" t="n">
        <x:v>46619</x:v>
      </x:c>
      <x:c r="D2852" s="23" t="n">
        <x:v>46619</x:v>
      </x:c>
      <x:c r="E2852" s="20" t="str">
        <x:v>P020</x:v>
      </x:c>
      <x:c r="F2852" s="20" t="str"/>
      <x:c r="G2852" s="20" t="str"/>
      <x:c r="H2852" s="20" t="str">
        <x:v>2200 Mortgage Loans Payable</x:v>
      </x:c>
      <x:c r="I2852" s="26" t="n">
        <x:v>640</x:v>
      </x:c>
      <x:c r="J2852" s="26" t="n">
        <x:v>0</x:v>
      </x:c>
      <x:c r="K2852" s="35" t="str">
        <x:v>LN020 scheduled payment</x:v>
      </x:c>
    </x:row>
    <x:row r="2853">
      <x:c r="A2853" s="20" t="str">
        <x:v>FIN-01346</x:v>
      </x:c>
      <x:c r="B2853" s="32" t="n">
        <x:v>2</x:v>
      </x:c>
      <x:c r="C2853" s="23" t="n">
        <x:v>46619</x:v>
      </x:c>
      <x:c r="D2853" s="23" t="n">
        <x:v>46619</x:v>
      </x:c>
      <x:c r="E2853" s="20" t="str">
        <x:v>P020</x:v>
      </x:c>
      <x:c r="F2853" s="20" t="str"/>
      <x:c r="G2853" s="20" t="str"/>
      <x:c r="H2853" s="20" t="str">
        <x:v>5040 Mortgage Interest</x:v>
      </x:c>
      <x:c r="I2853" s="26" t="n">
        <x:v>814</x:v>
      </x:c>
      <x:c r="J2853" s="26" t="n">
        <x:v>0</x:v>
      </x:c>
      <x:c r="K2853" s="35" t="str">
        <x:v>LN020 scheduled payment</x:v>
      </x:c>
    </x:row>
    <x:row r="2854">
      <x:c r="A2854" s="20" t="str">
        <x:v>FIN-01346</x:v>
      </x:c>
      <x:c r="B2854" s="32" t="n">
        <x:v>3</x:v>
      </x:c>
      <x:c r="C2854" s="23" t="n">
        <x:v>46619</x:v>
      </x:c>
      <x:c r="D2854" s="23" t="n">
        <x:v>46619</x:v>
      </x:c>
      <x:c r="E2854" s="20" t="str">
        <x:v>P020</x:v>
      </x:c>
      <x:c r="F2854" s="20" t="str"/>
      <x:c r="G2854" s="20" t="str"/>
      <x:c r="H2854" s="20" t="str">
        <x:v>1000 Operating Cash</x:v>
      </x:c>
      <x:c r="I2854" s="26" t="n">
        <x:v>0</x:v>
      </x:c>
      <x:c r="J2854" s="26" t="n">
        <x:v>1454</x:v>
      </x:c>
      <x:c r="K2854" s="35" t="str">
        <x:v>LN020 scheduled payment</x:v>
      </x:c>
    </x:row>
    <x:row r="2855">
      <x:c r="A2855" s="20" t="str">
        <x:v>FIN-01347</x:v>
      </x:c>
      <x:c r="B2855" s="32" t="n">
        <x:v>1</x:v>
      </x:c>
      <x:c r="C2855" s="23" t="n">
        <x:v>46619</x:v>
      </x:c>
      <x:c r="D2855" s="23" t="n">
        <x:v>46619</x:v>
      </x:c>
      <x:c r="E2855" s="20" t="str">
        <x:v>P022</x:v>
      </x:c>
      <x:c r="F2855" s="20" t="str"/>
      <x:c r="G2855" s="20" t="str"/>
      <x:c r="H2855" s="20" t="str">
        <x:v>2200 Mortgage Loans Payable</x:v>
      </x:c>
      <x:c r="I2855" s="26" t="n">
        <x:v>662</x:v>
      </x:c>
      <x:c r="J2855" s="26" t="n">
        <x:v>0</x:v>
      </x:c>
      <x:c r="K2855" s="35" t="str">
        <x:v>LN022 scheduled payment</x:v>
      </x:c>
    </x:row>
    <x:row r="2856">
      <x:c r="A2856" s="20" t="str">
        <x:v>FIN-01347</x:v>
      </x:c>
      <x:c r="B2856" s="32" t="n">
        <x:v>2</x:v>
      </x:c>
      <x:c r="C2856" s="23" t="n">
        <x:v>46619</x:v>
      </x:c>
      <x:c r="D2856" s="23" t="n">
        <x:v>46619</x:v>
      </x:c>
      <x:c r="E2856" s="20" t="str">
        <x:v>P022</x:v>
      </x:c>
      <x:c r="F2856" s="20" t="str"/>
      <x:c r="G2856" s="20" t="str"/>
      <x:c r="H2856" s="20" t="str">
        <x:v>5040 Mortgage Interest</x:v>
      </x:c>
      <x:c r="I2856" s="26" t="n">
        <x:v>840</x:v>
      </x:c>
      <x:c r="J2856" s="26" t="n">
        <x:v>0</x:v>
      </x:c>
      <x:c r="K2856" s="35" t="str">
        <x:v>LN022 scheduled payment</x:v>
      </x:c>
    </x:row>
    <x:row r="2857">
      <x:c r="A2857" s="20" t="str">
        <x:v>FIN-01347</x:v>
      </x:c>
      <x:c r="B2857" s="32" t="n">
        <x:v>3</x:v>
      </x:c>
      <x:c r="C2857" s="23" t="n">
        <x:v>46619</x:v>
      </x:c>
      <x:c r="D2857" s="23" t="n">
        <x:v>46619</x:v>
      </x:c>
      <x:c r="E2857" s="20" t="str">
        <x:v>P022</x:v>
      </x:c>
      <x:c r="F2857" s="20" t="str"/>
      <x:c r="G2857" s="20" t="str"/>
      <x:c r="H2857" s="20" t="str">
        <x:v>1000 Operating Cash</x:v>
      </x:c>
      <x:c r="I2857" s="26" t="n">
        <x:v>0</x:v>
      </x:c>
      <x:c r="J2857" s="26" t="n">
        <x:v>1502</x:v>
      </x:c>
      <x:c r="K2857" s="35" t="str">
        <x:v>LN022 scheduled payment</x:v>
      </x:c>
    </x:row>
    <x:row r="2858">
      <x:c r="A2858" s="20" t="str">
        <x:v>FIN-01348</x:v>
      </x:c>
      <x:c r="B2858" s="32" t="n">
        <x:v>1</x:v>
      </x:c>
      <x:c r="C2858" s="23" t="n">
        <x:v>46619</x:v>
      </x:c>
      <x:c r="D2858" s="23" t="n">
        <x:v>46619</x:v>
      </x:c>
      <x:c r="E2858" s="20" t="str">
        <x:v>P023</x:v>
      </x:c>
      <x:c r="F2858" s="20" t="str"/>
      <x:c r="G2858" s="20" t="str"/>
      <x:c r="H2858" s="20" t="str">
        <x:v>2200 Mortgage Loans Payable</x:v>
      </x:c>
      <x:c r="I2858" s="26" t="n">
        <x:v>673</x:v>
      </x:c>
      <x:c r="J2858" s="26" t="n">
        <x:v>0</x:v>
      </x:c>
      <x:c r="K2858" s="35" t="str">
        <x:v>LN023 scheduled payment</x:v>
      </x:c>
    </x:row>
    <x:row r="2859">
      <x:c r="A2859" s="20" t="str">
        <x:v>FIN-01348</x:v>
      </x:c>
      <x:c r="B2859" s="32" t="n">
        <x:v>2</x:v>
      </x:c>
      <x:c r="C2859" s="23" t="n">
        <x:v>46619</x:v>
      </x:c>
      <x:c r="D2859" s="23" t="n">
        <x:v>46619</x:v>
      </x:c>
      <x:c r="E2859" s="20" t="str">
        <x:v>P023</x:v>
      </x:c>
      <x:c r="F2859" s="20" t="str"/>
      <x:c r="G2859" s="20" t="str"/>
      <x:c r="H2859" s="20" t="str">
        <x:v>5040 Mortgage Interest</x:v>
      </x:c>
      <x:c r="I2859" s="26" t="n">
        <x:v>853</x:v>
      </x:c>
      <x:c r="J2859" s="26" t="n">
        <x:v>0</x:v>
      </x:c>
      <x:c r="K2859" s="35" t="str">
        <x:v>LN023 scheduled payment</x:v>
      </x:c>
    </x:row>
    <x:row r="2860">
      <x:c r="A2860" s="20" t="str">
        <x:v>FIN-01348</x:v>
      </x:c>
      <x:c r="B2860" s="32" t="n">
        <x:v>3</x:v>
      </x:c>
      <x:c r="C2860" s="23" t="n">
        <x:v>46619</x:v>
      </x:c>
      <x:c r="D2860" s="23" t="n">
        <x:v>46619</x:v>
      </x:c>
      <x:c r="E2860" s="20" t="str">
        <x:v>P023</x:v>
      </x:c>
      <x:c r="F2860" s="20" t="str"/>
      <x:c r="G2860" s="20" t="str"/>
      <x:c r="H2860" s="20" t="str">
        <x:v>1000 Operating Cash</x:v>
      </x:c>
      <x:c r="I2860" s="26" t="n">
        <x:v>0</x:v>
      </x:c>
      <x:c r="J2860" s="26" t="n">
        <x:v>1526</x:v>
      </x:c>
      <x:c r="K2860" s="35" t="str">
        <x:v>LN023 scheduled payment</x:v>
      </x:c>
    </x:row>
    <x:row r="2861">
      <x:c r="A2861" s="20" t="str">
        <x:v>FIN-01349</x:v>
      </x:c>
      <x:c r="B2861" s="32" t="n">
        <x:v>1</x:v>
      </x:c>
      <x:c r="C2861" s="23" t="n">
        <x:v>46619</x:v>
      </x:c>
      <x:c r="D2861" s="23" t="n">
        <x:v>46619</x:v>
      </x:c>
      <x:c r="E2861" s="20" t="str">
        <x:v>P025</x:v>
      </x:c>
      <x:c r="F2861" s="20" t="str"/>
      <x:c r="G2861" s="20" t="str"/>
      <x:c r="H2861" s="20" t="str">
        <x:v>2200 Mortgage Loans Payable</x:v>
      </x:c>
      <x:c r="I2861" s="26" t="n">
        <x:v>695</x:v>
      </x:c>
      <x:c r="J2861" s="26" t="n">
        <x:v>0</x:v>
      </x:c>
      <x:c r="K2861" s="35" t="str">
        <x:v>LN025 scheduled payment</x:v>
      </x:c>
    </x:row>
    <x:row r="2862">
      <x:c r="A2862" s="20" t="str">
        <x:v>FIN-01349</x:v>
      </x:c>
      <x:c r="B2862" s="32" t="n">
        <x:v>2</x:v>
      </x:c>
      <x:c r="C2862" s="23" t="n">
        <x:v>46619</x:v>
      </x:c>
      <x:c r="D2862" s="23" t="n">
        <x:v>46619</x:v>
      </x:c>
      <x:c r="E2862" s="20" t="str">
        <x:v>P025</x:v>
      </x:c>
      <x:c r="F2862" s="20" t="str"/>
      <x:c r="G2862" s="20" t="str"/>
      <x:c r="H2862" s="20" t="str">
        <x:v>5040 Mortgage Interest</x:v>
      </x:c>
      <x:c r="I2862" s="26" t="n">
        <x:v>879</x:v>
      </x:c>
      <x:c r="J2862" s="26" t="n">
        <x:v>0</x:v>
      </x:c>
      <x:c r="K2862" s="35" t="str">
        <x:v>LN025 scheduled payment</x:v>
      </x:c>
    </x:row>
    <x:row r="2863">
      <x:c r="A2863" s="20" t="str">
        <x:v>FIN-01349</x:v>
      </x:c>
      <x:c r="B2863" s="32" t="n">
        <x:v>3</x:v>
      </x:c>
      <x:c r="C2863" s="23" t="n">
        <x:v>46619</x:v>
      </x:c>
      <x:c r="D2863" s="23" t="n">
        <x:v>46619</x:v>
      </x:c>
      <x:c r="E2863" s="20" t="str">
        <x:v>P025</x:v>
      </x:c>
      <x:c r="F2863" s="20" t="str"/>
      <x:c r="G2863" s="20" t="str"/>
      <x:c r="H2863" s="20" t="str">
        <x:v>1000 Operating Cash</x:v>
      </x:c>
      <x:c r="I2863" s="26" t="n">
        <x:v>0</x:v>
      </x:c>
      <x:c r="J2863" s="26" t="n">
        <x:v>1574</x:v>
      </x:c>
      <x:c r="K2863" s="35" t="str">
        <x:v>LN025 scheduled payment</x:v>
      </x:c>
    </x:row>
    <x:row r="2864">
      <x:c r="A2864" s="20" t="str">
        <x:v>FIN-01350</x:v>
      </x:c>
      <x:c r="B2864" s="32" t="n">
        <x:v>1</x:v>
      </x:c>
      <x:c r="C2864" s="23" t="n">
        <x:v>46619</x:v>
      </x:c>
      <x:c r="D2864" s="23" t="n">
        <x:v>46619</x:v>
      </x:c>
      <x:c r="E2864" s="20" t="str">
        <x:v>P026</x:v>
      </x:c>
      <x:c r="F2864" s="20" t="str"/>
      <x:c r="G2864" s="20" t="str"/>
      <x:c r="H2864" s="20" t="str">
        <x:v>2200 Mortgage Loans Payable</x:v>
      </x:c>
      <x:c r="I2864" s="26" t="n">
        <x:v>706</x:v>
      </x:c>
      <x:c r="J2864" s="26" t="n">
        <x:v>0</x:v>
      </x:c>
      <x:c r="K2864" s="35" t="str">
        <x:v>LN026 scheduled payment</x:v>
      </x:c>
    </x:row>
    <x:row r="2865">
      <x:c r="A2865" s="20" t="str">
        <x:v>FIN-01350</x:v>
      </x:c>
      <x:c r="B2865" s="32" t="n">
        <x:v>2</x:v>
      </x:c>
      <x:c r="C2865" s="23" t="n">
        <x:v>46619</x:v>
      </x:c>
      <x:c r="D2865" s="23" t="n">
        <x:v>46619</x:v>
      </x:c>
      <x:c r="E2865" s="20" t="str">
        <x:v>P026</x:v>
      </x:c>
      <x:c r="F2865" s="20" t="str"/>
      <x:c r="G2865" s="20" t="str"/>
      <x:c r="H2865" s="20" t="str">
        <x:v>5040 Mortgage Interest</x:v>
      </x:c>
      <x:c r="I2865" s="26" t="n">
        <x:v>892</x:v>
      </x:c>
      <x:c r="J2865" s="26" t="n">
        <x:v>0</x:v>
      </x:c>
      <x:c r="K2865" s="35" t="str">
        <x:v>LN026 scheduled payment</x:v>
      </x:c>
    </x:row>
    <x:row r="2866">
      <x:c r="A2866" s="20" t="str">
        <x:v>FIN-01350</x:v>
      </x:c>
      <x:c r="B2866" s="32" t="n">
        <x:v>3</x:v>
      </x:c>
      <x:c r="C2866" s="23" t="n">
        <x:v>46619</x:v>
      </x:c>
      <x:c r="D2866" s="23" t="n">
        <x:v>46619</x:v>
      </x:c>
      <x:c r="E2866" s="20" t="str">
        <x:v>P026</x:v>
      </x:c>
      <x:c r="F2866" s="20" t="str"/>
      <x:c r="G2866" s="20" t="str"/>
      <x:c r="H2866" s="20" t="str">
        <x:v>1000 Operating Cash</x:v>
      </x:c>
      <x:c r="I2866" s="26" t="n">
        <x:v>0</x:v>
      </x:c>
      <x:c r="J2866" s="26" t="n">
        <x:v>1598</x:v>
      </x:c>
      <x:c r="K2866" s="35" t="str">
        <x:v>LN026 scheduled payment</x:v>
      </x:c>
    </x:row>
    <x:row r="2867">
      <x:c r="A2867" s="20" t="str">
        <x:v>FIN-01351</x:v>
      </x:c>
      <x:c r="B2867" s="32" t="n">
        <x:v>1</x:v>
      </x:c>
      <x:c r="C2867" s="23" t="n">
        <x:v>46619</x:v>
      </x:c>
      <x:c r="D2867" s="23" t="n">
        <x:v>46619</x:v>
      </x:c>
      <x:c r="E2867" s="20" t="str">
        <x:v>P028</x:v>
      </x:c>
      <x:c r="F2867" s="20" t="str"/>
      <x:c r="G2867" s="20" t="str"/>
      <x:c r="H2867" s="20" t="str">
        <x:v>2200 Mortgage Loans Payable</x:v>
      </x:c>
      <x:c r="I2867" s="26" t="n">
        <x:v>728</x:v>
      </x:c>
      <x:c r="J2867" s="26" t="n">
        <x:v>0</x:v>
      </x:c>
      <x:c r="K2867" s="35" t="str">
        <x:v>LN028 scheduled payment</x:v>
      </x:c>
    </x:row>
    <x:row r="2868">
      <x:c r="A2868" s="20" t="str">
        <x:v>FIN-01351</x:v>
      </x:c>
      <x:c r="B2868" s="32" t="n">
        <x:v>2</x:v>
      </x:c>
      <x:c r="C2868" s="23" t="n">
        <x:v>46619</x:v>
      </x:c>
      <x:c r="D2868" s="23" t="n">
        <x:v>46619</x:v>
      </x:c>
      <x:c r="E2868" s="20" t="str">
        <x:v>P028</x:v>
      </x:c>
      <x:c r="F2868" s="20" t="str"/>
      <x:c r="G2868" s="20" t="str"/>
      <x:c r="H2868" s="20" t="str">
        <x:v>5040 Mortgage Interest</x:v>
      </x:c>
      <x:c r="I2868" s="26" t="n">
        <x:v>918</x:v>
      </x:c>
      <x:c r="J2868" s="26" t="n">
        <x:v>0</x:v>
      </x:c>
      <x:c r="K2868" s="35" t="str">
        <x:v>LN028 scheduled payment</x:v>
      </x:c>
    </x:row>
    <x:row r="2869">
      <x:c r="A2869" s="20" t="str">
        <x:v>FIN-01351</x:v>
      </x:c>
      <x:c r="B2869" s="32" t="n">
        <x:v>3</x:v>
      </x:c>
      <x:c r="C2869" s="23" t="n">
        <x:v>46619</x:v>
      </x:c>
      <x:c r="D2869" s="23" t="n">
        <x:v>46619</x:v>
      </x:c>
      <x:c r="E2869" s="20" t="str">
        <x:v>P028</x:v>
      </x:c>
      <x:c r="F2869" s="20" t="str"/>
      <x:c r="G2869" s="20" t="str"/>
      <x:c r="H2869" s="20" t="str">
        <x:v>1000 Operating Cash</x:v>
      </x:c>
      <x:c r="I2869" s="26" t="n">
        <x:v>0</x:v>
      </x:c>
      <x:c r="J2869" s="26" t="n">
        <x:v>1646</x:v>
      </x:c>
      <x:c r="K2869" s="35" t="str">
        <x:v>LN028 scheduled payment</x:v>
      </x:c>
    </x:row>
    <x:row r="2870">
      <x:c r="A2870" s="20" t="str">
        <x:v>FIN-01352</x:v>
      </x:c>
      <x:c r="B2870" s="32" t="n">
        <x:v>1</x:v>
      </x:c>
      <x:c r="C2870" s="23" t="n">
        <x:v>46619</x:v>
      </x:c>
      <x:c r="D2870" s="23" t="n">
        <x:v>46619</x:v>
      </x:c>
      <x:c r="E2870" s="20" t="str">
        <x:v>P029</x:v>
      </x:c>
      <x:c r="F2870" s="20" t="str"/>
      <x:c r="G2870" s="20" t="str"/>
      <x:c r="H2870" s="20" t="str">
        <x:v>2200 Mortgage Loans Payable</x:v>
      </x:c>
      <x:c r="I2870" s="26" t="n">
        <x:v>739</x:v>
      </x:c>
      <x:c r="J2870" s="26" t="n">
        <x:v>0</x:v>
      </x:c>
      <x:c r="K2870" s="35" t="str">
        <x:v>LN029 scheduled payment</x:v>
      </x:c>
    </x:row>
    <x:row r="2871">
      <x:c r="A2871" s="20" t="str">
        <x:v>FIN-01352</x:v>
      </x:c>
      <x:c r="B2871" s="32" t="n">
        <x:v>2</x:v>
      </x:c>
      <x:c r="C2871" s="23" t="n">
        <x:v>46619</x:v>
      </x:c>
      <x:c r="D2871" s="23" t="n">
        <x:v>46619</x:v>
      </x:c>
      <x:c r="E2871" s="20" t="str">
        <x:v>P029</x:v>
      </x:c>
      <x:c r="F2871" s="20" t="str"/>
      <x:c r="G2871" s="20" t="str"/>
      <x:c r="H2871" s="20" t="str">
        <x:v>5040 Mortgage Interest</x:v>
      </x:c>
      <x:c r="I2871" s="26" t="n">
        <x:v>931</x:v>
      </x:c>
      <x:c r="J2871" s="26" t="n">
        <x:v>0</x:v>
      </x:c>
      <x:c r="K2871" s="35" t="str">
        <x:v>LN029 scheduled payment</x:v>
      </x:c>
    </x:row>
    <x:row r="2872">
      <x:c r="A2872" s="20" t="str">
        <x:v>FIN-01352</x:v>
      </x:c>
      <x:c r="B2872" s="32" t="n">
        <x:v>3</x:v>
      </x:c>
      <x:c r="C2872" s="23" t="n">
        <x:v>46619</x:v>
      </x:c>
      <x:c r="D2872" s="23" t="n">
        <x:v>46619</x:v>
      </x:c>
      <x:c r="E2872" s="20" t="str">
        <x:v>P029</x:v>
      </x:c>
      <x:c r="F2872" s="20" t="str"/>
      <x:c r="G2872" s="20" t="str"/>
      <x:c r="H2872" s="20" t="str">
        <x:v>1000 Operating Cash</x:v>
      </x:c>
      <x:c r="I2872" s="26" t="n">
        <x:v>0</x:v>
      </x:c>
      <x:c r="J2872" s="26" t="n">
        <x:v>1670</x:v>
      </x:c>
      <x:c r="K2872" s="35" t="str">
        <x:v>LN029 scheduled payment</x:v>
      </x:c>
    </x:row>
    <x:row r="2873">
      <x:c r="A2873" s="20" t="str">
        <x:v>FIN-01353</x:v>
      </x:c>
      <x:c r="B2873" s="32" t="n">
        <x:v>1</x:v>
      </x:c>
      <x:c r="C2873" s="23" t="n">
        <x:v>46624</x:v>
      </x:c>
      <x:c r="D2873" s="23" t="n">
        <x:v>46624</x:v>
      </x:c>
      <x:c r="E2873" s="20" t="str"/>
      <x:c r="F2873" s="20" t="str"/>
      <x:c r="G2873" s="20" t="str"/>
      <x:c r="H2873" s="20" t="str">
        <x:v>3100 Owner Distributions</x:v>
      </x:c>
      <x:c r="I2873" s="26" t="n">
        <x:v>3250</x:v>
      </x:c>
      <x:c r="J2873" s="26" t="n">
        <x:v>0</x:v>
      </x:c>
      <x:c r="K2873" s="35" t="str">
        <x:v>Monthly distribution to Blue Door Residential LLC</x:v>
      </x:c>
    </x:row>
    <x:row r="2874">
      <x:c r="A2874" s="20" t="str">
        <x:v>FIN-01353</x:v>
      </x:c>
      <x:c r="B2874" s="32" t="n">
        <x:v>2</x:v>
      </x:c>
      <x:c r="C2874" s="23" t="n">
        <x:v>46624</x:v>
      </x:c>
      <x:c r="D2874" s="23" t="n">
        <x:v>46624</x:v>
      </x:c>
      <x:c r="E2874" s="20" t="str"/>
      <x:c r="F2874" s="20" t="str"/>
      <x:c r="G2874" s="20" t="str"/>
      <x:c r="H2874" s="20" t="str">
        <x:v>1000 Operating Cash</x:v>
      </x:c>
      <x:c r="I2874" s="26" t="n">
        <x:v>0</x:v>
      </x:c>
      <x:c r="J2874" s="26" t="n">
        <x:v>3250</x:v>
      </x:c>
      <x:c r="K2874" s="35" t="str">
        <x:v>Monthly distribution to Blue Door Residential LLC</x:v>
      </x:c>
    </x:row>
    <x:row r="2875">
      <x:c r="A2875" s="20" t="str">
        <x:v>FIN-01354</x:v>
      </x:c>
      <x:c r="B2875" s="32" t="n">
        <x:v>1</x:v>
      </x:c>
      <x:c r="C2875" s="23" t="n">
        <x:v>46624</x:v>
      </x:c>
      <x:c r="D2875" s="23" t="n">
        <x:v>46624</x:v>
      </x:c>
      <x:c r="E2875" s="20" t="str"/>
      <x:c r="F2875" s="20" t="str"/>
      <x:c r="G2875" s="20" t="str"/>
      <x:c r="H2875" s="20" t="str">
        <x:v>3100 Owner Distributions</x:v>
      </x:c>
      <x:c r="I2875" s="26" t="n">
        <x:v>3600</x:v>
      </x:c>
      <x:c r="J2875" s="26" t="n">
        <x:v>0</x:v>
      </x:c>
      <x:c r="K2875" s="35" t="str">
        <x:v>Monthly distribution to Coble Family Rentals LLC</x:v>
      </x:c>
    </x:row>
    <x:row r="2876">
      <x:c r="A2876" s="20" t="str">
        <x:v>FIN-01354</x:v>
      </x:c>
      <x:c r="B2876" s="32" t="n">
        <x:v>2</x:v>
      </x:c>
      <x:c r="C2876" s="23" t="n">
        <x:v>46624</x:v>
      </x:c>
      <x:c r="D2876" s="23" t="n">
        <x:v>46624</x:v>
      </x:c>
      <x:c r="E2876" s="20" t="str"/>
      <x:c r="F2876" s="20" t="str"/>
      <x:c r="G2876" s="20" t="str"/>
      <x:c r="H2876" s="20" t="str">
        <x:v>1000 Operating Cash</x:v>
      </x:c>
      <x:c r="I2876" s="26" t="n">
        <x:v>0</x:v>
      </x:c>
      <x:c r="J2876" s="26" t="n">
        <x:v>3600</x:v>
      </x:c>
      <x:c r="K2876" s="35" t="str">
        <x:v>Monthly distribution to Coble Family Rentals LLC</x:v>
      </x:c>
    </x:row>
    <x:row r="2877">
      <x:c r="A2877" s="20" t="str">
        <x:v>FIN-01355</x:v>
      </x:c>
      <x:c r="B2877" s="32" t="n">
        <x:v>1</x:v>
      </x:c>
      <x:c r="C2877" s="23" t="n">
        <x:v>46624</x:v>
      </x:c>
      <x:c r="D2877" s="23" t="n">
        <x:v>46624</x:v>
      </x:c>
      <x:c r="E2877" s="20" t="str"/>
      <x:c r="F2877" s="20" t="str"/>
      <x:c r="G2877" s="20" t="str"/>
      <x:c r="H2877" s="20" t="str">
        <x:v>3100 Owner Distributions</x:v>
      </x:c>
      <x:c r="I2877" s="26" t="n">
        <x:v>3950</x:v>
      </x:c>
      <x:c r="J2877" s="26" t="n">
        <x:v>0</x:v>
      </x:c>
      <x:c r="K2877" s="35" t="str">
        <x:v>Monthly distribution to Northstar Property Partners LLC</x:v>
      </x:c>
    </x:row>
    <x:row r="2878">
      <x:c r="A2878" s="20" t="str">
        <x:v>FIN-01355</x:v>
      </x:c>
      <x:c r="B2878" s="32" t="n">
        <x:v>2</x:v>
      </x:c>
      <x:c r="C2878" s="23" t="n">
        <x:v>46624</x:v>
      </x:c>
      <x:c r="D2878" s="23" t="n">
        <x:v>46624</x:v>
      </x:c>
      <x:c r="E2878" s="20" t="str"/>
      <x:c r="F2878" s="20" t="str"/>
      <x:c r="G2878" s="20" t="str"/>
      <x:c r="H2878" s="20" t="str">
        <x:v>1000 Operating Cash</x:v>
      </x:c>
      <x:c r="I2878" s="26" t="n">
        <x:v>0</x:v>
      </x:c>
      <x:c r="J2878" s="26" t="n">
        <x:v>3950</x:v>
      </x:c>
      <x:c r="K2878" s="35" t="str">
        <x:v>Monthly distribution to Northstar Property Partners LLC</x:v>
      </x:c>
    </x:row>
    <x:row r="2879">
      <x:c r="A2879" s="20" t="str">
        <x:v>FIN-01356</x:v>
      </x:c>
      <x:c r="B2879" s="32" t="n">
        <x:v>1</x:v>
      </x:c>
      <x:c r="C2879" s="23" t="n">
        <x:v>46624</x:v>
      </x:c>
      <x:c r="D2879" s="23" t="n">
        <x:v>46624</x:v>
      </x:c>
      <x:c r="E2879" s="20" t="str"/>
      <x:c r="F2879" s="20" t="str"/>
      <x:c r="G2879" s="20" t="str"/>
      <x:c r="H2879" s="20" t="str">
        <x:v>3100 Owner Distributions</x:v>
      </x:c>
      <x:c r="I2879" s="26" t="n">
        <x:v>4300</x:v>
      </x:c>
      <x:c r="J2879" s="26" t="n">
        <x:v>0</x:v>
      </x:c>
      <x:c r="K2879" s="35" t="str">
        <x:v>Monthly distribution to Riverbend Homes LLC</x:v>
      </x:c>
    </x:row>
    <x:row r="2880">
      <x:c r="A2880" s="20" t="str">
        <x:v>FIN-01356</x:v>
      </x:c>
      <x:c r="B2880" s="32" t="n">
        <x:v>2</x:v>
      </x:c>
      <x:c r="C2880" s="23" t="n">
        <x:v>46624</x:v>
      </x:c>
      <x:c r="D2880" s="23" t="n">
        <x:v>46624</x:v>
      </x:c>
      <x:c r="E2880" s="20" t="str"/>
      <x:c r="F2880" s="20" t="str"/>
      <x:c r="G2880" s="20" t="str"/>
      <x:c r="H2880" s="20" t="str">
        <x:v>1000 Operating Cash</x:v>
      </x:c>
      <x:c r="I2880" s="26" t="n">
        <x:v>0</x:v>
      </x:c>
      <x:c r="J2880" s="26" t="n">
        <x:v>4300</x:v>
      </x:c>
      <x:c r="K2880" s="35" t="str">
        <x:v>Monthly distribution to Riverbend Homes LLC</x:v>
      </x:c>
    </x:row>
    <x:row r="2881">
      <x:c r="A2881" s="20" t="str">
        <x:v>FIN-01357</x:v>
      </x:c>
      <x:c r="B2881" s="32" t="n">
        <x:v>1</x:v>
      </x:c>
      <x:c r="C2881" s="23" t="n">
        <x:v>46624</x:v>
      </x:c>
      <x:c r="D2881" s="23" t="n">
        <x:v>46624</x:v>
      </x:c>
      <x:c r="E2881" s="20" t="str"/>
      <x:c r="F2881" s="20" t="str"/>
      <x:c r="G2881" s="20" t="str"/>
      <x:c r="H2881" s="20" t="str">
        <x:v>3100 Owner Distributions</x:v>
      </x:c>
      <x:c r="I2881" s="26" t="n">
        <x:v>4650</x:v>
      </x:c>
      <x:c r="J2881" s="26" t="n">
        <x:v>0</x:v>
      </x:c>
      <x:c r="K2881" s="35" t="str">
        <x:v>Monthly distribution to Juniper Street Holdings LLC</x:v>
      </x:c>
    </x:row>
    <x:row r="2882">
      <x:c r="A2882" s="20" t="str">
        <x:v>FIN-01357</x:v>
      </x:c>
      <x:c r="B2882" s="32" t="n">
        <x:v>2</x:v>
      </x:c>
      <x:c r="C2882" s="23" t="n">
        <x:v>46624</x:v>
      </x:c>
      <x:c r="D2882" s="23" t="n">
        <x:v>46624</x:v>
      </x:c>
      <x:c r="E2882" s="20" t="str"/>
      <x:c r="F2882" s="20" t="str"/>
      <x:c r="G2882" s="20" t="str"/>
      <x:c r="H2882" s="20" t="str">
        <x:v>1000 Operating Cash</x:v>
      </x:c>
      <x:c r="I2882" s="26" t="n">
        <x:v>0</x:v>
      </x:c>
      <x:c r="J2882" s="26" t="n">
        <x:v>4650</x:v>
      </x:c>
      <x:c r="K2882" s="35" t="str">
        <x:v>Monthly distribution to Juniper Street Holdings LLC</x:v>
      </x:c>
    </x:row>
    <x:row r="2883">
      <x:c r="A2883" s="20" t="str">
        <x:v>FIN-01358</x:v>
      </x:c>
      <x:c r="B2883" s="32" t="n">
        <x:v>1</x:v>
      </x:c>
      <x:c r="C2883" s="23" t="n">
        <x:v>46645</x:v>
      </x:c>
      <x:c r="D2883" s="23" t="n">
        <x:v>46645</x:v>
      </x:c>
      <x:c r="E2883" s="20" t="str">
        <x:v>P021</x:v>
      </x:c>
      <x:c r="F2883" s="20" t="str"/>
      <x:c r="G2883" s="20" t="str"/>
      <x:c r="H2883" s="20" t="str">
        <x:v>5010 Utilities</x:v>
      </x:c>
      <x:c r="I2883" s="26" t="n">
        <x:v>134</x:v>
      </x:c>
      <x:c r="J2883" s="26" t="n">
        <x:v>0</x:v>
      </x:c>
      <x:c r="K2883" s="35" t="str">
        <x:v>City Water &amp; Sewer</x:v>
      </x:c>
    </x:row>
    <x:row r="2884">
      <x:c r="A2884" s="20" t="str">
        <x:v>FIN-01358</x:v>
      </x:c>
      <x:c r="B2884" s="32" t="n">
        <x:v>2</x:v>
      </x:c>
      <x:c r="C2884" s="23" t="n">
        <x:v>46645</x:v>
      </x:c>
      <x:c r="D2884" s="23" t="n">
        <x:v>46645</x:v>
      </x:c>
      <x:c r="E2884" s="20" t="str">
        <x:v>P021</x:v>
      </x:c>
      <x:c r="F2884" s="20" t="str"/>
      <x:c r="G2884" s="20" t="str"/>
      <x:c r="H2884" s="20" t="str">
        <x:v>1000 Operating Cash</x:v>
      </x:c>
      <x:c r="I2884" s="26" t="n">
        <x:v>0</x:v>
      </x:c>
      <x:c r="J2884" s="26" t="n">
        <x:v>134</x:v>
      </x:c>
      <x:c r="K2884" s="35" t="str">
        <x:v>City Water &amp; Sewer</x:v>
      </x:c>
    </x:row>
    <x:row r="2885">
      <x:c r="A2885" s="20" t="str">
        <x:v>FIN-01359</x:v>
      </x:c>
      <x:c r="B2885" s="32" t="n">
        <x:v>1</x:v>
      </x:c>
      <x:c r="C2885" s="23" t="n">
        <x:v>46645</x:v>
      </x:c>
      <x:c r="D2885" s="23" t="n">
        <x:v>46645</x:v>
      </x:c>
      <x:c r="E2885" s="20" t="str">
        <x:v>P022</x:v>
      </x:c>
      <x:c r="F2885" s="20" t="str"/>
      <x:c r="G2885" s="20" t="str"/>
      <x:c r="H2885" s="20" t="str">
        <x:v>5010 Utilities</x:v>
      </x:c>
      <x:c r="I2885" s="26" t="n">
        <x:v>141</x:v>
      </x:c>
      <x:c r="J2885" s="26" t="n">
        <x:v>0</x:v>
      </x:c>
      <x:c r="K2885" s="35" t="str">
        <x:v>City Water &amp; Sewer</x:v>
      </x:c>
    </x:row>
    <x:row r="2886">
      <x:c r="A2886" s="20" t="str">
        <x:v>FIN-01359</x:v>
      </x:c>
      <x:c r="B2886" s="32" t="n">
        <x:v>2</x:v>
      </x:c>
      <x:c r="C2886" s="23" t="n">
        <x:v>46645</x:v>
      </x:c>
      <x:c r="D2886" s="23" t="n">
        <x:v>46645</x:v>
      </x:c>
      <x:c r="E2886" s="20" t="str">
        <x:v>P022</x:v>
      </x:c>
      <x:c r="F2886" s="20" t="str"/>
      <x:c r="G2886" s="20" t="str"/>
      <x:c r="H2886" s="20" t="str">
        <x:v>1000 Operating Cash</x:v>
      </x:c>
      <x:c r="I2886" s="26" t="n">
        <x:v>0</x:v>
      </x:c>
      <x:c r="J2886" s="26" t="n">
        <x:v>141</x:v>
      </x:c>
      <x:c r="K2886" s="35" t="str">
        <x:v>City Water &amp; Sewer</x:v>
      </x:c>
    </x:row>
    <x:row r="2887">
      <x:c r="A2887" s="20" t="str">
        <x:v>FIN-01360</x:v>
      </x:c>
      <x:c r="B2887" s="32" t="n">
        <x:v>1</x:v>
      </x:c>
      <x:c r="C2887" s="23" t="n">
        <x:v>46645</x:v>
      </x:c>
      <x:c r="D2887" s="23" t="n">
        <x:v>46645</x:v>
      </x:c>
      <x:c r="E2887" s="20" t="str">
        <x:v>P023</x:v>
      </x:c>
      <x:c r="F2887" s="20" t="str"/>
      <x:c r="G2887" s="20" t="str"/>
      <x:c r="H2887" s="20" t="str">
        <x:v>5010 Utilities</x:v>
      </x:c>
      <x:c r="I2887" s="26" t="n">
        <x:v>148</x:v>
      </x:c>
      <x:c r="J2887" s="26" t="n">
        <x:v>0</x:v>
      </x:c>
      <x:c r="K2887" s="35" t="str">
        <x:v>City Water &amp; Sewer</x:v>
      </x:c>
    </x:row>
    <x:row r="2888">
      <x:c r="A2888" s="20" t="str">
        <x:v>FIN-01360</x:v>
      </x:c>
      <x:c r="B2888" s="32" t="n">
        <x:v>2</x:v>
      </x:c>
      <x:c r="C2888" s="23" t="n">
        <x:v>46645</x:v>
      </x:c>
      <x:c r="D2888" s="23" t="n">
        <x:v>46645</x:v>
      </x:c>
      <x:c r="E2888" s="20" t="str">
        <x:v>P023</x:v>
      </x:c>
      <x:c r="F2888" s="20" t="str"/>
      <x:c r="G2888" s="20" t="str"/>
      <x:c r="H2888" s="20" t="str">
        <x:v>1000 Operating Cash</x:v>
      </x:c>
      <x:c r="I2888" s="26" t="n">
        <x:v>0</x:v>
      </x:c>
      <x:c r="J2888" s="26" t="n">
        <x:v>148</x:v>
      </x:c>
      <x:c r="K2888" s="35" t="str">
        <x:v>City Water &amp; Sewer</x:v>
      </x:c>
    </x:row>
    <x:row r="2889">
      <x:c r="A2889" s="20" t="str">
        <x:v>FIN-01361</x:v>
      </x:c>
      <x:c r="B2889" s="32" t="n">
        <x:v>1</x:v>
      </x:c>
      <x:c r="C2889" s="23" t="n">
        <x:v>46645</x:v>
      </x:c>
      <x:c r="D2889" s="23" t="n">
        <x:v>46645</x:v>
      </x:c>
      <x:c r="E2889" s="20" t="str">
        <x:v>P024</x:v>
      </x:c>
      <x:c r="F2889" s="20" t="str"/>
      <x:c r="G2889" s="20" t="str"/>
      <x:c r="H2889" s="20" t="str">
        <x:v>5010 Utilities</x:v>
      </x:c>
      <x:c r="I2889" s="26" t="n">
        <x:v>155</x:v>
      </x:c>
      <x:c r="J2889" s="26" t="n">
        <x:v>0</x:v>
      </x:c>
      <x:c r="K2889" s="35" t="str">
        <x:v>City Water &amp; Sewer</x:v>
      </x:c>
    </x:row>
    <x:row r="2890">
      <x:c r="A2890" s="20" t="str">
        <x:v>FIN-01361</x:v>
      </x:c>
      <x:c r="B2890" s="32" t="n">
        <x:v>2</x:v>
      </x:c>
      <x:c r="C2890" s="23" t="n">
        <x:v>46645</x:v>
      </x:c>
      <x:c r="D2890" s="23" t="n">
        <x:v>46645</x:v>
      </x:c>
      <x:c r="E2890" s="20" t="str">
        <x:v>P024</x:v>
      </x:c>
      <x:c r="F2890" s="20" t="str"/>
      <x:c r="G2890" s="20" t="str"/>
      <x:c r="H2890" s="20" t="str">
        <x:v>1000 Operating Cash</x:v>
      </x:c>
      <x:c r="I2890" s="26" t="n">
        <x:v>0</x:v>
      </x:c>
      <x:c r="J2890" s="26" t="n">
        <x:v>155</x:v>
      </x:c>
      <x:c r="K2890" s="35" t="str">
        <x:v>City Water &amp; Sewer</x:v>
      </x:c>
    </x:row>
    <x:row r="2891">
      <x:c r="A2891" s="20" t="str">
        <x:v>FIN-01362</x:v>
      </x:c>
      <x:c r="B2891" s="32" t="n">
        <x:v>1</x:v>
      </x:c>
      <x:c r="C2891" s="23" t="n">
        <x:v>46645</x:v>
      </x:c>
      <x:c r="D2891" s="23" t="n">
        <x:v>46645</x:v>
      </x:c>
      <x:c r="E2891" s="20" t="str">
        <x:v>P025</x:v>
      </x:c>
      <x:c r="F2891" s="20" t="str"/>
      <x:c r="G2891" s="20" t="str"/>
      <x:c r="H2891" s="20" t="str">
        <x:v>5010 Utilities</x:v>
      </x:c>
      <x:c r="I2891" s="26" t="n">
        <x:v>162</x:v>
      </x:c>
      <x:c r="J2891" s="26" t="n">
        <x:v>0</x:v>
      </x:c>
      <x:c r="K2891" s="35" t="str">
        <x:v>City Water &amp; Sewer</x:v>
      </x:c>
    </x:row>
    <x:row r="2892">
      <x:c r="A2892" s="20" t="str">
        <x:v>FIN-01362</x:v>
      </x:c>
      <x:c r="B2892" s="32" t="n">
        <x:v>2</x:v>
      </x:c>
      <x:c r="C2892" s="23" t="n">
        <x:v>46645</x:v>
      </x:c>
      <x:c r="D2892" s="23" t="n">
        <x:v>46645</x:v>
      </x:c>
      <x:c r="E2892" s="20" t="str">
        <x:v>P025</x:v>
      </x:c>
      <x:c r="F2892" s="20" t="str"/>
      <x:c r="G2892" s="20" t="str"/>
      <x:c r="H2892" s="20" t="str">
        <x:v>1000 Operating Cash</x:v>
      </x:c>
      <x:c r="I2892" s="26" t="n">
        <x:v>0</x:v>
      </x:c>
      <x:c r="J2892" s="26" t="n">
        <x:v>162</x:v>
      </x:c>
      <x:c r="K2892" s="35" t="str">
        <x:v>City Water &amp; Sewer</x:v>
      </x:c>
    </x:row>
    <x:row r="2893">
      <x:c r="A2893" s="20" t="str">
        <x:v>FIN-01363</x:v>
      </x:c>
      <x:c r="B2893" s="32" t="n">
        <x:v>1</x:v>
      </x:c>
      <x:c r="C2893" s="23" t="n">
        <x:v>46645</x:v>
      </x:c>
      <x:c r="D2893" s="23" t="n">
        <x:v>46645</x:v>
      </x:c>
      <x:c r="E2893" s="20" t="str">
        <x:v>P026</x:v>
      </x:c>
      <x:c r="F2893" s="20" t="str"/>
      <x:c r="G2893" s="20" t="str"/>
      <x:c r="H2893" s="20" t="str">
        <x:v>5010 Utilities</x:v>
      </x:c>
      <x:c r="I2893" s="26" t="n">
        <x:v>169</x:v>
      </x:c>
      <x:c r="J2893" s="26" t="n">
        <x:v>0</x:v>
      </x:c>
      <x:c r="K2893" s="35" t="str">
        <x:v>City Water &amp; Sewer</x:v>
      </x:c>
    </x:row>
    <x:row r="2894">
      <x:c r="A2894" s="20" t="str">
        <x:v>FIN-01363</x:v>
      </x:c>
      <x:c r="B2894" s="32" t="n">
        <x:v>2</x:v>
      </x:c>
      <x:c r="C2894" s="23" t="n">
        <x:v>46645</x:v>
      </x:c>
      <x:c r="D2894" s="23" t="n">
        <x:v>46645</x:v>
      </x:c>
      <x:c r="E2894" s="20" t="str">
        <x:v>P026</x:v>
      </x:c>
      <x:c r="F2894" s="20" t="str"/>
      <x:c r="G2894" s="20" t="str"/>
      <x:c r="H2894" s="20" t="str">
        <x:v>1000 Operating Cash</x:v>
      </x:c>
      <x:c r="I2894" s="26" t="n">
        <x:v>0</x:v>
      </x:c>
      <x:c r="J2894" s="26" t="n">
        <x:v>169</x:v>
      </x:c>
      <x:c r="K2894" s="35" t="str">
        <x:v>City Water &amp; Sewer</x:v>
      </x:c>
    </x:row>
    <x:row r="2895">
      <x:c r="A2895" s="20" t="str">
        <x:v>FIN-01364</x:v>
      </x:c>
      <x:c r="B2895" s="32" t="n">
        <x:v>1</x:v>
      </x:c>
      <x:c r="C2895" s="23" t="n">
        <x:v>46645</x:v>
      </x:c>
      <x:c r="D2895" s="23" t="n">
        <x:v>46645</x:v>
      </x:c>
      <x:c r="E2895" s="20" t="str">
        <x:v>P027</x:v>
      </x:c>
      <x:c r="F2895" s="20" t="str"/>
      <x:c r="G2895" s="20" t="str"/>
      <x:c r="H2895" s="20" t="str">
        <x:v>5010 Utilities</x:v>
      </x:c>
      <x:c r="I2895" s="26" t="n">
        <x:v>176</x:v>
      </x:c>
      <x:c r="J2895" s="26" t="n">
        <x:v>0</x:v>
      </x:c>
      <x:c r="K2895" s="35" t="str">
        <x:v>City Water &amp; Sewer</x:v>
      </x:c>
    </x:row>
    <x:row r="2896">
      <x:c r="A2896" s="20" t="str">
        <x:v>FIN-01364</x:v>
      </x:c>
      <x:c r="B2896" s="32" t="n">
        <x:v>2</x:v>
      </x:c>
      <x:c r="C2896" s="23" t="n">
        <x:v>46645</x:v>
      </x:c>
      <x:c r="D2896" s="23" t="n">
        <x:v>46645</x:v>
      </x:c>
      <x:c r="E2896" s="20" t="str">
        <x:v>P027</x:v>
      </x:c>
      <x:c r="F2896" s="20" t="str"/>
      <x:c r="G2896" s="20" t="str"/>
      <x:c r="H2896" s="20" t="str">
        <x:v>1000 Operating Cash</x:v>
      </x:c>
      <x:c r="I2896" s="26" t="n">
        <x:v>0</x:v>
      </x:c>
      <x:c r="J2896" s="26" t="n">
        <x:v>176</x:v>
      </x:c>
      <x:c r="K2896" s="35" t="str">
        <x:v>City Water &amp; Sewer</x:v>
      </x:c>
    </x:row>
    <x:row r="2897">
      <x:c r="A2897" s="20" t="str">
        <x:v>FIN-01365</x:v>
      </x:c>
      <x:c r="B2897" s="32" t="n">
        <x:v>1</x:v>
      </x:c>
      <x:c r="C2897" s="23" t="n">
        <x:v>46645</x:v>
      </x:c>
      <x:c r="D2897" s="23" t="n">
        <x:v>46645</x:v>
      </x:c>
      <x:c r="E2897" s="20" t="str">
        <x:v>P028</x:v>
      </x:c>
      <x:c r="F2897" s="20" t="str"/>
      <x:c r="G2897" s="20" t="str"/>
      <x:c r="H2897" s="20" t="str">
        <x:v>5010 Utilities</x:v>
      </x:c>
      <x:c r="I2897" s="26" t="n">
        <x:v>183</x:v>
      </x:c>
      <x:c r="J2897" s="26" t="n">
        <x:v>0</x:v>
      </x:c>
      <x:c r="K2897" s="35" t="str">
        <x:v>City Water &amp; Sewer</x:v>
      </x:c>
    </x:row>
    <x:row r="2898">
      <x:c r="A2898" s="20" t="str">
        <x:v>FIN-01365</x:v>
      </x:c>
      <x:c r="B2898" s="32" t="n">
        <x:v>2</x:v>
      </x:c>
      <x:c r="C2898" s="23" t="n">
        <x:v>46645</x:v>
      </x:c>
      <x:c r="D2898" s="23" t="n">
        <x:v>46645</x:v>
      </x:c>
      <x:c r="E2898" s="20" t="str">
        <x:v>P028</x:v>
      </x:c>
      <x:c r="F2898" s="20" t="str"/>
      <x:c r="G2898" s="20" t="str"/>
      <x:c r="H2898" s="20" t="str">
        <x:v>1000 Operating Cash</x:v>
      </x:c>
      <x:c r="I2898" s="26" t="n">
        <x:v>0</x:v>
      </x:c>
      <x:c r="J2898" s="26" t="n">
        <x:v>183</x:v>
      </x:c>
      <x:c r="K2898" s="35" t="str">
        <x:v>City Water &amp; Sewer</x:v>
      </x:c>
    </x:row>
    <x:row r="2899">
      <x:c r="A2899" s="20" t="str">
        <x:v>FIN-01366</x:v>
      </x:c>
      <x:c r="B2899" s="32" t="n">
        <x:v>1</x:v>
      </x:c>
      <x:c r="C2899" s="23" t="n">
        <x:v>46645</x:v>
      </x:c>
      <x:c r="D2899" s="23" t="n">
        <x:v>46645</x:v>
      </x:c>
      <x:c r="E2899" s="20" t="str">
        <x:v>P029</x:v>
      </x:c>
      <x:c r="F2899" s="20" t="str"/>
      <x:c r="G2899" s="20" t="str"/>
      <x:c r="H2899" s="20" t="str">
        <x:v>5010 Utilities</x:v>
      </x:c>
      <x:c r="I2899" s="26" t="n">
        <x:v>190</x:v>
      </x:c>
      <x:c r="J2899" s="26" t="n">
        <x:v>0</x:v>
      </x:c>
      <x:c r="K2899" s="35" t="str">
        <x:v>City Water &amp; Sewer</x:v>
      </x:c>
    </x:row>
    <x:row r="2900">
      <x:c r="A2900" s="20" t="str">
        <x:v>FIN-01366</x:v>
      </x:c>
      <x:c r="B2900" s="32" t="n">
        <x:v>2</x:v>
      </x:c>
      <x:c r="C2900" s="23" t="n">
        <x:v>46645</x:v>
      </x:c>
      <x:c r="D2900" s="23" t="n">
        <x:v>46645</x:v>
      </x:c>
      <x:c r="E2900" s="20" t="str">
        <x:v>P029</x:v>
      </x:c>
      <x:c r="F2900" s="20" t="str"/>
      <x:c r="G2900" s="20" t="str"/>
      <x:c r="H2900" s="20" t="str">
        <x:v>1000 Operating Cash</x:v>
      </x:c>
      <x:c r="I2900" s="26" t="n">
        <x:v>0</x:v>
      </x:c>
      <x:c r="J2900" s="26" t="n">
        <x:v>190</x:v>
      </x:c>
      <x:c r="K2900" s="35" t="str">
        <x:v>City Water &amp; Sewer</x:v>
      </x:c>
    </x:row>
    <x:row r="2901">
      <x:c r="A2901" s="20" t="str">
        <x:v>FIN-01367</x:v>
      </x:c>
      <x:c r="B2901" s="32" t="n">
        <x:v>1</x:v>
      </x:c>
      <x:c r="C2901" s="23" t="n">
        <x:v>46645</x:v>
      </x:c>
      <x:c r="D2901" s="23" t="n">
        <x:v>46645</x:v>
      </x:c>
      <x:c r="E2901" s="20" t="str">
        <x:v>P030</x:v>
      </x:c>
      <x:c r="F2901" s="20" t="str"/>
      <x:c r="G2901" s="20" t="str"/>
      <x:c r="H2901" s="20" t="str">
        <x:v>5010 Utilities</x:v>
      </x:c>
      <x:c r="I2901" s="26" t="n">
        <x:v>197</x:v>
      </x:c>
      <x:c r="J2901" s="26" t="n">
        <x:v>0</x:v>
      </x:c>
      <x:c r="K2901" s="35" t="str">
        <x:v>City Water &amp; Sewer</x:v>
      </x:c>
    </x:row>
    <x:row r="2902">
      <x:c r="A2902" s="20" t="str">
        <x:v>FIN-01367</x:v>
      </x:c>
      <x:c r="B2902" s="32" t="n">
        <x:v>2</x:v>
      </x:c>
      <x:c r="C2902" s="23" t="n">
        <x:v>46645</x:v>
      </x:c>
      <x:c r="D2902" s="23" t="n">
        <x:v>46645</x:v>
      </x:c>
      <x:c r="E2902" s="20" t="str">
        <x:v>P030</x:v>
      </x:c>
      <x:c r="F2902" s="20" t="str"/>
      <x:c r="G2902" s="20" t="str"/>
      <x:c r="H2902" s="20" t="str">
        <x:v>1000 Operating Cash</x:v>
      </x:c>
      <x:c r="I2902" s="26" t="n">
        <x:v>0</x:v>
      </x:c>
      <x:c r="J2902" s="26" t="n">
        <x:v>197</x:v>
      </x:c>
      <x:c r="K2902" s="35" t="str">
        <x:v>City Water &amp; Sewer</x:v>
      </x:c>
    </x:row>
    <x:row r="2903">
      <x:c r="A2903" s="20" t="str">
        <x:v>FIN-01368</x:v>
      </x:c>
      <x:c r="B2903" s="32" t="n">
        <x:v>1</x:v>
      </x:c>
      <x:c r="C2903" s="23" t="n">
        <x:v>46650</x:v>
      </x:c>
      <x:c r="D2903" s="23" t="n">
        <x:v>46650</x:v>
      </x:c>
      <x:c r="E2903" s="20" t="str">
        <x:v>P001</x:v>
      </x:c>
      <x:c r="F2903" s="20" t="str"/>
      <x:c r="G2903" s="20" t="str"/>
      <x:c r="H2903" s="20" t="str">
        <x:v>2200 Mortgage Loans Payable</x:v>
      </x:c>
      <x:c r="I2903" s="26" t="n">
        <x:v>431</x:v>
      </x:c>
      <x:c r="J2903" s="26" t="n">
        <x:v>0</x:v>
      </x:c>
      <x:c r="K2903" s="35" t="str">
        <x:v>LN001 scheduled payment</x:v>
      </x:c>
    </x:row>
    <x:row r="2904">
      <x:c r="A2904" s="20" t="str">
        <x:v>FIN-01368</x:v>
      </x:c>
      <x:c r="B2904" s="32" t="n">
        <x:v>2</x:v>
      </x:c>
      <x:c r="C2904" s="23" t="n">
        <x:v>46650</x:v>
      </x:c>
      <x:c r="D2904" s="23" t="n">
        <x:v>46650</x:v>
      </x:c>
      <x:c r="E2904" s="20" t="str">
        <x:v>P001</x:v>
      </x:c>
      <x:c r="F2904" s="20" t="str"/>
      <x:c r="G2904" s="20" t="str"/>
      <x:c r="H2904" s="20" t="str">
        <x:v>5040 Mortgage Interest</x:v>
      </x:c>
      <x:c r="I2904" s="26" t="n">
        <x:v>559</x:v>
      </x:c>
      <x:c r="J2904" s="26" t="n">
        <x:v>0</x:v>
      </x:c>
      <x:c r="K2904" s="35" t="str">
        <x:v>LN001 scheduled payment</x:v>
      </x:c>
    </x:row>
    <x:row r="2905">
      <x:c r="A2905" s="20" t="str">
        <x:v>FIN-01368</x:v>
      </x:c>
      <x:c r="B2905" s="32" t="n">
        <x:v>3</x:v>
      </x:c>
      <x:c r="C2905" s="23" t="n">
        <x:v>46650</x:v>
      </x:c>
      <x:c r="D2905" s="23" t="n">
        <x:v>46650</x:v>
      </x:c>
      <x:c r="E2905" s="20" t="str">
        <x:v>P001</x:v>
      </x:c>
      <x:c r="F2905" s="20" t="str"/>
      <x:c r="G2905" s="20" t="str"/>
      <x:c r="H2905" s="20" t="str">
        <x:v>1000 Operating Cash</x:v>
      </x:c>
      <x:c r="I2905" s="26" t="n">
        <x:v>0</x:v>
      </x:c>
      <x:c r="J2905" s="26" t="n">
        <x:v>990</x:v>
      </x:c>
      <x:c r="K2905" s="35" t="str">
        <x:v>LN001 scheduled payment</x:v>
      </x:c>
    </x:row>
    <x:row r="2906">
      <x:c r="A2906" s="20" t="str">
        <x:v>FIN-01369</x:v>
      </x:c>
      <x:c r="B2906" s="32" t="n">
        <x:v>1</x:v>
      </x:c>
      <x:c r="C2906" s="23" t="n">
        <x:v>46650</x:v>
      </x:c>
      <x:c r="D2906" s="23" t="n">
        <x:v>46650</x:v>
      </x:c>
      <x:c r="E2906" s="20" t="str">
        <x:v>P002</x:v>
      </x:c>
      <x:c r="F2906" s="20" t="str"/>
      <x:c r="G2906" s="20" t="str"/>
      <x:c r="H2906" s="20" t="str">
        <x:v>2200 Mortgage Loans Payable</x:v>
      </x:c>
      <x:c r="I2906" s="26" t="n">
        <x:v>442</x:v>
      </x:c>
      <x:c r="J2906" s="26" t="n">
        <x:v>0</x:v>
      </x:c>
      <x:c r="K2906" s="35" t="str">
        <x:v>LN002 scheduled payment</x:v>
      </x:c>
    </x:row>
    <x:row r="2907">
      <x:c r="A2907" s="20" t="str">
        <x:v>FIN-01369</x:v>
      </x:c>
      <x:c r="B2907" s="32" t="n">
        <x:v>2</x:v>
      </x:c>
      <x:c r="C2907" s="23" t="n">
        <x:v>46650</x:v>
      </x:c>
      <x:c r="D2907" s="23" t="n">
        <x:v>46650</x:v>
      </x:c>
      <x:c r="E2907" s="20" t="str">
        <x:v>P002</x:v>
      </x:c>
      <x:c r="F2907" s="20" t="str"/>
      <x:c r="G2907" s="20" t="str"/>
      <x:c r="H2907" s="20" t="str">
        <x:v>5040 Mortgage Interest</x:v>
      </x:c>
      <x:c r="I2907" s="26" t="n">
        <x:v>572</x:v>
      </x:c>
      <x:c r="J2907" s="26" t="n">
        <x:v>0</x:v>
      </x:c>
      <x:c r="K2907" s="35" t="str">
        <x:v>LN002 scheduled payment</x:v>
      </x:c>
    </x:row>
    <x:row r="2908">
      <x:c r="A2908" s="20" t="str">
        <x:v>FIN-01369</x:v>
      </x:c>
      <x:c r="B2908" s="32" t="n">
        <x:v>3</x:v>
      </x:c>
      <x:c r="C2908" s="23" t="n">
        <x:v>46650</x:v>
      </x:c>
      <x:c r="D2908" s="23" t="n">
        <x:v>46650</x:v>
      </x:c>
      <x:c r="E2908" s="20" t="str">
        <x:v>P002</x:v>
      </x:c>
      <x:c r="F2908" s="20" t="str"/>
      <x:c r="G2908" s="20" t="str"/>
      <x:c r="H2908" s="20" t="str">
        <x:v>1000 Operating Cash</x:v>
      </x:c>
      <x:c r="I2908" s="26" t="n">
        <x:v>0</x:v>
      </x:c>
      <x:c r="J2908" s="26" t="n">
        <x:v>1014</x:v>
      </x:c>
      <x:c r="K2908" s="35" t="str">
        <x:v>LN002 scheduled payment</x:v>
      </x:c>
    </x:row>
    <x:row r="2909">
      <x:c r="A2909" s="20" t="str">
        <x:v>FIN-01370</x:v>
      </x:c>
      <x:c r="B2909" s="32" t="n">
        <x:v>1</x:v>
      </x:c>
      <x:c r="C2909" s="23" t="n">
        <x:v>46650</x:v>
      </x:c>
      <x:c r="D2909" s="23" t="n">
        <x:v>46650</x:v>
      </x:c>
      <x:c r="E2909" s="20" t="str">
        <x:v>P004</x:v>
      </x:c>
      <x:c r="F2909" s="20" t="str"/>
      <x:c r="G2909" s="20" t="str"/>
      <x:c r="H2909" s="20" t="str">
        <x:v>2200 Mortgage Loans Payable</x:v>
      </x:c>
      <x:c r="I2909" s="26" t="n">
        <x:v>464</x:v>
      </x:c>
      <x:c r="J2909" s="26" t="n">
        <x:v>0</x:v>
      </x:c>
      <x:c r="K2909" s="35" t="str">
        <x:v>LN004 scheduled payment</x:v>
      </x:c>
    </x:row>
    <x:row r="2910">
      <x:c r="A2910" s="20" t="str">
        <x:v>FIN-01370</x:v>
      </x:c>
      <x:c r="B2910" s="32" t="n">
        <x:v>2</x:v>
      </x:c>
      <x:c r="C2910" s="23" t="n">
        <x:v>46650</x:v>
      </x:c>
      <x:c r="D2910" s="23" t="n">
        <x:v>46650</x:v>
      </x:c>
      <x:c r="E2910" s="20" t="str">
        <x:v>P004</x:v>
      </x:c>
      <x:c r="F2910" s="20" t="str"/>
      <x:c r="G2910" s="20" t="str"/>
      <x:c r="H2910" s="20" t="str">
        <x:v>5040 Mortgage Interest</x:v>
      </x:c>
      <x:c r="I2910" s="26" t="n">
        <x:v>598</x:v>
      </x:c>
      <x:c r="J2910" s="26" t="n">
        <x:v>0</x:v>
      </x:c>
      <x:c r="K2910" s="35" t="str">
        <x:v>LN004 scheduled payment</x:v>
      </x:c>
    </x:row>
    <x:row r="2911">
      <x:c r="A2911" s="20" t="str">
        <x:v>FIN-01370</x:v>
      </x:c>
      <x:c r="B2911" s="32" t="n">
        <x:v>3</x:v>
      </x:c>
      <x:c r="C2911" s="23" t="n">
        <x:v>46650</x:v>
      </x:c>
      <x:c r="D2911" s="23" t="n">
        <x:v>46650</x:v>
      </x:c>
      <x:c r="E2911" s="20" t="str">
        <x:v>P004</x:v>
      </x:c>
      <x:c r="F2911" s="20" t="str"/>
      <x:c r="G2911" s="20" t="str"/>
      <x:c r="H2911" s="20" t="str">
        <x:v>1000 Operating Cash</x:v>
      </x:c>
      <x:c r="I2911" s="26" t="n">
        <x:v>0</x:v>
      </x:c>
      <x:c r="J2911" s="26" t="n">
        <x:v>1062</x:v>
      </x:c>
      <x:c r="K2911" s="35" t="str">
        <x:v>LN004 scheduled payment</x:v>
      </x:c>
    </x:row>
    <x:row r="2912">
      <x:c r="A2912" s="20" t="str">
        <x:v>FIN-01371</x:v>
      </x:c>
      <x:c r="B2912" s="32" t="n">
        <x:v>1</x:v>
      </x:c>
      <x:c r="C2912" s="23" t="n">
        <x:v>46650</x:v>
      </x:c>
      <x:c r="D2912" s="23" t="n">
        <x:v>46650</x:v>
      </x:c>
      <x:c r="E2912" s="20" t="str">
        <x:v>P005</x:v>
      </x:c>
      <x:c r="F2912" s="20" t="str"/>
      <x:c r="G2912" s="20" t="str"/>
      <x:c r="H2912" s="20" t="str">
        <x:v>2200 Mortgage Loans Payable</x:v>
      </x:c>
      <x:c r="I2912" s="26" t="n">
        <x:v>475</x:v>
      </x:c>
      <x:c r="J2912" s="26" t="n">
        <x:v>0</x:v>
      </x:c>
      <x:c r="K2912" s="35" t="str">
        <x:v>LN005 scheduled payment</x:v>
      </x:c>
    </x:row>
    <x:row r="2913">
      <x:c r="A2913" s="20" t="str">
        <x:v>FIN-01371</x:v>
      </x:c>
      <x:c r="B2913" s="32" t="n">
        <x:v>2</x:v>
      </x:c>
      <x:c r="C2913" s="23" t="n">
        <x:v>46650</x:v>
      </x:c>
      <x:c r="D2913" s="23" t="n">
        <x:v>46650</x:v>
      </x:c>
      <x:c r="E2913" s="20" t="str">
        <x:v>P005</x:v>
      </x:c>
      <x:c r="F2913" s="20" t="str"/>
      <x:c r="G2913" s="20" t="str"/>
      <x:c r="H2913" s="20" t="str">
        <x:v>5040 Mortgage Interest</x:v>
      </x:c>
      <x:c r="I2913" s="26" t="n">
        <x:v>611</x:v>
      </x:c>
      <x:c r="J2913" s="26" t="n">
        <x:v>0</x:v>
      </x:c>
      <x:c r="K2913" s="35" t="str">
        <x:v>LN005 scheduled payment</x:v>
      </x:c>
    </x:row>
    <x:row r="2914">
      <x:c r="A2914" s="20" t="str">
        <x:v>FIN-01371</x:v>
      </x:c>
      <x:c r="B2914" s="32" t="n">
        <x:v>3</x:v>
      </x:c>
      <x:c r="C2914" s="23" t="n">
        <x:v>46650</x:v>
      </x:c>
      <x:c r="D2914" s="23" t="n">
        <x:v>46650</x:v>
      </x:c>
      <x:c r="E2914" s="20" t="str">
        <x:v>P005</x:v>
      </x:c>
      <x:c r="F2914" s="20" t="str"/>
      <x:c r="G2914" s="20" t="str"/>
      <x:c r="H2914" s="20" t="str">
        <x:v>1000 Operating Cash</x:v>
      </x:c>
      <x:c r="I2914" s="26" t="n">
        <x:v>0</x:v>
      </x:c>
      <x:c r="J2914" s="26" t="n">
        <x:v>1086</x:v>
      </x:c>
      <x:c r="K2914" s="35" t="str">
        <x:v>LN005 scheduled payment</x:v>
      </x:c>
    </x:row>
    <x:row r="2915">
      <x:c r="A2915" s="20" t="str">
        <x:v>FIN-01372</x:v>
      </x:c>
      <x:c r="B2915" s="32" t="n">
        <x:v>1</x:v>
      </x:c>
      <x:c r="C2915" s="23" t="n">
        <x:v>46650</x:v>
      </x:c>
      <x:c r="D2915" s="23" t="n">
        <x:v>46650</x:v>
      </x:c>
      <x:c r="E2915" s="20" t="str">
        <x:v>P007</x:v>
      </x:c>
      <x:c r="F2915" s="20" t="str"/>
      <x:c r="G2915" s="20" t="str"/>
      <x:c r="H2915" s="20" t="str">
        <x:v>2200 Mortgage Loans Payable</x:v>
      </x:c>
      <x:c r="I2915" s="26" t="n">
        <x:v>497</x:v>
      </x:c>
      <x:c r="J2915" s="26" t="n">
        <x:v>0</x:v>
      </x:c>
      <x:c r="K2915" s="35" t="str">
        <x:v>LN007 scheduled payment</x:v>
      </x:c>
    </x:row>
    <x:row r="2916">
      <x:c r="A2916" s="20" t="str">
        <x:v>FIN-01372</x:v>
      </x:c>
      <x:c r="B2916" s="32" t="n">
        <x:v>2</x:v>
      </x:c>
      <x:c r="C2916" s="23" t="n">
        <x:v>46650</x:v>
      </x:c>
      <x:c r="D2916" s="23" t="n">
        <x:v>46650</x:v>
      </x:c>
      <x:c r="E2916" s="20" t="str">
        <x:v>P007</x:v>
      </x:c>
      <x:c r="F2916" s="20" t="str"/>
      <x:c r="G2916" s="20" t="str"/>
      <x:c r="H2916" s="20" t="str">
        <x:v>5040 Mortgage Interest</x:v>
      </x:c>
      <x:c r="I2916" s="26" t="n">
        <x:v>637</x:v>
      </x:c>
      <x:c r="J2916" s="26" t="n">
        <x:v>0</x:v>
      </x:c>
      <x:c r="K2916" s="35" t="str">
        <x:v>LN007 scheduled payment</x:v>
      </x:c>
    </x:row>
    <x:row r="2917">
      <x:c r="A2917" s="20" t="str">
        <x:v>FIN-01372</x:v>
      </x:c>
      <x:c r="B2917" s="32" t="n">
        <x:v>3</x:v>
      </x:c>
      <x:c r="C2917" s="23" t="n">
        <x:v>46650</x:v>
      </x:c>
      <x:c r="D2917" s="23" t="n">
        <x:v>46650</x:v>
      </x:c>
      <x:c r="E2917" s="20" t="str">
        <x:v>P007</x:v>
      </x:c>
      <x:c r="F2917" s="20" t="str"/>
      <x:c r="G2917" s="20" t="str"/>
      <x:c r="H2917" s="20" t="str">
        <x:v>1000 Operating Cash</x:v>
      </x:c>
      <x:c r="I2917" s="26" t="n">
        <x:v>0</x:v>
      </x:c>
      <x:c r="J2917" s="26" t="n">
        <x:v>1134</x:v>
      </x:c>
      <x:c r="K2917" s="35" t="str">
        <x:v>LN007 scheduled payment</x:v>
      </x:c>
    </x:row>
    <x:row r="2918">
      <x:c r="A2918" s="20" t="str">
        <x:v>FIN-01373</x:v>
      </x:c>
      <x:c r="B2918" s="32" t="n">
        <x:v>1</x:v>
      </x:c>
      <x:c r="C2918" s="23" t="n">
        <x:v>46650</x:v>
      </x:c>
      <x:c r="D2918" s="23" t="n">
        <x:v>46650</x:v>
      </x:c>
      <x:c r="E2918" s="20" t="str">
        <x:v>P008</x:v>
      </x:c>
      <x:c r="F2918" s="20" t="str"/>
      <x:c r="G2918" s="20" t="str"/>
      <x:c r="H2918" s="20" t="str">
        <x:v>2200 Mortgage Loans Payable</x:v>
      </x:c>
      <x:c r="I2918" s="26" t="n">
        <x:v>508</x:v>
      </x:c>
      <x:c r="J2918" s="26" t="n">
        <x:v>0</x:v>
      </x:c>
      <x:c r="K2918" s="35" t="str">
        <x:v>LN008 scheduled payment</x:v>
      </x:c>
    </x:row>
    <x:row r="2919">
      <x:c r="A2919" s="20" t="str">
        <x:v>FIN-01373</x:v>
      </x:c>
      <x:c r="B2919" s="32" t="n">
        <x:v>2</x:v>
      </x:c>
      <x:c r="C2919" s="23" t="n">
        <x:v>46650</x:v>
      </x:c>
      <x:c r="D2919" s="23" t="n">
        <x:v>46650</x:v>
      </x:c>
      <x:c r="E2919" s="20" t="str">
        <x:v>P008</x:v>
      </x:c>
      <x:c r="F2919" s="20" t="str"/>
      <x:c r="G2919" s="20" t="str"/>
      <x:c r="H2919" s="20" t="str">
        <x:v>5040 Mortgage Interest</x:v>
      </x:c>
      <x:c r="I2919" s="26" t="n">
        <x:v>650</x:v>
      </x:c>
      <x:c r="J2919" s="26" t="n">
        <x:v>0</x:v>
      </x:c>
      <x:c r="K2919" s="35" t="str">
        <x:v>LN008 scheduled payment</x:v>
      </x:c>
    </x:row>
    <x:row r="2920">
      <x:c r="A2920" s="20" t="str">
        <x:v>FIN-01373</x:v>
      </x:c>
      <x:c r="B2920" s="32" t="n">
        <x:v>3</x:v>
      </x:c>
      <x:c r="C2920" s="23" t="n">
        <x:v>46650</x:v>
      </x:c>
      <x:c r="D2920" s="23" t="n">
        <x:v>46650</x:v>
      </x:c>
      <x:c r="E2920" s="20" t="str">
        <x:v>P008</x:v>
      </x:c>
      <x:c r="F2920" s="20" t="str"/>
      <x:c r="G2920" s="20" t="str"/>
      <x:c r="H2920" s="20" t="str">
        <x:v>1000 Operating Cash</x:v>
      </x:c>
      <x:c r="I2920" s="26" t="n">
        <x:v>0</x:v>
      </x:c>
      <x:c r="J2920" s="26" t="n">
        <x:v>1158</x:v>
      </x:c>
      <x:c r="K2920" s="35" t="str">
        <x:v>LN008 scheduled payment</x:v>
      </x:c>
    </x:row>
    <x:row r="2921">
      <x:c r="A2921" s="20" t="str">
        <x:v>FIN-01374</x:v>
      </x:c>
      <x:c r="B2921" s="32" t="n">
        <x:v>1</x:v>
      </x:c>
      <x:c r="C2921" s="23" t="n">
        <x:v>46650</x:v>
      </x:c>
      <x:c r="D2921" s="23" t="n">
        <x:v>46650</x:v>
      </x:c>
      <x:c r="E2921" s="20" t="str">
        <x:v>P010</x:v>
      </x:c>
      <x:c r="F2921" s="20" t="str"/>
      <x:c r="G2921" s="20" t="str"/>
      <x:c r="H2921" s="20" t="str">
        <x:v>2200 Mortgage Loans Payable</x:v>
      </x:c>
      <x:c r="I2921" s="26" t="n">
        <x:v>530</x:v>
      </x:c>
      <x:c r="J2921" s="26" t="n">
        <x:v>0</x:v>
      </x:c>
      <x:c r="K2921" s="35" t="str">
        <x:v>LN010 scheduled payment</x:v>
      </x:c>
    </x:row>
    <x:row r="2922">
      <x:c r="A2922" s="20" t="str">
        <x:v>FIN-01374</x:v>
      </x:c>
      <x:c r="B2922" s="32" t="n">
        <x:v>2</x:v>
      </x:c>
      <x:c r="C2922" s="23" t="n">
        <x:v>46650</x:v>
      </x:c>
      <x:c r="D2922" s="23" t="n">
        <x:v>46650</x:v>
      </x:c>
      <x:c r="E2922" s="20" t="str">
        <x:v>P010</x:v>
      </x:c>
      <x:c r="F2922" s="20" t="str"/>
      <x:c r="G2922" s="20" t="str"/>
      <x:c r="H2922" s="20" t="str">
        <x:v>5040 Mortgage Interest</x:v>
      </x:c>
      <x:c r="I2922" s="26" t="n">
        <x:v>676</x:v>
      </x:c>
      <x:c r="J2922" s="26" t="n">
        <x:v>0</x:v>
      </x:c>
      <x:c r="K2922" s="35" t="str">
        <x:v>LN010 scheduled payment</x:v>
      </x:c>
    </x:row>
    <x:row r="2923">
      <x:c r="A2923" s="20" t="str">
        <x:v>FIN-01374</x:v>
      </x:c>
      <x:c r="B2923" s="32" t="n">
        <x:v>3</x:v>
      </x:c>
      <x:c r="C2923" s="23" t="n">
        <x:v>46650</x:v>
      </x:c>
      <x:c r="D2923" s="23" t="n">
        <x:v>46650</x:v>
      </x:c>
      <x:c r="E2923" s="20" t="str">
        <x:v>P010</x:v>
      </x:c>
      <x:c r="F2923" s="20" t="str"/>
      <x:c r="G2923" s="20" t="str"/>
      <x:c r="H2923" s="20" t="str">
        <x:v>1000 Operating Cash</x:v>
      </x:c>
      <x:c r="I2923" s="26" t="n">
        <x:v>0</x:v>
      </x:c>
      <x:c r="J2923" s="26" t="n">
        <x:v>1206</x:v>
      </x:c>
      <x:c r="K2923" s="35" t="str">
        <x:v>LN010 scheduled payment</x:v>
      </x:c>
    </x:row>
    <x:row r="2924">
      <x:c r="A2924" s="20" t="str">
        <x:v>FIN-01375</x:v>
      </x:c>
      <x:c r="B2924" s="32" t="n">
        <x:v>1</x:v>
      </x:c>
      <x:c r="C2924" s="23" t="n">
        <x:v>46650</x:v>
      </x:c>
      <x:c r="D2924" s="23" t="n">
        <x:v>46650</x:v>
      </x:c>
      <x:c r="E2924" s="20" t="str">
        <x:v>P011</x:v>
      </x:c>
      <x:c r="F2924" s="20" t="str"/>
      <x:c r="G2924" s="20" t="str"/>
      <x:c r="H2924" s="20" t="str">
        <x:v>2200 Mortgage Loans Payable</x:v>
      </x:c>
      <x:c r="I2924" s="26" t="n">
        <x:v>541</x:v>
      </x:c>
      <x:c r="J2924" s="26" t="n">
        <x:v>0</x:v>
      </x:c>
      <x:c r="K2924" s="35" t="str">
        <x:v>LN011 scheduled payment</x:v>
      </x:c>
    </x:row>
    <x:row r="2925">
      <x:c r="A2925" s="20" t="str">
        <x:v>FIN-01375</x:v>
      </x:c>
      <x:c r="B2925" s="32" t="n">
        <x:v>2</x:v>
      </x:c>
      <x:c r="C2925" s="23" t="n">
        <x:v>46650</x:v>
      </x:c>
      <x:c r="D2925" s="23" t="n">
        <x:v>46650</x:v>
      </x:c>
      <x:c r="E2925" s="20" t="str">
        <x:v>P011</x:v>
      </x:c>
      <x:c r="F2925" s="20" t="str"/>
      <x:c r="G2925" s="20" t="str"/>
      <x:c r="H2925" s="20" t="str">
        <x:v>5040 Mortgage Interest</x:v>
      </x:c>
      <x:c r="I2925" s="26" t="n">
        <x:v>689</x:v>
      </x:c>
      <x:c r="J2925" s="26" t="n">
        <x:v>0</x:v>
      </x:c>
      <x:c r="K2925" s="35" t="str">
        <x:v>LN011 scheduled payment</x:v>
      </x:c>
    </x:row>
    <x:row r="2926">
      <x:c r="A2926" s="20" t="str">
        <x:v>FIN-01375</x:v>
      </x:c>
      <x:c r="B2926" s="32" t="n">
        <x:v>3</x:v>
      </x:c>
      <x:c r="C2926" s="23" t="n">
        <x:v>46650</x:v>
      </x:c>
      <x:c r="D2926" s="23" t="n">
        <x:v>46650</x:v>
      </x:c>
      <x:c r="E2926" s="20" t="str">
        <x:v>P011</x:v>
      </x:c>
      <x:c r="F2926" s="20" t="str"/>
      <x:c r="G2926" s="20" t="str"/>
      <x:c r="H2926" s="20" t="str">
        <x:v>1000 Operating Cash</x:v>
      </x:c>
      <x:c r="I2926" s="26" t="n">
        <x:v>0</x:v>
      </x:c>
      <x:c r="J2926" s="26" t="n">
        <x:v>1230</x:v>
      </x:c>
      <x:c r="K2926" s="35" t="str">
        <x:v>LN011 scheduled payment</x:v>
      </x:c>
    </x:row>
    <x:row r="2927">
      <x:c r="A2927" s="20" t="str">
        <x:v>FIN-01376</x:v>
      </x:c>
      <x:c r="B2927" s="32" t="n">
        <x:v>1</x:v>
      </x:c>
      <x:c r="C2927" s="23" t="n">
        <x:v>46650</x:v>
      </x:c>
      <x:c r="D2927" s="23" t="n">
        <x:v>46650</x:v>
      </x:c>
      <x:c r="E2927" s="20" t="str">
        <x:v>P013</x:v>
      </x:c>
      <x:c r="F2927" s="20" t="str"/>
      <x:c r="G2927" s="20" t="str"/>
      <x:c r="H2927" s="20" t="str">
        <x:v>2200 Mortgage Loans Payable</x:v>
      </x:c>
      <x:c r="I2927" s="26" t="n">
        <x:v>563</x:v>
      </x:c>
      <x:c r="J2927" s="26" t="n">
        <x:v>0</x:v>
      </x:c>
      <x:c r="K2927" s="35" t="str">
        <x:v>LN013 scheduled payment</x:v>
      </x:c>
    </x:row>
    <x:row r="2928">
      <x:c r="A2928" s="20" t="str">
        <x:v>FIN-01376</x:v>
      </x:c>
      <x:c r="B2928" s="32" t="n">
        <x:v>2</x:v>
      </x:c>
      <x:c r="C2928" s="23" t="n">
        <x:v>46650</x:v>
      </x:c>
      <x:c r="D2928" s="23" t="n">
        <x:v>46650</x:v>
      </x:c>
      <x:c r="E2928" s="20" t="str">
        <x:v>P013</x:v>
      </x:c>
      <x:c r="F2928" s="20" t="str"/>
      <x:c r="G2928" s="20" t="str"/>
      <x:c r="H2928" s="20" t="str">
        <x:v>5040 Mortgage Interest</x:v>
      </x:c>
      <x:c r="I2928" s="26" t="n">
        <x:v>715</x:v>
      </x:c>
      <x:c r="J2928" s="26" t="n">
        <x:v>0</x:v>
      </x:c>
      <x:c r="K2928" s="35" t="str">
        <x:v>LN013 scheduled payment</x:v>
      </x:c>
    </x:row>
    <x:row r="2929">
      <x:c r="A2929" s="20" t="str">
        <x:v>FIN-01376</x:v>
      </x:c>
      <x:c r="B2929" s="32" t="n">
        <x:v>3</x:v>
      </x:c>
      <x:c r="C2929" s="23" t="n">
        <x:v>46650</x:v>
      </x:c>
      <x:c r="D2929" s="23" t="n">
        <x:v>46650</x:v>
      </x:c>
      <x:c r="E2929" s="20" t="str">
        <x:v>P013</x:v>
      </x:c>
      <x:c r="F2929" s="20" t="str"/>
      <x:c r="G2929" s="20" t="str"/>
      <x:c r="H2929" s="20" t="str">
        <x:v>1000 Operating Cash</x:v>
      </x:c>
      <x:c r="I2929" s="26" t="n">
        <x:v>0</x:v>
      </x:c>
      <x:c r="J2929" s="26" t="n">
        <x:v>1278</x:v>
      </x:c>
      <x:c r="K2929" s="35" t="str">
        <x:v>LN013 scheduled payment</x:v>
      </x:c>
    </x:row>
    <x:row r="2930">
      <x:c r="A2930" s="20" t="str">
        <x:v>FIN-01377</x:v>
      </x:c>
      <x:c r="B2930" s="32" t="n">
        <x:v>1</x:v>
      </x:c>
      <x:c r="C2930" s="23" t="n">
        <x:v>46650</x:v>
      </x:c>
      <x:c r="D2930" s="23" t="n">
        <x:v>46650</x:v>
      </x:c>
      <x:c r="E2930" s="20" t="str">
        <x:v>P014</x:v>
      </x:c>
      <x:c r="F2930" s="20" t="str"/>
      <x:c r="G2930" s="20" t="str"/>
      <x:c r="H2930" s="20" t="str">
        <x:v>2200 Mortgage Loans Payable</x:v>
      </x:c>
      <x:c r="I2930" s="26" t="n">
        <x:v>574</x:v>
      </x:c>
      <x:c r="J2930" s="26" t="n">
        <x:v>0</x:v>
      </x:c>
      <x:c r="K2930" s="35" t="str">
        <x:v>LN014 scheduled payment</x:v>
      </x:c>
    </x:row>
    <x:row r="2931">
      <x:c r="A2931" s="20" t="str">
        <x:v>FIN-01377</x:v>
      </x:c>
      <x:c r="B2931" s="32" t="n">
        <x:v>2</x:v>
      </x:c>
      <x:c r="C2931" s="23" t="n">
        <x:v>46650</x:v>
      </x:c>
      <x:c r="D2931" s="23" t="n">
        <x:v>46650</x:v>
      </x:c>
      <x:c r="E2931" s="20" t="str">
        <x:v>P014</x:v>
      </x:c>
      <x:c r="F2931" s="20" t="str"/>
      <x:c r="G2931" s="20" t="str"/>
      <x:c r="H2931" s="20" t="str">
        <x:v>5040 Mortgage Interest</x:v>
      </x:c>
      <x:c r="I2931" s="26" t="n">
        <x:v>728</x:v>
      </x:c>
      <x:c r="J2931" s="26" t="n">
        <x:v>0</x:v>
      </x:c>
      <x:c r="K2931" s="35" t="str">
        <x:v>LN014 scheduled payment</x:v>
      </x:c>
    </x:row>
    <x:row r="2932">
      <x:c r="A2932" s="20" t="str">
        <x:v>FIN-01377</x:v>
      </x:c>
      <x:c r="B2932" s="32" t="n">
        <x:v>3</x:v>
      </x:c>
      <x:c r="C2932" s="23" t="n">
        <x:v>46650</x:v>
      </x:c>
      <x:c r="D2932" s="23" t="n">
        <x:v>46650</x:v>
      </x:c>
      <x:c r="E2932" s="20" t="str">
        <x:v>P014</x:v>
      </x:c>
      <x:c r="F2932" s="20" t="str"/>
      <x:c r="G2932" s="20" t="str"/>
      <x:c r="H2932" s="20" t="str">
        <x:v>1000 Operating Cash</x:v>
      </x:c>
      <x:c r="I2932" s="26" t="n">
        <x:v>0</x:v>
      </x:c>
      <x:c r="J2932" s="26" t="n">
        <x:v>1302</x:v>
      </x:c>
      <x:c r="K2932" s="35" t="str">
        <x:v>LN014 scheduled payment</x:v>
      </x:c>
    </x:row>
    <x:row r="2933">
      <x:c r="A2933" s="20" t="str">
        <x:v>FIN-01378</x:v>
      </x:c>
      <x:c r="B2933" s="32" t="n">
        <x:v>1</x:v>
      </x:c>
      <x:c r="C2933" s="23" t="n">
        <x:v>46650</x:v>
      </x:c>
      <x:c r="D2933" s="23" t="n">
        <x:v>46650</x:v>
      </x:c>
      <x:c r="E2933" s="20" t="str">
        <x:v>P016</x:v>
      </x:c>
      <x:c r="F2933" s="20" t="str"/>
      <x:c r="G2933" s="20" t="str"/>
      <x:c r="H2933" s="20" t="str">
        <x:v>2200 Mortgage Loans Payable</x:v>
      </x:c>
      <x:c r="I2933" s="26" t="n">
        <x:v>596</x:v>
      </x:c>
      <x:c r="J2933" s="26" t="n">
        <x:v>0</x:v>
      </x:c>
      <x:c r="K2933" s="35" t="str">
        <x:v>LN016 scheduled payment</x:v>
      </x:c>
    </x:row>
    <x:row r="2934">
      <x:c r="A2934" s="20" t="str">
        <x:v>FIN-01378</x:v>
      </x:c>
      <x:c r="B2934" s="32" t="n">
        <x:v>2</x:v>
      </x:c>
      <x:c r="C2934" s="23" t="n">
        <x:v>46650</x:v>
      </x:c>
      <x:c r="D2934" s="23" t="n">
        <x:v>46650</x:v>
      </x:c>
      <x:c r="E2934" s="20" t="str">
        <x:v>P016</x:v>
      </x:c>
      <x:c r="F2934" s="20" t="str"/>
      <x:c r="G2934" s="20" t="str"/>
      <x:c r="H2934" s="20" t="str">
        <x:v>5040 Mortgage Interest</x:v>
      </x:c>
      <x:c r="I2934" s="26" t="n">
        <x:v>754</x:v>
      </x:c>
      <x:c r="J2934" s="26" t="n">
        <x:v>0</x:v>
      </x:c>
      <x:c r="K2934" s="35" t="str">
        <x:v>LN016 scheduled payment</x:v>
      </x:c>
    </x:row>
    <x:row r="2935">
      <x:c r="A2935" s="20" t="str">
        <x:v>FIN-01378</x:v>
      </x:c>
      <x:c r="B2935" s="32" t="n">
        <x:v>3</x:v>
      </x:c>
      <x:c r="C2935" s="23" t="n">
        <x:v>46650</x:v>
      </x:c>
      <x:c r="D2935" s="23" t="n">
        <x:v>46650</x:v>
      </x:c>
      <x:c r="E2935" s="20" t="str">
        <x:v>P016</x:v>
      </x:c>
      <x:c r="F2935" s="20" t="str"/>
      <x:c r="G2935" s="20" t="str"/>
      <x:c r="H2935" s="20" t="str">
        <x:v>1000 Operating Cash</x:v>
      </x:c>
      <x:c r="I2935" s="26" t="n">
        <x:v>0</x:v>
      </x:c>
      <x:c r="J2935" s="26" t="n">
        <x:v>1350</x:v>
      </x:c>
      <x:c r="K2935" s="35" t="str">
        <x:v>LN016 scheduled payment</x:v>
      </x:c>
    </x:row>
    <x:row r="2936">
      <x:c r="A2936" s="20" t="str">
        <x:v>FIN-01379</x:v>
      </x:c>
      <x:c r="B2936" s="32" t="n">
        <x:v>1</x:v>
      </x:c>
      <x:c r="C2936" s="23" t="n">
        <x:v>46650</x:v>
      </x:c>
      <x:c r="D2936" s="23" t="n">
        <x:v>46650</x:v>
      </x:c>
      <x:c r="E2936" s="20" t="str">
        <x:v>P017</x:v>
      </x:c>
      <x:c r="F2936" s="20" t="str"/>
      <x:c r="G2936" s="20" t="str"/>
      <x:c r="H2936" s="20" t="str">
        <x:v>2200 Mortgage Loans Payable</x:v>
      </x:c>
      <x:c r="I2936" s="26" t="n">
        <x:v>607</x:v>
      </x:c>
      <x:c r="J2936" s="26" t="n">
        <x:v>0</x:v>
      </x:c>
      <x:c r="K2936" s="35" t="str">
        <x:v>LN017 scheduled payment</x:v>
      </x:c>
    </x:row>
    <x:row r="2937">
      <x:c r="A2937" s="20" t="str">
        <x:v>FIN-01379</x:v>
      </x:c>
      <x:c r="B2937" s="32" t="n">
        <x:v>2</x:v>
      </x:c>
      <x:c r="C2937" s="23" t="n">
        <x:v>46650</x:v>
      </x:c>
      <x:c r="D2937" s="23" t="n">
        <x:v>46650</x:v>
      </x:c>
      <x:c r="E2937" s="20" t="str">
        <x:v>P017</x:v>
      </x:c>
      <x:c r="F2937" s="20" t="str"/>
      <x:c r="G2937" s="20" t="str"/>
      <x:c r="H2937" s="20" t="str">
        <x:v>5040 Mortgage Interest</x:v>
      </x:c>
      <x:c r="I2937" s="26" t="n">
        <x:v>767</x:v>
      </x:c>
      <x:c r="J2937" s="26" t="n">
        <x:v>0</x:v>
      </x:c>
      <x:c r="K2937" s="35" t="str">
        <x:v>LN017 scheduled payment</x:v>
      </x:c>
    </x:row>
    <x:row r="2938">
      <x:c r="A2938" s="20" t="str">
        <x:v>FIN-01379</x:v>
      </x:c>
      <x:c r="B2938" s="32" t="n">
        <x:v>3</x:v>
      </x:c>
      <x:c r="C2938" s="23" t="n">
        <x:v>46650</x:v>
      </x:c>
      <x:c r="D2938" s="23" t="n">
        <x:v>46650</x:v>
      </x:c>
      <x:c r="E2938" s="20" t="str">
        <x:v>P017</x:v>
      </x:c>
      <x:c r="F2938" s="20" t="str"/>
      <x:c r="G2938" s="20" t="str"/>
      <x:c r="H2938" s="20" t="str">
        <x:v>1000 Operating Cash</x:v>
      </x:c>
      <x:c r="I2938" s="26" t="n">
        <x:v>0</x:v>
      </x:c>
      <x:c r="J2938" s="26" t="n">
        <x:v>1374</x:v>
      </x:c>
      <x:c r="K2938" s="35" t="str">
        <x:v>LN017 scheduled payment</x:v>
      </x:c>
    </x:row>
    <x:row r="2939">
      <x:c r="A2939" s="20" t="str">
        <x:v>FIN-01380</x:v>
      </x:c>
      <x:c r="B2939" s="32" t="n">
        <x:v>1</x:v>
      </x:c>
      <x:c r="C2939" s="23" t="n">
        <x:v>46650</x:v>
      </x:c>
      <x:c r="D2939" s="23" t="n">
        <x:v>46650</x:v>
      </x:c>
      <x:c r="E2939" s="20" t="str">
        <x:v>P019</x:v>
      </x:c>
      <x:c r="F2939" s="20" t="str"/>
      <x:c r="G2939" s="20" t="str"/>
      <x:c r="H2939" s="20" t="str">
        <x:v>2200 Mortgage Loans Payable</x:v>
      </x:c>
      <x:c r="I2939" s="26" t="n">
        <x:v>629</x:v>
      </x:c>
      <x:c r="J2939" s="26" t="n">
        <x:v>0</x:v>
      </x:c>
      <x:c r="K2939" s="35" t="str">
        <x:v>LN019 scheduled payment</x:v>
      </x:c>
    </x:row>
    <x:row r="2940">
      <x:c r="A2940" s="20" t="str">
        <x:v>FIN-01380</x:v>
      </x:c>
      <x:c r="B2940" s="32" t="n">
        <x:v>2</x:v>
      </x:c>
      <x:c r="C2940" s="23" t="n">
        <x:v>46650</x:v>
      </x:c>
      <x:c r="D2940" s="23" t="n">
        <x:v>46650</x:v>
      </x:c>
      <x:c r="E2940" s="20" t="str">
        <x:v>P019</x:v>
      </x:c>
      <x:c r="F2940" s="20" t="str"/>
      <x:c r="G2940" s="20" t="str"/>
      <x:c r="H2940" s="20" t="str">
        <x:v>5040 Mortgage Interest</x:v>
      </x:c>
      <x:c r="I2940" s="26" t="n">
        <x:v>793</x:v>
      </x:c>
      <x:c r="J2940" s="26" t="n">
        <x:v>0</x:v>
      </x:c>
      <x:c r="K2940" s="35" t="str">
        <x:v>LN019 scheduled payment</x:v>
      </x:c>
    </x:row>
    <x:row r="2941">
      <x:c r="A2941" s="20" t="str">
        <x:v>FIN-01380</x:v>
      </x:c>
      <x:c r="B2941" s="32" t="n">
        <x:v>3</x:v>
      </x:c>
      <x:c r="C2941" s="23" t="n">
        <x:v>46650</x:v>
      </x:c>
      <x:c r="D2941" s="23" t="n">
        <x:v>46650</x:v>
      </x:c>
      <x:c r="E2941" s="20" t="str">
        <x:v>P019</x:v>
      </x:c>
      <x:c r="F2941" s="20" t="str"/>
      <x:c r="G2941" s="20" t="str"/>
      <x:c r="H2941" s="20" t="str">
        <x:v>1000 Operating Cash</x:v>
      </x:c>
      <x:c r="I2941" s="26" t="n">
        <x:v>0</x:v>
      </x:c>
      <x:c r="J2941" s="26" t="n">
        <x:v>1422</x:v>
      </x:c>
      <x:c r="K2941" s="35" t="str">
        <x:v>LN019 scheduled payment</x:v>
      </x:c>
    </x:row>
    <x:row r="2942">
      <x:c r="A2942" s="20" t="str">
        <x:v>FIN-01381</x:v>
      </x:c>
      <x:c r="B2942" s="32" t="n">
        <x:v>1</x:v>
      </x:c>
      <x:c r="C2942" s="23" t="n">
        <x:v>46650</x:v>
      </x:c>
      <x:c r="D2942" s="23" t="n">
        <x:v>46650</x:v>
      </x:c>
      <x:c r="E2942" s="20" t="str">
        <x:v>P020</x:v>
      </x:c>
      <x:c r="F2942" s="20" t="str"/>
      <x:c r="G2942" s="20" t="str"/>
      <x:c r="H2942" s="20" t="str">
        <x:v>2200 Mortgage Loans Payable</x:v>
      </x:c>
      <x:c r="I2942" s="26" t="n">
        <x:v>640</x:v>
      </x:c>
      <x:c r="J2942" s="26" t="n">
        <x:v>0</x:v>
      </x:c>
      <x:c r="K2942" s="35" t="str">
        <x:v>LN020 scheduled payment</x:v>
      </x:c>
    </x:row>
    <x:row r="2943">
      <x:c r="A2943" s="20" t="str">
        <x:v>FIN-01381</x:v>
      </x:c>
      <x:c r="B2943" s="32" t="n">
        <x:v>2</x:v>
      </x:c>
      <x:c r="C2943" s="23" t="n">
        <x:v>46650</x:v>
      </x:c>
      <x:c r="D2943" s="23" t="n">
        <x:v>46650</x:v>
      </x:c>
      <x:c r="E2943" s="20" t="str">
        <x:v>P020</x:v>
      </x:c>
      <x:c r="F2943" s="20" t="str"/>
      <x:c r="G2943" s="20" t="str"/>
      <x:c r="H2943" s="20" t="str">
        <x:v>5040 Mortgage Interest</x:v>
      </x:c>
      <x:c r="I2943" s="26" t="n">
        <x:v>806</x:v>
      </x:c>
      <x:c r="J2943" s="26" t="n">
        <x:v>0</x:v>
      </x:c>
      <x:c r="K2943" s="35" t="str">
        <x:v>LN020 scheduled payment</x:v>
      </x:c>
    </x:row>
    <x:row r="2944">
      <x:c r="A2944" s="20" t="str">
        <x:v>FIN-01381</x:v>
      </x:c>
      <x:c r="B2944" s="32" t="n">
        <x:v>3</x:v>
      </x:c>
      <x:c r="C2944" s="23" t="n">
        <x:v>46650</x:v>
      </x:c>
      <x:c r="D2944" s="23" t="n">
        <x:v>46650</x:v>
      </x:c>
      <x:c r="E2944" s="20" t="str">
        <x:v>P020</x:v>
      </x:c>
      <x:c r="F2944" s="20" t="str"/>
      <x:c r="G2944" s="20" t="str"/>
      <x:c r="H2944" s="20" t="str">
        <x:v>1000 Operating Cash</x:v>
      </x:c>
      <x:c r="I2944" s="26" t="n">
        <x:v>0</x:v>
      </x:c>
      <x:c r="J2944" s="26" t="n">
        <x:v>1446</x:v>
      </x:c>
      <x:c r="K2944" s="35" t="str">
        <x:v>LN020 scheduled payment</x:v>
      </x:c>
    </x:row>
    <x:row r="2945">
      <x:c r="A2945" s="20" t="str">
        <x:v>FIN-01382</x:v>
      </x:c>
      <x:c r="B2945" s="32" t="n">
        <x:v>1</x:v>
      </x:c>
      <x:c r="C2945" s="23" t="n">
        <x:v>46650</x:v>
      </x:c>
      <x:c r="D2945" s="23" t="n">
        <x:v>46650</x:v>
      </x:c>
      <x:c r="E2945" s="20" t="str">
        <x:v>P022</x:v>
      </x:c>
      <x:c r="F2945" s="20" t="str"/>
      <x:c r="G2945" s="20" t="str"/>
      <x:c r="H2945" s="20" t="str">
        <x:v>2200 Mortgage Loans Payable</x:v>
      </x:c>
      <x:c r="I2945" s="26" t="n">
        <x:v>662</x:v>
      </x:c>
      <x:c r="J2945" s="26" t="n">
        <x:v>0</x:v>
      </x:c>
      <x:c r="K2945" s="35" t="str">
        <x:v>LN022 scheduled payment</x:v>
      </x:c>
    </x:row>
    <x:row r="2946">
      <x:c r="A2946" s="20" t="str">
        <x:v>FIN-01382</x:v>
      </x:c>
      <x:c r="B2946" s="32" t="n">
        <x:v>2</x:v>
      </x:c>
      <x:c r="C2946" s="23" t="n">
        <x:v>46650</x:v>
      </x:c>
      <x:c r="D2946" s="23" t="n">
        <x:v>46650</x:v>
      </x:c>
      <x:c r="E2946" s="20" t="str">
        <x:v>P022</x:v>
      </x:c>
      <x:c r="F2946" s="20" t="str"/>
      <x:c r="G2946" s="20" t="str"/>
      <x:c r="H2946" s="20" t="str">
        <x:v>5040 Mortgage Interest</x:v>
      </x:c>
      <x:c r="I2946" s="26" t="n">
        <x:v>832</x:v>
      </x:c>
      <x:c r="J2946" s="26" t="n">
        <x:v>0</x:v>
      </x:c>
      <x:c r="K2946" s="35" t="str">
        <x:v>LN022 scheduled payment</x:v>
      </x:c>
    </x:row>
    <x:row r="2947">
      <x:c r="A2947" s="20" t="str">
        <x:v>FIN-01382</x:v>
      </x:c>
      <x:c r="B2947" s="32" t="n">
        <x:v>3</x:v>
      </x:c>
      <x:c r="C2947" s="23" t="n">
        <x:v>46650</x:v>
      </x:c>
      <x:c r="D2947" s="23" t="n">
        <x:v>46650</x:v>
      </x:c>
      <x:c r="E2947" s="20" t="str">
        <x:v>P022</x:v>
      </x:c>
      <x:c r="F2947" s="20" t="str"/>
      <x:c r="G2947" s="20" t="str"/>
      <x:c r="H2947" s="20" t="str">
        <x:v>1000 Operating Cash</x:v>
      </x:c>
      <x:c r="I2947" s="26" t="n">
        <x:v>0</x:v>
      </x:c>
      <x:c r="J2947" s="26" t="n">
        <x:v>1494</x:v>
      </x:c>
      <x:c r="K2947" s="35" t="str">
        <x:v>LN022 scheduled payment</x:v>
      </x:c>
    </x:row>
    <x:row r="2948">
      <x:c r="A2948" s="20" t="str">
        <x:v>FIN-01383</x:v>
      </x:c>
      <x:c r="B2948" s="32" t="n">
        <x:v>1</x:v>
      </x:c>
      <x:c r="C2948" s="23" t="n">
        <x:v>46650</x:v>
      </x:c>
      <x:c r="D2948" s="23" t="n">
        <x:v>46650</x:v>
      </x:c>
      <x:c r="E2948" s="20" t="str">
        <x:v>P023</x:v>
      </x:c>
      <x:c r="F2948" s="20" t="str"/>
      <x:c r="G2948" s="20" t="str"/>
      <x:c r="H2948" s="20" t="str">
        <x:v>2200 Mortgage Loans Payable</x:v>
      </x:c>
      <x:c r="I2948" s="26" t="n">
        <x:v>673</x:v>
      </x:c>
      <x:c r="J2948" s="26" t="n">
        <x:v>0</x:v>
      </x:c>
      <x:c r="K2948" s="35" t="str">
        <x:v>LN023 scheduled payment</x:v>
      </x:c>
    </x:row>
    <x:row r="2949">
      <x:c r="A2949" s="20" t="str">
        <x:v>FIN-01383</x:v>
      </x:c>
      <x:c r="B2949" s="32" t="n">
        <x:v>2</x:v>
      </x:c>
      <x:c r="C2949" s="23" t="n">
        <x:v>46650</x:v>
      </x:c>
      <x:c r="D2949" s="23" t="n">
        <x:v>46650</x:v>
      </x:c>
      <x:c r="E2949" s="20" t="str">
        <x:v>P023</x:v>
      </x:c>
      <x:c r="F2949" s="20" t="str"/>
      <x:c r="G2949" s="20" t="str"/>
      <x:c r="H2949" s="20" t="str">
        <x:v>5040 Mortgage Interest</x:v>
      </x:c>
      <x:c r="I2949" s="26" t="n">
        <x:v>845</x:v>
      </x:c>
      <x:c r="J2949" s="26" t="n">
        <x:v>0</x:v>
      </x:c>
      <x:c r="K2949" s="35" t="str">
        <x:v>LN023 scheduled payment</x:v>
      </x:c>
    </x:row>
    <x:row r="2950">
      <x:c r="A2950" s="20" t="str">
        <x:v>FIN-01383</x:v>
      </x:c>
      <x:c r="B2950" s="32" t="n">
        <x:v>3</x:v>
      </x:c>
      <x:c r="C2950" s="23" t="n">
        <x:v>46650</x:v>
      </x:c>
      <x:c r="D2950" s="23" t="n">
        <x:v>46650</x:v>
      </x:c>
      <x:c r="E2950" s="20" t="str">
        <x:v>P023</x:v>
      </x:c>
      <x:c r="F2950" s="20" t="str"/>
      <x:c r="G2950" s="20" t="str"/>
      <x:c r="H2950" s="20" t="str">
        <x:v>1000 Operating Cash</x:v>
      </x:c>
      <x:c r="I2950" s="26" t="n">
        <x:v>0</x:v>
      </x:c>
      <x:c r="J2950" s="26" t="n">
        <x:v>1518</x:v>
      </x:c>
      <x:c r="K2950" s="35" t="str">
        <x:v>LN023 scheduled payment</x:v>
      </x:c>
    </x:row>
    <x:row r="2951">
      <x:c r="A2951" s="20" t="str">
        <x:v>FIN-01384</x:v>
      </x:c>
      <x:c r="B2951" s="32" t="n">
        <x:v>1</x:v>
      </x:c>
      <x:c r="C2951" s="23" t="n">
        <x:v>46650</x:v>
      </x:c>
      <x:c r="D2951" s="23" t="n">
        <x:v>46650</x:v>
      </x:c>
      <x:c r="E2951" s="20" t="str">
        <x:v>P025</x:v>
      </x:c>
      <x:c r="F2951" s="20" t="str"/>
      <x:c r="G2951" s="20" t="str"/>
      <x:c r="H2951" s="20" t="str">
        <x:v>2200 Mortgage Loans Payable</x:v>
      </x:c>
      <x:c r="I2951" s="26" t="n">
        <x:v>695</x:v>
      </x:c>
      <x:c r="J2951" s="26" t="n">
        <x:v>0</x:v>
      </x:c>
      <x:c r="K2951" s="35" t="str">
        <x:v>LN025 scheduled payment</x:v>
      </x:c>
    </x:row>
    <x:row r="2952">
      <x:c r="A2952" s="20" t="str">
        <x:v>FIN-01384</x:v>
      </x:c>
      <x:c r="B2952" s="32" t="n">
        <x:v>2</x:v>
      </x:c>
      <x:c r="C2952" s="23" t="n">
        <x:v>46650</x:v>
      </x:c>
      <x:c r="D2952" s="23" t="n">
        <x:v>46650</x:v>
      </x:c>
      <x:c r="E2952" s="20" t="str">
        <x:v>P025</x:v>
      </x:c>
      <x:c r="F2952" s="20" t="str"/>
      <x:c r="G2952" s="20" t="str"/>
      <x:c r="H2952" s="20" t="str">
        <x:v>5040 Mortgage Interest</x:v>
      </x:c>
      <x:c r="I2952" s="26" t="n">
        <x:v>871</x:v>
      </x:c>
      <x:c r="J2952" s="26" t="n">
        <x:v>0</x:v>
      </x:c>
      <x:c r="K2952" s="35" t="str">
        <x:v>LN025 scheduled payment</x:v>
      </x:c>
    </x:row>
    <x:row r="2953">
      <x:c r="A2953" s="20" t="str">
        <x:v>FIN-01384</x:v>
      </x:c>
      <x:c r="B2953" s="32" t="n">
        <x:v>3</x:v>
      </x:c>
      <x:c r="C2953" s="23" t="n">
        <x:v>46650</x:v>
      </x:c>
      <x:c r="D2953" s="23" t="n">
        <x:v>46650</x:v>
      </x:c>
      <x:c r="E2953" s="20" t="str">
        <x:v>P025</x:v>
      </x:c>
      <x:c r="F2953" s="20" t="str"/>
      <x:c r="G2953" s="20" t="str"/>
      <x:c r="H2953" s="20" t="str">
        <x:v>1000 Operating Cash</x:v>
      </x:c>
      <x:c r="I2953" s="26" t="n">
        <x:v>0</x:v>
      </x:c>
      <x:c r="J2953" s="26" t="n">
        <x:v>1566</x:v>
      </x:c>
      <x:c r="K2953" s="35" t="str">
        <x:v>LN025 scheduled payment</x:v>
      </x:c>
    </x:row>
    <x:row r="2954">
      <x:c r="A2954" s="20" t="str">
        <x:v>FIN-01385</x:v>
      </x:c>
      <x:c r="B2954" s="32" t="n">
        <x:v>1</x:v>
      </x:c>
      <x:c r="C2954" s="23" t="n">
        <x:v>46650</x:v>
      </x:c>
      <x:c r="D2954" s="23" t="n">
        <x:v>46650</x:v>
      </x:c>
      <x:c r="E2954" s="20" t="str">
        <x:v>P026</x:v>
      </x:c>
      <x:c r="F2954" s="20" t="str"/>
      <x:c r="G2954" s="20" t="str"/>
      <x:c r="H2954" s="20" t="str">
        <x:v>2200 Mortgage Loans Payable</x:v>
      </x:c>
      <x:c r="I2954" s="26" t="n">
        <x:v>706</x:v>
      </x:c>
      <x:c r="J2954" s="26" t="n">
        <x:v>0</x:v>
      </x:c>
      <x:c r="K2954" s="35" t="str">
        <x:v>LN026 scheduled payment</x:v>
      </x:c>
    </x:row>
    <x:row r="2955">
      <x:c r="A2955" s="20" t="str">
        <x:v>FIN-01385</x:v>
      </x:c>
      <x:c r="B2955" s="32" t="n">
        <x:v>2</x:v>
      </x:c>
      <x:c r="C2955" s="23" t="n">
        <x:v>46650</x:v>
      </x:c>
      <x:c r="D2955" s="23" t="n">
        <x:v>46650</x:v>
      </x:c>
      <x:c r="E2955" s="20" t="str">
        <x:v>P026</x:v>
      </x:c>
      <x:c r="F2955" s="20" t="str"/>
      <x:c r="G2955" s="20" t="str"/>
      <x:c r="H2955" s="20" t="str">
        <x:v>5040 Mortgage Interest</x:v>
      </x:c>
      <x:c r="I2955" s="26" t="n">
        <x:v>884</x:v>
      </x:c>
      <x:c r="J2955" s="26" t="n">
        <x:v>0</x:v>
      </x:c>
      <x:c r="K2955" s="35" t="str">
        <x:v>LN026 scheduled payment</x:v>
      </x:c>
    </x:row>
    <x:row r="2956">
      <x:c r="A2956" s="20" t="str">
        <x:v>FIN-01385</x:v>
      </x:c>
      <x:c r="B2956" s="32" t="n">
        <x:v>3</x:v>
      </x:c>
      <x:c r="C2956" s="23" t="n">
        <x:v>46650</x:v>
      </x:c>
      <x:c r="D2956" s="23" t="n">
        <x:v>46650</x:v>
      </x:c>
      <x:c r="E2956" s="20" t="str">
        <x:v>P026</x:v>
      </x:c>
      <x:c r="F2956" s="20" t="str"/>
      <x:c r="G2956" s="20" t="str"/>
      <x:c r="H2956" s="20" t="str">
        <x:v>1000 Operating Cash</x:v>
      </x:c>
      <x:c r="I2956" s="26" t="n">
        <x:v>0</x:v>
      </x:c>
      <x:c r="J2956" s="26" t="n">
        <x:v>1590</x:v>
      </x:c>
      <x:c r="K2956" s="35" t="str">
        <x:v>LN026 scheduled payment</x:v>
      </x:c>
    </x:row>
    <x:row r="2957">
      <x:c r="A2957" s="20" t="str">
        <x:v>FIN-01386</x:v>
      </x:c>
      <x:c r="B2957" s="32" t="n">
        <x:v>1</x:v>
      </x:c>
      <x:c r="C2957" s="23" t="n">
        <x:v>46650</x:v>
      </x:c>
      <x:c r="D2957" s="23" t="n">
        <x:v>46650</x:v>
      </x:c>
      <x:c r="E2957" s="20" t="str">
        <x:v>P028</x:v>
      </x:c>
      <x:c r="F2957" s="20" t="str"/>
      <x:c r="G2957" s="20" t="str"/>
      <x:c r="H2957" s="20" t="str">
        <x:v>2200 Mortgage Loans Payable</x:v>
      </x:c>
      <x:c r="I2957" s="26" t="n">
        <x:v>728</x:v>
      </x:c>
      <x:c r="J2957" s="26" t="n">
        <x:v>0</x:v>
      </x:c>
      <x:c r="K2957" s="35" t="str">
        <x:v>LN028 scheduled payment</x:v>
      </x:c>
    </x:row>
    <x:row r="2958">
      <x:c r="A2958" s="20" t="str">
        <x:v>FIN-01386</x:v>
      </x:c>
      <x:c r="B2958" s="32" t="n">
        <x:v>2</x:v>
      </x:c>
      <x:c r="C2958" s="23" t="n">
        <x:v>46650</x:v>
      </x:c>
      <x:c r="D2958" s="23" t="n">
        <x:v>46650</x:v>
      </x:c>
      <x:c r="E2958" s="20" t="str">
        <x:v>P028</x:v>
      </x:c>
      <x:c r="F2958" s="20" t="str"/>
      <x:c r="G2958" s="20" t="str"/>
      <x:c r="H2958" s="20" t="str">
        <x:v>5040 Mortgage Interest</x:v>
      </x:c>
      <x:c r="I2958" s="26" t="n">
        <x:v>910</x:v>
      </x:c>
      <x:c r="J2958" s="26" t="n">
        <x:v>0</x:v>
      </x:c>
      <x:c r="K2958" s="35" t="str">
        <x:v>LN028 scheduled payment</x:v>
      </x:c>
    </x:row>
    <x:row r="2959">
      <x:c r="A2959" s="20" t="str">
        <x:v>FIN-01386</x:v>
      </x:c>
      <x:c r="B2959" s="32" t="n">
        <x:v>3</x:v>
      </x:c>
      <x:c r="C2959" s="23" t="n">
        <x:v>46650</x:v>
      </x:c>
      <x:c r="D2959" s="23" t="n">
        <x:v>46650</x:v>
      </x:c>
      <x:c r="E2959" s="20" t="str">
        <x:v>P028</x:v>
      </x:c>
      <x:c r="F2959" s="20" t="str"/>
      <x:c r="G2959" s="20" t="str"/>
      <x:c r="H2959" s="20" t="str">
        <x:v>1000 Operating Cash</x:v>
      </x:c>
      <x:c r="I2959" s="26" t="n">
        <x:v>0</x:v>
      </x:c>
      <x:c r="J2959" s="26" t="n">
        <x:v>1638</x:v>
      </x:c>
      <x:c r="K2959" s="35" t="str">
        <x:v>LN028 scheduled payment</x:v>
      </x:c>
    </x:row>
    <x:row r="2960">
      <x:c r="A2960" s="20" t="str">
        <x:v>FIN-01387</x:v>
      </x:c>
      <x:c r="B2960" s="32" t="n">
        <x:v>1</x:v>
      </x:c>
      <x:c r="C2960" s="23" t="n">
        <x:v>46650</x:v>
      </x:c>
      <x:c r="D2960" s="23" t="n">
        <x:v>46650</x:v>
      </x:c>
      <x:c r="E2960" s="20" t="str">
        <x:v>P029</x:v>
      </x:c>
      <x:c r="F2960" s="20" t="str"/>
      <x:c r="G2960" s="20" t="str"/>
      <x:c r="H2960" s="20" t="str">
        <x:v>2200 Mortgage Loans Payable</x:v>
      </x:c>
      <x:c r="I2960" s="26" t="n">
        <x:v>739</x:v>
      </x:c>
      <x:c r="J2960" s="26" t="n">
        <x:v>0</x:v>
      </x:c>
      <x:c r="K2960" s="35" t="str">
        <x:v>LN029 scheduled payment</x:v>
      </x:c>
    </x:row>
    <x:row r="2961">
      <x:c r="A2961" s="20" t="str">
        <x:v>FIN-01387</x:v>
      </x:c>
      <x:c r="B2961" s="32" t="n">
        <x:v>2</x:v>
      </x:c>
      <x:c r="C2961" s="23" t="n">
        <x:v>46650</x:v>
      </x:c>
      <x:c r="D2961" s="23" t="n">
        <x:v>46650</x:v>
      </x:c>
      <x:c r="E2961" s="20" t="str">
        <x:v>P029</x:v>
      </x:c>
      <x:c r="F2961" s="20" t="str"/>
      <x:c r="G2961" s="20" t="str"/>
      <x:c r="H2961" s="20" t="str">
        <x:v>5040 Mortgage Interest</x:v>
      </x:c>
      <x:c r="I2961" s="26" t="n">
        <x:v>923</x:v>
      </x:c>
      <x:c r="J2961" s="26" t="n">
        <x:v>0</x:v>
      </x:c>
      <x:c r="K2961" s="35" t="str">
        <x:v>LN029 scheduled payment</x:v>
      </x:c>
    </x:row>
    <x:row r="2962">
      <x:c r="A2962" s="20" t="str">
        <x:v>FIN-01387</x:v>
      </x:c>
      <x:c r="B2962" s="32" t="n">
        <x:v>3</x:v>
      </x:c>
      <x:c r="C2962" s="23" t="n">
        <x:v>46650</x:v>
      </x:c>
      <x:c r="D2962" s="23" t="n">
        <x:v>46650</x:v>
      </x:c>
      <x:c r="E2962" s="20" t="str">
        <x:v>P029</x:v>
      </x:c>
      <x:c r="F2962" s="20" t="str"/>
      <x:c r="G2962" s="20" t="str"/>
      <x:c r="H2962" s="20" t="str">
        <x:v>1000 Operating Cash</x:v>
      </x:c>
      <x:c r="I2962" s="26" t="n">
        <x:v>0</x:v>
      </x:c>
      <x:c r="J2962" s="26" t="n">
        <x:v>1662</x:v>
      </x:c>
      <x:c r="K2962" s="35" t="str">
        <x:v>LN029 scheduled payment</x:v>
      </x:c>
    </x:row>
    <x:row r="2963">
      <x:c r="A2963" s="20" t="str">
        <x:v>FIN-01388</x:v>
      </x:c>
      <x:c r="B2963" s="32" t="n">
        <x:v>1</x:v>
      </x:c>
      <x:c r="C2963" s="23" t="n">
        <x:v>46655</x:v>
      </x:c>
      <x:c r="D2963" s="23" t="n">
        <x:v>46655</x:v>
      </x:c>
      <x:c r="E2963" s="20" t="str"/>
      <x:c r="F2963" s="20" t="str"/>
      <x:c r="G2963" s="20" t="str"/>
      <x:c r="H2963" s="20" t="str">
        <x:v>3100 Owner Distributions</x:v>
      </x:c>
      <x:c r="I2963" s="26" t="n">
        <x:v>2850</x:v>
      </x:c>
      <x:c r="J2963" s="26" t="n">
        <x:v>0</x:v>
      </x:c>
      <x:c r="K2963" s="35" t="str">
        <x:v>Monthly distribution to Blue Door Residential LLC</x:v>
      </x:c>
    </x:row>
    <x:row r="2964">
      <x:c r="A2964" s="20" t="str">
        <x:v>FIN-01388</x:v>
      </x:c>
      <x:c r="B2964" s="32" t="n">
        <x:v>2</x:v>
      </x:c>
      <x:c r="C2964" s="23" t="n">
        <x:v>46655</x:v>
      </x:c>
      <x:c r="D2964" s="23" t="n">
        <x:v>46655</x:v>
      </x:c>
      <x:c r="E2964" s="20" t="str"/>
      <x:c r="F2964" s="20" t="str"/>
      <x:c r="G2964" s="20" t="str"/>
      <x:c r="H2964" s="20" t="str">
        <x:v>1000 Operating Cash</x:v>
      </x:c>
      <x:c r="I2964" s="26" t="n">
        <x:v>0</x:v>
      </x:c>
      <x:c r="J2964" s="26" t="n">
        <x:v>2850</x:v>
      </x:c>
      <x:c r="K2964" s="35" t="str">
        <x:v>Monthly distribution to Blue Door Residential LLC</x:v>
      </x:c>
    </x:row>
    <x:row r="2965">
      <x:c r="A2965" s="20" t="str">
        <x:v>FIN-01389</x:v>
      </x:c>
      <x:c r="B2965" s="32" t="n">
        <x:v>1</x:v>
      </x:c>
      <x:c r="C2965" s="23" t="n">
        <x:v>46655</x:v>
      </x:c>
      <x:c r="D2965" s="23" t="n">
        <x:v>46655</x:v>
      </x:c>
      <x:c r="E2965" s="20" t="str"/>
      <x:c r="F2965" s="20" t="str"/>
      <x:c r="G2965" s="20" t="str"/>
      <x:c r="H2965" s="20" t="str">
        <x:v>3100 Owner Distributions</x:v>
      </x:c>
      <x:c r="I2965" s="26" t="n">
        <x:v>3200</x:v>
      </x:c>
      <x:c r="J2965" s="26" t="n">
        <x:v>0</x:v>
      </x:c>
      <x:c r="K2965" s="35" t="str">
        <x:v>Monthly distribution to Coble Family Rentals LLC</x:v>
      </x:c>
    </x:row>
    <x:row r="2966">
      <x:c r="A2966" s="20" t="str">
        <x:v>FIN-01389</x:v>
      </x:c>
      <x:c r="B2966" s="32" t="n">
        <x:v>2</x:v>
      </x:c>
      <x:c r="C2966" s="23" t="n">
        <x:v>46655</x:v>
      </x:c>
      <x:c r="D2966" s="23" t="n">
        <x:v>46655</x:v>
      </x:c>
      <x:c r="E2966" s="20" t="str"/>
      <x:c r="F2966" s="20" t="str"/>
      <x:c r="G2966" s="20" t="str"/>
      <x:c r="H2966" s="20" t="str">
        <x:v>1000 Operating Cash</x:v>
      </x:c>
      <x:c r="I2966" s="26" t="n">
        <x:v>0</x:v>
      </x:c>
      <x:c r="J2966" s="26" t="n">
        <x:v>3200</x:v>
      </x:c>
      <x:c r="K2966" s="35" t="str">
        <x:v>Monthly distribution to Coble Family Rentals LLC</x:v>
      </x:c>
    </x:row>
    <x:row r="2967">
      <x:c r="A2967" s="20" t="str">
        <x:v>FIN-01390</x:v>
      </x:c>
      <x:c r="B2967" s="32" t="n">
        <x:v>1</x:v>
      </x:c>
      <x:c r="C2967" s="23" t="n">
        <x:v>46655</x:v>
      </x:c>
      <x:c r="D2967" s="23" t="n">
        <x:v>46655</x:v>
      </x:c>
      <x:c r="E2967" s="20" t="str"/>
      <x:c r="F2967" s="20" t="str"/>
      <x:c r="G2967" s="20" t="str"/>
      <x:c r="H2967" s="20" t="str">
        <x:v>3100 Owner Distributions</x:v>
      </x:c>
      <x:c r="I2967" s="26" t="n">
        <x:v>3550</x:v>
      </x:c>
      <x:c r="J2967" s="26" t="n">
        <x:v>0</x:v>
      </x:c>
      <x:c r="K2967" s="35" t="str">
        <x:v>Monthly distribution to Northstar Property Partners LLC</x:v>
      </x:c>
    </x:row>
    <x:row r="2968">
      <x:c r="A2968" s="20" t="str">
        <x:v>FIN-01390</x:v>
      </x:c>
      <x:c r="B2968" s="32" t="n">
        <x:v>2</x:v>
      </x:c>
      <x:c r="C2968" s="23" t="n">
        <x:v>46655</x:v>
      </x:c>
      <x:c r="D2968" s="23" t="n">
        <x:v>46655</x:v>
      </x:c>
      <x:c r="E2968" s="20" t="str"/>
      <x:c r="F2968" s="20" t="str"/>
      <x:c r="G2968" s="20" t="str"/>
      <x:c r="H2968" s="20" t="str">
        <x:v>1000 Operating Cash</x:v>
      </x:c>
      <x:c r="I2968" s="26" t="n">
        <x:v>0</x:v>
      </x:c>
      <x:c r="J2968" s="26" t="n">
        <x:v>3550</x:v>
      </x:c>
      <x:c r="K2968" s="35" t="str">
        <x:v>Monthly distribution to Northstar Property Partners LLC</x:v>
      </x:c>
    </x:row>
    <x:row r="2969">
      <x:c r="A2969" s="20" t="str">
        <x:v>FIN-01391</x:v>
      </x:c>
      <x:c r="B2969" s="32" t="n">
        <x:v>1</x:v>
      </x:c>
      <x:c r="C2969" s="23" t="n">
        <x:v>46655</x:v>
      </x:c>
      <x:c r="D2969" s="23" t="n">
        <x:v>46655</x:v>
      </x:c>
      <x:c r="E2969" s="20" t="str"/>
      <x:c r="F2969" s="20" t="str"/>
      <x:c r="G2969" s="20" t="str"/>
      <x:c r="H2969" s="20" t="str">
        <x:v>3100 Owner Distributions</x:v>
      </x:c>
      <x:c r="I2969" s="26" t="n">
        <x:v>3900</x:v>
      </x:c>
      <x:c r="J2969" s="26" t="n">
        <x:v>0</x:v>
      </x:c>
      <x:c r="K2969" s="35" t="str">
        <x:v>Monthly distribution to Riverbend Homes LLC</x:v>
      </x:c>
    </x:row>
    <x:row r="2970">
      <x:c r="A2970" s="20" t="str">
        <x:v>FIN-01391</x:v>
      </x:c>
      <x:c r="B2970" s="32" t="n">
        <x:v>2</x:v>
      </x:c>
      <x:c r="C2970" s="23" t="n">
        <x:v>46655</x:v>
      </x:c>
      <x:c r="D2970" s="23" t="n">
        <x:v>46655</x:v>
      </x:c>
      <x:c r="E2970" s="20" t="str"/>
      <x:c r="F2970" s="20" t="str"/>
      <x:c r="G2970" s="20" t="str"/>
      <x:c r="H2970" s="20" t="str">
        <x:v>1000 Operating Cash</x:v>
      </x:c>
      <x:c r="I2970" s="26" t="n">
        <x:v>0</x:v>
      </x:c>
      <x:c r="J2970" s="26" t="n">
        <x:v>3900</x:v>
      </x:c>
      <x:c r="K2970" s="35" t="str">
        <x:v>Monthly distribution to Riverbend Homes LLC</x:v>
      </x:c>
    </x:row>
    <x:row r="2971">
      <x:c r="A2971" s="20" t="str">
        <x:v>FIN-01392</x:v>
      </x:c>
      <x:c r="B2971" s="32" t="n">
        <x:v>1</x:v>
      </x:c>
      <x:c r="C2971" s="23" t="n">
        <x:v>46655</x:v>
      </x:c>
      <x:c r="D2971" s="23" t="n">
        <x:v>46655</x:v>
      </x:c>
      <x:c r="E2971" s="20" t="str"/>
      <x:c r="F2971" s="20" t="str"/>
      <x:c r="G2971" s="20" t="str"/>
      <x:c r="H2971" s="20" t="str">
        <x:v>3100 Owner Distributions</x:v>
      </x:c>
      <x:c r="I2971" s="26" t="n">
        <x:v>4250</x:v>
      </x:c>
      <x:c r="J2971" s="26" t="n">
        <x:v>0</x:v>
      </x:c>
      <x:c r="K2971" s="35" t="str">
        <x:v>Monthly distribution to Juniper Street Holdings LLC</x:v>
      </x:c>
    </x:row>
    <x:row r="2972">
      <x:c r="A2972" s="20" t="str">
        <x:v>FIN-01392</x:v>
      </x:c>
      <x:c r="B2972" s="32" t="n">
        <x:v>2</x:v>
      </x:c>
      <x:c r="C2972" s="23" t="n">
        <x:v>46655</x:v>
      </x:c>
      <x:c r="D2972" s="23" t="n">
        <x:v>46655</x:v>
      </x:c>
      <x:c r="E2972" s="20" t="str"/>
      <x:c r="F2972" s="20" t="str"/>
      <x:c r="G2972" s="20" t="str"/>
      <x:c r="H2972" s="20" t="str">
        <x:v>1000 Operating Cash</x:v>
      </x:c>
      <x:c r="I2972" s="26" t="n">
        <x:v>0</x:v>
      </x:c>
      <x:c r="J2972" s="26" t="n">
        <x:v>4250</x:v>
      </x:c>
      <x:c r="K2972" s="35" t="str">
        <x:v>Monthly distribution to Juniper Street Holdings LLC</x:v>
      </x:c>
    </x:row>
    <x:row r="2973">
      <x:c r="A2973" s="20" t="str">
        <x:v>FIN-01393</x:v>
      </x:c>
      <x:c r="B2973" s="32" t="n">
        <x:v>1</x:v>
      </x:c>
      <x:c r="C2973" s="23" t="n">
        <x:v>46660</x:v>
      </x:c>
      <x:c r="D2973" s="23" t="n">
        <x:v>46660</x:v>
      </x:c>
      <x:c r="E2973" s="20" t="str"/>
      <x:c r="F2973" s="20" t="str"/>
      <x:c r="G2973" s="20" t="str"/>
      <x:c r="H2973" s="20" t="str">
        <x:v>5090 Bank Fees</x:v>
      </x:c>
      <x:c r="I2973" s="26" t="n">
        <x:v>18</x:v>
      </x:c>
      <x:c r="J2973" s="26" t="n">
        <x:v>0</x:v>
      </x:c>
      <x:c r="K2973" s="35" t="str">
        <x:v>Quarterly account analysis fee</x:v>
      </x:c>
    </x:row>
    <x:row r="2974">
      <x:c r="A2974" s="20" t="str">
        <x:v>FIN-01393</x:v>
      </x:c>
      <x:c r="B2974" s="32" t="n">
        <x:v>2</x:v>
      </x:c>
      <x:c r="C2974" s="23" t="n">
        <x:v>46660</x:v>
      </x:c>
      <x:c r="D2974" s="23" t="n">
        <x:v>46660</x:v>
      </x:c>
      <x:c r="E2974" s="20" t="str"/>
      <x:c r="F2974" s="20" t="str"/>
      <x:c r="G2974" s="20" t="str"/>
      <x:c r="H2974" s="20" t="str">
        <x:v>1000 Operating Cash</x:v>
      </x:c>
      <x:c r="I2974" s="26" t="n">
        <x:v>0</x:v>
      </x:c>
      <x:c r="J2974" s="26" t="n">
        <x:v>18</x:v>
      </x:c>
      <x:c r="K2974" s="35" t="str">
        <x:v>Quarterly account analysis fee</x:v>
      </x:c>
    </x:row>
    <x:row r="2975">
      <x:c r="A2975" s="20" t="str">
        <x:v>FIN-01394</x:v>
      </x:c>
      <x:c r="B2975" s="32" t="n">
        <x:v>1</x:v>
      </x:c>
      <x:c r="C2975" s="23" t="n">
        <x:v>46675</x:v>
      </x:c>
      <x:c r="D2975" s="23" t="n">
        <x:v>46675</x:v>
      </x:c>
      <x:c r="E2975" s="20" t="str">
        <x:v>P021</x:v>
      </x:c>
      <x:c r="F2975" s="20" t="str"/>
      <x:c r="G2975" s="20" t="str"/>
      <x:c r="H2975" s="20" t="str">
        <x:v>5010 Utilities</x:v>
      </x:c>
      <x:c r="I2975" s="26" t="n">
        <x:v>145</x:v>
      </x:c>
      <x:c r="J2975" s="26" t="n">
        <x:v>0</x:v>
      </x:c>
      <x:c r="K2975" s="35" t="str">
        <x:v>City Water &amp; Sewer</x:v>
      </x:c>
    </x:row>
    <x:row r="2976">
      <x:c r="A2976" s="20" t="str">
        <x:v>FIN-01394</x:v>
      </x:c>
      <x:c r="B2976" s="32" t="n">
        <x:v>2</x:v>
      </x:c>
      <x:c r="C2976" s="23" t="n">
        <x:v>46675</x:v>
      </x:c>
      <x:c r="D2976" s="23" t="n">
        <x:v>46675</x:v>
      </x:c>
      <x:c r="E2976" s="20" t="str">
        <x:v>P021</x:v>
      </x:c>
      <x:c r="F2976" s="20" t="str"/>
      <x:c r="G2976" s="20" t="str"/>
      <x:c r="H2976" s="20" t="str">
        <x:v>1000 Operating Cash</x:v>
      </x:c>
      <x:c r="I2976" s="26" t="n">
        <x:v>0</x:v>
      </x:c>
      <x:c r="J2976" s="26" t="n">
        <x:v>145</x:v>
      </x:c>
      <x:c r="K2976" s="35" t="str">
        <x:v>City Water &amp; Sewer</x:v>
      </x:c>
    </x:row>
    <x:row r="2977">
      <x:c r="A2977" s="20" t="str">
        <x:v>FIN-01395</x:v>
      </x:c>
      <x:c r="B2977" s="32" t="n">
        <x:v>1</x:v>
      </x:c>
      <x:c r="C2977" s="23" t="n">
        <x:v>46675</x:v>
      </x:c>
      <x:c r="D2977" s="23" t="n">
        <x:v>46675</x:v>
      </x:c>
      <x:c r="E2977" s="20" t="str">
        <x:v>P022</x:v>
      </x:c>
      <x:c r="F2977" s="20" t="str"/>
      <x:c r="G2977" s="20" t="str"/>
      <x:c r="H2977" s="20" t="str">
        <x:v>5010 Utilities</x:v>
      </x:c>
      <x:c r="I2977" s="26" t="n">
        <x:v>152</x:v>
      </x:c>
      <x:c r="J2977" s="26" t="n">
        <x:v>0</x:v>
      </x:c>
      <x:c r="K2977" s="35" t="str">
        <x:v>City Water &amp; Sewer</x:v>
      </x:c>
    </x:row>
    <x:row r="2978">
      <x:c r="A2978" s="20" t="str">
        <x:v>FIN-01395</x:v>
      </x:c>
      <x:c r="B2978" s="32" t="n">
        <x:v>2</x:v>
      </x:c>
      <x:c r="C2978" s="23" t="n">
        <x:v>46675</x:v>
      </x:c>
      <x:c r="D2978" s="23" t="n">
        <x:v>46675</x:v>
      </x:c>
      <x:c r="E2978" s="20" t="str">
        <x:v>P022</x:v>
      </x:c>
      <x:c r="F2978" s="20" t="str"/>
      <x:c r="G2978" s="20" t="str"/>
      <x:c r="H2978" s="20" t="str">
        <x:v>1000 Operating Cash</x:v>
      </x:c>
      <x:c r="I2978" s="26" t="n">
        <x:v>0</x:v>
      </x:c>
      <x:c r="J2978" s="26" t="n">
        <x:v>152</x:v>
      </x:c>
      <x:c r="K2978" s="35" t="str">
        <x:v>City Water &amp; Sewer</x:v>
      </x:c>
    </x:row>
    <x:row r="2979">
      <x:c r="A2979" s="20" t="str">
        <x:v>FIN-01396</x:v>
      </x:c>
      <x:c r="B2979" s="32" t="n">
        <x:v>1</x:v>
      </x:c>
      <x:c r="C2979" s="23" t="n">
        <x:v>46675</x:v>
      </x:c>
      <x:c r="D2979" s="23" t="n">
        <x:v>46675</x:v>
      </x:c>
      <x:c r="E2979" s="20" t="str">
        <x:v>P023</x:v>
      </x:c>
      <x:c r="F2979" s="20" t="str"/>
      <x:c r="G2979" s="20" t="str"/>
      <x:c r="H2979" s="20" t="str">
        <x:v>5010 Utilities</x:v>
      </x:c>
      <x:c r="I2979" s="26" t="n">
        <x:v>159</x:v>
      </x:c>
      <x:c r="J2979" s="26" t="n">
        <x:v>0</x:v>
      </x:c>
      <x:c r="K2979" s="35" t="str">
        <x:v>City Water &amp; Sewer</x:v>
      </x:c>
    </x:row>
    <x:row r="2980">
      <x:c r="A2980" s="20" t="str">
        <x:v>FIN-01396</x:v>
      </x:c>
      <x:c r="B2980" s="32" t="n">
        <x:v>2</x:v>
      </x:c>
      <x:c r="C2980" s="23" t="n">
        <x:v>46675</x:v>
      </x:c>
      <x:c r="D2980" s="23" t="n">
        <x:v>46675</x:v>
      </x:c>
      <x:c r="E2980" s="20" t="str">
        <x:v>P023</x:v>
      </x:c>
      <x:c r="F2980" s="20" t="str"/>
      <x:c r="G2980" s="20" t="str"/>
      <x:c r="H2980" s="20" t="str">
        <x:v>1000 Operating Cash</x:v>
      </x:c>
      <x:c r="I2980" s="26" t="n">
        <x:v>0</x:v>
      </x:c>
      <x:c r="J2980" s="26" t="n">
        <x:v>159</x:v>
      </x:c>
      <x:c r="K2980" s="35" t="str">
        <x:v>City Water &amp; Sewer</x:v>
      </x:c>
    </x:row>
    <x:row r="2981">
      <x:c r="A2981" s="20" t="str">
        <x:v>FIN-01397</x:v>
      </x:c>
      <x:c r="B2981" s="32" t="n">
        <x:v>1</x:v>
      </x:c>
      <x:c r="C2981" s="23" t="n">
        <x:v>46675</x:v>
      </x:c>
      <x:c r="D2981" s="23" t="n">
        <x:v>46675</x:v>
      </x:c>
      <x:c r="E2981" s="20" t="str">
        <x:v>P024</x:v>
      </x:c>
      <x:c r="F2981" s="20" t="str"/>
      <x:c r="G2981" s="20" t="str"/>
      <x:c r="H2981" s="20" t="str">
        <x:v>5010 Utilities</x:v>
      </x:c>
      <x:c r="I2981" s="26" t="n">
        <x:v>166</x:v>
      </x:c>
      <x:c r="J2981" s="26" t="n">
        <x:v>0</x:v>
      </x:c>
      <x:c r="K2981" s="35" t="str">
        <x:v>City Water &amp; Sewer</x:v>
      </x:c>
    </x:row>
    <x:row r="2982">
      <x:c r="A2982" s="20" t="str">
        <x:v>FIN-01397</x:v>
      </x:c>
      <x:c r="B2982" s="32" t="n">
        <x:v>2</x:v>
      </x:c>
      <x:c r="C2982" s="23" t="n">
        <x:v>46675</x:v>
      </x:c>
      <x:c r="D2982" s="23" t="n">
        <x:v>46675</x:v>
      </x:c>
      <x:c r="E2982" s="20" t="str">
        <x:v>P024</x:v>
      </x:c>
      <x:c r="F2982" s="20" t="str"/>
      <x:c r="G2982" s="20" t="str"/>
      <x:c r="H2982" s="20" t="str">
        <x:v>1000 Operating Cash</x:v>
      </x:c>
      <x:c r="I2982" s="26" t="n">
        <x:v>0</x:v>
      </x:c>
      <x:c r="J2982" s="26" t="n">
        <x:v>166</x:v>
      </x:c>
      <x:c r="K2982" s="35" t="str">
        <x:v>City Water &amp; Sewer</x:v>
      </x:c>
    </x:row>
    <x:row r="2983">
      <x:c r="A2983" s="20" t="str">
        <x:v>FIN-01398</x:v>
      </x:c>
      <x:c r="B2983" s="32" t="n">
        <x:v>1</x:v>
      </x:c>
      <x:c r="C2983" s="23" t="n">
        <x:v>46675</x:v>
      </x:c>
      <x:c r="D2983" s="23" t="n">
        <x:v>46675</x:v>
      </x:c>
      <x:c r="E2983" s="20" t="str">
        <x:v>P025</x:v>
      </x:c>
      <x:c r="F2983" s="20" t="str"/>
      <x:c r="G2983" s="20" t="str"/>
      <x:c r="H2983" s="20" t="str">
        <x:v>5010 Utilities</x:v>
      </x:c>
      <x:c r="I2983" s="26" t="n">
        <x:v>173</x:v>
      </x:c>
      <x:c r="J2983" s="26" t="n">
        <x:v>0</x:v>
      </x:c>
      <x:c r="K2983" s="35" t="str">
        <x:v>City Water &amp; Sewer</x:v>
      </x:c>
    </x:row>
    <x:row r="2984">
      <x:c r="A2984" s="20" t="str">
        <x:v>FIN-01398</x:v>
      </x:c>
      <x:c r="B2984" s="32" t="n">
        <x:v>2</x:v>
      </x:c>
      <x:c r="C2984" s="23" t="n">
        <x:v>46675</x:v>
      </x:c>
      <x:c r="D2984" s="23" t="n">
        <x:v>46675</x:v>
      </x:c>
      <x:c r="E2984" s="20" t="str">
        <x:v>P025</x:v>
      </x:c>
      <x:c r="F2984" s="20" t="str"/>
      <x:c r="G2984" s="20" t="str"/>
      <x:c r="H2984" s="20" t="str">
        <x:v>1000 Operating Cash</x:v>
      </x:c>
      <x:c r="I2984" s="26" t="n">
        <x:v>0</x:v>
      </x:c>
      <x:c r="J2984" s="26" t="n">
        <x:v>173</x:v>
      </x:c>
      <x:c r="K2984" s="35" t="str">
        <x:v>City Water &amp; Sewer</x:v>
      </x:c>
    </x:row>
    <x:row r="2985">
      <x:c r="A2985" s="20" t="str">
        <x:v>FIN-01399</x:v>
      </x:c>
      <x:c r="B2985" s="32" t="n">
        <x:v>1</x:v>
      </x:c>
      <x:c r="C2985" s="23" t="n">
        <x:v>46675</x:v>
      </x:c>
      <x:c r="D2985" s="23" t="n">
        <x:v>46675</x:v>
      </x:c>
      <x:c r="E2985" s="20" t="str">
        <x:v>P026</x:v>
      </x:c>
      <x:c r="F2985" s="20" t="str"/>
      <x:c r="G2985" s="20" t="str"/>
      <x:c r="H2985" s="20" t="str">
        <x:v>5010 Utilities</x:v>
      </x:c>
      <x:c r="I2985" s="26" t="n">
        <x:v>180</x:v>
      </x:c>
      <x:c r="J2985" s="26" t="n">
        <x:v>0</x:v>
      </x:c>
      <x:c r="K2985" s="35" t="str">
        <x:v>City Water &amp; Sewer</x:v>
      </x:c>
    </x:row>
    <x:row r="2986">
      <x:c r="A2986" s="20" t="str">
        <x:v>FIN-01399</x:v>
      </x:c>
      <x:c r="B2986" s="32" t="n">
        <x:v>2</x:v>
      </x:c>
      <x:c r="C2986" s="23" t="n">
        <x:v>46675</x:v>
      </x:c>
      <x:c r="D2986" s="23" t="n">
        <x:v>46675</x:v>
      </x:c>
      <x:c r="E2986" s="20" t="str">
        <x:v>P026</x:v>
      </x:c>
      <x:c r="F2986" s="20" t="str"/>
      <x:c r="G2986" s="20" t="str"/>
      <x:c r="H2986" s="20" t="str">
        <x:v>1000 Operating Cash</x:v>
      </x:c>
      <x:c r="I2986" s="26" t="n">
        <x:v>0</x:v>
      </x:c>
      <x:c r="J2986" s="26" t="n">
        <x:v>180</x:v>
      </x:c>
      <x:c r="K2986" s="35" t="str">
        <x:v>City Water &amp; Sewer</x:v>
      </x:c>
    </x:row>
    <x:row r="2987">
      <x:c r="A2987" s="20" t="str">
        <x:v>FIN-01400</x:v>
      </x:c>
      <x:c r="B2987" s="32" t="n">
        <x:v>1</x:v>
      </x:c>
      <x:c r="C2987" s="23" t="n">
        <x:v>46675</x:v>
      </x:c>
      <x:c r="D2987" s="23" t="n">
        <x:v>46675</x:v>
      </x:c>
      <x:c r="E2987" s="20" t="str">
        <x:v>P027</x:v>
      </x:c>
      <x:c r="F2987" s="20" t="str"/>
      <x:c r="G2987" s="20" t="str"/>
      <x:c r="H2987" s="20" t="str">
        <x:v>5010 Utilities</x:v>
      </x:c>
      <x:c r="I2987" s="26" t="n">
        <x:v>187</x:v>
      </x:c>
      <x:c r="J2987" s="26" t="n">
        <x:v>0</x:v>
      </x:c>
      <x:c r="K2987" s="35" t="str">
        <x:v>City Water &amp; Sewer</x:v>
      </x:c>
    </x:row>
    <x:row r="2988">
      <x:c r="A2988" s="20" t="str">
        <x:v>FIN-01400</x:v>
      </x:c>
      <x:c r="B2988" s="32" t="n">
        <x:v>2</x:v>
      </x:c>
      <x:c r="C2988" s="23" t="n">
        <x:v>46675</x:v>
      </x:c>
      <x:c r="D2988" s="23" t="n">
        <x:v>46675</x:v>
      </x:c>
      <x:c r="E2988" s="20" t="str">
        <x:v>P027</x:v>
      </x:c>
      <x:c r="F2988" s="20" t="str"/>
      <x:c r="G2988" s="20" t="str"/>
      <x:c r="H2988" s="20" t="str">
        <x:v>1000 Operating Cash</x:v>
      </x:c>
      <x:c r="I2988" s="26" t="n">
        <x:v>0</x:v>
      </x:c>
      <x:c r="J2988" s="26" t="n">
        <x:v>187</x:v>
      </x:c>
      <x:c r="K2988" s="35" t="str">
        <x:v>City Water &amp; Sewer</x:v>
      </x:c>
    </x:row>
    <x:row r="2989">
      <x:c r="A2989" s="20" t="str">
        <x:v>FIN-01401</x:v>
      </x:c>
      <x:c r="B2989" s="32" t="n">
        <x:v>1</x:v>
      </x:c>
      <x:c r="C2989" s="23" t="n">
        <x:v>46675</x:v>
      </x:c>
      <x:c r="D2989" s="23" t="n">
        <x:v>46675</x:v>
      </x:c>
      <x:c r="E2989" s="20" t="str">
        <x:v>P028</x:v>
      </x:c>
      <x:c r="F2989" s="20" t="str"/>
      <x:c r="G2989" s="20" t="str"/>
      <x:c r="H2989" s="20" t="str">
        <x:v>5010 Utilities</x:v>
      </x:c>
      <x:c r="I2989" s="26" t="n">
        <x:v>194</x:v>
      </x:c>
      <x:c r="J2989" s="26" t="n">
        <x:v>0</x:v>
      </x:c>
      <x:c r="K2989" s="35" t="str">
        <x:v>City Water &amp; Sewer</x:v>
      </x:c>
    </x:row>
    <x:row r="2990">
      <x:c r="A2990" s="20" t="str">
        <x:v>FIN-01401</x:v>
      </x:c>
      <x:c r="B2990" s="32" t="n">
        <x:v>2</x:v>
      </x:c>
      <x:c r="C2990" s="23" t="n">
        <x:v>46675</x:v>
      </x:c>
      <x:c r="D2990" s="23" t="n">
        <x:v>46675</x:v>
      </x:c>
      <x:c r="E2990" s="20" t="str">
        <x:v>P028</x:v>
      </x:c>
      <x:c r="F2990" s="20" t="str"/>
      <x:c r="G2990" s="20" t="str"/>
      <x:c r="H2990" s="20" t="str">
        <x:v>1000 Operating Cash</x:v>
      </x:c>
      <x:c r="I2990" s="26" t="n">
        <x:v>0</x:v>
      </x:c>
      <x:c r="J2990" s="26" t="n">
        <x:v>194</x:v>
      </x:c>
      <x:c r="K2990" s="35" t="str">
        <x:v>City Water &amp; Sewer</x:v>
      </x:c>
    </x:row>
    <x:row r="2991">
      <x:c r="A2991" s="20" t="str">
        <x:v>FIN-01402</x:v>
      </x:c>
      <x:c r="B2991" s="32" t="n">
        <x:v>1</x:v>
      </x:c>
      <x:c r="C2991" s="23" t="n">
        <x:v>46675</x:v>
      </x:c>
      <x:c r="D2991" s="23" t="n">
        <x:v>46675</x:v>
      </x:c>
      <x:c r="E2991" s="20" t="str">
        <x:v>P029</x:v>
      </x:c>
      <x:c r="F2991" s="20" t="str"/>
      <x:c r="G2991" s="20" t="str"/>
      <x:c r="H2991" s="20" t="str">
        <x:v>5010 Utilities</x:v>
      </x:c>
      <x:c r="I2991" s="26" t="n">
        <x:v>201</x:v>
      </x:c>
      <x:c r="J2991" s="26" t="n">
        <x:v>0</x:v>
      </x:c>
      <x:c r="K2991" s="35" t="str">
        <x:v>City Water &amp; Sewer</x:v>
      </x:c>
    </x:row>
    <x:row r="2992">
      <x:c r="A2992" s="20" t="str">
        <x:v>FIN-01402</x:v>
      </x:c>
      <x:c r="B2992" s="32" t="n">
        <x:v>2</x:v>
      </x:c>
      <x:c r="C2992" s="23" t="n">
        <x:v>46675</x:v>
      </x:c>
      <x:c r="D2992" s="23" t="n">
        <x:v>46675</x:v>
      </x:c>
      <x:c r="E2992" s="20" t="str">
        <x:v>P029</x:v>
      </x:c>
      <x:c r="F2992" s="20" t="str"/>
      <x:c r="G2992" s="20" t="str"/>
      <x:c r="H2992" s="20" t="str">
        <x:v>1000 Operating Cash</x:v>
      </x:c>
      <x:c r="I2992" s="26" t="n">
        <x:v>0</x:v>
      </x:c>
      <x:c r="J2992" s="26" t="n">
        <x:v>201</x:v>
      </x:c>
      <x:c r="K2992" s="35" t="str">
        <x:v>City Water &amp; Sewer</x:v>
      </x:c>
    </x:row>
    <x:row r="2993">
      <x:c r="A2993" s="20" t="str">
        <x:v>FIN-01403</x:v>
      </x:c>
      <x:c r="B2993" s="32" t="n">
        <x:v>1</x:v>
      </x:c>
      <x:c r="C2993" s="23" t="n">
        <x:v>46675</x:v>
      </x:c>
      <x:c r="D2993" s="23" t="n">
        <x:v>46675</x:v>
      </x:c>
      <x:c r="E2993" s="20" t="str">
        <x:v>P030</x:v>
      </x:c>
      <x:c r="F2993" s="20" t="str"/>
      <x:c r="G2993" s="20" t="str"/>
      <x:c r="H2993" s="20" t="str">
        <x:v>5010 Utilities</x:v>
      </x:c>
      <x:c r="I2993" s="26" t="n">
        <x:v>118</x:v>
      </x:c>
      <x:c r="J2993" s="26" t="n">
        <x:v>0</x:v>
      </x:c>
      <x:c r="K2993" s="35" t="str">
        <x:v>City Water &amp; Sewer</x:v>
      </x:c>
    </x:row>
    <x:row r="2994">
      <x:c r="A2994" s="20" t="str">
        <x:v>FIN-01403</x:v>
      </x:c>
      <x:c r="B2994" s="32" t="n">
        <x:v>2</x:v>
      </x:c>
      <x:c r="C2994" s="23" t="n">
        <x:v>46675</x:v>
      </x:c>
      <x:c r="D2994" s="23" t="n">
        <x:v>46675</x:v>
      </x:c>
      <x:c r="E2994" s="20" t="str">
        <x:v>P030</x:v>
      </x:c>
      <x:c r="F2994" s="20" t="str"/>
      <x:c r="G2994" s="20" t="str"/>
      <x:c r="H2994" s="20" t="str">
        <x:v>1000 Operating Cash</x:v>
      </x:c>
      <x:c r="I2994" s="26" t="n">
        <x:v>0</x:v>
      </x:c>
      <x:c r="J2994" s="26" t="n">
        <x:v>118</x:v>
      </x:c>
      <x:c r="K2994" s="35" t="str">
        <x:v>City Water &amp; Sewer</x:v>
      </x:c>
    </x:row>
    <x:row r="2995">
      <x:c r="A2995" s="20" t="str">
        <x:v>FIN-01404</x:v>
      </x:c>
      <x:c r="B2995" s="32" t="n">
        <x:v>1</x:v>
      </x:c>
      <x:c r="C2995" s="23" t="n">
        <x:v>46680</x:v>
      </x:c>
      <x:c r="D2995" s="23" t="n">
        <x:v>46680</x:v>
      </x:c>
      <x:c r="E2995" s="20" t="str">
        <x:v>P001</x:v>
      </x:c>
      <x:c r="F2995" s="20" t="str"/>
      <x:c r="G2995" s="20" t="str"/>
      <x:c r="H2995" s="20" t="str">
        <x:v>2200 Mortgage Loans Payable</x:v>
      </x:c>
      <x:c r="I2995" s="26" t="n">
        <x:v>431</x:v>
      </x:c>
      <x:c r="J2995" s="26" t="n">
        <x:v>0</x:v>
      </x:c>
      <x:c r="K2995" s="35" t="str">
        <x:v>LN001 scheduled payment</x:v>
      </x:c>
    </x:row>
    <x:row r="2996">
      <x:c r="A2996" s="20" t="str">
        <x:v>FIN-01404</x:v>
      </x:c>
      <x:c r="B2996" s="32" t="n">
        <x:v>2</x:v>
      </x:c>
      <x:c r="C2996" s="23" t="n">
        <x:v>46680</x:v>
      </x:c>
      <x:c r="D2996" s="23" t="n">
        <x:v>46680</x:v>
      </x:c>
      <x:c r="E2996" s="20" t="str">
        <x:v>P001</x:v>
      </x:c>
      <x:c r="F2996" s="20" t="str"/>
      <x:c r="G2996" s="20" t="str"/>
      <x:c r="H2996" s="20" t="str">
        <x:v>5040 Mortgage Interest</x:v>
      </x:c>
      <x:c r="I2996" s="26" t="n">
        <x:v>551</x:v>
      </x:c>
      <x:c r="J2996" s="26" t="n">
        <x:v>0</x:v>
      </x:c>
      <x:c r="K2996" s="35" t="str">
        <x:v>LN001 scheduled payment</x:v>
      </x:c>
    </x:row>
    <x:row r="2997">
      <x:c r="A2997" s="20" t="str">
        <x:v>FIN-01404</x:v>
      </x:c>
      <x:c r="B2997" s="32" t="n">
        <x:v>3</x:v>
      </x:c>
      <x:c r="C2997" s="23" t="n">
        <x:v>46680</x:v>
      </x:c>
      <x:c r="D2997" s="23" t="n">
        <x:v>46680</x:v>
      </x:c>
      <x:c r="E2997" s="20" t="str">
        <x:v>P001</x:v>
      </x:c>
      <x:c r="F2997" s="20" t="str"/>
      <x:c r="G2997" s="20" t="str"/>
      <x:c r="H2997" s="20" t="str">
        <x:v>1000 Operating Cash</x:v>
      </x:c>
      <x:c r="I2997" s="26" t="n">
        <x:v>0</x:v>
      </x:c>
      <x:c r="J2997" s="26" t="n">
        <x:v>982</x:v>
      </x:c>
      <x:c r="K2997" s="35" t="str">
        <x:v>LN001 scheduled payment</x:v>
      </x:c>
    </x:row>
    <x:row r="2998">
      <x:c r="A2998" s="20" t="str">
        <x:v>FIN-01405</x:v>
      </x:c>
      <x:c r="B2998" s="32" t="n">
        <x:v>1</x:v>
      </x:c>
      <x:c r="C2998" s="23" t="n">
        <x:v>46680</x:v>
      </x:c>
      <x:c r="D2998" s="23" t="n">
        <x:v>46680</x:v>
      </x:c>
      <x:c r="E2998" s="20" t="str">
        <x:v>P002</x:v>
      </x:c>
      <x:c r="F2998" s="20" t="str"/>
      <x:c r="G2998" s="20" t="str"/>
      <x:c r="H2998" s="20" t="str">
        <x:v>2200 Mortgage Loans Payable</x:v>
      </x:c>
      <x:c r="I2998" s="26" t="n">
        <x:v>442</x:v>
      </x:c>
      <x:c r="J2998" s="26" t="n">
        <x:v>0</x:v>
      </x:c>
      <x:c r="K2998" s="35" t="str">
        <x:v>LN002 scheduled payment</x:v>
      </x:c>
    </x:row>
    <x:row r="2999">
      <x:c r="A2999" s="20" t="str">
        <x:v>FIN-01405</x:v>
      </x:c>
      <x:c r="B2999" s="32" t="n">
        <x:v>2</x:v>
      </x:c>
      <x:c r="C2999" s="23" t="n">
        <x:v>46680</x:v>
      </x:c>
      <x:c r="D2999" s="23" t="n">
        <x:v>46680</x:v>
      </x:c>
      <x:c r="E2999" s="20" t="str">
        <x:v>P002</x:v>
      </x:c>
      <x:c r="F2999" s="20" t="str"/>
      <x:c r="G2999" s="20" t="str"/>
      <x:c r="H2999" s="20" t="str">
        <x:v>5040 Mortgage Interest</x:v>
      </x:c>
      <x:c r="I2999" s="26" t="n">
        <x:v>564</x:v>
      </x:c>
      <x:c r="J2999" s="26" t="n">
        <x:v>0</x:v>
      </x:c>
      <x:c r="K2999" s="35" t="str">
        <x:v>LN002 scheduled payment</x:v>
      </x:c>
    </x:row>
    <x:row r="3000">
      <x:c r="A3000" s="20" t="str">
        <x:v>FIN-01405</x:v>
      </x:c>
      <x:c r="B3000" s="32" t="n">
        <x:v>3</x:v>
      </x:c>
      <x:c r="C3000" s="23" t="n">
        <x:v>46680</x:v>
      </x:c>
      <x:c r="D3000" s="23" t="n">
        <x:v>46680</x:v>
      </x:c>
      <x:c r="E3000" s="20" t="str">
        <x:v>P002</x:v>
      </x:c>
      <x:c r="F3000" s="20" t="str"/>
      <x:c r="G3000" s="20" t="str"/>
      <x:c r="H3000" s="20" t="str">
        <x:v>1000 Operating Cash</x:v>
      </x:c>
      <x:c r="I3000" s="26" t="n">
        <x:v>0</x:v>
      </x:c>
      <x:c r="J3000" s="26" t="n">
        <x:v>1006</x:v>
      </x:c>
      <x:c r="K3000" s="35" t="str">
        <x:v>LN002 scheduled payment</x:v>
      </x:c>
    </x:row>
    <x:row r="3001">
      <x:c r="A3001" s="20" t="str">
        <x:v>FIN-01406</x:v>
      </x:c>
      <x:c r="B3001" s="32" t="n">
        <x:v>1</x:v>
      </x:c>
      <x:c r="C3001" s="23" t="n">
        <x:v>46680</x:v>
      </x:c>
      <x:c r="D3001" s="23" t="n">
        <x:v>46680</x:v>
      </x:c>
      <x:c r="E3001" s="20" t="str">
        <x:v>P004</x:v>
      </x:c>
      <x:c r="F3001" s="20" t="str"/>
      <x:c r="G3001" s="20" t="str"/>
      <x:c r="H3001" s="20" t="str">
        <x:v>2200 Mortgage Loans Payable</x:v>
      </x:c>
      <x:c r="I3001" s="26" t="n">
        <x:v>464</x:v>
      </x:c>
      <x:c r="J3001" s="26" t="n">
        <x:v>0</x:v>
      </x:c>
      <x:c r="K3001" s="35" t="str">
        <x:v>LN004 scheduled payment</x:v>
      </x:c>
    </x:row>
    <x:row r="3002">
      <x:c r="A3002" s="20" t="str">
        <x:v>FIN-01406</x:v>
      </x:c>
      <x:c r="B3002" s="32" t="n">
        <x:v>2</x:v>
      </x:c>
      <x:c r="C3002" s="23" t="n">
        <x:v>46680</x:v>
      </x:c>
      <x:c r="D3002" s="23" t="n">
        <x:v>46680</x:v>
      </x:c>
      <x:c r="E3002" s="20" t="str">
        <x:v>P004</x:v>
      </x:c>
      <x:c r="F3002" s="20" t="str"/>
      <x:c r="G3002" s="20" t="str"/>
      <x:c r="H3002" s="20" t="str">
        <x:v>5040 Mortgage Interest</x:v>
      </x:c>
      <x:c r="I3002" s="26" t="n">
        <x:v>590</x:v>
      </x:c>
      <x:c r="J3002" s="26" t="n">
        <x:v>0</x:v>
      </x:c>
      <x:c r="K3002" s="35" t="str">
        <x:v>LN004 scheduled payment</x:v>
      </x:c>
    </x:row>
    <x:row r="3003">
      <x:c r="A3003" s="20" t="str">
        <x:v>FIN-01406</x:v>
      </x:c>
      <x:c r="B3003" s="32" t="n">
        <x:v>3</x:v>
      </x:c>
      <x:c r="C3003" s="23" t="n">
        <x:v>46680</x:v>
      </x:c>
      <x:c r="D3003" s="23" t="n">
        <x:v>46680</x:v>
      </x:c>
      <x:c r="E3003" s="20" t="str">
        <x:v>P004</x:v>
      </x:c>
      <x:c r="F3003" s="20" t="str"/>
      <x:c r="G3003" s="20" t="str"/>
      <x:c r="H3003" s="20" t="str">
        <x:v>1000 Operating Cash</x:v>
      </x:c>
      <x:c r="I3003" s="26" t="n">
        <x:v>0</x:v>
      </x:c>
      <x:c r="J3003" s="26" t="n">
        <x:v>1054</x:v>
      </x:c>
      <x:c r="K3003" s="35" t="str">
        <x:v>LN004 scheduled payment</x:v>
      </x:c>
    </x:row>
    <x:row r="3004">
      <x:c r="A3004" s="20" t="str">
        <x:v>FIN-01407</x:v>
      </x:c>
      <x:c r="B3004" s="32" t="n">
        <x:v>1</x:v>
      </x:c>
      <x:c r="C3004" s="23" t="n">
        <x:v>46680</x:v>
      </x:c>
      <x:c r="D3004" s="23" t="n">
        <x:v>46680</x:v>
      </x:c>
      <x:c r="E3004" s="20" t="str">
        <x:v>P005</x:v>
      </x:c>
      <x:c r="F3004" s="20" t="str"/>
      <x:c r="G3004" s="20" t="str"/>
      <x:c r="H3004" s="20" t="str">
        <x:v>2200 Mortgage Loans Payable</x:v>
      </x:c>
      <x:c r="I3004" s="26" t="n">
        <x:v>475</x:v>
      </x:c>
      <x:c r="J3004" s="26" t="n">
        <x:v>0</x:v>
      </x:c>
      <x:c r="K3004" s="35" t="str">
        <x:v>LN005 scheduled payment</x:v>
      </x:c>
    </x:row>
    <x:row r="3005">
      <x:c r="A3005" s="20" t="str">
        <x:v>FIN-01407</x:v>
      </x:c>
      <x:c r="B3005" s="32" t="n">
        <x:v>2</x:v>
      </x:c>
      <x:c r="C3005" s="23" t="n">
        <x:v>46680</x:v>
      </x:c>
      <x:c r="D3005" s="23" t="n">
        <x:v>46680</x:v>
      </x:c>
      <x:c r="E3005" s="20" t="str">
        <x:v>P005</x:v>
      </x:c>
      <x:c r="F3005" s="20" t="str"/>
      <x:c r="G3005" s="20" t="str"/>
      <x:c r="H3005" s="20" t="str">
        <x:v>5040 Mortgage Interest</x:v>
      </x:c>
      <x:c r="I3005" s="26" t="n">
        <x:v>603</x:v>
      </x:c>
      <x:c r="J3005" s="26" t="n">
        <x:v>0</x:v>
      </x:c>
      <x:c r="K3005" s="35" t="str">
        <x:v>LN005 scheduled payment</x:v>
      </x:c>
    </x:row>
    <x:row r="3006">
      <x:c r="A3006" s="20" t="str">
        <x:v>FIN-01407</x:v>
      </x:c>
      <x:c r="B3006" s="32" t="n">
        <x:v>3</x:v>
      </x:c>
      <x:c r="C3006" s="23" t="n">
        <x:v>46680</x:v>
      </x:c>
      <x:c r="D3006" s="23" t="n">
        <x:v>46680</x:v>
      </x:c>
      <x:c r="E3006" s="20" t="str">
        <x:v>P005</x:v>
      </x:c>
      <x:c r="F3006" s="20" t="str"/>
      <x:c r="G3006" s="20" t="str"/>
      <x:c r="H3006" s="20" t="str">
        <x:v>1000 Operating Cash</x:v>
      </x:c>
      <x:c r="I3006" s="26" t="n">
        <x:v>0</x:v>
      </x:c>
      <x:c r="J3006" s="26" t="n">
        <x:v>1078</x:v>
      </x:c>
      <x:c r="K3006" s="35" t="str">
        <x:v>LN005 scheduled payment</x:v>
      </x:c>
    </x:row>
    <x:row r="3007">
      <x:c r="A3007" s="20" t="str">
        <x:v>FIN-01408</x:v>
      </x:c>
      <x:c r="B3007" s="32" t="n">
        <x:v>1</x:v>
      </x:c>
      <x:c r="C3007" s="23" t="n">
        <x:v>46680</x:v>
      </x:c>
      <x:c r="D3007" s="23" t="n">
        <x:v>46680</x:v>
      </x:c>
      <x:c r="E3007" s="20" t="str">
        <x:v>P007</x:v>
      </x:c>
      <x:c r="F3007" s="20" t="str"/>
      <x:c r="G3007" s="20" t="str"/>
      <x:c r="H3007" s="20" t="str">
        <x:v>2200 Mortgage Loans Payable</x:v>
      </x:c>
      <x:c r="I3007" s="26" t="n">
        <x:v>497</x:v>
      </x:c>
      <x:c r="J3007" s="26" t="n">
        <x:v>0</x:v>
      </x:c>
      <x:c r="K3007" s="35" t="str">
        <x:v>LN007 scheduled payment</x:v>
      </x:c>
    </x:row>
    <x:row r="3008">
      <x:c r="A3008" s="20" t="str">
        <x:v>FIN-01408</x:v>
      </x:c>
      <x:c r="B3008" s="32" t="n">
        <x:v>2</x:v>
      </x:c>
      <x:c r="C3008" s="23" t="n">
        <x:v>46680</x:v>
      </x:c>
      <x:c r="D3008" s="23" t="n">
        <x:v>46680</x:v>
      </x:c>
      <x:c r="E3008" s="20" t="str">
        <x:v>P007</x:v>
      </x:c>
      <x:c r="F3008" s="20" t="str"/>
      <x:c r="G3008" s="20" t="str"/>
      <x:c r="H3008" s="20" t="str">
        <x:v>5040 Mortgage Interest</x:v>
      </x:c>
      <x:c r="I3008" s="26" t="n">
        <x:v>629</x:v>
      </x:c>
      <x:c r="J3008" s="26" t="n">
        <x:v>0</x:v>
      </x:c>
      <x:c r="K3008" s="35" t="str">
        <x:v>LN007 scheduled payment</x:v>
      </x:c>
    </x:row>
    <x:row r="3009">
      <x:c r="A3009" s="20" t="str">
        <x:v>FIN-01408</x:v>
      </x:c>
      <x:c r="B3009" s="32" t="n">
        <x:v>3</x:v>
      </x:c>
      <x:c r="C3009" s="23" t="n">
        <x:v>46680</x:v>
      </x:c>
      <x:c r="D3009" s="23" t="n">
        <x:v>46680</x:v>
      </x:c>
      <x:c r="E3009" s="20" t="str">
        <x:v>P007</x:v>
      </x:c>
      <x:c r="F3009" s="20" t="str"/>
      <x:c r="G3009" s="20" t="str"/>
      <x:c r="H3009" s="20" t="str">
        <x:v>1000 Operating Cash</x:v>
      </x:c>
      <x:c r="I3009" s="26" t="n">
        <x:v>0</x:v>
      </x:c>
      <x:c r="J3009" s="26" t="n">
        <x:v>1126</x:v>
      </x:c>
      <x:c r="K3009" s="35" t="str">
        <x:v>LN007 scheduled payment</x:v>
      </x:c>
    </x:row>
    <x:row r="3010">
      <x:c r="A3010" s="20" t="str">
        <x:v>FIN-01409</x:v>
      </x:c>
      <x:c r="B3010" s="32" t="n">
        <x:v>1</x:v>
      </x:c>
      <x:c r="C3010" s="23" t="n">
        <x:v>46680</x:v>
      </x:c>
      <x:c r="D3010" s="23" t="n">
        <x:v>46680</x:v>
      </x:c>
      <x:c r="E3010" s="20" t="str">
        <x:v>P008</x:v>
      </x:c>
      <x:c r="F3010" s="20" t="str"/>
      <x:c r="G3010" s="20" t="str"/>
      <x:c r="H3010" s="20" t="str">
        <x:v>2200 Mortgage Loans Payable</x:v>
      </x:c>
      <x:c r="I3010" s="26" t="n">
        <x:v>508</x:v>
      </x:c>
      <x:c r="J3010" s="26" t="n">
        <x:v>0</x:v>
      </x:c>
      <x:c r="K3010" s="35" t="str">
        <x:v>LN008 scheduled payment</x:v>
      </x:c>
    </x:row>
    <x:row r="3011">
      <x:c r="A3011" s="20" t="str">
        <x:v>FIN-01409</x:v>
      </x:c>
      <x:c r="B3011" s="32" t="n">
        <x:v>2</x:v>
      </x:c>
      <x:c r="C3011" s="23" t="n">
        <x:v>46680</x:v>
      </x:c>
      <x:c r="D3011" s="23" t="n">
        <x:v>46680</x:v>
      </x:c>
      <x:c r="E3011" s="20" t="str">
        <x:v>P008</x:v>
      </x:c>
      <x:c r="F3011" s="20" t="str"/>
      <x:c r="G3011" s="20" t="str"/>
      <x:c r="H3011" s="20" t="str">
        <x:v>5040 Mortgage Interest</x:v>
      </x:c>
      <x:c r="I3011" s="26" t="n">
        <x:v>642</x:v>
      </x:c>
      <x:c r="J3011" s="26" t="n">
        <x:v>0</x:v>
      </x:c>
      <x:c r="K3011" s="35" t="str">
        <x:v>LN008 scheduled payment</x:v>
      </x:c>
    </x:row>
    <x:row r="3012">
      <x:c r="A3012" s="20" t="str">
        <x:v>FIN-01409</x:v>
      </x:c>
      <x:c r="B3012" s="32" t="n">
        <x:v>3</x:v>
      </x:c>
      <x:c r="C3012" s="23" t="n">
        <x:v>46680</x:v>
      </x:c>
      <x:c r="D3012" s="23" t="n">
        <x:v>46680</x:v>
      </x:c>
      <x:c r="E3012" s="20" t="str">
        <x:v>P008</x:v>
      </x:c>
      <x:c r="F3012" s="20" t="str"/>
      <x:c r="G3012" s="20" t="str"/>
      <x:c r="H3012" s="20" t="str">
        <x:v>1000 Operating Cash</x:v>
      </x:c>
      <x:c r="I3012" s="26" t="n">
        <x:v>0</x:v>
      </x:c>
      <x:c r="J3012" s="26" t="n">
        <x:v>1150</x:v>
      </x:c>
      <x:c r="K3012" s="35" t="str">
        <x:v>LN008 scheduled payment</x:v>
      </x:c>
    </x:row>
    <x:row r="3013">
      <x:c r="A3013" s="20" t="str">
        <x:v>FIN-01410</x:v>
      </x:c>
      <x:c r="B3013" s="32" t="n">
        <x:v>1</x:v>
      </x:c>
      <x:c r="C3013" s="23" t="n">
        <x:v>46680</x:v>
      </x:c>
      <x:c r="D3013" s="23" t="n">
        <x:v>46680</x:v>
      </x:c>
      <x:c r="E3013" s="20" t="str">
        <x:v>P010</x:v>
      </x:c>
      <x:c r="F3013" s="20" t="str"/>
      <x:c r="G3013" s="20" t="str"/>
      <x:c r="H3013" s="20" t="str">
        <x:v>2200 Mortgage Loans Payable</x:v>
      </x:c>
      <x:c r="I3013" s="26" t="n">
        <x:v>530</x:v>
      </x:c>
      <x:c r="J3013" s="26" t="n">
        <x:v>0</x:v>
      </x:c>
      <x:c r="K3013" s="35" t="str">
        <x:v>LN010 scheduled payment</x:v>
      </x:c>
    </x:row>
    <x:row r="3014">
      <x:c r="A3014" s="20" t="str">
        <x:v>FIN-01410</x:v>
      </x:c>
      <x:c r="B3014" s="32" t="n">
        <x:v>2</x:v>
      </x:c>
      <x:c r="C3014" s="23" t="n">
        <x:v>46680</x:v>
      </x:c>
      <x:c r="D3014" s="23" t="n">
        <x:v>46680</x:v>
      </x:c>
      <x:c r="E3014" s="20" t="str">
        <x:v>P010</x:v>
      </x:c>
      <x:c r="F3014" s="20" t="str"/>
      <x:c r="G3014" s="20" t="str"/>
      <x:c r="H3014" s="20" t="str">
        <x:v>5040 Mortgage Interest</x:v>
      </x:c>
      <x:c r="I3014" s="26" t="n">
        <x:v>668</x:v>
      </x:c>
      <x:c r="J3014" s="26" t="n">
        <x:v>0</x:v>
      </x:c>
      <x:c r="K3014" s="35" t="str">
        <x:v>LN010 scheduled payment</x:v>
      </x:c>
    </x:row>
    <x:row r="3015">
      <x:c r="A3015" s="20" t="str">
        <x:v>FIN-01410</x:v>
      </x:c>
      <x:c r="B3015" s="32" t="n">
        <x:v>3</x:v>
      </x:c>
      <x:c r="C3015" s="23" t="n">
        <x:v>46680</x:v>
      </x:c>
      <x:c r="D3015" s="23" t="n">
        <x:v>46680</x:v>
      </x:c>
      <x:c r="E3015" s="20" t="str">
        <x:v>P010</x:v>
      </x:c>
      <x:c r="F3015" s="20" t="str"/>
      <x:c r="G3015" s="20" t="str"/>
      <x:c r="H3015" s="20" t="str">
        <x:v>1000 Operating Cash</x:v>
      </x:c>
      <x:c r="I3015" s="26" t="n">
        <x:v>0</x:v>
      </x:c>
      <x:c r="J3015" s="26" t="n">
        <x:v>1198</x:v>
      </x:c>
      <x:c r="K3015" s="35" t="str">
        <x:v>LN010 scheduled payment</x:v>
      </x:c>
    </x:row>
    <x:row r="3016">
      <x:c r="A3016" s="20" t="str">
        <x:v>FIN-01411</x:v>
      </x:c>
      <x:c r="B3016" s="32" t="n">
        <x:v>1</x:v>
      </x:c>
      <x:c r="C3016" s="23" t="n">
        <x:v>46680</x:v>
      </x:c>
      <x:c r="D3016" s="23" t="n">
        <x:v>46680</x:v>
      </x:c>
      <x:c r="E3016" s="20" t="str">
        <x:v>P011</x:v>
      </x:c>
      <x:c r="F3016" s="20" t="str"/>
      <x:c r="G3016" s="20" t="str"/>
      <x:c r="H3016" s="20" t="str">
        <x:v>2200 Mortgage Loans Payable</x:v>
      </x:c>
      <x:c r="I3016" s="26" t="n">
        <x:v>541</x:v>
      </x:c>
      <x:c r="J3016" s="26" t="n">
        <x:v>0</x:v>
      </x:c>
      <x:c r="K3016" s="35" t="str">
        <x:v>LN011 scheduled payment</x:v>
      </x:c>
    </x:row>
    <x:row r="3017">
      <x:c r="A3017" s="20" t="str">
        <x:v>FIN-01411</x:v>
      </x:c>
      <x:c r="B3017" s="32" t="n">
        <x:v>2</x:v>
      </x:c>
      <x:c r="C3017" s="23" t="n">
        <x:v>46680</x:v>
      </x:c>
      <x:c r="D3017" s="23" t="n">
        <x:v>46680</x:v>
      </x:c>
      <x:c r="E3017" s="20" t="str">
        <x:v>P011</x:v>
      </x:c>
      <x:c r="F3017" s="20" t="str"/>
      <x:c r="G3017" s="20" t="str"/>
      <x:c r="H3017" s="20" t="str">
        <x:v>5040 Mortgage Interest</x:v>
      </x:c>
      <x:c r="I3017" s="26" t="n">
        <x:v>681</x:v>
      </x:c>
      <x:c r="J3017" s="26" t="n">
        <x:v>0</x:v>
      </x:c>
      <x:c r="K3017" s="35" t="str">
        <x:v>LN011 scheduled payment</x:v>
      </x:c>
    </x:row>
    <x:row r="3018">
      <x:c r="A3018" s="20" t="str">
        <x:v>FIN-01411</x:v>
      </x:c>
      <x:c r="B3018" s="32" t="n">
        <x:v>3</x:v>
      </x:c>
      <x:c r="C3018" s="23" t="n">
        <x:v>46680</x:v>
      </x:c>
      <x:c r="D3018" s="23" t="n">
        <x:v>46680</x:v>
      </x:c>
      <x:c r="E3018" s="20" t="str">
        <x:v>P011</x:v>
      </x:c>
      <x:c r="F3018" s="20" t="str"/>
      <x:c r="G3018" s="20" t="str"/>
      <x:c r="H3018" s="20" t="str">
        <x:v>1000 Operating Cash</x:v>
      </x:c>
      <x:c r="I3018" s="26" t="n">
        <x:v>0</x:v>
      </x:c>
      <x:c r="J3018" s="26" t="n">
        <x:v>1222</x:v>
      </x:c>
      <x:c r="K3018" s="35" t="str">
        <x:v>LN011 scheduled payment</x:v>
      </x:c>
    </x:row>
    <x:row r="3019">
      <x:c r="A3019" s="20" t="str">
        <x:v>FIN-01412</x:v>
      </x:c>
      <x:c r="B3019" s="32" t="n">
        <x:v>1</x:v>
      </x:c>
      <x:c r="C3019" s="23" t="n">
        <x:v>46680</x:v>
      </x:c>
      <x:c r="D3019" s="23" t="n">
        <x:v>46680</x:v>
      </x:c>
      <x:c r="E3019" s="20" t="str">
        <x:v>P013</x:v>
      </x:c>
      <x:c r="F3019" s="20" t="str"/>
      <x:c r="G3019" s="20" t="str"/>
      <x:c r="H3019" s="20" t="str">
        <x:v>2200 Mortgage Loans Payable</x:v>
      </x:c>
      <x:c r="I3019" s="26" t="n">
        <x:v>563</x:v>
      </x:c>
      <x:c r="J3019" s="26" t="n">
        <x:v>0</x:v>
      </x:c>
      <x:c r="K3019" s="35" t="str">
        <x:v>LN013 scheduled payment</x:v>
      </x:c>
    </x:row>
    <x:row r="3020">
      <x:c r="A3020" s="20" t="str">
        <x:v>FIN-01412</x:v>
      </x:c>
      <x:c r="B3020" s="32" t="n">
        <x:v>2</x:v>
      </x:c>
      <x:c r="C3020" s="23" t="n">
        <x:v>46680</x:v>
      </x:c>
      <x:c r="D3020" s="23" t="n">
        <x:v>46680</x:v>
      </x:c>
      <x:c r="E3020" s="20" t="str">
        <x:v>P013</x:v>
      </x:c>
      <x:c r="F3020" s="20" t="str"/>
      <x:c r="G3020" s="20" t="str"/>
      <x:c r="H3020" s="20" t="str">
        <x:v>5040 Mortgage Interest</x:v>
      </x:c>
      <x:c r="I3020" s="26" t="n">
        <x:v>707</x:v>
      </x:c>
      <x:c r="J3020" s="26" t="n">
        <x:v>0</x:v>
      </x:c>
      <x:c r="K3020" s="35" t="str">
        <x:v>LN013 scheduled payment</x:v>
      </x:c>
    </x:row>
    <x:row r="3021">
      <x:c r="A3021" s="20" t="str">
        <x:v>FIN-01412</x:v>
      </x:c>
      <x:c r="B3021" s="32" t="n">
        <x:v>3</x:v>
      </x:c>
      <x:c r="C3021" s="23" t="n">
        <x:v>46680</x:v>
      </x:c>
      <x:c r="D3021" s="23" t="n">
        <x:v>46680</x:v>
      </x:c>
      <x:c r="E3021" s="20" t="str">
        <x:v>P013</x:v>
      </x:c>
      <x:c r="F3021" s="20" t="str"/>
      <x:c r="G3021" s="20" t="str"/>
      <x:c r="H3021" s="20" t="str">
        <x:v>1000 Operating Cash</x:v>
      </x:c>
      <x:c r="I3021" s="26" t="n">
        <x:v>0</x:v>
      </x:c>
      <x:c r="J3021" s="26" t="n">
        <x:v>1270</x:v>
      </x:c>
      <x:c r="K3021" s="35" t="str">
        <x:v>LN013 scheduled payment</x:v>
      </x:c>
    </x:row>
    <x:row r="3022">
      <x:c r="A3022" s="20" t="str">
        <x:v>FIN-01413</x:v>
      </x:c>
      <x:c r="B3022" s="32" t="n">
        <x:v>1</x:v>
      </x:c>
      <x:c r="C3022" s="23" t="n">
        <x:v>46680</x:v>
      </x:c>
      <x:c r="D3022" s="23" t="n">
        <x:v>46680</x:v>
      </x:c>
      <x:c r="E3022" s="20" t="str">
        <x:v>P014</x:v>
      </x:c>
      <x:c r="F3022" s="20" t="str"/>
      <x:c r="G3022" s="20" t="str"/>
      <x:c r="H3022" s="20" t="str">
        <x:v>2200 Mortgage Loans Payable</x:v>
      </x:c>
      <x:c r="I3022" s="26" t="n">
        <x:v>574</x:v>
      </x:c>
      <x:c r="J3022" s="26" t="n">
        <x:v>0</x:v>
      </x:c>
      <x:c r="K3022" s="35" t="str">
        <x:v>LN014 scheduled payment</x:v>
      </x:c>
    </x:row>
    <x:row r="3023">
      <x:c r="A3023" s="20" t="str">
        <x:v>FIN-01413</x:v>
      </x:c>
      <x:c r="B3023" s="32" t="n">
        <x:v>2</x:v>
      </x:c>
      <x:c r="C3023" s="23" t="n">
        <x:v>46680</x:v>
      </x:c>
      <x:c r="D3023" s="23" t="n">
        <x:v>46680</x:v>
      </x:c>
      <x:c r="E3023" s="20" t="str">
        <x:v>P014</x:v>
      </x:c>
      <x:c r="F3023" s="20" t="str"/>
      <x:c r="G3023" s="20" t="str"/>
      <x:c r="H3023" s="20" t="str">
        <x:v>5040 Mortgage Interest</x:v>
      </x:c>
      <x:c r="I3023" s="26" t="n">
        <x:v>720</x:v>
      </x:c>
      <x:c r="J3023" s="26" t="n">
        <x:v>0</x:v>
      </x:c>
      <x:c r="K3023" s="35" t="str">
        <x:v>LN014 scheduled payment</x:v>
      </x:c>
    </x:row>
    <x:row r="3024">
      <x:c r="A3024" s="20" t="str">
        <x:v>FIN-01413</x:v>
      </x:c>
      <x:c r="B3024" s="32" t="n">
        <x:v>3</x:v>
      </x:c>
      <x:c r="C3024" s="23" t="n">
        <x:v>46680</x:v>
      </x:c>
      <x:c r="D3024" s="23" t="n">
        <x:v>46680</x:v>
      </x:c>
      <x:c r="E3024" s="20" t="str">
        <x:v>P014</x:v>
      </x:c>
      <x:c r="F3024" s="20" t="str"/>
      <x:c r="G3024" s="20" t="str"/>
      <x:c r="H3024" s="20" t="str">
        <x:v>1000 Operating Cash</x:v>
      </x:c>
      <x:c r="I3024" s="26" t="n">
        <x:v>0</x:v>
      </x:c>
      <x:c r="J3024" s="26" t="n">
        <x:v>1294</x:v>
      </x:c>
      <x:c r="K3024" s="35" t="str">
        <x:v>LN014 scheduled payment</x:v>
      </x:c>
    </x:row>
    <x:row r="3025">
      <x:c r="A3025" s="20" t="str">
        <x:v>FIN-01414</x:v>
      </x:c>
      <x:c r="B3025" s="32" t="n">
        <x:v>1</x:v>
      </x:c>
      <x:c r="C3025" s="23" t="n">
        <x:v>46680</x:v>
      </x:c>
      <x:c r="D3025" s="23" t="n">
        <x:v>46680</x:v>
      </x:c>
      <x:c r="E3025" s="20" t="str">
        <x:v>P016</x:v>
      </x:c>
      <x:c r="F3025" s="20" t="str"/>
      <x:c r="G3025" s="20" t="str"/>
      <x:c r="H3025" s="20" t="str">
        <x:v>2200 Mortgage Loans Payable</x:v>
      </x:c>
      <x:c r="I3025" s="26" t="n">
        <x:v>596</x:v>
      </x:c>
      <x:c r="J3025" s="26" t="n">
        <x:v>0</x:v>
      </x:c>
      <x:c r="K3025" s="35" t="str">
        <x:v>LN016 scheduled payment</x:v>
      </x:c>
    </x:row>
    <x:row r="3026">
      <x:c r="A3026" s="20" t="str">
        <x:v>FIN-01414</x:v>
      </x:c>
      <x:c r="B3026" s="32" t="n">
        <x:v>2</x:v>
      </x:c>
      <x:c r="C3026" s="23" t="n">
        <x:v>46680</x:v>
      </x:c>
      <x:c r="D3026" s="23" t="n">
        <x:v>46680</x:v>
      </x:c>
      <x:c r="E3026" s="20" t="str">
        <x:v>P016</x:v>
      </x:c>
      <x:c r="F3026" s="20" t="str"/>
      <x:c r="G3026" s="20" t="str"/>
      <x:c r="H3026" s="20" t="str">
        <x:v>5040 Mortgage Interest</x:v>
      </x:c>
      <x:c r="I3026" s="26" t="n">
        <x:v>746</x:v>
      </x:c>
      <x:c r="J3026" s="26" t="n">
        <x:v>0</x:v>
      </x:c>
      <x:c r="K3026" s="35" t="str">
        <x:v>LN016 scheduled payment</x:v>
      </x:c>
    </x:row>
    <x:row r="3027">
      <x:c r="A3027" s="20" t="str">
        <x:v>FIN-01414</x:v>
      </x:c>
      <x:c r="B3027" s="32" t="n">
        <x:v>3</x:v>
      </x:c>
      <x:c r="C3027" s="23" t="n">
        <x:v>46680</x:v>
      </x:c>
      <x:c r="D3027" s="23" t="n">
        <x:v>46680</x:v>
      </x:c>
      <x:c r="E3027" s="20" t="str">
        <x:v>P016</x:v>
      </x:c>
      <x:c r="F3027" s="20" t="str"/>
      <x:c r="G3027" s="20" t="str"/>
      <x:c r="H3027" s="20" t="str">
        <x:v>1000 Operating Cash</x:v>
      </x:c>
      <x:c r="I3027" s="26" t="n">
        <x:v>0</x:v>
      </x:c>
      <x:c r="J3027" s="26" t="n">
        <x:v>1342</x:v>
      </x:c>
      <x:c r="K3027" s="35" t="str">
        <x:v>LN016 scheduled payment</x:v>
      </x:c>
    </x:row>
    <x:row r="3028">
      <x:c r="A3028" s="20" t="str">
        <x:v>FIN-01415</x:v>
      </x:c>
      <x:c r="B3028" s="32" t="n">
        <x:v>1</x:v>
      </x:c>
      <x:c r="C3028" s="23" t="n">
        <x:v>46680</x:v>
      </x:c>
      <x:c r="D3028" s="23" t="n">
        <x:v>46680</x:v>
      </x:c>
      <x:c r="E3028" s="20" t="str">
        <x:v>P017</x:v>
      </x:c>
      <x:c r="F3028" s="20" t="str"/>
      <x:c r="G3028" s="20" t="str"/>
      <x:c r="H3028" s="20" t="str">
        <x:v>2200 Mortgage Loans Payable</x:v>
      </x:c>
      <x:c r="I3028" s="26" t="n">
        <x:v>607</x:v>
      </x:c>
      <x:c r="J3028" s="26" t="n">
        <x:v>0</x:v>
      </x:c>
      <x:c r="K3028" s="35" t="str">
        <x:v>LN017 scheduled payment</x:v>
      </x:c>
    </x:row>
    <x:row r="3029">
      <x:c r="A3029" s="20" t="str">
        <x:v>FIN-01415</x:v>
      </x:c>
      <x:c r="B3029" s="32" t="n">
        <x:v>2</x:v>
      </x:c>
      <x:c r="C3029" s="23" t="n">
        <x:v>46680</x:v>
      </x:c>
      <x:c r="D3029" s="23" t="n">
        <x:v>46680</x:v>
      </x:c>
      <x:c r="E3029" s="20" t="str">
        <x:v>P017</x:v>
      </x:c>
      <x:c r="F3029" s="20" t="str"/>
      <x:c r="G3029" s="20" t="str"/>
      <x:c r="H3029" s="20" t="str">
        <x:v>5040 Mortgage Interest</x:v>
      </x:c>
      <x:c r="I3029" s="26" t="n">
        <x:v>759</x:v>
      </x:c>
      <x:c r="J3029" s="26" t="n">
        <x:v>0</x:v>
      </x:c>
      <x:c r="K3029" s="35" t="str">
        <x:v>LN017 scheduled payment</x:v>
      </x:c>
    </x:row>
    <x:row r="3030">
      <x:c r="A3030" s="20" t="str">
        <x:v>FIN-01415</x:v>
      </x:c>
      <x:c r="B3030" s="32" t="n">
        <x:v>3</x:v>
      </x:c>
      <x:c r="C3030" s="23" t="n">
        <x:v>46680</x:v>
      </x:c>
      <x:c r="D3030" s="23" t="n">
        <x:v>46680</x:v>
      </x:c>
      <x:c r="E3030" s="20" t="str">
        <x:v>P017</x:v>
      </x:c>
      <x:c r="F3030" s="20" t="str"/>
      <x:c r="G3030" s="20" t="str"/>
      <x:c r="H3030" s="20" t="str">
        <x:v>1000 Operating Cash</x:v>
      </x:c>
      <x:c r="I3030" s="26" t="n">
        <x:v>0</x:v>
      </x:c>
      <x:c r="J3030" s="26" t="n">
        <x:v>1366</x:v>
      </x:c>
      <x:c r="K3030" s="35" t="str">
        <x:v>LN017 scheduled payment</x:v>
      </x:c>
    </x:row>
    <x:row r="3031">
      <x:c r="A3031" s="20" t="str">
        <x:v>FIN-01416</x:v>
      </x:c>
      <x:c r="B3031" s="32" t="n">
        <x:v>1</x:v>
      </x:c>
      <x:c r="C3031" s="23" t="n">
        <x:v>46680</x:v>
      </x:c>
      <x:c r="D3031" s="23" t="n">
        <x:v>46680</x:v>
      </x:c>
      <x:c r="E3031" s="20" t="str">
        <x:v>P019</x:v>
      </x:c>
      <x:c r="F3031" s="20" t="str"/>
      <x:c r="G3031" s="20" t="str"/>
      <x:c r="H3031" s="20" t="str">
        <x:v>2200 Mortgage Loans Payable</x:v>
      </x:c>
      <x:c r="I3031" s="26" t="n">
        <x:v>629</x:v>
      </x:c>
      <x:c r="J3031" s="26" t="n">
        <x:v>0</x:v>
      </x:c>
      <x:c r="K3031" s="35" t="str">
        <x:v>LN019 scheduled payment</x:v>
      </x:c>
    </x:row>
    <x:row r="3032">
      <x:c r="A3032" s="20" t="str">
        <x:v>FIN-01416</x:v>
      </x:c>
      <x:c r="B3032" s="32" t="n">
        <x:v>2</x:v>
      </x:c>
      <x:c r="C3032" s="23" t="n">
        <x:v>46680</x:v>
      </x:c>
      <x:c r="D3032" s="23" t="n">
        <x:v>46680</x:v>
      </x:c>
      <x:c r="E3032" s="20" t="str">
        <x:v>P019</x:v>
      </x:c>
      <x:c r="F3032" s="20" t="str"/>
      <x:c r="G3032" s="20" t="str"/>
      <x:c r="H3032" s="20" t="str">
        <x:v>5040 Mortgage Interest</x:v>
      </x:c>
      <x:c r="I3032" s="26" t="n">
        <x:v>785</x:v>
      </x:c>
      <x:c r="J3032" s="26" t="n">
        <x:v>0</x:v>
      </x:c>
      <x:c r="K3032" s="35" t="str">
        <x:v>LN019 scheduled payment</x:v>
      </x:c>
    </x:row>
    <x:row r="3033">
      <x:c r="A3033" s="20" t="str">
        <x:v>FIN-01416</x:v>
      </x:c>
      <x:c r="B3033" s="32" t="n">
        <x:v>3</x:v>
      </x:c>
      <x:c r="C3033" s="23" t="n">
        <x:v>46680</x:v>
      </x:c>
      <x:c r="D3033" s="23" t="n">
        <x:v>46680</x:v>
      </x:c>
      <x:c r="E3033" s="20" t="str">
        <x:v>P019</x:v>
      </x:c>
      <x:c r="F3033" s="20" t="str"/>
      <x:c r="G3033" s="20" t="str"/>
      <x:c r="H3033" s="20" t="str">
        <x:v>1000 Operating Cash</x:v>
      </x:c>
      <x:c r="I3033" s="26" t="n">
        <x:v>0</x:v>
      </x:c>
      <x:c r="J3033" s="26" t="n">
        <x:v>1414</x:v>
      </x:c>
      <x:c r="K3033" s="35" t="str">
        <x:v>LN019 scheduled payment</x:v>
      </x:c>
    </x:row>
    <x:row r="3034">
      <x:c r="A3034" s="20" t="str">
        <x:v>FIN-01417</x:v>
      </x:c>
      <x:c r="B3034" s="32" t="n">
        <x:v>1</x:v>
      </x:c>
      <x:c r="C3034" s="23" t="n">
        <x:v>46680</x:v>
      </x:c>
      <x:c r="D3034" s="23" t="n">
        <x:v>46680</x:v>
      </x:c>
      <x:c r="E3034" s="20" t="str">
        <x:v>P020</x:v>
      </x:c>
      <x:c r="F3034" s="20" t="str"/>
      <x:c r="G3034" s="20" t="str"/>
      <x:c r="H3034" s="20" t="str">
        <x:v>2200 Mortgage Loans Payable</x:v>
      </x:c>
      <x:c r="I3034" s="26" t="n">
        <x:v>640</x:v>
      </x:c>
      <x:c r="J3034" s="26" t="n">
        <x:v>0</x:v>
      </x:c>
      <x:c r="K3034" s="35" t="str">
        <x:v>LN020 scheduled payment</x:v>
      </x:c>
    </x:row>
    <x:row r="3035">
      <x:c r="A3035" s="20" t="str">
        <x:v>FIN-01417</x:v>
      </x:c>
      <x:c r="B3035" s="32" t="n">
        <x:v>2</x:v>
      </x:c>
      <x:c r="C3035" s="23" t="n">
        <x:v>46680</x:v>
      </x:c>
      <x:c r="D3035" s="23" t="n">
        <x:v>46680</x:v>
      </x:c>
      <x:c r="E3035" s="20" t="str">
        <x:v>P020</x:v>
      </x:c>
      <x:c r="F3035" s="20" t="str"/>
      <x:c r="G3035" s="20" t="str"/>
      <x:c r="H3035" s="20" t="str">
        <x:v>5040 Mortgage Interest</x:v>
      </x:c>
      <x:c r="I3035" s="26" t="n">
        <x:v>798</x:v>
      </x:c>
      <x:c r="J3035" s="26" t="n">
        <x:v>0</x:v>
      </x:c>
      <x:c r="K3035" s="35" t="str">
        <x:v>LN020 scheduled payment</x:v>
      </x:c>
    </x:row>
    <x:row r="3036">
      <x:c r="A3036" s="20" t="str">
        <x:v>FIN-01417</x:v>
      </x:c>
      <x:c r="B3036" s="32" t="n">
        <x:v>3</x:v>
      </x:c>
      <x:c r="C3036" s="23" t="n">
        <x:v>46680</x:v>
      </x:c>
      <x:c r="D3036" s="23" t="n">
        <x:v>46680</x:v>
      </x:c>
      <x:c r="E3036" s="20" t="str">
        <x:v>P020</x:v>
      </x:c>
      <x:c r="F3036" s="20" t="str"/>
      <x:c r="G3036" s="20" t="str"/>
      <x:c r="H3036" s="20" t="str">
        <x:v>1000 Operating Cash</x:v>
      </x:c>
      <x:c r="I3036" s="26" t="n">
        <x:v>0</x:v>
      </x:c>
      <x:c r="J3036" s="26" t="n">
        <x:v>1438</x:v>
      </x:c>
      <x:c r="K3036" s="35" t="str">
        <x:v>LN020 scheduled payment</x:v>
      </x:c>
    </x:row>
    <x:row r="3037">
      <x:c r="A3037" s="20" t="str">
        <x:v>FIN-01418</x:v>
      </x:c>
      <x:c r="B3037" s="32" t="n">
        <x:v>1</x:v>
      </x:c>
      <x:c r="C3037" s="23" t="n">
        <x:v>46680</x:v>
      </x:c>
      <x:c r="D3037" s="23" t="n">
        <x:v>46680</x:v>
      </x:c>
      <x:c r="E3037" s="20" t="str">
        <x:v>P022</x:v>
      </x:c>
      <x:c r="F3037" s="20" t="str"/>
      <x:c r="G3037" s="20" t="str"/>
      <x:c r="H3037" s="20" t="str">
        <x:v>2200 Mortgage Loans Payable</x:v>
      </x:c>
      <x:c r="I3037" s="26" t="n">
        <x:v>662</x:v>
      </x:c>
      <x:c r="J3037" s="26" t="n">
        <x:v>0</x:v>
      </x:c>
      <x:c r="K3037" s="35" t="str">
        <x:v>LN022 scheduled payment</x:v>
      </x:c>
    </x:row>
    <x:row r="3038">
      <x:c r="A3038" s="20" t="str">
        <x:v>FIN-01418</x:v>
      </x:c>
      <x:c r="B3038" s="32" t="n">
        <x:v>2</x:v>
      </x:c>
      <x:c r="C3038" s="23" t="n">
        <x:v>46680</x:v>
      </x:c>
      <x:c r="D3038" s="23" t="n">
        <x:v>46680</x:v>
      </x:c>
      <x:c r="E3038" s="20" t="str">
        <x:v>P022</x:v>
      </x:c>
      <x:c r="F3038" s="20" t="str"/>
      <x:c r="G3038" s="20" t="str"/>
      <x:c r="H3038" s="20" t="str">
        <x:v>5040 Mortgage Interest</x:v>
      </x:c>
      <x:c r="I3038" s="26" t="n">
        <x:v>824</x:v>
      </x:c>
      <x:c r="J3038" s="26" t="n">
        <x:v>0</x:v>
      </x:c>
      <x:c r="K3038" s="35" t="str">
        <x:v>LN022 scheduled payment</x:v>
      </x:c>
    </x:row>
    <x:row r="3039">
      <x:c r="A3039" s="20" t="str">
        <x:v>FIN-01418</x:v>
      </x:c>
      <x:c r="B3039" s="32" t="n">
        <x:v>3</x:v>
      </x:c>
      <x:c r="C3039" s="23" t="n">
        <x:v>46680</x:v>
      </x:c>
      <x:c r="D3039" s="23" t="n">
        <x:v>46680</x:v>
      </x:c>
      <x:c r="E3039" s="20" t="str">
        <x:v>P022</x:v>
      </x:c>
      <x:c r="F3039" s="20" t="str"/>
      <x:c r="G3039" s="20" t="str"/>
      <x:c r="H3039" s="20" t="str">
        <x:v>1000 Operating Cash</x:v>
      </x:c>
      <x:c r="I3039" s="26" t="n">
        <x:v>0</x:v>
      </x:c>
      <x:c r="J3039" s="26" t="n">
        <x:v>1486</x:v>
      </x:c>
      <x:c r="K3039" s="35" t="str">
        <x:v>LN022 scheduled payment</x:v>
      </x:c>
    </x:row>
    <x:row r="3040">
      <x:c r="A3040" s="20" t="str">
        <x:v>FIN-01419</x:v>
      </x:c>
      <x:c r="B3040" s="32" t="n">
        <x:v>1</x:v>
      </x:c>
      <x:c r="C3040" s="23" t="n">
        <x:v>46680</x:v>
      </x:c>
      <x:c r="D3040" s="23" t="n">
        <x:v>46680</x:v>
      </x:c>
      <x:c r="E3040" s="20" t="str">
        <x:v>P023</x:v>
      </x:c>
      <x:c r="F3040" s="20" t="str"/>
      <x:c r="G3040" s="20" t="str"/>
      <x:c r="H3040" s="20" t="str">
        <x:v>2200 Mortgage Loans Payable</x:v>
      </x:c>
      <x:c r="I3040" s="26" t="n">
        <x:v>673</x:v>
      </x:c>
      <x:c r="J3040" s="26" t="n">
        <x:v>0</x:v>
      </x:c>
      <x:c r="K3040" s="35" t="str">
        <x:v>LN023 scheduled payment</x:v>
      </x:c>
    </x:row>
    <x:row r="3041">
      <x:c r="A3041" s="20" t="str">
        <x:v>FIN-01419</x:v>
      </x:c>
      <x:c r="B3041" s="32" t="n">
        <x:v>2</x:v>
      </x:c>
      <x:c r="C3041" s="23" t="n">
        <x:v>46680</x:v>
      </x:c>
      <x:c r="D3041" s="23" t="n">
        <x:v>46680</x:v>
      </x:c>
      <x:c r="E3041" s="20" t="str">
        <x:v>P023</x:v>
      </x:c>
      <x:c r="F3041" s="20" t="str"/>
      <x:c r="G3041" s="20" t="str"/>
      <x:c r="H3041" s="20" t="str">
        <x:v>5040 Mortgage Interest</x:v>
      </x:c>
      <x:c r="I3041" s="26" t="n">
        <x:v>837</x:v>
      </x:c>
      <x:c r="J3041" s="26" t="n">
        <x:v>0</x:v>
      </x:c>
      <x:c r="K3041" s="35" t="str">
        <x:v>LN023 scheduled payment</x:v>
      </x:c>
    </x:row>
    <x:row r="3042">
      <x:c r="A3042" s="20" t="str">
        <x:v>FIN-01419</x:v>
      </x:c>
      <x:c r="B3042" s="32" t="n">
        <x:v>3</x:v>
      </x:c>
      <x:c r="C3042" s="23" t="n">
        <x:v>46680</x:v>
      </x:c>
      <x:c r="D3042" s="23" t="n">
        <x:v>46680</x:v>
      </x:c>
      <x:c r="E3042" s="20" t="str">
        <x:v>P023</x:v>
      </x:c>
      <x:c r="F3042" s="20" t="str"/>
      <x:c r="G3042" s="20" t="str"/>
      <x:c r="H3042" s="20" t="str">
        <x:v>1000 Operating Cash</x:v>
      </x:c>
      <x:c r="I3042" s="26" t="n">
        <x:v>0</x:v>
      </x:c>
      <x:c r="J3042" s="26" t="n">
        <x:v>1510</x:v>
      </x:c>
      <x:c r="K3042" s="35" t="str">
        <x:v>LN023 scheduled payment</x:v>
      </x:c>
    </x:row>
    <x:row r="3043">
      <x:c r="A3043" s="20" t="str">
        <x:v>FIN-01420</x:v>
      </x:c>
      <x:c r="B3043" s="32" t="n">
        <x:v>1</x:v>
      </x:c>
      <x:c r="C3043" s="23" t="n">
        <x:v>46680</x:v>
      </x:c>
      <x:c r="D3043" s="23" t="n">
        <x:v>46680</x:v>
      </x:c>
      <x:c r="E3043" s="20" t="str">
        <x:v>P025</x:v>
      </x:c>
      <x:c r="F3043" s="20" t="str"/>
      <x:c r="G3043" s="20" t="str"/>
      <x:c r="H3043" s="20" t="str">
        <x:v>2200 Mortgage Loans Payable</x:v>
      </x:c>
      <x:c r="I3043" s="26" t="n">
        <x:v>695</x:v>
      </x:c>
      <x:c r="J3043" s="26" t="n">
        <x:v>0</x:v>
      </x:c>
      <x:c r="K3043" s="35" t="str">
        <x:v>LN025 scheduled payment</x:v>
      </x:c>
    </x:row>
    <x:row r="3044">
      <x:c r="A3044" s="20" t="str">
        <x:v>FIN-01420</x:v>
      </x:c>
      <x:c r="B3044" s="32" t="n">
        <x:v>2</x:v>
      </x:c>
      <x:c r="C3044" s="23" t="n">
        <x:v>46680</x:v>
      </x:c>
      <x:c r="D3044" s="23" t="n">
        <x:v>46680</x:v>
      </x:c>
      <x:c r="E3044" s="20" t="str">
        <x:v>P025</x:v>
      </x:c>
      <x:c r="F3044" s="20" t="str"/>
      <x:c r="G3044" s="20" t="str"/>
      <x:c r="H3044" s="20" t="str">
        <x:v>5040 Mortgage Interest</x:v>
      </x:c>
      <x:c r="I3044" s="26" t="n">
        <x:v>863</x:v>
      </x:c>
      <x:c r="J3044" s="26" t="n">
        <x:v>0</x:v>
      </x:c>
      <x:c r="K3044" s="35" t="str">
        <x:v>LN025 scheduled payment</x:v>
      </x:c>
    </x:row>
    <x:row r="3045">
      <x:c r="A3045" s="20" t="str">
        <x:v>FIN-01420</x:v>
      </x:c>
      <x:c r="B3045" s="32" t="n">
        <x:v>3</x:v>
      </x:c>
      <x:c r="C3045" s="23" t="n">
        <x:v>46680</x:v>
      </x:c>
      <x:c r="D3045" s="23" t="n">
        <x:v>46680</x:v>
      </x:c>
      <x:c r="E3045" s="20" t="str">
        <x:v>P025</x:v>
      </x:c>
      <x:c r="F3045" s="20" t="str"/>
      <x:c r="G3045" s="20" t="str"/>
      <x:c r="H3045" s="20" t="str">
        <x:v>1000 Operating Cash</x:v>
      </x:c>
      <x:c r="I3045" s="26" t="n">
        <x:v>0</x:v>
      </x:c>
      <x:c r="J3045" s="26" t="n">
        <x:v>1558</x:v>
      </x:c>
      <x:c r="K3045" s="35" t="str">
        <x:v>LN025 scheduled payment</x:v>
      </x:c>
    </x:row>
    <x:row r="3046">
      <x:c r="A3046" s="20" t="str">
        <x:v>FIN-01421</x:v>
      </x:c>
      <x:c r="B3046" s="32" t="n">
        <x:v>1</x:v>
      </x:c>
      <x:c r="C3046" s="23" t="n">
        <x:v>46680</x:v>
      </x:c>
      <x:c r="D3046" s="23" t="n">
        <x:v>46680</x:v>
      </x:c>
      <x:c r="E3046" s="20" t="str">
        <x:v>P026</x:v>
      </x:c>
      <x:c r="F3046" s="20" t="str"/>
      <x:c r="G3046" s="20" t="str"/>
      <x:c r="H3046" s="20" t="str">
        <x:v>2200 Mortgage Loans Payable</x:v>
      </x:c>
      <x:c r="I3046" s="26" t="n">
        <x:v>706</x:v>
      </x:c>
      <x:c r="J3046" s="26" t="n">
        <x:v>0</x:v>
      </x:c>
      <x:c r="K3046" s="35" t="str">
        <x:v>LN026 scheduled payment</x:v>
      </x:c>
    </x:row>
    <x:row r="3047">
      <x:c r="A3047" s="20" t="str">
        <x:v>FIN-01421</x:v>
      </x:c>
      <x:c r="B3047" s="32" t="n">
        <x:v>2</x:v>
      </x:c>
      <x:c r="C3047" s="23" t="n">
        <x:v>46680</x:v>
      </x:c>
      <x:c r="D3047" s="23" t="n">
        <x:v>46680</x:v>
      </x:c>
      <x:c r="E3047" s="20" t="str">
        <x:v>P026</x:v>
      </x:c>
      <x:c r="F3047" s="20" t="str"/>
      <x:c r="G3047" s="20" t="str"/>
      <x:c r="H3047" s="20" t="str">
        <x:v>5040 Mortgage Interest</x:v>
      </x:c>
      <x:c r="I3047" s="26" t="n">
        <x:v>876</x:v>
      </x:c>
      <x:c r="J3047" s="26" t="n">
        <x:v>0</x:v>
      </x:c>
      <x:c r="K3047" s="35" t="str">
        <x:v>LN026 scheduled payment</x:v>
      </x:c>
    </x:row>
    <x:row r="3048">
      <x:c r="A3048" s="20" t="str">
        <x:v>FIN-01421</x:v>
      </x:c>
      <x:c r="B3048" s="32" t="n">
        <x:v>3</x:v>
      </x:c>
      <x:c r="C3048" s="23" t="n">
        <x:v>46680</x:v>
      </x:c>
      <x:c r="D3048" s="23" t="n">
        <x:v>46680</x:v>
      </x:c>
      <x:c r="E3048" s="20" t="str">
        <x:v>P026</x:v>
      </x:c>
      <x:c r="F3048" s="20" t="str"/>
      <x:c r="G3048" s="20" t="str"/>
      <x:c r="H3048" s="20" t="str">
        <x:v>1000 Operating Cash</x:v>
      </x:c>
      <x:c r="I3048" s="26" t="n">
        <x:v>0</x:v>
      </x:c>
      <x:c r="J3048" s="26" t="n">
        <x:v>1582</x:v>
      </x:c>
      <x:c r="K3048" s="35" t="str">
        <x:v>LN026 scheduled payment</x:v>
      </x:c>
    </x:row>
    <x:row r="3049">
      <x:c r="A3049" s="20" t="str">
        <x:v>FIN-01422</x:v>
      </x:c>
      <x:c r="B3049" s="32" t="n">
        <x:v>1</x:v>
      </x:c>
      <x:c r="C3049" s="23" t="n">
        <x:v>46680</x:v>
      </x:c>
      <x:c r="D3049" s="23" t="n">
        <x:v>46680</x:v>
      </x:c>
      <x:c r="E3049" s="20" t="str">
        <x:v>P028</x:v>
      </x:c>
      <x:c r="F3049" s="20" t="str"/>
      <x:c r="G3049" s="20" t="str"/>
      <x:c r="H3049" s="20" t="str">
        <x:v>2200 Mortgage Loans Payable</x:v>
      </x:c>
      <x:c r="I3049" s="26" t="n">
        <x:v>728</x:v>
      </x:c>
      <x:c r="J3049" s="26" t="n">
        <x:v>0</x:v>
      </x:c>
      <x:c r="K3049" s="35" t="str">
        <x:v>LN028 scheduled payment</x:v>
      </x:c>
    </x:row>
    <x:row r="3050">
      <x:c r="A3050" s="20" t="str">
        <x:v>FIN-01422</x:v>
      </x:c>
      <x:c r="B3050" s="32" t="n">
        <x:v>2</x:v>
      </x:c>
      <x:c r="C3050" s="23" t="n">
        <x:v>46680</x:v>
      </x:c>
      <x:c r="D3050" s="23" t="n">
        <x:v>46680</x:v>
      </x:c>
      <x:c r="E3050" s="20" t="str">
        <x:v>P028</x:v>
      </x:c>
      <x:c r="F3050" s="20" t="str"/>
      <x:c r="G3050" s="20" t="str"/>
      <x:c r="H3050" s="20" t="str">
        <x:v>5040 Mortgage Interest</x:v>
      </x:c>
      <x:c r="I3050" s="26" t="n">
        <x:v>902</x:v>
      </x:c>
      <x:c r="J3050" s="26" t="n">
        <x:v>0</x:v>
      </x:c>
      <x:c r="K3050" s="35" t="str">
        <x:v>LN028 scheduled payment</x:v>
      </x:c>
    </x:row>
    <x:row r="3051">
      <x:c r="A3051" s="20" t="str">
        <x:v>FIN-01422</x:v>
      </x:c>
      <x:c r="B3051" s="32" t="n">
        <x:v>3</x:v>
      </x:c>
      <x:c r="C3051" s="23" t="n">
        <x:v>46680</x:v>
      </x:c>
      <x:c r="D3051" s="23" t="n">
        <x:v>46680</x:v>
      </x:c>
      <x:c r="E3051" s="20" t="str">
        <x:v>P028</x:v>
      </x:c>
      <x:c r="F3051" s="20" t="str"/>
      <x:c r="G3051" s="20" t="str"/>
      <x:c r="H3051" s="20" t="str">
        <x:v>1000 Operating Cash</x:v>
      </x:c>
      <x:c r="I3051" s="26" t="n">
        <x:v>0</x:v>
      </x:c>
      <x:c r="J3051" s="26" t="n">
        <x:v>1630</x:v>
      </x:c>
      <x:c r="K3051" s="35" t="str">
        <x:v>LN028 scheduled payment</x:v>
      </x:c>
    </x:row>
    <x:row r="3052">
      <x:c r="A3052" s="20" t="str">
        <x:v>FIN-01423</x:v>
      </x:c>
      <x:c r="B3052" s="32" t="n">
        <x:v>1</x:v>
      </x:c>
      <x:c r="C3052" s="23" t="n">
        <x:v>46680</x:v>
      </x:c>
      <x:c r="D3052" s="23" t="n">
        <x:v>46680</x:v>
      </x:c>
      <x:c r="E3052" s="20" t="str">
        <x:v>P029</x:v>
      </x:c>
      <x:c r="F3052" s="20" t="str"/>
      <x:c r="G3052" s="20" t="str"/>
      <x:c r="H3052" s="20" t="str">
        <x:v>2200 Mortgage Loans Payable</x:v>
      </x:c>
      <x:c r="I3052" s="26" t="n">
        <x:v>739</x:v>
      </x:c>
      <x:c r="J3052" s="26" t="n">
        <x:v>0</x:v>
      </x:c>
      <x:c r="K3052" s="35" t="str">
        <x:v>LN029 scheduled payment</x:v>
      </x:c>
    </x:row>
    <x:row r="3053">
      <x:c r="A3053" s="20" t="str">
        <x:v>FIN-01423</x:v>
      </x:c>
      <x:c r="B3053" s="32" t="n">
        <x:v>2</x:v>
      </x:c>
      <x:c r="C3053" s="23" t="n">
        <x:v>46680</x:v>
      </x:c>
      <x:c r="D3053" s="23" t="n">
        <x:v>46680</x:v>
      </x:c>
      <x:c r="E3053" s="20" t="str">
        <x:v>P029</x:v>
      </x:c>
      <x:c r="F3053" s="20" t="str"/>
      <x:c r="G3053" s="20" t="str"/>
      <x:c r="H3053" s="20" t="str">
        <x:v>5040 Mortgage Interest</x:v>
      </x:c>
      <x:c r="I3053" s="26" t="n">
        <x:v>915</x:v>
      </x:c>
      <x:c r="J3053" s="26" t="n">
        <x:v>0</x:v>
      </x:c>
      <x:c r="K3053" s="35" t="str">
        <x:v>LN029 scheduled payment</x:v>
      </x:c>
    </x:row>
    <x:row r="3054">
      <x:c r="A3054" s="20" t="str">
        <x:v>FIN-01423</x:v>
      </x:c>
      <x:c r="B3054" s="32" t="n">
        <x:v>3</x:v>
      </x:c>
      <x:c r="C3054" s="23" t="n">
        <x:v>46680</x:v>
      </x:c>
      <x:c r="D3054" s="23" t="n">
        <x:v>46680</x:v>
      </x:c>
      <x:c r="E3054" s="20" t="str">
        <x:v>P029</x:v>
      </x:c>
      <x:c r="F3054" s="20" t="str"/>
      <x:c r="G3054" s="20" t="str"/>
      <x:c r="H3054" s="20" t="str">
        <x:v>1000 Operating Cash</x:v>
      </x:c>
      <x:c r="I3054" s="26" t="n">
        <x:v>0</x:v>
      </x:c>
      <x:c r="J3054" s="26" t="n">
        <x:v>1654</x:v>
      </x:c>
      <x:c r="K3054" s="35" t="str">
        <x:v>LN029 scheduled payment</x:v>
      </x:c>
    </x:row>
    <x:row r="3055">
      <x:c r="A3055" s="20" t="str">
        <x:v>FIN-01424</x:v>
      </x:c>
      <x:c r="B3055" s="32" t="n">
        <x:v>1</x:v>
      </x:c>
      <x:c r="C3055" s="23" t="n">
        <x:v>46685</x:v>
      </x:c>
      <x:c r="D3055" s="23" t="n">
        <x:v>46685</x:v>
      </x:c>
      <x:c r="E3055" s="20" t="str"/>
      <x:c r="F3055" s="20" t="str"/>
      <x:c r="G3055" s="20" t="str"/>
      <x:c r="H3055" s="20" t="str">
        <x:v>3100 Owner Distributions</x:v>
      </x:c>
      <x:c r="I3055" s="26" t="n">
        <x:v>3050</x:v>
      </x:c>
      <x:c r="J3055" s="26" t="n">
        <x:v>0</x:v>
      </x:c>
      <x:c r="K3055" s="35" t="str">
        <x:v>Monthly distribution to Blue Door Residential LLC</x:v>
      </x:c>
    </x:row>
    <x:row r="3056">
      <x:c r="A3056" s="20" t="str">
        <x:v>FIN-01424</x:v>
      </x:c>
      <x:c r="B3056" s="32" t="n">
        <x:v>2</x:v>
      </x:c>
      <x:c r="C3056" s="23" t="n">
        <x:v>46685</x:v>
      </x:c>
      <x:c r="D3056" s="23" t="n">
        <x:v>46685</x:v>
      </x:c>
      <x:c r="E3056" s="20" t="str"/>
      <x:c r="F3056" s="20" t="str"/>
      <x:c r="G3056" s="20" t="str"/>
      <x:c r="H3056" s="20" t="str">
        <x:v>1000 Operating Cash</x:v>
      </x:c>
      <x:c r="I3056" s="26" t="n">
        <x:v>0</x:v>
      </x:c>
      <x:c r="J3056" s="26" t="n">
        <x:v>3050</x:v>
      </x:c>
      <x:c r="K3056" s="35" t="str">
        <x:v>Monthly distribution to Blue Door Residential LLC</x:v>
      </x:c>
    </x:row>
    <x:row r="3057">
      <x:c r="A3057" s="20" t="str">
        <x:v>FIN-01425</x:v>
      </x:c>
      <x:c r="B3057" s="32" t="n">
        <x:v>1</x:v>
      </x:c>
      <x:c r="C3057" s="23" t="n">
        <x:v>46685</x:v>
      </x:c>
      <x:c r="D3057" s="23" t="n">
        <x:v>46685</x:v>
      </x:c>
      <x:c r="E3057" s="20" t="str"/>
      <x:c r="F3057" s="20" t="str"/>
      <x:c r="G3057" s="20" t="str"/>
      <x:c r="H3057" s="20" t="str">
        <x:v>3100 Owner Distributions</x:v>
      </x:c>
      <x:c r="I3057" s="26" t="n">
        <x:v>3400</x:v>
      </x:c>
      <x:c r="J3057" s="26" t="n">
        <x:v>0</x:v>
      </x:c>
      <x:c r="K3057" s="35" t="str">
        <x:v>Monthly distribution to Coble Family Rentals LLC</x:v>
      </x:c>
    </x:row>
    <x:row r="3058">
      <x:c r="A3058" s="20" t="str">
        <x:v>FIN-01425</x:v>
      </x:c>
      <x:c r="B3058" s="32" t="n">
        <x:v>2</x:v>
      </x:c>
      <x:c r="C3058" s="23" t="n">
        <x:v>46685</x:v>
      </x:c>
      <x:c r="D3058" s="23" t="n">
        <x:v>46685</x:v>
      </x:c>
      <x:c r="E3058" s="20" t="str"/>
      <x:c r="F3058" s="20" t="str"/>
      <x:c r="G3058" s="20" t="str"/>
      <x:c r="H3058" s="20" t="str">
        <x:v>1000 Operating Cash</x:v>
      </x:c>
      <x:c r="I3058" s="26" t="n">
        <x:v>0</x:v>
      </x:c>
      <x:c r="J3058" s="26" t="n">
        <x:v>3400</x:v>
      </x:c>
      <x:c r="K3058" s="35" t="str">
        <x:v>Monthly distribution to Coble Family Rentals LLC</x:v>
      </x:c>
    </x:row>
    <x:row r="3059">
      <x:c r="A3059" s="20" t="str">
        <x:v>FIN-01426</x:v>
      </x:c>
      <x:c r="B3059" s="32" t="n">
        <x:v>1</x:v>
      </x:c>
      <x:c r="C3059" s="23" t="n">
        <x:v>46685</x:v>
      </x:c>
      <x:c r="D3059" s="23" t="n">
        <x:v>46685</x:v>
      </x:c>
      <x:c r="E3059" s="20" t="str"/>
      <x:c r="F3059" s="20" t="str"/>
      <x:c r="G3059" s="20" t="str"/>
      <x:c r="H3059" s="20" t="str">
        <x:v>3100 Owner Distributions</x:v>
      </x:c>
      <x:c r="I3059" s="26" t="n">
        <x:v>3750</x:v>
      </x:c>
      <x:c r="J3059" s="26" t="n">
        <x:v>0</x:v>
      </x:c>
      <x:c r="K3059" s="35" t="str">
        <x:v>Monthly distribution to Northstar Property Partners LLC</x:v>
      </x:c>
    </x:row>
    <x:row r="3060">
      <x:c r="A3060" s="20" t="str">
        <x:v>FIN-01426</x:v>
      </x:c>
      <x:c r="B3060" s="32" t="n">
        <x:v>2</x:v>
      </x:c>
      <x:c r="C3060" s="23" t="n">
        <x:v>46685</x:v>
      </x:c>
      <x:c r="D3060" s="23" t="n">
        <x:v>46685</x:v>
      </x:c>
      <x:c r="E3060" s="20" t="str"/>
      <x:c r="F3060" s="20" t="str"/>
      <x:c r="G3060" s="20" t="str"/>
      <x:c r="H3060" s="20" t="str">
        <x:v>1000 Operating Cash</x:v>
      </x:c>
      <x:c r="I3060" s="26" t="n">
        <x:v>0</x:v>
      </x:c>
      <x:c r="J3060" s="26" t="n">
        <x:v>3750</x:v>
      </x:c>
      <x:c r="K3060" s="35" t="str">
        <x:v>Monthly distribution to Northstar Property Partners LLC</x:v>
      </x:c>
    </x:row>
    <x:row r="3061">
      <x:c r="A3061" s="20" t="str">
        <x:v>FIN-01427</x:v>
      </x:c>
      <x:c r="B3061" s="32" t="n">
        <x:v>1</x:v>
      </x:c>
      <x:c r="C3061" s="23" t="n">
        <x:v>46685</x:v>
      </x:c>
      <x:c r="D3061" s="23" t="n">
        <x:v>46685</x:v>
      </x:c>
      <x:c r="E3061" s="20" t="str"/>
      <x:c r="F3061" s="20" t="str"/>
      <x:c r="G3061" s="20" t="str"/>
      <x:c r="H3061" s="20" t="str">
        <x:v>3100 Owner Distributions</x:v>
      </x:c>
      <x:c r="I3061" s="26" t="n">
        <x:v>4100</x:v>
      </x:c>
      <x:c r="J3061" s="26" t="n">
        <x:v>0</x:v>
      </x:c>
      <x:c r="K3061" s="35" t="str">
        <x:v>Monthly distribution to Riverbend Homes LLC</x:v>
      </x:c>
    </x:row>
    <x:row r="3062">
      <x:c r="A3062" s="20" t="str">
        <x:v>FIN-01427</x:v>
      </x:c>
      <x:c r="B3062" s="32" t="n">
        <x:v>2</x:v>
      </x:c>
      <x:c r="C3062" s="23" t="n">
        <x:v>46685</x:v>
      </x:c>
      <x:c r="D3062" s="23" t="n">
        <x:v>46685</x:v>
      </x:c>
      <x:c r="E3062" s="20" t="str"/>
      <x:c r="F3062" s="20" t="str"/>
      <x:c r="G3062" s="20" t="str"/>
      <x:c r="H3062" s="20" t="str">
        <x:v>1000 Operating Cash</x:v>
      </x:c>
      <x:c r="I3062" s="26" t="n">
        <x:v>0</x:v>
      </x:c>
      <x:c r="J3062" s="26" t="n">
        <x:v>4100</x:v>
      </x:c>
      <x:c r="K3062" s="35" t="str">
        <x:v>Monthly distribution to Riverbend Homes LLC</x:v>
      </x:c>
    </x:row>
    <x:row r="3063">
      <x:c r="A3063" s="20" t="str">
        <x:v>FIN-01428</x:v>
      </x:c>
      <x:c r="B3063" s="32" t="n">
        <x:v>1</x:v>
      </x:c>
      <x:c r="C3063" s="23" t="n">
        <x:v>46685</x:v>
      </x:c>
      <x:c r="D3063" s="23" t="n">
        <x:v>46685</x:v>
      </x:c>
      <x:c r="E3063" s="20" t="str"/>
      <x:c r="F3063" s="20" t="str"/>
      <x:c r="G3063" s="20" t="str"/>
      <x:c r="H3063" s="20" t="str">
        <x:v>3100 Owner Distributions</x:v>
      </x:c>
      <x:c r="I3063" s="26" t="n">
        <x:v>4450</x:v>
      </x:c>
      <x:c r="J3063" s="26" t="n">
        <x:v>0</x:v>
      </x:c>
      <x:c r="K3063" s="35" t="str">
        <x:v>Monthly distribution to Juniper Street Holdings LLC</x:v>
      </x:c>
    </x:row>
    <x:row r="3064">
      <x:c r="A3064" s="20" t="str">
        <x:v>FIN-01428</x:v>
      </x:c>
      <x:c r="B3064" s="32" t="n">
        <x:v>2</x:v>
      </x:c>
      <x:c r="C3064" s="23" t="n">
        <x:v>46685</x:v>
      </x:c>
      <x:c r="D3064" s="23" t="n">
        <x:v>46685</x:v>
      </x:c>
      <x:c r="E3064" s="20" t="str"/>
      <x:c r="F3064" s="20" t="str"/>
      <x:c r="G3064" s="20" t="str"/>
      <x:c r="H3064" s="20" t="str">
        <x:v>1000 Operating Cash</x:v>
      </x:c>
      <x:c r="I3064" s="26" t="n">
        <x:v>0</x:v>
      </x:c>
      <x:c r="J3064" s="26" t="n">
        <x:v>4450</x:v>
      </x:c>
      <x:c r="K3064" s="35" t="str">
        <x:v>Monthly distribution to Juniper Street Holdings LLC</x:v>
      </x:c>
    </x:row>
    <x:row r="3065">
      <x:c r="A3065" s="20" t="str">
        <x:v>FIN-01429</x:v>
      </x:c>
      <x:c r="B3065" s="32" t="n">
        <x:v>1</x:v>
      </x:c>
      <x:c r="C3065" s="23" t="n">
        <x:v>46706</x:v>
      </x:c>
      <x:c r="D3065" s="23" t="n">
        <x:v>46706</x:v>
      </x:c>
      <x:c r="E3065" s="20" t="str">
        <x:v>P021</x:v>
      </x:c>
      <x:c r="F3065" s="20" t="str"/>
      <x:c r="G3065" s="20" t="str"/>
      <x:c r="H3065" s="20" t="str">
        <x:v>5010 Utilities</x:v>
      </x:c>
      <x:c r="I3065" s="26" t="n">
        <x:v>156</x:v>
      </x:c>
      <x:c r="J3065" s="26" t="n">
        <x:v>0</x:v>
      </x:c>
      <x:c r="K3065" s="35" t="str">
        <x:v>City Water &amp; Sewer</x:v>
      </x:c>
    </x:row>
    <x:row r="3066">
      <x:c r="A3066" s="20" t="str">
        <x:v>FIN-01429</x:v>
      </x:c>
      <x:c r="B3066" s="32" t="n">
        <x:v>2</x:v>
      </x:c>
      <x:c r="C3066" s="23" t="n">
        <x:v>46706</x:v>
      </x:c>
      <x:c r="D3066" s="23" t="n">
        <x:v>46706</x:v>
      </x:c>
      <x:c r="E3066" s="20" t="str">
        <x:v>P021</x:v>
      </x:c>
      <x:c r="F3066" s="20" t="str"/>
      <x:c r="G3066" s="20" t="str"/>
      <x:c r="H3066" s="20" t="str">
        <x:v>1000 Operating Cash</x:v>
      </x:c>
      <x:c r="I3066" s="26" t="n">
        <x:v>0</x:v>
      </x:c>
      <x:c r="J3066" s="26" t="n">
        <x:v>156</x:v>
      </x:c>
      <x:c r="K3066" s="35" t="str">
        <x:v>City Water &amp; Sewer</x:v>
      </x:c>
    </x:row>
    <x:row r="3067">
      <x:c r="A3067" s="20" t="str">
        <x:v>FIN-01430</x:v>
      </x:c>
      <x:c r="B3067" s="32" t="n">
        <x:v>1</x:v>
      </x:c>
      <x:c r="C3067" s="23" t="n">
        <x:v>46706</x:v>
      </x:c>
      <x:c r="D3067" s="23" t="n">
        <x:v>46706</x:v>
      </x:c>
      <x:c r="E3067" s="20" t="str">
        <x:v>P022</x:v>
      </x:c>
      <x:c r="F3067" s="20" t="str"/>
      <x:c r="G3067" s="20" t="str"/>
      <x:c r="H3067" s="20" t="str">
        <x:v>5010 Utilities</x:v>
      </x:c>
      <x:c r="I3067" s="26" t="n">
        <x:v>163</x:v>
      </x:c>
      <x:c r="J3067" s="26" t="n">
        <x:v>0</x:v>
      </x:c>
      <x:c r="K3067" s="35" t="str">
        <x:v>City Water &amp; Sewer</x:v>
      </x:c>
    </x:row>
    <x:row r="3068">
      <x:c r="A3068" s="20" t="str">
        <x:v>FIN-01430</x:v>
      </x:c>
      <x:c r="B3068" s="32" t="n">
        <x:v>2</x:v>
      </x:c>
      <x:c r="C3068" s="23" t="n">
        <x:v>46706</x:v>
      </x:c>
      <x:c r="D3068" s="23" t="n">
        <x:v>46706</x:v>
      </x:c>
      <x:c r="E3068" s="20" t="str">
        <x:v>P022</x:v>
      </x:c>
      <x:c r="F3068" s="20" t="str"/>
      <x:c r="G3068" s="20" t="str"/>
      <x:c r="H3068" s="20" t="str">
        <x:v>1000 Operating Cash</x:v>
      </x:c>
      <x:c r="I3068" s="26" t="n">
        <x:v>0</x:v>
      </x:c>
      <x:c r="J3068" s="26" t="n">
        <x:v>163</x:v>
      </x:c>
      <x:c r="K3068" s="35" t="str">
        <x:v>City Water &amp; Sewer</x:v>
      </x:c>
    </x:row>
    <x:row r="3069">
      <x:c r="A3069" s="20" t="str">
        <x:v>FIN-01431</x:v>
      </x:c>
      <x:c r="B3069" s="32" t="n">
        <x:v>1</x:v>
      </x:c>
      <x:c r="C3069" s="23" t="n">
        <x:v>46706</x:v>
      </x:c>
      <x:c r="D3069" s="23" t="n">
        <x:v>46706</x:v>
      </x:c>
      <x:c r="E3069" s="20" t="str">
        <x:v>P023</x:v>
      </x:c>
      <x:c r="F3069" s="20" t="str"/>
      <x:c r="G3069" s="20" t="str"/>
      <x:c r="H3069" s="20" t="str">
        <x:v>5010 Utilities</x:v>
      </x:c>
      <x:c r="I3069" s="26" t="n">
        <x:v>170</x:v>
      </x:c>
      <x:c r="J3069" s="26" t="n">
        <x:v>0</x:v>
      </x:c>
      <x:c r="K3069" s="35" t="str">
        <x:v>City Water &amp; Sewer</x:v>
      </x:c>
    </x:row>
    <x:row r="3070">
      <x:c r="A3070" s="20" t="str">
        <x:v>FIN-01431</x:v>
      </x:c>
      <x:c r="B3070" s="32" t="n">
        <x:v>2</x:v>
      </x:c>
      <x:c r="C3070" s="23" t="n">
        <x:v>46706</x:v>
      </x:c>
      <x:c r="D3070" s="23" t="n">
        <x:v>46706</x:v>
      </x:c>
      <x:c r="E3070" s="20" t="str">
        <x:v>P023</x:v>
      </x:c>
      <x:c r="F3070" s="20" t="str"/>
      <x:c r="G3070" s="20" t="str"/>
      <x:c r="H3070" s="20" t="str">
        <x:v>1000 Operating Cash</x:v>
      </x:c>
      <x:c r="I3070" s="26" t="n">
        <x:v>0</x:v>
      </x:c>
      <x:c r="J3070" s="26" t="n">
        <x:v>170</x:v>
      </x:c>
      <x:c r="K3070" s="35" t="str">
        <x:v>City Water &amp; Sewer</x:v>
      </x:c>
    </x:row>
    <x:row r="3071">
      <x:c r="A3071" s="20" t="str">
        <x:v>FIN-01432</x:v>
      </x:c>
      <x:c r="B3071" s="32" t="n">
        <x:v>1</x:v>
      </x:c>
      <x:c r="C3071" s="23" t="n">
        <x:v>46706</x:v>
      </x:c>
      <x:c r="D3071" s="23" t="n">
        <x:v>46706</x:v>
      </x:c>
      <x:c r="E3071" s="20" t="str">
        <x:v>P024</x:v>
      </x:c>
      <x:c r="F3071" s="20" t="str"/>
      <x:c r="G3071" s="20" t="str"/>
      <x:c r="H3071" s="20" t="str">
        <x:v>5010 Utilities</x:v>
      </x:c>
      <x:c r="I3071" s="26" t="n">
        <x:v>177</x:v>
      </x:c>
      <x:c r="J3071" s="26" t="n">
        <x:v>0</x:v>
      </x:c>
      <x:c r="K3071" s="35" t="str">
        <x:v>City Water &amp; Sewer</x:v>
      </x:c>
    </x:row>
    <x:row r="3072">
      <x:c r="A3072" s="20" t="str">
        <x:v>FIN-01432</x:v>
      </x:c>
      <x:c r="B3072" s="32" t="n">
        <x:v>2</x:v>
      </x:c>
      <x:c r="C3072" s="23" t="n">
        <x:v>46706</x:v>
      </x:c>
      <x:c r="D3072" s="23" t="n">
        <x:v>46706</x:v>
      </x:c>
      <x:c r="E3072" s="20" t="str">
        <x:v>P024</x:v>
      </x:c>
      <x:c r="F3072" s="20" t="str"/>
      <x:c r="G3072" s="20" t="str"/>
      <x:c r="H3072" s="20" t="str">
        <x:v>1000 Operating Cash</x:v>
      </x:c>
      <x:c r="I3072" s="26" t="n">
        <x:v>0</x:v>
      </x:c>
      <x:c r="J3072" s="26" t="n">
        <x:v>177</x:v>
      </x:c>
      <x:c r="K3072" s="35" t="str">
        <x:v>City Water &amp; Sewer</x:v>
      </x:c>
    </x:row>
    <x:row r="3073">
      <x:c r="A3073" s="20" t="str">
        <x:v>FIN-01433</x:v>
      </x:c>
      <x:c r="B3073" s="32" t="n">
        <x:v>1</x:v>
      </x:c>
      <x:c r="C3073" s="23" t="n">
        <x:v>46706</x:v>
      </x:c>
      <x:c r="D3073" s="23" t="n">
        <x:v>46706</x:v>
      </x:c>
      <x:c r="E3073" s="20" t="str">
        <x:v>P025</x:v>
      </x:c>
      <x:c r="F3073" s="20" t="str"/>
      <x:c r="G3073" s="20" t="str"/>
      <x:c r="H3073" s="20" t="str">
        <x:v>5010 Utilities</x:v>
      </x:c>
      <x:c r="I3073" s="26" t="n">
        <x:v>184</x:v>
      </x:c>
      <x:c r="J3073" s="26" t="n">
        <x:v>0</x:v>
      </x:c>
      <x:c r="K3073" s="35" t="str">
        <x:v>City Water &amp; Sewer</x:v>
      </x:c>
    </x:row>
    <x:row r="3074">
      <x:c r="A3074" s="20" t="str">
        <x:v>FIN-01433</x:v>
      </x:c>
      <x:c r="B3074" s="32" t="n">
        <x:v>2</x:v>
      </x:c>
      <x:c r="C3074" s="23" t="n">
        <x:v>46706</x:v>
      </x:c>
      <x:c r="D3074" s="23" t="n">
        <x:v>46706</x:v>
      </x:c>
      <x:c r="E3074" s="20" t="str">
        <x:v>P025</x:v>
      </x:c>
      <x:c r="F3074" s="20" t="str"/>
      <x:c r="G3074" s="20" t="str"/>
      <x:c r="H3074" s="20" t="str">
        <x:v>1000 Operating Cash</x:v>
      </x:c>
      <x:c r="I3074" s="26" t="n">
        <x:v>0</x:v>
      </x:c>
      <x:c r="J3074" s="26" t="n">
        <x:v>184</x:v>
      </x:c>
      <x:c r="K3074" s="35" t="str">
        <x:v>City Water &amp; Sewer</x:v>
      </x:c>
    </x:row>
    <x:row r="3075">
      <x:c r="A3075" s="20" t="str">
        <x:v>FIN-01434</x:v>
      </x:c>
      <x:c r="B3075" s="32" t="n">
        <x:v>1</x:v>
      </x:c>
      <x:c r="C3075" s="23" t="n">
        <x:v>46706</x:v>
      </x:c>
      <x:c r="D3075" s="23" t="n">
        <x:v>46706</x:v>
      </x:c>
      <x:c r="E3075" s="20" t="str">
        <x:v>P026</x:v>
      </x:c>
      <x:c r="F3075" s="20" t="str"/>
      <x:c r="G3075" s="20" t="str"/>
      <x:c r="H3075" s="20" t="str">
        <x:v>5010 Utilities</x:v>
      </x:c>
      <x:c r="I3075" s="26" t="n">
        <x:v>191</x:v>
      </x:c>
      <x:c r="J3075" s="26" t="n">
        <x:v>0</x:v>
      </x:c>
      <x:c r="K3075" s="35" t="str">
        <x:v>City Water &amp; Sewer</x:v>
      </x:c>
    </x:row>
    <x:row r="3076">
      <x:c r="A3076" s="20" t="str">
        <x:v>FIN-01434</x:v>
      </x:c>
      <x:c r="B3076" s="32" t="n">
        <x:v>2</x:v>
      </x:c>
      <x:c r="C3076" s="23" t="n">
        <x:v>46706</x:v>
      </x:c>
      <x:c r="D3076" s="23" t="n">
        <x:v>46706</x:v>
      </x:c>
      <x:c r="E3076" s="20" t="str">
        <x:v>P026</x:v>
      </x:c>
      <x:c r="F3076" s="20" t="str"/>
      <x:c r="G3076" s="20" t="str"/>
      <x:c r="H3076" s="20" t="str">
        <x:v>1000 Operating Cash</x:v>
      </x:c>
      <x:c r="I3076" s="26" t="n">
        <x:v>0</x:v>
      </x:c>
      <x:c r="J3076" s="26" t="n">
        <x:v>191</x:v>
      </x:c>
      <x:c r="K3076" s="35" t="str">
        <x:v>City Water &amp; Sewer</x:v>
      </x:c>
    </x:row>
    <x:row r="3077">
      <x:c r="A3077" s="20" t="str">
        <x:v>FIN-01435</x:v>
      </x:c>
      <x:c r="B3077" s="32" t="n">
        <x:v>1</x:v>
      </x:c>
      <x:c r="C3077" s="23" t="n">
        <x:v>46706</x:v>
      </x:c>
      <x:c r="D3077" s="23" t="n">
        <x:v>46706</x:v>
      </x:c>
      <x:c r="E3077" s="20" t="str">
        <x:v>P027</x:v>
      </x:c>
      <x:c r="F3077" s="20" t="str"/>
      <x:c r="G3077" s="20" t="str"/>
      <x:c r="H3077" s="20" t="str">
        <x:v>5010 Utilities</x:v>
      </x:c>
      <x:c r="I3077" s="26" t="n">
        <x:v>198</x:v>
      </x:c>
      <x:c r="J3077" s="26" t="n">
        <x:v>0</x:v>
      </x:c>
      <x:c r="K3077" s="35" t="str">
        <x:v>City Water &amp; Sewer</x:v>
      </x:c>
    </x:row>
    <x:row r="3078">
      <x:c r="A3078" s="20" t="str">
        <x:v>FIN-01435</x:v>
      </x:c>
      <x:c r="B3078" s="32" t="n">
        <x:v>2</x:v>
      </x:c>
      <x:c r="C3078" s="23" t="n">
        <x:v>46706</x:v>
      </x:c>
      <x:c r="D3078" s="23" t="n">
        <x:v>46706</x:v>
      </x:c>
      <x:c r="E3078" s="20" t="str">
        <x:v>P027</x:v>
      </x:c>
      <x:c r="F3078" s="20" t="str"/>
      <x:c r="G3078" s="20" t="str"/>
      <x:c r="H3078" s="20" t="str">
        <x:v>1000 Operating Cash</x:v>
      </x:c>
      <x:c r="I3078" s="26" t="n">
        <x:v>0</x:v>
      </x:c>
      <x:c r="J3078" s="26" t="n">
        <x:v>198</x:v>
      </x:c>
      <x:c r="K3078" s="35" t="str">
        <x:v>City Water &amp; Sewer</x:v>
      </x:c>
    </x:row>
    <x:row r="3079">
      <x:c r="A3079" s="20" t="str">
        <x:v>FIN-01436</x:v>
      </x:c>
      <x:c r="B3079" s="32" t="n">
        <x:v>1</x:v>
      </x:c>
      <x:c r="C3079" s="23" t="n">
        <x:v>46706</x:v>
      </x:c>
      <x:c r="D3079" s="23" t="n">
        <x:v>46706</x:v>
      </x:c>
      <x:c r="E3079" s="20" t="str">
        <x:v>P028</x:v>
      </x:c>
      <x:c r="F3079" s="20" t="str"/>
      <x:c r="G3079" s="20" t="str"/>
      <x:c r="H3079" s="20" t="str">
        <x:v>5010 Utilities</x:v>
      </x:c>
      <x:c r="I3079" s="26" t="n">
        <x:v>205</x:v>
      </x:c>
      <x:c r="J3079" s="26" t="n">
        <x:v>0</x:v>
      </x:c>
      <x:c r="K3079" s="35" t="str">
        <x:v>City Water &amp; Sewer</x:v>
      </x:c>
    </x:row>
    <x:row r="3080">
      <x:c r="A3080" s="20" t="str">
        <x:v>FIN-01436</x:v>
      </x:c>
      <x:c r="B3080" s="32" t="n">
        <x:v>2</x:v>
      </x:c>
      <x:c r="C3080" s="23" t="n">
        <x:v>46706</x:v>
      </x:c>
      <x:c r="D3080" s="23" t="n">
        <x:v>46706</x:v>
      </x:c>
      <x:c r="E3080" s="20" t="str">
        <x:v>P028</x:v>
      </x:c>
      <x:c r="F3080" s="20" t="str"/>
      <x:c r="G3080" s="20" t="str"/>
      <x:c r="H3080" s="20" t="str">
        <x:v>1000 Operating Cash</x:v>
      </x:c>
      <x:c r="I3080" s="26" t="n">
        <x:v>0</x:v>
      </x:c>
      <x:c r="J3080" s="26" t="n">
        <x:v>205</x:v>
      </x:c>
      <x:c r="K3080" s="35" t="str">
        <x:v>City Water &amp; Sewer</x:v>
      </x:c>
    </x:row>
    <x:row r="3081">
      <x:c r="A3081" s="20" t="str">
        <x:v>FIN-01437</x:v>
      </x:c>
      <x:c r="B3081" s="32" t="n">
        <x:v>1</x:v>
      </x:c>
      <x:c r="C3081" s="23" t="n">
        <x:v>46706</x:v>
      </x:c>
      <x:c r="D3081" s="23" t="n">
        <x:v>46706</x:v>
      </x:c>
      <x:c r="E3081" s="20" t="str">
        <x:v>P029</x:v>
      </x:c>
      <x:c r="F3081" s="20" t="str"/>
      <x:c r="G3081" s="20" t="str"/>
      <x:c r="H3081" s="20" t="str">
        <x:v>5010 Utilities</x:v>
      </x:c>
      <x:c r="I3081" s="26" t="n">
        <x:v>122</x:v>
      </x:c>
      <x:c r="J3081" s="26" t="n">
        <x:v>0</x:v>
      </x:c>
      <x:c r="K3081" s="35" t="str">
        <x:v>City Water &amp; Sewer</x:v>
      </x:c>
    </x:row>
    <x:row r="3082">
      <x:c r="A3082" s="20" t="str">
        <x:v>FIN-01437</x:v>
      </x:c>
      <x:c r="B3082" s="32" t="n">
        <x:v>2</x:v>
      </x:c>
      <x:c r="C3082" s="23" t="n">
        <x:v>46706</x:v>
      </x:c>
      <x:c r="D3082" s="23" t="n">
        <x:v>46706</x:v>
      </x:c>
      <x:c r="E3082" s="20" t="str">
        <x:v>P029</x:v>
      </x:c>
      <x:c r="F3082" s="20" t="str"/>
      <x:c r="G3082" s="20" t="str"/>
      <x:c r="H3082" s="20" t="str">
        <x:v>1000 Operating Cash</x:v>
      </x:c>
      <x:c r="I3082" s="26" t="n">
        <x:v>0</x:v>
      </x:c>
      <x:c r="J3082" s="26" t="n">
        <x:v>122</x:v>
      </x:c>
      <x:c r="K3082" s="35" t="str">
        <x:v>City Water &amp; Sewer</x:v>
      </x:c>
    </x:row>
    <x:row r="3083">
      <x:c r="A3083" s="20" t="str">
        <x:v>FIN-01438</x:v>
      </x:c>
      <x:c r="B3083" s="32" t="n">
        <x:v>1</x:v>
      </x:c>
      <x:c r="C3083" s="23" t="n">
        <x:v>46706</x:v>
      </x:c>
      <x:c r="D3083" s="23" t="n">
        <x:v>46706</x:v>
      </x:c>
      <x:c r="E3083" s="20" t="str">
        <x:v>P030</x:v>
      </x:c>
      <x:c r="F3083" s="20" t="str"/>
      <x:c r="G3083" s="20" t="str"/>
      <x:c r="H3083" s="20" t="str">
        <x:v>5010 Utilities</x:v>
      </x:c>
      <x:c r="I3083" s="26" t="n">
        <x:v>129</x:v>
      </x:c>
      <x:c r="J3083" s="26" t="n">
        <x:v>0</x:v>
      </x:c>
      <x:c r="K3083" s="35" t="str">
        <x:v>City Water &amp; Sewer</x:v>
      </x:c>
    </x:row>
    <x:row r="3084">
      <x:c r="A3084" s="20" t="str">
        <x:v>FIN-01438</x:v>
      </x:c>
      <x:c r="B3084" s="32" t="n">
        <x:v>2</x:v>
      </x:c>
      <x:c r="C3084" s="23" t="n">
        <x:v>46706</x:v>
      </x:c>
      <x:c r="D3084" s="23" t="n">
        <x:v>46706</x:v>
      </x:c>
      <x:c r="E3084" s="20" t="str">
        <x:v>P030</x:v>
      </x:c>
      <x:c r="F3084" s="20" t="str"/>
      <x:c r="G3084" s="20" t="str"/>
      <x:c r="H3084" s="20" t="str">
        <x:v>1000 Operating Cash</x:v>
      </x:c>
      <x:c r="I3084" s="26" t="n">
        <x:v>0</x:v>
      </x:c>
      <x:c r="J3084" s="26" t="n">
        <x:v>129</x:v>
      </x:c>
      <x:c r="K3084" s="35" t="str">
        <x:v>City Water &amp; Sewer</x:v>
      </x:c>
    </x:row>
    <x:row r="3085">
      <x:c r="A3085" s="20" t="str">
        <x:v>FIN-01439</x:v>
      </x:c>
      <x:c r="B3085" s="32" t="n">
        <x:v>1</x:v>
      </x:c>
      <x:c r="C3085" s="23" t="n">
        <x:v>46711</x:v>
      </x:c>
      <x:c r="D3085" s="23" t="n">
        <x:v>46711</x:v>
      </x:c>
      <x:c r="E3085" s="20" t="str">
        <x:v>P001</x:v>
      </x:c>
      <x:c r="F3085" s="20" t="str"/>
      <x:c r="G3085" s="20" t="str"/>
      <x:c r="H3085" s="20" t="str">
        <x:v>2200 Mortgage Loans Payable</x:v>
      </x:c>
      <x:c r="I3085" s="26" t="n">
        <x:v>431</x:v>
      </x:c>
      <x:c r="J3085" s="26" t="n">
        <x:v>0</x:v>
      </x:c>
      <x:c r="K3085" s="35" t="str">
        <x:v>LN001 scheduled payment</x:v>
      </x:c>
    </x:row>
    <x:row r="3086">
      <x:c r="A3086" s="20" t="str">
        <x:v>FIN-01439</x:v>
      </x:c>
      <x:c r="B3086" s="32" t="n">
        <x:v>2</x:v>
      </x:c>
      <x:c r="C3086" s="23" t="n">
        <x:v>46711</x:v>
      </x:c>
      <x:c r="D3086" s="23" t="n">
        <x:v>46711</x:v>
      </x:c>
      <x:c r="E3086" s="20" t="str">
        <x:v>P001</x:v>
      </x:c>
      <x:c r="F3086" s="20" t="str"/>
      <x:c r="G3086" s="20" t="str"/>
      <x:c r="H3086" s="20" t="str">
        <x:v>5040 Mortgage Interest</x:v>
      </x:c>
      <x:c r="I3086" s="26" t="n">
        <x:v>543</x:v>
      </x:c>
      <x:c r="J3086" s="26" t="n">
        <x:v>0</x:v>
      </x:c>
      <x:c r="K3086" s="35" t="str">
        <x:v>LN001 scheduled payment</x:v>
      </x:c>
    </x:row>
    <x:row r="3087">
      <x:c r="A3087" s="20" t="str">
        <x:v>FIN-01439</x:v>
      </x:c>
      <x:c r="B3087" s="32" t="n">
        <x:v>3</x:v>
      </x:c>
      <x:c r="C3087" s="23" t="n">
        <x:v>46711</x:v>
      </x:c>
      <x:c r="D3087" s="23" t="n">
        <x:v>46711</x:v>
      </x:c>
      <x:c r="E3087" s="20" t="str">
        <x:v>P001</x:v>
      </x:c>
      <x:c r="F3087" s="20" t="str"/>
      <x:c r="G3087" s="20" t="str"/>
      <x:c r="H3087" s="20" t="str">
        <x:v>1000 Operating Cash</x:v>
      </x:c>
      <x:c r="I3087" s="26" t="n">
        <x:v>0</x:v>
      </x:c>
      <x:c r="J3087" s="26" t="n">
        <x:v>974</x:v>
      </x:c>
      <x:c r="K3087" s="35" t="str">
        <x:v>LN001 scheduled payment</x:v>
      </x:c>
    </x:row>
    <x:row r="3088">
      <x:c r="A3088" s="20" t="str">
        <x:v>FIN-01440</x:v>
      </x:c>
      <x:c r="B3088" s="32" t="n">
        <x:v>1</x:v>
      </x:c>
      <x:c r="C3088" s="23" t="n">
        <x:v>46711</x:v>
      </x:c>
      <x:c r="D3088" s="23" t="n">
        <x:v>46711</x:v>
      </x:c>
      <x:c r="E3088" s="20" t="str">
        <x:v>P002</x:v>
      </x:c>
      <x:c r="F3088" s="20" t="str"/>
      <x:c r="G3088" s="20" t="str"/>
      <x:c r="H3088" s="20" t="str">
        <x:v>2200 Mortgage Loans Payable</x:v>
      </x:c>
      <x:c r="I3088" s="26" t="n">
        <x:v>442</x:v>
      </x:c>
      <x:c r="J3088" s="26" t="n">
        <x:v>0</x:v>
      </x:c>
      <x:c r="K3088" s="35" t="str">
        <x:v>LN002 scheduled payment</x:v>
      </x:c>
    </x:row>
    <x:row r="3089">
      <x:c r="A3089" s="20" t="str">
        <x:v>FIN-01440</x:v>
      </x:c>
      <x:c r="B3089" s="32" t="n">
        <x:v>2</x:v>
      </x:c>
      <x:c r="C3089" s="23" t="n">
        <x:v>46711</x:v>
      </x:c>
      <x:c r="D3089" s="23" t="n">
        <x:v>46711</x:v>
      </x:c>
      <x:c r="E3089" s="20" t="str">
        <x:v>P002</x:v>
      </x:c>
      <x:c r="F3089" s="20" t="str"/>
      <x:c r="G3089" s="20" t="str"/>
      <x:c r="H3089" s="20" t="str">
        <x:v>5040 Mortgage Interest</x:v>
      </x:c>
      <x:c r="I3089" s="26" t="n">
        <x:v>556</x:v>
      </x:c>
      <x:c r="J3089" s="26" t="n">
        <x:v>0</x:v>
      </x:c>
      <x:c r="K3089" s="35" t="str">
        <x:v>LN002 scheduled payment</x:v>
      </x:c>
    </x:row>
    <x:row r="3090">
      <x:c r="A3090" s="20" t="str">
        <x:v>FIN-01440</x:v>
      </x:c>
      <x:c r="B3090" s="32" t="n">
        <x:v>3</x:v>
      </x:c>
      <x:c r="C3090" s="23" t="n">
        <x:v>46711</x:v>
      </x:c>
      <x:c r="D3090" s="23" t="n">
        <x:v>46711</x:v>
      </x:c>
      <x:c r="E3090" s="20" t="str">
        <x:v>P002</x:v>
      </x:c>
      <x:c r="F3090" s="20" t="str"/>
      <x:c r="G3090" s="20" t="str"/>
      <x:c r="H3090" s="20" t="str">
        <x:v>1000 Operating Cash</x:v>
      </x:c>
      <x:c r="I3090" s="26" t="n">
        <x:v>0</x:v>
      </x:c>
      <x:c r="J3090" s="26" t="n">
        <x:v>998</x:v>
      </x:c>
      <x:c r="K3090" s="35" t="str">
        <x:v>LN002 scheduled payment</x:v>
      </x:c>
    </x:row>
    <x:row r="3091">
      <x:c r="A3091" s="20" t="str">
        <x:v>FIN-01441</x:v>
      </x:c>
      <x:c r="B3091" s="32" t="n">
        <x:v>1</x:v>
      </x:c>
      <x:c r="C3091" s="23" t="n">
        <x:v>46711</x:v>
      </x:c>
      <x:c r="D3091" s="23" t="n">
        <x:v>46711</x:v>
      </x:c>
      <x:c r="E3091" s="20" t="str">
        <x:v>P004</x:v>
      </x:c>
      <x:c r="F3091" s="20" t="str"/>
      <x:c r="G3091" s="20" t="str"/>
      <x:c r="H3091" s="20" t="str">
        <x:v>2200 Mortgage Loans Payable</x:v>
      </x:c>
      <x:c r="I3091" s="26" t="n">
        <x:v>464</x:v>
      </x:c>
      <x:c r="J3091" s="26" t="n">
        <x:v>0</x:v>
      </x:c>
      <x:c r="K3091" s="35" t="str">
        <x:v>LN004 scheduled payment</x:v>
      </x:c>
    </x:row>
    <x:row r="3092">
      <x:c r="A3092" s="20" t="str">
        <x:v>FIN-01441</x:v>
      </x:c>
      <x:c r="B3092" s="32" t="n">
        <x:v>2</x:v>
      </x:c>
      <x:c r="C3092" s="23" t="n">
        <x:v>46711</x:v>
      </x:c>
      <x:c r="D3092" s="23" t="n">
        <x:v>46711</x:v>
      </x:c>
      <x:c r="E3092" s="20" t="str">
        <x:v>P004</x:v>
      </x:c>
      <x:c r="F3092" s="20" t="str"/>
      <x:c r="G3092" s="20" t="str"/>
      <x:c r="H3092" s="20" t="str">
        <x:v>5040 Mortgage Interest</x:v>
      </x:c>
      <x:c r="I3092" s="26" t="n">
        <x:v>582</x:v>
      </x:c>
      <x:c r="J3092" s="26" t="n">
        <x:v>0</x:v>
      </x:c>
      <x:c r="K3092" s="35" t="str">
        <x:v>LN004 scheduled payment</x:v>
      </x:c>
    </x:row>
    <x:row r="3093">
      <x:c r="A3093" s="20" t="str">
        <x:v>FIN-01441</x:v>
      </x:c>
      <x:c r="B3093" s="32" t="n">
        <x:v>3</x:v>
      </x:c>
      <x:c r="C3093" s="23" t="n">
        <x:v>46711</x:v>
      </x:c>
      <x:c r="D3093" s="23" t="n">
        <x:v>46711</x:v>
      </x:c>
      <x:c r="E3093" s="20" t="str">
        <x:v>P004</x:v>
      </x:c>
      <x:c r="F3093" s="20" t="str"/>
      <x:c r="G3093" s="20" t="str"/>
      <x:c r="H3093" s="20" t="str">
        <x:v>1000 Operating Cash</x:v>
      </x:c>
      <x:c r="I3093" s="26" t="n">
        <x:v>0</x:v>
      </x:c>
      <x:c r="J3093" s="26" t="n">
        <x:v>1046</x:v>
      </x:c>
      <x:c r="K3093" s="35" t="str">
        <x:v>LN004 scheduled payment</x:v>
      </x:c>
    </x:row>
    <x:row r="3094">
      <x:c r="A3094" s="20" t="str">
        <x:v>FIN-01442</x:v>
      </x:c>
      <x:c r="B3094" s="32" t="n">
        <x:v>1</x:v>
      </x:c>
      <x:c r="C3094" s="23" t="n">
        <x:v>46711</x:v>
      </x:c>
      <x:c r="D3094" s="23" t="n">
        <x:v>46711</x:v>
      </x:c>
      <x:c r="E3094" s="20" t="str">
        <x:v>P005</x:v>
      </x:c>
      <x:c r="F3094" s="20" t="str"/>
      <x:c r="G3094" s="20" t="str"/>
      <x:c r="H3094" s="20" t="str">
        <x:v>2200 Mortgage Loans Payable</x:v>
      </x:c>
      <x:c r="I3094" s="26" t="n">
        <x:v>475</x:v>
      </x:c>
      <x:c r="J3094" s="26" t="n">
        <x:v>0</x:v>
      </x:c>
      <x:c r="K3094" s="35" t="str">
        <x:v>LN005 scheduled payment</x:v>
      </x:c>
    </x:row>
    <x:row r="3095">
      <x:c r="A3095" s="20" t="str">
        <x:v>FIN-01442</x:v>
      </x:c>
      <x:c r="B3095" s="32" t="n">
        <x:v>2</x:v>
      </x:c>
      <x:c r="C3095" s="23" t="n">
        <x:v>46711</x:v>
      </x:c>
      <x:c r="D3095" s="23" t="n">
        <x:v>46711</x:v>
      </x:c>
      <x:c r="E3095" s="20" t="str">
        <x:v>P005</x:v>
      </x:c>
      <x:c r="F3095" s="20" t="str"/>
      <x:c r="G3095" s="20" t="str"/>
      <x:c r="H3095" s="20" t="str">
        <x:v>5040 Mortgage Interest</x:v>
      </x:c>
      <x:c r="I3095" s="26" t="n">
        <x:v>595</x:v>
      </x:c>
      <x:c r="J3095" s="26" t="n">
        <x:v>0</x:v>
      </x:c>
      <x:c r="K3095" s="35" t="str">
        <x:v>LN005 scheduled payment</x:v>
      </x:c>
    </x:row>
    <x:row r="3096">
      <x:c r="A3096" s="20" t="str">
        <x:v>FIN-01442</x:v>
      </x:c>
      <x:c r="B3096" s="32" t="n">
        <x:v>3</x:v>
      </x:c>
      <x:c r="C3096" s="23" t="n">
        <x:v>46711</x:v>
      </x:c>
      <x:c r="D3096" s="23" t="n">
        <x:v>46711</x:v>
      </x:c>
      <x:c r="E3096" s="20" t="str">
        <x:v>P005</x:v>
      </x:c>
      <x:c r="F3096" s="20" t="str"/>
      <x:c r="G3096" s="20" t="str"/>
      <x:c r="H3096" s="20" t="str">
        <x:v>1000 Operating Cash</x:v>
      </x:c>
      <x:c r="I3096" s="26" t="n">
        <x:v>0</x:v>
      </x:c>
      <x:c r="J3096" s="26" t="n">
        <x:v>1070</x:v>
      </x:c>
      <x:c r="K3096" s="35" t="str">
        <x:v>LN005 scheduled payment</x:v>
      </x:c>
    </x:row>
    <x:row r="3097">
      <x:c r="A3097" s="20" t="str">
        <x:v>FIN-01443</x:v>
      </x:c>
      <x:c r="B3097" s="32" t="n">
        <x:v>1</x:v>
      </x:c>
      <x:c r="C3097" s="23" t="n">
        <x:v>46711</x:v>
      </x:c>
      <x:c r="D3097" s="23" t="n">
        <x:v>46711</x:v>
      </x:c>
      <x:c r="E3097" s="20" t="str">
        <x:v>P007</x:v>
      </x:c>
      <x:c r="F3097" s="20" t="str"/>
      <x:c r="G3097" s="20" t="str"/>
      <x:c r="H3097" s="20" t="str">
        <x:v>2200 Mortgage Loans Payable</x:v>
      </x:c>
      <x:c r="I3097" s="26" t="n">
        <x:v>497</x:v>
      </x:c>
      <x:c r="J3097" s="26" t="n">
        <x:v>0</x:v>
      </x:c>
      <x:c r="K3097" s="35" t="str">
        <x:v>LN007 scheduled payment</x:v>
      </x:c>
    </x:row>
    <x:row r="3098">
      <x:c r="A3098" s="20" t="str">
        <x:v>FIN-01443</x:v>
      </x:c>
      <x:c r="B3098" s="32" t="n">
        <x:v>2</x:v>
      </x:c>
      <x:c r="C3098" s="23" t="n">
        <x:v>46711</x:v>
      </x:c>
      <x:c r="D3098" s="23" t="n">
        <x:v>46711</x:v>
      </x:c>
      <x:c r="E3098" s="20" t="str">
        <x:v>P007</x:v>
      </x:c>
      <x:c r="F3098" s="20" t="str"/>
      <x:c r="G3098" s="20" t="str"/>
      <x:c r="H3098" s="20" t="str">
        <x:v>5040 Mortgage Interest</x:v>
      </x:c>
      <x:c r="I3098" s="26" t="n">
        <x:v>621</x:v>
      </x:c>
      <x:c r="J3098" s="26" t="n">
        <x:v>0</x:v>
      </x:c>
      <x:c r="K3098" s="35" t="str">
        <x:v>LN007 scheduled payment</x:v>
      </x:c>
    </x:row>
    <x:row r="3099">
      <x:c r="A3099" s="20" t="str">
        <x:v>FIN-01443</x:v>
      </x:c>
      <x:c r="B3099" s="32" t="n">
        <x:v>3</x:v>
      </x:c>
      <x:c r="C3099" s="23" t="n">
        <x:v>46711</x:v>
      </x:c>
      <x:c r="D3099" s="23" t="n">
        <x:v>46711</x:v>
      </x:c>
      <x:c r="E3099" s="20" t="str">
        <x:v>P007</x:v>
      </x:c>
      <x:c r="F3099" s="20" t="str"/>
      <x:c r="G3099" s="20" t="str"/>
      <x:c r="H3099" s="20" t="str">
        <x:v>1000 Operating Cash</x:v>
      </x:c>
      <x:c r="I3099" s="26" t="n">
        <x:v>0</x:v>
      </x:c>
      <x:c r="J3099" s="26" t="n">
        <x:v>1118</x:v>
      </x:c>
      <x:c r="K3099" s="35" t="str">
        <x:v>LN007 scheduled payment</x:v>
      </x:c>
    </x:row>
    <x:row r="3100">
      <x:c r="A3100" s="20" t="str">
        <x:v>FIN-01444</x:v>
      </x:c>
      <x:c r="B3100" s="32" t="n">
        <x:v>1</x:v>
      </x:c>
      <x:c r="C3100" s="23" t="n">
        <x:v>46711</x:v>
      </x:c>
      <x:c r="D3100" s="23" t="n">
        <x:v>46711</x:v>
      </x:c>
      <x:c r="E3100" s="20" t="str">
        <x:v>P008</x:v>
      </x:c>
      <x:c r="F3100" s="20" t="str"/>
      <x:c r="G3100" s="20" t="str"/>
      <x:c r="H3100" s="20" t="str">
        <x:v>2200 Mortgage Loans Payable</x:v>
      </x:c>
      <x:c r="I3100" s="26" t="n">
        <x:v>508</x:v>
      </x:c>
      <x:c r="J3100" s="26" t="n">
        <x:v>0</x:v>
      </x:c>
      <x:c r="K3100" s="35" t="str">
        <x:v>LN008 scheduled payment</x:v>
      </x:c>
    </x:row>
    <x:row r="3101">
      <x:c r="A3101" s="20" t="str">
        <x:v>FIN-01444</x:v>
      </x:c>
      <x:c r="B3101" s="32" t="n">
        <x:v>2</x:v>
      </x:c>
      <x:c r="C3101" s="23" t="n">
        <x:v>46711</x:v>
      </x:c>
      <x:c r="D3101" s="23" t="n">
        <x:v>46711</x:v>
      </x:c>
      <x:c r="E3101" s="20" t="str">
        <x:v>P008</x:v>
      </x:c>
      <x:c r="F3101" s="20" t="str"/>
      <x:c r="G3101" s="20" t="str"/>
      <x:c r="H3101" s="20" t="str">
        <x:v>5040 Mortgage Interest</x:v>
      </x:c>
      <x:c r="I3101" s="26" t="n">
        <x:v>634</x:v>
      </x:c>
      <x:c r="J3101" s="26" t="n">
        <x:v>0</x:v>
      </x:c>
      <x:c r="K3101" s="35" t="str">
        <x:v>LN008 scheduled payment</x:v>
      </x:c>
    </x:row>
    <x:row r="3102">
      <x:c r="A3102" s="20" t="str">
        <x:v>FIN-01444</x:v>
      </x:c>
      <x:c r="B3102" s="32" t="n">
        <x:v>3</x:v>
      </x:c>
      <x:c r="C3102" s="23" t="n">
        <x:v>46711</x:v>
      </x:c>
      <x:c r="D3102" s="23" t="n">
        <x:v>46711</x:v>
      </x:c>
      <x:c r="E3102" s="20" t="str">
        <x:v>P008</x:v>
      </x:c>
      <x:c r="F3102" s="20" t="str"/>
      <x:c r="G3102" s="20" t="str"/>
      <x:c r="H3102" s="20" t="str">
        <x:v>1000 Operating Cash</x:v>
      </x:c>
      <x:c r="I3102" s="26" t="n">
        <x:v>0</x:v>
      </x:c>
      <x:c r="J3102" s="26" t="n">
        <x:v>1142</x:v>
      </x:c>
      <x:c r="K3102" s="35" t="str">
        <x:v>LN008 scheduled payment</x:v>
      </x:c>
    </x:row>
    <x:row r="3103">
      <x:c r="A3103" s="20" t="str">
        <x:v>FIN-01445</x:v>
      </x:c>
      <x:c r="B3103" s="32" t="n">
        <x:v>1</x:v>
      </x:c>
      <x:c r="C3103" s="23" t="n">
        <x:v>46711</x:v>
      </x:c>
      <x:c r="D3103" s="23" t="n">
        <x:v>46711</x:v>
      </x:c>
      <x:c r="E3103" s="20" t="str">
        <x:v>P010</x:v>
      </x:c>
      <x:c r="F3103" s="20" t="str"/>
      <x:c r="G3103" s="20" t="str"/>
      <x:c r="H3103" s="20" t="str">
        <x:v>2200 Mortgage Loans Payable</x:v>
      </x:c>
      <x:c r="I3103" s="26" t="n">
        <x:v>530</x:v>
      </x:c>
      <x:c r="J3103" s="26" t="n">
        <x:v>0</x:v>
      </x:c>
      <x:c r="K3103" s="35" t="str">
        <x:v>LN010 scheduled payment</x:v>
      </x:c>
    </x:row>
    <x:row r="3104">
      <x:c r="A3104" s="20" t="str">
        <x:v>FIN-01445</x:v>
      </x:c>
      <x:c r="B3104" s="32" t="n">
        <x:v>2</x:v>
      </x:c>
      <x:c r="C3104" s="23" t="n">
        <x:v>46711</x:v>
      </x:c>
      <x:c r="D3104" s="23" t="n">
        <x:v>46711</x:v>
      </x:c>
      <x:c r="E3104" s="20" t="str">
        <x:v>P010</x:v>
      </x:c>
      <x:c r="F3104" s="20" t="str"/>
      <x:c r="G3104" s="20" t="str"/>
      <x:c r="H3104" s="20" t="str">
        <x:v>5040 Mortgage Interest</x:v>
      </x:c>
      <x:c r="I3104" s="26" t="n">
        <x:v>660</x:v>
      </x:c>
      <x:c r="J3104" s="26" t="n">
        <x:v>0</x:v>
      </x:c>
      <x:c r="K3104" s="35" t="str">
        <x:v>LN010 scheduled payment</x:v>
      </x:c>
    </x:row>
    <x:row r="3105">
      <x:c r="A3105" s="20" t="str">
        <x:v>FIN-01445</x:v>
      </x:c>
      <x:c r="B3105" s="32" t="n">
        <x:v>3</x:v>
      </x:c>
      <x:c r="C3105" s="23" t="n">
        <x:v>46711</x:v>
      </x:c>
      <x:c r="D3105" s="23" t="n">
        <x:v>46711</x:v>
      </x:c>
      <x:c r="E3105" s="20" t="str">
        <x:v>P010</x:v>
      </x:c>
      <x:c r="F3105" s="20" t="str"/>
      <x:c r="G3105" s="20" t="str"/>
      <x:c r="H3105" s="20" t="str">
        <x:v>1000 Operating Cash</x:v>
      </x:c>
      <x:c r="I3105" s="26" t="n">
        <x:v>0</x:v>
      </x:c>
      <x:c r="J3105" s="26" t="n">
        <x:v>1190</x:v>
      </x:c>
      <x:c r="K3105" s="35" t="str">
        <x:v>LN010 scheduled payment</x:v>
      </x:c>
    </x:row>
    <x:row r="3106">
      <x:c r="A3106" s="20" t="str">
        <x:v>FIN-01446</x:v>
      </x:c>
      <x:c r="B3106" s="32" t="n">
        <x:v>1</x:v>
      </x:c>
      <x:c r="C3106" s="23" t="n">
        <x:v>46711</x:v>
      </x:c>
      <x:c r="D3106" s="23" t="n">
        <x:v>46711</x:v>
      </x:c>
      <x:c r="E3106" s="20" t="str">
        <x:v>P011</x:v>
      </x:c>
      <x:c r="F3106" s="20" t="str"/>
      <x:c r="G3106" s="20" t="str"/>
      <x:c r="H3106" s="20" t="str">
        <x:v>2200 Mortgage Loans Payable</x:v>
      </x:c>
      <x:c r="I3106" s="26" t="n">
        <x:v>541</x:v>
      </x:c>
      <x:c r="J3106" s="26" t="n">
        <x:v>0</x:v>
      </x:c>
      <x:c r="K3106" s="35" t="str">
        <x:v>LN011 scheduled payment</x:v>
      </x:c>
    </x:row>
    <x:row r="3107">
      <x:c r="A3107" s="20" t="str">
        <x:v>FIN-01446</x:v>
      </x:c>
      <x:c r="B3107" s="32" t="n">
        <x:v>2</x:v>
      </x:c>
      <x:c r="C3107" s="23" t="n">
        <x:v>46711</x:v>
      </x:c>
      <x:c r="D3107" s="23" t="n">
        <x:v>46711</x:v>
      </x:c>
      <x:c r="E3107" s="20" t="str">
        <x:v>P011</x:v>
      </x:c>
      <x:c r="F3107" s="20" t="str"/>
      <x:c r="G3107" s="20" t="str"/>
      <x:c r="H3107" s="20" t="str">
        <x:v>5040 Mortgage Interest</x:v>
      </x:c>
      <x:c r="I3107" s="26" t="n">
        <x:v>673</x:v>
      </x:c>
      <x:c r="J3107" s="26" t="n">
        <x:v>0</x:v>
      </x:c>
      <x:c r="K3107" s="35" t="str">
        <x:v>LN011 scheduled payment</x:v>
      </x:c>
    </x:row>
    <x:row r="3108">
      <x:c r="A3108" s="20" t="str">
        <x:v>FIN-01446</x:v>
      </x:c>
      <x:c r="B3108" s="32" t="n">
        <x:v>3</x:v>
      </x:c>
      <x:c r="C3108" s="23" t="n">
        <x:v>46711</x:v>
      </x:c>
      <x:c r="D3108" s="23" t="n">
        <x:v>46711</x:v>
      </x:c>
      <x:c r="E3108" s="20" t="str">
        <x:v>P011</x:v>
      </x:c>
      <x:c r="F3108" s="20" t="str"/>
      <x:c r="G3108" s="20" t="str"/>
      <x:c r="H3108" s="20" t="str">
        <x:v>1000 Operating Cash</x:v>
      </x:c>
      <x:c r="I3108" s="26" t="n">
        <x:v>0</x:v>
      </x:c>
      <x:c r="J3108" s="26" t="n">
        <x:v>1214</x:v>
      </x:c>
      <x:c r="K3108" s="35" t="str">
        <x:v>LN011 scheduled payment</x:v>
      </x:c>
    </x:row>
    <x:row r="3109">
      <x:c r="A3109" s="20" t="str">
        <x:v>FIN-01447</x:v>
      </x:c>
      <x:c r="B3109" s="32" t="n">
        <x:v>1</x:v>
      </x:c>
      <x:c r="C3109" s="23" t="n">
        <x:v>46711</x:v>
      </x:c>
      <x:c r="D3109" s="23" t="n">
        <x:v>46711</x:v>
      </x:c>
      <x:c r="E3109" s="20" t="str">
        <x:v>P013</x:v>
      </x:c>
      <x:c r="F3109" s="20" t="str"/>
      <x:c r="G3109" s="20" t="str"/>
      <x:c r="H3109" s="20" t="str">
        <x:v>2200 Mortgage Loans Payable</x:v>
      </x:c>
      <x:c r="I3109" s="26" t="n">
        <x:v>563</x:v>
      </x:c>
      <x:c r="J3109" s="26" t="n">
        <x:v>0</x:v>
      </x:c>
      <x:c r="K3109" s="35" t="str">
        <x:v>LN013 scheduled payment</x:v>
      </x:c>
    </x:row>
    <x:row r="3110">
      <x:c r="A3110" s="20" t="str">
        <x:v>FIN-01447</x:v>
      </x:c>
      <x:c r="B3110" s="32" t="n">
        <x:v>2</x:v>
      </x:c>
      <x:c r="C3110" s="23" t="n">
        <x:v>46711</x:v>
      </x:c>
      <x:c r="D3110" s="23" t="n">
        <x:v>46711</x:v>
      </x:c>
      <x:c r="E3110" s="20" t="str">
        <x:v>P013</x:v>
      </x:c>
      <x:c r="F3110" s="20" t="str"/>
      <x:c r="G3110" s="20" t="str"/>
      <x:c r="H3110" s="20" t="str">
        <x:v>5040 Mortgage Interest</x:v>
      </x:c>
      <x:c r="I3110" s="26" t="n">
        <x:v>699</x:v>
      </x:c>
      <x:c r="J3110" s="26" t="n">
        <x:v>0</x:v>
      </x:c>
      <x:c r="K3110" s="35" t="str">
        <x:v>LN013 scheduled payment</x:v>
      </x:c>
    </x:row>
    <x:row r="3111">
      <x:c r="A3111" s="20" t="str">
        <x:v>FIN-01447</x:v>
      </x:c>
      <x:c r="B3111" s="32" t="n">
        <x:v>3</x:v>
      </x:c>
      <x:c r="C3111" s="23" t="n">
        <x:v>46711</x:v>
      </x:c>
      <x:c r="D3111" s="23" t="n">
        <x:v>46711</x:v>
      </x:c>
      <x:c r="E3111" s="20" t="str">
        <x:v>P013</x:v>
      </x:c>
      <x:c r="F3111" s="20" t="str"/>
      <x:c r="G3111" s="20" t="str"/>
      <x:c r="H3111" s="20" t="str">
        <x:v>1000 Operating Cash</x:v>
      </x:c>
      <x:c r="I3111" s="26" t="n">
        <x:v>0</x:v>
      </x:c>
      <x:c r="J3111" s="26" t="n">
        <x:v>1262</x:v>
      </x:c>
      <x:c r="K3111" s="35" t="str">
        <x:v>LN013 scheduled payment</x:v>
      </x:c>
    </x:row>
    <x:row r="3112">
      <x:c r="A3112" s="20" t="str">
        <x:v>FIN-01448</x:v>
      </x:c>
      <x:c r="B3112" s="32" t="n">
        <x:v>1</x:v>
      </x:c>
      <x:c r="C3112" s="23" t="n">
        <x:v>46711</x:v>
      </x:c>
      <x:c r="D3112" s="23" t="n">
        <x:v>46711</x:v>
      </x:c>
      <x:c r="E3112" s="20" t="str">
        <x:v>P014</x:v>
      </x:c>
      <x:c r="F3112" s="20" t="str"/>
      <x:c r="G3112" s="20" t="str"/>
      <x:c r="H3112" s="20" t="str">
        <x:v>2200 Mortgage Loans Payable</x:v>
      </x:c>
      <x:c r="I3112" s="26" t="n">
        <x:v>574</x:v>
      </x:c>
      <x:c r="J3112" s="26" t="n">
        <x:v>0</x:v>
      </x:c>
      <x:c r="K3112" s="35" t="str">
        <x:v>LN014 scheduled payment</x:v>
      </x:c>
    </x:row>
    <x:row r="3113">
      <x:c r="A3113" s="20" t="str">
        <x:v>FIN-01448</x:v>
      </x:c>
      <x:c r="B3113" s="32" t="n">
        <x:v>2</x:v>
      </x:c>
      <x:c r="C3113" s="23" t="n">
        <x:v>46711</x:v>
      </x:c>
      <x:c r="D3113" s="23" t="n">
        <x:v>46711</x:v>
      </x:c>
      <x:c r="E3113" s="20" t="str">
        <x:v>P014</x:v>
      </x:c>
      <x:c r="F3113" s="20" t="str"/>
      <x:c r="G3113" s="20" t="str"/>
      <x:c r="H3113" s="20" t="str">
        <x:v>5040 Mortgage Interest</x:v>
      </x:c>
      <x:c r="I3113" s="26" t="n">
        <x:v>712</x:v>
      </x:c>
      <x:c r="J3113" s="26" t="n">
        <x:v>0</x:v>
      </x:c>
      <x:c r="K3113" s="35" t="str">
        <x:v>LN014 scheduled payment</x:v>
      </x:c>
    </x:row>
    <x:row r="3114">
      <x:c r="A3114" s="20" t="str">
        <x:v>FIN-01448</x:v>
      </x:c>
      <x:c r="B3114" s="32" t="n">
        <x:v>3</x:v>
      </x:c>
      <x:c r="C3114" s="23" t="n">
        <x:v>46711</x:v>
      </x:c>
      <x:c r="D3114" s="23" t="n">
        <x:v>46711</x:v>
      </x:c>
      <x:c r="E3114" s="20" t="str">
        <x:v>P014</x:v>
      </x:c>
      <x:c r="F3114" s="20" t="str"/>
      <x:c r="G3114" s="20" t="str"/>
      <x:c r="H3114" s="20" t="str">
        <x:v>1000 Operating Cash</x:v>
      </x:c>
      <x:c r="I3114" s="26" t="n">
        <x:v>0</x:v>
      </x:c>
      <x:c r="J3114" s="26" t="n">
        <x:v>1286</x:v>
      </x:c>
      <x:c r="K3114" s="35" t="str">
        <x:v>LN014 scheduled payment</x:v>
      </x:c>
    </x:row>
    <x:row r="3115">
      <x:c r="A3115" s="20" t="str">
        <x:v>FIN-01449</x:v>
      </x:c>
      <x:c r="B3115" s="32" t="n">
        <x:v>1</x:v>
      </x:c>
      <x:c r="C3115" s="23" t="n">
        <x:v>46711</x:v>
      </x:c>
      <x:c r="D3115" s="23" t="n">
        <x:v>46711</x:v>
      </x:c>
      <x:c r="E3115" s="20" t="str">
        <x:v>P016</x:v>
      </x:c>
      <x:c r="F3115" s="20" t="str"/>
      <x:c r="G3115" s="20" t="str"/>
      <x:c r="H3115" s="20" t="str">
        <x:v>2200 Mortgage Loans Payable</x:v>
      </x:c>
      <x:c r="I3115" s="26" t="n">
        <x:v>596</x:v>
      </x:c>
      <x:c r="J3115" s="26" t="n">
        <x:v>0</x:v>
      </x:c>
      <x:c r="K3115" s="35" t="str">
        <x:v>LN016 scheduled payment</x:v>
      </x:c>
    </x:row>
    <x:row r="3116">
      <x:c r="A3116" s="20" t="str">
        <x:v>FIN-01449</x:v>
      </x:c>
      <x:c r="B3116" s="32" t="n">
        <x:v>2</x:v>
      </x:c>
      <x:c r="C3116" s="23" t="n">
        <x:v>46711</x:v>
      </x:c>
      <x:c r="D3116" s="23" t="n">
        <x:v>46711</x:v>
      </x:c>
      <x:c r="E3116" s="20" t="str">
        <x:v>P016</x:v>
      </x:c>
      <x:c r="F3116" s="20" t="str"/>
      <x:c r="G3116" s="20" t="str"/>
      <x:c r="H3116" s="20" t="str">
        <x:v>5040 Mortgage Interest</x:v>
      </x:c>
      <x:c r="I3116" s="26" t="n">
        <x:v>738</x:v>
      </x:c>
      <x:c r="J3116" s="26" t="n">
        <x:v>0</x:v>
      </x:c>
      <x:c r="K3116" s="35" t="str">
        <x:v>LN016 scheduled payment</x:v>
      </x:c>
    </x:row>
    <x:row r="3117">
      <x:c r="A3117" s="20" t="str">
        <x:v>FIN-01449</x:v>
      </x:c>
      <x:c r="B3117" s="32" t="n">
        <x:v>3</x:v>
      </x:c>
      <x:c r="C3117" s="23" t="n">
        <x:v>46711</x:v>
      </x:c>
      <x:c r="D3117" s="23" t="n">
        <x:v>46711</x:v>
      </x:c>
      <x:c r="E3117" s="20" t="str">
        <x:v>P016</x:v>
      </x:c>
      <x:c r="F3117" s="20" t="str"/>
      <x:c r="G3117" s="20" t="str"/>
      <x:c r="H3117" s="20" t="str">
        <x:v>1000 Operating Cash</x:v>
      </x:c>
      <x:c r="I3117" s="26" t="n">
        <x:v>0</x:v>
      </x:c>
      <x:c r="J3117" s="26" t="n">
        <x:v>1334</x:v>
      </x:c>
      <x:c r="K3117" s="35" t="str">
        <x:v>LN016 scheduled payment</x:v>
      </x:c>
    </x:row>
    <x:row r="3118">
      <x:c r="A3118" s="20" t="str">
        <x:v>FIN-01450</x:v>
      </x:c>
      <x:c r="B3118" s="32" t="n">
        <x:v>1</x:v>
      </x:c>
      <x:c r="C3118" s="23" t="n">
        <x:v>46711</x:v>
      </x:c>
      <x:c r="D3118" s="23" t="n">
        <x:v>46711</x:v>
      </x:c>
      <x:c r="E3118" s="20" t="str">
        <x:v>P017</x:v>
      </x:c>
      <x:c r="F3118" s="20" t="str"/>
      <x:c r="G3118" s="20" t="str"/>
      <x:c r="H3118" s="20" t="str">
        <x:v>2200 Mortgage Loans Payable</x:v>
      </x:c>
      <x:c r="I3118" s="26" t="n">
        <x:v>607</x:v>
      </x:c>
      <x:c r="J3118" s="26" t="n">
        <x:v>0</x:v>
      </x:c>
      <x:c r="K3118" s="35" t="str">
        <x:v>LN017 scheduled payment</x:v>
      </x:c>
    </x:row>
    <x:row r="3119">
      <x:c r="A3119" s="20" t="str">
        <x:v>FIN-01450</x:v>
      </x:c>
      <x:c r="B3119" s="32" t="n">
        <x:v>2</x:v>
      </x:c>
      <x:c r="C3119" s="23" t="n">
        <x:v>46711</x:v>
      </x:c>
      <x:c r="D3119" s="23" t="n">
        <x:v>46711</x:v>
      </x:c>
      <x:c r="E3119" s="20" t="str">
        <x:v>P017</x:v>
      </x:c>
      <x:c r="F3119" s="20" t="str"/>
      <x:c r="G3119" s="20" t="str"/>
      <x:c r="H3119" s="20" t="str">
        <x:v>5040 Mortgage Interest</x:v>
      </x:c>
      <x:c r="I3119" s="26" t="n">
        <x:v>751</x:v>
      </x:c>
      <x:c r="J3119" s="26" t="n">
        <x:v>0</x:v>
      </x:c>
      <x:c r="K3119" s="35" t="str">
        <x:v>LN017 scheduled payment</x:v>
      </x:c>
    </x:row>
    <x:row r="3120">
      <x:c r="A3120" s="20" t="str">
        <x:v>FIN-01450</x:v>
      </x:c>
      <x:c r="B3120" s="32" t="n">
        <x:v>3</x:v>
      </x:c>
      <x:c r="C3120" s="23" t="n">
        <x:v>46711</x:v>
      </x:c>
      <x:c r="D3120" s="23" t="n">
        <x:v>46711</x:v>
      </x:c>
      <x:c r="E3120" s="20" t="str">
        <x:v>P017</x:v>
      </x:c>
      <x:c r="F3120" s="20" t="str"/>
      <x:c r="G3120" s="20" t="str"/>
      <x:c r="H3120" s="20" t="str">
        <x:v>1000 Operating Cash</x:v>
      </x:c>
      <x:c r="I3120" s="26" t="n">
        <x:v>0</x:v>
      </x:c>
      <x:c r="J3120" s="26" t="n">
        <x:v>1358</x:v>
      </x:c>
      <x:c r="K3120" s="35" t="str">
        <x:v>LN017 scheduled payment</x:v>
      </x:c>
    </x:row>
    <x:row r="3121">
      <x:c r="A3121" s="20" t="str">
        <x:v>FIN-01451</x:v>
      </x:c>
      <x:c r="B3121" s="32" t="n">
        <x:v>1</x:v>
      </x:c>
      <x:c r="C3121" s="23" t="n">
        <x:v>46711</x:v>
      </x:c>
      <x:c r="D3121" s="23" t="n">
        <x:v>46711</x:v>
      </x:c>
      <x:c r="E3121" s="20" t="str">
        <x:v>P019</x:v>
      </x:c>
      <x:c r="F3121" s="20" t="str"/>
      <x:c r="G3121" s="20" t="str"/>
      <x:c r="H3121" s="20" t="str">
        <x:v>2200 Mortgage Loans Payable</x:v>
      </x:c>
      <x:c r="I3121" s="26" t="n">
        <x:v>629</x:v>
      </x:c>
      <x:c r="J3121" s="26" t="n">
        <x:v>0</x:v>
      </x:c>
      <x:c r="K3121" s="35" t="str">
        <x:v>LN019 scheduled payment</x:v>
      </x:c>
    </x:row>
    <x:row r="3122">
      <x:c r="A3122" s="20" t="str">
        <x:v>FIN-01451</x:v>
      </x:c>
      <x:c r="B3122" s="32" t="n">
        <x:v>2</x:v>
      </x:c>
      <x:c r="C3122" s="23" t="n">
        <x:v>46711</x:v>
      </x:c>
      <x:c r="D3122" s="23" t="n">
        <x:v>46711</x:v>
      </x:c>
      <x:c r="E3122" s="20" t="str">
        <x:v>P019</x:v>
      </x:c>
      <x:c r="F3122" s="20" t="str"/>
      <x:c r="G3122" s="20" t="str"/>
      <x:c r="H3122" s="20" t="str">
        <x:v>5040 Mortgage Interest</x:v>
      </x:c>
      <x:c r="I3122" s="26" t="n">
        <x:v>777</x:v>
      </x:c>
      <x:c r="J3122" s="26" t="n">
        <x:v>0</x:v>
      </x:c>
      <x:c r="K3122" s="35" t="str">
        <x:v>LN019 scheduled payment</x:v>
      </x:c>
    </x:row>
    <x:row r="3123">
      <x:c r="A3123" s="20" t="str">
        <x:v>FIN-01451</x:v>
      </x:c>
      <x:c r="B3123" s="32" t="n">
        <x:v>3</x:v>
      </x:c>
      <x:c r="C3123" s="23" t="n">
        <x:v>46711</x:v>
      </x:c>
      <x:c r="D3123" s="23" t="n">
        <x:v>46711</x:v>
      </x:c>
      <x:c r="E3123" s="20" t="str">
        <x:v>P019</x:v>
      </x:c>
      <x:c r="F3123" s="20" t="str"/>
      <x:c r="G3123" s="20" t="str"/>
      <x:c r="H3123" s="20" t="str">
        <x:v>1000 Operating Cash</x:v>
      </x:c>
      <x:c r="I3123" s="26" t="n">
        <x:v>0</x:v>
      </x:c>
      <x:c r="J3123" s="26" t="n">
        <x:v>1406</x:v>
      </x:c>
      <x:c r="K3123" s="35" t="str">
        <x:v>LN019 scheduled payment</x:v>
      </x:c>
    </x:row>
    <x:row r="3124">
      <x:c r="A3124" s="20" t="str">
        <x:v>FIN-01452</x:v>
      </x:c>
      <x:c r="B3124" s="32" t="n">
        <x:v>1</x:v>
      </x:c>
      <x:c r="C3124" s="23" t="n">
        <x:v>46711</x:v>
      </x:c>
      <x:c r="D3124" s="23" t="n">
        <x:v>46711</x:v>
      </x:c>
      <x:c r="E3124" s="20" t="str">
        <x:v>P020</x:v>
      </x:c>
      <x:c r="F3124" s="20" t="str"/>
      <x:c r="G3124" s="20" t="str"/>
      <x:c r="H3124" s="20" t="str">
        <x:v>2200 Mortgage Loans Payable</x:v>
      </x:c>
      <x:c r="I3124" s="26" t="n">
        <x:v>640</x:v>
      </x:c>
      <x:c r="J3124" s="26" t="n">
        <x:v>0</x:v>
      </x:c>
      <x:c r="K3124" s="35" t="str">
        <x:v>LN020 scheduled payment</x:v>
      </x:c>
    </x:row>
    <x:row r="3125">
      <x:c r="A3125" s="20" t="str">
        <x:v>FIN-01452</x:v>
      </x:c>
      <x:c r="B3125" s="32" t="n">
        <x:v>2</x:v>
      </x:c>
      <x:c r="C3125" s="23" t="n">
        <x:v>46711</x:v>
      </x:c>
      <x:c r="D3125" s="23" t="n">
        <x:v>46711</x:v>
      </x:c>
      <x:c r="E3125" s="20" t="str">
        <x:v>P020</x:v>
      </x:c>
      <x:c r="F3125" s="20" t="str"/>
      <x:c r="G3125" s="20" t="str"/>
      <x:c r="H3125" s="20" t="str">
        <x:v>5040 Mortgage Interest</x:v>
      </x:c>
      <x:c r="I3125" s="26" t="n">
        <x:v>790</x:v>
      </x:c>
      <x:c r="J3125" s="26" t="n">
        <x:v>0</x:v>
      </x:c>
      <x:c r="K3125" s="35" t="str">
        <x:v>LN020 scheduled payment</x:v>
      </x:c>
    </x:row>
    <x:row r="3126">
      <x:c r="A3126" s="20" t="str">
        <x:v>FIN-01452</x:v>
      </x:c>
      <x:c r="B3126" s="32" t="n">
        <x:v>3</x:v>
      </x:c>
      <x:c r="C3126" s="23" t="n">
        <x:v>46711</x:v>
      </x:c>
      <x:c r="D3126" s="23" t="n">
        <x:v>46711</x:v>
      </x:c>
      <x:c r="E3126" s="20" t="str">
        <x:v>P020</x:v>
      </x:c>
      <x:c r="F3126" s="20" t="str"/>
      <x:c r="G3126" s="20" t="str"/>
      <x:c r="H3126" s="20" t="str">
        <x:v>1000 Operating Cash</x:v>
      </x:c>
      <x:c r="I3126" s="26" t="n">
        <x:v>0</x:v>
      </x:c>
      <x:c r="J3126" s="26" t="n">
        <x:v>1430</x:v>
      </x:c>
      <x:c r="K3126" s="35" t="str">
        <x:v>LN020 scheduled payment</x:v>
      </x:c>
    </x:row>
    <x:row r="3127">
      <x:c r="A3127" s="20" t="str">
        <x:v>FIN-01453</x:v>
      </x:c>
      <x:c r="B3127" s="32" t="n">
        <x:v>1</x:v>
      </x:c>
      <x:c r="C3127" s="23" t="n">
        <x:v>46711</x:v>
      </x:c>
      <x:c r="D3127" s="23" t="n">
        <x:v>46711</x:v>
      </x:c>
      <x:c r="E3127" s="20" t="str">
        <x:v>P022</x:v>
      </x:c>
      <x:c r="F3127" s="20" t="str"/>
      <x:c r="G3127" s="20" t="str"/>
      <x:c r="H3127" s="20" t="str">
        <x:v>2200 Mortgage Loans Payable</x:v>
      </x:c>
      <x:c r="I3127" s="26" t="n">
        <x:v>662</x:v>
      </x:c>
      <x:c r="J3127" s="26" t="n">
        <x:v>0</x:v>
      </x:c>
      <x:c r="K3127" s="35" t="str">
        <x:v>LN022 scheduled payment</x:v>
      </x:c>
    </x:row>
    <x:row r="3128">
      <x:c r="A3128" s="20" t="str">
        <x:v>FIN-01453</x:v>
      </x:c>
      <x:c r="B3128" s="32" t="n">
        <x:v>2</x:v>
      </x:c>
      <x:c r="C3128" s="23" t="n">
        <x:v>46711</x:v>
      </x:c>
      <x:c r="D3128" s="23" t="n">
        <x:v>46711</x:v>
      </x:c>
      <x:c r="E3128" s="20" t="str">
        <x:v>P022</x:v>
      </x:c>
      <x:c r="F3128" s="20" t="str"/>
      <x:c r="G3128" s="20" t="str"/>
      <x:c r="H3128" s="20" t="str">
        <x:v>5040 Mortgage Interest</x:v>
      </x:c>
      <x:c r="I3128" s="26" t="n">
        <x:v>816</x:v>
      </x:c>
      <x:c r="J3128" s="26" t="n">
        <x:v>0</x:v>
      </x:c>
      <x:c r="K3128" s="35" t="str">
        <x:v>LN022 scheduled payment</x:v>
      </x:c>
    </x:row>
    <x:row r="3129">
      <x:c r="A3129" s="20" t="str">
        <x:v>FIN-01453</x:v>
      </x:c>
      <x:c r="B3129" s="32" t="n">
        <x:v>3</x:v>
      </x:c>
      <x:c r="C3129" s="23" t="n">
        <x:v>46711</x:v>
      </x:c>
      <x:c r="D3129" s="23" t="n">
        <x:v>46711</x:v>
      </x:c>
      <x:c r="E3129" s="20" t="str">
        <x:v>P022</x:v>
      </x:c>
      <x:c r="F3129" s="20" t="str"/>
      <x:c r="G3129" s="20" t="str"/>
      <x:c r="H3129" s="20" t="str">
        <x:v>1000 Operating Cash</x:v>
      </x:c>
      <x:c r="I3129" s="26" t="n">
        <x:v>0</x:v>
      </x:c>
      <x:c r="J3129" s="26" t="n">
        <x:v>1478</x:v>
      </x:c>
      <x:c r="K3129" s="35" t="str">
        <x:v>LN022 scheduled payment</x:v>
      </x:c>
    </x:row>
    <x:row r="3130">
      <x:c r="A3130" s="20" t="str">
        <x:v>FIN-01454</x:v>
      </x:c>
      <x:c r="B3130" s="32" t="n">
        <x:v>1</x:v>
      </x:c>
      <x:c r="C3130" s="23" t="n">
        <x:v>46711</x:v>
      </x:c>
      <x:c r="D3130" s="23" t="n">
        <x:v>46711</x:v>
      </x:c>
      <x:c r="E3130" s="20" t="str">
        <x:v>P023</x:v>
      </x:c>
      <x:c r="F3130" s="20" t="str"/>
      <x:c r="G3130" s="20" t="str"/>
      <x:c r="H3130" s="20" t="str">
        <x:v>2200 Mortgage Loans Payable</x:v>
      </x:c>
      <x:c r="I3130" s="26" t="n">
        <x:v>673</x:v>
      </x:c>
      <x:c r="J3130" s="26" t="n">
        <x:v>0</x:v>
      </x:c>
      <x:c r="K3130" s="35" t="str">
        <x:v>LN023 scheduled payment</x:v>
      </x:c>
    </x:row>
    <x:row r="3131">
      <x:c r="A3131" s="20" t="str">
        <x:v>FIN-01454</x:v>
      </x:c>
      <x:c r="B3131" s="32" t="n">
        <x:v>2</x:v>
      </x:c>
      <x:c r="C3131" s="23" t="n">
        <x:v>46711</x:v>
      </x:c>
      <x:c r="D3131" s="23" t="n">
        <x:v>46711</x:v>
      </x:c>
      <x:c r="E3131" s="20" t="str">
        <x:v>P023</x:v>
      </x:c>
      <x:c r="F3131" s="20" t="str"/>
      <x:c r="G3131" s="20" t="str"/>
      <x:c r="H3131" s="20" t="str">
        <x:v>5040 Mortgage Interest</x:v>
      </x:c>
      <x:c r="I3131" s="26" t="n">
        <x:v>829</x:v>
      </x:c>
      <x:c r="J3131" s="26" t="n">
        <x:v>0</x:v>
      </x:c>
      <x:c r="K3131" s="35" t="str">
        <x:v>LN023 scheduled payment</x:v>
      </x:c>
    </x:row>
    <x:row r="3132">
      <x:c r="A3132" s="20" t="str">
        <x:v>FIN-01454</x:v>
      </x:c>
      <x:c r="B3132" s="32" t="n">
        <x:v>3</x:v>
      </x:c>
      <x:c r="C3132" s="23" t="n">
        <x:v>46711</x:v>
      </x:c>
      <x:c r="D3132" s="23" t="n">
        <x:v>46711</x:v>
      </x:c>
      <x:c r="E3132" s="20" t="str">
        <x:v>P023</x:v>
      </x:c>
      <x:c r="F3132" s="20" t="str"/>
      <x:c r="G3132" s="20" t="str"/>
      <x:c r="H3132" s="20" t="str">
        <x:v>1000 Operating Cash</x:v>
      </x:c>
      <x:c r="I3132" s="26" t="n">
        <x:v>0</x:v>
      </x:c>
      <x:c r="J3132" s="26" t="n">
        <x:v>1502</x:v>
      </x:c>
      <x:c r="K3132" s="35" t="str">
        <x:v>LN023 scheduled payment</x:v>
      </x:c>
    </x:row>
    <x:row r="3133">
      <x:c r="A3133" s="20" t="str">
        <x:v>FIN-01455</x:v>
      </x:c>
      <x:c r="B3133" s="32" t="n">
        <x:v>1</x:v>
      </x:c>
      <x:c r="C3133" s="23" t="n">
        <x:v>46711</x:v>
      </x:c>
      <x:c r="D3133" s="23" t="n">
        <x:v>46711</x:v>
      </x:c>
      <x:c r="E3133" s="20" t="str">
        <x:v>P025</x:v>
      </x:c>
      <x:c r="F3133" s="20" t="str"/>
      <x:c r="G3133" s="20" t="str"/>
      <x:c r="H3133" s="20" t="str">
        <x:v>2200 Mortgage Loans Payable</x:v>
      </x:c>
      <x:c r="I3133" s="26" t="n">
        <x:v>695</x:v>
      </x:c>
      <x:c r="J3133" s="26" t="n">
        <x:v>0</x:v>
      </x:c>
      <x:c r="K3133" s="35" t="str">
        <x:v>LN025 scheduled payment</x:v>
      </x:c>
    </x:row>
    <x:row r="3134">
      <x:c r="A3134" s="20" t="str">
        <x:v>FIN-01455</x:v>
      </x:c>
      <x:c r="B3134" s="32" t="n">
        <x:v>2</x:v>
      </x:c>
      <x:c r="C3134" s="23" t="n">
        <x:v>46711</x:v>
      </x:c>
      <x:c r="D3134" s="23" t="n">
        <x:v>46711</x:v>
      </x:c>
      <x:c r="E3134" s="20" t="str">
        <x:v>P025</x:v>
      </x:c>
      <x:c r="F3134" s="20" t="str"/>
      <x:c r="G3134" s="20" t="str"/>
      <x:c r="H3134" s="20" t="str">
        <x:v>5040 Mortgage Interest</x:v>
      </x:c>
      <x:c r="I3134" s="26" t="n">
        <x:v>855</x:v>
      </x:c>
      <x:c r="J3134" s="26" t="n">
        <x:v>0</x:v>
      </x:c>
      <x:c r="K3134" s="35" t="str">
        <x:v>LN025 scheduled payment</x:v>
      </x:c>
    </x:row>
    <x:row r="3135">
      <x:c r="A3135" s="20" t="str">
        <x:v>FIN-01455</x:v>
      </x:c>
      <x:c r="B3135" s="32" t="n">
        <x:v>3</x:v>
      </x:c>
      <x:c r="C3135" s="23" t="n">
        <x:v>46711</x:v>
      </x:c>
      <x:c r="D3135" s="23" t="n">
        <x:v>46711</x:v>
      </x:c>
      <x:c r="E3135" s="20" t="str">
        <x:v>P025</x:v>
      </x:c>
      <x:c r="F3135" s="20" t="str"/>
      <x:c r="G3135" s="20" t="str"/>
      <x:c r="H3135" s="20" t="str">
        <x:v>1000 Operating Cash</x:v>
      </x:c>
      <x:c r="I3135" s="26" t="n">
        <x:v>0</x:v>
      </x:c>
      <x:c r="J3135" s="26" t="n">
        <x:v>1550</x:v>
      </x:c>
      <x:c r="K3135" s="35" t="str">
        <x:v>LN025 scheduled payment</x:v>
      </x:c>
    </x:row>
    <x:row r="3136">
      <x:c r="A3136" s="20" t="str">
        <x:v>FIN-01456</x:v>
      </x:c>
      <x:c r="B3136" s="32" t="n">
        <x:v>1</x:v>
      </x:c>
      <x:c r="C3136" s="23" t="n">
        <x:v>46711</x:v>
      </x:c>
      <x:c r="D3136" s="23" t="n">
        <x:v>46711</x:v>
      </x:c>
      <x:c r="E3136" s="20" t="str">
        <x:v>P026</x:v>
      </x:c>
      <x:c r="F3136" s="20" t="str"/>
      <x:c r="G3136" s="20" t="str"/>
      <x:c r="H3136" s="20" t="str">
        <x:v>2200 Mortgage Loans Payable</x:v>
      </x:c>
      <x:c r="I3136" s="26" t="n">
        <x:v>706</x:v>
      </x:c>
      <x:c r="J3136" s="26" t="n">
        <x:v>0</x:v>
      </x:c>
      <x:c r="K3136" s="35" t="str">
        <x:v>LN026 scheduled payment</x:v>
      </x:c>
    </x:row>
    <x:row r="3137">
      <x:c r="A3137" s="20" t="str">
        <x:v>FIN-01456</x:v>
      </x:c>
      <x:c r="B3137" s="32" t="n">
        <x:v>2</x:v>
      </x:c>
      <x:c r="C3137" s="23" t="n">
        <x:v>46711</x:v>
      </x:c>
      <x:c r="D3137" s="23" t="n">
        <x:v>46711</x:v>
      </x:c>
      <x:c r="E3137" s="20" t="str">
        <x:v>P026</x:v>
      </x:c>
      <x:c r="F3137" s="20" t="str"/>
      <x:c r="G3137" s="20" t="str"/>
      <x:c r="H3137" s="20" t="str">
        <x:v>5040 Mortgage Interest</x:v>
      </x:c>
      <x:c r="I3137" s="26" t="n">
        <x:v>868</x:v>
      </x:c>
      <x:c r="J3137" s="26" t="n">
        <x:v>0</x:v>
      </x:c>
      <x:c r="K3137" s="35" t="str">
        <x:v>LN026 scheduled payment</x:v>
      </x:c>
    </x:row>
    <x:row r="3138">
      <x:c r="A3138" s="20" t="str">
        <x:v>FIN-01456</x:v>
      </x:c>
      <x:c r="B3138" s="32" t="n">
        <x:v>3</x:v>
      </x:c>
      <x:c r="C3138" s="23" t="n">
        <x:v>46711</x:v>
      </x:c>
      <x:c r="D3138" s="23" t="n">
        <x:v>46711</x:v>
      </x:c>
      <x:c r="E3138" s="20" t="str">
        <x:v>P026</x:v>
      </x:c>
      <x:c r="F3138" s="20" t="str"/>
      <x:c r="G3138" s="20" t="str"/>
      <x:c r="H3138" s="20" t="str">
        <x:v>1000 Operating Cash</x:v>
      </x:c>
      <x:c r="I3138" s="26" t="n">
        <x:v>0</x:v>
      </x:c>
      <x:c r="J3138" s="26" t="n">
        <x:v>1574</x:v>
      </x:c>
      <x:c r="K3138" s="35" t="str">
        <x:v>LN026 scheduled payment</x:v>
      </x:c>
    </x:row>
    <x:row r="3139">
      <x:c r="A3139" s="20" t="str">
        <x:v>FIN-01457</x:v>
      </x:c>
      <x:c r="B3139" s="32" t="n">
        <x:v>1</x:v>
      </x:c>
      <x:c r="C3139" s="23" t="n">
        <x:v>46711</x:v>
      </x:c>
      <x:c r="D3139" s="23" t="n">
        <x:v>46711</x:v>
      </x:c>
      <x:c r="E3139" s="20" t="str">
        <x:v>P028</x:v>
      </x:c>
      <x:c r="F3139" s="20" t="str"/>
      <x:c r="G3139" s="20" t="str"/>
      <x:c r="H3139" s="20" t="str">
        <x:v>2200 Mortgage Loans Payable</x:v>
      </x:c>
      <x:c r="I3139" s="26" t="n">
        <x:v>728</x:v>
      </x:c>
      <x:c r="J3139" s="26" t="n">
        <x:v>0</x:v>
      </x:c>
      <x:c r="K3139" s="35" t="str">
        <x:v>LN028 scheduled payment</x:v>
      </x:c>
    </x:row>
    <x:row r="3140">
      <x:c r="A3140" s="20" t="str">
        <x:v>FIN-01457</x:v>
      </x:c>
      <x:c r="B3140" s="32" t="n">
        <x:v>2</x:v>
      </x:c>
      <x:c r="C3140" s="23" t="n">
        <x:v>46711</x:v>
      </x:c>
      <x:c r="D3140" s="23" t="n">
        <x:v>46711</x:v>
      </x:c>
      <x:c r="E3140" s="20" t="str">
        <x:v>P028</x:v>
      </x:c>
      <x:c r="F3140" s="20" t="str"/>
      <x:c r="G3140" s="20" t="str"/>
      <x:c r="H3140" s="20" t="str">
        <x:v>5040 Mortgage Interest</x:v>
      </x:c>
      <x:c r="I3140" s="26" t="n">
        <x:v>894</x:v>
      </x:c>
      <x:c r="J3140" s="26" t="n">
        <x:v>0</x:v>
      </x:c>
      <x:c r="K3140" s="35" t="str">
        <x:v>LN028 scheduled payment</x:v>
      </x:c>
    </x:row>
    <x:row r="3141">
      <x:c r="A3141" s="20" t="str">
        <x:v>FIN-01457</x:v>
      </x:c>
      <x:c r="B3141" s="32" t="n">
        <x:v>3</x:v>
      </x:c>
      <x:c r="C3141" s="23" t="n">
        <x:v>46711</x:v>
      </x:c>
      <x:c r="D3141" s="23" t="n">
        <x:v>46711</x:v>
      </x:c>
      <x:c r="E3141" s="20" t="str">
        <x:v>P028</x:v>
      </x:c>
      <x:c r="F3141" s="20" t="str"/>
      <x:c r="G3141" s="20" t="str"/>
      <x:c r="H3141" s="20" t="str">
        <x:v>1000 Operating Cash</x:v>
      </x:c>
      <x:c r="I3141" s="26" t="n">
        <x:v>0</x:v>
      </x:c>
      <x:c r="J3141" s="26" t="n">
        <x:v>1622</x:v>
      </x:c>
      <x:c r="K3141" s="35" t="str">
        <x:v>LN028 scheduled payment</x:v>
      </x:c>
    </x:row>
    <x:row r="3142">
      <x:c r="A3142" s="20" t="str">
        <x:v>FIN-01458</x:v>
      </x:c>
      <x:c r="B3142" s="32" t="n">
        <x:v>1</x:v>
      </x:c>
      <x:c r="C3142" s="23" t="n">
        <x:v>46711</x:v>
      </x:c>
      <x:c r="D3142" s="23" t="n">
        <x:v>46711</x:v>
      </x:c>
      <x:c r="E3142" s="20" t="str">
        <x:v>P029</x:v>
      </x:c>
      <x:c r="F3142" s="20" t="str"/>
      <x:c r="G3142" s="20" t="str"/>
      <x:c r="H3142" s="20" t="str">
        <x:v>2200 Mortgage Loans Payable</x:v>
      </x:c>
      <x:c r="I3142" s="26" t="n">
        <x:v>739</x:v>
      </x:c>
      <x:c r="J3142" s="26" t="n">
        <x:v>0</x:v>
      </x:c>
      <x:c r="K3142" s="35" t="str">
        <x:v>LN029 scheduled payment</x:v>
      </x:c>
    </x:row>
    <x:row r="3143">
      <x:c r="A3143" s="20" t="str">
        <x:v>FIN-01458</x:v>
      </x:c>
      <x:c r="B3143" s="32" t="n">
        <x:v>2</x:v>
      </x:c>
      <x:c r="C3143" s="23" t="n">
        <x:v>46711</x:v>
      </x:c>
      <x:c r="D3143" s="23" t="n">
        <x:v>46711</x:v>
      </x:c>
      <x:c r="E3143" s="20" t="str">
        <x:v>P029</x:v>
      </x:c>
      <x:c r="F3143" s="20" t="str"/>
      <x:c r="G3143" s="20" t="str"/>
      <x:c r="H3143" s="20" t="str">
        <x:v>5040 Mortgage Interest</x:v>
      </x:c>
      <x:c r="I3143" s="26" t="n">
        <x:v>907</x:v>
      </x:c>
      <x:c r="J3143" s="26" t="n">
        <x:v>0</x:v>
      </x:c>
      <x:c r="K3143" s="35" t="str">
        <x:v>LN029 scheduled payment</x:v>
      </x:c>
    </x:row>
    <x:row r="3144">
      <x:c r="A3144" s="20" t="str">
        <x:v>FIN-01458</x:v>
      </x:c>
      <x:c r="B3144" s="32" t="n">
        <x:v>3</x:v>
      </x:c>
      <x:c r="C3144" s="23" t="n">
        <x:v>46711</x:v>
      </x:c>
      <x:c r="D3144" s="23" t="n">
        <x:v>46711</x:v>
      </x:c>
      <x:c r="E3144" s="20" t="str">
        <x:v>P029</x:v>
      </x:c>
      <x:c r="F3144" s="20" t="str"/>
      <x:c r="G3144" s="20" t="str"/>
      <x:c r="H3144" s="20" t="str">
        <x:v>1000 Operating Cash</x:v>
      </x:c>
      <x:c r="I3144" s="26" t="n">
        <x:v>0</x:v>
      </x:c>
      <x:c r="J3144" s="26" t="n">
        <x:v>1646</x:v>
      </x:c>
      <x:c r="K3144" s="35" t="str">
        <x:v>LN029 scheduled payment</x:v>
      </x:c>
    </x:row>
    <x:row r="3145">
      <x:c r="A3145" s="20" t="str">
        <x:v>FIN-01459</x:v>
      </x:c>
      <x:c r="B3145" s="32" t="n">
        <x:v>1</x:v>
      </x:c>
      <x:c r="C3145" s="23" t="n">
        <x:v>46716</x:v>
      </x:c>
      <x:c r="D3145" s="23" t="n">
        <x:v>46716</x:v>
      </x:c>
      <x:c r="E3145" s="20" t="str"/>
      <x:c r="F3145" s="20" t="str"/>
      <x:c r="G3145" s="20" t="str"/>
      <x:c r="H3145" s="20" t="str">
        <x:v>3100 Owner Distributions</x:v>
      </x:c>
      <x:c r="I3145" s="26" t="n">
        <x:v>3250</x:v>
      </x:c>
      <x:c r="J3145" s="26" t="n">
        <x:v>0</x:v>
      </x:c>
      <x:c r="K3145" s="35" t="str">
        <x:v>Monthly distribution to Blue Door Residential LLC</x:v>
      </x:c>
    </x:row>
    <x:row r="3146">
      <x:c r="A3146" s="20" t="str">
        <x:v>FIN-01459</x:v>
      </x:c>
      <x:c r="B3146" s="32" t="n">
        <x:v>2</x:v>
      </x:c>
      <x:c r="C3146" s="23" t="n">
        <x:v>46716</x:v>
      </x:c>
      <x:c r="D3146" s="23" t="n">
        <x:v>46716</x:v>
      </x:c>
      <x:c r="E3146" s="20" t="str"/>
      <x:c r="F3146" s="20" t="str"/>
      <x:c r="G3146" s="20" t="str"/>
      <x:c r="H3146" s="20" t="str">
        <x:v>1000 Operating Cash</x:v>
      </x:c>
      <x:c r="I3146" s="26" t="n">
        <x:v>0</x:v>
      </x:c>
      <x:c r="J3146" s="26" t="n">
        <x:v>3250</x:v>
      </x:c>
      <x:c r="K3146" s="35" t="str">
        <x:v>Monthly distribution to Blue Door Residential LLC</x:v>
      </x:c>
    </x:row>
    <x:row r="3147">
      <x:c r="A3147" s="20" t="str">
        <x:v>FIN-01460</x:v>
      </x:c>
      <x:c r="B3147" s="32" t="n">
        <x:v>1</x:v>
      </x:c>
      <x:c r="C3147" s="23" t="n">
        <x:v>46716</x:v>
      </x:c>
      <x:c r="D3147" s="23" t="n">
        <x:v>46716</x:v>
      </x:c>
      <x:c r="E3147" s="20" t="str"/>
      <x:c r="F3147" s="20" t="str"/>
      <x:c r="G3147" s="20" t="str"/>
      <x:c r="H3147" s="20" t="str">
        <x:v>3100 Owner Distributions</x:v>
      </x:c>
      <x:c r="I3147" s="26" t="n">
        <x:v>3600</x:v>
      </x:c>
      <x:c r="J3147" s="26" t="n">
        <x:v>0</x:v>
      </x:c>
      <x:c r="K3147" s="35" t="str">
        <x:v>Monthly distribution to Coble Family Rentals LLC</x:v>
      </x:c>
    </x:row>
    <x:row r="3148">
      <x:c r="A3148" s="20" t="str">
        <x:v>FIN-01460</x:v>
      </x:c>
      <x:c r="B3148" s="32" t="n">
        <x:v>2</x:v>
      </x:c>
      <x:c r="C3148" s="23" t="n">
        <x:v>46716</x:v>
      </x:c>
      <x:c r="D3148" s="23" t="n">
        <x:v>46716</x:v>
      </x:c>
      <x:c r="E3148" s="20" t="str"/>
      <x:c r="F3148" s="20" t="str"/>
      <x:c r="G3148" s="20" t="str"/>
      <x:c r="H3148" s="20" t="str">
        <x:v>1000 Operating Cash</x:v>
      </x:c>
      <x:c r="I3148" s="26" t="n">
        <x:v>0</x:v>
      </x:c>
      <x:c r="J3148" s="26" t="n">
        <x:v>3600</x:v>
      </x:c>
      <x:c r="K3148" s="35" t="str">
        <x:v>Monthly distribution to Coble Family Rentals LLC</x:v>
      </x:c>
    </x:row>
    <x:row r="3149">
      <x:c r="A3149" s="20" t="str">
        <x:v>FIN-01461</x:v>
      </x:c>
      <x:c r="B3149" s="32" t="n">
        <x:v>1</x:v>
      </x:c>
      <x:c r="C3149" s="23" t="n">
        <x:v>46716</x:v>
      </x:c>
      <x:c r="D3149" s="23" t="n">
        <x:v>46716</x:v>
      </x:c>
      <x:c r="E3149" s="20" t="str"/>
      <x:c r="F3149" s="20" t="str"/>
      <x:c r="G3149" s="20" t="str"/>
      <x:c r="H3149" s="20" t="str">
        <x:v>3100 Owner Distributions</x:v>
      </x:c>
      <x:c r="I3149" s="26" t="n">
        <x:v>3950</x:v>
      </x:c>
      <x:c r="J3149" s="26" t="n">
        <x:v>0</x:v>
      </x:c>
      <x:c r="K3149" s="35" t="str">
        <x:v>Monthly distribution to Northstar Property Partners LLC</x:v>
      </x:c>
    </x:row>
    <x:row r="3150">
      <x:c r="A3150" s="20" t="str">
        <x:v>FIN-01461</x:v>
      </x:c>
      <x:c r="B3150" s="32" t="n">
        <x:v>2</x:v>
      </x:c>
      <x:c r="C3150" s="23" t="n">
        <x:v>46716</x:v>
      </x:c>
      <x:c r="D3150" s="23" t="n">
        <x:v>46716</x:v>
      </x:c>
      <x:c r="E3150" s="20" t="str"/>
      <x:c r="F3150" s="20" t="str"/>
      <x:c r="G3150" s="20" t="str"/>
      <x:c r="H3150" s="20" t="str">
        <x:v>1000 Operating Cash</x:v>
      </x:c>
      <x:c r="I3150" s="26" t="n">
        <x:v>0</x:v>
      </x:c>
      <x:c r="J3150" s="26" t="n">
        <x:v>3950</x:v>
      </x:c>
      <x:c r="K3150" s="35" t="str">
        <x:v>Monthly distribution to Northstar Property Partners LLC</x:v>
      </x:c>
    </x:row>
    <x:row r="3151">
      <x:c r="A3151" s="20" t="str">
        <x:v>FIN-01462</x:v>
      </x:c>
      <x:c r="B3151" s="32" t="n">
        <x:v>1</x:v>
      </x:c>
      <x:c r="C3151" s="23" t="n">
        <x:v>46716</x:v>
      </x:c>
      <x:c r="D3151" s="23" t="n">
        <x:v>46716</x:v>
      </x:c>
      <x:c r="E3151" s="20" t="str"/>
      <x:c r="F3151" s="20" t="str"/>
      <x:c r="G3151" s="20" t="str"/>
      <x:c r="H3151" s="20" t="str">
        <x:v>3100 Owner Distributions</x:v>
      </x:c>
      <x:c r="I3151" s="26" t="n">
        <x:v>4300</x:v>
      </x:c>
      <x:c r="J3151" s="26" t="n">
        <x:v>0</x:v>
      </x:c>
      <x:c r="K3151" s="35" t="str">
        <x:v>Monthly distribution to Riverbend Homes LLC</x:v>
      </x:c>
    </x:row>
    <x:row r="3152">
      <x:c r="A3152" s="20" t="str">
        <x:v>FIN-01462</x:v>
      </x:c>
      <x:c r="B3152" s="32" t="n">
        <x:v>2</x:v>
      </x:c>
      <x:c r="C3152" s="23" t="n">
        <x:v>46716</x:v>
      </x:c>
      <x:c r="D3152" s="23" t="n">
        <x:v>46716</x:v>
      </x:c>
      <x:c r="E3152" s="20" t="str"/>
      <x:c r="F3152" s="20" t="str"/>
      <x:c r="G3152" s="20" t="str"/>
      <x:c r="H3152" s="20" t="str">
        <x:v>1000 Operating Cash</x:v>
      </x:c>
      <x:c r="I3152" s="26" t="n">
        <x:v>0</x:v>
      </x:c>
      <x:c r="J3152" s="26" t="n">
        <x:v>4300</x:v>
      </x:c>
      <x:c r="K3152" s="35" t="str">
        <x:v>Monthly distribution to Riverbend Homes LLC</x:v>
      </x:c>
    </x:row>
    <x:row r="3153">
      <x:c r="A3153" s="20" t="str">
        <x:v>FIN-01463</x:v>
      </x:c>
      <x:c r="B3153" s="32" t="n">
        <x:v>1</x:v>
      </x:c>
      <x:c r="C3153" s="23" t="n">
        <x:v>46716</x:v>
      </x:c>
      <x:c r="D3153" s="23" t="n">
        <x:v>46716</x:v>
      </x:c>
      <x:c r="E3153" s="20" t="str"/>
      <x:c r="F3153" s="20" t="str"/>
      <x:c r="G3153" s="20" t="str"/>
      <x:c r="H3153" s="20" t="str">
        <x:v>3100 Owner Distributions</x:v>
      </x:c>
      <x:c r="I3153" s="26" t="n">
        <x:v>4650</x:v>
      </x:c>
      <x:c r="J3153" s="26" t="n">
        <x:v>0</x:v>
      </x:c>
      <x:c r="K3153" s="35" t="str">
        <x:v>Monthly distribution to Juniper Street Holdings LLC</x:v>
      </x:c>
    </x:row>
    <x:row r="3154">
      <x:c r="A3154" s="20" t="str">
        <x:v>FIN-01463</x:v>
      </x:c>
      <x:c r="B3154" s="32" t="n">
        <x:v>2</x:v>
      </x:c>
      <x:c r="C3154" s="23" t="n">
        <x:v>46716</x:v>
      </x:c>
      <x:c r="D3154" s="23" t="n">
        <x:v>46716</x:v>
      </x:c>
      <x:c r="E3154" s="20" t="str"/>
      <x:c r="F3154" s="20" t="str"/>
      <x:c r="G3154" s="20" t="str"/>
      <x:c r="H3154" s="20" t="str">
        <x:v>1000 Operating Cash</x:v>
      </x:c>
      <x:c r="I3154" s="26" t="n">
        <x:v>0</x:v>
      </x:c>
      <x:c r="J3154" s="26" t="n">
        <x:v>4650</x:v>
      </x:c>
      <x:c r="K3154" s="35" t="str">
        <x:v>Monthly distribution to Juniper Street Holdings LLC</x:v>
      </x:c>
    </x:row>
    <x:row r="3155">
      <x:c r="A3155" s="20" t="str">
        <x:v>FIN-01464</x:v>
      </x:c>
      <x:c r="B3155" s="32" t="n">
        <x:v>1</x:v>
      </x:c>
      <x:c r="C3155" s="23" t="n">
        <x:v>46736</x:v>
      </x:c>
      <x:c r="D3155" s="23" t="n">
        <x:v>46736</x:v>
      </x:c>
      <x:c r="E3155" s="20" t="str">
        <x:v>P021</x:v>
      </x:c>
      <x:c r="F3155" s="20" t="str"/>
      <x:c r="G3155" s="20" t="str"/>
      <x:c r="H3155" s="20" t="str">
        <x:v>5010 Utilities</x:v>
      </x:c>
      <x:c r="I3155" s="26" t="n">
        <x:v>167</x:v>
      </x:c>
      <x:c r="J3155" s="26" t="n">
        <x:v>0</x:v>
      </x:c>
      <x:c r="K3155" s="35" t="str">
        <x:v>City Water &amp; Sewer</x:v>
      </x:c>
    </x:row>
    <x:row r="3156">
      <x:c r="A3156" s="20" t="str">
        <x:v>FIN-01464</x:v>
      </x:c>
      <x:c r="B3156" s="32" t="n">
        <x:v>2</x:v>
      </x:c>
      <x:c r="C3156" s="23" t="n">
        <x:v>46736</x:v>
      </x:c>
      <x:c r="D3156" s="23" t="n">
        <x:v>46736</x:v>
      </x:c>
      <x:c r="E3156" s="20" t="str">
        <x:v>P021</x:v>
      </x:c>
      <x:c r="F3156" s="20" t="str"/>
      <x:c r="G3156" s="20" t="str"/>
      <x:c r="H3156" s="20" t="str">
        <x:v>1000 Operating Cash</x:v>
      </x:c>
      <x:c r="I3156" s="26" t="n">
        <x:v>0</x:v>
      </x:c>
      <x:c r="J3156" s="26" t="n">
        <x:v>167</x:v>
      </x:c>
      <x:c r="K3156" s="35" t="str">
        <x:v>City Water &amp; Sewer</x:v>
      </x:c>
    </x:row>
    <x:row r="3157">
      <x:c r="A3157" s="20" t="str">
        <x:v>FIN-01465</x:v>
      </x:c>
      <x:c r="B3157" s="32" t="n">
        <x:v>1</x:v>
      </x:c>
      <x:c r="C3157" s="23" t="n">
        <x:v>46736</x:v>
      </x:c>
      <x:c r="D3157" s="23" t="n">
        <x:v>46736</x:v>
      </x:c>
      <x:c r="E3157" s="20" t="str">
        <x:v>P022</x:v>
      </x:c>
      <x:c r="F3157" s="20" t="str"/>
      <x:c r="G3157" s="20" t="str"/>
      <x:c r="H3157" s="20" t="str">
        <x:v>5010 Utilities</x:v>
      </x:c>
      <x:c r="I3157" s="26" t="n">
        <x:v>174</x:v>
      </x:c>
      <x:c r="J3157" s="26" t="n">
        <x:v>0</x:v>
      </x:c>
      <x:c r="K3157" s="35" t="str">
        <x:v>City Water &amp; Sewer</x:v>
      </x:c>
    </x:row>
    <x:row r="3158">
      <x:c r="A3158" s="20" t="str">
        <x:v>FIN-01465</x:v>
      </x:c>
      <x:c r="B3158" s="32" t="n">
        <x:v>2</x:v>
      </x:c>
      <x:c r="C3158" s="23" t="n">
        <x:v>46736</x:v>
      </x:c>
      <x:c r="D3158" s="23" t="n">
        <x:v>46736</x:v>
      </x:c>
      <x:c r="E3158" s="20" t="str">
        <x:v>P022</x:v>
      </x:c>
      <x:c r="F3158" s="20" t="str"/>
      <x:c r="G3158" s="20" t="str"/>
      <x:c r="H3158" s="20" t="str">
        <x:v>1000 Operating Cash</x:v>
      </x:c>
      <x:c r="I3158" s="26" t="n">
        <x:v>0</x:v>
      </x:c>
      <x:c r="J3158" s="26" t="n">
        <x:v>174</x:v>
      </x:c>
      <x:c r="K3158" s="35" t="str">
        <x:v>City Water &amp; Sewer</x:v>
      </x:c>
    </x:row>
    <x:row r="3159">
      <x:c r="A3159" s="20" t="str">
        <x:v>FIN-01466</x:v>
      </x:c>
      <x:c r="B3159" s="32" t="n">
        <x:v>1</x:v>
      </x:c>
      <x:c r="C3159" s="23" t="n">
        <x:v>46736</x:v>
      </x:c>
      <x:c r="D3159" s="23" t="n">
        <x:v>46736</x:v>
      </x:c>
      <x:c r="E3159" s="20" t="str">
        <x:v>P023</x:v>
      </x:c>
      <x:c r="F3159" s="20" t="str"/>
      <x:c r="G3159" s="20" t="str"/>
      <x:c r="H3159" s="20" t="str">
        <x:v>5010 Utilities</x:v>
      </x:c>
      <x:c r="I3159" s="26" t="n">
        <x:v>181</x:v>
      </x:c>
      <x:c r="J3159" s="26" t="n">
        <x:v>0</x:v>
      </x:c>
      <x:c r="K3159" s="35" t="str">
        <x:v>City Water &amp; Sewer</x:v>
      </x:c>
    </x:row>
    <x:row r="3160">
      <x:c r="A3160" s="20" t="str">
        <x:v>FIN-01466</x:v>
      </x:c>
      <x:c r="B3160" s="32" t="n">
        <x:v>2</x:v>
      </x:c>
      <x:c r="C3160" s="23" t="n">
        <x:v>46736</x:v>
      </x:c>
      <x:c r="D3160" s="23" t="n">
        <x:v>46736</x:v>
      </x:c>
      <x:c r="E3160" s="20" t="str">
        <x:v>P023</x:v>
      </x:c>
      <x:c r="F3160" s="20" t="str"/>
      <x:c r="G3160" s="20" t="str"/>
      <x:c r="H3160" s="20" t="str">
        <x:v>1000 Operating Cash</x:v>
      </x:c>
      <x:c r="I3160" s="26" t="n">
        <x:v>0</x:v>
      </x:c>
      <x:c r="J3160" s="26" t="n">
        <x:v>181</x:v>
      </x:c>
      <x:c r="K3160" s="35" t="str">
        <x:v>City Water &amp; Sewer</x:v>
      </x:c>
    </x:row>
    <x:row r="3161">
      <x:c r="A3161" s="20" t="str">
        <x:v>FIN-01467</x:v>
      </x:c>
      <x:c r="B3161" s="32" t="n">
        <x:v>1</x:v>
      </x:c>
      <x:c r="C3161" s="23" t="n">
        <x:v>46736</x:v>
      </x:c>
      <x:c r="D3161" s="23" t="n">
        <x:v>46736</x:v>
      </x:c>
      <x:c r="E3161" s="20" t="str">
        <x:v>P024</x:v>
      </x:c>
      <x:c r="F3161" s="20" t="str"/>
      <x:c r="G3161" s="20" t="str"/>
      <x:c r="H3161" s="20" t="str">
        <x:v>5010 Utilities</x:v>
      </x:c>
      <x:c r="I3161" s="26" t="n">
        <x:v>188</x:v>
      </x:c>
      <x:c r="J3161" s="26" t="n">
        <x:v>0</x:v>
      </x:c>
      <x:c r="K3161" s="35" t="str">
        <x:v>City Water &amp; Sewer</x:v>
      </x:c>
    </x:row>
    <x:row r="3162">
      <x:c r="A3162" s="20" t="str">
        <x:v>FIN-01467</x:v>
      </x:c>
      <x:c r="B3162" s="32" t="n">
        <x:v>2</x:v>
      </x:c>
      <x:c r="C3162" s="23" t="n">
        <x:v>46736</x:v>
      </x:c>
      <x:c r="D3162" s="23" t="n">
        <x:v>46736</x:v>
      </x:c>
      <x:c r="E3162" s="20" t="str">
        <x:v>P024</x:v>
      </x:c>
      <x:c r="F3162" s="20" t="str"/>
      <x:c r="G3162" s="20" t="str"/>
      <x:c r="H3162" s="20" t="str">
        <x:v>1000 Operating Cash</x:v>
      </x:c>
      <x:c r="I3162" s="26" t="n">
        <x:v>0</x:v>
      </x:c>
      <x:c r="J3162" s="26" t="n">
        <x:v>188</x:v>
      </x:c>
      <x:c r="K3162" s="35" t="str">
        <x:v>City Water &amp; Sewer</x:v>
      </x:c>
    </x:row>
    <x:row r="3163">
      <x:c r="A3163" s="20" t="str">
        <x:v>FIN-01468</x:v>
      </x:c>
      <x:c r="B3163" s="32" t="n">
        <x:v>1</x:v>
      </x:c>
      <x:c r="C3163" s="23" t="n">
        <x:v>46736</x:v>
      </x:c>
      <x:c r="D3163" s="23" t="n">
        <x:v>46736</x:v>
      </x:c>
      <x:c r="E3163" s="20" t="str">
        <x:v>P025</x:v>
      </x:c>
      <x:c r="F3163" s="20" t="str"/>
      <x:c r="G3163" s="20" t="str"/>
      <x:c r="H3163" s="20" t="str">
        <x:v>5010 Utilities</x:v>
      </x:c>
      <x:c r="I3163" s="26" t="n">
        <x:v>195</x:v>
      </x:c>
      <x:c r="J3163" s="26" t="n">
        <x:v>0</x:v>
      </x:c>
      <x:c r="K3163" s="35" t="str">
        <x:v>City Water &amp; Sewer</x:v>
      </x:c>
    </x:row>
    <x:row r="3164">
      <x:c r="A3164" s="20" t="str">
        <x:v>FIN-01468</x:v>
      </x:c>
      <x:c r="B3164" s="32" t="n">
        <x:v>2</x:v>
      </x:c>
      <x:c r="C3164" s="23" t="n">
        <x:v>46736</x:v>
      </x:c>
      <x:c r="D3164" s="23" t="n">
        <x:v>46736</x:v>
      </x:c>
      <x:c r="E3164" s="20" t="str">
        <x:v>P025</x:v>
      </x:c>
      <x:c r="F3164" s="20" t="str"/>
      <x:c r="G3164" s="20" t="str"/>
      <x:c r="H3164" s="20" t="str">
        <x:v>1000 Operating Cash</x:v>
      </x:c>
      <x:c r="I3164" s="26" t="n">
        <x:v>0</x:v>
      </x:c>
      <x:c r="J3164" s="26" t="n">
        <x:v>195</x:v>
      </x:c>
      <x:c r="K3164" s="35" t="str">
        <x:v>City Water &amp; Sewer</x:v>
      </x:c>
    </x:row>
    <x:row r="3165">
      <x:c r="A3165" s="20" t="str">
        <x:v>FIN-01469</x:v>
      </x:c>
      <x:c r="B3165" s="32" t="n">
        <x:v>1</x:v>
      </x:c>
      <x:c r="C3165" s="23" t="n">
        <x:v>46736</x:v>
      </x:c>
      <x:c r="D3165" s="23" t="n">
        <x:v>46736</x:v>
      </x:c>
      <x:c r="E3165" s="20" t="str">
        <x:v>P026</x:v>
      </x:c>
      <x:c r="F3165" s="20" t="str"/>
      <x:c r="G3165" s="20" t="str"/>
      <x:c r="H3165" s="20" t="str">
        <x:v>5010 Utilities</x:v>
      </x:c>
      <x:c r="I3165" s="26" t="n">
        <x:v>202</x:v>
      </x:c>
      <x:c r="J3165" s="26" t="n">
        <x:v>0</x:v>
      </x:c>
      <x:c r="K3165" s="35" t="str">
        <x:v>City Water &amp; Sewer</x:v>
      </x:c>
    </x:row>
    <x:row r="3166">
      <x:c r="A3166" s="20" t="str">
        <x:v>FIN-01469</x:v>
      </x:c>
      <x:c r="B3166" s="32" t="n">
        <x:v>2</x:v>
      </x:c>
      <x:c r="C3166" s="23" t="n">
        <x:v>46736</x:v>
      </x:c>
      <x:c r="D3166" s="23" t="n">
        <x:v>46736</x:v>
      </x:c>
      <x:c r="E3166" s="20" t="str">
        <x:v>P026</x:v>
      </x:c>
      <x:c r="F3166" s="20" t="str"/>
      <x:c r="G3166" s="20" t="str"/>
      <x:c r="H3166" s="20" t="str">
        <x:v>1000 Operating Cash</x:v>
      </x:c>
      <x:c r="I3166" s="26" t="n">
        <x:v>0</x:v>
      </x:c>
      <x:c r="J3166" s="26" t="n">
        <x:v>202</x:v>
      </x:c>
      <x:c r="K3166" s="35" t="str">
        <x:v>City Water &amp; Sewer</x:v>
      </x:c>
    </x:row>
    <x:row r="3167">
      <x:c r="A3167" s="20" t="str">
        <x:v>FIN-01470</x:v>
      </x:c>
      <x:c r="B3167" s="32" t="n">
        <x:v>1</x:v>
      </x:c>
      <x:c r="C3167" s="23" t="n">
        <x:v>46736</x:v>
      </x:c>
      <x:c r="D3167" s="23" t="n">
        <x:v>46736</x:v>
      </x:c>
      <x:c r="E3167" s="20" t="str">
        <x:v>P027</x:v>
      </x:c>
      <x:c r="F3167" s="20" t="str"/>
      <x:c r="G3167" s="20" t="str"/>
      <x:c r="H3167" s="20" t="str">
        <x:v>5010 Utilities</x:v>
      </x:c>
      <x:c r="I3167" s="26" t="n">
        <x:v>119</x:v>
      </x:c>
      <x:c r="J3167" s="26" t="n">
        <x:v>0</x:v>
      </x:c>
      <x:c r="K3167" s="35" t="str">
        <x:v>City Water &amp; Sewer</x:v>
      </x:c>
    </x:row>
    <x:row r="3168">
      <x:c r="A3168" s="20" t="str">
        <x:v>FIN-01470</x:v>
      </x:c>
      <x:c r="B3168" s="32" t="n">
        <x:v>2</x:v>
      </x:c>
      <x:c r="C3168" s="23" t="n">
        <x:v>46736</x:v>
      </x:c>
      <x:c r="D3168" s="23" t="n">
        <x:v>46736</x:v>
      </x:c>
      <x:c r="E3168" s="20" t="str">
        <x:v>P027</x:v>
      </x:c>
      <x:c r="F3168" s="20" t="str"/>
      <x:c r="G3168" s="20" t="str"/>
      <x:c r="H3168" s="20" t="str">
        <x:v>1000 Operating Cash</x:v>
      </x:c>
      <x:c r="I3168" s="26" t="n">
        <x:v>0</x:v>
      </x:c>
      <x:c r="J3168" s="26" t="n">
        <x:v>119</x:v>
      </x:c>
      <x:c r="K3168" s="35" t="str">
        <x:v>City Water &amp; Sewer</x:v>
      </x:c>
    </x:row>
    <x:row r="3169">
      <x:c r="A3169" s="20" t="str">
        <x:v>FIN-01471</x:v>
      </x:c>
      <x:c r="B3169" s="32" t="n">
        <x:v>1</x:v>
      </x:c>
      <x:c r="C3169" s="23" t="n">
        <x:v>46736</x:v>
      </x:c>
      <x:c r="D3169" s="23" t="n">
        <x:v>46736</x:v>
      </x:c>
      <x:c r="E3169" s="20" t="str">
        <x:v>P028</x:v>
      </x:c>
      <x:c r="F3169" s="20" t="str"/>
      <x:c r="G3169" s="20" t="str"/>
      <x:c r="H3169" s="20" t="str">
        <x:v>5010 Utilities</x:v>
      </x:c>
      <x:c r="I3169" s="26" t="n">
        <x:v>126</x:v>
      </x:c>
      <x:c r="J3169" s="26" t="n">
        <x:v>0</x:v>
      </x:c>
      <x:c r="K3169" s="35" t="str">
        <x:v>City Water &amp; Sewer</x:v>
      </x:c>
    </x:row>
    <x:row r="3170">
      <x:c r="A3170" s="20" t="str">
        <x:v>FIN-01471</x:v>
      </x:c>
      <x:c r="B3170" s="32" t="n">
        <x:v>2</x:v>
      </x:c>
      <x:c r="C3170" s="23" t="n">
        <x:v>46736</x:v>
      </x:c>
      <x:c r="D3170" s="23" t="n">
        <x:v>46736</x:v>
      </x:c>
      <x:c r="E3170" s="20" t="str">
        <x:v>P028</x:v>
      </x:c>
      <x:c r="F3170" s="20" t="str"/>
      <x:c r="G3170" s="20" t="str"/>
      <x:c r="H3170" s="20" t="str">
        <x:v>1000 Operating Cash</x:v>
      </x:c>
      <x:c r="I3170" s="26" t="n">
        <x:v>0</x:v>
      </x:c>
      <x:c r="J3170" s="26" t="n">
        <x:v>126</x:v>
      </x:c>
      <x:c r="K3170" s="35" t="str">
        <x:v>City Water &amp; Sewer</x:v>
      </x:c>
    </x:row>
    <x:row r="3171">
      <x:c r="A3171" s="20" t="str">
        <x:v>FIN-01472</x:v>
      </x:c>
      <x:c r="B3171" s="32" t="n">
        <x:v>1</x:v>
      </x:c>
      <x:c r="C3171" s="23" t="n">
        <x:v>46736</x:v>
      </x:c>
      <x:c r="D3171" s="23" t="n">
        <x:v>46736</x:v>
      </x:c>
      <x:c r="E3171" s="20" t="str">
        <x:v>P029</x:v>
      </x:c>
      <x:c r="F3171" s="20" t="str"/>
      <x:c r="G3171" s="20" t="str"/>
      <x:c r="H3171" s="20" t="str">
        <x:v>5010 Utilities</x:v>
      </x:c>
      <x:c r="I3171" s="26" t="n">
        <x:v>133</x:v>
      </x:c>
      <x:c r="J3171" s="26" t="n">
        <x:v>0</x:v>
      </x:c>
      <x:c r="K3171" s="35" t="str">
        <x:v>City Water &amp; Sewer</x:v>
      </x:c>
    </x:row>
    <x:row r="3172">
      <x:c r="A3172" s="20" t="str">
        <x:v>FIN-01472</x:v>
      </x:c>
      <x:c r="B3172" s="32" t="n">
        <x:v>2</x:v>
      </x:c>
      <x:c r="C3172" s="23" t="n">
        <x:v>46736</x:v>
      </x:c>
      <x:c r="D3172" s="23" t="n">
        <x:v>46736</x:v>
      </x:c>
      <x:c r="E3172" s="20" t="str">
        <x:v>P029</x:v>
      </x:c>
      <x:c r="F3172" s="20" t="str"/>
      <x:c r="G3172" s="20" t="str"/>
      <x:c r="H3172" s="20" t="str">
        <x:v>1000 Operating Cash</x:v>
      </x:c>
      <x:c r="I3172" s="26" t="n">
        <x:v>0</x:v>
      </x:c>
      <x:c r="J3172" s="26" t="n">
        <x:v>133</x:v>
      </x:c>
      <x:c r="K3172" s="35" t="str">
        <x:v>City Water &amp; Sewer</x:v>
      </x:c>
    </x:row>
    <x:row r="3173">
      <x:c r="A3173" s="20" t="str">
        <x:v>FIN-01473</x:v>
      </x:c>
      <x:c r="B3173" s="32" t="n">
        <x:v>1</x:v>
      </x:c>
      <x:c r="C3173" s="23" t="n">
        <x:v>46736</x:v>
      </x:c>
      <x:c r="D3173" s="23" t="n">
        <x:v>46736</x:v>
      </x:c>
      <x:c r="E3173" s="20" t="str">
        <x:v>P030</x:v>
      </x:c>
      <x:c r="F3173" s="20" t="str"/>
      <x:c r="G3173" s="20" t="str"/>
      <x:c r="H3173" s="20" t="str">
        <x:v>5010 Utilities</x:v>
      </x:c>
      <x:c r="I3173" s="26" t="n">
        <x:v>140</x:v>
      </x:c>
      <x:c r="J3173" s="26" t="n">
        <x:v>0</x:v>
      </x:c>
      <x:c r="K3173" s="35" t="str">
        <x:v>City Water &amp; Sewer</x:v>
      </x:c>
    </x:row>
    <x:row r="3174">
      <x:c r="A3174" s="20" t="str">
        <x:v>FIN-01473</x:v>
      </x:c>
      <x:c r="B3174" s="32" t="n">
        <x:v>2</x:v>
      </x:c>
      <x:c r="C3174" s="23" t="n">
        <x:v>46736</x:v>
      </x:c>
      <x:c r="D3174" s="23" t="n">
        <x:v>46736</x:v>
      </x:c>
      <x:c r="E3174" s="20" t="str">
        <x:v>P030</x:v>
      </x:c>
      <x:c r="F3174" s="20" t="str"/>
      <x:c r="G3174" s="20" t="str"/>
      <x:c r="H3174" s="20" t="str">
        <x:v>1000 Operating Cash</x:v>
      </x:c>
      <x:c r="I3174" s="26" t="n">
        <x:v>0</x:v>
      </x:c>
      <x:c r="J3174" s="26" t="n">
        <x:v>140</x:v>
      </x:c>
      <x:c r="K3174" s="35" t="str">
        <x:v>City Water &amp; Sewer</x:v>
      </x:c>
    </x:row>
    <x:row r="3175">
      <x:c r="A3175" s="20" t="str">
        <x:v>FIN-01474</x:v>
      </x:c>
      <x:c r="B3175" s="32" t="n">
        <x:v>1</x:v>
      </x:c>
      <x:c r="C3175" s="23" t="n">
        <x:v>46741</x:v>
      </x:c>
      <x:c r="D3175" s="23" t="n">
        <x:v>46741</x:v>
      </x:c>
      <x:c r="E3175" s="20" t="str">
        <x:v>P001</x:v>
      </x:c>
      <x:c r="F3175" s="20" t="str"/>
      <x:c r="G3175" s="20" t="str"/>
      <x:c r="H3175" s="20" t="str">
        <x:v>2200 Mortgage Loans Payable</x:v>
      </x:c>
      <x:c r="I3175" s="26" t="n">
        <x:v>431</x:v>
      </x:c>
      <x:c r="J3175" s="26" t="n">
        <x:v>0</x:v>
      </x:c>
      <x:c r="K3175" s="35" t="str">
        <x:v>LN001 scheduled payment</x:v>
      </x:c>
    </x:row>
    <x:row r="3176">
      <x:c r="A3176" s="20" t="str">
        <x:v>FIN-01474</x:v>
      </x:c>
      <x:c r="B3176" s="32" t="n">
        <x:v>2</x:v>
      </x:c>
      <x:c r="C3176" s="23" t="n">
        <x:v>46741</x:v>
      </x:c>
      <x:c r="D3176" s="23" t="n">
        <x:v>46741</x:v>
      </x:c>
      <x:c r="E3176" s="20" t="str">
        <x:v>P001</x:v>
      </x:c>
      <x:c r="F3176" s="20" t="str"/>
      <x:c r="G3176" s="20" t="str"/>
      <x:c r="H3176" s="20" t="str">
        <x:v>5040 Mortgage Interest</x:v>
      </x:c>
      <x:c r="I3176" s="26" t="n">
        <x:v>535</x:v>
      </x:c>
      <x:c r="J3176" s="26" t="n">
        <x:v>0</x:v>
      </x:c>
      <x:c r="K3176" s="35" t="str">
        <x:v>LN001 scheduled payment</x:v>
      </x:c>
    </x:row>
    <x:row r="3177">
      <x:c r="A3177" s="20" t="str">
        <x:v>FIN-01474</x:v>
      </x:c>
      <x:c r="B3177" s="32" t="n">
        <x:v>3</x:v>
      </x:c>
      <x:c r="C3177" s="23" t="n">
        <x:v>46741</x:v>
      </x:c>
      <x:c r="D3177" s="23" t="n">
        <x:v>46741</x:v>
      </x:c>
      <x:c r="E3177" s="20" t="str">
        <x:v>P001</x:v>
      </x:c>
      <x:c r="F3177" s="20" t="str"/>
      <x:c r="G3177" s="20" t="str"/>
      <x:c r="H3177" s="20" t="str">
        <x:v>1000 Operating Cash</x:v>
      </x:c>
      <x:c r="I3177" s="26" t="n">
        <x:v>0</x:v>
      </x:c>
      <x:c r="J3177" s="26" t="n">
        <x:v>966</x:v>
      </x:c>
      <x:c r="K3177" s="35" t="str">
        <x:v>LN001 scheduled payment</x:v>
      </x:c>
    </x:row>
    <x:row r="3178">
      <x:c r="A3178" s="20" t="str">
        <x:v>FIN-01475</x:v>
      </x:c>
      <x:c r="B3178" s="32" t="n">
        <x:v>1</x:v>
      </x:c>
      <x:c r="C3178" s="23" t="n">
        <x:v>46741</x:v>
      </x:c>
      <x:c r="D3178" s="23" t="n">
        <x:v>46741</x:v>
      </x:c>
      <x:c r="E3178" s="20" t="str">
        <x:v>P002</x:v>
      </x:c>
      <x:c r="F3178" s="20" t="str"/>
      <x:c r="G3178" s="20" t="str"/>
      <x:c r="H3178" s="20" t="str">
        <x:v>2200 Mortgage Loans Payable</x:v>
      </x:c>
      <x:c r="I3178" s="26" t="n">
        <x:v>442</x:v>
      </x:c>
      <x:c r="J3178" s="26" t="n">
        <x:v>0</x:v>
      </x:c>
      <x:c r="K3178" s="35" t="str">
        <x:v>LN002 scheduled payment</x:v>
      </x:c>
    </x:row>
    <x:row r="3179">
      <x:c r="A3179" s="20" t="str">
        <x:v>FIN-01475</x:v>
      </x:c>
      <x:c r="B3179" s="32" t="n">
        <x:v>2</x:v>
      </x:c>
      <x:c r="C3179" s="23" t="n">
        <x:v>46741</x:v>
      </x:c>
      <x:c r="D3179" s="23" t="n">
        <x:v>46741</x:v>
      </x:c>
      <x:c r="E3179" s="20" t="str">
        <x:v>P002</x:v>
      </x:c>
      <x:c r="F3179" s="20" t="str"/>
      <x:c r="G3179" s="20" t="str"/>
      <x:c r="H3179" s="20" t="str">
        <x:v>5040 Mortgage Interest</x:v>
      </x:c>
      <x:c r="I3179" s="26" t="n">
        <x:v>548</x:v>
      </x:c>
      <x:c r="J3179" s="26" t="n">
        <x:v>0</x:v>
      </x:c>
      <x:c r="K3179" s="35" t="str">
        <x:v>LN002 scheduled payment</x:v>
      </x:c>
    </x:row>
    <x:row r="3180">
      <x:c r="A3180" s="20" t="str">
        <x:v>FIN-01475</x:v>
      </x:c>
      <x:c r="B3180" s="32" t="n">
        <x:v>3</x:v>
      </x:c>
      <x:c r="C3180" s="23" t="n">
        <x:v>46741</x:v>
      </x:c>
      <x:c r="D3180" s="23" t="n">
        <x:v>46741</x:v>
      </x:c>
      <x:c r="E3180" s="20" t="str">
        <x:v>P002</x:v>
      </x:c>
      <x:c r="F3180" s="20" t="str"/>
      <x:c r="G3180" s="20" t="str"/>
      <x:c r="H3180" s="20" t="str">
        <x:v>1000 Operating Cash</x:v>
      </x:c>
      <x:c r="I3180" s="26" t="n">
        <x:v>0</x:v>
      </x:c>
      <x:c r="J3180" s="26" t="n">
        <x:v>990</x:v>
      </x:c>
      <x:c r="K3180" s="35" t="str">
        <x:v>LN002 scheduled payment</x:v>
      </x:c>
    </x:row>
    <x:row r="3181">
      <x:c r="A3181" s="20" t="str">
        <x:v>FIN-01476</x:v>
      </x:c>
      <x:c r="B3181" s="32" t="n">
        <x:v>1</x:v>
      </x:c>
      <x:c r="C3181" s="23" t="n">
        <x:v>46741</x:v>
      </x:c>
      <x:c r="D3181" s="23" t="n">
        <x:v>46741</x:v>
      </x:c>
      <x:c r="E3181" s="20" t="str">
        <x:v>P004</x:v>
      </x:c>
      <x:c r="F3181" s="20" t="str"/>
      <x:c r="G3181" s="20" t="str"/>
      <x:c r="H3181" s="20" t="str">
        <x:v>2200 Mortgage Loans Payable</x:v>
      </x:c>
      <x:c r="I3181" s="26" t="n">
        <x:v>464</x:v>
      </x:c>
      <x:c r="J3181" s="26" t="n">
        <x:v>0</x:v>
      </x:c>
      <x:c r="K3181" s="35" t="str">
        <x:v>LN004 scheduled payment</x:v>
      </x:c>
    </x:row>
    <x:row r="3182">
      <x:c r="A3182" s="20" t="str">
        <x:v>FIN-01476</x:v>
      </x:c>
      <x:c r="B3182" s="32" t="n">
        <x:v>2</x:v>
      </x:c>
      <x:c r="C3182" s="23" t="n">
        <x:v>46741</x:v>
      </x:c>
      <x:c r="D3182" s="23" t="n">
        <x:v>46741</x:v>
      </x:c>
      <x:c r="E3182" s="20" t="str">
        <x:v>P004</x:v>
      </x:c>
      <x:c r="F3182" s="20" t="str"/>
      <x:c r="G3182" s="20" t="str"/>
      <x:c r="H3182" s="20" t="str">
        <x:v>5040 Mortgage Interest</x:v>
      </x:c>
      <x:c r="I3182" s="26" t="n">
        <x:v>574</x:v>
      </x:c>
      <x:c r="J3182" s="26" t="n">
        <x:v>0</x:v>
      </x:c>
      <x:c r="K3182" s="35" t="str">
        <x:v>LN004 scheduled payment</x:v>
      </x:c>
    </x:row>
    <x:row r="3183">
      <x:c r="A3183" s="20" t="str">
        <x:v>FIN-01476</x:v>
      </x:c>
      <x:c r="B3183" s="32" t="n">
        <x:v>3</x:v>
      </x:c>
      <x:c r="C3183" s="23" t="n">
        <x:v>46741</x:v>
      </x:c>
      <x:c r="D3183" s="23" t="n">
        <x:v>46741</x:v>
      </x:c>
      <x:c r="E3183" s="20" t="str">
        <x:v>P004</x:v>
      </x:c>
      <x:c r="F3183" s="20" t="str"/>
      <x:c r="G3183" s="20" t="str"/>
      <x:c r="H3183" s="20" t="str">
        <x:v>1000 Operating Cash</x:v>
      </x:c>
      <x:c r="I3183" s="26" t="n">
        <x:v>0</x:v>
      </x:c>
      <x:c r="J3183" s="26" t="n">
        <x:v>1038</x:v>
      </x:c>
      <x:c r="K3183" s="35" t="str">
        <x:v>LN004 scheduled payment</x:v>
      </x:c>
    </x:row>
    <x:row r="3184">
      <x:c r="A3184" s="20" t="str">
        <x:v>FIN-01477</x:v>
      </x:c>
      <x:c r="B3184" s="32" t="n">
        <x:v>1</x:v>
      </x:c>
      <x:c r="C3184" s="23" t="n">
        <x:v>46741</x:v>
      </x:c>
      <x:c r="D3184" s="23" t="n">
        <x:v>46741</x:v>
      </x:c>
      <x:c r="E3184" s="20" t="str">
        <x:v>P005</x:v>
      </x:c>
      <x:c r="F3184" s="20" t="str"/>
      <x:c r="G3184" s="20" t="str"/>
      <x:c r="H3184" s="20" t="str">
        <x:v>2200 Mortgage Loans Payable</x:v>
      </x:c>
      <x:c r="I3184" s="26" t="n">
        <x:v>475</x:v>
      </x:c>
      <x:c r="J3184" s="26" t="n">
        <x:v>0</x:v>
      </x:c>
      <x:c r="K3184" s="35" t="str">
        <x:v>LN005 scheduled payment</x:v>
      </x:c>
    </x:row>
    <x:row r="3185">
      <x:c r="A3185" s="20" t="str">
        <x:v>FIN-01477</x:v>
      </x:c>
      <x:c r="B3185" s="32" t="n">
        <x:v>2</x:v>
      </x:c>
      <x:c r="C3185" s="23" t="n">
        <x:v>46741</x:v>
      </x:c>
      <x:c r="D3185" s="23" t="n">
        <x:v>46741</x:v>
      </x:c>
      <x:c r="E3185" s="20" t="str">
        <x:v>P005</x:v>
      </x:c>
      <x:c r="F3185" s="20" t="str"/>
      <x:c r="G3185" s="20" t="str"/>
      <x:c r="H3185" s="20" t="str">
        <x:v>5040 Mortgage Interest</x:v>
      </x:c>
      <x:c r="I3185" s="26" t="n">
        <x:v>587</x:v>
      </x:c>
      <x:c r="J3185" s="26" t="n">
        <x:v>0</x:v>
      </x:c>
      <x:c r="K3185" s="35" t="str">
        <x:v>LN005 scheduled payment</x:v>
      </x:c>
    </x:row>
    <x:row r="3186">
      <x:c r="A3186" s="20" t="str">
        <x:v>FIN-01477</x:v>
      </x:c>
      <x:c r="B3186" s="32" t="n">
        <x:v>3</x:v>
      </x:c>
      <x:c r="C3186" s="23" t="n">
        <x:v>46741</x:v>
      </x:c>
      <x:c r="D3186" s="23" t="n">
        <x:v>46741</x:v>
      </x:c>
      <x:c r="E3186" s="20" t="str">
        <x:v>P005</x:v>
      </x:c>
      <x:c r="F3186" s="20" t="str"/>
      <x:c r="G3186" s="20" t="str"/>
      <x:c r="H3186" s="20" t="str">
        <x:v>1000 Operating Cash</x:v>
      </x:c>
      <x:c r="I3186" s="26" t="n">
        <x:v>0</x:v>
      </x:c>
      <x:c r="J3186" s="26" t="n">
        <x:v>1062</x:v>
      </x:c>
      <x:c r="K3186" s="35" t="str">
        <x:v>LN005 scheduled payment</x:v>
      </x:c>
    </x:row>
    <x:row r="3187">
      <x:c r="A3187" s="20" t="str">
        <x:v>FIN-01478</x:v>
      </x:c>
      <x:c r="B3187" s="32" t="n">
        <x:v>1</x:v>
      </x:c>
      <x:c r="C3187" s="23" t="n">
        <x:v>46741</x:v>
      </x:c>
      <x:c r="D3187" s="23" t="n">
        <x:v>46741</x:v>
      </x:c>
      <x:c r="E3187" s="20" t="str">
        <x:v>P007</x:v>
      </x:c>
      <x:c r="F3187" s="20" t="str"/>
      <x:c r="G3187" s="20" t="str"/>
      <x:c r="H3187" s="20" t="str">
        <x:v>2200 Mortgage Loans Payable</x:v>
      </x:c>
      <x:c r="I3187" s="26" t="n">
        <x:v>497</x:v>
      </x:c>
      <x:c r="J3187" s="26" t="n">
        <x:v>0</x:v>
      </x:c>
      <x:c r="K3187" s="35" t="str">
        <x:v>LN007 scheduled payment</x:v>
      </x:c>
    </x:row>
    <x:row r="3188">
      <x:c r="A3188" s="20" t="str">
        <x:v>FIN-01478</x:v>
      </x:c>
      <x:c r="B3188" s="32" t="n">
        <x:v>2</x:v>
      </x:c>
      <x:c r="C3188" s="23" t="n">
        <x:v>46741</x:v>
      </x:c>
      <x:c r="D3188" s="23" t="n">
        <x:v>46741</x:v>
      </x:c>
      <x:c r="E3188" s="20" t="str">
        <x:v>P007</x:v>
      </x:c>
      <x:c r="F3188" s="20" t="str"/>
      <x:c r="G3188" s="20" t="str"/>
      <x:c r="H3188" s="20" t="str">
        <x:v>5040 Mortgage Interest</x:v>
      </x:c>
      <x:c r="I3188" s="26" t="n">
        <x:v>613</x:v>
      </x:c>
      <x:c r="J3188" s="26" t="n">
        <x:v>0</x:v>
      </x:c>
      <x:c r="K3188" s="35" t="str">
        <x:v>LN007 scheduled payment</x:v>
      </x:c>
    </x:row>
    <x:row r="3189">
      <x:c r="A3189" s="20" t="str">
        <x:v>FIN-01478</x:v>
      </x:c>
      <x:c r="B3189" s="32" t="n">
        <x:v>3</x:v>
      </x:c>
      <x:c r="C3189" s="23" t="n">
        <x:v>46741</x:v>
      </x:c>
      <x:c r="D3189" s="23" t="n">
        <x:v>46741</x:v>
      </x:c>
      <x:c r="E3189" s="20" t="str">
        <x:v>P007</x:v>
      </x:c>
      <x:c r="F3189" s="20" t="str"/>
      <x:c r="G3189" s="20" t="str"/>
      <x:c r="H3189" s="20" t="str">
        <x:v>1000 Operating Cash</x:v>
      </x:c>
      <x:c r="I3189" s="26" t="n">
        <x:v>0</x:v>
      </x:c>
      <x:c r="J3189" s="26" t="n">
        <x:v>1110</x:v>
      </x:c>
      <x:c r="K3189" s="35" t="str">
        <x:v>LN007 scheduled payment</x:v>
      </x:c>
    </x:row>
    <x:row r="3190">
      <x:c r="A3190" s="20" t="str">
        <x:v>FIN-01479</x:v>
      </x:c>
      <x:c r="B3190" s="32" t="n">
        <x:v>1</x:v>
      </x:c>
      <x:c r="C3190" s="23" t="n">
        <x:v>46741</x:v>
      </x:c>
      <x:c r="D3190" s="23" t="n">
        <x:v>46741</x:v>
      </x:c>
      <x:c r="E3190" s="20" t="str">
        <x:v>P008</x:v>
      </x:c>
      <x:c r="F3190" s="20" t="str"/>
      <x:c r="G3190" s="20" t="str"/>
      <x:c r="H3190" s="20" t="str">
        <x:v>2200 Mortgage Loans Payable</x:v>
      </x:c>
      <x:c r="I3190" s="26" t="n">
        <x:v>508</x:v>
      </x:c>
      <x:c r="J3190" s="26" t="n">
        <x:v>0</x:v>
      </x:c>
      <x:c r="K3190" s="35" t="str">
        <x:v>LN008 scheduled payment</x:v>
      </x:c>
    </x:row>
    <x:row r="3191">
      <x:c r="A3191" s="20" t="str">
        <x:v>FIN-01479</x:v>
      </x:c>
      <x:c r="B3191" s="32" t="n">
        <x:v>2</x:v>
      </x:c>
      <x:c r="C3191" s="23" t="n">
        <x:v>46741</x:v>
      </x:c>
      <x:c r="D3191" s="23" t="n">
        <x:v>46741</x:v>
      </x:c>
      <x:c r="E3191" s="20" t="str">
        <x:v>P008</x:v>
      </x:c>
      <x:c r="F3191" s="20" t="str"/>
      <x:c r="G3191" s="20" t="str"/>
      <x:c r="H3191" s="20" t="str">
        <x:v>5040 Mortgage Interest</x:v>
      </x:c>
      <x:c r="I3191" s="26" t="n">
        <x:v>626</x:v>
      </x:c>
      <x:c r="J3191" s="26" t="n">
        <x:v>0</x:v>
      </x:c>
      <x:c r="K3191" s="35" t="str">
        <x:v>LN008 scheduled payment</x:v>
      </x:c>
    </x:row>
    <x:row r="3192">
      <x:c r="A3192" s="20" t="str">
        <x:v>FIN-01479</x:v>
      </x:c>
      <x:c r="B3192" s="32" t="n">
        <x:v>3</x:v>
      </x:c>
      <x:c r="C3192" s="23" t="n">
        <x:v>46741</x:v>
      </x:c>
      <x:c r="D3192" s="23" t="n">
        <x:v>46741</x:v>
      </x:c>
      <x:c r="E3192" s="20" t="str">
        <x:v>P008</x:v>
      </x:c>
      <x:c r="F3192" s="20" t="str"/>
      <x:c r="G3192" s="20" t="str"/>
      <x:c r="H3192" s="20" t="str">
        <x:v>1000 Operating Cash</x:v>
      </x:c>
      <x:c r="I3192" s="26" t="n">
        <x:v>0</x:v>
      </x:c>
      <x:c r="J3192" s="26" t="n">
        <x:v>1134</x:v>
      </x:c>
      <x:c r="K3192" s="35" t="str">
        <x:v>LN008 scheduled payment</x:v>
      </x:c>
    </x:row>
    <x:row r="3193">
      <x:c r="A3193" s="20" t="str">
        <x:v>FIN-01480</x:v>
      </x:c>
      <x:c r="B3193" s="32" t="n">
        <x:v>1</x:v>
      </x:c>
      <x:c r="C3193" s="23" t="n">
        <x:v>46741</x:v>
      </x:c>
      <x:c r="D3193" s="23" t="n">
        <x:v>46741</x:v>
      </x:c>
      <x:c r="E3193" s="20" t="str">
        <x:v>P010</x:v>
      </x:c>
      <x:c r="F3193" s="20" t="str"/>
      <x:c r="G3193" s="20" t="str"/>
      <x:c r="H3193" s="20" t="str">
        <x:v>2200 Mortgage Loans Payable</x:v>
      </x:c>
      <x:c r="I3193" s="26" t="n">
        <x:v>530</x:v>
      </x:c>
      <x:c r="J3193" s="26" t="n">
        <x:v>0</x:v>
      </x:c>
      <x:c r="K3193" s="35" t="str">
        <x:v>LN010 scheduled payment</x:v>
      </x:c>
    </x:row>
    <x:row r="3194">
      <x:c r="A3194" s="20" t="str">
        <x:v>FIN-01480</x:v>
      </x:c>
      <x:c r="B3194" s="32" t="n">
        <x:v>2</x:v>
      </x:c>
      <x:c r="C3194" s="23" t="n">
        <x:v>46741</x:v>
      </x:c>
      <x:c r="D3194" s="23" t="n">
        <x:v>46741</x:v>
      </x:c>
      <x:c r="E3194" s="20" t="str">
        <x:v>P010</x:v>
      </x:c>
      <x:c r="F3194" s="20" t="str"/>
      <x:c r="G3194" s="20" t="str"/>
      <x:c r="H3194" s="20" t="str">
        <x:v>5040 Mortgage Interest</x:v>
      </x:c>
      <x:c r="I3194" s="26" t="n">
        <x:v>652</x:v>
      </x:c>
      <x:c r="J3194" s="26" t="n">
        <x:v>0</x:v>
      </x:c>
      <x:c r="K3194" s="35" t="str">
        <x:v>LN010 scheduled payment</x:v>
      </x:c>
    </x:row>
    <x:row r="3195">
      <x:c r="A3195" s="20" t="str">
        <x:v>FIN-01480</x:v>
      </x:c>
      <x:c r="B3195" s="32" t="n">
        <x:v>3</x:v>
      </x:c>
      <x:c r="C3195" s="23" t="n">
        <x:v>46741</x:v>
      </x:c>
      <x:c r="D3195" s="23" t="n">
        <x:v>46741</x:v>
      </x:c>
      <x:c r="E3195" s="20" t="str">
        <x:v>P010</x:v>
      </x:c>
      <x:c r="F3195" s="20" t="str"/>
      <x:c r="G3195" s="20" t="str"/>
      <x:c r="H3195" s="20" t="str">
        <x:v>1000 Operating Cash</x:v>
      </x:c>
      <x:c r="I3195" s="26" t="n">
        <x:v>0</x:v>
      </x:c>
      <x:c r="J3195" s="26" t="n">
        <x:v>1182</x:v>
      </x:c>
      <x:c r="K3195" s="35" t="str">
        <x:v>LN010 scheduled payment</x:v>
      </x:c>
    </x:row>
    <x:row r="3196">
      <x:c r="A3196" s="20" t="str">
        <x:v>FIN-01481</x:v>
      </x:c>
      <x:c r="B3196" s="32" t="n">
        <x:v>1</x:v>
      </x:c>
      <x:c r="C3196" s="23" t="n">
        <x:v>46741</x:v>
      </x:c>
      <x:c r="D3196" s="23" t="n">
        <x:v>46741</x:v>
      </x:c>
      <x:c r="E3196" s="20" t="str">
        <x:v>P011</x:v>
      </x:c>
      <x:c r="F3196" s="20" t="str"/>
      <x:c r="G3196" s="20" t="str"/>
      <x:c r="H3196" s="20" t="str">
        <x:v>2200 Mortgage Loans Payable</x:v>
      </x:c>
      <x:c r="I3196" s="26" t="n">
        <x:v>541</x:v>
      </x:c>
      <x:c r="J3196" s="26" t="n">
        <x:v>0</x:v>
      </x:c>
      <x:c r="K3196" s="35" t="str">
        <x:v>LN011 scheduled payment</x:v>
      </x:c>
    </x:row>
    <x:row r="3197">
      <x:c r="A3197" s="20" t="str">
        <x:v>FIN-01481</x:v>
      </x:c>
      <x:c r="B3197" s="32" t="n">
        <x:v>2</x:v>
      </x:c>
      <x:c r="C3197" s="23" t="n">
        <x:v>46741</x:v>
      </x:c>
      <x:c r="D3197" s="23" t="n">
        <x:v>46741</x:v>
      </x:c>
      <x:c r="E3197" s="20" t="str">
        <x:v>P011</x:v>
      </x:c>
      <x:c r="F3197" s="20" t="str"/>
      <x:c r="G3197" s="20" t="str"/>
      <x:c r="H3197" s="20" t="str">
        <x:v>5040 Mortgage Interest</x:v>
      </x:c>
      <x:c r="I3197" s="26" t="n">
        <x:v>665</x:v>
      </x:c>
      <x:c r="J3197" s="26" t="n">
        <x:v>0</x:v>
      </x:c>
      <x:c r="K3197" s="35" t="str">
        <x:v>LN011 scheduled payment</x:v>
      </x:c>
    </x:row>
    <x:row r="3198">
      <x:c r="A3198" s="20" t="str">
        <x:v>FIN-01481</x:v>
      </x:c>
      <x:c r="B3198" s="32" t="n">
        <x:v>3</x:v>
      </x:c>
      <x:c r="C3198" s="23" t="n">
        <x:v>46741</x:v>
      </x:c>
      <x:c r="D3198" s="23" t="n">
        <x:v>46741</x:v>
      </x:c>
      <x:c r="E3198" s="20" t="str">
        <x:v>P011</x:v>
      </x:c>
      <x:c r="F3198" s="20" t="str"/>
      <x:c r="G3198" s="20" t="str"/>
      <x:c r="H3198" s="20" t="str">
        <x:v>1000 Operating Cash</x:v>
      </x:c>
      <x:c r="I3198" s="26" t="n">
        <x:v>0</x:v>
      </x:c>
      <x:c r="J3198" s="26" t="n">
        <x:v>1206</x:v>
      </x:c>
      <x:c r="K3198" s="35" t="str">
        <x:v>LN011 scheduled payment</x:v>
      </x:c>
    </x:row>
    <x:row r="3199">
      <x:c r="A3199" s="20" t="str">
        <x:v>FIN-01482</x:v>
      </x:c>
      <x:c r="B3199" s="32" t="n">
        <x:v>1</x:v>
      </x:c>
      <x:c r="C3199" s="23" t="n">
        <x:v>46741</x:v>
      </x:c>
      <x:c r="D3199" s="23" t="n">
        <x:v>46741</x:v>
      </x:c>
      <x:c r="E3199" s="20" t="str">
        <x:v>P013</x:v>
      </x:c>
      <x:c r="F3199" s="20" t="str"/>
      <x:c r="G3199" s="20" t="str"/>
      <x:c r="H3199" s="20" t="str">
        <x:v>2200 Mortgage Loans Payable</x:v>
      </x:c>
      <x:c r="I3199" s="26" t="n">
        <x:v>563</x:v>
      </x:c>
      <x:c r="J3199" s="26" t="n">
        <x:v>0</x:v>
      </x:c>
      <x:c r="K3199" s="35" t="str">
        <x:v>LN013 scheduled payment</x:v>
      </x:c>
    </x:row>
    <x:row r="3200">
      <x:c r="A3200" s="20" t="str">
        <x:v>FIN-01482</x:v>
      </x:c>
      <x:c r="B3200" s="32" t="n">
        <x:v>2</x:v>
      </x:c>
      <x:c r="C3200" s="23" t="n">
        <x:v>46741</x:v>
      </x:c>
      <x:c r="D3200" s="23" t="n">
        <x:v>46741</x:v>
      </x:c>
      <x:c r="E3200" s="20" t="str">
        <x:v>P013</x:v>
      </x:c>
      <x:c r="F3200" s="20" t="str"/>
      <x:c r="G3200" s="20" t="str"/>
      <x:c r="H3200" s="20" t="str">
        <x:v>5040 Mortgage Interest</x:v>
      </x:c>
      <x:c r="I3200" s="26" t="n">
        <x:v>691</x:v>
      </x:c>
      <x:c r="J3200" s="26" t="n">
        <x:v>0</x:v>
      </x:c>
      <x:c r="K3200" s="35" t="str">
        <x:v>LN013 scheduled payment</x:v>
      </x:c>
    </x:row>
    <x:row r="3201">
      <x:c r="A3201" s="20" t="str">
        <x:v>FIN-01482</x:v>
      </x:c>
      <x:c r="B3201" s="32" t="n">
        <x:v>3</x:v>
      </x:c>
      <x:c r="C3201" s="23" t="n">
        <x:v>46741</x:v>
      </x:c>
      <x:c r="D3201" s="23" t="n">
        <x:v>46741</x:v>
      </x:c>
      <x:c r="E3201" s="20" t="str">
        <x:v>P013</x:v>
      </x:c>
      <x:c r="F3201" s="20" t="str"/>
      <x:c r="G3201" s="20" t="str"/>
      <x:c r="H3201" s="20" t="str">
        <x:v>1000 Operating Cash</x:v>
      </x:c>
      <x:c r="I3201" s="26" t="n">
        <x:v>0</x:v>
      </x:c>
      <x:c r="J3201" s="26" t="n">
        <x:v>1254</x:v>
      </x:c>
      <x:c r="K3201" s="35" t="str">
        <x:v>LN013 scheduled payment</x:v>
      </x:c>
    </x:row>
    <x:row r="3202">
      <x:c r="A3202" s="20" t="str">
        <x:v>FIN-01483</x:v>
      </x:c>
      <x:c r="B3202" s="32" t="n">
        <x:v>1</x:v>
      </x:c>
      <x:c r="C3202" s="23" t="n">
        <x:v>46741</x:v>
      </x:c>
      <x:c r="D3202" s="23" t="n">
        <x:v>46741</x:v>
      </x:c>
      <x:c r="E3202" s="20" t="str">
        <x:v>P014</x:v>
      </x:c>
      <x:c r="F3202" s="20" t="str"/>
      <x:c r="G3202" s="20" t="str"/>
      <x:c r="H3202" s="20" t="str">
        <x:v>2200 Mortgage Loans Payable</x:v>
      </x:c>
      <x:c r="I3202" s="26" t="n">
        <x:v>574</x:v>
      </x:c>
      <x:c r="J3202" s="26" t="n">
        <x:v>0</x:v>
      </x:c>
      <x:c r="K3202" s="35" t="str">
        <x:v>LN014 scheduled payment</x:v>
      </x:c>
    </x:row>
    <x:row r="3203">
      <x:c r="A3203" s="20" t="str">
        <x:v>FIN-01483</x:v>
      </x:c>
      <x:c r="B3203" s="32" t="n">
        <x:v>2</x:v>
      </x:c>
      <x:c r="C3203" s="23" t="n">
        <x:v>46741</x:v>
      </x:c>
      <x:c r="D3203" s="23" t="n">
        <x:v>46741</x:v>
      </x:c>
      <x:c r="E3203" s="20" t="str">
        <x:v>P014</x:v>
      </x:c>
      <x:c r="F3203" s="20" t="str"/>
      <x:c r="G3203" s="20" t="str"/>
      <x:c r="H3203" s="20" t="str">
        <x:v>5040 Mortgage Interest</x:v>
      </x:c>
      <x:c r="I3203" s="26" t="n">
        <x:v>704</x:v>
      </x:c>
      <x:c r="J3203" s="26" t="n">
        <x:v>0</x:v>
      </x:c>
      <x:c r="K3203" s="35" t="str">
        <x:v>LN014 scheduled payment</x:v>
      </x:c>
    </x:row>
    <x:row r="3204">
      <x:c r="A3204" s="20" t="str">
        <x:v>FIN-01483</x:v>
      </x:c>
      <x:c r="B3204" s="32" t="n">
        <x:v>3</x:v>
      </x:c>
      <x:c r="C3204" s="23" t="n">
        <x:v>46741</x:v>
      </x:c>
      <x:c r="D3204" s="23" t="n">
        <x:v>46741</x:v>
      </x:c>
      <x:c r="E3204" s="20" t="str">
        <x:v>P014</x:v>
      </x:c>
      <x:c r="F3204" s="20" t="str"/>
      <x:c r="G3204" s="20" t="str"/>
      <x:c r="H3204" s="20" t="str">
        <x:v>1000 Operating Cash</x:v>
      </x:c>
      <x:c r="I3204" s="26" t="n">
        <x:v>0</x:v>
      </x:c>
      <x:c r="J3204" s="26" t="n">
        <x:v>1278</x:v>
      </x:c>
      <x:c r="K3204" s="35" t="str">
        <x:v>LN014 scheduled payment</x:v>
      </x:c>
    </x:row>
    <x:row r="3205">
      <x:c r="A3205" s="20" t="str">
        <x:v>FIN-01484</x:v>
      </x:c>
      <x:c r="B3205" s="32" t="n">
        <x:v>1</x:v>
      </x:c>
      <x:c r="C3205" s="23" t="n">
        <x:v>46741</x:v>
      </x:c>
      <x:c r="D3205" s="23" t="n">
        <x:v>46741</x:v>
      </x:c>
      <x:c r="E3205" s="20" t="str">
        <x:v>P016</x:v>
      </x:c>
      <x:c r="F3205" s="20" t="str"/>
      <x:c r="G3205" s="20" t="str"/>
      <x:c r="H3205" s="20" t="str">
        <x:v>2200 Mortgage Loans Payable</x:v>
      </x:c>
      <x:c r="I3205" s="26" t="n">
        <x:v>596</x:v>
      </x:c>
      <x:c r="J3205" s="26" t="n">
        <x:v>0</x:v>
      </x:c>
      <x:c r="K3205" s="35" t="str">
        <x:v>LN016 scheduled payment</x:v>
      </x:c>
    </x:row>
    <x:row r="3206">
      <x:c r="A3206" s="20" t="str">
        <x:v>FIN-01484</x:v>
      </x:c>
      <x:c r="B3206" s="32" t="n">
        <x:v>2</x:v>
      </x:c>
      <x:c r="C3206" s="23" t="n">
        <x:v>46741</x:v>
      </x:c>
      <x:c r="D3206" s="23" t="n">
        <x:v>46741</x:v>
      </x:c>
      <x:c r="E3206" s="20" t="str">
        <x:v>P016</x:v>
      </x:c>
      <x:c r="F3206" s="20" t="str"/>
      <x:c r="G3206" s="20" t="str"/>
      <x:c r="H3206" s="20" t="str">
        <x:v>5040 Mortgage Interest</x:v>
      </x:c>
      <x:c r="I3206" s="26" t="n">
        <x:v>730</x:v>
      </x:c>
      <x:c r="J3206" s="26" t="n">
        <x:v>0</x:v>
      </x:c>
      <x:c r="K3206" s="35" t="str">
        <x:v>LN016 scheduled payment</x:v>
      </x:c>
    </x:row>
    <x:row r="3207">
      <x:c r="A3207" s="20" t="str">
        <x:v>FIN-01484</x:v>
      </x:c>
      <x:c r="B3207" s="32" t="n">
        <x:v>3</x:v>
      </x:c>
      <x:c r="C3207" s="23" t="n">
        <x:v>46741</x:v>
      </x:c>
      <x:c r="D3207" s="23" t="n">
        <x:v>46741</x:v>
      </x:c>
      <x:c r="E3207" s="20" t="str">
        <x:v>P016</x:v>
      </x:c>
      <x:c r="F3207" s="20" t="str"/>
      <x:c r="G3207" s="20" t="str"/>
      <x:c r="H3207" s="20" t="str">
        <x:v>1000 Operating Cash</x:v>
      </x:c>
      <x:c r="I3207" s="26" t="n">
        <x:v>0</x:v>
      </x:c>
      <x:c r="J3207" s="26" t="n">
        <x:v>1326</x:v>
      </x:c>
      <x:c r="K3207" s="35" t="str">
        <x:v>LN016 scheduled payment</x:v>
      </x:c>
    </x:row>
    <x:row r="3208">
      <x:c r="A3208" s="20" t="str">
        <x:v>FIN-01485</x:v>
      </x:c>
      <x:c r="B3208" s="32" t="n">
        <x:v>1</x:v>
      </x:c>
      <x:c r="C3208" s="23" t="n">
        <x:v>46741</x:v>
      </x:c>
      <x:c r="D3208" s="23" t="n">
        <x:v>46741</x:v>
      </x:c>
      <x:c r="E3208" s="20" t="str">
        <x:v>P017</x:v>
      </x:c>
      <x:c r="F3208" s="20" t="str"/>
      <x:c r="G3208" s="20" t="str"/>
      <x:c r="H3208" s="20" t="str">
        <x:v>2200 Mortgage Loans Payable</x:v>
      </x:c>
      <x:c r="I3208" s="26" t="n">
        <x:v>607</x:v>
      </x:c>
      <x:c r="J3208" s="26" t="n">
        <x:v>0</x:v>
      </x:c>
      <x:c r="K3208" s="35" t="str">
        <x:v>LN017 scheduled payment</x:v>
      </x:c>
    </x:row>
    <x:row r="3209">
      <x:c r="A3209" s="20" t="str">
        <x:v>FIN-01485</x:v>
      </x:c>
      <x:c r="B3209" s="32" t="n">
        <x:v>2</x:v>
      </x:c>
      <x:c r="C3209" s="23" t="n">
        <x:v>46741</x:v>
      </x:c>
      <x:c r="D3209" s="23" t="n">
        <x:v>46741</x:v>
      </x:c>
      <x:c r="E3209" s="20" t="str">
        <x:v>P017</x:v>
      </x:c>
      <x:c r="F3209" s="20" t="str"/>
      <x:c r="G3209" s="20" t="str"/>
      <x:c r="H3209" s="20" t="str">
        <x:v>5040 Mortgage Interest</x:v>
      </x:c>
      <x:c r="I3209" s="26" t="n">
        <x:v>743</x:v>
      </x:c>
      <x:c r="J3209" s="26" t="n">
        <x:v>0</x:v>
      </x:c>
      <x:c r="K3209" s="35" t="str">
        <x:v>LN017 scheduled payment</x:v>
      </x:c>
    </x:row>
    <x:row r="3210">
      <x:c r="A3210" s="20" t="str">
        <x:v>FIN-01485</x:v>
      </x:c>
      <x:c r="B3210" s="32" t="n">
        <x:v>3</x:v>
      </x:c>
      <x:c r="C3210" s="23" t="n">
        <x:v>46741</x:v>
      </x:c>
      <x:c r="D3210" s="23" t="n">
        <x:v>46741</x:v>
      </x:c>
      <x:c r="E3210" s="20" t="str">
        <x:v>P017</x:v>
      </x:c>
      <x:c r="F3210" s="20" t="str"/>
      <x:c r="G3210" s="20" t="str"/>
      <x:c r="H3210" s="20" t="str">
        <x:v>1000 Operating Cash</x:v>
      </x:c>
      <x:c r="I3210" s="26" t="n">
        <x:v>0</x:v>
      </x:c>
      <x:c r="J3210" s="26" t="n">
        <x:v>1350</x:v>
      </x:c>
      <x:c r="K3210" s="35" t="str">
        <x:v>LN017 scheduled payment</x:v>
      </x:c>
    </x:row>
    <x:row r="3211">
      <x:c r="A3211" s="20" t="str">
        <x:v>FIN-01486</x:v>
      </x:c>
      <x:c r="B3211" s="32" t="n">
        <x:v>1</x:v>
      </x:c>
      <x:c r="C3211" s="23" t="n">
        <x:v>46741</x:v>
      </x:c>
      <x:c r="D3211" s="23" t="n">
        <x:v>46741</x:v>
      </x:c>
      <x:c r="E3211" s="20" t="str">
        <x:v>P019</x:v>
      </x:c>
      <x:c r="F3211" s="20" t="str"/>
      <x:c r="G3211" s="20" t="str"/>
      <x:c r="H3211" s="20" t="str">
        <x:v>2200 Mortgage Loans Payable</x:v>
      </x:c>
      <x:c r="I3211" s="26" t="n">
        <x:v>629</x:v>
      </x:c>
      <x:c r="J3211" s="26" t="n">
        <x:v>0</x:v>
      </x:c>
      <x:c r="K3211" s="35" t="str">
        <x:v>LN019 scheduled payment</x:v>
      </x:c>
    </x:row>
    <x:row r="3212">
      <x:c r="A3212" s="20" t="str">
        <x:v>FIN-01486</x:v>
      </x:c>
      <x:c r="B3212" s="32" t="n">
        <x:v>2</x:v>
      </x:c>
      <x:c r="C3212" s="23" t="n">
        <x:v>46741</x:v>
      </x:c>
      <x:c r="D3212" s="23" t="n">
        <x:v>46741</x:v>
      </x:c>
      <x:c r="E3212" s="20" t="str">
        <x:v>P019</x:v>
      </x:c>
      <x:c r="F3212" s="20" t="str"/>
      <x:c r="G3212" s="20" t="str"/>
      <x:c r="H3212" s="20" t="str">
        <x:v>5040 Mortgage Interest</x:v>
      </x:c>
      <x:c r="I3212" s="26" t="n">
        <x:v>769</x:v>
      </x:c>
      <x:c r="J3212" s="26" t="n">
        <x:v>0</x:v>
      </x:c>
      <x:c r="K3212" s="35" t="str">
        <x:v>LN019 scheduled payment</x:v>
      </x:c>
    </x:row>
    <x:row r="3213">
      <x:c r="A3213" s="20" t="str">
        <x:v>FIN-01486</x:v>
      </x:c>
      <x:c r="B3213" s="32" t="n">
        <x:v>3</x:v>
      </x:c>
      <x:c r="C3213" s="23" t="n">
        <x:v>46741</x:v>
      </x:c>
      <x:c r="D3213" s="23" t="n">
        <x:v>46741</x:v>
      </x:c>
      <x:c r="E3213" s="20" t="str">
        <x:v>P019</x:v>
      </x:c>
      <x:c r="F3213" s="20" t="str"/>
      <x:c r="G3213" s="20" t="str"/>
      <x:c r="H3213" s="20" t="str">
        <x:v>1000 Operating Cash</x:v>
      </x:c>
      <x:c r="I3213" s="26" t="n">
        <x:v>0</x:v>
      </x:c>
      <x:c r="J3213" s="26" t="n">
        <x:v>1398</x:v>
      </x:c>
      <x:c r="K3213" s="35" t="str">
        <x:v>LN019 scheduled payment</x:v>
      </x:c>
    </x:row>
    <x:row r="3214">
      <x:c r="A3214" s="20" t="str">
        <x:v>FIN-01487</x:v>
      </x:c>
      <x:c r="B3214" s="32" t="n">
        <x:v>1</x:v>
      </x:c>
      <x:c r="C3214" s="23" t="n">
        <x:v>46741</x:v>
      </x:c>
      <x:c r="D3214" s="23" t="n">
        <x:v>46741</x:v>
      </x:c>
      <x:c r="E3214" s="20" t="str">
        <x:v>P020</x:v>
      </x:c>
      <x:c r="F3214" s="20" t="str"/>
      <x:c r="G3214" s="20" t="str"/>
      <x:c r="H3214" s="20" t="str">
        <x:v>2200 Mortgage Loans Payable</x:v>
      </x:c>
      <x:c r="I3214" s="26" t="n">
        <x:v>640</x:v>
      </x:c>
      <x:c r="J3214" s="26" t="n">
        <x:v>0</x:v>
      </x:c>
      <x:c r="K3214" s="35" t="str">
        <x:v>LN020 scheduled payment</x:v>
      </x:c>
    </x:row>
    <x:row r="3215">
      <x:c r="A3215" s="20" t="str">
        <x:v>FIN-01487</x:v>
      </x:c>
      <x:c r="B3215" s="32" t="n">
        <x:v>2</x:v>
      </x:c>
      <x:c r="C3215" s="23" t="n">
        <x:v>46741</x:v>
      </x:c>
      <x:c r="D3215" s="23" t="n">
        <x:v>46741</x:v>
      </x:c>
      <x:c r="E3215" s="20" t="str">
        <x:v>P020</x:v>
      </x:c>
      <x:c r="F3215" s="20" t="str"/>
      <x:c r="G3215" s="20" t="str"/>
      <x:c r="H3215" s="20" t="str">
        <x:v>5040 Mortgage Interest</x:v>
      </x:c>
      <x:c r="I3215" s="26" t="n">
        <x:v>782</x:v>
      </x:c>
      <x:c r="J3215" s="26" t="n">
        <x:v>0</x:v>
      </x:c>
      <x:c r="K3215" s="35" t="str">
        <x:v>LN020 scheduled payment</x:v>
      </x:c>
    </x:row>
    <x:row r="3216">
      <x:c r="A3216" s="20" t="str">
        <x:v>FIN-01487</x:v>
      </x:c>
      <x:c r="B3216" s="32" t="n">
        <x:v>3</x:v>
      </x:c>
      <x:c r="C3216" s="23" t="n">
        <x:v>46741</x:v>
      </x:c>
      <x:c r="D3216" s="23" t="n">
        <x:v>46741</x:v>
      </x:c>
      <x:c r="E3216" s="20" t="str">
        <x:v>P020</x:v>
      </x:c>
      <x:c r="F3216" s="20" t="str"/>
      <x:c r="G3216" s="20" t="str"/>
      <x:c r="H3216" s="20" t="str">
        <x:v>1000 Operating Cash</x:v>
      </x:c>
      <x:c r="I3216" s="26" t="n">
        <x:v>0</x:v>
      </x:c>
      <x:c r="J3216" s="26" t="n">
        <x:v>1422</x:v>
      </x:c>
      <x:c r="K3216" s="35" t="str">
        <x:v>LN020 scheduled payment</x:v>
      </x:c>
    </x:row>
    <x:row r="3217">
      <x:c r="A3217" s="20" t="str">
        <x:v>FIN-01488</x:v>
      </x:c>
      <x:c r="B3217" s="32" t="n">
        <x:v>1</x:v>
      </x:c>
      <x:c r="C3217" s="23" t="n">
        <x:v>46741</x:v>
      </x:c>
      <x:c r="D3217" s="23" t="n">
        <x:v>46741</x:v>
      </x:c>
      <x:c r="E3217" s="20" t="str">
        <x:v>P022</x:v>
      </x:c>
      <x:c r="F3217" s="20" t="str"/>
      <x:c r="G3217" s="20" t="str"/>
      <x:c r="H3217" s="20" t="str">
        <x:v>2200 Mortgage Loans Payable</x:v>
      </x:c>
      <x:c r="I3217" s="26" t="n">
        <x:v>662</x:v>
      </x:c>
      <x:c r="J3217" s="26" t="n">
        <x:v>0</x:v>
      </x:c>
      <x:c r="K3217" s="35" t="str">
        <x:v>LN022 scheduled payment</x:v>
      </x:c>
    </x:row>
    <x:row r="3218">
      <x:c r="A3218" s="20" t="str">
        <x:v>FIN-01488</x:v>
      </x:c>
      <x:c r="B3218" s="32" t="n">
        <x:v>2</x:v>
      </x:c>
      <x:c r="C3218" s="23" t="n">
        <x:v>46741</x:v>
      </x:c>
      <x:c r="D3218" s="23" t="n">
        <x:v>46741</x:v>
      </x:c>
      <x:c r="E3218" s="20" t="str">
        <x:v>P022</x:v>
      </x:c>
      <x:c r="F3218" s="20" t="str"/>
      <x:c r="G3218" s="20" t="str"/>
      <x:c r="H3218" s="20" t="str">
        <x:v>5040 Mortgage Interest</x:v>
      </x:c>
      <x:c r="I3218" s="26" t="n">
        <x:v>808</x:v>
      </x:c>
      <x:c r="J3218" s="26" t="n">
        <x:v>0</x:v>
      </x:c>
      <x:c r="K3218" s="35" t="str">
        <x:v>LN022 scheduled payment</x:v>
      </x:c>
    </x:row>
    <x:row r="3219">
      <x:c r="A3219" s="20" t="str">
        <x:v>FIN-01488</x:v>
      </x:c>
      <x:c r="B3219" s="32" t="n">
        <x:v>3</x:v>
      </x:c>
      <x:c r="C3219" s="23" t="n">
        <x:v>46741</x:v>
      </x:c>
      <x:c r="D3219" s="23" t="n">
        <x:v>46741</x:v>
      </x:c>
      <x:c r="E3219" s="20" t="str">
        <x:v>P022</x:v>
      </x:c>
      <x:c r="F3219" s="20" t="str"/>
      <x:c r="G3219" s="20" t="str"/>
      <x:c r="H3219" s="20" t="str">
        <x:v>1000 Operating Cash</x:v>
      </x:c>
      <x:c r="I3219" s="26" t="n">
        <x:v>0</x:v>
      </x:c>
      <x:c r="J3219" s="26" t="n">
        <x:v>1470</x:v>
      </x:c>
      <x:c r="K3219" s="35" t="str">
        <x:v>LN022 scheduled payment</x:v>
      </x:c>
    </x:row>
    <x:row r="3220">
      <x:c r="A3220" s="20" t="str">
        <x:v>FIN-01489</x:v>
      </x:c>
      <x:c r="B3220" s="32" t="n">
        <x:v>1</x:v>
      </x:c>
      <x:c r="C3220" s="23" t="n">
        <x:v>46741</x:v>
      </x:c>
      <x:c r="D3220" s="23" t="n">
        <x:v>46741</x:v>
      </x:c>
      <x:c r="E3220" s="20" t="str">
        <x:v>P023</x:v>
      </x:c>
      <x:c r="F3220" s="20" t="str"/>
      <x:c r="G3220" s="20" t="str"/>
      <x:c r="H3220" s="20" t="str">
        <x:v>2200 Mortgage Loans Payable</x:v>
      </x:c>
      <x:c r="I3220" s="26" t="n">
        <x:v>673</x:v>
      </x:c>
      <x:c r="J3220" s="26" t="n">
        <x:v>0</x:v>
      </x:c>
      <x:c r="K3220" s="35" t="str">
        <x:v>LN023 scheduled payment</x:v>
      </x:c>
    </x:row>
    <x:row r="3221">
      <x:c r="A3221" s="20" t="str">
        <x:v>FIN-01489</x:v>
      </x:c>
      <x:c r="B3221" s="32" t="n">
        <x:v>2</x:v>
      </x:c>
      <x:c r="C3221" s="23" t="n">
        <x:v>46741</x:v>
      </x:c>
      <x:c r="D3221" s="23" t="n">
        <x:v>46741</x:v>
      </x:c>
      <x:c r="E3221" s="20" t="str">
        <x:v>P023</x:v>
      </x:c>
      <x:c r="F3221" s="20" t="str"/>
      <x:c r="G3221" s="20" t="str"/>
      <x:c r="H3221" s="20" t="str">
        <x:v>5040 Mortgage Interest</x:v>
      </x:c>
      <x:c r="I3221" s="26" t="n">
        <x:v>821</x:v>
      </x:c>
      <x:c r="J3221" s="26" t="n">
        <x:v>0</x:v>
      </x:c>
      <x:c r="K3221" s="35" t="str">
        <x:v>LN023 scheduled payment</x:v>
      </x:c>
    </x:row>
    <x:row r="3222">
      <x:c r="A3222" s="20" t="str">
        <x:v>FIN-01489</x:v>
      </x:c>
      <x:c r="B3222" s="32" t="n">
        <x:v>3</x:v>
      </x:c>
      <x:c r="C3222" s="23" t="n">
        <x:v>46741</x:v>
      </x:c>
      <x:c r="D3222" s="23" t="n">
        <x:v>46741</x:v>
      </x:c>
      <x:c r="E3222" s="20" t="str">
        <x:v>P023</x:v>
      </x:c>
      <x:c r="F3222" s="20" t="str"/>
      <x:c r="G3222" s="20" t="str"/>
      <x:c r="H3222" s="20" t="str">
        <x:v>1000 Operating Cash</x:v>
      </x:c>
      <x:c r="I3222" s="26" t="n">
        <x:v>0</x:v>
      </x:c>
      <x:c r="J3222" s="26" t="n">
        <x:v>1494</x:v>
      </x:c>
      <x:c r="K3222" s="35" t="str">
        <x:v>LN023 scheduled payment</x:v>
      </x:c>
    </x:row>
    <x:row r="3223">
      <x:c r="A3223" s="20" t="str">
        <x:v>FIN-01490</x:v>
      </x:c>
      <x:c r="B3223" s="32" t="n">
        <x:v>1</x:v>
      </x:c>
      <x:c r="C3223" s="23" t="n">
        <x:v>46741</x:v>
      </x:c>
      <x:c r="D3223" s="23" t="n">
        <x:v>46741</x:v>
      </x:c>
      <x:c r="E3223" s="20" t="str">
        <x:v>P025</x:v>
      </x:c>
      <x:c r="F3223" s="20" t="str"/>
      <x:c r="G3223" s="20" t="str"/>
      <x:c r="H3223" s="20" t="str">
        <x:v>2200 Mortgage Loans Payable</x:v>
      </x:c>
      <x:c r="I3223" s="26" t="n">
        <x:v>695</x:v>
      </x:c>
      <x:c r="J3223" s="26" t="n">
        <x:v>0</x:v>
      </x:c>
      <x:c r="K3223" s="35" t="str">
        <x:v>LN025 scheduled payment</x:v>
      </x:c>
    </x:row>
    <x:row r="3224">
      <x:c r="A3224" s="20" t="str">
        <x:v>FIN-01490</x:v>
      </x:c>
      <x:c r="B3224" s="32" t="n">
        <x:v>2</x:v>
      </x:c>
      <x:c r="C3224" s="23" t="n">
        <x:v>46741</x:v>
      </x:c>
      <x:c r="D3224" s="23" t="n">
        <x:v>46741</x:v>
      </x:c>
      <x:c r="E3224" s="20" t="str">
        <x:v>P025</x:v>
      </x:c>
      <x:c r="F3224" s="20" t="str"/>
      <x:c r="G3224" s="20" t="str"/>
      <x:c r="H3224" s="20" t="str">
        <x:v>5040 Mortgage Interest</x:v>
      </x:c>
      <x:c r="I3224" s="26" t="n">
        <x:v>847</x:v>
      </x:c>
      <x:c r="J3224" s="26" t="n">
        <x:v>0</x:v>
      </x:c>
      <x:c r="K3224" s="35" t="str">
        <x:v>LN025 scheduled payment</x:v>
      </x:c>
    </x:row>
    <x:row r="3225">
      <x:c r="A3225" s="20" t="str">
        <x:v>FIN-01490</x:v>
      </x:c>
      <x:c r="B3225" s="32" t="n">
        <x:v>3</x:v>
      </x:c>
      <x:c r="C3225" s="23" t="n">
        <x:v>46741</x:v>
      </x:c>
      <x:c r="D3225" s="23" t="n">
        <x:v>46741</x:v>
      </x:c>
      <x:c r="E3225" s="20" t="str">
        <x:v>P025</x:v>
      </x:c>
      <x:c r="F3225" s="20" t="str"/>
      <x:c r="G3225" s="20" t="str"/>
      <x:c r="H3225" s="20" t="str">
        <x:v>1000 Operating Cash</x:v>
      </x:c>
      <x:c r="I3225" s="26" t="n">
        <x:v>0</x:v>
      </x:c>
      <x:c r="J3225" s="26" t="n">
        <x:v>1542</x:v>
      </x:c>
      <x:c r="K3225" s="35" t="str">
        <x:v>LN025 scheduled payment</x:v>
      </x:c>
    </x:row>
    <x:row r="3226">
      <x:c r="A3226" s="20" t="str">
        <x:v>FIN-01491</x:v>
      </x:c>
      <x:c r="B3226" s="32" t="n">
        <x:v>1</x:v>
      </x:c>
      <x:c r="C3226" s="23" t="n">
        <x:v>46741</x:v>
      </x:c>
      <x:c r="D3226" s="23" t="n">
        <x:v>46741</x:v>
      </x:c>
      <x:c r="E3226" s="20" t="str">
        <x:v>P026</x:v>
      </x:c>
      <x:c r="F3226" s="20" t="str"/>
      <x:c r="G3226" s="20" t="str"/>
      <x:c r="H3226" s="20" t="str">
        <x:v>2200 Mortgage Loans Payable</x:v>
      </x:c>
      <x:c r="I3226" s="26" t="n">
        <x:v>706</x:v>
      </x:c>
      <x:c r="J3226" s="26" t="n">
        <x:v>0</x:v>
      </x:c>
      <x:c r="K3226" s="35" t="str">
        <x:v>LN026 scheduled payment</x:v>
      </x:c>
    </x:row>
    <x:row r="3227">
      <x:c r="A3227" s="20" t="str">
        <x:v>FIN-01491</x:v>
      </x:c>
      <x:c r="B3227" s="32" t="n">
        <x:v>2</x:v>
      </x:c>
      <x:c r="C3227" s="23" t="n">
        <x:v>46741</x:v>
      </x:c>
      <x:c r="D3227" s="23" t="n">
        <x:v>46741</x:v>
      </x:c>
      <x:c r="E3227" s="20" t="str">
        <x:v>P026</x:v>
      </x:c>
      <x:c r="F3227" s="20" t="str"/>
      <x:c r="G3227" s="20" t="str"/>
      <x:c r="H3227" s="20" t="str">
        <x:v>5040 Mortgage Interest</x:v>
      </x:c>
      <x:c r="I3227" s="26" t="n">
        <x:v>860</x:v>
      </x:c>
      <x:c r="J3227" s="26" t="n">
        <x:v>0</x:v>
      </x:c>
      <x:c r="K3227" s="35" t="str">
        <x:v>LN026 scheduled payment</x:v>
      </x:c>
    </x:row>
    <x:row r="3228">
      <x:c r="A3228" s="20" t="str">
        <x:v>FIN-01491</x:v>
      </x:c>
      <x:c r="B3228" s="32" t="n">
        <x:v>3</x:v>
      </x:c>
      <x:c r="C3228" s="23" t="n">
        <x:v>46741</x:v>
      </x:c>
      <x:c r="D3228" s="23" t="n">
        <x:v>46741</x:v>
      </x:c>
      <x:c r="E3228" s="20" t="str">
        <x:v>P026</x:v>
      </x:c>
      <x:c r="F3228" s="20" t="str"/>
      <x:c r="G3228" s="20" t="str"/>
      <x:c r="H3228" s="20" t="str">
        <x:v>1000 Operating Cash</x:v>
      </x:c>
      <x:c r="I3228" s="26" t="n">
        <x:v>0</x:v>
      </x:c>
      <x:c r="J3228" s="26" t="n">
        <x:v>1566</x:v>
      </x:c>
      <x:c r="K3228" s="35" t="str">
        <x:v>LN026 scheduled payment</x:v>
      </x:c>
    </x:row>
    <x:row r="3229">
      <x:c r="A3229" s="20" t="str">
        <x:v>FIN-01492</x:v>
      </x:c>
      <x:c r="B3229" s="32" t="n">
        <x:v>1</x:v>
      </x:c>
      <x:c r="C3229" s="23" t="n">
        <x:v>46741</x:v>
      </x:c>
      <x:c r="D3229" s="23" t="n">
        <x:v>46741</x:v>
      </x:c>
      <x:c r="E3229" s="20" t="str">
        <x:v>P028</x:v>
      </x:c>
      <x:c r="F3229" s="20" t="str"/>
      <x:c r="G3229" s="20" t="str"/>
      <x:c r="H3229" s="20" t="str">
        <x:v>2200 Mortgage Loans Payable</x:v>
      </x:c>
      <x:c r="I3229" s="26" t="n">
        <x:v>728</x:v>
      </x:c>
      <x:c r="J3229" s="26" t="n">
        <x:v>0</x:v>
      </x:c>
      <x:c r="K3229" s="35" t="str">
        <x:v>LN028 scheduled payment</x:v>
      </x:c>
    </x:row>
    <x:row r="3230">
      <x:c r="A3230" s="20" t="str">
        <x:v>FIN-01492</x:v>
      </x:c>
      <x:c r="B3230" s="32" t="n">
        <x:v>2</x:v>
      </x:c>
      <x:c r="C3230" s="23" t="n">
        <x:v>46741</x:v>
      </x:c>
      <x:c r="D3230" s="23" t="n">
        <x:v>46741</x:v>
      </x:c>
      <x:c r="E3230" s="20" t="str">
        <x:v>P028</x:v>
      </x:c>
      <x:c r="F3230" s="20" t="str"/>
      <x:c r="G3230" s="20" t="str"/>
      <x:c r="H3230" s="20" t="str">
        <x:v>5040 Mortgage Interest</x:v>
      </x:c>
      <x:c r="I3230" s="26" t="n">
        <x:v>886</x:v>
      </x:c>
      <x:c r="J3230" s="26" t="n">
        <x:v>0</x:v>
      </x:c>
      <x:c r="K3230" s="35" t="str">
        <x:v>LN028 scheduled payment</x:v>
      </x:c>
    </x:row>
    <x:row r="3231">
      <x:c r="A3231" s="20" t="str">
        <x:v>FIN-01492</x:v>
      </x:c>
      <x:c r="B3231" s="32" t="n">
        <x:v>3</x:v>
      </x:c>
      <x:c r="C3231" s="23" t="n">
        <x:v>46741</x:v>
      </x:c>
      <x:c r="D3231" s="23" t="n">
        <x:v>46741</x:v>
      </x:c>
      <x:c r="E3231" s="20" t="str">
        <x:v>P028</x:v>
      </x:c>
      <x:c r="F3231" s="20" t="str"/>
      <x:c r="G3231" s="20" t="str"/>
      <x:c r="H3231" s="20" t="str">
        <x:v>1000 Operating Cash</x:v>
      </x:c>
      <x:c r="I3231" s="26" t="n">
        <x:v>0</x:v>
      </x:c>
      <x:c r="J3231" s="26" t="n">
        <x:v>1614</x:v>
      </x:c>
      <x:c r="K3231" s="35" t="str">
        <x:v>LN028 scheduled payment</x:v>
      </x:c>
    </x:row>
    <x:row r="3232">
      <x:c r="A3232" s="20" t="str">
        <x:v>FIN-01493</x:v>
      </x:c>
      <x:c r="B3232" s="32" t="n">
        <x:v>1</x:v>
      </x:c>
      <x:c r="C3232" s="23" t="n">
        <x:v>46741</x:v>
      </x:c>
      <x:c r="D3232" s="23" t="n">
        <x:v>46741</x:v>
      </x:c>
      <x:c r="E3232" s="20" t="str">
        <x:v>P029</x:v>
      </x:c>
      <x:c r="F3232" s="20" t="str"/>
      <x:c r="G3232" s="20" t="str"/>
      <x:c r="H3232" s="20" t="str">
        <x:v>2200 Mortgage Loans Payable</x:v>
      </x:c>
      <x:c r="I3232" s="26" t="n">
        <x:v>739</x:v>
      </x:c>
      <x:c r="J3232" s="26" t="n">
        <x:v>0</x:v>
      </x:c>
      <x:c r="K3232" s="35" t="str">
        <x:v>LN029 scheduled payment</x:v>
      </x:c>
    </x:row>
    <x:row r="3233">
      <x:c r="A3233" s="20" t="str">
        <x:v>FIN-01493</x:v>
      </x:c>
      <x:c r="B3233" s="32" t="n">
        <x:v>2</x:v>
      </x:c>
      <x:c r="C3233" s="23" t="n">
        <x:v>46741</x:v>
      </x:c>
      <x:c r="D3233" s="23" t="n">
        <x:v>46741</x:v>
      </x:c>
      <x:c r="E3233" s="20" t="str">
        <x:v>P029</x:v>
      </x:c>
      <x:c r="F3233" s="20" t="str"/>
      <x:c r="G3233" s="20" t="str"/>
      <x:c r="H3233" s="20" t="str">
        <x:v>5040 Mortgage Interest</x:v>
      </x:c>
      <x:c r="I3233" s="26" t="n">
        <x:v>899</x:v>
      </x:c>
      <x:c r="J3233" s="26" t="n">
        <x:v>0</x:v>
      </x:c>
      <x:c r="K3233" s="35" t="str">
        <x:v>LN029 scheduled payment</x:v>
      </x:c>
    </x:row>
    <x:row r="3234">
      <x:c r="A3234" s="20" t="str">
        <x:v>FIN-01493</x:v>
      </x:c>
      <x:c r="B3234" s="32" t="n">
        <x:v>3</x:v>
      </x:c>
      <x:c r="C3234" s="23" t="n">
        <x:v>46741</x:v>
      </x:c>
      <x:c r="D3234" s="23" t="n">
        <x:v>46741</x:v>
      </x:c>
      <x:c r="E3234" s="20" t="str">
        <x:v>P029</x:v>
      </x:c>
      <x:c r="F3234" s="20" t="str"/>
      <x:c r="G3234" s="20" t="str"/>
      <x:c r="H3234" s="20" t="str">
        <x:v>1000 Operating Cash</x:v>
      </x:c>
      <x:c r="I3234" s="26" t="n">
        <x:v>0</x:v>
      </x:c>
      <x:c r="J3234" s="26" t="n">
        <x:v>1638</x:v>
      </x:c>
      <x:c r="K3234" s="35" t="str">
        <x:v>LN029 scheduled payment</x:v>
      </x:c>
    </x:row>
    <x:row r="3235">
      <x:c r="A3235" s="20" t="str">
        <x:v>FIN-01494</x:v>
      </x:c>
      <x:c r="B3235" s="32" t="n">
        <x:v>1</x:v>
      </x:c>
      <x:c r="C3235" s="23" t="n">
        <x:v>46746</x:v>
      </x:c>
      <x:c r="D3235" s="23" t="n">
        <x:v>46746</x:v>
      </x:c>
      <x:c r="E3235" s="20" t="str"/>
      <x:c r="F3235" s="20" t="str"/>
      <x:c r="G3235" s="20" t="str"/>
      <x:c r="H3235" s="20" t="str">
        <x:v>3100 Owner Distributions</x:v>
      </x:c>
      <x:c r="I3235" s="26" t="n">
        <x:v>2850</x:v>
      </x:c>
      <x:c r="J3235" s="26" t="n">
        <x:v>0</x:v>
      </x:c>
      <x:c r="K3235" s="35" t="str">
        <x:v>Monthly distribution to Blue Door Residential LLC</x:v>
      </x:c>
    </x:row>
    <x:row r="3236">
      <x:c r="A3236" s="20" t="str">
        <x:v>FIN-01494</x:v>
      </x:c>
      <x:c r="B3236" s="32" t="n">
        <x:v>2</x:v>
      </x:c>
      <x:c r="C3236" s="23" t="n">
        <x:v>46746</x:v>
      </x:c>
      <x:c r="D3236" s="23" t="n">
        <x:v>46746</x:v>
      </x:c>
      <x:c r="E3236" s="20" t="str"/>
      <x:c r="F3236" s="20" t="str"/>
      <x:c r="G3236" s="20" t="str"/>
      <x:c r="H3236" s="20" t="str">
        <x:v>1000 Operating Cash</x:v>
      </x:c>
      <x:c r="I3236" s="26" t="n">
        <x:v>0</x:v>
      </x:c>
      <x:c r="J3236" s="26" t="n">
        <x:v>2850</x:v>
      </x:c>
      <x:c r="K3236" s="35" t="str">
        <x:v>Monthly distribution to Blue Door Residential LLC</x:v>
      </x:c>
    </x:row>
    <x:row r="3237">
      <x:c r="A3237" s="20" t="str">
        <x:v>FIN-01495</x:v>
      </x:c>
      <x:c r="B3237" s="32" t="n">
        <x:v>1</x:v>
      </x:c>
      <x:c r="C3237" s="23" t="n">
        <x:v>46746</x:v>
      </x:c>
      <x:c r="D3237" s="23" t="n">
        <x:v>46746</x:v>
      </x:c>
      <x:c r="E3237" s="20" t="str"/>
      <x:c r="F3237" s="20" t="str"/>
      <x:c r="G3237" s="20" t="str"/>
      <x:c r="H3237" s="20" t="str">
        <x:v>3100 Owner Distributions</x:v>
      </x:c>
      <x:c r="I3237" s="26" t="n">
        <x:v>3200</x:v>
      </x:c>
      <x:c r="J3237" s="26" t="n">
        <x:v>0</x:v>
      </x:c>
      <x:c r="K3237" s="35" t="str">
        <x:v>Monthly distribution to Coble Family Rentals LLC</x:v>
      </x:c>
    </x:row>
    <x:row r="3238">
      <x:c r="A3238" s="20" t="str">
        <x:v>FIN-01495</x:v>
      </x:c>
      <x:c r="B3238" s="32" t="n">
        <x:v>2</x:v>
      </x:c>
      <x:c r="C3238" s="23" t="n">
        <x:v>46746</x:v>
      </x:c>
      <x:c r="D3238" s="23" t="n">
        <x:v>46746</x:v>
      </x:c>
      <x:c r="E3238" s="20" t="str"/>
      <x:c r="F3238" s="20" t="str"/>
      <x:c r="G3238" s="20" t="str"/>
      <x:c r="H3238" s="20" t="str">
        <x:v>1000 Operating Cash</x:v>
      </x:c>
      <x:c r="I3238" s="26" t="n">
        <x:v>0</x:v>
      </x:c>
      <x:c r="J3238" s="26" t="n">
        <x:v>3200</x:v>
      </x:c>
      <x:c r="K3238" s="35" t="str">
        <x:v>Monthly distribution to Coble Family Rentals LLC</x:v>
      </x:c>
    </x:row>
    <x:row r="3239">
      <x:c r="A3239" s="20" t="str">
        <x:v>FIN-01496</x:v>
      </x:c>
      <x:c r="B3239" s="32" t="n">
        <x:v>1</x:v>
      </x:c>
      <x:c r="C3239" s="23" t="n">
        <x:v>46746</x:v>
      </x:c>
      <x:c r="D3239" s="23" t="n">
        <x:v>46746</x:v>
      </x:c>
      <x:c r="E3239" s="20" t="str"/>
      <x:c r="F3239" s="20" t="str"/>
      <x:c r="G3239" s="20" t="str"/>
      <x:c r="H3239" s="20" t="str">
        <x:v>3100 Owner Distributions</x:v>
      </x:c>
      <x:c r="I3239" s="26" t="n">
        <x:v>3550</x:v>
      </x:c>
      <x:c r="J3239" s="26" t="n">
        <x:v>0</x:v>
      </x:c>
      <x:c r="K3239" s="35" t="str">
        <x:v>Monthly distribution to Northstar Property Partners LLC</x:v>
      </x:c>
    </x:row>
    <x:row r="3240">
      <x:c r="A3240" s="20" t="str">
        <x:v>FIN-01496</x:v>
      </x:c>
      <x:c r="B3240" s="32" t="n">
        <x:v>2</x:v>
      </x:c>
      <x:c r="C3240" s="23" t="n">
        <x:v>46746</x:v>
      </x:c>
      <x:c r="D3240" s="23" t="n">
        <x:v>46746</x:v>
      </x:c>
      <x:c r="E3240" s="20" t="str"/>
      <x:c r="F3240" s="20" t="str"/>
      <x:c r="G3240" s="20" t="str"/>
      <x:c r="H3240" s="20" t="str">
        <x:v>1000 Operating Cash</x:v>
      </x:c>
      <x:c r="I3240" s="26" t="n">
        <x:v>0</x:v>
      </x:c>
      <x:c r="J3240" s="26" t="n">
        <x:v>3550</x:v>
      </x:c>
      <x:c r="K3240" s="35" t="str">
        <x:v>Monthly distribution to Northstar Property Partners LLC</x:v>
      </x:c>
    </x:row>
    <x:row r="3241">
      <x:c r="A3241" s="20" t="str">
        <x:v>FIN-01497</x:v>
      </x:c>
      <x:c r="B3241" s="32" t="n">
        <x:v>1</x:v>
      </x:c>
      <x:c r="C3241" s="23" t="n">
        <x:v>46746</x:v>
      </x:c>
      <x:c r="D3241" s="23" t="n">
        <x:v>46746</x:v>
      </x:c>
      <x:c r="E3241" s="20" t="str"/>
      <x:c r="F3241" s="20" t="str"/>
      <x:c r="G3241" s="20" t="str"/>
      <x:c r="H3241" s="20" t="str">
        <x:v>3100 Owner Distributions</x:v>
      </x:c>
      <x:c r="I3241" s="26" t="n">
        <x:v>3900</x:v>
      </x:c>
      <x:c r="J3241" s="26" t="n">
        <x:v>0</x:v>
      </x:c>
      <x:c r="K3241" s="35" t="str">
        <x:v>Monthly distribution to Riverbend Homes LLC</x:v>
      </x:c>
    </x:row>
    <x:row r="3242">
      <x:c r="A3242" s="20" t="str">
        <x:v>FIN-01497</x:v>
      </x:c>
      <x:c r="B3242" s="32" t="n">
        <x:v>2</x:v>
      </x:c>
      <x:c r="C3242" s="23" t="n">
        <x:v>46746</x:v>
      </x:c>
      <x:c r="D3242" s="23" t="n">
        <x:v>46746</x:v>
      </x:c>
      <x:c r="E3242" s="20" t="str"/>
      <x:c r="F3242" s="20" t="str"/>
      <x:c r="G3242" s="20" t="str"/>
      <x:c r="H3242" s="20" t="str">
        <x:v>1000 Operating Cash</x:v>
      </x:c>
      <x:c r="I3242" s="26" t="n">
        <x:v>0</x:v>
      </x:c>
      <x:c r="J3242" s="26" t="n">
        <x:v>3900</x:v>
      </x:c>
      <x:c r="K3242" s="35" t="str">
        <x:v>Monthly distribution to Riverbend Homes LLC</x:v>
      </x:c>
    </x:row>
    <x:row r="3243">
      <x:c r="A3243" s="20" t="str">
        <x:v>FIN-01498</x:v>
      </x:c>
      <x:c r="B3243" s="32" t="n">
        <x:v>1</x:v>
      </x:c>
      <x:c r="C3243" s="23" t="n">
        <x:v>46746</x:v>
      </x:c>
      <x:c r="D3243" s="23" t="n">
        <x:v>46746</x:v>
      </x:c>
      <x:c r="E3243" s="20" t="str"/>
      <x:c r="F3243" s="20" t="str"/>
      <x:c r="G3243" s="20" t="str"/>
      <x:c r="H3243" s="20" t="str">
        <x:v>3100 Owner Distributions</x:v>
      </x:c>
      <x:c r="I3243" s="26" t="n">
        <x:v>4250</x:v>
      </x:c>
      <x:c r="J3243" s="26" t="n">
        <x:v>0</x:v>
      </x:c>
      <x:c r="K3243" s="35" t="str">
        <x:v>Monthly distribution to Juniper Street Holdings LLC</x:v>
      </x:c>
    </x:row>
    <x:row r="3244">
      <x:c r="A3244" s="20" t="str">
        <x:v>FIN-01498</x:v>
      </x:c>
      <x:c r="B3244" s="32" t="n">
        <x:v>2</x:v>
      </x:c>
      <x:c r="C3244" s="23" t="n">
        <x:v>46746</x:v>
      </x:c>
      <x:c r="D3244" s="23" t="n">
        <x:v>46746</x:v>
      </x:c>
      <x:c r="E3244" s="20" t="str"/>
      <x:c r="F3244" s="20" t="str"/>
      <x:c r="G3244" s="20" t="str"/>
      <x:c r="H3244" s="20" t="str">
        <x:v>1000 Operating Cash</x:v>
      </x:c>
      <x:c r="I3244" s="26" t="n">
        <x:v>0</x:v>
      </x:c>
      <x:c r="J3244" s="26" t="n">
        <x:v>4250</x:v>
      </x:c>
      <x:c r="K3244" s="35" t="str">
        <x:v>Monthly distribution to Juniper Street Holdings LLC</x:v>
      </x:c>
    </x:row>
    <x:row r="3245">
      <x:c r="A3245" s="20" t="str">
        <x:v>FIN-01499</x:v>
      </x:c>
      <x:c r="B3245" s="32" t="n">
        <x:v>1</x:v>
      </x:c>
      <x:c r="C3245" s="23" t="n">
        <x:v>46752</x:v>
      </x:c>
      <x:c r="D3245" s="23" t="n">
        <x:v>46752</x:v>
      </x:c>
      <x:c r="E3245" s="20" t="str"/>
      <x:c r="F3245" s="20" t="str"/>
      <x:c r="G3245" s="20" t="str"/>
      <x:c r="H3245" s="20" t="str">
        <x:v>5090 Bank Fees</x:v>
      </x:c>
      <x:c r="I3245" s="26" t="n">
        <x:v>18</x:v>
      </x:c>
      <x:c r="J3245" s="26" t="n">
        <x:v>0</x:v>
      </x:c>
      <x:c r="K3245" s="35" t="str">
        <x:v>Quarterly account analysis fee</x:v>
      </x:c>
    </x:row>
    <x:row r="3246">
      <x:c r="A3246" s="20" t="str">
        <x:v>FIN-01499</x:v>
      </x:c>
      <x:c r="B3246" s="32" t="n">
        <x:v>2</x:v>
      </x:c>
      <x:c r="C3246" s="23" t="n">
        <x:v>46752</x:v>
      </x:c>
      <x:c r="D3246" s="23" t="n">
        <x:v>46752</x:v>
      </x:c>
      <x:c r="E3246" s="20" t="str"/>
      <x:c r="F3246" s="20" t="str"/>
      <x:c r="G3246" s="20" t="str"/>
      <x:c r="H3246" s="20" t="str">
        <x:v>1000 Operating Cash</x:v>
      </x:c>
      <x:c r="I3246" s="26" t="n">
        <x:v>0</x:v>
      </x:c>
      <x:c r="J3246" s="26" t="n">
        <x:v>18</x:v>
      </x:c>
      <x:c r="K3246" s="35" t="str">
        <x:v>Quarterly account analysis fee</x:v>
      </x:c>
    </x:row>
    <x:row r="3247">
      <x:c r="A3247" s="20" t="str">
        <x:v>FIN-01500</x:v>
      </x:c>
      <x:c r="B3247" s="32" t="n">
        <x:v>1</x:v>
      </x:c>
      <x:c r="C3247" s="23" t="n">
        <x:v>46405</x:v>
      </x:c>
      <x:c r="D3247" s="23" t="n">
        <x:v>46405</x:v>
      </x:c>
      <x:c r="E3247" s="20" t="str">
        <x:v>P001</x:v>
      </x:c>
      <x:c r="F3247" s="20" t="str"/>
      <x:c r="G3247" s="20" t="str"/>
      <x:c r="H3247" s="20" t="str">
        <x:v>5020 Insurance</x:v>
      </x:c>
      <x:c r="I3247" s="26" t="n">
        <x:v>997</x:v>
      </x:c>
      <x:c r="J3247" s="26" t="n">
        <x:v>0</x:v>
      </x:c>
      <x:c r="K3247" s="35" t="str">
        <x:v>Buckeye Mutual Insurance</x:v>
      </x:c>
    </x:row>
    <x:row r="3248">
      <x:c r="A3248" s="20" t="str">
        <x:v>FIN-01500</x:v>
      </x:c>
      <x:c r="B3248" s="32" t="n">
        <x:v>2</x:v>
      </x:c>
      <x:c r="C3248" s="23" t="n">
        <x:v>46405</x:v>
      </x:c>
      <x:c r="D3248" s="23" t="n">
        <x:v>46405</x:v>
      </x:c>
      <x:c r="E3248" s="20" t="str">
        <x:v>P001</x:v>
      </x:c>
      <x:c r="F3248" s="20" t="str"/>
      <x:c r="G3248" s="20" t="str"/>
      <x:c r="H3248" s="20" t="str">
        <x:v>1000 Operating Cash</x:v>
      </x:c>
      <x:c r="I3248" s="26" t="n">
        <x:v>0</x:v>
      </x:c>
      <x:c r="J3248" s="26" t="n">
        <x:v>997</x:v>
      </x:c>
      <x:c r="K3248" s="35" t="str">
        <x:v>Buckeye Mutual Insurance</x:v>
      </x:c>
    </x:row>
    <x:row r="3249">
      <x:c r="A3249" s="20" t="str">
        <x:v>FIN-01501</x:v>
      </x:c>
      <x:c r="B3249" s="32" t="n">
        <x:v>1</x:v>
      </x:c>
      <x:c r="C3249" s="23" t="n">
        <x:v>46474</x:v>
      </x:c>
      <x:c r="D3249" s="23" t="n">
        <x:v>46474</x:v>
      </x:c>
      <x:c r="E3249" s="20" t="str">
        <x:v>P001</x:v>
      </x:c>
      <x:c r="F3249" s="20" t="str"/>
      <x:c r="G3249" s="20" t="str"/>
      <x:c r="H3249" s="20" t="str">
        <x:v>5030 Property Taxes</x:v>
      </x:c>
      <x:c r="I3249" s="26" t="n">
        <x:v>530</x:v>
      </x:c>
      <x:c r="J3249" s="26" t="n">
        <x:v>0</x:v>
      </x:c>
      <x:c r="K3249" s="35" t="str">
        <x:v>Franklin County Treasurer</x:v>
      </x:c>
    </x:row>
    <x:row r="3250">
      <x:c r="A3250" s="20" t="str">
        <x:v>FIN-01501</x:v>
      </x:c>
      <x:c r="B3250" s="32" t="n">
        <x:v>2</x:v>
      </x:c>
      <x:c r="C3250" s="23" t="n">
        <x:v>46474</x:v>
      </x:c>
      <x:c r="D3250" s="23" t="n">
        <x:v>46474</x:v>
      </x:c>
      <x:c r="E3250" s="20" t="str">
        <x:v>P001</x:v>
      </x:c>
      <x:c r="F3250" s="20" t="str"/>
      <x:c r="G3250" s="20" t="str"/>
      <x:c r="H3250" s="20" t="str">
        <x:v>1000 Operating Cash</x:v>
      </x:c>
      <x:c r="I3250" s="26" t="n">
        <x:v>0</x:v>
      </x:c>
      <x:c r="J3250" s="26" t="n">
        <x:v>530</x:v>
      </x:c>
      <x:c r="K3250" s="35" t="str">
        <x:v>Franklin County Treasurer</x:v>
      </x:c>
    </x:row>
    <x:row r="3251">
      <x:c r="A3251" s="20" t="str">
        <x:v>FIN-01502</x:v>
      </x:c>
      <x:c r="B3251" s="32" t="n">
        <x:v>1</x:v>
      </x:c>
      <x:c r="C3251" s="23" t="n">
        <x:v>46566</x:v>
      </x:c>
      <x:c r="D3251" s="23" t="n">
        <x:v>46566</x:v>
      </x:c>
      <x:c r="E3251" s="20" t="str">
        <x:v>P001</x:v>
      </x:c>
      <x:c r="F3251" s="20" t="str"/>
      <x:c r="G3251" s="20" t="str"/>
      <x:c r="H3251" s="20" t="str">
        <x:v>5030 Property Taxes</x:v>
      </x:c>
      <x:c r="I3251" s="26" t="n">
        <x:v>537</x:v>
      </x:c>
      <x:c r="J3251" s="26" t="n">
        <x:v>0</x:v>
      </x:c>
      <x:c r="K3251" s="35" t="str">
        <x:v>Franklin County Treasurer</x:v>
      </x:c>
    </x:row>
    <x:row r="3252">
      <x:c r="A3252" s="20" t="str">
        <x:v>FIN-01502</x:v>
      </x:c>
      <x:c r="B3252" s="32" t="n">
        <x:v>2</x:v>
      </x:c>
      <x:c r="C3252" s="23" t="n">
        <x:v>46566</x:v>
      </x:c>
      <x:c r="D3252" s="23" t="n">
        <x:v>46566</x:v>
      </x:c>
      <x:c r="E3252" s="20" t="str">
        <x:v>P001</x:v>
      </x:c>
      <x:c r="F3252" s="20" t="str"/>
      <x:c r="G3252" s="20" t="str"/>
      <x:c r="H3252" s="20" t="str">
        <x:v>1000 Operating Cash</x:v>
      </x:c>
      <x:c r="I3252" s="26" t="n">
        <x:v>0</x:v>
      </x:c>
      <x:c r="J3252" s="26" t="n">
        <x:v>537</x:v>
      </x:c>
      <x:c r="K3252" s="35" t="str">
        <x:v>Franklin County Treasurer</x:v>
      </x:c>
    </x:row>
    <x:row r="3253">
      <x:c r="A3253" s="20" t="str">
        <x:v>FIN-01503</x:v>
      </x:c>
      <x:c r="B3253" s="32" t="n">
        <x:v>1</x:v>
      </x:c>
      <x:c r="C3253" s="23" t="n">
        <x:v>46658</x:v>
      </x:c>
      <x:c r="D3253" s="23" t="n">
        <x:v>46658</x:v>
      </x:c>
      <x:c r="E3253" s="20" t="str">
        <x:v>P001</x:v>
      </x:c>
      <x:c r="F3253" s="20" t="str"/>
      <x:c r="G3253" s="20" t="str"/>
      <x:c r="H3253" s="20" t="str">
        <x:v>5030 Property Taxes</x:v>
      </x:c>
      <x:c r="I3253" s="26" t="n">
        <x:v>544</x:v>
      </x:c>
      <x:c r="J3253" s="26" t="n">
        <x:v>0</x:v>
      </x:c>
      <x:c r="K3253" s="35" t="str">
        <x:v>Franklin County Treasurer</x:v>
      </x:c>
    </x:row>
    <x:row r="3254">
      <x:c r="A3254" s="20" t="str">
        <x:v>FIN-01503</x:v>
      </x:c>
      <x:c r="B3254" s="32" t="n">
        <x:v>2</x:v>
      </x:c>
      <x:c r="C3254" s="23" t="n">
        <x:v>46658</x:v>
      </x:c>
      <x:c r="D3254" s="23" t="n">
        <x:v>46658</x:v>
      </x:c>
      <x:c r="E3254" s="20" t="str">
        <x:v>P001</x:v>
      </x:c>
      <x:c r="F3254" s="20" t="str"/>
      <x:c r="G3254" s="20" t="str"/>
      <x:c r="H3254" s="20" t="str">
        <x:v>1000 Operating Cash</x:v>
      </x:c>
      <x:c r="I3254" s="26" t="n">
        <x:v>0</x:v>
      </x:c>
      <x:c r="J3254" s="26" t="n">
        <x:v>544</x:v>
      </x:c>
      <x:c r="K3254" s="35" t="str">
        <x:v>Franklin County Treasurer</x:v>
      </x:c>
    </x:row>
    <x:row r="3255">
      <x:c r="A3255" s="20" t="str">
        <x:v>FIN-01504</x:v>
      </x:c>
      <x:c r="B3255" s="32" t="n">
        <x:v>1</x:v>
      </x:c>
      <x:c r="C3255" s="23" t="n">
        <x:v>46749</x:v>
      </x:c>
      <x:c r="D3255" s="23" t="n">
        <x:v>46749</x:v>
      </x:c>
      <x:c r="E3255" s="20" t="str">
        <x:v>P001</x:v>
      </x:c>
      <x:c r="F3255" s="20" t="str"/>
      <x:c r="G3255" s="20" t="str"/>
      <x:c r="H3255" s="20" t="str">
        <x:v>5030 Property Taxes</x:v>
      </x:c>
      <x:c r="I3255" s="26" t="n">
        <x:v>551</x:v>
      </x:c>
      <x:c r="J3255" s="26" t="n">
        <x:v>0</x:v>
      </x:c>
      <x:c r="K3255" s="35" t="str">
        <x:v>Franklin County Treasurer</x:v>
      </x:c>
    </x:row>
    <x:row r="3256">
      <x:c r="A3256" s="20" t="str">
        <x:v>FIN-01504</x:v>
      </x:c>
      <x:c r="B3256" s="32" t="n">
        <x:v>2</x:v>
      </x:c>
      <x:c r="C3256" s="23" t="n">
        <x:v>46749</x:v>
      </x:c>
      <x:c r="D3256" s="23" t="n">
        <x:v>46749</x:v>
      </x:c>
      <x:c r="E3256" s="20" t="str">
        <x:v>P001</x:v>
      </x:c>
      <x:c r="F3256" s="20" t="str"/>
      <x:c r="G3256" s="20" t="str"/>
      <x:c r="H3256" s="20" t="str">
        <x:v>1000 Operating Cash</x:v>
      </x:c>
      <x:c r="I3256" s="26" t="n">
        <x:v>0</x:v>
      </x:c>
      <x:c r="J3256" s="26" t="n">
        <x:v>551</x:v>
      </x:c>
      <x:c r="K3256" s="35" t="str">
        <x:v>Franklin County Treasurer</x:v>
      </x:c>
    </x:row>
    <x:row r="3257">
      <x:c r="A3257" s="20" t="str">
        <x:v>FIN-01505</x:v>
      </x:c>
      <x:c r="B3257" s="32" t="n">
        <x:v>1</x:v>
      </x:c>
      <x:c r="C3257" s="23" t="n">
        <x:v>46436</x:v>
      </x:c>
      <x:c r="D3257" s="23" t="n">
        <x:v>46436</x:v>
      </x:c>
      <x:c r="E3257" s="20" t="str">
        <x:v>P002</x:v>
      </x:c>
      <x:c r="F3257" s="20" t="str"/>
      <x:c r="G3257" s="20" t="str"/>
      <x:c r="H3257" s="20" t="str">
        <x:v>5020 Insurance</x:v>
      </x:c>
      <x:c r="I3257" s="26" t="n">
        <x:v>1014</x:v>
      </x:c>
      <x:c r="J3257" s="26" t="n">
        <x:v>0</x:v>
      </x:c>
      <x:c r="K3257" s="35" t="str">
        <x:v>Buckeye Mutual Insurance</x:v>
      </x:c>
    </x:row>
    <x:row r="3258">
      <x:c r="A3258" s="20" t="str">
        <x:v>FIN-01505</x:v>
      </x:c>
      <x:c r="B3258" s="32" t="n">
        <x:v>2</x:v>
      </x:c>
      <x:c r="C3258" s="23" t="n">
        <x:v>46436</x:v>
      </x:c>
      <x:c r="D3258" s="23" t="n">
        <x:v>46436</x:v>
      </x:c>
      <x:c r="E3258" s="20" t="str">
        <x:v>P002</x:v>
      </x:c>
      <x:c r="F3258" s="20" t="str"/>
      <x:c r="G3258" s="20" t="str"/>
      <x:c r="H3258" s="20" t="str">
        <x:v>1000 Operating Cash</x:v>
      </x:c>
      <x:c r="I3258" s="26" t="n">
        <x:v>0</x:v>
      </x:c>
      <x:c r="J3258" s="26" t="n">
        <x:v>1014</x:v>
      </x:c>
      <x:c r="K3258" s="35" t="str">
        <x:v>Buckeye Mutual Insurance</x:v>
      </x:c>
    </x:row>
    <x:row r="3259">
      <x:c r="A3259" s="20" t="str">
        <x:v>FIN-01506</x:v>
      </x:c>
      <x:c r="B3259" s="32" t="n">
        <x:v>1</x:v>
      </x:c>
      <x:c r="C3259" s="23" t="n">
        <x:v>46474</x:v>
      </x:c>
      <x:c r="D3259" s="23" t="n">
        <x:v>46474</x:v>
      </x:c>
      <x:c r="E3259" s="20" t="str">
        <x:v>P002</x:v>
      </x:c>
      <x:c r="F3259" s="20" t="str"/>
      <x:c r="G3259" s="20" t="str"/>
      <x:c r="H3259" s="20" t="str">
        <x:v>5030 Property Taxes</x:v>
      </x:c>
      <x:c r="I3259" s="26" t="n">
        <x:v>543</x:v>
      </x:c>
      <x:c r="J3259" s="26" t="n">
        <x:v>0</x:v>
      </x:c>
      <x:c r="K3259" s="35" t="str">
        <x:v>Franklin County Treasurer</x:v>
      </x:c>
    </x:row>
    <x:row r="3260">
      <x:c r="A3260" s="20" t="str">
        <x:v>FIN-01506</x:v>
      </x:c>
      <x:c r="B3260" s="32" t="n">
        <x:v>2</x:v>
      </x:c>
      <x:c r="C3260" s="23" t="n">
        <x:v>46474</x:v>
      </x:c>
      <x:c r="D3260" s="23" t="n">
        <x:v>46474</x:v>
      </x:c>
      <x:c r="E3260" s="20" t="str">
        <x:v>P002</x:v>
      </x:c>
      <x:c r="F3260" s="20" t="str"/>
      <x:c r="G3260" s="20" t="str"/>
      <x:c r="H3260" s="20" t="str">
        <x:v>1000 Operating Cash</x:v>
      </x:c>
      <x:c r="I3260" s="26" t="n">
        <x:v>0</x:v>
      </x:c>
      <x:c r="J3260" s="26" t="n">
        <x:v>543</x:v>
      </x:c>
      <x:c r="K3260" s="35" t="str">
        <x:v>Franklin County Treasurer</x:v>
      </x:c>
    </x:row>
    <x:row r="3261">
      <x:c r="A3261" s="20" t="str">
        <x:v>FIN-01507</x:v>
      </x:c>
      <x:c r="B3261" s="32" t="n">
        <x:v>1</x:v>
      </x:c>
      <x:c r="C3261" s="23" t="n">
        <x:v>46566</x:v>
      </x:c>
      <x:c r="D3261" s="23" t="n">
        <x:v>46566</x:v>
      </x:c>
      <x:c r="E3261" s="20" t="str">
        <x:v>P002</x:v>
      </x:c>
      <x:c r="F3261" s="20" t="str"/>
      <x:c r="G3261" s="20" t="str"/>
      <x:c r="H3261" s="20" t="str">
        <x:v>5030 Property Taxes</x:v>
      </x:c>
      <x:c r="I3261" s="26" t="n">
        <x:v>550</x:v>
      </x:c>
      <x:c r="J3261" s="26" t="n">
        <x:v>0</x:v>
      </x:c>
      <x:c r="K3261" s="35" t="str">
        <x:v>Franklin County Treasurer</x:v>
      </x:c>
    </x:row>
    <x:row r="3262">
      <x:c r="A3262" s="20" t="str">
        <x:v>FIN-01507</x:v>
      </x:c>
      <x:c r="B3262" s="32" t="n">
        <x:v>2</x:v>
      </x:c>
      <x:c r="C3262" s="23" t="n">
        <x:v>46566</x:v>
      </x:c>
      <x:c r="D3262" s="23" t="n">
        <x:v>46566</x:v>
      </x:c>
      <x:c r="E3262" s="20" t="str">
        <x:v>P002</x:v>
      </x:c>
      <x:c r="F3262" s="20" t="str"/>
      <x:c r="G3262" s="20" t="str"/>
      <x:c r="H3262" s="20" t="str">
        <x:v>1000 Operating Cash</x:v>
      </x:c>
      <x:c r="I3262" s="26" t="n">
        <x:v>0</x:v>
      </x:c>
      <x:c r="J3262" s="26" t="n">
        <x:v>550</x:v>
      </x:c>
      <x:c r="K3262" s="35" t="str">
        <x:v>Franklin County Treasurer</x:v>
      </x:c>
    </x:row>
    <x:row r="3263">
      <x:c r="A3263" s="20" t="str">
        <x:v>FIN-01508</x:v>
      </x:c>
      <x:c r="B3263" s="32" t="n">
        <x:v>1</x:v>
      </x:c>
      <x:c r="C3263" s="23" t="n">
        <x:v>46658</x:v>
      </x:c>
      <x:c r="D3263" s="23" t="n">
        <x:v>46658</x:v>
      </x:c>
      <x:c r="E3263" s="20" t="str">
        <x:v>P002</x:v>
      </x:c>
      <x:c r="F3263" s="20" t="str"/>
      <x:c r="G3263" s="20" t="str"/>
      <x:c r="H3263" s="20" t="str">
        <x:v>5030 Property Taxes</x:v>
      </x:c>
      <x:c r="I3263" s="26" t="n">
        <x:v>557</x:v>
      </x:c>
      <x:c r="J3263" s="26" t="n">
        <x:v>0</x:v>
      </x:c>
      <x:c r="K3263" s="35" t="str">
        <x:v>Franklin County Treasurer</x:v>
      </x:c>
    </x:row>
    <x:row r="3264">
      <x:c r="A3264" s="20" t="str">
        <x:v>FIN-01508</x:v>
      </x:c>
      <x:c r="B3264" s="32" t="n">
        <x:v>2</x:v>
      </x:c>
      <x:c r="C3264" s="23" t="n">
        <x:v>46658</x:v>
      </x:c>
      <x:c r="D3264" s="23" t="n">
        <x:v>46658</x:v>
      </x:c>
      <x:c r="E3264" s="20" t="str">
        <x:v>P002</x:v>
      </x:c>
      <x:c r="F3264" s="20" t="str"/>
      <x:c r="G3264" s="20" t="str"/>
      <x:c r="H3264" s="20" t="str">
        <x:v>1000 Operating Cash</x:v>
      </x:c>
      <x:c r="I3264" s="26" t="n">
        <x:v>0</x:v>
      </x:c>
      <x:c r="J3264" s="26" t="n">
        <x:v>557</x:v>
      </x:c>
      <x:c r="K3264" s="35" t="str">
        <x:v>Franklin County Treasurer</x:v>
      </x:c>
    </x:row>
    <x:row r="3265">
      <x:c r="A3265" s="20" t="str">
        <x:v>FIN-01509</x:v>
      </x:c>
      <x:c r="B3265" s="32" t="n">
        <x:v>1</x:v>
      </x:c>
      <x:c r="C3265" s="23" t="n">
        <x:v>46749</x:v>
      </x:c>
      <x:c r="D3265" s="23" t="n">
        <x:v>46749</x:v>
      </x:c>
      <x:c r="E3265" s="20" t="str">
        <x:v>P002</x:v>
      </x:c>
      <x:c r="F3265" s="20" t="str"/>
      <x:c r="G3265" s="20" t="str"/>
      <x:c r="H3265" s="20" t="str">
        <x:v>5030 Property Taxes</x:v>
      </x:c>
      <x:c r="I3265" s="26" t="n">
        <x:v>564</x:v>
      </x:c>
      <x:c r="J3265" s="26" t="n">
        <x:v>0</x:v>
      </x:c>
      <x:c r="K3265" s="35" t="str">
        <x:v>Franklin County Treasurer</x:v>
      </x:c>
    </x:row>
    <x:row r="3266">
      <x:c r="A3266" s="20" t="str">
        <x:v>FIN-01509</x:v>
      </x:c>
      <x:c r="B3266" s="32" t="n">
        <x:v>2</x:v>
      </x:c>
      <x:c r="C3266" s="23" t="n">
        <x:v>46749</x:v>
      </x:c>
      <x:c r="D3266" s="23" t="n">
        <x:v>46749</x:v>
      </x:c>
      <x:c r="E3266" s="20" t="str">
        <x:v>P002</x:v>
      </x:c>
      <x:c r="F3266" s="20" t="str"/>
      <x:c r="G3266" s="20" t="str"/>
      <x:c r="H3266" s="20" t="str">
        <x:v>1000 Operating Cash</x:v>
      </x:c>
      <x:c r="I3266" s="26" t="n">
        <x:v>0</x:v>
      </x:c>
      <x:c r="J3266" s="26" t="n">
        <x:v>564</x:v>
      </x:c>
      <x:c r="K3266" s="35" t="str">
        <x:v>Franklin County Treasurer</x:v>
      </x:c>
    </x:row>
    <x:row r="3267">
      <x:c r="A3267" s="20" t="str">
        <x:v>FIN-01510</x:v>
      </x:c>
      <x:c r="B3267" s="32" t="n">
        <x:v>1</x:v>
      </x:c>
      <x:c r="C3267" s="23" t="n">
        <x:v>46464</x:v>
      </x:c>
      <x:c r="D3267" s="23" t="n">
        <x:v>46464</x:v>
      </x:c>
      <x:c r="E3267" s="20" t="str">
        <x:v>P003</x:v>
      </x:c>
      <x:c r="F3267" s="20" t="str"/>
      <x:c r="G3267" s="20" t="str"/>
      <x:c r="H3267" s="20" t="str">
        <x:v>5020 Insurance</x:v>
      </x:c>
      <x:c r="I3267" s="26" t="n">
        <x:v>1031</x:v>
      </x:c>
      <x:c r="J3267" s="26" t="n">
        <x:v>0</x:v>
      </x:c>
      <x:c r="K3267" s="35" t="str">
        <x:v>Buckeye Mutual Insurance</x:v>
      </x:c>
    </x:row>
    <x:row r="3268">
      <x:c r="A3268" s="20" t="str">
        <x:v>FIN-01510</x:v>
      </x:c>
      <x:c r="B3268" s="32" t="n">
        <x:v>2</x:v>
      </x:c>
      <x:c r="C3268" s="23" t="n">
        <x:v>46464</x:v>
      </x:c>
      <x:c r="D3268" s="23" t="n">
        <x:v>46464</x:v>
      </x:c>
      <x:c r="E3268" s="20" t="str">
        <x:v>P003</x:v>
      </x:c>
      <x:c r="F3268" s="20" t="str"/>
      <x:c r="G3268" s="20" t="str"/>
      <x:c r="H3268" s="20" t="str">
        <x:v>1000 Operating Cash</x:v>
      </x:c>
      <x:c r="I3268" s="26" t="n">
        <x:v>0</x:v>
      </x:c>
      <x:c r="J3268" s="26" t="n">
        <x:v>1031</x:v>
      </x:c>
      <x:c r="K3268" s="35" t="str">
        <x:v>Buckeye Mutual Insurance</x:v>
      </x:c>
    </x:row>
    <x:row r="3269">
      <x:c r="A3269" s="20" t="str">
        <x:v>FIN-01511</x:v>
      </x:c>
      <x:c r="B3269" s="32" t="n">
        <x:v>1</x:v>
      </x:c>
      <x:c r="C3269" s="23" t="n">
        <x:v>46474</x:v>
      </x:c>
      <x:c r="D3269" s="23" t="n">
        <x:v>46474</x:v>
      </x:c>
      <x:c r="E3269" s="20" t="str">
        <x:v>P003</x:v>
      </x:c>
      <x:c r="F3269" s="20" t="str"/>
      <x:c r="G3269" s="20" t="str"/>
      <x:c r="H3269" s="20" t="str">
        <x:v>5030 Property Taxes</x:v>
      </x:c>
      <x:c r="I3269" s="26" t="n">
        <x:v>556</x:v>
      </x:c>
      <x:c r="J3269" s="26" t="n">
        <x:v>0</x:v>
      </x:c>
      <x:c r="K3269" s="35" t="str">
        <x:v>Franklin County Treasurer</x:v>
      </x:c>
    </x:row>
    <x:row r="3270">
      <x:c r="A3270" s="20" t="str">
        <x:v>FIN-01511</x:v>
      </x:c>
      <x:c r="B3270" s="32" t="n">
        <x:v>2</x:v>
      </x:c>
      <x:c r="C3270" s="23" t="n">
        <x:v>46474</x:v>
      </x:c>
      <x:c r="D3270" s="23" t="n">
        <x:v>46474</x:v>
      </x:c>
      <x:c r="E3270" s="20" t="str">
        <x:v>P003</x:v>
      </x:c>
      <x:c r="F3270" s="20" t="str"/>
      <x:c r="G3270" s="20" t="str"/>
      <x:c r="H3270" s="20" t="str">
        <x:v>1000 Operating Cash</x:v>
      </x:c>
      <x:c r="I3270" s="26" t="n">
        <x:v>0</x:v>
      </x:c>
      <x:c r="J3270" s="26" t="n">
        <x:v>556</x:v>
      </x:c>
      <x:c r="K3270" s="35" t="str">
        <x:v>Franklin County Treasurer</x:v>
      </x:c>
    </x:row>
    <x:row r="3271">
      <x:c r="A3271" s="20" t="str">
        <x:v>FIN-01512</x:v>
      </x:c>
      <x:c r="B3271" s="32" t="n">
        <x:v>1</x:v>
      </x:c>
      <x:c r="C3271" s="23" t="n">
        <x:v>46566</x:v>
      </x:c>
      <x:c r="D3271" s="23" t="n">
        <x:v>46566</x:v>
      </x:c>
      <x:c r="E3271" s="20" t="str">
        <x:v>P003</x:v>
      </x:c>
      <x:c r="F3271" s="20" t="str"/>
      <x:c r="G3271" s="20" t="str"/>
      <x:c r="H3271" s="20" t="str">
        <x:v>5030 Property Taxes</x:v>
      </x:c>
      <x:c r="I3271" s="26" t="n">
        <x:v>563</x:v>
      </x:c>
      <x:c r="J3271" s="26" t="n">
        <x:v>0</x:v>
      </x:c>
      <x:c r="K3271" s="35" t="str">
        <x:v>Franklin County Treasurer</x:v>
      </x:c>
    </x:row>
    <x:row r="3272">
      <x:c r="A3272" s="20" t="str">
        <x:v>FIN-01512</x:v>
      </x:c>
      <x:c r="B3272" s="32" t="n">
        <x:v>2</x:v>
      </x:c>
      <x:c r="C3272" s="23" t="n">
        <x:v>46566</x:v>
      </x:c>
      <x:c r="D3272" s="23" t="n">
        <x:v>46566</x:v>
      </x:c>
      <x:c r="E3272" s="20" t="str">
        <x:v>P003</x:v>
      </x:c>
      <x:c r="F3272" s="20" t="str"/>
      <x:c r="G3272" s="20" t="str"/>
      <x:c r="H3272" s="20" t="str">
        <x:v>1000 Operating Cash</x:v>
      </x:c>
      <x:c r="I3272" s="26" t="n">
        <x:v>0</x:v>
      </x:c>
      <x:c r="J3272" s="26" t="n">
        <x:v>563</x:v>
      </x:c>
      <x:c r="K3272" s="35" t="str">
        <x:v>Franklin County Treasurer</x:v>
      </x:c>
    </x:row>
    <x:row r="3273">
      <x:c r="A3273" s="20" t="str">
        <x:v>FIN-01513</x:v>
      </x:c>
      <x:c r="B3273" s="32" t="n">
        <x:v>1</x:v>
      </x:c>
      <x:c r="C3273" s="23" t="n">
        <x:v>46658</x:v>
      </x:c>
      <x:c r="D3273" s="23" t="n">
        <x:v>46658</x:v>
      </x:c>
      <x:c r="E3273" s="20" t="str">
        <x:v>P003</x:v>
      </x:c>
      <x:c r="F3273" s="20" t="str"/>
      <x:c r="G3273" s="20" t="str"/>
      <x:c r="H3273" s="20" t="str">
        <x:v>5030 Property Taxes</x:v>
      </x:c>
      <x:c r="I3273" s="26" t="n">
        <x:v>570</x:v>
      </x:c>
      <x:c r="J3273" s="26" t="n">
        <x:v>0</x:v>
      </x:c>
      <x:c r="K3273" s="35" t="str">
        <x:v>Franklin County Treasurer</x:v>
      </x:c>
    </x:row>
    <x:row r="3274">
      <x:c r="A3274" s="20" t="str">
        <x:v>FIN-01513</x:v>
      </x:c>
      <x:c r="B3274" s="32" t="n">
        <x:v>2</x:v>
      </x:c>
      <x:c r="C3274" s="23" t="n">
        <x:v>46658</x:v>
      </x:c>
      <x:c r="D3274" s="23" t="n">
        <x:v>46658</x:v>
      </x:c>
      <x:c r="E3274" s="20" t="str">
        <x:v>P003</x:v>
      </x:c>
      <x:c r="F3274" s="20" t="str"/>
      <x:c r="G3274" s="20" t="str"/>
      <x:c r="H3274" s="20" t="str">
        <x:v>1000 Operating Cash</x:v>
      </x:c>
      <x:c r="I3274" s="26" t="n">
        <x:v>0</x:v>
      </x:c>
      <x:c r="J3274" s="26" t="n">
        <x:v>570</x:v>
      </x:c>
      <x:c r="K3274" s="35" t="str">
        <x:v>Franklin County Treasurer</x:v>
      </x:c>
    </x:row>
    <x:row r="3275">
      <x:c r="A3275" s="20" t="str">
        <x:v>FIN-01514</x:v>
      </x:c>
      <x:c r="B3275" s="32" t="n">
        <x:v>1</x:v>
      </x:c>
      <x:c r="C3275" s="23" t="n">
        <x:v>46749</x:v>
      </x:c>
      <x:c r="D3275" s="23" t="n">
        <x:v>46749</x:v>
      </x:c>
      <x:c r="E3275" s="20" t="str">
        <x:v>P003</x:v>
      </x:c>
      <x:c r="F3275" s="20" t="str"/>
      <x:c r="G3275" s="20" t="str"/>
      <x:c r="H3275" s="20" t="str">
        <x:v>5030 Property Taxes</x:v>
      </x:c>
      <x:c r="I3275" s="26" t="n">
        <x:v>577</x:v>
      </x:c>
      <x:c r="J3275" s="26" t="n">
        <x:v>0</x:v>
      </x:c>
      <x:c r="K3275" s="35" t="str">
        <x:v>Franklin County Treasurer</x:v>
      </x:c>
    </x:row>
    <x:row r="3276">
      <x:c r="A3276" s="20" t="str">
        <x:v>FIN-01514</x:v>
      </x:c>
      <x:c r="B3276" s="32" t="n">
        <x:v>2</x:v>
      </x:c>
      <x:c r="C3276" s="23" t="n">
        <x:v>46749</x:v>
      </x:c>
      <x:c r="D3276" s="23" t="n">
        <x:v>46749</x:v>
      </x:c>
      <x:c r="E3276" s="20" t="str">
        <x:v>P003</x:v>
      </x:c>
      <x:c r="F3276" s="20" t="str"/>
      <x:c r="G3276" s="20" t="str"/>
      <x:c r="H3276" s="20" t="str">
        <x:v>1000 Operating Cash</x:v>
      </x:c>
      <x:c r="I3276" s="26" t="n">
        <x:v>0</x:v>
      </x:c>
      <x:c r="J3276" s="26" t="n">
        <x:v>577</x:v>
      </x:c>
      <x:c r="K3276" s="35" t="str">
        <x:v>Franklin County Treasurer</x:v>
      </x:c>
    </x:row>
    <x:row r="3277">
      <x:c r="A3277" s="20" t="str">
        <x:v>FIN-01515</x:v>
      </x:c>
      <x:c r="B3277" s="32" t="n">
        <x:v>1</x:v>
      </x:c>
      <x:c r="C3277" s="23" t="n">
        <x:v>46495</x:v>
      </x:c>
      <x:c r="D3277" s="23" t="n">
        <x:v>46495</x:v>
      </x:c>
      <x:c r="E3277" s="20" t="str">
        <x:v>P004</x:v>
      </x:c>
      <x:c r="F3277" s="20" t="str"/>
      <x:c r="G3277" s="20" t="str"/>
      <x:c r="H3277" s="20" t="str">
        <x:v>5020 Insurance</x:v>
      </x:c>
      <x:c r="I3277" s="26" t="n">
        <x:v>1048</x:v>
      </x:c>
      <x:c r="J3277" s="26" t="n">
        <x:v>0</x:v>
      </x:c>
      <x:c r="K3277" s="35" t="str">
        <x:v>Buckeye Mutual Insurance</x:v>
      </x:c>
    </x:row>
    <x:row r="3278">
      <x:c r="A3278" s="20" t="str">
        <x:v>FIN-01515</x:v>
      </x:c>
      <x:c r="B3278" s="32" t="n">
        <x:v>2</x:v>
      </x:c>
      <x:c r="C3278" s="23" t="n">
        <x:v>46495</x:v>
      </x:c>
      <x:c r="D3278" s="23" t="n">
        <x:v>46495</x:v>
      </x:c>
      <x:c r="E3278" s="20" t="str">
        <x:v>P004</x:v>
      </x:c>
      <x:c r="F3278" s="20" t="str"/>
      <x:c r="G3278" s="20" t="str"/>
      <x:c r="H3278" s="20" t="str">
        <x:v>1000 Operating Cash</x:v>
      </x:c>
      <x:c r="I3278" s="26" t="n">
        <x:v>0</x:v>
      </x:c>
      <x:c r="J3278" s="26" t="n">
        <x:v>1048</x:v>
      </x:c>
      <x:c r="K3278" s="35" t="str">
        <x:v>Buckeye Mutual Insurance</x:v>
      </x:c>
    </x:row>
    <x:row r="3279">
      <x:c r="A3279" s="20" t="str">
        <x:v>FIN-01516</x:v>
      </x:c>
      <x:c r="B3279" s="32" t="n">
        <x:v>1</x:v>
      </x:c>
      <x:c r="C3279" s="23" t="n">
        <x:v>46474</x:v>
      </x:c>
      <x:c r="D3279" s="23" t="n">
        <x:v>46474</x:v>
      </x:c>
      <x:c r="E3279" s="20" t="str">
        <x:v>P004</x:v>
      </x:c>
      <x:c r="F3279" s="20" t="str"/>
      <x:c r="G3279" s="20" t="str"/>
      <x:c r="H3279" s="20" t="str">
        <x:v>5030 Property Taxes</x:v>
      </x:c>
      <x:c r="I3279" s="26" t="n">
        <x:v>569</x:v>
      </x:c>
      <x:c r="J3279" s="26" t="n">
        <x:v>0</x:v>
      </x:c>
      <x:c r="K3279" s="35" t="str">
        <x:v>Franklin County Treasurer</x:v>
      </x:c>
    </x:row>
    <x:row r="3280">
      <x:c r="A3280" s="20" t="str">
        <x:v>FIN-01516</x:v>
      </x:c>
      <x:c r="B3280" s="32" t="n">
        <x:v>2</x:v>
      </x:c>
      <x:c r="C3280" s="23" t="n">
        <x:v>46474</x:v>
      </x:c>
      <x:c r="D3280" s="23" t="n">
        <x:v>46474</x:v>
      </x:c>
      <x:c r="E3280" s="20" t="str">
        <x:v>P004</x:v>
      </x:c>
      <x:c r="F3280" s="20" t="str"/>
      <x:c r="G3280" s="20" t="str"/>
      <x:c r="H3280" s="20" t="str">
        <x:v>1000 Operating Cash</x:v>
      </x:c>
      <x:c r="I3280" s="26" t="n">
        <x:v>0</x:v>
      </x:c>
      <x:c r="J3280" s="26" t="n">
        <x:v>569</x:v>
      </x:c>
      <x:c r="K3280" s="35" t="str">
        <x:v>Franklin County Treasurer</x:v>
      </x:c>
    </x:row>
    <x:row r="3281">
      <x:c r="A3281" s="20" t="str">
        <x:v>FIN-01517</x:v>
      </x:c>
      <x:c r="B3281" s="32" t="n">
        <x:v>1</x:v>
      </x:c>
      <x:c r="C3281" s="23" t="n">
        <x:v>46566</x:v>
      </x:c>
      <x:c r="D3281" s="23" t="n">
        <x:v>46566</x:v>
      </x:c>
      <x:c r="E3281" s="20" t="str">
        <x:v>P004</x:v>
      </x:c>
      <x:c r="F3281" s="20" t="str"/>
      <x:c r="G3281" s="20" t="str"/>
      <x:c r="H3281" s="20" t="str">
        <x:v>5030 Property Taxes</x:v>
      </x:c>
      <x:c r="I3281" s="26" t="n">
        <x:v>576</x:v>
      </x:c>
      <x:c r="J3281" s="26" t="n">
        <x:v>0</x:v>
      </x:c>
      <x:c r="K3281" s="35" t="str">
        <x:v>Franklin County Treasurer</x:v>
      </x:c>
    </x:row>
    <x:row r="3282">
      <x:c r="A3282" s="20" t="str">
        <x:v>FIN-01517</x:v>
      </x:c>
      <x:c r="B3282" s="32" t="n">
        <x:v>2</x:v>
      </x:c>
      <x:c r="C3282" s="23" t="n">
        <x:v>46566</x:v>
      </x:c>
      <x:c r="D3282" s="23" t="n">
        <x:v>46566</x:v>
      </x:c>
      <x:c r="E3282" s="20" t="str">
        <x:v>P004</x:v>
      </x:c>
      <x:c r="F3282" s="20" t="str"/>
      <x:c r="G3282" s="20" t="str"/>
      <x:c r="H3282" s="20" t="str">
        <x:v>1000 Operating Cash</x:v>
      </x:c>
      <x:c r="I3282" s="26" t="n">
        <x:v>0</x:v>
      </x:c>
      <x:c r="J3282" s="26" t="n">
        <x:v>576</x:v>
      </x:c>
      <x:c r="K3282" s="35" t="str">
        <x:v>Franklin County Treasurer</x:v>
      </x:c>
    </x:row>
    <x:row r="3283">
      <x:c r="A3283" s="20" t="str">
        <x:v>FIN-01518</x:v>
      </x:c>
      <x:c r="B3283" s="32" t="n">
        <x:v>1</x:v>
      </x:c>
      <x:c r="C3283" s="23" t="n">
        <x:v>46658</x:v>
      </x:c>
      <x:c r="D3283" s="23" t="n">
        <x:v>46658</x:v>
      </x:c>
      <x:c r="E3283" s="20" t="str">
        <x:v>P004</x:v>
      </x:c>
      <x:c r="F3283" s="20" t="str"/>
      <x:c r="G3283" s="20" t="str"/>
      <x:c r="H3283" s="20" t="str">
        <x:v>5030 Property Taxes</x:v>
      </x:c>
      <x:c r="I3283" s="26" t="n">
        <x:v>583</x:v>
      </x:c>
      <x:c r="J3283" s="26" t="n">
        <x:v>0</x:v>
      </x:c>
      <x:c r="K3283" s="35" t="str">
        <x:v>Franklin County Treasurer</x:v>
      </x:c>
    </x:row>
    <x:row r="3284">
      <x:c r="A3284" s="20" t="str">
        <x:v>FIN-01518</x:v>
      </x:c>
      <x:c r="B3284" s="32" t="n">
        <x:v>2</x:v>
      </x:c>
      <x:c r="C3284" s="23" t="n">
        <x:v>46658</x:v>
      </x:c>
      <x:c r="D3284" s="23" t="n">
        <x:v>46658</x:v>
      </x:c>
      <x:c r="E3284" s="20" t="str">
        <x:v>P004</x:v>
      </x:c>
      <x:c r="F3284" s="20" t="str"/>
      <x:c r="G3284" s="20" t="str"/>
      <x:c r="H3284" s="20" t="str">
        <x:v>1000 Operating Cash</x:v>
      </x:c>
      <x:c r="I3284" s="26" t="n">
        <x:v>0</x:v>
      </x:c>
      <x:c r="J3284" s="26" t="n">
        <x:v>583</x:v>
      </x:c>
      <x:c r="K3284" s="35" t="str">
        <x:v>Franklin County Treasurer</x:v>
      </x:c>
    </x:row>
    <x:row r="3285">
      <x:c r="A3285" s="20" t="str">
        <x:v>FIN-01519</x:v>
      </x:c>
      <x:c r="B3285" s="32" t="n">
        <x:v>1</x:v>
      </x:c>
      <x:c r="C3285" s="23" t="n">
        <x:v>46749</x:v>
      </x:c>
      <x:c r="D3285" s="23" t="n">
        <x:v>46749</x:v>
      </x:c>
      <x:c r="E3285" s="20" t="str">
        <x:v>P004</x:v>
      </x:c>
      <x:c r="F3285" s="20" t="str"/>
      <x:c r="G3285" s="20" t="str"/>
      <x:c r="H3285" s="20" t="str">
        <x:v>5030 Property Taxes</x:v>
      </x:c>
      <x:c r="I3285" s="26" t="n">
        <x:v>590</x:v>
      </x:c>
      <x:c r="J3285" s="26" t="n">
        <x:v>0</x:v>
      </x:c>
      <x:c r="K3285" s="35" t="str">
        <x:v>Franklin County Treasurer</x:v>
      </x:c>
    </x:row>
    <x:row r="3286">
      <x:c r="A3286" s="20" t="str">
        <x:v>FIN-01519</x:v>
      </x:c>
      <x:c r="B3286" s="32" t="n">
        <x:v>2</x:v>
      </x:c>
      <x:c r="C3286" s="23" t="n">
        <x:v>46749</x:v>
      </x:c>
      <x:c r="D3286" s="23" t="n">
        <x:v>46749</x:v>
      </x:c>
      <x:c r="E3286" s="20" t="str">
        <x:v>P004</x:v>
      </x:c>
      <x:c r="F3286" s="20" t="str"/>
      <x:c r="G3286" s="20" t="str"/>
      <x:c r="H3286" s="20" t="str">
        <x:v>1000 Operating Cash</x:v>
      </x:c>
      <x:c r="I3286" s="26" t="n">
        <x:v>0</x:v>
      </x:c>
      <x:c r="J3286" s="26" t="n">
        <x:v>590</x:v>
      </x:c>
      <x:c r="K3286" s="35" t="str">
        <x:v>Franklin County Treasurer</x:v>
      </x:c>
    </x:row>
    <x:row r="3287">
      <x:c r="A3287" s="20" t="str">
        <x:v>FIN-01520</x:v>
      </x:c>
      <x:c r="B3287" s="32" t="n">
        <x:v>1</x:v>
      </x:c>
      <x:c r="C3287" s="23" t="n">
        <x:v>46525</x:v>
      </x:c>
      <x:c r="D3287" s="23" t="n">
        <x:v>46525</x:v>
      </x:c>
      <x:c r="E3287" s="20" t="str">
        <x:v>P005</x:v>
      </x:c>
      <x:c r="F3287" s="20" t="str"/>
      <x:c r="G3287" s="20" t="str"/>
      <x:c r="H3287" s="20" t="str">
        <x:v>5020 Insurance</x:v>
      </x:c>
      <x:c r="I3287" s="26" t="n">
        <x:v>1065</x:v>
      </x:c>
      <x:c r="J3287" s="26" t="n">
        <x:v>0</x:v>
      </x:c>
      <x:c r="K3287" s="35" t="str">
        <x:v>Buckeye Mutual Insurance</x:v>
      </x:c>
    </x:row>
    <x:row r="3288">
      <x:c r="A3288" s="20" t="str">
        <x:v>FIN-01520</x:v>
      </x:c>
      <x:c r="B3288" s="32" t="n">
        <x:v>2</x:v>
      </x:c>
      <x:c r="C3288" s="23" t="n">
        <x:v>46525</x:v>
      </x:c>
      <x:c r="D3288" s="23" t="n">
        <x:v>46525</x:v>
      </x:c>
      <x:c r="E3288" s="20" t="str">
        <x:v>P005</x:v>
      </x:c>
      <x:c r="F3288" s="20" t="str"/>
      <x:c r="G3288" s="20" t="str"/>
      <x:c r="H3288" s="20" t="str">
        <x:v>1000 Operating Cash</x:v>
      </x:c>
      <x:c r="I3288" s="26" t="n">
        <x:v>0</x:v>
      </x:c>
      <x:c r="J3288" s="26" t="n">
        <x:v>1065</x:v>
      </x:c>
      <x:c r="K3288" s="35" t="str">
        <x:v>Buckeye Mutual Insurance</x:v>
      </x:c>
    </x:row>
    <x:row r="3289">
      <x:c r="A3289" s="20" t="str">
        <x:v>FIN-01521</x:v>
      </x:c>
      <x:c r="B3289" s="32" t="n">
        <x:v>1</x:v>
      </x:c>
      <x:c r="C3289" s="23" t="n">
        <x:v>46474</x:v>
      </x:c>
      <x:c r="D3289" s="23" t="n">
        <x:v>46474</x:v>
      </x:c>
      <x:c r="E3289" s="20" t="str">
        <x:v>P005</x:v>
      </x:c>
      <x:c r="F3289" s="20" t="str"/>
      <x:c r="G3289" s="20" t="str"/>
      <x:c r="H3289" s="20" t="str">
        <x:v>5030 Property Taxes</x:v>
      </x:c>
      <x:c r="I3289" s="26" t="n">
        <x:v>582</x:v>
      </x:c>
      <x:c r="J3289" s="26" t="n">
        <x:v>0</x:v>
      </x:c>
      <x:c r="K3289" s="35" t="str">
        <x:v>Franklin County Treasurer</x:v>
      </x:c>
    </x:row>
    <x:row r="3290">
      <x:c r="A3290" s="20" t="str">
        <x:v>FIN-01521</x:v>
      </x:c>
      <x:c r="B3290" s="32" t="n">
        <x:v>2</x:v>
      </x:c>
      <x:c r="C3290" s="23" t="n">
        <x:v>46474</x:v>
      </x:c>
      <x:c r="D3290" s="23" t="n">
        <x:v>46474</x:v>
      </x:c>
      <x:c r="E3290" s="20" t="str">
        <x:v>P005</x:v>
      </x:c>
      <x:c r="F3290" s="20" t="str"/>
      <x:c r="G3290" s="20" t="str"/>
      <x:c r="H3290" s="20" t="str">
        <x:v>1000 Operating Cash</x:v>
      </x:c>
      <x:c r="I3290" s="26" t="n">
        <x:v>0</x:v>
      </x:c>
      <x:c r="J3290" s="26" t="n">
        <x:v>582</x:v>
      </x:c>
      <x:c r="K3290" s="35" t="str">
        <x:v>Franklin County Treasurer</x:v>
      </x:c>
    </x:row>
    <x:row r="3291">
      <x:c r="A3291" s="20" t="str">
        <x:v>FIN-01522</x:v>
      </x:c>
      <x:c r="B3291" s="32" t="n">
        <x:v>1</x:v>
      </x:c>
      <x:c r="C3291" s="23" t="n">
        <x:v>46566</x:v>
      </x:c>
      <x:c r="D3291" s="23" t="n">
        <x:v>46566</x:v>
      </x:c>
      <x:c r="E3291" s="20" t="str">
        <x:v>P005</x:v>
      </x:c>
      <x:c r="F3291" s="20" t="str"/>
      <x:c r="G3291" s="20" t="str"/>
      <x:c r="H3291" s="20" t="str">
        <x:v>5030 Property Taxes</x:v>
      </x:c>
      <x:c r="I3291" s="26" t="n">
        <x:v>589</x:v>
      </x:c>
      <x:c r="J3291" s="26" t="n">
        <x:v>0</x:v>
      </x:c>
      <x:c r="K3291" s="35" t="str">
        <x:v>Franklin County Treasurer</x:v>
      </x:c>
    </x:row>
    <x:row r="3292">
      <x:c r="A3292" s="20" t="str">
        <x:v>FIN-01522</x:v>
      </x:c>
      <x:c r="B3292" s="32" t="n">
        <x:v>2</x:v>
      </x:c>
      <x:c r="C3292" s="23" t="n">
        <x:v>46566</x:v>
      </x:c>
      <x:c r="D3292" s="23" t="n">
        <x:v>46566</x:v>
      </x:c>
      <x:c r="E3292" s="20" t="str">
        <x:v>P005</x:v>
      </x:c>
      <x:c r="F3292" s="20" t="str"/>
      <x:c r="G3292" s="20" t="str"/>
      <x:c r="H3292" s="20" t="str">
        <x:v>1000 Operating Cash</x:v>
      </x:c>
      <x:c r="I3292" s="26" t="n">
        <x:v>0</x:v>
      </x:c>
      <x:c r="J3292" s="26" t="n">
        <x:v>589</x:v>
      </x:c>
      <x:c r="K3292" s="35" t="str">
        <x:v>Franklin County Treasurer</x:v>
      </x:c>
    </x:row>
    <x:row r="3293">
      <x:c r="A3293" s="20" t="str">
        <x:v>FIN-01523</x:v>
      </x:c>
      <x:c r="B3293" s="32" t="n">
        <x:v>1</x:v>
      </x:c>
      <x:c r="C3293" s="23" t="n">
        <x:v>46658</x:v>
      </x:c>
      <x:c r="D3293" s="23" t="n">
        <x:v>46658</x:v>
      </x:c>
      <x:c r="E3293" s="20" t="str">
        <x:v>P005</x:v>
      </x:c>
      <x:c r="F3293" s="20" t="str"/>
      <x:c r="G3293" s="20" t="str"/>
      <x:c r="H3293" s="20" t="str">
        <x:v>5030 Property Taxes</x:v>
      </x:c>
      <x:c r="I3293" s="26" t="n">
        <x:v>596</x:v>
      </x:c>
      <x:c r="J3293" s="26" t="n">
        <x:v>0</x:v>
      </x:c>
      <x:c r="K3293" s="35" t="str">
        <x:v>Franklin County Treasurer</x:v>
      </x:c>
    </x:row>
    <x:row r="3294">
      <x:c r="A3294" s="20" t="str">
        <x:v>FIN-01523</x:v>
      </x:c>
      <x:c r="B3294" s="32" t="n">
        <x:v>2</x:v>
      </x:c>
      <x:c r="C3294" s="23" t="n">
        <x:v>46658</x:v>
      </x:c>
      <x:c r="D3294" s="23" t="n">
        <x:v>46658</x:v>
      </x:c>
      <x:c r="E3294" s="20" t="str">
        <x:v>P005</x:v>
      </x:c>
      <x:c r="F3294" s="20" t="str"/>
      <x:c r="G3294" s="20" t="str"/>
      <x:c r="H3294" s="20" t="str">
        <x:v>1000 Operating Cash</x:v>
      </x:c>
      <x:c r="I3294" s="26" t="n">
        <x:v>0</x:v>
      </x:c>
      <x:c r="J3294" s="26" t="n">
        <x:v>596</x:v>
      </x:c>
      <x:c r="K3294" s="35" t="str">
        <x:v>Franklin County Treasurer</x:v>
      </x:c>
    </x:row>
    <x:row r="3295">
      <x:c r="A3295" s="20" t="str">
        <x:v>FIN-01524</x:v>
      </x:c>
      <x:c r="B3295" s="32" t="n">
        <x:v>1</x:v>
      </x:c>
      <x:c r="C3295" s="23" t="n">
        <x:v>46749</x:v>
      </x:c>
      <x:c r="D3295" s="23" t="n">
        <x:v>46749</x:v>
      </x:c>
      <x:c r="E3295" s="20" t="str">
        <x:v>P005</x:v>
      </x:c>
      <x:c r="F3295" s="20" t="str"/>
      <x:c r="G3295" s="20" t="str"/>
      <x:c r="H3295" s="20" t="str">
        <x:v>5030 Property Taxes</x:v>
      </x:c>
      <x:c r="I3295" s="26" t="n">
        <x:v>603</x:v>
      </x:c>
      <x:c r="J3295" s="26" t="n">
        <x:v>0</x:v>
      </x:c>
      <x:c r="K3295" s="35" t="str">
        <x:v>Franklin County Treasurer</x:v>
      </x:c>
    </x:row>
    <x:row r="3296">
      <x:c r="A3296" s="20" t="str">
        <x:v>FIN-01524</x:v>
      </x:c>
      <x:c r="B3296" s="32" t="n">
        <x:v>2</x:v>
      </x:c>
      <x:c r="C3296" s="23" t="n">
        <x:v>46749</x:v>
      </x:c>
      <x:c r="D3296" s="23" t="n">
        <x:v>46749</x:v>
      </x:c>
      <x:c r="E3296" s="20" t="str">
        <x:v>P005</x:v>
      </x:c>
      <x:c r="F3296" s="20" t="str"/>
      <x:c r="G3296" s="20" t="str"/>
      <x:c r="H3296" s="20" t="str">
        <x:v>1000 Operating Cash</x:v>
      </x:c>
      <x:c r="I3296" s="26" t="n">
        <x:v>0</x:v>
      </x:c>
      <x:c r="J3296" s="26" t="n">
        <x:v>603</x:v>
      </x:c>
      <x:c r="K3296" s="35" t="str">
        <x:v>Franklin County Treasurer</x:v>
      </x:c>
    </x:row>
    <x:row r="3297">
      <x:c r="A3297" s="20" t="str">
        <x:v>FIN-01525</x:v>
      </x:c>
      <x:c r="B3297" s="32" t="n">
        <x:v>1</x:v>
      </x:c>
      <x:c r="C3297" s="23" t="n">
        <x:v>46556</x:v>
      </x:c>
      <x:c r="D3297" s="23" t="n">
        <x:v>46556</x:v>
      </x:c>
      <x:c r="E3297" s="20" t="str">
        <x:v>P006</x:v>
      </x:c>
      <x:c r="F3297" s="20" t="str"/>
      <x:c r="G3297" s="20" t="str"/>
      <x:c r="H3297" s="20" t="str">
        <x:v>5020 Insurance</x:v>
      </x:c>
      <x:c r="I3297" s="26" t="n">
        <x:v>1082</x:v>
      </x:c>
      <x:c r="J3297" s="26" t="n">
        <x:v>0</x:v>
      </x:c>
      <x:c r="K3297" s="35" t="str">
        <x:v>Buckeye Mutual Insurance</x:v>
      </x:c>
    </x:row>
    <x:row r="3298">
      <x:c r="A3298" s="20" t="str">
        <x:v>FIN-01525</x:v>
      </x:c>
      <x:c r="B3298" s="32" t="n">
        <x:v>2</x:v>
      </x:c>
      <x:c r="C3298" s="23" t="n">
        <x:v>46556</x:v>
      </x:c>
      <x:c r="D3298" s="23" t="n">
        <x:v>46556</x:v>
      </x:c>
      <x:c r="E3298" s="20" t="str">
        <x:v>P006</x:v>
      </x:c>
      <x:c r="F3298" s="20" t="str"/>
      <x:c r="G3298" s="20" t="str"/>
      <x:c r="H3298" s="20" t="str">
        <x:v>1000 Operating Cash</x:v>
      </x:c>
      <x:c r="I3298" s="26" t="n">
        <x:v>0</x:v>
      </x:c>
      <x:c r="J3298" s="26" t="n">
        <x:v>1082</x:v>
      </x:c>
      <x:c r="K3298" s="35" t="str">
        <x:v>Buckeye Mutual Insurance</x:v>
      </x:c>
    </x:row>
    <x:row r="3299">
      <x:c r="A3299" s="20" t="str">
        <x:v>FIN-01526</x:v>
      </x:c>
      <x:c r="B3299" s="32" t="n">
        <x:v>1</x:v>
      </x:c>
      <x:c r="C3299" s="23" t="n">
        <x:v>46474</x:v>
      </x:c>
      <x:c r="D3299" s="23" t="n">
        <x:v>46474</x:v>
      </x:c>
      <x:c r="E3299" s="20" t="str">
        <x:v>P006</x:v>
      </x:c>
      <x:c r="F3299" s="20" t="str"/>
      <x:c r="G3299" s="20" t="str"/>
      <x:c r="H3299" s="20" t="str">
        <x:v>5030 Property Taxes</x:v>
      </x:c>
      <x:c r="I3299" s="26" t="n">
        <x:v>595</x:v>
      </x:c>
      <x:c r="J3299" s="26" t="n">
        <x:v>0</x:v>
      </x:c>
      <x:c r="K3299" s="35" t="str">
        <x:v>Franklin County Treasurer</x:v>
      </x:c>
    </x:row>
    <x:row r="3300">
      <x:c r="A3300" s="20" t="str">
        <x:v>FIN-01526</x:v>
      </x:c>
      <x:c r="B3300" s="32" t="n">
        <x:v>2</x:v>
      </x:c>
      <x:c r="C3300" s="23" t="n">
        <x:v>46474</x:v>
      </x:c>
      <x:c r="D3300" s="23" t="n">
        <x:v>46474</x:v>
      </x:c>
      <x:c r="E3300" s="20" t="str">
        <x:v>P006</x:v>
      </x:c>
      <x:c r="F3300" s="20" t="str"/>
      <x:c r="G3300" s="20" t="str"/>
      <x:c r="H3300" s="20" t="str">
        <x:v>1000 Operating Cash</x:v>
      </x:c>
      <x:c r="I3300" s="26" t="n">
        <x:v>0</x:v>
      </x:c>
      <x:c r="J3300" s="26" t="n">
        <x:v>595</x:v>
      </x:c>
      <x:c r="K3300" s="35" t="str">
        <x:v>Franklin County Treasurer</x:v>
      </x:c>
    </x:row>
    <x:row r="3301">
      <x:c r="A3301" s="20" t="str">
        <x:v>FIN-01527</x:v>
      </x:c>
      <x:c r="B3301" s="32" t="n">
        <x:v>1</x:v>
      </x:c>
      <x:c r="C3301" s="23" t="n">
        <x:v>46566</x:v>
      </x:c>
      <x:c r="D3301" s="23" t="n">
        <x:v>46566</x:v>
      </x:c>
      <x:c r="E3301" s="20" t="str">
        <x:v>P006</x:v>
      </x:c>
      <x:c r="F3301" s="20" t="str"/>
      <x:c r="G3301" s="20" t="str"/>
      <x:c r="H3301" s="20" t="str">
        <x:v>5030 Property Taxes</x:v>
      </x:c>
      <x:c r="I3301" s="26" t="n">
        <x:v>602</x:v>
      </x:c>
      <x:c r="J3301" s="26" t="n">
        <x:v>0</x:v>
      </x:c>
      <x:c r="K3301" s="35" t="str">
        <x:v>Franklin County Treasurer</x:v>
      </x:c>
    </x:row>
    <x:row r="3302">
      <x:c r="A3302" s="20" t="str">
        <x:v>FIN-01527</x:v>
      </x:c>
      <x:c r="B3302" s="32" t="n">
        <x:v>2</x:v>
      </x:c>
      <x:c r="C3302" s="23" t="n">
        <x:v>46566</x:v>
      </x:c>
      <x:c r="D3302" s="23" t="n">
        <x:v>46566</x:v>
      </x:c>
      <x:c r="E3302" s="20" t="str">
        <x:v>P006</x:v>
      </x:c>
      <x:c r="F3302" s="20" t="str"/>
      <x:c r="G3302" s="20" t="str"/>
      <x:c r="H3302" s="20" t="str">
        <x:v>1000 Operating Cash</x:v>
      </x:c>
      <x:c r="I3302" s="26" t="n">
        <x:v>0</x:v>
      </x:c>
      <x:c r="J3302" s="26" t="n">
        <x:v>602</x:v>
      </x:c>
      <x:c r="K3302" s="35" t="str">
        <x:v>Franklin County Treasurer</x:v>
      </x:c>
    </x:row>
    <x:row r="3303">
      <x:c r="A3303" s="20" t="str">
        <x:v>FIN-01528</x:v>
      </x:c>
      <x:c r="B3303" s="32" t="n">
        <x:v>1</x:v>
      </x:c>
      <x:c r="C3303" s="23" t="n">
        <x:v>46658</x:v>
      </x:c>
      <x:c r="D3303" s="23" t="n">
        <x:v>46658</x:v>
      </x:c>
      <x:c r="E3303" s="20" t="str">
        <x:v>P006</x:v>
      </x:c>
      <x:c r="F3303" s="20" t="str"/>
      <x:c r="G3303" s="20" t="str"/>
      <x:c r="H3303" s="20" t="str">
        <x:v>5030 Property Taxes</x:v>
      </x:c>
      <x:c r="I3303" s="26" t="n">
        <x:v>609</x:v>
      </x:c>
      <x:c r="J3303" s="26" t="n">
        <x:v>0</x:v>
      </x:c>
      <x:c r="K3303" s="35" t="str">
        <x:v>Franklin County Treasurer</x:v>
      </x:c>
    </x:row>
    <x:row r="3304">
      <x:c r="A3304" s="20" t="str">
        <x:v>FIN-01528</x:v>
      </x:c>
      <x:c r="B3304" s="32" t="n">
        <x:v>2</x:v>
      </x:c>
      <x:c r="C3304" s="23" t="n">
        <x:v>46658</x:v>
      </x:c>
      <x:c r="D3304" s="23" t="n">
        <x:v>46658</x:v>
      </x:c>
      <x:c r="E3304" s="20" t="str">
        <x:v>P006</x:v>
      </x:c>
      <x:c r="F3304" s="20" t="str"/>
      <x:c r="G3304" s="20" t="str"/>
      <x:c r="H3304" s="20" t="str">
        <x:v>1000 Operating Cash</x:v>
      </x:c>
      <x:c r="I3304" s="26" t="n">
        <x:v>0</x:v>
      </x:c>
      <x:c r="J3304" s="26" t="n">
        <x:v>609</x:v>
      </x:c>
      <x:c r="K3304" s="35" t="str">
        <x:v>Franklin County Treasurer</x:v>
      </x:c>
    </x:row>
    <x:row r="3305">
      <x:c r="A3305" s="20" t="str">
        <x:v>FIN-01529</x:v>
      </x:c>
      <x:c r="B3305" s="32" t="n">
        <x:v>1</x:v>
      </x:c>
      <x:c r="C3305" s="23" t="n">
        <x:v>46749</x:v>
      </x:c>
      <x:c r="D3305" s="23" t="n">
        <x:v>46749</x:v>
      </x:c>
      <x:c r="E3305" s="20" t="str">
        <x:v>P006</x:v>
      </x:c>
      <x:c r="F3305" s="20" t="str"/>
      <x:c r="G3305" s="20" t="str"/>
      <x:c r="H3305" s="20" t="str">
        <x:v>5030 Property Taxes</x:v>
      </x:c>
      <x:c r="I3305" s="26" t="n">
        <x:v>616</x:v>
      </x:c>
      <x:c r="J3305" s="26" t="n">
        <x:v>0</x:v>
      </x:c>
      <x:c r="K3305" s="35" t="str">
        <x:v>Franklin County Treasurer</x:v>
      </x:c>
    </x:row>
    <x:row r="3306">
      <x:c r="A3306" s="20" t="str">
        <x:v>FIN-01529</x:v>
      </x:c>
      <x:c r="B3306" s="32" t="n">
        <x:v>2</x:v>
      </x:c>
      <x:c r="C3306" s="23" t="n">
        <x:v>46749</x:v>
      </x:c>
      <x:c r="D3306" s="23" t="n">
        <x:v>46749</x:v>
      </x:c>
      <x:c r="E3306" s="20" t="str">
        <x:v>P006</x:v>
      </x:c>
      <x:c r="F3306" s="20" t="str"/>
      <x:c r="G3306" s="20" t="str"/>
      <x:c r="H3306" s="20" t="str">
        <x:v>1000 Operating Cash</x:v>
      </x:c>
      <x:c r="I3306" s="26" t="n">
        <x:v>0</x:v>
      </x:c>
      <x:c r="J3306" s="26" t="n">
        <x:v>616</x:v>
      </x:c>
      <x:c r="K3306" s="35" t="str">
        <x:v>Franklin County Treasurer</x:v>
      </x:c>
    </x:row>
    <x:row r="3307">
      <x:c r="A3307" s="20" t="str">
        <x:v>FIN-01530</x:v>
      </x:c>
      <x:c r="B3307" s="32" t="n">
        <x:v>1</x:v>
      </x:c>
      <x:c r="C3307" s="23" t="n">
        <x:v>46586</x:v>
      </x:c>
      <x:c r="D3307" s="23" t="n">
        <x:v>46586</x:v>
      </x:c>
      <x:c r="E3307" s="20" t="str">
        <x:v>P007</x:v>
      </x:c>
      <x:c r="F3307" s="20" t="str"/>
      <x:c r="G3307" s="20" t="str"/>
      <x:c r="H3307" s="20" t="str">
        <x:v>5020 Insurance</x:v>
      </x:c>
      <x:c r="I3307" s="26" t="n">
        <x:v>1099</x:v>
      </x:c>
      <x:c r="J3307" s="26" t="n">
        <x:v>0</x:v>
      </x:c>
      <x:c r="K3307" s="35" t="str">
        <x:v>Buckeye Mutual Insurance</x:v>
      </x:c>
    </x:row>
    <x:row r="3308">
      <x:c r="A3308" s="20" t="str">
        <x:v>FIN-01530</x:v>
      </x:c>
      <x:c r="B3308" s="32" t="n">
        <x:v>2</x:v>
      </x:c>
      <x:c r="C3308" s="23" t="n">
        <x:v>46586</x:v>
      </x:c>
      <x:c r="D3308" s="23" t="n">
        <x:v>46586</x:v>
      </x:c>
      <x:c r="E3308" s="20" t="str">
        <x:v>P007</x:v>
      </x:c>
      <x:c r="F3308" s="20" t="str"/>
      <x:c r="G3308" s="20" t="str"/>
      <x:c r="H3308" s="20" t="str">
        <x:v>1000 Operating Cash</x:v>
      </x:c>
      <x:c r="I3308" s="26" t="n">
        <x:v>0</x:v>
      </x:c>
      <x:c r="J3308" s="26" t="n">
        <x:v>1099</x:v>
      </x:c>
      <x:c r="K3308" s="35" t="str">
        <x:v>Buckeye Mutual Insurance</x:v>
      </x:c>
    </x:row>
    <x:row r="3309">
      <x:c r="A3309" s="20" t="str">
        <x:v>FIN-01531</x:v>
      </x:c>
      <x:c r="B3309" s="32" t="n">
        <x:v>1</x:v>
      </x:c>
      <x:c r="C3309" s="23" t="n">
        <x:v>46474</x:v>
      </x:c>
      <x:c r="D3309" s="23" t="n">
        <x:v>46474</x:v>
      </x:c>
      <x:c r="E3309" s="20" t="str">
        <x:v>P007</x:v>
      </x:c>
      <x:c r="F3309" s="20" t="str"/>
      <x:c r="G3309" s="20" t="str"/>
      <x:c r="H3309" s="20" t="str">
        <x:v>5030 Property Taxes</x:v>
      </x:c>
      <x:c r="I3309" s="26" t="n">
        <x:v>608</x:v>
      </x:c>
      <x:c r="J3309" s="26" t="n">
        <x:v>0</x:v>
      </x:c>
      <x:c r="K3309" s="35" t="str">
        <x:v>Franklin County Treasurer</x:v>
      </x:c>
    </x:row>
    <x:row r="3310">
      <x:c r="A3310" s="20" t="str">
        <x:v>FIN-01531</x:v>
      </x:c>
      <x:c r="B3310" s="32" t="n">
        <x:v>2</x:v>
      </x:c>
      <x:c r="C3310" s="23" t="n">
        <x:v>46474</x:v>
      </x:c>
      <x:c r="D3310" s="23" t="n">
        <x:v>46474</x:v>
      </x:c>
      <x:c r="E3310" s="20" t="str">
        <x:v>P007</x:v>
      </x:c>
      <x:c r="F3310" s="20" t="str"/>
      <x:c r="G3310" s="20" t="str"/>
      <x:c r="H3310" s="20" t="str">
        <x:v>1000 Operating Cash</x:v>
      </x:c>
      <x:c r="I3310" s="26" t="n">
        <x:v>0</x:v>
      </x:c>
      <x:c r="J3310" s="26" t="n">
        <x:v>608</x:v>
      </x:c>
      <x:c r="K3310" s="35" t="str">
        <x:v>Franklin County Treasurer</x:v>
      </x:c>
    </x:row>
    <x:row r="3311">
      <x:c r="A3311" s="20" t="str">
        <x:v>FIN-01532</x:v>
      </x:c>
      <x:c r="B3311" s="32" t="n">
        <x:v>1</x:v>
      </x:c>
      <x:c r="C3311" s="23" t="n">
        <x:v>46566</x:v>
      </x:c>
      <x:c r="D3311" s="23" t="n">
        <x:v>46566</x:v>
      </x:c>
      <x:c r="E3311" s="20" t="str">
        <x:v>P007</x:v>
      </x:c>
      <x:c r="F3311" s="20" t="str"/>
      <x:c r="G3311" s="20" t="str"/>
      <x:c r="H3311" s="20" t="str">
        <x:v>5030 Property Taxes</x:v>
      </x:c>
      <x:c r="I3311" s="26" t="n">
        <x:v>615</x:v>
      </x:c>
      <x:c r="J3311" s="26" t="n">
        <x:v>0</x:v>
      </x:c>
      <x:c r="K3311" s="35" t="str">
        <x:v>Franklin County Treasurer</x:v>
      </x:c>
    </x:row>
    <x:row r="3312">
      <x:c r="A3312" s="20" t="str">
        <x:v>FIN-01532</x:v>
      </x:c>
      <x:c r="B3312" s="32" t="n">
        <x:v>2</x:v>
      </x:c>
      <x:c r="C3312" s="23" t="n">
        <x:v>46566</x:v>
      </x:c>
      <x:c r="D3312" s="23" t="n">
        <x:v>46566</x:v>
      </x:c>
      <x:c r="E3312" s="20" t="str">
        <x:v>P007</x:v>
      </x:c>
      <x:c r="F3312" s="20" t="str"/>
      <x:c r="G3312" s="20" t="str"/>
      <x:c r="H3312" s="20" t="str">
        <x:v>1000 Operating Cash</x:v>
      </x:c>
      <x:c r="I3312" s="26" t="n">
        <x:v>0</x:v>
      </x:c>
      <x:c r="J3312" s="26" t="n">
        <x:v>615</x:v>
      </x:c>
      <x:c r="K3312" s="35" t="str">
        <x:v>Franklin County Treasurer</x:v>
      </x:c>
    </x:row>
    <x:row r="3313">
      <x:c r="A3313" s="20" t="str">
        <x:v>FIN-01533</x:v>
      </x:c>
      <x:c r="B3313" s="32" t="n">
        <x:v>1</x:v>
      </x:c>
      <x:c r="C3313" s="23" t="n">
        <x:v>46658</x:v>
      </x:c>
      <x:c r="D3313" s="23" t="n">
        <x:v>46658</x:v>
      </x:c>
      <x:c r="E3313" s="20" t="str">
        <x:v>P007</x:v>
      </x:c>
      <x:c r="F3313" s="20" t="str"/>
      <x:c r="G3313" s="20" t="str"/>
      <x:c r="H3313" s="20" t="str">
        <x:v>5030 Property Taxes</x:v>
      </x:c>
      <x:c r="I3313" s="26" t="n">
        <x:v>622</x:v>
      </x:c>
      <x:c r="J3313" s="26" t="n">
        <x:v>0</x:v>
      </x:c>
      <x:c r="K3313" s="35" t="str">
        <x:v>Franklin County Treasurer</x:v>
      </x:c>
    </x:row>
    <x:row r="3314">
      <x:c r="A3314" s="20" t="str">
        <x:v>FIN-01533</x:v>
      </x:c>
      <x:c r="B3314" s="32" t="n">
        <x:v>2</x:v>
      </x:c>
      <x:c r="C3314" s="23" t="n">
        <x:v>46658</x:v>
      </x:c>
      <x:c r="D3314" s="23" t="n">
        <x:v>46658</x:v>
      </x:c>
      <x:c r="E3314" s="20" t="str">
        <x:v>P007</x:v>
      </x:c>
      <x:c r="F3314" s="20" t="str"/>
      <x:c r="G3314" s="20" t="str"/>
      <x:c r="H3314" s="20" t="str">
        <x:v>1000 Operating Cash</x:v>
      </x:c>
      <x:c r="I3314" s="26" t="n">
        <x:v>0</x:v>
      </x:c>
      <x:c r="J3314" s="26" t="n">
        <x:v>622</x:v>
      </x:c>
      <x:c r="K3314" s="35" t="str">
        <x:v>Franklin County Treasurer</x:v>
      </x:c>
    </x:row>
    <x:row r="3315">
      <x:c r="A3315" s="20" t="str">
        <x:v>FIN-01534</x:v>
      </x:c>
      <x:c r="B3315" s="32" t="n">
        <x:v>1</x:v>
      </x:c>
      <x:c r="C3315" s="23" t="n">
        <x:v>46749</x:v>
      </x:c>
      <x:c r="D3315" s="23" t="n">
        <x:v>46749</x:v>
      </x:c>
      <x:c r="E3315" s="20" t="str">
        <x:v>P007</x:v>
      </x:c>
      <x:c r="F3315" s="20" t="str"/>
      <x:c r="G3315" s="20" t="str"/>
      <x:c r="H3315" s="20" t="str">
        <x:v>5030 Property Taxes</x:v>
      </x:c>
      <x:c r="I3315" s="26" t="n">
        <x:v>629</x:v>
      </x:c>
      <x:c r="J3315" s="26" t="n">
        <x:v>0</x:v>
      </x:c>
      <x:c r="K3315" s="35" t="str">
        <x:v>Franklin County Treasurer</x:v>
      </x:c>
    </x:row>
    <x:row r="3316">
      <x:c r="A3316" s="20" t="str">
        <x:v>FIN-01534</x:v>
      </x:c>
      <x:c r="B3316" s="32" t="n">
        <x:v>2</x:v>
      </x:c>
      <x:c r="C3316" s="23" t="n">
        <x:v>46749</x:v>
      </x:c>
      <x:c r="D3316" s="23" t="n">
        <x:v>46749</x:v>
      </x:c>
      <x:c r="E3316" s="20" t="str">
        <x:v>P007</x:v>
      </x:c>
      <x:c r="F3316" s="20" t="str"/>
      <x:c r="G3316" s="20" t="str"/>
      <x:c r="H3316" s="20" t="str">
        <x:v>1000 Operating Cash</x:v>
      </x:c>
      <x:c r="I3316" s="26" t="n">
        <x:v>0</x:v>
      </x:c>
      <x:c r="J3316" s="26" t="n">
        <x:v>629</x:v>
      </x:c>
      <x:c r="K3316" s="35" t="str">
        <x:v>Franklin County Treasurer</x:v>
      </x:c>
    </x:row>
    <x:row r="3317">
      <x:c r="A3317" s="20" t="str">
        <x:v>FIN-01535</x:v>
      </x:c>
      <x:c r="B3317" s="32" t="n">
        <x:v>1</x:v>
      </x:c>
      <x:c r="C3317" s="23" t="n">
        <x:v>46617</x:v>
      </x:c>
      <x:c r="D3317" s="23" t="n">
        <x:v>46617</x:v>
      </x:c>
      <x:c r="E3317" s="20" t="str">
        <x:v>P008</x:v>
      </x:c>
      <x:c r="F3317" s="20" t="str"/>
      <x:c r="G3317" s="20" t="str"/>
      <x:c r="H3317" s="20" t="str">
        <x:v>5020 Insurance</x:v>
      </x:c>
      <x:c r="I3317" s="26" t="n">
        <x:v>1116</x:v>
      </x:c>
      <x:c r="J3317" s="26" t="n">
        <x:v>0</x:v>
      </x:c>
      <x:c r="K3317" s="35" t="str">
        <x:v>Buckeye Mutual Insurance</x:v>
      </x:c>
    </x:row>
    <x:row r="3318">
      <x:c r="A3318" s="20" t="str">
        <x:v>FIN-01535</x:v>
      </x:c>
      <x:c r="B3318" s="32" t="n">
        <x:v>2</x:v>
      </x:c>
      <x:c r="C3318" s="23" t="n">
        <x:v>46617</x:v>
      </x:c>
      <x:c r="D3318" s="23" t="n">
        <x:v>46617</x:v>
      </x:c>
      <x:c r="E3318" s="20" t="str">
        <x:v>P008</x:v>
      </x:c>
      <x:c r="F3318" s="20" t="str"/>
      <x:c r="G3318" s="20" t="str"/>
      <x:c r="H3318" s="20" t="str">
        <x:v>1000 Operating Cash</x:v>
      </x:c>
      <x:c r="I3318" s="26" t="n">
        <x:v>0</x:v>
      </x:c>
      <x:c r="J3318" s="26" t="n">
        <x:v>1116</x:v>
      </x:c>
      <x:c r="K3318" s="35" t="str">
        <x:v>Buckeye Mutual Insurance</x:v>
      </x:c>
    </x:row>
    <x:row r="3319">
      <x:c r="A3319" s="20" t="str">
        <x:v>FIN-01536</x:v>
      </x:c>
      <x:c r="B3319" s="32" t="n">
        <x:v>1</x:v>
      </x:c>
      <x:c r="C3319" s="23" t="n">
        <x:v>46474</x:v>
      </x:c>
      <x:c r="D3319" s="23" t="n">
        <x:v>46474</x:v>
      </x:c>
      <x:c r="E3319" s="20" t="str">
        <x:v>P008</x:v>
      </x:c>
      <x:c r="F3319" s="20" t="str"/>
      <x:c r="G3319" s="20" t="str"/>
      <x:c r="H3319" s="20" t="str">
        <x:v>5030 Property Taxes</x:v>
      </x:c>
      <x:c r="I3319" s="26" t="n">
        <x:v>621</x:v>
      </x:c>
      <x:c r="J3319" s="26" t="n">
        <x:v>0</x:v>
      </x:c>
      <x:c r="K3319" s="35" t="str">
        <x:v>Franklin County Treasurer</x:v>
      </x:c>
    </x:row>
    <x:row r="3320">
      <x:c r="A3320" s="20" t="str">
        <x:v>FIN-01536</x:v>
      </x:c>
      <x:c r="B3320" s="32" t="n">
        <x:v>2</x:v>
      </x:c>
      <x:c r="C3320" s="23" t="n">
        <x:v>46474</x:v>
      </x:c>
      <x:c r="D3320" s="23" t="n">
        <x:v>46474</x:v>
      </x:c>
      <x:c r="E3320" s="20" t="str">
        <x:v>P008</x:v>
      </x:c>
      <x:c r="F3320" s="20" t="str"/>
      <x:c r="G3320" s="20" t="str"/>
      <x:c r="H3320" s="20" t="str">
        <x:v>1000 Operating Cash</x:v>
      </x:c>
      <x:c r="I3320" s="26" t="n">
        <x:v>0</x:v>
      </x:c>
      <x:c r="J3320" s="26" t="n">
        <x:v>621</x:v>
      </x:c>
      <x:c r="K3320" s="35" t="str">
        <x:v>Franklin County Treasurer</x:v>
      </x:c>
    </x:row>
    <x:row r="3321">
      <x:c r="A3321" s="20" t="str">
        <x:v>FIN-01537</x:v>
      </x:c>
      <x:c r="B3321" s="32" t="n">
        <x:v>1</x:v>
      </x:c>
      <x:c r="C3321" s="23" t="n">
        <x:v>46566</x:v>
      </x:c>
      <x:c r="D3321" s="23" t="n">
        <x:v>46566</x:v>
      </x:c>
      <x:c r="E3321" s="20" t="str">
        <x:v>P008</x:v>
      </x:c>
      <x:c r="F3321" s="20" t="str"/>
      <x:c r="G3321" s="20" t="str"/>
      <x:c r="H3321" s="20" t="str">
        <x:v>5030 Property Taxes</x:v>
      </x:c>
      <x:c r="I3321" s="26" t="n">
        <x:v>628</x:v>
      </x:c>
      <x:c r="J3321" s="26" t="n">
        <x:v>0</x:v>
      </x:c>
      <x:c r="K3321" s="35" t="str">
        <x:v>Franklin County Treasurer</x:v>
      </x:c>
    </x:row>
    <x:row r="3322">
      <x:c r="A3322" s="20" t="str">
        <x:v>FIN-01537</x:v>
      </x:c>
      <x:c r="B3322" s="32" t="n">
        <x:v>2</x:v>
      </x:c>
      <x:c r="C3322" s="23" t="n">
        <x:v>46566</x:v>
      </x:c>
      <x:c r="D3322" s="23" t="n">
        <x:v>46566</x:v>
      </x:c>
      <x:c r="E3322" s="20" t="str">
        <x:v>P008</x:v>
      </x:c>
      <x:c r="F3322" s="20" t="str"/>
      <x:c r="G3322" s="20" t="str"/>
      <x:c r="H3322" s="20" t="str">
        <x:v>1000 Operating Cash</x:v>
      </x:c>
      <x:c r="I3322" s="26" t="n">
        <x:v>0</x:v>
      </x:c>
      <x:c r="J3322" s="26" t="n">
        <x:v>628</x:v>
      </x:c>
      <x:c r="K3322" s="35" t="str">
        <x:v>Franklin County Treasurer</x:v>
      </x:c>
    </x:row>
    <x:row r="3323">
      <x:c r="A3323" s="20" t="str">
        <x:v>FIN-01538</x:v>
      </x:c>
      <x:c r="B3323" s="32" t="n">
        <x:v>1</x:v>
      </x:c>
      <x:c r="C3323" s="23" t="n">
        <x:v>46658</x:v>
      </x:c>
      <x:c r="D3323" s="23" t="n">
        <x:v>46658</x:v>
      </x:c>
      <x:c r="E3323" s="20" t="str">
        <x:v>P008</x:v>
      </x:c>
      <x:c r="F3323" s="20" t="str"/>
      <x:c r="G3323" s="20" t="str"/>
      <x:c r="H3323" s="20" t="str">
        <x:v>5030 Property Taxes</x:v>
      </x:c>
      <x:c r="I3323" s="26" t="n">
        <x:v>635</x:v>
      </x:c>
      <x:c r="J3323" s="26" t="n">
        <x:v>0</x:v>
      </x:c>
      <x:c r="K3323" s="35" t="str">
        <x:v>Franklin County Treasurer</x:v>
      </x:c>
    </x:row>
    <x:row r="3324">
      <x:c r="A3324" s="20" t="str">
        <x:v>FIN-01538</x:v>
      </x:c>
      <x:c r="B3324" s="32" t="n">
        <x:v>2</x:v>
      </x:c>
      <x:c r="C3324" s="23" t="n">
        <x:v>46658</x:v>
      </x:c>
      <x:c r="D3324" s="23" t="n">
        <x:v>46658</x:v>
      </x:c>
      <x:c r="E3324" s="20" t="str">
        <x:v>P008</x:v>
      </x:c>
      <x:c r="F3324" s="20" t="str"/>
      <x:c r="G3324" s="20" t="str"/>
      <x:c r="H3324" s="20" t="str">
        <x:v>1000 Operating Cash</x:v>
      </x:c>
      <x:c r="I3324" s="26" t="n">
        <x:v>0</x:v>
      </x:c>
      <x:c r="J3324" s="26" t="n">
        <x:v>635</x:v>
      </x:c>
      <x:c r="K3324" s="35" t="str">
        <x:v>Franklin County Treasurer</x:v>
      </x:c>
    </x:row>
    <x:row r="3325">
      <x:c r="A3325" s="20" t="str">
        <x:v>FIN-01539</x:v>
      </x:c>
      <x:c r="B3325" s="32" t="n">
        <x:v>1</x:v>
      </x:c>
      <x:c r="C3325" s="23" t="n">
        <x:v>46749</x:v>
      </x:c>
      <x:c r="D3325" s="23" t="n">
        <x:v>46749</x:v>
      </x:c>
      <x:c r="E3325" s="20" t="str">
        <x:v>P008</x:v>
      </x:c>
      <x:c r="F3325" s="20" t="str"/>
      <x:c r="G3325" s="20" t="str"/>
      <x:c r="H3325" s="20" t="str">
        <x:v>5030 Property Taxes</x:v>
      </x:c>
      <x:c r="I3325" s="26" t="n">
        <x:v>642</x:v>
      </x:c>
      <x:c r="J3325" s="26" t="n">
        <x:v>0</x:v>
      </x:c>
      <x:c r="K3325" s="35" t="str">
        <x:v>Franklin County Treasurer</x:v>
      </x:c>
    </x:row>
    <x:row r="3326">
      <x:c r="A3326" s="20" t="str">
        <x:v>FIN-01539</x:v>
      </x:c>
      <x:c r="B3326" s="32" t="n">
        <x:v>2</x:v>
      </x:c>
      <x:c r="C3326" s="23" t="n">
        <x:v>46749</x:v>
      </x:c>
      <x:c r="D3326" s="23" t="n">
        <x:v>46749</x:v>
      </x:c>
      <x:c r="E3326" s="20" t="str">
        <x:v>P008</x:v>
      </x:c>
      <x:c r="F3326" s="20" t="str"/>
      <x:c r="G3326" s="20" t="str"/>
      <x:c r="H3326" s="20" t="str">
        <x:v>1000 Operating Cash</x:v>
      </x:c>
      <x:c r="I3326" s="26" t="n">
        <x:v>0</x:v>
      </x:c>
      <x:c r="J3326" s="26" t="n">
        <x:v>642</x:v>
      </x:c>
      <x:c r="K3326" s="35" t="str">
        <x:v>Franklin County Treasurer</x:v>
      </x:c>
    </x:row>
    <x:row r="3327">
      <x:c r="A3327" s="20" t="str">
        <x:v>FIN-01540</x:v>
      </x:c>
      <x:c r="B3327" s="32" t="n">
        <x:v>1</x:v>
      </x:c>
      <x:c r="C3327" s="23" t="n">
        <x:v>46648</x:v>
      </x:c>
      <x:c r="D3327" s="23" t="n">
        <x:v>46648</x:v>
      </x:c>
      <x:c r="E3327" s="20" t="str">
        <x:v>P009</x:v>
      </x:c>
      <x:c r="F3327" s="20" t="str"/>
      <x:c r="G3327" s="20" t="str"/>
      <x:c r="H3327" s="20" t="str">
        <x:v>5020 Insurance</x:v>
      </x:c>
      <x:c r="I3327" s="26" t="n">
        <x:v>1133</x:v>
      </x:c>
      <x:c r="J3327" s="26" t="n">
        <x:v>0</x:v>
      </x:c>
      <x:c r="K3327" s="35" t="str">
        <x:v>Buckeye Mutual Insurance</x:v>
      </x:c>
    </x:row>
    <x:row r="3328">
      <x:c r="A3328" s="20" t="str">
        <x:v>FIN-01540</x:v>
      </x:c>
      <x:c r="B3328" s="32" t="n">
        <x:v>2</x:v>
      </x:c>
      <x:c r="C3328" s="23" t="n">
        <x:v>46648</x:v>
      </x:c>
      <x:c r="D3328" s="23" t="n">
        <x:v>46648</x:v>
      </x:c>
      <x:c r="E3328" s="20" t="str">
        <x:v>P009</x:v>
      </x:c>
      <x:c r="F3328" s="20" t="str"/>
      <x:c r="G3328" s="20" t="str"/>
      <x:c r="H3328" s="20" t="str">
        <x:v>1000 Operating Cash</x:v>
      </x:c>
      <x:c r="I3328" s="26" t="n">
        <x:v>0</x:v>
      </x:c>
      <x:c r="J3328" s="26" t="n">
        <x:v>1133</x:v>
      </x:c>
      <x:c r="K3328" s="35" t="str">
        <x:v>Buckeye Mutual Insurance</x:v>
      </x:c>
    </x:row>
    <x:row r="3329">
      <x:c r="A3329" s="20" t="str">
        <x:v>FIN-01541</x:v>
      </x:c>
      <x:c r="B3329" s="32" t="n">
        <x:v>1</x:v>
      </x:c>
      <x:c r="C3329" s="23" t="n">
        <x:v>46474</x:v>
      </x:c>
      <x:c r="D3329" s="23" t="n">
        <x:v>46474</x:v>
      </x:c>
      <x:c r="E3329" s="20" t="str">
        <x:v>P009</x:v>
      </x:c>
      <x:c r="F3329" s="20" t="str"/>
      <x:c r="G3329" s="20" t="str"/>
      <x:c r="H3329" s="20" t="str">
        <x:v>5030 Property Taxes</x:v>
      </x:c>
      <x:c r="I3329" s="26" t="n">
        <x:v>634</x:v>
      </x:c>
      <x:c r="J3329" s="26" t="n">
        <x:v>0</x:v>
      </x:c>
      <x:c r="K3329" s="35" t="str">
        <x:v>Franklin County Treasurer</x:v>
      </x:c>
    </x:row>
    <x:row r="3330">
      <x:c r="A3330" s="20" t="str">
        <x:v>FIN-01541</x:v>
      </x:c>
      <x:c r="B3330" s="32" t="n">
        <x:v>2</x:v>
      </x:c>
      <x:c r="C3330" s="23" t="n">
        <x:v>46474</x:v>
      </x:c>
      <x:c r="D3330" s="23" t="n">
        <x:v>46474</x:v>
      </x:c>
      <x:c r="E3330" s="20" t="str">
        <x:v>P009</x:v>
      </x:c>
      <x:c r="F3330" s="20" t="str"/>
      <x:c r="G3330" s="20" t="str"/>
      <x:c r="H3330" s="20" t="str">
        <x:v>1000 Operating Cash</x:v>
      </x:c>
      <x:c r="I3330" s="26" t="n">
        <x:v>0</x:v>
      </x:c>
      <x:c r="J3330" s="26" t="n">
        <x:v>634</x:v>
      </x:c>
      <x:c r="K3330" s="35" t="str">
        <x:v>Franklin County Treasurer</x:v>
      </x:c>
    </x:row>
    <x:row r="3331">
      <x:c r="A3331" s="20" t="str">
        <x:v>FIN-01542</x:v>
      </x:c>
      <x:c r="B3331" s="32" t="n">
        <x:v>1</x:v>
      </x:c>
      <x:c r="C3331" s="23" t="n">
        <x:v>46566</x:v>
      </x:c>
      <x:c r="D3331" s="23" t="n">
        <x:v>46566</x:v>
      </x:c>
      <x:c r="E3331" s="20" t="str">
        <x:v>P009</x:v>
      </x:c>
      <x:c r="F3331" s="20" t="str"/>
      <x:c r="G3331" s="20" t="str"/>
      <x:c r="H3331" s="20" t="str">
        <x:v>5030 Property Taxes</x:v>
      </x:c>
      <x:c r="I3331" s="26" t="n">
        <x:v>641</x:v>
      </x:c>
      <x:c r="J3331" s="26" t="n">
        <x:v>0</x:v>
      </x:c>
      <x:c r="K3331" s="35" t="str">
        <x:v>Franklin County Treasurer</x:v>
      </x:c>
    </x:row>
    <x:row r="3332">
      <x:c r="A3332" s="20" t="str">
        <x:v>FIN-01542</x:v>
      </x:c>
      <x:c r="B3332" s="32" t="n">
        <x:v>2</x:v>
      </x:c>
      <x:c r="C3332" s="23" t="n">
        <x:v>46566</x:v>
      </x:c>
      <x:c r="D3332" s="23" t="n">
        <x:v>46566</x:v>
      </x:c>
      <x:c r="E3332" s="20" t="str">
        <x:v>P009</x:v>
      </x:c>
      <x:c r="F3332" s="20" t="str"/>
      <x:c r="G3332" s="20" t="str"/>
      <x:c r="H3332" s="20" t="str">
        <x:v>1000 Operating Cash</x:v>
      </x:c>
      <x:c r="I3332" s="26" t="n">
        <x:v>0</x:v>
      </x:c>
      <x:c r="J3332" s="26" t="n">
        <x:v>641</x:v>
      </x:c>
      <x:c r="K3332" s="35" t="str">
        <x:v>Franklin County Treasurer</x:v>
      </x:c>
    </x:row>
    <x:row r="3333">
      <x:c r="A3333" s="20" t="str">
        <x:v>FIN-01543</x:v>
      </x:c>
      <x:c r="B3333" s="32" t="n">
        <x:v>1</x:v>
      </x:c>
      <x:c r="C3333" s="23" t="n">
        <x:v>46658</x:v>
      </x:c>
      <x:c r="D3333" s="23" t="n">
        <x:v>46658</x:v>
      </x:c>
      <x:c r="E3333" s="20" t="str">
        <x:v>P009</x:v>
      </x:c>
      <x:c r="F3333" s="20" t="str"/>
      <x:c r="G3333" s="20" t="str"/>
      <x:c r="H3333" s="20" t="str">
        <x:v>5030 Property Taxes</x:v>
      </x:c>
      <x:c r="I3333" s="26" t="n">
        <x:v>648</x:v>
      </x:c>
      <x:c r="J3333" s="26" t="n">
        <x:v>0</x:v>
      </x:c>
      <x:c r="K3333" s="35" t="str">
        <x:v>Franklin County Treasurer</x:v>
      </x:c>
    </x:row>
    <x:row r="3334">
      <x:c r="A3334" s="20" t="str">
        <x:v>FIN-01543</x:v>
      </x:c>
      <x:c r="B3334" s="32" t="n">
        <x:v>2</x:v>
      </x:c>
      <x:c r="C3334" s="23" t="n">
        <x:v>46658</x:v>
      </x:c>
      <x:c r="D3334" s="23" t="n">
        <x:v>46658</x:v>
      </x:c>
      <x:c r="E3334" s="20" t="str">
        <x:v>P009</x:v>
      </x:c>
      <x:c r="F3334" s="20" t="str"/>
      <x:c r="G3334" s="20" t="str"/>
      <x:c r="H3334" s="20" t="str">
        <x:v>1000 Operating Cash</x:v>
      </x:c>
      <x:c r="I3334" s="26" t="n">
        <x:v>0</x:v>
      </x:c>
      <x:c r="J3334" s="26" t="n">
        <x:v>648</x:v>
      </x:c>
      <x:c r="K3334" s="35" t="str">
        <x:v>Franklin County Treasurer</x:v>
      </x:c>
    </x:row>
    <x:row r="3335">
      <x:c r="A3335" s="20" t="str">
        <x:v>FIN-01544</x:v>
      </x:c>
      <x:c r="B3335" s="32" t="n">
        <x:v>1</x:v>
      </x:c>
      <x:c r="C3335" s="23" t="n">
        <x:v>46749</x:v>
      </x:c>
      <x:c r="D3335" s="23" t="n">
        <x:v>46749</x:v>
      </x:c>
      <x:c r="E3335" s="20" t="str">
        <x:v>P009</x:v>
      </x:c>
      <x:c r="F3335" s="20" t="str"/>
      <x:c r="G3335" s="20" t="str"/>
      <x:c r="H3335" s="20" t="str">
        <x:v>5030 Property Taxes</x:v>
      </x:c>
      <x:c r="I3335" s="26" t="n">
        <x:v>655</x:v>
      </x:c>
      <x:c r="J3335" s="26" t="n">
        <x:v>0</x:v>
      </x:c>
      <x:c r="K3335" s="35" t="str">
        <x:v>Franklin County Treasurer</x:v>
      </x:c>
    </x:row>
    <x:row r="3336">
      <x:c r="A3336" s="20" t="str">
        <x:v>FIN-01544</x:v>
      </x:c>
      <x:c r="B3336" s="32" t="n">
        <x:v>2</x:v>
      </x:c>
      <x:c r="C3336" s="23" t="n">
        <x:v>46749</x:v>
      </x:c>
      <x:c r="D3336" s="23" t="n">
        <x:v>46749</x:v>
      </x:c>
      <x:c r="E3336" s="20" t="str">
        <x:v>P009</x:v>
      </x:c>
      <x:c r="F3336" s="20" t="str"/>
      <x:c r="G3336" s="20" t="str"/>
      <x:c r="H3336" s="20" t="str">
        <x:v>1000 Operating Cash</x:v>
      </x:c>
      <x:c r="I3336" s="26" t="n">
        <x:v>0</x:v>
      </x:c>
      <x:c r="J3336" s="26" t="n">
        <x:v>655</x:v>
      </x:c>
      <x:c r="K3336" s="35" t="str">
        <x:v>Franklin County Treasurer</x:v>
      </x:c>
    </x:row>
    <x:row r="3337">
      <x:c r="A3337" s="20" t="str">
        <x:v>FIN-01545</x:v>
      </x:c>
      <x:c r="B3337" s="32" t="n">
        <x:v>1</x:v>
      </x:c>
      <x:c r="C3337" s="23" t="n">
        <x:v>46678</x:v>
      </x:c>
      <x:c r="D3337" s="23" t="n">
        <x:v>46678</x:v>
      </x:c>
      <x:c r="E3337" s="20" t="str">
        <x:v>P010</x:v>
      </x:c>
      <x:c r="F3337" s="20" t="str"/>
      <x:c r="G3337" s="20" t="str"/>
      <x:c r="H3337" s="20" t="str">
        <x:v>5020 Insurance</x:v>
      </x:c>
      <x:c r="I3337" s="26" t="n">
        <x:v>1150</x:v>
      </x:c>
      <x:c r="J3337" s="26" t="n">
        <x:v>0</x:v>
      </x:c>
      <x:c r="K3337" s="35" t="str">
        <x:v>Buckeye Mutual Insurance</x:v>
      </x:c>
    </x:row>
    <x:row r="3338">
      <x:c r="A3338" s="20" t="str">
        <x:v>FIN-01545</x:v>
      </x:c>
      <x:c r="B3338" s="32" t="n">
        <x:v>2</x:v>
      </x:c>
      <x:c r="C3338" s="23" t="n">
        <x:v>46678</x:v>
      </x:c>
      <x:c r="D3338" s="23" t="n">
        <x:v>46678</x:v>
      </x:c>
      <x:c r="E3338" s="20" t="str">
        <x:v>P010</x:v>
      </x:c>
      <x:c r="F3338" s="20" t="str"/>
      <x:c r="G3338" s="20" t="str"/>
      <x:c r="H3338" s="20" t="str">
        <x:v>1000 Operating Cash</x:v>
      </x:c>
      <x:c r="I3338" s="26" t="n">
        <x:v>0</x:v>
      </x:c>
      <x:c r="J3338" s="26" t="n">
        <x:v>1150</x:v>
      </x:c>
      <x:c r="K3338" s="35" t="str">
        <x:v>Buckeye Mutual Insurance</x:v>
      </x:c>
    </x:row>
    <x:row r="3339">
      <x:c r="A3339" s="20" t="str">
        <x:v>FIN-01546</x:v>
      </x:c>
      <x:c r="B3339" s="32" t="n">
        <x:v>1</x:v>
      </x:c>
      <x:c r="C3339" s="23" t="n">
        <x:v>46474</x:v>
      </x:c>
      <x:c r="D3339" s="23" t="n">
        <x:v>46474</x:v>
      </x:c>
      <x:c r="E3339" s="20" t="str">
        <x:v>P010</x:v>
      </x:c>
      <x:c r="F3339" s="20" t="str"/>
      <x:c r="G3339" s="20" t="str"/>
      <x:c r="H3339" s="20" t="str">
        <x:v>5030 Property Taxes</x:v>
      </x:c>
      <x:c r="I3339" s="26" t="n">
        <x:v>647</x:v>
      </x:c>
      <x:c r="J3339" s="26" t="n">
        <x:v>0</x:v>
      </x:c>
      <x:c r="K3339" s="35" t="str">
        <x:v>Franklin County Treasurer</x:v>
      </x:c>
    </x:row>
    <x:row r="3340">
      <x:c r="A3340" s="20" t="str">
        <x:v>FIN-01546</x:v>
      </x:c>
      <x:c r="B3340" s="32" t="n">
        <x:v>2</x:v>
      </x:c>
      <x:c r="C3340" s="23" t="n">
        <x:v>46474</x:v>
      </x:c>
      <x:c r="D3340" s="23" t="n">
        <x:v>46474</x:v>
      </x:c>
      <x:c r="E3340" s="20" t="str">
        <x:v>P010</x:v>
      </x:c>
      <x:c r="F3340" s="20" t="str"/>
      <x:c r="G3340" s="20" t="str"/>
      <x:c r="H3340" s="20" t="str">
        <x:v>1000 Operating Cash</x:v>
      </x:c>
      <x:c r="I3340" s="26" t="n">
        <x:v>0</x:v>
      </x:c>
      <x:c r="J3340" s="26" t="n">
        <x:v>647</x:v>
      </x:c>
      <x:c r="K3340" s="35" t="str">
        <x:v>Franklin County Treasurer</x:v>
      </x:c>
    </x:row>
    <x:row r="3341">
      <x:c r="A3341" s="20" t="str">
        <x:v>FIN-01547</x:v>
      </x:c>
      <x:c r="B3341" s="32" t="n">
        <x:v>1</x:v>
      </x:c>
      <x:c r="C3341" s="23" t="n">
        <x:v>46566</x:v>
      </x:c>
      <x:c r="D3341" s="23" t="n">
        <x:v>46566</x:v>
      </x:c>
      <x:c r="E3341" s="20" t="str">
        <x:v>P010</x:v>
      </x:c>
      <x:c r="F3341" s="20" t="str"/>
      <x:c r="G3341" s="20" t="str"/>
      <x:c r="H3341" s="20" t="str">
        <x:v>5030 Property Taxes</x:v>
      </x:c>
      <x:c r="I3341" s="26" t="n">
        <x:v>654</x:v>
      </x:c>
      <x:c r="J3341" s="26" t="n">
        <x:v>0</x:v>
      </x:c>
      <x:c r="K3341" s="35" t="str">
        <x:v>Franklin County Treasurer</x:v>
      </x:c>
    </x:row>
    <x:row r="3342">
      <x:c r="A3342" s="20" t="str">
        <x:v>FIN-01547</x:v>
      </x:c>
      <x:c r="B3342" s="32" t="n">
        <x:v>2</x:v>
      </x:c>
      <x:c r="C3342" s="23" t="n">
        <x:v>46566</x:v>
      </x:c>
      <x:c r="D3342" s="23" t="n">
        <x:v>46566</x:v>
      </x:c>
      <x:c r="E3342" s="20" t="str">
        <x:v>P010</x:v>
      </x:c>
      <x:c r="F3342" s="20" t="str"/>
      <x:c r="G3342" s="20" t="str"/>
      <x:c r="H3342" s="20" t="str">
        <x:v>1000 Operating Cash</x:v>
      </x:c>
      <x:c r="I3342" s="26" t="n">
        <x:v>0</x:v>
      </x:c>
      <x:c r="J3342" s="26" t="n">
        <x:v>654</x:v>
      </x:c>
      <x:c r="K3342" s="35" t="str">
        <x:v>Franklin County Treasurer</x:v>
      </x:c>
    </x:row>
    <x:row r="3343">
      <x:c r="A3343" s="20" t="str">
        <x:v>FIN-01548</x:v>
      </x:c>
      <x:c r="B3343" s="32" t="n">
        <x:v>1</x:v>
      </x:c>
      <x:c r="C3343" s="23" t="n">
        <x:v>46658</x:v>
      </x:c>
      <x:c r="D3343" s="23" t="n">
        <x:v>46658</x:v>
      </x:c>
      <x:c r="E3343" s="20" t="str">
        <x:v>P010</x:v>
      </x:c>
      <x:c r="F3343" s="20" t="str"/>
      <x:c r="G3343" s="20" t="str"/>
      <x:c r="H3343" s="20" t="str">
        <x:v>5030 Property Taxes</x:v>
      </x:c>
      <x:c r="I3343" s="26" t="n">
        <x:v>661</x:v>
      </x:c>
      <x:c r="J3343" s="26" t="n">
        <x:v>0</x:v>
      </x:c>
      <x:c r="K3343" s="35" t="str">
        <x:v>Franklin County Treasurer</x:v>
      </x:c>
    </x:row>
    <x:row r="3344">
      <x:c r="A3344" s="20" t="str">
        <x:v>FIN-01548</x:v>
      </x:c>
      <x:c r="B3344" s="32" t="n">
        <x:v>2</x:v>
      </x:c>
      <x:c r="C3344" s="23" t="n">
        <x:v>46658</x:v>
      </x:c>
      <x:c r="D3344" s="23" t="n">
        <x:v>46658</x:v>
      </x:c>
      <x:c r="E3344" s="20" t="str">
        <x:v>P010</x:v>
      </x:c>
      <x:c r="F3344" s="20" t="str"/>
      <x:c r="G3344" s="20" t="str"/>
      <x:c r="H3344" s="20" t="str">
        <x:v>1000 Operating Cash</x:v>
      </x:c>
      <x:c r="I3344" s="26" t="n">
        <x:v>0</x:v>
      </x:c>
      <x:c r="J3344" s="26" t="n">
        <x:v>661</x:v>
      </x:c>
      <x:c r="K3344" s="35" t="str">
        <x:v>Franklin County Treasurer</x:v>
      </x:c>
    </x:row>
    <x:row r="3345">
      <x:c r="A3345" s="20" t="str">
        <x:v>FIN-01549</x:v>
      </x:c>
      <x:c r="B3345" s="32" t="n">
        <x:v>1</x:v>
      </x:c>
      <x:c r="C3345" s="23" t="n">
        <x:v>46749</x:v>
      </x:c>
      <x:c r="D3345" s="23" t="n">
        <x:v>46749</x:v>
      </x:c>
      <x:c r="E3345" s="20" t="str">
        <x:v>P010</x:v>
      </x:c>
      <x:c r="F3345" s="20" t="str"/>
      <x:c r="G3345" s="20" t="str"/>
      <x:c r="H3345" s="20" t="str">
        <x:v>5030 Property Taxes</x:v>
      </x:c>
      <x:c r="I3345" s="26" t="n">
        <x:v>668</x:v>
      </x:c>
      <x:c r="J3345" s="26" t="n">
        <x:v>0</x:v>
      </x:c>
      <x:c r="K3345" s="35" t="str">
        <x:v>Franklin County Treasurer</x:v>
      </x:c>
    </x:row>
    <x:row r="3346">
      <x:c r="A3346" s="20" t="str">
        <x:v>FIN-01549</x:v>
      </x:c>
      <x:c r="B3346" s="32" t="n">
        <x:v>2</x:v>
      </x:c>
      <x:c r="C3346" s="23" t="n">
        <x:v>46749</x:v>
      </x:c>
      <x:c r="D3346" s="23" t="n">
        <x:v>46749</x:v>
      </x:c>
      <x:c r="E3346" s="20" t="str">
        <x:v>P010</x:v>
      </x:c>
      <x:c r="F3346" s="20" t="str"/>
      <x:c r="G3346" s="20" t="str"/>
      <x:c r="H3346" s="20" t="str">
        <x:v>1000 Operating Cash</x:v>
      </x:c>
      <x:c r="I3346" s="26" t="n">
        <x:v>0</x:v>
      </x:c>
      <x:c r="J3346" s="26" t="n">
        <x:v>668</x:v>
      </x:c>
      <x:c r="K3346" s="35" t="str">
        <x:v>Franklin County Treasurer</x:v>
      </x:c>
    </x:row>
    <x:row r="3347">
      <x:c r="A3347" s="20" t="str">
        <x:v>FIN-01550</x:v>
      </x:c>
      <x:c r="B3347" s="32" t="n">
        <x:v>1</x:v>
      </x:c>
      <x:c r="C3347" s="23" t="n">
        <x:v>46709</x:v>
      </x:c>
      <x:c r="D3347" s="23" t="n">
        <x:v>46709</x:v>
      </x:c>
      <x:c r="E3347" s="20" t="str">
        <x:v>P011</x:v>
      </x:c>
      <x:c r="F3347" s="20" t="str"/>
      <x:c r="G3347" s="20" t="str"/>
      <x:c r="H3347" s="20" t="str">
        <x:v>5020 Insurance</x:v>
      </x:c>
      <x:c r="I3347" s="26" t="n">
        <x:v>1167</x:v>
      </x:c>
      <x:c r="J3347" s="26" t="n">
        <x:v>0</x:v>
      </x:c>
      <x:c r="K3347" s="35" t="str">
        <x:v>Buckeye Mutual Insurance</x:v>
      </x:c>
    </x:row>
    <x:row r="3348">
      <x:c r="A3348" s="20" t="str">
        <x:v>FIN-01550</x:v>
      </x:c>
      <x:c r="B3348" s="32" t="n">
        <x:v>2</x:v>
      </x:c>
      <x:c r="C3348" s="23" t="n">
        <x:v>46709</x:v>
      </x:c>
      <x:c r="D3348" s="23" t="n">
        <x:v>46709</x:v>
      </x:c>
      <x:c r="E3348" s="20" t="str">
        <x:v>P011</x:v>
      </x:c>
      <x:c r="F3348" s="20" t="str"/>
      <x:c r="G3348" s="20" t="str"/>
      <x:c r="H3348" s="20" t="str">
        <x:v>1000 Operating Cash</x:v>
      </x:c>
      <x:c r="I3348" s="26" t="n">
        <x:v>0</x:v>
      </x:c>
      <x:c r="J3348" s="26" t="n">
        <x:v>1167</x:v>
      </x:c>
      <x:c r="K3348" s="35" t="str">
        <x:v>Buckeye Mutual Insurance</x:v>
      </x:c>
    </x:row>
    <x:row r="3349">
      <x:c r="A3349" s="20" t="str">
        <x:v>FIN-01551</x:v>
      </x:c>
      <x:c r="B3349" s="32" t="n">
        <x:v>1</x:v>
      </x:c>
      <x:c r="C3349" s="23" t="n">
        <x:v>46474</x:v>
      </x:c>
      <x:c r="D3349" s="23" t="n">
        <x:v>46474</x:v>
      </x:c>
      <x:c r="E3349" s="20" t="str">
        <x:v>P011</x:v>
      </x:c>
      <x:c r="F3349" s="20" t="str"/>
      <x:c r="G3349" s="20" t="str"/>
      <x:c r="H3349" s="20" t="str">
        <x:v>5030 Property Taxes</x:v>
      </x:c>
      <x:c r="I3349" s="26" t="n">
        <x:v>660</x:v>
      </x:c>
      <x:c r="J3349" s="26" t="n">
        <x:v>0</x:v>
      </x:c>
      <x:c r="K3349" s="35" t="str">
        <x:v>Franklin County Treasurer</x:v>
      </x:c>
    </x:row>
    <x:row r="3350">
      <x:c r="A3350" s="20" t="str">
        <x:v>FIN-01551</x:v>
      </x:c>
      <x:c r="B3350" s="32" t="n">
        <x:v>2</x:v>
      </x:c>
      <x:c r="C3350" s="23" t="n">
        <x:v>46474</x:v>
      </x:c>
      <x:c r="D3350" s="23" t="n">
        <x:v>46474</x:v>
      </x:c>
      <x:c r="E3350" s="20" t="str">
        <x:v>P011</x:v>
      </x:c>
      <x:c r="F3350" s="20" t="str"/>
      <x:c r="G3350" s="20" t="str"/>
      <x:c r="H3350" s="20" t="str">
        <x:v>1000 Operating Cash</x:v>
      </x:c>
      <x:c r="I3350" s="26" t="n">
        <x:v>0</x:v>
      </x:c>
      <x:c r="J3350" s="26" t="n">
        <x:v>660</x:v>
      </x:c>
      <x:c r="K3350" s="35" t="str">
        <x:v>Franklin County Treasurer</x:v>
      </x:c>
    </x:row>
    <x:row r="3351">
      <x:c r="A3351" s="20" t="str">
        <x:v>FIN-01552</x:v>
      </x:c>
      <x:c r="B3351" s="32" t="n">
        <x:v>1</x:v>
      </x:c>
      <x:c r="C3351" s="23" t="n">
        <x:v>46566</x:v>
      </x:c>
      <x:c r="D3351" s="23" t="n">
        <x:v>46566</x:v>
      </x:c>
      <x:c r="E3351" s="20" t="str">
        <x:v>P011</x:v>
      </x:c>
      <x:c r="F3351" s="20" t="str"/>
      <x:c r="G3351" s="20" t="str"/>
      <x:c r="H3351" s="20" t="str">
        <x:v>5030 Property Taxes</x:v>
      </x:c>
      <x:c r="I3351" s="26" t="n">
        <x:v>667</x:v>
      </x:c>
      <x:c r="J3351" s="26" t="n">
        <x:v>0</x:v>
      </x:c>
      <x:c r="K3351" s="35" t="str">
        <x:v>Franklin County Treasurer</x:v>
      </x:c>
    </x:row>
    <x:row r="3352">
      <x:c r="A3352" s="20" t="str">
        <x:v>FIN-01552</x:v>
      </x:c>
      <x:c r="B3352" s="32" t="n">
        <x:v>2</x:v>
      </x:c>
      <x:c r="C3352" s="23" t="n">
        <x:v>46566</x:v>
      </x:c>
      <x:c r="D3352" s="23" t="n">
        <x:v>46566</x:v>
      </x:c>
      <x:c r="E3352" s="20" t="str">
        <x:v>P011</x:v>
      </x:c>
      <x:c r="F3352" s="20" t="str"/>
      <x:c r="G3352" s="20" t="str"/>
      <x:c r="H3352" s="20" t="str">
        <x:v>1000 Operating Cash</x:v>
      </x:c>
      <x:c r="I3352" s="26" t="n">
        <x:v>0</x:v>
      </x:c>
      <x:c r="J3352" s="26" t="n">
        <x:v>667</x:v>
      </x:c>
      <x:c r="K3352" s="35" t="str">
        <x:v>Franklin County Treasurer</x:v>
      </x:c>
    </x:row>
    <x:row r="3353">
      <x:c r="A3353" s="20" t="str">
        <x:v>FIN-01553</x:v>
      </x:c>
      <x:c r="B3353" s="32" t="n">
        <x:v>1</x:v>
      </x:c>
      <x:c r="C3353" s="23" t="n">
        <x:v>46658</x:v>
      </x:c>
      <x:c r="D3353" s="23" t="n">
        <x:v>46658</x:v>
      </x:c>
      <x:c r="E3353" s="20" t="str">
        <x:v>P011</x:v>
      </x:c>
      <x:c r="F3353" s="20" t="str"/>
      <x:c r="G3353" s="20" t="str"/>
      <x:c r="H3353" s="20" t="str">
        <x:v>5030 Property Taxes</x:v>
      </x:c>
      <x:c r="I3353" s="26" t="n">
        <x:v>674</x:v>
      </x:c>
      <x:c r="J3353" s="26" t="n">
        <x:v>0</x:v>
      </x:c>
      <x:c r="K3353" s="35" t="str">
        <x:v>Franklin County Treasurer</x:v>
      </x:c>
    </x:row>
    <x:row r="3354">
      <x:c r="A3354" s="20" t="str">
        <x:v>FIN-01553</x:v>
      </x:c>
      <x:c r="B3354" s="32" t="n">
        <x:v>2</x:v>
      </x:c>
      <x:c r="C3354" s="23" t="n">
        <x:v>46658</x:v>
      </x:c>
      <x:c r="D3354" s="23" t="n">
        <x:v>46658</x:v>
      </x:c>
      <x:c r="E3354" s="20" t="str">
        <x:v>P011</x:v>
      </x:c>
      <x:c r="F3354" s="20" t="str"/>
      <x:c r="G3354" s="20" t="str"/>
      <x:c r="H3354" s="20" t="str">
        <x:v>1000 Operating Cash</x:v>
      </x:c>
      <x:c r="I3354" s="26" t="n">
        <x:v>0</x:v>
      </x:c>
      <x:c r="J3354" s="26" t="n">
        <x:v>674</x:v>
      </x:c>
      <x:c r="K3354" s="35" t="str">
        <x:v>Franklin County Treasurer</x:v>
      </x:c>
    </x:row>
    <x:row r="3355">
      <x:c r="A3355" s="20" t="str">
        <x:v>FIN-01554</x:v>
      </x:c>
      <x:c r="B3355" s="32" t="n">
        <x:v>1</x:v>
      </x:c>
      <x:c r="C3355" s="23" t="n">
        <x:v>46749</x:v>
      </x:c>
      <x:c r="D3355" s="23" t="n">
        <x:v>46749</x:v>
      </x:c>
      <x:c r="E3355" s="20" t="str">
        <x:v>P011</x:v>
      </x:c>
      <x:c r="F3355" s="20" t="str"/>
      <x:c r="G3355" s="20" t="str"/>
      <x:c r="H3355" s="20" t="str">
        <x:v>5030 Property Taxes</x:v>
      </x:c>
      <x:c r="I3355" s="26" t="n">
        <x:v>681</x:v>
      </x:c>
      <x:c r="J3355" s="26" t="n">
        <x:v>0</x:v>
      </x:c>
      <x:c r="K3355" s="35" t="str">
        <x:v>Franklin County Treasurer</x:v>
      </x:c>
    </x:row>
    <x:row r="3356">
      <x:c r="A3356" s="20" t="str">
        <x:v>FIN-01554</x:v>
      </x:c>
      <x:c r="B3356" s="32" t="n">
        <x:v>2</x:v>
      </x:c>
      <x:c r="C3356" s="23" t="n">
        <x:v>46749</x:v>
      </x:c>
      <x:c r="D3356" s="23" t="n">
        <x:v>46749</x:v>
      </x:c>
      <x:c r="E3356" s="20" t="str">
        <x:v>P011</x:v>
      </x:c>
      <x:c r="F3356" s="20" t="str"/>
      <x:c r="G3356" s="20" t="str"/>
      <x:c r="H3356" s="20" t="str">
        <x:v>1000 Operating Cash</x:v>
      </x:c>
      <x:c r="I3356" s="26" t="n">
        <x:v>0</x:v>
      </x:c>
      <x:c r="J3356" s="26" t="n">
        <x:v>681</x:v>
      </x:c>
      <x:c r="K3356" s="35" t="str">
        <x:v>Franklin County Treasurer</x:v>
      </x:c>
    </x:row>
    <x:row r="3357">
      <x:c r="A3357" s="20" t="str">
        <x:v>FIN-01555</x:v>
      </x:c>
      <x:c r="B3357" s="32" t="n">
        <x:v>1</x:v>
      </x:c>
      <x:c r="C3357" s="23" t="n">
        <x:v>46739</x:v>
      </x:c>
      <x:c r="D3357" s="23" t="n">
        <x:v>46739</x:v>
      </x:c>
      <x:c r="E3357" s="20" t="str">
        <x:v>P012</x:v>
      </x:c>
      <x:c r="F3357" s="20" t="str"/>
      <x:c r="G3357" s="20" t="str"/>
      <x:c r="H3357" s="20" t="str">
        <x:v>5020 Insurance</x:v>
      </x:c>
      <x:c r="I3357" s="26" t="n">
        <x:v>1184</x:v>
      </x:c>
      <x:c r="J3357" s="26" t="n">
        <x:v>0</x:v>
      </x:c>
      <x:c r="K3357" s="35" t="str">
        <x:v>Buckeye Mutual Insurance</x:v>
      </x:c>
    </x:row>
    <x:row r="3358">
      <x:c r="A3358" s="20" t="str">
        <x:v>FIN-01555</x:v>
      </x:c>
      <x:c r="B3358" s="32" t="n">
        <x:v>2</x:v>
      </x:c>
      <x:c r="C3358" s="23" t="n">
        <x:v>46739</x:v>
      </x:c>
      <x:c r="D3358" s="23" t="n">
        <x:v>46739</x:v>
      </x:c>
      <x:c r="E3358" s="20" t="str">
        <x:v>P012</x:v>
      </x:c>
      <x:c r="F3358" s="20" t="str"/>
      <x:c r="G3358" s="20" t="str"/>
      <x:c r="H3358" s="20" t="str">
        <x:v>1000 Operating Cash</x:v>
      </x:c>
      <x:c r="I3358" s="26" t="n">
        <x:v>0</x:v>
      </x:c>
      <x:c r="J3358" s="26" t="n">
        <x:v>1184</x:v>
      </x:c>
      <x:c r="K3358" s="35" t="str">
        <x:v>Buckeye Mutual Insurance</x:v>
      </x:c>
    </x:row>
    <x:row r="3359">
      <x:c r="A3359" s="20" t="str">
        <x:v>FIN-01556</x:v>
      </x:c>
      <x:c r="B3359" s="32" t="n">
        <x:v>1</x:v>
      </x:c>
      <x:c r="C3359" s="23" t="n">
        <x:v>46474</x:v>
      </x:c>
      <x:c r="D3359" s="23" t="n">
        <x:v>46474</x:v>
      </x:c>
      <x:c r="E3359" s="20" t="str">
        <x:v>P012</x:v>
      </x:c>
      <x:c r="F3359" s="20" t="str"/>
      <x:c r="G3359" s="20" t="str"/>
      <x:c r="H3359" s="20" t="str">
        <x:v>5030 Property Taxes</x:v>
      </x:c>
      <x:c r="I3359" s="26" t="n">
        <x:v>673</x:v>
      </x:c>
      <x:c r="J3359" s="26" t="n">
        <x:v>0</x:v>
      </x:c>
      <x:c r="K3359" s="35" t="str">
        <x:v>Franklin County Treasurer</x:v>
      </x:c>
    </x:row>
    <x:row r="3360">
      <x:c r="A3360" s="20" t="str">
        <x:v>FIN-01556</x:v>
      </x:c>
      <x:c r="B3360" s="32" t="n">
        <x:v>2</x:v>
      </x:c>
      <x:c r="C3360" s="23" t="n">
        <x:v>46474</x:v>
      </x:c>
      <x:c r="D3360" s="23" t="n">
        <x:v>46474</x:v>
      </x:c>
      <x:c r="E3360" s="20" t="str">
        <x:v>P012</x:v>
      </x:c>
      <x:c r="F3360" s="20" t="str"/>
      <x:c r="G3360" s="20" t="str"/>
      <x:c r="H3360" s="20" t="str">
        <x:v>1000 Operating Cash</x:v>
      </x:c>
      <x:c r="I3360" s="26" t="n">
        <x:v>0</x:v>
      </x:c>
      <x:c r="J3360" s="26" t="n">
        <x:v>673</x:v>
      </x:c>
      <x:c r="K3360" s="35" t="str">
        <x:v>Franklin County Treasurer</x:v>
      </x:c>
    </x:row>
    <x:row r="3361">
      <x:c r="A3361" s="20" t="str">
        <x:v>FIN-01557</x:v>
      </x:c>
      <x:c r="B3361" s="32" t="n">
        <x:v>1</x:v>
      </x:c>
      <x:c r="C3361" s="23" t="n">
        <x:v>46566</x:v>
      </x:c>
      <x:c r="D3361" s="23" t="n">
        <x:v>46566</x:v>
      </x:c>
      <x:c r="E3361" s="20" t="str">
        <x:v>P012</x:v>
      </x:c>
      <x:c r="F3361" s="20" t="str"/>
      <x:c r="G3361" s="20" t="str"/>
      <x:c r="H3361" s="20" t="str">
        <x:v>5030 Property Taxes</x:v>
      </x:c>
      <x:c r="I3361" s="26" t="n">
        <x:v>680</x:v>
      </x:c>
      <x:c r="J3361" s="26" t="n">
        <x:v>0</x:v>
      </x:c>
      <x:c r="K3361" s="35" t="str">
        <x:v>Franklin County Treasurer</x:v>
      </x:c>
    </x:row>
    <x:row r="3362">
      <x:c r="A3362" s="20" t="str">
        <x:v>FIN-01557</x:v>
      </x:c>
      <x:c r="B3362" s="32" t="n">
        <x:v>2</x:v>
      </x:c>
      <x:c r="C3362" s="23" t="n">
        <x:v>46566</x:v>
      </x:c>
      <x:c r="D3362" s="23" t="n">
        <x:v>46566</x:v>
      </x:c>
      <x:c r="E3362" s="20" t="str">
        <x:v>P012</x:v>
      </x:c>
      <x:c r="F3362" s="20" t="str"/>
      <x:c r="G3362" s="20" t="str"/>
      <x:c r="H3362" s="20" t="str">
        <x:v>1000 Operating Cash</x:v>
      </x:c>
      <x:c r="I3362" s="26" t="n">
        <x:v>0</x:v>
      </x:c>
      <x:c r="J3362" s="26" t="n">
        <x:v>680</x:v>
      </x:c>
      <x:c r="K3362" s="35" t="str">
        <x:v>Franklin County Treasurer</x:v>
      </x:c>
    </x:row>
    <x:row r="3363">
      <x:c r="A3363" s="20" t="str">
        <x:v>FIN-01558</x:v>
      </x:c>
      <x:c r="B3363" s="32" t="n">
        <x:v>1</x:v>
      </x:c>
      <x:c r="C3363" s="23" t="n">
        <x:v>46658</x:v>
      </x:c>
      <x:c r="D3363" s="23" t="n">
        <x:v>46658</x:v>
      </x:c>
      <x:c r="E3363" s="20" t="str">
        <x:v>P012</x:v>
      </x:c>
      <x:c r="F3363" s="20" t="str"/>
      <x:c r="G3363" s="20" t="str"/>
      <x:c r="H3363" s="20" t="str">
        <x:v>5030 Property Taxes</x:v>
      </x:c>
      <x:c r="I3363" s="26" t="n">
        <x:v>687</x:v>
      </x:c>
      <x:c r="J3363" s="26" t="n">
        <x:v>0</x:v>
      </x:c>
      <x:c r="K3363" s="35" t="str">
        <x:v>Franklin County Treasurer</x:v>
      </x:c>
    </x:row>
    <x:row r="3364">
      <x:c r="A3364" s="20" t="str">
        <x:v>FIN-01558</x:v>
      </x:c>
      <x:c r="B3364" s="32" t="n">
        <x:v>2</x:v>
      </x:c>
      <x:c r="C3364" s="23" t="n">
        <x:v>46658</x:v>
      </x:c>
      <x:c r="D3364" s="23" t="n">
        <x:v>46658</x:v>
      </x:c>
      <x:c r="E3364" s="20" t="str">
        <x:v>P012</x:v>
      </x:c>
      <x:c r="F3364" s="20" t="str"/>
      <x:c r="G3364" s="20" t="str"/>
      <x:c r="H3364" s="20" t="str">
        <x:v>1000 Operating Cash</x:v>
      </x:c>
      <x:c r="I3364" s="26" t="n">
        <x:v>0</x:v>
      </x:c>
      <x:c r="J3364" s="26" t="n">
        <x:v>687</x:v>
      </x:c>
      <x:c r="K3364" s="35" t="str">
        <x:v>Franklin County Treasurer</x:v>
      </x:c>
    </x:row>
    <x:row r="3365">
      <x:c r="A3365" s="20" t="str">
        <x:v>FIN-01559</x:v>
      </x:c>
      <x:c r="B3365" s="32" t="n">
        <x:v>1</x:v>
      </x:c>
      <x:c r="C3365" s="23" t="n">
        <x:v>46749</x:v>
      </x:c>
      <x:c r="D3365" s="23" t="n">
        <x:v>46749</x:v>
      </x:c>
      <x:c r="E3365" s="20" t="str">
        <x:v>P012</x:v>
      </x:c>
      <x:c r="F3365" s="20" t="str"/>
      <x:c r="G3365" s="20" t="str"/>
      <x:c r="H3365" s="20" t="str">
        <x:v>5030 Property Taxes</x:v>
      </x:c>
      <x:c r="I3365" s="26" t="n">
        <x:v>694</x:v>
      </x:c>
      <x:c r="J3365" s="26" t="n">
        <x:v>0</x:v>
      </x:c>
      <x:c r="K3365" s="35" t="str">
        <x:v>Franklin County Treasurer</x:v>
      </x:c>
    </x:row>
    <x:row r="3366">
      <x:c r="A3366" s="20" t="str">
        <x:v>FIN-01559</x:v>
      </x:c>
      <x:c r="B3366" s="32" t="n">
        <x:v>2</x:v>
      </x:c>
      <x:c r="C3366" s="23" t="n">
        <x:v>46749</x:v>
      </x:c>
      <x:c r="D3366" s="23" t="n">
        <x:v>46749</x:v>
      </x:c>
      <x:c r="E3366" s="20" t="str">
        <x:v>P012</x:v>
      </x:c>
      <x:c r="F3366" s="20" t="str"/>
      <x:c r="G3366" s="20" t="str"/>
      <x:c r="H3366" s="20" t="str">
        <x:v>1000 Operating Cash</x:v>
      </x:c>
      <x:c r="I3366" s="26" t="n">
        <x:v>0</x:v>
      </x:c>
      <x:c r="J3366" s="26" t="n">
        <x:v>694</x:v>
      </x:c>
      <x:c r="K3366" s="35" t="str">
        <x:v>Franklin County Treasurer</x:v>
      </x:c>
    </x:row>
    <x:row r="3367">
      <x:c r="A3367" s="20" t="str">
        <x:v>FIN-01560</x:v>
      </x:c>
      <x:c r="B3367" s="32" t="n">
        <x:v>1</x:v>
      </x:c>
      <x:c r="C3367" s="23" t="n">
        <x:v>46405</x:v>
      </x:c>
      <x:c r="D3367" s="23" t="n">
        <x:v>46405</x:v>
      </x:c>
      <x:c r="E3367" s="20" t="str">
        <x:v>P013</x:v>
      </x:c>
      <x:c r="F3367" s="20" t="str"/>
      <x:c r="G3367" s="20" t="str"/>
      <x:c r="H3367" s="20" t="str">
        <x:v>5020 Insurance</x:v>
      </x:c>
      <x:c r="I3367" s="26" t="n">
        <x:v>1201</x:v>
      </x:c>
      <x:c r="J3367" s="26" t="n">
        <x:v>0</x:v>
      </x:c>
      <x:c r="K3367" s="35" t="str">
        <x:v>Buckeye Mutual Insurance</x:v>
      </x:c>
    </x:row>
    <x:row r="3368">
      <x:c r="A3368" s="20" t="str">
        <x:v>FIN-01560</x:v>
      </x:c>
      <x:c r="B3368" s="32" t="n">
        <x:v>2</x:v>
      </x:c>
      <x:c r="C3368" s="23" t="n">
        <x:v>46405</x:v>
      </x:c>
      <x:c r="D3368" s="23" t="n">
        <x:v>46405</x:v>
      </x:c>
      <x:c r="E3368" s="20" t="str">
        <x:v>P013</x:v>
      </x:c>
      <x:c r="F3368" s="20" t="str"/>
      <x:c r="G3368" s="20" t="str"/>
      <x:c r="H3368" s="20" t="str">
        <x:v>1000 Operating Cash</x:v>
      </x:c>
      <x:c r="I3368" s="26" t="n">
        <x:v>0</x:v>
      </x:c>
      <x:c r="J3368" s="26" t="n">
        <x:v>1201</x:v>
      </x:c>
      <x:c r="K3368" s="35" t="str">
        <x:v>Buckeye Mutual Insurance</x:v>
      </x:c>
    </x:row>
    <x:row r="3369">
      <x:c r="A3369" s="20" t="str">
        <x:v>FIN-01561</x:v>
      </x:c>
      <x:c r="B3369" s="32" t="n">
        <x:v>1</x:v>
      </x:c>
      <x:c r="C3369" s="23" t="n">
        <x:v>46474</x:v>
      </x:c>
      <x:c r="D3369" s="23" t="n">
        <x:v>46474</x:v>
      </x:c>
      <x:c r="E3369" s="20" t="str">
        <x:v>P013</x:v>
      </x:c>
      <x:c r="F3369" s="20" t="str"/>
      <x:c r="G3369" s="20" t="str"/>
      <x:c r="H3369" s="20" t="str">
        <x:v>5030 Property Taxes</x:v>
      </x:c>
      <x:c r="I3369" s="26" t="n">
        <x:v>686</x:v>
      </x:c>
      <x:c r="J3369" s="26" t="n">
        <x:v>0</x:v>
      </x:c>
      <x:c r="K3369" s="35" t="str">
        <x:v>Franklin County Treasurer</x:v>
      </x:c>
    </x:row>
    <x:row r="3370">
      <x:c r="A3370" s="20" t="str">
        <x:v>FIN-01561</x:v>
      </x:c>
      <x:c r="B3370" s="32" t="n">
        <x:v>2</x:v>
      </x:c>
      <x:c r="C3370" s="23" t="n">
        <x:v>46474</x:v>
      </x:c>
      <x:c r="D3370" s="23" t="n">
        <x:v>46474</x:v>
      </x:c>
      <x:c r="E3370" s="20" t="str">
        <x:v>P013</x:v>
      </x:c>
      <x:c r="F3370" s="20" t="str"/>
      <x:c r="G3370" s="20" t="str"/>
      <x:c r="H3370" s="20" t="str">
        <x:v>1000 Operating Cash</x:v>
      </x:c>
      <x:c r="I3370" s="26" t="n">
        <x:v>0</x:v>
      </x:c>
      <x:c r="J3370" s="26" t="n">
        <x:v>686</x:v>
      </x:c>
      <x:c r="K3370" s="35" t="str">
        <x:v>Franklin County Treasurer</x:v>
      </x:c>
    </x:row>
    <x:row r="3371">
      <x:c r="A3371" s="20" t="str">
        <x:v>FIN-01562</x:v>
      </x:c>
      <x:c r="B3371" s="32" t="n">
        <x:v>1</x:v>
      </x:c>
      <x:c r="C3371" s="23" t="n">
        <x:v>46566</x:v>
      </x:c>
      <x:c r="D3371" s="23" t="n">
        <x:v>46566</x:v>
      </x:c>
      <x:c r="E3371" s="20" t="str">
        <x:v>P013</x:v>
      </x:c>
      <x:c r="F3371" s="20" t="str"/>
      <x:c r="G3371" s="20" t="str"/>
      <x:c r="H3371" s="20" t="str">
        <x:v>5030 Property Taxes</x:v>
      </x:c>
      <x:c r="I3371" s="26" t="n">
        <x:v>693</x:v>
      </x:c>
      <x:c r="J3371" s="26" t="n">
        <x:v>0</x:v>
      </x:c>
      <x:c r="K3371" s="35" t="str">
        <x:v>Franklin County Treasurer</x:v>
      </x:c>
    </x:row>
    <x:row r="3372">
      <x:c r="A3372" s="20" t="str">
        <x:v>FIN-01562</x:v>
      </x:c>
      <x:c r="B3372" s="32" t="n">
        <x:v>2</x:v>
      </x:c>
      <x:c r="C3372" s="23" t="n">
        <x:v>46566</x:v>
      </x:c>
      <x:c r="D3372" s="23" t="n">
        <x:v>46566</x:v>
      </x:c>
      <x:c r="E3372" s="20" t="str">
        <x:v>P013</x:v>
      </x:c>
      <x:c r="F3372" s="20" t="str"/>
      <x:c r="G3372" s="20" t="str"/>
      <x:c r="H3372" s="20" t="str">
        <x:v>1000 Operating Cash</x:v>
      </x:c>
      <x:c r="I3372" s="26" t="n">
        <x:v>0</x:v>
      </x:c>
      <x:c r="J3372" s="26" t="n">
        <x:v>693</x:v>
      </x:c>
      <x:c r="K3372" s="35" t="str">
        <x:v>Franklin County Treasurer</x:v>
      </x:c>
    </x:row>
    <x:row r="3373">
      <x:c r="A3373" s="20" t="str">
        <x:v>FIN-01563</x:v>
      </x:c>
      <x:c r="B3373" s="32" t="n">
        <x:v>1</x:v>
      </x:c>
      <x:c r="C3373" s="23" t="n">
        <x:v>46658</x:v>
      </x:c>
      <x:c r="D3373" s="23" t="n">
        <x:v>46658</x:v>
      </x:c>
      <x:c r="E3373" s="20" t="str">
        <x:v>P013</x:v>
      </x:c>
      <x:c r="F3373" s="20" t="str"/>
      <x:c r="G3373" s="20" t="str"/>
      <x:c r="H3373" s="20" t="str">
        <x:v>5030 Property Taxes</x:v>
      </x:c>
      <x:c r="I3373" s="26" t="n">
        <x:v>700</x:v>
      </x:c>
      <x:c r="J3373" s="26" t="n">
        <x:v>0</x:v>
      </x:c>
      <x:c r="K3373" s="35" t="str">
        <x:v>Franklin County Treasurer</x:v>
      </x:c>
    </x:row>
    <x:row r="3374">
      <x:c r="A3374" s="20" t="str">
        <x:v>FIN-01563</x:v>
      </x:c>
      <x:c r="B3374" s="32" t="n">
        <x:v>2</x:v>
      </x:c>
      <x:c r="C3374" s="23" t="n">
        <x:v>46658</x:v>
      </x:c>
      <x:c r="D3374" s="23" t="n">
        <x:v>46658</x:v>
      </x:c>
      <x:c r="E3374" s="20" t="str">
        <x:v>P013</x:v>
      </x:c>
      <x:c r="F3374" s="20" t="str"/>
      <x:c r="G3374" s="20" t="str"/>
      <x:c r="H3374" s="20" t="str">
        <x:v>1000 Operating Cash</x:v>
      </x:c>
      <x:c r="I3374" s="26" t="n">
        <x:v>0</x:v>
      </x:c>
      <x:c r="J3374" s="26" t="n">
        <x:v>700</x:v>
      </x:c>
      <x:c r="K3374" s="35" t="str">
        <x:v>Franklin County Treasurer</x:v>
      </x:c>
    </x:row>
    <x:row r="3375">
      <x:c r="A3375" s="20" t="str">
        <x:v>FIN-01564</x:v>
      </x:c>
      <x:c r="B3375" s="32" t="n">
        <x:v>1</x:v>
      </x:c>
      <x:c r="C3375" s="23" t="n">
        <x:v>46749</x:v>
      </x:c>
      <x:c r="D3375" s="23" t="n">
        <x:v>46749</x:v>
      </x:c>
      <x:c r="E3375" s="20" t="str">
        <x:v>P013</x:v>
      </x:c>
      <x:c r="F3375" s="20" t="str"/>
      <x:c r="G3375" s="20" t="str"/>
      <x:c r="H3375" s="20" t="str">
        <x:v>5030 Property Taxes</x:v>
      </x:c>
      <x:c r="I3375" s="26" t="n">
        <x:v>707</x:v>
      </x:c>
      <x:c r="J3375" s="26" t="n">
        <x:v>0</x:v>
      </x:c>
      <x:c r="K3375" s="35" t="str">
        <x:v>Franklin County Treasurer</x:v>
      </x:c>
    </x:row>
    <x:row r="3376">
      <x:c r="A3376" s="20" t="str">
        <x:v>FIN-01564</x:v>
      </x:c>
      <x:c r="B3376" s="32" t="n">
        <x:v>2</x:v>
      </x:c>
      <x:c r="C3376" s="23" t="n">
        <x:v>46749</x:v>
      </x:c>
      <x:c r="D3376" s="23" t="n">
        <x:v>46749</x:v>
      </x:c>
      <x:c r="E3376" s="20" t="str">
        <x:v>P013</x:v>
      </x:c>
      <x:c r="F3376" s="20" t="str"/>
      <x:c r="G3376" s="20" t="str"/>
      <x:c r="H3376" s="20" t="str">
        <x:v>1000 Operating Cash</x:v>
      </x:c>
      <x:c r="I3376" s="26" t="n">
        <x:v>0</x:v>
      </x:c>
      <x:c r="J3376" s="26" t="n">
        <x:v>707</x:v>
      </x:c>
      <x:c r="K3376" s="35" t="str">
        <x:v>Franklin County Treasurer</x:v>
      </x:c>
    </x:row>
    <x:row r="3377">
      <x:c r="A3377" s="20" t="str">
        <x:v>FIN-01565</x:v>
      </x:c>
      <x:c r="B3377" s="32" t="n">
        <x:v>1</x:v>
      </x:c>
      <x:c r="C3377" s="23" t="n">
        <x:v>46436</x:v>
      </x:c>
      <x:c r="D3377" s="23" t="n">
        <x:v>46436</x:v>
      </x:c>
      <x:c r="E3377" s="20" t="str">
        <x:v>P014</x:v>
      </x:c>
      <x:c r="F3377" s="20" t="str"/>
      <x:c r="G3377" s="20" t="str"/>
      <x:c r="H3377" s="20" t="str">
        <x:v>5020 Insurance</x:v>
      </x:c>
      <x:c r="I3377" s="26" t="n">
        <x:v>1218</x:v>
      </x:c>
      <x:c r="J3377" s="26" t="n">
        <x:v>0</x:v>
      </x:c>
      <x:c r="K3377" s="35" t="str">
        <x:v>Buckeye Mutual Insurance</x:v>
      </x:c>
    </x:row>
    <x:row r="3378">
      <x:c r="A3378" s="20" t="str">
        <x:v>FIN-01565</x:v>
      </x:c>
      <x:c r="B3378" s="32" t="n">
        <x:v>2</x:v>
      </x:c>
      <x:c r="C3378" s="23" t="n">
        <x:v>46436</x:v>
      </x:c>
      <x:c r="D3378" s="23" t="n">
        <x:v>46436</x:v>
      </x:c>
      <x:c r="E3378" s="20" t="str">
        <x:v>P014</x:v>
      </x:c>
      <x:c r="F3378" s="20" t="str"/>
      <x:c r="G3378" s="20" t="str"/>
      <x:c r="H3378" s="20" t="str">
        <x:v>1000 Operating Cash</x:v>
      </x:c>
      <x:c r="I3378" s="26" t="n">
        <x:v>0</x:v>
      </x:c>
      <x:c r="J3378" s="26" t="n">
        <x:v>1218</x:v>
      </x:c>
      <x:c r="K3378" s="35" t="str">
        <x:v>Buckeye Mutual Insurance</x:v>
      </x:c>
    </x:row>
    <x:row r="3379">
      <x:c r="A3379" s="20" t="str">
        <x:v>FIN-01566</x:v>
      </x:c>
      <x:c r="B3379" s="32" t="n">
        <x:v>1</x:v>
      </x:c>
      <x:c r="C3379" s="23" t="n">
        <x:v>46474</x:v>
      </x:c>
      <x:c r="D3379" s="23" t="n">
        <x:v>46474</x:v>
      </x:c>
      <x:c r="E3379" s="20" t="str">
        <x:v>P014</x:v>
      </x:c>
      <x:c r="F3379" s="20" t="str"/>
      <x:c r="G3379" s="20" t="str"/>
      <x:c r="H3379" s="20" t="str">
        <x:v>5030 Property Taxes</x:v>
      </x:c>
      <x:c r="I3379" s="26" t="n">
        <x:v>699</x:v>
      </x:c>
      <x:c r="J3379" s="26" t="n">
        <x:v>0</x:v>
      </x:c>
      <x:c r="K3379" s="35" t="str">
        <x:v>Franklin County Treasurer</x:v>
      </x:c>
    </x:row>
    <x:row r="3380">
      <x:c r="A3380" s="20" t="str">
        <x:v>FIN-01566</x:v>
      </x:c>
      <x:c r="B3380" s="32" t="n">
        <x:v>2</x:v>
      </x:c>
      <x:c r="C3380" s="23" t="n">
        <x:v>46474</x:v>
      </x:c>
      <x:c r="D3380" s="23" t="n">
        <x:v>46474</x:v>
      </x:c>
      <x:c r="E3380" s="20" t="str">
        <x:v>P014</x:v>
      </x:c>
      <x:c r="F3380" s="20" t="str"/>
      <x:c r="G3380" s="20" t="str"/>
      <x:c r="H3380" s="20" t="str">
        <x:v>1000 Operating Cash</x:v>
      </x:c>
      <x:c r="I3380" s="26" t="n">
        <x:v>0</x:v>
      </x:c>
      <x:c r="J3380" s="26" t="n">
        <x:v>699</x:v>
      </x:c>
      <x:c r="K3380" s="35" t="str">
        <x:v>Franklin County Treasurer</x:v>
      </x:c>
    </x:row>
    <x:row r="3381">
      <x:c r="A3381" s="20" t="str">
        <x:v>FIN-01567</x:v>
      </x:c>
      <x:c r="B3381" s="32" t="n">
        <x:v>1</x:v>
      </x:c>
      <x:c r="C3381" s="23" t="n">
        <x:v>46566</x:v>
      </x:c>
      <x:c r="D3381" s="23" t="n">
        <x:v>46566</x:v>
      </x:c>
      <x:c r="E3381" s="20" t="str">
        <x:v>P014</x:v>
      </x:c>
      <x:c r="F3381" s="20" t="str"/>
      <x:c r="G3381" s="20" t="str"/>
      <x:c r="H3381" s="20" t="str">
        <x:v>5030 Property Taxes</x:v>
      </x:c>
      <x:c r="I3381" s="26" t="n">
        <x:v>706</x:v>
      </x:c>
      <x:c r="J3381" s="26" t="n">
        <x:v>0</x:v>
      </x:c>
      <x:c r="K3381" s="35" t="str">
        <x:v>Franklin County Treasurer</x:v>
      </x:c>
    </x:row>
    <x:row r="3382">
      <x:c r="A3382" s="20" t="str">
        <x:v>FIN-01567</x:v>
      </x:c>
      <x:c r="B3382" s="32" t="n">
        <x:v>2</x:v>
      </x:c>
      <x:c r="C3382" s="23" t="n">
        <x:v>46566</x:v>
      </x:c>
      <x:c r="D3382" s="23" t="n">
        <x:v>46566</x:v>
      </x:c>
      <x:c r="E3382" s="20" t="str">
        <x:v>P014</x:v>
      </x:c>
      <x:c r="F3382" s="20" t="str"/>
      <x:c r="G3382" s="20" t="str"/>
      <x:c r="H3382" s="20" t="str">
        <x:v>1000 Operating Cash</x:v>
      </x:c>
      <x:c r="I3382" s="26" t="n">
        <x:v>0</x:v>
      </x:c>
      <x:c r="J3382" s="26" t="n">
        <x:v>706</x:v>
      </x:c>
      <x:c r="K3382" s="35" t="str">
        <x:v>Franklin County Treasurer</x:v>
      </x:c>
    </x:row>
    <x:row r="3383">
      <x:c r="A3383" s="20" t="str">
        <x:v>FIN-01568</x:v>
      </x:c>
      <x:c r="B3383" s="32" t="n">
        <x:v>1</x:v>
      </x:c>
      <x:c r="C3383" s="23" t="n">
        <x:v>46658</x:v>
      </x:c>
      <x:c r="D3383" s="23" t="n">
        <x:v>46658</x:v>
      </x:c>
      <x:c r="E3383" s="20" t="str">
        <x:v>P014</x:v>
      </x:c>
      <x:c r="F3383" s="20" t="str"/>
      <x:c r="G3383" s="20" t="str"/>
      <x:c r="H3383" s="20" t="str">
        <x:v>5030 Property Taxes</x:v>
      </x:c>
      <x:c r="I3383" s="26" t="n">
        <x:v>713</x:v>
      </x:c>
      <x:c r="J3383" s="26" t="n">
        <x:v>0</x:v>
      </x:c>
      <x:c r="K3383" s="35" t="str">
        <x:v>Franklin County Treasurer</x:v>
      </x:c>
    </x:row>
    <x:row r="3384">
      <x:c r="A3384" s="20" t="str">
        <x:v>FIN-01568</x:v>
      </x:c>
      <x:c r="B3384" s="32" t="n">
        <x:v>2</x:v>
      </x:c>
      <x:c r="C3384" s="23" t="n">
        <x:v>46658</x:v>
      </x:c>
      <x:c r="D3384" s="23" t="n">
        <x:v>46658</x:v>
      </x:c>
      <x:c r="E3384" s="20" t="str">
        <x:v>P014</x:v>
      </x:c>
      <x:c r="F3384" s="20" t="str"/>
      <x:c r="G3384" s="20" t="str"/>
      <x:c r="H3384" s="20" t="str">
        <x:v>1000 Operating Cash</x:v>
      </x:c>
      <x:c r="I3384" s="26" t="n">
        <x:v>0</x:v>
      </x:c>
      <x:c r="J3384" s="26" t="n">
        <x:v>713</x:v>
      </x:c>
      <x:c r="K3384" s="35" t="str">
        <x:v>Franklin County Treasurer</x:v>
      </x:c>
    </x:row>
    <x:row r="3385">
      <x:c r="A3385" s="20" t="str">
        <x:v>FIN-01569</x:v>
      </x:c>
      <x:c r="B3385" s="32" t="n">
        <x:v>1</x:v>
      </x:c>
      <x:c r="C3385" s="23" t="n">
        <x:v>46749</x:v>
      </x:c>
      <x:c r="D3385" s="23" t="n">
        <x:v>46749</x:v>
      </x:c>
      <x:c r="E3385" s="20" t="str">
        <x:v>P014</x:v>
      </x:c>
      <x:c r="F3385" s="20" t="str"/>
      <x:c r="G3385" s="20" t="str"/>
      <x:c r="H3385" s="20" t="str">
        <x:v>5030 Property Taxes</x:v>
      </x:c>
      <x:c r="I3385" s="26" t="n">
        <x:v>720</x:v>
      </x:c>
      <x:c r="J3385" s="26" t="n">
        <x:v>0</x:v>
      </x:c>
      <x:c r="K3385" s="35" t="str">
        <x:v>Franklin County Treasurer</x:v>
      </x:c>
    </x:row>
    <x:row r="3386">
      <x:c r="A3386" s="20" t="str">
        <x:v>FIN-01569</x:v>
      </x:c>
      <x:c r="B3386" s="32" t="n">
        <x:v>2</x:v>
      </x:c>
      <x:c r="C3386" s="23" t="n">
        <x:v>46749</x:v>
      </x:c>
      <x:c r="D3386" s="23" t="n">
        <x:v>46749</x:v>
      </x:c>
      <x:c r="E3386" s="20" t="str">
        <x:v>P014</x:v>
      </x:c>
      <x:c r="F3386" s="20" t="str"/>
      <x:c r="G3386" s="20" t="str"/>
      <x:c r="H3386" s="20" t="str">
        <x:v>1000 Operating Cash</x:v>
      </x:c>
      <x:c r="I3386" s="26" t="n">
        <x:v>0</x:v>
      </x:c>
      <x:c r="J3386" s="26" t="n">
        <x:v>720</x:v>
      </x:c>
      <x:c r="K3386" s="35" t="str">
        <x:v>Franklin County Treasurer</x:v>
      </x:c>
    </x:row>
    <x:row r="3387">
      <x:c r="A3387" s="20" t="str">
        <x:v>FIN-01570</x:v>
      </x:c>
      <x:c r="B3387" s="32" t="n">
        <x:v>1</x:v>
      </x:c>
      <x:c r="C3387" s="23" t="n">
        <x:v>46464</x:v>
      </x:c>
      <x:c r="D3387" s="23" t="n">
        <x:v>46464</x:v>
      </x:c>
      <x:c r="E3387" s="20" t="str">
        <x:v>P015</x:v>
      </x:c>
      <x:c r="F3387" s="20" t="str"/>
      <x:c r="G3387" s="20" t="str"/>
      <x:c r="H3387" s="20" t="str">
        <x:v>5020 Insurance</x:v>
      </x:c>
      <x:c r="I3387" s="26" t="n">
        <x:v>1235</x:v>
      </x:c>
      <x:c r="J3387" s="26" t="n">
        <x:v>0</x:v>
      </x:c>
      <x:c r="K3387" s="35" t="str">
        <x:v>Buckeye Mutual Insurance</x:v>
      </x:c>
    </x:row>
    <x:row r="3388">
      <x:c r="A3388" s="20" t="str">
        <x:v>FIN-01570</x:v>
      </x:c>
      <x:c r="B3388" s="32" t="n">
        <x:v>2</x:v>
      </x:c>
      <x:c r="C3388" s="23" t="n">
        <x:v>46464</x:v>
      </x:c>
      <x:c r="D3388" s="23" t="n">
        <x:v>46464</x:v>
      </x:c>
      <x:c r="E3388" s="20" t="str">
        <x:v>P015</x:v>
      </x:c>
      <x:c r="F3388" s="20" t="str"/>
      <x:c r="G3388" s="20" t="str"/>
      <x:c r="H3388" s="20" t="str">
        <x:v>1000 Operating Cash</x:v>
      </x:c>
      <x:c r="I3388" s="26" t="n">
        <x:v>0</x:v>
      </x:c>
      <x:c r="J3388" s="26" t="n">
        <x:v>1235</x:v>
      </x:c>
      <x:c r="K3388" s="35" t="str">
        <x:v>Buckeye Mutual Insurance</x:v>
      </x:c>
    </x:row>
    <x:row r="3389">
      <x:c r="A3389" s="20" t="str">
        <x:v>FIN-01571</x:v>
      </x:c>
      <x:c r="B3389" s="32" t="n">
        <x:v>1</x:v>
      </x:c>
      <x:c r="C3389" s="23" t="n">
        <x:v>46474</x:v>
      </x:c>
      <x:c r="D3389" s="23" t="n">
        <x:v>46474</x:v>
      </x:c>
      <x:c r="E3389" s="20" t="str">
        <x:v>P015</x:v>
      </x:c>
      <x:c r="F3389" s="20" t="str"/>
      <x:c r="G3389" s="20" t="str"/>
      <x:c r="H3389" s="20" t="str">
        <x:v>5030 Property Taxes</x:v>
      </x:c>
      <x:c r="I3389" s="26" t="n">
        <x:v>712</x:v>
      </x:c>
      <x:c r="J3389" s="26" t="n">
        <x:v>0</x:v>
      </x:c>
      <x:c r="K3389" s="35" t="str">
        <x:v>Franklin County Treasurer</x:v>
      </x:c>
    </x:row>
    <x:row r="3390">
      <x:c r="A3390" s="20" t="str">
        <x:v>FIN-01571</x:v>
      </x:c>
      <x:c r="B3390" s="32" t="n">
        <x:v>2</x:v>
      </x:c>
      <x:c r="C3390" s="23" t="n">
        <x:v>46474</x:v>
      </x:c>
      <x:c r="D3390" s="23" t="n">
        <x:v>46474</x:v>
      </x:c>
      <x:c r="E3390" s="20" t="str">
        <x:v>P015</x:v>
      </x:c>
      <x:c r="F3390" s="20" t="str"/>
      <x:c r="G3390" s="20" t="str"/>
      <x:c r="H3390" s="20" t="str">
        <x:v>1000 Operating Cash</x:v>
      </x:c>
      <x:c r="I3390" s="26" t="n">
        <x:v>0</x:v>
      </x:c>
      <x:c r="J3390" s="26" t="n">
        <x:v>712</x:v>
      </x:c>
      <x:c r="K3390" s="35" t="str">
        <x:v>Franklin County Treasurer</x:v>
      </x:c>
    </x:row>
    <x:row r="3391">
      <x:c r="A3391" s="20" t="str">
        <x:v>FIN-01572</x:v>
      </x:c>
      <x:c r="B3391" s="32" t="n">
        <x:v>1</x:v>
      </x:c>
      <x:c r="C3391" s="23" t="n">
        <x:v>46566</x:v>
      </x:c>
      <x:c r="D3391" s="23" t="n">
        <x:v>46566</x:v>
      </x:c>
      <x:c r="E3391" s="20" t="str">
        <x:v>P015</x:v>
      </x:c>
      <x:c r="F3391" s="20" t="str"/>
      <x:c r="G3391" s="20" t="str"/>
      <x:c r="H3391" s="20" t="str">
        <x:v>5030 Property Taxes</x:v>
      </x:c>
      <x:c r="I3391" s="26" t="n">
        <x:v>719</x:v>
      </x:c>
      <x:c r="J3391" s="26" t="n">
        <x:v>0</x:v>
      </x:c>
      <x:c r="K3391" s="35" t="str">
        <x:v>Franklin County Treasurer</x:v>
      </x:c>
    </x:row>
    <x:row r="3392">
      <x:c r="A3392" s="20" t="str">
        <x:v>FIN-01572</x:v>
      </x:c>
      <x:c r="B3392" s="32" t="n">
        <x:v>2</x:v>
      </x:c>
      <x:c r="C3392" s="23" t="n">
        <x:v>46566</x:v>
      </x:c>
      <x:c r="D3392" s="23" t="n">
        <x:v>46566</x:v>
      </x:c>
      <x:c r="E3392" s="20" t="str">
        <x:v>P015</x:v>
      </x:c>
      <x:c r="F3392" s="20" t="str"/>
      <x:c r="G3392" s="20" t="str"/>
      <x:c r="H3392" s="20" t="str">
        <x:v>1000 Operating Cash</x:v>
      </x:c>
      <x:c r="I3392" s="26" t="n">
        <x:v>0</x:v>
      </x:c>
      <x:c r="J3392" s="26" t="n">
        <x:v>719</x:v>
      </x:c>
      <x:c r="K3392" s="35" t="str">
        <x:v>Franklin County Treasurer</x:v>
      </x:c>
    </x:row>
    <x:row r="3393">
      <x:c r="A3393" s="20" t="str">
        <x:v>FIN-01573</x:v>
      </x:c>
      <x:c r="B3393" s="32" t="n">
        <x:v>1</x:v>
      </x:c>
      <x:c r="C3393" s="23" t="n">
        <x:v>46658</x:v>
      </x:c>
      <x:c r="D3393" s="23" t="n">
        <x:v>46658</x:v>
      </x:c>
      <x:c r="E3393" s="20" t="str">
        <x:v>P015</x:v>
      </x:c>
      <x:c r="F3393" s="20" t="str"/>
      <x:c r="G3393" s="20" t="str"/>
      <x:c r="H3393" s="20" t="str">
        <x:v>5030 Property Taxes</x:v>
      </x:c>
      <x:c r="I3393" s="26" t="n">
        <x:v>726</x:v>
      </x:c>
      <x:c r="J3393" s="26" t="n">
        <x:v>0</x:v>
      </x:c>
      <x:c r="K3393" s="35" t="str">
        <x:v>Franklin County Treasurer</x:v>
      </x:c>
    </x:row>
    <x:row r="3394">
      <x:c r="A3394" s="20" t="str">
        <x:v>FIN-01573</x:v>
      </x:c>
      <x:c r="B3394" s="32" t="n">
        <x:v>2</x:v>
      </x:c>
      <x:c r="C3394" s="23" t="n">
        <x:v>46658</x:v>
      </x:c>
      <x:c r="D3394" s="23" t="n">
        <x:v>46658</x:v>
      </x:c>
      <x:c r="E3394" s="20" t="str">
        <x:v>P015</x:v>
      </x:c>
      <x:c r="F3394" s="20" t="str"/>
      <x:c r="G3394" s="20" t="str"/>
      <x:c r="H3394" s="20" t="str">
        <x:v>1000 Operating Cash</x:v>
      </x:c>
      <x:c r="I3394" s="26" t="n">
        <x:v>0</x:v>
      </x:c>
      <x:c r="J3394" s="26" t="n">
        <x:v>726</x:v>
      </x:c>
      <x:c r="K3394" s="35" t="str">
        <x:v>Franklin County Treasurer</x:v>
      </x:c>
    </x:row>
    <x:row r="3395">
      <x:c r="A3395" s="20" t="str">
        <x:v>FIN-01574</x:v>
      </x:c>
      <x:c r="B3395" s="32" t="n">
        <x:v>1</x:v>
      </x:c>
      <x:c r="C3395" s="23" t="n">
        <x:v>46749</x:v>
      </x:c>
      <x:c r="D3395" s="23" t="n">
        <x:v>46749</x:v>
      </x:c>
      <x:c r="E3395" s="20" t="str">
        <x:v>P015</x:v>
      </x:c>
      <x:c r="F3395" s="20" t="str"/>
      <x:c r="G3395" s="20" t="str"/>
      <x:c r="H3395" s="20" t="str">
        <x:v>5030 Property Taxes</x:v>
      </x:c>
      <x:c r="I3395" s="26" t="n">
        <x:v>733</x:v>
      </x:c>
      <x:c r="J3395" s="26" t="n">
        <x:v>0</x:v>
      </x:c>
      <x:c r="K3395" s="35" t="str">
        <x:v>Franklin County Treasurer</x:v>
      </x:c>
    </x:row>
    <x:row r="3396">
      <x:c r="A3396" s="20" t="str">
        <x:v>FIN-01574</x:v>
      </x:c>
      <x:c r="B3396" s="32" t="n">
        <x:v>2</x:v>
      </x:c>
      <x:c r="C3396" s="23" t="n">
        <x:v>46749</x:v>
      </x:c>
      <x:c r="D3396" s="23" t="n">
        <x:v>46749</x:v>
      </x:c>
      <x:c r="E3396" s="20" t="str">
        <x:v>P015</x:v>
      </x:c>
      <x:c r="F3396" s="20" t="str"/>
      <x:c r="G3396" s="20" t="str"/>
      <x:c r="H3396" s="20" t="str">
        <x:v>1000 Operating Cash</x:v>
      </x:c>
      <x:c r="I3396" s="26" t="n">
        <x:v>0</x:v>
      </x:c>
      <x:c r="J3396" s="26" t="n">
        <x:v>733</x:v>
      </x:c>
      <x:c r="K3396" s="35" t="str">
        <x:v>Franklin County Treasurer</x:v>
      </x:c>
    </x:row>
    <x:row r="3397">
      <x:c r="A3397" s="20" t="str">
        <x:v>FIN-01575</x:v>
      </x:c>
      <x:c r="B3397" s="32" t="n">
        <x:v>1</x:v>
      </x:c>
      <x:c r="C3397" s="23" t="n">
        <x:v>46495</x:v>
      </x:c>
      <x:c r="D3397" s="23" t="n">
        <x:v>46495</x:v>
      </x:c>
      <x:c r="E3397" s="20" t="str">
        <x:v>P016</x:v>
      </x:c>
      <x:c r="F3397" s="20" t="str"/>
      <x:c r="G3397" s="20" t="str"/>
      <x:c r="H3397" s="20" t="str">
        <x:v>5020 Insurance</x:v>
      </x:c>
      <x:c r="I3397" s="26" t="n">
        <x:v>1252</x:v>
      </x:c>
      <x:c r="J3397" s="26" t="n">
        <x:v>0</x:v>
      </x:c>
      <x:c r="K3397" s="35" t="str">
        <x:v>Buckeye Mutual Insurance</x:v>
      </x:c>
    </x:row>
    <x:row r="3398">
      <x:c r="A3398" s="20" t="str">
        <x:v>FIN-01575</x:v>
      </x:c>
      <x:c r="B3398" s="32" t="n">
        <x:v>2</x:v>
      </x:c>
      <x:c r="C3398" s="23" t="n">
        <x:v>46495</x:v>
      </x:c>
      <x:c r="D3398" s="23" t="n">
        <x:v>46495</x:v>
      </x:c>
      <x:c r="E3398" s="20" t="str">
        <x:v>P016</x:v>
      </x:c>
      <x:c r="F3398" s="20" t="str"/>
      <x:c r="G3398" s="20" t="str"/>
      <x:c r="H3398" s="20" t="str">
        <x:v>1000 Operating Cash</x:v>
      </x:c>
      <x:c r="I3398" s="26" t="n">
        <x:v>0</x:v>
      </x:c>
      <x:c r="J3398" s="26" t="n">
        <x:v>1252</x:v>
      </x:c>
      <x:c r="K3398" s="35" t="str">
        <x:v>Buckeye Mutual Insurance</x:v>
      </x:c>
    </x:row>
    <x:row r="3399">
      <x:c r="A3399" s="20" t="str">
        <x:v>FIN-01576</x:v>
      </x:c>
      <x:c r="B3399" s="32" t="n">
        <x:v>1</x:v>
      </x:c>
      <x:c r="C3399" s="23" t="n">
        <x:v>46474</x:v>
      </x:c>
      <x:c r="D3399" s="23" t="n">
        <x:v>46474</x:v>
      </x:c>
      <x:c r="E3399" s="20" t="str">
        <x:v>P016</x:v>
      </x:c>
      <x:c r="F3399" s="20" t="str"/>
      <x:c r="G3399" s="20" t="str"/>
      <x:c r="H3399" s="20" t="str">
        <x:v>5030 Property Taxes</x:v>
      </x:c>
      <x:c r="I3399" s="26" t="n">
        <x:v>725</x:v>
      </x:c>
      <x:c r="J3399" s="26" t="n">
        <x:v>0</x:v>
      </x:c>
      <x:c r="K3399" s="35" t="str">
        <x:v>Franklin County Treasurer</x:v>
      </x:c>
    </x:row>
    <x:row r="3400">
      <x:c r="A3400" s="20" t="str">
        <x:v>FIN-01576</x:v>
      </x:c>
      <x:c r="B3400" s="32" t="n">
        <x:v>2</x:v>
      </x:c>
      <x:c r="C3400" s="23" t="n">
        <x:v>46474</x:v>
      </x:c>
      <x:c r="D3400" s="23" t="n">
        <x:v>46474</x:v>
      </x:c>
      <x:c r="E3400" s="20" t="str">
        <x:v>P016</x:v>
      </x:c>
      <x:c r="F3400" s="20" t="str"/>
      <x:c r="G3400" s="20" t="str"/>
      <x:c r="H3400" s="20" t="str">
        <x:v>1000 Operating Cash</x:v>
      </x:c>
      <x:c r="I3400" s="26" t="n">
        <x:v>0</x:v>
      </x:c>
      <x:c r="J3400" s="26" t="n">
        <x:v>725</x:v>
      </x:c>
      <x:c r="K3400" s="35" t="str">
        <x:v>Franklin County Treasurer</x:v>
      </x:c>
    </x:row>
    <x:row r="3401">
      <x:c r="A3401" s="20" t="str">
        <x:v>FIN-01577</x:v>
      </x:c>
      <x:c r="B3401" s="32" t="n">
        <x:v>1</x:v>
      </x:c>
      <x:c r="C3401" s="23" t="n">
        <x:v>46566</x:v>
      </x:c>
      <x:c r="D3401" s="23" t="n">
        <x:v>46566</x:v>
      </x:c>
      <x:c r="E3401" s="20" t="str">
        <x:v>P016</x:v>
      </x:c>
      <x:c r="F3401" s="20" t="str"/>
      <x:c r="G3401" s="20" t="str"/>
      <x:c r="H3401" s="20" t="str">
        <x:v>5030 Property Taxes</x:v>
      </x:c>
      <x:c r="I3401" s="26" t="n">
        <x:v>732</x:v>
      </x:c>
      <x:c r="J3401" s="26" t="n">
        <x:v>0</x:v>
      </x:c>
      <x:c r="K3401" s="35" t="str">
        <x:v>Franklin County Treasurer</x:v>
      </x:c>
    </x:row>
    <x:row r="3402">
      <x:c r="A3402" s="20" t="str">
        <x:v>FIN-01577</x:v>
      </x:c>
      <x:c r="B3402" s="32" t="n">
        <x:v>2</x:v>
      </x:c>
      <x:c r="C3402" s="23" t="n">
        <x:v>46566</x:v>
      </x:c>
      <x:c r="D3402" s="23" t="n">
        <x:v>46566</x:v>
      </x:c>
      <x:c r="E3402" s="20" t="str">
        <x:v>P016</x:v>
      </x:c>
      <x:c r="F3402" s="20" t="str"/>
      <x:c r="G3402" s="20" t="str"/>
      <x:c r="H3402" s="20" t="str">
        <x:v>1000 Operating Cash</x:v>
      </x:c>
      <x:c r="I3402" s="26" t="n">
        <x:v>0</x:v>
      </x:c>
      <x:c r="J3402" s="26" t="n">
        <x:v>732</x:v>
      </x:c>
      <x:c r="K3402" s="35" t="str">
        <x:v>Franklin County Treasurer</x:v>
      </x:c>
    </x:row>
    <x:row r="3403">
      <x:c r="A3403" s="20" t="str">
        <x:v>FIN-01578</x:v>
      </x:c>
      <x:c r="B3403" s="32" t="n">
        <x:v>1</x:v>
      </x:c>
      <x:c r="C3403" s="23" t="n">
        <x:v>46658</x:v>
      </x:c>
      <x:c r="D3403" s="23" t="n">
        <x:v>46658</x:v>
      </x:c>
      <x:c r="E3403" s="20" t="str">
        <x:v>P016</x:v>
      </x:c>
      <x:c r="F3403" s="20" t="str"/>
      <x:c r="G3403" s="20" t="str"/>
      <x:c r="H3403" s="20" t="str">
        <x:v>5030 Property Taxes</x:v>
      </x:c>
      <x:c r="I3403" s="26" t="n">
        <x:v>739</x:v>
      </x:c>
      <x:c r="J3403" s="26" t="n">
        <x:v>0</x:v>
      </x:c>
      <x:c r="K3403" s="35" t="str">
        <x:v>Franklin County Treasurer</x:v>
      </x:c>
    </x:row>
    <x:row r="3404">
      <x:c r="A3404" s="20" t="str">
        <x:v>FIN-01578</x:v>
      </x:c>
      <x:c r="B3404" s="32" t="n">
        <x:v>2</x:v>
      </x:c>
      <x:c r="C3404" s="23" t="n">
        <x:v>46658</x:v>
      </x:c>
      <x:c r="D3404" s="23" t="n">
        <x:v>46658</x:v>
      </x:c>
      <x:c r="E3404" s="20" t="str">
        <x:v>P016</x:v>
      </x:c>
      <x:c r="F3404" s="20" t="str"/>
      <x:c r="G3404" s="20" t="str"/>
      <x:c r="H3404" s="20" t="str">
        <x:v>1000 Operating Cash</x:v>
      </x:c>
      <x:c r="I3404" s="26" t="n">
        <x:v>0</x:v>
      </x:c>
      <x:c r="J3404" s="26" t="n">
        <x:v>739</x:v>
      </x:c>
      <x:c r="K3404" s="35" t="str">
        <x:v>Franklin County Treasurer</x:v>
      </x:c>
    </x:row>
    <x:row r="3405">
      <x:c r="A3405" s="20" t="str">
        <x:v>FIN-01579</x:v>
      </x:c>
      <x:c r="B3405" s="32" t="n">
        <x:v>1</x:v>
      </x:c>
      <x:c r="C3405" s="23" t="n">
        <x:v>46749</x:v>
      </x:c>
      <x:c r="D3405" s="23" t="n">
        <x:v>46749</x:v>
      </x:c>
      <x:c r="E3405" s="20" t="str">
        <x:v>P016</x:v>
      </x:c>
      <x:c r="F3405" s="20" t="str"/>
      <x:c r="G3405" s="20" t="str"/>
      <x:c r="H3405" s="20" t="str">
        <x:v>5030 Property Taxes</x:v>
      </x:c>
      <x:c r="I3405" s="26" t="n">
        <x:v>746</x:v>
      </x:c>
      <x:c r="J3405" s="26" t="n">
        <x:v>0</x:v>
      </x:c>
      <x:c r="K3405" s="35" t="str">
        <x:v>Franklin County Treasurer</x:v>
      </x:c>
    </x:row>
    <x:row r="3406">
      <x:c r="A3406" s="20" t="str">
        <x:v>FIN-01579</x:v>
      </x:c>
      <x:c r="B3406" s="32" t="n">
        <x:v>2</x:v>
      </x:c>
      <x:c r="C3406" s="23" t="n">
        <x:v>46749</x:v>
      </x:c>
      <x:c r="D3406" s="23" t="n">
        <x:v>46749</x:v>
      </x:c>
      <x:c r="E3406" s="20" t="str">
        <x:v>P016</x:v>
      </x:c>
      <x:c r="F3406" s="20" t="str"/>
      <x:c r="G3406" s="20" t="str"/>
      <x:c r="H3406" s="20" t="str">
        <x:v>1000 Operating Cash</x:v>
      </x:c>
      <x:c r="I3406" s="26" t="n">
        <x:v>0</x:v>
      </x:c>
      <x:c r="J3406" s="26" t="n">
        <x:v>746</x:v>
      </x:c>
      <x:c r="K3406" s="35" t="str">
        <x:v>Franklin County Treasurer</x:v>
      </x:c>
    </x:row>
    <x:row r="3407">
      <x:c r="A3407" s="20" t="str">
        <x:v>FIN-01580</x:v>
      </x:c>
      <x:c r="B3407" s="32" t="n">
        <x:v>1</x:v>
      </x:c>
      <x:c r="C3407" s="23" t="n">
        <x:v>46525</x:v>
      </x:c>
      <x:c r="D3407" s="23" t="n">
        <x:v>46525</x:v>
      </x:c>
      <x:c r="E3407" s="20" t="str">
        <x:v>P017</x:v>
      </x:c>
      <x:c r="F3407" s="20" t="str"/>
      <x:c r="G3407" s="20" t="str"/>
      <x:c r="H3407" s="20" t="str">
        <x:v>5020 Insurance</x:v>
      </x:c>
      <x:c r="I3407" s="26" t="n">
        <x:v>1269</x:v>
      </x:c>
      <x:c r="J3407" s="26" t="n">
        <x:v>0</x:v>
      </x:c>
      <x:c r="K3407" s="35" t="str">
        <x:v>Buckeye Mutual Insurance</x:v>
      </x:c>
    </x:row>
    <x:row r="3408">
      <x:c r="A3408" s="20" t="str">
        <x:v>FIN-01580</x:v>
      </x:c>
      <x:c r="B3408" s="32" t="n">
        <x:v>2</x:v>
      </x:c>
      <x:c r="C3408" s="23" t="n">
        <x:v>46525</x:v>
      </x:c>
      <x:c r="D3408" s="23" t="n">
        <x:v>46525</x:v>
      </x:c>
      <x:c r="E3408" s="20" t="str">
        <x:v>P017</x:v>
      </x:c>
      <x:c r="F3408" s="20" t="str"/>
      <x:c r="G3408" s="20" t="str"/>
      <x:c r="H3408" s="20" t="str">
        <x:v>1000 Operating Cash</x:v>
      </x:c>
      <x:c r="I3408" s="26" t="n">
        <x:v>0</x:v>
      </x:c>
      <x:c r="J3408" s="26" t="n">
        <x:v>1269</x:v>
      </x:c>
      <x:c r="K3408" s="35" t="str">
        <x:v>Buckeye Mutual Insurance</x:v>
      </x:c>
    </x:row>
    <x:row r="3409">
      <x:c r="A3409" s="20" t="str">
        <x:v>FIN-01581</x:v>
      </x:c>
      <x:c r="B3409" s="32" t="n">
        <x:v>1</x:v>
      </x:c>
      <x:c r="C3409" s="23" t="n">
        <x:v>46474</x:v>
      </x:c>
      <x:c r="D3409" s="23" t="n">
        <x:v>46474</x:v>
      </x:c>
      <x:c r="E3409" s="20" t="str">
        <x:v>P017</x:v>
      </x:c>
      <x:c r="F3409" s="20" t="str"/>
      <x:c r="G3409" s="20" t="str"/>
      <x:c r="H3409" s="20" t="str">
        <x:v>5030 Property Taxes</x:v>
      </x:c>
      <x:c r="I3409" s="26" t="n">
        <x:v>738</x:v>
      </x:c>
      <x:c r="J3409" s="26" t="n">
        <x:v>0</x:v>
      </x:c>
      <x:c r="K3409" s="35" t="str">
        <x:v>Franklin County Treasurer</x:v>
      </x:c>
    </x:row>
    <x:row r="3410">
      <x:c r="A3410" s="20" t="str">
        <x:v>FIN-01581</x:v>
      </x:c>
      <x:c r="B3410" s="32" t="n">
        <x:v>2</x:v>
      </x:c>
      <x:c r="C3410" s="23" t="n">
        <x:v>46474</x:v>
      </x:c>
      <x:c r="D3410" s="23" t="n">
        <x:v>46474</x:v>
      </x:c>
      <x:c r="E3410" s="20" t="str">
        <x:v>P017</x:v>
      </x:c>
      <x:c r="F3410" s="20" t="str"/>
      <x:c r="G3410" s="20" t="str"/>
      <x:c r="H3410" s="20" t="str">
        <x:v>1000 Operating Cash</x:v>
      </x:c>
      <x:c r="I3410" s="26" t="n">
        <x:v>0</x:v>
      </x:c>
      <x:c r="J3410" s="26" t="n">
        <x:v>738</x:v>
      </x:c>
      <x:c r="K3410" s="35" t="str">
        <x:v>Franklin County Treasurer</x:v>
      </x:c>
    </x:row>
    <x:row r="3411">
      <x:c r="A3411" s="20" t="str">
        <x:v>FIN-01582</x:v>
      </x:c>
      <x:c r="B3411" s="32" t="n">
        <x:v>1</x:v>
      </x:c>
      <x:c r="C3411" s="23" t="n">
        <x:v>46566</x:v>
      </x:c>
      <x:c r="D3411" s="23" t="n">
        <x:v>46566</x:v>
      </x:c>
      <x:c r="E3411" s="20" t="str">
        <x:v>P017</x:v>
      </x:c>
      <x:c r="F3411" s="20" t="str"/>
      <x:c r="G3411" s="20" t="str"/>
      <x:c r="H3411" s="20" t="str">
        <x:v>5030 Property Taxes</x:v>
      </x:c>
      <x:c r="I3411" s="26" t="n">
        <x:v>745</x:v>
      </x:c>
      <x:c r="J3411" s="26" t="n">
        <x:v>0</x:v>
      </x:c>
      <x:c r="K3411" s="35" t="str">
        <x:v>Franklin County Treasurer</x:v>
      </x:c>
    </x:row>
    <x:row r="3412">
      <x:c r="A3412" s="20" t="str">
        <x:v>FIN-01582</x:v>
      </x:c>
      <x:c r="B3412" s="32" t="n">
        <x:v>2</x:v>
      </x:c>
      <x:c r="C3412" s="23" t="n">
        <x:v>46566</x:v>
      </x:c>
      <x:c r="D3412" s="23" t="n">
        <x:v>46566</x:v>
      </x:c>
      <x:c r="E3412" s="20" t="str">
        <x:v>P017</x:v>
      </x:c>
      <x:c r="F3412" s="20" t="str"/>
      <x:c r="G3412" s="20" t="str"/>
      <x:c r="H3412" s="20" t="str">
        <x:v>1000 Operating Cash</x:v>
      </x:c>
      <x:c r="I3412" s="26" t="n">
        <x:v>0</x:v>
      </x:c>
      <x:c r="J3412" s="26" t="n">
        <x:v>745</x:v>
      </x:c>
      <x:c r="K3412" s="35" t="str">
        <x:v>Franklin County Treasurer</x:v>
      </x:c>
    </x:row>
    <x:row r="3413">
      <x:c r="A3413" s="20" t="str">
        <x:v>FIN-01583</x:v>
      </x:c>
      <x:c r="B3413" s="32" t="n">
        <x:v>1</x:v>
      </x:c>
      <x:c r="C3413" s="23" t="n">
        <x:v>46658</x:v>
      </x:c>
      <x:c r="D3413" s="23" t="n">
        <x:v>46658</x:v>
      </x:c>
      <x:c r="E3413" s="20" t="str">
        <x:v>P017</x:v>
      </x:c>
      <x:c r="F3413" s="20" t="str"/>
      <x:c r="G3413" s="20" t="str"/>
      <x:c r="H3413" s="20" t="str">
        <x:v>5030 Property Taxes</x:v>
      </x:c>
      <x:c r="I3413" s="26" t="n">
        <x:v>752</x:v>
      </x:c>
      <x:c r="J3413" s="26" t="n">
        <x:v>0</x:v>
      </x:c>
      <x:c r="K3413" s="35" t="str">
        <x:v>Franklin County Treasurer</x:v>
      </x:c>
    </x:row>
    <x:row r="3414">
      <x:c r="A3414" s="20" t="str">
        <x:v>FIN-01583</x:v>
      </x:c>
      <x:c r="B3414" s="32" t="n">
        <x:v>2</x:v>
      </x:c>
      <x:c r="C3414" s="23" t="n">
        <x:v>46658</x:v>
      </x:c>
      <x:c r="D3414" s="23" t="n">
        <x:v>46658</x:v>
      </x:c>
      <x:c r="E3414" s="20" t="str">
        <x:v>P017</x:v>
      </x:c>
      <x:c r="F3414" s="20" t="str"/>
      <x:c r="G3414" s="20" t="str"/>
      <x:c r="H3414" s="20" t="str">
        <x:v>1000 Operating Cash</x:v>
      </x:c>
      <x:c r="I3414" s="26" t="n">
        <x:v>0</x:v>
      </x:c>
      <x:c r="J3414" s="26" t="n">
        <x:v>752</x:v>
      </x:c>
      <x:c r="K3414" s="35" t="str">
        <x:v>Franklin County Treasurer</x:v>
      </x:c>
    </x:row>
    <x:row r="3415">
      <x:c r="A3415" s="20" t="str">
        <x:v>FIN-01584</x:v>
      </x:c>
      <x:c r="B3415" s="32" t="n">
        <x:v>1</x:v>
      </x:c>
      <x:c r="C3415" s="23" t="n">
        <x:v>46749</x:v>
      </x:c>
      <x:c r="D3415" s="23" t="n">
        <x:v>46749</x:v>
      </x:c>
      <x:c r="E3415" s="20" t="str">
        <x:v>P017</x:v>
      </x:c>
      <x:c r="F3415" s="20" t="str"/>
      <x:c r="G3415" s="20" t="str"/>
      <x:c r="H3415" s="20" t="str">
        <x:v>5030 Property Taxes</x:v>
      </x:c>
      <x:c r="I3415" s="26" t="n">
        <x:v>759</x:v>
      </x:c>
      <x:c r="J3415" s="26" t="n">
        <x:v>0</x:v>
      </x:c>
      <x:c r="K3415" s="35" t="str">
        <x:v>Franklin County Treasurer</x:v>
      </x:c>
    </x:row>
    <x:row r="3416">
      <x:c r="A3416" s="20" t="str">
        <x:v>FIN-01584</x:v>
      </x:c>
      <x:c r="B3416" s="32" t="n">
        <x:v>2</x:v>
      </x:c>
      <x:c r="C3416" s="23" t="n">
        <x:v>46749</x:v>
      </x:c>
      <x:c r="D3416" s="23" t="n">
        <x:v>46749</x:v>
      </x:c>
      <x:c r="E3416" s="20" t="str">
        <x:v>P017</x:v>
      </x:c>
      <x:c r="F3416" s="20" t="str"/>
      <x:c r="G3416" s="20" t="str"/>
      <x:c r="H3416" s="20" t="str">
        <x:v>1000 Operating Cash</x:v>
      </x:c>
      <x:c r="I3416" s="26" t="n">
        <x:v>0</x:v>
      </x:c>
      <x:c r="J3416" s="26" t="n">
        <x:v>759</x:v>
      </x:c>
      <x:c r="K3416" s="35" t="str">
        <x:v>Franklin County Treasurer</x:v>
      </x:c>
    </x:row>
    <x:row r="3417">
      <x:c r="A3417" s="20" t="str">
        <x:v>FIN-01585</x:v>
      </x:c>
      <x:c r="B3417" s="32" t="n">
        <x:v>1</x:v>
      </x:c>
      <x:c r="C3417" s="23" t="n">
        <x:v>46556</x:v>
      </x:c>
      <x:c r="D3417" s="23" t="n">
        <x:v>46556</x:v>
      </x:c>
      <x:c r="E3417" s="20" t="str">
        <x:v>P018</x:v>
      </x:c>
      <x:c r="F3417" s="20" t="str"/>
      <x:c r="G3417" s="20" t="str"/>
      <x:c r="H3417" s="20" t="str">
        <x:v>5020 Insurance</x:v>
      </x:c>
      <x:c r="I3417" s="26" t="n">
        <x:v>1286</x:v>
      </x:c>
      <x:c r="J3417" s="26" t="n">
        <x:v>0</x:v>
      </x:c>
      <x:c r="K3417" s="35" t="str">
        <x:v>Buckeye Mutual Insurance</x:v>
      </x:c>
    </x:row>
    <x:row r="3418">
      <x:c r="A3418" s="20" t="str">
        <x:v>FIN-01585</x:v>
      </x:c>
      <x:c r="B3418" s="32" t="n">
        <x:v>2</x:v>
      </x:c>
      <x:c r="C3418" s="23" t="n">
        <x:v>46556</x:v>
      </x:c>
      <x:c r="D3418" s="23" t="n">
        <x:v>46556</x:v>
      </x:c>
      <x:c r="E3418" s="20" t="str">
        <x:v>P018</x:v>
      </x:c>
      <x:c r="F3418" s="20" t="str"/>
      <x:c r="G3418" s="20" t="str"/>
      <x:c r="H3418" s="20" t="str">
        <x:v>1000 Operating Cash</x:v>
      </x:c>
      <x:c r="I3418" s="26" t="n">
        <x:v>0</x:v>
      </x:c>
      <x:c r="J3418" s="26" t="n">
        <x:v>1286</x:v>
      </x:c>
      <x:c r="K3418" s="35" t="str">
        <x:v>Buckeye Mutual Insurance</x:v>
      </x:c>
    </x:row>
    <x:row r="3419">
      <x:c r="A3419" s="20" t="str">
        <x:v>FIN-01586</x:v>
      </x:c>
      <x:c r="B3419" s="32" t="n">
        <x:v>1</x:v>
      </x:c>
      <x:c r="C3419" s="23" t="n">
        <x:v>46474</x:v>
      </x:c>
      <x:c r="D3419" s="23" t="n">
        <x:v>46474</x:v>
      </x:c>
      <x:c r="E3419" s="20" t="str">
        <x:v>P018</x:v>
      </x:c>
      <x:c r="F3419" s="20" t="str"/>
      <x:c r="G3419" s="20" t="str"/>
      <x:c r="H3419" s="20" t="str">
        <x:v>5030 Property Taxes</x:v>
      </x:c>
      <x:c r="I3419" s="26" t="n">
        <x:v>751</x:v>
      </x:c>
      <x:c r="J3419" s="26" t="n">
        <x:v>0</x:v>
      </x:c>
      <x:c r="K3419" s="35" t="str">
        <x:v>Franklin County Treasurer</x:v>
      </x:c>
    </x:row>
    <x:row r="3420">
      <x:c r="A3420" s="20" t="str">
        <x:v>FIN-01586</x:v>
      </x:c>
      <x:c r="B3420" s="32" t="n">
        <x:v>2</x:v>
      </x:c>
      <x:c r="C3420" s="23" t="n">
        <x:v>46474</x:v>
      </x:c>
      <x:c r="D3420" s="23" t="n">
        <x:v>46474</x:v>
      </x:c>
      <x:c r="E3420" s="20" t="str">
        <x:v>P018</x:v>
      </x:c>
      <x:c r="F3420" s="20" t="str"/>
      <x:c r="G3420" s="20" t="str"/>
      <x:c r="H3420" s="20" t="str">
        <x:v>1000 Operating Cash</x:v>
      </x:c>
      <x:c r="I3420" s="26" t="n">
        <x:v>0</x:v>
      </x:c>
      <x:c r="J3420" s="26" t="n">
        <x:v>751</x:v>
      </x:c>
      <x:c r="K3420" s="35" t="str">
        <x:v>Franklin County Treasurer</x:v>
      </x:c>
    </x:row>
    <x:row r="3421">
      <x:c r="A3421" s="20" t="str">
        <x:v>FIN-01587</x:v>
      </x:c>
      <x:c r="B3421" s="32" t="n">
        <x:v>1</x:v>
      </x:c>
      <x:c r="C3421" s="23" t="n">
        <x:v>46566</x:v>
      </x:c>
      <x:c r="D3421" s="23" t="n">
        <x:v>46566</x:v>
      </x:c>
      <x:c r="E3421" s="20" t="str">
        <x:v>P018</x:v>
      </x:c>
      <x:c r="F3421" s="20" t="str"/>
      <x:c r="G3421" s="20" t="str"/>
      <x:c r="H3421" s="20" t="str">
        <x:v>5030 Property Taxes</x:v>
      </x:c>
      <x:c r="I3421" s="26" t="n">
        <x:v>758</x:v>
      </x:c>
      <x:c r="J3421" s="26" t="n">
        <x:v>0</x:v>
      </x:c>
      <x:c r="K3421" s="35" t="str">
        <x:v>Franklin County Treasurer</x:v>
      </x:c>
    </x:row>
    <x:row r="3422">
      <x:c r="A3422" s="20" t="str">
        <x:v>FIN-01587</x:v>
      </x:c>
      <x:c r="B3422" s="32" t="n">
        <x:v>2</x:v>
      </x:c>
      <x:c r="C3422" s="23" t="n">
        <x:v>46566</x:v>
      </x:c>
      <x:c r="D3422" s="23" t="n">
        <x:v>46566</x:v>
      </x:c>
      <x:c r="E3422" s="20" t="str">
        <x:v>P018</x:v>
      </x:c>
      <x:c r="F3422" s="20" t="str"/>
      <x:c r="G3422" s="20" t="str"/>
      <x:c r="H3422" s="20" t="str">
        <x:v>1000 Operating Cash</x:v>
      </x:c>
      <x:c r="I3422" s="26" t="n">
        <x:v>0</x:v>
      </x:c>
      <x:c r="J3422" s="26" t="n">
        <x:v>758</x:v>
      </x:c>
      <x:c r="K3422" s="35" t="str">
        <x:v>Franklin County Treasurer</x:v>
      </x:c>
    </x:row>
    <x:row r="3423">
      <x:c r="A3423" s="20" t="str">
        <x:v>FIN-01588</x:v>
      </x:c>
      <x:c r="B3423" s="32" t="n">
        <x:v>1</x:v>
      </x:c>
      <x:c r="C3423" s="23" t="n">
        <x:v>46658</x:v>
      </x:c>
      <x:c r="D3423" s="23" t="n">
        <x:v>46658</x:v>
      </x:c>
      <x:c r="E3423" s="20" t="str">
        <x:v>P018</x:v>
      </x:c>
      <x:c r="F3423" s="20" t="str"/>
      <x:c r="G3423" s="20" t="str"/>
      <x:c r="H3423" s="20" t="str">
        <x:v>5030 Property Taxes</x:v>
      </x:c>
      <x:c r="I3423" s="26" t="n">
        <x:v>765</x:v>
      </x:c>
      <x:c r="J3423" s="26" t="n">
        <x:v>0</x:v>
      </x:c>
      <x:c r="K3423" s="35" t="str">
        <x:v>Franklin County Treasurer</x:v>
      </x:c>
    </x:row>
    <x:row r="3424">
      <x:c r="A3424" s="20" t="str">
        <x:v>FIN-01588</x:v>
      </x:c>
      <x:c r="B3424" s="32" t="n">
        <x:v>2</x:v>
      </x:c>
      <x:c r="C3424" s="23" t="n">
        <x:v>46658</x:v>
      </x:c>
      <x:c r="D3424" s="23" t="n">
        <x:v>46658</x:v>
      </x:c>
      <x:c r="E3424" s="20" t="str">
        <x:v>P018</x:v>
      </x:c>
      <x:c r="F3424" s="20" t="str"/>
      <x:c r="G3424" s="20" t="str"/>
      <x:c r="H3424" s="20" t="str">
        <x:v>1000 Operating Cash</x:v>
      </x:c>
      <x:c r="I3424" s="26" t="n">
        <x:v>0</x:v>
      </x:c>
      <x:c r="J3424" s="26" t="n">
        <x:v>765</x:v>
      </x:c>
      <x:c r="K3424" s="35" t="str">
        <x:v>Franklin County Treasurer</x:v>
      </x:c>
    </x:row>
    <x:row r="3425">
      <x:c r="A3425" s="20" t="str">
        <x:v>FIN-01589</x:v>
      </x:c>
      <x:c r="B3425" s="32" t="n">
        <x:v>1</x:v>
      </x:c>
      <x:c r="C3425" s="23" t="n">
        <x:v>46749</x:v>
      </x:c>
      <x:c r="D3425" s="23" t="n">
        <x:v>46749</x:v>
      </x:c>
      <x:c r="E3425" s="20" t="str">
        <x:v>P018</x:v>
      </x:c>
      <x:c r="F3425" s="20" t="str"/>
      <x:c r="G3425" s="20" t="str"/>
      <x:c r="H3425" s="20" t="str">
        <x:v>5030 Property Taxes</x:v>
      </x:c>
      <x:c r="I3425" s="26" t="n">
        <x:v>772</x:v>
      </x:c>
      <x:c r="J3425" s="26" t="n">
        <x:v>0</x:v>
      </x:c>
      <x:c r="K3425" s="35" t="str">
        <x:v>Franklin County Treasurer</x:v>
      </x:c>
    </x:row>
    <x:row r="3426">
      <x:c r="A3426" s="20" t="str">
        <x:v>FIN-01589</x:v>
      </x:c>
      <x:c r="B3426" s="32" t="n">
        <x:v>2</x:v>
      </x:c>
      <x:c r="C3426" s="23" t="n">
        <x:v>46749</x:v>
      </x:c>
      <x:c r="D3426" s="23" t="n">
        <x:v>46749</x:v>
      </x:c>
      <x:c r="E3426" s="20" t="str">
        <x:v>P018</x:v>
      </x:c>
      <x:c r="F3426" s="20" t="str"/>
      <x:c r="G3426" s="20" t="str"/>
      <x:c r="H3426" s="20" t="str">
        <x:v>1000 Operating Cash</x:v>
      </x:c>
      <x:c r="I3426" s="26" t="n">
        <x:v>0</x:v>
      </x:c>
      <x:c r="J3426" s="26" t="n">
        <x:v>772</x:v>
      </x:c>
      <x:c r="K3426" s="35" t="str">
        <x:v>Franklin County Treasurer</x:v>
      </x:c>
    </x:row>
    <x:row r="3427">
      <x:c r="A3427" s="20" t="str">
        <x:v>FIN-01590</x:v>
      </x:c>
      <x:c r="B3427" s="32" t="n">
        <x:v>1</x:v>
      </x:c>
      <x:c r="C3427" s="23" t="n">
        <x:v>46586</x:v>
      </x:c>
      <x:c r="D3427" s="23" t="n">
        <x:v>46586</x:v>
      </x:c>
      <x:c r="E3427" s="20" t="str">
        <x:v>P019</x:v>
      </x:c>
      <x:c r="F3427" s="20" t="str"/>
      <x:c r="G3427" s="20" t="str"/>
      <x:c r="H3427" s="20" t="str">
        <x:v>5020 Insurance</x:v>
      </x:c>
      <x:c r="I3427" s="26" t="n">
        <x:v>1303</x:v>
      </x:c>
      <x:c r="J3427" s="26" t="n">
        <x:v>0</x:v>
      </x:c>
      <x:c r="K3427" s="35" t="str">
        <x:v>Buckeye Mutual Insurance</x:v>
      </x:c>
    </x:row>
    <x:row r="3428">
      <x:c r="A3428" s="20" t="str">
        <x:v>FIN-01590</x:v>
      </x:c>
      <x:c r="B3428" s="32" t="n">
        <x:v>2</x:v>
      </x:c>
      <x:c r="C3428" s="23" t="n">
        <x:v>46586</x:v>
      </x:c>
      <x:c r="D3428" s="23" t="n">
        <x:v>46586</x:v>
      </x:c>
      <x:c r="E3428" s="20" t="str">
        <x:v>P019</x:v>
      </x:c>
      <x:c r="F3428" s="20" t="str"/>
      <x:c r="G3428" s="20" t="str"/>
      <x:c r="H3428" s="20" t="str">
        <x:v>1000 Operating Cash</x:v>
      </x:c>
      <x:c r="I3428" s="26" t="n">
        <x:v>0</x:v>
      </x:c>
      <x:c r="J3428" s="26" t="n">
        <x:v>1303</x:v>
      </x:c>
      <x:c r="K3428" s="35" t="str">
        <x:v>Buckeye Mutual Insurance</x:v>
      </x:c>
    </x:row>
    <x:row r="3429">
      <x:c r="A3429" s="20" t="str">
        <x:v>FIN-01591</x:v>
      </x:c>
      <x:c r="B3429" s="32" t="n">
        <x:v>1</x:v>
      </x:c>
      <x:c r="C3429" s="23" t="n">
        <x:v>46474</x:v>
      </x:c>
      <x:c r="D3429" s="23" t="n">
        <x:v>46474</x:v>
      </x:c>
      <x:c r="E3429" s="20" t="str">
        <x:v>P019</x:v>
      </x:c>
      <x:c r="F3429" s="20" t="str"/>
      <x:c r="G3429" s="20" t="str"/>
      <x:c r="H3429" s="20" t="str">
        <x:v>5030 Property Taxes</x:v>
      </x:c>
      <x:c r="I3429" s="26" t="n">
        <x:v>764</x:v>
      </x:c>
      <x:c r="J3429" s="26" t="n">
        <x:v>0</x:v>
      </x:c>
      <x:c r="K3429" s="35" t="str">
        <x:v>Franklin County Treasurer</x:v>
      </x:c>
    </x:row>
    <x:row r="3430">
      <x:c r="A3430" s="20" t="str">
        <x:v>FIN-01591</x:v>
      </x:c>
      <x:c r="B3430" s="32" t="n">
        <x:v>2</x:v>
      </x:c>
      <x:c r="C3430" s="23" t="n">
        <x:v>46474</x:v>
      </x:c>
      <x:c r="D3430" s="23" t="n">
        <x:v>46474</x:v>
      </x:c>
      <x:c r="E3430" s="20" t="str">
        <x:v>P019</x:v>
      </x:c>
      <x:c r="F3430" s="20" t="str"/>
      <x:c r="G3430" s="20" t="str"/>
      <x:c r="H3430" s="20" t="str">
        <x:v>1000 Operating Cash</x:v>
      </x:c>
      <x:c r="I3430" s="26" t="n">
        <x:v>0</x:v>
      </x:c>
      <x:c r="J3430" s="26" t="n">
        <x:v>764</x:v>
      </x:c>
      <x:c r="K3430" s="35" t="str">
        <x:v>Franklin County Treasurer</x:v>
      </x:c>
    </x:row>
    <x:row r="3431">
      <x:c r="A3431" s="20" t="str">
        <x:v>FIN-01592</x:v>
      </x:c>
      <x:c r="B3431" s="32" t="n">
        <x:v>1</x:v>
      </x:c>
      <x:c r="C3431" s="23" t="n">
        <x:v>46566</x:v>
      </x:c>
      <x:c r="D3431" s="23" t="n">
        <x:v>46566</x:v>
      </x:c>
      <x:c r="E3431" s="20" t="str">
        <x:v>P019</x:v>
      </x:c>
      <x:c r="F3431" s="20" t="str"/>
      <x:c r="G3431" s="20" t="str"/>
      <x:c r="H3431" s="20" t="str">
        <x:v>5030 Property Taxes</x:v>
      </x:c>
      <x:c r="I3431" s="26" t="n">
        <x:v>771</x:v>
      </x:c>
      <x:c r="J3431" s="26" t="n">
        <x:v>0</x:v>
      </x:c>
      <x:c r="K3431" s="35" t="str">
        <x:v>Franklin County Treasurer</x:v>
      </x:c>
    </x:row>
    <x:row r="3432">
      <x:c r="A3432" s="20" t="str">
        <x:v>FIN-01592</x:v>
      </x:c>
      <x:c r="B3432" s="32" t="n">
        <x:v>2</x:v>
      </x:c>
      <x:c r="C3432" s="23" t="n">
        <x:v>46566</x:v>
      </x:c>
      <x:c r="D3432" s="23" t="n">
        <x:v>46566</x:v>
      </x:c>
      <x:c r="E3432" s="20" t="str">
        <x:v>P019</x:v>
      </x:c>
      <x:c r="F3432" s="20" t="str"/>
      <x:c r="G3432" s="20" t="str"/>
      <x:c r="H3432" s="20" t="str">
        <x:v>1000 Operating Cash</x:v>
      </x:c>
      <x:c r="I3432" s="26" t="n">
        <x:v>0</x:v>
      </x:c>
      <x:c r="J3432" s="26" t="n">
        <x:v>771</x:v>
      </x:c>
      <x:c r="K3432" s="35" t="str">
        <x:v>Franklin County Treasurer</x:v>
      </x:c>
    </x:row>
    <x:row r="3433">
      <x:c r="A3433" s="20" t="str">
        <x:v>FIN-01593</x:v>
      </x:c>
      <x:c r="B3433" s="32" t="n">
        <x:v>1</x:v>
      </x:c>
      <x:c r="C3433" s="23" t="n">
        <x:v>46658</x:v>
      </x:c>
      <x:c r="D3433" s="23" t="n">
        <x:v>46658</x:v>
      </x:c>
      <x:c r="E3433" s="20" t="str">
        <x:v>P019</x:v>
      </x:c>
      <x:c r="F3433" s="20" t="str"/>
      <x:c r="G3433" s="20" t="str"/>
      <x:c r="H3433" s="20" t="str">
        <x:v>5030 Property Taxes</x:v>
      </x:c>
      <x:c r="I3433" s="26" t="n">
        <x:v>778</x:v>
      </x:c>
      <x:c r="J3433" s="26" t="n">
        <x:v>0</x:v>
      </x:c>
      <x:c r="K3433" s="35" t="str">
        <x:v>Franklin County Treasurer</x:v>
      </x:c>
    </x:row>
    <x:row r="3434">
      <x:c r="A3434" s="20" t="str">
        <x:v>FIN-01593</x:v>
      </x:c>
      <x:c r="B3434" s="32" t="n">
        <x:v>2</x:v>
      </x:c>
      <x:c r="C3434" s="23" t="n">
        <x:v>46658</x:v>
      </x:c>
      <x:c r="D3434" s="23" t="n">
        <x:v>46658</x:v>
      </x:c>
      <x:c r="E3434" s="20" t="str">
        <x:v>P019</x:v>
      </x:c>
      <x:c r="F3434" s="20" t="str"/>
      <x:c r="G3434" s="20" t="str"/>
      <x:c r="H3434" s="20" t="str">
        <x:v>1000 Operating Cash</x:v>
      </x:c>
      <x:c r="I3434" s="26" t="n">
        <x:v>0</x:v>
      </x:c>
      <x:c r="J3434" s="26" t="n">
        <x:v>778</x:v>
      </x:c>
      <x:c r="K3434" s="35" t="str">
        <x:v>Franklin County Treasurer</x:v>
      </x:c>
    </x:row>
    <x:row r="3435">
      <x:c r="A3435" s="20" t="str">
        <x:v>FIN-01594</x:v>
      </x:c>
      <x:c r="B3435" s="32" t="n">
        <x:v>1</x:v>
      </x:c>
      <x:c r="C3435" s="23" t="n">
        <x:v>46749</x:v>
      </x:c>
      <x:c r="D3435" s="23" t="n">
        <x:v>46749</x:v>
      </x:c>
      <x:c r="E3435" s="20" t="str">
        <x:v>P019</x:v>
      </x:c>
      <x:c r="F3435" s="20" t="str"/>
      <x:c r="G3435" s="20" t="str"/>
      <x:c r="H3435" s="20" t="str">
        <x:v>5030 Property Taxes</x:v>
      </x:c>
      <x:c r="I3435" s="26" t="n">
        <x:v>785</x:v>
      </x:c>
      <x:c r="J3435" s="26" t="n">
        <x:v>0</x:v>
      </x:c>
      <x:c r="K3435" s="35" t="str">
        <x:v>Franklin County Treasurer</x:v>
      </x:c>
    </x:row>
    <x:row r="3436">
      <x:c r="A3436" s="20" t="str">
        <x:v>FIN-01594</x:v>
      </x:c>
      <x:c r="B3436" s="32" t="n">
        <x:v>2</x:v>
      </x:c>
      <x:c r="C3436" s="23" t="n">
        <x:v>46749</x:v>
      </x:c>
      <x:c r="D3436" s="23" t="n">
        <x:v>46749</x:v>
      </x:c>
      <x:c r="E3436" s="20" t="str">
        <x:v>P019</x:v>
      </x:c>
      <x:c r="F3436" s="20" t="str"/>
      <x:c r="G3436" s="20" t="str"/>
      <x:c r="H3436" s="20" t="str">
        <x:v>1000 Operating Cash</x:v>
      </x:c>
      <x:c r="I3436" s="26" t="n">
        <x:v>0</x:v>
      </x:c>
      <x:c r="J3436" s="26" t="n">
        <x:v>785</x:v>
      </x:c>
      <x:c r="K3436" s="35" t="str">
        <x:v>Franklin County Treasurer</x:v>
      </x:c>
    </x:row>
    <x:row r="3437">
      <x:c r="A3437" s="20" t="str">
        <x:v>FIN-01595</x:v>
      </x:c>
      <x:c r="B3437" s="32" t="n">
        <x:v>1</x:v>
      </x:c>
      <x:c r="C3437" s="23" t="n">
        <x:v>46617</x:v>
      </x:c>
      <x:c r="D3437" s="23" t="n">
        <x:v>46617</x:v>
      </x:c>
      <x:c r="E3437" s="20" t="str">
        <x:v>P020</x:v>
      </x:c>
      <x:c r="F3437" s="20" t="str"/>
      <x:c r="G3437" s="20" t="str"/>
      <x:c r="H3437" s="20" t="str">
        <x:v>5020 Insurance</x:v>
      </x:c>
      <x:c r="I3437" s="26" t="n">
        <x:v>1320</x:v>
      </x:c>
      <x:c r="J3437" s="26" t="n">
        <x:v>0</x:v>
      </x:c>
      <x:c r="K3437" s="35" t="str">
        <x:v>Buckeye Mutual Insurance</x:v>
      </x:c>
    </x:row>
    <x:row r="3438">
      <x:c r="A3438" s="20" t="str">
        <x:v>FIN-01595</x:v>
      </x:c>
      <x:c r="B3438" s="32" t="n">
        <x:v>2</x:v>
      </x:c>
      <x:c r="C3438" s="23" t="n">
        <x:v>46617</x:v>
      </x:c>
      <x:c r="D3438" s="23" t="n">
        <x:v>46617</x:v>
      </x:c>
      <x:c r="E3438" s="20" t="str">
        <x:v>P020</x:v>
      </x:c>
      <x:c r="F3438" s="20" t="str"/>
      <x:c r="G3438" s="20" t="str"/>
      <x:c r="H3438" s="20" t="str">
        <x:v>1000 Operating Cash</x:v>
      </x:c>
      <x:c r="I3438" s="26" t="n">
        <x:v>0</x:v>
      </x:c>
      <x:c r="J3438" s="26" t="n">
        <x:v>1320</x:v>
      </x:c>
      <x:c r="K3438" s="35" t="str">
        <x:v>Buckeye Mutual Insurance</x:v>
      </x:c>
    </x:row>
    <x:row r="3439">
      <x:c r="A3439" s="20" t="str">
        <x:v>FIN-01596</x:v>
      </x:c>
      <x:c r="B3439" s="32" t="n">
        <x:v>1</x:v>
      </x:c>
      <x:c r="C3439" s="23" t="n">
        <x:v>46474</x:v>
      </x:c>
      <x:c r="D3439" s="23" t="n">
        <x:v>46474</x:v>
      </x:c>
      <x:c r="E3439" s="20" t="str">
        <x:v>P020</x:v>
      </x:c>
      <x:c r="F3439" s="20" t="str"/>
      <x:c r="G3439" s="20" t="str"/>
      <x:c r="H3439" s="20" t="str">
        <x:v>5030 Property Taxes</x:v>
      </x:c>
      <x:c r="I3439" s="26" t="n">
        <x:v>777</x:v>
      </x:c>
      <x:c r="J3439" s="26" t="n">
        <x:v>0</x:v>
      </x:c>
      <x:c r="K3439" s="35" t="str">
        <x:v>Franklin County Treasurer</x:v>
      </x:c>
    </x:row>
    <x:row r="3440">
      <x:c r="A3440" s="20" t="str">
        <x:v>FIN-01596</x:v>
      </x:c>
      <x:c r="B3440" s="32" t="n">
        <x:v>2</x:v>
      </x:c>
      <x:c r="C3440" s="23" t="n">
        <x:v>46474</x:v>
      </x:c>
      <x:c r="D3440" s="23" t="n">
        <x:v>46474</x:v>
      </x:c>
      <x:c r="E3440" s="20" t="str">
        <x:v>P020</x:v>
      </x:c>
      <x:c r="F3440" s="20" t="str"/>
      <x:c r="G3440" s="20" t="str"/>
      <x:c r="H3440" s="20" t="str">
        <x:v>1000 Operating Cash</x:v>
      </x:c>
      <x:c r="I3440" s="26" t="n">
        <x:v>0</x:v>
      </x:c>
      <x:c r="J3440" s="26" t="n">
        <x:v>777</x:v>
      </x:c>
      <x:c r="K3440" s="35" t="str">
        <x:v>Franklin County Treasurer</x:v>
      </x:c>
    </x:row>
    <x:row r="3441">
      <x:c r="A3441" s="20" t="str">
        <x:v>FIN-01597</x:v>
      </x:c>
      <x:c r="B3441" s="32" t="n">
        <x:v>1</x:v>
      </x:c>
      <x:c r="C3441" s="23" t="n">
        <x:v>46566</x:v>
      </x:c>
      <x:c r="D3441" s="23" t="n">
        <x:v>46566</x:v>
      </x:c>
      <x:c r="E3441" s="20" t="str">
        <x:v>P020</x:v>
      </x:c>
      <x:c r="F3441" s="20" t="str"/>
      <x:c r="G3441" s="20" t="str"/>
      <x:c r="H3441" s="20" t="str">
        <x:v>5030 Property Taxes</x:v>
      </x:c>
      <x:c r="I3441" s="26" t="n">
        <x:v>784</x:v>
      </x:c>
      <x:c r="J3441" s="26" t="n">
        <x:v>0</x:v>
      </x:c>
      <x:c r="K3441" s="35" t="str">
        <x:v>Franklin County Treasurer</x:v>
      </x:c>
    </x:row>
    <x:row r="3442">
      <x:c r="A3442" s="20" t="str">
        <x:v>FIN-01597</x:v>
      </x:c>
      <x:c r="B3442" s="32" t="n">
        <x:v>2</x:v>
      </x:c>
      <x:c r="C3442" s="23" t="n">
        <x:v>46566</x:v>
      </x:c>
      <x:c r="D3442" s="23" t="n">
        <x:v>46566</x:v>
      </x:c>
      <x:c r="E3442" s="20" t="str">
        <x:v>P020</x:v>
      </x:c>
      <x:c r="F3442" s="20" t="str"/>
      <x:c r="G3442" s="20" t="str"/>
      <x:c r="H3442" s="20" t="str">
        <x:v>1000 Operating Cash</x:v>
      </x:c>
      <x:c r="I3442" s="26" t="n">
        <x:v>0</x:v>
      </x:c>
      <x:c r="J3442" s="26" t="n">
        <x:v>784</x:v>
      </x:c>
      <x:c r="K3442" s="35" t="str">
        <x:v>Franklin County Treasurer</x:v>
      </x:c>
    </x:row>
    <x:row r="3443">
      <x:c r="A3443" s="20" t="str">
        <x:v>FIN-01598</x:v>
      </x:c>
      <x:c r="B3443" s="32" t="n">
        <x:v>1</x:v>
      </x:c>
      <x:c r="C3443" s="23" t="n">
        <x:v>46658</x:v>
      </x:c>
      <x:c r="D3443" s="23" t="n">
        <x:v>46658</x:v>
      </x:c>
      <x:c r="E3443" s="20" t="str">
        <x:v>P020</x:v>
      </x:c>
      <x:c r="F3443" s="20" t="str"/>
      <x:c r="G3443" s="20" t="str"/>
      <x:c r="H3443" s="20" t="str">
        <x:v>5030 Property Taxes</x:v>
      </x:c>
      <x:c r="I3443" s="26" t="n">
        <x:v>791</x:v>
      </x:c>
      <x:c r="J3443" s="26" t="n">
        <x:v>0</x:v>
      </x:c>
      <x:c r="K3443" s="35" t="str">
        <x:v>Franklin County Treasurer</x:v>
      </x:c>
    </x:row>
    <x:row r="3444">
      <x:c r="A3444" s="20" t="str">
        <x:v>FIN-01598</x:v>
      </x:c>
      <x:c r="B3444" s="32" t="n">
        <x:v>2</x:v>
      </x:c>
      <x:c r="C3444" s="23" t="n">
        <x:v>46658</x:v>
      </x:c>
      <x:c r="D3444" s="23" t="n">
        <x:v>46658</x:v>
      </x:c>
      <x:c r="E3444" s="20" t="str">
        <x:v>P020</x:v>
      </x:c>
      <x:c r="F3444" s="20" t="str"/>
      <x:c r="G3444" s="20" t="str"/>
      <x:c r="H3444" s="20" t="str">
        <x:v>1000 Operating Cash</x:v>
      </x:c>
      <x:c r="I3444" s="26" t="n">
        <x:v>0</x:v>
      </x:c>
      <x:c r="J3444" s="26" t="n">
        <x:v>791</x:v>
      </x:c>
      <x:c r="K3444" s="35" t="str">
        <x:v>Franklin County Treasurer</x:v>
      </x:c>
    </x:row>
    <x:row r="3445">
      <x:c r="A3445" s="20" t="str">
        <x:v>FIN-01599</x:v>
      </x:c>
      <x:c r="B3445" s="32" t="n">
        <x:v>1</x:v>
      </x:c>
      <x:c r="C3445" s="23" t="n">
        <x:v>46749</x:v>
      </x:c>
      <x:c r="D3445" s="23" t="n">
        <x:v>46749</x:v>
      </x:c>
      <x:c r="E3445" s="20" t="str">
        <x:v>P020</x:v>
      </x:c>
      <x:c r="F3445" s="20" t="str"/>
      <x:c r="G3445" s="20" t="str"/>
      <x:c r="H3445" s="20" t="str">
        <x:v>5030 Property Taxes</x:v>
      </x:c>
      <x:c r="I3445" s="26" t="n">
        <x:v>798</x:v>
      </x:c>
      <x:c r="J3445" s="26" t="n">
        <x:v>0</x:v>
      </x:c>
      <x:c r="K3445" s="35" t="str">
        <x:v>Franklin County Treasurer</x:v>
      </x:c>
    </x:row>
    <x:row r="3446">
      <x:c r="A3446" s="20" t="str">
        <x:v>FIN-01599</x:v>
      </x:c>
      <x:c r="B3446" s="32" t="n">
        <x:v>2</x:v>
      </x:c>
      <x:c r="C3446" s="23" t="n">
        <x:v>46749</x:v>
      </x:c>
      <x:c r="D3446" s="23" t="n">
        <x:v>46749</x:v>
      </x:c>
      <x:c r="E3446" s="20" t="str">
        <x:v>P020</x:v>
      </x:c>
      <x:c r="F3446" s="20" t="str"/>
      <x:c r="G3446" s="20" t="str"/>
      <x:c r="H3446" s="20" t="str">
        <x:v>1000 Operating Cash</x:v>
      </x:c>
      <x:c r="I3446" s="26" t="n">
        <x:v>0</x:v>
      </x:c>
      <x:c r="J3446" s="26" t="n">
        <x:v>798</x:v>
      </x:c>
      <x:c r="K3446" s="35" t="str">
        <x:v>Franklin County Treasurer</x:v>
      </x:c>
    </x:row>
    <x:row r="3447">
      <x:c r="A3447" s="20" t="str">
        <x:v>FIN-01600</x:v>
      </x:c>
      <x:c r="B3447" s="32" t="n">
        <x:v>1</x:v>
      </x:c>
      <x:c r="C3447" s="23" t="n">
        <x:v>46648</x:v>
      </x:c>
      <x:c r="D3447" s="23" t="n">
        <x:v>46648</x:v>
      </x:c>
      <x:c r="E3447" s="20" t="str">
        <x:v>P021</x:v>
      </x:c>
      <x:c r="F3447" s="20" t="str"/>
      <x:c r="G3447" s="20" t="str"/>
      <x:c r="H3447" s="20" t="str">
        <x:v>5020 Insurance</x:v>
      </x:c>
      <x:c r="I3447" s="26" t="n">
        <x:v>1337</x:v>
      </x:c>
      <x:c r="J3447" s="26" t="n">
        <x:v>0</x:v>
      </x:c>
      <x:c r="K3447" s="35" t="str">
        <x:v>Buckeye Mutual Insurance</x:v>
      </x:c>
    </x:row>
    <x:row r="3448">
      <x:c r="A3448" s="20" t="str">
        <x:v>FIN-01600</x:v>
      </x:c>
      <x:c r="B3448" s="32" t="n">
        <x:v>2</x:v>
      </x:c>
      <x:c r="C3448" s="23" t="n">
        <x:v>46648</x:v>
      </x:c>
      <x:c r="D3448" s="23" t="n">
        <x:v>46648</x:v>
      </x:c>
      <x:c r="E3448" s="20" t="str">
        <x:v>P021</x:v>
      </x:c>
      <x:c r="F3448" s="20" t="str"/>
      <x:c r="G3448" s="20" t="str"/>
      <x:c r="H3448" s="20" t="str">
        <x:v>1000 Operating Cash</x:v>
      </x:c>
      <x:c r="I3448" s="26" t="n">
        <x:v>0</x:v>
      </x:c>
      <x:c r="J3448" s="26" t="n">
        <x:v>1337</x:v>
      </x:c>
      <x:c r="K3448" s="35" t="str">
        <x:v>Buckeye Mutual Insurance</x:v>
      </x:c>
    </x:row>
    <x:row r="3449">
      <x:c r="A3449" s="20" t="str">
        <x:v>FIN-01601</x:v>
      </x:c>
      <x:c r="B3449" s="32" t="n">
        <x:v>1</x:v>
      </x:c>
      <x:c r="C3449" s="23" t="n">
        <x:v>46474</x:v>
      </x:c>
      <x:c r="D3449" s="23" t="n">
        <x:v>46474</x:v>
      </x:c>
      <x:c r="E3449" s="20" t="str">
        <x:v>P021</x:v>
      </x:c>
      <x:c r="F3449" s="20" t="str"/>
      <x:c r="G3449" s="20" t="str"/>
      <x:c r="H3449" s="20" t="str">
        <x:v>5030 Property Taxes</x:v>
      </x:c>
      <x:c r="I3449" s="26" t="n">
        <x:v>790</x:v>
      </x:c>
      <x:c r="J3449" s="26" t="n">
        <x:v>0</x:v>
      </x:c>
      <x:c r="K3449" s="35" t="str">
        <x:v>Franklin County Treasurer</x:v>
      </x:c>
    </x:row>
    <x:row r="3450">
      <x:c r="A3450" s="20" t="str">
        <x:v>FIN-01601</x:v>
      </x:c>
      <x:c r="B3450" s="32" t="n">
        <x:v>2</x:v>
      </x:c>
      <x:c r="C3450" s="23" t="n">
        <x:v>46474</x:v>
      </x:c>
      <x:c r="D3450" s="23" t="n">
        <x:v>46474</x:v>
      </x:c>
      <x:c r="E3450" s="20" t="str">
        <x:v>P021</x:v>
      </x:c>
      <x:c r="F3450" s="20" t="str"/>
      <x:c r="G3450" s="20" t="str"/>
      <x:c r="H3450" s="20" t="str">
        <x:v>1000 Operating Cash</x:v>
      </x:c>
      <x:c r="I3450" s="26" t="n">
        <x:v>0</x:v>
      </x:c>
      <x:c r="J3450" s="26" t="n">
        <x:v>790</x:v>
      </x:c>
      <x:c r="K3450" s="35" t="str">
        <x:v>Franklin County Treasurer</x:v>
      </x:c>
    </x:row>
    <x:row r="3451">
      <x:c r="A3451" s="20" t="str">
        <x:v>FIN-01602</x:v>
      </x:c>
      <x:c r="B3451" s="32" t="n">
        <x:v>1</x:v>
      </x:c>
      <x:c r="C3451" s="23" t="n">
        <x:v>46566</x:v>
      </x:c>
      <x:c r="D3451" s="23" t="n">
        <x:v>46566</x:v>
      </x:c>
      <x:c r="E3451" s="20" t="str">
        <x:v>P021</x:v>
      </x:c>
      <x:c r="F3451" s="20" t="str"/>
      <x:c r="G3451" s="20" t="str"/>
      <x:c r="H3451" s="20" t="str">
        <x:v>5030 Property Taxes</x:v>
      </x:c>
      <x:c r="I3451" s="26" t="n">
        <x:v>797</x:v>
      </x:c>
      <x:c r="J3451" s="26" t="n">
        <x:v>0</x:v>
      </x:c>
      <x:c r="K3451" s="35" t="str">
        <x:v>Franklin County Treasurer</x:v>
      </x:c>
    </x:row>
    <x:row r="3452">
      <x:c r="A3452" s="20" t="str">
        <x:v>FIN-01602</x:v>
      </x:c>
      <x:c r="B3452" s="32" t="n">
        <x:v>2</x:v>
      </x:c>
      <x:c r="C3452" s="23" t="n">
        <x:v>46566</x:v>
      </x:c>
      <x:c r="D3452" s="23" t="n">
        <x:v>46566</x:v>
      </x:c>
      <x:c r="E3452" s="20" t="str">
        <x:v>P021</x:v>
      </x:c>
      <x:c r="F3452" s="20" t="str"/>
      <x:c r="G3452" s="20" t="str"/>
      <x:c r="H3452" s="20" t="str">
        <x:v>1000 Operating Cash</x:v>
      </x:c>
      <x:c r="I3452" s="26" t="n">
        <x:v>0</x:v>
      </x:c>
      <x:c r="J3452" s="26" t="n">
        <x:v>797</x:v>
      </x:c>
      <x:c r="K3452" s="35" t="str">
        <x:v>Franklin County Treasurer</x:v>
      </x:c>
    </x:row>
    <x:row r="3453">
      <x:c r="A3453" s="20" t="str">
        <x:v>FIN-01603</x:v>
      </x:c>
      <x:c r="B3453" s="32" t="n">
        <x:v>1</x:v>
      </x:c>
      <x:c r="C3453" s="23" t="n">
        <x:v>46658</x:v>
      </x:c>
      <x:c r="D3453" s="23" t="n">
        <x:v>46658</x:v>
      </x:c>
      <x:c r="E3453" s="20" t="str">
        <x:v>P021</x:v>
      </x:c>
      <x:c r="F3453" s="20" t="str"/>
      <x:c r="G3453" s="20" t="str"/>
      <x:c r="H3453" s="20" t="str">
        <x:v>5030 Property Taxes</x:v>
      </x:c>
      <x:c r="I3453" s="26" t="n">
        <x:v>804</x:v>
      </x:c>
      <x:c r="J3453" s="26" t="n">
        <x:v>0</x:v>
      </x:c>
      <x:c r="K3453" s="35" t="str">
        <x:v>Franklin County Treasurer</x:v>
      </x:c>
    </x:row>
    <x:row r="3454">
      <x:c r="A3454" s="20" t="str">
        <x:v>FIN-01603</x:v>
      </x:c>
      <x:c r="B3454" s="32" t="n">
        <x:v>2</x:v>
      </x:c>
      <x:c r="C3454" s="23" t="n">
        <x:v>46658</x:v>
      </x:c>
      <x:c r="D3454" s="23" t="n">
        <x:v>46658</x:v>
      </x:c>
      <x:c r="E3454" s="20" t="str">
        <x:v>P021</x:v>
      </x:c>
      <x:c r="F3454" s="20" t="str"/>
      <x:c r="G3454" s="20" t="str"/>
      <x:c r="H3454" s="20" t="str">
        <x:v>1000 Operating Cash</x:v>
      </x:c>
      <x:c r="I3454" s="26" t="n">
        <x:v>0</x:v>
      </x:c>
      <x:c r="J3454" s="26" t="n">
        <x:v>804</x:v>
      </x:c>
      <x:c r="K3454" s="35" t="str">
        <x:v>Franklin County Treasurer</x:v>
      </x:c>
    </x:row>
    <x:row r="3455">
      <x:c r="A3455" s="20" t="str">
        <x:v>FIN-01604</x:v>
      </x:c>
      <x:c r="B3455" s="32" t="n">
        <x:v>1</x:v>
      </x:c>
      <x:c r="C3455" s="23" t="n">
        <x:v>46749</x:v>
      </x:c>
      <x:c r="D3455" s="23" t="n">
        <x:v>46749</x:v>
      </x:c>
      <x:c r="E3455" s="20" t="str">
        <x:v>P021</x:v>
      </x:c>
      <x:c r="F3455" s="20" t="str"/>
      <x:c r="G3455" s="20" t="str"/>
      <x:c r="H3455" s="20" t="str">
        <x:v>5030 Property Taxes</x:v>
      </x:c>
      <x:c r="I3455" s="26" t="n">
        <x:v>811</x:v>
      </x:c>
      <x:c r="J3455" s="26" t="n">
        <x:v>0</x:v>
      </x:c>
      <x:c r="K3455" s="35" t="str">
        <x:v>Franklin County Treasurer</x:v>
      </x:c>
    </x:row>
    <x:row r="3456">
      <x:c r="A3456" s="20" t="str">
        <x:v>FIN-01604</x:v>
      </x:c>
      <x:c r="B3456" s="32" t="n">
        <x:v>2</x:v>
      </x:c>
      <x:c r="C3456" s="23" t="n">
        <x:v>46749</x:v>
      </x:c>
      <x:c r="D3456" s="23" t="n">
        <x:v>46749</x:v>
      </x:c>
      <x:c r="E3456" s="20" t="str">
        <x:v>P021</x:v>
      </x:c>
      <x:c r="F3456" s="20" t="str"/>
      <x:c r="G3456" s="20" t="str"/>
      <x:c r="H3456" s="20" t="str">
        <x:v>1000 Operating Cash</x:v>
      </x:c>
      <x:c r="I3456" s="26" t="n">
        <x:v>0</x:v>
      </x:c>
      <x:c r="J3456" s="26" t="n">
        <x:v>811</x:v>
      </x:c>
      <x:c r="K3456" s="35" t="str">
        <x:v>Franklin County Treasurer</x:v>
      </x:c>
    </x:row>
    <x:row r="3457">
      <x:c r="A3457" s="20" t="str">
        <x:v>FIN-01605</x:v>
      </x:c>
      <x:c r="B3457" s="32" t="n">
        <x:v>1</x:v>
      </x:c>
      <x:c r="C3457" s="23" t="n">
        <x:v>46678</x:v>
      </x:c>
      <x:c r="D3457" s="23" t="n">
        <x:v>46678</x:v>
      </x:c>
      <x:c r="E3457" s="20" t="str">
        <x:v>P022</x:v>
      </x:c>
      <x:c r="F3457" s="20" t="str"/>
      <x:c r="G3457" s="20" t="str"/>
      <x:c r="H3457" s="20" t="str">
        <x:v>5020 Insurance</x:v>
      </x:c>
      <x:c r="I3457" s="26" t="n">
        <x:v>1354</x:v>
      </x:c>
      <x:c r="J3457" s="26" t="n">
        <x:v>0</x:v>
      </x:c>
      <x:c r="K3457" s="35" t="str">
        <x:v>Buckeye Mutual Insurance</x:v>
      </x:c>
    </x:row>
    <x:row r="3458">
      <x:c r="A3458" s="20" t="str">
        <x:v>FIN-01605</x:v>
      </x:c>
      <x:c r="B3458" s="32" t="n">
        <x:v>2</x:v>
      </x:c>
      <x:c r="C3458" s="23" t="n">
        <x:v>46678</x:v>
      </x:c>
      <x:c r="D3458" s="23" t="n">
        <x:v>46678</x:v>
      </x:c>
      <x:c r="E3458" s="20" t="str">
        <x:v>P022</x:v>
      </x:c>
      <x:c r="F3458" s="20" t="str"/>
      <x:c r="G3458" s="20" t="str"/>
      <x:c r="H3458" s="20" t="str">
        <x:v>1000 Operating Cash</x:v>
      </x:c>
      <x:c r="I3458" s="26" t="n">
        <x:v>0</x:v>
      </x:c>
      <x:c r="J3458" s="26" t="n">
        <x:v>1354</x:v>
      </x:c>
      <x:c r="K3458" s="35" t="str">
        <x:v>Buckeye Mutual Insurance</x:v>
      </x:c>
    </x:row>
    <x:row r="3459">
      <x:c r="A3459" s="20" t="str">
        <x:v>FIN-01606</x:v>
      </x:c>
      <x:c r="B3459" s="32" t="n">
        <x:v>1</x:v>
      </x:c>
      <x:c r="C3459" s="23" t="n">
        <x:v>46474</x:v>
      </x:c>
      <x:c r="D3459" s="23" t="n">
        <x:v>46474</x:v>
      </x:c>
      <x:c r="E3459" s="20" t="str">
        <x:v>P022</x:v>
      </x:c>
      <x:c r="F3459" s="20" t="str"/>
      <x:c r="G3459" s="20" t="str"/>
      <x:c r="H3459" s="20" t="str">
        <x:v>5030 Property Taxes</x:v>
      </x:c>
      <x:c r="I3459" s="26" t="n">
        <x:v>803</x:v>
      </x:c>
      <x:c r="J3459" s="26" t="n">
        <x:v>0</x:v>
      </x:c>
      <x:c r="K3459" s="35" t="str">
        <x:v>Franklin County Treasurer</x:v>
      </x:c>
    </x:row>
    <x:row r="3460">
      <x:c r="A3460" s="20" t="str">
        <x:v>FIN-01606</x:v>
      </x:c>
      <x:c r="B3460" s="32" t="n">
        <x:v>2</x:v>
      </x:c>
      <x:c r="C3460" s="23" t="n">
        <x:v>46474</x:v>
      </x:c>
      <x:c r="D3460" s="23" t="n">
        <x:v>46474</x:v>
      </x:c>
      <x:c r="E3460" s="20" t="str">
        <x:v>P022</x:v>
      </x:c>
      <x:c r="F3460" s="20" t="str"/>
      <x:c r="G3460" s="20" t="str"/>
      <x:c r="H3460" s="20" t="str">
        <x:v>1000 Operating Cash</x:v>
      </x:c>
      <x:c r="I3460" s="26" t="n">
        <x:v>0</x:v>
      </x:c>
      <x:c r="J3460" s="26" t="n">
        <x:v>803</x:v>
      </x:c>
      <x:c r="K3460" s="35" t="str">
        <x:v>Franklin County Treasurer</x:v>
      </x:c>
    </x:row>
    <x:row r="3461">
      <x:c r="A3461" s="20" t="str">
        <x:v>FIN-01607</x:v>
      </x:c>
      <x:c r="B3461" s="32" t="n">
        <x:v>1</x:v>
      </x:c>
      <x:c r="C3461" s="23" t="n">
        <x:v>46566</x:v>
      </x:c>
      <x:c r="D3461" s="23" t="n">
        <x:v>46566</x:v>
      </x:c>
      <x:c r="E3461" s="20" t="str">
        <x:v>P022</x:v>
      </x:c>
      <x:c r="F3461" s="20" t="str"/>
      <x:c r="G3461" s="20" t="str"/>
      <x:c r="H3461" s="20" t="str">
        <x:v>5030 Property Taxes</x:v>
      </x:c>
      <x:c r="I3461" s="26" t="n">
        <x:v>810</x:v>
      </x:c>
      <x:c r="J3461" s="26" t="n">
        <x:v>0</x:v>
      </x:c>
      <x:c r="K3461" s="35" t="str">
        <x:v>Franklin County Treasurer</x:v>
      </x:c>
    </x:row>
    <x:row r="3462">
      <x:c r="A3462" s="20" t="str">
        <x:v>FIN-01607</x:v>
      </x:c>
      <x:c r="B3462" s="32" t="n">
        <x:v>2</x:v>
      </x:c>
      <x:c r="C3462" s="23" t="n">
        <x:v>46566</x:v>
      </x:c>
      <x:c r="D3462" s="23" t="n">
        <x:v>46566</x:v>
      </x:c>
      <x:c r="E3462" s="20" t="str">
        <x:v>P022</x:v>
      </x:c>
      <x:c r="F3462" s="20" t="str"/>
      <x:c r="G3462" s="20" t="str"/>
      <x:c r="H3462" s="20" t="str">
        <x:v>1000 Operating Cash</x:v>
      </x:c>
      <x:c r="I3462" s="26" t="n">
        <x:v>0</x:v>
      </x:c>
      <x:c r="J3462" s="26" t="n">
        <x:v>810</x:v>
      </x:c>
      <x:c r="K3462" s="35" t="str">
        <x:v>Franklin County Treasurer</x:v>
      </x:c>
    </x:row>
    <x:row r="3463">
      <x:c r="A3463" s="20" t="str">
        <x:v>FIN-01608</x:v>
      </x:c>
      <x:c r="B3463" s="32" t="n">
        <x:v>1</x:v>
      </x:c>
      <x:c r="C3463" s="23" t="n">
        <x:v>46658</x:v>
      </x:c>
      <x:c r="D3463" s="23" t="n">
        <x:v>46658</x:v>
      </x:c>
      <x:c r="E3463" s="20" t="str">
        <x:v>P022</x:v>
      </x:c>
      <x:c r="F3463" s="20" t="str"/>
      <x:c r="G3463" s="20" t="str"/>
      <x:c r="H3463" s="20" t="str">
        <x:v>5030 Property Taxes</x:v>
      </x:c>
      <x:c r="I3463" s="26" t="n">
        <x:v>817</x:v>
      </x:c>
      <x:c r="J3463" s="26" t="n">
        <x:v>0</x:v>
      </x:c>
      <x:c r="K3463" s="35" t="str">
        <x:v>Franklin County Treasurer</x:v>
      </x:c>
    </x:row>
    <x:row r="3464">
      <x:c r="A3464" s="20" t="str">
        <x:v>FIN-01608</x:v>
      </x:c>
      <x:c r="B3464" s="32" t="n">
        <x:v>2</x:v>
      </x:c>
      <x:c r="C3464" s="23" t="n">
        <x:v>46658</x:v>
      </x:c>
      <x:c r="D3464" s="23" t="n">
        <x:v>46658</x:v>
      </x:c>
      <x:c r="E3464" s="20" t="str">
        <x:v>P022</x:v>
      </x:c>
      <x:c r="F3464" s="20" t="str"/>
      <x:c r="G3464" s="20" t="str"/>
      <x:c r="H3464" s="20" t="str">
        <x:v>1000 Operating Cash</x:v>
      </x:c>
      <x:c r="I3464" s="26" t="n">
        <x:v>0</x:v>
      </x:c>
      <x:c r="J3464" s="26" t="n">
        <x:v>817</x:v>
      </x:c>
      <x:c r="K3464" s="35" t="str">
        <x:v>Franklin County Treasurer</x:v>
      </x:c>
    </x:row>
    <x:row r="3465">
      <x:c r="A3465" s="20" t="str">
        <x:v>FIN-01609</x:v>
      </x:c>
      <x:c r="B3465" s="32" t="n">
        <x:v>1</x:v>
      </x:c>
      <x:c r="C3465" s="23" t="n">
        <x:v>46749</x:v>
      </x:c>
      <x:c r="D3465" s="23" t="n">
        <x:v>46749</x:v>
      </x:c>
      <x:c r="E3465" s="20" t="str">
        <x:v>P022</x:v>
      </x:c>
      <x:c r="F3465" s="20" t="str"/>
      <x:c r="G3465" s="20" t="str"/>
      <x:c r="H3465" s="20" t="str">
        <x:v>5030 Property Taxes</x:v>
      </x:c>
      <x:c r="I3465" s="26" t="n">
        <x:v>824</x:v>
      </x:c>
      <x:c r="J3465" s="26" t="n">
        <x:v>0</x:v>
      </x:c>
      <x:c r="K3465" s="35" t="str">
        <x:v>Franklin County Treasurer</x:v>
      </x:c>
    </x:row>
    <x:row r="3466">
      <x:c r="A3466" s="20" t="str">
        <x:v>FIN-01609</x:v>
      </x:c>
      <x:c r="B3466" s="32" t="n">
        <x:v>2</x:v>
      </x:c>
      <x:c r="C3466" s="23" t="n">
        <x:v>46749</x:v>
      </x:c>
      <x:c r="D3466" s="23" t="n">
        <x:v>46749</x:v>
      </x:c>
      <x:c r="E3466" s="20" t="str">
        <x:v>P022</x:v>
      </x:c>
      <x:c r="F3466" s="20" t="str"/>
      <x:c r="G3466" s="20" t="str"/>
      <x:c r="H3466" s="20" t="str">
        <x:v>1000 Operating Cash</x:v>
      </x:c>
      <x:c r="I3466" s="26" t="n">
        <x:v>0</x:v>
      </x:c>
      <x:c r="J3466" s="26" t="n">
        <x:v>824</x:v>
      </x:c>
      <x:c r="K3466" s="35" t="str">
        <x:v>Franklin County Treasurer</x:v>
      </x:c>
    </x:row>
    <x:row r="3467">
      <x:c r="A3467" s="20" t="str">
        <x:v>FIN-01610</x:v>
      </x:c>
      <x:c r="B3467" s="32" t="n">
        <x:v>1</x:v>
      </x:c>
      <x:c r="C3467" s="23" t="n">
        <x:v>46709</x:v>
      </x:c>
      <x:c r="D3467" s="23" t="n">
        <x:v>46709</x:v>
      </x:c>
      <x:c r="E3467" s="20" t="str">
        <x:v>P023</x:v>
      </x:c>
      <x:c r="F3467" s="20" t="str"/>
      <x:c r="G3467" s="20" t="str"/>
      <x:c r="H3467" s="20" t="str">
        <x:v>5020 Insurance</x:v>
      </x:c>
      <x:c r="I3467" s="26" t="n">
        <x:v>1371</x:v>
      </x:c>
      <x:c r="J3467" s="26" t="n">
        <x:v>0</x:v>
      </x:c>
      <x:c r="K3467" s="35" t="str">
        <x:v>Buckeye Mutual Insurance</x:v>
      </x:c>
    </x:row>
    <x:row r="3468">
      <x:c r="A3468" s="20" t="str">
        <x:v>FIN-01610</x:v>
      </x:c>
      <x:c r="B3468" s="32" t="n">
        <x:v>2</x:v>
      </x:c>
      <x:c r="C3468" s="23" t="n">
        <x:v>46709</x:v>
      </x:c>
      <x:c r="D3468" s="23" t="n">
        <x:v>46709</x:v>
      </x:c>
      <x:c r="E3468" s="20" t="str">
        <x:v>P023</x:v>
      </x:c>
      <x:c r="F3468" s="20" t="str"/>
      <x:c r="G3468" s="20" t="str"/>
      <x:c r="H3468" s="20" t="str">
        <x:v>1000 Operating Cash</x:v>
      </x:c>
      <x:c r="I3468" s="26" t="n">
        <x:v>0</x:v>
      </x:c>
      <x:c r="J3468" s="26" t="n">
        <x:v>1371</x:v>
      </x:c>
      <x:c r="K3468" s="35" t="str">
        <x:v>Buckeye Mutual Insurance</x:v>
      </x:c>
    </x:row>
    <x:row r="3469">
      <x:c r="A3469" s="20" t="str">
        <x:v>FIN-01611</x:v>
      </x:c>
      <x:c r="B3469" s="32" t="n">
        <x:v>1</x:v>
      </x:c>
      <x:c r="C3469" s="23" t="n">
        <x:v>46474</x:v>
      </x:c>
      <x:c r="D3469" s="23" t="n">
        <x:v>46474</x:v>
      </x:c>
      <x:c r="E3469" s="20" t="str">
        <x:v>P023</x:v>
      </x:c>
      <x:c r="F3469" s="20" t="str"/>
      <x:c r="G3469" s="20" t="str"/>
      <x:c r="H3469" s="20" t="str">
        <x:v>5030 Property Taxes</x:v>
      </x:c>
      <x:c r="I3469" s="26" t="n">
        <x:v>816</x:v>
      </x:c>
      <x:c r="J3469" s="26" t="n">
        <x:v>0</x:v>
      </x:c>
      <x:c r="K3469" s="35" t="str">
        <x:v>Franklin County Treasurer</x:v>
      </x:c>
    </x:row>
    <x:row r="3470">
      <x:c r="A3470" s="20" t="str">
        <x:v>FIN-01611</x:v>
      </x:c>
      <x:c r="B3470" s="32" t="n">
        <x:v>2</x:v>
      </x:c>
      <x:c r="C3470" s="23" t="n">
        <x:v>46474</x:v>
      </x:c>
      <x:c r="D3470" s="23" t="n">
        <x:v>46474</x:v>
      </x:c>
      <x:c r="E3470" s="20" t="str">
        <x:v>P023</x:v>
      </x:c>
      <x:c r="F3470" s="20" t="str"/>
      <x:c r="G3470" s="20" t="str"/>
      <x:c r="H3470" s="20" t="str">
        <x:v>1000 Operating Cash</x:v>
      </x:c>
      <x:c r="I3470" s="26" t="n">
        <x:v>0</x:v>
      </x:c>
      <x:c r="J3470" s="26" t="n">
        <x:v>816</x:v>
      </x:c>
      <x:c r="K3470" s="35" t="str">
        <x:v>Franklin County Treasurer</x:v>
      </x:c>
    </x:row>
    <x:row r="3471">
      <x:c r="A3471" s="20" t="str">
        <x:v>FIN-01612</x:v>
      </x:c>
      <x:c r="B3471" s="32" t="n">
        <x:v>1</x:v>
      </x:c>
      <x:c r="C3471" s="23" t="n">
        <x:v>46566</x:v>
      </x:c>
      <x:c r="D3471" s="23" t="n">
        <x:v>46566</x:v>
      </x:c>
      <x:c r="E3471" s="20" t="str">
        <x:v>P023</x:v>
      </x:c>
      <x:c r="F3471" s="20" t="str"/>
      <x:c r="G3471" s="20" t="str"/>
      <x:c r="H3471" s="20" t="str">
        <x:v>5030 Property Taxes</x:v>
      </x:c>
      <x:c r="I3471" s="26" t="n">
        <x:v>823</x:v>
      </x:c>
      <x:c r="J3471" s="26" t="n">
        <x:v>0</x:v>
      </x:c>
      <x:c r="K3471" s="35" t="str">
        <x:v>Franklin County Treasurer</x:v>
      </x:c>
    </x:row>
    <x:row r="3472">
      <x:c r="A3472" s="20" t="str">
        <x:v>FIN-01612</x:v>
      </x:c>
      <x:c r="B3472" s="32" t="n">
        <x:v>2</x:v>
      </x:c>
      <x:c r="C3472" s="23" t="n">
        <x:v>46566</x:v>
      </x:c>
      <x:c r="D3472" s="23" t="n">
        <x:v>46566</x:v>
      </x:c>
      <x:c r="E3472" s="20" t="str">
        <x:v>P023</x:v>
      </x:c>
      <x:c r="F3472" s="20" t="str"/>
      <x:c r="G3472" s="20" t="str"/>
      <x:c r="H3472" s="20" t="str">
        <x:v>1000 Operating Cash</x:v>
      </x:c>
      <x:c r="I3472" s="26" t="n">
        <x:v>0</x:v>
      </x:c>
      <x:c r="J3472" s="26" t="n">
        <x:v>823</x:v>
      </x:c>
      <x:c r="K3472" s="35" t="str">
        <x:v>Franklin County Treasurer</x:v>
      </x:c>
    </x:row>
    <x:row r="3473">
      <x:c r="A3473" s="20" t="str">
        <x:v>FIN-01613</x:v>
      </x:c>
      <x:c r="B3473" s="32" t="n">
        <x:v>1</x:v>
      </x:c>
      <x:c r="C3473" s="23" t="n">
        <x:v>46658</x:v>
      </x:c>
      <x:c r="D3473" s="23" t="n">
        <x:v>46658</x:v>
      </x:c>
      <x:c r="E3473" s="20" t="str">
        <x:v>P023</x:v>
      </x:c>
      <x:c r="F3473" s="20" t="str"/>
      <x:c r="G3473" s="20" t="str"/>
      <x:c r="H3473" s="20" t="str">
        <x:v>5030 Property Taxes</x:v>
      </x:c>
      <x:c r="I3473" s="26" t="n">
        <x:v>830</x:v>
      </x:c>
      <x:c r="J3473" s="26" t="n">
        <x:v>0</x:v>
      </x:c>
      <x:c r="K3473" s="35" t="str">
        <x:v>Franklin County Treasurer</x:v>
      </x:c>
    </x:row>
    <x:row r="3474">
      <x:c r="A3474" s="20" t="str">
        <x:v>FIN-01613</x:v>
      </x:c>
      <x:c r="B3474" s="32" t="n">
        <x:v>2</x:v>
      </x:c>
      <x:c r="C3474" s="23" t="n">
        <x:v>46658</x:v>
      </x:c>
      <x:c r="D3474" s="23" t="n">
        <x:v>46658</x:v>
      </x:c>
      <x:c r="E3474" s="20" t="str">
        <x:v>P023</x:v>
      </x:c>
      <x:c r="F3474" s="20" t="str"/>
      <x:c r="G3474" s="20" t="str"/>
      <x:c r="H3474" s="20" t="str">
        <x:v>1000 Operating Cash</x:v>
      </x:c>
      <x:c r="I3474" s="26" t="n">
        <x:v>0</x:v>
      </x:c>
      <x:c r="J3474" s="26" t="n">
        <x:v>830</x:v>
      </x:c>
      <x:c r="K3474" s="35" t="str">
        <x:v>Franklin County Treasurer</x:v>
      </x:c>
    </x:row>
    <x:row r="3475">
      <x:c r="A3475" s="20" t="str">
        <x:v>FIN-01614</x:v>
      </x:c>
      <x:c r="B3475" s="32" t="n">
        <x:v>1</x:v>
      </x:c>
      <x:c r="C3475" s="23" t="n">
        <x:v>46749</x:v>
      </x:c>
      <x:c r="D3475" s="23" t="n">
        <x:v>46749</x:v>
      </x:c>
      <x:c r="E3475" s="20" t="str">
        <x:v>P023</x:v>
      </x:c>
      <x:c r="F3475" s="20" t="str"/>
      <x:c r="G3475" s="20" t="str"/>
      <x:c r="H3475" s="20" t="str">
        <x:v>5030 Property Taxes</x:v>
      </x:c>
      <x:c r="I3475" s="26" t="n">
        <x:v>837</x:v>
      </x:c>
      <x:c r="J3475" s="26" t="n">
        <x:v>0</x:v>
      </x:c>
      <x:c r="K3475" s="35" t="str">
        <x:v>Franklin County Treasurer</x:v>
      </x:c>
    </x:row>
    <x:row r="3476">
      <x:c r="A3476" s="20" t="str">
        <x:v>FIN-01614</x:v>
      </x:c>
      <x:c r="B3476" s="32" t="n">
        <x:v>2</x:v>
      </x:c>
      <x:c r="C3476" s="23" t="n">
        <x:v>46749</x:v>
      </x:c>
      <x:c r="D3476" s="23" t="n">
        <x:v>46749</x:v>
      </x:c>
      <x:c r="E3476" s="20" t="str">
        <x:v>P023</x:v>
      </x:c>
      <x:c r="F3476" s="20" t="str"/>
      <x:c r="G3476" s="20" t="str"/>
      <x:c r="H3476" s="20" t="str">
        <x:v>1000 Operating Cash</x:v>
      </x:c>
      <x:c r="I3476" s="26" t="n">
        <x:v>0</x:v>
      </x:c>
      <x:c r="J3476" s="26" t="n">
        <x:v>837</x:v>
      </x:c>
      <x:c r="K3476" s="35" t="str">
        <x:v>Franklin County Treasurer</x:v>
      </x:c>
    </x:row>
    <x:row r="3477">
      <x:c r="A3477" s="20" t="str">
        <x:v>FIN-01615</x:v>
      </x:c>
      <x:c r="B3477" s="32" t="n">
        <x:v>1</x:v>
      </x:c>
      <x:c r="C3477" s="23" t="n">
        <x:v>46739</x:v>
      </x:c>
      <x:c r="D3477" s="23" t="n">
        <x:v>46739</x:v>
      </x:c>
      <x:c r="E3477" s="20" t="str">
        <x:v>P024</x:v>
      </x:c>
      <x:c r="F3477" s="20" t="str"/>
      <x:c r="G3477" s="20" t="str"/>
      <x:c r="H3477" s="20" t="str">
        <x:v>5020 Insurance</x:v>
      </x:c>
      <x:c r="I3477" s="26" t="n">
        <x:v>1388</x:v>
      </x:c>
      <x:c r="J3477" s="26" t="n">
        <x:v>0</x:v>
      </x:c>
      <x:c r="K3477" s="35" t="str">
        <x:v>Buckeye Mutual Insurance</x:v>
      </x:c>
    </x:row>
    <x:row r="3478">
      <x:c r="A3478" s="20" t="str">
        <x:v>FIN-01615</x:v>
      </x:c>
      <x:c r="B3478" s="32" t="n">
        <x:v>2</x:v>
      </x:c>
      <x:c r="C3478" s="23" t="n">
        <x:v>46739</x:v>
      </x:c>
      <x:c r="D3478" s="23" t="n">
        <x:v>46739</x:v>
      </x:c>
      <x:c r="E3478" s="20" t="str">
        <x:v>P024</x:v>
      </x:c>
      <x:c r="F3478" s="20" t="str"/>
      <x:c r="G3478" s="20" t="str"/>
      <x:c r="H3478" s="20" t="str">
        <x:v>1000 Operating Cash</x:v>
      </x:c>
      <x:c r="I3478" s="26" t="n">
        <x:v>0</x:v>
      </x:c>
      <x:c r="J3478" s="26" t="n">
        <x:v>1388</x:v>
      </x:c>
      <x:c r="K3478" s="35" t="str">
        <x:v>Buckeye Mutual Insurance</x:v>
      </x:c>
    </x:row>
    <x:row r="3479">
      <x:c r="A3479" s="20" t="str">
        <x:v>FIN-01616</x:v>
      </x:c>
      <x:c r="B3479" s="32" t="n">
        <x:v>1</x:v>
      </x:c>
      <x:c r="C3479" s="23" t="n">
        <x:v>46474</x:v>
      </x:c>
      <x:c r="D3479" s="23" t="n">
        <x:v>46474</x:v>
      </x:c>
      <x:c r="E3479" s="20" t="str">
        <x:v>P024</x:v>
      </x:c>
      <x:c r="F3479" s="20" t="str"/>
      <x:c r="G3479" s="20" t="str"/>
      <x:c r="H3479" s="20" t="str">
        <x:v>5030 Property Taxes</x:v>
      </x:c>
      <x:c r="I3479" s="26" t="n">
        <x:v>829</x:v>
      </x:c>
      <x:c r="J3479" s="26" t="n">
        <x:v>0</x:v>
      </x:c>
      <x:c r="K3479" s="35" t="str">
        <x:v>Franklin County Treasurer</x:v>
      </x:c>
    </x:row>
    <x:row r="3480">
      <x:c r="A3480" s="20" t="str">
        <x:v>FIN-01616</x:v>
      </x:c>
      <x:c r="B3480" s="32" t="n">
        <x:v>2</x:v>
      </x:c>
      <x:c r="C3480" s="23" t="n">
        <x:v>46474</x:v>
      </x:c>
      <x:c r="D3480" s="23" t="n">
        <x:v>46474</x:v>
      </x:c>
      <x:c r="E3480" s="20" t="str">
        <x:v>P024</x:v>
      </x:c>
      <x:c r="F3480" s="20" t="str"/>
      <x:c r="G3480" s="20" t="str"/>
      <x:c r="H3480" s="20" t="str">
        <x:v>1000 Operating Cash</x:v>
      </x:c>
      <x:c r="I3480" s="26" t="n">
        <x:v>0</x:v>
      </x:c>
      <x:c r="J3480" s="26" t="n">
        <x:v>829</x:v>
      </x:c>
      <x:c r="K3480" s="35" t="str">
        <x:v>Franklin County Treasurer</x:v>
      </x:c>
    </x:row>
    <x:row r="3481">
      <x:c r="A3481" s="20" t="str">
        <x:v>FIN-01617</x:v>
      </x:c>
      <x:c r="B3481" s="32" t="n">
        <x:v>1</x:v>
      </x:c>
      <x:c r="C3481" s="23" t="n">
        <x:v>46566</x:v>
      </x:c>
      <x:c r="D3481" s="23" t="n">
        <x:v>46566</x:v>
      </x:c>
      <x:c r="E3481" s="20" t="str">
        <x:v>P024</x:v>
      </x:c>
      <x:c r="F3481" s="20" t="str"/>
      <x:c r="G3481" s="20" t="str"/>
      <x:c r="H3481" s="20" t="str">
        <x:v>5030 Property Taxes</x:v>
      </x:c>
      <x:c r="I3481" s="26" t="n">
        <x:v>836</x:v>
      </x:c>
      <x:c r="J3481" s="26" t="n">
        <x:v>0</x:v>
      </x:c>
      <x:c r="K3481" s="35" t="str">
        <x:v>Franklin County Treasurer</x:v>
      </x:c>
    </x:row>
    <x:row r="3482">
      <x:c r="A3482" s="20" t="str">
        <x:v>FIN-01617</x:v>
      </x:c>
      <x:c r="B3482" s="32" t="n">
        <x:v>2</x:v>
      </x:c>
      <x:c r="C3482" s="23" t="n">
        <x:v>46566</x:v>
      </x:c>
      <x:c r="D3482" s="23" t="n">
        <x:v>46566</x:v>
      </x:c>
      <x:c r="E3482" s="20" t="str">
        <x:v>P024</x:v>
      </x:c>
      <x:c r="F3482" s="20" t="str"/>
      <x:c r="G3482" s="20" t="str"/>
      <x:c r="H3482" s="20" t="str">
        <x:v>1000 Operating Cash</x:v>
      </x:c>
      <x:c r="I3482" s="26" t="n">
        <x:v>0</x:v>
      </x:c>
      <x:c r="J3482" s="26" t="n">
        <x:v>836</x:v>
      </x:c>
      <x:c r="K3482" s="35" t="str">
        <x:v>Franklin County Treasurer</x:v>
      </x:c>
    </x:row>
    <x:row r="3483">
      <x:c r="A3483" s="20" t="str">
        <x:v>FIN-01618</x:v>
      </x:c>
      <x:c r="B3483" s="32" t="n">
        <x:v>1</x:v>
      </x:c>
      <x:c r="C3483" s="23" t="n">
        <x:v>46658</x:v>
      </x:c>
      <x:c r="D3483" s="23" t="n">
        <x:v>46658</x:v>
      </x:c>
      <x:c r="E3483" s="20" t="str">
        <x:v>P024</x:v>
      </x:c>
      <x:c r="F3483" s="20" t="str"/>
      <x:c r="G3483" s="20" t="str"/>
      <x:c r="H3483" s="20" t="str">
        <x:v>5030 Property Taxes</x:v>
      </x:c>
      <x:c r="I3483" s="26" t="n">
        <x:v>843</x:v>
      </x:c>
      <x:c r="J3483" s="26" t="n">
        <x:v>0</x:v>
      </x:c>
      <x:c r="K3483" s="35" t="str">
        <x:v>Franklin County Treasurer</x:v>
      </x:c>
    </x:row>
    <x:row r="3484">
      <x:c r="A3484" s="20" t="str">
        <x:v>FIN-01618</x:v>
      </x:c>
      <x:c r="B3484" s="32" t="n">
        <x:v>2</x:v>
      </x:c>
      <x:c r="C3484" s="23" t="n">
        <x:v>46658</x:v>
      </x:c>
      <x:c r="D3484" s="23" t="n">
        <x:v>46658</x:v>
      </x:c>
      <x:c r="E3484" s="20" t="str">
        <x:v>P024</x:v>
      </x:c>
      <x:c r="F3484" s="20" t="str"/>
      <x:c r="G3484" s="20" t="str"/>
      <x:c r="H3484" s="20" t="str">
        <x:v>1000 Operating Cash</x:v>
      </x:c>
      <x:c r="I3484" s="26" t="n">
        <x:v>0</x:v>
      </x:c>
      <x:c r="J3484" s="26" t="n">
        <x:v>843</x:v>
      </x:c>
      <x:c r="K3484" s="35" t="str">
        <x:v>Franklin County Treasurer</x:v>
      </x:c>
    </x:row>
    <x:row r="3485">
      <x:c r="A3485" s="20" t="str">
        <x:v>FIN-01619</x:v>
      </x:c>
      <x:c r="B3485" s="32" t="n">
        <x:v>1</x:v>
      </x:c>
      <x:c r="C3485" s="23" t="n">
        <x:v>46749</x:v>
      </x:c>
      <x:c r="D3485" s="23" t="n">
        <x:v>46749</x:v>
      </x:c>
      <x:c r="E3485" s="20" t="str">
        <x:v>P024</x:v>
      </x:c>
      <x:c r="F3485" s="20" t="str"/>
      <x:c r="G3485" s="20" t="str"/>
      <x:c r="H3485" s="20" t="str">
        <x:v>5030 Property Taxes</x:v>
      </x:c>
      <x:c r="I3485" s="26" t="n">
        <x:v>850</x:v>
      </x:c>
      <x:c r="J3485" s="26" t="n">
        <x:v>0</x:v>
      </x:c>
      <x:c r="K3485" s="35" t="str">
        <x:v>Franklin County Treasurer</x:v>
      </x:c>
    </x:row>
    <x:row r="3486">
      <x:c r="A3486" s="20" t="str">
        <x:v>FIN-01619</x:v>
      </x:c>
      <x:c r="B3486" s="32" t="n">
        <x:v>2</x:v>
      </x:c>
      <x:c r="C3486" s="23" t="n">
        <x:v>46749</x:v>
      </x:c>
      <x:c r="D3486" s="23" t="n">
        <x:v>46749</x:v>
      </x:c>
      <x:c r="E3486" s="20" t="str">
        <x:v>P024</x:v>
      </x:c>
      <x:c r="F3486" s="20" t="str"/>
      <x:c r="G3486" s="20" t="str"/>
      <x:c r="H3486" s="20" t="str">
        <x:v>1000 Operating Cash</x:v>
      </x:c>
      <x:c r="I3486" s="26" t="n">
        <x:v>0</x:v>
      </x:c>
      <x:c r="J3486" s="26" t="n">
        <x:v>850</x:v>
      </x:c>
      <x:c r="K3486" s="35" t="str">
        <x:v>Franklin County Treasurer</x:v>
      </x:c>
    </x:row>
    <x:row r="3487">
      <x:c r="A3487" s="20" t="str">
        <x:v>FIN-01620</x:v>
      </x:c>
      <x:c r="B3487" s="32" t="n">
        <x:v>1</x:v>
      </x:c>
      <x:c r="C3487" s="23" t="n">
        <x:v>46405</x:v>
      </x:c>
      <x:c r="D3487" s="23" t="n">
        <x:v>46405</x:v>
      </x:c>
      <x:c r="E3487" s="20" t="str">
        <x:v>P025</x:v>
      </x:c>
      <x:c r="F3487" s="20" t="str"/>
      <x:c r="G3487" s="20" t="str"/>
      <x:c r="H3487" s="20" t="str">
        <x:v>5020 Insurance</x:v>
      </x:c>
      <x:c r="I3487" s="26" t="n">
        <x:v>1405</x:v>
      </x:c>
      <x:c r="J3487" s="26" t="n">
        <x:v>0</x:v>
      </x:c>
      <x:c r="K3487" s="35" t="str">
        <x:v>Buckeye Mutual Insurance</x:v>
      </x:c>
    </x:row>
    <x:row r="3488">
      <x:c r="A3488" s="20" t="str">
        <x:v>FIN-01620</x:v>
      </x:c>
      <x:c r="B3488" s="32" t="n">
        <x:v>2</x:v>
      </x:c>
      <x:c r="C3488" s="23" t="n">
        <x:v>46405</x:v>
      </x:c>
      <x:c r="D3488" s="23" t="n">
        <x:v>46405</x:v>
      </x:c>
      <x:c r="E3488" s="20" t="str">
        <x:v>P025</x:v>
      </x:c>
      <x:c r="F3488" s="20" t="str"/>
      <x:c r="G3488" s="20" t="str"/>
      <x:c r="H3488" s="20" t="str">
        <x:v>1000 Operating Cash</x:v>
      </x:c>
      <x:c r="I3488" s="26" t="n">
        <x:v>0</x:v>
      </x:c>
      <x:c r="J3488" s="26" t="n">
        <x:v>1405</x:v>
      </x:c>
      <x:c r="K3488" s="35" t="str">
        <x:v>Buckeye Mutual Insurance</x:v>
      </x:c>
    </x:row>
    <x:row r="3489">
      <x:c r="A3489" s="20" t="str">
        <x:v>FIN-01621</x:v>
      </x:c>
      <x:c r="B3489" s="32" t="n">
        <x:v>1</x:v>
      </x:c>
      <x:c r="C3489" s="23" t="n">
        <x:v>46474</x:v>
      </x:c>
      <x:c r="D3489" s="23" t="n">
        <x:v>46474</x:v>
      </x:c>
      <x:c r="E3489" s="20" t="str">
        <x:v>P025</x:v>
      </x:c>
      <x:c r="F3489" s="20" t="str"/>
      <x:c r="G3489" s="20" t="str"/>
      <x:c r="H3489" s="20" t="str">
        <x:v>5030 Property Taxes</x:v>
      </x:c>
      <x:c r="I3489" s="26" t="n">
        <x:v>842</x:v>
      </x:c>
      <x:c r="J3489" s="26" t="n">
        <x:v>0</x:v>
      </x:c>
      <x:c r="K3489" s="35" t="str">
        <x:v>Franklin County Treasurer</x:v>
      </x:c>
    </x:row>
    <x:row r="3490">
      <x:c r="A3490" s="20" t="str">
        <x:v>FIN-01621</x:v>
      </x:c>
      <x:c r="B3490" s="32" t="n">
        <x:v>2</x:v>
      </x:c>
      <x:c r="C3490" s="23" t="n">
        <x:v>46474</x:v>
      </x:c>
      <x:c r="D3490" s="23" t="n">
        <x:v>46474</x:v>
      </x:c>
      <x:c r="E3490" s="20" t="str">
        <x:v>P025</x:v>
      </x:c>
      <x:c r="F3490" s="20" t="str"/>
      <x:c r="G3490" s="20" t="str"/>
      <x:c r="H3490" s="20" t="str">
        <x:v>1000 Operating Cash</x:v>
      </x:c>
      <x:c r="I3490" s="26" t="n">
        <x:v>0</x:v>
      </x:c>
      <x:c r="J3490" s="26" t="n">
        <x:v>842</x:v>
      </x:c>
      <x:c r="K3490" s="35" t="str">
        <x:v>Franklin County Treasurer</x:v>
      </x:c>
    </x:row>
    <x:row r="3491">
      <x:c r="A3491" s="20" t="str">
        <x:v>FIN-01622</x:v>
      </x:c>
      <x:c r="B3491" s="32" t="n">
        <x:v>1</x:v>
      </x:c>
      <x:c r="C3491" s="23" t="n">
        <x:v>46566</x:v>
      </x:c>
      <x:c r="D3491" s="23" t="n">
        <x:v>46566</x:v>
      </x:c>
      <x:c r="E3491" s="20" t="str">
        <x:v>P025</x:v>
      </x:c>
      <x:c r="F3491" s="20" t="str"/>
      <x:c r="G3491" s="20" t="str"/>
      <x:c r="H3491" s="20" t="str">
        <x:v>5030 Property Taxes</x:v>
      </x:c>
      <x:c r="I3491" s="26" t="n">
        <x:v>849</x:v>
      </x:c>
      <x:c r="J3491" s="26" t="n">
        <x:v>0</x:v>
      </x:c>
      <x:c r="K3491" s="35" t="str">
        <x:v>Franklin County Treasurer</x:v>
      </x:c>
    </x:row>
    <x:row r="3492">
      <x:c r="A3492" s="20" t="str">
        <x:v>FIN-01622</x:v>
      </x:c>
      <x:c r="B3492" s="32" t="n">
        <x:v>2</x:v>
      </x:c>
      <x:c r="C3492" s="23" t="n">
        <x:v>46566</x:v>
      </x:c>
      <x:c r="D3492" s="23" t="n">
        <x:v>46566</x:v>
      </x:c>
      <x:c r="E3492" s="20" t="str">
        <x:v>P025</x:v>
      </x:c>
      <x:c r="F3492" s="20" t="str"/>
      <x:c r="G3492" s="20" t="str"/>
      <x:c r="H3492" s="20" t="str">
        <x:v>1000 Operating Cash</x:v>
      </x:c>
      <x:c r="I3492" s="26" t="n">
        <x:v>0</x:v>
      </x:c>
      <x:c r="J3492" s="26" t="n">
        <x:v>849</x:v>
      </x:c>
      <x:c r="K3492" s="35" t="str">
        <x:v>Franklin County Treasurer</x:v>
      </x:c>
    </x:row>
    <x:row r="3493">
      <x:c r="A3493" s="20" t="str">
        <x:v>FIN-01623</x:v>
      </x:c>
      <x:c r="B3493" s="32" t="n">
        <x:v>1</x:v>
      </x:c>
      <x:c r="C3493" s="23" t="n">
        <x:v>46658</x:v>
      </x:c>
      <x:c r="D3493" s="23" t="n">
        <x:v>46658</x:v>
      </x:c>
      <x:c r="E3493" s="20" t="str">
        <x:v>P025</x:v>
      </x:c>
      <x:c r="F3493" s="20" t="str"/>
      <x:c r="G3493" s="20" t="str"/>
      <x:c r="H3493" s="20" t="str">
        <x:v>5030 Property Taxes</x:v>
      </x:c>
      <x:c r="I3493" s="26" t="n">
        <x:v>856</x:v>
      </x:c>
      <x:c r="J3493" s="26" t="n">
        <x:v>0</x:v>
      </x:c>
      <x:c r="K3493" s="35" t="str">
        <x:v>Franklin County Treasurer</x:v>
      </x:c>
    </x:row>
    <x:row r="3494">
      <x:c r="A3494" s="20" t="str">
        <x:v>FIN-01623</x:v>
      </x:c>
      <x:c r="B3494" s="32" t="n">
        <x:v>2</x:v>
      </x:c>
      <x:c r="C3494" s="23" t="n">
        <x:v>46658</x:v>
      </x:c>
      <x:c r="D3494" s="23" t="n">
        <x:v>46658</x:v>
      </x:c>
      <x:c r="E3494" s="20" t="str">
        <x:v>P025</x:v>
      </x:c>
      <x:c r="F3494" s="20" t="str"/>
      <x:c r="G3494" s="20" t="str"/>
      <x:c r="H3494" s="20" t="str">
        <x:v>1000 Operating Cash</x:v>
      </x:c>
      <x:c r="I3494" s="26" t="n">
        <x:v>0</x:v>
      </x:c>
      <x:c r="J3494" s="26" t="n">
        <x:v>856</x:v>
      </x:c>
      <x:c r="K3494" s="35" t="str">
        <x:v>Franklin County Treasurer</x:v>
      </x:c>
    </x:row>
    <x:row r="3495">
      <x:c r="A3495" s="20" t="str">
        <x:v>FIN-01624</x:v>
      </x:c>
      <x:c r="B3495" s="32" t="n">
        <x:v>1</x:v>
      </x:c>
      <x:c r="C3495" s="23" t="n">
        <x:v>46749</x:v>
      </x:c>
      <x:c r="D3495" s="23" t="n">
        <x:v>46749</x:v>
      </x:c>
      <x:c r="E3495" s="20" t="str">
        <x:v>P025</x:v>
      </x:c>
      <x:c r="F3495" s="20" t="str"/>
      <x:c r="G3495" s="20" t="str"/>
      <x:c r="H3495" s="20" t="str">
        <x:v>5030 Property Taxes</x:v>
      </x:c>
      <x:c r="I3495" s="26" t="n">
        <x:v>863</x:v>
      </x:c>
      <x:c r="J3495" s="26" t="n">
        <x:v>0</x:v>
      </x:c>
      <x:c r="K3495" s="35" t="str">
        <x:v>Franklin County Treasurer</x:v>
      </x:c>
    </x:row>
    <x:row r="3496">
      <x:c r="A3496" s="20" t="str">
        <x:v>FIN-01624</x:v>
      </x:c>
      <x:c r="B3496" s="32" t="n">
        <x:v>2</x:v>
      </x:c>
      <x:c r="C3496" s="23" t="n">
        <x:v>46749</x:v>
      </x:c>
      <x:c r="D3496" s="23" t="n">
        <x:v>46749</x:v>
      </x:c>
      <x:c r="E3496" s="20" t="str">
        <x:v>P025</x:v>
      </x:c>
      <x:c r="F3496" s="20" t="str"/>
      <x:c r="G3496" s="20" t="str"/>
      <x:c r="H3496" s="20" t="str">
        <x:v>1000 Operating Cash</x:v>
      </x:c>
      <x:c r="I3496" s="26" t="n">
        <x:v>0</x:v>
      </x:c>
      <x:c r="J3496" s="26" t="n">
        <x:v>863</x:v>
      </x:c>
      <x:c r="K3496" s="35" t="str">
        <x:v>Franklin County Treasurer</x:v>
      </x:c>
    </x:row>
    <x:row r="3497">
      <x:c r="A3497" s="20" t="str">
        <x:v>FIN-01625</x:v>
      </x:c>
      <x:c r="B3497" s="32" t="n">
        <x:v>1</x:v>
      </x:c>
      <x:c r="C3497" s="23" t="n">
        <x:v>46436</x:v>
      </x:c>
      <x:c r="D3497" s="23" t="n">
        <x:v>46436</x:v>
      </x:c>
      <x:c r="E3497" s="20" t="str">
        <x:v>P026</x:v>
      </x:c>
      <x:c r="F3497" s="20" t="str"/>
      <x:c r="G3497" s="20" t="str"/>
      <x:c r="H3497" s="20" t="str">
        <x:v>5020 Insurance</x:v>
      </x:c>
      <x:c r="I3497" s="26" t="n">
        <x:v>1422</x:v>
      </x:c>
      <x:c r="J3497" s="26" t="n">
        <x:v>0</x:v>
      </x:c>
      <x:c r="K3497" s="35" t="str">
        <x:v>Buckeye Mutual Insurance</x:v>
      </x:c>
    </x:row>
    <x:row r="3498">
      <x:c r="A3498" s="20" t="str">
        <x:v>FIN-01625</x:v>
      </x:c>
      <x:c r="B3498" s="32" t="n">
        <x:v>2</x:v>
      </x:c>
      <x:c r="C3498" s="23" t="n">
        <x:v>46436</x:v>
      </x:c>
      <x:c r="D3498" s="23" t="n">
        <x:v>46436</x:v>
      </x:c>
      <x:c r="E3498" s="20" t="str">
        <x:v>P026</x:v>
      </x:c>
      <x:c r="F3498" s="20" t="str"/>
      <x:c r="G3498" s="20" t="str"/>
      <x:c r="H3498" s="20" t="str">
        <x:v>1000 Operating Cash</x:v>
      </x:c>
      <x:c r="I3498" s="26" t="n">
        <x:v>0</x:v>
      </x:c>
      <x:c r="J3498" s="26" t="n">
        <x:v>1422</x:v>
      </x:c>
      <x:c r="K3498" s="35" t="str">
        <x:v>Buckeye Mutual Insurance</x:v>
      </x:c>
    </x:row>
    <x:row r="3499">
      <x:c r="A3499" s="20" t="str">
        <x:v>FIN-01626</x:v>
      </x:c>
      <x:c r="B3499" s="32" t="n">
        <x:v>1</x:v>
      </x:c>
      <x:c r="C3499" s="23" t="n">
        <x:v>46474</x:v>
      </x:c>
      <x:c r="D3499" s="23" t="n">
        <x:v>46474</x:v>
      </x:c>
      <x:c r="E3499" s="20" t="str">
        <x:v>P026</x:v>
      </x:c>
      <x:c r="F3499" s="20" t="str"/>
      <x:c r="G3499" s="20" t="str"/>
      <x:c r="H3499" s="20" t="str">
        <x:v>5030 Property Taxes</x:v>
      </x:c>
      <x:c r="I3499" s="26" t="n">
        <x:v>855</x:v>
      </x:c>
      <x:c r="J3499" s="26" t="n">
        <x:v>0</x:v>
      </x:c>
      <x:c r="K3499" s="35" t="str">
        <x:v>Franklin County Treasurer</x:v>
      </x:c>
    </x:row>
    <x:row r="3500">
      <x:c r="A3500" s="20" t="str">
        <x:v>FIN-01626</x:v>
      </x:c>
      <x:c r="B3500" s="32" t="n">
        <x:v>2</x:v>
      </x:c>
      <x:c r="C3500" s="23" t="n">
        <x:v>46474</x:v>
      </x:c>
      <x:c r="D3500" s="23" t="n">
        <x:v>46474</x:v>
      </x:c>
      <x:c r="E3500" s="20" t="str">
        <x:v>P026</x:v>
      </x:c>
      <x:c r="F3500" s="20" t="str"/>
      <x:c r="G3500" s="20" t="str"/>
      <x:c r="H3500" s="20" t="str">
        <x:v>1000 Operating Cash</x:v>
      </x:c>
      <x:c r="I3500" s="26" t="n">
        <x:v>0</x:v>
      </x:c>
      <x:c r="J3500" s="26" t="n">
        <x:v>855</x:v>
      </x:c>
      <x:c r="K3500" s="35" t="str">
        <x:v>Franklin County Treasurer</x:v>
      </x:c>
    </x:row>
    <x:row r="3501">
      <x:c r="A3501" s="20" t="str">
        <x:v>FIN-01627</x:v>
      </x:c>
      <x:c r="B3501" s="32" t="n">
        <x:v>1</x:v>
      </x:c>
      <x:c r="C3501" s="23" t="n">
        <x:v>46566</x:v>
      </x:c>
      <x:c r="D3501" s="23" t="n">
        <x:v>46566</x:v>
      </x:c>
      <x:c r="E3501" s="20" t="str">
        <x:v>P026</x:v>
      </x:c>
      <x:c r="F3501" s="20" t="str"/>
      <x:c r="G3501" s="20" t="str"/>
      <x:c r="H3501" s="20" t="str">
        <x:v>5030 Property Taxes</x:v>
      </x:c>
      <x:c r="I3501" s="26" t="n">
        <x:v>862</x:v>
      </x:c>
      <x:c r="J3501" s="26" t="n">
        <x:v>0</x:v>
      </x:c>
      <x:c r="K3501" s="35" t="str">
        <x:v>Franklin County Treasurer</x:v>
      </x:c>
    </x:row>
    <x:row r="3502">
      <x:c r="A3502" s="20" t="str">
        <x:v>FIN-01627</x:v>
      </x:c>
      <x:c r="B3502" s="32" t="n">
        <x:v>2</x:v>
      </x:c>
      <x:c r="C3502" s="23" t="n">
        <x:v>46566</x:v>
      </x:c>
      <x:c r="D3502" s="23" t="n">
        <x:v>46566</x:v>
      </x:c>
      <x:c r="E3502" s="20" t="str">
        <x:v>P026</x:v>
      </x:c>
      <x:c r="F3502" s="20" t="str"/>
      <x:c r="G3502" s="20" t="str"/>
      <x:c r="H3502" s="20" t="str">
        <x:v>1000 Operating Cash</x:v>
      </x:c>
      <x:c r="I3502" s="26" t="n">
        <x:v>0</x:v>
      </x:c>
      <x:c r="J3502" s="26" t="n">
        <x:v>862</x:v>
      </x:c>
      <x:c r="K3502" s="35" t="str">
        <x:v>Franklin County Treasurer</x:v>
      </x:c>
    </x:row>
    <x:row r="3503">
      <x:c r="A3503" s="20" t="str">
        <x:v>FIN-01628</x:v>
      </x:c>
      <x:c r="B3503" s="32" t="n">
        <x:v>1</x:v>
      </x:c>
      <x:c r="C3503" s="23" t="n">
        <x:v>46658</x:v>
      </x:c>
      <x:c r="D3503" s="23" t="n">
        <x:v>46658</x:v>
      </x:c>
      <x:c r="E3503" s="20" t="str">
        <x:v>P026</x:v>
      </x:c>
      <x:c r="F3503" s="20" t="str"/>
      <x:c r="G3503" s="20" t="str"/>
      <x:c r="H3503" s="20" t="str">
        <x:v>5030 Property Taxes</x:v>
      </x:c>
      <x:c r="I3503" s="26" t="n">
        <x:v>869</x:v>
      </x:c>
      <x:c r="J3503" s="26" t="n">
        <x:v>0</x:v>
      </x:c>
      <x:c r="K3503" s="35" t="str">
        <x:v>Franklin County Treasurer</x:v>
      </x:c>
    </x:row>
    <x:row r="3504">
      <x:c r="A3504" s="20" t="str">
        <x:v>FIN-01628</x:v>
      </x:c>
      <x:c r="B3504" s="32" t="n">
        <x:v>2</x:v>
      </x:c>
      <x:c r="C3504" s="23" t="n">
        <x:v>46658</x:v>
      </x:c>
      <x:c r="D3504" s="23" t="n">
        <x:v>46658</x:v>
      </x:c>
      <x:c r="E3504" s="20" t="str">
        <x:v>P026</x:v>
      </x:c>
      <x:c r="F3504" s="20" t="str"/>
      <x:c r="G3504" s="20" t="str"/>
      <x:c r="H3504" s="20" t="str">
        <x:v>1000 Operating Cash</x:v>
      </x:c>
      <x:c r="I3504" s="26" t="n">
        <x:v>0</x:v>
      </x:c>
      <x:c r="J3504" s="26" t="n">
        <x:v>869</x:v>
      </x:c>
      <x:c r="K3504" s="35" t="str">
        <x:v>Franklin County Treasurer</x:v>
      </x:c>
    </x:row>
    <x:row r="3505">
      <x:c r="A3505" s="20" t="str">
        <x:v>FIN-01629</x:v>
      </x:c>
      <x:c r="B3505" s="32" t="n">
        <x:v>1</x:v>
      </x:c>
      <x:c r="C3505" s="23" t="n">
        <x:v>46749</x:v>
      </x:c>
      <x:c r="D3505" s="23" t="n">
        <x:v>46749</x:v>
      </x:c>
      <x:c r="E3505" s="20" t="str">
        <x:v>P026</x:v>
      </x:c>
      <x:c r="F3505" s="20" t="str"/>
      <x:c r="G3505" s="20" t="str"/>
      <x:c r="H3505" s="20" t="str">
        <x:v>5030 Property Taxes</x:v>
      </x:c>
      <x:c r="I3505" s="26" t="n">
        <x:v>876</x:v>
      </x:c>
      <x:c r="J3505" s="26" t="n">
        <x:v>0</x:v>
      </x:c>
      <x:c r="K3505" s="35" t="str">
        <x:v>Franklin County Treasurer</x:v>
      </x:c>
    </x:row>
    <x:row r="3506">
      <x:c r="A3506" s="20" t="str">
        <x:v>FIN-01629</x:v>
      </x:c>
      <x:c r="B3506" s="32" t="n">
        <x:v>2</x:v>
      </x:c>
      <x:c r="C3506" s="23" t="n">
        <x:v>46749</x:v>
      </x:c>
      <x:c r="D3506" s="23" t="n">
        <x:v>46749</x:v>
      </x:c>
      <x:c r="E3506" s="20" t="str">
        <x:v>P026</x:v>
      </x:c>
      <x:c r="F3506" s="20" t="str"/>
      <x:c r="G3506" s="20" t="str"/>
      <x:c r="H3506" s="20" t="str">
        <x:v>1000 Operating Cash</x:v>
      </x:c>
      <x:c r="I3506" s="26" t="n">
        <x:v>0</x:v>
      </x:c>
      <x:c r="J3506" s="26" t="n">
        <x:v>876</x:v>
      </x:c>
      <x:c r="K3506" s="35" t="str">
        <x:v>Franklin County Treasurer</x:v>
      </x:c>
    </x:row>
    <x:row r="3507">
      <x:c r="A3507" s="20" t="str">
        <x:v>FIN-01630</x:v>
      </x:c>
      <x:c r="B3507" s="32" t="n">
        <x:v>1</x:v>
      </x:c>
      <x:c r="C3507" s="23" t="n">
        <x:v>46464</x:v>
      </x:c>
      <x:c r="D3507" s="23" t="n">
        <x:v>46464</x:v>
      </x:c>
      <x:c r="E3507" s="20" t="str">
        <x:v>P027</x:v>
      </x:c>
      <x:c r="F3507" s="20" t="str"/>
      <x:c r="G3507" s="20" t="str"/>
      <x:c r="H3507" s="20" t="str">
        <x:v>5020 Insurance</x:v>
      </x:c>
      <x:c r="I3507" s="26" t="n">
        <x:v>1439</x:v>
      </x:c>
      <x:c r="J3507" s="26" t="n">
        <x:v>0</x:v>
      </x:c>
      <x:c r="K3507" s="35" t="str">
        <x:v>Buckeye Mutual Insurance</x:v>
      </x:c>
    </x:row>
    <x:row r="3508">
      <x:c r="A3508" s="20" t="str">
        <x:v>FIN-01630</x:v>
      </x:c>
      <x:c r="B3508" s="32" t="n">
        <x:v>2</x:v>
      </x:c>
      <x:c r="C3508" s="23" t="n">
        <x:v>46464</x:v>
      </x:c>
      <x:c r="D3508" s="23" t="n">
        <x:v>46464</x:v>
      </x:c>
      <x:c r="E3508" s="20" t="str">
        <x:v>P027</x:v>
      </x:c>
      <x:c r="F3508" s="20" t="str"/>
      <x:c r="G3508" s="20" t="str"/>
      <x:c r="H3508" s="20" t="str">
        <x:v>1000 Operating Cash</x:v>
      </x:c>
      <x:c r="I3508" s="26" t="n">
        <x:v>0</x:v>
      </x:c>
      <x:c r="J3508" s="26" t="n">
        <x:v>1439</x:v>
      </x:c>
      <x:c r="K3508" s="35" t="str">
        <x:v>Buckeye Mutual Insurance</x:v>
      </x:c>
    </x:row>
    <x:row r="3509">
      <x:c r="A3509" s="20" t="str">
        <x:v>FIN-01631</x:v>
      </x:c>
      <x:c r="B3509" s="32" t="n">
        <x:v>1</x:v>
      </x:c>
      <x:c r="C3509" s="23" t="n">
        <x:v>46474</x:v>
      </x:c>
      <x:c r="D3509" s="23" t="n">
        <x:v>46474</x:v>
      </x:c>
      <x:c r="E3509" s="20" t="str">
        <x:v>P027</x:v>
      </x:c>
      <x:c r="F3509" s="20" t="str"/>
      <x:c r="G3509" s="20" t="str"/>
      <x:c r="H3509" s="20" t="str">
        <x:v>5030 Property Taxes</x:v>
      </x:c>
      <x:c r="I3509" s="26" t="n">
        <x:v>868</x:v>
      </x:c>
      <x:c r="J3509" s="26" t="n">
        <x:v>0</x:v>
      </x:c>
      <x:c r="K3509" s="35" t="str">
        <x:v>Franklin County Treasurer</x:v>
      </x:c>
    </x:row>
    <x:row r="3510">
      <x:c r="A3510" s="20" t="str">
        <x:v>FIN-01631</x:v>
      </x:c>
      <x:c r="B3510" s="32" t="n">
        <x:v>2</x:v>
      </x:c>
      <x:c r="C3510" s="23" t="n">
        <x:v>46474</x:v>
      </x:c>
      <x:c r="D3510" s="23" t="n">
        <x:v>46474</x:v>
      </x:c>
      <x:c r="E3510" s="20" t="str">
        <x:v>P027</x:v>
      </x:c>
      <x:c r="F3510" s="20" t="str"/>
      <x:c r="G3510" s="20" t="str"/>
      <x:c r="H3510" s="20" t="str">
        <x:v>1000 Operating Cash</x:v>
      </x:c>
      <x:c r="I3510" s="26" t="n">
        <x:v>0</x:v>
      </x:c>
      <x:c r="J3510" s="26" t="n">
        <x:v>868</x:v>
      </x:c>
      <x:c r="K3510" s="35" t="str">
        <x:v>Franklin County Treasurer</x:v>
      </x:c>
    </x:row>
    <x:row r="3511">
      <x:c r="A3511" s="20" t="str">
        <x:v>FIN-01632</x:v>
      </x:c>
      <x:c r="B3511" s="32" t="n">
        <x:v>1</x:v>
      </x:c>
      <x:c r="C3511" s="23" t="n">
        <x:v>46566</x:v>
      </x:c>
      <x:c r="D3511" s="23" t="n">
        <x:v>46566</x:v>
      </x:c>
      <x:c r="E3511" s="20" t="str">
        <x:v>P027</x:v>
      </x:c>
      <x:c r="F3511" s="20" t="str"/>
      <x:c r="G3511" s="20" t="str"/>
      <x:c r="H3511" s="20" t="str">
        <x:v>5030 Property Taxes</x:v>
      </x:c>
      <x:c r="I3511" s="26" t="n">
        <x:v>875</x:v>
      </x:c>
      <x:c r="J3511" s="26" t="n">
        <x:v>0</x:v>
      </x:c>
      <x:c r="K3511" s="35" t="str">
        <x:v>Franklin County Treasurer</x:v>
      </x:c>
    </x:row>
    <x:row r="3512">
      <x:c r="A3512" s="20" t="str">
        <x:v>FIN-01632</x:v>
      </x:c>
      <x:c r="B3512" s="32" t="n">
        <x:v>2</x:v>
      </x:c>
      <x:c r="C3512" s="23" t="n">
        <x:v>46566</x:v>
      </x:c>
      <x:c r="D3512" s="23" t="n">
        <x:v>46566</x:v>
      </x:c>
      <x:c r="E3512" s="20" t="str">
        <x:v>P027</x:v>
      </x:c>
      <x:c r="F3512" s="20" t="str"/>
      <x:c r="G3512" s="20" t="str"/>
      <x:c r="H3512" s="20" t="str">
        <x:v>1000 Operating Cash</x:v>
      </x:c>
      <x:c r="I3512" s="26" t="n">
        <x:v>0</x:v>
      </x:c>
      <x:c r="J3512" s="26" t="n">
        <x:v>875</x:v>
      </x:c>
      <x:c r="K3512" s="35" t="str">
        <x:v>Franklin County Treasurer</x:v>
      </x:c>
    </x:row>
    <x:row r="3513">
      <x:c r="A3513" s="20" t="str">
        <x:v>FIN-01633</x:v>
      </x:c>
      <x:c r="B3513" s="32" t="n">
        <x:v>1</x:v>
      </x:c>
      <x:c r="C3513" s="23" t="n">
        <x:v>46658</x:v>
      </x:c>
      <x:c r="D3513" s="23" t="n">
        <x:v>46658</x:v>
      </x:c>
      <x:c r="E3513" s="20" t="str">
        <x:v>P027</x:v>
      </x:c>
      <x:c r="F3513" s="20" t="str"/>
      <x:c r="G3513" s="20" t="str"/>
      <x:c r="H3513" s="20" t="str">
        <x:v>5030 Property Taxes</x:v>
      </x:c>
      <x:c r="I3513" s="26" t="n">
        <x:v>882</x:v>
      </x:c>
      <x:c r="J3513" s="26" t="n">
        <x:v>0</x:v>
      </x:c>
      <x:c r="K3513" s="35" t="str">
        <x:v>Franklin County Treasurer</x:v>
      </x:c>
    </x:row>
    <x:row r="3514">
      <x:c r="A3514" s="20" t="str">
        <x:v>FIN-01633</x:v>
      </x:c>
      <x:c r="B3514" s="32" t="n">
        <x:v>2</x:v>
      </x:c>
      <x:c r="C3514" s="23" t="n">
        <x:v>46658</x:v>
      </x:c>
      <x:c r="D3514" s="23" t="n">
        <x:v>46658</x:v>
      </x:c>
      <x:c r="E3514" s="20" t="str">
        <x:v>P027</x:v>
      </x:c>
      <x:c r="F3514" s="20" t="str"/>
      <x:c r="G3514" s="20" t="str"/>
      <x:c r="H3514" s="20" t="str">
        <x:v>1000 Operating Cash</x:v>
      </x:c>
      <x:c r="I3514" s="26" t="n">
        <x:v>0</x:v>
      </x:c>
      <x:c r="J3514" s="26" t="n">
        <x:v>882</x:v>
      </x:c>
      <x:c r="K3514" s="35" t="str">
        <x:v>Franklin County Treasurer</x:v>
      </x:c>
    </x:row>
    <x:row r="3515">
      <x:c r="A3515" s="20" t="str">
        <x:v>FIN-01634</x:v>
      </x:c>
      <x:c r="B3515" s="32" t="n">
        <x:v>1</x:v>
      </x:c>
      <x:c r="C3515" s="23" t="n">
        <x:v>46749</x:v>
      </x:c>
      <x:c r="D3515" s="23" t="n">
        <x:v>46749</x:v>
      </x:c>
      <x:c r="E3515" s="20" t="str">
        <x:v>P027</x:v>
      </x:c>
      <x:c r="F3515" s="20" t="str"/>
      <x:c r="G3515" s="20" t="str"/>
      <x:c r="H3515" s="20" t="str">
        <x:v>5030 Property Taxes</x:v>
      </x:c>
      <x:c r="I3515" s="26" t="n">
        <x:v>889</x:v>
      </x:c>
      <x:c r="J3515" s="26" t="n">
        <x:v>0</x:v>
      </x:c>
      <x:c r="K3515" s="35" t="str">
        <x:v>Franklin County Treasurer</x:v>
      </x:c>
    </x:row>
    <x:row r="3516">
      <x:c r="A3516" s="20" t="str">
        <x:v>FIN-01634</x:v>
      </x:c>
      <x:c r="B3516" s="32" t="n">
        <x:v>2</x:v>
      </x:c>
      <x:c r="C3516" s="23" t="n">
        <x:v>46749</x:v>
      </x:c>
      <x:c r="D3516" s="23" t="n">
        <x:v>46749</x:v>
      </x:c>
      <x:c r="E3516" s="20" t="str">
        <x:v>P027</x:v>
      </x:c>
      <x:c r="F3516" s="20" t="str"/>
      <x:c r="G3516" s="20" t="str"/>
      <x:c r="H3516" s="20" t="str">
        <x:v>1000 Operating Cash</x:v>
      </x:c>
      <x:c r="I3516" s="26" t="n">
        <x:v>0</x:v>
      </x:c>
      <x:c r="J3516" s="26" t="n">
        <x:v>889</x:v>
      </x:c>
      <x:c r="K3516" s="35" t="str">
        <x:v>Franklin County Treasurer</x:v>
      </x:c>
    </x:row>
    <x:row r="3517">
      <x:c r="A3517" s="20" t="str">
        <x:v>FIN-01635</x:v>
      </x:c>
      <x:c r="B3517" s="32" t="n">
        <x:v>1</x:v>
      </x:c>
      <x:c r="C3517" s="23" t="n">
        <x:v>46495</x:v>
      </x:c>
      <x:c r="D3517" s="23" t="n">
        <x:v>46495</x:v>
      </x:c>
      <x:c r="E3517" s="20" t="str">
        <x:v>P028</x:v>
      </x:c>
      <x:c r="F3517" s="20" t="str"/>
      <x:c r="G3517" s="20" t="str"/>
      <x:c r="H3517" s="20" t="str">
        <x:v>5020 Insurance</x:v>
      </x:c>
      <x:c r="I3517" s="26" t="n">
        <x:v>1456</x:v>
      </x:c>
      <x:c r="J3517" s="26" t="n">
        <x:v>0</x:v>
      </x:c>
      <x:c r="K3517" s="35" t="str">
        <x:v>Buckeye Mutual Insurance</x:v>
      </x:c>
    </x:row>
    <x:row r="3518">
      <x:c r="A3518" s="20" t="str">
        <x:v>FIN-01635</x:v>
      </x:c>
      <x:c r="B3518" s="32" t="n">
        <x:v>2</x:v>
      </x:c>
      <x:c r="C3518" s="23" t="n">
        <x:v>46495</x:v>
      </x:c>
      <x:c r="D3518" s="23" t="n">
        <x:v>46495</x:v>
      </x:c>
      <x:c r="E3518" s="20" t="str">
        <x:v>P028</x:v>
      </x:c>
      <x:c r="F3518" s="20" t="str"/>
      <x:c r="G3518" s="20" t="str"/>
      <x:c r="H3518" s="20" t="str">
        <x:v>1000 Operating Cash</x:v>
      </x:c>
      <x:c r="I3518" s="26" t="n">
        <x:v>0</x:v>
      </x:c>
      <x:c r="J3518" s="26" t="n">
        <x:v>1456</x:v>
      </x:c>
      <x:c r="K3518" s="35" t="str">
        <x:v>Buckeye Mutual Insurance</x:v>
      </x:c>
    </x:row>
    <x:row r="3519">
      <x:c r="A3519" s="20" t="str">
        <x:v>FIN-01636</x:v>
      </x:c>
      <x:c r="B3519" s="32" t="n">
        <x:v>1</x:v>
      </x:c>
      <x:c r="C3519" s="23" t="n">
        <x:v>46474</x:v>
      </x:c>
      <x:c r="D3519" s="23" t="n">
        <x:v>46474</x:v>
      </x:c>
      <x:c r="E3519" s="20" t="str">
        <x:v>P028</x:v>
      </x:c>
      <x:c r="F3519" s="20" t="str"/>
      <x:c r="G3519" s="20" t="str"/>
      <x:c r="H3519" s="20" t="str">
        <x:v>5030 Property Taxes</x:v>
      </x:c>
      <x:c r="I3519" s="26" t="n">
        <x:v>881</x:v>
      </x:c>
      <x:c r="J3519" s="26" t="n">
        <x:v>0</x:v>
      </x:c>
      <x:c r="K3519" s="35" t="str">
        <x:v>Franklin County Treasurer</x:v>
      </x:c>
    </x:row>
    <x:row r="3520">
      <x:c r="A3520" s="20" t="str">
        <x:v>FIN-01636</x:v>
      </x:c>
      <x:c r="B3520" s="32" t="n">
        <x:v>2</x:v>
      </x:c>
      <x:c r="C3520" s="23" t="n">
        <x:v>46474</x:v>
      </x:c>
      <x:c r="D3520" s="23" t="n">
        <x:v>46474</x:v>
      </x:c>
      <x:c r="E3520" s="20" t="str">
        <x:v>P028</x:v>
      </x:c>
      <x:c r="F3520" s="20" t="str"/>
      <x:c r="G3520" s="20" t="str"/>
      <x:c r="H3520" s="20" t="str">
        <x:v>1000 Operating Cash</x:v>
      </x:c>
      <x:c r="I3520" s="26" t="n">
        <x:v>0</x:v>
      </x:c>
      <x:c r="J3520" s="26" t="n">
        <x:v>881</x:v>
      </x:c>
      <x:c r="K3520" s="35" t="str">
        <x:v>Franklin County Treasurer</x:v>
      </x:c>
    </x:row>
    <x:row r="3521">
      <x:c r="A3521" s="20" t="str">
        <x:v>FIN-01637</x:v>
      </x:c>
      <x:c r="B3521" s="32" t="n">
        <x:v>1</x:v>
      </x:c>
      <x:c r="C3521" s="23" t="n">
        <x:v>46566</x:v>
      </x:c>
      <x:c r="D3521" s="23" t="n">
        <x:v>46566</x:v>
      </x:c>
      <x:c r="E3521" s="20" t="str">
        <x:v>P028</x:v>
      </x:c>
      <x:c r="F3521" s="20" t="str"/>
      <x:c r="G3521" s="20" t="str"/>
      <x:c r="H3521" s="20" t="str">
        <x:v>5030 Property Taxes</x:v>
      </x:c>
      <x:c r="I3521" s="26" t="n">
        <x:v>888</x:v>
      </x:c>
      <x:c r="J3521" s="26" t="n">
        <x:v>0</x:v>
      </x:c>
      <x:c r="K3521" s="35" t="str">
        <x:v>Franklin County Treasurer</x:v>
      </x:c>
    </x:row>
    <x:row r="3522">
      <x:c r="A3522" s="20" t="str">
        <x:v>FIN-01637</x:v>
      </x:c>
      <x:c r="B3522" s="32" t="n">
        <x:v>2</x:v>
      </x:c>
      <x:c r="C3522" s="23" t="n">
        <x:v>46566</x:v>
      </x:c>
      <x:c r="D3522" s="23" t="n">
        <x:v>46566</x:v>
      </x:c>
      <x:c r="E3522" s="20" t="str">
        <x:v>P028</x:v>
      </x:c>
      <x:c r="F3522" s="20" t="str"/>
      <x:c r="G3522" s="20" t="str"/>
      <x:c r="H3522" s="20" t="str">
        <x:v>1000 Operating Cash</x:v>
      </x:c>
      <x:c r="I3522" s="26" t="n">
        <x:v>0</x:v>
      </x:c>
      <x:c r="J3522" s="26" t="n">
        <x:v>888</x:v>
      </x:c>
      <x:c r="K3522" s="35" t="str">
        <x:v>Franklin County Treasurer</x:v>
      </x:c>
    </x:row>
    <x:row r="3523">
      <x:c r="A3523" s="20" t="str">
        <x:v>FIN-01638</x:v>
      </x:c>
      <x:c r="B3523" s="32" t="n">
        <x:v>1</x:v>
      </x:c>
      <x:c r="C3523" s="23" t="n">
        <x:v>46658</x:v>
      </x:c>
      <x:c r="D3523" s="23" t="n">
        <x:v>46658</x:v>
      </x:c>
      <x:c r="E3523" s="20" t="str">
        <x:v>P028</x:v>
      </x:c>
      <x:c r="F3523" s="20" t="str"/>
      <x:c r="G3523" s="20" t="str"/>
      <x:c r="H3523" s="20" t="str">
        <x:v>5030 Property Taxes</x:v>
      </x:c>
      <x:c r="I3523" s="26" t="n">
        <x:v>895</x:v>
      </x:c>
      <x:c r="J3523" s="26" t="n">
        <x:v>0</x:v>
      </x:c>
      <x:c r="K3523" s="35" t="str">
        <x:v>Franklin County Treasurer</x:v>
      </x:c>
    </x:row>
    <x:row r="3524">
      <x:c r="A3524" s="20" t="str">
        <x:v>FIN-01638</x:v>
      </x:c>
      <x:c r="B3524" s="32" t="n">
        <x:v>2</x:v>
      </x:c>
      <x:c r="C3524" s="23" t="n">
        <x:v>46658</x:v>
      </x:c>
      <x:c r="D3524" s="23" t="n">
        <x:v>46658</x:v>
      </x:c>
      <x:c r="E3524" s="20" t="str">
        <x:v>P028</x:v>
      </x:c>
      <x:c r="F3524" s="20" t="str"/>
      <x:c r="G3524" s="20" t="str"/>
      <x:c r="H3524" s="20" t="str">
        <x:v>1000 Operating Cash</x:v>
      </x:c>
      <x:c r="I3524" s="26" t="n">
        <x:v>0</x:v>
      </x:c>
      <x:c r="J3524" s="26" t="n">
        <x:v>895</x:v>
      </x:c>
      <x:c r="K3524" s="35" t="str">
        <x:v>Franklin County Treasurer</x:v>
      </x:c>
    </x:row>
    <x:row r="3525">
      <x:c r="A3525" s="20" t="str">
        <x:v>FIN-01639</x:v>
      </x:c>
      <x:c r="B3525" s="32" t="n">
        <x:v>1</x:v>
      </x:c>
      <x:c r="C3525" s="23" t="n">
        <x:v>46749</x:v>
      </x:c>
      <x:c r="D3525" s="23" t="n">
        <x:v>46749</x:v>
      </x:c>
      <x:c r="E3525" s="20" t="str">
        <x:v>P028</x:v>
      </x:c>
      <x:c r="F3525" s="20" t="str"/>
      <x:c r="G3525" s="20" t="str"/>
      <x:c r="H3525" s="20" t="str">
        <x:v>5030 Property Taxes</x:v>
      </x:c>
      <x:c r="I3525" s="26" t="n">
        <x:v>902</x:v>
      </x:c>
      <x:c r="J3525" s="26" t="n">
        <x:v>0</x:v>
      </x:c>
      <x:c r="K3525" s="35" t="str">
        <x:v>Franklin County Treasurer</x:v>
      </x:c>
    </x:row>
    <x:row r="3526">
      <x:c r="A3526" s="20" t="str">
        <x:v>FIN-01639</x:v>
      </x:c>
      <x:c r="B3526" s="32" t="n">
        <x:v>2</x:v>
      </x:c>
      <x:c r="C3526" s="23" t="n">
        <x:v>46749</x:v>
      </x:c>
      <x:c r="D3526" s="23" t="n">
        <x:v>46749</x:v>
      </x:c>
      <x:c r="E3526" s="20" t="str">
        <x:v>P028</x:v>
      </x:c>
      <x:c r="F3526" s="20" t="str"/>
      <x:c r="G3526" s="20" t="str"/>
      <x:c r="H3526" s="20" t="str">
        <x:v>1000 Operating Cash</x:v>
      </x:c>
      <x:c r="I3526" s="26" t="n">
        <x:v>0</x:v>
      </x:c>
      <x:c r="J3526" s="26" t="n">
        <x:v>902</x:v>
      </x:c>
      <x:c r="K3526" s="35" t="str">
        <x:v>Franklin County Treasurer</x:v>
      </x:c>
    </x:row>
    <x:row r="3527">
      <x:c r="A3527" s="20" t="str">
        <x:v>FIN-01640</x:v>
      </x:c>
      <x:c r="B3527" s="32" t="n">
        <x:v>1</x:v>
      </x:c>
      <x:c r="C3527" s="23" t="n">
        <x:v>46525</x:v>
      </x:c>
      <x:c r="D3527" s="23" t="n">
        <x:v>46525</x:v>
      </x:c>
      <x:c r="E3527" s="20" t="str">
        <x:v>P029</x:v>
      </x:c>
      <x:c r="F3527" s="20" t="str"/>
      <x:c r="G3527" s="20" t="str"/>
      <x:c r="H3527" s="20" t="str">
        <x:v>5020 Insurance</x:v>
      </x:c>
      <x:c r="I3527" s="26" t="n">
        <x:v>1473</x:v>
      </x:c>
      <x:c r="J3527" s="26" t="n">
        <x:v>0</x:v>
      </x:c>
      <x:c r="K3527" s="35" t="str">
        <x:v>Buckeye Mutual Insurance</x:v>
      </x:c>
    </x:row>
    <x:row r="3528">
      <x:c r="A3528" s="20" t="str">
        <x:v>FIN-01640</x:v>
      </x:c>
      <x:c r="B3528" s="32" t="n">
        <x:v>2</x:v>
      </x:c>
      <x:c r="C3528" s="23" t="n">
        <x:v>46525</x:v>
      </x:c>
      <x:c r="D3528" s="23" t="n">
        <x:v>46525</x:v>
      </x:c>
      <x:c r="E3528" s="20" t="str">
        <x:v>P029</x:v>
      </x:c>
      <x:c r="F3528" s="20" t="str"/>
      <x:c r="G3528" s="20" t="str"/>
      <x:c r="H3528" s="20" t="str">
        <x:v>1000 Operating Cash</x:v>
      </x:c>
      <x:c r="I3528" s="26" t="n">
        <x:v>0</x:v>
      </x:c>
      <x:c r="J3528" s="26" t="n">
        <x:v>1473</x:v>
      </x:c>
      <x:c r="K3528" s="35" t="str">
        <x:v>Buckeye Mutual Insurance</x:v>
      </x:c>
    </x:row>
    <x:row r="3529">
      <x:c r="A3529" s="20" t="str">
        <x:v>FIN-01641</x:v>
      </x:c>
      <x:c r="B3529" s="32" t="n">
        <x:v>1</x:v>
      </x:c>
      <x:c r="C3529" s="23" t="n">
        <x:v>46474</x:v>
      </x:c>
      <x:c r="D3529" s="23" t="n">
        <x:v>46474</x:v>
      </x:c>
      <x:c r="E3529" s="20" t="str">
        <x:v>P029</x:v>
      </x:c>
      <x:c r="F3529" s="20" t="str"/>
      <x:c r="G3529" s="20" t="str"/>
      <x:c r="H3529" s="20" t="str">
        <x:v>5030 Property Taxes</x:v>
      </x:c>
      <x:c r="I3529" s="26" t="n">
        <x:v>894</x:v>
      </x:c>
      <x:c r="J3529" s="26" t="n">
        <x:v>0</x:v>
      </x:c>
      <x:c r="K3529" s="35" t="str">
        <x:v>Franklin County Treasurer</x:v>
      </x:c>
    </x:row>
    <x:row r="3530">
      <x:c r="A3530" s="20" t="str">
        <x:v>FIN-01641</x:v>
      </x:c>
      <x:c r="B3530" s="32" t="n">
        <x:v>2</x:v>
      </x:c>
      <x:c r="C3530" s="23" t="n">
        <x:v>46474</x:v>
      </x:c>
      <x:c r="D3530" s="23" t="n">
        <x:v>46474</x:v>
      </x:c>
      <x:c r="E3530" s="20" t="str">
        <x:v>P029</x:v>
      </x:c>
      <x:c r="F3530" s="20" t="str"/>
      <x:c r="G3530" s="20" t="str"/>
      <x:c r="H3530" s="20" t="str">
        <x:v>1000 Operating Cash</x:v>
      </x:c>
      <x:c r="I3530" s="26" t="n">
        <x:v>0</x:v>
      </x:c>
      <x:c r="J3530" s="26" t="n">
        <x:v>894</x:v>
      </x:c>
      <x:c r="K3530" s="35" t="str">
        <x:v>Franklin County Treasurer</x:v>
      </x:c>
    </x:row>
    <x:row r="3531">
      <x:c r="A3531" s="20" t="str">
        <x:v>FIN-01642</x:v>
      </x:c>
      <x:c r="B3531" s="32" t="n">
        <x:v>1</x:v>
      </x:c>
      <x:c r="C3531" s="23" t="n">
        <x:v>46566</x:v>
      </x:c>
      <x:c r="D3531" s="23" t="n">
        <x:v>46566</x:v>
      </x:c>
      <x:c r="E3531" s="20" t="str">
        <x:v>P029</x:v>
      </x:c>
      <x:c r="F3531" s="20" t="str"/>
      <x:c r="G3531" s="20" t="str"/>
      <x:c r="H3531" s="20" t="str">
        <x:v>5030 Property Taxes</x:v>
      </x:c>
      <x:c r="I3531" s="26" t="n">
        <x:v>901</x:v>
      </x:c>
      <x:c r="J3531" s="26" t="n">
        <x:v>0</x:v>
      </x:c>
      <x:c r="K3531" s="35" t="str">
        <x:v>Franklin County Treasurer</x:v>
      </x:c>
    </x:row>
    <x:row r="3532">
      <x:c r="A3532" s="20" t="str">
        <x:v>FIN-01642</x:v>
      </x:c>
      <x:c r="B3532" s="32" t="n">
        <x:v>2</x:v>
      </x:c>
      <x:c r="C3532" s="23" t="n">
        <x:v>46566</x:v>
      </x:c>
      <x:c r="D3532" s="23" t="n">
        <x:v>46566</x:v>
      </x:c>
      <x:c r="E3532" s="20" t="str">
        <x:v>P029</x:v>
      </x:c>
      <x:c r="F3532" s="20" t="str"/>
      <x:c r="G3532" s="20" t="str"/>
      <x:c r="H3532" s="20" t="str">
        <x:v>1000 Operating Cash</x:v>
      </x:c>
      <x:c r="I3532" s="26" t="n">
        <x:v>0</x:v>
      </x:c>
      <x:c r="J3532" s="26" t="n">
        <x:v>901</x:v>
      </x:c>
      <x:c r="K3532" s="35" t="str">
        <x:v>Franklin County Treasurer</x:v>
      </x:c>
    </x:row>
    <x:row r="3533">
      <x:c r="A3533" s="20" t="str">
        <x:v>FIN-01643</x:v>
      </x:c>
      <x:c r="B3533" s="32" t="n">
        <x:v>1</x:v>
      </x:c>
      <x:c r="C3533" s="23" t="n">
        <x:v>46658</x:v>
      </x:c>
      <x:c r="D3533" s="23" t="n">
        <x:v>46658</x:v>
      </x:c>
      <x:c r="E3533" s="20" t="str">
        <x:v>P029</x:v>
      </x:c>
      <x:c r="F3533" s="20" t="str"/>
      <x:c r="G3533" s="20" t="str"/>
      <x:c r="H3533" s="20" t="str">
        <x:v>5030 Property Taxes</x:v>
      </x:c>
      <x:c r="I3533" s="26" t="n">
        <x:v>908</x:v>
      </x:c>
      <x:c r="J3533" s="26" t="n">
        <x:v>0</x:v>
      </x:c>
      <x:c r="K3533" s="35" t="str">
        <x:v>Franklin County Treasurer</x:v>
      </x:c>
    </x:row>
    <x:row r="3534">
      <x:c r="A3534" s="20" t="str">
        <x:v>FIN-01643</x:v>
      </x:c>
      <x:c r="B3534" s="32" t="n">
        <x:v>2</x:v>
      </x:c>
      <x:c r="C3534" s="23" t="n">
        <x:v>46658</x:v>
      </x:c>
      <x:c r="D3534" s="23" t="n">
        <x:v>46658</x:v>
      </x:c>
      <x:c r="E3534" s="20" t="str">
        <x:v>P029</x:v>
      </x:c>
      <x:c r="F3534" s="20" t="str"/>
      <x:c r="G3534" s="20" t="str"/>
      <x:c r="H3534" s="20" t="str">
        <x:v>1000 Operating Cash</x:v>
      </x:c>
      <x:c r="I3534" s="26" t="n">
        <x:v>0</x:v>
      </x:c>
      <x:c r="J3534" s="26" t="n">
        <x:v>908</x:v>
      </x:c>
      <x:c r="K3534" s="35" t="str">
        <x:v>Franklin County Treasurer</x:v>
      </x:c>
    </x:row>
    <x:row r="3535">
      <x:c r="A3535" s="20" t="str">
        <x:v>FIN-01644</x:v>
      </x:c>
      <x:c r="B3535" s="32" t="n">
        <x:v>1</x:v>
      </x:c>
      <x:c r="C3535" s="23" t="n">
        <x:v>46749</x:v>
      </x:c>
      <x:c r="D3535" s="23" t="n">
        <x:v>46749</x:v>
      </x:c>
      <x:c r="E3535" s="20" t="str">
        <x:v>P029</x:v>
      </x:c>
      <x:c r="F3535" s="20" t="str"/>
      <x:c r="G3535" s="20" t="str"/>
      <x:c r="H3535" s="20" t="str">
        <x:v>5030 Property Taxes</x:v>
      </x:c>
      <x:c r="I3535" s="26" t="n">
        <x:v>915</x:v>
      </x:c>
      <x:c r="J3535" s="26" t="n">
        <x:v>0</x:v>
      </x:c>
      <x:c r="K3535" s="35" t="str">
        <x:v>Franklin County Treasurer</x:v>
      </x:c>
    </x:row>
    <x:row r="3536">
      <x:c r="A3536" s="20" t="str">
        <x:v>FIN-01644</x:v>
      </x:c>
      <x:c r="B3536" s="32" t="n">
        <x:v>2</x:v>
      </x:c>
      <x:c r="C3536" s="23" t="n">
        <x:v>46749</x:v>
      </x:c>
      <x:c r="D3536" s="23" t="n">
        <x:v>46749</x:v>
      </x:c>
      <x:c r="E3536" s="20" t="str">
        <x:v>P029</x:v>
      </x:c>
      <x:c r="F3536" s="20" t="str"/>
      <x:c r="G3536" s="20" t="str"/>
      <x:c r="H3536" s="20" t="str">
        <x:v>1000 Operating Cash</x:v>
      </x:c>
      <x:c r="I3536" s="26" t="n">
        <x:v>0</x:v>
      </x:c>
      <x:c r="J3536" s="26" t="n">
        <x:v>915</x:v>
      </x:c>
      <x:c r="K3536" s="35" t="str">
        <x:v>Franklin County Treasurer</x:v>
      </x:c>
    </x:row>
    <x:row r="3537">
      <x:c r="A3537" s="20" t="str">
        <x:v>FIN-01645</x:v>
      </x:c>
      <x:c r="B3537" s="32" t="n">
        <x:v>1</x:v>
      </x:c>
      <x:c r="C3537" s="23" t="n">
        <x:v>46556</x:v>
      </x:c>
      <x:c r="D3537" s="23" t="n">
        <x:v>46556</x:v>
      </x:c>
      <x:c r="E3537" s="20" t="str">
        <x:v>P030</x:v>
      </x:c>
      <x:c r="F3537" s="20" t="str"/>
      <x:c r="G3537" s="20" t="str"/>
      <x:c r="H3537" s="20" t="str">
        <x:v>5020 Insurance</x:v>
      </x:c>
      <x:c r="I3537" s="26" t="n">
        <x:v>1490</x:v>
      </x:c>
      <x:c r="J3537" s="26" t="n">
        <x:v>0</x:v>
      </x:c>
      <x:c r="K3537" s="35" t="str">
        <x:v>Buckeye Mutual Insurance</x:v>
      </x:c>
    </x:row>
    <x:row r="3538">
      <x:c r="A3538" s="20" t="str">
        <x:v>FIN-01645</x:v>
      </x:c>
      <x:c r="B3538" s="32" t="n">
        <x:v>2</x:v>
      </x:c>
      <x:c r="C3538" s="23" t="n">
        <x:v>46556</x:v>
      </x:c>
      <x:c r="D3538" s="23" t="n">
        <x:v>46556</x:v>
      </x:c>
      <x:c r="E3538" s="20" t="str">
        <x:v>P030</x:v>
      </x:c>
      <x:c r="F3538" s="20" t="str"/>
      <x:c r="G3538" s="20" t="str"/>
      <x:c r="H3538" s="20" t="str">
        <x:v>1000 Operating Cash</x:v>
      </x:c>
      <x:c r="I3538" s="26" t="n">
        <x:v>0</x:v>
      </x:c>
      <x:c r="J3538" s="26" t="n">
        <x:v>1490</x:v>
      </x:c>
      <x:c r="K3538" s="35" t="str">
        <x:v>Buckeye Mutual Insurance</x:v>
      </x:c>
    </x:row>
    <x:row r="3539">
      <x:c r="A3539" s="20" t="str">
        <x:v>FIN-01646</x:v>
      </x:c>
      <x:c r="B3539" s="32" t="n">
        <x:v>1</x:v>
      </x:c>
      <x:c r="C3539" s="23" t="n">
        <x:v>46474</x:v>
      </x:c>
      <x:c r="D3539" s="23" t="n">
        <x:v>46474</x:v>
      </x:c>
      <x:c r="E3539" s="20" t="str">
        <x:v>P030</x:v>
      </x:c>
      <x:c r="F3539" s="20" t="str"/>
      <x:c r="G3539" s="20" t="str"/>
      <x:c r="H3539" s="20" t="str">
        <x:v>5030 Property Taxes</x:v>
      </x:c>
      <x:c r="I3539" s="26" t="n">
        <x:v>907</x:v>
      </x:c>
      <x:c r="J3539" s="26" t="n">
        <x:v>0</x:v>
      </x:c>
      <x:c r="K3539" s="35" t="str">
        <x:v>Franklin County Treasurer</x:v>
      </x:c>
    </x:row>
    <x:row r="3540">
      <x:c r="A3540" s="20" t="str">
        <x:v>FIN-01646</x:v>
      </x:c>
      <x:c r="B3540" s="32" t="n">
        <x:v>2</x:v>
      </x:c>
      <x:c r="C3540" s="23" t="n">
        <x:v>46474</x:v>
      </x:c>
      <x:c r="D3540" s="23" t="n">
        <x:v>46474</x:v>
      </x:c>
      <x:c r="E3540" s="20" t="str">
        <x:v>P030</x:v>
      </x:c>
      <x:c r="F3540" s="20" t="str"/>
      <x:c r="G3540" s="20" t="str"/>
      <x:c r="H3540" s="20" t="str">
        <x:v>1000 Operating Cash</x:v>
      </x:c>
      <x:c r="I3540" s="26" t="n">
        <x:v>0</x:v>
      </x:c>
      <x:c r="J3540" s="26" t="n">
        <x:v>907</x:v>
      </x:c>
      <x:c r="K3540" s="35" t="str">
        <x:v>Franklin County Treasurer</x:v>
      </x:c>
    </x:row>
    <x:row r="3541">
      <x:c r="A3541" s="20" t="str">
        <x:v>FIN-01647</x:v>
      </x:c>
      <x:c r="B3541" s="32" t="n">
        <x:v>1</x:v>
      </x:c>
      <x:c r="C3541" s="23" t="n">
        <x:v>46566</x:v>
      </x:c>
      <x:c r="D3541" s="23" t="n">
        <x:v>46566</x:v>
      </x:c>
      <x:c r="E3541" s="20" t="str">
        <x:v>P030</x:v>
      </x:c>
      <x:c r="F3541" s="20" t="str"/>
      <x:c r="G3541" s="20" t="str"/>
      <x:c r="H3541" s="20" t="str">
        <x:v>5030 Property Taxes</x:v>
      </x:c>
      <x:c r="I3541" s="26" t="n">
        <x:v>914</x:v>
      </x:c>
      <x:c r="J3541" s="26" t="n">
        <x:v>0</x:v>
      </x:c>
      <x:c r="K3541" s="35" t="str">
        <x:v>Franklin County Treasurer</x:v>
      </x:c>
    </x:row>
    <x:row r="3542">
      <x:c r="A3542" s="20" t="str">
        <x:v>FIN-01647</x:v>
      </x:c>
      <x:c r="B3542" s="32" t="n">
        <x:v>2</x:v>
      </x:c>
      <x:c r="C3542" s="23" t="n">
        <x:v>46566</x:v>
      </x:c>
      <x:c r="D3542" s="23" t="n">
        <x:v>46566</x:v>
      </x:c>
      <x:c r="E3542" s="20" t="str">
        <x:v>P030</x:v>
      </x:c>
      <x:c r="F3542" s="20" t="str"/>
      <x:c r="G3542" s="20" t="str"/>
      <x:c r="H3542" s="20" t="str">
        <x:v>1000 Operating Cash</x:v>
      </x:c>
      <x:c r="I3542" s="26" t="n">
        <x:v>0</x:v>
      </x:c>
      <x:c r="J3542" s="26" t="n">
        <x:v>914</x:v>
      </x:c>
      <x:c r="K3542" s="35" t="str">
        <x:v>Franklin County Treasurer</x:v>
      </x:c>
    </x:row>
    <x:row r="3543">
      <x:c r="A3543" s="20" t="str">
        <x:v>FIN-01648</x:v>
      </x:c>
      <x:c r="B3543" s="32" t="n">
        <x:v>1</x:v>
      </x:c>
      <x:c r="C3543" s="23" t="n">
        <x:v>46658</x:v>
      </x:c>
      <x:c r="D3543" s="23" t="n">
        <x:v>46658</x:v>
      </x:c>
      <x:c r="E3543" s="20" t="str">
        <x:v>P030</x:v>
      </x:c>
      <x:c r="F3543" s="20" t="str"/>
      <x:c r="G3543" s="20" t="str"/>
      <x:c r="H3543" s="20" t="str">
        <x:v>5030 Property Taxes</x:v>
      </x:c>
      <x:c r="I3543" s="26" t="n">
        <x:v>921</x:v>
      </x:c>
      <x:c r="J3543" s="26" t="n">
        <x:v>0</x:v>
      </x:c>
      <x:c r="K3543" s="35" t="str">
        <x:v>Franklin County Treasurer</x:v>
      </x:c>
    </x:row>
    <x:row r="3544">
      <x:c r="A3544" s="20" t="str">
        <x:v>FIN-01648</x:v>
      </x:c>
      <x:c r="B3544" s="32" t="n">
        <x:v>2</x:v>
      </x:c>
      <x:c r="C3544" s="23" t="n">
        <x:v>46658</x:v>
      </x:c>
      <x:c r="D3544" s="23" t="n">
        <x:v>46658</x:v>
      </x:c>
      <x:c r="E3544" s="20" t="str">
        <x:v>P030</x:v>
      </x:c>
      <x:c r="F3544" s="20" t="str"/>
      <x:c r="G3544" s="20" t="str"/>
      <x:c r="H3544" s="20" t="str">
        <x:v>1000 Operating Cash</x:v>
      </x:c>
      <x:c r="I3544" s="26" t="n">
        <x:v>0</x:v>
      </x:c>
      <x:c r="J3544" s="26" t="n">
        <x:v>921</x:v>
      </x:c>
      <x:c r="K3544" s="35" t="str">
        <x:v>Franklin County Treasurer</x:v>
      </x:c>
    </x:row>
    <x:row r="3545">
      <x:c r="A3545" s="20" t="str">
        <x:v>FIN-01649</x:v>
      </x:c>
      <x:c r="B3545" s="32" t="n">
        <x:v>1</x:v>
      </x:c>
      <x:c r="C3545" s="23" t="n">
        <x:v>46749</x:v>
      </x:c>
      <x:c r="D3545" s="23" t="n">
        <x:v>46749</x:v>
      </x:c>
      <x:c r="E3545" s="20" t="str">
        <x:v>P030</x:v>
      </x:c>
      <x:c r="F3545" s="20" t="str"/>
      <x:c r="G3545" s="20" t="str"/>
      <x:c r="H3545" s="20" t="str">
        <x:v>5030 Property Taxes</x:v>
      </x:c>
      <x:c r="I3545" s="26" t="n">
        <x:v>928</x:v>
      </x:c>
      <x:c r="J3545" s="26" t="n">
        <x:v>0</x:v>
      </x:c>
      <x:c r="K3545" s="35" t="str">
        <x:v>Franklin County Treasurer</x:v>
      </x:c>
    </x:row>
    <x:row r="3546">
      <x:c r="A3546" s="20" t="str">
        <x:v>FIN-01649</x:v>
      </x:c>
      <x:c r="B3546" s="32" t="n">
        <x:v>2</x:v>
      </x:c>
      <x:c r="C3546" s="23" t="n">
        <x:v>46749</x:v>
      </x:c>
      <x:c r="D3546" s="23" t="n">
        <x:v>46749</x:v>
      </x:c>
      <x:c r="E3546" s="20" t="str">
        <x:v>P030</x:v>
      </x:c>
      <x:c r="F3546" s="20" t="str"/>
      <x:c r="G3546" s="20" t="str"/>
      <x:c r="H3546" s="20" t="str">
        <x:v>1000 Operating Cash</x:v>
      </x:c>
      <x:c r="I3546" s="26" t="n">
        <x:v>0</x:v>
      </x:c>
      <x:c r="J3546" s="26" t="n">
        <x:v>928</x:v>
      </x:c>
      <x:c r="K3546" s="35" t="str">
        <x:v>Franklin County Treasurer</x:v>
      </x:c>
    </x:row>
    <x:row r="3547">
      <x:c r="A3547" s="20" t="str">
        <x:v>FIN-01650</x:v>
      </x:c>
      <x:c r="B3547" s="32" t="n">
        <x:v>1</x:v>
      </x:c>
      <x:c r="C3547" s="23" t="n">
        <x:v>46471</x:v>
      </x:c>
      <x:c r="D3547" s="23" t="n">
        <x:v>46471</x:v>
      </x:c>
      <x:c r="E3547" s="20" t="str">
        <x:v>P005</x:v>
      </x:c>
      <x:c r="F3547" s="20" t="str">
        <x:v>U005</x:v>
      </x:c>
      <x:c r="G3547" s="20" t="str">
        <x:v>L037</x:v>
      </x:c>
      <x:c r="H3547" s="20" t="str">
        <x:v>1010 Security Deposit Trust Cash</x:v>
      </x:c>
      <x:c r="I3547" s="26" t="n">
        <x:v>1875</x:v>
      </x:c>
      <x:c r="J3547" s="26" t="n">
        <x:v>0</x:v>
      </x:c>
      <x:c r="K3547" s="35" t="str">
        <x:v>Deposit held in synthetic trust account; not rental income</x:v>
      </x:c>
    </x:row>
    <x:row r="3548">
      <x:c r="A3548" s="20" t="str">
        <x:v>FIN-01650</x:v>
      </x:c>
      <x:c r="B3548" s="32" t="n">
        <x:v>2</x:v>
      </x:c>
      <x:c r="C3548" s="23" t="n">
        <x:v>46471</x:v>
      </x:c>
      <x:c r="D3548" s="23" t="n">
        <x:v>46471</x:v>
      </x:c>
      <x:c r="E3548" s="20" t="str">
        <x:v>P005</x:v>
      </x:c>
      <x:c r="F3548" s="20" t="str">
        <x:v>U005</x:v>
      </x:c>
      <x:c r="G3548" s="20" t="str">
        <x:v>L037</x:v>
      </x:c>
      <x:c r="H3548" s="20" t="str">
        <x:v>2000 Security Deposit Liability</x:v>
      </x:c>
      <x:c r="I3548" s="26" t="n">
        <x:v>0</x:v>
      </x:c>
      <x:c r="J3548" s="26" t="n">
        <x:v>1875</x:v>
      </x:c>
      <x:c r="K3548" s="35" t="str">
        <x:v>Deposit held in synthetic trust account; not rental income</x:v>
      </x:c>
    </x:row>
    <x:row r="3549">
      <x:c r="A3549" s="20" t="str">
        <x:v>FIN-01651</x:v>
      </x:c>
      <x:c r="B3549" s="32" t="n">
        <x:v>1</x:v>
      </x:c>
      <x:c r="C3549" s="23" t="n">
        <x:v>46562</x:v>
      </x:c>
      <x:c r="D3549" s="23" t="n">
        <x:v>46562</x:v>
      </x:c>
      <x:c r="E3549" s="20" t="str">
        <x:v>P014</x:v>
      </x:c>
      <x:c r="F3549" s="20" t="str">
        <x:v>U014</x:v>
      </x:c>
      <x:c r="G3549" s="20" t="str">
        <x:v>L038</x:v>
      </x:c>
      <x:c r="H3549" s="20" t="str">
        <x:v>1010 Security Deposit Trust Cash</x:v>
      </x:c>
      <x:c r="I3549" s="26" t="n">
        <x:v>1200</x:v>
      </x:c>
      <x:c r="J3549" s="26" t="n">
        <x:v>0</x:v>
      </x:c>
      <x:c r="K3549" s="35" t="str">
        <x:v>Deposit held in synthetic trust account; not rental income</x:v>
      </x:c>
    </x:row>
    <x:row r="3550">
      <x:c r="A3550" s="20" t="str">
        <x:v>FIN-01651</x:v>
      </x:c>
      <x:c r="B3550" s="32" t="n">
        <x:v>2</x:v>
      </x:c>
      <x:c r="C3550" s="23" t="n">
        <x:v>46562</x:v>
      </x:c>
      <x:c r="D3550" s="23" t="n">
        <x:v>46562</x:v>
      </x:c>
      <x:c r="E3550" s="20" t="str">
        <x:v>P014</x:v>
      </x:c>
      <x:c r="F3550" s="20" t="str">
        <x:v>U014</x:v>
      </x:c>
      <x:c r="G3550" s="20" t="str">
        <x:v>L038</x:v>
      </x:c>
      <x:c r="H3550" s="20" t="str">
        <x:v>2000 Security Deposit Liability</x:v>
      </x:c>
      <x:c r="I3550" s="26" t="n">
        <x:v>0</x:v>
      </x:c>
      <x:c r="J3550" s="26" t="n">
        <x:v>1200</x:v>
      </x:c>
      <x:c r="K3550" s="35" t="str">
        <x:v>Deposit held in synthetic trust account; not rental income</x:v>
      </x:c>
    </x:row>
    <x:row r="3551">
      <x:c r="A3551" s="20" t="str">
        <x:v>FIN-01652</x:v>
      </x:c>
      <x:c r="B3551" s="32" t="n">
        <x:v>1</x:v>
      </x:c>
      <x:c r="C3551" s="23" t="n">
        <x:v>46593</x:v>
      </x:c>
      <x:c r="D3551" s="23" t="n">
        <x:v>46593</x:v>
      </x:c>
      <x:c r="E3551" s="20" t="str">
        <x:v>P017</x:v>
      </x:c>
      <x:c r="F3551" s="20" t="str">
        <x:v>U017</x:v>
      </x:c>
      <x:c r="G3551" s="20" t="str">
        <x:v>L039</x:v>
      </x:c>
      <x:c r="H3551" s="20" t="str">
        <x:v>1010 Security Deposit Trust Cash</x:v>
      </x:c>
      <x:c r="I3551" s="26" t="n">
        <x:v>1875</x:v>
      </x:c>
      <x:c r="J3551" s="26" t="n">
        <x:v>0</x:v>
      </x:c>
      <x:c r="K3551" s="35" t="str">
        <x:v>Deposit held in synthetic trust account; not rental income</x:v>
      </x:c>
    </x:row>
    <x:row r="3552">
      <x:c r="A3552" s="20" t="str">
        <x:v>FIN-01652</x:v>
      </x:c>
      <x:c r="B3552" s="32" t="n">
        <x:v>2</x:v>
      </x:c>
      <x:c r="C3552" s="23" t="n">
        <x:v>46593</x:v>
      </x:c>
      <x:c r="D3552" s="23" t="n">
        <x:v>46593</x:v>
      </x:c>
      <x:c r="E3552" s="20" t="str">
        <x:v>P017</x:v>
      </x:c>
      <x:c r="F3552" s="20" t="str">
        <x:v>U017</x:v>
      </x:c>
      <x:c r="G3552" s="20" t="str">
        <x:v>L039</x:v>
      </x:c>
      <x:c r="H3552" s="20" t="str">
        <x:v>2000 Security Deposit Liability</x:v>
      </x:c>
      <x:c r="I3552" s="26" t="n">
        <x:v>0</x:v>
      </x:c>
      <x:c r="J3552" s="26" t="n">
        <x:v>1875</x:v>
      </x:c>
      <x:c r="K3552" s="35" t="str">
        <x:v>Deposit held in synthetic trust account; not rental income</x:v>
      </x:c>
    </x:row>
    <x:row r="3553">
      <x:c r="A3553" s="20" t="str">
        <x:v>FIN-01653</x:v>
      </x:c>
      <x:c r="B3553" s="32" t="n">
        <x:v>1</x:v>
      </x:c>
      <x:c r="C3553" s="23" t="n">
        <x:v>46654</x:v>
      </x:c>
      <x:c r="D3553" s="23" t="n">
        <x:v>46654</x:v>
      </x:c>
      <x:c r="E3553" s="20" t="str">
        <x:v>P021</x:v>
      </x:c>
      <x:c r="F3553" s="20" t="str">
        <x:v>U022</x:v>
      </x:c>
      <x:c r="G3553" s="20" t="str">
        <x:v>L040</x:v>
      </x:c>
      <x:c r="H3553" s="20" t="str">
        <x:v>1010 Security Deposit Trust Cash</x:v>
      </x:c>
      <x:c r="I3553" s="26" t="n">
        <x:v>1900</x:v>
      </x:c>
      <x:c r="J3553" s="26" t="n">
        <x:v>0</x:v>
      </x:c>
      <x:c r="K3553" s="35" t="str">
        <x:v>Deposit held in synthetic trust account; not rental income</x:v>
      </x:c>
    </x:row>
    <x:row r="3554">
      <x:c r="A3554" s="20" t="str">
        <x:v>FIN-01653</x:v>
      </x:c>
      <x:c r="B3554" s="32" t="n">
        <x:v>2</x:v>
      </x:c>
      <x:c r="C3554" s="23" t="n">
        <x:v>46654</x:v>
      </x:c>
      <x:c r="D3554" s="23" t="n">
        <x:v>46654</x:v>
      </x:c>
      <x:c r="E3554" s="20" t="str">
        <x:v>P021</x:v>
      </x:c>
      <x:c r="F3554" s="20" t="str">
        <x:v>U022</x:v>
      </x:c>
      <x:c r="G3554" s="20" t="str">
        <x:v>L040</x:v>
      </x:c>
      <x:c r="H3554" s="20" t="str">
        <x:v>2000 Security Deposit Liability</x:v>
      </x:c>
      <x:c r="I3554" s="26" t="n">
        <x:v>0</x:v>
      </x:c>
      <x:c r="J3554" s="26" t="n">
        <x:v>1900</x:v>
      </x:c>
      <x:c r="K3554" s="35" t="str">
        <x:v>Deposit held in synthetic trust account; not rental income</x:v>
      </x:c>
    </x:row>
    <x:row r="3555">
      <x:c r="A3555" s="20" t="str">
        <x:v>FIN-01654</x:v>
      </x:c>
      <x:c r="B3555" s="32" t="n">
        <x:v>1</x:v>
      </x:c>
      <x:c r="C3555" s="23" t="n">
        <x:v>46729</x:v>
      </x:c>
      <x:c r="D3555" s="23" t="n">
        <x:v>46729</x:v>
      </x:c>
      <x:c r="E3555" s="20" t="str">
        <x:v>P027</x:v>
      </x:c>
      <x:c r="F3555" s="20" t="str">
        <x:v>U034</x:v>
      </x:c>
      <x:c r="G3555" s="20" t="str">
        <x:v>L042</x:v>
      </x:c>
      <x:c r="H3555" s="20" t="str">
        <x:v>1010 Security Deposit Trust Cash</x:v>
      </x:c>
      <x:c r="I3555" s="26" t="n">
        <x:v>1900</x:v>
      </x:c>
      <x:c r="J3555" s="26" t="n">
        <x:v>0</x:v>
      </x:c>
      <x:c r="K3555" s="35" t="str">
        <x:v>Deposit held in synthetic trust account; not rental income</x:v>
      </x:c>
    </x:row>
    <x:row r="3556">
      <x:c r="A3556" s="20" t="str">
        <x:v>FIN-01654</x:v>
      </x:c>
      <x:c r="B3556" s="32" t="n">
        <x:v>2</x:v>
      </x:c>
      <x:c r="C3556" s="23" t="n">
        <x:v>46729</x:v>
      </x:c>
      <x:c r="D3556" s="23" t="n">
        <x:v>46729</x:v>
      </x:c>
      <x:c r="E3556" s="20" t="str">
        <x:v>P027</x:v>
      </x:c>
      <x:c r="F3556" s="20" t="str">
        <x:v>U034</x:v>
      </x:c>
      <x:c r="G3556" s="20" t="str">
        <x:v>L042</x:v>
      </x:c>
      <x:c r="H3556" s="20" t="str">
        <x:v>2000 Security Deposit Liability</x:v>
      </x:c>
      <x:c r="I3556" s="26" t="n">
        <x:v>0</x:v>
      </x:c>
      <x:c r="J3556" s="26" t="n">
        <x:v>1900</x:v>
      </x:c>
      <x:c r="K3556" s="35" t="str">
        <x:v>Deposit held in synthetic trust account; not rental income</x:v>
      </x:c>
    </x:row>
    <x:row r="3557">
      <x:c r="A3557" s="20" t="str">
        <x:v>FIN-01655</x:v>
      </x:c>
      <x:c r="B3557" s="32" t="n">
        <x:v>1</x:v>
      </x:c>
      <x:c r="C3557" s="23" t="n">
        <x:v>46412</x:v>
      </x:c>
      <x:c r="D3557" s="23" t="n">
        <x:v>46412</x:v>
      </x:c>
      <x:c r="E3557" s="20" t="str">
        <x:v>P029</x:v>
      </x:c>
      <x:c r="F3557" s="20" t="str">
        <x:v>U037</x:v>
      </x:c>
      <x:c r="G3557" s="20" t="str">
        <x:v>L043</x:v>
      </x:c>
      <x:c r="H3557" s="20" t="str">
        <x:v>1010 Security Deposit Trust Cash</x:v>
      </x:c>
      <x:c r="I3557" s="26" t="n">
        <x:v>1675</x:v>
      </x:c>
      <x:c r="J3557" s="26" t="n">
        <x:v>0</x:v>
      </x:c>
      <x:c r="K3557" s="35" t="str">
        <x:v>Deposit held in synthetic trust account; not rental income</x:v>
      </x:c>
    </x:row>
    <x:row r="3558">
      <x:c r="A3558" s="20" t="str">
        <x:v>FIN-01655</x:v>
      </x:c>
      <x:c r="B3558" s="32" t="n">
        <x:v>2</x:v>
      </x:c>
      <x:c r="C3558" s="23" t="n">
        <x:v>46412</x:v>
      </x:c>
      <x:c r="D3558" s="23" t="n">
        <x:v>46412</x:v>
      </x:c>
      <x:c r="E3558" s="20" t="str">
        <x:v>P029</x:v>
      </x:c>
      <x:c r="F3558" s="20" t="str">
        <x:v>U037</x:v>
      </x:c>
      <x:c r="G3558" s="20" t="str">
        <x:v>L043</x:v>
      </x:c>
      <x:c r="H3558" s="20" t="str">
        <x:v>2000 Security Deposit Liability</x:v>
      </x:c>
      <x:c r="I3558" s="26" t="n">
        <x:v>0</x:v>
      </x:c>
      <x:c r="J3558" s="26" t="n">
        <x:v>1675</x:v>
      </x:c>
      <x:c r="K3558" s="35" t="str">
        <x:v>Deposit held in synthetic trust account; not rental income</x:v>
      </x:c>
    </x:row>
    <x:row r="3559">
      <x:c r="A3559" s="20" t="str">
        <x:v>FIN-01656</x:v>
      </x:c>
      <x:c r="B3559" s="32" t="n">
        <x:v>1</x:v>
      </x:c>
      <x:c r="C3559" s="23" t="n">
        <x:v>46454</x:v>
      </x:c>
      <x:c r="D3559" s="23" t="n">
        <x:v>46454</x:v>
      </x:c>
      <x:c r="E3559" s="20" t="str">
        <x:v>P029</x:v>
      </x:c>
      <x:c r="F3559" s="20" t="str">
        <x:v>U038</x:v>
      </x:c>
      <x:c r="G3559" s="20" t="str">
        <x:v>L044</x:v>
      </x:c>
      <x:c r="H3559" s="20" t="str">
        <x:v>1010 Security Deposit Trust Cash</x:v>
      </x:c>
      <x:c r="I3559" s="26" t="n">
        <x:v>1300</x:v>
      </x:c>
      <x:c r="J3559" s="26" t="n">
        <x:v>0</x:v>
      </x:c>
      <x:c r="K3559" s="35" t="str">
        <x:v>Deposit held in synthetic trust account; not rental income</x:v>
      </x:c>
    </x:row>
    <x:row r="3560">
      <x:c r="A3560" s="20" t="str">
        <x:v>FIN-01656</x:v>
      </x:c>
      <x:c r="B3560" s="32" t="n">
        <x:v>2</x:v>
      </x:c>
      <x:c r="C3560" s="23" t="n">
        <x:v>46454</x:v>
      </x:c>
      <x:c r="D3560" s="23" t="n">
        <x:v>46454</x:v>
      </x:c>
      <x:c r="E3560" s="20" t="str">
        <x:v>P029</x:v>
      </x:c>
      <x:c r="F3560" s="20" t="str">
        <x:v>U038</x:v>
      </x:c>
      <x:c r="G3560" s="20" t="str">
        <x:v>L044</x:v>
      </x:c>
      <x:c r="H3560" s="20" t="str">
        <x:v>2000 Security Deposit Liability</x:v>
      </x:c>
      <x:c r="I3560" s="26" t="n">
        <x:v>0</x:v>
      </x:c>
      <x:c r="J3560" s="26" t="n">
        <x:v>1300</x:v>
      </x:c>
      <x:c r="K3560" s="35" t="str">
        <x:v>Deposit held in synthetic trust account; not rental income</x:v>
      </x:c>
    </x:row>
    <x:row r="3561">
      <x:c r="A3561" s="20" t="str">
        <x:v>FIN-01657</x:v>
      </x:c>
      <x:c r="B3561" s="32" t="n">
        <x:v>1</x:v>
      </x:c>
      <x:c r="C3561" s="23" t="n">
        <x:v>46532</x:v>
      </x:c>
      <x:c r="D3561" s="23" t="n">
        <x:v>46532</x:v>
      </x:c>
      <x:c r="E3561" s="20" t="str">
        <x:v>P030</x:v>
      </x:c>
      <x:c r="F3561" s="20" t="str">
        <x:v>U039</x:v>
      </x:c>
      <x:c r="G3561" s="20" t="str">
        <x:v>L045</x:v>
      </x:c>
      <x:c r="H3561" s="20" t="str">
        <x:v>1010 Security Deposit Trust Cash</x:v>
      </x:c>
      <x:c r="I3561" s="26" t="n">
        <x:v>1825</x:v>
      </x:c>
      <x:c r="J3561" s="26" t="n">
        <x:v>0</x:v>
      </x:c>
      <x:c r="K3561" s="35" t="str">
        <x:v>Deposit held in synthetic trust account; not rental income</x:v>
      </x:c>
    </x:row>
    <x:row r="3562">
      <x:c r="A3562" s="20" t="str">
        <x:v>FIN-01657</x:v>
      </x:c>
      <x:c r="B3562" s="32" t="n">
        <x:v>2</x:v>
      </x:c>
      <x:c r="C3562" s="23" t="n">
        <x:v>46532</x:v>
      </x:c>
      <x:c r="D3562" s="23" t="n">
        <x:v>46532</x:v>
      </x:c>
      <x:c r="E3562" s="20" t="str">
        <x:v>P030</x:v>
      </x:c>
      <x:c r="F3562" s="20" t="str">
        <x:v>U039</x:v>
      </x:c>
      <x:c r="G3562" s="20" t="str">
        <x:v>L045</x:v>
      </x:c>
      <x:c r="H3562" s="20" t="str">
        <x:v>2000 Security Deposit Liability</x:v>
      </x:c>
      <x:c r="I3562" s="26" t="n">
        <x:v>0</x:v>
      </x:c>
      <x:c r="J3562" s="26" t="n">
        <x:v>1825</x:v>
      </x:c>
      <x:c r="K3562" s="35" t="str">
        <x:v>Deposit held in synthetic trust account; not rental income</x:v>
      </x:c>
    </x:row>
    <x:row r="3563">
      <x:c r="A3563" s="20" t="str">
        <x:v>FIN-01658</x:v>
      </x:c>
      <x:c r="B3563" s="32" t="n">
        <x:v>1</x:v>
      </x:c>
      <x:c r="C3563" s="23" t="n">
        <x:v>46696</x:v>
      </x:c>
      <x:c r="D3563" s="23" t="n">
        <x:v>46696</x:v>
      </x:c>
      <x:c r="E3563" s="20" t="str">
        <x:v>P003</x:v>
      </x:c>
      <x:c r="F3563" s="20" t="str">
        <x:v>U003</x:v>
      </x:c>
      <x:c r="G3563" s="20" t="str">
        <x:v>L003</x:v>
      </x:c>
      <x:c r="H3563" s="20" t="str">
        <x:v>2000 Security Deposit Liability</x:v>
      </x:c>
      <x:c r="I3563" s="26" t="n">
        <x:v>1725</x:v>
      </x:c>
      <x:c r="J3563" s="26" t="n">
        <x:v>0</x:v>
      </x:c>
      <x:c r="K3563" s="35" t="str">
        <x:v>Refund of remaining security deposit liability</x:v>
      </x:c>
    </x:row>
    <x:row r="3564">
      <x:c r="A3564" s="20" t="str">
        <x:v>FIN-01658</x:v>
      </x:c>
      <x:c r="B3564" s="32" t="n">
        <x:v>2</x:v>
      </x:c>
      <x:c r="C3564" s="23" t="n">
        <x:v>46696</x:v>
      </x:c>
      <x:c r="D3564" s="23" t="n">
        <x:v>46696</x:v>
      </x:c>
      <x:c r="E3564" s="20" t="str">
        <x:v>P003</x:v>
      </x:c>
      <x:c r="F3564" s="20" t="str">
        <x:v>U003</x:v>
      </x:c>
      <x:c r="G3564" s="20" t="str">
        <x:v>L003</x:v>
      </x:c>
      <x:c r="H3564" s="20" t="str">
        <x:v>1010 Security Deposit Trust Cash</x:v>
      </x:c>
      <x:c r="I3564" s="26" t="n">
        <x:v>0</x:v>
      </x:c>
      <x:c r="J3564" s="26" t="n">
        <x:v>1725</x:v>
      </x:c>
      <x:c r="K3564" s="35" t="str">
        <x:v>Refund of remaining security deposit liability</x:v>
      </x:c>
    </x:row>
    <x:row r="3565">
      <x:c r="A3565" s="20" t="str">
        <x:v>FIN-01659</x:v>
      </x:c>
      <x:c r="B3565" s="32" t="n">
        <x:v>1</x:v>
      </x:c>
      <x:c r="C3565" s="23" t="n">
        <x:v>46451</x:v>
      </x:c>
      <x:c r="D3565" s="23" t="n">
        <x:v>46451</x:v>
      </x:c>
      <x:c r="E3565" s="20" t="str">
        <x:v>P005</x:v>
      </x:c>
      <x:c r="F3565" s="20" t="str">
        <x:v>U005</x:v>
      </x:c>
      <x:c r="G3565" s="20" t="str">
        <x:v>L005</x:v>
      </x:c>
      <x:c r="H3565" s="20" t="str">
        <x:v>2000 Security Deposit Liability</x:v>
      </x:c>
      <x:c r="I3565" s="26" t="n">
        <x:v>1875</x:v>
      </x:c>
      <x:c r="J3565" s="26" t="n">
        <x:v>0</x:v>
      </x:c>
      <x:c r="K3565" s="35" t="str">
        <x:v>Refund of remaining security deposit liability</x:v>
      </x:c>
    </x:row>
    <x:row r="3566">
      <x:c r="A3566" s="20" t="str">
        <x:v>FIN-01659</x:v>
      </x:c>
      <x:c r="B3566" s="32" t="n">
        <x:v>2</x:v>
      </x:c>
      <x:c r="C3566" s="23" t="n">
        <x:v>46451</x:v>
      </x:c>
      <x:c r="D3566" s="23" t="n">
        <x:v>46451</x:v>
      </x:c>
      <x:c r="E3566" s="20" t="str">
        <x:v>P005</x:v>
      </x:c>
      <x:c r="F3566" s="20" t="str">
        <x:v>U005</x:v>
      </x:c>
      <x:c r="G3566" s="20" t="str">
        <x:v>L005</x:v>
      </x:c>
      <x:c r="H3566" s="20" t="str">
        <x:v>1010 Security Deposit Trust Cash</x:v>
      </x:c>
      <x:c r="I3566" s="26" t="n">
        <x:v>0</x:v>
      </x:c>
      <x:c r="J3566" s="26" t="n">
        <x:v>1875</x:v>
      </x:c>
      <x:c r="K3566" s="35" t="str">
        <x:v>Refund of remaining security deposit liability</x:v>
      </x:c>
    </x:row>
    <x:row r="3567">
      <x:c r="A3567" s="20" t="str">
        <x:v>FIN-01660</x:v>
      </x:c>
      <x:c r="B3567" s="32" t="n">
        <x:v>1</x:v>
      </x:c>
      <x:c r="C3567" s="23" t="n">
        <x:v>46635</x:v>
      </x:c>
      <x:c r="D3567" s="23" t="n">
        <x:v>46630</x:v>
      </x:c>
      <x:c r="E3567" s="20" t="str">
        <x:v>P008</x:v>
      </x:c>
      <x:c r="F3567" s="20" t="str">
        <x:v>U008</x:v>
      </x:c>
      <x:c r="G3567" s="20" t="str">
        <x:v>L008</x:v>
      </x:c>
      <x:c r="H3567" s="20" t="str">
        <x:v>1100 Tenant Accounts Receivable</x:v>
      </x:c>
      <x:c r="I3567" s="26" t="n">
        <x:v>125</x:v>
      </x:c>
      <x:c r="J3567" s="26" t="n">
        <x:v>0</x:v>
      </x:c>
      <x:c r="K3567" s="35" t="str">
        <x:v>Chargeable damage supported by completed inspection</x:v>
      </x:c>
    </x:row>
    <x:row r="3568">
      <x:c r="A3568" s="20" t="str">
        <x:v>FIN-01660</x:v>
      </x:c>
      <x:c r="B3568" s="32" t="n">
        <x:v>2</x:v>
      </x:c>
      <x:c r="C3568" s="23" t="n">
        <x:v>46635</x:v>
      </x:c>
      <x:c r="D3568" s="23" t="n">
        <x:v>46630</x:v>
      </x:c>
      <x:c r="E3568" s="20" t="str">
        <x:v>P008</x:v>
      </x:c>
      <x:c r="F3568" s="20" t="str">
        <x:v>U008</x:v>
      </x:c>
      <x:c r="G3568" s="20" t="str">
        <x:v>L008</x:v>
      </x:c>
      <x:c r="H3568" s="20" t="str">
        <x:v>4020 Other Tenant Income</x:v>
      </x:c>
      <x:c r="I3568" s="26" t="n">
        <x:v>0</x:v>
      </x:c>
      <x:c r="J3568" s="26" t="n">
        <x:v>125</x:v>
      </x:c>
      <x:c r="K3568" s="35" t="str">
        <x:v>Chargeable damage supported by completed inspection</x:v>
      </x:c>
    </x:row>
    <x:row r="3569">
      <x:c r="A3569" s="20" t="str">
        <x:v>FIN-01661</x:v>
      </x:c>
      <x:c r="B3569" s="32" t="n">
        <x:v>1</x:v>
      </x:c>
      <x:c r="C3569" s="23" t="n">
        <x:v>46635</x:v>
      </x:c>
      <x:c r="D3569" s="23" t="n">
        <x:v>46635</x:v>
      </x:c>
      <x:c r="E3569" s="20" t="str">
        <x:v>P008</x:v>
      </x:c>
      <x:c r="F3569" s="20" t="str">
        <x:v>U008</x:v>
      </x:c>
      <x:c r="G3569" s="20" t="str">
        <x:v>L008</x:v>
      </x:c>
      <x:c r="H3569" s="20" t="str">
        <x:v>2000 Security Deposit Liability</x:v>
      </x:c>
      <x:c r="I3569" s="26" t="n">
        <x:v>125</x:v>
      </x:c>
      <x:c r="J3569" s="26" t="n">
        <x:v>0</x:v>
      </x:c>
      <x:c r="K3569" s="35" t="str">
        <x:v>Deposit applied with trust-to-operating cash transfer</x:v>
      </x:c>
    </x:row>
    <x:row r="3570">
      <x:c r="A3570" s="20" t="str">
        <x:v>FIN-01661</x:v>
      </x:c>
      <x:c r="B3570" s="32" t="n">
        <x:v>2</x:v>
      </x:c>
      <x:c r="C3570" s="23" t="n">
        <x:v>46635</x:v>
      </x:c>
      <x:c r="D3570" s="23" t="n">
        <x:v>46635</x:v>
      </x:c>
      <x:c r="E3570" s="20" t="str">
        <x:v>P008</x:v>
      </x:c>
      <x:c r="F3570" s="20" t="str">
        <x:v>U008</x:v>
      </x:c>
      <x:c r="G3570" s="20" t="str">
        <x:v>L008</x:v>
      </x:c>
      <x:c r="H3570" s="20" t="str">
        <x:v>1100 Tenant Accounts Receivable</x:v>
      </x:c>
      <x:c r="I3570" s="26" t="n">
        <x:v>0</x:v>
      </x:c>
      <x:c r="J3570" s="26" t="n">
        <x:v>125</x:v>
      </x:c>
      <x:c r="K3570" s="35" t="str">
        <x:v>Deposit applied with trust-to-operating cash transfer</x:v>
      </x:c>
    </x:row>
    <x:row r="3571">
      <x:c r="A3571" s="20" t="str">
        <x:v>FIN-01661</x:v>
      </x:c>
      <x:c r="B3571" s="32" t="n">
        <x:v>3</x:v>
      </x:c>
      <x:c r="C3571" s="23" t="n">
        <x:v>46635</x:v>
      </x:c>
      <x:c r="D3571" s="23" t="n">
        <x:v>46635</x:v>
      </x:c>
      <x:c r="E3571" s="20" t="str">
        <x:v>P008</x:v>
      </x:c>
      <x:c r="F3571" s="20" t="str">
        <x:v>U008</x:v>
      </x:c>
      <x:c r="G3571" s="20" t="str">
        <x:v>L008</x:v>
      </x:c>
      <x:c r="H3571" s="20" t="str">
        <x:v>1000 Operating Cash</x:v>
      </x:c>
      <x:c r="I3571" s="26" t="n">
        <x:v>125</x:v>
      </x:c>
      <x:c r="J3571" s="26" t="n">
        <x:v>0</x:v>
      </x:c>
      <x:c r="K3571" s="35" t="str">
        <x:v>Deposit applied with trust-to-operating cash transfer</x:v>
      </x:c>
    </x:row>
    <x:row r="3572">
      <x:c r="A3572" s="20" t="str">
        <x:v>FIN-01661</x:v>
      </x:c>
      <x:c r="B3572" s="32" t="n">
        <x:v>4</x:v>
      </x:c>
      <x:c r="C3572" s="23" t="n">
        <x:v>46635</x:v>
      </x:c>
      <x:c r="D3572" s="23" t="n">
        <x:v>46635</x:v>
      </x:c>
      <x:c r="E3572" s="20" t="str">
        <x:v>P008</x:v>
      </x:c>
      <x:c r="F3572" s="20" t="str">
        <x:v>U008</x:v>
      </x:c>
      <x:c r="G3572" s="20" t="str">
        <x:v>L008</x:v>
      </x:c>
      <x:c r="H3572" s="20" t="str">
        <x:v>1010 Security Deposit Trust Cash</x:v>
      </x:c>
      <x:c r="I3572" s="26" t="n">
        <x:v>0</x:v>
      </x:c>
      <x:c r="J3572" s="26" t="n">
        <x:v>125</x:v>
      </x:c>
      <x:c r="K3572" s="35" t="str">
        <x:v>Deposit applied with trust-to-operating cash transfer</x:v>
      </x:c>
    </x:row>
    <x:row r="3573">
      <x:c r="A3573" s="20" t="str">
        <x:v>FIN-01662</x:v>
      </x:c>
      <x:c r="B3573" s="32" t="n">
        <x:v>1</x:v>
      </x:c>
      <x:c r="C3573" s="23" t="n">
        <x:v>46635</x:v>
      </x:c>
      <x:c r="D3573" s="23" t="n">
        <x:v>46635</x:v>
      </x:c>
      <x:c r="E3573" s="20" t="str">
        <x:v>P008</x:v>
      </x:c>
      <x:c r="F3573" s="20" t="str">
        <x:v>U008</x:v>
      </x:c>
      <x:c r="G3573" s="20" t="str">
        <x:v>L008</x:v>
      </x:c>
      <x:c r="H3573" s="20" t="str">
        <x:v>2000 Security Deposit Liability</x:v>
      </x:c>
      <x:c r="I3573" s="26" t="n">
        <x:v>1525</x:v>
      </x:c>
      <x:c r="J3573" s="26" t="n">
        <x:v>0</x:v>
      </x:c>
      <x:c r="K3573" s="35" t="str">
        <x:v>Refund of remaining security deposit liability</x:v>
      </x:c>
    </x:row>
    <x:row r="3574">
      <x:c r="A3574" s="20" t="str">
        <x:v>FIN-01662</x:v>
      </x:c>
      <x:c r="B3574" s="32" t="n">
        <x:v>2</x:v>
      </x:c>
      <x:c r="C3574" s="23" t="n">
        <x:v>46635</x:v>
      </x:c>
      <x:c r="D3574" s="23" t="n">
        <x:v>46635</x:v>
      </x:c>
      <x:c r="E3574" s="20" t="str">
        <x:v>P008</x:v>
      </x:c>
      <x:c r="F3574" s="20" t="str">
        <x:v>U008</x:v>
      </x:c>
      <x:c r="G3574" s="20" t="str">
        <x:v>L008</x:v>
      </x:c>
      <x:c r="H3574" s="20" t="str">
        <x:v>1010 Security Deposit Trust Cash</x:v>
      </x:c>
      <x:c r="I3574" s="26" t="n">
        <x:v>0</x:v>
      </x:c>
      <x:c r="J3574" s="26" t="n">
        <x:v>1525</x:v>
      </x:c>
      <x:c r="K3574" s="35" t="str">
        <x:v>Refund of remaining security deposit liability</x:v>
      </x:c>
    </x:row>
    <x:row r="3575">
      <x:c r="A3575" s="20" t="str">
        <x:v>FIN-01663</x:v>
      </x:c>
      <x:c r="B3575" s="32" t="n">
        <x:v>1</x:v>
      </x:c>
      <x:c r="C3575" s="23" t="n">
        <x:v>46543</x:v>
      </x:c>
      <x:c r="D3575" s="23" t="n">
        <x:v>46538</x:v>
      </x:c>
      <x:c r="E3575" s="20" t="str">
        <x:v>P014</x:v>
      </x:c>
      <x:c r="F3575" s="20" t="str">
        <x:v>U014</x:v>
      </x:c>
      <x:c r="G3575" s="20" t="str">
        <x:v>L014</x:v>
      </x:c>
      <x:c r="H3575" s="20" t="str">
        <x:v>1100 Tenant Accounts Receivable</x:v>
      </x:c>
      <x:c r="I3575" s="26" t="n">
        <x:v>425</x:v>
      </x:c>
      <x:c r="J3575" s="26" t="n">
        <x:v>0</x:v>
      </x:c>
      <x:c r="K3575" s="35" t="str">
        <x:v>Chargeable damage supported by completed inspection</x:v>
      </x:c>
    </x:row>
    <x:row r="3576">
      <x:c r="A3576" s="20" t="str">
        <x:v>FIN-01663</x:v>
      </x:c>
      <x:c r="B3576" s="32" t="n">
        <x:v>2</x:v>
      </x:c>
      <x:c r="C3576" s="23" t="n">
        <x:v>46543</x:v>
      </x:c>
      <x:c r="D3576" s="23" t="n">
        <x:v>46538</x:v>
      </x:c>
      <x:c r="E3576" s="20" t="str">
        <x:v>P014</x:v>
      </x:c>
      <x:c r="F3576" s="20" t="str">
        <x:v>U014</x:v>
      </x:c>
      <x:c r="G3576" s="20" t="str">
        <x:v>L014</x:v>
      </x:c>
      <x:c r="H3576" s="20" t="str">
        <x:v>4020 Other Tenant Income</x:v>
      </x:c>
      <x:c r="I3576" s="26" t="n">
        <x:v>0</x:v>
      </x:c>
      <x:c r="J3576" s="26" t="n">
        <x:v>425</x:v>
      </x:c>
      <x:c r="K3576" s="35" t="str">
        <x:v>Chargeable damage supported by completed inspection</x:v>
      </x:c>
    </x:row>
    <x:row r="3577">
      <x:c r="A3577" s="20" t="str">
        <x:v>FIN-01664</x:v>
      </x:c>
      <x:c r="B3577" s="32" t="n">
        <x:v>1</x:v>
      </x:c>
      <x:c r="C3577" s="23" t="n">
        <x:v>46543</x:v>
      </x:c>
      <x:c r="D3577" s="23" t="n">
        <x:v>46543</x:v>
      </x:c>
      <x:c r="E3577" s="20" t="str">
        <x:v>P014</x:v>
      </x:c>
      <x:c r="F3577" s="20" t="str">
        <x:v>U014</x:v>
      </x:c>
      <x:c r="G3577" s="20" t="str">
        <x:v>L014</x:v>
      </x:c>
      <x:c r="H3577" s="20" t="str">
        <x:v>2000 Security Deposit Liability</x:v>
      </x:c>
      <x:c r="I3577" s="26" t="n">
        <x:v>425</x:v>
      </x:c>
      <x:c r="J3577" s="26" t="n">
        <x:v>0</x:v>
      </x:c>
      <x:c r="K3577" s="35" t="str">
        <x:v>Deposit applied with trust-to-operating cash transfer</x:v>
      </x:c>
    </x:row>
    <x:row r="3578">
      <x:c r="A3578" s="20" t="str">
        <x:v>FIN-01664</x:v>
      </x:c>
      <x:c r="B3578" s="32" t="n">
        <x:v>2</x:v>
      </x:c>
      <x:c r="C3578" s="23" t="n">
        <x:v>46543</x:v>
      </x:c>
      <x:c r="D3578" s="23" t="n">
        <x:v>46543</x:v>
      </x:c>
      <x:c r="E3578" s="20" t="str">
        <x:v>P014</x:v>
      </x:c>
      <x:c r="F3578" s="20" t="str">
        <x:v>U014</x:v>
      </x:c>
      <x:c r="G3578" s="20" t="str">
        <x:v>L014</x:v>
      </x:c>
      <x:c r="H3578" s="20" t="str">
        <x:v>1100 Tenant Accounts Receivable</x:v>
      </x:c>
      <x:c r="I3578" s="26" t="n">
        <x:v>0</x:v>
      </x:c>
      <x:c r="J3578" s="26" t="n">
        <x:v>425</x:v>
      </x:c>
      <x:c r="K3578" s="35" t="str">
        <x:v>Deposit applied with trust-to-operating cash transfer</x:v>
      </x:c>
    </x:row>
    <x:row r="3579">
      <x:c r="A3579" s="20" t="str">
        <x:v>FIN-01664</x:v>
      </x:c>
      <x:c r="B3579" s="32" t="n">
        <x:v>3</x:v>
      </x:c>
      <x:c r="C3579" s="23" t="n">
        <x:v>46543</x:v>
      </x:c>
      <x:c r="D3579" s="23" t="n">
        <x:v>46543</x:v>
      </x:c>
      <x:c r="E3579" s="20" t="str">
        <x:v>P014</x:v>
      </x:c>
      <x:c r="F3579" s="20" t="str">
        <x:v>U014</x:v>
      </x:c>
      <x:c r="G3579" s="20" t="str">
        <x:v>L014</x:v>
      </x:c>
      <x:c r="H3579" s="20" t="str">
        <x:v>1000 Operating Cash</x:v>
      </x:c>
      <x:c r="I3579" s="26" t="n">
        <x:v>425</x:v>
      </x:c>
      <x:c r="J3579" s="26" t="n">
        <x:v>0</x:v>
      </x:c>
      <x:c r="K3579" s="35" t="str">
        <x:v>Deposit applied with trust-to-operating cash transfer</x:v>
      </x:c>
    </x:row>
    <x:row r="3580">
      <x:c r="A3580" s="20" t="str">
        <x:v>FIN-01664</x:v>
      </x:c>
      <x:c r="B3580" s="32" t="n">
        <x:v>4</x:v>
      </x:c>
      <x:c r="C3580" s="23" t="n">
        <x:v>46543</x:v>
      </x:c>
      <x:c r="D3580" s="23" t="n">
        <x:v>46543</x:v>
      </x:c>
      <x:c r="E3580" s="20" t="str">
        <x:v>P014</x:v>
      </x:c>
      <x:c r="F3580" s="20" t="str">
        <x:v>U014</x:v>
      </x:c>
      <x:c r="G3580" s="20" t="str">
        <x:v>L014</x:v>
      </x:c>
      <x:c r="H3580" s="20" t="str">
        <x:v>1010 Security Deposit Trust Cash</x:v>
      </x:c>
      <x:c r="I3580" s="26" t="n">
        <x:v>0</x:v>
      </x:c>
      <x:c r="J3580" s="26" t="n">
        <x:v>425</x:v>
      </x:c>
      <x:c r="K3580" s="35" t="str">
        <x:v>Deposit applied with trust-to-operating cash transfer</x:v>
      </x:c>
    </x:row>
    <x:row r="3581">
      <x:c r="A3581" s="20" t="str">
        <x:v>FIN-01665</x:v>
      </x:c>
      <x:c r="B3581" s="32" t="n">
        <x:v>1</x:v>
      </x:c>
      <x:c r="C3581" s="23" t="n">
        <x:v>46543</x:v>
      </x:c>
      <x:c r="D3581" s="23" t="n">
        <x:v>46543</x:v>
      </x:c>
      <x:c r="E3581" s="20" t="str">
        <x:v>P014</x:v>
      </x:c>
      <x:c r="F3581" s="20" t="str">
        <x:v>U014</x:v>
      </x:c>
      <x:c r="G3581" s="20" t="str">
        <x:v>L014</x:v>
      </x:c>
      <x:c r="H3581" s="20" t="str">
        <x:v>2000 Security Deposit Liability</x:v>
      </x:c>
      <x:c r="I3581" s="26" t="n">
        <x:v>775</x:v>
      </x:c>
      <x:c r="J3581" s="26" t="n">
        <x:v>0</x:v>
      </x:c>
      <x:c r="K3581" s="35" t="str">
        <x:v>Refund of remaining security deposit liability</x:v>
      </x:c>
    </x:row>
    <x:row r="3582">
      <x:c r="A3582" s="20" t="str">
        <x:v>FIN-01665</x:v>
      </x:c>
      <x:c r="B3582" s="32" t="n">
        <x:v>2</x:v>
      </x:c>
      <x:c r="C3582" s="23" t="n">
        <x:v>46543</x:v>
      </x:c>
      <x:c r="D3582" s="23" t="n">
        <x:v>46543</x:v>
      </x:c>
      <x:c r="E3582" s="20" t="str">
        <x:v>P014</x:v>
      </x:c>
      <x:c r="F3582" s="20" t="str">
        <x:v>U014</x:v>
      </x:c>
      <x:c r="G3582" s="20" t="str">
        <x:v>L014</x:v>
      </x:c>
      <x:c r="H3582" s="20" t="str">
        <x:v>1010 Security Deposit Trust Cash</x:v>
      </x:c>
      <x:c r="I3582" s="26" t="n">
        <x:v>0</x:v>
      </x:c>
      <x:c r="J3582" s="26" t="n">
        <x:v>775</x:v>
      </x:c>
      <x:c r="K3582" s="35" t="str">
        <x:v>Refund of remaining security deposit liability</x:v>
      </x:c>
    </x:row>
    <x:row r="3583">
      <x:c r="A3583" s="20" t="str">
        <x:v>FIN-01666</x:v>
      </x:c>
      <x:c r="B3583" s="32" t="n">
        <x:v>1</x:v>
      </x:c>
      <x:c r="C3583" s="23" t="n">
        <x:v>46563</x:v>
      </x:c>
      <x:c r="D3583" s="23" t="n">
        <x:v>46558</x:v>
      </x:c>
      <x:c r="E3583" s="20" t="str">
        <x:v>P017</x:v>
      </x:c>
      <x:c r="F3583" s="20" t="str">
        <x:v>U017</x:v>
      </x:c>
      <x:c r="G3583" s="20" t="str">
        <x:v>L017</x:v>
      </x:c>
      <x:c r="H3583" s="20" t="str">
        <x:v>1100 Tenant Accounts Receivable</x:v>
      </x:c>
      <x:c r="I3583" s="26" t="n">
        <x:v>650</x:v>
      </x:c>
      <x:c r="J3583" s="26" t="n">
        <x:v>0</x:v>
      </x:c>
      <x:c r="K3583" s="35" t="str">
        <x:v>Chargeable damage supported by completed inspection</x:v>
      </x:c>
    </x:row>
    <x:row r="3584">
      <x:c r="A3584" s="20" t="str">
        <x:v>FIN-01666</x:v>
      </x:c>
      <x:c r="B3584" s="32" t="n">
        <x:v>2</x:v>
      </x:c>
      <x:c r="C3584" s="23" t="n">
        <x:v>46563</x:v>
      </x:c>
      <x:c r="D3584" s="23" t="n">
        <x:v>46558</x:v>
      </x:c>
      <x:c r="E3584" s="20" t="str">
        <x:v>P017</x:v>
      </x:c>
      <x:c r="F3584" s="20" t="str">
        <x:v>U017</x:v>
      </x:c>
      <x:c r="G3584" s="20" t="str">
        <x:v>L017</x:v>
      </x:c>
      <x:c r="H3584" s="20" t="str">
        <x:v>4020 Other Tenant Income</x:v>
      </x:c>
      <x:c r="I3584" s="26" t="n">
        <x:v>0</x:v>
      </x:c>
      <x:c r="J3584" s="26" t="n">
        <x:v>650</x:v>
      </x:c>
      <x:c r="K3584" s="35" t="str">
        <x:v>Chargeable damage supported by completed inspection</x:v>
      </x:c>
    </x:row>
    <x:row r="3585">
      <x:c r="A3585" s="20" t="str">
        <x:v>FIN-01667</x:v>
      </x:c>
      <x:c r="B3585" s="32" t="n">
        <x:v>1</x:v>
      </x:c>
      <x:c r="C3585" s="23" t="n">
        <x:v>46563</x:v>
      </x:c>
      <x:c r="D3585" s="23" t="n">
        <x:v>46563</x:v>
      </x:c>
      <x:c r="E3585" s="20" t="str">
        <x:v>P017</x:v>
      </x:c>
      <x:c r="F3585" s="20" t="str">
        <x:v>U017</x:v>
      </x:c>
      <x:c r="G3585" s="20" t="str">
        <x:v>L017</x:v>
      </x:c>
      <x:c r="H3585" s="20" t="str">
        <x:v>2000 Security Deposit Liability</x:v>
      </x:c>
      <x:c r="I3585" s="26" t="n">
        <x:v>1875</x:v>
      </x:c>
      <x:c r="J3585" s="26" t="n">
        <x:v>0</x:v>
      </x:c>
      <x:c r="K3585" s="35" t="str">
        <x:v>Deposit applied with trust-to-operating cash transfer</x:v>
      </x:c>
    </x:row>
    <x:row r="3586">
      <x:c r="A3586" s="20" t="str">
        <x:v>FIN-01667</x:v>
      </x:c>
      <x:c r="B3586" s="32" t="n">
        <x:v>2</x:v>
      </x:c>
      <x:c r="C3586" s="23" t="n">
        <x:v>46563</x:v>
      </x:c>
      <x:c r="D3586" s="23" t="n">
        <x:v>46563</x:v>
      </x:c>
      <x:c r="E3586" s="20" t="str">
        <x:v>P017</x:v>
      </x:c>
      <x:c r="F3586" s="20" t="str">
        <x:v>U017</x:v>
      </x:c>
      <x:c r="G3586" s="20" t="str">
        <x:v>L017</x:v>
      </x:c>
      <x:c r="H3586" s="20" t="str">
        <x:v>1100 Tenant Accounts Receivable</x:v>
      </x:c>
      <x:c r="I3586" s="26" t="n">
        <x:v>0</x:v>
      </x:c>
      <x:c r="J3586" s="26" t="n">
        <x:v>1875</x:v>
      </x:c>
      <x:c r="K3586" s="35" t="str">
        <x:v>Deposit applied with trust-to-operating cash transfer</x:v>
      </x:c>
    </x:row>
    <x:row r="3587">
      <x:c r="A3587" s="20" t="str">
        <x:v>FIN-01667</x:v>
      </x:c>
      <x:c r="B3587" s="32" t="n">
        <x:v>3</x:v>
      </x:c>
      <x:c r="C3587" s="23" t="n">
        <x:v>46563</x:v>
      </x:c>
      <x:c r="D3587" s="23" t="n">
        <x:v>46563</x:v>
      </x:c>
      <x:c r="E3587" s="20" t="str">
        <x:v>P017</x:v>
      </x:c>
      <x:c r="F3587" s="20" t="str">
        <x:v>U017</x:v>
      </x:c>
      <x:c r="G3587" s="20" t="str">
        <x:v>L017</x:v>
      </x:c>
      <x:c r="H3587" s="20" t="str">
        <x:v>1000 Operating Cash</x:v>
      </x:c>
      <x:c r="I3587" s="26" t="n">
        <x:v>1875</x:v>
      </x:c>
      <x:c r="J3587" s="26" t="n">
        <x:v>0</x:v>
      </x:c>
      <x:c r="K3587" s="35" t="str">
        <x:v>Deposit applied with trust-to-operating cash transfer</x:v>
      </x:c>
    </x:row>
    <x:row r="3588">
      <x:c r="A3588" s="20" t="str">
        <x:v>FIN-01667</x:v>
      </x:c>
      <x:c r="B3588" s="32" t="n">
        <x:v>4</x:v>
      </x:c>
      <x:c r="C3588" s="23" t="n">
        <x:v>46563</x:v>
      </x:c>
      <x:c r="D3588" s="23" t="n">
        <x:v>46563</x:v>
      </x:c>
      <x:c r="E3588" s="20" t="str">
        <x:v>P017</x:v>
      </x:c>
      <x:c r="F3588" s="20" t="str">
        <x:v>U017</x:v>
      </x:c>
      <x:c r="G3588" s="20" t="str">
        <x:v>L017</x:v>
      </x:c>
      <x:c r="H3588" s="20" t="str">
        <x:v>1010 Security Deposit Trust Cash</x:v>
      </x:c>
      <x:c r="I3588" s="26" t="n">
        <x:v>0</x:v>
      </x:c>
      <x:c r="J3588" s="26" t="n">
        <x:v>1875</x:v>
      </x:c>
      <x:c r="K3588" s="35" t="str">
        <x:v>Deposit applied with trust-to-operating cash transfer</x:v>
      </x:c>
    </x:row>
    <x:row r="3589">
      <x:c r="A3589" s="20" t="str">
        <x:v>FIN-01668</x:v>
      </x:c>
      <x:c r="B3589" s="32" t="n">
        <x:v>1</x:v>
      </x:c>
      <x:c r="C3589" s="23" t="n">
        <x:v>46635</x:v>
      </x:c>
      <x:c r="D3589" s="23" t="n">
        <x:v>46630</x:v>
      </x:c>
      <x:c r="E3589" s="20" t="str">
        <x:v>P021</x:v>
      </x:c>
      <x:c r="F3589" s="20" t="str">
        <x:v>U022</x:v>
      </x:c>
      <x:c r="G3589" s="20" t="str">
        <x:v>L022</x:v>
      </x:c>
      <x:c r="H3589" s="20" t="str">
        <x:v>1100 Tenant Accounts Receivable</x:v>
      </x:c>
      <x:c r="I3589" s="26" t="n">
        <x:v>200</x:v>
      </x:c>
      <x:c r="J3589" s="26" t="n">
        <x:v>0</x:v>
      </x:c>
      <x:c r="K3589" s="35" t="str">
        <x:v>Chargeable damage supported by completed inspection</x:v>
      </x:c>
    </x:row>
    <x:row r="3590">
      <x:c r="A3590" s="20" t="str">
        <x:v>FIN-01668</x:v>
      </x:c>
      <x:c r="B3590" s="32" t="n">
        <x:v>2</x:v>
      </x:c>
      <x:c r="C3590" s="23" t="n">
        <x:v>46635</x:v>
      </x:c>
      <x:c r="D3590" s="23" t="n">
        <x:v>46630</x:v>
      </x:c>
      <x:c r="E3590" s="20" t="str">
        <x:v>P021</x:v>
      </x:c>
      <x:c r="F3590" s="20" t="str">
        <x:v>U022</x:v>
      </x:c>
      <x:c r="G3590" s="20" t="str">
        <x:v>L022</x:v>
      </x:c>
      <x:c r="H3590" s="20" t="str">
        <x:v>4020 Other Tenant Income</x:v>
      </x:c>
      <x:c r="I3590" s="26" t="n">
        <x:v>0</x:v>
      </x:c>
      <x:c r="J3590" s="26" t="n">
        <x:v>200</x:v>
      </x:c>
      <x:c r="K3590" s="35" t="str">
        <x:v>Chargeable damage supported by completed inspection</x:v>
      </x:c>
    </x:row>
    <x:row r="3591">
      <x:c r="A3591" s="20" t="str">
        <x:v>FIN-01669</x:v>
      </x:c>
      <x:c r="B3591" s="32" t="n">
        <x:v>1</x:v>
      </x:c>
      <x:c r="C3591" s="23" t="n">
        <x:v>46635</x:v>
      </x:c>
      <x:c r="D3591" s="23" t="n">
        <x:v>46635</x:v>
      </x:c>
      <x:c r="E3591" s="20" t="str">
        <x:v>P021</x:v>
      </x:c>
      <x:c r="F3591" s="20" t="str">
        <x:v>U022</x:v>
      </x:c>
      <x:c r="G3591" s="20" t="str">
        <x:v>L022</x:v>
      </x:c>
      <x:c r="H3591" s="20" t="str">
        <x:v>2000 Security Deposit Liability</x:v>
      </x:c>
      <x:c r="I3591" s="26" t="n">
        <x:v>200</x:v>
      </x:c>
      <x:c r="J3591" s="26" t="n">
        <x:v>0</x:v>
      </x:c>
      <x:c r="K3591" s="35" t="str">
        <x:v>Deposit applied with trust-to-operating cash transfer</x:v>
      </x:c>
    </x:row>
    <x:row r="3592">
      <x:c r="A3592" s="20" t="str">
        <x:v>FIN-01669</x:v>
      </x:c>
      <x:c r="B3592" s="32" t="n">
        <x:v>2</x:v>
      </x:c>
      <x:c r="C3592" s="23" t="n">
        <x:v>46635</x:v>
      </x:c>
      <x:c r="D3592" s="23" t="n">
        <x:v>46635</x:v>
      </x:c>
      <x:c r="E3592" s="20" t="str">
        <x:v>P021</x:v>
      </x:c>
      <x:c r="F3592" s="20" t="str">
        <x:v>U022</x:v>
      </x:c>
      <x:c r="G3592" s="20" t="str">
        <x:v>L022</x:v>
      </x:c>
      <x:c r="H3592" s="20" t="str">
        <x:v>1100 Tenant Accounts Receivable</x:v>
      </x:c>
      <x:c r="I3592" s="26" t="n">
        <x:v>0</x:v>
      </x:c>
      <x:c r="J3592" s="26" t="n">
        <x:v>200</x:v>
      </x:c>
      <x:c r="K3592" s="35" t="str">
        <x:v>Deposit applied with trust-to-operating cash transfer</x:v>
      </x:c>
    </x:row>
    <x:row r="3593">
      <x:c r="A3593" s="20" t="str">
        <x:v>FIN-01669</x:v>
      </x:c>
      <x:c r="B3593" s="32" t="n">
        <x:v>3</x:v>
      </x:c>
      <x:c r="C3593" s="23" t="n">
        <x:v>46635</x:v>
      </x:c>
      <x:c r="D3593" s="23" t="n">
        <x:v>46635</x:v>
      </x:c>
      <x:c r="E3593" s="20" t="str">
        <x:v>P021</x:v>
      </x:c>
      <x:c r="F3593" s="20" t="str">
        <x:v>U022</x:v>
      </x:c>
      <x:c r="G3593" s="20" t="str">
        <x:v>L022</x:v>
      </x:c>
      <x:c r="H3593" s="20" t="str">
        <x:v>1000 Operating Cash</x:v>
      </x:c>
      <x:c r="I3593" s="26" t="n">
        <x:v>200</x:v>
      </x:c>
      <x:c r="J3593" s="26" t="n">
        <x:v>0</x:v>
      </x:c>
      <x:c r="K3593" s="35" t="str">
        <x:v>Deposit applied with trust-to-operating cash transfer</x:v>
      </x:c>
    </x:row>
    <x:row r="3594">
      <x:c r="A3594" s="20" t="str">
        <x:v>FIN-01669</x:v>
      </x:c>
      <x:c r="B3594" s="32" t="n">
        <x:v>4</x:v>
      </x:c>
      <x:c r="C3594" s="23" t="n">
        <x:v>46635</x:v>
      </x:c>
      <x:c r="D3594" s="23" t="n">
        <x:v>46635</x:v>
      </x:c>
      <x:c r="E3594" s="20" t="str">
        <x:v>P021</x:v>
      </x:c>
      <x:c r="F3594" s="20" t="str">
        <x:v>U022</x:v>
      </x:c>
      <x:c r="G3594" s="20" t="str">
        <x:v>L022</x:v>
      </x:c>
      <x:c r="H3594" s="20" t="str">
        <x:v>1010 Security Deposit Trust Cash</x:v>
      </x:c>
      <x:c r="I3594" s="26" t="n">
        <x:v>0</x:v>
      </x:c>
      <x:c r="J3594" s="26" t="n">
        <x:v>200</x:v>
      </x:c>
      <x:c r="K3594" s="35" t="str">
        <x:v>Deposit applied with trust-to-operating cash transfer</x:v>
      </x:c>
    </x:row>
    <x:row r="3595">
      <x:c r="A3595" s="20" t="str">
        <x:v>FIN-01670</x:v>
      </x:c>
      <x:c r="B3595" s="32" t="n">
        <x:v>1</x:v>
      </x:c>
      <x:c r="C3595" s="23" t="n">
        <x:v>46635</x:v>
      </x:c>
      <x:c r="D3595" s="23" t="n">
        <x:v>46635</x:v>
      </x:c>
      <x:c r="E3595" s="20" t="str">
        <x:v>P021</x:v>
      </x:c>
      <x:c r="F3595" s="20" t="str">
        <x:v>U022</x:v>
      </x:c>
      <x:c r="G3595" s="20" t="str">
        <x:v>L022</x:v>
      </x:c>
      <x:c r="H3595" s="20" t="str">
        <x:v>2000 Security Deposit Liability</x:v>
      </x:c>
      <x:c r="I3595" s="26" t="n">
        <x:v>1700</x:v>
      </x:c>
      <x:c r="J3595" s="26" t="n">
        <x:v>0</x:v>
      </x:c>
      <x:c r="K3595" s="35" t="str">
        <x:v>Refund of remaining security deposit liability</x:v>
      </x:c>
    </x:row>
    <x:row r="3596">
      <x:c r="A3596" s="20" t="str">
        <x:v>FIN-01670</x:v>
      </x:c>
      <x:c r="B3596" s="32" t="n">
        <x:v>2</x:v>
      </x:c>
      <x:c r="C3596" s="23" t="n">
        <x:v>46635</x:v>
      </x:c>
      <x:c r="D3596" s="23" t="n">
        <x:v>46635</x:v>
      </x:c>
      <x:c r="E3596" s="20" t="str">
        <x:v>P021</x:v>
      </x:c>
      <x:c r="F3596" s="20" t="str">
        <x:v>U022</x:v>
      </x:c>
      <x:c r="G3596" s="20" t="str">
        <x:v>L022</x:v>
      </x:c>
      <x:c r="H3596" s="20" t="str">
        <x:v>1010 Security Deposit Trust Cash</x:v>
      </x:c>
      <x:c r="I3596" s="26" t="n">
        <x:v>0</x:v>
      </x:c>
      <x:c r="J3596" s="26" t="n">
        <x:v>1700</x:v>
      </x:c>
      <x:c r="K3596" s="35" t="str">
        <x:v>Refund of remaining security deposit liability</x:v>
      </x:c>
    </x:row>
    <x:row r="3597">
      <x:c r="A3597" s="20" t="str">
        <x:v>FIN-01671</x:v>
      </x:c>
      <x:c r="B3597" s="32" t="n">
        <x:v>1</x:v>
      </x:c>
      <x:c r="C3597" s="23" t="n">
        <x:v>46726</x:v>
      </x:c>
      <x:c r="D3597" s="23" t="n">
        <x:v>46721</x:v>
      </x:c>
      <x:c r="E3597" s="20" t="str">
        <x:v>P027</x:v>
      </x:c>
      <x:c r="F3597" s="20" t="str">
        <x:v>U034</x:v>
      </x:c>
      <x:c r="G3597" s="20" t="str">
        <x:v>L034</x:v>
      </x:c>
      <x:c r="H3597" s="20" t="str">
        <x:v>1100 Tenant Accounts Receivable</x:v>
      </x:c>
      <x:c r="I3597" s="26" t="n">
        <x:v>310</x:v>
      </x:c>
      <x:c r="J3597" s="26" t="n">
        <x:v>0</x:v>
      </x:c>
      <x:c r="K3597" s="35" t="str">
        <x:v>Chargeable damage supported by completed inspection</x:v>
      </x:c>
    </x:row>
    <x:row r="3598">
      <x:c r="A3598" s="20" t="str">
        <x:v>FIN-01671</x:v>
      </x:c>
      <x:c r="B3598" s="32" t="n">
        <x:v>2</x:v>
      </x:c>
      <x:c r="C3598" s="23" t="n">
        <x:v>46726</x:v>
      </x:c>
      <x:c r="D3598" s="23" t="n">
        <x:v>46721</x:v>
      </x:c>
      <x:c r="E3598" s="20" t="str">
        <x:v>P027</x:v>
      </x:c>
      <x:c r="F3598" s="20" t="str">
        <x:v>U034</x:v>
      </x:c>
      <x:c r="G3598" s="20" t="str">
        <x:v>L034</x:v>
      </x:c>
      <x:c r="H3598" s="20" t="str">
        <x:v>4020 Other Tenant Income</x:v>
      </x:c>
      <x:c r="I3598" s="26" t="n">
        <x:v>0</x:v>
      </x:c>
      <x:c r="J3598" s="26" t="n">
        <x:v>310</x:v>
      </x:c>
      <x:c r="K3598" s="35" t="str">
        <x:v>Chargeable damage supported by completed inspection</x:v>
      </x:c>
    </x:row>
    <x:row r="3599">
      <x:c r="A3599" s="20" t="str">
        <x:v>FIN-01672</x:v>
      </x:c>
      <x:c r="B3599" s="32" t="n">
        <x:v>1</x:v>
      </x:c>
      <x:c r="C3599" s="23" t="n">
        <x:v>46726</x:v>
      </x:c>
      <x:c r="D3599" s="23" t="n">
        <x:v>46726</x:v>
      </x:c>
      <x:c r="E3599" s="20" t="str">
        <x:v>P027</x:v>
      </x:c>
      <x:c r="F3599" s="20" t="str">
        <x:v>U034</x:v>
      </x:c>
      <x:c r="G3599" s="20" t="str">
        <x:v>L034</x:v>
      </x:c>
      <x:c r="H3599" s="20" t="str">
        <x:v>2000 Security Deposit Liability</x:v>
      </x:c>
      <x:c r="I3599" s="26" t="n">
        <x:v>310</x:v>
      </x:c>
      <x:c r="J3599" s="26" t="n">
        <x:v>0</x:v>
      </x:c>
      <x:c r="K3599" s="35" t="str">
        <x:v>Deposit applied with trust-to-operating cash transfer</x:v>
      </x:c>
    </x:row>
    <x:row r="3600">
      <x:c r="A3600" s="20" t="str">
        <x:v>FIN-01672</x:v>
      </x:c>
      <x:c r="B3600" s="32" t="n">
        <x:v>2</x:v>
      </x:c>
      <x:c r="C3600" s="23" t="n">
        <x:v>46726</x:v>
      </x:c>
      <x:c r="D3600" s="23" t="n">
        <x:v>46726</x:v>
      </x:c>
      <x:c r="E3600" s="20" t="str">
        <x:v>P027</x:v>
      </x:c>
      <x:c r="F3600" s="20" t="str">
        <x:v>U034</x:v>
      </x:c>
      <x:c r="G3600" s="20" t="str">
        <x:v>L034</x:v>
      </x:c>
      <x:c r="H3600" s="20" t="str">
        <x:v>1100 Tenant Accounts Receivable</x:v>
      </x:c>
      <x:c r="I3600" s="26" t="n">
        <x:v>0</x:v>
      </x:c>
      <x:c r="J3600" s="26" t="n">
        <x:v>310</x:v>
      </x:c>
      <x:c r="K3600" s="35" t="str">
        <x:v>Deposit applied with trust-to-operating cash transfer</x:v>
      </x:c>
    </x:row>
    <x:row r="3601">
      <x:c r="A3601" s="20" t="str">
        <x:v>FIN-01672</x:v>
      </x:c>
      <x:c r="B3601" s="32" t="n">
        <x:v>3</x:v>
      </x:c>
      <x:c r="C3601" s="23" t="n">
        <x:v>46726</x:v>
      </x:c>
      <x:c r="D3601" s="23" t="n">
        <x:v>46726</x:v>
      </x:c>
      <x:c r="E3601" s="20" t="str">
        <x:v>P027</x:v>
      </x:c>
      <x:c r="F3601" s="20" t="str">
        <x:v>U034</x:v>
      </x:c>
      <x:c r="G3601" s="20" t="str">
        <x:v>L034</x:v>
      </x:c>
      <x:c r="H3601" s="20" t="str">
        <x:v>1000 Operating Cash</x:v>
      </x:c>
      <x:c r="I3601" s="26" t="n">
        <x:v>310</x:v>
      </x:c>
      <x:c r="J3601" s="26" t="n">
        <x:v>0</x:v>
      </x:c>
      <x:c r="K3601" s="35" t="str">
        <x:v>Deposit applied with trust-to-operating cash transfer</x:v>
      </x:c>
    </x:row>
    <x:row r="3602">
      <x:c r="A3602" s="20" t="str">
        <x:v>FIN-01672</x:v>
      </x:c>
      <x:c r="B3602" s="32" t="n">
        <x:v>4</x:v>
      </x:c>
      <x:c r="C3602" s="23" t="n">
        <x:v>46726</x:v>
      </x:c>
      <x:c r="D3602" s="23" t="n">
        <x:v>46726</x:v>
      </x:c>
      <x:c r="E3602" s="20" t="str">
        <x:v>P027</x:v>
      </x:c>
      <x:c r="F3602" s="20" t="str">
        <x:v>U034</x:v>
      </x:c>
      <x:c r="G3602" s="20" t="str">
        <x:v>L034</x:v>
      </x:c>
      <x:c r="H3602" s="20" t="str">
        <x:v>1010 Security Deposit Trust Cash</x:v>
      </x:c>
      <x:c r="I3602" s="26" t="n">
        <x:v>0</x:v>
      </x:c>
      <x:c r="J3602" s="26" t="n">
        <x:v>310</x:v>
      </x:c>
      <x:c r="K3602" s="35" t="str">
        <x:v>Deposit applied with trust-to-operating cash transfer</x:v>
      </x:c>
    </x:row>
    <x:row r="3603">
      <x:c r="A3603" s="20" t="str">
        <x:v>FIN-01673</x:v>
      </x:c>
      <x:c r="B3603" s="32" t="n">
        <x:v>1</x:v>
      </x:c>
      <x:c r="C3603" s="23" t="n">
        <x:v>46726</x:v>
      </x:c>
      <x:c r="D3603" s="23" t="n">
        <x:v>46726</x:v>
      </x:c>
      <x:c r="E3603" s="20" t="str">
        <x:v>P027</x:v>
      </x:c>
      <x:c r="F3603" s="20" t="str">
        <x:v>U034</x:v>
      </x:c>
      <x:c r="G3603" s="20" t="str">
        <x:v>L034</x:v>
      </x:c>
      <x:c r="H3603" s="20" t="str">
        <x:v>2000 Security Deposit Liability</x:v>
      </x:c>
      <x:c r="I3603" s="26" t="n">
        <x:v>1590</x:v>
      </x:c>
      <x:c r="J3603" s="26" t="n">
        <x:v>0</x:v>
      </x:c>
      <x:c r="K3603" s="35" t="str">
        <x:v>Refund of remaining security deposit liability</x:v>
      </x:c>
    </x:row>
    <x:row r="3604">
      <x:c r="A3604" s="20" t="str">
        <x:v>FIN-01673</x:v>
      </x:c>
      <x:c r="B3604" s="32" t="n">
        <x:v>2</x:v>
      </x:c>
      <x:c r="C3604" s="23" t="n">
        <x:v>46726</x:v>
      </x:c>
      <x:c r="D3604" s="23" t="n">
        <x:v>46726</x:v>
      </x:c>
      <x:c r="E3604" s="20" t="str">
        <x:v>P027</x:v>
      </x:c>
      <x:c r="F3604" s="20" t="str">
        <x:v>U034</x:v>
      </x:c>
      <x:c r="G3604" s="20" t="str">
        <x:v>L034</x:v>
      </x:c>
      <x:c r="H3604" s="20" t="str">
        <x:v>1010 Security Deposit Trust Cash</x:v>
      </x:c>
      <x:c r="I3604" s="26" t="n">
        <x:v>0</x:v>
      </x:c>
      <x:c r="J3604" s="26" t="n">
        <x:v>1590</x:v>
      </x:c>
      <x:c r="K3604" s="35" t="str">
        <x:v>Refund of remaining security deposit liability</x:v>
      </x:c>
    </x:row>
    <x:row r="3605">
      <x:c r="A3605" s="20" t="str">
        <x:v>FIN-01674</x:v>
      </x:c>
      <x:c r="B3605" s="32" t="n">
        <x:v>1</x:v>
      </x:c>
      <x:c r="C3605" s="23" t="n">
        <x:v>46556</x:v>
      </x:c>
      <x:c r="D3605" s="23" t="n">
        <x:v>46556</x:v>
      </x:c>
      <x:c r="E3605" s="20" t="str">
        <x:v>P017</x:v>
      </x:c>
      <x:c r="F3605" s="20" t="str">
        <x:v>U017</x:v>
      </x:c>
      <x:c r="G3605" s="20" t="str"/>
      <x:c r="H3605" s="20" t="str">
        <x:v>5110 Legal</x:v>
      </x:c>
      <x:c r="I3605" s="26" t="n">
        <x:v>900</x:v>
      </x:c>
      <x:c r="J3605" s="26" t="n">
        <x:v>0</x:v>
      </x:c>
      <x:c r="K3605" s="35" t="str">
        <x:v>Buckeye Legal Services; EVICT-L017</x:v>
      </x:c>
    </x:row>
    <x:row r="3606">
      <x:c r="A3606" s="20" t="str">
        <x:v>FIN-01674</x:v>
      </x:c>
      <x:c r="B3606" s="32" t="n">
        <x:v>2</x:v>
      </x:c>
      <x:c r="C3606" s="23" t="n">
        <x:v>46556</x:v>
      </x:c>
      <x:c r="D3606" s="23" t="n">
        <x:v>46556</x:v>
      </x:c>
      <x:c r="E3606" s="20" t="str">
        <x:v>P017</x:v>
      </x:c>
      <x:c r="F3606" s="20" t="str">
        <x:v>U017</x:v>
      </x:c>
      <x:c r="G3606" s="20" t="str"/>
      <x:c r="H3606" s="20" t="str">
        <x:v>1000 Operating Cash</x:v>
      </x:c>
      <x:c r="I3606" s="26" t="n">
        <x:v>0</x:v>
      </x:c>
      <x:c r="J3606" s="26" t="n">
        <x:v>900</x:v>
      </x:c>
      <x:c r="K3606" s="35" t="str">
        <x:v>Buckeye Legal Services; EVICT-L017</x:v>
      </x:c>
    </x:row>
    <x:row r="3607">
      <x:c r="A3607" s="20" t="str">
        <x:v>FIN-01675</x:v>
      </x:c>
      <x:c r="B3607" s="32" t="n">
        <x:v>1</x:v>
      </x:c>
      <x:c r="C3607" s="23" t="n">
        <x:v>46525</x:v>
      </x:c>
      <x:c r="D3607" s="23" t="n">
        <x:v>46525</x:v>
      </x:c>
      <x:c r="E3607" s="20" t="str">
        <x:v>P012</x:v>
      </x:c>
      <x:c r="F3607" s="20" t="str">
        <x:v>U012</x:v>
      </x:c>
      <x:c r="G3607" s="20" t="str"/>
      <x:c r="H3607" s="20" t="str">
        <x:v>1510 Capital Improvements</x:v>
      </x:c>
      <x:c r="I3607" s="26" t="n">
        <x:v>6200</x:v>
      </x:c>
      <x:c r="J3607" s="26" t="n">
        <x:v>0</x:v>
      </x:c>
      <x:c r="K3607" s="35" t="str">
        <x:v>Water-heater system placed in service; 27.5-year residential recovery class</x:v>
      </x:c>
    </x:row>
    <x:row r="3608">
      <x:c r="A3608" s="20" t="str">
        <x:v>FIN-01675</x:v>
      </x:c>
      <x:c r="B3608" s="32" t="n">
        <x:v>2</x:v>
      </x:c>
      <x:c r="C3608" s="23" t="n">
        <x:v>46525</x:v>
      </x:c>
      <x:c r="D3608" s="23" t="n">
        <x:v>46525</x:v>
      </x:c>
      <x:c r="E3608" s="20" t="str">
        <x:v>P012</x:v>
      </x:c>
      <x:c r="F3608" s="20" t="str">
        <x:v>U012</x:v>
      </x:c>
      <x:c r="G3608" s="20" t="str"/>
      <x:c r="H3608" s="20" t="str">
        <x:v>1000 Operating Cash</x:v>
      </x:c>
      <x:c r="I3608" s="26" t="n">
        <x:v>0</x:v>
      </x:c>
      <x:c r="J3608" s="26" t="n">
        <x:v>6200</x:v>
      </x:c>
      <x:c r="K3608" s="35" t="str">
        <x:v>Water-heater system placed in service; 27.5-year residential recovery class</x:v>
      </x:c>
    </x:row>
    <x:row r="3609">
      <x:c r="A3609" s="20" t="str">
        <x:v>FIN-01676</x:v>
      </x:c>
      <x:c r="B3609" s="32" t="n">
        <x:v>1</x:v>
      </x:c>
      <x:c r="C3609" s="23" t="n">
        <x:v>46706</x:v>
      </x:c>
      <x:c r="D3609" s="23" t="n">
        <x:v>46706</x:v>
      </x:c>
      <x:c r="E3609" s="20" t="str">
        <x:v>P003</x:v>
      </x:c>
      <x:c r="F3609" s="20" t="str"/>
      <x:c r="G3609" s="20" t="str"/>
      <x:c r="H3609" s="20" t="str">
        <x:v>1000 Operating Cash</x:v>
      </x:c>
      <x:c r="I3609" s="26" t="n">
        <x:v>249100</x:v>
      </x:c>
      <x:c r="J3609" s="26" t="n">
        <x:v>0</x:v>
      </x:c>
      <x:c r="K3609" s="35" t="str">
        <x:v>Synthetic property disposition; gain is simplified book gain for reconciliation</x:v>
      </x:c>
    </x:row>
    <x:row r="3610">
      <x:c r="A3610" s="20" t="str">
        <x:v>FIN-01676</x:v>
      </x:c>
      <x:c r="B3610" s="32" t="n">
        <x:v>2</x:v>
      </x:c>
      <x:c r="C3610" s="23" t="n">
        <x:v>46706</x:v>
      </x:c>
      <x:c r="D3610" s="23" t="n">
        <x:v>46706</x:v>
      </x:c>
      <x:c r="E3610" s="20" t="str">
        <x:v>P003</x:v>
      </x:c>
      <x:c r="F3610" s="20" t="str"/>
      <x:c r="G3610" s="20" t="str"/>
      <x:c r="H3610" s="20" t="str">
        <x:v>2200 Mortgage Loans Payable</x:v>
      </x:c>
      <x:c r="I3610" s="26" t="n">
        <x:v>0</x:v>
      </x:c>
      <x:c r="J3610" s="26" t="n">
        <x:v>0</x:v>
      </x:c>
      <x:c r="K3610" s="35" t="str">
        <x:v>Synthetic property disposition; gain is simplified book gain for reconciliation</x:v>
      </x:c>
    </x:row>
    <x:row r="3611">
      <x:c r="A3611" s="20" t="str">
        <x:v>FIN-01676</x:v>
      </x:c>
      <x:c r="B3611" s="32" t="n">
        <x:v>3</x:v>
      </x:c>
      <x:c r="C3611" s="23" t="n">
        <x:v>46706</x:v>
      </x:c>
      <x:c r="D3611" s="23" t="n">
        <x:v>46706</x:v>
      </x:c>
      <x:c r="E3611" s="20" t="str">
        <x:v>P003</x:v>
      </x:c>
      <x:c r="F3611" s="20" t="str"/>
      <x:c r="G3611" s="20" t="str"/>
      <x:c r="H3611" s="20" t="str">
        <x:v>5130 Selling Costs</x:v>
      </x:c>
      <x:c r="I3611" s="26" t="n">
        <x:v>15900</x:v>
      </x:c>
      <x:c r="J3611" s="26" t="n">
        <x:v>0</x:v>
      </x:c>
      <x:c r="K3611" s="35" t="str">
        <x:v>Synthetic property disposition; gain is simplified book gain for reconciliation</x:v>
      </x:c>
    </x:row>
    <x:row r="3612">
      <x:c r="A3612" s="20" t="str">
        <x:v>FIN-01676</x:v>
      </x:c>
      <x:c r="B3612" s="32" t="n">
        <x:v>4</x:v>
      </x:c>
      <x:c r="C3612" s="23" t="n">
        <x:v>46706</x:v>
      </x:c>
      <x:c r="D3612" s="23" t="n">
        <x:v>46706</x:v>
      </x:c>
      <x:c r="E3612" s="20" t="str">
        <x:v>P003</x:v>
      </x:c>
      <x:c r="F3612" s="20" t="str"/>
      <x:c r="G3612" s="20" t="str"/>
      <x:c r="H3612" s="20" t="str">
        <x:v>1500 Rental Property Basis</x:v>
      </x:c>
      <x:c r="I3612" s="26" t="n">
        <x:v>0</x:v>
      </x:c>
      <x:c r="J3612" s="26" t="n">
        <x:v>194250</x:v>
      </x:c>
      <x:c r="K3612" s="35" t="str">
        <x:v>Synthetic property disposition; gain is simplified book gain for reconciliation</x:v>
      </x:c>
    </x:row>
    <x:row r="3613">
      <x:c r="A3613" s="20" t="str">
        <x:v>FIN-01676</x:v>
      </x:c>
      <x:c r="B3613" s="32" t="n">
        <x:v>5</x:v>
      </x:c>
      <x:c r="C3613" s="23" t="n">
        <x:v>46706</x:v>
      </x:c>
      <x:c r="D3613" s="23" t="n">
        <x:v>46706</x:v>
      </x:c>
      <x:c r="E3613" s="20" t="str">
        <x:v>P003</x:v>
      </x:c>
      <x:c r="F3613" s="20" t="str"/>
      <x:c r="G3613" s="20" t="str"/>
      <x:c r="H3613" s="20" t="str">
        <x:v>4030 Gross Gain on Property Sale</x:v>
      </x:c>
      <x:c r="I3613" s="26" t="n">
        <x:v>0</x:v>
      </x:c>
      <x:c r="J3613" s="26" t="n">
        <x:v>70750</x:v>
      </x:c>
      <x:c r="K3613" s="35" t="str">
        <x:v>Synthetic property disposition; gain is simplified book gain for reconciliation</x:v>
      </x:c>
    </x:row>
    <x:row r="3614">
      <x:c r="A3614" s="20" t="str">
        <x:v>FIN-01677</x:v>
      </x:c>
      <x:c r="B3614" s="32" t="n">
        <x:v>1</x:v>
      </x:c>
      <x:c r="C3614" s="23" t="n">
        <x:v>46752</x:v>
      </x:c>
      <x:c r="D3614" s="23" t="n">
        <x:v>46752</x:v>
      </x:c>
      <x:c r="E3614" s="20" t="str">
        <x:v>P001</x:v>
      </x:c>
      <x:c r="F3614" s="20" t="str"/>
      <x:c r="G3614" s="20" t="str"/>
      <x:c r="H3614" s="20" t="str">
        <x:v>5100 Depreciation Expense</x:v>
      </x:c>
      <x:c r="I3614" s="26" t="n">
        <x:v>5229.09</x:v>
      </x:c>
      <x:c r="J3614" s="26" t="n">
        <x:v>0</x:v>
      </x:c>
      <x:c r="K3614" s="35" t="str">
        <x:v>Independent straight-line control; final system comparison must use configured recovery rules</x:v>
      </x:c>
    </x:row>
    <x:row r="3615">
      <x:c r="A3615" s="20" t="str">
        <x:v>FIN-01677</x:v>
      </x:c>
      <x:c r="B3615" s="32" t="n">
        <x:v>2</x:v>
      </x:c>
      <x:c r="C3615" s="23" t="n">
        <x:v>46752</x:v>
      </x:c>
      <x:c r="D3615" s="23" t="n">
        <x:v>46752</x:v>
      </x:c>
      <x:c r="E3615" s="20" t="str">
        <x:v>P001</x:v>
      </x:c>
      <x:c r="F3615" s="20" t="str"/>
      <x:c r="G3615" s="20" t="str"/>
      <x:c r="H3615" s="20" t="str">
        <x:v>1590 Accumulated Depreciation</x:v>
      </x:c>
      <x:c r="I3615" s="26" t="n">
        <x:v>0</x:v>
      </x:c>
      <x:c r="J3615" s="26" t="n">
        <x:v>5229.09</x:v>
      </x:c>
      <x:c r="K3615" s="35" t="str">
        <x:v>Independent straight-line control; final system comparison must use configured recovery rules</x:v>
      </x:c>
    </x:row>
    <x:row r="3616">
      <x:c r="A3616" s="20" t="str">
        <x:v>FIN-01678</x:v>
      </x:c>
      <x:c r="B3616" s="32" t="n">
        <x:v>1</x:v>
      </x:c>
      <x:c r="C3616" s="23" t="n">
        <x:v>46752</x:v>
      </x:c>
      <x:c r="D3616" s="23" t="n">
        <x:v>46752</x:v>
      </x:c>
      <x:c r="E3616" s="20" t="str">
        <x:v>P002</x:v>
      </x:c>
      <x:c r="F3616" s="20" t="str"/>
      <x:c r="G3616" s="20" t="str"/>
      <x:c r="H3616" s="20" t="str">
        <x:v>5100 Depreciation Expense</x:v>
      </x:c>
      <x:c r="I3616" s="26" t="n">
        <x:v>5440</x:v>
      </x:c>
      <x:c r="J3616" s="26" t="n">
        <x:v>0</x:v>
      </x:c>
      <x:c r="K3616" s="35" t="str">
        <x:v>Independent straight-line control; final system comparison must use configured recovery rules</x:v>
      </x:c>
    </x:row>
    <x:row r="3617">
      <x:c r="A3617" s="20" t="str">
        <x:v>FIN-01678</x:v>
      </x:c>
      <x:c r="B3617" s="32" t="n">
        <x:v>2</x:v>
      </x:c>
      <x:c r="C3617" s="23" t="n">
        <x:v>46752</x:v>
      </x:c>
      <x:c r="D3617" s="23" t="n">
        <x:v>46752</x:v>
      </x:c>
      <x:c r="E3617" s="20" t="str">
        <x:v>P002</x:v>
      </x:c>
      <x:c r="F3617" s="20" t="str"/>
      <x:c r="G3617" s="20" t="str"/>
      <x:c r="H3617" s="20" t="str">
        <x:v>1590 Accumulated Depreciation</x:v>
      </x:c>
      <x:c r="I3617" s="26" t="n">
        <x:v>0</x:v>
      </x:c>
      <x:c r="J3617" s="26" t="n">
        <x:v>5440</x:v>
      </x:c>
      <x:c r="K3617" s="35" t="str">
        <x:v>Independent straight-line control; final system comparison must use configured recovery rules</x:v>
      </x:c>
    </x:row>
    <x:row r="3618">
      <x:c r="A3618" s="20" t="str">
        <x:v>FIN-01679</x:v>
      </x:c>
      <x:c r="B3618" s="32" t="n">
        <x:v>1</x:v>
      </x:c>
      <x:c r="C3618" s="23" t="n">
        <x:v>46752</x:v>
      </x:c>
      <x:c r="D3618" s="23" t="n">
        <x:v>46752</x:v>
      </x:c>
      <x:c r="E3618" s="20" t="str">
        <x:v>P003</x:v>
      </x:c>
      <x:c r="F3618" s="20" t="str"/>
      <x:c r="G3618" s="20" t="str"/>
      <x:c r="H3618" s="20" t="str">
        <x:v>5100 Depreciation Expense</x:v>
      </x:c>
      <x:c r="I3618" s="26" t="n">
        <x:v>4709.09</x:v>
      </x:c>
      <x:c r="J3618" s="26" t="n">
        <x:v>0</x:v>
      </x:c>
      <x:c r="K3618" s="35" t="str">
        <x:v>Independent straight-line control; final system comparison must use configured recovery rules</x:v>
      </x:c>
    </x:row>
    <x:row r="3619">
      <x:c r="A3619" s="20" t="str">
        <x:v>FIN-01679</x:v>
      </x:c>
      <x:c r="B3619" s="32" t="n">
        <x:v>2</x:v>
      </x:c>
      <x:c r="C3619" s="23" t="n">
        <x:v>46752</x:v>
      </x:c>
      <x:c r="D3619" s="23" t="n">
        <x:v>46752</x:v>
      </x:c>
      <x:c r="E3619" s="20" t="str">
        <x:v>P003</x:v>
      </x:c>
      <x:c r="F3619" s="20" t="str"/>
      <x:c r="G3619" s="20" t="str"/>
      <x:c r="H3619" s="20" t="str">
        <x:v>1590 Accumulated Depreciation</x:v>
      </x:c>
      <x:c r="I3619" s="26" t="n">
        <x:v>0</x:v>
      </x:c>
      <x:c r="J3619" s="26" t="n">
        <x:v>4709.09</x:v>
      </x:c>
      <x:c r="K3619" s="35" t="str">
        <x:v>Independent straight-line control; final system comparison must use configured recovery rules</x:v>
      </x:c>
    </x:row>
    <x:row r="3620">
      <x:c r="A3620" s="20" t="str">
        <x:v>FIN-01680</x:v>
      </x:c>
      <x:c r="B3620" s="32" t="n">
        <x:v>1</x:v>
      </x:c>
      <x:c r="C3620" s="23" t="n">
        <x:v>46752</x:v>
      </x:c>
      <x:c r="D3620" s="23" t="n">
        <x:v>46752</x:v>
      </x:c>
      <x:c r="E3620" s="20" t="str">
        <x:v>P004</x:v>
      </x:c>
      <x:c r="F3620" s="20" t="str"/>
      <x:c r="G3620" s="20" t="str"/>
      <x:c r="H3620" s="20" t="str">
        <x:v>5100 Depreciation Expense</x:v>
      </x:c>
      <x:c r="I3620" s="26" t="n">
        <x:v>5861.82</x:v>
      </x:c>
      <x:c r="J3620" s="26" t="n">
        <x:v>0</x:v>
      </x:c>
      <x:c r="K3620" s="35" t="str">
        <x:v>Independent straight-line control; final system comparison must use configured recovery rules</x:v>
      </x:c>
    </x:row>
    <x:row r="3621">
      <x:c r="A3621" s="20" t="str">
        <x:v>FIN-01680</x:v>
      </x:c>
      <x:c r="B3621" s="32" t="n">
        <x:v>2</x:v>
      </x:c>
      <x:c r="C3621" s="23" t="n">
        <x:v>46752</x:v>
      </x:c>
      <x:c r="D3621" s="23" t="n">
        <x:v>46752</x:v>
      </x:c>
      <x:c r="E3621" s="20" t="str">
        <x:v>P004</x:v>
      </x:c>
      <x:c r="F3621" s="20" t="str"/>
      <x:c r="G3621" s="20" t="str"/>
      <x:c r="H3621" s="20" t="str">
        <x:v>1590 Accumulated Depreciation</x:v>
      </x:c>
      <x:c r="I3621" s="26" t="n">
        <x:v>0</x:v>
      </x:c>
      <x:c r="J3621" s="26" t="n">
        <x:v>5861.82</x:v>
      </x:c>
      <x:c r="K3621" s="35" t="str">
        <x:v>Independent straight-line control; final system comparison must use configured recovery rules</x:v>
      </x:c>
    </x:row>
    <x:row r="3622">
      <x:c r="A3622" s="20" t="str">
        <x:v>FIN-01681</x:v>
      </x:c>
      <x:c r="B3622" s="32" t="n">
        <x:v>1</x:v>
      </x:c>
      <x:c r="C3622" s="23" t="n">
        <x:v>46752</x:v>
      </x:c>
      <x:c r="D3622" s="23" t="n">
        <x:v>46752</x:v>
      </x:c>
      <x:c r="E3622" s="20" t="str">
        <x:v>P005</x:v>
      </x:c>
      <x:c r="F3622" s="20" t="str"/>
      <x:c r="G3622" s="20" t="str"/>
      <x:c r="H3622" s="20" t="str">
        <x:v>5100 Depreciation Expense</x:v>
      </x:c>
      <x:c r="I3622" s="26" t="n">
        <x:v>6072.73</x:v>
      </x:c>
      <x:c r="J3622" s="26" t="n">
        <x:v>0</x:v>
      </x:c>
      <x:c r="K3622" s="35" t="str">
        <x:v>Independent straight-line control; final system comparison must use configured recovery rules</x:v>
      </x:c>
    </x:row>
    <x:row r="3623">
      <x:c r="A3623" s="20" t="str">
        <x:v>FIN-01681</x:v>
      </x:c>
      <x:c r="B3623" s="32" t="n">
        <x:v>2</x:v>
      </x:c>
      <x:c r="C3623" s="23" t="n">
        <x:v>46752</x:v>
      </x:c>
      <x:c r="D3623" s="23" t="n">
        <x:v>46752</x:v>
      </x:c>
      <x:c r="E3623" s="20" t="str">
        <x:v>P005</x:v>
      </x:c>
      <x:c r="F3623" s="20" t="str"/>
      <x:c r="G3623" s="20" t="str"/>
      <x:c r="H3623" s="20" t="str">
        <x:v>1590 Accumulated Depreciation</x:v>
      </x:c>
      <x:c r="I3623" s="26" t="n">
        <x:v>0</x:v>
      </x:c>
      <x:c r="J3623" s="26" t="n">
        <x:v>6072.73</x:v>
      </x:c>
      <x:c r="K3623" s="35" t="str">
        <x:v>Independent straight-line control; final system comparison must use configured recovery rules</x:v>
      </x:c>
    </x:row>
    <x:row r="3624">
      <x:c r="A3624" s="20" t="str">
        <x:v>FIN-01682</x:v>
      </x:c>
      <x:c r="B3624" s="32" t="n">
        <x:v>1</x:v>
      </x:c>
      <x:c r="C3624" s="23" t="n">
        <x:v>46752</x:v>
      </x:c>
      <x:c r="D3624" s="23" t="n">
        <x:v>46752</x:v>
      </x:c>
      <x:c r="E3624" s="20" t="str">
        <x:v>P006</x:v>
      </x:c>
      <x:c r="F3624" s="20" t="str"/>
      <x:c r="G3624" s="20" t="str"/>
      <x:c r="H3624" s="20" t="str">
        <x:v>5100 Depreciation Expense</x:v>
      </x:c>
      <x:c r="I3624" s="26" t="n">
        <x:v>6283.64</x:v>
      </x:c>
      <x:c r="J3624" s="26" t="n">
        <x:v>0</x:v>
      </x:c>
      <x:c r="K3624" s="35" t="str">
        <x:v>Independent straight-line control; final system comparison must use configured recovery rules</x:v>
      </x:c>
    </x:row>
    <x:row r="3625">
      <x:c r="A3625" s="20" t="str">
        <x:v>FIN-01682</x:v>
      </x:c>
      <x:c r="B3625" s="32" t="n">
        <x:v>2</x:v>
      </x:c>
      <x:c r="C3625" s="23" t="n">
        <x:v>46752</x:v>
      </x:c>
      <x:c r="D3625" s="23" t="n">
        <x:v>46752</x:v>
      </x:c>
      <x:c r="E3625" s="20" t="str">
        <x:v>P006</x:v>
      </x:c>
      <x:c r="F3625" s="20" t="str"/>
      <x:c r="G3625" s="20" t="str"/>
      <x:c r="H3625" s="20" t="str">
        <x:v>1590 Accumulated Depreciation</x:v>
      </x:c>
      <x:c r="I3625" s="26" t="n">
        <x:v>0</x:v>
      </x:c>
      <x:c r="J3625" s="26" t="n">
        <x:v>6283.64</x:v>
      </x:c>
      <x:c r="K3625" s="35" t="str">
        <x:v>Independent straight-line control; final system comparison must use configured recovery rules</x:v>
      </x:c>
    </x:row>
    <x:row r="3626">
      <x:c r="A3626" s="20" t="str">
        <x:v>FIN-01683</x:v>
      </x:c>
      <x:c r="B3626" s="32" t="n">
        <x:v>1</x:v>
      </x:c>
      <x:c r="C3626" s="23" t="n">
        <x:v>46752</x:v>
      </x:c>
      <x:c r="D3626" s="23" t="n">
        <x:v>46752</x:v>
      </x:c>
      <x:c r="E3626" s="20" t="str">
        <x:v>P007</x:v>
      </x:c>
      <x:c r="F3626" s="20" t="str"/>
      <x:c r="G3626" s="20" t="str"/>
      <x:c r="H3626" s="20" t="str">
        <x:v>5100 Depreciation Expense</x:v>
      </x:c>
      <x:c r="I3626" s="26" t="n">
        <x:v>6494.55</x:v>
      </x:c>
      <x:c r="J3626" s="26" t="n">
        <x:v>0</x:v>
      </x:c>
      <x:c r="K3626" s="35" t="str">
        <x:v>Independent straight-line control; final system comparison must use configured recovery rules</x:v>
      </x:c>
    </x:row>
    <x:row r="3627">
      <x:c r="A3627" s="20" t="str">
        <x:v>FIN-01683</x:v>
      </x:c>
      <x:c r="B3627" s="32" t="n">
        <x:v>2</x:v>
      </x:c>
      <x:c r="C3627" s="23" t="n">
        <x:v>46752</x:v>
      </x:c>
      <x:c r="D3627" s="23" t="n">
        <x:v>46752</x:v>
      </x:c>
      <x:c r="E3627" s="20" t="str">
        <x:v>P007</x:v>
      </x:c>
      <x:c r="F3627" s="20" t="str"/>
      <x:c r="G3627" s="20" t="str"/>
      <x:c r="H3627" s="20" t="str">
        <x:v>1590 Accumulated Depreciation</x:v>
      </x:c>
      <x:c r="I3627" s="26" t="n">
        <x:v>0</x:v>
      </x:c>
      <x:c r="J3627" s="26" t="n">
        <x:v>6494.55</x:v>
      </x:c>
      <x:c r="K3627" s="35" t="str">
        <x:v>Independent straight-line control; final system comparison must use configured recovery rules</x:v>
      </x:c>
    </x:row>
    <x:row r="3628">
      <x:c r="A3628" s="20" t="str">
        <x:v>FIN-01684</x:v>
      </x:c>
      <x:c r="B3628" s="32" t="n">
        <x:v>1</x:v>
      </x:c>
      <x:c r="C3628" s="23" t="n">
        <x:v>46752</x:v>
      </x:c>
      <x:c r="D3628" s="23" t="n">
        <x:v>46752</x:v>
      </x:c>
      <x:c r="E3628" s="20" t="str">
        <x:v>P008</x:v>
      </x:c>
      <x:c r="F3628" s="20" t="str"/>
      <x:c r="G3628" s="20" t="str"/>
      <x:c r="H3628" s="20" t="str">
        <x:v>5100 Depreciation Expense</x:v>
      </x:c>
      <x:c r="I3628" s="26" t="n">
        <x:v>6705.45</x:v>
      </x:c>
      <x:c r="J3628" s="26" t="n">
        <x:v>0</x:v>
      </x:c>
      <x:c r="K3628" s="35" t="str">
        <x:v>Independent straight-line control; final system comparison must use configured recovery rules</x:v>
      </x:c>
    </x:row>
    <x:row r="3629">
      <x:c r="A3629" s="20" t="str">
        <x:v>FIN-01684</x:v>
      </x:c>
      <x:c r="B3629" s="32" t="n">
        <x:v>2</x:v>
      </x:c>
      <x:c r="C3629" s="23" t="n">
        <x:v>46752</x:v>
      </x:c>
      <x:c r="D3629" s="23" t="n">
        <x:v>46752</x:v>
      </x:c>
      <x:c r="E3629" s="20" t="str">
        <x:v>P008</x:v>
      </x:c>
      <x:c r="F3629" s="20" t="str"/>
      <x:c r="G3629" s="20" t="str"/>
      <x:c r="H3629" s="20" t="str">
        <x:v>1590 Accumulated Depreciation</x:v>
      </x:c>
      <x:c r="I3629" s="26" t="n">
        <x:v>0</x:v>
      </x:c>
      <x:c r="J3629" s="26" t="n">
        <x:v>6705.45</x:v>
      </x:c>
      <x:c r="K3629" s="35" t="str">
        <x:v>Independent straight-line control; final system comparison must use configured recovery rules</x:v>
      </x:c>
    </x:row>
    <x:row r="3630">
      <x:c r="A3630" s="20" t="str">
        <x:v>FIN-01685</x:v>
      </x:c>
      <x:c r="B3630" s="32" t="n">
        <x:v>1</x:v>
      </x:c>
      <x:c r="C3630" s="23" t="n">
        <x:v>46752</x:v>
      </x:c>
      <x:c r="D3630" s="23" t="n">
        <x:v>46752</x:v>
      </x:c>
      <x:c r="E3630" s="20" t="str">
        <x:v>P009</x:v>
      </x:c>
      <x:c r="F3630" s="20" t="str"/>
      <x:c r="G3630" s="20" t="str"/>
      <x:c r="H3630" s="20" t="str">
        <x:v>5100 Depreciation Expense</x:v>
      </x:c>
      <x:c r="I3630" s="26" t="n">
        <x:v>6916.36</x:v>
      </x:c>
      <x:c r="J3630" s="26" t="n">
        <x:v>0</x:v>
      </x:c>
      <x:c r="K3630" s="35" t="str">
        <x:v>Independent straight-line control; final system comparison must use configured recovery rules</x:v>
      </x:c>
    </x:row>
    <x:row r="3631">
      <x:c r="A3631" s="20" t="str">
        <x:v>FIN-01685</x:v>
      </x:c>
      <x:c r="B3631" s="32" t="n">
        <x:v>2</x:v>
      </x:c>
      <x:c r="C3631" s="23" t="n">
        <x:v>46752</x:v>
      </x:c>
      <x:c r="D3631" s="23" t="n">
        <x:v>46752</x:v>
      </x:c>
      <x:c r="E3631" s="20" t="str">
        <x:v>P009</x:v>
      </x:c>
      <x:c r="F3631" s="20" t="str"/>
      <x:c r="G3631" s="20" t="str"/>
      <x:c r="H3631" s="20" t="str">
        <x:v>1590 Accumulated Depreciation</x:v>
      </x:c>
      <x:c r="I3631" s="26" t="n">
        <x:v>0</x:v>
      </x:c>
      <x:c r="J3631" s="26" t="n">
        <x:v>6916.36</x:v>
      </x:c>
      <x:c r="K3631" s="35" t="str">
        <x:v>Independent straight-line control; final system comparison must use configured recovery rules</x:v>
      </x:c>
    </x:row>
    <x:row r="3632">
      <x:c r="A3632" s="20" t="str">
        <x:v>FIN-01686</x:v>
      </x:c>
      <x:c r="B3632" s="32" t="n">
        <x:v>1</x:v>
      </x:c>
      <x:c r="C3632" s="23" t="n">
        <x:v>46752</x:v>
      </x:c>
      <x:c r="D3632" s="23" t="n">
        <x:v>46752</x:v>
      </x:c>
      <x:c r="E3632" s="20" t="str">
        <x:v>P010</x:v>
      </x:c>
      <x:c r="F3632" s="20" t="str"/>
      <x:c r="G3632" s="20" t="str"/>
      <x:c r="H3632" s="20" t="str">
        <x:v>5100 Depreciation Expense</x:v>
      </x:c>
      <x:c r="I3632" s="26" t="n">
        <x:v>7127.27</x:v>
      </x:c>
      <x:c r="J3632" s="26" t="n">
        <x:v>0</x:v>
      </x:c>
      <x:c r="K3632" s="35" t="str">
        <x:v>Independent straight-line control; final system comparison must use configured recovery rules</x:v>
      </x:c>
    </x:row>
    <x:row r="3633">
      <x:c r="A3633" s="20" t="str">
        <x:v>FIN-01686</x:v>
      </x:c>
      <x:c r="B3633" s="32" t="n">
        <x:v>2</x:v>
      </x:c>
      <x:c r="C3633" s="23" t="n">
        <x:v>46752</x:v>
      </x:c>
      <x:c r="D3633" s="23" t="n">
        <x:v>46752</x:v>
      </x:c>
      <x:c r="E3633" s="20" t="str">
        <x:v>P010</x:v>
      </x:c>
      <x:c r="F3633" s="20" t="str"/>
      <x:c r="G3633" s="20" t="str"/>
      <x:c r="H3633" s="20" t="str">
        <x:v>1590 Accumulated Depreciation</x:v>
      </x:c>
      <x:c r="I3633" s="26" t="n">
        <x:v>0</x:v>
      </x:c>
      <x:c r="J3633" s="26" t="n">
        <x:v>7127.27</x:v>
      </x:c>
      <x:c r="K3633" s="35" t="str">
        <x:v>Independent straight-line control; final system comparison must use configured recovery rules</x:v>
      </x:c>
    </x:row>
    <x:row r="3634">
      <x:c r="A3634" s="20" t="str">
        <x:v>FIN-01687</x:v>
      </x:c>
      <x:c r="B3634" s="32" t="n">
        <x:v>1</x:v>
      </x:c>
      <x:c r="C3634" s="23" t="n">
        <x:v>46752</x:v>
      </x:c>
      <x:c r="D3634" s="23" t="n">
        <x:v>46752</x:v>
      </x:c>
      <x:c r="E3634" s="20" t="str">
        <x:v>P011</x:v>
      </x:c>
      <x:c r="F3634" s="20" t="str"/>
      <x:c r="G3634" s="20" t="str"/>
      <x:c r="H3634" s="20" t="str">
        <x:v>5100 Depreciation Expense</x:v>
      </x:c>
      <x:c r="I3634" s="26" t="n">
        <x:v>7338.18</x:v>
      </x:c>
      <x:c r="J3634" s="26" t="n">
        <x:v>0</x:v>
      </x:c>
      <x:c r="K3634" s="35" t="str">
        <x:v>Independent straight-line control; final system comparison must use configured recovery rules</x:v>
      </x:c>
    </x:row>
    <x:row r="3635">
      <x:c r="A3635" s="20" t="str">
        <x:v>FIN-01687</x:v>
      </x:c>
      <x:c r="B3635" s="32" t="n">
        <x:v>2</x:v>
      </x:c>
      <x:c r="C3635" s="23" t="n">
        <x:v>46752</x:v>
      </x:c>
      <x:c r="D3635" s="23" t="n">
        <x:v>46752</x:v>
      </x:c>
      <x:c r="E3635" s="20" t="str">
        <x:v>P011</x:v>
      </x:c>
      <x:c r="F3635" s="20" t="str"/>
      <x:c r="G3635" s="20" t="str"/>
      <x:c r="H3635" s="20" t="str">
        <x:v>1590 Accumulated Depreciation</x:v>
      </x:c>
      <x:c r="I3635" s="26" t="n">
        <x:v>0</x:v>
      </x:c>
      <x:c r="J3635" s="26" t="n">
        <x:v>7338.18</x:v>
      </x:c>
      <x:c r="K3635" s="35" t="str">
        <x:v>Independent straight-line control; final system comparison must use configured recovery rules</x:v>
      </x:c>
    </x:row>
    <x:row r="3636">
      <x:c r="A3636" s="20" t="str">
        <x:v>FIN-01688</x:v>
      </x:c>
      <x:c r="B3636" s="32" t="n">
        <x:v>1</x:v>
      </x:c>
      <x:c r="C3636" s="23" t="n">
        <x:v>46752</x:v>
      </x:c>
      <x:c r="D3636" s="23" t="n">
        <x:v>46752</x:v>
      </x:c>
      <x:c r="E3636" s="20" t="str">
        <x:v>P012</x:v>
      </x:c>
      <x:c r="F3636" s="20" t="str"/>
      <x:c r="G3636" s="20" t="str"/>
      <x:c r="H3636" s="20" t="str">
        <x:v>5100 Depreciation Expense</x:v>
      </x:c>
      <x:c r="I3636" s="26" t="n">
        <x:v>7549.09</x:v>
      </x:c>
      <x:c r="J3636" s="26" t="n">
        <x:v>0</x:v>
      </x:c>
      <x:c r="K3636" s="35" t="str">
        <x:v>Independent straight-line control; final system comparison must use configured recovery rules</x:v>
      </x:c>
    </x:row>
    <x:row r="3637">
      <x:c r="A3637" s="20" t="str">
        <x:v>FIN-01688</x:v>
      </x:c>
      <x:c r="B3637" s="32" t="n">
        <x:v>2</x:v>
      </x:c>
      <x:c r="C3637" s="23" t="n">
        <x:v>46752</x:v>
      </x:c>
      <x:c r="D3637" s="23" t="n">
        <x:v>46752</x:v>
      </x:c>
      <x:c r="E3637" s="20" t="str">
        <x:v>P012</x:v>
      </x:c>
      <x:c r="F3637" s="20" t="str"/>
      <x:c r="G3637" s="20" t="str"/>
      <x:c r="H3637" s="20" t="str">
        <x:v>1590 Accumulated Depreciation</x:v>
      </x:c>
      <x:c r="I3637" s="26" t="n">
        <x:v>0</x:v>
      </x:c>
      <x:c r="J3637" s="26" t="n">
        <x:v>7549.09</x:v>
      </x:c>
      <x:c r="K3637" s="35" t="str">
        <x:v>Independent straight-line control; final system comparison must use configured recovery rules</x:v>
      </x:c>
    </x:row>
    <x:row r="3638">
      <x:c r="A3638" s="20" t="str">
        <x:v>FIN-01689</x:v>
      </x:c>
      <x:c r="B3638" s="32" t="n">
        <x:v>1</x:v>
      </x:c>
      <x:c r="C3638" s="23" t="n">
        <x:v>46752</x:v>
      </x:c>
      <x:c r="D3638" s="23" t="n">
        <x:v>46752</x:v>
      </x:c>
      <x:c r="E3638" s="20" t="str">
        <x:v>P013</x:v>
      </x:c>
      <x:c r="F3638" s="20" t="str"/>
      <x:c r="G3638" s="20" t="str"/>
      <x:c r="H3638" s="20" t="str">
        <x:v>5100 Depreciation Expense</x:v>
      </x:c>
      <x:c r="I3638" s="26" t="n">
        <x:v>7760</x:v>
      </x:c>
      <x:c r="J3638" s="26" t="n">
        <x:v>0</x:v>
      </x:c>
      <x:c r="K3638" s="35" t="str">
        <x:v>Independent straight-line control; final system comparison must use configured recovery rules</x:v>
      </x:c>
    </x:row>
    <x:row r="3639">
      <x:c r="A3639" s="20" t="str">
        <x:v>FIN-01689</x:v>
      </x:c>
      <x:c r="B3639" s="32" t="n">
        <x:v>2</x:v>
      </x:c>
      <x:c r="C3639" s="23" t="n">
        <x:v>46752</x:v>
      </x:c>
      <x:c r="D3639" s="23" t="n">
        <x:v>46752</x:v>
      </x:c>
      <x:c r="E3639" s="20" t="str">
        <x:v>P013</x:v>
      </x:c>
      <x:c r="F3639" s="20" t="str"/>
      <x:c r="G3639" s="20" t="str"/>
      <x:c r="H3639" s="20" t="str">
        <x:v>1590 Accumulated Depreciation</x:v>
      </x:c>
      <x:c r="I3639" s="26" t="n">
        <x:v>0</x:v>
      </x:c>
      <x:c r="J3639" s="26" t="n">
        <x:v>7760</x:v>
      </x:c>
      <x:c r="K3639" s="35" t="str">
        <x:v>Independent straight-line control; final system comparison must use configured recovery rules</x:v>
      </x:c>
    </x:row>
    <x:row r="3640">
      <x:c r="A3640" s="20" t="str">
        <x:v>FIN-01690</x:v>
      </x:c>
      <x:c r="B3640" s="32" t="n">
        <x:v>1</x:v>
      </x:c>
      <x:c r="C3640" s="23" t="n">
        <x:v>46752</x:v>
      </x:c>
      <x:c r="D3640" s="23" t="n">
        <x:v>46752</x:v>
      </x:c>
      <x:c r="E3640" s="20" t="str">
        <x:v>P014</x:v>
      </x:c>
      <x:c r="F3640" s="20" t="str"/>
      <x:c r="G3640" s="20" t="str"/>
      <x:c r="H3640" s="20" t="str">
        <x:v>5100 Depreciation Expense</x:v>
      </x:c>
      <x:c r="I3640" s="26" t="n">
        <x:v>7970.91</x:v>
      </x:c>
      <x:c r="J3640" s="26" t="n">
        <x:v>0</x:v>
      </x:c>
      <x:c r="K3640" s="35" t="str">
        <x:v>Independent straight-line control; final system comparison must use configured recovery rules</x:v>
      </x:c>
    </x:row>
    <x:row r="3641">
      <x:c r="A3641" s="20" t="str">
        <x:v>FIN-01690</x:v>
      </x:c>
      <x:c r="B3641" s="32" t="n">
        <x:v>2</x:v>
      </x:c>
      <x:c r="C3641" s="23" t="n">
        <x:v>46752</x:v>
      </x:c>
      <x:c r="D3641" s="23" t="n">
        <x:v>46752</x:v>
      </x:c>
      <x:c r="E3641" s="20" t="str">
        <x:v>P014</x:v>
      </x:c>
      <x:c r="F3641" s="20" t="str"/>
      <x:c r="G3641" s="20" t="str"/>
      <x:c r="H3641" s="20" t="str">
        <x:v>1590 Accumulated Depreciation</x:v>
      </x:c>
      <x:c r="I3641" s="26" t="n">
        <x:v>0</x:v>
      </x:c>
      <x:c r="J3641" s="26" t="n">
        <x:v>7970.91</x:v>
      </x:c>
      <x:c r="K3641" s="35" t="str">
        <x:v>Independent straight-line control; final system comparison must use configured recovery rules</x:v>
      </x:c>
    </x:row>
    <x:row r="3642">
      <x:c r="A3642" s="20" t="str">
        <x:v>FIN-01691</x:v>
      </x:c>
      <x:c r="B3642" s="32" t="n">
        <x:v>1</x:v>
      </x:c>
      <x:c r="C3642" s="23" t="n">
        <x:v>46752</x:v>
      </x:c>
      <x:c r="D3642" s="23" t="n">
        <x:v>46752</x:v>
      </x:c>
      <x:c r="E3642" s="20" t="str">
        <x:v>P015</x:v>
      </x:c>
      <x:c r="F3642" s="20" t="str"/>
      <x:c r="G3642" s="20" t="str"/>
      <x:c r="H3642" s="20" t="str">
        <x:v>5100 Depreciation Expense</x:v>
      </x:c>
      <x:c r="I3642" s="26" t="n">
        <x:v>8181.82</x:v>
      </x:c>
      <x:c r="J3642" s="26" t="n">
        <x:v>0</x:v>
      </x:c>
      <x:c r="K3642" s="35" t="str">
        <x:v>Independent straight-line control; final system comparison must use configured recovery rules</x:v>
      </x:c>
    </x:row>
    <x:row r="3643">
      <x:c r="A3643" s="20" t="str">
        <x:v>FIN-01691</x:v>
      </x:c>
      <x:c r="B3643" s="32" t="n">
        <x:v>2</x:v>
      </x:c>
      <x:c r="C3643" s="23" t="n">
        <x:v>46752</x:v>
      </x:c>
      <x:c r="D3643" s="23" t="n">
        <x:v>46752</x:v>
      </x:c>
      <x:c r="E3643" s="20" t="str">
        <x:v>P015</x:v>
      </x:c>
      <x:c r="F3643" s="20" t="str"/>
      <x:c r="G3643" s="20" t="str"/>
      <x:c r="H3643" s="20" t="str">
        <x:v>1590 Accumulated Depreciation</x:v>
      </x:c>
      <x:c r="I3643" s="26" t="n">
        <x:v>0</x:v>
      </x:c>
      <x:c r="J3643" s="26" t="n">
        <x:v>8181.82</x:v>
      </x:c>
      <x:c r="K3643" s="35" t="str">
        <x:v>Independent straight-line control; final system comparison must use configured recovery rules</x:v>
      </x:c>
    </x:row>
    <x:row r="3644">
      <x:c r="A3644" s="20" t="str">
        <x:v>FIN-01692</x:v>
      </x:c>
      <x:c r="B3644" s="32" t="n">
        <x:v>1</x:v>
      </x:c>
      <x:c r="C3644" s="23" t="n">
        <x:v>46752</x:v>
      </x:c>
      <x:c r="D3644" s="23" t="n">
        <x:v>46752</x:v>
      </x:c>
      <x:c r="E3644" s="20" t="str">
        <x:v>P016</x:v>
      </x:c>
      <x:c r="F3644" s="20" t="str"/>
      <x:c r="G3644" s="20" t="str"/>
      <x:c r="H3644" s="20" t="str">
        <x:v>5100 Depreciation Expense</x:v>
      </x:c>
      <x:c r="I3644" s="26" t="n">
        <x:v>8392.73</x:v>
      </x:c>
      <x:c r="J3644" s="26" t="n">
        <x:v>0</x:v>
      </x:c>
      <x:c r="K3644" s="35" t="str">
        <x:v>Independent straight-line control; final system comparison must use configured recovery rules</x:v>
      </x:c>
    </x:row>
    <x:row r="3645">
      <x:c r="A3645" s="20" t="str">
        <x:v>FIN-01692</x:v>
      </x:c>
      <x:c r="B3645" s="32" t="n">
        <x:v>2</x:v>
      </x:c>
      <x:c r="C3645" s="23" t="n">
        <x:v>46752</x:v>
      </x:c>
      <x:c r="D3645" s="23" t="n">
        <x:v>46752</x:v>
      </x:c>
      <x:c r="E3645" s="20" t="str">
        <x:v>P016</x:v>
      </x:c>
      <x:c r="F3645" s="20" t="str"/>
      <x:c r="G3645" s="20" t="str"/>
      <x:c r="H3645" s="20" t="str">
        <x:v>1590 Accumulated Depreciation</x:v>
      </x:c>
      <x:c r="I3645" s="26" t="n">
        <x:v>0</x:v>
      </x:c>
      <x:c r="J3645" s="26" t="n">
        <x:v>8392.73</x:v>
      </x:c>
      <x:c r="K3645" s="35" t="str">
        <x:v>Independent straight-line control; final system comparison must use configured recovery rules</x:v>
      </x:c>
    </x:row>
    <x:row r="3646">
      <x:c r="A3646" s="20" t="str">
        <x:v>FIN-01693</x:v>
      </x:c>
      <x:c r="B3646" s="32" t="n">
        <x:v>1</x:v>
      </x:c>
      <x:c r="C3646" s="23" t="n">
        <x:v>46752</x:v>
      </x:c>
      <x:c r="D3646" s="23" t="n">
        <x:v>46752</x:v>
      </x:c>
      <x:c r="E3646" s="20" t="str">
        <x:v>P017</x:v>
      </x:c>
      <x:c r="F3646" s="20" t="str"/>
      <x:c r="G3646" s="20" t="str"/>
      <x:c r="H3646" s="20" t="str">
        <x:v>5100 Depreciation Expense</x:v>
      </x:c>
      <x:c r="I3646" s="26" t="n">
        <x:v>8603.64</x:v>
      </x:c>
      <x:c r="J3646" s="26" t="n">
        <x:v>0</x:v>
      </x:c>
      <x:c r="K3646" s="35" t="str">
        <x:v>Independent straight-line control; final system comparison must use configured recovery rules</x:v>
      </x:c>
    </x:row>
    <x:row r="3647">
      <x:c r="A3647" s="20" t="str">
        <x:v>FIN-01693</x:v>
      </x:c>
      <x:c r="B3647" s="32" t="n">
        <x:v>2</x:v>
      </x:c>
      <x:c r="C3647" s="23" t="n">
        <x:v>46752</x:v>
      </x:c>
      <x:c r="D3647" s="23" t="n">
        <x:v>46752</x:v>
      </x:c>
      <x:c r="E3647" s="20" t="str">
        <x:v>P017</x:v>
      </x:c>
      <x:c r="F3647" s="20" t="str"/>
      <x:c r="G3647" s="20" t="str"/>
      <x:c r="H3647" s="20" t="str">
        <x:v>1590 Accumulated Depreciation</x:v>
      </x:c>
      <x:c r="I3647" s="26" t="n">
        <x:v>0</x:v>
      </x:c>
      <x:c r="J3647" s="26" t="n">
        <x:v>8603.64</x:v>
      </x:c>
      <x:c r="K3647" s="35" t="str">
        <x:v>Independent straight-line control; final system comparison must use configured recovery rules</x:v>
      </x:c>
    </x:row>
    <x:row r="3648">
      <x:c r="A3648" s="20" t="str">
        <x:v>FIN-01694</x:v>
      </x:c>
      <x:c r="B3648" s="32" t="n">
        <x:v>1</x:v>
      </x:c>
      <x:c r="C3648" s="23" t="n">
        <x:v>46752</x:v>
      </x:c>
      <x:c r="D3648" s="23" t="n">
        <x:v>46752</x:v>
      </x:c>
      <x:c r="E3648" s="20" t="str">
        <x:v>P018</x:v>
      </x:c>
      <x:c r="F3648" s="20" t="str"/>
      <x:c r="G3648" s="20" t="str"/>
      <x:c r="H3648" s="20" t="str">
        <x:v>5100 Depreciation Expense</x:v>
      </x:c>
      <x:c r="I3648" s="26" t="n">
        <x:v>8814.55</x:v>
      </x:c>
      <x:c r="J3648" s="26" t="n">
        <x:v>0</x:v>
      </x:c>
      <x:c r="K3648" s="35" t="str">
        <x:v>Independent straight-line control; final system comparison must use configured recovery rules</x:v>
      </x:c>
    </x:row>
    <x:row r="3649">
      <x:c r="A3649" s="20" t="str">
        <x:v>FIN-01694</x:v>
      </x:c>
      <x:c r="B3649" s="32" t="n">
        <x:v>2</x:v>
      </x:c>
      <x:c r="C3649" s="23" t="n">
        <x:v>46752</x:v>
      </x:c>
      <x:c r="D3649" s="23" t="n">
        <x:v>46752</x:v>
      </x:c>
      <x:c r="E3649" s="20" t="str">
        <x:v>P018</x:v>
      </x:c>
      <x:c r="F3649" s="20" t="str"/>
      <x:c r="G3649" s="20" t="str"/>
      <x:c r="H3649" s="20" t="str">
        <x:v>1590 Accumulated Depreciation</x:v>
      </x:c>
      <x:c r="I3649" s="26" t="n">
        <x:v>0</x:v>
      </x:c>
      <x:c r="J3649" s="26" t="n">
        <x:v>8814.55</x:v>
      </x:c>
      <x:c r="K3649" s="35" t="str">
        <x:v>Independent straight-line control; final system comparison must use configured recovery rules</x:v>
      </x:c>
    </x:row>
    <x:row r="3650">
      <x:c r="A3650" s="20" t="str">
        <x:v>FIN-01695</x:v>
      </x:c>
      <x:c r="B3650" s="32" t="n">
        <x:v>1</x:v>
      </x:c>
      <x:c r="C3650" s="23" t="n">
        <x:v>46752</x:v>
      </x:c>
      <x:c r="D3650" s="23" t="n">
        <x:v>46752</x:v>
      </x:c>
      <x:c r="E3650" s="20" t="str">
        <x:v>P019</x:v>
      </x:c>
      <x:c r="F3650" s="20" t="str"/>
      <x:c r="G3650" s="20" t="str"/>
      <x:c r="H3650" s="20" t="str">
        <x:v>5100 Depreciation Expense</x:v>
      </x:c>
      <x:c r="I3650" s="26" t="n">
        <x:v>9025.45</x:v>
      </x:c>
      <x:c r="J3650" s="26" t="n">
        <x:v>0</x:v>
      </x:c>
      <x:c r="K3650" s="35" t="str">
        <x:v>Independent straight-line control; final system comparison must use configured recovery rules</x:v>
      </x:c>
    </x:row>
    <x:row r="3651">
      <x:c r="A3651" s="20" t="str">
        <x:v>FIN-01695</x:v>
      </x:c>
      <x:c r="B3651" s="32" t="n">
        <x:v>2</x:v>
      </x:c>
      <x:c r="C3651" s="23" t="n">
        <x:v>46752</x:v>
      </x:c>
      <x:c r="D3651" s="23" t="n">
        <x:v>46752</x:v>
      </x:c>
      <x:c r="E3651" s="20" t="str">
        <x:v>P019</x:v>
      </x:c>
      <x:c r="F3651" s="20" t="str"/>
      <x:c r="G3651" s="20" t="str"/>
      <x:c r="H3651" s="20" t="str">
        <x:v>1590 Accumulated Depreciation</x:v>
      </x:c>
      <x:c r="I3651" s="26" t="n">
        <x:v>0</x:v>
      </x:c>
      <x:c r="J3651" s="26" t="n">
        <x:v>9025.45</x:v>
      </x:c>
      <x:c r="K3651" s="35" t="str">
        <x:v>Independent straight-line control; final system comparison must use configured recovery rules</x:v>
      </x:c>
    </x:row>
    <x:row r="3652">
      <x:c r="A3652" s="20" t="str">
        <x:v>FIN-01696</x:v>
      </x:c>
      <x:c r="B3652" s="32" t="n">
        <x:v>1</x:v>
      </x:c>
      <x:c r="C3652" s="23" t="n">
        <x:v>46752</x:v>
      </x:c>
      <x:c r="D3652" s="23" t="n">
        <x:v>46752</x:v>
      </x:c>
      <x:c r="E3652" s="20" t="str">
        <x:v>P020</x:v>
      </x:c>
      <x:c r="F3652" s="20" t="str"/>
      <x:c r="G3652" s="20" t="str"/>
      <x:c r="H3652" s="20" t="str">
        <x:v>5100 Depreciation Expense</x:v>
      </x:c>
      <x:c r="I3652" s="26" t="n">
        <x:v>9236.36</x:v>
      </x:c>
      <x:c r="J3652" s="26" t="n">
        <x:v>0</x:v>
      </x:c>
      <x:c r="K3652" s="35" t="str">
        <x:v>Independent straight-line control; final system comparison must use configured recovery rules</x:v>
      </x:c>
    </x:row>
    <x:row r="3653">
      <x:c r="A3653" s="20" t="str">
        <x:v>FIN-01696</x:v>
      </x:c>
      <x:c r="B3653" s="32" t="n">
        <x:v>2</x:v>
      </x:c>
      <x:c r="C3653" s="23" t="n">
        <x:v>46752</x:v>
      </x:c>
      <x:c r="D3653" s="23" t="n">
        <x:v>46752</x:v>
      </x:c>
      <x:c r="E3653" s="20" t="str">
        <x:v>P020</x:v>
      </x:c>
      <x:c r="F3653" s="20" t="str"/>
      <x:c r="G3653" s="20" t="str"/>
      <x:c r="H3653" s="20" t="str">
        <x:v>1590 Accumulated Depreciation</x:v>
      </x:c>
      <x:c r="I3653" s="26" t="n">
        <x:v>0</x:v>
      </x:c>
      <x:c r="J3653" s="26" t="n">
        <x:v>9236.36</x:v>
      </x:c>
      <x:c r="K3653" s="35" t="str">
        <x:v>Independent straight-line control; final system comparison must use configured recovery rules</x:v>
      </x:c>
    </x:row>
    <x:row r="3654">
      <x:c r="A3654" s="20" t="str">
        <x:v>FIN-01697</x:v>
      </x:c>
      <x:c r="B3654" s="32" t="n">
        <x:v>1</x:v>
      </x:c>
      <x:c r="C3654" s="23" t="n">
        <x:v>46752</x:v>
      </x:c>
      <x:c r="D3654" s="23" t="n">
        <x:v>46752</x:v>
      </x:c>
      <x:c r="E3654" s="20" t="str">
        <x:v>P021</x:v>
      </x:c>
      <x:c r="F3654" s="20" t="str"/>
      <x:c r="G3654" s="20" t="str"/>
      <x:c r="H3654" s="20" t="str">
        <x:v>5100 Depreciation Expense</x:v>
      </x:c>
      <x:c r="I3654" s="26" t="n">
        <x:v>10756.36</x:v>
      </x:c>
      <x:c r="J3654" s="26" t="n">
        <x:v>0</x:v>
      </x:c>
      <x:c r="K3654" s="35" t="str">
        <x:v>Independent straight-line control; final system comparison must use configured recovery rules</x:v>
      </x:c>
    </x:row>
    <x:row r="3655">
      <x:c r="A3655" s="20" t="str">
        <x:v>FIN-01697</x:v>
      </x:c>
      <x:c r="B3655" s="32" t="n">
        <x:v>2</x:v>
      </x:c>
      <x:c r="C3655" s="23" t="n">
        <x:v>46752</x:v>
      </x:c>
      <x:c r="D3655" s="23" t="n">
        <x:v>46752</x:v>
      </x:c>
      <x:c r="E3655" s="20" t="str">
        <x:v>P021</x:v>
      </x:c>
      <x:c r="F3655" s="20" t="str"/>
      <x:c r="G3655" s="20" t="str"/>
      <x:c r="H3655" s="20" t="str">
        <x:v>1590 Accumulated Depreciation</x:v>
      </x:c>
      <x:c r="I3655" s="26" t="n">
        <x:v>0</x:v>
      </x:c>
      <x:c r="J3655" s="26" t="n">
        <x:v>10756.36</x:v>
      </x:c>
      <x:c r="K3655" s="35" t="str">
        <x:v>Independent straight-line control; final system comparison must use configured recovery rules</x:v>
      </x:c>
    </x:row>
    <x:row r="3656">
      <x:c r="A3656" s="20" t="str">
        <x:v>FIN-01698</x:v>
      </x:c>
      <x:c r="B3656" s="32" t="n">
        <x:v>1</x:v>
      </x:c>
      <x:c r="C3656" s="23" t="n">
        <x:v>46752</x:v>
      </x:c>
      <x:c r="D3656" s="23" t="n">
        <x:v>46752</x:v>
      </x:c>
      <x:c r="E3656" s="20" t="str">
        <x:v>P022</x:v>
      </x:c>
      <x:c r="F3656" s="20" t="str"/>
      <x:c r="G3656" s="20" t="str"/>
      <x:c r="H3656" s="20" t="str">
        <x:v>5100 Depreciation Expense</x:v>
      </x:c>
      <x:c r="I3656" s="26" t="n">
        <x:v>10967.27</x:v>
      </x:c>
      <x:c r="J3656" s="26" t="n">
        <x:v>0</x:v>
      </x:c>
      <x:c r="K3656" s="35" t="str">
        <x:v>Independent straight-line control; final system comparison must use configured recovery rules</x:v>
      </x:c>
    </x:row>
    <x:row r="3657">
      <x:c r="A3657" s="20" t="str">
        <x:v>FIN-01698</x:v>
      </x:c>
      <x:c r="B3657" s="32" t="n">
        <x:v>2</x:v>
      </x:c>
      <x:c r="C3657" s="23" t="n">
        <x:v>46752</x:v>
      </x:c>
      <x:c r="D3657" s="23" t="n">
        <x:v>46752</x:v>
      </x:c>
      <x:c r="E3657" s="20" t="str">
        <x:v>P022</x:v>
      </x:c>
      <x:c r="F3657" s="20" t="str"/>
      <x:c r="G3657" s="20" t="str"/>
      <x:c r="H3657" s="20" t="str">
        <x:v>1590 Accumulated Depreciation</x:v>
      </x:c>
      <x:c r="I3657" s="26" t="n">
        <x:v>0</x:v>
      </x:c>
      <x:c r="J3657" s="26" t="n">
        <x:v>10967.27</x:v>
      </x:c>
      <x:c r="K3657" s="35" t="str">
        <x:v>Independent straight-line control; final system comparison must use configured recovery rules</x:v>
      </x:c>
    </x:row>
    <x:row r="3658">
      <x:c r="A3658" s="20" t="str">
        <x:v>FIN-01699</x:v>
      </x:c>
      <x:c r="B3658" s="32" t="n">
        <x:v>1</x:v>
      </x:c>
      <x:c r="C3658" s="23" t="n">
        <x:v>46752</x:v>
      </x:c>
      <x:c r="D3658" s="23" t="n">
        <x:v>46752</x:v>
      </x:c>
      <x:c r="E3658" s="20" t="str">
        <x:v>P023</x:v>
      </x:c>
      <x:c r="F3658" s="20" t="str"/>
      <x:c r="G3658" s="20" t="str"/>
      <x:c r="H3658" s="20" t="str">
        <x:v>5100 Depreciation Expense</x:v>
      </x:c>
      <x:c r="I3658" s="26" t="n">
        <x:v>11178.18</x:v>
      </x:c>
      <x:c r="J3658" s="26" t="n">
        <x:v>0</x:v>
      </x:c>
      <x:c r="K3658" s="35" t="str">
        <x:v>Independent straight-line control; final system comparison must use configured recovery rules</x:v>
      </x:c>
    </x:row>
    <x:row r="3659">
      <x:c r="A3659" s="20" t="str">
        <x:v>FIN-01699</x:v>
      </x:c>
      <x:c r="B3659" s="32" t="n">
        <x:v>2</x:v>
      </x:c>
      <x:c r="C3659" s="23" t="n">
        <x:v>46752</x:v>
      </x:c>
      <x:c r="D3659" s="23" t="n">
        <x:v>46752</x:v>
      </x:c>
      <x:c r="E3659" s="20" t="str">
        <x:v>P023</x:v>
      </x:c>
      <x:c r="F3659" s="20" t="str"/>
      <x:c r="G3659" s="20" t="str"/>
      <x:c r="H3659" s="20" t="str">
        <x:v>1590 Accumulated Depreciation</x:v>
      </x:c>
      <x:c r="I3659" s="26" t="n">
        <x:v>0</x:v>
      </x:c>
      <x:c r="J3659" s="26" t="n">
        <x:v>11178.18</x:v>
      </x:c>
      <x:c r="K3659" s="35" t="str">
        <x:v>Independent straight-line control; final system comparison must use configured recovery rules</x:v>
      </x:c>
    </x:row>
    <x:row r="3660">
      <x:c r="A3660" s="20" t="str">
        <x:v>FIN-01700</x:v>
      </x:c>
      <x:c r="B3660" s="32" t="n">
        <x:v>1</x:v>
      </x:c>
      <x:c r="C3660" s="23" t="n">
        <x:v>46752</x:v>
      </x:c>
      <x:c r="D3660" s="23" t="n">
        <x:v>46752</x:v>
      </x:c>
      <x:c r="E3660" s="20" t="str">
        <x:v>P024</x:v>
      </x:c>
      <x:c r="F3660" s="20" t="str"/>
      <x:c r="G3660" s="20" t="str"/>
      <x:c r="H3660" s="20" t="str">
        <x:v>5100 Depreciation Expense</x:v>
      </x:c>
      <x:c r="I3660" s="26" t="n">
        <x:v>11389.09</x:v>
      </x:c>
      <x:c r="J3660" s="26" t="n">
        <x:v>0</x:v>
      </x:c>
      <x:c r="K3660" s="35" t="str">
        <x:v>Independent straight-line control; final system comparison must use configured recovery rules</x:v>
      </x:c>
    </x:row>
    <x:row r="3661">
      <x:c r="A3661" s="20" t="str">
        <x:v>FIN-01700</x:v>
      </x:c>
      <x:c r="B3661" s="32" t="n">
        <x:v>2</x:v>
      </x:c>
      <x:c r="C3661" s="23" t="n">
        <x:v>46752</x:v>
      </x:c>
      <x:c r="D3661" s="23" t="n">
        <x:v>46752</x:v>
      </x:c>
      <x:c r="E3661" s="20" t="str">
        <x:v>P024</x:v>
      </x:c>
      <x:c r="F3661" s="20" t="str"/>
      <x:c r="G3661" s="20" t="str"/>
      <x:c r="H3661" s="20" t="str">
        <x:v>1590 Accumulated Depreciation</x:v>
      </x:c>
      <x:c r="I3661" s="26" t="n">
        <x:v>0</x:v>
      </x:c>
      <x:c r="J3661" s="26" t="n">
        <x:v>11389.09</x:v>
      </x:c>
      <x:c r="K3661" s="35" t="str">
        <x:v>Independent straight-line control; final system comparison must use configured recovery rules</x:v>
      </x:c>
    </x:row>
    <x:row r="3662">
      <x:c r="A3662" s="20" t="str">
        <x:v>FIN-01701</x:v>
      </x:c>
      <x:c r="B3662" s="32" t="n">
        <x:v>1</x:v>
      </x:c>
      <x:c r="C3662" s="23" t="n">
        <x:v>46752</x:v>
      </x:c>
      <x:c r="D3662" s="23" t="n">
        <x:v>46752</x:v>
      </x:c>
      <x:c r="E3662" s="20" t="str">
        <x:v>P025</x:v>
      </x:c>
      <x:c r="F3662" s="20" t="str"/>
      <x:c r="G3662" s="20" t="str"/>
      <x:c r="H3662" s="20" t="str">
        <x:v>5100 Depreciation Expense</x:v>
      </x:c>
      <x:c r="I3662" s="26" t="n">
        <x:v>11600</x:v>
      </x:c>
      <x:c r="J3662" s="26" t="n">
        <x:v>0</x:v>
      </x:c>
      <x:c r="K3662" s="35" t="str">
        <x:v>Independent straight-line control; final system comparison must use configured recovery rules</x:v>
      </x:c>
    </x:row>
    <x:row r="3663">
      <x:c r="A3663" s="20" t="str">
        <x:v>FIN-01701</x:v>
      </x:c>
      <x:c r="B3663" s="32" t="n">
        <x:v>2</x:v>
      </x:c>
      <x:c r="C3663" s="23" t="n">
        <x:v>46752</x:v>
      </x:c>
      <x:c r="D3663" s="23" t="n">
        <x:v>46752</x:v>
      </x:c>
      <x:c r="E3663" s="20" t="str">
        <x:v>P025</x:v>
      </x:c>
      <x:c r="F3663" s="20" t="str"/>
      <x:c r="G3663" s="20" t="str"/>
      <x:c r="H3663" s="20" t="str">
        <x:v>1590 Accumulated Depreciation</x:v>
      </x:c>
      <x:c r="I3663" s="26" t="n">
        <x:v>0</x:v>
      </x:c>
      <x:c r="J3663" s="26" t="n">
        <x:v>11600</x:v>
      </x:c>
      <x:c r="K3663" s="35" t="str">
        <x:v>Independent straight-line control; final system comparison must use configured recovery rules</x:v>
      </x:c>
    </x:row>
    <x:row r="3664">
      <x:c r="A3664" s="20" t="str">
        <x:v>FIN-01702</x:v>
      </x:c>
      <x:c r="B3664" s="32" t="n">
        <x:v>1</x:v>
      </x:c>
      <x:c r="C3664" s="23" t="n">
        <x:v>46752</x:v>
      </x:c>
      <x:c r="D3664" s="23" t="n">
        <x:v>46752</x:v>
      </x:c>
      <x:c r="E3664" s="20" t="str">
        <x:v>P026</x:v>
      </x:c>
      <x:c r="F3664" s="20" t="str"/>
      <x:c r="G3664" s="20" t="str"/>
      <x:c r="H3664" s="20" t="str">
        <x:v>5100 Depreciation Expense</x:v>
      </x:c>
      <x:c r="I3664" s="26" t="n">
        <x:v>11810.91</x:v>
      </x:c>
      <x:c r="J3664" s="26" t="n">
        <x:v>0</x:v>
      </x:c>
      <x:c r="K3664" s="35" t="str">
        <x:v>Independent straight-line control; final system comparison must use configured recovery rules</x:v>
      </x:c>
    </x:row>
    <x:row r="3665">
      <x:c r="A3665" s="20" t="str">
        <x:v>FIN-01702</x:v>
      </x:c>
      <x:c r="B3665" s="32" t="n">
        <x:v>2</x:v>
      </x:c>
      <x:c r="C3665" s="23" t="n">
        <x:v>46752</x:v>
      </x:c>
      <x:c r="D3665" s="23" t="n">
        <x:v>46752</x:v>
      </x:c>
      <x:c r="E3665" s="20" t="str">
        <x:v>P026</x:v>
      </x:c>
      <x:c r="F3665" s="20" t="str"/>
      <x:c r="G3665" s="20" t="str"/>
      <x:c r="H3665" s="20" t="str">
        <x:v>1590 Accumulated Depreciation</x:v>
      </x:c>
      <x:c r="I3665" s="26" t="n">
        <x:v>0</x:v>
      </x:c>
      <x:c r="J3665" s="26" t="n">
        <x:v>11810.91</x:v>
      </x:c>
      <x:c r="K3665" s="35" t="str">
        <x:v>Independent straight-line control; final system comparison must use configured recovery rules</x:v>
      </x:c>
    </x:row>
    <x:row r="3666">
      <x:c r="A3666" s="20" t="str">
        <x:v>FIN-01703</x:v>
      </x:c>
      <x:c r="B3666" s="32" t="n">
        <x:v>1</x:v>
      </x:c>
      <x:c r="C3666" s="23" t="n">
        <x:v>46752</x:v>
      </x:c>
      <x:c r="D3666" s="23" t="n">
        <x:v>46752</x:v>
      </x:c>
      <x:c r="E3666" s="20" t="str">
        <x:v>P027</x:v>
      </x:c>
      <x:c r="F3666" s="20" t="str"/>
      <x:c r="G3666" s="20" t="str"/>
      <x:c r="H3666" s="20" t="str">
        <x:v>5100 Depreciation Expense</x:v>
      </x:c>
      <x:c r="I3666" s="26" t="n">
        <x:v>12021.82</x:v>
      </x:c>
      <x:c r="J3666" s="26" t="n">
        <x:v>0</x:v>
      </x:c>
      <x:c r="K3666" s="35" t="str">
        <x:v>Independent straight-line control; final system comparison must use configured recovery rules</x:v>
      </x:c>
    </x:row>
    <x:row r="3667">
      <x:c r="A3667" s="20" t="str">
        <x:v>FIN-01703</x:v>
      </x:c>
      <x:c r="B3667" s="32" t="n">
        <x:v>2</x:v>
      </x:c>
      <x:c r="C3667" s="23" t="n">
        <x:v>46752</x:v>
      </x:c>
      <x:c r="D3667" s="23" t="n">
        <x:v>46752</x:v>
      </x:c>
      <x:c r="E3667" s="20" t="str">
        <x:v>P027</x:v>
      </x:c>
      <x:c r="F3667" s="20" t="str"/>
      <x:c r="G3667" s="20" t="str"/>
      <x:c r="H3667" s="20" t="str">
        <x:v>1590 Accumulated Depreciation</x:v>
      </x:c>
      <x:c r="I3667" s="26" t="n">
        <x:v>0</x:v>
      </x:c>
      <x:c r="J3667" s="26" t="n">
        <x:v>12021.82</x:v>
      </x:c>
      <x:c r="K3667" s="35" t="str">
        <x:v>Independent straight-line control; final system comparison must use configured recovery rules</x:v>
      </x:c>
    </x:row>
    <x:row r="3668">
      <x:c r="A3668" s="20" t="str">
        <x:v>FIN-01704</x:v>
      </x:c>
      <x:c r="B3668" s="32" t="n">
        <x:v>1</x:v>
      </x:c>
      <x:c r="C3668" s="23" t="n">
        <x:v>46752</x:v>
      </x:c>
      <x:c r="D3668" s="23" t="n">
        <x:v>46752</x:v>
      </x:c>
      <x:c r="E3668" s="20" t="str">
        <x:v>P028</x:v>
      </x:c>
      <x:c r="F3668" s="20" t="str"/>
      <x:c r="G3668" s="20" t="str"/>
      <x:c r="H3668" s="20" t="str">
        <x:v>5100 Depreciation Expense</x:v>
      </x:c>
      <x:c r="I3668" s="26" t="n">
        <x:v>12232.73</x:v>
      </x:c>
      <x:c r="J3668" s="26" t="n">
        <x:v>0</x:v>
      </x:c>
      <x:c r="K3668" s="35" t="str">
        <x:v>Independent straight-line control; final system comparison must use configured recovery rules</x:v>
      </x:c>
    </x:row>
    <x:row r="3669">
      <x:c r="A3669" s="20" t="str">
        <x:v>FIN-01704</x:v>
      </x:c>
      <x:c r="B3669" s="32" t="n">
        <x:v>2</x:v>
      </x:c>
      <x:c r="C3669" s="23" t="n">
        <x:v>46752</x:v>
      </x:c>
      <x:c r="D3669" s="23" t="n">
        <x:v>46752</x:v>
      </x:c>
      <x:c r="E3669" s="20" t="str">
        <x:v>P028</x:v>
      </x:c>
      <x:c r="F3669" s="20" t="str"/>
      <x:c r="G3669" s="20" t="str"/>
      <x:c r="H3669" s="20" t="str">
        <x:v>1590 Accumulated Depreciation</x:v>
      </x:c>
      <x:c r="I3669" s="26" t="n">
        <x:v>0</x:v>
      </x:c>
      <x:c r="J3669" s="26" t="n">
        <x:v>12232.73</x:v>
      </x:c>
      <x:c r="K3669" s="35" t="str">
        <x:v>Independent straight-line control; final system comparison must use configured recovery rules</x:v>
      </x:c>
    </x:row>
    <x:row r="3670">
      <x:c r="A3670" s="20" t="str">
        <x:v>FIN-01705</x:v>
      </x:c>
      <x:c r="B3670" s="32" t="n">
        <x:v>1</x:v>
      </x:c>
      <x:c r="C3670" s="23" t="n">
        <x:v>46752</x:v>
      </x:c>
      <x:c r="D3670" s="23" t="n">
        <x:v>46752</x:v>
      </x:c>
      <x:c r="E3670" s="20" t="str">
        <x:v>P029</x:v>
      </x:c>
      <x:c r="F3670" s="20" t="str"/>
      <x:c r="G3670" s="20" t="str"/>
      <x:c r="H3670" s="20" t="str">
        <x:v>5100 Depreciation Expense</x:v>
      </x:c>
      <x:c r="I3670" s="26" t="n">
        <x:v>12443.64</x:v>
      </x:c>
      <x:c r="J3670" s="26" t="n">
        <x:v>0</x:v>
      </x:c>
      <x:c r="K3670" s="35" t="str">
        <x:v>Independent straight-line control; final system comparison must use configured recovery rules</x:v>
      </x:c>
    </x:row>
    <x:row r="3671">
      <x:c r="A3671" s="20" t="str">
        <x:v>FIN-01705</x:v>
      </x:c>
      <x:c r="B3671" s="32" t="n">
        <x:v>2</x:v>
      </x:c>
      <x:c r="C3671" s="23" t="n">
        <x:v>46752</x:v>
      </x:c>
      <x:c r="D3671" s="23" t="n">
        <x:v>46752</x:v>
      </x:c>
      <x:c r="E3671" s="20" t="str">
        <x:v>P029</x:v>
      </x:c>
      <x:c r="F3671" s="20" t="str"/>
      <x:c r="G3671" s="20" t="str"/>
      <x:c r="H3671" s="20" t="str">
        <x:v>1590 Accumulated Depreciation</x:v>
      </x:c>
      <x:c r="I3671" s="26" t="n">
        <x:v>0</x:v>
      </x:c>
      <x:c r="J3671" s="26" t="n">
        <x:v>12443.64</x:v>
      </x:c>
      <x:c r="K3671" s="35" t="str">
        <x:v>Independent straight-line control; final system comparison must use configured recovery rules</x:v>
      </x:c>
    </x:row>
    <x:row r="3672">
      <x:c r="A3672" s="20" t="str">
        <x:v>FIN-01706</x:v>
      </x:c>
      <x:c r="B3672" s="32" t="n">
        <x:v>1</x:v>
      </x:c>
      <x:c r="C3672" s="23" t="n">
        <x:v>46752</x:v>
      </x:c>
      <x:c r="D3672" s="23" t="n">
        <x:v>46752</x:v>
      </x:c>
      <x:c r="E3672" s="20" t="str">
        <x:v>P030</x:v>
      </x:c>
      <x:c r="F3672" s="20" t="str"/>
      <x:c r="G3672" s="20" t="str"/>
      <x:c r="H3672" s="20" t="str">
        <x:v>5100 Depreciation Expense</x:v>
      </x:c>
      <x:c r="I3672" s="26" t="n">
        <x:v>12654.55</x:v>
      </x:c>
      <x:c r="J3672" s="26" t="n">
        <x:v>0</x:v>
      </x:c>
      <x:c r="K3672" s="35" t="str">
        <x:v>Independent straight-line control; final system comparison must use configured recovery rules</x:v>
      </x:c>
    </x:row>
    <x:row r="3673">
      <x:c r="A3673" s="21" t="str">
        <x:v>FIN-01706</x:v>
      </x:c>
      <x:c r="B3673" s="33" t="n">
        <x:v>2</x:v>
      </x:c>
      <x:c r="C3673" s="24" t="n">
        <x:v>46752</x:v>
      </x:c>
      <x:c r="D3673" s="24" t="n">
        <x:v>46752</x:v>
      </x:c>
      <x:c r="E3673" s="21" t="str">
        <x:v>P030</x:v>
      </x:c>
      <x:c r="F3673" s="21" t="str"/>
      <x:c r="G3673" s="21" t="str"/>
      <x:c r="H3673" s="21" t="str">
        <x:v>1590 Accumulated Depreciation</x:v>
      </x:c>
      <x:c r="I3673" s="27" t="n">
        <x:v>0</x:v>
      </x:c>
      <x:c r="J3673" s="27" t="n">
        <x:v>12654.55</x:v>
      </x:c>
      <x:c r="K3673" s="36" t="str">
        <x:v>Independent straight-line control; final system comparison must use configured recovery rules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93f9508087b4ba4"/>
  </x:tableParts>
</x:worksheet>
</file>